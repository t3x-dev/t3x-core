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510f9c76104381" /></Relationships>
</file>

<file path=xl/workbook.xml><?xml version="1.0" encoding="utf-8"?>
<x:workbook xmlns:x="http://schemas.openxmlformats.org/spreadsheetml/2006/main">
  <x:sheets>
    <x:sheet xmlns:r="http://schemas.openxmlformats.org/officeDocument/2006/relationships" name="sheet1-指标体系" sheetId="1" r:id="R84312d0c65674d2d"/>
    <x:sheet xmlns:r="http://schemas.openxmlformats.org/officeDocument/2006/relationships" name="sheet2-计算明细" sheetId="2" r:id="R76cbcb157bf84840"/>
    <x:sheet xmlns:r="http://schemas.openxmlformats.org/officeDocument/2006/relationships" name="sheet3-分类汇总" sheetId="3" r:id="R8faac8ee7d7448fa"/>
    <x:sheet xmlns:r="http://schemas.openxmlformats.org/officeDocument/2006/relationships" name="sheet4-原始数据" sheetId="4" r:id="R1449d373ae1a4a48"/>
    <x:sheet xmlns:r="http://schemas.openxmlformats.org/officeDocument/2006/relationships" name="净值原始" sheetId="5" r:id="Rfe5675a260c54bbd"/>
    <x:sheet xmlns:r="http://schemas.openxmlformats.org/officeDocument/2006/relationships" name="补数计算" sheetId="6" r:id="Rd3c4613cf7924c7c"/>
    <x:sheet xmlns:r="http://schemas.openxmlformats.org/officeDocument/2006/relationships" name="最新核对" sheetId="7" r:id="Rde217aa28dbf4a70"/>
    <x:sheet xmlns:r="http://schemas.openxmlformats.org/officeDocument/2006/relationships" name="协会公示" sheetId="8" r:id="Rc0fed21e47014890"/>
    <x:sheet xmlns:r="http://schemas.openxmlformats.org/officeDocument/2006/relationships" name="最新大规模策略池" sheetId="9" r:id="R5a857f1ac5a0453a"/>
    <x:sheet xmlns:r="http://schemas.openxmlformats.org/officeDocument/2006/relationships" name="最新小规模策略池" sheetId="10" r:id="R04c63b58f68e44e0"/>
  </x:sheets>
</x:workbook>
</file>

<file path=xl/sharedStrings.xml><?xml version="1.0" encoding="utf-8"?>
<x:sst xmlns:x="http://schemas.openxmlformats.org/spreadsheetml/2006/main">
  <x:si>
    <x:t xml:space="preserve">二、优化后的完整赋分汇总表（字段一一对应）</x:t>
  </x:si>
  <x:si>
    <x:t xml:space="preserve">大类指标</x:t>
  </x:si>
  <x:si>
    <x:t xml:space="preserve">权重</x:t>
  </x:si>
  <x:si>
    <x:t xml:space="preserve">二级指标</x:t>
  </x:si>
  <x:si>
    <x:t xml:space="preserve">二级权重</x:t>
  </x:si>
  <x:si>
    <x:t xml:space="preserve">数据来源/计算方法（重要）</x:t>
  </x:si>
  <x:si>
    <x:t xml:space="preserve">时间口径权重</x:t>
  </x:si>
  <x:si>
    <x:t xml:space="preserve">综合权重</x:t>
  </x:si>
  <x:si>
    <x:t xml:space="preserve">计算参数</x:t>
  </x:si>
  <x:si>
    <x:t xml:space="preserve">值</x:t>
  </x:si>
  <x:si>
    <x:t xml:space="preserve">管理人及产品
（不变）</x:t>
  </x:si>
  <x:si>
    <x:t xml:space="preserve">管理人规模</x:t>
  </x:si>
  <x:si>
    <x:t xml:space="preserve">基金业协会管理人公示“管理规模区间”：0-5亿=60；5-10亿=70；10-20亿=80；20-100亿=90；100亿以上=100</x:t>
  </x:si>
  <x:si>
    <x:t xml:space="preserve">最新时点</x:t>
  </x:si>
  <x:si>
    <x:t xml:space="preserve">产品规模标识阈值（万元）</x:t>
  </x:si>
  <x:si>
    <x:t xml:space="preserve">产品规模</x:t>
  </x:si>
  <x:si>
    <x:t xml:space="preserve">基金业协会产品公示出现“存续规模低于1000万人民币”标识=0；未出现该标识=100</x:t>
  </x:si>
  <x:si>
    <x:t xml:space="preserve">近一年胜率观察数</x:t>
  </x:si>
  <x:si>
    <x:t xml:space="preserve">成立年限</x:t>
  </x:si>
  <x:si>
    <x:t xml:space="preserve">按产品成立日期计算：≥3年=100分；1~3年=70分；&lt;1年不入池</x:t>
  </x:si>
  <x:si>
    <x:t xml:space="preserve">当前日期</x:t>
  </x:si>
  <x:si>
    <x:t xml:space="preserve">近三年胜率观察数</x:t>
  </x:si>
  <x:si>
    <x:t xml:space="preserve">收益能力
（彻底消除重叠）</x:t>
  </x:si>
  <x:si>
    <x:t xml:space="preserve">年化收益</x:t>
  </x:si>
  <x:si>
    <x:t xml:space="preserve">短期：直接用 R_1y 排名赋分
长期：用计算出的 R_early 排名赋分</x:t>
  </x:si>
  <x:si>
    <x:t xml:space="preserve">短期60%（近12月）
长期40%（早期区间）</x:t>
  </x:si>
  <x:si>
    <x:t xml:space="preserve">早期胜率观察数</x:t>
  </x:si>
  <x:si>
    <x:t xml:space="preserve">月度胜率</x:t>
  </x:si>
  <x:si>
    <x:t xml:space="preserve">近12月胜率（60%）+早期历史胜率（40%）
若早期不足6个月，早期子项直接给满分</x:t>
  </x:si>
  <x:si>
    <x:t xml:space="preserve">同上</x:t>
  </x:si>
  <x:si>
    <x:t xml:space="preserve">短期时间权重</x:t>
  </x:si>
  <x:si>
    <x:t xml:space="preserve">风险控制
（简化，不拆分）</x:t>
  </x:si>
  <x:si>
    <x:t xml:space="preserve">最大回撤</x:t>
  </x:si>
  <x:si>
    <x:t xml:space="preserve">直接用 MAX(DD_1y, DD_3y) 作为统一风险敞口</x:t>
  </x:si>
  <x:si>
    <x:t xml:space="preserve">覆盖近3年（含近期）</x:t>
  </x:si>
  <x:si>
    <x:t xml:space="preserve">长期时间权重</x:t>
  </x:si>
  <x:si>
    <x:t xml:space="preserve">风险调整收益
（核心指标）</x:t>
  </x:si>
  <x:si>
    <x:t xml:space="preserve">卡玛比率</x:t>
  </x:si>
  <x:si>
    <x:t xml:space="preserve">短期卡玛=R_1y/DD_1y（60%）
长期卡玛=R_early/DD_long（40%）</x:t>
  </x:si>
  <x:si>
    <x:t xml:space="preserve">短期60%
长期40%</x:t>
  </x:si>
  <x:si>
    <x:t xml:space="preserve">趋势差距阈值</x:t>
  </x:si>
  <x:si>
    <x:t xml:space="preserve">业绩一致性/趋势
（新增，替代原有重复项）</x:t>
  </x:si>
  <x:si>
    <x:t xml:space="preserve">收益趋势</x:t>
  </x:si>
  <x:si>
    <x:t xml:space="preserve">比较 R_1y 与 R_3y：近期不低于长期=100分；差距&lt;20个百分点=80分；否则=60分。成立不足3年改用 R_incep。</x:t>
  </x:si>
  <x:si>
    <x:t xml:space="preserve">—</x:t>
  </x:si>
  <x:si>
    <x:t xml:space="preserve">DD识别容差</x:t>
  </x:si>
  <x:si>
    <x:t xml:space="preserve">计算实现说明</x:t>
  </x:si>
  <x:si>
    <x:t xml:space="preserve">1</x:t>
  </x:si>
  <x:si>
    <x:t xml:space="preserve">2</x:t>
  </x:si>
  <x:si>
    <x:t xml:space="preserve">R_early：满3年时=((1+R_3y)^3/(1+R_1y))^(1/2)-1；不足3年且补录R_incep时，按存续期剔除最近1年后年化。</x:t>
  </x:si>
  <x:si>
    <x:t xml:space="preserve">3</x:t>
  </x:si>
  <x:si>
    <x:t xml:space="preserve">早期月胜率按源数据精度默认使用37期总观察、13期近期观察，早期为24期；参数可在右侧修改。</x:t>
  </x:si>
  <x:si>
    <x:t xml:space="preserve">4</x:t>
  </x:si>
  <x:si>
    <x:t xml:space="preserve">DD_1y由ABS(R_1y/近一年卡玛)反推。仅当DD_3y明显大于DD_1y时，才能识别早期DD_long；其余记录留空。</x:t>
  </x:si>
  <x:si>
    <x:t xml:space="preserve">5</x:t>
  </x:si>
  <x:si>
    <x:t xml:space="preserve">管理人规模按公示区间分档赋分；20-50亿元和50-100亿元均归入20-100亿元档，赋90分。</x:t>
  </x:si>
  <x:si>
    <x:t xml:space="preserve">6</x:t>
  </x:si>
  <x:si>
    <x:t xml:space="preserve">产品成立年限由原始数据中的产品成立日期计算。未匹配到协会产品页或管理人页的规模项留空，缺失数据不按0分处理。</x:t>
  </x:si>
  <x:si>
    <x:t xml:space="preserve">评分范围与数据口径</x:t>
  </x:si>
  <x:si>
    <x:t xml:space="preserve">协会信息</x:t>
  </x:si>
  <x:si>
    <x:t xml:space="preserve">私募基金指标计算明细</x:t>
  </x:si>
  <x:si>
    <x:t xml:space="preserve">大类权重</x:t>
  </x:si>
  <x:si>
    <x:t xml:space="preserve">计算</x:t>
  </x:si>
  <x:si>
    <x:t xml:space="preserve">大类权重×二级权重</x:t>
  </x:si>
  <x:si>
    <x:t xml:space="preserve">综合权重合计</x:t>
  </x:si>
  <x:si>
    <x:t xml:space="preserve">基础信息</x:t>
  </x:si>
  <x:si>
    <x:t xml:space="preserve">管理人及产品</x:t>
  </x:si>
  <x:si>
    <x:t xml:space="preserve">大类辅助、总分与排序</x:t>
  </x:si>
  <x:si>
    <x:t xml:space="preserve">基金业协会公示追溯</x:t>
  </x:si>
  <x:si>
    <x:t xml:space="preserve">私募基金大类指标赋分与排名</x:t>
  </x:si>
  <x:si>
    <x:t xml:space="preserve">基本信息</x:t>
  </x:si>
  <x:si>
    <x:t xml:space="preserve">二级指标得分</x:t>
  </x:si>
  <x:si>
    <x:t xml:space="preserve">大类指标得分</x:t>
  </x:si>
  <x:si>
    <x:t xml:space="preserve">总分、完整度与追溯</x:t>
  </x:si>
</x:sst>
</file>

<file path=xl/styles.xml><?xml version="1.0" encoding="utf-8"?>
<x:styleSheet xmlns:x="http://schemas.openxmlformats.org/spreadsheetml/2006/main">
  <x:numFmts count="12">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
    <x:numFmt numFmtId="177" formatCode="yyyy\-mm\-dd"/>
    <x:numFmt numFmtId="178" formatCode="0.0000"/>
    <x:numFmt numFmtId="200" formatCode="yyyy-mm-dd"/>
    <x:numFmt numFmtId="201" formatCode="0.000000"/>
    <x:numFmt numFmtId="202" formatCode="0.00%"/>
    <x:numFmt numFmtId="203" formatCode="0.0000%"/>
    <x:numFmt numFmtId="204" formatCode="0.00"/>
  </x:numFmts>
  <x:fonts count="32">
    <x:font>
      <x:sz val="11"/>
      <x:name val="Carlito"/>
    </x:font>
    <x:font>
      <x:b/>
      <x:sz val="11"/>
      <x:color rgb="FFFFFFFF"/>
      <x:name val="Carlito"/>
    </x:font>
    <x:font>
      <x:b/>
      <x:sz val="10"/>
      <x:color rgb="FFFFFFFF"/>
      <x:name val="Arial"/>
    </x:font>
    <x:font>
      <x:sz val="10"/>
      <x:color rgb="FF000000"/>
      <x:name val="Arial"/>
    </x:font>
    <x:font>
      <x:sz val="10"/>
      <x:color rgb="FF000000"/>
      <x:name val="宋体"/>
    </x:font>
    <x:font>
      <x:b/>
      <x:sz val="16"/>
      <x:color rgb="FF000000"/>
      <x:name val="Arial"/>
    </x:font>
    <x:font>
      <x:i/>
      <x:sz val="10"/>
      <x:color rgb="FF666666"/>
      <x:name val="Arial"/>
    </x:font>
    <x:font>
      <x:sz val="10"/>
      <x:color rgb="FF008000"/>
      <x:name val="Arial"/>
    </x:font>
    <x:font>
      <x:b/>
      <x:sz val="10"/>
      <x:color rgb="FF000000"/>
      <x:name val="Arial"/>
    </x:font>
    <x:font>
      <x:sz val="10"/>
      <x:color rgb="FF0000FF"/>
      <x:name val="Arial"/>
    </x:font>
    <x:font>
      <x:b/>
      <x:sz val="10"/>
      <x:color rgb="FF1F4E78"/>
      <x:name val="Arial"/>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0"/>
      <x:name val="Arial"/>
    </x:font>
  </x:fonts>
  <x:fills count="45">
    <x:fill>
      <x:patternFill patternType="none"/>
    </x:fill>
    <x:fill>
      <x:patternFill patternType="gray125"/>
    </x:fill>
    <x:fill>
      <x:patternFill patternType="solid">
        <x:fgColor rgb="FF1F4E78"/>
      </x:patternFill>
    </x:fill>
    <x:fill>
      <x:patternFill patternType="solid">
        <x:fgColor rgb="FF404040"/>
      </x:patternFill>
    </x:fill>
    <x:fill>
      <x:patternFill patternType="solid">
        <x:fgColor rgb="FF2F75B5"/>
      </x:patternFill>
    </x:fill>
    <x:fill>
      <x:patternFill patternType="solid">
        <x:fgColor rgb="FF548235"/>
      </x:patternFill>
    </x:fill>
    <x:fill>
      <x:patternFill patternType="solid">
        <x:fgColor rgb="FF7F6000"/>
      </x:patternFill>
    </x:fill>
    <x:fill>
      <x:patternFill patternType="solid">
        <x:fgColor rgb="FF5B9BD5"/>
      </x:patternFill>
    </x:fill>
    <x:fill>
      <x:patternFill patternType="solid">
        <x:fgColor rgb="FFC55A11"/>
      </x:patternFill>
    </x:fill>
    <x:fill>
      <x:patternFill patternType="solid">
        <x:fgColor rgb="FF7030A0"/>
      </x:patternFill>
    </x:fill>
    <x:fill>
      <x:patternFill patternType="solid">
        <x:fgColor rgb="FFFFF2CC"/>
      </x:patternFill>
    </x:fill>
    <x:fill>
      <x:patternFill patternType="solid">
        <x:fgColor rgb="FFD9EA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404040"/>
      </x:patternFill>
    </x:fill>
    <x:fill>
      <x:patternFill patternType="solid">
        <x:fgColor rgb="FFF5F5F5"/>
      </x:patternFill>
    </x:fill>
  </x:fills>
  <x:borders count="16">
    <x:border/>
    <x:border>
      <x:left style="thin">
        <x:color rgb="FFFFFFFF"/>
      </x:left>
      <x:right style="thin">
        <x:color rgb="FFFFFFFF"/>
      </x:right>
      <x:top style="thin">
        <x:color rgb="FFFFFFFF"/>
      </x:top>
      <x:bottom style="thin">
        <x:color rgb="FFFFFFFF"/>
      </x:bottom>
    </x:border>
    <x:border>
      <x:bottom style="thin">
        <x:color rgb="FF1F4E78"/>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9E1F2"/>
      </x:left>
      <x:right style="thin">
        <x:color rgb="FFD9E1F2"/>
      </x:right>
      <x:top style="thin">
        <x:color rgb="FFD9E1F2"/>
      </x:top>
      <x:bottom style="thin">
        <x:color rgb="FFD9E1F2"/>
      </x:bottom>
    </x:border>
    <x:border>
      <x:bottom style="thin">
        <x:color rgb="FFD9E1F2"/>
      </x:bottom>
    </x:border>
    <x:border>
      <x:top style="thin">
        <x:color rgb="FFD9E1F2"/>
      </x:top>
      <x:bottom style="thin">
        <x:color rgb="FFD9E1F2"/>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11" fillId="0" borderId="0">
      <x:alignment vertical="center"/>
    </x:xf>
    <x:xf numFmtId="44" fontId="11" fillId="0" borderId="0">
      <x:alignment vertical="center"/>
    </x:xf>
    <x:xf numFmtId="9" fontId="11" fillId="0" borderId="0">
      <x:alignment vertical="center"/>
    </x:xf>
    <x:xf numFmtId="41" fontId="11" fillId="0" borderId="0">
      <x:alignment vertical="center"/>
    </x:xf>
    <x:xf numFmtId="42" fontId="11" fillId="0" borderId="0">
      <x:alignment vertical="center"/>
    </x:xf>
    <x:xf numFmtId="0" fontId="12" fillId="0" borderId="0">
      <x:alignment vertical="center"/>
    </x:xf>
    <x:xf numFmtId="0" fontId="13" fillId="0" borderId="0">
      <x:alignment vertical="center"/>
    </x:xf>
    <x:xf numFmtId="0" fontId="11" fillId="12" borderId="8">
      <x:alignment vertical="center"/>
    </x:xf>
    <x:xf numFmtId="0" fontId="14" fillId="0" borderId="0">
      <x:alignment vertical="center"/>
    </x:xf>
    <x:xf numFmtId="0" fontId="15" fillId="0" borderId="0">
      <x:alignment vertical="center"/>
    </x:xf>
    <x:xf numFmtId="0" fontId="16" fillId="0" borderId="0">
      <x:alignment vertical="center"/>
    </x:xf>
    <x:xf numFmtId="0" fontId="17" fillId="0" borderId="9">
      <x:alignment vertical="center"/>
    </x:xf>
    <x:xf numFmtId="0" fontId="18" fillId="0" borderId="9">
      <x:alignment vertical="center"/>
    </x:xf>
    <x:xf numFmtId="0" fontId="19" fillId="0" borderId="10">
      <x:alignment vertical="center"/>
    </x:xf>
    <x:xf numFmtId="0" fontId="19" fillId="0" borderId="0">
      <x:alignment vertical="center"/>
    </x:xf>
    <x:xf numFmtId="0" fontId="20" fillId="13" borderId="11">
      <x:alignment vertical="center"/>
    </x:xf>
    <x:xf numFmtId="0" fontId="21" fillId="14" borderId="12">
      <x:alignment vertical="center"/>
    </x:xf>
    <x:xf numFmtId="0" fontId="22" fillId="14" borderId="11">
      <x:alignment vertical="center"/>
    </x:xf>
    <x:xf numFmtId="0" fontId="23" fillId="15" borderId="13">
      <x:alignment vertical="center"/>
    </x:xf>
    <x:xf numFmtId="0" fontId="24" fillId="0" borderId="14">
      <x:alignment vertical="center"/>
    </x:xf>
    <x:xf numFmtId="0" fontId="25" fillId="0" borderId="15">
      <x:alignment vertical="center"/>
    </x:xf>
    <x:xf numFmtId="0" fontId="26" fillId="16" borderId="0">
      <x:alignment vertical="center"/>
    </x:xf>
    <x:xf numFmtId="0" fontId="27" fillId="17" borderId="0">
      <x:alignment vertical="center"/>
    </x:xf>
    <x:xf numFmtId="0" fontId="28" fillId="18" borderId="0">
      <x:alignment vertical="center"/>
    </x:xf>
    <x:xf numFmtId="0" fontId="29" fillId="19" borderId="0">
      <x:alignment vertical="center"/>
    </x:xf>
    <x:xf numFmtId="0" fontId="30" fillId="20" borderId="0">
      <x:alignment vertical="center"/>
    </x:xf>
    <x:xf numFmtId="0" fontId="30" fillId="21" borderId="0">
      <x:alignment vertical="center"/>
    </x:xf>
    <x:xf numFmtId="0" fontId="29" fillId="22" borderId="0">
      <x:alignment vertical="center"/>
    </x:xf>
    <x:xf numFmtId="0" fontId="29" fillId="23" borderId="0">
      <x:alignment vertical="center"/>
    </x:xf>
    <x:xf numFmtId="0" fontId="30" fillId="24" borderId="0">
      <x:alignment vertical="center"/>
    </x:xf>
    <x:xf numFmtId="0" fontId="30" fillId="25" borderId="0">
      <x:alignment vertical="center"/>
    </x:xf>
    <x:xf numFmtId="0" fontId="29" fillId="26" borderId="0">
      <x:alignment vertical="center"/>
    </x:xf>
    <x:xf numFmtId="0" fontId="29" fillId="27" borderId="0">
      <x:alignment vertical="center"/>
    </x:xf>
    <x:xf numFmtId="0" fontId="30" fillId="28" borderId="0">
      <x:alignment vertical="center"/>
    </x:xf>
    <x:xf numFmtId="0" fontId="30" fillId="29" borderId="0">
      <x:alignment vertical="center"/>
    </x:xf>
    <x:xf numFmtId="0" fontId="29" fillId="30" borderId="0">
      <x:alignment vertical="center"/>
    </x:xf>
    <x:xf numFmtId="0" fontId="29" fillId="31" borderId="0">
      <x:alignment vertical="center"/>
    </x:xf>
    <x:xf numFmtId="0" fontId="30" fillId="32" borderId="0">
      <x:alignment vertical="center"/>
    </x:xf>
    <x:xf numFmtId="0" fontId="30" fillId="33" borderId="0">
      <x:alignment vertical="center"/>
    </x:xf>
    <x:xf numFmtId="0" fontId="29" fillId="34" borderId="0">
      <x:alignment vertical="center"/>
    </x:xf>
    <x:xf numFmtId="0" fontId="29" fillId="35" borderId="0">
      <x:alignment vertical="center"/>
    </x:xf>
    <x:xf numFmtId="0" fontId="30" fillId="36" borderId="0">
      <x:alignment vertical="center"/>
    </x:xf>
    <x:xf numFmtId="0" fontId="30" fillId="37" borderId="0">
      <x:alignment vertical="center"/>
    </x:xf>
    <x:xf numFmtId="0" fontId="29" fillId="38" borderId="0">
      <x:alignment vertical="center"/>
    </x:xf>
    <x:xf numFmtId="0" fontId="29" fillId="39" borderId="0">
      <x:alignment vertical="center"/>
    </x:xf>
    <x:xf numFmtId="0" fontId="30" fillId="40" borderId="0">
      <x:alignment vertical="center"/>
    </x:xf>
    <x:xf numFmtId="0" fontId="30" fillId="41" borderId="0">
      <x:alignment vertical="center"/>
    </x:xf>
    <x:xf numFmtId="0" fontId="29" fillId="42" borderId="0">
      <x:alignment vertical="center"/>
    </x:xf>
    <x:xf numFmtId="0" fontId="0" fillId="0" borderId="0"/>
  </x:cellStyleXfs>
  <x:cellXfs count="92">
    <x:xf numFmtId="0" fontId="0" fillId="0" borderId="0" xfId="49"/>
    <x:xf numFmtId="0" fontId="0" fillId="0" borderId="0" xfId="0" applyAlignment="1"/>
    <x:xf numFmtId="0" fontId="1" fillId="2" borderId="0" xfId="0" applyFont="1" applyFill="1" applyAlignment="1">
      <x:alignment horizontal="center"/>
    </x:xf>
    <x:xf numFmtId="0" fontId="2" fillId="2" borderId="1" xfId="49" applyFont="1" applyFill="1" applyBorder="1" applyAlignment="1">
      <x:alignment horizontal="center" vertical="center" wrapText="1"/>
    </x:xf>
    <x:xf numFmtId="0" fontId="3" fillId="0" borderId="0" xfId="49" applyFont="1"/>
    <x:xf numFmtId="0" fontId="4" fillId="0" borderId="0" xfId="49" applyFont="1"/>
    <x:xf numFmtId="0" fontId="5" fillId="0" borderId="2" xfId="49" applyFont="1" applyBorder="1" applyAlignment="1">
      <x:alignment vertical="center"/>
    </x:xf>
    <x:xf numFmtId="0" fontId="6" fillId="0" borderId="0" xfId="49" applyFont="1"/>
    <x:xf numFmtId="0" fontId="2" fillId="3" borderId="1" xfId="49" applyFont="1" applyFill="1" applyBorder="1" applyAlignment="1">
      <x:alignment horizontal="center" vertical="center"/>
    </x:xf>
    <x:xf numFmtId="0" fontId="0" fillId="0" borderId="3" xfId="0" applyBorder="1" applyAlignment="1"/>
    <x:xf numFmtId="0" fontId="0" fillId="0" borderId="4" xfId="0" applyBorder="1" applyAlignment="1"/>
    <x:xf numFmtId="0" fontId="2" fillId="4" borderId="1" xfId="49" applyFont="1" applyFill="1" applyBorder="1" applyAlignment="1">
      <x:alignment horizontal="center" vertical="center"/>
    </x:xf>
    <x:xf numFmtId="0" fontId="2" fillId="5" borderId="1" xfId="49" applyFont="1" applyFill="1" applyBorder="1" applyAlignment="1">
      <x:alignment horizontal="center" vertical="center"/>
    </x:xf>
    <x:xf numFmtId="0" fontId="2" fillId="2" borderId="1" xfId="49" applyFont="1" applyFill="1" applyBorder="1" applyAlignment="1">
      <x:alignment horizontal="center" vertical="center"/>
    </x:xf>
    <x:xf numFmtId="0" fontId="2" fillId="3" borderId="1" xfId="49" applyFont="1" applyFill="1" applyBorder="1" applyAlignment="1">
      <x:alignment horizontal="center" vertical="center" wrapText="1"/>
    </x:xf>
    <x:xf numFmtId="0" fontId="7" fillId="0" borderId="0" xfId="49" applyFont="1"/>
    <x:xf numFmtId="2" fontId="7" fillId="0" borderId="0" xfId="49" applyNumberFormat="1" applyFont="1"/>
    <x:xf numFmtId="2" fontId="3" fillId="0" borderId="0" xfId="49" applyNumberFormat="1" applyFont="1"/>
    <x:xf numFmtId="176" fontId="7" fillId="0" borderId="0" xfId="49" applyNumberFormat="1" applyFont="1"/>
    <x:xf numFmtId="0" fontId="7" fillId="0" borderId="0" xfId="49" applyFont="1" applyAlignment="1">
      <x:alignment wrapText="1"/>
    </x:xf>
    <x:xf numFmtId="0" fontId="7" fillId="0" borderId="0" xfId="49" applyFont="1" applyAlignment="1">
      <x:alignment wrapText="1"/>
    </x:xf>
    <x:xf numFmtId="0" fontId="7" fillId="0" borderId="5" xfId="49" applyFont="1" applyBorder="1"/>
    <x:xf numFmtId="9" fontId="7" fillId="0" borderId="5" xfId="49" applyNumberFormat="1" applyFont="1" applyBorder="1"/>
    <x:xf numFmtId="176" fontId="7" fillId="0" borderId="5" xfId="49" applyNumberFormat="1" applyFont="1" applyBorder="1"/>
    <x:xf numFmtId="176" fontId="3" fillId="0" borderId="5" xfId="49" applyNumberFormat="1" applyFont="1" applyBorder="1"/>
    <x:xf numFmtId="0" fontId="3" fillId="0" borderId="5" xfId="49" applyFont="1" applyBorder="1"/>
    <x:xf numFmtId="0" fontId="8" fillId="0" borderId="5" xfId="49" applyFont="1" applyBorder="1"/>
    <x:xf numFmtId="176" fontId="8" fillId="0" borderId="5" xfId="49" applyNumberFormat="1" applyFont="1" applyBorder="1"/>
    <x:xf numFmtId="0" fontId="2" fillId="6" borderId="1" xfId="49" applyFont="1" applyFill="1" applyBorder="1" applyAlignment="1">
      <x:alignment horizontal="center" vertical="center"/>
    </x:xf>
    <x:xf numFmtId="0" fontId="2" fillId="7" borderId="1" xfId="49" applyFont="1" applyFill="1" applyBorder="1" applyAlignment="1">
      <x:alignment horizontal="center" vertical="center"/>
    </x:xf>
    <x:xf numFmtId="0" fontId="2" fillId="8" borderId="1" xfId="49" applyFont="1" applyFill="1" applyBorder="1" applyAlignment="1">
      <x:alignment horizontal="center" vertical="center"/>
    </x:xf>
    <x:xf numFmtId="0" fontId="2" fillId="9" borderId="1" xfId="49" applyFont="1" applyFill="1" applyBorder="1" applyAlignment="1">
      <x:alignment horizontal="center" vertical="center"/>
    </x:xf>
    <x:xf numFmtId="177" fontId="7" fillId="0" borderId="0" xfId="49" applyNumberFormat="1" applyFont="1"/>
    <x:xf numFmtId="49" fontId="7" fillId="0" borderId="0" xfId="49" applyNumberFormat="1" applyFont="1" applyAlignment="1">
      <x:alignment wrapText="1"/>
    </x:xf>
    <x:xf numFmtId="2" fontId="7" fillId="0" borderId="0" xfId="49" applyNumberFormat="1" applyFont="1" applyAlignment="1">
      <x:alignment wrapText="1"/>
    </x:xf>
    <x:xf numFmtId="10" fontId="7" fillId="0" borderId="0" xfId="49" applyNumberFormat="1" applyFont="1"/>
    <x:xf numFmtId="10" fontId="9" fillId="10" borderId="0" xfId="49" applyNumberFormat="1" applyFont="1" applyFill="1"/>
    <x:xf numFmtId="10" fontId="3" fillId="0" borderId="0" xfId="49" applyNumberFormat="1" applyFont="1"/>
    <x:xf numFmtId="178" fontId="7" fillId="0" borderId="0" xfId="49" applyNumberFormat="1" applyFont="1"/>
    <x:xf numFmtId="176" fontId="3" fillId="0" borderId="0" xfId="49" applyNumberFormat="1" applyFont="1"/>
    <x:xf numFmtId="1" fontId="3" fillId="0" borderId="0" xfId="49" applyNumberFormat="1" applyFont="1"/>
    <x:xf numFmtId="0" fontId="3" fillId="0" borderId="0" xfId="49" applyFont="1" applyAlignment="1">
      <x:alignment wrapText="1"/>
    </x:xf>
    <x:xf numFmtId="1" fontId="7" fillId="0" borderId="0" xfId="49" applyNumberFormat="1" applyFont="1"/>
    <x:xf numFmtId="0" fontId="8" fillId="0" borderId="6" xfId="49" applyFont="1" applyBorder="1" applyAlignment="1">
      <x:alignment vertical="center" wrapText="1"/>
    </x:xf>
    <x:xf numFmtId="9" fontId="8" fillId="0" borderId="6" xfId="49" applyNumberFormat="1" applyFont="1" applyBorder="1" applyAlignment="1">
      <x:alignment horizontal="center" vertical="center" wrapText="1"/>
    </x:xf>
    <x:xf numFmtId="0" fontId="3" fillId="0" borderId="6" xfId="49" applyFont="1" applyBorder="1" applyAlignment="1">
      <x:alignment horizontal="center" vertical="center" wrapText="1"/>
    </x:xf>
    <x:xf numFmtId="9" fontId="3" fillId="0" borderId="6" xfId="49" applyNumberFormat="1" applyFont="1" applyBorder="1" applyAlignment="1">
      <x:alignment horizontal="center" vertical="center" wrapText="1"/>
    </x:xf>
    <x:xf numFmtId="0" fontId="3" fillId="0" borderId="6" xfId="49" applyFont="1" applyBorder="1" applyAlignment="1">
      <x:alignment vertical="center" wrapText="1"/>
    </x:xf>
    <x:xf numFmtId="176" fontId="3" fillId="0" borderId="6" xfId="49" applyNumberFormat="1" applyFont="1" applyBorder="1" applyAlignment="1">
      <x:alignment horizontal="center" vertical="center" wrapText="1"/>
    </x:xf>
    <x:xf numFmtId="1" fontId="9" fillId="10" borderId="5" xfId="49" applyNumberFormat="1" applyFont="1" applyFill="1" applyBorder="1"/>
    <x:xf numFmtId="0" fontId="3" fillId="0" borderId="7" xfId="49" applyFont="1" applyBorder="1" applyAlignment="1">
      <x:alignment horizontal="center" vertical="center" wrapText="1"/>
    </x:xf>
    <x:xf numFmtId="9" fontId="3" fillId="0" borderId="7" xfId="49" applyNumberFormat="1" applyFont="1" applyBorder="1" applyAlignment="1">
      <x:alignment horizontal="center" vertical="center" wrapText="1"/>
    </x:xf>
    <x:xf numFmtId="0" fontId="3" fillId="0" borderId="7" xfId="49" applyFont="1" applyBorder="1" applyAlignment="1">
      <x:alignment vertical="center" wrapText="1"/>
    </x:xf>
    <x:xf numFmtId="176" fontId="3" fillId="0" borderId="7" xfId="49" applyNumberFormat="1" applyFont="1" applyBorder="1" applyAlignment="1">
      <x:alignment horizontal="center" vertical="center" wrapText="1"/>
    </x:xf>
    <x:xf numFmtId="0" fontId="0" fillId="0" borderId="6" xfId="0" applyBorder="1" applyAlignment="1"/>
    <x:xf numFmtId="0" fontId="8" fillId="0" borderId="7" xfId="49" applyFont="1" applyBorder="1" applyAlignment="1">
      <x:alignment vertical="center" wrapText="1"/>
    </x:xf>
    <x:xf numFmtId="9" fontId="8" fillId="0" borderId="7" xfId="49" applyNumberFormat="1" applyFont="1" applyBorder="1" applyAlignment="1">
      <x:alignment horizontal="center" vertical="center" wrapText="1"/>
    </x:xf>
    <x:xf numFmtId="1" fontId="3" fillId="0" borderId="5" xfId="49" applyNumberFormat="1" applyFont="1" applyBorder="1"/>
    <x:xf numFmtId="9" fontId="9" fillId="10" borderId="5" xfId="49" applyNumberFormat="1" applyFont="1" applyFill="1" applyBorder="1"/>
    <x:xf numFmtId="10" fontId="9" fillId="10" borderId="5" xfId="49" applyNumberFormat="1" applyFont="1" applyFill="1" applyBorder="1"/>
    <x:xf numFmtId="0" fontId="10" fillId="11" borderId="0" xfId="49" applyFont="1" applyFill="1"/>
    <x:xf numFmtId="0" fontId="3" fillId="0" borderId="0" xfId="49" applyFont="1" applyAlignment="1">
      <x:alignment horizontal="center" vertical="top" wrapText="1"/>
    </x:xf>
    <x:xf numFmtId="0" fontId="3" fillId="0" borderId="0" xfId="49" applyFont="1" applyAlignment="1">
      <x:alignment vertical="top" wrapText="1"/>
    </x:xf>
    <x:xf numFmtId="0" fontId="3" fillId="0" borderId="6" xfId="49" applyFont="1" applyBorder="1" applyAlignment="1">
      <x:alignment horizontal="center" vertical="top" wrapText="1"/>
    </x:xf>
    <x:xf numFmtId="0" fontId="3" fillId="0" borderId="6" xfId="49" applyFont="1" applyBorder="1" applyAlignment="1">
      <x:alignment vertical="top" wrapText="1"/>
    </x:xf>
    <x:xf numFmtId="0" fontId="2" fillId="2" borderId="0" xfId="0" applyNumberFormat="1" applyFont="1" applyFill="1" applyBorder="1" applyAlignment="1">
      <x:alignment horizontal="center"/>
    </x:xf>
    <x:xf numFmtId="0" fontId="31" fillId="0" borderId="0" xfId="0" applyNumberFormat="1" applyFont="1" applyFill="1" applyBorder="1"/>
    <x:xf numFmtId="0" fontId="2" fillId="43" borderId="0" xfId="0" applyNumberFormat="1" applyFont="1" applyFill="1" applyBorder="1" applyAlignment="1">
      <x:alignment horizontal="center"/>
    </x:xf>
    <x:xf numFmtId="0" fontId="31" fillId="43" borderId="0" xfId="0" applyNumberFormat="1" applyFont="1" applyFill="1" applyBorder="1"/>
    <x:xf numFmtId="0" fontId="2" fillId="43" borderId="0" xfId="0" applyNumberFormat="1" applyFont="1" applyFill="1" applyBorder="1"/>
    <x:xf numFmtId="0" fontId="2" fillId="43" borderId="0" xfId="0" applyNumberFormat="1" applyFont="1" applyFill="1" applyBorder="1" applyAlignment="1">
      <x:alignment horizontal="center" wrapText="1"/>
    </x:xf>
    <x:xf numFmtId="0" fontId="2" fillId="43" borderId="0" xfId="0" applyNumberFormat="1" applyFont="1" applyFill="1" applyBorder="1" applyAlignment="1">
      <x:alignment wrapText="1"/>
    </x:xf>
    <x:xf numFmtId="200" fontId="31" fillId="0" borderId="0" xfId="0" applyNumberFormat="1" applyFont="1" applyFill="1" applyBorder="1"/>
    <x:xf numFmtId="201" fontId="31" fillId="0" borderId="0" xfId="0" applyNumberFormat="1" applyFont="1" applyFill="1" applyBorder="1"/>
    <x:xf numFmtId="202" fontId="31" fillId="0" borderId="0" xfId="0" applyNumberFormat="1" applyFont="1" applyFill="1" applyBorder="1"/>
    <x:xf numFmtId="178" fontId="31" fillId="0" borderId="0" xfId="0" applyNumberFormat="1" applyFont="1" applyFill="1" applyBorder="1"/>
    <x:xf numFmtId="203" fontId="31" fillId="0" borderId="0" xfId="0" applyNumberFormat="1" applyFont="1" applyFill="1" applyBorder="1"/>
    <x:xf numFmtId="204" fontId="31" fillId="0" borderId="0" xfId="0" applyNumberFormat="1" applyFont="1" applyFill="1" applyBorder="1"/>
    <x:xf numFmtId="176" fontId="31" fillId="0" borderId="0" xfId="0" applyNumberFormat="1" applyFont="1" applyFill="1" applyBorder="1"/>
    <x:xf numFmtId="0" fontId="2" fillId="44" borderId="0" xfId="0" applyNumberFormat="1" applyFont="1" applyFill="1" applyBorder="1" applyAlignment="1">
      <x:alignment wrapText="1"/>
    </x:xf>
    <x:xf numFmtId="0" fontId="31" fillId="44" borderId="0" xfId="0" applyNumberFormat="1" applyFont="1" applyFill="1" applyBorder="1"/>
    <x:xf numFmtId="204" fontId="31" fillId="44" borderId="0" xfId="0" applyNumberFormat="1" applyFont="1" applyFill="1" applyBorder="1"/>
    <x:xf numFmtId="176" fontId="31" fillId="44" borderId="0" xfId="0" applyNumberFormat="1" applyFont="1" applyFill="1" applyBorder="1"/>
    <x:xf numFmtId="200" fontId="3" fillId="0" borderId="0" xfId="0" applyNumberFormat="1" applyFont="1" applyFill="1" applyBorder="1"/>
    <x:xf numFmtId="202" fontId="3" fillId="0" borderId="0" xfId="0" applyNumberFormat="1" applyFont="1" applyFill="1" applyBorder="1"/>
    <x:xf numFmtId="178" fontId="3" fillId="0" borderId="0" xfId="0" applyNumberFormat="1" applyFont="1" applyFill="1" applyBorder="1"/>
    <x:xf numFmtId="200" fontId="0" fillId="0" borderId="0" xfId="0" applyNumberFormat="1" applyFont="1" applyFill="1" applyBorder="1"/>
    <x:xf numFmtId="202" fontId="0" fillId="0" borderId="0" xfId="0" applyNumberFormat="1" applyFont="1" applyFill="1" applyBorder="1"/>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wrapText="1"/>
    </x:xf>
    <x:xf numFmtId="0" fontId="31" fillId="0" borderId="0"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b/>
        <x:color rgb="FFC00000"/>
      </x:font>
      <x:fill>
        <x:patternFill>
          <x:bgColor rgb="FFFCE4D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9C0006"/>
      </x:font>
      <x:fill>
        <x:patternFill patternType="solid">
          <x:bgColor rgb="FFFFF0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bf404230fa46cd" /><Relationship Type="http://schemas.openxmlformats.org/officeDocument/2006/relationships/theme" Target="/xl/theme/theme1.xml" Id="R332f14f57da547a6" /><Relationship Type="http://schemas.openxmlformats.org/officeDocument/2006/relationships/sharedStrings" Target="/xl/sharedStrings.xml" Id="R68c7335fbfeb4f02" /><Relationship Type="http://schemas.openxmlformats.org/officeDocument/2006/relationships/worksheet" Target="/xl/worksheets/sheet1.xml" Id="R84312d0c65674d2d" /><Relationship Type="http://schemas.openxmlformats.org/officeDocument/2006/relationships/worksheet" Target="/xl/worksheets/sheet2.xml" Id="R76cbcb157bf84840" /><Relationship Type="http://schemas.openxmlformats.org/officeDocument/2006/relationships/worksheet" Target="/xl/worksheets/sheet3.xml" Id="R8faac8ee7d7448fa" /><Relationship Type="http://schemas.openxmlformats.org/officeDocument/2006/relationships/worksheet" Target="/xl/worksheets/sheet4.xml" Id="R1449d373ae1a4a48" /><Relationship Type="http://schemas.openxmlformats.org/officeDocument/2006/relationships/worksheet" Target="/xl/worksheets/sheet5.xml" Id="Rfe5675a260c54bbd" /><Relationship Type="http://schemas.openxmlformats.org/officeDocument/2006/relationships/worksheet" Target="/xl/worksheets/sheet6.xml" Id="Rd3c4613cf7924c7c" /><Relationship Type="http://schemas.openxmlformats.org/officeDocument/2006/relationships/worksheet" Target="/xl/worksheets/sheet7.xml" Id="Rde217aa28dbf4a70" /><Relationship Type="http://schemas.openxmlformats.org/officeDocument/2006/relationships/worksheet" Target="/xl/worksheets/sheet8.xml" Id="Rc0fed21e47014890" /><Relationship Type="http://schemas.openxmlformats.org/officeDocument/2006/relationships/worksheet" Target="/xl/worksheets/sheet9.xml" Id="R5a857f1ac5a0453a" /><Relationship Type="http://schemas.openxmlformats.org/officeDocument/2006/relationships/worksheet" Target="/xl/worksheets/sheet10.xml" Id="R04c63b58f68e44e0" /></Relationships>
</file>

<file path=xl/tables/table1.xml><?xml version="1.0" encoding="utf-8"?>
<x:table xmlns:x="http://schemas.openxmlformats.org/spreadsheetml/2006/main" id="1" name="CalculationDetailTable" displayName="CalculationDetailTable" ref="A16:BD219" headerRowCount="1" totalsRowCount="0" totalsRowShown="0">
  <x:tableColumns count="56">
    <x:tableColumn id="1" name="序号"/>
    <x:tableColumn id="2" name="产品名称"/>
    <x:tableColumn id="3" name="备案号"/>
    <x:tableColumn id="4" name="管理人"/>
    <x:tableColumn id="5" name="产品成立日期"/>
    <x:tableColumn id="6" name="产品成立年限（年）"/>
    <x:tableColumn id="7" name="入池状态"/>
    <x:tableColumn id="8" name="管理规模区间（亿元，协会）"/>
    <x:tableColumn id="9" name="管理人规模分"/>
    <x:tableColumn id="10" name="产品规模公示标识"/>
    <x:tableColumn id="11" name="产品规模分"/>
    <x:tableColumn id="12" name="成立年限分"/>
    <x:tableColumn id="13" name="R_1y"/>
    <x:tableColumn id="14" name="R_3y"/>
    <x:tableColumn id="15" name="R_incep（补录）"/>
    <x:tableColumn id="16" name="R_early"/>
    <x:tableColumn id="17" name="R_1y排名分"/>
    <x:tableColumn id="18" name="R_early排名分"/>
    <x:tableColumn id="19" name="年化收益分（可用折算）"/>
    <x:tableColumn id="20" name="近1年月胜率"/>
    <x:tableColumn id="21" name="近3年月胜率"/>
    <x:tableColumn id="22" name="早期月胜率"/>
    <x:tableColumn id="23" name="近1年月胜率分"/>
    <x:tableColumn id="24" name="早期月胜率分"/>
    <x:tableColumn id="25" name="月度胜率分（可用折算）"/>
    <x:tableColumn id="26" name="DD_1y"/>
    <x:tableColumn id="27" name="DD_3y"/>
    <x:tableColumn id="28" name="统一最大回撤"/>
    <x:tableColumn id="29" name="最大回撤分"/>
    <x:tableColumn id="30" name="短期卡玛"/>
    <x:tableColumn id="31" name="可识别DD_long"/>
    <x:tableColumn id="32" name="长期卡玛"/>
    <x:tableColumn id="33" name="短期卡玛分"/>
    <x:tableColumn id="34" name="长期卡玛分"/>
    <x:tableColumn id="35" name="卡玛比率分（可用折算）"/>
    <x:tableColumn id="36" name="趋势比较基准"/>
    <x:tableColumn id="37" name="收益趋势分"/>
    <x:tableColumn id="38" name="管理人及产品大类分"/>
    <x:tableColumn id="39" name="收益能力大类分"/>
    <x:tableColumn id="40" name="风险控制大类分"/>
    <x:tableColumn id="41" name="风险调整收益大类分"/>
    <x:tableColumn id="42" name="趋势大类分"/>
    <x:tableColumn id="43" name="有效二级权重"/>
    <x:tableColumn id="44" name="加权总分（不补缺）"/>
    <x:tableColumn id="45" name="可比总分（归一）"/>
    <x:tableColumn id="46" name="唯一排名"/>
    <x:tableColumn id="47" name="数据缺口"/>
    <x:tableColumn id="48" name="管理规模下限（亿元）"/>
    <x:tableColumn id="49" name="协会管理人全称"/>
    <x:tableColumn id="50" name="管理人信息更新时间"/>
    <x:tableColumn id="51" name="管理人公示URL"/>
    <x:tableColumn id="52" name="协会产品名称"/>
    <x:tableColumn id="53" name="基金信息更新时间"/>
    <x:tableColumn id="54" name="产品标识季度"/>
    <x:tableColumn id="55" name="基金公示URL"/>
    <x:tableColumn id="56" name="AMAC匹配状态"/>
  </x:tableColumns>
  <x:tableStyleInfo name="TableStyleMedium2" showFirstColumn="0" showLastColumn="0" showRowStripes="1" showColumnStripes="0"/>
</x:table>
</file>

<file path=xl/tables/table2.xml><?xml version="1.0" encoding="utf-8"?>
<x:table xmlns:x="http://schemas.openxmlformats.org/spreadsheetml/2006/main" id="2" name="CategoryScoreSummaryTable" displayName="CategoryScoreSummaryTable" ref="A5:X208" headerRowCount="1" totalsRowCount="0" totalsRowShown="0">
  <x:tableColumns count="24">
    <x:tableColumn id="1" name="排名"/>
    <x:tableColumn id="2" name="产品名称"/>
    <x:tableColumn id="3" name="备案号"/>
    <x:tableColumn id="4" name="管理人"/>
    <x:tableColumn id="5" name="入池状态"/>
    <x:tableColumn id="6" name="管理人规模分"/>
    <x:tableColumn id="7" name="产品规模分"/>
    <x:tableColumn id="8" name="成立年限分"/>
    <x:tableColumn id="9" name="年化收益分（可用折算）"/>
    <x:tableColumn id="10" name="月度胜率分（可用折算）"/>
    <x:tableColumn id="11" name="最大回撤分"/>
    <x:tableColumn id="12" name="卡玛比率分（可用折算）"/>
    <x:tableColumn id="13" name="收益趋势分"/>
    <x:tableColumn id="14" name="管理人及产品"/>
    <x:tableColumn id="15" name="收益能力"/>
    <x:tableColumn id="16" name="风险控制"/>
    <x:tableColumn id="17" name="风险调整收益"/>
    <x:tableColumn id="18" name="业绩一致性/趋势"/>
    <x:tableColumn id="19" name="有效权重"/>
    <x:tableColumn id="20" name="加权总分（不补缺）"/>
    <x:tableColumn id="21" name="可比总分"/>
    <x:tableColumn id="22" name="严格总分"/>
    <x:tableColumn id="23" name="数据缺口"/>
    <x:tableColumn id="24" name="明细相对行"/>
  </x:tableColumns>
  <x:tableStyleInfo name="TableStyleMedium2" showFirstColumn="0" showLastColumn="0" showRowStripes="1" showColumnStripes="0"/>
</x:table>
</file>

<file path=xl/tables/table3.xml><?xml version="1.0" encoding="utf-8"?>
<x:table xmlns:x="http://schemas.openxmlformats.org/spreadsheetml/2006/main" id="3" name="RawDataTable" displayName="RawDataTable" ref="A1:S204" headerRowCount="1" totalsRowCount="0" totalsRowShown="0">
  <x:tableColumns count="19">
    <x:tableColumn id="1" name="产品名称"/>
    <x:tableColumn id="2" name="备案号"/>
    <x:tableColumn id="3" name="一级策略"/>
    <x:tableColumn id="4" name="二级策略"/>
    <x:tableColumn id="5" name="管理人"/>
    <x:tableColumn id="6" name="成立日期"/>
    <x:tableColumn id="7" name="近一年年化收益"/>
    <x:tableColumn id="8" name="近三年年化收益"/>
    <x:tableColumn id="9" name="近三年月胜率"/>
    <x:tableColumn id="10" name="近一年月胜率"/>
    <x:tableColumn id="11" name="近三年最大回撤"/>
    <x:tableColumn id="12" name="近三年卡玛比率"/>
    <x:tableColumn id="13" name="近一年卡玛比率"/>
    <x:tableColumn id="14" name="基准指数"/>
    <x:tableColumn id="15" name="数据时间口径"/>
    <x:tableColumn id="16" name="协会核验日"/>
    <x:tableColumn id="17" name="成立以来年化收益（补算）"/>
    <x:tableColumn id="18" name="压缩包实际截止日"/>
    <x:tableColumn id="19" name="第二表近一年最大回撤"/>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4388df3e5d4a42" /></Relationships>
</file>

<file path=xl/worksheets/_rels/sheet3.xml.rels>&#65279;<?xml version="1.0" encoding="utf-8"?><Relationships xmlns="http://schemas.openxmlformats.org/package/2006/relationships"><Relationship Type="http://schemas.openxmlformats.org/officeDocument/2006/relationships/table" Target="/xl/tables/table2.xml" Id="Rd902de7c77fb43d1" /></Relationships>
</file>

<file path=xl/worksheets/_rels/sheet4.xml.rels>&#65279;<?xml version="1.0" encoding="utf-8"?><Relationships xmlns="http://schemas.openxmlformats.org/package/2006/relationships"><Relationship Type="http://schemas.openxmlformats.org/officeDocument/2006/relationships/table" Target="/xl/tables/table3.xml" Id="Rcf364a561c0f4557"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23" style="1" customWidth="1"/>
    <x:col min="2" max="2" width="11" style="1" customWidth="1"/>
    <x:col min="3" max="3" width="21" style="1" customWidth="1"/>
    <x:col min="4" max="4" width="12" style="1" customWidth="1"/>
    <x:col min="5" max="5" width="58" style="1" customWidth="1"/>
    <x:col min="6" max="6" width="25" style="1" customWidth="1"/>
    <x:col min="7" max="7" width="15" style="1" customWidth="1"/>
    <x:col min="8" max="8" width="3" style="1" customWidth="1"/>
    <x:col min="9" max="9" width="28" style="1" customWidth="1"/>
    <x:col min="10" max="10" width="13" style="1" customWidth="1"/>
  </x:cols>
  <x:sheetData>
    <x:row r="1" ht="28" customHeight="1">
      <x:c r="A1" s="6" t="s">
        <x:v>0</x:v>
      </x:c>
      <x:c r="B1" s="6"/>
      <x:c r="C1" s="6"/>
      <x:c r="D1" s="6"/>
      <x:c r="E1" s="6"/>
      <x:c r="F1" s="6"/>
      <x:c r="G1" s="6"/>
      <x:c r="H1" s="6"/>
      <x:c r="I1" s="6"/>
      <x:c r="J1" s="6"/>
    </x:row>
    <x:row r="3">
      <x:c r="A3" s="3" t="s">
        <x:v>1</x:v>
      </x:c>
      <x:c r="B3" s="3" t="s">
        <x:v>2</x:v>
      </x:c>
      <x:c r="C3" s="3" t="s">
        <x:v>3</x:v>
      </x:c>
      <x:c r="D3" s="3" t="s">
        <x:v>4</x:v>
      </x:c>
      <x:c r="E3" s="3" t="s">
        <x:v>5</x:v>
      </x:c>
      <x:c r="F3" s="3" t="s">
        <x:v>6</x:v>
      </x:c>
      <x:c r="G3" s="3" t="s">
        <x:v>7</x:v>
      </x:c>
      <x:c r="I3" s="14" t="s">
        <x:v>8</x:v>
      </x:c>
      <x:c r="J3" s="14" t="s">
        <x:v>9</x:v>
      </x:c>
    </x:row>
    <x:row r="4" ht="42" customHeight="1">
      <x:c r="A4" s="43" t="s">
        <x:v>10</x:v>
      </x:c>
      <x:c r="B4" s="44">
        <x:v>0.15</x:v>
      </x:c>
      <x:c r="C4" s="45" t="s">
        <x:v>11</x:v>
      </x:c>
      <x:c r="D4" s="46">
        <x:v>0.4</x:v>
      </x:c>
      <x:c r="E4" s="47" t="s">
        <x:v>12</x:v>
      </x:c>
      <x:c r="F4" s="45" t="s">
        <x:v>13</x:v>
      </x:c>
      <x:c r="G4" s="48" t="n">
        <x:f>B4*D4</x:f>
        <x:v>0.06</x:v>
      </x:c>
      <x:c r="I4" s="25" t="s">
        <x:v>14</x:v>
      </x:c>
      <x:c r="J4" s="49">
        <x:v>1000</x:v>
      </x:c>
    </x:row>
    <x:row r="5" ht="42" customHeight="1">
      <x:c r="C5" s="50" t="s">
        <x:v>15</x:v>
      </x:c>
      <x:c r="D5" s="51">
        <x:v>0.3</x:v>
      </x:c>
      <x:c r="E5" s="52" t="s">
        <x:v>16</x:v>
      </x:c>
      <x:c r="F5" s="50" t="s">
        <x:v>13</x:v>
      </x:c>
      <x:c r="G5" s="53" t="n">
        <x:f>$B$4*D5</x:f>
        <x:v>0.045</x:v>
      </x:c>
      <x:c r="I5" s="25" t="s">
        <x:v>17</x:v>
      </x:c>
      <x:c r="J5" s="49">
        <x:v>13</x:v>
      </x:c>
    </x:row>
    <x:row r="6" ht="42" customHeight="1">
      <x:c r="A6" s="54"/>
      <x:c r="B6" s="54"/>
      <x:c r="C6" s="50" t="s">
        <x:v>18</x:v>
      </x:c>
      <x:c r="D6" s="51">
        <x:v>0.3</x:v>
      </x:c>
      <x:c r="E6" s="52" t="s">
        <x:v>19</x:v>
      </x:c>
      <x:c r="F6" s="50" t="s">
        <x:v>20</x:v>
      </x:c>
      <x:c r="G6" s="53" t="n">
        <x:f>$B$4*D6</x:f>
        <x:v>0.045</x:v>
      </x:c>
      <x:c r="I6" s="25" t="s">
        <x:v>21</x:v>
      </x:c>
      <x:c r="J6" s="49">
        <x:v>37</x:v>
      </x:c>
    </x:row>
    <x:row r="7" ht="42" customHeight="1">
      <x:c r="A7" s="55" t="s">
        <x:v>22</x:v>
      </x:c>
      <x:c r="B7" s="56">
        <x:v>0.2</x:v>
      </x:c>
      <x:c r="C7" s="50" t="s">
        <x:v>23</x:v>
      </x:c>
      <x:c r="D7" s="51">
        <x:v>0.7</x:v>
      </x:c>
      <x:c r="E7" s="52" t="s">
        <x:v>24</x:v>
      </x:c>
      <x:c r="F7" s="50" t="s">
        <x:v>25</x:v>
      </x:c>
      <x:c r="G7" s="53" t="n">
        <x:f>B7*D7</x:f>
        <x:v>0.13999999999999999</x:v>
      </x:c>
      <x:c r="I7" s="25" t="s">
        <x:v>26</x:v>
      </x:c>
      <x:c r="J7" s="57" t="n">
        <x:f>J6-J5</x:f>
        <x:v>24</x:v>
      </x:c>
    </x:row>
    <x:row r="8" ht="42" customHeight="1">
      <x:c r="A8" s="54"/>
      <x:c r="B8" s="54"/>
      <x:c r="C8" s="50" t="s">
        <x:v>27</x:v>
      </x:c>
      <x:c r="D8" s="51">
        <x:v>0.3</x:v>
      </x:c>
      <x:c r="E8" s="52" t="s">
        <x:v>28</x:v>
      </x:c>
      <x:c r="F8" s="50" t="s">
        <x:v>29</x:v>
      </x:c>
      <x:c r="G8" s="53" t="n">
        <x:f>$B$7*D8</x:f>
        <x:v>0.06</x:v>
      </x:c>
      <x:c r="I8" s="25" t="s">
        <x:v>30</x:v>
      </x:c>
      <x:c r="J8" s="58">
        <x:v>0.6</x:v>
      </x:c>
    </x:row>
    <x:row r="9" ht="42" customHeight="1">
      <x:c r="A9" s="55" t="s">
        <x:v>31</x:v>
      </x:c>
      <x:c r="B9" s="56">
        <x:v>0.25</x:v>
      </x:c>
      <x:c r="C9" s="50" t="s">
        <x:v>32</x:v>
      </x:c>
      <x:c r="D9" s="51">
        <x:v>1</x:v>
      </x:c>
      <x:c r="E9" s="52" t="s">
        <x:v>33</x:v>
      </x:c>
      <x:c r="F9" s="50" t="s">
        <x:v>34</x:v>
      </x:c>
      <x:c r="G9" s="53" t="n">
        <x:f>B9*D9</x:f>
        <x:v>0.25</x:v>
      </x:c>
      <x:c r="I9" s="25" t="s">
        <x:v>35</x:v>
      </x:c>
      <x:c r="J9" s="58">
        <x:v>0.4</x:v>
      </x:c>
    </x:row>
    <x:row r="10" ht="42" customHeight="1">
      <x:c r="A10" s="55" t="s">
        <x:v>36</x:v>
      </x:c>
      <x:c r="B10" s="56">
        <x:v>0.3</x:v>
      </x:c>
      <x:c r="C10" s="50" t="s">
        <x:v>37</x:v>
      </x:c>
      <x:c r="D10" s="51">
        <x:v>1</x:v>
      </x:c>
      <x:c r="E10" s="52" t="s">
        <x:v>38</x:v>
      </x:c>
      <x:c r="F10" s="50" t="s">
        <x:v>39</x:v>
      </x:c>
      <x:c r="G10" s="53" t="n">
        <x:f>B10*D10</x:f>
        <x:v>0.3</x:v>
      </x:c>
      <x:c r="I10" s="25" t="s">
        <x:v>40</x:v>
      </x:c>
      <x:c r="J10" s="58">
        <x:v>0.2</x:v>
      </x:c>
    </x:row>
    <x:row r="11" ht="42" customHeight="1">
      <x:c r="A11" s="55" t="s">
        <x:v>41</x:v>
      </x:c>
      <x:c r="B11" s="56">
        <x:v>0.1</x:v>
      </x:c>
      <x:c r="C11" s="50" t="s">
        <x:v>42</x:v>
      </x:c>
      <x:c r="D11" s="51">
        <x:v>1</x:v>
      </x:c>
      <x:c r="E11" s="52" t="s">
        <x:v>43</x:v>
      </x:c>
      <x:c r="F11" s="50" t="s">
        <x:v>44</x:v>
      </x:c>
      <x:c r="G11" s="53" t="n">
        <x:f>B11*D11</x:f>
        <x:v>0.1</x:v>
      </x:c>
      <x:c r="I11" s="25" t="s">
        <x:v>45</x:v>
      </x:c>
      <x:c r="J11" s="59">
        <x:v>0.0001</x:v>
      </x:c>
    </x:row>
    <x:row r="14">
      <x:c r="A14" s="60" t="s">
        <x:v>46</x:v>
      </x:c>
    </x:row>
    <x:row r="15" ht="34" customHeight="1">
      <x:c r="A15" s="61" t="s">
        <x:v>47</x:v>
      </x:c>
      <x:c r="B15" s="62" t="str">
        <x:v>本版于2026-09-16核验119家管理人和3只新增基金公示，原有基金规模标识沿用2026-09-15记录。</x:v>
      </x:c>
    </x:row>
    <x:row r="16" ht="34" customHeight="1">
      <x:c r="A16" s="61" t="s">
        <x:v>48</x:v>
      </x:c>
      <x:c r="B16" s="62" t="s">
        <x:v>49</x:v>
      </x:c>
    </x:row>
    <x:row r="17" ht="34" customHeight="1">
      <x:c r="A17" s="61" t="s">
        <x:v>50</x:v>
      </x:c>
      <x:c r="B17" s="62" t="s">
        <x:v>51</x:v>
      </x:c>
    </x:row>
    <x:row r="18" ht="34" customHeight="1">
      <x:c r="A18" s="61" t="s">
        <x:v>52</x:v>
      </x:c>
      <x:c r="B18" s="62" t="s">
        <x:v>53</x:v>
      </x:c>
    </x:row>
    <x:row r="19" ht="34" customHeight="1">
      <x:c r="A19" s="61" t="s">
        <x:v>54</x:v>
      </x:c>
      <x:c r="B19" s="62" t="s">
        <x:v>55</x:v>
      </x:c>
    </x:row>
    <x:row r="20" ht="34" customHeight="1">
      <x:c r="A20" s="63" t="s">
        <x:v>56</x:v>
      </x:c>
      <x:c r="B20" s="64" t="s">
        <x:v>57</x:v>
      </x:c>
      <x:c r="C20" s="54"/>
      <x:c r="D20" s="54"/>
      <x:c r="E20" s="54"/>
      <x:c r="F20" s="54"/>
      <x:c r="G20" s="54"/>
    </x:row>
    <x:row r="23" ht="35" customHeight="1">
      <x:c r="A23" t="s">
        <x:v>58</x:v>
      </x:c>
      <x:c r="B23" t="str">
        <x:v>筛选200只加新增3只，共203只，按最终名单重算赋分。详细口径见下方说明。</x:v>
      </x:c>
      <x:c r="I23" t="str">
        <x:v>本版评分日</x:v>
      </x:c>
      <x:c r="J23" s="86" t="n">
        <x:v>46281</x:v>
      </x:c>
    </x:row>
    <x:row r="24" ht="35" customHeight="1">
      <x:c r="A24" t="s">
        <x:v>59</x:v>
      </x:c>
      <x:c r="B24" t="str">
        <x:v>管理人规模、公示原文和风险分类见协会公示；保持原有10个工作表。</x:v>
      </x:c>
      <x:c r="I24" t="str">
        <x:v>边界最大滞后天数</x:v>
      </x:c>
      <x:c r="J24" t="n">
        <x:v>14</x:v>
      </x:c>
    </x:row>
    <x:row r="25" ht="35" customHeight="1">
      <x:c r="I25" t="str">
        <x:v>年化天数</x:v>
      </x:c>
      <x:c r="J25" t="n">
        <x:v>365</x:v>
      </x:c>
    </x:row>
    <x:row r="27" ht="46" customHeight="1">
      <x:c r="A27" s="91" t="str">
        <x:v>本版范围</x:v>
      </x:c>
      <x:c r="B27" s="91" t="str">
        <x:v>原表保留200只，加上压缩包新增3只，共203只。新增：常行7号、深度梦扬量化套利0号、滨风风云瑞丰1号。</x:v>
      </x:c>
      <x:c r="C27" s="91"/>
      <x:c r="D27" s="91"/>
      <x:c r="E27" s="91"/>
      <x:c r="F27" s="91"/>
      <x:c r="G27" s="91"/>
      <x:c r="H27" s="91"/>
    </x:row>
    <x:row r="28" ht="46" customHeight="1">
      <x:c r="A28" s="91" t="str">
        <x:v>近三年筛选</x:v>
      </x:c>
      <x:c r="B28" s="91" t="str">
        <x:v>近三年收益和最大回撤均有数值才保留，真实0值保留。压缩包内不符合条件的文件列在最新核对M:T列，不纳入评分。</x:v>
      </x:c>
      <x:c r="C28" s="91"/>
      <x:c r="D28" s="91"/>
      <x:c r="E28" s="91"/>
      <x:c r="F28" s="91"/>
      <x:c r="G28" s="91"/>
      <x:c r="H28" s="91"/>
    </x:row>
    <x:row r="29" ht="46" customHeight="1">
      <x:c r="A29" s="91" t="str">
        <x:v>评分口径</x:v>
      </x:c>
      <x:c r="B29" s="91" t="str">
        <x:v>以203只作为最终排名样本，按模板二级权重和时间权重重算。因排名样本改变，原有产品分数也随之更新。</x:v>
      </x:c>
      <x:c r="C29" s="91"/>
      <x:c r="D29" s="91"/>
      <x:c r="E29" s="91"/>
      <x:c r="F29" s="91"/>
      <x:c r="G29" s="91"/>
      <x:c r="H29" s="91"/>
    </x:row>
    <x:row r="30" ht="46" customHeight="1">
      <x:c r="A30" s="91" t="str">
        <x:v>净值核算</x:v>
      </x:c>
      <x:c r="B30" s="91" t="str">
        <x:v>8只产品共5000条复权净值，按各自最新日期核算1年、3年、成立以来指标；可覆盖完整窗口的净值数据优先。</x:v>
      </x:c>
      <x:c r="C30" s="91"/>
      <x:c r="D30" s="91"/>
      <x:c r="E30" s="91"/>
      <x:c r="F30" s="91"/>
      <x:c r="G30" s="91"/>
      <x:c r="H30" s="91"/>
    </x:row>
    <x:row r="31" ht="46" customHeight="1">
      <x:c r="A31" s="91" t="str">
        <x:v>日期与公式</x:v>
      </x:c>
      <x:c r="B31" s="91" t="str">
        <x:v>实际取值日期及公式见补数计算；月度观察在同页T:AE列。边界取目标日前最近净值，最多滞后14天，不插值。</x:v>
      </x:c>
      <x:c r="C31" s="91"/>
      <x:c r="D31" s="91"/>
      <x:c r="E31" s="91"/>
      <x:c r="F31" s="91"/>
      <x:c r="G31" s="91"/>
      <x:c r="H31" s="91"/>
    </x:row>
    <x:row r="32" ht="46" customHeight="1">
      <x:c r="A32" s="91" t="str">
        <x:v>月度观察</x:v>
      </x:c>
      <x:c r="B32" s="91" t="str">
        <x:v>遵循模板13期近期、37期总观察、24期早期的口径。首尾可能含部分月份。</x:v>
      </x:c>
      <x:c r="C32" s="91"/>
      <x:c r="D32" s="91"/>
      <x:c r="E32" s="91"/>
      <x:c r="F32" s="91"/>
      <x:c r="G32" s="91"/>
      <x:c r="H32" s="91"/>
    </x:row>
    <x:row r="33" ht="46" customHeight="1">
      <x:c r="A33" s="91" t="str">
        <x:v>成立以来</x:v>
      </x:c>
      <x:c r="B33" s="91" t="str">
        <x:v>仅从产品成立日覆盖且超过1年的净值才年化；没有净值的指标继续保留原表数据，不补造缺失值。</x:v>
      </x:c>
      <x:c r="C33" s="91"/>
      <x:c r="D33" s="91"/>
      <x:c r="E33" s="91"/>
      <x:c r="F33" s="91"/>
      <x:c r="G33" s="91"/>
      <x:c r="H33" s="91"/>
    </x:row>
    <x:row r="34" ht="46" customHeight="1">
      <x:c r="A34" s="91" t="str">
        <x:v>公示核验</x:v>
      </x:c>
      <x:c r="B34" s="91" t="str">
        <x:v>119家管理人公示及3只新增基金公示于2026-09-16重新核验。原有产品公示标识沿用9月15日记录，未匹配项留空。</x:v>
      </x:c>
      <x:c r="C34" s="91"/>
      <x:c r="D34" s="91"/>
      <x:c r="E34" s="91"/>
      <x:c r="F34" s="91"/>
      <x:c r="G34" s="91"/>
      <x:c r="H34" s="91"/>
    </x:row>
    <x:row r="35" ht="46" customHeight="1">
      <x:c r="A35" s="91" t="str">
        <x:v>规模边界</x:v>
      </x:c>
      <x:c r="B35" s="91" t="str">
        <x:v>按协会公示区间：0–5亿元为小规模，5–10亿元及以上为大规模。区间公示无法单独确认恰好5亿元。</x:v>
      </x:c>
      <x:c r="C35" s="91"/>
      <x:c r="D35" s="91"/>
      <x:c r="E35" s="91"/>
      <x:c r="F35" s="91"/>
      <x:c r="G35" s="91"/>
      <x:c r="H35" s="91"/>
    </x:row>
    <x:row r="36" ht="46" customHeight="1">
      <x:c r="A36" s="91" t="str">
        <x:v>处罚警示</x:v>
      </x:c>
      <x:c r="B36" s="91" t="str">
        <x:v>区分协会纪律处分、监管警示函、责令改正、一般提示；管理人层面记录不表述为产品自身被处罚，原文和链接见协会公示。</x:v>
      </x:c>
      <x:c r="C36" s="91"/>
      <x:c r="D36" s="91"/>
      <x:c r="E36" s="91"/>
      <x:c r="F36" s="91"/>
      <x:c r="G36" s="91"/>
      <x:c r="H36" s="91"/>
    </x:row>
    <x:row r="37" ht="46" customHeight="1">
      <x:c r="A37" s="91" t="str">
        <x:v>严格与可比</x:v>
      </x:c>
      <x:c r="B37" s="91" t="str">
        <x:v>有效权重100%时展示严格总分；可比总分按有效权重归一。无法识别早期最大回撤时，DD_long与长期卡玛留空。</x:v>
      </x:c>
      <x:c r="C37" s="91"/>
      <x:c r="D37" s="91"/>
      <x:c r="E37" s="91"/>
      <x:c r="F37" s="91"/>
      <x:c r="G37" s="91"/>
      <x:c r="H37" s="91"/>
    </x:row>
  </x:sheetData>
  <x:mergeCells>
    <x:mergeCell ref="A14:G14"/>
    <x:mergeCell ref="B15:G15"/>
    <x:mergeCell ref="B16:G16"/>
    <x:mergeCell ref="B17:G17"/>
    <x:mergeCell ref="B18:G18"/>
    <x:mergeCell ref="B19:G19"/>
    <x:mergeCell ref="B20:G20"/>
    <x:mergeCell ref="A4:A6"/>
    <x:mergeCell ref="A7:A8"/>
    <x:mergeCell ref="B4:B6"/>
    <x:mergeCell ref="B7:B8"/>
    <x:mergeCell ref="B27:H27"/>
    <x:mergeCell ref="B28:H28"/>
    <x:mergeCell ref="B29:H29"/>
    <x:mergeCell ref="B30:H30"/>
    <x:mergeCell ref="B31:H31"/>
    <x:mergeCell ref="B32:H32"/>
    <x:mergeCell ref="B33:H33"/>
    <x:mergeCell ref="B34:H34"/>
    <x:mergeCell ref="B35:H35"/>
    <x:mergeCell ref="B36:H36"/>
    <x:mergeCell ref="B37:H37"/>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16" topLeftCell="E17" activePane="bottomRight" state="frozen"/>
    </x:sheetView>
  </x:sheetViews>
  <x:sheetFormatPr defaultColWidth="9" defaultRowHeight="14.25"/>
  <x:cols>
    <x:col min="1" max="1" width="18" style="1" customWidth="1"/>
    <x:col min="2" max="2" width="25" style="1" customWidth="1"/>
    <x:col min="3" max="3" width="13" style="1" customWidth="1"/>
    <x:col min="4" max="4" width="21" style="1" customWidth="1"/>
    <x:col min="5" max="5" width="13" style="1" customWidth="1"/>
    <x:col min="6" max="6" width="12" style="1" customWidth="1"/>
    <x:col min="7" max="7" width="11" style="1" customWidth="1"/>
    <x:col min="8" max="8" width="18" style="1" customWidth="1"/>
    <x:col min="9" max="9" width="14" style="1" customWidth="1"/>
    <x:col min="10" max="10" width="18" style="1" customWidth="1"/>
    <x:col min="11" max="12" width="13" style="1" customWidth="1"/>
    <x:col min="13" max="14" width="12" style="1" customWidth="1"/>
    <x:col min="15" max="15" width="15" style="1" customWidth="1"/>
    <x:col min="16" max="16" width="12" style="1" customWidth="1"/>
    <x:col min="17" max="17" width="14" style="1" customWidth="1"/>
    <x:col min="18" max="18" width="15" style="1" customWidth="1"/>
    <x:col min="19" max="22" width="14" style="1" customWidth="1"/>
    <x:col min="23" max="23" width="16" style="1" customWidth="1"/>
    <x:col min="24" max="24" width="15" style="1" customWidth="1"/>
    <x:col min="25" max="25" width="14" style="1" customWidth="1"/>
    <x:col min="26" max="27" width="12" style="1" customWidth="1"/>
    <x:col min="28" max="28" width="16" style="1" customWidth="1"/>
    <x:col min="29" max="29" width="14" style="1" customWidth="1"/>
    <x:col min="30" max="30" width="13" style="1" customWidth="1"/>
    <x:col min="31" max="31" width="16" style="1" customWidth="1"/>
    <x:col min="32" max="32" width="13" style="1" customWidth="1"/>
    <x:col min="33" max="35" width="14" style="1" customWidth="1"/>
    <x:col min="36" max="36" width="15" style="1" customWidth="1"/>
    <x:col min="37" max="37" width="14" style="1" customWidth="1"/>
    <x:col min="38" max="38" width="19" style="1" customWidth="1"/>
    <x:col min="39" max="40" width="17" style="1" customWidth="1"/>
    <x:col min="41" max="41" width="20" style="1" customWidth="1"/>
    <x:col min="42" max="42" width="14" style="1" customWidth="1"/>
    <x:col min="43" max="43" width="15" style="1" customWidth="1"/>
    <x:col min="44" max="44" width="18" style="1" customWidth="1"/>
    <x:col min="45" max="45" width="17" style="1" customWidth="1"/>
    <x:col min="46" max="46" width="11" style="1" customWidth="1"/>
    <x:col min="47" max="47" width="50" style="1" customWidth="1"/>
    <x:col min="48" max="48" width="15" style="1" customWidth="1"/>
    <x:col min="49" max="49" width="28" style="1" customWidth="1"/>
    <x:col min="50" max="50" width="16" style="1" customWidth="1"/>
    <x:col min="51" max="51" width="45" style="1" customWidth="1"/>
    <x:col min="52" max="52" width="28" style="1" customWidth="1"/>
    <x:col min="53" max="53" width="16" style="1" customWidth="1"/>
    <x:col min="54" max="54" width="18" style="1" customWidth="1"/>
    <x:col min="55" max="55" width="45" style="1" customWidth="1"/>
    <x:col min="56" max="56" width="28" style="1" customWidth="1"/>
  </x:cols>
  <x:sheetData>
    <x:row r="1" ht="20.25" customHeight="1">
      <x:c r="A1" s="6" t="s">
        <x:v>60</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c r="AS1" s="6"/>
      <x:c r="AT1" s="6"/>
      <x:c r="AU1" s="6"/>
      <x:c r="AV1" s="6"/>
      <x:c r="AW1" s="6"/>
      <x:c r="AX1" s="6"/>
      <x:c r="AY1" s="6"/>
      <x:c r="AZ1" s="6"/>
      <x:c r="BA1" s="6"/>
      <x:c r="BB1" s="6"/>
      <x:c r="BC1" s="6"/>
      <x:c r="BD1" s="6"/>
    </x:row>
    <x:row r="2">
      <x:c r="A2" s="7" t="str">
        <x:v>203只产品，按模板公式重算；新增3只。原始数据与净值补算逐项关联，协会追溯字段已核验。</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c r="AO2" s="7"/>
      <x:c r="AP2" s="7"/>
      <x:c r="AQ2" s="7"/>
      <x:c r="AR2" s="7"/>
      <x:c r="AS2" s="7"/>
      <x:c r="AT2" s="7"/>
      <x:c r="AU2" s="7"/>
      <x:c r="AV2" s="7"/>
      <x:c r="AW2" s="7"/>
      <x:c r="AX2" s="7"/>
      <x:c r="AY2" s="7"/>
      <x:c r="AZ2" s="7"/>
      <x:c r="BA2" s="7"/>
      <x:c r="BB2" s="7"/>
      <x:c r="BC2" s="7"/>
      <x:c r="BD2" s="7"/>
    </x:row>
    <x:row r="4">
      <x:c r="A4" s="3" t="s">
        <x:v>1</x:v>
      </x:c>
      <x:c r="B4" s="3" t="s">
        <x:v>61</x:v>
      </x:c>
      <x:c r="C4" s="3" t="s">
        <x:v>3</x:v>
      </x:c>
      <x:c r="D4" s="3" t="s">
        <x:v>4</x:v>
      </x:c>
      <x:c r="E4" s="3" t="s">
        <x:v>7</x:v>
      </x:c>
      <x:c r="F4" s="3" t="s">
        <x:v>62</x:v>
      </x:c>
    </x:row>
    <x:row r="5">
      <x:c r="A5" s="21" t="str">
        <x:f>'sheet1-指标体系'!A4</x:f>
        <x:v>管理人及产品
（不变）</x:v>
      </x:c>
      <x:c r="B5" s="22" t="n">
        <x:f>'sheet1-指标体系'!B4</x:f>
        <x:v>0.15</x:v>
      </x:c>
      <x:c r="C5" s="21" t="str">
        <x:f>'sheet1-指标体系'!C4</x:f>
        <x:v>管理人规模</x:v>
      </x:c>
      <x:c r="D5" s="23" t="n">
        <x:f>'sheet1-指标体系'!D4</x:f>
        <x:v>0.4</x:v>
      </x:c>
      <x:c r="E5" s="24" t="n">
        <x:f t="shared" ref="E5:E12" si="0">B5*D5</x:f>
        <x:v>0.06</x:v>
      </x:c>
      <x:c r="F5" s="25" t="s">
        <x:v>63</x:v>
      </x:c>
    </x:row>
    <x:row r="6">
      <x:c r="A6" s="21" t="str">
        <x:f>'sheet1-指标体系'!A4</x:f>
        <x:v>管理人及产品
（不变）</x:v>
      </x:c>
      <x:c r="B6" s="22" t="n">
        <x:f>'sheet1-指标体系'!B4</x:f>
        <x:v>0.15</x:v>
      </x:c>
      <x:c r="C6" s="21" t="str">
        <x:f>'sheet1-指标体系'!C5</x:f>
        <x:v>产品规模</x:v>
      </x:c>
      <x:c r="D6" s="23" t="n">
        <x:f>'sheet1-指标体系'!D5</x:f>
        <x:v>0.3</x:v>
      </x:c>
      <x:c r="E6" s="24">
        <x:f t="shared" si="0"/>
        <x:v>0.045</x:v>
      </x:c>
      <x:c r="F6" s="25" t="s">
        <x:v>63</x:v>
      </x:c>
    </x:row>
    <x:row r="7">
      <x:c r="A7" s="21" t="str">
        <x:f>'sheet1-指标体系'!A4</x:f>
        <x:v>管理人及产品
（不变）</x:v>
      </x:c>
      <x:c r="B7" s="22" t="n">
        <x:f>'sheet1-指标体系'!B4</x:f>
        <x:v>0.15</x:v>
      </x:c>
      <x:c r="C7" s="21" t="str">
        <x:f>'sheet1-指标体系'!C6</x:f>
        <x:v>成立年限</x:v>
      </x:c>
      <x:c r="D7" s="23" t="n">
        <x:f>'sheet1-指标体系'!D6</x:f>
        <x:v>0.3</x:v>
      </x:c>
      <x:c r="E7" s="24">
        <x:f t="shared" si="0"/>
        <x:v>0.045</x:v>
      </x:c>
      <x:c r="F7" s="25" t="s">
        <x:v>63</x:v>
      </x:c>
    </x:row>
    <x:row r="8">
      <x:c r="A8" s="21" t="str">
        <x:f>'sheet1-指标体系'!A7</x:f>
        <x:v>收益能力
（彻底消除重叠）</x:v>
      </x:c>
      <x:c r="B8" s="22" t="n">
        <x:f>'sheet1-指标体系'!B7</x:f>
        <x:v>0.2</x:v>
      </x:c>
      <x:c r="C8" s="21" t="str">
        <x:f>'sheet1-指标体系'!C7</x:f>
        <x:v>年化收益</x:v>
      </x:c>
      <x:c r="D8" s="23" t="n">
        <x:f>'sheet1-指标体系'!D7</x:f>
        <x:v>0.7</x:v>
      </x:c>
      <x:c r="E8" s="24">
        <x:f t="shared" si="0"/>
        <x:v>0.14</x:v>
      </x:c>
      <x:c r="F8" s="25" t="s">
        <x:v>63</x:v>
      </x:c>
    </x:row>
    <x:row r="9">
      <x:c r="A9" s="21" t="str">
        <x:f>'sheet1-指标体系'!A7</x:f>
        <x:v>收益能力
（彻底消除重叠）</x:v>
      </x:c>
      <x:c r="B9" s="22" t="n">
        <x:f>'sheet1-指标体系'!B7</x:f>
        <x:v>0.2</x:v>
      </x:c>
      <x:c r="C9" s="21" t="str">
        <x:f>'sheet1-指标体系'!C8</x:f>
        <x:v>月度胜率</x:v>
      </x:c>
      <x:c r="D9" s="23" t="n">
        <x:f>'sheet1-指标体系'!D8</x:f>
        <x:v>0.3</x:v>
      </x:c>
      <x:c r="E9" s="24">
        <x:f t="shared" si="0"/>
        <x:v>0.06</x:v>
      </x:c>
      <x:c r="F9" s="25" t="s">
        <x:v>63</x:v>
      </x:c>
    </x:row>
    <x:row r="10">
      <x:c r="A10" s="21" t="str">
        <x:f>'sheet1-指标体系'!A9</x:f>
        <x:v>风险控制
（简化，不拆分）</x:v>
      </x:c>
      <x:c r="B10" s="22" t="n">
        <x:f>'sheet1-指标体系'!B9</x:f>
        <x:v>0.25</x:v>
      </x:c>
      <x:c r="C10" s="21" t="str">
        <x:f>'sheet1-指标体系'!C9</x:f>
        <x:v>最大回撤</x:v>
      </x:c>
      <x:c r="D10" s="23" t="n">
        <x:f>'sheet1-指标体系'!D9</x:f>
        <x:v>1</x:v>
      </x:c>
      <x:c r="E10" s="24">
        <x:f t="shared" si="0"/>
        <x:v>0.25</x:v>
      </x:c>
      <x:c r="F10" s="25" t="s">
        <x:v>63</x:v>
      </x:c>
    </x:row>
    <x:row r="11">
      <x:c r="A11" s="21" t="str">
        <x:f>'sheet1-指标体系'!A10</x:f>
        <x:v>风险调整收益
（核心指标）</x:v>
      </x:c>
      <x:c r="B11" s="22" t="n">
        <x:f>'sheet1-指标体系'!B10</x:f>
        <x:v>0.3</x:v>
      </x:c>
      <x:c r="C11" s="21" t="str">
        <x:f>'sheet1-指标体系'!C10</x:f>
        <x:v>卡玛比率</x:v>
      </x:c>
      <x:c r="D11" s="23" t="n">
        <x:f>'sheet1-指标体系'!D10</x:f>
        <x:v>1</x:v>
      </x:c>
      <x:c r="E11" s="24">
        <x:f t="shared" si="0"/>
        <x:v>0.3</x:v>
      </x:c>
      <x:c r="F11" s="25" t="s">
        <x:v>63</x:v>
      </x:c>
    </x:row>
    <x:row r="12">
      <x:c r="A12" s="21" t="str">
        <x:f>'sheet1-指标体系'!A11</x:f>
        <x:v>业绩一致性/趋势
（新增，替代原有重复项）</x:v>
      </x:c>
      <x:c r="B12" s="22" t="n">
        <x:f>'sheet1-指标体系'!B11</x:f>
        <x:v>0.1</x:v>
      </x:c>
      <x:c r="C12" s="21" t="str">
        <x:f>'sheet1-指标体系'!C11</x:f>
        <x:v>收益趋势</x:v>
      </x:c>
      <x:c r="D12" s="23" t="n">
        <x:f>'sheet1-指标体系'!D11</x:f>
        <x:v>1</x:v>
      </x:c>
      <x:c r="E12" s="24">
        <x:f t="shared" si="0"/>
        <x:v>0.1</x:v>
      </x:c>
      <x:c r="F12" s="25" t="s">
        <x:v>63</x:v>
      </x:c>
    </x:row>
    <x:row r="13">
      <x:c r="A13" s="25"/>
      <x:c r="B13" s="25"/>
      <x:c r="C13" s="26" t="s">
        <x:v>64</x:v>
      </x:c>
      <x:c r="D13" s="27"/>
      <x:c r="E13" s="27" t="n">
        <x:f>SUM(E5:E12)</x:f>
        <x:v>1.0000000000000002</x:v>
      </x:c>
      <x:c r="F13" s="25"/>
    </x:row>
    <x:row r="15" ht="34" customHeight="1">
      <x:c r="A15" s="8" t="s">
        <x:v>65</x:v>
      </x:c>
      <x:c r="B15" s="9"/>
      <x:c r="C15" s="9"/>
      <x:c r="D15" s="9"/>
      <x:c r="E15" s="9"/>
      <x:c r="F15" s="9"/>
      <x:c r="G15" s="10"/>
      <x:c r="H15" s="28" t="s">
        <x:v>66</x:v>
      </x:c>
      <x:c r="I15" s="9"/>
      <x:c r="J15" s="9"/>
      <x:c r="K15" s="9"/>
      <x:c r="L15" s="10"/>
      <x:c r="M15" s="11" t="s">
        <x:v>23</x:v>
      </x:c>
      <x:c r="N15" s="9"/>
      <x:c r="O15" s="9"/>
      <x:c r="P15" s="9"/>
      <x:c r="Q15" s="9"/>
      <x:c r="R15" s="9"/>
      <x:c r="S15" s="10"/>
      <x:c r="T15" s="29" t="s">
        <x:v>27</x:v>
      </x:c>
      <x:c r="U15" s="9"/>
      <x:c r="V15" s="9"/>
      <x:c r="W15" s="9"/>
      <x:c r="X15" s="9"/>
      <x:c r="Y15" s="10"/>
      <x:c r="Z15" s="30" t="s">
        <x:v>32</x:v>
      </x:c>
      <x:c r="AA15" s="9"/>
      <x:c r="AB15" s="9"/>
      <x:c r="AC15" s="10"/>
      <x:c r="AD15" s="12" t="s">
        <x:v>37</x:v>
      </x:c>
      <x:c r="AE15" s="9"/>
      <x:c r="AF15" s="9"/>
      <x:c r="AG15" s="9"/>
      <x:c r="AH15" s="9"/>
      <x:c r="AI15" s="10"/>
      <x:c r="AJ15" s="31" t="s">
        <x:v>42</x:v>
      </x:c>
      <x:c r="AK15" s="10"/>
      <x:c r="AL15" s="13" t="s">
        <x:v>67</x:v>
      </x:c>
      <x:c r="AM15" s="9"/>
      <x:c r="AN15" s="9"/>
      <x:c r="AO15" s="9"/>
      <x:c r="AP15" s="9"/>
      <x:c r="AQ15" s="9"/>
      <x:c r="AR15" s="9"/>
      <x:c r="AS15" s="9"/>
      <x:c r="AT15" s="9"/>
      <x:c r="AU15" s="10"/>
      <x:c r="AV15" s="8" t="s">
        <x:v>68</x:v>
      </x:c>
      <x:c r="AW15" s="9"/>
      <x:c r="AX15" s="9"/>
      <x:c r="AY15" s="9"/>
      <x:c r="AZ15" s="9"/>
      <x:c r="BA15" s="9"/>
      <x:c r="BB15" s="9"/>
      <x:c r="BC15" s="9"/>
      <x:c r="BD15" s="10"/>
    </x:row>
    <x:row r="16" ht="34" customHeight="1">
      <x:c r="A16" s="14" t="str">
        <x:v>序号</x:v>
      </x:c>
      <x:c r="B16" s="14" t="str">
        <x:v>产品名称</x:v>
      </x:c>
      <x:c r="C16" s="14" t="str">
        <x:v>备案号</x:v>
      </x:c>
      <x:c r="D16" s="14" t="str">
        <x:v>管理人</x:v>
      </x:c>
      <x:c r="E16" s="14" t="str">
        <x:v>产品成立日期</x:v>
      </x:c>
      <x:c r="F16" s="14" t="str">
        <x:v>产品成立年限（年）</x:v>
      </x:c>
      <x:c r="G16" s="14" t="str">
        <x:v>入池状态</x:v>
      </x:c>
      <x:c r="H16" s="14" t="str">
        <x:v>管理规模区间（亿元，协会）</x:v>
      </x:c>
      <x:c r="I16" s="14" t="str">
        <x:v>管理人规模分</x:v>
      </x:c>
      <x:c r="J16" s="14" t="str">
        <x:v>产品规模公示标识</x:v>
      </x:c>
      <x:c r="K16" s="14" t="str">
        <x:v>产品规模分</x:v>
      </x:c>
      <x:c r="L16" s="14" t="str">
        <x:v>成立年限分</x:v>
      </x:c>
      <x:c r="M16" s="14" t="str">
        <x:v>R_1y</x:v>
      </x:c>
      <x:c r="N16" s="14" t="str">
        <x:v>R_3y</x:v>
      </x:c>
      <x:c r="O16" s="14" t="str">
        <x:v>R_incep（补录）</x:v>
      </x:c>
      <x:c r="P16" s="14" t="str">
        <x:v>R_early</x:v>
      </x:c>
      <x:c r="Q16" s="14" t="str">
        <x:v>R_1y排名分</x:v>
      </x:c>
      <x:c r="R16" s="14" t="str">
        <x:v>R_early排名分</x:v>
      </x:c>
      <x:c r="S16" s="14" t="str">
        <x:v>年化收益分（可用折算）</x:v>
      </x:c>
      <x:c r="T16" s="14" t="str">
        <x:v>近1年月胜率</x:v>
      </x:c>
      <x:c r="U16" s="14" t="str">
        <x:v>近3年月胜率</x:v>
      </x:c>
      <x:c r="V16" s="14" t="str">
        <x:v>早期月胜率</x:v>
      </x:c>
      <x:c r="W16" s="14" t="str">
        <x:v>近1年月胜率分</x:v>
      </x:c>
      <x:c r="X16" s="14" t="str">
        <x:v>早期月胜率分</x:v>
      </x:c>
      <x:c r="Y16" s="14" t="str">
        <x:v>月度胜率分（可用折算）</x:v>
      </x:c>
      <x:c r="Z16" s="14" t="str">
        <x:v>DD_1y</x:v>
      </x:c>
      <x:c r="AA16" s="14" t="str">
        <x:v>DD_3y</x:v>
      </x:c>
      <x:c r="AB16" s="14" t="str">
        <x:v>统一最大回撤</x:v>
      </x:c>
      <x:c r="AC16" s="14" t="str">
        <x:v>最大回撤分</x:v>
      </x:c>
      <x:c r="AD16" s="14" t="str">
        <x:v>短期卡玛</x:v>
      </x:c>
      <x:c r="AE16" s="14" t="str">
        <x:v>可识别DD_long</x:v>
      </x:c>
      <x:c r="AF16" s="14" t="str">
        <x:v>长期卡玛</x:v>
      </x:c>
      <x:c r="AG16" s="14" t="str">
        <x:v>短期卡玛分</x:v>
      </x:c>
      <x:c r="AH16" s="14" t="str">
        <x:v>长期卡玛分</x:v>
      </x:c>
      <x:c r="AI16" s="14" t="str">
        <x:v>卡玛比率分（可用折算）</x:v>
      </x:c>
      <x:c r="AJ16" s="14" t="str">
        <x:v>趋势比较基准</x:v>
      </x:c>
      <x:c r="AK16" s="14" t="str">
        <x:v>收益趋势分</x:v>
      </x:c>
      <x:c r="AL16" s="14" t="str">
        <x:v>管理人及产品大类分</x:v>
      </x:c>
      <x:c r="AM16" s="14" t="str">
        <x:v>收益能力大类分</x:v>
      </x:c>
      <x:c r="AN16" s="14" t="str">
        <x:v>风险控制大类分</x:v>
      </x:c>
      <x:c r="AO16" s="14" t="str">
        <x:v>风险调整收益大类分</x:v>
      </x:c>
      <x:c r="AP16" s="14" t="str">
        <x:v>趋势大类分</x:v>
      </x:c>
      <x:c r="AQ16" s="14" t="str">
        <x:v>有效二级权重</x:v>
      </x:c>
      <x:c r="AR16" s="14" t="str">
        <x:v>加权总分（不补缺）</x:v>
      </x:c>
      <x:c r="AS16" s="14" t="str">
        <x:v>可比总分（归一）</x:v>
      </x:c>
      <x:c r="AT16" s="14" t="str">
        <x:v>唯一排名</x:v>
      </x:c>
      <x:c r="AU16" s="14" t="str">
        <x:v>数据缺口</x:v>
      </x:c>
      <x:c r="AV16" s="14" t="str">
        <x:v>管理规模下限（亿元）</x:v>
      </x:c>
      <x:c r="AW16" s="14" t="str">
        <x:v>协会管理人全称</x:v>
      </x:c>
      <x:c r="AX16" s="14" t="str">
        <x:v>管理人信息更新时间</x:v>
      </x:c>
      <x:c r="AY16" s="14" t="str">
        <x:v>管理人公示URL</x:v>
      </x:c>
      <x:c r="AZ16" s="14" t="str">
        <x:v>协会产品名称</x:v>
      </x:c>
      <x:c r="BA16" s="14" t="str">
        <x:v>基金信息更新时间</x:v>
      </x:c>
      <x:c r="BB16" s="14" t="str">
        <x:v>产品标识季度</x:v>
      </x:c>
      <x:c r="BC16" s="14" t="str">
        <x:v>基金公示URL</x:v>
      </x:c>
      <x:c r="BD16" s="14" t="str">
        <x:v>AMAC匹配状态</x:v>
      </x:c>
    </x:row>
    <x:row r="17" ht="28" customHeight="1">
      <x:c r="A17" s="4" t="n">
        <x:v>1</x:v>
      </x:c>
      <x:c r="B17" s="15" t="str">
        <x:f>'sheet4-原始数据'!A2</x:f>
        <x:v>新视野智能量化2号</x:v>
      </x:c>
      <x:c r="C17" s="15" t="str">
        <x:f>'sheet4-原始数据'!B2</x:f>
        <x:v>SR2759</x:v>
      </x:c>
      <x:c r="D17" s="15" t="str">
        <x:f>'sheet4-原始数据'!E2</x:f>
        <x:v>杭州探融投资</x:v>
      </x:c>
      <x:c r="E17" s="32" t="n">
        <x:f>IF(ISNUMBER('sheet4-原始数据'!F2),'sheet4-原始数据'!F2,"")</x:f>
        <x:v>42744</x:v>
      </x:c>
      <x:c r="F17" s="17" t="n">
        <x:f>IF(NOT(ISNUMBER(E17)),"",ROUND(('sheet1-指标体系'!$J$23-E17)/365.25,4))</x:f>
        <x:v>9.6838</x:v>
      </x:c>
      <x:c r="G17" s="4" t="str">
        <x:f t="shared" ref="G17:G80" si="1">IF(NOT(ISNUMBER(F17)),"",IF(F17&lt;1,"不入池","入池"))</x:f>
        <x:v>入池</x:v>
      </x:c>
      <x:c r="H17" s="33" t="str">
        <x:v>0-5亿元</x:v>
      </x:c>
      <x:c r="I17" s="17" t="n">
        <x:f>IF(H17="","",IF(ISNUMBER(SEARCH("100亿元以上",H17)),100,IF(OR(ISNUMBER(SEARCH("20-50",H17)),ISNUMBER(SEARCH("50-100",H17)),ISNUMBER(SEARCH("20-100",H17))),90,IF(ISNUMBER(SEARCH("10-20",H17)),80,IF(ISNUMBER(SEARCH("5-10",H17)),70,IF(ISNUMBER(SEARCH("0-5",H17)),60,""))))))</x:f>
        <x:v>60</x:v>
      </x:c>
      <x:c r="J17" s="34" t="str">
        <x:v>无低于1000万元标识</x:v>
      </x:c>
      <x:c r="K17" s="17" t="n">
        <x:f>IF(J17="","",IF(J17="低于1000万元",0,100))</x:f>
        <x:v>100</x:v>
      </x:c>
      <x:c r="L17" s="17" t="n">
        <x:f>IF(NOT(ISNUMBER(F17)),"",IF(F17&lt;1,"",IF(F17&lt;3,70,100)))</x:f>
        <x:v>100</x:v>
      </x:c>
      <x:c r="M17" s="35" t="n">
        <x:f>IF(ISNUMBER('sheet4-原始数据'!G2),'sheet4-原始数据'!G2,"")</x:f>
        <x:v>-0.0204</x:v>
      </x:c>
      <x:c r="N17" s="35" t="n">
        <x:f>IF(ISNUMBER('sheet4-原始数据'!H2),'sheet4-原始数据'!H2,"")</x:f>
        <x:v>0.020499999999999997</x:v>
      </x:c>
      <x:c r="O17" s="36" t="str">
        <x:f>IF(ISNUMBER('sheet4-原始数据'!Q2),'sheet4-原始数据'!Q2,"")</x:f>
      </x:c>
      <x:c r="P17" s="37" t="n">
        <x:f>IF($G17&lt;&gt;"入池","",IF($F17&gt;=3,IF(OR(NOT(ISNUMBER($M17)),NOT(ISNUMBER($N17)),1+$M17&lt;=0,1+$N17&lt;0),"",((1+$N17)^3/(1+$M17))^(1/2)-1),IF(OR($F17&lt;=1,NOT(ISNUMBER($M17)),NOT(ISNUMBER($O17)),1+$M17&lt;=0,1+$O17&lt;0),"",((1+$O17)^$F17/(1+$M17))^(1/($F17-1))-1)))</x:f>
        <x:v>0.04158597951417242</x:v>
      </x:c>
      <x:c r="Q17" s="17" t="n">
        <x:f>IF(OR($G17&lt;&gt;"入池",NOT(ISNUMBER(M17))),"",IF(COUNTIFS($G$17:$G$219,"入池",$M$17:$M$219,"&gt;=-1E+307",$M$17:$M$219,"&lt;=1E+307")&lt;=1,100,ROUND(100*(COUNTIFS($G$17:$G$219,"入池",$M$17:$M$219,"&gt;=-1E+307",$M$17:$M$219,"&lt;"&amp;M17)+COUNTIFS($G$17:$G$219,"入池",$M$17:$M$219,M17,$M$17:$M$219,"&gt;=-1E+307",$M$17:$M$219,"&lt;=1E+307")/2-0.5)/(COUNTIFS($G$17:$G$219,"入池",$M$17:$M$219,"&gt;=-1E+307",$M$17:$M$219,"&lt;=1E+307")-1),2)))</x:f>
        <x:v>12.38</x:v>
      </x:c>
      <x:c r="R17" s="17" t="n">
        <x:f>IF(OR($G17&lt;&gt;"入池",NOT(ISNUMBER(P17))),"",IF(COUNTIFS($G$17:$G$219,"入池",$P$17:$P$219,"&gt;=-1E+307",$P$17:$P$219,"&lt;=1E+307")&lt;=1,100,ROUND(100*(COUNTIFS($G$17:$G$219,"入池",$P$17:$P$219,"&gt;=-1E+307",$P$17:$P$219,"&lt;"&amp;P17)+COUNTIFS($G$17:$G$219,"入池",$P$17:$P$219,P17,$P$17:$P$219,"&gt;=-1E+307",$P$17:$P$219,"&lt;=1E+307")/2-0.5)/(COUNTIFS($G$17:$G$219,"入池",$P$17:$P$219,"&gt;=-1E+307",$P$17:$P$219,"&lt;=1E+307")-1),2)))</x:f>
        <x:v>29.21</x:v>
      </x:c>
      <x:c r="S17" s="17" t="n">
        <x:f>IF(NOT(ISNUMBER(Q17)),"",IF(NOT(ISNUMBER(R17)),Q17,ROUND(Q17*'sheet1-指标体系'!$J$8+R17*'sheet1-指标体系'!$J$9,2)))</x:f>
        <x:v>19.11</x:v>
      </x:c>
      <x:c r="T17" s="35" t="n">
        <x:f>IF(ISNUMBER('sheet4-原始数据'!J2),'sheet4-原始数据'!J2,"")</x:f>
        <x:v>0.3846</x:v>
      </x:c>
      <x:c r="U17" s="35" t="n">
        <x:f>IF(ISNUMBER('sheet4-原始数据'!I2),'sheet4-原始数据'!I2,"")</x:f>
        <x:v>0.5405</x:v>
      </x:c>
      <x:c r="V17" s="37" t="n">
        <x:f>IF(OR(NOT(ISNUMBER(T17)),NOT(ISNUMBER(U17))),"",(U17*'sheet1-指标体系'!$J$6-T17*'sheet1-指标体系'!$J$5)/'sheet1-指标体系'!$J$7)</x:f>
        <x:v>0.6249458333333333</x:v>
      </x:c>
      <x:c r="W17" s="17" t="n">
        <x:f>IF(NOT(ISNUMBER(T17)),"",T17*100)</x:f>
        <x:v>38.46</x:v>
      </x:c>
      <x:c r="X17" s="17" t="n">
        <x:f>IF($G17&lt;&gt;"入池","",IF(AND(ISNUMBER(V17),V17&gt;=0,V17&lt;=1),V17*100,IF(MAX(0,($F17-1)*12)&lt;6,100,"")))</x:f>
        <x:v>62.49458333333333</x:v>
      </x:c>
      <x:c r="Y17" s="17" t="n">
        <x:f>IF(NOT(ISNUMBER(W17)),"",IF(NOT(ISNUMBER(X17)),W17,ROUND(W17*'sheet1-指标体系'!$J$8+X17*'sheet1-指标体系'!$J$9,2)))</x:f>
        <x:v>48.07</x:v>
      </x:c>
      <x:c r="Z17" s="37" t="n">
        <x:f>IF(OR(NOT(ISNUMBER(M17)),NOT(ISNUMBER(AD17)),AD17=0),"",ABS(M17/AD17))</x:f>
        <x:v>0.05528455284552846</x:v>
      </x:c>
      <x:c r="AA17" s="35" t="n">
        <x:f>IF(ISNUMBER('sheet4-原始数据'!K2),'sheet4-原始数据'!K2,"")</x:f>
        <x:v>0.0554</x:v>
      </x:c>
      <x:c r="AB17" s="37" t="n">
        <x:f>IF(COUNT(Z17:AA17)=0,"",MAX(Z17:AA17))</x:f>
        <x:v>0.0554</x:v>
      </x:c>
      <x:c r="AC17" s="17" t="n">
        <x:f>IF(OR($G17&lt;&gt;"入池",NOT(ISNUMBER(AB17))),"",IF(COUNTIFS($G$17:$G$219,"入池",$AB$17:$AB$219,"&gt;=-1E+307",$AB$17:$AB$219,"&lt;=1E+307")&lt;=1,100,ROUND(100*(COUNTIFS($G$17:$G$219,"入池",$AB$17:$AB$219,"&lt;=1E+307",$AB$17:$AB$219,"&gt;"&amp;AB17)+COUNTIFS($G$17:$G$219,"入池",$AB$17:$AB$219,AB17,$AB$17:$AB$219,"&gt;=-1E+307",$AB$17:$AB$219,"&lt;=1E+307")/2-0.5)/(COUNTIFS($G$17:$G$219,"入池",$AB$17:$AB$219,"&gt;=-1E+307",$AB$17:$AB$219,"&lt;=1E+307")-1),2)))</x:f>
        <x:v>42.08</x:v>
      </x:c>
      <x:c r="AD17" s="38" t="n">
        <x:f>IF(ISNUMBER('sheet4-原始数据'!M2),'sheet4-原始数据'!M2,"")</x:f>
        <x:v>-0.369</x:v>
      </x:c>
      <x:c r="AE17" s="37" t="n">
        <x:f>IF(OR(NOT(ISNUMBER(P17)),NOT(ISNUMBER(AA17)),NOT(ISNUMBER(Z17))),"",IF(AA17&gt;Z17+'sheet1-指标体系'!$J$11,AA17,""))</x:f>
        <x:v>0.0554</x:v>
      </x:c>
      <x:c r="AF17" s="17" t="n">
        <x:f>IF(OR(NOT(ISNUMBER(P17)),NOT(ISNUMBER(AE17)),AE17=0),"",P17/AE17)</x:f>
        <x:v>0.7506494497143037</x:v>
      </x:c>
      <x:c r="AG17" s="17" t="n">
        <x:f>IF(OR($G17&lt;&gt;"入池",NOT(ISNUMBER(AD17))),"",IF(COUNTIFS($G$17:$G$219,"入池",$AD$17:$AD$219,"&gt;=-1E+307",$AD$17:$AD$219,"&lt;=1E+307")&lt;=1,100,ROUND(100*(COUNTIFS($G$17:$G$219,"入池",$AD$17:$AD$219,"&gt;=-1E+307",$AD$17:$AD$219,"&lt;"&amp;AD17)+COUNTIFS($G$17:$G$219,"入池",$AD$17:$AD$219,AD17,$AD$17:$AD$219,"&gt;=-1E+307",$AD$17:$AD$219,"&lt;=1E+307")/2-0.5)/(COUNTIFS($G$17:$G$219,"入池",$AD$17:$AD$219,"&gt;=-1E+307",$AD$17:$AD$219,"&lt;=1E+307")-1),2)))</x:f>
        <x:v>11.44</x:v>
      </x:c>
      <x:c r="AH17" s="17" t="n">
        <x:f>IF(OR($G17&lt;&gt;"入池",NOT(ISNUMBER(AF17))),"",IF(COUNTIFS($G$17:$G$219,"入池",$AF$17:$AF$219,"&gt;=-1E+307",$AF$17:$AF$219,"&lt;=1E+307")&lt;=1,100,ROUND(100*(COUNTIFS($G$17:$G$219,"入池",$AF$17:$AF$219,"&gt;=-1E+307",$AF$17:$AF$219,"&lt;"&amp;AF17)+COUNTIFS($G$17:$G$219,"入池",$AF$17:$AF$219,AF17,$AF$17:$AF$219,"&gt;=-1E+307",$AF$17:$AF$219,"&lt;=1E+307")/2-0.5)/(COUNTIFS($G$17:$G$219,"入池",$AF$17:$AF$219,"&gt;=-1E+307",$AF$17:$AF$219,"&lt;=1E+307")-1),2)))</x:f>
        <x:v>29.93</x:v>
      </x:c>
      <x:c r="AI17" s="17" t="n">
        <x:f>IF(NOT(ISNUMBER(AG17)),"",IF(NOT(ISNUMBER(AH17)),AG17,ROUND(AG17*'sheet1-指标体系'!$J$8+AH17*'sheet1-指标体系'!$J$9,2)))</x:f>
        <x:v>18.84</x:v>
      </x:c>
      <x:c r="AJ17" s="37" t="n">
        <x:f>IF(NOT(ISNUMBER(F17)),"",IF(F17&gt;=3,IF(NOT(ISNUMBER(N17)),"",N17),IF(NOT(ISNUMBER(O17)),"",O17)))</x:f>
        <x:v>0.020499999999999997</x:v>
      </x:c>
      <x:c r="AK17" s="17" t="n">
        <x:f>IF(OR(G17&lt;&gt;"入池",NOT(ISNUMBER(M17)),NOT(ISNUMBER(AJ17))),"",IF(M17&gt;=AJ17,100,IF(AJ17-M17&lt;'sheet1-指标体系'!$J$10,80,60)))</x:f>
        <x:v>80</x:v>
      </x:c>
      <x:c r="AL17" s="17" t="n">
        <x:f>IF(COUNT(I17,K17,L17)=0,"",ROUND((IF(ISNUMBER(I17),I17*40%,0)+IF(ISNUMBER(K17),K17*30%,0)+IF(ISNUMBER(L17),L17*30%,0))/(IF(ISNUMBER(I17),40%,0)+IF(ISNUMBER(K17),30%,0)+IF(ISNUMBER(L17),30%,0)),2))</x:f>
        <x:v>84</x:v>
      </x:c>
      <x:c r="AM17" s="17" t="n">
        <x:f>IF(COUNT(Q17,R17,W17,X17)=0,"",ROUND((IF(ISNUMBER(Q17),Q17*42%,0)+IF(ISNUMBER(R17),R17*28%,0)+IF(ISNUMBER(W17),W17*18%,0)+IF(ISNUMBER(X17),X17*12%,0))/(IF(ISNUMBER(Q17),42%,0)+IF(ISNUMBER(R17),28%,0)+IF(ISNUMBER(W17),18%,0)+IF(ISNUMBER(X17),12%,0)),2))</x:f>
        <x:v>27.8</x:v>
      </x:c>
      <x:c r="AN17" s="17" t="n">
        <x:f>IF(ISNUMBER(AC17),AC17,"")</x:f>
        <x:v>42.08</x:v>
      </x:c>
      <x:c r="AO17" s="17" t="n">
        <x:f>IF(COUNT(AG17,AH17)=0,"",ROUND((IF(ISNUMBER(AG17),AG17*60%,0)+IF(ISNUMBER(AH17),AH17*40%,0))/(IF(ISNUMBER(AG17),60%,0)+IF(ISNUMBER(AH17),40%,0)),2))</x:f>
        <x:v>18.84</x:v>
      </x:c>
      <x:c r="AP17" s="17" t="n">
        <x:f>IF(ISNUMBER(AK17),AK17,"")</x:f>
        <x:v>80</x:v>
      </x:c>
      <x:c r="AQ17" s="39" t="n">
        <x:f>IF(G17&lt;&gt;"入池",0,IF(ISNUMBER(I17),6%,0)+IF(ISNUMBER(K17),4.5%,0)+IF(ISNUMBER(L17),4.5%,0)+IF(ISNUMBER(Q17),8.4%,0)+IF(ISNUMBER(R17),5.6%,0)+IF(ISNUMBER(W17),3.6%,0)+IF(ISNUMBER(X17),2.4%,0)+IF(ISNUMBER(AC17),25%,0)+IF(ISNUMBER(AG17),18%,0)+IF(ISNUMBER(AH17),12%,0)+IF(ISNUMBER(AK17),10%,0))</x:f>
        <x:v>1</x:v>
      </x:c>
      <x:c r="AR17" s="17" t="n">
        <x:f>IF(AQ17=0,"",IF(ISNUMBER(I17),I17*6%,0)+IF(ISNUMBER(K17),K17*4.5%,0)+IF(ISNUMBER(L17),L17*4.5%,0)+IF(ISNUMBER(Q17),Q17*8.4%,0)+IF(ISNUMBER(R17),R17*5.6%,0)+IF(ISNUMBER(W17),W17*3.6%,0)+IF(ISNUMBER(X17),X17*2.4%,0)+IF(ISNUMBER(AC17),AC17*25%,0)+IF(ISNUMBER(AG17),AG17*18%,0)+IF(ISNUMBER(AH17),AH17*12%,0)+IF(ISNUMBER(AK17),AK17*10%,0))</x:f>
        <x:v>42.33091</x:v>
      </x:c>
      <x:c r="AS17" s="17" t="n">
        <x:f>IF(AQ17=0,"",ROUND(AR17/AQ17,2))</x:f>
        <x:v>42.33</x:v>
      </x:c>
      <x:c r="AT17" s="40" t="n">
        <x:f>IF(OR(G17&lt;&gt;"入池",NOT(ISNUMBER(AS17))),"",COUNTIFS($G$17:$G$219,"入池",$AS$17:$AS$219,"&gt;"&amp;AS17)+COUNTIFS($G$17:$G$219,"入池",$AS$17:$AS$219,AS17,$AQ$17:$AQ$219,"&gt;"&amp;AQ17)+COUNTIFS($G$17:G17,"入池",$AS$17:AS17,AS17,$AQ$17:AQ17,AQ17))</x:f>
        <x:v>167</x:v>
      </x:c>
      <x:c r="AU17" s="41" t="str">
        <x:f t="shared" ref="AU17:AU80" si="2">IF(NOT(ISNUMBER(I17)),"管理人规模；","")&amp;IF(J17="","产品规模标识；","")&amp;IF(AND(F17&lt;3,NOT(ISNUMBER(O17))),"R_incep；","")&amp;IF(NOT(ISNUMBER(N17)),"近三年收益；","")&amp;IF(NOT(ISNUMBER(U17)),"近三年胜率；","")&amp;IF(AND(ISNUMBER(V17),OR(V17&lt;0,V17&gt;1)),"胜率窗口口径不一致；","")&amp;IF(NOT(ISNUMBER(AA17)),"近三年回撤；","")&amp;IF(NOT(ISNUMBER(AD17)),"短期卡玛；","")&amp;IF(AND(ISNUMBER(P17),NOT(ISNUMBER(AE17))),"DD_long不可识别；","")</x:f>
      </x:c>
      <x:c r="AV17" s="42" t="n">
        <x:v>0</x:v>
      </x:c>
      <x:c r="AW17" s="19" t="str">
        <x:v>杭州探融投资管理有限公司</x:v>
      </x:c>
      <x:c r="AX17" s="19" t="str">
        <x:v>2025-05-22</x:v>
      </x:c>
      <x:c r="AY17" s="19" t="str">
        <x:v>https://gs.amac.org.cn/amac-infodisc/res/pof/manager/101000049159.html</x:v>
      </x:c>
      <x:c r="AZ17" s="19" t="str">
        <x:v>新视野智能量化私募基金2号</x:v>
      </x:c>
      <x:c r="BA17" s="19" t="str">
        <x:v>2026-05-12</x:v>
      </x:c>
      <x:c r="BB17" s="19"/>
      <x:c r="BC17" s="19" t="str">
        <x:v>https://gs.amac.org.cn/amac-infodisc/res/pof/fund/351000611236.html</x:v>
      </x:c>
      <x:c r="BD17" s="19" t="str">
        <x:v>已匹配</x:v>
      </x:c>
      <x:c r="BE17"/>
      <x:c r="BF17"/>
    </x:row>
    <x:row r="18" ht="28" customHeight="1">
      <x:c r="A18" s="4" t="n">
        <x:v>2</x:v>
      </x:c>
      <x:c r="B18" s="15" t="str">
        <x:f>'sheet4-原始数据'!A3</x:f>
        <x:v>探融新视野智能量化1号</x:v>
      </x:c>
      <x:c r="C18" s="15" t="str">
        <x:f>'sheet4-原始数据'!B3</x:f>
        <x:v>SL8089</x:v>
      </x:c>
      <x:c r="D18" s="15" t="str">
        <x:f>'sheet4-原始数据'!E3</x:f>
        <x:v>杭州探融投资</x:v>
      </x:c>
      <x:c r="E18" s="32" t="n">
        <x:f>IF(ISNUMBER('sheet4-原始数据'!F3),'sheet4-原始数据'!F3,"")</x:f>
        <x:v>42635</x:v>
      </x:c>
      <x:c r="F18" s="17" t="n">
        <x:f>IF(NOT(ISNUMBER(E18)),"",ROUND(('sheet1-指标体系'!$J$23-E18)/365.25,4))</x:f>
        <x:v>9.9822</x:v>
      </x:c>
      <x:c r="G18" s="4" t="str">
        <x:f t="shared" si="1">IF(NOT(ISNUMBER(F18)),"",IF(F18&lt;1,"不入池","入池"))</x:f>
        <x:v>入池</x:v>
      </x:c>
      <x:c r="H18" s="33" t="str">
        <x:v>0-5亿元</x:v>
      </x:c>
      <x:c r="I18" s="17" t="n">
        <x:f>IF(H18="","",IF(ISNUMBER(SEARCH("100亿元以上",H18)),100,IF(OR(ISNUMBER(SEARCH("20-50",H18)),ISNUMBER(SEARCH("50-100",H18)),ISNUMBER(SEARCH("20-100",H18))),90,IF(ISNUMBER(SEARCH("10-20",H18)),80,IF(ISNUMBER(SEARCH("5-10",H18)),70,IF(ISNUMBER(SEARCH("0-5",H18)),60,""))))))</x:f>
        <x:v>60</x:v>
      </x:c>
      <x:c r="J18" s="34" t="str">
        <x:v>无低于1000万元标识</x:v>
      </x:c>
      <x:c r="K18" s="17" t="n">
        <x:f>IF(J18="","",IF(J18="低于1000万元",0,100))</x:f>
        <x:v>100</x:v>
      </x:c>
      <x:c r="L18" s="17" t="n">
        <x:f>IF(NOT(ISNUMBER(F18)),"",IF(F18&lt;1,"",IF(F18&lt;3,70,100)))</x:f>
        <x:v>100</x:v>
      </x:c>
      <x:c r="M18" s="35" t="n">
        <x:f>IF(ISNUMBER('sheet4-原始数据'!G3),'sheet4-原始数据'!G3,"")</x:f>
        <x:v>-0.0048</x:v>
      </x:c>
      <x:c r="N18" s="35" t="n">
        <x:f>IF(ISNUMBER('sheet4-原始数据'!H3),'sheet4-原始数据'!H3,"")</x:f>
        <x:v>0.0123</x:v>
      </x:c>
      <x:c r="O18" s="36" t="str">
        <x:f>IF(ISNUMBER('sheet4-原始数据'!Q3),'sheet4-原始数据'!Q3,"")</x:f>
      </x:c>
      <x:c r="P18" s="37" t="n">
        <x:f>IF($G18&lt;&gt;"入池","",IF($F18&gt;=3,IF(OR(NOT(ISNUMBER($M18)),NOT(ISNUMBER($N18)),1+$M18&lt;=0,1+$N18&lt;0),"",((1+$N18)^3/(1+$M18))^(1/2)-1),IF(OR($F18&lt;=1,NOT(ISNUMBER($M18)),NOT(ISNUMBER($O18)),1+$M18&lt;=0,1+$O18&lt;0),"",((1+$O18)^$F18/(1+$M18))^(1/($F18-1))-1)))</x:f>
        <x:v>0.02095986910738712</x:v>
      </x:c>
      <x:c r="Q18" s="17" t="n">
        <x:f>IF(OR($G18&lt;&gt;"入池",NOT(ISNUMBER(M18))),"",IF(COUNTIFS($G$17:$G$219,"入池",$M$17:$M$219,"&gt;=-1E+307",$M$17:$M$219,"&lt;=1E+307")&lt;=1,100,ROUND(100*(COUNTIFS($G$17:$G$219,"入池",$M$17:$M$219,"&gt;=-1E+307",$M$17:$M$219,"&lt;"&amp;M18)+COUNTIFS($G$17:$G$219,"入池",$M$17:$M$219,M18,$M$17:$M$219,"&gt;=-1E+307",$M$17:$M$219,"&lt;=1E+307")/2-0.5)/(COUNTIFS($G$17:$G$219,"入池",$M$17:$M$219,"&gt;=-1E+307",$M$17:$M$219,"&lt;=1E+307")-1),2)))</x:f>
        <x:v>16.83</x:v>
      </x:c>
      <x:c r="R18" s="17" t="n">
        <x:f>IF(OR($G18&lt;&gt;"入池",NOT(ISNUMBER(P18))),"",IF(COUNTIFS($G$17:$G$219,"入池",$P$17:$P$219,"&gt;=-1E+307",$P$17:$P$219,"&lt;=1E+307")&lt;=1,100,ROUND(100*(COUNTIFS($G$17:$G$219,"入池",$P$17:$P$219,"&gt;=-1E+307",$P$17:$P$219,"&lt;"&amp;P18)+COUNTIFS($G$17:$G$219,"入池",$P$17:$P$219,P18,$P$17:$P$219,"&gt;=-1E+307",$P$17:$P$219,"&lt;=1E+307")/2-0.5)/(COUNTIFS($G$17:$G$219,"入池",$P$17:$P$219,"&gt;=-1E+307",$P$17:$P$219,"&lt;=1E+307")-1),2)))</x:f>
        <x:v>9.9</x:v>
      </x:c>
      <x:c r="S18" s="17" t="n">
        <x:f>IF(NOT(ISNUMBER(Q18)),"",IF(NOT(ISNUMBER(R18)),Q18,ROUND(Q18*'sheet1-指标体系'!$J$8+R18*'sheet1-指标体系'!$J$9,2)))</x:f>
        <x:v>14.06</x:v>
      </x:c>
      <x:c r="T18" s="35" t="n">
        <x:f>IF(ISNUMBER('sheet4-原始数据'!J3),'sheet4-原始数据'!J3,"")</x:f>
        <x:v>0.3846</x:v>
      </x:c>
      <x:c r="U18" s="35" t="n">
        <x:f>IF(ISNUMBER('sheet4-原始数据'!I3),'sheet4-原始数据'!I3,"")</x:f>
        <x:v>0.5676</x:v>
      </x:c>
      <x:c r="V18" s="37" t="n">
        <x:f>IF(OR(NOT(ISNUMBER(T18)),NOT(ISNUMBER(U18))),"",(U18*'sheet1-指标体系'!$J$6-T18*'sheet1-指标体系'!$J$5)/'sheet1-指标体系'!$J$7)</x:f>
        <x:v>0.666725</x:v>
      </x:c>
      <x:c r="W18" s="17" t="n">
        <x:f>IF(NOT(ISNUMBER(T18)),"",T18*100)</x:f>
        <x:v>38.46</x:v>
      </x:c>
      <x:c r="X18" s="17" t="n">
        <x:f>IF($G18&lt;&gt;"入池","",IF(AND(ISNUMBER(V18),V18&gt;=0,V18&lt;=1),V18*100,IF(MAX(0,($F18-1)*12)&lt;6,100,"")))</x:f>
        <x:v>66.6725</x:v>
      </x:c>
      <x:c r="Y18" s="17" t="n">
        <x:f>IF(NOT(ISNUMBER(W18)),"",IF(NOT(ISNUMBER(X18)),W18,ROUND(W18*'sheet1-指标体系'!$J$8+X18*'sheet1-指标体系'!$J$9,2)))</x:f>
        <x:v>49.75</x:v>
      </x:c>
      <x:c r="Z18" s="37" t="n">
        <x:f>IF(OR(NOT(ISNUMBER(M18)),NOT(ISNUMBER(AD18)),AD18=0),"",ABS(M18/AD18))</x:f>
        <x:v>0.025263157894736838</x:v>
      </x:c>
      <x:c r="AA18" s="35" t="n">
        <x:f>IF(ISNUMBER('sheet4-原始数据'!K3),'sheet4-原始数据'!K3,"")</x:f>
        <x:v>0.025099999999999997</x:v>
      </x:c>
      <x:c r="AB18" s="37" t="n">
        <x:f>IF(COUNT(Z18:AA18)=0,"",MAX(Z18:AA18))</x:f>
        <x:v>0.025263157894736838</x:v>
      </x:c>
      <x:c r="AC18" s="17" t="n">
        <x:f>IF(OR($G18&lt;&gt;"入池",NOT(ISNUMBER(AB18))),"",IF(COUNTIFS($G$17:$G$219,"入池",$AB$17:$AB$219,"&gt;=-1E+307",$AB$17:$AB$219,"&lt;=1E+307")&lt;=1,100,ROUND(100*(COUNTIFS($G$17:$G$219,"入池",$AB$17:$AB$219,"&lt;=1E+307",$AB$17:$AB$219,"&gt;"&amp;AB18)+COUNTIFS($G$17:$G$219,"入池",$AB$17:$AB$219,AB18,$AB$17:$AB$219,"&gt;=-1E+307",$AB$17:$AB$219,"&lt;=1E+307")/2-0.5)/(COUNTIFS($G$17:$G$219,"入池",$AB$17:$AB$219,"&gt;=-1E+307",$AB$17:$AB$219,"&lt;=1E+307")-1),2)))</x:f>
        <x:v>66.83</x:v>
      </x:c>
      <x:c r="AD18" s="38" t="n">
        <x:f>IF(ISNUMBER('sheet4-原始数据'!M3),'sheet4-原始数据'!M3,"")</x:f>
        <x:v>-0.19</x:v>
      </x:c>
      <x:c r="AE18" s="37" t="str">
        <x:f>IF(OR(NOT(ISNUMBER(P18)),NOT(ISNUMBER(AA18)),NOT(ISNUMBER(Z18))),"",IF(AA18&gt;Z18+'sheet1-指标体系'!$J$11,AA18,""))</x:f>
      </x:c>
      <x:c r="AF18" s="17" t="str">
        <x:f>IF(OR(NOT(ISNUMBER(P18)),NOT(ISNUMBER(AE18)),AE18=0),"",P18/AE18)</x:f>
      </x:c>
      <x:c r="AG18" s="17" t="n">
        <x:f>IF(OR($G18&lt;&gt;"入池",NOT(ISNUMBER(AD18))),"",IF(COUNTIFS($G$17:$G$219,"入池",$AD$17:$AD$219,"&gt;=-1E+307",$AD$17:$AD$219,"&lt;=1E+307")&lt;=1,100,ROUND(100*(COUNTIFS($G$17:$G$219,"入池",$AD$17:$AD$219,"&gt;=-1E+307",$AD$17:$AD$219,"&lt;"&amp;AD18)+COUNTIFS($G$17:$G$219,"入池",$AD$17:$AD$219,AD18,$AD$17:$AD$219,"&gt;=-1E+307",$AD$17:$AD$219,"&lt;=1E+307")/2-0.5)/(COUNTIFS($G$17:$G$219,"入池",$AD$17:$AD$219,"&gt;=-1E+307",$AD$17:$AD$219,"&lt;=1E+307")-1),2)))</x:f>
        <x:v>14.43</x:v>
      </x:c>
      <x:c r="AH18" s="17" t="str">
        <x:f>IF(OR($G18&lt;&gt;"入池",NOT(ISNUMBER(AF18))),"",IF(COUNTIFS($G$17:$G$219,"入池",$AF$17:$AF$219,"&gt;=-1E+307",$AF$17:$AF$219,"&lt;=1E+307")&lt;=1,100,ROUND(100*(COUNTIFS($G$17:$G$219,"入池",$AF$17:$AF$219,"&gt;=-1E+307",$AF$17:$AF$219,"&lt;"&amp;AF18)+COUNTIFS($G$17:$G$219,"入池",$AF$17:$AF$219,AF18,$AF$17:$AF$219,"&gt;=-1E+307",$AF$17:$AF$219,"&lt;=1E+307")/2-0.5)/(COUNTIFS($G$17:$G$219,"入池",$AF$17:$AF$219,"&gt;=-1E+307",$AF$17:$AF$219,"&lt;=1E+307")-1),2)))</x:f>
      </x:c>
      <x:c r="AI18" s="17" t="n">
        <x:f>IF(NOT(ISNUMBER(AG18)),"",IF(NOT(ISNUMBER(AH18)),AG18,ROUND(AG18*'sheet1-指标体系'!$J$8+AH18*'sheet1-指标体系'!$J$9,2)))</x:f>
        <x:v>14.43</x:v>
      </x:c>
      <x:c r="AJ18" s="37" t="n">
        <x:f>IF(NOT(ISNUMBER(F18)),"",IF(F18&gt;=3,IF(NOT(ISNUMBER(N18)),"",N18),IF(NOT(ISNUMBER(O18)),"",O18)))</x:f>
        <x:v>0.0123</x:v>
      </x:c>
      <x:c r="AK18" s="17" t="n">
        <x:f>IF(OR(G18&lt;&gt;"入池",NOT(ISNUMBER(M18)),NOT(ISNUMBER(AJ18))),"",IF(M18&gt;=AJ18,100,IF(AJ18-M18&lt;'sheet1-指标体系'!$J$10,80,60)))</x:f>
        <x:v>80</x:v>
      </x:c>
      <x:c r="AL18" s="17" t="n">
        <x:f>IF(COUNT(I18,K18,L18)=0,"",ROUND((IF(ISNUMBER(I18),I18*40%,0)+IF(ISNUMBER(K18),K18*30%,0)+IF(ISNUMBER(L18),L18*30%,0))/(IF(ISNUMBER(I18),40%,0)+IF(ISNUMBER(K18),30%,0)+IF(ISNUMBER(L18),30%,0)),2))</x:f>
        <x:v>84</x:v>
      </x:c>
      <x:c r="AM18" s="17" t="n">
        <x:f>IF(COUNT(Q18,R18,W18,X18)=0,"",ROUND((IF(ISNUMBER(Q18),Q18*42%,0)+IF(ISNUMBER(R18),R18*28%,0)+IF(ISNUMBER(W18),W18*18%,0)+IF(ISNUMBER(X18),X18*12%,0))/(IF(ISNUMBER(Q18),42%,0)+IF(ISNUMBER(R18),28%,0)+IF(ISNUMBER(W18),18%,0)+IF(ISNUMBER(X18),12%,0)),2))</x:f>
        <x:v>24.76</x:v>
      </x:c>
      <x:c r="AN18" s="17" t="n">
        <x:f>IF(ISNUMBER(AC18),AC18,"")</x:f>
        <x:v>66.83</x:v>
      </x:c>
      <x:c r="AO18" s="17" t="n">
        <x:f>IF(COUNT(AG18,AH18)=0,"",ROUND((IF(ISNUMBER(AG18),AG18*60%,0)+IF(ISNUMBER(AH18),AH18*40%,0))/(IF(ISNUMBER(AG18),60%,0)+IF(ISNUMBER(AH18),40%,0)),2))</x:f>
        <x:v>14.43</x:v>
      </x:c>
      <x:c r="AP18" s="17" t="n">
        <x:f>IF(ISNUMBER(AK18),AK18,"")</x:f>
        <x:v>80</x:v>
      </x:c>
      <x:c r="AQ18" s="39" t="n">
        <x:f>IF(G18&lt;&gt;"入池",0,IF(ISNUMBER(I18),6%,0)+IF(ISNUMBER(K18),4.5%,0)+IF(ISNUMBER(L18),4.5%,0)+IF(ISNUMBER(Q18),8.4%,0)+IF(ISNUMBER(R18),5.6%,0)+IF(ISNUMBER(W18),3.6%,0)+IF(ISNUMBER(X18),2.4%,0)+IF(ISNUMBER(AC18),25%,0)+IF(ISNUMBER(AG18),18%,0)+IF(ISNUMBER(AH18),12%,0)+IF(ISNUMBER(AK18),10%,0))</x:f>
        <x:v>0.88</x:v>
      </x:c>
      <x:c r="AR18" s="17" t="n">
        <x:f>IF(AQ18=0,"",IF(ISNUMBER(I18),I18*6%,0)+IF(ISNUMBER(K18),K18*4.5%,0)+IF(ISNUMBER(L18),L18*4.5%,0)+IF(ISNUMBER(Q18),Q18*8.4%,0)+IF(ISNUMBER(R18),R18*5.6%,0)+IF(ISNUMBER(W18),W18*3.6%,0)+IF(ISNUMBER(X18),X18*2.4%,0)+IF(ISNUMBER(AC18),AC18*25%,0)+IF(ISNUMBER(AG18),AG18*18%,0)+IF(ISNUMBER(AH18),AH18*12%,0)+IF(ISNUMBER(AK18),AK18*10%,0))</x:f>
        <x:v>44.85772</x:v>
      </x:c>
      <x:c r="AS18" s="17" t="n">
        <x:f>IF(AQ18=0,"",ROUND(AR18/AQ18,2))</x:f>
        <x:v>50.97</x:v>
      </x:c>
      <x:c r="AT18" s="40" t="n">
        <x:f>IF(OR(G18&lt;&gt;"入池",NOT(ISNUMBER(AS18))),"",COUNTIFS($G$17:$G$219,"入池",$AS$17:$AS$219,"&gt;"&amp;AS18)+COUNTIFS($G$17:$G$219,"入池",$AS$17:$AS$219,AS18,$AQ$17:$AQ$219,"&gt;"&amp;AQ18)+COUNTIFS($G$17:G18,"入池",$AS$17:AS18,AS18,$AQ$17:AQ18,AQ18))</x:f>
        <x:v>144</x:v>
      </x:c>
      <x:c r="AU18" s="41" t="str">
        <x:f t="shared" si="2">IF(NOT(ISNUMBER(I18)),"管理人规模；","")&amp;IF(J18="","产品规模标识；","")&amp;IF(AND(F18&lt;3,NOT(ISNUMBER(O18))),"R_incep；","")&amp;IF(NOT(ISNUMBER(N18)),"近三年收益；","")&amp;IF(NOT(ISNUMBER(U18)),"近三年胜率；","")&amp;IF(AND(ISNUMBER(V18),OR(V18&lt;0,V18&gt;1)),"胜率窗口口径不一致；","")&amp;IF(NOT(ISNUMBER(AA18)),"近三年回撤；","")&amp;IF(NOT(ISNUMBER(AD18)),"短期卡玛；","")&amp;IF(AND(ISNUMBER(P18),NOT(ISNUMBER(AE18))),"DD_long不可识别；","")</x:f>
        <x:v>DD_long不可识别；</x:v>
      </x:c>
      <x:c r="AV18" s="42" t="n">
        <x:v>0</x:v>
      </x:c>
      <x:c r="AW18" s="19" t="str">
        <x:v>杭州探融投资管理有限公司</x:v>
      </x:c>
      <x:c r="AX18" s="19" t="str">
        <x:v>2025-05-22</x:v>
      </x:c>
      <x:c r="AY18" s="19" t="str">
        <x:v>https://gs.amac.org.cn/amac-infodisc/res/pof/manager/101000049159.html</x:v>
      </x:c>
      <x:c r="AZ18" s="19" t="str">
        <x:v>探融新视野智能量化私募证券投资基金1号</x:v>
      </x:c>
      <x:c r="BA18" s="19" t="str">
        <x:v>2026-05-25</x:v>
      </x:c>
      <x:c r="BB18" s="19"/>
      <x:c r="BC18" s="19" t="str">
        <x:v>https://gs.amac.org.cn/amac-infodisc/res/pof/fund/351000500099.html</x:v>
      </x:c>
      <x:c r="BD18" s="19" t="str">
        <x:v>已匹配</x:v>
      </x:c>
      <x:c r="BE18"/>
      <x:c r="BF18"/>
    </x:row>
    <x:row r="19" ht="28" customHeight="1">
      <x:c r="A19" s="4" t="n">
        <x:v>3</x:v>
      </x:c>
      <x:c r="B19" s="15" t="str">
        <x:f>'sheet4-原始数据'!A4</x:f>
        <x:v>辉毅4号</x:v>
      </x:c>
      <x:c r="C19" s="15" t="str">
        <x:f>'sheet4-原始数据'!B4</x:f>
        <x:v>SM4445</x:v>
      </x:c>
      <x:c r="D19" s="15" t="str">
        <x:f>'sheet4-原始数据'!E4</x:f>
        <x:v>上海申毅投资</x:v>
      </x:c>
      <x:c r="E19" s="32" t="n">
        <x:f>IF(ISNUMBER('sheet4-原始数据'!F4),'sheet4-原始数据'!F4,"")</x:f>
        <x:v>42627</x:v>
      </x:c>
      <x:c r="F19" s="17" t="n">
        <x:f>IF(NOT(ISNUMBER(E19)),"",ROUND(('sheet1-指标体系'!$J$23-E19)/365.25,4))</x:f>
        <x:v>10.0041</x:v>
      </x:c>
      <x:c r="G19" s="4" t="str">
        <x:f t="shared" si="1">IF(NOT(ISNUMBER(F19)),"",IF(F19&lt;1,"不入池","入池"))</x:f>
        <x:v>入池</x:v>
      </x:c>
      <x:c r="H19" s="33" t="str">
        <x:v>100亿元以上</x:v>
      </x:c>
      <x:c r="I19" s="17" t="n">
        <x:f>IF(H19="","",IF(ISNUMBER(SEARCH("100亿元以上",H19)),100,IF(OR(ISNUMBER(SEARCH("20-50",H19)),ISNUMBER(SEARCH("50-100",H19)),ISNUMBER(SEARCH("20-100",H19))),90,IF(ISNUMBER(SEARCH("10-20",H19)),80,IF(ISNUMBER(SEARCH("5-10",H19)),70,IF(ISNUMBER(SEARCH("0-5",H19)),60,""))))))</x:f>
        <x:v>100</x:v>
      </x:c>
      <x:c r="J19" s="34" t="str">
        <x:v>无低于1000万元标识</x:v>
      </x:c>
      <x:c r="K19" s="17" t="n">
        <x:f>IF(J19="","",IF(J19="低于1000万元",0,100))</x:f>
        <x:v>100</x:v>
      </x:c>
      <x:c r="L19" s="17" t="n">
        <x:f>IF(NOT(ISNUMBER(F19)),"",IF(F19&lt;1,"",IF(F19&lt;3,70,100)))</x:f>
        <x:v>100</x:v>
      </x:c>
      <x:c r="M19" s="35" t="n">
        <x:f>IF(ISNUMBER('sheet4-原始数据'!G4),'sheet4-原始数据'!G4,"")</x:f>
        <x:v>-0.0025</x:v>
      </x:c>
      <x:c r="N19" s="35" t="n">
        <x:f>IF(ISNUMBER('sheet4-原始数据'!H4),'sheet4-原始数据'!H4,"")</x:f>
        <x:v>0.048799999999999996</x:v>
      </x:c>
      <x:c r="O19" s="36" t="str">
        <x:f>IF(ISNUMBER('sheet4-原始数据'!Q4),'sheet4-原始数据'!Q4,"")</x:f>
      </x:c>
      <x:c r="P19" s="37" t="n">
        <x:f>IF($G19&lt;&gt;"入池","",IF($F19&gt;=3,IF(OR(NOT(ISNUMBER($M19)),NOT(ISNUMBER($N19)),1+$M19&lt;=0,1+$N19&lt;0),"",((1+$N19)^3/(1+$M19))^(1/2)-1),IF(OR($F19&lt;=1,NOT(ISNUMBER($M19)),NOT(ISNUMBER($O19)),1+$M19&lt;=0,1+$O19&lt;0),"",((1+$O19)^$F19/(1+$M19))^(1/($F19-1))-1)))</x:f>
        <x:v>0.07543103640221527</x:v>
      </x:c>
      <x:c r="Q19" s="17" t="n">
        <x:f>IF(OR($G19&lt;&gt;"入池",NOT(ISNUMBER(M19))),"",IF(COUNTIFS($G$17:$G$219,"入池",$M$17:$M$219,"&gt;=-1E+307",$M$17:$M$219,"&lt;=1E+307")&lt;=1,100,ROUND(100*(COUNTIFS($G$17:$G$219,"入池",$M$17:$M$219,"&gt;=-1E+307",$M$17:$M$219,"&lt;"&amp;M19)+COUNTIFS($G$17:$G$219,"入池",$M$17:$M$219,M19,$M$17:$M$219,"&gt;=-1E+307",$M$17:$M$219,"&lt;=1E+307")/2-0.5)/(COUNTIFS($G$17:$G$219,"入池",$M$17:$M$219,"&gt;=-1E+307",$M$17:$M$219,"&lt;=1E+307")-1),2)))</x:f>
        <x:v>18.56</x:v>
      </x:c>
      <x:c r="R19" s="17" t="n">
        <x:f>IF(OR($G19&lt;&gt;"入池",NOT(ISNUMBER(P19))),"",IF(COUNTIFS($G$17:$G$219,"入池",$P$17:$P$219,"&gt;=-1E+307",$P$17:$P$219,"&lt;=1E+307")&lt;=1,100,ROUND(100*(COUNTIFS($G$17:$G$219,"入池",$P$17:$P$219,"&gt;=-1E+307",$P$17:$P$219,"&lt;"&amp;P19)+COUNTIFS($G$17:$G$219,"入池",$P$17:$P$219,P19,$P$17:$P$219,"&gt;=-1E+307",$P$17:$P$219,"&lt;=1E+307")/2-0.5)/(COUNTIFS($G$17:$G$219,"入池",$P$17:$P$219,"&gt;=-1E+307",$P$17:$P$219,"&lt;=1E+307")-1),2)))</x:f>
        <x:v>60.89</x:v>
      </x:c>
      <x:c r="S19" s="17" t="n">
        <x:f>IF(NOT(ISNUMBER(Q19)),"",IF(NOT(ISNUMBER(R19)),Q19,ROUND(Q19*'sheet1-指标体系'!$J$8+R19*'sheet1-指标体系'!$J$9,2)))</x:f>
        <x:v>35.49</x:v>
      </x:c>
      <x:c r="T19" s="35" t="n">
        <x:f>IF(ISNUMBER('sheet4-原始数据'!J4),'sheet4-原始数据'!J4,"")</x:f>
        <x:v>0.46149999999999997</x:v>
      </x:c>
      <x:c r="U19" s="35" t="n">
        <x:f>IF(ISNUMBER('sheet4-原始数据'!I4),'sheet4-原始数据'!I4,"")</x:f>
        <x:v>0.7568</x:v>
      </x:c>
      <x:c r="V19" s="37" t="n">
        <x:f>IF(OR(NOT(ISNUMBER(T19)),NOT(ISNUMBER(U19))),"",(U19*'sheet1-指标体系'!$J$6-T19*'sheet1-指标体系'!$J$5)/'sheet1-指标体系'!$J$7)</x:f>
        <x:v>0.9167541666666666</x:v>
      </x:c>
      <x:c r="W19" s="17" t="n">
        <x:f>IF(NOT(ISNUMBER(T19)),"",T19*100)</x:f>
        <x:v>46.15</x:v>
      </x:c>
      <x:c r="X19" s="17" t="n">
        <x:f>IF($G19&lt;&gt;"入池","",IF(AND(ISNUMBER(V19),V19&gt;=0,V19&lt;=1),V19*100,IF(MAX(0,($F19-1)*12)&lt;6,100,"")))</x:f>
        <x:v>91.67541666666666</x:v>
      </x:c>
      <x:c r="Y19" s="17" t="n">
        <x:f>IF(NOT(ISNUMBER(W19)),"",IF(NOT(ISNUMBER(X19)),W19,ROUND(W19*'sheet1-指标体系'!$J$8+X19*'sheet1-指标体系'!$J$9,2)))</x:f>
        <x:v>64.36</x:v>
      </x:c>
      <x:c r="Z19" s="37" t="n">
        <x:f>IF(OR(NOT(ISNUMBER(M19)),NOT(ISNUMBER(AD19)),AD19=0),"",ABS(M19/AD19))</x:f>
        <x:v>0.02436647173489279</x:v>
      </x:c>
      <x:c r="AA19" s="35" t="n">
        <x:f>IF(ISNUMBER('sheet4-原始数据'!K4),'sheet4-原始数据'!K4,"")</x:f>
        <x:v>0.0246</x:v>
      </x:c>
      <x:c r="AB19" s="37" t="n">
        <x:f>IF(COUNT(Z19:AA19)=0,"",MAX(Z19:AA19))</x:f>
        <x:v>0.0246</x:v>
      </x:c>
      <x:c r="AC19" s="17" t="n">
        <x:f>IF(OR($G19&lt;&gt;"入池",NOT(ISNUMBER(AB19))),"",IF(COUNTIFS($G$17:$G$219,"入池",$AB$17:$AB$219,"&gt;=-1E+307",$AB$17:$AB$219,"&lt;=1E+307")&lt;=1,100,ROUND(100*(COUNTIFS($G$17:$G$219,"入池",$AB$17:$AB$219,"&lt;=1E+307",$AB$17:$AB$219,"&gt;"&amp;AB19)+COUNTIFS($G$17:$G$219,"入池",$AB$17:$AB$219,AB19,$AB$17:$AB$219,"&gt;=-1E+307",$AB$17:$AB$219,"&lt;=1E+307")/2-0.5)/(COUNTIFS($G$17:$G$219,"入池",$AB$17:$AB$219,"&gt;=-1E+307",$AB$17:$AB$219,"&lt;=1E+307")-1),2)))</x:f>
        <x:v>69.06</x:v>
      </x:c>
      <x:c r="AD19" s="38" t="n">
        <x:f>IF(ISNUMBER('sheet4-原始数据'!M4),'sheet4-原始数据'!M4,"")</x:f>
        <x:v>-0.1026</x:v>
      </x:c>
      <x:c r="AE19" s="37" t="n">
        <x:f>IF(OR(NOT(ISNUMBER(P19)),NOT(ISNUMBER(AA19)),NOT(ISNUMBER(Z19))),"",IF(AA19&gt;Z19+'sheet1-指标体系'!$J$11,AA19,""))</x:f>
        <x:v>0.0246</x:v>
      </x:c>
      <x:c r="AF19" s="17" t="n">
        <x:f>IF(OR(NOT(ISNUMBER(P19)),NOT(ISNUMBER(AE19)),AE19=0),"",P19/AE19)</x:f>
        <x:v>3.066302292772978</x:v>
      </x:c>
      <x:c r="AG19" s="17" t="n">
        <x:f>IF(OR($G19&lt;&gt;"入池",NOT(ISNUMBER(AD19))),"",IF(COUNTIFS($G$17:$G$219,"入池",$AD$17:$AD$219,"&gt;=-1E+307",$AD$17:$AD$219,"&lt;=1E+307")&lt;=1,100,ROUND(100*(COUNTIFS($G$17:$G$219,"入池",$AD$17:$AD$219,"&gt;=-1E+307",$AD$17:$AD$219,"&lt;"&amp;AD19)+COUNTIFS($G$17:$G$219,"入池",$AD$17:$AD$219,AD19,$AD$17:$AD$219,"&gt;=-1E+307",$AD$17:$AD$219,"&lt;=1E+307")/2-0.5)/(COUNTIFS($G$17:$G$219,"入池",$AD$17:$AD$219,"&gt;=-1E+307",$AD$17:$AD$219,"&lt;=1E+307")-1),2)))</x:f>
        <x:v>16.42</x:v>
      </x:c>
      <x:c r="AH19" s="17" t="n">
        <x:f>IF(OR($G19&lt;&gt;"入池",NOT(ISNUMBER(AF19))),"",IF(COUNTIFS($G$17:$G$219,"入池",$AF$17:$AF$219,"&gt;=-1E+307",$AF$17:$AF$219,"&lt;=1E+307")&lt;=1,100,ROUND(100*(COUNTIFS($G$17:$G$219,"入池",$AF$17:$AF$219,"&gt;=-1E+307",$AF$17:$AF$219,"&lt;"&amp;AF19)+COUNTIFS($G$17:$G$219,"入池",$AF$17:$AF$219,AF19,$AF$17:$AF$219,"&gt;=-1E+307",$AF$17:$AF$219,"&lt;=1E+307")/2-0.5)/(COUNTIFS($G$17:$G$219,"入池",$AF$17:$AF$219,"&gt;=-1E+307",$AF$17:$AF$219,"&lt;=1E+307")-1),2)))</x:f>
        <x:v>75.91</x:v>
      </x:c>
      <x:c r="AI19" s="17" t="n">
        <x:f>IF(NOT(ISNUMBER(AG19)),"",IF(NOT(ISNUMBER(AH19)),AG19,ROUND(AG19*'sheet1-指标体系'!$J$8+AH19*'sheet1-指标体系'!$J$9,2)))</x:f>
        <x:v>40.22</x:v>
      </x:c>
      <x:c r="AJ19" s="37" t="n">
        <x:f>IF(NOT(ISNUMBER(F19)),"",IF(F19&gt;=3,IF(NOT(ISNUMBER(N19)),"",N19),IF(NOT(ISNUMBER(O19)),"",O19)))</x:f>
        <x:v>0.048799999999999996</x:v>
      </x:c>
      <x:c r="AK19" s="17" t="n">
        <x:f>IF(OR(G19&lt;&gt;"入池",NOT(ISNUMBER(M19)),NOT(ISNUMBER(AJ19))),"",IF(M19&gt;=AJ19,100,IF(AJ19-M19&lt;'sheet1-指标体系'!$J$10,80,60)))</x:f>
        <x:v>80</x:v>
      </x:c>
      <x:c r="AL19" s="17" t="n">
        <x:f>IF(COUNT(I19,K19,L19)=0,"",ROUND((IF(ISNUMBER(I19),I19*40%,0)+IF(ISNUMBER(K19),K19*30%,0)+IF(ISNUMBER(L19),L19*30%,0))/(IF(ISNUMBER(I19),40%,0)+IF(ISNUMBER(K19),30%,0)+IF(ISNUMBER(L19),30%,0)),2))</x:f>
        <x:v>100</x:v>
      </x:c>
      <x:c r="AM19" s="17" t="n">
        <x:f>IF(COUNT(Q19,R19,W19,X19)=0,"",ROUND((IF(ISNUMBER(Q19),Q19*42%,0)+IF(ISNUMBER(R19),R19*28%,0)+IF(ISNUMBER(W19),W19*18%,0)+IF(ISNUMBER(X19),X19*12%,0))/(IF(ISNUMBER(Q19),42%,0)+IF(ISNUMBER(R19),28%,0)+IF(ISNUMBER(W19),18%,0)+IF(ISNUMBER(X19),12%,0)),2))</x:f>
        <x:v>44.15</x:v>
      </x:c>
      <x:c r="AN19" s="17" t="n">
        <x:f>IF(ISNUMBER(AC19),AC19,"")</x:f>
        <x:v>69.06</x:v>
      </x:c>
      <x:c r="AO19" s="17" t="n">
        <x:f>IF(COUNT(AG19,AH19)=0,"",ROUND((IF(ISNUMBER(AG19),AG19*60%,0)+IF(ISNUMBER(AH19),AH19*40%,0))/(IF(ISNUMBER(AG19),60%,0)+IF(ISNUMBER(AH19),40%,0)),2))</x:f>
        <x:v>40.22</x:v>
      </x:c>
      <x:c r="AP19" s="17" t="n">
        <x:f>IF(ISNUMBER(AK19),AK19,"")</x:f>
        <x:v>80</x:v>
      </x:c>
      <x:c r="AQ19" s="39" t="n">
        <x:f>IF(G19&lt;&gt;"入池",0,IF(ISNUMBER(I19),6%,0)+IF(ISNUMBER(K19),4.5%,0)+IF(ISNUMBER(L19),4.5%,0)+IF(ISNUMBER(Q19),8.4%,0)+IF(ISNUMBER(R19),5.6%,0)+IF(ISNUMBER(W19),3.6%,0)+IF(ISNUMBER(X19),2.4%,0)+IF(ISNUMBER(AC19),25%,0)+IF(ISNUMBER(AG19),18%,0)+IF(ISNUMBER(AH19),12%,0)+IF(ISNUMBER(AK19),10%,0))</x:f>
        <x:v>1</x:v>
      </x:c>
      <x:c r="AR19" s="17" t="n">
        <x:f>IF(AQ19=0,"",IF(ISNUMBER(I19),I19*6%,0)+IF(ISNUMBER(K19),K19*4.5%,0)+IF(ISNUMBER(L19),L19*4.5%,0)+IF(ISNUMBER(Q19),Q19*8.4%,0)+IF(ISNUMBER(R19),R19*5.6%,0)+IF(ISNUMBER(W19),W19*3.6%,0)+IF(ISNUMBER(X19),X19*2.4%,0)+IF(ISNUMBER(AC19),AC19*25%,0)+IF(ISNUMBER(AG19),AG19*18%,0)+IF(ISNUMBER(AH19),AH19*12%,0)+IF(ISNUMBER(AK19),AK19*10%,0))</x:f>
        <x:v>61.160289999999996</x:v>
      </x:c>
      <x:c r="AS19" s="17" t="n">
        <x:f>IF(AQ19=0,"",ROUND(AR19/AQ19,2))</x:f>
        <x:v>61.16</x:v>
      </x:c>
      <x:c r="AT19" s="40" t="n">
        <x:f>IF(OR(G19&lt;&gt;"入池",NOT(ISNUMBER(AS19))),"",COUNTIFS($G$17:$G$219,"入池",$AS$17:$AS$219,"&gt;"&amp;AS19)+COUNTIFS($G$17:$G$219,"入池",$AS$17:$AS$219,AS19,$AQ$17:$AQ$219,"&gt;"&amp;AQ19)+COUNTIFS($G$17:G19,"入池",$AS$17:AS19,AS19,$AQ$17:AQ19,AQ19))</x:f>
        <x:v>102</x:v>
      </x:c>
      <x:c r="AU19" s="41" t="str">
        <x:f t="shared" si="2">IF(NOT(ISNUMBER(I19)),"管理人规模；","")&amp;IF(J19="","产品规模标识；","")&amp;IF(AND(F19&lt;3,NOT(ISNUMBER(O19))),"R_incep；","")&amp;IF(NOT(ISNUMBER(N19)),"近三年收益；","")&amp;IF(NOT(ISNUMBER(U19)),"近三年胜率；","")&amp;IF(AND(ISNUMBER(V19),OR(V19&lt;0,V19&gt;1)),"胜率窗口口径不一致；","")&amp;IF(NOT(ISNUMBER(AA19)),"近三年回撤；","")&amp;IF(NOT(ISNUMBER(AD19)),"短期卡玛；","")&amp;IF(AND(ISNUMBER(P19),NOT(ISNUMBER(AE19))),"DD_long不可识别；","")</x:f>
      </x:c>
      <x:c r="AV19" s="42" t="n">
        <x:v>100</x:v>
      </x:c>
      <x:c r="AW19" s="19" t="str">
        <x:v>上海申毅投资股份有限公司</x:v>
      </x:c>
      <x:c r="AX19" s="19" t="str">
        <x:v>2026-04-28</x:v>
      </x:c>
      <x:c r="AY19" s="19" t="str">
        <x:v>https://gs.amac.org.cn/amac-infodisc/res/pof/manager/101000000870.html</x:v>
      </x:c>
      <x:c r="AZ19" s="19" t="str">
        <x:v>辉毅4号</x:v>
      </x:c>
      <x:c r="BA19" s="19" t="str">
        <x:v>2025-04-02</x:v>
      </x:c>
      <x:c r="BB19" s="19"/>
      <x:c r="BC19" s="19" t="str">
        <x:v>https://gs.amac.org.cn/amac-infodisc/res/pof/fund/351000509057.html</x:v>
      </x:c>
      <x:c r="BD19" s="19" t="str">
        <x:v>已匹配</x:v>
      </x:c>
      <x:c r="BE19"/>
      <x:c r="BF19"/>
    </x:row>
    <x:row r="20" ht="28" customHeight="1">
      <x:c r="A20" s="4" t="n">
        <x:v>4</x:v>
      </x:c>
      <x:c r="B20" s="15" t="str">
        <x:f>'sheet4-原始数据'!A5</x:f>
        <x:v>平凡悟鑫</x:v>
      </x:c>
      <x:c r="C20" s="15" t="str">
        <x:f>'sheet4-原始数据'!B5</x:f>
        <x:v>SJ2870</x:v>
      </x:c>
      <x:c r="D20" s="15" t="str">
        <x:f>'sheet4-原始数据'!E5</x:f>
        <x:v>北京平凡</x:v>
      </x:c>
      <x:c r="E20" s="32" t="n">
        <x:f>IF(ISNUMBER('sheet4-原始数据'!F5),'sheet4-原始数据'!F5,"")</x:f>
        <x:v>42479</x:v>
      </x:c>
      <x:c r="F20" s="17" t="n">
        <x:f>IF(NOT(ISNUMBER(E20)),"",ROUND(('sheet1-指标体系'!$J$23-E20)/365.25,4))</x:f>
        <x:v>10.4093</x:v>
      </x:c>
      <x:c r="G20" s="4" t="str">
        <x:f t="shared" si="1">IF(NOT(ISNUMBER(F20)),"",IF(F20&lt;1,"不入池","入池"))</x:f>
        <x:v>入池</x:v>
      </x:c>
      <x:c r="H20" s="33" t="str">
        <x:v>50-100亿元</x:v>
      </x:c>
      <x:c r="I20" s="17" t="n">
        <x:f>IF(H20="","",IF(ISNUMBER(SEARCH("100亿元以上",H20)),100,IF(OR(ISNUMBER(SEARCH("20-50",H20)),ISNUMBER(SEARCH("50-100",H20)),ISNUMBER(SEARCH("20-100",H20))),90,IF(ISNUMBER(SEARCH("10-20",H20)),80,IF(ISNUMBER(SEARCH("5-10",H20)),70,IF(ISNUMBER(SEARCH("0-5",H20)),60,""))))))</x:f>
        <x:v>90</x:v>
      </x:c>
      <x:c r="J20" s="34" t="str">
        <x:v>无低于1000万元标识</x:v>
      </x:c>
      <x:c r="K20" s="17" t="n">
        <x:f>IF(J20="","",IF(J20="低于1000万元",0,100))</x:f>
        <x:v>100</x:v>
      </x:c>
      <x:c r="L20" s="17" t="n">
        <x:f>IF(NOT(ISNUMBER(F20)),"",IF(F20&lt;1,"",IF(F20&lt;3,70,100)))</x:f>
        <x:v>100</x:v>
      </x:c>
      <x:c r="M20" s="35" t="n">
        <x:f>IF(ISNUMBER('sheet4-原始数据'!G5),'sheet4-原始数据'!G5,"")</x:f>
        <x:v>0.060700000000000004</x:v>
      </x:c>
      <x:c r="N20" s="35" t="n">
        <x:f>IF(ISNUMBER('sheet4-原始数据'!H5),'sheet4-原始数据'!H5,"")</x:f>
        <x:v>0.0649</x:v>
      </x:c>
      <x:c r="O20" s="36" t="str">
        <x:f>IF(ISNUMBER('sheet4-原始数据'!Q5),'sheet4-原始数据'!Q5,"")</x:f>
      </x:c>
      <x:c r="P20" s="37" t="n">
        <x:f>IF($G20&lt;&gt;"入池","",IF($F20&gt;=3,IF(OR(NOT(ISNUMBER($M20)),NOT(ISNUMBER($N20)),1+$M20&lt;=0,1+$N20&lt;0),"",((1+$N20)^3/(1+$M20))^(1/2)-1),IF(OR($F20&lt;=1,NOT(ISNUMBER($M20)),NOT(ISNUMBER($O20)),1+$M20&lt;=0,1+$O20&lt;0),"",((1+$O20)^$F20/(1+$M20))^(1/($F20-1))-1)))</x:f>
        <x:v>0.06700623233803715</x:v>
      </x:c>
      <x:c r="Q20" s="17" t="n">
        <x:f>IF(OR($G20&lt;&gt;"入池",NOT(ISNUMBER(M20))),"",IF(COUNTIFS($G$17:$G$219,"入池",$M$17:$M$219,"&gt;=-1E+307",$M$17:$M$219,"&lt;=1E+307")&lt;=1,100,ROUND(100*(COUNTIFS($G$17:$G$219,"入池",$M$17:$M$219,"&gt;=-1E+307",$M$17:$M$219,"&lt;"&amp;M20)+COUNTIFS($G$17:$G$219,"入池",$M$17:$M$219,M20,$M$17:$M$219,"&gt;=-1E+307",$M$17:$M$219,"&lt;=1E+307")/2-0.5)/(COUNTIFS($G$17:$G$219,"入池",$M$17:$M$219,"&gt;=-1E+307",$M$17:$M$219,"&lt;=1E+307")-1),2)))</x:f>
        <x:v>54.95</x:v>
      </x:c>
      <x:c r="R20" s="17" t="n">
        <x:f>IF(OR($G20&lt;&gt;"入池",NOT(ISNUMBER(P20))),"",IF(COUNTIFS($G$17:$G$219,"入池",$P$17:$P$219,"&gt;=-1E+307",$P$17:$P$219,"&lt;=1E+307")&lt;=1,100,ROUND(100*(COUNTIFS($G$17:$G$219,"入池",$P$17:$P$219,"&gt;=-1E+307",$P$17:$P$219,"&lt;"&amp;P20)+COUNTIFS($G$17:$G$219,"入池",$P$17:$P$219,P20,$P$17:$P$219,"&gt;=-1E+307",$P$17:$P$219,"&lt;=1E+307")/2-0.5)/(COUNTIFS($G$17:$G$219,"入池",$P$17:$P$219,"&gt;=-1E+307",$P$17:$P$219,"&lt;=1E+307")-1),2)))</x:f>
        <x:v>53.96</x:v>
      </x:c>
      <x:c r="S20" s="17" t="n">
        <x:f>IF(NOT(ISNUMBER(Q20)),"",IF(NOT(ISNUMBER(R20)),Q20,ROUND(Q20*'sheet1-指标体系'!$J$8+R20*'sheet1-指标体系'!$J$9,2)))</x:f>
        <x:v>54.55</x:v>
      </x:c>
      <x:c r="T20" s="35" t="n">
        <x:f>IF(ISNUMBER('sheet4-原始数据'!J5),'sheet4-原始数据'!J5,"")</x:f>
        <x:v>0.9231</x:v>
      </x:c>
      <x:c r="U20" s="35" t="n">
        <x:f>IF(ISNUMBER('sheet4-原始数据'!I5),'sheet4-原始数据'!I5,"")</x:f>
        <x:v>0.8919</x:v>
      </x:c>
      <x:c r="V20" s="37" t="n">
        <x:f>IF(OR(NOT(ISNUMBER(T20)),NOT(ISNUMBER(U20))),"",(U20*'sheet1-指标体系'!$J$6-T20*'sheet1-指标体系'!$J$5)/'sheet1-指标体系'!$J$7)</x:f>
        <x:v>0.875</x:v>
      </x:c>
      <x:c r="W20" s="17" t="n">
        <x:f>IF(NOT(ISNUMBER(T20)),"",T20*100)</x:f>
        <x:v>92.31</x:v>
      </x:c>
      <x:c r="X20" s="17" t="n">
        <x:f>IF($G20&lt;&gt;"入池","",IF(AND(ISNUMBER(V20),V20&gt;=0,V20&lt;=1),V20*100,IF(MAX(0,($F20-1)*12)&lt;6,100,"")))</x:f>
        <x:v>87.5</x:v>
      </x:c>
      <x:c r="Y20" s="17" t="n">
        <x:f>IF(NOT(ISNUMBER(W20)),"",IF(NOT(ISNUMBER(X20)),W20,ROUND(W20*'sheet1-指标体系'!$J$8+X20*'sheet1-指标体系'!$J$9,2)))</x:f>
        <x:v>90.39</x:v>
      </x:c>
      <x:c r="Z20" s="37" t="n">
        <x:f>IF(OR(NOT(ISNUMBER(M20)),NOT(ISNUMBER(AD20)),AD20=0),"",ABS(M20/AD20))</x:f>
        <x:v>0.009712466198377522</x:v>
      </x:c>
      <x:c r="AA20" s="35" t="n">
        <x:f>IF(ISNUMBER('sheet4-原始数据'!K5),'sheet4-原始数据'!K5,"")</x:f>
        <x:v>0.0097</x:v>
      </x:c>
      <x:c r="AB20" s="37" t="n">
        <x:f>IF(COUNT(Z20:AA20)=0,"",MAX(Z20:AA20))</x:f>
        <x:v>0.009712466198377522</x:v>
      </x:c>
      <x:c r="AC20" s="17" t="n">
        <x:f>IF(OR($G20&lt;&gt;"入池",NOT(ISNUMBER(AB20))),"",IF(COUNTIFS($G$17:$G$219,"入池",$AB$17:$AB$219,"&gt;=-1E+307",$AB$17:$AB$219,"&lt;=1E+307")&lt;=1,100,ROUND(100*(COUNTIFS($G$17:$G$219,"入池",$AB$17:$AB$219,"&lt;=1E+307",$AB$17:$AB$219,"&gt;"&amp;AB20)+COUNTIFS($G$17:$G$219,"入池",$AB$17:$AB$219,AB20,$AB$17:$AB$219,"&gt;=-1E+307",$AB$17:$AB$219,"&lt;=1E+307")/2-0.5)/(COUNTIFS($G$17:$G$219,"入池",$AB$17:$AB$219,"&gt;=-1E+307",$AB$17:$AB$219,"&lt;=1E+307")-1),2)))</x:f>
        <x:v>87.62</x:v>
      </x:c>
      <x:c r="AD20" s="38" t="n">
        <x:f>IF(ISNUMBER('sheet4-原始数据'!M5),'sheet4-原始数据'!M5,"")</x:f>
        <x:v>6.2497</x:v>
      </x:c>
      <x:c r="AE20" s="37" t="str">
        <x:f>IF(OR(NOT(ISNUMBER(P20)),NOT(ISNUMBER(AA20)),NOT(ISNUMBER(Z20))),"",IF(AA20&gt;Z20+'sheet1-指标体系'!$J$11,AA20,""))</x:f>
      </x:c>
      <x:c r="AF20" s="17" t="str">
        <x:f>IF(OR(NOT(ISNUMBER(P20)),NOT(ISNUMBER(AE20)),AE20=0),"",P20/AE20)</x:f>
      </x:c>
      <x:c r="AG20" s="17" t="n">
        <x:f>IF(OR($G20&lt;&gt;"入池",NOT(ISNUMBER(AD20))),"",IF(COUNTIFS($G$17:$G$219,"入池",$AD$17:$AD$219,"&gt;=-1E+307",$AD$17:$AD$219,"&lt;=1E+307")&lt;=1,100,ROUND(100*(COUNTIFS($G$17:$G$219,"入池",$AD$17:$AD$219,"&gt;=-1E+307",$AD$17:$AD$219,"&lt;"&amp;AD20)+COUNTIFS($G$17:$G$219,"入池",$AD$17:$AD$219,AD20,$AD$17:$AD$219,"&gt;=-1E+307",$AD$17:$AD$219,"&lt;=1E+307")/2-0.5)/(COUNTIFS($G$17:$G$219,"入池",$AD$17:$AD$219,"&gt;=-1E+307",$AD$17:$AD$219,"&lt;=1E+307")-1),2)))</x:f>
        <x:v>68.66</x:v>
      </x:c>
      <x:c r="AH20" s="17" t="str">
        <x:f>IF(OR($G20&lt;&gt;"入池",NOT(ISNUMBER(AF20))),"",IF(COUNTIFS($G$17:$G$219,"入池",$AF$17:$AF$219,"&gt;=-1E+307",$AF$17:$AF$219,"&lt;=1E+307")&lt;=1,100,ROUND(100*(COUNTIFS($G$17:$G$219,"入池",$AF$17:$AF$219,"&gt;=-1E+307",$AF$17:$AF$219,"&lt;"&amp;AF20)+COUNTIFS($G$17:$G$219,"入池",$AF$17:$AF$219,AF20,$AF$17:$AF$219,"&gt;=-1E+307",$AF$17:$AF$219,"&lt;=1E+307")/2-0.5)/(COUNTIFS($G$17:$G$219,"入池",$AF$17:$AF$219,"&gt;=-1E+307",$AF$17:$AF$219,"&lt;=1E+307")-1),2)))</x:f>
      </x:c>
      <x:c r="AI20" s="17" t="n">
        <x:f>IF(NOT(ISNUMBER(AG20)),"",IF(NOT(ISNUMBER(AH20)),AG20,ROUND(AG20*'sheet1-指标体系'!$J$8+AH20*'sheet1-指标体系'!$J$9,2)))</x:f>
        <x:v>68.66</x:v>
      </x:c>
      <x:c r="AJ20" s="37" t="n">
        <x:f>IF(NOT(ISNUMBER(F20)),"",IF(F20&gt;=3,IF(NOT(ISNUMBER(N20)),"",N20),IF(NOT(ISNUMBER(O20)),"",O20)))</x:f>
        <x:v>0.0649</x:v>
      </x:c>
      <x:c r="AK20" s="17" t="n">
        <x:f>IF(OR(G20&lt;&gt;"入池",NOT(ISNUMBER(M20)),NOT(ISNUMBER(AJ20))),"",IF(M20&gt;=AJ20,100,IF(AJ20-M20&lt;'sheet1-指标体系'!$J$10,80,60)))</x:f>
        <x:v>80</x:v>
      </x:c>
      <x:c r="AL20" s="17" t="n">
        <x:f>IF(COUNT(I20,K20,L20)=0,"",ROUND((IF(ISNUMBER(I20),I20*40%,0)+IF(ISNUMBER(K20),K20*30%,0)+IF(ISNUMBER(L20),L20*30%,0))/(IF(ISNUMBER(I20),40%,0)+IF(ISNUMBER(K20),30%,0)+IF(ISNUMBER(L20),30%,0)),2))</x:f>
        <x:v>96</x:v>
      </x:c>
      <x:c r="AM20" s="17" t="n">
        <x:f>IF(COUNT(Q20,R20,W20,X20)=0,"",ROUND((IF(ISNUMBER(Q20),Q20*42%,0)+IF(ISNUMBER(R20),R20*28%,0)+IF(ISNUMBER(W20),W20*18%,0)+IF(ISNUMBER(X20),X20*12%,0))/(IF(ISNUMBER(Q20),42%,0)+IF(ISNUMBER(R20),28%,0)+IF(ISNUMBER(W20),18%,0)+IF(ISNUMBER(X20),12%,0)),2))</x:f>
        <x:v>65.3</x:v>
      </x:c>
      <x:c r="AN20" s="17" t="n">
        <x:f>IF(ISNUMBER(AC20),AC20,"")</x:f>
        <x:v>87.62</x:v>
      </x:c>
      <x:c r="AO20" s="17" t="n">
        <x:f>IF(COUNT(AG20,AH20)=0,"",ROUND((IF(ISNUMBER(AG20),AG20*60%,0)+IF(ISNUMBER(AH20),AH20*40%,0))/(IF(ISNUMBER(AG20),60%,0)+IF(ISNUMBER(AH20),40%,0)),2))</x:f>
        <x:v>68.66</x:v>
      </x:c>
      <x:c r="AP20" s="17" t="n">
        <x:f>IF(ISNUMBER(AK20),AK20,"")</x:f>
        <x:v>80</x:v>
      </x:c>
      <x:c r="AQ20" s="39" t="n">
        <x:f>IF(G20&lt;&gt;"入池",0,IF(ISNUMBER(I20),6%,0)+IF(ISNUMBER(K20),4.5%,0)+IF(ISNUMBER(L20),4.5%,0)+IF(ISNUMBER(Q20),8.4%,0)+IF(ISNUMBER(R20),5.6%,0)+IF(ISNUMBER(W20),3.6%,0)+IF(ISNUMBER(X20),2.4%,0)+IF(ISNUMBER(AC20),25%,0)+IF(ISNUMBER(AG20),18%,0)+IF(ISNUMBER(AH20),12%,0)+IF(ISNUMBER(AK20),10%,0))</x:f>
        <x:v>0.88</x:v>
      </x:c>
      <x:c r="AR20" s="17" t="n">
        <x:f>IF(AQ20=0,"",IF(ISNUMBER(I20),I20*6%,0)+IF(ISNUMBER(K20),K20*4.5%,0)+IF(ISNUMBER(L20),L20*4.5%,0)+IF(ISNUMBER(Q20),Q20*8.4%,0)+IF(ISNUMBER(R20),R20*5.6%,0)+IF(ISNUMBER(W20),W20*3.6%,0)+IF(ISNUMBER(X20),X20*2.4%,0)+IF(ISNUMBER(AC20),AC20*25%,0)+IF(ISNUMBER(AG20),AG20*18%,0)+IF(ISNUMBER(AH20),AH20*12%,0)+IF(ISNUMBER(AK20),AK20*10%,0))</x:f>
        <x:v>69.72452</x:v>
      </x:c>
      <x:c r="AS20" s="17" t="n">
        <x:f>IF(AQ20=0,"",ROUND(AR20/AQ20,2))</x:f>
        <x:v>79.23</x:v>
      </x:c>
      <x:c r="AT20" s="40" t="n">
        <x:f>IF(OR(G20&lt;&gt;"入池",NOT(ISNUMBER(AS20))),"",COUNTIFS($G$17:$G$219,"入池",$AS$17:$AS$219,"&gt;"&amp;AS20)+COUNTIFS($G$17:$G$219,"入池",$AS$17:$AS$219,AS20,$AQ$17:$AQ$219,"&gt;"&amp;AQ20)+COUNTIFS($G$17:G20,"入池",$AS$17:AS20,AS20,$AQ$17:AQ20,AQ20))</x:f>
        <x:v>36</x:v>
      </x:c>
      <x:c r="AU20" s="41" t="str">
        <x:f t="shared" si="2">IF(NOT(ISNUMBER(I20)),"管理人规模；","")&amp;IF(J20="","产品规模标识；","")&amp;IF(AND(F20&lt;3,NOT(ISNUMBER(O20))),"R_incep；","")&amp;IF(NOT(ISNUMBER(N20)),"近三年收益；","")&amp;IF(NOT(ISNUMBER(U20)),"近三年胜率；","")&amp;IF(AND(ISNUMBER(V20),OR(V20&lt;0,V20&gt;1)),"胜率窗口口径不一致；","")&amp;IF(NOT(ISNUMBER(AA20)),"近三年回撤；","")&amp;IF(NOT(ISNUMBER(AD20)),"短期卡玛；","")&amp;IF(AND(ISNUMBER(P20),NOT(ISNUMBER(AE20))),"DD_long不可识别；","")</x:f>
        <x:v>DD_long不可识别；</x:v>
      </x:c>
      <x:c r="AV20" s="42" t="n">
        <x:v>50</x:v>
      </x:c>
      <x:c r="AW20" s="19" t="str">
        <x:v>北京平凡私募基金管理有限公司</x:v>
      </x:c>
      <x:c r="AX20" s="19" t="str">
        <x:v>2026-08-05</x:v>
      </x:c>
      <x:c r="AY20" s="19" t="str">
        <x:v>https://gs.amac.org.cn/amac-infodisc/res/pof/manager/101000030286.html</x:v>
      </x:c>
      <x:c r="AZ20" s="19" t="str">
        <x:v>平凡悟鑫证券投资基金</x:v>
      </x:c>
      <x:c r="BA20" s="19" t="str">
        <x:v>2026-05-27</x:v>
      </x:c>
      <x:c r="BB20" s="19"/>
      <x:c r="BC20" s="19" t="str">
        <x:v>https://gs.amac.org.cn/amac-infodisc/res/pof/fund/351000410825.html</x:v>
      </x:c>
      <x:c r="BD20" s="19" t="str">
        <x:v>已匹配</x:v>
      </x:c>
      <x:c r="BE20"/>
      <x:c r="BF20"/>
    </x:row>
    <x:row r="21" ht="28" customHeight="1">
      <x:c r="A21" s="4" t="n">
        <x:v>5</x:v>
      </x:c>
      <x:c r="B21" s="15" t="str">
        <x:f>'sheet4-原始数据'!A6</x:f>
        <x:v>致同稳盈对冲</x:v>
      </x:c>
      <x:c r="C21" s="15" t="str">
        <x:f>'sheet4-原始数据'!B6</x:f>
        <x:v>SS8645</x:v>
      </x:c>
      <x:c r="D21" s="15" t="str">
        <x:f>'sheet4-原始数据'!E6</x:f>
        <x:v>上海致同投资</x:v>
      </x:c>
      <x:c r="E21" s="32" t="n">
        <x:f>IF(ISNUMBER('sheet4-原始数据'!F6),'sheet4-原始数据'!F6,"")</x:f>
        <x:v>42857</x:v>
      </x:c>
      <x:c r="F21" s="17" t="n">
        <x:f>IF(NOT(ISNUMBER(E21)),"",ROUND(('sheet1-指标体系'!$J$23-E21)/365.25,4))</x:f>
        <x:v>9.3744</x:v>
      </x:c>
      <x:c r="G21" s="4" t="str">
        <x:f t="shared" si="1">IF(NOT(ISNUMBER(F21)),"",IF(F21&lt;1,"不入池","入池"))</x:f>
        <x:v>入池</x:v>
      </x:c>
      <x:c r="H21" s="33" t="str">
        <x:v>20-50亿元</x:v>
      </x:c>
      <x:c r="I21" s="17" t="n">
        <x:f>IF(H21="","",IF(ISNUMBER(SEARCH("100亿元以上",H21)),100,IF(OR(ISNUMBER(SEARCH("20-50",H21)),ISNUMBER(SEARCH("50-100",H21)),ISNUMBER(SEARCH("20-100",H21))),90,IF(ISNUMBER(SEARCH("10-20",H21)),80,IF(ISNUMBER(SEARCH("5-10",H21)),70,IF(ISNUMBER(SEARCH("0-5",H21)),60,""))))))</x:f>
        <x:v>90</x:v>
      </x:c>
      <x:c r="J21" s="34" t="str">
        <x:v>无低于1000万元标识</x:v>
      </x:c>
      <x:c r="K21" s="17" t="n">
        <x:f>IF(J21="","",IF(J21="低于1000万元",0,100))</x:f>
        <x:v>100</x:v>
      </x:c>
      <x:c r="L21" s="17" t="n">
        <x:f>IF(NOT(ISNUMBER(F21)),"",IF(F21&lt;1,"",IF(F21&lt;3,70,100)))</x:f>
        <x:v>100</x:v>
      </x:c>
      <x:c r="M21" s="35" t="n">
        <x:f>IF(ISNUMBER('sheet4-原始数据'!G6),'sheet4-原始数据'!G6,"")</x:f>
        <x:v>0.0405</x:v>
      </x:c>
      <x:c r="N21" s="35" t="n">
        <x:f>IF(ISNUMBER('sheet4-原始数据'!H6),'sheet4-原始数据'!H6,"")</x:f>
        <x:v>0.0489</x:v>
      </x:c>
      <x:c r="O21" s="36" t="str">
        <x:f>IF(ISNUMBER('sheet4-原始数据'!Q6),'sheet4-原始数据'!Q6,"")</x:f>
      </x:c>
      <x:c r="P21" s="37" t="n">
        <x:f>IF($G21&lt;&gt;"入池","",IF($F21&gt;=3,IF(OR(NOT(ISNUMBER($M21)),NOT(ISNUMBER($N21)),1+$M21&lt;=0,1+$N21&lt;0),"",((1+$N21)^3/(1+$M21))^(1/2)-1),IF(OR($F21&lt;=1,NOT(ISNUMBER($M21)),NOT(ISNUMBER($O21)),1+$M21&lt;=0,1+$O21&lt;0),"",((1+$O21)^$F21/(1+$M21))^(1/($F21-1))-1)))</x:f>
        <x:v>0.053125395968509403</x:v>
      </x:c>
      <x:c r="Q21" s="17" t="n">
        <x:f>IF(OR($G21&lt;&gt;"入池",NOT(ISNUMBER(M21))),"",IF(COUNTIFS($G$17:$G$219,"入池",$M$17:$M$219,"&gt;=-1E+307",$M$17:$M$219,"&lt;=1E+307")&lt;=1,100,ROUND(100*(COUNTIFS($G$17:$G$219,"入池",$M$17:$M$219,"&gt;=-1E+307",$M$17:$M$219,"&lt;"&amp;M21)+COUNTIFS($G$17:$G$219,"入池",$M$17:$M$219,M21,$M$17:$M$219,"&gt;=-1E+307",$M$17:$M$219,"&lt;=1E+307")/2-0.5)/(COUNTIFS($G$17:$G$219,"入池",$M$17:$M$219,"&gt;=-1E+307",$M$17:$M$219,"&lt;=1E+307")-1),2)))</x:f>
        <x:v>43.07</x:v>
      </x:c>
      <x:c r="R21" s="17" t="n">
        <x:f>IF(OR($G21&lt;&gt;"入池",NOT(ISNUMBER(P21))),"",IF(COUNTIFS($G$17:$G$219,"入池",$P$17:$P$219,"&gt;=-1E+307",$P$17:$P$219,"&lt;=1E+307")&lt;=1,100,ROUND(100*(COUNTIFS($G$17:$G$219,"入池",$P$17:$P$219,"&gt;=-1E+307",$P$17:$P$219,"&lt;"&amp;P21)+COUNTIFS($G$17:$G$219,"入池",$P$17:$P$219,P21,$P$17:$P$219,"&gt;=-1E+307",$P$17:$P$219,"&lt;=1E+307")/2-0.5)/(COUNTIFS($G$17:$G$219,"入池",$P$17:$P$219,"&gt;=-1E+307",$P$17:$P$219,"&lt;=1E+307")-1),2)))</x:f>
        <x:v>39.11</x:v>
      </x:c>
      <x:c r="S21" s="17" t="n">
        <x:f>IF(NOT(ISNUMBER(Q21)),"",IF(NOT(ISNUMBER(R21)),Q21,ROUND(Q21*'sheet1-指标体系'!$J$8+R21*'sheet1-指标体系'!$J$9,2)))</x:f>
        <x:v>41.49</x:v>
      </x:c>
      <x:c r="T21" s="35" t="n">
        <x:f>IF(ISNUMBER('sheet4-原始数据'!J6),'sheet4-原始数据'!J6,"")</x:f>
        <x:v>0.7692</x:v>
      </x:c>
      <x:c r="U21" s="35" t="n">
        <x:f>IF(ISNUMBER('sheet4-原始数据'!I6),'sheet4-原始数据'!I6,"")</x:f>
        <x:v>0.7837999999999999</x:v>
      </x:c>
      <x:c r="V21" s="37" t="n">
        <x:f>IF(OR(NOT(ISNUMBER(T21)),NOT(ISNUMBER(U21))),"",(U21*'sheet1-指标体系'!$J$6-T21*'sheet1-指标体系'!$J$5)/'sheet1-指标体系'!$J$7)</x:f>
        <x:v>0.7917083333333332</x:v>
      </x:c>
      <x:c r="W21" s="17" t="n">
        <x:f>IF(NOT(ISNUMBER(T21)),"",T21*100)</x:f>
        <x:v>76.92</x:v>
      </x:c>
      <x:c r="X21" s="17" t="n">
        <x:f>IF($G21&lt;&gt;"入池","",IF(AND(ISNUMBER(V21),V21&gt;=0,V21&lt;=1),V21*100,IF(MAX(0,($F21-1)*12)&lt;6,100,"")))</x:f>
        <x:v>79.17083333333332</x:v>
      </x:c>
      <x:c r="Y21" s="17" t="n">
        <x:f>IF(NOT(ISNUMBER(W21)),"",IF(NOT(ISNUMBER(X21)),W21,ROUND(W21*'sheet1-指标体系'!$J$8+X21*'sheet1-指标体系'!$J$9,2)))</x:f>
        <x:v>77.82</x:v>
      </x:c>
      <x:c r="Z21" s="37" t="n">
        <x:f>IF(OR(NOT(ISNUMBER(M21)),NOT(ISNUMBER(AD21)),AD21=0),"",ABS(M21/AD21))</x:f>
        <x:v>0.01337251535362874</x:v>
      </x:c>
      <x:c r="AA21" s="35" t="n">
        <x:f>IF(ISNUMBER('sheet4-原始数据'!K6),'sheet4-原始数据'!K6,"")</x:f>
        <x:v>0.0134</x:v>
      </x:c>
      <x:c r="AB21" s="37" t="n">
        <x:f>IF(COUNT(Z21:AA21)=0,"",MAX(Z21:AA21))</x:f>
        <x:v>0.0134</x:v>
      </x:c>
      <x:c r="AC21" s="17" t="n">
        <x:f>IF(OR($G21&lt;&gt;"入池",NOT(ISNUMBER(AB21))),"",IF(COUNTIFS($G$17:$G$219,"入池",$AB$17:$AB$219,"&gt;=-1E+307",$AB$17:$AB$219,"&lt;=1E+307")&lt;=1,100,ROUND(100*(COUNTIFS($G$17:$G$219,"入池",$AB$17:$AB$219,"&lt;=1E+307",$AB$17:$AB$219,"&gt;"&amp;AB21)+COUNTIFS($G$17:$G$219,"入池",$AB$17:$AB$219,AB21,$AB$17:$AB$219,"&gt;=-1E+307",$AB$17:$AB$219,"&lt;=1E+307")/2-0.5)/(COUNTIFS($G$17:$G$219,"入池",$AB$17:$AB$219,"&gt;=-1E+307",$AB$17:$AB$219,"&lt;=1E+307")-1),2)))</x:f>
        <x:v>81.19</x:v>
      </x:c>
      <x:c r="AD21" s="38" t="n">
        <x:f>IF(ISNUMBER('sheet4-原始数据'!M6),'sheet4-原始数据'!M6,"")</x:f>
        <x:v>3.0286</x:v>
      </x:c>
      <x:c r="AE21" s="37" t="str">
        <x:f>IF(OR(NOT(ISNUMBER(P21)),NOT(ISNUMBER(AA21)),NOT(ISNUMBER(Z21))),"",IF(AA21&gt;Z21+'sheet1-指标体系'!$J$11,AA21,""))</x:f>
      </x:c>
      <x:c r="AF21" s="17" t="str">
        <x:f>IF(OR(NOT(ISNUMBER(P21)),NOT(ISNUMBER(AE21)),AE21=0),"",P21/AE21)</x:f>
      </x:c>
      <x:c r="AG21" s="17" t="n">
        <x:f>IF(OR($G21&lt;&gt;"入池",NOT(ISNUMBER(AD21))),"",IF(COUNTIFS($G$17:$G$219,"入池",$AD$17:$AD$219,"&gt;=-1E+307",$AD$17:$AD$219,"&lt;=1E+307")&lt;=1,100,ROUND(100*(COUNTIFS($G$17:$G$219,"入池",$AD$17:$AD$219,"&gt;=-1E+307",$AD$17:$AD$219,"&lt;"&amp;AD21)+COUNTIFS($G$17:$G$219,"入池",$AD$17:$AD$219,AD21,$AD$17:$AD$219,"&gt;=-1E+307",$AD$17:$AD$219,"&lt;=1E+307")/2-0.5)/(COUNTIFS($G$17:$G$219,"入池",$AD$17:$AD$219,"&gt;=-1E+307",$AD$17:$AD$219,"&lt;=1E+307")-1),2)))</x:f>
        <x:v>52.24</x:v>
      </x:c>
      <x:c r="AH21" s="17" t="str">
        <x:f>IF(OR($G21&lt;&gt;"入池",NOT(ISNUMBER(AF21))),"",IF(COUNTIFS($G$17:$G$219,"入池",$AF$17:$AF$219,"&gt;=-1E+307",$AF$17:$AF$219,"&lt;=1E+307")&lt;=1,100,ROUND(100*(COUNTIFS($G$17:$G$219,"入池",$AF$17:$AF$219,"&gt;=-1E+307",$AF$17:$AF$219,"&lt;"&amp;AF21)+COUNTIFS($G$17:$G$219,"入池",$AF$17:$AF$219,AF21,$AF$17:$AF$219,"&gt;=-1E+307",$AF$17:$AF$219,"&lt;=1E+307")/2-0.5)/(COUNTIFS($G$17:$G$219,"入池",$AF$17:$AF$219,"&gt;=-1E+307",$AF$17:$AF$219,"&lt;=1E+307")-1),2)))</x:f>
      </x:c>
      <x:c r="AI21" s="17" t="n">
        <x:f>IF(NOT(ISNUMBER(AG21)),"",IF(NOT(ISNUMBER(AH21)),AG21,ROUND(AG21*'sheet1-指标体系'!$J$8+AH21*'sheet1-指标体系'!$J$9,2)))</x:f>
        <x:v>52.24</x:v>
      </x:c>
      <x:c r="AJ21" s="37" t="n">
        <x:f>IF(NOT(ISNUMBER(F21)),"",IF(F21&gt;=3,IF(NOT(ISNUMBER(N21)),"",N21),IF(NOT(ISNUMBER(O21)),"",O21)))</x:f>
        <x:v>0.0489</x:v>
      </x:c>
      <x:c r="AK21" s="17" t="n">
        <x:f>IF(OR(G21&lt;&gt;"入池",NOT(ISNUMBER(M21)),NOT(ISNUMBER(AJ21))),"",IF(M21&gt;=AJ21,100,IF(AJ21-M21&lt;'sheet1-指标体系'!$J$10,80,60)))</x:f>
        <x:v>80</x:v>
      </x:c>
      <x:c r="AL21" s="17" t="n">
        <x:f>IF(COUNT(I21,K21,L21)=0,"",ROUND((IF(ISNUMBER(I21),I21*40%,0)+IF(ISNUMBER(K21),K21*30%,0)+IF(ISNUMBER(L21),L21*30%,0))/(IF(ISNUMBER(I21),40%,0)+IF(ISNUMBER(K21),30%,0)+IF(ISNUMBER(L21),30%,0)),2))</x:f>
        <x:v>96</x:v>
      </x:c>
      <x:c r="AM21" s="17" t="n">
        <x:f>IF(COUNT(Q21,R21,W21,X21)=0,"",ROUND((IF(ISNUMBER(Q21),Q21*42%,0)+IF(ISNUMBER(R21),R21*28%,0)+IF(ISNUMBER(W21),W21*18%,0)+IF(ISNUMBER(X21),X21*12%,0))/(IF(ISNUMBER(Q21),42%,0)+IF(ISNUMBER(R21),28%,0)+IF(ISNUMBER(W21),18%,0)+IF(ISNUMBER(X21),12%,0)),2))</x:f>
        <x:v>52.39</x:v>
      </x:c>
      <x:c r="AN21" s="17" t="n">
        <x:f>IF(ISNUMBER(AC21),AC21,"")</x:f>
        <x:v>81.19</x:v>
      </x:c>
      <x:c r="AO21" s="17" t="n">
        <x:f>IF(COUNT(AG21,AH21)=0,"",ROUND((IF(ISNUMBER(AG21),AG21*60%,0)+IF(ISNUMBER(AH21),AH21*40%,0))/(IF(ISNUMBER(AG21),60%,0)+IF(ISNUMBER(AH21),40%,0)),2))</x:f>
        <x:v>52.24</x:v>
      </x:c>
      <x:c r="AP21" s="17" t="n">
        <x:f>IF(ISNUMBER(AK21),AK21,"")</x:f>
        <x:v>80</x:v>
      </x:c>
      <x:c r="AQ21" s="39" t="n">
        <x:f>IF(G21&lt;&gt;"入池",0,IF(ISNUMBER(I21),6%,0)+IF(ISNUMBER(K21),4.5%,0)+IF(ISNUMBER(L21),4.5%,0)+IF(ISNUMBER(Q21),8.4%,0)+IF(ISNUMBER(R21),5.6%,0)+IF(ISNUMBER(W21),3.6%,0)+IF(ISNUMBER(X21),2.4%,0)+IF(ISNUMBER(AC21),25%,0)+IF(ISNUMBER(AG21),18%,0)+IF(ISNUMBER(AH21),12%,0)+IF(ISNUMBER(AK21),10%,0))</x:f>
        <x:v>0.88</x:v>
      </x:c>
      <x:c r="AR21" s="17" t="n">
        <x:f>IF(AQ21=0,"",IF(ISNUMBER(I21),I21*6%,0)+IF(ISNUMBER(K21),K21*4.5%,0)+IF(ISNUMBER(L21),L21*4.5%,0)+IF(ISNUMBER(Q21),Q21*8.4%,0)+IF(ISNUMBER(R21),R21*5.6%,0)+IF(ISNUMBER(W21),W21*3.6%,0)+IF(ISNUMBER(X21),X21*2.4%,0)+IF(ISNUMBER(AC21),AC21*25%,0)+IF(ISNUMBER(AG21),AG21*18%,0)+IF(ISNUMBER(AH21),AH21*12%,0)+IF(ISNUMBER(AK21),AK21*10%,0))</x:f>
        <x:v>62.57795999999999</x:v>
      </x:c>
      <x:c r="AS21" s="17" t="n">
        <x:f>IF(AQ21=0,"",ROUND(AR21/AQ21,2))</x:f>
        <x:v>71.11</x:v>
      </x:c>
      <x:c r="AT21" s="40" t="n">
        <x:f>IF(OR(G21&lt;&gt;"入池",NOT(ISNUMBER(AS21))),"",COUNTIFS($G$17:$G$219,"入池",$AS$17:$AS$219,"&gt;"&amp;AS21)+COUNTIFS($G$17:$G$219,"入池",$AS$17:$AS$219,AS21,$AQ$17:$AQ$219,"&gt;"&amp;AQ21)+COUNTIFS($G$17:G21,"入池",$AS$17:AS21,AS21,$AQ$17:AQ21,AQ21))</x:f>
        <x:v>67</x:v>
      </x:c>
      <x:c r="AU21" s="41" t="str">
        <x:f t="shared" si="2">IF(NOT(ISNUMBER(I21)),"管理人规模；","")&amp;IF(J21="","产品规模标识；","")&amp;IF(AND(F21&lt;3,NOT(ISNUMBER(O21))),"R_incep；","")&amp;IF(NOT(ISNUMBER(N21)),"近三年收益；","")&amp;IF(NOT(ISNUMBER(U21)),"近三年胜率；","")&amp;IF(AND(ISNUMBER(V21),OR(V21&lt;0,V21&gt;1)),"胜率窗口口径不一致；","")&amp;IF(NOT(ISNUMBER(AA21)),"近三年回撤；","")&amp;IF(NOT(ISNUMBER(AD21)),"短期卡玛；","")&amp;IF(AND(ISNUMBER(P21),NOT(ISNUMBER(AE21))),"DD_long不可识别；","")</x:f>
        <x:v>DD_long不可识别；</x:v>
      </x:c>
      <x:c r="AV21" s="42" t="n">
        <x:v>20</x:v>
      </x:c>
      <x:c r="AW21" s="19" t="str">
        <x:v>上海致同投资管理有限公司</x:v>
      </x:c>
      <x:c r="AX21" s="19" t="str">
        <x:v>2026-03-16</x:v>
      </x:c>
      <x:c r="AY21" s="19" t="str">
        <x:v>https://gs.amac.org.cn/amac-infodisc/res/pof/manager/101000004339.html</x:v>
      </x:c>
      <x:c r="AZ21" s="19" t="str">
        <x:v>致同稳盈对冲私募基金</x:v>
      </x:c>
      <x:c r="BA21" s="19" t="str">
        <x:v>2026-07-06</x:v>
      </x:c>
      <x:c r="BB21" s="19"/>
      <x:c r="BC21" s="19" t="str">
        <x:v>https://gs.amac.org.cn/amac-infodisc/res/pof/fund/1705051025108658.html</x:v>
      </x:c>
      <x:c r="BD21" s="19" t="str">
        <x:v>已匹配</x:v>
      </x:c>
      <x:c r="BE21"/>
      <x:c r="BF21"/>
    </x:row>
    <x:row r="22" ht="28" customHeight="1">
      <x:c r="A22" s="4" t="n">
        <x:v>6</x:v>
      </x:c>
      <x:c r="B22" s="15" t="str">
        <x:f>'sheet4-原始数据'!A7</x:f>
        <x:v>哈福尊享一号</x:v>
      </x:c>
      <x:c r="C22" s="15" t="str">
        <x:f>'sheet4-原始数据'!B7</x:f>
        <x:v>ST3922</x:v>
      </x:c>
      <x:c r="D22" s="15" t="str">
        <x:f>'sheet4-原始数据'!E7</x:f>
        <x:v>哈福基金</x:v>
      </x:c>
      <x:c r="E22" s="32" t="n">
        <x:f>IF(ISNUMBER('sheet4-原始数据'!F7),'sheet4-原始数据'!F7,"")</x:f>
        <x:v>42865</x:v>
      </x:c>
      <x:c r="F22" s="17" t="n">
        <x:f>IF(NOT(ISNUMBER(E22)),"",ROUND(('sheet1-指标体系'!$J$23-E22)/365.25,4))</x:f>
        <x:v>9.3525</x:v>
      </x:c>
      <x:c r="G22" s="4" t="str">
        <x:f t="shared" si="1">IF(NOT(ISNUMBER(F22)),"",IF(F22&lt;1,"不入池","入池"))</x:f>
        <x:v>入池</x:v>
      </x:c>
      <x:c r="H22" s="33" t="str">
        <x:v>0-5亿元</x:v>
      </x:c>
      <x:c r="I22" s="17" t="n">
        <x:f>IF(H22="","",IF(ISNUMBER(SEARCH("100亿元以上",H22)),100,IF(OR(ISNUMBER(SEARCH("20-50",H22)),ISNUMBER(SEARCH("50-100",H22)),ISNUMBER(SEARCH("20-100",H22))),90,IF(ISNUMBER(SEARCH("10-20",H22)),80,IF(ISNUMBER(SEARCH("5-10",H22)),70,IF(ISNUMBER(SEARCH("0-5",H22)),60,""))))))</x:f>
        <x:v>60</x:v>
      </x:c>
      <x:c r="J22" s="34" t="str">
        <x:v>无低于1000万元标识</x:v>
      </x:c>
      <x:c r="K22" s="17" t="n">
        <x:f>IF(J22="","",IF(J22="低于1000万元",0,100))</x:f>
        <x:v>100</x:v>
      </x:c>
      <x:c r="L22" s="17" t="n">
        <x:f>IF(NOT(ISNUMBER(F22)),"",IF(F22&lt;1,"",IF(F22&lt;3,70,100)))</x:f>
        <x:v>100</x:v>
      </x:c>
      <x:c r="M22" s="35" t="n">
        <x:f>IF(ISNUMBER('sheet4-原始数据'!G7),'sheet4-原始数据'!G7,"")</x:f>
        <x:v>0.028900000000000002</x:v>
      </x:c>
      <x:c r="N22" s="35" t="n">
        <x:f>IF(ISNUMBER('sheet4-原始数据'!H7),'sheet4-原始数据'!H7,"")</x:f>
        <x:v>0.0225</x:v>
      </x:c>
      <x:c r="O22" s="36" t="str">
        <x:f>IF(ISNUMBER('sheet4-原始数据'!Q7),'sheet4-原始数据'!Q7,"")</x:f>
      </x:c>
      <x:c r="P22" s="37" t="n">
        <x:f>IF($G22&lt;&gt;"入池","",IF($F22&gt;=3,IF(OR(NOT(ISNUMBER($M22)),NOT(ISNUMBER($N22)),1+$M22&lt;=0,1+$N22&lt;0),"",((1+$N22)^3/(1+$M22))^(1/2)-1),IF(OR($F22&lt;=1,NOT(ISNUMBER($M22)),NOT(ISNUMBER($O22)),1+$M22&lt;=0,1+$O22&lt;0),"",((1+$O22)^$F22/(1+$M22))^(1/($F22-1))-1)))</x:f>
        <x:v>0.01931494407722978</x:v>
      </x:c>
      <x:c r="Q22" s="17" t="n">
        <x:f>IF(OR($G22&lt;&gt;"入池",NOT(ISNUMBER(M22))),"",IF(COUNTIFS($G$17:$G$219,"入池",$M$17:$M$219,"&gt;=-1E+307",$M$17:$M$219,"&lt;=1E+307")&lt;=1,100,ROUND(100*(COUNTIFS($G$17:$G$219,"入池",$M$17:$M$219,"&gt;=-1E+307",$M$17:$M$219,"&lt;"&amp;M22)+COUNTIFS($G$17:$G$219,"入池",$M$17:$M$219,M22,$M$17:$M$219,"&gt;=-1E+307",$M$17:$M$219,"&lt;=1E+307")/2-0.5)/(COUNTIFS($G$17:$G$219,"入池",$M$17:$M$219,"&gt;=-1E+307",$M$17:$M$219,"&lt;=1E+307")-1),2)))</x:f>
        <x:v>32.67</x:v>
      </x:c>
      <x:c r="R22" s="17" t="n">
        <x:f>IF(OR($G22&lt;&gt;"入池",NOT(ISNUMBER(P22))),"",IF(COUNTIFS($G$17:$G$219,"入池",$P$17:$P$219,"&gt;=-1E+307",$P$17:$P$219,"&lt;=1E+307")&lt;=1,100,ROUND(100*(COUNTIFS($G$17:$G$219,"入池",$P$17:$P$219,"&gt;=-1E+307",$P$17:$P$219,"&lt;"&amp;P22)+COUNTIFS($G$17:$G$219,"入池",$P$17:$P$219,P22,$P$17:$P$219,"&gt;=-1E+307",$P$17:$P$219,"&lt;=1E+307")/2-0.5)/(COUNTIFS($G$17:$G$219,"入池",$P$17:$P$219,"&gt;=-1E+307",$P$17:$P$219,"&lt;=1E+307")-1),2)))</x:f>
        <x:v>8.91</x:v>
      </x:c>
      <x:c r="S22" s="17" t="n">
        <x:f>IF(NOT(ISNUMBER(Q22)),"",IF(NOT(ISNUMBER(R22)),Q22,ROUND(Q22*'sheet1-指标体系'!$J$8+R22*'sheet1-指标体系'!$J$9,2)))</x:f>
        <x:v>23.17</x:v>
      </x:c>
      <x:c r="T22" s="35" t="n">
        <x:f>IF(ISNUMBER('sheet4-原始数据'!J7),'sheet4-原始数据'!J7,"")</x:f>
        <x:v>0.6923</x:v>
      </x:c>
      <x:c r="U22" s="35" t="n">
        <x:f>IF(ISNUMBER('sheet4-原始数据'!I7),'sheet4-原始数据'!I7,"")</x:f>
        <x:v>0.7297</x:v>
      </x:c>
      <x:c r="V22" s="37" t="n">
        <x:f>IF(OR(NOT(ISNUMBER(T22)),NOT(ISNUMBER(U22))),"",(U22*'sheet1-指标体系'!$J$6-T22*'sheet1-指标体系'!$J$5)/'sheet1-指标体系'!$J$7)</x:f>
        <x:v>0.7499583333333333</x:v>
      </x:c>
      <x:c r="W22" s="17" t="n">
        <x:f>IF(NOT(ISNUMBER(T22)),"",T22*100)</x:f>
        <x:v>69.23</x:v>
      </x:c>
      <x:c r="X22" s="17" t="n">
        <x:f>IF($G22&lt;&gt;"入池","",IF(AND(ISNUMBER(V22),V22&gt;=0,V22&lt;=1),V22*100,IF(MAX(0,($F22-1)*12)&lt;6,100,"")))</x:f>
        <x:v>74.99583333333332</x:v>
      </x:c>
      <x:c r="Y22" s="17" t="n">
        <x:f>IF(NOT(ISNUMBER(W22)),"",IF(NOT(ISNUMBER(X22)),W22,ROUND(W22*'sheet1-指标体系'!$J$8+X22*'sheet1-指标体系'!$J$9,2)))</x:f>
        <x:v>71.54</x:v>
      </x:c>
      <x:c r="Z22" s="37" t="n">
        <x:f>IF(OR(NOT(ISNUMBER(M22)),NOT(ISNUMBER(AD22)),AD22=0),"",ABS(M22/AD22))</x:f>
        <x:v>0.028402948402948405</x:v>
      </x:c>
      <x:c r="AA22" s="35" t="n">
        <x:f>IF(ISNUMBER('sheet4-原始数据'!K7),'sheet4-原始数据'!K7,"")</x:f>
        <x:v>0.0658</x:v>
      </x:c>
      <x:c r="AB22" s="37" t="n">
        <x:f>IF(COUNT(Z22:AA22)=0,"",MAX(Z22:AA22))</x:f>
        <x:v>0.0658</x:v>
      </x:c>
      <x:c r="AC22" s="17" t="n">
        <x:f>IF(OR($G22&lt;&gt;"入池",NOT(ISNUMBER(AB22))),"",IF(COUNTIFS($G$17:$G$219,"入池",$AB$17:$AB$219,"&gt;=-1E+307",$AB$17:$AB$219,"&lt;=1E+307")&lt;=1,100,ROUND(100*(COUNTIFS($G$17:$G$219,"入池",$AB$17:$AB$219,"&lt;=1E+307",$AB$17:$AB$219,"&gt;"&amp;AB22)+COUNTIFS($G$17:$G$219,"入池",$AB$17:$AB$219,AB22,$AB$17:$AB$219,"&gt;=-1E+307",$AB$17:$AB$219,"&lt;=1E+307")/2-0.5)/(COUNTIFS($G$17:$G$219,"入池",$AB$17:$AB$219,"&gt;=-1E+307",$AB$17:$AB$219,"&lt;=1E+307")-1),2)))</x:f>
        <x:v>38.12</x:v>
      </x:c>
      <x:c r="AD22" s="38" t="n">
        <x:f>IF(ISNUMBER('sheet4-原始数据'!M7),'sheet4-原始数据'!M7,"")</x:f>
        <x:v>1.0175</x:v>
      </x:c>
      <x:c r="AE22" s="37" t="n">
        <x:f>IF(OR(NOT(ISNUMBER(P22)),NOT(ISNUMBER(AA22)),NOT(ISNUMBER(Z22))),"",IF(AA22&gt;Z22+'sheet1-指标体系'!$J$11,AA22,""))</x:f>
        <x:v>0.0658</x:v>
      </x:c>
      <x:c r="AF22" s="17" t="n">
        <x:f>IF(OR(NOT(ISNUMBER(P22)),NOT(ISNUMBER(AE22)),AE22=0),"",P22/AE22)</x:f>
        <x:v>0.29354018354452555</x:v>
      </x:c>
      <x:c r="AG22" s="17" t="n">
        <x:f>IF(OR($G22&lt;&gt;"入池",NOT(ISNUMBER(AD22))),"",IF(COUNTIFS($G$17:$G$219,"入池",$AD$17:$AD$219,"&gt;=-1E+307",$AD$17:$AD$219,"&lt;=1E+307")&lt;=1,100,ROUND(100*(COUNTIFS($G$17:$G$219,"入池",$AD$17:$AD$219,"&gt;=-1E+307",$AD$17:$AD$219,"&lt;"&amp;AD22)+COUNTIFS($G$17:$G$219,"入池",$AD$17:$AD$219,AD22,$AD$17:$AD$219,"&gt;=-1E+307",$AD$17:$AD$219,"&lt;=1E+307")/2-0.5)/(COUNTIFS($G$17:$G$219,"入池",$AD$17:$AD$219,"&gt;=-1E+307",$AD$17:$AD$219,"&lt;=1E+307")-1),2)))</x:f>
        <x:v>34.33</x:v>
      </x:c>
      <x:c r="AH22" s="17" t="n">
        <x:f>IF(OR($G22&lt;&gt;"入池",NOT(ISNUMBER(AF22))),"",IF(COUNTIFS($G$17:$G$219,"入池",$AF$17:$AF$219,"&gt;=-1E+307",$AF$17:$AF$219,"&lt;=1E+307")&lt;=1,100,ROUND(100*(COUNTIFS($G$17:$G$219,"入池",$AF$17:$AF$219,"&gt;=-1E+307",$AF$17:$AF$219,"&lt;"&amp;AF22)+COUNTIFS($G$17:$G$219,"入池",$AF$17:$AF$219,AF22,$AF$17:$AF$219,"&gt;=-1E+307",$AF$17:$AF$219,"&lt;=1E+307")/2-0.5)/(COUNTIFS($G$17:$G$219,"入池",$AF$17:$AF$219,"&gt;=-1E+307",$AF$17:$AF$219,"&lt;=1E+307")-1),2)))</x:f>
        <x:v>13.14</x:v>
      </x:c>
      <x:c r="AI22" s="17" t="n">
        <x:f>IF(NOT(ISNUMBER(AG22)),"",IF(NOT(ISNUMBER(AH22)),AG22,ROUND(AG22*'sheet1-指标体系'!$J$8+AH22*'sheet1-指标体系'!$J$9,2)))</x:f>
        <x:v>25.85</x:v>
      </x:c>
      <x:c r="AJ22" s="37" t="n">
        <x:f>IF(NOT(ISNUMBER(F22)),"",IF(F22&gt;=3,IF(NOT(ISNUMBER(N22)),"",N22),IF(NOT(ISNUMBER(O22)),"",O22)))</x:f>
        <x:v>0.0225</x:v>
      </x:c>
      <x:c r="AK22" s="17" t="n">
        <x:f>IF(OR(G22&lt;&gt;"入池",NOT(ISNUMBER(M22)),NOT(ISNUMBER(AJ22))),"",IF(M22&gt;=AJ22,100,IF(AJ22-M22&lt;'sheet1-指标体系'!$J$10,80,60)))</x:f>
        <x:v>100</x:v>
      </x:c>
      <x:c r="AL22" s="17" t="n">
        <x:f>IF(COUNT(I22,K22,L22)=0,"",ROUND((IF(ISNUMBER(I22),I22*40%,0)+IF(ISNUMBER(K22),K22*30%,0)+IF(ISNUMBER(L22),L22*30%,0))/(IF(ISNUMBER(I22),40%,0)+IF(ISNUMBER(K22),30%,0)+IF(ISNUMBER(L22),30%,0)),2))</x:f>
        <x:v>84</x:v>
      </x:c>
      <x:c r="AM22" s="17" t="n">
        <x:f>IF(COUNT(Q22,R22,W22,X22)=0,"",ROUND((IF(ISNUMBER(Q22),Q22*42%,0)+IF(ISNUMBER(R22),R22*28%,0)+IF(ISNUMBER(W22),W22*18%,0)+IF(ISNUMBER(X22),X22*12%,0))/(IF(ISNUMBER(Q22),42%,0)+IF(ISNUMBER(R22),28%,0)+IF(ISNUMBER(W22),18%,0)+IF(ISNUMBER(X22),12%,0)),2))</x:f>
        <x:v>37.68</x:v>
      </x:c>
      <x:c r="AN22" s="17" t="n">
        <x:f>IF(ISNUMBER(AC22),AC22,"")</x:f>
        <x:v>38.12</x:v>
      </x:c>
      <x:c r="AO22" s="17" t="n">
        <x:f>IF(COUNT(AG22,AH22)=0,"",ROUND((IF(ISNUMBER(AG22),AG22*60%,0)+IF(ISNUMBER(AH22),AH22*40%,0))/(IF(ISNUMBER(AG22),60%,0)+IF(ISNUMBER(AH22),40%,0)),2))</x:f>
        <x:v>25.85</x:v>
      </x:c>
      <x:c r="AP22" s="17" t="n">
        <x:f>IF(ISNUMBER(AK22),AK22,"")</x:f>
        <x:v>100</x:v>
      </x:c>
      <x:c r="AQ22" s="39" t="n">
        <x:f>IF(G22&lt;&gt;"入池",0,IF(ISNUMBER(I22),6%,0)+IF(ISNUMBER(K22),4.5%,0)+IF(ISNUMBER(L22),4.5%,0)+IF(ISNUMBER(Q22),8.4%,0)+IF(ISNUMBER(R22),5.6%,0)+IF(ISNUMBER(W22),3.6%,0)+IF(ISNUMBER(X22),2.4%,0)+IF(ISNUMBER(AC22),25%,0)+IF(ISNUMBER(AG22),18%,0)+IF(ISNUMBER(AH22),12%,0)+IF(ISNUMBER(AK22),10%,0))</x:f>
        <x:v>1</x:v>
      </x:c>
      <x:c r="AR22" s="17" t="n">
        <x:f>IF(AQ22=0,"",IF(ISNUMBER(I22),I22*6%,0)+IF(ISNUMBER(K22),K22*4.5%,0)+IF(ISNUMBER(L22),L22*4.5%,0)+IF(ISNUMBER(Q22),Q22*8.4%,0)+IF(ISNUMBER(R22),R22*5.6%,0)+IF(ISNUMBER(W22),W22*3.6%,0)+IF(ISNUMBER(X22),X22*2.4%,0)+IF(ISNUMBER(AC22),AC22*25%,0)+IF(ISNUMBER(AG22),AG22*18%,0)+IF(ISNUMBER(AH22),AH22*12%,0)+IF(ISNUMBER(AK22),AK22*10%,0))</x:f>
        <x:v>47.42162</x:v>
      </x:c>
      <x:c r="AS22" s="17" t="n">
        <x:f>IF(AQ22=0,"",ROUND(AR22/AQ22,2))</x:f>
        <x:v>47.42</x:v>
      </x:c>
      <x:c r="AT22" s="40" t="n">
        <x:f>IF(OR(G22&lt;&gt;"入池",NOT(ISNUMBER(AS22))),"",COUNTIFS($G$17:$G$219,"入池",$AS$17:$AS$219,"&gt;"&amp;AS22)+COUNTIFS($G$17:$G$219,"入池",$AS$17:$AS$219,AS22,$AQ$17:$AQ$219,"&gt;"&amp;AQ22)+COUNTIFS($G$17:G22,"入池",$AS$17:AS22,AS22,$AQ$17:AQ22,AQ22))</x:f>
        <x:v>153</x:v>
      </x:c>
      <x:c r="AU22" s="41" t="str">
        <x:f t="shared" si="2">IF(NOT(ISNUMBER(I22)),"管理人规模；","")&amp;IF(J22="","产品规模标识；","")&amp;IF(AND(F22&lt;3,NOT(ISNUMBER(O22))),"R_incep；","")&amp;IF(NOT(ISNUMBER(N22)),"近三年收益；","")&amp;IF(NOT(ISNUMBER(U22)),"近三年胜率；","")&amp;IF(AND(ISNUMBER(V22),OR(V22&lt;0,V22&gt;1)),"胜率窗口口径不一致；","")&amp;IF(NOT(ISNUMBER(AA22)),"近三年回撤；","")&amp;IF(NOT(ISNUMBER(AD22)),"短期卡玛；","")&amp;IF(AND(ISNUMBER(P22),NOT(ISNUMBER(AE22))),"DD_long不可识别；","")</x:f>
      </x:c>
      <x:c r="AV22" s="42" t="n">
        <x:v>0</x:v>
      </x:c>
      <x:c r="AW22" s="19" t="str">
        <x:v>广东哈福私募证券投资基金管理有限公司</x:v>
      </x:c>
      <x:c r="AX22" s="19" t="str">
        <x:v>2026-06-05</x:v>
      </x:c>
      <x:c r="AY22" s="19" t="str">
        <x:v>https://gs.amac.org.cn/amac-infodisc/res/pof/manager/101000010078.html</x:v>
      </x:c>
      <x:c r="AZ22" s="19" t="str">
        <x:v>哈福尊享一号私募证券投资基金</x:v>
      </x:c>
      <x:c r="BA22" s="19" t="str">
        <x:v>2024-10-29</x:v>
      </x:c>
      <x:c r="BB22" s="19"/>
      <x:c r="BC22" s="19" t="str">
        <x:v>https://gs.amac.org.cn/amac-infodisc/res/pof/fund/1705180919103330.html</x:v>
      </x:c>
      <x:c r="BD22" s="19" t="str">
        <x:v>已匹配</x:v>
      </x:c>
      <x:c r="BE22"/>
      <x:c r="BF22"/>
    </x:row>
    <x:row r="23" ht="28" customHeight="1">
      <x:c r="A23" s="4" t="n">
        <x:v>7</x:v>
      </x:c>
      <x:c r="B23" s="15" t="str">
        <x:f>'sheet4-原始数据'!A8</x:f>
        <x:v>远澜翠柏1号</x:v>
      </x:c>
      <x:c r="C23" s="15" t="str">
        <x:f>'sheet4-原始数据'!B8</x:f>
        <x:v>SS9088</x:v>
      </x:c>
      <x:c r="D23" s="15" t="str">
        <x:f>'sheet4-原始数据'!E8</x:f>
        <x:v>上海远澜</x:v>
      </x:c>
      <x:c r="E23" s="32" t="n">
        <x:f>IF(ISNUMBER('sheet4-原始数据'!F8),'sheet4-原始数据'!F8,"")</x:f>
        <x:v>42867</x:v>
      </x:c>
      <x:c r="F23" s="17" t="n">
        <x:f>IF(NOT(ISNUMBER(E23)),"",ROUND(('sheet1-指标体系'!$J$23-E23)/365.25,4))</x:f>
        <x:v>9.347</x:v>
      </x:c>
      <x:c r="G23" s="4" t="str">
        <x:f t="shared" si="1">IF(NOT(ISNUMBER(F23)),"",IF(F23&lt;1,"不入池","入池"))</x:f>
        <x:v>入池</x:v>
      </x:c>
      <x:c r="H23" s="33" t="str">
        <x:v>100亿元以上</x:v>
      </x:c>
      <x:c r="I23" s="17" t="n">
        <x:f>IF(H23="","",IF(ISNUMBER(SEARCH("100亿元以上",H23)),100,IF(OR(ISNUMBER(SEARCH("20-50",H23)),ISNUMBER(SEARCH("50-100",H23)),ISNUMBER(SEARCH("20-100",H23))),90,IF(ISNUMBER(SEARCH("10-20",H23)),80,IF(ISNUMBER(SEARCH("5-10",H23)),70,IF(ISNUMBER(SEARCH("0-5",H23)),60,""))))))</x:f>
        <x:v>100</x:v>
      </x:c>
      <x:c r="J23" s="34" t="str">
        <x:v>无低于1000万元标识</x:v>
      </x:c>
      <x:c r="K23" s="17" t="n">
        <x:f>IF(J23="","",IF(J23="低于1000万元",0,100))</x:f>
        <x:v>100</x:v>
      </x:c>
      <x:c r="L23" s="17" t="n">
        <x:f>IF(NOT(ISNUMBER(F23)),"",IF(F23&lt;1,"",IF(F23&lt;3,70,100)))</x:f>
        <x:v>100</x:v>
      </x:c>
      <x:c r="M23" s="35" t="n">
        <x:f>IF(ISNUMBER('sheet4-原始数据'!G8),'sheet4-原始数据'!G8,"")</x:f>
        <x:v>0.0546</x:v>
      </x:c>
      <x:c r="N23" s="35" t="n">
        <x:f>IF(ISNUMBER('sheet4-原始数据'!H8),'sheet4-原始数据'!H8,"")</x:f>
        <x:v>0.045700000000000005</x:v>
      </x:c>
      <x:c r="O23" s="36" t="str">
        <x:f>IF(ISNUMBER('sheet4-原始数据'!Q8),'sheet4-原始数据'!Q8,"")</x:f>
      </x:c>
      <x:c r="P23" s="37" t="n">
        <x:f>IF($G23&lt;&gt;"入池","",IF($F23&gt;=3,IF(OR(NOT(ISNUMBER($M23)),NOT(ISNUMBER($N23)),1+$M23&lt;=0,1+$N23&lt;0),"",((1+$N23)^3/(1+$M23))^(1/2)-1),IF(OR($F23&lt;=1,NOT(ISNUMBER($M23)),NOT(ISNUMBER($O23)),1+$M23&lt;=0,1+$O23&lt;0),"",((1+$O23)^$F23/(1+$M23))^(1/($F23-1))-1)))</x:f>
        <x:v>0.04127820563454132</x:v>
      </x:c>
      <x:c r="Q23" s="17" t="n">
        <x:f>IF(OR($G23&lt;&gt;"入池",NOT(ISNUMBER(M23))),"",IF(COUNTIFS($G$17:$G$219,"入池",$M$17:$M$219,"&gt;=-1E+307",$M$17:$M$219,"&lt;=1E+307")&lt;=1,100,ROUND(100*(COUNTIFS($G$17:$G$219,"入池",$M$17:$M$219,"&gt;=-1E+307",$M$17:$M$219,"&lt;"&amp;M23)+COUNTIFS($G$17:$G$219,"入池",$M$17:$M$219,M23,$M$17:$M$219,"&gt;=-1E+307",$M$17:$M$219,"&lt;=1E+307")/2-0.5)/(COUNTIFS($G$17:$G$219,"入池",$M$17:$M$219,"&gt;=-1E+307",$M$17:$M$219,"&lt;=1E+307")-1),2)))</x:f>
        <x:v>51.49</x:v>
      </x:c>
      <x:c r="R23" s="17" t="n">
        <x:f>IF(OR($G23&lt;&gt;"入池",NOT(ISNUMBER(P23))),"",IF(COUNTIFS($G$17:$G$219,"入池",$P$17:$P$219,"&gt;=-1E+307",$P$17:$P$219,"&lt;=1E+307")&lt;=1,100,ROUND(100*(COUNTIFS($G$17:$G$219,"入池",$P$17:$P$219,"&gt;=-1E+307",$P$17:$P$219,"&lt;"&amp;P23)+COUNTIFS($G$17:$G$219,"入池",$P$17:$P$219,P23,$P$17:$P$219,"&gt;=-1E+307",$P$17:$P$219,"&lt;=1E+307")/2-0.5)/(COUNTIFS($G$17:$G$219,"入池",$P$17:$P$219,"&gt;=-1E+307",$P$17:$P$219,"&lt;=1E+307")-1),2)))</x:f>
        <x:v>28.71</x:v>
      </x:c>
      <x:c r="S23" s="17" t="n">
        <x:f>IF(NOT(ISNUMBER(Q23)),"",IF(NOT(ISNUMBER(R23)),Q23,ROUND(Q23*'sheet1-指标体系'!$J$8+R23*'sheet1-指标体系'!$J$9,2)))</x:f>
        <x:v>42.38</x:v>
      </x:c>
      <x:c r="T23" s="35" t="n">
        <x:f>IF(ISNUMBER('sheet4-原始数据'!J8),'sheet4-原始数据'!J8,"")</x:f>
        <x:v>0.46149999999999997</x:v>
      </x:c>
      <x:c r="U23" s="35" t="n">
        <x:f>IF(ISNUMBER('sheet4-原始数据'!I8),'sheet4-原始数据'!I8,"")</x:f>
        <x:v>0.5135000000000001</x:v>
      </x:c>
      <x:c r="V23" s="37" t="n">
        <x:f>IF(OR(NOT(ISNUMBER(T23)),NOT(ISNUMBER(U23))),"",(U23*'sheet1-指标体系'!$J$6-T23*'sheet1-指标体系'!$J$5)/'sheet1-指标体系'!$J$7)</x:f>
        <x:v>0.5416666666666667</x:v>
      </x:c>
      <x:c r="W23" s="17" t="n">
        <x:f>IF(NOT(ISNUMBER(T23)),"",T23*100)</x:f>
        <x:v>46.15</x:v>
      </x:c>
      <x:c r="X23" s="17" t="n">
        <x:f>IF($G23&lt;&gt;"入池","",IF(AND(ISNUMBER(V23),V23&gt;=0,V23&lt;=1),V23*100,IF(MAX(0,($F23-1)*12)&lt;6,100,"")))</x:f>
        <x:v>54.16666666666667</x:v>
      </x:c>
      <x:c r="Y23" s="17" t="n">
        <x:f>IF(NOT(ISNUMBER(W23)),"",IF(NOT(ISNUMBER(X23)),W23,ROUND(W23*'sheet1-指标体系'!$J$8+X23*'sheet1-指标体系'!$J$9,2)))</x:f>
        <x:v>49.36</x:v>
      </x:c>
      <x:c r="Z23" s="37" t="n">
        <x:f>IF(OR(NOT(ISNUMBER(M23)),NOT(ISNUMBER(AD23)),AD23=0),"",ABS(M23/AD23))</x:f>
        <x:v>0.15388951521984218</x:v>
      </x:c>
      <x:c r="AA23" s="35" t="n">
        <x:f>IF(ISNUMBER('sheet4-原始数据'!K8),'sheet4-原始数据'!K8,"")</x:f>
        <x:v>0.154</x:v>
      </x:c>
      <x:c r="AB23" s="37" t="n">
        <x:f>IF(COUNT(Z23:AA23)=0,"",MAX(Z23:AA23))</x:f>
        <x:v>0.154</x:v>
      </x:c>
      <x:c r="AC23" s="17" t="n">
        <x:f>IF(OR($G23&lt;&gt;"入池",NOT(ISNUMBER(AB23))),"",IF(COUNTIFS($G$17:$G$219,"入池",$AB$17:$AB$219,"&gt;=-1E+307",$AB$17:$AB$219,"&lt;=1E+307")&lt;=1,100,ROUND(100*(COUNTIFS($G$17:$G$219,"入池",$AB$17:$AB$219,"&lt;=1E+307",$AB$17:$AB$219,"&gt;"&amp;AB23)+COUNTIFS($G$17:$G$219,"入池",$AB$17:$AB$219,AB23,$AB$17:$AB$219,"&gt;=-1E+307",$AB$17:$AB$219,"&lt;=1E+307")/2-0.5)/(COUNTIFS($G$17:$G$219,"入池",$AB$17:$AB$219,"&gt;=-1E+307",$AB$17:$AB$219,"&lt;=1E+307")-1),2)))</x:f>
        <x:v>13.37</x:v>
      </x:c>
      <x:c r="AD23" s="38" t="n">
        <x:f>IF(ISNUMBER('sheet4-原始数据'!M8),'sheet4-原始数据'!M8,"")</x:f>
        <x:v>0.3548</x:v>
      </x:c>
      <x:c r="AE23" s="37" t="n">
        <x:f>IF(OR(NOT(ISNUMBER(P23)),NOT(ISNUMBER(AA23)),NOT(ISNUMBER(Z23))),"",IF(AA23&gt;Z23+'sheet1-指标体系'!$J$11,AA23,""))</x:f>
        <x:v>0.154</x:v>
      </x:c>
      <x:c r="AF23" s="17" t="n">
        <x:f>IF(OR(NOT(ISNUMBER(P23)),NOT(ISNUMBER(AE23)),AE23=0),"",P23/AE23)</x:f>
        <x:v>0.2680402963281904</x:v>
      </x:c>
      <x:c r="AG23" s="17" t="n">
        <x:f>IF(OR($G23&lt;&gt;"入池",NOT(ISNUMBER(AD23))),"",IF(COUNTIFS($G$17:$G$219,"入池",$AD$17:$AD$219,"&gt;=-1E+307",$AD$17:$AD$219,"&lt;=1E+307")&lt;=1,100,ROUND(100*(COUNTIFS($G$17:$G$219,"入池",$AD$17:$AD$219,"&gt;=-1E+307",$AD$17:$AD$219,"&lt;"&amp;AD23)+COUNTIFS($G$17:$G$219,"入池",$AD$17:$AD$219,AD23,$AD$17:$AD$219,"&gt;=-1E+307",$AD$17:$AD$219,"&lt;=1E+307")/2-0.5)/(COUNTIFS($G$17:$G$219,"入池",$AD$17:$AD$219,"&gt;=-1E+307",$AD$17:$AD$219,"&lt;=1E+307")-1),2)))</x:f>
        <x:v>25.37</x:v>
      </x:c>
      <x:c r="AH23" s="17" t="n">
        <x:f>IF(OR($G23&lt;&gt;"入池",NOT(ISNUMBER(AF23))),"",IF(COUNTIFS($G$17:$G$219,"入池",$AF$17:$AF$219,"&gt;=-1E+307",$AF$17:$AF$219,"&lt;=1E+307")&lt;=1,100,ROUND(100*(COUNTIFS($G$17:$G$219,"入池",$AF$17:$AF$219,"&gt;=-1E+307",$AF$17:$AF$219,"&lt;"&amp;AF23)+COUNTIFS($G$17:$G$219,"入池",$AF$17:$AF$219,AF23,$AF$17:$AF$219,"&gt;=-1E+307",$AF$17:$AF$219,"&lt;=1E+307")/2-0.5)/(COUNTIFS($G$17:$G$219,"入池",$AF$17:$AF$219,"&gt;=-1E+307",$AF$17:$AF$219,"&lt;=1E+307")-1),2)))</x:f>
        <x:v>12.41</x:v>
      </x:c>
      <x:c r="AI23" s="17" t="n">
        <x:f>IF(NOT(ISNUMBER(AG23)),"",IF(NOT(ISNUMBER(AH23)),AG23,ROUND(AG23*'sheet1-指标体系'!$J$8+AH23*'sheet1-指标体系'!$J$9,2)))</x:f>
        <x:v>20.19</x:v>
      </x:c>
      <x:c r="AJ23" s="37" t="n">
        <x:f>IF(NOT(ISNUMBER(F23)),"",IF(F23&gt;=3,IF(NOT(ISNUMBER(N23)),"",N23),IF(NOT(ISNUMBER(O23)),"",O23)))</x:f>
        <x:v>0.045700000000000005</x:v>
      </x:c>
      <x:c r="AK23" s="17" t="n">
        <x:f>IF(OR(G23&lt;&gt;"入池",NOT(ISNUMBER(M23)),NOT(ISNUMBER(AJ23))),"",IF(M23&gt;=AJ23,100,IF(AJ23-M23&lt;'sheet1-指标体系'!$J$10,80,60)))</x:f>
        <x:v>100</x:v>
      </x:c>
      <x:c r="AL23" s="17" t="n">
        <x:f>IF(COUNT(I23,K23,L23)=0,"",ROUND((IF(ISNUMBER(I23),I23*40%,0)+IF(ISNUMBER(K23),K23*30%,0)+IF(ISNUMBER(L23),L23*30%,0))/(IF(ISNUMBER(I23),40%,0)+IF(ISNUMBER(K23),30%,0)+IF(ISNUMBER(L23),30%,0)),2))</x:f>
        <x:v>100</x:v>
      </x:c>
      <x:c r="AM23" s="17" t="n">
        <x:f>IF(COUNT(Q23,R23,W23,X23)=0,"",ROUND((IF(ISNUMBER(Q23),Q23*42%,0)+IF(ISNUMBER(R23),R23*28%,0)+IF(ISNUMBER(W23),W23*18%,0)+IF(ISNUMBER(X23),X23*12%,0))/(IF(ISNUMBER(Q23),42%,0)+IF(ISNUMBER(R23),28%,0)+IF(ISNUMBER(W23),18%,0)+IF(ISNUMBER(X23),12%,0)),2))</x:f>
        <x:v>44.47</x:v>
      </x:c>
      <x:c r="AN23" s="17" t="n">
        <x:f>IF(ISNUMBER(AC23),AC23,"")</x:f>
        <x:v>13.37</x:v>
      </x:c>
      <x:c r="AO23" s="17" t="n">
        <x:f>IF(COUNT(AG23,AH23)=0,"",ROUND((IF(ISNUMBER(AG23),AG23*60%,0)+IF(ISNUMBER(AH23),AH23*40%,0))/(IF(ISNUMBER(AG23),60%,0)+IF(ISNUMBER(AH23),40%,0)),2))</x:f>
        <x:v>20.19</x:v>
      </x:c>
      <x:c r="AP23" s="17" t="n">
        <x:f>IF(ISNUMBER(AK23),AK23,"")</x:f>
        <x:v>100</x:v>
      </x:c>
      <x:c r="AQ23" s="39" t="n">
        <x:f>IF(G23&lt;&gt;"入池",0,IF(ISNUMBER(I23),6%,0)+IF(ISNUMBER(K23),4.5%,0)+IF(ISNUMBER(L23),4.5%,0)+IF(ISNUMBER(Q23),8.4%,0)+IF(ISNUMBER(R23),5.6%,0)+IF(ISNUMBER(W23),3.6%,0)+IF(ISNUMBER(X23),2.4%,0)+IF(ISNUMBER(AC23),25%,0)+IF(ISNUMBER(AG23),18%,0)+IF(ISNUMBER(AH23),12%,0)+IF(ISNUMBER(AK23),10%,0))</x:f>
        <x:v>1</x:v>
      </x:c>
      <x:c r="AR23" s="17" t="n">
        <x:f>IF(AQ23=0,"",IF(ISNUMBER(I23),I23*6%,0)+IF(ISNUMBER(K23),K23*4.5%,0)+IF(ISNUMBER(L23),L23*4.5%,0)+IF(ISNUMBER(Q23),Q23*8.4%,0)+IF(ISNUMBER(R23),R23*5.6%,0)+IF(ISNUMBER(W23),W23*3.6%,0)+IF(ISNUMBER(X23),X23*2.4%,0)+IF(ISNUMBER(AC23),AC23*25%,0)+IF(ISNUMBER(AG23),AG23*18%,0)+IF(ISNUMBER(AH23),AH23*12%,0)+IF(ISNUMBER(AK23),AK23*10%,0))</x:f>
        <x:v>43.29262</x:v>
      </x:c>
      <x:c r="AS23" s="17" t="n">
        <x:f>IF(AQ23=0,"",ROUND(AR23/AQ23,2))</x:f>
        <x:v>43.29</x:v>
      </x:c>
      <x:c r="AT23" s="40" t="n">
        <x:f>IF(OR(G23&lt;&gt;"入池",NOT(ISNUMBER(AS23))),"",COUNTIFS($G$17:$G$219,"入池",$AS$17:$AS$219,"&gt;"&amp;AS23)+COUNTIFS($G$17:$G$219,"入池",$AS$17:$AS$219,AS23,$AQ$17:$AQ$219,"&gt;"&amp;AQ23)+COUNTIFS($G$17:G23,"入池",$AS$17:AS23,AS23,$AQ$17:AQ23,AQ23))</x:f>
        <x:v>164</x:v>
      </x:c>
      <x:c r="AU23" s="41" t="str">
        <x:f t="shared" si="2">IF(NOT(ISNUMBER(I23)),"管理人规模；","")&amp;IF(J23="","产品规模标识；","")&amp;IF(AND(F23&lt;3,NOT(ISNUMBER(O23))),"R_incep；","")&amp;IF(NOT(ISNUMBER(N23)),"近三年收益；","")&amp;IF(NOT(ISNUMBER(U23)),"近三年胜率；","")&amp;IF(AND(ISNUMBER(V23),OR(V23&lt;0,V23&gt;1)),"胜率窗口口径不一致；","")&amp;IF(NOT(ISNUMBER(AA23)),"近三年回撤；","")&amp;IF(NOT(ISNUMBER(AD23)),"短期卡玛；","")&amp;IF(AND(ISNUMBER(P23),NOT(ISNUMBER(AE23))),"DD_long不可识别；","")</x:f>
      </x:c>
      <x:c r="AV23" s="42" t="n">
        <x:v>100</x:v>
      </x:c>
      <x:c r="AW23" s="19" t="str">
        <x:v>上海远澜私募基金管理有限公司</x:v>
      </x:c>
      <x:c r="AX23" s="19" t="str">
        <x:v>2026-05-08</x:v>
      </x:c>
      <x:c r="AY23" s="19" t="str">
        <x:v>https://gs.amac.org.cn/amac-infodisc/res/pof/manager/101000022626.html</x:v>
      </x:c>
      <x:c r="AZ23" s="19" t="str">
        <x:v>远澜翠柏1号私募证券投资基金</x:v>
      </x:c>
      <x:c r="BA23" s="19" t="str">
        <x:v>2024-11-07</x:v>
      </x:c>
      <x:c r="BB23" s="19"/>
      <x:c r="BC23" s="19" t="str">
        <x:v>https://gs.amac.org.cn/amac-infodisc/res/pof/fund/1706161700107643.html</x:v>
      </x:c>
      <x:c r="BD23" s="19" t="str">
        <x:v>已匹配</x:v>
      </x:c>
      <x:c r="BE23"/>
      <x:c r="BF23"/>
    </x:row>
    <x:row r="24" ht="28" customHeight="1">
      <x:c r="A24" s="4" t="n">
        <x:v>8</x:v>
      </x:c>
      <x:c r="B24" s="15" t="str">
        <x:f>'sheet4-原始数据'!A9</x:f>
        <x:v>擎丰1号</x:v>
      </x:c>
      <x:c r="C24" s="15" t="str">
        <x:f>'sheet4-原始数据'!B9</x:f>
        <x:v>SCS637</x:v>
      </x:c>
      <x:c r="D24" s="15" t="str">
        <x:f>'sheet4-原始数据'!E9</x:f>
        <x:v>上海擎丰</x:v>
      </x:c>
      <x:c r="E24" s="32" t="n">
        <x:f>IF(ISNUMBER('sheet4-原始数据'!F9),'sheet4-原始数据'!F9,"")</x:f>
        <x:v>43257</x:v>
      </x:c>
      <x:c r="F24" s="17" t="n">
        <x:f>IF(NOT(ISNUMBER(E24)),"",ROUND(('sheet1-指标体系'!$J$23-E24)/365.25,4))</x:f>
        <x:v>8.2793</x:v>
      </x:c>
      <x:c r="G24" s="4" t="str">
        <x:f t="shared" si="1">IF(NOT(ISNUMBER(F24)),"",IF(F24&lt;1,"不入池","入池"))</x:f>
        <x:v>入池</x:v>
      </x:c>
      <x:c r="H24" s="33" t="str">
        <x:v>0-5亿元</x:v>
      </x:c>
      <x:c r="I24" s="17" t="n">
        <x:f>IF(H24="","",IF(ISNUMBER(SEARCH("100亿元以上",H24)),100,IF(OR(ISNUMBER(SEARCH("20-50",H24)),ISNUMBER(SEARCH("50-100",H24)),ISNUMBER(SEARCH("20-100",H24))),90,IF(ISNUMBER(SEARCH("10-20",H24)),80,IF(ISNUMBER(SEARCH("5-10",H24)),70,IF(ISNUMBER(SEARCH("0-5",H24)),60,""))))))</x:f>
        <x:v>60</x:v>
      </x:c>
      <x:c r="J24" s="34" t="str">
        <x:v>无低于1000万元标识</x:v>
      </x:c>
      <x:c r="K24" s="17" t="n">
        <x:f>IF(J24="","",IF(J24="低于1000万元",0,100))</x:f>
        <x:v>100</x:v>
      </x:c>
      <x:c r="L24" s="17" t="n">
        <x:f>IF(NOT(ISNUMBER(F24)),"",IF(F24&lt;1,"",IF(F24&lt;3,70,100)))</x:f>
        <x:v>100</x:v>
      </x:c>
      <x:c r="M24" s="35" t="n">
        <x:f>IF(ISNUMBER('sheet4-原始数据'!G9),'sheet4-原始数据'!G9,"")</x:f>
        <x:v>0.0786</x:v>
      </x:c>
      <x:c r="N24" s="35" t="n">
        <x:f>IF(ISNUMBER('sheet4-原始数据'!H9),'sheet4-原始数据'!H9,"")</x:f>
        <x:v>0.0506</x:v>
      </x:c>
      <x:c r="O24" s="36" t="str">
        <x:f>IF(ISNUMBER('sheet4-原始数据'!Q9),'sheet4-原始数据'!Q9,"")</x:f>
      </x:c>
      <x:c r="P24" s="37" t="n">
        <x:f>IF($G24&lt;&gt;"入池","",IF($F24&gt;=3,IF(OR(NOT(ISNUMBER($M24)),NOT(ISNUMBER($N24)),1+$M24&lt;=0,1+$N24&lt;0),"",((1+$N24)^3/(1+$M24))^(1/2)-1),IF(OR($F24&lt;=1,NOT(ISNUMBER($M24)),NOT(ISNUMBER($O24)),1+$M24&lt;=0,1+$O24&lt;0),"",((1+$O24)^$F24/(1+$M24))^(1/($F24-1))-1)))</x:f>
        <x:v>0.03687376651714547</x:v>
      </x:c>
      <x:c r="Q24" s="17" t="n">
        <x:f>IF(OR($G24&lt;&gt;"入池",NOT(ISNUMBER(M24))),"",IF(COUNTIFS($G$17:$G$219,"入池",$M$17:$M$219,"&gt;=-1E+307",$M$17:$M$219,"&lt;=1E+307")&lt;=1,100,ROUND(100*(COUNTIFS($G$17:$G$219,"入池",$M$17:$M$219,"&gt;=-1E+307",$M$17:$M$219,"&lt;"&amp;M24)+COUNTIFS($G$17:$G$219,"入池",$M$17:$M$219,M24,$M$17:$M$219,"&gt;=-1E+307",$M$17:$M$219,"&lt;=1E+307")/2-0.5)/(COUNTIFS($G$17:$G$219,"入池",$M$17:$M$219,"&gt;=-1E+307",$M$17:$M$219,"&lt;=1E+307")-1),2)))</x:f>
        <x:v>70.79</x:v>
      </x:c>
      <x:c r="R24" s="17" t="n">
        <x:f>IF(OR($G24&lt;&gt;"入池",NOT(ISNUMBER(P24))),"",IF(COUNTIFS($G$17:$G$219,"入池",$P$17:$P$219,"&gt;=-1E+307",$P$17:$P$219,"&lt;=1E+307")&lt;=1,100,ROUND(100*(COUNTIFS($G$17:$G$219,"入池",$P$17:$P$219,"&gt;=-1E+307",$P$17:$P$219,"&lt;"&amp;P24)+COUNTIFS($G$17:$G$219,"入池",$P$17:$P$219,P24,$P$17:$P$219,"&gt;=-1E+307",$P$17:$P$219,"&lt;=1E+307")/2-0.5)/(COUNTIFS($G$17:$G$219,"入池",$P$17:$P$219,"&gt;=-1E+307",$P$17:$P$219,"&lt;=1E+307")-1),2)))</x:f>
        <x:v>22.28</x:v>
      </x:c>
      <x:c r="S24" s="17" t="n">
        <x:f>IF(NOT(ISNUMBER(Q24)),"",IF(NOT(ISNUMBER(R24)),Q24,ROUND(Q24*'sheet1-指标体系'!$J$8+R24*'sheet1-指标体系'!$J$9,2)))</x:f>
        <x:v>51.39</x:v>
      </x:c>
      <x:c r="T24" s="35" t="n">
        <x:f>IF(ISNUMBER('sheet4-原始数据'!J9),'sheet4-原始数据'!J9,"")</x:f>
        <x:v>0.9231</x:v>
      </x:c>
      <x:c r="U24" s="35" t="n">
        <x:f>IF(ISNUMBER('sheet4-原始数据'!I9),'sheet4-原始数据'!I9,"")</x:f>
        <x:v>0.8378</x:v>
      </x:c>
      <x:c r="V24" s="37" t="n">
        <x:f>IF(OR(NOT(ISNUMBER(T24)),NOT(ISNUMBER(U24))),"",(U24*'sheet1-指标体系'!$J$6-T24*'sheet1-指标体系'!$J$5)/'sheet1-指标体系'!$J$7)</x:f>
        <x:v>0.7915958333333334</x:v>
      </x:c>
      <x:c r="W24" s="17" t="n">
        <x:f>IF(NOT(ISNUMBER(T24)),"",T24*100)</x:f>
        <x:v>92.31</x:v>
      </x:c>
      <x:c r="X24" s="17" t="n">
        <x:f>IF($G24&lt;&gt;"入池","",IF(AND(ISNUMBER(V24),V24&gt;=0,V24&lt;=1),V24*100,IF(MAX(0,($F24-1)*12)&lt;6,100,"")))</x:f>
        <x:v>79.15958333333334</x:v>
      </x:c>
      <x:c r="Y24" s="17" t="n">
        <x:f>IF(NOT(ISNUMBER(W24)),"",IF(NOT(ISNUMBER(X24)),W24,ROUND(W24*'sheet1-指标体系'!$J$8+X24*'sheet1-指标体系'!$J$9,2)))</x:f>
        <x:v>87.05</x:v>
      </x:c>
      <x:c r="Z24" s="37" t="n">
        <x:f>IF(OR(NOT(ISNUMBER(M24)),NOT(ISNUMBER(AD24)),AD24=0),"",ABS(M24/AD24))</x:f>
        <x:v>0.00690030550970959</x:v>
      </x:c>
      <x:c r="AA24" s="35" t="n">
        <x:f>IF(ISNUMBER('sheet4-原始数据'!K9),'sheet4-原始数据'!K9,"")</x:f>
        <x:v>0.0069</x:v>
      </x:c>
      <x:c r="AB24" s="37" t="n">
        <x:f>IF(COUNT(Z24:AA24)=0,"",MAX(Z24:AA24))</x:f>
        <x:v>0.00690030550970959</x:v>
      </x:c>
      <x:c r="AC24" s="17" t="n">
        <x:f>IF(OR($G24&lt;&gt;"入池",NOT(ISNUMBER(AB24))),"",IF(COUNTIFS($G$17:$G$219,"入池",$AB$17:$AB$219,"&gt;=-1E+307",$AB$17:$AB$219,"&lt;=1E+307")&lt;=1,100,ROUND(100*(COUNTIFS($G$17:$G$219,"入池",$AB$17:$AB$219,"&lt;=1E+307",$AB$17:$AB$219,"&gt;"&amp;AB24)+COUNTIFS($G$17:$G$219,"入池",$AB$17:$AB$219,AB24,$AB$17:$AB$219,"&gt;=-1E+307",$AB$17:$AB$219,"&lt;=1E+307")/2-0.5)/(COUNTIFS($G$17:$G$219,"入池",$AB$17:$AB$219,"&gt;=-1E+307",$AB$17:$AB$219,"&lt;=1E+307")-1),2)))</x:f>
        <x:v>92.57</x:v>
      </x:c>
      <x:c r="AD24" s="38" t="n">
        <x:f>IF(ISNUMBER('sheet4-原始数据'!M9),'sheet4-原始数据'!M9,"")</x:f>
        <x:v>11.3908</x:v>
      </x:c>
      <x:c r="AE24" s="37" t="str">
        <x:f>IF(OR(NOT(ISNUMBER(P24)),NOT(ISNUMBER(AA24)),NOT(ISNUMBER(Z24))),"",IF(AA24&gt;Z24+'sheet1-指标体系'!$J$11,AA24,""))</x:f>
      </x:c>
      <x:c r="AF24" s="17" t="str">
        <x:f>IF(OR(NOT(ISNUMBER(P24)),NOT(ISNUMBER(AE24)),AE24=0),"",P24/AE24)</x:f>
      </x:c>
      <x:c r="AG24" s="17" t="n">
        <x:f>IF(OR($G24&lt;&gt;"入池",NOT(ISNUMBER(AD24))),"",IF(COUNTIFS($G$17:$G$219,"入池",$AD$17:$AD$219,"&gt;=-1E+307",$AD$17:$AD$219,"&lt;=1E+307")&lt;=1,100,ROUND(100*(COUNTIFS($G$17:$G$219,"入池",$AD$17:$AD$219,"&gt;=-1E+307",$AD$17:$AD$219,"&lt;"&amp;AD24)+COUNTIFS($G$17:$G$219,"入池",$AD$17:$AD$219,AD24,$AD$17:$AD$219,"&gt;=-1E+307",$AD$17:$AD$219,"&lt;=1E+307")/2-0.5)/(COUNTIFS($G$17:$G$219,"入池",$AD$17:$AD$219,"&gt;=-1E+307",$AD$17:$AD$219,"&lt;=1E+307")-1),2)))</x:f>
        <x:v>82.09</x:v>
      </x:c>
      <x:c r="AH24" s="17" t="str">
        <x:f>IF(OR($G24&lt;&gt;"入池",NOT(ISNUMBER(AF24))),"",IF(COUNTIFS($G$17:$G$219,"入池",$AF$17:$AF$219,"&gt;=-1E+307",$AF$17:$AF$219,"&lt;=1E+307")&lt;=1,100,ROUND(100*(COUNTIFS($G$17:$G$219,"入池",$AF$17:$AF$219,"&gt;=-1E+307",$AF$17:$AF$219,"&lt;"&amp;AF24)+COUNTIFS($G$17:$G$219,"入池",$AF$17:$AF$219,AF24,$AF$17:$AF$219,"&gt;=-1E+307",$AF$17:$AF$219,"&lt;=1E+307")/2-0.5)/(COUNTIFS($G$17:$G$219,"入池",$AF$17:$AF$219,"&gt;=-1E+307",$AF$17:$AF$219,"&lt;=1E+307")-1),2)))</x:f>
      </x:c>
      <x:c r="AI24" s="17" t="n">
        <x:f>IF(NOT(ISNUMBER(AG24)),"",IF(NOT(ISNUMBER(AH24)),AG24,ROUND(AG24*'sheet1-指标体系'!$J$8+AH24*'sheet1-指标体系'!$J$9,2)))</x:f>
        <x:v>82.09</x:v>
      </x:c>
      <x:c r="AJ24" s="37" t="n">
        <x:f>IF(NOT(ISNUMBER(F24)),"",IF(F24&gt;=3,IF(NOT(ISNUMBER(N24)),"",N24),IF(NOT(ISNUMBER(O24)),"",O24)))</x:f>
        <x:v>0.0506</x:v>
      </x:c>
      <x:c r="AK24" s="17" t="n">
        <x:f>IF(OR(G24&lt;&gt;"入池",NOT(ISNUMBER(M24)),NOT(ISNUMBER(AJ24))),"",IF(M24&gt;=AJ24,100,IF(AJ24-M24&lt;'sheet1-指标体系'!$J$10,80,60)))</x:f>
        <x:v>100</x:v>
      </x:c>
      <x:c r="AL24" s="17" t="n">
        <x:f>IF(COUNT(I24,K24,L24)=0,"",ROUND((IF(ISNUMBER(I24),I24*40%,0)+IF(ISNUMBER(K24),K24*30%,0)+IF(ISNUMBER(L24),L24*30%,0))/(IF(ISNUMBER(I24),40%,0)+IF(ISNUMBER(K24),30%,0)+IF(ISNUMBER(L24),30%,0)),2))</x:f>
        <x:v>84</x:v>
      </x:c>
      <x:c r="AM24" s="17" t="n">
        <x:f>IF(COUNT(Q24,R24,W24,X24)=0,"",ROUND((IF(ISNUMBER(Q24),Q24*42%,0)+IF(ISNUMBER(R24),R24*28%,0)+IF(ISNUMBER(W24),W24*18%,0)+IF(ISNUMBER(X24),X24*12%,0))/(IF(ISNUMBER(Q24),42%,0)+IF(ISNUMBER(R24),28%,0)+IF(ISNUMBER(W24),18%,0)+IF(ISNUMBER(X24),12%,0)),2))</x:f>
        <x:v>62.09</x:v>
      </x:c>
      <x:c r="AN24" s="17" t="n">
        <x:f>IF(ISNUMBER(AC24),AC24,"")</x:f>
        <x:v>92.57</x:v>
      </x:c>
      <x:c r="AO24" s="17" t="n">
        <x:f>IF(COUNT(AG24,AH24)=0,"",ROUND((IF(ISNUMBER(AG24),AG24*60%,0)+IF(ISNUMBER(AH24),AH24*40%,0))/(IF(ISNUMBER(AG24),60%,0)+IF(ISNUMBER(AH24),40%,0)),2))</x:f>
        <x:v>82.09</x:v>
      </x:c>
      <x:c r="AP24" s="17" t="n">
        <x:f>IF(ISNUMBER(AK24),AK24,"")</x:f>
        <x:v>100</x:v>
      </x:c>
      <x:c r="AQ24" s="39" t="n">
        <x:f>IF(G24&lt;&gt;"入池",0,IF(ISNUMBER(I24),6%,0)+IF(ISNUMBER(K24),4.5%,0)+IF(ISNUMBER(L24),4.5%,0)+IF(ISNUMBER(Q24),8.4%,0)+IF(ISNUMBER(R24),5.6%,0)+IF(ISNUMBER(W24),3.6%,0)+IF(ISNUMBER(X24),2.4%,0)+IF(ISNUMBER(AC24),25%,0)+IF(ISNUMBER(AG24),18%,0)+IF(ISNUMBER(AH24),12%,0)+IF(ISNUMBER(AK24),10%,0))</x:f>
        <x:v>0.88</x:v>
      </x:c>
      <x:c r="AR24" s="17" t="n">
        <x:f>IF(AQ24=0,"",IF(ISNUMBER(I24),I24*6%,0)+IF(ISNUMBER(K24),K24*4.5%,0)+IF(ISNUMBER(L24),L24*4.5%,0)+IF(ISNUMBER(Q24),Q24*8.4%,0)+IF(ISNUMBER(R24),R24*5.6%,0)+IF(ISNUMBER(W24),W24*3.6%,0)+IF(ISNUMBER(X24),X24*2.4%,0)+IF(ISNUMBER(AC24),AC24*25%,0)+IF(ISNUMBER(AG24),AG24*18%,0)+IF(ISNUMBER(AH24),AH24*12%,0)+IF(ISNUMBER(AK24),AK24*10%,0))</x:f>
        <x:v>72.93573</x:v>
      </x:c>
      <x:c r="AS24" s="17" t="n">
        <x:f>IF(AQ24=0,"",ROUND(AR24/AQ24,2))</x:f>
        <x:v>82.88</x:v>
      </x:c>
      <x:c r="AT24" s="40" t="n">
        <x:f>IF(OR(G24&lt;&gt;"入池",NOT(ISNUMBER(AS24))),"",COUNTIFS($G$17:$G$219,"入池",$AS$17:$AS$219,"&gt;"&amp;AS24)+COUNTIFS($G$17:$G$219,"入池",$AS$17:$AS$219,AS24,$AQ$17:$AQ$219,"&gt;"&amp;AQ24)+COUNTIFS($G$17:G24,"入池",$AS$17:AS24,AS24,$AQ$17:AQ24,AQ24))</x:f>
        <x:v>23</x:v>
      </x:c>
      <x:c r="AU24" s="41" t="str">
        <x:f t="shared" si="2">IF(NOT(ISNUMBER(I24)),"管理人规模；","")&amp;IF(J24="","产品规模标识；","")&amp;IF(AND(F24&lt;3,NOT(ISNUMBER(O24))),"R_incep；","")&amp;IF(NOT(ISNUMBER(N24)),"近三年收益；","")&amp;IF(NOT(ISNUMBER(U24)),"近三年胜率；","")&amp;IF(AND(ISNUMBER(V24),OR(V24&lt;0,V24&gt;1)),"胜率窗口口径不一致；","")&amp;IF(NOT(ISNUMBER(AA24)),"近三年回撤；","")&amp;IF(NOT(ISNUMBER(AD24)),"短期卡玛；","")&amp;IF(AND(ISNUMBER(P24),NOT(ISNUMBER(AE24))),"DD_long不可识别；","")</x:f>
        <x:v>DD_long不可识别；</x:v>
      </x:c>
      <x:c r="AV24" s="42" t="n">
        <x:v>0</x:v>
      </x:c>
      <x:c r="AW24" s="19" t="str">
        <x:v>上海擎丰私募基金管理有限公司</x:v>
      </x:c>
      <x:c r="AX24" s="19" t="str">
        <x:v>2026-08-06</x:v>
      </x:c>
      <x:c r="AY24" s="19" t="str">
        <x:v>https://gs.amac.org.cn/amac-infodisc/res/pof/manager/1707071820104466.html</x:v>
      </x:c>
      <x:c r="AZ24" s="19" t="str">
        <x:v>擎丰1号私募投资基金</x:v>
      </x:c>
      <x:c r="BA24" s="19" t="str">
        <x:v>2023-01-16</x:v>
      </x:c>
      <x:c r="BB24" s="19"/>
      <x:c r="BC24" s="19" t="str">
        <x:v>https://gs.amac.org.cn/amac-infodisc/res/pof/fund/1806141444102951.html</x:v>
      </x:c>
      <x:c r="BD24" s="19" t="str">
        <x:v>已匹配</x:v>
      </x:c>
      <x:c r="BE24"/>
      <x:c r="BF24"/>
    </x:row>
    <x:row r="25" ht="28" customHeight="1">
      <x:c r="A25" s="4" t="n">
        <x:v>9</x:v>
      </x:c>
      <x:c r="B25" s="15" t="str">
        <x:f>'sheet4-原始数据'!A10</x:f>
        <x:v>新时代智能量化3号</x:v>
      </x:c>
      <x:c r="C25" s="15" t="str">
        <x:f>'sheet4-原始数据'!B10</x:f>
        <x:v>SEM001</x:v>
      </x:c>
      <x:c r="D25" s="15" t="str">
        <x:f>'sheet4-原始数据'!E10</x:f>
        <x:v>杭州探融投资</x:v>
      </x:c>
      <x:c r="E25" s="32" t="n">
        <x:f>IF(ISNUMBER('sheet4-原始数据'!F10),'sheet4-原始数据'!F10,"")</x:f>
        <x:v>43402</x:v>
      </x:c>
      <x:c r="F25" s="17" t="n">
        <x:f>IF(NOT(ISNUMBER(E25)),"",ROUND(('sheet1-指标体系'!$J$23-E25)/365.25,4))</x:f>
        <x:v>7.8823</x:v>
      </x:c>
      <x:c r="G25" s="4" t="str">
        <x:f t="shared" si="1">IF(NOT(ISNUMBER(F25)),"",IF(F25&lt;1,"不入池","入池"))</x:f>
        <x:v>入池</x:v>
      </x:c>
      <x:c r="H25" s="33" t="str">
        <x:v>0-5亿元</x:v>
      </x:c>
      <x:c r="I25" s="17" t="n">
        <x:f>IF(H25="","",IF(ISNUMBER(SEARCH("100亿元以上",H25)),100,IF(OR(ISNUMBER(SEARCH("20-50",H25)),ISNUMBER(SEARCH("50-100",H25)),ISNUMBER(SEARCH("20-100",H25))),90,IF(ISNUMBER(SEARCH("10-20",H25)),80,IF(ISNUMBER(SEARCH("5-10",H25)),70,IF(ISNUMBER(SEARCH("0-5",H25)),60,""))))))</x:f>
        <x:v>60</x:v>
      </x:c>
      <x:c r="J25" s="34" t="str">
        <x:v>无低于1000万元标识</x:v>
      </x:c>
      <x:c r="K25" s="17" t="n">
        <x:f>IF(J25="","",IF(J25="低于1000万元",0,100))</x:f>
        <x:v>100</x:v>
      </x:c>
      <x:c r="L25" s="17" t="n">
        <x:f>IF(NOT(ISNUMBER(F25)),"",IF(F25&lt;1,"",IF(F25&lt;3,70,100)))</x:f>
        <x:v>100</x:v>
      </x:c>
      <x:c r="M25" s="35" t="n">
        <x:f>IF(ISNUMBER('sheet4-原始数据'!G10),'sheet4-原始数据'!G10,"")</x:f>
        <x:v>0.012</x:v>
      </x:c>
      <x:c r="N25" s="35" t="n">
        <x:f>IF(ISNUMBER('sheet4-原始数据'!H10),'sheet4-原始数据'!H10,"")</x:f>
        <x:v>0.031200000000000002</x:v>
      </x:c>
      <x:c r="O25" s="36" t="str">
        <x:f>IF(ISNUMBER('sheet4-原始数据'!Q10),'sheet4-原始数据'!Q10,"")</x:f>
      </x:c>
      <x:c r="P25" s="37" t="n">
        <x:f>IF($G25&lt;&gt;"入池","",IF($F25&gt;=3,IF(OR(NOT(ISNUMBER($M25)),NOT(ISNUMBER($N25)),1+$M25&lt;=0,1+$N25&lt;0),"",((1+$N25)^3/(1+$M25))^(1/2)-1),IF(OR($F25&lt;=1,NOT(ISNUMBER($M25)),NOT(ISNUMBER($O25)),1+$M25&lt;=0,1+$O25&lt;0),"",((1+$O25)^$F25/(1+$M25))^(1/($F25-1))-1)))</x:f>
        <x:v>0.04093617189550769</x:v>
      </x:c>
      <x:c r="Q25" s="17" t="n">
        <x:f>IF(OR($G25&lt;&gt;"入池",NOT(ISNUMBER(M25))),"",IF(COUNTIFS($G$17:$G$219,"入池",$M$17:$M$219,"&gt;=-1E+307",$M$17:$M$219,"&lt;=1E+307")&lt;=1,100,ROUND(100*(COUNTIFS($G$17:$G$219,"入池",$M$17:$M$219,"&gt;=-1E+307",$M$17:$M$219,"&lt;"&amp;M25)+COUNTIFS($G$17:$G$219,"入池",$M$17:$M$219,M25,$M$17:$M$219,"&gt;=-1E+307",$M$17:$M$219,"&lt;=1E+307")/2-0.5)/(COUNTIFS($G$17:$G$219,"入池",$M$17:$M$219,"&gt;=-1E+307",$M$17:$M$219,"&lt;=1E+307")-1),2)))</x:f>
        <x:v>23.76</x:v>
      </x:c>
      <x:c r="R25" s="17" t="n">
        <x:f>IF(OR($G25&lt;&gt;"入池",NOT(ISNUMBER(P25))),"",IF(COUNTIFS($G$17:$G$219,"入池",$P$17:$P$219,"&gt;=-1E+307",$P$17:$P$219,"&lt;=1E+307")&lt;=1,100,ROUND(100*(COUNTIFS($G$17:$G$219,"入池",$P$17:$P$219,"&gt;=-1E+307",$P$17:$P$219,"&lt;"&amp;P25)+COUNTIFS($G$17:$G$219,"入池",$P$17:$P$219,P25,$P$17:$P$219,"&gt;=-1E+307",$P$17:$P$219,"&lt;=1E+307")/2-0.5)/(COUNTIFS($G$17:$G$219,"入池",$P$17:$P$219,"&gt;=-1E+307",$P$17:$P$219,"&lt;=1E+307")-1),2)))</x:f>
        <x:v>28.22</x:v>
      </x:c>
      <x:c r="S25" s="17" t="n">
        <x:f>IF(NOT(ISNUMBER(Q25)),"",IF(NOT(ISNUMBER(R25)),Q25,ROUND(Q25*'sheet1-指标体系'!$J$8+R25*'sheet1-指标体系'!$J$9,2)))</x:f>
        <x:v>25.54</x:v>
      </x:c>
      <x:c r="T25" s="35" t="n">
        <x:f>IF(ISNUMBER('sheet4-原始数据'!J10),'sheet4-原始数据'!J10,"")</x:f>
        <x:v>0.46149999999999997</x:v>
      </x:c>
      <x:c r="U25" s="35" t="n">
        <x:f>IF(ISNUMBER('sheet4-原始数据'!I10),'sheet4-原始数据'!I10,"")</x:f>
        <x:v>0.5676</x:v>
      </x:c>
      <x:c r="V25" s="37" t="n">
        <x:f>IF(OR(NOT(ISNUMBER(T25)),NOT(ISNUMBER(U25))),"",(U25*'sheet1-指标体系'!$J$6-T25*'sheet1-指标体系'!$J$5)/'sheet1-指标体系'!$J$7)</x:f>
        <x:v>0.6250708333333334</x:v>
      </x:c>
      <x:c r="W25" s="17" t="n">
        <x:f>IF(NOT(ISNUMBER(T25)),"",T25*100)</x:f>
        <x:v>46.15</x:v>
      </x:c>
      <x:c r="X25" s="17" t="n">
        <x:f>IF($G25&lt;&gt;"入池","",IF(AND(ISNUMBER(V25),V25&gt;=0,V25&lt;=1),V25*100,IF(MAX(0,($F25-1)*12)&lt;6,100,"")))</x:f>
        <x:v>62.507083333333334</x:v>
      </x:c>
      <x:c r="Y25" s="17" t="n">
        <x:f>IF(NOT(ISNUMBER(W25)),"",IF(NOT(ISNUMBER(X25)),W25,ROUND(W25*'sheet1-指标体系'!$J$8+X25*'sheet1-指标体系'!$J$9,2)))</x:f>
        <x:v>52.69</x:v>
      </x:c>
      <x:c r="Z25" s="37" t="n">
        <x:f>IF(OR(NOT(ISNUMBER(M25)),NOT(ISNUMBER(AD25)),AD25=0),"",ABS(M25/AD25))</x:f>
        <x:v>0.03299422601044817</x:v>
      </x:c>
      <x:c r="AA25" s="35" t="n">
        <x:f>IF(ISNUMBER('sheet4-原始数据'!K10),'sheet4-原始数据'!K10,"")</x:f>
        <x:v>0.033</x:v>
      </x:c>
      <x:c r="AB25" s="37" t="n">
        <x:f>IF(COUNT(Z25:AA25)=0,"",MAX(Z25:AA25))</x:f>
        <x:v>0.033</x:v>
      </x:c>
      <x:c r="AC25" s="17" t="n">
        <x:f>IF(OR($G25&lt;&gt;"入池",NOT(ISNUMBER(AB25))),"",IF(COUNTIFS($G$17:$G$219,"入池",$AB$17:$AB$219,"&gt;=-1E+307",$AB$17:$AB$219,"&lt;=1E+307")&lt;=1,100,ROUND(100*(COUNTIFS($G$17:$G$219,"入池",$AB$17:$AB$219,"&lt;=1E+307",$AB$17:$AB$219,"&gt;"&amp;AB25)+COUNTIFS($G$17:$G$219,"入池",$AB$17:$AB$219,AB25,$AB$17:$AB$219,"&gt;=-1E+307",$AB$17:$AB$219,"&lt;=1E+307")/2-0.5)/(COUNTIFS($G$17:$G$219,"入池",$AB$17:$AB$219,"&gt;=-1E+307",$AB$17:$AB$219,"&lt;=1E+307")-1),2)))</x:f>
        <x:v>58.42</x:v>
      </x:c>
      <x:c r="AD25" s="38" t="n">
        <x:f>IF(ISNUMBER('sheet4-原始数据'!M10),'sheet4-原始数据'!M10,"")</x:f>
        <x:v>0.3637</x:v>
      </x:c>
      <x:c r="AE25" s="37" t="str">
        <x:f>IF(OR(NOT(ISNUMBER(P25)),NOT(ISNUMBER(AA25)),NOT(ISNUMBER(Z25))),"",IF(AA25&gt;Z25+'sheet1-指标体系'!$J$11,AA25,""))</x:f>
      </x:c>
      <x:c r="AF25" s="17" t="str">
        <x:f>IF(OR(NOT(ISNUMBER(P25)),NOT(ISNUMBER(AE25)),AE25=0),"",P25/AE25)</x:f>
      </x:c>
      <x:c r="AG25" s="17" t="n">
        <x:f>IF(OR($G25&lt;&gt;"入池",NOT(ISNUMBER(AD25))),"",IF(COUNTIFS($G$17:$G$219,"入池",$AD$17:$AD$219,"&gt;=-1E+307",$AD$17:$AD$219,"&lt;=1E+307")&lt;=1,100,ROUND(100*(COUNTIFS($G$17:$G$219,"入池",$AD$17:$AD$219,"&gt;=-1E+307",$AD$17:$AD$219,"&lt;"&amp;AD25)+COUNTIFS($G$17:$G$219,"入池",$AD$17:$AD$219,AD25,$AD$17:$AD$219,"&gt;=-1E+307",$AD$17:$AD$219,"&lt;=1E+307")/2-0.5)/(COUNTIFS($G$17:$G$219,"入池",$AD$17:$AD$219,"&gt;=-1E+307",$AD$17:$AD$219,"&lt;=1E+307")-1),2)))</x:f>
        <x:v>25.87</x:v>
      </x:c>
      <x:c r="AH25" s="17" t="str">
        <x:f>IF(OR($G25&lt;&gt;"入池",NOT(ISNUMBER(AF25))),"",IF(COUNTIFS($G$17:$G$219,"入池",$AF$17:$AF$219,"&gt;=-1E+307",$AF$17:$AF$219,"&lt;=1E+307")&lt;=1,100,ROUND(100*(COUNTIFS($G$17:$G$219,"入池",$AF$17:$AF$219,"&gt;=-1E+307",$AF$17:$AF$219,"&lt;"&amp;AF25)+COUNTIFS($G$17:$G$219,"入池",$AF$17:$AF$219,AF25,$AF$17:$AF$219,"&gt;=-1E+307",$AF$17:$AF$219,"&lt;=1E+307")/2-0.5)/(COUNTIFS($G$17:$G$219,"入池",$AF$17:$AF$219,"&gt;=-1E+307",$AF$17:$AF$219,"&lt;=1E+307")-1),2)))</x:f>
      </x:c>
      <x:c r="AI25" s="17" t="n">
        <x:f>IF(NOT(ISNUMBER(AG25)),"",IF(NOT(ISNUMBER(AH25)),AG25,ROUND(AG25*'sheet1-指标体系'!$J$8+AH25*'sheet1-指标体系'!$J$9,2)))</x:f>
        <x:v>25.87</x:v>
      </x:c>
      <x:c r="AJ25" s="37" t="n">
        <x:f>IF(NOT(ISNUMBER(F25)),"",IF(F25&gt;=3,IF(NOT(ISNUMBER(N25)),"",N25),IF(NOT(ISNUMBER(O25)),"",O25)))</x:f>
        <x:v>0.031200000000000002</x:v>
      </x:c>
      <x:c r="AK25" s="17" t="n">
        <x:f>IF(OR(G25&lt;&gt;"入池",NOT(ISNUMBER(M25)),NOT(ISNUMBER(AJ25))),"",IF(M25&gt;=AJ25,100,IF(AJ25-M25&lt;'sheet1-指标体系'!$J$10,80,60)))</x:f>
        <x:v>80</x:v>
      </x:c>
      <x:c r="AL25" s="17" t="n">
        <x:f>IF(COUNT(I25,K25,L25)=0,"",ROUND((IF(ISNUMBER(I25),I25*40%,0)+IF(ISNUMBER(K25),K25*30%,0)+IF(ISNUMBER(L25),L25*30%,0))/(IF(ISNUMBER(I25),40%,0)+IF(ISNUMBER(K25),30%,0)+IF(ISNUMBER(L25),30%,0)),2))</x:f>
        <x:v>84</x:v>
      </x:c>
      <x:c r="AM25" s="17" t="n">
        <x:f>IF(COUNT(Q25,R25,W25,X25)=0,"",ROUND((IF(ISNUMBER(Q25),Q25*42%,0)+IF(ISNUMBER(R25),R25*28%,0)+IF(ISNUMBER(W25),W25*18%,0)+IF(ISNUMBER(X25),X25*12%,0))/(IF(ISNUMBER(Q25),42%,0)+IF(ISNUMBER(R25),28%,0)+IF(ISNUMBER(W25),18%,0)+IF(ISNUMBER(X25),12%,0)),2))</x:f>
        <x:v>33.69</x:v>
      </x:c>
      <x:c r="AN25" s="17" t="n">
        <x:f>IF(ISNUMBER(AC25),AC25,"")</x:f>
        <x:v>58.42</x:v>
      </x:c>
      <x:c r="AO25" s="17" t="n">
        <x:f>IF(COUNT(AG25,AH25)=0,"",ROUND((IF(ISNUMBER(AG25),AG25*60%,0)+IF(ISNUMBER(AH25),AH25*40%,0))/(IF(ISNUMBER(AG25),60%,0)+IF(ISNUMBER(AH25),40%,0)),2))</x:f>
        <x:v>25.87</x:v>
      </x:c>
      <x:c r="AP25" s="17" t="n">
        <x:f>IF(ISNUMBER(AK25),AK25,"")</x:f>
        <x:v>80</x:v>
      </x:c>
      <x:c r="AQ25" s="39" t="n">
        <x:f>IF(G25&lt;&gt;"入池",0,IF(ISNUMBER(I25),6%,0)+IF(ISNUMBER(K25),4.5%,0)+IF(ISNUMBER(L25),4.5%,0)+IF(ISNUMBER(Q25),8.4%,0)+IF(ISNUMBER(R25),5.6%,0)+IF(ISNUMBER(W25),3.6%,0)+IF(ISNUMBER(X25),2.4%,0)+IF(ISNUMBER(AC25),25%,0)+IF(ISNUMBER(AG25),18%,0)+IF(ISNUMBER(AH25),12%,0)+IF(ISNUMBER(AK25),10%,0))</x:f>
        <x:v>0.88</x:v>
      </x:c>
      <x:c r="AR25" s="17" t="n">
        <x:f>IF(AQ25=0,"",IF(ISNUMBER(I25),I25*6%,0)+IF(ISNUMBER(K25),K25*4.5%,0)+IF(ISNUMBER(L25),L25*4.5%,0)+IF(ISNUMBER(Q25),Q25*8.4%,0)+IF(ISNUMBER(R25),R25*5.6%,0)+IF(ISNUMBER(W25),W25*3.6%,0)+IF(ISNUMBER(X25),X25*2.4%,0)+IF(ISNUMBER(AC25),AC25*25%,0)+IF(ISNUMBER(AG25),AG25*18%,0)+IF(ISNUMBER(AH25),AH25*12%,0)+IF(ISNUMBER(AK25),AK25*10%,0))</x:f>
        <x:v>46.599329999999995</x:v>
      </x:c>
      <x:c r="AS25" s="17" t="n">
        <x:f>IF(AQ25=0,"",ROUND(AR25/AQ25,2))</x:f>
        <x:v>52.95</x:v>
      </x:c>
      <x:c r="AT25" s="40" t="n">
        <x:f>IF(OR(G25&lt;&gt;"入池",NOT(ISNUMBER(AS25))),"",COUNTIFS($G$17:$G$219,"入池",$AS$17:$AS$219,"&gt;"&amp;AS25)+COUNTIFS($G$17:$G$219,"入池",$AS$17:$AS$219,AS25,$AQ$17:$AQ$219,"&gt;"&amp;AQ25)+COUNTIFS($G$17:G25,"入池",$AS$17:AS25,AS25,$AQ$17:AQ25,AQ25))</x:f>
        <x:v>135</x:v>
      </x:c>
      <x:c r="AU25" s="41" t="str">
        <x:f t="shared" si="2">IF(NOT(ISNUMBER(I25)),"管理人规模；","")&amp;IF(J25="","产品规模标识；","")&amp;IF(AND(F25&lt;3,NOT(ISNUMBER(O25))),"R_incep；","")&amp;IF(NOT(ISNUMBER(N25)),"近三年收益；","")&amp;IF(NOT(ISNUMBER(U25)),"近三年胜率；","")&amp;IF(AND(ISNUMBER(V25),OR(V25&lt;0,V25&gt;1)),"胜率窗口口径不一致；","")&amp;IF(NOT(ISNUMBER(AA25)),"近三年回撤；","")&amp;IF(NOT(ISNUMBER(AD25)),"短期卡玛；","")&amp;IF(AND(ISNUMBER(P25),NOT(ISNUMBER(AE25))),"DD_long不可识别；","")</x:f>
        <x:v>DD_long不可识别；</x:v>
      </x:c>
      <x:c r="AV25" s="42" t="n">
        <x:v>0</x:v>
      </x:c>
      <x:c r="AW25" s="19" t="str">
        <x:v>杭州探融投资管理有限公司</x:v>
      </x:c>
      <x:c r="AX25" s="19" t="str">
        <x:v>2025-05-22</x:v>
      </x:c>
      <x:c r="AY25" s="19" t="str">
        <x:v>https://gs.amac.org.cn/amac-infodisc/res/pof/manager/101000049159.html</x:v>
      </x:c>
      <x:c r="AZ25" s="19" t="str">
        <x:v>新时代智能量化3号私募投资基金</x:v>
      </x:c>
      <x:c r="BA25" s="19" t="str">
        <x:v>2026-05-12</x:v>
      </x:c>
      <x:c r="BB25" s="19"/>
      <x:c r="BC25" s="19" t="str">
        <x:v>https://gs.amac.org.cn/amac-infodisc/res/pof/fund/1811011729102590.html</x:v>
      </x:c>
      <x:c r="BD25" s="19" t="str">
        <x:v>已匹配</x:v>
      </x:c>
      <x:c r="BE25"/>
      <x:c r="BF25"/>
    </x:row>
    <x:row r="26" ht="28" customHeight="1">
      <x:c r="A26" s="4" t="n">
        <x:v>10</x:v>
      </x:c>
      <x:c r="B26" s="15" t="str">
        <x:f>'sheet4-原始数据'!A11</x:f>
        <x:v>悬铃C号2期</x:v>
      </x:c>
      <x:c r="C26" s="15" t="str">
        <x:f>'sheet4-原始数据'!B11</x:f>
        <x:v>SGH303</x:v>
      </x:c>
      <x:c r="D26" s="15" t="str">
        <x:f>'sheet4-原始数据'!E11</x:f>
        <x:v>上海悬铃</x:v>
      </x:c>
      <x:c r="E26" s="32" t="n">
        <x:f>IF(ISNUMBER('sheet4-原始数据'!F11),'sheet4-原始数据'!F11,"")</x:f>
        <x:v>43579</x:v>
      </x:c>
      <x:c r="F26" s="17" t="n">
        <x:f>IF(NOT(ISNUMBER(E26)),"",ROUND(('sheet1-指标体系'!$J$23-E26)/365.25,4))</x:f>
        <x:v>7.3977</x:v>
      </x:c>
      <x:c r="G26" s="4" t="str">
        <x:f t="shared" si="1">IF(NOT(ISNUMBER(F26)),"",IF(F26&lt;1,"不入池","入池"))</x:f>
        <x:v>入池</x:v>
      </x:c>
      <x:c r="H26" s="33" t="str">
        <x:v>20-50亿元</x:v>
      </x:c>
      <x:c r="I26" s="17" t="n">
        <x:f>IF(H26="","",IF(ISNUMBER(SEARCH("100亿元以上",H26)),100,IF(OR(ISNUMBER(SEARCH("20-50",H26)),ISNUMBER(SEARCH("50-100",H26)),ISNUMBER(SEARCH("20-100",H26))),90,IF(ISNUMBER(SEARCH("10-20",H26)),80,IF(ISNUMBER(SEARCH("5-10",H26)),70,IF(ISNUMBER(SEARCH("0-5",H26)),60,""))))))</x:f>
        <x:v>90</x:v>
      </x:c>
      <x:c r="J26" s="34" t="str">
        <x:v>无低于1000万元标识</x:v>
      </x:c>
      <x:c r="K26" s="17" t="n">
        <x:f>IF(J26="","",IF(J26="低于1000万元",0,100))</x:f>
        <x:v>100</x:v>
      </x:c>
      <x:c r="L26" s="17" t="n">
        <x:f>IF(NOT(ISNUMBER(F26)),"",IF(F26&lt;1,"",IF(F26&lt;3,70,100)))</x:f>
        <x:v>100</x:v>
      </x:c>
      <x:c r="M26" s="35" t="n">
        <x:f>IF(ISNUMBER('sheet4-原始数据'!G11),'sheet4-原始数据'!G11,"")</x:f>
        <x:v>-0.08650000000000001</x:v>
      </x:c>
      <x:c r="N26" s="35" t="n">
        <x:f>IF(ISNUMBER('sheet4-原始数据'!H11),'sheet4-原始数据'!H11,"")</x:f>
        <x:v>0.0183</x:v>
      </x:c>
      <x:c r="O26" s="36" t="str">
        <x:f>IF(ISNUMBER('sheet4-原始数据'!Q11),'sheet4-原始数据'!Q11,"")</x:f>
      </x:c>
      <x:c r="P26" s="37" t="n">
        <x:f>IF($G26&lt;&gt;"入池","",IF($F26&gt;=3,IF(OR(NOT(ISNUMBER($M26)),NOT(ISNUMBER($N26)),1+$M26&lt;=0,1+$N26&lt;0),"",((1+$N26)^3/(1+$M26))^(1/2)-1),IF(OR($F26&lt;=1,NOT(ISNUMBER($M26)),NOT(ISNUMBER($O26)),1+$M26&lt;=0,1+$O26&lt;0),"",((1+$O26)^$F26/(1+$M26))^(1/($F26-1))-1)))</x:f>
        <x:v>0.07512593856921979</x:v>
      </x:c>
      <x:c r="Q26" s="17" t="n">
        <x:f>IF(OR($G26&lt;&gt;"入池",NOT(ISNUMBER(M26))),"",IF(COUNTIFS($G$17:$G$219,"入池",$M$17:$M$219,"&gt;=-1E+307",$M$17:$M$219,"&lt;=1E+307")&lt;=1,100,ROUND(100*(COUNTIFS($G$17:$G$219,"入池",$M$17:$M$219,"&gt;=-1E+307",$M$17:$M$219,"&lt;"&amp;M26)+COUNTIFS($G$17:$G$219,"入池",$M$17:$M$219,M26,$M$17:$M$219,"&gt;=-1E+307",$M$17:$M$219,"&lt;=1E+307")/2-0.5)/(COUNTIFS($G$17:$G$219,"入池",$M$17:$M$219,"&gt;=-1E+307",$M$17:$M$219,"&lt;=1E+307")-1),2)))</x:f>
        <x:v>6.44</x:v>
      </x:c>
      <x:c r="R26" s="17" t="n">
        <x:f>IF(OR($G26&lt;&gt;"入池",NOT(ISNUMBER(P26))),"",IF(COUNTIFS($G$17:$G$219,"入池",$P$17:$P$219,"&gt;=-1E+307",$P$17:$P$219,"&lt;=1E+307")&lt;=1,100,ROUND(100*(COUNTIFS($G$17:$G$219,"入池",$P$17:$P$219,"&gt;=-1E+307",$P$17:$P$219,"&lt;"&amp;P26)+COUNTIFS($G$17:$G$219,"入池",$P$17:$P$219,P26,$P$17:$P$219,"&gt;=-1E+307",$P$17:$P$219,"&lt;=1E+307")/2-0.5)/(COUNTIFS($G$17:$G$219,"入池",$P$17:$P$219,"&gt;=-1E+307",$P$17:$P$219,"&lt;=1E+307")-1),2)))</x:f>
        <x:v>59.9</x:v>
      </x:c>
      <x:c r="S26" s="17" t="n">
        <x:f>IF(NOT(ISNUMBER(Q26)),"",IF(NOT(ISNUMBER(R26)),Q26,ROUND(Q26*'sheet1-指标体系'!$J$8+R26*'sheet1-指标体系'!$J$9,2)))</x:f>
        <x:v>27.82</x:v>
      </x:c>
      <x:c r="T26" s="35" t="n">
        <x:f>IF(ISNUMBER('sheet4-原始数据'!J11),'sheet4-原始数据'!J11,"")</x:f>
        <x:v>0.3077</x:v>
      </x:c>
      <x:c r="U26" s="35" t="n">
        <x:f>IF(ISNUMBER('sheet4-原始数据'!I11),'sheet4-原始数据'!I11,"")</x:f>
        <x:v>0.5676</x:v>
      </x:c>
      <x:c r="V26" s="37" t="n">
        <x:f>IF(OR(NOT(ISNUMBER(T26)),NOT(ISNUMBER(U26))),"",(U26*'sheet1-指标体系'!$J$6-T26*'sheet1-指标体系'!$J$5)/'sheet1-指标体系'!$J$7)</x:f>
        <x:v>0.7083791666666667</x:v>
      </x:c>
      <x:c r="W26" s="17" t="n">
        <x:f>IF(NOT(ISNUMBER(T26)),"",T26*100)</x:f>
        <x:v>30.769999999999996</x:v>
      </x:c>
      <x:c r="X26" s="17" t="n">
        <x:f>IF($G26&lt;&gt;"入池","",IF(AND(ISNUMBER(V26),V26&gt;=0,V26&lt;=1),V26*100,IF(MAX(0,($F26-1)*12)&lt;6,100,"")))</x:f>
        <x:v>70.83791666666667</x:v>
      </x:c>
      <x:c r="Y26" s="17" t="n">
        <x:f>IF(NOT(ISNUMBER(W26)),"",IF(NOT(ISNUMBER(X26)),W26,ROUND(W26*'sheet1-指标体系'!$J$8+X26*'sheet1-指标体系'!$J$9,2)))</x:f>
        <x:v>46.8</x:v>
      </x:c>
      <x:c r="Z26" s="37" t="n">
        <x:f>IF(OR(NOT(ISNUMBER(M26)),NOT(ISNUMBER(AD26)),AD26=0),"",ABS(M26/AD26))</x:f>
        <x:v>0.08786185881157949</x:v>
      </x:c>
      <x:c r="AA26" s="35" t="n">
        <x:f>IF(ISNUMBER('sheet4-原始数据'!K11),'sheet4-原始数据'!K11,"")</x:f>
        <x:v>0.1306</x:v>
      </x:c>
      <x:c r="AB26" s="37" t="n">
        <x:f>IF(COUNT(Z26:AA26)=0,"",MAX(Z26:AA26))</x:f>
        <x:v>0.1306</x:v>
      </x:c>
      <x:c r="AC26" s="17" t="n">
        <x:f>IF(OR($G26&lt;&gt;"入池",NOT(ISNUMBER(AB26))),"",IF(COUNTIFS($G$17:$G$219,"入池",$AB$17:$AB$219,"&gt;=-1E+307",$AB$17:$AB$219,"&lt;=1E+307")&lt;=1,100,ROUND(100*(COUNTIFS($G$17:$G$219,"入池",$AB$17:$AB$219,"&lt;=1E+307",$AB$17:$AB$219,"&gt;"&amp;AB26)+COUNTIFS($G$17:$G$219,"入池",$AB$17:$AB$219,AB26,$AB$17:$AB$219,"&gt;=-1E+307",$AB$17:$AB$219,"&lt;=1E+307")/2-0.5)/(COUNTIFS($G$17:$G$219,"入池",$AB$17:$AB$219,"&gt;=-1E+307",$AB$17:$AB$219,"&lt;=1E+307")-1),2)))</x:f>
        <x:v>17.82</x:v>
      </x:c>
      <x:c r="AD26" s="38" t="n">
        <x:f>IF(ISNUMBER('sheet4-原始数据'!M11),'sheet4-原始数据'!M11,"")</x:f>
        <x:v>-0.9845</x:v>
      </x:c>
      <x:c r="AE26" s="37" t="n">
        <x:f>IF(OR(NOT(ISNUMBER(P26)),NOT(ISNUMBER(AA26)),NOT(ISNUMBER(Z26))),"",IF(AA26&gt;Z26+'sheet1-指标体系'!$J$11,AA26,""))</x:f>
        <x:v>0.1306</x:v>
      </x:c>
      <x:c r="AF26" s="17" t="n">
        <x:f>IF(OR(NOT(ISNUMBER(P26)),NOT(ISNUMBER(AE26)),AE26=0),"",P26/AE26)</x:f>
        <x:v>0.5752368956295543</x:v>
      </x:c>
      <x:c r="AG26" s="17" t="n">
        <x:f>IF(OR($G26&lt;&gt;"入池",NOT(ISNUMBER(AD26))),"",IF(COUNTIFS($G$17:$G$219,"入池",$AD$17:$AD$219,"&gt;=-1E+307",$AD$17:$AD$219,"&lt;=1E+307")&lt;=1,100,ROUND(100*(COUNTIFS($G$17:$G$219,"入池",$AD$17:$AD$219,"&gt;=-1E+307",$AD$17:$AD$219,"&lt;"&amp;AD26)+COUNTIFS($G$17:$G$219,"入池",$AD$17:$AD$219,AD26,$AD$17:$AD$219,"&gt;=-1E+307",$AD$17:$AD$219,"&lt;=1E+307")/2-0.5)/(COUNTIFS($G$17:$G$219,"入池",$AD$17:$AD$219,"&gt;=-1E+307",$AD$17:$AD$219,"&lt;=1E+307")-1),2)))</x:f>
        <x:v>0</x:v>
      </x:c>
      <x:c r="AH26" s="17" t="n">
        <x:f>IF(OR($G26&lt;&gt;"入池",NOT(ISNUMBER(AF26))),"",IF(COUNTIFS($G$17:$G$219,"入池",$AF$17:$AF$219,"&gt;=-1E+307",$AF$17:$AF$219,"&lt;=1E+307")&lt;=1,100,ROUND(100*(COUNTIFS($G$17:$G$219,"入池",$AF$17:$AF$219,"&gt;=-1E+307",$AF$17:$AF$219,"&lt;"&amp;AF26)+COUNTIFS($G$17:$G$219,"入池",$AF$17:$AF$219,AF26,$AF$17:$AF$219,"&gt;=-1E+307",$AF$17:$AF$219,"&lt;=1E+307")/2-0.5)/(COUNTIFS($G$17:$G$219,"入池",$AF$17:$AF$219,"&gt;=-1E+307",$AF$17:$AF$219,"&lt;=1E+307")-1),2)))</x:f>
        <x:v>20.44</x:v>
      </x:c>
      <x:c r="AI26" s="17" t="n">
        <x:f>IF(NOT(ISNUMBER(AG26)),"",IF(NOT(ISNUMBER(AH26)),AG26,ROUND(AG26*'sheet1-指标体系'!$J$8+AH26*'sheet1-指标体系'!$J$9,2)))</x:f>
        <x:v>8.18</x:v>
      </x:c>
      <x:c r="AJ26" s="37" t="n">
        <x:f>IF(NOT(ISNUMBER(F26)),"",IF(F26&gt;=3,IF(NOT(ISNUMBER(N26)),"",N26),IF(NOT(ISNUMBER(O26)),"",O26)))</x:f>
        <x:v>0.0183</x:v>
      </x:c>
      <x:c r="AK26" s="17" t="n">
        <x:f>IF(OR(G26&lt;&gt;"入池",NOT(ISNUMBER(M26)),NOT(ISNUMBER(AJ26))),"",IF(M26&gt;=AJ26,100,IF(AJ26-M26&lt;'sheet1-指标体系'!$J$10,80,60)))</x:f>
        <x:v>80</x:v>
      </x:c>
      <x:c r="AL26" s="17" t="n">
        <x:f>IF(COUNT(I26,K26,L26)=0,"",ROUND((IF(ISNUMBER(I26),I26*40%,0)+IF(ISNUMBER(K26),K26*30%,0)+IF(ISNUMBER(L26),L26*30%,0))/(IF(ISNUMBER(I26),40%,0)+IF(ISNUMBER(K26),30%,0)+IF(ISNUMBER(L26),30%,0)),2))</x:f>
        <x:v>96</x:v>
      </x:c>
      <x:c r="AM26" s="17" t="n">
        <x:f>IF(COUNT(Q26,R26,W26,X26)=0,"",ROUND((IF(ISNUMBER(Q26),Q26*42%,0)+IF(ISNUMBER(R26),R26*28%,0)+IF(ISNUMBER(W26),W26*18%,0)+IF(ISNUMBER(X26),X26*12%,0))/(IF(ISNUMBER(Q26),42%,0)+IF(ISNUMBER(R26),28%,0)+IF(ISNUMBER(W26),18%,0)+IF(ISNUMBER(X26),12%,0)),2))</x:f>
        <x:v>33.52</x:v>
      </x:c>
      <x:c r="AN26" s="17" t="n">
        <x:f>IF(ISNUMBER(AC26),AC26,"")</x:f>
        <x:v>17.82</x:v>
      </x:c>
      <x:c r="AO26" s="17" t="n">
        <x:f>IF(COUNT(AG26,AH26)=0,"",ROUND((IF(ISNUMBER(AG26),AG26*60%,0)+IF(ISNUMBER(AH26),AH26*40%,0))/(IF(ISNUMBER(AG26),60%,0)+IF(ISNUMBER(AH26),40%,0)),2))</x:f>
        <x:v>8.18</x:v>
      </x:c>
      <x:c r="AP26" s="17" t="n">
        <x:f>IF(ISNUMBER(AK26),AK26,"")</x:f>
        <x:v>80</x:v>
      </x:c>
      <x:c r="AQ26" s="39" t="n">
        <x:f>IF(G26&lt;&gt;"入池",0,IF(ISNUMBER(I26),6%,0)+IF(ISNUMBER(K26),4.5%,0)+IF(ISNUMBER(L26),4.5%,0)+IF(ISNUMBER(Q26),8.4%,0)+IF(ISNUMBER(R26),5.6%,0)+IF(ISNUMBER(W26),3.6%,0)+IF(ISNUMBER(X26),2.4%,0)+IF(ISNUMBER(AC26),25%,0)+IF(ISNUMBER(AG26),18%,0)+IF(ISNUMBER(AH26),12%,0)+IF(ISNUMBER(AK26),10%,0))</x:f>
        <x:v>1</x:v>
      </x:c>
      <x:c r="AR26" s="17" t="n">
        <x:f>IF(AQ26=0,"",IF(ISNUMBER(I26),I26*6%,0)+IF(ISNUMBER(K26),K26*4.5%,0)+IF(ISNUMBER(L26),L26*4.5%,0)+IF(ISNUMBER(Q26),Q26*8.4%,0)+IF(ISNUMBER(R26),R26*5.6%,0)+IF(ISNUMBER(W26),W26*3.6%,0)+IF(ISNUMBER(X26),X26*2.4%,0)+IF(ISNUMBER(AC26),AC26*25%,0)+IF(ISNUMBER(AG26),AG26*18%,0)+IF(ISNUMBER(AH26),AH26*12%,0)+IF(ISNUMBER(AK26),AK26*10%,0))</x:f>
        <x:v>36.01098999999999</x:v>
      </x:c>
      <x:c r="AS26" s="17" t="n">
        <x:f>IF(AQ26=0,"",ROUND(AR26/AQ26,2))</x:f>
        <x:v>36.01</x:v>
      </x:c>
      <x:c r="AT26" s="40" t="n">
        <x:f>IF(OR(G26&lt;&gt;"入池",NOT(ISNUMBER(AS26))),"",COUNTIFS($G$17:$G$219,"入池",$AS$17:$AS$219,"&gt;"&amp;AS26)+COUNTIFS($G$17:$G$219,"入池",$AS$17:$AS$219,AS26,$AQ$17:$AQ$219,"&gt;"&amp;AQ26)+COUNTIFS($G$17:G26,"入池",$AS$17:AS26,AS26,$AQ$17:AQ26,AQ26))</x:f>
        <x:v>180</x:v>
      </x:c>
      <x:c r="AU26" s="41" t="str">
        <x:f t="shared" si="2">IF(NOT(ISNUMBER(I26)),"管理人规模；","")&amp;IF(J26="","产品规模标识；","")&amp;IF(AND(F26&lt;3,NOT(ISNUMBER(O26))),"R_incep；","")&amp;IF(NOT(ISNUMBER(N26)),"近三年收益；","")&amp;IF(NOT(ISNUMBER(U26)),"近三年胜率；","")&amp;IF(AND(ISNUMBER(V26),OR(V26&lt;0,V26&gt;1)),"胜率窗口口径不一致；","")&amp;IF(NOT(ISNUMBER(AA26)),"近三年回撤；","")&amp;IF(NOT(ISNUMBER(AD26)),"短期卡玛；","")&amp;IF(AND(ISNUMBER(P26),NOT(ISNUMBER(AE26))),"DD_long不可识别；","")</x:f>
      </x:c>
      <x:c r="AV26" s="42" t="n">
        <x:v>20</x:v>
      </x:c>
      <x:c r="AW26" s="19" t="str">
        <x:v>上海悬铃私募基金管理有限公司</x:v>
      </x:c>
      <x:c r="AX26" s="19" t="str">
        <x:v>2026-07-13</x:v>
      </x:c>
      <x:c r="AY26" s="19" t="str">
        <x:v>https://gs.amac.org.cn/amac-infodisc/res/pof/manager/1701161209103763.html</x:v>
      </x:c>
      <x:c r="AZ26" s="19" t="str">
        <x:v>悬铃C号2期私募证券投资基金</x:v>
      </x:c>
      <x:c r="BA26" s="19" t="str">
        <x:v>2025-03-12</x:v>
      </x:c>
      <x:c r="BB26" s="19"/>
      <x:c r="BC26" s="19" t="str">
        <x:v>https://gs.amac.org.cn/amac-infodisc/res/pof/fund/1904291722104146.html</x:v>
      </x:c>
      <x:c r="BD26" s="19" t="str">
        <x:v>已匹配</x:v>
      </x:c>
      <x:c r="BE26"/>
      <x:c r="BF26"/>
    </x:row>
    <x:row r="27" ht="28" customHeight="1">
      <x:c r="A27" s="4" t="n">
        <x:v>11</x:v>
      </x:c>
      <x:c r="B27" s="15" t="str">
        <x:f>'sheet4-原始数据'!A12</x:f>
        <x:v>爱凡哲九号</x:v>
      </x:c>
      <x:c r="C27" s="15" t="str">
        <x:f>'sheet4-原始数据'!B12</x:f>
        <x:v>SJA112</x:v>
      </x:c>
      <x:c r="D27" s="15" t="str">
        <x:f>'sheet4-原始数据'!E12</x:f>
        <x:v>爱凡哲投资</x:v>
      </x:c>
      <x:c r="E27" s="32" t="n">
        <x:f>IF(ISNUMBER('sheet4-原始数据'!F12),'sheet4-原始数据'!F12,"")</x:f>
        <x:v>43710</x:v>
      </x:c>
      <x:c r="F27" s="17" t="n">
        <x:f>IF(NOT(ISNUMBER(E27)),"",ROUND(('sheet1-指标体系'!$J$23-E27)/365.25,4))</x:f>
        <x:v>7.039</x:v>
      </x:c>
      <x:c r="G27" s="4" t="str">
        <x:f t="shared" si="1">IF(NOT(ISNUMBER(F27)),"",IF(F27&lt;1,"不入池","入池"))</x:f>
        <x:v>入池</x:v>
      </x:c>
      <x:c r="H27" s="33" t="str">
        <x:v>20-50亿元</x:v>
      </x:c>
      <x:c r="I27" s="17" t="n">
        <x:f>IF(H27="","",IF(ISNUMBER(SEARCH("100亿元以上",H27)),100,IF(OR(ISNUMBER(SEARCH("20-50",H27)),ISNUMBER(SEARCH("50-100",H27)),ISNUMBER(SEARCH("20-100",H27))),90,IF(ISNUMBER(SEARCH("10-20",H27)),80,IF(ISNUMBER(SEARCH("5-10",H27)),70,IF(ISNUMBER(SEARCH("0-5",H27)),60,""))))))</x:f>
        <x:v>90</x:v>
      </x:c>
      <x:c r="J27" s="34" t="str">
        <x:v>无低于1000万元标识</x:v>
      </x:c>
      <x:c r="K27" s="17" t="n">
        <x:f>IF(J27="","",IF(J27="低于1000万元",0,100))</x:f>
        <x:v>100</x:v>
      </x:c>
      <x:c r="L27" s="17" t="n">
        <x:f>IF(NOT(ISNUMBER(F27)),"",IF(F27&lt;1,"",IF(F27&lt;3,70,100)))</x:f>
        <x:v>100</x:v>
      </x:c>
      <x:c r="M27" s="35" t="n">
        <x:f>IF(ISNUMBER('sheet4-原始数据'!G12),'sheet4-原始数据'!G12,"")</x:f>
        <x:v>0.1158</x:v>
      </x:c>
      <x:c r="N27" s="35" t="n">
        <x:f>IF(ISNUMBER('sheet4-原始数据'!H12),'sheet4-原始数据'!H12,"")</x:f>
        <x:v>0.11779999999999999</x:v>
      </x:c>
      <x:c r="O27" s="36" t="str">
        <x:f>IF(ISNUMBER('sheet4-原始数据'!Q12),'sheet4-原始数据'!Q12,"")</x:f>
      </x:c>
      <x:c r="P27" s="37" t="n">
        <x:f>IF($G27&lt;&gt;"入池","",IF($F27&gt;=3,IF(OR(NOT(ISNUMBER($M27)),NOT(ISNUMBER($N27)),1+$M27&lt;=0,1+$N27&lt;0),"",((1+$N27)^3/(1+$M27))^(1/2)-1),IF(OR($F27&lt;=1,NOT(ISNUMBER($M27)),NOT(ISNUMBER($O27)),1+$M27&lt;=0,1+$O27&lt;0),"",((1+$O27)^$F27/(1+$M27))^(1/($F27-1))-1)))</x:f>
        <x:v>0.1188013439256066</x:v>
      </x:c>
      <x:c r="Q27" s="17" t="n">
        <x:f>IF(OR($G27&lt;&gt;"入池",NOT(ISNUMBER(M27))),"",IF(COUNTIFS($G$17:$G$219,"入池",$M$17:$M$219,"&gt;=-1E+307",$M$17:$M$219,"&lt;=1E+307")&lt;=1,100,ROUND(100*(COUNTIFS($G$17:$G$219,"入池",$M$17:$M$219,"&gt;=-1E+307",$M$17:$M$219,"&lt;"&amp;M27)+COUNTIFS($G$17:$G$219,"入池",$M$17:$M$219,M27,$M$17:$M$219,"&gt;=-1E+307",$M$17:$M$219,"&lt;=1E+307")/2-0.5)/(COUNTIFS($G$17:$G$219,"入池",$M$17:$M$219,"&gt;=-1E+307",$M$17:$M$219,"&lt;=1E+307")-1),2)))</x:f>
        <x:v>85.15</x:v>
      </x:c>
      <x:c r="R27" s="17" t="n">
        <x:f>IF(OR($G27&lt;&gt;"入池",NOT(ISNUMBER(P27))),"",IF(COUNTIFS($G$17:$G$219,"入池",$P$17:$P$219,"&gt;=-1E+307",$P$17:$P$219,"&lt;=1E+307")&lt;=1,100,ROUND(100*(COUNTIFS($G$17:$G$219,"入池",$P$17:$P$219,"&gt;=-1E+307",$P$17:$P$219,"&lt;"&amp;P27)+COUNTIFS($G$17:$G$219,"入池",$P$17:$P$219,P27,$P$17:$P$219,"&gt;=-1E+307",$P$17:$P$219,"&lt;=1E+307")/2-0.5)/(COUNTIFS($G$17:$G$219,"入池",$P$17:$P$219,"&gt;=-1E+307",$P$17:$P$219,"&lt;=1E+307")-1),2)))</x:f>
        <x:v>79.7</x:v>
      </x:c>
      <x:c r="S27" s="17" t="n">
        <x:f>IF(NOT(ISNUMBER(Q27)),"",IF(NOT(ISNUMBER(R27)),Q27,ROUND(Q27*'sheet1-指标体系'!$J$8+R27*'sheet1-指标体系'!$J$9,2)))</x:f>
        <x:v>82.97</x:v>
      </x:c>
      <x:c r="T27" s="35" t="n">
        <x:f>IF(ISNUMBER('sheet4-原始数据'!J12),'sheet4-原始数据'!J12,"")</x:f>
        <x:v>0.8462000000000001</x:v>
      </x:c>
      <x:c r="U27" s="35" t="n">
        <x:f>IF(ISNUMBER('sheet4-原始数据'!I12),'sheet4-原始数据'!I12,"")</x:f>
        <x:v>0.8919</x:v>
      </x:c>
      <x:c r="V27" s="37" t="n">
        <x:f>IF(OR(NOT(ISNUMBER(T27)),NOT(ISNUMBER(U27))),"",(U27*'sheet1-指标体系'!$J$6-T27*'sheet1-指标体系'!$J$5)/'sheet1-指标体系'!$J$7)</x:f>
        <x:v>0.9166541666666669</x:v>
      </x:c>
      <x:c r="W27" s="17" t="n">
        <x:f>IF(NOT(ISNUMBER(T27)),"",T27*100)</x:f>
        <x:v>84.62</x:v>
      </x:c>
      <x:c r="X27" s="17" t="n">
        <x:f>IF($G27&lt;&gt;"入池","",IF(AND(ISNUMBER(V27),V27&gt;=0,V27&lt;=1),V27*100,IF(MAX(0,($F27-1)*12)&lt;6,100,"")))</x:f>
        <x:v>91.66541666666669</x:v>
      </x:c>
      <x:c r="Y27" s="17" t="n">
        <x:f>IF(NOT(ISNUMBER(W27)),"",IF(NOT(ISNUMBER(X27)),W27,ROUND(W27*'sheet1-指标体系'!$J$8+X27*'sheet1-指标体系'!$J$9,2)))</x:f>
        <x:v>87.44</x:v>
      </x:c>
      <x:c r="Z27" s="37" t="n">
        <x:f>IF(OR(NOT(ISNUMBER(M27)),NOT(ISNUMBER(AD27)),AD27=0),"",ABS(M27/AD27))</x:f>
        <x:v>0.003585783205653028</x:v>
      </x:c>
      <x:c r="AA27" s="35" t="n">
        <x:f>IF(ISNUMBER('sheet4-原始数据'!K12),'sheet4-原始数据'!K12,"")</x:f>
        <x:v>0.0129</x:v>
      </x:c>
      <x:c r="AB27" s="37" t="n">
        <x:f>IF(COUNT(Z27:AA27)=0,"",MAX(Z27:AA27))</x:f>
        <x:v>0.0129</x:v>
      </x:c>
      <x:c r="AC27" s="17" t="n">
        <x:f>IF(OR($G27&lt;&gt;"入池",NOT(ISNUMBER(AB27))),"",IF(COUNTIFS($G$17:$G$219,"入池",$AB$17:$AB$219,"&gt;=-1E+307",$AB$17:$AB$219,"&lt;=1E+307")&lt;=1,100,ROUND(100*(COUNTIFS($G$17:$G$219,"入池",$AB$17:$AB$219,"&lt;=1E+307",$AB$17:$AB$219,"&gt;"&amp;AB27)+COUNTIFS($G$17:$G$219,"入池",$AB$17:$AB$219,AB27,$AB$17:$AB$219,"&gt;=-1E+307",$AB$17:$AB$219,"&lt;=1E+307")/2-0.5)/(COUNTIFS($G$17:$G$219,"入池",$AB$17:$AB$219,"&gt;=-1E+307",$AB$17:$AB$219,"&lt;=1E+307")-1),2)))</x:f>
        <x:v>83.17</x:v>
      </x:c>
      <x:c r="AD27" s="38" t="n">
        <x:f>IF(ISNUMBER('sheet4-原始数据'!M12),'sheet4-原始数据'!M12,"")</x:f>
        <x:v>32.2942</x:v>
      </x:c>
      <x:c r="AE27" s="37" t="n">
        <x:f>IF(OR(NOT(ISNUMBER(P27)),NOT(ISNUMBER(AA27)),NOT(ISNUMBER(Z27))),"",IF(AA27&gt;Z27+'sheet1-指标体系'!$J$11,AA27,""))</x:f>
        <x:v>0.0129</x:v>
      </x:c>
      <x:c r="AF27" s="17" t="n">
        <x:f>IF(OR(NOT(ISNUMBER(P27)),NOT(ISNUMBER(AE27)),AE27=0),"",P27/AE27)</x:f>
        <x:v>9.209406505860976</x:v>
      </x:c>
      <x:c r="AG27" s="17" t="n">
        <x:f>IF(OR($G27&lt;&gt;"入池",NOT(ISNUMBER(AD27))),"",IF(COUNTIFS($G$17:$G$219,"入池",$AD$17:$AD$219,"&gt;=-1E+307",$AD$17:$AD$219,"&lt;=1E+307")&lt;=1,100,ROUND(100*(COUNTIFS($G$17:$G$219,"入池",$AD$17:$AD$219,"&gt;=-1E+307",$AD$17:$AD$219,"&lt;"&amp;AD27)+COUNTIFS($G$17:$G$219,"入池",$AD$17:$AD$219,AD27,$AD$17:$AD$219,"&gt;=-1E+307",$AD$17:$AD$219,"&lt;=1E+307")/2-0.5)/(COUNTIFS($G$17:$G$219,"入池",$AD$17:$AD$219,"&gt;=-1E+307",$AD$17:$AD$219,"&lt;=1E+307")-1),2)))</x:f>
        <x:v>93.53</x:v>
      </x:c>
      <x:c r="AH27" s="17" t="n">
        <x:f>IF(OR($G27&lt;&gt;"入池",NOT(ISNUMBER(AF27))),"",IF(COUNTIFS($G$17:$G$219,"入池",$AF$17:$AF$219,"&gt;=-1E+307",$AF$17:$AF$219,"&lt;=1E+307")&lt;=1,100,ROUND(100*(COUNTIFS($G$17:$G$219,"入池",$AF$17:$AF$219,"&gt;=-1E+307",$AF$17:$AF$219,"&lt;"&amp;AF27)+COUNTIFS($G$17:$G$219,"入池",$AF$17:$AF$219,AF27,$AF$17:$AF$219,"&gt;=-1E+307",$AF$17:$AF$219,"&lt;=1E+307")/2-0.5)/(COUNTIFS($G$17:$G$219,"入池",$AF$17:$AF$219,"&gt;=-1E+307",$AF$17:$AF$219,"&lt;=1E+307")-1),2)))</x:f>
        <x:v>90.51</x:v>
      </x:c>
      <x:c r="AI27" s="17" t="n">
        <x:f>IF(NOT(ISNUMBER(AG27)),"",IF(NOT(ISNUMBER(AH27)),AG27,ROUND(AG27*'sheet1-指标体系'!$J$8+AH27*'sheet1-指标体系'!$J$9,2)))</x:f>
        <x:v>92.32</x:v>
      </x:c>
      <x:c r="AJ27" s="37" t="n">
        <x:f>IF(NOT(ISNUMBER(F27)),"",IF(F27&gt;=3,IF(NOT(ISNUMBER(N27)),"",N27),IF(NOT(ISNUMBER(O27)),"",O27)))</x:f>
        <x:v>0.11779999999999999</x:v>
      </x:c>
      <x:c r="AK27" s="17" t="n">
        <x:f>IF(OR(G27&lt;&gt;"入池",NOT(ISNUMBER(M27)),NOT(ISNUMBER(AJ27))),"",IF(M27&gt;=AJ27,100,IF(AJ27-M27&lt;'sheet1-指标体系'!$J$10,80,60)))</x:f>
        <x:v>80</x:v>
      </x:c>
      <x:c r="AL27" s="17" t="n">
        <x:f>IF(COUNT(I27,K27,L27)=0,"",ROUND((IF(ISNUMBER(I27),I27*40%,0)+IF(ISNUMBER(K27),K27*30%,0)+IF(ISNUMBER(L27),L27*30%,0))/(IF(ISNUMBER(I27),40%,0)+IF(ISNUMBER(K27),30%,0)+IF(ISNUMBER(L27),30%,0)),2))</x:f>
        <x:v>96</x:v>
      </x:c>
      <x:c r="AM27" s="17" t="n">
        <x:f>IF(COUNT(Q27,R27,W27,X27)=0,"",ROUND((IF(ISNUMBER(Q27),Q27*42%,0)+IF(ISNUMBER(R27),R27*28%,0)+IF(ISNUMBER(W27),W27*18%,0)+IF(ISNUMBER(X27),X27*12%,0))/(IF(ISNUMBER(Q27),42%,0)+IF(ISNUMBER(R27),28%,0)+IF(ISNUMBER(W27),18%,0)+IF(ISNUMBER(X27),12%,0)),2))</x:f>
        <x:v>84.31</x:v>
      </x:c>
      <x:c r="AN27" s="17" t="n">
        <x:f>IF(ISNUMBER(AC27),AC27,"")</x:f>
        <x:v>83.17</x:v>
      </x:c>
      <x:c r="AO27" s="17" t="n">
        <x:f>IF(COUNT(AG27,AH27)=0,"",ROUND((IF(ISNUMBER(AG27),AG27*60%,0)+IF(ISNUMBER(AH27),AH27*40%,0))/(IF(ISNUMBER(AG27),60%,0)+IF(ISNUMBER(AH27),40%,0)),2))</x:f>
        <x:v>92.32</x:v>
      </x:c>
      <x:c r="AP27" s="17" t="n">
        <x:f>IF(ISNUMBER(AK27),AK27,"")</x:f>
        <x:v>80</x:v>
      </x:c>
      <x:c r="AQ27" s="39" t="n">
        <x:f>IF(G27&lt;&gt;"入池",0,IF(ISNUMBER(I27),6%,0)+IF(ISNUMBER(K27),4.5%,0)+IF(ISNUMBER(L27),4.5%,0)+IF(ISNUMBER(Q27),8.4%,0)+IF(ISNUMBER(R27),5.6%,0)+IF(ISNUMBER(W27),3.6%,0)+IF(ISNUMBER(X27),2.4%,0)+IF(ISNUMBER(AC27),25%,0)+IF(ISNUMBER(AG27),18%,0)+IF(ISNUMBER(AH27),12%,0)+IF(ISNUMBER(AK27),10%,0))</x:f>
        <x:v>1</x:v>
      </x:c>
      <x:c r="AR27" s="17" t="n">
        <x:f>IF(AQ27=0,"",IF(ISNUMBER(I27),I27*6%,0)+IF(ISNUMBER(K27),K27*4.5%,0)+IF(ISNUMBER(L27),L27*4.5%,0)+IF(ISNUMBER(Q27),Q27*8.4%,0)+IF(ISNUMBER(R27),R27*5.6%,0)+IF(ISNUMBER(W27),W27*3.6%,0)+IF(ISNUMBER(X27),X27*2.4%,0)+IF(ISNUMBER(AC27),AC27*25%,0)+IF(ISNUMBER(AG27),AG27*18%,0)+IF(ISNUMBER(AH27),AH27*12%,0)+IF(ISNUMBER(AK27),AK27*10%,0))</x:f>
        <x:v>87.75119000000001</x:v>
      </x:c>
      <x:c r="AS27" s="17" t="n">
        <x:f>IF(AQ27=0,"",ROUND(AR27/AQ27,2))</x:f>
        <x:v>87.75</x:v>
      </x:c>
      <x:c r="AT27" s="40" t="n">
        <x:f>IF(OR(G27&lt;&gt;"入池",NOT(ISNUMBER(AS27))),"",COUNTIFS($G$17:$G$219,"入池",$AS$17:$AS$219,"&gt;"&amp;AS27)+COUNTIFS($G$17:$G$219,"入池",$AS$17:$AS$219,AS27,$AQ$17:$AQ$219,"&gt;"&amp;AQ27)+COUNTIFS($G$17:G27,"入池",$AS$17:AS27,AS27,$AQ$17:AQ27,AQ27))</x:f>
        <x:v>11</x:v>
      </x:c>
      <x:c r="AU27" s="41" t="str">
        <x:f t="shared" si="2">IF(NOT(ISNUMBER(I27)),"管理人规模；","")&amp;IF(J27="","产品规模标识；","")&amp;IF(AND(F27&lt;3,NOT(ISNUMBER(O27))),"R_incep；","")&amp;IF(NOT(ISNUMBER(N27)),"近三年收益；","")&amp;IF(NOT(ISNUMBER(U27)),"近三年胜率；","")&amp;IF(AND(ISNUMBER(V27),OR(V27&lt;0,V27&gt;1)),"胜率窗口口径不一致；","")&amp;IF(NOT(ISNUMBER(AA27)),"近三年回撤；","")&amp;IF(NOT(ISNUMBER(AD27)),"短期卡玛；","")&amp;IF(AND(ISNUMBER(P27),NOT(ISNUMBER(AE27))),"DD_long不可识别；","")</x:f>
      </x:c>
      <x:c r="AV27" s="42" t="n">
        <x:v>20</x:v>
      </x:c>
      <x:c r="AW27" s="19" t="str">
        <x:v>爱凡哲投资管理有限公司</x:v>
      </x:c>
      <x:c r="AX27" s="19" t="str">
        <x:v>2025-04-30</x:v>
      </x:c>
      <x:c r="AY27" s="19" t="str">
        <x:v>https://gs.amac.org.cn/amac-infodisc/res/pof/manager/1709181131101311.html</x:v>
      </x:c>
      <x:c r="AZ27" s="19" t="str">
        <x:v>爱凡哲九号私募证券投资基金</x:v>
      </x:c>
      <x:c r="BA27" s="19" t="str">
        <x:v>2026-08-06</x:v>
      </x:c>
      <x:c r="BB27" s="19"/>
      <x:c r="BC27" s="19" t="str">
        <x:v>https://gs.amac.org.cn/amac-infodisc/res/pof/fund/1909051919107161.html</x:v>
      </x:c>
      <x:c r="BD27" s="19" t="str">
        <x:v>已匹配</x:v>
      </x:c>
      <x:c r="BE27"/>
      <x:c r="BF27"/>
    </x:row>
    <x:row r="28" ht="28" customHeight="1">
      <x:c r="A28" s="4" t="n">
        <x:v>12</x:v>
      </x:c>
      <x:c r="B28" s="15" t="str">
        <x:f>'sheet4-原始数据'!A13</x:f>
        <x:v>恒如套利三号</x:v>
      </x:c>
      <x:c r="C28" s="15" t="str">
        <x:f>'sheet4-原始数据'!B13</x:f>
        <x:v>SGQ731</x:v>
      </x:c>
      <x:c r="D28" s="15" t="str">
        <x:f>'sheet4-原始数据'!E13</x:f>
        <x:v>上海恒如投资</x:v>
      </x:c>
      <x:c r="E28" s="32" t="n">
        <x:f>IF(ISNUMBER('sheet4-原始数据'!F13),'sheet4-原始数据'!F13,"")</x:f>
        <x:v>43727</x:v>
      </x:c>
      <x:c r="F28" s="17" t="n">
        <x:f>IF(NOT(ISNUMBER(E28)),"",ROUND(('sheet1-指标体系'!$J$23-E28)/365.25,4))</x:f>
        <x:v>6.9925</x:v>
      </x:c>
      <x:c r="G28" s="4" t="str">
        <x:f t="shared" si="1">IF(NOT(ISNUMBER(F28)),"",IF(F28&lt;1,"不入池","入池"))</x:f>
        <x:v>入池</x:v>
      </x:c>
      <x:c r="H28" s="33" t="str">
        <x:v>5-10亿元</x:v>
      </x:c>
      <x:c r="I28" s="17" t="n">
        <x:f>IF(H28="","",IF(ISNUMBER(SEARCH("100亿元以上",H28)),100,IF(OR(ISNUMBER(SEARCH("20-50",H28)),ISNUMBER(SEARCH("50-100",H28)),ISNUMBER(SEARCH("20-100",H28))),90,IF(ISNUMBER(SEARCH("10-20",H28)),80,IF(ISNUMBER(SEARCH("5-10",H28)),70,IF(ISNUMBER(SEARCH("0-5",H28)),60,""))))))</x:f>
        <x:v>70</x:v>
      </x:c>
      <x:c r="J28" s="34" t="str">
        <x:v>无低于1000万元标识</x:v>
      </x:c>
      <x:c r="K28" s="17" t="n">
        <x:f>IF(J28="","",IF(J28="低于1000万元",0,100))</x:f>
        <x:v>100</x:v>
      </x:c>
      <x:c r="L28" s="17" t="n">
        <x:f>IF(NOT(ISNUMBER(F28)),"",IF(F28&lt;1,"",IF(F28&lt;3,70,100)))</x:f>
        <x:v>100</x:v>
      </x:c>
      <x:c r="M28" s="35" t="n">
        <x:f>IF(ISNUMBER('sheet4-原始数据'!G13),'sheet4-原始数据'!G13,"")</x:f>
        <x:v>0.0213</x:v>
      </x:c>
      <x:c r="N28" s="35" t="n">
        <x:f>IF(ISNUMBER('sheet4-原始数据'!H13),'sheet4-原始数据'!H13,"")</x:f>
        <x:v>0.057</x:v>
      </x:c>
      <x:c r="O28" s="36" t="str">
        <x:f>IF(ISNUMBER('sheet4-原始数据'!Q13),'sheet4-原始数据'!Q13,"")</x:f>
      </x:c>
      <x:c r="P28" s="37" t="n">
        <x:f>IF($G28&lt;&gt;"入池","",IF($F28&gt;=3,IF(OR(NOT(ISNUMBER($M28)),NOT(ISNUMBER($N28)),1+$M28&lt;=0,1+$N28&lt;0),"",((1+$N28)^3/(1+$M28))^(1/2)-1),IF(OR($F28&lt;=1,NOT(ISNUMBER($M28)),NOT(ISNUMBER($O28)),1+$M28&lt;=0,1+$O28&lt;0),"",((1+$O28)^$F28/(1+$M28))^(1/($F28-1))-1)))</x:f>
        <x:v>0.07531527487063827</x:v>
      </x:c>
      <x:c r="Q28" s="17" t="n">
        <x:f>IF(OR($G28&lt;&gt;"入池",NOT(ISNUMBER(M28))),"",IF(COUNTIFS($G$17:$G$219,"入池",$M$17:$M$219,"&gt;=-1E+307",$M$17:$M$219,"&lt;=1E+307")&lt;=1,100,ROUND(100*(COUNTIFS($G$17:$G$219,"入池",$M$17:$M$219,"&gt;=-1E+307",$M$17:$M$219,"&lt;"&amp;M28)+COUNTIFS($G$17:$G$219,"入池",$M$17:$M$219,M28,$M$17:$M$219,"&gt;=-1E+307",$M$17:$M$219,"&lt;=1E+307")/2-0.5)/(COUNTIFS($G$17:$G$219,"入池",$M$17:$M$219,"&gt;=-1E+307",$M$17:$M$219,"&lt;=1E+307")-1),2)))</x:f>
        <x:v>27.23</x:v>
      </x:c>
      <x:c r="R28" s="17" t="n">
        <x:f>IF(OR($G28&lt;&gt;"入池",NOT(ISNUMBER(P28))),"",IF(COUNTIFS($G$17:$G$219,"入池",$P$17:$P$219,"&gt;=-1E+307",$P$17:$P$219,"&lt;=1E+307")&lt;=1,100,ROUND(100*(COUNTIFS($G$17:$G$219,"入池",$P$17:$P$219,"&gt;=-1E+307",$P$17:$P$219,"&lt;"&amp;P28)+COUNTIFS($G$17:$G$219,"入池",$P$17:$P$219,P28,$P$17:$P$219,"&gt;=-1E+307",$P$17:$P$219,"&lt;=1E+307")/2-0.5)/(COUNTIFS($G$17:$G$219,"入池",$P$17:$P$219,"&gt;=-1E+307",$P$17:$P$219,"&lt;=1E+307")-1),2)))</x:f>
        <x:v>60.4</x:v>
      </x:c>
      <x:c r="S28" s="17" t="n">
        <x:f>IF(NOT(ISNUMBER(Q28)),"",IF(NOT(ISNUMBER(R28)),Q28,ROUND(Q28*'sheet1-指标体系'!$J$8+R28*'sheet1-指标体系'!$J$9,2)))</x:f>
        <x:v>40.5</x:v>
      </x:c>
      <x:c r="T28" s="35" t="n">
        <x:f>IF(ISNUMBER('sheet4-原始数据'!J13),'sheet4-原始数据'!J13,"")</x:f>
        <x:v>0.6154</x:v>
      </x:c>
      <x:c r="U28" s="35" t="n">
        <x:f>IF(ISNUMBER('sheet4-原始数据'!I13),'sheet4-原始数据'!I13,"")</x:f>
        <x:v>0.7297</x:v>
      </x:c>
      <x:c r="V28" s="37" t="n">
        <x:f>IF(OR(NOT(ISNUMBER(T28)),NOT(ISNUMBER(U28))),"",(U28*'sheet1-指标体系'!$J$6-T28*'sheet1-指标体系'!$J$5)/'sheet1-指标体系'!$J$7)</x:f>
        <x:v>0.7916124999999999</x:v>
      </x:c>
      <x:c r="W28" s="17" t="n">
        <x:f>IF(NOT(ISNUMBER(T28)),"",T28*100)</x:f>
        <x:v>61.53999999999999</x:v>
      </x:c>
      <x:c r="X28" s="17" t="n">
        <x:f>IF($G28&lt;&gt;"入池","",IF(AND(ISNUMBER(V28),V28&gt;=0,V28&lt;=1),V28*100,IF(MAX(0,($F28-1)*12)&lt;6,100,"")))</x:f>
        <x:v>79.16125</x:v>
      </x:c>
      <x:c r="Y28" s="17" t="n">
        <x:f>IF(NOT(ISNUMBER(W28)),"",IF(NOT(ISNUMBER(X28)),W28,ROUND(W28*'sheet1-指标体系'!$J$8+X28*'sheet1-指标体系'!$J$9,2)))</x:f>
        <x:v>68.59</x:v>
      </x:c>
      <x:c r="Z28" s="37" t="n">
        <x:f>IF(OR(NOT(ISNUMBER(M28)),NOT(ISNUMBER(AD28)),AD28=0),"",ABS(M28/AD28))</x:f>
        <x:v>0.007935325236569554</x:v>
      </x:c>
      <x:c r="AA28" s="35" t="n">
        <x:f>IF(ISNUMBER('sheet4-原始数据'!K13),'sheet4-原始数据'!K13,"")</x:f>
        <x:v>0.015</x:v>
      </x:c>
      <x:c r="AB28" s="37" t="n">
        <x:f>IF(COUNT(Z28:AA28)=0,"",MAX(Z28:AA28))</x:f>
        <x:v>0.015</x:v>
      </x:c>
      <x:c r="AC28" s="17" t="n">
        <x:f>IF(OR($G28&lt;&gt;"入池",NOT(ISNUMBER(AB28))),"",IF(COUNTIFS($G$17:$G$219,"入池",$AB$17:$AB$219,"&gt;=-1E+307",$AB$17:$AB$219,"&lt;=1E+307")&lt;=1,100,ROUND(100*(COUNTIFS($G$17:$G$219,"入池",$AB$17:$AB$219,"&lt;=1E+307",$AB$17:$AB$219,"&gt;"&amp;AB28)+COUNTIFS($G$17:$G$219,"入池",$AB$17:$AB$219,AB28,$AB$17:$AB$219,"&gt;=-1E+307",$AB$17:$AB$219,"&lt;=1E+307")/2-0.5)/(COUNTIFS($G$17:$G$219,"入池",$AB$17:$AB$219,"&gt;=-1E+307",$AB$17:$AB$219,"&lt;=1E+307")-1),2)))</x:f>
        <x:v>78.22</x:v>
      </x:c>
      <x:c r="AD28" s="38" t="n">
        <x:f>IF(ISNUMBER('sheet4-原始数据'!M13),'sheet4-原始数据'!M13,"")</x:f>
        <x:v>2.6842</x:v>
      </x:c>
      <x:c r="AE28" s="37" t="n">
        <x:f>IF(OR(NOT(ISNUMBER(P28)),NOT(ISNUMBER(AA28)),NOT(ISNUMBER(Z28))),"",IF(AA28&gt;Z28+'sheet1-指标体系'!$J$11,AA28,""))</x:f>
        <x:v>0.015</x:v>
      </x:c>
      <x:c r="AF28" s="17" t="n">
        <x:f>IF(OR(NOT(ISNUMBER(P28)),NOT(ISNUMBER(AE28)),AE28=0),"",P28/AE28)</x:f>
        <x:v>5.021018324709218</x:v>
      </x:c>
      <x:c r="AG28" s="17" t="n">
        <x:f>IF(OR($G28&lt;&gt;"入池",NOT(ISNUMBER(AD28))),"",IF(COUNTIFS($G$17:$G$219,"入池",$AD$17:$AD$219,"&gt;=-1E+307",$AD$17:$AD$219,"&lt;=1E+307")&lt;=1,100,ROUND(100*(COUNTIFS($G$17:$G$219,"入池",$AD$17:$AD$219,"&gt;=-1E+307",$AD$17:$AD$219,"&lt;"&amp;AD28)+COUNTIFS($G$17:$G$219,"入池",$AD$17:$AD$219,AD28,$AD$17:$AD$219,"&gt;=-1E+307",$AD$17:$AD$219,"&lt;=1E+307")/2-0.5)/(COUNTIFS($G$17:$G$219,"入池",$AD$17:$AD$219,"&gt;=-1E+307",$AD$17:$AD$219,"&lt;=1E+307")-1),2)))</x:f>
        <x:v>50.25</x:v>
      </x:c>
      <x:c r="AH28" s="17" t="n">
        <x:f>IF(OR($G28&lt;&gt;"入池",NOT(ISNUMBER(AF28))),"",IF(COUNTIFS($G$17:$G$219,"入池",$AF$17:$AF$219,"&gt;=-1E+307",$AF$17:$AF$219,"&lt;=1E+307")&lt;=1,100,ROUND(100*(COUNTIFS($G$17:$G$219,"入池",$AF$17:$AF$219,"&gt;=-1E+307",$AF$17:$AF$219,"&lt;"&amp;AF28)+COUNTIFS($G$17:$G$219,"入池",$AF$17:$AF$219,AF28,$AF$17:$AF$219,"&gt;=-1E+307",$AF$17:$AF$219,"&lt;=1E+307")/2-0.5)/(COUNTIFS($G$17:$G$219,"入池",$AF$17:$AF$219,"&gt;=-1E+307",$AF$17:$AF$219,"&lt;=1E+307")-1),2)))</x:f>
        <x:v>86.13</x:v>
      </x:c>
      <x:c r="AI28" s="17" t="n">
        <x:f>IF(NOT(ISNUMBER(AG28)),"",IF(NOT(ISNUMBER(AH28)),AG28,ROUND(AG28*'sheet1-指标体系'!$J$8+AH28*'sheet1-指标体系'!$J$9,2)))</x:f>
        <x:v>64.6</x:v>
      </x:c>
      <x:c r="AJ28" s="37" t="n">
        <x:f>IF(NOT(ISNUMBER(F28)),"",IF(F28&gt;=3,IF(NOT(ISNUMBER(N28)),"",N28),IF(NOT(ISNUMBER(O28)),"",O28)))</x:f>
        <x:v>0.057</x:v>
      </x:c>
      <x:c r="AK28" s="17" t="n">
        <x:f>IF(OR(G28&lt;&gt;"入池",NOT(ISNUMBER(M28)),NOT(ISNUMBER(AJ28))),"",IF(M28&gt;=AJ28,100,IF(AJ28-M28&lt;'sheet1-指标体系'!$J$10,80,60)))</x:f>
        <x:v>80</x:v>
      </x:c>
      <x:c r="AL28" s="17" t="n">
        <x:f>IF(COUNT(I28,K28,L28)=0,"",ROUND((IF(ISNUMBER(I28),I28*40%,0)+IF(ISNUMBER(K28),K28*30%,0)+IF(ISNUMBER(L28),L28*30%,0))/(IF(ISNUMBER(I28),40%,0)+IF(ISNUMBER(K28),30%,0)+IF(ISNUMBER(L28),30%,0)),2))</x:f>
        <x:v>88</x:v>
      </x:c>
      <x:c r="AM28" s="17" t="n">
        <x:f>IF(COUNT(Q28,R28,W28,X28)=0,"",ROUND((IF(ISNUMBER(Q28),Q28*42%,0)+IF(ISNUMBER(R28),R28*28%,0)+IF(ISNUMBER(W28),W28*18%,0)+IF(ISNUMBER(X28),X28*12%,0))/(IF(ISNUMBER(Q28),42%,0)+IF(ISNUMBER(R28),28%,0)+IF(ISNUMBER(W28),18%,0)+IF(ISNUMBER(X28),12%,0)),2))</x:f>
        <x:v>48.93</x:v>
      </x:c>
      <x:c r="AN28" s="17" t="n">
        <x:f>IF(ISNUMBER(AC28),AC28,"")</x:f>
        <x:v>78.22</x:v>
      </x:c>
      <x:c r="AO28" s="17" t="n">
        <x:f>IF(COUNT(AG28,AH28)=0,"",ROUND((IF(ISNUMBER(AG28),AG28*60%,0)+IF(ISNUMBER(AH28),AH28*40%,0))/(IF(ISNUMBER(AG28),60%,0)+IF(ISNUMBER(AH28),40%,0)),2))</x:f>
        <x:v>64.6</x:v>
      </x:c>
      <x:c r="AP28" s="17" t="n">
        <x:f>IF(ISNUMBER(AK28),AK28,"")</x:f>
        <x:v>80</x:v>
      </x:c>
      <x:c r="AQ28" s="39" t="n">
        <x:f>IF(G28&lt;&gt;"入池",0,IF(ISNUMBER(I28),6%,0)+IF(ISNUMBER(K28),4.5%,0)+IF(ISNUMBER(L28),4.5%,0)+IF(ISNUMBER(Q28),8.4%,0)+IF(ISNUMBER(R28),5.6%,0)+IF(ISNUMBER(W28),3.6%,0)+IF(ISNUMBER(X28),2.4%,0)+IF(ISNUMBER(AC28),25%,0)+IF(ISNUMBER(AG28),18%,0)+IF(ISNUMBER(AH28),12%,0)+IF(ISNUMBER(AK28),10%,0))</x:f>
        <x:v>1</x:v>
      </x:c>
      <x:c r="AR28" s="17" t="n">
        <x:f>IF(AQ28=0,"",IF(ISNUMBER(I28),I28*6%,0)+IF(ISNUMBER(K28),K28*4.5%,0)+IF(ISNUMBER(L28),L28*4.5%,0)+IF(ISNUMBER(Q28),Q28*8.4%,0)+IF(ISNUMBER(R28),R28*5.6%,0)+IF(ISNUMBER(W28),W28*3.6%,0)+IF(ISNUMBER(X28),X28*2.4%,0)+IF(ISNUMBER(AC28),AC28*25%,0)+IF(ISNUMBER(AG28),AG28*18%,0)+IF(ISNUMBER(AH28),AH28*12%,0)+IF(ISNUMBER(AK28),AK28*10%,0))</x:f>
        <x:v>69.92063</x:v>
      </x:c>
      <x:c r="AS28" s="17" t="n">
        <x:f>IF(AQ28=0,"",ROUND(AR28/AQ28,2))</x:f>
        <x:v>69.92</x:v>
      </x:c>
      <x:c r="AT28" s="40" t="n">
        <x:f>IF(OR(G28&lt;&gt;"入池",NOT(ISNUMBER(AS28))),"",COUNTIFS($G$17:$G$219,"入池",$AS$17:$AS$219,"&gt;"&amp;AS28)+COUNTIFS($G$17:$G$219,"入池",$AS$17:$AS$219,AS28,$AQ$17:$AQ$219,"&gt;"&amp;AQ28)+COUNTIFS($G$17:G28,"入池",$AS$17:AS28,AS28,$AQ$17:AQ28,AQ28))</x:f>
        <x:v>72</x:v>
      </x:c>
      <x:c r="AU28" s="41" t="str">
        <x:f t="shared" si="2">IF(NOT(ISNUMBER(I28)),"管理人规模；","")&amp;IF(J28="","产品规模标识；","")&amp;IF(AND(F28&lt;3,NOT(ISNUMBER(O28))),"R_incep；","")&amp;IF(NOT(ISNUMBER(N28)),"近三年收益；","")&amp;IF(NOT(ISNUMBER(U28)),"近三年胜率；","")&amp;IF(AND(ISNUMBER(V28),OR(V28&lt;0,V28&gt;1)),"胜率窗口口径不一致；","")&amp;IF(NOT(ISNUMBER(AA28)),"近三年回撤；","")&amp;IF(NOT(ISNUMBER(AD28)),"短期卡玛；","")&amp;IF(AND(ISNUMBER(P28),NOT(ISNUMBER(AE28))),"DD_long不可识别；","")</x:f>
      </x:c>
      <x:c r="AV28" s="42" t="n">
        <x:v>5</x:v>
      </x:c>
      <x:c r="AW28" s="19" t="str">
        <x:v>上海恒如投资管理有限公司</x:v>
      </x:c>
      <x:c r="AX28" s="19" t="str">
        <x:v>2026-05-28</x:v>
      </x:c>
      <x:c r="AY28" s="19" t="str">
        <x:v>https://gs.amac.org.cn/amac-infodisc/res/pof/manager/101000001221.html</x:v>
      </x:c>
      <x:c r="AZ28" s="19" t="str">
        <x:v>恒如套利三号私募证券投资基金</x:v>
      </x:c>
      <x:c r="BA28" s="19" t="str">
        <x:v>2024-11-21</x:v>
      </x:c>
      <x:c r="BB28" s="19"/>
      <x:c r="BC28" s="19" t="str">
        <x:v>https://gs.amac.org.cn/amac-infodisc/res/pof/fund/1910121042102347.html</x:v>
      </x:c>
      <x:c r="BD28" s="19" t="str">
        <x:v>已匹配</x:v>
      </x:c>
      <x:c r="BE28"/>
      <x:c r="BF28"/>
    </x:row>
    <x:row r="29" ht="28" customHeight="1">
      <x:c r="A29" s="4" t="n">
        <x:v>13</x:v>
      </x:c>
      <x:c r="B29" s="15" t="str">
        <x:f>'sheet4-原始数据'!A14</x:f>
        <x:v>鹿秀驯鹿二号</x:v>
      </x:c>
      <x:c r="C29" s="15" t="str">
        <x:f>'sheet4-原始数据'!B14</x:f>
        <x:v>SGF269</x:v>
      </x:c>
      <x:c r="D29" s="15" t="str">
        <x:f>'sheet4-原始数据'!E14</x:f>
        <x:v>青岛鹿秀投资</x:v>
      </x:c>
      <x:c r="E29" s="32" t="n">
        <x:f>IF(ISNUMBER('sheet4-原始数据'!F14),'sheet4-原始数据'!F14,"")</x:f>
        <x:v>43755</x:v>
      </x:c>
      <x:c r="F29" s="17" t="n">
        <x:f>IF(NOT(ISNUMBER(E29)),"",ROUND(('sheet1-指标体系'!$J$23-E29)/365.25,4))</x:f>
        <x:v>6.9158</x:v>
      </x:c>
      <x:c r="G29" s="4" t="str">
        <x:f t="shared" si="1">IF(NOT(ISNUMBER(F29)),"",IF(F29&lt;1,"不入池","入池"))</x:f>
        <x:v>入池</x:v>
      </x:c>
      <x:c r="H29" s="33" t="str">
        <x:v>50-100亿元</x:v>
      </x:c>
      <x:c r="I29" s="17" t="n">
        <x:f>IF(H29="","",IF(ISNUMBER(SEARCH("100亿元以上",H29)),100,IF(OR(ISNUMBER(SEARCH("20-50",H29)),ISNUMBER(SEARCH("50-100",H29)),ISNUMBER(SEARCH("20-100",H29))),90,IF(ISNUMBER(SEARCH("10-20",H29)),80,IF(ISNUMBER(SEARCH("5-10",H29)),70,IF(ISNUMBER(SEARCH("0-5",H29)),60,""))))))</x:f>
        <x:v>90</x:v>
      </x:c>
      <x:c r="J29" s="34" t="str">
        <x:v>低于1000万元</x:v>
      </x:c>
      <x:c r="K29" s="17" t="n">
        <x:f>IF(J29="","",IF(J29="低于1000万元",0,100))</x:f>
        <x:v>0</x:v>
      </x:c>
      <x:c r="L29" s="17" t="n">
        <x:f>IF(NOT(ISNUMBER(F29)),"",IF(F29&lt;1,"",IF(F29&lt;3,70,100)))</x:f>
        <x:v>100</x:v>
      </x:c>
      <x:c r="M29" s="35" t="n">
        <x:f>IF(ISNUMBER('sheet4-原始数据'!G14),'sheet4-原始数据'!G14,"")</x:f>
        <x:v>0.039900000000000005</x:v>
      </x:c>
      <x:c r="N29" s="35" t="n">
        <x:f>IF(ISNUMBER('sheet4-原始数据'!H14),'sheet4-原始数据'!H14,"")</x:f>
        <x:v>0.0246</x:v>
      </x:c>
      <x:c r="O29" s="36" t="str">
        <x:f>IF(ISNUMBER('sheet4-原始数据'!Q14),'sheet4-原始数据'!Q14,"")</x:f>
      </x:c>
      <x:c r="P29" s="37" t="n">
        <x:f>IF($G29&lt;&gt;"入池","",IF($F29&gt;=3,IF(OR(NOT(ISNUMBER($M29)),NOT(ISNUMBER($N29)),1+$M29&lt;=0,1+$N29&lt;0),"",((1+$N29)^3/(1+$M29))^(1/2)-1),IF(OR($F29&lt;=1,NOT(ISNUMBER($M29)),NOT(ISNUMBER($O29)),1+$M29&lt;=0,1+$O29&lt;0),"",((1+$O29)^$F29/(1+$M29))^(1/($F29-1))-1)))</x:f>
        <x:v>0.01703462371975939</x:v>
      </x:c>
      <x:c r="Q29" s="17" t="n">
        <x:f>IF(OR($G29&lt;&gt;"入池",NOT(ISNUMBER(M29))),"",IF(COUNTIFS($G$17:$G$219,"入池",$M$17:$M$219,"&gt;=-1E+307",$M$17:$M$219,"&lt;=1E+307")&lt;=1,100,ROUND(100*(COUNTIFS($G$17:$G$219,"入池",$M$17:$M$219,"&gt;=-1E+307",$M$17:$M$219,"&lt;"&amp;M29)+COUNTIFS($G$17:$G$219,"入池",$M$17:$M$219,M29,$M$17:$M$219,"&gt;=-1E+307",$M$17:$M$219,"&lt;=1E+307")/2-0.5)/(COUNTIFS($G$17:$G$219,"入池",$M$17:$M$219,"&gt;=-1E+307",$M$17:$M$219,"&lt;=1E+307")-1),2)))</x:f>
        <x:v>41.09</x:v>
      </x:c>
      <x:c r="R29" s="17" t="n">
        <x:f>IF(OR($G29&lt;&gt;"入池",NOT(ISNUMBER(P29))),"",IF(COUNTIFS($G$17:$G$219,"入池",$P$17:$P$219,"&gt;=-1E+307",$P$17:$P$219,"&lt;=1E+307")&lt;=1,100,ROUND(100*(COUNTIFS($G$17:$G$219,"入池",$P$17:$P$219,"&gt;=-1E+307",$P$17:$P$219,"&lt;"&amp;P29)+COUNTIFS($G$17:$G$219,"入池",$P$17:$P$219,P29,$P$17:$P$219,"&gt;=-1E+307",$P$17:$P$219,"&lt;=1E+307")/2-0.5)/(COUNTIFS($G$17:$G$219,"入池",$P$17:$P$219,"&gt;=-1E+307",$P$17:$P$219,"&lt;=1E+307")-1),2)))</x:f>
        <x:v>7.43</x:v>
      </x:c>
      <x:c r="S29" s="17" t="n">
        <x:f>IF(NOT(ISNUMBER(Q29)),"",IF(NOT(ISNUMBER(R29)),Q29,ROUND(Q29*'sheet1-指标体系'!$J$8+R29*'sheet1-指标体系'!$J$9,2)))</x:f>
        <x:v>27.63</x:v>
      </x:c>
      <x:c r="T29" s="35" t="n">
        <x:f>IF(ISNUMBER('sheet4-原始数据'!J14),'sheet4-原始数据'!J14,"")</x:f>
        <x:v>0.9231</x:v>
      </x:c>
      <x:c r="U29" s="35" t="n">
        <x:f>IF(ISNUMBER('sheet4-原始数据'!I14),'sheet4-原始数据'!I14,"")</x:f>
        <x:v>0.8108</x:v>
      </x:c>
      <x:c r="V29" s="37" t="n">
        <x:f>IF(OR(NOT(ISNUMBER(T29)),NOT(ISNUMBER(U29))),"",(U29*'sheet1-指标体系'!$J$6-T29*'sheet1-指标体系'!$J$5)/'sheet1-指标体系'!$J$7)</x:f>
        <x:v>0.7499708333333333</x:v>
      </x:c>
      <x:c r="W29" s="17" t="n">
        <x:f>IF(NOT(ISNUMBER(T29)),"",T29*100)</x:f>
        <x:v>92.31</x:v>
      </x:c>
      <x:c r="X29" s="17" t="n">
        <x:f>IF($G29&lt;&gt;"入池","",IF(AND(ISNUMBER(V29),V29&gt;=0,V29&lt;=1),V29*100,IF(MAX(0,($F29-1)*12)&lt;6,100,"")))</x:f>
        <x:v>74.99708333333332</x:v>
      </x:c>
      <x:c r="Y29" s="17" t="n">
        <x:f>IF(NOT(ISNUMBER(W29)),"",IF(NOT(ISNUMBER(X29)),W29,ROUND(W29*'sheet1-指标体系'!$J$8+X29*'sheet1-指标体系'!$J$9,2)))</x:f>
        <x:v>85.38</x:v>
      </x:c>
      <x:c r="Z29" s="37" t="n">
        <x:f>IF(OR(NOT(ISNUMBER(M29)),NOT(ISNUMBER(AD29)),AD29=0),"",ABS(M29/AD29))</x:f>
        <x:v>0.00021691856040013051</x:v>
      </x:c>
      <x:c r="AA29" s="35" t="n">
        <x:f>IF(ISNUMBER('sheet4-原始数据'!K14),'sheet4-原始数据'!K14,"")</x:f>
        <x:v>0.0463</x:v>
      </x:c>
      <x:c r="AB29" s="37" t="n">
        <x:f>IF(COUNT(Z29:AA29)=0,"",MAX(Z29:AA29))</x:f>
        <x:v>0.0463</x:v>
      </x:c>
      <x:c r="AC29" s="17" t="n">
        <x:f>IF(OR($G29&lt;&gt;"入池",NOT(ISNUMBER(AB29))),"",IF(COUNTIFS($G$17:$G$219,"入池",$AB$17:$AB$219,"&gt;=-1E+307",$AB$17:$AB$219,"&lt;=1E+307")&lt;=1,100,ROUND(100*(COUNTIFS($G$17:$G$219,"入池",$AB$17:$AB$219,"&lt;=1E+307",$AB$17:$AB$219,"&gt;"&amp;AB29)+COUNTIFS($G$17:$G$219,"入池",$AB$17:$AB$219,AB29,$AB$17:$AB$219,"&gt;=-1E+307",$AB$17:$AB$219,"&lt;=1E+307")/2-0.5)/(COUNTIFS($G$17:$G$219,"入池",$AB$17:$AB$219,"&gt;=-1E+307",$AB$17:$AB$219,"&lt;=1E+307")-1),2)))</x:f>
        <x:v>48.02</x:v>
      </x:c>
      <x:c r="AD29" s="38" t="n">
        <x:f>IF(ISNUMBER('sheet4-原始数据'!M14),'sheet4-原始数据'!M14,"")</x:f>
        <x:v>183.94</x:v>
      </x:c>
      <x:c r="AE29" s="37" t="n">
        <x:f>IF(OR(NOT(ISNUMBER(P29)),NOT(ISNUMBER(AA29)),NOT(ISNUMBER(Z29))),"",IF(AA29&gt;Z29+'sheet1-指标体系'!$J$11,AA29,""))</x:f>
        <x:v>0.0463</x:v>
      </x:c>
      <x:c r="AF29" s="17" t="n">
        <x:f>IF(OR(NOT(ISNUMBER(P29)),NOT(ISNUMBER(AE29)),AE29=0),"",P29/AE29)</x:f>
        <x:v>0.36791843887169307</x:v>
      </x:c>
      <x:c r="AG29" s="17" t="n">
        <x:f>IF(OR($G29&lt;&gt;"入池",NOT(ISNUMBER(AD29))),"",IF(COUNTIFS($G$17:$G$219,"入池",$AD$17:$AD$219,"&gt;=-1E+307",$AD$17:$AD$219,"&lt;=1E+307")&lt;=1,100,ROUND(100*(COUNTIFS($G$17:$G$219,"入池",$AD$17:$AD$219,"&gt;=-1E+307",$AD$17:$AD$219,"&lt;"&amp;AD29)+COUNTIFS($G$17:$G$219,"入池",$AD$17:$AD$219,AD29,$AD$17:$AD$219,"&gt;=-1E+307",$AD$17:$AD$219,"&lt;=1E+307")/2-0.5)/(COUNTIFS($G$17:$G$219,"入池",$AD$17:$AD$219,"&gt;=-1E+307",$AD$17:$AD$219,"&lt;=1E+307")-1),2)))</x:f>
        <x:v>100</x:v>
      </x:c>
      <x:c r="AH29" s="17" t="n">
        <x:f>IF(OR($G29&lt;&gt;"入池",NOT(ISNUMBER(AF29))),"",IF(COUNTIFS($G$17:$G$219,"入池",$AF$17:$AF$219,"&gt;=-1E+307",$AF$17:$AF$219,"&lt;=1E+307")&lt;=1,100,ROUND(100*(COUNTIFS($G$17:$G$219,"入池",$AF$17:$AF$219,"&gt;=-1E+307",$AF$17:$AF$219,"&lt;"&amp;AF29)+COUNTIFS($G$17:$G$219,"入池",$AF$17:$AF$219,AF29,$AF$17:$AF$219,"&gt;=-1E+307",$AF$17:$AF$219,"&lt;=1E+307")/2-0.5)/(COUNTIFS($G$17:$G$219,"入池",$AF$17:$AF$219,"&gt;=-1E+307",$AF$17:$AF$219,"&lt;=1E+307")-1),2)))</x:f>
        <x:v>16.06</x:v>
      </x:c>
      <x:c r="AI29" s="17" t="n">
        <x:f>IF(NOT(ISNUMBER(AG29)),"",IF(NOT(ISNUMBER(AH29)),AG29,ROUND(AG29*'sheet1-指标体系'!$J$8+AH29*'sheet1-指标体系'!$J$9,2)))</x:f>
        <x:v>66.42</x:v>
      </x:c>
      <x:c r="AJ29" s="37" t="n">
        <x:f>IF(NOT(ISNUMBER(F29)),"",IF(F29&gt;=3,IF(NOT(ISNUMBER(N29)),"",N29),IF(NOT(ISNUMBER(O29)),"",O29)))</x:f>
        <x:v>0.0246</x:v>
      </x:c>
      <x:c r="AK29" s="17" t="n">
        <x:f>IF(OR(G29&lt;&gt;"入池",NOT(ISNUMBER(M29)),NOT(ISNUMBER(AJ29))),"",IF(M29&gt;=AJ29,100,IF(AJ29-M29&lt;'sheet1-指标体系'!$J$10,80,60)))</x:f>
        <x:v>100</x:v>
      </x:c>
      <x:c r="AL29" s="17" t="n">
        <x:f>IF(COUNT(I29,K29,L29)=0,"",ROUND((IF(ISNUMBER(I29),I29*40%,0)+IF(ISNUMBER(K29),K29*30%,0)+IF(ISNUMBER(L29),L29*30%,0))/(IF(ISNUMBER(I29),40%,0)+IF(ISNUMBER(K29),30%,0)+IF(ISNUMBER(L29),30%,0)),2))</x:f>
        <x:v>66</x:v>
      </x:c>
      <x:c r="AM29" s="17" t="n">
        <x:f>IF(COUNT(Q29,R29,W29,X29)=0,"",ROUND((IF(ISNUMBER(Q29),Q29*42%,0)+IF(ISNUMBER(R29),R29*28%,0)+IF(ISNUMBER(W29),W29*18%,0)+IF(ISNUMBER(X29),X29*12%,0))/(IF(ISNUMBER(Q29),42%,0)+IF(ISNUMBER(R29),28%,0)+IF(ISNUMBER(W29),18%,0)+IF(ISNUMBER(X29),12%,0)),2))</x:f>
        <x:v>44.95</x:v>
      </x:c>
      <x:c r="AN29" s="17" t="n">
        <x:f>IF(ISNUMBER(AC29),AC29,"")</x:f>
        <x:v>48.02</x:v>
      </x:c>
      <x:c r="AO29" s="17" t="n">
        <x:f>IF(COUNT(AG29,AH29)=0,"",ROUND((IF(ISNUMBER(AG29),AG29*60%,0)+IF(ISNUMBER(AH29),AH29*40%,0))/(IF(ISNUMBER(AG29),60%,0)+IF(ISNUMBER(AH29),40%,0)),2))</x:f>
        <x:v>66.42</x:v>
      </x:c>
      <x:c r="AP29" s="17" t="n">
        <x:f>IF(ISNUMBER(AK29),AK29,"")</x:f>
        <x:v>100</x:v>
      </x:c>
      <x:c r="AQ29" s="39" t="n">
        <x:f>IF(G29&lt;&gt;"入池",0,IF(ISNUMBER(I29),6%,0)+IF(ISNUMBER(K29),4.5%,0)+IF(ISNUMBER(L29),4.5%,0)+IF(ISNUMBER(Q29),8.4%,0)+IF(ISNUMBER(R29),5.6%,0)+IF(ISNUMBER(W29),3.6%,0)+IF(ISNUMBER(X29),2.4%,0)+IF(ISNUMBER(AC29),25%,0)+IF(ISNUMBER(AG29),18%,0)+IF(ISNUMBER(AH29),12%,0)+IF(ISNUMBER(AK29),10%,0))</x:f>
        <x:v>1</x:v>
      </x:c>
      <x:c r="AR29" s="17" t="n">
        <x:f>IF(AQ29=0,"",IF(ISNUMBER(I29),I29*6%,0)+IF(ISNUMBER(K29),K29*4.5%,0)+IF(ISNUMBER(L29),L29*4.5%,0)+IF(ISNUMBER(Q29),Q29*8.4%,0)+IF(ISNUMBER(R29),R29*5.6%,0)+IF(ISNUMBER(W29),W29*3.6%,0)+IF(ISNUMBER(X29),X29*2.4%,0)+IF(ISNUMBER(AC29),AC29*25%,0)+IF(ISNUMBER(AG29),AG29*18%,0)+IF(ISNUMBER(AH29),AH29*12%,0)+IF(ISNUMBER(AK29),AK29*10%,0))</x:f>
        <x:v>60.82293</x:v>
      </x:c>
      <x:c r="AS29" s="17" t="n">
        <x:f>IF(AQ29=0,"",ROUND(AR29/AQ29,2))</x:f>
        <x:v>60.82</x:v>
      </x:c>
      <x:c r="AT29" s="40" t="n">
        <x:f>IF(OR(G29&lt;&gt;"入池",NOT(ISNUMBER(AS29))),"",COUNTIFS($G$17:$G$219,"入池",$AS$17:$AS$219,"&gt;"&amp;AS29)+COUNTIFS($G$17:$G$219,"入池",$AS$17:$AS$219,AS29,$AQ$17:$AQ$219,"&gt;"&amp;AQ29)+COUNTIFS($G$17:G29,"入池",$AS$17:AS29,AS29,$AQ$17:AQ29,AQ29))</x:f>
        <x:v>105</x:v>
      </x:c>
      <x:c r="AU29" s="41" t="str">
        <x:f t="shared" si="2">IF(NOT(ISNUMBER(I29)),"管理人规模；","")&amp;IF(J29="","产品规模标识；","")&amp;IF(AND(F29&lt;3,NOT(ISNUMBER(O29))),"R_incep；","")&amp;IF(NOT(ISNUMBER(N29)),"近三年收益；","")&amp;IF(NOT(ISNUMBER(U29)),"近三年胜率；","")&amp;IF(AND(ISNUMBER(V29),OR(V29&lt;0,V29&gt;1)),"胜率窗口口径不一致；","")&amp;IF(NOT(ISNUMBER(AA29)),"近三年回撤；","")&amp;IF(NOT(ISNUMBER(AD29)),"短期卡玛；","")&amp;IF(AND(ISNUMBER(P29),NOT(ISNUMBER(AE29))),"DD_long不可识别；","")</x:f>
      </x:c>
      <x:c r="AV29" s="42" t="n">
        <x:v>50</x:v>
      </x:c>
      <x:c r="AW29" s="19" t="str">
        <x:v>青岛鹿秀投资管理有限公司</x:v>
      </x:c>
      <x:c r="AX29" s="19" t="str">
        <x:v>2025-01-10</x:v>
      </x:c>
      <x:c r="AY29" s="19" t="str">
        <x:v>https://gs.amac.org.cn/amac-infodisc/res/pof/manager/1612231708101923.html</x:v>
      </x:c>
      <x:c r="AZ29" s="19" t="str">
        <x:v>鹿秀驯鹿二号私募证券投资基金</x:v>
      </x:c>
      <x:c r="BA29" s="19" t="str">
        <x:v>2026-07-15</x:v>
      </x:c>
      <x:c r="BB29" s="19" t="str">
        <x:v>2026年第2季度季度更新信息</x:v>
      </x:c>
      <x:c r="BC29" s="19" t="str">
        <x:v>https://gs.amac.org.cn/amac-infodisc/res/pof/fund/1910231722102267.html</x:v>
      </x:c>
      <x:c r="BD29" s="19" t="str">
        <x:v>已匹配</x:v>
      </x:c>
      <x:c r="BE29"/>
      <x:c r="BF29"/>
    </x:row>
    <x:row r="30" ht="28" customHeight="1">
      <x:c r="A30" s="4" t="n">
        <x:v>14</x:v>
      </x:c>
      <x:c r="B30" s="15" t="str">
        <x:f>'sheet4-原始数据'!A15</x:f>
        <x:v>本利达利磐一号</x:v>
      </x:c>
      <x:c r="C30" s="15" t="str">
        <x:f>'sheet4-原始数据'!B15</x:f>
        <x:v>SJF426</x:v>
      </x:c>
      <x:c r="D30" s="15" t="str">
        <x:f>'sheet4-原始数据'!E15</x:f>
        <x:v>深圳本利达资管</x:v>
      </x:c>
      <x:c r="E30" s="32" t="n">
        <x:f>IF(ISNUMBER('sheet4-原始数据'!F15),'sheet4-原始数据'!F15,"")</x:f>
        <x:v>43770</x:v>
      </x:c>
      <x:c r="F30" s="17" t="n">
        <x:f>IF(NOT(ISNUMBER(E30)),"",ROUND(('sheet1-指标体系'!$J$23-E30)/365.25,4))</x:f>
        <x:v>6.8747</x:v>
      </x:c>
      <x:c r="G30" s="4" t="str">
        <x:f t="shared" si="1">IF(NOT(ISNUMBER(F30)),"",IF(F30&lt;1,"不入池","入池"))</x:f>
        <x:v>入池</x:v>
      </x:c>
      <x:c r="H30" s="33" t="str">
        <x:v>0-5亿元</x:v>
      </x:c>
      <x:c r="I30" s="17" t="n">
        <x:f>IF(H30="","",IF(ISNUMBER(SEARCH("100亿元以上",H30)),100,IF(OR(ISNUMBER(SEARCH("20-50",H30)),ISNUMBER(SEARCH("50-100",H30)),ISNUMBER(SEARCH("20-100",H30))),90,IF(ISNUMBER(SEARCH("10-20",H30)),80,IF(ISNUMBER(SEARCH("5-10",H30)),70,IF(ISNUMBER(SEARCH("0-5",H30)),60,""))))))</x:f>
        <x:v>60</x:v>
      </x:c>
      <x:c r="J30" s="34" t="str">
        <x:v>无低于1000万元标识</x:v>
      </x:c>
      <x:c r="K30" s="17" t="n">
        <x:f>IF(J30="","",IF(J30="低于1000万元",0,100))</x:f>
        <x:v>100</x:v>
      </x:c>
      <x:c r="L30" s="17" t="n">
        <x:f>IF(NOT(ISNUMBER(F30)),"",IF(F30&lt;1,"",IF(F30&lt;3,70,100)))</x:f>
        <x:v>100</x:v>
      </x:c>
      <x:c r="M30" s="35" t="n">
        <x:f>IF(ISNUMBER('sheet4-原始数据'!G15),'sheet4-原始数据'!G15,"")</x:f>
        <x:v>0.11</x:v>
      </x:c>
      <x:c r="N30" s="35" t="n">
        <x:f>IF(ISNUMBER('sheet4-原始数据'!H15),'sheet4-原始数据'!H15,"")</x:f>
        <x:v>0.1208</x:v>
      </x:c>
      <x:c r="O30" s="36" t="str">
        <x:f>IF(ISNUMBER('sheet4-原始数据'!Q15),'sheet4-原始数据'!Q15,"")</x:f>
      </x:c>
      <x:c r="P30" s="37" t="n">
        <x:f>IF($G30&lt;&gt;"入池","",IF($F30&gt;=3,IF(OR(NOT(ISNUMBER($M30)),NOT(ISNUMBER($N30)),1+$M30&lt;=0,1+$N30&lt;0),"",((1+$N30)^3/(1+$M30))^(1/2)-1),IF(OR($F30&lt;=1,NOT(ISNUMBER($M30)),NOT(ISNUMBER($O30)),1+$M30&lt;=0,1+$O30&lt;0),"",((1+$O30)^$F30/(1+$M30))^(1/($F30-1))-1)))</x:f>
        <x:v>0.1262393417367711</x:v>
      </x:c>
      <x:c r="Q30" s="17" t="n">
        <x:f>IF(OR($G30&lt;&gt;"入池",NOT(ISNUMBER(M30))),"",IF(COUNTIFS($G$17:$G$219,"入池",$M$17:$M$219,"&gt;=-1E+307",$M$17:$M$219,"&lt;=1E+307")&lt;=1,100,ROUND(100*(COUNTIFS($G$17:$G$219,"入池",$M$17:$M$219,"&gt;=-1E+307",$M$17:$M$219,"&lt;"&amp;M30)+COUNTIFS($G$17:$G$219,"入池",$M$17:$M$219,M30,$M$17:$M$219,"&gt;=-1E+307",$M$17:$M$219,"&lt;=1E+307")/2-0.5)/(COUNTIFS($G$17:$G$219,"入池",$M$17:$M$219,"&gt;=-1E+307",$M$17:$M$219,"&lt;=1E+307")-1),2)))</x:f>
        <x:v>83.66</x:v>
      </x:c>
      <x:c r="R30" s="17" t="n">
        <x:f>IF(OR($G30&lt;&gt;"入池",NOT(ISNUMBER(P30))),"",IF(COUNTIFS($G$17:$G$219,"入池",$P$17:$P$219,"&gt;=-1E+307",$P$17:$P$219,"&lt;=1E+307")&lt;=1,100,ROUND(100*(COUNTIFS($G$17:$G$219,"入池",$P$17:$P$219,"&gt;=-1E+307",$P$17:$P$219,"&lt;"&amp;P30)+COUNTIFS($G$17:$G$219,"入池",$P$17:$P$219,P30,$P$17:$P$219,"&gt;=-1E+307",$P$17:$P$219,"&lt;=1E+307")/2-0.5)/(COUNTIFS($G$17:$G$219,"入池",$P$17:$P$219,"&gt;=-1E+307",$P$17:$P$219,"&lt;=1E+307")-1),2)))</x:f>
        <x:v>81.68</x:v>
      </x:c>
      <x:c r="S30" s="17" t="n">
        <x:f>IF(NOT(ISNUMBER(Q30)),"",IF(NOT(ISNUMBER(R30)),Q30,ROUND(Q30*'sheet1-指标体系'!$J$8+R30*'sheet1-指标体系'!$J$9,2)))</x:f>
        <x:v>82.87</x:v>
      </x:c>
      <x:c r="T30" s="35" t="n">
        <x:f>IF(ISNUMBER('sheet4-原始数据'!J15),'sheet4-原始数据'!J15,"")</x:f>
        <x:v>0.7692</x:v>
      </x:c>
      <x:c r="U30" s="35" t="n">
        <x:f>IF(ISNUMBER('sheet4-原始数据'!I15),'sheet4-原始数据'!I15,"")</x:f>
        <x:v>0.6757</x:v>
      </x:c>
      <x:c r="V30" s="37" t="n">
        <x:f>IF(OR(NOT(ISNUMBER(T30)),NOT(ISNUMBER(U30))),"",(U30*'sheet1-指标体系'!$J$6-T30*'sheet1-指标体系'!$J$5)/'sheet1-指标体系'!$J$7)</x:f>
        <x:v>0.6250541666666666</x:v>
      </x:c>
      <x:c r="W30" s="17" t="n">
        <x:f>IF(NOT(ISNUMBER(T30)),"",T30*100)</x:f>
        <x:v>76.92</x:v>
      </x:c>
      <x:c r="X30" s="17" t="n">
        <x:f>IF($G30&lt;&gt;"入池","",IF(AND(ISNUMBER(V30),V30&gt;=0,V30&lt;=1),V30*100,IF(MAX(0,($F30-1)*12)&lt;6,100,"")))</x:f>
        <x:v>62.505416666666655</x:v>
      </x:c>
      <x:c r="Y30" s="17" t="n">
        <x:f>IF(NOT(ISNUMBER(W30)),"",IF(NOT(ISNUMBER(X30)),W30,ROUND(W30*'sheet1-指标体系'!$J$8+X30*'sheet1-指标体系'!$J$9,2)))</x:f>
        <x:v>71.15</x:v>
      </x:c>
      <x:c r="Z30" s="37" t="n">
        <x:f>IF(OR(NOT(ISNUMBER(M30)),NOT(ISNUMBER(AD30)),AD30=0),"",ABS(M30/AD30))</x:f>
        <x:v>0.11350737797956868</x:v>
      </x:c>
      <x:c r="AA30" s="35" t="n">
        <x:f>IF(ISNUMBER('sheet4-原始数据'!K15),'sheet4-原始数据'!K15,"")</x:f>
        <x:v>0.1144</x:v>
      </x:c>
      <x:c r="AB30" s="37" t="n">
        <x:f>IF(COUNT(Z30:AA30)=0,"",MAX(Z30:AA30))</x:f>
        <x:v>0.1144</x:v>
      </x:c>
      <x:c r="AC30" s="17" t="n">
        <x:f>IF(OR($G30&lt;&gt;"入池",NOT(ISNUMBER(AB30))),"",IF(COUNTIFS($G$17:$G$219,"入池",$AB$17:$AB$219,"&gt;=-1E+307",$AB$17:$AB$219,"&lt;=1E+307")&lt;=1,100,ROUND(100*(COUNTIFS($G$17:$G$219,"入池",$AB$17:$AB$219,"&lt;=1E+307",$AB$17:$AB$219,"&gt;"&amp;AB30)+COUNTIFS($G$17:$G$219,"入池",$AB$17:$AB$219,AB30,$AB$17:$AB$219,"&gt;=-1E+307",$AB$17:$AB$219,"&lt;=1E+307")/2-0.5)/(COUNTIFS($G$17:$G$219,"入池",$AB$17:$AB$219,"&gt;=-1E+307",$AB$17:$AB$219,"&lt;=1E+307")-1),2)))</x:f>
        <x:v>23.27</x:v>
      </x:c>
      <x:c r="AD30" s="38" t="n">
        <x:f>IF(ISNUMBER('sheet4-原始数据'!M15),'sheet4-原始数据'!M15,"")</x:f>
        <x:v>0.9691</x:v>
      </x:c>
      <x:c r="AE30" s="37" t="n">
        <x:f>IF(OR(NOT(ISNUMBER(P30)),NOT(ISNUMBER(AA30)),NOT(ISNUMBER(Z30))),"",IF(AA30&gt;Z30+'sheet1-指标体系'!$J$11,AA30,""))</x:f>
        <x:v>0.1144</x:v>
      </x:c>
      <x:c r="AF30" s="17" t="n">
        <x:f>IF(OR(NOT(ISNUMBER(P30)),NOT(ISNUMBER(AE30)),AE30=0),"",P30/AE30)</x:f>
        <x:v>1.1034907494472999</x:v>
      </x:c>
      <x:c r="AG30" s="17" t="n">
        <x:f>IF(OR($G30&lt;&gt;"入池",NOT(ISNUMBER(AD30))),"",IF(COUNTIFS($G$17:$G$219,"入池",$AD$17:$AD$219,"&gt;=-1E+307",$AD$17:$AD$219,"&lt;=1E+307")&lt;=1,100,ROUND(100*(COUNTIFS($G$17:$G$219,"入池",$AD$17:$AD$219,"&gt;=-1E+307",$AD$17:$AD$219,"&lt;"&amp;AD30)+COUNTIFS($G$17:$G$219,"入池",$AD$17:$AD$219,AD30,$AD$17:$AD$219,"&gt;=-1E+307",$AD$17:$AD$219,"&lt;=1E+307")/2-0.5)/(COUNTIFS($G$17:$G$219,"入池",$AD$17:$AD$219,"&gt;=-1E+307",$AD$17:$AD$219,"&lt;=1E+307")-1),2)))</x:f>
        <x:v>33.33</x:v>
      </x:c>
      <x:c r="AH30" s="17" t="n">
        <x:f>IF(OR($G30&lt;&gt;"入池",NOT(ISNUMBER(AF30))),"",IF(COUNTIFS($G$17:$G$219,"入池",$AF$17:$AF$219,"&gt;=-1E+307",$AF$17:$AF$219,"&lt;=1E+307")&lt;=1,100,ROUND(100*(COUNTIFS($G$17:$G$219,"入池",$AF$17:$AF$219,"&gt;=-1E+307",$AF$17:$AF$219,"&lt;"&amp;AF30)+COUNTIFS($G$17:$G$219,"入池",$AF$17:$AF$219,AF30,$AF$17:$AF$219,"&gt;=-1E+307",$AF$17:$AF$219,"&lt;=1E+307")/2-0.5)/(COUNTIFS($G$17:$G$219,"入池",$AF$17:$AF$219,"&gt;=-1E+307",$AF$17:$AF$219,"&lt;=1E+307")-1),2)))</x:f>
        <x:v>44.53</x:v>
      </x:c>
      <x:c r="AI30" s="17" t="n">
        <x:f>IF(NOT(ISNUMBER(AG30)),"",IF(NOT(ISNUMBER(AH30)),AG30,ROUND(AG30*'sheet1-指标体系'!$J$8+AH30*'sheet1-指标体系'!$J$9,2)))</x:f>
        <x:v>37.81</x:v>
      </x:c>
      <x:c r="AJ30" s="37" t="n">
        <x:f>IF(NOT(ISNUMBER(F30)),"",IF(F30&gt;=3,IF(NOT(ISNUMBER(N30)),"",N30),IF(NOT(ISNUMBER(O30)),"",O30)))</x:f>
        <x:v>0.1208</x:v>
      </x:c>
      <x:c r="AK30" s="17" t="n">
        <x:f>IF(OR(G30&lt;&gt;"入池",NOT(ISNUMBER(M30)),NOT(ISNUMBER(AJ30))),"",IF(M30&gt;=AJ30,100,IF(AJ30-M30&lt;'sheet1-指标体系'!$J$10,80,60)))</x:f>
        <x:v>80</x:v>
      </x:c>
      <x:c r="AL30" s="17" t="n">
        <x:f>IF(COUNT(I30,K30,L30)=0,"",ROUND((IF(ISNUMBER(I30),I30*40%,0)+IF(ISNUMBER(K30),K30*30%,0)+IF(ISNUMBER(L30),L30*30%,0))/(IF(ISNUMBER(I30),40%,0)+IF(ISNUMBER(K30),30%,0)+IF(ISNUMBER(L30),30%,0)),2))</x:f>
        <x:v>84</x:v>
      </x:c>
      <x:c r="AM30" s="17" t="n">
        <x:f>IF(COUNT(Q30,R30,W30,X30)=0,"",ROUND((IF(ISNUMBER(Q30),Q30*42%,0)+IF(ISNUMBER(R30),R30*28%,0)+IF(ISNUMBER(W30),W30*18%,0)+IF(ISNUMBER(X30),X30*12%,0))/(IF(ISNUMBER(Q30),42%,0)+IF(ISNUMBER(R30),28%,0)+IF(ISNUMBER(W30),18%,0)+IF(ISNUMBER(X30),12%,0)),2))</x:f>
        <x:v>79.35</x:v>
      </x:c>
      <x:c r="AN30" s="17" t="n">
        <x:f>IF(ISNUMBER(AC30),AC30,"")</x:f>
        <x:v>23.27</x:v>
      </x:c>
      <x:c r="AO30" s="17" t="n">
        <x:f>IF(COUNT(AG30,AH30)=0,"",ROUND((IF(ISNUMBER(AG30),AG30*60%,0)+IF(ISNUMBER(AH30),AH30*40%,0))/(IF(ISNUMBER(AG30),60%,0)+IF(ISNUMBER(AH30),40%,0)),2))</x:f>
        <x:v>37.81</x:v>
      </x:c>
      <x:c r="AP30" s="17" t="n">
        <x:f>IF(ISNUMBER(AK30),AK30,"")</x:f>
        <x:v>80</x:v>
      </x:c>
      <x:c r="AQ30" s="39" t="n">
        <x:f>IF(G30&lt;&gt;"入池",0,IF(ISNUMBER(I30),6%,0)+IF(ISNUMBER(K30),4.5%,0)+IF(ISNUMBER(L30),4.5%,0)+IF(ISNUMBER(Q30),8.4%,0)+IF(ISNUMBER(R30),5.6%,0)+IF(ISNUMBER(W30),3.6%,0)+IF(ISNUMBER(X30),2.4%,0)+IF(ISNUMBER(AC30),25%,0)+IF(ISNUMBER(AG30),18%,0)+IF(ISNUMBER(AH30),12%,0)+IF(ISNUMBER(AK30),10%,0))</x:f>
        <x:v>1</x:v>
      </x:c>
      <x:c r="AR30" s="17" t="n">
        <x:f>IF(AQ30=0,"",IF(ISNUMBER(I30),I30*6%,0)+IF(ISNUMBER(K30),K30*4.5%,0)+IF(ISNUMBER(L30),L30*4.5%,0)+IF(ISNUMBER(Q30),Q30*8.4%,0)+IF(ISNUMBER(R30),R30*5.6%,0)+IF(ISNUMBER(W30),W30*3.6%,0)+IF(ISNUMBER(X30),X30*2.4%,0)+IF(ISNUMBER(AC30),AC30*25%,0)+IF(ISNUMBER(AG30),AG30*18%,0)+IF(ISNUMBER(AH30),AH30*12%,0)+IF(ISNUMBER(AK30),AK30*10%,0))</x:f>
        <x:v>53.63127</x:v>
      </x:c>
      <x:c r="AS30" s="17" t="n">
        <x:f>IF(AQ30=0,"",ROUND(AR30/AQ30,2))</x:f>
        <x:v>53.63</x:v>
      </x:c>
      <x:c r="AT30" s="40" t="n">
        <x:f>IF(OR(G30&lt;&gt;"入池",NOT(ISNUMBER(AS30))),"",COUNTIFS($G$17:$G$219,"入池",$AS$17:$AS$219,"&gt;"&amp;AS30)+COUNTIFS($G$17:$G$219,"入池",$AS$17:$AS$219,AS30,$AQ$17:$AQ$219,"&gt;"&amp;AQ30)+COUNTIFS($G$17:G30,"入池",$AS$17:AS30,AS30,$AQ$17:AQ30,AQ30))</x:f>
        <x:v>133</x:v>
      </x:c>
      <x:c r="AU30" s="41" t="str">
        <x:f t="shared" si="2">IF(NOT(ISNUMBER(I30)),"管理人规模；","")&amp;IF(J30="","产品规模标识；","")&amp;IF(AND(F30&lt;3,NOT(ISNUMBER(O30))),"R_incep；","")&amp;IF(NOT(ISNUMBER(N30)),"近三年收益；","")&amp;IF(NOT(ISNUMBER(U30)),"近三年胜率；","")&amp;IF(AND(ISNUMBER(V30),OR(V30&lt;0,V30&gt;1)),"胜率窗口口径不一致；","")&amp;IF(NOT(ISNUMBER(AA30)),"近三年回撤；","")&amp;IF(NOT(ISNUMBER(AD30)),"短期卡玛；","")&amp;IF(AND(ISNUMBER(P30),NOT(ISNUMBER(AE30))),"DD_long不可识别；","")</x:f>
      </x:c>
      <x:c r="AV30" s="42" t="n">
        <x:v>0</x:v>
      </x:c>
      <x:c r="AW30" s="19" t="str">
        <x:v>深圳市本利达资产管理有限公司</x:v>
      </x:c>
      <x:c r="AX30" s="19" t="str">
        <x:v>2026-06-16</x:v>
      </x:c>
      <x:c r="AY30" s="19" t="str">
        <x:v>https://gs.amac.org.cn/amac-infodisc/res/pof/manager/101000028552.html</x:v>
      </x:c>
      <x:c r="AZ30" s="19" t="str">
        <x:v>本利达利磐一号私募证券投资基金</x:v>
      </x:c>
      <x:c r="BA30" s="19" t="str">
        <x:v>2025-04-01</x:v>
      </x:c>
      <x:c r="BB30" s="19"/>
      <x:c r="BC30" s="19" t="str">
        <x:v>https://gs.amac.org.cn/amac-infodisc/res/pof/fund/1911061732126237.html</x:v>
      </x:c>
      <x:c r="BD30" s="19" t="str">
        <x:v>已匹配</x:v>
      </x:c>
      <x:c r="BE30"/>
      <x:c r="BF30"/>
    </x:row>
    <x:row r="31" ht="28" customHeight="1">
      <x:c r="A31" s="4" t="n">
        <x:v>15</x:v>
      </x:c>
      <x:c r="B31" s="15" t="str">
        <x:f>'sheet4-原始数据'!A16</x:f>
        <x:v>和熙新月1号</x:v>
      </x:c>
      <x:c r="C31" s="15" t="str">
        <x:f>'sheet4-原始数据'!B16</x:f>
        <x:v>SJG287</x:v>
      </x:c>
      <x:c r="D31" s="15" t="str">
        <x:f>'sheet4-原始数据'!E16</x:f>
        <x:v>浙江和熙资管</x:v>
      </x:c>
      <x:c r="E31" s="32" t="n">
        <x:f>IF(ISNUMBER('sheet4-原始数据'!F16),'sheet4-原始数据'!F16,"")</x:f>
        <x:v>43783</x:v>
      </x:c>
      <x:c r="F31" s="17" t="n">
        <x:f>IF(NOT(ISNUMBER(E31)),"",ROUND(('sheet1-指标体系'!$J$23-E31)/365.25,4))</x:f>
        <x:v>6.8392</x:v>
      </x:c>
      <x:c r="G31" s="4" t="str">
        <x:f t="shared" si="1">IF(NOT(ISNUMBER(F31)),"",IF(F31&lt;1,"不入池","入池"))</x:f>
        <x:v>入池</x:v>
      </x:c>
      <x:c r="H31" s="33" t="str">
        <x:v>5-10亿元</x:v>
      </x:c>
      <x:c r="I31" s="17" t="n">
        <x:f>IF(H31="","",IF(ISNUMBER(SEARCH("100亿元以上",H31)),100,IF(OR(ISNUMBER(SEARCH("20-50",H31)),ISNUMBER(SEARCH("50-100",H31)),ISNUMBER(SEARCH("20-100",H31))),90,IF(ISNUMBER(SEARCH("10-20",H31)),80,IF(ISNUMBER(SEARCH("5-10",H31)),70,IF(ISNUMBER(SEARCH("0-5",H31)),60,""))))))</x:f>
        <x:v>70</x:v>
      </x:c>
      <x:c r="J31" s="34" t="str">
        <x:v>无低于1000万元标识</x:v>
      </x:c>
      <x:c r="K31" s="17" t="n">
        <x:f>IF(J31="","",IF(J31="低于1000万元",0,100))</x:f>
        <x:v>100</x:v>
      </x:c>
      <x:c r="L31" s="17" t="n">
        <x:f>IF(NOT(ISNUMBER(F31)),"",IF(F31&lt;1,"",IF(F31&lt;3,70,100)))</x:f>
        <x:v>100</x:v>
      </x:c>
      <x:c r="M31" s="35" t="n">
        <x:f>IF(ISNUMBER('sheet4-原始数据'!G16),'sheet4-原始数据'!G16,"")</x:f>
        <x:v>-0.0029</x:v>
      </x:c>
      <x:c r="N31" s="35" t="n">
        <x:f>IF(ISNUMBER('sheet4-原始数据'!H16),'sheet4-原始数据'!H16,"")</x:f>
        <x:v>0.0207</x:v>
      </x:c>
      <x:c r="O31" s="36" t="str">
        <x:f>IF(ISNUMBER('sheet4-原始数据'!Q16),'sheet4-原始数据'!Q16,"")</x:f>
      </x:c>
      <x:c r="P31" s="37" t="n">
        <x:f>IF($G31&lt;&gt;"入池","",IF($F31&gt;=3,IF(OR(NOT(ISNUMBER($M31)),NOT(ISNUMBER($N31)),1+$M31&lt;=0,1+$N31&lt;0),"",((1+$N31)^3/(1+$M31))^(1/2)-1),IF(OR($F31&lt;=1,NOT(ISNUMBER($M31)),NOT(ISNUMBER($O31)),1+$M31&lt;=0,1+$O31&lt;0),"",((1+$O31)^$F31/(1+$M31))^(1/($F31-1))-1)))</x:f>
        <x:v>0.03270864840244614</x:v>
      </x:c>
      <x:c r="Q31" s="17" t="n">
        <x:f>IF(OR($G31&lt;&gt;"入池",NOT(ISNUMBER(M31))),"",IF(COUNTIFS($G$17:$G$219,"入池",$M$17:$M$219,"&gt;=-1E+307",$M$17:$M$219,"&lt;=1E+307")&lt;=1,100,ROUND(100*(COUNTIFS($G$17:$G$219,"入池",$M$17:$M$219,"&gt;=-1E+307",$M$17:$M$219,"&lt;"&amp;M31)+COUNTIFS($G$17:$G$219,"入池",$M$17:$M$219,M31,$M$17:$M$219,"&gt;=-1E+307",$M$17:$M$219,"&lt;=1E+307")/2-0.5)/(COUNTIFS($G$17:$G$219,"入池",$M$17:$M$219,"&gt;=-1E+307",$M$17:$M$219,"&lt;=1E+307")-1),2)))</x:f>
        <x:v>17.33</x:v>
      </x:c>
      <x:c r="R31" s="17" t="n">
        <x:f>IF(OR($G31&lt;&gt;"入池",NOT(ISNUMBER(P31))),"",IF(COUNTIFS($G$17:$G$219,"入池",$P$17:$P$219,"&gt;=-1E+307",$P$17:$P$219,"&lt;=1E+307")&lt;=1,100,ROUND(100*(COUNTIFS($G$17:$G$219,"入池",$P$17:$P$219,"&gt;=-1E+307",$P$17:$P$219,"&lt;"&amp;P31)+COUNTIFS($G$17:$G$219,"入池",$P$17:$P$219,P31,$P$17:$P$219,"&gt;=-1E+307",$P$17:$P$219,"&lt;=1E+307")/2-0.5)/(COUNTIFS($G$17:$G$219,"入池",$P$17:$P$219,"&gt;=-1E+307",$P$17:$P$219,"&lt;=1E+307")-1),2)))</x:f>
        <x:v>18.32</x:v>
      </x:c>
      <x:c r="S31" s="17" t="n">
        <x:f>IF(NOT(ISNUMBER(Q31)),"",IF(NOT(ISNUMBER(R31)),Q31,ROUND(Q31*'sheet1-指标体系'!$J$8+R31*'sheet1-指标体系'!$J$9,2)))</x:f>
        <x:v>17.73</x:v>
      </x:c>
      <x:c r="T31" s="35" t="n">
        <x:f>IF(ISNUMBER('sheet4-原始数据'!J16),'sheet4-原始数据'!J16,"")</x:f>
        <x:v>0.46149999999999997</x:v>
      </x:c>
      <x:c r="U31" s="35" t="n">
        <x:f>IF(ISNUMBER('sheet4-原始数据'!I16),'sheet4-原始数据'!I16,"")</x:f>
        <x:v>0.4865</x:v>
      </x:c>
      <x:c r="V31" s="37" t="n">
        <x:f>IF(OR(NOT(ISNUMBER(T31)),NOT(ISNUMBER(U31))),"",(U31*'sheet1-指标体系'!$J$6-T31*'sheet1-指标体系'!$J$5)/'sheet1-指标体系'!$J$7)</x:f>
        <x:v>0.5000416666666666</x:v>
      </x:c>
      <x:c r="W31" s="17" t="n">
        <x:f>IF(NOT(ISNUMBER(T31)),"",T31*100)</x:f>
        <x:v>46.15</x:v>
      </x:c>
      <x:c r="X31" s="17" t="n">
        <x:f>IF($G31&lt;&gt;"入池","",IF(AND(ISNUMBER(V31),V31&gt;=0,V31&lt;=1),V31*100,IF(MAX(0,($F31-1)*12)&lt;6,100,"")))</x:f>
        <x:v>50.00416666666666</x:v>
      </x:c>
      <x:c r="Y31" s="17" t="n">
        <x:f>IF(NOT(ISNUMBER(W31)),"",IF(NOT(ISNUMBER(X31)),W31,ROUND(W31*'sheet1-指标体系'!$J$8+X31*'sheet1-指标体系'!$J$9,2)))</x:f>
        <x:v>47.69</x:v>
      </x:c>
      <x:c r="Z31" s="37" t="n">
        <x:f>IF(OR(NOT(ISNUMBER(M31)),NOT(ISNUMBER(AD31)),AD31=0),"",ABS(M31/AD31))</x:f>
        <x:v>0.086053412462908</x:v>
      </x:c>
      <x:c r="AA31" s="35" t="n">
        <x:f>IF(ISNUMBER('sheet4-原始数据'!K16),'sheet4-原始数据'!K16,"")</x:f>
        <x:v>0.08529999999999999</x:v>
      </x:c>
      <x:c r="AB31" s="37" t="n">
        <x:f>IF(COUNT(Z31:AA31)=0,"",MAX(Z31:AA31))</x:f>
        <x:v>0.086053412462908</x:v>
      </x:c>
      <x:c r="AC31" s="17" t="n">
        <x:f>IF(OR($G31&lt;&gt;"入池",NOT(ISNUMBER(AB31))),"",IF(COUNTIFS($G$17:$G$219,"入池",$AB$17:$AB$219,"&gt;=-1E+307",$AB$17:$AB$219,"&lt;=1E+307")&lt;=1,100,ROUND(100*(COUNTIFS($G$17:$G$219,"入池",$AB$17:$AB$219,"&lt;=1E+307",$AB$17:$AB$219,"&gt;"&amp;AB31)+COUNTIFS($G$17:$G$219,"入池",$AB$17:$AB$219,AB31,$AB$17:$AB$219,"&gt;=-1E+307",$AB$17:$AB$219,"&lt;=1E+307")/2-0.5)/(COUNTIFS($G$17:$G$219,"入池",$AB$17:$AB$219,"&gt;=-1E+307",$AB$17:$AB$219,"&lt;=1E+307")-1),2)))</x:f>
        <x:v>30.69</x:v>
      </x:c>
      <x:c r="AD31" s="38" t="n">
        <x:f>IF(ISNUMBER('sheet4-原始数据'!M16),'sheet4-原始数据'!M16,"")</x:f>
        <x:v>-0.0337</x:v>
      </x:c>
      <x:c r="AE31" s="37" t="str">
        <x:f>IF(OR(NOT(ISNUMBER(P31)),NOT(ISNUMBER(AA31)),NOT(ISNUMBER(Z31))),"",IF(AA31&gt;Z31+'sheet1-指标体系'!$J$11,AA31,""))</x:f>
      </x:c>
      <x:c r="AF31" s="17" t="str">
        <x:f>IF(OR(NOT(ISNUMBER(P31)),NOT(ISNUMBER(AE31)),AE31=0),"",P31/AE31)</x:f>
      </x:c>
      <x:c r="AG31" s="17" t="n">
        <x:f>IF(OR($G31&lt;&gt;"入池",NOT(ISNUMBER(AD31))),"",IF(COUNTIFS($G$17:$G$219,"入池",$AD$17:$AD$219,"&gt;=-1E+307",$AD$17:$AD$219,"&lt;=1E+307")&lt;=1,100,ROUND(100*(COUNTIFS($G$17:$G$219,"入池",$AD$17:$AD$219,"&gt;=-1E+307",$AD$17:$AD$219,"&lt;"&amp;AD31)+COUNTIFS($G$17:$G$219,"入池",$AD$17:$AD$219,AD31,$AD$17:$AD$219,"&gt;=-1E+307",$AD$17:$AD$219,"&lt;=1E+307")/2-0.5)/(COUNTIFS($G$17:$G$219,"入池",$AD$17:$AD$219,"&gt;=-1E+307",$AD$17:$AD$219,"&lt;=1E+307")-1),2)))</x:f>
        <x:v>18.41</x:v>
      </x:c>
      <x:c r="AH31" s="17" t="str">
        <x:f>IF(OR($G31&lt;&gt;"入池",NOT(ISNUMBER(AF31))),"",IF(COUNTIFS($G$17:$G$219,"入池",$AF$17:$AF$219,"&gt;=-1E+307",$AF$17:$AF$219,"&lt;=1E+307")&lt;=1,100,ROUND(100*(COUNTIFS($G$17:$G$219,"入池",$AF$17:$AF$219,"&gt;=-1E+307",$AF$17:$AF$219,"&lt;"&amp;AF31)+COUNTIFS($G$17:$G$219,"入池",$AF$17:$AF$219,AF31,$AF$17:$AF$219,"&gt;=-1E+307",$AF$17:$AF$219,"&lt;=1E+307")/2-0.5)/(COUNTIFS($G$17:$G$219,"入池",$AF$17:$AF$219,"&gt;=-1E+307",$AF$17:$AF$219,"&lt;=1E+307")-1),2)))</x:f>
      </x:c>
      <x:c r="AI31" s="17" t="n">
        <x:f>IF(NOT(ISNUMBER(AG31)),"",IF(NOT(ISNUMBER(AH31)),AG31,ROUND(AG31*'sheet1-指标体系'!$J$8+AH31*'sheet1-指标体系'!$J$9,2)))</x:f>
        <x:v>18.41</x:v>
      </x:c>
      <x:c r="AJ31" s="37" t="n">
        <x:f>IF(NOT(ISNUMBER(F31)),"",IF(F31&gt;=3,IF(NOT(ISNUMBER(N31)),"",N31),IF(NOT(ISNUMBER(O31)),"",O31)))</x:f>
        <x:v>0.0207</x:v>
      </x:c>
      <x:c r="AK31" s="17" t="n">
        <x:f>IF(OR(G31&lt;&gt;"入池",NOT(ISNUMBER(M31)),NOT(ISNUMBER(AJ31))),"",IF(M31&gt;=AJ31,100,IF(AJ31-M31&lt;'sheet1-指标体系'!$J$10,80,60)))</x:f>
        <x:v>80</x:v>
      </x:c>
      <x:c r="AL31" s="17" t="n">
        <x:f>IF(COUNT(I31,K31,L31)=0,"",ROUND((IF(ISNUMBER(I31),I31*40%,0)+IF(ISNUMBER(K31),K31*30%,0)+IF(ISNUMBER(L31),L31*30%,0))/(IF(ISNUMBER(I31),40%,0)+IF(ISNUMBER(K31),30%,0)+IF(ISNUMBER(L31),30%,0)),2))</x:f>
        <x:v>88</x:v>
      </x:c>
      <x:c r="AM31" s="17" t="n">
        <x:f>IF(COUNT(Q31,R31,W31,X31)=0,"",ROUND((IF(ISNUMBER(Q31),Q31*42%,0)+IF(ISNUMBER(R31),R31*28%,0)+IF(ISNUMBER(W31),W31*18%,0)+IF(ISNUMBER(X31),X31*12%,0))/(IF(ISNUMBER(Q31),42%,0)+IF(ISNUMBER(R31),28%,0)+IF(ISNUMBER(W31),18%,0)+IF(ISNUMBER(X31),12%,0)),2))</x:f>
        <x:v>26.72</x:v>
      </x:c>
      <x:c r="AN31" s="17" t="n">
        <x:f>IF(ISNUMBER(AC31),AC31,"")</x:f>
        <x:v>30.69</x:v>
      </x:c>
      <x:c r="AO31" s="17" t="n">
        <x:f>IF(COUNT(AG31,AH31)=0,"",ROUND((IF(ISNUMBER(AG31),AG31*60%,0)+IF(ISNUMBER(AH31),AH31*40%,0))/(IF(ISNUMBER(AG31),60%,0)+IF(ISNUMBER(AH31),40%,0)),2))</x:f>
        <x:v>18.41</x:v>
      </x:c>
      <x:c r="AP31" s="17" t="n">
        <x:f>IF(ISNUMBER(AK31),AK31,"")</x:f>
        <x:v>80</x:v>
      </x:c>
      <x:c r="AQ31" s="39" t="n">
        <x:f>IF(G31&lt;&gt;"入池",0,IF(ISNUMBER(I31),6%,0)+IF(ISNUMBER(K31),4.5%,0)+IF(ISNUMBER(L31),4.5%,0)+IF(ISNUMBER(Q31),8.4%,0)+IF(ISNUMBER(R31),5.6%,0)+IF(ISNUMBER(W31),3.6%,0)+IF(ISNUMBER(X31),2.4%,0)+IF(ISNUMBER(AC31),25%,0)+IF(ISNUMBER(AG31),18%,0)+IF(ISNUMBER(AH31),12%,0)+IF(ISNUMBER(AK31),10%,0))</x:f>
        <x:v>0.88</x:v>
      </x:c>
      <x:c r="AR31" s="17" t="n">
        <x:f>IF(AQ31=0,"",IF(ISNUMBER(I31),I31*6%,0)+IF(ISNUMBER(K31),K31*4.5%,0)+IF(ISNUMBER(L31),L31*4.5%,0)+IF(ISNUMBER(Q31),Q31*8.4%,0)+IF(ISNUMBER(R31),R31*5.6%,0)+IF(ISNUMBER(W31),W31*3.6%,0)+IF(ISNUMBER(X31),X31*2.4%,0)+IF(ISNUMBER(AC31),AC31*25%,0)+IF(ISNUMBER(AG31),AG31*18%,0)+IF(ISNUMBER(AH31),AH31*12%,0)+IF(ISNUMBER(AK31),AK31*10%,0))</x:f>
        <x:v>37.529439999999994</x:v>
      </x:c>
      <x:c r="AS31" s="17" t="n">
        <x:f>IF(AQ31=0,"",ROUND(AR31/AQ31,2))</x:f>
        <x:v>42.65</x:v>
      </x:c>
      <x:c r="AT31" s="40" t="n">
        <x:f>IF(OR(G31&lt;&gt;"入池",NOT(ISNUMBER(AS31))),"",COUNTIFS($G$17:$G$219,"入池",$AS$17:$AS$219,"&gt;"&amp;AS31)+COUNTIFS($G$17:$G$219,"入池",$AS$17:$AS$219,AS31,$AQ$17:$AQ$219,"&gt;"&amp;AQ31)+COUNTIFS($G$17:G31,"入池",$AS$17:AS31,AS31,$AQ$17:AQ31,AQ31))</x:f>
        <x:v>166</x:v>
      </x:c>
      <x:c r="AU31" s="41" t="str">
        <x:f t="shared" si="2">IF(NOT(ISNUMBER(I31)),"管理人规模；","")&amp;IF(J31="","产品规模标识；","")&amp;IF(AND(F31&lt;3,NOT(ISNUMBER(O31))),"R_incep；","")&amp;IF(NOT(ISNUMBER(N31)),"近三年收益；","")&amp;IF(NOT(ISNUMBER(U31)),"近三年胜率；","")&amp;IF(AND(ISNUMBER(V31),OR(V31&lt;0,V31&gt;1)),"胜率窗口口径不一致；","")&amp;IF(NOT(ISNUMBER(AA31)),"近三年回撤；","")&amp;IF(NOT(ISNUMBER(AD31)),"短期卡玛；","")&amp;IF(AND(ISNUMBER(P31),NOT(ISNUMBER(AE31))),"DD_long不可识别；","")</x:f>
        <x:v>DD_long不可识别；</x:v>
      </x:c>
      <x:c r="AV31" s="42" t="n">
        <x:v>5</x:v>
      </x:c>
      <x:c r="AW31" s="19" t="str">
        <x:v>浙江和熙资产管理有限公司</x:v>
      </x:c>
      <x:c r="AX31" s="19" t="str">
        <x:v>2026-02-10</x:v>
      </x:c>
      <x:c r="AY31" s="19" t="str">
        <x:v>https://gs.amac.org.cn/amac-infodisc/res/pof/manager/101000072213.html</x:v>
      </x:c>
      <x:c r="AZ31" s="19" t="str">
        <x:v>和熙新月1号私募证券投资基金</x:v>
      </x:c>
      <x:c r="BA31" s="19" t="str">
        <x:v>2025-03-20</x:v>
      </x:c>
      <x:c r="BB31" s="19"/>
      <x:c r="BC31" s="19" t="str">
        <x:v>https://gs.amac.org.cn/amac-infodisc/res/pof/fund/1911201726147441.html</x:v>
      </x:c>
      <x:c r="BD31" s="19" t="str">
        <x:v>已匹配</x:v>
      </x:c>
      <x:c r="BE31"/>
      <x:c r="BF31"/>
    </x:row>
    <x:row r="32" ht="28" customHeight="1">
      <x:c r="A32" s="4" t="n">
        <x:v>16</x:v>
      </x:c>
      <x:c r="B32" s="15" t="str">
        <x:f>'sheet4-原始数据'!A17</x:f>
        <x:v>鹿秀统计套利1号</x:v>
      </x:c>
      <x:c r="C32" s="15" t="str">
        <x:f>'sheet4-原始数据'!B17</x:f>
        <x:v>SJJ138</x:v>
      </x:c>
      <x:c r="D32" s="15" t="str">
        <x:f>'sheet4-原始数据'!E17</x:f>
        <x:v>青岛鹿秀投资</x:v>
      </x:c>
      <x:c r="E32" s="32" t="n">
        <x:f>IF(ISNUMBER('sheet4-原始数据'!F17),'sheet4-原始数据'!F17,"")</x:f>
        <x:v>43801</x:v>
      </x:c>
      <x:c r="F32" s="17" t="n">
        <x:f>IF(NOT(ISNUMBER(E32)),"",ROUND(('sheet1-指标体系'!$J$23-E32)/365.25,4))</x:f>
        <x:v>6.7899</x:v>
      </x:c>
      <x:c r="G32" s="4" t="str">
        <x:f t="shared" si="1">IF(NOT(ISNUMBER(F32)),"",IF(F32&lt;1,"不入池","入池"))</x:f>
        <x:v>入池</x:v>
      </x:c>
      <x:c r="H32" s="33" t="str">
        <x:v>50-100亿元</x:v>
      </x:c>
      <x:c r="I32" s="17" t="n">
        <x:f>IF(H32="","",IF(ISNUMBER(SEARCH("100亿元以上",H32)),100,IF(OR(ISNUMBER(SEARCH("20-50",H32)),ISNUMBER(SEARCH("50-100",H32)),ISNUMBER(SEARCH("20-100",H32))),90,IF(ISNUMBER(SEARCH("10-20",H32)),80,IF(ISNUMBER(SEARCH("5-10",H32)),70,IF(ISNUMBER(SEARCH("0-5",H32)),60,""))))))</x:f>
        <x:v>90</x:v>
      </x:c>
      <x:c r="J32" s="34" t="str">
        <x:v>无低于1000万元标识</x:v>
      </x:c>
      <x:c r="K32" s="17" t="n">
        <x:f>IF(J32="","",IF(J32="低于1000万元",0,100))</x:f>
        <x:v>100</x:v>
      </x:c>
      <x:c r="L32" s="17" t="n">
        <x:f>IF(NOT(ISNUMBER(F32)),"",IF(F32&lt;1,"",IF(F32&lt;3,70,100)))</x:f>
        <x:v>100</x:v>
      </x:c>
      <x:c r="M32" s="35" t="n">
        <x:f>IF(ISNUMBER('sheet4-原始数据'!G17),'sheet4-原始数据'!G17,"")</x:f>
        <x:v>0.0304</x:v>
      </x:c>
      <x:c r="N32" s="35" t="n">
        <x:f>IF(ISNUMBER('sheet4-原始数据'!H17),'sheet4-原始数据'!H17,"")</x:f>
        <x:v>0.0355</x:v>
      </x:c>
      <x:c r="O32" s="36" t="str">
        <x:f>IF(ISNUMBER('sheet4-原始数据'!Q17),'sheet4-原始数据'!Q17,"")</x:f>
      </x:c>
      <x:c r="P32" s="37" t="n">
        <x:f>IF($G32&lt;&gt;"入池","",IF($F32&gt;=3,IF(OR(NOT(ISNUMBER($M32)),NOT(ISNUMBER($N32)),1+$M32&lt;=0,1+$N32&lt;0),"",((1+$N32)^3/(1+$M32))^(1/2)-1),IF(OR($F32&lt;=1,NOT(ISNUMBER($M32)),NOT(ISNUMBER($O32)),1+$M32&lt;=0,1+$O32&lt;0),"",((1+$O32)^$F32/(1+$M32))^(1/($F32-1))-1)))</x:f>
        <x:v>0.03805945818983991</x:v>
      </x:c>
      <x:c r="Q32" s="17" t="n">
        <x:f>IF(OR($G32&lt;&gt;"入池",NOT(ISNUMBER(M32))),"",IF(COUNTIFS($G$17:$G$219,"入池",$M$17:$M$219,"&gt;=-1E+307",$M$17:$M$219,"&lt;=1E+307")&lt;=1,100,ROUND(100*(COUNTIFS($G$17:$G$219,"入池",$M$17:$M$219,"&gt;=-1E+307",$M$17:$M$219,"&lt;"&amp;M32)+COUNTIFS($G$17:$G$219,"入池",$M$17:$M$219,M32,$M$17:$M$219,"&gt;=-1E+307",$M$17:$M$219,"&lt;=1E+307")/2-0.5)/(COUNTIFS($G$17:$G$219,"入池",$M$17:$M$219,"&gt;=-1E+307",$M$17:$M$219,"&lt;=1E+307")-1),2)))</x:f>
        <x:v>34.41</x:v>
      </x:c>
      <x:c r="R32" s="17" t="n">
        <x:f>IF(OR($G32&lt;&gt;"入池",NOT(ISNUMBER(P32))),"",IF(COUNTIFS($G$17:$G$219,"入池",$P$17:$P$219,"&gt;=-1E+307",$P$17:$P$219,"&lt;=1E+307")&lt;=1,100,ROUND(100*(COUNTIFS($G$17:$G$219,"入池",$P$17:$P$219,"&gt;=-1E+307",$P$17:$P$219,"&lt;"&amp;P32)+COUNTIFS($G$17:$G$219,"入池",$P$17:$P$219,P32,$P$17:$P$219,"&gt;=-1E+307",$P$17:$P$219,"&lt;=1E+307")/2-0.5)/(COUNTIFS($G$17:$G$219,"入池",$P$17:$P$219,"&gt;=-1E+307",$P$17:$P$219,"&lt;=1E+307")-1),2)))</x:f>
        <x:v>24.01</x:v>
      </x:c>
      <x:c r="S32" s="17" t="n">
        <x:f>IF(NOT(ISNUMBER(Q32)),"",IF(NOT(ISNUMBER(R32)),Q32,ROUND(Q32*'sheet1-指标体系'!$J$8+R32*'sheet1-指标体系'!$J$9,2)))</x:f>
        <x:v>30.25</x:v>
      </x:c>
      <x:c r="T32" s="35" t="n">
        <x:f>IF(ISNUMBER('sheet4-原始数据'!J17),'sheet4-原始数据'!J17,"")</x:f>
        <x:v>1</x:v>
      </x:c>
      <x:c r="U32" s="35" t="n">
        <x:f>IF(ISNUMBER('sheet4-原始数据'!I17),'sheet4-原始数据'!I17,"")</x:f>
        <x:v>0.9189</x:v>
      </x:c>
      <x:c r="V32" s="37" t="n">
        <x:f>IF(OR(NOT(ISNUMBER(T32)),NOT(ISNUMBER(U32))),"",(U32*'sheet1-指标体系'!$J$6-T32*'sheet1-指标体系'!$J$5)/'sheet1-指标体系'!$J$7)</x:f>
        <x:v>0.8749708333333336</x:v>
      </x:c>
      <x:c r="W32" s="17" t="n">
        <x:f>IF(NOT(ISNUMBER(T32)),"",T32*100)</x:f>
        <x:v>100</x:v>
      </x:c>
      <x:c r="X32" s="17" t="n">
        <x:f>IF($G32&lt;&gt;"入池","",IF(AND(ISNUMBER(V32),V32&gt;=0,V32&lt;=1),V32*100,IF(MAX(0,($F32-1)*12)&lt;6,100,"")))</x:f>
        <x:v>87.49708333333336</x:v>
      </x:c>
      <x:c r="Y32" s="17" t="n">
        <x:f>IF(NOT(ISNUMBER(W32)),"",IF(NOT(ISNUMBER(X32)),W32,ROUND(W32*'sheet1-指标体系'!$J$8+X32*'sheet1-指标体系'!$J$9,2)))</x:f>
        <x:v>95</x:v>
      </x:c>
      <x:c r="Z32" s="37" t="n">
        <x:f>IF(OR(NOT(ISNUMBER(M32)),NOT(ISNUMBER(AD32)),AD32=0),"",ABS(M32/AD32))</x:f>
        <x:v>0.0007932324745200161</x:v>
      </x:c>
      <x:c r="AA32" s="35" t="n">
        <x:f>IF(ISNUMBER('sheet4-原始数据'!K17),'sheet4-原始数据'!K17,"")</x:f>
        <x:v>0.0009</x:v>
      </x:c>
      <x:c r="AB32" s="37" t="n">
        <x:f>IF(COUNT(Z32:AA32)=0,"",MAX(Z32:AA32))</x:f>
        <x:v>0.0009</x:v>
      </x:c>
      <x:c r="AC32" s="17" t="n">
        <x:f>IF(OR($G32&lt;&gt;"入池",NOT(ISNUMBER(AB32))),"",IF(COUNTIFS($G$17:$G$219,"入池",$AB$17:$AB$219,"&gt;=-1E+307",$AB$17:$AB$219,"&lt;=1E+307")&lt;=1,100,ROUND(100*(COUNTIFS($G$17:$G$219,"入池",$AB$17:$AB$219,"&lt;=1E+307",$AB$17:$AB$219,"&gt;"&amp;AB32)+COUNTIFS($G$17:$G$219,"入池",$AB$17:$AB$219,AB32,$AB$17:$AB$219,"&gt;=-1E+307",$AB$17:$AB$219,"&lt;=1E+307")/2-0.5)/(COUNTIFS($G$17:$G$219,"入池",$AB$17:$AB$219,"&gt;=-1E+307",$AB$17:$AB$219,"&lt;=1E+307")-1),2)))</x:f>
        <x:v>99.5</x:v>
      </x:c>
      <x:c r="AD32" s="38" t="n">
        <x:f>IF(ISNUMBER('sheet4-原始数据'!M17),'sheet4-原始数据'!M17,"")</x:f>
        <x:v>38.3242</x:v>
      </x:c>
      <x:c r="AE32" s="37" t="n">
        <x:f>IF(OR(NOT(ISNUMBER(P32)),NOT(ISNUMBER(AA32)),NOT(ISNUMBER(Z32))),"",IF(AA32&gt;Z32+'sheet1-指标体系'!$J$11,AA32,""))</x:f>
        <x:v>0.0009</x:v>
      </x:c>
      <x:c r="AF32" s="17" t="n">
        <x:f>IF(OR(NOT(ISNUMBER(P32)),NOT(ISNUMBER(AE32)),AE32=0),"",P32/AE32)</x:f>
        <x:v>42.2882868775999</x:v>
      </x:c>
      <x:c r="AG32" s="17" t="n">
        <x:f>IF(OR($G32&lt;&gt;"入池",NOT(ISNUMBER(AD32))),"",IF(COUNTIFS($G$17:$G$219,"入池",$AD$17:$AD$219,"&gt;=-1E+307",$AD$17:$AD$219,"&lt;=1E+307")&lt;=1,100,ROUND(100*(COUNTIFS($G$17:$G$219,"入池",$AD$17:$AD$219,"&gt;=-1E+307",$AD$17:$AD$219,"&lt;"&amp;AD32)+COUNTIFS($G$17:$G$219,"入池",$AD$17:$AD$219,AD32,$AD$17:$AD$219,"&gt;=-1E+307",$AD$17:$AD$219,"&lt;=1E+307")/2-0.5)/(COUNTIFS($G$17:$G$219,"入池",$AD$17:$AD$219,"&gt;=-1E+307",$AD$17:$AD$219,"&lt;=1E+307")-1),2)))</x:f>
        <x:v>95.02</x:v>
      </x:c>
      <x:c r="AH32" s="17" t="n">
        <x:f>IF(OR($G32&lt;&gt;"入池",NOT(ISNUMBER(AF32))),"",IF(COUNTIFS($G$17:$G$219,"入池",$AF$17:$AF$219,"&gt;=-1E+307",$AF$17:$AF$219,"&lt;=1E+307")&lt;=1,100,ROUND(100*(COUNTIFS($G$17:$G$219,"入池",$AF$17:$AF$219,"&gt;=-1E+307",$AF$17:$AF$219,"&lt;"&amp;AF32)+COUNTIFS($G$17:$G$219,"入池",$AF$17:$AF$219,AF32,$AF$17:$AF$219,"&gt;=-1E+307",$AF$17:$AF$219,"&lt;=1E+307")/2-0.5)/(COUNTIFS($G$17:$G$219,"入池",$AF$17:$AF$219,"&gt;=-1E+307",$AF$17:$AF$219,"&lt;=1E+307")-1),2)))</x:f>
        <x:v>100</x:v>
      </x:c>
      <x:c r="AI32" s="17" t="n">
        <x:f>IF(NOT(ISNUMBER(AG32)),"",IF(NOT(ISNUMBER(AH32)),AG32,ROUND(AG32*'sheet1-指标体系'!$J$8+AH32*'sheet1-指标体系'!$J$9,2)))</x:f>
        <x:v>97.01</x:v>
      </x:c>
      <x:c r="AJ32" s="37" t="n">
        <x:f>IF(NOT(ISNUMBER(F32)),"",IF(F32&gt;=3,IF(NOT(ISNUMBER(N32)),"",N32),IF(NOT(ISNUMBER(O32)),"",O32)))</x:f>
        <x:v>0.0355</x:v>
      </x:c>
      <x:c r="AK32" s="17" t="n">
        <x:f>IF(OR(G32&lt;&gt;"入池",NOT(ISNUMBER(M32)),NOT(ISNUMBER(AJ32))),"",IF(M32&gt;=AJ32,100,IF(AJ32-M32&lt;'sheet1-指标体系'!$J$10,80,60)))</x:f>
        <x:v>80</x:v>
      </x:c>
      <x:c r="AL32" s="17" t="n">
        <x:f>IF(COUNT(I32,K32,L32)=0,"",ROUND((IF(ISNUMBER(I32),I32*40%,0)+IF(ISNUMBER(K32),K32*30%,0)+IF(ISNUMBER(L32),L32*30%,0))/(IF(ISNUMBER(I32),40%,0)+IF(ISNUMBER(K32),30%,0)+IF(ISNUMBER(L32),30%,0)),2))</x:f>
        <x:v>96</x:v>
      </x:c>
      <x:c r="AM32" s="17" t="n">
        <x:f>IF(COUNT(Q32,R32,W32,X32)=0,"",ROUND((IF(ISNUMBER(Q32),Q32*42%,0)+IF(ISNUMBER(R32),R32*28%,0)+IF(ISNUMBER(W32),W32*18%,0)+IF(ISNUMBER(X32),X32*12%,0))/(IF(ISNUMBER(Q32),42%,0)+IF(ISNUMBER(R32),28%,0)+IF(ISNUMBER(W32),18%,0)+IF(ISNUMBER(X32),12%,0)),2))</x:f>
        <x:v>49.67</x:v>
      </x:c>
      <x:c r="AN32" s="17" t="n">
        <x:f>IF(ISNUMBER(AC32),AC32,"")</x:f>
        <x:v>99.5</x:v>
      </x:c>
      <x:c r="AO32" s="17" t="n">
        <x:f>IF(COUNT(AG32,AH32)=0,"",ROUND((IF(ISNUMBER(AG32),AG32*60%,0)+IF(ISNUMBER(AH32),AH32*40%,0))/(IF(ISNUMBER(AG32),60%,0)+IF(ISNUMBER(AH32),40%,0)),2))</x:f>
        <x:v>97.01</x:v>
      </x:c>
      <x:c r="AP32" s="17" t="n">
        <x:f>IF(ISNUMBER(AK32),AK32,"")</x:f>
        <x:v>80</x:v>
      </x:c>
      <x:c r="AQ32" s="39" t="n">
        <x:f>IF(G32&lt;&gt;"入池",0,IF(ISNUMBER(I32),6%,0)+IF(ISNUMBER(K32),4.5%,0)+IF(ISNUMBER(L32),4.5%,0)+IF(ISNUMBER(Q32),8.4%,0)+IF(ISNUMBER(R32),5.6%,0)+IF(ISNUMBER(W32),3.6%,0)+IF(ISNUMBER(X32),2.4%,0)+IF(ISNUMBER(AC32),25%,0)+IF(ISNUMBER(AG32),18%,0)+IF(ISNUMBER(AH32),12%,0)+IF(ISNUMBER(AK32),10%,0))</x:f>
        <x:v>1</x:v>
      </x:c>
      <x:c r="AR32" s="17" t="n">
        <x:f>IF(AQ32=0,"",IF(ISNUMBER(I32),I32*6%,0)+IF(ISNUMBER(K32),K32*4.5%,0)+IF(ISNUMBER(L32),L32*4.5%,0)+IF(ISNUMBER(Q32),Q32*8.4%,0)+IF(ISNUMBER(R32),R32*5.6%,0)+IF(ISNUMBER(W32),W32*3.6%,0)+IF(ISNUMBER(X32),X32*2.4%,0)+IF(ISNUMBER(AC32),AC32*25%,0)+IF(ISNUMBER(AG32),AG32*18%,0)+IF(ISNUMBER(AH32),AH32*12%,0)+IF(ISNUMBER(AK32),AK32*10%,0))</x:f>
        <x:v>86.31353</x:v>
      </x:c>
      <x:c r="AS32" s="17" t="n">
        <x:f>IF(AQ32=0,"",ROUND(AR32/AQ32,2))</x:f>
        <x:v>86.31</x:v>
      </x:c>
      <x:c r="AT32" s="40" t="n">
        <x:f>IF(OR(G32&lt;&gt;"入池",NOT(ISNUMBER(AS32))),"",COUNTIFS($G$17:$G$219,"入池",$AS$17:$AS$219,"&gt;"&amp;AS32)+COUNTIFS($G$17:$G$219,"入池",$AS$17:$AS$219,AS32,$AQ$17:$AQ$219,"&gt;"&amp;AQ32)+COUNTIFS($G$17:G32,"入池",$AS$17:AS32,AS32,$AQ$17:AQ32,AQ32))</x:f>
        <x:v>14</x:v>
      </x:c>
      <x:c r="AU32" s="41" t="str">
        <x:f t="shared" si="2">IF(NOT(ISNUMBER(I32)),"管理人规模；","")&amp;IF(J32="","产品规模标识；","")&amp;IF(AND(F32&lt;3,NOT(ISNUMBER(O32))),"R_incep；","")&amp;IF(NOT(ISNUMBER(N32)),"近三年收益；","")&amp;IF(NOT(ISNUMBER(U32)),"近三年胜率；","")&amp;IF(AND(ISNUMBER(V32),OR(V32&lt;0,V32&gt;1)),"胜率窗口口径不一致；","")&amp;IF(NOT(ISNUMBER(AA32)),"近三年回撤；","")&amp;IF(NOT(ISNUMBER(AD32)),"短期卡玛；","")&amp;IF(AND(ISNUMBER(P32),NOT(ISNUMBER(AE32))),"DD_long不可识别；","")</x:f>
      </x:c>
      <x:c r="AV32" s="42" t="n">
        <x:v>50</x:v>
      </x:c>
      <x:c r="AW32" s="19" t="str">
        <x:v>青岛鹿秀投资管理有限公司</x:v>
      </x:c>
      <x:c r="AX32" s="19" t="str">
        <x:v>2025-01-10</x:v>
      </x:c>
      <x:c r="AY32" s="19" t="str">
        <x:v>https://gs.amac.org.cn/amac-infodisc/res/pof/manager/1612231708101923.html</x:v>
      </x:c>
      <x:c r="AZ32" s="19" t="str">
        <x:v>鹿秀统计套利1号私募证券基金</x:v>
      </x:c>
      <x:c r="BA32" s="19" t="str">
        <x:v>2026-07-14</x:v>
      </x:c>
      <x:c r="BB32" s="19"/>
      <x:c r="BC32" s="19" t="str">
        <x:v>https://gs.amac.org.cn/amac-infodisc/res/pof/fund/1912061240100295.html</x:v>
      </x:c>
      <x:c r="BD32" s="19" t="str">
        <x:v>已匹配</x:v>
      </x:c>
      <x:c r="BE32"/>
      <x:c r="BF32"/>
    </x:row>
    <x:row r="33" ht="28" customHeight="1">
      <x:c r="A33" s="4" t="n">
        <x:v>17</x:v>
      </x:c>
      <x:c r="B33" s="15" t="str">
        <x:f>'sheet4-原始数据'!A18</x:f>
        <x:v>唐龙量化对冲99号</x:v>
      </x:c>
      <x:c r="C33" s="15" t="str">
        <x:f>'sheet4-原始数据'!B18</x:f>
        <x:v>SJQ683</x:v>
      </x:c>
      <x:c r="D33" s="15" t="str">
        <x:f>'sheet4-原始数据'!E18</x:f>
        <x:v>福建平潭唐龙资管</x:v>
      </x:c>
      <x:c r="E33" s="32" t="n">
        <x:f>IF(ISNUMBER('sheet4-原始数据'!F18),'sheet4-原始数据'!F18,"")</x:f>
        <x:v>43885</x:v>
      </x:c>
      <x:c r="F33" s="17" t="n">
        <x:f>IF(NOT(ISNUMBER(E33)),"",ROUND(('sheet1-指标体系'!$J$23-E33)/365.25,4))</x:f>
        <x:v>6.5599</x:v>
      </x:c>
      <x:c r="G33" s="4" t="str">
        <x:f t="shared" si="1">IF(NOT(ISNUMBER(F33)),"",IF(F33&lt;1,"不入池","入池"))</x:f>
        <x:v>入池</x:v>
      </x:c>
      <x:c r="H33" s="33" t="str">
        <x:v>5-10亿元</x:v>
      </x:c>
      <x:c r="I33" s="17" t="n">
        <x:f>IF(H33="","",IF(ISNUMBER(SEARCH("100亿元以上",H33)),100,IF(OR(ISNUMBER(SEARCH("20-50",H33)),ISNUMBER(SEARCH("50-100",H33)),ISNUMBER(SEARCH("20-100",H33))),90,IF(ISNUMBER(SEARCH("10-20",H33)),80,IF(ISNUMBER(SEARCH("5-10",H33)),70,IF(ISNUMBER(SEARCH("0-5",H33)),60,""))))))</x:f>
        <x:v>70</x:v>
      </x:c>
      <x:c r="J33" s="34" t="str">
        <x:v>无低于1000万元标识</x:v>
      </x:c>
      <x:c r="K33" s="17" t="n">
        <x:f>IF(J33="","",IF(J33="低于1000万元",0,100))</x:f>
        <x:v>100</x:v>
      </x:c>
      <x:c r="L33" s="17" t="n">
        <x:f>IF(NOT(ISNUMBER(F33)),"",IF(F33&lt;1,"",IF(F33&lt;3,70,100)))</x:f>
        <x:v>100</x:v>
      </x:c>
      <x:c r="M33" s="35" t="n">
        <x:f>IF(ISNUMBER('sheet4-原始数据'!G18),'sheet4-原始数据'!G18,"")</x:f>
        <x:v>0.0177</x:v>
      </x:c>
      <x:c r="N33" s="35" t="n">
        <x:f>IF(ISNUMBER('sheet4-原始数据'!H18),'sheet4-原始数据'!H18,"")</x:f>
        <x:v>0.0434</x:v>
      </x:c>
      <x:c r="O33" s="36" t="str">
        <x:f>IF(ISNUMBER('sheet4-原始数据'!Q18),'sheet4-原始数据'!Q18,"")</x:f>
      </x:c>
      <x:c r="P33" s="37" t="n">
        <x:f>IF($G33&lt;&gt;"入池","",IF($F33&gt;=3,IF(OR(NOT(ISNUMBER($M33)),NOT(ISNUMBER($N33)),1+$M33&lt;=0,1+$N33&lt;0),"",((1+$N33)^3/(1+$M33))^(1/2)-1),IF(OR($F33&lt;=1,NOT(ISNUMBER($M33)),NOT(ISNUMBER($O33)),1+$M33&lt;=0,1+$O33&lt;0),"",((1+$O33)^$F33/(1+$M33))^(1/($F33-1))-1)))</x:f>
        <x:v>0.05649236124459667</x:v>
      </x:c>
      <x:c r="Q33" s="17" t="n">
        <x:f>IF(OR($G33&lt;&gt;"入池",NOT(ISNUMBER(M33))),"",IF(COUNTIFS($G$17:$G$219,"入池",$M$17:$M$219,"&gt;=-1E+307",$M$17:$M$219,"&lt;=1E+307")&lt;=1,100,ROUND(100*(COUNTIFS($G$17:$G$219,"入池",$M$17:$M$219,"&gt;=-1E+307",$M$17:$M$219,"&lt;"&amp;M33)+COUNTIFS($G$17:$G$219,"入池",$M$17:$M$219,M33,$M$17:$M$219,"&gt;=-1E+307",$M$17:$M$219,"&lt;=1E+307")/2-0.5)/(COUNTIFS($G$17:$G$219,"入池",$M$17:$M$219,"&gt;=-1E+307",$M$17:$M$219,"&lt;=1E+307")-1),2)))</x:f>
        <x:v>25.74</x:v>
      </x:c>
      <x:c r="R33" s="17" t="n">
        <x:f>IF(OR($G33&lt;&gt;"入池",NOT(ISNUMBER(P33))),"",IF(COUNTIFS($G$17:$G$219,"入池",$P$17:$P$219,"&gt;=-1E+307",$P$17:$P$219,"&lt;=1E+307")&lt;=1,100,ROUND(100*(COUNTIFS($G$17:$G$219,"入池",$P$17:$P$219,"&gt;=-1E+307",$P$17:$P$219,"&lt;"&amp;P33)+COUNTIFS($G$17:$G$219,"入池",$P$17:$P$219,P33,$P$17:$P$219,"&gt;=-1E+307",$P$17:$P$219,"&lt;=1E+307")/2-0.5)/(COUNTIFS($G$17:$G$219,"入池",$P$17:$P$219,"&gt;=-1E+307",$P$17:$P$219,"&lt;=1E+307")-1),2)))</x:f>
        <x:v>44.55</x:v>
      </x:c>
      <x:c r="S33" s="17" t="n">
        <x:f>IF(NOT(ISNUMBER(Q33)),"",IF(NOT(ISNUMBER(R33)),Q33,ROUND(Q33*'sheet1-指标体系'!$J$8+R33*'sheet1-指标体系'!$J$9,2)))</x:f>
        <x:v>33.26</x:v>
      </x:c>
      <x:c r="T33" s="35" t="n">
        <x:f>IF(ISNUMBER('sheet4-原始数据'!J18),'sheet4-原始数据'!J18,"")</x:f>
        <x:v>0.6154</x:v>
      </x:c>
      <x:c r="U33" s="35" t="n">
        <x:f>IF(ISNUMBER('sheet4-原始数据'!I18),'sheet4-原始数据'!I18,"")</x:f>
        <x:v>0.6757</x:v>
      </x:c>
      <x:c r="V33" s="37" t="n">
        <x:f>IF(OR(NOT(ISNUMBER(T33)),NOT(ISNUMBER(U33))),"",(U33*'sheet1-指标体系'!$J$6-T33*'sheet1-指标体系'!$J$5)/'sheet1-指标体系'!$J$7)</x:f>
        <x:v>0.7083624999999999</x:v>
      </x:c>
      <x:c r="W33" s="17" t="n">
        <x:f>IF(NOT(ISNUMBER(T33)),"",T33*100)</x:f>
        <x:v>61.53999999999999</x:v>
      </x:c>
      <x:c r="X33" s="17" t="n">
        <x:f>IF($G33&lt;&gt;"入池","",IF(AND(ISNUMBER(V33),V33&gt;=0,V33&lt;=1),V33*100,IF(MAX(0,($F33-1)*12)&lt;6,100,"")))</x:f>
        <x:v>70.83624999999999</x:v>
      </x:c>
      <x:c r="Y33" s="17" t="n">
        <x:f>IF(NOT(ISNUMBER(W33)),"",IF(NOT(ISNUMBER(X33)),W33,ROUND(W33*'sheet1-指标体系'!$J$8+X33*'sheet1-指标体系'!$J$9,2)))</x:f>
        <x:v>65.26</x:v>
      </x:c>
      <x:c r="Z33" s="37" t="n">
        <x:f>IF(OR(NOT(ISNUMBER(M33)),NOT(ISNUMBER(AD33)),AD33=0),"",ABS(M33/AD33))</x:f>
        <x:v>0.0033091534549805567</x:v>
      </x:c>
      <x:c r="AA33" s="35" t="n">
        <x:f>IF(ISNUMBER('sheet4-原始数据'!K18),'sheet4-原始数据'!K18,"")</x:f>
        <x:v>0.1407</x:v>
      </x:c>
      <x:c r="AB33" s="37" t="n">
        <x:f>IF(COUNT(Z33:AA33)=0,"",MAX(Z33:AA33))</x:f>
        <x:v>0.1407</x:v>
      </x:c>
      <x:c r="AC33" s="17" t="n">
        <x:f>IF(OR($G33&lt;&gt;"入池",NOT(ISNUMBER(AB33))),"",IF(COUNTIFS($G$17:$G$219,"入池",$AB$17:$AB$219,"&gt;=-1E+307",$AB$17:$AB$219,"&lt;=1E+307")&lt;=1,100,ROUND(100*(COUNTIFS($G$17:$G$219,"入池",$AB$17:$AB$219,"&lt;=1E+307",$AB$17:$AB$219,"&gt;"&amp;AB33)+COUNTIFS($G$17:$G$219,"入池",$AB$17:$AB$219,AB33,$AB$17:$AB$219,"&gt;=-1E+307",$AB$17:$AB$219,"&lt;=1E+307")/2-0.5)/(COUNTIFS($G$17:$G$219,"入池",$AB$17:$AB$219,"&gt;=-1E+307",$AB$17:$AB$219,"&lt;=1E+307")-1),2)))</x:f>
        <x:v>14.36</x:v>
      </x:c>
      <x:c r="AD33" s="38" t="n">
        <x:f>IF(ISNUMBER('sheet4-原始数据'!M18),'sheet4-原始数据'!M18,"")</x:f>
        <x:v>5.3488</x:v>
      </x:c>
      <x:c r="AE33" s="37" t="n">
        <x:f>IF(OR(NOT(ISNUMBER(P33)),NOT(ISNUMBER(AA33)),NOT(ISNUMBER(Z33))),"",IF(AA33&gt;Z33+'sheet1-指标体系'!$J$11,AA33,""))</x:f>
        <x:v>0.1407</x:v>
      </x:c>
      <x:c r="AF33" s="17" t="n">
        <x:f>IF(OR(NOT(ISNUMBER(P33)),NOT(ISNUMBER(AE33)),AE33=0),"",P33/AE33)</x:f>
        <x:v>0.4015093194356551</x:v>
      </x:c>
      <x:c r="AG33" s="17" t="n">
        <x:f>IF(OR($G33&lt;&gt;"入池",NOT(ISNUMBER(AD33))),"",IF(COUNTIFS($G$17:$G$219,"入池",$AD$17:$AD$219,"&gt;=-1E+307",$AD$17:$AD$219,"&lt;=1E+307")&lt;=1,100,ROUND(100*(COUNTIFS($G$17:$G$219,"入池",$AD$17:$AD$219,"&gt;=-1E+307",$AD$17:$AD$219,"&lt;"&amp;AD33)+COUNTIFS($G$17:$G$219,"入池",$AD$17:$AD$219,AD33,$AD$17:$AD$219,"&gt;=-1E+307",$AD$17:$AD$219,"&lt;=1E+307")/2-0.5)/(COUNTIFS($G$17:$G$219,"入池",$AD$17:$AD$219,"&gt;=-1E+307",$AD$17:$AD$219,"&lt;=1E+307")-1),2)))</x:f>
        <x:v>64.68</x:v>
      </x:c>
      <x:c r="AH33" s="17" t="n">
        <x:f>IF(OR($G33&lt;&gt;"入池",NOT(ISNUMBER(AF33))),"",IF(COUNTIFS($G$17:$G$219,"入池",$AF$17:$AF$219,"&gt;=-1E+307",$AF$17:$AF$219,"&lt;=1E+307")&lt;=1,100,ROUND(100*(COUNTIFS($G$17:$G$219,"入池",$AF$17:$AF$219,"&gt;=-1E+307",$AF$17:$AF$219,"&lt;"&amp;AF33)+COUNTIFS($G$17:$G$219,"入池",$AF$17:$AF$219,AF33,$AF$17:$AF$219,"&gt;=-1E+307",$AF$17:$AF$219,"&lt;=1E+307")/2-0.5)/(COUNTIFS($G$17:$G$219,"入池",$AF$17:$AF$219,"&gt;=-1E+307",$AF$17:$AF$219,"&lt;=1E+307")-1),2)))</x:f>
        <x:v>16.79</x:v>
      </x:c>
      <x:c r="AI33" s="17" t="n">
        <x:f>IF(NOT(ISNUMBER(AG33)),"",IF(NOT(ISNUMBER(AH33)),AG33,ROUND(AG33*'sheet1-指标体系'!$J$8+AH33*'sheet1-指标体系'!$J$9,2)))</x:f>
        <x:v>45.52</x:v>
      </x:c>
      <x:c r="AJ33" s="37" t="n">
        <x:f>IF(NOT(ISNUMBER(F33)),"",IF(F33&gt;=3,IF(NOT(ISNUMBER(N33)),"",N33),IF(NOT(ISNUMBER(O33)),"",O33)))</x:f>
        <x:v>0.0434</x:v>
      </x:c>
      <x:c r="AK33" s="17" t="n">
        <x:f>IF(OR(G33&lt;&gt;"入池",NOT(ISNUMBER(M33)),NOT(ISNUMBER(AJ33))),"",IF(M33&gt;=AJ33,100,IF(AJ33-M33&lt;'sheet1-指标体系'!$J$10,80,60)))</x:f>
        <x:v>80</x:v>
      </x:c>
      <x:c r="AL33" s="17" t="n">
        <x:f>IF(COUNT(I33,K33,L33)=0,"",ROUND((IF(ISNUMBER(I33),I33*40%,0)+IF(ISNUMBER(K33),K33*30%,0)+IF(ISNUMBER(L33),L33*30%,0))/(IF(ISNUMBER(I33),40%,0)+IF(ISNUMBER(K33),30%,0)+IF(ISNUMBER(L33),30%,0)),2))</x:f>
        <x:v>88</x:v>
      </x:c>
      <x:c r="AM33" s="17" t="n">
        <x:f>IF(COUNT(Q33,R33,W33,X33)=0,"",ROUND((IF(ISNUMBER(Q33),Q33*42%,0)+IF(ISNUMBER(R33),R33*28%,0)+IF(ISNUMBER(W33),W33*18%,0)+IF(ISNUMBER(X33),X33*12%,0))/(IF(ISNUMBER(Q33),42%,0)+IF(ISNUMBER(R33),28%,0)+IF(ISNUMBER(W33),18%,0)+IF(ISNUMBER(X33),12%,0)),2))</x:f>
        <x:v>42.86</x:v>
      </x:c>
      <x:c r="AN33" s="17" t="n">
        <x:f>IF(ISNUMBER(AC33),AC33,"")</x:f>
        <x:v>14.36</x:v>
      </x:c>
      <x:c r="AO33" s="17" t="n">
        <x:f>IF(COUNT(AG33,AH33)=0,"",ROUND((IF(ISNUMBER(AG33),AG33*60%,0)+IF(ISNUMBER(AH33),AH33*40%,0))/(IF(ISNUMBER(AG33),60%,0)+IF(ISNUMBER(AH33),40%,0)),2))</x:f>
        <x:v>45.52</x:v>
      </x:c>
      <x:c r="AP33" s="17" t="n">
        <x:f>IF(ISNUMBER(AK33),AK33,"")</x:f>
        <x:v>80</x:v>
      </x:c>
      <x:c r="AQ33" s="39" t="n">
        <x:f>IF(G33&lt;&gt;"入池",0,IF(ISNUMBER(I33),6%,0)+IF(ISNUMBER(K33),4.5%,0)+IF(ISNUMBER(L33),4.5%,0)+IF(ISNUMBER(Q33),8.4%,0)+IF(ISNUMBER(R33),5.6%,0)+IF(ISNUMBER(W33),3.6%,0)+IF(ISNUMBER(X33),2.4%,0)+IF(ISNUMBER(AC33),25%,0)+IF(ISNUMBER(AG33),18%,0)+IF(ISNUMBER(AH33),12%,0)+IF(ISNUMBER(AK33),10%,0))</x:f>
        <x:v>1</x:v>
      </x:c>
      <x:c r="AR33" s="17" t="n">
        <x:f>IF(AQ33=0,"",IF(ISNUMBER(I33),I33*6%,0)+IF(ISNUMBER(K33),K33*4.5%,0)+IF(ISNUMBER(L33),L33*4.5%,0)+IF(ISNUMBER(Q33),Q33*8.4%,0)+IF(ISNUMBER(R33),R33*5.6%,0)+IF(ISNUMBER(W33),W33*3.6%,0)+IF(ISNUMBER(X33),X33*2.4%,0)+IF(ISNUMBER(AC33),AC33*25%,0)+IF(ISNUMBER(AG33),AG33*18%,0)+IF(ISNUMBER(AH33),AH33*12%,0)+IF(ISNUMBER(AK33),AK33*10%,0))</x:f>
        <x:v>47.019670000000005</x:v>
      </x:c>
      <x:c r="AS33" s="17" t="n">
        <x:f>IF(AQ33=0,"",ROUND(AR33/AQ33,2))</x:f>
        <x:v>47.02</x:v>
      </x:c>
      <x:c r="AT33" s="40" t="n">
        <x:f>IF(OR(G33&lt;&gt;"入池",NOT(ISNUMBER(AS33))),"",COUNTIFS($G$17:$G$219,"入池",$AS$17:$AS$219,"&gt;"&amp;AS33)+COUNTIFS($G$17:$G$219,"入池",$AS$17:$AS$219,AS33,$AQ$17:$AQ$219,"&gt;"&amp;AQ33)+COUNTIFS($G$17:G33,"入池",$AS$17:AS33,AS33,$AQ$17:AQ33,AQ33))</x:f>
        <x:v>154</x:v>
      </x:c>
      <x:c r="AU33" s="41" t="str">
        <x:f t="shared" si="2">IF(NOT(ISNUMBER(I33)),"管理人规模；","")&amp;IF(J33="","产品规模标识；","")&amp;IF(AND(F33&lt;3,NOT(ISNUMBER(O33))),"R_incep；","")&amp;IF(NOT(ISNUMBER(N33)),"近三年收益；","")&amp;IF(NOT(ISNUMBER(U33)),"近三年胜率；","")&amp;IF(AND(ISNUMBER(V33),OR(V33&lt;0,V33&gt;1)),"胜率窗口口径不一致；","")&amp;IF(NOT(ISNUMBER(AA33)),"近三年回撤；","")&amp;IF(NOT(ISNUMBER(AD33)),"短期卡玛；","")&amp;IF(AND(ISNUMBER(P33),NOT(ISNUMBER(AE33))),"DD_long不可识别；","")</x:f>
      </x:c>
      <x:c r="AV33" s="42" t="n">
        <x:v>5</x:v>
      </x:c>
      <x:c r="AW33" s="19" t="str">
        <x:v>福建平潭唐龙资产管理有限公司</x:v>
      </x:c>
      <x:c r="AX33" s="19" t="str">
        <x:v>2026-03-31</x:v>
      </x:c>
      <x:c r="AY33" s="19" t="str">
        <x:v>https://gs.amac.org.cn/amac-infodisc/res/pof/manager/1708091719102142.html</x:v>
      </x:c>
      <x:c r="AZ33" s="19" t="str">
        <x:v>唐龙量化对冲99号私募证券投资基金</x:v>
      </x:c>
      <x:c r="BA33" s="19" t="str">
        <x:v>2023-11-29</x:v>
      </x:c>
      <x:c r="BB33" s="19"/>
      <x:c r="BC33" s="19" t="str">
        <x:v>https://gs.amac.org.cn/amac-infodisc/res/pof/fund/2002251051107073.html</x:v>
      </x:c>
      <x:c r="BD33" s="19" t="str">
        <x:v>已匹配</x:v>
      </x:c>
      <x:c r="BE33"/>
      <x:c r="BF33"/>
    </x:row>
    <x:row r="34" ht="28" customHeight="1">
      <x:c r="A34" s="4" t="n">
        <x:v>18</x:v>
      </x:c>
      <x:c r="B34" s="15" t="str">
        <x:f>'sheet4-原始数据'!A19</x:f>
        <x:v>凡德量化八号</x:v>
      </x:c>
      <x:c r="C34" s="15" t="str">
        <x:f>'sheet4-原始数据'!B19</x:f>
        <x:v>SJS811</x:v>
      </x:c>
      <x:c r="D34" s="15" t="str">
        <x:f>'sheet4-原始数据'!E19</x:f>
        <x:v>广东凡德投资</x:v>
      </x:c>
      <x:c r="E34" s="32" t="n">
        <x:f>IF(ISNUMBER('sheet4-原始数据'!F19),'sheet4-原始数据'!F19,"")</x:f>
        <x:v>43892</x:v>
      </x:c>
      <x:c r="F34" s="17" t="n">
        <x:f>IF(NOT(ISNUMBER(E34)),"",ROUND(('sheet1-指标体系'!$J$23-E34)/365.25,4))</x:f>
        <x:v>6.5407</x:v>
      </x:c>
      <x:c r="G34" s="4" t="str">
        <x:f t="shared" si="1">IF(NOT(ISNUMBER(F34)),"",IF(F34&lt;1,"不入池","入池"))</x:f>
        <x:v>入池</x:v>
      </x:c>
      <x:c r="H34" s="33" t="str">
        <x:v>5-10亿元</x:v>
      </x:c>
      <x:c r="I34" s="17" t="n">
        <x:f>IF(H34="","",IF(ISNUMBER(SEARCH("100亿元以上",H34)),100,IF(OR(ISNUMBER(SEARCH("20-50",H34)),ISNUMBER(SEARCH("50-100",H34)),ISNUMBER(SEARCH("20-100",H34))),90,IF(ISNUMBER(SEARCH("10-20",H34)),80,IF(ISNUMBER(SEARCH("5-10",H34)),70,IF(ISNUMBER(SEARCH("0-5",H34)),60,""))))))</x:f>
        <x:v>70</x:v>
      </x:c>
      <x:c r="J34" s="34" t="str">
        <x:v>无低于1000万元标识</x:v>
      </x:c>
      <x:c r="K34" s="17" t="n">
        <x:f>IF(J34="","",IF(J34="低于1000万元",0,100))</x:f>
        <x:v>100</x:v>
      </x:c>
      <x:c r="L34" s="17" t="n">
        <x:f>IF(NOT(ISNUMBER(F34)),"",IF(F34&lt;1,"",IF(F34&lt;3,70,100)))</x:f>
        <x:v>100</x:v>
      </x:c>
      <x:c r="M34" s="35" t="n">
        <x:f>IF(ISNUMBER('sheet4-原始数据'!G19),'sheet4-原始数据'!G19,"")</x:f>
        <x:v>-0.013600000000000001</x:v>
      </x:c>
      <x:c r="N34" s="35" t="n">
        <x:f>IF(ISNUMBER('sheet4-原始数据'!H19),'sheet4-原始数据'!H19,"")</x:f>
        <x:v>0.0421</x:v>
      </x:c>
      <x:c r="O34" s="36" t="str">
        <x:f>IF(ISNUMBER('sheet4-原始数据'!Q19),'sheet4-原始数据'!Q19,"")</x:f>
      </x:c>
      <x:c r="P34" s="37" t="n">
        <x:f>IF($G34&lt;&gt;"入池","",IF($F34&gt;=3,IF(OR(NOT(ISNUMBER($M34)),NOT(ISNUMBER($N34)),1+$M34&lt;=0,1+$N34&lt;0),"",((1+$N34)^3/(1+$M34))^(1/2)-1),IF(OR($F34&lt;=1,NOT(ISNUMBER($M34)),NOT(ISNUMBER($O34)),1+$M34&lt;=0,1+$O34&lt;0),"",((1+$O34)^$F34/(1+$M34))^(1/($F34-1))-1)))</x:f>
        <x:v>0.07111860281418281</x:v>
      </x:c>
      <x:c r="Q34" s="17" t="n">
        <x:f>IF(OR($G34&lt;&gt;"入池",NOT(ISNUMBER(M34))),"",IF(COUNTIFS($G$17:$G$219,"入池",$M$17:$M$219,"&gt;=-1E+307",$M$17:$M$219,"&lt;=1E+307")&lt;=1,100,ROUND(100*(COUNTIFS($G$17:$G$219,"入池",$M$17:$M$219,"&gt;=-1E+307",$M$17:$M$219,"&lt;"&amp;M34)+COUNTIFS($G$17:$G$219,"入池",$M$17:$M$219,M34,$M$17:$M$219,"&gt;=-1E+307",$M$17:$M$219,"&lt;=1E+307")/2-0.5)/(COUNTIFS($G$17:$G$219,"入池",$M$17:$M$219,"&gt;=-1E+307",$M$17:$M$219,"&lt;=1E+307")-1),2)))</x:f>
        <x:v>15.59</x:v>
      </x:c>
      <x:c r="R34" s="17" t="n">
        <x:f>IF(OR($G34&lt;&gt;"入池",NOT(ISNUMBER(P34))),"",IF(COUNTIFS($G$17:$G$219,"入池",$P$17:$P$219,"&gt;=-1E+307",$P$17:$P$219,"&lt;=1E+307")&lt;=1,100,ROUND(100*(COUNTIFS($G$17:$G$219,"入池",$P$17:$P$219,"&gt;=-1E+307",$P$17:$P$219,"&lt;"&amp;P34)+COUNTIFS($G$17:$G$219,"入池",$P$17:$P$219,P34,$P$17:$P$219,"&gt;=-1E+307",$P$17:$P$219,"&lt;=1E+307")/2-0.5)/(COUNTIFS($G$17:$G$219,"入池",$P$17:$P$219,"&gt;=-1E+307",$P$17:$P$219,"&lt;=1E+307")-1),2)))</x:f>
        <x:v>57.43</x:v>
      </x:c>
      <x:c r="S34" s="17" t="n">
        <x:f>IF(NOT(ISNUMBER(Q34)),"",IF(NOT(ISNUMBER(R34)),Q34,ROUND(Q34*'sheet1-指标体系'!$J$8+R34*'sheet1-指标体系'!$J$9,2)))</x:f>
        <x:v>32.33</x:v>
      </x:c>
      <x:c r="T34" s="35" t="n">
        <x:f>IF(ISNUMBER('sheet4-原始数据'!J19),'sheet4-原始数据'!J19,"")</x:f>
        <x:v>0.5385</x:v>
      </x:c>
      <x:c r="U34" s="35" t="n">
        <x:f>IF(ISNUMBER('sheet4-原始数据'!I19),'sheet4-原始数据'!I19,"")</x:f>
        <x:v>0.5676</x:v>
      </x:c>
      <x:c r="V34" s="37" t="n">
        <x:f>IF(OR(NOT(ISNUMBER(T34)),NOT(ISNUMBER(U34))),"",(U34*'sheet1-指标体系'!$J$6-T34*'sheet1-指标体系'!$J$5)/'sheet1-指标体系'!$J$7)</x:f>
        <x:v>0.5833625000000001</x:v>
      </x:c>
      <x:c r="W34" s="17" t="n">
        <x:f>IF(NOT(ISNUMBER(T34)),"",T34*100)</x:f>
        <x:v>53.849999999999994</x:v>
      </x:c>
      <x:c r="X34" s="17" t="n">
        <x:f>IF($G34&lt;&gt;"入池","",IF(AND(ISNUMBER(V34),V34&gt;=0,V34&lt;=1),V34*100,IF(MAX(0,($F34-1)*12)&lt;6,100,"")))</x:f>
        <x:v>58.336250000000014</x:v>
      </x:c>
      <x:c r="Y34" s="17" t="n">
        <x:f>IF(NOT(ISNUMBER(W34)),"",IF(NOT(ISNUMBER(X34)),W34,ROUND(W34*'sheet1-指标体系'!$J$8+X34*'sheet1-指标体系'!$J$9,2)))</x:f>
        <x:v>55.64</x:v>
      </x:c>
      <x:c r="Z34" s="37" t="n">
        <x:f>IF(OR(NOT(ISNUMBER(M34)),NOT(ISNUMBER(AD34)),AD34=0),"",ABS(M34/AD34))</x:f>
        <x:v>0.12263300270513977</x:v>
      </x:c>
      <x:c r="AA34" s="35" t="n">
        <x:f>IF(ISNUMBER('sheet4-原始数据'!K19),'sheet4-原始数据'!K19,"")</x:f>
        <x:v>0.1226</x:v>
      </x:c>
      <x:c r="AB34" s="37" t="n">
        <x:f>IF(COUNT(Z34:AA34)=0,"",MAX(Z34:AA34))</x:f>
        <x:v>0.12263300270513977</x:v>
      </x:c>
      <x:c r="AC34" s="17" t="n">
        <x:f>IF(OR($G34&lt;&gt;"入池",NOT(ISNUMBER(AB34))),"",IF(COUNTIFS($G$17:$G$219,"入池",$AB$17:$AB$219,"&gt;=-1E+307",$AB$17:$AB$219,"&lt;=1E+307")&lt;=1,100,ROUND(100*(COUNTIFS($G$17:$G$219,"入池",$AB$17:$AB$219,"&lt;=1E+307",$AB$17:$AB$219,"&gt;"&amp;AB34)+COUNTIFS($G$17:$G$219,"入池",$AB$17:$AB$219,AB34,$AB$17:$AB$219,"&gt;=-1E+307",$AB$17:$AB$219,"&lt;=1E+307")/2-0.5)/(COUNTIFS($G$17:$G$219,"入池",$AB$17:$AB$219,"&gt;=-1E+307",$AB$17:$AB$219,"&lt;=1E+307")-1),2)))</x:f>
        <x:v>19.31</x:v>
      </x:c>
      <x:c r="AD34" s="38" t="n">
        <x:f>IF(ISNUMBER('sheet4-原始数据'!M19),'sheet4-原始数据'!M19,"")</x:f>
        <x:v>-0.1109</x:v>
      </x:c>
      <x:c r="AE34" s="37" t="str">
        <x:f>IF(OR(NOT(ISNUMBER(P34)),NOT(ISNUMBER(AA34)),NOT(ISNUMBER(Z34))),"",IF(AA34&gt;Z34+'sheet1-指标体系'!$J$11,AA34,""))</x:f>
      </x:c>
      <x:c r="AF34" s="17" t="str">
        <x:f>IF(OR(NOT(ISNUMBER(P34)),NOT(ISNUMBER(AE34)),AE34=0),"",P34/AE34)</x:f>
      </x:c>
      <x:c r="AG34" s="17" t="n">
        <x:f>IF(OR($G34&lt;&gt;"入池",NOT(ISNUMBER(AD34))),"",IF(COUNTIFS($G$17:$G$219,"入池",$AD$17:$AD$219,"&gt;=-1E+307",$AD$17:$AD$219,"&lt;=1E+307")&lt;=1,100,ROUND(100*(COUNTIFS($G$17:$G$219,"入池",$AD$17:$AD$219,"&gt;=-1E+307",$AD$17:$AD$219,"&lt;"&amp;AD34)+COUNTIFS($G$17:$G$219,"入池",$AD$17:$AD$219,AD34,$AD$17:$AD$219,"&gt;=-1E+307",$AD$17:$AD$219,"&lt;=1E+307")/2-0.5)/(COUNTIFS($G$17:$G$219,"入池",$AD$17:$AD$219,"&gt;=-1E+307",$AD$17:$AD$219,"&lt;=1E+307")-1),2)))</x:f>
        <x:v>15.92</x:v>
      </x:c>
      <x:c r="AH34" s="17" t="str">
        <x:f>IF(OR($G34&lt;&gt;"入池",NOT(ISNUMBER(AF34))),"",IF(COUNTIFS($G$17:$G$219,"入池",$AF$17:$AF$219,"&gt;=-1E+307",$AF$17:$AF$219,"&lt;=1E+307")&lt;=1,100,ROUND(100*(COUNTIFS($G$17:$G$219,"入池",$AF$17:$AF$219,"&gt;=-1E+307",$AF$17:$AF$219,"&lt;"&amp;AF34)+COUNTIFS($G$17:$G$219,"入池",$AF$17:$AF$219,AF34,$AF$17:$AF$219,"&gt;=-1E+307",$AF$17:$AF$219,"&lt;=1E+307")/2-0.5)/(COUNTIFS($G$17:$G$219,"入池",$AF$17:$AF$219,"&gt;=-1E+307",$AF$17:$AF$219,"&lt;=1E+307")-1),2)))</x:f>
      </x:c>
      <x:c r="AI34" s="17" t="n">
        <x:f>IF(NOT(ISNUMBER(AG34)),"",IF(NOT(ISNUMBER(AH34)),AG34,ROUND(AG34*'sheet1-指标体系'!$J$8+AH34*'sheet1-指标体系'!$J$9,2)))</x:f>
        <x:v>15.92</x:v>
      </x:c>
      <x:c r="AJ34" s="37" t="n">
        <x:f>IF(NOT(ISNUMBER(F34)),"",IF(F34&gt;=3,IF(NOT(ISNUMBER(N34)),"",N34),IF(NOT(ISNUMBER(O34)),"",O34)))</x:f>
        <x:v>0.0421</x:v>
      </x:c>
      <x:c r="AK34" s="17" t="n">
        <x:f>IF(OR(G34&lt;&gt;"入池",NOT(ISNUMBER(M34)),NOT(ISNUMBER(AJ34))),"",IF(M34&gt;=AJ34,100,IF(AJ34-M34&lt;'sheet1-指标体系'!$J$10,80,60)))</x:f>
        <x:v>80</x:v>
      </x:c>
      <x:c r="AL34" s="17" t="n">
        <x:f>IF(COUNT(I34,K34,L34)=0,"",ROUND((IF(ISNUMBER(I34),I34*40%,0)+IF(ISNUMBER(K34),K34*30%,0)+IF(ISNUMBER(L34),L34*30%,0))/(IF(ISNUMBER(I34),40%,0)+IF(ISNUMBER(K34),30%,0)+IF(ISNUMBER(L34),30%,0)),2))</x:f>
        <x:v>88</x:v>
      </x:c>
      <x:c r="AM34" s="17" t="n">
        <x:f>IF(COUNT(Q34,R34,W34,X34)=0,"",ROUND((IF(ISNUMBER(Q34),Q34*42%,0)+IF(ISNUMBER(R34),R34*28%,0)+IF(ISNUMBER(W34),W34*18%,0)+IF(ISNUMBER(X34),X34*12%,0))/(IF(ISNUMBER(Q34),42%,0)+IF(ISNUMBER(R34),28%,0)+IF(ISNUMBER(W34),18%,0)+IF(ISNUMBER(X34),12%,0)),2))</x:f>
        <x:v>39.32</x:v>
      </x:c>
      <x:c r="AN34" s="17" t="n">
        <x:f>IF(ISNUMBER(AC34),AC34,"")</x:f>
        <x:v>19.31</x:v>
      </x:c>
      <x:c r="AO34" s="17" t="n">
        <x:f>IF(COUNT(AG34,AH34)=0,"",ROUND((IF(ISNUMBER(AG34),AG34*60%,0)+IF(ISNUMBER(AH34),AH34*40%,0))/(IF(ISNUMBER(AG34),60%,0)+IF(ISNUMBER(AH34),40%,0)),2))</x:f>
        <x:v>15.92</x:v>
      </x:c>
      <x:c r="AP34" s="17" t="n">
        <x:f>IF(ISNUMBER(AK34),AK34,"")</x:f>
        <x:v>80</x:v>
      </x:c>
      <x:c r="AQ34" s="39" t="n">
        <x:f>IF(G34&lt;&gt;"入池",0,IF(ISNUMBER(I34),6%,0)+IF(ISNUMBER(K34),4.5%,0)+IF(ISNUMBER(L34),4.5%,0)+IF(ISNUMBER(Q34),8.4%,0)+IF(ISNUMBER(R34),5.6%,0)+IF(ISNUMBER(W34),3.6%,0)+IF(ISNUMBER(X34),2.4%,0)+IF(ISNUMBER(AC34),25%,0)+IF(ISNUMBER(AG34),18%,0)+IF(ISNUMBER(AH34),12%,0)+IF(ISNUMBER(AK34),10%,0))</x:f>
        <x:v>0.88</x:v>
      </x:c>
      <x:c r="AR34" s="17" t="n">
        <x:f>IF(AQ34=0,"",IF(ISNUMBER(I34),I34*6%,0)+IF(ISNUMBER(K34),K34*4.5%,0)+IF(ISNUMBER(L34),L34*4.5%,0)+IF(ISNUMBER(Q34),Q34*8.4%,0)+IF(ISNUMBER(R34),R34*5.6%,0)+IF(ISNUMBER(W34),W34*3.6%,0)+IF(ISNUMBER(X34),X34*2.4%,0)+IF(ISNUMBER(AC34),AC34*25%,0)+IF(ISNUMBER(AG34),AG34*18%,0)+IF(ISNUMBER(AH34),AH34*12%,0)+IF(ISNUMBER(AK34),AK34*10%,0))</x:f>
        <x:v>36.75741</x:v>
      </x:c>
      <x:c r="AS34" s="17" t="n">
        <x:f>IF(AQ34=0,"",ROUND(AR34/AQ34,2))</x:f>
        <x:v>41.77</x:v>
      </x:c>
      <x:c r="AT34" s="40" t="n">
        <x:f>IF(OR(G34&lt;&gt;"入池",NOT(ISNUMBER(AS34))),"",COUNTIFS($G$17:$G$219,"入池",$AS$17:$AS$219,"&gt;"&amp;AS34)+COUNTIFS($G$17:$G$219,"入池",$AS$17:$AS$219,AS34,$AQ$17:$AQ$219,"&gt;"&amp;AQ34)+COUNTIFS($G$17:G34,"入池",$AS$17:AS34,AS34,$AQ$17:AQ34,AQ34))</x:f>
        <x:v>170</x:v>
      </x:c>
      <x:c r="AU34" s="41" t="str">
        <x:f t="shared" si="2">IF(NOT(ISNUMBER(I34)),"管理人规模；","")&amp;IF(J34="","产品规模标识；","")&amp;IF(AND(F34&lt;3,NOT(ISNUMBER(O34))),"R_incep；","")&amp;IF(NOT(ISNUMBER(N34)),"近三年收益；","")&amp;IF(NOT(ISNUMBER(U34)),"近三年胜率；","")&amp;IF(AND(ISNUMBER(V34),OR(V34&lt;0,V34&gt;1)),"胜率窗口口径不一致；","")&amp;IF(NOT(ISNUMBER(AA34)),"近三年回撤；","")&amp;IF(NOT(ISNUMBER(AD34)),"短期卡玛；","")&amp;IF(AND(ISNUMBER(P34),NOT(ISNUMBER(AE34))),"DD_long不可识别；","")</x:f>
        <x:v>DD_long不可识别；</x:v>
      </x:c>
      <x:c r="AV34" s="42" t="n">
        <x:v>5</x:v>
      </x:c>
      <x:c r="AW34" s="19" t="str">
        <x:v>广东凡德投资有限公司</x:v>
      </x:c>
      <x:c r="AX34" s="19" t="str">
        <x:v>2026-04-15</x:v>
      </x:c>
      <x:c r="AY34" s="19" t="str">
        <x:v>https://gs.amac.org.cn/amac-infodisc/res/pof/manager/101000000695.html</x:v>
      </x:c>
      <x:c r="AZ34" s="19" t="str">
        <x:v>凡德量化八号私募证券投资基金</x:v>
      </x:c>
      <x:c r="BA34" s="19" t="str">
        <x:v>2025-03-27</x:v>
      </x:c>
      <x:c r="BB34" s="19"/>
      <x:c r="BC34" s="19" t="str">
        <x:v>https://gs.amac.org.cn/amac-infodisc/res/pof/fund/2003030835104240.html</x:v>
      </x:c>
      <x:c r="BD34" s="19" t="str">
        <x:v>已匹配</x:v>
      </x:c>
      <x:c r="BE34"/>
      <x:c r="BF34"/>
    </x:row>
    <x:row r="35" ht="28" customHeight="1">
      <x:c r="A35" s="4" t="n">
        <x:v>19</x:v>
      </x:c>
      <x:c r="B35" s="15" t="str">
        <x:f>'sheet4-原始数据'!A20</x:f>
        <x:v>百奕传家一号</x:v>
      </x:c>
      <x:c r="C35" s="15" t="str">
        <x:f>'sheet4-原始数据'!B20</x:f>
        <x:v>SJS027</x:v>
      </x:c>
      <x:c r="D35" s="15" t="str">
        <x:f>'sheet4-原始数据'!E20</x:f>
        <x:v>上海百奕投资</x:v>
      </x:c>
      <x:c r="E35" s="32" t="n">
        <x:f>IF(ISNUMBER('sheet4-原始数据'!F20),'sheet4-原始数据'!F20,"")</x:f>
        <x:v>43913</x:v>
      </x:c>
      <x:c r="F35" s="17" t="n">
        <x:f>IF(NOT(ISNUMBER(E35)),"",ROUND(('sheet1-指标体系'!$J$23-E35)/365.25,4))</x:f>
        <x:v>6.4832</x:v>
      </x:c>
      <x:c r="G35" s="4" t="str">
        <x:f t="shared" si="1">IF(NOT(ISNUMBER(F35)),"",IF(F35&lt;1,"不入池","入池"))</x:f>
        <x:v>入池</x:v>
      </x:c>
      <x:c r="H35" s="33" t="str">
        <x:v>0-5亿元</x:v>
      </x:c>
      <x:c r="I35" s="17" t="n">
        <x:f>IF(H35="","",IF(ISNUMBER(SEARCH("100亿元以上",H35)),100,IF(OR(ISNUMBER(SEARCH("20-50",H35)),ISNUMBER(SEARCH("50-100",H35)),ISNUMBER(SEARCH("20-100",H35))),90,IF(ISNUMBER(SEARCH("10-20",H35)),80,IF(ISNUMBER(SEARCH("5-10",H35)),70,IF(ISNUMBER(SEARCH("0-5",H35)),60,""))))))</x:f>
        <x:v>60</x:v>
      </x:c>
      <x:c r="J35" s="34" t="str">
        <x:v>无低于1000万元标识</x:v>
      </x:c>
      <x:c r="K35" s="17" t="n">
        <x:f>IF(J35="","",IF(J35="低于1000万元",0,100))</x:f>
        <x:v>100</x:v>
      </x:c>
      <x:c r="L35" s="17" t="n">
        <x:f>IF(NOT(ISNUMBER(F35)),"",IF(F35&lt;1,"",IF(F35&lt;3,70,100)))</x:f>
        <x:v>100</x:v>
      </x:c>
      <x:c r="M35" s="35" t="n">
        <x:f>IF(ISNUMBER('sheet4-原始数据'!G20),'sheet4-原始数据'!G20,"")</x:f>
        <x:v>0.1386</x:v>
      </x:c>
      <x:c r="N35" s="35" t="n">
        <x:f>IF(ISNUMBER('sheet4-原始数据'!H20),'sheet4-原始数据'!H20,"")</x:f>
        <x:v>0.059800000000000006</x:v>
      </x:c>
      <x:c r="O35" s="36" t="str">
        <x:f>IF(ISNUMBER('sheet4-原始数据'!Q20),'sheet4-原始数据'!Q20,"")</x:f>
      </x:c>
      <x:c r="P35" s="37" t="n">
        <x:f>IF($G35&lt;&gt;"入池","",IF($F35&gt;=3,IF(OR(NOT(ISNUMBER($M35)),NOT(ISNUMBER($N35)),1+$M35&lt;=0,1+$N35&lt;0),"",((1+$N35)^3/(1+$M35))^(1/2)-1),IF(OR($F35&lt;=1,NOT(ISNUMBER($M35)),NOT(ISNUMBER($O35)),1+$M35&lt;=0,1+$O35&lt;0),"",((1+$O35)^$F35/(1+$M35))^(1/($F35-1))-1)))</x:f>
        <x:v>0.02246931412353792</x:v>
      </x:c>
      <x:c r="Q35" s="17" t="n">
        <x:f>IF(OR($G35&lt;&gt;"入池",NOT(ISNUMBER(M35))),"",IF(COUNTIFS($G$17:$G$219,"入池",$M$17:$M$219,"&gt;=-1E+307",$M$17:$M$219,"&lt;=1E+307")&lt;=1,100,ROUND(100*(COUNTIFS($G$17:$G$219,"入池",$M$17:$M$219,"&gt;=-1E+307",$M$17:$M$219,"&lt;"&amp;M35)+COUNTIFS($G$17:$G$219,"入池",$M$17:$M$219,M35,$M$17:$M$219,"&gt;=-1E+307",$M$17:$M$219,"&lt;=1E+307")/2-0.5)/(COUNTIFS($G$17:$G$219,"入池",$M$17:$M$219,"&gt;=-1E+307",$M$17:$M$219,"&lt;=1E+307")-1),2)))</x:f>
        <x:v>89.6</x:v>
      </x:c>
      <x:c r="R35" s="17" t="n">
        <x:f>IF(OR($G35&lt;&gt;"入池",NOT(ISNUMBER(P35))),"",IF(COUNTIFS($G$17:$G$219,"入池",$P$17:$P$219,"&gt;=-1E+307",$P$17:$P$219,"&lt;=1E+307")&lt;=1,100,ROUND(100*(COUNTIFS($G$17:$G$219,"入池",$P$17:$P$219,"&gt;=-1E+307",$P$17:$P$219,"&lt;"&amp;P35)+COUNTIFS($G$17:$G$219,"入池",$P$17:$P$219,P35,$P$17:$P$219,"&gt;=-1E+307",$P$17:$P$219,"&lt;=1E+307")/2-0.5)/(COUNTIFS($G$17:$G$219,"入池",$P$17:$P$219,"&gt;=-1E+307",$P$17:$P$219,"&lt;=1E+307")-1),2)))</x:f>
        <x:v>11.39</x:v>
      </x:c>
      <x:c r="S35" s="17" t="n">
        <x:f>IF(NOT(ISNUMBER(Q35)),"",IF(NOT(ISNUMBER(R35)),Q35,ROUND(Q35*'sheet1-指标体系'!$J$8+R35*'sheet1-指标体系'!$J$9,2)))</x:f>
        <x:v>58.32</x:v>
      </x:c>
      <x:c r="T35" s="35" t="n">
        <x:f>IF(ISNUMBER('sheet4-原始数据'!J20),'sheet4-原始数据'!J20,"")</x:f>
        <x:v>0.5385</x:v>
      </x:c>
      <x:c r="U35" s="35" t="n">
        <x:f>IF(ISNUMBER('sheet4-原始数据'!I20),'sheet4-原始数据'!I20,"")</x:f>
        <x:v>0.6215999999999999</x:v>
      </x:c>
      <x:c r="V35" s="37" t="n">
        <x:f>IF(OR(NOT(ISNUMBER(T35)),NOT(ISNUMBER(U35))),"",(U35*'sheet1-指标体系'!$J$6-T35*'sheet1-指标体系'!$J$5)/'sheet1-指标体系'!$J$7)</x:f>
        <x:v>0.6666124999999999</x:v>
      </x:c>
      <x:c r="W35" s="17" t="n">
        <x:f>IF(NOT(ISNUMBER(T35)),"",T35*100)</x:f>
        <x:v>53.849999999999994</x:v>
      </x:c>
      <x:c r="X35" s="17" t="n">
        <x:f>IF($G35&lt;&gt;"入池","",IF(AND(ISNUMBER(V35),V35&gt;=0,V35&lt;=1),V35*100,IF(MAX(0,($F35-1)*12)&lt;6,100,"")))</x:f>
        <x:v>66.66125</x:v>
      </x:c>
      <x:c r="Y35" s="17" t="n">
        <x:f>IF(NOT(ISNUMBER(W35)),"",IF(NOT(ISNUMBER(X35)),W35,ROUND(W35*'sheet1-指标体系'!$J$8+X35*'sheet1-指标体系'!$J$9,2)))</x:f>
        <x:v>58.97</x:v>
      </x:c>
      <x:c r="Z35" s="37" t="n">
        <x:f>IF(OR(NOT(ISNUMBER(M35)),NOT(ISNUMBER(AD35)),AD35=0),"",ABS(M35/AD35))</x:f>
        <x:v>0.04005433054937433</x:v>
      </x:c>
      <x:c r="AA35" s="35" t="n">
        <x:f>IF(ISNUMBER('sheet4-原始数据'!K20),'sheet4-原始数据'!K20,"")</x:f>
        <x:v>0.1117</x:v>
      </x:c>
      <x:c r="AB35" s="37" t="n">
        <x:f>IF(COUNT(Z35:AA35)=0,"",MAX(Z35:AA35))</x:f>
        <x:v>0.1117</x:v>
      </x:c>
      <x:c r="AC35" s="17" t="n">
        <x:f>IF(OR($G35&lt;&gt;"入池",NOT(ISNUMBER(AB35))),"",IF(COUNTIFS($G$17:$G$219,"入池",$AB$17:$AB$219,"&gt;=-1E+307",$AB$17:$AB$219,"&lt;=1E+307")&lt;=1,100,ROUND(100*(COUNTIFS($G$17:$G$219,"入池",$AB$17:$AB$219,"&lt;=1E+307",$AB$17:$AB$219,"&gt;"&amp;AB35)+COUNTIFS($G$17:$G$219,"入池",$AB$17:$AB$219,AB35,$AB$17:$AB$219,"&gt;=-1E+307",$AB$17:$AB$219,"&lt;=1E+307")/2-0.5)/(COUNTIFS($G$17:$G$219,"入池",$AB$17:$AB$219,"&gt;=-1E+307",$AB$17:$AB$219,"&lt;=1E+307")-1),2)))</x:f>
        <x:v>24.26</x:v>
      </x:c>
      <x:c r="AD35" s="38" t="n">
        <x:f>IF(ISNUMBER('sheet4-原始数据'!M20),'sheet4-原始数据'!M20,"")</x:f>
        <x:v>3.4603</x:v>
      </x:c>
      <x:c r="AE35" s="37" t="n">
        <x:f>IF(OR(NOT(ISNUMBER(P35)),NOT(ISNUMBER(AA35)),NOT(ISNUMBER(Z35))),"",IF(AA35&gt;Z35+'sheet1-指标体系'!$J$11,AA35,""))</x:f>
        <x:v>0.1117</x:v>
      </x:c>
      <x:c r="AF35" s="17" t="n">
        <x:f>IF(OR(NOT(ISNUMBER(P35)),NOT(ISNUMBER(AE35)),AE35=0),"",P35/AE35)</x:f>
        <x:v>0.20115769134769848</x:v>
      </x:c>
      <x:c r="AG35" s="17" t="n">
        <x:f>IF(OR($G35&lt;&gt;"入池",NOT(ISNUMBER(AD35))),"",IF(COUNTIFS($G$17:$G$219,"入池",$AD$17:$AD$219,"&gt;=-1E+307",$AD$17:$AD$219,"&lt;=1E+307")&lt;=1,100,ROUND(100*(COUNTIFS($G$17:$G$219,"入池",$AD$17:$AD$219,"&gt;=-1E+307",$AD$17:$AD$219,"&lt;"&amp;AD35)+COUNTIFS($G$17:$G$219,"入池",$AD$17:$AD$219,AD35,$AD$17:$AD$219,"&gt;=-1E+307",$AD$17:$AD$219,"&lt;=1E+307")/2-0.5)/(COUNTIFS($G$17:$G$219,"入池",$AD$17:$AD$219,"&gt;=-1E+307",$AD$17:$AD$219,"&lt;=1E+307")-1),2)))</x:f>
        <x:v>56.72</x:v>
      </x:c>
      <x:c r="AH35" s="17" t="n">
        <x:f>IF(OR($G35&lt;&gt;"入池",NOT(ISNUMBER(AF35))),"",IF(COUNTIFS($G$17:$G$219,"入池",$AF$17:$AF$219,"&gt;=-1E+307",$AF$17:$AF$219,"&lt;=1E+307")&lt;=1,100,ROUND(100*(COUNTIFS($G$17:$G$219,"入池",$AF$17:$AF$219,"&gt;=-1E+307",$AF$17:$AF$219,"&lt;"&amp;AF35)+COUNTIFS($G$17:$G$219,"入池",$AF$17:$AF$219,AF35,$AF$17:$AF$219,"&gt;=-1E+307",$AF$17:$AF$219,"&lt;=1E+307")/2-0.5)/(COUNTIFS($G$17:$G$219,"入池",$AF$17:$AF$219,"&gt;=-1E+307",$AF$17:$AF$219,"&lt;=1E+307")-1),2)))</x:f>
        <x:v>10.95</x:v>
      </x:c>
      <x:c r="AI35" s="17" t="n">
        <x:f>IF(NOT(ISNUMBER(AG35)),"",IF(NOT(ISNUMBER(AH35)),AG35,ROUND(AG35*'sheet1-指标体系'!$J$8+AH35*'sheet1-指标体系'!$J$9,2)))</x:f>
        <x:v>38.41</x:v>
      </x:c>
      <x:c r="AJ35" s="37" t="n">
        <x:f>IF(NOT(ISNUMBER(F35)),"",IF(F35&gt;=3,IF(NOT(ISNUMBER(N35)),"",N35),IF(NOT(ISNUMBER(O35)),"",O35)))</x:f>
        <x:v>0.059800000000000006</x:v>
      </x:c>
      <x:c r="AK35" s="17" t="n">
        <x:f>IF(OR(G35&lt;&gt;"入池",NOT(ISNUMBER(M35)),NOT(ISNUMBER(AJ35))),"",IF(M35&gt;=AJ35,100,IF(AJ35-M35&lt;'sheet1-指标体系'!$J$10,80,60)))</x:f>
        <x:v>100</x:v>
      </x:c>
      <x:c r="AL35" s="17" t="n">
        <x:f>IF(COUNT(I35,K35,L35)=0,"",ROUND((IF(ISNUMBER(I35),I35*40%,0)+IF(ISNUMBER(K35),K35*30%,0)+IF(ISNUMBER(L35),L35*30%,0))/(IF(ISNUMBER(I35),40%,0)+IF(ISNUMBER(K35),30%,0)+IF(ISNUMBER(L35),30%,0)),2))</x:f>
        <x:v>84</x:v>
      </x:c>
      <x:c r="AM35" s="17" t="n">
        <x:f>IF(COUNT(Q35,R35,W35,X35)=0,"",ROUND((IF(ISNUMBER(Q35),Q35*42%,0)+IF(ISNUMBER(R35),R35*28%,0)+IF(ISNUMBER(W35),W35*18%,0)+IF(ISNUMBER(X35),X35*12%,0))/(IF(ISNUMBER(Q35),42%,0)+IF(ISNUMBER(R35),28%,0)+IF(ISNUMBER(W35),18%,0)+IF(ISNUMBER(X35),12%,0)),2))</x:f>
        <x:v>58.51</x:v>
      </x:c>
      <x:c r="AN35" s="17" t="n">
        <x:f>IF(ISNUMBER(AC35),AC35,"")</x:f>
        <x:v>24.26</x:v>
      </x:c>
      <x:c r="AO35" s="17" t="n">
        <x:f>IF(COUNT(AG35,AH35)=0,"",ROUND((IF(ISNUMBER(AG35),AG35*60%,0)+IF(ISNUMBER(AH35),AH35*40%,0))/(IF(ISNUMBER(AG35),60%,0)+IF(ISNUMBER(AH35),40%,0)),2))</x:f>
        <x:v>38.41</x:v>
      </x:c>
      <x:c r="AP35" s="17" t="n">
        <x:f>IF(ISNUMBER(AK35),AK35,"")</x:f>
        <x:v>100</x:v>
      </x:c>
      <x:c r="AQ35" s="39" t="n">
        <x:f>IF(G35&lt;&gt;"入池",0,IF(ISNUMBER(I35),6%,0)+IF(ISNUMBER(K35),4.5%,0)+IF(ISNUMBER(L35),4.5%,0)+IF(ISNUMBER(Q35),8.4%,0)+IF(ISNUMBER(R35),5.6%,0)+IF(ISNUMBER(W35),3.6%,0)+IF(ISNUMBER(X35),2.4%,0)+IF(ISNUMBER(AC35),25%,0)+IF(ISNUMBER(AG35),18%,0)+IF(ISNUMBER(AH35),12%,0)+IF(ISNUMBER(AK35),10%,0))</x:f>
        <x:v>1</x:v>
      </x:c>
      <x:c r="AR35" s="17" t="n">
        <x:f>IF(AQ35=0,"",IF(ISNUMBER(I35),I35*6%,0)+IF(ISNUMBER(K35),K35*4.5%,0)+IF(ISNUMBER(L35),L35*4.5%,0)+IF(ISNUMBER(Q35),Q35*8.4%,0)+IF(ISNUMBER(R35),R35*5.6%,0)+IF(ISNUMBER(W35),W35*3.6%,0)+IF(ISNUMBER(X35),X35*2.4%,0)+IF(ISNUMBER(AC35),AC35*25%,0)+IF(ISNUMBER(AG35),AG35*18%,0)+IF(ISNUMBER(AH35),AH35*12%,0)+IF(ISNUMBER(AK35),AK35*10%,0))</x:f>
        <x:v>51.891310000000004</x:v>
      </x:c>
      <x:c r="AS35" s="17" t="n">
        <x:f>IF(AQ35=0,"",ROUND(AR35/AQ35,2))</x:f>
        <x:v>51.89</x:v>
      </x:c>
      <x:c r="AT35" s="40" t="n">
        <x:f>IF(OR(G35&lt;&gt;"入池",NOT(ISNUMBER(AS35))),"",COUNTIFS($G$17:$G$219,"入池",$AS$17:$AS$219,"&gt;"&amp;AS35)+COUNTIFS($G$17:$G$219,"入池",$AS$17:$AS$219,AS35,$AQ$17:$AQ$219,"&gt;"&amp;AQ35)+COUNTIFS($G$17:G35,"入池",$AS$17:AS35,AS35,$AQ$17:AQ35,AQ35))</x:f>
        <x:v>138</x:v>
      </x:c>
      <x:c r="AU35" s="41" t="str">
        <x:f t="shared" si="2">IF(NOT(ISNUMBER(I35)),"管理人规模；","")&amp;IF(J35="","产品规模标识；","")&amp;IF(AND(F35&lt;3,NOT(ISNUMBER(O35))),"R_incep；","")&amp;IF(NOT(ISNUMBER(N35)),"近三年收益；","")&amp;IF(NOT(ISNUMBER(U35)),"近三年胜率；","")&amp;IF(AND(ISNUMBER(V35),OR(V35&lt;0,V35&gt;1)),"胜率窗口口径不一致；","")&amp;IF(NOT(ISNUMBER(AA35)),"近三年回撤；","")&amp;IF(NOT(ISNUMBER(AD35)),"短期卡玛；","")&amp;IF(AND(ISNUMBER(P35),NOT(ISNUMBER(AE35))),"DD_long不可识别；","")</x:f>
      </x:c>
      <x:c r="AV35" s="42" t="n">
        <x:v>0</x:v>
      </x:c>
      <x:c r="AW35" s="19" t="str">
        <x:v>上海百奕投资管理中心（有限合伙）</x:v>
      </x:c>
      <x:c r="AX35" s="19" t="str">
        <x:v>2026-07-24</x:v>
      </x:c>
      <x:c r="AY35" s="19" t="str">
        <x:v>https://gs.amac.org.cn/amac-infodisc/res/pof/manager/101000019935.html</x:v>
      </x:c>
      <x:c r="AZ35" s="19" t="str">
        <x:v>百奕传家一号私募证券投资基金</x:v>
      </x:c>
      <x:c r="BA35" s="19" t="str">
        <x:v>2025-04-24</x:v>
      </x:c>
      <x:c r="BB35" s="19"/>
      <x:c r="BC35" s="19" t="str">
        <x:v>https://gs.amac.org.cn/amac-infodisc/res/pof/fund/2003301654103531.html</x:v>
      </x:c>
      <x:c r="BD35" s="19" t="str">
        <x:v>已匹配</x:v>
      </x:c>
      <x:c r="BE35"/>
      <x:c r="BF35"/>
    </x:row>
    <x:row r="36" ht="28" customHeight="1">
      <x:c r="A36" s="4" t="n">
        <x:v>20</x:v>
      </x:c>
      <x:c r="B36" s="15" t="str">
        <x:f>'sheet4-原始数据'!A21</x:f>
        <x:v>蒙森斯道特恒星三号</x:v>
      </x:c>
      <x:c r="C36" s="15" t="str">
        <x:f>'sheet4-原始数据'!B21</x:f>
        <x:v>SJM626</x:v>
      </x:c>
      <x:c r="D36" s="15" t="str">
        <x:f>'sheet4-原始数据'!E21</x:f>
        <x:v>上海蒙森投资</x:v>
      </x:c>
      <x:c r="E36" s="32" t="n">
        <x:f>IF(ISNUMBER('sheet4-原始数据'!F21),'sheet4-原始数据'!F21,"")</x:f>
        <x:v>43924</x:v>
      </x:c>
      <x:c r="F36" s="17" t="n">
        <x:f>IF(NOT(ISNUMBER(E36)),"",ROUND(('sheet1-指标体系'!$J$23-E36)/365.25,4))</x:f>
        <x:v>6.4531</x:v>
      </x:c>
      <x:c r="G36" s="4" t="str">
        <x:f t="shared" si="1">IF(NOT(ISNUMBER(F36)),"",IF(F36&lt;1,"不入池","入池"))</x:f>
        <x:v>入池</x:v>
      </x:c>
      <x:c r="H36" s="33" t="str">
        <x:v>0-5亿元</x:v>
      </x:c>
      <x:c r="I36" s="17" t="n">
        <x:f>IF(H36="","",IF(ISNUMBER(SEARCH("100亿元以上",H36)),100,IF(OR(ISNUMBER(SEARCH("20-50",H36)),ISNUMBER(SEARCH("50-100",H36)),ISNUMBER(SEARCH("20-100",H36))),90,IF(ISNUMBER(SEARCH("10-20",H36)),80,IF(ISNUMBER(SEARCH("5-10",H36)),70,IF(ISNUMBER(SEARCH("0-5",H36)),60,""))))))</x:f>
        <x:v>60</x:v>
      </x:c>
      <x:c r="J36" s="34" t="str">
        <x:v>无低于1000万元标识</x:v>
      </x:c>
      <x:c r="K36" s="17" t="n">
        <x:f>IF(J36="","",IF(J36="低于1000万元",0,100))</x:f>
        <x:v>100</x:v>
      </x:c>
      <x:c r="L36" s="17" t="n">
        <x:f>IF(NOT(ISNUMBER(F36)),"",IF(F36&lt;1,"",IF(F36&lt;3,70,100)))</x:f>
        <x:v>100</x:v>
      </x:c>
      <x:c r="M36" s="35" t="n">
        <x:f>IF(ISNUMBER('sheet4-原始数据'!G21),'sheet4-原始数据'!G21,"")</x:f>
        <x:v>0.07150000000000001</x:v>
      </x:c>
      <x:c r="N36" s="35" t="n">
        <x:f>IF(ISNUMBER('sheet4-原始数据'!H21),'sheet4-原始数据'!H21,"")</x:f>
        <x:v>0.0706</x:v>
      </x:c>
      <x:c r="O36" s="36" t="str">
        <x:f>IF(ISNUMBER('sheet4-原始数据'!Q21),'sheet4-原始数据'!Q21,"")</x:f>
      </x:c>
      <x:c r="P36" s="37" t="n">
        <x:f>IF($G36&lt;&gt;"入池","",IF($F36&gt;=3,IF(OR(NOT(ISNUMBER($M36)),NOT(ISNUMBER($N36)),1+$M36&lt;=0,1+$N36&lt;0),"",((1+$N36)^3/(1+$M36))^(1/2)-1),IF(OR($F36&lt;=1,NOT(ISNUMBER($M36)),NOT(ISNUMBER($O36)),1+$M36&lt;=0,1+$O36&lt;0),"",((1+$O36)^$F36/(1+$M36))^(1/($F36-1))-1)))</x:f>
        <x:v>0.07015028352079855</x:v>
      </x:c>
      <x:c r="Q36" s="17" t="n">
        <x:f>IF(OR($G36&lt;&gt;"入池",NOT(ISNUMBER(M36))),"",IF(COUNTIFS($G$17:$G$219,"入池",$M$17:$M$219,"&gt;=-1E+307",$M$17:$M$219,"&lt;=1E+307")&lt;=1,100,ROUND(100*(COUNTIFS($G$17:$G$219,"入池",$M$17:$M$219,"&gt;=-1E+307",$M$17:$M$219,"&lt;"&amp;M36)+COUNTIFS($G$17:$G$219,"入池",$M$17:$M$219,M36,$M$17:$M$219,"&gt;=-1E+307",$M$17:$M$219,"&lt;=1E+307")/2-0.5)/(COUNTIFS($G$17:$G$219,"入池",$M$17:$M$219,"&gt;=-1E+307",$M$17:$M$219,"&lt;=1E+307")-1),2)))</x:f>
        <x:v>64.36</x:v>
      </x:c>
      <x:c r="R36" s="17" t="n">
        <x:f>IF(OR($G36&lt;&gt;"入池",NOT(ISNUMBER(P36))),"",IF(COUNTIFS($G$17:$G$219,"入池",$P$17:$P$219,"&gt;=-1E+307",$P$17:$P$219,"&lt;=1E+307")&lt;=1,100,ROUND(100*(COUNTIFS($G$17:$G$219,"入池",$P$17:$P$219,"&gt;=-1E+307",$P$17:$P$219,"&lt;"&amp;P36)+COUNTIFS($G$17:$G$219,"入池",$P$17:$P$219,P36,$P$17:$P$219,"&gt;=-1E+307",$P$17:$P$219,"&lt;=1E+307")/2-0.5)/(COUNTIFS($G$17:$G$219,"入池",$P$17:$P$219,"&gt;=-1E+307",$P$17:$P$219,"&lt;=1E+307")-1),2)))</x:f>
        <x:v>56.93</x:v>
      </x:c>
      <x:c r="S36" s="17" t="n">
        <x:f>IF(NOT(ISNUMBER(Q36)),"",IF(NOT(ISNUMBER(R36)),Q36,ROUND(Q36*'sheet1-指标体系'!$J$8+R36*'sheet1-指标体系'!$J$9,2)))</x:f>
        <x:v>61.39</x:v>
      </x:c>
      <x:c r="T36" s="35" t="n">
        <x:f>IF(ISNUMBER('sheet4-原始数据'!J21),'sheet4-原始数据'!J21,"")</x:f>
        <x:v>0.3077</x:v>
      </x:c>
      <x:c r="U36" s="35" t="n">
        <x:f>IF(ISNUMBER('sheet4-原始数据'!I21),'sheet4-原始数据'!I21,"")</x:f>
        <x:v>0.4865</x:v>
      </x:c>
      <x:c r="V36" s="37" t="n">
        <x:f>IF(OR(NOT(ISNUMBER(T36)),NOT(ISNUMBER(U36))),"",(U36*'sheet1-指标体系'!$J$6-T36*'sheet1-指标体系'!$J$5)/'sheet1-指标体系'!$J$7)</x:f>
        <x:v>0.5833499999999999</x:v>
      </x:c>
      <x:c r="W36" s="17" t="n">
        <x:f>IF(NOT(ISNUMBER(T36)),"",T36*100)</x:f>
        <x:v>30.769999999999996</x:v>
      </x:c>
      <x:c r="X36" s="17" t="n">
        <x:f>IF($G36&lt;&gt;"入池","",IF(AND(ISNUMBER(V36),V36&gt;=0,V36&lt;=1),V36*100,IF(MAX(0,($F36-1)*12)&lt;6,100,"")))</x:f>
        <x:v>58.334999999999994</x:v>
      </x:c>
      <x:c r="Y36" s="17" t="n">
        <x:f>IF(NOT(ISNUMBER(W36)),"",IF(NOT(ISNUMBER(X36)),W36,ROUND(W36*'sheet1-指标体系'!$J$8+X36*'sheet1-指标体系'!$J$9,2)))</x:f>
        <x:v>41.8</x:v>
      </x:c>
      <x:c r="Z36" s="37" t="n">
        <x:f>IF(OR(NOT(ISNUMBER(M36)),NOT(ISNUMBER(AD36)),AD36=0),"",ABS(M36/AD36))</x:f>
        <x:v>0.03341121495327103</x:v>
      </x:c>
      <x:c r="AA36" s="35" t="n">
        <x:f>IF(ISNUMBER('sheet4-原始数据'!K21),'sheet4-原始数据'!K21,"")</x:f>
        <x:v>0.0797</x:v>
      </x:c>
      <x:c r="AB36" s="37" t="n">
        <x:f>IF(COUNT(Z36:AA36)=0,"",MAX(Z36:AA36))</x:f>
        <x:v>0.0797</x:v>
      </x:c>
      <x:c r="AC36" s="17" t="n">
        <x:f>IF(OR($G36&lt;&gt;"入池",NOT(ISNUMBER(AB36))),"",IF(COUNTIFS($G$17:$G$219,"入池",$AB$17:$AB$219,"&gt;=-1E+307",$AB$17:$AB$219,"&lt;=1E+307")&lt;=1,100,ROUND(100*(COUNTIFS($G$17:$G$219,"入池",$AB$17:$AB$219,"&lt;=1E+307",$AB$17:$AB$219,"&gt;"&amp;AB36)+COUNTIFS($G$17:$G$219,"入池",$AB$17:$AB$219,AB36,$AB$17:$AB$219,"&gt;=-1E+307",$AB$17:$AB$219,"&lt;=1E+307")/2-0.5)/(COUNTIFS($G$17:$G$219,"入池",$AB$17:$AB$219,"&gt;=-1E+307",$AB$17:$AB$219,"&lt;=1E+307")-1),2)))</x:f>
        <x:v>33.66</x:v>
      </x:c>
      <x:c r="AD36" s="38" t="n">
        <x:f>IF(ISNUMBER('sheet4-原始数据'!M21),'sheet4-原始数据'!M21,"")</x:f>
        <x:v>2.14</x:v>
      </x:c>
      <x:c r="AE36" s="37" t="n">
        <x:f>IF(OR(NOT(ISNUMBER(P36)),NOT(ISNUMBER(AA36)),NOT(ISNUMBER(Z36))),"",IF(AA36&gt;Z36+'sheet1-指标体系'!$J$11,AA36,""))</x:f>
        <x:v>0.0797</x:v>
      </x:c>
      <x:c r="AF36" s="17" t="n">
        <x:f>IF(OR(NOT(ISNUMBER(P36)),NOT(ISNUMBER(AE36)),AE36=0),"",P36/AE36)</x:f>
        <x:v>0.8801792160702454</x:v>
      </x:c>
      <x:c r="AG36" s="17" t="n">
        <x:f>IF(OR($G36&lt;&gt;"入池",NOT(ISNUMBER(AD36))),"",IF(COUNTIFS($G$17:$G$219,"入池",$AD$17:$AD$219,"&gt;=-1E+307",$AD$17:$AD$219,"&lt;=1E+307")&lt;=1,100,ROUND(100*(COUNTIFS($G$17:$G$219,"入池",$AD$17:$AD$219,"&gt;=-1E+307",$AD$17:$AD$219,"&lt;"&amp;AD36)+COUNTIFS($G$17:$G$219,"入池",$AD$17:$AD$219,AD36,$AD$17:$AD$219,"&gt;=-1E+307",$AD$17:$AD$219,"&lt;=1E+307")/2-0.5)/(COUNTIFS($G$17:$G$219,"入池",$AD$17:$AD$219,"&gt;=-1E+307",$AD$17:$AD$219,"&lt;=1E+307")-1),2)))</x:f>
        <x:v>47.26</x:v>
      </x:c>
      <x:c r="AH36" s="17" t="n">
        <x:f>IF(OR($G36&lt;&gt;"入池",NOT(ISNUMBER(AF36))),"",IF(COUNTIFS($G$17:$G$219,"入池",$AF$17:$AF$219,"&gt;=-1E+307",$AF$17:$AF$219,"&lt;=1E+307")&lt;=1,100,ROUND(100*(COUNTIFS($G$17:$G$219,"入池",$AF$17:$AF$219,"&gt;=-1E+307",$AF$17:$AF$219,"&lt;"&amp;AF36)+COUNTIFS($G$17:$G$219,"入池",$AF$17:$AF$219,AF36,$AF$17:$AF$219,"&gt;=-1E+307",$AF$17:$AF$219,"&lt;=1E+307")/2-0.5)/(COUNTIFS($G$17:$G$219,"入池",$AF$17:$AF$219,"&gt;=-1E+307",$AF$17:$AF$219,"&lt;=1E+307")-1),2)))</x:f>
        <x:v>37.23</x:v>
      </x:c>
      <x:c r="AI36" s="17" t="n">
        <x:f>IF(NOT(ISNUMBER(AG36)),"",IF(NOT(ISNUMBER(AH36)),AG36,ROUND(AG36*'sheet1-指标体系'!$J$8+AH36*'sheet1-指标体系'!$J$9,2)))</x:f>
        <x:v>43.25</x:v>
      </x:c>
      <x:c r="AJ36" s="37" t="n">
        <x:f>IF(NOT(ISNUMBER(F36)),"",IF(F36&gt;=3,IF(NOT(ISNUMBER(N36)),"",N36),IF(NOT(ISNUMBER(O36)),"",O36)))</x:f>
        <x:v>0.0706</x:v>
      </x:c>
      <x:c r="AK36" s="17" t="n">
        <x:f>IF(OR(G36&lt;&gt;"入池",NOT(ISNUMBER(M36)),NOT(ISNUMBER(AJ36))),"",IF(M36&gt;=AJ36,100,IF(AJ36-M36&lt;'sheet1-指标体系'!$J$10,80,60)))</x:f>
        <x:v>100</x:v>
      </x:c>
      <x:c r="AL36" s="17" t="n">
        <x:f>IF(COUNT(I36,K36,L36)=0,"",ROUND((IF(ISNUMBER(I36),I36*40%,0)+IF(ISNUMBER(K36),K36*30%,0)+IF(ISNUMBER(L36),L36*30%,0))/(IF(ISNUMBER(I36),40%,0)+IF(ISNUMBER(K36),30%,0)+IF(ISNUMBER(L36),30%,0)),2))</x:f>
        <x:v>84</x:v>
      </x:c>
      <x:c r="AM36" s="17" t="n">
        <x:f>IF(COUNT(Q36,R36,W36,X36)=0,"",ROUND((IF(ISNUMBER(Q36),Q36*42%,0)+IF(ISNUMBER(R36),R36*28%,0)+IF(ISNUMBER(W36),W36*18%,0)+IF(ISNUMBER(X36),X36*12%,0))/(IF(ISNUMBER(Q36),42%,0)+IF(ISNUMBER(R36),28%,0)+IF(ISNUMBER(W36),18%,0)+IF(ISNUMBER(X36),12%,0)),2))</x:f>
        <x:v>55.51</x:v>
      </x:c>
      <x:c r="AN36" s="17" t="n">
        <x:f>IF(ISNUMBER(AC36),AC36,"")</x:f>
        <x:v>33.66</x:v>
      </x:c>
      <x:c r="AO36" s="17" t="n">
        <x:f>IF(COUNT(AG36,AH36)=0,"",ROUND((IF(ISNUMBER(AG36),AG36*60%,0)+IF(ISNUMBER(AH36),AH36*40%,0))/(IF(ISNUMBER(AG36),60%,0)+IF(ISNUMBER(AH36),40%,0)),2))</x:f>
        <x:v>43.25</x:v>
      </x:c>
      <x:c r="AP36" s="17" t="n">
        <x:f>IF(ISNUMBER(AK36),AK36,"")</x:f>
        <x:v>100</x:v>
      </x:c>
      <x:c r="AQ36" s="39" t="n">
        <x:f>IF(G36&lt;&gt;"入池",0,IF(ISNUMBER(I36),6%,0)+IF(ISNUMBER(K36),4.5%,0)+IF(ISNUMBER(L36),4.5%,0)+IF(ISNUMBER(Q36),8.4%,0)+IF(ISNUMBER(R36),5.6%,0)+IF(ISNUMBER(W36),3.6%,0)+IF(ISNUMBER(X36),2.4%,0)+IF(ISNUMBER(AC36),25%,0)+IF(ISNUMBER(AG36),18%,0)+IF(ISNUMBER(AH36),12%,0)+IF(ISNUMBER(AK36),10%,0))</x:f>
        <x:v>1</x:v>
      </x:c>
      <x:c r="AR36" s="17" t="n">
        <x:f>IF(AQ36=0,"",IF(ISNUMBER(I36),I36*6%,0)+IF(ISNUMBER(K36),K36*4.5%,0)+IF(ISNUMBER(L36),L36*4.5%,0)+IF(ISNUMBER(Q36),Q36*8.4%,0)+IF(ISNUMBER(R36),R36*5.6%,0)+IF(ISNUMBER(W36),W36*3.6%,0)+IF(ISNUMBER(X36),X36*2.4%,0)+IF(ISNUMBER(AC36),AC36*25%,0)+IF(ISNUMBER(AG36),AG36*18%,0)+IF(ISNUMBER(AH36),AH36*12%,0)+IF(ISNUMBER(AK36),AK36*10%,0))</x:f>
        <x:v>55.09148</x:v>
      </x:c>
      <x:c r="AS36" s="17" t="n">
        <x:f>IF(AQ36=0,"",ROUND(AR36/AQ36,2))</x:f>
        <x:v>55.09</x:v>
      </x:c>
      <x:c r="AT36" s="40" t="n">
        <x:f>IF(OR(G36&lt;&gt;"入池",NOT(ISNUMBER(AS36))),"",COUNTIFS($G$17:$G$219,"入池",$AS$17:$AS$219,"&gt;"&amp;AS36)+COUNTIFS($G$17:$G$219,"入池",$AS$17:$AS$219,AS36,$AQ$17:$AQ$219,"&gt;"&amp;AQ36)+COUNTIFS($G$17:G36,"入池",$AS$17:AS36,AS36,$AQ$17:AQ36,AQ36))</x:f>
        <x:v>125</x:v>
      </x:c>
      <x:c r="AU36" s="41" t="str">
        <x:f t="shared" si="2">IF(NOT(ISNUMBER(I36)),"管理人规模；","")&amp;IF(J36="","产品规模标识；","")&amp;IF(AND(F36&lt;3,NOT(ISNUMBER(O36))),"R_incep；","")&amp;IF(NOT(ISNUMBER(N36)),"近三年收益；","")&amp;IF(NOT(ISNUMBER(U36)),"近三年胜率；","")&amp;IF(AND(ISNUMBER(V36),OR(V36&lt;0,V36&gt;1)),"胜率窗口口径不一致；","")&amp;IF(NOT(ISNUMBER(AA36)),"近三年回撤；","")&amp;IF(NOT(ISNUMBER(AD36)),"短期卡玛；","")&amp;IF(AND(ISNUMBER(P36),NOT(ISNUMBER(AE36))),"DD_long不可识别；","")</x:f>
      </x:c>
      <x:c r="AV36" s="42" t="n">
        <x:v>0</x:v>
      </x:c>
      <x:c r="AW36" s="19" t="str">
        <x:v>蒙森（上海）投资管理有限公司</x:v>
      </x:c>
      <x:c r="AX36" s="19" t="str">
        <x:v>2026-03-30</x:v>
      </x:c>
      <x:c r="AY36" s="19" t="str">
        <x:v>https://gs.amac.org.cn/amac-infodisc/res/pof/manager/101000010726.html</x:v>
      </x:c>
      <x:c r="AZ36" s="19" t="str">
        <x:v>蒙森斯道特恒星三号私募证券投资基金</x:v>
      </x:c>
      <x:c r="BA36" s="19" t="str">
        <x:v>2025-05-07</x:v>
      </x:c>
      <x:c r="BB36" s="19"/>
      <x:c r="BC36" s="19" t="str">
        <x:v>https://gs.amac.org.cn/amac-infodisc/res/pof/fund/2004141727126733.html</x:v>
      </x:c>
      <x:c r="BD36" s="19" t="str">
        <x:v>已匹配</x:v>
      </x:c>
      <x:c r="BE36"/>
      <x:c r="BF36"/>
    </x:row>
    <x:row r="37" ht="28" customHeight="1">
      <x:c r="A37" s="4" t="n">
        <x:v>21</x:v>
      </x:c>
      <x:c r="B37" s="15" t="str">
        <x:f>'sheet4-原始数据'!A22</x:f>
        <x:v>银瓴运通对冲套利致远3号</x:v>
      </x:c>
      <x:c r="C37" s="15" t="str">
        <x:f>'sheet4-原始数据'!B22</x:f>
        <x:v>SLC023</x:v>
      </x:c>
      <x:c r="D37" s="15" t="str">
        <x:f>'sheet4-原始数据'!E22</x:f>
        <x:v>广西银瓴资产</x:v>
      </x:c>
      <x:c r="E37" s="32" t="n">
        <x:f>IF(ISNUMBER('sheet4-原始数据'!F22),'sheet4-原始数据'!F22,"")</x:f>
        <x:v>43998</x:v>
      </x:c>
      <x:c r="F37" s="17" t="n">
        <x:f>IF(NOT(ISNUMBER(E37)),"",ROUND(('sheet1-指标体系'!$J$23-E37)/365.25,4))</x:f>
        <x:v>6.2505</x:v>
      </x:c>
      <x:c r="G37" s="4" t="str">
        <x:f t="shared" si="1">IF(NOT(ISNUMBER(F37)),"",IF(F37&lt;1,"不入池","入池"))</x:f>
        <x:v>入池</x:v>
      </x:c>
      <x:c r="H37" s="33" t="str">
        <x:v>0-5亿元</x:v>
      </x:c>
      <x:c r="I37" s="17" t="n">
        <x:f>IF(H37="","",IF(ISNUMBER(SEARCH("100亿元以上",H37)),100,IF(OR(ISNUMBER(SEARCH("20-50",H37)),ISNUMBER(SEARCH("50-100",H37)),ISNUMBER(SEARCH("20-100",H37))),90,IF(ISNUMBER(SEARCH("10-20",H37)),80,IF(ISNUMBER(SEARCH("5-10",H37)),70,IF(ISNUMBER(SEARCH("0-5",H37)),60,""))))))</x:f>
        <x:v>60</x:v>
      </x:c>
      <x:c r="J37" s="34" t="str">
        <x:v>低于1000万元</x:v>
      </x:c>
      <x:c r="K37" s="17" t="n">
        <x:f>IF(J37="","",IF(J37="低于1000万元",0,100))</x:f>
        <x:v>0</x:v>
      </x:c>
      <x:c r="L37" s="17" t="n">
        <x:f>IF(NOT(ISNUMBER(F37)),"",IF(F37&lt;1,"",IF(F37&lt;3,70,100)))</x:f>
        <x:v>100</x:v>
      </x:c>
      <x:c r="M37" s="35" t="n">
        <x:f>IF(ISNUMBER('sheet4-原始数据'!G22),'sheet4-原始数据'!G22,"")</x:f>
        <x:v>-0.0415</x:v>
      </x:c>
      <x:c r="N37" s="35" t="n">
        <x:f>IF(ISNUMBER('sheet4-原始数据'!H22),'sheet4-原始数据'!H22,"")</x:f>
        <x:v>0.0004</x:v>
      </x:c>
      <x:c r="O37" s="36" t="str">
        <x:f>IF(ISNUMBER('sheet4-原始数据'!Q22),'sheet4-原始数据'!Q22,"")</x:f>
      </x:c>
      <x:c r="P37" s="37" t="n">
        <x:f>IF($G37&lt;&gt;"入池","",IF($F37&gt;=3,IF(OR(NOT(ISNUMBER($M37)),NOT(ISNUMBER($N37)),1+$M37&lt;=0,1+$N37&lt;0),"",((1+$N37)^3/(1+$M37))^(1/2)-1),IF(OR($F37&lt;=1,NOT(ISNUMBER($M37)),NOT(ISNUMBER($O37)),1+$M37&lt;=0,1+$O37&lt;0),"",((1+$O37)^$F37/(1+$M37))^(1/($F37-1))-1)))</x:f>
        <x:v>0.02203193442058482</x:v>
      </x:c>
      <x:c r="Q37" s="17" t="n">
        <x:f>IF(OR($G37&lt;&gt;"入池",NOT(ISNUMBER(M37))),"",IF(COUNTIFS($G$17:$G$219,"入池",$M$17:$M$219,"&gt;=-1E+307",$M$17:$M$219,"&lt;=1E+307")&lt;=1,100,ROUND(100*(COUNTIFS($G$17:$G$219,"入池",$M$17:$M$219,"&gt;=-1E+307",$M$17:$M$219,"&lt;"&amp;M37)+COUNTIFS($G$17:$G$219,"入池",$M$17:$M$219,M37,$M$17:$M$219,"&gt;=-1E+307",$M$17:$M$219,"&lt;=1E+307")/2-0.5)/(COUNTIFS($G$17:$G$219,"入池",$M$17:$M$219,"&gt;=-1E+307",$M$17:$M$219,"&lt;=1E+307")-1),2)))</x:f>
        <x:v>9.9</x:v>
      </x:c>
      <x:c r="R37" s="17" t="n">
        <x:f>IF(OR($G37&lt;&gt;"入池",NOT(ISNUMBER(P37))),"",IF(COUNTIFS($G$17:$G$219,"入池",$P$17:$P$219,"&gt;=-1E+307",$P$17:$P$219,"&lt;=1E+307")&lt;=1,100,ROUND(100*(COUNTIFS($G$17:$G$219,"入池",$P$17:$P$219,"&gt;=-1E+307",$P$17:$P$219,"&lt;"&amp;P37)+COUNTIFS($G$17:$G$219,"入池",$P$17:$P$219,P37,$P$17:$P$219,"&gt;=-1E+307",$P$17:$P$219,"&lt;=1E+307")/2-0.5)/(COUNTIFS($G$17:$G$219,"入池",$P$17:$P$219,"&gt;=-1E+307",$P$17:$P$219,"&lt;=1E+307")-1),2)))</x:f>
        <x:v>10.89</x:v>
      </x:c>
      <x:c r="S37" s="17" t="n">
        <x:f>IF(NOT(ISNUMBER(Q37)),"",IF(NOT(ISNUMBER(R37)),Q37,ROUND(Q37*'sheet1-指标体系'!$J$8+R37*'sheet1-指标体系'!$J$9,2)))</x:f>
        <x:v>10.3</x:v>
      </x:c>
      <x:c r="T37" s="35" t="n">
        <x:f>IF(ISNUMBER('sheet4-原始数据'!J22),'sheet4-原始数据'!J22,"")</x:f>
        <x:v>0.6154</x:v>
      </x:c>
      <x:c r="U37" s="35" t="n">
        <x:f>IF(ISNUMBER('sheet4-原始数据'!I22),'sheet4-原始数据'!I22,"")</x:f>
        <x:v>0.5405</x:v>
      </x:c>
      <x:c r="V37" s="37" t="n">
        <x:f>IF(OR(NOT(ISNUMBER(T37)),NOT(ISNUMBER(U37))),"",(U37*'sheet1-指标体系'!$J$6-T37*'sheet1-指标体系'!$J$5)/'sheet1-指标体系'!$J$7)</x:f>
        <x:v>0.4999291666666667</x:v>
      </x:c>
      <x:c r="W37" s="17" t="n">
        <x:f>IF(NOT(ISNUMBER(T37)),"",T37*100)</x:f>
        <x:v>61.53999999999999</x:v>
      </x:c>
      <x:c r="X37" s="17" t="n">
        <x:f>IF($G37&lt;&gt;"入池","",IF(AND(ISNUMBER(V37),V37&gt;=0,V37&lt;=1),V37*100,IF(MAX(0,($F37-1)*12)&lt;6,100,"")))</x:f>
        <x:v>49.99291666666667</x:v>
      </x:c>
      <x:c r="Y37" s="17" t="n">
        <x:f>IF(NOT(ISNUMBER(W37)),"",IF(NOT(ISNUMBER(X37)),W37,ROUND(W37*'sheet1-指标体系'!$J$8+X37*'sheet1-指标体系'!$J$9,2)))</x:f>
        <x:v>56.92</x:v>
      </x:c>
      <x:c r="Z37" s="37" t="n">
        <x:f>IF(OR(NOT(ISNUMBER(M37)),NOT(ISNUMBER(AD37)),AD37=0),"",ABS(M37/AD37))</x:f>
        <x:v>0.10295212106177128</x:v>
      </x:c>
      <x:c r="AA37" s="35" t="n">
        <x:f>IF(ISNUMBER('sheet4-原始数据'!K22),'sheet4-原始数据'!K22,"")</x:f>
        <x:v>0.113</x:v>
      </x:c>
      <x:c r="AB37" s="37" t="n">
        <x:f>IF(COUNT(Z37:AA37)=0,"",MAX(Z37:AA37))</x:f>
        <x:v>0.113</x:v>
      </x:c>
      <x:c r="AC37" s="17" t="n">
        <x:f>IF(OR($G37&lt;&gt;"入池",NOT(ISNUMBER(AB37))),"",IF(COUNTIFS($G$17:$G$219,"入池",$AB$17:$AB$219,"&gt;=-1E+307",$AB$17:$AB$219,"&lt;=1E+307")&lt;=1,100,ROUND(100*(COUNTIFS($G$17:$G$219,"入池",$AB$17:$AB$219,"&lt;=1E+307",$AB$17:$AB$219,"&gt;"&amp;AB37)+COUNTIFS($G$17:$G$219,"入池",$AB$17:$AB$219,AB37,$AB$17:$AB$219,"&gt;=-1E+307",$AB$17:$AB$219,"&lt;=1E+307")/2-0.5)/(COUNTIFS($G$17:$G$219,"入池",$AB$17:$AB$219,"&gt;=-1E+307",$AB$17:$AB$219,"&lt;=1E+307")-1),2)))</x:f>
        <x:v>23.76</x:v>
      </x:c>
      <x:c r="AD37" s="38" t="n">
        <x:f>IF(ISNUMBER('sheet4-原始数据'!M22),'sheet4-原始数据'!M22,"")</x:f>
        <x:v>-0.4031</x:v>
      </x:c>
      <x:c r="AE37" s="37" t="n">
        <x:f>IF(OR(NOT(ISNUMBER(P37)),NOT(ISNUMBER(AA37)),NOT(ISNUMBER(Z37))),"",IF(AA37&gt;Z37+'sheet1-指标体系'!$J$11,AA37,""))</x:f>
        <x:v>0.113</x:v>
      </x:c>
      <x:c r="AF37" s="17" t="n">
        <x:f>IF(OR(NOT(ISNUMBER(P37)),NOT(ISNUMBER(AE37)),AE37=0),"",P37/AE37)</x:f>
        <x:v>0.19497287097862673</x:v>
      </x:c>
      <x:c r="AG37" s="17" t="n">
        <x:f>IF(OR($G37&lt;&gt;"入池",NOT(ISNUMBER(AD37))),"",IF(COUNTIFS($G$17:$G$219,"入池",$AD$17:$AD$219,"&gt;=-1E+307",$AD$17:$AD$219,"&lt;=1E+307")&lt;=1,100,ROUND(100*(COUNTIFS($G$17:$G$219,"入池",$AD$17:$AD$219,"&gt;=-1E+307",$AD$17:$AD$219,"&lt;"&amp;AD37)+COUNTIFS($G$17:$G$219,"入池",$AD$17:$AD$219,AD37,$AD$17:$AD$219,"&gt;=-1E+307",$AD$17:$AD$219,"&lt;=1E+307")/2-0.5)/(COUNTIFS($G$17:$G$219,"入池",$AD$17:$AD$219,"&gt;=-1E+307",$AD$17:$AD$219,"&lt;=1E+307")-1),2)))</x:f>
        <x:v>9.95</x:v>
      </x:c>
      <x:c r="AH37" s="17" t="n">
        <x:f>IF(OR($G37&lt;&gt;"入池",NOT(ISNUMBER(AF37))),"",IF(COUNTIFS($G$17:$G$219,"入池",$AF$17:$AF$219,"&gt;=-1E+307",$AF$17:$AF$219,"&lt;=1E+307")&lt;=1,100,ROUND(100*(COUNTIFS($G$17:$G$219,"入池",$AF$17:$AF$219,"&gt;=-1E+307",$AF$17:$AF$219,"&lt;"&amp;AF37)+COUNTIFS($G$17:$G$219,"入池",$AF$17:$AF$219,AF37,$AF$17:$AF$219,"&gt;=-1E+307",$AF$17:$AF$219,"&lt;=1E+307")/2-0.5)/(COUNTIFS($G$17:$G$219,"入池",$AF$17:$AF$219,"&gt;=-1E+307",$AF$17:$AF$219,"&lt;=1E+307")-1),2)))</x:f>
        <x:v>10.22</x:v>
      </x:c>
      <x:c r="AI37" s="17" t="n">
        <x:f>IF(NOT(ISNUMBER(AG37)),"",IF(NOT(ISNUMBER(AH37)),AG37,ROUND(AG37*'sheet1-指标体系'!$J$8+AH37*'sheet1-指标体系'!$J$9,2)))</x:f>
        <x:v>10.06</x:v>
      </x:c>
      <x:c r="AJ37" s="37" t="n">
        <x:f>IF(NOT(ISNUMBER(F37)),"",IF(F37&gt;=3,IF(NOT(ISNUMBER(N37)),"",N37),IF(NOT(ISNUMBER(O37)),"",O37)))</x:f>
        <x:v>0.0004</x:v>
      </x:c>
      <x:c r="AK37" s="17" t="n">
        <x:f>IF(OR(G37&lt;&gt;"入池",NOT(ISNUMBER(M37)),NOT(ISNUMBER(AJ37))),"",IF(M37&gt;=AJ37,100,IF(AJ37-M37&lt;'sheet1-指标体系'!$J$10,80,60)))</x:f>
        <x:v>80</x:v>
      </x:c>
      <x:c r="AL37" s="17" t="n">
        <x:f>IF(COUNT(I37,K37,L37)=0,"",ROUND((IF(ISNUMBER(I37),I37*40%,0)+IF(ISNUMBER(K37),K37*30%,0)+IF(ISNUMBER(L37),L37*30%,0))/(IF(ISNUMBER(I37),40%,0)+IF(ISNUMBER(K37),30%,0)+IF(ISNUMBER(L37),30%,0)),2))</x:f>
        <x:v>54</x:v>
      </x:c>
      <x:c r="AM37" s="17" t="n">
        <x:f>IF(COUNT(Q37,R37,W37,X37)=0,"",ROUND((IF(ISNUMBER(Q37),Q37*42%,0)+IF(ISNUMBER(R37),R37*28%,0)+IF(ISNUMBER(W37),W37*18%,0)+IF(ISNUMBER(X37),X37*12%,0))/(IF(ISNUMBER(Q37),42%,0)+IF(ISNUMBER(R37),28%,0)+IF(ISNUMBER(W37),18%,0)+IF(ISNUMBER(X37),12%,0)),2))</x:f>
        <x:v>24.28</x:v>
      </x:c>
      <x:c r="AN37" s="17" t="n">
        <x:f>IF(ISNUMBER(AC37),AC37,"")</x:f>
        <x:v>23.76</x:v>
      </x:c>
      <x:c r="AO37" s="17" t="n">
        <x:f>IF(COUNT(AG37,AH37)=0,"",ROUND((IF(ISNUMBER(AG37),AG37*60%,0)+IF(ISNUMBER(AH37),AH37*40%,0))/(IF(ISNUMBER(AG37),60%,0)+IF(ISNUMBER(AH37),40%,0)),2))</x:f>
        <x:v>10.06</x:v>
      </x:c>
      <x:c r="AP37" s="17" t="n">
        <x:f>IF(ISNUMBER(AK37),AK37,"")</x:f>
        <x:v>80</x:v>
      </x:c>
      <x:c r="AQ37" s="39" t="n">
        <x:f>IF(G37&lt;&gt;"入池",0,IF(ISNUMBER(I37),6%,0)+IF(ISNUMBER(K37),4.5%,0)+IF(ISNUMBER(L37),4.5%,0)+IF(ISNUMBER(Q37),8.4%,0)+IF(ISNUMBER(R37),5.6%,0)+IF(ISNUMBER(W37),3.6%,0)+IF(ISNUMBER(X37),2.4%,0)+IF(ISNUMBER(AC37),25%,0)+IF(ISNUMBER(AG37),18%,0)+IF(ISNUMBER(AH37),12%,0)+IF(ISNUMBER(AK37),10%,0))</x:f>
        <x:v>1</x:v>
      </x:c>
      <x:c r="AR37" s="17" t="n">
        <x:f>IF(AQ37=0,"",IF(ISNUMBER(I37),I37*6%,0)+IF(ISNUMBER(K37),K37*4.5%,0)+IF(ISNUMBER(L37),L37*4.5%,0)+IF(ISNUMBER(Q37),Q37*8.4%,0)+IF(ISNUMBER(R37),R37*5.6%,0)+IF(ISNUMBER(W37),W37*3.6%,0)+IF(ISNUMBER(X37),X37*2.4%,0)+IF(ISNUMBER(AC37),AC37*25%,0)+IF(ISNUMBER(AG37),AG37*18%,0)+IF(ISNUMBER(AH37),AH37*12%,0)+IF(ISNUMBER(AK37),AK37*10%,0))</x:f>
        <x:v>29.91411</x:v>
      </x:c>
      <x:c r="AS37" s="17" t="n">
        <x:f>IF(AQ37=0,"",ROUND(AR37/AQ37,2))</x:f>
        <x:v>29.91</x:v>
      </x:c>
      <x:c r="AT37" s="40" t="n">
        <x:f>IF(OR(G37&lt;&gt;"入池",NOT(ISNUMBER(AS37))),"",COUNTIFS($G$17:$G$219,"入池",$AS$17:$AS$219,"&gt;"&amp;AS37)+COUNTIFS($G$17:$G$219,"入池",$AS$17:$AS$219,AS37,$AQ$17:$AQ$219,"&gt;"&amp;AQ37)+COUNTIFS($G$17:G37,"入池",$AS$17:AS37,AS37,$AQ$17:AQ37,AQ37))</x:f>
        <x:v>193</x:v>
      </x:c>
      <x:c r="AU37" s="41" t="str">
        <x:f t="shared" si="2">IF(NOT(ISNUMBER(I37)),"管理人规模；","")&amp;IF(J37="","产品规模标识；","")&amp;IF(AND(F37&lt;3,NOT(ISNUMBER(O37))),"R_incep；","")&amp;IF(NOT(ISNUMBER(N37)),"近三年收益；","")&amp;IF(NOT(ISNUMBER(U37)),"近三年胜率；","")&amp;IF(AND(ISNUMBER(V37),OR(V37&lt;0,V37&gt;1)),"胜率窗口口径不一致；","")&amp;IF(NOT(ISNUMBER(AA37)),"近三年回撤；","")&amp;IF(NOT(ISNUMBER(AD37)),"短期卡玛；","")&amp;IF(AND(ISNUMBER(P37),NOT(ISNUMBER(AE37))),"DD_long不可识别；","")</x:f>
      </x:c>
      <x:c r="AV37" s="42" t="n">
        <x:v>0</x:v>
      </x:c>
      <x:c r="AW37" s="19" t="str">
        <x:v>广西银瓴资产管理有限公司</x:v>
      </x:c>
      <x:c r="AX37" s="19" t="str">
        <x:v>2026-07-09</x:v>
      </x:c>
      <x:c r="AY37" s="19" t="str">
        <x:v>https://gs.amac.org.cn/amac-infodisc/res/pof/manager/101000035485.html</x:v>
      </x:c>
      <x:c r="AZ37" s="19" t="str">
        <x:v>银瓴运通对冲套利致远3号私募证券投资基金</x:v>
      </x:c>
      <x:c r="BA37" s="19" t="str">
        <x:v>2024-12-04</x:v>
      </x:c>
      <x:c r="BB37" s="19" t="str">
        <x:v>2026年第2季度季度更新信息</x:v>
      </x:c>
      <x:c r="BC37" s="19" t="str">
        <x:v>https://gs.amac.org.cn/amac-infodisc/res/pof/fund/2006181800104261.html</x:v>
      </x:c>
      <x:c r="BD37" s="19" t="str">
        <x:v>已匹配</x:v>
      </x:c>
      <x:c r="BE37"/>
      <x:c r="BF37"/>
    </x:row>
    <x:row r="38" ht="28" customHeight="1">
      <x:c r="A38" s="4" t="n">
        <x:v>22</x:v>
      </x:c>
      <x:c r="B38" s="15" t="str">
        <x:f>'sheet4-原始数据'!A23</x:f>
        <x:v>银瓴运通对冲套利进取2号</x:v>
      </x:c>
      <x:c r="C38" s="15" t="str">
        <x:f>'sheet4-原始数据'!B23</x:f>
        <x:v>SLC022</x:v>
      </x:c>
      <x:c r="D38" s="15" t="str">
        <x:f>'sheet4-原始数据'!E23</x:f>
        <x:v>广西银瓴资产</x:v>
      </x:c>
      <x:c r="E38" s="32" t="n">
        <x:f>IF(ISNUMBER('sheet4-原始数据'!F23),'sheet4-原始数据'!F23,"")</x:f>
        <x:v>43998</x:v>
      </x:c>
      <x:c r="F38" s="17" t="n">
        <x:f>IF(NOT(ISNUMBER(E38)),"",ROUND(('sheet1-指标体系'!$J$23-E38)/365.25,4))</x:f>
        <x:v>6.2505</x:v>
      </x:c>
      <x:c r="G38" s="4" t="str">
        <x:f t="shared" si="1">IF(NOT(ISNUMBER(F38)),"",IF(F38&lt;1,"不入池","入池"))</x:f>
        <x:v>入池</x:v>
      </x:c>
      <x:c r="H38" s="33" t="str">
        <x:v>0-5亿元</x:v>
      </x:c>
      <x:c r="I38" s="17" t="n">
        <x:f>IF(H38="","",IF(ISNUMBER(SEARCH("100亿元以上",H38)),100,IF(OR(ISNUMBER(SEARCH("20-50",H38)),ISNUMBER(SEARCH("50-100",H38)),ISNUMBER(SEARCH("20-100",H38))),90,IF(ISNUMBER(SEARCH("10-20",H38)),80,IF(ISNUMBER(SEARCH("5-10",H38)),70,IF(ISNUMBER(SEARCH("0-5",H38)),60,""))))))</x:f>
        <x:v>60</x:v>
      </x:c>
      <x:c r="J38" s="34" t="str">
        <x:v>无低于1000万元标识</x:v>
      </x:c>
      <x:c r="K38" s="17" t="n">
        <x:f>IF(J38="","",IF(J38="低于1000万元",0,100))</x:f>
        <x:v>100</x:v>
      </x:c>
      <x:c r="L38" s="17" t="n">
        <x:f>IF(NOT(ISNUMBER(F38)),"",IF(F38&lt;1,"",IF(F38&lt;3,70,100)))</x:f>
        <x:v>100</x:v>
      </x:c>
      <x:c r="M38" s="35" t="n">
        <x:f>IF(ISNUMBER('sheet4-原始数据'!G23),'sheet4-原始数据'!G23,"")</x:f>
        <x:v>-0.015</x:v>
      </x:c>
      <x:c r="N38" s="35" t="n">
        <x:f>IF(ISNUMBER('sheet4-原始数据'!H23),'sheet4-原始数据'!H23,"")</x:f>
        <x:v>-0.0118</x:v>
      </x:c>
      <x:c r="O38" s="36" t="str">
        <x:f>IF(ISNUMBER('sheet4-原始数据'!Q23),'sheet4-原始数据'!Q23,"")</x:f>
      </x:c>
      <x:c r="P38" s="37" t="n">
        <x:f>IF($G38&lt;&gt;"入池","",IF($F38&gt;=3,IF(OR(NOT(ISNUMBER($M38)),NOT(ISNUMBER($N38)),1+$M38&lt;=0,1+$N38&lt;0),"",((1+$N38)^3/(1+$M38))^(1/2)-1),IF(OR($F38&lt;=1,NOT(ISNUMBER($M38)),NOT(ISNUMBER($O38)),1+$M38&lt;=0,1+$O38&lt;0),"",((1+$O38)^$F38/(1+$M38))^(1/($F38-1))-1)))</x:f>
        <x:v>-0.010196103631125886</x:v>
      </x:c>
      <x:c r="Q38" s="17" t="n">
        <x:f>IF(OR($G38&lt;&gt;"入池",NOT(ISNUMBER(M38))),"",IF(COUNTIFS($G$17:$G$219,"入池",$M$17:$M$219,"&gt;=-1E+307",$M$17:$M$219,"&lt;=1E+307")&lt;=1,100,ROUND(100*(COUNTIFS($G$17:$G$219,"入池",$M$17:$M$219,"&gt;=-1E+307",$M$17:$M$219,"&lt;"&amp;M38)+COUNTIFS($G$17:$G$219,"入池",$M$17:$M$219,M38,$M$17:$M$219,"&gt;=-1E+307",$M$17:$M$219,"&lt;=1E+307")/2-0.5)/(COUNTIFS($G$17:$G$219,"入池",$M$17:$M$219,"&gt;=-1E+307",$M$17:$M$219,"&lt;=1E+307")-1),2)))</x:f>
        <x:v>14.85</x:v>
      </x:c>
      <x:c r="R38" s="17" t="n">
        <x:f>IF(OR($G38&lt;&gt;"入池",NOT(ISNUMBER(P38))),"",IF(COUNTIFS($G$17:$G$219,"入池",$P$17:$P$219,"&gt;=-1E+307",$P$17:$P$219,"&lt;=1E+307")&lt;=1,100,ROUND(100*(COUNTIFS($G$17:$G$219,"入池",$P$17:$P$219,"&gt;=-1E+307",$P$17:$P$219,"&lt;"&amp;P38)+COUNTIFS($G$17:$G$219,"入池",$P$17:$P$219,P38,$P$17:$P$219,"&gt;=-1E+307",$P$17:$P$219,"&lt;=1E+307")/2-0.5)/(COUNTIFS($G$17:$G$219,"入池",$P$17:$P$219,"&gt;=-1E+307",$P$17:$P$219,"&lt;=1E+307")-1),2)))</x:f>
        <x:v>3.96</x:v>
      </x:c>
      <x:c r="S38" s="17" t="n">
        <x:f>IF(NOT(ISNUMBER(Q38)),"",IF(NOT(ISNUMBER(R38)),Q38,ROUND(Q38*'sheet1-指标体系'!$J$8+R38*'sheet1-指标体系'!$J$9,2)))</x:f>
        <x:v>10.49</x:v>
      </x:c>
      <x:c r="T38" s="35" t="n">
        <x:f>IF(ISNUMBER('sheet4-原始数据'!J23),'sheet4-原始数据'!J23,"")</x:f>
        <x:v>0.3846</x:v>
      </x:c>
      <x:c r="U38" s="35" t="n">
        <x:f>IF(ISNUMBER('sheet4-原始数据'!I23),'sheet4-原始数据'!I23,"")</x:f>
        <x:v>0.4324</x:v>
      </x:c>
      <x:c r="V38" s="37" t="n">
        <x:f>IF(OR(NOT(ISNUMBER(T38)),NOT(ISNUMBER(U38))),"",(U38*'sheet1-指标体系'!$J$6-T38*'sheet1-指标体系'!$J$5)/'sheet1-指标体系'!$J$7)</x:f>
        <x:v>0.45829166666666676</x:v>
      </x:c>
      <x:c r="W38" s="17" t="n">
        <x:f>IF(NOT(ISNUMBER(T38)),"",T38*100)</x:f>
        <x:v>38.46</x:v>
      </x:c>
      <x:c r="X38" s="17" t="n">
        <x:f>IF($G38&lt;&gt;"入池","",IF(AND(ISNUMBER(V38),V38&gt;=0,V38&lt;=1),V38*100,IF(MAX(0,($F38-1)*12)&lt;6,100,"")))</x:f>
        <x:v>45.82916666666668</x:v>
      </x:c>
      <x:c r="Y38" s="17" t="n">
        <x:f>IF(NOT(ISNUMBER(W38)),"",IF(NOT(ISNUMBER(X38)),W38,ROUND(W38*'sheet1-指标体系'!$J$8+X38*'sheet1-指标体系'!$J$9,2)))</x:f>
        <x:v>41.41</x:v>
      </x:c>
      <x:c r="Z38" s="37" t="n">
        <x:f>IF(OR(NOT(ISNUMBER(M38)),NOT(ISNUMBER(AD38)),AD38=0),"",ABS(M38/AD38))</x:f>
        <x:v>0.07614213197969542</x:v>
      </x:c>
      <x:c r="AA38" s="35" t="n">
        <x:f>IF(ISNUMBER('sheet4-原始数据'!K23),'sheet4-原始数据'!K23,"")</x:f>
        <x:v>0.17379999999999998</x:v>
      </x:c>
      <x:c r="AB38" s="37" t="n">
        <x:f>IF(COUNT(Z38:AA38)=0,"",MAX(Z38:AA38))</x:f>
        <x:v>0.17379999999999998</x:v>
      </x:c>
      <x:c r="AC38" s="17" t="n">
        <x:f>IF(OR($G38&lt;&gt;"入池",NOT(ISNUMBER(AB38))),"",IF(COUNTIFS($G$17:$G$219,"入池",$AB$17:$AB$219,"&gt;=-1E+307",$AB$17:$AB$219,"&lt;=1E+307")&lt;=1,100,ROUND(100*(COUNTIFS($G$17:$G$219,"入池",$AB$17:$AB$219,"&lt;=1E+307",$AB$17:$AB$219,"&gt;"&amp;AB38)+COUNTIFS($G$17:$G$219,"入池",$AB$17:$AB$219,AB38,$AB$17:$AB$219,"&gt;=-1E+307",$AB$17:$AB$219,"&lt;=1E+307")/2-0.5)/(COUNTIFS($G$17:$G$219,"入池",$AB$17:$AB$219,"&gt;=-1E+307",$AB$17:$AB$219,"&lt;=1E+307")-1),2)))</x:f>
        <x:v>11.88</x:v>
      </x:c>
      <x:c r="AD38" s="38" t="n">
        <x:f>IF(ISNUMBER('sheet4-原始数据'!M23),'sheet4-原始数据'!M23,"")</x:f>
        <x:v>-0.197</x:v>
      </x:c>
      <x:c r="AE38" s="37" t="n">
        <x:f>IF(OR(NOT(ISNUMBER(P38)),NOT(ISNUMBER(AA38)),NOT(ISNUMBER(Z38))),"",IF(AA38&gt;Z38+'sheet1-指标体系'!$J$11,AA38,""))</x:f>
        <x:v>0.17379999999999998</x:v>
      </x:c>
      <x:c r="AF38" s="17" t="n">
        <x:f>IF(OR(NOT(ISNUMBER(P38)),NOT(ISNUMBER(AE38)),AE38=0),"",P38/AE38)</x:f>
        <x:v>-0.05866572860256552</x:v>
      </x:c>
      <x:c r="AG38" s="17" t="n">
        <x:f>IF(OR($G38&lt;&gt;"入池",NOT(ISNUMBER(AD38))),"",IF(COUNTIFS($G$17:$G$219,"入池",$AD$17:$AD$219,"&gt;=-1E+307",$AD$17:$AD$219,"&lt;=1E+307")&lt;=1,100,ROUND(100*(COUNTIFS($G$17:$G$219,"入池",$AD$17:$AD$219,"&gt;=-1E+307",$AD$17:$AD$219,"&lt;"&amp;AD38)+COUNTIFS($G$17:$G$219,"入池",$AD$17:$AD$219,AD38,$AD$17:$AD$219,"&gt;=-1E+307",$AD$17:$AD$219,"&lt;=1E+307")/2-0.5)/(COUNTIFS($G$17:$G$219,"入池",$AD$17:$AD$219,"&gt;=-1E+307",$AD$17:$AD$219,"&lt;=1E+307")-1),2)))</x:f>
        <x:v>13.43</x:v>
      </x:c>
      <x:c r="AH38" s="17" t="n">
        <x:f>IF(OR($G38&lt;&gt;"入池",NOT(ISNUMBER(AF38))),"",IF(COUNTIFS($G$17:$G$219,"入池",$AF$17:$AF$219,"&gt;=-1E+307",$AF$17:$AF$219,"&lt;=1E+307")&lt;=1,100,ROUND(100*(COUNTIFS($G$17:$G$219,"入池",$AF$17:$AF$219,"&gt;=-1E+307",$AF$17:$AF$219,"&lt;"&amp;AF38)+COUNTIFS($G$17:$G$219,"入池",$AF$17:$AF$219,AF38,$AF$17:$AF$219,"&gt;=-1E+307",$AF$17:$AF$219,"&lt;=1E+307")/2-0.5)/(COUNTIFS($G$17:$G$219,"入池",$AF$17:$AF$219,"&gt;=-1E+307",$AF$17:$AF$219,"&lt;=1E+307")-1),2)))</x:f>
        <x:v>5.84</x:v>
      </x:c>
      <x:c r="AI38" s="17" t="n">
        <x:f>IF(NOT(ISNUMBER(AG38)),"",IF(NOT(ISNUMBER(AH38)),AG38,ROUND(AG38*'sheet1-指标体系'!$J$8+AH38*'sheet1-指标体系'!$J$9,2)))</x:f>
        <x:v>10.39</x:v>
      </x:c>
      <x:c r="AJ38" s="37" t="n">
        <x:f>IF(NOT(ISNUMBER(F38)),"",IF(F38&gt;=3,IF(NOT(ISNUMBER(N38)),"",N38),IF(NOT(ISNUMBER(O38)),"",O38)))</x:f>
        <x:v>-0.0118</x:v>
      </x:c>
      <x:c r="AK38" s="17" t="n">
        <x:f>IF(OR(G38&lt;&gt;"入池",NOT(ISNUMBER(M38)),NOT(ISNUMBER(AJ38))),"",IF(M38&gt;=AJ38,100,IF(AJ38-M38&lt;'sheet1-指标体系'!$J$10,80,60)))</x:f>
        <x:v>80</x:v>
      </x:c>
      <x:c r="AL38" s="17" t="n">
        <x:f>IF(COUNT(I38,K38,L38)=0,"",ROUND((IF(ISNUMBER(I38),I38*40%,0)+IF(ISNUMBER(K38),K38*30%,0)+IF(ISNUMBER(L38),L38*30%,0))/(IF(ISNUMBER(I38),40%,0)+IF(ISNUMBER(K38),30%,0)+IF(ISNUMBER(L38),30%,0)),2))</x:f>
        <x:v>84</x:v>
      </x:c>
      <x:c r="AM38" s="17" t="n">
        <x:f>IF(COUNT(Q38,R38,W38,X38)=0,"",ROUND((IF(ISNUMBER(Q38),Q38*42%,0)+IF(ISNUMBER(R38),R38*28%,0)+IF(ISNUMBER(W38),W38*18%,0)+IF(ISNUMBER(X38),X38*12%,0))/(IF(ISNUMBER(Q38),42%,0)+IF(ISNUMBER(R38),28%,0)+IF(ISNUMBER(W38),18%,0)+IF(ISNUMBER(X38),12%,0)),2))</x:f>
        <x:v>19.77</x:v>
      </x:c>
      <x:c r="AN38" s="17" t="n">
        <x:f>IF(ISNUMBER(AC38),AC38,"")</x:f>
        <x:v>11.88</x:v>
      </x:c>
      <x:c r="AO38" s="17" t="n">
        <x:f>IF(COUNT(AG38,AH38)=0,"",ROUND((IF(ISNUMBER(AG38),AG38*60%,0)+IF(ISNUMBER(AH38),AH38*40%,0))/(IF(ISNUMBER(AG38),60%,0)+IF(ISNUMBER(AH38),40%,0)),2))</x:f>
        <x:v>10.39</x:v>
      </x:c>
      <x:c r="AP38" s="17" t="n">
        <x:f>IF(ISNUMBER(AK38),AK38,"")</x:f>
        <x:v>80</x:v>
      </x:c>
      <x:c r="AQ38" s="39" t="n">
        <x:f>IF(G38&lt;&gt;"入池",0,IF(ISNUMBER(I38),6%,0)+IF(ISNUMBER(K38),4.5%,0)+IF(ISNUMBER(L38),4.5%,0)+IF(ISNUMBER(Q38),8.4%,0)+IF(ISNUMBER(R38),5.6%,0)+IF(ISNUMBER(W38),3.6%,0)+IF(ISNUMBER(X38),2.4%,0)+IF(ISNUMBER(AC38),25%,0)+IF(ISNUMBER(AG38),18%,0)+IF(ISNUMBER(AH38),12%,0)+IF(ISNUMBER(AK38),10%,0))</x:f>
        <x:v>1</x:v>
      </x:c>
      <x:c r="AR38" s="17" t="n">
        <x:f>IF(AQ38=0,"",IF(ISNUMBER(I38),I38*6%,0)+IF(ISNUMBER(K38),K38*4.5%,0)+IF(ISNUMBER(L38),L38*4.5%,0)+IF(ISNUMBER(Q38),Q38*8.4%,0)+IF(ISNUMBER(R38),R38*5.6%,0)+IF(ISNUMBER(W38),W38*3.6%,0)+IF(ISNUMBER(X38),X38*2.4%,0)+IF(ISNUMBER(AC38),AC38*25%,0)+IF(ISNUMBER(AG38),AG38*18%,0)+IF(ISNUMBER(AH38),AH38*12%,0)+IF(ISNUMBER(AK38),AK38*10%,0))</x:f>
        <x:v>30.641820000000003</x:v>
      </x:c>
      <x:c r="AS38" s="17" t="n">
        <x:f>IF(AQ38=0,"",ROUND(AR38/AQ38,2))</x:f>
        <x:v>30.64</x:v>
      </x:c>
      <x:c r="AT38" s="40" t="n">
        <x:f>IF(OR(G38&lt;&gt;"入池",NOT(ISNUMBER(AS38))),"",COUNTIFS($G$17:$G$219,"入池",$AS$17:$AS$219,"&gt;"&amp;AS38)+COUNTIFS($G$17:$G$219,"入池",$AS$17:$AS$219,AS38,$AQ$17:$AQ$219,"&gt;"&amp;AQ38)+COUNTIFS($G$17:G38,"入池",$AS$17:AS38,AS38,$AQ$17:AQ38,AQ38))</x:f>
        <x:v>190</x:v>
      </x:c>
      <x:c r="AU38" s="41" t="str">
        <x:f t="shared" si="2">IF(NOT(ISNUMBER(I38)),"管理人规模；","")&amp;IF(J38="","产品规模标识；","")&amp;IF(AND(F38&lt;3,NOT(ISNUMBER(O38))),"R_incep；","")&amp;IF(NOT(ISNUMBER(N38)),"近三年收益；","")&amp;IF(NOT(ISNUMBER(U38)),"近三年胜率；","")&amp;IF(AND(ISNUMBER(V38),OR(V38&lt;0,V38&gt;1)),"胜率窗口口径不一致；","")&amp;IF(NOT(ISNUMBER(AA38)),"近三年回撤；","")&amp;IF(NOT(ISNUMBER(AD38)),"短期卡玛；","")&amp;IF(AND(ISNUMBER(P38),NOT(ISNUMBER(AE38))),"DD_long不可识别；","")</x:f>
      </x:c>
      <x:c r="AV38" s="42" t="n">
        <x:v>0</x:v>
      </x:c>
      <x:c r="AW38" s="19" t="str">
        <x:v>广西银瓴资产管理有限公司</x:v>
      </x:c>
      <x:c r="AX38" s="19" t="str">
        <x:v>2026-07-09</x:v>
      </x:c>
      <x:c r="AY38" s="19" t="str">
        <x:v>https://gs.amac.org.cn/amac-infodisc/res/pof/manager/101000035485.html</x:v>
      </x:c>
      <x:c r="AZ38" s="19" t="str">
        <x:v>银瓴运通对冲套利进取2号私募证券投资基金</x:v>
      </x:c>
      <x:c r="BA38" s="19" t="str">
        <x:v>2024-12-04</x:v>
      </x:c>
      <x:c r="BB38" s="19"/>
      <x:c r="BC38" s="19" t="str">
        <x:v>https://gs.amac.org.cn/amac-infodisc/res/pof/fund/2006192211107635.html</x:v>
      </x:c>
      <x:c r="BD38" s="19" t="str">
        <x:v>已匹配</x:v>
      </x:c>
      <x:c r="BE38"/>
      <x:c r="BF38"/>
    </x:row>
    <x:row r="39" ht="28" customHeight="1">
      <x:c r="A39" s="4" t="n">
        <x:v>23</x:v>
      </x:c>
      <x:c r="B39" s="15" t="str">
        <x:f>'sheet4-原始数据'!A24</x:f>
        <x:v>铭杉量化稳健5号</x:v>
      </x:c>
      <x:c r="C39" s="15" t="str">
        <x:f>'sheet4-原始数据'!B24</x:f>
        <x:v>SLT573</x:v>
      </x:c>
      <x:c r="D39" s="15" t="str">
        <x:f>'sheet4-原始数据'!E24</x:f>
        <x:v>上海铭杉投资</x:v>
      </x:c>
      <x:c r="E39" s="32" t="n">
        <x:f>IF(ISNUMBER('sheet4-原始数据'!F24),'sheet4-原始数据'!F24,"")</x:f>
        <x:v>44088</x:v>
      </x:c>
      <x:c r="F39" s="17" t="n">
        <x:f>IF(NOT(ISNUMBER(E39)),"",ROUND(('sheet1-指标体系'!$J$23-E39)/365.25,4))</x:f>
        <x:v>6.0041</x:v>
      </x:c>
      <x:c r="G39" s="4" t="str">
        <x:f t="shared" si="1">IF(NOT(ISNUMBER(F39)),"",IF(F39&lt;1,"不入池","入池"))</x:f>
        <x:v>入池</x:v>
      </x:c>
      <x:c r="H39" s="33" t="str">
        <x:v>0-5亿元</x:v>
      </x:c>
      <x:c r="I39" s="17" t="n">
        <x:f>IF(H39="","",IF(ISNUMBER(SEARCH("100亿元以上",H39)),100,IF(OR(ISNUMBER(SEARCH("20-50",H39)),ISNUMBER(SEARCH("50-100",H39)),ISNUMBER(SEARCH("20-100",H39))),90,IF(ISNUMBER(SEARCH("10-20",H39)),80,IF(ISNUMBER(SEARCH("5-10",H39)),70,IF(ISNUMBER(SEARCH("0-5",H39)),60,""))))))</x:f>
        <x:v>60</x:v>
      </x:c>
      <x:c r="J39" s="34" t="str">
        <x:v>低于1000万元</x:v>
      </x:c>
      <x:c r="K39" s="17" t="n">
        <x:f>IF(J39="","",IF(J39="低于1000万元",0,100))</x:f>
        <x:v>0</x:v>
      </x:c>
      <x:c r="L39" s="17" t="n">
        <x:f>IF(NOT(ISNUMBER(F39)),"",IF(F39&lt;1,"",IF(F39&lt;3,70,100)))</x:f>
        <x:v>100</x:v>
      </x:c>
      <x:c r="M39" s="35" t="n">
        <x:f>IF(ISNUMBER('sheet4-原始数据'!G24),'sheet4-原始数据'!G24,"")</x:f>
        <x:v>0.056299999999999996</x:v>
      </x:c>
      <x:c r="N39" s="35" t="n">
        <x:f>IF(ISNUMBER('sheet4-原始数据'!H24),'sheet4-原始数据'!H24,"")</x:f>
        <x:v>0.057800000000000004</x:v>
      </x:c>
      <x:c r="O39" s="36" t="str">
        <x:f>IF(ISNUMBER('sheet4-原始数据'!Q24),'sheet4-原始数据'!Q24,"")</x:f>
      </x:c>
      <x:c r="P39" s="37" t="n">
        <x:f>IF($G39&lt;&gt;"入池","",IF($F39&gt;=3,IF(OR(NOT(ISNUMBER($M39)),NOT(ISNUMBER($N39)),1+$M39&lt;=0,1+$N39&lt;0),"",((1+$N39)^3/(1+$M39))^(1/2)-1),IF(OR($F39&lt;=1,NOT(ISNUMBER($M39)),NOT(ISNUMBER($O39)),1+$M39&lt;=0,1+$O39&lt;0),"",((1+$O39)^$F39/(1+$M39))^(1/($F39-1))-1)))</x:f>
        <x:v>0.05855079858980572</x:v>
      </x:c>
      <x:c r="Q39" s="17" t="n">
        <x:f>IF(OR($G39&lt;&gt;"入池",NOT(ISNUMBER(M39))),"",IF(COUNTIFS($G$17:$G$219,"入池",$M$17:$M$219,"&gt;=-1E+307",$M$17:$M$219,"&lt;=1E+307")&lt;=1,100,ROUND(100*(COUNTIFS($G$17:$G$219,"入池",$M$17:$M$219,"&gt;=-1E+307",$M$17:$M$219,"&lt;"&amp;M39)+COUNTIFS($G$17:$G$219,"入池",$M$17:$M$219,M39,$M$17:$M$219,"&gt;=-1E+307",$M$17:$M$219,"&lt;=1E+307")/2-0.5)/(COUNTIFS($G$17:$G$219,"入池",$M$17:$M$219,"&gt;=-1E+307",$M$17:$M$219,"&lt;=1E+307")-1),2)))</x:f>
        <x:v>52.23</x:v>
      </x:c>
      <x:c r="R39" s="17" t="n">
        <x:f>IF(OR($G39&lt;&gt;"入池",NOT(ISNUMBER(P39))),"",IF(COUNTIFS($G$17:$G$219,"入池",$P$17:$P$219,"&gt;=-1E+307",$P$17:$P$219,"&lt;=1E+307")&lt;=1,100,ROUND(100*(COUNTIFS($G$17:$G$219,"入池",$P$17:$P$219,"&gt;=-1E+307",$P$17:$P$219,"&lt;"&amp;P39)+COUNTIFS($G$17:$G$219,"入池",$P$17:$P$219,P39,$P$17:$P$219,"&gt;=-1E+307",$P$17:$P$219,"&lt;=1E+307")/2-0.5)/(COUNTIFS($G$17:$G$219,"入池",$P$17:$P$219,"&gt;=-1E+307",$P$17:$P$219,"&lt;=1E+307")-1),2)))</x:f>
        <x:v>48.02</x:v>
      </x:c>
      <x:c r="S39" s="17" t="n">
        <x:f>IF(NOT(ISNUMBER(Q39)),"",IF(NOT(ISNUMBER(R39)),Q39,ROUND(Q39*'sheet1-指标体系'!$J$8+R39*'sheet1-指标体系'!$J$9,2)))</x:f>
        <x:v>50.55</x:v>
      </x:c>
      <x:c r="T39" s="35" t="n">
        <x:f>IF(ISNUMBER('sheet4-原始数据'!J24),'sheet4-原始数据'!J24,"")</x:f>
        <x:v>0.7692</x:v>
      </x:c>
      <x:c r="U39" s="35" t="n">
        <x:f>IF(ISNUMBER('sheet4-原始数据'!I24),'sheet4-原始数据'!I24,"")</x:f>
        <x:v>0.8649</x:v>
      </x:c>
      <x:c r="V39" s="37" t="n">
        <x:f>IF(OR(NOT(ISNUMBER(T39)),NOT(ISNUMBER(U39))),"",(U39*'sheet1-指标体系'!$J$6-T39*'sheet1-指标体系'!$J$5)/'sheet1-指标体系'!$J$7)</x:f>
        <x:v>0.9167375</x:v>
      </x:c>
      <x:c r="W39" s="17" t="n">
        <x:f>IF(NOT(ISNUMBER(T39)),"",T39*100)</x:f>
        <x:v>76.92</x:v>
      </x:c>
      <x:c r="X39" s="17" t="n">
        <x:f>IF($G39&lt;&gt;"入池","",IF(AND(ISNUMBER(V39),V39&gt;=0,V39&lt;=1),V39*100,IF(MAX(0,($F39-1)*12)&lt;6,100,"")))</x:f>
        <x:v>91.67375</x:v>
      </x:c>
      <x:c r="Y39" s="17" t="n">
        <x:f>IF(NOT(ISNUMBER(W39)),"",IF(NOT(ISNUMBER(X39)),W39,ROUND(W39*'sheet1-指标体系'!$J$8+X39*'sheet1-指标体系'!$J$9,2)))</x:f>
        <x:v>82.82</x:v>
      </x:c>
      <x:c r="Z39" s="37" t="n">
        <x:f>IF(OR(NOT(ISNUMBER(M39)),NOT(ISNUMBER(AD39)),AD39=0),"",ABS(M39/AD39))</x:f>
        <x:v>0.025103669683863197</x:v>
      </x:c>
      <x:c r="AA39" s="35" t="n">
        <x:f>IF(ISNUMBER('sheet4-原始数据'!K24),'sheet4-原始数据'!K24,"")</x:f>
        <x:v>0.025099999999999997</x:v>
      </x:c>
      <x:c r="AB39" s="37" t="n">
        <x:f>IF(COUNT(Z39:AA39)=0,"",MAX(Z39:AA39))</x:f>
        <x:v>0.025103669683863197</x:v>
      </x:c>
      <x:c r="AC39" s="17" t="n">
        <x:f>IF(OR($G39&lt;&gt;"入池",NOT(ISNUMBER(AB39))),"",IF(COUNTIFS($G$17:$G$219,"入池",$AB$17:$AB$219,"&gt;=-1E+307",$AB$17:$AB$219,"&lt;=1E+307")&lt;=1,100,ROUND(100*(COUNTIFS($G$17:$G$219,"入池",$AB$17:$AB$219,"&lt;=1E+307",$AB$17:$AB$219,"&gt;"&amp;AB39)+COUNTIFS($G$17:$G$219,"入池",$AB$17:$AB$219,AB39,$AB$17:$AB$219,"&gt;=-1E+307",$AB$17:$AB$219,"&lt;=1E+307")/2-0.5)/(COUNTIFS($G$17:$G$219,"入池",$AB$17:$AB$219,"&gt;=-1E+307",$AB$17:$AB$219,"&lt;=1E+307")-1),2)))</x:f>
        <x:v>67.33</x:v>
      </x:c>
      <x:c r="AD39" s="38" t="n">
        <x:f>IF(ISNUMBER('sheet4-原始数据'!M24),'sheet4-原始数据'!M24,"")</x:f>
        <x:v>2.2427</x:v>
      </x:c>
      <x:c r="AE39" s="37" t="str">
        <x:f>IF(OR(NOT(ISNUMBER(P39)),NOT(ISNUMBER(AA39)),NOT(ISNUMBER(Z39))),"",IF(AA39&gt;Z39+'sheet1-指标体系'!$J$11,AA39,""))</x:f>
      </x:c>
      <x:c r="AF39" s="17" t="str">
        <x:f>IF(OR(NOT(ISNUMBER(P39)),NOT(ISNUMBER(AE39)),AE39=0),"",P39/AE39)</x:f>
      </x:c>
      <x:c r="AG39" s="17" t="n">
        <x:f>IF(OR($G39&lt;&gt;"入池",NOT(ISNUMBER(AD39))),"",IF(COUNTIFS($G$17:$G$219,"入池",$AD$17:$AD$219,"&gt;=-1E+307",$AD$17:$AD$219,"&lt;=1E+307")&lt;=1,100,ROUND(100*(COUNTIFS($G$17:$G$219,"入池",$AD$17:$AD$219,"&gt;=-1E+307",$AD$17:$AD$219,"&lt;"&amp;AD39)+COUNTIFS($G$17:$G$219,"入池",$AD$17:$AD$219,AD39,$AD$17:$AD$219,"&gt;=-1E+307",$AD$17:$AD$219,"&lt;=1E+307")/2-0.5)/(COUNTIFS($G$17:$G$219,"入池",$AD$17:$AD$219,"&gt;=-1E+307",$AD$17:$AD$219,"&lt;=1E+307")-1),2)))</x:f>
        <x:v>47.76</x:v>
      </x:c>
      <x:c r="AH39" s="17" t="str">
        <x:f>IF(OR($G39&lt;&gt;"入池",NOT(ISNUMBER(AF39))),"",IF(COUNTIFS($G$17:$G$219,"入池",$AF$17:$AF$219,"&gt;=-1E+307",$AF$17:$AF$219,"&lt;=1E+307")&lt;=1,100,ROUND(100*(COUNTIFS($G$17:$G$219,"入池",$AF$17:$AF$219,"&gt;=-1E+307",$AF$17:$AF$219,"&lt;"&amp;AF39)+COUNTIFS($G$17:$G$219,"入池",$AF$17:$AF$219,AF39,$AF$17:$AF$219,"&gt;=-1E+307",$AF$17:$AF$219,"&lt;=1E+307")/2-0.5)/(COUNTIFS($G$17:$G$219,"入池",$AF$17:$AF$219,"&gt;=-1E+307",$AF$17:$AF$219,"&lt;=1E+307")-1),2)))</x:f>
      </x:c>
      <x:c r="AI39" s="17" t="n">
        <x:f>IF(NOT(ISNUMBER(AG39)),"",IF(NOT(ISNUMBER(AH39)),AG39,ROUND(AG39*'sheet1-指标体系'!$J$8+AH39*'sheet1-指标体系'!$J$9,2)))</x:f>
        <x:v>47.76</x:v>
      </x:c>
      <x:c r="AJ39" s="37" t="n">
        <x:f>IF(NOT(ISNUMBER(F39)),"",IF(F39&gt;=3,IF(NOT(ISNUMBER(N39)),"",N39),IF(NOT(ISNUMBER(O39)),"",O39)))</x:f>
        <x:v>0.057800000000000004</x:v>
      </x:c>
      <x:c r="AK39" s="17" t="n">
        <x:f>IF(OR(G39&lt;&gt;"入池",NOT(ISNUMBER(M39)),NOT(ISNUMBER(AJ39))),"",IF(M39&gt;=AJ39,100,IF(AJ39-M39&lt;'sheet1-指标体系'!$J$10,80,60)))</x:f>
        <x:v>80</x:v>
      </x:c>
      <x:c r="AL39" s="17" t="n">
        <x:f>IF(COUNT(I39,K39,L39)=0,"",ROUND((IF(ISNUMBER(I39),I39*40%,0)+IF(ISNUMBER(K39),K39*30%,0)+IF(ISNUMBER(L39),L39*30%,0))/(IF(ISNUMBER(I39),40%,0)+IF(ISNUMBER(K39),30%,0)+IF(ISNUMBER(L39),30%,0)),2))</x:f>
        <x:v>54</x:v>
      </x:c>
      <x:c r="AM39" s="17" t="n">
        <x:f>IF(COUNT(Q39,R39,W39,X39)=0,"",ROUND((IF(ISNUMBER(Q39),Q39*42%,0)+IF(ISNUMBER(R39),R39*28%,0)+IF(ISNUMBER(W39),W39*18%,0)+IF(ISNUMBER(X39),X39*12%,0))/(IF(ISNUMBER(Q39),42%,0)+IF(ISNUMBER(R39),28%,0)+IF(ISNUMBER(W39),18%,0)+IF(ISNUMBER(X39),12%,0)),2))</x:f>
        <x:v>60.23</x:v>
      </x:c>
      <x:c r="AN39" s="17" t="n">
        <x:f>IF(ISNUMBER(AC39),AC39,"")</x:f>
        <x:v>67.33</x:v>
      </x:c>
      <x:c r="AO39" s="17" t="n">
        <x:f>IF(COUNT(AG39,AH39)=0,"",ROUND((IF(ISNUMBER(AG39),AG39*60%,0)+IF(ISNUMBER(AH39),AH39*40%,0))/(IF(ISNUMBER(AG39),60%,0)+IF(ISNUMBER(AH39),40%,0)),2))</x:f>
        <x:v>47.76</x:v>
      </x:c>
      <x:c r="AP39" s="17" t="n">
        <x:f>IF(ISNUMBER(AK39),AK39,"")</x:f>
        <x:v>80</x:v>
      </x:c>
      <x:c r="AQ39" s="39" t="n">
        <x:f>IF(G39&lt;&gt;"入池",0,IF(ISNUMBER(I39),6%,0)+IF(ISNUMBER(K39),4.5%,0)+IF(ISNUMBER(L39),4.5%,0)+IF(ISNUMBER(Q39),8.4%,0)+IF(ISNUMBER(R39),5.6%,0)+IF(ISNUMBER(W39),3.6%,0)+IF(ISNUMBER(X39),2.4%,0)+IF(ISNUMBER(AC39),25%,0)+IF(ISNUMBER(AG39),18%,0)+IF(ISNUMBER(AH39),12%,0)+IF(ISNUMBER(AK39),10%,0))</x:f>
        <x:v>0.88</x:v>
      </x:c>
      <x:c r="AR39" s="17" t="n">
        <x:f>IF(AQ39=0,"",IF(ISNUMBER(I39),I39*6%,0)+IF(ISNUMBER(K39),K39*4.5%,0)+IF(ISNUMBER(L39),L39*4.5%,0)+IF(ISNUMBER(Q39),Q39*8.4%,0)+IF(ISNUMBER(R39),R39*5.6%,0)+IF(ISNUMBER(W39),W39*3.6%,0)+IF(ISNUMBER(X39),X39*2.4%,0)+IF(ISNUMBER(AC39),AC39*25%,0)+IF(ISNUMBER(AG39),AG39*18%,0)+IF(ISNUMBER(AH39),AH39*12%,0)+IF(ISNUMBER(AK39),AK39*10%,0))</x:f>
        <x:v>53.57503</x:v>
      </x:c>
      <x:c r="AS39" s="17" t="n">
        <x:f>IF(AQ39=0,"",ROUND(AR39/AQ39,2))</x:f>
        <x:v>60.88</x:v>
      </x:c>
      <x:c r="AT39" s="40" t="n">
        <x:f>IF(OR(G39&lt;&gt;"入池",NOT(ISNUMBER(AS39))),"",COUNTIFS($G$17:$G$219,"入池",$AS$17:$AS$219,"&gt;"&amp;AS39)+COUNTIFS($G$17:$G$219,"入池",$AS$17:$AS$219,AS39,$AQ$17:$AQ$219,"&gt;"&amp;AQ39)+COUNTIFS($G$17:G39,"入池",$AS$17:AS39,AS39,$AQ$17:AQ39,AQ39))</x:f>
        <x:v>104</x:v>
      </x:c>
      <x:c r="AU39" s="41" t="str">
        <x:f t="shared" si="2">IF(NOT(ISNUMBER(I39)),"管理人规模；","")&amp;IF(J39="","产品规模标识；","")&amp;IF(AND(F39&lt;3,NOT(ISNUMBER(O39))),"R_incep；","")&amp;IF(NOT(ISNUMBER(N39)),"近三年收益；","")&amp;IF(NOT(ISNUMBER(U39)),"近三年胜率；","")&amp;IF(AND(ISNUMBER(V39),OR(V39&lt;0,V39&gt;1)),"胜率窗口口径不一致；","")&amp;IF(NOT(ISNUMBER(AA39)),"近三年回撤；","")&amp;IF(NOT(ISNUMBER(AD39)),"短期卡玛；","")&amp;IF(AND(ISNUMBER(P39),NOT(ISNUMBER(AE39))),"DD_long不可识别；","")</x:f>
        <x:v>DD_long不可识别；</x:v>
      </x:c>
      <x:c r="AV39" s="42" t="n">
        <x:v>0</x:v>
      </x:c>
      <x:c r="AW39" s="19" t="str">
        <x:v>上海铭杉投资管理有限公司</x:v>
      </x:c>
      <x:c r="AX39" s="19" t="str">
        <x:v>2025-05-20</x:v>
      </x:c>
      <x:c r="AY39" s="19" t="str">
        <x:v>https://gs.amac.org.cn/amac-infodisc/res/pof/manager/1708301158107602.html</x:v>
      </x:c>
      <x:c r="AZ39" s="19" t="str">
        <x:v>铭杉量化稳健5号私募证券投资基金</x:v>
      </x:c>
      <x:c r="BA39" s="19" t="str">
        <x:v>2026-07-08</x:v>
      </x:c>
      <x:c r="BB39" s="19" t="str">
        <x:v>2026年第2季度季度更新信息</x:v>
      </x:c>
      <x:c r="BC39" s="19" t="str">
        <x:v>https://gs.amac.org.cn/amac-infodisc/res/pof/fund/2009171717131963.html</x:v>
      </x:c>
      <x:c r="BD39" s="19" t="str">
        <x:v>已匹配</x:v>
      </x:c>
      <x:c r="BE39"/>
      <x:c r="BF39"/>
    </x:row>
    <x:row r="40" ht="28" customHeight="1">
      <x:c r="A40" s="4" t="n">
        <x:v>24</x:v>
      </x:c>
      <x:c r="B40" s="15" t="str">
        <x:f>'sheet4-原始数据'!A25</x:f>
        <x:v>数为道策套利一号</x:v>
      </x:c>
      <x:c r="C40" s="15" t="str">
        <x:f>'sheet4-原始数据'!B25</x:f>
        <x:v>SNA956</x:v>
      </x:c>
      <x:c r="D40" s="15" t="str">
        <x:f>'sheet4-原始数据'!E25</x:f>
        <x:v>福州数为</x:v>
      </x:c>
      <x:c r="E40" s="32" t="n">
        <x:f>IF(ISNUMBER('sheet4-原始数据'!F25),'sheet4-原始数据'!F25,"")</x:f>
        <x:v>44123</x:v>
      </x:c>
      <x:c r="F40" s="17" t="n">
        <x:f>IF(NOT(ISNUMBER(E40)),"",ROUND(('sheet1-指标体系'!$J$23-E40)/365.25,4))</x:f>
        <x:v>5.9083</x:v>
      </x:c>
      <x:c r="G40" s="4" t="str">
        <x:f t="shared" si="1">IF(NOT(ISNUMBER(F40)),"",IF(F40&lt;1,"不入池","入池"))</x:f>
        <x:v>入池</x:v>
      </x:c>
      <x:c r="H40" s="33" t="str">
        <x:v>0-5亿元</x:v>
      </x:c>
      <x:c r="I40" s="17" t="n">
        <x:f>IF(H40="","",IF(ISNUMBER(SEARCH("100亿元以上",H40)),100,IF(OR(ISNUMBER(SEARCH("20-50",H40)),ISNUMBER(SEARCH("50-100",H40)),ISNUMBER(SEARCH("20-100",H40))),90,IF(ISNUMBER(SEARCH("10-20",H40)),80,IF(ISNUMBER(SEARCH("5-10",H40)),70,IF(ISNUMBER(SEARCH("0-5",H40)),60,""))))))</x:f>
        <x:v>60</x:v>
      </x:c>
      <x:c r="J40" s="34" t="str">
        <x:v>低于1000万元</x:v>
      </x:c>
      <x:c r="K40" s="17" t="n">
        <x:f>IF(J40="","",IF(J40="低于1000万元",0,100))</x:f>
        <x:v>0</x:v>
      </x:c>
      <x:c r="L40" s="17" t="n">
        <x:f>IF(NOT(ISNUMBER(F40)),"",IF(F40&lt;1,"",IF(F40&lt;3,70,100)))</x:f>
        <x:v>100</x:v>
      </x:c>
      <x:c r="M40" s="35" t="n">
        <x:f>IF(ISNUMBER('sheet4-原始数据'!G25),'sheet4-原始数据'!G25,"")</x:f>
        <x:v>-0.3489</x:v>
      </x:c>
      <x:c r="N40" s="35" t="n">
        <x:f>IF(ISNUMBER('sheet4-原始数据'!H25),'sheet4-原始数据'!H25,"")</x:f>
        <x:v>-0.11220000000000001</x:v>
      </x:c>
      <x:c r="O40" s="36" t="str">
        <x:f>IF(ISNUMBER('sheet4-原始数据'!Q25),'sheet4-原始数据'!Q25,"")</x:f>
      </x:c>
      <x:c r="P40" s="37" t="n">
        <x:f>IF($G40&lt;&gt;"入池","",IF($F40&gt;=3,IF(OR(NOT(ISNUMBER($M40)),NOT(ISNUMBER($N40)),1+$M40&lt;=0,1+$N40&lt;0),"",((1+$N40)^3/(1+$M40))^(1/2)-1),IF(OR($F40&lt;=1,NOT(ISNUMBER($M40)),NOT(ISNUMBER($O40)),1+$M40&lt;=0,1+$O40&lt;0),"",((1+$O40)^$F40/(1+$M40))^(1/($F40-1))-1)))</x:f>
        <x:v>0.03668989030580594</x:v>
      </x:c>
      <x:c r="Q40" s="17" t="n">
        <x:f>IF(OR($G40&lt;&gt;"入池",NOT(ISNUMBER(M40))),"",IF(COUNTIFS($G$17:$G$219,"入池",$M$17:$M$219,"&gt;=-1E+307",$M$17:$M$219,"&lt;=1E+307")&lt;=1,100,ROUND(100*(COUNTIFS($G$17:$G$219,"入池",$M$17:$M$219,"&gt;=-1E+307",$M$17:$M$219,"&lt;"&amp;M40)+COUNTIFS($G$17:$G$219,"入池",$M$17:$M$219,M40,$M$17:$M$219,"&gt;=-1E+307",$M$17:$M$219,"&lt;=1E+307")/2-0.5)/(COUNTIFS($G$17:$G$219,"入池",$M$17:$M$219,"&gt;=-1E+307",$M$17:$M$219,"&lt;=1E+307")-1),2)))</x:f>
        <x:v>0.5</x:v>
      </x:c>
      <x:c r="R40" s="17" t="n">
        <x:f>IF(OR($G40&lt;&gt;"入池",NOT(ISNUMBER(P40))),"",IF(COUNTIFS($G$17:$G$219,"入池",$P$17:$P$219,"&gt;=-1E+307",$P$17:$P$219,"&lt;=1E+307")&lt;=1,100,ROUND(100*(COUNTIFS($G$17:$G$219,"入池",$P$17:$P$219,"&gt;=-1E+307",$P$17:$P$219,"&lt;"&amp;P40)+COUNTIFS($G$17:$G$219,"入池",$P$17:$P$219,P40,$P$17:$P$219,"&gt;=-1E+307",$P$17:$P$219,"&lt;=1E+307")/2-0.5)/(COUNTIFS($G$17:$G$219,"入池",$P$17:$P$219,"&gt;=-1E+307",$P$17:$P$219,"&lt;=1E+307")-1),2)))</x:f>
        <x:v>21.78</x:v>
      </x:c>
      <x:c r="S40" s="17" t="n">
        <x:f>IF(NOT(ISNUMBER(Q40)),"",IF(NOT(ISNUMBER(R40)),Q40,ROUND(Q40*'sheet1-指标体系'!$J$8+R40*'sheet1-指标体系'!$J$9,2)))</x:f>
        <x:v>9.01</x:v>
      </x:c>
      <x:c r="T40" s="35" t="n">
        <x:f>IF(ISNUMBER('sheet4-原始数据'!J25),'sheet4-原始数据'!J25,"")</x:f>
        <x:v>0.23079999999999998</x:v>
      </x:c>
      <x:c r="U40" s="35" t="n">
        <x:f>IF(ISNUMBER('sheet4-原始数据'!I25),'sheet4-原始数据'!I25,"")</x:f>
        <x:v>0.4054</x:v>
      </x:c>
      <x:c r="V40" s="37" t="n">
        <x:f>IF(OR(NOT(ISNUMBER(T40)),NOT(ISNUMBER(U40))),"",(U40*'sheet1-指标体系'!$J$6-T40*'sheet1-指标体系'!$J$5)/'sheet1-指标体系'!$J$7)</x:f>
        <x:v>0.499975</x:v>
      </x:c>
      <x:c r="W40" s="17" t="n">
        <x:f>IF(NOT(ISNUMBER(T40)),"",T40*100)</x:f>
        <x:v>23.08</x:v>
      </x:c>
      <x:c r="X40" s="17" t="n">
        <x:f>IF($G40&lt;&gt;"入池","",IF(AND(ISNUMBER(V40),V40&gt;=0,V40&lt;=1),V40*100,IF(MAX(0,($F40-1)*12)&lt;6,100,"")))</x:f>
        <x:v>49.9975</x:v>
      </x:c>
      <x:c r="Y40" s="17" t="n">
        <x:f>IF(NOT(ISNUMBER(W40)),"",IF(NOT(ISNUMBER(X40)),W40,ROUND(W40*'sheet1-指标体系'!$J$8+X40*'sheet1-指标体系'!$J$9,2)))</x:f>
        <x:v>33.85</x:v>
      </x:c>
      <x:c r="Z40" s="37" t="n">
        <x:f>IF(OR(NOT(ISNUMBER(M40)),NOT(ISNUMBER(AD40)),AD40=0),"",ABS(M40/AD40))</x:f>
        <x:v>0.37018567639257294</x:v>
      </x:c>
      <x:c r="AA40" s="35" t="n">
        <x:f>IF(ISNUMBER('sheet4-原始数据'!K25),'sheet4-原始数据'!K25,"")</x:f>
        <x:v>0.37020000000000003</x:v>
      </x:c>
      <x:c r="AB40" s="37" t="n">
        <x:f>IF(COUNT(Z40:AA40)=0,"",MAX(Z40:AA40))</x:f>
        <x:v>0.37020000000000003</x:v>
      </x:c>
      <x:c r="AC40" s="17" t="n">
        <x:f>IF(OR($G40&lt;&gt;"入池",NOT(ISNUMBER(AB40))),"",IF(COUNTIFS($G$17:$G$219,"入池",$AB$17:$AB$219,"&gt;=-1E+307",$AB$17:$AB$219,"&lt;=1E+307")&lt;=1,100,ROUND(100*(COUNTIFS($G$17:$G$219,"入池",$AB$17:$AB$219,"&lt;=1E+307",$AB$17:$AB$219,"&gt;"&amp;AB40)+COUNTIFS($G$17:$G$219,"入池",$AB$17:$AB$219,AB40,$AB$17:$AB$219,"&gt;=-1E+307",$AB$17:$AB$219,"&lt;=1E+307")/2-0.5)/(COUNTIFS($G$17:$G$219,"入池",$AB$17:$AB$219,"&gt;=-1E+307",$AB$17:$AB$219,"&lt;=1E+307")-1),2)))</x:f>
        <x:v>1.49</x:v>
      </x:c>
      <x:c r="AD40" s="38" t="n">
        <x:f>IF(ISNUMBER('sheet4-原始数据'!M25),'sheet4-原始数据'!M25,"")</x:f>
        <x:v>-0.9425</x:v>
      </x:c>
      <x:c r="AE40" s="37" t="str">
        <x:f>IF(OR(NOT(ISNUMBER(P40)),NOT(ISNUMBER(AA40)),NOT(ISNUMBER(Z40))),"",IF(AA40&gt;Z40+'sheet1-指标体系'!$J$11,AA40,""))</x:f>
      </x:c>
      <x:c r="AF40" s="17" t="str">
        <x:f>IF(OR(NOT(ISNUMBER(P40)),NOT(ISNUMBER(AE40)),AE40=0),"",P40/AE40)</x:f>
      </x:c>
      <x:c r="AG40" s="17" t="n">
        <x:f>IF(OR($G40&lt;&gt;"入池",NOT(ISNUMBER(AD40))),"",IF(COUNTIFS($G$17:$G$219,"入池",$AD$17:$AD$219,"&gt;=-1E+307",$AD$17:$AD$219,"&lt;=1E+307")&lt;=1,100,ROUND(100*(COUNTIFS($G$17:$G$219,"入池",$AD$17:$AD$219,"&gt;=-1E+307",$AD$17:$AD$219,"&lt;"&amp;AD40)+COUNTIFS($G$17:$G$219,"入池",$AD$17:$AD$219,AD40,$AD$17:$AD$219,"&gt;=-1E+307",$AD$17:$AD$219,"&lt;=1E+307")/2-0.5)/(COUNTIFS($G$17:$G$219,"入池",$AD$17:$AD$219,"&gt;=-1E+307",$AD$17:$AD$219,"&lt;=1E+307")-1),2)))</x:f>
        <x:v>1</x:v>
      </x:c>
      <x:c r="AH40" s="17" t="str">
        <x:f>IF(OR($G40&lt;&gt;"入池",NOT(ISNUMBER(AF40))),"",IF(COUNTIFS($G$17:$G$219,"入池",$AF$17:$AF$219,"&gt;=-1E+307",$AF$17:$AF$219,"&lt;=1E+307")&lt;=1,100,ROUND(100*(COUNTIFS($G$17:$G$219,"入池",$AF$17:$AF$219,"&gt;=-1E+307",$AF$17:$AF$219,"&lt;"&amp;AF40)+COUNTIFS($G$17:$G$219,"入池",$AF$17:$AF$219,AF40,$AF$17:$AF$219,"&gt;=-1E+307",$AF$17:$AF$219,"&lt;=1E+307")/2-0.5)/(COUNTIFS($G$17:$G$219,"入池",$AF$17:$AF$219,"&gt;=-1E+307",$AF$17:$AF$219,"&lt;=1E+307")-1),2)))</x:f>
      </x:c>
      <x:c r="AI40" s="17" t="n">
        <x:f>IF(NOT(ISNUMBER(AG40)),"",IF(NOT(ISNUMBER(AH40)),AG40,ROUND(AG40*'sheet1-指标体系'!$J$8+AH40*'sheet1-指标体系'!$J$9,2)))</x:f>
        <x:v>1</x:v>
      </x:c>
      <x:c r="AJ40" s="37" t="n">
        <x:f>IF(NOT(ISNUMBER(F40)),"",IF(F40&gt;=3,IF(NOT(ISNUMBER(N40)),"",N40),IF(NOT(ISNUMBER(O40)),"",O40)))</x:f>
        <x:v>-0.11220000000000001</x:v>
      </x:c>
      <x:c r="AK40" s="17" t="n">
        <x:f>IF(OR(G40&lt;&gt;"入池",NOT(ISNUMBER(M40)),NOT(ISNUMBER(AJ40))),"",IF(M40&gt;=AJ40,100,IF(AJ40-M40&lt;'sheet1-指标体系'!$J$10,80,60)))</x:f>
        <x:v>60</x:v>
      </x:c>
      <x:c r="AL40" s="17" t="n">
        <x:f>IF(COUNT(I40,K40,L40)=0,"",ROUND((IF(ISNUMBER(I40),I40*40%,0)+IF(ISNUMBER(K40),K40*30%,0)+IF(ISNUMBER(L40),L40*30%,0))/(IF(ISNUMBER(I40),40%,0)+IF(ISNUMBER(K40),30%,0)+IF(ISNUMBER(L40),30%,0)),2))</x:f>
        <x:v>54</x:v>
      </x:c>
      <x:c r="AM40" s="17" t="n">
        <x:f>IF(COUNT(Q40,R40,W40,X40)=0,"",ROUND((IF(ISNUMBER(Q40),Q40*42%,0)+IF(ISNUMBER(R40),R40*28%,0)+IF(ISNUMBER(W40),W40*18%,0)+IF(ISNUMBER(X40),X40*12%,0))/(IF(ISNUMBER(Q40),42%,0)+IF(ISNUMBER(R40),28%,0)+IF(ISNUMBER(W40),18%,0)+IF(ISNUMBER(X40),12%,0)),2))</x:f>
        <x:v>16.46</x:v>
      </x:c>
      <x:c r="AN40" s="17" t="n">
        <x:f>IF(ISNUMBER(AC40),AC40,"")</x:f>
        <x:v>1.49</x:v>
      </x:c>
      <x:c r="AO40" s="17" t="n">
        <x:f>IF(COUNT(AG40,AH40)=0,"",ROUND((IF(ISNUMBER(AG40),AG40*60%,0)+IF(ISNUMBER(AH40),AH40*40%,0))/(IF(ISNUMBER(AG40),60%,0)+IF(ISNUMBER(AH40),40%,0)),2))</x:f>
        <x:v>1</x:v>
      </x:c>
      <x:c r="AP40" s="17" t="n">
        <x:f>IF(ISNUMBER(AK40),AK40,"")</x:f>
        <x:v>60</x:v>
      </x:c>
      <x:c r="AQ40" s="39" t="n">
        <x:f>IF(G40&lt;&gt;"入池",0,IF(ISNUMBER(I40),6%,0)+IF(ISNUMBER(K40),4.5%,0)+IF(ISNUMBER(L40),4.5%,0)+IF(ISNUMBER(Q40),8.4%,0)+IF(ISNUMBER(R40),5.6%,0)+IF(ISNUMBER(W40),3.6%,0)+IF(ISNUMBER(X40),2.4%,0)+IF(ISNUMBER(AC40),25%,0)+IF(ISNUMBER(AG40),18%,0)+IF(ISNUMBER(AH40),12%,0)+IF(ISNUMBER(AK40),10%,0))</x:f>
        <x:v>0.88</x:v>
      </x:c>
      <x:c r="AR40" s="17" t="n">
        <x:f>IF(AQ40=0,"",IF(ISNUMBER(I40),I40*6%,0)+IF(ISNUMBER(K40),K40*4.5%,0)+IF(ISNUMBER(L40),L40*4.5%,0)+IF(ISNUMBER(Q40),Q40*8.4%,0)+IF(ISNUMBER(R40),R40*5.6%,0)+IF(ISNUMBER(W40),W40*3.6%,0)+IF(ISNUMBER(X40),X40*2.4%,0)+IF(ISNUMBER(AC40),AC40*25%,0)+IF(ISNUMBER(AG40),AG40*18%,0)+IF(ISNUMBER(AH40),AH40*12%,0)+IF(ISNUMBER(AK40),AK40*10%,0))</x:f>
        <x:v>17.945</x:v>
      </x:c>
      <x:c r="AS40" s="17" t="n">
        <x:f>IF(AQ40=0,"",ROUND(AR40/AQ40,2))</x:f>
        <x:v>20.39</x:v>
      </x:c>
      <x:c r="AT40" s="40" t="n">
        <x:f>IF(OR(G40&lt;&gt;"入池",NOT(ISNUMBER(AS40))),"",COUNTIFS($G$17:$G$219,"入池",$AS$17:$AS$219,"&gt;"&amp;AS40)+COUNTIFS($G$17:$G$219,"入池",$AS$17:$AS$219,AS40,$AQ$17:$AQ$219,"&gt;"&amp;AQ40)+COUNTIFS($G$17:G40,"入池",$AS$17:AS40,AS40,$AQ$17:AQ40,AQ40))</x:f>
        <x:v>203</x:v>
      </x:c>
      <x:c r="AU40" s="41" t="str">
        <x:f t="shared" si="2">IF(NOT(ISNUMBER(I40)),"管理人规模；","")&amp;IF(J40="","产品规模标识；","")&amp;IF(AND(F40&lt;3,NOT(ISNUMBER(O40))),"R_incep；","")&amp;IF(NOT(ISNUMBER(N40)),"近三年收益；","")&amp;IF(NOT(ISNUMBER(U40)),"近三年胜率；","")&amp;IF(AND(ISNUMBER(V40),OR(V40&lt;0,V40&gt;1)),"胜率窗口口径不一致；","")&amp;IF(NOT(ISNUMBER(AA40)),"近三年回撤；","")&amp;IF(NOT(ISNUMBER(AD40)),"短期卡玛；","")&amp;IF(AND(ISNUMBER(P40),NOT(ISNUMBER(AE40))),"DD_long不可识别；","")</x:f>
        <x:v>DD_long不可识别；</x:v>
      </x:c>
      <x:c r="AV40" s="42" t="n">
        <x:v>0</x:v>
      </x:c>
      <x:c r="AW40" s="19" t="str">
        <x:v>福州数为私募基金管理有限公司</x:v>
      </x:c>
      <x:c r="AX40" s="19" t="str">
        <x:v>2025-07-31</x:v>
      </x:c>
      <x:c r="AY40" s="19" t="str">
        <x:v>https://gs.amac.org.cn/amac-infodisc/res/pof/manager/1705081548107725.html</x:v>
      </x:c>
      <x:c r="AZ40" s="19" t="str">
        <x:v>数为道策套利一号私募证券投资基金</x:v>
      </x:c>
      <x:c r="BA40" s="19" t="str">
        <x:v>2025-07-07</x:v>
      </x:c>
      <x:c r="BB40" s="19" t="str">
        <x:v>2026年第2季度季度更新信息</x:v>
      </x:c>
      <x:c r="BC40" s="19" t="str">
        <x:v>https://gs.amac.org.cn/amac-infodisc/res/pof/fund/2010271707103406.html</x:v>
      </x:c>
      <x:c r="BD40" s="19" t="str">
        <x:v>已匹配</x:v>
      </x:c>
      <x:c r="BE40"/>
      <x:c r="BF40"/>
    </x:row>
    <x:row r="41" ht="28" customHeight="1">
      <x:c r="A41" s="4" t="n">
        <x:v>25</x:v>
      </x:c>
      <x:c r="B41" s="15" t="str">
        <x:f>'sheet4-原始数据'!A26</x:f>
        <x:v>犇牛稳进3号</x:v>
      </x:c>
      <x:c r="C41" s="15" t="str">
        <x:f>'sheet4-原始数据'!B26</x:f>
        <x:v>SNE543</x:v>
      </x:c>
      <x:c r="D41" s="15" t="str">
        <x:f>'sheet4-原始数据'!E26</x:f>
        <x:v>上海犇牛</x:v>
      </x:c>
      <x:c r="E41" s="32" t="n">
        <x:f>IF(ISNUMBER('sheet4-原始数据'!F26),'sheet4-原始数据'!F26,"")</x:f>
        <x:v>44144</x:v>
      </x:c>
      <x:c r="F41" s="17" t="n">
        <x:f>IF(NOT(ISNUMBER(E41)),"",ROUND(('sheet1-指标体系'!$J$23-E41)/365.25,4))</x:f>
        <x:v>5.8508</x:v>
      </x:c>
      <x:c r="G41" s="4" t="str">
        <x:f t="shared" si="1">IF(NOT(ISNUMBER(F41)),"",IF(F41&lt;1,"不入池","入池"))</x:f>
        <x:v>入池</x:v>
      </x:c>
      <x:c r="H41" s="33" t="str">
        <x:v>10-20亿元</x:v>
      </x:c>
      <x:c r="I41" s="17" t="n">
        <x:f>IF(H41="","",IF(ISNUMBER(SEARCH("100亿元以上",H41)),100,IF(OR(ISNUMBER(SEARCH("20-50",H41)),ISNUMBER(SEARCH("50-100",H41)),ISNUMBER(SEARCH("20-100",H41))),90,IF(ISNUMBER(SEARCH("10-20",H41)),80,IF(ISNUMBER(SEARCH("5-10",H41)),70,IF(ISNUMBER(SEARCH("0-5",H41)),60,""))))))</x:f>
        <x:v>80</x:v>
      </x:c>
      <x:c r="J41" s="34" t="str">
        <x:v>无低于1000万元标识</x:v>
      </x:c>
      <x:c r="K41" s="17" t="n">
        <x:f>IF(J41="","",IF(J41="低于1000万元",0,100))</x:f>
        <x:v>100</x:v>
      </x:c>
      <x:c r="L41" s="17" t="n">
        <x:f>IF(NOT(ISNUMBER(F41)),"",IF(F41&lt;1,"",IF(F41&lt;3,70,100)))</x:f>
        <x:v>100</x:v>
      </x:c>
      <x:c r="M41" s="35" t="n">
        <x:f>IF(ISNUMBER('sheet4-原始数据'!G26),'sheet4-原始数据'!G26,"")</x:f>
        <x:v>0.0374</x:v>
      </x:c>
      <x:c r="N41" s="35" t="n">
        <x:f>IF(ISNUMBER('sheet4-原始数据'!H26),'sheet4-原始数据'!H26,"")</x:f>
        <x:v>0.0455</x:v>
      </x:c>
      <x:c r="O41" s="36" t="str">
        <x:f>IF(ISNUMBER('sheet4-原始数据'!Q26),'sheet4-原始数据'!Q26,"")</x:f>
      </x:c>
      <x:c r="P41" s="37" t="n">
        <x:f>IF($G41&lt;&gt;"入池","",IF($F41&gt;=3,IF(OR(NOT(ISNUMBER($M41)),NOT(ISNUMBER($N41)),1+$M41&lt;=0,1+$N41&lt;0),"",((1+$N41)^3/(1+$M41))^(1/2)-1),IF(OR($F41&lt;=1,NOT(ISNUMBER($M41)),NOT(ISNUMBER($O41)),1+$M41&lt;=0,1+$O41&lt;0),"",((1+$O41)^$F41/(1+$M41))^(1/($F41-1))-1)))</x:f>
        <x:v>0.04957368597048295</x:v>
      </x:c>
      <x:c r="Q41" s="17" t="n">
        <x:f>IF(OR($G41&lt;&gt;"入池",NOT(ISNUMBER(M41))),"",IF(COUNTIFS($G$17:$G$219,"入池",$M$17:$M$219,"&gt;=-1E+307",$M$17:$M$219,"&lt;=1E+307")&lt;=1,100,ROUND(100*(COUNTIFS($G$17:$G$219,"入池",$M$17:$M$219,"&gt;=-1E+307",$M$17:$M$219,"&lt;"&amp;M41)+COUNTIFS($G$17:$G$219,"入池",$M$17:$M$219,M41,$M$17:$M$219,"&gt;=-1E+307",$M$17:$M$219,"&lt;=1E+307")/2-0.5)/(COUNTIFS($G$17:$G$219,"入池",$M$17:$M$219,"&gt;=-1E+307",$M$17:$M$219,"&lt;=1E+307")-1),2)))</x:f>
        <x:v>37.13</x:v>
      </x:c>
      <x:c r="R41" s="17" t="n">
        <x:f>IF(OR($G41&lt;&gt;"入池",NOT(ISNUMBER(P41))),"",IF(COUNTIFS($G$17:$G$219,"入池",$P$17:$P$219,"&gt;=-1E+307",$P$17:$P$219,"&lt;=1E+307")&lt;=1,100,ROUND(100*(COUNTIFS($G$17:$G$219,"入池",$P$17:$P$219,"&gt;=-1E+307",$P$17:$P$219,"&lt;"&amp;P41)+COUNTIFS($G$17:$G$219,"入池",$P$17:$P$219,P41,$P$17:$P$219,"&gt;=-1E+307",$P$17:$P$219,"&lt;=1E+307")/2-0.5)/(COUNTIFS($G$17:$G$219,"入池",$P$17:$P$219,"&gt;=-1E+307",$P$17:$P$219,"&lt;=1E+307")-1),2)))</x:f>
        <x:v>36.63</x:v>
      </x:c>
      <x:c r="S41" s="17" t="n">
        <x:f>IF(NOT(ISNUMBER(Q41)),"",IF(NOT(ISNUMBER(R41)),Q41,ROUND(Q41*'sheet1-指标体系'!$J$8+R41*'sheet1-指标体系'!$J$9,2)))</x:f>
        <x:v>36.93</x:v>
      </x:c>
      <x:c r="T41" s="35" t="n">
        <x:f>IF(ISNUMBER('sheet4-原始数据'!J26),'sheet4-原始数据'!J26,"")</x:f>
        <x:v>0.7692</x:v>
      </x:c>
      <x:c r="U41" s="35" t="n">
        <x:f>IF(ISNUMBER('sheet4-原始数据'!I26),'sheet4-原始数据'!I26,"")</x:f>
        <x:v>0.5946</x:v>
      </x:c>
      <x:c r="V41" s="37" t="n">
        <x:f>IF(OR(NOT(ISNUMBER(T41)),NOT(ISNUMBER(U41))),"",(U41*'sheet1-指标体系'!$J$6-T41*'sheet1-指标体系'!$J$5)/'sheet1-指标体系'!$J$7)</x:f>
        <x:v>0.500025</x:v>
      </x:c>
      <x:c r="W41" s="17" t="n">
        <x:f>IF(NOT(ISNUMBER(T41)),"",T41*100)</x:f>
        <x:v>76.92</x:v>
      </x:c>
      <x:c r="X41" s="17" t="n">
        <x:f>IF($G41&lt;&gt;"入池","",IF(AND(ISNUMBER(V41),V41&gt;=0,V41&lt;=1),V41*100,IF(MAX(0,($F41-1)*12)&lt;6,100,"")))</x:f>
        <x:v>50.002500000000005</x:v>
      </x:c>
      <x:c r="Y41" s="17" t="n">
        <x:f>IF(NOT(ISNUMBER(W41)),"",IF(NOT(ISNUMBER(X41)),W41,ROUND(W41*'sheet1-指标体系'!$J$8+X41*'sheet1-指标体系'!$J$9,2)))</x:f>
        <x:v>66.15</x:v>
      </x:c>
      <x:c r="Z41" s="37" t="n">
        <x:f>IF(OR(NOT(ISNUMBER(M41)),NOT(ISNUMBER(AD41)),AD41=0),"",ABS(M41/AD41))</x:f>
        <x:v>0.008427789170065574</x:v>
      </x:c>
      <x:c r="AA41" s="35" t="n">
        <x:f>IF(ISNUMBER('sheet4-原始数据'!K26),'sheet4-原始数据'!K26,"")</x:f>
        <x:v>0.0265</x:v>
      </x:c>
      <x:c r="AB41" s="37" t="n">
        <x:f>IF(COUNT(Z41:AA41)=0,"",MAX(Z41:AA41))</x:f>
        <x:v>0.0265</x:v>
      </x:c>
      <x:c r="AC41" s="17" t="n">
        <x:f>IF(OR($G41&lt;&gt;"入池",NOT(ISNUMBER(AB41))),"",IF(COUNTIFS($G$17:$G$219,"入池",$AB$17:$AB$219,"&gt;=-1E+307",$AB$17:$AB$219,"&lt;=1E+307")&lt;=1,100,ROUND(100*(COUNTIFS($G$17:$G$219,"入池",$AB$17:$AB$219,"&lt;=1E+307",$AB$17:$AB$219,"&gt;"&amp;AB41)+COUNTIFS($G$17:$G$219,"入池",$AB$17:$AB$219,AB41,$AB$17:$AB$219,"&gt;=-1E+307",$AB$17:$AB$219,"&lt;=1E+307")/2-0.5)/(COUNTIFS($G$17:$G$219,"入池",$AB$17:$AB$219,"&gt;=-1E+307",$AB$17:$AB$219,"&lt;=1E+307")-1),2)))</x:f>
        <x:v>64.85</x:v>
      </x:c>
      <x:c r="AD41" s="38" t="n">
        <x:f>IF(ISNUMBER('sheet4-原始数据'!M26),'sheet4-原始数据'!M26,"")</x:f>
        <x:v>4.4377</x:v>
      </x:c>
      <x:c r="AE41" s="37" t="n">
        <x:f>IF(OR(NOT(ISNUMBER(P41)),NOT(ISNUMBER(AA41)),NOT(ISNUMBER(Z41))),"",IF(AA41&gt;Z41+'sheet1-指标体系'!$J$11,AA41,""))</x:f>
        <x:v>0.0265</x:v>
      </x:c>
      <x:c r="AF41" s="17" t="n">
        <x:f>IF(OR(NOT(ISNUMBER(P41)),NOT(ISNUMBER(AE41)),AE41=0),"",P41/AE41)</x:f>
        <x:v>1.8707051309616207</x:v>
      </x:c>
      <x:c r="AG41" s="17" t="n">
        <x:f>IF(OR($G41&lt;&gt;"入池",NOT(ISNUMBER(AD41))),"",IF(COUNTIFS($G$17:$G$219,"入池",$AD$17:$AD$219,"&gt;=-1E+307",$AD$17:$AD$219,"&lt;=1E+307")&lt;=1,100,ROUND(100*(COUNTIFS($G$17:$G$219,"入池",$AD$17:$AD$219,"&gt;=-1E+307",$AD$17:$AD$219,"&lt;"&amp;AD41)+COUNTIFS($G$17:$G$219,"入池",$AD$17:$AD$219,AD41,$AD$17:$AD$219,"&gt;=-1E+307",$AD$17:$AD$219,"&lt;=1E+307")/2-0.5)/(COUNTIFS($G$17:$G$219,"入池",$AD$17:$AD$219,"&gt;=-1E+307",$AD$17:$AD$219,"&lt;=1E+307")-1),2)))</x:f>
        <x:v>61.69</x:v>
      </x:c>
      <x:c r="AH41" s="17" t="n">
        <x:f>IF(OR($G41&lt;&gt;"入池",NOT(ISNUMBER(AF41))),"",IF(COUNTIFS($G$17:$G$219,"入池",$AF$17:$AF$219,"&gt;=-1E+307",$AF$17:$AF$219,"&lt;=1E+307")&lt;=1,100,ROUND(100*(COUNTIFS($G$17:$G$219,"入池",$AF$17:$AF$219,"&gt;=-1E+307",$AF$17:$AF$219,"&lt;"&amp;AF41)+COUNTIFS($G$17:$G$219,"入池",$AF$17:$AF$219,AF41,$AF$17:$AF$219,"&gt;=-1E+307",$AF$17:$AF$219,"&lt;=1E+307")/2-0.5)/(COUNTIFS($G$17:$G$219,"入池",$AF$17:$AF$219,"&gt;=-1E+307",$AF$17:$AF$219,"&lt;=1E+307")-1),2)))</x:f>
        <x:v>63.5</x:v>
      </x:c>
      <x:c r="AI41" s="17" t="n">
        <x:f>IF(NOT(ISNUMBER(AG41)),"",IF(NOT(ISNUMBER(AH41)),AG41,ROUND(AG41*'sheet1-指标体系'!$J$8+AH41*'sheet1-指标体系'!$J$9,2)))</x:f>
        <x:v>62.41</x:v>
      </x:c>
      <x:c r="AJ41" s="37" t="n">
        <x:f>IF(NOT(ISNUMBER(F41)),"",IF(F41&gt;=3,IF(NOT(ISNUMBER(N41)),"",N41),IF(NOT(ISNUMBER(O41)),"",O41)))</x:f>
        <x:v>0.0455</x:v>
      </x:c>
      <x:c r="AK41" s="17" t="n">
        <x:f>IF(OR(G41&lt;&gt;"入池",NOT(ISNUMBER(M41)),NOT(ISNUMBER(AJ41))),"",IF(M41&gt;=AJ41,100,IF(AJ41-M41&lt;'sheet1-指标体系'!$J$10,80,60)))</x:f>
        <x:v>80</x:v>
      </x:c>
      <x:c r="AL41" s="17" t="n">
        <x:f>IF(COUNT(I41,K41,L41)=0,"",ROUND((IF(ISNUMBER(I41),I41*40%,0)+IF(ISNUMBER(K41),K41*30%,0)+IF(ISNUMBER(L41),L41*30%,0))/(IF(ISNUMBER(I41),40%,0)+IF(ISNUMBER(K41),30%,0)+IF(ISNUMBER(L41),30%,0)),2))</x:f>
        <x:v>92</x:v>
      </x:c>
      <x:c r="AM41" s="17" t="n">
        <x:f>IF(COUNT(Q41,R41,W41,X41)=0,"",ROUND((IF(ISNUMBER(Q41),Q41*42%,0)+IF(ISNUMBER(R41),R41*28%,0)+IF(ISNUMBER(W41),W41*18%,0)+IF(ISNUMBER(X41),X41*12%,0))/(IF(ISNUMBER(Q41),42%,0)+IF(ISNUMBER(R41),28%,0)+IF(ISNUMBER(W41),18%,0)+IF(ISNUMBER(X41),12%,0)),2))</x:f>
        <x:v>45.7</x:v>
      </x:c>
      <x:c r="AN41" s="17" t="n">
        <x:f>IF(ISNUMBER(AC41),AC41,"")</x:f>
        <x:v>64.85</x:v>
      </x:c>
      <x:c r="AO41" s="17" t="n">
        <x:f>IF(COUNT(AG41,AH41)=0,"",ROUND((IF(ISNUMBER(AG41),AG41*60%,0)+IF(ISNUMBER(AH41),AH41*40%,0))/(IF(ISNUMBER(AG41),60%,0)+IF(ISNUMBER(AH41),40%,0)),2))</x:f>
        <x:v>62.41</x:v>
      </x:c>
      <x:c r="AP41" s="17" t="n">
        <x:f>IF(ISNUMBER(AK41),AK41,"")</x:f>
        <x:v>80</x:v>
      </x:c>
      <x:c r="AQ41" s="39" t="n">
        <x:f>IF(G41&lt;&gt;"入池",0,IF(ISNUMBER(I41),6%,0)+IF(ISNUMBER(K41),4.5%,0)+IF(ISNUMBER(L41),4.5%,0)+IF(ISNUMBER(Q41),8.4%,0)+IF(ISNUMBER(R41),5.6%,0)+IF(ISNUMBER(W41),3.6%,0)+IF(ISNUMBER(X41),2.4%,0)+IF(ISNUMBER(AC41),25%,0)+IF(ISNUMBER(AG41),18%,0)+IF(ISNUMBER(AH41),12%,0)+IF(ISNUMBER(AK41),10%,0))</x:f>
        <x:v>1</x:v>
      </x:c>
      <x:c r="AR41" s="17" t="n">
        <x:f>IF(AQ41=0,"",IF(ISNUMBER(I41),I41*6%,0)+IF(ISNUMBER(K41),K41*4.5%,0)+IF(ISNUMBER(L41),L41*4.5%,0)+IF(ISNUMBER(Q41),Q41*8.4%,0)+IF(ISNUMBER(R41),R41*5.6%,0)+IF(ISNUMBER(W41),W41*3.6%,0)+IF(ISNUMBER(X41),X41*2.4%,0)+IF(ISNUMBER(AC41),AC41*25%,0)+IF(ISNUMBER(AG41),AG41*18%,0)+IF(ISNUMBER(AH41),AH41*12%,0)+IF(ISNUMBER(AK41),AK41*10%,0))</x:f>
        <x:v>65.87608</x:v>
      </x:c>
      <x:c r="AS41" s="17" t="n">
        <x:f>IF(AQ41=0,"",ROUND(AR41/AQ41,2))</x:f>
        <x:v>65.88</x:v>
      </x:c>
      <x:c r="AT41" s="40" t="n">
        <x:f>IF(OR(G41&lt;&gt;"入池",NOT(ISNUMBER(AS41))),"",COUNTIFS($G$17:$G$219,"入池",$AS$17:$AS$219,"&gt;"&amp;AS41)+COUNTIFS($G$17:$G$219,"入池",$AS$17:$AS$219,AS41,$AQ$17:$AQ$219,"&gt;"&amp;AQ41)+COUNTIFS($G$17:G41,"入池",$AS$17:AS41,AS41,$AQ$17:AQ41,AQ41))</x:f>
        <x:v>86</x:v>
      </x:c>
      <x:c r="AU41" s="41" t="str">
        <x:f t="shared" si="2">IF(NOT(ISNUMBER(I41)),"管理人规模；","")&amp;IF(J41="","产品规模标识；","")&amp;IF(AND(F41&lt;3,NOT(ISNUMBER(O41))),"R_incep；","")&amp;IF(NOT(ISNUMBER(N41)),"近三年收益；","")&amp;IF(NOT(ISNUMBER(U41)),"近三年胜率；","")&amp;IF(AND(ISNUMBER(V41),OR(V41&lt;0,V41&gt;1)),"胜率窗口口径不一致；","")&amp;IF(NOT(ISNUMBER(AA41)),"近三年回撤；","")&amp;IF(NOT(ISNUMBER(AD41)),"短期卡玛；","")&amp;IF(AND(ISNUMBER(P41),NOT(ISNUMBER(AE41))),"DD_long不可识别；","")</x:f>
      </x:c>
      <x:c r="AV41" s="42" t="n">
        <x:v>10</x:v>
      </x:c>
      <x:c r="AW41" s="19" t="str">
        <x:v>上海犇牛私募基金管理有限公司</x:v>
      </x:c>
      <x:c r="AX41" s="19" t="str">
        <x:v>2026-07-08</x:v>
      </x:c>
      <x:c r="AY41" s="19" t="str">
        <x:v>https://gs.amac.org.cn/amac-infodisc/res/pof/manager/101000013203.html</x:v>
      </x:c>
      <x:c r="AZ41" s="19" t="str">
        <x:v>犇牛稳进3号私募证券投资基金</x:v>
      </x:c>
      <x:c r="BA41" s="19" t="str">
        <x:v>2025-05-12</x:v>
      </x:c>
      <x:c r="BB41" s="19"/>
      <x:c r="BC41" s="19" t="str">
        <x:v>https://gs.amac.org.cn/amac-infodisc/res/pof/fund/2011121710129780.html</x:v>
      </x:c>
      <x:c r="BD41" s="19" t="str">
        <x:v>已匹配</x:v>
      </x:c>
      <x:c r="BE41"/>
      <x:c r="BF41"/>
    </x:row>
    <x:row r="42" ht="28" customHeight="1">
      <x:c r="A42" s="4" t="n">
        <x:v>26</x:v>
      </x:c>
      <x:c r="B42" s="15" t="str">
        <x:f>'sheet4-原始数据'!A27</x:f>
        <x:v>致同云峰A</x:v>
      </x:c>
      <x:c r="C42" s="15" t="str">
        <x:f>'sheet4-原始数据'!B27</x:f>
        <x:v>SNB380</x:v>
      </x:c>
      <x:c r="D42" s="15" t="str">
        <x:f>'sheet4-原始数据'!E27</x:f>
        <x:v>上海致同投资</x:v>
      </x:c>
      <x:c r="E42" s="32" t="n">
        <x:f>IF(ISNUMBER('sheet4-原始数据'!F27),'sheet4-原始数据'!F27,"")</x:f>
        <x:v>44145</x:v>
      </x:c>
      <x:c r="F42" s="17" t="n">
        <x:f>IF(NOT(ISNUMBER(E42)),"",ROUND(('sheet1-指标体系'!$J$23-E42)/365.25,4))</x:f>
        <x:v>5.848</x:v>
      </x:c>
      <x:c r="G42" s="4" t="str">
        <x:f t="shared" si="1">IF(NOT(ISNUMBER(F42)),"",IF(F42&lt;1,"不入池","入池"))</x:f>
        <x:v>入池</x:v>
      </x:c>
      <x:c r="H42" s="33" t="str">
        <x:v>20-50亿元</x:v>
      </x:c>
      <x:c r="I42" s="17" t="n">
        <x:f>IF(H42="","",IF(ISNUMBER(SEARCH("100亿元以上",H42)),100,IF(OR(ISNUMBER(SEARCH("20-50",H42)),ISNUMBER(SEARCH("50-100",H42)),ISNUMBER(SEARCH("20-100",H42))),90,IF(ISNUMBER(SEARCH("10-20",H42)),80,IF(ISNUMBER(SEARCH("5-10",H42)),70,IF(ISNUMBER(SEARCH("0-5",H42)),60,""))))))</x:f>
        <x:v>90</x:v>
      </x:c>
      <x:c r="J42" s="34" t="str">
        <x:v>无低于1000万元标识</x:v>
      </x:c>
      <x:c r="K42" s="17" t="n">
        <x:f>IF(J42="","",IF(J42="低于1000万元",0,100))</x:f>
        <x:v>100</x:v>
      </x:c>
      <x:c r="L42" s="17" t="n">
        <x:f>IF(NOT(ISNUMBER(F42)),"",IF(F42&lt;1,"",IF(F42&lt;3,70,100)))</x:f>
        <x:v>100</x:v>
      </x:c>
      <x:c r="M42" s="35" t="n">
        <x:f>IF(ISNUMBER('sheet4-原始数据'!G27),'sheet4-原始数据'!G27,"")</x:f>
        <x:v>0.0408</x:v>
      </x:c>
      <x:c r="N42" s="35" t="n">
        <x:f>IF(ISNUMBER('sheet4-原始数据'!H27),'sheet4-原始数据'!H27,"")</x:f>
        <x:v>0.042199999999999994</x:v>
      </x:c>
      <x:c r="O42" s="36" t="str">
        <x:f>IF(ISNUMBER('sheet4-原始数据'!Q27),'sheet4-原始数据'!Q27,"")</x:f>
      </x:c>
      <x:c r="P42" s="37" t="n">
        <x:f>IF($G42&lt;&gt;"入池","",IF($F42&gt;=3,IF(OR(NOT(ISNUMBER($M42)),NOT(ISNUMBER($N42)),1+$M42&lt;=0,1+$N42&lt;0),"",((1+$N42)^3/(1+$M42))^(1/2)-1),IF(OR($F42&lt;=1,NOT(ISNUMBER($M42)),NOT(ISNUMBER($O42)),1+$M42&lt;=0,1+$O42&lt;0),"",((1+$O42)^$F42/(1+$M42))^(1/($F42-1))-1)))</x:f>
        <x:v>0.04290070602931029</x:v>
      </x:c>
      <x:c r="Q42" s="17" t="n">
        <x:f>IF(OR($G42&lt;&gt;"入池",NOT(ISNUMBER(M42))),"",IF(COUNTIFS($G$17:$G$219,"入池",$M$17:$M$219,"&gt;=-1E+307",$M$17:$M$219,"&lt;=1E+307")&lt;=1,100,ROUND(100*(COUNTIFS($G$17:$G$219,"入池",$M$17:$M$219,"&gt;=-1E+307",$M$17:$M$219,"&lt;"&amp;M42)+COUNTIFS($G$17:$G$219,"入池",$M$17:$M$219,M42,$M$17:$M$219,"&gt;=-1E+307",$M$17:$M$219,"&lt;=1E+307")/2-0.5)/(COUNTIFS($G$17:$G$219,"入池",$M$17:$M$219,"&gt;=-1E+307",$M$17:$M$219,"&lt;=1E+307")-1),2)))</x:f>
        <x:v>44.06</x:v>
      </x:c>
      <x:c r="R42" s="17" t="n">
        <x:f>IF(OR($G42&lt;&gt;"入池",NOT(ISNUMBER(P42))),"",IF(COUNTIFS($G$17:$G$219,"入池",$P$17:$P$219,"&gt;=-1E+307",$P$17:$P$219,"&lt;=1E+307")&lt;=1,100,ROUND(100*(COUNTIFS($G$17:$G$219,"入池",$P$17:$P$219,"&gt;=-1E+307",$P$17:$P$219,"&lt;"&amp;P42)+COUNTIFS($G$17:$G$219,"入池",$P$17:$P$219,P42,$P$17:$P$219,"&gt;=-1E+307",$P$17:$P$219,"&lt;=1E+307")/2-0.5)/(COUNTIFS($G$17:$G$219,"入池",$P$17:$P$219,"&gt;=-1E+307",$P$17:$P$219,"&lt;=1E+307")-1),2)))</x:f>
        <x:v>30.69</x:v>
      </x:c>
      <x:c r="S42" s="17" t="n">
        <x:f>IF(NOT(ISNUMBER(Q42)),"",IF(NOT(ISNUMBER(R42)),Q42,ROUND(Q42*'sheet1-指标体系'!$J$8+R42*'sheet1-指标体系'!$J$9,2)))</x:f>
        <x:v>38.71</x:v>
      </x:c>
      <x:c r="T42" s="35" t="n">
        <x:f>IF(ISNUMBER('sheet4-原始数据'!J27),'sheet4-原始数据'!J27,"")</x:f>
        <x:v>0.6923</x:v>
      </x:c>
      <x:c r="U42" s="35" t="n">
        <x:f>IF(ISNUMBER('sheet4-原始数据'!I27),'sheet4-原始数据'!I27,"")</x:f>
        <x:v>0.7297</x:v>
      </x:c>
      <x:c r="V42" s="37" t="n">
        <x:f>IF(OR(NOT(ISNUMBER(T42)),NOT(ISNUMBER(U42))),"",(U42*'sheet1-指标体系'!$J$6-T42*'sheet1-指标体系'!$J$5)/'sheet1-指标体系'!$J$7)</x:f>
        <x:v>0.7499583333333333</x:v>
      </x:c>
      <x:c r="W42" s="17" t="n">
        <x:f>IF(NOT(ISNUMBER(T42)),"",T42*100)</x:f>
        <x:v>69.23</x:v>
      </x:c>
      <x:c r="X42" s="17" t="n">
        <x:f>IF($G42&lt;&gt;"入池","",IF(AND(ISNUMBER(V42),V42&gt;=0,V42&lt;=1),V42*100,IF(MAX(0,($F42-1)*12)&lt;6,100,"")))</x:f>
        <x:v>74.99583333333332</x:v>
      </x:c>
      <x:c r="Y42" s="17" t="n">
        <x:f>IF(NOT(ISNUMBER(W42)),"",IF(NOT(ISNUMBER(X42)),W42,ROUND(W42*'sheet1-指标体系'!$J$8+X42*'sheet1-指标体系'!$J$9,2)))</x:f>
        <x:v>71.54</x:v>
      </x:c>
      <x:c r="Z42" s="37" t="n">
        <x:f>IF(OR(NOT(ISNUMBER(M42)),NOT(ISNUMBER(AD42)),AD42=0),"",ABS(M42/AD42))</x:f>
        <x:v>0.01452267388054389</x:v>
      </x:c>
      <x:c r="AA42" s="35" t="n">
        <x:f>IF(ISNUMBER('sheet4-原始数据'!K27),'sheet4-原始数据'!K27,"")</x:f>
        <x:v>0.014499999999999999</x:v>
      </x:c>
      <x:c r="AB42" s="37" t="n">
        <x:f>IF(COUNT(Z42:AA42)=0,"",MAX(Z42:AA42))</x:f>
        <x:v>0.01452267388054389</x:v>
      </x:c>
      <x:c r="AC42" s="17" t="n">
        <x:f>IF(OR($G42&lt;&gt;"入池",NOT(ISNUMBER(AB42))),"",IF(COUNTIFS($G$17:$G$219,"入池",$AB$17:$AB$219,"&gt;=-1E+307",$AB$17:$AB$219,"&lt;=1E+307")&lt;=1,100,ROUND(100*(COUNTIFS($G$17:$G$219,"入池",$AB$17:$AB$219,"&lt;=1E+307",$AB$17:$AB$219,"&gt;"&amp;AB42)+COUNTIFS($G$17:$G$219,"入池",$AB$17:$AB$219,AB42,$AB$17:$AB$219,"&gt;=-1E+307",$AB$17:$AB$219,"&lt;=1E+307")/2-0.5)/(COUNTIFS($G$17:$G$219,"入池",$AB$17:$AB$219,"&gt;=-1E+307",$AB$17:$AB$219,"&lt;=1E+307")-1),2)))</x:f>
        <x:v>79.21</x:v>
      </x:c>
      <x:c r="AD42" s="38" t="n">
        <x:f>IF(ISNUMBER('sheet4-原始数据'!M27),'sheet4-原始数据'!M27,"")</x:f>
        <x:v>2.8094</x:v>
      </x:c>
      <x:c r="AE42" s="37" t="str">
        <x:f>IF(OR(NOT(ISNUMBER(P42)),NOT(ISNUMBER(AA42)),NOT(ISNUMBER(Z42))),"",IF(AA42&gt;Z42+'sheet1-指标体系'!$J$11,AA42,""))</x:f>
      </x:c>
      <x:c r="AF42" s="17" t="str">
        <x:f>IF(OR(NOT(ISNUMBER(P42)),NOT(ISNUMBER(AE42)),AE42=0),"",P42/AE42)</x:f>
      </x:c>
      <x:c r="AG42" s="17" t="n">
        <x:f>IF(OR($G42&lt;&gt;"入池",NOT(ISNUMBER(AD42))),"",IF(COUNTIFS($G$17:$G$219,"入池",$AD$17:$AD$219,"&gt;=-1E+307",$AD$17:$AD$219,"&lt;=1E+307")&lt;=1,100,ROUND(100*(COUNTIFS($G$17:$G$219,"入池",$AD$17:$AD$219,"&gt;=-1E+307",$AD$17:$AD$219,"&lt;"&amp;AD42)+COUNTIFS($G$17:$G$219,"入池",$AD$17:$AD$219,AD42,$AD$17:$AD$219,"&gt;=-1E+307",$AD$17:$AD$219,"&lt;=1E+307")/2-0.5)/(COUNTIFS($G$17:$G$219,"入池",$AD$17:$AD$219,"&gt;=-1E+307",$AD$17:$AD$219,"&lt;=1E+307")-1),2)))</x:f>
        <x:v>51.24</x:v>
      </x:c>
      <x:c r="AH42" s="17" t="str">
        <x:f>IF(OR($G42&lt;&gt;"入池",NOT(ISNUMBER(AF42))),"",IF(COUNTIFS($G$17:$G$219,"入池",$AF$17:$AF$219,"&gt;=-1E+307",$AF$17:$AF$219,"&lt;=1E+307")&lt;=1,100,ROUND(100*(COUNTIFS($G$17:$G$219,"入池",$AF$17:$AF$219,"&gt;=-1E+307",$AF$17:$AF$219,"&lt;"&amp;AF42)+COUNTIFS($G$17:$G$219,"入池",$AF$17:$AF$219,AF42,$AF$17:$AF$219,"&gt;=-1E+307",$AF$17:$AF$219,"&lt;=1E+307")/2-0.5)/(COUNTIFS($G$17:$G$219,"入池",$AF$17:$AF$219,"&gt;=-1E+307",$AF$17:$AF$219,"&lt;=1E+307")-1),2)))</x:f>
      </x:c>
      <x:c r="AI42" s="17" t="n">
        <x:f>IF(NOT(ISNUMBER(AG42)),"",IF(NOT(ISNUMBER(AH42)),AG42,ROUND(AG42*'sheet1-指标体系'!$J$8+AH42*'sheet1-指标体系'!$J$9,2)))</x:f>
        <x:v>51.24</x:v>
      </x:c>
      <x:c r="AJ42" s="37" t="n">
        <x:f>IF(NOT(ISNUMBER(F42)),"",IF(F42&gt;=3,IF(NOT(ISNUMBER(N42)),"",N42),IF(NOT(ISNUMBER(O42)),"",O42)))</x:f>
        <x:v>0.042199999999999994</x:v>
      </x:c>
      <x:c r="AK42" s="17" t="n">
        <x:f>IF(OR(G42&lt;&gt;"入池",NOT(ISNUMBER(M42)),NOT(ISNUMBER(AJ42))),"",IF(M42&gt;=AJ42,100,IF(AJ42-M42&lt;'sheet1-指标体系'!$J$10,80,60)))</x:f>
        <x:v>80</x:v>
      </x:c>
      <x:c r="AL42" s="17" t="n">
        <x:f>IF(COUNT(I42,K42,L42)=0,"",ROUND((IF(ISNUMBER(I42),I42*40%,0)+IF(ISNUMBER(K42),K42*30%,0)+IF(ISNUMBER(L42),L42*30%,0))/(IF(ISNUMBER(I42),40%,0)+IF(ISNUMBER(K42),30%,0)+IF(ISNUMBER(L42),30%,0)),2))</x:f>
        <x:v>96</x:v>
      </x:c>
      <x:c r="AM42" s="17" t="n">
        <x:f>IF(COUNT(Q42,R42,W42,X42)=0,"",ROUND((IF(ISNUMBER(Q42),Q42*42%,0)+IF(ISNUMBER(R42),R42*28%,0)+IF(ISNUMBER(W42),W42*18%,0)+IF(ISNUMBER(X42),X42*12%,0))/(IF(ISNUMBER(Q42),42%,0)+IF(ISNUMBER(R42),28%,0)+IF(ISNUMBER(W42),18%,0)+IF(ISNUMBER(X42),12%,0)),2))</x:f>
        <x:v>48.56</x:v>
      </x:c>
      <x:c r="AN42" s="17" t="n">
        <x:f>IF(ISNUMBER(AC42),AC42,"")</x:f>
        <x:v>79.21</x:v>
      </x:c>
      <x:c r="AO42" s="17" t="n">
        <x:f>IF(COUNT(AG42,AH42)=0,"",ROUND((IF(ISNUMBER(AG42),AG42*60%,0)+IF(ISNUMBER(AH42),AH42*40%,0))/(IF(ISNUMBER(AG42),60%,0)+IF(ISNUMBER(AH42),40%,0)),2))</x:f>
        <x:v>51.24</x:v>
      </x:c>
      <x:c r="AP42" s="17" t="n">
        <x:f>IF(ISNUMBER(AK42),AK42,"")</x:f>
        <x:v>80</x:v>
      </x:c>
      <x:c r="AQ42" s="39" t="n">
        <x:f>IF(G42&lt;&gt;"入池",0,IF(ISNUMBER(I42),6%,0)+IF(ISNUMBER(K42),4.5%,0)+IF(ISNUMBER(L42),4.5%,0)+IF(ISNUMBER(Q42),8.4%,0)+IF(ISNUMBER(R42),5.6%,0)+IF(ISNUMBER(W42),3.6%,0)+IF(ISNUMBER(X42),2.4%,0)+IF(ISNUMBER(AC42),25%,0)+IF(ISNUMBER(AG42),18%,0)+IF(ISNUMBER(AH42),12%,0)+IF(ISNUMBER(AK42),10%,0))</x:f>
        <x:v>0.88</x:v>
      </x:c>
      <x:c r="AR42" s="17" t="n">
        <x:f>IF(AQ42=0,"",IF(ISNUMBER(I42),I42*6%,0)+IF(ISNUMBER(K42),K42*4.5%,0)+IF(ISNUMBER(L42),L42*4.5%,0)+IF(ISNUMBER(Q42),Q42*8.4%,0)+IF(ISNUMBER(R42),R42*5.6%,0)+IF(ISNUMBER(W42),W42*3.6%,0)+IF(ISNUMBER(X42),X42*2.4%,0)+IF(ISNUMBER(AC42),AC42*25%,0)+IF(ISNUMBER(AG42),AG42*18%,0)+IF(ISNUMBER(AH42),AH42*12%,0)+IF(ISNUMBER(AK42),AK42*10%,0))</x:f>
        <x:v>61.13756</x:v>
      </x:c>
      <x:c r="AS42" s="17" t="n">
        <x:f>IF(AQ42=0,"",ROUND(AR42/AQ42,2))</x:f>
        <x:v>69.47</x:v>
      </x:c>
      <x:c r="AT42" s="40" t="n">
        <x:f>IF(OR(G42&lt;&gt;"入池",NOT(ISNUMBER(AS42))),"",COUNTIFS($G$17:$G$219,"入池",$AS$17:$AS$219,"&gt;"&amp;AS42)+COUNTIFS($G$17:$G$219,"入池",$AS$17:$AS$219,AS42,$AQ$17:$AQ$219,"&gt;"&amp;AQ42)+COUNTIFS($G$17:G42,"入池",$AS$17:AS42,AS42,$AQ$17:AQ42,AQ42))</x:f>
        <x:v>74</x:v>
      </x:c>
      <x:c r="AU42" s="41" t="str">
        <x:f t="shared" si="2">IF(NOT(ISNUMBER(I42)),"管理人规模；","")&amp;IF(J42="","产品规模标识；","")&amp;IF(AND(F42&lt;3,NOT(ISNUMBER(O42))),"R_incep；","")&amp;IF(NOT(ISNUMBER(N42)),"近三年收益；","")&amp;IF(NOT(ISNUMBER(U42)),"近三年胜率；","")&amp;IF(AND(ISNUMBER(V42),OR(V42&lt;0,V42&gt;1)),"胜率窗口口径不一致；","")&amp;IF(NOT(ISNUMBER(AA42)),"近三年回撤；","")&amp;IF(NOT(ISNUMBER(AD42)),"短期卡玛；","")&amp;IF(AND(ISNUMBER(P42),NOT(ISNUMBER(AE42))),"DD_long不可识别；","")</x:f>
        <x:v>DD_long不可识别；</x:v>
      </x:c>
      <x:c r="AV42" s="42" t="n">
        <x:v>20</x:v>
      </x:c>
      <x:c r="AW42" s="19" t="str">
        <x:v>上海致同投资管理有限公司</x:v>
      </x:c>
      <x:c r="AX42" s="19" t="str">
        <x:v>2026-03-16</x:v>
      </x:c>
      <x:c r="AY42" s="19" t="str">
        <x:v>https://gs.amac.org.cn/amac-infodisc/res/pof/manager/101000004339.html</x:v>
      </x:c>
      <x:c r="AZ42" s="19" t="str">
        <x:v>致同云峰A私募证券投资基金</x:v>
      </x:c>
      <x:c r="BA42" s="19" t="str">
        <x:v>2025-05-27</x:v>
      </x:c>
      <x:c r="BB42" s="19"/>
      <x:c r="BC42" s="19" t="str">
        <x:v>https://gs.amac.org.cn/amac-infodisc/res/pof/fund/2011161541105858.html</x:v>
      </x:c>
      <x:c r="BD42" s="19" t="str">
        <x:v>已匹配</x:v>
      </x:c>
      <x:c r="BE42"/>
      <x:c r="BF42"/>
    </x:row>
    <x:row r="43" ht="28" customHeight="1">
      <x:c r="A43" s="4" t="n">
        <x:v>27</x:v>
      </x:c>
      <x:c r="B43" s="15" t="str">
        <x:f>'sheet4-原始数据'!A28</x:f>
        <x:v>橡杉量化套利十号</x:v>
      </x:c>
      <x:c r="C43" s="15" t="str">
        <x:f>'sheet4-原始数据'!B28</x:f>
        <x:v>SLY435</x:v>
      </x:c>
      <x:c r="D43" s="15" t="str">
        <x:f>'sheet4-原始数据'!E28</x:f>
        <x:v>上海橡杉资管</x:v>
      </x:c>
      <x:c r="E43" s="32" t="n">
        <x:f>IF(ISNUMBER('sheet4-原始数据'!F28),'sheet4-原始数据'!F28,"")</x:f>
        <x:v>44159</x:v>
      </x:c>
      <x:c r="F43" s="17" t="n">
        <x:f>IF(NOT(ISNUMBER(E43)),"",ROUND(('sheet1-指标体系'!$J$23-E43)/365.25,4))</x:f>
        <x:v>5.8097</x:v>
      </x:c>
      <x:c r="G43" s="4" t="str">
        <x:f t="shared" si="1">IF(NOT(ISNUMBER(F43)),"",IF(F43&lt;1,"不入池","入池"))</x:f>
        <x:v>入池</x:v>
      </x:c>
      <x:c r="H43" s="33" t="str">
        <x:v>5-10亿元</x:v>
      </x:c>
      <x:c r="I43" s="17" t="n">
        <x:f>IF(H43="","",IF(ISNUMBER(SEARCH("100亿元以上",H43)),100,IF(OR(ISNUMBER(SEARCH("20-50",H43)),ISNUMBER(SEARCH("50-100",H43)),ISNUMBER(SEARCH("20-100",H43))),90,IF(ISNUMBER(SEARCH("10-20",H43)),80,IF(ISNUMBER(SEARCH("5-10",H43)),70,IF(ISNUMBER(SEARCH("0-5",H43)),60,""))))))</x:f>
        <x:v>70</x:v>
      </x:c>
      <x:c r="J43" s="34" t="str">
        <x:v>无低于1000万元标识</x:v>
      </x:c>
      <x:c r="K43" s="17" t="n">
        <x:f>IF(J43="","",IF(J43="低于1000万元",0,100))</x:f>
        <x:v>100</x:v>
      </x:c>
      <x:c r="L43" s="17" t="n">
        <x:f>IF(NOT(ISNUMBER(F43)),"",IF(F43&lt;1,"",IF(F43&lt;3,70,100)))</x:f>
        <x:v>100</x:v>
      </x:c>
      <x:c r="M43" s="35" t="n">
        <x:f>IF(ISNUMBER('sheet4-原始数据'!G28),'sheet4-原始数据'!G28,"")</x:f>
        <x:v>0.04650000000000001</x:v>
      </x:c>
      <x:c r="N43" s="35" t="n">
        <x:f>IF(ISNUMBER('sheet4-原始数据'!H28),'sheet4-原始数据'!H28,"")</x:f>
        <x:v>0.028999999999999998</x:v>
      </x:c>
      <x:c r="O43" s="36" t="str">
        <x:f>IF(ISNUMBER('sheet4-原始数据'!Q28),'sheet4-原始数据'!Q28,"")</x:f>
      </x:c>
      <x:c r="P43" s="37" t="n">
        <x:f>IF($G43&lt;&gt;"入池","",IF($F43&gt;=3,IF(OR(NOT(ISNUMBER($M43)),NOT(ISNUMBER($N43)),1+$M43&lt;=0,1+$N43&lt;0),"",((1+$N43)^3/(1+$M43))^(1/2)-1),IF(OR($F43&lt;=1,NOT(ISNUMBER($M43)),NOT(ISNUMBER($O43)),1+$M43&lt;=0,1+$O43&lt;0),"",((1+$O43)^$F43/(1+$M43))^(1/($F43-1))-1)))</x:f>
        <x:v>0.02036004859193774</x:v>
      </x:c>
      <x:c r="Q43" s="17" t="n">
        <x:f>IF(OR($G43&lt;&gt;"入池",NOT(ISNUMBER(M43))),"",IF(COUNTIFS($G$17:$G$219,"入池",$M$17:$M$219,"&gt;=-1E+307",$M$17:$M$219,"&lt;=1E+307")&lt;=1,100,ROUND(100*(COUNTIFS($G$17:$G$219,"入池",$M$17:$M$219,"&gt;=-1E+307",$M$17:$M$219,"&lt;"&amp;M43)+COUNTIFS($G$17:$G$219,"入池",$M$17:$M$219,M43,$M$17:$M$219,"&gt;=-1E+307",$M$17:$M$219,"&lt;=1E+307")/2-0.5)/(COUNTIFS($G$17:$G$219,"入池",$M$17:$M$219,"&gt;=-1E+307",$M$17:$M$219,"&lt;=1E+307")-1),2)))</x:f>
        <x:v>47.03</x:v>
      </x:c>
      <x:c r="R43" s="17" t="n">
        <x:f>IF(OR($G43&lt;&gt;"入池",NOT(ISNUMBER(P43))),"",IF(COUNTIFS($G$17:$G$219,"入池",$P$17:$P$219,"&gt;=-1E+307",$P$17:$P$219,"&lt;=1E+307")&lt;=1,100,ROUND(100*(COUNTIFS($G$17:$G$219,"入池",$P$17:$P$219,"&gt;=-1E+307",$P$17:$P$219,"&lt;"&amp;P43)+COUNTIFS($G$17:$G$219,"入池",$P$17:$P$219,P43,$P$17:$P$219,"&gt;=-1E+307",$P$17:$P$219,"&lt;=1E+307")/2-0.5)/(COUNTIFS($G$17:$G$219,"入池",$P$17:$P$219,"&gt;=-1E+307",$P$17:$P$219,"&lt;=1E+307")-1),2)))</x:f>
        <x:v>9.41</x:v>
      </x:c>
      <x:c r="S43" s="17" t="n">
        <x:f>IF(NOT(ISNUMBER(Q43)),"",IF(NOT(ISNUMBER(R43)),Q43,ROUND(Q43*'sheet1-指标体系'!$J$8+R43*'sheet1-指标体系'!$J$9,2)))</x:f>
        <x:v>31.98</x:v>
      </x:c>
      <x:c r="T43" s="35" t="n">
        <x:f>IF(ISNUMBER('sheet4-原始数据'!J28),'sheet4-原始数据'!J28,"")</x:f>
        <x:v>0.6154</x:v>
      </x:c>
      <x:c r="U43" s="35" t="n">
        <x:f>IF(ISNUMBER('sheet4-原始数据'!I28),'sheet4-原始数据'!I28,"")</x:f>
        <x:v>0.5946</x:v>
      </x:c>
      <x:c r="V43" s="37" t="n">
        <x:f>IF(OR(NOT(ISNUMBER(T43)),NOT(ISNUMBER(U43))),"",(U43*'sheet1-指标体系'!$J$6-T43*'sheet1-指标体系'!$J$5)/'sheet1-指标体系'!$J$7)</x:f>
        <x:v>0.5833333333333334</x:v>
      </x:c>
      <x:c r="W43" s="17" t="n">
        <x:f>IF(NOT(ISNUMBER(T43)),"",T43*100)</x:f>
        <x:v>61.53999999999999</x:v>
      </x:c>
      <x:c r="X43" s="17" t="n">
        <x:f>IF($G43&lt;&gt;"入池","",IF(AND(ISNUMBER(V43),V43&gt;=0,V43&lt;=1),V43*100,IF(MAX(0,($F43-1)*12)&lt;6,100,"")))</x:f>
        <x:v>58.333333333333336</x:v>
      </x:c>
      <x:c r="Y43" s="17" t="n">
        <x:f>IF(NOT(ISNUMBER(W43)),"",IF(NOT(ISNUMBER(X43)),W43,ROUND(W43*'sheet1-指标体系'!$J$8+X43*'sheet1-指标体系'!$J$9,2)))</x:f>
        <x:v>60.26</x:v>
      </x:c>
      <x:c r="Z43" s="37" t="n">
        <x:f>IF(OR(NOT(ISNUMBER(M43)),NOT(ISNUMBER(AD43)),AD43=0),"",ABS(M43/AD43))</x:f>
        <x:v>0.008754094657178359</x:v>
      </x:c>
      <x:c r="AA43" s="35" t="n">
        <x:f>IF(ISNUMBER('sheet4-原始数据'!K28),'sheet4-原始数据'!K28,"")</x:f>
        <x:v>0.0088</x:v>
      </x:c>
      <x:c r="AB43" s="37" t="n">
        <x:f>IF(COUNT(Z43:AA43)=0,"",MAX(Z43:AA43))</x:f>
        <x:v>0.0088</x:v>
      </x:c>
      <x:c r="AC43" s="17" t="n">
        <x:f>IF(OR($G43&lt;&gt;"入池",NOT(ISNUMBER(AB43))),"",IF(COUNTIFS($G$17:$G$219,"入池",$AB$17:$AB$219,"&gt;=-1E+307",$AB$17:$AB$219,"&lt;=1E+307")&lt;=1,100,ROUND(100*(COUNTIFS($G$17:$G$219,"入池",$AB$17:$AB$219,"&lt;=1E+307",$AB$17:$AB$219,"&gt;"&amp;AB43)+COUNTIFS($G$17:$G$219,"入池",$AB$17:$AB$219,AB43,$AB$17:$AB$219,"&gt;=-1E+307",$AB$17:$AB$219,"&lt;=1E+307")/2-0.5)/(COUNTIFS($G$17:$G$219,"入池",$AB$17:$AB$219,"&gt;=-1E+307",$AB$17:$AB$219,"&lt;=1E+307")-1),2)))</x:f>
        <x:v>88.12</x:v>
      </x:c>
      <x:c r="AD43" s="38" t="n">
        <x:f>IF(ISNUMBER('sheet4-原始数据'!M28),'sheet4-原始数据'!M28,"")</x:f>
        <x:v>5.3118</x:v>
      </x:c>
      <x:c r="AE43" s="37" t="str">
        <x:f>IF(OR(NOT(ISNUMBER(P43)),NOT(ISNUMBER(AA43)),NOT(ISNUMBER(Z43))),"",IF(AA43&gt;Z43+'sheet1-指标体系'!$J$11,AA43,""))</x:f>
      </x:c>
      <x:c r="AF43" s="17" t="str">
        <x:f>IF(OR(NOT(ISNUMBER(P43)),NOT(ISNUMBER(AE43)),AE43=0),"",P43/AE43)</x:f>
      </x:c>
      <x:c r="AG43" s="17" t="n">
        <x:f>IF(OR($G43&lt;&gt;"入池",NOT(ISNUMBER(AD43))),"",IF(COUNTIFS($G$17:$G$219,"入池",$AD$17:$AD$219,"&gt;=-1E+307",$AD$17:$AD$219,"&lt;=1E+307")&lt;=1,100,ROUND(100*(COUNTIFS($G$17:$G$219,"入池",$AD$17:$AD$219,"&gt;=-1E+307",$AD$17:$AD$219,"&lt;"&amp;AD43)+COUNTIFS($G$17:$G$219,"入池",$AD$17:$AD$219,AD43,$AD$17:$AD$219,"&gt;=-1E+307",$AD$17:$AD$219,"&lt;=1E+307")/2-0.5)/(COUNTIFS($G$17:$G$219,"入池",$AD$17:$AD$219,"&gt;=-1E+307",$AD$17:$AD$219,"&lt;=1E+307")-1),2)))</x:f>
        <x:v>64.18</x:v>
      </x:c>
      <x:c r="AH43" s="17" t="str">
        <x:f>IF(OR($G43&lt;&gt;"入池",NOT(ISNUMBER(AF43))),"",IF(COUNTIFS($G$17:$G$219,"入池",$AF$17:$AF$219,"&gt;=-1E+307",$AF$17:$AF$219,"&lt;=1E+307")&lt;=1,100,ROUND(100*(COUNTIFS($G$17:$G$219,"入池",$AF$17:$AF$219,"&gt;=-1E+307",$AF$17:$AF$219,"&lt;"&amp;AF43)+COUNTIFS($G$17:$G$219,"入池",$AF$17:$AF$219,AF43,$AF$17:$AF$219,"&gt;=-1E+307",$AF$17:$AF$219,"&lt;=1E+307")/2-0.5)/(COUNTIFS($G$17:$G$219,"入池",$AF$17:$AF$219,"&gt;=-1E+307",$AF$17:$AF$219,"&lt;=1E+307")-1),2)))</x:f>
      </x:c>
      <x:c r="AI43" s="17" t="n">
        <x:f>IF(NOT(ISNUMBER(AG43)),"",IF(NOT(ISNUMBER(AH43)),AG43,ROUND(AG43*'sheet1-指标体系'!$J$8+AH43*'sheet1-指标体系'!$J$9,2)))</x:f>
        <x:v>64.18</x:v>
      </x:c>
      <x:c r="AJ43" s="37" t="n">
        <x:f>IF(NOT(ISNUMBER(F43)),"",IF(F43&gt;=3,IF(NOT(ISNUMBER(N43)),"",N43),IF(NOT(ISNUMBER(O43)),"",O43)))</x:f>
        <x:v>0.028999999999999998</x:v>
      </x:c>
      <x:c r="AK43" s="17" t="n">
        <x:f>IF(OR(G43&lt;&gt;"入池",NOT(ISNUMBER(M43)),NOT(ISNUMBER(AJ43))),"",IF(M43&gt;=AJ43,100,IF(AJ43-M43&lt;'sheet1-指标体系'!$J$10,80,60)))</x:f>
        <x:v>100</x:v>
      </x:c>
      <x:c r="AL43" s="17" t="n">
        <x:f>IF(COUNT(I43,K43,L43)=0,"",ROUND((IF(ISNUMBER(I43),I43*40%,0)+IF(ISNUMBER(K43),K43*30%,0)+IF(ISNUMBER(L43),L43*30%,0))/(IF(ISNUMBER(I43),40%,0)+IF(ISNUMBER(K43),30%,0)+IF(ISNUMBER(L43),30%,0)),2))</x:f>
        <x:v>88</x:v>
      </x:c>
      <x:c r="AM43" s="17" t="n">
        <x:f>IF(COUNT(Q43,R43,W43,X43)=0,"",ROUND((IF(ISNUMBER(Q43),Q43*42%,0)+IF(ISNUMBER(R43),R43*28%,0)+IF(ISNUMBER(W43),W43*18%,0)+IF(ISNUMBER(X43),X43*12%,0))/(IF(ISNUMBER(Q43),42%,0)+IF(ISNUMBER(R43),28%,0)+IF(ISNUMBER(W43),18%,0)+IF(ISNUMBER(X43),12%,0)),2))</x:f>
        <x:v>40.46</x:v>
      </x:c>
      <x:c r="AN43" s="17" t="n">
        <x:f>IF(ISNUMBER(AC43),AC43,"")</x:f>
        <x:v>88.12</x:v>
      </x:c>
      <x:c r="AO43" s="17" t="n">
        <x:f>IF(COUNT(AG43,AH43)=0,"",ROUND((IF(ISNUMBER(AG43),AG43*60%,0)+IF(ISNUMBER(AH43),AH43*40%,0))/(IF(ISNUMBER(AG43),60%,0)+IF(ISNUMBER(AH43),40%,0)),2))</x:f>
        <x:v>64.18</x:v>
      </x:c>
      <x:c r="AP43" s="17" t="n">
        <x:f>IF(ISNUMBER(AK43),AK43,"")</x:f>
        <x:v>100</x:v>
      </x:c>
      <x:c r="AQ43" s="39" t="n">
        <x:f>IF(G43&lt;&gt;"入池",0,IF(ISNUMBER(I43),6%,0)+IF(ISNUMBER(K43),4.5%,0)+IF(ISNUMBER(L43),4.5%,0)+IF(ISNUMBER(Q43),8.4%,0)+IF(ISNUMBER(R43),5.6%,0)+IF(ISNUMBER(W43),3.6%,0)+IF(ISNUMBER(X43),2.4%,0)+IF(ISNUMBER(AC43),25%,0)+IF(ISNUMBER(AG43),18%,0)+IF(ISNUMBER(AH43),12%,0)+IF(ISNUMBER(AK43),10%,0))</x:f>
        <x:v>0.88</x:v>
      </x:c>
      <x:c r="AR43" s="17" t="n">
        <x:f>IF(AQ43=0,"",IF(ISNUMBER(I43),I43*6%,0)+IF(ISNUMBER(K43),K43*4.5%,0)+IF(ISNUMBER(L43),L43*4.5%,0)+IF(ISNUMBER(Q43),Q43*8.4%,0)+IF(ISNUMBER(R43),R43*5.6%,0)+IF(ISNUMBER(W43),W43*3.6%,0)+IF(ISNUMBER(X43),X43*2.4%,0)+IF(ISNUMBER(AC43),AC43*25%,0)+IF(ISNUMBER(AG43),AG43*18%,0)+IF(ISNUMBER(AH43),AH43*12%,0)+IF(ISNUMBER(AK43),AK43*10%,0))</x:f>
        <x:v>64.87531999999999</x:v>
      </x:c>
      <x:c r="AS43" s="17" t="n">
        <x:f>IF(AQ43=0,"",ROUND(AR43/AQ43,2))</x:f>
        <x:v>73.72</x:v>
      </x:c>
      <x:c r="AT43" s="40" t="n">
        <x:f>IF(OR(G43&lt;&gt;"入池",NOT(ISNUMBER(AS43))),"",COUNTIFS($G$17:$G$219,"入池",$AS$17:$AS$219,"&gt;"&amp;AS43)+COUNTIFS($G$17:$G$219,"入池",$AS$17:$AS$219,AS43,$AQ$17:$AQ$219,"&gt;"&amp;AQ43)+COUNTIFS($G$17:G43,"入池",$AS$17:AS43,AS43,$AQ$17:AQ43,AQ43))</x:f>
        <x:v>53</x:v>
      </x:c>
      <x:c r="AU43" s="41" t="str">
        <x:f t="shared" si="2">IF(NOT(ISNUMBER(I43)),"管理人规模；","")&amp;IF(J43="","产品规模标识；","")&amp;IF(AND(F43&lt;3,NOT(ISNUMBER(O43))),"R_incep；","")&amp;IF(NOT(ISNUMBER(N43)),"近三年收益；","")&amp;IF(NOT(ISNUMBER(U43)),"近三年胜率；","")&amp;IF(AND(ISNUMBER(V43),OR(V43&lt;0,V43&gt;1)),"胜率窗口口径不一致；","")&amp;IF(NOT(ISNUMBER(AA43)),"近三年回撤；","")&amp;IF(NOT(ISNUMBER(AD43)),"短期卡玛；","")&amp;IF(AND(ISNUMBER(P43),NOT(ISNUMBER(AE43))),"DD_long不可识别；","")</x:f>
        <x:v>DD_long不可识别；</x:v>
      </x:c>
      <x:c r="AV43" s="42" t="n">
        <x:v>5</x:v>
      </x:c>
      <x:c r="AW43" s="19" t="str">
        <x:v>上海橡杉资产管理有限公司</x:v>
      </x:c>
      <x:c r="AX43" s="19" t="str">
        <x:v>2026-02-12</x:v>
      </x:c>
      <x:c r="AY43" s="19" t="str">
        <x:v>https://gs.amac.org.cn/amac-infodisc/res/pof/manager/1609080127100430.html</x:v>
      </x:c>
      <x:c r="AZ43" s="19" t="str">
        <x:v>橡杉量化套利十号私募证券投资基金</x:v>
      </x:c>
      <x:c r="BA43" s="19" t="str">
        <x:v>2026-07-29</x:v>
      </x:c>
      <x:c r="BB43" s="19"/>
      <x:c r="BC43" s="19" t="str">
        <x:v>https://gs.amac.org.cn/amac-infodisc/res/pof/fund/2012021816130867.html</x:v>
      </x:c>
      <x:c r="BD43" s="19" t="str">
        <x:v>已匹配</x:v>
      </x:c>
      <x:c r="BE43"/>
      <x:c r="BF43"/>
    </x:row>
    <x:row r="44" ht="28" customHeight="1">
      <x:c r="A44" s="4" t="n">
        <x:v>28</x:v>
      </x:c>
      <x:c r="B44" s="15" t="str">
        <x:f>'sheet4-原始数据'!A29</x:f>
        <x:v>裕锦量化专享1号</x:v>
      </x:c>
      <x:c r="C44" s="15" t="str">
        <x:f>'sheet4-原始数据'!B29</x:f>
        <x:v>SNE165</x:v>
      </x:c>
      <x:c r="D44" s="15" t="str">
        <x:f>'sheet4-原始数据'!E29</x:f>
        <x:v>深圳裕锦</x:v>
      </x:c>
      <x:c r="E44" s="32" t="n">
        <x:f>IF(ISNUMBER('sheet4-原始数据'!F29),'sheet4-原始数据'!F29,"")</x:f>
        <x:v>44166</x:v>
      </x:c>
      <x:c r="F44" s="17" t="n">
        <x:f>IF(NOT(ISNUMBER(E44)),"",ROUND(('sheet1-指标体系'!$J$23-E44)/365.25,4))</x:f>
        <x:v>5.7906</x:v>
      </x:c>
      <x:c r="G44" s="4" t="str">
        <x:f t="shared" si="1">IF(NOT(ISNUMBER(F44)),"",IF(F44&lt;1,"不入池","入池"))</x:f>
        <x:v>入池</x:v>
      </x:c>
      <x:c r="H44" s="33" t="str">
        <x:v>10-20亿元</x:v>
      </x:c>
      <x:c r="I44" s="17" t="n">
        <x:f>IF(H44="","",IF(ISNUMBER(SEARCH("100亿元以上",H44)),100,IF(OR(ISNUMBER(SEARCH("20-50",H44)),ISNUMBER(SEARCH("50-100",H44)),ISNUMBER(SEARCH("20-100",H44))),90,IF(ISNUMBER(SEARCH("10-20",H44)),80,IF(ISNUMBER(SEARCH("5-10",H44)),70,IF(ISNUMBER(SEARCH("0-5",H44)),60,""))))))</x:f>
        <x:v>80</x:v>
      </x:c>
      <x:c r="J44" s="34" t="str">
        <x:v>无低于1000万元标识</x:v>
      </x:c>
      <x:c r="K44" s="17" t="n">
        <x:f>IF(J44="","",IF(J44="低于1000万元",0,100))</x:f>
        <x:v>100</x:v>
      </x:c>
      <x:c r="L44" s="17" t="n">
        <x:f>IF(NOT(ISNUMBER(F44)),"",IF(F44&lt;1,"",IF(F44&lt;3,70,100)))</x:f>
        <x:v>100</x:v>
      </x:c>
      <x:c r="M44" s="35" t="n">
        <x:f>IF(ISNUMBER('sheet4-原始数据'!G29),'sheet4-原始数据'!G29,"")</x:f>
        <x:v>0.17559999999999998</x:v>
      </x:c>
      <x:c r="N44" s="35" t="n">
        <x:f>IF(ISNUMBER('sheet4-原始数据'!H29),'sheet4-原始数据'!H29,"")</x:f>
        <x:v>0.172</x:v>
      </x:c>
      <x:c r="O44" s="36" t="str">
        <x:f>IF(ISNUMBER('sheet4-原始数据'!Q29),'sheet4-原始数据'!Q29,"")</x:f>
      </x:c>
      <x:c r="P44" s="37" t="n">
        <x:f>IF($G44&lt;&gt;"入池","",IF($F44&gt;=3,IF(OR(NOT(ISNUMBER($M44)),NOT(ISNUMBER($N44)),1+$M44&lt;=0,1+$N44&lt;0),"",((1+$N44)^3/(1+$M44))^(1/2)-1),IF(OR($F44&lt;=1,NOT(ISNUMBER($M44)),NOT(ISNUMBER($O44)),1+$M44&lt;=0,1+$O44&lt;0),"",((1+$O44)^$F44/(1+$M44))^(1/($F44-1))-1)))</x:f>
        <x:v>0.17020413617156205</x:v>
      </x:c>
      <x:c r="Q44" s="17" t="n">
        <x:f>IF(OR($G44&lt;&gt;"入池",NOT(ISNUMBER(M44))),"",IF(COUNTIFS($G$17:$G$219,"入池",$M$17:$M$219,"&gt;=-1E+307",$M$17:$M$219,"&lt;=1E+307")&lt;=1,100,ROUND(100*(COUNTIFS($G$17:$G$219,"入池",$M$17:$M$219,"&gt;=-1E+307",$M$17:$M$219,"&lt;"&amp;M44)+COUNTIFS($G$17:$G$219,"入池",$M$17:$M$219,M44,$M$17:$M$219,"&gt;=-1E+307",$M$17:$M$219,"&lt;=1E+307")/2-0.5)/(COUNTIFS($G$17:$G$219,"入池",$M$17:$M$219,"&gt;=-1E+307",$M$17:$M$219,"&lt;=1E+307")-1),2)))</x:f>
        <x:v>92.08</x:v>
      </x:c>
      <x:c r="R44" s="17" t="n">
        <x:f>IF(OR($G44&lt;&gt;"入池",NOT(ISNUMBER(P44))),"",IF(COUNTIFS($G$17:$G$219,"入池",$P$17:$P$219,"&gt;=-1E+307",$P$17:$P$219,"&lt;=1E+307")&lt;=1,100,ROUND(100*(COUNTIFS($G$17:$G$219,"入池",$P$17:$P$219,"&gt;=-1E+307",$P$17:$P$219,"&lt;"&amp;P44)+COUNTIFS($G$17:$G$219,"入池",$P$17:$P$219,P44,$P$17:$P$219,"&gt;=-1E+307",$P$17:$P$219,"&lt;=1E+307")/2-0.5)/(COUNTIFS($G$17:$G$219,"入池",$P$17:$P$219,"&gt;=-1E+307",$P$17:$P$219,"&lt;=1E+307")-1),2)))</x:f>
        <x:v>91.09</x:v>
      </x:c>
      <x:c r="S44" s="17" t="n">
        <x:f>IF(NOT(ISNUMBER(Q44)),"",IF(NOT(ISNUMBER(R44)),Q44,ROUND(Q44*'sheet1-指标体系'!$J$8+R44*'sheet1-指标体系'!$J$9,2)))</x:f>
        <x:v>91.68</x:v>
      </x:c>
      <x:c r="T44" s="35" t="n">
        <x:f>IF(ISNUMBER('sheet4-原始数据'!J29),'sheet4-原始数据'!J29,"")</x:f>
        <x:v>0.7692</x:v>
      </x:c>
      <x:c r="U44" s="35" t="n">
        <x:f>IF(ISNUMBER('sheet4-原始数据'!I29),'sheet4-原始数据'!I29,"")</x:f>
        <x:v>0.8378</x:v>
      </x:c>
      <x:c r="V44" s="37" t="n">
        <x:f>IF(OR(NOT(ISNUMBER(T44)),NOT(ISNUMBER(U44))),"",(U44*'sheet1-指标体系'!$J$6-T44*'sheet1-指标体系'!$J$5)/'sheet1-指标体系'!$J$7)</x:f>
        <x:v>0.8749583333333334</x:v>
      </x:c>
      <x:c r="W44" s="17" t="n">
        <x:f>IF(NOT(ISNUMBER(T44)),"",T44*100)</x:f>
        <x:v>76.92</x:v>
      </x:c>
      <x:c r="X44" s="17" t="n">
        <x:f>IF($G44&lt;&gt;"入池","",IF(AND(ISNUMBER(V44),V44&gt;=0,V44&lt;=1),V44*100,IF(MAX(0,($F44-1)*12)&lt;6,100,"")))</x:f>
        <x:v>87.49583333333334</x:v>
      </x:c>
      <x:c r="Y44" s="17" t="n">
        <x:f>IF(NOT(ISNUMBER(W44)),"",IF(NOT(ISNUMBER(X44)),W44,ROUND(W44*'sheet1-指标体系'!$J$8+X44*'sheet1-指标体系'!$J$9,2)))</x:f>
        <x:v>81.15</x:v>
      </x:c>
      <x:c r="Z44" s="37" t="n">
        <x:f>IF(OR(NOT(ISNUMBER(M44)),NOT(ISNUMBER(AD44)),AD44=0),"",ABS(M44/AD44))</x:f>
        <x:v>0.0046469040927687175</x:v>
      </x:c>
      <x:c r="AA44" s="35" t="n">
        <x:f>IF(ISNUMBER('sheet4-原始数据'!K29),'sheet4-原始数据'!K29,"")</x:f>
        <x:v>0.0105</x:v>
      </x:c>
      <x:c r="AB44" s="37" t="n">
        <x:f>IF(COUNT(Z44:AA44)=0,"",MAX(Z44:AA44))</x:f>
        <x:v>0.0105</x:v>
      </x:c>
      <x:c r="AC44" s="17" t="n">
        <x:f>IF(OR($G44&lt;&gt;"入池",NOT(ISNUMBER(AB44))),"",IF(COUNTIFS($G$17:$G$219,"入池",$AB$17:$AB$219,"&gt;=-1E+307",$AB$17:$AB$219,"&lt;=1E+307")&lt;=1,100,ROUND(100*(COUNTIFS($G$17:$G$219,"入池",$AB$17:$AB$219,"&lt;=1E+307",$AB$17:$AB$219,"&gt;"&amp;AB44)+COUNTIFS($G$17:$G$219,"入池",$AB$17:$AB$219,AB44,$AB$17:$AB$219,"&gt;=-1E+307",$AB$17:$AB$219,"&lt;=1E+307")/2-0.5)/(COUNTIFS($G$17:$G$219,"入池",$AB$17:$AB$219,"&gt;=-1E+307",$AB$17:$AB$219,"&lt;=1E+307")-1),2)))</x:f>
        <x:v>87.13</x:v>
      </x:c>
      <x:c r="AD44" s="38" t="n">
        <x:f>IF(ISNUMBER('sheet4-原始数据'!M29),'sheet4-原始数据'!M29,"")</x:f>
        <x:v>37.7886</x:v>
      </x:c>
      <x:c r="AE44" s="37" t="n">
        <x:f>IF(OR(NOT(ISNUMBER(P44)),NOT(ISNUMBER(AA44)),NOT(ISNUMBER(Z44))),"",IF(AA44&gt;Z44+'sheet1-指标体系'!$J$11,AA44,""))</x:f>
        <x:v>0.0105</x:v>
      </x:c>
      <x:c r="AF44" s="17" t="n">
        <x:f>IF(OR(NOT(ISNUMBER(P44)),NOT(ISNUMBER(AE44)),AE44=0),"",P44/AE44)</x:f>
        <x:v>16.209917730624955</x:v>
      </x:c>
      <x:c r="AG44" s="17" t="n">
        <x:f>IF(OR($G44&lt;&gt;"入池",NOT(ISNUMBER(AD44))),"",IF(COUNTIFS($G$17:$G$219,"入池",$AD$17:$AD$219,"&gt;=-1E+307",$AD$17:$AD$219,"&lt;=1E+307")&lt;=1,100,ROUND(100*(COUNTIFS($G$17:$G$219,"入池",$AD$17:$AD$219,"&gt;=-1E+307",$AD$17:$AD$219,"&lt;"&amp;AD44)+COUNTIFS($G$17:$G$219,"入池",$AD$17:$AD$219,AD44,$AD$17:$AD$219,"&gt;=-1E+307",$AD$17:$AD$219,"&lt;=1E+307")/2-0.5)/(COUNTIFS($G$17:$G$219,"入池",$AD$17:$AD$219,"&gt;=-1E+307",$AD$17:$AD$219,"&lt;=1E+307")-1),2)))</x:f>
        <x:v>94.53</x:v>
      </x:c>
      <x:c r="AH44" s="17" t="n">
        <x:f>IF(OR($G44&lt;&gt;"入池",NOT(ISNUMBER(AF44))),"",IF(COUNTIFS($G$17:$G$219,"入池",$AF$17:$AF$219,"&gt;=-1E+307",$AF$17:$AF$219,"&lt;=1E+307")&lt;=1,100,ROUND(100*(COUNTIFS($G$17:$G$219,"入池",$AF$17:$AF$219,"&gt;=-1E+307",$AF$17:$AF$219,"&lt;"&amp;AF44)+COUNTIFS($G$17:$G$219,"入池",$AF$17:$AF$219,AF44,$AF$17:$AF$219,"&gt;=-1E+307",$AF$17:$AF$219,"&lt;=1E+307")/2-0.5)/(COUNTIFS($G$17:$G$219,"入池",$AF$17:$AF$219,"&gt;=-1E+307",$AF$17:$AF$219,"&lt;=1E+307")-1),2)))</x:f>
        <x:v>95.62</x:v>
      </x:c>
      <x:c r="AI44" s="17" t="n">
        <x:f>IF(NOT(ISNUMBER(AG44)),"",IF(NOT(ISNUMBER(AH44)),AG44,ROUND(AG44*'sheet1-指标体系'!$J$8+AH44*'sheet1-指标体系'!$J$9,2)))</x:f>
        <x:v>94.97</x:v>
      </x:c>
      <x:c r="AJ44" s="37" t="n">
        <x:f>IF(NOT(ISNUMBER(F44)),"",IF(F44&gt;=3,IF(NOT(ISNUMBER(N44)),"",N44),IF(NOT(ISNUMBER(O44)),"",O44)))</x:f>
        <x:v>0.172</x:v>
      </x:c>
      <x:c r="AK44" s="17" t="n">
        <x:f>IF(OR(G44&lt;&gt;"入池",NOT(ISNUMBER(M44)),NOT(ISNUMBER(AJ44))),"",IF(M44&gt;=AJ44,100,IF(AJ44-M44&lt;'sheet1-指标体系'!$J$10,80,60)))</x:f>
        <x:v>100</x:v>
      </x:c>
      <x:c r="AL44" s="17" t="n">
        <x:f>IF(COUNT(I44,K44,L44)=0,"",ROUND((IF(ISNUMBER(I44),I44*40%,0)+IF(ISNUMBER(K44),K44*30%,0)+IF(ISNUMBER(L44),L44*30%,0))/(IF(ISNUMBER(I44),40%,0)+IF(ISNUMBER(K44),30%,0)+IF(ISNUMBER(L44),30%,0)),2))</x:f>
        <x:v>92</x:v>
      </x:c>
      <x:c r="AM44" s="17" t="n">
        <x:f>IF(COUNT(Q44,R44,W44,X44)=0,"",ROUND((IF(ISNUMBER(Q44),Q44*42%,0)+IF(ISNUMBER(R44),R44*28%,0)+IF(ISNUMBER(W44),W44*18%,0)+IF(ISNUMBER(X44),X44*12%,0))/(IF(ISNUMBER(Q44),42%,0)+IF(ISNUMBER(R44),28%,0)+IF(ISNUMBER(W44),18%,0)+IF(ISNUMBER(X44),12%,0)),2))</x:f>
        <x:v>88.52</x:v>
      </x:c>
      <x:c r="AN44" s="17" t="n">
        <x:f>IF(ISNUMBER(AC44),AC44,"")</x:f>
        <x:v>87.13</x:v>
      </x:c>
      <x:c r="AO44" s="17" t="n">
        <x:f>IF(COUNT(AG44,AH44)=0,"",ROUND((IF(ISNUMBER(AG44),AG44*60%,0)+IF(ISNUMBER(AH44),AH44*40%,0))/(IF(ISNUMBER(AG44),60%,0)+IF(ISNUMBER(AH44),40%,0)),2))</x:f>
        <x:v>94.97</x:v>
      </x:c>
      <x:c r="AP44" s="17" t="n">
        <x:f>IF(ISNUMBER(AK44),AK44,"")</x:f>
        <x:v>100</x:v>
      </x:c>
      <x:c r="AQ44" s="39" t="n">
        <x:f>IF(G44&lt;&gt;"入池",0,IF(ISNUMBER(I44),6%,0)+IF(ISNUMBER(K44),4.5%,0)+IF(ISNUMBER(L44),4.5%,0)+IF(ISNUMBER(Q44),8.4%,0)+IF(ISNUMBER(R44),5.6%,0)+IF(ISNUMBER(W44),3.6%,0)+IF(ISNUMBER(X44),2.4%,0)+IF(ISNUMBER(AC44),25%,0)+IF(ISNUMBER(AG44),18%,0)+IF(ISNUMBER(AH44),12%,0)+IF(ISNUMBER(AK44),10%,0))</x:f>
        <x:v>1</x:v>
      </x:c>
      <x:c r="AR44" s="17" t="n">
        <x:f>IF(AQ44=0,"",IF(ISNUMBER(I44),I44*6%,0)+IF(ISNUMBER(K44),K44*4.5%,0)+IF(ISNUMBER(L44),L44*4.5%,0)+IF(ISNUMBER(Q44),Q44*8.4%,0)+IF(ISNUMBER(R44),R44*5.6%,0)+IF(ISNUMBER(W44),W44*3.6%,0)+IF(ISNUMBER(X44),X44*2.4%,0)+IF(ISNUMBER(AC44),AC44*25%,0)+IF(ISNUMBER(AG44),AG44*18%,0)+IF(ISNUMBER(AH44),AH44*12%,0)+IF(ISNUMBER(AK44),AK44*10%,0))</x:f>
        <x:v>91.77708</x:v>
      </x:c>
      <x:c r="AS44" s="17" t="n">
        <x:f>IF(AQ44=0,"",ROUND(AR44/AQ44,2))</x:f>
        <x:v>91.78</x:v>
      </x:c>
      <x:c r="AT44" s="40" t="n">
        <x:f>IF(OR(G44&lt;&gt;"入池",NOT(ISNUMBER(AS44))),"",COUNTIFS($G$17:$G$219,"入池",$AS$17:$AS$219,"&gt;"&amp;AS44)+COUNTIFS($G$17:$G$219,"入池",$AS$17:$AS$219,AS44,$AQ$17:$AQ$219,"&gt;"&amp;AQ44)+COUNTIFS($G$17:G44,"入池",$AS$17:AS44,AS44,$AQ$17:AQ44,AQ44))</x:f>
        <x:v>4</x:v>
      </x:c>
      <x:c r="AU44" s="41" t="str">
        <x:f t="shared" si="2">IF(NOT(ISNUMBER(I44)),"管理人规模；","")&amp;IF(J44="","产品规模标识；","")&amp;IF(AND(F44&lt;3,NOT(ISNUMBER(O44))),"R_incep；","")&amp;IF(NOT(ISNUMBER(N44)),"近三年收益；","")&amp;IF(NOT(ISNUMBER(U44)),"近三年胜率；","")&amp;IF(AND(ISNUMBER(V44),OR(V44&lt;0,V44&gt;1)),"胜率窗口口径不一致；","")&amp;IF(NOT(ISNUMBER(AA44)),"近三年回撤；","")&amp;IF(NOT(ISNUMBER(AD44)),"短期卡玛；","")&amp;IF(AND(ISNUMBER(P44),NOT(ISNUMBER(AE44))),"DD_long不可识别；","")</x:f>
      </x:c>
      <x:c r="AV44" s="42" t="n">
        <x:v>10</x:v>
      </x:c>
      <x:c r="AW44" s="19" t="str">
        <x:v>深圳裕锦私募证券基金管理有限公司</x:v>
      </x:c>
      <x:c r="AX44" s="19" t="str">
        <x:v>2023-05-26</x:v>
      </x:c>
      <x:c r="AY44" s="19" t="str">
        <x:v>https://gs.amac.org.cn/amac-infodisc/res/pof/manager/2003241828108999.html</x:v>
      </x:c>
      <x:c r="AZ44" s="19" t="str">
        <x:v>裕锦量化专享1号私募证券投资基金</x:v>
      </x:c>
      <x:c r="BA44" s="19" t="str">
        <x:v>2026-07-20</x:v>
      </x:c>
      <x:c r="BB44" s="19"/>
      <x:c r="BC44" s="19" t="str">
        <x:v>https://gs.amac.org.cn/amac-infodisc/res/pof/fund/2012041657102605.html</x:v>
      </x:c>
      <x:c r="BD44" s="19" t="str">
        <x:v>已匹配</x:v>
      </x:c>
      <x:c r="BE44"/>
      <x:c r="BF44"/>
    </x:row>
    <x:row r="45" ht="28" customHeight="1">
      <x:c r="A45" s="4" t="n">
        <x:v>29</x:v>
      </x:c>
      <x:c r="B45" s="15" t="str">
        <x:f>'sheet4-原始数据'!A30</x:f>
        <x:v>杭州探融-锦鲤智能量化3号</x:v>
      </x:c>
      <x:c r="C45" s="15" t="str">
        <x:f>'sheet4-原始数据'!B30</x:f>
        <x:v>SQC001</x:v>
      </x:c>
      <x:c r="D45" s="15" t="str">
        <x:f>'sheet4-原始数据'!E30</x:f>
        <x:v>杭州探融投资</x:v>
      </x:c>
      <x:c r="E45" s="32" t="n">
        <x:f>IF(ISNUMBER('sheet4-原始数据'!F30),'sheet4-原始数据'!F30,"")</x:f>
        <x:v>44305</x:v>
      </x:c>
      <x:c r="F45" s="17" t="n">
        <x:f>IF(NOT(ISNUMBER(E45)),"",ROUND(('sheet1-指标体系'!$J$23-E45)/365.25,4))</x:f>
        <x:v>5.41</x:v>
      </x:c>
      <x:c r="G45" s="4" t="str">
        <x:f t="shared" si="1">IF(NOT(ISNUMBER(F45)),"",IF(F45&lt;1,"不入池","入池"))</x:f>
        <x:v>入池</x:v>
      </x:c>
      <x:c r="H45" s="33" t="str">
        <x:v>0-5亿元</x:v>
      </x:c>
      <x:c r="I45" s="17" t="n">
        <x:f>IF(H45="","",IF(ISNUMBER(SEARCH("100亿元以上",H45)),100,IF(OR(ISNUMBER(SEARCH("20-50",H45)),ISNUMBER(SEARCH("50-100",H45)),ISNUMBER(SEARCH("20-100",H45))),90,IF(ISNUMBER(SEARCH("10-20",H45)),80,IF(ISNUMBER(SEARCH("5-10",H45)),70,IF(ISNUMBER(SEARCH("0-5",H45)),60,""))))))</x:f>
        <x:v>60</x:v>
      </x:c>
      <x:c r="J45" s="34" t="str">
        <x:v>无低于1000万元标识</x:v>
      </x:c>
      <x:c r="K45" s="17" t="n">
        <x:f>IF(J45="","",IF(J45="低于1000万元",0,100))</x:f>
        <x:v>100</x:v>
      </x:c>
      <x:c r="L45" s="17" t="n">
        <x:f>IF(NOT(ISNUMBER(F45)),"",IF(F45&lt;1,"",IF(F45&lt;3,70,100)))</x:f>
        <x:v>100</x:v>
      </x:c>
      <x:c r="M45" s="35" t="n">
        <x:f>IF(ISNUMBER('sheet4-原始数据'!G30),'sheet4-原始数据'!G30,"")</x:f>
        <x:v>0.0019</x:v>
      </x:c>
      <x:c r="N45" s="35" t="n">
        <x:f>IF(ISNUMBER('sheet4-原始数据'!H30),'sheet4-原始数据'!H30,"")</x:f>
        <x:v>0.0371</x:v>
      </x:c>
      <x:c r="O45" s="36" t="str">
        <x:f>IF(ISNUMBER('sheet4-原始数据'!Q30),'sheet4-原始数据'!Q30,"")</x:f>
      </x:c>
      <x:c r="P45" s="37" t="n">
        <x:f>IF($G45&lt;&gt;"入池","",IF($F45&gt;=3,IF(OR(NOT(ISNUMBER($M45)),NOT(ISNUMBER($N45)),1+$M45&lt;=0,1+$N45&lt;0),"",((1+$N45)^3/(1+$M45))^(1/2)-1),IF(OR($F45&lt;=1,NOT(ISNUMBER($M45)),NOT(ISNUMBER($O45)),1+$M45&lt;=0,1+$O45&lt;0),"",((1+$O45)^$F45/(1+$M45))^(1/($F45-1))-1)))</x:f>
        <x:v>0.055161078460607804</x:v>
      </x:c>
      <x:c r="Q45" s="17" t="n">
        <x:f>IF(OR($G45&lt;&gt;"入池",NOT(ISNUMBER(M45))),"",IF(COUNTIFS($G$17:$G$219,"入池",$M$17:$M$219,"&gt;=-1E+307",$M$17:$M$219,"&lt;=1E+307")&lt;=1,100,ROUND(100*(COUNTIFS($G$17:$G$219,"入池",$M$17:$M$219,"&gt;=-1E+307",$M$17:$M$219,"&lt;"&amp;M45)+COUNTIFS($G$17:$G$219,"入池",$M$17:$M$219,M45,$M$17:$M$219,"&gt;=-1E+307",$M$17:$M$219,"&lt;=1E+307")/2-0.5)/(COUNTIFS($G$17:$G$219,"入池",$M$17:$M$219,"&gt;=-1E+307",$M$17:$M$219,"&lt;=1E+307")-1),2)))</x:f>
        <x:v>19.8</x:v>
      </x:c>
      <x:c r="R45" s="17" t="n">
        <x:f>IF(OR($G45&lt;&gt;"入池",NOT(ISNUMBER(P45))),"",IF(COUNTIFS($G$17:$G$219,"入池",$P$17:$P$219,"&gt;=-1E+307",$P$17:$P$219,"&lt;=1E+307")&lt;=1,100,ROUND(100*(COUNTIFS($G$17:$G$219,"入池",$P$17:$P$219,"&gt;=-1E+307",$P$17:$P$219,"&lt;"&amp;P45)+COUNTIFS($G$17:$G$219,"入池",$P$17:$P$219,P45,$P$17:$P$219,"&gt;=-1E+307",$P$17:$P$219,"&lt;=1E+307")/2-0.5)/(COUNTIFS($G$17:$G$219,"入池",$P$17:$P$219,"&gt;=-1E+307",$P$17:$P$219,"&lt;=1E+307")-1),2)))</x:f>
        <x:v>43.07</x:v>
      </x:c>
      <x:c r="S45" s="17" t="n">
        <x:f>IF(NOT(ISNUMBER(Q45)),"",IF(NOT(ISNUMBER(R45)),Q45,ROUND(Q45*'sheet1-指标体系'!$J$8+R45*'sheet1-指标体系'!$J$9,2)))</x:f>
        <x:v>29.11</x:v>
      </x:c>
      <x:c r="T45" s="35" t="n">
        <x:f>IF(ISNUMBER('sheet4-原始数据'!J30),'sheet4-原始数据'!J30,"")</x:f>
        <x:v>0.46149999999999997</x:v>
      </x:c>
      <x:c r="U45" s="35" t="n">
        <x:f>IF(ISNUMBER('sheet4-原始数据'!I30),'sheet4-原始数据'!I30,"")</x:f>
        <x:v>0.5946</x:v>
      </x:c>
      <x:c r="V45" s="37" t="n">
        <x:f>IF(OR(NOT(ISNUMBER(T45)),NOT(ISNUMBER(U45))),"",(U45*'sheet1-指标体系'!$J$6-T45*'sheet1-指标体系'!$J$5)/'sheet1-指标体系'!$J$7)</x:f>
        <x:v>0.6666958333333334</x:v>
      </x:c>
      <x:c r="W45" s="17" t="n">
        <x:f>IF(NOT(ISNUMBER(T45)),"",T45*100)</x:f>
        <x:v>46.15</x:v>
      </x:c>
      <x:c r="X45" s="17" t="n">
        <x:f>IF($G45&lt;&gt;"入池","",IF(AND(ISNUMBER(V45),V45&gt;=0,V45&lt;=1),V45*100,IF(MAX(0,($F45-1)*12)&lt;6,100,"")))</x:f>
        <x:v>66.66958333333334</x:v>
      </x:c>
      <x:c r="Y45" s="17" t="n">
        <x:f>IF(NOT(ISNUMBER(W45)),"",IF(NOT(ISNUMBER(X45)),W45,ROUND(W45*'sheet1-指标体系'!$J$8+X45*'sheet1-指标体系'!$J$9,2)))</x:f>
        <x:v>54.36</x:v>
      </x:c>
      <x:c r="Z45" s="37" t="n">
        <x:f>IF(OR(NOT(ISNUMBER(M45)),NOT(ISNUMBER(AD45)),AD45=0),"",ABS(M45/AD45))</x:f>
        <x:v>0.02392947103274559</x:v>
      </x:c>
      <x:c r="AA45" s="35" t="n">
        <x:f>IF(ISNUMBER('sheet4-原始数据'!K30),'sheet4-原始数据'!K30,"")</x:f>
        <x:v>0.024399999999999998</x:v>
      </x:c>
      <x:c r="AB45" s="37" t="n">
        <x:f>IF(COUNT(Z45:AA45)=0,"",MAX(Z45:AA45))</x:f>
        <x:v>0.024399999999999998</x:v>
      </x:c>
      <x:c r="AC45" s="17" t="n">
        <x:f>IF(OR($G45&lt;&gt;"入池",NOT(ISNUMBER(AB45))),"",IF(COUNTIFS($G$17:$G$219,"入池",$AB$17:$AB$219,"&gt;=-1E+307",$AB$17:$AB$219,"&lt;=1E+307")&lt;=1,100,ROUND(100*(COUNTIFS($G$17:$G$219,"入池",$AB$17:$AB$219,"&lt;=1E+307",$AB$17:$AB$219,"&gt;"&amp;AB45)+COUNTIFS($G$17:$G$219,"入池",$AB$17:$AB$219,AB45,$AB$17:$AB$219,"&gt;=-1E+307",$AB$17:$AB$219,"&lt;=1E+307")/2-0.5)/(COUNTIFS($G$17:$G$219,"入池",$AB$17:$AB$219,"&gt;=-1E+307",$AB$17:$AB$219,"&lt;=1E+307")-1),2)))</x:f>
        <x:v>70.05</x:v>
      </x:c>
      <x:c r="AD45" s="38" t="n">
        <x:f>IF(ISNUMBER('sheet4-原始数据'!M30),'sheet4-原始数据'!M30,"")</x:f>
        <x:v>0.0794</x:v>
      </x:c>
      <x:c r="AE45" s="37" t="n">
        <x:f>IF(OR(NOT(ISNUMBER(P45)),NOT(ISNUMBER(AA45)),NOT(ISNUMBER(Z45))),"",IF(AA45&gt;Z45+'sheet1-指标体系'!$J$11,AA45,""))</x:f>
        <x:v>0.024399999999999998</x:v>
      </x:c>
      <x:c r="AF45" s="17" t="n">
        <x:f>IF(OR(NOT(ISNUMBER(P45)),NOT(ISNUMBER(AE45)),AE45=0),"",P45/AE45)</x:f>
        <x:v>2.260699936910156</x:v>
      </x:c>
      <x:c r="AG45" s="17" t="n">
        <x:f>IF(OR($G45&lt;&gt;"入池",NOT(ISNUMBER(AD45))),"",IF(COUNTIFS($G$17:$G$219,"入池",$AD$17:$AD$219,"&gt;=-1E+307",$AD$17:$AD$219,"&lt;=1E+307")&lt;=1,100,ROUND(100*(COUNTIFS($G$17:$G$219,"入池",$AD$17:$AD$219,"&gt;=-1E+307",$AD$17:$AD$219,"&lt;"&amp;AD45)+COUNTIFS($G$17:$G$219,"入池",$AD$17:$AD$219,AD45,$AD$17:$AD$219,"&gt;=-1E+307",$AD$17:$AD$219,"&lt;=1E+307")/2-0.5)/(COUNTIFS($G$17:$G$219,"入池",$AD$17:$AD$219,"&gt;=-1E+307",$AD$17:$AD$219,"&lt;=1E+307")-1),2)))</x:f>
        <x:v>20.4</x:v>
      </x:c>
      <x:c r="AH45" s="17" t="n">
        <x:f>IF(OR($G45&lt;&gt;"入池",NOT(ISNUMBER(AF45))),"",IF(COUNTIFS($G$17:$G$219,"入池",$AF$17:$AF$219,"&gt;=-1E+307",$AF$17:$AF$219,"&lt;=1E+307")&lt;=1,100,ROUND(100*(COUNTIFS($G$17:$G$219,"入池",$AF$17:$AF$219,"&gt;=-1E+307",$AF$17:$AF$219,"&lt;"&amp;AF45)+COUNTIFS($G$17:$G$219,"入池",$AF$17:$AF$219,AF45,$AF$17:$AF$219,"&gt;=-1E+307",$AF$17:$AF$219,"&lt;=1E+307")/2-0.5)/(COUNTIFS($G$17:$G$219,"入池",$AF$17:$AF$219,"&gt;=-1E+307",$AF$17:$AF$219,"&lt;=1E+307")-1),2)))</x:f>
        <x:v>68.61</x:v>
      </x:c>
      <x:c r="AI45" s="17" t="n">
        <x:f>IF(NOT(ISNUMBER(AG45)),"",IF(NOT(ISNUMBER(AH45)),AG45,ROUND(AG45*'sheet1-指标体系'!$J$8+AH45*'sheet1-指标体系'!$J$9,2)))</x:f>
        <x:v>39.68</x:v>
      </x:c>
      <x:c r="AJ45" s="37" t="n">
        <x:f>IF(NOT(ISNUMBER(F45)),"",IF(F45&gt;=3,IF(NOT(ISNUMBER(N45)),"",N45),IF(NOT(ISNUMBER(O45)),"",O45)))</x:f>
        <x:v>0.0371</x:v>
      </x:c>
      <x:c r="AK45" s="17" t="n">
        <x:f>IF(OR(G45&lt;&gt;"入池",NOT(ISNUMBER(M45)),NOT(ISNUMBER(AJ45))),"",IF(M45&gt;=AJ45,100,IF(AJ45-M45&lt;'sheet1-指标体系'!$J$10,80,60)))</x:f>
        <x:v>80</x:v>
      </x:c>
      <x:c r="AL45" s="17" t="n">
        <x:f>IF(COUNT(I45,K45,L45)=0,"",ROUND((IF(ISNUMBER(I45),I45*40%,0)+IF(ISNUMBER(K45),K45*30%,0)+IF(ISNUMBER(L45),L45*30%,0))/(IF(ISNUMBER(I45),40%,0)+IF(ISNUMBER(K45),30%,0)+IF(ISNUMBER(L45),30%,0)),2))</x:f>
        <x:v>84</x:v>
      </x:c>
      <x:c r="AM45" s="17" t="n">
        <x:f>IF(COUNT(Q45,R45,W45,X45)=0,"",ROUND((IF(ISNUMBER(Q45),Q45*42%,0)+IF(ISNUMBER(R45),R45*28%,0)+IF(ISNUMBER(W45),W45*18%,0)+IF(ISNUMBER(X45),X45*12%,0))/(IF(ISNUMBER(Q45),42%,0)+IF(ISNUMBER(R45),28%,0)+IF(ISNUMBER(W45),18%,0)+IF(ISNUMBER(X45),12%,0)),2))</x:f>
        <x:v>36.68</x:v>
      </x:c>
      <x:c r="AN45" s="17" t="n">
        <x:f>IF(ISNUMBER(AC45),AC45,"")</x:f>
        <x:v>70.05</x:v>
      </x:c>
      <x:c r="AO45" s="17" t="n">
        <x:f>IF(COUNT(AG45,AH45)=0,"",ROUND((IF(ISNUMBER(AG45),AG45*60%,0)+IF(ISNUMBER(AH45),AH45*40%,0))/(IF(ISNUMBER(AG45),60%,0)+IF(ISNUMBER(AH45),40%,0)),2))</x:f>
        <x:v>39.68</x:v>
      </x:c>
      <x:c r="AP45" s="17" t="n">
        <x:f>IF(ISNUMBER(AK45),AK45,"")</x:f>
        <x:v>80</x:v>
      </x:c>
      <x:c r="AQ45" s="39" t="n">
        <x:f>IF(G45&lt;&gt;"入池",0,IF(ISNUMBER(I45),6%,0)+IF(ISNUMBER(K45),4.5%,0)+IF(ISNUMBER(L45),4.5%,0)+IF(ISNUMBER(Q45),8.4%,0)+IF(ISNUMBER(R45),5.6%,0)+IF(ISNUMBER(W45),3.6%,0)+IF(ISNUMBER(X45),2.4%,0)+IF(ISNUMBER(AC45),25%,0)+IF(ISNUMBER(AG45),18%,0)+IF(ISNUMBER(AH45),12%,0)+IF(ISNUMBER(AK45),10%,0))</x:f>
        <x:v>1</x:v>
      </x:c>
      <x:c r="AR45" s="17" t="n">
        <x:f>IF(AQ45=0,"",IF(ISNUMBER(I45),I45*6%,0)+IF(ISNUMBER(K45),K45*4.5%,0)+IF(ISNUMBER(L45),L45*4.5%,0)+IF(ISNUMBER(Q45),Q45*8.4%,0)+IF(ISNUMBER(R45),R45*5.6%,0)+IF(ISNUMBER(W45),W45*3.6%,0)+IF(ISNUMBER(X45),X45*2.4%,0)+IF(ISNUMBER(AC45),AC45*25%,0)+IF(ISNUMBER(AG45),AG45*18%,0)+IF(ISNUMBER(AH45),AH45*12%,0)+IF(ISNUMBER(AK45),AK45*10%,0))</x:f>
        <x:v>57.35428999999999</x:v>
      </x:c>
      <x:c r="AS45" s="17" t="n">
        <x:f>IF(AQ45=0,"",ROUND(AR45/AQ45,2))</x:f>
        <x:v>57.35</x:v>
      </x:c>
      <x:c r="AT45" s="40" t="n">
        <x:f>IF(OR(G45&lt;&gt;"入池",NOT(ISNUMBER(AS45))),"",COUNTIFS($G$17:$G$219,"入池",$AS$17:$AS$219,"&gt;"&amp;AS45)+COUNTIFS($G$17:$G$219,"入池",$AS$17:$AS$219,AS45,$AQ$17:$AQ$219,"&gt;"&amp;AQ45)+COUNTIFS($G$17:G45,"入池",$AS$17:AS45,AS45,$AQ$17:AQ45,AQ45))</x:f>
        <x:v>119</x:v>
      </x:c>
      <x:c r="AU45" s="41" t="str">
        <x:f t="shared" si="2">IF(NOT(ISNUMBER(I45)),"管理人规模；","")&amp;IF(J45="","产品规模标识；","")&amp;IF(AND(F45&lt;3,NOT(ISNUMBER(O45))),"R_incep；","")&amp;IF(NOT(ISNUMBER(N45)),"近三年收益；","")&amp;IF(NOT(ISNUMBER(U45)),"近三年胜率；","")&amp;IF(AND(ISNUMBER(V45),OR(V45&lt;0,V45&gt;1)),"胜率窗口口径不一致；","")&amp;IF(NOT(ISNUMBER(AA45)),"近三年回撤；","")&amp;IF(NOT(ISNUMBER(AD45)),"短期卡玛；","")&amp;IF(AND(ISNUMBER(P45),NOT(ISNUMBER(AE45))),"DD_long不可识别；","")</x:f>
      </x:c>
      <x:c r="AV45" s="42" t="n">
        <x:v>0</x:v>
      </x:c>
      <x:c r="AW45" s="19" t="str">
        <x:v>杭州探融投资管理有限公司</x:v>
      </x:c>
      <x:c r="AX45" s="19" t="str">
        <x:v>2025-05-22</x:v>
      </x:c>
      <x:c r="AY45" s="19" t="str">
        <x:v>https://gs.amac.org.cn/amac-infodisc/res/pof/manager/101000049159.html</x:v>
      </x:c>
      <x:c r="AZ45" s="19" t="str">
        <x:v>杭州探融-锦鲤智能量化3号私募证券投资基金</x:v>
      </x:c>
      <x:c r="BA45" s="19" t="str">
        <x:v>2026-05-12</x:v>
      </x:c>
      <x:c r="BB45" s="19"/>
      <x:c r="BC45" s="19" t="str">
        <x:v>https://gs.amac.org.cn/amac-infodisc/res/pof/fund/2104231724118753.html</x:v>
      </x:c>
      <x:c r="BD45" s="19" t="str">
        <x:v>已匹配</x:v>
      </x:c>
      <x:c r="BE45"/>
      <x:c r="BF45"/>
    </x:row>
    <x:row r="46" ht="28" customHeight="1">
      <x:c r="A46" s="4" t="n">
        <x:v>30</x:v>
      </x:c>
      <x:c r="B46" s="15" t="str">
        <x:f>'sheet4-原始数据'!A31</x:f>
        <x:v>平凡笃行君享</x:v>
      </x:c>
      <x:c r="C46" s="15" t="str">
        <x:f>'sheet4-原始数据'!B31</x:f>
        <x:v>SQD327</x:v>
      </x:c>
      <x:c r="D46" s="15" t="str">
        <x:f>'sheet4-原始数据'!E31</x:f>
        <x:v>北京平凡</x:v>
      </x:c>
      <x:c r="E46" s="32" t="n">
        <x:f>IF(ISNUMBER('sheet4-原始数据'!F31),'sheet4-原始数据'!F31,"")</x:f>
        <x:v>44315</x:v>
      </x:c>
      <x:c r="F46" s="17" t="n">
        <x:f>IF(NOT(ISNUMBER(E46)),"",ROUND(('sheet1-指标体系'!$J$23-E46)/365.25,4))</x:f>
        <x:v>5.3826</x:v>
      </x:c>
      <x:c r="G46" s="4" t="str">
        <x:f t="shared" si="1">IF(NOT(ISNUMBER(F46)),"",IF(F46&lt;1,"不入池","入池"))</x:f>
        <x:v>入池</x:v>
      </x:c>
      <x:c r="H46" s="33" t="str">
        <x:v>50-100亿元</x:v>
      </x:c>
      <x:c r="I46" s="17" t="n">
        <x:f>IF(H46="","",IF(ISNUMBER(SEARCH("100亿元以上",H46)),100,IF(OR(ISNUMBER(SEARCH("20-50",H46)),ISNUMBER(SEARCH("50-100",H46)),ISNUMBER(SEARCH("20-100",H46))),90,IF(ISNUMBER(SEARCH("10-20",H46)),80,IF(ISNUMBER(SEARCH("5-10",H46)),70,IF(ISNUMBER(SEARCH("0-5",H46)),60,""))))))</x:f>
        <x:v>90</x:v>
      </x:c>
      <x:c r="J46" s="34" t="str">
        <x:v>无低于1000万元标识</x:v>
      </x:c>
      <x:c r="K46" s="17" t="n">
        <x:f>IF(J46="","",IF(J46="低于1000万元",0,100))</x:f>
        <x:v>100</x:v>
      </x:c>
      <x:c r="L46" s="17" t="n">
        <x:f>IF(NOT(ISNUMBER(F46)),"",IF(F46&lt;1,"",IF(F46&lt;3,70,100)))</x:f>
        <x:v>100</x:v>
      </x:c>
      <x:c r="M46" s="35" t="n">
        <x:f>IF(ISNUMBER('sheet4-原始数据'!G31),'sheet4-原始数据'!G31,"")</x:f>
        <x:v>0.0702</x:v>
      </x:c>
      <x:c r="N46" s="35" t="n">
        <x:f>IF(ISNUMBER('sheet4-原始数据'!H31),'sheet4-原始数据'!H31,"")</x:f>
        <x:v>0.0288</x:v>
      </x:c>
      <x:c r="O46" s="36" t="str">
        <x:f>IF(ISNUMBER('sheet4-原始数据'!Q31),'sheet4-原始数据'!Q31,"")</x:f>
      </x:c>
      <x:c r="P46" s="37" t="n">
        <x:f>IF($G46&lt;&gt;"入池","",IF($F46&gt;=3,IF(OR(NOT(ISNUMBER($M46)),NOT(ISNUMBER($N46)),1+$M46&lt;=0,1+$N46&lt;0),"",((1+$N46)^3/(1+$M46))^(1/2)-1),IF(OR($F46&lt;=1,NOT(ISNUMBER($M46)),NOT(ISNUMBER($O46)),1+$M46&lt;=0,1+$O46&lt;0),"",((1+$O46)^$F46/(1+$M46))^(1/($F46-1))-1)))</x:f>
        <x:v>0.008704504083159259</x:v>
      </x:c>
      <x:c r="Q46" s="17" t="n">
        <x:f>IF(OR($G46&lt;&gt;"入池",NOT(ISNUMBER(M46))),"",IF(COUNTIFS($G$17:$G$219,"入池",$M$17:$M$219,"&gt;=-1E+307",$M$17:$M$219,"&lt;=1E+307")&lt;=1,100,ROUND(100*(COUNTIFS($G$17:$G$219,"入池",$M$17:$M$219,"&gt;=-1E+307",$M$17:$M$219,"&lt;"&amp;M46)+COUNTIFS($G$17:$G$219,"入池",$M$17:$M$219,M46,$M$17:$M$219,"&gt;=-1E+307",$M$17:$M$219,"&lt;=1E+307")/2-0.5)/(COUNTIFS($G$17:$G$219,"入池",$M$17:$M$219,"&gt;=-1E+307",$M$17:$M$219,"&lt;=1E+307")-1),2)))</x:f>
        <x:v>62.38</x:v>
      </x:c>
      <x:c r="R46" s="17" t="n">
        <x:f>IF(OR($G46&lt;&gt;"入池",NOT(ISNUMBER(P46))),"",IF(COUNTIFS($G$17:$G$219,"入池",$P$17:$P$219,"&gt;=-1E+307",$P$17:$P$219,"&lt;=1E+307")&lt;=1,100,ROUND(100*(COUNTIFS($G$17:$G$219,"入池",$P$17:$P$219,"&gt;=-1E+307",$P$17:$P$219,"&lt;"&amp;P46)+COUNTIFS($G$17:$G$219,"入池",$P$17:$P$219,P46,$P$17:$P$219,"&gt;=-1E+307",$P$17:$P$219,"&lt;=1E+307")/2-0.5)/(COUNTIFS($G$17:$G$219,"入池",$P$17:$P$219,"&gt;=-1E+307",$P$17:$P$219,"&lt;=1E+307")-1),2)))</x:f>
        <x:v>5.94</x:v>
      </x:c>
      <x:c r="S46" s="17" t="n">
        <x:f>IF(NOT(ISNUMBER(Q46)),"",IF(NOT(ISNUMBER(R46)),Q46,ROUND(Q46*'sheet1-指标体系'!$J$8+R46*'sheet1-指标体系'!$J$9,2)))</x:f>
        <x:v>39.8</x:v>
      </x:c>
      <x:c r="T46" s="35" t="n">
        <x:f>IF(ISNUMBER('sheet4-原始数据'!J31),'sheet4-原始数据'!J31,"")</x:f>
        <x:v>0.6923</x:v>
      </x:c>
      <x:c r="U46" s="35" t="n">
        <x:f>IF(ISNUMBER('sheet4-原始数据'!I31),'sheet4-原始数据'!I31,"")</x:f>
        <x:v>0.5676</x:v>
      </x:c>
      <x:c r="V46" s="37" t="n">
        <x:f>IF(OR(NOT(ISNUMBER(T46)),NOT(ISNUMBER(U46))),"",(U46*'sheet1-指标体系'!$J$6-T46*'sheet1-指标体系'!$J$5)/'sheet1-指标体系'!$J$7)</x:f>
        <x:v>0.5000541666666667</x:v>
      </x:c>
      <x:c r="W46" s="17" t="n">
        <x:f>IF(NOT(ISNUMBER(T46)),"",T46*100)</x:f>
        <x:v>69.23</x:v>
      </x:c>
      <x:c r="X46" s="17" t="n">
        <x:f>IF($G46&lt;&gt;"入池","",IF(AND(ISNUMBER(V46),V46&gt;=0,V46&lt;=1),V46*100,IF(MAX(0,($F46-1)*12)&lt;6,100,"")))</x:f>
        <x:v>50.00541666666667</x:v>
      </x:c>
      <x:c r="Y46" s="17" t="n">
        <x:f>IF(NOT(ISNUMBER(W46)),"",IF(NOT(ISNUMBER(X46)),W46,ROUND(W46*'sheet1-指标体系'!$J$8+X46*'sheet1-指标体系'!$J$9,2)))</x:f>
        <x:v>61.54</x:v>
      </x:c>
      <x:c r="Z46" s="37" t="n">
        <x:f>IF(OR(NOT(ISNUMBER(M46)),NOT(ISNUMBER(AD46)),AD46=0),"",ABS(M46/AD46))</x:f>
        <x:v>0.07958281373993878</x:v>
      </x:c>
      <x:c r="AA46" s="35" t="n">
        <x:f>IF(ISNUMBER('sheet4-原始数据'!K31),'sheet4-原始数据'!K31,"")</x:f>
        <x:v>0.0796</x:v>
      </x:c>
      <x:c r="AB46" s="37" t="n">
        <x:f>IF(COUNT(Z46:AA46)=0,"",MAX(Z46:AA46))</x:f>
        <x:v>0.0796</x:v>
      </x:c>
      <x:c r="AC46" s="17" t="n">
        <x:f>IF(OR($G46&lt;&gt;"入池",NOT(ISNUMBER(AB46))),"",IF(COUNTIFS($G$17:$G$219,"入池",$AB$17:$AB$219,"&gt;=-1E+307",$AB$17:$AB$219,"&lt;=1E+307")&lt;=1,100,ROUND(100*(COUNTIFS($G$17:$G$219,"入池",$AB$17:$AB$219,"&lt;=1E+307",$AB$17:$AB$219,"&gt;"&amp;AB46)+COUNTIFS($G$17:$G$219,"入池",$AB$17:$AB$219,AB46,$AB$17:$AB$219,"&gt;=-1E+307",$AB$17:$AB$219,"&lt;=1E+307")/2-0.5)/(COUNTIFS($G$17:$G$219,"入池",$AB$17:$AB$219,"&gt;=-1E+307",$AB$17:$AB$219,"&lt;=1E+307")-1),2)))</x:f>
        <x:v>34.16</x:v>
      </x:c>
      <x:c r="AD46" s="38" t="n">
        <x:f>IF(ISNUMBER('sheet4-原始数据'!M31),'sheet4-原始数据'!M31,"")</x:f>
        <x:v>0.8821</x:v>
      </x:c>
      <x:c r="AE46" s="37" t="str">
        <x:f>IF(OR(NOT(ISNUMBER(P46)),NOT(ISNUMBER(AA46)),NOT(ISNUMBER(Z46))),"",IF(AA46&gt;Z46+'sheet1-指标体系'!$J$11,AA46,""))</x:f>
      </x:c>
      <x:c r="AF46" s="17" t="str">
        <x:f>IF(OR(NOT(ISNUMBER(P46)),NOT(ISNUMBER(AE46)),AE46=0),"",P46/AE46)</x:f>
      </x:c>
      <x:c r="AG46" s="17" t="n">
        <x:f>IF(OR($G46&lt;&gt;"入池",NOT(ISNUMBER(AD46))),"",IF(COUNTIFS($G$17:$G$219,"入池",$AD$17:$AD$219,"&gt;=-1E+307",$AD$17:$AD$219,"&lt;=1E+307")&lt;=1,100,ROUND(100*(COUNTIFS($G$17:$G$219,"入池",$AD$17:$AD$219,"&gt;=-1E+307",$AD$17:$AD$219,"&lt;"&amp;AD46)+COUNTIFS($G$17:$G$219,"入池",$AD$17:$AD$219,AD46,$AD$17:$AD$219,"&gt;=-1E+307",$AD$17:$AD$219,"&lt;=1E+307")/2-0.5)/(COUNTIFS($G$17:$G$219,"入池",$AD$17:$AD$219,"&gt;=-1E+307",$AD$17:$AD$219,"&lt;=1E+307")-1),2)))</x:f>
        <x:v>31.84</x:v>
      </x:c>
      <x:c r="AH46" s="17" t="str">
        <x:f>IF(OR($G46&lt;&gt;"入池",NOT(ISNUMBER(AF46))),"",IF(COUNTIFS($G$17:$G$219,"入池",$AF$17:$AF$219,"&gt;=-1E+307",$AF$17:$AF$219,"&lt;=1E+307")&lt;=1,100,ROUND(100*(COUNTIFS($G$17:$G$219,"入池",$AF$17:$AF$219,"&gt;=-1E+307",$AF$17:$AF$219,"&lt;"&amp;AF46)+COUNTIFS($G$17:$G$219,"入池",$AF$17:$AF$219,AF46,$AF$17:$AF$219,"&gt;=-1E+307",$AF$17:$AF$219,"&lt;=1E+307")/2-0.5)/(COUNTIFS($G$17:$G$219,"入池",$AF$17:$AF$219,"&gt;=-1E+307",$AF$17:$AF$219,"&lt;=1E+307")-1),2)))</x:f>
      </x:c>
      <x:c r="AI46" s="17" t="n">
        <x:f>IF(NOT(ISNUMBER(AG46)),"",IF(NOT(ISNUMBER(AH46)),AG46,ROUND(AG46*'sheet1-指标体系'!$J$8+AH46*'sheet1-指标体系'!$J$9,2)))</x:f>
        <x:v>31.84</x:v>
      </x:c>
      <x:c r="AJ46" s="37" t="n">
        <x:f>IF(NOT(ISNUMBER(F46)),"",IF(F46&gt;=3,IF(NOT(ISNUMBER(N46)),"",N46),IF(NOT(ISNUMBER(O46)),"",O46)))</x:f>
        <x:v>0.0288</x:v>
      </x:c>
      <x:c r="AK46" s="17" t="n">
        <x:f>IF(OR(G46&lt;&gt;"入池",NOT(ISNUMBER(M46)),NOT(ISNUMBER(AJ46))),"",IF(M46&gt;=AJ46,100,IF(AJ46-M46&lt;'sheet1-指标体系'!$J$10,80,60)))</x:f>
        <x:v>100</x:v>
      </x:c>
      <x:c r="AL46" s="17" t="n">
        <x:f>IF(COUNT(I46,K46,L46)=0,"",ROUND((IF(ISNUMBER(I46),I46*40%,0)+IF(ISNUMBER(K46),K46*30%,0)+IF(ISNUMBER(L46),L46*30%,0))/(IF(ISNUMBER(I46),40%,0)+IF(ISNUMBER(K46),30%,0)+IF(ISNUMBER(L46),30%,0)),2))</x:f>
        <x:v>96</x:v>
      </x:c>
      <x:c r="AM46" s="17" t="n">
        <x:f>IF(COUNT(Q46,R46,W46,X46)=0,"",ROUND((IF(ISNUMBER(Q46),Q46*42%,0)+IF(ISNUMBER(R46),R46*28%,0)+IF(ISNUMBER(W46),W46*18%,0)+IF(ISNUMBER(X46),X46*12%,0))/(IF(ISNUMBER(Q46),42%,0)+IF(ISNUMBER(R46),28%,0)+IF(ISNUMBER(W46),18%,0)+IF(ISNUMBER(X46),12%,0)),2))</x:f>
        <x:v>46.32</x:v>
      </x:c>
      <x:c r="AN46" s="17" t="n">
        <x:f>IF(ISNUMBER(AC46),AC46,"")</x:f>
        <x:v>34.16</x:v>
      </x:c>
      <x:c r="AO46" s="17" t="n">
        <x:f>IF(COUNT(AG46,AH46)=0,"",ROUND((IF(ISNUMBER(AG46),AG46*60%,0)+IF(ISNUMBER(AH46),AH46*40%,0))/(IF(ISNUMBER(AG46),60%,0)+IF(ISNUMBER(AH46),40%,0)),2))</x:f>
        <x:v>31.84</x:v>
      </x:c>
      <x:c r="AP46" s="17" t="n">
        <x:f>IF(ISNUMBER(AK46),AK46,"")</x:f>
        <x:v>100</x:v>
      </x:c>
      <x:c r="AQ46" s="39" t="n">
        <x:f>IF(G46&lt;&gt;"入池",0,IF(ISNUMBER(I46),6%,0)+IF(ISNUMBER(K46),4.5%,0)+IF(ISNUMBER(L46),4.5%,0)+IF(ISNUMBER(Q46),8.4%,0)+IF(ISNUMBER(R46),5.6%,0)+IF(ISNUMBER(W46),3.6%,0)+IF(ISNUMBER(X46),2.4%,0)+IF(ISNUMBER(AC46),25%,0)+IF(ISNUMBER(AG46),18%,0)+IF(ISNUMBER(AH46),12%,0)+IF(ISNUMBER(AK46),10%,0))</x:f>
        <x:v>0.88</x:v>
      </x:c>
      <x:c r="AR46" s="17" t="n">
        <x:f>IF(AQ46=0,"",IF(ISNUMBER(I46),I46*6%,0)+IF(ISNUMBER(K46),K46*4.5%,0)+IF(ISNUMBER(L46),L46*4.5%,0)+IF(ISNUMBER(Q46),Q46*8.4%,0)+IF(ISNUMBER(R46),R46*5.6%,0)+IF(ISNUMBER(W46),W46*3.6%,0)+IF(ISNUMBER(X46),X46*2.4%,0)+IF(ISNUMBER(AC46),AC46*25%,0)+IF(ISNUMBER(AG46),AG46*18%,0)+IF(ISNUMBER(AH46),AH46*12%,0)+IF(ISNUMBER(AK46),AK46*10%,0))</x:f>
        <x:v>47.936170000000004</x:v>
      </x:c>
      <x:c r="AS46" s="17" t="n">
        <x:f>IF(AQ46=0,"",ROUND(AR46/AQ46,2))</x:f>
        <x:v>54.47</x:v>
      </x:c>
      <x:c r="AT46" s="40" t="n">
        <x:f>IF(OR(G46&lt;&gt;"入池",NOT(ISNUMBER(AS46))),"",COUNTIFS($G$17:$G$219,"入池",$AS$17:$AS$219,"&gt;"&amp;AS46)+COUNTIFS($G$17:$G$219,"入池",$AS$17:$AS$219,AS46,$AQ$17:$AQ$219,"&gt;"&amp;AQ46)+COUNTIFS($G$17:G46,"入池",$AS$17:AS46,AS46,$AQ$17:AQ46,AQ46))</x:f>
        <x:v>129</x:v>
      </x:c>
      <x:c r="AU46" s="41" t="str">
        <x:f t="shared" si="2">IF(NOT(ISNUMBER(I46)),"管理人规模；","")&amp;IF(J46="","产品规模标识；","")&amp;IF(AND(F46&lt;3,NOT(ISNUMBER(O46))),"R_incep；","")&amp;IF(NOT(ISNUMBER(N46)),"近三年收益；","")&amp;IF(NOT(ISNUMBER(U46)),"近三年胜率；","")&amp;IF(AND(ISNUMBER(V46),OR(V46&lt;0,V46&gt;1)),"胜率窗口口径不一致；","")&amp;IF(NOT(ISNUMBER(AA46)),"近三年回撤；","")&amp;IF(NOT(ISNUMBER(AD46)),"短期卡玛；","")&amp;IF(AND(ISNUMBER(P46),NOT(ISNUMBER(AE46))),"DD_long不可识别；","")</x:f>
        <x:v>DD_long不可识别；</x:v>
      </x:c>
      <x:c r="AV46" s="42" t="n">
        <x:v>50</x:v>
      </x:c>
      <x:c r="AW46" s="19" t="str">
        <x:v>北京平凡私募基金管理有限公司</x:v>
      </x:c>
      <x:c r="AX46" s="19" t="str">
        <x:v>2026-08-05</x:v>
      </x:c>
      <x:c r="AY46" s="19" t="str">
        <x:v>https://gs.amac.org.cn/amac-infodisc/res/pof/manager/101000030286.html</x:v>
      </x:c>
      <x:c r="AZ46" s="19" t="str">
        <x:v>平凡笃行君享私募证券投资基金</x:v>
      </x:c>
      <x:c r="BA46" s="19" t="str">
        <x:v>2023-08-01</x:v>
      </x:c>
      <x:c r="BB46" s="19"/>
      <x:c r="BC46" s="19" t="str">
        <x:v>https://gs.amac.org.cn/amac-infodisc/res/pof/fund/2105121734101958.html</x:v>
      </x:c>
      <x:c r="BD46" s="19" t="str">
        <x:v>已匹配</x:v>
      </x:c>
      <x:c r="BE46"/>
      <x:c r="BF46"/>
    </x:row>
    <x:row r="47" ht="28" customHeight="1">
      <x:c r="A47" s="4" t="n">
        <x:v>31</x:v>
      </x:c>
      <x:c r="B47" s="15" t="str">
        <x:f>'sheet4-原始数据'!A32</x:f>
        <x:v>银瓴运通稳健1号五期</x:v>
      </x:c>
      <x:c r="C47" s="15" t="str">
        <x:f>'sheet4-原始数据'!B32</x:f>
        <x:v>SNW762</x:v>
      </x:c>
      <x:c r="D47" s="15" t="str">
        <x:f>'sheet4-原始数据'!E32</x:f>
        <x:v>广西银瓴资产</x:v>
      </x:c>
      <x:c r="E47" s="32" t="n">
        <x:f>IF(ISNUMBER('sheet4-原始数据'!F32),'sheet4-原始数据'!F32,"")</x:f>
        <x:v>44329</x:v>
      </x:c>
      <x:c r="F47" s="17" t="n">
        <x:f>IF(NOT(ISNUMBER(E47)),"",ROUND(('sheet1-指标体系'!$J$23-E47)/365.25,4))</x:f>
        <x:v>5.3443</x:v>
      </x:c>
      <x:c r="G47" s="4" t="str">
        <x:f t="shared" si="1">IF(NOT(ISNUMBER(F47)),"",IF(F47&lt;1,"不入池","入池"))</x:f>
        <x:v>入池</x:v>
      </x:c>
      <x:c r="H47" s="33" t="str">
        <x:v>0-5亿元</x:v>
      </x:c>
      <x:c r="I47" s="17" t="n">
        <x:f>IF(H47="","",IF(ISNUMBER(SEARCH("100亿元以上",H47)),100,IF(OR(ISNUMBER(SEARCH("20-50",H47)),ISNUMBER(SEARCH("50-100",H47)),ISNUMBER(SEARCH("20-100",H47))),90,IF(ISNUMBER(SEARCH("10-20",H47)),80,IF(ISNUMBER(SEARCH("5-10",H47)),70,IF(ISNUMBER(SEARCH("0-5",H47)),60,""))))))</x:f>
        <x:v>60</x:v>
      </x:c>
      <x:c r="J47" s="34" t="str">
        <x:v>低于1000万元</x:v>
      </x:c>
      <x:c r="K47" s="17" t="n">
        <x:f>IF(J47="","",IF(J47="低于1000万元",0,100))</x:f>
        <x:v>0</x:v>
      </x:c>
      <x:c r="L47" s="17" t="n">
        <x:f>IF(NOT(ISNUMBER(F47)),"",IF(F47&lt;1,"",IF(F47&lt;3,70,100)))</x:f>
        <x:v>100</x:v>
      </x:c>
      <x:c r="M47" s="35" t="n">
        <x:f>IF(ISNUMBER('sheet4-原始数据'!G32),'sheet4-原始数据'!G32,"")</x:f>
        <x:v>0.018500000000000003</x:v>
      </x:c>
      <x:c r="N47" s="35" t="n">
        <x:f>IF(ISNUMBER('sheet4-原始数据'!H32),'sheet4-原始数据'!H32,"")</x:f>
        <x:v>0.0181</x:v>
      </x:c>
      <x:c r="O47" s="36" t="str">
        <x:f>IF(ISNUMBER('sheet4-原始数据'!Q32),'sheet4-原始数据'!Q32,"")</x:f>
      </x:c>
      <x:c r="P47" s="37" t="n">
        <x:f>IF($G47&lt;&gt;"入池","",IF($F47&gt;=3,IF(OR(NOT(ISNUMBER($M47)),NOT(ISNUMBER($N47)),1+$M47&lt;=0,1+$N47&lt;0),"",((1+$N47)^3/(1+$M47))^(1/2)-1),IF(OR($F47&lt;=1,NOT(ISNUMBER($M47)),NOT(ISNUMBER($O47)),1+$M47&lt;=0,1+$O47&lt;0),"",((1+$O47)^$F47/(1+$M47))^(1/($F47-1))-1)))</x:f>
        <x:v>0.0179000589140188</x:v>
      </x:c>
      <x:c r="Q47" s="17" t="n">
        <x:f>IF(OR($G47&lt;&gt;"入池",NOT(ISNUMBER(M47))),"",IF(COUNTIFS($G$17:$G$219,"入池",$M$17:$M$219,"&gt;=-1E+307",$M$17:$M$219,"&lt;=1E+307")&lt;=1,100,ROUND(100*(COUNTIFS($G$17:$G$219,"入池",$M$17:$M$219,"&gt;=-1E+307",$M$17:$M$219,"&lt;"&amp;M47)+COUNTIFS($G$17:$G$219,"入池",$M$17:$M$219,M47,$M$17:$M$219,"&gt;=-1E+307",$M$17:$M$219,"&lt;=1E+307")/2-0.5)/(COUNTIFS($G$17:$G$219,"入池",$M$17:$M$219,"&gt;=-1E+307",$M$17:$M$219,"&lt;=1E+307")-1),2)))</x:f>
        <x:v>26.73</x:v>
      </x:c>
      <x:c r="R47" s="17" t="n">
        <x:f>IF(OR($G47&lt;&gt;"入池",NOT(ISNUMBER(P47))),"",IF(COUNTIFS($G$17:$G$219,"入池",$P$17:$P$219,"&gt;=-1E+307",$P$17:$P$219,"&lt;=1E+307")&lt;=1,100,ROUND(100*(COUNTIFS($G$17:$G$219,"入池",$P$17:$P$219,"&gt;=-1E+307",$P$17:$P$219,"&lt;"&amp;P47)+COUNTIFS($G$17:$G$219,"入池",$P$17:$P$219,P47,$P$17:$P$219,"&gt;=-1E+307",$P$17:$P$219,"&lt;=1E+307")/2-0.5)/(COUNTIFS($G$17:$G$219,"入池",$P$17:$P$219,"&gt;=-1E+307",$P$17:$P$219,"&lt;=1E+307")-1),2)))</x:f>
        <x:v>7.92</x:v>
      </x:c>
      <x:c r="S47" s="17" t="n">
        <x:f>IF(NOT(ISNUMBER(Q47)),"",IF(NOT(ISNUMBER(R47)),Q47,ROUND(Q47*'sheet1-指标体系'!$J$8+R47*'sheet1-指标体系'!$J$9,2)))</x:f>
        <x:v>19.21</x:v>
      </x:c>
      <x:c r="T47" s="35" t="n">
        <x:f>IF(ISNUMBER('sheet4-原始数据'!J32),'sheet4-原始数据'!J32,"")</x:f>
        <x:v>0.6154</x:v>
      </x:c>
      <x:c r="U47" s="35" t="n">
        <x:f>IF(ISNUMBER('sheet4-原始数据'!I32),'sheet4-原始数据'!I32,"")</x:f>
        <x:v>0.5676</x:v>
      </x:c>
      <x:c r="V47" s="37" t="n">
        <x:f>IF(OR(NOT(ISNUMBER(T47)),NOT(ISNUMBER(U47))),"",(U47*'sheet1-指标体系'!$J$6-T47*'sheet1-指标体系'!$J$5)/'sheet1-指标体系'!$J$7)</x:f>
        <x:v>0.5417083333333333</x:v>
      </x:c>
      <x:c r="W47" s="17" t="n">
        <x:f>IF(NOT(ISNUMBER(T47)),"",T47*100)</x:f>
        <x:v>61.53999999999999</x:v>
      </x:c>
      <x:c r="X47" s="17" t="n">
        <x:f>IF($G47&lt;&gt;"入池","",IF(AND(ISNUMBER(V47),V47&gt;=0,V47&lt;=1),V47*100,IF(MAX(0,($F47-1)*12)&lt;6,100,"")))</x:f>
        <x:v>54.170833333333334</x:v>
      </x:c>
      <x:c r="Y47" s="17" t="n">
        <x:f>IF(NOT(ISNUMBER(W47)),"",IF(NOT(ISNUMBER(X47)),W47,ROUND(W47*'sheet1-指标体系'!$J$8+X47*'sheet1-指标体系'!$J$9,2)))</x:f>
        <x:v>58.59</x:v>
      </x:c>
      <x:c r="Z47" s="37" t="n">
        <x:f>IF(OR(NOT(ISNUMBER(M47)),NOT(ISNUMBER(AD47)),AD47=0),"",ABS(M47/AD47))</x:f>
        <x:v>0.06918474195961108</x:v>
      </x:c>
      <x:c r="AA47" s="35" t="n">
        <x:f>IF(ISNUMBER('sheet4-原始数据'!K32),'sheet4-原始数据'!K32,"")</x:f>
        <x:v>0.069</x:v>
      </x:c>
      <x:c r="AB47" s="37" t="n">
        <x:f>IF(COUNT(Z47:AA47)=0,"",MAX(Z47:AA47))</x:f>
        <x:v>0.06918474195961108</x:v>
      </x:c>
      <x:c r="AC47" s="17" t="n">
        <x:f>IF(OR($G47&lt;&gt;"入池",NOT(ISNUMBER(AB47))),"",IF(COUNTIFS($G$17:$G$219,"入池",$AB$17:$AB$219,"&gt;=-1E+307",$AB$17:$AB$219,"&lt;=1E+307")&lt;=1,100,ROUND(100*(COUNTIFS($G$17:$G$219,"入池",$AB$17:$AB$219,"&lt;=1E+307",$AB$17:$AB$219,"&gt;"&amp;AB47)+COUNTIFS($G$17:$G$219,"入池",$AB$17:$AB$219,AB47,$AB$17:$AB$219,"&gt;=-1E+307",$AB$17:$AB$219,"&lt;=1E+307")/2-0.5)/(COUNTIFS($G$17:$G$219,"入池",$AB$17:$AB$219,"&gt;=-1E+307",$AB$17:$AB$219,"&lt;=1E+307")-1),2)))</x:f>
        <x:v>36.63</x:v>
      </x:c>
      <x:c r="AD47" s="38" t="n">
        <x:f>IF(ISNUMBER('sheet4-原始数据'!M32),'sheet4-原始数据'!M32,"")</x:f>
        <x:v>0.2674</x:v>
      </x:c>
      <x:c r="AE47" s="37" t="str">
        <x:f>IF(OR(NOT(ISNUMBER(P47)),NOT(ISNUMBER(AA47)),NOT(ISNUMBER(Z47))),"",IF(AA47&gt;Z47+'sheet1-指标体系'!$J$11,AA47,""))</x:f>
      </x:c>
      <x:c r="AF47" s="17" t="str">
        <x:f>IF(OR(NOT(ISNUMBER(P47)),NOT(ISNUMBER(AE47)),AE47=0),"",P47/AE47)</x:f>
      </x:c>
      <x:c r="AG47" s="17" t="n">
        <x:f>IF(OR($G47&lt;&gt;"入池",NOT(ISNUMBER(AD47))),"",IF(COUNTIFS($G$17:$G$219,"入池",$AD$17:$AD$219,"&gt;=-1E+307",$AD$17:$AD$219,"&lt;=1E+307")&lt;=1,100,ROUND(100*(COUNTIFS($G$17:$G$219,"入池",$AD$17:$AD$219,"&gt;=-1E+307",$AD$17:$AD$219,"&lt;"&amp;AD47)+COUNTIFS($G$17:$G$219,"入池",$AD$17:$AD$219,AD47,$AD$17:$AD$219,"&gt;=-1E+307",$AD$17:$AD$219,"&lt;=1E+307")/2-0.5)/(COUNTIFS($G$17:$G$219,"入池",$AD$17:$AD$219,"&gt;=-1E+307",$AD$17:$AD$219,"&lt;=1E+307")-1),2)))</x:f>
        <x:v>22.89</x:v>
      </x:c>
      <x:c r="AH47" s="17" t="str">
        <x:f>IF(OR($G47&lt;&gt;"入池",NOT(ISNUMBER(AF47))),"",IF(COUNTIFS($G$17:$G$219,"入池",$AF$17:$AF$219,"&gt;=-1E+307",$AF$17:$AF$219,"&lt;=1E+307")&lt;=1,100,ROUND(100*(COUNTIFS($G$17:$G$219,"入池",$AF$17:$AF$219,"&gt;=-1E+307",$AF$17:$AF$219,"&lt;"&amp;AF47)+COUNTIFS($G$17:$G$219,"入池",$AF$17:$AF$219,AF47,$AF$17:$AF$219,"&gt;=-1E+307",$AF$17:$AF$219,"&lt;=1E+307")/2-0.5)/(COUNTIFS($G$17:$G$219,"入池",$AF$17:$AF$219,"&gt;=-1E+307",$AF$17:$AF$219,"&lt;=1E+307")-1),2)))</x:f>
      </x:c>
      <x:c r="AI47" s="17" t="n">
        <x:f>IF(NOT(ISNUMBER(AG47)),"",IF(NOT(ISNUMBER(AH47)),AG47,ROUND(AG47*'sheet1-指标体系'!$J$8+AH47*'sheet1-指标体系'!$J$9,2)))</x:f>
        <x:v>22.89</x:v>
      </x:c>
      <x:c r="AJ47" s="37" t="n">
        <x:f>IF(NOT(ISNUMBER(F47)),"",IF(F47&gt;=3,IF(NOT(ISNUMBER(N47)),"",N47),IF(NOT(ISNUMBER(O47)),"",O47)))</x:f>
        <x:v>0.0181</x:v>
      </x:c>
      <x:c r="AK47" s="17" t="n">
        <x:f>IF(OR(G47&lt;&gt;"入池",NOT(ISNUMBER(M47)),NOT(ISNUMBER(AJ47))),"",IF(M47&gt;=AJ47,100,IF(AJ47-M47&lt;'sheet1-指标体系'!$J$10,80,60)))</x:f>
        <x:v>100</x:v>
      </x:c>
      <x:c r="AL47" s="17" t="n">
        <x:f>IF(COUNT(I47,K47,L47)=0,"",ROUND((IF(ISNUMBER(I47),I47*40%,0)+IF(ISNUMBER(K47),K47*30%,0)+IF(ISNUMBER(L47),L47*30%,0))/(IF(ISNUMBER(I47),40%,0)+IF(ISNUMBER(K47),30%,0)+IF(ISNUMBER(L47),30%,0)),2))</x:f>
        <x:v>54</x:v>
      </x:c>
      <x:c r="AM47" s="17" t="n">
        <x:f>IF(COUNT(Q47,R47,W47,X47)=0,"",ROUND((IF(ISNUMBER(Q47),Q47*42%,0)+IF(ISNUMBER(R47),R47*28%,0)+IF(ISNUMBER(W47),W47*18%,0)+IF(ISNUMBER(X47),X47*12%,0))/(IF(ISNUMBER(Q47),42%,0)+IF(ISNUMBER(R47),28%,0)+IF(ISNUMBER(W47),18%,0)+IF(ISNUMBER(X47),12%,0)),2))</x:f>
        <x:v>31.02</x:v>
      </x:c>
      <x:c r="AN47" s="17" t="n">
        <x:f>IF(ISNUMBER(AC47),AC47,"")</x:f>
        <x:v>36.63</x:v>
      </x:c>
      <x:c r="AO47" s="17" t="n">
        <x:f>IF(COUNT(AG47,AH47)=0,"",ROUND((IF(ISNUMBER(AG47),AG47*60%,0)+IF(ISNUMBER(AH47),AH47*40%,0))/(IF(ISNUMBER(AG47),60%,0)+IF(ISNUMBER(AH47),40%,0)),2))</x:f>
        <x:v>22.89</x:v>
      </x:c>
      <x:c r="AP47" s="17" t="n">
        <x:f>IF(ISNUMBER(AK47),AK47,"")</x:f>
        <x:v>100</x:v>
      </x:c>
      <x:c r="AQ47" s="39" t="n">
        <x:f>IF(G47&lt;&gt;"入池",0,IF(ISNUMBER(I47),6%,0)+IF(ISNUMBER(K47),4.5%,0)+IF(ISNUMBER(L47),4.5%,0)+IF(ISNUMBER(Q47),8.4%,0)+IF(ISNUMBER(R47),5.6%,0)+IF(ISNUMBER(W47),3.6%,0)+IF(ISNUMBER(X47),2.4%,0)+IF(ISNUMBER(AC47),25%,0)+IF(ISNUMBER(AG47),18%,0)+IF(ISNUMBER(AH47),12%,0)+IF(ISNUMBER(AK47),10%,0))</x:f>
        <x:v>0.88</x:v>
      </x:c>
      <x:c r="AR47" s="17" t="n">
        <x:f>IF(AQ47=0,"",IF(ISNUMBER(I47),I47*6%,0)+IF(ISNUMBER(K47),K47*4.5%,0)+IF(ISNUMBER(L47),L47*4.5%,0)+IF(ISNUMBER(Q47),Q47*8.4%,0)+IF(ISNUMBER(R47),R47*5.6%,0)+IF(ISNUMBER(W47),W47*3.6%,0)+IF(ISNUMBER(X47),X47*2.4%,0)+IF(ISNUMBER(AC47),AC47*25%,0)+IF(ISNUMBER(AG47),AG47*18%,0)+IF(ISNUMBER(AH47),AH47*12%,0)+IF(ISNUMBER(AK47),AK47*10%,0))</x:f>
        <x:v>37.582080000000005</x:v>
      </x:c>
      <x:c r="AS47" s="17" t="n">
        <x:f>IF(AQ47=0,"",ROUND(AR47/AQ47,2))</x:f>
        <x:v>42.71</x:v>
      </x:c>
      <x:c r="AT47" s="40" t="n">
        <x:f>IF(OR(G47&lt;&gt;"入池",NOT(ISNUMBER(AS47))),"",COUNTIFS($G$17:$G$219,"入池",$AS$17:$AS$219,"&gt;"&amp;AS47)+COUNTIFS($G$17:$G$219,"入池",$AS$17:$AS$219,AS47,$AQ$17:$AQ$219,"&gt;"&amp;AQ47)+COUNTIFS($G$17:G47,"入池",$AS$17:AS47,AS47,$AQ$17:AQ47,AQ47))</x:f>
        <x:v>165</x:v>
      </x:c>
      <x:c r="AU47" s="41" t="str">
        <x:f t="shared" si="2">IF(NOT(ISNUMBER(I47)),"管理人规模；","")&amp;IF(J47="","产品规模标识；","")&amp;IF(AND(F47&lt;3,NOT(ISNUMBER(O47))),"R_incep；","")&amp;IF(NOT(ISNUMBER(N47)),"近三年收益；","")&amp;IF(NOT(ISNUMBER(U47)),"近三年胜率；","")&amp;IF(AND(ISNUMBER(V47),OR(V47&lt;0,V47&gt;1)),"胜率窗口口径不一致；","")&amp;IF(NOT(ISNUMBER(AA47)),"近三年回撤；","")&amp;IF(NOT(ISNUMBER(AD47)),"短期卡玛；","")&amp;IF(AND(ISNUMBER(P47),NOT(ISNUMBER(AE47))),"DD_long不可识别；","")</x:f>
        <x:v>DD_long不可识别；</x:v>
      </x:c>
      <x:c r="AV47" s="42" t="n">
        <x:v>0</x:v>
      </x:c>
      <x:c r="AW47" s="19" t="str">
        <x:v>广西银瓴资产管理有限公司</x:v>
      </x:c>
      <x:c r="AX47" s="19" t="str">
        <x:v>2026-07-09</x:v>
      </x:c>
      <x:c r="AY47" s="19" t="str">
        <x:v>https://gs.amac.org.cn/amac-infodisc/res/pof/manager/101000035485.html</x:v>
      </x:c>
      <x:c r="AZ47" s="19" t="str">
        <x:v>银瓴运通稳健1号私募证券投资基金五期</x:v>
      </x:c>
      <x:c r="BA47" s="19" t="str">
        <x:v>2025-07-30</x:v>
      </x:c>
      <x:c r="BB47" s="19" t="str">
        <x:v>2026年第2季度季度更新信息</x:v>
      </x:c>
      <x:c r="BC47" s="19" t="str">
        <x:v>https://gs.amac.org.cn/amac-infodisc/res/pof/fund/2105191744101833.html</x:v>
      </x:c>
      <x:c r="BD47" s="19" t="str">
        <x:v>已匹配</x:v>
      </x:c>
      <x:c r="BE47"/>
      <x:c r="BF47"/>
    </x:row>
    <x:row r="48" ht="28" customHeight="1">
      <x:c r="A48" s="4" t="n">
        <x:v>32</x:v>
      </x:c>
      <x:c r="B48" s="15" t="str">
        <x:f>'sheet4-原始数据'!A33</x:f>
        <x:v>荣熙商品1号</x:v>
      </x:c>
      <x:c r="C48" s="15" t="str">
        <x:f>'sheet4-原始数据'!B33</x:f>
        <x:v>SQS292</x:v>
      </x:c>
      <x:c r="D48" s="15" t="str">
        <x:f>'sheet4-原始数据'!E33</x:f>
        <x:v>上海荣熙</x:v>
      </x:c>
      <x:c r="E48" s="32" t="n">
        <x:f>IF(ISNUMBER('sheet4-原始数据'!F33),'sheet4-原始数据'!F33,"")</x:f>
        <x:v>44357</x:v>
      </x:c>
      <x:c r="F48" s="17" t="n">
        <x:f>IF(NOT(ISNUMBER(E48)),"",ROUND(('sheet1-指标体系'!$J$23-E48)/365.25,4))</x:f>
        <x:v>5.2676</x:v>
      </x:c>
      <x:c r="G48" s="4" t="str">
        <x:f t="shared" si="1">IF(NOT(ISNUMBER(F48)),"",IF(F48&lt;1,"不入池","入池"))</x:f>
        <x:v>入池</x:v>
      </x:c>
      <x:c r="H48" s="33" t="str">
        <x:v>5-10亿元</x:v>
      </x:c>
      <x:c r="I48" s="17" t="n">
        <x:f>IF(H48="","",IF(ISNUMBER(SEARCH("100亿元以上",H48)),100,IF(OR(ISNUMBER(SEARCH("20-50",H48)),ISNUMBER(SEARCH("50-100",H48)),ISNUMBER(SEARCH("20-100",H48))),90,IF(ISNUMBER(SEARCH("10-20",H48)),80,IF(ISNUMBER(SEARCH("5-10",H48)),70,IF(ISNUMBER(SEARCH("0-5",H48)),60,""))))))</x:f>
        <x:v>70</x:v>
      </x:c>
      <x:c r="J48" s="34" t="str">
        <x:v>无低于1000万元标识</x:v>
      </x:c>
      <x:c r="K48" s="17" t="n">
        <x:f>IF(J48="","",IF(J48="低于1000万元",0,100))</x:f>
        <x:v>100</x:v>
      </x:c>
      <x:c r="L48" s="17" t="n">
        <x:f>IF(NOT(ISNUMBER(F48)),"",IF(F48&lt;1,"",IF(F48&lt;3,70,100)))</x:f>
        <x:v>100</x:v>
      </x:c>
      <x:c r="M48" s="35" t="n">
        <x:f>IF(ISNUMBER('sheet4-原始数据'!G33),'sheet4-原始数据'!G33,"")</x:f>
        <x:v>0.0144</x:v>
      </x:c>
      <x:c r="N48" s="35" t="n">
        <x:f>IF(ISNUMBER('sheet4-原始数据'!H33),'sheet4-原始数据'!H33,"")</x:f>
        <x:v>0.0688</x:v>
      </x:c>
      <x:c r="O48" s="36" t="str">
        <x:f>IF(ISNUMBER('sheet4-原始数据'!Q33),'sheet4-原始数据'!Q33,"")</x:f>
      </x:c>
      <x:c r="P48" s="37" t="n">
        <x:f>IF($G48&lt;&gt;"入池","",IF($F48&gt;=3,IF(OR(NOT(ISNUMBER($M48)),NOT(ISNUMBER($N48)),1+$M48&lt;=0,1+$N48&lt;0),"",((1+$N48)^3/(1+$M48))^(1/2)-1),IF(OR($F48&lt;=1,NOT(ISNUMBER($M48)),NOT(ISNUMBER($O48)),1+$M48&lt;=0,1+$O48&lt;0),"",((1+$O48)^$F48/(1+$M48))^(1/($F48-1))-1)))</x:f>
        <x:v>0.09708441965446779</x:v>
      </x:c>
      <x:c r="Q48" s="17" t="n">
        <x:f>IF(OR($G48&lt;&gt;"入池",NOT(ISNUMBER(M48))),"",IF(COUNTIFS($G$17:$G$219,"入池",$M$17:$M$219,"&gt;=-1E+307",$M$17:$M$219,"&lt;=1E+307")&lt;=1,100,ROUND(100*(COUNTIFS($G$17:$G$219,"入池",$M$17:$M$219,"&gt;=-1E+307",$M$17:$M$219,"&lt;"&amp;M48)+COUNTIFS($G$17:$G$219,"入池",$M$17:$M$219,M48,$M$17:$M$219,"&gt;=-1E+307",$M$17:$M$219,"&lt;=1E+307")/2-0.5)/(COUNTIFS($G$17:$G$219,"入池",$M$17:$M$219,"&gt;=-1E+307",$M$17:$M$219,"&lt;=1E+307")-1),2)))</x:f>
        <x:v>24.75</x:v>
      </x:c>
      <x:c r="R48" s="17" t="n">
        <x:f>IF(OR($G48&lt;&gt;"入池",NOT(ISNUMBER(P48))),"",IF(COUNTIFS($G$17:$G$219,"入池",$P$17:$P$219,"&gt;=-1E+307",$P$17:$P$219,"&lt;=1E+307")&lt;=1,100,ROUND(100*(COUNTIFS($G$17:$G$219,"入池",$P$17:$P$219,"&gt;=-1E+307",$P$17:$P$219,"&lt;"&amp;P48)+COUNTIFS($G$17:$G$219,"入池",$P$17:$P$219,P48,$P$17:$P$219,"&gt;=-1E+307",$P$17:$P$219,"&lt;=1E+307")/2-0.5)/(COUNTIFS($G$17:$G$219,"入池",$P$17:$P$219,"&gt;=-1E+307",$P$17:$P$219,"&lt;=1E+307")-1),2)))</x:f>
        <x:v>71.78</x:v>
      </x:c>
      <x:c r="S48" s="17" t="n">
        <x:f>IF(NOT(ISNUMBER(Q48)),"",IF(NOT(ISNUMBER(R48)),Q48,ROUND(Q48*'sheet1-指标体系'!$J$8+R48*'sheet1-指标体系'!$J$9,2)))</x:f>
        <x:v>43.56</x:v>
      </x:c>
      <x:c r="T48" s="35" t="n">
        <x:f>IF(ISNUMBER('sheet4-原始数据'!J33),'sheet4-原始数据'!J33,"")</x:f>
        <x:v>0.46149999999999997</x:v>
      </x:c>
      <x:c r="U48" s="35" t="n">
        <x:f>IF(ISNUMBER('sheet4-原始数据'!I33),'sheet4-原始数据'!I33,"")</x:f>
        <x:v>0.5405</x:v>
      </x:c>
      <x:c r="V48" s="37" t="n">
        <x:f>IF(OR(NOT(ISNUMBER(T48)),NOT(ISNUMBER(U48))),"",(U48*'sheet1-指标体系'!$J$6-T48*'sheet1-指标体系'!$J$5)/'sheet1-指标体系'!$J$7)</x:f>
        <x:v>0.5832916666666667</x:v>
      </x:c>
      <x:c r="W48" s="17" t="n">
        <x:f>IF(NOT(ISNUMBER(T48)),"",T48*100)</x:f>
        <x:v>46.15</x:v>
      </x:c>
      <x:c r="X48" s="17" t="n">
        <x:f>IF($G48&lt;&gt;"入池","",IF(AND(ISNUMBER(V48),V48&gt;=0,V48&lt;=1),V48*100,IF(MAX(0,($F48-1)*12)&lt;6,100,"")))</x:f>
        <x:v>58.329166666666666</x:v>
      </x:c>
      <x:c r="Y48" s="17" t="n">
        <x:f>IF(NOT(ISNUMBER(W48)),"",IF(NOT(ISNUMBER(X48)),W48,ROUND(W48*'sheet1-指标体系'!$J$8+X48*'sheet1-指标体系'!$J$9,2)))</x:f>
        <x:v>51.02</x:v>
      </x:c>
      <x:c r="Z48" s="37" t="n">
        <x:f>IF(OR(NOT(ISNUMBER(M48)),NOT(ISNUMBER(AD48)),AD48=0),"",ABS(M48/AD48))</x:f>
        <x:v>0.05311693102176318</x:v>
      </x:c>
      <x:c r="AA48" s="35" t="n">
        <x:f>IF(ISNUMBER('sheet4-原始数据'!K33),'sheet4-原始数据'!K33,"")</x:f>
        <x:v>0.058600000000000006</x:v>
      </x:c>
      <x:c r="AB48" s="37" t="n">
        <x:f>IF(COUNT(Z48:AA48)=0,"",MAX(Z48:AA48))</x:f>
        <x:v>0.058600000000000006</x:v>
      </x:c>
      <x:c r="AC48" s="17" t="n">
        <x:f>IF(OR($G48&lt;&gt;"入池",NOT(ISNUMBER(AB48))),"",IF(COUNTIFS($G$17:$G$219,"入池",$AB$17:$AB$219,"&gt;=-1E+307",$AB$17:$AB$219,"&lt;=1E+307")&lt;=1,100,ROUND(100*(COUNTIFS($G$17:$G$219,"入池",$AB$17:$AB$219,"&lt;=1E+307",$AB$17:$AB$219,"&gt;"&amp;AB48)+COUNTIFS($G$17:$G$219,"入池",$AB$17:$AB$219,AB48,$AB$17:$AB$219,"&gt;=-1E+307",$AB$17:$AB$219,"&lt;=1E+307")/2-0.5)/(COUNTIFS($G$17:$G$219,"入池",$AB$17:$AB$219,"&gt;=-1E+307",$AB$17:$AB$219,"&lt;=1E+307")-1),2)))</x:f>
        <x:v>40.59</x:v>
      </x:c>
      <x:c r="AD48" s="38" t="n">
        <x:f>IF(ISNUMBER('sheet4-原始数据'!M33),'sheet4-原始数据'!M33,"")</x:f>
        <x:v>0.2711</x:v>
      </x:c>
      <x:c r="AE48" s="37" t="n">
        <x:f>IF(OR(NOT(ISNUMBER(P48)),NOT(ISNUMBER(AA48)),NOT(ISNUMBER(Z48))),"",IF(AA48&gt;Z48+'sheet1-指标体系'!$J$11,AA48,""))</x:f>
        <x:v>0.058600000000000006</x:v>
      </x:c>
      <x:c r="AF48" s="17" t="n">
        <x:f>IF(OR(NOT(ISNUMBER(P48)),NOT(ISNUMBER(AE48)),AE48=0),"",P48/AE48)</x:f>
        <x:v>1.6567307108270952</x:v>
      </x:c>
      <x:c r="AG48" s="17" t="n">
        <x:f>IF(OR($G48&lt;&gt;"入池",NOT(ISNUMBER(AD48))),"",IF(COUNTIFS($G$17:$G$219,"入池",$AD$17:$AD$219,"&gt;=-1E+307",$AD$17:$AD$219,"&lt;=1E+307")&lt;=1,100,ROUND(100*(COUNTIFS($G$17:$G$219,"入池",$AD$17:$AD$219,"&gt;=-1E+307",$AD$17:$AD$219,"&lt;"&amp;AD48)+COUNTIFS($G$17:$G$219,"入池",$AD$17:$AD$219,AD48,$AD$17:$AD$219,"&gt;=-1E+307",$AD$17:$AD$219,"&lt;=1E+307")/2-0.5)/(COUNTIFS($G$17:$G$219,"入池",$AD$17:$AD$219,"&gt;=-1E+307",$AD$17:$AD$219,"&lt;=1E+307")-1),2)))</x:f>
        <x:v>23.38</x:v>
      </x:c>
      <x:c r="AH48" s="17" t="n">
        <x:f>IF(OR($G48&lt;&gt;"入池",NOT(ISNUMBER(AF48))),"",IF(COUNTIFS($G$17:$G$219,"入池",$AF$17:$AF$219,"&gt;=-1E+307",$AF$17:$AF$219,"&lt;=1E+307")&lt;=1,100,ROUND(100*(COUNTIFS($G$17:$G$219,"入池",$AF$17:$AF$219,"&gt;=-1E+307",$AF$17:$AF$219,"&lt;"&amp;AF48)+COUNTIFS($G$17:$G$219,"入池",$AF$17:$AF$219,AF48,$AF$17:$AF$219,"&gt;=-1E+307",$AF$17:$AF$219,"&lt;=1E+307")/2-0.5)/(COUNTIFS($G$17:$G$219,"入池",$AF$17:$AF$219,"&gt;=-1E+307",$AF$17:$AF$219,"&lt;=1E+307")-1),2)))</x:f>
        <x:v>59.12</x:v>
      </x:c>
      <x:c r="AI48" s="17" t="n">
        <x:f>IF(NOT(ISNUMBER(AG48)),"",IF(NOT(ISNUMBER(AH48)),AG48,ROUND(AG48*'sheet1-指标体系'!$J$8+AH48*'sheet1-指标体系'!$J$9,2)))</x:f>
        <x:v>37.68</x:v>
      </x:c>
      <x:c r="AJ48" s="37" t="n">
        <x:f>IF(NOT(ISNUMBER(F48)),"",IF(F48&gt;=3,IF(NOT(ISNUMBER(N48)),"",N48),IF(NOT(ISNUMBER(O48)),"",O48)))</x:f>
        <x:v>0.0688</x:v>
      </x:c>
      <x:c r="AK48" s="17" t="n">
        <x:f>IF(OR(G48&lt;&gt;"入池",NOT(ISNUMBER(M48)),NOT(ISNUMBER(AJ48))),"",IF(M48&gt;=AJ48,100,IF(AJ48-M48&lt;'sheet1-指标体系'!$J$10,80,60)))</x:f>
        <x:v>80</x:v>
      </x:c>
      <x:c r="AL48" s="17" t="n">
        <x:f>IF(COUNT(I48,K48,L48)=0,"",ROUND((IF(ISNUMBER(I48),I48*40%,0)+IF(ISNUMBER(K48),K48*30%,0)+IF(ISNUMBER(L48),L48*30%,0))/(IF(ISNUMBER(I48),40%,0)+IF(ISNUMBER(K48),30%,0)+IF(ISNUMBER(L48),30%,0)),2))</x:f>
        <x:v>88</x:v>
      </x:c>
      <x:c r="AM48" s="17" t="n">
        <x:f>IF(COUNT(Q48,R48,W48,X48)=0,"",ROUND((IF(ISNUMBER(Q48),Q48*42%,0)+IF(ISNUMBER(R48),R48*28%,0)+IF(ISNUMBER(W48),W48*18%,0)+IF(ISNUMBER(X48),X48*12%,0))/(IF(ISNUMBER(Q48),42%,0)+IF(ISNUMBER(R48),28%,0)+IF(ISNUMBER(W48),18%,0)+IF(ISNUMBER(X48),12%,0)),2))</x:f>
        <x:v>45.8</x:v>
      </x:c>
      <x:c r="AN48" s="17" t="n">
        <x:f>IF(ISNUMBER(AC48),AC48,"")</x:f>
        <x:v>40.59</x:v>
      </x:c>
      <x:c r="AO48" s="17" t="n">
        <x:f>IF(COUNT(AG48,AH48)=0,"",ROUND((IF(ISNUMBER(AG48),AG48*60%,0)+IF(ISNUMBER(AH48),AH48*40%,0))/(IF(ISNUMBER(AG48),60%,0)+IF(ISNUMBER(AH48),40%,0)),2))</x:f>
        <x:v>37.68</x:v>
      </x:c>
      <x:c r="AP48" s="17" t="n">
        <x:f>IF(ISNUMBER(AK48),AK48,"")</x:f>
        <x:v>80</x:v>
      </x:c>
      <x:c r="AQ48" s="39" t="n">
        <x:f>IF(G48&lt;&gt;"入池",0,IF(ISNUMBER(I48),6%,0)+IF(ISNUMBER(K48),4.5%,0)+IF(ISNUMBER(L48),4.5%,0)+IF(ISNUMBER(Q48),8.4%,0)+IF(ISNUMBER(R48),5.6%,0)+IF(ISNUMBER(W48),3.6%,0)+IF(ISNUMBER(X48),2.4%,0)+IF(ISNUMBER(AC48),25%,0)+IF(ISNUMBER(AG48),18%,0)+IF(ISNUMBER(AH48),12%,0)+IF(ISNUMBER(AK48),10%,0))</x:f>
        <x:v>1</x:v>
      </x:c>
      <x:c r="AR48" s="17" t="n">
        <x:f>IF(AQ48=0,"",IF(ISNUMBER(I48),I48*6%,0)+IF(ISNUMBER(K48),K48*4.5%,0)+IF(ISNUMBER(L48),L48*4.5%,0)+IF(ISNUMBER(Q48),Q48*8.4%,0)+IF(ISNUMBER(R48),R48*5.6%,0)+IF(ISNUMBER(W48),W48*3.6%,0)+IF(ISNUMBER(X48),X48*2.4%,0)+IF(ISNUMBER(AC48),AC48*25%,0)+IF(ISNUMBER(AG48),AG48*18%,0)+IF(ISNUMBER(AH48),AH48*12%,0)+IF(ISNUMBER(AK48),AK48*10%,0))</x:f>
        <x:v>51.81028</x:v>
      </x:c>
      <x:c r="AS48" s="17" t="n">
        <x:f>IF(AQ48=0,"",ROUND(AR48/AQ48,2))</x:f>
        <x:v>51.81</x:v>
      </x:c>
      <x:c r="AT48" s="40" t="n">
        <x:f>IF(OR(G48&lt;&gt;"入池",NOT(ISNUMBER(AS48))),"",COUNTIFS($G$17:$G$219,"入池",$AS$17:$AS$219,"&gt;"&amp;AS48)+COUNTIFS($G$17:$G$219,"入池",$AS$17:$AS$219,AS48,$AQ$17:$AQ$219,"&gt;"&amp;AQ48)+COUNTIFS($G$17:G48,"入池",$AS$17:AS48,AS48,$AQ$17:AQ48,AQ48))</x:f>
        <x:v>140</x:v>
      </x:c>
      <x:c r="AU48" s="41" t="str">
        <x:f t="shared" si="2">IF(NOT(ISNUMBER(I48)),"管理人规模；","")&amp;IF(J48="","产品规模标识；","")&amp;IF(AND(F48&lt;3,NOT(ISNUMBER(O48))),"R_incep；","")&amp;IF(NOT(ISNUMBER(N48)),"近三年收益；","")&amp;IF(NOT(ISNUMBER(U48)),"近三年胜率；","")&amp;IF(AND(ISNUMBER(V48),OR(V48&lt;0,V48&gt;1)),"胜率窗口口径不一致；","")&amp;IF(NOT(ISNUMBER(AA48)),"近三年回撤；","")&amp;IF(NOT(ISNUMBER(AD48)),"短期卡玛；","")&amp;IF(AND(ISNUMBER(P48),NOT(ISNUMBER(AE48))),"DD_long不可识别；","")</x:f>
      </x:c>
      <x:c r="AV48" s="42" t="n">
        <x:v>5</x:v>
      </x:c>
      <x:c r="AW48" s="19" t="str">
        <x:v>上海荣熙私募基金管理有限公司</x:v>
      </x:c>
      <x:c r="AX48" s="19" t="str">
        <x:v>2026-07-22</x:v>
      </x:c>
      <x:c r="AY48" s="19" t="str">
        <x:v>https://gs.amac.org.cn/amac-infodisc/res/pof/manager/101000027208.html</x:v>
      </x:c>
      <x:c r="AZ48" s="19" t="str">
        <x:v>荣熙商品1号私募证券投资基金</x:v>
      </x:c>
      <x:c r="BA48" s="19" t="str">
        <x:v>2022-01-12</x:v>
      </x:c>
      <x:c r="BB48" s="19"/>
      <x:c r="BC48" s="19" t="str">
        <x:v>https://gs.amac.org.cn/amac-infodisc/res/pof/fund/2106221011108981.html</x:v>
      </x:c>
      <x:c r="BD48" s="19" t="str">
        <x:v>已匹配</x:v>
      </x:c>
      <x:c r="BE48"/>
      <x:c r="BF48"/>
    </x:row>
    <x:row r="49" ht="28" customHeight="1">
      <x:c r="A49" s="4" t="n">
        <x:v>33</x:v>
      </x:c>
      <x:c r="B49" s="15" t="str">
        <x:f>'sheet4-原始数据'!A34</x:f>
        <x:v>银瓴多德价值投资1号</x:v>
      </x:c>
      <x:c r="C49" s="15" t="str">
        <x:f>'sheet4-原始数据'!B34</x:f>
        <x:v>SQV390</x:v>
      </x:c>
      <x:c r="D49" s="15" t="str">
        <x:f>'sheet4-原始数据'!E34</x:f>
        <x:v>广西银瓴资产</x:v>
      </x:c>
      <x:c r="E49" s="32" t="n">
        <x:f>IF(ISNUMBER('sheet4-原始数据'!F34),'sheet4-原始数据'!F34,"")</x:f>
        <x:v>44382</x:v>
      </x:c>
      <x:c r="F49" s="17" t="n">
        <x:f>IF(NOT(ISNUMBER(E49)),"",ROUND(('sheet1-指标体系'!$J$23-E49)/365.25,4))</x:f>
        <x:v>5.1992</x:v>
      </x:c>
      <x:c r="G49" s="4" t="str">
        <x:f t="shared" si="1">IF(NOT(ISNUMBER(F49)),"",IF(F49&lt;1,"不入池","入池"))</x:f>
        <x:v>入池</x:v>
      </x:c>
      <x:c r="H49" s="33" t="str">
        <x:v>0-5亿元</x:v>
      </x:c>
      <x:c r="I49" s="17" t="n">
        <x:f>IF(H49="","",IF(ISNUMBER(SEARCH("100亿元以上",H49)),100,IF(OR(ISNUMBER(SEARCH("20-50",H49)),ISNUMBER(SEARCH("50-100",H49)),ISNUMBER(SEARCH("20-100",H49))),90,IF(ISNUMBER(SEARCH("10-20",H49)),80,IF(ISNUMBER(SEARCH("5-10",H49)),70,IF(ISNUMBER(SEARCH("0-5",H49)),60,""))))))</x:f>
        <x:v>60</x:v>
      </x:c>
      <x:c r="J49" s="34" t="str">
        <x:v>低于1000万元</x:v>
      </x:c>
      <x:c r="K49" s="17" t="n">
        <x:f>IF(J49="","",IF(J49="低于1000万元",0,100))</x:f>
        <x:v>0</x:v>
      </x:c>
      <x:c r="L49" s="17" t="n">
        <x:f>IF(NOT(ISNUMBER(F49)),"",IF(F49&lt;1,"",IF(F49&lt;3,70,100)))</x:f>
        <x:v>100</x:v>
      </x:c>
      <x:c r="M49" s="35" t="n">
        <x:f>IF(ISNUMBER('sheet4-原始数据'!G34),'sheet4-原始数据'!G34,"")</x:f>
        <x:v>-0.0258</x:v>
      </x:c>
      <x:c r="N49" s="35" t="n">
        <x:f>IF(ISNUMBER('sheet4-原始数据'!H34),'sheet4-原始数据'!H34,"")</x:f>
        <x:v>-0.0271</x:v>
      </x:c>
      <x:c r="O49" s="36" t="str">
        <x:f>IF(ISNUMBER('sheet4-原始数据'!Q34),'sheet4-原始数据'!Q34,"")</x:f>
      </x:c>
      <x:c r="P49" s="37" t="n">
        <x:f>IF($G49&lt;&gt;"入池","",IF($F49&gt;=3,IF(OR(NOT(ISNUMBER($M49)),NOT(ISNUMBER($N49)),1+$M49&lt;=0,1+$N49&lt;0),"",((1+$N49)^3/(1+$M49))^(1/2)-1),IF(OR($F49&lt;=1,NOT(ISNUMBER($M49)),NOT(ISNUMBER($O49)),1+$M49&lt;=0,1+$O49&lt;0),"",((1+$O49)^$F49/(1+$M49))^(1/($F49-1))-1)))</x:f>
        <x:v>-0.027749349321474437</x:v>
      </x:c>
      <x:c r="Q49" s="17" t="n">
        <x:f>IF(OR($G49&lt;&gt;"入池",NOT(ISNUMBER(M49))),"",IF(COUNTIFS($G$17:$G$219,"入池",$M$17:$M$219,"&gt;=-1E+307",$M$17:$M$219,"&lt;=1E+307")&lt;=1,100,ROUND(100*(COUNTIFS($G$17:$G$219,"入池",$M$17:$M$219,"&gt;=-1E+307",$M$17:$M$219,"&lt;"&amp;M49)+COUNTIFS($G$17:$G$219,"入池",$M$17:$M$219,M49,$M$17:$M$219,"&gt;=-1E+307",$M$17:$M$219,"&lt;=1E+307")/2-0.5)/(COUNTIFS($G$17:$G$219,"入池",$M$17:$M$219,"&gt;=-1E+307",$M$17:$M$219,"&lt;=1E+307")-1),2)))</x:f>
        <x:v>11.88</x:v>
      </x:c>
      <x:c r="R49" s="17" t="n">
        <x:f>IF(OR($G49&lt;&gt;"入池",NOT(ISNUMBER(P49))),"",IF(COUNTIFS($G$17:$G$219,"入池",$P$17:$P$219,"&gt;=-1E+307",$P$17:$P$219,"&lt;=1E+307")&lt;=1,100,ROUND(100*(COUNTIFS($G$17:$G$219,"入池",$P$17:$P$219,"&gt;=-1E+307",$P$17:$P$219,"&lt;"&amp;P49)+COUNTIFS($G$17:$G$219,"入池",$P$17:$P$219,P49,$P$17:$P$219,"&gt;=-1E+307",$P$17:$P$219,"&lt;=1E+307")/2-0.5)/(COUNTIFS($G$17:$G$219,"入池",$P$17:$P$219,"&gt;=-1E+307",$P$17:$P$219,"&lt;=1E+307")-1),2)))</x:f>
        <x:v>1.49</x:v>
      </x:c>
      <x:c r="S49" s="17" t="n">
        <x:f>IF(NOT(ISNUMBER(Q49)),"",IF(NOT(ISNUMBER(R49)),Q49,ROUND(Q49*'sheet1-指标体系'!$J$8+R49*'sheet1-指标体系'!$J$9,2)))</x:f>
        <x:v>7.72</x:v>
      </x:c>
      <x:c r="T49" s="35" t="n">
        <x:f>IF(ISNUMBER('sheet4-原始数据'!J34),'sheet4-原始数据'!J34,"")</x:f>
        <x:v>0.46149999999999997</x:v>
      </x:c>
      <x:c r="U49" s="35" t="n">
        <x:f>IF(ISNUMBER('sheet4-原始数据'!I34),'sheet4-原始数据'!I34,"")</x:f>
        <x:v>0.4595</x:v>
      </x:c>
      <x:c r="V49" s="37" t="n">
        <x:f>IF(OR(NOT(ISNUMBER(T49)),NOT(ISNUMBER(U49))),"",(U49*'sheet1-指标体系'!$J$6-T49*'sheet1-指标体系'!$J$5)/'sheet1-指标体系'!$J$7)</x:f>
        <x:v>0.4584166666666667</x:v>
      </x:c>
      <x:c r="W49" s="17" t="n">
        <x:f>IF(NOT(ISNUMBER(T49)),"",T49*100)</x:f>
        <x:v>46.15</x:v>
      </x:c>
      <x:c r="X49" s="17" t="n">
        <x:f>IF($G49&lt;&gt;"入池","",IF(AND(ISNUMBER(V49),V49&gt;=0,V49&lt;=1),V49*100,IF(MAX(0,($F49-1)*12)&lt;6,100,"")))</x:f>
        <x:v>45.84166666666667</x:v>
      </x:c>
      <x:c r="Y49" s="17" t="n">
        <x:f>IF(NOT(ISNUMBER(W49)),"",IF(NOT(ISNUMBER(X49)),W49,ROUND(W49*'sheet1-指标体系'!$J$8+X49*'sheet1-指标体系'!$J$9,2)))</x:f>
        <x:v>46.03</x:v>
      </x:c>
      <x:c r="Z49" s="37" t="n">
        <x:f>IF(OR(NOT(ISNUMBER(M49)),NOT(ISNUMBER(AD49)),AD49=0),"",ABS(M49/AD49))</x:f>
        <x:v>0.16195856873822975</x:v>
      </x:c>
      <x:c r="AA49" s="35" t="n">
        <x:f>IF(ISNUMBER('sheet4-原始数据'!K34),'sheet4-原始数据'!K34,"")</x:f>
        <x:v>0.2391</x:v>
      </x:c>
      <x:c r="AB49" s="37" t="n">
        <x:f>IF(COUNT(Z49:AA49)=0,"",MAX(Z49:AA49))</x:f>
        <x:v>0.2391</x:v>
      </x:c>
      <x:c r="AC49" s="17" t="n">
        <x:f>IF(OR($G49&lt;&gt;"入池",NOT(ISNUMBER(AB49))),"",IF(COUNTIFS($G$17:$G$219,"入池",$AB$17:$AB$219,"&gt;=-1E+307",$AB$17:$AB$219,"&lt;=1E+307")&lt;=1,100,ROUND(100*(COUNTIFS($G$17:$G$219,"入池",$AB$17:$AB$219,"&lt;=1E+307",$AB$17:$AB$219,"&gt;"&amp;AB49)+COUNTIFS($G$17:$G$219,"入池",$AB$17:$AB$219,AB49,$AB$17:$AB$219,"&gt;=-1E+307",$AB$17:$AB$219,"&lt;=1E+307")/2-0.5)/(COUNTIFS($G$17:$G$219,"入池",$AB$17:$AB$219,"&gt;=-1E+307",$AB$17:$AB$219,"&lt;=1E+307")-1),2)))</x:f>
        <x:v>6.93</x:v>
      </x:c>
      <x:c r="AD49" s="38" t="n">
        <x:f>IF(ISNUMBER('sheet4-原始数据'!M34),'sheet4-原始数据'!M34,"")</x:f>
        <x:v>-0.1593</x:v>
      </x:c>
      <x:c r="AE49" s="37" t="n">
        <x:f>IF(OR(NOT(ISNUMBER(P49)),NOT(ISNUMBER(AA49)),NOT(ISNUMBER(Z49))),"",IF(AA49&gt;Z49+'sheet1-指标体系'!$J$11,AA49,""))</x:f>
        <x:v>0.2391</x:v>
      </x:c>
      <x:c r="AF49" s="17" t="n">
        <x:f>IF(OR(NOT(ISNUMBER(P49)),NOT(ISNUMBER(AE49)),AE49=0),"",P49/AE49)</x:f>
        <x:v>-0.11605750448128162</x:v>
      </x:c>
      <x:c r="AG49" s="17" t="n">
        <x:f>IF(OR($G49&lt;&gt;"入池",NOT(ISNUMBER(AD49))),"",IF(COUNTIFS($G$17:$G$219,"入池",$AD$17:$AD$219,"&gt;=-1E+307",$AD$17:$AD$219,"&lt;=1E+307")&lt;=1,100,ROUND(100*(COUNTIFS($G$17:$G$219,"入池",$AD$17:$AD$219,"&gt;=-1E+307",$AD$17:$AD$219,"&lt;"&amp;AD49)+COUNTIFS($G$17:$G$219,"入池",$AD$17:$AD$219,AD49,$AD$17:$AD$219,"&gt;=-1E+307",$AD$17:$AD$219,"&lt;=1E+307")/2-0.5)/(COUNTIFS($G$17:$G$219,"入池",$AD$17:$AD$219,"&gt;=-1E+307",$AD$17:$AD$219,"&lt;=1E+307")-1),2)))</x:f>
        <x:v>14.93</x:v>
      </x:c>
      <x:c r="AH49" s="17" t="n">
        <x:f>IF(OR($G49&lt;&gt;"入池",NOT(ISNUMBER(AF49))),"",IF(COUNTIFS($G$17:$G$219,"入池",$AF$17:$AF$219,"&gt;=-1E+307",$AF$17:$AF$219,"&lt;=1E+307")&lt;=1,100,ROUND(100*(COUNTIFS($G$17:$G$219,"入池",$AF$17:$AF$219,"&gt;=-1E+307",$AF$17:$AF$219,"&lt;"&amp;AF49)+COUNTIFS($G$17:$G$219,"入池",$AF$17:$AF$219,AF49,$AF$17:$AF$219,"&gt;=-1E+307",$AF$17:$AF$219,"&lt;=1E+307")/2-0.5)/(COUNTIFS($G$17:$G$219,"入池",$AF$17:$AF$219,"&gt;=-1E+307",$AF$17:$AF$219,"&lt;=1E+307")-1),2)))</x:f>
        <x:v>2.19</x:v>
      </x:c>
      <x:c r="AI49" s="17" t="n">
        <x:f>IF(NOT(ISNUMBER(AG49)),"",IF(NOT(ISNUMBER(AH49)),AG49,ROUND(AG49*'sheet1-指标体系'!$J$8+AH49*'sheet1-指标体系'!$J$9,2)))</x:f>
        <x:v>9.83</x:v>
      </x:c>
      <x:c r="AJ49" s="37" t="n">
        <x:f>IF(NOT(ISNUMBER(F49)),"",IF(F49&gt;=3,IF(NOT(ISNUMBER(N49)),"",N49),IF(NOT(ISNUMBER(O49)),"",O49)))</x:f>
        <x:v>-0.0271</x:v>
      </x:c>
      <x:c r="AK49" s="17" t="n">
        <x:f>IF(OR(G49&lt;&gt;"入池",NOT(ISNUMBER(M49)),NOT(ISNUMBER(AJ49))),"",IF(M49&gt;=AJ49,100,IF(AJ49-M49&lt;'sheet1-指标体系'!$J$10,80,60)))</x:f>
        <x:v>100</x:v>
      </x:c>
      <x:c r="AL49" s="17" t="n">
        <x:f>IF(COUNT(I49,K49,L49)=0,"",ROUND((IF(ISNUMBER(I49),I49*40%,0)+IF(ISNUMBER(K49),K49*30%,0)+IF(ISNUMBER(L49),L49*30%,0))/(IF(ISNUMBER(I49),40%,0)+IF(ISNUMBER(K49),30%,0)+IF(ISNUMBER(L49),30%,0)),2))</x:f>
        <x:v>54</x:v>
      </x:c>
      <x:c r="AM49" s="17" t="n">
        <x:f>IF(COUNT(Q49,R49,W49,X49)=0,"",ROUND((IF(ISNUMBER(Q49),Q49*42%,0)+IF(ISNUMBER(R49),R49*28%,0)+IF(ISNUMBER(W49),W49*18%,0)+IF(ISNUMBER(X49),X49*12%,0))/(IF(ISNUMBER(Q49),42%,0)+IF(ISNUMBER(R49),28%,0)+IF(ISNUMBER(W49),18%,0)+IF(ISNUMBER(X49),12%,0)),2))</x:f>
        <x:v>19.21</x:v>
      </x:c>
      <x:c r="AN49" s="17" t="n">
        <x:f>IF(ISNUMBER(AC49),AC49,"")</x:f>
        <x:v>6.93</x:v>
      </x:c>
      <x:c r="AO49" s="17" t="n">
        <x:f>IF(COUNT(AG49,AH49)=0,"",ROUND((IF(ISNUMBER(AG49),AG49*60%,0)+IF(ISNUMBER(AH49),AH49*40%,0))/(IF(ISNUMBER(AG49),60%,0)+IF(ISNUMBER(AH49),40%,0)),2))</x:f>
        <x:v>9.83</x:v>
      </x:c>
      <x:c r="AP49" s="17" t="n">
        <x:f>IF(ISNUMBER(AK49),AK49,"")</x:f>
        <x:v>100</x:v>
      </x:c>
      <x:c r="AQ49" s="39" t="n">
        <x:f>IF(G49&lt;&gt;"入池",0,IF(ISNUMBER(I49),6%,0)+IF(ISNUMBER(K49),4.5%,0)+IF(ISNUMBER(L49),4.5%,0)+IF(ISNUMBER(Q49),8.4%,0)+IF(ISNUMBER(R49),5.6%,0)+IF(ISNUMBER(W49),3.6%,0)+IF(ISNUMBER(X49),2.4%,0)+IF(ISNUMBER(AC49),25%,0)+IF(ISNUMBER(AG49),18%,0)+IF(ISNUMBER(AH49),12%,0)+IF(ISNUMBER(AK49),10%,0))</x:f>
        <x:v>1</x:v>
      </x:c>
      <x:c r="AR49" s="17" t="n">
        <x:f>IF(AQ49=0,"",IF(ISNUMBER(I49),I49*6%,0)+IF(ISNUMBER(K49),K49*4.5%,0)+IF(ISNUMBER(L49),L49*4.5%,0)+IF(ISNUMBER(Q49),Q49*8.4%,0)+IF(ISNUMBER(R49),R49*5.6%,0)+IF(ISNUMBER(W49),W49*3.6%,0)+IF(ISNUMBER(X49),X49*2.4%,0)+IF(ISNUMBER(AC49),AC49*25%,0)+IF(ISNUMBER(AG49),AG49*18%,0)+IF(ISNUMBER(AH49),AH49*12%,0)+IF(ISNUMBER(AK49),AK49*10%,0))</x:f>
        <x:v>26.625659999999996</x:v>
      </x:c>
      <x:c r="AS49" s="17" t="n">
        <x:f>IF(AQ49=0,"",ROUND(AR49/AQ49,2))</x:f>
        <x:v>26.63</x:v>
      </x:c>
      <x:c r="AT49" s="40" t="n">
        <x:f>IF(OR(G49&lt;&gt;"入池",NOT(ISNUMBER(AS49))),"",COUNTIFS($G$17:$G$219,"入池",$AS$17:$AS$219,"&gt;"&amp;AS49)+COUNTIFS($G$17:$G$219,"入池",$AS$17:$AS$219,AS49,$AQ$17:$AQ$219,"&gt;"&amp;AQ49)+COUNTIFS($G$17:G49,"入池",$AS$17:AS49,AS49,$AQ$17:AQ49,AQ49))</x:f>
        <x:v>199</x:v>
      </x:c>
      <x:c r="AU49" s="41" t="str">
        <x:f t="shared" si="2">IF(NOT(ISNUMBER(I49)),"管理人规模；","")&amp;IF(J49="","产品规模标识；","")&amp;IF(AND(F49&lt;3,NOT(ISNUMBER(O49))),"R_incep；","")&amp;IF(NOT(ISNUMBER(N49)),"近三年收益；","")&amp;IF(NOT(ISNUMBER(U49)),"近三年胜率；","")&amp;IF(AND(ISNUMBER(V49),OR(V49&lt;0,V49&gt;1)),"胜率窗口口径不一致；","")&amp;IF(NOT(ISNUMBER(AA49)),"近三年回撤；","")&amp;IF(NOT(ISNUMBER(AD49)),"短期卡玛；","")&amp;IF(AND(ISNUMBER(P49),NOT(ISNUMBER(AE49))),"DD_long不可识别；","")</x:f>
      </x:c>
      <x:c r="AV49" s="42" t="n">
        <x:v>0</x:v>
      </x:c>
      <x:c r="AW49" s="19" t="str">
        <x:v>广西银瓴资产管理有限公司</x:v>
      </x:c>
      <x:c r="AX49" s="19" t="str">
        <x:v>2026-07-09</x:v>
      </x:c>
      <x:c r="AY49" s="19" t="str">
        <x:v>https://gs.amac.org.cn/amac-infodisc/res/pof/manager/101000035485.html</x:v>
      </x:c>
      <x:c r="AZ49" s="19" t="str">
        <x:v>银瓴多德价值投资1号私募证券投资基金</x:v>
      </x:c>
      <x:c r="BA49" s="19" t="str">
        <x:v>2025-12-15</x:v>
      </x:c>
      <x:c r="BB49" s="19" t="str">
        <x:v>2026年第2季度季度更新信息</x:v>
      </x:c>
      <x:c r="BC49" s="19" t="str">
        <x:v>https://gs.amac.org.cn/amac-infodisc/res/pof/fund/2107081734103311.html</x:v>
      </x:c>
      <x:c r="BD49" s="19" t="str">
        <x:v>已匹配</x:v>
      </x:c>
      <x:c r="BE49"/>
      <x:c r="BF49"/>
    </x:row>
    <x:row r="50" ht="28" customHeight="1">
      <x:c r="A50" s="4" t="n">
        <x:v>34</x:v>
      </x:c>
      <x:c r="B50" s="15" t="str">
        <x:f>'sheet4-原始数据'!A35</x:f>
        <x:v>银瓴运通对冲套利宝城6号</x:v>
      </x:c>
      <x:c r="C50" s="15" t="str">
        <x:f>'sheet4-原始数据'!B35</x:f>
        <x:v>SQU465</x:v>
      </x:c>
      <x:c r="D50" s="15" t="str">
        <x:f>'sheet4-原始数据'!E35</x:f>
        <x:v>广西银瓴资产</x:v>
      </x:c>
      <x:c r="E50" s="32" t="n">
        <x:f>IF(ISNUMBER('sheet4-原始数据'!F35),'sheet4-原始数据'!F35,"")</x:f>
        <x:v>44392</x:v>
      </x:c>
      <x:c r="F50" s="17" t="n">
        <x:f>IF(NOT(ISNUMBER(E50)),"",ROUND(('sheet1-指标体系'!$J$23-E50)/365.25,4))</x:f>
        <x:v>5.1718</x:v>
      </x:c>
      <x:c r="G50" s="4" t="str">
        <x:f t="shared" si="1">IF(NOT(ISNUMBER(F50)),"",IF(F50&lt;1,"不入池","入池"))</x:f>
        <x:v>入池</x:v>
      </x:c>
      <x:c r="H50" s="33" t="str">
        <x:v>0-5亿元</x:v>
      </x:c>
      <x:c r="I50" s="17" t="n">
        <x:f>IF(H50="","",IF(ISNUMBER(SEARCH("100亿元以上",H50)),100,IF(OR(ISNUMBER(SEARCH("20-50",H50)),ISNUMBER(SEARCH("50-100",H50)),ISNUMBER(SEARCH("20-100",H50))),90,IF(ISNUMBER(SEARCH("10-20",H50)),80,IF(ISNUMBER(SEARCH("5-10",H50)),70,IF(ISNUMBER(SEARCH("0-5",H50)),60,""))))))</x:f>
        <x:v>60</x:v>
      </x:c>
      <x:c r="J50" s="34" t="str">
        <x:v>低于1000万元</x:v>
      </x:c>
      <x:c r="K50" s="17" t="n">
        <x:f>IF(J50="","",IF(J50="低于1000万元",0,100))</x:f>
        <x:v>0</x:v>
      </x:c>
      <x:c r="L50" s="17" t="n">
        <x:f>IF(NOT(ISNUMBER(F50)),"",IF(F50&lt;1,"",IF(F50&lt;3,70,100)))</x:f>
        <x:v>100</x:v>
      </x:c>
      <x:c r="M50" s="35" t="n">
        <x:f>IF(ISNUMBER('sheet4-原始数据'!G35),'sheet4-原始数据'!G35,"")</x:f>
        <x:v>-0.0915</x:v>
      </x:c>
      <x:c r="N50" s="35" t="n">
        <x:f>IF(ISNUMBER('sheet4-原始数据'!H35),'sheet4-原始数据'!H35,"")</x:f>
        <x:v>-0.0412</x:v>
      </x:c>
      <x:c r="O50" s="36" t="str">
        <x:f>IF(ISNUMBER('sheet4-原始数据'!Q35),'sheet4-原始数据'!Q35,"")</x:f>
      </x:c>
      <x:c r="P50" s="37" t="n">
        <x:f>IF($G50&lt;&gt;"入池","",IF($F50&gt;=3,IF(OR(NOT(ISNUMBER($M50)),NOT(ISNUMBER($N50)),1+$M50&lt;=0,1+$N50&lt;0),"",((1+$N50)^3/(1+$M50))^(1/2)-1),IF(OR($F50&lt;=1,NOT(ISNUMBER($M50)),NOT(ISNUMBER($O50)),1+$M50&lt;=0,1+$O50&lt;0),"",((1+$O50)^$F50/(1+$M50))^(1/($F50-1))-1)))</x:f>
        <x:v>-0.015015101165349876</x:v>
      </x:c>
      <x:c r="Q50" s="17" t="n">
        <x:f>IF(OR($G50&lt;&gt;"入池",NOT(ISNUMBER(M50))),"",IF(COUNTIFS($G$17:$G$219,"入池",$M$17:$M$219,"&gt;=-1E+307",$M$17:$M$219,"&lt;=1E+307")&lt;=1,100,ROUND(100*(COUNTIFS($G$17:$G$219,"入池",$M$17:$M$219,"&gt;=-1E+307",$M$17:$M$219,"&lt;"&amp;M50)+COUNTIFS($G$17:$G$219,"入池",$M$17:$M$219,M50,$M$17:$M$219,"&gt;=-1E+307",$M$17:$M$219,"&lt;=1E+307")/2-0.5)/(COUNTIFS($G$17:$G$219,"入池",$M$17:$M$219,"&gt;=-1E+307",$M$17:$M$219,"&lt;=1E+307")-1),2)))</x:f>
        <x:v>5.45</x:v>
      </x:c>
      <x:c r="R50" s="17" t="n">
        <x:f>IF(OR($G50&lt;&gt;"入池",NOT(ISNUMBER(P50))),"",IF(COUNTIFS($G$17:$G$219,"入池",$P$17:$P$219,"&gt;=-1E+307",$P$17:$P$219,"&lt;=1E+307")&lt;=1,100,ROUND(100*(COUNTIFS($G$17:$G$219,"入池",$P$17:$P$219,"&gt;=-1E+307",$P$17:$P$219,"&lt;"&amp;P50)+COUNTIFS($G$17:$G$219,"入池",$P$17:$P$219,P50,$P$17:$P$219,"&gt;=-1E+307",$P$17:$P$219,"&lt;=1E+307")/2-0.5)/(COUNTIFS($G$17:$G$219,"入池",$P$17:$P$219,"&gt;=-1E+307",$P$17:$P$219,"&lt;=1E+307")-1),2)))</x:f>
        <x:v>2.97</x:v>
      </x:c>
      <x:c r="S50" s="17" t="n">
        <x:f>IF(NOT(ISNUMBER(Q50)),"",IF(NOT(ISNUMBER(R50)),Q50,ROUND(Q50*'sheet1-指标体系'!$J$8+R50*'sheet1-指标体系'!$J$9,2)))</x:f>
        <x:v>4.46</x:v>
      </x:c>
      <x:c r="T50" s="35" t="n">
        <x:f>IF(ISNUMBER('sheet4-原始数据'!J35),'sheet4-原始数据'!J35,"")</x:f>
        <x:v>0.46149999999999997</x:v>
      </x:c>
      <x:c r="U50" s="35" t="n">
        <x:f>IF(ISNUMBER('sheet4-原始数据'!I35),'sheet4-原始数据'!I35,"")</x:f>
        <x:v>0.4595</x:v>
      </x:c>
      <x:c r="V50" s="37" t="n">
        <x:f>IF(OR(NOT(ISNUMBER(T50)),NOT(ISNUMBER(U50))),"",(U50*'sheet1-指标体系'!$J$6-T50*'sheet1-指标体系'!$J$5)/'sheet1-指标体系'!$J$7)</x:f>
        <x:v>0.4584166666666667</x:v>
      </x:c>
      <x:c r="W50" s="17" t="n">
        <x:f>IF(NOT(ISNUMBER(T50)),"",T50*100)</x:f>
        <x:v>46.15</x:v>
      </x:c>
      <x:c r="X50" s="17" t="n">
        <x:f>IF($G50&lt;&gt;"入池","",IF(AND(ISNUMBER(V50),V50&gt;=0,V50&lt;=1),V50*100,IF(MAX(0,($F50-1)*12)&lt;6,100,"")))</x:f>
        <x:v>45.84166666666667</x:v>
      </x:c>
      <x:c r="Y50" s="17" t="n">
        <x:f>IF(NOT(ISNUMBER(W50)),"",IF(NOT(ISNUMBER(X50)),W50,ROUND(W50*'sheet1-指标体系'!$J$8+X50*'sheet1-指标体系'!$J$9,2)))</x:f>
        <x:v>46.03</x:v>
      </x:c>
      <x:c r="Z50" s="37" t="n">
        <x:f>IF(OR(NOT(ISNUMBER(M50)),NOT(ISNUMBER(AD50)),AD50=0),"",ABS(M50/AD50))</x:f>
        <x:v>0.159881181198672</x:v>
      </x:c>
      <x:c r="AA50" s="35" t="n">
        <x:f>IF(ISNUMBER('sheet4-原始数据'!K35),'sheet4-原始数据'!K35,"")</x:f>
        <x:v>0.1989</x:v>
      </x:c>
      <x:c r="AB50" s="37" t="n">
        <x:f>IF(COUNT(Z50:AA50)=0,"",MAX(Z50:AA50))</x:f>
        <x:v>0.1989</x:v>
      </x:c>
      <x:c r="AC50" s="17" t="n">
        <x:f>IF(OR($G50&lt;&gt;"入池",NOT(ISNUMBER(AB50))),"",IF(COUNTIFS($G$17:$G$219,"入池",$AB$17:$AB$219,"&gt;=-1E+307",$AB$17:$AB$219,"&lt;=1E+307")&lt;=1,100,ROUND(100*(COUNTIFS($G$17:$G$219,"入池",$AB$17:$AB$219,"&lt;=1E+307",$AB$17:$AB$219,"&gt;"&amp;AB50)+COUNTIFS($G$17:$G$219,"入池",$AB$17:$AB$219,AB50,$AB$17:$AB$219,"&gt;=-1E+307",$AB$17:$AB$219,"&lt;=1E+307")/2-0.5)/(COUNTIFS($G$17:$G$219,"入池",$AB$17:$AB$219,"&gt;=-1E+307",$AB$17:$AB$219,"&lt;=1E+307")-1),2)))</x:f>
        <x:v>9.41</x:v>
      </x:c>
      <x:c r="AD50" s="38" t="n">
        <x:f>IF(ISNUMBER('sheet4-原始数据'!M35),'sheet4-原始数据'!M35,"")</x:f>
        <x:v>-0.5723</x:v>
      </x:c>
      <x:c r="AE50" s="37" t="n">
        <x:f>IF(OR(NOT(ISNUMBER(P50)),NOT(ISNUMBER(AA50)),NOT(ISNUMBER(Z50))),"",IF(AA50&gt;Z50+'sheet1-指标体系'!$J$11,AA50,""))</x:f>
        <x:v>0.1989</x:v>
      </x:c>
      <x:c r="AF50" s="17" t="n">
        <x:f>IF(OR(NOT(ISNUMBER(P50)),NOT(ISNUMBER(AE50)),AE50=0),"",P50/AE50)</x:f>
        <x:v>-0.07549070470261375</x:v>
      </x:c>
      <x:c r="AG50" s="17" t="n">
        <x:f>IF(OR($G50&lt;&gt;"入池",NOT(ISNUMBER(AD50))),"",IF(COUNTIFS($G$17:$G$219,"入池",$AD$17:$AD$219,"&gt;=-1E+307",$AD$17:$AD$219,"&lt;=1E+307")&lt;=1,100,ROUND(100*(COUNTIFS($G$17:$G$219,"入池",$AD$17:$AD$219,"&gt;=-1E+307",$AD$17:$AD$219,"&lt;"&amp;AD50)+COUNTIFS($G$17:$G$219,"入池",$AD$17:$AD$219,AD50,$AD$17:$AD$219,"&gt;=-1E+307",$AD$17:$AD$219,"&lt;=1E+307")/2-0.5)/(COUNTIFS($G$17:$G$219,"入池",$AD$17:$AD$219,"&gt;=-1E+307",$AD$17:$AD$219,"&lt;=1E+307")-1),2)))</x:f>
        <x:v>7.71</x:v>
      </x:c>
      <x:c r="AH50" s="17" t="n">
        <x:f>IF(OR($G50&lt;&gt;"入池",NOT(ISNUMBER(AF50))),"",IF(COUNTIFS($G$17:$G$219,"入池",$AF$17:$AF$219,"&gt;=-1E+307",$AF$17:$AF$219,"&lt;=1E+307")&lt;=1,100,ROUND(100*(COUNTIFS($G$17:$G$219,"入池",$AF$17:$AF$219,"&gt;=-1E+307",$AF$17:$AF$219,"&lt;"&amp;AF50)+COUNTIFS($G$17:$G$219,"入池",$AF$17:$AF$219,AF50,$AF$17:$AF$219,"&gt;=-1E+307",$AF$17:$AF$219,"&lt;=1E+307")/2-0.5)/(COUNTIFS($G$17:$G$219,"入池",$AF$17:$AF$219,"&gt;=-1E+307",$AF$17:$AF$219,"&lt;=1E+307")-1),2)))</x:f>
        <x:v>3.65</x:v>
      </x:c>
      <x:c r="AI50" s="17" t="n">
        <x:f>IF(NOT(ISNUMBER(AG50)),"",IF(NOT(ISNUMBER(AH50)),AG50,ROUND(AG50*'sheet1-指标体系'!$J$8+AH50*'sheet1-指标体系'!$J$9,2)))</x:f>
        <x:v>6.09</x:v>
      </x:c>
      <x:c r="AJ50" s="37" t="n">
        <x:f>IF(NOT(ISNUMBER(F50)),"",IF(F50&gt;=3,IF(NOT(ISNUMBER(N50)),"",N50),IF(NOT(ISNUMBER(O50)),"",O50)))</x:f>
        <x:v>-0.0412</x:v>
      </x:c>
      <x:c r="AK50" s="17" t="n">
        <x:f>IF(OR(G50&lt;&gt;"入池",NOT(ISNUMBER(M50)),NOT(ISNUMBER(AJ50))),"",IF(M50&gt;=AJ50,100,IF(AJ50-M50&lt;'sheet1-指标体系'!$J$10,80,60)))</x:f>
        <x:v>80</x:v>
      </x:c>
      <x:c r="AL50" s="17" t="n">
        <x:f>IF(COUNT(I50,K50,L50)=0,"",ROUND((IF(ISNUMBER(I50),I50*40%,0)+IF(ISNUMBER(K50),K50*30%,0)+IF(ISNUMBER(L50),L50*30%,0))/(IF(ISNUMBER(I50),40%,0)+IF(ISNUMBER(K50),30%,0)+IF(ISNUMBER(L50),30%,0)),2))</x:f>
        <x:v>54</x:v>
      </x:c>
      <x:c r="AM50" s="17" t="n">
        <x:f>IF(COUNT(Q50,R50,W50,X50)=0,"",ROUND((IF(ISNUMBER(Q50),Q50*42%,0)+IF(ISNUMBER(R50),R50*28%,0)+IF(ISNUMBER(W50),W50*18%,0)+IF(ISNUMBER(X50),X50*12%,0))/(IF(ISNUMBER(Q50),42%,0)+IF(ISNUMBER(R50),28%,0)+IF(ISNUMBER(W50),18%,0)+IF(ISNUMBER(X50),12%,0)),2))</x:f>
        <x:v>16.93</x:v>
      </x:c>
      <x:c r="AN50" s="17" t="n">
        <x:f>IF(ISNUMBER(AC50),AC50,"")</x:f>
        <x:v>9.41</x:v>
      </x:c>
      <x:c r="AO50" s="17" t="n">
        <x:f>IF(COUNT(AG50,AH50)=0,"",ROUND((IF(ISNUMBER(AG50),AG50*60%,0)+IF(ISNUMBER(AH50),AH50*40%,0))/(IF(ISNUMBER(AG50),60%,0)+IF(ISNUMBER(AH50),40%,0)),2))</x:f>
        <x:v>6.09</x:v>
      </x:c>
      <x:c r="AP50" s="17" t="n">
        <x:f>IF(ISNUMBER(AK50),AK50,"")</x:f>
        <x:v>80</x:v>
      </x:c>
      <x:c r="AQ50" s="39" t="n">
        <x:f>IF(G50&lt;&gt;"入池",0,IF(ISNUMBER(I50),6%,0)+IF(ISNUMBER(K50),4.5%,0)+IF(ISNUMBER(L50),4.5%,0)+IF(ISNUMBER(Q50),8.4%,0)+IF(ISNUMBER(R50),5.6%,0)+IF(ISNUMBER(W50),3.6%,0)+IF(ISNUMBER(X50),2.4%,0)+IF(ISNUMBER(AC50),25%,0)+IF(ISNUMBER(AG50),18%,0)+IF(ISNUMBER(AH50),12%,0)+IF(ISNUMBER(AK50),10%,0))</x:f>
        <x:v>1</x:v>
      </x:c>
      <x:c r="AR50" s="17" t="n">
        <x:f>IF(AQ50=0,"",IF(ISNUMBER(I50),I50*6%,0)+IF(ISNUMBER(K50),K50*4.5%,0)+IF(ISNUMBER(L50),L50*4.5%,0)+IF(ISNUMBER(Q50),Q50*8.4%,0)+IF(ISNUMBER(R50),R50*5.6%,0)+IF(ISNUMBER(W50),W50*3.6%,0)+IF(ISNUMBER(X50),X50*2.4%,0)+IF(ISNUMBER(AC50),AC50*25%,0)+IF(ISNUMBER(AG50),AG50*18%,0)+IF(ISNUMBER(AH50),AH50*12%,0)+IF(ISNUMBER(AK50),AK50*10%,0))</x:f>
        <x:v>23.66402</x:v>
      </x:c>
      <x:c r="AS50" s="17" t="n">
        <x:f>IF(AQ50=0,"",ROUND(AR50/AQ50,2))</x:f>
        <x:v>23.66</x:v>
      </x:c>
      <x:c r="AT50" s="40" t="n">
        <x:f>IF(OR(G50&lt;&gt;"入池",NOT(ISNUMBER(AS50))),"",COUNTIFS($G$17:$G$219,"入池",$AS$17:$AS$219,"&gt;"&amp;AS50)+COUNTIFS($G$17:$G$219,"入池",$AS$17:$AS$219,AS50,$AQ$17:$AQ$219,"&gt;"&amp;AQ50)+COUNTIFS($G$17:G50,"入池",$AS$17:AS50,AS50,$AQ$17:AQ50,AQ50))</x:f>
        <x:v>201</x:v>
      </x:c>
      <x:c r="AU50" s="41" t="str">
        <x:f t="shared" si="2">IF(NOT(ISNUMBER(I50)),"管理人规模；","")&amp;IF(J50="","产品规模标识；","")&amp;IF(AND(F50&lt;3,NOT(ISNUMBER(O50))),"R_incep；","")&amp;IF(NOT(ISNUMBER(N50)),"近三年收益；","")&amp;IF(NOT(ISNUMBER(U50)),"近三年胜率；","")&amp;IF(AND(ISNUMBER(V50),OR(V50&lt;0,V50&gt;1)),"胜率窗口口径不一致；","")&amp;IF(NOT(ISNUMBER(AA50)),"近三年回撤；","")&amp;IF(NOT(ISNUMBER(AD50)),"短期卡玛；","")&amp;IF(AND(ISNUMBER(P50),NOT(ISNUMBER(AE50))),"DD_long不可识别；","")</x:f>
      </x:c>
      <x:c r="AV50" s="42" t="n">
        <x:v>0</x:v>
      </x:c>
      <x:c r="AW50" s="19" t="str">
        <x:v>广西银瓴资产管理有限公司</x:v>
      </x:c>
      <x:c r="AX50" s="19" t="str">
        <x:v>2026-07-09</x:v>
      </x:c>
      <x:c r="AY50" s="19" t="str">
        <x:v>https://gs.amac.org.cn/amac-infodisc/res/pof/manager/101000035485.html</x:v>
      </x:c>
      <x:c r="AZ50" s="19" t="str">
        <x:v>银瓴运通对冲套利宝城6号私募证券投资基金</x:v>
      </x:c>
      <x:c r="BA50" s="19" t="str">
        <x:v>2026-03-25</x:v>
      </x:c>
      <x:c r="BB50" s="19" t="str">
        <x:v>2026年第2季度季度更新信息</x:v>
      </x:c>
      <x:c r="BC50" s="19" t="str">
        <x:v>https://gs.amac.org.cn/amac-infodisc/res/pof/fund/2107201405108222.html</x:v>
      </x:c>
      <x:c r="BD50" s="19" t="str">
        <x:v>已匹配</x:v>
      </x:c>
      <x:c r="BE50"/>
      <x:c r="BF50"/>
    </x:row>
    <x:row r="51" ht="28" customHeight="1">
      <x:c r="A51" s="4" t="n">
        <x:v>35</x:v>
      </x:c>
      <x:c r="B51" s="15" t="str">
        <x:f>'sheet4-原始数据'!A36</x:f>
        <x:v>银瓴运通对冲套利进取2号二期</x:v>
      </x:c>
      <x:c r="C51" s="15" t="str">
        <x:f>'sheet4-原始数据'!B36</x:f>
        <x:v>SQZ278</x:v>
      </x:c>
      <x:c r="D51" s="15" t="str">
        <x:f>'sheet4-原始数据'!E36</x:f>
        <x:v>广西银瓴资产</x:v>
      </x:c>
      <x:c r="E51" s="32" t="n">
        <x:f>IF(ISNUMBER('sheet4-原始数据'!F36),'sheet4-原始数据'!F36,"")</x:f>
        <x:v>44392</x:v>
      </x:c>
      <x:c r="F51" s="17" t="n">
        <x:f>IF(NOT(ISNUMBER(E51)),"",ROUND(('sheet1-指标体系'!$J$23-E51)/365.25,4))</x:f>
        <x:v>5.1718</x:v>
      </x:c>
      <x:c r="G51" s="4" t="str">
        <x:f t="shared" si="1">IF(NOT(ISNUMBER(F51)),"",IF(F51&lt;1,"不入池","入池"))</x:f>
        <x:v>入池</x:v>
      </x:c>
      <x:c r="H51" s="33" t="str">
        <x:v>0-5亿元</x:v>
      </x:c>
      <x:c r="I51" s="17" t="n">
        <x:f>IF(H51="","",IF(ISNUMBER(SEARCH("100亿元以上",H51)),100,IF(OR(ISNUMBER(SEARCH("20-50",H51)),ISNUMBER(SEARCH("50-100",H51)),ISNUMBER(SEARCH("20-100",H51))),90,IF(ISNUMBER(SEARCH("10-20",H51)),80,IF(ISNUMBER(SEARCH("5-10",H51)),70,IF(ISNUMBER(SEARCH("0-5",H51)),60,""))))))</x:f>
        <x:v>60</x:v>
      </x:c>
      <x:c r="J51" s="34" t="str">
        <x:v>低于1000万元</x:v>
      </x:c>
      <x:c r="K51" s="17" t="n">
        <x:f>IF(J51="","",IF(J51="低于1000万元",0,100))</x:f>
        <x:v>0</x:v>
      </x:c>
      <x:c r="L51" s="17" t="n">
        <x:f>IF(NOT(ISNUMBER(F51)),"",IF(F51&lt;1,"",IF(F51&lt;3,70,100)))</x:f>
        <x:v>100</x:v>
      </x:c>
      <x:c r="M51" s="35" t="n">
        <x:f>IF(ISNUMBER('sheet4-原始数据'!G36),'sheet4-原始数据'!G36,"")</x:f>
        <x:v>0.030899999999999997</x:v>
      </x:c>
      <x:c r="N51" s="35" t="n">
        <x:f>IF(ISNUMBER('sheet4-原始数据'!H36),'sheet4-原始数据'!H36,"")</x:f>
        <x:v>0.048</x:v>
      </x:c>
      <x:c r="O51" s="36" t="str">
        <x:f>IF(ISNUMBER('sheet4-原始数据'!Q36),'sheet4-原始数据'!Q36,"")</x:f>
      </x:c>
      <x:c r="P51" s="37" t="n">
        <x:f>IF($G51&lt;&gt;"入池","",IF($F51&gt;=3,IF(OR(NOT(ISNUMBER($M51)),NOT(ISNUMBER($N51)),1+$M51&lt;=0,1+$N51&lt;0),"",((1+$N51)^3/(1+$M51))^(1/2)-1),IF(OR($F51&lt;=1,NOT(ISNUMBER($M51)),NOT(ISNUMBER($O51)),1+$M51&lt;=0,1+$O51&lt;0),"",((1+$O51)^$F51/(1+$M51))^(1/($F51-1))-1)))</x:f>
        <x:v>0.05665607476398349</x:v>
      </x:c>
      <x:c r="Q51" s="17" t="n">
        <x:f>IF(OR($G51&lt;&gt;"入池",NOT(ISNUMBER(M51))),"",IF(COUNTIFS($G$17:$G$219,"入池",$M$17:$M$219,"&gt;=-1E+307",$M$17:$M$219,"&lt;=1E+307")&lt;=1,100,ROUND(100*(COUNTIFS($G$17:$G$219,"入池",$M$17:$M$219,"&gt;=-1E+307",$M$17:$M$219,"&lt;"&amp;M51)+COUNTIFS($G$17:$G$219,"入池",$M$17:$M$219,M51,$M$17:$M$219,"&gt;=-1E+307",$M$17:$M$219,"&lt;=1E+307")/2-0.5)/(COUNTIFS($G$17:$G$219,"入池",$M$17:$M$219,"&gt;=-1E+307",$M$17:$M$219,"&lt;=1E+307")-1),2)))</x:f>
        <x:v>35.15</x:v>
      </x:c>
      <x:c r="R51" s="17" t="n">
        <x:f>IF(OR($G51&lt;&gt;"入池",NOT(ISNUMBER(P51))),"",IF(COUNTIFS($G$17:$G$219,"入池",$P$17:$P$219,"&gt;=-1E+307",$P$17:$P$219,"&lt;=1E+307")&lt;=1,100,ROUND(100*(COUNTIFS($G$17:$G$219,"入池",$P$17:$P$219,"&gt;=-1E+307",$P$17:$P$219,"&lt;"&amp;P51)+COUNTIFS($G$17:$G$219,"入池",$P$17:$P$219,P51,$P$17:$P$219,"&gt;=-1E+307",$P$17:$P$219,"&lt;=1E+307")/2-0.5)/(COUNTIFS($G$17:$G$219,"入池",$P$17:$P$219,"&gt;=-1E+307",$P$17:$P$219,"&lt;=1E+307")-1),2)))</x:f>
        <x:v>45.05</x:v>
      </x:c>
      <x:c r="S51" s="17" t="n">
        <x:f>IF(NOT(ISNUMBER(Q51)),"",IF(NOT(ISNUMBER(R51)),Q51,ROUND(Q51*'sheet1-指标体系'!$J$8+R51*'sheet1-指标体系'!$J$9,2)))</x:f>
        <x:v>39.11</x:v>
      </x:c>
      <x:c r="T51" s="35" t="n">
        <x:f>IF(ISNUMBER('sheet4-原始数据'!J36),'sheet4-原始数据'!J36,"")</x:f>
        <x:v>0.5385</x:v>
      </x:c>
      <x:c r="U51" s="35" t="n">
        <x:f>IF(ISNUMBER('sheet4-原始数据'!I36),'sheet4-原始数据'!I36,"")</x:f>
        <x:v>0.6215999999999999</x:v>
      </x:c>
      <x:c r="V51" s="37" t="n">
        <x:f>IF(OR(NOT(ISNUMBER(T51)),NOT(ISNUMBER(U51))),"",(U51*'sheet1-指标体系'!$J$6-T51*'sheet1-指标体系'!$J$5)/'sheet1-指标体系'!$J$7)</x:f>
        <x:v>0.6666124999999999</x:v>
      </x:c>
      <x:c r="W51" s="17" t="n">
        <x:f>IF(NOT(ISNUMBER(T51)),"",T51*100)</x:f>
        <x:v>53.849999999999994</x:v>
      </x:c>
      <x:c r="X51" s="17" t="n">
        <x:f>IF($G51&lt;&gt;"入池","",IF(AND(ISNUMBER(V51),V51&gt;=0,V51&lt;=1),V51*100,IF(MAX(0,($F51-1)*12)&lt;6,100,"")))</x:f>
        <x:v>66.66125</x:v>
      </x:c>
      <x:c r="Y51" s="17" t="n">
        <x:f>IF(NOT(ISNUMBER(W51)),"",IF(NOT(ISNUMBER(X51)),W51,ROUND(W51*'sheet1-指标体系'!$J$8+X51*'sheet1-指标体系'!$J$9,2)))</x:f>
        <x:v>58.97</x:v>
      </x:c>
      <x:c r="Z51" s="37" t="n">
        <x:f>IF(OR(NOT(ISNUMBER(M51)),NOT(ISNUMBER(AD51)),AD51=0),"",ABS(M51/AD51))</x:f>
        <x:v>0.059791021671826615</x:v>
      </x:c>
      <x:c r="AA51" s="35" t="n">
        <x:f>IF(ISNUMBER('sheet4-原始数据'!K36),'sheet4-原始数据'!K36,"")</x:f>
        <x:v>0.0788</x:v>
      </x:c>
      <x:c r="AB51" s="37" t="n">
        <x:f>IF(COUNT(Z51:AA51)=0,"",MAX(Z51:AA51))</x:f>
        <x:v>0.0788</x:v>
      </x:c>
      <x:c r="AC51" s="17" t="n">
        <x:f>IF(OR($G51&lt;&gt;"入池",NOT(ISNUMBER(AB51))),"",IF(COUNTIFS($G$17:$G$219,"入池",$AB$17:$AB$219,"&gt;=-1E+307",$AB$17:$AB$219,"&lt;=1E+307")&lt;=1,100,ROUND(100*(COUNTIFS($G$17:$G$219,"入池",$AB$17:$AB$219,"&lt;=1E+307",$AB$17:$AB$219,"&gt;"&amp;AB51)+COUNTIFS($G$17:$G$219,"入池",$AB$17:$AB$219,AB51,$AB$17:$AB$219,"&gt;=-1E+307",$AB$17:$AB$219,"&lt;=1E+307")/2-0.5)/(COUNTIFS($G$17:$G$219,"入池",$AB$17:$AB$219,"&gt;=-1E+307",$AB$17:$AB$219,"&lt;=1E+307")-1),2)))</x:f>
        <x:v>35.15</x:v>
      </x:c>
      <x:c r="AD51" s="38" t="n">
        <x:f>IF(ISNUMBER('sheet4-原始数据'!M36),'sheet4-原始数据'!M36,"")</x:f>
        <x:v>0.5168</x:v>
      </x:c>
      <x:c r="AE51" s="37" t="n">
        <x:f>IF(OR(NOT(ISNUMBER(P51)),NOT(ISNUMBER(AA51)),NOT(ISNUMBER(Z51))),"",IF(AA51&gt;Z51+'sheet1-指标体系'!$J$11,AA51,""))</x:f>
        <x:v>0.0788</x:v>
      </x:c>
      <x:c r="AF51" s="17" t="n">
        <x:f>IF(OR(NOT(ISNUMBER(P51)),NOT(ISNUMBER(AE51)),AE51=0),"",P51/AE51)</x:f>
        <x:v>0.7189857203551204</x:v>
      </x:c>
      <x:c r="AG51" s="17" t="n">
        <x:f>IF(OR($G51&lt;&gt;"入池",NOT(ISNUMBER(AD51))),"",IF(COUNTIFS($G$17:$G$219,"入池",$AD$17:$AD$219,"&gt;=-1E+307",$AD$17:$AD$219,"&lt;=1E+307")&lt;=1,100,ROUND(100*(COUNTIFS($G$17:$G$219,"入池",$AD$17:$AD$219,"&gt;=-1E+307",$AD$17:$AD$219,"&lt;"&amp;AD51)+COUNTIFS($G$17:$G$219,"入池",$AD$17:$AD$219,AD51,$AD$17:$AD$219,"&gt;=-1E+307",$AD$17:$AD$219,"&lt;=1E+307")/2-0.5)/(COUNTIFS($G$17:$G$219,"入池",$AD$17:$AD$219,"&gt;=-1E+307",$AD$17:$AD$219,"&lt;=1E+307")-1),2)))</x:f>
        <x:v>27.86</x:v>
      </x:c>
      <x:c r="AH51" s="17" t="n">
        <x:f>IF(OR($G51&lt;&gt;"入池",NOT(ISNUMBER(AF51))),"",IF(COUNTIFS($G$17:$G$219,"入池",$AF$17:$AF$219,"&gt;=-1E+307",$AF$17:$AF$219,"&lt;=1E+307")&lt;=1,100,ROUND(100*(COUNTIFS($G$17:$G$219,"入池",$AF$17:$AF$219,"&gt;=-1E+307",$AF$17:$AF$219,"&lt;"&amp;AF51)+COUNTIFS($G$17:$G$219,"入池",$AF$17:$AF$219,AF51,$AF$17:$AF$219,"&gt;=-1E+307",$AF$17:$AF$219,"&lt;=1E+307")/2-0.5)/(COUNTIFS($G$17:$G$219,"入池",$AF$17:$AF$219,"&gt;=-1E+307",$AF$17:$AF$219,"&lt;=1E+307")-1),2)))</x:f>
        <x:v>27.01</x:v>
      </x:c>
      <x:c r="AI51" s="17" t="n">
        <x:f>IF(NOT(ISNUMBER(AG51)),"",IF(NOT(ISNUMBER(AH51)),AG51,ROUND(AG51*'sheet1-指标体系'!$J$8+AH51*'sheet1-指标体系'!$J$9,2)))</x:f>
        <x:v>27.52</x:v>
      </x:c>
      <x:c r="AJ51" s="37" t="n">
        <x:f>IF(NOT(ISNUMBER(F51)),"",IF(F51&gt;=3,IF(NOT(ISNUMBER(N51)),"",N51),IF(NOT(ISNUMBER(O51)),"",O51)))</x:f>
        <x:v>0.048</x:v>
      </x:c>
      <x:c r="AK51" s="17" t="n">
        <x:f>IF(OR(G51&lt;&gt;"入池",NOT(ISNUMBER(M51)),NOT(ISNUMBER(AJ51))),"",IF(M51&gt;=AJ51,100,IF(AJ51-M51&lt;'sheet1-指标体系'!$J$10,80,60)))</x:f>
        <x:v>80</x:v>
      </x:c>
      <x:c r="AL51" s="17" t="n">
        <x:f>IF(COUNT(I51,K51,L51)=0,"",ROUND((IF(ISNUMBER(I51),I51*40%,0)+IF(ISNUMBER(K51),K51*30%,0)+IF(ISNUMBER(L51),L51*30%,0))/(IF(ISNUMBER(I51),40%,0)+IF(ISNUMBER(K51),30%,0)+IF(ISNUMBER(L51),30%,0)),2))</x:f>
        <x:v>54</x:v>
      </x:c>
      <x:c r="AM51" s="17" t="n">
        <x:f>IF(COUNT(Q51,R51,W51,X51)=0,"",ROUND((IF(ISNUMBER(Q51),Q51*42%,0)+IF(ISNUMBER(R51),R51*28%,0)+IF(ISNUMBER(W51),W51*18%,0)+IF(ISNUMBER(X51),X51*12%,0))/(IF(ISNUMBER(Q51),42%,0)+IF(ISNUMBER(R51),28%,0)+IF(ISNUMBER(W51),18%,0)+IF(ISNUMBER(X51),12%,0)),2))</x:f>
        <x:v>45.07</x:v>
      </x:c>
      <x:c r="AN51" s="17" t="n">
        <x:f>IF(ISNUMBER(AC51),AC51,"")</x:f>
        <x:v>35.15</x:v>
      </x:c>
      <x:c r="AO51" s="17" t="n">
        <x:f>IF(COUNT(AG51,AH51)=0,"",ROUND((IF(ISNUMBER(AG51),AG51*60%,0)+IF(ISNUMBER(AH51),AH51*40%,0))/(IF(ISNUMBER(AG51),60%,0)+IF(ISNUMBER(AH51),40%,0)),2))</x:f>
        <x:v>27.52</x:v>
      </x:c>
      <x:c r="AP51" s="17" t="n">
        <x:f>IF(ISNUMBER(AK51),AK51,"")</x:f>
        <x:v>80</x:v>
      </x:c>
      <x:c r="AQ51" s="39" t="n">
        <x:f>IF(G51&lt;&gt;"入池",0,IF(ISNUMBER(I51),6%,0)+IF(ISNUMBER(K51),4.5%,0)+IF(ISNUMBER(L51),4.5%,0)+IF(ISNUMBER(Q51),8.4%,0)+IF(ISNUMBER(R51),5.6%,0)+IF(ISNUMBER(W51),3.6%,0)+IF(ISNUMBER(X51),2.4%,0)+IF(ISNUMBER(AC51),25%,0)+IF(ISNUMBER(AG51),18%,0)+IF(ISNUMBER(AH51),12%,0)+IF(ISNUMBER(AK51),10%,0))</x:f>
        <x:v>1</x:v>
      </x:c>
      <x:c r="AR51" s="17" t="n">
        <x:f>IF(AQ51=0,"",IF(ISNUMBER(I51),I51*6%,0)+IF(ISNUMBER(K51),K51*4.5%,0)+IF(ISNUMBER(L51),L51*4.5%,0)+IF(ISNUMBER(Q51),Q51*8.4%,0)+IF(ISNUMBER(R51),R51*5.6%,0)+IF(ISNUMBER(W51),W51*3.6%,0)+IF(ISNUMBER(X51),X51*2.4%,0)+IF(ISNUMBER(AC51),AC51*25%,0)+IF(ISNUMBER(AG51),AG51*18%,0)+IF(ISNUMBER(AH51),AH51*12%,0)+IF(ISNUMBER(AK51),AK51*10%,0))</x:f>
        <x:v>42.15737</x:v>
      </x:c>
      <x:c r="AS51" s="17" t="n">
        <x:f>IF(AQ51=0,"",ROUND(AR51/AQ51,2))</x:f>
        <x:v>42.16</x:v>
      </x:c>
      <x:c r="AT51" s="40" t="n">
        <x:f>IF(OR(G51&lt;&gt;"入池",NOT(ISNUMBER(AS51))),"",COUNTIFS($G$17:$G$219,"入池",$AS$17:$AS$219,"&gt;"&amp;AS51)+COUNTIFS($G$17:$G$219,"入池",$AS$17:$AS$219,AS51,$AQ$17:$AQ$219,"&gt;"&amp;AQ51)+COUNTIFS($G$17:G51,"入池",$AS$17:AS51,AS51,$AQ$17:AQ51,AQ51))</x:f>
        <x:v>168</x:v>
      </x:c>
      <x:c r="AU51" s="41" t="str">
        <x:f t="shared" si="2">IF(NOT(ISNUMBER(I51)),"管理人规模；","")&amp;IF(J51="","产品规模标识；","")&amp;IF(AND(F51&lt;3,NOT(ISNUMBER(O51))),"R_incep；","")&amp;IF(NOT(ISNUMBER(N51)),"近三年收益；","")&amp;IF(NOT(ISNUMBER(U51)),"近三年胜率；","")&amp;IF(AND(ISNUMBER(V51),OR(V51&lt;0,V51&gt;1)),"胜率窗口口径不一致；","")&amp;IF(NOT(ISNUMBER(AA51)),"近三年回撤；","")&amp;IF(NOT(ISNUMBER(AD51)),"短期卡玛；","")&amp;IF(AND(ISNUMBER(P51),NOT(ISNUMBER(AE51))),"DD_long不可识别；","")</x:f>
      </x:c>
      <x:c r="AV51" s="42" t="n">
        <x:v>0</x:v>
      </x:c>
      <x:c r="AW51" s="19" t="str">
        <x:v>广西银瓴资产管理有限公司</x:v>
      </x:c>
      <x:c r="AX51" s="19" t="str">
        <x:v>2026-07-09</x:v>
      </x:c>
      <x:c r="AY51" s="19" t="str">
        <x:v>https://gs.amac.org.cn/amac-infodisc/res/pof/manager/101000035485.html</x:v>
      </x:c>
      <x:c r="AZ51" s="19" t="str">
        <x:v>银瓴运通对冲套利进取2号私募证券投资基金二期</x:v>
      </x:c>
      <x:c r="BA51" s="19" t="str">
        <x:v>2026-06-17</x:v>
      </x:c>
      <x:c r="BB51" s="19" t="str">
        <x:v>2026年第2季度季度更新信息</x:v>
      </x:c>
      <x:c r="BC51" s="19" t="str">
        <x:v>https://gs.amac.org.cn/amac-infodisc/res/pof/fund/2107201405108177.html</x:v>
      </x:c>
      <x:c r="BD51" s="19" t="str">
        <x:v>已匹配</x:v>
      </x:c>
      <x:c r="BE51"/>
      <x:c r="BF51"/>
    </x:row>
    <x:row r="52" ht="28" customHeight="1">
      <x:c r="A52" s="4" t="n">
        <x:v>36</x:v>
      </x:c>
      <x:c r="B52" s="15" t="str">
        <x:f>'sheet4-原始数据'!A37</x:f>
        <x:v>福邑共赢一号</x:v>
      </x:c>
      <x:c r="C52" s="15" t="str">
        <x:f>'sheet4-原始数据'!B37</x:f>
        <x:v>SSB040</x:v>
      </x:c>
      <x:c r="D52" s="15" t="str">
        <x:f>'sheet4-原始数据'!E37</x:f>
        <x:v>上海福邑</x:v>
      </x:c>
      <x:c r="E52" s="32" t="n">
        <x:f>IF(ISNUMBER('sheet4-原始数据'!F37),'sheet4-原始数据'!F37,"")</x:f>
        <x:v>44432</x:v>
      </x:c>
      <x:c r="F52" s="17" t="n">
        <x:f>IF(NOT(ISNUMBER(E52)),"",ROUND(('sheet1-指标体系'!$J$23-E52)/365.25,4))</x:f>
        <x:v>5.0623</x:v>
      </x:c>
      <x:c r="G52" s="4" t="str">
        <x:f t="shared" si="1">IF(NOT(ISNUMBER(F52)),"",IF(F52&lt;1,"不入池","入池"))</x:f>
        <x:v>入池</x:v>
      </x:c>
      <x:c r="H52" s="33" t="str">
        <x:v>0-5亿元</x:v>
      </x:c>
      <x:c r="I52" s="17" t="n">
        <x:f>IF(H52="","",IF(ISNUMBER(SEARCH("100亿元以上",H52)),100,IF(OR(ISNUMBER(SEARCH("20-50",H52)),ISNUMBER(SEARCH("50-100",H52)),ISNUMBER(SEARCH("20-100",H52))),90,IF(ISNUMBER(SEARCH("10-20",H52)),80,IF(ISNUMBER(SEARCH("5-10",H52)),70,IF(ISNUMBER(SEARCH("0-5",H52)),60,""))))))</x:f>
        <x:v>60</x:v>
      </x:c>
      <x:c r="J52" s="34" t="str">
        <x:v>无低于1000万元标识</x:v>
      </x:c>
      <x:c r="K52" s="17" t="n">
        <x:f>IF(J52="","",IF(J52="低于1000万元",0,100))</x:f>
        <x:v>100</x:v>
      </x:c>
      <x:c r="L52" s="17" t="n">
        <x:f>IF(NOT(ISNUMBER(F52)),"",IF(F52&lt;1,"",IF(F52&lt;3,70,100)))</x:f>
        <x:v>100</x:v>
      </x:c>
      <x:c r="M52" s="35" t="n">
        <x:f>IF(ISNUMBER('sheet4-原始数据'!G37),'sheet4-原始数据'!G37,"")</x:f>
        <x:v>0.218</x:v>
      </x:c>
      <x:c r="N52" s="35" t="n">
        <x:f>IF(ISNUMBER('sheet4-原始数据'!H37),'sheet4-原始数据'!H37,"")</x:f>
        <x:v>0.0909</x:v>
      </x:c>
      <x:c r="O52" s="36" t="str">
        <x:f>IF(ISNUMBER('sheet4-原始数据'!Q37),'sheet4-原始数据'!Q37,"")</x:f>
      </x:c>
      <x:c r="P52" s="37" t="n">
        <x:f>IF($G52&lt;&gt;"入池","",IF($F52&gt;=3,IF(OR(NOT(ISNUMBER($M52)),NOT(ISNUMBER($N52)),1+$M52&lt;=0,1+$N52&lt;0),"",((1+$N52)^3/(1+$M52))^(1/2)-1),IF(OR($F52&lt;=1,NOT(ISNUMBER($M52)),NOT(ISNUMBER($O52)),1+$M52&lt;=0,1+$O52&lt;0),"",((1+$O52)^$F52/(1+$M52))^(1/($F52-1))-1)))</x:f>
        <x:v>0.03241372267579523</x:v>
      </x:c>
      <x:c r="Q52" s="17" t="n">
        <x:f>IF(OR($G52&lt;&gt;"入池",NOT(ISNUMBER(M52))),"",IF(COUNTIFS($G$17:$G$219,"入池",$M$17:$M$219,"&gt;=-1E+307",$M$17:$M$219,"&lt;=1E+307")&lt;=1,100,ROUND(100*(COUNTIFS($G$17:$G$219,"入池",$M$17:$M$219,"&gt;=-1E+307",$M$17:$M$219,"&lt;"&amp;M52)+COUNTIFS($G$17:$G$219,"入池",$M$17:$M$219,M52,$M$17:$M$219,"&gt;=-1E+307",$M$17:$M$219,"&lt;=1E+307")/2-0.5)/(COUNTIFS($G$17:$G$219,"入池",$M$17:$M$219,"&gt;=-1E+307",$M$17:$M$219,"&lt;=1E+307")-1),2)))</x:f>
        <x:v>94.55</x:v>
      </x:c>
      <x:c r="R52" s="17" t="n">
        <x:f>IF(OR($G52&lt;&gt;"入池",NOT(ISNUMBER(P52))),"",IF(COUNTIFS($G$17:$G$219,"入池",$P$17:$P$219,"&gt;=-1E+307",$P$17:$P$219,"&lt;=1E+307")&lt;=1,100,ROUND(100*(COUNTIFS($G$17:$G$219,"入池",$P$17:$P$219,"&gt;=-1E+307",$P$17:$P$219,"&lt;"&amp;P52)+COUNTIFS($G$17:$G$219,"入池",$P$17:$P$219,P52,$P$17:$P$219,"&gt;=-1E+307",$P$17:$P$219,"&lt;=1E+307")/2-0.5)/(COUNTIFS($G$17:$G$219,"入池",$P$17:$P$219,"&gt;=-1E+307",$P$17:$P$219,"&lt;=1E+307")-1),2)))</x:f>
        <x:v>17.82</x:v>
      </x:c>
      <x:c r="S52" s="17" t="n">
        <x:f>IF(NOT(ISNUMBER(Q52)),"",IF(NOT(ISNUMBER(R52)),Q52,ROUND(Q52*'sheet1-指标体系'!$J$8+R52*'sheet1-指标体系'!$J$9,2)))</x:f>
        <x:v>63.86</x:v>
      </x:c>
      <x:c r="T52" s="35" t="n">
        <x:f>IF(ISNUMBER('sheet4-原始数据'!J37),'sheet4-原始数据'!J37,"")</x:f>
        <x:v>0.6154</x:v>
      </x:c>
      <x:c r="U52" s="35" t="n">
        <x:f>IF(ISNUMBER('sheet4-原始数据'!I37),'sheet4-原始数据'!I37,"")</x:f>
        <x:v>0.5405</x:v>
      </x:c>
      <x:c r="V52" s="37" t="n">
        <x:f>IF(OR(NOT(ISNUMBER(T52)),NOT(ISNUMBER(U52))),"",(U52*'sheet1-指标体系'!$J$6-T52*'sheet1-指标体系'!$J$5)/'sheet1-指标体系'!$J$7)</x:f>
        <x:v>0.4999291666666667</x:v>
      </x:c>
      <x:c r="W52" s="17" t="n">
        <x:f>IF(NOT(ISNUMBER(T52)),"",T52*100)</x:f>
        <x:v>61.53999999999999</x:v>
      </x:c>
      <x:c r="X52" s="17" t="n">
        <x:f>IF($G52&lt;&gt;"入池","",IF(AND(ISNUMBER(V52),V52&gt;=0,V52&lt;=1),V52*100,IF(MAX(0,($F52-1)*12)&lt;6,100,"")))</x:f>
        <x:v>49.99291666666667</x:v>
      </x:c>
      <x:c r="Y52" s="17" t="n">
        <x:f>IF(NOT(ISNUMBER(W52)),"",IF(NOT(ISNUMBER(X52)),W52,ROUND(W52*'sheet1-指标体系'!$J$8+X52*'sheet1-指标体系'!$J$9,2)))</x:f>
        <x:v>56.92</x:v>
      </x:c>
      <x:c r="Z52" s="37" t="n">
        <x:f>IF(OR(NOT(ISNUMBER(M52)),NOT(ISNUMBER(AD52)),AD52=0),"",ABS(M52/AD52))</x:f>
        <x:v>0.20034923260729712</x:v>
      </x:c>
      <x:c r="AA52" s="35" t="n">
        <x:f>IF(ISNUMBER('sheet4-原始数据'!K37),'sheet4-原始数据'!K37,"")</x:f>
        <x:v>0.2004</x:v>
      </x:c>
      <x:c r="AB52" s="37" t="n">
        <x:f>IF(COUNT(Z52:AA52)=0,"",MAX(Z52:AA52))</x:f>
        <x:v>0.2004</x:v>
      </x:c>
      <x:c r="AC52" s="17" t="n">
        <x:f>IF(OR($G52&lt;&gt;"入池",NOT(ISNUMBER(AB52))),"",IF(COUNTIFS($G$17:$G$219,"入池",$AB$17:$AB$219,"&gt;=-1E+307",$AB$17:$AB$219,"&lt;=1E+307")&lt;=1,100,ROUND(100*(COUNTIFS($G$17:$G$219,"入池",$AB$17:$AB$219,"&lt;=1E+307",$AB$17:$AB$219,"&gt;"&amp;AB52)+COUNTIFS($G$17:$G$219,"入池",$AB$17:$AB$219,AB52,$AB$17:$AB$219,"&gt;=-1E+307",$AB$17:$AB$219,"&lt;=1E+307")/2-0.5)/(COUNTIFS($G$17:$G$219,"入池",$AB$17:$AB$219,"&gt;=-1E+307",$AB$17:$AB$219,"&lt;=1E+307")-1),2)))</x:f>
        <x:v>8.91</x:v>
      </x:c>
      <x:c r="AD52" s="38" t="n">
        <x:f>IF(ISNUMBER('sheet4-原始数据'!M37),'sheet4-原始数据'!M37,"")</x:f>
        <x:v>1.0881</x:v>
      </x:c>
      <x:c r="AE52" s="37" t="str">
        <x:f>IF(OR(NOT(ISNUMBER(P52)),NOT(ISNUMBER(AA52)),NOT(ISNUMBER(Z52))),"",IF(AA52&gt;Z52+'sheet1-指标体系'!$J$11,AA52,""))</x:f>
      </x:c>
      <x:c r="AF52" s="17" t="str">
        <x:f>IF(OR(NOT(ISNUMBER(P52)),NOT(ISNUMBER(AE52)),AE52=0),"",P52/AE52)</x:f>
      </x:c>
      <x:c r="AG52" s="17" t="n">
        <x:f>IF(OR($G52&lt;&gt;"入池",NOT(ISNUMBER(AD52))),"",IF(COUNTIFS($G$17:$G$219,"入池",$AD$17:$AD$219,"&gt;=-1E+307",$AD$17:$AD$219,"&lt;=1E+307")&lt;=1,100,ROUND(100*(COUNTIFS($G$17:$G$219,"入池",$AD$17:$AD$219,"&gt;=-1E+307",$AD$17:$AD$219,"&lt;"&amp;AD52)+COUNTIFS($G$17:$G$219,"入池",$AD$17:$AD$219,AD52,$AD$17:$AD$219,"&gt;=-1E+307",$AD$17:$AD$219,"&lt;=1E+307")/2-0.5)/(COUNTIFS($G$17:$G$219,"入池",$AD$17:$AD$219,"&gt;=-1E+307",$AD$17:$AD$219,"&lt;=1E+307")-1),2)))</x:f>
        <x:v>35.82</x:v>
      </x:c>
      <x:c r="AH52" s="17" t="str">
        <x:f>IF(OR($G52&lt;&gt;"入池",NOT(ISNUMBER(AF52))),"",IF(COUNTIFS($G$17:$G$219,"入池",$AF$17:$AF$219,"&gt;=-1E+307",$AF$17:$AF$219,"&lt;=1E+307")&lt;=1,100,ROUND(100*(COUNTIFS($G$17:$G$219,"入池",$AF$17:$AF$219,"&gt;=-1E+307",$AF$17:$AF$219,"&lt;"&amp;AF52)+COUNTIFS($G$17:$G$219,"入池",$AF$17:$AF$219,AF52,$AF$17:$AF$219,"&gt;=-1E+307",$AF$17:$AF$219,"&lt;=1E+307")/2-0.5)/(COUNTIFS($G$17:$G$219,"入池",$AF$17:$AF$219,"&gt;=-1E+307",$AF$17:$AF$219,"&lt;=1E+307")-1),2)))</x:f>
      </x:c>
      <x:c r="AI52" s="17" t="n">
        <x:f>IF(NOT(ISNUMBER(AG52)),"",IF(NOT(ISNUMBER(AH52)),AG52,ROUND(AG52*'sheet1-指标体系'!$J$8+AH52*'sheet1-指标体系'!$J$9,2)))</x:f>
        <x:v>35.82</x:v>
      </x:c>
      <x:c r="AJ52" s="37" t="n">
        <x:f>IF(NOT(ISNUMBER(F52)),"",IF(F52&gt;=3,IF(NOT(ISNUMBER(N52)),"",N52),IF(NOT(ISNUMBER(O52)),"",O52)))</x:f>
        <x:v>0.0909</x:v>
      </x:c>
      <x:c r="AK52" s="17" t="n">
        <x:f>IF(OR(G52&lt;&gt;"入池",NOT(ISNUMBER(M52)),NOT(ISNUMBER(AJ52))),"",IF(M52&gt;=AJ52,100,IF(AJ52-M52&lt;'sheet1-指标体系'!$J$10,80,60)))</x:f>
        <x:v>100</x:v>
      </x:c>
      <x:c r="AL52" s="17" t="n">
        <x:f>IF(COUNT(I52,K52,L52)=0,"",ROUND((IF(ISNUMBER(I52),I52*40%,0)+IF(ISNUMBER(K52),K52*30%,0)+IF(ISNUMBER(L52),L52*30%,0))/(IF(ISNUMBER(I52),40%,0)+IF(ISNUMBER(K52),30%,0)+IF(ISNUMBER(L52),30%,0)),2))</x:f>
        <x:v>84</x:v>
      </x:c>
      <x:c r="AM52" s="17" t="n">
        <x:f>IF(COUNT(Q52,R52,W52,X52)=0,"",ROUND((IF(ISNUMBER(Q52),Q52*42%,0)+IF(ISNUMBER(R52),R52*28%,0)+IF(ISNUMBER(W52),W52*18%,0)+IF(ISNUMBER(X52),X52*12%,0))/(IF(ISNUMBER(Q52),42%,0)+IF(ISNUMBER(R52),28%,0)+IF(ISNUMBER(W52),18%,0)+IF(ISNUMBER(X52),12%,0)),2))</x:f>
        <x:v>61.78</x:v>
      </x:c>
      <x:c r="AN52" s="17" t="n">
        <x:f>IF(ISNUMBER(AC52),AC52,"")</x:f>
        <x:v>8.91</x:v>
      </x:c>
      <x:c r="AO52" s="17" t="n">
        <x:f>IF(COUNT(AG52,AH52)=0,"",ROUND((IF(ISNUMBER(AG52),AG52*60%,0)+IF(ISNUMBER(AH52),AH52*40%,0))/(IF(ISNUMBER(AG52),60%,0)+IF(ISNUMBER(AH52),40%,0)),2))</x:f>
        <x:v>35.82</x:v>
      </x:c>
      <x:c r="AP52" s="17" t="n">
        <x:f>IF(ISNUMBER(AK52),AK52,"")</x:f>
        <x:v>100</x:v>
      </x:c>
      <x:c r="AQ52" s="39" t="n">
        <x:f>IF(G52&lt;&gt;"入池",0,IF(ISNUMBER(I52),6%,0)+IF(ISNUMBER(K52),4.5%,0)+IF(ISNUMBER(L52),4.5%,0)+IF(ISNUMBER(Q52),8.4%,0)+IF(ISNUMBER(R52),5.6%,0)+IF(ISNUMBER(W52),3.6%,0)+IF(ISNUMBER(X52),2.4%,0)+IF(ISNUMBER(AC52),25%,0)+IF(ISNUMBER(AG52),18%,0)+IF(ISNUMBER(AH52),12%,0)+IF(ISNUMBER(AK52),10%,0))</x:f>
        <x:v>0.88</x:v>
      </x:c>
      <x:c r="AR52" s="17" t="n">
        <x:f>IF(AQ52=0,"",IF(ISNUMBER(I52),I52*6%,0)+IF(ISNUMBER(K52),K52*4.5%,0)+IF(ISNUMBER(L52),L52*4.5%,0)+IF(ISNUMBER(Q52),Q52*8.4%,0)+IF(ISNUMBER(R52),R52*5.6%,0)+IF(ISNUMBER(W52),W52*3.6%,0)+IF(ISNUMBER(X52),X52*2.4%,0)+IF(ISNUMBER(AC52),AC52*25%,0)+IF(ISNUMBER(AG52),AG52*18%,0)+IF(ISNUMBER(AH52),AH52*12%,0)+IF(ISNUMBER(AK52),AK52*10%,0))</x:f>
        <x:v>43.63049</x:v>
      </x:c>
      <x:c r="AS52" s="17" t="n">
        <x:f>IF(AQ52=0,"",ROUND(AR52/AQ52,2))</x:f>
        <x:v>49.58</x:v>
      </x:c>
      <x:c r="AT52" s="40" t="n">
        <x:f>IF(OR(G52&lt;&gt;"入池",NOT(ISNUMBER(AS52))),"",COUNTIFS($G$17:$G$219,"入池",$AS$17:$AS$219,"&gt;"&amp;AS52)+COUNTIFS($G$17:$G$219,"入池",$AS$17:$AS$219,AS52,$AQ$17:$AQ$219,"&gt;"&amp;AQ52)+COUNTIFS($G$17:G52,"入池",$AS$17:AS52,AS52,$AQ$17:AQ52,AQ52))</x:f>
        <x:v>149</x:v>
      </x:c>
      <x:c r="AU52" s="41" t="str">
        <x:f t="shared" si="2">IF(NOT(ISNUMBER(I52)),"管理人规模；","")&amp;IF(J52="","产品规模标识；","")&amp;IF(AND(F52&lt;3,NOT(ISNUMBER(O52))),"R_incep；","")&amp;IF(NOT(ISNUMBER(N52)),"近三年收益；","")&amp;IF(NOT(ISNUMBER(U52)),"近三年胜率；","")&amp;IF(AND(ISNUMBER(V52),OR(V52&lt;0,V52&gt;1)),"胜率窗口口径不一致；","")&amp;IF(NOT(ISNUMBER(AA52)),"近三年回撤；","")&amp;IF(NOT(ISNUMBER(AD52)),"短期卡玛；","")&amp;IF(AND(ISNUMBER(P52),NOT(ISNUMBER(AE52))),"DD_long不可识别；","")</x:f>
        <x:v>DD_long不可识别；</x:v>
      </x:c>
      <x:c r="AV52" s="42" t="n">
        <x:v>0</x:v>
      </x:c>
      <x:c r="AW52" s="19" t="str">
        <x:v>上海福邑私募基金管理有限公司</x:v>
      </x:c>
      <x:c r="AX52" s="19" t="str">
        <x:v>2026-02-09</x:v>
      </x:c>
      <x:c r="AY52" s="19" t="str">
        <x:v>https://gs.amac.org.cn/amac-infodisc/res/pof/manager/1710271949105945.html</x:v>
      </x:c>
      <x:c r="AZ52" s="19" t="str">
        <x:v>福邑共赢一号私募证券投资基金</x:v>
      </x:c>
      <x:c r="BA52" s="19" t="str">
        <x:v>2025-03-27</x:v>
      </x:c>
      <x:c r="BB52" s="19"/>
      <x:c r="BC52" s="19" t="str">
        <x:v>https://gs.amac.org.cn/amac-infodisc/res/pof/fund/2108261802107823.html</x:v>
      </x:c>
      <x:c r="BD52" s="19" t="str">
        <x:v>已匹配</x:v>
      </x:c>
      <x:c r="BE52"/>
      <x:c r="BF52"/>
    </x:row>
    <x:row r="53" ht="28" customHeight="1">
      <x:c r="A53" s="4" t="n">
        <x:v>37</x:v>
      </x:c>
      <x:c r="B53" s="15" t="str">
        <x:f>'sheet4-原始数据'!A38</x:f>
        <x:v>银瓴汇金6号</x:v>
      </x:c>
      <x:c r="C53" s="15" t="str">
        <x:f>'sheet4-原始数据'!B38</x:f>
        <x:v>SSN446</x:v>
      </x:c>
      <x:c r="D53" s="15" t="str">
        <x:f>'sheet4-原始数据'!E38</x:f>
        <x:v>广西银瓴资产</x:v>
      </x:c>
      <x:c r="E53" s="32" t="n">
        <x:f>IF(ISNUMBER('sheet4-原始数据'!F38),'sheet4-原始数据'!F38,"")</x:f>
        <x:v>44440</x:v>
      </x:c>
      <x:c r="F53" s="17" t="n">
        <x:f>IF(NOT(ISNUMBER(E53)),"",ROUND(('sheet1-指标体系'!$J$23-E53)/365.25,4))</x:f>
        <x:v>5.0404</x:v>
      </x:c>
      <x:c r="G53" s="4" t="str">
        <x:f t="shared" si="1">IF(NOT(ISNUMBER(F53)),"",IF(F53&lt;1,"不入池","入池"))</x:f>
        <x:v>入池</x:v>
      </x:c>
      <x:c r="H53" s="33" t="str">
        <x:v>0-5亿元</x:v>
      </x:c>
      <x:c r="I53" s="17" t="n">
        <x:f>IF(H53="","",IF(ISNUMBER(SEARCH("100亿元以上",H53)),100,IF(OR(ISNUMBER(SEARCH("20-50",H53)),ISNUMBER(SEARCH("50-100",H53)),ISNUMBER(SEARCH("20-100",H53))),90,IF(ISNUMBER(SEARCH("10-20",H53)),80,IF(ISNUMBER(SEARCH("5-10",H53)),70,IF(ISNUMBER(SEARCH("0-5",H53)),60,""))))))</x:f>
        <x:v>60</x:v>
      </x:c>
      <x:c r="J53" s="34" t="str">
        <x:v>低于1000万元</x:v>
      </x:c>
      <x:c r="K53" s="17" t="n">
        <x:f>IF(J53="","",IF(J53="低于1000万元",0,100))</x:f>
        <x:v>0</x:v>
      </x:c>
      <x:c r="L53" s="17" t="n">
        <x:f>IF(NOT(ISNUMBER(F53)),"",IF(F53&lt;1,"",IF(F53&lt;3,70,100)))</x:f>
        <x:v>100</x:v>
      </x:c>
      <x:c r="M53" s="35" t="n">
        <x:f>IF(ISNUMBER('sheet4-原始数据'!G38),'sheet4-原始数据'!G38,"")</x:f>
        <x:v>0.20440000000000003</x:v>
      </x:c>
      <x:c r="N53" s="35" t="n">
        <x:f>IF(ISNUMBER('sheet4-原始数据'!H38),'sheet4-原始数据'!H38,"")</x:f>
        <x:v>0.051100000000000007</x:v>
      </x:c>
      <x:c r="O53" s="36" t="str">
        <x:f>IF(ISNUMBER('sheet4-原始数据'!Q38),'sheet4-原始数据'!Q38,"")</x:f>
      </x:c>
      <x:c r="P53" s="37" t="n">
        <x:f>IF($G53&lt;&gt;"入池","",IF($F53&gt;=3,IF(OR(NOT(ISNUMBER($M53)),NOT(ISNUMBER($N53)),1+$M53&lt;=0,1+$N53&lt;0),"",((1+$N53)^3/(1+$M53))^(1/2)-1),IF(OR($F53&lt;=1,NOT(ISNUMBER($M53)),NOT(ISNUMBER($O53)),1+$M53&lt;=0,1+$O53&lt;0),"",((1+$O53)^$F53/(1+$M53))^(1/($F53-1))-1)))</x:f>
        <x:v>-0.0180696565972287</x:v>
      </x:c>
      <x:c r="Q53" s="17" t="n">
        <x:f>IF(OR($G53&lt;&gt;"入池",NOT(ISNUMBER(M53))),"",IF(COUNTIFS($G$17:$G$219,"入池",$M$17:$M$219,"&gt;=-1E+307",$M$17:$M$219,"&lt;=1E+307")&lt;=1,100,ROUND(100*(COUNTIFS($G$17:$G$219,"入池",$M$17:$M$219,"&gt;=-1E+307",$M$17:$M$219,"&lt;"&amp;M53)+COUNTIFS($G$17:$G$219,"入池",$M$17:$M$219,M53,$M$17:$M$219,"&gt;=-1E+307",$M$17:$M$219,"&lt;=1E+307")/2-0.5)/(COUNTIFS($G$17:$G$219,"入池",$M$17:$M$219,"&gt;=-1E+307",$M$17:$M$219,"&lt;=1E+307")-1),2)))</x:f>
        <x:v>93.56</x:v>
      </x:c>
      <x:c r="R53" s="17" t="n">
        <x:f>IF(OR($G53&lt;&gt;"入池",NOT(ISNUMBER(P53))),"",IF(COUNTIFS($G$17:$G$219,"入池",$P$17:$P$219,"&gt;=-1E+307",$P$17:$P$219,"&lt;=1E+307")&lt;=1,100,ROUND(100*(COUNTIFS($G$17:$G$219,"入池",$P$17:$P$219,"&gt;=-1E+307",$P$17:$P$219,"&lt;"&amp;P53)+COUNTIFS($G$17:$G$219,"入池",$P$17:$P$219,P53,$P$17:$P$219,"&gt;=-1E+307",$P$17:$P$219,"&lt;=1E+307")/2-0.5)/(COUNTIFS($G$17:$G$219,"入池",$P$17:$P$219,"&gt;=-1E+307",$P$17:$P$219,"&lt;=1E+307")-1),2)))</x:f>
        <x:v>2.48</x:v>
      </x:c>
      <x:c r="S53" s="17" t="n">
        <x:f>IF(NOT(ISNUMBER(Q53)),"",IF(NOT(ISNUMBER(R53)),Q53,ROUND(Q53*'sheet1-指标体系'!$J$8+R53*'sheet1-指标体系'!$J$9,2)))</x:f>
        <x:v>57.13</x:v>
      </x:c>
      <x:c r="T53" s="35" t="n">
        <x:f>IF(ISNUMBER('sheet4-原始数据'!J38),'sheet4-原始数据'!J38,"")</x:f>
        <x:v>0.3846</x:v>
      </x:c>
      <x:c r="U53" s="35" t="n">
        <x:f>IF(ISNUMBER('sheet4-原始数据'!I38),'sheet4-原始数据'!I38,"")</x:f>
        <x:v>0.3784</x:v>
      </x:c>
      <x:c r="V53" s="37" t="n">
        <x:f>IF(OR(NOT(ISNUMBER(T53)),NOT(ISNUMBER(U53))),"",(U53*'sheet1-指标体系'!$J$6-T53*'sheet1-指标体系'!$J$5)/'sheet1-指标体系'!$J$7)</x:f>
        <x:v>0.3750416666666667</x:v>
      </x:c>
      <x:c r="W53" s="17" t="n">
        <x:f>IF(NOT(ISNUMBER(T53)),"",T53*100)</x:f>
        <x:v>38.46</x:v>
      </x:c>
      <x:c r="X53" s="17" t="n">
        <x:f>IF($G53&lt;&gt;"入池","",IF(AND(ISNUMBER(V53),V53&gt;=0,V53&lt;=1),V53*100,IF(MAX(0,($F53-1)*12)&lt;6,100,"")))</x:f>
        <x:v>37.50416666666667</x:v>
      </x:c>
      <x:c r="Y53" s="17" t="n">
        <x:f>IF(NOT(ISNUMBER(W53)),"",IF(NOT(ISNUMBER(X53)),W53,ROUND(W53*'sheet1-指标体系'!$J$8+X53*'sheet1-指标体系'!$J$9,2)))</x:f>
        <x:v>38.08</x:v>
      </x:c>
      <x:c r="Z53" s="37" t="n">
        <x:f>IF(OR(NOT(ISNUMBER(M53)),NOT(ISNUMBER(AD53)),AD53=0),"",ABS(M53/AD53))</x:f>
        <x:v>0.11692026083972087</x:v>
      </x:c>
      <x:c r="AA53" s="35" t="n">
        <x:f>IF(ISNUMBER('sheet4-原始数据'!K38),'sheet4-原始数据'!K38,"")</x:f>
        <x:v>0.11689999999999999</x:v>
      </x:c>
      <x:c r="AB53" s="37" t="n">
        <x:f>IF(COUNT(Z53:AA53)=0,"",MAX(Z53:AA53))</x:f>
        <x:v>0.11692026083972087</x:v>
      </x:c>
      <x:c r="AC53" s="17" t="n">
        <x:f>IF(OR($G53&lt;&gt;"入池",NOT(ISNUMBER(AB53))),"",IF(COUNTIFS($G$17:$G$219,"入池",$AB$17:$AB$219,"&gt;=-1E+307",$AB$17:$AB$219,"&lt;=1E+307")&lt;=1,100,ROUND(100*(COUNTIFS($G$17:$G$219,"入池",$AB$17:$AB$219,"&lt;=1E+307",$AB$17:$AB$219,"&gt;"&amp;AB53)+COUNTIFS($G$17:$G$219,"入池",$AB$17:$AB$219,AB53,$AB$17:$AB$219,"&gt;=-1E+307",$AB$17:$AB$219,"&lt;=1E+307")/2-0.5)/(COUNTIFS($G$17:$G$219,"入池",$AB$17:$AB$219,"&gt;=-1E+307",$AB$17:$AB$219,"&lt;=1E+307")-1),2)))</x:f>
        <x:v>21.78</x:v>
      </x:c>
      <x:c r="AD53" s="38" t="n">
        <x:f>IF(ISNUMBER('sheet4-原始数据'!M38),'sheet4-原始数据'!M38,"")</x:f>
        <x:v>1.7482</x:v>
      </x:c>
      <x:c r="AE53" s="37" t="str">
        <x:f>IF(OR(NOT(ISNUMBER(P53)),NOT(ISNUMBER(AA53)),NOT(ISNUMBER(Z53))),"",IF(AA53&gt;Z53+'sheet1-指标体系'!$J$11,AA53,""))</x:f>
      </x:c>
      <x:c r="AF53" s="17" t="str">
        <x:f>IF(OR(NOT(ISNUMBER(P53)),NOT(ISNUMBER(AE53)),AE53=0),"",P53/AE53)</x:f>
      </x:c>
      <x:c r="AG53" s="17" t="n">
        <x:f>IF(OR($G53&lt;&gt;"入池",NOT(ISNUMBER(AD53))),"",IF(COUNTIFS($G$17:$G$219,"入池",$AD$17:$AD$219,"&gt;=-1E+307",$AD$17:$AD$219,"&lt;=1E+307")&lt;=1,100,ROUND(100*(COUNTIFS($G$17:$G$219,"入池",$AD$17:$AD$219,"&gt;=-1E+307",$AD$17:$AD$219,"&lt;"&amp;AD53)+COUNTIFS($G$17:$G$219,"入池",$AD$17:$AD$219,AD53,$AD$17:$AD$219,"&gt;=-1E+307",$AD$17:$AD$219,"&lt;=1E+307")/2-0.5)/(COUNTIFS($G$17:$G$219,"入池",$AD$17:$AD$219,"&gt;=-1E+307",$AD$17:$AD$219,"&lt;=1E+307")-1),2)))</x:f>
        <x:v>41.79</x:v>
      </x:c>
      <x:c r="AH53" s="17" t="str">
        <x:f>IF(OR($G53&lt;&gt;"入池",NOT(ISNUMBER(AF53))),"",IF(COUNTIFS($G$17:$G$219,"入池",$AF$17:$AF$219,"&gt;=-1E+307",$AF$17:$AF$219,"&lt;=1E+307")&lt;=1,100,ROUND(100*(COUNTIFS($G$17:$G$219,"入池",$AF$17:$AF$219,"&gt;=-1E+307",$AF$17:$AF$219,"&lt;"&amp;AF53)+COUNTIFS($G$17:$G$219,"入池",$AF$17:$AF$219,AF53,$AF$17:$AF$219,"&gt;=-1E+307",$AF$17:$AF$219,"&lt;=1E+307")/2-0.5)/(COUNTIFS($G$17:$G$219,"入池",$AF$17:$AF$219,"&gt;=-1E+307",$AF$17:$AF$219,"&lt;=1E+307")-1),2)))</x:f>
      </x:c>
      <x:c r="AI53" s="17" t="n">
        <x:f>IF(NOT(ISNUMBER(AG53)),"",IF(NOT(ISNUMBER(AH53)),AG53,ROUND(AG53*'sheet1-指标体系'!$J$8+AH53*'sheet1-指标体系'!$J$9,2)))</x:f>
        <x:v>41.79</x:v>
      </x:c>
      <x:c r="AJ53" s="37" t="n">
        <x:f>IF(NOT(ISNUMBER(F53)),"",IF(F53&gt;=3,IF(NOT(ISNUMBER(N53)),"",N53),IF(NOT(ISNUMBER(O53)),"",O53)))</x:f>
        <x:v>0.051100000000000007</x:v>
      </x:c>
      <x:c r="AK53" s="17" t="n">
        <x:f>IF(OR(G53&lt;&gt;"入池",NOT(ISNUMBER(M53)),NOT(ISNUMBER(AJ53))),"",IF(M53&gt;=AJ53,100,IF(AJ53-M53&lt;'sheet1-指标体系'!$J$10,80,60)))</x:f>
        <x:v>100</x:v>
      </x:c>
      <x:c r="AL53" s="17" t="n">
        <x:f>IF(COUNT(I53,K53,L53)=0,"",ROUND((IF(ISNUMBER(I53),I53*40%,0)+IF(ISNUMBER(K53),K53*30%,0)+IF(ISNUMBER(L53),L53*30%,0))/(IF(ISNUMBER(I53),40%,0)+IF(ISNUMBER(K53),30%,0)+IF(ISNUMBER(L53),30%,0)),2))</x:f>
        <x:v>54</x:v>
      </x:c>
      <x:c r="AM53" s="17" t="n">
        <x:f>IF(COUNT(Q53,R53,W53,X53)=0,"",ROUND((IF(ISNUMBER(Q53),Q53*42%,0)+IF(ISNUMBER(R53),R53*28%,0)+IF(ISNUMBER(W53),W53*18%,0)+IF(ISNUMBER(X53),X53*12%,0))/(IF(ISNUMBER(Q53),42%,0)+IF(ISNUMBER(R53),28%,0)+IF(ISNUMBER(W53),18%,0)+IF(ISNUMBER(X53),12%,0)),2))</x:f>
        <x:v>51.41</x:v>
      </x:c>
      <x:c r="AN53" s="17" t="n">
        <x:f>IF(ISNUMBER(AC53),AC53,"")</x:f>
        <x:v>21.78</x:v>
      </x:c>
      <x:c r="AO53" s="17" t="n">
        <x:f>IF(COUNT(AG53,AH53)=0,"",ROUND((IF(ISNUMBER(AG53),AG53*60%,0)+IF(ISNUMBER(AH53),AH53*40%,0))/(IF(ISNUMBER(AG53),60%,0)+IF(ISNUMBER(AH53),40%,0)),2))</x:f>
        <x:v>41.79</x:v>
      </x:c>
      <x:c r="AP53" s="17" t="n">
        <x:f>IF(ISNUMBER(AK53),AK53,"")</x:f>
        <x:v>100</x:v>
      </x:c>
      <x:c r="AQ53" s="39" t="n">
        <x:f>IF(G53&lt;&gt;"入池",0,IF(ISNUMBER(I53),6%,0)+IF(ISNUMBER(K53),4.5%,0)+IF(ISNUMBER(L53),4.5%,0)+IF(ISNUMBER(Q53),8.4%,0)+IF(ISNUMBER(R53),5.6%,0)+IF(ISNUMBER(W53),3.6%,0)+IF(ISNUMBER(X53),2.4%,0)+IF(ISNUMBER(AC53),25%,0)+IF(ISNUMBER(AG53),18%,0)+IF(ISNUMBER(AH53),12%,0)+IF(ISNUMBER(AK53),10%,0))</x:f>
        <x:v>0.88</x:v>
      </x:c>
      <x:c r="AR53" s="17" t="n">
        <x:f>IF(AQ53=0,"",IF(ISNUMBER(I53),I53*6%,0)+IF(ISNUMBER(K53),K53*4.5%,0)+IF(ISNUMBER(L53),L53*4.5%,0)+IF(ISNUMBER(Q53),Q53*8.4%,0)+IF(ISNUMBER(R53),R53*5.6%,0)+IF(ISNUMBER(W53),W53*3.6%,0)+IF(ISNUMBER(X53),X53*2.4%,0)+IF(ISNUMBER(AC53),AC53*25%,0)+IF(ISNUMBER(AG53),AG53*18%,0)+IF(ISNUMBER(AH53),AH53*12%,0)+IF(ISNUMBER(AK53),AK53*10%,0))</x:f>
        <x:v>41.349779999999996</x:v>
      </x:c>
      <x:c r="AS53" s="17" t="n">
        <x:f>IF(AQ53=0,"",ROUND(AR53/AQ53,2))</x:f>
        <x:v>46.99</x:v>
      </x:c>
      <x:c r="AT53" s="40" t="n">
        <x:f>IF(OR(G53&lt;&gt;"入池",NOT(ISNUMBER(AS53))),"",COUNTIFS($G$17:$G$219,"入池",$AS$17:$AS$219,"&gt;"&amp;AS53)+COUNTIFS($G$17:$G$219,"入池",$AS$17:$AS$219,AS53,$AQ$17:$AQ$219,"&gt;"&amp;AQ53)+COUNTIFS($G$17:G53,"入池",$AS$17:AS53,AS53,$AQ$17:AQ53,AQ53))</x:f>
        <x:v>155</x:v>
      </x:c>
      <x:c r="AU53" s="41" t="str">
        <x:f t="shared" si="2">IF(NOT(ISNUMBER(I53)),"管理人规模；","")&amp;IF(J53="","产品规模标识；","")&amp;IF(AND(F53&lt;3,NOT(ISNUMBER(O53))),"R_incep；","")&amp;IF(NOT(ISNUMBER(N53)),"近三年收益；","")&amp;IF(NOT(ISNUMBER(U53)),"近三年胜率；","")&amp;IF(AND(ISNUMBER(V53),OR(V53&lt;0,V53&gt;1)),"胜率窗口口径不一致；","")&amp;IF(NOT(ISNUMBER(AA53)),"近三年回撤；","")&amp;IF(NOT(ISNUMBER(AD53)),"短期卡玛；","")&amp;IF(AND(ISNUMBER(P53),NOT(ISNUMBER(AE53))),"DD_long不可识别；","")</x:f>
        <x:v>DD_long不可识别；</x:v>
      </x:c>
      <x:c r="AV53" s="42" t="n">
        <x:v>0</x:v>
      </x:c>
      <x:c r="AW53" s="19" t="str">
        <x:v>广西银瓴资产管理有限公司</x:v>
      </x:c>
      <x:c r="AX53" s="19" t="str">
        <x:v>2026-07-09</x:v>
      </x:c>
      <x:c r="AY53" s="19" t="str">
        <x:v>https://gs.amac.org.cn/amac-infodisc/res/pof/manager/101000035485.html</x:v>
      </x:c>
      <x:c r="AZ53" s="19" t="str">
        <x:v>银瓴汇金6号私募证券投资基金</x:v>
      </x:c>
      <x:c r="BA53" s="19" t="str">
        <x:v>2025-06-24</x:v>
      </x:c>
      <x:c r="BB53" s="19" t="str">
        <x:v>2026年第2季度季度更新信息</x:v>
      </x:c>
      <x:c r="BC53" s="19" t="str">
        <x:v>https://gs.amac.org.cn/amac-infodisc/res/pof/fund/2109061712115673.html</x:v>
      </x:c>
      <x:c r="BD53" s="19" t="str">
        <x:v>已匹配</x:v>
      </x:c>
      <x:c r="BE53"/>
      <x:c r="BF53"/>
    </x:row>
    <x:row r="54" ht="28" customHeight="1">
      <x:c r="A54" s="4" t="n">
        <x:v>38</x:v>
      </x:c>
      <x:c r="B54" s="15" t="str">
        <x:f>'sheet4-原始数据'!A39</x:f>
        <x:v>岳皋泰山核心一号</x:v>
      </x:c>
      <x:c r="C54" s="15" t="str">
        <x:f>'sheet4-原始数据'!B39</x:f>
        <x:v>SSH674</x:v>
      </x:c>
      <x:c r="D54" s="15" t="str">
        <x:f>'sheet4-原始数据'!E39</x:f>
        <x:v>上海岳皋投资</x:v>
      </x:c>
      <x:c r="E54" s="32" t="n">
        <x:f>IF(ISNUMBER('sheet4-原始数据'!F39),'sheet4-原始数据'!F39,"")</x:f>
        <x:v>44447</x:v>
      </x:c>
      <x:c r="F54" s="17" t="n">
        <x:f>IF(NOT(ISNUMBER(E54)),"",ROUND(('sheet1-指标体系'!$J$23-E54)/365.25,4))</x:f>
        <x:v>5.0212</x:v>
      </x:c>
      <x:c r="G54" s="4" t="str">
        <x:f t="shared" si="1">IF(NOT(ISNUMBER(F54)),"",IF(F54&lt;1,"不入池","入池"))</x:f>
        <x:v>入池</x:v>
      </x:c>
      <x:c r="H54" s="33" t="str">
        <x:v>0-5亿元</x:v>
      </x:c>
      <x:c r="I54" s="17" t="n">
        <x:f>IF(H54="","",IF(ISNUMBER(SEARCH("100亿元以上",H54)),100,IF(OR(ISNUMBER(SEARCH("20-50",H54)),ISNUMBER(SEARCH("50-100",H54)),ISNUMBER(SEARCH("20-100",H54))),90,IF(ISNUMBER(SEARCH("10-20",H54)),80,IF(ISNUMBER(SEARCH("5-10",H54)),70,IF(ISNUMBER(SEARCH("0-5",H54)),60,""))))))</x:f>
        <x:v>60</x:v>
      </x:c>
      <x:c r="J54" s="34" t="str">
        <x:v>无低于1000万元标识</x:v>
      </x:c>
      <x:c r="K54" s="17" t="n">
        <x:f>IF(J54="","",IF(J54="低于1000万元",0,100))</x:f>
        <x:v>100</x:v>
      </x:c>
      <x:c r="L54" s="17" t="n">
        <x:f>IF(NOT(ISNUMBER(F54)),"",IF(F54&lt;1,"",IF(F54&lt;3,70,100)))</x:f>
        <x:v>100</x:v>
      </x:c>
      <x:c r="M54" s="35" t="n">
        <x:f>IF(ISNUMBER('sheet4-原始数据'!G39),'sheet4-原始数据'!G39,"")</x:f>
        <x:v>0.0252</x:v>
      </x:c>
      <x:c r="N54" s="35" t="n">
        <x:f>IF(ISNUMBER('sheet4-原始数据'!H39),'sheet4-原始数据'!H39,"")</x:f>
        <x:v>0.029900000000000003</x:v>
      </x:c>
      <x:c r="O54" s="36" t="str">
        <x:f>IF(ISNUMBER('sheet4-原始数据'!Q39),'sheet4-原始数据'!Q39,"")</x:f>
      </x:c>
      <x:c r="P54" s="37" t="n">
        <x:f>IF($G54&lt;&gt;"入池","",IF($F54&gt;=3,IF(OR(NOT(ISNUMBER($M54)),NOT(ISNUMBER($N54)),1+$M54&lt;=0,1+$N54&lt;0),"",((1+$N54)^3/(1+$M54))^(1/2)-1),IF(OR($F54&lt;=1,NOT(ISNUMBER($M54)),NOT(ISNUMBER($O54)),1+$M54&lt;=0,1+$O54&lt;0),"",((1+$O54)^$F54/(1+$M54))^(1/($F54-1))-1)))</x:f>
        <x:v>0.0322580739674414</x:v>
      </x:c>
      <x:c r="Q54" s="17" t="n">
        <x:f>IF(OR($G54&lt;&gt;"入池",NOT(ISNUMBER(M54))),"",IF(COUNTIFS($G$17:$G$219,"入池",$M$17:$M$219,"&gt;=-1E+307",$M$17:$M$219,"&lt;=1E+307")&lt;=1,100,ROUND(100*(COUNTIFS($G$17:$G$219,"入池",$M$17:$M$219,"&gt;=-1E+307",$M$17:$M$219,"&lt;"&amp;M54)+COUNTIFS($G$17:$G$219,"入池",$M$17:$M$219,M54,$M$17:$M$219,"&gt;=-1E+307",$M$17:$M$219,"&lt;=1E+307")/2-0.5)/(COUNTIFS($G$17:$G$219,"入池",$M$17:$M$219,"&gt;=-1E+307",$M$17:$M$219,"&lt;=1E+307")-1),2)))</x:f>
        <x:v>28.71</x:v>
      </x:c>
      <x:c r="R54" s="17" t="n">
        <x:f>IF(OR($G54&lt;&gt;"入池",NOT(ISNUMBER(P54))),"",IF(COUNTIFS($G$17:$G$219,"入池",$P$17:$P$219,"&gt;=-1E+307",$P$17:$P$219,"&lt;=1E+307")&lt;=1,100,ROUND(100*(COUNTIFS($G$17:$G$219,"入池",$P$17:$P$219,"&gt;=-1E+307",$P$17:$P$219,"&lt;"&amp;P54)+COUNTIFS($G$17:$G$219,"入池",$P$17:$P$219,P54,$P$17:$P$219,"&gt;=-1E+307",$P$17:$P$219,"&lt;=1E+307")/2-0.5)/(COUNTIFS($G$17:$G$219,"入池",$P$17:$P$219,"&gt;=-1E+307",$P$17:$P$219,"&lt;=1E+307")-1),2)))</x:f>
        <x:v>17.33</x:v>
      </x:c>
      <x:c r="S54" s="17" t="n">
        <x:f>IF(NOT(ISNUMBER(Q54)),"",IF(NOT(ISNUMBER(R54)),Q54,ROUND(Q54*'sheet1-指标体系'!$J$8+R54*'sheet1-指标体系'!$J$9,2)))</x:f>
        <x:v>24.16</x:v>
      </x:c>
      <x:c r="T54" s="35" t="n">
        <x:f>IF(ISNUMBER('sheet4-原始数据'!J39),'sheet4-原始数据'!J39,"")</x:f>
        <x:v>0.6923</x:v>
      </x:c>
      <x:c r="U54" s="35" t="n">
        <x:f>IF(ISNUMBER('sheet4-原始数据'!I39),'sheet4-原始数据'!I39,"")</x:f>
        <x:v>0.7027</x:v>
      </x:c>
      <x:c r="V54" s="37" t="n">
        <x:f>IF(OR(NOT(ISNUMBER(T54)),NOT(ISNUMBER(U54))),"",(U54*'sheet1-指标体系'!$J$6-T54*'sheet1-指标体系'!$J$5)/'sheet1-指标体系'!$J$7)</x:f>
        <x:v>0.7083333333333334</x:v>
      </x:c>
      <x:c r="W54" s="17" t="n">
        <x:f>IF(NOT(ISNUMBER(T54)),"",T54*100)</x:f>
        <x:v>69.23</x:v>
      </x:c>
      <x:c r="X54" s="17" t="n">
        <x:f>IF($G54&lt;&gt;"入池","",IF(AND(ISNUMBER(V54),V54&gt;=0,V54&lt;=1),V54*100,IF(MAX(0,($F54-1)*12)&lt;6,100,"")))</x:f>
        <x:v>70.83333333333334</x:v>
      </x:c>
      <x:c r="Y54" s="17" t="n">
        <x:f>IF(NOT(ISNUMBER(W54)),"",IF(NOT(ISNUMBER(X54)),W54,ROUND(W54*'sheet1-指标体系'!$J$8+X54*'sheet1-指标体系'!$J$9,2)))</x:f>
        <x:v>69.87</x:v>
      </x:c>
      <x:c r="Z54" s="37" t="n">
        <x:f>IF(OR(NOT(ISNUMBER(M54)),NOT(ISNUMBER(AD54)),AD54=0),"",ABS(M54/AD54))</x:f>
        <x:v>0.02890239706388347</x:v>
      </x:c>
      <x:c r="AA54" s="35" t="n">
        <x:f>IF(ISNUMBER('sheet4-原始数据'!K39),'sheet4-原始数据'!K39,"")</x:f>
        <x:v>0.0464</x:v>
      </x:c>
      <x:c r="AB54" s="37" t="n">
        <x:f>IF(COUNT(Z54:AA54)=0,"",MAX(Z54:AA54))</x:f>
        <x:v>0.0464</x:v>
      </x:c>
      <x:c r="AC54" s="17" t="n">
        <x:f>IF(OR($G54&lt;&gt;"入池",NOT(ISNUMBER(AB54))),"",IF(COUNTIFS($G$17:$G$219,"入池",$AB$17:$AB$219,"&gt;=-1E+307",$AB$17:$AB$219,"&lt;=1E+307")&lt;=1,100,ROUND(100*(COUNTIFS($G$17:$G$219,"入池",$AB$17:$AB$219,"&lt;=1E+307",$AB$17:$AB$219,"&gt;"&amp;AB54)+COUNTIFS($G$17:$G$219,"入池",$AB$17:$AB$219,AB54,$AB$17:$AB$219,"&gt;=-1E+307",$AB$17:$AB$219,"&lt;=1E+307")/2-0.5)/(COUNTIFS($G$17:$G$219,"入池",$AB$17:$AB$219,"&gt;=-1E+307",$AB$17:$AB$219,"&lt;=1E+307")-1),2)))</x:f>
        <x:v>47.52</x:v>
      </x:c>
      <x:c r="AD54" s="38" t="n">
        <x:f>IF(ISNUMBER('sheet4-原始数据'!M39),'sheet4-原始数据'!M39,"")</x:f>
        <x:v>0.8719</x:v>
      </x:c>
      <x:c r="AE54" s="37" t="n">
        <x:f>IF(OR(NOT(ISNUMBER(P54)),NOT(ISNUMBER(AA54)),NOT(ISNUMBER(Z54))),"",IF(AA54&gt;Z54+'sheet1-指标体系'!$J$11,AA54,""))</x:f>
        <x:v>0.0464</x:v>
      </x:c>
      <x:c r="AF54" s="17" t="n">
        <x:f>IF(OR(NOT(ISNUMBER(P54)),NOT(ISNUMBER(AE54)),AE54=0),"",P54/AE54)</x:f>
        <x:v>0.6952171113672717</x:v>
      </x:c>
      <x:c r="AG54" s="17" t="n">
        <x:f>IF(OR($G54&lt;&gt;"入池",NOT(ISNUMBER(AD54))),"",IF(COUNTIFS($G$17:$G$219,"入池",$AD$17:$AD$219,"&gt;=-1E+307",$AD$17:$AD$219,"&lt;=1E+307")&lt;=1,100,ROUND(100*(COUNTIFS($G$17:$G$219,"入池",$AD$17:$AD$219,"&gt;=-1E+307",$AD$17:$AD$219,"&lt;"&amp;AD54)+COUNTIFS($G$17:$G$219,"入池",$AD$17:$AD$219,AD54,$AD$17:$AD$219,"&gt;=-1E+307",$AD$17:$AD$219,"&lt;=1E+307")/2-0.5)/(COUNTIFS($G$17:$G$219,"入池",$AD$17:$AD$219,"&gt;=-1E+307",$AD$17:$AD$219,"&lt;=1E+307")-1),2)))</x:f>
        <x:v>31.34</x:v>
      </x:c>
      <x:c r="AH54" s="17" t="n">
        <x:f>IF(OR($G54&lt;&gt;"入池",NOT(ISNUMBER(AF54))),"",IF(COUNTIFS($G$17:$G$219,"入池",$AF$17:$AF$219,"&gt;=-1E+307",$AF$17:$AF$219,"&lt;=1E+307")&lt;=1,100,ROUND(100*(COUNTIFS($G$17:$G$219,"入池",$AF$17:$AF$219,"&gt;=-1E+307",$AF$17:$AF$219,"&lt;"&amp;AF54)+COUNTIFS($G$17:$G$219,"入池",$AF$17:$AF$219,AF54,$AF$17:$AF$219,"&gt;=-1E+307",$AF$17:$AF$219,"&lt;=1E+307")/2-0.5)/(COUNTIFS($G$17:$G$219,"入池",$AF$17:$AF$219,"&gt;=-1E+307",$AF$17:$AF$219,"&lt;=1E+307")-1),2)))</x:f>
        <x:v>26.28</x:v>
      </x:c>
      <x:c r="AI54" s="17" t="n">
        <x:f>IF(NOT(ISNUMBER(AG54)),"",IF(NOT(ISNUMBER(AH54)),AG54,ROUND(AG54*'sheet1-指标体系'!$J$8+AH54*'sheet1-指标体系'!$J$9,2)))</x:f>
        <x:v>29.32</x:v>
      </x:c>
      <x:c r="AJ54" s="37" t="n">
        <x:f>IF(NOT(ISNUMBER(F54)),"",IF(F54&gt;=3,IF(NOT(ISNUMBER(N54)),"",N54),IF(NOT(ISNUMBER(O54)),"",O54)))</x:f>
        <x:v>0.029900000000000003</x:v>
      </x:c>
      <x:c r="AK54" s="17" t="n">
        <x:f>IF(OR(G54&lt;&gt;"入池",NOT(ISNUMBER(M54)),NOT(ISNUMBER(AJ54))),"",IF(M54&gt;=AJ54,100,IF(AJ54-M54&lt;'sheet1-指标体系'!$J$10,80,60)))</x:f>
        <x:v>80</x:v>
      </x:c>
      <x:c r="AL54" s="17" t="n">
        <x:f>IF(COUNT(I54,K54,L54)=0,"",ROUND((IF(ISNUMBER(I54),I54*40%,0)+IF(ISNUMBER(K54),K54*30%,0)+IF(ISNUMBER(L54),L54*30%,0))/(IF(ISNUMBER(I54),40%,0)+IF(ISNUMBER(K54),30%,0)+IF(ISNUMBER(L54),30%,0)),2))</x:f>
        <x:v>84</x:v>
      </x:c>
      <x:c r="AM54" s="17" t="n">
        <x:f>IF(COUNT(Q54,R54,W54,X54)=0,"",ROUND((IF(ISNUMBER(Q54),Q54*42%,0)+IF(ISNUMBER(R54),R54*28%,0)+IF(ISNUMBER(W54),W54*18%,0)+IF(ISNUMBER(X54),X54*12%,0))/(IF(ISNUMBER(Q54),42%,0)+IF(ISNUMBER(R54),28%,0)+IF(ISNUMBER(W54),18%,0)+IF(ISNUMBER(X54),12%,0)),2))</x:f>
        <x:v>37.87</x:v>
      </x:c>
      <x:c r="AN54" s="17" t="n">
        <x:f>IF(ISNUMBER(AC54),AC54,"")</x:f>
        <x:v>47.52</x:v>
      </x:c>
      <x:c r="AO54" s="17" t="n">
        <x:f>IF(COUNT(AG54,AH54)=0,"",ROUND((IF(ISNUMBER(AG54),AG54*60%,0)+IF(ISNUMBER(AH54),AH54*40%,0))/(IF(ISNUMBER(AG54),60%,0)+IF(ISNUMBER(AH54),40%,0)),2))</x:f>
        <x:v>29.32</x:v>
      </x:c>
      <x:c r="AP54" s="17" t="n">
        <x:f>IF(ISNUMBER(AK54),AK54,"")</x:f>
        <x:v>80</x:v>
      </x:c>
      <x:c r="AQ54" s="39" t="n">
        <x:f>IF(G54&lt;&gt;"入池",0,IF(ISNUMBER(I54),6%,0)+IF(ISNUMBER(K54),4.5%,0)+IF(ISNUMBER(L54),4.5%,0)+IF(ISNUMBER(Q54),8.4%,0)+IF(ISNUMBER(R54),5.6%,0)+IF(ISNUMBER(W54),3.6%,0)+IF(ISNUMBER(X54),2.4%,0)+IF(ISNUMBER(AC54),25%,0)+IF(ISNUMBER(AG54),18%,0)+IF(ISNUMBER(AH54),12%,0)+IF(ISNUMBER(AK54),10%,0))</x:f>
        <x:v>1</x:v>
      </x:c>
      <x:c r="AR54" s="17" t="n">
        <x:f>IF(AQ54=0,"",IF(ISNUMBER(I54),I54*6%,0)+IF(ISNUMBER(K54),K54*4.5%,0)+IF(ISNUMBER(L54),L54*4.5%,0)+IF(ISNUMBER(Q54),Q54*8.4%,0)+IF(ISNUMBER(R54),R54*5.6%,0)+IF(ISNUMBER(W54),W54*3.6%,0)+IF(ISNUMBER(X54),X54*2.4%,0)+IF(ISNUMBER(AC54),AC54*25%,0)+IF(ISNUMBER(AG54),AG54*18%,0)+IF(ISNUMBER(AH54),AH54*12%,0)+IF(ISNUMBER(AK54),AK54*10%,0))</x:f>
        <x:v>48.849199999999996</x:v>
      </x:c>
      <x:c r="AS54" s="17" t="n">
        <x:f>IF(AQ54=0,"",ROUND(AR54/AQ54,2))</x:f>
        <x:v>48.85</x:v>
      </x:c>
      <x:c r="AT54" s="40" t="n">
        <x:f>IF(OR(G54&lt;&gt;"入池",NOT(ISNUMBER(AS54))),"",COUNTIFS($G$17:$G$219,"入池",$AS$17:$AS$219,"&gt;"&amp;AS54)+COUNTIFS($G$17:$G$219,"入池",$AS$17:$AS$219,AS54,$AQ$17:$AQ$219,"&gt;"&amp;AQ54)+COUNTIFS($G$17:G54,"入池",$AS$17:AS54,AS54,$AQ$17:AQ54,AQ54))</x:f>
        <x:v>150</x:v>
      </x:c>
      <x:c r="AU54" s="41" t="str">
        <x:f t="shared" si="2">IF(NOT(ISNUMBER(I54)),"管理人规模；","")&amp;IF(J54="","产品规模标识；","")&amp;IF(AND(F54&lt;3,NOT(ISNUMBER(O54))),"R_incep；","")&amp;IF(NOT(ISNUMBER(N54)),"近三年收益；","")&amp;IF(NOT(ISNUMBER(U54)),"近三年胜率；","")&amp;IF(AND(ISNUMBER(V54),OR(V54&lt;0,V54&gt;1)),"胜率窗口口径不一致；","")&amp;IF(NOT(ISNUMBER(AA54)),"近三年回撤；","")&amp;IF(NOT(ISNUMBER(AD54)),"短期卡玛；","")&amp;IF(AND(ISNUMBER(P54),NOT(ISNUMBER(AE54))),"DD_long不可识别；","")</x:f>
      </x:c>
      <x:c r="AV54" s="42" t="n">
        <x:v>0</x:v>
      </x:c>
      <x:c r="AW54" s="19" t="str">
        <x:v>上海岳皋投资管理有限公司</x:v>
      </x:c>
      <x:c r="AX54" s="19" t="str">
        <x:v>2026-01-15</x:v>
      </x:c>
      <x:c r="AY54" s="19" t="str">
        <x:v>https://gs.amac.org.cn/amac-infodisc/res/pof/manager/1812180906104012.html</x:v>
      </x:c>
      <x:c r="AZ54" s="19" t="str">
        <x:v>岳皋泰山核心一号私募证券投资基金</x:v>
      </x:c>
      <x:c r="BA54" s="19" t="str">
        <x:v>2025-03-13</x:v>
      </x:c>
      <x:c r="BB54" s="19"/>
      <x:c r="BC54" s="19" t="str">
        <x:v>https://gs.amac.org.cn/amac-infodisc/res/pof/fund/2109101536101557.html</x:v>
      </x:c>
      <x:c r="BD54" s="19" t="str">
        <x:v>已匹配</x:v>
      </x:c>
      <x:c r="BE54"/>
      <x:c r="BF54"/>
    </x:row>
    <x:row r="55" ht="28" customHeight="1">
      <x:c r="A55" s="4" t="n">
        <x:v>39</x:v>
      </x:c>
      <x:c r="B55" s="15" t="str">
        <x:f>'sheet4-原始数据'!A40</x:f>
        <x:v>龙帆恒盛稳固8号</x:v>
      </x:c>
      <x:c r="C55" s="15" t="str">
        <x:f>'sheet4-原始数据'!B40</x:f>
        <x:v>SSU654</x:v>
      </x:c>
      <x:c r="D55" s="15" t="str">
        <x:f>'sheet4-原始数据'!E40</x:f>
        <x:v>厦门龙帆资管</x:v>
      </x:c>
      <x:c r="E55" s="32" t="n">
        <x:f>IF(ISNUMBER('sheet4-原始数据'!F40),'sheet4-原始数据'!F40,"")</x:f>
        <x:v>44462</x:v>
      </x:c>
      <x:c r="F55" s="17" t="n">
        <x:f>IF(NOT(ISNUMBER(E55)),"",ROUND(('sheet1-指标体系'!$J$23-E55)/365.25,4))</x:f>
        <x:v>4.9802</x:v>
      </x:c>
      <x:c r="G55" s="4" t="str">
        <x:f t="shared" si="1">IF(NOT(ISNUMBER(F55)),"",IF(F55&lt;1,"不入池","入池"))</x:f>
        <x:v>入池</x:v>
      </x:c>
      <x:c r="H55" s="33" t="str">
        <x:v>5-10亿元</x:v>
      </x:c>
      <x:c r="I55" s="17" t="n">
        <x:f>IF(H55="","",IF(ISNUMBER(SEARCH("100亿元以上",H55)),100,IF(OR(ISNUMBER(SEARCH("20-50",H55)),ISNUMBER(SEARCH("50-100",H55)),ISNUMBER(SEARCH("20-100",H55))),90,IF(ISNUMBER(SEARCH("10-20",H55)),80,IF(ISNUMBER(SEARCH("5-10",H55)),70,IF(ISNUMBER(SEARCH("0-5",H55)),60,""))))))</x:f>
        <x:v>70</x:v>
      </x:c>
      <x:c r="J55" s="34" t="str">
        <x:v>无低于1000万元标识</x:v>
      </x:c>
      <x:c r="K55" s="17" t="n">
        <x:f>IF(J55="","",IF(J55="低于1000万元",0,100))</x:f>
        <x:v>100</x:v>
      </x:c>
      <x:c r="L55" s="17" t="n">
        <x:f>IF(NOT(ISNUMBER(F55)),"",IF(F55&lt;1,"",IF(F55&lt;3,70,100)))</x:f>
        <x:v>100</x:v>
      </x:c>
      <x:c r="M55" s="35" t="n">
        <x:f>IF(ISNUMBER('sheet4-原始数据'!G40),'sheet4-原始数据'!G40,"")</x:f>
        <x:v>0.091</x:v>
      </x:c>
      <x:c r="N55" s="35" t="n">
        <x:f>IF(ISNUMBER('sheet4-原始数据'!H40),'sheet4-原始数据'!H40,"")</x:f>
        <x:v>0.0528</x:v>
      </x:c>
      <x:c r="O55" s="36" t="str">
        <x:f>IF(ISNUMBER('sheet4-原始数据'!Q40),'sheet4-原始数据'!Q40,"")</x:f>
      </x:c>
      <x:c r="P55" s="37" t="n">
        <x:f>IF($G55&lt;&gt;"入池","",IF($F55&gt;=3,IF(OR(NOT(ISNUMBER($M55)),NOT(ISNUMBER($N55)),1+$M55&lt;=0,1+$N55&lt;0),"",((1+$N55)^3/(1+$M55))^(1/2)-1),IF(OR($F55&lt;=1,NOT(ISNUMBER($M55)),NOT(ISNUMBER($O55)),1+$M55&lt;=0,1+$O55&lt;0),"",((1+$O55)^$F55/(1+$M55))^(1/($F55-1))-1)))</x:f>
        <x:v>0.034204538056723965</x:v>
      </x:c>
      <x:c r="Q55" s="17" t="n">
        <x:f>IF(OR($G55&lt;&gt;"入池",NOT(ISNUMBER(M55))),"",IF(COUNTIFS($G$17:$G$219,"入池",$M$17:$M$219,"&gt;=-1E+307",$M$17:$M$219,"&lt;=1E+307")&lt;=1,100,ROUND(100*(COUNTIFS($G$17:$G$219,"入池",$M$17:$M$219,"&gt;=-1E+307",$M$17:$M$219,"&lt;"&amp;M55)+COUNTIFS($G$17:$G$219,"入池",$M$17:$M$219,M55,$M$17:$M$219,"&gt;=-1E+307",$M$17:$M$219,"&lt;=1E+307")/2-0.5)/(COUNTIFS($G$17:$G$219,"入池",$M$17:$M$219,"&gt;=-1E+307",$M$17:$M$219,"&lt;=1E+307")-1),2)))</x:f>
        <x:v>76.73</x:v>
      </x:c>
      <x:c r="R55" s="17" t="n">
        <x:f>IF(OR($G55&lt;&gt;"入池",NOT(ISNUMBER(P55))),"",IF(COUNTIFS($G$17:$G$219,"入池",$P$17:$P$219,"&gt;=-1E+307",$P$17:$P$219,"&lt;=1E+307")&lt;=1,100,ROUND(100*(COUNTIFS($G$17:$G$219,"入池",$P$17:$P$219,"&gt;=-1E+307",$P$17:$P$219,"&lt;"&amp;P55)+COUNTIFS($G$17:$G$219,"入池",$P$17:$P$219,P55,$P$17:$P$219,"&gt;=-1E+307",$P$17:$P$219,"&lt;=1E+307")/2-0.5)/(COUNTIFS($G$17:$G$219,"入池",$P$17:$P$219,"&gt;=-1E+307",$P$17:$P$219,"&lt;=1E+307")-1),2)))</x:f>
        <x:v>19.8</x:v>
      </x:c>
      <x:c r="S55" s="17" t="n">
        <x:f>IF(NOT(ISNUMBER(Q55)),"",IF(NOT(ISNUMBER(R55)),Q55,ROUND(Q55*'sheet1-指标体系'!$J$8+R55*'sheet1-指标体系'!$J$9,2)))</x:f>
        <x:v>53.96</x:v>
      </x:c>
      <x:c r="T55" s="35" t="n">
        <x:f>IF(ISNUMBER('sheet4-原始数据'!J40),'sheet4-原始数据'!J40,"")</x:f>
        <x:v>0.8462000000000001</x:v>
      </x:c>
      <x:c r="U55" s="35" t="n">
        <x:f>IF(ISNUMBER('sheet4-原始数据'!I40),'sheet4-原始数据'!I40,"")</x:f>
        <x:v>0.7297</x:v>
      </x:c>
      <x:c r="V55" s="37" t="n">
        <x:f>IF(OR(NOT(ISNUMBER(T55)),NOT(ISNUMBER(U55))),"",(U55*'sheet1-指标体系'!$J$6-T55*'sheet1-指标体系'!$J$5)/'sheet1-指标体系'!$J$7)</x:f>
        <x:v>0.6665958333333333</x:v>
      </x:c>
      <x:c r="W55" s="17" t="n">
        <x:f>IF(NOT(ISNUMBER(T55)),"",T55*100)</x:f>
        <x:v>84.62</x:v>
      </x:c>
      <x:c r="X55" s="17" t="n">
        <x:f>IF($G55&lt;&gt;"入池","",IF(AND(ISNUMBER(V55),V55&gt;=0,V55&lt;=1),V55*100,IF(MAX(0,($F55-1)*12)&lt;6,100,"")))</x:f>
        <x:v>66.65958333333333</x:v>
      </x:c>
      <x:c r="Y55" s="17" t="n">
        <x:f>IF(NOT(ISNUMBER(W55)),"",IF(NOT(ISNUMBER(X55)),W55,ROUND(W55*'sheet1-指标体系'!$J$8+X55*'sheet1-指标体系'!$J$9,2)))</x:f>
        <x:v>77.44</x:v>
      </x:c>
      <x:c r="Z55" s="37" t="n">
        <x:f>IF(OR(NOT(ISNUMBER(M55)),NOT(ISNUMBER(AD55)),AD55=0),"",ABS(M55/AD55))</x:f>
        <x:v>0.014303678088651368</x:v>
      </x:c>
      <x:c r="AA55" s="35" t="n">
        <x:f>IF(ISNUMBER('sheet4-原始数据'!K40),'sheet4-原始数据'!K40,"")</x:f>
        <x:v>0.054299999999999994</x:v>
      </x:c>
      <x:c r="AB55" s="37" t="n">
        <x:f>IF(COUNT(Z55:AA55)=0,"",MAX(Z55:AA55))</x:f>
        <x:v>0.054299999999999994</x:v>
      </x:c>
      <x:c r="AC55" s="17" t="n">
        <x:f>IF(OR($G55&lt;&gt;"入池",NOT(ISNUMBER(AB55))),"",IF(COUNTIFS($G$17:$G$219,"入池",$AB$17:$AB$219,"&gt;=-1E+307",$AB$17:$AB$219,"&lt;=1E+307")&lt;=1,100,ROUND(100*(COUNTIFS($G$17:$G$219,"入池",$AB$17:$AB$219,"&lt;=1E+307",$AB$17:$AB$219,"&gt;"&amp;AB55)+COUNTIFS($G$17:$G$219,"入池",$AB$17:$AB$219,AB55,$AB$17:$AB$219,"&gt;=-1E+307",$AB$17:$AB$219,"&lt;=1E+307")/2-0.5)/(COUNTIFS($G$17:$G$219,"入池",$AB$17:$AB$219,"&gt;=-1E+307",$AB$17:$AB$219,"&lt;=1E+307")-1),2)))</x:f>
        <x:v>42.82</x:v>
      </x:c>
      <x:c r="AD55" s="38" t="n">
        <x:f>IF(ISNUMBER('sheet4-原始数据'!M40),'sheet4-原始数据'!M40,"")</x:f>
        <x:v>6.362</x:v>
      </x:c>
      <x:c r="AE55" s="37" t="n">
        <x:f>IF(OR(NOT(ISNUMBER(P55)),NOT(ISNUMBER(AA55)),NOT(ISNUMBER(Z55))),"",IF(AA55&gt;Z55+'sheet1-指标体系'!$J$11,AA55,""))</x:f>
        <x:v>0.054299999999999994</x:v>
      </x:c>
      <x:c r="AF55" s="17" t="n">
        <x:f>IF(OR(NOT(ISNUMBER(P55)),NOT(ISNUMBER(AE55)),AE55=0),"",P55/AE55)</x:f>
        <x:v>0.6299178279323014</x:v>
      </x:c>
      <x:c r="AG55" s="17" t="n">
        <x:f>IF(OR($G55&lt;&gt;"入池",NOT(ISNUMBER(AD55))),"",IF(COUNTIFS($G$17:$G$219,"入池",$AD$17:$AD$219,"&gt;=-1E+307",$AD$17:$AD$219,"&lt;=1E+307")&lt;=1,100,ROUND(100*(COUNTIFS($G$17:$G$219,"入池",$AD$17:$AD$219,"&gt;=-1E+307",$AD$17:$AD$219,"&lt;"&amp;AD55)+COUNTIFS($G$17:$G$219,"入池",$AD$17:$AD$219,AD55,$AD$17:$AD$219,"&gt;=-1E+307",$AD$17:$AD$219,"&lt;=1E+307")/2-0.5)/(COUNTIFS($G$17:$G$219,"入池",$AD$17:$AD$219,"&gt;=-1E+307",$AD$17:$AD$219,"&lt;=1E+307")-1),2)))</x:f>
        <x:v>70.15</x:v>
      </x:c>
      <x:c r="AH55" s="17" t="n">
        <x:f>IF(OR($G55&lt;&gt;"入池",NOT(ISNUMBER(AF55))),"",IF(COUNTIFS($G$17:$G$219,"入池",$AF$17:$AF$219,"&gt;=-1E+307",$AF$17:$AF$219,"&lt;=1E+307")&lt;=1,100,ROUND(100*(COUNTIFS($G$17:$G$219,"入池",$AF$17:$AF$219,"&gt;=-1E+307",$AF$17:$AF$219,"&lt;"&amp;AF55)+COUNTIFS($G$17:$G$219,"入池",$AF$17:$AF$219,AF55,$AF$17:$AF$219,"&gt;=-1E+307",$AF$17:$AF$219,"&lt;=1E+307")/2-0.5)/(COUNTIFS($G$17:$G$219,"入池",$AF$17:$AF$219,"&gt;=-1E+307",$AF$17:$AF$219,"&lt;=1E+307")-1),2)))</x:f>
        <x:v>21.9</x:v>
      </x:c>
      <x:c r="AI55" s="17" t="n">
        <x:f>IF(NOT(ISNUMBER(AG55)),"",IF(NOT(ISNUMBER(AH55)),AG55,ROUND(AG55*'sheet1-指标体系'!$J$8+AH55*'sheet1-指标体系'!$J$9,2)))</x:f>
        <x:v>50.85</x:v>
      </x:c>
      <x:c r="AJ55" s="37" t="n">
        <x:f>IF(NOT(ISNUMBER(F55)),"",IF(F55&gt;=3,IF(NOT(ISNUMBER(N55)),"",N55),IF(NOT(ISNUMBER(O55)),"",O55)))</x:f>
        <x:v>0.0528</x:v>
      </x:c>
      <x:c r="AK55" s="17" t="n">
        <x:f>IF(OR(G55&lt;&gt;"入池",NOT(ISNUMBER(M55)),NOT(ISNUMBER(AJ55))),"",IF(M55&gt;=AJ55,100,IF(AJ55-M55&lt;'sheet1-指标体系'!$J$10,80,60)))</x:f>
        <x:v>100</x:v>
      </x:c>
      <x:c r="AL55" s="17" t="n">
        <x:f>IF(COUNT(I55,K55,L55)=0,"",ROUND((IF(ISNUMBER(I55),I55*40%,0)+IF(ISNUMBER(K55),K55*30%,0)+IF(ISNUMBER(L55),L55*30%,0))/(IF(ISNUMBER(I55),40%,0)+IF(ISNUMBER(K55),30%,0)+IF(ISNUMBER(L55),30%,0)),2))</x:f>
        <x:v>88</x:v>
      </x:c>
      <x:c r="AM55" s="17" t="n">
        <x:f>IF(COUNT(Q55,R55,W55,X55)=0,"",ROUND((IF(ISNUMBER(Q55),Q55*42%,0)+IF(ISNUMBER(R55),R55*28%,0)+IF(ISNUMBER(W55),W55*18%,0)+IF(ISNUMBER(X55),X55*12%,0))/(IF(ISNUMBER(Q55),42%,0)+IF(ISNUMBER(R55),28%,0)+IF(ISNUMBER(W55),18%,0)+IF(ISNUMBER(X55),12%,0)),2))</x:f>
        <x:v>61</x:v>
      </x:c>
      <x:c r="AN55" s="17" t="n">
        <x:f>IF(ISNUMBER(AC55),AC55,"")</x:f>
        <x:v>42.82</x:v>
      </x:c>
      <x:c r="AO55" s="17" t="n">
        <x:f>IF(COUNT(AG55,AH55)=0,"",ROUND((IF(ISNUMBER(AG55),AG55*60%,0)+IF(ISNUMBER(AH55),AH55*40%,0))/(IF(ISNUMBER(AG55),60%,0)+IF(ISNUMBER(AH55),40%,0)),2))</x:f>
        <x:v>50.85</x:v>
      </x:c>
      <x:c r="AP55" s="17" t="n">
        <x:f>IF(ISNUMBER(AK55),AK55,"")</x:f>
        <x:v>100</x:v>
      </x:c>
      <x:c r="AQ55" s="39" t="n">
        <x:f>IF(G55&lt;&gt;"入池",0,IF(ISNUMBER(I55),6%,0)+IF(ISNUMBER(K55),4.5%,0)+IF(ISNUMBER(L55),4.5%,0)+IF(ISNUMBER(Q55),8.4%,0)+IF(ISNUMBER(R55),5.6%,0)+IF(ISNUMBER(W55),3.6%,0)+IF(ISNUMBER(X55),2.4%,0)+IF(ISNUMBER(AC55),25%,0)+IF(ISNUMBER(AG55),18%,0)+IF(ISNUMBER(AH55),12%,0)+IF(ISNUMBER(AK55),10%,0))</x:f>
        <x:v>1</x:v>
      </x:c>
      <x:c r="AR55" s="17" t="n">
        <x:f>IF(AQ55=0,"",IF(ISNUMBER(I55),I55*6%,0)+IF(ISNUMBER(K55),K55*4.5%,0)+IF(ISNUMBER(L55),L55*4.5%,0)+IF(ISNUMBER(Q55),Q55*8.4%,0)+IF(ISNUMBER(R55),R55*5.6%,0)+IF(ISNUMBER(W55),W55*3.6%,0)+IF(ISNUMBER(X55),X55*2.4%,0)+IF(ISNUMBER(AC55),AC55*25%,0)+IF(ISNUMBER(AG55),AG55*18%,0)+IF(ISNUMBER(AH55),AH55*12%,0)+IF(ISNUMBER(AK55),AK55*10%,0))</x:f>
        <x:v>61.36027</x:v>
      </x:c>
      <x:c r="AS55" s="17" t="n">
        <x:f>IF(AQ55=0,"",ROUND(AR55/AQ55,2))</x:f>
        <x:v>61.36</x:v>
      </x:c>
      <x:c r="AT55" s="40" t="n">
        <x:f>IF(OR(G55&lt;&gt;"入池",NOT(ISNUMBER(AS55))),"",COUNTIFS($G$17:$G$219,"入池",$AS$17:$AS$219,"&gt;"&amp;AS55)+COUNTIFS($G$17:$G$219,"入池",$AS$17:$AS$219,AS55,$AQ$17:$AQ$219,"&gt;"&amp;AQ55)+COUNTIFS($G$17:G55,"入池",$AS$17:AS55,AS55,$AQ$17:AQ55,AQ55))</x:f>
        <x:v>100</x:v>
      </x:c>
      <x:c r="AU55" s="41" t="str">
        <x:f t="shared" si="2">IF(NOT(ISNUMBER(I55)),"管理人规模；","")&amp;IF(J55="","产品规模标识；","")&amp;IF(AND(F55&lt;3,NOT(ISNUMBER(O55))),"R_incep；","")&amp;IF(NOT(ISNUMBER(N55)),"近三年收益；","")&amp;IF(NOT(ISNUMBER(U55)),"近三年胜率；","")&amp;IF(AND(ISNUMBER(V55),OR(V55&lt;0,V55&gt;1)),"胜率窗口口径不一致；","")&amp;IF(NOT(ISNUMBER(AA55)),"近三年回撤；","")&amp;IF(NOT(ISNUMBER(AD55)),"短期卡玛；","")&amp;IF(AND(ISNUMBER(P55),NOT(ISNUMBER(AE55))),"DD_long不可识别；","")</x:f>
      </x:c>
      <x:c r="AV55" s="42" t="n">
        <x:v>5</x:v>
      </x:c>
      <x:c r="AW55" s="19" t="str">
        <x:v>厦门龙帆资产管理有限公司</x:v>
      </x:c>
      <x:c r="AX55" s="19" t="str">
        <x:v>2026-09-07</x:v>
      </x:c>
      <x:c r="AY55" s="19" t="str">
        <x:v>https://gs.amac.org.cn/amac-infodisc/res/pof/manager/1611020850101525.html</x:v>
      </x:c>
      <x:c r="AZ55" s="19" t="str">
        <x:v>龙帆恒盛稳固8号私募证券投资基金</x:v>
      </x:c>
      <x:c r="BA55" s="19" t="str">
        <x:v>2026-07-27</x:v>
      </x:c>
      <x:c r="BB55" s="19"/>
      <x:c r="BC55" s="19" t="str">
        <x:v>https://gs.amac.org.cn/amac-infodisc/res/pof/fund/2109231448100717.html</x:v>
      </x:c>
      <x:c r="BD55" s="19" t="str">
        <x:v>已匹配</x:v>
      </x:c>
      <x:c r="BE55"/>
      <x:c r="BF55"/>
    </x:row>
    <x:row r="56" ht="28" customHeight="1">
      <x:c r="A56" s="4" t="n">
        <x:v>40</x:v>
      </x:c>
      <x:c r="B56" s="15" t="str">
        <x:f>'sheet4-原始数据'!A41</x:f>
        <x:v>龙帆恒盛稳固9号</x:v>
      </x:c>
      <x:c r="C56" s="15" t="str">
        <x:f>'sheet4-原始数据'!B41</x:f>
        <x:v>SSX605</x:v>
      </x:c>
      <x:c r="D56" s="15" t="str">
        <x:f>'sheet4-原始数据'!E41</x:f>
        <x:v>厦门龙帆资管</x:v>
      </x:c>
      <x:c r="E56" s="32" t="n">
        <x:f>IF(ISNUMBER('sheet4-原始数据'!F41),'sheet4-原始数据'!F41,"")</x:f>
        <x:v>44489</x:v>
      </x:c>
      <x:c r="F56" s="17" t="n">
        <x:f>IF(NOT(ISNUMBER(E56)),"",ROUND(('sheet1-指标体系'!$J$23-E56)/365.25,4))</x:f>
        <x:v>4.9062</x:v>
      </x:c>
      <x:c r="G56" s="4" t="str">
        <x:f t="shared" si="1">IF(NOT(ISNUMBER(F56)),"",IF(F56&lt;1,"不入池","入池"))</x:f>
        <x:v>入池</x:v>
      </x:c>
      <x:c r="H56" s="33" t="str">
        <x:v>5-10亿元</x:v>
      </x:c>
      <x:c r="I56" s="17" t="n">
        <x:f>IF(H56="","",IF(ISNUMBER(SEARCH("100亿元以上",H56)),100,IF(OR(ISNUMBER(SEARCH("20-50",H56)),ISNUMBER(SEARCH("50-100",H56)),ISNUMBER(SEARCH("20-100",H56))),90,IF(ISNUMBER(SEARCH("10-20",H56)),80,IF(ISNUMBER(SEARCH("5-10",H56)),70,IF(ISNUMBER(SEARCH("0-5",H56)),60,""))))))</x:f>
        <x:v>70</x:v>
      </x:c>
      <x:c r="J56" s="34" t="str">
        <x:v>无低于1000万元标识</x:v>
      </x:c>
      <x:c r="K56" s="17" t="n">
        <x:f>IF(J56="","",IF(J56="低于1000万元",0,100))</x:f>
        <x:v>100</x:v>
      </x:c>
      <x:c r="L56" s="17" t="n">
        <x:f>IF(NOT(ISNUMBER(F56)),"",IF(F56&lt;1,"",IF(F56&lt;3,70,100)))</x:f>
        <x:v>100</x:v>
      </x:c>
      <x:c r="M56" s="35" t="n">
        <x:f>IF(ISNUMBER('sheet4-原始数据'!G41),'sheet4-原始数据'!G41,"")</x:f>
        <x:v>0.0868</x:v>
      </x:c>
      <x:c r="N56" s="35" t="n">
        <x:f>IF(ISNUMBER('sheet4-原始数据'!H41),'sheet4-原始数据'!H41,"")</x:f>
        <x:v>0.0501</x:v>
      </x:c>
      <x:c r="O56" s="36" t="str">
        <x:f>IF(ISNUMBER('sheet4-原始数据'!Q41),'sheet4-原始数据'!Q41,"")</x:f>
      </x:c>
      <x:c r="P56" s="37" t="n">
        <x:f>IF($G56&lt;&gt;"入池","",IF($F56&gt;=3,IF(OR(NOT(ISNUMBER($M56)),NOT(ISNUMBER($N56)),1+$M56&lt;=0,1+$N56&lt;0),"",((1+$N56)^3/(1+$M56))^(1/2)-1),IF(OR($F56&lt;=1,NOT(ISNUMBER($M56)),NOT(ISNUMBER($O56)),1+$M56&lt;=0,1+$O56&lt;0),"",((1+$O56)^$F56/(1+$M56))^(1/($F56-1))-1)))</x:f>
        <x:v>0.032217393312327536</x:v>
      </x:c>
      <x:c r="Q56" s="17" t="n">
        <x:f>IF(OR($G56&lt;&gt;"入池",NOT(ISNUMBER(M56))),"",IF(COUNTIFS($G$17:$G$219,"入池",$M$17:$M$219,"&gt;=-1E+307",$M$17:$M$219,"&lt;=1E+307")&lt;=1,100,ROUND(100*(COUNTIFS($G$17:$G$219,"入池",$M$17:$M$219,"&gt;=-1E+307",$M$17:$M$219,"&lt;"&amp;M56)+COUNTIFS($G$17:$G$219,"入池",$M$17:$M$219,M56,$M$17:$M$219,"&gt;=-1E+307",$M$17:$M$219,"&lt;=1E+307")/2-0.5)/(COUNTIFS($G$17:$G$219,"入池",$M$17:$M$219,"&gt;=-1E+307",$M$17:$M$219,"&lt;=1E+307")-1),2)))</x:f>
        <x:v>74.26</x:v>
      </x:c>
      <x:c r="R56" s="17" t="n">
        <x:f>IF(OR($G56&lt;&gt;"入池",NOT(ISNUMBER(P56))),"",IF(COUNTIFS($G$17:$G$219,"入池",$P$17:$P$219,"&gt;=-1E+307",$P$17:$P$219,"&lt;=1E+307")&lt;=1,100,ROUND(100*(COUNTIFS($G$17:$G$219,"入池",$P$17:$P$219,"&gt;=-1E+307",$P$17:$P$219,"&lt;"&amp;P56)+COUNTIFS($G$17:$G$219,"入池",$P$17:$P$219,P56,$P$17:$P$219,"&gt;=-1E+307",$P$17:$P$219,"&lt;=1E+307")/2-0.5)/(COUNTIFS($G$17:$G$219,"入池",$P$17:$P$219,"&gt;=-1E+307",$P$17:$P$219,"&lt;=1E+307")-1),2)))</x:f>
        <x:v>16.83</x:v>
      </x:c>
      <x:c r="S56" s="17" t="n">
        <x:f>IF(NOT(ISNUMBER(Q56)),"",IF(NOT(ISNUMBER(R56)),Q56,ROUND(Q56*'sheet1-指标体系'!$J$8+R56*'sheet1-指标体系'!$J$9,2)))</x:f>
        <x:v>51.29</x:v>
      </x:c>
      <x:c r="T56" s="35" t="n">
        <x:f>IF(ISNUMBER('sheet4-原始数据'!J41),'sheet4-原始数据'!J41,"")</x:f>
        <x:v>0.7692</x:v>
      </x:c>
      <x:c r="U56" s="35" t="n">
        <x:f>IF(ISNUMBER('sheet4-原始数据'!I41),'sheet4-原始数据'!I41,"")</x:f>
        <x:v>0.7297</x:v>
      </x:c>
      <x:c r="V56" s="37" t="n">
        <x:f>IF(OR(NOT(ISNUMBER(T56)),NOT(ISNUMBER(U56))),"",(U56*'sheet1-指标体系'!$J$6-T56*'sheet1-指标体系'!$J$5)/'sheet1-指标体系'!$J$7)</x:f>
        <x:v>0.7083041666666666</x:v>
      </x:c>
      <x:c r="W56" s="17" t="n">
        <x:f>IF(NOT(ISNUMBER(T56)),"",T56*100)</x:f>
        <x:v>76.92</x:v>
      </x:c>
      <x:c r="X56" s="17" t="n">
        <x:f>IF($G56&lt;&gt;"入池","",IF(AND(ISNUMBER(V56),V56&gt;=0,V56&lt;=1),V56*100,IF(MAX(0,($F56-1)*12)&lt;6,100,"")))</x:f>
        <x:v>70.83041666666666</x:v>
      </x:c>
      <x:c r="Y56" s="17" t="n">
        <x:f>IF(NOT(ISNUMBER(W56)),"",IF(NOT(ISNUMBER(X56)),W56,ROUND(W56*'sheet1-指标体系'!$J$8+X56*'sheet1-指标体系'!$J$9,2)))</x:f>
        <x:v>74.48</x:v>
      </x:c>
      <x:c r="Z56" s="37" t="n">
        <x:f>IF(OR(NOT(ISNUMBER(M56)),NOT(ISNUMBER(AD56)),AD56=0),"",ABS(M56/AD56))</x:f>
        <x:v>0.0042048966699931205</x:v>
      </x:c>
      <x:c r="AA56" s="35" t="n">
        <x:f>IF(ISNUMBER('sheet4-原始数据'!K41),'sheet4-原始数据'!K41,"")</x:f>
        <x:v>0.013000000000000001</x:v>
      </x:c>
      <x:c r="AB56" s="37" t="n">
        <x:f>IF(COUNT(Z56:AA56)=0,"",MAX(Z56:AA56))</x:f>
        <x:v>0.013000000000000001</x:v>
      </x:c>
      <x:c r="AC56" s="17" t="n">
        <x:f>IF(OR($G56&lt;&gt;"入池",NOT(ISNUMBER(AB56))),"",IF(COUNTIFS($G$17:$G$219,"入池",$AB$17:$AB$219,"&gt;=-1E+307",$AB$17:$AB$219,"&lt;=1E+307")&lt;=1,100,ROUND(100*(COUNTIFS($G$17:$G$219,"入池",$AB$17:$AB$219,"&lt;=1E+307",$AB$17:$AB$219,"&gt;"&amp;AB56)+COUNTIFS($G$17:$G$219,"入池",$AB$17:$AB$219,AB56,$AB$17:$AB$219,"&gt;=-1E+307",$AB$17:$AB$219,"&lt;=1E+307")/2-0.5)/(COUNTIFS($G$17:$G$219,"入池",$AB$17:$AB$219,"&gt;=-1E+307",$AB$17:$AB$219,"&lt;=1E+307")-1),2)))</x:f>
        <x:v>82.18</x:v>
      </x:c>
      <x:c r="AD56" s="38" t="n">
        <x:f>IF(ISNUMBER('sheet4-原始数据'!M41),'sheet4-原始数据'!M41,"")</x:f>
        <x:v>20.6426</x:v>
      </x:c>
      <x:c r="AE56" s="37" t="n">
        <x:f>IF(OR(NOT(ISNUMBER(P56)),NOT(ISNUMBER(AA56)),NOT(ISNUMBER(Z56))),"",IF(AA56&gt;Z56+'sheet1-指标体系'!$J$11,AA56,""))</x:f>
        <x:v>0.013000000000000001</x:v>
      </x:c>
      <x:c r="AF56" s="17" t="n">
        <x:f>IF(OR(NOT(ISNUMBER(P56)),NOT(ISNUMBER(AE56)),AE56=0),"",P56/AE56)</x:f>
        <x:v>2.478261024025195</x:v>
      </x:c>
      <x:c r="AG56" s="17" t="n">
        <x:f>IF(OR($G56&lt;&gt;"入池",NOT(ISNUMBER(AD56))),"",IF(COUNTIFS($G$17:$G$219,"入池",$AD$17:$AD$219,"&gt;=-1E+307",$AD$17:$AD$219,"&lt;=1E+307")&lt;=1,100,ROUND(100*(COUNTIFS($G$17:$G$219,"入池",$AD$17:$AD$219,"&gt;=-1E+307",$AD$17:$AD$219,"&lt;"&amp;AD56)+COUNTIFS($G$17:$G$219,"入池",$AD$17:$AD$219,AD56,$AD$17:$AD$219,"&gt;=-1E+307",$AD$17:$AD$219,"&lt;=1E+307")/2-0.5)/(COUNTIFS($G$17:$G$219,"入池",$AD$17:$AD$219,"&gt;=-1E+307",$AD$17:$AD$219,"&lt;=1E+307")-1),2)))</x:f>
        <x:v>89.05</x:v>
      </x:c>
      <x:c r="AH56" s="17" t="n">
        <x:f>IF(OR($G56&lt;&gt;"入池",NOT(ISNUMBER(AF56))),"",IF(COUNTIFS($G$17:$G$219,"入池",$AF$17:$AF$219,"&gt;=-1E+307",$AF$17:$AF$219,"&lt;=1E+307")&lt;=1,100,ROUND(100*(COUNTIFS($G$17:$G$219,"入池",$AF$17:$AF$219,"&gt;=-1E+307",$AF$17:$AF$219,"&lt;"&amp;AF56)+COUNTIFS($G$17:$G$219,"入池",$AF$17:$AF$219,AF56,$AF$17:$AF$219,"&gt;=-1E+307",$AF$17:$AF$219,"&lt;=1E+307")/2-0.5)/(COUNTIFS($G$17:$G$219,"入池",$AF$17:$AF$219,"&gt;=-1E+307",$AF$17:$AF$219,"&lt;=1E+307")-1),2)))</x:f>
        <x:v>70.07</x:v>
      </x:c>
      <x:c r="AI56" s="17" t="n">
        <x:f>IF(NOT(ISNUMBER(AG56)),"",IF(NOT(ISNUMBER(AH56)),AG56,ROUND(AG56*'sheet1-指标体系'!$J$8+AH56*'sheet1-指标体系'!$J$9,2)))</x:f>
        <x:v>81.46</x:v>
      </x:c>
      <x:c r="AJ56" s="37" t="n">
        <x:f>IF(NOT(ISNUMBER(F56)),"",IF(F56&gt;=3,IF(NOT(ISNUMBER(N56)),"",N56),IF(NOT(ISNUMBER(O56)),"",O56)))</x:f>
        <x:v>0.0501</x:v>
      </x:c>
      <x:c r="AK56" s="17" t="n">
        <x:f>IF(OR(G56&lt;&gt;"入池",NOT(ISNUMBER(M56)),NOT(ISNUMBER(AJ56))),"",IF(M56&gt;=AJ56,100,IF(AJ56-M56&lt;'sheet1-指标体系'!$J$10,80,60)))</x:f>
        <x:v>100</x:v>
      </x:c>
      <x:c r="AL56" s="17" t="n">
        <x:f>IF(COUNT(I56,K56,L56)=0,"",ROUND((IF(ISNUMBER(I56),I56*40%,0)+IF(ISNUMBER(K56),K56*30%,0)+IF(ISNUMBER(L56),L56*30%,0))/(IF(ISNUMBER(I56),40%,0)+IF(ISNUMBER(K56),30%,0)+IF(ISNUMBER(L56),30%,0)),2))</x:f>
        <x:v>88</x:v>
      </x:c>
      <x:c r="AM56" s="17" t="n">
        <x:f>IF(COUNT(Q56,R56,W56,X56)=0,"",ROUND((IF(ISNUMBER(Q56),Q56*42%,0)+IF(ISNUMBER(R56),R56*28%,0)+IF(ISNUMBER(W56),W56*18%,0)+IF(ISNUMBER(X56),X56*12%,0))/(IF(ISNUMBER(Q56),42%,0)+IF(ISNUMBER(R56),28%,0)+IF(ISNUMBER(W56),18%,0)+IF(ISNUMBER(X56),12%,0)),2))</x:f>
        <x:v>58.25</x:v>
      </x:c>
      <x:c r="AN56" s="17" t="n">
        <x:f>IF(ISNUMBER(AC56),AC56,"")</x:f>
        <x:v>82.18</x:v>
      </x:c>
      <x:c r="AO56" s="17" t="n">
        <x:f>IF(COUNT(AG56,AH56)=0,"",ROUND((IF(ISNUMBER(AG56),AG56*60%,0)+IF(ISNUMBER(AH56),AH56*40%,0))/(IF(ISNUMBER(AG56),60%,0)+IF(ISNUMBER(AH56),40%,0)),2))</x:f>
        <x:v>81.46</x:v>
      </x:c>
      <x:c r="AP56" s="17" t="n">
        <x:f>IF(ISNUMBER(AK56),AK56,"")</x:f>
        <x:v>100</x:v>
      </x:c>
      <x:c r="AQ56" s="39" t="n">
        <x:f>IF(G56&lt;&gt;"入池",0,IF(ISNUMBER(I56),6%,0)+IF(ISNUMBER(K56),4.5%,0)+IF(ISNUMBER(L56),4.5%,0)+IF(ISNUMBER(Q56),8.4%,0)+IF(ISNUMBER(R56),5.6%,0)+IF(ISNUMBER(W56),3.6%,0)+IF(ISNUMBER(X56),2.4%,0)+IF(ISNUMBER(AC56),25%,0)+IF(ISNUMBER(AG56),18%,0)+IF(ISNUMBER(AH56),12%,0)+IF(ISNUMBER(AK56),10%,0))</x:f>
        <x:v>1</x:v>
      </x:c>
      <x:c r="AR56" s="17" t="n">
        <x:f>IF(AQ56=0,"",IF(ISNUMBER(I56),I56*6%,0)+IF(ISNUMBER(K56),K56*4.5%,0)+IF(ISNUMBER(L56),L56*4.5%,0)+IF(ISNUMBER(Q56),Q56*8.4%,0)+IF(ISNUMBER(R56),R56*5.6%,0)+IF(ISNUMBER(W56),W56*3.6%,0)+IF(ISNUMBER(X56),X56*2.4%,0)+IF(ISNUMBER(AC56),AC56*25%,0)+IF(ISNUMBER(AG56),AG56*18%,0)+IF(ISNUMBER(AH56),AH56*12%,0)+IF(ISNUMBER(AK56),AK56*10%,0))</x:f>
        <x:v>79.83177</x:v>
      </x:c>
      <x:c r="AS56" s="17" t="n">
        <x:f>IF(AQ56=0,"",ROUND(AR56/AQ56,2))</x:f>
        <x:v>79.83</x:v>
      </x:c>
      <x:c r="AT56" s="40" t="n">
        <x:f>IF(OR(G56&lt;&gt;"入池",NOT(ISNUMBER(AS56))),"",COUNTIFS($G$17:$G$219,"入池",$AS$17:$AS$219,"&gt;"&amp;AS56)+COUNTIFS($G$17:$G$219,"入池",$AS$17:$AS$219,AS56,$AQ$17:$AQ$219,"&gt;"&amp;AQ56)+COUNTIFS($G$17:G56,"入池",$AS$17:AS56,AS56,$AQ$17:AQ56,AQ56))</x:f>
        <x:v>33</x:v>
      </x:c>
      <x:c r="AU56" s="41" t="str">
        <x:f t="shared" si="2">IF(NOT(ISNUMBER(I56)),"管理人规模；","")&amp;IF(J56="","产品规模标识；","")&amp;IF(AND(F56&lt;3,NOT(ISNUMBER(O56))),"R_incep；","")&amp;IF(NOT(ISNUMBER(N56)),"近三年收益；","")&amp;IF(NOT(ISNUMBER(U56)),"近三年胜率；","")&amp;IF(AND(ISNUMBER(V56),OR(V56&lt;0,V56&gt;1)),"胜率窗口口径不一致；","")&amp;IF(NOT(ISNUMBER(AA56)),"近三年回撤；","")&amp;IF(NOT(ISNUMBER(AD56)),"短期卡玛；","")&amp;IF(AND(ISNUMBER(P56),NOT(ISNUMBER(AE56))),"DD_long不可识别；","")</x:f>
      </x:c>
      <x:c r="AV56" s="42" t="n">
        <x:v>5</x:v>
      </x:c>
      <x:c r="AW56" s="19" t="str">
        <x:v>厦门龙帆资产管理有限公司</x:v>
      </x:c>
      <x:c r="AX56" s="19" t="str">
        <x:v>2026-09-07</x:v>
      </x:c>
      <x:c r="AY56" s="19" t="str">
        <x:v>https://gs.amac.org.cn/amac-infodisc/res/pof/manager/1611020850101525.html</x:v>
      </x:c>
      <x:c r="AZ56" s="19" t="str">
        <x:v>龙帆恒盛稳固9号私募证券投资基金</x:v>
      </x:c>
      <x:c r="BA56" s="19" t="str">
        <x:v>2026-07-27</x:v>
      </x:c>
      <x:c r="BB56" s="19"/>
      <x:c r="BC56" s="19" t="str">
        <x:v>https://gs.amac.org.cn/amac-infodisc/res/pof/fund/2110191748104317.html</x:v>
      </x:c>
      <x:c r="BD56" s="19" t="str">
        <x:v>已匹配</x:v>
      </x:c>
      <x:c r="BE56"/>
      <x:c r="BF56"/>
    </x:row>
    <x:row r="57" ht="28" customHeight="1">
      <x:c r="A57" s="4" t="n">
        <x:v>41</x:v>
      </x:c>
      <x:c r="B57" s="15" t="str">
        <x:f>'sheet4-原始数据'!A42</x:f>
        <x:v>中安鼎盛善行可转债1号</x:v>
      </x:c>
      <x:c r="C57" s="15" t="str">
        <x:f>'sheet4-原始数据'!B42</x:f>
        <x:v>STH005</x:v>
      </x:c>
      <x:c r="D57" s="15" t="str">
        <x:f>'sheet4-原始数据'!E42</x:f>
        <x:v>深圳中安鼎盛</x:v>
      </x:c>
      <x:c r="E57" s="32" t="n">
        <x:f>IF(ISNUMBER('sheet4-原始数据'!F42),'sheet4-原始数据'!F42,"")</x:f>
        <x:v>44526</x:v>
      </x:c>
      <x:c r="F57" s="17" t="n">
        <x:f>IF(NOT(ISNUMBER(E57)),"",ROUND(('sheet1-指标体系'!$J$23-E57)/365.25,4))</x:f>
        <x:v>4.8049</x:v>
      </x:c>
      <x:c r="G57" s="4" t="str">
        <x:f t="shared" si="1">IF(NOT(ISNUMBER(F57)),"",IF(F57&lt;1,"不入池","入池"))</x:f>
        <x:v>入池</x:v>
      </x:c>
      <x:c r="H57" s="33" t="str">
        <x:v>0-5亿元</x:v>
      </x:c>
      <x:c r="I57" s="17" t="n">
        <x:f>IF(H57="","",IF(ISNUMBER(SEARCH("100亿元以上",H57)),100,IF(OR(ISNUMBER(SEARCH("20-50",H57)),ISNUMBER(SEARCH("50-100",H57)),ISNUMBER(SEARCH("20-100",H57))),90,IF(ISNUMBER(SEARCH("10-20",H57)),80,IF(ISNUMBER(SEARCH("5-10",H57)),70,IF(ISNUMBER(SEARCH("0-5",H57)),60,""))))))</x:f>
        <x:v>60</x:v>
      </x:c>
      <x:c r="J57" s="34" t="str">
        <x:v>无低于1000万元标识</x:v>
      </x:c>
      <x:c r="K57" s="17" t="n">
        <x:f>IF(J57="","",IF(J57="低于1000万元",0,100))</x:f>
        <x:v>100</x:v>
      </x:c>
      <x:c r="L57" s="17" t="n">
        <x:f>IF(NOT(ISNUMBER(F57)),"",IF(F57&lt;1,"",IF(F57&lt;3,70,100)))</x:f>
        <x:v>100</x:v>
      </x:c>
      <x:c r="M57" s="35" t="n">
        <x:f>IF(ISNUMBER('sheet4-原始数据'!G42),'sheet4-原始数据'!G42,"")</x:f>
        <x:v>-0.0645</x:v>
      </x:c>
      <x:c r="N57" s="35" t="n">
        <x:f>IF(ISNUMBER('sheet4-原始数据'!H42),'sheet4-原始数据'!H42,"")</x:f>
        <x:v>0.0203</x:v>
      </x:c>
      <x:c r="O57" s="36" t="str">
        <x:f>IF(ISNUMBER('sheet4-原始数据'!Q42),'sheet4-原始数据'!Q42,"")</x:f>
      </x:c>
      <x:c r="P57" s="37" t="n">
        <x:f>IF($G57&lt;&gt;"入池","",IF($F57&gt;=3,IF(OR(NOT(ISNUMBER($M57)),NOT(ISNUMBER($N57)),1+$M57&lt;=0,1+$N57&lt;0),"",((1+$N57)^3/(1+$M57))^(1/2)-1),IF(OR($F57&lt;=1,NOT(ISNUMBER($M57)),NOT(ISNUMBER($O57)),1+$M57&lt;=0,1+$O57&lt;0),"",((1+$O57)^$F57/(1+$M57))^(1/($F57-1))-1)))</x:f>
        <x:v>0.06554043289729883</x:v>
      </x:c>
      <x:c r="Q57" s="17" t="n">
        <x:f>IF(OR($G57&lt;&gt;"入池",NOT(ISNUMBER(M57))),"",IF(COUNTIFS($G$17:$G$219,"入池",$M$17:$M$219,"&gt;=-1E+307",$M$17:$M$219,"&lt;=1E+307")&lt;=1,100,ROUND(100*(COUNTIFS($G$17:$G$219,"入池",$M$17:$M$219,"&gt;=-1E+307",$M$17:$M$219,"&lt;"&amp;M57)+COUNTIFS($G$17:$G$219,"入池",$M$17:$M$219,M57,$M$17:$M$219,"&gt;=-1E+307",$M$17:$M$219,"&lt;=1E+307")/2-0.5)/(COUNTIFS($G$17:$G$219,"入池",$M$17:$M$219,"&gt;=-1E+307",$M$17:$M$219,"&lt;=1E+307")-1),2)))</x:f>
        <x:v>7.43</x:v>
      </x:c>
      <x:c r="R57" s="17" t="n">
        <x:f>IF(OR($G57&lt;&gt;"入池",NOT(ISNUMBER(P57))),"",IF(COUNTIFS($G$17:$G$219,"入池",$P$17:$P$219,"&gt;=-1E+307",$P$17:$P$219,"&lt;=1E+307")&lt;=1,100,ROUND(100*(COUNTIFS($G$17:$G$219,"入池",$P$17:$P$219,"&gt;=-1E+307",$P$17:$P$219,"&lt;"&amp;P57)+COUNTIFS($G$17:$G$219,"入池",$P$17:$P$219,P57,$P$17:$P$219,"&gt;=-1E+307",$P$17:$P$219,"&lt;=1E+307")/2-0.5)/(COUNTIFS($G$17:$G$219,"入池",$P$17:$P$219,"&gt;=-1E+307",$P$17:$P$219,"&lt;=1E+307")-1),2)))</x:f>
        <x:v>52.48</x:v>
      </x:c>
      <x:c r="S57" s="17" t="n">
        <x:f>IF(NOT(ISNUMBER(Q57)),"",IF(NOT(ISNUMBER(R57)),Q57,ROUND(Q57*'sheet1-指标体系'!$J$8+R57*'sheet1-指标体系'!$J$9,2)))</x:f>
        <x:v>25.45</x:v>
      </x:c>
      <x:c r="T57" s="35" t="n">
        <x:f>IF(ISNUMBER('sheet4-原始数据'!J42),'sheet4-原始数据'!J42,"")</x:f>
        <x:v>0.3077</x:v>
      </x:c>
      <x:c r="U57" s="35" t="n">
        <x:f>IF(ISNUMBER('sheet4-原始数据'!I42),'sheet4-原始数据'!I42,"")</x:f>
        <x:v>0.4865</x:v>
      </x:c>
      <x:c r="V57" s="37" t="n">
        <x:f>IF(OR(NOT(ISNUMBER(T57)),NOT(ISNUMBER(U57))),"",(U57*'sheet1-指标体系'!$J$6-T57*'sheet1-指标体系'!$J$5)/'sheet1-指标体系'!$J$7)</x:f>
        <x:v>0.5833499999999999</x:v>
      </x:c>
      <x:c r="W57" s="17" t="n">
        <x:f>IF(NOT(ISNUMBER(T57)),"",T57*100)</x:f>
        <x:v>30.769999999999996</x:v>
      </x:c>
      <x:c r="X57" s="17" t="n">
        <x:f>IF($G57&lt;&gt;"入池","",IF(AND(ISNUMBER(V57),V57&gt;=0,V57&lt;=1),V57*100,IF(MAX(0,($F57-1)*12)&lt;6,100,"")))</x:f>
        <x:v>58.334999999999994</x:v>
      </x:c>
      <x:c r="Y57" s="17" t="n">
        <x:f>IF(NOT(ISNUMBER(W57)),"",IF(NOT(ISNUMBER(X57)),W57,ROUND(W57*'sheet1-指标体系'!$J$8+X57*'sheet1-指标体系'!$J$9,2)))</x:f>
        <x:v>41.8</x:v>
      </x:c>
      <x:c r="Z57" s="37" t="n">
        <x:f>IF(OR(NOT(ISNUMBER(M57)),NOT(ISNUMBER(AD57)),AD57=0),"",ABS(M57/AD57))</x:f>
        <x:v>0.08020392937080328</x:v>
      </x:c>
      <x:c r="AA57" s="35" t="n">
        <x:f>IF(ISNUMBER('sheet4-原始数据'!K42),'sheet4-原始数据'!K42,"")</x:f>
        <x:v>0.1042</x:v>
      </x:c>
      <x:c r="AB57" s="37" t="n">
        <x:f>IF(COUNT(Z57:AA57)=0,"",MAX(Z57:AA57))</x:f>
        <x:v>0.1042</x:v>
      </x:c>
      <x:c r="AC57" s="17" t="n">
        <x:f>IF(OR($G57&lt;&gt;"入池",NOT(ISNUMBER(AB57))),"",IF(COUNTIFS($G$17:$G$219,"入池",$AB$17:$AB$219,"&gt;=-1E+307",$AB$17:$AB$219,"&lt;=1E+307")&lt;=1,100,ROUND(100*(COUNTIFS($G$17:$G$219,"入池",$AB$17:$AB$219,"&lt;=1E+307",$AB$17:$AB$219,"&gt;"&amp;AB57)+COUNTIFS($G$17:$G$219,"入池",$AB$17:$AB$219,AB57,$AB$17:$AB$219,"&gt;=-1E+307",$AB$17:$AB$219,"&lt;=1E+307")/2-0.5)/(COUNTIFS($G$17:$G$219,"入池",$AB$17:$AB$219,"&gt;=-1E+307",$AB$17:$AB$219,"&lt;=1E+307")-1),2)))</x:f>
        <x:v>25.25</x:v>
      </x:c>
      <x:c r="AD57" s="38" t="n">
        <x:f>IF(ISNUMBER('sheet4-原始数据'!M42),'sheet4-原始数据'!M42,"")</x:f>
        <x:v>-0.8042</x:v>
      </x:c>
      <x:c r="AE57" s="37" t="n">
        <x:f>IF(OR(NOT(ISNUMBER(P57)),NOT(ISNUMBER(AA57)),NOT(ISNUMBER(Z57))),"",IF(AA57&gt;Z57+'sheet1-指标体系'!$J$11,AA57,""))</x:f>
        <x:v>0.1042</x:v>
      </x:c>
      <x:c r="AF57" s="17" t="n">
        <x:f>IF(OR(NOT(ISNUMBER(P57)),NOT(ISNUMBER(AE57)),AE57=0),"",P57/AE57)</x:f>
        <x:v>0.6289868800124647</x:v>
      </x:c>
      <x:c r="AG57" s="17" t="n">
        <x:f>IF(OR($G57&lt;&gt;"入池",NOT(ISNUMBER(AD57))),"",IF(COUNTIFS($G$17:$G$219,"入池",$AD$17:$AD$219,"&gt;=-1E+307",$AD$17:$AD$219,"&lt;=1E+307")&lt;=1,100,ROUND(100*(COUNTIFS($G$17:$G$219,"入池",$AD$17:$AD$219,"&gt;=-1E+307",$AD$17:$AD$219,"&lt;"&amp;AD57)+COUNTIFS($G$17:$G$219,"入池",$AD$17:$AD$219,AD57,$AD$17:$AD$219,"&gt;=-1E+307",$AD$17:$AD$219,"&lt;=1E+307")/2-0.5)/(COUNTIFS($G$17:$G$219,"入池",$AD$17:$AD$219,"&gt;=-1E+307",$AD$17:$AD$219,"&lt;=1E+307")-1),2)))</x:f>
        <x:v>3.48</x:v>
      </x:c>
      <x:c r="AH57" s="17" t="n">
        <x:f>IF(OR($G57&lt;&gt;"入池",NOT(ISNUMBER(AF57))),"",IF(COUNTIFS($G$17:$G$219,"入池",$AF$17:$AF$219,"&gt;=-1E+307",$AF$17:$AF$219,"&lt;=1E+307")&lt;=1,100,ROUND(100*(COUNTIFS($G$17:$G$219,"入池",$AF$17:$AF$219,"&gt;=-1E+307",$AF$17:$AF$219,"&lt;"&amp;AF57)+COUNTIFS($G$17:$G$219,"入池",$AF$17:$AF$219,AF57,$AF$17:$AF$219,"&gt;=-1E+307",$AF$17:$AF$219,"&lt;=1E+307")/2-0.5)/(COUNTIFS($G$17:$G$219,"入池",$AF$17:$AF$219,"&gt;=-1E+307",$AF$17:$AF$219,"&lt;=1E+307")-1),2)))</x:f>
        <x:v>21.17</x:v>
      </x:c>
      <x:c r="AI57" s="17" t="n">
        <x:f>IF(NOT(ISNUMBER(AG57)),"",IF(NOT(ISNUMBER(AH57)),AG57,ROUND(AG57*'sheet1-指标体系'!$J$8+AH57*'sheet1-指标体系'!$J$9,2)))</x:f>
        <x:v>10.56</x:v>
      </x:c>
      <x:c r="AJ57" s="37" t="n">
        <x:f>IF(NOT(ISNUMBER(F57)),"",IF(F57&gt;=3,IF(NOT(ISNUMBER(N57)),"",N57),IF(NOT(ISNUMBER(O57)),"",O57)))</x:f>
        <x:v>0.0203</x:v>
      </x:c>
      <x:c r="AK57" s="17" t="n">
        <x:f>IF(OR(G57&lt;&gt;"入池",NOT(ISNUMBER(M57)),NOT(ISNUMBER(AJ57))),"",IF(M57&gt;=AJ57,100,IF(AJ57-M57&lt;'sheet1-指标体系'!$J$10,80,60)))</x:f>
        <x:v>80</x:v>
      </x:c>
      <x:c r="AL57" s="17" t="n">
        <x:f>IF(COUNT(I57,K57,L57)=0,"",ROUND((IF(ISNUMBER(I57),I57*40%,0)+IF(ISNUMBER(K57),K57*30%,0)+IF(ISNUMBER(L57),L57*30%,0))/(IF(ISNUMBER(I57),40%,0)+IF(ISNUMBER(K57),30%,0)+IF(ISNUMBER(L57),30%,0)),2))</x:f>
        <x:v>84</x:v>
      </x:c>
      <x:c r="AM57" s="17" t="n">
        <x:f>IF(COUNT(Q57,R57,W57,X57)=0,"",ROUND((IF(ISNUMBER(Q57),Q57*42%,0)+IF(ISNUMBER(R57),R57*28%,0)+IF(ISNUMBER(W57),W57*18%,0)+IF(ISNUMBER(X57),X57*12%,0))/(IF(ISNUMBER(Q57),42%,0)+IF(ISNUMBER(R57),28%,0)+IF(ISNUMBER(W57),18%,0)+IF(ISNUMBER(X57),12%,0)),2))</x:f>
        <x:v>30.35</x:v>
      </x:c>
      <x:c r="AN57" s="17" t="n">
        <x:f>IF(ISNUMBER(AC57),AC57,"")</x:f>
        <x:v>25.25</x:v>
      </x:c>
      <x:c r="AO57" s="17" t="n">
        <x:f>IF(COUNT(AG57,AH57)=0,"",ROUND((IF(ISNUMBER(AG57),AG57*60%,0)+IF(ISNUMBER(AH57),AH57*40%,0))/(IF(ISNUMBER(AG57),60%,0)+IF(ISNUMBER(AH57),40%,0)),2))</x:f>
        <x:v>10.56</x:v>
      </x:c>
      <x:c r="AP57" s="17" t="n">
        <x:f>IF(ISNUMBER(AK57),AK57,"")</x:f>
        <x:v>80</x:v>
      </x:c>
      <x:c r="AQ57" s="39" t="n">
        <x:f>IF(G57&lt;&gt;"入池",0,IF(ISNUMBER(I57),6%,0)+IF(ISNUMBER(K57),4.5%,0)+IF(ISNUMBER(L57),4.5%,0)+IF(ISNUMBER(Q57),8.4%,0)+IF(ISNUMBER(R57),5.6%,0)+IF(ISNUMBER(W57),3.6%,0)+IF(ISNUMBER(X57),2.4%,0)+IF(ISNUMBER(AC57),25%,0)+IF(ISNUMBER(AG57),18%,0)+IF(ISNUMBER(AH57),12%,0)+IF(ISNUMBER(AK57),10%,0))</x:f>
        <x:v>1</x:v>
      </x:c>
      <x:c r="AR57" s="17" t="n">
        <x:f>IF(AQ57=0,"",IF(ISNUMBER(I57),I57*6%,0)+IF(ISNUMBER(K57),K57*4.5%,0)+IF(ISNUMBER(L57),L57*4.5%,0)+IF(ISNUMBER(Q57),Q57*8.4%,0)+IF(ISNUMBER(R57),R57*5.6%,0)+IF(ISNUMBER(W57),W57*3.6%,0)+IF(ISNUMBER(X57),X57*2.4%,0)+IF(ISNUMBER(AC57),AC57*25%,0)+IF(ISNUMBER(AG57),AG57*18%,0)+IF(ISNUMBER(AH57),AH57*12%,0)+IF(ISNUMBER(AK57),AK57*10%,0))</x:f>
        <x:v>36.15006</x:v>
      </x:c>
      <x:c r="AS57" s="17" t="n">
        <x:f>IF(AQ57=0,"",ROUND(AR57/AQ57,2))</x:f>
        <x:v>36.15</x:v>
      </x:c>
      <x:c r="AT57" s="40" t="n">
        <x:f>IF(OR(G57&lt;&gt;"入池",NOT(ISNUMBER(AS57))),"",COUNTIFS($G$17:$G$219,"入池",$AS$17:$AS$219,"&gt;"&amp;AS57)+COUNTIFS($G$17:$G$219,"入池",$AS$17:$AS$219,AS57,$AQ$17:$AQ$219,"&gt;"&amp;AQ57)+COUNTIFS($G$17:G57,"入池",$AS$17:AS57,AS57,$AQ$17:AQ57,AQ57))</x:f>
        <x:v>179</x:v>
      </x:c>
      <x:c r="AU57" s="41" t="str">
        <x:f t="shared" si="2">IF(NOT(ISNUMBER(I57)),"管理人规模；","")&amp;IF(J57="","产品规模标识；","")&amp;IF(AND(F57&lt;3,NOT(ISNUMBER(O57))),"R_incep；","")&amp;IF(NOT(ISNUMBER(N57)),"近三年收益；","")&amp;IF(NOT(ISNUMBER(U57)),"近三年胜率；","")&amp;IF(AND(ISNUMBER(V57),OR(V57&lt;0,V57&gt;1)),"胜率窗口口径不一致；","")&amp;IF(NOT(ISNUMBER(AA57)),"近三年回撤；","")&amp;IF(NOT(ISNUMBER(AD57)),"短期卡玛；","")&amp;IF(AND(ISNUMBER(P57),NOT(ISNUMBER(AE57))),"DD_long不可识别；","")</x:f>
      </x:c>
      <x:c r="AV57" s="42" t="n">
        <x:v>0</x:v>
      </x:c>
      <x:c r="AW57" s="19" t="str">
        <x:v>中安鼎盛（深圳）私募证券投资基金管理有限公司</x:v>
      </x:c>
      <x:c r="AX57" s="19" t="str">
        <x:v>2026-02-12</x:v>
      </x:c>
      <x:c r="AY57" s="19" t="str">
        <x:v>https://gs.amac.org.cn/amac-infodisc/res/pof/manager/1807021606107284.html</x:v>
      </x:c>
      <x:c r="AZ57" s="19" t="str">
        <x:v>中安鼎盛善行可转债1号私募证券投资基金</x:v>
      </x:c>
      <x:c r="BA57" s="19" t="str">
        <x:v>2025-12-23</x:v>
      </x:c>
      <x:c r="BB57" s="19"/>
      <x:c r="BC57" s="19" t="str">
        <x:v>https://gs.amac.org.cn/amac-infodisc/res/pof/fund/2112061843108745.html</x:v>
      </x:c>
      <x:c r="BD57" s="19" t="str">
        <x:v>已匹配</x:v>
      </x:c>
      <x:c r="BE57"/>
      <x:c r="BF57"/>
    </x:row>
    <x:row r="58" ht="28" customHeight="1">
      <x:c r="A58" s="4" t="n">
        <x:v>42</x:v>
      </x:c>
      <x:c r="B58" s="15" t="str">
        <x:f>'sheet4-原始数据'!A43</x:f>
        <x:v>九招真格量化商品套利一号</x:v>
      </x:c>
      <x:c r="C58" s="15" t="str">
        <x:f>'sheet4-原始数据'!B43</x:f>
        <x:v>STK200</x:v>
      </x:c>
      <x:c r="D58" s="15" t="str">
        <x:f>'sheet4-原始数据'!E43</x:f>
        <x:v>武汉九招</x:v>
      </x:c>
      <x:c r="E58" s="32" t="n">
        <x:f>IF(ISNUMBER('sheet4-原始数据'!F43),'sheet4-原始数据'!F43,"")</x:f>
        <x:v>44543</x:v>
      </x:c>
      <x:c r="F58" s="17" t="n">
        <x:f>IF(NOT(ISNUMBER(E58)),"",ROUND(('sheet1-指标体系'!$J$23-E58)/365.25,4))</x:f>
        <x:v>4.7584</x:v>
      </x:c>
      <x:c r="G58" s="4" t="str">
        <x:f t="shared" si="1">IF(NOT(ISNUMBER(F58)),"",IF(F58&lt;1,"不入池","入池"))</x:f>
        <x:v>入池</x:v>
      </x:c>
      <x:c r="H58" s="33" t="str">
        <x:v>5-10亿元</x:v>
      </x:c>
      <x:c r="I58" s="17" t="n">
        <x:f>IF(H58="","",IF(ISNUMBER(SEARCH("100亿元以上",H58)),100,IF(OR(ISNUMBER(SEARCH("20-50",H58)),ISNUMBER(SEARCH("50-100",H58)),ISNUMBER(SEARCH("20-100",H58))),90,IF(ISNUMBER(SEARCH("10-20",H58)),80,IF(ISNUMBER(SEARCH("5-10",H58)),70,IF(ISNUMBER(SEARCH("0-5",H58)),60,""))))))</x:f>
        <x:v>70</x:v>
      </x:c>
      <x:c r="J58" s="34" t="str">
        <x:v>无低于1000万元标识</x:v>
      </x:c>
      <x:c r="K58" s="17" t="n">
        <x:f>IF(J58="","",IF(J58="低于1000万元",0,100))</x:f>
        <x:v>100</x:v>
      </x:c>
      <x:c r="L58" s="17" t="n">
        <x:f>IF(NOT(ISNUMBER(F58)),"",IF(F58&lt;1,"",IF(F58&lt;3,70,100)))</x:f>
        <x:v>100</x:v>
      </x:c>
      <x:c r="M58" s="35" t="n">
        <x:f>IF(ISNUMBER('sheet4-原始数据'!G43),'sheet4-原始数据'!G43,"")</x:f>
        <x:v>0.10890000000000001</x:v>
      </x:c>
      <x:c r="N58" s="35" t="n">
        <x:f>IF(ISNUMBER('sheet4-原始数据'!H43),'sheet4-原始数据'!H43,"")</x:f>
        <x:v>0.08439999999999999</x:v>
      </x:c>
      <x:c r="O58" s="36" t="str">
        <x:f>IF(ISNUMBER('sheet4-原始数据'!Q43),'sheet4-原始数据'!Q43,"")</x:f>
      </x:c>
      <x:c r="P58" s="37" t="n">
        <x:f>IF($G58&lt;&gt;"入池","",IF($F58&gt;=3,IF(OR(NOT(ISNUMBER($M58)),NOT(ISNUMBER($N58)),1+$M58&lt;=0,1+$N58&lt;0),"",((1+$N58)^3/(1+$M58))^(1/2)-1),IF(OR($F58&lt;=1,NOT(ISNUMBER($M58)),NOT(ISNUMBER($O58)),1+$M58&lt;=0,1+$O58&lt;0),"",((1+$O58)^$F58/(1+$M58))^(1/($F58-1))-1)))</x:f>
        <x:v>0.07235374205357803</x:v>
      </x:c>
      <x:c r="Q58" s="17" t="n">
        <x:f>IF(OR($G58&lt;&gt;"入池",NOT(ISNUMBER(M58))),"",IF(COUNTIFS($G$17:$G$219,"入池",$M$17:$M$219,"&gt;=-1E+307",$M$17:$M$219,"&lt;=1E+307")&lt;=1,100,ROUND(100*(COUNTIFS($G$17:$G$219,"入池",$M$17:$M$219,"&gt;=-1E+307",$M$17:$M$219,"&lt;"&amp;M58)+COUNTIFS($G$17:$G$219,"入池",$M$17:$M$219,M58,$M$17:$M$219,"&gt;=-1E+307",$M$17:$M$219,"&lt;=1E+307")/2-0.5)/(COUNTIFS($G$17:$G$219,"入池",$M$17:$M$219,"&gt;=-1E+307",$M$17:$M$219,"&lt;=1E+307")-1),2)))</x:f>
        <x:v>82.67</x:v>
      </x:c>
      <x:c r="R58" s="17" t="n">
        <x:f>IF(OR($G58&lt;&gt;"入池",NOT(ISNUMBER(P58))),"",IF(COUNTIFS($G$17:$G$219,"入池",$P$17:$P$219,"&gt;=-1E+307",$P$17:$P$219,"&lt;=1E+307")&lt;=1,100,ROUND(100*(COUNTIFS($G$17:$G$219,"入池",$P$17:$P$219,"&gt;=-1E+307",$P$17:$P$219,"&lt;"&amp;P58)+COUNTIFS($G$17:$G$219,"入池",$P$17:$P$219,P58,$P$17:$P$219,"&gt;=-1E+307",$P$17:$P$219,"&lt;=1E+307")/2-0.5)/(COUNTIFS($G$17:$G$219,"入池",$P$17:$P$219,"&gt;=-1E+307",$P$17:$P$219,"&lt;=1E+307")-1),2)))</x:f>
        <x:v>58.42</x:v>
      </x:c>
      <x:c r="S58" s="17" t="n">
        <x:f>IF(NOT(ISNUMBER(Q58)),"",IF(NOT(ISNUMBER(R58)),Q58,ROUND(Q58*'sheet1-指标体系'!$J$8+R58*'sheet1-指标体系'!$J$9,2)))</x:f>
        <x:v>72.97</x:v>
      </x:c>
      <x:c r="T58" s="35" t="n">
        <x:f>IF(ISNUMBER('sheet4-原始数据'!J43),'sheet4-原始数据'!J43,"")</x:f>
        <x:v>0.46149999999999997</x:v>
      </x:c>
      <x:c r="U58" s="35" t="n">
        <x:f>IF(ISNUMBER('sheet4-原始数据'!I43),'sheet4-原始数据'!I43,"")</x:f>
        <x:v>0.6486</x:v>
      </x:c>
      <x:c r="V58" s="37" t="n">
        <x:f>IF(OR(NOT(ISNUMBER(T58)),NOT(ISNUMBER(U58))),"",(U58*'sheet1-指标体系'!$J$6-T58*'sheet1-指标体系'!$J$5)/'sheet1-指标体系'!$J$7)</x:f>
        <x:v>0.7499458333333333</x:v>
      </x:c>
      <x:c r="W58" s="17" t="n">
        <x:f>IF(NOT(ISNUMBER(T58)),"",T58*100)</x:f>
        <x:v>46.15</x:v>
      </x:c>
      <x:c r="X58" s="17" t="n">
        <x:f>IF($G58&lt;&gt;"入池","",IF(AND(ISNUMBER(V58),V58&gt;=0,V58&lt;=1),V58*100,IF(MAX(0,($F58-1)*12)&lt;6,100,"")))</x:f>
        <x:v>74.99458333333334</x:v>
      </x:c>
      <x:c r="Y58" s="17" t="n">
        <x:f>IF(NOT(ISNUMBER(W58)),"",IF(NOT(ISNUMBER(X58)),W58,ROUND(W58*'sheet1-指标体系'!$J$8+X58*'sheet1-指标体系'!$J$9,2)))</x:f>
        <x:v>57.69</x:v>
      </x:c>
      <x:c r="Z58" s="37" t="n">
        <x:f>IF(OR(NOT(ISNUMBER(M58)),NOT(ISNUMBER(AD58)),AD58=0),"",ABS(M58/AD58))</x:f>
        <x:v>0.01732366135344087</x:v>
      </x:c>
      <x:c r="AA58" s="35" t="n">
        <x:f>IF(ISNUMBER('sheet4-原始数据'!K43),'sheet4-原始数据'!K43,"")</x:f>
        <x:v>0.0322</x:v>
      </x:c>
      <x:c r="AB58" s="37" t="n">
        <x:f>IF(COUNT(Z58:AA58)=0,"",MAX(Z58:AA58))</x:f>
        <x:v>0.0322</x:v>
      </x:c>
      <x:c r="AC58" s="17" t="n">
        <x:f>IF(OR($G58&lt;&gt;"入池",NOT(ISNUMBER(AB58))),"",IF(COUNTIFS($G$17:$G$219,"入池",$AB$17:$AB$219,"&gt;=-1E+307",$AB$17:$AB$219,"&lt;=1E+307")&lt;=1,100,ROUND(100*(COUNTIFS($G$17:$G$219,"入池",$AB$17:$AB$219,"&lt;=1E+307",$AB$17:$AB$219,"&gt;"&amp;AB58)+COUNTIFS($G$17:$G$219,"入池",$AB$17:$AB$219,AB58,$AB$17:$AB$219,"&gt;=-1E+307",$AB$17:$AB$219,"&lt;=1E+307")/2-0.5)/(COUNTIFS($G$17:$G$219,"入池",$AB$17:$AB$219,"&gt;=-1E+307",$AB$17:$AB$219,"&lt;=1E+307")-1),2)))</x:f>
        <x:v>58.91</x:v>
      </x:c>
      <x:c r="AD58" s="38" t="n">
        <x:f>IF(ISNUMBER('sheet4-原始数据'!M43),'sheet4-原始数据'!M43,"")</x:f>
        <x:v>6.2862</x:v>
      </x:c>
      <x:c r="AE58" s="37" t="n">
        <x:f>IF(OR(NOT(ISNUMBER(P58)),NOT(ISNUMBER(AA58)),NOT(ISNUMBER(Z58))),"",IF(AA58&gt;Z58+'sheet1-指标体系'!$J$11,AA58,""))</x:f>
        <x:v>0.0322</x:v>
      </x:c>
      <x:c r="AF58" s="17" t="n">
        <x:f>IF(OR(NOT(ISNUMBER(P58)),NOT(ISNUMBER(AE58)),AE58=0),"",P58/AE58)</x:f>
        <x:v>2.2470106227819264</x:v>
      </x:c>
      <x:c r="AG58" s="17" t="n">
        <x:f>IF(OR($G58&lt;&gt;"入池",NOT(ISNUMBER(AD58))),"",IF(COUNTIFS($G$17:$G$219,"入池",$AD$17:$AD$219,"&gt;=-1E+307",$AD$17:$AD$219,"&lt;=1E+307")&lt;=1,100,ROUND(100*(COUNTIFS($G$17:$G$219,"入池",$AD$17:$AD$219,"&gt;=-1E+307",$AD$17:$AD$219,"&lt;"&amp;AD58)+COUNTIFS($G$17:$G$219,"入池",$AD$17:$AD$219,AD58,$AD$17:$AD$219,"&gt;=-1E+307",$AD$17:$AD$219,"&lt;=1E+307")/2-0.5)/(COUNTIFS($G$17:$G$219,"入池",$AD$17:$AD$219,"&gt;=-1E+307",$AD$17:$AD$219,"&lt;=1E+307")-1),2)))</x:f>
        <x:v>69.65</x:v>
      </x:c>
      <x:c r="AH58" s="17" t="n">
        <x:f>IF(OR($G58&lt;&gt;"入池",NOT(ISNUMBER(AF58))),"",IF(COUNTIFS($G$17:$G$219,"入池",$AF$17:$AF$219,"&gt;=-1E+307",$AF$17:$AF$219,"&lt;=1E+307")&lt;=1,100,ROUND(100*(COUNTIFS($G$17:$G$219,"入池",$AF$17:$AF$219,"&gt;=-1E+307",$AF$17:$AF$219,"&lt;"&amp;AF58)+COUNTIFS($G$17:$G$219,"入池",$AF$17:$AF$219,AF58,$AF$17:$AF$219,"&gt;=-1E+307",$AF$17:$AF$219,"&lt;=1E+307")/2-0.5)/(COUNTIFS($G$17:$G$219,"入池",$AF$17:$AF$219,"&gt;=-1E+307",$AF$17:$AF$219,"&lt;=1E+307")-1),2)))</x:f>
        <x:v>67.88</x:v>
      </x:c>
      <x:c r="AI58" s="17" t="n">
        <x:f>IF(NOT(ISNUMBER(AG58)),"",IF(NOT(ISNUMBER(AH58)),AG58,ROUND(AG58*'sheet1-指标体系'!$J$8+AH58*'sheet1-指标体系'!$J$9,2)))</x:f>
        <x:v>68.94</x:v>
      </x:c>
      <x:c r="AJ58" s="37" t="n">
        <x:f>IF(NOT(ISNUMBER(F58)),"",IF(F58&gt;=3,IF(NOT(ISNUMBER(N58)),"",N58),IF(NOT(ISNUMBER(O58)),"",O58)))</x:f>
        <x:v>0.08439999999999999</x:v>
      </x:c>
      <x:c r="AK58" s="17" t="n">
        <x:f>IF(OR(G58&lt;&gt;"入池",NOT(ISNUMBER(M58)),NOT(ISNUMBER(AJ58))),"",IF(M58&gt;=AJ58,100,IF(AJ58-M58&lt;'sheet1-指标体系'!$J$10,80,60)))</x:f>
        <x:v>100</x:v>
      </x:c>
      <x:c r="AL58" s="17" t="n">
        <x:f>IF(COUNT(I58,K58,L58)=0,"",ROUND((IF(ISNUMBER(I58),I58*40%,0)+IF(ISNUMBER(K58),K58*30%,0)+IF(ISNUMBER(L58),L58*30%,0))/(IF(ISNUMBER(I58),40%,0)+IF(ISNUMBER(K58),30%,0)+IF(ISNUMBER(L58),30%,0)),2))</x:f>
        <x:v>88</x:v>
      </x:c>
      <x:c r="AM58" s="17" t="n">
        <x:f>IF(COUNT(Q58,R58,W58,X58)=0,"",ROUND((IF(ISNUMBER(Q58),Q58*42%,0)+IF(ISNUMBER(R58),R58*28%,0)+IF(ISNUMBER(W58),W58*18%,0)+IF(ISNUMBER(X58),X58*12%,0))/(IF(ISNUMBER(Q58),42%,0)+IF(ISNUMBER(R58),28%,0)+IF(ISNUMBER(W58),18%,0)+IF(ISNUMBER(X58),12%,0)),2))</x:f>
        <x:v>68.39</x:v>
      </x:c>
      <x:c r="AN58" s="17" t="n">
        <x:f>IF(ISNUMBER(AC58),AC58,"")</x:f>
        <x:v>58.91</x:v>
      </x:c>
      <x:c r="AO58" s="17" t="n">
        <x:f>IF(COUNT(AG58,AH58)=0,"",ROUND((IF(ISNUMBER(AG58),AG58*60%,0)+IF(ISNUMBER(AH58),AH58*40%,0))/(IF(ISNUMBER(AG58),60%,0)+IF(ISNUMBER(AH58),40%,0)),2))</x:f>
        <x:v>68.94</x:v>
      </x:c>
      <x:c r="AP58" s="17" t="n">
        <x:f>IF(ISNUMBER(AK58),AK58,"")</x:f>
        <x:v>100</x:v>
      </x:c>
      <x:c r="AQ58" s="39" t="n">
        <x:f>IF(G58&lt;&gt;"入池",0,IF(ISNUMBER(I58),6%,0)+IF(ISNUMBER(K58),4.5%,0)+IF(ISNUMBER(L58),4.5%,0)+IF(ISNUMBER(Q58),8.4%,0)+IF(ISNUMBER(R58),5.6%,0)+IF(ISNUMBER(W58),3.6%,0)+IF(ISNUMBER(X58),2.4%,0)+IF(ISNUMBER(AC58),25%,0)+IF(ISNUMBER(AG58),18%,0)+IF(ISNUMBER(AH58),12%,0)+IF(ISNUMBER(AK58),10%,0))</x:f>
        <x:v>1</x:v>
      </x:c>
      <x:c r="AR58" s="17" t="n">
        <x:f>IF(AQ58=0,"",IF(ISNUMBER(I58),I58*6%,0)+IF(ISNUMBER(K58),K58*4.5%,0)+IF(ISNUMBER(L58),L58*4.5%,0)+IF(ISNUMBER(Q58),Q58*8.4%,0)+IF(ISNUMBER(R58),R58*5.6%,0)+IF(ISNUMBER(W58),W58*3.6%,0)+IF(ISNUMBER(X58),X58*2.4%,0)+IF(ISNUMBER(AC58),AC58*25%,0)+IF(ISNUMBER(AG58),AG58*18%,0)+IF(ISNUMBER(AH58),AH58*12%,0)+IF(ISNUMBER(AK58),AK58*10%,0))</x:f>
        <x:v>72.28717</x:v>
      </x:c>
      <x:c r="AS58" s="17" t="n">
        <x:f>IF(AQ58=0,"",ROUND(AR58/AQ58,2))</x:f>
        <x:v>72.29</x:v>
      </x:c>
      <x:c r="AT58" s="40" t="n">
        <x:f>IF(OR(G58&lt;&gt;"入池",NOT(ISNUMBER(AS58))),"",COUNTIFS($G$17:$G$219,"入池",$AS$17:$AS$219,"&gt;"&amp;AS58)+COUNTIFS($G$17:$G$219,"入池",$AS$17:$AS$219,AS58,$AQ$17:$AQ$219,"&gt;"&amp;AQ58)+COUNTIFS($G$17:G58,"入池",$AS$17:AS58,AS58,$AQ$17:AQ58,AQ58))</x:f>
        <x:v>59</x:v>
      </x:c>
      <x:c r="AU58" s="41" t="str">
        <x:f t="shared" si="2">IF(NOT(ISNUMBER(I58)),"管理人规模；","")&amp;IF(J58="","产品规模标识；","")&amp;IF(AND(F58&lt;3,NOT(ISNUMBER(O58))),"R_incep；","")&amp;IF(NOT(ISNUMBER(N58)),"近三年收益；","")&amp;IF(NOT(ISNUMBER(U58)),"近三年胜率；","")&amp;IF(AND(ISNUMBER(V58),OR(V58&lt;0,V58&gt;1)),"胜率窗口口径不一致；","")&amp;IF(NOT(ISNUMBER(AA58)),"近三年回撤；","")&amp;IF(NOT(ISNUMBER(AD58)),"短期卡玛；","")&amp;IF(AND(ISNUMBER(P58),NOT(ISNUMBER(AE58))),"DD_long不可识别；","")</x:f>
      </x:c>
      <x:c r="AV58" s="42" t="n">
        <x:v>5</x:v>
      </x:c>
      <x:c r="AW58" s="19" t="str">
        <x:v>武汉九招私募基金管理有限公司</x:v>
      </x:c>
      <x:c r="AX58" s="19" t="str">
        <x:v>2026-07-21</x:v>
      </x:c>
      <x:c r="AY58" s="19" t="str">
        <x:v>https://gs.amac.org.cn/amac-infodisc/res/pof/manager/2301051740101642.html</x:v>
      </x:c>
      <x:c r="AZ58" s="19" t="str">
        <x:v>九招真格量化商品套利一号私募证券投资基金</x:v>
      </x:c>
      <x:c r="BA58" s="19" t="str">
        <x:v>2025-08-04</x:v>
      </x:c>
      <x:c r="BB58" s="19"/>
      <x:c r="BC58" s="19" t="str">
        <x:v>https://gs.amac.org.cn/amac-infodisc/res/pof/fund/2112202208108154.html</x:v>
      </x:c>
      <x:c r="BD58" s="19" t="str">
        <x:v>已匹配</x:v>
      </x:c>
      <x:c r="BE58"/>
      <x:c r="BF58"/>
    </x:row>
    <x:row r="59" ht="28" customHeight="1">
      <x:c r="A59" s="4" t="n">
        <x:v>43</x:v>
      </x:c>
      <x:c r="B59" s="15" t="str">
        <x:f>'sheet4-原始数据'!A44</x:f>
        <x:v>博润小牛3号</x:v>
      </x:c>
      <x:c r="C59" s="15" t="str">
        <x:f>'sheet4-原始数据'!B44</x:f>
        <x:v>STV728</x:v>
      </x:c>
      <x:c r="D59" s="15" t="str">
        <x:f>'sheet4-原始数据'!E44</x:f>
        <x:v>北京博润银泰投资</x:v>
      </x:c>
      <x:c r="E59" s="32" t="n">
        <x:f>IF(ISNUMBER('sheet4-原始数据'!F44),'sheet4-原始数据'!F44,"")</x:f>
        <x:v>44624</x:v>
      </x:c>
      <x:c r="F59" s="17" t="n">
        <x:f>IF(NOT(ISNUMBER(E59)),"",ROUND(('sheet1-指标体系'!$J$23-E59)/365.25,4))</x:f>
        <x:v>4.5366</x:v>
      </x:c>
      <x:c r="G59" s="4" t="str">
        <x:f t="shared" si="1">IF(NOT(ISNUMBER(F59)),"",IF(F59&lt;1,"不入池","入池"))</x:f>
        <x:v>入池</x:v>
      </x:c>
      <x:c r="H59" s="33" t="str">
        <x:v>100亿元以上</x:v>
      </x:c>
      <x:c r="I59" s="17" t="n">
        <x:f>IF(H59="","",IF(ISNUMBER(SEARCH("100亿元以上",H59)),100,IF(OR(ISNUMBER(SEARCH("20-50",H59)),ISNUMBER(SEARCH("50-100",H59)),ISNUMBER(SEARCH("20-100",H59))),90,IF(ISNUMBER(SEARCH("10-20",H59)),80,IF(ISNUMBER(SEARCH("5-10",H59)),70,IF(ISNUMBER(SEARCH("0-5",H59)),60,""))))))</x:f>
        <x:v>100</x:v>
      </x:c>
      <x:c r="J59" s="34" t="str">
        <x:v>无低于1000万元标识</x:v>
      </x:c>
      <x:c r="K59" s="17" t="n">
        <x:f>IF(J59="","",IF(J59="低于1000万元",0,100))</x:f>
        <x:v>100</x:v>
      </x:c>
      <x:c r="L59" s="17" t="n">
        <x:f>IF(NOT(ISNUMBER(F59)),"",IF(F59&lt;1,"",IF(F59&lt;3,70,100)))</x:f>
        <x:v>100</x:v>
      </x:c>
      <x:c r="M59" s="35" t="n">
        <x:f>IF(ISNUMBER('sheet4-原始数据'!G44),'sheet4-原始数据'!G44,"")</x:f>
        <x:v>0.1383</x:v>
      </x:c>
      <x:c r="N59" s="35" t="n">
        <x:f>IF(ISNUMBER('sheet4-原始数据'!H44),'sheet4-原始数据'!H44,"")</x:f>
        <x:v>0.16620000000000001</x:v>
      </x:c>
      <x:c r="O59" s="36" t="str">
        <x:f>IF(ISNUMBER('sheet4-原始数据'!Q44),'sheet4-原始数据'!Q44,"")</x:f>
      </x:c>
      <x:c r="P59" s="37" t="n">
        <x:f>IF($G59&lt;&gt;"入池","",IF($F59&gt;=3,IF(OR(NOT(ISNUMBER($M59)),NOT(ISNUMBER($N59)),1+$M59&lt;=0,1+$N59&lt;0),"",((1+$N59)^3/(1+$M59))^(1/2)-1),IF(OR($F59&lt;=1,NOT(ISNUMBER($M59)),NOT(ISNUMBER($O59)),1+$M59&lt;=0,1+$O59&lt;0),"",((1+$O59)^$F59/(1+$M59))^(1/($F59-1))-1)))</x:f>
        <x:v>0.1804054002806339</x:v>
      </x:c>
      <x:c r="Q59" s="17" t="n">
        <x:f>IF(OR($G59&lt;&gt;"入池",NOT(ISNUMBER(M59))),"",IF(COUNTIFS($G$17:$G$219,"入池",$M$17:$M$219,"&gt;=-1E+307",$M$17:$M$219,"&lt;=1E+307")&lt;=1,100,ROUND(100*(COUNTIFS($G$17:$G$219,"入池",$M$17:$M$219,"&gt;=-1E+307",$M$17:$M$219,"&lt;"&amp;M59)+COUNTIFS($G$17:$G$219,"入池",$M$17:$M$219,M59,$M$17:$M$219,"&gt;=-1E+307",$M$17:$M$219,"&lt;=1E+307")/2-0.5)/(COUNTIFS($G$17:$G$219,"入池",$M$17:$M$219,"&gt;=-1E+307",$M$17:$M$219,"&lt;=1E+307")-1),2)))</x:f>
        <x:v>89.11</x:v>
      </x:c>
      <x:c r="R59" s="17" t="n">
        <x:f>IF(OR($G59&lt;&gt;"入池",NOT(ISNUMBER(P59))),"",IF(COUNTIFS($G$17:$G$219,"入池",$P$17:$P$219,"&gt;=-1E+307",$P$17:$P$219,"&lt;=1E+307")&lt;=1,100,ROUND(100*(COUNTIFS($G$17:$G$219,"入池",$P$17:$P$219,"&gt;=-1E+307",$P$17:$P$219,"&lt;"&amp;P59)+COUNTIFS($G$17:$G$219,"入池",$P$17:$P$219,P59,$P$17:$P$219,"&gt;=-1E+307",$P$17:$P$219,"&lt;=1E+307")/2-0.5)/(COUNTIFS($G$17:$G$219,"入池",$P$17:$P$219,"&gt;=-1E+307",$P$17:$P$219,"&lt;=1E+307")-1),2)))</x:f>
        <x:v>91.58</x:v>
      </x:c>
      <x:c r="S59" s="17" t="n">
        <x:f>IF(NOT(ISNUMBER(Q59)),"",IF(NOT(ISNUMBER(R59)),Q59,ROUND(Q59*'sheet1-指标体系'!$J$8+R59*'sheet1-指标体系'!$J$9,2)))</x:f>
        <x:v>90.1</x:v>
      </x:c>
      <x:c r="T59" s="35" t="n">
        <x:f>IF(ISNUMBER('sheet4-原始数据'!J44),'sheet4-原始数据'!J44,"")</x:f>
        <x:v>0.7692</x:v>
      </x:c>
      <x:c r="U59" s="35" t="n">
        <x:f>IF(ISNUMBER('sheet4-原始数据'!I44),'sheet4-原始数据'!I44,"")</x:f>
        <x:v>0.8378</x:v>
      </x:c>
      <x:c r="V59" s="37" t="n">
        <x:f>IF(OR(NOT(ISNUMBER(T59)),NOT(ISNUMBER(U59))),"",(U59*'sheet1-指标体系'!$J$6-T59*'sheet1-指标体系'!$J$5)/'sheet1-指标体系'!$J$7)</x:f>
        <x:v>0.8749583333333334</x:v>
      </x:c>
      <x:c r="W59" s="17" t="n">
        <x:f>IF(NOT(ISNUMBER(T59)),"",T59*100)</x:f>
        <x:v>76.92</x:v>
      </x:c>
      <x:c r="X59" s="17" t="n">
        <x:f>IF($G59&lt;&gt;"入池","",IF(AND(ISNUMBER(V59),V59&gt;=0,V59&lt;=1),V59*100,IF(MAX(0,($F59-1)*12)&lt;6,100,"")))</x:f>
        <x:v>87.49583333333334</x:v>
      </x:c>
      <x:c r="Y59" s="17" t="n">
        <x:f>IF(NOT(ISNUMBER(W59)),"",IF(NOT(ISNUMBER(X59)),W59,ROUND(W59*'sheet1-指标体系'!$J$8+X59*'sheet1-指标体系'!$J$9,2)))</x:f>
        <x:v>81.15</x:v>
      </x:c>
      <x:c r="Z59" s="37" t="n">
        <x:f>IF(OR(NOT(ISNUMBER(M59)),NOT(ISNUMBER(AD59)),AD59=0),"",ABS(M59/AD59))</x:f>
        <x:v>0.021516919486581097</x:v>
      </x:c>
      <x:c r="AA59" s="35" t="n">
        <x:f>IF(ISNUMBER('sheet4-原始数据'!K44),'sheet4-原始数据'!K44,"")</x:f>
        <x:v>0.0223</x:v>
      </x:c>
      <x:c r="AB59" s="37" t="n">
        <x:f>IF(COUNT(Z59:AA59)=0,"",MAX(Z59:AA59))</x:f>
        <x:v>0.0223</x:v>
      </x:c>
      <x:c r="AC59" s="17" t="n">
        <x:f>IF(OR($G59&lt;&gt;"入池",NOT(ISNUMBER(AB59))),"",IF(COUNTIFS($G$17:$G$219,"入池",$AB$17:$AB$219,"&gt;=-1E+307",$AB$17:$AB$219,"&lt;=1E+307")&lt;=1,100,ROUND(100*(COUNTIFS($G$17:$G$219,"入池",$AB$17:$AB$219,"&lt;=1E+307",$AB$17:$AB$219,"&gt;"&amp;AB59)+COUNTIFS($G$17:$G$219,"入池",$AB$17:$AB$219,AB59,$AB$17:$AB$219,"&gt;=-1E+307",$AB$17:$AB$219,"&lt;=1E+307")/2-0.5)/(COUNTIFS($G$17:$G$219,"入池",$AB$17:$AB$219,"&gt;=-1E+307",$AB$17:$AB$219,"&lt;=1E+307")-1),2)))</x:f>
        <x:v>73.27</x:v>
      </x:c>
      <x:c r="AD59" s="38" t="n">
        <x:f>IF(ISNUMBER('sheet4-原始数据'!M44),'sheet4-原始数据'!M44,"")</x:f>
        <x:v>6.4275</x:v>
      </x:c>
      <x:c r="AE59" s="37" t="n">
        <x:f>IF(OR(NOT(ISNUMBER(P59)),NOT(ISNUMBER(AA59)),NOT(ISNUMBER(Z59))),"",IF(AA59&gt;Z59+'sheet1-指标体系'!$J$11,AA59,""))</x:f>
        <x:v>0.0223</x:v>
      </x:c>
      <x:c r="AF59" s="17" t="n">
        <x:f>IF(OR(NOT(ISNUMBER(P59)),NOT(ISNUMBER(AE59)),AE59=0),"",P59/AE59)</x:f>
        <x:v>8.089928263705556</x:v>
      </x:c>
      <x:c r="AG59" s="17" t="n">
        <x:f>IF(OR($G59&lt;&gt;"入池",NOT(ISNUMBER(AD59))),"",IF(COUNTIFS($G$17:$G$219,"入池",$AD$17:$AD$219,"&gt;=-1E+307",$AD$17:$AD$219,"&lt;=1E+307")&lt;=1,100,ROUND(100*(COUNTIFS($G$17:$G$219,"入池",$AD$17:$AD$219,"&gt;=-1E+307",$AD$17:$AD$219,"&lt;"&amp;AD59)+COUNTIFS($G$17:$G$219,"入池",$AD$17:$AD$219,AD59,$AD$17:$AD$219,"&gt;=-1E+307",$AD$17:$AD$219,"&lt;=1E+307")/2-0.5)/(COUNTIFS($G$17:$G$219,"入池",$AD$17:$AD$219,"&gt;=-1E+307",$AD$17:$AD$219,"&lt;=1E+307")-1),2)))</x:f>
        <x:v>70.65</x:v>
      </x:c>
      <x:c r="AH59" s="17" t="n">
        <x:f>IF(OR($G59&lt;&gt;"入池",NOT(ISNUMBER(AF59))),"",IF(COUNTIFS($G$17:$G$219,"入池",$AF$17:$AF$219,"&gt;=-1E+307",$AF$17:$AF$219,"&lt;=1E+307")&lt;=1,100,ROUND(100*(COUNTIFS($G$17:$G$219,"入池",$AF$17:$AF$219,"&gt;=-1E+307",$AF$17:$AF$219,"&lt;"&amp;AF59)+COUNTIFS($G$17:$G$219,"入池",$AF$17:$AF$219,AF59,$AF$17:$AF$219,"&gt;=-1E+307",$AF$17:$AF$219,"&lt;=1E+307")/2-0.5)/(COUNTIFS($G$17:$G$219,"入池",$AF$17:$AF$219,"&gt;=-1E+307",$AF$17:$AF$219,"&lt;=1E+307")-1),2)))</x:f>
        <x:v>89.78</x:v>
      </x:c>
      <x:c r="AI59" s="17" t="n">
        <x:f>IF(NOT(ISNUMBER(AG59)),"",IF(NOT(ISNUMBER(AH59)),AG59,ROUND(AG59*'sheet1-指标体系'!$J$8+AH59*'sheet1-指标体系'!$J$9,2)))</x:f>
        <x:v>78.3</x:v>
      </x:c>
      <x:c r="AJ59" s="37" t="n">
        <x:f>IF(NOT(ISNUMBER(F59)),"",IF(F59&gt;=3,IF(NOT(ISNUMBER(N59)),"",N59),IF(NOT(ISNUMBER(O59)),"",O59)))</x:f>
        <x:v>0.16620000000000001</x:v>
      </x:c>
      <x:c r="AK59" s="17" t="n">
        <x:f>IF(OR(G59&lt;&gt;"入池",NOT(ISNUMBER(M59)),NOT(ISNUMBER(AJ59))),"",IF(M59&gt;=AJ59,100,IF(AJ59-M59&lt;'sheet1-指标体系'!$J$10,80,60)))</x:f>
        <x:v>80</x:v>
      </x:c>
      <x:c r="AL59" s="17" t="n">
        <x:f>IF(COUNT(I59,K59,L59)=0,"",ROUND((IF(ISNUMBER(I59),I59*40%,0)+IF(ISNUMBER(K59),K59*30%,0)+IF(ISNUMBER(L59),L59*30%,0))/(IF(ISNUMBER(I59),40%,0)+IF(ISNUMBER(K59),30%,0)+IF(ISNUMBER(L59),30%,0)),2))</x:f>
        <x:v>100</x:v>
      </x:c>
      <x:c r="AM59" s="17" t="n">
        <x:f>IF(COUNT(Q59,R59,W59,X59)=0,"",ROUND((IF(ISNUMBER(Q59),Q59*42%,0)+IF(ISNUMBER(R59),R59*28%,0)+IF(ISNUMBER(W59),W59*18%,0)+IF(ISNUMBER(X59),X59*12%,0))/(IF(ISNUMBER(Q59),42%,0)+IF(ISNUMBER(R59),28%,0)+IF(ISNUMBER(W59),18%,0)+IF(ISNUMBER(X59),12%,0)),2))</x:f>
        <x:v>87.41</x:v>
      </x:c>
      <x:c r="AN59" s="17" t="n">
        <x:f>IF(ISNUMBER(AC59),AC59,"")</x:f>
        <x:v>73.27</x:v>
      </x:c>
      <x:c r="AO59" s="17" t="n">
        <x:f>IF(COUNT(AG59,AH59)=0,"",ROUND((IF(ISNUMBER(AG59),AG59*60%,0)+IF(ISNUMBER(AH59),AH59*40%,0))/(IF(ISNUMBER(AG59),60%,0)+IF(ISNUMBER(AH59),40%,0)),2))</x:f>
        <x:v>78.3</x:v>
      </x:c>
      <x:c r="AP59" s="17" t="n">
        <x:f>IF(ISNUMBER(AK59),AK59,"")</x:f>
        <x:v>80</x:v>
      </x:c>
      <x:c r="AQ59" s="39" t="n">
        <x:f>IF(G59&lt;&gt;"入池",0,IF(ISNUMBER(I59),6%,0)+IF(ISNUMBER(K59),4.5%,0)+IF(ISNUMBER(L59),4.5%,0)+IF(ISNUMBER(Q59),8.4%,0)+IF(ISNUMBER(R59),5.6%,0)+IF(ISNUMBER(W59),3.6%,0)+IF(ISNUMBER(X59),2.4%,0)+IF(ISNUMBER(AC59),25%,0)+IF(ISNUMBER(AG59),18%,0)+IF(ISNUMBER(AH59),12%,0)+IF(ISNUMBER(AK59),10%,0))</x:f>
        <x:v>1</x:v>
      </x:c>
      <x:c r="AR59" s="17" t="n">
        <x:f>IF(AQ59=0,"",IF(ISNUMBER(I59),I59*6%,0)+IF(ISNUMBER(K59),K59*4.5%,0)+IF(ISNUMBER(L59),L59*4.5%,0)+IF(ISNUMBER(Q59),Q59*8.4%,0)+IF(ISNUMBER(R59),R59*5.6%,0)+IF(ISNUMBER(W59),W59*3.6%,0)+IF(ISNUMBER(X59),X59*2.4%,0)+IF(ISNUMBER(AC59),AC59*25%,0)+IF(ISNUMBER(AG59),AG59*18%,0)+IF(ISNUMBER(AH59),AH59*12%,0)+IF(ISNUMBER(AK59),AK59*10%,0))</x:f>
        <x:v>82.29084</x:v>
      </x:c>
      <x:c r="AS59" s="17" t="n">
        <x:f>IF(AQ59=0,"",ROUND(AR59/AQ59,2))</x:f>
        <x:v>82.29</x:v>
      </x:c>
      <x:c r="AT59" s="40" t="n">
        <x:f>IF(OR(G59&lt;&gt;"入池",NOT(ISNUMBER(AS59))),"",COUNTIFS($G$17:$G$219,"入池",$AS$17:$AS$219,"&gt;"&amp;AS59)+COUNTIFS($G$17:$G$219,"入池",$AS$17:$AS$219,AS59,$AQ$17:$AQ$219,"&gt;"&amp;AQ59)+COUNTIFS($G$17:G59,"入池",$AS$17:AS59,AS59,$AQ$17:AQ59,AQ59))</x:f>
        <x:v>26</x:v>
      </x:c>
      <x:c r="AU59" s="41" t="str">
        <x:f t="shared" si="2">IF(NOT(ISNUMBER(I59)),"管理人规模；","")&amp;IF(J59="","产品规模标识；","")&amp;IF(AND(F59&lt;3,NOT(ISNUMBER(O59))),"R_incep；","")&amp;IF(NOT(ISNUMBER(N59)),"近三年收益；","")&amp;IF(NOT(ISNUMBER(U59)),"近三年胜率；","")&amp;IF(AND(ISNUMBER(V59),OR(V59&lt;0,V59&gt;1)),"胜率窗口口径不一致；","")&amp;IF(NOT(ISNUMBER(AA59)),"近三年回撤；","")&amp;IF(NOT(ISNUMBER(AD59)),"短期卡玛；","")&amp;IF(AND(ISNUMBER(P59),NOT(ISNUMBER(AE59))),"DD_long不可识别；","")</x:f>
      </x:c>
      <x:c r="AV59" s="42" t="n">
        <x:v>100</x:v>
      </x:c>
      <x:c r="AW59" s="19" t="str">
        <x:v>北京博润银泰投资管理有限公司</x:v>
      </x:c>
      <x:c r="AX59" s="19" t="str">
        <x:v>2026-02-10</x:v>
      </x:c>
      <x:c r="AY59" s="19" t="str">
        <x:v>https://gs.amac.org.cn/amac-infodisc/res/pof/manager/101000005082.html</x:v>
      </x:c>
      <x:c r="AZ59" s="19" t="str">
        <x:v>博润小牛3号私募证券投资基金</x:v>
      </x:c>
      <x:c r="BA59" s="19" t="str">
        <x:v>2026-06-24</x:v>
      </x:c>
      <x:c r="BB59" s="19"/>
      <x:c r="BC59" s="19" t="str">
        <x:v>https://gs.amac.org.cn/amac-infodisc/res/pof/fund/2203041707107702.html</x:v>
      </x:c>
      <x:c r="BD59" s="19" t="str">
        <x:v>已匹配</x:v>
      </x:c>
      <x:c r="BE59"/>
      <x:c r="BF59"/>
    </x:row>
    <x:row r="60" ht="28" customHeight="1">
      <x:c r="A60" s="4" t="n">
        <x:v>44</x:v>
      </x:c>
      <x:c r="B60" s="15" t="str">
        <x:f>'sheet4-原始数据'!A45</x:f>
        <x:v>银杏善投1号</x:v>
      </x:c>
      <x:c r="C60" s="15" t="str">
        <x:f>'sheet4-原始数据'!B45</x:f>
        <x:v>STK219</x:v>
      </x:c>
      <x:c r="D60" s="15" t="str">
        <x:f>'sheet4-原始数据'!E45</x:f>
        <x:v>上海银杏</x:v>
      </x:c>
      <x:c r="E60" s="32" t="n">
        <x:f>IF(ISNUMBER('sheet4-原始数据'!F45),'sheet4-原始数据'!F45,"")</x:f>
        <x:v>44617</x:v>
      </x:c>
      <x:c r="F60" s="17" t="n">
        <x:f>IF(NOT(ISNUMBER(E60)),"",ROUND(('sheet1-指标体系'!$J$23-E60)/365.25,4))</x:f>
        <x:v>4.5558</x:v>
      </x:c>
      <x:c r="G60" s="4" t="str">
        <x:f t="shared" si="1">IF(NOT(ISNUMBER(F60)),"",IF(F60&lt;1,"不入池","入池"))</x:f>
        <x:v>入池</x:v>
      </x:c>
      <x:c r="H60" s="33" t="str">
        <x:v>0-5亿元</x:v>
      </x:c>
      <x:c r="I60" s="17" t="n">
        <x:f>IF(H60="","",IF(ISNUMBER(SEARCH("100亿元以上",H60)),100,IF(OR(ISNUMBER(SEARCH("20-50",H60)),ISNUMBER(SEARCH("50-100",H60)),ISNUMBER(SEARCH("20-100",H60))),90,IF(ISNUMBER(SEARCH("10-20",H60)),80,IF(ISNUMBER(SEARCH("5-10",H60)),70,IF(ISNUMBER(SEARCH("0-5",H60)),60,""))))))</x:f>
        <x:v>60</x:v>
      </x:c>
      <x:c r="J60" s="34" t="str">
        <x:v>无低于1000万元标识</x:v>
      </x:c>
      <x:c r="K60" s="17" t="n">
        <x:f>IF(J60="","",IF(J60="低于1000万元",0,100))</x:f>
        <x:v>100</x:v>
      </x:c>
      <x:c r="L60" s="17" t="n">
        <x:f>IF(NOT(ISNUMBER(F60)),"",IF(F60&lt;1,"",IF(F60&lt;3,70,100)))</x:f>
        <x:v>100</x:v>
      </x:c>
      <x:c r="M60" s="35" t="n">
        <x:f>IF(ISNUMBER('sheet4-原始数据'!G45),'sheet4-原始数据'!G45,"")</x:f>
        <x:v>0.0103</x:v>
      </x:c>
      <x:c r="N60" s="35" t="n">
        <x:f>IF(ISNUMBER('sheet4-原始数据'!H45),'sheet4-原始数据'!H45,"")</x:f>
        <x:v>0.0424</x:v>
      </x:c>
      <x:c r="O60" s="36" t="str">
        <x:f>IF(ISNUMBER('sheet4-原始数据'!Q45),'sheet4-原始数据'!Q45,"")</x:f>
      </x:c>
      <x:c r="P60" s="37" t="n">
        <x:f>IF($G60&lt;&gt;"入池","",IF($F60&gt;=3,IF(OR(NOT(ISNUMBER($M60)),NOT(ISNUMBER($N60)),1+$M60&lt;=0,1+$N60&lt;0),"",((1+$N60)^3/(1+$M60))^(1/2)-1),IF(OR($F60&lt;=1,NOT(ISNUMBER($M60)),NOT(ISNUMBER($O60)),1+$M60&lt;=0,1+$O60&lt;0),"",((1+$O60)^$F60/(1+$M60))^(1/($F60-1))-1)))</x:f>
        <x:v>0.058830462798372896</x:v>
      </x:c>
      <x:c r="Q60" s="17" t="n">
        <x:f>IF(OR($G60&lt;&gt;"入池",NOT(ISNUMBER(M60))),"",IF(COUNTIFS($G$17:$G$219,"入池",$M$17:$M$219,"&gt;=-1E+307",$M$17:$M$219,"&lt;=1E+307")&lt;=1,100,ROUND(100*(COUNTIFS($G$17:$G$219,"入池",$M$17:$M$219,"&gt;=-1E+307",$M$17:$M$219,"&lt;"&amp;M60)+COUNTIFS($G$17:$G$219,"入池",$M$17:$M$219,M60,$M$17:$M$219,"&gt;=-1E+307",$M$17:$M$219,"&lt;=1E+307")/2-0.5)/(COUNTIFS($G$17:$G$219,"入池",$M$17:$M$219,"&gt;=-1E+307",$M$17:$M$219,"&lt;=1E+307")-1),2)))</x:f>
        <x:v>22.28</x:v>
      </x:c>
      <x:c r="R60" s="17" t="n">
        <x:f>IF(OR($G60&lt;&gt;"入池",NOT(ISNUMBER(P60))),"",IF(COUNTIFS($G$17:$G$219,"入池",$P$17:$P$219,"&gt;=-1E+307",$P$17:$P$219,"&lt;=1E+307")&lt;=1,100,ROUND(100*(COUNTIFS($G$17:$G$219,"入池",$P$17:$P$219,"&gt;=-1E+307",$P$17:$P$219,"&lt;"&amp;P60)+COUNTIFS($G$17:$G$219,"入池",$P$17:$P$219,P60,$P$17:$P$219,"&gt;=-1E+307",$P$17:$P$219,"&lt;=1E+307")/2-0.5)/(COUNTIFS($G$17:$G$219,"入池",$P$17:$P$219,"&gt;=-1E+307",$P$17:$P$219,"&lt;=1E+307")-1),2)))</x:f>
        <x:v>48.51</x:v>
      </x:c>
      <x:c r="S60" s="17" t="n">
        <x:f>IF(NOT(ISNUMBER(Q60)),"",IF(NOT(ISNUMBER(R60)),Q60,ROUND(Q60*'sheet1-指标体系'!$J$8+R60*'sheet1-指标体系'!$J$9,2)))</x:f>
        <x:v>32.77</x:v>
      </x:c>
      <x:c r="T60" s="35" t="n">
        <x:f>IF(ISNUMBER('sheet4-原始数据'!J45),'sheet4-原始数据'!J45,"")</x:f>
        <x:v>0.6154</x:v>
      </x:c>
      <x:c r="U60" s="35" t="n">
        <x:f>IF(ISNUMBER('sheet4-原始数据'!I45),'sheet4-原始数据'!I45,"")</x:f>
        <x:v>0.7027</x:v>
      </x:c>
      <x:c r="V60" s="37" t="n">
        <x:f>IF(OR(NOT(ISNUMBER(T60)),NOT(ISNUMBER(U60))),"",(U60*'sheet1-指标体系'!$J$6-T60*'sheet1-指标体系'!$J$5)/'sheet1-指标体系'!$J$7)</x:f>
        <x:v>0.7499875</x:v>
      </x:c>
      <x:c r="W60" s="17" t="n">
        <x:f>IF(NOT(ISNUMBER(T60)),"",T60*100)</x:f>
        <x:v>61.53999999999999</x:v>
      </x:c>
      <x:c r="X60" s="17" t="n">
        <x:f>IF($G60&lt;&gt;"入池","",IF(AND(ISNUMBER(V60),V60&gt;=0,V60&lt;=1),V60*100,IF(MAX(0,($F60-1)*12)&lt;6,100,"")))</x:f>
        <x:v>74.99875</x:v>
      </x:c>
      <x:c r="Y60" s="17" t="n">
        <x:f>IF(NOT(ISNUMBER(W60)),"",IF(NOT(ISNUMBER(X60)),W60,ROUND(W60*'sheet1-指标体系'!$J$8+X60*'sheet1-指标体系'!$J$9,2)))</x:f>
        <x:v>66.92</x:v>
      </x:c>
      <x:c r="Z60" s="37" t="n">
        <x:f>IF(OR(NOT(ISNUMBER(M60)),NOT(ISNUMBER(AD60)),AD60=0),"",ABS(M60/AD60))</x:f>
        <x:v>0.19109461966604824</x:v>
      </x:c>
      <x:c r="AA60" s="35" t="n">
        <x:f>IF(ISNUMBER('sheet4-原始数据'!K45),'sheet4-原始数据'!K45,"")</x:f>
        <x:v>0.19039999999999999</x:v>
      </x:c>
      <x:c r="AB60" s="37" t="n">
        <x:f>IF(COUNT(Z60:AA60)=0,"",MAX(Z60:AA60))</x:f>
        <x:v>0.19109461966604824</x:v>
      </x:c>
      <x:c r="AC60" s="17" t="n">
        <x:f>IF(OR($G60&lt;&gt;"入池",NOT(ISNUMBER(AB60))),"",IF(COUNTIFS($G$17:$G$219,"入池",$AB$17:$AB$219,"&gt;=-1E+307",$AB$17:$AB$219,"&lt;=1E+307")&lt;=1,100,ROUND(100*(COUNTIFS($G$17:$G$219,"入池",$AB$17:$AB$219,"&lt;=1E+307",$AB$17:$AB$219,"&gt;"&amp;AB60)+COUNTIFS($G$17:$G$219,"入池",$AB$17:$AB$219,AB60,$AB$17:$AB$219,"&gt;=-1E+307",$AB$17:$AB$219,"&lt;=1E+307")/2-0.5)/(COUNTIFS($G$17:$G$219,"入池",$AB$17:$AB$219,"&gt;=-1E+307",$AB$17:$AB$219,"&lt;=1E+307")-1),2)))</x:f>
        <x:v>9.9</x:v>
      </x:c>
      <x:c r="AD60" s="38" t="n">
        <x:f>IF(ISNUMBER('sheet4-原始数据'!M45),'sheet4-原始数据'!M45,"")</x:f>
        <x:v>0.0539</x:v>
      </x:c>
      <x:c r="AE60" s="37" t="str">
        <x:f>IF(OR(NOT(ISNUMBER(P60)),NOT(ISNUMBER(AA60)),NOT(ISNUMBER(Z60))),"",IF(AA60&gt;Z60+'sheet1-指标体系'!$J$11,AA60,""))</x:f>
      </x:c>
      <x:c r="AF60" s="17" t="str">
        <x:f>IF(OR(NOT(ISNUMBER(P60)),NOT(ISNUMBER(AE60)),AE60=0),"",P60/AE60)</x:f>
      </x:c>
      <x:c r="AG60" s="17" t="n">
        <x:f>IF(OR($G60&lt;&gt;"入池",NOT(ISNUMBER(AD60))),"",IF(COUNTIFS($G$17:$G$219,"入池",$AD$17:$AD$219,"&gt;=-1E+307",$AD$17:$AD$219,"&lt;=1E+307")&lt;=1,100,ROUND(100*(COUNTIFS($G$17:$G$219,"入池",$AD$17:$AD$219,"&gt;=-1E+307",$AD$17:$AD$219,"&lt;"&amp;AD60)+COUNTIFS($G$17:$G$219,"入池",$AD$17:$AD$219,AD60,$AD$17:$AD$219,"&gt;=-1E+307",$AD$17:$AD$219,"&lt;=1E+307")/2-0.5)/(COUNTIFS($G$17:$G$219,"入池",$AD$17:$AD$219,"&gt;=-1E+307",$AD$17:$AD$219,"&lt;=1E+307")-1),2)))</x:f>
        <x:v>19.9</x:v>
      </x:c>
      <x:c r="AH60" s="17" t="str">
        <x:f>IF(OR($G60&lt;&gt;"入池",NOT(ISNUMBER(AF60))),"",IF(COUNTIFS($G$17:$G$219,"入池",$AF$17:$AF$219,"&gt;=-1E+307",$AF$17:$AF$219,"&lt;=1E+307")&lt;=1,100,ROUND(100*(COUNTIFS($G$17:$G$219,"入池",$AF$17:$AF$219,"&gt;=-1E+307",$AF$17:$AF$219,"&lt;"&amp;AF60)+COUNTIFS($G$17:$G$219,"入池",$AF$17:$AF$219,AF60,$AF$17:$AF$219,"&gt;=-1E+307",$AF$17:$AF$219,"&lt;=1E+307")/2-0.5)/(COUNTIFS($G$17:$G$219,"入池",$AF$17:$AF$219,"&gt;=-1E+307",$AF$17:$AF$219,"&lt;=1E+307")-1),2)))</x:f>
      </x:c>
      <x:c r="AI60" s="17" t="n">
        <x:f>IF(NOT(ISNUMBER(AG60)),"",IF(NOT(ISNUMBER(AH60)),AG60,ROUND(AG60*'sheet1-指标体系'!$J$8+AH60*'sheet1-指标体系'!$J$9,2)))</x:f>
        <x:v>19.9</x:v>
      </x:c>
      <x:c r="AJ60" s="37" t="n">
        <x:f>IF(NOT(ISNUMBER(F60)),"",IF(F60&gt;=3,IF(NOT(ISNUMBER(N60)),"",N60),IF(NOT(ISNUMBER(O60)),"",O60)))</x:f>
        <x:v>0.0424</x:v>
      </x:c>
      <x:c r="AK60" s="17" t="n">
        <x:f>IF(OR(G60&lt;&gt;"入池",NOT(ISNUMBER(M60)),NOT(ISNUMBER(AJ60))),"",IF(M60&gt;=AJ60,100,IF(AJ60-M60&lt;'sheet1-指标体系'!$J$10,80,60)))</x:f>
        <x:v>80</x:v>
      </x:c>
      <x:c r="AL60" s="17" t="n">
        <x:f>IF(COUNT(I60,K60,L60)=0,"",ROUND((IF(ISNUMBER(I60),I60*40%,0)+IF(ISNUMBER(K60),K60*30%,0)+IF(ISNUMBER(L60),L60*30%,0))/(IF(ISNUMBER(I60),40%,0)+IF(ISNUMBER(K60),30%,0)+IF(ISNUMBER(L60),30%,0)),2))</x:f>
        <x:v>84</x:v>
      </x:c>
      <x:c r="AM60" s="17" t="n">
        <x:f>IF(COUNT(Q60,R60,W60,X60)=0,"",ROUND((IF(ISNUMBER(Q60),Q60*42%,0)+IF(ISNUMBER(R60),R60*28%,0)+IF(ISNUMBER(W60),W60*18%,0)+IF(ISNUMBER(X60),X60*12%,0))/(IF(ISNUMBER(Q60),42%,0)+IF(ISNUMBER(R60),28%,0)+IF(ISNUMBER(W60),18%,0)+IF(ISNUMBER(X60),12%,0)),2))</x:f>
        <x:v>43.02</x:v>
      </x:c>
      <x:c r="AN60" s="17" t="n">
        <x:f>IF(ISNUMBER(AC60),AC60,"")</x:f>
        <x:v>9.9</x:v>
      </x:c>
      <x:c r="AO60" s="17" t="n">
        <x:f>IF(COUNT(AG60,AH60)=0,"",ROUND((IF(ISNUMBER(AG60),AG60*60%,0)+IF(ISNUMBER(AH60),AH60*40%,0))/(IF(ISNUMBER(AG60),60%,0)+IF(ISNUMBER(AH60),40%,0)),2))</x:f>
        <x:v>19.9</x:v>
      </x:c>
      <x:c r="AP60" s="17" t="n">
        <x:f>IF(ISNUMBER(AK60),AK60,"")</x:f>
        <x:v>80</x:v>
      </x:c>
      <x:c r="AQ60" s="39" t="n">
        <x:f>IF(G60&lt;&gt;"入池",0,IF(ISNUMBER(I60),6%,0)+IF(ISNUMBER(K60),4.5%,0)+IF(ISNUMBER(L60),4.5%,0)+IF(ISNUMBER(Q60),8.4%,0)+IF(ISNUMBER(R60),5.6%,0)+IF(ISNUMBER(W60),3.6%,0)+IF(ISNUMBER(X60),2.4%,0)+IF(ISNUMBER(AC60),25%,0)+IF(ISNUMBER(AG60),18%,0)+IF(ISNUMBER(AH60),12%,0)+IF(ISNUMBER(AK60),10%,0))</x:f>
        <x:v>0.88</x:v>
      </x:c>
      <x:c r="AR60" s="17" t="n">
        <x:f>IF(AQ60=0,"",IF(ISNUMBER(I60),I60*6%,0)+IF(ISNUMBER(K60),K60*4.5%,0)+IF(ISNUMBER(L60),L60*4.5%,0)+IF(ISNUMBER(Q60),Q60*8.4%,0)+IF(ISNUMBER(R60),R60*5.6%,0)+IF(ISNUMBER(W60),W60*3.6%,0)+IF(ISNUMBER(X60),X60*2.4%,0)+IF(ISNUMBER(AC60),AC60*25%,0)+IF(ISNUMBER(AG60),AG60*18%,0)+IF(ISNUMBER(AH60),AH60*12%,0)+IF(ISNUMBER(AK60),AK60*10%,0))</x:f>
        <x:v>35.260490000000004</x:v>
      </x:c>
      <x:c r="AS60" s="17" t="n">
        <x:f>IF(AQ60=0,"",ROUND(AR60/AQ60,2))</x:f>
        <x:v>40.07</x:v>
      </x:c>
      <x:c r="AT60" s="40" t="n">
        <x:f>IF(OR(G60&lt;&gt;"入池",NOT(ISNUMBER(AS60))),"",COUNTIFS($G$17:$G$219,"入池",$AS$17:$AS$219,"&gt;"&amp;AS60)+COUNTIFS($G$17:$G$219,"入池",$AS$17:$AS$219,AS60,$AQ$17:$AQ$219,"&gt;"&amp;AQ60)+COUNTIFS($G$17:G60,"入池",$AS$17:AS60,AS60,$AQ$17:AQ60,AQ60))</x:f>
        <x:v>175</x:v>
      </x:c>
      <x:c r="AU60" s="41" t="str">
        <x:f t="shared" si="2">IF(NOT(ISNUMBER(I60)),"管理人规模；","")&amp;IF(J60="","产品规模标识；","")&amp;IF(AND(F60&lt;3,NOT(ISNUMBER(O60))),"R_incep；","")&amp;IF(NOT(ISNUMBER(N60)),"近三年收益；","")&amp;IF(NOT(ISNUMBER(U60)),"近三年胜率；","")&amp;IF(AND(ISNUMBER(V60),OR(V60&lt;0,V60&gt;1)),"胜率窗口口径不一致；","")&amp;IF(NOT(ISNUMBER(AA60)),"近三年回撤；","")&amp;IF(NOT(ISNUMBER(AD60)),"短期卡玛；","")&amp;IF(AND(ISNUMBER(P60),NOT(ISNUMBER(AE60))),"DD_long不可识别；","")</x:f>
        <x:v>DD_long不可识别；</x:v>
      </x:c>
      <x:c r="AV60" s="42" t="n">
        <x:v>0</x:v>
      </x:c>
      <x:c r="AW60" s="19" t="str">
        <x:v>上海银杏私募基金管理有限公司</x:v>
      </x:c>
      <x:c r="AX60" s="19" t="str">
        <x:v>2026-03-06</x:v>
      </x:c>
      <x:c r="AY60" s="19" t="str">
        <x:v>https://gs.amac.org.cn/amac-infodisc/res/pof/manager/2105100905108445.html</x:v>
      </x:c>
      <x:c r="AZ60" s="19" t="str">
        <x:v>银杏善投1号私募证券投资基金</x:v>
      </x:c>
      <x:c r="BA60" s="19" t="str">
        <x:v>2026-08-07</x:v>
      </x:c>
      <x:c r="BB60" s="19"/>
      <x:c r="BC60" s="19" t="str">
        <x:v>https://gs.amac.org.cn/amac-infodisc/res/pof/fund/2203111741100604.html</x:v>
      </x:c>
      <x:c r="BD60" s="19" t="str">
        <x:v>已匹配</x:v>
      </x:c>
      <x:c r="BE60"/>
      <x:c r="BF60"/>
    </x:row>
    <x:row r="61" ht="28" customHeight="1">
      <x:c r="A61" s="4" t="n">
        <x:v>45</x:v>
      </x:c>
      <x:c r="B61" s="15" t="str">
        <x:f>'sheet4-原始数据'!A46</x:f>
        <x:v>悬铃C号9期</x:v>
      </x:c>
      <x:c r="C61" s="15" t="str">
        <x:f>'sheet4-原始数据'!B46</x:f>
        <x:v>SVH343</x:v>
      </x:c>
      <x:c r="D61" s="15" t="str">
        <x:f>'sheet4-原始数据'!E46</x:f>
        <x:v>上海悬铃</x:v>
      </x:c>
      <x:c r="E61" s="32" t="n">
        <x:f>IF(ISNUMBER('sheet4-原始数据'!F46),'sheet4-原始数据'!F46,"")</x:f>
        <x:v>44671</x:v>
      </x:c>
      <x:c r="F61" s="17" t="n">
        <x:f>IF(NOT(ISNUMBER(E61)),"",ROUND(('sheet1-指标体系'!$J$23-E61)/365.25,4))</x:f>
        <x:v>4.4079</x:v>
      </x:c>
      <x:c r="G61" s="4" t="str">
        <x:f t="shared" si="1">IF(NOT(ISNUMBER(F61)),"",IF(F61&lt;1,"不入池","入池"))</x:f>
        <x:v>入池</x:v>
      </x:c>
      <x:c r="H61" s="33" t="str">
        <x:v>20-50亿元</x:v>
      </x:c>
      <x:c r="I61" s="17" t="n">
        <x:f>IF(H61="","",IF(ISNUMBER(SEARCH("100亿元以上",H61)),100,IF(OR(ISNUMBER(SEARCH("20-50",H61)),ISNUMBER(SEARCH("50-100",H61)),ISNUMBER(SEARCH("20-100",H61))),90,IF(ISNUMBER(SEARCH("10-20",H61)),80,IF(ISNUMBER(SEARCH("5-10",H61)),70,IF(ISNUMBER(SEARCH("0-5",H61)),60,""))))))</x:f>
        <x:v>90</x:v>
      </x:c>
      <x:c r="J61" s="34" t="str">
        <x:v>无低于1000万元标识</x:v>
      </x:c>
      <x:c r="K61" s="17" t="n">
        <x:f>IF(J61="","",IF(J61="低于1000万元",0,100))</x:f>
        <x:v>100</x:v>
      </x:c>
      <x:c r="L61" s="17" t="n">
        <x:f>IF(NOT(ISNUMBER(F61)),"",IF(F61&lt;1,"",IF(F61&lt;3,70,100)))</x:f>
        <x:v>100</x:v>
      </x:c>
      <x:c r="M61" s="35" t="n">
        <x:f>IF(ISNUMBER('sheet4-原始数据'!G46),'sheet4-原始数据'!G46,"")</x:f>
        <x:v>0.0658</x:v>
      </x:c>
      <x:c r="N61" s="35" t="n">
        <x:f>IF(ISNUMBER('sheet4-原始数据'!H46),'sheet4-原始数据'!H46,"")</x:f>
        <x:v>0.10679999999999999</x:v>
      </x:c>
      <x:c r="O61" s="36" t="str">
        <x:f>IF(ISNUMBER('sheet4-原始数据'!Q46),'sheet4-原始数据'!Q46,"")</x:f>
      </x:c>
      <x:c r="P61" s="37" t="n">
        <x:f>IF($G61&lt;&gt;"入池","",IF($F61&gt;=3,IF(OR(NOT(ISNUMBER($M61)),NOT(ISNUMBER($N61)),1+$M61&lt;=0,1+$N61&lt;0),"",((1+$N61)^3/(1+$M61))^(1/2)-1),IF(OR($F61&lt;=1,NOT(ISNUMBER($M61)),NOT(ISNUMBER($O61)),1+$M61&lt;=0,1+$O61&lt;0),"",((1+$O61)^$F61/(1+$M61))^(1/($F61-1))-1)))</x:f>
        <x:v>0.12788771869304782</x:v>
      </x:c>
      <x:c r="Q61" s="17" t="n">
        <x:f>IF(OR($G61&lt;&gt;"入池",NOT(ISNUMBER(M61))),"",IF(COUNTIFS($G$17:$G$219,"入池",$M$17:$M$219,"&gt;=-1E+307",$M$17:$M$219,"&lt;=1E+307")&lt;=1,100,ROUND(100*(COUNTIFS($G$17:$G$219,"入池",$M$17:$M$219,"&gt;=-1E+307",$M$17:$M$219,"&lt;"&amp;M61)+COUNTIFS($G$17:$G$219,"入池",$M$17:$M$219,M61,$M$17:$M$219,"&gt;=-1E+307",$M$17:$M$219,"&lt;=1E+307")/2-0.5)/(COUNTIFS($G$17:$G$219,"入池",$M$17:$M$219,"&gt;=-1E+307",$M$17:$M$219,"&lt;=1E+307")-1),2)))</x:f>
        <x:v>59.41</x:v>
      </x:c>
      <x:c r="R61" s="17" t="n">
        <x:f>IF(OR($G61&lt;&gt;"入池",NOT(ISNUMBER(P61))),"",IF(COUNTIFS($G$17:$G$219,"入池",$P$17:$P$219,"&gt;=-1E+307",$P$17:$P$219,"&lt;=1E+307")&lt;=1,100,ROUND(100*(COUNTIFS($G$17:$G$219,"入池",$P$17:$P$219,"&gt;=-1E+307",$P$17:$P$219,"&lt;"&amp;P61)+COUNTIFS($G$17:$G$219,"入池",$P$17:$P$219,P61,$P$17:$P$219,"&gt;=-1E+307",$P$17:$P$219,"&lt;=1E+307")/2-0.5)/(COUNTIFS($G$17:$G$219,"入池",$P$17:$P$219,"&gt;=-1E+307",$P$17:$P$219,"&lt;=1E+307")-1),2)))</x:f>
        <x:v>82.18</x:v>
      </x:c>
      <x:c r="S61" s="17" t="n">
        <x:f>IF(NOT(ISNUMBER(Q61)),"",IF(NOT(ISNUMBER(R61)),Q61,ROUND(Q61*'sheet1-指标体系'!$J$8+R61*'sheet1-指标体系'!$J$9,2)))</x:f>
        <x:v>68.52</x:v>
      </x:c>
      <x:c r="T61" s="35" t="n">
        <x:f>IF(ISNUMBER('sheet4-原始数据'!J46),'sheet4-原始数据'!J46,"")</x:f>
        <x:v>0.6154</x:v>
      </x:c>
      <x:c r="U61" s="35" t="n">
        <x:f>IF(ISNUMBER('sheet4-原始数据'!I46),'sheet4-原始数据'!I46,"")</x:f>
        <x:v>0.7027</x:v>
      </x:c>
      <x:c r="V61" s="37" t="n">
        <x:f>IF(OR(NOT(ISNUMBER(T61)),NOT(ISNUMBER(U61))),"",(U61*'sheet1-指标体系'!$J$6-T61*'sheet1-指标体系'!$J$5)/'sheet1-指标体系'!$J$7)</x:f>
        <x:v>0.7499875</x:v>
      </x:c>
      <x:c r="W61" s="17" t="n">
        <x:f>IF(NOT(ISNUMBER(T61)),"",T61*100)</x:f>
        <x:v>61.53999999999999</x:v>
      </x:c>
      <x:c r="X61" s="17" t="n">
        <x:f>IF($G61&lt;&gt;"入池","",IF(AND(ISNUMBER(V61),V61&gt;=0,V61&lt;=1),V61*100,IF(MAX(0,($F61-1)*12)&lt;6,100,"")))</x:f>
        <x:v>74.99875</x:v>
      </x:c>
      <x:c r="Y61" s="17" t="n">
        <x:f>IF(NOT(ISNUMBER(W61)),"",IF(NOT(ISNUMBER(X61)),W61,ROUND(W61*'sheet1-指标体系'!$J$8+X61*'sheet1-指标体系'!$J$9,2)))</x:f>
        <x:v>66.92</x:v>
      </x:c>
      <x:c r="Z61" s="37" t="n">
        <x:f>IF(OR(NOT(ISNUMBER(M61)),NOT(ISNUMBER(AD61)),AD61=0),"",ABS(M61/AD61))</x:f>
        <x:v>0.03562726731279441</x:v>
      </x:c>
      <x:c r="AA61" s="35" t="n">
        <x:f>IF(ISNUMBER('sheet4-原始数据'!K46),'sheet4-原始数据'!K46,"")</x:f>
        <x:v>0.083</x:v>
      </x:c>
      <x:c r="AB61" s="37" t="n">
        <x:f>IF(COUNT(Z61:AA61)=0,"",MAX(Z61:AA61))</x:f>
        <x:v>0.083</x:v>
      </x:c>
      <x:c r="AC61" s="17" t="n">
        <x:f>IF(OR($G61&lt;&gt;"入池",NOT(ISNUMBER(AB61))),"",IF(COUNTIFS($G$17:$G$219,"入池",$AB$17:$AB$219,"&gt;=-1E+307",$AB$17:$AB$219,"&lt;=1E+307")&lt;=1,100,ROUND(100*(COUNTIFS($G$17:$G$219,"入池",$AB$17:$AB$219,"&lt;=1E+307",$AB$17:$AB$219,"&gt;"&amp;AB61)+COUNTIFS($G$17:$G$219,"入池",$AB$17:$AB$219,AB61,$AB$17:$AB$219,"&gt;=-1E+307",$AB$17:$AB$219,"&lt;=1E+307")/2-0.5)/(COUNTIFS($G$17:$G$219,"入池",$AB$17:$AB$219,"&gt;=-1E+307",$AB$17:$AB$219,"&lt;=1E+307")-1),2)))</x:f>
        <x:v>32.18</x:v>
      </x:c>
      <x:c r="AD61" s="38" t="n">
        <x:f>IF(ISNUMBER('sheet4-原始数据'!M46),'sheet4-原始数据'!M46,"")</x:f>
        <x:v>1.8469</x:v>
      </x:c>
      <x:c r="AE61" s="37" t="n">
        <x:f>IF(OR(NOT(ISNUMBER(P61)),NOT(ISNUMBER(AA61)),NOT(ISNUMBER(Z61))),"",IF(AA61&gt;Z61+'sheet1-指标体系'!$J$11,AA61,""))</x:f>
        <x:v>0.083</x:v>
      </x:c>
      <x:c r="AF61" s="17" t="n">
        <x:f>IF(OR(NOT(ISNUMBER(P61)),NOT(ISNUMBER(AE61)),AE61=0),"",P61/AE61)</x:f>
        <x:v>1.540815887868046</x:v>
      </x:c>
      <x:c r="AG61" s="17" t="n">
        <x:f>IF(OR($G61&lt;&gt;"入池",NOT(ISNUMBER(AD61))),"",IF(COUNTIFS($G$17:$G$219,"入池",$AD$17:$AD$219,"&gt;=-1E+307",$AD$17:$AD$219,"&lt;=1E+307")&lt;=1,100,ROUND(100*(COUNTIFS($G$17:$G$219,"入池",$AD$17:$AD$219,"&gt;=-1E+307",$AD$17:$AD$219,"&lt;"&amp;AD61)+COUNTIFS($G$17:$G$219,"入池",$AD$17:$AD$219,AD61,$AD$17:$AD$219,"&gt;=-1E+307",$AD$17:$AD$219,"&lt;=1E+307")/2-0.5)/(COUNTIFS($G$17:$G$219,"入池",$AD$17:$AD$219,"&gt;=-1E+307",$AD$17:$AD$219,"&lt;=1E+307")-1),2)))</x:f>
        <x:v>43.28</x:v>
      </x:c>
      <x:c r="AH61" s="17" t="n">
        <x:f>IF(OR($G61&lt;&gt;"入池",NOT(ISNUMBER(AF61))),"",IF(COUNTIFS($G$17:$G$219,"入池",$AF$17:$AF$219,"&gt;=-1E+307",$AF$17:$AF$219,"&lt;=1E+307")&lt;=1,100,ROUND(100*(COUNTIFS($G$17:$G$219,"入池",$AF$17:$AF$219,"&gt;=-1E+307",$AF$17:$AF$219,"&lt;"&amp;AF61)+COUNTIFS($G$17:$G$219,"入池",$AF$17:$AF$219,AF61,$AF$17:$AF$219,"&gt;=-1E+307",$AF$17:$AF$219,"&lt;=1E+307")/2-0.5)/(COUNTIFS($G$17:$G$219,"入池",$AF$17:$AF$219,"&gt;=-1E+307",$AF$17:$AF$219,"&lt;=1E+307")-1),2)))</x:f>
        <x:v>56.2</x:v>
      </x:c>
      <x:c r="AI61" s="17" t="n">
        <x:f>IF(NOT(ISNUMBER(AG61)),"",IF(NOT(ISNUMBER(AH61)),AG61,ROUND(AG61*'sheet1-指标体系'!$J$8+AH61*'sheet1-指标体系'!$J$9,2)))</x:f>
        <x:v>48.45</x:v>
      </x:c>
      <x:c r="AJ61" s="37" t="n">
        <x:f>IF(NOT(ISNUMBER(F61)),"",IF(F61&gt;=3,IF(NOT(ISNUMBER(N61)),"",N61),IF(NOT(ISNUMBER(O61)),"",O61)))</x:f>
        <x:v>0.10679999999999999</x:v>
      </x:c>
      <x:c r="AK61" s="17" t="n">
        <x:f>IF(OR(G61&lt;&gt;"入池",NOT(ISNUMBER(M61)),NOT(ISNUMBER(AJ61))),"",IF(M61&gt;=AJ61,100,IF(AJ61-M61&lt;'sheet1-指标体系'!$J$10,80,60)))</x:f>
        <x:v>80</x:v>
      </x:c>
      <x:c r="AL61" s="17" t="n">
        <x:f>IF(COUNT(I61,K61,L61)=0,"",ROUND((IF(ISNUMBER(I61),I61*40%,0)+IF(ISNUMBER(K61),K61*30%,0)+IF(ISNUMBER(L61),L61*30%,0))/(IF(ISNUMBER(I61),40%,0)+IF(ISNUMBER(K61),30%,0)+IF(ISNUMBER(L61),30%,0)),2))</x:f>
        <x:v>96</x:v>
      </x:c>
      <x:c r="AM61" s="17" t="n">
        <x:f>IF(COUNT(Q61,R61,W61,X61)=0,"",ROUND((IF(ISNUMBER(Q61),Q61*42%,0)+IF(ISNUMBER(R61),R61*28%,0)+IF(ISNUMBER(W61),W61*18%,0)+IF(ISNUMBER(X61),X61*12%,0))/(IF(ISNUMBER(Q61),42%,0)+IF(ISNUMBER(R61),28%,0)+IF(ISNUMBER(W61),18%,0)+IF(ISNUMBER(X61),12%,0)),2))</x:f>
        <x:v>68.04</x:v>
      </x:c>
      <x:c r="AN61" s="17" t="n">
        <x:f>IF(ISNUMBER(AC61),AC61,"")</x:f>
        <x:v>32.18</x:v>
      </x:c>
      <x:c r="AO61" s="17" t="n">
        <x:f>IF(COUNT(AG61,AH61)=0,"",ROUND((IF(ISNUMBER(AG61),AG61*60%,0)+IF(ISNUMBER(AH61),AH61*40%,0))/(IF(ISNUMBER(AG61),60%,0)+IF(ISNUMBER(AH61),40%,0)),2))</x:f>
        <x:v>48.45</x:v>
      </x:c>
      <x:c r="AP61" s="17" t="n">
        <x:f>IF(ISNUMBER(AK61),AK61,"")</x:f>
        <x:v>80</x:v>
      </x:c>
      <x:c r="AQ61" s="39" t="n">
        <x:f>IF(G61&lt;&gt;"入池",0,IF(ISNUMBER(I61),6%,0)+IF(ISNUMBER(K61),4.5%,0)+IF(ISNUMBER(L61),4.5%,0)+IF(ISNUMBER(Q61),8.4%,0)+IF(ISNUMBER(R61),5.6%,0)+IF(ISNUMBER(W61),3.6%,0)+IF(ISNUMBER(X61),2.4%,0)+IF(ISNUMBER(AC61),25%,0)+IF(ISNUMBER(AG61),18%,0)+IF(ISNUMBER(AH61),12%,0)+IF(ISNUMBER(AK61),10%,0))</x:f>
        <x:v>1</x:v>
      </x:c>
      <x:c r="AR61" s="17" t="n">
        <x:f>IF(AQ61=0,"",IF(ISNUMBER(I61),I61*6%,0)+IF(ISNUMBER(K61),K61*4.5%,0)+IF(ISNUMBER(L61),L61*4.5%,0)+IF(ISNUMBER(Q61),Q61*8.4%,0)+IF(ISNUMBER(R61),R61*5.6%,0)+IF(ISNUMBER(W61),W61*3.6%,0)+IF(ISNUMBER(X61),X61*2.4%,0)+IF(ISNUMBER(AC61),AC61*25%,0)+IF(ISNUMBER(AG61),AG61*18%,0)+IF(ISNUMBER(AH61),AH61*12%,0)+IF(ISNUMBER(AK61),AK61*10%,0))</x:f>
        <x:v>58.58733</x:v>
      </x:c>
      <x:c r="AS61" s="17" t="n">
        <x:f>IF(AQ61=0,"",ROUND(AR61/AQ61,2))</x:f>
        <x:v>58.59</x:v>
      </x:c>
      <x:c r="AT61" s="40" t="n">
        <x:f>IF(OR(G61&lt;&gt;"入池",NOT(ISNUMBER(AS61))),"",COUNTIFS($G$17:$G$219,"入池",$AS$17:$AS$219,"&gt;"&amp;AS61)+COUNTIFS($G$17:$G$219,"入池",$AS$17:$AS$219,AS61,$AQ$17:$AQ$219,"&gt;"&amp;AQ61)+COUNTIFS($G$17:G61,"入池",$AS$17:AS61,AS61,$AQ$17:AQ61,AQ61))</x:f>
        <x:v>115</x:v>
      </x:c>
      <x:c r="AU61" s="41" t="str">
        <x:f t="shared" si="2">IF(NOT(ISNUMBER(I61)),"管理人规模；","")&amp;IF(J61="","产品规模标识；","")&amp;IF(AND(F61&lt;3,NOT(ISNUMBER(O61))),"R_incep；","")&amp;IF(NOT(ISNUMBER(N61)),"近三年收益；","")&amp;IF(NOT(ISNUMBER(U61)),"近三年胜率；","")&amp;IF(AND(ISNUMBER(V61),OR(V61&lt;0,V61&gt;1)),"胜率窗口口径不一致；","")&amp;IF(NOT(ISNUMBER(AA61)),"近三年回撤；","")&amp;IF(NOT(ISNUMBER(AD61)),"短期卡玛；","")&amp;IF(AND(ISNUMBER(P61),NOT(ISNUMBER(AE61))),"DD_long不可识别；","")</x:f>
      </x:c>
      <x:c r="AV61" s="42" t="n">
        <x:v>20</x:v>
      </x:c>
      <x:c r="AW61" s="19" t="str">
        <x:v>上海悬铃私募基金管理有限公司</x:v>
      </x:c>
      <x:c r="AX61" s="19" t="str">
        <x:v>2026-07-13</x:v>
      </x:c>
      <x:c r="AY61" s="19" t="str">
        <x:v>https://gs.amac.org.cn/amac-infodisc/res/pof/manager/1701161209103763.html</x:v>
      </x:c>
      <x:c r="AZ61" s="19" t="str">
        <x:v>悬铃C号9期私募证券投资基金</x:v>
      </x:c>
      <x:c r="BA61" s="19" t="str">
        <x:v>2025-06-20</x:v>
      </x:c>
      <x:c r="BB61" s="19"/>
      <x:c r="BC61" s="19" t="str">
        <x:v>https://gs.amac.org.cn/amac-infodisc/res/pof/fund/2204271846104957.html</x:v>
      </x:c>
      <x:c r="BD61" s="19" t="str">
        <x:v>已匹配</x:v>
      </x:c>
      <x:c r="BE61"/>
      <x:c r="BF61"/>
    </x:row>
    <x:row r="62" ht="28" customHeight="1">
      <x:c r="A62" s="4" t="n">
        <x:v>46</x:v>
      </x:c>
      <x:c r="B62" s="15" t="str">
        <x:f>'sheet4-原始数据'!A47</x:f>
        <x:v>爱凡哲AH多空1号</x:v>
      </x:c>
      <x:c r="C62" s="15" t="str">
        <x:f>'sheet4-原始数据'!B47</x:f>
        <x:v>SVM785</x:v>
      </x:c>
      <x:c r="D62" s="15" t="str">
        <x:f>'sheet4-原始数据'!E47</x:f>
        <x:v>爱凡哲投资</x:v>
      </x:c>
      <x:c r="E62" s="32" t="n">
        <x:f>IF(ISNUMBER('sheet4-原始数据'!F47),'sheet4-原始数据'!F47,"")</x:f>
        <x:v>44673</x:v>
      </x:c>
      <x:c r="F62" s="17" t="n">
        <x:f>IF(NOT(ISNUMBER(E62)),"",ROUND(('sheet1-指标体系'!$J$23-E62)/365.25,4))</x:f>
        <x:v>4.4025</x:v>
      </x:c>
      <x:c r="G62" s="4" t="str">
        <x:f t="shared" si="1">IF(NOT(ISNUMBER(F62)),"",IF(F62&lt;1,"不入池","入池"))</x:f>
        <x:v>入池</x:v>
      </x:c>
      <x:c r="H62" s="33" t="str">
        <x:v>20-50亿元</x:v>
      </x:c>
      <x:c r="I62" s="17" t="n">
        <x:f>IF(H62="","",IF(ISNUMBER(SEARCH("100亿元以上",H62)),100,IF(OR(ISNUMBER(SEARCH("20-50",H62)),ISNUMBER(SEARCH("50-100",H62)),ISNUMBER(SEARCH("20-100",H62))),90,IF(ISNUMBER(SEARCH("10-20",H62)),80,IF(ISNUMBER(SEARCH("5-10",H62)),70,IF(ISNUMBER(SEARCH("0-5",H62)),60,""))))))</x:f>
        <x:v>90</x:v>
      </x:c>
      <x:c r="J62" s="34" t="str">
        <x:v>无低于1000万元标识</x:v>
      </x:c>
      <x:c r="K62" s="17" t="n">
        <x:f>IF(J62="","",IF(J62="低于1000万元",0,100))</x:f>
        <x:v>100</x:v>
      </x:c>
      <x:c r="L62" s="17" t="n">
        <x:f>IF(NOT(ISNUMBER(F62)),"",IF(F62&lt;1,"",IF(F62&lt;3,70,100)))</x:f>
        <x:v>100</x:v>
      </x:c>
      <x:c r="M62" s="35" t="n">
        <x:f>IF(ISNUMBER('sheet4-原始数据'!G47),'sheet4-原始数据'!G47,"")</x:f>
        <x:v>0.0794</x:v>
      </x:c>
      <x:c r="N62" s="35" t="n">
        <x:f>IF(ISNUMBER('sheet4-原始数据'!H47),'sheet4-原始数据'!H47,"")</x:f>
        <x:v>0.1005</x:v>
      </x:c>
      <x:c r="O62" s="36" t="str">
        <x:f>IF(ISNUMBER('sheet4-原始数据'!Q47),'sheet4-原始数据'!Q47,"")</x:f>
      </x:c>
      <x:c r="P62" s="37" t="n">
        <x:f>IF($G62&lt;&gt;"入池","",IF($F62&gt;=3,IF(OR(NOT(ISNUMBER($M62)),NOT(ISNUMBER($N62)),1+$M62&lt;=0,1+$N62&lt;0),"",((1+$N62)^3/(1+$M62))^(1/2)-1),IF(OR($F62&lt;=1,NOT(ISNUMBER($M62)),NOT(ISNUMBER($O62)),1+$M62&lt;=0,1+$O62&lt;0),"",((1+$O62)^$F62/(1+$M62))^(1/($F62-1))-1)))</x:f>
        <x:v>0.11120417247201453</x:v>
      </x:c>
      <x:c r="Q62" s="17" t="n">
        <x:f>IF(OR($G62&lt;&gt;"入池",NOT(ISNUMBER(M62))),"",IF(COUNTIFS($G$17:$G$219,"入池",$M$17:$M$219,"&gt;=-1E+307",$M$17:$M$219,"&lt;=1E+307")&lt;=1,100,ROUND(100*(COUNTIFS($G$17:$G$219,"入池",$M$17:$M$219,"&gt;=-1E+307",$M$17:$M$219,"&lt;"&amp;M62)+COUNTIFS($G$17:$G$219,"入池",$M$17:$M$219,M62,$M$17:$M$219,"&gt;=-1E+307",$M$17:$M$219,"&lt;=1E+307")/2-0.5)/(COUNTIFS($G$17:$G$219,"入池",$M$17:$M$219,"&gt;=-1E+307",$M$17:$M$219,"&lt;=1E+307")-1),2)))</x:f>
        <x:v>71.29</x:v>
      </x:c>
      <x:c r="R62" s="17" t="n">
        <x:f>IF(OR($G62&lt;&gt;"入池",NOT(ISNUMBER(P62))),"",IF(COUNTIFS($G$17:$G$219,"入池",$P$17:$P$219,"&gt;=-1E+307",$P$17:$P$219,"&lt;=1E+307")&lt;=1,100,ROUND(100*(COUNTIFS($G$17:$G$219,"入池",$P$17:$P$219,"&gt;=-1E+307",$P$17:$P$219,"&lt;"&amp;P62)+COUNTIFS($G$17:$G$219,"入池",$P$17:$P$219,P62,$P$17:$P$219,"&gt;=-1E+307",$P$17:$P$219,"&lt;=1E+307")/2-0.5)/(COUNTIFS($G$17:$G$219,"入池",$P$17:$P$219,"&gt;=-1E+307",$P$17:$P$219,"&lt;=1E+307")-1),2)))</x:f>
        <x:v>76.24</x:v>
      </x:c>
      <x:c r="S62" s="17" t="n">
        <x:f>IF(NOT(ISNUMBER(Q62)),"",IF(NOT(ISNUMBER(R62)),Q62,ROUND(Q62*'sheet1-指标体系'!$J$8+R62*'sheet1-指标体系'!$J$9,2)))</x:f>
        <x:v>73.27</x:v>
      </x:c>
      <x:c r="T62" s="35" t="n">
        <x:f>IF(ISNUMBER('sheet4-原始数据'!J47),'sheet4-原始数据'!J47,"")</x:f>
        <x:v>0.9231</x:v>
      </x:c>
      <x:c r="U62" s="35" t="n">
        <x:f>IF(ISNUMBER('sheet4-原始数据'!I47),'sheet4-原始数据'!I47,"")</x:f>
        <x:v>0.8649</x:v>
      </x:c>
      <x:c r="V62" s="37" t="n">
        <x:f>IF(OR(NOT(ISNUMBER(T62)),NOT(ISNUMBER(U62))),"",(U62*'sheet1-指标体系'!$J$6-T62*'sheet1-指标体系'!$J$5)/'sheet1-指标体系'!$J$7)</x:f>
        <x:v>0.8333749999999999</x:v>
      </x:c>
      <x:c r="W62" s="17" t="n">
        <x:f>IF(NOT(ISNUMBER(T62)),"",T62*100)</x:f>
        <x:v>92.31</x:v>
      </x:c>
      <x:c r="X62" s="17" t="n">
        <x:f>IF($G62&lt;&gt;"入池","",IF(AND(ISNUMBER(V62),V62&gt;=0,V62&lt;=1),V62*100,IF(MAX(0,($F62-1)*12)&lt;6,100,"")))</x:f>
        <x:v>83.33749999999999</x:v>
      </x:c>
      <x:c r="Y62" s="17" t="n">
        <x:f>IF(NOT(ISNUMBER(W62)),"",IF(NOT(ISNUMBER(X62)),W62,ROUND(W62*'sheet1-指标体系'!$J$8+X62*'sheet1-指标体系'!$J$9,2)))</x:f>
        <x:v>88.72</x:v>
      </x:c>
      <x:c r="Z62" s="37" t="n">
        <x:f>IF(OR(NOT(ISNUMBER(M62)),NOT(ISNUMBER(AD62)),AD62=0),"",ABS(M62/AD62))</x:f>
        <x:v>0.012711118226206675</x:v>
      </x:c>
      <x:c r="AA62" s="35" t="n">
        <x:f>IF(ISNUMBER('sheet4-原始数据'!K47),'sheet4-原始数据'!K47,"")</x:f>
        <x:v>0.0204</x:v>
      </x:c>
      <x:c r="AB62" s="37" t="n">
        <x:f>IF(COUNT(Z62:AA62)=0,"",MAX(Z62:AA62))</x:f>
        <x:v>0.0204</x:v>
      </x:c>
      <x:c r="AC62" s="17" t="n">
        <x:f>IF(OR($G62&lt;&gt;"入池",NOT(ISNUMBER(AB62))),"",IF(COUNTIFS($G$17:$G$219,"入池",$AB$17:$AB$219,"&gt;=-1E+307",$AB$17:$AB$219,"&lt;=1E+307")&lt;=1,100,ROUND(100*(COUNTIFS($G$17:$G$219,"入池",$AB$17:$AB$219,"&lt;=1E+307",$AB$17:$AB$219,"&gt;"&amp;AB62)+COUNTIFS($G$17:$G$219,"入池",$AB$17:$AB$219,AB62,$AB$17:$AB$219,"&gt;=-1E+307",$AB$17:$AB$219,"&lt;=1E+307")/2-0.5)/(COUNTIFS($G$17:$G$219,"入池",$AB$17:$AB$219,"&gt;=-1E+307",$AB$17:$AB$219,"&lt;=1E+307")-1),2)))</x:f>
        <x:v>75.25</x:v>
      </x:c>
      <x:c r="AD62" s="38" t="n">
        <x:f>IF(ISNUMBER('sheet4-原始数据'!M47),'sheet4-原始数据'!M47,"")</x:f>
        <x:v>6.2465</x:v>
      </x:c>
      <x:c r="AE62" s="37" t="n">
        <x:f>IF(OR(NOT(ISNUMBER(P62)),NOT(ISNUMBER(AA62)),NOT(ISNUMBER(Z62))),"",IF(AA62&gt;Z62+'sheet1-指标体系'!$J$11,AA62,""))</x:f>
        <x:v>0.0204</x:v>
      </x:c>
      <x:c r="AF62" s="17" t="n">
        <x:f>IF(OR(NOT(ISNUMBER(P62)),NOT(ISNUMBER(AE62)),AE62=0),"",P62/AE62)</x:f>
        <x:v>5.451184925098751</x:v>
      </x:c>
      <x:c r="AG62" s="17" t="n">
        <x:f>IF(OR($G62&lt;&gt;"入池",NOT(ISNUMBER(AD62))),"",IF(COUNTIFS($G$17:$G$219,"入池",$AD$17:$AD$219,"&gt;=-1E+307",$AD$17:$AD$219,"&lt;=1E+307")&lt;=1,100,ROUND(100*(COUNTIFS($G$17:$G$219,"入池",$AD$17:$AD$219,"&gt;=-1E+307",$AD$17:$AD$219,"&lt;"&amp;AD62)+COUNTIFS($G$17:$G$219,"入池",$AD$17:$AD$219,AD62,$AD$17:$AD$219,"&gt;=-1E+307",$AD$17:$AD$219,"&lt;=1E+307")/2-0.5)/(COUNTIFS($G$17:$G$219,"入池",$AD$17:$AD$219,"&gt;=-1E+307",$AD$17:$AD$219,"&lt;=1E+307")-1),2)))</x:f>
        <x:v>68.16</x:v>
      </x:c>
      <x:c r="AH62" s="17" t="n">
        <x:f>IF(OR($G62&lt;&gt;"入池",NOT(ISNUMBER(AF62))),"",IF(COUNTIFS($G$17:$G$219,"入池",$AF$17:$AF$219,"&gt;=-1E+307",$AF$17:$AF$219,"&lt;=1E+307")&lt;=1,100,ROUND(100*(COUNTIFS($G$17:$G$219,"入池",$AF$17:$AF$219,"&gt;=-1E+307",$AF$17:$AF$219,"&lt;"&amp;AF62)+COUNTIFS($G$17:$G$219,"入池",$AF$17:$AF$219,AF62,$AF$17:$AF$219,"&gt;=-1E+307",$AF$17:$AF$219,"&lt;=1E+307")/2-0.5)/(COUNTIFS($G$17:$G$219,"入池",$AF$17:$AF$219,"&gt;=-1E+307",$AF$17:$AF$219,"&lt;=1E+307")-1),2)))</x:f>
        <x:v>87.59</x:v>
      </x:c>
      <x:c r="AI62" s="17" t="n">
        <x:f>IF(NOT(ISNUMBER(AG62)),"",IF(NOT(ISNUMBER(AH62)),AG62,ROUND(AG62*'sheet1-指标体系'!$J$8+AH62*'sheet1-指标体系'!$J$9,2)))</x:f>
        <x:v>75.93</x:v>
      </x:c>
      <x:c r="AJ62" s="37" t="n">
        <x:f>IF(NOT(ISNUMBER(F62)),"",IF(F62&gt;=3,IF(NOT(ISNUMBER(N62)),"",N62),IF(NOT(ISNUMBER(O62)),"",O62)))</x:f>
        <x:v>0.1005</x:v>
      </x:c>
      <x:c r="AK62" s="17" t="n">
        <x:f>IF(OR(G62&lt;&gt;"入池",NOT(ISNUMBER(M62)),NOT(ISNUMBER(AJ62))),"",IF(M62&gt;=AJ62,100,IF(AJ62-M62&lt;'sheet1-指标体系'!$J$10,80,60)))</x:f>
        <x:v>80</x:v>
      </x:c>
      <x:c r="AL62" s="17" t="n">
        <x:f>IF(COUNT(I62,K62,L62)=0,"",ROUND((IF(ISNUMBER(I62),I62*40%,0)+IF(ISNUMBER(K62),K62*30%,0)+IF(ISNUMBER(L62),L62*30%,0))/(IF(ISNUMBER(I62),40%,0)+IF(ISNUMBER(K62),30%,0)+IF(ISNUMBER(L62),30%,0)),2))</x:f>
        <x:v>96</x:v>
      </x:c>
      <x:c r="AM62" s="17" t="n">
        <x:f>IF(COUNT(Q62,R62,W62,X62)=0,"",ROUND((IF(ISNUMBER(Q62),Q62*42%,0)+IF(ISNUMBER(R62),R62*28%,0)+IF(ISNUMBER(W62),W62*18%,0)+IF(ISNUMBER(X62),X62*12%,0))/(IF(ISNUMBER(Q62),42%,0)+IF(ISNUMBER(R62),28%,0)+IF(ISNUMBER(W62),18%,0)+IF(ISNUMBER(X62),12%,0)),2))</x:f>
        <x:v>77.91</x:v>
      </x:c>
      <x:c r="AN62" s="17" t="n">
        <x:f>IF(ISNUMBER(AC62),AC62,"")</x:f>
        <x:v>75.25</x:v>
      </x:c>
      <x:c r="AO62" s="17" t="n">
        <x:f>IF(COUNT(AG62,AH62)=0,"",ROUND((IF(ISNUMBER(AG62),AG62*60%,0)+IF(ISNUMBER(AH62),AH62*40%,0))/(IF(ISNUMBER(AG62),60%,0)+IF(ISNUMBER(AH62),40%,0)),2))</x:f>
        <x:v>75.93</x:v>
      </x:c>
      <x:c r="AP62" s="17" t="n">
        <x:f>IF(ISNUMBER(AK62),AK62,"")</x:f>
        <x:v>80</x:v>
      </x:c>
      <x:c r="AQ62" s="39" t="n">
        <x:f>IF(G62&lt;&gt;"入池",0,IF(ISNUMBER(I62),6%,0)+IF(ISNUMBER(K62),4.5%,0)+IF(ISNUMBER(L62),4.5%,0)+IF(ISNUMBER(Q62),8.4%,0)+IF(ISNUMBER(R62),5.6%,0)+IF(ISNUMBER(W62),3.6%,0)+IF(ISNUMBER(X62),2.4%,0)+IF(ISNUMBER(AC62),25%,0)+IF(ISNUMBER(AG62),18%,0)+IF(ISNUMBER(AH62),12%,0)+IF(ISNUMBER(AK62),10%,0))</x:f>
        <x:v>1</x:v>
      </x:c>
      <x:c r="AR62" s="17" t="n">
        <x:f>IF(AQ62=0,"",IF(ISNUMBER(I62),I62*6%,0)+IF(ISNUMBER(K62),K62*4.5%,0)+IF(ISNUMBER(L62),L62*4.5%,0)+IF(ISNUMBER(Q62),Q62*8.4%,0)+IF(ISNUMBER(R62),R62*5.6%,0)+IF(ISNUMBER(W62),W62*3.6%,0)+IF(ISNUMBER(X62),X62*2.4%,0)+IF(ISNUMBER(AC62),AC62*25%,0)+IF(ISNUMBER(AG62),AG62*18%,0)+IF(ISNUMBER(AH62),AH62*12%,0)+IF(ISNUMBER(AK62),AK62*10%,0))</x:f>
        <x:v>79.57316</x:v>
      </x:c>
      <x:c r="AS62" s="17" t="n">
        <x:f>IF(AQ62=0,"",ROUND(AR62/AQ62,2))</x:f>
        <x:v>79.57</x:v>
      </x:c>
      <x:c r="AT62" s="40" t="n">
        <x:f>IF(OR(G62&lt;&gt;"入池",NOT(ISNUMBER(AS62))),"",COUNTIFS($G$17:$G$219,"入池",$AS$17:$AS$219,"&gt;"&amp;AS62)+COUNTIFS($G$17:$G$219,"入池",$AS$17:$AS$219,AS62,$AQ$17:$AQ$219,"&gt;"&amp;AQ62)+COUNTIFS($G$17:G62,"入池",$AS$17:AS62,AS62,$AQ$17:AQ62,AQ62))</x:f>
        <x:v>34</x:v>
      </x:c>
      <x:c r="AU62" s="41" t="str">
        <x:f t="shared" si="2">IF(NOT(ISNUMBER(I62)),"管理人规模；","")&amp;IF(J62="","产品规模标识；","")&amp;IF(AND(F62&lt;3,NOT(ISNUMBER(O62))),"R_incep；","")&amp;IF(NOT(ISNUMBER(N62)),"近三年收益；","")&amp;IF(NOT(ISNUMBER(U62)),"近三年胜率；","")&amp;IF(AND(ISNUMBER(V62),OR(V62&lt;0,V62&gt;1)),"胜率窗口口径不一致；","")&amp;IF(NOT(ISNUMBER(AA62)),"近三年回撤；","")&amp;IF(NOT(ISNUMBER(AD62)),"短期卡玛；","")&amp;IF(AND(ISNUMBER(P62),NOT(ISNUMBER(AE62))),"DD_long不可识别；","")</x:f>
      </x:c>
      <x:c r="AV62" s="42" t="n">
        <x:v>20</x:v>
      </x:c>
      <x:c r="AW62" s="19" t="str">
        <x:v>爱凡哲投资管理有限公司</x:v>
      </x:c>
      <x:c r="AX62" s="19" t="str">
        <x:v>2025-04-30</x:v>
      </x:c>
      <x:c r="AY62" s="19" t="str">
        <x:v>https://gs.amac.org.cn/amac-infodisc/res/pof/manager/1709181131101311.html</x:v>
      </x:c>
      <x:c r="AZ62" s="19" t="str">
        <x:v>爱凡哲AH多空1号私募证券投资基金</x:v>
      </x:c>
      <x:c r="BA62" s="19" t="str">
        <x:v>2026-07-27</x:v>
      </x:c>
      <x:c r="BB62" s="19"/>
      <x:c r="BC62" s="19" t="str">
        <x:v>https://gs.amac.org.cn/amac-infodisc/res/pof/fund/2204271846105720.html</x:v>
      </x:c>
      <x:c r="BD62" s="19" t="str">
        <x:v>已匹配</x:v>
      </x:c>
      <x:c r="BE62"/>
      <x:c r="BF62"/>
    </x:row>
    <x:row r="63" ht="28" customHeight="1">
      <x:c r="A63" s="4" t="n">
        <x:v>47</x:v>
      </x:c>
      <x:c r="B63" s="15" t="str">
        <x:f>'sheet4-原始数据'!A48</x:f>
        <x:v>钧誉酬勤量化3号</x:v>
      </x:c>
      <x:c r="C63" s="15" t="str">
        <x:f>'sheet4-原始数据'!B48</x:f>
        <x:v>SVP121</x:v>
      </x:c>
      <x:c r="D63" s="15" t="str">
        <x:f>'sheet4-原始数据'!E48</x:f>
        <x:v>珠海钧誉资管</x:v>
      </x:c>
      <x:c r="E63" s="32" t="n">
        <x:f>IF(ISNUMBER('sheet4-原始数据'!F48),'sheet4-原始数据'!F48,"")</x:f>
        <x:v>44686</x:v>
      </x:c>
      <x:c r="F63" s="17" t="n">
        <x:f>IF(NOT(ISNUMBER(E63)),"",ROUND(('sheet1-指标体系'!$J$23-E63)/365.25,4))</x:f>
        <x:v>4.3669</x:v>
      </x:c>
      <x:c r="G63" s="4" t="str">
        <x:f t="shared" si="1">IF(NOT(ISNUMBER(F63)),"",IF(F63&lt;1,"不入池","入池"))</x:f>
        <x:v>入池</x:v>
      </x:c>
      <x:c r="H63" s="33" t="str">
        <x:v>0-5亿元</x:v>
      </x:c>
      <x:c r="I63" s="17" t="n">
        <x:f>IF(H63="","",IF(ISNUMBER(SEARCH("100亿元以上",H63)),100,IF(OR(ISNUMBER(SEARCH("20-50",H63)),ISNUMBER(SEARCH("50-100",H63)),ISNUMBER(SEARCH("20-100",H63))),90,IF(ISNUMBER(SEARCH("10-20",H63)),80,IF(ISNUMBER(SEARCH("5-10",H63)),70,IF(ISNUMBER(SEARCH("0-5",H63)),60,""))))))</x:f>
        <x:v>60</x:v>
      </x:c>
      <x:c r="J63" s="34" t="str">
        <x:v>无低于1000万元标识</x:v>
      </x:c>
      <x:c r="K63" s="17" t="n">
        <x:f>IF(J63="","",IF(J63="低于1000万元",0,100))</x:f>
        <x:v>100</x:v>
      </x:c>
      <x:c r="L63" s="17" t="n">
        <x:f>IF(NOT(ISNUMBER(F63)),"",IF(F63&lt;1,"",IF(F63&lt;3,70,100)))</x:f>
        <x:v>100</x:v>
      </x:c>
      <x:c r="M63" s="35" t="n">
        <x:f>IF(ISNUMBER('sheet4-原始数据'!G48),'sheet4-原始数据'!G48,"")</x:f>
        <x:v>0.0632</x:v>
      </x:c>
      <x:c r="N63" s="35" t="n">
        <x:f>IF(ISNUMBER('sheet4-原始数据'!H48),'sheet4-原始数据'!H48,"")</x:f>
        <x:v>0.0521</x:v>
      </x:c>
      <x:c r="O63" s="36" t="str">
        <x:f>IF(ISNUMBER('sheet4-原始数据'!Q48),'sheet4-原始数据'!Q48,"")</x:f>
      </x:c>
      <x:c r="P63" s="37" t="n">
        <x:f>IF($G63&lt;&gt;"入池","",IF($F63&gt;=3,IF(OR(NOT(ISNUMBER($M63)),NOT(ISNUMBER($N63)),1+$M63&lt;=0,1+$N63&lt;0),"",((1+$N63)^3/(1+$M63))^(1/2)-1),IF(OR($F63&lt;=1,NOT(ISNUMBER($M63)),NOT(ISNUMBER($O63)),1+$M63&lt;=0,1+$O63&lt;0),"",((1+$O63)^$F63/(1+$M63))^(1/($F63-1))-1)))</x:f>
        <x:v>0.04659353316621928</x:v>
      </x:c>
      <x:c r="Q63" s="17" t="n">
        <x:f>IF(OR($G63&lt;&gt;"入池",NOT(ISNUMBER(M63))),"",IF(COUNTIFS($G$17:$G$219,"入池",$M$17:$M$219,"&gt;=-1E+307",$M$17:$M$219,"&lt;=1E+307")&lt;=1,100,ROUND(100*(COUNTIFS($G$17:$G$219,"入池",$M$17:$M$219,"&gt;=-1E+307",$M$17:$M$219,"&lt;"&amp;M63)+COUNTIFS($G$17:$G$219,"入池",$M$17:$M$219,M63,$M$17:$M$219,"&gt;=-1E+307",$M$17:$M$219,"&lt;=1E+307")/2-0.5)/(COUNTIFS($G$17:$G$219,"入池",$M$17:$M$219,"&gt;=-1E+307",$M$17:$M$219,"&lt;=1E+307")-1),2)))</x:f>
        <x:v>57.67</x:v>
      </x:c>
      <x:c r="R63" s="17" t="n">
        <x:f>IF(OR($G63&lt;&gt;"入池",NOT(ISNUMBER(P63))),"",IF(COUNTIFS($G$17:$G$219,"入池",$P$17:$P$219,"&gt;=-1E+307",$P$17:$P$219,"&lt;=1E+307")&lt;=1,100,ROUND(100*(COUNTIFS($G$17:$G$219,"入池",$P$17:$P$219,"&gt;=-1E+307",$P$17:$P$219,"&lt;"&amp;P63)+COUNTIFS($G$17:$G$219,"入池",$P$17:$P$219,P63,$P$17:$P$219,"&gt;=-1E+307",$P$17:$P$219,"&lt;=1E+307")/2-0.5)/(COUNTIFS($G$17:$G$219,"入池",$P$17:$P$219,"&gt;=-1E+307",$P$17:$P$219,"&lt;=1E+307")-1),2)))</x:f>
        <x:v>32.67</x:v>
      </x:c>
      <x:c r="S63" s="17" t="n">
        <x:f>IF(NOT(ISNUMBER(Q63)),"",IF(NOT(ISNUMBER(R63)),Q63,ROUND(Q63*'sheet1-指标体系'!$J$8+R63*'sheet1-指标体系'!$J$9,2)))</x:f>
        <x:v>47.67</x:v>
      </x:c>
      <x:c r="T63" s="35" t="n">
        <x:f>IF(ISNUMBER('sheet4-原始数据'!J48),'sheet4-原始数据'!J48,"")</x:f>
        <x:v>0.9231</x:v>
      </x:c>
      <x:c r="U63" s="35" t="n">
        <x:f>IF(ISNUMBER('sheet4-原始数据'!I48),'sheet4-原始数据'!I48,"")</x:f>
        <x:v>0.7297</x:v>
      </x:c>
      <x:c r="V63" s="37" t="n">
        <x:f>IF(OR(NOT(ISNUMBER(T63)),NOT(ISNUMBER(U63))),"",(U63*'sheet1-指标体系'!$J$6-T63*'sheet1-指标体系'!$J$5)/'sheet1-指标体系'!$J$7)</x:f>
        <x:v>0.6249416666666666</x:v>
      </x:c>
      <x:c r="W63" s="17" t="n">
        <x:f>IF(NOT(ISNUMBER(T63)),"",T63*100)</x:f>
        <x:v>92.31</x:v>
      </x:c>
      <x:c r="X63" s="17" t="n">
        <x:f>IF($G63&lt;&gt;"入池","",IF(AND(ISNUMBER(V63),V63&gt;=0,V63&lt;=1),V63*100,IF(MAX(0,($F63-1)*12)&lt;6,100,"")))</x:f>
        <x:v>62.494166666666665</x:v>
      </x:c>
      <x:c r="Y63" s="17" t="n">
        <x:f>IF(NOT(ISNUMBER(W63)),"",IF(NOT(ISNUMBER(X63)),W63,ROUND(W63*'sheet1-指标体系'!$J$8+X63*'sheet1-指标体系'!$J$9,2)))</x:f>
        <x:v>80.38</x:v>
      </x:c>
      <x:c r="Z63" s="37" t="n">
        <x:f>IF(OR(NOT(ISNUMBER(M63)),NOT(ISNUMBER(AD63)),AD63=0),"",ABS(M63/AD63))</x:f>
        <x:v>0.01094960065143194</x:v>
      </x:c>
      <x:c r="AA63" s="35" t="n">
        <x:f>IF(ISNUMBER('sheet4-原始数据'!K48),'sheet4-原始数据'!K48,"")</x:f>
        <x:v>0.013600000000000001</x:v>
      </x:c>
      <x:c r="AB63" s="37" t="n">
        <x:f>IF(COUNT(Z63:AA63)=0,"",MAX(Z63:AA63))</x:f>
        <x:v>0.013600000000000001</x:v>
      </x:c>
      <x:c r="AC63" s="17" t="n">
        <x:f>IF(OR($G63&lt;&gt;"入池",NOT(ISNUMBER(AB63))),"",IF(COUNTIFS($G$17:$G$219,"入池",$AB$17:$AB$219,"&gt;=-1E+307",$AB$17:$AB$219,"&lt;=1E+307")&lt;=1,100,ROUND(100*(COUNTIFS($G$17:$G$219,"入池",$AB$17:$AB$219,"&lt;=1E+307",$AB$17:$AB$219,"&gt;"&amp;AB63)+COUNTIFS($G$17:$G$219,"入池",$AB$17:$AB$219,AB63,$AB$17:$AB$219,"&gt;=-1E+307",$AB$17:$AB$219,"&lt;=1E+307")/2-0.5)/(COUNTIFS($G$17:$G$219,"入池",$AB$17:$AB$219,"&gt;=-1E+307",$AB$17:$AB$219,"&lt;=1E+307")-1),2)))</x:f>
        <x:v>80.69</x:v>
      </x:c>
      <x:c r="AD63" s="38" t="n">
        <x:f>IF(ISNUMBER('sheet4-原始数据'!M48),'sheet4-原始数据'!M48,"")</x:f>
        <x:v>5.7719</x:v>
      </x:c>
      <x:c r="AE63" s="37" t="n">
        <x:f>IF(OR(NOT(ISNUMBER(P63)),NOT(ISNUMBER(AA63)),NOT(ISNUMBER(Z63))),"",IF(AA63&gt;Z63+'sheet1-指标体系'!$J$11,AA63,""))</x:f>
        <x:v>0.013600000000000001</x:v>
      </x:c>
      <x:c r="AF63" s="17" t="n">
        <x:f>IF(OR(NOT(ISNUMBER(P63)),NOT(ISNUMBER(AE63)),AE63=0),"",P63/AE63)</x:f>
        <x:v>3.4259950857514174</x:v>
      </x:c>
      <x:c r="AG63" s="17" t="n">
        <x:f>IF(OR($G63&lt;&gt;"入池",NOT(ISNUMBER(AD63))),"",IF(COUNTIFS($G$17:$G$219,"入池",$AD$17:$AD$219,"&gt;=-1E+307",$AD$17:$AD$219,"&lt;=1E+307")&lt;=1,100,ROUND(100*(COUNTIFS($G$17:$G$219,"入池",$AD$17:$AD$219,"&gt;=-1E+307",$AD$17:$AD$219,"&lt;"&amp;AD63)+COUNTIFS($G$17:$G$219,"入池",$AD$17:$AD$219,AD63,$AD$17:$AD$219,"&gt;=-1E+307",$AD$17:$AD$219,"&lt;=1E+307")/2-0.5)/(COUNTIFS($G$17:$G$219,"入池",$AD$17:$AD$219,"&gt;=-1E+307",$AD$17:$AD$219,"&lt;=1E+307")-1),2)))</x:f>
        <x:v>67.16</x:v>
      </x:c>
      <x:c r="AH63" s="17" t="n">
        <x:f>IF(OR($G63&lt;&gt;"入池",NOT(ISNUMBER(AF63))),"",IF(COUNTIFS($G$17:$G$219,"入池",$AF$17:$AF$219,"&gt;=-1E+307",$AF$17:$AF$219,"&lt;=1E+307")&lt;=1,100,ROUND(100*(COUNTIFS($G$17:$G$219,"入池",$AF$17:$AF$219,"&gt;=-1E+307",$AF$17:$AF$219,"&lt;"&amp;AF63)+COUNTIFS($G$17:$G$219,"入池",$AF$17:$AF$219,AF63,$AF$17:$AF$219,"&gt;=-1E+307",$AF$17:$AF$219,"&lt;=1E+307")/2-0.5)/(COUNTIFS($G$17:$G$219,"入池",$AF$17:$AF$219,"&gt;=-1E+307",$AF$17:$AF$219,"&lt;=1E+307")-1),2)))</x:f>
        <x:v>77.37</x:v>
      </x:c>
      <x:c r="AI63" s="17" t="n">
        <x:f>IF(NOT(ISNUMBER(AG63)),"",IF(NOT(ISNUMBER(AH63)),AG63,ROUND(AG63*'sheet1-指标体系'!$J$8+AH63*'sheet1-指标体系'!$J$9,2)))</x:f>
        <x:v>71.24</x:v>
      </x:c>
      <x:c r="AJ63" s="37" t="n">
        <x:f>IF(NOT(ISNUMBER(F63)),"",IF(F63&gt;=3,IF(NOT(ISNUMBER(N63)),"",N63),IF(NOT(ISNUMBER(O63)),"",O63)))</x:f>
        <x:v>0.0521</x:v>
      </x:c>
      <x:c r="AK63" s="17" t="n">
        <x:f>IF(OR(G63&lt;&gt;"入池",NOT(ISNUMBER(M63)),NOT(ISNUMBER(AJ63))),"",IF(M63&gt;=AJ63,100,IF(AJ63-M63&lt;'sheet1-指标体系'!$J$10,80,60)))</x:f>
        <x:v>100</x:v>
      </x:c>
      <x:c r="AL63" s="17" t="n">
        <x:f>IF(COUNT(I63,K63,L63)=0,"",ROUND((IF(ISNUMBER(I63),I63*40%,0)+IF(ISNUMBER(K63),K63*30%,0)+IF(ISNUMBER(L63),L63*30%,0))/(IF(ISNUMBER(I63),40%,0)+IF(ISNUMBER(K63),30%,0)+IF(ISNUMBER(L63),30%,0)),2))</x:f>
        <x:v>84</x:v>
      </x:c>
      <x:c r="AM63" s="17" t="n">
        <x:f>IF(COUNT(Q63,R63,W63,X63)=0,"",ROUND((IF(ISNUMBER(Q63),Q63*42%,0)+IF(ISNUMBER(R63),R63*28%,0)+IF(ISNUMBER(W63),W63*18%,0)+IF(ISNUMBER(X63),X63*12%,0))/(IF(ISNUMBER(Q63),42%,0)+IF(ISNUMBER(R63),28%,0)+IF(ISNUMBER(W63),18%,0)+IF(ISNUMBER(X63),12%,0)),2))</x:f>
        <x:v>57.48</x:v>
      </x:c>
      <x:c r="AN63" s="17" t="n">
        <x:f>IF(ISNUMBER(AC63),AC63,"")</x:f>
        <x:v>80.69</x:v>
      </x:c>
      <x:c r="AO63" s="17" t="n">
        <x:f>IF(COUNT(AG63,AH63)=0,"",ROUND((IF(ISNUMBER(AG63),AG63*60%,0)+IF(ISNUMBER(AH63),AH63*40%,0))/(IF(ISNUMBER(AG63),60%,0)+IF(ISNUMBER(AH63),40%,0)),2))</x:f>
        <x:v>71.24</x:v>
      </x:c>
      <x:c r="AP63" s="17" t="n">
        <x:f>IF(ISNUMBER(AK63),AK63,"")</x:f>
        <x:v>100</x:v>
      </x:c>
      <x:c r="AQ63" s="39" t="n">
        <x:f>IF(G63&lt;&gt;"入池",0,IF(ISNUMBER(I63),6%,0)+IF(ISNUMBER(K63),4.5%,0)+IF(ISNUMBER(L63),4.5%,0)+IF(ISNUMBER(Q63),8.4%,0)+IF(ISNUMBER(R63),5.6%,0)+IF(ISNUMBER(W63),3.6%,0)+IF(ISNUMBER(X63),2.4%,0)+IF(ISNUMBER(AC63),25%,0)+IF(ISNUMBER(AG63),18%,0)+IF(ISNUMBER(AH63),12%,0)+IF(ISNUMBER(AK63),10%,0))</x:f>
        <x:v>1</x:v>
      </x:c>
      <x:c r="AR63" s="17" t="n">
        <x:f>IF(AQ63=0,"",IF(ISNUMBER(I63),I63*6%,0)+IF(ISNUMBER(K63),K63*4.5%,0)+IF(ISNUMBER(L63),L63*4.5%,0)+IF(ISNUMBER(Q63),Q63*8.4%,0)+IF(ISNUMBER(R63),R63*5.6%,0)+IF(ISNUMBER(W63),W63*3.6%,0)+IF(ISNUMBER(X63),X63*2.4%,0)+IF(ISNUMBER(AC63),AC63*25%,0)+IF(ISNUMBER(AG63),AG63*18%,0)+IF(ISNUMBER(AH63),AH63*12%,0)+IF(ISNUMBER(AK63),AK63*10%,0))</x:f>
        <x:v>75.64252</x:v>
      </x:c>
      <x:c r="AS63" s="17" t="n">
        <x:f>IF(AQ63=0,"",ROUND(AR63/AQ63,2))</x:f>
        <x:v>75.64</x:v>
      </x:c>
      <x:c r="AT63" s="40" t="n">
        <x:f>IF(OR(G63&lt;&gt;"入池",NOT(ISNUMBER(AS63))),"",COUNTIFS($G$17:$G$219,"入池",$AS$17:$AS$219,"&gt;"&amp;AS63)+COUNTIFS($G$17:$G$219,"入池",$AS$17:$AS$219,AS63,$AQ$17:$AQ$219,"&gt;"&amp;AQ63)+COUNTIFS($G$17:G63,"入池",$AS$17:AS63,AS63,$AQ$17:AQ63,AQ63))</x:f>
        <x:v>45</x:v>
      </x:c>
      <x:c r="AU63" s="41" t="str">
        <x:f t="shared" si="2">IF(NOT(ISNUMBER(I63)),"管理人规模；","")&amp;IF(J63="","产品规模标识；","")&amp;IF(AND(F63&lt;3,NOT(ISNUMBER(O63))),"R_incep；","")&amp;IF(NOT(ISNUMBER(N63)),"近三年收益；","")&amp;IF(NOT(ISNUMBER(U63)),"近三年胜率；","")&amp;IF(AND(ISNUMBER(V63),OR(V63&lt;0,V63&gt;1)),"胜率窗口口径不一致；","")&amp;IF(NOT(ISNUMBER(AA63)),"近三年回撤；","")&amp;IF(NOT(ISNUMBER(AD63)),"短期卡玛；","")&amp;IF(AND(ISNUMBER(P63),NOT(ISNUMBER(AE63))),"DD_long不可识别；","")</x:f>
      </x:c>
      <x:c r="AV63" s="42" t="n">
        <x:v>0</x:v>
      </x:c>
      <x:c r="AW63" s="19" t="str">
        <x:v>珠海钧誉资产管理有限公司</x:v>
      </x:c>
      <x:c r="AX63" s="19" t="str">
        <x:v>2024-06-28</x:v>
      </x:c>
      <x:c r="AY63" s="19" t="str">
        <x:v>https://gs.amac.org.cn/amac-infodisc/res/pof/manager/1801241613109731.html</x:v>
      </x:c>
      <x:c r="AZ63" s="19" t="str">
        <x:v>钧誉酬勤量化3号私募证券投资基金</x:v>
      </x:c>
      <x:c r="BA63" s="19" t="str">
        <x:v>2025-10-22</x:v>
      </x:c>
      <x:c r="BB63" s="19"/>
      <x:c r="BC63" s="19" t="str">
        <x:v>https://gs.amac.org.cn/amac-infodisc/res/pof/fund/2205121655102793.html</x:v>
      </x:c>
      <x:c r="BD63" s="19" t="str">
        <x:v>已匹配</x:v>
      </x:c>
      <x:c r="BE63"/>
      <x:c r="BF63"/>
    </x:row>
    <x:row r="64" ht="28" customHeight="1">
      <x:c r="A64" s="4" t="n">
        <x:v>48</x:v>
      </x:c>
      <x:c r="B64" s="15" t="str">
        <x:f>'sheet4-原始数据'!A49</x:f>
        <x:v>汇富联合日盈12号</x:v>
      </x:c>
      <x:c r="C64" s="15" t="str">
        <x:f>'sheet4-原始数据'!B49</x:f>
        <x:v>SVQ519</x:v>
      </x:c>
      <x:c r="D64" s="15" t="str">
        <x:f>'sheet4-原始数据'!E49</x:f>
        <x:v>深圳前海汇富联合</x:v>
      </x:c>
      <x:c r="E64" s="32" t="n">
        <x:f>IF(ISNUMBER('sheet4-原始数据'!F49),'sheet4-原始数据'!F49,"")</x:f>
        <x:v>44693</x:v>
      </x:c>
      <x:c r="F64" s="17" t="n">
        <x:f>IF(NOT(ISNUMBER(E64)),"",ROUND(('sheet1-指标体系'!$J$23-E64)/365.25,4))</x:f>
        <x:v>4.3477</x:v>
      </x:c>
      <x:c r="G64" s="4" t="str">
        <x:f t="shared" si="1">IF(NOT(ISNUMBER(F64)),"",IF(F64&lt;1,"不入池","入池"))</x:f>
        <x:v>入池</x:v>
      </x:c>
      <x:c r="H64" s="33" t="str">
        <x:v>20-50亿元</x:v>
      </x:c>
      <x:c r="I64" s="17" t="n">
        <x:f>IF(H64="","",IF(ISNUMBER(SEARCH("100亿元以上",H64)),100,IF(OR(ISNUMBER(SEARCH("20-50",H64)),ISNUMBER(SEARCH("50-100",H64)),ISNUMBER(SEARCH("20-100",H64))),90,IF(ISNUMBER(SEARCH("10-20",H64)),80,IF(ISNUMBER(SEARCH("5-10",H64)),70,IF(ISNUMBER(SEARCH("0-5",H64)),60,""))))))</x:f>
        <x:v>90</x:v>
      </x:c>
      <x:c r="J64" s="34" t="str">
        <x:v>无低于1000万元标识</x:v>
      </x:c>
      <x:c r="K64" s="17" t="n">
        <x:f>IF(J64="","",IF(J64="低于1000万元",0,100))</x:f>
        <x:v>100</x:v>
      </x:c>
      <x:c r="L64" s="17" t="n">
        <x:f>IF(NOT(ISNUMBER(F64)),"",IF(F64&lt;1,"",IF(F64&lt;3,70,100)))</x:f>
        <x:v>100</x:v>
      </x:c>
      <x:c r="M64" s="35" t="n">
        <x:f>IF(ISNUMBER('sheet4-原始数据'!G49),'sheet4-原始数据'!G49,"")</x:f>
        <x:v>0.2827</x:v>
      </x:c>
      <x:c r="N64" s="35" t="n">
        <x:f>IF(ISNUMBER('sheet4-原始数据'!H49),'sheet4-原始数据'!H49,"")</x:f>
        <x:v>0.08689999999999999</x:v>
      </x:c>
      <x:c r="O64" s="36" t="str">
        <x:f>IF(ISNUMBER('sheet4-原始数据'!Q49),'sheet4-原始数据'!Q49,"")</x:f>
      </x:c>
      <x:c r="P64" s="37" t="n">
        <x:f>IF($G64&lt;&gt;"入池","",IF($F64&gt;=3,IF(OR(NOT(ISNUMBER($M64)),NOT(ISNUMBER($N64)),1+$M64&lt;=0,1+$N64&lt;0),"",((1+$N64)^3/(1+$M64))^(1/2)-1),IF(OR($F64&lt;=1,NOT(ISNUMBER($M64)),NOT(ISNUMBER($O64)),1+$M64&lt;=0,1+$O64&lt;0),"",((1+$O64)^$F64/(1+$M64))^(1/($F64-1))-1)))</x:f>
        <x:v>0.0005109261970204226</x:v>
      </x:c>
      <x:c r="Q64" s="17" t="n">
        <x:f>IF(OR($G64&lt;&gt;"入池",NOT(ISNUMBER(M64))),"",IF(COUNTIFS($G$17:$G$219,"入池",$M$17:$M$219,"&gt;=-1E+307",$M$17:$M$219,"&lt;=1E+307")&lt;=1,100,ROUND(100*(COUNTIFS($G$17:$G$219,"入池",$M$17:$M$219,"&gt;=-1E+307",$M$17:$M$219,"&lt;"&amp;M64)+COUNTIFS($G$17:$G$219,"入池",$M$17:$M$219,M64,$M$17:$M$219,"&gt;=-1E+307",$M$17:$M$219,"&lt;=1E+307")/2-0.5)/(COUNTIFS($G$17:$G$219,"入池",$M$17:$M$219,"&gt;=-1E+307",$M$17:$M$219,"&lt;=1E+307")-1),2)))</x:f>
        <x:v>96.53</x:v>
      </x:c>
      <x:c r="R64" s="17" t="n">
        <x:f>IF(OR($G64&lt;&gt;"入池",NOT(ISNUMBER(P64))),"",IF(COUNTIFS($G$17:$G$219,"入池",$P$17:$P$219,"&gt;=-1E+307",$P$17:$P$219,"&lt;=1E+307")&lt;=1,100,ROUND(100*(COUNTIFS($G$17:$G$219,"入池",$P$17:$P$219,"&gt;=-1E+307",$P$17:$P$219,"&lt;"&amp;P64)+COUNTIFS($G$17:$G$219,"入池",$P$17:$P$219,P64,$P$17:$P$219,"&gt;=-1E+307",$P$17:$P$219,"&lt;=1E+307")/2-0.5)/(COUNTIFS($G$17:$G$219,"入池",$P$17:$P$219,"&gt;=-1E+307",$P$17:$P$219,"&lt;=1E+307")-1),2)))</x:f>
        <x:v>5.45</x:v>
      </x:c>
      <x:c r="S64" s="17" t="n">
        <x:f>IF(NOT(ISNUMBER(Q64)),"",IF(NOT(ISNUMBER(R64)),Q64,ROUND(Q64*'sheet1-指标体系'!$J$8+R64*'sheet1-指标体系'!$J$9,2)))</x:f>
        <x:v>60.1</x:v>
      </x:c>
      <x:c r="T64" s="35" t="n">
        <x:f>IF(ISNUMBER('sheet4-原始数据'!J49),'sheet4-原始数据'!J49,"")</x:f>
        <x:v>0.8462000000000001</x:v>
      </x:c>
      <x:c r="U64" s="35" t="n">
        <x:f>IF(ISNUMBER('sheet4-原始数据'!I49),'sheet4-原始数据'!I49,"")</x:f>
        <x:v>0.7837999999999999</x:v>
      </x:c>
      <x:c r="V64" s="37" t="n">
        <x:f>IF(OR(NOT(ISNUMBER(T64)),NOT(ISNUMBER(U64))),"",(U64*'sheet1-指标体系'!$J$6-T64*'sheet1-指标体系'!$J$5)/'sheet1-指标体系'!$J$7)</x:f>
        <x:v>0.75</x:v>
      </x:c>
      <x:c r="W64" s="17" t="n">
        <x:f>IF(NOT(ISNUMBER(T64)),"",T64*100)</x:f>
        <x:v>84.62</x:v>
      </x:c>
      <x:c r="X64" s="17" t="n">
        <x:f>IF($G64&lt;&gt;"入池","",IF(AND(ISNUMBER(V64),V64&gt;=0,V64&lt;=1),V64*100,IF(MAX(0,($F64-1)*12)&lt;6,100,"")))</x:f>
        <x:v>75</x:v>
      </x:c>
      <x:c r="Y64" s="17" t="n">
        <x:f>IF(NOT(ISNUMBER(W64)),"",IF(NOT(ISNUMBER(X64)),W64,ROUND(W64*'sheet1-指标体系'!$J$8+X64*'sheet1-指标体系'!$J$9,2)))</x:f>
        <x:v>80.77</x:v>
      </x:c>
      <x:c r="Z64" s="37" t="n">
        <x:f>IF(OR(NOT(ISNUMBER(M64)),NOT(ISNUMBER(AD64)),AD64=0),"",ABS(M64/AD64))</x:f>
        <x:v>0.018166512440880116</x:v>
      </x:c>
      <x:c r="AA64" s="35" t="n">
        <x:f>IF(ISNUMBER('sheet4-原始数据'!K49),'sheet4-原始数据'!K49,"")</x:f>
        <x:v>0.0575</x:v>
      </x:c>
      <x:c r="AB64" s="37" t="n">
        <x:f>IF(COUNT(Z64:AA64)=0,"",MAX(Z64:AA64))</x:f>
        <x:v>0.0575</x:v>
      </x:c>
      <x:c r="AC64" s="17" t="n">
        <x:f>IF(OR($G64&lt;&gt;"入池",NOT(ISNUMBER(AB64))),"",IF(COUNTIFS($G$17:$G$219,"入池",$AB$17:$AB$219,"&gt;=-1E+307",$AB$17:$AB$219,"&lt;=1E+307")&lt;=1,100,ROUND(100*(COUNTIFS($G$17:$G$219,"入池",$AB$17:$AB$219,"&lt;=1E+307",$AB$17:$AB$219,"&gt;"&amp;AB64)+COUNTIFS($G$17:$G$219,"入池",$AB$17:$AB$219,AB64,$AB$17:$AB$219,"&gt;=-1E+307",$AB$17:$AB$219,"&lt;=1E+307")/2-0.5)/(COUNTIFS($G$17:$G$219,"入池",$AB$17:$AB$219,"&gt;=-1E+307",$AB$17:$AB$219,"&lt;=1E+307")-1),2)))</x:f>
        <x:v>41.09</x:v>
      </x:c>
      <x:c r="AD64" s="38" t="n">
        <x:f>IF(ISNUMBER('sheet4-原始数据'!M49),'sheet4-原始数据'!M49,"")</x:f>
        <x:v>15.5616</x:v>
      </x:c>
      <x:c r="AE64" s="37" t="n">
        <x:f>IF(OR(NOT(ISNUMBER(P64)),NOT(ISNUMBER(AA64)),NOT(ISNUMBER(Z64))),"",IF(AA64&gt;Z64+'sheet1-指标体系'!$J$11,AA64,""))</x:f>
        <x:v>0.0575</x:v>
      </x:c>
      <x:c r="AF64" s="17" t="n">
        <x:f>IF(OR(NOT(ISNUMBER(P64)),NOT(ISNUMBER(AE64)),AE64=0),"",P64/AE64)</x:f>
        <x:v>0.008885672991659524</x:v>
      </x:c>
      <x:c r="AG64" s="17" t="n">
        <x:f>IF(OR($G64&lt;&gt;"入池",NOT(ISNUMBER(AD64))),"",IF(COUNTIFS($G$17:$G$219,"入池",$AD$17:$AD$219,"&gt;=-1E+307",$AD$17:$AD$219,"&lt;=1E+307")&lt;=1,100,ROUND(100*(COUNTIFS($G$17:$G$219,"入池",$AD$17:$AD$219,"&gt;=-1E+307",$AD$17:$AD$219,"&lt;"&amp;AD64)+COUNTIFS($G$17:$G$219,"入池",$AD$17:$AD$219,AD64,$AD$17:$AD$219,"&gt;=-1E+307",$AD$17:$AD$219,"&lt;=1E+307")/2-0.5)/(COUNTIFS($G$17:$G$219,"入池",$AD$17:$AD$219,"&gt;=-1E+307",$AD$17:$AD$219,"&lt;=1E+307")-1),2)))</x:f>
        <x:v>85.57</x:v>
      </x:c>
      <x:c r="AH64" s="17" t="n">
        <x:f>IF(OR($G64&lt;&gt;"入池",NOT(ISNUMBER(AF64))),"",IF(COUNTIFS($G$17:$G$219,"入池",$AF$17:$AF$219,"&gt;=-1E+307",$AF$17:$AF$219,"&lt;=1E+307")&lt;=1,100,ROUND(100*(COUNTIFS($G$17:$G$219,"入池",$AF$17:$AF$219,"&gt;=-1E+307",$AF$17:$AF$219,"&lt;"&amp;AF64)+COUNTIFS($G$17:$G$219,"入池",$AF$17:$AF$219,AF64,$AF$17:$AF$219,"&gt;=-1E+307",$AF$17:$AF$219,"&lt;=1E+307")/2-0.5)/(COUNTIFS($G$17:$G$219,"入池",$AF$17:$AF$219,"&gt;=-1E+307",$AF$17:$AF$219,"&lt;=1E+307")-1),2)))</x:f>
        <x:v>7.3</x:v>
      </x:c>
      <x:c r="AI64" s="17" t="n">
        <x:f>IF(NOT(ISNUMBER(AG64)),"",IF(NOT(ISNUMBER(AH64)),AG64,ROUND(AG64*'sheet1-指标体系'!$J$8+AH64*'sheet1-指标体系'!$J$9,2)))</x:f>
        <x:v>54.26</x:v>
      </x:c>
      <x:c r="AJ64" s="37" t="n">
        <x:f>IF(NOT(ISNUMBER(F64)),"",IF(F64&gt;=3,IF(NOT(ISNUMBER(N64)),"",N64),IF(NOT(ISNUMBER(O64)),"",O64)))</x:f>
        <x:v>0.08689999999999999</x:v>
      </x:c>
      <x:c r="AK64" s="17" t="n">
        <x:f>IF(OR(G64&lt;&gt;"入池",NOT(ISNUMBER(M64)),NOT(ISNUMBER(AJ64))),"",IF(M64&gt;=AJ64,100,IF(AJ64-M64&lt;'sheet1-指标体系'!$J$10,80,60)))</x:f>
        <x:v>100</x:v>
      </x:c>
      <x:c r="AL64" s="17" t="n">
        <x:f>IF(COUNT(I64,K64,L64)=0,"",ROUND((IF(ISNUMBER(I64),I64*40%,0)+IF(ISNUMBER(K64),K64*30%,0)+IF(ISNUMBER(L64),L64*30%,0))/(IF(ISNUMBER(I64),40%,0)+IF(ISNUMBER(K64),30%,0)+IF(ISNUMBER(L64),30%,0)),2))</x:f>
        <x:v>96</x:v>
      </x:c>
      <x:c r="AM64" s="17" t="n">
        <x:f>IF(COUNT(Q64,R64,W64,X64)=0,"",ROUND((IF(ISNUMBER(Q64),Q64*42%,0)+IF(ISNUMBER(R64),R64*28%,0)+IF(ISNUMBER(W64),W64*18%,0)+IF(ISNUMBER(X64),X64*12%,0))/(IF(ISNUMBER(Q64),42%,0)+IF(ISNUMBER(R64),28%,0)+IF(ISNUMBER(W64),18%,0)+IF(ISNUMBER(X64),12%,0)),2))</x:f>
        <x:v>66.3</x:v>
      </x:c>
      <x:c r="AN64" s="17" t="n">
        <x:f>IF(ISNUMBER(AC64),AC64,"")</x:f>
        <x:v>41.09</x:v>
      </x:c>
      <x:c r="AO64" s="17" t="n">
        <x:f>IF(COUNT(AG64,AH64)=0,"",ROUND((IF(ISNUMBER(AG64),AG64*60%,0)+IF(ISNUMBER(AH64),AH64*40%,0))/(IF(ISNUMBER(AG64),60%,0)+IF(ISNUMBER(AH64),40%,0)),2))</x:f>
        <x:v>54.26</x:v>
      </x:c>
      <x:c r="AP64" s="17" t="n">
        <x:f>IF(ISNUMBER(AK64),AK64,"")</x:f>
        <x:v>100</x:v>
      </x:c>
      <x:c r="AQ64" s="39" t="n">
        <x:f>IF(G64&lt;&gt;"入池",0,IF(ISNUMBER(I64),6%,0)+IF(ISNUMBER(K64),4.5%,0)+IF(ISNUMBER(L64),4.5%,0)+IF(ISNUMBER(Q64),8.4%,0)+IF(ISNUMBER(R64),5.6%,0)+IF(ISNUMBER(W64),3.6%,0)+IF(ISNUMBER(X64),2.4%,0)+IF(ISNUMBER(AC64),25%,0)+IF(ISNUMBER(AG64),18%,0)+IF(ISNUMBER(AH64),12%,0)+IF(ISNUMBER(AK64),10%,0))</x:f>
        <x:v>1</x:v>
      </x:c>
      <x:c r="AR64" s="17" t="n">
        <x:f>IF(AQ64=0,"",IF(ISNUMBER(I64),I64*6%,0)+IF(ISNUMBER(K64),K64*4.5%,0)+IF(ISNUMBER(L64),L64*4.5%,0)+IF(ISNUMBER(Q64),Q64*8.4%,0)+IF(ISNUMBER(R64),R64*5.6%,0)+IF(ISNUMBER(W64),W64*3.6%,0)+IF(ISNUMBER(X64),X64*2.4%,0)+IF(ISNUMBER(AC64),AC64*25%,0)+IF(ISNUMBER(AG64),AG64*18%,0)+IF(ISNUMBER(AH64),AH64*12%,0)+IF(ISNUMBER(AK64),AK64*10%,0))</x:f>
        <x:v>64.21114</x:v>
      </x:c>
      <x:c r="AS64" s="17" t="n">
        <x:f>IF(AQ64=0,"",ROUND(AR64/AQ64,2))</x:f>
        <x:v>64.21</x:v>
      </x:c>
      <x:c r="AT64" s="40" t="n">
        <x:f>IF(OR(G64&lt;&gt;"入池",NOT(ISNUMBER(AS64))),"",COUNTIFS($G$17:$G$219,"入池",$AS$17:$AS$219,"&gt;"&amp;AS64)+COUNTIFS($G$17:$G$219,"入池",$AS$17:$AS$219,AS64,$AQ$17:$AQ$219,"&gt;"&amp;AQ64)+COUNTIFS($G$17:G64,"入池",$AS$17:AS64,AS64,$AQ$17:AQ64,AQ64))</x:f>
        <x:v>93</x:v>
      </x:c>
      <x:c r="AU64" s="41" t="str">
        <x:f t="shared" si="2">IF(NOT(ISNUMBER(I64)),"管理人规模；","")&amp;IF(J64="","产品规模标识；","")&amp;IF(AND(F64&lt;3,NOT(ISNUMBER(O64))),"R_incep；","")&amp;IF(NOT(ISNUMBER(N64)),"近三年收益；","")&amp;IF(NOT(ISNUMBER(U64)),"近三年胜率；","")&amp;IF(AND(ISNUMBER(V64),OR(V64&lt;0,V64&gt;1)),"胜率窗口口径不一致；","")&amp;IF(NOT(ISNUMBER(AA64)),"近三年回撤；","")&amp;IF(NOT(ISNUMBER(AD64)),"短期卡玛；","")&amp;IF(AND(ISNUMBER(P64),NOT(ISNUMBER(AE64))),"DD_long不可识别；","")</x:f>
      </x:c>
      <x:c r="AV64" s="42" t="n">
        <x:v>20</x:v>
      </x:c>
      <x:c r="AW64" s="19" t="str">
        <x:v>深圳前海汇富联合私募证券基金管理有限公司</x:v>
      </x:c>
      <x:c r="AX64" s="19" t="str">
        <x:v>2025-11-21</x:v>
      </x:c>
      <x:c r="AY64" s="19" t="str">
        <x:v>https://gs.amac.org.cn/amac-infodisc/res/pof/manager/101000012095.html</x:v>
      </x:c>
      <x:c r="AZ64" s="19" t="str">
        <x:v>汇富联合日盈12号私募证券投资基金</x:v>
      </x:c>
      <x:c r="BA64" s="19" t="str">
        <x:v>2025-09-15</x:v>
      </x:c>
      <x:c r="BB64" s="19"/>
      <x:c r="BC64" s="19" t="str">
        <x:v>https://gs.amac.org.cn/amac-infodisc/res/pof/fund/2205111752107815.html</x:v>
      </x:c>
      <x:c r="BD64" s="19" t="str">
        <x:v>已匹配</x:v>
      </x:c>
      <x:c r="BE64"/>
      <x:c r="BF64"/>
    </x:row>
    <x:row r="65" ht="28" customHeight="1">
      <x:c r="A65" s="4" t="n">
        <x:v>49</x:v>
      </x:c>
      <x:c r="B65" s="15" t="str">
        <x:f>'sheet4-原始数据'!A50</x:f>
        <x:v>融相慎远一号</x:v>
      </x:c>
      <x:c r="C65" s="15" t="str">
        <x:f>'sheet4-原始数据'!B50</x:f>
        <x:v>SVK536</x:v>
      </x:c>
      <x:c r="D65" s="15" t="str">
        <x:f>'sheet4-原始数据'!E50</x:f>
        <x:v>海南融相</x:v>
      </x:c>
      <x:c r="E65" s="32" t="n">
        <x:f>IF(ISNUMBER('sheet4-原始数据'!F50),'sheet4-原始数据'!F50,"")</x:f>
        <x:v>44690</x:v>
      </x:c>
      <x:c r="F65" s="17" t="n">
        <x:f>IF(NOT(ISNUMBER(E65)),"",ROUND(('sheet1-指标体系'!$J$23-E65)/365.25,4))</x:f>
        <x:v>4.3559</x:v>
      </x:c>
      <x:c r="G65" s="4" t="str">
        <x:f t="shared" si="1">IF(NOT(ISNUMBER(F65)),"",IF(F65&lt;1,"不入池","入池"))</x:f>
        <x:v>入池</x:v>
      </x:c>
      <x:c r="H65" s="33" t="str">
        <x:v>0-5亿元</x:v>
      </x:c>
      <x:c r="I65" s="17" t="n">
        <x:f>IF(H65="","",IF(ISNUMBER(SEARCH("100亿元以上",H65)),100,IF(OR(ISNUMBER(SEARCH("20-50",H65)),ISNUMBER(SEARCH("50-100",H65)),ISNUMBER(SEARCH("20-100",H65))),90,IF(ISNUMBER(SEARCH("10-20",H65)),80,IF(ISNUMBER(SEARCH("5-10",H65)),70,IF(ISNUMBER(SEARCH("0-5",H65)),60,""))))))</x:f>
        <x:v>60</x:v>
      </x:c>
      <x:c r="J65" s="34" t="str">
        <x:v>无低于1000万元标识</x:v>
      </x:c>
      <x:c r="K65" s="17" t="n">
        <x:f>IF(J65="","",IF(J65="低于1000万元",0,100))</x:f>
        <x:v>100</x:v>
      </x:c>
      <x:c r="L65" s="17" t="n">
        <x:f>IF(NOT(ISNUMBER(F65)),"",IF(F65&lt;1,"",IF(F65&lt;3,70,100)))</x:f>
        <x:v>100</x:v>
      </x:c>
      <x:c r="M65" s="35" t="n">
        <x:f>IF(ISNUMBER('sheet4-原始数据'!G50),'sheet4-原始数据'!G50,"")</x:f>
        <x:v>-0.0025</x:v>
      </x:c>
      <x:c r="N65" s="35" t="n">
        <x:f>IF(ISNUMBER('sheet4-原始数据'!H50),'sheet4-原始数据'!H50,"")</x:f>
        <x:v>0.0449</x:v>
      </x:c>
      <x:c r="O65" s="36" t="str">
        <x:f>IF(ISNUMBER('sheet4-原始数据'!Q50),'sheet4-原始数据'!Q50,"")</x:f>
      </x:c>
      <x:c r="P65" s="37" t="n">
        <x:f>IF($G65&lt;&gt;"入池","",IF($F65&gt;=3,IF(OR(NOT(ISNUMBER($M65)),NOT(ISNUMBER($N65)),1+$M65&lt;=0,1+$N65&lt;0),"",((1+$N65)^3/(1+$M65))^(1/2)-1),IF(OR($F65&lt;=1,NOT(ISNUMBER($M65)),NOT(ISNUMBER($O65)),1+$M65&lt;=0,1+$O65&lt;0),"",((1+$O65)^$F65/(1+$M65))^(1/($F65-1))-1)))</x:f>
        <x:v>0.0694380736313489</x:v>
      </x:c>
      <x:c r="Q65" s="17" t="n">
        <x:f>IF(OR($G65&lt;&gt;"入池",NOT(ISNUMBER(M65))),"",IF(COUNTIFS($G$17:$G$219,"入池",$M$17:$M$219,"&gt;=-1E+307",$M$17:$M$219,"&lt;=1E+307")&lt;=1,100,ROUND(100*(COUNTIFS($G$17:$G$219,"入池",$M$17:$M$219,"&gt;=-1E+307",$M$17:$M$219,"&lt;"&amp;M65)+COUNTIFS($G$17:$G$219,"入池",$M$17:$M$219,M65,$M$17:$M$219,"&gt;=-1E+307",$M$17:$M$219,"&lt;=1E+307")/2-0.5)/(COUNTIFS($G$17:$G$219,"入池",$M$17:$M$219,"&gt;=-1E+307",$M$17:$M$219,"&lt;=1E+307")-1),2)))</x:f>
        <x:v>18.56</x:v>
      </x:c>
      <x:c r="R65" s="17" t="n">
        <x:f>IF(OR($G65&lt;&gt;"入池",NOT(ISNUMBER(P65))),"",IF(COUNTIFS($G$17:$G$219,"入池",$P$17:$P$219,"&gt;=-1E+307",$P$17:$P$219,"&lt;=1E+307")&lt;=1,100,ROUND(100*(COUNTIFS($G$17:$G$219,"入池",$P$17:$P$219,"&gt;=-1E+307",$P$17:$P$219,"&lt;"&amp;P65)+COUNTIFS($G$17:$G$219,"入池",$P$17:$P$219,P65,$P$17:$P$219,"&gt;=-1E+307",$P$17:$P$219,"&lt;=1E+307")/2-0.5)/(COUNTIFS($G$17:$G$219,"入池",$P$17:$P$219,"&gt;=-1E+307",$P$17:$P$219,"&lt;=1E+307")-1),2)))</x:f>
        <x:v>56.44</x:v>
      </x:c>
      <x:c r="S65" s="17" t="n">
        <x:f>IF(NOT(ISNUMBER(Q65)),"",IF(NOT(ISNUMBER(R65)),Q65,ROUND(Q65*'sheet1-指标体系'!$J$8+R65*'sheet1-指标体系'!$J$9,2)))</x:f>
        <x:v>33.71</x:v>
      </x:c>
      <x:c r="T65" s="35" t="n">
        <x:f>IF(ISNUMBER('sheet4-原始数据'!J50),'sheet4-原始数据'!J50,"")</x:f>
        <x:v>0.6154</x:v>
      </x:c>
      <x:c r="U65" s="35" t="n">
        <x:f>IF(ISNUMBER('sheet4-原始数据'!I50),'sheet4-原始数据'!I50,"")</x:f>
        <x:v>0.7297</x:v>
      </x:c>
      <x:c r="V65" s="37" t="n">
        <x:f>IF(OR(NOT(ISNUMBER(T65)),NOT(ISNUMBER(U65))),"",(U65*'sheet1-指标体系'!$J$6-T65*'sheet1-指标体系'!$J$5)/'sheet1-指标体系'!$J$7)</x:f>
        <x:v>0.7916124999999999</x:v>
      </x:c>
      <x:c r="W65" s="17" t="n">
        <x:f>IF(NOT(ISNUMBER(T65)),"",T65*100)</x:f>
        <x:v>61.53999999999999</x:v>
      </x:c>
      <x:c r="X65" s="17" t="n">
        <x:f>IF($G65&lt;&gt;"入池","",IF(AND(ISNUMBER(V65),V65&gt;=0,V65&lt;=1),V65*100,IF(MAX(0,($F65-1)*12)&lt;6,100,"")))</x:f>
        <x:v>79.16125</x:v>
      </x:c>
      <x:c r="Y65" s="17" t="n">
        <x:f>IF(NOT(ISNUMBER(W65)),"",IF(NOT(ISNUMBER(X65)),W65,ROUND(W65*'sheet1-指标体系'!$J$8+X65*'sheet1-指标体系'!$J$9,2)))</x:f>
        <x:v>68.59</x:v>
      </x:c>
      <x:c r="Z65" s="37" t="n">
        <x:f>IF(OR(NOT(ISNUMBER(M65)),NOT(ISNUMBER(AD65)),AD65=0),"",ABS(M65/AD65))</x:f>
        <x:v>0.06443298969072164</x:v>
      </x:c>
      <x:c r="AA65" s="35" t="n">
        <x:f>IF(ISNUMBER('sheet4-原始数据'!K50),'sheet4-原始数据'!K50,"")</x:f>
        <x:v>0.0653</x:v>
      </x:c>
      <x:c r="AB65" s="37" t="n">
        <x:f>IF(COUNT(Z65:AA65)=0,"",MAX(Z65:AA65))</x:f>
        <x:v>0.0653</x:v>
      </x:c>
      <x:c r="AC65" s="17" t="n">
        <x:f>IF(OR($G65&lt;&gt;"入池",NOT(ISNUMBER(AB65))),"",IF(COUNTIFS($G$17:$G$219,"入池",$AB$17:$AB$219,"&gt;=-1E+307",$AB$17:$AB$219,"&lt;=1E+307")&lt;=1,100,ROUND(100*(COUNTIFS($G$17:$G$219,"入池",$AB$17:$AB$219,"&lt;=1E+307",$AB$17:$AB$219,"&gt;"&amp;AB65)+COUNTIFS($G$17:$G$219,"入池",$AB$17:$AB$219,AB65,$AB$17:$AB$219,"&gt;=-1E+307",$AB$17:$AB$219,"&lt;=1E+307")/2-0.5)/(COUNTIFS($G$17:$G$219,"入池",$AB$17:$AB$219,"&gt;=-1E+307",$AB$17:$AB$219,"&lt;=1E+307")-1),2)))</x:f>
        <x:v>38.61</x:v>
      </x:c>
      <x:c r="AD65" s="38" t="n">
        <x:f>IF(ISNUMBER('sheet4-原始数据'!M50),'sheet4-原始数据'!M50,"")</x:f>
        <x:v>-0.0388</x:v>
      </x:c>
      <x:c r="AE65" s="37" t="n">
        <x:f>IF(OR(NOT(ISNUMBER(P65)),NOT(ISNUMBER(AA65)),NOT(ISNUMBER(Z65))),"",IF(AA65&gt;Z65+'sheet1-指标体系'!$J$11,AA65,""))</x:f>
        <x:v>0.0653</x:v>
      </x:c>
      <x:c r="AF65" s="17" t="n">
        <x:f>IF(OR(NOT(ISNUMBER(P65)),NOT(ISNUMBER(AE65)),AE65=0),"",P65/AE65)</x:f>
        <x:v>1.0633701934356647</x:v>
      </x:c>
      <x:c r="AG65" s="17" t="n">
        <x:f>IF(OR($G65&lt;&gt;"入池",NOT(ISNUMBER(AD65))),"",IF(COUNTIFS($G$17:$G$219,"入池",$AD$17:$AD$219,"&gt;=-1E+307",$AD$17:$AD$219,"&lt;=1E+307")&lt;=1,100,ROUND(100*(COUNTIFS($G$17:$G$219,"入池",$AD$17:$AD$219,"&gt;=-1E+307",$AD$17:$AD$219,"&lt;"&amp;AD65)+COUNTIFS($G$17:$G$219,"入池",$AD$17:$AD$219,AD65,$AD$17:$AD$219,"&gt;=-1E+307",$AD$17:$AD$219,"&lt;=1E+307")/2-0.5)/(COUNTIFS($G$17:$G$219,"入池",$AD$17:$AD$219,"&gt;=-1E+307",$AD$17:$AD$219,"&lt;=1E+307")-1),2)))</x:f>
        <x:v>17.91</x:v>
      </x:c>
      <x:c r="AH65" s="17" t="n">
        <x:f>IF(OR($G65&lt;&gt;"入池",NOT(ISNUMBER(AF65))),"",IF(COUNTIFS($G$17:$G$219,"入池",$AF$17:$AF$219,"&gt;=-1E+307",$AF$17:$AF$219,"&lt;=1E+307")&lt;=1,100,ROUND(100*(COUNTIFS($G$17:$G$219,"入池",$AF$17:$AF$219,"&gt;=-1E+307",$AF$17:$AF$219,"&lt;"&amp;AF65)+COUNTIFS($G$17:$G$219,"入池",$AF$17:$AF$219,AF65,$AF$17:$AF$219,"&gt;=-1E+307",$AF$17:$AF$219,"&lt;=1E+307")/2-0.5)/(COUNTIFS($G$17:$G$219,"入池",$AF$17:$AF$219,"&gt;=-1E+307",$AF$17:$AF$219,"&lt;=1E+307")-1),2)))</x:f>
        <x:v>43.07</x:v>
      </x:c>
      <x:c r="AI65" s="17" t="n">
        <x:f>IF(NOT(ISNUMBER(AG65)),"",IF(NOT(ISNUMBER(AH65)),AG65,ROUND(AG65*'sheet1-指标体系'!$J$8+AH65*'sheet1-指标体系'!$J$9,2)))</x:f>
        <x:v>27.97</x:v>
      </x:c>
      <x:c r="AJ65" s="37" t="n">
        <x:f>IF(NOT(ISNUMBER(F65)),"",IF(F65&gt;=3,IF(NOT(ISNUMBER(N65)),"",N65),IF(NOT(ISNUMBER(O65)),"",O65)))</x:f>
        <x:v>0.0449</x:v>
      </x:c>
      <x:c r="AK65" s="17" t="n">
        <x:f>IF(OR(G65&lt;&gt;"入池",NOT(ISNUMBER(M65)),NOT(ISNUMBER(AJ65))),"",IF(M65&gt;=AJ65,100,IF(AJ65-M65&lt;'sheet1-指标体系'!$J$10,80,60)))</x:f>
        <x:v>80</x:v>
      </x:c>
      <x:c r="AL65" s="17" t="n">
        <x:f>IF(COUNT(I65,K65,L65)=0,"",ROUND((IF(ISNUMBER(I65),I65*40%,0)+IF(ISNUMBER(K65),K65*30%,0)+IF(ISNUMBER(L65),L65*30%,0))/(IF(ISNUMBER(I65),40%,0)+IF(ISNUMBER(K65),30%,0)+IF(ISNUMBER(L65),30%,0)),2))</x:f>
        <x:v>84</x:v>
      </x:c>
      <x:c r="AM65" s="17" t="n">
        <x:f>IF(COUNT(Q65,R65,W65,X65)=0,"",ROUND((IF(ISNUMBER(Q65),Q65*42%,0)+IF(ISNUMBER(R65),R65*28%,0)+IF(ISNUMBER(W65),W65*18%,0)+IF(ISNUMBER(X65),X65*12%,0))/(IF(ISNUMBER(Q65),42%,0)+IF(ISNUMBER(R65),28%,0)+IF(ISNUMBER(W65),18%,0)+IF(ISNUMBER(X65),12%,0)),2))</x:f>
        <x:v>44.17</x:v>
      </x:c>
      <x:c r="AN65" s="17" t="n">
        <x:f>IF(ISNUMBER(AC65),AC65,"")</x:f>
        <x:v>38.61</x:v>
      </x:c>
      <x:c r="AO65" s="17" t="n">
        <x:f>IF(COUNT(AG65,AH65)=0,"",ROUND((IF(ISNUMBER(AG65),AG65*60%,0)+IF(ISNUMBER(AH65),AH65*40%,0))/(IF(ISNUMBER(AG65),60%,0)+IF(ISNUMBER(AH65),40%,0)),2))</x:f>
        <x:v>27.97</x:v>
      </x:c>
      <x:c r="AP65" s="17" t="n">
        <x:f>IF(ISNUMBER(AK65),AK65,"")</x:f>
        <x:v>80</x:v>
      </x:c>
      <x:c r="AQ65" s="39" t="n">
        <x:f>IF(G65&lt;&gt;"入池",0,IF(ISNUMBER(I65),6%,0)+IF(ISNUMBER(K65),4.5%,0)+IF(ISNUMBER(L65),4.5%,0)+IF(ISNUMBER(Q65),8.4%,0)+IF(ISNUMBER(R65),5.6%,0)+IF(ISNUMBER(W65),3.6%,0)+IF(ISNUMBER(X65),2.4%,0)+IF(ISNUMBER(AC65),25%,0)+IF(ISNUMBER(AG65),18%,0)+IF(ISNUMBER(AH65),12%,0)+IF(ISNUMBER(AK65),10%,0))</x:f>
        <x:v>1</x:v>
      </x:c>
      <x:c r="AR65" s="17" t="n">
        <x:f>IF(AQ65=0,"",IF(ISNUMBER(I65),I65*6%,0)+IF(ISNUMBER(K65),K65*4.5%,0)+IF(ISNUMBER(L65),L65*4.5%,0)+IF(ISNUMBER(Q65),Q65*8.4%,0)+IF(ISNUMBER(R65),R65*5.6%,0)+IF(ISNUMBER(W65),W65*3.6%,0)+IF(ISNUMBER(X65),X65*2.4%,0)+IF(ISNUMBER(AC65),AC65*25%,0)+IF(ISNUMBER(AG65),AG65*18%,0)+IF(ISNUMBER(AH65),AH65*12%,0)+IF(ISNUMBER(AK65),AK65*10%,0))</x:f>
        <x:v>47.47969</x:v>
      </x:c>
      <x:c r="AS65" s="17" t="n">
        <x:f>IF(AQ65=0,"",ROUND(AR65/AQ65,2))</x:f>
        <x:v>47.48</x:v>
      </x:c>
      <x:c r="AT65" s="40" t="n">
        <x:f>IF(OR(G65&lt;&gt;"入池",NOT(ISNUMBER(AS65))),"",COUNTIFS($G$17:$G$219,"入池",$AS$17:$AS$219,"&gt;"&amp;AS65)+COUNTIFS($G$17:$G$219,"入池",$AS$17:$AS$219,AS65,$AQ$17:$AQ$219,"&gt;"&amp;AQ65)+COUNTIFS($G$17:G65,"入池",$AS$17:AS65,AS65,$AQ$17:AQ65,AQ65))</x:f>
        <x:v>152</x:v>
      </x:c>
      <x:c r="AU65" s="41" t="str">
        <x:f t="shared" si="2">IF(NOT(ISNUMBER(I65)),"管理人规模；","")&amp;IF(J65="","产品规模标识；","")&amp;IF(AND(F65&lt;3,NOT(ISNUMBER(O65))),"R_incep；","")&amp;IF(NOT(ISNUMBER(N65)),"近三年收益；","")&amp;IF(NOT(ISNUMBER(U65)),"近三年胜率；","")&amp;IF(AND(ISNUMBER(V65),OR(V65&lt;0,V65&gt;1)),"胜率窗口口径不一致；","")&amp;IF(NOT(ISNUMBER(AA65)),"近三年回撤；","")&amp;IF(NOT(ISNUMBER(AD65)),"短期卡玛；","")&amp;IF(AND(ISNUMBER(P65),NOT(ISNUMBER(AE65))),"DD_long不可识别；","")</x:f>
      </x:c>
      <x:c r="AV65" s="42" t="n">
        <x:v>0</x:v>
      </x:c>
      <x:c r="AW65" s="19" t="str">
        <x:v>海南融相私募基金管理有限公司</x:v>
      </x:c>
      <x:c r="AX65" s="19" t="str">
        <x:v>2025-11-05</x:v>
      </x:c>
      <x:c r="AY65" s="19" t="str">
        <x:v>https://gs.amac.org.cn/amac-infodisc/res/pof/manager/2111241451102645.html</x:v>
      </x:c>
      <x:c r="AZ65" s="19" t="str">
        <x:v>融相慎远一号私募证券投资基金</x:v>
      </x:c>
      <x:c r="BA65" s="19" t="str">
        <x:v>2024-10-09</x:v>
      </x:c>
      <x:c r="BB65" s="19"/>
      <x:c r="BC65" s="19" t="str">
        <x:v>https://gs.amac.org.cn/amac-infodisc/res/pof/fund/2205181829100640.html</x:v>
      </x:c>
      <x:c r="BD65" s="19" t="str">
        <x:v>已匹配</x:v>
      </x:c>
      <x:c r="BE65"/>
      <x:c r="BF65"/>
    </x:row>
    <x:row r="66" ht="28" customHeight="1">
      <x:c r="A66" s="4" t="n">
        <x:v>50</x:v>
      </x:c>
      <x:c r="B66" s="15" t="str">
        <x:f>'sheet4-原始数据'!A51</x:f>
        <x:v>晨翰11号</x:v>
      </x:c>
      <x:c r="C66" s="15" t="str">
        <x:f>'sheet4-原始数据'!B51</x:f>
        <x:v>SVT598</x:v>
      </x:c>
      <x:c r="D66" s="15" t="str">
        <x:f>'sheet4-原始数据'!E51</x:f>
        <x:v>晋江晨翰</x:v>
      </x:c>
      <x:c r="E66" s="32" t="n">
        <x:f>IF(ISNUMBER('sheet4-原始数据'!F51),'sheet4-原始数据'!F51,"")</x:f>
        <x:v>44722</x:v>
      </x:c>
      <x:c r="F66" s="17" t="n">
        <x:f>IF(NOT(ISNUMBER(E66)),"",ROUND(('sheet1-指标体系'!$J$23-E66)/365.25,4))</x:f>
        <x:v>4.2683</x:v>
      </x:c>
      <x:c r="G66" s="4" t="str">
        <x:f t="shared" si="1">IF(NOT(ISNUMBER(F66)),"",IF(F66&lt;1,"不入池","入池"))</x:f>
        <x:v>入池</x:v>
      </x:c>
      <x:c r="H66" s="33" t="str">
        <x:v>5-10亿元</x:v>
      </x:c>
      <x:c r="I66" s="17" t="n">
        <x:f>IF(H66="","",IF(ISNUMBER(SEARCH("100亿元以上",H66)),100,IF(OR(ISNUMBER(SEARCH("20-50",H66)),ISNUMBER(SEARCH("50-100",H66)),ISNUMBER(SEARCH("20-100",H66))),90,IF(ISNUMBER(SEARCH("10-20",H66)),80,IF(ISNUMBER(SEARCH("5-10",H66)),70,IF(ISNUMBER(SEARCH("0-5",H66)),60,""))))))</x:f>
        <x:v>70</x:v>
      </x:c>
      <x:c r="J66" s="34" t="str">
        <x:v>无低于1000万元标识</x:v>
      </x:c>
      <x:c r="K66" s="17" t="n">
        <x:f>IF(J66="","",IF(J66="低于1000万元",0,100))</x:f>
        <x:v>100</x:v>
      </x:c>
      <x:c r="L66" s="17" t="n">
        <x:f>IF(NOT(ISNUMBER(F66)),"",IF(F66&lt;1,"",IF(F66&lt;3,70,100)))</x:f>
        <x:v>100</x:v>
      </x:c>
      <x:c r="M66" s="35" t="n">
        <x:f>IF(ISNUMBER('sheet4-原始数据'!G51),'sheet4-原始数据'!G51,"")</x:f>
        <x:v>0.0347</x:v>
      </x:c>
      <x:c r="N66" s="35" t="n">
        <x:f>IF(ISNUMBER('sheet4-原始数据'!H51),'sheet4-原始数据'!H51,"")</x:f>
        <x:v>0.034300000000000004</x:v>
      </x:c>
      <x:c r="O66" s="36" t="str">
        <x:f>IF(ISNUMBER('sheet4-原始数据'!Q51),'sheet4-原始数据'!Q51,"")</x:f>
      </x:c>
      <x:c r="P66" s="37" t="n">
        <x:f>IF($G66&lt;&gt;"入池","",IF($F66&gt;=3,IF(OR(NOT(ISNUMBER($M66)),NOT(ISNUMBER($N66)),1+$M66&lt;=0,1+$N66&lt;0),"",((1+$N66)^3/(1+$M66))^(1/2)-1),IF(OR($F66&lt;=1,NOT(ISNUMBER($M66)),NOT(ISNUMBER($O66)),1+$M66&lt;=0,1+$O66&lt;0),"",((1+$O66)^$F66/(1+$M66))^(1/($F66-1))-1)))</x:f>
        <x:v>0.03410005799155935</x:v>
      </x:c>
      <x:c r="Q66" s="17" t="n">
        <x:f>IF(OR($G66&lt;&gt;"入池",NOT(ISNUMBER(M66))),"",IF(COUNTIFS($G$17:$G$219,"入池",$M$17:$M$219,"&gt;=-1E+307",$M$17:$M$219,"&lt;=1E+307")&lt;=1,100,ROUND(100*(COUNTIFS($G$17:$G$219,"入池",$M$17:$M$219,"&gt;=-1E+307",$M$17:$M$219,"&lt;"&amp;M66)+COUNTIFS($G$17:$G$219,"入池",$M$17:$M$219,M66,$M$17:$M$219,"&gt;=-1E+307",$M$17:$M$219,"&lt;=1E+307")/2-0.5)/(COUNTIFS($G$17:$G$219,"入池",$M$17:$M$219,"&gt;=-1E+307",$M$17:$M$219,"&lt;=1E+307")-1),2)))</x:f>
        <x:v>36.14</x:v>
      </x:c>
      <x:c r="R66" s="17" t="n">
        <x:f>IF(OR($G66&lt;&gt;"入池",NOT(ISNUMBER(P66))),"",IF(COUNTIFS($G$17:$G$219,"入池",$P$17:$P$219,"&gt;=-1E+307",$P$17:$P$219,"&lt;=1E+307")&lt;=1,100,ROUND(100*(COUNTIFS($G$17:$G$219,"入池",$P$17:$P$219,"&gt;=-1E+307",$P$17:$P$219,"&lt;"&amp;P66)+COUNTIFS($G$17:$G$219,"入池",$P$17:$P$219,P66,$P$17:$P$219,"&gt;=-1E+307",$P$17:$P$219,"&lt;=1E+307")/2-0.5)/(COUNTIFS($G$17:$G$219,"入池",$P$17:$P$219,"&gt;=-1E+307",$P$17:$P$219,"&lt;=1E+307")-1),2)))</x:f>
        <x:v>19.31</x:v>
      </x:c>
      <x:c r="S66" s="17" t="n">
        <x:f>IF(NOT(ISNUMBER(Q66)),"",IF(NOT(ISNUMBER(R66)),Q66,ROUND(Q66*'sheet1-指标体系'!$J$8+R66*'sheet1-指标体系'!$J$9,2)))</x:f>
        <x:v>29.41</x:v>
      </x:c>
      <x:c r="T66" s="35" t="n">
        <x:f>IF(ISNUMBER('sheet4-原始数据'!J51),'sheet4-原始数据'!J51,"")</x:f>
        <x:v>0.6154</x:v>
      </x:c>
      <x:c r="U66" s="35" t="n">
        <x:f>IF(ISNUMBER('sheet4-原始数据'!I51),'sheet4-原始数据'!I51,"")</x:f>
        <x:v>0.6486</x:v>
      </x:c>
      <x:c r="V66" s="37" t="n">
        <x:f>IF(OR(NOT(ISNUMBER(T66)),NOT(ISNUMBER(U66))),"",(U66*'sheet1-指标体系'!$J$6-T66*'sheet1-指标体系'!$J$5)/'sheet1-指标体系'!$J$7)</x:f>
        <x:v>0.6665833333333332</x:v>
      </x:c>
      <x:c r="W66" s="17" t="n">
        <x:f>IF(NOT(ISNUMBER(T66)),"",T66*100)</x:f>
        <x:v>61.53999999999999</x:v>
      </x:c>
      <x:c r="X66" s="17" t="n">
        <x:f>IF($G66&lt;&gt;"入池","",IF(AND(ISNUMBER(V66),V66&gt;=0,V66&lt;=1),V66*100,IF(MAX(0,($F66-1)*12)&lt;6,100,"")))</x:f>
        <x:v>66.65833333333332</x:v>
      </x:c>
      <x:c r="Y66" s="17" t="n">
        <x:f>IF(NOT(ISNUMBER(W66)),"",IF(NOT(ISNUMBER(X66)),W66,ROUND(W66*'sheet1-指标体系'!$J$8+X66*'sheet1-指标体系'!$J$9,2)))</x:f>
        <x:v>63.59</x:v>
      </x:c>
      <x:c r="Z66" s="37" t="n">
        <x:f>IF(OR(NOT(ISNUMBER(M66)),NOT(ISNUMBER(AD66)),AD66=0),"",ABS(M66/AD66))</x:f>
        <x:v>0.015217295969828532</x:v>
      </x:c>
      <x:c r="AA66" s="35" t="n">
        <x:f>IF(ISNUMBER('sheet4-原始数据'!K51),'sheet4-原始数据'!K51,"")</x:f>
        <x:v>0.0239</x:v>
      </x:c>
      <x:c r="AB66" s="37" t="n">
        <x:f>IF(COUNT(Z66:AA66)=0,"",MAX(Z66:AA66))</x:f>
        <x:v>0.0239</x:v>
      </x:c>
      <x:c r="AC66" s="17" t="n">
        <x:f>IF(OR($G66&lt;&gt;"入池",NOT(ISNUMBER(AB66))),"",IF(COUNTIFS($G$17:$G$219,"入池",$AB$17:$AB$219,"&gt;=-1E+307",$AB$17:$AB$219,"&lt;=1E+307")&lt;=1,100,ROUND(100*(COUNTIFS($G$17:$G$219,"入池",$AB$17:$AB$219,"&lt;=1E+307",$AB$17:$AB$219,"&gt;"&amp;AB66)+COUNTIFS($G$17:$G$219,"入池",$AB$17:$AB$219,AB66,$AB$17:$AB$219,"&gt;=-1E+307",$AB$17:$AB$219,"&lt;=1E+307")/2-0.5)/(COUNTIFS($G$17:$G$219,"入池",$AB$17:$AB$219,"&gt;=-1E+307",$AB$17:$AB$219,"&lt;=1E+307")-1),2)))</x:f>
        <x:v>70.79</x:v>
      </x:c>
      <x:c r="AD66" s="38" t="n">
        <x:f>IF(ISNUMBER('sheet4-原始数据'!M51),'sheet4-原始数据'!M51,"")</x:f>
        <x:v>2.2803</x:v>
      </x:c>
      <x:c r="AE66" s="37" t="n">
        <x:f>IF(OR(NOT(ISNUMBER(P66)),NOT(ISNUMBER(AA66)),NOT(ISNUMBER(Z66))),"",IF(AA66&gt;Z66+'sheet1-指标体系'!$J$11,AA66,""))</x:f>
        <x:v>0.0239</x:v>
      </x:c>
      <x:c r="AF66" s="17" t="n">
        <x:f>IF(OR(NOT(ISNUMBER(P66)),NOT(ISNUMBER(AE66)),AE66=0),"",P66/AE66)</x:f>
        <x:v>1.4267806691029017</x:v>
      </x:c>
      <x:c r="AG66" s="17" t="n">
        <x:f>IF(OR($G66&lt;&gt;"入池",NOT(ISNUMBER(AD66))),"",IF(COUNTIFS($G$17:$G$219,"入池",$AD$17:$AD$219,"&gt;=-1E+307",$AD$17:$AD$219,"&lt;=1E+307")&lt;=1,100,ROUND(100*(COUNTIFS($G$17:$G$219,"入池",$AD$17:$AD$219,"&gt;=-1E+307",$AD$17:$AD$219,"&lt;"&amp;AD66)+COUNTIFS($G$17:$G$219,"入池",$AD$17:$AD$219,AD66,$AD$17:$AD$219,"&gt;=-1E+307",$AD$17:$AD$219,"&lt;=1E+307")/2-0.5)/(COUNTIFS($G$17:$G$219,"入池",$AD$17:$AD$219,"&gt;=-1E+307",$AD$17:$AD$219,"&lt;=1E+307")-1),2)))</x:f>
        <x:v>48.26</x:v>
      </x:c>
      <x:c r="AH66" s="17" t="n">
        <x:f>IF(OR($G66&lt;&gt;"入池",NOT(ISNUMBER(AF66))),"",IF(COUNTIFS($G$17:$G$219,"入池",$AF$17:$AF$219,"&gt;=-1E+307",$AF$17:$AF$219,"&lt;=1E+307")&lt;=1,100,ROUND(100*(COUNTIFS($G$17:$G$219,"入池",$AF$17:$AF$219,"&gt;=-1E+307",$AF$17:$AF$219,"&lt;"&amp;AF66)+COUNTIFS($G$17:$G$219,"入池",$AF$17:$AF$219,AF66,$AF$17:$AF$219,"&gt;=-1E+307",$AF$17:$AF$219,"&lt;=1E+307")/2-0.5)/(COUNTIFS($G$17:$G$219,"入池",$AF$17:$AF$219,"&gt;=-1E+307",$AF$17:$AF$219,"&lt;=1E+307")-1),2)))</x:f>
        <x:v>53.28</x:v>
      </x:c>
      <x:c r="AI66" s="17" t="n">
        <x:f>IF(NOT(ISNUMBER(AG66)),"",IF(NOT(ISNUMBER(AH66)),AG66,ROUND(AG66*'sheet1-指标体系'!$J$8+AH66*'sheet1-指标体系'!$J$9,2)))</x:f>
        <x:v>50.27</x:v>
      </x:c>
      <x:c r="AJ66" s="37" t="n">
        <x:f>IF(NOT(ISNUMBER(F66)),"",IF(F66&gt;=3,IF(NOT(ISNUMBER(N66)),"",N66),IF(NOT(ISNUMBER(O66)),"",O66)))</x:f>
        <x:v>0.034300000000000004</x:v>
      </x:c>
      <x:c r="AK66" s="17" t="n">
        <x:f>IF(OR(G66&lt;&gt;"入池",NOT(ISNUMBER(M66)),NOT(ISNUMBER(AJ66))),"",IF(M66&gt;=AJ66,100,IF(AJ66-M66&lt;'sheet1-指标体系'!$J$10,80,60)))</x:f>
        <x:v>100</x:v>
      </x:c>
      <x:c r="AL66" s="17" t="n">
        <x:f>IF(COUNT(I66,K66,L66)=0,"",ROUND((IF(ISNUMBER(I66),I66*40%,0)+IF(ISNUMBER(K66),K66*30%,0)+IF(ISNUMBER(L66),L66*30%,0))/(IF(ISNUMBER(I66),40%,0)+IF(ISNUMBER(K66),30%,0)+IF(ISNUMBER(L66),30%,0)),2))</x:f>
        <x:v>88</x:v>
      </x:c>
      <x:c r="AM66" s="17" t="n">
        <x:f>IF(COUNT(Q66,R66,W66,X66)=0,"",ROUND((IF(ISNUMBER(Q66),Q66*42%,0)+IF(ISNUMBER(R66),R66*28%,0)+IF(ISNUMBER(W66),W66*18%,0)+IF(ISNUMBER(X66),X66*12%,0))/(IF(ISNUMBER(Q66),42%,0)+IF(ISNUMBER(R66),28%,0)+IF(ISNUMBER(W66),18%,0)+IF(ISNUMBER(X66),12%,0)),2))</x:f>
        <x:v>39.66</x:v>
      </x:c>
      <x:c r="AN66" s="17" t="n">
        <x:f>IF(ISNUMBER(AC66),AC66,"")</x:f>
        <x:v>70.79</x:v>
      </x:c>
      <x:c r="AO66" s="17" t="n">
        <x:f>IF(COUNT(AG66,AH66)=0,"",ROUND((IF(ISNUMBER(AG66),AG66*60%,0)+IF(ISNUMBER(AH66),AH66*40%,0))/(IF(ISNUMBER(AG66),60%,0)+IF(ISNUMBER(AH66),40%,0)),2))</x:f>
        <x:v>50.27</x:v>
      </x:c>
      <x:c r="AP66" s="17" t="n">
        <x:f>IF(ISNUMBER(AK66),AK66,"")</x:f>
        <x:v>100</x:v>
      </x:c>
      <x:c r="AQ66" s="39" t="n">
        <x:f>IF(G66&lt;&gt;"入池",0,IF(ISNUMBER(I66),6%,0)+IF(ISNUMBER(K66),4.5%,0)+IF(ISNUMBER(L66),4.5%,0)+IF(ISNUMBER(Q66),8.4%,0)+IF(ISNUMBER(R66),5.6%,0)+IF(ISNUMBER(W66),3.6%,0)+IF(ISNUMBER(X66),2.4%,0)+IF(ISNUMBER(AC66),25%,0)+IF(ISNUMBER(AG66),18%,0)+IF(ISNUMBER(AH66),12%,0)+IF(ISNUMBER(AK66),10%,0))</x:f>
        <x:v>1</x:v>
      </x:c>
      <x:c r="AR66" s="17" t="n">
        <x:f>IF(AQ66=0,"",IF(ISNUMBER(I66),I66*6%,0)+IF(ISNUMBER(K66),K66*4.5%,0)+IF(ISNUMBER(L66),L66*4.5%,0)+IF(ISNUMBER(Q66),Q66*8.4%,0)+IF(ISNUMBER(R66),R66*5.6%,0)+IF(ISNUMBER(W66),W66*3.6%,0)+IF(ISNUMBER(X66),X66*2.4%,0)+IF(ISNUMBER(AC66),AC66*25%,0)+IF(ISNUMBER(AG66),AG66*18%,0)+IF(ISNUMBER(AH66),AH66*12%,0)+IF(ISNUMBER(AK66),AK66*10%,0))</x:f>
        <x:v>63.910259999999994</x:v>
      </x:c>
      <x:c r="AS66" s="17" t="n">
        <x:f>IF(AQ66=0,"",ROUND(AR66/AQ66,2))</x:f>
        <x:v>63.91</x:v>
      </x:c>
      <x:c r="AT66" s="40" t="n">
        <x:f>IF(OR(G66&lt;&gt;"入池",NOT(ISNUMBER(AS66))),"",COUNTIFS($G$17:$G$219,"入池",$AS$17:$AS$219,"&gt;"&amp;AS66)+COUNTIFS($G$17:$G$219,"入池",$AS$17:$AS$219,AS66,$AQ$17:$AQ$219,"&gt;"&amp;AQ66)+COUNTIFS($G$17:G66,"入池",$AS$17:AS66,AS66,$AQ$17:AQ66,AQ66))</x:f>
        <x:v>95</x:v>
      </x:c>
      <x:c r="AU66" s="41" t="str">
        <x:f t="shared" si="2">IF(NOT(ISNUMBER(I66)),"管理人规模；","")&amp;IF(J66="","产品规模标识；","")&amp;IF(AND(F66&lt;3,NOT(ISNUMBER(O66))),"R_incep；","")&amp;IF(NOT(ISNUMBER(N66)),"近三年收益；","")&amp;IF(NOT(ISNUMBER(U66)),"近三年胜率；","")&amp;IF(AND(ISNUMBER(V66),OR(V66&lt;0,V66&gt;1)),"胜率窗口口径不一致；","")&amp;IF(NOT(ISNUMBER(AA66)),"近三年回撤；","")&amp;IF(NOT(ISNUMBER(AD66)),"短期卡玛；","")&amp;IF(AND(ISNUMBER(P66),NOT(ISNUMBER(AE66))),"DD_long不可识别；","")</x:f>
      </x:c>
      <x:c r="AV66" s="42" t="n">
        <x:v>5</x:v>
      </x:c>
      <x:c r="AW66" s="19" t="str">
        <x:v>晋江市晨翰私募基金管理有限公司</x:v>
      </x:c>
      <x:c r="AX66" s="19" t="str">
        <x:v>2026-07-31</x:v>
      </x:c>
      <x:c r="AY66" s="19" t="str">
        <x:v>https://gs.amac.org.cn/amac-infodisc/res/pof/manager/2002211754119480.html</x:v>
      </x:c>
      <x:c r="AZ66" s="19" t="str">
        <x:v>晨翰11号私募证券投资基金</x:v>
      </x:c>
      <x:c r="BA66" s="19" t="str">
        <x:v>2026-05-27</x:v>
      </x:c>
      <x:c r="BB66" s="19"/>
      <x:c r="BC66" s="19" t="str">
        <x:v>https://gs.amac.org.cn/amac-infodisc/res/pof/fund/2206171628103559.html</x:v>
      </x:c>
      <x:c r="BD66" s="19" t="str">
        <x:v>已匹配</x:v>
      </x:c>
      <x:c r="BE66"/>
      <x:c r="BF66"/>
    </x:row>
    <x:row r="67" ht="28" customHeight="1">
      <x:c r="A67" s="4" t="n">
        <x:v>51</x:v>
      </x:c>
      <x:c r="B67" s="15" t="str">
        <x:f>'sheet4-原始数据'!A52</x:f>
        <x:v>致同添利套利多策略三期</x:v>
      </x:c>
      <x:c r="C67" s="15" t="str">
        <x:f>'sheet4-原始数据'!B52</x:f>
        <x:v>STY632</x:v>
      </x:c>
      <x:c r="D67" s="15" t="str">
        <x:f>'sheet4-原始数据'!E52</x:f>
        <x:v>上海致同投资</x:v>
      </x:c>
      <x:c r="E67" s="32" t="n">
        <x:f>IF(ISNUMBER('sheet4-原始数据'!F52),'sheet4-原始数据'!F52,"")</x:f>
        <x:v>44770</x:v>
      </x:c>
      <x:c r="F67" s="17" t="n">
        <x:f>IF(NOT(ISNUMBER(E67)),"",ROUND(('sheet1-指标体系'!$J$23-E67)/365.25,4))</x:f>
        <x:v>4.1369</x:v>
      </x:c>
      <x:c r="G67" s="4" t="str">
        <x:f t="shared" si="1">IF(NOT(ISNUMBER(F67)),"",IF(F67&lt;1,"不入池","入池"))</x:f>
        <x:v>入池</x:v>
      </x:c>
      <x:c r="H67" s="33" t="str">
        <x:v>20-50亿元</x:v>
      </x:c>
      <x:c r="I67" s="17" t="n">
        <x:f>IF(H67="","",IF(ISNUMBER(SEARCH("100亿元以上",H67)),100,IF(OR(ISNUMBER(SEARCH("20-50",H67)),ISNUMBER(SEARCH("50-100",H67)),ISNUMBER(SEARCH("20-100",H67))),90,IF(ISNUMBER(SEARCH("10-20",H67)),80,IF(ISNUMBER(SEARCH("5-10",H67)),70,IF(ISNUMBER(SEARCH("0-5",H67)),60,""))))))</x:f>
        <x:v>90</x:v>
      </x:c>
      <x:c r="J67" s="34" t="str">
        <x:v>无低于1000万元标识</x:v>
      </x:c>
      <x:c r="K67" s="17" t="n">
        <x:f>IF(J67="","",IF(J67="低于1000万元",0,100))</x:f>
        <x:v>100</x:v>
      </x:c>
      <x:c r="L67" s="17" t="n">
        <x:f>IF(NOT(ISNUMBER(F67)),"",IF(F67&lt;1,"",IF(F67&lt;3,70,100)))</x:f>
        <x:v>100</x:v>
      </x:c>
      <x:c r="M67" s="35" t="n">
        <x:f>IF(ISNUMBER('sheet4-原始数据'!G52),'sheet4-原始数据'!G52,"")</x:f>
        <x:v>0.0294</x:v>
      </x:c>
      <x:c r="N67" s="35" t="n">
        <x:f>IF(ISNUMBER('sheet4-原始数据'!H52),'sheet4-原始数据'!H52,"")</x:f>
        <x:v>0.035699999999999996</x:v>
      </x:c>
      <x:c r="O67" s="36" t="str">
        <x:f>IF(ISNUMBER('sheet4-原始数据'!Q52),'sheet4-原始数据'!Q52,"")</x:f>
      </x:c>
      <x:c r="P67" s="37" t="n">
        <x:f>IF($G67&lt;&gt;"入池","",IF($F67&gt;=3,IF(OR(NOT(ISNUMBER($M67)),NOT(ISNUMBER($N67)),1+$M67&lt;=0,1+$N67&lt;0),"",((1+$N67)^3/(1+$M67))^(1/2)-1),IF(OR($F67&lt;=1,NOT(ISNUMBER($M67)),NOT(ISNUMBER($O67)),1+$M67&lt;=0,1+$O67&lt;0),"",((1+$O67)^$F67/(1+$M67))^(1/($F67-1))-1)))</x:f>
        <x:v>0.038864443950978655</x:v>
      </x:c>
      <x:c r="Q67" s="17" t="n">
        <x:f>IF(OR($G67&lt;&gt;"入池",NOT(ISNUMBER(M67))),"",IF(COUNTIFS($G$17:$G$219,"入池",$M$17:$M$219,"&gt;=-1E+307",$M$17:$M$219,"&lt;=1E+307")&lt;=1,100,ROUND(100*(COUNTIFS($G$17:$G$219,"入池",$M$17:$M$219,"&gt;=-1E+307",$M$17:$M$219,"&lt;"&amp;M67)+COUNTIFS($G$17:$G$219,"入池",$M$17:$M$219,M67,$M$17:$M$219,"&gt;=-1E+307",$M$17:$M$219,"&lt;=1E+307")/2-0.5)/(COUNTIFS($G$17:$G$219,"入池",$M$17:$M$219,"&gt;=-1E+307",$M$17:$M$219,"&lt;=1E+307")-1),2)))</x:f>
        <x:v>33.17</x:v>
      </x:c>
      <x:c r="R67" s="17" t="n">
        <x:f>IF(OR($G67&lt;&gt;"入池",NOT(ISNUMBER(P67))),"",IF(COUNTIFS($G$17:$G$219,"入池",$P$17:$P$219,"&gt;=-1E+307",$P$17:$P$219,"&lt;=1E+307")&lt;=1,100,ROUND(100*(COUNTIFS($G$17:$G$219,"入池",$P$17:$P$219,"&gt;=-1E+307",$P$17:$P$219,"&lt;"&amp;P67)+COUNTIFS($G$17:$G$219,"入池",$P$17:$P$219,P67,$P$17:$P$219,"&gt;=-1E+307",$P$17:$P$219,"&lt;=1E+307")/2-0.5)/(COUNTIFS($G$17:$G$219,"入池",$P$17:$P$219,"&gt;=-1E+307",$P$17:$P$219,"&lt;=1E+307")-1),2)))</x:f>
        <x:v>25.25</x:v>
      </x:c>
      <x:c r="S67" s="17" t="n">
        <x:f>IF(NOT(ISNUMBER(Q67)),"",IF(NOT(ISNUMBER(R67)),Q67,ROUND(Q67*'sheet1-指标体系'!$J$8+R67*'sheet1-指标体系'!$J$9,2)))</x:f>
        <x:v>30</x:v>
      </x:c>
      <x:c r="T67" s="35" t="n">
        <x:f>IF(ISNUMBER('sheet4-原始数据'!J52),'sheet4-原始数据'!J52,"")</x:f>
        <x:v>0.7692</x:v>
      </x:c>
      <x:c r="U67" s="35" t="n">
        <x:f>IF(ISNUMBER('sheet4-原始数据'!I52),'sheet4-原始数据'!I52,"")</x:f>
        <x:v>0.7568</x:v>
      </x:c>
      <x:c r="V67" s="37" t="n">
        <x:f>IF(OR(NOT(ISNUMBER(T67)),NOT(ISNUMBER(U67))),"",(U67*'sheet1-指标体系'!$J$6-T67*'sheet1-指标体系'!$J$5)/'sheet1-指标体系'!$J$7)</x:f>
        <x:v>0.7500833333333334</x:v>
      </x:c>
      <x:c r="W67" s="17" t="n">
        <x:f>IF(NOT(ISNUMBER(T67)),"",T67*100)</x:f>
        <x:v>76.92</x:v>
      </x:c>
      <x:c r="X67" s="17" t="n">
        <x:f>IF($G67&lt;&gt;"入池","",IF(AND(ISNUMBER(V67),V67&gt;=0,V67&lt;=1),V67*100,IF(MAX(0,($F67-1)*12)&lt;6,100,"")))</x:f>
        <x:v>75.00833333333334</x:v>
      </x:c>
      <x:c r="Y67" s="17" t="n">
        <x:f>IF(NOT(ISNUMBER(W67)),"",IF(NOT(ISNUMBER(X67)),W67,ROUND(W67*'sheet1-指标体系'!$J$8+X67*'sheet1-指标体系'!$J$9,2)))</x:f>
        <x:v>76.16</x:v>
      </x:c>
      <x:c r="Z67" s="37" t="n">
        <x:f>IF(OR(NOT(ISNUMBER(M67)),NOT(ISNUMBER(AD67)),AD67=0),"",ABS(M67/AD67))</x:f>
        <x:v>0.008482645200380853</x:v>
      </x:c>
      <x:c r="AA67" s="35" t="n">
        <x:f>IF(ISNUMBER('sheet4-原始数据'!K52),'sheet4-原始数据'!K52,"")</x:f>
        <x:v>0.0085</x:v>
      </x:c>
      <x:c r="AB67" s="37" t="n">
        <x:f>IF(COUNT(Z67:AA67)=0,"",MAX(Z67:AA67))</x:f>
        <x:v>0.0085</x:v>
      </x:c>
      <x:c r="AC67" s="17" t="n">
        <x:f>IF(OR($G67&lt;&gt;"入池",NOT(ISNUMBER(AB67))),"",IF(COUNTIFS($G$17:$G$219,"入池",$AB$17:$AB$219,"&gt;=-1E+307",$AB$17:$AB$219,"&lt;=1E+307")&lt;=1,100,ROUND(100*(COUNTIFS($G$17:$G$219,"入池",$AB$17:$AB$219,"&lt;=1E+307",$AB$17:$AB$219,"&gt;"&amp;AB67)+COUNTIFS($G$17:$G$219,"入池",$AB$17:$AB$219,AB67,$AB$17:$AB$219,"&gt;=-1E+307",$AB$17:$AB$219,"&lt;=1E+307")/2-0.5)/(COUNTIFS($G$17:$G$219,"入池",$AB$17:$AB$219,"&gt;=-1E+307",$AB$17:$AB$219,"&lt;=1E+307")-1),2)))</x:f>
        <x:v>89.11</x:v>
      </x:c>
      <x:c r="AD67" s="38" t="n">
        <x:f>IF(ISNUMBER('sheet4-原始数据'!M52),'sheet4-原始数据'!M52,"")</x:f>
        <x:v>3.4659</x:v>
      </x:c>
      <x:c r="AE67" s="37" t="str">
        <x:f>IF(OR(NOT(ISNUMBER(P67)),NOT(ISNUMBER(AA67)),NOT(ISNUMBER(Z67))),"",IF(AA67&gt;Z67+'sheet1-指标体系'!$J$11,AA67,""))</x:f>
      </x:c>
      <x:c r="AF67" s="17" t="str">
        <x:f>IF(OR(NOT(ISNUMBER(P67)),NOT(ISNUMBER(AE67)),AE67=0),"",P67/AE67)</x:f>
      </x:c>
      <x:c r="AG67" s="17" t="n">
        <x:f>IF(OR($G67&lt;&gt;"入池",NOT(ISNUMBER(AD67))),"",IF(COUNTIFS($G$17:$G$219,"入池",$AD$17:$AD$219,"&gt;=-1E+307",$AD$17:$AD$219,"&lt;=1E+307")&lt;=1,100,ROUND(100*(COUNTIFS($G$17:$G$219,"入池",$AD$17:$AD$219,"&gt;=-1E+307",$AD$17:$AD$219,"&lt;"&amp;AD67)+COUNTIFS($G$17:$G$219,"入池",$AD$17:$AD$219,AD67,$AD$17:$AD$219,"&gt;=-1E+307",$AD$17:$AD$219,"&lt;=1E+307")/2-0.5)/(COUNTIFS($G$17:$G$219,"入池",$AD$17:$AD$219,"&gt;=-1E+307",$AD$17:$AD$219,"&lt;=1E+307")-1),2)))</x:f>
        <x:v>57.21</x:v>
      </x:c>
      <x:c r="AH67" s="17" t="str">
        <x:f>IF(OR($G67&lt;&gt;"入池",NOT(ISNUMBER(AF67))),"",IF(COUNTIFS($G$17:$G$219,"入池",$AF$17:$AF$219,"&gt;=-1E+307",$AF$17:$AF$219,"&lt;=1E+307")&lt;=1,100,ROUND(100*(COUNTIFS($G$17:$G$219,"入池",$AF$17:$AF$219,"&gt;=-1E+307",$AF$17:$AF$219,"&lt;"&amp;AF67)+COUNTIFS($G$17:$G$219,"入池",$AF$17:$AF$219,AF67,$AF$17:$AF$219,"&gt;=-1E+307",$AF$17:$AF$219,"&lt;=1E+307")/2-0.5)/(COUNTIFS($G$17:$G$219,"入池",$AF$17:$AF$219,"&gt;=-1E+307",$AF$17:$AF$219,"&lt;=1E+307")-1),2)))</x:f>
      </x:c>
      <x:c r="AI67" s="17" t="n">
        <x:f>IF(NOT(ISNUMBER(AG67)),"",IF(NOT(ISNUMBER(AH67)),AG67,ROUND(AG67*'sheet1-指标体系'!$J$8+AH67*'sheet1-指标体系'!$J$9,2)))</x:f>
        <x:v>57.21</x:v>
      </x:c>
      <x:c r="AJ67" s="37" t="n">
        <x:f>IF(NOT(ISNUMBER(F67)),"",IF(F67&gt;=3,IF(NOT(ISNUMBER(N67)),"",N67),IF(NOT(ISNUMBER(O67)),"",O67)))</x:f>
        <x:v>0.035699999999999996</x:v>
      </x:c>
      <x:c r="AK67" s="17" t="n">
        <x:f>IF(OR(G67&lt;&gt;"入池",NOT(ISNUMBER(M67)),NOT(ISNUMBER(AJ67))),"",IF(M67&gt;=AJ67,100,IF(AJ67-M67&lt;'sheet1-指标体系'!$J$10,80,60)))</x:f>
        <x:v>80</x:v>
      </x:c>
      <x:c r="AL67" s="17" t="n">
        <x:f>IF(COUNT(I67,K67,L67)=0,"",ROUND((IF(ISNUMBER(I67),I67*40%,0)+IF(ISNUMBER(K67),K67*30%,0)+IF(ISNUMBER(L67),L67*30%,0))/(IF(ISNUMBER(I67),40%,0)+IF(ISNUMBER(K67),30%,0)+IF(ISNUMBER(L67),30%,0)),2))</x:f>
        <x:v>96</x:v>
      </x:c>
      <x:c r="AM67" s="17" t="n">
        <x:f>IF(COUNT(Q67,R67,W67,X67)=0,"",ROUND((IF(ISNUMBER(Q67),Q67*42%,0)+IF(ISNUMBER(R67),R67*28%,0)+IF(ISNUMBER(W67),W67*18%,0)+IF(ISNUMBER(X67),X67*12%,0))/(IF(ISNUMBER(Q67),42%,0)+IF(ISNUMBER(R67),28%,0)+IF(ISNUMBER(W67),18%,0)+IF(ISNUMBER(X67),12%,0)),2))</x:f>
        <x:v>43.85</x:v>
      </x:c>
      <x:c r="AN67" s="17" t="n">
        <x:f>IF(ISNUMBER(AC67),AC67,"")</x:f>
        <x:v>89.11</x:v>
      </x:c>
      <x:c r="AO67" s="17" t="n">
        <x:f>IF(COUNT(AG67,AH67)=0,"",ROUND((IF(ISNUMBER(AG67),AG67*60%,0)+IF(ISNUMBER(AH67),AH67*40%,0))/(IF(ISNUMBER(AG67),60%,0)+IF(ISNUMBER(AH67),40%,0)),2))</x:f>
        <x:v>57.21</x:v>
      </x:c>
      <x:c r="AP67" s="17" t="n">
        <x:f>IF(ISNUMBER(AK67),AK67,"")</x:f>
        <x:v>80</x:v>
      </x:c>
      <x:c r="AQ67" s="39" t="n">
        <x:f>IF(G67&lt;&gt;"入池",0,IF(ISNUMBER(I67),6%,0)+IF(ISNUMBER(K67),4.5%,0)+IF(ISNUMBER(L67),4.5%,0)+IF(ISNUMBER(Q67),8.4%,0)+IF(ISNUMBER(R67),5.6%,0)+IF(ISNUMBER(W67),3.6%,0)+IF(ISNUMBER(X67),2.4%,0)+IF(ISNUMBER(AC67),25%,0)+IF(ISNUMBER(AG67),18%,0)+IF(ISNUMBER(AH67),12%,0)+IF(ISNUMBER(AK67),10%,0))</x:f>
        <x:v>0.88</x:v>
      </x:c>
      <x:c r="AR67" s="17" t="n">
        <x:f>IF(AQ67=0,"",IF(ISNUMBER(I67),I67*6%,0)+IF(ISNUMBER(K67),K67*4.5%,0)+IF(ISNUMBER(L67),L67*4.5%,0)+IF(ISNUMBER(Q67),Q67*8.4%,0)+IF(ISNUMBER(R67),R67*5.6%,0)+IF(ISNUMBER(W67),W67*3.6%,0)+IF(ISNUMBER(X67),X67*2.4%,0)+IF(ISNUMBER(AC67),AC67*25%,0)+IF(ISNUMBER(AG67),AG67*18%,0)+IF(ISNUMBER(AH67),AH67*12%,0)+IF(ISNUMBER(AK67),AK67*10%,0))</x:f>
        <x:v>63.74490000000001</x:v>
      </x:c>
      <x:c r="AS67" s="17" t="n">
        <x:f>IF(AQ67=0,"",ROUND(AR67/AQ67,2))</x:f>
        <x:v>72.44</x:v>
      </x:c>
      <x:c r="AT67" s="40" t="n">
        <x:f>IF(OR(G67&lt;&gt;"入池",NOT(ISNUMBER(AS67))),"",COUNTIFS($G$17:$G$219,"入池",$AS$17:$AS$219,"&gt;"&amp;AS67)+COUNTIFS($G$17:$G$219,"入池",$AS$17:$AS$219,AS67,$AQ$17:$AQ$219,"&gt;"&amp;AQ67)+COUNTIFS($G$17:G67,"入池",$AS$17:AS67,AS67,$AQ$17:AQ67,AQ67))</x:f>
        <x:v>58</x:v>
      </x:c>
      <x:c r="AU67" s="41" t="str">
        <x:f t="shared" si="2">IF(NOT(ISNUMBER(I67)),"管理人规模；","")&amp;IF(J67="","产品规模标识；","")&amp;IF(AND(F67&lt;3,NOT(ISNUMBER(O67))),"R_incep；","")&amp;IF(NOT(ISNUMBER(N67)),"近三年收益；","")&amp;IF(NOT(ISNUMBER(U67)),"近三年胜率；","")&amp;IF(AND(ISNUMBER(V67),OR(V67&lt;0,V67&gt;1)),"胜率窗口口径不一致；","")&amp;IF(NOT(ISNUMBER(AA67)),"近三年回撤；","")&amp;IF(NOT(ISNUMBER(AD67)),"短期卡玛；","")&amp;IF(AND(ISNUMBER(P67),NOT(ISNUMBER(AE67))),"DD_long不可识别；","")</x:f>
        <x:v>DD_long不可识别；</x:v>
      </x:c>
      <x:c r="AV67" s="42" t="n">
        <x:v>20</x:v>
      </x:c>
      <x:c r="AW67" s="19" t="str">
        <x:v>上海致同投资管理有限公司</x:v>
      </x:c>
      <x:c r="AX67" s="19" t="str">
        <x:v>2026-03-16</x:v>
      </x:c>
      <x:c r="AY67" s="19" t="str">
        <x:v>https://gs.amac.org.cn/amac-infodisc/res/pof/manager/101000004339.html</x:v>
      </x:c>
      <x:c r="AZ67" s="19" t="str">
        <x:v>致同添利套利多策略三期私募证券投资基金</x:v>
      </x:c>
      <x:c r="BA67" s="19" t="str">
        <x:v>2022-08-02</x:v>
      </x:c>
      <x:c r="BB67" s="19"/>
      <x:c r="BC67" s="19" t="str">
        <x:v>https://gs.amac.org.cn/amac-infodisc/res/pof/fund/2208021712112777.html</x:v>
      </x:c>
      <x:c r="BD67" s="19" t="str">
        <x:v>已匹配</x:v>
      </x:c>
      <x:c r="BE67"/>
      <x:c r="BF67"/>
    </x:row>
    <x:row r="68" ht="28" customHeight="1">
      <x:c r="A68" s="4" t="n">
        <x:v>52</x:v>
      </x:c>
      <x:c r="B68" s="15" t="str">
        <x:f>'sheet4-原始数据'!A53</x:f>
        <x:v>博牛转债策略2号</x:v>
      </x:c>
      <x:c r="C68" s="15" t="str">
        <x:f>'sheet4-原始数据'!B53</x:f>
        <x:v>SVY871</x:v>
      </x:c>
      <x:c r="D68" s="15" t="str">
        <x:f>'sheet4-原始数据'!E53</x:f>
        <x:v>广州博牛</x:v>
      </x:c>
      <x:c r="E68" s="32" t="n">
        <x:f>IF(ISNUMBER('sheet4-原始数据'!F53),'sheet4-原始数据'!F53,"")</x:f>
        <x:v>44788</x:v>
      </x:c>
      <x:c r="F68" s="17" t="n">
        <x:f>IF(NOT(ISNUMBER(E68)),"",ROUND(('sheet1-指标体系'!$J$23-E68)/365.25,4))</x:f>
        <x:v>4.0876</x:v>
      </x:c>
      <x:c r="G68" s="4" t="str">
        <x:f t="shared" si="1">IF(NOT(ISNUMBER(F68)),"",IF(F68&lt;1,"不入池","入池"))</x:f>
        <x:v>入池</x:v>
      </x:c>
      <x:c r="H68" s="33" t="str">
        <x:v>5-10亿元</x:v>
      </x:c>
      <x:c r="I68" s="17" t="n">
        <x:f>IF(H68="","",IF(ISNUMBER(SEARCH("100亿元以上",H68)),100,IF(OR(ISNUMBER(SEARCH("20-50",H68)),ISNUMBER(SEARCH("50-100",H68)),ISNUMBER(SEARCH("20-100",H68))),90,IF(ISNUMBER(SEARCH("10-20",H68)),80,IF(ISNUMBER(SEARCH("5-10",H68)),70,IF(ISNUMBER(SEARCH("0-5",H68)),60,""))))))</x:f>
        <x:v>70</x:v>
      </x:c>
      <x:c r="J68" s="34" t="str">
        <x:v>无低于1000万元标识</x:v>
      </x:c>
      <x:c r="K68" s="17" t="n">
        <x:f>IF(J68="","",IF(J68="低于1000万元",0,100))</x:f>
        <x:v>100</x:v>
      </x:c>
      <x:c r="L68" s="17" t="n">
        <x:f>IF(NOT(ISNUMBER(F68)),"",IF(F68&lt;1,"",IF(F68&lt;3,70,100)))</x:f>
        <x:v>100</x:v>
      </x:c>
      <x:c r="M68" s="35" t="n">
        <x:f>IF(ISNUMBER('sheet4-原始数据'!G53),'sheet4-原始数据'!G53,"")</x:f>
        <x:v>-0.0167</x:v>
      </x:c>
      <x:c r="N68" s="35" t="n">
        <x:f>IF(ISNUMBER('sheet4-原始数据'!H53),'sheet4-原始数据'!H53,"")</x:f>
        <x:v>0.04190000000000001</x:v>
      </x:c>
      <x:c r="O68" s="36" t="str">
        <x:f>IF(ISNUMBER('sheet4-原始数据'!Q53),'sheet4-原始数据'!Q53,"")</x:f>
      </x:c>
      <x:c r="P68" s="37" t="n">
        <x:f>IF($G68&lt;&gt;"入池","",IF($F68&gt;=3,IF(OR(NOT(ISNUMBER($M68)),NOT(ISNUMBER($N68)),1+$M68&lt;=0,1+$N68&lt;0),"",((1+$N68)^3/(1+$M68))^(1/2)-1),IF(OR($F68&lt;=1,NOT(ISNUMBER($M68)),NOT(ISNUMBER($O68)),1+$M68&lt;=0,1+$O68&lt;0),"",((1+$O68)^$F68/(1+$M68))^(1/($F68-1))-1)))</x:f>
        <x:v>0.07249688002908661</x:v>
      </x:c>
      <x:c r="Q68" s="17" t="n">
        <x:f>IF(OR($G68&lt;&gt;"入池",NOT(ISNUMBER(M68))),"",IF(COUNTIFS($G$17:$G$219,"入池",$M$17:$M$219,"&gt;=-1E+307",$M$17:$M$219,"&lt;=1E+307")&lt;=1,100,ROUND(100*(COUNTIFS($G$17:$G$219,"入池",$M$17:$M$219,"&gt;=-1E+307",$M$17:$M$219,"&lt;"&amp;M68)+COUNTIFS($G$17:$G$219,"入池",$M$17:$M$219,M68,$M$17:$M$219,"&gt;=-1E+307",$M$17:$M$219,"&lt;=1E+307")/2-0.5)/(COUNTIFS($G$17:$G$219,"入池",$M$17:$M$219,"&gt;=-1E+307",$M$17:$M$219,"&lt;=1E+307")-1),2)))</x:f>
        <x:v>13.86</x:v>
      </x:c>
      <x:c r="R68" s="17" t="n">
        <x:f>IF(OR($G68&lt;&gt;"入池",NOT(ISNUMBER(P68))),"",IF(COUNTIFS($G$17:$G$219,"入池",$P$17:$P$219,"&gt;=-1E+307",$P$17:$P$219,"&lt;=1E+307")&lt;=1,100,ROUND(100*(COUNTIFS($G$17:$G$219,"入池",$P$17:$P$219,"&gt;=-1E+307",$P$17:$P$219,"&lt;"&amp;P68)+COUNTIFS($G$17:$G$219,"入池",$P$17:$P$219,P68,$P$17:$P$219,"&gt;=-1E+307",$P$17:$P$219,"&lt;=1E+307")/2-0.5)/(COUNTIFS($G$17:$G$219,"入池",$P$17:$P$219,"&gt;=-1E+307",$P$17:$P$219,"&lt;=1E+307")-1),2)))</x:f>
        <x:v>58.91</x:v>
      </x:c>
      <x:c r="S68" s="17" t="n">
        <x:f>IF(NOT(ISNUMBER(Q68)),"",IF(NOT(ISNUMBER(R68)),Q68,ROUND(Q68*'sheet1-指标体系'!$J$8+R68*'sheet1-指标体系'!$J$9,2)))</x:f>
        <x:v>31.88</x:v>
      </x:c>
      <x:c r="T68" s="35" t="n">
        <x:f>IF(ISNUMBER('sheet4-原始数据'!J53),'sheet4-原始数据'!J53,"")</x:f>
        <x:v>0.3077</x:v>
      </x:c>
      <x:c r="U68" s="35" t="n">
        <x:f>IF(ISNUMBER('sheet4-原始数据'!I53),'sheet4-原始数据'!I53,"")</x:f>
        <x:v>0.5946</x:v>
      </x:c>
      <x:c r="V68" s="37" t="n">
        <x:f>IF(OR(NOT(ISNUMBER(T68)),NOT(ISNUMBER(U68))),"",(U68*'sheet1-指标体系'!$J$6-T68*'sheet1-指标体系'!$J$5)/'sheet1-指标体系'!$J$7)</x:f>
        <x:v>0.7500041666666667</x:v>
      </x:c>
      <x:c r="W68" s="17" t="n">
        <x:f>IF(NOT(ISNUMBER(T68)),"",T68*100)</x:f>
        <x:v>30.769999999999996</x:v>
      </x:c>
      <x:c r="X68" s="17" t="n">
        <x:f>IF($G68&lt;&gt;"入池","",IF(AND(ISNUMBER(V68),V68&gt;=0,V68&lt;=1),V68*100,IF(MAX(0,($F68-1)*12)&lt;6,100,"")))</x:f>
        <x:v>75.00041666666667</x:v>
      </x:c>
      <x:c r="Y68" s="17" t="n">
        <x:f>IF(NOT(ISNUMBER(W68)),"",IF(NOT(ISNUMBER(X68)),W68,ROUND(W68*'sheet1-指标体系'!$J$8+X68*'sheet1-指标体系'!$J$9,2)))</x:f>
        <x:v>48.46</x:v>
      </x:c>
      <x:c r="Z68" s="37" t="n">
        <x:f>IF(OR(NOT(ISNUMBER(M68)),NOT(ISNUMBER(AD68)),AD68=0),"",ABS(M68/AD68))</x:f>
        <x:v>0.04497710746027471</x:v>
      </x:c>
      <x:c r="AA68" s="35" t="n">
        <x:f>IF(ISNUMBER('sheet4-原始数据'!K53),'sheet4-原始数据'!K53,"")</x:f>
        <x:v>0.045</x:v>
      </x:c>
      <x:c r="AB68" s="37" t="n">
        <x:f>IF(COUNT(Z68:AA68)=0,"",MAX(Z68:AA68))</x:f>
        <x:v>0.045</x:v>
      </x:c>
      <x:c r="AC68" s="17" t="n">
        <x:f>IF(OR($G68&lt;&gt;"入池",NOT(ISNUMBER(AB68))),"",IF(COUNTIFS($G$17:$G$219,"入池",$AB$17:$AB$219,"&gt;=-1E+307",$AB$17:$AB$219,"&lt;=1E+307")&lt;=1,100,ROUND(100*(COUNTIFS($G$17:$G$219,"入池",$AB$17:$AB$219,"&lt;=1E+307",$AB$17:$AB$219,"&gt;"&amp;AB68)+COUNTIFS($G$17:$G$219,"入池",$AB$17:$AB$219,AB68,$AB$17:$AB$219,"&gt;=-1E+307",$AB$17:$AB$219,"&lt;=1E+307")/2-0.5)/(COUNTIFS($G$17:$G$219,"入池",$AB$17:$AB$219,"&gt;=-1E+307",$AB$17:$AB$219,"&lt;=1E+307")-1),2)))</x:f>
        <x:v>48.51</x:v>
      </x:c>
      <x:c r="AD68" s="38" t="n">
        <x:f>IF(ISNUMBER('sheet4-原始数据'!M53),'sheet4-原始数据'!M53,"")</x:f>
        <x:v>-0.3713</x:v>
      </x:c>
      <x:c r="AE68" s="37" t="str">
        <x:f>IF(OR(NOT(ISNUMBER(P68)),NOT(ISNUMBER(AA68)),NOT(ISNUMBER(Z68))),"",IF(AA68&gt;Z68+'sheet1-指标体系'!$J$11,AA68,""))</x:f>
      </x:c>
      <x:c r="AF68" s="17" t="str">
        <x:f>IF(OR(NOT(ISNUMBER(P68)),NOT(ISNUMBER(AE68)),AE68=0),"",P68/AE68)</x:f>
      </x:c>
      <x:c r="AG68" s="17" t="n">
        <x:f>IF(OR($G68&lt;&gt;"入池",NOT(ISNUMBER(AD68))),"",IF(COUNTIFS($G$17:$G$219,"入池",$AD$17:$AD$219,"&gt;=-1E+307",$AD$17:$AD$219,"&lt;=1E+307")&lt;=1,100,ROUND(100*(COUNTIFS($G$17:$G$219,"入池",$AD$17:$AD$219,"&gt;=-1E+307",$AD$17:$AD$219,"&lt;"&amp;AD68)+COUNTIFS($G$17:$G$219,"入池",$AD$17:$AD$219,AD68,$AD$17:$AD$219,"&gt;=-1E+307",$AD$17:$AD$219,"&lt;=1E+307")/2-0.5)/(COUNTIFS($G$17:$G$219,"入池",$AD$17:$AD$219,"&gt;=-1E+307",$AD$17:$AD$219,"&lt;=1E+307")-1),2)))</x:f>
        <x:v>10.95</x:v>
      </x:c>
      <x:c r="AH68" s="17" t="str">
        <x:f>IF(OR($G68&lt;&gt;"入池",NOT(ISNUMBER(AF68))),"",IF(COUNTIFS($G$17:$G$219,"入池",$AF$17:$AF$219,"&gt;=-1E+307",$AF$17:$AF$219,"&lt;=1E+307")&lt;=1,100,ROUND(100*(COUNTIFS($G$17:$G$219,"入池",$AF$17:$AF$219,"&gt;=-1E+307",$AF$17:$AF$219,"&lt;"&amp;AF68)+COUNTIFS($G$17:$G$219,"入池",$AF$17:$AF$219,AF68,$AF$17:$AF$219,"&gt;=-1E+307",$AF$17:$AF$219,"&lt;=1E+307")/2-0.5)/(COUNTIFS($G$17:$G$219,"入池",$AF$17:$AF$219,"&gt;=-1E+307",$AF$17:$AF$219,"&lt;=1E+307")-1),2)))</x:f>
      </x:c>
      <x:c r="AI68" s="17" t="n">
        <x:f>IF(NOT(ISNUMBER(AG68)),"",IF(NOT(ISNUMBER(AH68)),AG68,ROUND(AG68*'sheet1-指标体系'!$J$8+AH68*'sheet1-指标体系'!$J$9,2)))</x:f>
        <x:v>10.95</x:v>
      </x:c>
      <x:c r="AJ68" s="37" t="n">
        <x:f>IF(NOT(ISNUMBER(F68)),"",IF(F68&gt;=3,IF(NOT(ISNUMBER(N68)),"",N68),IF(NOT(ISNUMBER(O68)),"",O68)))</x:f>
        <x:v>0.04190000000000001</x:v>
      </x:c>
      <x:c r="AK68" s="17" t="n">
        <x:f>IF(OR(G68&lt;&gt;"入池",NOT(ISNUMBER(M68)),NOT(ISNUMBER(AJ68))),"",IF(M68&gt;=AJ68,100,IF(AJ68-M68&lt;'sheet1-指标体系'!$J$10,80,60)))</x:f>
        <x:v>80</x:v>
      </x:c>
      <x:c r="AL68" s="17" t="n">
        <x:f>IF(COUNT(I68,K68,L68)=0,"",ROUND((IF(ISNUMBER(I68),I68*40%,0)+IF(ISNUMBER(K68),K68*30%,0)+IF(ISNUMBER(L68),L68*30%,0))/(IF(ISNUMBER(I68),40%,0)+IF(ISNUMBER(K68),30%,0)+IF(ISNUMBER(L68),30%,0)),2))</x:f>
        <x:v>88</x:v>
      </x:c>
      <x:c r="AM68" s="17" t="n">
        <x:f>IF(COUNT(Q68,R68,W68,X68)=0,"",ROUND((IF(ISNUMBER(Q68),Q68*42%,0)+IF(ISNUMBER(R68),R68*28%,0)+IF(ISNUMBER(W68),W68*18%,0)+IF(ISNUMBER(X68),X68*12%,0))/(IF(ISNUMBER(Q68),42%,0)+IF(ISNUMBER(R68),28%,0)+IF(ISNUMBER(W68),18%,0)+IF(ISNUMBER(X68),12%,0)),2))</x:f>
        <x:v>36.85</x:v>
      </x:c>
      <x:c r="AN68" s="17" t="n">
        <x:f>IF(ISNUMBER(AC68),AC68,"")</x:f>
        <x:v>48.51</x:v>
      </x:c>
      <x:c r="AO68" s="17" t="n">
        <x:f>IF(COUNT(AG68,AH68)=0,"",ROUND((IF(ISNUMBER(AG68),AG68*60%,0)+IF(ISNUMBER(AH68),AH68*40%,0))/(IF(ISNUMBER(AG68),60%,0)+IF(ISNUMBER(AH68),40%,0)),2))</x:f>
        <x:v>10.95</x:v>
      </x:c>
      <x:c r="AP68" s="17" t="n">
        <x:f>IF(ISNUMBER(AK68),AK68,"")</x:f>
        <x:v>80</x:v>
      </x:c>
      <x:c r="AQ68" s="39" t="n">
        <x:f>IF(G68&lt;&gt;"入池",0,IF(ISNUMBER(I68),6%,0)+IF(ISNUMBER(K68),4.5%,0)+IF(ISNUMBER(L68),4.5%,0)+IF(ISNUMBER(Q68),8.4%,0)+IF(ISNUMBER(R68),5.6%,0)+IF(ISNUMBER(W68),3.6%,0)+IF(ISNUMBER(X68),2.4%,0)+IF(ISNUMBER(AC68),25%,0)+IF(ISNUMBER(AG68),18%,0)+IF(ISNUMBER(AH68),12%,0)+IF(ISNUMBER(AK68),10%,0))</x:f>
        <x:v>0.88</x:v>
      </x:c>
      <x:c r="AR68" s="17" t="n">
        <x:f>IF(AQ68=0,"",IF(ISNUMBER(I68),I68*6%,0)+IF(ISNUMBER(K68),K68*4.5%,0)+IF(ISNUMBER(L68),L68*4.5%,0)+IF(ISNUMBER(Q68),Q68*8.4%,0)+IF(ISNUMBER(R68),R68*5.6%,0)+IF(ISNUMBER(W68),W68*3.6%,0)+IF(ISNUMBER(X68),X68*2.4%,0)+IF(ISNUMBER(AC68),AC68*25%,0)+IF(ISNUMBER(AG68),AG68*18%,0)+IF(ISNUMBER(AH68),AH68*12%,0)+IF(ISNUMBER(AK68),AK68*10%,0))</x:f>
        <x:v>42.66943</x:v>
      </x:c>
      <x:c r="AS68" s="17" t="n">
        <x:f>IF(AQ68=0,"",ROUND(AR68/AQ68,2))</x:f>
        <x:v>48.49</x:v>
      </x:c>
      <x:c r="AT68" s="40" t="n">
        <x:f>IF(OR(G68&lt;&gt;"入池",NOT(ISNUMBER(AS68))),"",COUNTIFS($G$17:$G$219,"入池",$AS$17:$AS$219,"&gt;"&amp;AS68)+COUNTIFS($G$17:$G$219,"入池",$AS$17:$AS$219,AS68,$AQ$17:$AQ$219,"&gt;"&amp;AQ68)+COUNTIFS($G$17:G68,"入池",$AS$17:AS68,AS68,$AQ$17:AQ68,AQ68))</x:f>
        <x:v>151</x:v>
      </x:c>
      <x:c r="AU68" s="41" t="str">
        <x:f t="shared" si="2">IF(NOT(ISNUMBER(I68)),"管理人规模；","")&amp;IF(J68="","产品规模标识；","")&amp;IF(AND(F68&lt;3,NOT(ISNUMBER(O68))),"R_incep；","")&amp;IF(NOT(ISNUMBER(N68)),"近三年收益；","")&amp;IF(NOT(ISNUMBER(U68)),"近三年胜率；","")&amp;IF(AND(ISNUMBER(V68),OR(V68&lt;0,V68&gt;1)),"胜率窗口口径不一致；","")&amp;IF(NOT(ISNUMBER(AA68)),"近三年回撤；","")&amp;IF(NOT(ISNUMBER(AD68)),"短期卡玛；","")&amp;IF(AND(ISNUMBER(P68),NOT(ISNUMBER(AE68))),"DD_long不可识别；","")</x:f>
        <x:v>DD_long不可识别；</x:v>
      </x:c>
      <x:c r="AV68" s="42" t="n">
        <x:v>5</x:v>
      </x:c>
      <x:c r="AW68" s="19" t="str">
        <x:v>广州博牛私募证券投资管理有限公司</x:v>
      </x:c>
      <x:c r="AX68" s="19" t="str">
        <x:v>2026-05-21</x:v>
      </x:c>
      <x:c r="AY68" s="19" t="str">
        <x:v>https://gs.amac.org.cn/amac-infodisc/res/pof/manager/1801020956105866.html</x:v>
      </x:c>
      <x:c r="AZ68" s="19" t="str">
        <x:v>博牛转债策略2号私募证券投资基金</x:v>
      </x:c>
      <x:c r="BA68" s="19" t="str">
        <x:v>2022-08-15</x:v>
      </x:c>
      <x:c r="BB68" s="19"/>
      <x:c r="BC68" s="19" t="str">
        <x:v>https://gs.amac.org.cn/amac-infodisc/res/pof/fund/2208121907108282.html</x:v>
      </x:c>
      <x:c r="BD68" s="19" t="str">
        <x:v>已匹配</x:v>
      </x:c>
      <x:c r="BE68"/>
      <x:c r="BF68"/>
    </x:row>
    <x:row r="69" ht="28" customHeight="1">
      <x:c r="A69" s="4" t="n">
        <x:v>53</x:v>
      </x:c>
      <x:c r="B69" s="15" t="str">
        <x:f>'sheet4-原始数据'!A54</x:f>
        <x:v>银瓴运通致远3号五期</x:v>
      </x:c>
      <x:c r="C69" s="15" t="str">
        <x:f>'sheet4-原始数据'!B54</x:f>
        <x:v>SXF666</x:v>
      </x:c>
      <x:c r="D69" s="15" t="str">
        <x:f>'sheet4-原始数据'!E54</x:f>
        <x:v>广西银瓴资产</x:v>
      </x:c>
      <x:c r="E69" s="32" t="n">
        <x:f>IF(ISNUMBER('sheet4-原始数据'!F54),'sheet4-原始数据'!F54,"")</x:f>
        <x:v>44804</x:v>
      </x:c>
      <x:c r="F69" s="17" t="n">
        <x:f>IF(NOT(ISNUMBER(E69)),"",ROUND(('sheet1-指标体系'!$J$23-E69)/365.25,4))</x:f>
        <x:v>4.0438</x:v>
      </x:c>
      <x:c r="G69" s="4" t="str">
        <x:f t="shared" si="1">IF(NOT(ISNUMBER(F69)),"",IF(F69&lt;1,"不入池","入池"))</x:f>
        <x:v>入池</x:v>
      </x:c>
      <x:c r="H69" s="33" t="str">
        <x:v>0-5亿元</x:v>
      </x:c>
      <x:c r="I69" s="17" t="n">
        <x:f>IF(H69="","",IF(ISNUMBER(SEARCH("100亿元以上",H69)),100,IF(OR(ISNUMBER(SEARCH("20-50",H69)),ISNUMBER(SEARCH("50-100",H69)),ISNUMBER(SEARCH("20-100",H69))),90,IF(ISNUMBER(SEARCH("10-20",H69)),80,IF(ISNUMBER(SEARCH("5-10",H69)),70,IF(ISNUMBER(SEARCH("0-5",H69)),60,""))))))</x:f>
        <x:v>60</x:v>
      </x:c>
      <x:c r="J69" s="34" t="str">
        <x:v>低于1000万元</x:v>
      </x:c>
      <x:c r="K69" s="17" t="n">
        <x:f>IF(J69="","",IF(J69="低于1000万元",0,100))</x:f>
        <x:v>0</x:v>
      </x:c>
      <x:c r="L69" s="17" t="n">
        <x:f>IF(NOT(ISNUMBER(F69)),"",IF(F69&lt;1,"",IF(F69&lt;3,70,100)))</x:f>
        <x:v>100</x:v>
      </x:c>
      <x:c r="M69" s="35" t="n">
        <x:f>IF(ISNUMBER('sheet4-原始数据'!G54),'sheet4-原始数据'!G54,"")</x:f>
        <x:v>-0.044800000000000006</x:v>
      </x:c>
      <x:c r="N69" s="35" t="n">
        <x:f>IF(ISNUMBER('sheet4-原始数据'!H54),'sheet4-原始数据'!H54,"")</x:f>
        <x:v>0.026600000000000002</x:v>
      </x:c>
      <x:c r="O69" s="36" t="str">
        <x:f>IF(ISNUMBER('sheet4-原始数据'!Q54),'sheet4-原始数据'!Q54,"")</x:f>
      </x:c>
      <x:c r="P69" s="37" t="n">
        <x:f>IF($G69&lt;&gt;"入池","",IF($F69&gt;=3,IF(OR(NOT(ISNUMBER($M69)),NOT(ISNUMBER($N69)),1+$M69&lt;=0,1+$N69&lt;0),"",((1+$N69)^3/(1+$M69))^(1/2)-1),IF(OR($F69&lt;=1,NOT(ISNUMBER($M69)),NOT(ISNUMBER($O69)),1+$M69&lt;=0,1+$O69&lt;0),"",((1+$O69)^$F69/(1+$M69))^(1/($F69-1))-1)))</x:f>
        <x:v>0.06427713782901834</x:v>
      </x:c>
      <x:c r="Q69" s="17" t="n">
        <x:f>IF(OR($G69&lt;&gt;"入池",NOT(ISNUMBER(M69))),"",IF(COUNTIFS($G$17:$G$219,"入池",$M$17:$M$219,"&gt;=-1E+307",$M$17:$M$219,"&lt;=1E+307")&lt;=1,100,ROUND(100*(COUNTIFS($G$17:$G$219,"入池",$M$17:$M$219,"&gt;=-1E+307",$M$17:$M$219,"&lt;"&amp;M69)+COUNTIFS($G$17:$G$219,"入池",$M$17:$M$219,M69,$M$17:$M$219,"&gt;=-1E+307",$M$17:$M$219,"&lt;=1E+307")/2-0.5)/(COUNTIFS($G$17:$G$219,"入池",$M$17:$M$219,"&gt;=-1E+307",$M$17:$M$219,"&lt;=1E+307")-1),2)))</x:f>
        <x:v>9.41</x:v>
      </x:c>
      <x:c r="R69" s="17" t="n">
        <x:f>IF(OR($G69&lt;&gt;"入池",NOT(ISNUMBER(P69))),"",IF(COUNTIFS($G$17:$G$219,"入池",$P$17:$P$219,"&gt;=-1E+307",$P$17:$P$219,"&lt;=1E+307")&lt;=1,100,ROUND(100*(COUNTIFS($G$17:$G$219,"入池",$P$17:$P$219,"&gt;=-1E+307",$P$17:$P$219,"&lt;"&amp;P69)+COUNTIFS($G$17:$G$219,"入池",$P$17:$P$219,P69,$P$17:$P$219,"&gt;=-1E+307",$P$17:$P$219,"&lt;=1E+307")/2-0.5)/(COUNTIFS($G$17:$G$219,"入池",$P$17:$P$219,"&gt;=-1E+307",$P$17:$P$219,"&lt;=1E+307")-1),2)))</x:f>
        <x:v>50.99</x:v>
      </x:c>
      <x:c r="S69" s="17" t="n">
        <x:f>IF(NOT(ISNUMBER(Q69)),"",IF(NOT(ISNUMBER(R69)),Q69,ROUND(Q69*'sheet1-指标体系'!$J$8+R69*'sheet1-指标体系'!$J$9,2)))</x:f>
        <x:v>26.04</x:v>
      </x:c>
      <x:c r="T69" s="35" t="n">
        <x:f>IF(ISNUMBER('sheet4-原始数据'!J54),'sheet4-原始数据'!J54,"")</x:f>
        <x:v>0.3077</x:v>
      </x:c>
      <x:c r="U69" s="35" t="n">
        <x:f>IF(ISNUMBER('sheet4-原始数据'!I54),'sheet4-原始数据'!I54,"")</x:f>
        <x:v>0.5135000000000001</x:v>
      </x:c>
      <x:c r="V69" s="37" t="n">
        <x:f>IF(OR(NOT(ISNUMBER(T69)),NOT(ISNUMBER(U69))),"",(U69*'sheet1-指标体系'!$J$6-T69*'sheet1-指标体系'!$J$5)/'sheet1-指标体系'!$J$7)</x:f>
        <x:v>0.6249750000000001</x:v>
      </x:c>
      <x:c r="W69" s="17" t="n">
        <x:f>IF(NOT(ISNUMBER(T69)),"",T69*100)</x:f>
        <x:v>30.769999999999996</x:v>
      </x:c>
      <x:c r="X69" s="17" t="n">
        <x:f>IF($G69&lt;&gt;"入池","",IF(AND(ISNUMBER(V69),V69&gt;=0,V69&lt;=1),V69*100,IF(MAX(0,($F69-1)*12)&lt;6,100,"")))</x:f>
        <x:v>62.4975</x:v>
      </x:c>
      <x:c r="Y69" s="17" t="n">
        <x:f>IF(NOT(ISNUMBER(W69)),"",IF(NOT(ISNUMBER(X69)),W69,ROUND(W69*'sheet1-指标体系'!$J$8+X69*'sheet1-指标体系'!$J$9,2)))</x:f>
        <x:v>43.46</x:v>
      </x:c>
      <x:c r="Z69" s="37" t="n">
        <x:f>IF(OR(NOT(ISNUMBER(M69)),NOT(ISNUMBER(AD69)),AD69=0),"",ABS(M69/AD69))</x:f>
        <x:v>0.07926397735314933</x:v>
      </x:c>
      <x:c r="AA69" s="35" t="n">
        <x:f>IF(ISNUMBER('sheet4-原始数据'!K54),'sheet4-原始数据'!K54,"")</x:f>
        <x:v>0.0858</x:v>
      </x:c>
      <x:c r="AB69" s="37" t="n">
        <x:f>IF(COUNT(Z69:AA69)=0,"",MAX(Z69:AA69))</x:f>
        <x:v>0.0858</x:v>
      </x:c>
      <x:c r="AC69" s="17" t="n">
        <x:f>IF(OR($G69&lt;&gt;"入池",NOT(ISNUMBER(AB69))),"",IF(COUNTIFS($G$17:$G$219,"入池",$AB$17:$AB$219,"&gt;=-1E+307",$AB$17:$AB$219,"&lt;=1E+307")&lt;=1,100,ROUND(100*(COUNTIFS($G$17:$G$219,"入池",$AB$17:$AB$219,"&lt;=1E+307",$AB$17:$AB$219,"&gt;"&amp;AB69)+COUNTIFS($G$17:$G$219,"入池",$AB$17:$AB$219,AB69,$AB$17:$AB$219,"&gt;=-1E+307",$AB$17:$AB$219,"&lt;=1E+307")/2-0.5)/(COUNTIFS($G$17:$G$219,"入池",$AB$17:$AB$219,"&gt;=-1E+307",$AB$17:$AB$219,"&lt;=1E+307")-1),2)))</x:f>
        <x:v>31.19</x:v>
      </x:c>
      <x:c r="AD69" s="38" t="n">
        <x:f>IF(ISNUMBER('sheet4-原始数据'!M54),'sheet4-原始数据'!M54,"")</x:f>
        <x:v>-0.5652</x:v>
      </x:c>
      <x:c r="AE69" s="37" t="n">
        <x:f>IF(OR(NOT(ISNUMBER(P69)),NOT(ISNUMBER(AA69)),NOT(ISNUMBER(Z69))),"",IF(AA69&gt;Z69+'sheet1-指标体系'!$J$11,AA69,""))</x:f>
        <x:v>0.0858</x:v>
      </x:c>
      <x:c r="AF69" s="17" t="n">
        <x:f>IF(OR(NOT(ISNUMBER(P69)),NOT(ISNUMBER(AE69)),AE69=0),"",P69/AE69)</x:f>
        <x:v>0.7491507905479993</x:v>
      </x:c>
      <x:c r="AG69" s="17" t="n">
        <x:f>IF(OR($G69&lt;&gt;"入池",NOT(ISNUMBER(AD69))),"",IF(COUNTIFS($G$17:$G$219,"入池",$AD$17:$AD$219,"&gt;=-1E+307",$AD$17:$AD$219,"&lt;=1E+307")&lt;=1,100,ROUND(100*(COUNTIFS($G$17:$G$219,"入池",$AD$17:$AD$219,"&gt;=-1E+307",$AD$17:$AD$219,"&lt;"&amp;AD69)+COUNTIFS($G$17:$G$219,"入池",$AD$17:$AD$219,AD69,$AD$17:$AD$219,"&gt;=-1E+307",$AD$17:$AD$219,"&lt;=1E+307")/2-0.5)/(COUNTIFS($G$17:$G$219,"入池",$AD$17:$AD$219,"&gt;=-1E+307",$AD$17:$AD$219,"&lt;=1E+307")-1),2)))</x:f>
        <x:v>8.46</x:v>
      </x:c>
      <x:c r="AH69" s="17" t="n">
        <x:f>IF(OR($G69&lt;&gt;"入池",NOT(ISNUMBER(AF69))),"",IF(COUNTIFS($G$17:$G$219,"入池",$AF$17:$AF$219,"&gt;=-1E+307",$AF$17:$AF$219,"&lt;=1E+307")&lt;=1,100,ROUND(100*(COUNTIFS($G$17:$G$219,"入池",$AF$17:$AF$219,"&gt;=-1E+307",$AF$17:$AF$219,"&lt;"&amp;AF69)+COUNTIFS($G$17:$G$219,"入池",$AF$17:$AF$219,AF69,$AF$17:$AF$219,"&gt;=-1E+307",$AF$17:$AF$219,"&lt;=1E+307")/2-0.5)/(COUNTIFS($G$17:$G$219,"入池",$AF$17:$AF$219,"&gt;=-1E+307",$AF$17:$AF$219,"&lt;=1E+307")-1),2)))</x:f>
        <x:v>29.2</x:v>
      </x:c>
      <x:c r="AI69" s="17" t="n">
        <x:f>IF(NOT(ISNUMBER(AG69)),"",IF(NOT(ISNUMBER(AH69)),AG69,ROUND(AG69*'sheet1-指标体系'!$J$8+AH69*'sheet1-指标体系'!$J$9,2)))</x:f>
        <x:v>16.76</x:v>
      </x:c>
      <x:c r="AJ69" s="37" t="n">
        <x:f>IF(NOT(ISNUMBER(F69)),"",IF(F69&gt;=3,IF(NOT(ISNUMBER(N69)),"",N69),IF(NOT(ISNUMBER(O69)),"",O69)))</x:f>
        <x:v>0.026600000000000002</x:v>
      </x:c>
      <x:c r="AK69" s="17" t="n">
        <x:f>IF(OR(G69&lt;&gt;"入池",NOT(ISNUMBER(M69)),NOT(ISNUMBER(AJ69))),"",IF(M69&gt;=AJ69,100,IF(AJ69-M69&lt;'sheet1-指标体系'!$J$10,80,60)))</x:f>
        <x:v>80</x:v>
      </x:c>
      <x:c r="AL69" s="17" t="n">
        <x:f>IF(COUNT(I69,K69,L69)=0,"",ROUND((IF(ISNUMBER(I69),I69*40%,0)+IF(ISNUMBER(K69),K69*30%,0)+IF(ISNUMBER(L69),L69*30%,0))/(IF(ISNUMBER(I69),40%,0)+IF(ISNUMBER(K69),30%,0)+IF(ISNUMBER(L69),30%,0)),2))</x:f>
        <x:v>54</x:v>
      </x:c>
      <x:c r="AM69" s="17" t="n">
        <x:f>IF(COUNT(Q69,R69,W69,X69)=0,"",ROUND((IF(ISNUMBER(Q69),Q69*42%,0)+IF(ISNUMBER(R69),R69*28%,0)+IF(ISNUMBER(W69),W69*18%,0)+IF(ISNUMBER(X69),X69*12%,0))/(IF(ISNUMBER(Q69),42%,0)+IF(ISNUMBER(R69),28%,0)+IF(ISNUMBER(W69),18%,0)+IF(ISNUMBER(X69),12%,0)),2))</x:f>
        <x:v>31.27</x:v>
      </x:c>
      <x:c r="AN69" s="17" t="n">
        <x:f>IF(ISNUMBER(AC69),AC69,"")</x:f>
        <x:v>31.19</x:v>
      </x:c>
      <x:c r="AO69" s="17" t="n">
        <x:f>IF(COUNT(AG69,AH69)=0,"",ROUND((IF(ISNUMBER(AG69),AG69*60%,0)+IF(ISNUMBER(AH69),AH69*40%,0))/(IF(ISNUMBER(AG69),60%,0)+IF(ISNUMBER(AH69),40%,0)),2))</x:f>
        <x:v>16.76</x:v>
      </x:c>
      <x:c r="AP69" s="17" t="n">
        <x:f>IF(ISNUMBER(AK69),AK69,"")</x:f>
        <x:v>80</x:v>
      </x:c>
      <x:c r="AQ69" s="39" t="n">
        <x:f>IF(G69&lt;&gt;"入池",0,IF(ISNUMBER(I69),6%,0)+IF(ISNUMBER(K69),4.5%,0)+IF(ISNUMBER(L69),4.5%,0)+IF(ISNUMBER(Q69),8.4%,0)+IF(ISNUMBER(R69),5.6%,0)+IF(ISNUMBER(W69),3.6%,0)+IF(ISNUMBER(X69),2.4%,0)+IF(ISNUMBER(AC69),25%,0)+IF(ISNUMBER(AG69),18%,0)+IF(ISNUMBER(AH69),12%,0)+IF(ISNUMBER(AK69),10%,0))</x:f>
        <x:v>1</x:v>
      </x:c>
      <x:c r="AR69" s="17" t="n">
        <x:f>IF(AQ69=0,"",IF(ISNUMBER(I69),I69*6%,0)+IF(ISNUMBER(K69),K69*4.5%,0)+IF(ISNUMBER(L69),L69*4.5%,0)+IF(ISNUMBER(Q69),Q69*8.4%,0)+IF(ISNUMBER(R69),R69*5.6%,0)+IF(ISNUMBER(W69),W69*3.6%,0)+IF(ISNUMBER(X69),X69*2.4%,0)+IF(ISNUMBER(AC69),AC69*25%,0)+IF(ISNUMBER(AG69),AG69*18%,0)+IF(ISNUMBER(AH69),AH69*12%,0)+IF(ISNUMBER(AK69),AK69*10%,0))</x:f>
        <x:v>35.17784</x:v>
      </x:c>
      <x:c r="AS69" s="17" t="n">
        <x:f>IF(AQ69=0,"",ROUND(AR69/AQ69,2))</x:f>
        <x:v>35.18</x:v>
      </x:c>
      <x:c r="AT69" s="40" t="n">
        <x:f>IF(OR(G69&lt;&gt;"入池",NOT(ISNUMBER(AS69))),"",COUNTIFS($G$17:$G$219,"入池",$AS$17:$AS$219,"&gt;"&amp;AS69)+COUNTIFS($G$17:$G$219,"入池",$AS$17:$AS$219,AS69,$AQ$17:$AQ$219,"&gt;"&amp;AQ69)+COUNTIFS($G$17:G69,"入池",$AS$17:AS69,AS69,$AQ$17:AQ69,AQ69))</x:f>
        <x:v>185</x:v>
      </x:c>
      <x:c r="AU69" s="41" t="str">
        <x:f t="shared" si="2">IF(NOT(ISNUMBER(I69)),"管理人规模；","")&amp;IF(J69="","产品规模标识；","")&amp;IF(AND(F69&lt;3,NOT(ISNUMBER(O69))),"R_incep；","")&amp;IF(NOT(ISNUMBER(N69)),"近三年收益；","")&amp;IF(NOT(ISNUMBER(U69)),"近三年胜率；","")&amp;IF(AND(ISNUMBER(V69),OR(V69&lt;0,V69&gt;1)),"胜率窗口口径不一致；","")&amp;IF(NOT(ISNUMBER(AA69)),"近三年回撤；","")&amp;IF(NOT(ISNUMBER(AD69)),"短期卡玛；","")&amp;IF(AND(ISNUMBER(P69),NOT(ISNUMBER(AE69))),"DD_long不可识别；","")</x:f>
      </x:c>
      <x:c r="AV69" s="42" t="n">
        <x:v>0</x:v>
      </x:c>
      <x:c r="AW69" s="19" t="str">
        <x:v>广西银瓴资产管理有限公司</x:v>
      </x:c>
      <x:c r="AX69" s="19" t="str">
        <x:v>2026-07-09</x:v>
      </x:c>
      <x:c r="AY69" s="19" t="str">
        <x:v>https://gs.amac.org.cn/amac-infodisc/res/pof/manager/101000035485.html</x:v>
      </x:c>
      <x:c r="AZ69" s="19" t="str">
        <x:v>银瓴运通致远3号私募证券投资基金五期</x:v>
      </x:c>
      <x:c r="BA69" s="19" t="str">
        <x:v>2025-05-26</x:v>
      </x:c>
      <x:c r="BB69" s="19" t="str">
        <x:v>2026年第2季度季度更新信息</x:v>
      </x:c>
      <x:c r="BC69" s="19" t="str">
        <x:v>https://gs.amac.org.cn/amac-infodisc/res/pof/fund/2209051807103258.html</x:v>
      </x:c>
      <x:c r="BD69" s="19" t="str">
        <x:v>已匹配</x:v>
      </x:c>
      <x:c r="BE69"/>
      <x:c r="BF69"/>
    </x:row>
    <x:row r="70" ht="28" customHeight="1">
      <x:c r="A70" s="4" t="n">
        <x:v>54</x:v>
      </x:c>
      <x:c r="B70" s="15" t="str">
        <x:f>'sheet4-原始数据'!A55</x:f>
        <x:v>汉盛浩远1号</x:v>
      </x:c>
      <x:c r="C70" s="15" t="str">
        <x:f>'sheet4-原始数据'!B55</x:f>
        <x:v>SXE156</x:v>
      </x:c>
      <x:c r="D70" s="15" t="str">
        <x:f>'sheet4-原始数据'!E55</x:f>
        <x:v>上海汉鸿</x:v>
      </x:c>
      <x:c r="E70" s="32" t="n">
        <x:f>IF(ISNUMBER('sheet4-原始数据'!F55),'sheet4-原始数据'!F55,"")</x:f>
        <x:v>44810</x:v>
      </x:c>
      <x:c r="F70" s="17" t="n">
        <x:f>IF(NOT(ISNUMBER(E70)),"",ROUND(('sheet1-指标体系'!$J$23-E70)/365.25,4))</x:f>
        <x:v>4.0274</x:v>
      </x:c>
      <x:c r="G70" s="4" t="str">
        <x:f t="shared" si="1">IF(NOT(ISNUMBER(F70)),"",IF(F70&lt;1,"不入池","入池"))</x:f>
        <x:v>入池</x:v>
      </x:c>
      <x:c r="H70" s="33" t="str">
        <x:v>10-20亿元</x:v>
      </x:c>
      <x:c r="I70" s="17" t="n">
        <x:f>IF(H70="","",IF(ISNUMBER(SEARCH("100亿元以上",H70)),100,IF(OR(ISNUMBER(SEARCH("20-50",H70)),ISNUMBER(SEARCH("50-100",H70)),ISNUMBER(SEARCH("20-100",H70))),90,IF(ISNUMBER(SEARCH("10-20",H70)),80,IF(ISNUMBER(SEARCH("5-10",H70)),70,IF(ISNUMBER(SEARCH("0-5",H70)),60,""))))))</x:f>
        <x:v>80</x:v>
      </x:c>
      <x:c r="J70" s="34" t="str">
        <x:v>无低于1000万元标识</x:v>
      </x:c>
      <x:c r="K70" s="17" t="n">
        <x:f>IF(J70="","",IF(J70="低于1000万元",0,100))</x:f>
        <x:v>100</x:v>
      </x:c>
      <x:c r="L70" s="17" t="n">
        <x:f>IF(NOT(ISNUMBER(F70)),"",IF(F70&lt;1,"",IF(F70&lt;3,70,100)))</x:f>
        <x:v>100</x:v>
      </x:c>
      <x:c r="M70" s="35" t="n">
        <x:f>IF(ISNUMBER('sheet4-原始数据'!G55),'sheet4-原始数据'!G55,"")</x:f>
        <x:v>0.0084</x:v>
      </x:c>
      <x:c r="N70" s="35" t="n">
        <x:f>IF(ISNUMBER('sheet4-原始数据'!H55),'sheet4-原始数据'!H55,"")</x:f>
        <x:v>0.1561</x:v>
      </x:c>
      <x:c r="O70" s="36" t="str">
        <x:f>IF(ISNUMBER('sheet4-原始数据'!Q55),'sheet4-原始数据'!Q55,"")</x:f>
      </x:c>
      <x:c r="P70" s="37" t="n">
        <x:f>IF($G70&lt;&gt;"入池","",IF($F70&gt;=3,IF(OR(NOT(ISNUMBER($M70)),NOT(ISNUMBER($N70)),1+$M70&lt;=0,1+$N70&lt;0),"",((1+$N70)^3/(1+$M70))^(1/2)-1),IF(OR($F70&lt;=1,NOT(ISNUMBER($M70)),NOT(ISNUMBER($O70)),1+$M70&lt;=0,1+$O70&lt;0),"",((1+$O70)^$F70/(1+$M70))^(1/($F70-1))-1)))</x:f>
        <x:v>0.2378746899415216</x:v>
      </x:c>
      <x:c r="Q70" s="17" t="n">
        <x:f>IF(OR($G70&lt;&gt;"入池",NOT(ISNUMBER(M70))),"",IF(COUNTIFS($G$17:$G$219,"入池",$M$17:$M$219,"&gt;=-1E+307",$M$17:$M$219,"&lt;=1E+307")&lt;=1,100,ROUND(100*(COUNTIFS($G$17:$G$219,"入池",$M$17:$M$219,"&gt;=-1E+307",$M$17:$M$219,"&lt;"&amp;M70)+COUNTIFS($G$17:$G$219,"入池",$M$17:$M$219,M70,$M$17:$M$219,"&gt;=-1E+307",$M$17:$M$219,"&lt;=1E+307")/2-0.5)/(COUNTIFS($G$17:$G$219,"入池",$M$17:$M$219,"&gt;=-1E+307",$M$17:$M$219,"&lt;=1E+307")-1),2)))</x:f>
        <x:v>21.29</x:v>
      </x:c>
      <x:c r="R70" s="17" t="n">
        <x:f>IF(OR($G70&lt;&gt;"入池",NOT(ISNUMBER(P70))),"",IF(COUNTIFS($G$17:$G$219,"入池",$P$17:$P$219,"&gt;=-1E+307",$P$17:$P$219,"&lt;=1E+307")&lt;=1,100,ROUND(100*(COUNTIFS($G$17:$G$219,"入池",$P$17:$P$219,"&gt;=-1E+307",$P$17:$P$219,"&lt;"&amp;P70)+COUNTIFS($G$17:$G$219,"入池",$P$17:$P$219,P70,$P$17:$P$219,"&gt;=-1E+307",$P$17:$P$219,"&lt;=1E+307")/2-0.5)/(COUNTIFS($G$17:$G$219,"入池",$P$17:$P$219,"&gt;=-1E+307",$P$17:$P$219,"&lt;=1E+307")-1),2)))</x:f>
        <x:v>95.54</x:v>
      </x:c>
      <x:c r="S70" s="17" t="n">
        <x:f>IF(NOT(ISNUMBER(Q70)),"",IF(NOT(ISNUMBER(R70)),Q70,ROUND(Q70*'sheet1-指标体系'!$J$8+R70*'sheet1-指标体系'!$J$9,2)))</x:f>
        <x:v>50.99</x:v>
      </x:c>
      <x:c r="T70" s="35" t="n">
        <x:f>IF(ISNUMBER('sheet4-原始数据'!J55),'sheet4-原始数据'!J55,"")</x:f>
        <x:v>0.6154</x:v>
      </x:c>
      <x:c r="U70" s="35" t="n">
        <x:f>IF(ISNUMBER('sheet4-原始数据'!I55),'sheet4-原始数据'!I55,"")</x:f>
        <x:v>0.7297</x:v>
      </x:c>
      <x:c r="V70" s="37" t="n">
        <x:f>IF(OR(NOT(ISNUMBER(T70)),NOT(ISNUMBER(U70))),"",(U70*'sheet1-指标体系'!$J$6-T70*'sheet1-指标体系'!$J$5)/'sheet1-指标体系'!$J$7)</x:f>
        <x:v>0.7916124999999999</x:v>
      </x:c>
      <x:c r="W70" s="17" t="n">
        <x:f>IF(NOT(ISNUMBER(T70)),"",T70*100)</x:f>
        <x:v>61.53999999999999</x:v>
      </x:c>
      <x:c r="X70" s="17" t="n">
        <x:f>IF($G70&lt;&gt;"入池","",IF(AND(ISNUMBER(V70),V70&gt;=0,V70&lt;=1),V70*100,IF(MAX(0,($F70-1)*12)&lt;6,100,"")))</x:f>
        <x:v>79.16125</x:v>
      </x:c>
      <x:c r="Y70" s="17" t="n">
        <x:f>IF(NOT(ISNUMBER(W70)),"",IF(NOT(ISNUMBER(X70)),W70,ROUND(W70*'sheet1-指标体系'!$J$8+X70*'sheet1-指标体系'!$J$9,2)))</x:f>
        <x:v>68.59</x:v>
      </x:c>
      <x:c r="Z70" s="37" t="n">
        <x:f>IF(OR(NOT(ISNUMBER(M70)),NOT(ISNUMBER(AD70)),AD70=0),"",ABS(M70/AD70))</x:f>
        <x:v>0.09130434782608696</x:v>
      </x:c>
      <x:c r="AA70" s="35" t="n">
        <x:f>IF(ISNUMBER('sheet4-原始数据'!K55),'sheet4-原始数据'!K55,"")</x:f>
        <x:v>0.11789999999999999</x:v>
      </x:c>
      <x:c r="AB70" s="37" t="n">
        <x:f>IF(COUNT(Z70:AA70)=0,"",MAX(Z70:AA70))</x:f>
        <x:v>0.11789999999999999</x:v>
      </x:c>
      <x:c r="AC70" s="17" t="n">
        <x:f>IF(OR($G70&lt;&gt;"入池",NOT(ISNUMBER(AB70))),"",IF(COUNTIFS($G$17:$G$219,"入池",$AB$17:$AB$219,"&gt;=-1E+307",$AB$17:$AB$219,"&lt;=1E+307")&lt;=1,100,ROUND(100*(COUNTIFS($G$17:$G$219,"入池",$AB$17:$AB$219,"&lt;=1E+307",$AB$17:$AB$219,"&gt;"&amp;AB70)+COUNTIFS($G$17:$G$219,"入池",$AB$17:$AB$219,AB70,$AB$17:$AB$219,"&gt;=-1E+307",$AB$17:$AB$219,"&lt;=1E+307")/2-0.5)/(COUNTIFS($G$17:$G$219,"入池",$AB$17:$AB$219,"&gt;=-1E+307",$AB$17:$AB$219,"&lt;=1E+307")-1),2)))</x:f>
        <x:v>20.79</x:v>
      </x:c>
      <x:c r="AD70" s="38" t="n">
        <x:f>IF(ISNUMBER('sheet4-原始数据'!M55),'sheet4-原始数据'!M55,"")</x:f>
        <x:v>0.092</x:v>
      </x:c>
      <x:c r="AE70" s="37" t="n">
        <x:f>IF(OR(NOT(ISNUMBER(P70)),NOT(ISNUMBER(AA70)),NOT(ISNUMBER(Z70))),"",IF(AA70&gt;Z70+'sheet1-指标体系'!$J$11,AA70,""))</x:f>
        <x:v>0.11789999999999999</x:v>
      </x:c>
      <x:c r="AF70" s="17" t="n">
        <x:f>IF(OR(NOT(ISNUMBER(P70)),NOT(ISNUMBER(AE70)),AE70=0),"",P70/AE70)</x:f>
        <x:v>2.017597030886528</x:v>
      </x:c>
      <x:c r="AG70" s="17" t="n">
        <x:f>IF(OR($G70&lt;&gt;"入池",NOT(ISNUMBER(AD70))),"",IF(COUNTIFS($G$17:$G$219,"入池",$AD$17:$AD$219,"&gt;=-1E+307",$AD$17:$AD$219,"&lt;=1E+307")&lt;=1,100,ROUND(100*(COUNTIFS($G$17:$G$219,"入池",$AD$17:$AD$219,"&gt;=-1E+307",$AD$17:$AD$219,"&lt;"&amp;AD70)+COUNTIFS($G$17:$G$219,"入池",$AD$17:$AD$219,AD70,$AD$17:$AD$219,"&gt;=-1E+307",$AD$17:$AD$219,"&lt;=1E+307")/2-0.5)/(COUNTIFS($G$17:$G$219,"入池",$AD$17:$AD$219,"&gt;=-1E+307",$AD$17:$AD$219,"&lt;=1E+307")-1),2)))</x:f>
        <x:v>20.9</x:v>
      </x:c>
      <x:c r="AH70" s="17" t="n">
        <x:f>IF(OR($G70&lt;&gt;"入池",NOT(ISNUMBER(AF70))),"",IF(COUNTIFS($G$17:$G$219,"入池",$AF$17:$AF$219,"&gt;=-1E+307",$AF$17:$AF$219,"&lt;=1E+307")&lt;=1,100,ROUND(100*(COUNTIFS($G$17:$G$219,"入池",$AF$17:$AF$219,"&gt;=-1E+307",$AF$17:$AF$219,"&lt;"&amp;AF70)+COUNTIFS($G$17:$G$219,"入池",$AF$17:$AF$219,AF70,$AF$17:$AF$219,"&gt;=-1E+307",$AF$17:$AF$219,"&lt;=1E+307")/2-0.5)/(COUNTIFS($G$17:$G$219,"入池",$AF$17:$AF$219,"&gt;=-1E+307",$AF$17:$AF$219,"&lt;=1E+307")-1),2)))</x:f>
        <x:v>66.42</x:v>
      </x:c>
      <x:c r="AI70" s="17" t="n">
        <x:f>IF(NOT(ISNUMBER(AG70)),"",IF(NOT(ISNUMBER(AH70)),AG70,ROUND(AG70*'sheet1-指标体系'!$J$8+AH70*'sheet1-指标体系'!$J$9,2)))</x:f>
        <x:v>39.11</x:v>
      </x:c>
      <x:c r="AJ70" s="37" t="n">
        <x:f>IF(NOT(ISNUMBER(F70)),"",IF(F70&gt;=3,IF(NOT(ISNUMBER(N70)),"",N70),IF(NOT(ISNUMBER(O70)),"",O70)))</x:f>
        <x:v>0.1561</x:v>
      </x:c>
      <x:c r="AK70" s="17" t="n">
        <x:f>IF(OR(G70&lt;&gt;"入池",NOT(ISNUMBER(M70)),NOT(ISNUMBER(AJ70))),"",IF(M70&gt;=AJ70,100,IF(AJ70-M70&lt;'sheet1-指标体系'!$J$10,80,60)))</x:f>
        <x:v>80</x:v>
      </x:c>
      <x:c r="AL70" s="17" t="n">
        <x:f>IF(COUNT(I70,K70,L70)=0,"",ROUND((IF(ISNUMBER(I70),I70*40%,0)+IF(ISNUMBER(K70),K70*30%,0)+IF(ISNUMBER(L70),L70*30%,0))/(IF(ISNUMBER(I70),40%,0)+IF(ISNUMBER(K70),30%,0)+IF(ISNUMBER(L70),30%,0)),2))</x:f>
        <x:v>92</x:v>
      </x:c>
      <x:c r="AM70" s="17" t="n">
        <x:f>IF(COUNT(Q70,R70,W70,X70)=0,"",ROUND((IF(ISNUMBER(Q70),Q70*42%,0)+IF(ISNUMBER(R70),R70*28%,0)+IF(ISNUMBER(W70),W70*18%,0)+IF(ISNUMBER(X70),X70*12%,0))/(IF(ISNUMBER(Q70),42%,0)+IF(ISNUMBER(R70),28%,0)+IF(ISNUMBER(W70),18%,0)+IF(ISNUMBER(X70),12%,0)),2))</x:f>
        <x:v>56.27</x:v>
      </x:c>
      <x:c r="AN70" s="17" t="n">
        <x:f>IF(ISNUMBER(AC70),AC70,"")</x:f>
        <x:v>20.79</x:v>
      </x:c>
      <x:c r="AO70" s="17" t="n">
        <x:f>IF(COUNT(AG70,AH70)=0,"",ROUND((IF(ISNUMBER(AG70),AG70*60%,0)+IF(ISNUMBER(AH70),AH70*40%,0))/(IF(ISNUMBER(AG70),60%,0)+IF(ISNUMBER(AH70),40%,0)),2))</x:f>
        <x:v>39.11</x:v>
      </x:c>
      <x:c r="AP70" s="17" t="n">
        <x:f>IF(ISNUMBER(AK70),AK70,"")</x:f>
        <x:v>80</x:v>
      </x:c>
      <x:c r="AQ70" s="39" t="n">
        <x:f>IF(G70&lt;&gt;"入池",0,IF(ISNUMBER(I70),6%,0)+IF(ISNUMBER(K70),4.5%,0)+IF(ISNUMBER(L70),4.5%,0)+IF(ISNUMBER(Q70),8.4%,0)+IF(ISNUMBER(R70),5.6%,0)+IF(ISNUMBER(W70),3.6%,0)+IF(ISNUMBER(X70),2.4%,0)+IF(ISNUMBER(AC70),25%,0)+IF(ISNUMBER(AG70),18%,0)+IF(ISNUMBER(AH70),12%,0)+IF(ISNUMBER(AK70),10%,0))</x:f>
        <x:v>1</x:v>
      </x:c>
      <x:c r="AR70" s="17" t="n">
        <x:f>IF(AQ70=0,"",IF(ISNUMBER(I70),I70*6%,0)+IF(ISNUMBER(K70),K70*4.5%,0)+IF(ISNUMBER(L70),L70*4.5%,0)+IF(ISNUMBER(Q70),Q70*8.4%,0)+IF(ISNUMBER(R70),R70*5.6%,0)+IF(ISNUMBER(W70),W70*3.6%,0)+IF(ISNUMBER(X70),X70*2.4%,0)+IF(ISNUMBER(AC70),AC70*25%,0)+IF(ISNUMBER(AG70),AG70*18%,0)+IF(ISNUMBER(AH70),AH70*12%,0)+IF(ISNUMBER(AK70),AK70*10%,0))</x:f>
        <x:v>49.98381</x:v>
      </x:c>
      <x:c r="AS70" s="17" t="n">
        <x:f>IF(AQ70=0,"",ROUND(AR70/AQ70,2))</x:f>
        <x:v>49.98</x:v>
      </x:c>
      <x:c r="AT70" s="40" t="n">
        <x:f>IF(OR(G70&lt;&gt;"入池",NOT(ISNUMBER(AS70))),"",COUNTIFS($G$17:$G$219,"入池",$AS$17:$AS$219,"&gt;"&amp;AS70)+COUNTIFS($G$17:$G$219,"入池",$AS$17:$AS$219,AS70,$AQ$17:$AQ$219,"&gt;"&amp;AQ70)+COUNTIFS($G$17:G70,"入池",$AS$17:AS70,AS70,$AQ$17:AQ70,AQ70))</x:f>
        <x:v>146</x:v>
      </x:c>
      <x:c r="AU70" s="41" t="str">
        <x:f t="shared" si="2">IF(NOT(ISNUMBER(I70)),"管理人规模；","")&amp;IF(J70="","产品规模标识；","")&amp;IF(AND(F70&lt;3,NOT(ISNUMBER(O70))),"R_incep；","")&amp;IF(NOT(ISNUMBER(N70)),"近三年收益；","")&amp;IF(NOT(ISNUMBER(U70)),"近三年胜率；","")&amp;IF(AND(ISNUMBER(V70),OR(V70&lt;0,V70&gt;1)),"胜率窗口口径不一致；","")&amp;IF(NOT(ISNUMBER(AA70)),"近三年回撤；","")&amp;IF(NOT(ISNUMBER(AD70)),"短期卡玛；","")&amp;IF(AND(ISNUMBER(P70),NOT(ISNUMBER(AE70))),"DD_long不可识别；","")</x:f>
      </x:c>
      <x:c r="AV70" s="42" t="n">
        <x:v>10</x:v>
      </x:c>
      <x:c r="AW70" s="19" t="str">
        <x:v>上海汉鸿私募基金管理有限公司</x:v>
      </x:c>
      <x:c r="AX70" s="19" t="str">
        <x:v>2026-07-27</x:v>
      </x:c>
      <x:c r="AY70" s="19" t="str">
        <x:v>https://gs.amac.org.cn/amac-infodisc/res/pof/manager/2108171651109816.html</x:v>
      </x:c>
      <x:c r="AZ70" s="19" t="str">
        <x:v>汉盛浩远1号私募证券投资基金</x:v>
      </x:c>
      <x:c r="BA70" s="19" t="str">
        <x:v>2026-04-20</x:v>
      </x:c>
      <x:c r="BB70" s="19"/>
      <x:c r="BC70" s="19" t="str">
        <x:v>https://gs.amac.org.cn/amac-infodisc/res/pof/fund/2209131707102448.html</x:v>
      </x:c>
      <x:c r="BD70" s="19" t="str">
        <x:v>已匹配</x:v>
      </x:c>
      <x:c r="BE70"/>
      <x:c r="BF70"/>
    </x:row>
    <x:row r="71" ht="28" customHeight="1">
      <x:c r="A71" s="4" t="n">
        <x:v>55</x:v>
      </x:c>
      <x:c r="B71" s="15" t="str">
        <x:f>'sheet4-原始数据'!A56</x:f>
        <x:v>泽盈毅明1号</x:v>
      </x:c>
      <x:c r="C71" s="15" t="str">
        <x:f>'sheet4-原始数据'!B56</x:f>
        <x:v>STP012</x:v>
      </x:c>
      <x:c r="D71" s="15" t="str">
        <x:f>'sheet4-原始数据'!E56</x:f>
        <x:v>青岛泽盈资管</x:v>
      </x:c>
      <x:c r="E71" s="32" t="n">
        <x:f>IF(ISNUMBER('sheet4-原始数据'!F56),'sheet4-原始数据'!F56,"")</x:f>
        <x:v>44851</x:v>
      </x:c>
      <x:c r="F71" s="17" t="n">
        <x:f>IF(NOT(ISNUMBER(E71)),"",ROUND(('sheet1-指标体系'!$J$23-E71)/365.25,4))</x:f>
        <x:v>3.9151</x:v>
      </x:c>
      <x:c r="G71" s="4" t="str">
        <x:f t="shared" si="1">IF(NOT(ISNUMBER(F71)),"",IF(F71&lt;1,"不入池","入池"))</x:f>
        <x:v>入池</x:v>
      </x:c>
      <x:c r="H71" s="33" t="str">
        <x:v>10-20亿元</x:v>
      </x:c>
      <x:c r="I71" s="17" t="n">
        <x:f>IF(H71="","",IF(ISNUMBER(SEARCH("100亿元以上",H71)),100,IF(OR(ISNUMBER(SEARCH("20-50",H71)),ISNUMBER(SEARCH("50-100",H71)),ISNUMBER(SEARCH("20-100",H71))),90,IF(ISNUMBER(SEARCH("10-20",H71)),80,IF(ISNUMBER(SEARCH("5-10",H71)),70,IF(ISNUMBER(SEARCH("0-5",H71)),60,""))))))</x:f>
        <x:v>80</x:v>
      </x:c>
      <x:c r="J71" s="34" t="str">
        <x:v>无低于1000万元标识</x:v>
      </x:c>
      <x:c r="K71" s="17" t="n">
        <x:f>IF(J71="","",IF(J71="低于1000万元",0,100))</x:f>
        <x:v>100</x:v>
      </x:c>
      <x:c r="L71" s="17" t="n">
        <x:f>IF(NOT(ISNUMBER(F71)),"",IF(F71&lt;1,"",IF(F71&lt;3,70,100)))</x:f>
        <x:v>100</x:v>
      </x:c>
      <x:c r="M71" s="35" t="n">
        <x:f>IF(ISNUMBER('sheet4-原始数据'!G56),'sheet4-原始数据'!G56,"")</x:f>
        <x:v>0.0373</x:v>
      </x:c>
      <x:c r="N71" s="35" t="n">
        <x:f>IF(ISNUMBER('sheet4-原始数据'!H56),'sheet4-原始数据'!H56,"")</x:f>
        <x:v>0.2303</x:v>
      </x:c>
      <x:c r="O71" s="36" t="str">
        <x:f>IF(ISNUMBER('sheet4-原始数据'!Q56),'sheet4-原始数据'!Q56,"")</x:f>
      </x:c>
      <x:c r="P71" s="37" t="n">
        <x:f>IF($G71&lt;&gt;"入池","",IF($F71&gt;=3,IF(OR(NOT(ISNUMBER($M71)),NOT(ISNUMBER($N71)),1+$M71&lt;=0,1+$N71&lt;0),"",((1+$N71)^3/(1+$M71))^(1/2)-1),IF(OR($F71&lt;=1,NOT(ISNUMBER($M71)),NOT(ISNUMBER($O71)),1+$M71&lt;=0,1+$O71&lt;0),"",((1+$O71)^$F71/(1+$M71))^(1/($F71-1))-1)))</x:f>
        <x:v>0.33987519477578054</x:v>
      </x:c>
      <x:c r="Q71" s="17" t="n">
        <x:f>IF(OR($G71&lt;&gt;"入池",NOT(ISNUMBER(M71))),"",IF(COUNTIFS($G$17:$G$219,"入池",$M$17:$M$219,"&gt;=-1E+307",$M$17:$M$219,"&lt;=1E+307")&lt;=1,100,ROUND(100*(COUNTIFS($G$17:$G$219,"入池",$M$17:$M$219,"&gt;=-1E+307",$M$17:$M$219,"&lt;"&amp;M71)+COUNTIFS($G$17:$G$219,"入池",$M$17:$M$219,M71,$M$17:$M$219,"&gt;=-1E+307",$M$17:$M$219,"&lt;=1E+307")/2-0.5)/(COUNTIFS($G$17:$G$219,"入池",$M$17:$M$219,"&gt;=-1E+307",$M$17:$M$219,"&lt;=1E+307")-1),2)))</x:f>
        <x:v>36.63</x:v>
      </x:c>
      <x:c r="R71" s="17" t="n">
        <x:f>IF(OR($G71&lt;&gt;"入池",NOT(ISNUMBER(P71))),"",IF(COUNTIFS($G$17:$G$219,"入池",$P$17:$P$219,"&gt;=-1E+307",$P$17:$P$219,"&lt;=1E+307")&lt;=1,100,ROUND(100*(COUNTIFS($G$17:$G$219,"入池",$P$17:$P$219,"&gt;=-1E+307",$P$17:$P$219,"&lt;"&amp;P71)+COUNTIFS($G$17:$G$219,"入池",$P$17:$P$219,P71,$P$17:$P$219,"&gt;=-1E+307",$P$17:$P$219,"&lt;=1E+307")/2-0.5)/(COUNTIFS($G$17:$G$219,"入池",$P$17:$P$219,"&gt;=-1E+307",$P$17:$P$219,"&lt;=1E+307")-1),2)))</x:f>
        <x:v>99.01</x:v>
      </x:c>
      <x:c r="S71" s="17" t="n">
        <x:f>IF(NOT(ISNUMBER(Q71)),"",IF(NOT(ISNUMBER(R71)),Q71,ROUND(Q71*'sheet1-指标体系'!$J$8+R71*'sheet1-指标体系'!$J$9,2)))</x:f>
        <x:v>61.58</x:v>
      </x:c>
      <x:c r="T71" s="35" t="n">
        <x:f>IF(ISNUMBER('sheet4-原始数据'!J56),'sheet4-原始数据'!J56,"")</x:f>
        <x:v>0.7692</x:v>
      </x:c>
      <x:c r="U71" s="35" t="n">
        <x:f>IF(ISNUMBER('sheet4-原始数据'!I56),'sheet4-原始数据'!I56,"")</x:f>
        <x:v>0.8108</x:v>
      </x:c>
      <x:c r="V71" s="37" t="n">
        <x:f>IF(OR(NOT(ISNUMBER(T71)),NOT(ISNUMBER(U71))),"",(U71*'sheet1-指标体系'!$J$6-T71*'sheet1-指标体系'!$J$5)/'sheet1-指标体系'!$J$7)</x:f>
        <x:v>0.8333333333333334</x:v>
      </x:c>
      <x:c r="W71" s="17" t="n">
        <x:f>IF(NOT(ISNUMBER(T71)),"",T71*100)</x:f>
        <x:v>76.92</x:v>
      </x:c>
      <x:c r="X71" s="17" t="n">
        <x:f>IF($G71&lt;&gt;"入池","",IF(AND(ISNUMBER(V71),V71&gt;=0,V71&lt;=1),V71*100,IF(MAX(0,($F71-1)*12)&lt;6,100,"")))</x:f>
        <x:v>83.33333333333334</x:v>
      </x:c>
      <x:c r="Y71" s="17" t="n">
        <x:f>IF(NOT(ISNUMBER(W71)),"",IF(NOT(ISNUMBER(X71)),W71,ROUND(W71*'sheet1-指标体系'!$J$8+X71*'sheet1-指标体系'!$J$9,2)))</x:f>
        <x:v>79.49</x:v>
      </x:c>
      <x:c r="Z71" s="37" t="n">
        <x:f>IF(OR(NOT(ISNUMBER(M71)),NOT(ISNUMBER(AD71)),AD71=0),"",ABS(M71/AD71))</x:f>
        <x:v>0.003688285491095708</x:v>
      </x:c>
      <x:c r="AA71" s="35" t="n">
        <x:f>IF(ISNUMBER('sheet4-原始数据'!K56),'sheet4-原始数据'!K56,"")</x:f>
        <x:v>0.0347</x:v>
      </x:c>
      <x:c r="AB71" s="37" t="n">
        <x:f>IF(COUNT(Z71:AA71)=0,"",MAX(Z71:AA71))</x:f>
        <x:v>0.0347</x:v>
      </x:c>
      <x:c r="AC71" s="17" t="n">
        <x:f>IF(OR($G71&lt;&gt;"入池",NOT(ISNUMBER(AB71))),"",IF(COUNTIFS($G$17:$G$219,"入池",$AB$17:$AB$219,"&gt;=-1E+307",$AB$17:$AB$219,"&lt;=1E+307")&lt;=1,100,ROUND(100*(COUNTIFS($G$17:$G$219,"入池",$AB$17:$AB$219,"&lt;=1E+307",$AB$17:$AB$219,"&gt;"&amp;AB71)+COUNTIFS($G$17:$G$219,"入池",$AB$17:$AB$219,AB71,$AB$17:$AB$219,"&gt;=-1E+307",$AB$17:$AB$219,"&lt;=1E+307")/2-0.5)/(COUNTIFS($G$17:$G$219,"入池",$AB$17:$AB$219,"&gt;=-1E+307",$AB$17:$AB$219,"&lt;=1E+307")-1),2)))</x:f>
        <x:v>56.68</x:v>
      </x:c>
      <x:c r="AD71" s="38" t="n">
        <x:f>IF(ISNUMBER('sheet4-原始数据'!M56),'sheet4-原始数据'!M56,"")</x:f>
        <x:v>10.1131</x:v>
      </x:c>
      <x:c r="AE71" s="37" t="n">
        <x:f>IF(OR(NOT(ISNUMBER(P71)),NOT(ISNUMBER(AA71)),NOT(ISNUMBER(Z71))),"",IF(AA71&gt;Z71+'sheet1-指标体系'!$J$11,AA71,""))</x:f>
        <x:v>0.0347</x:v>
      </x:c>
      <x:c r="AF71" s="17" t="n">
        <x:f>IF(OR(NOT(ISNUMBER(P71)),NOT(ISNUMBER(AE71)),AE71=0),"",P71/AE71)</x:f>
        <x:v>9.794674201031139</x:v>
      </x:c>
      <x:c r="AG71" s="17" t="n">
        <x:f>IF(OR($G71&lt;&gt;"入池",NOT(ISNUMBER(AD71))),"",IF(COUNTIFS($G$17:$G$219,"入池",$AD$17:$AD$219,"&gt;=-1E+307",$AD$17:$AD$219,"&lt;=1E+307")&lt;=1,100,ROUND(100*(COUNTIFS($G$17:$G$219,"入池",$AD$17:$AD$219,"&gt;=-1E+307",$AD$17:$AD$219,"&lt;"&amp;AD71)+COUNTIFS($G$17:$G$219,"入池",$AD$17:$AD$219,AD71,$AD$17:$AD$219,"&gt;=-1E+307",$AD$17:$AD$219,"&lt;=1E+307")/2-0.5)/(COUNTIFS($G$17:$G$219,"入池",$AD$17:$AD$219,"&gt;=-1E+307",$AD$17:$AD$219,"&lt;=1E+307")-1),2)))</x:f>
        <x:v>78.61</x:v>
      </x:c>
      <x:c r="AH71" s="17" t="n">
        <x:f>IF(OR($G71&lt;&gt;"入池",NOT(ISNUMBER(AF71))),"",IF(COUNTIFS($G$17:$G$219,"入池",$AF$17:$AF$219,"&gt;=-1E+307",$AF$17:$AF$219,"&lt;=1E+307")&lt;=1,100,ROUND(100*(COUNTIFS($G$17:$G$219,"入池",$AF$17:$AF$219,"&gt;=-1E+307",$AF$17:$AF$219,"&lt;"&amp;AF71)+COUNTIFS($G$17:$G$219,"入池",$AF$17:$AF$219,AF71,$AF$17:$AF$219,"&gt;=-1E+307",$AF$17:$AF$219,"&lt;=1E+307")/2-0.5)/(COUNTIFS($G$17:$G$219,"入池",$AF$17:$AF$219,"&gt;=-1E+307",$AF$17:$AF$219,"&lt;=1E+307")-1),2)))</x:f>
        <x:v>91.24</x:v>
      </x:c>
      <x:c r="AI71" s="17" t="n">
        <x:f>IF(NOT(ISNUMBER(AG71)),"",IF(NOT(ISNUMBER(AH71)),AG71,ROUND(AG71*'sheet1-指标体系'!$J$8+AH71*'sheet1-指标体系'!$J$9,2)))</x:f>
        <x:v>83.66</x:v>
      </x:c>
      <x:c r="AJ71" s="37" t="n">
        <x:f>IF(NOT(ISNUMBER(F71)),"",IF(F71&gt;=3,IF(NOT(ISNUMBER(N71)),"",N71),IF(NOT(ISNUMBER(O71)),"",O71)))</x:f>
        <x:v>0.2303</x:v>
      </x:c>
      <x:c r="AK71" s="17" t="n">
        <x:f>IF(OR(G71&lt;&gt;"入池",NOT(ISNUMBER(M71)),NOT(ISNUMBER(AJ71))),"",IF(M71&gt;=AJ71,100,IF(AJ71-M71&lt;'sheet1-指标体系'!$J$10,80,60)))</x:f>
        <x:v>80</x:v>
      </x:c>
      <x:c r="AL71" s="17" t="n">
        <x:f>IF(COUNT(I71,K71,L71)=0,"",ROUND((IF(ISNUMBER(I71),I71*40%,0)+IF(ISNUMBER(K71),K71*30%,0)+IF(ISNUMBER(L71),L71*30%,0))/(IF(ISNUMBER(I71),40%,0)+IF(ISNUMBER(K71),30%,0)+IF(ISNUMBER(L71),30%,0)),2))</x:f>
        <x:v>92</x:v>
      </x:c>
      <x:c r="AM71" s="17" t="n">
        <x:f>IF(COUNT(Q71,R71,W71,X71)=0,"",ROUND((IF(ISNUMBER(Q71),Q71*42%,0)+IF(ISNUMBER(R71),R71*28%,0)+IF(ISNUMBER(W71),W71*18%,0)+IF(ISNUMBER(X71),X71*12%,0))/(IF(ISNUMBER(Q71),42%,0)+IF(ISNUMBER(R71),28%,0)+IF(ISNUMBER(W71),18%,0)+IF(ISNUMBER(X71),12%,0)),2))</x:f>
        <x:v>66.95</x:v>
      </x:c>
      <x:c r="AN71" s="17" t="n">
        <x:f>IF(ISNUMBER(AC71),AC71,"")</x:f>
        <x:v>56.68</x:v>
      </x:c>
      <x:c r="AO71" s="17" t="n">
        <x:f>IF(COUNT(AG71,AH71)=0,"",ROUND((IF(ISNUMBER(AG71),AG71*60%,0)+IF(ISNUMBER(AH71),AH71*40%,0))/(IF(ISNUMBER(AG71),60%,0)+IF(ISNUMBER(AH71),40%,0)),2))</x:f>
        <x:v>83.66</x:v>
      </x:c>
      <x:c r="AP71" s="17" t="n">
        <x:f>IF(ISNUMBER(AK71),AK71,"")</x:f>
        <x:v>80</x:v>
      </x:c>
      <x:c r="AQ71" s="39" t="n">
        <x:f>IF(G71&lt;&gt;"入池",0,IF(ISNUMBER(I71),6%,0)+IF(ISNUMBER(K71),4.5%,0)+IF(ISNUMBER(L71),4.5%,0)+IF(ISNUMBER(Q71),8.4%,0)+IF(ISNUMBER(R71),5.6%,0)+IF(ISNUMBER(W71),3.6%,0)+IF(ISNUMBER(X71),2.4%,0)+IF(ISNUMBER(AC71),25%,0)+IF(ISNUMBER(AG71),18%,0)+IF(ISNUMBER(AH71),12%,0)+IF(ISNUMBER(AK71),10%,0))</x:f>
        <x:v>1</x:v>
      </x:c>
      <x:c r="AR71" s="17" t="n">
        <x:f>IF(AQ71=0,"",IF(ISNUMBER(I71),I71*6%,0)+IF(ISNUMBER(K71),K71*4.5%,0)+IF(ISNUMBER(L71),L71*4.5%,0)+IF(ISNUMBER(Q71),Q71*8.4%,0)+IF(ISNUMBER(R71),R71*5.6%,0)+IF(ISNUMBER(W71),W71*3.6%,0)+IF(ISNUMBER(X71),X71*2.4%,0)+IF(ISNUMBER(AC71),AC71*25%,0)+IF(ISNUMBER(AG71),AG71*18%,0)+IF(ISNUMBER(AH71),AH71*12%,0)+IF(ISNUMBER(AK71),AK71*10%,0))</x:f>
        <x:v>74.45920000000001</x:v>
      </x:c>
      <x:c r="AS71" s="17" t="n">
        <x:f>IF(AQ71=0,"",ROUND(AR71/AQ71,2))</x:f>
        <x:v>74.46</x:v>
      </x:c>
      <x:c r="AT71" s="40" t="n">
        <x:f>IF(OR(G71&lt;&gt;"入池",NOT(ISNUMBER(AS71))),"",COUNTIFS($G$17:$G$219,"入池",$AS$17:$AS$219,"&gt;"&amp;AS71)+COUNTIFS($G$17:$G$219,"入池",$AS$17:$AS$219,AS71,$AQ$17:$AQ$219,"&gt;"&amp;AQ71)+COUNTIFS($G$17:G71,"入池",$AS$17:AS71,AS71,$AQ$17:AQ71,AQ71))</x:f>
        <x:v>50</x:v>
      </x:c>
      <x:c r="AU71" s="41" t="str">
        <x:f t="shared" si="2">IF(NOT(ISNUMBER(I71)),"管理人规模；","")&amp;IF(J71="","产品规模标识；","")&amp;IF(AND(F71&lt;3,NOT(ISNUMBER(O71))),"R_incep；","")&amp;IF(NOT(ISNUMBER(N71)),"近三年收益；","")&amp;IF(NOT(ISNUMBER(U71)),"近三年胜率；","")&amp;IF(AND(ISNUMBER(V71),OR(V71&lt;0,V71&gt;1)),"胜率窗口口径不一致；","")&amp;IF(NOT(ISNUMBER(AA71)),"近三年回撤；","")&amp;IF(NOT(ISNUMBER(AD71)),"短期卡玛；","")&amp;IF(AND(ISNUMBER(P71),NOT(ISNUMBER(AE71))),"DD_long不可识别；","")</x:f>
      </x:c>
      <x:c r="AV71" s="42" t="n">
        <x:v>10</x:v>
      </x:c>
      <x:c r="AW71" s="19" t="str">
        <x:v>青岛泽盈资产管理有限公司</x:v>
      </x:c>
      <x:c r="AX71" s="19" t="str">
        <x:v>2026-03-05</x:v>
      </x:c>
      <x:c r="AY71" s="19" t="str">
        <x:v>https://gs.amac.org.cn/amac-infodisc/res/pof/manager/1710271352104113.html</x:v>
      </x:c>
      <x:c r="AZ71" s="19" t="str">
        <x:v>泽盈毅明1号私募证券投资基金</x:v>
      </x:c>
      <x:c r="BA71" s="19" t="str">
        <x:v>2026-02-13</x:v>
      </x:c>
      <x:c r="BB71" s="19"/>
      <x:c r="BC71" s="19" t="str">
        <x:v>https://gs.amac.org.cn/amac-infodisc/res/pof/fund/2210211605104676.html</x:v>
      </x:c>
      <x:c r="BD71" s="19" t="str">
        <x:v>已匹配</x:v>
      </x:c>
      <x:c r="BE71"/>
      <x:c r="BF71"/>
    </x:row>
    <x:row r="72" ht="28" customHeight="1">
      <x:c r="A72" s="4" t="n">
        <x:v>56</x:v>
      </x:c>
      <x:c r="B72" s="15" t="str">
        <x:f>'sheet4-原始数据'!A57</x:f>
        <x:v>银杏善利3号</x:v>
      </x:c>
      <x:c r="C72" s="15" t="str">
        <x:f>'sheet4-原始数据'!B57</x:f>
        <x:v>SXN943</x:v>
      </x:c>
      <x:c r="D72" s="15" t="str">
        <x:f>'sheet4-原始数据'!E57</x:f>
        <x:v>上海银杏</x:v>
      </x:c>
      <x:c r="E72" s="32" t="n">
        <x:f>IF(ISNUMBER('sheet4-原始数据'!F57),'sheet4-原始数据'!F57,"")</x:f>
        <x:v>44853</x:v>
      </x:c>
      <x:c r="F72" s="17" t="n">
        <x:f>IF(NOT(ISNUMBER(E72)),"",ROUND(('sheet1-指标体系'!$J$23-E72)/365.25,4))</x:f>
        <x:v>3.9097</x:v>
      </x:c>
      <x:c r="G72" s="4" t="str">
        <x:f t="shared" si="1">IF(NOT(ISNUMBER(F72)),"",IF(F72&lt;1,"不入池","入池"))</x:f>
        <x:v>入池</x:v>
      </x:c>
      <x:c r="H72" s="33" t="str">
        <x:v>0-5亿元</x:v>
      </x:c>
      <x:c r="I72" s="17" t="n">
        <x:f>IF(H72="","",IF(ISNUMBER(SEARCH("100亿元以上",H72)),100,IF(OR(ISNUMBER(SEARCH("20-50",H72)),ISNUMBER(SEARCH("50-100",H72)),ISNUMBER(SEARCH("20-100",H72))),90,IF(ISNUMBER(SEARCH("10-20",H72)),80,IF(ISNUMBER(SEARCH("5-10",H72)),70,IF(ISNUMBER(SEARCH("0-5",H72)),60,""))))))</x:f>
        <x:v>60</x:v>
      </x:c>
      <x:c r="J72" s="34" t="str">
        <x:v>无低于1000万元标识</x:v>
      </x:c>
      <x:c r="K72" s="17" t="n">
        <x:f>IF(J72="","",IF(J72="低于1000万元",0,100))</x:f>
        <x:v>100</x:v>
      </x:c>
      <x:c r="L72" s="17" t="n">
        <x:f>IF(NOT(ISNUMBER(F72)),"",IF(F72&lt;1,"",IF(F72&lt;3,70,100)))</x:f>
        <x:v>100</x:v>
      </x:c>
      <x:c r="M72" s="35" t="n">
        <x:f>IF(ISNUMBER('sheet4-原始数据'!G57),'sheet4-原始数据'!G57,"")</x:f>
        <x:v>0.0758</x:v>
      </x:c>
      <x:c r="N72" s="35" t="n">
        <x:f>IF(ISNUMBER('sheet4-原始数据'!H57),'sheet4-原始数据'!H57,"")</x:f>
        <x:v>0.0701</x:v>
      </x:c>
      <x:c r="O72" s="36" t="str">
        <x:f>IF(ISNUMBER('sheet4-原始数据'!Q57),'sheet4-原始数据'!Q57,"")</x:f>
      </x:c>
      <x:c r="P72" s="37" t="n">
        <x:f>IF($G72&lt;&gt;"入池","",IF($F72&gt;=3,IF(OR(NOT(ISNUMBER($M72)),NOT(ISNUMBER($N72)),1+$M72&lt;=0,1+$N72&lt;0),"",((1+$N72)^3/(1+$M72))^(1/2)-1),IF(OR($F72&lt;=1,NOT(ISNUMBER($M72)),NOT(ISNUMBER($O72)),1+$M72&lt;=0,1+$O72&lt;0),"",((1+$O72)^$F72/(1+$M72))^(1/($F72-1))-1)))</x:f>
        <x:v>0.06726133531368483</x:v>
      </x:c>
      <x:c r="Q72" s="17" t="n">
        <x:f>IF(OR($G72&lt;&gt;"入池",NOT(ISNUMBER(M72))),"",IF(COUNTIFS($G$17:$G$219,"入池",$M$17:$M$219,"&gt;=-1E+307",$M$17:$M$219,"&lt;=1E+307")&lt;=1,100,ROUND(100*(COUNTIFS($G$17:$G$219,"入池",$M$17:$M$219,"&gt;=-1E+307",$M$17:$M$219,"&lt;"&amp;M72)+COUNTIFS($G$17:$G$219,"入池",$M$17:$M$219,M72,$M$17:$M$219,"&gt;=-1E+307",$M$17:$M$219,"&lt;=1E+307")/2-0.5)/(COUNTIFS($G$17:$G$219,"入池",$M$17:$M$219,"&gt;=-1E+307",$M$17:$M$219,"&lt;=1E+307")-1),2)))</x:f>
        <x:v>68.32</x:v>
      </x:c>
      <x:c r="R72" s="17" t="n">
        <x:f>IF(OR($G72&lt;&gt;"入池",NOT(ISNUMBER(P72))),"",IF(COUNTIFS($G$17:$G$219,"入池",$P$17:$P$219,"&gt;=-1E+307",$P$17:$P$219,"&lt;=1E+307")&lt;=1,100,ROUND(100*(COUNTIFS($G$17:$G$219,"入池",$P$17:$P$219,"&gt;=-1E+307",$P$17:$P$219,"&lt;"&amp;P72)+COUNTIFS($G$17:$G$219,"入池",$P$17:$P$219,P72,$P$17:$P$219,"&gt;=-1E+307",$P$17:$P$219,"&lt;=1E+307")/2-0.5)/(COUNTIFS($G$17:$G$219,"入池",$P$17:$P$219,"&gt;=-1E+307",$P$17:$P$219,"&lt;=1E+307")-1),2)))</x:f>
        <x:v>54.46</x:v>
      </x:c>
      <x:c r="S72" s="17" t="n">
        <x:f>IF(NOT(ISNUMBER(Q72)),"",IF(NOT(ISNUMBER(R72)),Q72,ROUND(Q72*'sheet1-指标体系'!$J$8+R72*'sheet1-指标体系'!$J$9,2)))</x:f>
        <x:v>62.78</x:v>
      </x:c>
      <x:c r="T72" s="35" t="n">
        <x:f>IF(ISNUMBER('sheet4-原始数据'!J57),'sheet4-原始数据'!J57,"")</x:f>
        <x:v>0.6154</x:v>
      </x:c>
      <x:c r="U72" s="35" t="n">
        <x:f>IF(ISNUMBER('sheet4-原始数据'!I57),'sheet4-原始数据'!I57,"")</x:f>
        <x:v>0.7297</x:v>
      </x:c>
      <x:c r="V72" s="37" t="n">
        <x:f>IF(OR(NOT(ISNUMBER(T72)),NOT(ISNUMBER(U72))),"",(U72*'sheet1-指标体系'!$J$6-T72*'sheet1-指标体系'!$J$5)/'sheet1-指标体系'!$J$7)</x:f>
        <x:v>0.7916124999999999</x:v>
      </x:c>
      <x:c r="W72" s="17" t="n">
        <x:f>IF(NOT(ISNUMBER(T72)),"",T72*100)</x:f>
        <x:v>61.53999999999999</x:v>
      </x:c>
      <x:c r="X72" s="17" t="n">
        <x:f>IF($G72&lt;&gt;"入池","",IF(AND(ISNUMBER(V72),V72&gt;=0,V72&lt;=1),V72*100,IF(MAX(0,($F72-1)*12)&lt;6,100,"")))</x:f>
        <x:v>79.16125</x:v>
      </x:c>
      <x:c r="Y72" s="17" t="n">
        <x:f>IF(NOT(ISNUMBER(W72)),"",IF(NOT(ISNUMBER(X72)),W72,ROUND(W72*'sheet1-指标体系'!$J$8+X72*'sheet1-指标体系'!$J$9,2)))</x:f>
        <x:v>68.59</x:v>
      </x:c>
      <x:c r="Z72" s="37" t="n">
        <x:f>IF(OR(NOT(ISNUMBER(M72)),NOT(ISNUMBER(AD72)),AD72=0),"",ABS(M72/AD72))</x:f>
        <x:v>0.022512622512622513</x:v>
      </x:c>
      <x:c r="AA72" s="35" t="n">
        <x:f>IF(ISNUMBER('sheet4-原始数据'!K57),'sheet4-原始数据'!K57,"")</x:f>
        <x:v>0.0253</x:v>
      </x:c>
      <x:c r="AB72" s="37" t="n">
        <x:f>IF(COUNT(Z72:AA72)=0,"",MAX(Z72:AA72))</x:f>
        <x:v>0.0253</x:v>
      </x:c>
      <x:c r="AC72" s="17" t="n">
        <x:f>IF(OR($G72&lt;&gt;"入池",NOT(ISNUMBER(AB72))),"",IF(COUNTIFS($G$17:$G$219,"入池",$AB$17:$AB$219,"&gt;=-1E+307",$AB$17:$AB$219,"&lt;=1E+307")&lt;=1,100,ROUND(100*(COUNTIFS($G$17:$G$219,"入池",$AB$17:$AB$219,"&lt;=1E+307",$AB$17:$AB$219,"&gt;"&amp;AB72)+COUNTIFS($G$17:$G$219,"入池",$AB$17:$AB$219,AB72,$AB$17:$AB$219,"&gt;=-1E+307",$AB$17:$AB$219,"&lt;=1E+307")/2-0.5)/(COUNTIFS($G$17:$G$219,"入池",$AB$17:$AB$219,"&gt;=-1E+307",$AB$17:$AB$219,"&lt;=1E+307")-1),2)))</x:f>
        <x:v>66.34</x:v>
      </x:c>
      <x:c r="AD72" s="38" t="n">
        <x:f>IF(ISNUMBER('sheet4-原始数据'!M57),'sheet4-原始数据'!M57,"")</x:f>
        <x:v>3.367</x:v>
      </x:c>
      <x:c r="AE72" s="37" t="n">
        <x:f>IF(OR(NOT(ISNUMBER(P72)),NOT(ISNUMBER(AA72)),NOT(ISNUMBER(Z72))),"",IF(AA72&gt;Z72+'sheet1-指标体系'!$J$11,AA72,""))</x:f>
        <x:v>0.0253</x:v>
      </x:c>
      <x:c r="AF72" s="17" t="n">
        <x:f>IF(OR(NOT(ISNUMBER(P72)),NOT(ISNUMBER(AE72)),AE72=0),"",P72/AE72)</x:f>
        <x:v>2.658550802912444</x:v>
      </x:c>
      <x:c r="AG72" s="17" t="n">
        <x:f>IF(OR($G72&lt;&gt;"入池",NOT(ISNUMBER(AD72))),"",IF(COUNTIFS($G$17:$G$219,"入池",$AD$17:$AD$219,"&gt;=-1E+307",$AD$17:$AD$219,"&lt;=1E+307")&lt;=1,100,ROUND(100*(COUNTIFS($G$17:$G$219,"入池",$AD$17:$AD$219,"&gt;=-1E+307",$AD$17:$AD$219,"&lt;"&amp;AD72)+COUNTIFS($G$17:$G$219,"入池",$AD$17:$AD$219,AD72,$AD$17:$AD$219,"&gt;=-1E+307",$AD$17:$AD$219,"&lt;=1E+307")/2-0.5)/(COUNTIFS($G$17:$G$219,"入池",$AD$17:$AD$219,"&gt;=-1E+307",$AD$17:$AD$219,"&lt;=1E+307")-1),2)))</x:f>
        <x:v>55.72</x:v>
      </x:c>
      <x:c r="AH72" s="17" t="n">
        <x:f>IF(OR($G72&lt;&gt;"入池",NOT(ISNUMBER(AF72))),"",IF(COUNTIFS($G$17:$G$219,"入池",$AF$17:$AF$219,"&gt;=-1E+307",$AF$17:$AF$219,"&lt;=1E+307")&lt;=1,100,ROUND(100*(COUNTIFS($G$17:$G$219,"入池",$AF$17:$AF$219,"&gt;=-1E+307",$AF$17:$AF$219,"&lt;"&amp;AF72)+COUNTIFS($G$17:$G$219,"入池",$AF$17:$AF$219,AF72,$AF$17:$AF$219,"&gt;=-1E+307",$AF$17:$AF$219,"&lt;=1E+307")/2-0.5)/(COUNTIFS($G$17:$G$219,"入池",$AF$17:$AF$219,"&gt;=-1E+307",$AF$17:$AF$219,"&lt;=1E+307")-1),2)))</x:f>
        <x:v>72.99</x:v>
      </x:c>
      <x:c r="AI72" s="17" t="n">
        <x:f>IF(NOT(ISNUMBER(AG72)),"",IF(NOT(ISNUMBER(AH72)),AG72,ROUND(AG72*'sheet1-指标体系'!$J$8+AH72*'sheet1-指标体系'!$J$9,2)))</x:f>
        <x:v>62.63</x:v>
      </x:c>
      <x:c r="AJ72" s="37" t="n">
        <x:f>IF(NOT(ISNUMBER(F72)),"",IF(F72&gt;=3,IF(NOT(ISNUMBER(N72)),"",N72),IF(NOT(ISNUMBER(O72)),"",O72)))</x:f>
        <x:v>0.0701</x:v>
      </x:c>
      <x:c r="AK72" s="17" t="n">
        <x:f>IF(OR(G72&lt;&gt;"入池",NOT(ISNUMBER(M72)),NOT(ISNUMBER(AJ72))),"",IF(M72&gt;=AJ72,100,IF(AJ72-M72&lt;'sheet1-指标体系'!$J$10,80,60)))</x:f>
        <x:v>100</x:v>
      </x:c>
      <x:c r="AL72" s="17" t="n">
        <x:f>IF(COUNT(I72,K72,L72)=0,"",ROUND((IF(ISNUMBER(I72),I72*40%,0)+IF(ISNUMBER(K72),K72*30%,0)+IF(ISNUMBER(L72),L72*30%,0))/(IF(ISNUMBER(I72),40%,0)+IF(ISNUMBER(K72),30%,0)+IF(ISNUMBER(L72),30%,0)),2))</x:f>
        <x:v>84</x:v>
      </x:c>
      <x:c r="AM72" s="17" t="n">
        <x:f>IF(COUNT(Q72,R72,W72,X72)=0,"",ROUND((IF(ISNUMBER(Q72),Q72*42%,0)+IF(ISNUMBER(R72),R72*28%,0)+IF(ISNUMBER(W72),W72*18%,0)+IF(ISNUMBER(X72),X72*12%,0))/(IF(ISNUMBER(Q72),42%,0)+IF(ISNUMBER(R72),28%,0)+IF(ISNUMBER(W72),18%,0)+IF(ISNUMBER(X72),12%,0)),2))</x:f>
        <x:v>64.52</x:v>
      </x:c>
      <x:c r="AN72" s="17" t="n">
        <x:f>IF(ISNUMBER(AC72),AC72,"")</x:f>
        <x:v>66.34</x:v>
      </x:c>
      <x:c r="AO72" s="17" t="n">
        <x:f>IF(COUNT(AG72,AH72)=0,"",ROUND((IF(ISNUMBER(AG72),AG72*60%,0)+IF(ISNUMBER(AH72),AH72*40%,0))/(IF(ISNUMBER(AG72),60%,0)+IF(ISNUMBER(AH72),40%,0)),2))</x:f>
        <x:v>62.63</x:v>
      </x:c>
      <x:c r="AP72" s="17" t="n">
        <x:f>IF(ISNUMBER(AK72),AK72,"")</x:f>
        <x:v>100</x:v>
      </x:c>
      <x:c r="AQ72" s="39" t="n">
        <x:f>IF(G72&lt;&gt;"入池",0,IF(ISNUMBER(I72),6%,0)+IF(ISNUMBER(K72),4.5%,0)+IF(ISNUMBER(L72),4.5%,0)+IF(ISNUMBER(Q72),8.4%,0)+IF(ISNUMBER(R72),5.6%,0)+IF(ISNUMBER(W72),3.6%,0)+IF(ISNUMBER(X72),2.4%,0)+IF(ISNUMBER(AC72),25%,0)+IF(ISNUMBER(AG72),18%,0)+IF(ISNUMBER(AH72),12%,0)+IF(ISNUMBER(AK72),10%,0))</x:f>
        <x:v>1</x:v>
      </x:c>
      <x:c r="AR72" s="17" t="n">
        <x:f>IF(AQ72=0,"",IF(ISNUMBER(I72),I72*6%,0)+IF(ISNUMBER(K72),K72*4.5%,0)+IF(ISNUMBER(L72),L72*4.5%,0)+IF(ISNUMBER(Q72),Q72*8.4%,0)+IF(ISNUMBER(R72),R72*5.6%,0)+IF(ISNUMBER(W72),W72*3.6%,0)+IF(ISNUMBER(X72),X72*2.4%,0)+IF(ISNUMBER(AC72),AC72*25%,0)+IF(ISNUMBER(AG72),AG72*18%,0)+IF(ISNUMBER(AH72),AH72*12%,0)+IF(ISNUMBER(AK72),AK72*10%,0))</x:f>
        <x:v>70.87735</x:v>
      </x:c>
      <x:c r="AS72" s="17" t="n">
        <x:f>IF(AQ72=0,"",ROUND(AR72/AQ72,2))</x:f>
        <x:v>70.88</x:v>
      </x:c>
      <x:c r="AT72" s="40" t="n">
        <x:f>IF(OR(G72&lt;&gt;"入池",NOT(ISNUMBER(AS72))),"",COUNTIFS($G$17:$G$219,"入池",$AS$17:$AS$219,"&gt;"&amp;AS72)+COUNTIFS($G$17:$G$219,"入池",$AS$17:$AS$219,AS72,$AQ$17:$AQ$219,"&gt;"&amp;AQ72)+COUNTIFS($G$17:G72,"入池",$AS$17:AS72,AS72,$AQ$17:AQ72,AQ72))</x:f>
        <x:v>68</x:v>
      </x:c>
      <x:c r="AU72" s="41" t="str">
        <x:f t="shared" si="2">IF(NOT(ISNUMBER(I72)),"管理人规模；","")&amp;IF(J72="","产品规模标识；","")&amp;IF(AND(F72&lt;3,NOT(ISNUMBER(O72))),"R_incep；","")&amp;IF(NOT(ISNUMBER(N72)),"近三年收益；","")&amp;IF(NOT(ISNUMBER(U72)),"近三年胜率；","")&amp;IF(AND(ISNUMBER(V72),OR(V72&lt;0,V72&gt;1)),"胜率窗口口径不一致；","")&amp;IF(NOT(ISNUMBER(AA72)),"近三年回撤；","")&amp;IF(NOT(ISNUMBER(AD72)),"短期卡玛；","")&amp;IF(AND(ISNUMBER(P72),NOT(ISNUMBER(AE72))),"DD_long不可识别；","")</x:f>
      </x:c>
      <x:c r="AV72" s="42" t="n">
        <x:v>0</x:v>
      </x:c>
      <x:c r="AW72" s="19" t="str">
        <x:v>上海银杏私募基金管理有限公司</x:v>
      </x:c>
      <x:c r="AX72" s="19" t="str">
        <x:v>2026-03-06</x:v>
      </x:c>
      <x:c r="AY72" s="19" t="str">
        <x:v>https://gs.amac.org.cn/amac-infodisc/res/pof/manager/2105100905108445.html</x:v>
      </x:c>
      <x:c r="AZ72" s="19" t="str">
        <x:v>银杏善利3号私募证券投资基金</x:v>
      </x:c>
      <x:c r="BA72" s="19" t="str">
        <x:v>2025-07-09</x:v>
      </x:c>
      <x:c r="BB72" s="19"/>
      <x:c r="BC72" s="19" t="str">
        <x:v>https://gs.amac.org.cn/amac-infodisc/res/pof/fund/2210241718105120.html</x:v>
      </x:c>
      <x:c r="BD72" s="19" t="str">
        <x:v>已匹配</x:v>
      </x:c>
      <x:c r="BE72"/>
      <x:c r="BF72"/>
    </x:row>
    <x:row r="73" ht="28" customHeight="1">
      <x:c r="A73" s="4" t="n">
        <x:v>57</x:v>
      </x:c>
      <x:c r="B73" s="15" t="str">
        <x:f>'sheet4-原始数据'!A58</x:f>
        <x:v>银杏善利6号</x:v>
      </x:c>
      <x:c r="C73" s="15" t="str">
        <x:f>'sheet4-原始数据'!B58</x:f>
        <x:v>SXS440</x:v>
      </x:c>
      <x:c r="D73" s="15" t="str">
        <x:f>'sheet4-原始数据'!E58</x:f>
        <x:v>上海银杏</x:v>
      </x:c>
      <x:c r="E73" s="32" t="n">
        <x:f>IF(ISNUMBER('sheet4-原始数据'!F58),'sheet4-原始数据'!F58,"")</x:f>
        <x:v>44875</x:v>
      </x:c>
      <x:c r="F73" s="17" t="n">
        <x:f>IF(NOT(ISNUMBER(E73)),"",ROUND(('sheet1-指标体系'!$J$23-E73)/365.25,4))</x:f>
        <x:v>3.8494</x:v>
      </x:c>
      <x:c r="G73" s="4" t="str">
        <x:f t="shared" si="1">IF(NOT(ISNUMBER(F73)),"",IF(F73&lt;1,"不入池","入池"))</x:f>
        <x:v>入池</x:v>
      </x:c>
      <x:c r="H73" s="33" t="str">
        <x:v>0-5亿元</x:v>
      </x:c>
      <x:c r="I73" s="17" t="n">
        <x:f>IF(H73="","",IF(ISNUMBER(SEARCH("100亿元以上",H73)),100,IF(OR(ISNUMBER(SEARCH("20-50",H73)),ISNUMBER(SEARCH("50-100",H73)),ISNUMBER(SEARCH("20-100",H73))),90,IF(ISNUMBER(SEARCH("10-20",H73)),80,IF(ISNUMBER(SEARCH("5-10",H73)),70,IF(ISNUMBER(SEARCH("0-5",H73)),60,""))))))</x:f>
        <x:v>60</x:v>
      </x:c>
      <x:c r="J73" s="34" t="str">
        <x:v>低于1000万元</x:v>
      </x:c>
      <x:c r="K73" s="17" t="n">
        <x:f>IF(J73="","",IF(J73="低于1000万元",0,100))</x:f>
        <x:v>0</x:v>
      </x:c>
      <x:c r="L73" s="17" t="n">
        <x:f>IF(NOT(ISNUMBER(F73)),"",IF(F73&lt;1,"",IF(F73&lt;3,70,100)))</x:f>
        <x:v>100</x:v>
      </x:c>
      <x:c r="M73" s="35" t="n">
        <x:f>IF(ISNUMBER('sheet4-原始数据'!G58),'sheet4-原始数据'!G58,"")</x:f>
        <x:v>0.0137</x:v>
      </x:c>
      <x:c r="N73" s="35" t="n">
        <x:f>IF(ISNUMBER('sheet4-原始数据'!H58),'sheet4-原始数据'!H58,"")</x:f>
        <x:v>0.0599</x:v>
      </x:c>
      <x:c r="O73" s="36" t="str">
        <x:f>IF(ISNUMBER('sheet4-原始数据'!Q58),'sheet4-原始数据'!Q58,"")</x:f>
      </x:c>
      <x:c r="P73" s="37" t="n">
        <x:f>IF($G73&lt;&gt;"入池","",IF($F73&gt;=3,IF(OR(NOT(ISNUMBER($M73)),NOT(ISNUMBER($N73)),1+$M73&lt;=0,1+$N73&lt;0),"",((1+$N73)^3/(1+$M73))^(1/2)-1),IF(OR($F73&lt;=1,NOT(ISNUMBER($M73)),NOT(ISNUMBER($O73)),1+$M73&lt;=0,1+$O73&lt;0),"",((1+$O73)^$F73/(1+$M73))^(1/($F73-1))-1)))</x:f>
        <x:v>0.08378370001293711</x:v>
      </x:c>
      <x:c r="Q73" s="17" t="n">
        <x:f>IF(OR($G73&lt;&gt;"入池",NOT(ISNUMBER(M73))),"",IF(COUNTIFS($G$17:$G$219,"入池",$M$17:$M$219,"&gt;=-1E+307",$M$17:$M$219,"&lt;=1E+307")&lt;=1,100,ROUND(100*(COUNTIFS($G$17:$G$219,"入池",$M$17:$M$219,"&gt;=-1E+307",$M$17:$M$219,"&lt;"&amp;M73)+COUNTIFS($G$17:$G$219,"入池",$M$17:$M$219,M73,$M$17:$M$219,"&gt;=-1E+307",$M$17:$M$219,"&lt;=1E+307")/2-0.5)/(COUNTIFS($G$17:$G$219,"入池",$M$17:$M$219,"&gt;=-1E+307",$M$17:$M$219,"&lt;=1E+307")-1),2)))</x:f>
        <x:v>24.26</x:v>
      </x:c>
      <x:c r="R73" s="17" t="n">
        <x:f>IF(OR($G73&lt;&gt;"入池",NOT(ISNUMBER(P73))),"",IF(COUNTIFS($G$17:$G$219,"入池",$P$17:$P$219,"&gt;=-1E+307",$P$17:$P$219,"&lt;=1E+307")&lt;=1,100,ROUND(100*(COUNTIFS($G$17:$G$219,"入池",$P$17:$P$219,"&gt;=-1E+307",$P$17:$P$219,"&lt;"&amp;P73)+COUNTIFS($G$17:$G$219,"入池",$P$17:$P$219,P73,$P$17:$P$219,"&gt;=-1E+307",$P$17:$P$219,"&lt;=1E+307")/2-0.5)/(COUNTIFS($G$17:$G$219,"入池",$P$17:$P$219,"&gt;=-1E+307",$P$17:$P$219,"&lt;=1E+307")-1),2)))</x:f>
        <x:v>68.32</x:v>
      </x:c>
      <x:c r="S73" s="17" t="n">
        <x:f>IF(NOT(ISNUMBER(Q73)),"",IF(NOT(ISNUMBER(R73)),Q73,ROUND(Q73*'sheet1-指标体系'!$J$8+R73*'sheet1-指标体系'!$J$9,2)))</x:f>
        <x:v>41.88</x:v>
      </x:c>
      <x:c r="T73" s="35" t="n">
        <x:f>IF(ISNUMBER('sheet4-原始数据'!J58),'sheet4-原始数据'!J58,"")</x:f>
        <x:v>0.6154</x:v>
      </x:c>
      <x:c r="U73" s="35" t="n">
        <x:f>IF(ISNUMBER('sheet4-原始数据'!I58),'sheet4-原始数据'!I58,"")</x:f>
        <x:v>0.7027</x:v>
      </x:c>
      <x:c r="V73" s="37" t="n">
        <x:f>IF(OR(NOT(ISNUMBER(T73)),NOT(ISNUMBER(U73))),"",(U73*'sheet1-指标体系'!$J$6-T73*'sheet1-指标体系'!$J$5)/'sheet1-指标体系'!$J$7)</x:f>
        <x:v>0.7499875</x:v>
      </x:c>
      <x:c r="W73" s="17" t="n">
        <x:f>IF(NOT(ISNUMBER(T73)),"",T73*100)</x:f>
        <x:v>61.53999999999999</x:v>
      </x:c>
      <x:c r="X73" s="17" t="n">
        <x:f>IF($G73&lt;&gt;"入池","",IF(AND(ISNUMBER(V73),V73&gt;=0,V73&lt;=1),V73*100,IF(MAX(0,($F73-1)*12)&lt;6,100,"")))</x:f>
        <x:v>74.99875</x:v>
      </x:c>
      <x:c r="Y73" s="17" t="n">
        <x:f>IF(NOT(ISNUMBER(W73)),"",IF(NOT(ISNUMBER(X73)),W73,ROUND(W73*'sheet1-指标体系'!$J$8+X73*'sheet1-指标体系'!$J$9,2)))</x:f>
        <x:v>66.92</x:v>
      </x:c>
      <x:c r="Z73" s="37" t="n">
        <x:f>IF(OR(NOT(ISNUMBER(M73)),NOT(ISNUMBER(AD73)),AD73=0),"",ABS(M73/AD73))</x:f>
        <x:v>0.021598612643859375</x:v>
      </x:c>
      <x:c r="AA73" s="35" t="n">
        <x:f>IF(ISNUMBER('sheet4-原始数据'!K58),'sheet4-原始数据'!K58,"")</x:f>
        <x:v>0.0424</x:v>
      </x:c>
      <x:c r="AB73" s="37" t="n">
        <x:f>IF(COUNT(Z73:AA73)=0,"",MAX(Z73:AA73))</x:f>
        <x:v>0.0424</x:v>
      </x:c>
      <x:c r="AC73" s="17" t="n">
        <x:f>IF(OR($G73&lt;&gt;"入池",NOT(ISNUMBER(AB73))),"",IF(COUNTIFS($G$17:$G$219,"入池",$AB$17:$AB$219,"&gt;=-1E+307",$AB$17:$AB$219,"&lt;=1E+307")&lt;=1,100,ROUND(100*(COUNTIFS($G$17:$G$219,"入池",$AB$17:$AB$219,"&lt;=1E+307",$AB$17:$AB$219,"&gt;"&amp;AB73)+COUNTIFS($G$17:$G$219,"入池",$AB$17:$AB$219,AB73,$AB$17:$AB$219,"&gt;=-1E+307",$AB$17:$AB$219,"&lt;=1E+307")/2-0.5)/(COUNTIFS($G$17:$G$219,"入池",$AB$17:$AB$219,"&gt;=-1E+307",$AB$17:$AB$219,"&lt;=1E+307")-1),2)))</x:f>
        <x:v>50</x:v>
      </x:c>
      <x:c r="AD73" s="38" t="n">
        <x:f>IF(ISNUMBER('sheet4-原始数据'!M58),'sheet4-原始数据'!M58,"")</x:f>
        <x:v>0.6343</x:v>
      </x:c>
      <x:c r="AE73" s="37" t="n">
        <x:f>IF(OR(NOT(ISNUMBER(P73)),NOT(ISNUMBER(AA73)),NOT(ISNUMBER(Z73))),"",IF(AA73&gt;Z73+'sheet1-指标体系'!$J$11,AA73,""))</x:f>
        <x:v>0.0424</x:v>
      </x:c>
      <x:c r="AF73" s="17" t="n">
        <x:f>IF(OR(NOT(ISNUMBER(P73)),NOT(ISNUMBER(AE73)),AE73=0),"",P73/AE73)</x:f>
        <x:v>1.9760306606824791</x:v>
      </x:c>
      <x:c r="AG73" s="17" t="n">
        <x:f>IF(OR($G73&lt;&gt;"入池",NOT(ISNUMBER(AD73))),"",IF(COUNTIFS($G$17:$G$219,"入池",$AD$17:$AD$219,"&gt;=-1E+307",$AD$17:$AD$219,"&lt;=1E+307")&lt;=1,100,ROUND(100*(COUNTIFS($G$17:$G$219,"入池",$AD$17:$AD$219,"&gt;=-1E+307",$AD$17:$AD$219,"&lt;"&amp;AD73)+COUNTIFS($G$17:$G$219,"入池",$AD$17:$AD$219,AD73,$AD$17:$AD$219,"&gt;=-1E+307",$AD$17:$AD$219,"&lt;=1E+307")/2-0.5)/(COUNTIFS($G$17:$G$219,"入池",$AD$17:$AD$219,"&gt;=-1E+307",$AD$17:$AD$219,"&lt;=1E+307")-1),2)))</x:f>
        <x:v>29.85</x:v>
      </x:c>
      <x:c r="AH73" s="17" t="n">
        <x:f>IF(OR($G73&lt;&gt;"入池",NOT(ISNUMBER(AF73))),"",IF(COUNTIFS($G$17:$G$219,"入池",$AF$17:$AF$219,"&gt;=-1E+307",$AF$17:$AF$219,"&lt;=1E+307")&lt;=1,100,ROUND(100*(COUNTIFS($G$17:$G$219,"入池",$AF$17:$AF$219,"&gt;=-1E+307",$AF$17:$AF$219,"&lt;"&amp;AF73)+COUNTIFS($G$17:$G$219,"入池",$AF$17:$AF$219,AF73,$AF$17:$AF$219,"&gt;=-1E+307",$AF$17:$AF$219,"&lt;=1E+307")/2-0.5)/(COUNTIFS($G$17:$G$219,"入池",$AF$17:$AF$219,"&gt;=-1E+307",$AF$17:$AF$219,"&lt;=1E+307")-1),2)))</x:f>
        <x:v>65.69</x:v>
      </x:c>
      <x:c r="AI73" s="17" t="n">
        <x:f>IF(NOT(ISNUMBER(AG73)),"",IF(NOT(ISNUMBER(AH73)),AG73,ROUND(AG73*'sheet1-指标体系'!$J$8+AH73*'sheet1-指标体系'!$J$9,2)))</x:f>
        <x:v>44.19</x:v>
      </x:c>
      <x:c r="AJ73" s="37" t="n">
        <x:f>IF(NOT(ISNUMBER(F73)),"",IF(F73&gt;=3,IF(NOT(ISNUMBER(N73)),"",N73),IF(NOT(ISNUMBER(O73)),"",O73)))</x:f>
        <x:v>0.0599</x:v>
      </x:c>
      <x:c r="AK73" s="17" t="n">
        <x:f>IF(OR(G73&lt;&gt;"入池",NOT(ISNUMBER(M73)),NOT(ISNUMBER(AJ73))),"",IF(M73&gt;=AJ73,100,IF(AJ73-M73&lt;'sheet1-指标体系'!$J$10,80,60)))</x:f>
        <x:v>80</x:v>
      </x:c>
      <x:c r="AL73" s="17" t="n">
        <x:f>IF(COUNT(I73,K73,L73)=0,"",ROUND((IF(ISNUMBER(I73),I73*40%,0)+IF(ISNUMBER(K73),K73*30%,0)+IF(ISNUMBER(L73),L73*30%,0))/(IF(ISNUMBER(I73),40%,0)+IF(ISNUMBER(K73),30%,0)+IF(ISNUMBER(L73),30%,0)),2))</x:f>
        <x:v>54</x:v>
      </x:c>
      <x:c r="AM73" s="17" t="n">
        <x:f>IF(COUNT(Q73,R73,W73,X73)=0,"",ROUND((IF(ISNUMBER(Q73),Q73*42%,0)+IF(ISNUMBER(R73),R73*28%,0)+IF(ISNUMBER(W73),W73*18%,0)+IF(ISNUMBER(X73),X73*12%,0))/(IF(ISNUMBER(Q73),42%,0)+IF(ISNUMBER(R73),28%,0)+IF(ISNUMBER(W73),18%,0)+IF(ISNUMBER(X73),12%,0)),2))</x:f>
        <x:v>49.4</x:v>
      </x:c>
      <x:c r="AN73" s="17" t="n">
        <x:f>IF(ISNUMBER(AC73),AC73,"")</x:f>
        <x:v>50</x:v>
      </x:c>
      <x:c r="AO73" s="17" t="n">
        <x:f>IF(COUNT(AG73,AH73)=0,"",ROUND((IF(ISNUMBER(AG73),AG73*60%,0)+IF(ISNUMBER(AH73),AH73*40%,0))/(IF(ISNUMBER(AG73),60%,0)+IF(ISNUMBER(AH73),40%,0)),2))</x:f>
        <x:v>44.19</x:v>
      </x:c>
      <x:c r="AP73" s="17" t="n">
        <x:f>IF(ISNUMBER(AK73),AK73,"")</x:f>
        <x:v>80</x:v>
      </x:c>
      <x:c r="AQ73" s="39" t="n">
        <x:f>IF(G73&lt;&gt;"入池",0,IF(ISNUMBER(I73),6%,0)+IF(ISNUMBER(K73),4.5%,0)+IF(ISNUMBER(L73),4.5%,0)+IF(ISNUMBER(Q73),8.4%,0)+IF(ISNUMBER(R73),5.6%,0)+IF(ISNUMBER(W73),3.6%,0)+IF(ISNUMBER(X73),2.4%,0)+IF(ISNUMBER(AC73),25%,0)+IF(ISNUMBER(AG73),18%,0)+IF(ISNUMBER(AH73),12%,0)+IF(ISNUMBER(AK73),10%,0))</x:f>
        <x:v>1</x:v>
      </x:c>
      <x:c r="AR73" s="17" t="n">
        <x:f>IF(AQ73=0,"",IF(ISNUMBER(I73),I73*6%,0)+IF(ISNUMBER(K73),K73*4.5%,0)+IF(ISNUMBER(L73),L73*4.5%,0)+IF(ISNUMBER(Q73),Q73*8.4%,0)+IF(ISNUMBER(R73),R73*5.6%,0)+IF(ISNUMBER(W73),W73*3.6%,0)+IF(ISNUMBER(X73),X73*2.4%,0)+IF(ISNUMBER(AC73),AC73*25%,0)+IF(ISNUMBER(AG73),AG73*18%,0)+IF(ISNUMBER(AH73),AH73*12%,0)+IF(ISNUMBER(AK73),AK73*10%,0))</x:f>
        <x:v>51.734970000000004</x:v>
      </x:c>
      <x:c r="AS73" s="17" t="n">
        <x:f>IF(AQ73=0,"",ROUND(AR73/AQ73,2))</x:f>
        <x:v>51.73</x:v>
      </x:c>
      <x:c r="AT73" s="40" t="n">
        <x:f>IF(OR(G73&lt;&gt;"入池",NOT(ISNUMBER(AS73))),"",COUNTIFS($G$17:$G$219,"入池",$AS$17:$AS$219,"&gt;"&amp;AS73)+COUNTIFS($G$17:$G$219,"入池",$AS$17:$AS$219,AS73,$AQ$17:$AQ$219,"&gt;"&amp;AQ73)+COUNTIFS($G$17:G73,"入池",$AS$17:AS73,AS73,$AQ$17:AQ73,AQ73))</x:f>
        <x:v>141</x:v>
      </x:c>
      <x:c r="AU73" s="41" t="str">
        <x:f t="shared" si="2">IF(NOT(ISNUMBER(I73)),"管理人规模；","")&amp;IF(J73="","产品规模标识；","")&amp;IF(AND(F73&lt;3,NOT(ISNUMBER(O73))),"R_incep；","")&amp;IF(NOT(ISNUMBER(N73)),"近三年收益；","")&amp;IF(NOT(ISNUMBER(U73)),"近三年胜率；","")&amp;IF(AND(ISNUMBER(V73),OR(V73&lt;0,V73&gt;1)),"胜率窗口口径不一致；","")&amp;IF(NOT(ISNUMBER(AA73)),"近三年回撤；","")&amp;IF(NOT(ISNUMBER(AD73)),"短期卡玛；","")&amp;IF(AND(ISNUMBER(P73),NOT(ISNUMBER(AE73))),"DD_long不可识别；","")</x:f>
      </x:c>
      <x:c r="AV73" s="42" t="n">
        <x:v>0</x:v>
      </x:c>
      <x:c r="AW73" s="19" t="str">
        <x:v>上海银杏私募基金管理有限公司</x:v>
      </x:c>
      <x:c r="AX73" s="19" t="str">
        <x:v>2026-03-06</x:v>
      </x:c>
      <x:c r="AY73" s="19" t="str">
        <x:v>https://gs.amac.org.cn/amac-infodisc/res/pof/manager/2105100905108445.html</x:v>
      </x:c>
      <x:c r="AZ73" s="19" t="str">
        <x:v>银杏善利6号私募证券投资基金</x:v>
      </x:c>
      <x:c r="BA73" s="19" t="str">
        <x:v>2026-08-11</x:v>
      </x:c>
      <x:c r="BB73" s="19" t="str">
        <x:v>2026年第2季度季度更新信息</x:v>
      </x:c>
      <x:c r="BC73" s="19" t="str">
        <x:v>https://gs.amac.org.cn/amac-infodisc/res/pof/fund/2211161803111351.html</x:v>
      </x:c>
      <x:c r="BD73" s="19" t="str">
        <x:v>已匹配</x:v>
      </x:c>
      <x:c r="BE73"/>
      <x:c r="BF73"/>
    </x:row>
    <x:row r="74" ht="28" customHeight="1">
      <x:c r="A74" s="4" t="n">
        <x:v>58</x:v>
      </x:c>
      <x:c r="B74" s="15" t="str">
        <x:f>'sheet4-原始数据'!A59</x:f>
        <x:v>博润易量稳健1号</x:v>
      </x:c>
      <x:c r="C74" s="15" t="str">
        <x:f>'sheet4-原始数据'!B59</x:f>
        <x:v>SXL913</x:v>
      </x:c>
      <x:c r="D74" s="15" t="str">
        <x:f>'sheet4-原始数据'!E59</x:f>
        <x:v>北京博润银泰投资</x:v>
      </x:c>
      <x:c r="E74" s="32" t="n">
        <x:f>IF(ISNUMBER('sheet4-原始数据'!F59),'sheet4-原始数据'!F59,"")</x:f>
        <x:v>44895</x:v>
      </x:c>
      <x:c r="F74" s="17" t="n">
        <x:f>IF(NOT(ISNUMBER(E74)),"",ROUND(('sheet1-指标体系'!$J$23-E74)/365.25,4))</x:f>
        <x:v>3.7947</x:v>
      </x:c>
      <x:c r="G74" s="4" t="str">
        <x:f t="shared" si="1">IF(NOT(ISNUMBER(F74)),"",IF(F74&lt;1,"不入池","入池"))</x:f>
        <x:v>入池</x:v>
      </x:c>
      <x:c r="H74" s="33" t="str">
        <x:v>100亿元以上</x:v>
      </x:c>
      <x:c r="I74" s="17" t="n">
        <x:f>IF(H74="","",IF(ISNUMBER(SEARCH("100亿元以上",H74)),100,IF(OR(ISNUMBER(SEARCH("20-50",H74)),ISNUMBER(SEARCH("50-100",H74)),ISNUMBER(SEARCH("20-100",H74))),90,IF(ISNUMBER(SEARCH("10-20",H74)),80,IF(ISNUMBER(SEARCH("5-10",H74)),70,IF(ISNUMBER(SEARCH("0-5",H74)),60,""))))))</x:f>
        <x:v>100</x:v>
      </x:c>
      <x:c r="J74" s="34" t="str">
        <x:v>无低于1000万元标识</x:v>
      </x:c>
      <x:c r="K74" s="17" t="n">
        <x:f>IF(J74="","",IF(J74="低于1000万元",0,100))</x:f>
        <x:v>100</x:v>
      </x:c>
      <x:c r="L74" s="17" t="n">
        <x:f>IF(NOT(ISNUMBER(F74)),"",IF(F74&lt;1,"",IF(F74&lt;3,70,100)))</x:f>
        <x:v>100</x:v>
      </x:c>
      <x:c r="M74" s="35" t="n">
        <x:f>IF(ISNUMBER('sheet4-原始数据'!G59),'sheet4-原始数据'!G59,"")</x:f>
        <x:v>0.0783</x:v>
      </x:c>
      <x:c r="N74" s="35" t="n">
        <x:f>IF(ISNUMBER('sheet4-原始数据'!H59),'sheet4-原始数据'!H59,"")</x:f>
        <x:v>0.0519</x:v>
      </x:c>
      <x:c r="O74" s="36" t="str">
        <x:f>IF(ISNUMBER('sheet4-原始数据'!Q59),'sheet4-原始数据'!Q59,"")</x:f>
      </x:c>
      <x:c r="P74" s="37" t="n">
        <x:f>IF($G74&lt;&gt;"入池","",IF($F74&gt;=3,IF(OR(NOT(ISNUMBER($M74)),NOT(ISNUMBER($N74)),1+$M74&lt;=0,1+$N74&lt;0),"",((1+$N74)^3/(1+$M74))^(1/2)-1),IF(OR($F74&lt;=1,NOT(ISNUMBER($M74)),NOT(ISNUMBER($O74)),1+$M74&lt;=0,1+$O74&lt;0),"",((1+$O74)^$F74/(1+$M74))^(1/($F74-1))-1)))</x:f>
        <x:v>0.038943379756825935</x:v>
      </x:c>
      <x:c r="Q74" s="17" t="n">
        <x:f>IF(OR($G74&lt;&gt;"入池",NOT(ISNUMBER(M74))),"",IF(COUNTIFS($G$17:$G$219,"入池",$M$17:$M$219,"&gt;=-1E+307",$M$17:$M$219,"&lt;=1E+307")&lt;=1,100,ROUND(100*(COUNTIFS($G$17:$G$219,"入池",$M$17:$M$219,"&gt;=-1E+307",$M$17:$M$219,"&lt;"&amp;M74)+COUNTIFS($G$17:$G$219,"入池",$M$17:$M$219,M74,$M$17:$M$219,"&gt;=-1E+307",$M$17:$M$219,"&lt;=1E+307")/2-0.5)/(COUNTIFS($G$17:$G$219,"入池",$M$17:$M$219,"&gt;=-1E+307",$M$17:$M$219,"&lt;=1E+307")-1),2)))</x:f>
        <x:v>69.8</x:v>
      </x:c>
      <x:c r="R74" s="17" t="n">
        <x:f>IF(OR($G74&lt;&gt;"入池",NOT(ISNUMBER(P74))),"",IF(COUNTIFS($G$17:$G$219,"入池",$P$17:$P$219,"&gt;=-1E+307",$P$17:$P$219,"&lt;=1E+307")&lt;=1,100,ROUND(100*(COUNTIFS($G$17:$G$219,"入池",$P$17:$P$219,"&gt;=-1E+307",$P$17:$P$219,"&lt;"&amp;P74)+COUNTIFS($G$17:$G$219,"入池",$P$17:$P$219,P74,$P$17:$P$219,"&gt;=-1E+307",$P$17:$P$219,"&lt;=1E+307")/2-0.5)/(COUNTIFS($G$17:$G$219,"入池",$P$17:$P$219,"&gt;=-1E+307",$P$17:$P$219,"&lt;=1E+307")-1),2)))</x:f>
        <x:v>25.74</x:v>
      </x:c>
      <x:c r="S74" s="17" t="n">
        <x:f>IF(NOT(ISNUMBER(Q74)),"",IF(NOT(ISNUMBER(R74)),Q74,ROUND(Q74*'sheet1-指标体系'!$J$8+R74*'sheet1-指标体系'!$J$9,2)))</x:f>
        <x:v>52.18</x:v>
      </x:c>
      <x:c r="T74" s="35" t="n">
        <x:f>IF(ISNUMBER('sheet4-原始数据'!J59),'sheet4-原始数据'!J59,"")</x:f>
        <x:v>0.5385</x:v>
      </x:c>
      <x:c r="U74" s="35" t="n">
        <x:f>IF(ISNUMBER('sheet4-原始数据'!I59),'sheet4-原始数据'!I59,"")</x:f>
        <x:v>0.6215999999999999</x:v>
      </x:c>
      <x:c r="V74" s="37" t="n">
        <x:f>IF(OR(NOT(ISNUMBER(T74)),NOT(ISNUMBER(U74))),"",(U74*'sheet1-指标体系'!$J$6-T74*'sheet1-指标体系'!$J$5)/'sheet1-指标体系'!$J$7)</x:f>
        <x:v>0.6666124999999999</x:v>
      </x:c>
      <x:c r="W74" s="17" t="n">
        <x:f>IF(NOT(ISNUMBER(T74)),"",T74*100)</x:f>
        <x:v>53.849999999999994</x:v>
      </x:c>
      <x:c r="X74" s="17" t="n">
        <x:f>IF($G74&lt;&gt;"入池","",IF(AND(ISNUMBER(V74),V74&gt;=0,V74&lt;=1),V74*100,IF(MAX(0,($F74-1)*12)&lt;6,100,"")))</x:f>
        <x:v>66.66125</x:v>
      </x:c>
      <x:c r="Y74" s="17" t="n">
        <x:f>IF(NOT(ISNUMBER(W74)),"",IF(NOT(ISNUMBER(X74)),W74,ROUND(W74*'sheet1-指标体系'!$J$8+X74*'sheet1-指标体系'!$J$9,2)))</x:f>
        <x:v>58.97</x:v>
      </x:c>
      <x:c r="Z74" s="37" t="n">
        <x:f>IF(OR(NOT(ISNUMBER(M74)),NOT(ISNUMBER(AD74)),AD74=0),"",ABS(M74/AD74))</x:f>
        <x:v>0.03697407564810879</x:v>
      </x:c>
      <x:c r="AA74" s="35" t="n">
        <x:f>IF(ISNUMBER('sheet4-原始数据'!K59),'sheet4-原始数据'!K59,"")</x:f>
        <x:v>0.037000000000000005</x:v>
      </x:c>
      <x:c r="AB74" s="37" t="n">
        <x:f>IF(COUNT(Z74:AA74)=0,"",MAX(Z74:AA74))</x:f>
        <x:v>0.037000000000000005</x:v>
      </x:c>
      <x:c r="AC74" s="17" t="n">
        <x:f>IF(OR($G74&lt;&gt;"入池",NOT(ISNUMBER(AB74))),"",IF(COUNTIFS($G$17:$G$219,"入池",$AB$17:$AB$219,"&gt;=-1E+307",$AB$17:$AB$219,"&lt;=1E+307")&lt;=1,100,ROUND(100*(COUNTIFS($G$17:$G$219,"入池",$AB$17:$AB$219,"&lt;=1E+307",$AB$17:$AB$219,"&gt;"&amp;AB74)+COUNTIFS($G$17:$G$219,"入池",$AB$17:$AB$219,AB74,$AB$17:$AB$219,"&gt;=-1E+307",$AB$17:$AB$219,"&lt;=1E+307")/2-0.5)/(COUNTIFS($G$17:$G$219,"入池",$AB$17:$AB$219,"&gt;=-1E+307",$AB$17:$AB$219,"&lt;=1E+307")-1),2)))</x:f>
        <x:v>54.95</x:v>
      </x:c>
      <x:c r="AD74" s="38" t="n">
        <x:f>IF(ISNUMBER('sheet4-原始数据'!M59),'sheet4-原始数据'!M59,"")</x:f>
        <x:v>2.1177</x:v>
      </x:c>
      <x:c r="AE74" s="37" t="str">
        <x:f>IF(OR(NOT(ISNUMBER(P74)),NOT(ISNUMBER(AA74)),NOT(ISNUMBER(Z74))),"",IF(AA74&gt;Z74+'sheet1-指标体系'!$J$11,AA74,""))</x:f>
      </x:c>
      <x:c r="AF74" s="17" t="str">
        <x:f>IF(OR(NOT(ISNUMBER(P74)),NOT(ISNUMBER(AE74)),AE74=0),"",P74/AE74)</x:f>
      </x:c>
      <x:c r="AG74" s="17" t="n">
        <x:f>IF(OR($G74&lt;&gt;"入池",NOT(ISNUMBER(AD74))),"",IF(COUNTIFS($G$17:$G$219,"入池",$AD$17:$AD$219,"&gt;=-1E+307",$AD$17:$AD$219,"&lt;=1E+307")&lt;=1,100,ROUND(100*(COUNTIFS($G$17:$G$219,"入池",$AD$17:$AD$219,"&gt;=-1E+307",$AD$17:$AD$219,"&lt;"&amp;AD74)+COUNTIFS($G$17:$G$219,"入池",$AD$17:$AD$219,AD74,$AD$17:$AD$219,"&gt;=-1E+307",$AD$17:$AD$219,"&lt;=1E+307")/2-0.5)/(COUNTIFS($G$17:$G$219,"入池",$AD$17:$AD$219,"&gt;=-1E+307",$AD$17:$AD$219,"&lt;=1E+307")-1),2)))</x:f>
        <x:v>46.77</x:v>
      </x:c>
      <x:c r="AH74" s="17" t="str">
        <x:f>IF(OR($G74&lt;&gt;"入池",NOT(ISNUMBER(AF74))),"",IF(COUNTIFS($G$17:$G$219,"入池",$AF$17:$AF$219,"&gt;=-1E+307",$AF$17:$AF$219,"&lt;=1E+307")&lt;=1,100,ROUND(100*(COUNTIFS($G$17:$G$219,"入池",$AF$17:$AF$219,"&gt;=-1E+307",$AF$17:$AF$219,"&lt;"&amp;AF74)+COUNTIFS($G$17:$G$219,"入池",$AF$17:$AF$219,AF74,$AF$17:$AF$219,"&gt;=-1E+307",$AF$17:$AF$219,"&lt;=1E+307")/2-0.5)/(COUNTIFS($G$17:$G$219,"入池",$AF$17:$AF$219,"&gt;=-1E+307",$AF$17:$AF$219,"&lt;=1E+307")-1),2)))</x:f>
      </x:c>
      <x:c r="AI74" s="17" t="n">
        <x:f>IF(NOT(ISNUMBER(AG74)),"",IF(NOT(ISNUMBER(AH74)),AG74,ROUND(AG74*'sheet1-指标体系'!$J$8+AH74*'sheet1-指标体系'!$J$9,2)))</x:f>
        <x:v>46.77</x:v>
      </x:c>
      <x:c r="AJ74" s="37" t="n">
        <x:f>IF(NOT(ISNUMBER(F74)),"",IF(F74&gt;=3,IF(NOT(ISNUMBER(N74)),"",N74),IF(NOT(ISNUMBER(O74)),"",O74)))</x:f>
        <x:v>0.0519</x:v>
      </x:c>
      <x:c r="AK74" s="17" t="n">
        <x:f>IF(OR(G74&lt;&gt;"入池",NOT(ISNUMBER(M74)),NOT(ISNUMBER(AJ74))),"",IF(M74&gt;=AJ74,100,IF(AJ74-M74&lt;'sheet1-指标体系'!$J$10,80,60)))</x:f>
        <x:v>100</x:v>
      </x:c>
      <x:c r="AL74" s="17" t="n">
        <x:f>IF(COUNT(I74,K74,L74)=0,"",ROUND((IF(ISNUMBER(I74),I74*40%,0)+IF(ISNUMBER(K74),K74*30%,0)+IF(ISNUMBER(L74),L74*30%,0))/(IF(ISNUMBER(I74),40%,0)+IF(ISNUMBER(K74),30%,0)+IF(ISNUMBER(L74),30%,0)),2))</x:f>
        <x:v>100</x:v>
      </x:c>
      <x:c r="AM74" s="17" t="n">
        <x:f>IF(COUNT(Q74,R74,W74,X74)=0,"",ROUND((IF(ISNUMBER(Q74),Q74*42%,0)+IF(ISNUMBER(R74),R74*28%,0)+IF(ISNUMBER(W74),W74*18%,0)+IF(ISNUMBER(X74),X74*12%,0))/(IF(ISNUMBER(Q74),42%,0)+IF(ISNUMBER(R74),28%,0)+IF(ISNUMBER(W74),18%,0)+IF(ISNUMBER(X74),12%,0)),2))</x:f>
        <x:v>54.22</x:v>
      </x:c>
      <x:c r="AN74" s="17" t="n">
        <x:f>IF(ISNUMBER(AC74),AC74,"")</x:f>
        <x:v>54.95</x:v>
      </x:c>
      <x:c r="AO74" s="17" t="n">
        <x:f>IF(COUNT(AG74,AH74)=0,"",ROUND((IF(ISNUMBER(AG74),AG74*60%,0)+IF(ISNUMBER(AH74),AH74*40%,0))/(IF(ISNUMBER(AG74),60%,0)+IF(ISNUMBER(AH74),40%,0)),2))</x:f>
        <x:v>46.77</x:v>
      </x:c>
      <x:c r="AP74" s="17" t="n">
        <x:f>IF(ISNUMBER(AK74),AK74,"")</x:f>
        <x:v>100</x:v>
      </x:c>
      <x:c r="AQ74" s="39" t="n">
        <x:f>IF(G74&lt;&gt;"入池",0,IF(ISNUMBER(I74),6%,0)+IF(ISNUMBER(K74),4.5%,0)+IF(ISNUMBER(L74),4.5%,0)+IF(ISNUMBER(Q74),8.4%,0)+IF(ISNUMBER(R74),5.6%,0)+IF(ISNUMBER(W74),3.6%,0)+IF(ISNUMBER(X74),2.4%,0)+IF(ISNUMBER(AC74),25%,0)+IF(ISNUMBER(AG74),18%,0)+IF(ISNUMBER(AH74),12%,0)+IF(ISNUMBER(AK74),10%,0))</x:f>
        <x:v>0.88</x:v>
      </x:c>
      <x:c r="AR74" s="17" t="n">
        <x:f>IF(AQ74=0,"",IF(ISNUMBER(I74),I74*6%,0)+IF(ISNUMBER(K74),K74*4.5%,0)+IF(ISNUMBER(L74),L74*4.5%,0)+IF(ISNUMBER(Q74),Q74*8.4%,0)+IF(ISNUMBER(R74),R74*5.6%,0)+IF(ISNUMBER(W74),W74*3.6%,0)+IF(ISNUMBER(X74),X74*2.4%,0)+IF(ISNUMBER(AC74),AC74*25%,0)+IF(ISNUMBER(AG74),AG74*18%,0)+IF(ISNUMBER(AH74),AH74*12%,0)+IF(ISNUMBER(AK74),AK74*10%,0))</x:f>
        <x:v>57.99921</x:v>
      </x:c>
      <x:c r="AS74" s="17" t="n">
        <x:f>IF(AQ74=0,"",ROUND(AR74/AQ74,2))</x:f>
        <x:v>65.91</x:v>
      </x:c>
      <x:c r="AT74" s="40" t="n">
        <x:f>IF(OR(G74&lt;&gt;"入池",NOT(ISNUMBER(AS74))),"",COUNTIFS($G$17:$G$219,"入池",$AS$17:$AS$219,"&gt;"&amp;AS74)+COUNTIFS($G$17:$G$219,"入池",$AS$17:$AS$219,AS74,$AQ$17:$AQ$219,"&gt;"&amp;AQ74)+COUNTIFS($G$17:G74,"入池",$AS$17:AS74,AS74,$AQ$17:AQ74,AQ74))</x:f>
        <x:v>85</x:v>
      </x:c>
      <x:c r="AU74" s="41" t="str">
        <x:f t="shared" si="2">IF(NOT(ISNUMBER(I74)),"管理人规模；","")&amp;IF(J74="","产品规模标识；","")&amp;IF(AND(F74&lt;3,NOT(ISNUMBER(O74))),"R_incep；","")&amp;IF(NOT(ISNUMBER(N74)),"近三年收益；","")&amp;IF(NOT(ISNUMBER(U74)),"近三年胜率；","")&amp;IF(AND(ISNUMBER(V74),OR(V74&lt;0,V74&gt;1)),"胜率窗口口径不一致；","")&amp;IF(NOT(ISNUMBER(AA74)),"近三年回撤；","")&amp;IF(NOT(ISNUMBER(AD74)),"短期卡玛；","")&amp;IF(AND(ISNUMBER(P74),NOT(ISNUMBER(AE74))),"DD_long不可识别；","")</x:f>
        <x:v>DD_long不可识别；</x:v>
      </x:c>
      <x:c r="AV74" s="42" t="n">
        <x:v>100</x:v>
      </x:c>
      <x:c r="AW74" s="19" t="str">
        <x:v>北京博润银泰投资管理有限公司</x:v>
      </x:c>
      <x:c r="AX74" s="19" t="str">
        <x:v>2026-02-10</x:v>
      </x:c>
      <x:c r="AY74" s="19" t="str">
        <x:v>https://gs.amac.org.cn/amac-infodisc/res/pof/manager/101000005082.html</x:v>
      </x:c>
      <x:c r="AZ74" s="19" t="str">
        <x:v>博润易量稳健1号私募证券投资基金</x:v>
      </x:c>
      <x:c r="BA74" s="19" t="str">
        <x:v>2025-06-27</x:v>
      </x:c>
      <x:c r="BB74" s="19"/>
      <x:c r="BC74" s="19" t="str">
        <x:v>https://gs.amac.org.cn/amac-infodisc/res/pof/fund/2211291710107928.html</x:v>
      </x:c>
      <x:c r="BD74" s="19" t="str">
        <x:v>已匹配</x:v>
      </x:c>
      <x:c r="BE74"/>
      <x:c r="BF74"/>
    </x:row>
    <x:row r="75" ht="28" customHeight="1">
      <x:c r="A75" s="4" t="n">
        <x:v>59</x:v>
      </x:c>
      <x:c r="B75" s="15" t="str">
        <x:f>'sheet4-原始数据'!A60</x:f>
        <x:v>金麦穗卓诚一号</x:v>
      </x:c>
      <x:c r="C75" s="15" t="str">
        <x:f>'sheet4-原始数据'!B60</x:f>
        <x:v>SXU186</x:v>
      </x:c>
      <x:c r="D75" s="15" t="str">
        <x:f>'sheet4-原始数据'!E60</x:f>
        <x:v>山东金麦穗</x:v>
      </x:c>
      <x:c r="E75" s="32" t="n">
        <x:f>IF(ISNUMBER('sheet4-原始数据'!F60),'sheet4-原始数据'!F60,"")</x:f>
        <x:v>44896</x:v>
      </x:c>
      <x:c r="F75" s="17" t="n">
        <x:f>IF(NOT(ISNUMBER(E75)),"",ROUND(('sheet1-指标体系'!$J$23-E75)/365.25,4))</x:f>
        <x:v>3.7919</x:v>
      </x:c>
      <x:c r="G75" s="4" t="str">
        <x:f t="shared" si="1">IF(NOT(ISNUMBER(F75)),"",IF(F75&lt;1,"不入池","入池"))</x:f>
        <x:v>入池</x:v>
      </x:c>
      <x:c r="H75" s="33" t="str">
        <x:v>0-5亿元</x:v>
      </x:c>
      <x:c r="I75" s="17" t="n">
        <x:f>IF(H75="","",IF(ISNUMBER(SEARCH("100亿元以上",H75)),100,IF(OR(ISNUMBER(SEARCH("20-50",H75)),ISNUMBER(SEARCH("50-100",H75)),ISNUMBER(SEARCH("20-100",H75))),90,IF(ISNUMBER(SEARCH("10-20",H75)),80,IF(ISNUMBER(SEARCH("5-10",H75)),70,IF(ISNUMBER(SEARCH("0-5",H75)),60,""))))))</x:f>
        <x:v>60</x:v>
      </x:c>
      <x:c r="J75" s="34" t="str">
        <x:v>低于1000万元</x:v>
      </x:c>
      <x:c r="K75" s="17" t="n">
        <x:f>IF(J75="","",IF(J75="低于1000万元",0,100))</x:f>
        <x:v>0</x:v>
      </x:c>
      <x:c r="L75" s="17" t="n">
        <x:f>IF(NOT(ISNUMBER(F75)),"",IF(F75&lt;1,"",IF(F75&lt;3,70,100)))</x:f>
        <x:v>100</x:v>
      </x:c>
      <x:c r="M75" s="35" t="n">
        <x:f>IF(ISNUMBER('sheet4-原始数据'!G60),'sheet4-原始数据'!G60,"")</x:f>
        <x:v>0.0608</x:v>
      </x:c>
      <x:c r="N75" s="35" t="n">
        <x:f>IF(ISNUMBER('sheet4-原始数据'!H60),'sheet4-原始数据'!H60,"")</x:f>
        <x:v>0.0883</x:v>
      </x:c>
      <x:c r="O75" s="36" t="str">
        <x:f>IF(ISNUMBER('sheet4-原始数据'!Q60),'sheet4-原始数据'!Q60,"")</x:f>
      </x:c>
      <x:c r="P75" s="37" t="n">
        <x:f>IF($G75&lt;&gt;"入池","",IF($F75&gt;=3,IF(OR(NOT(ISNUMBER($M75)),NOT(ISNUMBER($N75)),1+$M75&lt;=0,1+$N75&lt;0),"",((1+$N75)^3/(1+$M75))^(1/2)-1),IF(OR($F75&lt;=1,NOT(ISNUMBER($M75)),NOT(ISNUMBER($O75)),1+$M75&lt;=0,1+$O75&lt;0),"",((1+$O75)^$F75/(1+$M75))^(1/($F75-1))-1)))</x:f>
        <x:v>0.10231619551617199</x:v>
      </x:c>
      <x:c r="Q75" s="17" t="n">
        <x:f>IF(OR($G75&lt;&gt;"入池",NOT(ISNUMBER(M75))),"",IF(COUNTIFS($G$17:$G$219,"入池",$M$17:$M$219,"&gt;=-1E+307",$M$17:$M$219,"&lt;=1E+307")&lt;=1,100,ROUND(100*(COUNTIFS($G$17:$G$219,"入池",$M$17:$M$219,"&gt;=-1E+307",$M$17:$M$219,"&lt;"&amp;M75)+COUNTIFS($G$17:$G$219,"入池",$M$17:$M$219,M75,$M$17:$M$219,"&gt;=-1E+307",$M$17:$M$219,"&lt;=1E+307")/2-0.5)/(COUNTIFS($G$17:$G$219,"入池",$M$17:$M$219,"&gt;=-1E+307",$M$17:$M$219,"&lt;=1E+307")-1),2)))</x:f>
        <x:v>55.45</x:v>
      </x:c>
      <x:c r="R75" s="17" t="n">
        <x:f>IF(OR($G75&lt;&gt;"入池",NOT(ISNUMBER(P75))),"",IF(COUNTIFS($G$17:$G$219,"入池",$P$17:$P$219,"&gt;=-1E+307",$P$17:$P$219,"&lt;=1E+307")&lt;=1,100,ROUND(100*(COUNTIFS($G$17:$G$219,"入池",$P$17:$P$219,"&gt;=-1E+307",$P$17:$P$219,"&lt;"&amp;P75)+COUNTIFS($G$17:$G$219,"入池",$P$17:$P$219,P75,$P$17:$P$219,"&gt;=-1E+307",$P$17:$P$219,"&lt;=1E+307")/2-0.5)/(COUNTIFS($G$17:$G$219,"入池",$P$17:$P$219,"&gt;=-1E+307",$P$17:$P$219,"&lt;=1E+307")-1),2)))</x:f>
        <x:v>72.28</x:v>
      </x:c>
      <x:c r="S75" s="17" t="n">
        <x:f>IF(NOT(ISNUMBER(Q75)),"",IF(NOT(ISNUMBER(R75)),Q75,ROUND(Q75*'sheet1-指标体系'!$J$8+R75*'sheet1-指标体系'!$J$9,2)))</x:f>
        <x:v>62.18</x:v>
      </x:c>
      <x:c r="T75" s="35" t="n">
        <x:f>IF(ISNUMBER('sheet4-原始数据'!J60),'sheet4-原始数据'!J60,"")</x:f>
        <x:v>0.46149999999999997</x:v>
      </x:c>
      <x:c r="U75" s="35" t="n">
        <x:f>IF(ISNUMBER('sheet4-原始数据'!I60),'sheet4-原始数据'!I60,"")</x:f>
        <x:v>0.6486</x:v>
      </x:c>
      <x:c r="V75" s="37" t="n">
        <x:f>IF(OR(NOT(ISNUMBER(T75)),NOT(ISNUMBER(U75))),"",(U75*'sheet1-指标体系'!$J$6-T75*'sheet1-指标体系'!$J$5)/'sheet1-指标体系'!$J$7)</x:f>
        <x:v>0.7499458333333333</x:v>
      </x:c>
      <x:c r="W75" s="17" t="n">
        <x:f>IF(NOT(ISNUMBER(T75)),"",T75*100)</x:f>
        <x:v>46.15</x:v>
      </x:c>
      <x:c r="X75" s="17" t="n">
        <x:f>IF($G75&lt;&gt;"入池","",IF(AND(ISNUMBER(V75),V75&gt;=0,V75&lt;=1),V75*100,IF(MAX(0,($F75-1)*12)&lt;6,100,"")))</x:f>
        <x:v>74.99458333333334</x:v>
      </x:c>
      <x:c r="Y75" s="17" t="n">
        <x:f>IF(NOT(ISNUMBER(W75)),"",IF(NOT(ISNUMBER(X75)),W75,ROUND(W75*'sheet1-指标体系'!$J$8+X75*'sheet1-指标体系'!$J$9,2)))</x:f>
        <x:v>57.69</x:v>
      </x:c>
      <x:c r="Z75" s="37" t="n">
        <x:f>IF(OR(NOT(ISNUMBER(M75)),NOT(ISNUMBER(AD75)),AD75=0),"",ABS(M75/AD75))</x:f>
        <x:v>0.04355300859598854</x:v>
      </x:c>
      <x:c r="AA75" s="35" t="n">
        <x:f>IF(ISNUMBER('sheet4-原始数据'!K60),'sheet4-原始数据'!K60,"")</x:f>
        <x:v>0.0739</x:v>
      </x:c>
      <x:c r="AB75" s="37" t="n">
        <x:f>IF(COUNT(Z75:AA75)=0,"",MAX(Z75:AA75))</x:f>
        <x:v>0.0739</x:v>
      </x:c>
      <x:c r="AC75" s="17" t="n">
        <x:f>IF(OR($G75&lt;&gt;"入池",NOT(ISNUMBER(AB75))),"",IF(COUNTIFS($G$17:$G$219,"入池",$AB$17:$AB$219,"&gt;=-1E+307",$AB$17:$AB$219,"&lt;=1E+307")&lt;=1,100,ROUND(100*(COUNTIFS($G$17:$G$219,"入池",$AB$17:$AB$219,"&lt;=1E+307",$AB$17:$AB$219,"&gt;"&amp;AB75)+COUNTIFS($G$17:$G$219,"入池",$AB$17:$AB$219,AB75,$AB$17:$AB$219,"&gt;=-1E+307",$AB$17:$AB$219,"&lt;=1E+307")/2-0.5)/(COUNTIFS($G$17:$G$219,"入池",$AB$17:$AB$219,"&gt;=-1E+307",$AB$17:$AB$219,"&lt;=1E+307")-1),2)))</x:f>
        <x:v>36.14</x:v>
      </x:c>
      <x:c r="AD75" s="38" t="n">
        <x:f>IF(ISNUMBER('sheet4-原始数据'!M60),'sheet4-原始数据'!M60,"")</x:f>
        <x:v>1.396</x:v>
      </x:c>
      <x:c r="AE75" s="37" t="n">
        <x:f>IF(OR(NOT(ISNUMBER(P75)),NOT(ISNUMBER(AA75)),NOT(ISNUMBER(Z75))),"",IF(AA75&gt;Z75+'sheet1-指标体系'!$J$11,AA75,""))</x:f>
        <x:v>0.0739</x:v>
      </x:c>
      <x:c r="AF75" s="17" t="n">
        <x:f>IF(OR(NOT(ISNUMBER(P75)),NOT(ISNUMBER(AE75)),AE75=0),"",P75/AE75)</x:f>
        <x:v>1.384522266795291</x:v>
      </x:c>
      <x:c r="AG75" s="17" t="n">
        <x:f>IF(OR($G75&lt;&gt;"入池",NOT(ISNUMBER(AD75))),"",IF(COUNTIFS($G$17:$G$219,"入池",$AD$17:$AD$219,"&gt;=-1E+307",$AD$17:$AD$219,"&lt;=1E+307")&lt;=1,100,ROUND(100*(COUNTIFS($G$17:$G$219,"入池",$AD$17:$AD$219,"&gt;=-1E+307",$AD$17:$AD$219,"&lt;"&amp;AD75)+COUNTIFS($G$17:$G$219,"入池",$AD$17:$AD$219,AD75,$AD$17:$AD$219,"&gt;=-1E+307",$AD$17:$AD$219,"&lt;=1E+307")/2-0.5)/(COUNTIFS($G$17:$G$219,"入池",$AD$17:$AD$219,"&gt;=-1E+307",$AD$17:$AD$219,"&lt;=1E+307")-1),2)))</x:f>
        <x:v>38.31</x:v>
      </x:c>
      <x:c r="AH75" s="17" t="n">
        <x:f>IF(OR($G75&lt;&gt;"入池",NOT(ISNUMBER(AF75))),"",IF(COUNTIFS($G$17:$G$219,"入池",$AF$17:$AF$219,"&gt;=-1E+307",$AF$17:$AF$219,"&lt;=1E+307")&lt;=1,100,ROUND(100*(COUNTIFS($G$17:$G$219,"入池",$AF$17:$AF$219,"&gt;=-1E+307",$AF$17:$AF$219,"&lt;"&amp;AF75)+COUNTIFS($G$17:$G$219,"入池",$AF$17:$AF$219,AF75,$AF$17:$AF$219,"&gt;=-1E+307",$AF$17:$AF$219,"&lt;=1E+307")/2-0.5)/(COUNTIFS($G$17:$G$219,"入池",$AF$17:$AF$219,"&gt;=-1E+307",$AF$17:$AF$219,"&lt;=1E+307")-1),2)))</x:f>
        <x:v>51.82</x:v>
      </x:c>
      <x:c r="AI75" s="17" t="n">
        <x:f>IF(NOT(ISNUMBER(AG75)),"",IF(NOT(ISNUMBER(AH75)),AG75,ROUND(AG75*'sheet1-指标体系'!$J$8+AH75*'sheet1-指标体系'!$J$9,2)))</x:f>
        <x:v>43.71</x:v>
      </x:c>
      <x:c r="AJ75" s="37" t="n">
        <x:f>IF(NOT(ISNUMBER(F75)),"",IF(F75&gt;=3,IF(NOT(ISNUMBER(N75)),"",N75),IF(NOT(ISNUMBER(O75)),"",O75)))</x:f>
        <x:v>0.0883</x:v>
      </x:c>
      <x:c r="AK75" s="17" t="n">
        <x:f>IF(OR(G75&lt;&gt;"入池",NOT(ISNUMBER(M75)),NOT(ISNUMBER(AJ75))),"",IF(M75&gt;=AJ75,100,IF(AJ75-M75&lt;'sheet1-指标体系'!$J$10,80,60)))</x:f>
        <x:v>80</x:v>
      </x:c>
      <x:c r="AL75" s="17" t="n">
        <x:f>IF(COUNT(I75,K75,L75)=0,"",ROUND((IF(ISNUMBER(I75),I75*40%,0)+IF(ISNUMBER(K75),K75*30%,0)+IF(ISNUMBER(L75),L75*30%,0))/(IF(ISNUMBER(I75),40%,0)+IF(ISNUMBER(K75),30%,0)+IF(ISNUMBER(L75),30%,0)),2))</x:f>
        <x:v>54</x:v>
      </x:c>
      <x:c r="AM75" s="17" t="n">
        <x:f>IF(COUNT(Q75,R75,W75,X75)=0,"",ROUND((IF(ISNUMBER(Q75),Q75*42%,0)+IF(ISNUMBER(R75),R75*28%,0)+IF(ISNUMBER(W75),W75*18%,0)+IF(ISNUMBER(X75),X75*12%,0))/(IF(ISNUMBER(Q75),42%,0)+IF(ISNUMBER(R75),28%,0)+IF(ISNUMBER(W75),18%,0)+IF(ISNUMBER(X75),12%,0)),2))</x:f>
        <x:v>60.83</x:v>
      </x:c>
      <x:c r="AN75" s="17" t="n">
        <x:f>IF(ISNUMBER(AC75),AC75,"")</x:f>
        <x:v>36.14</x:v>
      </x:c>
      <x:c r="AO75" s="17" t="n">
        <x:f>IF(COUNT(AG75,AH75)=0,"",ROUND((IF(ISNUMBER(AG75),AG75*60%,0)+IF(ISNUMBER(AH75),AH75*40%,0))/(IF(ISNUMBER(AG75),60%,0)+IF(ISNUMBER(AH75),40%,0)),2))</x:f>
        <x:v>43.71</x:v>
      </x:c>
      <x:c r="AP75" s="17" t="n">
        <x:f>IF(ISNUMBER(AK75),AK75,"")</x:f>
        <x:v>80</x:v>
      </x:c>
      <x:c r="AQ75" s="39" t="n">
        <x:f>IF(G75&lt;&gt;"入池",0,IF(ISNUMBER(I75),6%,0)+IF(ISNUMBER(K75),4.5%,0)+IF(ISNUMBER(L75),4.5%,0)+IF(ISNUMBER(Q75),8.4%,0)+IF(ISNUMBER(R75),5.6%,0)+IF(ISNUMBER(W75),3.6%,0)+IF(ISNUMBER(X75),2.4%,0)+IF(ISNUMBER(AC75),25%,0)+IF(ISNUMBER(AG75),18%,0)+IF(ISNUMBER(AH75),12%,0)+IF(ISNUMBER(AK75),10%,0))</x:f>
        <x:v>1</x:v>
      </x:c>
      <x:c r="AR75" s="17" t="n">
        <x:f>IF(AQ75=0,"",IF(ISNUMBER(I75),I75*6%,0)+IF(ISNUMBER(K75),K75*4.5%,0)+IF(ISNUMBER(L75),L75*4.5%,0)+IF(ISNUMBER(Q75),Q75*8.4%,0)+IF(ISNUMBER(R75),R75*5.6%,0)+IF(ISNUMBER(W75),W75*3.6%,0)+IF(ISNUMBER(X75),X75*2.4%,0)+IF(ISNUMBER(AC75),AC75*25%,0)+IF(ISNUMBER(AG75),AG75*18%,0)+IF(ISNUMBER(AH75),AH75*12%,0)+IF(ISNUMBER(AK75),AK75*10%,0))</x:f>
        <x:v>50.41595</x:v>
      </x:c>
      <x:c r="AS75" s="17" t="n">
        <x:f>IF(AQ75=0,"",ROUND(AR75/AQ75,2))</x:f>
        <x:v>50.42</x:v>
      </x:c>
      <x:c r="AT75" s="40" t="n">
        <x:f>IF(OR(G75&lt;&gt;"入池",NOT(ISNUMBER(AS75))),"",COUNTIFS($G$17:$G$219,"入池",$AS$17:$AS$219,"&gt;"&amp;AS75)+COUNTIFS($G$17:$G$219,"入池",$AS$17:$AS$219,AS75,$AQ$17:$AQ$219,"&gt;"&amp;AQ75)+COUNTIFS($G$17:G75,"入池",$AS$17:AS75,AS75,$AQ$17:AQ75,AQ75))</x:f>
        <x:v>145</x:v>
      </x:c>
      <x:c r="AU75" s="41" t="str">
        <x:f t="shared" si="2">IF(NOT(ISNUMBER(I75)),"管理人规模；","")&amp;IF(J75="","产品规模标识；","")&amp;IF(AND(F75&lt;3,NOT(ISNUMBER(O75))),"R_incep；","")&amp;IF(NOT(ISNUMBER(N75)),"近三年收益；","")&amp;IF(NOT(ISNUMBER(U75)),"近三年胜率；","")&amp;IF(AND(ISNUMBER(V75),OR(V75&lt;0,V75&gt;1)),"胜率窗口口径不一致；","")&amp;IF(NOT(ISNUMBER(AA75)),"近三年回撤；","")&amp;IF(NOT(ISNUMBER(AD75)),"短期卡玛；","")&amp;IF(AND(ISNUMBER(P75),NOT(ISNUMBER(AE75))),"DD_long不可识别；","")</x:f>
      </x:c>
      <x:c r="AV75" s="42" t="n">
        <x:v>0</x:v>
      </x:c>
      <x:c r="AW75" s="19" t="str">
        <x:v>金麦穗（山东）私募基金管理有限公司</x:v>
      </x:c>
      <x:c r="AX75" s="19" t="str">
        <x:v>2026-04-30</x:v>
      </x:c>
      <x:c r="AY75" s="19" t="str">
        <x:v>https://gs.amac.org.cn/amac-infodisc/res/pof/manager/101000032909.html</x:v>
      </x:c>
      <x:c r="AZ75" s="19" t="str">
        <x:v>金麦穗卓诚一号私募证券投资基金</x:v>
      </x:c>
      <x:c r="BA75" s="19" t="str">
        <x:v>2022-12-08</x:v>
      </x:c>
      <x:c r="BB75" s="19" t="str">
        <x:v>2026年第2季度季度更新信息</x:v>
      </x:c>
      <x:c r="BC75" s="19" t="str">
        <x:v>https://gs.amac.org.cn/amac-infodisc/res/pof/fund/2212081848110819.html</x:v>
      </x:c>
      <x:c r="BD75" s="19" t="str">
        <x:v>已匹配</x:v>
      </x:c>
      <x:c r="BE75"/>
      <x:c r="BF75"/>
    </x:row>
    <x:row r="76" ht="28" customHeight="1">
      <x:c r="A76" s="4" t="n">
        <x:v>60</x:v>
      </x:c>
      <x:c r="B76" s="15" t="str">
        <x:f>'sheet4-原始数据'!A61</x:f>
        <x:v>慕途稳健2号</x:v>
      </x:c>
      <x:c r="C76" s="15" t="str">
        <x:f>'sheet4-原始数据'!B61</x:f>
        <x:v>SXW938</x:v>
      </x:c>
      <x:c r="D76" s="15" t="str">
        <x:f>'sheet4-原始数据'!E61</x:f>
        <x:v>慕途基金</x:v>
      </x:c>
      <x:c r="E76" s="32" t="n">
        <x:f>IF(ISNUMBER('sheet4-原始数据'!F61),'sheet4-原始数据'!F61,"")</x:f>
        <x:v>44908</x:v>
      </x:c>
      <x:c r="F76" s="17" t="n">
        <x:f>IF(NOT(ISNUMBER(E76)),"",ROUND(('sheet1-指标体系'!$J$23-E76)/365.25,4))</x:f>
        <x:v>3.7591</x:v>
      </x:c>
      <x:c r="G76" s="4" t="str">
        <x:f t="shared" si="1">IF(NOT(ISNUMBER(F76)),"",IF(F76&lt;1,"不入池","入池"))</x:f>
        <x:v>入池</x:v>
      </x:c>
      <x:c r="H76" s="33" t="str">
        <x:v>10-20亿元</x:v>
      </x:c>
      <x:c r="I76" s="17" t="n">
        <x:f>IF(H76="","",IF(ISNUMBER(SEARCH("100亿元以上",H76)),100,IF(OR(ISNUMBER(SEARCH("20-50",H76)),ISNUMBER(SEARCH("50-100",H76)),ISNUMBER(SEARCH("20-100",H76))),90,IF(ISNUMBER(SEARCH("10-20",H76)),80,IF(ISNUMBER(SEARCH("5-10",H76)),70,IF(ISNUMBER(SEARCH("0-5",H76)),60,""))))))</x:f>
        <x:v>80</x:v>
      </x:c>
      <x:c r="J76" s="34" t="str">
        <x:v>无低于1000万元标识</x:v>
      </x:c>
      <x:c r="K76" s="17" t="n">
        <x:f>IF(J76="","",IF(J76="低于1000万元",0,100))</x:f>
        <x:v>100</x:v>
      </x:c>
      <x:c r="L76" s="17" t="n">
        <x:f>IF(NOT(ISNUMBER(F76)),"",IF(F76&lt;1,"",IF(F76&lt;3,70,100)))</x:f>
        <x:v>100</x:v>
      </x:c>
      <x:c r="M76" s="35" t="n">
        <x:f>IF(ISNUMBER('sheet4-原始数据'!G61),'sheet4-原始数据'!G61,"")</x:f>
        <x:v>0.07629999999999999</x:v>
      </x:c>
      <x:c r="N76" s="35" t="n">
        <x:f>IF(ISNUMBER('sheet4-原始数据'!H61),'sheet4-原始数据'!H61,"")</x:f>
        <x:v>0.076</x:v>
      </x:c>
      <x:c r="O76" s="36" t="str">
        <x:f>IF(ISNUMBER('sheet4-原始数据'!Q61),'sheet4-原始数据'!Q61,"")</x:f>
      </x:c>
      <x:c r="P76" s="37" t="n">
        <x:f>IF($G76&lt;&gt;"入池","",IF($F76&gt;=3,IF(OR(NOT(ISNUMBER($M76)),NOT(ISNUMBER($N76)),1+$M76&lt;=0,1+$N76&lt;0),"",((1+$N76)^3/(1+$M76))^(1/2)-1),IF(OR($F76&lt;=1,NOT(ISNUMBER($M76)),NOT(ISNUMBER($O76)),1+$M76&lt;=0,1+$O76&lt;0),"",((1+$O76)^$F76/(1+$M76))^(1/($F76-1))-1)))</x:f>
        <x:v>0.07585003135888524</x:v>
      </x:c>
      <x:c r="Q76" s="17" t="n">
        <x:f>IF(OR($G76&lt;&gt;"入池",NOT(ISNUMBER(M76))),"",IF(COUNTIFS($G$17:$G$219,"入池",$M$17:$M$219,"&gt;=-1E+307",$M$17:$M$219,"&lt;=1E+307")&lt;=1,100,ROUND(100*(COUNTIFS($G$17:$G$219,"入池",$M$17:$M$219,"&gt;=-1E+307",$M$17:$M$219,"&lt;"&amp;M76)+COUNTIFS($G$17:$G$219,"入池",$M$17:$M$219,M76,$M$17:$M$219,"&gt;=-1E+307",$M$17:$M$219,"&lt;=1E+307")/2-0.5)/(COUNTIFS($G$17:$G$219,"入池",$M$17:$M$219,"&gt;=-1E+307",$M$17:$M$219,"&lt;=1E+307")-1),2)))</x:f>
        <x:v>68.81</x:v>
      </x:c>
      <x:c r="R76" s="17" t="n">
        <x:f>IF(OR($G76&lt;&gt;"入池",NOT(ISNUMBER(P76))),"",IF(COUNTIFS($G$17:$G$219,"入池",$P$17:$P$219,"&gt;=-1E+307",$P$17:$P$219,"&lt;=1E+307")&lt;=1,100,ROUND(100*(COUNTIFS($G$17:$G$219,"入池",$P$17:$P$219,"&gt;=-1E+307",$P$17:$P$219,"&lt;"&amp;P76)+COUNTIFS($G$17:$G$219,"入池",$P$17:$P$219,P76,$P$17:$P$219,"&gt;=-1E+307",$P$17:$P$219,"&lt;=1E+307")/2-0.5)/(COUNTIFS($G$17:$G$219,"入池",$P$17:$P$219,"&gt;=-1E+307",$P$17:$P$219,"&lt;=1E+307")-1),2)))</x:f>
        <x:v>61.39</x:v>
      </x:c>
      <x:c r="S76" s="17" t="n">
        <x:f>IF(NOT(ISNUMBER(Q76)),"",IF(NOT(ISNUMBER(R76)),Q76,ROUND(Q76*'sheet1-指标体系'!$J$8+R76*'sheet1-指标体系'!$J$9,2)))</x:f>
        <x:v>65.84</x:v>
      </x:c>
      <x:c r="T76" s="35" t="n">
        <x:f>IF(ISNUMBER('sheet4-原始数据'!J61),'sheet4-原始数据'!J61,"")</x:f>
        <x:v>0.9231</x:v>
      </x:c>
      <x:c r="U76" s="35" t="n">
        <x:f>IF(ISNUMBER('sheet4-原始数据'!I61),'sheet4-原始数据'!I61,"")</x:f>
        <x:v>0.973</x:v>
      </x:c>
      <x:c r="V76" s="37" t="n">
        <x:f>IF(OR(NOT(ISNUMBER(T76)),NOT(ISNUMBER(U76))),"",(U76*'sheet1-指标体系'!$J$6-T76*'sheet1-指标体系'!$J$5)/'sheet1-指标体系'!$J$7)</x:f>
        <x:v>1.0000291666666665</x:v>
      </x:c>
      <x:c r="W76" s="17" t="n">
        <x:f>IF(NOT(ISNUMBER(T76)),"",T76*100)</x:f>
        <x:v>92.31</x:v>
      </x:c>
      <x:c r="X76" s="17" t="str">
        <x:f>IF($G76&lt;&gt;"入池","",IF(AND(ISNUMBER(V76),V76&gt;=0,V76&lt;=1),V76*100,IF(MAX(0,($F76-1)*12)&lt;6,100,"")))</x:f>
      </x:c>
      <x:c r="Y76" s="17" t="n">
        <x:f>IF(NOT(ISNUMBER(W76)),"",IF(NOT(ISNUMBER(X76)),W76,ROUND(W76*'sheet1-指标体系'!$J$8+X76*'sheet1-指标体系'!$J$9,2)))</x:f>
        <x:v>92.31</x:v>
      </x:c>
      <x:c r="Z76" s="37" t="n">
        <x:f>IF(OR(NOT(ISNUMBER(M76)),NOT(ISNUMBER(AD76)),AD76=0),"",ABS(M76/AD76))</x:f>
        <x:v>0.007717516638682661</x:v>
      </x:c>
      <x:c r="AA76" s="35" t="n">
        <x:f>IF(ISNUMBER('sheet4-原始数据'!K61),'sheet4-原始数据'!K61,"")</x:f>
        <x:v>0.0077</x:v>
      </x:c>
      <x:c r="AB76" s="37" t="n">
        <x:f>IF(COUNT(Z76:AA76)=0,"",MAX(Z76:AA76))</x:f>
        <x:v>0.007717516638682661</x:v>
      </x:c>
      <x:c r="AC76" s="17" t="n">
        <x:f>IF(OR($G76&lt;&gt;"入池",NOT(ISNUMBER(AB76))),"",IF(COUNTIFS($G$17:$G$219,"入池",$AB$17:$AB$219,"&gt;=-1E+307",$AB$17:$AB$219,"&lt;=1E+307")&lt;=1,100,ROUND(100*(COUNTIFS($G$17:$G$219,"入池",$AB$17:$AB$219,"&lt;=1E+307",$AB$17:$AB$219,"&gt;"&amp;AB76)+COUNTIFS($G$17:$G$219,"入池",$AB$17:$AB$219,AB76,$AB$17:$AB$219,"&gt;=-1E+307",$AB$17:$AB$219,"&lt;=1E+307")/2-0.5)/(COUNTIFS($G$17:$G$219,"入池",$AB$17:$AB$219,"&gt;=-1E+307",$AB$17:$AB$219,"&lt;=1E+307")-1),2)))</x:f>
        <x:v>90.59</x:v>
      </x:c>
      <x:c r="AD76" s="38" t="n">
        <x:f>IF(ISNUMBER('sheet4-原始数据'!M61),'sheet4-原始数据'!M61,"")</x:f>
        <x:v>9.8866</x:v>
      </x:c>
      <x:c r="AE76" s="37" t="str">
        <x:f>IF(OR(NOT(ISNUMBER(P76)),NOT(ISNUMBER(AA76)),NOT(ISNUMBER(Z76))),"",IF(AA76&gt;Z76+'sheet1-指标体系'!$J$11,AA76,""))</x:f>
      </x:c>
      <x:c r="AF76" s="17" t="str">
        <x:f>IF(OR(NOT(ISNUMBER(P76)),NOT(ISNUMBER(AE76)),AE76=0),"",P76/AE76)</x:f>
      </x:c>
      <x:c r="AG76" s="17" t="n">
        <x:f>IF(OR($G76&lt;&gt;"入池",NOT(ISNUMBER(AD76))),"",IF(COUNTIFS($G$17:$G$219,"入池",$AD$17:$AD$219,"&gt;=-1E+307",$AD$17:$AD$219,"&lt;=1E+307")&lt;=1,100,ROUND(100*(COUNTIFS($G$17:$G$219,"入池",$AD$17:$AD$219,"&gt;=-1E+307",$AD$17:$AD$219,"&lt;"&amp;AD76)+COUNTIFS($G$17:$G$219,"入池",$AD$17:$AD$219,AD76,$AD$17:$AD$219,"&gt;=-1E+307",$AD$17:$AD$219,"&lt;=1E+307")/2-0.5)/(COUNTIFS($G$17:$G$219,"入池",$AD$17:$AD$219,"&gt;=-1E+307",$AD$17:$AD$219,"&lt;=1E+307")-1),2)))</x:f>
        <x:v>78.11</x:v>
      </x:c>
      <x:c r="AH76" s="17" t="str">
        <x:f>IF(OR($G76&lt;&gt;"入池",NOT(ISNUMBER(AF76))),"",IF(COUNTIFS($G$17:$G$219,"入池",$AF$17:$AF$219,"&gt;=-1E+307",$AF$17:$AF$219,"&lt;=1E+307")&lt;=1,100,ROUND(100*(COUNTIFS($G$17:$G$219,"入池",$AF$17:$AF$219,"&gt;=-1E+307",$AF$17:$AF$219,"&lt;"&amp;AF76)+COUNTIFS($G$17:$G$219,"入池",$AF$17:$AF$219,AF76,$AF$17:$AF$219,"&gt;=-1E+307",$AF$17:$AF$219,"&lt;=1E+307")/2-0.5)/(COUNTIFS($G$17:$G$219,"入池",$AF$17:$AF$219,"&gt;=-1E+307",$AF$17:$AF$219,"&lt;=1E+307")-1),2)))</x:f>
      </x:c>
      <x:c r="AI76" s="17" t="n">
        <x:f>IF(NOT(ISNUMBER(AG76)),"",IF(NOT(ISNUMBER(AH76)),AG76,ROUND(AG76*'sheet1-指标体系'!$J$8+AH76*'sheet1-指标体系'!$J$9,2)))</x:f>
        <x:v>78.11</x:v>
      </x:c>
      <x:c r="AJ76" s="37" t="n">
        <x:f>IF(NOT(ISNUMBER(F76)),"",IF(F76&gt;=3,IF(NOT(ISNUMBER(N76)),"",N76),IF(NOT(ISNUMBER(O76)),"",O76)))</x:f>
        <x:v>0.076</x:v>
      </x:c>
      <x:c r="AK76" s="17" t="n">
        <x:f>IF(OR(G76&lt;&gt;"入池",NOT(ISNUMBER(M76)),NOT(ISNUMBER(AJ76))),"",IF(M76&gt;=AJ76,100,IF(AJ76-M76&lt;'sheet1-指标体系'!$J$10,80,60)))</x:f>
        <x:v>100</x:v>
      </x:c>
      <x:c r="AL76" s="17" t="n">
        <x:f>IF(COUNT(I76,K76,L76)=0,"",ROUND((IF(ISNUMBER(I76),I76*40%,0)+IF(ISNUMBER(K76),K76*30%,0)+IF(ISNUMBER(L76),L76*30%,0))/(IF(ISNUMBER(I76),40%,0)+IF(ISNUMBER(K76),30%,0)+IF(ISNUMBER(L76),30%,0)),2))</x:f>
        <x:v>92</x:v>
      </x:c>
      <x:c r="AM76" s="17" t="n">
        <x:f>IF(COUNT(Q76,R76,W76,X76)=0,"",ROUND((IF(ISNUMBER(Q76),Q76*42%,0)+IF(ISNUMBER(R76),R76*28%,0)+IF(ISNUMBER(W76),W76*18%,0)+IF(ISNUMBER(X76),X76*12%,0))/(IF(ISNUMBER(Q76),42%,0)+IF(ISNUMBER(R76),28%,0)+IF(ISNUMBER(W76),18%,0)+IF(ISNUMBER(X76),12%,0)),2))</x:f>
        <x:v>71.26</x:v>
      </x:c>
      <x:c r="AN76" s="17" t="n">
        <x:f>IF(ISNUMBER(AC76),AC76,"")</x:f>
        <x:v>90.59</x:v>
      </x:c>
      <x:c r="AO76" s="17" t="n">
        <x:f>IF(COUNT(AG76,AH76)=0,"",ROUND((IF(ISNUMBER(AG76),AG76*60%,0)+IF(ISNUMBER(AH76),AH76*40%,0))/(IF(ISNUMBER(AG76),60%,0)+IF(ISNUMBER(AH76),40%,0)),2))</x:f>
        <x:v>78.11</x:v>
      </x:c>
      <x:c r="AP76" s="17" t="n">
        <x:f>IF(ISNUMBER(AK76),AK76,"")</x:f>
        <x:v>100</x:v>
      </x:c>
      <x:c r="AQ76" s="39" t="n">
        <x:f>IF(G76&lt;&gt;"入池",0,IF(ISNUMBER(I76),6%,0)+IF(ISNUMBER(K76),4.5%,0)+IF(ISNUMBER(L76),4.5%,0)+IF(ISNUMBER(Q76),8.4%,0)+IF(ISNUMBER(R76),5.6%,0)+IF(ISNUMBER(W76),3.6%,0)+IF(ISNUMBER(X76),2.4%,0)+IF(ISNUMBER(AC76),25%,0)+IF(ISNUMBER(AG76),18%,0)+IF(ISNUMBER(AH76),12%,0)+IF(ISNUMBER(AK76),10%,0))</x:f>
        <x:v>0.856</x:v>
      </x:c>
      <x:c r="AR76" s="17" t="n">
        <x:f>IF(AQ76=0,"",IF(ISNUMBER(I76),I76*6%,0)+IF(ISNUMBER(K76),K76*4.5%,0)+IF(ISNUMBER(L76),L76*4.5%,0)+IF(ISNUMBER(Q76),Q76*8.4%,0)+IF(ISNUMBER(R76),R76*5.6%,0)+IF(ISNUMBER(W76),W76*3.6%,0)+IF(ISNUMBER(X76),X76*2.4%,0)+IF(ISNUMBER(AC76),AC76*25%,0)+IF(ISNUMBER(AG76),AG76*18%,0)+IF(ISNUMBER(AH76),AH76*12%,0)+IF(ISNUMBER(AK76),AK76*10%,0))</x:f>
        <x:v>73.04834</x:v>
      </x:c>
      <x:c r="AS76" s="17" t="n">
        <x:f>IF(AQ76=0,"",ROUND(AR76/AQ76,2))</x:f>
        <x:v>85.34</x:v>
      </x:c>
      <x:c r="AT76" s="40" t="n">
        <x:f>IF(OR(G76&lt;&gt;"入池",NOT(ISNUMBER(AS76))),"",COUNTIFS($G$17:$G$219,"入池",$AS$17:$AS$219,"&gt;"&amp;AS76)+COUNTIFS($G$17:$G$219,"入池",$AS$17:$AS$219,AS76,$AQ$17:$AQ$219,"&gt;"&amp;AQ76)+COUNTIFS($G$17:G76,"入池",$AS$17:AS76,AS76,$AQ$17:AQ76,AQ76))</x:f>
        <x:v>18</x:v>
      </x:c>
      <x:c r="AU76" s="41" t="str">
        <x:f t="shared" si="2">IF(NOT(ISNUMBER(I76)),"管理人规模；","")&amp;IF(J76="","产品规模标识；","")&amp;IF(AND(F76&lt;3,NOT(ISNUMBER(O76))),"R_incep；","")&amp;IF(NOT(ISNUMBER(N76)),"近三年收益；","")&amp;IF(NOT(ISNUMBER(U76)),"近三年胜率；","")&amp;IF(AND(ISNUMBER(V76),OR(V76&lt;0,V76&gt;1)),"胜率窗口口径不一致；","")&amp;IF(NOT(ISNUMBER(AA76)),"近三年回撤；","")&amp;IF(NOT(ISNUMBER(AD76)),"短期卡玛；","")&amp;IF(AND(ISNUMBER(P76),NOT(ISNUMBER(AE76))),"DD_long不可识别；","")</x:f>
        <x:v>胜率窗口口径不一致；DD_long不可识别；</x:v>
      </x:c>
      <x:c r="AV76" s="42" t="n">
        <x:v>10</x:v>
      </x:c>
      <x:c r="AW76" s="19" t="str">
        <x:v>上海慕途私募基金管理有限公司</x:v>
      </x:c>
      <x:c r="AX76" s="19" t="str">
        <x:v>2026-06-12</x:v>
      </x:c>
      <x:c r="AY76" s="19" t="str">
        <x:v>https://gs.amac.org.cn/amac-infodisc/res/pof/manager/2106221238106983.html</x:v>
      </x:c>
      <x:c r="AZ76" s="19" t="str">
        <x:v>慕途稳健2号私募证券投资基金</x:v>
      </x:c>
      <x:c r="BA76" s="19" t="str">
        <x:v>2026-05-14</x:v>
      </x:c>
      <x:c r="BB76" s="19"/>
      <x:c r="BC76" s="19" t="str">
        <x:v>https://gs.amac.org.cn/amac-infodisc/res/pof/fund/2212152201105746.html</x:v>
      </x:c>
      <x:c r="BD76" s="19" t="str">
        <x:v>已匹配</x:v>
      </x:c>
      <x:c r="BE76"/>
      <x:c r="BF76"/>
    </x:row>
    <x:row r="77" ht="28" customHeight="1">
      <x:c r="A77" s="4" t="n">
        <x:v>61</x:v>
      </x:c>
      <x:c r="B77" s="15" t="str">
        <x:f>'sheet4-原始数据'!A62</x:f>
        <x:v>佳泽信享5号</x:v>
      </x:c>
      <x:c r="C77" s="15" t="str">
        <x:f>'sheet4-原始数据'!B62</x:f>
        <x:v>SZC395</x:v>
      </x:c>
      <x:c r="D77" s="15" t="str">
        <x:f>'sheet4-原始数据'!E62</x:f>
        <x:v>海南佳泽</x:v>
      </x:c>
      <x:c r="E77" s="32" t="n">
        <x:f>IF(ISNUMBER('sheet4-原始数据'!F62),'sheet4-原始数据'!F62,"")</x:f>
        <x:v>44936</x:v>
      </x:c>
      <x:c r="F77" s="17" t="n">
        <x:f>IF(NOT(ISNUMBER(E77)),"",ROUND(('sheet1-指标体系'!$J$23-E77)/365.25,4))</x:f>
        <x:v>3.6824</x:v>
      </x:c>
      <x:c r="G77" s="4" t="str">
        <x:f t="shared" si="1">IF(NOT(ISNUMBER(F77)),"",IF(F77&lt;1,"不入池","入池"))</x:f>
        <x:v>入池</x:v>
      </x:c>
      <x:c r="H77" s="33" t="str">
        <x:v>0-5亿元</x:v>
      </x:c>
      <x:c r="I77" s="17" t="n">
        <x:f>IF(H77="","",IF(ISNUMBER(SEARCH("100亿元以上",H77)),100,IF(OR(ISNUMBER(SEARCH("20-50",H77)),ISNUMBER(SEARCH("50-100",H77)),ISNUMBER(SEARCH("20-100",H77))),90,IF(ISNUMBER(SEARCH("10-20",H77)),80,IF(ISNUMBER(SEARCH("5-10",H77)),70,IF(ISNUMBER(SEARCH("0-5",H77)),60,""))))))</x:f>
        <x:v>60</x:v>
      </x:c>
      <x:c r="J77" s="34" t="str">
        <x:v>无低于1000万元标识</x:v>
      </x:c>
      <x:c r="K77" s="17" t="n">
        <x:f>IF(J77="","",IF(J77="低于1000万元",0,100))</x:f>
        <x:v>100</x:v>
      </x:c>
      <x:c r="L77" s="17" t="n">
        <x:f>IF(NOT(ISNUMBER(F77)),"",IF(F77&lt;1,"",IF(F77&lt;3,70,100)))</x:f>
        <x:v>100</x:v>
      </x:c>
      <x:c r="M77" s="35" t="n">
        <x:f>IF(ISNUMBER('sheet4-原始数据'!G62),'sheet4-原始数据'!G62,"")</x:f>
        <x:v>0.0629</x:v>
      </x:c>
      <x:c r="N77" s="35" t="n">
        <x:f>IF(ISNUMBER('sheet4-原始数据'!H62),'sheet4-原始数据'!H62,"")</x:f>
        <x:v>0.0478</x:v>
      </x:c>
      <x:c r="O77" s="36" t="str">
        <x:f>IF(ISNUMBER('sheet4-原始数据'!Q62),'sheet4-原始数据'!Q62,"")</x:f>
      </x:c>
      <x:c r="P77" s="37" t="n">
        <x:f>IF($G77&lt;&gt;"入池","",IF($F77&gt;=3,IF(OR(NOT(ISNUMBER($M77)),NOT(ISNUMBER($N77)),1+$M77&lt;=0,1+$N77&lt;0),"",((1+$N77)^3/(1+$M77))^(1/2)-1),IF(OR($F77&lt;=1,NOT(ISNUMBER($M77)),NOT(ISNUMBER($O77)),1+$M77&lt;=0,1+$O77&lt;0),"",((1+$O77)^$F77/(1+$M77))^(1/($F77-1))-1)))</x:f>
        <x:v>0.04033063532465242</x:v>
      </x:c>
      <x:c r="Q77" s="17" t="n">
        <x:f>IF(OR($G77&lt;&gt;"入池",NOT(ISNUMBER(M77))),"",IF(COUNTIFS($G$17:$G$219,"入池",$M$17:$M$219,"&gt;=-1E+307",$M$17:$M$219,"&lt;=1E+307")&lt;=1,100,ROUND(100*(COUNTIFS($G$17:$G$219,"入池",$M$17:$M$219,"&gt;=-1E+307",$M$17:$M$219,"&lt;"&amp;M77)+COUNTIFS($G$17:$G$219,"入池",$M$17:$M$219,M77,$M$17:$M$219,"&gt;=-1E+307",$M$17:$M$219,"&lt;=1E+307")/2-0.5)/(COUNTIFS($G$17:$G$219,"入池",$M$17:$M$219,"&gt;=-1E+307",$M$17:$M$219,"&lt;=1E+307")-1),2)))</x:f>
        <x:v>56.93</x:v>
      </x:c>
      <x:c r="R77" s="17" t="n">
        <x:f>IF(OR($G77&lt;&gt;"入池",NOT(ISNUMBER(P77))),"",IF(COUNTIFS($G$17:$G$219,"入池",$P$17:$P$219,"&gt;=-1E+307",$P$17:$P$219,"&lt;=1E+307")&lt;=1,100,ROUND(100*(COUNTIFS($G$17:$G$219,"入池",$P$17:$P$219,"&gt;=-1E+307",$P$17:$P$219,"&lt;"&amp;P77)+COUNTIFS($G$17:$G$219,"入池",$P$17:$P$219,P77,$P$17:$P$219,"&gt;=-1E+307",$P$17:$P$219,"&lt;=1E+307")/2-0.5)/(COUNTIFS($G$17:$G$219,"入池",$P$17:$P$219,"&gt;=-1E+307",$P$17:$P$219,"&lt;=1E+307")-1),2)))</x:f>
        <x:v>27.23</x:v>
      </x:c>
      <x:c r="S77" s="17" t="n">
        <x:f>IF(NOT(ISNUMBER(Q77)),"",IF(NOT(ISNUMBER(R77)),Q77,ROUND(Q77*'sheet1-指标体系'!$J$8+R77*'sheet1-指标体系'!$J$9,2)))</x:f>
        <x:v>45.05</x:v>
      </x:c>
      <x:c r="T77" s="35" t="n">
        <x:f>IF(ISNUMBER('sheet4-原始数据'!J62),'sheet4-原始数据'!J62,"")</x:f>
        <x:v>0.8462000000000001</x:v>
      </x:c>
      <x:c r="U77" s="35" t="n">
        <x:f>IF(ISNUMBER('sheet4-原始数据'!I62),'sheet4-原始数据'!I62,"")</x:f>
        <x:v>0.7027</x:v>
      </x:c>
      <x:c r="V77" s="37" t="n">
        <x:f>IF(OR(NOT(ISNUMBER(T77)),NOT(ISNUMBER(U77))),"",(U77*'sheet1-指标体系'!$J$6-T77*'sheet1-指标体系'!$J$5)/'sheet1-指标体系'!$J$7)</x:f>
        <x:v>0.6249708333333334</x:v>
      </x:c>
      <x:c r="W77" s="17" t="n">
        <x:f>IF(NOT(ISNUMBER(T77)),"",T77*100)</x:f>
        <x:v>84.62</x:v>
      </x:c>
      <x:c r="X77" s="17" t="n">
        <x:f>IF($G77&lt;&gt;"入池","",IF(AND(ISNUMBER(V77),V77&gt;=0,V77&lt;=1),V77*100,IF(MAX(0,($F77-1)*12)&lt;6,100,"")))</x:f>
        <x:v>62.497083333333336</x:v>
      </x:c>
      <x:c r="Y77" s="17" t="n">
        <x:f>IF(NOT(ISNUMBER(W77)),"",IF(NOT(ISNUMBER(X77)),W77,ROUND(W77*'sheet1-指标体系'!$J$8+X77*'sheet1-指标体系'!$J$9,2)))</x:f>
        <x:v>75.77</x:v>
      </x:c>
      <x:c r="Z77" s="37" t="n">
        <x:f>IF(OR(NOT(ISNUMBER(M77)),NOT(ISNUMBER(AD77)),AD77=0),"",ABS(M77/AD77))</x:f>
        <x:v>0.009405044931891924</x:v>
      </x:c>
      <x:c r="AA77" s="35" t="n">
        <x:f>IF(ISNUMBER('sheet4-原始数据'!K62),'sheet4-原始数据'!K62,"")</x:f>
        <x:v>0.0248</x:v>
      </x:c>
      <x:c r="AB77" s="37" t="n">
        <x:f>IF(COUNT(Z77:AA77)=0,"",MAX(Z77:AA77))</x:f>
        <x:v>0.0248</x:v>
      </x:c>
      <x:c r="AC77" s="17" t="n">
        <x:f>IF(OR($G77&lt;&gt;"入池",NOT(ISNUMBER(AB77))),"",IF(COUNTIFS($G$17:$G$219,"入池",$AB$17:$AB$219,"&gt;=-1E+307",$AB$17:$AB$219,"&lt;=1E+307")&lt;=1,100,ROUND(100*(COUNTIFS($G$17:$G$219,"入池",$AB$17:$AB$219,"&lt;=1E+307",$AB$17:$AB$219,"&gt;"&amp;AB77)+COUNTIFS($G$17:$G$219,"入池",$AB$17:$AB$219,AB77,$AB$17:$AB$219,"&gt;=-1E+307",$AB$17:$AB$219,"&lt;=1E+307")/2-0.5)/(COUNTIFS($G$17:$G$219,"入池",$AB$17:$AB$219,"&gt;=-1E+307",$AB$17:$AB$219,"&lt;=1E+307")-1),2)))</x:f>
        <x:v>68.32</x:v>
      </x:c>
      <x:c r="AD77" s="38" t="n">
        <x:f>IF(ISNUMBER('sheet4-原始数据'!M62),'sheet4-原始数据'!M62,"")</x:f>
        <x:v>6.6879</x:v>
      </x:c>
      <x:c r="AE77" s="37" t="n">
        <x:f>IF(OR(NOT(ISNUMBER(P77)),NOT(ISNUMBER(AA77)),NOT(ISNUMBER(Z77))),"",IF(AA77&gt;Z77+'sheet1-指标体系'!$J$11,AA77,""))</x:f>
        <x:v>0.0248</x:v>
      </x:c>
      <x:c r="AF77" s="17" t="n">
        <x:f>IF(OR(NOT(ISNUMBER(P77)),NOT(ISNUMBER(AE77)),AE77=0),"",P77/AE77)</x:f>
        <x:v>1.6262352953488879</x:v>
      </x:c>
      <x:c r="AG77" s="17" t="n">
        <x:f>IF(OR($G77&lt;&gt;"入池",NOT(ISNUMBER(AD77))),"",IF(COUNTIFS($G$17:$G$219,"入池",$AD$17:$AD$219,"&gt;=-1E+307",$AD$17:$AD$219,"&lt;=1E+307")&lt;=1,100,ROUND(100*(COUNTIFS($G$17:$G$219,"入池",$AD$17:$AD$219,"&gt;=-1E+307",$AD$17:$AD$219,"&lt;"&amp;AD77)+COUNTIFS($G$17:$G$219,"入池",$AD$17:$AD$219,AD77,$AD$17:$AD$219,"&gt;=-1E+307",$AD$17:$AD$219,"&lt;=1E+307")/2-0.5)/(COUNTIFS($G$17:$G$219,"入池",$AD$17:$AD$219,"&gt;=-1E+307",$AD$17:$AD$219,"&lt;=1E+307")-1),2)))</x:f>
        <x:v>71.14</x:v>
      </x:c>
      <x:c r="AH77" s="17" t="n">
        <x:f>IF(OR($G77&lt;&gt;"入池",NOT(ISNUMBER(AF77))),"",IF(COUNTIFS($G$17:$G$219,"入池",$AF$17:$AF$219,"&gt;=-1E+307",$AF$17:$AF$219,"&lt;=1E+307")&lt;=1,100,ROUND(100*(COUNTIFS($G$17:$G$219,"入池",$AF$17:$AF$219,"&gt;=-1E+307",$AF$17:$AF$219,"&lt;"&amp;AF77)+COUNTIFS($G$17:$G$219,"入池",$AF$17:$AF$219,AF77,$AF$17:$AF$219,"&gt;=-1E+307",$AF$17:$AF$219,"&lt;=1E+307")/2-0.5)/(COUNTIFS($G$17:$G$219,"入池",$AF$17:$AF$219,"&gt;=-1E+307",$AF$17:$AF$219,"&lt;=1E+307")-1),2)))</x:f>
        <x:v>56.93</x:v>
      </x:c>
      <x:c r="AI77" s="17" t="n">
        <x:f>IF(NOT(ISNUMBER(AG77)),"",IF(NOT(ISNUMBER(AH77)),AG77,ROUND(AG77*'sheet1-指标体系'!$J$8+AH77*'sheet1-指标体系'!$J$9,2)))</x:f>
        <x:v>65.46</x:v>
      </x:c>
      <x:c r="AJ77" s="37" t="n">
        <x:f>IF(NOT(ISNUMBER(F77)),"",IF(F77&gt;=3,IF(NOT(ISNUMBER(N77)),"",N77),IF(NOT(ISNUMBER(O77)),"",O77)))</x:f>
        <x:v>0.0478</x:v>
      </x:c>
      <x:c r="AK77" s="17" t="n">
        <x:f>IF(OR(G77&lt;&gt;"入池",NOT(ISNUMBER(M77)),NOT(ISNUMBER(AJ77))),"",IF(M77&gt;=AJ77,100,IF(AJ77-M77&lt;'sheet1-指标体系'!$J$10,80,60)))</x:f>
        <x:v>100</x:v>
      </x:c>
      <x:c r="AL77" s="17" t="n">
        <x:f>IF(COUNT(I77,K77,L77)=0,"",ROUND((IF(ISNUMBER(I77),I77*40%,0)+IF(ISNUMBER(K77),K77*30%,0)+IF(ISNUMBER(L77),L77*30%,0))/(IF(ISNUMBER(I77),40%,0)+IF(ISNUMBER(K77),30%,0)+IF(ISNUMBER(L77),30%,0)),2))</x:f>
        <x:v>84</x:v>
      </x:c>
      <x:c r="AM77" s="17" t="n">
        <x:f>IF(COUNT(Q77,R77,W77,X77)=0,"",ROUND((IF(ISNUMBER(Q77),Q77*42%,0)+IF(ISNUMBER(R77),R77*28%,0)+IF(ISNUMBER(W77),W77*18%,0)+IF(ISNUMBER(X77),X77*12%,0))/(IF(ISNUMBER(Q77),42%,0)+IF(ISNUMBER(R77),28%,0)+IF(ISNUMBER(W77),18%,0)+IF(ISNUMBER(X77),12%,0)),2))</x:f>
        <x:v>54.27</x:v>
      </x:c>
      <x:c r="AN77" s="17" t="n">
        <x:f>IF(ISNUMBER(AC77),AC77,"")</x:f>
        <x:v>68.32</x:v>
      </x:c>
      <x:c r="AO77" s="17" t="n">
        <x:f>IF(COUNT(AG77,AH77)=0,"",ROUND((IF(ISNUMBER(AG77),AG77*60%,0)+IF(ISNUMBER(AH77),AH77*40%,0))/(IF(ISNUMBER(AG77),60%,0)+IF(ISNUMBER(AH77),40%,0)),2))</x:f>
        <x:v>65.46</x:v>
      </x:c>
      <x:c r="AP77" s="17" t="n">
        <x:f>IF(ISNUMBER(AK77),AK77,"")</x:f>
        <x:v>100</x:v>
      </x:c>
      <x:c r="AQ77" s="39" t="n">
        <x:f>IF(G77&lt;&gt;"入池",0,IF(ISNUMBER(I77),6%,0)+IF(ISNUMBER(K77),4.5%,0)+IF(ISNUMBER(L77),4.5%,0)+IF(ISNUMBER(Q77),8.4%,0)+IF(ISNUMBER(R77),5.6%,0)+IF(ISNUMBER(W77),3.6%,0)+IF(ISNUMBER(X77),2.4%,0)+IF(ISNUMBER(AC77),25%,0)+IF(ISNUMBER(AG77),18%,0)+IF(ISNUMBER(AH77),12%,0)+IF(ISNUMBER(AK77),10%,0))</x:f>
        <x:v>1</x:v>
      </x:c>
      <x:c r="AR77" s="17" t="n">
        <x:f>IF(AQ77=0,"",IF(ISNUMBER(I77),I77*6%,0)+IF(ISNUMBER(K77),K77*4.5%,0)+IF(ISNUMBER(L77),L77*4.5%,0)+IF(ISNUMBER(Q77),Q77*8.4%,0)+IF(ISNUMBER(R77),R77*5.6%,0)+IF(ISNUMBER(W77),W77*3.6%,0)+IF(ISNUMBER(X77),X77*2.4%,0)+IF(ISNUMBER(AC77),AC77*25%,0)+IF(ISNUMBER(AG77),AG77*18%,0)+IF(ISNUMBER(AH77),AH77*12%,0)+IF(ISNUMBER(AK77),AK77*10%,0))</x:f>
        <x:v>70.17005</x:v>
      </x:c>
      <x:c r="AS77" s="17" t="n">
        <x:f>IF(AQ77=0,"",ROUND(AR77/AQ77,2))</x:f>
        <x:v>70.17</x:v>
      </x:c>
      <x:c r="AT77" s="40" t="n">
        <x:f>IF(OR(G77&lt;&gt;"入池",NOT(ISNUMBER(AS77))),"",COUNTIFS($G$17:$G$219,"入池",$AS$17:$AS$219,"&gt;"&amp;AS77)+COUNTIFS($G$17:$G$219,"入池",$AS$17:$AS$219,AS77,$AQ$17:$AQ$219,"&gt;"&amp;AQ77)+COUNTIFS($G$17:G77,"入池",$AS$17:AS77,AS77,$AQ$17:AQ77,AQ77))</x:f>
        <x:v>71</x:v>
      </x:c>
      <x:c r="AU77" s="41" t="str">
        <x:f t="shared" si="2">IF(NOT(ISNUMBER(I77)),"管理人规模；","")&amp;IF(J77="","产品规模标识；","")&amp;IF(AND(F77&lt;3,NOT(ISNUMBER(O77))),"R_incep；","")&amp;IF(NOT(ISNUMBER(N77)),"近三年收益；","")&amp;IF(NOT(ISNUMBER(U77)),"近三年胜率；","")&amp;IF(AND(ISNUMBER(V77),OR(V77&lt;0,V77&gt;1)),"胜率窗口口径不一致；","")&amp;IF(NOT(ISNUMBER(AA77)),"近三年回撤；","")&amp;IF(NOT(ISNUMBER(AD77)),"短期卡玛；","")&amp;IF(AND(ISNUMBER(P77),NOT(ISNUMBER(AE77))),"DD_long不可识别；","")</x:f>
      </x:c>
      <x:c r="AV77" s="42" t="n">
        <x:v>0</x:v>
      </x:c>
      <x:c r="AW77" s="19" t="str">
        <x:v>海南佳泽私募基金管理合伙企业（有限合伙）</x:v>
      </x:c>
      <x:c r="AX77" s="19" t="str">
        <x:v>2026-08-07</x:v>
      </x:c>
      <x:c r="AY77" s="19" t="str">
        <x:v>https://gs.amac.org.cn/amac-infodisc/res/pof/manager/2202171443109430.html</x:v>
      </x:c>
      <x:c r="AZ77" s="19" t="str">
        <x:v>佳泽信享5号私募证券投资基金</x:v>
      </x:c>
      <x:c r="BA77" s="19" t="str">
        <x:v>2025-07-11</x:v>
      </x:c>
      <x:c r="BB77" s="19"/>
      <x:c r="BC77" s="19" t="str">
        <x:v>https://gs.amac.org.cn/amac-infodisc/res/pof/fund/2301171711103586.html</x:v>
      </x:c>
      <x:c r="BD77" s="19" t="str">
        <x:v>已匹配</x:v>
      </x:c>
      <x:c r="BE77"/>
      <x:c r="BF77"/>
    </x:row>
    <x:row r="78" ht="28" customHeight="1">
      <x:c r="A78" s="4" t="n">
        <x:v>62</x:v>
      </x:c>
      <x:c r="B78" s="15" t="str">
        <x:f>'sheet4-原始数据'!A63</x:f>
        <x:v>衍舟弄潮2号</x:v>
      </x:c>
      <x:c r="C78" s="15" t="str">
        <x:f>'sheet4-原始数据'!B63</x:f>
        <x:v>SZG044</x:v>
      </x:c>
      <x:c r="D78" s="15" t="str">
        <x:f>'sheet4-原始数据'!E63</x:f>
        <x:v>海南衍舟</x:v>
      </x:c>
      <x:c r="E78" s="32" t="n">
        <x:f>IF(ISNUMBER('sheet4-原始数据'!F63),'sheet4-原始数据'!F63,"")</x:f>
        <x:v>44959</x:v>
      </x:c>
      <x:c r="F78" s="17" t="n">
        <x:f>IF(NOT(ISNUMBER(E78)),"",ROUND(('sheet1-指标体系'!$J$23-E78)/365.25,4))</x:f>
        <x:v>3.6194</x:v>
      </x:c>
      <x:c r="G78" s="4" t="str">
        <x:f t="shared" si="1">IF(NOT(ISNUMBER(F78)),"",IF(F78&lt;1,"不入池","入池"))</x:f>
        <x:v>入池</x:v>
      </x:c>
      <x:c r="H78" s="33" t="str">
        <x:v>0-5亿元</x:v>
      </x:c>
      <x:c r="I78" s="17" t="n">
        <x:f>IF(H78="","",IF(ISNUMBER(SEARCH("100亿元以上",H78)),100,IF(OR(ISNUMBER(SEARCH("20-50",H78)),ISNUMBER(SEARCH("50-100",H78)),ISNUMBER(SEARCH("20-100",H78))),90,IF(ISNUMBER(SEARCH("10-20",H78)),80,IF(ISNUMBER(SEARCH("5-10",H78)),70,IF(ISNUMBER(SEARCH("0-5",H78)),60,""))))))</x:f>
        <x:v>60</x:v>
      </x:c>
      <x:c r="J78" s="34" t="str">
        <x:v>低于1000万元</x:v>
      </x:c>
      <x:c r="K78" s="17" t="n">
        <x:f>IF(J78="","",IF(J78="低于1000万元",0,100))</x:f>
        <x:v>0</x:v>
      </x:c>
      <x:c r="L78" s="17" t="n">
        <x:f>IF(NOT(ISNUMBER(F78)),"",IF(F78&lt;1,"",IF(F78&lt;3,70,100)))</x:f>
        <x:v>100</x:v>
      </x:c>
      <x:c r="M78" s="35" t="n">
        <x:f>IF(ISNUMBER('sheet4-原始数据'!G63),'sheet4-原始数据'!G63,"")</x:f>
        <x:v>-0.0524</x:v>
      </x:c>
      <x:c r="N78" s="35" t="n">
        <x:f>IF(ISNUMBER('sheet4-原始数据'!H63),'sheet4-原始数据'!H63,"")</x:f>
        <x:v>0.0242</x:v>
      </x:c>
      <x:c r="O78" s="36" t="str">
        <x:f>IF(ISNUMBER('sheet4-原始数据'!Q63),'sheet4-原始数据'!Q63,"")</x:f>
      </x:c>
      <x:c r="P78" s="37" t="n">
        <x:f>IF($G78&lt;&gt;"入池","",IF($F78&gt;=3,IF(OR(NOT(ISNUMBER($M78)),NOT(ISNUMBER($N78)),1+$M78&lt;=0,1+$N78&lt;0),"",((1+$N78)^3/(1+$M78))^(1/2)-1),IF(OR($F78&lt;=1,NOT(ISNUMBER($M78)),NOT(ISNUMBER($O78)),1+$M78&lt;=0,1+$O78&lt;0),"",((1+$O78)^$F78/(1+$M78))^(1/($F78-1))-1)))</x:f>
        <x:v>0.06479163636900553</x:v>
      </x:c>
      <x:c r="Q78" s="17" t="n">
        <x:f>IF(OR($G78&lt;&gt;"入池",NOT(ISNUMBER(M78))),"",IF(COUNTIFS($G$17:$G$219,"入池",$M$17:$M$219,"&gt;=-1E+307",$M$17:$M$219,"&lt;=1E+307")&lt;=1,100,ROUND(100*(COUNTIFS($G$17:$G$219,"入池",$M$17:$M$219,"&gt;=-1E+307",$M$17:$M$219,"&lt;"&amp;M78)+COUNTIFS($G$17:$G$219,"入池",$M$17:$M$219,M78,$M$17:$M$219,"&gt;=-1E+307",$M$17:$M$219,"&lt;=1E+307")/2-0.5)/(COUNTIFS($G$17:$G$219,"入池",$M$17:$M$219,"&gt;=-1E+307",$M$17:$M$219,"&lt;=1E+307")-1),2)))</x:f>
        <x:v>8.42</x:v>
      </x:c>
      <x:c r="R78" s="17" t="n">
        <x:f>IF(OR($G78&lt;&gt;"入池",NOT(ISNUMBER(P78))),"",IF(COUNTIFS($G$17:$G$219,"入池",$P$17:$P$219,"&gt;=-1E+307",$P$17:$P$219,"&lt;=1E+307")&lt;=1,100,ROUND(100*(COUNTIFS($G$17:$G$219,"入池",$P$17:$P$219,"&gt;=-1E+307",$P$17:$P$219,"&lt;"&amp;P78)+COUNTIFS($G$17:$G$219,"入池",$P$17:$P$219,P78,$P$17:$P$219,"&gt;=-1E+307",$P$17:$P$219,"&lt;=1E+307")/2-0.5)/(COUNTIFS($G$17:$G$219,"入池",$P$17:$P$219,"&gt;=-1E+307",$P$17:$P$219,"&lt;=1E+307")-1),2)))</x:f>
        <x:v>51.98</x:v>
      </x:c>
      <x:c r="S78" s="17" t="n">
        <x:f>IF(NOT(ISNUMBER(Q78)),"",IF(NOT(ISNUMBER(R78)),Q78,ROUND(Q78*'sheet1-指标体系'!$J$8+R78*'sheet1-指标体系'!$J$9,2)))</x:f>
        <x:v>25.84</x:v>
      </x:c>
      <x:c r="T78" s="35" t="n">
        <x:f>IF(ISNUMBER('sheet4-原始数据'!J63),'sheet4-原始数据'!J63,"")</x:f>
        <x:v>0.3077</x:v>
      </x:c>
      <x:c r="U78" s="35" t="n">
        <x:f>IF(ISNUMBER('sheet4-原始数据'!I63),'sheet4-原始数据'!I63,"")</x:f>
        <x:v>0.6215999999999999</x:v>
      </x:c>
      <x:c r="V78" s="37" t="n">
        <x:f>IF(OR(NOT(ISNUMBER(T78)),NOT(ISNUMBER(U78))),"",(U78*'sheet1-指标体系'!$J$6-T78*'sheet1-指标体系'!$J$5)/'sheet1-指标体系'!$J$7)</x:f>
        <x:v>0.7916291666666666</x:v>
      </x:c>
      <x:c r="W78" s="17" t="n">
        <x:f>IF(NOT(ISNUMBER(T78)),"",T78*100)</x:f>
        <x:v>30.769999999999996</x:v>
      </x:c>
      <x:c r="X78" s="17" t="n">
        <x:f>IF($G78&lt;&gt;"入池","",IF(AND(ISNUMBER(V78),V78&gt;=0,V78&lt;=1),V78*100,IF(MAX(0,($F78-1)*12)&lt;6,100,"")))</x:f>
        <x:v>79.16291666666666</x:v>
      </x:c>
      <x:c r="Y78" s="17" t="n">
        <x:f>IF(NOT(ISNUMBER(W78)),"",IF(NOT(ISNUMBER(X78)),W78,ROUND(W78*'sheet1-指标体系'!$J$8+X78*'sheet1-指标体系'!$J$9,2)))</x:f>
        <x:v>50.13</x:v>
      </x:c>
      <x:c r="Z78" s="37" t="n">
        <x:f>IF(OR(NOT(ISNUMBER(M78)),NOT(ISNUMBER(AD78)),AD78=0),"",ABS(M78/AD78))</x:f>
        <x:v>0.08309546463685379</x:v>
      </x:c>
      <x:c r="AA78" s="35" t="n">
        <x:f>IF(ISNUMBER('sheet4-原始数据'!K63),'sheet4-原始数据'!K63,"")</x:f>
        <x:v>0.0942</x:v>
      </x:c>
      <x:c r="AB78" s="37" t="n">
        <x:f>IF(COUNT(Z78:AA78)=0,"",MAX(Z78:AA78))</x:f>
        <x:v>0.0942</x:v>
      </x:c>
      <x:c r="AC78" s="17" t="n">
        <x:f>IF(OR($G78&lt;&gt;"入池",NOT(ISNUMBER(AB78))),"",IF(COUNTIFS($G$17:$G$219,"入池",$AB$17:$AB$219,"&gt;=-1E+307",$AB$17:$AB$219,"&lt;=1E+307")&lt;=1,100,ROUND(100*(COUNTIFS($G$17:$G$219,"入池",$AB$17:$AB$219,"&lt;=1E+307",$AB$17:$AB$219,"&gt;"&amp;AB78)+COUNTIFS($G$17:$G$219,"入池",$AB$17:$AB$219,AB78,$AB$17:$AB$219,"&gt;=-1E+307",$AB$17:$AB$219,"&lt;=1E+307")/2-0.5)/(COUNTIFS($G$17:$G$219,"入池",$AB$17:$AB$219,"&gt;=-1E+307",$AB$17:$AB$219,"&lt;=1E+307")-1),2)))</x:f>
        <x:v>28.71</x:v>
      </x:c>
      <x:c r="AD78" s="38" t="n">
        <x:f>IF(ISNUMBER('sheet4-原始数据'!M63),'sheet4-原始数据'!M63,"")</x:f>
        <x:v>-0.6306</x:v>
      </x:c>
      <x:c r="AE78" s="37" t="n">
        <x:f>IF(OR(NOT(ISNUMBER(P78)),NOT(ISNUMBER(AA78)),NOT(ISNUMBER(Z78))),"",IF(AA78&gt;Z78+'sheet1-指标体系'!$J$11,AA78,""))</x:f>
        <x:v>0.0942</x:v>
      </x:c>
      <x:c r="AF78" s="17" t="n">
        <x:f>IF(OR(NOT(ISNUMBER(P78)),NOT(ISNUMBER(AE78)),AE78=0),"",P78/AE78)</x:f>
        <x:v>0.6878093032803135</x:v>
      </x:c>
      <x:c r="AG78" s="17" t="n">
        <x:f>IF(OR($G78&lt;&gt;"入池",NOT(ISNUMBER(AD78))),"",IF(COUNTIFS($G$17:$G$219,"入池",$AD$17:$AD$219,"&gt;=-1E+307",$AD$17:$AD$219,"&lt;=1E+307")&lt;=1,100,ROUND(100*(COUNTIFS($G$17:$G$219,"入池",$AD$17:$AD$219,"&gt;=-1E+307",$AD$17:$AD$219,"&lt;"&amp;AD78)+COUNTIFS($G$17:$G$219,"入池",$AD$17:$AD$219,AD78,$AD$17:$AD$219,"&gt;=-1E+307",$AD$17:$AD$219,"&lt;=1E+307")/2-0.5)/(COUNTIFS($G$17:$G$219,"入池",$AD$17:$AD$219,"&gt;=-1E+307",$AD$17:$AD$219,"&lt;=1E+307")-1),2)))</x:f>
        <x:v>6.47</x:v>
      </x:c>
      <x:c r="AH78" s="17" t="n">
        <x:f>IF(OR($G78&lt;&gt;"入池",NOT(ISNUMBER(AF78))),"",IF(COUNTIFS($G$17:$G$219,"入池",$AF$17:$AF$219,"&gt;=-1E+307",$AF$17:$AF$219,"&lt;=1E+307")&lt;=1,100,ROUND(100*(COUNTIFS($G$17:$G$219,"入池",$AF$17:$AF$219,"&gt;=-1E+307",$AF$17:$AF$219,"&lt;"&amp;AF78)+COUNTIFS($G$17:$G$219,"入池",$AF$17:$AF$219,AF78,$AF$17:$AF$219,"&gt;=-1E+307",$AF$17:$AF$219,"&lt;=1E+307")/2-0.5)/(COUNTIFS($G$17:$G$219,"入池",$AF$17:$AF$219,"&gt;=-1E+307",$AF$17:$AF$219,"&lt;=1E+307")-1),2)))</x:f>
        <x:v>25.55</x:v>
      </x:c>
      <x:c r="AI78" s="17" t="n">
        <x:f>IF(NOT(ISNUMBER(AG78)),"",IF(NOT(ISNUMBER(AH78)),AG78,ROUND(AG78*'sheet1-指标体系'!$J$8+AH78*'sheet1-指标体系'!$J$9,2)))</x:f>
        <x:v>14.1</x:v>
      </x:c>
      <x:c r="AJ78" s="37" t="n">
        <x:f>IF(NOT(ISNUMBER(F78)),"",IF(F78&gt;=3,IF(NOT(ISNUMBER(N78)),"",N78),IF(NOT(ISNUMBER(O78)),"",O78)))</x:f>
        <x:v>0.0242</x:v>
      </x:c>
      <x:c r="AK78" s="17" t="n">
        <x:f>IF(OR(G78&lt;&gt;"入池",NOT(ISNUMBER(M78)),NOT(ISNUMBER(AJ78))),"",IF(M78&gt;=AJ78,100,IF(AJ78-M78&lt;'sheet1-指标体系'!$J$10,80,60)))</x:f>
        <x:v>80</x:v>
      </x:c>
      <x:c r="AL78" s="17" t="n">
        <x:f>IF(COUNT(I78,K78,L78)=0,"",ROUND((IF(ISNUMBER(I78),I78*40%,0)+IF(ISNUMBER(K78),K78*30%,0)+IF(ISNUMBER(L78),L78*30%,0))/(IF(ISNUMBER(I78),40%,0)+IF(ISNUMBER(K78),30%,0)+IF(ISNUMBER(L78),30%,0)),2))</x:f>
        <x:v>54</x:v>
      </x:c>
      <x:c r="AM78" s="17" t="n">
        <x:f>IF(COUNT(Q78,R78,W78,X78)=0,"",ROUND((IF(ISNUMBER(Q78),Q78*42%,0)+IF(ISNUMBER(R78),R78*28%,0)+IF(ISNUMBER(W78),W78*18%,0)+IF(ISNUMBER(X78),X78*12%,0))/(IF(ISNUMBER(Q78),42%,0)+IF(ISNUMBER(R78),28%,0)+IF(ISNUMBER(W78),18%,0)+IF(ISNUMBER(X78),12%,0)),2))</x:f>
        <x:v>33.13</x:v>
      </x:c>
      <x:c r="AN78" s="17" t="n">
        <x:f>IF(ISNUMBER(AC78),AC78,"")</x:f>
        <x:v>28.71</x:v>
      </x:c>
      <x:c r="AO78" s="17" t="n">
        <x:f>IF(COUNT(AG78,AH78)=0,"",ROUND((IF(ISNUMBER(AG78),AG78*60%,0)+IF(ISNUMBER(AH78),AH78*40%,0))/(IF(ISNUMBER(AG78),60%,0)+IF(ISNUMBER(AH78),40%,0)),2))</x:f>
        <x:v>14.1</x:v>
      </x:c>
      <x:c r="AP78" s="17" t="n">
        <x:f>IF(ISNUMBER(AK78),AK78,"")</x:f>
        <x:v>80</x:v>
      </x:c>
      <x:c r="AQ78" s="39" t="n">
        <x:f>IF(G78&lt;&gt;"入池",0,IF(ISNUMBER(I78),6%,0)+IF(ISNUMBER(K78),4.5%,0)+IF(ISNUMBER(L78),4.5%,0)+IF(ISNUMBER(Q78),8.4%,0)+IF(ISNUMBER(R78),5.6%,0)+IF(ISNUMBER(W78),3.6%,0)+IF(ISNUMBER(X78),2.4%,0)+IF(ISNUMBER(AC78),25%,0)+IF(ISNUMBER(AG78),18%,0)+IF(ISNUMBER(AH78),12%,0)+IF(ISNUMBER(AK78),10%,0))</x:f>
        <x:v>1</x:v>
      </x:c>
      <x:c r="AR78" s="17" t="n">
        <x:f>IF(AQ78=0,"",IF(ISNUMBER(I78),I78*6%,0)+IF(ISNUMBER(K78),K78*4.5%,0)+IF(ISNUMBER(L78),L78*4.5%,0)+IF(ISNUMBER(Q78),Q78*8.4%,0)+IF(ISNUMBER(R78),R78*5.6%,0)+IF(ISNUMBER(W78),W78*3.6%,0)+IF(ISNUMBER(X78),X78*2.4%,0)+IF(ISNUMBER(AC78),AC78*25%,0)+IF(ISNUMBER(AG78),AG78*18%,0)+IF(ISNUMBER(AH78),AH78*12%,0)+IF(ISNUMBER(AK78),AK78*10%,0))</x:f>
        <x:v>34.13389</x:v>
      </x:c>
      <x:c r="AS78" s="17" t="n">
        <x:f>IF(AQ78=0,"",ROUND(AR78/AQ78,2))</x:f>
        <x:v>34.13</x:v>
      </x:c>
      <x:c r="AT78" s="40" t="n">
        <x:f>IF(OR(G78&lt;&gt;"入池",NOT(ISNUMBER(AS78))),"",COUNTIFS($G$17:$G$219,"入池",$AS$17:$AS$219,"&gt;"&amp;AS78)+COUNTIFS($G$17:$G$219,"入池",$AS$17:$AS$219,AS78,$AQ$17:$AQ$219,"&gt;"&amp;AQ78)+COUNTIFS($G$17:G78,"入池",$AS$17:AS78,AS78,$AQ$17:AQ78,AQ78))</x:f>
        <x:v>186</x:v>
      </x:c>
      <x:c r="AU78" s="41" t="str">
        <x:f t="shared" si="2">IF(NOT(ISNUMBER(I78)),"管理人规模；","")&amp;IF(J78="","产品规模标识；","")&amp;IF(AND(F78&lt;3,NOT(ISNUMBER(O78))),"R_incep；","")&amp;IF(NOT(ISNUMBER(N78)),"近三年收益；","")&amp;IF(NOT(ISNUMBER(U78)),"近三年胜率；","")&amp;IF(AND(ISNUMBER(V78),OR(V78&lt;0,V78&gt;1)),"胜率窗口口径不一致；","")&amp;IF(NOT(ISNUMBER(AA78)),"近三年回撤；","")&amp;IF(NOT(ISNUMBER(AD78)),"短期卡玛；","")&amp;IF(AND(ISNUMBER(P78),NOT(ISNUMBER(AE78))),"DD_long不可识别；","")</x:f>
      </x:c>
      <x:c r="AV78" s="42" t="n">
        <x:v>0</x:v>
      </x:c>
      <x:c r="AW78" s="19" t="str">
        <x:v>衍舟（海南）私募基金管理有限公司</x:v>
      </x:c>
      <x:c r="AX78" s="19" t="str">
        <x:v>2026-08-26</x:v>
      </x:c>
      <x:c r="AY78" s="19" t="str">
        <x:v>https://gs.amac.org.cn/amac-infodisc/res/pof/manager/2203211010108428.html</x:v>
      </x:c>
      <x:c r="AZ78" s="19" t="str">
        <x:v>衍舟弄潮2号私募证券投资基金</x:v>
      </x:c>
      <x:c r="BA78" s="19" t="str">
        <x:v>2025-01-17</x:v>
      </x:c>
      <x:c r="BB78" s="19" t="str">
        <x:v>2026年第2季度季度更新信息</x:v>
      </x:c>
      <x:c r="BC78" s="19" t="str">
        <x:v>https://gs.amac.org.cn/amac-infodisc/res/pof/fund/2302071705107356.html</x:v>
      </x:c>
      <x:c r="BD78" s="19" t="str">
        <x:v>已匹配</x:v>
      </x:c>
      <x:c r="BE78"/>
      <x:c r="BF78"/>
    </x:row>
    <x:row r="79" ht="28" customHeight="1">
      <x:c r="A79" s="4" t="n">
        <x:v>63</x:v>
      </x:c>
      <x:c r="B79" s="15" t="str">
        <x:f>'sheet4-原始数据'!A64</x:f>
        <x:v>银瓴汇金1号</x:v>
      </x:c>
      <x:c r="C79" s="15" t="str">
        <x:f>'sheet4-原始数据'!B64</x:f>
        <x:v>SZP369</x:v>
      </x:c>
      <x:c r="D79" s="15" t="str">
        <x:f>'sheet4-原始数据'!E64</x:f>
        <x:v>广西银瓴资产</x:v>
      </x:c>
      <x:c r="E79" s="32" t="n">
        <x:f>IF(ISNUMBER('sheet4-原始数据'!F64),'sheet4-原始数据'!F64,"")</x:f>
        <x:v>45006</x:v>
      </x:c>
      <x:c r="F79" s="17" t="n">
        <x:f>IF(NOT(ISNUMBER(E79)),"",ROUND(('sheet1-指标体系'!$J$23-E79)/365.25,4))</x:f>
        <x:v>3.4908</x:v>
      </x:c>
      <x:c r="G79" s="4" t="str">
        <x:f t="shared" si="1">IF(NOT(ISNUMBER(F79)),"",IF(F79&lt;1,"不入池","入池"))</x:f>
        <x:v>入池</x:v>
      </x:c>
      <x:c r="H79" s="33" t="str">
        <x:v>0-5亿元</x:v>
      </x:c>
      <x:c r="I79" s="17" t="n">
        <x:f>IF(H79="","",IF(ISNUMBER(SEARCH("100亿元以上",H79)),100,IF(OR(ISNUMBER(SEARCH("20-50",H79)),ISNUMBER(SEARCH("50-100",H79)),ISNUMBER(SEARCH("20-100",H79))),90,IF(ISNUMBER(SEARCH("10-20",H79)),80,IF(ISNUMBER(SEARCH("5-10",H79)),70,IF(ISNUMBER(SEARCH("0-5",H79)),60,""))))))</x:f>
        <x:v>60</x:v>
      </x:c>
      <x:c r="J79" s="34" t="str">
        <x:v>低于1000万元</x:v>
      </x:c>
      <x:c r="K79" s="17" t="n">
        <x:f>IF(J79="","",IF(J79="低于1000万元",0,100))</x:f>
        <x:v>0</x:v>
      </x:c>
      <x:c r="L79" s="17" t="n">
        <x:f>IF(NOT(ISNUMBER(F79)),"",IF(F79&lt;1,"",IF(F79&lt;3,70,100)))</x:f>
        <x:v>100</x:v>
      </x:c>
      <x:c r="M79" s="35" t="n">
        <x:f>IF(ISNUMBER('sheet4-原始数据'!G64),'sheet4-原始数据'!G64,"")</x:f>
        <x:v>-0.0535</x:v>
      </x:c>
      <x:c r="N79" s="35" t="n">
        <x:f>IF(ISNUMBER('sheet4-原始数据'!H64),'sheet4-原始数据'!H64,"")</x:f>
        <x:v>0.0785</x:v>
      </x:c>
      <x:c r="O79" s="36" t="str">
        <x:f>IF(ISNUMBER('sheet4-原始数据'!Q64),'sheet4-原始数据'!Q64,"")</x:f>
      </x:c>
      <x:c r="P79" s="37" t="n">
        <x:f>IF($G79&lt;&gt;"入池","",IF($F79&gt;=3,IF(OR(NOT(ISNUMBER($M79)),NOT(ISNUMBER($N79)),1+$M79&lt;=0,1+$N79&lt;0),"",((1+$N79)^3/(1+$M79))^(1/2)-1),IF(OR($F79&lt;=1,NOT(ISNUMBER($M79)),NOT(ISNUMBER($O79)),1+$M79&lt;=0,1+$O79&lt;0),"",((1+$O79)^$F79/(1+$M79))^(1/($F79-1))-1)))</x:f>
        <x:v>0.15125072050959032</x:v>
      </x:c>
      <x:c r="Q79" s="17" t="n">
        <x:f>IF(OR($G79&lt;&gt;"入池",NOT(ISNUMBER(M79))),"",IF(COUNTIFS($G$17:$G$219,"入池",$M$17:$M$219,"&gt;=-1E+307",$M$17:$M$219,"&lt;=1E+307")&lt;=1,100,ROUND(100*(COUNTIFS($G$17:$G$219,"入池",$M$17:$M$219,"&gt;=-1E+307",$M$17:$M$219,"&lt;"&amp;M79)+COUNTIFS($G$17:$G$219,"入池",$M$17:$M$219,M79,$M$17:$M$219,"&gt;=-1E+307",$M$17:$M$219,"&lt;=1E+307")/2-0.5)/(COUNTIFS($G$17:$G$219,"入池",$M$17:$M$219,"&gt;=-1E+307",$M$17:$M$219,"&lt;=1E+307")-1),2)))</x:f>
        <x:v>7.92</x:v>
      </x:c>
      <x:c r="R79" s="17" t="n">
        <x:f>IF(OR($G79&lt;&gt;"入池",NOT(ISNUMBER(P79))),"",IF(COUNTIFS($G$17:$G$219,"入池",$P$17:$P$219,"&gt;=-1E+307",$P$17:$P$219,"&lt;=1E+307")&lt;=1,100,ROUND(100*(COUNTIFS($G$17:$G$219,"入池",$P$17:$P$219,"&gt;=-1E+307",$P$17:$P$219,"&lt;"&amp;P79)+COUNTIFS($G$17:$G$219,"入池",$P$17:$P$219,P79,$P$17:$P$219,"&gt;=-1E+307",$P$17:$P$219,"&lt;=1E+307")/2-0.5)/(COUNTIFS($G$17:$G$219,"入池",$P$17:$P$219,"&gt;=-1E+307",$P$17:$P$219,"&lt;=1E+307")-1),2)))</x:f>
        <x:v>88.61</x:v>
      </x:c>
      <x:c r="S79" s="17" t="n">
        <x:f>IF(NOT(ISNUMBER(Q79)),"",IF(NOT(ISNUMBER(R79)),Q79,ROUND(Q79*'sheet1-指标体系'!$J$8+R79*'sheet1-指标体系'!$J$9,2)))</x:f>
        <x:v>40.2</x:v>
      </x:c>
      <x:c r="T79" s="35" t="n">
        <x:f>IF(ISNUMBER('sheet4-原始数据'!J64),'sheet4-原始数据'!J64,"")</x:f>
        <x:v>0.6154</x:v>
      </x:c>
      <x:c r="U79" s="35" t="n">
        <x:f>IF(ISNUMBER('sheet4-原始数据'!I64),'sheet4-原始数据'!I64,"")</x:f>
        <x:v>0.5676</x:v>
      </x:c>
      <x:c r="V79" s="37" t="n">
        <x:f>IF(OR(NOT(ISNUMBER(T79)),NOT(ISNUMBER(U79))),"",(U79*'sheet1-指标体系'!$J$6-T79*'sheet1-指标体系'!$J$5)/'sheet1-指标体系'!$J$7)</x:f>
        <x:v>0.5417083333333333</x:v>
      </x:c>
      <x:c r="W79" s="17" t="n">
        <x:f>IF(NOT(ISNUMBER(T79)),"",T79*100)</x:f>
        <x:v>61.53999999999999</x:v>
      </x:c>
      <x:c r="X79" s="17" t="n">
        <x:f>IF($G79&lt;&gt;"入池","",IF(AND(ISNUMBER(V79),V79&gt;=0,V79&lt;=1),V79*100,IF(MAX(0,($F79-1)*12)&lt;6,100,"")))</x:f>
        <x:v>54.170833333333334</x:v>
      </x:c>
      <x:c r="Y79" s="17" t="n">
        <x:f>IF(NOT(ISNUMBER(W79)),"",IF(NOT(ISNUMBER(X79)),W79,ROUND(W79*'sheet1-指标体系'!$J$8+X79*'sheet1-指标体系'!$J$9,2)))</x:f>
        <x:v>58.59</x:v>
      </x:c>
      <x:c r="Z79" s="37" t="n">
        <x:f>IF(OR(NOT(ISNUMBER(M79)),NOT(ISNUMBER(AD79)),AD79=0),"",ABS(M79/AD79))</x:f>
        <x:v>0.1518161180476731</x:v>
      </x:c>
      <x:c r="AA79" s="35" t="n">
        <x:f>IF(ISNUMBER('sheet4-原始数据'!K64),'sheet4-原始数据'!K64,"")</x:f>
        <x:v>0.1832</x:v>
      </x:c>
      <x:c r="AB79" s="37" t="n">
        <x:f>IF(COUNT(Z79:AA79)=0,"",MAX(Z79:AA79))</x:f>
        <x:v>0.1832</x:v>
      </x:c>
      <x:c r="AC79" s="17" t="n">
        <x:f>IF(OR($G79&lt;&gt;"入池",NOT(ISNUMBER(AB79))),"",IF(COUNTIFS($G$17:$G$219,"入池",$AB$17:$AB$219,"&gt;=-1E+307",$AB$17:$AB$219,"&lt;=1E+307")&lt;=1,100,ROUND(100*(COUNTIFS($G$17:$G$219,"入池",$AB$17:$AB$219,"&lt;=1E+307",$AB$17:$AB$219,"&gt;"&amp;AB79)+COUNTIFS($G$17:$G$219,"入池",$AB$17:$AB$219,AB79,$AB$17:$AB$219,"&gt;=-1E+307",$AB$17:$AB$219,"&lt;=1E+307")/2-0.5)/(COUNTIFS($G$17:$G$219,"入池",$AB$17:$AB$219,"&gt;=-1E+307",$AB$17:$AB$219,"&lt;=1E+307")-1),2)))</x:f>
        <x:v>10.89</x:v>
      </x:c>
      <x:c r="AD79" s="38" t="n">
        <x:f>IF(ISNUMBER('sheet4-原始数据'!M64),'sheet4-原始数据'!M64,"")</x:f>
        <x:v>-0.3524</x:v>
      </x:c>
      <x:c r="AE79" s="37" t="n">
        <x:f>IF(OR(NOT(ISNUMBER(P79)),NOT(ISNUMBER(AA79)),NOT(ISNUMBER(Z79))),"",IF(AA79&gt;Z79+'sheet1-指标体系'!$J$11,AA79,""))</x:f>
        <x:v>0.1832</x:v>
      </x:c>
      <x:c r="AF79" s="17" t="n">
        <x:f>IF(OR(NOT(ISNUMBER(P79)),NOT(ISNUMBER(AE79)),AE79=0),"",P79/AE79)</x:f>
        <x:v>0.8256043695938337</x:v>
      </x:c>
      <x:c r="AG79" s="17" t="n">
        <x:f>IF(OR($G79&lt;&gt;"入池",NOT(ISNUMBER(AD79))),"",IF(COUNTIFS($G$17:$G$219,"入池",$AD$17:$AD$219,"&gt;=-1E+307",$AD$17:$AD$219,"&lt;=1E+307")&lt;=1,100,ROUND(100*(COUNTIFS($G$17:$G$219,"入池",$AD$17:$AD$219,"&gt;=-1E+307",$AD$17:$AD$219,"&lt;"&amp;AD79)+COUNTIFS($G$17:$G$219,"入池",$AD$17:$AD$219,AD79,$AD$17:$AD$219,"&gt;=-1E+307",$AD$17:$AD$219,"&lt;=1E+307")/2-0.5)/(COUNTIFS($G$17:$G$219,"入池",$AD$17:$AD$219,"&gt;=-1E+307",$AD$17:$AD$219,"&lt;=1E+307")-1),2)))</x:f>
        <x:v>11.94</x:v>
      </x:c>
      <x:c r="AH79" s="17" t="n">
        <x:f>IF(OR($G79&lt;&gt;"入池",NOT(ISNUMBER(AF79))),"",IF(COUNTIFS($G$17:$G$219,"入池",$AF$17:$AF$219,"&gt;=-1E+307",$AF$17:$AF$219,"&lt;=1E+307")&lt;=1,100,ROUND(100*(COUNTIFS($G$17:$G$219,"入池",$AF$17:$AF$219,"&gt;=-1E+307",$AF$17:$AF$219,"&lt;"&amp;AF79)+COUNTIFS($G$17:$G$219,"入池",$AF$17:$AF$219,AF79,$AF$17:$AF$219,"&gt;=-1E+307",$AF$17:$AF$219,"&lt;=1E+307")/2-0.5)/(COUNTIFS($G$17:$G$219,"入池",$AF$17:$AF$219,"&gt;=-1E+307",$AF$17:$AF$219,"&lt;=1E+307")-1),2)))</x:f>
        <x:v>32.12</x:v>
      </x:c>
      <x:c r="AI79" s="17" t="n">
        <x:f>IF(NOT(ISNUMBER(AG79)),"",IF(NOT(ISNUMBER(AH79)),AG79,ROUND(AG79*'sheet1-指标体系'!$J$8+AH79*'sheet1-指标体系'!$J$9,2)))</x:f>
        <x:v>20.01</x:v>
      </x:c>
      <x:c r="AJ79" s="37" t="n">
        <x:f>IF(NOT(ISNUMBER(F79)),"",IF(F79&gt;=3,IF(NOT(ISNUMBER(N79)),"",N79),IF(NOT(ISNUMBER(O79)),"",O79)))</x:f>
        <x:v>0.0785</x:v>
      </x:c>
      <x:c r="AK79" s="17" t="n">
        <x:f>IF(OR(G79&lt;&gt;"入池",NOT(ISNUMBER(M79)),NOT(ISNUMBER(AJ79))),"",IF(M79&gt;=AJ79,100,IF(AJ79-M79&lt;'sheet1-指标体系'!$J$10,80,60)))</x:f>
        <x:v>80</x:v>
      </x:c>
      <x:c r="AL79" s="17" t="n">
        <x:f>IF(COUNT(I79,K79,L79)=0,"",ROUND((IF(ISNUMBER(I79),I79*40%,0)+IF(ISNUMBER(K79),K79*30%,0)+IF(ISNUMBER(L79),L79*30%,0))/(IF(ISNUMBER(I79),40%,0)+IF(ISNUMBER(K79),30%,0)+IF(ISNUMBER(L79),30%,0)),2))</x:f>
        <x:v>54</x:v>
      </x:c>
      <x:c r="AM79" s="17" t="n">
        <x:f>IF(COUNT(Q79,R79,W79,X79)=0,"",ROUND((IF(ISNUMBER(Q79),Q79*42%,0)+IF(ISNUMBER(R79),R79*28%,0)+IF(ISNUMBER(W79),W79*18%,0)+IF(ISNUMBER(X79),X79*12%,0))/(IF(ISNUMBER(Q79),42%,0)+IF(ISNUMBER(R79),28%,0)+IF(ISNUMBER(W79),18%,0)+IF(ISNUMBER(X79),12%,0)),2))</x:f>
        <x:v>45.71</x:v>
      </x:c>
      <x:c r="AN79" s="17" t="n">
        <x:f>IF(ISNUMBER(AC79),AC79,"")</x:f>
        <x:v>10.89</x:v>
      </x:c>
      <x:c r="AO79" s="17" t="n">
        <x:f>IF(COUNT(AG79,AH79)=0,"",ROUND((IF(ISNUMBER(AG79),AG79*60%,0)+IF(ISNUMBER(AH79),AH79*40%,0))/(IF(ISNUMBER(AG79),60%,0)+IF(ISNUMBER(AH79),40%,0)),2))</x:f>
        <x:v>20.01</x:v>
      </x:c>
      <x:c r="AP79" s="17" t="n">
        <x:f>IF(ISNUMBER(AK79),AK79,"")</x:f>
        <x:v>80</x:v>
      </x:c>
      <x:c r="AQ79" s="39" t="n">
        <x:f>IF(G79&lt;&gt;"入池",0,IF(ISNUMBER(I79),6%,0)+IF(ISNUMBER(K79),4.5%,0)+IF(ISNUMBER(L79),4.5%,0)+IF(ISNUMBER(Q79),8.4%,0)+IF(ISNUMBER(R79),5.6%,0)+IF(ISNUMBER(W79),3.6%,0)+IF(ISNUMBER(X79),2.4%,0)+IF(ISNUMBER(AC79),25%,0)+IF(ISNUMBER(AG79),18%,0)+IF(ISNUMBER(AH79),12%,0)+IF(ISNUMBER(AK79),10%,0))</x:f>
        <x:v>1</x:v>
      </x:c>
      <x:c r="AR79" s="17" t="n">
        <x:f>IF(AQ79=0,"",IF(ISNUMBER(I79),I79*6%,0)+IF(ISNUMBER(K79),K79*4.5%,0)+IF(ISNUMBER(L79),L79*4.5%,0)+IF(ISNUMBER(Q79),Q79*8.4%,0)+IF(ISNUMBER(R79),R79*5.6%,0)+IF(ISNUMBER(W79),W79*3.6%,0)+IF(ISNUMBER(X79),X79*2.4%,0)+IF(ISNUMBER(AC79),AC79*25%,0)+IF(ISNUMBER(AG79),AG79*18%,0)+IF(ISNUMBER(AH79),AH79*12%,0)+IF(ISNUMBER(AK79),AK79*10%,0))</x:f>
        <x:v>33.96908</x:v>
      </x:c>
      <x:c r="AS79" s="17" t="n">
        <x:f>IF(AQ79=0,"",ROUND(AR79/AQ79,2))</x:f>
        <x:v>33.97</x:v>
      </x:c>
      <x:c r="AT79" s="40" t="n">
        <x:f>IF(OR(G79&lt;&gt;"入池",NOT(ISNUMBER(AS79))),"",COUNTIFS($G$17:$G$219,"入池",$AS$17:$AS$219,"&gt;"&amp;AS79)+COUNTIFS($G$17:$G$219,"入池",$AS$17:$AS$219,AS79,$AQ$17:$AQ$219,"&gt;"&amp;AQ79)+COUNTIFS($G$17:G79,"入池",$AS$17:AS79,AS79,$AQ$17:AQ79,AQ79))</x:f>
        <x:v>187</x:v>
      </x:c>
      <x:c r="AU79" s="41" t="str">
        <x:f t="shared" si="2">IF(NOT(ISNUMBER(I79)),"管理人规模；","")&amp;IF(J79="","产品规模标识；","")&amp;IF(AND(F79&lt;3,NOT(ISNUMBER(O79))),"R_incep；","")&amp;IF(NOT(ISNUMBER(N79)),"近三年收益；","")&amp;IF(NOT(ISNUMBER(U79)),"近三年胜率；","")&amp;IF(AND(ISNUMBER(V79),OR(V79&lt;0,V79&gt;1)),"胜率窗口口径不一致；","")&amp;IF(NOT(ISNUMBER(AA79)),"近三年回撤；","")&amp;IF(NOT(ISNUMBER(AD79)),"短期卡玛；","")&amp;IF(AND(ISNUMBER(P79),NOT(ISNUMBER(AE79))),"DD_long不可识别；","")</x:f>
      </x:c>
      <x:c r="AV79" s="42" t="n">
        <x:v>0</x:v>
      </x:c>
      <x:c r="AW79" s="19" t="str">
        <x:v>广西银瓴资产管理有限公司</x:v>
      </x:c>
      <x:c r="AX79" s="19" t="str">
        <x:v>2026-07-09</x:v>
      </x:c>
      <x:c r="AY79" s="19" t="str">
        <x:v>https://gs.amac.org.cn/amac-infodisc/res/pof/manager/101000035485.html</x:v>
      </x:c>
      <x:c r="AZ79" s="19" t="str">
        <x:v>银瓴汇金1号私募证券投资基金</x:v>
      </x:c>
      <x:c r="BA79" s="19" t="str">
        <x:v>2024-09-19</x:v>
      </x:c>
      <x:c r="BB79" s="19" t="str">
        <x:v>2026年第2季度季度更新信息</x:v>
      </x:c>
      <x:c r="BC79" s="19" t="str">
        <x:v>https://gs.amac.org.cn/amac-infodisc/res/pof/fund/2303281704112220.html</x:v>
      </x:c>
      <x:c r="BD79" s="19" t="str">
        <x:v>已匹配</x:v>
      </x:c>
      <x:c r="BE79"/>
      <x:c r="BF79"/>
    </x:row>
    <x:row r="80" ht="28" customHeight="1">
      <x:c r="A80" s="4" t="n">
        <x:v>64</x:v>
      </x:c>
      <x:c r="B80" s="15" t="str">
        <x:f>'sheet4-原始数据'!A65</x:f>
        <x:v>砚博乘风量化14号</x:v>
      </x:c>
      <x:c r="C80" s="15" t="str">
        <x:f>'sheet4-原始数据'!B65</x:f>
        <x:v>SZN225</x:v>
      </x:c>
      <x:c r="D80" s="15" t="str">
        <x:f>'sheet4-原始数据'!E65</x:f>
        <x:v>深圳前海砚博乘风资管</x:v>
      </x:c>
      <x:c r="E80" s="32" t="n">
        <x:f>IF(ISNUMBER('sheet4-原始数据'!F65),'sheet4-原始数据'!F65,"")</x:f>
        <x:v>44992</x:v>
      </x:c>
      <x:c r="F80" s="17" t="n">
        <x:f>IF(NOT(ISNUMBER(E80)),"",ROUND(('sheet1-指标体系'!$J$23-E80)/365.25,4))</x:f>
        <x:v>3.5291</x:v>
      </x:c>
      <x:c r="G80" s="4" t="str">
        <x:f t="shared" si="1">IF(NOT(ISNUMBER(F80)),"",IF(F80&lt;1,"不入池","入池"))</x:f>
        <x:v>入池</x:v>
      </x:c>
      <x:c r="H80" s="33" t="str">
        <x:v>10-20亿元</x:v>
      </x:c>
      <x:c r="I80" s="17" t="n">
        <x:f>IF(H80="","",IF(ISNUMBER(SEARCH("100亿元以上",H80)),100,IF(OR(ISNUMBER(SEARCH("20-50",H80)),ISNUMBER(SEARCH("50-100",H80)),ISNUMBER(SEARCH("20-100",H80))),90,IF(ISNUMBER(SEARCH("10-20",H80)),80,IF(ISNUMBER(SEARCH("5-10",H80)),70,IF(ISNUMBER(SEARCH("0-5",H80)),60,""))))))</x:f>
        <x:v>80</x:v>
      </x:c>
      <x:c r="J80" s="34" t="str">
        <x:v>无低于1000万元标识</x:v>
      </x:c>
      <x:c r="K80" s="17" t="n">
        <x:f>IF(J80="","",IF(J80="低于1000万元",0,100))</x:f>
        <x:v>100</x:v>
      </x:c>
      <x:c r="L80" s="17" t="n">
        <x:f>IF(NOT(ISNUMBER(F80)),"",IF(F80&lt;1,"",IF(F80&lt;3,70,100)))</x:f>
        <x:v>100</x:v>
      </x:c>
      <x:c r="M80" s="35" t="n">
        <x:f>IF(ISNUMBER('sheet4-原始数据'!G65),'sheet4-原始数据'!G65,"")</x:f>
        <x:v>0.0277</x:v>
      </x:c>
      <x:c r="N80" s="35" t="n">
        <x:f>IF(ISNUMBER('sheet4-原始数据'!H65),'sheet4-原始数据'!H65,"")</x:f>
        <x:v>0.0219</x:v>
      </x:c>
      <x:c r="O80" s="36" t="str">
        <x:f>IF(ISNUMBER('sheet4-原始数据'!Q65),'sheet4-原始数据'!Q65,"")</x:f>
      </x:c>
      <x:c r="P80" s="37" t="n">
        <x:f>IF($G80&lt;&gt;"入池","",IF($F80&gt;=3,IF(OR(NOT(ISNUMBER($M80)),NOT(ISNUMBER($N80)),1+$M80&lt;=0,1+$N80&lt;0),"",((1+$N80)^3/(1+$M80))^(1/2)-1),IF(OR($F80&lt;=1,NOT(ISNUMBER($M80)),NOT(ISNUMBER($O80)),1+$M80&lt;=0,1+$O80&lt;0),"",((1+$O80)^$F80/(1+$M80))^(1/($F80-1))-1)))</x:f>
        <x:v>0.019012286553469426</x:v>
      </x:c>
      <x:c r="Q80" s="17" t="n">
        <x:f>IF(OR($G80&lt;&gt;"入池",NOT(ISNUMBER(M80))),"",IF(COUNTIFS($G$17:$G$219,"入池",$M$17:$M$219,"&gt;=-1E+307",$M$17:$M$219,"&lt;=1E+307")&lt;=1,100,ROUND(100*(COUNTIFS($G$17:$G$219,"入池",$M$17:$M$219,"&gt;=-1E+307",$M$17:$M$219,"&lt;"&amp;M80)+COUNTIFS($G$17:$G$219,"入池",$M$17:$M$219,M80,$M$17:$M$219,"&gt;=-1E+307",$M$17:$M$219,"&lt;=1E+307")/2-0.5)/(COUNTIFS($G$17:$G$219,"入池",$M$17:$M$219,"&gt;=-1E+307",$M$17:$M$219,"&lt;=1E+307")-1),2)))</x:f>
        <x:v>31.19</x:v>
      </x:c>
      <x:c r="R80" s="17" t="n">
        <x:f>IF(OR($G80&lt;&gt;"入池",NOT(ISNUMBER(P80))),"",IF(COUNTIFS($G$17:$G$219,"入池",$P$17:$P$219,"&gt;=-1E+307",$P$17:$P$219,"&lt;=1E+307")&lt;=1,100,ROUND(100*(COUNTIFS($G$17:$G$219,"入池",$P$17:$P$219,"&gt;=-1E+307",$P$17:$P$219,"&lt;"&amp;P80)+COUNTIFS($G$17:$G$219,"入池",$P$17:$P$219,P80,$P$17:$P$219,"&gt;=-1E+307",$P$17:$P$219,"&lt;=1E+307")/2-0.5)/(COUNTIFS($G$17:$G$219,"入池",$P$17:$P$219,"&gt;=-1E+307",$P$17:$P$219,"&lt;=1E+307")-1),2)))</x:f>
        <x:v>8.42</x:v>
      </x:c>
      <x:c r="S80" s="17" t="n">
        <x:f>IF(NOT(ISNUMBER(Q80)),"",IF(NOT(ISNUMBER(R80)),Q80,ROUND(Q80*'sheet1-指标体系'!$J$8+R80*'sheet1-指标体系'!$J$9,2)))</x:f>
        <x:v>22.08</x:v>
      </x:c>
      <x:c r="T80" s="35" t="n">
        <x:f>IF(ISNUMBER('sheet4-原始数据'!J65),'sheet4-原始数据'!J65,"")</x:f>
        <x:v>0.6154</x:v>
      </x:c>
      <x:c r="U80" s="35" t="n">
        <x:f>IF(ISNUMBER('sheet4-原始数据'!I65),'sheet4-原始数据'!I65,"")</x:f>
        <x:v>0.6486</x:v>
      </x:c>
      <x:c r="V80" s="37" t="n">
        <x:f>IF(OR(NOT(ISNUMBER(T80)),NOT(ISNUMBER(U80))),"",(U80*'sheet1-指标体系'!$J$6-T80*'sheet1-指标体系'!$J$5)/'sheet1-指标体系'!$J$7)</x:f>
        <x:v>0.6665833333333332</x:v>
      </x:c>
      <x:c r="W80" s="17" t="n">
        <x:f>IF(NOT(ISNUMBER(T80)),"",T80*100)</x:f>
        <x:v>61.53999999999999</x:v>
      </x:c>
      <x:c r="X80" s="17" t="n">
        <x:f>IF($G80&lt;&gt;"入池","",IF(AND(ISNUMBER(V80),V80&gt;=0,V80&lt;=1),V80*100,IF(MAX(0,($F80-1)*12)&lt;6,100,"")))</x:f>
        <x:v>66.65833333333332</x:v>
      </x:c>
      <x:c r="Y80" s="17" t="n">
        <x:f>IF(NOT(ISNUMBER(W80)),"",IF(NOT(ISNUMBER(X80)),W80,ROUND(W80*'sheet1-指标体系'!$J$8+X80*'sheet1-指标体系'!$J$9,2)))</x:f>
        <x:v>63.59</x:v>
      </x:c>
      <x:c r="Z80" s="37" t="n">
        <x:f>IF(OR(NOT(ISNUMBER(M80)),NOT(ISNUMBER(AD80)),AD80=0),"",ABS(M80/AD80))</x:f>
        <x:v>0.02247099862091344</x:v>
      </x:c>
      <x:c r="AA80" s="35" t="n">
        <x:f>IF(ISNUMBER('sheet4-原始数据'!K65),'sheet4-原始数据'!K65,"")</x:f>
        <x:v>0.053899999999999997</x:v>
      </x:c>
      <x:c r="AB80" s="37" t="n">
        <x:f>IF(COUNT(Z80:AA80)=0,"",MAX(Z80:AA80))</x:f>
        <x:v>0.053899999999999997</x:v>
      </x:c>
      <x:c r="AC80" s="17" t="n">
        <x:f>IF(OR($G80&lt;&gt;"入池",NOT(ISNUMBER(AB80))),"",IF(COUNTIFS($G$17:$G$219,"入池",$AB$17:$AB$219,"&gt;=-1E+307",$AB$17:$AB$219,"&lt;=1E+307")&lt;=1,100,ROUND(100*(COUNTIFS($G$17:$G$219,"入池",$AB$17:$AB$219,"&lt;=1E+307",$AB$17:$AB$219,"&gt;"&amp;AB80)+COUNTIFS($G$17:$G$219,"入池",$AB$17:$AB$219,AB80,$AB$17:$AB$219,"&gt;=-1E+307",$AB$17:$AB$219,"&lt;=1E+307")/2-0.5)/(COUNTIFS($G$17:$G$219,"入池",$AB$17:$AB$219,"&gt;=-1E+307",$AB$17:$AB$219,"&lt;=1E+307")-1),2)))</x:f>
        <x:v>43.56</x:v>
      </x:c>
      <x:c r="AD80" s="38" t="n">
        <x:f>IF(ISNUMBER('sheet4-原始数据'!M65),'sheet4-原始数据'!M65,"")</x:f>
        <x:v>1.2327</x:v>
      </x:c>
      <x:c r="AE80" s="37" t="n">
        <x:f>IF(OR(NOT(ISNUMBER(P80)),NOT(ISNUMBER(AA80)),NOT(ISNUMBER(Z80))),"",IF(AA80&gt;Z80+'sheet1-指标体系'!$J$11,AA80,""))</x:f>
        <x:v>0.053899999999999997</x:v>
      </x:c>
      <x:c r="AF80" s="17" t="n">
        <x:f>IF(OR(NOT(ISNUMBER(P80)),NOT(ISNUMBER(AE80)),AE80=0),"",P80/AE80)</x:f>
        <x:v>0.3527325891181712</x:v>
      </x:c>
      <x:c r="AG80" s="17" t="n">
        <x:f>IF(OR($G80&lt;&gt;"入池",NOT(ISNUMBER(AD80))),"",IF(COUNTIFS($G$17:$G$219,"入池",$AD$17:$AD$219,"&gt;=-1E+307",$AD$17:$AD$219,"&lt;=1E+307")&lt;=1,100,ROUND(100*(COUNTIFS($G$17:$G$219,"入池",$AD$17:$AD$219,"&gt;=-1E+307",$AD$17:$AD$219,"&lt;"&amp;AD80)+COUNTIFS($G$17:$G$219,"入池",$AD$17:$AD$219,AD80,$AD$17:$AD$219,"&gt;=-1E+307",$AD$17:$AD$219,"&lt;=1E+307")/2-0.5)/(COUNTIFS($G$17:$G$219,"入池",$AD$17:$AD$219,"&gt;=-1E+307",$AD$17:$AD$219,"&lt;=1E+307")-1),2)))</x:f>
        <x:v>36.32</x:v>
      </x:c>
      <x:c r="AH80" s="17" t="n">
        <x:f>IF(OR($G80&lt;&gt;"入池",NOT(ISNUMBER(AF80))),"",IF(COUNTIFS($G$17:$G$219,"入池",$AF$17:$AF$219,"&gt;=-1E+307",$AF$17:$AF$219,"&lt;=1E+307")&lt;=1,100,ROUND(100*(COUNTIFS($G$17:$G$219,"入池",$AF$17:$AF$219,"&gt;=-1E+307",$AF$17:$AF$219,"&lt;"&amp;AF80)+COUNTIFS($G$17:$G$219,"入池",$AF$17:$AF$219,AF80,$AF$17:$AF$219,"&gt;=-1E+307",$AF$17:$AF$219,"&lt;=1E+307")/2-0.5)/(COUNTIFS($G$17:$G$219,"入池",$AF$17:$AF$219,"&gt;=-1E+307",$AF$17:$AF$219,"&lt;=1E+307")-1),2)))</x:f>
        <x:v>15.33</x:v>
      </x:c>
      <x:c r="AI80" s="17" t="n">
        <x:f>IF(NOT(ISNUMBER(AG80)),"",IF(NOT(ISNUMBER(AH80)),AG80,ROUND(AG80*'sheet1-指标体系'!$J$8+AH80*'sheet1-指标体系'!$J$9,2)))</x:f>
        <x:v>27.92</x:v>
      </x:c>
      <x:c r="AJ80" s="37" t="n">
        <x:f>IF(NOT(ISNUMBER(F80)),"",IF(F80&gt;=3,IF(NOT(ISNUMBER(N80)),"",N80),IF(NOT(ISNUMBER(O80)),"",O80)))</x:f>
        <x:v>0.0219</x:v>
      </x:c>
      <x:c r="AK80" s="17" t="n">
        <x:f>IF(OR(G80&lt;&gt;"入池",NOT(ISNUMBER(M80)),NOT(ISNUMBER(AJ80))),"",IF(M80&gt;=AJ80,100,IF(AJ80-M80&lt;'sheet1-指标体系'!$J$10,80,60)))</x:f>
        <x:v>100</x:v>
      </x:c>
      <x:c r="AL80" s="17" t="n">
        <x:f>IF(COUNT(I80,K80,L80)=0,"",ROUND((IF(ISNUMBER(I80),I80*40%,0)+IF(ISNUMBER(K80),K80*30%,0)+IF(ISNUMBER(L80),L80*30%,0))/(IF(ISNUMBER(I80),40%,0)+IF(ISNUMBER(K80),30%,0)+IF(ISNUMBER(L80),30%,0)),2))</x:f>
        <x:v>92</x:v>
      </x:c>
      <x:c r="AM80" s="17" t="n">
        <x:f>IF(COUNT(Q80,R80,W80,X80)=0,"",ROUND((IF(ISNUMBER(Q80),Q80*42%,0)+IF(ISNUMBER(R80),R80*28%,0)+IF(ISNUMBER(W80),W80*18%,0)+IF(ISNUMBER(X80),X80*12%,0))/(IF(ISNUMBER(Q80),42%,0)+IF(ISNUMBER(R80),28%,0)+IF(ISNUMBER(W80),18%,0)+IF(ISNUMBER(X80),12%,0)),2))</x:f>
        <x:v>34.53</x:v>
      </x:c>
      <x:c r="AN80" s="17" t="n">
        <x:f>IF(ISNUMBER(AC80),AC80,"")</x:f>
        <x:v>43.56</x:v>
      </x:c>
      <x:c r="AO80" s="17" t="n">
        <x:f>IF(COUNT(AG80,AH80)=0,"",ROUND((IF(ISNUMBER(AG80),AG80*60%,0)+IF(ISNUMBER(AH80),AH80*40%,0))/(IF(ISNUMBER(AG80),60%,0)+IF(ISNUMBER(AH80),40%,0)),2))</x:f>
        <x:v>27.92</x:v>
      </x:c>
      <x:c r="AP80" s="17" t="n">
        <x:f>IF(ISNUMBER(AK80),AK80,"")</x:f>
        <x:v>100</x:v>
      </x:c>
      <x:c r="AQ80" s="39" t="n">
        <x:f>IF(G80&lt;&gt;"入池",0,IF(ISNUMBER(I80),6%,0)+IF(ISNUMBER(K80),4.5%,0)+IF(ISNUMBER(L80),4.5%,0)+IF(ISNUMBER(Q80),8.4%,0)+IF(ISNUMBER(R80),5.6%,0)+IF(ISNUMBER(W80),3.6%,0)+IF(ISNUMBER(X80),2.4%,0)+IF(ISNUMBER(AC80),25%,0)+IF(ISNUMBER(AG80),18%,0)+IF(ISNUMBER(AH80),12%,0)+IF(ISNUMBER(AK80),10%,0))</x:f>
        <x:v>1</x:v>
      </x:c>
      <x:c r="AR80" s="17" t="n">
        <x:f>IF(AQ80=0,"",IF(ISNUMBER(I80),I80*6%,0)+IF(ISNUMBER(K80),K80*4.5%,0)+IF(ISNUMBER(L80),L80*4.5%,0)+IF(ISNUMBER(Q80),Q80*8.4%,0)+IF(ISNUMBER(R80),R80*5.6%,0)+IF(ISNUMBER(W80),W80*3.6%,0)+IF(ISNUMBER(X80),X80*2.4%,0)+IF(ISNUMBER(AC80),AC80*25%,0)+IF(ISNUMBER(AG80),AG80*18%,0)+IF(ISNUMBER(AH80),AH80*12%,0)+IF(ISNUMBER(AK80),AK80*10%,0))</x:f>
        <x:v>49.97392</x:v>
      </x:c>
      <x:c r="AS80" s="17" t="n">
        <x:f>IF(AQ80=0,"",ROUND(AR80/AQ80,2))</x:f>
        <x:v>49.97</x:v>
      </x:c>
      <x:c r="AT80" s="40" t="n">
        <x:f>IF(OR(G80&lt;&gt;"入池",NOT(ISNUMBER(AS80))),"",COUNTIFS($G$17:$G$219,"入池",$AS$17:$AS$219,"&gt;"&amp;AS80)+COUNTIFS($G$17:$G$219,"入池",$AS$17:$AS$219,AS80,$AQ$17:$AQ$219,"&gt;"&amp;AQ80)+COUNTIFS($G$17:G80,"入池",$AS$17:AS80,AS80,$AQ$17:AQ80,AQ80))</x:f>
        <x:v>147</x:v>
      </x:c>
      <x:c r="AU80" s="41" t="str">
        <x:f t="shared" si="2">IF(NOT(ISNUMBER(I80)),"管理人规模；","")&amp;IF(J80="","产品规模标识；","")&amp;IF(AND(F80&lt;3,NOT(ISNUMBER(O80))),"R_incep；","")&amp;IF(NOT(ISNUMBER(N80)),"近三年收益；","")&amp;IF(NOT(ISNUMBER(U80)),"近三年胜率；","")&amp;IF(AND(ISNUMBER(V80),OR(V80&lt;0,V80&gt;1)),"胜率窗口口径不一致；","")&amp;IF(NOT(ISNUMBER(AA80)),"近三年回撤；","")&amp;IF(NOT(ISNUMBER(AD80)),"短期卡玛；","")&amp;IF(AND(ISNUMBER(P80),NOT(ISNUMBER(AE80))),"DD_long不可识别；","")</x:f>
      </x:c>
      <x:c r="AV80" s="42" t="n">
        <x:v>10</x:v>
      </x:c>
      <x:c r="AW80" s="19" t="str">
        <x:v>深圳前海砚博乘风资产管理有限公司</x:v>
      </x:c>
      <x:c r="AX80" s="19" t="str">
        <x:v>2026-08-12</x:v>
      </x:c>
      <x:c r="AY80" s="19" t="str">
        <x:v>https://gs.amac.org.cn/amac-infodisc/res/pof/manager/101000062862.html</x:v>
      </x:c>
      <x:c r="AZ80" s="19" t="str">
        <x:v>砚博乘风量化14号私募证券投资基金</x:v>
      </x:c>
      <x:c r="BA80" s="19" t="str">
        <x:v>2024-12-10</x:v>
      </x:c>
      <x:c r="BB80" s="19"/>
      <x:c r="BC80" s="19" t="str">
        <x:v>https://gs.amac.org.cn/amac-infodisc/res/pof/fund/2304031854111883.html</x:v>
      </x:c>
      <x:c r="BD80" s="19" t="str">
        <x:v>已匹配</x:v>
      </x:c>
      <x:c r="BE80"/>
      <x:c r="BF80"/>
    </x:row>
    <x:row r="81" ht="28" customHeight="1">
      <x:c r="A81" s="4" t="n">
        <x:v>65</x:v>
      </x:c>
      <x:c r="B81" s="15" t="str">
        <x:f>'sheet4-原始数据'!A66</x:f>
        <x:v>平凡凡响二号</x:v>
      </x:c>
      <x:c r="C81" s="15" t="str">
        <x:f>'sheet4-原始数据'!B66</x:f>
        <x:v>SZU727</x:v>
      </x:c>
      <x:c r="D81" s="15" t="str">
        <x:f>'sheet4-原始数据'!E66</x:f>
        <x:v>北京平凡</x:v>
      </x:c>
      <x:c r="E81" s="32" t="n">
        <x:f>IF(ISNUMBER('sheet4-原始数据'!F66),'sheet4-原始数据'!F66,"")</x:f>
        <x:v>45023</x:v>
      </x:c>
      <x:c r="F81" s="17" t="n">
        <x:f>IF(NOT(ISNUMBER(E81)),"",ROUND(('sheet1-指标体系'!$J$23-E81)/365.25,4))</x:f>
        <x:v>3.4442</x:v>
      </x:c>
      <x:c r="G81" s="4" t="str">
        <x:f t="shared" ref="G81:G144" si="3">IF(NOT(ISNUMBER(F81)),"",IF(F81&lt;1,"不入池","入池"))</x:f>
        <x:v>入池</x:v>
      </x:c>
      <x:c r="H81" s="33" t="str">
        <x:v>50-100亿元</x:v>
      </x:c>
      <x:c r="I81" s="17" t="n">
        <x:f>IF(H81="","",IF(ISNUMBER(SEARCH("100亿元以上",H81)),100,IF(OR(ISNUMBER(SEARCH("20-50",H81)),ISNUMBER(SEARCH("50-100",H81)),ISNUMBER(SEARCH("20-100",H81))),90,IF(ISNUMBER(SEARCH("10-20",H81)),80,IF(ISNUMBER(SEARCH("5-10",H81)),70,IF(ISNUMBER(SEARCH("0-5",H81)),60,""))))))</x:f>
        <x:v>90</x:v>
      </x:c>
      <x:c r="J81" s="34" t="str">
        <x:v>无低于1000万元标识</x:v>
      </x:c>
      <x:c r="K81" s="17" t="n">
        <x:f>IF(J81="","",IF(J81="低于1000万元",0,100))</x:f>
        <x:v>100</x:v>
      </x:c>
      <x:c r="L81" s="17" t="n">
        <x:f>IF(NOT(ISNUMBER(F81)),"",IF(F81&lt;1,"",IF(F81&lt;3,70,100)))</x:f>
        <x:v>100</x:v>
      </x:c>
      <x:c r="M81" s="35" t="n">
        <x:f>IF(ISNUMBER('sheet4-原始数据'!G66),'sheet4-原始数据'!G66,"")</x:f>
        <x:v>0.085</x:v>
      </x:c>
      <x:c r="N81" s="35" t="n">
        <x:f>IF(ISNUMBER('sheet4-原始数据'!H66),'sheet4-原始数据'!H66,"")</x:f>
        <x:v>0.049100000000000005</x:v>
      </x:c>
      <x:c r="O81" s="36" t="str">
        <x:f>IF(ISNUMBER('sheet4-原始数据'!Q66),'sheet4-原始数据'!Q66,"")</x:f>
      </x:c>
      <x:c r="P81" s="37" t="n">
        <x:f>IF($G81&lt;&gt;"入池","",IF($F81&gt;=3,IF(OR(NOT(ISNUMBER($M81)),NOT(ISNUMBER($N81)),1+$M81&lt;=0,1+$N81&lt;0),"",((1+$N81)^3/(1+$M81))^(1/2)-1),IF(OR($F81&lt;=1,NOT(ISNUMBER($M81)),NOT(ISNUMBER($O81)),1+$M81&lt;=0,1+$O81&lt;0),"",((1+$O81)^$F81/(1+$M81))^(1/($F81-1))-1)))</x:f>
        <x:v>0.03159792866449895</x:v>
      </x:c>
      <x:c r="Q81" s="17" t="n">
        <x:f>IF(OR($G81&lt;&gt;"入池",NOT(ISNUMBER(M81))),"",IF(COUNTIFS($G$17:$G$219,"入池",$M$17:$M$219,"&gt;=-1E+307",$M$17:$M$219,"&lt;=1E+307")&lt;=1,100,ROUND(100*(COUNTIFS($G$17:$G$219,"入池",$M$17:$M$219,"&gt;=-1E+307",$M$17:$M$219,"&lt;"&amp;M81)+COUNTIFS($G$17:$G$219,"入池",$M$17:$M$219,M81,$M$17:$M$219,"&gt;=-1E+307",$M$17:$M$219,"&lt;=1E+307")/2-0.5)/(COUNTIFS($G$17:$G$219,"入池",$M$17:$M$219,"&gt;=-1E+307",$M$17:$M$219,"&lt;=1E+307")-1),2)))</x:f>
        <x:v>73.76</x:v>
      </x:c>
      <x:c r="R81" s="17" t="n">
        <x:f>IF(OR($G81&lt;&gt;"入池",NOT(ISNUMBER(P81))),"",IF(COUNTIFS($G$17:$G$219,"入池",$P$17:$P$219,"&gt;=-1E+307",$P$17:$P$219,"&lt;=1E+307")&lt;=1,100,ROUND(100*(COUNTIFS($G$17:$G$219,"入池",$P$17:$P$219,"&gt;=-1E+307",$P$17:$P$219,"&lt;"&amp;P81)+COUNTIFS($G$17:$G$219,"入池",$P$17:$P$219,P81,$P$17:$P$219,"&gt;=-1E+307",$P$17:$P$219,"&lt;=1E+307")/2-0.5)/(COUNTIFS($G$17:$G$219,"入池",$P$17:$P$219,"&gt;=-1E+307",$P$17:$P$219,"&lt;=1E+307")-1),2)))</x:f>
        <x:v>16.34</x:v>
      </x:c>
      <x:c r="S81" s="17" t="n">
        <x:f>IF(NOT(ISNUMBER(Q81)),"",IF(NOT(ISNUMBER(R81)),Q81,ROUND(Q81*'sheet1-指标体系'!$J$8+R81*'sheet1-指标体系'!$J$9,2)))</x:f>
        <x:v>50.79</x:v>
      </x:c>
      <x:c r="T81" s="35" t="n">
        <x:f>IF(ISNUMBER('sheet4-原始数据'!J66),'sheet4-原始数据'!J66,"")</x:f>
        <x:v>1</x:v>
      </x:c>
      <x:c r="U81" s="35" t="n">
        <x:f>IF(ISNUMBER('sheet4-原始数据'!I66),'sheet4-原始数据'!I66,"")</x:f>
        <x:v>0.8649</x:v>
      </x:c>
      <x:c r="V81" s="37" t="n">
        <x:f>IF(OR(NOT(ISNUMBER(T81)),NOT(ISNUMBER(U81))),"",(U81*'sheet1-指标体系'!$J$6-T81*'sheet1-指标体系'!$J$5)/'sheet1-指标体系'!$J$7)</x:f>
        <x:v>0.7917208333333333</x:v>
      </x:c>
      <x:c r="W81" s="17" t="n">
        <x:f>IF(NOT(ISNUMBER(T81)),"",T81*100)</x:f>
        <x:v>100</x:v>
      </x:c>
      <x:c r="X81" s="17" t="n">
        <x:f>IF($G81&lt;&gt;"入池","",IF(AND(ISNUMBER(V81),V81&gt;=0,V81&lt;=1),V81*100,IF(MAX(0,($F81-1)*12)&lt;6,100,"")))</x:f>
        <x:v>79.17208333333333</x:v>
      </x:c>
      <x:c r="Y81" s="17" t="n">
        <x:f>IF(NOT(ISNUMBER(W81)),"",IF(NOT(ISNUMBER(X81)),W81,ROUND(W81*'sheet1-指标体系'!$J$8+X81*'sheet1-指标体系'!$J$9,2)))</x:f>
        <x:v>91.67</x:v>
      </x:c>
      <x:c r="Z81" s="37" t="n">
        <x:f>IF(OR(NOT(ISNUMBER(M81)),NOT(ISNUMBER(AD81)),AD81=0),"",ABS(M81/AD81))</x:f>
        <x:v>0.0013017782290608974</x:v>
      </x:c>
      <x:c r="AA81" s="35" t="n">
        <x:f>IF(ISNUMBER('sheet4-原始数据'!K66),'sheet4-原始数据'!K66,"")</x:f>
        <x:v>0.0068000000000000005</x:v>
      </x:c>
      <x:c r="AB81" s="37" t="n">
        <x:f>IF(COUNT(Z81:AA81)=0,"",MAX(Z81:AA81))</x:f>
        <x:v>0.0068000000000000005</x:v>
      </x:c>
      <x:c r="AC81" s="17" t="n">
        <x:f>IF(OR($G81&lt;&gt;"入池",NOT(ISNUMBER(AB81))),"",IF(COUNTIFS($G$17:$G$219,"入池",$AB$17:$AB$219,"&gt;=-1E+307",$AB$17:$AB$219,"&lt;=1E+307")&lt;=1,100,ROUND(100*(COUNTIFS($G$17:$G$219,"入池",$AB$17:$AB$219,"&lt;=1E+307",$AB$17:$AB$219,"&gt;"&amp;AB81)+COUNTIFS($G$17:$G$219,"入池",$AB$17:$AB$219,AB81,$AB$17:$AB$219,"&gt;=-1E+307",$AB$17:$AB$219,"&lt;=1E+307")/2-0.5)/(COUNTIFS($G$17:$G$219,"入池",$AB$17:$AB$219,"&gt;=-1E+307",$AB$17:$AB$219,"&lt;=1E+307")-1),2)))</x:f>
        <x:v>93.07</x:v>
      </x:c>
      <x:c r="AD81" s="38" t="n">
        <x:f>IF(ISNUMBER('sheet4-原始数据'!M66),'sheet4-原始数据'!M66,"")</x:f>
        <x:v>65.2953</x:v>
      </x:c>
      <x:c r="AE81" s="37" t="n">
        <x:f>IF(OR(NOT(ISNUMBER(P81)),NOT(ISNUMBER(AA81)),NOT(ISNUMBER(Z81))),"",IF(AA81&gt;Z81+'sheet1-指标体系'!$J$11,AA81,""))</x:f>
        <x:v>0.0068000000000000005</x:v>
      </x:c>
      <x:c r="AF81" s="17" t="n">
        <x:f>IF(OR(NOT(ISNUMBER(P81)),NOT(ISNUMBER(AE81)),AE81=0),"",P81/AE81)</x:f>
        <x:v>4.646754215367493</x:v>
      </x:c>
      <x:c r="AG81" s="17" t="n">
        <x:f>IF(OR($G81&lt;&gt;"入池",NOT(ISNUMBER(AD81))),"",IF(COUNTIFS($G$17:$G$219,"入池",$AD$17:$AD$219,"&gt;=-1E+307",$AD$17:$AD$219,"&lt;=1E+307")&lt;=1,100,ROUND(100*(COUNTIFS($G$17:$G$219,"入池",$AD$17:$AD$219,"&gt;=-1E+307",$AD$17:$AD$219,"&lt;"&amp;AD81)+COUNTIFS($G$17:$G$219,"入池",$AD$17:$AD$219,AD81,$AD$17:$AD$219,"&gt;=-1E+307",$AD$17:$AD$219,"&lt;=1E+307")/2-0.5)/(COUNTIFS($G$17:$G$219,"入池",$AD$17:$AD$219,"&gt;=-1E+307",$AD$17:$AD$219,"&lt;=1E+307")-1),2)))</x:f>
        <x:v>99</x:v>
      </x:c>
      <x:c r="AH81" s="17" t="n">
        <x:f>IF(OR($G81&lt;&gt;"入池",NOT(ISNUMBER(AF81))),"",IF(COUNTIFS($G$17:$G$219,"入池",$AF$17:$AF$219,"&gt;=-1E+307",$AF$17:$AF$219,"&lt;=1E+307")&lt;=1,100,ROUND(100*(COUNTIFS($G$17:$G$219,"入池",$AF$17:$AF$219,"&gt;=-1E+307",$AF$17:$AF$219,"&lt;"&amp;AF81)+COUNTIFS($G$17:$G$219,"入池",$AF$17:$AF$219,AF81,$AF$17:$AF$219,"&gt;=-1E+307",$AF$17:$AF$219,"&lt;=1E+307")/2-0.5)/(COUNTIFS($G$17:$G$219,"入池",$AF$17:$AF$219,"&gt;=-1E+307",$AF$17:$AF$219,"&lt;=1E+307")-1),2)))</x:f>
        <x:v>83.21</x:v>
      </x:c>
      <x:c r="AI81" s="17" t="n">
        <x:f>IF(NOT(ISNUMBER(AG81)),"",IF(NOT(ISNUMBER(AH81)),AG81,ROUND(AG81*'sheet1-指标体系'!$J$8+AH81*'sheet1-指标体系'!$J$9,2)))</x:f>
        <x:v>92.68</x:v>
      </x:c>
      <x:c r="AJ81" s="37" t="n">
        <x:f>IF(NOT(ISNUMBER(F81)),"",IF(F81&gt;=3,IF(NOT(ISNUMBER(N81)),"",N81),IF(NOT(ISNUMBER(O81)),"",O81)))</x:f>
        <x:v>0.049100000000000005</x:v>
      </x:c>
      <x:c r="AK81" s="17" t="n">
        <x:f>IF(OR(G81&lt;&gt;"入池",NOT(ISNUMBER(M81)),NOT(ISNUMBER(AJ81))),"",IF(M81&gt;=AJ81,100,IF(AJ81-M81&lt;'sheet1-指标体系'!$J$10,80,60)))</x:f>
        <x:v>100</x:v>
      </x:c>
      <x:c r="AL81" s="17" t="n">
        <x:f>IF(COUNT(I81,K81,L81)=0,"",ROUND((IF(ISNUMBER(I81),I81*40%,0)+IF(ISNUMBER(K81),K81*30%,0)+IF(ISNUMBER(L81),L81*30%,0))/(IF(ISNUMBER(I81),40%,0)+IF(ISNUMBER(K81),30%,0)+IF(ISNUMBER(L81),30%,0)),2))</x:f>
        <x:v>96</x:v>
      </x:c>
      <x:c r="AM81" s="17" t="n">
        <x:f>IF(COUNT(Q81,R81,W81,X81)=0,"",ROUND((IF(ISNUMBER(Q81),Q81*42%,0)+IF(ISNUMBER(R81),R81*28%,0)+IF(ISNUMBER(W81),W81*18%,0)+IF(ISNUMBER(X81),X81*12%,0))/(IF(ISNUMBER(Q81),42%,0)+IF(ISNUMBER(R81),28%,0)+IF(ISNUMBER(W81),18%,0)+IF(ISNUMBER(X81),12%,0)),2))</x:f>
        <x:v>63.06</x:v>
      </x:c>
      <x:c r="AN81" s="17" t="n">
        <x:f>IF(ISNUMBER(AC81),AC81,"")</x:f>
        <x:v>93.07</x:v>
      </x:c>
      <x:c r="AO81" s="17" t="n">
        <x:f>IF(COUNT(AG81,AH81)=0,"",ROUND((IF(ISNUMBER(AG81),AG81*60%,0)+IF(ISNUMBER(AH81),AH81*40%,0))/(IF(ISNUMBER(AG81),60%,0)+IF(ISNUMBER(AH81),40%,0)),2))</x:f>
        <x:v>92.68</x:v>
      </x:c>
      <x:c r="AP81" s="17" t="n">
        <x:f>IF(ISNUMBER(AK81),AK81,"")</x:f>
        <x:v>100</x:v>
      </x:c>
      <x:c r="AQ81" s="39" t="n">
        <x:f>IF(G81&lt;&gt;"入池",0,IF(ISNUMBER(I81),6%,0)+IF(ISNUMBER(K81),4.5%,0)+IF(ISNUMBER(L81),4.5%,0)+IF(ISNUMBER(Q81),8.4%,0)+IF(ISNUMBER(R81),5.6%,0)+IF(ISNUMBER(W81),3.6%,0)+IF(ISNUMBER(X81),2.4%,0)+IF(ISNUMBER(AC81),25%,0)+IF(ISNUMBER(AG81),18%,0)+IF(ISNUMBER(AH81),12%,0)+IF(ISNUMBER(AK81),10%,0))</x:f>
        <x:v>1</x:v>
      </x:c>
      <x:c r="AR81" s="17" t="n">
        <x:f>IF(AQ81=0,"",IF(ISNUMBER(I81),I81*6%,0)+IF(ISNUMBER(K81),K81*4.5%,0)+IF(ISNUMBER(L81),L81*4.5%,0)+IF(ISNUMBER(Q81),Q81*8.4%,0)+IF(ISNUMBER(R81),R81*5.6%,0)+IF(ISNUMBER(W81),W81*3.6%,0)+IF(ISNUMBER(X81),X81*2.4%,0)+IF(ISNUMBER(AC81),AC81*25%,0)+IF(ISNUMBER(AG81),AG81*18%,0)+IF(ISNUMBER(AH81),AH81*12%,0)+IF(ISNUMBER(AK81),AK81*10%,0))</x:f>
        <x:v>88.08371</x:v>
      </x:c>
      <x:c r="AS81" s="17" t="n">
        <x:f>IF(AQ81=0,"",ROUND(AR81/AQ81,2))</x:f>
        <x:v>88.08</x:v>
      </x:c>
      <x:c r="AT81" s="40" t="n">
        <x:f>IF(OR(G81&lt;&gt;"入池",NOT(ISNUMBER(AS81))),"",COUNTIFS($G$17:$G$219,"入池",$AS$17:$AS$219,"&gt;"&amp;AS81)+COUNTIFS($G$17:$G$219,"入池",$AS$17:$AS$219,AS81,$AQ$17:$AQ$219,"&gt;"&amp;AQ81)+COUNTIFS($G$17:G81,"入池",$AS$17:AS81,AS81,$AQ$17:AQ81,AQ81))</x:f>
        <x:v>10</x:v>
      </x:c>
      <x:c r="AU81" s="41" t="str">
        <x:f t="shared" ref="AU81:AU144" si="4">IF(NOT(ISNUMBER(I81)),"管理人规模；","")&amp;IF(J81="","产品规模标识；","")&amp;IF(AND(F81&lt;3,NOT(ISNUMBER(O81))),"R_incep；","")&amp;IF(NOT(ISNUMBER(N81)),"近三年收益；","")&amp;IF(NOT(ISNUMBER(U81)),"近三年胜率；","")&amp;IF(AND(ISNUMBER(V81),OR(V81&lt;0,V81&gt;1)),"胜率窗口口径不一致；","")&amp;IF(NOT(ISNUMBER(AA81)),"近三年回撤；","")&amp;IF(NOT(ISNUMBER(AD81)),"短期卡玛；","")&amp;IF(AND(ISNUMBER(P81),NOT(ISNUMBER(AE81))),"DD_long不可识别；","")</x:f>
      </x:c>
      <x:c r="AV81" s="42" t="n">
        <x:v>50</x:v>
      </x:c>
      <x:c r="AW81" s="19" t="str">
        <x:v>北京平凡私募基金管理有限公司</x:v>
      </x:c>
      <x:c r="AX81" s="19" t="str">
        <x:v>2026-08-05</x:v>
      </x:c>
      <x:c r="AY81" s="19" t="str">
        <x:v>https://gs.amac.org.cn/amac-infodisc/res/pof/manager/101000030286.html</x:v>
      </x:c>
      <x:c r="AZ81" s="19" t="str">
        <x:v>平凡凡响二号私募证券投资基金</x:v>
      </x:c>
      <x:c r="BA81" s="19" t="str">
        <x:v>2025-03-26</x:v>
      </x:c>
      <x:c r="BB81" s="19"/>
      <x:c r="BC81" s="19" t="str">
        <x:v>https://gs.amac.org.cn/amac-infodisc/res/pof/fund/2304121918100513.html</x:v>
      </x:c>
      <x:c r="BD81" s="19" t="str">
        <x:v>已匹配</x:v>
      </x:c>
      <x:c r="BE81"/>
      <x:c r="BF81"/>
    </x:row>
    <x:row r="82" ht="28" customHeight="1">
      <x:c r="A82" s="4" t="n">
        <x:v>66</x:v>
      </x:c>
      <x:c r="B82" s="15" t="str">
        <x:f>'sheet4-原始数据'!A67</x:f>
        <x:v>鑫泰禾汇投1号</x:v>
      </x:c>
      <x:c r="C82" s="15" t="str">
        <x:f>'sheet4-原始数据'!B67</x:f>
        <x:v>SZP735</x:v>
      </x:c>
      <x:c r="D82" s="15" t="str">
        <x:f>'sheet4-原始数据'!E67</x:f>
        <x:v>深圳鑫泰禾</x:v>
      </x:c>
      <x:c r="E82" s="32" t="n">
        <x:f>IF(ISNUMBER('sheet4-原始数据'!F67),'sheet4-原始数据'!F67,"")</x:f>
        <x:v>44998</x:v>
      </x:c>
      <x:c r="F82" s="17" t="n">
        <x:f>IF(NOT(ISNUMBER(E82)),"",ROUND(('sheet1-指标体系'!$J$23-E82)/365.25,4))</x:f>
        <x:v>3.5127</x:v>
      </x:c>
      <x:c r="G82" s="4" t="str">
        <x:f t="shared" si="3">IF(NOT(ISNUMBER(F82)),"",IF(F82&lt;1,"不入池","入池"))</x:f>
        <x:v>入池</x:v>
      </x:c>
      <x:c r="H82" s="33" t="str">
        <x:v>0-5亿元</x:v>
      </x:c>
      <x:c r="I82" s="17" t="n">
        <x:f>IF(H82="","",IF(ISNUMBER(SEARCH("100亿元以上",H82)),100,IF(OR(ISNUMBER(SEARCH("20-50",H82)),ISNUMBER(SEARCH("50-100",H82)),ISNUMBER(SEARCH("20-100",H82))),90,IF(ISNUMBER(SEARCH("10-20",H82)),80,IF(ISNUMBER(SEARCH("5-10",H82)),70,IF(ISNUMBER(SEARCH("0-5",H82)),60,""))))))</x:f>
        <x:v>60</x:v>
      </x:c>
      <x:c r="J82" s="34" t="str">
        <x:v>低于1000万元</x:v>
      </x:c>
      <x:c r="K82" s="17" t="n">
        <x:f>IF(J82="","",IF(J82="低于1000万元",0,100))</x:f>
        <x:v>0</x:v>
      </x:c>
      <x:c r="L82" s="17" t="n">
        <x:f>IF(NOT(ISNUMBER(F82)),"",IF(F82&lt;1,"",IF(F82&lt;3,70,100)))</x:f>
        <x:v>100</x:v>
      </x:c>
      <x:c r="M82" s="35" t="n">
        <x:f>IF(ISNUMBER('sheet4-原始数据'!G67),'sheet4-原始数据'!G67,"")</x:f>
        <x:v>0.0481</x:v>
      </x:c>
      <x:c r="N82" s="35" t="n">
        <x:f>IF(ISNUMBER('sheet4-原始数据'!H67),'sheet4-原始数据'!H67,"")</x:f>
        <x:v>0.1013</x:v>
      </x:c>
      <x:c r="O82" s="36" t="str">
        <x:f>IF(ISNUMBER('sheet4-原始数据'!Q67),'sheet4-原始数据'!Q67,"")</x:f>
      </x:c>
      <x:c r="P82" s="37" t="n">
        <x:f>IF($G82&lt;&gt;"入池","",IF($F82&gt;=3,IF(OR(NOT(ISNUMBER($M82)),NOT(ISNUMBER($N82)),1+$M82&lt;=0,1+$N82&lt;0),"",((1+$N82)^3/(1+$M82))^(1/2)-1),IF(OR($F82&lt;=1,NOT(ISNUMBER($M82)),NOT(ISNUMBER($O82)),1+$M82&lt;=0,1+$O82&lt;0),"",((1+$O82)^$F82/(1+$M82))^(1/($F82-1))-1)))</x:f>
        <x:v>0.12890422480414632</x:v>
      </x:c>
      <x:c r="Q82" s="17" t="n">
        <x:f>IF(OR($G82&lt;&gt;"入池",NOT(ISNUMBER(M82))),"",IF(COUNTIFS($G$17:$G$219,"入池",$M$17:$M$219,"&gt;=-1E+307",$M$17:$M$219,"&lt;=1E+307")&lt;=1,100,ROUND(100*(COUNTIFS($G$17:$G$219,"入池",$M$17:$M$219,"&gt;=-1E+307",$M$17:$M$219,"&lt;"&amp;M82)+COUNTIFS($G$17:$G$219,"入池",$M$17:$M$219,M82,$M$17:$M$219,"&gt;=-1E+307",$M$17:$M$219,"&lt;=1E+307")/2-0.5)/(COUNTIFS($G$17:$G$219,"入池",$M$17:$M$219,"&gt;=-1E+307",$M$17:$M$219,"&lt;=1E+307")-1),2)))</x:f>
        <x:v>48.02</x:v>
      </x:c>
      <x:c r="R82" s="17" t="n">
        <x:f>IF(OR($G82&lt;&gt;"入池",NOT(ISNUMBER(P82))),"",IF(COUNTIFS($G$17:$G$219,"入池",$P$17:$P$219,"&gt;=-1E+307",$P$17:$P$219,"&lt;=1E+307")&lt;=1,100,ROUND(100*(COUNTIFS($G$17:$G$219,"入池",$P$17:$P$219,"&gt;=-1E+307",$P$17:$P$219,"&lt;"&amp;P82)+COUNTIFS($G$17:$G$219,"入池",$P$17:$P$219,P82,$P$17:$P$219,"&gt;=-1E+307",$P$17:$P$219,"&lt;=1E+307")/2-0.5)/(COUNTIFS($G$17:$G$219,"入池",$P$17:$P$219,"&gt;=-1E+307",$P$17:$P$219,"&lt;=1E+307")-1),2)))</x:f>
        <x:v>83.17</x:v>
      </x:c>
      <x:c r="S82" s="17" t="n">
        <x:f>IF(NOT(ISNUMBER(Q82)),"",IF(NOT(ISNUMBER(R82)),Q82,ROUND(Q82*'sheet1-指标体系'!$J$8+R82*'sheet1-指标体系'!$J$9,2)))</x:f>
        <x:v>62.08</x:v>
      </x:c>
      <x:c r="T82" s="35" t="n">
        <x:f>IF(ISNUMBER('sheet4-原始数据'!J67),'sheet4-原始数据'!J67,"")</x:f>
        <x:v>0.6923</x:v>
      </x:c>
      <x:c r="U82" s="35" t="n">
        <x:f>IF(ISNUMBER('sheet4-原始数据'!I67),'sheet4-原始数据'!I67,"")</x:f>
        <x:v>0.6757</x:v>
      </x:c>
      <x:c r="V82" s="37" t="n">
        <x:f>IF(OR(NOT(ISNUMBER(T82)),NOT(ISNUMBER(U82))),"",(U82*'sheet1-指标体系'!$J$6-T82*'sheet1-指标体系'!$J$5)/'sheet1-指标体系'!$J$7)</x:f>
        <x:v>0.6667083333333332</x:v>
      </x:c>
      <x:c r="W82" s="17" t="n">
        <x:f>IF(NOT(ISNUMBER(T82)),"",T82*100)</x:f>
        <x:v>69.23</x:v>
      </x:c>
      <x:c r="X82" s="17" t="n">
        <x:f>IF($G82&lt;&gt;"入池","",IF(AND(ISNUMBER(V82),V82&gt;=0,V82&lt;=1),V82*100,IF(MAX(0,($F82-1)*12)&lt;6,100,"")))</x:f>
        <x:v>66.67083333333332</x:v>
      </x:c>
      <x:c r="Y82" s="17" t="n">
        <x:f>IF(NOT(ISNUMBER(W82)),"",IF(NOT(ISNUMBER(X82)),W82,ROUND(W82*'sheet1-指标体系'!$J$8+X82*'sheet1-指标体系'!$J$9,2)))</x:f>
        <x:v>68.21</x:v>
      </x:c>
      <x:c r="Z82" s="37" t="n">
        <x:f>IF(OR(NOT(ISNUMBER(M82)),NOT(ISNUMBER(AD82)),AD82=0),"",ABS(M82/AD82))</x:f>
        <x:v>0.007820756711054744</x:v>
      </x:c>
      <x:c r="AA82" s="35" t="n">
        <x:f>IF(ISNUMBER('sheet4-原始数据'!K67),'sheet4-原始数据'!K67,"")</x:f>
        <x:v>0.0922</x:v>
      </x:c>
      <x:c r="AB82" s="37" t="n">
        <x:f>IF(COUNT(Z82:AA82)=0,"",MAX(Z82:AA82))</x:f>
        <x:v>0.0922</x:v>
      </x:c>
      <x:c r="AC82" s="17" t="n">
        <x:f>IF(OR($G82&lt;&gt;"入池",NOT(ISNUMBER(AB82))),"",IF(COUNTIFS($G$17:$G$219,"入池",$AB$17:$AB$219,"&gt;=-1E+307",$AB$17:$AB$219,"&lt;=1E+307")&lt;=1,100,ROUND(100*(COUNTIFS($G$17:$G$219,"入池",$AB$17:$AB$219,"&lt;=1E+307",$AB$17:$AB$219,"&gt;"&amp;AB82)+COUNTIFS($G$17:$G$219,"入池",$AB$17:$AB$219,AB82,$AB$17:$AB$219,"&gt;=-1E+307",$AB$17:$AB$219,"&lt;=1E+307")/2-0.5)/(COUNTIFS($G$17:$G$219,"入池",$AB$17:$AB$219,"&gt;=-1E+307",$AB$17:$AB$219,"&lt;=1E+307")-1),2)))</x:f>
        <x:v>29.21</x:v>
      </x:c>
      <x:c r="AD82" s="38" t="n">
        <x:f>IF(ISNUMBER('sheet4-原始数据'!M67),'sheet4-原始数据'!M67,"")</x:f>
        <x:v>6.1503</x:v>
      </x:c>
      <x:c r="AE82" s="37" t="n">
        <x:f>IF(OR(NOT(ISNUMBER(P82)),NOT(ISNUMBER(AA82)),NOT(ISNUMBER(Z82))),"",IF(AA82&gt;Z82+'sheet1-指标体系'!$J$11,AA82,""))</x:f>
        <x:v>0.0922</x:v>
      </x:c>
      <x:c r="AF82" s="17" t="n">
        <x:f>IF(OR(NOT(ISNUMBER(P82)),NOT(ISNUMBER(AE82)),AE82=0),"",P82/AE82)</x:f>
        <x:v>1.3980935445135174</x:v>
      </x:c>
      <x:c r="AG82" s="17" t="n">
        <x:f>IF(OR($G82&lt;&gt;"入池",NOT(ISNUMBER(AD82))),"",IF(COUNTIFS($G$17:$G$219,"入池",$AD$17:$AD$219,"&gt;=-1E+307",$AD$17:$AD$219,"&lt;=1E+307")&lt;=1,100,ROUND(100*(COUNTIFS($G$17:$G$219,"入池",$AD$17:$AD$219,"&gt;=-1E+307",$AD$17:$AD$219,"&lt;"&amp;AD82)+COUNTIFS($G$17:$G$219,"入池",$AD$17:$AD$219,AD82,$AD$17:$AD$219,"&gt;=-1E+307",$AD$17:$AD$219,"&lt;=1E+307")/2-0.5)/(COUNTIFS($G$17:$G$219,"入池",$AD$17:$AD$219,"&gt;=-1E+307",$AD$17:$AD$219,"&lt;=1E+307")-1),2)))</x:f>
        <x:v>67.66</x:v>
      </x:c>
      <x:c r="AH82" s="17" t="n">
        <x:f>IF(OR($G82&lt;&gt;"入池",NOT(ISNUMBER(AF82))),"",IF(COUNTIFS($G$17:$G$219,"入池",$AF$17:$AF$219,"&gt;=-1E+307",$AF$17:$AF$219,"&lt;=1E+307")&lt;=1,100,ROUND(100*(COUNTIFS($G$17:$G$219,"入池",$AF$17:$AF$219,"&gt;=-1E+307",$AF$17:$AF$219,"&lt;"&amp;AF82)+COUNTIFS($G$17:$G$219,"入池",$AF$17:$AF$219,AF82,$AF$17:$AF$219,"&gt;=-1E+307",$AF$17:$AF$219,"&lt;=1E+307")/2-0.5)/(COUNTIFS($G$17:$G$219,"入池",$AF$17:$AF$219,"&gt;=-1E+307",$AF$17:$AF$219,"&lt;=1E+307")-1),2)))</x:f>
        <x:v>52.55</x:v>
      </x:c>
      <x:c r="AI82" s="17" t="n">
        <x:f>IF(NOT(ISNUMBER(AG82)),"",IF(NOT(ISNUMBER(AH82)),AG82,ROUND(AG82*'sheet1-指标体系'!$J$8+AH82*'sheet1-指标体系'!$J$9,2)))</x:f>
        <x:v>61.62</x:v>
      </x:c>
      <x:c r="AJ82" s="37" t="n">
        <x:f>IF(NOT(ISNUMBER(F82)),"",IF(F82&gt;=3,IF(NOT(ISNUMBER(N82)),"",N82),IF(NOT(ISNUMBER(O82)),"",O82)))</x:f>
        <x:v>0.1013</x:v>
      </x:c>
      <x:c r="AK82" s="17" t="n">
        <x:f>IF(OR(G82&lt;&gt;"入池",NOT(ISNUMBER(M82)),NOT(ISNUMBER(AJ82))),"",IF(M82&gt;=AJ82,100,IF(AJ82-M82&lt;'sheet1-指标体系'!$J$10,80,60)))</x:f>
        <x:v>80</x:v>
      </x:c>
      <x:c r="AL82" s="17" t="n">
        <x:f>IF(COUNT(I82,K82,L82)=0,"",ROUND((IF(ISNUMBER(I82),I82*40%,0)+IF(ISNUMBER(K82),K82*30%,0)+IF(ISNUMBER(L82),L82*30%,0))/(IF(ISNUMBER(I82),40%,0)+IF(ISNUMBER(K82),30%,0)+IF(ISNUMBER(L82),30%,0)),2))</x:f>
        <x:v>54</x:v>
      </x:c>
      <x:c r="AM82" s="17" t="n">
        <x:f>IF(COUNT(Q82,R82,W82,X82)=0,"",ROUND((IF(ISNUMBER(Q82),Q82*42%,0)+IF(ISNUMBER(R82),R82*28%,0)+IF(ISNUMBER(W82),W82*18%,0)+IF(ISNUMBER(X82),X82*12%,0))/(IF(ISNUMBER(Q82),42%,0)+IF(ISNUMBER(R82),28%,0)+IF(ISNUMBER(W82),18%,0)+IF(ISNUMBER(X82),12%,0)),2))</x:f>
        <x:v>63.92</x:v>
      </x:c>
      <x:c r="AN82" s="17" t="n">
        <x:f>IF(ISNUMBER(AC82),AC82,"")</x:f>
        <x:v>29.21</x:v>
      </x:c>
      <x:c r="AO82" s="17" t="n">
        <x:f>IF(COUNT(AG82,AH82)=0,"",ROUND((IF(ISNUMBER(AG82),AG82*60%,0)+IF(ISNUMBER(AH82),AH82*40%,0))/(IF(ISNUMBER(AG82),60%,0)+IF(ISNUMBER(AH82),40%,0)),2))</x:f>
        <x:v>61.62</x:v>
      </x:c>
      <x:c r="AP82" s="17" t="n">
        <x:f>IF(ISNUMBER(AK82),AK82,"")</x:f>
        <x:v>80</x:v>
      </x:c>
      <x:c r="AQ82" s="39" t="n">
        <x:f>IF(G82&lt;&gt;"入池",0,IF(ISNUMBER(I82),6%,0)+IF(ISNUMBER(K82),4.5%,0)+IF(ISNUMBER(L82),4.5%,0)+IF(ISNUMBER(Q82),8.4%,0)+IF(ISNUMBER(R82),5.6%,0)+IF(ISNUMBER(W82),3.6%,0)+IF(ISNUMBER(X82),2.4%,0)+IF(ISNUMBER(AC82),25%,0)+IF(ISNUMBER(AG82),18%,0)+IF(ISNUMBER(AH82),12%,0)+IF(ISNUMBER(AK82),10%,0))</x:f>
        <x:v>1</x:v>
      </x:c>
      <x:c r="AR82" s="17" t="n">
        <x:f>IF(AQ82=0,"",IF(ISNUMBER(I82),I82*6%,0)+IF(ISNUMBER(K82),K82*4.5%,0)+IF(ISNUMBER(L82),L82*4.5%,0)+IF(ISNUMBER(Q82),Q82*8.4%,0)+IF(ISNUMBER(R82),R82*5.6%,0)+IF(ISNUMBER(W82),W82*3.6%,0)+IF(ISNUMBER(X82),X82*2.4%,0)+IF(ISNUMBER(AC82),AC82*25%,0)+IF(ISNUMBER(AG82),AG82*18%,0)+IF(ISNUMBER(AH82),AH82*12%,0)+IF(ISNUMBER(AK82),AK82*10%,0))</x:f>
        <x:v>54.67088</x:v>
      </x:c>
      <x:c r="AS82" s="17" t="n">
        <x:f>IF(AQ82=0,"",ROUND(AR82/AQ82,2))</x:f>
        <x:v>54.67</x:v>
      </x:c>
      <x:c r="AT82" s="40" t="n">
        <x:f>IF(OR(G82&lt;&gt;"入池",NOT(ISNUMBER(AS82))),"",COUNTIFS($G$17:$G$219,"入池",$AS$17:$AS$219,"&gt;"&amp;AS82)+COUNTIFS($G$17:$G$219,"入池",$AS$17:$AS$219,AS82,$AQ$17:$AQ$219,"&gt;"&amp;AQ82)+COUNTIFS($G$17:G82,"入池",$AS$17:AS82,AS82,$AQ$17:AQ82,AQ82))</x:f>
        <x:v>127</x:v>
      </x:c>
      <x:c r="AU82" s="41" t="str">
        <x:f t="shared" si="4">IF(NOT(ISNUMBER(I82)),"管理人规模；","")&amp;IF(J82="","产品规模标识；","")&amp;IF(AND(F82&lt;3,NOT(ISNUMBER(O82))),"R_incep；","")&amp;IF(NOT(ISNUMBER(N82)),"近三年收益；","")&amp;IF(NOT(ISNUMBER(U82)),"近三年胜率；","")&amp;IF(AND(ISNUMBER(V82),OR(V82&lt;0,V82&gt;1)),"胜率窗口口径不一致；","")&amp;IF(NOT(ISNUMBER(AA82)),"近三年回撤；","")&amp;IF(NOT(ISNUMBER(AD82)),"短期卡玛；","")&amp;IF(AND(ISNUMBER(P82),NOT(ISNUMBER(AE82))),"DD_long不可识别；","")</x:f>
      </x:c>
      <x:c r="AV82" s="42" t="n">
        <x:v>0</x:v>
      </x:c>
      <x:c r="AW82" s="19" t="str">
        <x:v>深圳鑫泰禾私募证券投资基金管理有限公司</x:v>
      </x:c>
      <x:c r="AX82" s="19" t="str">
        <x:v>2026-08-24</x:v>
      </x:c>
      <x:c r="AY82" s="19" t="str">
        <x:v>https://gs.amac.org.cn/amac-infodisc/res/pof/manager/101000041857.html</x:v>
      </x:c>
      <x:c r="AZ82" s="19" t="str">
        <x:v>鑫泰禾汇投1号私募证券投资基金</x:v>
      </x:c>
      <x:c r="BA82" s="19" t="str">
        <x:v>2024-09-13</x:v>
      </x:c>
      <x:c r="BB82" s="19" t="str">
        <x:v>2026年第2季度季度更新信息</x:v>
      </x:c>
      <x:c r="BC82" s="19" t="str">
        <x:v>https://gs.amac.org.cn/amac-infodisc/res/pof/fund/2305191728101923.html</x:v>
      </x:c>
      <x:c r="BD82" s="19" t="str">
        <x:v>已匹配</x:v>
      </x:c>
      <x:c r="BE82"/>
      <x:c r="BF82"/>
    </x:row>
    <x:row r="83" ht="28" customHeight="1">
      <x:c r="A83" s="4" t="n">
        <x:v>67</x:v>
      </x:c>
      <x:c r="B83" s="15" t="str">
        <x:f>'sheet4-原始数据'!A68</x:f>
        <x:v>金和和善对冲5号</x:v>
      </x:c>
      <x:c r="C83" s="15" t="str">
        <x:f>'sheet4-原始数据'!B68</x:f>
        <x:v>SZX748</x:v>
      </x:c>
      <x:c r="D83" s="15" t="str">
        <x:f>'sheet4-原始数据'!E68</x:f>
        <x:v>上海金和晟</x:v>
      </x:c>
      <x:c r="E83" s="32" t="n">
        <x:f>IF(ISNUMBER('sheet4-原始数据'!F68),'sheet4-原始数据'!F68,"")</x:f>
        <x:v>45042</x:v>
      </x:c>
      <x:c r="F83" s="17" t="n">
        <x:f>IF(NOT(ISNUMBER(E83)),"",ROUND(('sheet1-指标体系'!$J$23-E83)/365.25,4))</x:f>
        <x:v>3.3922</x:v>
      </x:c>
      <x:c r="G83" s="4" t="str">
        <x:f t="shared" si="3">IF(NOT(ISNUMBER(F83)),"",IF(F83&lt;1,"不入池","入池"))</x:f>
        <x:v>入池</x:v>
      </x:c>
      <x:c r="H83" s="33" t="str">
        <x:v>20-50亿元</x:v>
      </x:c>
      <x:c r="I83" s="17" t="n">
        <x:f>IF(H83="","",IF(ISNUMBER(SEARCH("100亿元以上",H83)),100,IF(OR(ISNUMBER(SEARCH("20-50",H83)),ISNUMBER(SEARCH("50-100",H83)),ISNUMBER(SEARCH("20-100",H83))),90,IF(ISNUMBER(SEARCH("10-20",H83)),80,IF(ISNUMBER(SEARCH("5-10",H83)),70,IF(ISNUMBER(SEARCH("0-5",H83)),60,""))))))</x:f>
        <x:v>90</x:v>
      </x:c>
      <x:c r="J83" s="34" t="str">
        <x:v>无低于1000万元标识</x:v>
      </x:c>
      <x:c r="K83" s="17" t="n">
        <x:f>IF(J83="","",IF(J83="低于1000万元",0,100))</x:f>
        <x:v>100</x:v>
      </x:c>
      <x:c r="L83" s="17" t="n">
        <x:f>IF(NOT(ISNUMBER(F83)),"",IF(F83&lt;1,"",IF(F83&lt;3,70,100)))</x:f>
        <x:v>100</x:v>
      </x:c>
      <x:c r="M83" s="35" t="n">
        <x:f>IF(ISNUMBER('sheet4-原始数据'!G68),'sheet4-原始数据'!G68,"")</x:f>
        <x:v>0.046900000000000004</x:v>
      </x:c>
      <x:c r="N83" s="35" t="n">
        <x:f>IF(ISNUMBER('sheet4-原始数据'!H68),'sheet4-原始数据'!H68,"")</x:f>
        <x:v>0.1085</x:v>
      </x:c>
      <x:c r="O83" s="36" t="str">
        <x:f>IF(ISNUMBER('sheet4-原始数据'!Q68),'sheet4-原始数据'!Q68,"")</x:f>
      </x:c>
      <x:c r="P83" s="37" t="n">
        <x:f>IF($G83&lt;&gt;"入池","",IF($F83&gt;=3,IF(OR(NOT(ISNUMBER($M83)),NOT(ISNUMBER($N83)),1+$M83&lt;=0,1+$N83&lt;0),"",((1+$N83)^3/(1+$M83))^(1/2)-1),IF(OR($F83&lt;=1,NOT(ISNUMBER($M83)),NOT(ISNUMBER($O83)),1+$M83&lt;=0,1+$O83&lt;0),"",((1+$O83)^$F83/(1+$M83))^(1/($F83-1))-1)))</x:f>
        <x:v>0.1406461692280938</x:v>
      </x:c>
      <x:c r="Q83" s="17" t="n">
        <x:f>IF(OR($G83&lt;&gt;"入池",NOT(ISNUMBER(M83))),"",IF(COUNTIFS($G$17:$G$219,"入池",$M$17:$M$219,"&gt;=-1E+307",$M$17:$M$219,"&lt;=1E+307")&lt;=1,100,ROUND(100*(COUNTIFS($G$17:$G$219,"入池",$M$17:$M$219,"&gt;=-1E+307",$M$17:$M$219,"&lt;"&amp;M83)+COUNTIFS($G$17:$G$219,"入池",$M$17:$M$219,M83,$M$17:$M$219,"&gt;=-1E+307",$M$17:$M$219,"&lt;=1E+307")/2-0.5)/(COUNTIFS($G$17:$G$219,"入池",$M$17:$M$219,"&gt;=-1E+307",$M$17:$M$219,"&lt;=1E+307")-1),2)))</x:f>
        <x:v>47.52</x:v>
      </x:c>
      <x:c r="R83" s="17" t="n">
        <x:f>IF(OR($G83&lt;&gt;"入池",NOT(ISNUMBER(P83))),"",IF(COUNTIFS($G$17:$G$219,"入池",$P$17:$P$219,"&gt;=-1E+307",$P$17:$P$219,"&lt;=1E+307")&lt;=1,100,ROUND(100*(COUNTIFS($G$17:$G$219,"入池",$P$17:$P$219,"&gt;=-1E+307",$P$17:$P$219,"&lt;"&amp;P83)+COUNTIFS($G$17:$G$219,"入池",$P$17:$P$219,P83,$P$17:$P$219,"&gt;=-1E+307",$P$17:$P$219,"&lt;=1E+307")/2-0.5)/(COUNTIFS($G$17:$G$219,"入池",$P$17:$P$219,"&gt;=-1E+307",$P$17:$P$219,"&lt;=1E+307")-1),2)))</x:f>
        <x:v>87.13</x:v>
      </x:c>
      <x:c r="S83" s="17" t="n">
        <x:f>IF(NOT(ISNUMBER(Q83)),"",IF(NOT(ISNUMBER(R83)),Q83,ROUND(Q83*'sheet1-指标体系'!$J$8+R83*'sheet1-指标体系'!$J$9,2)))</x:f>
        <x:v>63.36</x:v>
      </x:c>
      <x:c r="T83" s="35" t="n">
        <x:f>IF(ISNUMBER('sheet4-原始数据'!J68),'sheet4-原始数据'!J68,"")</x:f>
        <x:v>0.7692</x:v>
      </x:c>
      <x:c r="U83" s="35" t="n">
        <x:f>IF(ISNUMBER('sheet4-原始数据'!I68),'sheet4-原始数据'!I68,"")</x:f>
        <x:v>0.8378</x:v>
      </x:c>
      <x:c r="V83" s="37" t="n">
        <x:f>IF(OR(NOT(ISNUMBER(T83)),NOT(ISNUMBER(U83))),"",(U83*'sheet1-指标体系'!$J$6-T83*'sheet1-指标体系'!$J$5)/'sheet1-指标体系'!$J$7)</x:f>
        <x:v>0.8749583333333334</x:v>
      </x:c>
      <x:c r="W83" s="17" t="n">
        <x:f>IF(NOT(ISNUMBER(T83)),"",T83*100)</x:f>
        <x:v>76.92</x:v>
      </x:c>
      <x:c r="X83" s="17" t="n">
        <x:f>IF($G83&lt;&gt;"入池","",IF(AND(ISNUMBER(V83),V83&gt;=0,V83&lt;=1),V83*100,IF(MAX(0,($F83-1)*12)&lt;6,100,"")))</x:f>
        <x:v>87.49583333333334</x:v>
      </x:c>
      <x:c r="Y83" s="17" t="n">
        <x:f>IF(NOT(ISNUMBER(W83)),"",IF(NOT(ISNUMBER(X83)),W83,ROUND(W83*'sheet1-指标体系'!$J$8+X83*'sheet1-指标体系'!$J$9,2)))</x:f>
        <x:v>81.15</x:v>
      </x:c>
      <x:c r="Z83" s="37" t="n">
        <x:f>IF(OR(NOT(ISNUMBER(M83)),NOT(ISNUMBER(AD83)),AD83=0),"",ABS(M83/AD83))</x:f>
        <x:v>0.011586254601151215</x:v>
      </x:c>
      <x:c r="AA83" s="35" t="n">
        <x:f>IF(ISNUMBER('sheet4-原始数据'!K68),'sheet4-原始数据'!K68,"")</x:f>
        <x:v>0.0116</x:v>
      </x:c>
      <x:c r="AB83" s="37" t="n">
        <x:f>IF(COUNT(Z83:AA83)=0,"",MAX(Z83:AA83))</x:f>
        <x:v>0.0116</x:v>
      </x:c>
      <x:c r="AC83" s="17" t="n">
        <x:f>IF(OR($G83&lt;&gt;"入池",NOT(ISNUMBER(AB83))),"",IF(COUNTIFS($G$17:$G$219,"入池",$AB$17:$AB$219,"&gt;=-1E+307",$AB$17:$AB$219,"&lt;=1E+307")&lt;=1,100,ROUND(100*(COUNTIFS($G$17:$G$219,"入池",$AB$17:$AB$219,"&lt;=1E+307",$AB$17:$AB$219,"&gt;"&amp;AB83)+COUNTIFS($G$17:$G$219,"入池",$AB$17:$AB$219,AB83,$AB$17:$AB$219,"&gt;=-1E+307",$AB$17:$AB$219,"&lt;=1E+307")/2-0.5)/(COUNTIFS($G$17:$G$219,"入池",$AB$17:$AB$219,"&gt;=-1E+307",$AB$17:$AB$219,"&lt;=1E+307")-1),2)))</x:f>
        <x:v>84.65</x:v>
      </x:c>
      <x:c r="AD83" s="38" t="n">
        <x:f>IF(ISNUMBER('sheet4-原始数据'!M68),'sheet4-原始数据'!M68,"")</x:f>
        <x:v>4.0479</x:v>
      </x:c>
      <x:c r="AE83" s="37" t="str">
        <x:f>IF(OR(NOT(ISNUMBER(P83)),NOT(ISNUMBER(AA83)),NOT(ISNUMBER(Z83))),"",IF(AA83&gt;Z83+'sheet1-指标体系'!$J$11,AA83,""))</x:f>
      </x:c>
      <x:c r="AF83" s="17" t="str">
        <x:f>IF(OR(NOT(ISNUMBER(P83)),NOT(ISNUMBER(AE83)),AE83=0),"",P83/AE83)</x:f>
      </x:c>
      <x:c r="AG83" s="17" t="n">
        <x:f>IF(OR($G83&lt;&gt;"入池",NOT(ISNUMBER(AD83))),"",IF(COUNTIFS($G$17:$G$219,"入池",$AD$17:$AD$219,"&gt;=-1E+307",$AD$17:$AD$219,"&lt;=1E+307")&lt;=1,100,ROUND(100*(COUNTIFS($G$17:$G$219,"入池",$AD$17:$AD$219,"&gt;=-1E+307",$AD$17:$AD$219,"&lt;"&amp;AD83)+COUNTIFS($G$17:$G$219,"入池",$AD$17:$AD$219,AD83,$AD$17:$AD$219,"&gt;=-1E+307",$AD$17:$AD$219,"&lt;=1E+307")/2-0.5)/(COUNTIFS($G$17:$G$219,"入池",$AD$17:$AD$219,"&gt;=-1E+307",$AD$17:$AD$219,"&lt;=1E+307")-1),2)))</x:f>
        <x:v>60.2</x:v>
      </x:c>
      <x:c r="AH83" s="17" t="str">
        <x:f>IF(OR($G83&lt;&gt;"入池",NOT(ISNUMBER(AF83))),"",IF(COUNTIFS($G$17:$G$219,"入池",$AF$17:$AF$219,"&gt;=-1E+307",$AF$17:$AF$219,"&lt;=1E+307")&lt;=1,100,ROUND(100*(COUNTIFS($G$17:$G$219,"入池",$AF$17:$AF$219,"&gt;=-1E+307",$AF$17:$AF$219,"&lt;"&amp;AF83)+COUNTIFS($G$17:$G$219,"入池",$AF$17:$AF$219,AF83,$AF$17:$AF$219,"&gt;=-1E+307",$AF$17:$AF$219,"&lt;=1E+307")/2-0.5)/(COUNTIFS($G$17:$G$219,"入池",$AF$17:$AF$219,"&gt;=-1E+307",$AF$17:$AF$219,"&lt;=1E+307")-1),2)))</x:f>
      </x:c>
      <x:c r="AI83" s="17" t="n">
        <x:f>IF(NOT(ISNUMBER(AG83)),"",IF(NOT(ISNUMBER(AH83)),AG83,ROUND(AG83*'sheet1-指标体系'!$J$8+AH83*'sheet1-指标体系'!$J$9,2)))</x:f>
        <x:v>60.2</x:v>
      </x:c>
      <x:c r="AJ83" s="37" t="n">
        <x:f>IF(NOT(ISNUMBER(F83)),"",IF(F83&gt;=3,IF(NOT(ISNUMBER(N83)),"",N83),IF(NOT(ISNUMBER(O83)),"",O83)))</x:f>
        <x:v>0.1085</x:v>
      </x:c>
      <x:c r="AK83" s="17" t="n">
        <x:f>IF(OR(G83&lt;&gt;"入池",NOT(ISNUMBER(M83)),NOT(ISNUMBER(AJ83))),"",IF(M83&gt;=AJ83,100,IF(AJ83-M83&lt;'sheet1-指标体系'!$J$10,80,60)))</x:f>
        <x:v>80</x:v>
      </x:c>
      <x:c r="AL83" s="17" t="n">
        <x:f>IF(COUNT(I83,K83,L83)=0,"",ROUND((IF(ISNUMBER(I83),I83*40%,0)+IF(ISNUMBER(K83),K83*30%,0)+IF(ISNUMBER(L83),L83*30%,0))/(IF(ISNUMBER(I83),40%,0)+IF(ISNUMBER(K83),30%,0)+IF(ISNUMBER(L83),30%,0)),2))</x:f>
        <x:v>96</x:v>
      </x:c>
      <x:c r="AM83" s="17" t="n">
        <x:f>IF(COUNT(Q83,R83,W83,X83)=0,"",ROUND((IF(ISNUMBER(Q83),Q83*42%,0)+IF(ISNUMBER(R83),R83*28%,0)+IF(ISNUMBER(W83),W83*18%,0)+IF(ISNUMBER(X83),X83*12%,0))/(IF(ISNUMBER(Q83),42%,0)+IF(ISNUMBER(R83),28%,0)+IF(ISNUMBER(W83),18%,0)+IF(ISNUMBER(X83),12%,0)),2))</x:f>
        <x:v>68.7</x:v>
      </x:c>
      <x:c r="AN83" s="17" t="n">
        <x:f>IF(ISNUMBER(AC83),AC83,"")</x:f>
        <x:v>84.65</x:v>
      </x:c>
      <x:c r="AO83" s="17" t="n">
        <x:f>IF(COUNT(AG83,AH83)=0,"",ROUND((IF(ISNUMBER(AG83),AG83*60%,0)+IF(ISNUMBER(AH83),AH83*40%,0))/(IF(ISNUMBER(AG83),60%,0)+IF(ISNUMBER(AH83),40%,0)),2))</x:f>
        <x:v>60.2</x:v>
      </x:c>
      <x:c r="AP83" s="17" t="n">
        <x:f>IF(ISNUMBER(AK83),AK83,"")</x:f>
        <x:v>80</x:v>
      </x:c>
      <x:c r="AQ83" s="39" t="n">
        <x:f>IF(G83&lt;&gt;"入池",0,IF(ISNUMBER(I83),6%,0)+IF(ISNUMBER(K83),4.5%,0)+IF(ISNUMBER(L83),4.5%,0)+IF(ISNUMBER(Q83),8.4%,0)+IF(ISNUMBER(R83),5.6%,0)+IF(ISNUMBER(W83),3.6%,0)+IF(ISNUMBER(X83),2.4%,0)+IF(ISNUMBER(AC83),25%,0)+IF(ISNUMBER(AG83),18%,0)+IF(ISNUMBER(AH83),12%,0)+IF(ISNUMBER(AK83),10%,0))</x:f>
        <x:v>0.88</x:v>
      </x:c>
      <x:c r="AR83" s="17" t="n">
        <x:f>IF(AQ83=0,"",IF(ISNUMBER(I83),I83*6%,0)+IF(ISNUMBER(K83),K83*4.5%,0)+IF(ISNUMBER(L83),L83*4.5%,0)+IF(ISNUMBER(Q83),Q83*8.4%,0)+IF(ISNUMBER(R83),R83*5.6%,0)+IF(ISNUMBER(W83),W83*3.6%,0)+IF(ISNUMBER(X83),X83*2.4%,0)+IF(ISNUMBER(AC83),AC83*25%,0)+IF(ISNUMBER(AG83),AG83*18%,0)+IF(ISNUMBER(AH83),AH83*12%,0)+IF(ISNUMBER(AK83),AK83*10%,0))</x:f>
        <x:v>68.13848</x:v>
      </x:c>
      <x:c r="AS83" s="17" t="n">
        <x:f>IF(AQ83=0,"",ROUND(AR83/AQ83,2))</x:f>
        <x:v>77.43</x:v>
      </x:c>
      <x:c r="AT83" s="40" t="n">
        <x:f>IF(OR(G83&lt;&gt;"入池",NOT(ISNUMBER(AS83))),"",COUNTIFS($G$17:$G$219,"入池",$AS$17:$AS$219,"&gt;"&amp;AS83)+COUNTIFS($G$17:$G$219,"入池",$AS$17:$AS$219,AS83,$AQ$17:$AQ$219,"&gt;"&amp;AQ83)+COUNTIFS($G$17:G83,"入池",$AS$17:AS83,AS83,$AQ$17:AQ83,AQ83))</x:f>
        <x:v>40</x:v>
      </x:c>
      <x:c r="AU83" s="41" t="str">
        <x:f t="shared" si="4">IF(NOT(ISNUMBER(I83)),"管理人规模；","")&amp;IF(J83="","产品规模标识；","")&amp;IF(AND(F83&lt;3,NOT(ISNUMBER(O83))),"R_incep；","")&amp;IF(NOT(ISNUMBER(N83)),"近三年收益；","")&amp;IF(NOT(ISNUMBER(U83)),"近三年胜率；","")&amp;IF(AND(ISNUMBER(V83),OR(V83&lt;0,V83&gt;1)),"胜率窗口口径不一致；","")&amp;IF(NOT(ISNUMBER(AA83)),"近三年回撤；","")&amp;IF(NOT(ISNUMBER(AD83)),"短期卡玛；","")&amp;IF(AND(ISNUMBER(P83),NOT(ISNUMBER(AE83))),"DD_long不可识别；","")</x:f>
        <x:v>DD_long不可识别；</x:v>
      </x:c>
      <x:c r="AV83" s="42" t="n">
        <x:v>20</x:v>
      </x:c>
      <x:c r="AW83" s="19" t="str">
        <x:v>上海金和晟私募基金管理有限公司</x:v>
      </x:c>
      <x:c r="AX83" s="19" t="str">
        <x:v>2026-03-27</x:v>
      </x:c>
      <x:c r="AY83" s="19" t="str">
        <x:v>https://gs.amac.org.cn/amac-infodisc/res/pof/manager/2010280957108370.html</x:v>
      </x:c>
      <x:c r="AZ83" s="19" t="str">
        <x:v>金和和善对冲5号私募证券投资基金</x:v>
      </x:c>
      <x:c r="BA83" s="19" t="str">
        <x:v>2026-08-04</x:v>
      </x:c>
      <x:c r="BB83" s="19"/>
      <x:c r="BC83" s="19" t="str">
        <x:v>https://gs.amac.org.cn/amac-infodisc/res/pof/fund/2305251549108521.html</x:v>
      </x:c>
      <x:c r="BD83" s="19" t="str">
        <x:v>已匹配</x:v>
      </x:c>
      <x:c r="BE83"/>
      <x:c r="BF83"/>
    </x:row>
    <x:row r="84" ht="28" customHeight="1">
      <x:c r="A84" s="4" t="n">
        <x:v>68</x:v>
      </x:c>
      <x:c r="B84" s="15" t="str">
        <x:f>'sheet4-原始数据'!A69</x:f>
        <x:v>银瓴汇金3号</x:v>
      </x:c>
      <x:c r="C84" s="15" t="str">
        <x:f>'sheet4-原始数据'!B69</x:f>
        <x:v>S03979</x:v>
      </x:c>
      <x:c r="D84" s="15" t="str">
        <x:f>'sheet4-原始数据'!E69</x:f>
        <x:v>广西银瓴资产</x:v>
      </x:c>
      <x:c r="E84" s="32" t="n">
        <x:f>IF(ISNUMBER('sheet4-原始数据'!F69),'sheet4-原始数据'!F69,"")</x:f>
        <x:v>45065</x:v>
      </x:c>
      <x:c r="F84" s="17" t="n">
        <x:f>IF(NOT(ISNUMBER(E84)),"",ROUND(('sheet1-指标体系'!$J$23-E84)/365.25,4))</x:f>
        <x:v>3.3292</x:v>
      </x:c>
      <x:c r="G84" s="4" t="str">
        <x:f t="shared" si="3">IF(NOT(ISNUMBER(F84)),"",IF(F84&lt;1,"不入池","入池"))</x:f>
        <x:v>入池</x:v>
      </x:c>
      <x:c r="H84" s="33" t="str">
        <x:v>0-5亿元</x:v>
      </x:c>
      <x:c r="I84" s="17" t="n">
        <x:f>IF(H84="","",IF(ISNUMBER(SEARCH("100亿元以上",H84)),100,IF(OR(ISNUMBER(SEARCH("20-50",H84)),ISNUMBER(SEARCH("50-100",H84)),ISNUMBER(SEARCH("20-100",H84))),90,IF(ISNUMBER(SEARCH("10-20",H84)),80,IF(ISNUMBER(SEARCH("5-10",H84)),70,IF(ISNUMBER(SEARCH("0-5",H84)),60,""))))))</x:f>
        <x:v>60</x:v>
      </x:c>
      <x:c r="J84" s="34" t="str">
        <x:v>低于1000万元</x:v>
      </x:c>
      <x:c r="K84" s="17" t="n">
        <x:f>IF(J84="","",IF(J84="低于1000万元",0,100))</x:f>
        <x:v>0</x:v>
      </x:c>
      <x:c r="L84" s="17" t="n">
        <x:f>IF(NOT(ISNUMBER(F84)),"",IF(F84&lt;1,"",IF(F84&lt;3,70,100)))</x:f>
        <x:v>100</x:v>
      </x:c>
      <x:c r="M84" s="35" t="n">
        <x:f>IF(ISNUMBER('sheet4-原始数据'!G69),'sheet4-原始数据'!G69,"")</x:f>
        <x:v>-0.041299999999999996</x:v>
      </x:c>
      <x:c r="N84" s="35" t="n">
        <x:f>IF(ISNUMBER('sheet4-原始数据'!H69),'sheet4-原始数据'!H69,"")</x:f>
        <x:v>0.0116</x:v>
      </x:c>
      <x:c r="O84" s="36" t="str">
        <x:f>IF(ISNUMBER('sheet4-原始数据'!Q69),'sheet4-原始数据'!Q69,"")</x:f>
      </x:c>
      <x:c r="P84" s="37" t="n">
        <x:f>IF($G84&lt;&gt;"入池","",IF($F84&gt;=3,IF(OR(NOT(ISNUMBER($M84)),NOT(ISNUMBER($N84)),1+$M84&lt;=0,1+$N84&lt;0),"",((1+$N84)^3/(1+$M84))^(1/2)-1),IF(OR($F84&lt;=1,NOT(ISNUMBER($M84)),NOT(ISNUMBER($O84)),1+$M84&lt;=0,1+$O84&lt;0),"",((1+$O84)^$F84/(1+$M84))^(1/($F84-1))-1)))</x:f>
        <x:v>0.039134747350980215</x:v>
      </x:c>
      <x:c r="Q84" s="17" t="n">
        <x:f>IF(OR($G84&lt;&gt;"入池",NOT(ISNUMBER(M84))),"",IF(COUNTIFS($G$17:$G$219,"入池",$M$17:$M$219,"&gt;=-1E+307",$M$17:$M$219,"&lt;=1E+307")&lt;=1,100,ROUND(100*(COUNTIFS($G$17:$G$219,"入池",$M$17:$M$219,"&gt;=-1E+307",$M$17:$M$219,"&lt;"&amp;M84)+COUNTIFS($G$17:$G$219,"入池",$M$17:$M$219,M84,$M$17:$M$219,"&gt;=-1E+307",$M$17:$M$219,"&lt;=1E+307")/2-0.5)/(COUNTIFS($G$17:$G$219,"入池",$M$17:$M$219,"&gt;=-1E+307",$M$17:$M$219,"&lt;=1E+307")-1),2)))</x:f>
        <x:v>10.4</x:v>
      </x:c>
      <x:c r="R84" s="17" t="n">
        <x:f>IF(OR($G84&lt;&gt;"入池",NOT(ISNUMBER(P84))),"",IF(COUNTIFS($G$17:$G$219,"入池",$P$17:$P$219,"&gt;=-1E+307",$P$17:$P$219,"&lt;=1E+307")&lt;=1,100,ROUND(100*(COUNTIFS($G$17:$G$219,"入池",$P$17:$P$219,"&gt;=-1E+307",$P$17:$P$219,"&lt;"&amp;P84)+COUNTIFS($G$17:$G$219,"入池",$P$17:$P$219,P84,$P$17:$P$219,"&gt;=-1E+307",$P$17:$P$219,"&lt;=1E+307")/2-0.5)/(COUNTIFS($G$17:$G$219,"入池",$P$17:$P$219,"&gt;=-1E+307",$P$17:$P$219,"&lt;=1E+307")-1),2)))</x:f>
        <x:v>26.24</x:v>
      </x:c>
      <x:c r="S84" s="17" t="n">
        <x:f>IF(NOT(ISNUMBER(Q84)),"",IF(NOT(ISNUMBER(R84)),Q84,ROUND(Q84*'sheet1-指标体系'!$J$8+R84*'sheet1-指标体系'!$J$9,2)))</x:f>
        <x:v>16.74</x:v>
      </x:c>
      <x:c r="T84" s="35" t="n">
        <x:f>IF(ISNUMBER('sheet4-原始数据'!J69),'sheet4-原始数据'!J69,"")</x:f>
        <x:v>0.3846</x:v>
      </x:c>
      <x:c r="U84" s="35" t="n">
        <x:f>IF(ISNUMBER('sheet4-原始数据'!I69),'sheet4-原始数据'!I69,"")</x:f>
        <x:v>0.5135000000000001</x:v>
      </x:c>
      <x:c r="V84" s="37" t="n">
        <x:f>IF(OR(NOT(ISNUMBER(T84)),NOT(ISNUMBER(U84))),"",(U84*'sheet1-指标体系'!$J$6-T84*'sheet1-指标体系'!$J$5)/'sheet1-指标体系'!$J$7)</x:f>
        <x:v>0.5833208333333334</x:v>
      </x:c>
      <x:c r="W84" s="17" t="n">
        <x:f>IF(NOT(ISNUMBER(T84)),"",T84*100)</x:f>
        <x:v>38.46</x:v>
      </x:c>
      <x:c r="X84" s="17" t="n">
        <x:f>IF($G84&lt;&gt;"入池","",IF(AND(ISNUMBER(V84),V84&gt;=0,V84&lt;=1),V84*100,IF(MAX(0,($F84-1)*12)&lt;6,100,"")))</x:f>
        <x:v>58.33208333333334</x:v>
      </x:c>
      <x:c r="Y84" s="17" t="n">
        <x:f>IF(NOT(ISNUMBER(W84)),"",IF(NOT(ISNUMBER(X84)),W84,ROUND(W84*'sheet1-指标体系'!$J$8+X84*'sheet1-指标体系'!$J$9,2)))</x:f>
        <x:v>46.41</x:v>
      </x:c>
      <x:c r="Z84" s="37" t="n">
        <x:f>IF(OR(NOT(ISNUMBER(M84)),NOT(ISNUMBER(AD84)),AD84=0),"",ABS(M84/AD84))</x:f>
        <x:v>0.12277051129607609</x:v>
      </x:c>
      <x:c r="AA84" s="35" t="n">
        <x:f>IF(ISNUMBER('sheet4-原始数据'!K69),'sheet4-原始数据'!K69,"")</x:f>
        <x:v>0.12269999999999999</x:v>
      </x:c>
      <x:c r="AB84" s="37" t="n">
        <x:f>IF(COUNT(Z84:AA84)=0,"",MAX(Z84:AA84))</x:f>
        <x:v>0.12277051129607609</x:v>
      </x:c>
      <x:c r="AC84" s="17" t="n">
        <x:f>IF(OR($G84&lt;&gt;"入池",NOT(ISNUMBER(AB84))),"",IF(COUNTIFS($G$17:$G$219,"入池",$AB$17:$AB$219,"&gt;=-1E+307",$AB$17:$AB$219,"&lt;=1E+307")&lt;=1,100,ROUND(100*(COUNTIFS($G$17:$G$219,"入池",$AB$17:$AB$219,"&lt;=1E+307",$AB$17:$AB$219,"&gt;"&amp;AB84)+COUNTIFS($G$17:$G$219,"入池",$AB$17:$AB$219,AB84,$AB$17:$AB$219,"&gt;=-1E+307",$AB$17:$AB$219,"&lt;=1E+307")/2-0.5)/(COUNTIFS($G$17:$G$219,"入池",$AB$17:$AB$219,"&gt;=-1E+307",$AB$17:$AB$219,"&lt;=1E+307")-1),2)))</x:f>
        <x:v>18.81</x:v>
      </x:c>
      <x:c r="AD84" s="38" t="n">
        <x:f>IF(ISNUMBER('sheet4-原始数据'!M69),'sheet4-原始数据'!M69,"")</x:f>
        <x:v>-0.3364</x:v>
      </x:c>
      <x:c r="AE84" s="37" t="str">
        <x:f>IF(OR(NOT(ISNUMBER(P84)),NOT(ISNUMBER(AA84)),NOT(ISNUMBER(Z84))),"",IF(AA84&gt;Z84+'sheet1-指标体系'!$J$11,AA84,""))</x:f>
      </x:c>
      <x:c r="AF84" s="17" t="str">
        <x:f>IF(OR(NOT(ISNUMBER(P84)),NOT(ISNUMBER(AE84)),AE84=0),"",P84/AE84)</x:f>
      </x:c>
      <x:c r="AG84" s="17" t="n">
        <x:f>IF(OR($G84&lt;&gt;"入池",NOT(ISNUMBER(AD84))),"",IF(COUNTIFS($G$17:$G$219,"入池",$AD$17:$AD$219,"&gt;=-1E+307",$AD$17:$AD$219,"&lt;=1E+307")&lt;=1,100,ROUND(100*(COUNTIFS($G$17:$G$219,"入池",$AD$17:$AD$219,"&gt;=-1E+307",$AD$17:$AD$219,"&lt;"&amp;AD84)+COUNTIFS($G$17:$G$219,"入池",$AD$17:$AD$219,AD84,$AD$17:$AD$219,"&gt;=-1E+307",$AD$17:$AD$219,"&lt;=1E+307")/2-0.5)/(COUNTIFS($G$17:$G$219,"入池",$AD$17:$AD$219,"&gt;=-1E+307",$AD$17:$AD$219,"&lt;=1E+307")-1),2)))</x:f>
        <x:v>12.44</x:v>
      </x:c>
      <x:c r="AH84" s="17" t="str">
        <x:f>IF(OR($G84&lt;&gt;"入池",NOT(ISNUMBER(AF84))),"",IF(COUNTIFS($G$17:$G$219,"入池",$AF$17:$AF$219,"&gt;=-1E+307",$AF$17:$AF$219,"&lt;=1E+307")&lt;=1,100,ROUND(100*(COUNTIFS($G$17:$G$219,"入池",$AF$17:$AF$219,"&gt;=-1E+307",$AF$17:$AF$219,"&lt;"&amp;AF84)+COUNTIFS($G$17:$G$219,"入池",$AF$17:$AF$219,AF84,$AF$17:$AF$219,"&gt;=-1E+307",$AF$17:$AF$219,"&lt;=1E+307")/2-0.5)/(COUNTIFS($G$17:$G$219,"入池",$AF$17:$AF$219,"&gt;=-1E+307",$AF$17:$AF$219,"&lt;=1E+307")-1),2)))</x:f>
      </x:c>
      <x:c r="AI84" s="17" t="n">
        <x:f>IF(NOT(ISNUMBER(AG84)),"",IF(NOT(ISNUMBER(AH84)),AG84,ROUND(AG84*'sheet1-指标体系'!$J$8+AH84*'sheet1-指标体系'!$J$9,2)))</x:f>
        <x:v>12.44</x:v>
      </x:c>
      <x:c r="AJ84" s="37" t="n">
        <x:f>IF(NOT(ISNUMBER(F84)),"",IF(F84&gt;=3,IF(NOT(ISNUMBER(N84)),"",N84),IF(NOT(ISNUMBER(O84)),"",O84)))</x:f>
        <x:v>0.0116</x:v>
      </x:c>
      <x:c r="AK84" s="17" t="n">
        <x:f>IF(OR(G84&lt;&gt;"入池",NOT(ISNUMBER(M84)),NOT(ISNUMBER(AJ84))),"",IF(M84&gt;=AJ84,100,IF(AJ84-M84&lt;'sheet1-指标体系'!$J$10,80,60)))</x:f>
        <x:v>80</x:v>
      </x:c>
      <x:c r="AL84" s="17" t="n">
        <x:f>IF(COUNT(I84,K84,L84)=0,"",ROUND((IF(ISNUMBER(I84),I84*40%,0)+IF(ISNUMBER(K84),K84*30%,0)+IF(ISNUMBER(L84),L84*30%,0))/(IF(ISNUMBER(I84),40%,0)+IF(ISNUMBER(K84),30%,0)+IF(ISNUMBER(L84),30%,0)),2))</x:f>
        <x:v>54</x:v>
      </x:c>
      <x:c r="AM84" s="17" t="n">
        <x:f>IF(COUNT(Q84,R84,W84,X84)=0,"",ROUND((IF(ISNUMBER(Q84),Q84*42%,0)+IF(ISNUMBER(R84),R84*28%,0)+IF(ISNUMBER(W84),W84*18%,0)+IF(ISNUMBER(X84),X84*12%,0))/(IF(ISNUMBER(Q84),42%,0)+IF(ISNUMBER(R84),28%,0)+IF(ISNUMBER(W84),18%,0)+IF(ISNUMBER(X84),12%,0)),2))</x:f>
        <x:v>25.64</x:v>
      </x:c>
      <x:c r="AN84" s="17" t="n">
        <x:f>IF(ISNUMBER(AC84),AC84,"")</x:f>
        <x:v>18.81</x:v>
      </x:c>
      <x:c r="AO84" s="17" t="n">
        <x:f>IF(COUNT(AG84,AH84)=0,"",ROUND((IF(ISNUMBER(AG84),AG84*60%,0)+IF(ISNUMBER(AH84),AH84*40%,0))/(IF(ISNUMBER(AG84),60%,0)+IF(ISNUMBER(AH84),40%,0)),2))</x:f>
        <x:v>12.44</x:v>
      </x:c>
      <x:c r="AP84" s="17" t="n">
        <x:f>IF(ISNUMBER(AK84),AK84,"")</x:f>
        <x:v>80</x:v>
      </x:c>
      <x:c r="AQ84" s="39" t="n">
        <x:f>IF(G84&lt;&gt;"入池",0,IF(ISNUMBER(I84),6%,0)+IF(ISNUMBER(K84),4.5%,0)+IF(ISNUMBER(L84),4.5%,0)+IF(ISNUMBER(Q84),8.4%,0)+IF(ISNUMBER(R84),5.6%,0)+IF(ISNUMBER(W84),3.6%,0)+IF(ISNUMBER(X84),2.4%,0)+IF(ISNUMBER(AC84),25%,0)+IF(ISNUMBER(AG84),18%,0)+IF(ISNUMBER(AH84),12%,0)+IF(ISNUMBER(AK84),10%,0))</x:f>
        <x:v>0.88</x:v>
      </x:c>
      <x:c r="AR84" s="17" t="n">
        <x:f>IF(AQ84=0,"",IF(ISNUMBER(I84),I84*6%,0)+IF(ISNUMBER(K84),K84*4.5%,0)+IF(ISNUMBER(L84),L84*4.5%,0)+IF(ISNUMBER(Q84),Q84*8.4%,0)+IF(ISNUMBER(R84),R84*5.6%,0)+IF(ISNUMBER(W84),W84*3.6%,0)+IF(ISNUMBER(X84),X84*2.4%,0)+IF(ISNUMBER(AC84),AC84*25%,0)+IF(ISNUMBER(AG84),AG84*18%,0)+IF(ISNUMBER(AH84),AH84*12%,0)+IF(ISNUMBER(AK84),AK84*10%,0))</x:f>
        <x:v>28.16927</x:v>
      </x:c>
      <x:c r="AS84" s="17" t="n">
        <x:f>IF(AQ84=0,"",ROUND(AR84/AQ84,2))</x:f>
        <x:v>32.01</x:v>
      </x:c>
      <x:c r="AT84" s="40" t="n">
        <x:f>IF(OR(G84&lt;&gt;"入池",NOT(ISNUMBER(AS84))),"",COUNTIFS($G$17:$G$219,"入池",$AS$17:$AS$219,"&gt;"&amp;AS84)+COUNTIFS($G$17:$G$219,"入池",$AS$17:$AS$219,AS84,$AQ$17:$AQ$219,"&gt;"&amp;AQ84)+COUNTIFS($G$17:G84,"入池",$AS$17:AS84,AS84,$AQ$17:AQ84,AQ84))</x:f>
        <x:v>189</x:v>
      </x:c>
      <x:c r="AU84" s="41" t="str">
        <x:f t="shared" si="4">IF(NOT(ISNUMBER(I84)),"管理人规模；","")&amp;IF(J84="","产品规模标识；","")&amp;IF(AND(F84&lt;3,NOT(ISNUMBER(O84))),"R_incep；","")&amp;IF(NOT(ISNUMBER(N84)),"近三年收益；","")&amp;IF(NOT(ISNUMBER(U84)),"近三年胜率；","")&amp;IF(AND(ISNUMBER(V84),OR(V84&lt;0,V84&gt;1)),"胜率窗口口径不一致；","")&amp;IF(NOT(ISNUMBER(AA84)),"近三年回撤；","")&amp;IF(NOT(ISNUMBER(AD84)),"短期卡玛；","")&amp;IF(AND(ISNUMBER(P84),NOT(ISNUMBER(AE84))),"DD_long不可识别；","")</x:f>
        <x:v>DD_long不可识别；</x:v>
      </x:c>
      <x:c r="AV84" s="42" t="n">
        <x:v>0</x:v>
      </x:c>
      <x:c r="AW84" s="19" t="str">
        <x:v>广西银瓴资产管理有限公司</x:v>
      </x:c>
      <x:c r="AX84" s="19" t="str">
        <x:v>2026-07-09</x:v>
      </x:c>
      <x:c r="AY84" s="19" t="str">
        <x:v>https://gs.amac.org.cn/amac-infodisc/res/pof/manager/101000035485.html</x:v>
      </x:c>
      <x:c r="AZ84" s="19" t="str">
        <x:v>银瓴汇金3号私募证券投资基金</x:v>
      </x:c>
      <x:c r="BA84" s="19" t="str">
        <x:v>2024-09-19</x:v>
      </x:c>
      <x:c r="BB84" s="19" t="str">
        <x:v>2026年第2季度季度更新信息</x:v>
      </x:c>
      <x:c r="BC84" s="19" t="str">
        <x:v>https://gs.amac.org.cn/amac-infodisc/res/pof/fund/2305291055109569.html</x:v>
      </x:c>
      <x:c r="BD84" s="19" t="str">
        <x:v>已匹配</x:v>
      </x:c>
      <x:c r="BE84"/>
      <x:c r="BF84"/>
    </x:row>
    <x:row r="85" ht="28" customHeight="1">
      <x:c r="A85" s="4" t="n">
        <x:v>69</x:v>
      </x:c>
      <x:c r="B85" s="15" t="str">
        <x:f>'sheet4-原始数据'!A70</x:f>
        <x:v>奶酪鑫鑫宝二号</x:v>
      </x:c>
      <x:c r="C85" s="15" t="str">
        <x:f>'sheet4-原始数据'!B70</x:f>
        <x:v>SB2838</x:v>
      </x:c>
      <x:c r="D85" s="15" t="str">
        <x:f>'sheet4-原始数据'!E70</x:f>
        <x:v>广东奶酪</x:v>
      </x:c>
      <x:c r="E85" s="32" t="n">
        <x:f>IF(ISNUMBER('sheet4-原始数据'!F70),'sheet4-原始数据'!F70,"")</x:f>
        <x:v>45092</x:v>
      </x:c>
      <x:c r="F85" s="17" t="n">
        <x:f>IF(NOT(ISNUMBER(E85)),"",ROUND(('sheet1-指标体系'!$J$23-E85)/365.25,4))</x:f>
        <x:v>3.2553</x:v>
      </x:c>
      <x:c r="G85" s="4" t="str">
        <x:f t="shared" si="3">IF(NOT(ISNUMBER(F85)),"",IF(F85&lt;1,"不入池","入池"))</x:f>
        <x:v>入池</x:v>
      </x:c>
      <x:c r="H85" s="33" t="str">
        <x:v>10-20亿元</x:v>
      </x:c>
      <x:c r="I85" s="17" t="n">
        <x:f>IF(H85="","",IF(ISNUMBER(SEARCH("100亿元以上",H85)),100,IF(OR(ISNUMBER(SEARCH("20-50",H85)),ISNUMBER(SEARCH("50-100",H85)),ISNUMBER(SEARCH("20-100",H85))),90,IF(ISNUMBER(SEARCH("10-20",H85)),80,IF(ISNUMBER(SEARCH("5-10",H85)),70,IF(ISNUMBER(SEARCH("0-5",H85)),60,""))))))</x:f>
        <x:v>80</x:v>
      </x:c>
      <x:c r="J85" s="34" t="str">
        <x:v>无低于1000万元标识</x:v>
      </x:c>
      <x:c r="K85" s="17" t="n">
        <x:f>IF(J85="","",IF(J85="低于1000万元",0,100))</x:f>
        <x:v>100</x:v>
      </x:c>
      <x:c r="L85" s="17" t="n">
        <x:f>IF(NOT(ISNUMBER(F85)),"",IF(F85&lt;1,"",IF(F85&lt;3,70,100)))</x:f>
        <x:v>100</x:v>
      </x:c>
      <x:c r="M85" s="35" t="n">
        <x:f>IF(ISNUMBER('sheet4-原始数据'!G70),'sheet4-原始数据'!G70,"")</x:f>
        <x:v>0.0669</x:v>
      </x:c>
      <x:c r="N85" s="35" t="n">
        <x:f>IF(ISNUMBER('sheet4-原始数据'!H70),'sheet4-原始数据'!H70,"")</x:f>
        <x:v>0.047400000000000005</x:v>
      </x:c>
      <x:c r="O85" s="36" t="str">
        <x:f>IF(ISNUMBER('sheet4-原始数据'!Q70),'sheet4-原始数据'!Q70,"")</x:f>
      </x:c>
      <x:c r="P85" s="37" t="n">
        <x:f>IF($G85&lt;&gt;"入池","",IF($F85&gt;=3,IF(OR(NOT(ISNUMBER($M85)),NOT(ISNUMBER($N85)),1+$M85&lt;=0,1+$N85&lt;0),"",((1+$N85)^3/(1+$M85))^(1/2)-1),IF(OR($F85&lt;=1,NOT(ISNUMBER($M85)),NOT(ISNUMBER($O85)),1+$M85&lt;=0,1+$O85&lt;0),"",((1+$O85)^$F85/(1+$M85))^(1/($F85-1))-1)))</x:f>
        <x:v>0.037784062353524384</x:v>
      </x:c>
      <x:c r="Q85" s="17" t="n">
        <x:f>IF(OR($G85&lt;&gt;"入池",NOT(ISNUMBER(M85))),"",IF(COUNTIFS($G$17:$G$219,"入池",$M$17:$M$219,"&gt;=-1E+307",$M$17:$M$219,"&lt;=1E+307")&lt;=1,100,ROUND(100*(COUNTIFS($G$17:$G$219,"入池",$M$17:$M$219,"&gt;=-1E+307",$M$17:$M$219,"&lt;"&amp;M85)+COUNTIFS($G$17:$G$219,"入池",$M$17:$M$219,M85,$M$17:$M$219,"&gt;=-1E+307",$M$17:$M$219,"&lt;=1E+307")/2-0.5)/(COUNTIFS($G$17:$G$219,"入池",$M$17:$M$219,"&gt;=-1E+307",$M$17:$M$219,"&lt;=1E+307")-1),2)))</x:f>
        <x:v>60.4</x:v>
      </x:c>
      <x:c r="R85" s="17" t="n">
        <x:f>IF(OR($G85&lt;&gt;"入池",NOT(ISNUMBER(P85))),"",IF(COUNTIFS($G$17:$G$219,"入池",$P$17:$P$219,"&gt;=-1E+307",$P$17:$P$219,"&lt;=1E+307")&lt;=1,100,ROUND(100*(COUNTIFS($G$17:$G$219,"入池",$P$17:$P$219,"&gt;=-1E+307",$P$17:$P$219,"&lt;"&amp;P85)+COUNTIFS($G$17:$G$219,"入池",$P$17:$P$219,P85,$P$17:$P$219,"&gt;=-1E+307",$P$17:$P$219,"&lt;=1E+307")/2-0.5)/(COUNTIFS($G$17:$G$219,"入池",$P$17:$P$219,"&gt;=-1E+307",$P$17:$P$219,"&lt;=1E+307")-1),2)))</x:f>
        <x:v>23.27</x:v>
      </x:c>
      <x:c r="S85" s="17" t="n">
        <x:f>IF(NOT(ISNUMBER(Q85)),"",IF(NOT(ISNUMBER(R85)),Q85,ROUND(Q85*'sheet1-指标体系'!$J$8+R85*'sheet1-指标体系'!$J$9,2)))</x:f>
        <x:v>45.55</x:v>
      </x:c>
      <x:c r="T85" s="35" t="n">
        <x:f>IF(ISNUMBER('sheet4-原始数据'!J70),'sheet4-原始数据'!J70,"")</x:f>
        <x:v>1</x:v>
      </x:c>
      <x:c r="U85" s="35" t="n">
        <x:f>IF(ISNUMBER('sheet4-原始数据'!I70),'sheet4-原始数据'!I70,"")</x:f>
        <x:v>1</x:v>
      </x:c>
      <x:c r="V85" s="37" t="n">
        <x:f>IF(OR(NOT(ISNUMBER(T85)),NOT(ISNUMBER(U85))),"",(U85*'sheet1-指标体系'!$J$6-T85*'sheet1-指标体系'!$J$5)/'sheet1-指标体系'!$J$7)</x:f>
        <x:v>1</x:v>
      </x:c>
      <x:c r="W85" s="17" t="n">
        <x:f>IF(NOT(ISNUMBER(T85)),"",T85*100)</x:f>
        <x:v>100</x:v>
      </x:c>
      <x:c r="X85" s="17" t="n">
        <x:f>IF($G85&lt;&gt;"入池","",IF(AND(ISNUMBER(V85),V85&gt;=0,V85&lt;=1),V85*100,IF(MAX(0,($F85-1)*12)&lt;6,100,"")))</x:f>
        <x:v>100</x:v>
      </x:c>
      <x:c r="Y85" s="17" t="n">
        <x:f>IF(NOT(ISNUMBER(W85)),"",IF(NOT(ISNUMBER(X85)),W85,ROUND(W85*'sheet1-指标体系'!$J$8+X85*'sheet1-指标体系'!$J$9,2)))</x:f>
        <x:v>100</x:v>
      </x:c>
      <x:c r="Z85" s="37" t="str">
        <x:f>IF(OR(NOT(ISNUMBER(M85)),NOT(ISNUMBER(AD85)),AD85=0),"",ABS(M85/AD85))</x:f>
      </x:c>
      <x:c r="AA85" s="35" t="n">
        <x:f>IF(ISNUMBER('sheet4-原始数据'!K70),'sheet4-原始数据'!K70,"")</x:f>
        <x:v>0</x:v>
      </x:c>
      <x:c r="AB85" s="37" t="n">
        <x:f>IF(COUNT(Z85:AA85)=0,"",MAX(Z85:AA85))</x:f>
        <x:v>0</x:v>
      </x:c>
      <x:c r="AC85" s="17" t="n">
        <x:f>IF(OR($G85&lt;&gt;"入池",NOT(ISNUMBER(AB85))),"",IF(COUNTIFS($G$17:$G$219,"入池",$AB$17:$AB$219,"&gt;=-1E+307",$AB$17:$AB$219,"&lt;=1E+307")&lt;=1,100,ROUND(100*(COUNTIFS($G$17:$G$219,"入池",$AB$17:$AB$219,"&lt;=1E+307",$AB$17:$AB$219,"&gt;"&amp;AB85)+COUNTIFS($G$17:$G$219,"入池",$AB$17:$AB$219,AB85,$AB$17:$AB$219,"&gt;=-1E+307",$AB$17:$AB$219,"&lt;=1E+307")/2-0.5)/(COUNTIFS($G$17:$G$219,"入池",$AB$17:$AB$219,"&gt;=-1E+307",$AB$17:$AB$219,"&lt;=1E+307")-1),2)))</x:f>
        <x:v>100</x:v>
      </x:c>
      <x:c r="AD85" s="38" t="str">
        <x:f>IF(ISNUMBER('sheet4-原始数据'!M70),'sheet4-原始数据'!M70,"")</x:f>
      </x:c>
      <x:c r="AE85" s="37" t="str">
        <x:f>IF(OR(NOT(ISNUMBER(P85)),NOT(ISNUMBER(AA85)),NOT(ISNUMBER(Z85))),"",IF(AA85&gt;Z85+'sheet1-指标体系'!$J$11,AA85,""))</x:f>
      </x:c>
      <x:c r="AF85" s="17" t="str">
        <x:f>IF(OR(NOT(ISNUMBER(P85)),NOT(ISNUMBER(AE85)),AE85=0),"",P85/AE85)</x:f>
      </x:c>
      <x:c r="AG85" s="17" t="str">
        <x:f>IF(OR($G85&lt;&gt;"入池",NOT(ISNUMBER(AD85))),"",IF(COUNTIFS($G$17:$G$219,"入池",$AD$17:$AD$219,"&gt;=-1E+307",$AD$17:$AD$219,"&lt;=1E+307")&lt;=1,100,ROUND(100*(COUNTIFS($G$17:$G$219,"入池",$AD$17:$AD$219,"&gt;=-1E+307",$AD$17:$AD$219,"&lt;"&amp;AD85)+COUNTIFS($G$17:$G$219,"入池",$AD$17:$AD$219,AD85,$AD$17:$AD$219,"&gt;=-1E+307",$AD$17:$AD$219,"&lt;=1E+307")/2-0.5)/(COUNTIFS($G$17:$G$219,"入池",$AD$17:$AD$219,"&gt;=-1E+307",$AD$17:$AD$219,"&lt;=1E+307")-1),2)))</x:f>
      </x:c>
      <x:c r="AH85" s="17" t="str">
        <x:f>IF(OR($G85&lt;&gt;"入池",NOT(ISNUMBER(AF85))),"",IF(COUNTIFS($G$17:$G$219,"入池",$AF$17:$AF$219,"&gt;=-1E+307",$AF$17:$AF$219,"&lt;=1E+307")&lt;=1,100,ROUND(100*(COUNTIFS($G$17:$G$219,"入池",$AF$17:$AF$219,"&gt;=-1E+307",$AF$17:$AF$219,"&lt;"&amp;AF85)+COUNTIFS($G$17:$G$219,"入池",$AF$17:$AF$219,AF85,$AF$17:$AF$219,"&gt;=-1E+307",$AF$17:$AF$219,"&lt;=1E+307")/2-0.5)/(COUNTIFS($G$17:$G$219,"入池",$AF$17:$AF$219,"&gt;=-1E+307",$AF$17:$AF$219,"&lt;=1E+307")-1),2)))</x:f>
      </x:c>
      <x:c r="AI85" s="17" t="str">
        <x:f>IF(NOT(ISNUMBER(AG85)),"",IF(NOT(ISNUMBER(AH85)),AG85,ROUND(AG85*'sheet1-指标体系'!$J$8+AH85*'sheet1-指标体系'!$J$9,2)))</x:f>
      </x:c>
      <x:c r="AJ85" s="37" t="n">
        <x:f>IF(NOT(ISNUMBER(F85)),"",IF(F85&gt;=3,IF(NOT(ISNUMBER(N85)),"",N85),IF(NOT(ISNUMBER(O85)),"",O85)))</x:f>
        <x:v>0.047400000000000005</x:v>
      </x:c>
      <x:c r="AK85" s="17" t="n">
        <x:f>IF(OR(G85&lt;&gt;"入池",NOT(ISNUMBER(M85)),NOT(ISNUMBER(AJ85))),"",IF(M85&gt;=AJ85,100,IF(AJ85-M85&lt;'sheet1-指标体系'!$J$10,80,60)))</x:f>
        <x:v>100</x:v>
      </x:c>
      <x:c r="AL85" s="17" t="n">
        <x:f>IF(COUNT(I85,K85,L85)=0,"",ROUND((IF(ISNUMBER(I85),I85*40%,0)+IF(ISNUMBER(K85),K85*30%,0)+IF(ISNUMBER(L85),L85*30%,0))/(IF(ISNUMBER(I85),40%,0)+IF(ISNUMBER(K85),30%,0)+IF(ISNUMBER(L85),30%,0)),2))</x:f>
        <x:v>92</x:v>
      </x:c>
      <x:c r="AM85" s="17" t="n">
        <x:f>IF(COUNT(Q85,R85,W85,X85)=0,"",ROUND((IF(ISNUMBER(Q85),Q85*42%,0)+IF(ISNUMBER(R85),R85*28%,0)+IF(ISNUMBER(W85),W85*18%,0)+IF(ISNUMBER(X85),X85*12%,0))/(IF(ISNUMBER(Q85),42%,0)+IF(ISNUMBER(R85),28%,0)+IF(ISNUMBER(W85),18%,0)+IF(ISNUMBER(X85),12%,0)),2))</x:f>
        <x:v>61.88</x:v>
      </x:c>
      <x:c r="AN85" s="17" t="n">
        <x:f>IF(ISNUMBER(AC85),AC85,"")</x:f>
        <x:v>100</x:v>
      </x:c>
      <x:c r="AO85" s="17" t="str">
        <x:f>IF(COUNT(AG85,AH85)=0,"",ROUND((IF(ISNUMBER(AG85),AG85*60%,0)+IF(ISNUMBER(AH85),AH85*40%,0))/(IF(ISNUMBER(AG85),60%,0)+IF(ISNUMBER(AH85),40%,0)),2))</x:f>
      </x:c>
      <x:c r="AP85" s="17" t="n">
        <x:f>IF(ISNUMBER(AK85),AK85,"")</x:f>
        <x:v>100</x:v>
      </x:c>
      <x:c r="AQ85" s="39" t="n">
        <x:f>IF(G85&lt;&gt;"入池",0,IF(ISNUMBER(I85),6%,0)+IF(ISNUMBER(K85),4.5%,0)+IF(ISNUMBER(L85),4.5%,0)+IF(ISNUMBER(Q85),8.4%,0)+IF(ISNUMBER(R85),5.6%,0)+IF(ISNUMBER(W85),3.6%,0)+IF(ISNUMBER(X85),2.4%,0)+IF(ISNUMBER(AC85),25%,0)+IF(ISNUMBER(AG85),18%,0)+IF(ISNUMBER(AH85),12%,0)+IF(ISNUMBER(AK85),10%,0))</x:f>
        <x:v>0.7</x:v>
      </x:c>
      <x:c r="AR85" s="17" t="n">
        <x:f>IF(AQ85=0,"",IF(ISNUMBER(I85),I85*6%,0)+IF(ISNUMBER(K85),K85*4.5%,0)+IF(ISNUMBER(L85),L85*4.5%,0)+IF(ISNUMBER(Q85),Q85*8.4%,0)+IF(ISNUMBER(R85),R85*5.6%,0)+IF(ISNUMBER(W85),W85*3.6%,0)+IF(ISNUMBER(X85),X85*2.4%,0)+IF(ISNUMBER(AC85),AC85*25%,0)+IF(ISNUMBER(AG85),AG85*18%,0)+IF(ISNUMBER(AH85),AH85*12%,0)+IF(ISNUMBER(AK85),AK85*10%,0))</x:f>
        <x:v>61.17672</x:v>
      </x:c>
      <x:c r="AS85" s="17" t="n">
        <x:f>IF(AQ85=0,"",ROUND(AR85/AQ85,2))</x:f>
        <x:v>87.4</x:v>
      </x:c>
      <x:c r="AT85" s="40" t="n">
        <x:f>IF(OR(G85&lt;&gt;"入池",NOT(ISNUMBER(AS85))),"",COUNTIFS($G$17:$G$219,"入池",$AS$17:$AS$219,"&gt;"&amp;AS85)+COUNTIFS($G$17:$G$219,"入池",$AS$17:$AS$219,AS85,$AQ$17:$AQ$219,"&gt;"&amp;AQ85)+COUNTIFS($G$17:G85,"入池",$AS$17:AS85,AS85,$AQ$17:AQ85,AQ85))</x:f>
        <x:v>12</x:v>
      </x:c>
      <x:c r="AU85" s="41" t="str">
        <x:f t="shared" si="4">IF(NOT(ISNUMBER(I85)),"管理人规模；","")&amp;IF(J85="","产品规模标识；","")&amp;IF(AND(F85&lt;3,NOT(ISNUMBER(O85))),"R_incep；","")&amp;IF(NOT(ISNUMBER(N85)),"近三年收益；","")&amp;IF(NOT(ISNUMBER(U85)),"近三年胜率；","")&amp;IF(AND(ISNUMBER(V85),OR(V85&lt;0,V85&gt;1)),"胜率窗口口径不一致；","")&amp;IF(NOT(ISNUMBER(AA85)),"近三年回撤；","")&amp;IF(NOT(ISNUMBER(AD85)),"短期卡玛；","")&amp;IF(AND(ISNUMBER(P85),NOT(ISNUMBER(AE85))),"DD_long不可识别；","")</x:f>
        <x:v>短期卡玛；DD_long不可识别；</x:v>
      </x:c>
      <x:c r="AV85" s="42" t="n">
        <x:v>10</x:v>
      </x:c>
      <x:c r="AW85" s="19" t="str">
        <x:v>广东奶酪私募基金管理股份有限公司</x:v>
      </x:c>
      <x:c r="AX85" s="19" t="str">
        <x:v>2025-12-29</x:v>
      </x:c>
      <x:c r="AY85" s="19" t="str">
        <x:v>https://gs.amac.org.cn/amac-infodisc/res/pof/manager/101000045017.html</x:v>
      </x:c>
      <x:c r="AZ85" s="19" t="str">
        <x:v>奶酪鑫鑫宝二号私募证券投资基金</x:v>
      </x:c>
      <x:c r="BA85" s="19" t="str">
        <x:v>2026-01-30</x:v>
      </x:c>
      <x:c r="BB85" s="19"/>
      <x:c r="BC85" s="19" t="str">
        <x:v>https://gs.amac.org.cn/amac-infodisc/res/pof/fund/2306141909104356.html</x:v>
      </x:c>
      <x:c r="BD85" s="19" t="str">
        <x:v>已匹配</x:v>
      </x:c>
      <x:c r="BE85"/>
      <x:c r="BF85"/>
    </x:row>
    <x:row r="86" ht="28" customHeight="1">
      <x:c r="A86" s="4" t="n">
        <x:v>70</x:v>
      </x:c>
      <x:c r="B86" s="15" t="str">
        <x:f>'sheet4-原始数据'!A71</x:f>
        <x:v>岳皋泰山核心一号B类</x:v>
      </x:c>
      <x:c r="C86" s="15" t="str">
        <x:f>'sheet4-原始数据'!B71</x:f>
        <x:v>SH674B</x:v>
      </x:c>
      <x:c r="D86" s="15" t="str">
        <x:f>'sheet4-原始数据'!E71</x:f>
        <x:v>上海岳皋投资</x:v>
      </x:c>
      <x:c r="E86" s="32" t="n">
        <x:f>IF(ISNUMBER('sheet4-原始数据'!F71),'sheet4-原始数据'!F71,"")</x:f>
        <x:v>44447</x:v>
      </x:c>
      <x:c r="F86" s="17" t="n">
        <x:f>IF(NOT(ISNUMBER(E86)),"",ROUND(('sheet1-指标体系'!$J$23-E86)/365.25,4))</x:f>
        <x:v>5.0212</x:v>
      </x:c>
      <x:c r="G86" s="4" t="str">
        <x:f t="shared" si="3">IF(NOT(ISNUMBER(F86)),"",IF(F86&lt;1,"不入池","入池"))</x:f>
        <x:v>入池</x:v>
      </x:c>
      <x:c r="H86" s="33" t="str">
        <x:v>0-5亿元</x:v>
      </x:c>
      <x:c r="I86" s="17" t="n">
        <x:f>IF(H86="","",IF(ISNUMBER(SEARCH("100亿元以上",H86)),100,IF(OR(ISNUMBER(SEARCH("20-50",H86)),ISNUMBER(SEARCH("50-100",H86)),ISNUMBER(SEARCH("20-100",H86))),90,IF(ISNUMBER(SEARCH("10-20",H86)),80,IF(ISNUMBER(SEARCH("5-10",H86)),70,IF(ISNUMBER(SEARCH("0-5",H86)),60,""))))))</x:f>
        <x:v>60</x:v>
      </x:c>
      <x:c r="J86" s="34"/>
      <x:c r="K86" s="17" t="str">
        <x:f>IF(J86="","",IF(J86="低于1000万元",0,100))</x:f>
      </x:c>
      <x:c r="L86" s="17" t="n">
        <x:f>IF(NOT(ISNUMBER(F86)),"",IF(F86&lt;1,"",IF(F86&lt;3,70,100)))</x:f>
        <x:v>100</x:v>
      </x:c>
      <x:c r="M86" s="35" t="n">
        <x:f>IF(ISNUMBER('sheet4-原始数据'!G71),'sheet4-原始数据'!G71,"")</x:f>
        <x:v>0.0171</x:v>
      </x:c>
      <x:c r="N86" s="35" t="n">
        <x:f>IF(ISNUMBER('sheet4-原始数据'!H71),'sheet4-原始数据'!H71,"")</x:f>
        <x:v>0.0225</x:v>
      </x:c>
      <x:c r="O86" s="36" t="str">
        <x:f>IF(ISNUMBER('sheet4-原始数据'!Q71),'sheet4-原始数据'!Q71,"")</x:f>
      </x:c>
      <x:c r="P86" s="37" t="n">
        <x:f>IF($G86&lt;&gt;"入池","",IF($F86&gt;=3,IF(OR(NOT(ISNUMBER($M86)),NOT(ISNUMBER($N86)),1+$M86&lt;=0,1+$N86&lt;0),"",((1+$N86)^3/(1+$M86))^(1/2)-1),IF(OR($F86&lt;=1,NOT(ISNUMBER($M86)),NOT(ISNUMBER($O86)),1+$M86&lt;=0,1+$O86&lt;0),"",((1+$O86)^$F86/(1+$M86))^(1/($F86-1))-1)))</x:f>
        <x:v>0.025210741660774527</x:v>
      </x:c>
      <x:c r="Q86" s="17" t="n">
        <x:f>IF(OR($G86&lt;&gt;"入池",NOT(ISNUMBER(M86))),"",IF(COUNTIFS($G$17:$G$219,"入池",$M$17:$M$219,"&gt;=-1E+307",$M$17:$M$219,"&lt;=1E+307")&lt;=1,100,ROUND(100*(COUNTIFS($G$17:$G$219,"入池",$M$17:$M$219,"&gt;=-1E+307",$M$17:$M$219,"&lt;"&amp;M86)+COUNTIFS($G$17:$G$219,"入池",$M$17:$M$219,M86,$M$17:$M$219,"&gt;=-1E+307",$M$17:$M$219,"&lt;=1E+307")/2-0.5)/(COUNTIFS($G$17:$G$219,"入池",$M$17:$M$219,"&gt;=-1E+307",$M$17:$M$219,"&lt;=1E+307")-1),2)))</x:f>
        <x:v>25.25</x:v>
      </x:c>
      <x:c r="R86" s="17" t="n">
        <x:f>IF(OR($G86&lt;&gt;"入池",NOT(ISNUMBER(P86))),"",IF(COUNTIFS($G$17:$G$219,"入池",$P$17:$P$219,"&gt;=-1E+307",$P$17:$P$219,"&lt;=1E+307")&lt;=1,100,ROUND(100*(COUNTIFS($G$17:$G$219,"入池",$P$17:$P$219,"&gt;=-1E+307",$P$17:$P$219,"&lt;"&amp;P86)+COUNTIFS($G$17:$G$219,"入池",$P$17:$P$219,P86,$P$17:$P$219,"&gt;=-1E+307",$P$17:$P$219,"&lt;=1E+307")/2-0.5)/(COUNTIFS($G$17:$G$219,"入池",$P$17:$P$219,"&gt;=-1E+307",$P$17:$P$219,"&lt;=1E+307")-1),2)))</x:f>
        <x:v>12.38</x:v>
      </x:c>
      <x:c r="S86" s="17" t="n">
        <x:f>IF(NOT(ISNUMBER(Q86)),"",IF(NOT(ISNUMBER(R86)),Q86,ROUND(Q86*'sheet1-指标体系'!$J$8+R86*'sheet1-指标体系'!$J$9,2)))</x:f>
        <x:v>20.1</x:v>
      </x:c>
      <x:c r="T86" s="35" t="n">
        <x:f>IF(ISNUMBER('sheet4-原始数据'!J71),'sheet4-原始数据'!J71,"")</x:f>
        <x:v>0.6923</x:v>
      </x:c>
      <x:c r="U86" s="35" t="n">
        <x:f>IF(ISNUMBER('sheet4-原始数据'!I71),'sheet4-原始数据'!I71,"")</x:f>
        <x:v>0.7297</x:v>
      </x:c>
      <x:c r="V86" s="37" t="n">
        <x:f>IF(OR(NOT(ISNUMBER(T86)),NOT(ISNUMBER(U86))),"",(U86*'sheet1-指标体系'!$J$6-T86*'sheet1-指标体系'!$J$5)/'sheet1-指标体系'!$J$7)</x:f>
        <x:v>0.7499583333333333</x:v>
      </x:c>
      <x:c r="W86" s="17" t="n">
        <x:f>IF(NOT(ISNUMBER(T86)),"",T86*100)</x:f>
        <x:v>69.23</x:v>
      </x:c>
      <x:c r="X86" s="17" t="n">
        <x:f>IF($G86&lt;&gt;"入池","",IF(AND(ISNUMBER(V86),V86&gt;=0,V86&lt;=1),V86*100,IF(MAX(0,($F86-1)*12)&lt;6,100,"")))</x:f>
        <x:v>74.99583333333332</x:v>
      </x:c>
      <x:c r="Y86" s="17" t="n">
        <x:f>IF(NOT(ISNUMBER(W86)),"",IF(NOT(ISNUMBER(X86)),W86,ROUND(W86*'sheet1-指标体系'!$J$8+X86*'sheet1-指标体系'!$J$9,2)))</x:f>
        <x:v>71.54</x:v>
      </x:c>
      <x:c r="Z86" s="37" t="n">
        <x:f>IF(OR(NOT(ISNUMBER(M86)),NOT(ISNUMBER(AD86)),AD86=0),"",ABS(M86/AD86))</x:f>
        <x:v>0.033654792363707935</x:v>
      </x:c>
      <x:c r="AA86" s="35" t="n">
        <x:f>IF(ISNUMBER('sheet4-原始数据'!K71),'sheet4-原始数据'!K71,"")</x:f>
        <x:v>0.0475</x:v>
      </x:c>
      <x:c r="AB86" s="37" t="n">
        <x:f>IF(COUNT(Z86:AA86)=0,"",MAX(Z86:AA86))</x:f>
        <x:v>0.0475</x:v>
      </x:c>
      <x:c r="AC86" s="17" t="n">
        <x:f>IF(OR($G86&lt;&gt;"入池",NOT(ISNUMBER(AB86))),"",IF(COUNTIFS($G$17:$G$219,"入池",$AB$17:$AB$219,"&gt;=-1E+307",$AB$17:$AB$219,"&lt;=1E+307")&lt;=1,100,ROUND(100*(COUNTIFS($G$17:$G$219,"入池",$AB$17:$AB$219,"&lt;=1E+307",$AB$17:$AB$219,"&gt;"&amp;AB86)+COUNTIFS($G$17:$G$219,"入池",$AB$17:$AB$219,AB86,$AB$17:$AB$219,"&gt;=-1E+307",$AB$17:$AB$219,"&lt;=1E+307")/2-0.5)/(COUNTIFS($G$17:$G$219,"入池",$AB$17:$AB$219,"&gt;=-1E+307",$AB$17:$AB$219,"&lt;=1E+307")-1),2)))</x:f>
        <x:v>47.03</x:v>
      </x:c>
      <x:c r="AD86" s="38" t="n">
        <x:f>IF(ISNUMBER('sheet4-原始数据'!M71),'sheet4-原始数据'!M71,"")</x:f>
        <x:v>0.5081</x:v>
      </x:c>
      <x:c r="AE86" s="37" t="n">
        <x:f>IF(OR(NOT(ISNUMBER(P86)),NOT(ISNUMBER(AA86)),NOT(ISNUMBER(Z86))),"",IF(AA86&gt;Z86+'sheet1-指标体系'!$J$11,AA86,""))</x:f>
        <x:v>0.0475</x:v>
      </x:c>
      <x:c r="AF86" s="17" t="n">
        <x:f>IF(OR(NOT(ISNUMBER(P86)),NOT(ISNUMBER(AE86)),AE86=0),"",P86/AE86)</x:f>
        <x:v>0.5307524560163058</x:v>
      </x:c>
      <x:c r="AG86" s="17" t="n">
        <x:f>IF(OR($G86&lt;&gt;"入池",NOT(ISNUMBER(AD86))),"",IF(COUNTIFS($G$17:$G$219,"入池",$AD$17:$AD$219,"&gt;=-1E+307",$AD$17:$AD$219,"&lt;=1E+307")&lt;=1,100,ROUND(100*(COUNTIFS($G$17:$G$219,"入池",$AD$17:$AD$219,"&gt;=-1E+307",$AD$17:$AD$219,"&lt;"&amp;AD86)+COUNTIFS($G$17:$G$219,"入池",$AD$17:$AD$219,AD86,$AD$17:$AD$219,"&gt;=-1E+307",$AD$17:$AD$219,"&lt;=1E+307")/2-0.5)/(COUNTIFS($G$17:$G$219,"入池",$AD$17:$AD$219,"&gt;=-1E+307",$AD$17:$AD$219,"&lt;=1E+307")-1),2)))</x:f>
        <x:v>27.36</x:v>
      </x:c>
      <x:c r="AH86" s="17" t="n">
        <x:f>IF(OR($G86&lt;&gt;"入池",NOT(ISNUMBER(AF86))),"",IF(COUNTIFS($G$17:$G$219,"入池",$AF$17:$AF$219,"&gt;=-1E+307",$AF$17:$AF$219,"&lt;=1E+307")&lt;=1,100,ROUND(100*(COUNTIFS($G$17:$G$219,"入池",$AF$17:$AF$219,"&gt;=-1E+307",$AF$17:$AF$219,"&lt;"&amp;AF86)+COUNTIFS($G$17:$G$219,"入池",$AF$17:$AF$219,AF86,$AF$17:$AF$219,"&gt;=-1E+307",$AF$17:$AF$219,"&lt;=1E+307")/2-0.5)/(COUNTIFS($G$17:$G$219,"入池",$AF$17:$AF$219,"&gt;=-1E+307",$AF$17:$AF$219,"&lt;=1E+307")-1),2)))</x:f>
        <x:v>18.98</x:v>
      </x:c>
      <x:c r="AI86" s="17" t="n">
        <x:f>IF(NOT(ISNUMBER(AG86)),"",IF(NOT(ISNUMBER(AH86)),AG86,ROUND(AG86*'sheet1-指标体系'!$J$8+AH86*'sheet1-指标体系'!$J$9,2)))</x:f>
        <x:v>24.01</x:v>
      </x:c>
      <x:c r="AJ86" s="37" t="n">
        <x:f>IF(NOT(ISNUMBER(F86)),"",IF(F86&gt;=3,IF(NOT(ISNUMBER(N86)),"",N86),IF(NOT(ISNUMBER(O86)),"",O86)))</x:f>
        <x:v>0.0225</x:v>
      </x:c>
      <x:c r="AK86" s="17" t="n">
        <x:f>IF(OR(G86&lt;&gt;"入池",NOT(ISNUMBER(M86)),NOT(ISNUMBER(AJ86))),"",IF(M86&gt;=AJ86,100,IF(AJ86-M86&lt;'sheet1-指标体系'!$J$10,80,60)))</x:f>
        <x:v>80</x:v>
      </x:c>
      <x:c r="AL86" s="17" t="n">
        <x:f>IF(COUNT(I86,K86,L86)=0,"",ROUND((IF(ISNUMBER(I86),I86*40%,0)+IF(ISNUMBER(K86),K86*30%,0)+IF(ISNUMBER(L86),L86*30%,0))/(IF(ISNUMBER(I86),40%,0)+IF(ISNUMBER(K86),30%,0)+IF(ISNUMBER(L86),30%,0)),2))</x:f>
        <x:v>77.14</x:v>
      </x:c>
      <x:c r="AM86" s="17" t="n">
        <x:f>IF(COUNT(Q86,R86,W86,X86)=0,"",ROUND((IF(ISNUMBER(Q86),Q86*42%,0)+IF(ISNUMBER(R86),R86*28%,0)+IF(ISNUMBER(W86),W86*18%,0)+IF(ISNUMBER(X86),X86*12%,0))/(IF(ISNUMBER(Q86),42%,0)+IF(ISNUMBER(R86),28%,0)+IF(ISNUMBER(W86),18%,0)+IF(ISNUMBER(X86),12%,0)),2))</x:f>
        <x:v>35.53</x:v>
      </x:c>
      <x:c r="AN86" s="17" t="n">
        <x:f>IF(ISNUMBER(AC86),AC86,"")</x:f>
        <x:v>47.03</x:v>
      </x:c>
      <x:c r="AO86" s="17" t="n">
        <x:f>IF(COUNT(AG86,AH86)=0,"",ROUND((IF(ISNUMBER(AG86),AG86*60%,0)+IF(ISNUMBER(AH86),AH86*40%,0))/(IF(ISNUMBER(AG86),60%,0)+IF(ISNUMBER(AH86),40%,0)),2))</x:f>
        <x:v>24.01</x:v>
      </x:c>
      <x:c r="AP86" s="17" t="n">
        <x:f>IF(ISNUMBER(AK86),AK86,"")</x:f>
        <x:v>80</x:v>
      </x:c>
      <x:c r="AQ86" s="39" t="n">
        <x:f>IF(G86&lt;&gt;"入池",0,IF(ISNUMBER(I86),6%,0)+IF(ISNUMBER(K86),4.5%,0)+IF(ISNUMBER(L86),4.5%,0)+IF(ISNUMBER(Q86),8.4%,0)+IF(ISNUMBER(R86),5.6%,0)+IF(ISNUMBER(W86),3.6%,0)+IF(ISNUMBER(X86),2.4%,0)+IF(ISNUMBER(AC86),25%,0)+IF(ISNUMBER(AG86),18%,0)+IF(ISNUMBER(AH86),12%,0)+IF(ISNUMBER(AK86),10%,0))</x:f>
        <x:v>0.9550000000000001</x:v>
      </x:c>
      <x:c r="AR86" s="17" t="n">
        <x:f>IF(AQ86=0,"",IF(ISNUMBER(I86),I86*6%,0)+IF(ISNUMBER(K86),K86*4.5%,0)+IF(ISNUMBER(L86),L86*4.5%,0)+IF(ISNUMBER(Q86),Q86*8.4%,0)+IF(ISNUMBER(R86),R86*5.6%,0)+IF(ISNUMBER(W86),W86*3.6%,0)+IF(ISNUMBER(X86),X86*2.4%,0)+IF(ISNUMBER(AC86),AC86*25%,0)+IF(ISNUMBER(AG86),AG86*18%,0)+IF(ISNUMBER(AH86),AH86*12%,0)+IF(ISNUMBER(AK86),AK86*10%,0))</x:f>
        <x:v>42.16636</x:v>
      </x:c>
      <x:c r="AS86" s="17" t="n">
        <x:f>IF(AQ86=0,"",ROUND(AR86/AQ86,2))</x:f>
        <x:v>44.15</x:v>
      </x:c>
      <x:c r="AT86" s="40" t="n">
        <x:f>IF(OR(G86&lt;&gt;"入池",NOT(ISNUMBER(AS86))),"",COUNTIFS($G$17:$G$219,"入池",$AS$17:$AS$219,"&gt;"&amp;AS86)+COUNTIFS($G$17:$G$219,"入池",$AS$17:$AS$219,AS86,$AQ$17:$AQ$219,"&gt;"&amp;AQ86)+COUNTIFS($G$17:G86,"入池",$AS$17:AS86,AS86,$AQ$17:AQ86,AQ86))</x:f>
        <x:v>161</x:v>
      </x:c>
      <x:c r="AU86" s="41" t="str">
        <x:f t="shared" si="4">IF(NOT(ISNUMBER(I86)),"管理人规模；","")&amp;IF(J86="","产品规模标识；","")&amp;IF(AND(F86&lt;3,NOT(ISNUMBER(O86))),"R_incep；","")&amp;IF(NOT(ISNUMBER(N86)),"近三年收益；","")&amp;IF(NOT(ISNUMBER(U86)),"近三年胜率；","")&amp;IF(AND(ISNUMBER(V86),OR(V86&lt;0,V86&gt;1)),"胜率窗口口径不一致；","")&amp;IF(NOT(ISNUMBER(AA86)),"近三年回撤；","")&amp;IF(NOT(ISNUMBER(AD86)),"短期卡玛；","")&amp;IF(AND(ISNUMBER(P86),NOT(ISNUMBER(AE86))),"DD_long不可识别；","")</x:f>
        <x:v>产品规模标识；</x:v>
      </x:c>
      <x:c r="AV86" s="42" t="n">
        <x:v>0</x:v>
      </x:c>
      <x:c r="AW86" s="19" t="str">
        <x:v>上海岳皋投资管理有限公司</x:v>
      </x:c>
      <x:c r="AX86" s="19" t="str">
        <x:v>2026-01-15</x:v>
      </x:c>
      <x:c r="AY86" s="19" t="str">
        <x:v>https://gs.amac.org.cn/amac-infodisc/res/pof/manager/1812180906104012.html</x:v>
      </x:c>
      <x:c r="AZ86" s="19"/>
      <x:c r="BA86" s="19"/>
      <x:c r="BB86" s="19"/>
      <x:c r="BC86" s="19"/>
      <x:c r="BD86" s="19" t="str">
        <x:v>基金页未匹配；管理人已核验</x:v>
      </x:c>
      <x:c r="BE86"/>
      <x:c r="BF86"/>
    </x:row>
    <x:row r="87" ht="28" customHeight="1">
      <x:c r="A87" s="4" t="n">
        <x:v>71</x:v>
      </x:c>
      <x:c r="B87" s="15" t="str">
        <x:f>'sheet4-原始数据'!A72</x:f>
        <x:v>韵之嘉益</x:v>
      </x:c>
      <x:c r="C87" s="15" t="str">
        <x:f>'sheet4-原始数据'!B72</x:f>
        <x:v>SB1775</x:v>
      </x:c>
      <x:c r="D87" s="15" t="str">
        <x:f>'sheet4-原始数据'!E72</x:f>
        <x:v>北京韵之</x:v>
      </x:c>
      <x:c r="E87" s="32" t="n">
        <x:f>IF(ISNUMBER('sheet4-原始数据'!F72),'sheet4-原始数据'!F72,"")</x:f>
        <x:v>45141</x:v>
      </x:c>
      <x:c r="F87" s="17" t="n">
        <x:f>IF(NOT(ISNUMBER(E87)),"",ROUND(('sheet1-指标体系'!$J$23-E87)/365.25,4))</x:f>
        <x:v>3.1211</x:v>
      </x:c>
      <x:c r="G87" s="4" t="str">
        <x:f t="shared" si="3">IF(NOT(ISNUMBER(F87)),"",IF(F87&lt;1,"不入池","入池"))</x:f>
        <x:v>入池</x:v>
      </x:c>
      <x:c r="H87" s="33" t="str">
        <x:v>5-10亿元</x:v>
      </x:c>
      <x:c r="I87" s="17" t="n">
        <x:f>IF(H87="","",IF(ISNUMBER(SEARCH("100亿元以上",H87)),100,IF(OR(ISNUMBER(SEARCH("20-50",H87)),ISNUMBER(SEARCH("50-100",H87)),ISNUMBER(SEARCH("20-100",H87))),90,IF(ISNUMBER(SEARCH("10-20",H87)),80,IF(ISNUMBER(SEARCH("5-10",H87)),70,IF(ISNUMBER(SEARCH("0-5",H87)),60,""))))))</x:f>
        <x:v>70</x:v>
      </x:c>
      <x:c r="J87" s="34" t="str">
        <x:v>无低于1000万元标识</x:v>
      </x:c>
      <x:c r="K87" s="17" t="n">
        <x:f>IF(J87="","",IF(J87="低于1000万元",0,100))</x:f>
        <x:v>100</x:v>
      </x:c>
      <x:c r="L87" s="17" t="n">
        <x:f>IF(NOT(ISNUMBER(F87)),"",IF(F87&lt;1,"",IF(F87&lt;3,70,100)))</x:f>
        <x:v>100</x:v>
      </x:c>
      <x:c r="M87" s="35" t="n">
        <x:f>IF(ISNUMBER('sheet4-原始数据'!G72),'sheet4-原始数据'!G72,"")</x:f>
        <x:v>-0.1209</x:v>
      </x:c>
      <x:c r="N87" s="35" t="n">
        <x:f>IF(ISNUMBER('sheet4-原始数据'!H72),'sheet4-原始数据'!H72,"")</x:f>
        <x:v>-0.055999999999999994</x:v>
      </x:c>
      <x:c r="O87" s="36" t="str">
        <x:f>IF(ISNUMBER('sheet4-原始数据'!Q72),'sheet4-原始数据'!Q72,"")</x:f>
      </x:c>
      <x:c r="P87" s="37" t="n">
        <x:f>IF($G87&lt;&gt;"入池","",IF($F87&gt;=3,IF(OR(NOT(ISNUMBER($M87)),NOT(ISNUMBER($N87)),1+$M87&lt;=0,1+$N87&lt;0),"",((1+$N87)^3/(1+$M87))^(1/2)-1),IF(OR($F87&lt;=1,NOT(ISNUMBER($M87)),NOT(ISNUMBER($O87)),1+$M87&lt;=0,1+$O87&lt;0),"",((1+$O87)^$F87/(1+$M87))^(1/($F87-1))-1)))</x:f>
        <x:v>-0.021774788835214443</x:v>
      </x:c>
      <x:c r="Q87" s="17" t="n">
        <x:f>IF(OR($G87&lt;&gt;"入池",NOT(ISNUMBER(M87))),"",IF(COUNTIFS($G$17:$G$219,"入池",$M$17:$M$219,"&gt;=-1E+307",$M$17:$M$219,"&lt;=1E+307")&lt;=1,100,ROUND(100*(COUNTIFS($G$17:$G$219,"入池",$M$17:$M$219,"&gt;=-1E+307",$M$17:$M$219,"&lt;"&amp;M87)+COUNTIFS($G$17:$G$219,"入池",$M$17:$M$219,M87,$M$17:$M$219,"&gt;=-1E+307",$M$17:$M$219,"&lt;=1E+307")/2-0.5)/(COUNTIFS($G$17:$G$219,"入池",$M$17:$M$219,"&gt;=-1E+307",$M$17:$M$219,"&lt;=1E+307")-1),2)))</x:f>
        <x:v>3.96</x:v>
      </x:c>
      <x:c r="R87" s="17" t="n">
        <x:f>IF(OR($G87&lt;&gt;"入池",NOT(ISNUMBER(P87))),"",IF(COUNTIFS($G$17:$G$219,"入池",$P$17:$P$219,"&gt;=-1E+307",$P$17:$P$219,"&lt;=1E+307")&lt;=1,100,ROUND(100*(COUNTIFS($G$17:$G$219,"入池",$P$17:$P$219,"&gt;=-1E+307",$P$17:$P$219,"&lt;"&amp;P87)+COUNTIFS($G$17:$G$219,"入池",$P$17:$P$219,P87,$P$17:$P$219,"&gt;=-1E+307",$P$17:$P$219,"&lt;=1E+307")/2-0.5)/(COUNTIFS($G$17:$G$219,"入池",$P$17:$P$219,"&gt;=-1E+307",$P$17:$P$219,"&lt;=1E+307")-1),2)))</x:f>
        <x:v>1.98</x:v>
      </x:c>
      <x:c r="S87" s="17" t="n">
        <x:f>IF(NOT(ISNUMBER(Q87)),"",IF(NOT(ISNUMBER(R87)),Q87,ROUND(Q87*'sheet1-指标体系'!$J$8+R87*'sheet1-指标体系'!$J$9,2)))</x:f>
        <x:v>3.17</x:v>
      </x:c>
      <x:c r="T87" s="35" t="n">
        <x:f>IF(ISNUMBER('sheet4-原始数据'!J72),'sheet4-原始数据'!J72,"")</x:f>
        <x:v>0.46149999999999997</x:v>
      </x:c>
      <x:c r="U87" s="35" t="n">
        <x:f>IF(ISNUMBER('sheet4-原始数据'!I72),'sheet4-原始数据'!I72,"")</x:f>
        <x:v>0.5676</x:v>
      </x:c>
      <x:c r="V87" s="37" t="n">
        <x:f>IF(OR(NOT(ISNUMBER(T87)),NOT(ISNUMBER(U87))),"",(U87*'sheet1-指标体系'!$J$6-T87*'sheet1-指标体系'!$J$5)/'sheet1-指标体系'!$J$7)</x:f>
        <x:v>0.6250708333333334</x:v>
      </x:c>
      <x:c r="W87" s="17" t="n">
        <x:f>IF(NOT(ISNUMBER(T87)),"",T87*100)</x:f>
        <x:v>46.15</x:v>
      </x:c>
      <x:c r="X87" s="17" t="n">
        <x:f>IF($G87&lt;&gt;"入池","",IF(AND(ISNUMBER(V87),V87&gt;=0,V87&lt;=1),V87*100,IF(MAX(0,($F87-1)*12)&lt;6,100,"")))</x:f>
        <x:v>62.507083333333334</x:v>
      </x:c>
      <x:c r="Y87" s="17" t="n">
        <x:f>IF(NOT(ISNUMBER(W87)),"",IF(NOT(ISNUMBER(X87)),W87,ROUND(W87*'sheet1-指标体系'!$J$8+X87*'sheet1-指标体系'!$J$9,2)))</x:f>
        <x:v>52.69</x:v>
      </x:c>
      <x:c r="Z87" s="37" t="n">
        <x:f>IF(OR(NOT(ISNUMBER(M87)),NOT(ISNUMBER(AD87)),AD87=0),"",ABS(M87/AD87))</x:f>
        <x:v>0.1522861821388084</x:v>
      </x:c>
      <x:c r="AA87" s="35" t="n">
        <x:f>IF(ISNUMBER('sheet4-原始数据'!K72),'sheet4-原始数据'!K72,"")</x:f>
        <x:v>0.19039999999999999</x:v>
      </x:c>
      <x:c r="AB87" s="37" t="n">
        <x:f>IF(COUNT(Z87:AA87)=0,"",MAX(Z87:AA87))</x:f>
        <x:v>0.19039999999999999</x:v>
      </x:c>
      <x:c r="AC87" s="17" t="n">
        <x:f>IF(OR($G87&lt;&gt;"入池",NOT(ISNUMBER(AB87))),"",IF(COUNTIFS($G$17:$G$219,"入池",$AB$17:$AB$219,"&gt;=-1E+307",$AB$17:$AB$219,"&lt;=1E+307")&lt;=1,100,ROUND(100*(COUNTIFS($G$17:$G$219,"入池",$AB$17:$AB$219,"&lt;=1E+307",$AB$17:$AB$219,"&gt;"&amp;AB87)+COUNTIFS($G$17:$G$219,"入池",$AB$17:$AB$219,AB87,$AB$17:$AB$219,"&gt;=-1E+307",$AB$17:$AB$219,"&lt;=1E+307")/2-0.5)/(COUNTIFS($G$17:$G$219,"入池",$AB$17:$AB$219,"&gt;=-1E+307",$AB$17:$AB$219,"&lt;=1E+307")-1),2)))</x:f>
        <x:v>10.4</x:v>
      </x:c>
      <x:c r="AD87" s="38" t="n">
        <x:f>IF(ISNUMBER('sheet4-原始数据'!M72),'sheet4-原始数据'!M72,"")</x:f>
        <x:v>-0.7939</x:v>
      </x:c>
      <x:c r="AE87" s="37" t="n">
        <x:f>IF(OR(NOT(ISNUMBER(P87)),NOT(ISNUMBER(AA87)),NOT(ISNUMBER(Z87))),"",IF(AA87&gt;Z87+'sheet1-指标体系'!$J$11,AA87,""))</x:f>
        <x:v>0.19039999999999999</x:v>
      </x:c>
      <x:c r="AF87" s="17" t="n">
        <x:f>IF(OR(NOT(ISNUMBER(P87)),NOT(ISNUMBER(AE87)),AE87=0),"",P87/AE87)</x:f>
        <x:v>-0.11436338673957167</x:v>
      </x:c>
      <x:c r="AG87" s="17" t="n">
        <x:f>IF(OR($G87&lt;&gt;"入池",NOT(ISNUMBER(AD87))),"",IF(COUNTIFS($G$17:$G$219,"入池",$AD$17:$AD$219,"&gt;=-1E+307",$AD$17:$AD$219,"&lt;=1E+307")&lt;=1,100,ROUND(100*(COUNTIFS($G$17:$G$219,"入池",$AD$17:$AD$219,"&gt;=-1E+307",$AD$17:$AD$219,"&lt;"&amp;AD87)+COUNTIFS($G$17:$G$219,"入池",$AD$17:$AD$219,AD87,$AD$17:$AD$219,"&gt;=-1E+307",$AD$17:$AD$219,"&lt;=1E+307")/2-0.5)/(COUNTIFS($G$17:$G$219,"入池",$AD$17:$AD$219,"&gt;=-1E+307",$AD$17:$AD$219,"&lt;=1E+307")-1),2)))</x:f>
        <x:v>3.98</x:v>
      </x:c>
      <x:c r="AH87" s="17" t="n">
        <x:f>IF(OR($G87&lt;&gt;"入池",NOT(ISNUMBER(AF87))),"",IF(COUNTIFS($G$17:$G$219,"入池",$AF$17:$AF$219,"&gt;=-1E+307",$AF$17:$AF$219,"&lt;=1E+307")&lt;=1,100,ROUND(100*(COUNTIFS($G$17:$G$219,"入池",$AF$17:$AF$219,"&gt;=-1E+307",$AF$17:$AF$219,"&lt;"&amp;AF87)+COUNTIFS($G$17:$G$219,"入池",$AF$17:$AF$219,AF87,$AF$17:$AF$219,"&gt;=-1E+307",$AF$17:$AF$219,"&lt;=1E+307")/2-0.5)/(COUNTIFS($G$17:$G$219,"入池",$AF$17:$AF$219,"&gt;=-1E+307",$AF$17:$AF$219,"&lt;=1E+307")-1),2)))</x:f>
        <x:v>2.92</x:v>
      </x:c>
      <x:c r="AI87" s="17" t="n">
        <x:f>IF(NOT(ISNUMBER(AG87)),"",IF(NOT(ISNUMBER(AH87)),AG87,ROUND(AG87*'sheet1-指标体系'!$J$8+AH87*'sheet1-指标体系'!$J$9,2)))</x:f>
        <x:v>3.56</x:v>
      </x:c>
      <x:c r="AJ87" s="37" t="n">
        <x:f>IF(NOT(ISNUMBER(F87)),"",IF(F87&gt;=3,IF(NOT(ISNUMBER(N87)),"",N87),IF(NOT(ISNUMBER(O87)),"",O87)))</x:f>
        <x:v>-0.055999999999999994</x:v>
      </x:c>
      <x:c r="AK87" s="17" t="n">
        <x:f>IF(OR(G87&lt;&gt;"入池",NOT(ISNUMBER(M87)),NOT(ISNUMBER(AJ87))),"",IF(M87&gt;=AJ87,100,IF(AJ87-M87&lt;'sheet1-指标体系'!$J$10,80,60)))</x:f>
        <x:v>80</x:v>
      </x:c>
      <x:c r="AL87" s="17" t="n">
        <x:f>IF(COUNT(I87,K87,L87)=0,"",ROUND((IF(ISNUMBER(I87),I87*40%,0)+IF(ISNUMBER(K87),K87*30%,0)+IF(ISNUMBER(L87),L87*30%,0))/(IF(ISNUMBER(I87),40%,0)+IF(ISNUMBER(K87),30%,0)+IF(ISNUMBER(L87),30%,0)),2))</x:f>
        <x:v>88</x:v>
      </x:c>
      <x:c r="AM87" s="17" t="n">
        <x:f>IF(COUNT(Q87,R87,W87,X87)=0,"",ROUND((IF(ISNUMBER(Q87),Q87*42%,0)+IF(ISNUMBER(R87),R87*28%,0)+IF(ISNUMBER(W87),W87*18%,0)+IF(ISNUMBER(X87),X87*12%,0))/(IF(ISNUMBER(Q87),42%,0)+IF(ISNUMBER(R87),28%,0)+IF(ISNUMBER(W87),18%,0)+IF(ISNUMBER(X87),12%,0)),2))</x:f>
        <x:v>18.03</x:v>
      </x:c>
      <x:c r="AN87" s="17" t="n">
        <x:f>IF(ISNUMBER(AC87),AC87,"")</x:f>
        <x:v>10.4</x:v>
      </x:c>
      <x:c r="AO87" s="17" t="n">
        <x:f>IF(COUNT(AG87,AH87)=0,"",ROUND((IF(ISNUMBER(AG87),AG87*60%,0)+IF(ISNUMBER(AH87),AH87*40%,0))/(IF(ISNUMBER(AG87),60%,0)+IF(ISNUMBER(AH87),40%,0)),2))</x:f>
        <x:v>3.56</x:v>
      </x:c>
      <x:c r="AP87" s="17" t="n">
        <x:f>IF(ISNUMBER(AK87),AK87,"")</x:f>
        <x:v>80</x:v>
      </x:c>
      <x:c r="AQ87" s="39" t="n">
        <x:f>IF(G87&lt;&gt;"入池",0,IF(ISNUMBER(I87),6%,0)+IF(ISNUMBER(K87),4.5%,0)+IF(ISNUMBER(L87),4.5%,0)+IF(ISNUMBER(Q87),8.4%,0)+IF(ISNUMBER(R87),5.6%,0)+IF(ISNUMBER(W87),3.6%,0)+IF(ISNUMBER(X87),2.4%,0)+IF(ISNUMBER(AC87),25%,0)+IF(ISNUMBER(AG87),18%,0)+IF(ISNUMBER(AH87),12%,0)+IF(ISNUMBER(AK87),10%,0))</x:f>
        <x:v>1</x:v>
      </x:c>
      <x:c r="AR87" s="17" t="n">
        <x:f>IF(AQ87=0,"",IF(ISNUMBER(I87),I87*6%,0)+IF(ISNUMBER(K87),K87*4.5%,0)+IF(ISNUMBER(L87),L87*4.5%,0)+IF(ISNUMBER(Q87),Q87*8.4%,0)+IF(ISNUMBER(R87),R87*5.6%,0)+IF(ISNUMBER(W87),W87*3.6%,0)+IF(ISNUMBER(X87),X87*2.4%,0)+IF(ISNUMBER(AC87),AC87*25%,0)+IF(ISNUMBER(AG87),AG87*18%,0)+IF(ISNUMBER(AH87),AH87*12%,0)+IF(ISNUMBER(AK87),AK87*10%,0))</x:f>
        <x:v>28.471890000000002</x:v>
      </x:c>
      <x:c r="AS87" s="17" t="n">
        <x:f>IF(AQ87=0,"",ROUND(AR87/AQ87,2))</x:f>
        <x:v>28.47</x:v>
      </x:c>
      <x:c r="AT87" s="40" t="n">
        <x:f>IF(OR(G87&lt;&gt;"入池",NOT(ISNUMBER(AS87))),"",COUNTIFS($G$17:$G$219,"入池",$AS$17:$AS$219,"&gt;"&amp;AS87)+COUNTIFS($G$17:$G$219,"入池",$AS$17:$AS$219,AS87,$AQ$17:$AQ$219,"&gt;"&amp;AQ87)+COUNTIFS($G$17:G87,"入池",$AS$17:AS87,AS87,$AQ$17:AQ87,AQ87))</x:f>
        <x:v>197</x:v>
      </x:c>
      <x:c r="AU87" s="41" t="str">
        <x:f t="shared" si="4">IF(NOT(ISNUMBER(I87)),"管理人规模；","")&amp;IF(J87="","产品规模标识；","")&amp;IF(AND(F87&lt;3,NOT(ISNUMBER(O87))),"R_incep；","")&amp;IF(NOT(ISNUMBER(N87)),"近三年收益；","")&amp;IF(NOT(ISNUMBER(U87)),"近三年胜率；","")&amp;IF(AND(ISNUMBER(V87),OR(V87&lt;0,V87&gt;1)),"胜率窗口口径不一致；","")&amp;IF(NOT(ISNUMBER(AA87)),"近三年回撤；","")&amp;IF(NOT(ISNUMBER(AD87)),"短期卡玛；","")&amp;IF(AND(ISNUMBER(P87),NOT(ISNUMBER(AE87))),"DD_long不可识别；","")</x:f>
      </x:c>
      <x:c r="AV87" s="42" t="n">
        <x:v>5</x:v>
      </x:c>
      <x:c r="AW87" s="19" t="str">
        <x:v>北京韵之私募基金管理有限公司</x:v>
      </x:c>
      <x:c r="AX87" s="19" t="str">
        <x:v>2026-05-08</x:v>
      </x:c>
      <x:c r="AY87" s="19" t="str">
        <x:v>https://gs.amac.org.cn/amac-infodisc/res/pof/manager/1609291216100602.html</x:v>
      </x:c>
      <x:c r="AZ87" s="19" t="str">
        <x:v>韵之嘉益私募证券投资基金</x:v>
      </x:c>
      <x:c r="BA87" s="19" t="str">
        <x:v>2023-08-11</x:v>
      </x:c>
      <x:c r="BB87" s="19"/>
      <x:c r="BC87" s="19" t="str">
        <x:v>https://gs.amac.org.cn/amac-infodisc/res/pof/fund/2308101835106229.html</x:v>
      </x:c>
      <x:c r="BD87" s="19" t="str">
        <x:v>已匹配</x:v>
      </x:c>
      <x:c r="BE87"/>
      <x:c r="BF87"/>
    </x:row>
    <x:row r="88" ht="28" customHeight="1">
      <x:c r="A88" s="4" t="n">
        <x:v>72</x:v>
      </x:c>
      <x:c r="B88" s="15" t="str">
        <x:f>'sheet4-原始数据'!A73</x:f>
        <x:v>杨湜套利1号</x:v>
      </x:c>
      <x:c r="C88" s="15" t="str">
        <x:f>'sheet4-原始数据'!B73</x:f>
        <x:v>SB6565</x:v>
      </x:c>
      <x:c r="D88" s="15" t="str">
        <x:f>'sheet4-原始数据'!E73</x:f>
        <x:v>上海杨湜投资</x:v>
      </x:c>
      <x:c r="E88" s="32" t="n">
        <x:f>IF(ISNUMBER('sheet4-原始数据'!F73),'sheet4-原始数据'!F73,"")</x:f>
        <x:v>45156</x:v>
      </x:c>
      <x:c r="F88" s="17" t="n">
        <x:f>IF(NOT(ISNUMBER(E88)),"",ROUND(('sheet1-指标体系'!$J$23-E88)/365.25,4))</x:f>
        <x:v>3.0801</x:v>
      </x:c>
      <x:c r="G88" s="4" t="str">
        <x:f t="shared" si="3">IF(NOT(ISNUMBER(F88)),"",IF(F88&lt;1,"不入池","入池"))</x:f>
        <x:v>入池</x:v>
      </x:c>
      <x:c r="H88" s="33" t="str">
        <x:v>10-20亿元</x:v>
      </x:c>
      <x:c r="I88" s="17" t="n">
        <x:f>IF(H88="","",IF(ISNUMBER(SEARCH("100亿元以上",H88)),100,IF(OR(ISNUMBER(SEARCH("20-50",H88)),ISNUMBER(SEARCH("50-100",H88)),ISNUMBER(SEARCH("20-100",H88))),90,IF(ISNUMBER(SEARCH("10-20",H88)),80,IF(ISNUMBER(SEARCH("5-10",H88)),70,IF(ISNUMBER(SEARCH("0-5",H88)),60,""))))))</x:f>
        <x:v>80</x:v>
      </x:c>
      <x:c r="J88" s="34" t="str">
        <x:v>无低于1000万元标识</x:v>
      </x:c>
      <x:c r="K88" s="17" t="n">
        <x:f>IF(J88="","",IF(J88="低于1000万元",0,100))</x:f>
        <x:v>100</x:v>
      </x:c>
      <x:c r="L88" s="17" t="n">
        <x:f>IF(NOT(ISNUMBER(F88)),"",IF(F88&lt;1,"",IF(F88&lt;3,70,100)))</x:f>
        <x:v>100</x:v>
      </x:c>
      <x:c r="M88" s="35" t="n">
        <x:f>IF(ISNUMBER('sheet4-原始数据'!G73),'sheet4-原始数据'!G73,"")</x:f>
        <x:v>0.0729</x:v>
      </x:c>
      <x:c r="N88" s="35" t="n">
        <x:f>IF(ISNUMBER('sheet4-原始数据'!H73),'sheet4-原始数据'!H73,"")</x:f>
        <x:v>0.0802</x:v>
      </x:c>
      <x:c r="O88" s="36" t="str">
        <x:f>IF(ISNUMBER('sheet4-原始数据'!Q73),'sheet4-原始数据'!Q73,"")</x:f>
      </x:c>
      <x:c r="P88" s="37" t="n">
        <x:f>IF($G88&lt;&gt;"入池","",IF($F88&gt;=3,IF(OR(NOT(ISNUMBER($M88)),NOT(ISNUMBER($N88)),1+$M88&lt;=0,1+$N88&lt;0),"",((1+$N88)^3/(1+$M88))^(1/2)-1),IF(OR($F88&lt;=1,NOT(ISNUMBER($M88)),NOT(ISNUMBER($O88)),1+$M88&lt;=0,1+$O88&lt;0),"",((1+$O88)^$F88/(1+$M88))^(1/($F88-1))-1)))</x:f>
        <x:v>0.08386860485235204</x:v>
      </x:c>
      <x:c r="Q88" s="17" t="n">
        <x:f>IF(OR($G88&lt;&gt;"入池",NOT(ISNUMBER(M88))),"",IF(COUNTIFS($G$17:$G$219,"入池",$M$17:$M$219,"&gt;=-1E+307",$M$17:$M$219,"&lt;=1E+307")&lt;=1,100,ROUND(100*(COUNTIFS($G$17:$G$219,"入池",$M$17:$M$219,"&gt;=-1E+307",$M$17:$M$219,"&lt;"&amp;M88)+COUNTIFS($G$17:$G$219,"入池",$M$17:$M$219,M88,$M$17:$M$219,"&gt;=-1E+307",$M$17:$M$219,"&lt;=1E+307")/2-0.5)/(COUNTIFS($G$17:$G$219,"入池",$M$17:$M$219,"&gt;=-1E+307",$M$17:$M$219,"&lt;=1E+307")-1),2)))</x:f>
        <x:v>65.84</x:v>
      </x:c>
      <x:c r="R88" s="17" t="n">
        <x:f>IF(OR($G88&lt;&gt;"入池",NOT(ISNUMBER(P88))),"",IF(COUNTIFS($G$17:$G$219,"入池",$P$17:$P$219,"&gt;=-1E+307",$P$17:$P$219,"&lt;=1E+307")&lt;=1,100,ROUND(100*(COUNTIFS($G$17:$G$219,"入池",$P$17:$P$219,"&gt;=-1E+307",$P$17:$P$219,"&lt;"&amp;P88)+COUNTIFS($G$17:$G$219,"入池",$P$17:$P$219,P88,$P$17:$P$219,"&gt;=-1E+307",$P$17:$P$219,"&lt;=1E+307")/2-0.5)/(COUNTIFS($G$17:$G$219,"入池",$P$17:$P$219,"&gt;=-1E+307",$P$17:$P$219,"&lt;=1E+307")-1),2)))</x:f>
        <x:v>68.81</x:v>
      </x:c>
      <x:c r="S88" s="17" t="n">
        <x:f>IF(NOT(ISNUMBER(Q88)),"",IF(NOT(ISNUMBER(R88)),Q88,ROUND(Q88*'sheet1-指标体系'!$J$8+R88*'sheet1-指标体系'!$J$9,2)))</x:f>
        <x:v>67.03</x:v>
      </x:c>
      <x:c r="T88" s="35" t="n">
        <x:f>IF(ISNUMBER('sheet4-原始数据'!J73),'sheet4-原始数据'!J73,"")</x:f>
        <x:v>0.7692</x:v>
      </x:c>
      <x:c r="U88" s="35" t="n">
        <x:f>IF(ISNUMBER('sheet4-原始数据'!I73),'sheet4-原始数据'!I73,"")</x:f>
        <x:v>0.8378</x:v>
      </x:c>
      <x:c r="V88" s="37" t="n">
        <x:f>IF(OR(NOT(ISNUMBER(T88)),NOT(ISNUMBER(U88))),"",(U88*'sheet1-指标体系'!$J$6-T88*'sheet1-指标体系'!$J$5)/'sheet1-指标体系'!$J$7)</x:f>
        <x:v>0.8749583333333334</x:v>
      </x:c>
      <x:c r="W88" s="17" t="n">
        <x:f>IF(NOT(ISNUMBER(T88)),"",T88*100)</x:f>
        <x:v>76.92</x:v>
      </x:c>
      <x:c r="X88" s="17" t="n">
        <x:f>IF($G88&lt;&gt;"入池","",IF(AND(ISNUMBER(V88),V88&gt;=0,V88&lt;=1),V88*100,IF(MAX(0,($F88-1)*12)&lt;6,100,"")))</x:f>
        <x:v>87.49583333333334</x:v>
      </x:c>
      <x:c r="Y88" s="17" t="n">
        <x:f>IF(NOT(ISNUMBER(W88)),"",IF(NOT(ISNUMBER(X88)),W88,ROUND(W88*'sheet1-指标体系'!$J$8+X88*'sheet1-指标体系'!$J$9,2)))</x:f>
        <x:v>81.15</x:v>
      </x:c>
      <x:c r="Z88" s="37" t="n">
        <x:f>IF(OR(NOT(ISNUMBER(M88)),NOT(ISNUMBER(AD88)),AD88=0),"",ABS(M88/AD88))</x:f>
        <x:v>0.02204281567489115</x:v>
      </x:c>
      <x:c r="AA88" s="35" t="n">
        <x:f>IF(ISNUMBER('sheet4-原始数据'!K73),'sheet4-原始数据'!K73,"")</x:f>
        <x:v>0.023</x:v>
      </x:c>
      <x:c r="AB88" s="37" t="n">
        <x:f>IF(COUNT(Z88:AA88)=0,"",MAX(Z88:AA88))</x:f>
        <x:v>0.023</x:v>
      </x:c>
      <x:c r="AC88" s="17" t="n">
        <x:f>IF(OR($G88&lt;&gt;"入池",NOT(ISNUMBER(AB88))),"",IF(COUNTIFS($G$17:$G$219,"入池",$AB$17:$AB$219,"&gt;=-1E+307",$AB$17:$AB$219,"&lt;=1E+307")&lt;=1,100,ROUND(100*(COUNTIFS($G$17:$G$219,"入池",$AB$17:$AB$219,"&lt;=1E+307",$AB$17:$AB$219,"&gt;"&amp;AB88)+COUNTIFS($G$17:$G$219,"入池",$AB$17:$AB$219,AB88,$AB$17:$AB$219,"&gt;=-1E+307",$AB$17:$AB$219,"&lt;=1E+307")/2-0.5)/(COUNTIFS($G$17:$G$219,"入池",$AB$17:$AB$219,"&gt;=-1E+307",$AB$17:$AB$219,"&lt;=1E+307")-1),2)))</x:f>
        <x:v>71.78</x:v>
      </x:c>
      <x:c r="AD88" s="38" t="n">
        <x:f>IF(ISNUMBER('sheet4-原始数据'!M73),'sheet4-原始数据'!M73,"")</x:f>
        <x:v>3.3072</x:v>
      </x:c>
      <x:c r="AE88" s="37" t="n">
        <x:f>IF(OR(NOT(ISNUMBER(P88)),NOT(ISNUMBER(AA88)),NOT(ISNUMBER(Z88))),"",IF(AA88&gt;Z88+'sheet1-指标体系'!$J$11,AA88,""))</x:f>
        <x:v>0.023</x:v>
      </x:c>
      <x:c r="AF88" s="17" t="n">
        <x:f>IF(OR(NOT(ISNUMBER(P88)),NOT(ISNUMBER(AE88)),AE88=0),"",P88/AE88)</x:f>
        <x:v>3.646461080537045</x:v>
      </x:c>
      <x:c r="AG88" s="17" t="n">
        <x:f>IF(OR($G88&lt;&gt;"入池",NOT(ISNUMBER(AD88))),"",IF(COUNTIFS($G$17:$G$219,"入池",$AD$17:$AD$219,"&gt;=-1E+307",$AD$17:$AD$219,"&lt;=1E+307")&lt;=1,100,ROUND(100*(COUNTIFS($G$17:$G$219,"入池",$AD$17:$AD$219,"&gt;=-1E+307",$AD$17:$AD$219,"&lt;"&amp;AD88)+COUNTIFS($G$17:$G$219,"入池",$AD$17:$AD$219,AD88,$AD$17:$AD$219,"&gt;=-1E+307",$AD$17:$AD$219,"&lt;=1E+307")/2-0.5)/(COUNTIFS($G$17:$G$219,"入池",$AD$17:$AD$219,"&gt;=-1E+307",$AD$17:$AD$219,"&lt;=1E+307")-1),2)))</x:f>
        <x:v>54.73</x:v>
      </x:c>
      <x:c r="AH88" s="17" t="n">
        <x:f>IF(OR($G88&lt;&gt;"入池",NOT(ISNUMBER(AF88))),"",IF(COUNTIFS($G$17:$G$219,"入池",$AF$17:$AF$219,"&gt;=-1E+307",$AF$17:$AF$219,"&lt;=1E+307")&lt;=1,100,ROUND(100*(COUNTIFS($G$17:$G$219,"入池",$AF$17:$AF$219,"&gt;=-1E+307",$AF$17:$AF$219,"&lt;"&amp;AF88)+COUNTIFS($G$17:$G$219,"入池",$AF$17:$AF$219,AF88,$AF$17:$AF$219,"&gt;=-1E+307",$AF$17:$AF$219,"&lt;=1E+307")/2-0.5)/(COUNTIFS($G$17:$G$219,"入池",$AF$17:$AF$219,"&gt;=-1E+307",$AF$17:$AF$219,"&lt;=1E+307")-1),2)))</x:f>
        <x:v>78.83</x:v>
      </x:c>
      <x:c r="AI88" s="17" t="n">
        <x:f>IF(NOT(ISNUMBER(AG88)),"",IF(NOT(ISNUMBER(AH88)),AG88,ROUND(AG88*'sheet1-指标体系'!$J$8+AH88*'sheet1-指标体系'!$J$9,2)))</x:f>
        <x:v>64.37</x:v>
      </x:c>
      <x:c r="AJ88" s="37" t="n">
        <x:f>IF(NOT(ISNUMBER(F88)),"",IF(F88&gt;=3,IF(NOT(ISNUMBER(N88)),"",N88),IF(NOT(ISNUMBER(O88)),"",O88)))</x:f>
        <x:v>0.0802</x:v>
      </x:c>
      <x:c r="AK88" s="17" t="n">
        <x:f>IF(OR(G88&lt;&gt;"入池",NOT(ISNUMBER(M88)),NOT(ISNUMBER(AJ88))),"",IF(M88&gt;=AJ88,100,IF(AJ88-M88&lt;'sheet1-指标体系'!$J$10,80,60)))</x:f>
        <x:v>80</x:v>
      </x:c>
      <x:c r="AL88" s="17" t="n">
        <x:f>IF(COUNT(I88,K88,L88)=0,"",ROUND((IF(ISNUMBER(I88),I88*40%,0)+IF(ISNUMBER(K88),K88*30%,0)+IF(ISNUMBER(L88),L88*30%,0))/(IF(ISNUMBER(I88),40%,0)+IF(ISNUMBER(K88),30%,0)+IF(ISNUMBER(L88),30%,0)),2))</x:f>
        <x:v>92</x:v>
      </x:c>
      <x:c r="AM88" s="17" t="n">
        <x:f>IF(COUNT(Q88,R88,W88,X88)=0,"",ROUND((IF(ISNUMBER(Q88),Q88*42%,0)+IF(ISNUMBER(R88),R88*28%,0)+IF(ISNUMBER(W88),W88*18%,0)+IF(ISNUMBER(X88),X88*12%,0))/(IF(ISNUMBER(Q88),42%,0)+IF(ISNUMBER(R88),28%,0)+IF(ISNUMBER(W88),18%,0)+IF(ISNUMBER(X88),12%,0)),2))</x:f>
        <x:v>71.26</x:v>
      </x:c>
      <x:c r="AN88" s="17" t="n">
        <x:f>IF(ISNUMBER(AC88),AC88,"")</x:f>
        <x:v>71.78</x:v>
      </x:c>
      <x:c r="AO88" s="17" t="n">
        <x:f>IF(COUNT(AG88,AH88)=0,"",ROUND((IF(ISNUMBER(AG88),AG88*60%,0)+IF(ISNUMBER(AH88),AH88*40%,0))/(IF(ISNUMBER(AG88),60%,0)+IF(ISNUMBER(AH88),40%,0)),2))</x:f>
        <x:v>64.37</x:v>
      </x:c>
      <x:c r="AP88" s="17" t="n">
        <x:f>IF(ISNUMBER(AK88),AK88,"")</x:f>
        <x:v>80</x:v>
      </x:c>
      <x:c r="AQ88" s="39" t="n">
        <x:f>IF(G88&lt;&gt;"入池",0,IF(ISNUMBER(I88),6%,0)+IF(ISNUMBER(K88),4.5%,0)+IF(ISNUMBER(L88),4.5%,0)+IF(ISNUMBER(Q88),8.4%,0)+IF(ISNUMBER(R88),5.6%,0)+IF(ISNUMBER(W88),3.6%,0)+IF(ISNUMBER(X88),2.4%,0)+IF(ISNUMBER(AC88),25%,0)+IF(ISNUMBER(AG88),18%,0)+IF(ISNUMBER(AH88),12%,0)+IF(ISNUMBER(AK88),10%,0))</x:f>
        <x:v>1</x:v>
      </x:c>
      <x:c r="AR88" s="17" t="n">
        <x:f>IF(AQ88=0,"",IF(ISNUMBER(I88),I88*6%,0)+IF(ISNUMBER(K88),K88*4.5%,0)+IF(ISNUMBER(L88),L88*4.5%,0)+IF(ISNUMBER(Q88),Q88*8.4%,0)+IF(ISNUMBER(R88),R88*5.6%,0)+IF(ISNUMBER(W88),W88*3.6%,0)+IF(ISNUMBER(X88),X88*2.4%,0)+IF(ISNUMBER(AC88),AC88*25%,0)+IF(ISNUMBER(AG88),AG88*18%,0)+IF(ISNUMBER(AH88),AH88*12%,0)+IF(ISNUMBER(AK88),AK88*10%,0))</x:f>
        <x:v>73.30893999999999</x:v>
      </x:c>
      <x:c r="AS88" s="17" t="n">
        <x:f>IF(AQ88=0,"",ROUND(AR88/AQ88,2))</x:f>
        <x:v>73.31</x:v>
      </x:c>
      <x:c r="AT88" s="40" t="n">
        <x:f>IF(OR(G88&lt;&gt;"入池",NOT(ISNUMBER(AS88))),"",COUNTIFS($G$17:$G$219,"入池",$AS$17:$AS$219,"&gt;"&amp;AS88)+COUNTIFS($G$17:$G$219,"入池",$AS$17:$AS$219,AS88,$AQ$17:$AQ$219,"&gt;"&amp;AQ88)+COUNTIFS($G$17:G88,"入池",$AS$17:AS88,AS88,$AQ$17:AQ88,AQ88))</x:f>
        <x:v>54</x:v>
      </x:c>
      <x:c r="AU88" s="41" t="str">
        <x:f t="shared" si="4">IF(NOT(ISNUMBER(I88)),"管理人规模；","")&amp;IF(J88="","产品规模标识；","")&amp;IF(AND(F88&lt;3,NOT(ISNUMBER(O88))),"R_incep；","")&amp;IF(NOT(ISNUMBER(N88)),"近三年收益；","")&amp;IF(NOT(ISNUMBER(U88)),"近三年胜率；","")&amp;IF(AND(ISNUMBER(V88),OR(V88&lt;0,V88&gt;1)),"胜率窗口口径不一致；","")&amp;IF(NOT(ISNUMBER(AA88)),"近三年回撤；","")&amp;IF(NOT(ISNUMBER(AD88)),"短期卡玛；","")&amp;IF(AND(ISNUMBER(P88),NOT(ISNUMBER(AE88))),"DD_long不可识别；","")</x:f>
      </x:c>
      <x:c r="AV88" s="42" t="n">
        <x:v>10</x:v>
      </x:c>
      <x:c r="AW88" s="19" t="str">
        <x:v>上海杨湜资产管理中心(有限合伙)</x:v>
      </x:c>
      <x:c r="AX88" s="19" t="str">
        <x:v>2026-06-25</x:v>
      </x:c>
      <x:c r="AY88" s="19" t="str">
        <x:v>https://gs.amac.org.cn/amac-infodisc/res/pof/manager/101000070776.html</x:v>
      </x:c>
      <x:c r="AZ88" s="19" t="str">
        <x:v>杨湜套利1号私募证券投资基金</x:v>
      </x:c>
      <x:c r="BA88" s="19" t="str">
        <x:v>2026-07-14</x:v>
      </x:c>
      <x:c r="BB88" s="19"/>
      <x:c r="BC88" s="19" t="str">
        <x:v>https://gs.amac.org.cn/amac-infodisc/res/pof/fund/2308231811111489.html</x:v>
      </x:c>
      <x:c r="BD88" s="19" t="str">
        <x:v>已匹配</x:v>
      </x:c>
      <x:c r="BE88"/>
      <x:c r="BF88"/>
    </x:row>
    <x:row r="89" ht="28" customHeight="1">
      <x:c r="A89" s="4" t="n">
        <x:v>73</x:v>
      </x:c>
      <x:c r="B89" s="15" t="str">
        <x:f>'sheet4-原始数据'!A74</x:f>
        <x:v>奶酪平价套利稳健一号</x:v>
      </x:c>
      <x:c r="C89" s="15" t="str">
        <x:f>'sheet4-原始数据'!B74</x:f>
        <x:v>SAAS17</x:v>
      </x:c>
      <x:c r="D89" s="15" t="str">
        <x:f>'sheet4-原始数据'!E74</x:f>
        <x:v>广东奶酪</x:v>
      </x:c>
      <x:c r="E89" s="32" t="n">
        <x:f>IF(ISNUMBER('sheet4-原始数据'!F74),'sheet4-原始数据'!F74,"")</x:f>
        <x:v>45174</x:v>
      </x:c>
      <x:c r="F89" s="17" t="n">
        <x:f>IF(NOT(ISNUMBER(E89)),"",ROUND(('sheet1-指标体系'!$J$23-E89)/365.25,4))</x:f>
        <x:v>3.0308</x:v>
      </x:c>
      <x:c r="G89" s="4" t="str">
        <x:f t="shared" si="3">IF(NOT(ISNUMBER(F89)),"",IF(F89&lt;1,"不入池","入池"))</x:f>
        <x:v>入池</x:v>
      </x:c>
      <x:c r="H89" s="33" t="str">
        <x:v>10-20亿元</x:v>
      </x:c>
      <x:c r="I89" s="17" t="n">
        <x:f>IF(H89="","",IF(ISNUMBER(SEARCH("100亿元以上",H89)),100,IF(OR(ISNUMBER(SEARCH("20-50",H89)),ISNUMBER(SEARCH("50-100",H89)),ISNUMBER(SEARCH("20-100",H89))),90,IF(ISNUMBER(SEARCH("10-20",H89)),80,IF(ISNUMBER(SEARCH("5-10",H89)),70,IF(ISNUMBER(SEARCH("0-5",H89)),60,""))))))</x:f>
        <x:v>80</x:v>
      </x:c>
      <x:c r="J89" s="34" t="str">
        <x:v>无低于1000万元标识</x:v>
      </x:c>
      <x:c r="K89" s="17" t="n">
        <x:f>IF(J89="","",IF(J89="低于1000万元",0,100))</x:f>
        <x:v>100</x:v>
      </x:c>
      <x:c r="L89" s="17" t="n">
        <x:f>IF(NOT(ISNUMBER(F89)),"",IF(F89&lt;1,"",IF(F89&lt;3,70,100)))</x:f>
        <x:v>100</x:v>
      </x:c>
      <x:c r="M89" s="35" t="n">
        <x:f>IF(ISNUMBER('sheet4-原始数据'!G74),'sheet4-原始数据'!G74,"")</x:f>
        <x:v>0.0727</x:v>
      </x:c>
      <x:c r="N89" s="35" t="n">
        <x:f>IF(ISNUMBER('sheet4-原始数据'!H74),'sheet4-原始数据'!H74,"")</x:f>
        <x:v>0.0393</x:v>
      </x:c>
      <x:c r="O89" s="36" t="str">
        <x:f>IF(ISNUMBER('sheet4-原始数据'!Q74),'sheet4-原始数据'!Q74,"")</x:f>
      </x:c>
      <x:c r="P89" s="37" t="n">
        <x:f>IF($G89&lt;&gt;"入池","",IF($F89&gt;=3,IF(OR(NOT(ISNUMBER($M89)),NOT(ISNUMBER($N89)),1+$M89&lt;=0,1+$N89&lt;0),"",((1+$N89)^3/(1+$M89))^(1/2)-1),IF(OR($F89&lt;=1,NOT(ISNUMBER($M89)),NOT(ISNUMBER($O89)),1+$M89&lt;=0,1+$O89&lt;0),"",((1+$O89)^$F89/(1+$M89))^(1/($F89-1))-1)))</x:f>
        <x:v>0.02299203100246383</x:v>
      </x:c>
      <x:c r="Q89" s="17" t="n">
        <x:f>IF(OR($G89&lt;&gt;"入池",NOT(ISNUMBER(M89))),"",IF(COUNTIFS($G$17:$G$219,"入池",$M$17:$M$219,"&gt;=-1E+307",$M$17:$M$219,"&lt;=1E+307")&lt;=1,100,ROUND(100*(COUNTIFS($G$17:$G$219,"入池",$M$17:$M$219,"&gt;=-1E+307",$M$17:$M$219,"&lt;"&amp;M89)+COUNTIFS($G$17:$G$219,"入池",$M$17:$M$219,M89,$M$17:$M$219,"&gt;=-1E+307",$M$17:$M$219,"&lt;=1E+307")/2-0.5)/(COUNTIFS($G$17:$G$219,"入池",$M$17:$M$219,"&gt;=-1E+307",$M$17:$M$219,"&lt;=1E+307")-1),2)))</x:f>
        <x:v>65.35</x:v>
      </x:c>
      <x:c r="R89" s="17" t="n">
        <x:f>IF(OR($G89&lt;&gt;"入池",NOT(ISNUMBER(P89))),"",IF(COUNTIFS($G$17:$G$219,"入池",$P$17:$P$219,"&gt;=-1E+307",$P$17:$P$219,"&lt;=1E+307")&lt;=1,100,ROUND(100*(COUNTIFS($G$17:$G$219,"入池",$P$17:$P$219,"&gt;=-1E+307",$P$17:$P$219,"&lt;"&amp;P89)+COUNTIFS($G$17:$G$219,"入池",$P$17:$P$219,P89,$P$17:$P$219,"&gt;=-1E+307",$P$17:$P$219,"&lt;=1E+307")/2-0.5)/(COUNTIFS($G$17:$G$219,"入池",$P$17:$P$219,"&gt;=-1E+307",$P$17:$P$219,"&lt;=1E+307")-1),2)))</x:f>
        <x:v>11.88</x:v>
      </x:c>
      <x:c r="S89" s="17" t="n">
        <x:f>IF(NOT(ISNUMBER(Q89)),"",IF(NOT(ISNUMBER(R89)),Q89,ROUND(Q89*'sheet1-指标体系'!$J$8+R89*'sheet1-指标体系'!$J$9,2)))</x:f>
        <x:v>43.96</x:v>
      </x:c>
      <x:c r="T89" s="35" t="n">
        <x:f>IF(ISNUMBER('sheet4-原始数据'!J74),'sheet4-原始数据'!J74,"")</x:f>
        <x:v>1</x:v>
      </x:c>
      <x:c r="U89" s="35" t="n">
        <x:f>IF(ISNUMBER('sheet4-原始数据'!I74),'sheet4-原始数据'!I74,"")</x:f>
        <x:v>0.8108</x:v>
      </x:c>
      <x:c r="V89" s="37" t="n">
        <x:f>IF(OR(NOT(ISNUMBER(T89)),NOT(ISNUMBER(U89))),"",(U89*'sheet1-指标体系'!$J$6-T89*'sheet1-指标体系'!$J$5)/'sheet1-指标体系'!$J$7)</x:f>
        <x:v>0.7083166666666666</x:v>
      </x:c>
      <x:c r="W89" s="17" t="n">
        <x:f>IF(NOT(ISNUMBER(T89)),"",T89*100)</x:f>
        <x:v>100</x:v>
      </x:c>
      <x:c r="X89" s="17" t="n">
        <x:f>IF($G89&lt;&gt;"入池","",IF(AND(ISNUMBER(V89),V89&gt;=0,V89&lt;=1),V89*100,IF(MAX(0,($F89-1)*12)&lt;6,100,"")))</x:f>
        <x:v>70.83166666666666</x:v>
      </x:c>
      <x:c r="Y89" s="17" t="n">
        <x:f>IF(NOT(ISNUMBER(W89)),"",IF(NOT(ISNUMBER(X89)),W89,ROUND(W89*'sheet1-指标体系'!$J$8+X89*'sheet1-指标体系'!$J$9,2)))</x:f>
        <x:v>88.33</x:v>
      </x:c>
      <x:c r="Z89" s="37" t="n">
        <x:f>IF(OR(NOT(ISNUMBER(M89)),NOT(ISNUMBER(AD89)),AD89=0),"",ABS(M89/AD89))</x:f>
        <x:v>0.0024641144271018694</x:v>
      </x:c>
      <x:c r="AA89" s="35" t="n">
        <x:f>IF(ISNUMBER('sheet4-原始数据'!K74),'sheet4-原始数据'!K74,"")</x:f>
        <x:v>0.0073</x:v>
      </x:c>
      <x:c r="AB89" s="37" t="n">
        <x:f>IF(COUNT(Z89:AA89)=0,"",MAX(Z89:AA89))</x:f>
        <x:v>0.0073</x:v>
      </x:c>
      <x:c r="AC89" s="17" t="n">
        <x:f>IF(OR($G89&lt;&gt;"入池",NOT(ISNUMBER(AB89))),"",IF(COUNTIFS($G$17:$G$219,"入池",$AB$17:$AB$219,"&gt;=-1E+307",$AB$17:$AB$219,"&lt;=1E+307")&lt;=1,100,ROUND(100*(COUNTIFS($G$17:$G$219,"入池",$AB$17:$AB$219,"&lt;=1E+307",$AB$17:$AB$219,"&gt;"&amp;AB89)+COUNTIFS($G$17:$G$219,"入池",$AB$17:$AB$219,AB89,$AB$17:$AB$219,"&gt;=-1E+307",$AB$17:$AB$219,"&lt;=1E+307")/2-0.5)/(COUNTIFS($G$17:$G$219,"入池",$AB$17:$AB$219,"&gt;=-1E+307",$AB$17:$AB$219,"&lt;=1E+307")-1),2)))</x:f>
        <x:v>91.09</x:v>
      </x:c>
      <x:c r="AD89" s="38" t="n">
        <x:f>IF(ISNUMBER('sheet4-原始数据'!M74),'sheet4-原始数据'!M74,"")</x:f>
        <x:v>29.5035</x:v>
      </x:c>
      <x:c r="AE89" s="37" t="n">
        <x:f>IF(OR(NOT(ISNUMBER(P89)),NOT(ISNUMBER(AA89)),NOT(ISNUMBER(Z89))),"",IF(AA89&gt;Z89+'sheet1-指标体系'!$J$11,AA89,""))</x:f>
        <x:v>0.0073</x:v>
      </x:c>
      <x:c r="AF89" s="17" t="n">
        <x:f>IF(OR(NOT(ISNUMBER(P89)),NOT(ISNUMBER(AE89)),AE89=0),"",P89/AE89)</x:f>
        <x:v>3.149593288008744</x:v>
      </x:c>
      <x:c r="AG89" s="17" t="n">
        <x:f>IF(OR($G89&lt;&gt;"入池",NOT(ISNUMBER(AD89))),"",IF(COUNTIFS($G$17:$G$219,"入池",$AD$17:$AD$219,"&gt;=-1E+307",$AD$17:$AD$219,"&lt;=1E+307")&lt;=1,100,ROUND(100*(COUNTIFS($G$17:$G$219,"入池",$AD$17:$AD$219,"&gt;=-1E+307",$AD$17:$AD$219,"&lt;"&amp;AD89)+COUNTIFS($G$17:$G$219,"入池",$AD$17:$AD$219,AD89,$AD$17:$AD$219,"&gt;=-1E+307",$AD$17:$AD$219,"&lt;=1E+307")/2-0.5)/(COUNTIFS($G$17:$G$219,"入池",$AD$17:$AD$219,"&gt;=-1E+307",$AD$17:$AD$219,"&lt;=1E+307")-1),2)))</x:f>
        <x:v>92.54</x:v>
      </x:c>
      <x:c r="AH89" s="17" t="n">
        <x:f>IF(OR($G89&lt;&gt;"入池",NOT(ISNUMBER(AF89))),"",IF(COUNTIFS($G$17:$G$219,"入池",$AF$17:$AF$219,"&gt;=-1E+307",$AF$17:$AF$219,"&lt;=1E+307")&lt;=1,100,ROUND(100*(COUNTIFS($G$17:$G$219,"入池",$AF$17:$AF$219,"&gt;=-1E+307",$AF$17:$AF$219,"&lt;"&amp;AF89)+COUNTIFS($G$17:$G$219,"入池",$AF$17:$AF$219,AF89,$AF$17:$AF$219,"&gt;=-1E+307",$AF$17:$AF$219,"&lt;=1E+307")/2-0.5)/(COUNTIFS($G$17:$G$219,"入池",$AF$17:$AF$219,"&gt;=-1E+307",$AF$17:$AF$219,"&lt;=1E+307")-1),2)))</x:f>
        <x:v>76.64</x:v>
      </x:c>
      <x:c r="AI89" s="17" t="n">
        <x:f>IF(NOT(ISNUMBER(AG89)),"",IF(NOT(ISNUMBER(AH89)),AG89,ROUND(AG89*'sheet1-指标体系'!$J$8+AH89*'sheet1-指标体系'!$J$9,2)))</x:f>
        <x:v>86.18</x:v>
      </x:c>
      <x:c r="AJ89" s="37" t="n">
        <x:f>IF(NOT(ISNUMBER(F89)),"",IF(F89&gt;=3,IF(NOT(ISNUMBER(N89)),"",N89),IF(NOT(ISNUMBER(O89)),"",O89)))</x:f>
        <x:v>0.0393</x:v>
      </x:c>
      <x:c r="AK89" s="17" t="n">
        <x:f>IF(OR(G89&lt;&gt;"入池",NOT(ISNUMBER(M89)),NOT(ISNUMBER(AJ89))),"",IF(M89&gt;=AJ89,100,IF(AJ89-M89&lt;'sheet1-指标体系'!$J$10,80,60)))</x:f>
        <x:v>100</x:v>
      </x:c>
      <x:c r="AL89" s="17" t="n">
        <x:f>IF(COUNT(I89,K89,L89)=0,"",ROUND((IF(ISNUMBER(I89),I89*40%,0)+IF(ISNUMBER(K89),K89*30%,0)+IF(ISNUMBER(L89),L89*30%,0))/(IF(ISNUMBER(I89),40%,0)+IF(ISNUMBER(K89),30%,0)+IF(ISNUMBER(L89),30%,0)),2))</x:f>
        <x:v>92</x:v>
      </x:c>
      <x:c r="AM89" s="17" t="n">
        <x:f>IF(COUNT(Q89,R89,W89,X89)=0,"",ROUND((IF(ISNUMBER(Q89),Q89*42%,0)+IF(ISNUMBER(R89),R89*28%,0)+IF(ISNUMBER(W89),W89*18%,0)+IF(ISNUMBER(X89),X89*12%,0))/(IF(ISNUMBER(Q89),42%,0)+IF(ISNUMBER(R89),28%,0)+IF(ISNUMBER(W89),18%,0)+IF(ISNUMBER(X89),12%,0)),2))</x:f>
        <x:v>57.27</x:v>
      </x:c>
      <x:c r="AN89" s="17" t="n">
        <x:f>IF(ISNUMBER(AC89),AC89,"")</x:f>
        <x:v>91.09</x:v>
      </x:c>
      <x:c r="AO89" s="17" t="n">
        <x:f>IF(COUNT(AG89,AH89)=0,"",ROUND((IF(ISNUMBER(AG89),AG89*60%,0)+IF(ISNUMBER(AH89),AH89*40%,0))/(IF(ISNUMBER(AG89),60%,0)+IF(ISNUMBER(AH89),40%,0)),2))</x:f>
        <x:v>86.18</x:v>
      </x:c>
      <x:c r="AP89" s="17" t="n">
        <x:f>IF(ISNUMBER(AK89),AK89,"")</x:f>
        <x:v>100</x:v>
      </x:c>
      <x:c r="AQ89" s="39" t="n">
        <x:f>IF(G89&lt;&gt;"入池",0,IF(ISNUMBER(I89),6%,0)+IF(ISNUMBER(K89),4.5%,0)+IF(ISNUMBER(L89),4.5%,0)+IF(ISNUMBER(Q89),8.4%,0)+IF(ISNUMBER(R89),5.6%,0)+IF(ISNUMBER(W89),3.6%,0)+IF(ISNUMBER(X89),2.4%,0)+IF(ISNUMBER(AC89),25%,0)+IF(ISNUMBER(AG89),18%,0)+IF(ISNUMBER(AH89),12%,0)+IF(ISNUMBER(AK89),10%,0))</x:f>
        <x:v>1</x:v>
      </x:c>
      <x:c r="AR89" s="17" t="n">
        <x:f>IF(AQ89=0,"",IF(ISNUMBER(I89),I89*6%,0)+IF(ISNUMBER(K89),K89*4.5%,0)+IF(ISNUMBER(L89),L89*4.5%,0)+IF(ISNUMBER(Q89),Q89*8.4%,0)+IF(ISNUMBER(R89),R89*5.6%,0)+IF(ISNUMBER(W89),W89*3.6%,0)+IF(ISNUMBER(X89),X89*2.4%,0)+IF(ISNUMBER(AC89),AC89*25%,0)+IF(ISNUMBER(AG89),AG89*18%,0)+IF(ISNUMBER(AH89),AH89*12%,0)+IF(ISNUMBER(AK89),AK89*10%,0))</x:f>
        <x:v>83.88114</x:v>
      </x:c>
      <x:c r="AS89" s="17" t="n">
        <x:f>IF(AQ89=0,"",ROUND(AR89/AQ89,2))</x:f>
        <x:v>83.88</x:v>
      </x:c>
      <x:c r="AT89" s="40" t="n">
        <x:f>IF(OR(G89&lt;&gt;"入池",NOT(ISNUMBER(AS89))),"",COUNTIFS($G$17:$G$219,"入池",$AS$17:$AS$219,"&gt;"&amp;AS89)+COUNTIFS($G$17:$G$219,"入池",$AS$17:$AS$219,AS89,$AQ$17:$AQ$219,"&gt;"&amp;AQ89)+COUNTIFS($G$17:G89,"入池",$AS$17:AS89,AS89,$AQ$17:AQ89,AQ89))</x:f>
        <x:v>22</x:v>
      </x:c>
      <x:c r="AU89" s="41" t="str">
        <x:f t="shared" si="4">IF(NOT(ISNUMBER(I89)),"管理人规模；","")&amp;IF(J89="","产品规模标识；","")&amp;IF(AND(F89&lt;3,NOT(ISNUMBER(O89))),"R_incep；","")&amp;IF(NOT(ISNUMBER(N89)),"近三年收益；","")&amp;IF(NOT(ISNUMBER(U89)),"近三年胜率；","")&amp;IF(AND(ISNUMBER(V89),OR(V89&lt;0,V89&gt;1)),"胜率窗口口径不一致；","")&amp;IF(NOT(ISNUMBER(AA89)),"近三年回撤；","")&amp;IF(NOT(ISNUMBER(AD89)),"短期卡玛；","")&amp;IF(AND(ISNUMBER(P89),NOT(ISNUMBER(AE89))),"DD_long不可识别；","")</x:f>
      </x:c>
      <x:c r="AV89" s="42" t="n">
        <x:v>10</x:v>
      </x:c>
      <x:c r="AW89" s="19" t="str">
        <x:v>广东奶酪私募基金管理股份有限公司</x:v>
      </x:c>
      <x:c r="AX89" s="19" t="str">
        <x:v>2025-12-29</x:v>
      </x:c>
      <x:c r="AY89" s="19" t="str">
        <x:v>https://gs.amac.org.cn/amac-infodisc/res/pof/manager/101000045017.html</x:v>
      </x:c>
      <x:c r="AZ89" s="19" t="str">
        <x:v>奶酪平价套利稳健一号私募证券投资基金</x:v>
      </x:c>
      <x:c r="BA89" s="19" t="str">
        <x:v>2026-04-16</x:v>
      </x:c>
      <x:c r="BB89" s="19"/>
      <x:c r="BC89" s="19" t="str">
        <x:v>https://gs.amac.org.cn/amac-infodisc/res/pof/fund/2309041554106885.html</x:v>
      </x:c>
      <x:c r="BD89" s="19" t="str">
        <x:v>已匹配</x:v>
      </x:c>
      <x:c r="BE89"/>
      <x:c r="BF89"/>
    </x:row>
    <x:row r="90" ht="28" customHeight="1">
      <x:c r="A90" s="4" t="n">
        <x:v>74</x:v>
      </x:c>
      <x:c r="B90" s="15" t="str">
        <x:f>'sheet4-原始数据'!A75</x:f>
        <x:v>银万财派恒星套利1号</x:v>
      </x:c>
      <x:c r="C90" s="15" t="str">
        <x:f>'sheet4-原始数据'!B75</x:f>
        <x:v>SB7490</x:v>
      </x:c>
      <x:c r="D90" s="15" t="str">
        <x:f>'sheet4-原始数据'!E75</x:f>
        <x:v>浙江银万</x:v>
      </x:c>
      <x:c r="E90" s="32" t="n">
        <x:f>IF(ISNUMBER('sheet4-原始数据'!F75),'sheet4-原始数据'!F75,"")</x:f>
        <x:v>45155</x:v>
      </x:c>
      <x:c r="F90" s="17" t="n">
        <x:f>IF(NOT(ISNUMBER(E90)),"",ROUND(('sheet1-指标体系'!$J$23-E90)/365.25,4))</x:f>
        <x:v>3.0828</x:v>
      </x:c>
      <x:c r="G90" s="4" t="str">
        <x:f t="shared" si="3">IF(NOT(ISNUMBER(F90)),"",IF(F90&lt;1,"不入池","入池"))</x:f>
        <x:v>入池</x:v>
      </x:c>
      <x:c r="H90" s="33" t="str">
        <x:v>20-50亿元</x:v>
      </x:c>
      <x:c r="I90" s="17" t="n">
        <x:f>IF(H90="","",IF(ISNUMBER(SEARCH("100亿元以上",H90)),100,IF(OR(ISNUMBER(SEARCH("20-50",H90)),ISNUMBER(SEARCH("50-100",H90)),ISNUMBER(SEARCH("20-100",H90))),90,IF(ISNUMBER(SEARCH("10-20",H90)),80,IF(ISNUMBER(SEARCH("5-10",H90)),70,IF(ISNUMBER(SEARCH("0-5",H90)),60,""))))))</x:f>
        <x:v>90</x:v>
      </x:c>
      <x:c r="J90" s="34" t="str">
        <x:v>无低于1000万元标识</x:v>
      </x:c>
      <x:c r="K90" s="17" t="n">
        <x:f>IF(J90="","",IF(J90="低于1000万元",0,100))</x:f>
        <x:v>100</x:v>
      </x:c>
      <x:c r="L90" s="17" t="n">
        <x:f>IF(NOT(ISNUMBER(F90)),"",IF(F90&lt;1,"",IF(F90&lt;3,70,100)))</x:f>
        <x:v>100</x:v>
      </x:c>
      <x:c r="M90" s="35" t="n">
        <x:f>IF(ISNUMBER('sheet4-原始数据'!G75),'sheet4-原始数据'!G75,"")</x:f>
        <x:v>0.1001</x:v>
      </x:c>
      <x:c r="N90" s="35" t="n">
        <x:f>IF(ISNUMBER('sheet4-原始数据'!H75),'sheet4-原始数据'!H75,"")</x:f>
        <x:v>0.06269999999999999</x:v>
      </x:c>
      <x:c r="O90" s="36" t="str">
        <x:f>IF(ISNUMBER('sheet4-原始数据'!Q75),'sheet4-原始数据'!Q75,"")</x:f>
      </x:c>
      <x:c r="P90" s="37" t="n">
        <x:f>IF($G90&lt;&gt;"入池","",IF($F90&gt;=3,IF(OR(NOT(ISNUMBER($M90)),NOT(ISNUMBER($N90)),1+$M90&lt;=0,1+$N90&lt;0),"",((1+$N90)^3/(1+$M90))^(1/2)-1),IF(OR($F90&lt;=1,NOT(ISNUMBER($M90)),NOT(ISNUMBER($O90)),1+$M90&lt;=0,1+$O90&lt;0),"",((1+$O90)^$F90/(1+$M90))^(1/($F90-1))-1)))</x:f>
        <x:v>0.04447954335307447</x:v>
      </x:c>
      <x:c r="Q90" s="17" t="n">
        <x:f>IF(OR($G90&lt;&gt;"入池",NOT(ISNUMBER(M90))),"",IF(COUNTIFS($G$17:$G$219,"入池",$M$17:$M$219,"&gt;=-1E+307",$M$17:$M$219,"&lt;=1E+307")&lt;=1,100,ROUND(100*(COUNTIFS($G$17:$G$219,"入池",$M$17:$M$219,"&gt;=-1E+307",$M$17:$M$219,"&lt;"&amp;M90)+COUNTIFS($G$17:$G$219,"入池",$M$17:$M$219,M90,$M$17:$M$219,"&gt;=-1E+307",$M$17:$M$219,"&lt;=1E+307")/2-0.5)/(COUNTIFS($G$17:$G$219,"入池",$M$17:$M$219,"&gt;=-1E+307",$M$17:$M$219,"&lt;=1E+307")-1),2)))</x:f>
        <x:v>80.69</x:v>
      </x:c>
      <x:c r="R90" s="17" t="n">
        <x:f>IF(OR($G90&lt;&gt;"入池",NOT(ISNUMBER(P90))),"",IF(COUNTIFS($G$17:$G$219,"入池",$P$17:$P$219,"&gt;=-1E+307",$P$17:$P$219,"&lt;=1E+307")&lt;=1,100,ROUND(100*(COUNTIFS($G$17:$G$219,"入池",$P$17:$P$219,"&gt;=-1E+307",$P$17:$P$219,"&lt;"&amp;P90)+COUNTIFS($G$17:$G$219,"入池",$P$17:$P$219,P90,$P$17:$P$219,"&gt;=-1E+307",$P$17:$P$219,"&lt;=1E+307")/2-0.5)/(COUNTIFS($G$17:$G$219,"入池",$P$17:$P$219,"&gt;=-1E+307",$P$17:$P$219,"&lt;=1E+307")-1),2)))</x:f>
        <x:v>31.68</x:v>
      </x:c>
      <x:c r="S90" s="17" t="n">
        <x:f>IF(NOT(ISNUMBER(Q90)),"",IF(NOT(ISNUMBER(R90)),Q90,ROUND(Q90*'sheet1-指标体系'!$J$8+R90*'sheet1-指标体系'!$J$9,2)))</x:f>
        <x:v>61.09</x:v>
      </x:c>
      <x:c r="T90" s="35" t="n">
        <x:f>IF(ISNUMBER('sheet4-原始数据'!J75),'sheet4-原始数据'!J75,"")</x:f>
        <x:v>0.46149999999999997</x:v>
      </x:c>
      <x:c r="U90" s="35" t="n">
        <x:f>IF(ISNUMBER('sheet4-原始数据'!I75),'sheet4-原始数据'!I75,"")</x:f>
        <x:v>0.5135000000000001</x:v>
      </x:c>
      <x:c r="V90" s="37" t="n">
        <x:f>IF(OR(NOT(ISNUMBER(T90)),NOT(ISNUMBER(U90))),"",(U90*'sheet1-指标体系'!$J$6-T90*'sheet1-指标体系'!$J$5)/'sheet1-指标体系'!$J$7)</x:f>
        <x:v>0.5416666666666667</x:v>
      </x:c>
      <x:c r="W90" s="17" t="n">
        <x:f>IF(NOT(ISNUMBER(T90)),"",T90*100)</x:f>
        <x:v>46.15</x:v>
      </x:c>
      <x:c r="X90" s="17" t="n">
        <x:f>IF($G90&lt;&gt;"入池","",IF(AND(ISNUMBER(V90),V90&gt;=0,V90&lt;=1),V90*100,IF(MAX(0,($F90-1)*12)&lt;6,100,"")))</x:f>
        <x:v>54.16666666666667</x:v>
      </x:c>
      <x:c r="Y90" s="17" t="n">
        <x:f>IF(NOT(ISNUMBER(W90)),"",IF(NOT(ISNUMBER(X90)),W90,ROUND(W90*'sheet1-指标体系'!$J$8+X90*'sheet1-指标体系'!$J$9,2)))</x:f>
        <x:v>49.36</x:v>
      </x:c>
      <x:c r="Z90" s="37" t="n">
        <x:f>IF(OR(NOT(ISNUMBER(M90)),NOT(ISNUMBER(AD90)),AD90=0),"",ABS(M90/AD90))</x:f>
        <x:v>0.05952310162335731</x:v>
      </x:c>
      <x:c r="AA90" s="35" t="n">
        <x:f>IF(ISNUMBER('sheet4-原始数据'!K75),'sheet4-原始数据'!K75,"")</x:f>
        <x:v>0.0791</x:v>
      </x:c>
      <x:c r="AB90" s="37" t="n">
        <x:f>IF(COUNT(Z90:AA90)=0,"",MAX(Z90:AA90))</x:f>
        <x:v>0.0791</x:v>
      </x:c>
      <x:c r="AC90" s="17" t="n">
        <x:f>IF(OR($G90&lt;&gt;"入池",NOT(ISNUMBER(AB90))),"",IF(COUNTIFS($G$17:$G$219,"入池",$AB$17:$AB$219,"&gt;=-1E+307",$AB$17:$AB$219,"&lt;=1E+307")&lt;=1,100,ROUND(100*(COUNTIFS($G$17:$G$219,"入池",$AB$17:$AB$219,"&lt;=1E+307",$AB$17:$AB$219,"&gt;"&amp;AB90)+COUNTIFS($G$17:$G$219,"入池",$AB$17:$AB$219,AB90,$AB$17:$AB$219,"&gt;=-1E+307",$AB$17:$AB$219,"&lt;=1E+307")/2-0.5)/(COUNTIFS($G$17:$G$219,"入池",$AB$17:$AB$219,"&gt;=-1E+307",$AB$17:$AB$219,"&lt;=1E+307")-1),2)))</x:f>
        <x:v>34.65</x:v>
      </x:c>
      <x:c r="AD90" s="38" t="n">
        <x:f>IF(ISNUMBER('sheet4-原始数据'!M75),'sheet4-原始数据'!M75,"")</x:f>
        <x:v>1.6817</x:v>
      </x:c>
      <x:c r="AE90" s="37" t="n">
        <x:f>IF(OR(NOT(ISNUMBER(P90)),NOT(ISNUMBER(AA90)),NOT(ISNUMBER(Z90))),"",IF(AA90&gt;Z90+'sheet1-指标体系'!$J$11,AA90,""))</x:f>
        <x:v>0.0791</x:v>
      </x:c>
      <x:c r="AF90" s="17" t="n">
        <x:f>IF(OR(NOT(ISNUMBER(P90)),NOT(ISNUMBER(AE90)),AE90=0),"",P90/AE90)</x:f>
        <x:v>0.5623203963726229</x:v>
      </x:c>
      <x:c r="AG90" s="17" t="n">
        <x:f>IF(OR($G90&lt;&gt;"入池",NOT(ISNUMBER(AD90))),"",IF(COUNTIFS($G$17:$G$219,"入池",$AD$17:$AD$219,"&gt;=-1E+307",$AD$17:$AD$219,"&lt;=1E+307")&lt;=1,100,ROUND(100*(COUNTIFS($G$17:$G$219,"入池",$AD$17:$AD$219,"&gt;=-1E+307",$AD$17:$AD$219,"&lt;"&amp;AD90)+COUNTIFS($G$17:$G$219,"入池",$AD$17:$AD$219,AD90,$AD$17:$AD$219,"&gt;=-1E+307",$AD$17:$AD$219,"&lt;=1E+307")/2-0.5)/(COUNTIFS($G$17:$G$219,"入池",$AD$17:$AD$219,"&gt;=-1E+307",$AD$17:$AD$219,"&lt;=1E+307")-1),2)))</x:f>
        <x:v>40.3</x:v>
      </x:c>
      <x:c r="AH90" s="17" t="n">
        <x:f>IF(OR($G90&lt;&gt;"入池",NOT(ISNUMBER(AF90))),"",IF(COUNTIFS($G$17:$G$219,"入池",$AF$17:$AF$219,"&gt;=-1E+307",$AF$17:$AF$219,"&lt;=1E+307")&lt;=1,100,ROUND(100*(COUNTIFS($G$17:$G$219,"入池",$AF$17:$AF$219,"&gt;=-1E+307",$AF$17:$AF$219,"&lt;"&amp;AF90)+COUNTIFS($G$17:$G$219,"入池",$AF$17:$AF$219,AF90,$AF$17:$AF$219,"&gt;=-1E+307",$AF$17:$AF$219,"&lt;=1E+307")/2-0.5)/(COUNTIFS($G$17:$G$219,"入池",$AF$17:$AF$219,"&gt;=-1E+307",$AF$17:$AF$219,"&lt;=1E+307")-1),2)))</x:f>
        <x:v>19.71</x:v>
      </x:c>
      <x:c r="AI90" s="17" t="n">
        <x:f>IF(NOT(ISNUMBER(AG90)),"",IF(NOT(ISNUMBER(AH90)),AG90,ROUND(AG90*'sheet1-指标体系'!$J$8+AH90*'sheet1-指标体系'!$J$9,2)))</x:f>
        <x:v>32.06</x:v>
      </x:c>
      <x:c r="AJ90" s="37" t="n">
        <x:f>IF(NOT(ISNUMBER(F90)),"",IF(F90&gt;=3,IF(NOT(ISNUMBER(N90)),"",N90),IF(NOT(ISNUMBER(O90)),"",O90)))</x:f>
        <x:v>0.06269999999999999</x:v>
      </x:c>
      <x:c r="AK90" s="17" t="n">
        <x:f>IF(OR(G90&lt;&gt;"入池",NOT(ISNUMBER(M90)),NOT(ISNUMBER(AJ90))),"",IF(M90&gt;=AJ90,100,IF(AJ90-M90&lt;'sheet1-指标体系'!$J$10,80,60)))</x:f>
        <x:v>100</x:v>
      </x:c>
      <x:c r="AL90" s="17" t="n">
        <x:f>IF(COUNT(I90,K90,L90)=0,"",ROUND((IF(ISNUMBER(I90),I90*40%,0)+IF(ISNUMBER(K90),K90*30%,0)+IF(ISNUMBER(L90),L90*30%,0))/(IF(ISNUMBER(I90),40%,0)+IF(ISNUMBER(K90),30%,0)+IF(ISNUMBER(L90),30%,0)),2))</x:f>
        <x:v>96</x:v>
      </x:c>
      <x:c r="AM90" s="17" t="n">
        <x:f>IF(COUNT(Q90,R90,W90,X90)=0,"",ROUND((IF(ISNUMBER(Q90),Q90*42%,0)+IF(ISNUMBER(R90),R90*28%,0)+IF(ISNUMBER(W90),W90*18%,0)+IF(ISNUMBER(X90),X90*12%,0))/(IF(ISNUMBER(Q90),42%,0)+IF(ISNUMBER(R90),28%,0)+IF(ISNUMBER(W90),18%,0)+IF(ISNUMBER(X90),12%,0)),2))</x:f>
        <x:v>57.57</x:v>
      </x:c>
      <x:c r="AN90" s="17" t="n">
        <x:f>IF(ISNUMBER(AC90),AC90,"")</x:f>
        <x:v>34.65</x:v>
      </x:c>
      <x:c r="AO90" s="17" t="n">
        <x:f>IF(COUNT(AG90,AH90)=0,"",ROUND((IF(ISNUMBER(AG90),AG90*60%,0)+IF(ISNUMBER(AH90),AH90*40%,0))/(IF(ISNUMBER(AG90),60%,0)+IF(ISNUMBER(AH90),40%,0)),2))</x:f>
        <x:v>32.06</x:v>
      </x:c>
      <x:c r="AP90" s="17" t="n">
        <x:f>IF(ISNUMBER(AK90),AK90,"")</x:f>
        <x:v>100</x:v>
      </x:c>
      <x:c r="AQ90" s="39" t="n">
        <x:f>IF(G90&lt;&gt;"入池",0,IF(ISNUMBER(I90),6%,0)+IF(ISNUMBER(K90),4.5%,0)+IF(ISNUMBER(L90),4.5%,0)+IF(ISNUMBER(Q90),8.4%,0)+IF(ISNUMBER(R90),5.6%,0)+IF(ISNUMBER(W90),3.6%,0)+IF(ISNUMBER(X90),2.4%,0)+IF(ISNUMBER(AC90),25%,0)+IF(ISNUMBER(AG90),18%,0)+IF(ISNUMBER(AH90),12%,0)+IF(ISNUMBER(AK90),10%,0))</x:f>
        <x:v>1</x:v>
      </x:c>
      <x:c r="AR90" s="17" t="n">
        <x:f>IF(AQ90=0,"",IF(ISNUMBER(I90),I90*6%,0)+IF(ISNUMBER(K90),K90*4.5%,0)+IF(ISNUMBER(L90),L90*4.5%,0)+IF(ISNUMBER(Q90),Q90*8.4%,0)+IF(ISNUMBER(R90),R90*5.6%,0)+IF(ISNUMBER(W90),W90*3.6%,0)+IF(ISNUMBER(X90),X90*2.4%,0)+IF(ISNUMBER(AC90),AC90*25%,0)+IF(ISNUMBER(AG90),AG90*18%,0)+IF(ISNUMBER(AH90),AH90*12%,0)+IF(ISNUMBER(AK90),AK90*10%,0))</x:f>
        <x:v>54.19514</x:v>
      </x:c>
      <x:c r="AS90" s="17" t="n">
        <x:f>IF(AQ90=0,"",ROUND(AR90/AQ90,2))</x:f>
        <x:v>54.2</x:v>
      </x:c>
      <x:c r="AT90" s="40" t="n">
        <x:f>IF(OR(G90&lt;&gt;"入池",NOT(ISNUMBER(AS90))),"",COUNTIFS($G$17:$G$219,"入池",$AS$17:$AS$219,"&gt;"&amp;AS90)+COUNTIFS($G$17:$G$219,"入池",$AS$17:$AS$219,AS90,$AQ$17:$AQ$219,"&gt;"&amp;AQ90)+COUNTIFS($G$17:G90,"入池",$AS$17:AS90,AS90,$AQ$17:AQ90,AQ90))</x:f>
        <x:v>132</x:v>
      </x:c>
      <x:c r="AU90" s="41" t="str">
        <x:f t="shared" si="4">IF(NOT(ISNUMBER(I90)),"管理人规模；","")&amp;IF(J90="","产品规模标识；","")&amp;IF(AND(F90&lt;3,NOT(ISNUMBER(O90))),"R_incep；","")&amp;IF(NOT(ISNUMBER(N90)),"近三年收益；","")&amp;IF(NOT(ISNUMBER(U90)),"近三年胜率；","")&amp;IF(AND(ISNUMBER(V90),OR(V90&lt;0,V90&gt;1)),"胜率窗口口径不一致；","")&amp;IF(NOT(ISNUMBER(AA90)),"近三年回撤；","")&amp;IF(NOT(ISNUMBER(AD90)),"短期卡玛；","")&amp;IF(AND(ISNUMBER(P90),NOT(ISNUMBER(AE90))),"DD_long不可识别；","")</x:f>
      </x:c>
      <x:c r="AV90" s="42" t="n">
        <x:v>20</x:v>
      </x:c>
      <x:c r="AW90" s="19" t="str">
        <x:v>浙江银万私募基金管理有限公司</x:v>
      </x:c>
      <x:c r="AX90" s="19" t="str">
        <x:v>2026-06-09</x:v>
      </x:c>
      <x:c r="AY90" s="19" t="str">
        <x:v>https://gs.amac.org.cn/amac-infodisc/res/pof/manager/101000005988.html</x:v>
      </x:c>
      <x:c r="AZ90" s="19" t="str">
        <x:v>银万财派恒星套利1号私募证券投资基金</x:v>
      </x:c>
      <x:c r="BA90" s="19" t="str">
        <x:v>2026-06-25</x:v>
      </x:c>
      <x:c r="BB90" s="19"/>
      <x:c r="BC90" s="19" t="str">
        <x:v>https://gs.amac.org.cn/amac-infodisc/res/pof/fund/2309061045107529.html</x:v>
      </x:c>
      <x:c r="BD90" s="19" t="str">
        <x:v>已匹配</x:v>
      </x:c>
      <x:c r="BE90"/>
      <x:c r="BF90"/>
    </x:row>
    <x:row r="91" ht="28" customHeight="1">
      <x:c r="A91" s="4" t="n">
        <x:v>75</x:v>
      </x:c>
      <x:c r="B91" s="15" t="str">
        <x:f>'sheet4-原始数据'!A76</x:f>
        <x:v>佳泽信享5号A类</x:v>
      </x:c>
      <x:c r="C91" s="15" t="str">
        <x:f>'sheet4-原始数据'!B76</x:f>
        <x:v>ZC395A</x:v>
      </x:c>
      <x:c r="D91" s="15" t="str">
        <x:f>'sheet4-原始数据'!E76</x:f>
        <x:v>海南佳泽</x:v>
      </x:c>
      <x:c r="E91" s="32" t="n">
        <x:f>IF(ISNUMBER('sheet4-原始数据'!F76),'sheet4-原始数据'!F76,"")</x:f>
        <x:v>44936</x:v>
      </x:c>
      <x:c r="F91" s="17" t="n">
        <x:f>IF(NOT(ISNUMBER(E91)),"",ROUND(('sheet1-指标体系'!$J$23-E91)/365.25,4))</x:f>
        <x:v>3.6824</x:v>
      </x:c>
      <x:c r="G91" s="4" t="str">
        <x:f t="shared" si="3">IF(NOT(ISNUMBER(F91)),"",IF(F91&lt;1,"不入池","入池"))</x:f>
        <x:v>入池</x:v>
      </x:c>
      <x:c r="H91" s="33" t="str">
        <x:v>0-5亿元</x:v>
      </x:c>
      <x:c r="I91" s="17" t="n">
        <x:f>IF(H91="","",IF(ISNUMBER(SEARCH("100亿元以上",H91)),100,IF(OR(ISNUMBER(SEARCH("20-50",H91)),ISNUMBER(SEARCH("50-100",H91)),ISNUMBER(SEARCH("20-100",H91))),90,IF(ISNUMBER(SEARCH("10-20",H91)),80,IF(ISNUMBER(SEARCH("5-10",H91)),70,IF(ISNUMBER(SEARCH("0-5",H91)),60,""))))))</x:f>
        <x:v>60</x:v>
      </x:c>
      <x:c r="J91" s="34"/>
      <x:c r="K91" s="17" t="str">
        <x:f>IF(J91="","",IF(J91="低于1000万元",0,100))</x:f>
      </x:c>
      <x:c r="L91" s="17" t="n">
        <x:f>IF(NOT(ISNUMBER(F91)),"",IF(F91&lt;1,"",IF(F91&lt;3,70,100)))</x:f>
        <x:v>100</x:v>
      </x:c>
      <x:c r="M91" s="35" t="n">
        <x:f>IF(ISNUMBER('sheet4-原始数据'!G76),'sheet4-原始数据'!G76,"")</x:f>
        <x:v>0.0733</x:v>
      </x:c>
      <x:c r="N91" s="35" t="n">
        <x:f>IF(ISNUMBER('sheet4-原始数据'!H76),'sheet4-原始数据'!H76,"")</x:f>
        <x:v>0.0581</x:v>
      </x:c>
      <x:c r="O91" s="36" t="str">
        <x:f>IF(ISNUMBER('sheet4-原始数据'!Q76),'sheet4-原始数据'!Q76,"")</x:f>
      </x:c>
      <x:c r="P91" s="37" t="n">
        <x:f>IF($G91&lt;&gt;"入池","",IF($F91&gt;=3,IF(OR(NOT(ISNUMBER($M91)),NOT(ISNUMBER($N91)),1+$M91&lt;=0,1+$N91&lt;0),"",((1+$N91)^3/(1+$M91))^(1/2)-1),IF(OR($F91&lt;=1,NOT(ISNUMBER($M91)),NOT(ISNUMBER($O91)),1+$M91&lt;=0,1+$O91&lt;0),"",((1+$O91)^$F91/(1+$M91))^(1/($F91-1))-1)))</x:f>
        <x:v>0.05058091455517055</x:v>
      </x:c>
      <x:c r="Q91" s="17" t="n">
        <x:f>IF(OR($G91&lt;&gt;"入池",NOT(ISNUMBER(M91))),"",IF(COUNTIFS($G$17:$G$219,"入池",$M$17:$M$219,"&gt;=-1E+307",$M$17:$M$219,"&lt;=1E+307")&lt;=1,100,ROUND(100*(COUNTIFS($G$17:$G$219,"入池",$M$17:$M$219,"&gt;=-1E+307",$M$17:$M$219,"&lt;"&amp;M91)+COUNTIFS($G$17:$G$219,"入池",$M$17:$M$219,M91,$M$17:$M$219,"&gt;=-1E+307",$M$17:$M$219,"&lt;=1E+307")/2-0.5)/(COUNTIFS($G$17:$G$219,"入池",$M$17:$M$219,"&gt;=-1E+307",$M$17:$M$219,"&lt;=1E+307")-1),2)))</x:f>
        <x:v>67.33</x:v>
      </x:c>
      <x:c r="R91" s="17" t="n">
        <x:f>IF(OR($G91&lt;&gt;"入池",NOT(ISNUMBER(P91))),"",IF(COUNTIFS($G$17:$G$219,"入池",$P$17:$P$219,"&gt;=-1E+307",$P$17:$P$219,"&lt;=1E+307")&lt;=1,100,ROUND(100*(COUNTIFS($G$17:$G$219,"入池",$P$17:$P$219,"&gt;=-1E+307",$P$17:$P$219,"&lt;"&amp;P91)+COUNTIFS($G$17:$G$219,"入池",$P$17:$P$219,P91,$P$17:$P$219,"&gt;=-1E+307",$P$17:$P$219,"&lt;=1E+307")/2-0.5)/(COUNTIFS($G$17:$G$219,"入池",$P$17:$P$219,"&gt;=-1E+307",$P$17:$P$219,"&lt;=1E+307")-1),2)))</x:f>
        <x:v>37.13</x:v>
      </x:c>
      <x:c r="S91" s="17" t="n">
        <x:f>IF(NOT(ISNUMBER(Q91)),"",IF(NOT(ISNUMBER(R91)),Q91,ROUND(Q91*'sheet1-指标体系'!$J$8+R91*'sheet1-指标体系'!$J$9,2)))</x:f>
        <x:v>55.25</x:v>
      </x:c>
      <x:c r="T91" s="35" t="n">
        <x:f>IF(ISNUMBER('sheet4-原始数据'!J76),'sheet4-原始数据'!J76,"")</x:f>
        <x:v>0.9231</x:v>
      </x:c>
      <x:c r="U91" s="35" t="n">
        <x:f>IF(ISNUMBER('sheet4-原始数据'!I76),'sheet4-原始数据'!I76,"")</x:f>
        <x:v>0.8108</x:v>
      </x:c>
      <x:c r="V91" s="37" t="n">
        <x:f>IF(OR(NOT(ISNUMBER(T91)),NOT(ISNUMBER(U91))),"",(U91*'sheet1-指标体系'!$J$6-T91*'sheet1-指标体系'!$J$5)/'sheet1-指标体系'!$J$7)</x:f>
        <x:v>0.7499708333333333</x:v>
      </x:c>
      <x:c r="W91" s="17" t="n">
        <x:f>IF(NOT(ISNUMBER(T91)),"",T91*100)</x:f>
        <x:v>92.31</x:v>
      </x:c>
      <x:c r="X91" s="17" t="n">
        <x:f>IF($G91&lt;&gt;"入池","",IF(AND(ISNUMBER(V91),V91&gt;=0,V91&lt;=1),V91*100,IF(MAX(0,($F91-1)*12)&lt;6,100,"")))</x:f>
        <x:v>74.99708333333332</x:v>
      </x:c>
      <x:c r="Y91" s="17" t="n">
        <x:f>IF(NOT(ISNUMBER(W91)),"",IF(NOT(ISNUMBER(X91)),W91,ROUND(W91*'sheet1-指标体系'!$J$8+X91*'sheet1-指标体系'!$J$9,2)))</x:f>
        <x:v>85.38</x:v>
      </x:c>
      <x:c r="Z91" s="37" t="n">
        <x:f>IF(OR(NOT(ISNUMBER(M91)),NOT(ISNUMBER(AD91)),AD91=0),"",ABS(M91/AD91))</x:f>
        <x:v>0.0045895973301442</x:v>
      </x:c>
      <x:c r="AA91" s="35" t="n">
        <x:f>IF(ISNUMBER('sheet4-原始数据'!K76),'sheet4-原始数据'!K76,"")</x:f>
        <x:v>0.024399999999999998</x:v>
      </x:c>
      <x:c r="AB91" s="37" t="n">
        <x:f>IF(COUNT(Z91:AA91)=0,"",MAX(Z91:AA91))</x:f>
        <x:v>0.024399999999999998</x:v>
      </x:c>
      <x:c r="AC91" s="17" t="n">
        <x:f>IF(OR($G91&lt;&gt;"入池",NOT(ISNUMBER(AB91))),"",IF(COUNTIFS($G$17:$G$219,"入池",$AB$17:$AB$219,"&gt;=-1E+307",$AB$17:$AB$219,"&lt;=1E+307")&lt;=1,100,ROUND(100*(COUNTIFS($G$17:$G$219,"入池",$AB$17:$AB$219,"&lt;=1E+307",$AB$17:$AB$219,"&gt;"&amp;AB91)+COUNTIFS($G$17:$G$219,"入池",$AB$17:$AB$219,AB91,$AB$17:$AB$219,"&gt;=-1E+307",$AB$17:$AB$219,"&lt;=1E+307")/2-0.5)/(COUNTIFS($G$17:$G$219,"入池",$AB$17:$AB$219,"&gt;=-1E+307",$AB$17:$AB$219,"&lt;=1E+307")-1),2)))</x:f>
        <x:v>70.05</x:v>
      </x:c>
      <x:c r="AD91" s="38" t="n">
        <x:f>IF(ISNUMBER('sheet4-原始数据'!M76),'sheet4-原始数据'!M76,"")</x:f>
        <x:v>15.9709</x:v>
      </x:c>
      <x:c r="AE91" s="37" t="n">
        <x:f>IF(OR(NOT(ISNUMBER(P91)),NOT(ISNUMBER(AA91)),NOT(ISNUMBER(Z91))),"",IF(AA91&gt;Z91+'sheet1-指标体系'!$J$11,AA91,""))</x:f>
        <x:v>0.024399999999999998</x:v>
      </x:c>
      <x:c r="AF91" s="17" t="n">
        <x:f>IF(OR(NOT(ISNUMBER(P91)),NOT(ISNUMBER(AE91)),AE91=0),"",P91/AE91)</x:f>
        <x:v>2.0729883014414163</x:v>
      </x:c>
      <x:c r="AG91" s="17" t="n">
        <x:f>IF(OR($G91&lt;&gt;"入池",NOT(ISNUMBER(AD91))),"",IF(COUNTIFS($G$17:$G$219,"入池",$AD$17:$AD$219,"&gt;=-1E+307",$AD$17:$AD$219,"&lt;=1E+307")&lt;=1,100,ROUND(100*(COUNTIFS($G$17:$G$219,"入池",$AD$17:$AD$219,"&gt;=-1E+307",$AD$17:$AD$219,"&lt;"&amp;AD91)+COUNTIFS($G$17:$G$219,"入池",$AD$17:$AD$219,AD91,$AD$17:$AD$219,"&gt;=-1E+307",$AD$17:$AD$219,"&lt;=1E+307")/2-0.5)/(COUNTIFS($G$17:$G$219,"入池",$AD$17:$AD$219,"&gt;=-1E+307",$AD$17:$AD$219,"&lt;=1E+307")-1),2)))</x:f>
        <x:v>86.07</x:v>
      </x:c>
      <x:c r="AH91" s="17" t="n">
        <x:f>IF(OR($G91&lt;&gt;"入池",NOT(ISNUMBER(AF91))),"",IF(COUNTIFS($G$17:$G$219,"入池",$AF$17:$AF$219,"&gt;=-1E+307",$AF$17:$AF$219,"&lt;=1E+307")&lt;=1,100,ROUND(100*(COUNTIFS($G$17:$G$219,"入池",$AF$17:$AF$219,"&gt;=-1E+307",$AF$17:$AF$219,"&lt;"&amp;AF91)+COUNTIFS($G$17:$G$219,"入池",$AF$17:$AF$219,AF91,$AF$17:$AF$219,"&gt;=-1E+307",$AF$17:$AF$219,"&lt;=1E+307")/2-0.5)/(COUNTIFS($G$17:$G$219,"入池",$AF$17:$AF$219,"&gt;=-1E+307",$AF$17:$AF$219,"&lt;=1E+307")-1),2)))</x:f>
        <x:v>67.15</x:v>
      </x:c>
      <x:c r="AI91" s="17" t="n">
        <x:f>IF(NOT(ISNUMBER(AG91)),"",IF(NOT(ISNUMBER(AH91)),AG91,ROUND(AG91*'sheet1-指标体系'!$J$8+AH91*'sheet1-指标体系'!$J$9,2)))</x:f>
        <x:v>78.5</x:v>
      </x:c>
      <x:c r="AJ91" s="37" t="n">
        <x:f>IF(NOT(ISNUMBER(F91)),"",IF(F91&gt;=3,IF(NOT(ISNUMBER(N91)),"",N91),IF(NOT(ISNUMBER(O91)),"",O91)))</x:f>
        <x:v>0.0581</x:v>
      </x:c>
      <x:c r="AK91" s="17" t="n">
        <x:f>IF(OR(G91&lt;&gt;"入池",NOT(ISNUMBER(M91)),NOT(ISNUMBER(AJ91))),"",IF(M91&gt;=AJ91,100,IF(AJ91-M91&lt;'sheet1-指标体系'!$J$10,80,60)))</x:f>
        <x:v>100</x:v>
      </x:c>
      <x:c r="AL91" s="17" t="n">
        <x:f>IF(COUNT(I91,K91,L91)=0,"",ROUND((IF(ISNUMBER(I91),I91*40%,0)+IF(ISNUMBER(K91),K91*30%,0)+IF(ISNUMBER(L91),L91*30%,0))/(IF(ISNUMBER(I91),40%,0)+IF(ISNUMBER(K91),30%,0)+IF(ISNUMBER(L91),30%,0)),2))</x:f>
        <x:v>77.14</x:v>
      </x:c>
      <x:c r="AM91" s="17" t="n">
        <x:f>IF(COUNT(Q91,R91,W91,X91)=0,"",ROUND((IF(ISNUMBER(Q91),Q91*42%,0)+IF(ISNUMBER(R91),R91*28%,0)+IF(ISNUMBER(W91),W91*18%,0)+IF(ISNUMBER(X91),X91*12%,0))/(IF(ISNUMBER(Q91),42%,0)+IF(ISNUMBER(R91),28%,0)+IF(ISNUMBER(W91),18%,0)+IF(ISNUMBER(X91),12%,0)),2))</x:f>
        <x:v>64.29</x:v>
      </x:c>
      <x:c r="AN91" s="17" t="n">
        <x:f>IF(ISNUMBER(AC91),AC91,"")</x:f>
        <x:v>70.05</x:v>
      </x:c>
      <x:c r="AO91" s="17" t="n">
        <x:f>IF(COUNT(AG91,AH91)=0,"",ROUND((IF(ISNUMBER(AG91),AG91*60%,0)+IF(ISNUMBER(AH91),AH91*40%,0))/(IF(ISNUMBER(AG91),60%,0)+IF(ISNUMBER(AH91),40%,0)),2))</x:f>
        <x:v>78.5</x:v>
      </x:c>
      <x:c r="AP91" s="17" t="n">
        <x:f>IF(ISNUMBER(AK91),AK91,"")</x:f>
        <x:v>100</x:v>
      </x:c>
      <x:c r="AQ91" s="39" t="n">
        <x:f>IF(G91&lt;&gt;"入池",0,IF(ISNUMBER(I91),6%,0)+IF(ISNUMBER(K91),4.5%,0)+IF(ISNUMBER(L91),4.5%,0)+IF(ISNUMBER(Q91),8.4%,0)+IF(ISNUMBER(R91),5.6%,0)+IF(ISNUMBER(W91),3.6%,0)+IF(ISNUMBER(X91),2.4%,0)+IF(ISNUMBER(AC91),25%,0)+IF(ISNUMBER(AG91),18%,0)+IF(ISNUMBER(AH91),12%,0)+IF(ISNUMBER(AK91),10%,0))</x:f>
        <x:v>0.9550000000000001</x:v>
      </x:c>
      <x:c r="AR91" s="17" t="n">
        <x:f>IF(AQ91=0,"",IF(ISNUMBER(I91),I91*6%,0)+IF(ISNUMBER(K91),K91*4.5%,0)+IF(ISNUMBER(L91),L91*4.5%,0)+IF(ISNUMBER(Q91),Q91*8.4%,0)+IF(ISNUMBER(R91),R91*5.6%,0)+IF(ISNUMBER(W91),W91*3.6%,0)+IF(ISNUMBER(X91),X91*2.4%,0)+IF(ISNUMBER(AC91),AC91*25%,0)+IF(ISNUMBER(AG91),AG91*18%,0)+IF(ISNUMBER(AH91),AH91*12%,0)+IF(ISNUMBER(AK91),AK91*10%,0))</x:f>
        <x:v>72.02118999999999</x:v>
      </x:c>
      <x:c r="AS91" s="17" t="n">
        <x:f>IF(AQ91=0,"",ROUND(AR91/AQ91,2))</x:f>
        <x:v>75.41</x:v>
      </x:c>
      <x:c r="AT91" s="40" t="n">
        <x:f>IF(OR(G91&lt;&gt;"入池",NOT(ISNUMBER(AS91))),"",COUNTIFS($G$17:$G$219,"入池",$AS$17:$AS$219,"&gt;"&amp;AS91)+COUNTIFS($G$17:$G$219,"入池",$AS$17:$AS$219,AS91,$AQ$17:$AQ$219,"&gt;"&amp;AQ91)+COUNTIFS($G$17:G91,"入池",$AS$17:AS91,AS91,$AQ$17:AQ91,AQ91))</x:f>
        <x:v>47</x:v>
      </x:c>
      <x:c r="AU91" s="41" t="str">
        <x:f t="shared" si="4">IF(NOT(ISNUMBER(I91)),"管理人规模；","")&amp;IF(J91="","产品规模标识；","")&amp;IF(AND(F91&lt;3,NOT(ISNUMBER(O91))),"R_incep；","")&amp;IF(NOT(ISNUMBER(N91)),"近三年收益；","")&amp;IF(NOT(ISNUMBER(U91)),"近三年胜率；","")&amp;IF(AND(ISNUMBER(V91),OR(V91&lt;0,V91&gt;1)),"胜率窗口口径不一致；","")&amp;IF(NOT(ISNUMBER(AA91)),"近三年回撤；","")&amp;IF(NOT(ISNUMBER(AD91)),"短期卡玛；","")&amp;IF(AND(ISNUMBER(P91),NOT(ISNUMBER(AE91))),"DD_long不可识别；","")</x:f>
        <x:v>产品规模标识；</x:v>
      </x:c>
      <x:c r="AV91" s="42" t="n">
        <x:v>0</x:v>
      </x:c>
      <x:c r="AW91" s="19" t="str">
        <x:v>海南佳泽私募基金管理合伙企业（有限合伙）</x:v>
      </x:c>
      <x:c r="AX91" s="19" t="str">
        <x:v>2026-08-07</x:v>
      </x:c>
      <x:c r="AY91" s="19" t="str">
        <x:v>https://gs.amac.org.cn/amac-infodisc/res/pof/manager/2202171443109430.html</x:v>
      </x:c>
      <x:c r="AZ91" s="19"/>
      <x:c r="BA91" s="19"/>
      <x:c r="BB91" s="19"/>
      <x:c r="BC91" s="19"/>
      <x:c r="BD91" s="19" t="str">
        <x:v>基金页未匹配；管理人已核验</x:v>
      </x:c>
      <x:c r="BE91"/>
      <x:c r="BF91"/>
    </x:row>
    <x:row r="92" ht="28" customHeight="1">
      <x:c r="A92" s="4" t="n">
        <x:v>76</x:v>
      </x:c>
      <x:c r="B92" s="15" t="str">
        <x:f>'sheet4-原始数据'!A77</x:f>
        <x:v>佳泽信享5号B类</x:v>
      </x:c>
      <x:c r="C92" s="15" t="str">
        <x:f>'sheet4-原始数据'!B77</x:f>
        <x:v>ZC395B</x:v>
      </x:c>
      <x:c r="D92" s="15" t="str">
        <x:f>'sheet4-原始数据'!E77</x:f>
        <x:v>海南佳泽</x:v>
      </x:c>
      <x:c r="E92" s="32" t="n">
        <x:f>IF(ISNUMBER('sheet4-原始数据'!F77),'sheet4-原始数据'!F77,"")</x:f>
        <x:v>44936</x:v>
      </x:c>
      <x:c r="F92" s="17" t="n">
        <x:f>IF(NOT(ISNUMBER(E92)),"",ROUND(('sheet1-指标体系'!$J$23-E92)/365.25,4))</x:f>
        <x:v>3.6824</x:v>
      </x:c>
      <x:c r="G92" s="4" t="str">
        <x:f t="shared" si="3">IF(NOT(ISNUMBER(F92)),"",IF(F92&lt;1,"不入池","入池"))</x:f>
        <x:v>入池</x:v>
      </x:c>
      <x:c r="H92" s="33" t="str">
        <x:v>0-5亿元</x:v>
      </x:c>
      <x:c r="I92" s="17" t="n">
        <x:f>IF(H92="","",IF(ISNUMBER(SEARCH("100亿元以上",H92)),100,IF(OR(ISNUMBER(SEARCH("20-50",H92)),ISNUMBER(SEARCH("50-100",H92)),ISNUMBER(SEARCH("20-100",H92))),90,IF(ISNUMBER(SEARCH("10-20",H92)),80,IF(ISNUMBER(SEARCH("5-10",H92)),70,IF(ISNUMBER(SEARCH("0-5",H92)),60,""))))))</x:f>
        <x:v>60</x:v>
      </x:c>
      <x:c r="J92" s="34"/>
      <x:c r="K92" s="17" t="str">
        <x:f>IF(J92="","",IF(J92="低于1000万元",0,100))</x:f>
      </x:c>
      <x:c r="L92" s="17" t="n">
        <x:f>IF(NOT(ISNUMBER(F92)),"",IF(F92&lt;1,"",IF(F92&lt;3,70,100)))</x:f>
        <x:v>100</x:v>
      </x:c>
      <x:c r="M92" s="35" t="n">
        <x:f>IF(ISNUMBER('sheet4-原始数据'!G77),'sheet4-原始数据'!G77,"")</x:f>
        <x:v>0.06269999999999999</x:v>
      </x:c>
      <x:c r="N92" s="35" t="n">
        <x:f>IF(ISNUMBER('sheet4-原始数据'!H77),'sheet4-原始数据'!H77,"")</x:f>
        <x:v>0.04769999999999999</x:v>
      </x:c>
      <x:c r="O92" s="36" t="str">
        <x:f>IF(ISNUMBER('sheet4-原始数据'!Q77),'sheet4-原始数据'!Q77,"")</x:f>
      </x:c>
      <x:c r="P92" s="37" t="n">
        <x:f>IF($G92&lt;&gt;"入池","",IF($F92&gt;=3,IF(OR(NOT(ISNUMBER($M92)),NOT(ISNUMBER($N92)),1+$M92&lt;=0,1+$N92&lt;0),"",((1+$N92)^3/(1+$M92))^(1/2)-1),IF(OR($F92&lt;=1,NOT(ISNUMBER($M92)),NOT(ISNUMBER($O92)),1+$M92&lt;=0,1+$O92&lt;0),"",((1+$O92)^$F92/(1+$M92))^(1/($F92-1))-1)))</x:f>
        <x:v>0.040279584595998674</x:v>
      </x:c>
      <x:c r="Q92" s="17" t="n">
        <x:f>IF(OR($G92&lt;&gt;"入池",NOT(ISNUMBER(M92))),"",IF(COUNTIFS($G$17:$G$219,"入池",$M$17:$M$219,"&gt;=-1E+307",$M$17:$M$219,"&lt;=1E+307")&lt;=1,100,ROUND(100*(COUNTIFS($G$17:$G$219,"入池",$M$17:$M$219,"&gt;=-1E+307",$M$17:$M$219,"&lt;"&amp;M92)+COUNTIFS($G$17:$G$219,"入池",$M$17:$M$219,M92,$M$17:$M$219,"&gt;=-1E+307",$M$17:$M$219,"&lt;=1E+307")/2-0.5)/(COUNTIFS($G$17:$G$219,"入池",$M$17:$M$219,"&gt;=-1E+307",$M$17:$M$219,"&lt;=1E+307")-1),2)))</x:f>
        <x:v>56.44</x:v>
      </x:c>
      <x:c r="R92" s="17" t="n">
        <x:f>IF(OR($G92&lt;&gt;"入池",NOT(ISNUMBER(P92))),"",IF(COUNTIFS($G$17:$G$219,"入池",$P$17:$P$219,"&gt;=-1E+307",$P$17:$P$219,"&lt;=1E+307")&lt;=1,100,ROUND(100*(COUNTIFS($G$17:$G$219,"入池",$P$17:$P$219,"&gt;=-1E+307",$P$17:$P$219,"&lt;"&amp;P92)+COUNTIFS($G$17:$G$219,"入池",$P$17:$P$219,P92,$P$17:$P$219,"&gt;=-1E+307",$P$17:$P$219,"&lt;=1E+307")/2-0.5)/(COUNTIFS($G$17:$G$219,"入池",$P$17:$P$219,"&gt;=-1E+307",$P$17:$P$219,"&lt;=1E+307")-1),2)))</x:f>
        <x:v>26.73</x:v>
      </x:c>
      <x:c r="S92" s="17" t="n">
        <x:f>IF(NOT(ISNUMBER(Q92)),"",IF(NOT(ISNUMBER(R92)),Q92,ROUND(Q92*'sheet1-指标体系'!$J$8+R92*'sheet1-指标体系'!$J$9,2)))</x:f>
        <x:v>44.56</x:v>
      </x:c>
      <x:c r="T92" s="35" t="n">
        <x:f>IF(ISNUMBER('sheet4-原始数据'!J77),'sheet4-原始数据'!J77,"")</x:f>
        <x:v>0.8462000000000001</x:v>
      </x:c>
      <x:c r="U92" s="35" t="n">
        <x:f>IF(ISNUMBER('sheet4-原始数据'!I77),'sheet4-原始数据'!I77,"")</x:f>
        <x:v>0.7297</x:v>
      </x:c>
      <x:c r="V92" s="37" t="n">
        <x:f>IF(OR(NOT(ISNUMBER(T92)),NOT(ISNUMBER(U92))),"",(U92*'sheet1-指标体系'!$J$6-T92*'sheet1-指标体系'!$J$5)/'sheet1-指标体系'!$J$7)</x:f>
        <x:v>0.6665958333333333</x:v>
      </x:c>
      <x:c r="W92" s="17" t="n">
        <x:f>IF(NOT(ISNUMBER(T92)),"",T92*100)</x:f>
        <x:v>84.62</x:v>
      </x:c>
      <x:c r="X92" s="17" t="n">
        <x:f>IF($G92&lt;&gt;"入池","",IF(AND(ISNUMBER(V92),V92&gt;=0,V92&lt;=1),V92*100,IF(MAX(0,($F92-1)*12)&lt;6,100,"")))</x:f>
        <x:v>66.65958333333333</x:v>
      </x:c>
      <x:c r="Y92" s="17" t="n">
        <x:f>IF(NOT(ISNUMBER(W92)),"",IF(NOT(ISNUMBER(X92)),W92,ROUND(W92*'sheet1-指标体系'!$J$8+X92*'sheet1-指标体系'!$J$9,2)))</x:f>
        <x:v>77.44</x:v>
      </x:c>
      <x:c r="Z92" s="37" t="n">
        <x:f>IF(OR(NOT(ISNUMBER(M92)),NOT(ISNUMBER(AD92)),AD92=0),"",ABS(M92/AD92))</x:f>
        <x:v>0.004882112934874014</x:v>
      </x:c>
      <x:c r="AA92" s="35" t="n">
        <x:f>IF(ISNUMBER('sheet4-原始数据'!K77),'sheet4-原始数据'!K77,"")</x:f>
        <x:v>0.0246</x:v>
      </x:c>
      <x:c r="AB92" s="37" t="n">
        <x:f>IF(COUNT(Z92:AA92)=0,"",MAX(Z92:AA92))</x:f>
        <x:v>0.0246</x:v>
      </x:c>
      <x:c r="AC92" s="17" t="n">
        <x:f>IF(OR($G92&lt;&gt;"入池",NOT(ISNUMBER(AB92))),"",IF(COUNTIFS($G$17:$G$219,"入池",$AB$17:$AB$219,"&gt;=-1E+307",$AB$17:$AB$219,"&lt;=1E+307")&lt;=1,100,ROUND(100*(COUNTIFS($G$17:$G$219,"入池",$AB$17:$AB$219,"&lt;=1E+307",$AB$17:$AB$219,"&gt;"&amp;AB92)+COUNTIFS($G$17:$G$219,"入池",$AB$17:$AB$219,AB92,$AB$17:$AB$219,"&gt;=-1E+307",$AB$17:$AB$219,"&lt;=1E+307")/2-0.5)/(COUNTIFS($G$17:$G$219,"入池",$AB$17:$AB$219,"&gt;=-1E+307",$AB$17:$AB$219,"&lt;=1E+307")-1),2)))</x:f>
        <x:v>69.06</x:v>
      </x:c>
      <x:c r="AD92" s="38" t="n">
        <x:f>IF(ISNUMBER('sheet4-原始数据'!M77),'sheet4-原始数据'!M77,"")</x:f>
        <x:v>12.8428</x:v>
      </x:c>
      <x:c r="AE92" s="37" t="n">
        <x:f>IF(OR(NOT(ISNUMBER(P92)),NOT(ISNUMBER(AA92)),NOT(ISNUMBER(Z92))),"",IF(AA92&gt;Z92+'sheet1-指标体系'!$J$11,AA92,""))</x:f>
        <x:v>0.0246</x:v>
      </x:c>
      <x:c r="AF92" s="17" t="n">
        <x:f>IF(OR(NOT(ISNUMBER(P92)),NOT(ISNUMBER(AE92)),AE92=0),"",P92/AE92)</x:f>
        <x:v>1.6373814876422226</x:v>
      </x:c>
      <x:c r="AG92" s="17" t="n">
        <x:f>IF(OR($G92&lt;&gt;"入池",NOT(ISNUMBER(AD92))),"",IF(COUNTIFS($G$17:$G$219,"入池",$AD$17:$AD$219,"&gt;=-1E+307",$AD$17:$AD$219,"&lt;=1E+307")&lt;=1,100,ROUND(100*(COUNTIFS($G$17:$G$219,"入池",$AD$17:$AD$219,"&gt;=-1E+307",$AD$17:$AD$219,"&lt;"&amp;AD92)+COUNTIFS($G$17:$G$219,"入池",$AD$17:$AD$219,AD92,$AD$17:$AD$219,"&gt;=-1E+307",$AD$17:$AD$219,"&lt;=1E+307")/2-0.5)/(COUNTIFS($G$17:$G$219,"入池",$AD$17:$AD$219,"&gt;=-1E+307",$AD$17:$AD$219,"&lt;=1E+307")-1),2)))</x:f>
        <x:v>83.58</x:v>
      </x:c>
      <x:c r="AH92" s="17" t="n">
        <x:f>IF(OR($G92&lt;&gt;"入池",NOT(ISNUMBER(AF92))),"",IF(COUNTIFS($G$17:$G$219,"入池",$AF$17:$AF$219,"&gt;=-1E+307",$AF$17:$AF$219,"&lt;=1E+307")&lt;=1,100,ROUND(100*(COUNTIFS($G$17:$G$219,"入池",$AF$17:$AF$219,"&gt;=-1E+307",$AF$17:$AF$219,"&lt;"&amp;AF92)+COUNTIFS($G$17:$G$219,"入池",$AF$17:$AF$219,AF92,$AF$17:$AF$219,"&gt;=-1E+307",$AF$17:$AF$219,"&lt;=1E+307")/2-0.5)/(COUNTIFS($G$17:$G$219,"入池",$AF$17:$AF$219,"&gt;=-1E+307",$AF$17:$AF$219,"&lt;=1E+307")-1),2)))</x:f>
        <x:v>58.39</x:v>
      </x:c>
      <x:c r="AI92" s="17" t="n">
        <x:f>IF(NOT(ISNUMBER(AG92)),"",IF(NOT(ISNUMBER(AH92)),AG92,ROUND(AG92*'sheet1-指标体系'!$J$8+AH92*'sheet1-指标体系'!$J$9,2)))</x:f>
        <x:v>73.5</x:v>
      </x:c>
      <x:c r="AJ92" s="37" t="n">
        <x:f>IF(NOT(ISNUMBER(F92)),"",IF(F92&gt;=3,IF(NOT(ISNUMBER(N92)),"",N92),IF(NOT(ISNUMBER(O92)),"",O92)))</x:f>
        <x:v>0.04769999999999999</x:v>
      </x:c>
      <x:c r="AK92" s="17" t="n">
        <x:f>IF(OR(G92&lt;&gt;"入池",NOT(ISNUMBER(M92)),NOT(ISNUMBER(AJ92))),"",IF(M92&gt;=AJ92,100,IF(AJ92-M92&lt;'sheet1-指标体系'!$J$10,80,60)))</x:f>
        <x:v>100</x:v>
      </x:c>
      <x:c r="AL92" s="17" t="n">
        <x:f>IF(COUNT(I92,K92,L92)=0,"",ROUND((IF(ISNUMBER(I92),I92*40%,0)+IF(ISNUMBER(K92),K92*30%,0)+IF(ISNUMBER(L92),L92*30%,0))/(IF(ISNUMBER(I92),40%,0)+IF(ISNUMBER(K92),30%,0)+IF(ISNUMBER(L92),30%,0)),2))</x:f>
        <x:v>77.14</x:v>
      </x:c>
      <x:c r="AM92" s="17" t="n">
        <x:f>IF(COUNT(Q92,R92,W92,X92)=0,"",ROUND((IF(ISNUMBER(Q92),Q92*42%,0)+IF(ISNUMBER(R92),R92*28%,0)+IF(ISNUMBER(W92),W92*18%,0)+IF(ISNUMBER(X92),X92*12%,0))/(IF(ISNUMBER(Q92),42%,0)+IF(ISNUMBER(R92),28%,0)+IF(ISNUMBER(W92),18%,0)+IF(ISNUMBER(X92),12%,0)),2))</x:f>
        <x:v>54.42</x:v>
      </x:c>
      <x:c r="AN92" s="17" t="n">
        <x:f>IF(ISNUMBER(AC92),AC92,"")</x:f>
        <x:v>69.06</x:v>
      </x:c>
      <x:c r="AO92" s="17" t="n">
        <x:f>IF(COUNT(AG92,AH92)=0,"",ROUND((IF(ISNUMBER(AG92),AG92*60%,0)+IF(ISNUMBER(AH92),AH92*40%,0))/(IF(ISNUMBER(AG92),60%,0)+IF(ISNUMBER(AH92),40%,0)),2))</x:f>
        <x:v>73.5</x:v>
      </x:c>
      <x:c r="AP92" s="17" t="n">
        <x:f>IF(ISNUMBER(AK92),AK92,"")</x:f>
        <x:v>100</x:v>
      </x:c>
      <x:c r="AQ92" s="39" t="n">
        <x:f>IF(G92&lt;&gt;"入池",0,IF(ISNUMBER(I92),6%,0)+IF(ISNUMBER(K92),4.5%,0)+IF(ISNUMBER(L92),4.5%,0)+IF(ISNUMBER(Q92),8.4%,0)+IF(ISNUMBER(R92),5.6%,0)+IF(ISNUMBER(W92),3.6%,0)+IF(ISNUMBER(X92),2.4%,0)+IF(ISNUMBER(AC92),25%,0)+IF(ISNUMBER(AG92),18%,0)+IF(ISNUMBER(AH92),12%,0)+IF(ISNUMBER(AK92),10%,0))</x:f>
        <x:v>0.9550000000000001</x:v>
      </x:c>
      <x:c r="AR92" s="17" t="n">
        <x:f>IF(AQ92=0,"",IF(ISNUMBER(I92),I92*6%,0)+IF(ISNUMBER(K92),K92*4.5%,0)+IF(ISNUMBER(L92),L92*4.5%,0)+IF(ISNUMBER(Q92),Q92*8.4%,0)+IF(ISNUMBER(R92),R92*5.6%,0)+IF(ISNUMBER(W92),W92*3.6%,0)+IF(ISNUMBER(X92),X92*2.4%,0)+IF(ISNUMBER(AC92),AC92*25%,0)+IF(ISNUMBER(AG92),AG92*18%,0)+IF(ISNUMBER(AH92),AH92*12%,0)+IF(ISNUMBER(AK92),AK92*10%,0))</x:f>
        <x:v>68.30019</x:v>
      </x:c>
      <x:c r="AS92" s="17" t="n">
        <x:f>IF(AQ92=0,"",ROUND(AR92/AQ92,2))</x:f>
        <x:v>71.52</x:v>
      </x:c>
      <x:c r="AT92" s="40" t="n">
        <x:f>IF(OR(G92&lt;&gt;"入池",NOT(ISNUMBER(AS92))),"",COUNTIFS($G$17:$G$219,"入池",$AS$17:$AS$219,"&gt;"&amp;AS92)+COUNTIFS($G$17:$G$219,"入池",$AS$17:$AS$219,AS92,$AQ$17:$AQ$219,"&gt;"&amp;AQ92)+COUNTIFS($G$17:G92,"入池",$AS$17:AS92,AS92,$AQ$17:AQ92,AQ92))</x:f>
        <x:v>64</x:v>
      </x:c>
      <x:c r="AU92" s="41" t="str">
        <x:f t="shared" si="4">IF(NOT(ISNUMBER(I92)),"管理人规模；","")&amp;IF(J92="","产品规模标识；","")&amp;IF(AND(F92&lt;3,NOT(ISNUMBER(O92))),"R_incep；","")&amp;IF(NOT(ISNUMBER(N92)),"近三年收益；","")&amp;IF(NOT(ISNUMBER(U92)),"近三年胜率；","")&amp;IF(AND(ISNUMBER(V92),OR(V92&lt;0,V92&gt;1)),"胜率窗口口径不一致；","")&amp;IF(NOT(ISNUMBER(AA92)),"近三年回撤；","")&amp;IF(NOT(ISNUMBER(AD92)),"短期卡玛；","")&amp;IF(AND(ISNUMBER(P92),NOT(ISNUMBER(AE92))),"DD_long不可识别；","")</x:f>
        <x:v>产品规模标识；</x:v>
      </x:c>
      <x:c r="AV92" s="42" t="n">
        <x:v>0</x:v>
      </x:c>
      <x:c r="AW92" s="19" t="str">
        <x:v>海南佳泽私募基金管理合伙企业（有限合伙）</x:v>
      </x:c>
      <x:c r="AX92" s="19" t="str">
        <x:v>2026-08-07</x:v>
      </x:c>
      <x:c r="AY92" s="19" t="str">
        <x:v>https://gs.amac.org.cn/amac-infodisc/res/pof/manager/2202171443109430.html</x:v>
      </x:c>
      <x:c r="AZ92" s="19"/>
      <x:c r="BA92" s="19"/>
      <x:c r="BB92" s="19"/>
      <x:c r="BC92" s="19"/>
      <x:c r="BD92" s="19" t="str">
        <x:v>基金页未匹配；管理人已核验</x:v>
      </x:c>
      <x:c r="BE92"/>
      <x:c r="BF92"/>
    </x:row>
    <x:row r="93" ht="28" customHeight="1">
      <x:c r="A93" s="4" t="n">
        <x:v>77</x:v>
      </x:c>
      <x:c r="B93" s="15" t="str">
        <x:f>'sheet4-原始数据'!A78</x:f>
        <x:v>鋆晟狮王套利</x:v>
      </x:c>
      <x:c r="C93" s="15" t="str">
        <x:f>'sheet4-原始数据'!B78</x:f>
        <x:v>SGS754</x:v>
      </x:c>
      <x:c r="D93" s="15" t="str">
        <x:f>'sheet4-原始数据'!E78</x:f>
        <x:v>上海鋆晟投资</x:v>
      </x:c>
      <x:c r="E93" s="32" t="n">
        <x:f>IF(ISNUMBER('sheet4-原始数据'!F78),'sheet4-原始数据'!F78,"")</x:f>
        <x:v>43664</x:v>
      </x:c>
      <x:c r="F93" s="17" t="n">
        <x:f>IF(NOT(ISNUMBER(E93)),"",ROUND(('sheet1-指标体系'!$J$23-E93)/365.25,4))</x:f>
        <x:v>7.165</x:v>
      </x:c>
      <x:c r="G93" s="4" t="str">
        <x:f t="shared" si="3">IF(NOT(ISNUMBER(F93)),"",IF(F93&lt;1,"不入池","入池"))</x:f>
        <x:v>入池</x:v>
      </x:c>
      <x:c r="H93" s="33" t="str">
        <x:v>5-10亿元</x:v>
      </x:c>
      <x:c r="I93" s="17" t="n">
        <x:f>IF(H93="","",IF(ISNUMBER(SEARCH("100亿元以上",H93)),100,IF(OR(ISNUMBER(SEARCH("20-50",H93)),ISNUMBER(SEARCH("50-100",H93)),ISNUMBER(SEARCH("20-100",H93))),90,IF(ISNUMBER(SEARCH("10-20",H93)),80,IF(ISNUMBER(SEARCH("5-10",H93)),70,IF(ISNUMBER(SEARCH("0-5",H93)),60,""))))))</x:f>
        <x:v>70</x:v>
      </x:c>
      <x:c r="J93" s="34" t="str">
        <x:v>无低于1000万元标识</x:v>
      </x:c>
      <x:c r="K93" s="17" t="n">
        <x:f>IF(J93="","",IF(J93="低于1000万元",0,100))</x:f>
        <x:v>100</x:v>
      </x:c>
      <x:c r="L93" s="17" t="n">
        <x:f>IF(NOT(ISNUMBER(F93)),"",IF(F93&lt;1,"",IF(F93&lt;3,70,100)))</x:f>
        <x:v>100</x:v>
      </x:c>
      <x:c r="M93" s="35" t="n">
        <x:f>IF(ISNUMBER('sheet4-原始数据'!G78),'sheet4-原始数据'!G78,"")</x:f>
        <x:v>0.1328</x:v>
      </x:c>
      <x:c r="N93" s="35" t="n">
        <x:f>IF(ISNUMBER('sheet4-原始数据'!H78),'sheet4-原始数据'!H78,"")</x:f>
        <x:v>0.0704</x:v>
      </x:c>
      <x:c r="O93" s="36" t="str">
        <x:f>IF(ISNUMBER('sheet4-原始数据'!Q78),'sheet4-原始数据'!Q78,"")</x:f>
      </x:c>
      <x:c r="P93" s="37" t="n">
        <x:f>IF($G93&lt;&gt;"入池","",IF($F93&gt;=3,IF(OR(NOT(ISNUMBER($M93)),NOT(ISNUMBER($N93)),1+$M93&lt;=0,1+$N93&lt;0),"",((1+$N93)^3/(1+$M93))^(1/2)-1),IF(OR($F93&lt;=1,NOT(ISNUMBER($M93)),NOT(ISNUMBER($O93)),1+$M93&lt;=0,1+$O93&lt;0),"",((1+$O93)^$F93/(1+$M93))^(1/($F93-1))-1)))</x:f>
        <x:v>0.04050106834175771</x:v>
      </x:c>
      <x:c r="Q93" s="17" t="n">
        <x:f>IF(OR($G93&lt;&gt;"入池",NOT(ISNUMBER(M93))),"",IF(COUNTIFS($G$17:$G$219,"入池",$M$17:$M$219,"&gt;=-1E+307",$M$17:$M$219,"&lt;=1E+307")&lt;=1,100,ROUND(100*(COUNTIFS($G$17:$G$219,"入池",$M$17:$M$219,"&gt;=-1E+307",$M$17:$M$219,"&lt;"&amp;M93)+COUNTIFS($G$17:$G$219,"入池",$M$17:$M$219,M93,$M$17:$M$219,"&gt;=-1E+307",$M$17:$M$219,"&lt;=1E+307")/2-0.5)/(COUNTIFS($G$17:$G$219,"入池",$M$17:$M$219,"&gt;=-1E+307",$M$17:$M$219,"&lt;=1E+307")-1),2)))</x:f>
        <x:v>87.13</x:v>
      </x:c>
      <x:c r="R93" s="17" t="n">
        <x:f>IF(OR($G93&lt;&gt;"入池",NOT(ISNUMBER(P93))),"",IF(COUNTIFS($G$17:$G$219,"入池",$P$17:$P$219,"&gt;=-1E+307",$P$17:$P$219,"&lt;=1E+307")&lt;=1,100,ROUND(100*(COUNTIFS($G$17:$G$219,"入池",$P$17:$P$219,"&gt;=-1E+307",$P$17:$P$219,"&lt;"&amp;P93)+COUNTIFS($G$17:$G$219,"入池",$P$17:$P$219,P93,$P$17:$P$219,"&gt;=-1E+307",$P$17:$P$219,"&lt;=1E+307")/2-0.5)/(COUNTIFS($G$17:$G$219,"入池",$P$17:$P$219,"&gt;=-1E+307",$P$17:$P$219,"&lt;=1E+307")-1),2)))</x:f>
        <x:v>27.72</x:v>
      </x:c>
      <x:c r="S93" s="17" t="n">
        <x:f>IF(NOT(ISNUMBER(Q93)),"",IF(NOT(ISNUMBER(R93)),Q93,ROUND(Q93*'sheet1-指标体系'!$J$8+R93*'sheet1-指标体系'!$J$9,2)))</x:f>
        <x:v>63.37</x:v>
      </x:c>
      <x:c r="T93" s="35" t="n">
        <x:f>IF(ISNUMBER('sheet4-原始数据'!J78),'sheet4-原始数据'!J78,"")</x:f>
        <x:v>0.8462000000000001</x:v>
      </x:c>
      <x:c r="U93" s="35" t="n">
        <x:f>IF(ISNUMBER('sheet4-原始数据'!I78),'sheet4-原始数据'!I78,"")</x:f>
        <x:v>0.7837999999999999</x:v>
      </x:c>
      <x:c r="V93" s="37" t="n">
        <x:f>IF(OR(NOT(ISNUMBER(T93)),NOT(ISNUMBER(U93))),"",(U93*'sheet1-指标体系'!$J$6-T93*'sheet1-指标体系'!$J$5)/'sheet1-指标体系'!$J$7)</x:f>
        <x:v>0.75</x:v>
      </x:c>
      <x:c r="W93" s="17" t="n">
        <x:f>IF(NOT(ISNUMBER(T93)),"",T93*100)</x:f>
        <x:v>84.62</x:v>
      </x:c>
      <x:c r="X93" s="17" t="n">
        <x:f>IF($G93&lt;&gt;"入池","",IF(AND(ISNUMBER(V93),V93&gt;=0,V93&lt;=1),V93*100,IF(MAX(0,($F93-1)*12)&lt;6,100,"")))</x:f>
        <x:v>75</x:v>
      </x:c>
      <x:c r="Y93" s="17" t="n">
        <x:f>IF(NOT(ISNUMBER(W93)),"",IF(NOT(ISNUMBER(X93)),W93,ROUND(W93*'sheet1-指标体系'!$J$8+X93*'sheet1-指标体系'!$J$9,2)))</x:f>
        <x:v>80.77</x:v>
      </x:c>
      <x:c r="Z93" s="37" t="n">
        <x:f>IF(OR(NOT(ISNUMBER(M93)),NOT(ISNUMBER(AD93)),AD93=0),"",ABS(M93/AD93))</x:f>
        <x:v>0.010741381820534805</x:v>
      </x:c>
      <x:c r="AA93" s="35" t="n">
        <x:f>IF(ISNUMBER('sheet4-原始数据'!K78),'sheet4-原始数据'!K78,"")</x:f>
        <x:v>0.0147</x:v>
      </x:c>
      <x:c r="AB93" s="37" t="n">
        <x:f>IF(COUNT(Z93:AA93)=0,"",MAX(Z93:AA93))</x:f>
        <x:v>0.0147</x:v>
      </x:c>
      <x:c r="AC93" s="17" t="n">
        <x:f>IF(OR($G93&lt;&gt;"入池",NOT(ISNUMBER(AB93))),"",IF(COUNTIFS($G$17:$G$219,"入池",$AB$17:$AB$219,"&gt;=-1E+307",$AB$17:$AB$219,"&lt;=1E+307")&lt;=1,100,ROUND(100*(COUNTIFS($G$17:$G$219,"入池",$AB$17:$AB$219,"&lt;=1E+307",$AB$17:$AB$219,"&gt;"&amp;AB93)+COUNTIFS($G$17:$G$219,"入池",$AB$17:$AB$219,AB93,$AB$17:$AB$219,"&gt;=-1E+307",$AB$17:$AB$219,"&lt;=1E+307")/2-0.5)/(COUNTIFS($G$17:$G$219,"入池",$AB$17:$AB$219,"&gt;=-1E+307",$AB$17:$AB$219,"&lt;=1E+307")-1),2)))</x:f>
        <x:v>78.71</x:v>
      </x:c>
      <x:c r="AD93" s="38" t="n">
        <x:f>IF(ISNUMBER('sheet4-原始数据'!M78),'sheet4-原始数据'!M78,"")</x:f>
        <x:v>12.3634</x:v>
      </x:c>
      <x:c r="AE93" s="37" t="n">
        <x:f>IF(OR(NOT(ISNUMBER(P93)),NOT(ISNUMBER(AA93)),NOT(ISNUMBER(Z93))),"",IF(AA93&gt;Z93+'sheet1-指标体系'!$J$11,AA93,""))</x:f>
        <x:v>0.0147</x:v>
      </x:c>
      <x:c r="AF93" s="17" t="n">
        <x:f>IF(OR(NOT(ISNUMBER(P93)),NOT(ISNUMBER(AE93)),AE93=0),"",P93/AE93)</x:f>
        <x:v>2.7551747171263745</x:v>
      </x:c>
      <x:c r="AG93" s="17" t="n">
        <x:f>IF(OR($G93&lt;&gt;"入池",NOT(ISNUMBER(AD93))),"",IF(COUNTIFS($G$17:$G$219,"入池",$AD$17:$AD$219,"&gt;=-1E+307",$AD$17:$AD$219,"&lt;=1E+307")&lt;=1,100,ROUND(100*(COUNTIFS($G$17:$G$219,"入池",$AD$17:$AD$219,"&gt;=-1E+307",$AD$17:$AD$219,"&lt;"&amp;AD93)+COUNTIFS($G$17:$G$219,"入池",$AD$17:$AD$219,AD93,$AD$17:$AD$219,"&gt;=-1E+307",$AD$17:$AD$219,"&lt;=1E+307")/2-0.5)/(COUNTIFS($G$17:$G$219,"入池",$AD$17:$AD$219,"&gt;=-1E+307",$AD$17:$AD$219,"&lt;=1E+307")-1),2)))</x:f>
        <x:v>82.59</x:v>
      </x:c>
      <x:c r="AH93" s="17" t="n">
        <x:f>IF(OR($G93&lt;&gt;"入池",NOT(ISNUMBER(AF93))),"",IF(COUNTIFS($G$17:$G$219,"入池",$AF$17:$AF$219,"&gt;=-1E+307",$AF$17:$AF$219,"&lt;=1E+307")&lt;=1,100,ROUND(100*(COUNTIFS($G$17:$G$219,"入池",$AF$17:$AF$219,"&gt;=-1E+307",$AF$17:$AF$219,"&lt;"&amp;AF93)+COUNTIFS($G$17:$G$219,"入池",$AF$17:$AF$219,AF93,$AF$17:$AF$219,"&gt;=-1E+307",$AF$17:$AF$219,"&lt;=1E+307")/2-0.5)/(COUNTIFS($G$17:$G$219,"入池",$AF$17:$AF$219,"&gt;=-1E+307",$AF$17:$AF$219,"&lt;=1E+307")-1),2)))</x:f>
        <x:v>74.45</x:v>
      </x:c>
      <x:c r="AI93" s="17" t="n">
        <x:f>IF(NOT(ISNUMBER(AG93)),"",IF(NOT(ISNUMBER(AH93)),AG93,ROUND(AG93*'sheet1-指标体系'!$J$8+AH93*'sheet1-指标体系'!$J$9,2)))</x:f>
        <x:v>79.33</x:v>
      </x:c>
      <x:c r="AJ93" s="37" t="n">
        <x:f>IF(NOT(ISNUMBER(F93)),"",IF(F93&gt;=3,IF(NOT(ISNUMBER(N93)),"",N93),IF(NOT(ISNUMBER(O93)),"",O93)))</x:f>
        <x:v>0.0704</x:v>
      </x:c>
      <x:c r="AK93" s="17" t="n">
        <x:f>IF(OR(G93&lt;&gt;"入池",NOT(ISNUMBER(M93)),NOT(ISNUMBER(AJ93))),"",IF(M93&gt;=AJ93,100,IF(AJ93-M93&lt;'sheet1-指标体系'!$J$10,80,60)))</x:f>
        <x:v>100</x:v>
      </x:c>
      <x:c r="AL93" s="17" t="n">
        <x:f>IF(COUNT(I93,K93,L93)=0,"",ROUND((IF(ISNUMBER(I93),I93*40%,0)+IF(ISNUMBER(K93),K93*30%,0)+IF(ISNUMBER(L93),L93*30%,0))/(IF(ISNUMBER(I93),40%,0)+IF(ISNUMBER(K93),30%,0)+IF(ISNUMBER(L93),30%,0)),2))</x:f>
        <x:v>88</x:v>
      </x:c>
      <x:c r="AM93" s="17" t="n">
        <x:f>IF(COUNT(Q93,R93,W93,X93)=0,"",ROUND((IF(ISNUMBER(Q93),Q93*42%,0)+IF(ISNUMBER(R93),R93*28%,0)+IF(ISNUMBER(W93),W93*18%,0)+IF(ISNUMBER(X93),X93*12%,0))/(IF(ISNUMBER(Q93),42%,0)+IF(ISNUMBER(R93),28%,0)+IF(ISNUMBER(W93),18%,0)+IF(ISNUMBER(X93),12%,0)),2))</x:f>
        <x:v>68.59</x:v>
      </x:c>
      <x:c r="AN93" s="17" t="n">
        <x:f>IF(ISNUMBER(AC93),AC93,"")</x:f>
        <x:v>78.71</x:v>
      </x:c>
      <x:c r="AO93" s="17" t="n">
        <x:f>IF(COUNT(AG93,AH93)=0,"",ROUND((IF(ISNUMBER(AG93),AG93*60%,0)+IF(ISNUMBER(AH93),AH93*40%,0))/(IF(ISNUMBER(AG93),60%,0)+IF(ISNUMBER(AH93),40%,0)),2))</x:f>
        <x:v>79.33</x:v>
      </x:c>
      <x:c r="AP93" s="17" t="n">
        <x:f>IF(ISNUMBER(AK93),AK93,"")</x:f>
        <x:v>100</x:v>
      </x:c>
      <x:c r="AQ93" s="39" t="n">
        <x:f>IF(G93&lt;&gt;"入池",0,IF(ISNUMBER(I93),6%,0)+IF(ISNUMBER(K93),4.5%,0)+IF(ISNUMBER(L93),4.5%,0)+IF(ISNUMBER(Q93),8.4%,0)+IF(ISNUMBER(R93),5.6%,0)+IF(ISNUMBER(W93),3.6%,0)+IF(ISNUMBER(X93),2.4%,0)+IF(ISNUMBER(AC93),25%,0)+IF(ISNUMBER(AG93),18%,0)+IF(ISNUMBER(AH93),12%,0)+IF(ISNUMBER(AK93),10%,0))</x:f>
        <x:v>1</x:v>
      </x:c>
      <x:c r="AR93" s="17" t="n">
        <x:f>IF(AQ93=0,"",IF(ISNUMBER(I93),I93*6%,0)+IF(ISNUMBER(K93),K93*4.5%,0)+IF(ISNUMBER(L93),L93*4.5%,0)+IF(ISNUMBER(Q93),Q93*8.4%,0)+IF(ISNUMBER(R93),R93*5.6%,0)+IF(ISNUMBER(W93),W93*3.6%,0)+IF(ISNUMBER(X93),X93*2.4%,0)+IF(ISNUMBER(AC93),AC93*25%,0)+IF(ISNUMBER(AG93),AG93*18%,0)+IF(ISNUMBER(AH93),AH93*12%,0)+IF(ISNUMBER(AK93),AK93*10%,0))</x:f>
        <x:v>80.39526000000001</x:v>
      </x:c>
      <x:c r="AS93" s="17" t="n">
        <x:f>IF(AQ93=0,"",ROUND(AR93/AQ93,2))</x:f>
        <x:v>80.4</x:v>
      </x:c>
      <x:c r="AT93" s="40" t="n">
        <x:f>IF(OR(G93&lt;&gt;"入池",NOT(ISNUMBER(AS93))),"",COUNTIFS($G$17:$G$219,"入池",$AS$17:$AS$219,"&gt;"&amp;AS93)+COUNTIFS($G$17:$G$219,"入池",$AS$17:$AS$219,AS93,$AQ$17:$AQ$219,"&gt;"&amp;AQ93)+COUNTIFS($G$17:G93,"入池",$AS$17:AS93,AS93,$AQ$17:AQ93,AQ93))</x:f>
        <x:v>31</x:v>
      </x:c>
      <x:c r="AU93" s="41" t="str">
        <x:f t="shared" si="4">IF(NOT(ISNUMBER(I93)),"管理人规模；","")&amp;IF(J93="","产品规模标识；","")&amp;IF(AND(F93&lt;3,NOT(ISNUMBER(O93))),"R_incep；","")&amp;IF(NOT(ISNUMBER(N93)),"近三年收益；","")&amp;IF(NOT(ISNUMBER(U93)),"近三年胜率；","")&amp;IF(AND(ISNUMBER(V93),OR(V93&lt;0,V93&gt;1)),"胜率窗口口径不一致；","")&amp;IF(NOT(ISNUMBER(AA93)),"近三年回撤；","")&amp;IF(NOT(ISNUMBER(AD93)),"短期卡玛；","")&amp;IF(AND(ISNUMBER(P93),NOT(ISNUMBER(AE93))),"DD_long不可识别；","")</x:f>
      </x:c>
      <x:c r="AV93" s="42" t="n">
        <x:v>5</x:v>
      </x:c>
      <x:c r="AW93" s="19" t="str">
        <x:v>上海鋆晟投资管理有限公司</x:v>
      </x:c>
      <x:c r="AX93" s="19" t="str">
        <x:v>2026-08-24</x:v>
      </x:c>
      <x:c r="AY93" s="19" t="str">
        <x:v>https://gs.amac.org.cn/amac-infodisc/res/pof/manager/101000039679.html</x:v>
      </x:c>
      <x:c r="AZ93" s="19" t="str">
        <x:v>鋆晟狮王套利私募证券投资基金</x:v>
      </x:c>
      <x:c r="BA93" s="19" t="str">
        <x:v>2024-01-18</x:v>
      </x:c>
      <x:c r="BB93" s="19"/>
      <x:c r="BC93" s="19" t="str">
        <x:v>https://gs.amac.org.cn/amac-infodisc/res/pof/fund/1908021524105625.html</x:v>
      </x:c>
      <x:c r="BD93" s="19" t="str">
        <x:v>已匹配</x:v>
      </x:c>
      <x:c r="BE93"/>
      <x:c r="BF93"/>
    </x:row>
    <x:row r="94" ht="28" customHeight="1">
      <x:c r="A94" s="4" t="n">
        <x:v>78</x:v>
      </x:c>
      <x:c r="B94" s="15" t="str">
        <x:f>'sheet4-原始数据'!A79</x:f>
        <x:v>晟通京华宏观对冲</x:v>
      </x:c>
      <x:c r="C94" s="15" t="str">
        <x:f>'sheet4-原始数据'!B79</x:f>
        <x:v>SNG078</x:v>
      </x:c>
      <x:c r="D94" s="15" t="str">
        <x:f>'sheet4-原始数据'!E79</x:f>
        <x:v>深圳前海晟通资管</x:v>
      </x:c>
      <x:c r="E94" s="32" t="n">
        <x:f>IF(ISNUMBER('sheet4-原始数据'!F79),'sheet4-原始数据'!F79,"")</x:f>
        <x:v>44169</x:v>
      </x:c>
      <x:c r="F94" s="17" t="n">
        <x:f>IF(NOT(ISNUMBER(E94)),"",ROUND(('sheet1-指标体系'!$J$23-E94)/365.25,4))</x:f>
        <x:v>5.7823</x:v>
      </x:c>
      <x:c r="G94" s="4" t="str">
        <x:f t="shared" si="3">IF(NOT(ISNUMBER(F94)),"",IF(F94&lt;1,"不入池","入池"))</x:f>
        <x:v>入池</x:v>
      </x:c>
      <x:c r="H94" s="33" t="str">
        <x:v>0-5亿元</x:v>
      </x:c>
      <x:c r="I94" s="17" t="n">
        <x:f>IF(H94="","",IF(ISNUMBER(SEARCH("100亿元以上",H94)),100,IF(OR(ISNUMBER(SEARCH("20-50",H94)),ISNUMBER(SEARCH("50-100",H94)),ISNUMBER(SEARCH("20-100",H94))),90,IF(ISNUMBER(SEARCH("10-20",H94)),80,IF(ISNUMBER(SEARCH("5-10",H94)),70,IF(ISNUMBER(SEARCH("0-5",H94)),60,""))))))</x:f>
        <x:v>60</x:v>
      </x:c>
      <x:c r="J94" s="34" t="str">
        <x:v>低于1000万元</x:v>
      </x:c>
      <x:c r="K94" s="17" t="n">
        <x:f>IF(J94="","",IF(J94="低于1000万元",0,100))</x:f>
        <x:v>0</x:v>
      </x:c>
      <x:c r="L94" s="17" t="n">
        <x:f>IF(NOT(ISNUMBER(F94)),"",IF(F94&lt;1,"",IF(F94&lt;3,70,100)))</x:f>
        <x:v>100</x:v>
      </x:c>
      <x:c r="M94" s="35" t="n">
        <x:f>IF(ISNUMBER('sheet4-原始数据'!G79),'sheet4-原始数据'!G79,"")</x:f>
        <x:v>-0.013600000000000001</x:v>
      </x:c>
      <x:c r="N94" s="35" t="n">
        <x:f>IF(ISNUMBER('sheet4-原始数据'!H79),'sheet4-原始数据'!H79,"")</x:f>
        <x:v>0.018600000000000002</x:v>
      </x:c>
      <x:c r="O94" s="36" t="str">
        <x:f>IF(ISNUMBER('sheet4-原始数据'!Q79),'sheet4-原始数据'!Q79,"")</x:f>
      </x:c>
      <x:c r="P94" s="37" t="n">
        <x:f>IF($G94&lt;&gt;"入池","",IF($F94&gt;=3,IF(OR(NOT(ISNUMBER($M94)),NOT(ISNUMBER($N94)),1+$M94&lt;=0,1+$N94&lt;0),"",((1+$N94)^3/(1+$M94))^(1/2)-1),IF(OR($F94&lt;=1,NOT(ISNUMBER($M94)),NOT(ISNUMBER($O94)),1+$M94&lt;=0,1+$O94&lt;0),"",((1+$O94)^$F94/(1+$M94))^(1/($F94-1))-1)))</x:f>
        <x:v>0.035092057046730796</x:v>
      </x:c>
      <x:c r="Q94" s="17" t="n">
        <x:f>IF(OR($G94&lt;&gt;"入池",NOT(ISNUMBER(M94))),"",IF(COUNTIFS($G$17:$G$219,"入池",$M$17:$M$219,"&gt;=-1E+307",$M$17:$M$219,"&lt;=1E+307")&lt;=1,100,ROUND(100*(COUNTIFS($G$17:$G$219,"入池",$M$17:$M$219,"&gt;=-1E+307",$M$17:$M$219,"&lt;"&amp;M94)+COUNTIFS($G$17:$G$219,"入池",$M$17:$M$219,M94,$M$17:$M$219,"&gt;=-1E+307",$M$17:$M$219,"&lt;=1E+307")/2-0.5)/(COUNTIFS($G$17:$G$219,"入池",$M$17:$M$219,"&gt;=-1E+307",$M$17:$M$219,"&lt;=1E+307")-1),2)))</x:f>
        <x:v>15.59</x:v>
      </x:c>
      <x:c r="R94" s="17" t="n">
        <x:f>IF(OR($G94&lt;&gt;"入池",NOT(ISNUMBER(P94))),"",IF(COUNTIFS($G$17:$G$219,"入池",$P$17:$P$219,"&gt;=-1E+307",$P$17:$P$219,"&lt;=1E+307")&lt;=1,100,ROUND(100*(COUNTIFS($G$17:$G$219,"入池",$P$17:$P$219,"&gt;=-1E+307",$P$17:$P$219,"&lt;"&amp;P94)+COUNTIFS($G$17:$G$219,"入池",$P$17:$P$219,P94,$P$17:$P$219,"&gt;=-1E+307",$P$17:$P$219,"&lt;=1E+307")/2-0.5)/(COUNTIFS($G$17:$G$219,"入池",$P$17:$P$219,"&gt;=-1E+307",$P$17:$P$219,"&lt;=1E+307")-1),2)))</x:f>
        <x:v>20.79</x:v>
      </x:c>
      <x:c r="S94" s="17" t="n">
        <x:f>IF(NOT(ISNUMBER(Q94)),"",IF(NOT(ISNUMBER(R94)),Q94,ROUND(Q94*'sheet1-指标体系'!$J$8+R94*'sheet1-指标体系'!$J$9,2)))</x:f>
        <x:v>17.67</x:v>
      </x:c>
      <x:c r="T94" s="35" t="n">
        <x:f>IF(ISNUMBER('sheet4-原始数据'!J79),'sheet4-原始数据'!J79,"")</x:f>
        <x:v>0.3846</x:v>
      </x:c>
      <x:c r="U94" s="35" t="n">
        <x:f>IF(ISNUMBER('sheet4-原始数据'!I79),'sheet4-原始数据'!I79,"")</x:f>
        <x:v>0.4595</x:v>
      </x:c>
      <x:c r="V94" s="37" t="n">
        <x:f>IF(OR(NOT(ISNUMBER(T94)),NOT(ISNUMBER(U94))),"",(U94*'sheet1-指标体系'!$J$6-T94*'sheet1-指标体系'!$J$5)/'sheet1-指标体系'!$J$7)</x:f>
        <x:v>0.5000708333333334</x:v>
      </x:c>
      <x:c r="W94" s="17" t="n">
        <x:f>IF(NOT(ISNUMBER(T94)),"",T94*100)</x:f>
        <x:v>38.46</x:v>
      </x:c>
      <x:c r="X94" s="17" t="n">
        <x:f>IF($G94&lt;&gt;"入池","",IF(AND(ISNUMBER(V94),V94&gt;=0,V94&lt;=1),V94*100,IF(MAX(0,($F94-1)*12)&lt;6,100,"")))</x:f>
        <x:v>50.007083333333334</x:v>
      </x:c>
      <x:c r="Y94" s="17" t="n">
        <x:f>IF(NOT(ISNUMBER(W94)),"",IF(NOT(ISNUMBER(X94)),W94,ROUND(W94*'sheet1-指标体系'!$J$8+X94*'sheet1-指标体系'!$J$9,2)))</x:f>
        <x:v>43.08</x:v>
      </x:c>
      <x:c r="Z94" s="37" t="n">
        <x:f>IF(OR(NOT(ISNUMBER(M94)),NOT(ISNUMBER(AD94)),AD94=0),"",ABS(M94/AD94))</x:f>
        <x:v>0.13948717948717948</x:v>
      </x:c>
      <x:c r="AA94" s="35" t="n">
        <x:f>IF(ISNUMBER('sheet4-原始数据'!K79),'sheet4-原始数据'!K79,"")</x:f>
        <x:v>0.1396</x:v>
      </x:c>
      <x:c r="AB94" s="37" t="n">
        <x:f>IF(COUNT(Z94:AA94)=0,"",MAX(Z94:AA94))</x:f>
        <x:v>0.1396</x:v>
      </x:c>
      <x:c r="AC94" s="17" t="n">
        <x:f>IF(OR($G94&lt;&gt;"入池",NOT(ISNUMBER(AB94))),"",IF(COUNTIFS($G$17:$G$219,"入池",$AB$17:$AB$219,"&gt;=-1E+307",$AB$17:$AB$219,"&lt;=1E+307")&lt;=1,100,ROUND(100*(COUNTIFS($G$17:$G$219,"入池",$AB$17:$AB$219,"&lt;=1E+307",$AB$17:$AB$219,"&gt;"&amp;AB94)+COUNTIFS($G$17:$G$219,"入池",$AB$17:$AB$219,AB94,$AB$17:$AB$219,"&gt;=-1E+307",$AB$17:$AB$219,"&lt;=1E+307")/2-0.5)/(COUNTIFS($G$17:$G$219,"入池",$AB$17:$AB$219,"&gt;=-1E+307",$AB$17:$AB$219,"&lt;=1E+307")-1),2)))</x:f>
        <x:v>14.85</x:v>
      </x:c>
      <x:c r="AD94" s="38" t="n">
        <x:f>IF(ISNUMBER('sheet4-原始数据'!M79),'sheet4-原始数据'!M79,"")</x:f>
        <x:v>-0.0975</x:v>
      </x:c>
      <x:c r="AE94" s="37" t="n">
        <x:f>IF(OR(NOT(ISNUMBER(P94)),NOT(ISNUMBER(AA94)),NOT(ISNUMBER(Z94))),"",IF(AA94&gt;Z94+'sheet1-指标体系'!$J$11,AA94,""))</x:f>
        <x:v>0.1396</x:v>
      </x:c>
      <x:c r="AF94" s="17" t="n">
        <x:f>IF(OR(NOT(ISNUMBER(P94)),NOT(ISNUMBER(AE94)),AE94=0),"",P94/AE94)</x:f>
        <x:v>0.25137576681039253</x:v>
      </x:c>
      <x:c r="AG94" s="17" t="n">
        <x:f>IF(OR($G94&lt;&gt;"入池",NOT(ISNUMBER(AD94))),"",IF(COUNTIFS($G$17:$G$219,"入池",$AD$17:$AD$219,"&gt;=-1E+307",$AD$17:$AD$219,"&lt;=1E+307")&lt;=1,100,ROUND(100*(COUNTIFS($G$17:$G$219,"入池",$AD$17:$AD$219,"&gt;=-1E+307",$AD$17:$AD$219,"&lt;"&amp;AD94)+COUNTIFS($G$17:$G$219,"入池",$AD$17:$AD$219,AD94,$AD$17:$AD$219,"&gt;=-1E+307",$AD$17:$AD$219,"&lt;=1E+307")/2-0.5)/(COUNTIFS($G$17:$G$219,"入池",$AD$17:$AD$219,"&gt;=-1E+307",$AD$17:$AD$219,"&lt;=1E+307")-1),2)))</x:f>
        <x:v>16.92</x:v>
      </x:c>
      <x:c r="AH94" s="17" t="n">
        <x:f>IF(OR($G94&lt;&gt;"入池",NOT(ISNUMBER(AF94))),"",IF(COUNTIFS($G$17:$G$219,"入池",$AF$17:$AF$219,"&gt;=-1E+307",$AF$17:$AF$219,"&lt;=1E+307")&lt;=1,100,ROUND(100*(COUNTIFS($G$17:$G$219,"入池",$AF$17:$AF$219,"&gt;=-1E+307",$AF$17:$AF$219,"&lt;"&amp;AF94)+COUNTIFS($G$17:$G$219,"入池",$AF$17:$AF$219,AF94,$AF$17:$AF$219,"&gt;=-1E+307",$AF$17:$AF$219,"&lt;=1E+307")/2-0.5)/(COUNTIFS($G$17:$G$219,"入池",$AF$17:$AF$219,"&gt;=-1E+307",$AF$17:$AF$219,"&lt;=1E+307")-1),2)))</x:f>
        <x:v>11.68</x:v>
      </x:c>
      <x:c r="AI94" s="17" t="n">
        <x:f>IF(NOT(ISNUMBER(AG94)),"",IF(NOT(ISNUMBER(AH94)),AG94,ROUND(AG94*'sheet1-指标体系'!$J$8+AH94*'sheet1-指标体系'!$J$9,2)))</x:f>
        <x:v>14.82</x:v>
      </x:c>
      <x:c r="AJ94" s="37" t="n">
        <x:f>IF(NOT(ISNUMBER(F94)),"",IF(F94&gt;=3,IF(NOT(ISNUMBER(N94)),"",N94),IF(NOT(ISNUMBER(O94)),"",O94)))</x:f>
        <x:v>0.018600000000000002</x:v>
      </x:c>
      <x:c r="AK94" s="17" t="n">
        <x:f>IF(OR(G94&lt;&gt;"入池",NOT(ISNUMBER(M94)),NOT(ISNUMBER(AJ94))),"",IF(M94&gt;=AJ94,100,IF(AJ94-M94&lt;'sheet1-指标体系'!$J$10,80,60)))</x:f>
        <x:v>80</x:v>
      </x:c>
      <x:c r="AL94" s="17" t="n">
        <x:f>IF(COUNT(I94,K94,L94)=0,"",ROUND((IF(ISNUMBER(I94),I94*40%,0)+IF(ISNUMBER(K94),K94*30%,0)+IF(ISNUMBER(L94),L94*30%,0))/(IF(ISNUMBER(I94),40%,0)+IF(ISNUMBER(K94),30%,0)+IF(ISNUMBER(L94),30%,0)),2))</x:f>
        <x:v>54</x:v>
      </x:c>
      <x:c r="AM94" s="17" t="n">
        <x:f>IF(COUNT(Q94,R94,W94,X94)=0,"",ROUND((IF(ISNUMBER(Q94),Q94*42%,0)+IF(ISNUMBER(R94),R94*28%,0)+IF(ISNUMBER(W94),W94*18%,0)+IF(ISNUMBER(X94),X94*12%,0))/(IF(ISNUMBER(Q94),42%,0)+IF(ISNUMBER(R94),28%,0)+IF(ISNUMBER(W94),18%,0)+IF(ISNUMBER(X94),12%,0)),2))</x:f>
        <x:v>25.29</x:v>
      </x:c>
      <x:c r="AN94" s="17" t="n">
        <x:f>IF(ISNUMBER(AC94),AC94,"")</x:f>
        <x:v>14.85</x:v>
      </x:c>
      <x:c r="AO94" s="17" t="n">
        <x:f>IF(COUNT(AG94,AH94)=0,"",ROUND((IF(ISNUMBER(AG94),AG94*60%,0)+IF(ISNUMBER(AH94),AH94*40%,0))/(IF(ISNUMBER(AG94),60%,0)+IF(ISNUMBER(AH94),40%,0)),2))</x:f>
        <x:v>14.82</x:v>
      </x:c>
      <x:c r="AP94" s="17" t="n">
        <x:f>IF(ISNUMBER(AK94),AK94,"")</x:f>
        <x:v>80</x:v>
      </x:c>
      <x:c r="AQ94" s="39" t="n">
        <x:f>IF(G94&lt;&gt;"入池",0,IF(ISNUMBER(I94),6%,0)+IF(ISNUMBER(K94),4.5%,0)+IF(ISNUMBER(L94),4.5%,0)+IF(ISNUMBER(Q94),8.4%,0)+IF(ISNUMBER(R94),5.6%,0)+IF(ISNUMBER(W94),3.6%,0)+IF(ISNUMBER(X94),2.4%,0)+IF(ISNUMBER(AC94),25%,0)+IF(ISNUMBER(AG94),18%,0)+IF(ISNUMBER(AH94),12%,0)+IF(ISNUMBER(AK94),10%,0))</x:f>
        <x:v>1</x:v>
      </x:c>
      <x:c r="AR94" s="17" t="n">
        <x:f>IF(AQ94=0,"",IF(ISNUMBER(I94),I94*6%,0)+IF(ISNUMBER(K94),K94*4.5%,0)+IF(ISNUMBER(L94),L94*4.5%,0)+IF(ISNUMBER(Q94),Q94*8.4%,0)+IF(ISNUMBER(R94),R94*5.6%,0)+IF(ISNUMBER(W94),W94*3.6%,0)+IF(ISNUMBER(X94),X94*2.4%,0)+IF(ISNUMBER(AC94),AC94*25%,0)+IF(ISNUMBER(AG94),AG94*18%,0)+IF(ISNUMBER(AH94),AH94*12%,0)+IF(ISNUMBER(AK94),AK94*10%,0))</x:f>
        <x:v>29.318229999999996</x:v>
      </x:c>
      <x:c r="AS94" s="17" t="n">
        <x:f>IF(AQ94=0,"",ROUND(AR94/AQ94,2))</x:f>
        <x:v>29.32</x:v>
      </x:c>
      <x:c r="AT94" s="40" t="n">
        <x:f>IF(OR(G94&lt;&gt;"入池",NOT(ISNUMBER(AS94))),"",COUNTIFS($G$17:$G$219,"入池",$AS$17:$AS$219,"&gt;"&amp;AS94)+COUNTIFS($G$17:$G$219,"入池",$AS$17:$AS$219,AS94,$AQ$17:$AQ$219,"&gt;"&amp;AQ94)+COUNTIFS($G$17:G94,"入池",$AS$17:AS94,AS94,$AQ$17:AQ94,AQ94))</x:f>
        <x:v>194</x:v>
      </x:c>
      <x:c r="AU94" s="41" t="str">
        <x:f t="shared" si="4">IF(NOT(ISNUMBER(I94)),"管理人规模；","")&amp;IF(J94="","产品规模标识；","")&amp;IF(AND(F94&lt;3,NOT(ISNUMBER(O94))),"R_incep；","")&amp;IF(NOT(ISNUMBER(N94)),"近三年收益；","")&amp;IF(NOT(ISNUMBER(U94)),"近三年胜率；","")&amp;IF(AND(ISNUMBER(V94),OR(V94&lt;0,V94&gt;1)),"胜率窗口口径不一致；","")&amp;IF(NOT(ISNUMBER(AA94)),"近三年回撤；","")&amp;IF(NOT(ISNUMBER(AD94)),"短期卡玛；","")&amp;IF(AND(ISNUMBER(P94),NOT(ISNUMBER(AE94))),"DD_long不可识别；","")</x:f>
      </x:c>
      <x:c r="AV94" s="42" t="n">
        <x:v>0</x:v>
      </x:c>
      <x:c r="AW94" s="19" t="str">
        <x:v>深圳前海晟通资产管理有限公司</x:v>
      </x:c>
      <x:c r="AX94" s="19" t="str">
        <x:v>2026-01-05</x:v>
      </x:c>
      <x:c r="AY94" s="19" t="str">
        <x:v>https://gs.amac.org.cn/amac-infodisc/res/pof/manager/1703281619108152.html</x:v>
      </x:c>
      <x:c r="AZ94" s="19" t="str">
        <x:v>晟通京华宏观对冲私募证券投资基金</x:v>
      </x:c>
      <x:c r="BA94" s="19" t="str">
        <x:v>2026-07-03</x:v>
      </x:c>
      <x:c r="BB94" s="19" t="str">
        <x:v>2026年第2季度季度更新信息</x:v>
      </x:c>
      <x:c r="BC94" s="19" t="str">
        <x:v>https://gs.amac.org.cn/amac-infodisc/res/pof/fund/2012101712107143.html</x:v>
      </x:c>
      <x:c r="BD94" s="19" t="str">
        <x:v>已匹配</x:v>
      </x:c>
      <x:c r="BE94"/>
      <x:c r="BF94"/>
    </x:row>
    <x:row r="95" ht="28" customHeight="1">
      <x:c r="A95" s="4" t="n">
        <x:v>79</x:v>
      </x:c>
      <x:c r="B95" s="15" t="str">
        <x:f>'sheet4-原始数据'!A80</x:f>
        <x:v>量客投资金选套利1号</x:v>
      </x:c>
      <x:c r="C95" s="15" t="str">
        <x:f>'sheet4-原始数据'!B80</x:f>
        <x:v>SNH457</x:v>
      </x:c>
      <x:c r="D95" s="15" t="str">
        <x:f>'sheet4-原始数据'!E80</x:f>
        <x:v>上海量客</x:v>
      </x:c>
      <x:c r="E95" s="32" t="n">
        <x:f>IF(ISNUMBER('sheet4-原始数据'!F80),'sheet4-原始数据'!F80,"")</x:f>
        <x:v>44196</x:v>
      </x:c>
      <x:c r="F95" s="17" t="n">
        <x:f>IF(NOT(ISNUMBER(E95)),"",ROUND(('sheet1-指标体系'!$J$23-E95)/365.25,4))</x:f>
        <x:v>5.7084</x:v>
      </x:c>
      <x:c r="G95" s="4" t="str">
        <x:f t="shared" si="3">IF(NOT(ISNUMBER(F95)),"",IF(F95&lt;1,"不入池","入池"))</x:f>
        <x:v>入池</x:v>
      </x:c>
      <x:c r="H95" s="33" t="str">
        <x:v>50-100亿元</x:v>
      </x:c>
      <x:c r="I95" s="17" t="n">
        <x:f>IF(H95="","",IF(ISNUMBER(SEARCH("100亿元以上",H95)),100,IF(OR(ISNUMBER(SEARCH("20-50",H95)),ISNUMBER(SEARCH("50-100",H95)),ISNUMBER(SEARCH("20-100",H95))),90,IF(ISNUMBER(SEARCH("10-20",H95)),80,IF(ISNUMBER(SEARCH("5-10",H95)),70,IF(ISNUMBER(SEARCH("0-5",H95)),60,""))))))</x:f>
        <x:v>90</x:v>
      </x:c>
      <x:c r="J95" s="34" t="str">
        <x:v>无低于1000万元标识</x:v>
      </x:c>
      <x:c r="K95" s="17" t="n">
        <x:f>IF(J95="","",IF(J95="低于1000万元",0,100))</x:f>
        <x:v>100</x:v>
      </x:c>
      <x:c r="L95" s="17" t="n">
        <x:f>IF(NOT(ISNUMBER(F95)),"",IF(F95&lt;1,"",IF(F95&lt;3,70,100)))</x:f>
        <x:v>100</x:v>
      </x:c>
      <x:c r="M95" s="35" t="n">
        <x:f>IF(ISNUMBER('sheet4-原始数据'!G80),'sheet4-原始数据'!G80,"")</x:f>
        <x:v>0.06489944933693947</x:v>
      </x:c>
      <x:c r="N95" s="35" t="n">
        <x:f>IF(ISNUMBER('sheet4-原始数据'!H80),'sheet4-原始数据'!H80,"")</x:f>
        <x:v>0.08548404872759652</x:v>
      </x:c>
      <x:c r="O95" s="36" t="n">
        <x:f>IF(ISNUMBER('sheet4-原始数据'!Q80),'sheet4-原始数据'!Q80,"")</x:f>
        <x:v>0.12828817477818122</x:v>
      </x:c>
      <x:c r="P95" s="37" t="n">
        <x:f>IF($G95&lt;&gt;"入池","",IF($F95&gt;=3,IF(OR(NOT(ISNUMBER($M95)),NOT(ISNUMBER($N95)),1+$M95&lt;=0,1+$N95&lt;0),"",((1+$N95)^3/(1+$M95))^(1/2)-1),IF(OR($F95&lt;=1,NOT(ISNUMBER($M95)),NOT(ISNUMBER($O95)),1+$M95&lt;=0,1+$O95&lt;0),"",((1+$O95)^$F95/(1+$M95))^(1/($F95-1))-1)))</x:f>
        <x:v>0.0959250844458095</x:v>
      </x:c>
      <x:c r="Q95" s="17" t="n">
        <x:f>IF(OR($G95&lt;&gt;"入池",NOT(ISNUMBER(M95))),"",IF(COUNTIFS($G$17:$G$219,"入池",$M$17:$M$219,"&gt;=-1E+307",$M$17:$M$219,"&lt;=1E+307")&lt;=1,100,ROUND(100*(COUNTIFS($G$17:$G$219,"入池",$M$17:$M$219,"&gt;=-1E+307",$M$17:$M$219,"&lt;"&amp;M95)+COUNTIFS($G$17:$G$219,"入池",$M$17:$M$219,M95,$M$17:$M$219,"&gt;=-1E+307",$M$17:$M$219,"&lt;=1E+307")/2-0.5)/(COUNTIFS($G$17:$G$219,"入池",$M$17:$M$219,"&gt;=-1E+307",$M$17:$M$219,"&lt;=1E+307")-1),2)))</x:f>
        <x:v>58.91</x:v>
      </x:c>
      <x:c r="R95" s="17" t="n">
        <x:f>IF(OR($G95&lt;&gt;"入池",NOT(ISNUMBER(P95))),"",IF(COUNTIFS($G$17:$G$219,"入池",$P$17:$P$219,"&gt;=-1E+307",$P$17:$P$219,"&lt;=1E+307")&lt;=1,100,ROUND(100*(COUNTIFS($G$17:$G$219,"入池",$P$17:$P$219,"&gt;=-1E+307",$P$17:$P$219,"&lt;"&amp;P95)+COUNTIFS($G$17:$G$219,"入池",$P$17:$P$219,P95,$P$17:$P$219,"&gt;=-1E+307",$P$17:$P$219,"&lt;=1E+307")/2-0.5)/(COUNTIFS($G$17:$G$219,"入池",$P$17:$P$219,"&gt;=-1E+307",$P$17:$P$219,"&lt;=1E+307")-1),2)))</x:f>
        <x:v>71.29</x:v>
      </x:c>
      <x:c r="S95" s="17" t="n">
        <x:f>IF(NOT(ISNUMBER(Q95)),"",IF(NOT(ISNUMBER(R95)),Q95,ROUND(Q95*'sheet1-指标体系'!$J$8+R95*'sheet1-指标体系'!$J$9,2)))</x:f>
        <x:v>63.86</x:v>
      </x:c>
      <x:c r="T95" s="35" t="n">
        <x:f>IF(ISNUMBER('sheet4-原始数据'!J80),'sheet4-原始数据'!J80,"")</x:f>
        <x:v>1</x:v>
      </x:c>
      <x:c r="U95" s="35" t="n">
        <x:f>IF(ISNUMBER('sheet4-原始数据'!I80),'sheet4-原始数据'!I80,"")</x:f>
        <x:v>0.918918918918919</x:v>
      </x:c>
      <x:c r="V95" s="37" t="n">
        <x:f>IF(OR(NOT(ISNUMBER(T95)),NOT(ISNUMBER(U95))),"",(U95*'sheet1-指标体系'!$J$6-T95*'sheet1-指标体系'!$J$5)/'sheet1-指标体系'!$J$7)</x:f>
        <x:v>0.875</x:v>
      </x:c>
      <x:c r="W95" s="17" t="n">
        <x:f>IF(NOT(ISNUMBER(T95)),"",T95*100)</x:f>
        <x:v>100</x:v>
      </x:c>
      <x:c r="X95" s="17" t="n">
        <x:f>IF($G95&lt;&gt;"入池","",IF(AND(ISNUMBER(V95),V95&gt;=0,V95&lt;=1),V95*100,IF(MAX(0,($F95-1)*12)&lt;6,100,"")))</x:f>
        <x:v>87.5</x:v>
      </x:c>
      <x:c r="Y95" s="17" t="n">
        <x:f>IF(NOT(ISNUMBER(W95)),"",IF(NOT(ISNUMBER(X95)),W95,ROUND(W95*'sheet1-指标体系'!$J$8+X95*'sheet1-指标体系'!$J$9,2)))</x:f>
        <x:v>95</x:v>
      </x:c>
      <x:c r="Z95" s="37" t="n">
        <x:f>IF(OR(NOT(ISNUMBER(M95)),NOT(ISNUMBER(AD95)),AD95=0),"",ABS(M95/AD95))</x:f>
        <x:v>0.0014807763498864146</x:v>
      </x:c>
      <x:c r="AA95" s="35" t="n">
        <x:f>IF(ISNUMBER('sheet4-原始数据'!K80),'sheet4-原始数据'!K80,"")</x:f>
        <x:v>0.0033696371622840005</x:v>
      </x:c>
      <x:c r="AB95" s="37" t="n">
        <x:f>IF(COUNT(Z95:AA95)=0,"",MAX(Z95:AA95))</x:f>
        <x:v>0.0033696371622840005</x:v>
      </x:c>
      <x:c r="AC95" s="17" t="n">
        <x:f>IF(OR($G95&lt;&gt;"入池",NOT(ISNUMBER(AB95))),"",IF(COUNTIFS($G$17:$G$219,"入池",$AB$17:$AB$219,"&gt;=-1E+307",$AB$17:$AB$219,"&lt;=1E+307")&lt;=1,100,ROUND(100*(COUNTIFS($G$17:$G$219,"入池",$AB$17:$AB$219,"&lt;=1E+307",$AB$17:$AB$219,"&gt;"&amp;AB95)+COUNTIFS($G$17:$G$219,"入池",$AB$17:$AB$219,AB95,$AB$17:$AB$219,"&gt;=-1E+307",$AB$17:$AB$219,"&lt;=1E+307")/2-0.5)/(COUNTIFS($G$17:$G$219,"入池",$AB$17:$AB$219,"&gt;=-1E+307",$AB$17:$AB$219,"&lt;=1E+307")-1),2)))</x:f>
        <x:v>97.03</x:v>
      </x:c>
      <x:c r="AD95" s="38" t="n">
        <x:f>IF(ISNUMBER('sheet4-原始数据'!M80),'sheet4-原始数据'!M80,"")</x:f>
        <x:v>43.827988839717555</x:v>
      </x:c>
      <x:c r="AE95" s="37" t="n">
        <x:f>IF(OR(NOT(ISNUMBER(P95)),NOT(ISNUMBER(AA95)),NOT(ISNUMBER(Z95))),"",IF(AA95&gt;Z95+'sheet1-指标体系'!$J$11,AA95,""))</x:f>
        <x:v>0.0033696371622840005</x:v>
      </x:c>
      <x:c r="AF95" s="17" t="n">
        <x:f>IF(OR(NOT(ISNUMBER(P95)),NOT(ISNUMBER(AE95)),AE95=0),"",P95/AE95)</x:f>
        <x:v>28.467481757231617</x:v>
      </x:c>
      <x:c r="AG95" s="17" t="n">
        <x:f>IF(OR($G95&lt;&gt;"入池",NOT(ISNUMBER(AD95))),"",IF(COUNTIFS($G$17:$G$219,"入池",$AD$17:$AD$219,"&gt;=-1E+307",$AD$17:$AD$219,"&lt;=1E+307")&lt;=1,100,ROUND(100*(COUNTIFS($G$17:$G$219,"入池",$AD$17:$AD$219,"&gt;=-1E+307",$AD$17:$AD$219,"&lt;"&amp;AD95)+COUNTIFS($G$17:$G$219,"入池",$AD$17:$AD$219,AD95,$AD$17:$AD$219,"&gt;=-1E+307",$AD$17:$AD$219,"&lt;=1E+307")/2-0.5)/(COUNTIFS($G$17:$G$219,"入池",$AD$17:$AD$219,"&gt;=-1E+307",$AD$17:$AD$219,"&lt;=1E+307")-1),2)))</x:f>
        <x:v>95.52</x:v>
      </x:c>
      <x:c r="AH95" s="17" t="n">
        <x:f>IF(OR($G95&lt;&gt;"入池",NOT(ISNUMBER(AF95))),"",IF(COUNTIFS($G$17:$G$219,"入池",$AF$17:$AF$219,"&gt;=-1E+307",$AF$17:$AF$219,"&lt;=1E+307")&lt;=1,100,ROUND(100*(COUNTIFS($G$17:$G$219,"入池",$AF$17:$AF$219,"&gt;=-1E+307",$AF$17:$AF$219,"&lt;"&amp;AF95)+COUNTIFS($G$17:$G$219,"入池",$AF$17:$AF$219,AF95,$AF$17:$AF$219,"&gt;=-1E+307",$AF$17:$AF$219,"&lt;=1E+307")/2-0.5)/(COUNTIFS($G$17:$G$219,"入池",$AF$17:$AF$219,"&gt;=-1E+307",$AF$17:$AF$219,"&lt;=1E+307")-1),2)))</x:f>
        <x:v>99.27</x:v>
      </x:c>
      <x:c r="AI95" s="17" t="n">
        <x:f>IF(NOT(ISNUMBER(AG95)),"",IF(NOT(ISNUMBER(AH95)),AG95,ROUND(AG95*'sheet1-指标体系'!$J$8+AH95*'sheet1-指标体系'!$J$9,2)))</x:f>
        <x:v>97.02</x:v>
      </x:c>
      <x:c r="AJ95" s="37" t="n">
        <x:f>IF(NOT(ISNUMBER(F95)),"",IF(F95&gt;=3,IF(NOT(ISNUMBER(N95)),"",N95),IF(NOT(ISNUMBER(O95)),"",O95)))</x:f>
        <x:v>0.08548404872759652</x:v>
      </x:c>
      <x:c r="AK95" s="17" t="n">
        <x:f>IF(OR(G95&lt;&gt;"入池",NOT(ISNUMBER(M95)),NOT(ISNUMBER(AJ95))),"",IF(M95&gt;=AJ95,100,IF(AJ95-M95&lt;'sheet1-指标体系'!$J$10,80,60)))</x:f>
        <x:v>80</x:v>
      </x:c>
      <x:c r="AL95" s="17" t="n">
        <x:f>IF(COUNT(I95,K95,L95)=0,"",ROUND((IF(ISNUMBER(I95),I95*40%,0)+IF(ISNUMBER(K95),K95*30%,0)+IF(ISNUMBER(L95),L95*30%,0))/(IF(ISNUMBER(I95),40%,0)+IF(ISNUMBER(K95),30%,0)+IF(ISNUMBER(L95),30%,0)),2))</x:f>
        <x:v>96</x:v>
      </x:c>
      <x:c r="AM95" s="17" t="n">
        <x:f>IF(COUNT(Q95,R95,W95,X95)=0,"",ROUND((IF(ISNUMBER(Q95),Q95*42%,0)+IF(ISNUMBER(R95),R95*28%,0)+IF(ISNUMBER(W95),W95*18%,0)+IF(ISNUMBER(X95),X95*12%,0))/(IF(ISNUMBER(Q95),42%,0)+IF(ISNUMBER(R95),28%,0)+IF(ISNUMBER(W95),18%,0)+IF(ISNUMBER(X95),12%,0)),2))</x:f>
        <x:v>73.2</x:v>
      </x:c>
      <x:c r="AN95" s="17" t="n">
        <x:f>IF(ISNUMBER(AC95),AC95,"")</x:f>
        <x:v>97.03</x:v>
      </x:c>
      <x:c r="AO95" s="17" t="n">
        <x:f>IF(COUNT(AG95,AH95)=0,"",ROUND((IF(ISNUMBER(AG95),AG95*60%,0)+IF(ISNUMBER(AH95),AH95*40%,0))/(IF(ISNUMBER(AG95),60%,0)+IF(ISNUMBER(AH95),40%,0)),2))</x:f>
        <x:v>97.02</x:v>
      </x:c>
      <x:c r="AP95" s="17" t="n">
        <x:f>IF(ISNUMBER(AK95),AK95,"")</x:f>
        <x:v>80</x:v>
      </x:c>
      <x:c r="AQ95" s="39" t="n">
        <x:f>IF(G95&lt;&gt;"入池",0,IF(ISNUMBER(I95),6%,0)+IF(ISNUMBER(K95),4.5%,0)+IF(ISNUMBER(L95),4.5%,0)+IF(ISNUMBER(Q95),8.4%,0)+IF(ISNUMBER(R95),5.6%,0)+IF(ISNUMBER(W95),3.6%,0)+IF(ISNUMBER(X95),2.4%,0)+IF(ISNUMBER(AC95),25%,0)+IF(ISNUMBER(AG95),18%,0)+IF(ISNUMBER(AH95),12%,0)+IF(ISNUMBER(AK95),10%,0))</x:f>
        <x:v>1</x:v>
      </x:c>
      <x:c r="AR95" s="17" t="n">
        <x:f>IF(AQ95=0,"",IF(ISNUMBER(I95),I95*6%,0)+IF(ISNUMBER(K95),K95*4.5%,0)+IF(ISNUMBER(L95),L95*4.5%,0)+IF(ISNUMBER(Q95),Q95*8.4%,0)+IF(ISNUMBER(R95),R95*5.6%,0)+IF(ISNUMBER(W95),W95*3.6%,0)+IF(ISNUMBER(X95),X95*2.4%,0)+IF(ISNUMBER(AC95),AC95*25%,0)+IF(ISNUMBER(AG95),AG95*18%,0)+IF(ISNUMBER(AH95),AH95*12%,0)+IF(ISNUMBER(AK95),AK95*10%,0))</x:f>
        <x:v>90.40418000000001</x:v>
      </x:c>
      <x:c r="AS95" s="17" t="n">
        <x:f>IF(AQ95=0,"",ROUND(AR95/AQ95,2))</x:f>
        <x:v>90.4</x:v>
      </x:c>
      <x:c r="AT95" s="40" t="n">
        <x:f>IF(OR(G95&lt;&gt;"入池",NOT(ISNUMBER(AS95))),"",COUNTIFS($G$17:$G$219,"入池",$AS$17:$AS$219,"&gt;"&amp;AS95)+COUNTIFS($G$17:$G$219,"入池",$AS$17:$AS$219,AS95,$AQ$17:$AQ$219,"&gt;"&amp;AQ95)+COUNTIFS($G$17:G95,"入池",$AS$17:AS95,AS95,$AQ$17:AQ95,AQ95))</x:f>
        <x:v>6</x:v>
      </x:c>
      <x:c r="AU95" s="41" t="str">
        <x:f t="shared" si="4">IF(NOT(ISNUMBER(I95)),"管理人规模；","")&amp;IF(J95="","产品规模标识；","")&amp;IF(AND(F95&lt;3,NOT(ISNUMBER(O95))),"R_incep；","")&amp;IF(NOT(ISNUMBER(N95)),"近三年收益；","")&amp;IF(NOT(ISNUMBER(U95)),"近三年胜率；","")&amp;IF(AND(ISNUMBER(V95),OR(V95&lt;0,V95&gt;1)),"胜率窗口口径不一致；","")&amp;IF(NOT(ISNUMBER(AA95)),"近三年回撤；","")&amp;IF(NOT(ISNUMBER(AD95)),"短期卡玛；","")&amp;IF(AND(ISNUMBER(P95),NOT(ISNUMBER(AE95))),"DD_long不可识别；","")</x:f>
      </x:c>
      <x:c r="AV95" s="42" t="n">
        <x:v>50</x:v>
      </x:c>
      <x:c r="AW95" s="19" t="str">
        <x:v>上海量客私募基金管理有限公司</x:v>
      </x:c>
      <x:c r="AX95" s="19" t="str">
        <x:v>2026-06-01</x:v>
      </x:c>
      <x:c r="AY95" s="19" t="str">
        <x:v>https://gs.amac.org.cn/amac-infodisc/res/pof/manager/101000000790.html</x:v>
      </x:c>
      <x:c r="AZ95" s="19" t="str">
        <x:v>量客投资金选套利1号私募证券投资基金</x:v>
      </x:c>
      <x:c r="BA95" s="19" t="str">
        <x:v>2025-03-06</x:v>
      </x:c>
      <x:c r="BB95" s="19"/>
      <x:c r="BC95" s="19" t="str">
        <x:v>https://gs.amac.org.cn/amac-infodisc/res/pof/fund/2101061734111873.html</x:v>
      </x:c>
      <x:c r="BD95" s="19" t="str">
        <x:v>已匹配</x:v>
      </x:c>
      <x:c r="BE95"/>
      <x:c r="BF95"/>
    </x:row>
    <x:row r="96" ht="28" customHeight="1">
      <x:c r="A96" s="4" t="n">
        <x:v>80</x:v>
      </x:c>
      <x:c r="B96" s="15" t="str">
        <x:f>'sheet4-原始数据'!A81</x:f>
        <x:v>洮利11号1期</x:v>
      </x:c>
      <x:c r="C96" s="15" t="str">
        <x:f>'sheet4-原始数据'!B81</x:f>
        <x:v>SNS371</x:v>
      </x:c>
      <x:c r="D96" s="15" t="str">
        <x:f>'sheet4-原始数据'!E81</x:f>
        <x:v>上海洮利</x:v>
      </x:c>
      <x:c r="E96" s="32" t="n">
        <x:f>IF(ISNUMBER('sheet4-原始数据'!F81),'sheet4-原始数据'!F81,"")</x:f>
        <x:v>44211</x:v>
      </x:c>
      <x:c r="F96" s="17" t="n">
        <x:f>IF(NOT(ISNUMBER(E96)),"",ROUND(('sheet1-指标体系'!$J$23-E96)/365.25,4))</x:f>
        <x:v>5.6674</x:v>
      </x:c>
      <x:c r="G96" s="4" t="str">
        <x:f t="shared" si="3">IF(NOT(ISNUMBER(F96)),"",IF(F96&lt;1,"不入池","入池"))</x:f>
        <x:v>入池</x:v>
      </x:c>
      <x:c r="H96" s="33" t="str">
        <x:v>5-10亿元</x:v>
      </x:c>
      <x:c r="I96" s="17" t="n">
        <x:f>IF(H96="","",IF(ISNUMBER(SEARCH("100亿元以上",H96)),100,IF(OR(ISNUMBER(SEARCH("20-50",H96)),ISNUMBER(SEARCH("50-100",H96)),ISNUMBER(SEARCH("20-100",H96))),90,IF(ISNUMBER(SEARCH("10-20",H96)),80,IF(ISNUMBER(SEARCH("5-10",H96)),70,IF(ISNUMBER(SEARCH("0-5",H96)),60,""))))))</x:f>
        <x:v>70</x:v>
      </x:c>
      <x:c r="J96" s="34" t="str">
        <x:v>低于1000万元</x:v>
      </x:c>
      <x:c r="K96" s="17" t="n">
        <x:f>IF(J96="","",IF(J96="低于1000万元",0,100))</x:f>
        <x:v>0</x:v>
      </x:c>
      <x:c r="L96" s="17" t="n">
        <x:f>IF(NOT(ISNUMBER(F96)),"",IF(F96&lt;1,"",IF(F96&lt;3,70,100)))</x:f>
        <x:v>100</x:v>
      </x:c>
      <x:c r="M96" s="35" t="n">
        <x:f>IF(ISNUMBER('sheet4-原始数据'!G81),'sheet4-原始数据'!G81,"")</x:f>
        <x:v>-0.22920000000000001</x:v>
      </x:c>
      <x:c r="N96" s="35" t="n">
        <x:f>IF(ISNUMBER('sheet4-原始数据'!H81),'sheet4-原始数据'!H81,"")</x:f>
        <x:v>-0.1373</x:v>
      </x:c>
      <x:c r="O96" s="36" t="str">
        <x:f>IF(ISNUMBER('sheet4-原始数据'!Q81),'sheet4-原始数据'!Q81,"")</x:f>
      </x:c>
      <x:c r="P96" s="37" t="n">
        <x:f>IF($G96&lt;&gt;"入池","",IF($F96&gt;=3,IF(OR(NOT(ISNUMBER($M96)),NOT(ISNUMBER($N96)),1+$M96&lt;=0,1+$N96&lt;0),"",((1+$N96)^3/(1+$M96))^(1/2)-1),IF(OR($F96&lt;=1,NOT(ISNUMBER($M96)),NOT(ISNUMBER($O96)),1+$M96&lt;=0,1+$O96&lt;0),"",((1+$O96)^$F96/(1+$M96))^(1/($F96-1))-1)))</x:f>
        <x:v>-0.08731934782024708</x:v>
      </x:c>
      <x:c r="Q96" s="17" t="n">
        <x:f>IF(OR($G96&lt;&gt;"入池",NOT(ISNUMBER(M96))),"",IF(COUNTIFS($G$17:$G$219,"入池",$M$17:$M$219,"&gt;=-1E+307",$M$17:$M$219,"&lt;=1E+307")&lt;=1,100,ROUND(100*(COUNTIFS($G$17:$G$219,"入池",$M$17:$M$219,"&gt;=-1E+307",$M$17:$M$219,"&lt;"&amp;M96)+COUNTIFS($G$17:$G$219,"入池",$M$17:$M$219,M96,$M$17:$M$219,"&gt;=-1E+307",$M$17:$M$219,"&lt;=1E+307")/2-0.5)/(COUNTIFS($G$17:$G$219,"入池",$M$17:$M$219,"&gt;=-1E+307",$M$17:$M$219,"&lt;=1E+307")-1),2)))</x:f>
        <x:v>1.49</x:v>
      </x:c>
      <x:c r="R96" s="17" t="n">
        <x:f>IF(OR($G96&lt;&gt;"入池",NOT(ISNUMBER(P96))),"",IF(COUNTIFS($G$17:$G$219,"入池",$P$17:$P$219,"&gt;=-1E+307",$P$17:$P$219,"&lt;=1E+307")&lt;=1,100,ROUND(100*(COUNTIFS($G$17:$G$219,"入池",$P$17:$P$219,"&gt;=-1E+307",$P$17:$P$219,"&lt;"&amp;P96)+COUNTIFS($G$17:$G$219,"入池",$P$17:$P$219,P96,$P$17:$P$219,"&gt;=-1E+307",$P$17:$P$219,"&lt;=1E+307")/2-0.5)/(COUNTIFS($G$17:$G$219,"入池",$P$17:$P$219,"&gt;=-1E+307",$P$17:$P$219,"&lt;=1E+307")-1),2)))</x:f>
        <x:v>0</x:v>
      </x:c>
      <x:c r="S96" s="17" t="n">
        <x:f>IF(NOT(ISNUMBER(Q96)),"",IF(NOT(ISNUMBER(R96)),Q96,ROUND(Q96*'sheet1-指标体系'!$J$8+R96*'sheet1-指标体系'!$J$9,2)))</x:f>
        <x:v>0.89</x:v>
      </x:c>
      <x:c r="T96" s="35" t="n">
        <x:f>IF(ISNUMBER('sheet4-原始数据'!J81),'sheet4-原始数据'!J81,"")</x:f>
        <x:v>0.5385</x:v>
      </x:c>
      <x:c r="U96" s="35" t="n">
        <x:f>IF(ISNUMBER('sheet4-原始数据'!I81),'sheet4-原始数据'!I81,"")</x:f>
        <x:v>0.4865</x:v>
      </x:c>
      <x:c r="V96" s="37" t="n">
        <x:f>IF(OR(NOT(ISNUMBER(T96)),NOT(ISNUMBER(U96))),"",(U96*'sheet1-指标体系'!$J$6-T96*'sheet1-指标体系'!$J$5)/'sheet1-指标体系'!$J$7)</x:f>
        <x:v>0.4583333333333333</x:v>
      </x:c>
      <x:c r="W96" s="17" t="n">
        <x:f>IF(NOT(ISNUMBER(T96)),"",T96*100)</x:f>
        <x:v>53.849999999999994</x:v>
      </x:c>
      <x:c r="X96" s="17" t="n">
        <x:f>IF($G96&lt;&gt;"入池","",IF(AND(ISNUMBER(V96),V96&gt;=0,V96&lt;=1),V96*100,IF(MAX(0,($F96-1)*12)&lt;6,100,"")))</x:f>
        <x:v>45.83333333333333</x:v>
      </x:c>
      <x:c r="Y96" s="17" t="n">
        <x:f>IF(NOT(ISNUMBER(W96)),"",IF(NOT(ISNUMBER(X96)),W96,ROUND(W96*'sheet1-指标体系'!$J$8+X96*'sheet1-指标体系'!$J$9,2)))</x:f>
        <x:v>50.64</x:v>
      </x:c>
      <x:c r="Z96" s="37" t="n">
        <x:f>IF(OR(NOT(ISNUMBER(M96)),NOT(ISNUMBER(AD96)),AD96=0),"",ABS(M96/AD96))</x:f>
        <x:v>0.38959714431412545</x:v>
      </x:c>
      <x:c r="AA96" s="35" t="n">
        <x:f>IF(ISNUMBER('sheet4-原始数据'!K81),'sheet4-原始数据'!K81,"")</x:f>
        <x:v>0.3909</x:v>
      </x:c>
      <x:c r="AB96" s="37" t="n">
        <x:f>IF(COUNT(Z96:AA96)=0,"",MAX(Z96:AA96))</x:f>
        <x:v>0.3909</x:v>
      </x:c>
      <x:c r="AC96" s="17" t="n">
        <x:f>IF(OR($G96&lt;&gt;"入池",NOT(ISNUMBER(AB96))),"",IF(COUNTIFS($G$17:$G$219,"入池",$AB$17:$AB$219,"&gt;=-1E+307",$AB$17:$AB$219,"&lt;=1E+307")&lt;=1,100,ROUND(100*(COUNTIFS($G$17:$G$219,"入池",$AB$17:$AB$219,"&lt;=1E+307",$AB$17:$AB$219,"&gt;"&amp;AB96)+COUNTIFS($G$17:$G$219,"入池",$AB$17:$AB$219,AB96,$AB$17:$AB$219,"&gt;=-1E+307",$AB$17:$AB$219,"&lt;=1E+307")/2-0.5)/(COUNTIFS($G$17:$G$219,"入池",$AB$17:$AB$219,"&gt;=-1E+307",$AB$17:$AB$219,"&lt;=1E+307")-1),2)))</x:f>
        <x:v>0.99</x:v>
      </x:c>
      <x:c r="AD96" s="38" t="n">
        <x:f>IF(ISNUMBER('sheet4-原始数据'!M81),'sheet4-原始数据'!M81,"")</x:f>
        <x:v>-0.5883</x:v>
      </x:c>
      <x:c r="AE96" s="37" t="n">
        <x:f t="shared" ref="AE96:AE126" si="5">IF(OR(NOT(ISNUMBER(P96)),NOT(ISNUMBER(AA96)),NOT(ISNUMBER(Z96))),"",IF(AA96&gt;Z96+'sheet1-指标体系'!$J$11,AA96,""))</x:f>
        <x:v>0.3909</x:v>
      </x:c>
      <x:c r="AF96" s="17" t="n">
        <x:f>IF(OR(NOT(ISNUMBER(P96)),NOT(ISNUMBER(AE96)),AE96=0),"",P96/AE96)</x:f>
        <x:v>-0.2233802707092532</x:v>
      </x:c>
      <x:c r="AG96" s="17" t="n">
        <x:f>IF(OR($G96&lt;&gt;"入池",NOT(ISNUMBER(AD96))),"",IF(COUNTIFS($G$17:$G$219,"入池",$AD$17:$AD$219,"&gt;=-1E+307",$AD$17:$AD$219,"&lt;=1E+307")&lt;=1,100,ROUND(100*(COUNTIFS($G$17:$G$219,"入池",$AD$17:$AD$219,"&gt;=-1E+307",$AD$17:$AD$219,"&lt;"&amp;AD96)+COUNTIFS($G$17:$G$219,"入池",$AD$17:$AD$219,AD96,$AD$17:$AD$219,"&gt;=-1E+307",$AD$17:$AD$219,"&lt;=1E+307")/2-0.5)/(COUNTIFS($G$17:$G$219,"入池",$AD$17:$AD$219,"&gt;=-1E+307",$AD$17:$AD$219,"&lt;=1E+307")-1),2)))</x:f>
        <x:v>6.97</x:v>
      </x:c>
      <x:c r="AH96" s="17" t="n">
        <x:f>IF(OR($G96&lt;&gt;"入池",NOT(ISNUMBER(AF96))),"",IF(COUNTIFS($G$17:$G$219,"入池",$AF$17:$AF$219,"&gt;=-1E+307",$AF$17:$AF$219,"&lt;=1E+307")&lt;=1,100,ROUND(100*(COUNTIFS($G$17:$G$219,"入池",$AF$17:$AF$219,"&gt;=-1E+307",$AF$17:$AF$219,"&lt;"&amp;AF96)+COUNTIFS($G$17:$G$219,"入池",$AF$17:$AF$219,AF96,$AF$17:$AF$219,"&gt;=-1E+307",$AF$17:$AF$219,"&lt;=1E+307")/2-0.5)/(COUNTIFS($G$17:$G$219,"入池",$AF$17:$AF$219,"&gt;=-1E+307",$AF$17:$AF$219,"&lt;=1E+307")-1),2)))</x:f>
        <x:v>0</x:v>
      </x:c>
      <x:c r="AI96" s="17" t="n">
        <x:f>IF(NOT(ISNUMBER(AG96)),"",IF(NOT(ISNUMBER(AH96)),AG96,ROUND(AG96*'sheet1-指标体系'!$J$8+AH96*'sheet1-指标体系'!$J$9,2)))</x:f>
        <x:v>4.18</x:v>
      </x:c>
      <x:c r="AJ96" s="37" t="n">
        <x:f>IF(NOT(ISNUMBER(F96)),"",IF(F96&gt;=3,IF(NOT(ISNUMBER(N96)),"",N96),IF(NOT(ISNUMBER(O96)),"",O96)))</x:f>
        <x:v>-0.1373</x:v>
      </x:c>
      <x:c r="AK96" s="17" t="n">
        <x:f>IF(OR(G96&lt;&gt;"入池",NOT(ISNUMBER(M96)),NOT(ISNUMBER(AJ96))),"",IF(M96&gt;=AJ96,100,IF(AJ96-M96&lt;'sheet1-指标体系'!$J$10,80,60)))</x:f>
        <x:v>80</x:v>
      </x:c>
      <x:c r="AL96" s="17" t="n">
        <x:f>IF(COUNT(I96,K96,L96)=0,"",ROUND((IF(ISNUMBER(I96),I96*40%,0)+IF(ISNUMBER(K96),K96*30%,0)+IF(ISNUMBER(L96),L96*30%,0))/(IF(ISNUMBER(I96),40%,0)+IF(ISNUMBER(K96),30%,0)+IF(ISNUMBER(L96),30%,0)),2))</x:f>
        <x:v>58</x:v>
      </x:c>
      <x:c r="AM96" s="17" t="n">
        <x:f>IF(COUNT(Q96,R96,W96,X96)=0,"",ROUND((IF(ISNUMBER(Q96),Q96*42%,0)+IF(ISNUMBER(R96),R96*28%,0)+IF(ISNUMBER(W96),W96*18%,0)+IF(ISNUMBER(X96),X96*12%,0))/(IF(ISNUMBER(Q96),42%,0)+IF(ISNUMBER(R96),28%,0)+IF(ISNUMBER(W96),18%,0)+IF(ISNUMBER(X96),12%,0)),2))</x:f>
        <x:v>15.82</x:v>
      </x:c>
      <x:c r="AN96" s="17" t="n">
        <x:f>IF(ISNUMBER(AC96),AC96,"")</x:f>
        <x:v>0.99</x:v>
      </x:c>
      <x:c r="AO96" s="17" t="n">
        <x:f>IF(COUNT(AG96,AH96)=0,"",ROUND((IF(ISNUMBER(AG96),AG96*60%,0)+IF(ISNUMBER(AH96),AH96*40%,0))/(IF(ISNUMBER(AG96),60%,0)+IF(ISNUMBER(AH96),40%,0)),2))</x:f>
        <x:v>4.18</x:v>
      </x:c>
      <x:c r="AP96" s="17" t="n">
        <x:f>IF(ISNUMBER(AK96),AK96,"")</x:f>
        <x:v>80</x:v>
      </x:c>
      <x:c r="AQ96" s="39" t="n">
        <x:f>IF(G96&lt;&gt;"入池",0,IF(ISNUMBER(I96),6%,0)+IF(ISNUMBER(K96),4.5%,0)+IF(ISNUMBER(L96),4.5%,0)+IF(ISNUMBER(Q96),8.4%,0)+IF(ISNUMBER(R96),5.6%,0)+IF(ISNUMBER(W96),3.6%,0)+IF(ISNUMBER(X96),2.4%,0)+IF(ISNUMBER(AC96),25%,0)+IF(ISNUMBER(AG96),18%,0)+IF(ISNUMBER(AH96),12%,0)+IF(ISNUMBER(AK96),10%,0))</x:f>
        <x:v>1</x:v>
      </x:c>
      <x:c r="AR96" s="17" t="n">
        <x:f>IF(AQ96=0,"",IF(ISNUMBER(I96),I96*6%,0)+IF(ISNUMBER(K96),K96*4.5%,0)+IF(ISNUMBER(L96),L96*4.5%,0)+IF(ISNUMBER(Q96),Q96*8.4%,0)+IF(ISNUMBER(R96),R96*5.6%,0)+IF(ISNUMBER(W96),W96*3.6%,0)+IF(ISNUMBER(X96),X96*2.4%,0)+IF(ISNUMBER(AC96),AC96*25%,0)+IF(ISNUMBER(AG96),AG96*18%,0)+IF(ISNUMBER(AH96),AH96*12%,0)+IF(ISNUMBER(AK96),AK96*10%,0))</x:f>
        <x:v>21.365859999999998</x:v>
      </x:c>
      <x:c r="AS96" s="17" t="n">
        <x:f>IF(AQ96=0,"",ROUND(AR96/AQ96,2))</x:f>
        <x:v>21.37</x:v>
      </x:c>
      <x:c r="AT96" s="40" t="n">
        <x:f>IF(OR(G96&lt;&gt;"入池",NOT(ISNUMBER(AS96))),"",COUNTIFS($G$17:$G$219,"入池",$AS$17:$AS$219,"&gt;"&amp;AS96)+COUNTIFS($G$17:$G$219,"入池",$AS$17:$AS$219,AS96,$AQ$17:$AQ$219,"&gt;"&amp;AQ96)+COUNTIFS($G$17:G96,"入池",$AS$17:AS96,AS96,$AQ$17:AQ96,AQ96))</x:f>
        <x:v>202</x:v>
      </x:c>
      <x:c r="AU96" s="41" t="str">
        <x:f t="shared" si="4">IF(NOT(ISNUMBER(I96)),"管理人规模；","")&amp;IF(J96="","产品规模标识；","")&amp;IF(AND(F96&lt;3,NOT(ISNUMBER(O96))),"R_incep；","")&amp;IF(NOT(ISNUMBER(N96)),"近三年收益；","")&amp;IF(NOT(ISNUMBER(U96)),"近三年胜率；","")&amp;IF(AND(ISNUMBER(V96),OR(V96&lt;0,V96&gt;1)),"胜率窗口口径不一致；","")&amp;IF(NOT(ISNUMBER(AA96)),"近三年回撤；","")&amp;IF(NOT(ISNUMBER(AD96)),"短期卡玛；","")&amp;IF(AND(ISNUMBER(P96),NOT(ISNUMBER(AE96))),"DD_long不可识别；","")</x:f>
      </x:c>
      <x:c r="AV96" s="42" t="n">
        <x:v>5</x:v>
      </x:c>
      <x:c r="AW96" s="19" t="str">
        <x:v>上海洮利私募基金管理有限公司</x:v>
      </x:c>
      <x:c r="AX96" s="19" t="str">
        <x:v>2026-05-20</x:v>
      </x:c>
      <x:c r="AY96" s="19" t="str">
        <x:v>https://gs.amac.org.cn/amac-infodisc/res/pof/manager/1905071402101724.html</x:v>
      </x:c>
      <x:c r="AZ96" s="19" t="str">
        <x:v>洮利11号1期私募证券投资基金</x:v>
      </x:c>
      <x:c r="BA96" s="19" t="str">
        <x:v>2022-08-01</x:v>
      </x:c>
      <x:c r="BB96" s="19" t="str">
        <x:v>2026年第2季度季度更新信息</x:v>
      </x:c>
      <x:c r="BC96" s="19" t="str">
        <x:v>https://gs.amac.org.cn/amac-infodisc/res/pof/fund/2101201950101722.html</x:v>
      </x:c>
      <x:c r="BD96" s="19" t="str">
        <x:v>已匹配</x:v>
      </x:c>
      <x:c r="BE96"/>
      <x:c r="BF96"/>
    </x:row>
    <x:row r="97" ht="28" customHeight="1">
      <x:c r="A97" s="4" t="n">
        <x:v>81</x:v>
      </x:c>
      <x:c r="B97" s="15" t="str">
        <x:f>'sheet4-原始数据'!A82</x:f>
        <x:v>悬铃稳健1号</x:v>
      </x:c>
      <x:c r="C97" s="15" t="str">
        <x:f>'sheet4-原始数据'!B82</x:f>
        <x:v>SVB806</x:v>
      </x:c>
      <x:c r="D97" s="15" t="str">
        <x:f>'sheet4-原始数据'!E82</x:f>
        <x:v>上海悬铃</x:v>
      </x:c>
      <x:c r="E97" s="32" t="n">
        <x:f>IF(ISNUMBER('sheet4-原始数据'!F82),'sheet4-原始数据'!F82,"")</x:f>
        <x:v>44608</x:v>
      </x:c>
      <x:c r="F97" s="17" t="n">
        <x:f>IF(NOT(ISNUMBER(E97)),"",ROUND(('sheet1-指标体系'!$J$23-E97)/365.25,4))</x:f>
        <x:v>4.5804</x:v>
      </x:c>
      <x:c r="G97" s="4" t="str">
        <x:f t="shared" si="3">IF(NOT(ISNUMBER(F97)),"",IF(F97&lt;1,"不入池","入池"))</x:f>
        <x:v>入池</x:v>
      </x:c>
      <x:c r="H97" s="33" t="str">
        <x:v>20-50亿元</x:v>
      </x:c>
      <x:c r="I97" s="17" t="n">
        <x:f>IF(H97="","",IF(ISNUMBER(SEARCH("100亿元以上",H97)),100,IF(OR(ISNUMBER(SEARCH("20-50",H97)),ISNUMBER(SEARCH("50-100",H97)),ISNUMBER(SEARCH("20-100",H97))),90,IF(ISNUMBER(SEARCH("10-20",H97)),80,IF(ISNUMBER(SEARCH("5-10",H97)),70,IF(ISNUMBER(SEARCH("0-5",H97)),60,""))))))</x:f>
        <x:v>90</x:v>
      </x:c>
      <x:c r="J97" s="34" t="str">
        <x:v>低于1000万元</x:v>
      </x:c>
      <x:c r="K97" s="17" t="n">
        <x:f>IF(J97="","",IF(J97="低于1000万元",0,100))</x:f>
        <x:v>0</x:v>
      </x:c>
      <x:c r="L97" s="17" t="n">
        <x:f>IF(NOT(ISNUMBER(F97)),"",IF(F97&lt;1,"",IF(F97&lt;3,70,100)))</x:f>
        <x:v>100</x:v>
      </x:c>
      <x:c r="M97" s="35" t="n">
        <x:f>IF(ISNUMBER('sheet4-原始数据'!G82),'sheet4-原始数据'!G82,"")</x:f>
        <x:v>-0.0292</x:v>
      </x:c>
      <x:c r="N97" s="35" t="n">
        <x:f>IF(ISNUMBER('sheet4-原始数据'!H82),'sheet4-原始数据'!H82,"")</x:f>
        <x:v>0.0398</x:v>
      </x:c>
      <x:c r="O97" s="36" t="str">
        <x:f>IF(ISNUMBER('sheet4-原始数据'!Q82),'sheet4-原始数据'!Q82,"")</x:f>
      </x:c>
      <x:c r="P97" s="37" t="n">
        <x:f>IF($G97&lt;&gt;"入池","",IF($F97&gt;=3,IF(OR(NOT(ISNUMBER($M97)),NOT(ISNUMBER($N97)),1+$M97&lt;=0,1+$N97&lt;0),"",((1+$N97)^3/(1+$M97))^(1/2)-1),IF(OR($F97&lt;=1,NOT(ISNUMBER($M97)),NOT(ISNUMBER($O97)),1+$M97&lt;=0,1+$O97&lt;0),"",((1+$O97)^$F97/(1+$M97))^(1/($F97-1))-1)))</x:f>
        <x:v>0.07611785134697935</x:v>
      </x:c>
      <x:c r="Q97" s="17" t="n">
        <x:f>IF(OR($G97&lt;&gt;"入池",NOT(ISNUMBER(M97))),"",IF(COUNTIFS($G$17:$G$219,"入池",$M$17:$M$219,"&gt;=-1E+307",$M$17:$M$219,"&lt;=1E+307")&lt;=1,100,ROUND(100*(COUNTIFS($G$17:$G$219,"入池",$M$17:$M$219,"&gt;=-1E+307",$M$17:$M$219,"&lt;"&amp;M97)+COUNTIFS($G$17:$G$219,"入池",$M$17:$M$219,M97,$M$17:$M$219,"&gt;=-1E+307",$M$17:$M$219,"&lt;=1E+307")/2-0.5)/(COUNTIFS($G$17:$G$219,"入池",$M$17:$M$219,"&gt;=-1E+307",$M$17:$M$219,"&lt;=1E+307")-1),2)))</x:f>
        <x:v>10.89</x:v>
      </x:c>
      <x:c r="R97" s="17" t="n">
        <x:f>IF(OR($G97&lt;&gt;"入池",NOT(ISNUMBER(P97))),"",IF(COUNTIFS($G$17:$G$219,"入池",$P$17:$P$219,"&gt;=-1E+307",$P$17:$P$219,"&lt;=1E+307")&lt;=1,100,ROUND(100*(COUNTIFS($G$17:$G$219,"入池",$P$17:$P$219,"&gt;=-1E+307",$P$17:$P$219,"&lt;"&amp;P97)+COUNTIFS($G$17:$G$219,"入池",$P$17:$P$219,P97,$P$17:$P$219,"&gt;=-1E+307",$P$17:$P$219,"&lt;=1E+307")/2-0.5)/(COUNTIFS($G$17:$G$219,"入池",$P$17:$P$219,"&gt;=-1E+307",$P$17:$P$219,"&lt;=1E+307")-1),2)))</x:f>
        <x:v>61.88</x:v>
      </x:c>
      <x:c r="S97" s="17" t="n">
        <x:f>IF(NOT(ISNUMBER(Q97)),"",IF(NOT(ISNUMBER(R97)),Q97,ROUND(Q97*'sheet1-指标体系'!$J$8+R97*'sheet1-指标体系'!$J$9,2)))</x:f>
        <x:v>31.29</x:v>
      </x:c>
      <x:c r="T97" s="35" t="n">
        <x:f>IF(ISNUMBER('sheet4-原始数据'!J82),'sheet4-原始数据'!J82,"")</x:f>
        <x:v>0.46149999999999997</x:v>
      </x:c>
      <x:c r="U97" s="35" t="n">
        <x:f>IF(ISNUMBER('sheet4-原始数据'!I82),'sheet4-原始数据'!I82,"")</x:f>
        <x:v>0.5676</x:v>
      </x:c>
      <x:c r="V97" s="37" t="n">
        <x:f>IF(OR(NOT(ISNUMBER(T97)),NOT(ISNUMBER(U97))),"",(U97*'sheet1-指标体系'!$J$6-T97*'sheet1-指标体系'!$J$5)/'sheet1-指标体系'!$J$7)</x:f>
        <x:v>0.6250708333333334</x:v>
      </x:c>
      <x:c r="W97" s="17" t="n">
        <x:f>IF(NOT(ISNUMBER(T97)),"",T97*100)</x:f>
        <x:v>46.15</x:v>
      </x:c>
      <x:c r="X97" s="17" t="n">
        <x:f>IF($G97&lt;&gt;"入池","",IF(AND(ISNUMBER(V97),V97&gt;=0,V97&lt;=1),V97*100,IF(MAX(0,($F97-1)*12)&lt;6,100,"")))</x:f>
        <x:v>62.507083333333334</x:v>
      </x:c>
      <x:c r="Y97" s="17" t="n">
        <x:f>IF(NOT(ISNUMBER(W97)),"",IF(NOT(ISNUMBER(X97)),W97,ROUND(W97*'sheet1-指标体系'!$J$8+X97*'sheet1-指标体系'!$J$9,2)))</x:f>
        <x:v>52.69</x:v>
      </x:c>
      <x:c r="Z97" s="37" t="n">
        <x:f>IF(OR(NOT(ISNUMBER(M97)),NOT(ISNUMBER(AD97)),AD97=0),"",ABS(M97/AD97))</x:f>
        <x:v>0.05102219115848331</x:v>
      </x:c>
      <x:c r="AA97" s="35" t="n">
        <x:f>IF(ISNUMBER('sheet4-原始数据'!K82),'sheet4-原始数据'!K82,"")</x:f>
        <x:v>0.0814</x:v>
      </x:c>
      <x:c r="AB97" s="37" t="n">
        <x:f>IF(COUNT(Z97:AA97)=0,"",MAX(Z97:AA97))</x:f>
        <x:v>0.0814</x:v>
      </x:c>
      <x:c r="AC97" s="17" t="n">
        <x:f>IF(OR($G97&lt;&gt;"入池",NOT(ISNUMBER(AB97))),"",IF(COUNTIFS($G$17:$G$219,"入池",$AB$17:$AB$219,"&gt;=-1E+307",$AB$17:$AB$219,"&lt;=1E+307")&lt;=1,100,ROUND(100*(COUNTIFS($G$17:$G$219,"入池",$AB$17:$AB$219,"&lt;=1E+307",$AB$17:$AB$219,"&gt;"&amp;AB97)+COUNTIFS($G$17:$G$219,"入池",$AB$17:$AB$219,AB97,$AB$17:$AB$219,"&gt;=-1E+307",$AB$17:$AB$219,"&lt;=1E+307")/2-0.5)/(COUNTIFS($G$17:$G$219,"入池",$AB$17:$AB$219,"&gt;=-1E+307",$AB$17:$AB$219,"&lt;=1E+307")-1),2)))</x:f>
        <x:v>32.67</x:v>
      </x:c>
      <x:c r="AD97" s="38" t="n">
        <x:f>IF(ISNUMBER('sheet4-原始数据'!M82),'sheet4-原始数据'!M82,"")</x:f>
        <x:v>-0.5723</x:v>
      </x:c>
      <x:c r="AE97" s="37" t="n">
        <x:f t="shared" si="5">IF(OR(NOT(ISNUMBER(P97)),NOT(ISNUMBER(AA97)),NOT(ISNUMBER(Z97))),"",IF(AA97&gt;Z97+'sheet1-指标体系'!$J$11,AA97,""))</x:f>
        <x:v>0.0814</x:v>
      </x:c>
      <x:c r="AF97" s="17" t="n">
        <x:f>IF(OR(NOT(ISNUMBER(P97)),NOT(ISNUMBER(AE97)),AE97=0),"",P97/AE97)</x:f>
        <x:v>0.9351087389063802</x:v>
      </x:c>
      <x:c r="AG97" s="17" t="n">
        <x:f>IF(OR($G97&lt;&gt;"入池",NOT(ISNUMBER(AD97))),"",IF(COUNTIFS($G$17:$G$219,"入池",$AD$17:$AD$219,"&gt;=-1E+307",$AD$17:$AD$219,"&lt;=1E+307")&lt;=1,100,ROUND(100*(COUNTIFS($G$17:$G$219,"入池",$AD$17:$AD$219,"&gt;=-1E+307",$AD$17:$AD$219,"&lt;"&amp;AD97)+COUNTIFS($G$17:$G$219,"入池",$AD$17:$AD$219,AD97,$AD$17:$AD$219,"&gt;=-1E+307",$AD$17:$AD$219,"&lt;=1E+307")/2-0.5)/(COUNTIFS($G$17:$G$219,"入池",$AD$17:$AD$219,"&gt;=-1E+307",$AD$17:$AD$219,"&lt;=1E+307")-1),2)))</x:f>
        <x:v>7.71</x:v>
      </x:c>
      <x:c r="AH97" s="17" t="n">
        <x:f>IF(OR($G97&lt;&gt;"入池",NOT(ISNUMBER(AF97))),"",IF(COUNTIFS($G$17:$G$219,"入池",$AF$17:$AF$219,"&gt;=-1E+307",$AF$17:$AF$219,"&lt;=1E+307")&lt;=1,100,ROUND(100*(COUNTIFS($G$17:$G$219,"入池",$AF$17:$AF$219,"&gt;=-1E+307",$AF$17:$AF$219,"&lt;"&amp;AF97)+COUNTIFS($G$17:$G$219,"入池",$AF$17:$AF$219,AF97,$AF$17:$AF$219,"&gt;=-1E+307",$AF$17:$AF$219,"&lt;=1E+307")/2-0.5)/(COUNTIFS($G$17:$G$219,"入池",$AF$17:$AF$219,"&gt;=-1E+307",$AF$17:$AF$219,"&lt;=1E+307")-1),2)))</x:f>
        <x:v>39.42</x:v>
      </x:c>
      <x:c r="AI97" s="17" t="n">
        <x:f>IF(NOT(ISNUMBER(AG97)),"",IF(NOT(ISNUMBER(AH97)),AG97,ROUND(AG97*'sheet1-指标体系'!$J$8+AH97*'sheet1-指标体系'!$J$9,2)))</x:f>
        <x:v>20.39</x:v>
      </x:c>
      <x:c r="AJ97" s="37" t="n">
        <x:f>IF(NOT(ISNUMBER(F97)),"",IF(F97&gt;=3,IF(NOT(ISNUMBER(N97)),"",N97),IF(NOT(ISNUMBER(O97)),"",O97)))</x:f>
        <x:v>0.0398</x:v>
      </x:c>
      <x:c r="AK97" s="17" t="n">
        <x:f>IF(OR(G97&lt;&gt;"入池",NOT(ISNUMBER(M97)),NOT(ISNUMBER(AJ97))),"",IF(M97&gt;=AJ97,100,IF(AJ97-M97&lt;'sheet1-指标体系'!$J$10,80,60)))</x:f>
        <x:v>80</x:v>
      </x:c>
      <x:c r="AL97" s="17" t="n">
        <x:f>IF(COUNT(I97,K97,L97)=0,"",ROUND((IF(ISNUMBER(I97),I97*40%,0)+IF(ISNUMBER(K97),K97*30%,0)+IF(ISNUMBER(L97),L97*30%,0))/(IF(ISNUMBER(I97),40%,0)+IF(ISNUMBER(K97),30%,0)+IF(ISNUMBER(L97),30%,0)),2))</x:f>
        <x:v>66</x:v>
      </x:c>
      <x:c r="AM97" s="17" t="n">
        <x:f>IF(COUNT(Q97,R97,W97,X97)=0,"",ROUND((IF(ISNUMBER(Q97),Q97*42%,0)+IF(ISNUMBER(R97),R97*28%,0)+IF(ISNUMBER(W97),W97*18%,0)+IF(ISNUMBER(X97),X97*12%,0))/(IF(ISNUMBER(Q97),42%,0)+IF(ISNUMBER(R97),28%,0)+IF(ISNUMBER(W97),18%,0)+IF(ISNUMBER(X97),12%,0)),2))</x:f>
        <x:v>37.71</x:v>
      </x:c>
      <x:c r="AN97" s="17" t="n">
        <x:f>IF(ISNUMBER(AC97),AC97,"")</x:f>
        <x:v>32.67</x:v>
      </x:c>
      <x:c r="AO97" s="17" t="n">
        <x:f>IF(COUNT(AG97,AH97)=0,"",ROUND((IF(ISNUMBER(AG97),AG97*60%,0)+IF(ISNUMBER(AH97),AH97*40%,0))/(IF(ISNUMBER(AG97),60%,0)+IF(ISNUMBER(AH97),40%,0)),2))</x:f>
        <x:v>20.39</x:v>
      </x:c>
      <x:c r="AP97" s="17" t="n">
        <x:f>IF(ISNUMBER(AK97),AK97,"")</x:f>
        <x:v>80</x:v>
      </x:c>
      <x:c r="AQ97" s="39" t="n">
        <x:f>IF(G97&lt;&gt;"入池",0,IF(ISNUMBER(I97),6%,0)+IF(ISNUMBER(K97),4.5%,0)+IF(ISNUMBER(L97),4.5%,0)+IF(ISNUMBER(Q97),8.4%,0)+IF(ISNUMBER(R97),5.6%,0)+IF(ISNUMBER(W97),3.6%,0)+IF(ISNUMBER(X97),2.4%,0)+IF(ISNUMBER(AC97),25%,0)+IF(ISNUMBER(AG97),18%,0)+IF(ISNUMBER(AH97),12%,0)+IF(ISNUMBER(AK97),10%,0))</x:f>
        <x:v>1</x:v>
      </x:c>
      <x:c r="AR97" s="17" t="n">
        <x:f>IF(AQ97=0,"",IF(ISNUMBER(I97),I97*6%,0)+IF(ISNUMBER(K97),K97*4.5%,0)+IF(ISNUMBER(L97),L97*4.5%,0)+IF(ISNUMBER(Q97),Q97*8.4%,0)+IF(ISNUMBER(R97),R97*5.6%,0)+IF(ISNUMBER(W97),W97*3.6%,0)+IF(ISNUMBER(X97),X97*2.4%,0)+IF(ISNUMBER(AC97),AC97*25%,0)+IF(ISNUMBER(AG97),AG97*18%,0)+IF(ISNUMBER(AH97),AH97*12%,0)+IF(ISNUMBER(AK97),AK97*10%,0))</x:f>
        <x:v>39.727309999999996</x:v>
      </x:c>
      <x:c r="AS97" s="17" t="n">
        <x:f>IF(AQ97=0,"",ROUND(AR97/AQ97,2))</x:f>
        <x:v>39.73</x:v>
      </x:c>
      <x:c r="AT97" s="40" t="n">
        <x:f>IF(OR(G97&lt;&gt;"入池",NOT(ISNUMBER(AS97))),"",COUNTIFS($G$17:$G$219,"入池",$AS$17:$AS$219,"&gt;"&amp;AS97)+COUNTIFS($G$17:$G$219,"入池",$AS$17:$AS$219,AS97,$AQ$17:$AQ$219,"&gt;"&amp;AQ97)+COUNTIFS($G$17:G97,"入池",$AS$17:AS97,AS97,$AQ$17:AQ97,AQ97))</x:f>
        <x:v>177</x:v>
      </x:c>
      <x:c r="AU97" s="41" t="str">
        <x:f t="shared" si="4">IF(NOT(ISNUMBER(I97)),"管理人规模；","")&amp;IF(J97="","产品规模标识；","")&amp;IF(AND(F97&lt;3,NOT(ISNUMBER(O97))),"R_incep；","")&amp;IF(NOT(ISNUMBER(N97)),"近三年收益；","")&amp;IF(NOT(ISNUMBER(U97)),"近三年胜率；","")&amp;IF(AND(ISNUMBER(V97),OR(V97&lt;0,V97&gt;1)),"胜率窗口口径不一致；","")&amp;IF(NOT(ISNUMBER(AA97)),"近三年回撤；","")&amp;IF(NOT(ISNUMBER(AD97)),"短期卡玛；","")&amp;IF(AND(ISNUMBER(P97),NOT(ISNUMBER(AE97))),"DD_long不可识别；","")</x:f>
      </x:c>
      <x:c r="AV97" s="42" t="n">
        <x:v>20</x:v>
      </x:c>
      <x:c r="AW97" s="19" t="str">
        <x:v>上海悬铃私募基金管理有限公司</x:v>
      </x:c>
      <x:c r="AX97" s="19" t="str">
        <x:v>2026-07-13</x:v>
      </x:c>
      <x:c r="AY97" s="19" t="str">
        <x:v>https://gs.amac.org.cn/amac-infodisc/res/pof/manager/1701161209103763.html</x:v>
      </x:c>
      <x:c r="AZ97" s="19" t="str">
        <x:v>悬铃稳健1号私募证券投资基金</x:v>
      </x:c>
      <x:c r="BA97" s="19" t="str">
        <x:v>2022-02-17</x:v>
      </x:c>
      <x:c r="BB97" s="19" t="str">
        <x:v>2026年第2季度季度更新信息</x:v>
      </x:c>
      <x:c r="BC97" s="19" t="str">
        <x:v>https://gs.amac.org.cn/amac-infodisc/res/pof/fund/2202161802107592.html</x:v>
      </x:c>
      <x:c r="BD97" s="19" t="str">
        <x:v>已匹配</x:v>
      </x:c>
      <x:c r="BE97"/>
      <x:c r="BF97"/>
    </x:row>
    <x:row r="98" ht="28" customHeight="1">
      <x:c r="A98" s="4" t="n">
        <x:v>82</x:v>
      </x:c>
      <x:c r="B98" s="15" t="str">
        <x:f>'sheet4-原始数据'!A83</x:f>
        <x:v>时间稳健1号</x:v>
      </x:c>
      <x:c r="C98" s="15" t="str">
        <x:f>'sheet4-原始数据'!B83</x:f>
        <x:v>SZM840</x:v>
      </x:c>
      <x:c r="D98" s="15" t="str">
        <x:f>'sheet4-原始数据'!E83</x:f>
        <x:v>青岛时间</x:v>
      </x:c>
      <x:c r="E98" s="32" t="n">
        <x:f>IF(ISNUMBER('sheet4-原始数据'!F83),'sheet4-原始数据'!F83,"")</x:f>
        <x:v>44986</x:v>
      </x:c>
      <x:c r="F98" s="17" t="n">
        <x:f>IF(NOT(ISNUMBER(E98)),"",ROUND(('sheet1-指标体系'!$J$23-E98)/365.25,4))</x:f>
        <x:v>3.5455</x:v>
      </x:c>
      <x:c r="G98" s="4" t="str">
        <x:f t="shared" si="3">IF(NOT(ISNUMBER(F98)),"",IF(F98&lt;1,"不入池","入池"))</x:f>
        <x:v>入池</x:v>
      </x:c>
      <x:c r="H98" s="33" t="str">
        <x:v>0-5亿元</x:v>
      </x:c>
      <x:c r="I98" s="17" t="n">
        <x:f>IF(H98="","",IF(ISNUMBER(SEARCH("100亿元以上",H98)),100,IF(OR(ISNUMBER(SEARCH("20-50",H98)),ISNUMBER(SEARCH("50-100",H98)),ISNUMBER(SEARCH("20-100",H98))),90,IF(ISNUMBER(SEARCH("10-20",H98)),80,IF(ISNUMBER(SEARCH("5-10",H98)),70,IF(ISNUMBER(SEARCH("0-5",H98)),60,""))))))</x:f>
        <x:v>60</x:v>
      </x:c>
      <x:c r="J98" s="34" t="str">
        <x:v>无低于1000万元标识</x:v>
      </x:c>
      <x:c r="K98" s="17" t="n">
        <x:f>IF(J98="","",IF(J98="低于1000万元",0,100))</x:f>
        <x:v>100</x:v>
      </x:c>
      <x:c r="L98" s="17" t="n">
        <x:f>IF(NOT(ISNUMBER(F98)),"",IF(F98&lt;1,"",IF(F98&lt;3,70,100)))</x:f>
        <x:v>100</x:v>
      </x:c>
      <x:c r="M98" s="35" t="n">
        <x:f>IF(ISNUMBER('sheet4-原始数据'!G83),'sheet4-原始数据'!G83,"")</x:f>
        <x:v>0.2527</x:v>
      </x:c>
      <x:c r="N98" s="35" t="n">
        <x:f>IF(ISNUMBER('sheet4-原始数据'!H83),'sheet4-原始数据'!H83,"")</x:f>
        <x:v>0.327</x:v>
      </x:c>
      <x:c r="O98" s="36" t="str">
        <x:f>IF(ISNUMBER('sheet4-原始数据'!Q83),'sheet4-原始数据'!Q83,"")</x:f>
      </x:c>
      <x:c r="P98" s="37" t="n">
        <x:f>IF($G98&lt;&gt;"入池","",IF($F98&gt;=3,IF(OR(NOT(ISNUMBER($M98)),NOT(ISNUMBER($N98)),1+$M98&lt;=0,1+$N98&lt;0),"",((1+$N98)^3/(1+$M98))^(1/2)-1),IF(OR($F98&lt;=1,NOT(ISNUMBER($M98)),NOT(ISNUMBER($O98)),1+$M98&lt;=0,1+$O98&lt;0),"",((1+$O98)^$F98/(1+$M98))^(1/($F98-1))-1)))</x:f>
        <x:v>0.36578659411905967</x:v>
      </x:c>
      <x:c r="Q98" s="17" t="n">
        <x:f>IF(OR($G98&lt;&gt;"入池",NOT(ISNUMBER(M98))),"",IF(COUNTIFS($G$17:$G$219,"入池",$M$17:$M$219,"&gt;=-1E+307",$M$17:$M$219,"&lt;=1E+307")&lt;=1,100,ROUND(100*(COUNTIFS($G$17:$G$219,"入池",$M$17:$M$219,"&gt;=-1E+307",$M$17:$M$219,"&lt;"&amp;M98)+COUNTIFS($G$17:$G$219,"入池",$M$17:$M$219,M98,$M$17:$M$219,"&gt;=-1E+307",$M$17:$M$219,"&lt;=1E+307")/2-0.5)/(COUNTIFS($G$17:$G$219,"入池",$M$17:$M$219,"&gt;=-1E+307",$M$17:$M$219,"&lt;=1E+307")-1),2)))</x:f>
        <x:v>95.54</x:v>
      </x:c>
      <x:c r="R98" s="17" t="n">
        <x:f>IF(OR($G98&lt;&gt;"入池",NOT(ISNUMBER(P98))),"",IF(COUNTIFS($G$17:$G$219,"入池",$P$17:$P$219,"&gt;=-1E+307",$P$17:$P$219,"&lt;=1E+307")&lt;=1,100,ROUND(100*(COUNTIFS($G$17:$G$219,"入池",$P$17:$P$219,"&gt;=-1E+307",$P$17:$P$219,"&lt;"&amp;P98)+COUNTIFS($G$17:$G$219,"入池",$P$17:$P$219,P98,$P$17:$P$219,"&gt;=-1E+307",$P$17:$P$219,"&lt;=1E+307")/2-0.5)/(COUNTIFS($G$17:$G$219,"入池",$P$17:$P$219,"&gt;=-1E+307",$P$17:$P$219,"&lt;=1E+307")-1),2)))</x:f>
        <x:v>99.5</x:v>
      </x:c>
      <x:c r="S98" s="17" t="n">
        <x:f>IF(NOT(ISNUMBER(Q98)),"",IF(NOT(ISNUMBER(R98)),Q98,ROUND(Q98*'sheet1-指标体系'!$J$8+R98*'sheet1-指标体系'!$J$9,2)))</x:f>
        <x:v>97.12</x:v>
      </x:c>
      <x:c r="T98" s="35" t="n">
        <x:f>IF(ISNUMBER('sheet4-原始数据'!J83),'sheet4-原始数据'!J83,"")</x:f>
        <x:v>0.8462000000000001</x:v>
      </x:c>
      <x:c r="U98" s="35" t="n">
        <x:f>IF(ISNUMBER('sheet4-原始数据'!I83),'sheet4-原始数据'!I83,"")</x:f>
        <x:v>0.6215999999999999</x:v>
      </x:c>
      <x:c r="V98" s="37" t="n">
        <x:f>IF(OR(NOT(ISNUMBER(T98)),NOT(ISNUMBER(U98))),"",(U98*'sheet1-指标体系'!$J$6-T98*'sheet1-指标体系'!$J$5)/'sheet1-指标体系'!$J$7)</x:f>
        <x:v>0.49994166666666656</x:v>
      </x:c>
      <x:c r="W98" s="17" t="n">
        <x:f>IF(NOT(ISNUMBER(T98)),"",T98*100)</x:f>
        <x:v>84.62</x:v>
      </x:c>
      <x:c r="X98" s="17" t="n">
        <x:f>IF($G98&lt;&gt;"入池","",IF(AND(ISNUMBER(V98),V98&gt;=0,V98&lt;=1),V98*100,IF(MAX(0,($F98-1)*12)&lt;6,100,"")))</x:f>
        <x:v>49.99416666666666</x:v>
      </x:c>
      <x:c r="Y98" s="17" t="n">
        <x:f>IF(NOT(ISNUMBER(W98)),"",IF(NOT(ISNUMBER(X98)),W98,ROUND(W98*'sheet1-指标体系'!$J$8+X98*'sheet1-指标体系'!$J$9,2)))</x:f>
        <x:v>70.77</x:v>
      </x:c>
      <x:c r="Z98" s="37" t="n">
        <x:f>IF(OR(NOT(ISNUMBER(M98)),NOT(ISNUMBER(AD98)),AD98=0),"",ABS(M98/AD98))</x:f>
        <x:v>0.009505395920240436</x:v>
      </x:c>
      <x:c r="AA98" s="35" t="n">
        <x:f>IF(ISNUMBER('sheet4-原始数据'!K83),'sheet4-原始数据'!K83,"")</x:f>
        <x:v>0.2202</x:v>
      </x:c>
      <x:c r="AB98" s="37" t="n">
        <x:f>IF(COUNT(Z98:AA98)=0,"",MAX(Z98:AA98))</x:f>
        <x:v>0.2202</x:v>
      </x:c>
      <x:c r="AC98" s="17" t="n">
        <x:f>IF(OR($G98&lt;&gt;"入池",NOT(ISNUMBER(AB98))),"",IF(COUNTIFS($G$17:$G$219,"入池",$AB$17:$AB$219,"&gt;=-1E+307",$AB$17:$AB$219,"&lt;=1E+307")&lt;=1,100,ROUND(100*(COUNTIFS($G$17:$G$219,"入池",$AB$17:$AB$219,"&lt;=1E+307",$AB$17:$AB$219,"&gt;"&amp;AB98)+COUNTIFS($G$17:$G$219,"入池",$AB$17:$AB$219,AB98,$AB$17:$AB$219,"&gt;=-1E+307",$AB$17:$AB$219,"&lt;=1E+307")/2-0.5)/(COUNTIFS($G$17:$G$219,"入池",$AB$17:$AB$219,"&gt;=-1E+307",$AB$17:$AB$219,"&lt;=1E+307")-1),2)))</x:f>
        <x:v>7.92</x:v>
      </x:c>
      <x:c r="AD98" s="38" t="n">
        <x:f>IF(ISNUMBER('sheet4-原始数据'!M83),'sheet4-原始数据'!M83,"")</x:f>
        <x:v>26.5849</x:v>
      </x:c>
      <x:c r="AE98" s="37" t="n">
        <x:f t="shared" si="5">IF(OR(NOT(ISNUMBER(P98)),NOT(ISNUMBER(AA98)),NOT(ISNUMBER(Z98))),"",IF(AA98&gt;Z98+'sheet1-指标体系'!$J$11,AA98,""))</x:f>
        <x:v>0.2202</x:v>
      </x:c>
      <x:c r="AF98" s="17" t="n">
        <x:f>IF(OR(NOT(ISNUMBER(P98)),NOT(ISNUMBER(AE98)),AE98=0),"",P98/AE98)</x:f>
        <x:v>1.6611561949094444</x:v>
      </x:c>
      <x:c r="AG98" s="17" t="n">
        <x:f>IF(OR($G98&lt;&gt;"入池",NOT(ISNUMBER(AD98))),"",IF(COUNTIFS($G$17:$G$219,"入池",$AD$17:$AD$219,"&gt;=-1E+307",$AD$17:$AD$219,"&lt;=1E+307")&lt;=1,100,ROUND(100*(COUNTIFS($G$17:$G$219,"入池",$AD$17:$AD$219,"&gt;=-1E+307",$AD$17:$AD$219,"&lt;"&amp;AD98)+COUNTIFS($G$17:$G$219,"入池",$AD$17:$AD$219,AD98,$AD$17:$AD$219,"&gt;=-1E+307",$AD$17:$AD$219,"&lt;=1E+307")/2-0.5)/(COUNTIFS($G$17:$G$219,"入池",$AD$17:$AD$219,"&gt;=-1E+307",$AD$17:$AD$219,"&lt;=1E+307")-1),2)))</x:f>
        <x:v>91.54</x:v>
      </x:c>
      <x:c r="AH98" s="17" t="n">
        <x:f>IF(OR($G98&lt;&gt;"入池",NOT(ISNUMBER(AF98))),"",IF(COUNTIFS($G$17:$G$219,"入池",$AF$17:$AF$219,"&gt;=-1E+307",$AF$17:$AF$219,"&lt;=1E+307")&lt;=1,100,ROUND(100*(COUNTIFS($G$17:$G$219,"入池",$AF$17:$AF$219,"&gt;=-1E+307",$AF$17:$AF$219,"&lt;"&amp;AF98)+COUNTIFS($G$17:$G$219,"入池",$AF$17:$AF$219,AF98,$AF$17:$AF$219,"&gt;=-1E+307",$AF$17:$AF$219,"&lt;=1E+307")/2-0.5)/(COUNTIFS($G$17:$G$219,"入池",$AF$17:$AF$219,"&gt;=-1E+307",$AF$17:$AF$219,"&lt;=1E+307")-1),2)))</x:f>
        <x:v>59.85</x:v>
      </x:c>
      <x:c r="AI98" s="17" t="n">
        <x:f>IF(NOT(ISNUMBER(AG98)),"",IF(NOT(ISNUMBER(AH98)),AG98,ROUND(AG98*'sheet1-指标体系'!$J$8+AH98*'sheet1-指标体系'!$J$9,2)))</x:f>
        <x:v>78.86</x:v>
      </x:c>
      <x:c r="AJ98" s="37" t="n">
        <x:f>IF(NOT(ISNUMBER(F98)),"",IF(F98&gt;=3,IF(NOT(ISNUMBER(N98)),"",N98),IF(NOT(ISNUMBER(O98)),"",O98)))</x:f>
        <x:v>0.327</x:v>
      </x:c>
      <x:c r="AK98" s="17" t="n">
        <x:f>IF(OR(G98&lt;&gt;"入池",NOT(ISNUMBER(M98)),NOT(ISNUMBER(AJ98))),"",IF(M98&gt;=AJ98,100,IF(AJ98-M98&lt;'sheet1-指标体系'!$J$10,80,60)))</x:f>
        <x:v>80</x:v>
      </x:c>
      <x:c r="AL98" s="17" t="n">
        <x:f>IF(COUNT(I98,K98,L98)=0,"",ROUND((IF(ISNUMBER(I98),I98*40%,0)+IF(ISNUMBER(K98),K98*30%,0)+IF(ISNUMBER(L98),L98*30%,0))/(IF(ISNUMBER(I98),40%,0)+IF(ISNUMBER(K98),30%,0)+IF(ISNUMBER(L98),30%,0)),2))</x:f>
        <x:v>84</x:v>
      </x:c>
      <x:c r="AM98" s="17" t="n">
        <x:f>IF(COUNT(Q98,R98,W98,X98)=0,"",ROUND((IF(ISNUMBER(Q98),Q98*42%,0)+IF(ISNUMBER(R98),R98*28%,0)+IF(ISNUMBER(W98),W98*18%,0)+IF(ISNUMBER(X98),X98*12%,0))/(IF(ISNUMBER(Q98),42%,0)+IF(ISNUMBER(R98),28%,0)+IF(ISNUMBER(W98),18%,0)+IF(ISNUMBER(X98),12%,0)),2))</x:f>
        <x:v>89.22</x:v>
      </x:c>
      <x:c r="AN98" s="17" t="n">
        <x:f>IF(ISNUMBER(AC98),AC98,"")</x:f>
        <x:v>7.92</x:v>
      </x:c>
      <x:c r="AO98" s="17" t="n">
        <x:f>IF(COUNT(AG98,AH98)=0,"",ROUND((IF(ISNUMBER(AG98),AG98*60%,0)+IF(ISNUMBER(AH98),AH98*40%,0))/(IF(ISNUMBER(AG98),60%,0)+IF(ISNUMBER(AH98),40%,0)),2))</x:f>
        <x:v>78.86</x:v>
      </x:c>
      <x:c r="AP98" s="17" t="n">
        <x:f>IF(ISNUMBER(AK98),AK98,"")</x:f>
        <x:v>80</x:v>
      </x:c>
      <x:c r="AQ98" s="39" t="n">
        <x:f>IF(G98&lt;&gt;"入池",0,IF(ISNUMBER(I98),6%,0)+IF(ISNUMBER(K98),4.5%,0)+IF(ISNUMBER(L98),4.5%,0)+IF(ISNUMBER(Q98),8.4%,0)+IF(ISNUMBER(R98),5.6%,0)+IF(ISNUMBER(W98),3.6%,0)+IF(ISNUMBER(X98),2.4%,0)+IF(ISNUMBER(AC98),25%,0)+IF(ISNUMBER(AG98),18%,0)+IF(ISNUMBER(AH98),12%,0)+IF(ISNUMBER(AK98),10%,0))</x:f>
        <x:v>1</x:v>
      </x:c>
      <x:c r="AR98" s="17" t="n">
        <x:f>IF(AQ98=0,"",IF(ISNUMBER(I98),I98*6%,0)+IF(ISNUMBER(K98),K98*4.5%,0)+IF(ISNUMBER(L98),L98*4.5%,0)+IF(ISNUMBER(Q98),Q98*8.4%,0)+IF(ISNUMBER(R98),R98*5.6%,0)+IF(ISNUMBER(W98),W98*3.6%,0)+IF(ISNUMBER(X98),X98*2.4%,0)+IF(ISNUMBER(AC98),AC98*25%,0)+IF(ISNUMBER(AG98),AG98*18%,0)+IF(ISNUMBER(AH98),AH98*12%,0)+IF(ISNUMBER(AK98),AK98*10%,0))</x:f>
        <x:v>64.08274</x:v>
      </x:c>
      <x:c r="AS98" s="17" t="n">
        <x:f>IF(AQ98=0,"",ROUND(AR98/AQ98,2))</x:f>
        <x:v>64.08</x:v>
      </x:c>
      <x:c r="AT98" s="40" t="n">
        <x:f>IF(OR(G98&lt;&gt;"入池",NOT(ISNUMBER(AS98))),"",COUNTIFS($G$17:$G$219,"入池",$AS$17:$AS$219,"&gt;"&amp;AS98)+COUNTIFS($G$17:$G$219,"入池",$AS$17:$AS$219,AS98,$AQ$17:$AQ$219,"&gt;"&amp;AQ98)+COUNTIFS($G$17:G98,"入池",$AS$17:AS98,AS98,$AQ$17:AQ98,AQ98))</x:f>
        <x:v>94</x:v>
      </x:c>
      <x:c r="AU98" s="41" t="str">
        <x:f t="shared" si="4">IF(NOT(ISNUMBER(I98)),"管理人规模；","")&amp;IF(J98="","产品规模标识；","")&amp;IF(AND(F98&lt;3,NOT(ISNUMBER(O98))),"R_incep；","")&amp;IF(NOT(ISNUMBER(N98)),"近三年收益；","")&amp;IF(NOT(ISNUMBER(U98)),"近三年胜率；","")&amp;IF(AND(ISNUMBER(V98),OR(V98&lt;0,V98&gt;1)),"胜率窗口口径不一致；","")&amp;IF(NOT(ISNUMBER(AA98)),"近三年回撤；","")&amp;IF(NOT(ISNUMBER(AD98)),"短期卡玛；","")&amp;IF(AND(ISNUMBER(P98),NOT(ISNUMBER(AE98))),"DD_long不可识别；","")</x:f>
      </x:c>
      <x:c r="AV98" s="42" t="n">
        <x:v>0</x:v>
      </x:c>
      <x:c r="AW98" s="19" t="str">
        <x:v>青岛时间私募基金管理有限公司</x:v>
      </x:c>
      <x:c r="AX98" s="19" t="str">
        <x:v>2025-12-23</x:v>
      </x:c>
      <x:c r="AY98" s="19" t="str">
        <x:v>https://gs.amac.org.cn/amac-infodisc/res/pof/manager/2007291034107765.html</x:v>
      </x:c>
      <x:c r="AZ98" s="19" t="str">
        <x:v>时间稳健1号私募证券投资基金</x:v>
      </x:c>
      <x:c r="BA98" s="19" t="str">
        <x:v>2024-10-10</x:v>
      </x:c>
      <x:c r="BB98" s="19"/>
      <x:c r="BC98" s="19" t="str">
        <x:v>https://gs.amac.org.cn/amac-infodisc/res/pof/fund/2303061420106400.html</x:v>
      </x:c>
      <x:c r="BD98" s="19" t="str">
        <x:v>已匹配</x:v>
      </x:c>
      <x:c r="BE98"/>
      <x:c r="BF98"/>
    </x:row>
    <x:row r="99" ht="28" customHeight="1">
      <x:c r="A99" s="4" t="n">
        <x:v>83</x:v>
      </x:c>
      <x:c r="B99" s="15" t="str">
        <x:f>'sheet4-原始数据'!A84</x:f>
        <x:v>交叉智能-量化增强2号</x:v>
      </x:c>
      <x:c r="C99" s="15" t="str">
        <x:f>'sheet4-原始数据'!B84</x:f>
        <x:v>SZD351</x:v>
      </x:c>
      <x:c r="D99" s="15" t="str">
        <x:f>'sheet4-原始数据'!E84</x:f>
        <x:v>北京交叉智能</x:v>
      </x:c>
      <x:c r="E99" s="32" t="n">
        <x:f>IF(ISNUMBER('sheet4-原始数据'!F84),'sheet4-原始数据'!F84,"")</x:f>
        <x:v>45035</x:v>
      </x:c>
      <x:c r="F99" s="17" t="n">
        <x:f>IF(NOT(ISNUMBER(E99)),"",ROUND(('sheet1-指标体系'!$J$23-E99)/365.25,4))</x:f>
        <x:v>3.4114</x:v>
      </x:c>
      <x:c r="G99" s="4" t="str">
        <x:f t="shared" si="3">IF(NOT(ISNUMBER(F99)),"",IF(F99&lt;1,"不入池","入池"))</x:f>
        <x:v>入池</x:v>
      </x:c>
      <x:c r="H99" s="33" t="str">
        <x:v>5-10亿元</x:v>
      </x:c>
      <x:c r="I99" s="17" t="n">
        <x:f>IF(H99="","",IF(ISNUMBER(SEARCH("100亿元以上",H99)),100,IF(OR(ISNUMBER(SEARCH("20-50",H99)),ISNUMBER(SEARCH("50-100",H99)),ISNUMBER(SEARCH("20-100",H99))),90,IF(ISNUMBER(SEARCH("10-20",H99)),80,IF(ISNUMBER(SEARCH("5-10",H99)),70,IF(ISNUMBER(SEARCH("0-5",H99)),60,""))))))</x:f>
        <x:v>70</x:v>
      </x:c>
      <x:c r="J99" s="34" t="str">
        <x:v>无低于1000万元标识</x:v>
      </x:c>
      <x:c r="K99" s="17" t="n">
        <x:f>IF(J99="","",IF(J99="低于1000万元",0,100))</x:f>
        <x:v>100</x:v>
      </x:c>
      <x:c r="L99" s="17" t="n">
        <x:f>IF(NOT(ISNUMBER(F99)),"",IF(F99&lt;1,"",IF(F99&lt;3,70,100)))</x:f>
        <x:v>100</x:v>
      </x:c>
      <x:c r="M99" s="35" t="n">
        <x:f>IF(ISNUMBER('sheet4-原始数据'!G84),'sheet4-原始数据'!G84,"")</x:f>
        <x:v>0.011200000000000002</x:v>
      </x:c>
      <x:c r="N99" s="35" t="n">
        <x:f>IF(ISNUMBER('sheet4-原始数据'!H84),'sheet4-原始数据'!H84,"")</x:f>
        <x:v>0.08869999999999999</x:v>
      </x:c>
      <x:c r="O99" s="36" t="str">
        <x:f>IF(ISNUMBER('sheet4-原始数据'!Q84),'sheet4-原始数据'!Q84,"")</x:f>
      </x:c>
      <x:c r="P99" s="37" t="n">
        <x:f>IF($G99&lt;&gt;"入池","",IF($F99&gt;=3,IF(OR(NOT(ISNUMBER($M99)),NOT(ISNUMBER($N99)),1+$M99&lt;=0,1+$N99&lt;0),"",((1+$N99)^3/(1+$M99))^(1/2)-1),IF(OR($F99&lt;=1,NOT(ISNUMBER($M99)),NOT(ISNUMBER($O99)),1+$M99&lt;=0,1+$O99&lt;0),"",((1+$O99)^$F99/(1+$M99))^(1/($F99-1))-1)))</x:f>
        <x:v>0.12964973274623093</x:v>
      </x:c>
      <x:c r="Q99" s="17" t="n">
        <x:f>IF(OR($G99&lt;&gt;"入池",NOT(ISNUMBER(M99))),"",IF(COUNTIFS($G$17:$G$219,"入池",$M$17:$M$219,"&gt;=-1E+307",$M$17:$M$219,"&lt;=1E+307")&lt;=1,100,ROUND(100*(COUNTIFS($G$17:$G$219,"入池",$M$17:$M$219,"&gt;=-1E+307",$M$17:$M$219,"&lt;"&amp;M99)+COUNTIFS($G$17:$G$219,"入池",$M$17:$M$219,M99,$M$17:$M$219,"&gt;=-1E+307",$M$17:$M$219,"&lt;=1E+307")/2-0.5)/(COUNTIFS($G$17:$G$219,"入池",$M$17:$M$219,"&gt;=-1E+307",$M$17:$M$219,"&lt;=1E+307")-1),2)))</x:f>
        <x:v>23.27</x:v>
      </x:c>
      <x:c r="R99" s="17" t="n">
        <x:f>IF(OR($G99&lt;&gt;"入池",NOT(ISNUMBER(P99))),"",IF(COUNTIFS($G$17:$G$219,"入池",$P$17:$P$219,"&gt;=-1E+307",$P$17:$P$219,"&lt;=1E+307")&lt;=1,100,ROUND(100*(COUNTIFS($G$17:$G$219,"入池",$P$17:$P$219,"&gt;=-1E+307",$P$17:$P$219,"&lt;"&amp;P99)+COUNTIFS($G$17:$G$219,"入池",$P$17:$P$219,P99,$P$17:$P$219,"&gt;=-1E+307",$P$17:$P$219,"&lt;=1E+307")/2-0.5)/(COUNTIFS($G$17:$G$219,"入池",$P$17:$P$219,"&gt;=-1E+307",$P$17:$P$219,"&lt;=1E+307")-1),2)))</x:f>
        <x:v>83.66</x:v>
      </x:c>
      <x:c r="S99" s="17" t="n">
        <x:f>IF(NOT(ISNUMBER(Q99)),"",IF(NOT(ISNUMBER(R99)),Q99,ROUND(Q99*'sheet1-指标体系'!$J$8+R99*'sheet1-指标体系'!$J$9,2)))</x:f>
        <x:v>47.43</x:v>
      </x:c>
      <x:c r="T99" s="35" t="n">
        <x:f>IF(ISNUMBER('sheet4-原始数据'!J84),'sheet4-原始数据'!J84,"")</x:f>
        <x:v>0.6923</x:v>
      </x:c>
      <x:c r="U99" s="35" t="n">
        <x:f>IF(ISNUMBER('sheet4-原始数据'!I84),'sheet4-原始数据'!I84,"")</x:f>
        <x:v>0.8108</x:v>
      </x:c>
      <x:c r="V99" s="37" t="n">
        <x:f>IF(OR(NOT(ISNUMBER(T99)),NOT(ISNUMBER(U99))),"",(U99*'sheet1-指标体系'!$J$6-T99*'sheet1-指标体系'!$J$5)/'sheet1-指标体系'!$J$7)</x:f>
        <x:v>0.8749874999999999</x:v>
      </x:c>
      <x:c r="W99" s="17" t="n">
        <x:f>IF(NOT(ISNUMBER(T99)),"",T99*100)</x:f>
        <x:v>69.23</x:v>
      </x:c>
      <x:c r="X99" s="17" t="n">
        <x:f>IF($G99&lt;&gt;"入池","",IF(AND(ISNUMBER(V99),V99&gt;=0,V99&lt;=1),V99*100,IF(MAX(0,($F99-1)*12)&lt;6,100,"")))</x:f>
        <x:v>87.49874999999999</x:v>
      </x:c>
      <x:c r="Y99" s="17" t="n">
        <x:f>IF(NOT(ISNUMBER(W99)),"",IF(NOT(ISNUMBER(X99)),W99,ROUND(W99*'sheet1-指标体系'!$J$8+X99*'sheet1-指标体系'!$J$9,2)))</x:f>
        <x:v>76.54</x:v>
      </x:c>
      <x:c r="Z99" s="37" t="n">
        <x:f>IF(OR(NOT(ISNUMBER(M99)),NOT(ISNUMBER(AD99)),AD99=0),"",ABS(M99/AD99))</x:f>
        <x:v>0.03447214527546938</x:v>
      </x:c>
      <x:c r="AA99" s="35" t="n">
        <x:f>IF(ISNUMBER('sheet4-原始数据'!K84),'sheet4-原始数据'!K84,"")</x:f>
        <x:v>0.0346</x:v>
      </x:c>
      <x:c r="AB99" s="37" t="n">
        <x:f>IF(COUNT(Z99:AA99)=0,"",MAX(Z99:AA99))</x:f>
        <x:v>0.0346</x:v>
      </x:c>
      <x:c r="AC99" s="17" t="n">
        <x:f>IF(OR($G99&lt;&gt;"入池",NOT(ISNUMBER(AB99))),"",IF(COUNTIFS($G$17:$G$219,"入池",$AB$17:$AB$219,"&gt;=-1E+307",$AB$17:$AB$219,"&lt;=1E+307")&lt;=1,100,ROUND(100*(COUNTIFS($G$17:$G$219,"入池",$AB$17:$AB$219,"&lt;=1E+307",$AB$17:$AB$219,"&gt;"&amp;AB99)+COUNTIFS($G$17:$G$219,"入池",$AB$17:$AB$219,AB99,$AB$17:$AB$219,"&gt;=-1E+307",$AB$17:$AB$219,"&lt;=1E+307")/2-0.5)/(COUNTIFS($G$17:$G$219,"入池",$AB$17:$AB$219,"&gt;=-1E+307",$AB$17:$AB$219,"&lt;=1E+307")-1),2)))</x:f>
        <x:v>57.43</x:v>
      </x:c>
      <x:c r="AD99" s="38" t="n">
        <x:f>IF(ISNUMBER('sheet4-原始数据'!M84),'sheet4-原始数据'!M84,"")</x:f>
        <x:v>0.3249</x:v>
      </x:c>
      <x:c r="AE99" s="37" t="n">
        <x:f t="shared" si="5">IF(OR(NOT(ISNUMBER(P99)),NOT(ISNUMBER(AA99)),NOT(ISNUMBER(Z99))),"",IF(AA99&gt;Z99+'sheet1-指标体系'!$J$11,AA99,""))</x:f>
        <x:v>0.0346</x:v>
      </x:c>
      <x:c r="AF99" s="17" t="n">
        <x:f>IF(OR(NOT(ISNUMBER(P99)),NOT(ISNUMBER(AE99)),AE99=0),"",P99/AE99)</x:f>
        <x:v>3.7471021024922235</x:v>
      </x:c>
      <x:c r="AG99" s="17" t="n">
        <x:f>IF(OR($G99&lt;&gt;"入池",NOT(ISNUMBER(AD99))),"",IF(COUNTIFS($G$17:$G$219,"入池",$AD$17:$AD$219,"&gt;=-1E+307",$AD$17:$AD$219,"&lt;=1E+307")&lt;=1,100,ROUND(100*(COUNTIFS($G$17:$G$219,"入池",$AD$17:$AD$219,"&gt;=-1E+307",$AD$17:$AD$219,"&lt;"&amp;AD99)+COUNTIFS($G$17:$G$219,"入池",$AD$17:$AD$219,AD99,$AD$17:$AD$219,"&gt;=-1E+307",$AD$17:$AD$219,"&lt;=1E+307")/2-0.5)/(COUNTIFS($G$17:$G$219,"入池",$AD$17:$AD$219,"&gt;=-1E+307",$AD$17:$AD$219,"&lt;=1E+307")-1),2)))</x:f>
        <x:v>24.38</x:v>
      </x:c>
      <x:c r="AH99" s="17" t="n">
        <x:f>IF(OR($G99&lt;&gt;"入池",NOT(ISNUMBER(AF99))),"",IF(COUNTIFS($G$17:$G$219,"入池",$AF$17:$AF$219,"&gt;=-1E+307",$AF$17:$AF$219,"&lt;=1E+307")&lt;=1,100,ROUND(100*(COUNTIFS($G$17:$G$219,"入池",$AF$17:$AF$219,"&gt;=-1E+307",$AF$17:$AF$219,"&lt;"&amp;AF99)+COUNTIFS($G$17:$G$219,"入池",$AF$17:$AF$219,AF99,$AF$17:$AF$219,"&gt;=-1E+307",$AF$17:$AF$219,"&lt;=1E+307")/2-0.5)/(COUNTIFS($G$17:$G$219,"入池",$AF$17:$AF$219,"&gt;=-1E+307",$AF$17:$AF$219,"&lt;=1E+307")-1),2)))</x:f>
        <x:v>79.56</x:v>
      </x:c>
      <x:c r="AI99" s="17" t="n">
        <x:f>IF(NOT(ISNUMBER(AG99)),"",IF(NOT(ISNUMBER(AH99)),AG99,ROUND(AG99*'sheet1-指标体系'!$J$8+AH99*'sheet1-指标体系'!$J$9,2)))</x:f>
        <x:v>46.45</x:v>
      </x:c>
      <x:c r="AJ99" s="37" t="n">
        <x:f>IF(NOT(ISNUMBER(F99)),"",IF(F99&gt;=3,IF(NOT(ISNUMBER(N99)),"",N99),IF(NOT(ISNUMBER(O99)),"",O99)))</x:f>
        <x:v>0.08869999999999999</x:v>
      </x:c>
      <x:c r="AK99" s="17" t="n">
        <x:f>IF(OR(G99&lt;&gt;"入池",NOT(ISNUMBER(M99)),NOT(ISNUMBER(AJ99))),"",IF(M99&gt;=AJ99,100,IF(AJ99-M99&lt;'sheet1-指标体系'!$J$10,80,60)))</x:f>
        <x:v>80</x:v>
      </x:c>
      <x:c r="AL99" s="17" t="n">
        <x:f>IF(COUNT(I99,K99,L99)=0,"",ROUND((IF(ISNUMBER(I99),I99*40%,0)+IF(ISNUMBER(K99),K99*30%,0)+IF(ISNUMBER(L99),L99*30%,0))/(IF(ISNUMBER(I99),40%,0)+IF(ISNUMBER(K99),30%,0)+IF(ISNUMBER(L99),30%,0)),2))</x:f>
        <x:v>88</x:v>
      </x:c>
      <x:c r="AM99" s="17" t="n">
        <x:f>IF(COUNT(Q99,R99,W99,X99)=0,"",ROUND((IF(ISNUMBER(Q99),Q99*42%,0)+IF(ISNUMBER(R99),R99*28%,0)+IF(ISNUMBER(W99),W99*18%,0)+IF(ISNUMBER(X99),X99*12%,0))/(IF(ISNUMBER(Q99),42%,0)+IF(ISNUMBER(R99),28%,0)+IF(ISNUMBER(W99),18%,0)+IF(ISNUMBER(X99),12%,0)),2))</x:f>
        <x:v>56.16</x:v>
      </x:c>
      <x:c r="AN99" s="17" t="n">
        <x:f>IF(ISNUMBER(AC99),AC99,"")</x:f>
        <x:v>57.43</x:v>
      </x:c>
      <x:c r="AO99" s="17" t="n">
        <x:f>IF(COUNT(AG99,AH99)=0,"",ROUND((IF(ISNUMBER(AG99),AG99*60%,0)+IF(ISNUMBER(AH99),AH99*40%,0))/(IF(ISNUMBER(AG99),60%,0)+IF(ISNUMBER(AH99),40%,0)),2))</x:f>
        <x:v>46.45</x:v>
      </x:c>
      <x:c r="AP99" s="17" t="n">
        <x:f>IF(ISNUMBER(AK99),AK99,"")</x:f>
        <x:v>80</x:v>
      </x:c>
      <x:c r="AQ99" s="39" t="n">
        <x:f>IF(G99&lt;&gt;"入池",0,IF(ISNUMBER(I99),6%,0)+IF(ISNUMBER(K99),4.5%,0)+IF(ISNUMBER(L99),4.5%,0)+IF(ISNUMBER(Q99),8.4%,0)+IF(ISNUMBER(R99),5.6%,0)+IF(ISNUMBER(W99),3.6%,0)+IF(ISNUMBER(X99),2.4%,0)+IF(ISNUMBER(AC99),25%,0)+IF(ISNUMBER(AG99),18%,0)+IF(ISNUMBER(AH99),12%,0)+IF(ISNUMBER(AK99),10%,0))</x:f>
        <x:v>1</x:v>
      </x:c>
      <x:c r="AR99" s="17" t="n">
        <x:f>IF(AQ99=0,"",IF(ISNUMBER(I99),I99*6%,0)+IF(ISNUMBER(K99),K99*4.5%,0)+IF(ISNUMBER(L99),L99*4.5%,0)+IF(ISNUMBER(Q99),Q99*8.4%,0)+IF(ISNUMBER(R99),R99*5.6%,0)+IF(ISNUMBER(W99),W99*3.6%,0)+IF(ISNUMBER(X99),X99*2.4%,0)+IF(ISNUMBER(AC99),AC99*25%,0)+IF(ISNUMBER(AG99),AG99*18%,0)+IF(ISNUMBER(AH99),AH99*12%,0)+IF(ISNUMBER(AK99),AK99*10%,0))</x:f>
        <x:v>60.72498999999999</x:v>
      </x:c>
      <x:c r="AS99" s="17" t="n">
        <x:f>IF(AQ99=0,"",ROUND(AR99/AQ99,2))</x:f>
        <x:v>60.72</x:v>
      </x:c>
      <x:c r="AT99" s="40" t="n">
        <x:f>IF(OR(G99&lt;&gt;"入池",NOT(ISNUMBER(AS99))),"",COUNTIFS($G$17:$G$219,"入池",$AS$17:$AS$219,"&gt;"&amp;AS99)+COUNTIFS($G$17:$G$219,"入池",$AS$17:$AS$219,AS99,$AQ$17:$AQ$219,"&gt;"&amp;AQ99)+COUNTIFS($G$17:G99,"入池",$AS$17:AS99,AS99,$AQ$17:AQ99,AQ99))</x:f>
        <x:v>106</x:v>
      </x:c>
      <x:c r="AU99" s="41" t="str">
        <x:f t="shared" si="4">IF(NOT(ISNUMBER(I99)),"管理人规模；","")&amp;IF(J99="","产品规模标识；","")&amp;IF(AND(F99&lt;3,NOT(ISNUMBER(O99))),"R_incep；","")&amp;IF(NOT(ISNUMBER(N99)),"近三年收益；","")&amp;IF(NOT(ISNUMBER(U99)),"近三年胜率；","")&amp;IF(AND(ISNUMBER(V99),OR(V99&lt;0,V99&gt;1)),"胜率窗口口径不一致；","")&amp;IF(NOT(ISNUMBER(AA99)),"近三年回撤；","")&amp;IF(NOT(ISNUMBER(AD99)),"短期卡玛；","")&amp;IF(AND(ISNUMBER(P99),NOT(ISNUMBER(AE99))),"DD_long不可识别；","")</x:f>
      </x:c>
      <x:c r="AV99" s="42" t="n">
        <x:v>5</x:v>
      </x:c>
      <x:c r="AW99" s="19" t="str">
        <x:v>交叉智能（北京）私募基金管理有限公司</x:v>
      </x:c>
      <x:c r="AX99" s="19" t="str">
        <x:v>2025-07-15</x:v>
      </x:c>
      <x:c r="AY99" s="19" t="str">
        <x:v>https://gs.amac.org.cn/amac-infodisc/res/pof/manager/2108121438108586.html</x:v>
      </x:c>
      <x:c r="AZ99" s="19" t="str">
        <x:v>交叉智能-量化增强2号私募证券投资基金</x:v>
      </x:c>
      <x:c r="BA99" s="19" t="str">
        <x:v>2025-04-23</x:v>
      </x:c>
      <x:c r="BB99" s="19"/>
      <x:c r="BC99" s="19" t="str">
        <x:v>https://gs.amac.org.cn/amac-infodisc/res/pof/fund/2304211705109378.html</x:v>
      </x:c>
      <x:c r="BD99" s="19" t="str">
        <x:v>已匹配</x:v>
      </x:c>
      <x:c r="BE99"/>
      <x:c r="BF99"/>
    </x:row>
    <x:row r="100" ht="28" customHeight="1">
      <x:c r="A100" s="4" t="n">
        <x:v>84</x:v>
      </x:c>
      <x:c r="B100" s="15" t="str">
        <x:f>'sheet4-原始数据'!A85</x:f>
        <x:v>磬晟启晟1号</x:v>
      </x:c>
      <x:c r="C100" s="15" t="str">
        <x:f>'sheet4-原始数据'!B85</x:f>
        <x:v>SCB058</x:v>
      </x:c>
      <x:c r="D100" s="15" t="str">
        <x:f>'sheet4-原始数据'!E85</x:f>
        <x:v>上海磬晟</x:v>
      </x:c>
      <x:c r="E100" s="32" t="n">
        <x:f>IF(ISNUMBER('sheet4-原始数据'!F85),'sheet4-原始数据'!F85,"")</x:f>
        <x:v>43131</x:v>
      </x:c>
      <x:c r="F100" s="17" t="n">
        <x:f>IF(NOT(ISNUMBER(E100)),"",ROUND(('sheet1-指标体系'!$J$23-E100)/365.25,4))</x:f>
        <x:v>8.6242</x:v>
      </x:c>
      <x:c r="G100" s="4" t="str">
        <x:f t="shared" si="3">IF(NOT(ISNUMBER(F100)),"",IF(F100&lt;1,"不入池","入池"))</x:f>
        <x:v>入池</x:v>
      </x:c>
      <x:c r="H100" s="33" t="str">
        <x:v>5-10亿元</x:v>
      </x:c>
      <x:c r="I100" s="17" t="n">
        <x:f>IF(H100="","",IF(ISNUMBER(SEARCH("100亿元以上",H100)),100,IF(OR(ISNUMBER(SEARCH("20-50",H100)),ISNUMBER(SEARCH("50-100",H100)),ISNUMBER(SEARCH("20-100",H100))),90,IF(ISNUMBER(SEARCH("10-20",H100)),80,IF(ISNUMBER(SEARCH("5-10",H100)),70,IF(ISNUMBER(SEARCH("0-5",H100)),60,""))))))</x:f>
        <x:v>70</x:v>
      </x:c>
      <x:c r="J100" s="34" t="str">
        <x:v>无低于1000万元标识</x:v>
      </x:c>
      <x:c r="K100" s="17" t="n">
        <x:f>IF(J100="","",IF(J100="低于1000万元",0,100))</x:f>
        <x:v>100</x:v>
      </x:c>
      <x:c r="L100" s="17" t="n">
        <x:f>IF(NOT(ISNUMBER(F100)),"",IF(F100&lt;1,"",IF(F100&lt;3,70,100)))</x:f>
        <x:v>100</x:v>
      </x:c>
      <x:c r="M100" s="35" t="n">
        <x:f>IF(ISNUMBER('sheet4-原始数据'!G85),'sheet4-原始数据'!G85,"")</x:f>
        <x:v>-0.018000000000000002</x:v>
      </x:c>
      <x:c r="N100" s="35" t="n">
        <x:f>IF(ISNUMBER('sheet4-原始数据'!H85),'sheet4-原始数据'!H85,"")</x:f>
        <x:v>0.0024</x:v>
      </x:c>
      <x:c r="O100" s="36" t="str">
        <x:f>IF(ISNUMBER('sheet4-原始数据'!Q85),'sheet4-原始数据'!Q85,"")</x:f>
      </x:c>
      <x:c r="P100" s="37" t="n">
        <x:f>IF($G100&lt;&gt;"入池","",IF($F100&gt;=3,IF(OR(NOT(ISNUMBER($M100)),NOT(ISNUMBER($N100)),1+$M100&lt;=0,1+$N100&lt;0),"",((1+$N100)^3/(1+$M100))^(1/2)-1),IF(OR($F100&lt;=1,NOT(ISNUMBER($M100)),NOT(ISNUMBER($O100)),1+$M100&lt;=0,1+$O100&lt;0),"",((1+$O100)^$F100/(1+$M100))^(1/($F100-1))-1)))</x:f>
        <x:v>0.012758374578567544</x:v>
      </x:c>
      <x:c r="Q100" s="17" t="n">
        <x:f>IF(OR($G100&lt;&gt;"入池",NOT(ISNUMBER(M100))),"",IF(COUNTIFS($G$17:$G$219,"入池",$M$17:$M$219,"&gt;=-1E+307",$M$17:$M$219,"&lt;=1E+307")&lt;=1,100,ROUND(100*(COUNTIFS($G$17:$G$219,"入池",$M$17:$M$219,"&gt;=-1E+307",$M$17:$M$219,"&lt;"&amp;M100)+COUNTIFS($G$17:$G$219,"入池",$M$17:$M$219,M100,$M$17:$M$219,"&gt;=-1E+307",$M$17:$M$219,"&lt;=1E+307")/2-0.5)/(COUNTIFS($G$17:$G$219,"入池",$M$17:$M$219,"&gt;=-1E+307",$M$17:$M$219,"&lt;=1E+307")-1),2)))</x:f>
        <x:v>13.37</x:v>
      </x:c>
      <x:c r="R100" s="17" t="n">
        <x:f>IF(OR($G100&lt;&gt;"入池",NOT(ISNUMBER(P100))),"",IF(COUNTIFS($G$17:$G$219,"入池",$P$17:$P$219,"&gt;=-1E+307",$P$17:$P$219,"&lt;=1E+307")&lt;=1,100,ROUND(100*(COUNTIFS($G$17:$G$219,"入池",$P$17:$P$219,"&gt;=-1E+307",$P$17:$P$219,"&lt;"&amp;P100)+COUNTIFS($G$17:$G$219,"入池",$P$17:$P$219,P100,$P$17:$P$219,"&gt;=-1E+307",$P$17:$P$219,"&lt;=1E+307")/2-0.5)/(COUNTIFS($G$17:$G$219,"入池",$P$17:$P$219,"&gt;=-1E+307",$P$17:$P$219,"&lt;=1E+307")-1),2)))</x:f>
        <x:v>6.93</x:v>
      </x:c>
      <x:c r="S100" s="17" t="n">
        <x:f>IF(NOT(ISNUMBER(Q100)),"",IF(NOT(ISNUMBER(R100)),Q100,ROUND(Q100*'sheet1-指标体系'!$J$8+R100*'sheet1-指标体系'!$J$9,2)))</x:f>
        <x:v>10.79</x:v>
      </x:c>
      <x:c r="T100" s="35" t="n">
        <x:f>IF(ISNUMBER('sheet4-原始数据'!J85),'sheet4-原始数据'!J85,"")</x:f>
        <x:v>0.6154</x:v>
      </x:c>
      <x:c r="U100" s="35" t="n">
        <x:f>IF(ISNUMBER('sheet4-原始数据'!I85),'sheet4-原始数据'!I85,"")</x:f>
        <x:v>0.4595</x:v>
      </x:c>
      <x:c r="V100" s="37" t="n">
        <x:f>IF(OR(NOT(ISNUMBER(T100)),NOT(ISNUMBER(U100))),"",(U100*'sheet1-指标体系'!$J$6-T100*'sheet1-指标体系'!$J$5)/'sheet1-指标体系'!$J$7)</x:f>
        <x:v>0.3750541666666667</x:v>
      </x:c>
      <x:c r="W100" s="17" t="n">
        <x:f>IF(NOT(ISNUMBER(T100)),"",T100*100)</x:f>
        <x:v>61.53999999999999</x:v>
      </x:c>
      <x:c r="X100" s="17" t="n">
        <x:f>IF($G100&lt;&gt;"入池","",IF(AND(ISNUMBER(V100),V100&gt;=0,V100&lt;=1),V100*100,IF(MAX(0,($F100-1)*12)&lt;6,100,"")))</x:f>
        <x:v>37.50541666666667</x:v>
      </x:c>
      <x:c r="Y100" s="17" t="n">
        <x:f>IF(NOT(ISNUMBER(W100)),"",IF(NOT(ISNUMBER(X100)),W100,ROUND(W100*'sheet1-指标体系'!$J$8+X100*'sheet1-指标体系'!$J$9,2)))</x:f>
        <x:v>51.93</x:v>
      </x:c>
      <x:c r="Z100" s="37" t="n">
        <x:f>IF(OR(NOT(ISNUMBER(M100)),NOT(ISNUMBER(AD100)),AD100=0),"",ABS(M100/AD100))</x:f>
        <x:v>0.08442776735459663</x:v>
      </x:c>
      <x:c r="AA100" s="35" t="n">
        <x:f>IF(ISNUMBER('sheet4-原始数据'!K85),'sheet4-原始数据'!K85,"")</x:f>
        <x:v>0.10369999999999999</x:v>
      </x:c>
      <x:c r="AB100" s="37" t="n">
        <x:f>IF(COUNT(Z100:AA100)=0,"",MAX(Z100:AA100))</x:f>
        <x:v>0.10369999999999999</x:v>
      </x:c>
      <x:c r="AC100" s="17" t="n">
        <x:f>IF(OR($G100&lt;&gt;"入池",NOT(ISNUMBER(AB100))),"",IF(COUNTIFS($G$17:$G$219,"入池",$AB$17:$AB$219,"&gt;=-1E+307",$AB$17:$AB$219,"&lt;=1E+307")&lt;=1,100,ROUND(100*(COUNTIFS($G$17:$G$219,"入池",$AB$17:$AB$219,"&lt;=1E+307",$AB$17:$AB$219,"&gt;"&amp;AB100)+COUNTIFS($G$17:$G$219,"入池",$AB$17:$AB$219,AB100,$AB$17:$AB$219,"&gt;=-1E+307",$AB$17:$AB$219,"&lt;=1E+307")/2-0.5)/(COUNTIFS($G$17:$G$219,"入池",$AB$17:$AB$219,"&gt;=-1E+307",$AB$17:$AB$219,"&lt;=1E+307")-1),2)))</x:f>
        <x:v>25.74</x:v>
      </x:c>
      <x:c r="AD100" s="38" t="n">
        <x:f>IF(ISNUMBER('sheet4-原始数据'!M85),'sheet4-原始数据'!M85,"")</x:f>
        <x:v>-0.2132</x:v>
      </x:c>
      <x:c r="AE100" s="37" t="n">
        <x:f t="shared" si="5">IF(OR(NOT(ISNUMBER(P100)),NOT(ISNUMBER(AA100)),NOT(ISNUMBER(Z100))),"",IF(AA100&gt;Z100+'sheet1-指标体系'!$J$11,AA100,""))</x:f>
        <x:v>0.10369999999999999</x:v>
      </x:c>
      <x:c r="AF100" s="17" t="n">
        <x:f>IF(OR(NOT(ISNUMBER(P100)),NOT(ISNUMBER(AE100)),AE100=0),"",P100/AE100)</x:f>
        <x:v>0.12303157742109494</x:v>
      </x:c>
      <x:c r="AG100" s="17" t="n">
        <x:f>IF(OR($G100&lt;&gt;"入池",NOT(ISNUMBER(AD100))),"",IF(COUNTIFS($G$17:$G$219,"入池",$AD$17:$AD$219,"&gt;=-1E+307",$AD$17:$AD$219,"&lt;=1E+307")&lt;=1,100,ROUND(100*(COUNTIFS($G$17:$G$219,"入池",$AD$17:$AD$219,"&gt;=-1E+307",$AD$17:$AD$219,"&lt;"&amp;AD100)+COUNTIFS($G$17:$G$219,"入池",$AD$17:$AD$219,AD100,$AD$17:$AD$219,"&gt;=-1E+307",$AD$17:$AD$219,"&lt;=1E+307")/2-0.5)/(COUNTIFS($G$17:$G$219,"入池",$AD$17:$AD$219,"&gt;=-1E+307",$AD$17:$AD$219,"&lt;=1E+307")-1),2)))</x:f>
        <x:v>12.94</x:v>
      </x:c>
      <x:c r="AH100" s="17" t="n">
        <x:f>IF(OR($G100&lt;&gt;"入池",NOT(ISNUMBER(AF100))),"",IF(COUNTIFS($G$17:$G$219,"入池",$AF$17:$AF$219,"&gt;=-1E+307",$AF$17:$AF$219,"&lt;=1E+307")&lt;=1,100,ROUND(100*(COUNTIFS($G$17:$G$219,"入池",$AF$17:$AF$219,"&gt;=-1E+307",$AF$17:$AF$219,"&lt;"&amp;AF100)+COUNTIFS($G$17:$G$219,"入池",$AF$17:$AF$219,AF100,$AF$17:$AF$219,"&gt;=-1E+307",$AF$17:$AF$219,"&lt;=1E+307")/2-0.5)/(COUNTIFS($G$17:$G$219,"入池",$AF$17:$AF$219,"&gt;=-1E+307",$AF$17:$AF$219,"&lt;=1E+307")-1),2)))</x:f>
        <x:v>8.76</x:v>
      </x:c>
      <x:c r="AI100" s="17" t="n">
        <x:f>IF(NOT(ISNUMBER(AG100)),"",IF(NOT(ISNUMBER(AH100)),AG100,ROUND(AG100*'sheet1-指标体系'!$J$8+AH100*'sheet1-指标体系'!$J$9,2)))</x:f>
        <x:v>11.27</x:v>
      </x:c>
      <x:c r="AJ100" s="37" t="n">
        <x:f>IF(NOT(ISNUMBER(F100)),"",IF(F100&gt;=3,IF(NOT(ISNUMBER(N100)),"",N100),IF(NOT(ISNUMBER(O100)),"",O100)))</x:f>
        <x:v>0.0024</x:v>
      </x:c>
      <x:c r="AK100" s="17" t="n">
        <x:f>IF(OR(G100&lt;&gt;"入池",NOT(ISNUMBER(M100)),NOT(ISNUMBER(AJ100))),"",IF(M100&gt;=AJ100,100,IF(AJ100-M100&lt;'sheet1-指标体系'!$J$10,80,60)))</x:f>
        <x:v>80</x:v>
      </x:c>
      <x:c r="AL100" s="17" t="n">
        <x:f>IF(COUNT(I100,K100,L100)=0,"",ROUND((IF(ISNUMBER(I100),I100*40%,0)+IF(ISNUMBER(K100),K100*30%,0)+IF(ISNUMBER(L100),L100*30%,0))/(IF(ISNUMBER(I100),40%,0)+IF(ISNUMBER(K100),30%,0)+IF(ISNUMBER(L100),30%,0)),2))</x:f>
        <x:v>88</x:v>
      </x:c>
      <x:c r="AM100" s="17" t="n">
        <x:f>IF(COUNT(Q100,R100,W100,X100)=0,"",ROUND((IF(ISNUMBER(Q100),Q100*42%,0)+IF(ISNUMBER(R100),R100*28%,0)+IF(ISNUMBER(W100),W100*18%,0)+IF(ISNUMBER(X100),X100*12%,0))/(IF(ISNUMBER(Q100),42%,0)+IF(ISNUMBER(R100),28%,0)+IF(ISNUMBER(W100),18%,0)+IF(ISNUMBER(X100),12%,0)),2))</x:f>
        <x:v>23.13</x:v>
      </x:c>
      <x:c r="AN100" s="17" t="n">
        <x:f>IF(ISNUMBER(AC100),AC100,"")</x:f>
        <x:v>25.74</x:v>
      </x:c>
      <x:c r="AO100" s="17" t="n">
        <x:f>IF(COUNT(AG100,AH100)=0,"",ROUND((IF(ISNUMBER(AG100),AG100*60%,0)+IF(ISNUMBER(AH100),AH100*40%,0))/(IF(ISNUMBER(AG100),60%,0)+IF(ISNUMBER(AH100),40%,0)),2))</x:f>
        <x:v>11.27</x:v>
      </x:c>
      <x:c r="AP100" s="17" t="n">
        <x:f>IF(ISNUMBER(AK100),AK100,"")</x:f>
        <x:v>80</x:v>
      </x:c>
      <x:c r="AQ100" s="39" t="n">
        <x:f>IF(G100&lt;&gt;"入池",0,IF(ISNUMBER(I100),6%,0)+IF(ISNUMBER(K100),4.5%,0)+IF(ISNUMBER(L100),4.5%,0)+IF(ISNUMBER(Q100),8.4%,0)+IF(ISNUMBER(R100),5.6%,0)+IF(ISNUMBER(W100),3.6%,0)+IF(ISNUMBER(X100),2.4%,0)+IF(ISNUMBER(AC100),25%,0)+IF(ISNUMBER(AG100),18%,0)+IF(ISNUMBER(AH100),12%,0)+IF(ISNUMBER(AK100),10%,0))</x:f>
        <x:v>1</x:v>
      </x:c>
      <x:c r="AR100" s="17" t="n">
        <x:f>IF(AQ100=0,"",IF(ISNUMBER(I100),I100*6%,0)+IF(ISNUMBER(K100),K100*4.5%,0)+IF(ISNUMBER(L100),L100*4.5%,0)+IF(ISNUMBER(Q100),Q100*8.4%,0)+IF(ISNUMBER(R100),R100*5.6%,0)+IF(ISNUMBER(W100),W100*3.6%,0)+IF(ISNUMBER(X100),X100*2.4%,0)+IF(ISNUMBER(AC100),AC100*25%,0)+IF(ISNUMBER(AG100),AG100*18%,0)+IF(ISNUMBER(AH100),AH100*12%,0)+IF(ISNUMBER(AK100),AK100*10%,0))</x:f>
        <x:v>35.64213</x:v>
      </x:c>
      <x:c r="AS100" s="17" t="n">
        <x:f>IF(AQ100=0,"",ROUND(AR100/AQ100,2))</x:f>
        <x:v>35.64</x:v>
      </x:c>
      <x:c r="AT100" s="40" t="n">
        <x:f>IF(OR(G100&lt;&gt;"入池",NOT(ISNUMBER(AS100))),"",COUNTIFS($G$17:$G$219,"入池",$AS$17:$AS$219,"&gt;"&amp;AS100)+COUNTIFS($G$17:$G$219,"入池",$AS$17:$AS$219,AS100,$AQ$17:$AQ$219,"&gt;"&amp;AQ100)+COUNTIFS($G$17:G100,"入池",$AS$17:AS100,AS100,$AQ$17:AQ100,AQ100))</x:f>
        <x:v>182</x:v>
      </x:c>
      <x:c r="AU100" s="41" t="str">
        <x:f t="shared" si="4">IF(NOT(ISNUMBER(I100)),"管理人规模；","")&amp;IF(J100="","产品规模标识；","")&amp;IF(AND(F100&lt;3,NOT(ISNUMBER(O100))),"R_incep；","")&amp;IF(NOT(ISNUMBER(N100)),"近三年收益；","")&amp;IF(NOT(ISNUMBER(U100)),"近三年胜率；","")&amp;IF(AND(ISNUMBER(V100),OR(V100&lt;0,V100&gt;1)),"胜率窗口口径不一致；","")&amp;IF(NOT(ISNUMBER(AA100)),"近三年回撤；","")&amp;IF(NOT(ISNUMBER(AD100)),"短期卡玛；","")&amp;IF(AND(ISNUMBER(P100),NOT(ISNUMBER(AE100))),"DD_long不可识别；","")</x:f>
      </x:c>
      <x:c r="AV100" s="42" t="n">
        <x:v>5</x:v>
      </x:c>
      <x:c r="AW100" s="19" t="str">
        <x:v>上海磬晟私募基金管理有限公司</x:v>
      </x:c>
      <x:c r="AX100" s="19" t="str">
        <x:v>2025-02-05</x:v>
      </x:c>
      <x:c r="AY100" s="19" t="str">
        <x:v>https://gs.amac.org.cn/amac-infodisc/res/pof/manager/1612231709103386.html</x:v>
      </x:c>
      <x:c r="AZ100" s="19" t="str">
        <x:v>磬晟启晟1号私募证券投资基金</x:v>
      </x:c>
      <x:c r="BA100" s="19" t="str">
        <x:v>2026-08-06</x:v>
      </x:c>
      <x:c r="BB100" s="19"/>
      <x:c r="BC100" s="19" t="str">
        <x:v>https://gs.amac.org.cn/amac-infodisc/res/pof/fund/1802081849101993.html</x:v>
      </x:c>
      <x:c r="BD100" s="19" t="str">
        <x:v>已匹配</x:v>
      </x:c>
      <x:c r="BE100"/>
      <x:c r="BF100"/>
    </x:row>
    <x:row r="101" ht="28" customHeight="1">
      <x:c r="A101" s="4" t="n">
        <x:v>85</x:v>
      </x:c>
      <x:c r="B101" s="15" t="str">
        <x:f>'sheet4-原始数据'!A86</x:f>
        <x:v>悬铃瑞享C号1期</x:v>
      </x:c>
      <x:c r="C101" s="15" t="str">
        <x:f>'sheet4-原始数据'!B86</x:f>
        <x:v>SZF187</x:v>
      </x:c>
      <x:c r="D101" s="15" t="str">
        <x:f>'sheet4-原始数据'!E86</x:f>
        <x:v>上海悬铃</x:v>
      </x:c>
      <x:c r="E101" s="32" t="n">
        <x:f>IF(ISNUMBER('sheet4-原始数据'!F86),'sheet4-原始数据'!F86,"")</x:f>
        <x:v>45034</x:v>
      </x:c>
      <x:c r="F101" s="17" t="n">
        <x:f>IF(NOT(ISNUMBER(E101)),"",ROUND(('sheet1-指标体系'!$J$23-E101)/365.25,4))</x:f>
        <x:v>3.4141</x:v>
      </x:c>
      <x:c r="G101" s="4" t="str">
        <x:f t="shared" si="3">IF(NOT(ISNUMBER(F101)),"",IF(F101&lt;1,"不入池","入池"))</x:f>
        <x:v>入池</x:v>
      </x:c>
      <x:c r="H101" s="33" t="str">
        <x:v>20-50亿元</x:v>
      </x:c>
      <x:c r="I101" s="17" t="n">
        <x:f>IF(H101="","",IF(ISNUMBER(SEARCH("100亿元以上",H101)),100,IF(OR(ISNUMBER(SEARCH("20-50",H101)),ISNUMBER(SEARCH("50-100",H101)),ISNUMBER(SEARCH("20-100",H101))),90,IF(ISNUMBER(SEARCH("10-20",H101)),80,IF(ISNUMBER(SEARCH("5-10",H101)),70,IF(ISNUMBER(SEARCH("0-5",H101)),60,""))))))</x:f>
        <x:v>90</x:v>
      </x:c>
      <x:c r="J101" s="34" t="str">
        <x:v>低于1000万元</x:v>
      </x:c>
      <x:c r="K101" s="17" t="n">
        <x:f>IF(J101="","",IF(J101="低于1000万元",0,100))</x:f>
        <x:v>0</x:v>
      </x:c>
      <x:c r="L101" s="17" t="n">
        <x:f>IF(NOT(ISNUMBER(F101)),"",IF(F101&lt;1,"",IF(F101&lt;3,70,100)))</x:f>
        <x:v>100</x:v>
      </x:c>
      <x:c r="M101" s="35" t="n">
        <x:f>IF(ISNUMBER('sheet4-原始数据'!G86),'sheet4-原始数据'!G86,"")</x:f>
        <x:v>-0.1002</x:v>
      </x:c>
      <x:c r="N101" s="35" t="n">
        <x:f>IF(ISNUMBER('sheet4-原始数据'!H86),'sheet4-原始数据'!H86,"")</x:f>
        <x:v>-0.0043</x:v>
      </x:c>
      <x:c r="O101" s="36" t="str">
        <x:f>IF(ISNUMBER('sheet4-原始数据'!Q86),'sheet4-原始数据'!Q86,"")</x:f>
      </x:c>
      <x:c r="P101" s="37" t="n">
        <x:f>IF($G101&lt;&gt;"入池","",IF($F101&gt;=3,IF(OR(NOT(ISNUMBER($M101)),NOT(ISNUMBER($N101)),1+$M101&lt;=0,1+$N101&lt;0),"",((1+$N101)^3/(1+$M101))^(1/2)-1),IF(OR($F101&lt;=1,NOT(ISNUMBER($M101)),NOT(ISNUMBER($O101)),1+$M101&lt;=0,1+$O101&lt;0),"",((1+$O101)^$F101/(1+$M101))^(1/($F101-1))-1)))</x:f>
        <x:v>0.04741735665334024</x:v>
      </x:c>
      <x:c r="Q101" s="17" t="n">
        <x:f>IF(OR($G101&lt;&gt;"入池",NOT(ISNUMBER(M101))),"",IF(COUNTIFS($G$17:$G$219,"入池",$M$17:$M$219,"&gt;=-1E+307",$M$17:$M$219,"&lt;=1E+307")&lt;=1,100,ROUND(100*(COUNTIFS($G$17:$G$219,"入池",$M$17:$M$219,"&gt;=-1E+307",$M$17:$M$219,"&lt;"&amp;M101)+COUNTIFS($G$17:$G$219,"入池",$M$17:$M$219,M101,$M$17:$M$219,"&gt;=-1E+307",$M$17:$M$219,"&lt;=1E+307")/2-0.5)/(COUNTIFS($G$17:$G$219,"入池",$M$17:$M$219,"&gt;=-1E+307",$M$17:$M$219,"&lt;=1E+307")-1),2)))</x:f>
        <x:v>4.46</x:v>
      </x:c>
      <x:c r="R101" s="17" t="n">
        <x:f>IF(OR($G101&lt;&gt;"入池",NOT(ISNUMBER(P101))),"",IF(COUNTIFS($G$17:$G$219,"入池",$P$17:$P$219,"&gt;=-1E+307",$P$17:$P$219,"&lt;=1E+307")&lt;=1,100,ROUND(100*(COUNTIFS($G$17:$G$219,"入池",$P$17:$P$219,"&gt;=-1E+307",$P$17:$P$219,"&lt;"&amp;P101)+COUNTIFS($G$17:$G$219,"入池",$P$17:$P$219,P101,$P$17:$P$219,"&gt;=-1E+307",$P$17:$P$219,"&lt;=1E+307")/2-0.5)/(COUNTIFS($G$17:$G$219,"入池",$P$17:$P$219,"&gt;=-1E+307",$P$17:$P$219,"&lt;=1E+307")-1),2)))</x:f>
        <x:v>34.16</x:v>
      </x:c>
      <x:c r="S101" s="17" t="n">
        <x:f>IF(NOT(ISNUMBER(Q101)),"",IF(NOT(ISNUMBER(R101)),Q101,ROUND(Q101*'sheet1-指标体系'!$J$8+R101*'sheet1-指标体系'!$J$9,2)))</x:f>
        <x:v>16.34</x:v>
      </x:c>
      <x:c r="T101" s="35" t="n">
        <x:f>IF(ISNUMBER('sheet4-原始数据'!J86),'sheet4-原始数据'!J86,"")</x:f>
        <x:v>0.3077</x:v>
      </x:c>
      <x:c r="U101" s="35" t="n">
        <x:f>IF(ISNUMBER('sheet4-原始数据'!I86),'sheet4-原始数据'!I86,"")</x:f>
        <x:v>0.5405</x:v>
      </x:c>
      <x:c r="V101" s="37" t="n">
        <x:f>IF(OR(NOT(ISNUMBER(T101)),NOT(ISNUMBER(U101))),"",(U101*'sheet1-指标体系'!$J$6-T101*'sheet1-指标体系'!$J$5)/'sheet1-指标体系'!$J$7)</x:f>
        <x:v>0.6666</x:v>
      </x:c>
      <x:c r="W101" s="17" t="n">
        <x:f>IF(NOT(ISNUMBER(T101)),"",T101*100)</x:f>
        <x:v>30.769999999999996</x:v>
      </x:c>
      <x:c r="X101" s="17" t="n">
        <x:f>IF($G101&lt;&gt;"入池","",IF(AND(ISNUMBER(V101),V101&gt;=0,V101&lt;=1),V101*100,IF(MAX(0,($F101-1)*12)&lt;6,100,"")))</x:f>
        <x:v>66.66</x:v>
      </x:c>
      <x:c r="Y101" s="17" t="n">
        <x:f>IF(NOT(ISNUMBER(W101)),"",IF(NOT(ISNUMBER(X101)),W101,ROUND(W101*'sheet1-指标体系'!$J$8+X101*'sheet1-指标体系'!$J$9,2)))</x:f>
        <x:v>45.13</x:v>
      </x:c>
      <x:c r="Z101" s="37" t="n">
        <x:f>IF(OR(NOT(ISNUMBER(M101)),NOT(ISNUMBER(AD101)),AD101=0),"",ABS(M101/AD101))</x:f>
        <x:v>0.11373439273552781</x:v>
      </x:c>
      <x:c r="AA101" s="35" t="n">
        <x:f>IF(ISNUMBER('sheet4-原始数据'!K86),'sheet4-原始数据'!K86,"")</x:f>
        <x:v>0.1177</x:v>
      </x:c>
      <x:c r="AB101" s="37" t="n">
        <x:f>IF(COUNT(Z101:AA101)=0,"",MAX(Z101:AA101))</x:f>
        <x:v>0.1177</x:v>
      </x:c>
      <x:c r="AC101" s="17" t="n">
        <x:f>IF(OR($G101&lt;&gt;"入池",NOT(ISNUMBER(AB101))),"",IF(COUNTIFS($G$17:$G$219,"入池",$AB$17:$AB$219,"&gt;=-1E+307",$AB$17:$AB$219,"&lt;=1E+307")&lt;=1,100,ROUND(100*(COUNTIFS($G$17:$G$219,"入池",$AB$17:$AB$219,"&lt;=1E+307",$AB$17:$AB$219,"&gt;"&amp;AB101)+COUNTIFS($G$17:$G$219,"入池",$AB$17:$AB$219,AB101,$AB$17:$AB$219,"&gt;=-1E+307",$AB$17:$AB$219,"&lt;=1E+307")/2-0.5)/(COUNTIFS($G$17:$G$219,"入池",$AB$17:$AB$219,"&gt;=-1E+307",$AB$17:$AB$219,"&lt;=1E+307")-1),2)))</x:f>
        <x:v>21.29</x:v>
      </x:c>
      <x:c r="AD101" s="38" t="n">
        <x:f>IF(ISNUMBER('sheet4-原始数据'!M86),'sheet4-原始数据'!M86,"")</x:f>
        <x:v>-0.881</x:v>
      </x:c>
      <x:c r="AE101" s="37" t="n">
        <x:f t="shared" si="5">IF(OR(NOT(ISNUMBER(P101)),NOT(ISNUMBER(AA101)),NOT(ISNUMBER(Z101))),"",IF(AA101&gt;Z101+'sheet1-指标体系'!$J$11,AA101,""))</x:f>
        <x:v>0.1177</x:v>
      </x:c>
      <x:c r="AF101" s="17" t="n">
        <x:f>IF(OR(NOT(ISNUMBER(P101)),NOT(ISNUMBER(AE101)),AE101=0),"",P101/AE101)</x:f>
        <x:v>0.40286624174460695</x:v>
      </x:c>
      <x:c r="AG101" s="17" t="n">
        <x:f>IF(OR($G101&lt;&gt;"入池",NOT(ISNUMBER(AD101))),"",IF(COUNTIFS($G$17:$G$219,"入池",$AD$17:$AD$219,"&gt;=-1E+307",$AD$17:$AD$219,"&lt;=1E+307")&lt;=1,100,ROUND(100*(COUNTIFS($G$17:$G$219,"入池",$AD$17:$AD$219,"&gt;=-1E+307",$AD$17:$AD$219,"&lt;"&amp;AD101)+COUNTIFS($G$17:$G$219,"入池",$AD$17:$AD$219,AD101,$AD$17:$AD$219,"&gt;=-1E+307",$AD$17:$AD$219,"&lt;=1E+307")/2-0.5)/(COUNTIFS($G$17:$G$219,"入池",$AD$17:$AD$219,"&gt;=-1E+307",$AD$17:$AD$219,"&lt;=1E+307")-1),2)))</x:f>
        <x:v>1.49</x:v>
      </x:c>
      <x:c r="AH101" s="17" t="n">
        <x:f>IF(OR($G101&lt;&gt;"入池",NOT(ISNUMBER(AF101))),"",IF(COUNTIFS($G$17:$G$219,"入池",$AF$17:$AF$219,"&gt;=-1E+307",$AF$17:$AF$219,"&lt;=1E+307")&lt;=1,100,ROUND(100*(COUNTIFS($G$17:$G$219,"入池",$AF$17:$AF$219,"&gt;=-1E+307",$AF$17:$AF$219,"&lt;"&amp;AF101)+COUNTIFS($G$17:$G$219,"入池",$AF$17:$AF$219,AF101,$AF$17:$AF$219,"&gt;=-1E+307",$AF$17:$AF$219,"&lt;=1E+307")/2-0.5)/(COUNTIFS($G$17:$G$219,"入池",$AF$17:$AF$219,"&gt;=-1E+307",$AF$17:$AF$219,"&lt;=1E+307")-1),2)))</x:f>
        <x:v>17.52</x:v>
      </x:c>
      <x:c r="AI101" s="17" t="n">
        <x:f>IF(NOT(ISNUMBER(AG101)),"",IF(NOT(ISNUMBER(AH101)),AG101,ROUND(AG101*'sheet1-指标体系'!$J$8+AH101*'sheet1-指标体系'!$J$9,2)))</x:f>
        <x:v>7.9</x:v>
      </x:c>
      <x:c r="AJ101" s="37" t="n">
        <x:f>IF(NOT(ISNUMBER(F101)),"",IF(F101&gt;=3,IF(NOT(ISNUMBER(N101)),"",N101),IF(NOT(ISNUMBER(O101)),"",O101)))</x:f>
        <x:v>-0.0043</x:v>
      </x:c>
      <x:c r="AK101" s="17" t="n">
        <x:f>IF(OR(G101&lt;&gt;"入池",NOT(ISNUMBER(M101)),NOT(ISNUMBER(AJ101))),"",IF(M101&gt;=AJ101,100,IF(AJ101-M101&lt;'sheet1-指标体系'!$J$10,80,60)))</x:f>
        <x:v>80</x:v>
      </x:c>
      <x:c r="AL101" s="17" t="n">
        <x:f>IF(COUNT(I101,K101,L101)=0,"",ROUND((IF(ISNUMBER(I101),I101*40%,0)+IF(ISNUMBER(K101),K101*30%,0)+IF(ISNUMBER(L101),L101*30%,0))/(IF(ISNUMBER(I101),40%,0)+IF(ISNUMBER(K101),30%,0)+IF(ISNUMBER(L101),30%,0)),2))</x:f>
        <x:v>66</x:v>
      </x:c>
      <x:c r="AM101" s="17" t="n">
        <x:f>IF(COUNT(Q101,R101,W101,X101)=0,"",ROUND((IF(ISNUMBER(Q101),Q101*42%,0)+IF(ISNUMBER(R101),R101*28%,0)+IF(ISNUMBER(W101),W101*18%,0)+IF(ISNUMBER(X101),X101*12%,0))/(IF(ISNUMBER(Q101),42%,0)+IF(ISNUMBER(R101),28%,0)+IF(ISNUMBER(W101),18%,0)+IF(ISNUMBER(X101),12%,0)),2))</x:f>
        <x:v>24.98</x:v>
      </x:c>
      <x:c r="AN101" s="17" t="n">
        <x:f>IF(ISNUMBER(AC101),AC101,"")</x:f>
        <x:v>21.29</x:v>
      </x:c>
      <x:c r="AO101" s="17" t="n">
        <x:f>IF(COUNT(AG101,AH101)=0,"",ROUND((IF(ISNUMBER(AG101),AG101*60%,0)+IF(ISNUMBER(AH101),AH101*40%,0))/(IF(ISNUMBER(AG101),60%,0)+IF(ISNUMBER(AH101),40%,0)),2))</x:f>
        <x:v>7.9</x:v>
      </x:c>
      <x:c r="AP101" s="17" t="n">
        <x:f>IF(ISNUMBER(AK101),AK101,"")</x:f>
        <x:v>80</x:v>
      </x:c>
      <x:c r="AQ101" s="39" t="n">
        <x:f>IF(G101&lt;&gt;"入池",0,IF(ISNUMBER(I101),6%,0)+IF(ISNUMBER(K101),4.5%,0)+IF(ISNUMBER(L101),4.5%,0)+IF(ISNUMBER(Q101),8.4%,0)+IF(ISNUMBER(R101),5.6%,0)+IF(ISNUMBER(W101),3.6%,0)+IF(ISNUMBER(X101),2.4%,0)+IF(ISNUMBER(AC101),25%,0)+IF(ISNUMBER(AG101),18%,0)+IF(ISNUMBER(AH101),12%,0)+IF(ISNUMBER(AK101),10%,0))</x:f>
        <x:v>1</x:v>
      </x:c>
      <x:c r="AR101" s="17" t="n">
        <x:f>IF(AQ101=0,"",IF(ISNUMBER(I101),I101*6%,0)+IF(ISNUMBER(K101),K101*4.5%,0)+IF(ISNUMBER(L101),L101*4.5%,0)+IF(ISNUMBER(Q101),Q101*8.4%,0)+IF(ISNUMBER(R101),R101*5.6%,0)+IF(ISNUMBER(W101),W101*3.6%,0)+IF(ISNUMBER(X101),X101*2.4%,0)+IF(ISNUMBER(AC101),AC101*25%,0)+IF(ISNUMBER(AG101),AG101*18%,0)+IF(ISNUMBER(AH101),AH101*12%,0)+IF(ISNUMBER(AK101),AK101*10%,0))</x:f>
        <x:v>30.58826</x:v>
      </x:c>
      <x:c r="AS101" s="17" t="n">
        <x:f>IF(AQ101=0,"",ROUND(AR101/AQ101,2))</x:f>
        <x:v>30.59</x:v>
      </x:c>
      <x:c r="AT101" s="40" t="n">
        <x:f>IF(OR(G101&lt;&gt;"入池",NOT(ISNUMBER(AS101))),"",COUNTIFS($G$17:$G$219,"入池",$AS$17:$AS$219,"&gt;"&amp;AS101)+COUNTIFS($G$17:$G$219,"入池",$AS$17:$AS$219,AS101,$AQ$17:$AQ$219,"&gt;"&amp;AQ101)+COUNTIFS($G$17:G101,"入池",$AS$17:AS101,AS101,$AQ$17:AQ101,AQ101))</x:f>
        <x:v>191</x:v>
      </x:c>
      <x:c r="AU101" s="41" t="str">
        <x:f t="shared" si="4">IF(NOT(ISNUMBER(I101)),"管理人规模；","")&amp;IF(J101="","产品规模标识；","")&amp;IF(AND(F101&lt;3,NOT(ISNUMBER(O101))),"R_incep；","")&amp;IF(NOT(ISNUMBER(N101)),"近三年收益；","")&amp;IF(NOT(ISNUMBER(U101)),"近三年胜率；","")&amp;IF(AND(ISNUMBER(V101),OR(V101&lt;0,V101&gt;1)),"胜率窗口口径不一致；","")&amp;IF(NOT(ISNUMBER(AA101)),"近三年回撤；","")&amp;IF(NOT(ISNUMBER(AD101)),"短期卡玛；","")&amp;IF(AND(ISNUMBER(P101),NOT(ISNUMBER(AE101))),"DD_long不可识别；","")</x:f>
      </x:c>
      <x:c r="AV101" s="42" t="n">
        <x:v>20</x:v>
      </x:c>
      <x:c r="AW101" s="19" t="str">
        <x:v>上海悬铃私募基金管理有限公司</x:v>
      </x:c>
      <x:c r="AX101" s="19" t="str">
        <x:v>2026-07-13</x:v>
      </x:c>
      <x:c r="AY101" s="19" t="str">
        <x:v>https://gs.amac.org.cn/amac-infodisc/res/pof/manager/1701161209103763.html</x:v>
      </x:c>
      <x:c r="AZ101" s="19" t="str">
        <x:v>悬铃瑞享C号1期私募证券投资基金</x:v>
      </x:c>
      <x:c r="BA101" s="19" t="str">
        <x:v>2026-06-03</x:v>
      </x:c>
      <x:c r="BB101" s="19" t="str">
        <x:v>2026年第2季度季度更新信息</x:v>
      </x:c>
      <x:c r="BC101" s="19" t="str">
        <x:v>https://gs.amac.org.cn/amac-infodisc/res/pof/fund/2304181407104117.html</x:v>
      </x:c>
      <x:c r="BD101" s="19" t="str">
        <x:v>已匹配</x:v>
      </x:c>
      <x:c r="BE101"/>
      <x:c r="BF101"/>
    </x:row>
    <x:row r="102" ht="28" customHeight="1">
      <x:c r="A102" s="4" t="n">
        <x:v>86</x:v>
      </x:c>
      <x:c r="B102" s="15" t="str">
        <x:f>'sheet4-原始数据'!A87</x:f>
        <x:v>悬铃成长1号</x:v>
      </x:c>
      <x:c r="C102" s="15" t="str">
        <x:f>'sheet4-原始数据'!B87</x:f>
        <x:v>STP551</x:v>
      </x:c>
      <x:c r="D102" s="15" t="str">
        <x:f>'sheet4-原始数据'!E87</x:f>
        <x:v>上海悬铃</x:v>
      </x:c>
      <x:c r="E102" s="32" t="n">
        <x:f>IF(ISNUMBER('sheet4-原始数据'!F87),'sheet4-原始数据'!F87,"")</x:f>
        <x:v>44559</x:v>
      </x:c>
      <x:c r="F102" s="17" t="n">
        <x:f>IF(NOT(ISNUMBER(E102)),"",ROUND(('sheet1-指标体系'!$J$23-E102)/365.25,4))</x:f>
        <x:v>4.7146</x:v>
      </x:c>
      <x:c r="G102" s="4" t="str">
        <x:f t="shared" si="3">IF(NOT(ISNUMBER(F102)),"",IF(F102&lt;1,"不入池","入池"))</x:f>
        <x:v>入池</x:v>
      </x:c>
      <x:c r="H102" s="33" t="str">
        <x:v>20-50亿元</x:v>
      </x:c>
      <x:c r="I102" s="17" t="n">
        <x:f>IF(H102="","",IF(ISNUMBER(SEARCH("100亿元以上",H102)),100,IF(OR(ISNUMBER(SEARCH("20-50",H102)),ISNUMBER(SEARCH("50-100",H102)),ISNUMBER(SEARCH("20-100",H102))),90,IF(ISNUMBER(SEARCH("10-20",H102)),80,IF(ISNUMBER(SEARCH("5-10",H102)),70,IF(ISNUMBER(SEARCH("0-5",H102)),60,""))))))</x:f>
        <x:v>90</x:v>
      </x:c>
      <x:c r="J102" s="34" t="str">
        <x:v>低于1000万元</x:v>
      </x:c>
      <x:c r="K102" s="17" t="n">
        <x:f>IF(J102="","",IF(J102="低于1000万元",0,100))</x:f>
        <x:v>0</x:v>
      </x:c>
      <x:c r="L102" s="17" t="n">
        <x:f>IF(NOT(ISNUMBER(F102)),"",IF(F102&lt;1,"",IF(F102&lt;3,70,100)))</x:f>
        <x:v>100</x:v>
      </x:c>
      <x:c r="M102" s="35" t="n">
        <x:f>IF(ISNUMBER('sheet4-原始数据'!G87),'sheet4-原始数据'!G87,"")</x:f>
        <x:v>0.025699999999999997</x:v>
      </x:c>
      <x:c r="N102" s="35" t="n">
        <x:f>IF(ISNUMBER('sheet4-原始数据'!H87),'sheet4-原始数据'!H87,"")</x:f>
        <x:v>0.0951</x:v>
      </x:c>
      <x:c r="O102" s="36" t="str">
        <x:f>IF(ISNUMBER('sheet4-原始数据'!Q87),'sheet4-原始数据'!Q87,"")</x:f>
      </x:c>
      <x:c r="P102" s="37" t="n">
        <x:f>IF($G102&lt;&gt;"入池","",IF($F102&gt;=3,IF(OR(NOT(ISNUMBER($M102)),NOT(ISNUMBER($N102)),1+$M102&lt;=0,1+$N102&lt;0),"",((1+$N102)^3/(1+$M102))^(1/2)-1),IF(OR($F102&lt;=1,NOT(ISNUMBER($M102)),NOT(ISNUMBER($O102)),1+$M102&lt;=0,1+$O102&lt;0),"",((1+$O102)^$F102/(1+$M102))^(1/($F102-1))-1)))</x:f>
        <x:v>0.1315415106222506</x:v>
      </x:c>
      <x:c r="Q102" s="17" t="n">
        <x:f>IF(OR($G102&lt;&gt;"入池",NOT(ISNUMBER(M102))),"",IF(COUNTIFS($G$17:$G$219,"入池",$M$17:$M$219,"&gt;=-1E+307",$M$17:$M$219,"&lt;=1E+307")&lt;=1,100,ROUND(100*(COUNTIFS($G$17:$G$219,"入池",$M$17:$M$219,"&gt;=-1E+307",$M$17:$M$219,"&lt;"&amp;M102)+COUNTIFS($G$17:$G$219,"入池",$M$17:$M$219,M102,$M$17:$M$219,"&gt;=-1E+307",$M$17:$M$219,"&lt;=1E+307")/2-0.5)/(COUNTIFS($G$17:$G$219,"入池",$M$17:$M$219,"&gt;=-1E+307",$M$17:$M$219,"&lt;=1E+307")-1),2)))</x:f>
        <x:v>29.21</x:v>
      </x:c>
      <x:c r="R102" s="17" t="n">
        <x:f>IF(OR($G102&lt;&gt;"入池",NOT(ISNUMBER(P102))),"",IF(COUNTIFS($G$17:$G$219,"入池",$P$17:$P$219,"&gt;=-1E+307",$P$17:$P$219,"&lt;=1E+307")&lt;=1,100,ROUND(100*(COUNTIFS($G$17:$G$219,"入池",$P$17:$P$219,"&gt;=-1E+307",$P$17:$P$219,"&lt;"&amp;P102)+COUNTIFS($G$17:$G$219,"入池",$P$17:$P$219,P102,$P$17:$P$219,"&gt;=-1E+307",$P$17:$P$219,"&lt;=1E+307")/2-0.5)/(COUNTIFS($G$17:$G$219,"入池",$P$17:$P$219,"&gt;=-1E+307",$P$17:$P$219,"&lt;=1E+307")-1),2)))</x:f>
        <x:v>84.65</x:v>
      </x:c>
      <x:c r="S102" s="17" t="n">
        <x:f>IF(NOT(ISNUMBER(Q102)),"",IF(NOT(ISNUMBER(R102)),Q102,ROUND(Q102*'sheet1-指标体系'!$J$8+R102*'sheet1-指标体系'!$J$9,2)))</x:f>
        <x:v>51.39</x:v>
      </x:c>
      <x:c r="T102" s="35" t="n">
        <x:f>IF(ISNUMBER('sheet4-原始数据'!J87),'sheet4-原始数据'!J87,"")</x:f>
        <x:v>0.5385</x:v>
      </x:c>
      <x:c r="U102" s="35" t="n">
        <x:f>IF(ISNUMBER('sheet4-原始数据'!I87),'sheet4-原始数据'!I87,"")</x:f>
        <x:v>0.6215999999999999</x:v>
      </x:c>
      <x:c r="V102" s="37" t="n">
        <x:f>IF(OR(NOT(ISNUMBER(T102)),NOT(ISNUMBER(U102))),"",(U102*'sheet1-指标体系'!$J$6-T102*'sheet1-指标体系'!$J$5)/'sheet1-指标体系'!$J$7)</x:f>
        <x:v>0.6666124999999999</x:v>
      </x:c>
      <x:c r="W102" s="17" t="n">
        <x:f>IF(NOT(ISNUMBER(T102)),"",T102*100)</x:f>
        <x:v>53.849999999999994</x:v>
      </x:c>
      <x:c r="X102" s="17" t="n">
        <x:f>IF($G102&lt;&gt;"入池","",IF(AND(ISNUMBER(V102),V102&gt;=0,V102&lt;=1),V102*100,IF(MAX(0,($F102-1)*12)&lt;6,100,"")))</x:f>
        <x:v>66.66125</x:v>
      </x:c>
      <x:c r="Y102" s="17" t="n">
        <x:f>IF(NOT(ISNUMBER(W102)),"",IF(NOT(ISNUMBER(X102)),W102,ROUND(W102*'sheet1-指标体系'!$J$8+X102*'sheet1-指标体系'!$J$9,2)))</x:f>
        <x:v>58.97</x:v>
      </x:c>
      <x:c r="Z102" s="37" t="n">
        <x:f>IF(OR(NOT(ISNUMBER(M102)),NOT(ISNUMBER(AD102)),AD102=0),"",ABS(M102/AD102))</x:f>
        <x:v>0.08224</x:v>
      </x:c>
      <x:c r="AA102" s="35" t="n">
        <x:f>IF(ISNUMBER('sheet4-原始数据'!K87),'sheet4-原始数据'!K87,"")</x:f>
        <x:v>0.1362</x:v>
      </x:c>
      <x:c r="AB102" s="37" t="n">
        <x:f>IF(COUNT(Z102:AA102)=0,"",MAX(Z102:AA102))</x:f>
        <x:v>0.1362</x:v>
      </x:c>
      <x:c r="AC102" s="17" t="n">
        <x:f>IF(OR($G102&lt;&gt;"入池",NOT(ISNUMBER(AB102))),"",IF(COUNTIFS($G$17:$G$219,"入池",$AB$17:$AB$219,"&gt;=-1E+307",$AB$17:$AB$219,"&lt;=1E+307")&lt;=1,100,ROUND(100*(COUNTIFS($G$17:$G$219,"入池",$AB$17:$AB$219,"&lt;=1E+307",$AB$17:$AB$219,"&gt;"&amp;AB102)+COUNTIFS($G$17:$G$219,"入池",$AB$17:$AB$219,AB102,$AB$17:$AB$219,"&gt;=-1E+307",$AB$17:$AB$219,"&lt;=1E+307")/2-0.5)/(COUNTIFS($G$17:$G$219,"入池",$AB$17:$AB$219,"&gt;=-1E+307",$AB$17:$AB$219,"&lt;=1E+307")-1),2)))</x:f>
        <x:v>15.84</x:v>
      </x:c>
      <x:c r="AD102" s="38" t="n">
        <x:f>IF(ISNUMBER('sheet4-原始数据'!M87),'sheet4-原始数据'!M87,"")</x:f>
        <x:v>0.3125</x:v>
      </x:c>
      <x:c r="AE102" s="37" t="n">
        <x:f t="shared" si="5">IF(OR(NOT(ISNUMBER(P102)),NOT(ISNUMBER(AA102)),NOT(ISNUMBER(Z102))),"",IF(AA102&gt;Z102+'sheet1-指标体系'!$J$11,AA102,""))</x:f>
        <x:v>0.1362</x:v>
      </x:c>
      <x:c r="AF102" s="17" t="n">
        <x:f>IF(OR(NOT(ISNUMBER(P102)),NOT(ISNUMBER(AE102)),AE102=0),"",P102/AE102)</x:f>
        <x:v>0.9657967006038959</x:v>
      </x:c>
      <x:c r="AG102" s="17" t="n">
        <x:f>IF(OR($G102&lt;&gt;"入池",NOT(ISNUMBER(AD102))),"",IF(COUNTIFS($G$17:$G$219,"入池",$AD$17:$AD$219,"&gt;=-1E+307",$AD$17:$AD$219,"&lt;=1E+307")&lt;=1,100,ROUND(100*(COUNTIFS($G$17:$G$219,"入池",$AD$17:$AD$219,"&gt;=-1E+307",$AD$17:$AD$219,"&lt;"&amp;AD102)+COUNTIFS($G$17:$G$219,"入池",$AD$17:$AD$219,AD102,$AD$17:$AD$219,"&gt;=-1E+307",$AD$17:$AD$219,"&lt;=1E+307")/2-0.5)/(COUNTIFS($G$17:$G$219,"入池",$AD$17:$AD$219,"&gt;=-1E+307",$AD$17:$AD$219,"&lt;=1E+307")-1),2)))</x:f>
        <x:v>23.88</x:v>
      </x:c>
      <x:c r="AH102" s="17" t="n">
        <x:f>IF(OR($G102&lt;&gt;"入池",NOT(ISNUMBER(AF102))),"",IF(COUNTIFS($G$17:$G$219,"入池",$AF$17:$AF$219,"&gt;=-1E+307",$AF$17:$AF$219,"&lt;=1E+307")&lt;=1,100,ROUND(100*(COUNTIFS($G$17:$G$219,"入池",$AF$17:$AF$219,"&gt;=-1E+307",$AF$17:$AF$219,"&lt;"&amp;AF102)+COUNTIFS($G$17:$G$219,"入池",$AF$17:$AF$219,AF102,$AF$17:$AF$219,"&gt;=-1E+307",$AF$17:$AF$219,"&lt;=1E+307")/2-0.5)/(COUNTIFS($G$17:$G$219,"入池",$AF$17:$AF$219,"&gt;=-1E+307",$AF$17:$AF$219,"&lt;=1E+307")-1),2)))</x:f>
        <x:v>40.88</x:v>
      </x:c>
      <x:c r="AI102" s="17" t="n">
        <x:f>IF(NOT(ISNUMBER(AG102)),"",IF(NOT(ISNUMBER(AH102)),AG102,ROUND(AG102*'sheet1-指标体系'!$J$8+AH102*'sheet1-指标体系'!$J$9,2)))</x:f>
        <x:v>30.68</x:v>
      </x:c>
      <x:c r="AJ102" s="37" t="n">
        <x:f>IF(NOT(ISNUMBER(F102)),"",IF(F102&gt;=3,IF(NOT(ISNUMBER(N102)),"",N102),IF(NOT(ISNUMBER(O102)),"",O102)))</x:f>
        <x:v>0.0951</x:v>
      </x:c>
      <x:c r="AK102" s="17" t="n">
        <x:f>IF(OR(G102&lt;&gt;"入池",NOT(ISNUMBER(M102)),NOT(ISNUMBER(AJ102))),"",IF(M102&gt;=AJ102,100,IF(AJ102-M102&lt;'sheet1-指标体系'!$J$10,80,60)))</x:f>
        <x:v>80</x:v>
      </x:c>
      <x:c r="AL102" s="17" t="n">
        <x:f>IF(COUNT(I102,K102,L102)=0,"",ROUND((IF(ISNUMBER(I102),I102*40%,0)+IF(ISNUMBER(K102),K102*30%,0)+IF(ISNUMBER(L102),L102*30%,0))/(IF(ISNUMBER(I102),40%,0)+IF(ISNUMBER(K102),30%,0)+IF(ISNUMBER(L102),30%,0)),2))</x:f>
        <x:v>66</x:v>
      </x:c>
      <x:c r="AM102" s="17" t="n">
        <x:f>IF(COUNT(Q102,R102,W102,X102)=0,"",ROUND((IF(ISNUMBER(Q102),Q102*42%,0)+IF(ISNUMBER(R102),R102*28%,0)+IF(ISNUMBER(W102),W102*18%,0)+IF(ISNUMBER(X102),X102*12%,0))/(IF(ISNUMBER(Q102),42%,0)+IF(ISNUMBER(R102),28%,0)+IF(ISNUMBER(W102),18%,0)+IF(ISNUMBER(X102),12%,0)),2))</x:f>
        <x:v>53.66</x:v>
      </x:c>
      <x:c r="AN102" s="17" t="n">
        <x:f>IF(ISNUMBER(AC102),AC102,"")</x:f>
        <x:v>15.84</x:v>
      </x:c>
      <x:c r="AO102" s="17" t="n">
        <x:f>IF(COUNT(AG102,AH102)=0,"",ROUND((IF(ISNUMBER(AG102),AG102*60%,0)+IF(ISNUMBER(AH102),AH102*40%,0))/(IF(ISNUMBER(AG102),60%,0)+IF(ISNUMBER(AH102),40%,0)),2))</x:f>
        <x:v>30.68</x:v>
      </x:c>
      <x:c r="AP102" s="17" t="n">
        <x:f>IF(ISNUMBER(AK102),AK102,"")</x:f>
        <x:v>80</x:v>
      </x:c>
      <x:c r="AQ102" s="39" t="n">
        <x:f>IF(G102&lt;&gt;"入池",0,IF(ISNUMBER(I102),6%,0)+IF(ISNUMBER(K102),4.5%,0)+IF(ISNUMBER(L102),4.5%,0)+IF(ISNUMBER(Q102),8.4%,0)+IF(ISNUMBER(R102),5.6%,0)+IF(ISNUMBER(W102),3.6%,0)+IF(ISNUMBER(X102),2.4%,0)+IF(ISNUMBER(AC102),25%,0)+IF(ISNUMBER(AG102),18%,0)+IF(ISNUMBER(AH102),12%,0)+IF(ISNUMBER(AK102),10%,0))</x:f>
        <x:v>1</x:v>
      </x:c>
      <x:c r="AR102" s="17" t="n">
        <x:f>IF(AQ102=0,"",IF(ISNUMBER(I102),I102*6%,0)+IF(ISNUMBER(K102),K102*4.5%,0)+IF(ISNUMBER(L102),L102*4.5%,0)+IF(ISNUMBER(Q102),Q102*8.4%,0)+IF(ISNUMBER(R102),R102*5.6%,0)+IF(ISNUMBER(W102),W102*3.6%,0)+IF(ISNUMBER(X102),X102*2.4%,0)+IF(ISNUMBER(AC102),AC102*25%,0)+IF(ISNUMBER(AG102),AG102*18%,0)+IF(ISNUMBER(AH102),AH102*12%,0)+IF(ISNUMBER(AK102),AK102*10%,0))</x:f>
        <x:v>41.79651</x:v>
      </x:c>
      <x:c r="AS102" s="17" t="n">
        <x:f>IF(AQ102=0,"",ROUND(AR102/AQ102,2))</x:f>
        <x:v>41.8</x:v>
      </x:c>
      <x:c r="AT102" s="40" t="n">
        <x:f>IF(OR(G102&lt;&gt;"入池",NOT(ISNUMBER(AS102))),"",COUNTIFS($G$17:$G$219,"入池",$AS$17:$AS$219,"&gt;"&amp;AS102)+COUNTIFS($G$17:$G$219,"入池",$AS$17:$AS$219,AS102,$AQ$17:$AQ$219,"&gt;"&amp;AQ102)+COUNTIFS($G$17:G102,"入池",$AS$17:AS102,AS102,$AQ$17:AQ102,AQ102))</x:f>
        <x:v>169</x:v>
      </x:c>
      <x:c r="AU102" s="41" t="str">
        <x:f t="shared" si="4">IF(NOT(ISNUMBER(I102)),"管理人规模；","")&amp;IF(J102="","产品规模标识；","")&amp;IF(AND(F102&lt;3,NOT(ISNUMBER(O102))),"R_incep；","")&amp;IF(NOT(ISNUMBER(N102)),"近三年收益；","")&amp;IF(NOT(ISNUMBER(U102)),"近三年胜率；","")&amp;IF(AND(ISNUMBER(V102),OR(V102&lt;0,V102&gt;1)),"胜率窗口口径不一致；","")&amp;IF(NOT(ISNUMBER(AA102)),"近三年回撤；","")&amp;IF(NOT(ISNUMBER(AD102)),"短期卡玛；","")&amp;IF(AND(ISNUMBER(P102),NOT(ISNUMBER(AE102))),"DD_long不可识别；","")</x:f>
      </x:c>
      <x:c r="AV102" s="42" t="n">
        <x:v>20</x:v>
      </x:c>
      <x:c r="AW102" s="19" t="str">
        <x:v>上海悬铃私募基金管理有限公司</x:v>
      </x:c>
      <x:c r="AX102" s="19" t="str">
        <x:v>2026-07-13</x:v>
      </x:c>
      <x:c r="AY102" s="19" t="str">
        <x:v>https://gs.amac.org.cn/amac-infodisc/res/pof/manager/1701161209103763.html</x:v>
      </x:c>
      <x:c r="AZ102" s="19" t="str">
        <x:v>悬铃成长1号私募证券投资基金</x:v>
      </x:c>
      <x:c r="BA102" s="19" t="str">
        <x:v>2025-02-17</x:v>
      </x:c>
      <x:c r="BB102" s="19" t="str">
        <x:v>2026年第2季度季度更新信息</x:v>
      </x:c>
      <x:c r="BC102" s="19" t="str">
        <x:v>https://gs.amac.org.cn/amac-infodisc/res/pof/fund/2112291739105312.html</x:v>
      </x:c>
      <x:c r="BD102" s="19" t="str">
        <x:v>已匹配</x:v>
      </x:c>
      <x:c r="BE102"/>
      <x:c r="BF102"/>
    </x:row>
    <x:row r="103" ht="28" customHeight="1">
      <x:c r="A103" s="4" t="n">
        <x:v>87</x:v>
      </x:c>
      <x:c r="B103" s="15" t="str">
        <x:f>'sheet4-原始数据'!A88</x:f>
        <x:v>祁腾蜂赢1号</x:v>
      </x:c>
      <x:c r="C103" s="15" t="str">
        <x:f>'sheet4-原始数据'!B88</x:f>
        <x:v>SEV580</x:v>
      </x:c>
      <x:c r="D103" s="15" t="str">
        <x:f>'sheet4-原始数据'!E88</x:f>
        <x:v>宁波祁腾投资</x:v>
      </x:c>
      <x:c r="E103" s="32" t="n">
        <x:f>IF(ISNUMBER('sheet4-原始数据'!F88),'sheet4-原始数据'!F88,"")</x:f>
        <x:v>43490</x:v>
      </x:c>
      <x:c r="F103" s="17" t="n">
        <x:f>IF(NOT(ISNUMBER(E103)),"",ROUND(('sheet1-指标体系'!$J$23-E103)/365.25,4))</x:f>
        <x:v>7.6413</x:v>
      </x:c>
      <x:c r="G103" s="4" t="str">
        <x:f t="shared" si="3">IF(NOT(ISNUMBER(F103)),"",IF(F103&lt;1,"不入池","入池"))</x:f>
        <x:v>入池</x:v>
      </x:c>
      <x:c r="H103" s="33" t="str">
        <x:v>0-5亿元</x:v>
      </x:c>
      <x:c r="I103" s="17" t="n">
        <x:f>IF(H103="","",IF(ISNUMBER(SEARCH("100亿元以上",H103)),100,IF(OR(ISNUMBER(SEARCH("20-50",H103)),ISNUMBER(SEARCH("50-100",H103)),ISNUMBER(SEARCH("20-100",H103))),90,IF(ISNUMBER(SEARCH("10-20",H103)),80,IF(ISNUMBER(SEARCH("5-10",H103)),70,IF(ISNUMBER(SEARCH("0-5",H103)),60,""))))))</x:f>
        <x:v>60</x:v>
      </x:c>
      <x:c r="J103" s="34" t="str">
        <x:v>无低于1000万元标识</x:v>
      </x:c>
      <x:c r="K103" s="17" t="n">
        <x:f>IF(J103="","",IF(J103="低于1000万元",0,100))</x:f>
        <x:v>100</x:v>
      </x:c>
      <x:c r="L103" s="17" t="n">
        <x:f>IF(NOT(ISNUMBER(F103)),"",IF(F103&lt;1,"",IF(F103&lt;3,70,100)))</x:f>
        <x:v>100</x:v>
      </x:c>
      <x:c r="M103" s="35" t="n">
        <x:f>IF(ISNUMBER('sheet4-原始数据'!G88),'sheet4-原始数据'!G88,"")</x:f>
        <x:v>0.13816034226190466</x:v>
      </x:c>
      <x:c r="N103" s="35" t="n">
        <x:f>IF(ISNUMBER('sheet4-原始数据'!H88),'sheet4-原始数据'!H88,"")</x:f>
        <x:v>0.11954263952203115</x:v>
      </x:c>
      <x:c r="O103" s="36" t="n">
        <x:f>IF(ISNUMBER('sheet4-原始数据'!Q88),'sheet4-原始数据'!Q88,"")</x:f>
        <x:v>0.12444964705592754</x:v>
      </x:c>
      <x:c r="P103" s="37" t="n">
        <x:f>IF($G103&lt;&gt;"入池","",IF($F103&gt;=3,IF(OR(NOT(ISNUMBER($M103)),NOT(ISNUMBER($N103)),1+$M103&lt;=0,1+$N103&lt;0),"",((1+$N103)^3/(1+$M103))^(1/2)-1),IF(OR($F103&lt;=1,NOT(ISNUMBER($M103)),NOT(ISNUMBER($O103)),1+$M103&lt;=0,1+$O103&lt;0),"",((1+$O103)^$F103/(1+$M103))^(1/($F103-1))-1)))</x:f>
        <x:v>0.11034830508427018</x:v>
      </x:c>
      <x:c r="Q103" s="17" t="n">
        <x:f>IF(OR($G103&lt;&gt;"入池",NOT(ISNUMBER(M103))),"",IF(COUNTIFS($G$17:$G$219,"入池",$M$17:$M$219,"&gt;=-1E+307",$M$17:$M$219,"&lt;=1E+307")&lt;=1,100,ROUND(100*(COUNTIFS($G$17:$G$219,"入池",$M$17:$M$219,"&gt;=-1E+307",$M$17:$M$219,"&lt;"&amp;M103)+COUNTIFS($G$17:$G$219,"入池",$M$17:$M$219,M103,$M$17:$M$219,"&gt;=-1E+307",$M$17:$M$219,"&lt;=1E+307")/2-0.5)/(COUNTIFS($G$17:$G$219,"入池",$M$17:$M$219,"&gt;=-1E+307",$M$17:$M$219,"&lt;=1E+307")-1),2)))</x:f>
        <x:v>88.61</x:v>
      </x:c>
      <x:c r="R103" s="17" t="n">
        <x:f>IF(OR($G103&lt;&gt;"入池",NOT(ISNUMBER(P103))),"",IF(COUNTIFS($G$17:$G$219,"入池",$P$17:$P$219,"&gt;=-1E+307",$P$17:$P$219,"&lt;=1E+307")&lt;=1,100,ROUND(100*(COUNTIFS($G$17:$G$219,"入池",$P$17:$P$219,"&gt;=-1E+307",$P$17:$P$219,"&lt;"&amp;P103)+COUNTIFS($G$17:$G$219,"入池",$P$17:$P$219,P103,$P$17:$P$219,"&gt;=-1E+307",$P$17:$P$219,"&lt;=1E+307")/2-0.5)/(COUNTIFS($G$17:$G$219,"入池",$P$17:$P$219,"&gt;=-1E+307",$P$17:$P$219,"&lt;=1E+307")-1),2)))</x:f>
        <x:v>75.74</x:v>
      </x:c>
      <x:c r="S103" s="17" t="n">
        <x:f>IF(NOT(ISNUMBER(Q103)),"",IF(NOT(ISNUMBER(R103)),Q103,ROUND(Q103*'sheet1-指标体系'!$J$8+R103*'sheet1-指标体系'!$J$9,2)))</x:f>
        <x:v>83.46</x:v>
      </x:c>
      <x:c r="T103" s="35" t="n">
        <x:f>IF(ISNUMBER('sheet4-原始数据'!J88),'sheet4-原始数据'!J88,"")</x:f>
        <x:v>0.7692307692307693</x:v>
      </x:c>
      <x:c r="U103" s="35" t="n">
        <x:f>IF(ISNUMBER('sheet4-原始数据'!I88),'sheet4-原始数据'!I88,"")</x:f>
        <x:v>0.7837837837837838</x:v>
      </x:c>
      <x:c r="V103" s="37" t="n">
        <x:f>IF(OR(NOT(ISNUMBER(T103)),NOT(ISNUMBER(U103))),"",(U103*'sheet1-指标体系'!$J$6-T103*'sheet1-指标体系'!$J$5)/'sheet1-指标体系'!$J$7)</x:f>
        <x:v>0.7916666666666666</x:v>
      </x:c>
      <x:c r="W103" s="17" t="n">
        <x:f>IF(NOT(ISNUMBER(T103)),"",T103*100)</x:f>
        <x:v>76.92307692307693</x:v>
      </x:c>
      <x:c r="X103" s="17" t="n">
        <x:f>IF($G103&lt;&gt;"入池","",IF(AND(ISNUMBER(V103),V103&gt;=0,V103&lt;=1),V103*100,IF(MAX(0,($F103-1)*12)&lt;6,100,"")))</x:f>
        <x:v>79.16666666666666</x:v>
      </x:c>
      <x:c r="Y103" s="17" t="n">
        <x:f>IF(NOT(ISNUMBER(W103)),"",IF(NOT(ISNUMBER(X103)),W103,ROUND(W103*'sheet1-指标体系'!$J$8+X103*'sheet1-指标体系'!$J$9,2)))</x:f>
        <x:v>77.82</x:v>
      </x:c>
      <x:c r="Z103" s="37" t="n">
        <x:f>IF(OR(NOT(ISNUMBER(M103)),NOT(ISNUMBER(AD103)),AD103=0),"",ABS(M103/AD103))</x:f>
        <x:v>0.004863171777118369</x:v>
      </x:c>
      <x:c r="AA103" s="35" t="n">
        <x:f>IF(ISNUMBER('sheet4-原始数据'!K88),'sheet4-原始数据'!K88,"")</x:f>
        <x:v>0.00533091362785687</x:v>
      </x:c>
      <x:c r="AB103" s="37" t="n">
        <x:f>IF(COUNT(Z103:AA103)=0,"",MAX(Z103:AA103))</x:f>
        <x:v>0.00533091362785687</x:v>
      </x:c>
      <x:c r="AC103" s="17" t="n">
        <x:f>IF(OR($G103&lt;&gt;"入池",NOT(ISNUMBER(AB103))),"",IF(COUNTIFS($G$17:$G$219,"入池",$AB$17:$AB$219,"&gt;=-1E+307",$AB$17:$AB$219,"&lt;=1E+307")&lt;=1,100,ROUND(100*(COUNTIFS($G$17:$G$219,"入池",$AB$17:$AB$219,"&lt;=1E+307",$AB$17:$AB$219,"&gt;"&amp;AB103)+COUNTIFS($G$17:$G$219,"入池",$AB$17:$AB$219,AB103,$AB$17:$AB$219,"&gt;=-1E+307",$AB$17:$AB$219,"&lt;=1E+307")/2-0.5)/(COUNTIFS($G$17:$G$219,"入池",$AB$17:$AB$219,"&gt;=-1E+307",$AB$17:$AB$219,"&lt;=1E+307")-1),2)))</x:f>
        <x:v>95.05</x:v>
      </x:c>
      <x:c r="AD103" s="38" t="n">
        <x:f>IF(ISNUMBER('sheet4-原始数据'!M88),'sheet4-原始数据'!M88,"")</x:f>
        <x:v>28.409513090193656</x:v>
      </x:c>
      <x:c r="AE103" s="37" t="n">
        <x:f t="shared" si="5">IF(OR(NOT(ISNUMBER(P103)),NOT(ISNUMBER(AA103)),NOT(ISNUMBER(Z103))),"",IF(AA103&gt;Z103+'sheet1-指标体系'!$J$11,AA103,""))</x:f>
        <x:v>0.00533091362785687</x:v>
      </x:c>
      <x:c r="AF103" s="17" t="n">
        <x:f>IF(OR(NOT(ISNUMBER(P103)),NOT(ISNUMBER(AE103)),AE103=0),"",P103/AE103)</x:f>
        <x:v>20.699698548414172</x:v>
      </x:c>
      <x:c r="AG103" s="17" t="n">
        <x:f>IF(OR($G103&lt;&gt;"入池",NOT(ISNUMBER(AD103))),"",IF(COUNTIFS($G$17:$G$219,"入池",$AD$17:$AD$219,"&gt;=-1E+307",$AD$17:$AD$219,"&lt;=1E+307")&lt;=1,100,ROUND(100*(COUNTIFS($G$17:$G$219,"入池",$AD$17:$AD$219,"&gt;=-1E+307",$AD$17:$AD$219,"&lt;"&amp;AD103)+COUNTIFS($G$17:$G$219,"入池",$AD$17:$AD$219,AD103,$AD$17:$AD$219,"&gt;=-1E+307",$AD$17:$AD$219,"&lt;=1E+307")/2-0.5)/(COUNTIFS($G$17:$G$219,"入池",$AD$17:$AD$219,"&gt;=-1E+307",$AD$17:$AD$219,"&lt;=1E+307")-1),2)))</x:f>
        <x:v>92.04</x:v>
      </x:c>
      <x:c r="AH103" s="17" t="n">
        <x:f>IF(OR($G103&lt;&gt;"入池",NOT(ISNUMBER(AF103))),"",IF(COUNTIFS($G$17:$G$219,"入池",$AF$17:$AF$219,"&gt;=-1E+307",$AF$17:$AF$219,"&lt;=1E+307")&lt;=1,100,ROUND(100*(COUNTIFS($G$17:$G$219,"入池",$AF$17:$AF$219,"&gt;=-1E+307",$AF$17:$AF$219,"&lt;"&amp;AF103)+COUNTIFS($G$17:$G$219,"入池",$AF$17:$AF$219,AF103,$AF$17:$AF$219,"&gt;=-1E+307",$AF$17:$AF$219,"&lt;=1E+307")/2-0.5)/(COUNTIFS($G$17:$G$219,"入池",$AF$17:$AF$219,"&gt;=-1E+307",$AF$17:$AF$219,"&lt;=1E+307")-1),2)))</x:f>
        <x:v>97.81</x:v>
      </x:c>
      <x:c r="AI103" s="17" t="n">
        <x:f>IF(NOT(ISNUMBER(AG103)),"",IF(NOT(ISNUMBER(AH103)),AG103,ROUND(AG103*'sheet1-指标体系'!$J$8+AH103*'sheet1-指标体系'!$J$9,2)))</x:f>
        <x:v>94.35</x:v>
      </x:c>
      <x:c r="AJ103" s="37" t="n">
        <x:f>IF(NOT(ISNUMBER(F103)),"",IF(F103&gt;=3,IF(NOT(ISNUMBER(N103)),"",N103),IF(NOT(ISNUMBER(O103)),"",O103)))</x:f>
        <x:v>0.11954263952203115</x:v>
      </x:c>
      <x:c r="AK103" s="17" t="n">
        <x:f>IF(OR(G103&lt;&gt;"入池",NOT(ISNUMBER(M103)),NOT(ISNUMBER(AJ103))),"",IF(M103&gt;=AJ103,100,IF(AJ103-M103&lt;'sheet1-指标体系'!$J$10,80,60)))</x:f>
        <x:v>100</x:v>
      </x:c>
      <x:c r="AL103" s="17" t="n">
        <x:f>IF(COUNT(I103,K103,L103)=0,"",ROUND((IF(ISNUMBER(I103),I103*40%,0)+IF(ISNUMBER(K103),K103*30%,0)+IF(ISNUMBER(L103),L103*30%,0))/(IF(ISNUMBER(I103),40%,0)+IF(ISNUMBER(K103),30%,0)+IF(ISNUMBER(L103),30%,0)),2))</x:f>
        <x:v>84</x:v>
      </x:c>
      <x:c r="AM103" s="17" t="n">
        <x:f>IF(COUNT(Q103,R103,W103,X103)=0,"",ROUND((IF(ISNUMBER(Q103),Q103*42%,0)+IF(ISNUMBER(R103),R103*28%,0)+IF(ISNUMBER(W103),W103*18%,0)+IF(ISNUMBER(X103),X103*12%,0))/(IF(ISNUMBER(Q103),42%,0)+IF(ISNUMBER(R103),28%,0)+IF(ISNUMBER(W103),18%,0)+IF(ISNUMBER(X103),12%,0)),2))</x:f>
        <x:v>81.77</x:v>
      </x:c>
      <x:c r="AN103" s="17" t="n">
        <x:f>IF(ISNUMBER(AC103),AC103,"")</x:f>
        <x:v>95.05</x:v>
      </x:c>
      <x:c r="AO103" s="17" t="n">
        <x:f>IF(COUNT(AG103,AH103)=0,"",ROUND((IF(ISNUMBER(AG103),AG103*60%,0)+IF(ISNUMBER(AH103),AH103*40%,0))/(IF(ISNUMBER(AG103),60%,0)+IF(ISNUMBER(AH103),40%,0)),2))</x:f>
        <x:v>94.35</x:v>
      </x:c>
      <x:c r="AP103" s="17" t="n">
        <x:f>IF(ISNUMBER(AK103),AK103,"")</x:f>
        <x:v>100</x:v>
      </x:c>
      <x:c r="AQ103" s="39" t="n">
        <x:f>IF(G103&lt;&gt;"入池",0,IF(ISNUMBER(I103),6%,0)+IF(ISNUMBER(K103),4.5%,0)+IF(ISNUMBER(L103),4.5%,0)+IF(ISNUMBER(Q103),8.4%,0)+IF(ISNUMBER(R103),5.6%,0)+IF(ISNUMBER(W103),3.6%,0)+IF(ISNUMBER(X103),2.4%,0)+IF(ISNUMBER(AC103),25%,0)+IF(ISNUMBER(AG103),18%,0)+IF(ISNUMBER(AH103),12%,0)+IF(ISNUMBER(AK103),10%,0))</x:f>
        <x:v>1</x:v>
      </x:c>
      <x:c r="AR103" s="17" t="n">
        <x:f>IF(AQ103=0,"",IF(ISNUMBER(I103),I103*6%,0)+IF(ISNUMBER(K103),K103*4.5%,0)+IF(ISNUMBER(L103),L103*4.5%,0)+IF(ISNUMBER(Q103),Q103*8.4%,0)+IF(ISNUMBER(R103),R103*5.6%,0)+IF(ISNUMBER(W103),W103*3.6%,0)+IF(ISNUMBER(X103),X103*2.4%,0)+IF(ISNUMBER(AC103),AC103*25%,0)+IF(ISNUMBER(AG103),AG103*18%,0)+IF(ISNUMBER(AH103),AH103*12%,0)+IF(ISNUMBER(AK103),AK103*10%,0))</x:f>
        <x:v>91.02081076923076</x:v>
      </x:c>
      <x:c r="AS103" s="17" t="n">
        <x:f>IF(AQ103=0,"",ROUND(AR103/AQ103,2))</x:f>
        <x:v>91.02</x:v>
      </x:c>
      <x:c r="AT103" s="40" t="n">
        <x:f>IF(OR(G103&lt;&gt;"入池",NOT(ISNUMBER(AS103))),"",COUNTIFS($G$17:$G$219,"入池",$AS$17:$AS$219,"&gt;"&amp;AS103)+COUNTIFS($G$17:$G$219,"入池",$AS$17:$AS$219,AS103,$AQ$17:$AQ$219,"&gt;"&amp;AQ103)+COUNTIFS($G$17:G103,"入池",$AS$17:AS103,AS103,$AQ$17:AQ103,AQ103))</x:f>
        <x:v>5</x:v>
      </x:c>
      <x:c r="AU103" s="41" t="str">
        <x:f t="shared" si="4">IF(NOT(ISNUMBER(I103)),"管理人规模；","")&amp;IF(J103="","产品规模标识；","")&amp;IF(AND(F103&lt;3,NOT(ISNUMBER(O103))),"R_incep；","")&amp;IF(NOT(ISNUMBER(N103)),"近三年收益；","")&amp;IF(NOT(ISNUMBER(U103)),"近三年胜率；","")&amp;IF(AND(ISNUMBER(V103),OR(V103&lt;0,V103&gt;1)),"胜率窗口口径不一致；","")&amp;IF(NOT(ISNUMBER(AA103)),"近三年回撤；","")&amp;IF(NOT(ISNUMBER(AD103)),"短期卡玛；","")&amp;IF(AND(ISNUMBER(P103),NOT(ISNUMBER(AE103))),"DD_long不可识别；","")</x:f>
      </x:c>
      <x:c r="AV103" s="42" t="n">
        <x:v>0</x:v>
      </x:c>
      <x:c r="AW103" s="19" t="str">
        <x:v>宁波祁腾投资管理有限公司</x:v>
      </x:c>
      <x:c r="AX103" s="19" t="str">
        <x:v>2024-10-28</x:v>
      </x:c>
      <x:c r="AY103" s="19" t="str">
        <x:v>https://gs.amac.org.cn/amac-infodisc/res/pof/manager/1809041559102185.html</x:v>
      </x:c>
      <x:c r="AZ103" s="19" t="str">
        <x:v>祁腾蜂赢1号私募证券投资基金</x:v>
      </x:c>
      <x:c r="BA103" s="19" t="str">
        <x:v>2025-04-22</x:v>
      </x:c>
      <x:c r="BB103" s="19"/>
      <x:c r="BC103" s="19" t="str">
        <x:v>https://gs.amac.org.cn/amac-infodisc/res/pof/fund/1902010925104002.html</x:v>
      </x:c>
      <x:c r="BD103" s="19" t="str">
        <x:v>已匹配</x:v>
      </x:c>
      <x:c r="BE103"/>
      <x:c r="BF103"/>
    </x:row>
    <x:row r="104" ht="28" customHeight="1">
      <x:c r="A104" s="4" t="n">
        <x:v>88</x:v>
      </x:c>
      <x:c r="B104" s="15" t="str">
        <x:f>'sheet4-原始数据'!A89</x:f>
        <x:v>殊馥馥源套利1号</x:v>
      </x:c>
      <x:c r="C104" s="15" t="str">
        <x:f>'sheet4-原始数据'!B89</x:f>
        <x:v>SGM512</x:v>
      </x:c>
      <x:c r="D104" s="15" t="str">
        <x:f>'sheet4-原始数据'!E89</x:f>
        <x:v>上海殊馥投资</x:v>
      </x:c>
      <x:c r="E104" s="32" t="n">
        <x:f>IF(ISNUMBER('sheet4-原始数据'!F89),'sheet4-原始数据'!F89,"")</x:f>
        <x:v>43585</x:v>
      </x:c>
      <x:c r="F104" s="17" t="n">
        <x:f>IF(NOT(ISNUMBER(E104)),"",ROUND(('sheet1-指标体系'!$J$23-E104)/365.25,4))</x:f>
        <x:v>7.3812</x:v>
      </x:c>
      <x:c r="G104" s="4" t="str">
        <x:f t="shared" si="3">IF(NOT(ISNUMBER(F104)),"",IF(F104&lt;1,"不入池","入池"))</x:f>
        <x:v>入池</x:v>
      </x:c>
      <x:c r="H104" s="33" t="str">
        <x:v>10-20亿元</x:v>
      </x:c>
      <x:c r="I104" s="17" t="n">
        <x:f>IF(H104="","",IF(ISNUMBER(SEARCH("100亿元以上",H104)),100,IF(OR(ISNUMBER(SEARCH("20-50",H104)),ISNUMBER(SEARCH("50-100",H104)),ISNUMBER(SEARCH("20-100",H104))),90,IF(ISNUMBER(SEARCH("10-20",H104)),80,IF(ISNUMBER(SEARCH("5-10",H104)),70,IF(ISNUMBER(SEARCH("0-5",H104)),60,""))))))</x:f>
        <x:v>80</x:v>
      </x:c>
      <x:c r="J104" s="34" t="str">
        <x:v>无低于1000万元标识</x:v>
      </x:c>
      <x:c r="K104" s="17" t="n">
        <x:f>IF(J104="","",IF(J104="低于1000万元",0,100))</x:f>
        <x:v>100</x:v>
      </x:c>
      <x:c r="L104" s="17" t="n">
        <x:f>IF(NOT(ISNUMBER(F104)),"",IF(F104&lt;1,"",IF(F104&lt;3,70,100)))</x:f>
        <x:v>100</x:v>
      </x:c>
      <x:c r="M104" s="35" t="n">
        <x:f>IF(ISNUMBER('sheet4-原始数据'!G89),'sheet4-原始数据'!G89,"")</x:f>
        <x:v>0.0922</x:v>
      </x:c>
      <x:c r="N104" s="35" t="n">
        <x:f>IF(ISNUMBER('sheet4-原始数据'!H89),'sheet4-原始数据'!H89,"")</x:f>
        <x:v>0.0677</x:v>
      </x:c>
      <x:c r="O104" s="36" t="str">
        <x:f>IF(ISNUMBER('sheet4-原始数据'!Q89),'sheet4-原始数据'!Q89,"")</x:f>
      </x:c>
      <x:c r="P104" s="37" t="n">
        <x:f>IF($G104&lt;&gt;"入池","",IF($F104&gt;=3,IF(OR(NOT(ISNUMBER($M104)),NOT(ISNUMBER($N104)),1+$M104&lt;=0,1+$N104&lt;0),"",((1+$N104)^3/(1+$M104))^(1/2)-1),IF(OR($F104&lt;=1,NOT(ISNUMBER($M104)),NOT(ISNUMBER($O104)),1+$M104&lt;=0,1+$O104&lt;0),"",((1+$O104)^$F104/(1+$M104))^(1/($F104-1))-1)))</x:f>
        <x:v>0.05565686911923384</x:v>
      </x:c>
      <x:c r="Q104" s="17" t="n">
        <x:f>IF(OR($G104&lt;&gt;"入池",NOT(ISNUMBER(M104))),"",IF(COUNTIFS($G$17:$G$219,"入池",$M$17:$M$219,"&gt;=-1E+307",$M$17:$M$219,"&lt;=1E+307")&lt;=1,100,ROUND(100*(COUNTIFS($G$17:$G$219,"入池",$M$17:$M$219,"&gt;=-1E+307",$M$17:$M$219,"&lt;"&amp;M104)+COUNTIFS($G$17:$G$219,"入池",$M$17:$M$219,M104,$M$17:$M$219,"&gt;=-1E+307",$M$17:$M$219,"&lt;=1E+307")/2-0.5)/(COUNTIFS($G$17:$G$219,"入池",$M$17:$M$219,"&gt;=-1E+307",$M$17:$M$219,"&lt;=1E+307")-1),2)))</x:f>
        <x:v>77.72</x:v>
      </x:c>
      <x:c r="R104" s="17" t="n">
        <x:f>IF(OR($G104&lt;&gt;"入池",NOT(ISNUMBER(P104))),"",IF(COUNTIFS($G$17:$G$219,"入池",$P$17:$P$219,"&gt;=-1E+307",$P$17:$P$219,"&lt;=1E+307")&lt;=1,100,ROUND(100*(COUNTIFS($G$17:$G$219,"入池",$P$17:$P$219,"&gt;=-1E+307",$P$17:$P$219,"&lt;"&amp;P104)+COUNTIFS($G$17:$G$219,"入池",$P$17:$P$219,P104,$P$17:$P$219,"&gt;=-1E+307",$P$17:$P$219,"&lt;=1E+307")/2-0.5)/(COUNTIFS($G$17:$G$219,"入池",$P$17:$P$219,"&gt;=-1E+307",$P$17:$P$219,"&lt;=1E+307")-1),2)))</x:f>
        <x:v>43.56</x:v>
      </x:c>
      <x:c r="S104" s="17" t="n">
        <x:f>IF(NOT(ISNUMBER(Q104)),"",IF(NOT(ISNUMBER(R104)),Q104,ROUND(Q104*'sheet1-指标体系'!$J$8+R104*'sheet1-指标体系'!$J$9,2)))</x:f>
        <x:v>64.06</x:v>
      </x:c>
      <x:c r="T104" s="35" t="n">
        <x:f>IF(ISNUMBER('sheet4-原始数据'!J89),'sheet4-原始数据'!J89,"")</x:f>
        <x:v>0.9231</x:v>
      </x:c>
      <x:c r="U104" s="35" t="n">
        <x:f>IF(ISNUMBER('sheet4-原始数据'!I89),'sheet4-原始数据'!I89,"")</x:f>
        <x:v>0.7837999999999999</x:v>
      </x:c>
      <x:c r="V104" s="37" t="n">
        <x:f>IF(OR(NOT(ISNUMBER(T104)),NOT(ISNUMBER(U104))),"",(U104*'sheet1-指标体系'!$J$6-T104*'sheet1-指标体系'!$J$5)/'sheet1-指标体系'!$J$7)</x:f>
        <x:v>0.7083458333333331</x:v>
      </x:c>
      <x:c r="W104" s="17" t="n">
        <x:f>IF(NOT(ISNUMBER(T104)),"",T104*100)</x:f>
        <x:v>92.31</x:v>
      </x:c>
      <x:c r="X104" s="17" t="n">
        <x:f>IF($G104&lt;&gt;"入池","",IF(AND(ISNUMBER(V104),V104&gt;=0,V104&lt;=1),V104*100,IF(MAX(0,($F104-1)*12)&lt;6,100,"")))</x:f>
        <x:v>70.83458333333331</x:v>
      </x:c>
      <x:c r="Y104" s="17" t="n">
        <x:f>IF(NOT(ISNUMBER(W104)),"",IF(NOT(ISNUMBER(X104)),W104,ROUND(W104*'sheet1-指标体系'!$J$8+X104*'sheet1-指标体系'!$J$9,2)))</x:f>
        <x:v>83.72</x:v>
      </x:c>
      <x:c r="Z104" s="37" t="n">
        <x:f>IF(OR(NOT(ISNUMBER(M104)),NOT(ISNUMBER(AD104)),AD104=0),"",ABS(M104/AD104))</x:f>
        <x:v>0.008726102593223548</x:v>
      </x:c>
      <x:c r="AA104" s="35" t="n">
        <x:f>IF(ISNUMBER('sheet4-原始数据'!K89),'sheet4-原始数据'!K89,"")</x:f>
        <x:v>0.050199999999999995</x:v>
      </x:c>
      <x:c r="AB104" s="37" t="n">
        <x:f>IF(COUNT(Z104:AA104)=0,"",MAX(Z104:AA104))</x:f>
        <x:v>0.050199999999999995</x:v>
      </x:c>
      <x:c r="AC104" s="17" t="n">
        <x:f>IF(OR($G104&lt;&gt;"入池",NOT(ISNUMBER(AB104))),"",IF(COUNTIFS($G$17:$G$219,"入池",$AB$17:$AB$219,"&gt;=-1E+307",$AB$17:$AB$219,"&lt;=1E+307")&lt;=1,100,ROUND(100*(COUNTIFS($G$17:$G$219,"入池",$AB$17:$AB$219,"&lt;=1E+307",$AB$17:$AB$219,"&gt;"&amp;AB104)+COUNTIFS($G$17:$G$219,"入池",$AB$17:$AB$219,AB104,$AB$17:$AB$219,"&gt;=-1E+307",$AB$17:$AB$219,"&lt;=1E+307")/2-0.5)/(COUNTIFS($G$17:$G$219,"入池",$AB$17:$AB$219,"&gt;=-1E+307",$AB$17:$AB$219,"&lt;=1E+307")-1),2)))</x:f>
        <x:v>46.04</x:v>
      </x:c>
      <x:c r="AD104" s="38" t="n">
        <x:f>IF(ISNUMBER('sheet4-原始数据'!M89),'sheet4-原始数据'!M89,"")</x:f>
        <x:v>10.566</x:v>
      </x:c>
      <x:c r="AE104" s="37" t="n">
        <x:f t="shared" si="5">IF(OR(NOT(ISNUMBER(P104)),NOT(ISNUMBER(AA104)),NOT(ISNUMBER(Z104))),"",IF(AA104&gt;Z104+'sheet1-指标体系'!$J$11,AA104,""))</x:f>
        <x:v>0.050199999999999995</x:v>
      </x:c>
      <x:c r="AF104" s="17" t="n">
        <x:f>IF(OR(NOT(ISNUMBER(P104)),NOT(ISNUMBER(AE104)),AE104=0),"",P104/AE104)</x:f>
        <x:v>1.1087025720962917</x:v>
      </x:c>
      <x:c r="AG104" s="17" t="n">
        <x:f>IF(OR($G104&lt;&gt;"入池",NOT(ISNUMBER(AD104))),"",IF(COUNTIFS($G$17:$G$219,"入池",$AD$17:$AD$219,"&gt;=-1E+307",$AD$17:$AD$219,"&lt;=1E+307")&lt;=1,100,ROUND(100*(COUNTIFS($G$17:$G$219,"入池",$AD$17:$AD$219,"&gt;=-1E+307",$AD$17:$AD$219,"&lt;"&amp;AD104)+COUNTIFS($G$17:$G$219,"入池",$AD$17:$AD$219,AD104,$AD$17:$AD$219,"&gt;=-1E+307",$AD$17:$AD$219,"&lt;=1E+307")/2-0.5)/(COUNTIFS($G$17:$G$219,"入池",$AD$17:$AD$219,"&gt;=-1E+307",$AD$17:$AD$219,"&lt;=1E+307")-1),2)))</x:f>
        <x:v>80.1</x:v>
      </x:c>
      <x:c r="AH104" s="17" t="n">
        <x:f>IF(OR($G104&lt;&gt;"入池",NOT(ISNUMBER(AF104))),"",IF(COUNTIFS($G$17:$G$219,"入池",$AF$17:$AF$219,"&gt;=-1E+307",$AF$17:$AF$219,"&lt;=1E+307")&lt;=1,100,ROUND(100*(COUNTIFS($G$17:$G$219,"入池",$AF$17:$AF$219,"&gt;=-1E+307",$AF$17:$AF$219,"&lt;"&amp;AF104)+COUNTIFS($G$17:$G$219,"入池",$AF$17:$AF$219,AF104,$AF$17:$AF$219,"&gt;=-1E+307",$AF$17:$AF$219,"&lt;=1E+307")/2-0.5)/(COUNTIFS($G$17:$G$219,"入池",$AF$17:$AF$219,"&gt;=-1E+307",$AF$17:$AF$219,"&lt;=1E+307")-1),2)))</x:f>
        <x:v>45.99</x:v>
      </x:c>
      <x:c r="AI104" s="17" t="n">
        <x:f>IF(NOT(ISNUMBER(AG104)),"",IF(NOT(ISNUMBER(AH104)),AG104,ROUND(AG104*'sheet1-指标体系'!$J$8+AH104*'sheet1-指标体系'!$J$9,2)))</x:f>
        <x:v>66.46</x:v>
      </x:c>
      <x:c r="AJ104" s="37" t="n">
        <x:f>IF(NOT(ISNUMBER(F104)),"",IF(F104&gt;=3,IF(NOT(ISNUMBER(N104)),"",N104),IF(NOT(ISNUMBER(O104)),"",O104)))</x:f>
        <x:v>0.0677</x:v>
      </x:c>
      <x:c r="AK104" s="17" t="n">
        <x:f>IF(OR(G104&lt;&gt;"入池",NOT(ISNUMBER(M104)),NOT(ISNUMBER(AJ104))),"",IF(M104&gt;=AJ104,100,IF(AJ104-M104&lt;'sheet1-指标体系'!$J$10,80,60)))</x:f>
        <x:v>100</x:v>
      </x:c>
      <x:c r="AL104" s="17" t="n">
        <x:f>IF(COUNT(I104,K104,L104)=0,"",ROUND((IF(ISNUMBER(I104),I104*40%,0)+IF(ISNUMBER(K104),K104*30%,0)+IF(ISNUMBER(L104),L104*30%,0))/(IF(ISNUMBER(I104),40%,0)+IF(ISNUMBER(K104),30%,0)+IF(ISNUMBER(L104),30%,0)),2))</x:f>
        <x:v>92</x:v>
      </x:c>
      <x:c r="AM104" s="17" t="n">
        <x:f>IF(COUNT(Q104,R104,W104,X104)=0,"",ROUND((IF(ISNUMBER(Q104),Q104*42%,0)+IF(ISNUMBER(R104),R104*28%,0)+IF(ISNUMBER(W104),W104*18%,0)+IF(ISNUMBER(X104),X104*12%,0))/(IF(ISNUMBER(Q104),42%,0)+IF(ISNUMBER(R104),28%,0)+IF(ISNUMBER(W104),18%,0)+IF(ISNUMBER(X104),12%,0)),2))</x:f>
        <x:v>69.96</x:v>
      </x:c>
      <x:c r="AN104" s="17" t="n">
        <x:f>IF(ISNUMBER(AC104),AC104,"")</x:f>
        <x:v>46.04</x:v>
      </x:c>
      <x:c r="AO104" s="17" t="n">
        <x:f>IF(COUNT(AG104,AH104)=0,"",ROUND((IF(ISNUMBER(AG104),AG104*60%,0)+IF(ISNUMBER(AH104),AH104*40%,0))/(IF(ISNUMBER(AG104),60%,0)+IF(ISNUMBER(AH104),40%,0)),2))</x:f>
        <x:v>66.46</x:v>
      </x:c>
      <x:c r="AP104" s="17" t="n">
        <x:f>IF(ISNUMBER(AK104),AK104,"")</x:f>
        <x:v>100</x:v>
      </x:c>
      <x:c r="AQ104" s="39" t="n">
        <x:f>IF(G104&lt;&gt;"入池",0,IF(ISNUMBER(I104),6%,0)+IF(ISNUMBER(K104),4.5%,0)+IF(ISNUMBER(L104),4.5%,0)+IF(ISNUMBER(Q104),8.4%,0)+IF(ISNUMBER(R104),5.6%,0)+IF(ISNUMBER(W104),3.6%,0)+IF(ISNUMBER(X104),2.4%,0)+IF(ISNUMBER(AC104),25%,0)+IF(ISNUMBER(AG104),18%,0)+IF(ISNUMBER(AH104),12%,0)+IF(ISNUMBER(AK104),10%,0))</x:f>
        <x:v>1</x:v>
      </x:c>
      <x:c r="AR104" s="17" t="n">
        <x:f>IF(AQ104=0,"",IF(ISNUMBER(I104),I104*6%,0)+IF(ISNUMBER(K104),K104*4.5%,0)+IF(ISNUMBER(L104),L104*4.5%,0)+IF(ISNUMBER(Q104),Q104*8.4%,0)+IF(ISNUMBER(R104),R104*5.6%,0)+IF(ISNUMBER(W104),W104*3.6%,0)+IF(ISNUMBER(X104),X104*2.4%,0)+IF(ISNUMBER(AC104),AC104*25%,0)+IF(ISNUMBER(AG104),AG104*18%,0)+IF(ISNUMBER(AH104),AH104*12%,0)+IF(ISNUMBER(AK104),AK104*10%,0))</x:f>
        <x:v>69.23783</x:v>
      </x:c>
      <x:c r="AS104" s="17" t="n">
        <x:f>IF(AQ104=0,"",ROUND(AR104/AQ104,2))</x:f>
        <x:v>69.24</x:v>
      </x:c>
      <x:c r="AT104" s="40" t="n">
        <x:f>IF(OR(G104&lt;&gt;"入池",NOT(ISNUMBER(AS104))),"",COUNTIFS($G$17:$G$219,"入池",$AS$17:$AS$219,"&gt;"&amp;AS104)+COUNTIFS($G$17:$G$219,"入池",$AS$17:$AS$219,AS104,$AQ$17:$AQ$219,"&gt;"&amp;AQ104)+COUNTIFS($G$17:G104,"入池",$AS$17:AS104,AS104,$AQ$17:AQ104,AQ104))</x:f>
        <x:v>75</x:v>
      </x:c>
      <x:c r="AU104" s="41" t="str">
        <x:f t="shared" si="4">IF(NOT(ISNUMBER(I104)),"管理人规模；","")&amp;IF(J104="","产品规模标识；","")&amp;IF(AND(F104&lt;3,NOT(ISNUMBER(O104))),"R_incep；","")&amp;IF(NOT(ISNUMBER(N104)),"近三年收益；","")&amp;IF(NOT(ISNUMBER(U104)),"近三年胜率；","")&amp;IF(AND(ISNUMBER(V104),OR(V104&lt;0,V104&gt;1)),"胜率窗口口径不一致；","")&amp;IF(NOT(ISNUMBER(AA104)),"近三年回撤；","")&amp;IF(NOT(ISNUMBER(AD104)),"短期卡玛；","")&amp;IF(AND(ISNUMBER(P104),NOT(ISNUMBER(AE104))),"DD_long不可识别；","")</x:f>
      </x:c>
      <x:c r="AV104" s="42" t="n">
        <x:v>10</x:v>
      </x:c>
      <x:c r="AW104" s="19" t="str">
        <x:v>上海殊馥投资管理有限公司</x:v>
      </x:c>
      <x:c r="AX104" s="19" t="str">
        <x:v>2026-06-29</x:v>
      </x:c>
      <x:c r="AY104" s="19" t="str">
        <x:v>https://gs.amac.org.cn/amac-infodisc/res/pof/manager/101000042776.html</x:v>
      </x:c>
      <x:c r="AZ104" s="19" t="str">
        <x:v>殊馥馥源套利1号私募证券投资基金</x:v>
      </x:c>
      <x:c r="BA104" s="19" t="str">
        <x:v>2024-09-20</x:v>
      </x:c>
      <x:c r="BB104" s="19"/>
      <x:c r="BC104" s="19" t="str">
        <x:v>https://gs.amac.org.cn/amac-infodisc/res/pof/fund/1905151920101338.html</x:v>
      </x:c>
      <x:c r="BD104" s="19" t="str">
        <x:v>已匹配</x:v>
      </x:c>
      <x:c r="BE104"/>
      <x:c r="BF104"/>
    </x:row>
    <x:row r="105" ht="28" customHeight="1">
      <x:c r="A105" s="4" t="n">
        <x:v>89</x:v>
      </x:c>
      <x:c r="B105" s="15" t="str">
        <x:f>'sheet4-原始数据'!A90</x:f>
        <x:v>杉阳云杉混合1号</x:v>
      </x:c>
      <x:c r="C105" s="15" t="str">
        <x:f>'sheet4-原始数据'!B90</x:f>
        <x:v>SLA063</x:v>
      </x:c>
      <x:c r="D105" s="15" t="str">
        <x:f>'sheet4-原始数据'!E90</x:f>
        <x:v>上海杉阳</x:v>
      </x:c>
      <x:c r="E105" s="32" t="n">
        <x:f>IF(ISNUMBER('sheet4-原始数据'!F90),'sheet4-原始数据'!F90,"")</x:f>
        <x:v>43980</x:v>
      </x:c>
      <x:c r="F105" s="17" t="n">
        <x:f>IF(NOT(ISNUMBER(E105)),"",ROUND(('sheet1-指标体系'!$J$23-E105)/365.25,4))</x:f>
        <x:v>6.2998</x:v>
      </x:c>
      <x:c r="G105" s="4" t="str">
        <x:f t="shared" si="3">IF(NOT(ISNUMBER(F105)),"",IF(F105&lt;1,"不入池","入池"))</x:f>
        <x:v>入池</x:v>
      </x:c>
      <x:c r="H105" s="33" t="str">
        <x:v>0-5亿元</x:v>
      </x:c>
      <x:c r="I105" s="17" t="n">
        <x:f>IF(H105="","",IF(ISNUMBER(SEARCH("100亿元以上",H105)),100,IF(OR(ISNUMBER(SEARCH("20-50",H105)),ISNUMBER(SEARCH("50-100",H105)),ISNUMBER(SEARCH("20-100",H105))),90,IF(ISNUMBER(SEARCH("10-20",H105)),80,IF(ISNUMBER(SEARCH("5-10",H105)),70,IF(ISNUMBER(SEARCH("0-5",H105)),60,""))))))</x:f>
        <x:v>60</x:v>
      </x:c>
      <x:c r="J105" s="34" t="str">
        <x:v>无低于1000万元标识</x:v>
      </x:c>
      <x:c r="K105" s="17" t="n">
        <x:f>IF(J105="","",IF(J105="低于1000万元",0,100))</x:f>
        <x:v>100</x:v>
      </x:c>
      <x:c r="L105" s="17" t="n">
        <x:f>IF(NOT(ISNUMBER(F105)),"",IF(F105&lt;1,"",IF(F105&lt;3,70,100)))</x:f>
        <x:v>100</x:v>
      </x:c>
      <x:c r="M105" s="35" t="n">
        <x:f>IF(ISNUMBER('sheet4-原始数据'!G90),'sheet4-原始数据'!G90,"")</x:f>
        <x:v>0.0797</x:v>
      </x:c>
      <x:c r="N105" s="35" t="n">
        <x:f>IF(ISNUMBER('sheet4-原始数据'!H90),'sheet4-原始数据'!H90,"")</x:f>
        <x:v>0.045599999999999995</x:v>
      </x:c>
      <x:c r="O105" s="36" t="str">
        <x:f>IF(ISNUMBER('sheet4-原始数据'!Q90),'sheet4-原始数据'!Q90,"")</x:f>
      </x:c>
      <x:c r="P105" s="37" t="n">
        <x:f>IF($G105&lt;&gt;"入池","",IF($F105&gt;=3,IF(OR(NOT(ISNUMBER($M105)),NOT(ISNUMBER($N105)),1+$M105&lt;=0,1+$N105&lt;0),"",((1+$N105)^3/(1+$M105))^(1/2)-1),IF(OR($F105&lt;=1,NOT(ISNUMBER($M105)),NOT(ISNUMBER($O105)),1+$M105&lt;=0,1+$O105&lt;0),"",((1+$O105)^$F105/(1+$M105))^(1/($F105-1))-1)))</x:f>
        <x:v>0.028956017111314125</x:v>
      </x:c>
      <x:c r="Q105" s="17" t="n">
        <x:f>IF(OR($G105&lt;&gt;"入池",NOT(ISNUMBER(M105))),"",IF(COUNTIFS($G$17:$G$219,"入池",$M$17:$M$219,"&gt;=-1E+307",$M$17:$M$219,"&lt;=1E+307")&lt;=1,100,ROUND(100*(COUNTIFS($G$17:$G$219,"入池",$M$17:$M$219,"&gt;=-1E+307",$M$17:$M$219,"&lt;"&amp;M105)+COUNTIFS($G$17:$G$219,"入池",$M$17:$M$219,M105,$M$17:$M$219,"&gt;=-1E+307",$M$17:$M$219,"&lt;=1E+307")/2-0.5)/(COUNTIFS($G$17:$G$219,"入池",$M$17:$M$219,"&gt;=-1E+307",$M$17:$M$219,"&lt;=1E+307")-1),2)))</x:f>
        <x:v>71.78</x:v>
      </x:c>
      <x:c r="R105" s="17" t="n">
        <x:f>IF(OR($G105&lt;&gt;"入池",NOT(ISNUMBER(P105))),"",IF(COUNTIFS($G$17:$G$219,"入池",$P$17:$P$219,"&gt;=-1E+307",$P$17:$P$219,"&lt;=1E+307")&lt;=1,100,ROUND(100*(COUNTIFS($G$17:$G$219,"入池",$P$17:$P$219,"&gt;=-1E+307",$P$17:$P$219,"&lt;"&amp;P105)+COUNTIFS($G$17:$G$219,"入池",$P$17:$P$219,P105,$P$17:$P$219,"&gt;=-1E+307",$P$17:$P$219,"&lt;=1E+307")/2-0.5)/(COUNTIFS($G$17:$G$219,"入池",$P$17:$P$219,"&gt;=-1E+307",$P$17:$P$219,"&lt;=1E+307")-1),2)))</x:f>
        <x:v>14.85</x:v>
      </x:c>
      <x:c r="S105" s="17" t="n">
        <x:f>IF(NOT(ISNUMBER(Q105)),"",IF(NOT(ISNUMBER(R105)),Q105,ROUND(Q105*'sheet1-指标体系'!$J$8+R105*'sheet1-指标体系'!$J$9,2)))</x:f>
        <x:v>49.01</x:v>
      </x:c>
      <x:c r="T105" s="35" t="n">
        <x:f>IF(ISNUMBER('sheet4-原始数据'!J90),'sheet4-原始数据'!J90,"")</x:f>
        <x:v>0.8462000000000001</x:v>
      </x:c>
      <x:c r="U105" s="35" t="n">
        <x:f>IF(ISNUMBER('sheet4-原始数据'!I90),'sheet4-原始数据'!I90,"")</x:f>
        <x:v>0.7297</x:v>
      </x:c>
      <x:c r="V105" s="37" t="n">
        <x:f>IF(OR(NOT(ISNUMBER(T105)),NOT(ISNUMBER(U105))),"",(U105*'sheet1-指标体系'!$J$6-T105*'sheet1-指标体系'!$J$5)/'sheet1-指标体系'!$J$7)</x:f>
        <x:v>0.6665958333333333</x:v>
      </x:c>
      <x:c r="W105" s="17" t="n">
        <x:f>IF(NOT(ISNUMBER(T105)),"",T105*100)</x:f>
        <x:v>84.62</x:v>
      </x:c>
      <x:c r="X105" s="17" t="n">
        <x:f>IF($G105&lt;&gt;"入池","",IF(AND(ISNUMBER(V105),V105&gt;=0,V105&lt;=1),V105*100,IF(MAX(0,($F105-1)*12)&lt;6,100,"")))</x:f>
        <x:v>66.65958333333333</x:v>
      </x:c>
      <x:c r="Y105" s="17" t="n">
        <x:f>IF(NOT(ISNUMBER(W105)),"",IF(NOT(ISNUMBER(X105)),W105,ROUND(W105*'sheet1-指标体系'!$J$8+X105*'sheet1-指标体系'!$J$9,2)))</x:f>
        <x:v>77.44</x:v>
      </x:c>
      <x:c r="Z105" s="37" t="n">
        <x:f>IF(OR(NOT(ISNUMBER(M105)),NOT(ISNUMBER(AD105)),AD105=0),"",ABS(M105/AD105))</x:f>
        <x:v>0.0048520638012906365</x:v>
      </x:c>
      <x:c r="AA105" s="35" t="n">
        <x:f>IF(ISNUMBER('sheet4-原始数据'!K90),'sheet4-原始数据'!K90,"")</x:f>
        <x:v>0.03</x:v>
      </x:c>
      <x:c r="AB105" s="37" t="n">
        <x:f>IF(COUNT(Z105:AA105)=0,"",MAX(Z105:AA105))</x:f>
        <x:v>0.03</x:v>
      </x:c>
      <x:c r="AC105" s="17" t="n">
        <x:f>IF(OR($G105&lt;&gt;"入池",NOT(ISNUMBER(AB105))),"",IF(COUNTIFS($G$17:$G$219,"入池",$AB$17:$AB$219,"&gt;=-1E+307",$AB$17:$AB$219,"&lt;=1E+307")&lt;=1,100,ROUND(100*(COUNTIFS($G$17:$G$219,"入池",$AB$17:$AB$219,"&lt;=1E+307",$AB$17:$AB$219,"&gt;"&amp;AB105)+COUNTIFS($G$17:$G$219,"入池",$AB$17:$AB$219,AB105,$AB$17:$AB$219,"&gt;=-1E+307",$AB$17:$AB$219,"&lt;=1E+307")/2-0.5)/(COUNTIFS($G$17:$G$219,"入池",$AB$17:$AB$219,"&gt;=-1E+307",$AB$17:$AB$219,"&lt;=1E+307")-1),2)))</x:f>
        <x:v>60.4</x:v>
      </x:c>
      <x:c r="AD105" s="38" t="n">
        <x:f>IF(ISNUMBER('sheet4-原始数据'!M90),'sheet4-原始数据'!M90,"")</x:f>
        <x:v>16.426</x:v>
      </x:c>
      <x:c r="AE105" s="37" t="n">
        <x:f t="shared" si="5">IF(OR(NOT(ISNUMBER(P105)),NOT(ISNUMBER(AA105)),NOT(ISNUMBER(Z105))),"",IF(AA105&gt;Z105+'sheet1-指标体系'!$J$11,AA105,""))</x:f>
        <x:v>0.03</x:v>
      </x:c>
      <x:c r="AF105" s="17" t="n">
        <x:f>IF(OR(NOT(ISNUMBER(P105)),NOT(ISNUMBER(AE105)),AE105=0),"",P105/AE105)</x:f>
        <x:v>0.9652005703771376</x:v>
      </x:c>
      <x:c r="AG105" s="17" t="n">
        <x:f>IF(OR($G105&lt;&gt;"入池",NOT(ISNUMBER(AD105))),"",IF(COUNTIFS($G$17:$G$219,"入池",$AD$17:$AD$219,"&gt;=-1E+307",$AD$17:$AD$219,"&lt;=1E+307")&lt;=1,100,ROUND(100*(COUNTIFS($G$17:$G$219,"入池",$AD$17:$AD$219,"&gt;=-1E+307",$AD$17:$AD$219,"&lt;"&amp;AD105)+COUNTIFS($G$17:$G$219,"入池",$AD$17:$AD$219,AD105,$AD$17:$AD$219,"&gt;=-1E+307",$AD$17:$AD$219,"&lt;=1E+307")/2-0.5)/(COUNTIFS($G$17:$G$219,"入池",$AD$17:$AD$219,"&gt;=-1E+307",$AD$17:$AD$219,"&lt;=1E+307")-1),2)))</x:f>
        <x:v>87.56</x:v>
      </x:c>
      <x:c r="AH105" s="17" t="n">
        <x:f>IF(OR($G105&lt;&gt;"入池",NOT(ISNUMBER(AF105))),"",IF(COUNTIFS($G$17:$G$219,"入池",$AF$17:$AF$219,"&gt;=-1E+307",$AF$17:$AF$219,"&lt;=1E+307")&lt;=1,100,ROUND(100*(COUNTIFS($G$17:$G$219,"入池",$AF$17:$AF$219,"&gt;=-1E+307",$AF$17:$AF$219,"&lt;"&amp;AF105)+COUNTIFS($G$17:$G$219,"入池",$AF$17:$AF$219,AF105,$AF$17:$AF$219,"&gt;=-1E+307",$AF$17:$AF$219,"&lt;=1E+307")/2-0.5)/(COUNTIFS($G$17:$G$219,"入池",$AF$17:$AF$219,"&gt;=-1E+307",$AF$17:$AF$219,"&lt;=1E+307")-1),2)))</x:f>
        <x:v>40.15</x:v>
      </x:c>
      <x:c r="AI105" s="17" t="n">
        <x:f>IF(NOT(ISNUMBER(AG105)),"",IF(NOT(ISNUMBER(AH105)),AG105,ROUND(AG105*'sheet1-指标体系'!$J$8+AH105*'sheet1-指标体系'!$J$9,2)))</x:f>
        <x:v>68.6</x:v>
      </x:c>
      <x:c r="AJ105" s="37" t="n">
        <x:f>IF(NOT(ISNUMBER(F105)),"",IF(F105&gt;=3,IF(NOT(ISNUMBER(N105)),"",N105),IF(NOT(ISNUMBER(O105)),"",O105)))</x:f>
        <x:v>0.045599999999999995</x:v>
      </x:c>
      <x:c r="AK105" s="17" t="n">
        <x:f>IF(OR(G105&lt;&gt;"入池",NOT(ISNUMBER(M105)),NOT(ISNUMBER(AJ105))),"",IF(M105&gt;=AJ105,100,IF(AJ105-M105&lt;'sheet1-指标体系'!$J$10,80,60)))</x:f>
        <x:v>100</x:v>
      </x:c>
      <x:c r="AL105" s="17" t="n">
        <x:f>IF(COUNT(I105,K105,L105)=0,"",ROUND((IF(ISNUMBER(I105),I105*40%,0)+IF(ISNUMBER(K105),K105*30%,0)+IF(ISNUMBER(L105),L105*30%,0))/(IF(ISNUMBER(I105),40%,0)+IF(ISNUMBER(K105),30%,0)+IF(ISNUMBER(L105),30%,0)),2))</x:f>
        <x:v>84</x:v>
      </x:c>
      <x:c r="AM105" s="17" t="n">
        <x:f>IF(COUNT(Q105,R105,W105,X105)=0,"",ROUND((IF(ISNUMBER(Q105),Q105*42%,0)+IF(ISNUMBER(R105),R105*28%,0)+IF(ISNUMBER(W105),W105*18%,0)+IF(ISNUMBER(X105),X105*12%,0))/(IF(ISNUMBER(Q105),42%,0)+IF(ISNUMBER(R105),28%,0)+IF(ISNUMBER(W105),18%,0)+IF(ISNUMBER(X105),12%,0)),2))</x:f>
        <x:v>57.54</x:v>
      </x:c>
      <x:c r="AN105" s="17" t="n">
        <x:f>IF(ISNUMBER(AC105),AC105,"")</x:f>
        <x:v>60.4</x:v>
      </x:c>
      <x:c r="AO105" s="17" t="n">
        <x:f>IF(COUNT(AG105,AH105)=0,"",ROUND((IF(ISNUMBER(AG105),AG105*60%,0)+IF(ISNUMBER(AH105),AH105*40%,0))/(IF(ISNUMBER(AG105),60%,0)+IF(ISNUMBER(AH105),40%,0)),2))</x:f>
        <x:v>68.6</x:v>
      </x:c>
      <x:c r="AP105" s="17" t="n">
        <x:f>IF(ISNUMBER(AK105),AK105,"")</x:f>
        <x:v>100</x:v>
      </x:c>
      <x:c r="AQ105" s="39" t="n">
        <x:f>IF(G105&lt;&gt;"入池",0,IF(ISNUMBER(I105),6%,0)+IF(ISNUMBER(K105),4.5%,0)+IF(ISNUMBER(L105),4.5%,0)+IF(ISNUMBER(Q105),8.4%,0)+IF(ISNUMBER(R105),5.6%,0)+IF(ISNUMBER(W105),3.6%,0)+IF(ISNUMBER(X105),2.4%,0)+IF(ISNUMBER(AC105),25%,0)+IF(ISNUMBER(AG105),18%,0)+IF(ISNUMBER(AH105),12%,0)+IF(ISNUMBER(AK105),10%,0))</x:f>
        <x:v>1</x:v>
      </x:c>
      <x:c r="AR105" s="17" t="n">
        <x:f>IF(AQ105=0,"",IF(ISNUMBER(I105),I105*6%,0)+IF(ISNUMBER(K105),K105*4.5%,0)+IF(ISNUMBER(L105),L105*4.5%,0)+IF(ISNUMBER(Q105),Q105*8.4%,0)+IF(ISNUMBER(R105),R105*5.6%,0)+IF(ISNUMBER(W105),W105*3.6%,0)+IF(ISNUMBER(X105),X105*2.4%,0)+IF(ISNUMBER(AC105),AC105*25%,0)+IF(ISNUMBER(AG105),AG105*18%,0)+IF(ISNUMBER(AH105),AH105*12%,0)+IF(ISNUMBER(AK105),AK105*10%,0))</x:f>
        <x:v>69.78607</x:v>
      </x:c>
      <x:c r="AS105" s="17" t="n">
        <x:f>IF(AQ105=0,"",ROUND(AR105/AQ105,2))</x:f>
        <x:v>69.79</x:v>
      </x:c>
      <x:c r="AT105" s="40" t="n">
        <x:f>IF(OR(G105&lt;&gt;"入池",NOT(ISNUMBER(AS105))),"",COUNTIFS($G$17:$G$219,"入池",$AS$17:$AS$219,"&gt;"&amp;AS105)+COUNTIFS($G$17:$G$219,"入池",$AS$17:$AS$219,AS105,$AQ$17:$AQ$219,"&gt;"&amp;AQ105)+COUNTIFS($G$17:G105,"入池",$AS$17:AS105,AS105,$AQ$17:AQ105,AQ105))</x:f>
        <x:v>73</x:v>
      </x:c>
      <x:c r="AU105" s="41" t="str">
        <x:f t="shared" si="4">IF(NOT(ISNUMBER(I105)),"管理人规模；","")&amp;IF(J105="","产品规模标识；","")&amp;IF(AND(F105&lt;3,NOT(ISNUMBER(O105))),"R_incep；","")&amp;IF(NOT(ISNUMBER(N105)),"近三年收益；","")&amp;IF(NOT(ISNUMBER(U105)),"近三年胜率；","")&amp;IF(AND(ISNUMBER(V105),OR(V105&lt;0,V105&gt;1)),"胜率窗口口径不一致；","")&amp;IF(NOT(ISNUMBER(AA105)),"近三年回撤；","")&amp;IF(NOT(ISNUMBER(AD105)),"短期卡玛；","")&amp;IF(AND(ISNUMBER(P105),NOT(ISNUMBER(AE105))),"DD_long不可识别；","")</x:f>
      </x:c>
      <x:c r="AV105" s="42" t="n">
        <x:v>0</x:v>
      </x:c>
      <x:c r="AW105" s="19" t="str">
        <x:v>上海杉阳私募基金管理有限公司</x:v>
      </x:c>
      <x:c r="AX105" s="19" t="str">
        <x:v>2026-05-06</x:v>
      </x:c>
      <x:c r="AY105" s="19" t="str">
        <x:v>https://gs.amac.org.cn/amac-infodisc/res/pof/manager/2001061547104837.html</x:v>
      </x:c>
      <x:c r="AZ105" s="19" t="str">
        <x:v>杉阳云杉混合1号私募证券投资基金</x:v>
      </x:c>
      <x:c r="BA105" s="19" t="str">
        <x:v>2025-07-17</x:v>
      </x:c>
      <x:c r="BB105" s="19"/>
      <x:c r="BC105" s="19" t="str">
        <x:v>https://gs.amac.org.cn/amac-infodisc/res/pof/fund/2006011729109166.html</x:v>
      </x:c>
      <x:c r="BD105" s="19" t="str">
        <x:v>已匹配</x:v>
      </x:c>
      <x:c r="BE105"/>
      <x:c r="BF105"/>
    </x:row>
    <x:row r="106" ht="28" customHeight="1">
      <x:c r="A106" s="4" t="n">
        <x:v>90</x:v>
      </x:c>
      <x:c r="B106" s="15" t="str">
        <x:f>'sheet4-原始数据'!A91</x:f>
        <x:v>申毅格物22号</x:v>
      </x:c>
      <x:c r="C106" s="15" t="str">
        <x:f>'sheet4-原始数据'!B91</x:f>
        <x:v>SLD523</x:v>
      </x:c>
      <x:c r="D106" s="15" t="str">
        <x:f>'sheet4-原始数据'!E91</x:f>
        <x:v>上海申毅投资</x:v>
      </x:c>
      <x:c r="E106" s="32" t="n">
        <x:f>IF(ISNUMBER('sheet4-原始数据'!F91),'sheet4-原始数据'!F91,"")</x:f>
        <x:v>44026</x:v>
      </x:c>
      <x:c r="F106" s="17" t="n">
        <x:f>IF(NOT(ISNUMBER(E106)),"",ROUND(('sheet1-指标体系'!$J$23-E106)/365.25,4))</x:f>
        <x:v>6.1739</x:v>
      </x:c>
      <x:c r="G106" s="4" t="str">
        <x:f t="shared" si="3">IF(NOT(ISNUMBER(F106)),"",IF(F106&lt;1,"不入池","入池"))</x:f>
        <x:v>入池</x:v>
      </x:c>
      <x:c r="H106" s="33" t="str">
        <x:v>100亿元以上</x:v>
      </x:c>
      <x:c r="I106" s="17" t="n">
        <x:f>IF(H106="","",IF(ISNUMBER(SEARCH("100亿元以上",H106)),100,IF(OR(ISNUMBER(SEARCH("20-50",H106)),ISNUMBER(SEARCH("50-100",H106)),ISNUMBER(SEARCH("20-100",H106))),90,IF(ISNUMBER(SEARCH("10-20",H106)),80,IF(ISNUMBER(SEARCH("5-10",H106)),70,IF(ISNUMBER(SEARCH("0-5",H106)),60,""))))))</x:f>
        <x:v>100</x:v>
      </x:c>
      <x:c r="J106" s="34" t="str">
        <x:v>无低于1000万元标识</x:v>
      </x:c>
      <x:c r="K106" s="17" t="n">
        <x:f>IF(J106="","",IF(J106="低于1000万元",0,100))</x:f>
        <x:v>100</x:v>
      </x:c>
      <x:c r="L106" s="17" t="n">
        <x:f>IF(NOT(ISNUMBER(F106)),"",IF(F106&lt;1,"",IF(F106&lt;3,70,100)))</x:f>
        <x:v>100</x:v>
      </x:c>
      <x:c r="M106" s="35" t="n">
        <x:f>IF(ISNUMBER('sheet4-原始数据'!G91),'sheet4-原始数据'!G91,"")</x:f>
        <x:v>0.0632</x:v>
      </x:c>
      <x:c r="N106" s="35" t="n">
        <x:f>IF(ISNUMBER('sheet4-原始数据'!H91),'sheet4-原始数据'!H91,"")</x:f>
        <x:v>0.0967</x:v>
      </x:c>
      <x:c r="O106" s="36" t="str">
        <x:f>IF(ISNUMBER('sheet4-原始数据'!Q91),'sheet4-原始数据'!Q91,"")</x:f>
      </x:c>
      <x:c r="P106" s="37" t="n">
        <x:f>IF($G106&lt;&gt;"入池","",IF($F106&gt;=3,IF(OR(NOT(ISNUMBER($M106)),NOT(ISNUMBER($N106)),1+$M106&lt;=0,1+$N106&lt;0),"",((1+$N106)^3/(1+$M106))^(1/2)-1),IF(OR($F106&lt;=1,NOT(ISNUMBER($M106)),NOT(ISNUMBER($O106)),1+$M106&lt;=0,1+$O106&lt;0),"",((1+$O106)^$F106/(1+$M106))^(1/($F106-1))-1)))</x:f>
        <x:v>0.11384377297086279</x:v>
      </x:c>
      <x:c r="Q106" s="17" t="n">
        <x:f>IF(OR($G106&lt;&gt;"入池",NOT(ISNUMBER(M106))),"",IF(COUNTIFS($G$17:$G$219,"入池",$M$17:$M$219,"&gt;=-1E+307",$M$17:$M$219,"&lt;=1E+307")&lt;=1,100,ROUND(100*(COUNTIFS($G$17:$G$219,"入池",$M$17:$M$219,"&gt;=-1E+307",$M$17:$M$219,"&lt;"&amp;M106)+COUNTIFS($G$17:$G$219,"入池",$M$17:$M$219,M106,$M$17:$M$219,"&gt;=-1E+307",$M$17:$M$219,"&lt;=1E+307")/2-0.5)/(COUNTIFS($G$17:$G$219,"入池",$M$17:$M$219,"&gt;=-1E+307",$M$17:$M$219,"&lt;=1E+307")-1),2)))</x:f>
        <x:v>57.67</x:v>
      </x:c>
      <x:c r="R106" s="17" t="n">
        <x:f>IF(OR($G106&lt;&gt;"入池",NOT(ISNUMBER(P106))),"",IF(COUNTIFS($G$17:$G$219,"入池",$P$17:$P$219,"&gt;=-1E+307",$P$17:$P$219,"&lt;=1E+307")&lt;=1,100,ROUND(100*(COUNTIFS($G$17:$G$219,"入池",$P$17:$P$219,"&gt;=-1E+307",$P$17:$P$219,"&lt;"&amp;P106)+COUNTIFS($G$17:$G$219,"入池",$P$17:$P$219,P106,$P$17:$P$219,"&gt;=-1E+307",$P$17:$P$219,"&lt;=1E+307")/2-0.5)/(COUNTIFS($G$17:$G$219,"入池",$P$17:$P$219,"&gt;=-1E+307",$P$17:$P$219,"&lt;=1E+307")-1),2)))</x:f>
        <x:v>78.71</x:v>
      </x:c>
      <x:c r="S106" s="17" t="n">
        <x:f>IF(NOT(ISNUMBER(Q106)),"",IF(NOT(ISNUMBER(R106)),Q106,ROUND(Q106*'sheet1-指标体系'!$J$8+R106*'sheet1-指标体系'!$J$9,2)))</x:f>
        <x:v>66.09</x:v>
      </x:c>
      <x:c r="T106" s="35" t="n">
        <x:f>IF(ISNUMBER('sheet4-原始数据'!J91),'sheet4-原始数据'!J91,"")</x:f>
        <x:v>0.5385</x:v>
      </x:c>
      <x:c r="U106" s="35" t="n">
        <x:f>IF(ISNUMBER('sheet4-原始数据'!I91),'sheet4-原始数据'!I91,"")</x:f>
        <x:v>0.6757</x:v>
      </x:c>
      <x:c r="V106" s="37" t="n">
        <x:f>IF(OR(NOT(ISNUMBER(T106)),NOT(ISNUMBER(U106))),"",(U106*'sheet1-指标体系'!$J$6-T106*'sheet1-指标体系'!$J$5)/'sheet1-指标体系'!$J$7)</x:f>
        <x:v>0.7500166666666667</x:v>
      </x:c>
      <x:c r="W106" s="17" t="n">
        <x:f>IF(NOT(ISNUMBER(T106)),"",T106*100)</x:f>
        <x:v>53.849999999999994</x:v>
      </x:c>
      <x:c r="X106" s="17" t="n">
        <x:f>IF($G106&lt;&gt;"入池","",IF(AND(ISNUMBER(V106),V106&gt;=0,V106&lt;=1),V106*100,IF(MAX(0,($F106-1)*12)&lt;6,100,"")))</x:f>
        <x:v>75.00166666666667</x:v>
      </x:c>
      <x:c r="Y106" s="17" t="n">
        <x:f>IF(NOT(ISNUMBER(W106)),"",IF(NOT(ISNUMBER(X106)),W106,ROUND(W106*'sheet1-指标体系'!$J$8+X106*'sheet1-指标体系'!$J$9,2)))</x:f>
        <x:v>62.31</x:v>
      </x:c>
      <x:c r="Z106" s="37" t="n">
        <x:f>IF(OR(NOT(ISNUMBER(M106)),NOT(ISNUMBER(AD106)),AD106=0),"",ABS(M106/AD106))</x:f>
        <x:v>0.03715243078008348</x:v>
      </x:c>
      <x:c r="AA106" s="35" t="n">
        <x:f>IF(ISNUMBER('sheet4-原始数据'!K91),'sheet4-原始数据'!K91,"")</x:f>
        <x:v>0.1318</x:v>
      </x:c>
      <x:c r="AB106" s="37" t="n">
        <x:f>IF(COUNT(Z106:AA106)=0,"",MAX(Z106:AA106))</x:f>
        <x:v>0.1318</x:v>
      </x:c>
      <x:c r="AC106" s="17" t="n">
        <x:f>IF(OR($G106&lt;&gt;"入池",NOT(ISNUMBER(AB106))),"",IF(COUNTIFS($G$17:$G$219,"入池",$AB$17:$AB$219,"&gt;=-1E+307",$AB$17:$AB$219,"&lt;=1E+307")&lt;=1,100,ROUND(100*(COUNTIFS($G$17:$G$219,"入池",$AB$17:$AB$219,"&lt;=1E+307",$AB$17:$AB$219,"&gt;"&amp;AB106)+COUNTIFS($G$17:$G$219,"入池",$AB$17:$AB$219,AB106,$AB$17:$AB$219,"&gt;=-1E+307",$AB$17:$AB$219,"&lt;=1E+307")/2-0.5)/(COUNTIFS($G$17:$G$219,"入池",$AB$17:$AB$219,"&gt;=-1E+307",$AB$17:$AB$219,"&lt;=1E+307")-1),2)))</x:f>
        <x:v>16.34</x:v>
      </x:c>
      <x:c r="AD106" s="38" t="n">
        <x:f>IF(ISNUMBER('sheet4-原始数据'!M91),'sheet4-原始数据'!M91,"")</x:f>
        <x:v>1.7011</x:v>
      </x:c>
      <x:c r="AE106" s="37" t="n">
        <x:f t="shared" si="5">IF(OR(NOT(ISNUMBER(P106)),NOT(ISNUMBER(AA106)),NOT(ISNUMBER(Z106))),"",IF(AA106&gt;Z106+'sheet1-指标体系'!$J$11,AA106,""))</x:f>
        <x:v>0.1318</x:v>
      </x:c>
      <x:c r="AF106" s="17" t="n">
        <x:f>IF(OR(NOT(ISNUMBER(P106)),NOT(ISNUMBER(AE106)),AE106=0),"",P106/AE106)</x:f>
        <x:v>0.8637615551658785</x:v>
      </x:c>
      <x:c r="AG106" s="17" t="n">
        <x:f>IF(OR($G106&lt;&gt;"入池",NOT(ISNUMBER(AD106))),"",IF(COUNTIFS($G$17:$G$219,"入池",$AD$17:$AD$219,"&gt;=-1E+307",$AD$17:$AD$219,"&lt;=1E+307")&lt;=1,100,ROUND(100*(COUNTIFS($G$17:$G$219,"入池",$AD$17:$AD$219,"&gt;=-1E+307",$AD$17:$AD$219,"&lt;"&amp;AD106)+COUNTIFS($G$17:$G$219,"入池",$AD$17:$AD$219,AD106,$AD$17:$AD$219,"&gt;=-1E+307",$AD$17:$AD$219,"&lt;=1E+307")/2-0.5)/(COUNTIFS($G$17:$G$219,"入池",$AD$17:$AD$219,"&gt;=-1E+307",$AD$17:$AD$219,"&lt;=1E+307")-1),2)))</x:f>
        <x:v>40.8</x:v>
      </x:c>
      <x:c r="AH106" s="17" t="n">
        <x:f>IF(OR($G106&lt;&gt;"入池",NOT(ISNUMBER(AF106))),"",IF(COUNTIFS($G$17:$G$219,"入池",$AF$17:$AF$219,"&gt;=-1E+307",$AF$17:$AF$219,"&lt;=1E+307")&lt;=1,100,ROUND(100*(COUNTIFS($G$17:$G$219,"入池",$AF$17:$AF$219,"&gt;=-1E+307",$AF$17:$AF$219,"&lt;"&amp;AF106)+COUNTIFS($G$17:$G$219,"入池",$AF$17:$AF$219,AF106,$AF$17:$AF$219,"&gt;=-1E+307",$AF$17:$AF$219,"&lt;=1E+307")/2-0.5)/(COUNTIFS($G$17:$G$219,"入池",$AF$17:$AF$219,"&gt;=-1E+307",$AF$17:$AF$219,"&lt;=1E+307")-1),2)))</x:f>
        <x:v>35.04</x:v>
      </x:c>
      <x:c r="AI106" s="17" t="n">
        <x:f>IF(NOT(ISNUMBER(AG106)),"",IF(NOT(ISNUMBER(AH106)),AG106,ROUND(AG106*'sheet1-指标体系'!$J$8+AH106*'sheet1-指标体系'!$J$9,2)))</x:f>
        <x:v>38.5</x:v>
      </x:c>
      <x:c r="AJ106" s="37" t="n">
        <x:f>IF(NOT(ISNUMBER(F106)),"",IF(F106&gt;=3,IF(NOT(ISNUMBER(N106)),"",N106),IF(NOT(ISNUMBER(O106)),"",O106)))</x:f>
        <x:v>0.0967</x:v>
      </x:c>
      <x:c r="AK106" s="17" t="n">
        <x:f>IF(OR(G106&lt;&gt;"入池",NOT(ISNUMBER(M106)),NOT(ISNUMBER(AJ106))),"",IF(M106&gt;=AJ106,100,IF(AJ106-M106&lt;'sheet1-指标体系'!$J$10,80,60)))</x:f>
        <x:v>80</x:v>
      </x:c>
      <x:c r="AL106" s="17" t="n">
        <x:f>IF(COUNT(I106,K106,L106)=0,"",ROUND((IF(ISNUMBER(I106),I106*40%,0)+IF(ISNUMBER(K106),K106*30%,0)+IF(ISNUMBER(L106),L106*30%,0))/(IF(ISNUMBER(I106),40%,0)+IF(ISNUMBER(K106),30%,0)+IF(ISNUMBER(L106),30%,0)),2))</x:f>
        <x:v>100</x:v>
      </x:c>
      <x:c r="AM106" s="17" t="n">
        <x:f>IF(COUNT(Q106,R106,W106,X106)=0,"",ROUND((IF(ISNUMBER(Q106),Q106*42%,0)+IF(ISNUMBER(R106),R106*28%,0)+IF(ISNUMBER(W106),W106*18%,0)+IF(ISNUMBER(X106),X106*12%,0))/(IF(ISNUMBER(Q106),42%,0)+IF(ISNUMBER(R106),28%,0)+IF(ISNUMBER(W106),18%,0)+IF(ISNUMBER(X106),12%,0)),2))</x:f>
        <x:v>64.95</x:v>
      </x:c>
      <x:c r="AN106" s="17" t="n">
        <x:f>IF(ISNUMBER(AC106),AC106,"")</x:f>
        <x:v>16.34</x:v>
      </x:c>
      <x:c r="AO106" s="17" t="n">
        <x:f>IF(COUNT(AG106,AH106)=0,"",ROUND((IF(ISNUMBER(AG106),AG106*60%,0)+IF(ISNUMBER(AH106),AH106*40%,0))/(IF(ISNUMBER(AG106),60%,0)+IF(ISNUMBER(AH106),40%,0)),2))</x:f>
        <x:v>38.5</x:v>
      </x:c>
      <x:c r="AP106" s="17" t="n">
        <x:f>IF(ISNUMBER(AK106),AK106,"")</x:f>
        <x:v>80</x:v>
      </x:c>
      <x:c r="AQ106" s="39" t="n">
        <x:f>IF(G106&lt;&gt;"入池",0,IF(ISNUMBER(I106),6%,0)+IF(ISNUMBER(K106),4.5%,0)+IF(ISNUMBER(L106),4.5%,0)+IF(ISNUMBER(Q106),8.4%,0)+IF(ISNUMBER(R106),5.6%,0)+IF(ISNUMBER(W106),3.6%,0)+IF(ISNUMBER(X106),2.4%,0)+IF(ISNUMBER(AC106),25%,0)+IF(ISNUMBER(AG106),18%,0)+IF(ISNUMBER(AH106),12%,0)+IF(ISNUMBER(AK106),10%,0))</x:f>
        <x:v>1</x:v>
      </x:c>
      <x:c r="AR106" s="17" t="n">
        <x:f>IF(AQ106=0,"",IF(ISNUMBER(I106),I106*6%,0)+IF(ISNUMBER(K106),K106*4.5%,0)+IF(ISNUMBER(L106),L106*4.5%,0)+IF(ISNUMBER(Q106),Q106*8.4%,0)+IF(ISNUMBER(R106),R106*5.6%,0)+IF(ISNUMBER(W106),W106*3.6%,0)+IF(ISNUMBER(X106),X106*2.4%,0)+IF(ISNUMBER(AC106),AC106*25%,0)+IF(ISNUMBER(AG106),AG106*18%,0)+IF(ISNUMBER(AH106),AH106*12%,0)+IF(ISNUMBER(AK106),AK106*10%,0))</x:f>
        <x:v>51.62448</x:v>
      </x:c>
      <x:c r="AS106" s="17" t="n">
        <x:f>IF(AQ106=0,"",ROUND(AR106/AQ106,2))</x:f>
        <x:v>51.62</x:v>
      </x:c>
      <x:c r="AT106" s="40" t="n">
        <x:f>IF(OR(G106&lt;&gt;"入池",NOT(ISNUMBER(AS106))),"",COUNTIFS($G$17:$G$219,"入池",$AS$17:$AS$219,"&gt;"&amp;AS106)+COUNTIFS($G$17:$G$219,"入池",$AS$17:$AS$219,AS106,$AQ$17:$AQ$219,"&gt;"&amp;AQ106)+COUNTIFS($G$17:G106,"入池",$AS$17:AS106,AS106,$AQ$17:AQ106,AQ106))</x:f>
        <x:v>142</x:v>
      </x:c>
      <x:c r="AU106" s="41" t="str">
        <x:f t="shared" si="4">IF(NOT(ISNUMBER(I106)),"管理人规模；","")&amp;IF(J106="","产品规模标识；","")&amp;IF(AND(F106&lt;3,NOT(ISNUMBER(O106))),"R_incep；","")&amp;IF(NOT(ISNUMBER(N106)),"近三年收益；","")&amp;IF(NOT(ISNUMBER(U106)),"近三年胜率；","")&amp;IF(AND(ISNUMBER(V106),OR(V106&lt;0,V106&gt;1)),"胜率窗口口径不一致；","")&amp;IF(NOT(ISNUMBER(AA106)),"近三年回撤；","")&amp;IF(NOT(ISNUMBER(AD106)),"短期卡玛；","")&amp;IF(AND(ISNUMBER(P106),NOT(ISNUMBER(AE106))),"DD_long不可识别；","")</x:f>
      </x:c>
      <x:c r="AV106" s="42" t="n">
        <x:v>100</x:v>
      </x:c>
      <x:c r="AW106" s="19" t="str">
        <x:v>上海申毅投资股份有限公司</x:v>
      </x:c>
      <x:c r="AX106" s="19" t="str">
        <x:v>2026-04-28</x:v>
      </x:c>
      <x:c r="AY106" s="19" t="str">
        <x:v>https://gs.amac.org.cn/amac-infodisc/res/pof/manager/101000000870.html</x:v>
      </x:c>
      <x:c r="AZ106" s="19" t="str">
        <x:v>申毅格物22号私募证券投资基金</x:v>
      </x:c>
      <x:c r="BA106" s="19" t="str">
        <x:v>2026-06-01</x:v>
      </x:c>
      <x:c r="BB106" s="19"/>
      <x:c r="BC106" s="19" t="str">
        <x:v>https://gs.amac.org.cn/amac-infodisc/res/pof/fund/2007131911107433.html</x:v>
      </x:c>
      <x:c r="BD106" s="19" t="str">
        <x:v>已匹配</x:v>
      </x:c>
      <x:c r="BE106"/>
      <x:c r="BF106"/>
    </x:row>
    <x:row r="107" ht="28" customHeight="1">
      <x:c r="A107" s="4" t="n">
        <x:v>91</x:v>
      </x:c>
      <x:c r="B107" s="15" t="str">
        <x:f>'sheet4-原始数据'!A92</x:f>
        <x:v>鹿秀驯鹿5号</x:v>
      </x:c>
      <x:c r="C107" s="15" t="str">
        <x:f>'sheet4-原始数据'!B92</x:f>
        <x:v>SLN352</x:v>
      </x:c>
      <x:c r="D107" s="15" t="str">
        <x:f>'sheet4-原始数据'!E92</x:f>
        <x:v>青岛鹿秀投资</x:v>
      </x:c>
      <x:c r="E107" s="32" t="n">
        <x:f>IF(ISNUMBER('sheet4-原始数据'!F92),'sheet4-原始数据'!F92,"")</x:f>
        <x:v>44074</x:v>
      </x:c>
      <x:c r="F107" s="17" t="n">
        <x:f>IF(NOT(ISNUMBER(E107)),"",ROUND(('sheet1-指标体系'!$J$23-E107)/365.25,4))</x:f>
        <x:v>6.0424</x:v>
      </x:c>
      <x:c r="G107" s="4" t="str">
        <x:f t="shared" si="3">IF(NOT(ISNUMBER(F107)),"",IF(F107&lt;1,"不入池","入池"))</x:f>
        <x:v>入池</x:v>
      </x:c>
      <x:c r="H107" s="33" t="str">
        <x:v>50-100亿元</x:v>
      </x:c>
      <x:c r="I107" s="17" t="n">
        <x:f>IF(H107="","",IF(ISNUMBER(SEARCH("100亿元以上",H107)),100,IF(OR(ISNUMBER(SEARCH("20-50",H107)),ISNUMBER(SEARCH("50-100",H107)),ISNUMBER(SEARCH("20-100",H107))),90,IF(ISNUMBER(SEARCH("10-20",H107)),80,IF(ISNUMBER(SEARCH("5-10",H107)),70,IF(ISNUMBER(SEARCH("0-5",H107)),60,""))))))</x:f>
        <x:v>90</x:v>
      </x:c>
      <x:c r="J107" s="34" t="str">
        <x:v>无低于1000万元标识</x:v>
      </x:c>
      <x:c r="K107" s="17" t="n">
        <x:f>IF(J107="","",IF(J107="低于1000万元",0,100))</x:f>
        <x:v>100</x:v>
      </x:c>
      <x:c r="L107" s="17" t="n">
        <x:f>IF(NOT(ISNUMBER(F107)),"",IF(F107&lt;1,"",IF(F107&lt;3,70,100)))</x:f>
        <x:v>100</x:v>
      </x:c>
      <x:c r="M107" s="35" t="n">
        <x:f>IF(ISNUMBER('sheet4-原始数据'!G92),'sheet4-原始数据'!G92,"")</x:f>
        <x:v>-0.4218</x:v>
      </x:c>
      <x:c r="N107" s="35" t="n">
        <x:f>IF(ISNUMBER('sheet4-原始数据'!H92),'sheet4-原始数据'!H92,"")</x:f>
        <x:v>-0.1882</x:v>
      </x:c>
      <x:c r="O107" s="36" t="str">
        <x:f>IF(ISNUMBER('sheet4-原始数据'!Q92),'sheet4-原始数据'!Q92,"")</x:f>
      </x:c>
      <x:c r="P107" s="37" t="n">
        <x:f>IF($G107&lt;&gt;"入池","",IF($F107&gt;=3,IF(OR(NOT(ISNUMBER($M107)),NOT(ISNUMBER($N107)),1+$M107&lt;=0,1+$N107&lt;0),"",((1+$N107)^3/(1+$M107))^(1/2)-1),IF(OR($F107&lt;=1,NOT(ISNUMBER($M107)),NOT(ISNUMBER($O107)),1+$M107&lt;=0,1+$O107&lt;0),"",((1+$O107)^$F107/(1+$M107))^(1/($F107-1))-1)))</x:f>
        <x:v>-0.038089807021142064</x:v>
      </x:c>
      <x:c r="Q107" s="17" t="n">
        <x:f>IF(OR($G107&lt;&gt;"入池",NOT(ISNUMBER(M107))),"",IF(COUNTIFS($G$17:$G$219,"入池",$M$17:$M$219,"&gt;=-1E+307",$M$17:$M$219,"&lt;=1E+307")&lt;=1,100,ROUND(100*(COUNTIFS($G$17:$G$219,"入池",$M$17:$M$219,"&gt;=-1E+307",$M$17:$M$219,"&lt;"&amp;M107)+COUNTIFS($G$17:$G$219,"入池",$M$17:$M$219,M107,$M$17:$M$219,"&gt;=-1E+307",$M$17:$M$219,"&lt;=1E+307")/2-0.5)/(COUNTIFS($G$17:$G$219,"入池",$M$17:$M$219,"&gt;=-1E+307",$M$17:$M$219,"&lt;=1E+307")-1),2)))</x:f>
        <x:v>0</x:v>
      </x:c>
      <x:c r="R107" s="17" t="n">
        <x:f>IF(OR($G107&lt;&gt;"入池",NOT(ISNUMBER(P107))),"",IF(COUNTIFS($G$17:$G$219,"入池",$P$17:$P$219,"&gt;=-1E+307",$P$17:$P$219,"&lt;=1E+307")&lt;=1,100,ROUND(100*(COUNTIFS($G$17:$G$219,"入池",$P$17:$P$219,"&gt;=-1E+307",$P$17:$P$219,"&lt;"&amp;P107)+COUNTIFS($G$17:$G$219,"入池",$P$17:$P$219,P107,$P$17:$P$219,"&gt;=-1E+307",$P$17:$P$219,"&lt;=1E+307")/2-0.5)/(COUNTIFS($G$17:$G$219,"入池",$P$17:$P$219,"&gt;=-1E+307",$P$17:$P$219,"&lt;=1E+307")-1),2)))</x:f>
        <x:v>0.99</x:v>
      </x:c>
      <x:c r="S107" s="17" t="n">
        <x:f>IF(NOT(ISNUMBER(Q107)),"",IF(NOT(ISNUMBER(R107)),Q107,ROUND(Q107*'sheet1-指标体系'!$J$8+R107*'sheet1-指标体系'!$J$9,2)))</x:f>
        <x:v>0.4</x:v>
      </x:c>
      <x:c r="T107" s="35" t="n">
        <x:f>IF(ISNUMBER('sheet4-原始数据'!J92),'sheet4-原始数据'!J92,"")</x:f>
        <x:v>0.46149999999999997</x:v>
      </x:c>
      <x:c r="U107" s="35" t="n">
        <x:f>IF(ISNUMBER('sheet4-原始数据'!I92),'sheet4-原始数据'!I92,"")</x:f>
        <x:v>0.3784</x:v>
      </x:c>
      <x:c r="V107" s="37" t="n">
        <x:f>IF(OR(NOT(ISNUMBER(T107)),NOT(ISNUMBER(U107))),"",(U107*'sheet1-指标体系'!$J$6-T107*'sheet1-指标体系'!$J$5)/'sheet1-指标体系'!$J$7)</x:f>
        <x:v>0.3333875</x:v>
      </x:c>
      <x:c r="W107" s="17" t="n">
        <x:f>IF(NOT(ISNUMBER(T107)),"",T107*100)</x:f>
        <x:v>46.15</x:v>
      </x:c>
      <x:c r="X107" s="17" t="n">
        <x:f>IF($G107&lt;&gt;"入池","",IF(AND(ISNUMBER(V107),V107&gt;=0,V107&lt;=1),V107*100,IF(MAX(0,($F107-1)*12)&lt;6,100,"")))</x:f>
        <x:v>33.33875</x:v>
      </x:c>
      <x:c r="Y107" s="17" t="n">
        <x:f>IF(NOT(ISNUMBER(W107)),"",IF(NOT(ISNUMBER(X107)),W107,ROUND(W107*'sheet1-指标体系'!$J$8+X107*'sheet1-指标体系'!$J$9,2)))</x:f>
        <x:v>41.03</x:v>
      </x:c>
      <x:c r="Z107" s="37" t="n">
        <x:f>IF(OR(NOT(ISNUMBER(M107)),NOT(ISNUMBER(AD107)),AD107=0),"",ABS(M107/AD107))</x:f>
        <x:v>0.4991125310614129</x:v>
      </x:c>
      <x:c r="AA107" s="35" t="n">
        <x:f>IF(ISNUMBER('sheet4-原始数据'!K92),'sheet4-原始数据'!K92,"")</x:f>
        <x:v>0.5484</x:v>
      </x:c>
      <x:c r="AB107" s="37" t="n">
        <x:f>IF(COUNT(Z107:AA107)=0,"",MAX(Z107:AA107))</x:f>
        <x:v>0.5484</x:v>
      </x:c>
      <x:c r="AC107" s="17" t="n">
        <x:f>IF(OR($G107&lt;&gt;"入池",NOT(ISNUMBER(AB107))),"",IF(COUNTIFS($G$17:$G$219,"入池",$AB$17:$AB$219,"&gt;=-1E+307",$AB$17:$AB$219,"&lt;=1E+307")&lt;=1,100,ROUND(100*(COUNTIFS($G$17:$G$219,"入池",$AB$17:$AB$219,"&lt;=1E+307",$AB$17:$AB$219,"&gt;"&amp;AB107)+COUNTIFS($G$17:$G$219,"入池",$AB$17:$AB$219,AB107,$AB$17:$AB$219,"&gt;=-1E+307",$AB$17:$AB$219,"&lt;=1E+307")/2-0.5)/(COUNTIFS($G$17:$G$219,"入池",$AB$17:$AB$219,"&gt;=-1E+307",$AB$17:$AB$219,"&lt;=1E+307")-1),2)))</x:f>
        <x:v>0.5</x:v>
      </x:c>
      <x:c r="AD107" s="38" t="n">
        <x:f>IF(ISNUMBER('sheet4-原始数据'!M92),'sheet4-原始数据'!M92,"")</x:f>
        <x:v>-0.8451</x:v>
      </x:c>
      <x:c r="AE107" s="37" t="n">
        <x:f t="shared" si="5">IF(OR(NOT(ISNUMBER(P107)),NOT(ISNUMBER(AA107)),NOT(ISNUMBER(Z107))),"",IF(AA107&gt;Z107+'sheet1-指标体系'!$J$11,AA107,""))</x:f>
        <x:v>0.5484</x:v>
      </x:c>
      <x:c r="AF107" s="17" t="n">
        <x:f>IF(OR(NOT(ISNUMBER(P107)),NOT(ISNUMBER(AE107)),AE107=0),"",P107/AE107)</x:f>
        <x:v>-0.06945624912680902</x:v>
      </x:c>
      <x:c r="AG107" s="17" t="n">
        <x:f>IF(OR($G107&lt;&gt;"入池",NOT(ISNUMBER(AD107))),"",IF(COUNTIFS($G$17:$G$219,"入池",$AD$17:$AD$219,"&gt;=-1E+307",$AD$17:$AD$219,"&lt;=1E+307")&lt;=1,100,ROUND(100*(COUNTIFS($G$17:$G$219,"入池",$AD$17:$AD$219,"&gt;=-1E+307",$AD$17:$AD$219,"&lt;"&amp;AD107)+COUNTIFS($G$17:$G$219,"入池",$AD$17:$AD$219,AD107,$AD$17:$AD$219,"&gt;=-1E+307",$AD$17:$AD$219,"&lt;=1E+307")/2-0.5)/(COUNTIFS($G$17:$G$219,"入池",$AD$17:$AD$219,"&gt;=-1E+307",$AD$17:$AD$219,"&lt;=1E+307")-1),2)))</x:f>
        <x:v>1.99</x:v>
      </x:c>
      <x:c r="AH107" s="17" t="n">
        <x:f>IF(OR($G107&lt;&gt;"入池",NOT(ISNUMBER(AF107))),"",IF(COUNTIFS($G$17:$G$219,"入池",$AF$17:$AF$219,"&gt;=-1E+307",$AF$17:$AF$219,"&lt;=1E+307")&lt;=1,100,ROUND(100*(COUNTIFS($G$17:$G$219,"入池",$AF$17:$AF$219,"&gt;=-1E+307",$AF$17:$AF$219,"&lt;"&amp;AF107)+COUNTIFS($G$17:$G$219,"入池",$AF$17:$AF$219,AF107,$AF$17:$AF$219,"&gt;=-1E+307",$AF$17:$AF$219,"&lt;=1E+307")/2-0.5)/(COUNTIFS($G$17:$G$219,"入池",$AF$17:$AF$219,"&gt;=-1E+307",$AF$17:$AF$219,"&lt;=1E+307")-1),2)))</x:f>
        <x:v>4.38</x:v>
      </x:c>
      <x:c r="AI107" s="17" t="n">
        <x:f>IF(NOT(ISNUMBER(AG107)),"",IF(NOT(ISNUMBER(AH107)),AG107,ROUND(AG107*'sheet1-指标体系'!$J$8+AH107*'sheet1-指标体系'!$J$9,2)))</x:f>
        <x:v>2.95</x:v>
      </x:c>
      <x:c r="AJ107" s="37" t="n">
        <x:f>IF(NOT(ISNUMBER(F107)),"",IF(F107&gt;=3,IF(NOT(ISNUMBER(N107)),"",N107),IF(NOT(ISNUMBER(O107)),"",O107)))</x:f>
        <x:v>-0.1882</x:v>
      </x:c>
      <x:c r="AK107" s="17" t="n">
        <x:f>IF(OR(G107&lt;&gt;"入池",NOT(ISNUMBER(M107)),NOT(ISNUMBER(AJ107))),"",IF(M107&gt;=AJ107,100,IF(AJ107-M107&lt;'sheet1-指标体系'!$J$10,80,60)))</x:f>
        <x:v>60</x:v>
      </x:c>
      <x:c r="AL107" s="17" t="n">
        <x:f>IF(COUNT(I107,K107,L107)=0,"",ROUND((IF(ISNUMBER(I107),I107*40%,0)+IF(ISNUMBER(K107),K107*30%,0)+IF(ISNUMBER(L107),L107*30%,0))/(IF(ISNUMBER(I107),40%,0)+IF(ISNUMBER(K107),30%,0)+IF(ISNUMBER(L107),30%,0)),2))</x:f>
        <x:v>96</x:v>
      </x:c>
      <x:c r="AM107" s="17" t="n">
        <x:f>IF(COUNT(Q107,R107,W107,X107)=0,"",ROUND((IF(ISNUMBER(Q107),Q107*42%,0)+IF(ISNUMBER(R107),R107*28%,0)+IF(ISNUMBER(W107),W107*18%,0)+IF(ISNUMBER(X107),X107*12%,0))/(IF(ISNUMBER(Q107),42%,0)+IF(ISNUMBER(R107),28%,0)+IF(ISNUMBER(W107),18%,0)+IF(ISNUMBER(X107),12%,0)),2))</x:f>
        <x:v>12.58</x:v>
      </x:c>
      <x:c r="AN107" s="17" t="n">
        <x:f>IF(ISNUMBER(AC107),AC107,"")</x:f>
        <x:v>0.5</x:v>
      </x:c>
      <x:c r="AO107" s="17" t="n">
        <x:f>IF(COUNT(AG107,AH107)=0,"",ROUND((IF(ISNUMBER(AG107),AG107*60%,0)+IF(ISNUMBER(AH107),AH107*40%,0))/(IF(ISNUMBER(AG107),60%,0)+IF(ISNUMBER(AH107),40%,0)),2))</x:f>
        <x:v>2.95</x:v>
      </x:c>
      <x:c r="AP107" s="17" t="n">
        <x:f>IF(ISNUMBER(AK107),AK107,"")</x:f>
        <x:v>60</x:v>
      </x:c>
      <x:c r="AQ107" s="39" t="n">
        <x:f>IF(G107&lt;&gt;"入池",0,IF(ISNUMBER(I107),6%,0)+IF(ISNUMBER(K107),4.5%,0)+IF(ISNUMBER(L107),4.5%,0)+IF(ISNUMBER(Q107),8.4%,0)+IF(ISNUMBER(R107),5.6%,0)+IF(ISNUMBER(W107),3.6%,0)+IF(ISNUMBER(X107),2.4%,0)+IF(ISNUMBER(AC107),25%,0)+IF(ISNUMBER(AG107),18%,0)+IF(ISNUMBER(AH107),12%,0)+IF(ISNUMBER(AK107),10%,0))</x:f>
        <x:v>1</x:v>
      </x:c>
      <x:c r="AR107" s="17" t="n">
        <x:f>IF(AQ107=0,"",IF(ISNUMBER(I107),I107*6%,0)+IF(ISNUMBER(K107),K107*4.5%,0)+IF(ISNUMBER(L107),L107*4.5%,0)+IF(ISNUMBER(Q107),Q107*8.4%,0)+IF(ISNUMBER(R107),R107*5.6%,0)+IF(ISNUMBER(W107),W107*3.6%,0)+IF(ISNUMBER(X107),X107*2.4%,0)+IF(ISNUMBER(AC107),AC107*25%,0)+IF(ISNUMBER(AG107),AG107*18%,0)+IF(ISNUMBER(AH107),AH107*12%,0)+IF(ISNUMBER(AK107),AK107*10%,0))</x:f>
        <x:v>23.92577</x:v>
      </x:c>
      <x:c r="AS107" s="17" t="n">
        <x:f>IF(AQ107=0,"",ROUND(AR107/AQ107,2))</x:f>
        <x:v>23.93</x:v>
      </x:c>
      <x:c r="AT107" s="40" t="n">
        <x:f>IF(OR(G107&lt;&gt;"入池",NOT(ISNUMBER(AS107))),"",COUNTIFS($G$17:$G$219,"入池",$AS$17:$AS$219,"&gt;"&amp;AS107)+COUNTIFS($G$17:$G$219,"入池",$AS$17:$AS$219,AS107,$AQ$17:$AQ$219,"&gt;"&amp;AQ107)+COUNTIFS($G$17:G107,"入池",$AS$17:AS107,AS107,$AQ$17:AQ107,AQ107))</x:f>
        <x:v>200</x:v>
      </x:c>
      <x:c r="AU107" s="41" t="str">
        <x:f t="shared" si="4">IF(NOT(ISNUMBER(I107)),"管理人规模；","")&amp;IF(J107="","产品规模标识；","")&amp;IF(AND(F107&lt;3,NOT(ISNUMBER(O107))),"R_incep；","")&amp;IF(NOT(ISNUMBER(N107)),"近三年收益；","")&amp;IF(NOT(ISNUMBER(U107)),"近三年胜率；","")&amp;IF(AND(ISNUMBER(V107),OR(V107&lt;0,V107&gt;1)),"胜率窗口口径不一致；","")&amp;IF(NOT(ISNUMBER(AA107)),"近三年回撤；","")&amp;IF(NOT(ISNUMBER(AD107)),"短期卡玛；","")&amp;IF(AND(ISNUMBER(P107),NOT(ISNUMBER(AE107))),"DD_long不可识别；","")</x:f>
      </x:c>
      <x:c r="AV107" s="42" t="n">
        <x:v>50</x:v>
      </x:c>
      <x:c r="AW107" s="19" t="str">
        <x:v>青岛鹿秀投资管理有限公司</x:v>
      </x:c>
      <x:c r="AX107" s="19" t="str">
        <x:v>2025-01-10</x:v>
      </x:c>
      <x:c r="AY107" s="19" t="str">
        <x:v>https://gs.amac.org.cn/amac-infodisc/res/pof/manager/1612231708101923.html</x:v>
      </x:c>
      <x:c r="AZ107" s="19" t="str">
        <x:v>鹿秀驯鹿5号私募证券投资基金</x:v>
      </x:c>
      <x:c r="BA107" s="19" t="str">
        <x:v>2025-07-01</x:v>
      </x:c>
      <x:c r="BB107" s="19"/>
      <x:c r="BC107" s="19" t="str">
        <x:v>https://gs.amac.org.cn/amac-infodisc/res/pof/fund/2008311029109749.html</x:v>
      </x:c>
      <x:c r="BD107" s="19" t="str">
        <x:v>已匹配</x:v>
      </x:c>
      <x:c r="BE107"/>
      <x:c r="BF107"/>
    </x:row>
    <x:row r="108" ht="28" customHeight="1">
      <x:c r="A108" s="4" t="n">
        <x:v>92</x:v>
      </x:c>
      <x:c r="B108" s="15" t="str">
        <x:f>'sheet4-原始数据'!A93</x:f>
        <x:v>鹿秀驯鹿10号</x:v>
      </x:c>
      <x:c r="C108" s="15" t="str">
        <x:f>'sheet4-原始数据'!B93</x:f>
        <x:v>SNK594</x:v>
      </x:c>
      <x:c r="D108" s="15" t="str">
        <x:f>'sheet4-原始数据'!E93</x:f>
        <x:v>青岛鹿秀投资</x:v>
      </x:c>
      <x:c r="E108" s="32" t="n">
        <x:f>IF(ISNUMBER('sheet4-原始数据'!F93),'sheet4-原始数据'!F93,"")</x:f>
        <x:v>44174</x:v>
      </x:c>
      <x:c r="F108" s="17" t="n">
        <x:f>IF(NOT(ISNUMBER(E108)),"",ROUND(('sheet1-指标体系'!$J$23-E108)/365.25,4))</x:f>
        <x:v>5.7687</x:v>
      </x:c>
      <x:c r="G108" s="4" t="str">
        <x:f t="shared" si="3">IF(NOT(ISNUMBER(F108)),"",IF(F108&lt;1,"不入池","入池"))</x:f>
        <x:v>入池</x:v>
      </x:c>
      <x:c r="H108" s="33" t="str">
        <x:v>50-100亿元</x:v>
      </x:c>
      <x:c r="I108" s="17" t="n">
        <x:f>IF(H108="","",IF(ISNUMBER(SEARCH("100亿元以上",H108)),100,IF(OR(ISNUMBER(SEARCH("20-50",H108)),ISNUMBER(SEARCH("50-100",H108)),ISNUMBER(SEARCH("20-100",H108))),90,IF(ISNUMBER(SEARCH("10-20",H108)),80,IF(ISNUMBER(SEARCH("5-10",H108)),70,IF(ISNUMBER(SEARCH("0-5",H108)),60,""))))))</x:f>
        <x:v>90</x:v>
      </x:c>
      <x:c r="J108" s="34" t="str">
        <x:v>无低于1000万元标识</x:v>
      </x:c>
      <x:c r="K108" s="17" t="n">
        <x:f>IF(J108="","",IF(J108="低于1000万元",0,100))</x:f>
        <x:v>100</x:v>
      </x:c>
      <x:c r="L108" s="17" t="n">
        <x:f>IF(NOT(ISNUMBER(F108)),"",IF(F108&lt;1,"",IF(F108&lt;3,70,100)))</x:f>
        <x:v>100</x:v>
      </x:c>
      <x:c r="M108" s="35" t="n">
        <x:f>IF(ISNUMBER('sheet4-原始数据'!G93),'sheet4-原始数据'!G93,"")</x:f>
        <x:v>0.5082</x:v>
      </x:c>
      <x:c r="N108" s="35" t="n">
        <x:f>IF(ISNUMBER('sheet4-原始数据'!H93),'sheet4-原始数据'!H93,"")</x:f>
        <x:v>0.3293</x:v>
      </x:c>
      <x:c r="O108" s="36" t="str">
        <x:f>IF(ISNUMBER('sheet4-原始数据'!Q93),'sheet4-原始数据'!Q93,"")</x:f>
      </x:c>
      <x:c r="P108" s="37" t="n">
        <x:f>IF($G108&lt;&gt;"入池","",IF($F108&gt;=3,IF(OR(NOT(ISNUMBER($M108)),NOT(ISNUMBER($N108)),1+$M108&lt;=0,1+$N108&lt;0),"",((1+$N108)^3/(1+$M108))^(1/2)-1),IF(OR($F108&lt;=1,NOT(ISNUMBER($M108)),NOT(ISNUMBER($O108)),1+$M108&lt;=0,1+$O108&lt;0),"",((1+$O108)^$F108/(1+$M108))^(1/($F108-1))-1)))</x:f>
        <x:v>0.24797256738536766</x:v>
      </x:c>
      <x:c r="Q108" s="17" t="n">
        <x:f>IF(OR($G108&lt;&gt;"入池",NOT(ISNUMBER(M108))),"",IF(COUNTIFS($G$17:$G$219,"入池",$M$17:$M$219,"&gt;=-1E+307",$M$17:$M$219,"&lt;=1E+307")&lt;=1,100,ROUND(100*(COUNTIFS($G$17:$G$219,"入池",$M$17:$M$219,"&gt;=-1E+307",$M$17:$M$219,"&lt;"&amp;M108)+COUNTIFS($G$17:$G$219,"入池",$M$17:$M$219,M108,$M$17:$M$219,"&gt;=-1E+307",$M$17:$M$219,"&lt;=1E+307")/2-0.5)/(COUNTIFS($G$17:$G$219,"入池",$M$17:$M$219,"&gt;=-1E+307",$M$17:$M$219,"&lt;=1E+307")-1),2)))</x:f>
        <x:v>99.01</x:v>
      </x:c>
      <x:c r="R108" s="17" t="n">
        <x:f>IF(OR($G108&lt;&gt;"入池",NOT(ISNUMBER(P108))),"",IF(COUNTIFS($G$17:$G$219,"入池",$P$17:$P$219,"&gt;=-1E+307",$P$17:$P$219,"&lt;=1E+307")&lt;=1,100,ROUND(100*(COUNTIFS($G$17:$G$219,"入池",$P$17:$P$219,"&gt;=-1E+307",$P$17:$P$219,"&lt;"&amp;P108)+COUNTIFS($G$17:$G$219,"入池",$P$17:$P$219,P108,$P$17:$P$219,"&gt;=-1E+307",$P$17:$P$219,"&lt;=1E+307")/2-0.5)/(COUNTIFS($G$17:$G$219,"入池",$P$17:$P$219,"&gt;=-1E+307",$P$17:$P$219,"&lt;=1E+307")-1),2)))</x:f>
        <x:v>96.53</x:v>
      </x:c>
      <x:c r="S108" s="17" t="n">
        <x:f>IF(NOT(ISNUMBER(Q108)),"",IF(NOT(ISNUMBER(R108)),Q108,ROUND(Q108*'sheet1-指标体系'!$J$8+R108*'sheet1-指标体系'!$J$9,2)))</x:f>
        <x:v>98.02</x:v>
      </x:c>
      <x:c r="T108" s="35" t="n">
        <x:f>IF(ISNUMBER('sheet4-原始数据'!J93),'sheet4-原始数据'!J93,"")</x:f>
        <x:v>0.6154</x:v>
      </x:c>
      <x:c r="U108" s="35" t="n">
        <x:f>IF(ISNUMBER('sheet4-原始数据'!I93),'sheet4-原始数据'!I93,"")</x:f>
        <x:v>0.6757</x:v>
      </x:c>
      <x:c r="V108" s="37" t="n">
        <x:f>IF(OR(NOT(ISNUMBER(T108)),NOT(ISNUMBER(U108))),"",(U108*'sheet1-指标体系'!$J$6-T108*'sheet1-指标体系'!$J$5)/'sheet1-指标体系'!$J$7)</x:f>
        <x:v>0.7083624999999999</x:v>
      </x:c>
      <x:c r="W108" s="17" t="n">
        <x:f>IF(NOT(ISNUMBER(T108)),"",T108*100)</x:f>
        <x:v>61.53999999999999</x:v>
      </x:c>
      <x:c r="X108" s="17" t="n">
        <x:f>IF($G108&lt;&gt;"入池","",IF(AND(ISNUMBER(V108),V108&gt;=0,V108&lt;=1),V108*100,IF(MAX(0,($F108-1)*12)&lt;6,100,"")))</x:f>
        <x:v>70.83624999999999</x:v>
      </x:c>
      <x:c r="Y108" s="17" t="n">
        <x:f>IF(NOT(ISNUMBER(W108)),"",IF(NOT(ISNUMBER(X108)),W108,ROUND(W108*'sheet1-指标体系'!$J$8+X108*'sheet1-指标体系'!$J$9,2)))</x:f>
        <x:v>65.26</x:v>
      </x:c>
      <x:c r="Z108" s="37" t="n">
        <x:f>IF(OR(NOT(ISNUMBER(M108)),NOT(ISNUMBER(AD108)),AD108=0),"",ABS(M108/AD108))</x:f>
        <x:v>0.2926070935052971</x:v>
      </x:c>
      <x:c r="AA108" s="35" t="n">
        <x:f>IF(ISNUMBER('sheet4-原始数据'!K93),'sheet4-原始数据'!K93,"")</x:f>
        <x:v>0.2926</x:v>
      </x:c>
      <x:c r="AB108" s="37" t="n">
        <x:f>IF(COUNT(Z108:AA108)=0,"",MAX(Z108:AA108))</x:f>
        <x:v>0.2926070935052971</x:v>
      </x:c>
      <x:c r="AC108" s="17" t="n">
        <x:f>IF(OR($G108&lt;&gt;"入池",NOT(ISNUMBER(AB108))),"",IF(COUNTIFS($G$17:$G$219,"入池",$AB$17:$AB$219,"&gt;=-1E+307",$AB$17:$AB$219,"&lt;=1E+307")&lt;=1,100,ROUND(100*(COUNTIFS($G$17:$G$219,"入池",$AB$17:$AB$219,"&lt;=1E+307",$AB$17:$AB$219,"&gt;"&amp;AB108)+COUNTIFS($G$17:$G$219,"入池",$AB$17:$AB$219,AB108,$AB$17:$AB$219,"&gt;=-1E+307",$AB$17:$AB$219,"&lt;=1E+307")/2-0.5)/(COUNTIFS($G$17:$G$219,"入池",$AB$17:$AB$219,"&gt;=-1E+307",$AB$17:$AB$219,"&lt;=1E+307")-1),2)))</x:f>
        <x:v>5.45</x:v>
      </x:c>
      <x:c r="AD108" s="38" t="n">
        <x:f>IF(ISNUMBER('sheet4-原始数据'!M93),'sheet4-原始数据'!M93,"")</x:f>
        <x:v>1.7368</x:v>
      </x:c>
      <x:c r="AE108" s="37" t="str">
        <x:f t="shared" si="5">IF(OR(NOT(ISNUMBER(P108)),NOT(ISNUMBER(AA108)),NOT(ISNUMBER(Z108))),"",IF(AA108&gt;Z108+'sheet1-指标体系'!$J$11,AA108,""))</x:f>
      </x:c>
      <x:c r="AF108" s="17" t="str">
        <x:f>IF(OR(NOT(ISNUMBER(P108)),NOT(ISNUMBER(AE108)),AE108=0),"",P108/AE108)</x:f>
      </x:c>
      <x:c r="AG108" s="17" t="n">
        <x:f>IF(OR($G108&lt;&gt;"入池",NOT(ISNUMBER(AD108))),"",IF(COUNTIFS($G$17:$G$219,"入池",$AD$17:$AD$219,"&gt;=-1E+307",$AD$17:$AD$219,"&lt;=1E+307")&lt;=1,100,ROUND(100*(COUNTIFS($G$17:$G$219,"入池",$AD$17:$AD$219,"&gt;=-1E+307",$AD$17:$AD$219,"&lt;"&amp;AD108)+COUNTIFS($G$17:$G$219,"入池",$AD$17:$AD$219,AD108,$AD$17:$AD$219,"&gt;=-1E+307",$AD$17:$AD$219,"&lt;=1E+307")/2-0.5)/(COUNTIFS($G$17:$G$219,"入池",$AD$17:$AD$219,"&gt;=-1E+307",$AD$17:$AD$219,"&lt;=1E+307")-1),2)))</x:f>
        <x:v>41.29</x:v>
      </x:c>
      <x:c r="AH108" s="17" t="str">
        <x:f>IF(OR($G108&lt;&gt;"入池",NOT(ISNUMBER(AF108))),"",IF(COUNTIFS($G$17:$G$219,"入池",$AF$17:$AF$219,"&gt;=-1E+307",$AF$17:$AF$219,"&lt;=1E+307")&lt;=1,100,ROUND(100*(COUNTIFS($G$17:$G$219,"入池",$AF$17:$AF$219,"&gt;=-1E+307",$AF$17:$AF$219,"&lt;"&amp;AF108)+COUNTIFS($G$17:$G$219,"入池",$AF$17:$AF$219,AF108,$AF$17:$AF$219,"&gt;=-1E+307",$AF$17:$AF$219,"&lt;=1E+307")/2-0.5)/(COUNTIFS($G$17:$G$219,"入池",$AF$17:$AF$219,"&gt;=-1E+307",$AF$17:$AF$219,"&lt;=1E+307")-1),2)))</x:f>
      </x:c>
      <x:c r="AI108" s="17" t="n">
        <x:f>IF(NOT(ISNUMBER(AG108)),"",IF(NOT(ISNUMBER(AH108)),AG108,ROUND(AG108*'sheet1-指标体系'!$J$8+AH108*'sheet1-指标体系'!$J$9,2)))</x:f>
        <x:v>41.29</x:v>
      </x:c>
      <x:c r="AJ108" s="37" t="n">
        <x:f>IF(NOT(ISNUMBER(F108)),"",IF(F108&gt;=3,IF(NOT(ISNUMBER(N108)),"",N108),IF(NOT(ISNUMBER(O108)),"",O108)))</x:f>
        <x:v>0.3293</x:v>
      </x:c>
      <x:c r="AK108" s="17" t="n">
        <x:f>IF(OR(G108&lt;&gt;"入池",NOT(ISNUMBER(M108)),NOT(ISNUMBER(AJ108))),"",IF(M108&gt;=AJ108,100,IF(AJ108-M108&lt;'sheet1-指标体系'!$J$10,80,60)))</x:f>
        <x:v>100</x:v>
      </x:c>
      <x:c r="AL108" s="17" t="n">
        <x:f>IF(COUNT(I108,K108,L108)=0,"",ROUND((IF(ISNUMBER(I108),I108*40%,0)+IF(ISNUMBER(K108),K108*30%,0)+IF(ISNUMBER(L108),L108*30%,0))/(IF(ISNUMBER(I108),40%,0)+IF(ISNUMBER(K108),30%,0)+IF(ISNUMBER(L108),30%,0)),2))</x:f>
        <x:v>96</x:v>
      </x:c>
      <x:c r="AM108" s="17" t="n">
        <x:f>IF(COUNT(Q108,R108,W108,X108)=0,"",ROUND((IF(ISNUMBER(Q108),Q108*42%,0)+IF(ISNUMBER(R108),R108*28%,0)+IF(ISNUMBER(W108),W108*18%,0)+IF(ISNUMBER(X108),X108*12%,0))/(IF(ISNUMBER(Q108),42%,0)+IF(ISNUMBER(R108),28%,0)+IF(ISNUMBER(W108),18%,0)+IF(ISNUMBER(X108),12%,0)),2))</x:f>
        <x:v>88.19</x:v>
      </x:c>
      <x:c r="AN108" s="17" t="n">
        <x:f>IF(ISNUMBER(AC108),AC108,"")</x:f>
        <x:v>5.45</x:v>
      </x:c>
      <x:c r="AO108" s="17" t="n">
        <x:f>IF(COUNT(AG108,AH108)=0,"",ROUND((IF(ISNUMBER(AG108),AG108*60%,0)+IF(ISNUMBER(AH108),AH108*40%,0))/(IF(ISNUMBER(AG108),60%,0)+IF(ISNUMBER(AH108),40%,0)),2))</x:f>
        <x:v>41.29</x:v>
      </x:c>
      <x:c r="AP108" s="17" t="n">
        <x:f>IF(ISNUMBER(AK108),AK108,"")</x:f>
        <x:v>100</x:v>
      </x:c>
      <x:c r="AQ108" s="39" t="n">
        <x:f>IF(G108&lt;&gt;"入池",0,IF(ISNUMBER(I108),6%,0)+IF(ISNUMBER(K108),4.5%,0)+IF(ISNUMBER(L108),4.5%,0)+IF(ISNUMBER(Q108),8.4%,0)+IF(ISNUMBER(R108),5.6%,0)+IF(ISNUMBER(W108),3.6%,0)+IF(ISNUMBER(X108),2.4%,0)+IF(ISNUMBER(AC108),25%,0)+IF(ISNUMBER(AG108),18%,0)+IF(ISNUMBER(AH108),12%,0)+IF(ISNUMBER(AK108),10%,0))</x:f>
        <x:v>0.88</x:v>
      </x:c>
      <x:c r="AR108" s="17" t="n">
        <x:f>IF(AQ108=0,"",IF(ISNUMBER(I108),I108*6%,0)+IF(ISNUMBER(K108),K108*4.5%,0)+IF(ISNUMBER(L108),L108*4.5%,0)+IF(ISNUMBER(Q108),Q108*8.4%,0)+IF(ISNUMBER(R108),R108*5.6%,0)+IF(ISNUMBER(W108),W108*3.6%,0)+IF(ISNUMBER(X108),X108*2.4%,0)+IF(ISNUMBER(AC108),AC108*25%,0)+IF(ISNUMBER(AG108),AG108*18%,0)+IF(ISNUMBER(AH108),AH108*12%,0)+IF(ISNUMBER(AK108),AK108*10%,0))</x:f>
        <x:v>50.83273</x:v>
      </x:c>
      <x:c r="AS108" s="17" t="n">
        <x:f>IF(AQ108=0,"",ROUND(AR108/AQ108,2))</x:f>
        <x:v>57.76</x:v>
      </x:c>
      <x:c r="AT108" s="40" t="n">
        <x:f>IF(OR(G108&lt;&gt;"入池",NOT(ISNUMBER(AS108))),"",COUNTIFS($G$17:$G$219,"入池",$AS$17:$AS$219,"&gt;"&amp;AS108)+COUNTIFS($G$17:$G$219,"入池",$AS$17:$AS$219,AS108,$AQ$17:$AQ$219,"&gt;"&amp;AQ108)+COUNTIFS($G$17:G108,"入池",$AS$17:AS108,AS108,$AQ$17:AQ108,AQ108))</x:f>
        <x:v>118</x:v>
      </x:c>
      <x:c r="AU108" s="41" t="str">
        <x:f t="shared" si="4">IF(NOT(ISNUMBER(I108)),"管理人规模；","")&amp;IF(J108="","产品规模标识；","")&amp;IF(AND(F108&lt;3,NOT(ISNUMBER(O108))),"R_incep；","")&amp;IF(NOT(ISNUMBER(N108)),"近三年收益；","")&amp;IF(NOT(ISNUMBER(U108)),"近三年胜率；","")&amp;IF(AND(ISNUMBER(V108),OR(V108&lt;0,V108&gt;1)),"胜率窗口口径不一致；","")&amp;IF(NOT(ISNUMBER(AA108)),"近三年回撤；","")&amp;IF(NOT(ISNUMBER(AD108)),"短期卡玛；","")&amp;IF(AND(ISNUMBER(P108),NOT(ISNUMBER(AE108))),"DD_long不可识别；","")</x:f>
        <x:v>DD_long不可识别；</x:v>
      </x:c>
      <x:c r="AV108" s="42" t="n">
        <x:v>50</x:v>
      </x:c>
      <x:c r="AW108" s="19" t="str">
        <x:v>青岛鹿秀投资管理有限公司</x:v>
      </x:c>
      <x:c r="AX108" s="19" t="str">
        <x:v>2025-01-10</x:v>
      </x:c>
      <x:c r="AY108" s="19" t="str">
        <x:v>https://gs.amac.org.cn/amac-infodisc/res/pof/manager/1612231708101923.html</x:v>
      </x:c>
      <x:c r="AZ108" s="19" t="str">
        <x:v>鹿秀驯鹿10号私募证券投资基金</x:v>
      </x:c>
      <x:c r="BA108" s="19" t="str">
        <x:v>2023-07-17</x:v>
      </x:c>
      <x:c r="BB108" s="19"/>
      <x:c r="BC108" s="19" t="str">
        <x:v>https://gs.amac.org.cn/amac-infodisc/res/pof/fund/2012081718105854.html</x:v>
      </x:c>
      <x:c r="BD108" s="19" t="str">
        <x:v>已匹配</x:v>
      </x:c>
      <x:c r="BE108"/>
      <x:c r="BF108"/>
    </x:row>
    <x:row r="109" ht="28" customHeight="1">
      <x:c r="A109" s="4" t="n">
        <x:v>93</x:v>
      </x:c>
      <x:c r="B109" s="15" t="str">
        <x:f>'sheet4-原始数据'!A94</x:f>
        <x:v>九招真格量化套利一号</x:v>
      </x:c>
      <x:c r="C109" s="15" t="str">
        <x:f>'sheet4-原始数据'!B94</x:f>
        <x:v>SQD546</x:v>
      </x:c>
      <x:c r="D109" s="15" t="str">
        <x:f>'sheet4-原始数据'!E94</x:f>
        <x:v>武汉九招</x:v>
      </x:c>
      <x:c r="E109" s="32" t="n">
        <x:f>IF(ISNUMBER('sheet4-原始数据'!F94),'sheet4-原始数据'!F94,"")</x:f>
        <x:v>44271</x:v>
      </x:c>
      <x:c r="F109" s="17" t="n">
        <x:f>IF(NOT(ISNUMBER(E109)),"",ROUND(('sheet1-指标体系'!$J$23-E109)/365.25,4))</x:f>
        <x:v>5.5031</x:v>
      </x:c>
      <x:c r="G109" s="4" t="str">
        <x:f t="shared" si="3">IF(NOT(ISNUMBER(F109)),"",IF(F109&lt;1,"不入池","入池"))</x:f>
        <x:v>入池</x:v>
      </x:c>
      <x:c r="H109" s="33" t="str">
        <x:v>5-10亿元</x:v>
      </x:c>
      <x:c r="I109" s="17" t="n">
        <x:f>IF(H109="","",IF(ISNUMBER(SEARCH("100亿元以上",H109)),100,IF(OR(ISNUMBER(SEARCH("20-50",H109)),ISNUMBER(SEARCH("50-100",H109)),ISNUMBER(SEARCH("20-100",H109))),90,IF(ISNUMBER(SEARCH("10-20",H109)),80,IF(ISNUMBER(SEARCH("5-10",H109)),70,IF(ISNUMBER(SEARCH("0-5",H109)),60,""))))))</x:f>
        <x:v>70</x:v>
      </x:c>
      <x:c r="J109" s="34" t="str">
        <x:v>无低于1000万元标识</x:v>
      </x:c>
      <x:c r="K109" s="17" t="n">
        <x:f>IF(J109="","",IF(J109="低于1000万元",0,100))</x:f>
        <x:v>100</x:v>
      </x:c>
      <x:c r="L109" s="17" t="n">
        <x:f>IF(NOT(ISNUMBER(F109)),"",IF(F109&lt;1,"",IF(F109&lt;3,70,100)))</x:f>
        <x:v>100</x:v>
      </x:c>
      <x:c r="M109" s="35" t="n">
        <x:f>IF(ISNUMBER('sheet4-原始数据'!G94),'sheet4-原始数据'!G94,"")</x:f>
        <x:v>0.1466</x:v>
      </x:c>
      <x:c r="N109" s="35" t="n">
        <x:f>IF(ISNUMBER('sheet4-原始数据'!H94),'sheet4-原始数据'!H94,"")</x:f>
        <x:v>0.1381</x:v>
      </x:c>
      <x:c r="O109" s="36" t="str">
        <x:f>IF(ISNUMBER('sheet4-原始数据'!Q94),'sheet4-原始数据'!Q94,"")</x:f>
      </x:c>
      <x:c r="P109" s="37" t="n">
        <x:f>IF($G109&lt;&gt;"入池","",IF($F109&gt;=3,IF(OR(NOT(ISNUMBER($M109)),NOT(ISNUMBER($N109)),1+$M109&lt;=0,1+$N109&lt;0),"",((1+$N109)^3/(1+$M109))^(1/2)-1),IF(OR($F109&lt;=1,NOT(ISNUMBER($M109)),NOT(ISNUMBER($O109)),1+$M109&lt;=0,1+$O109&lt;0),"",((1+$O109)^$F109/(1+$M109))^(1/($F109-1))-1)))</x:f>
        <x:v>0.13387365892092773</x:v>
      </x:c>
      <x:c r="Q109" s="17" t="n">
        <x:f>IF(OR($G109&lt;&gt;"入池",NOT(ISNUMBER(M109))),"",IF(COUNTIFS($G$17:$G$219,"入池",$M$17:$M$219,"&gt;=-1E+307",$M$17:$M$219,"&lt;=1E+307")&lt;=1,100,ROUND(100*(COUNTIFS($G$17:$G$219,"入池",$M$17:$M$219,"&gt;=-1E+307",$M$17:$M$219,"&lt;"&amp;M109)+COUNTIFS($G$17:$G$219,"入池",$M$17:$M$219,M109,$M$17:$M$219,"&gt;=-1E+307",$M$17:$M$219,"&lt;=1E+307")/2-0.5)/(COUNTIFS($G$17:$G$219,"入池",$M$17:$M$219,"&gt;=-1E+307",$M$17:$M$219,"&lt;=1E+307")-1),2)))</x:f>
        <x:v>90.59</x:v>
      </x:c>
      <x:c r="R109" s="17" t="n">
        <x:f>IF(OR($G109&lt;&gt;"入池",NOT(ISNUMBER(P109))),"",IF(COUNTIFS($G$17:$G$219,"入池",$P$17:$P$219,"&gt;=-1E+307",$P$17:$P$219,"&lt;=1E+307")&lt;=1,100,ROUND(100*(COUNTIFS($G$17:$G$219,"入池",$P$17:$P$219,"&gt;=-1E+307",$P$17:$P$219,"&lt;"&amp;P109)+COUNTIFS($G$17:$G$219,"入池",$P$17:$P$219,P109,$P$17:$P$219,"&gt;=-1E+307",$P$17:$P$219,"&lt;=1E+307")/2-0.5)/(COUNTIFS($G$17:$G$219,"入池",$P$17:$P$219,"&gt;=-1E+307",$P$17:$P$219,"&lt;=1E+307")-1),2)))</x:f>
        <x:v>85.64</x:v>
      </x:c>
      <x:c r="S109" s="17" t="n">
        <x:f>IF(NOT(ISNUMBER(Q109)),"",IF(NOT(ISNUMBER(R109)),Q109,ROUND(Q109*'sheet1-指标体系'!$J$8+R109*'sheet1-指标体系'!$J$9,2)))</x:f>
        <x:v>88.61</x:v>
      </x:c>
      <x:c r="T109" s="35" t="n">
        <x:f>IF(ISNUMBER('sheet4-原始数据'!J94),'sheet4-原始数据'!J94,"")</x:f>
        <x:v>1</x:v>
      </x:c>
      <x:c r="U109" s="35" t="n">
        <x:f>IF(ISNUMBER('sheet4-原始数据'!I94),'sheet4-原始数据'!I94,"")</x:f>
        <x:v>0.8919</x:v>
      </x:c>
      <x:c r="V109" s="37" t="n">
        <x:f>IF(OR(NOT(ISNUMBER(T109)),NOT(ISNUMBER(U109))),"",(U109*'sheet1-指标体系'!$J$6-T109*'sheet1-指标体系'!$J$5)/'sheet1-指标体系'!$J$7)</x:f>
        <x:v>0.8333458333333335</x:v>
      </x:c>
      <x:c r="W109" s="17" t="n">
        <x:f>IF(NOT(ISNUMBER(T109)),"",T109*100)</x:f>
        <x:v>100</x:v>
      </x:c>
      <x:c r="X109" s="17" t="n">
        <x:f>IF($G109&lt;&gt;"入池","",IF(AND(ISNUMBER(V109),V109&gt;=0,V109&lt;=1),V109*100,IF(MAX(0,($F109-1)*12)&lt;6,100,"")))</x:f>
        <x:v>83.33458333333334</x:v>
      </x:c>
      <x:c r="Y109" s="17" t="n">
        <x:f>IF(NOT(ISNUMBER(W109)),"",IF(NOT(ISNUMBER(X109)),W109,ROUND(W109*'sheet1-指标体系'!$J$8+X109*'sheet1-指标体系'!$J$9,2)))</x:f>
        <x:v>93.33</x:v>
      </x:c>
      <x:c r="Z109" s="37" t="n">
        <x:f>IF(OR(NOT(ISNUMBER(M109)),NOT(ISNUMBER(AD109)),AD109=0),"",ABS(M109/AD109))</x:f>
        <x:v>0.004746056823185103</x:v>
      </x:c>
      <x:c r="AA109" s="35" t="n">
        <x:f>IF(ISNUMBER('sheet4-原始数据'!K94),'sheet4-原始数据'!K94,"")</x:f>
        <x:v>0.024900000000000002</x:v>
      </x:c>
      <x:c r="AB109" s="37" t="n">
        <x:f>IF(COUNT(Z109:AA109)=0,"",MAX(Z109:AA109))</x:f>
        <x:v>0.024900000000000002</x:v>
      </x:c>
      <x:c r="AC109" s="17" t="n">
        <x:f>IF(OR($G109&lt;&gt;"入池",NOT(ISNUMBER(AB109))),"",IF(COUNTIFS($G$17:$G$219,"入池",$AB$17:$AB$219,"&gt;=-1E+307",$AB$17:$AB$219,"&lt;=1E+307")&lt;=1,100,ROUND(100*(COUNTIFS($G$17:$G$219,"入池",$AB$17:$AB$219,"&lt;=1E+307",$AB$17:$AB$219,"&gt;"&amp;AB109)+COUNTIFS($G$17:$G$219,"入池",$AB$17:$AB$219,AB109,$AB$17:$AB$219,"&gt;=-1E+307",$AB$17:$AB$219,"&lt;=1E+307")/2-0.5)/(COUNTIFS($G$17:$G$219,"入池",$AB$17:$AB$219,"&gt;=-1E+307",$AB$17:$AB$219,"&lt;=1E+307")-1),2)))</x:f>
        <x:v>67.82</x:v>
      </x:c>
      <x:c r="AD109" s="38" t="n">
        <x:f>IF(ISNUMBER('sheet4-原始数据'!M94),'sheet4-原始数据'!M94,"")</x:f>
        <x:v>30.8888</x:v>
      </x:c>
      <x:c r="AE109" s="37" t="n">
        <x:f t="shared" si="5">IF(OR(NOT(ISNUMBER(P109)),NOT(ISNUMBER(AA109)),NOT(ISNUMBER(Z109))),"",IF(AA109&gt;Z109+'sheet1-指标体系'!$J$11,AA109,""))</x:f>
        <x:v>0.024900000000000002</x:v>
      </x:c>
      <x:c r="AF109" s="17" t="n">
        <x:f>IF(OR(NOT(ISNUMBER(P109)),NOT(ISNUMBER(AE109)),AE109=0),"",P109/AE109)</x:f>
        <x:v>5.3764521654991055</x:v>
      </x:c>
      <x:c r="AG109" s="17" t="n">
        <x:f>IF(OR($G109&lt;&gt;"入池",NOT(ISNUMBER(AD109))),"",IF(COUNTIFS($G$17:$G$219,"入池",$AD$17:$AD$219,"&gt;=-1E+307",$AD$17:$AD$219,"&lt;=1E+307")&lt;=1,100,ROUND(100*(COUNTIFS($G$17:$G$219,"入池",$AD$17:$AD$219,"&gt;=-1E+307",$AD$17:$AD$219,"&lt;"&amp;AD109)+COUNTIFS($G$17:$G$219,"入池",$AD$17:$AD$219,AD109,$AD$17:$AD$219,"&gt;=-1E+307",$AD$17:$AD$219,"&lt;=1E+307")/2-0.5)/(COUNTIFS($G$17:$G$219,"入池",$AD$17:$AD$219,"&gt;=-1E+307",$AD$17:$AD$219,"&lt;=1E+307")-1),2)))</x:f>
        <x:v>93.03</x:v>
      </x:c>
      <x:c r="AH109" s="17" t="n">
        <x:f>IF(OR($G109&lt;&gt;"入池",NOT(ISNUMBER(AF109))),"",IF(COUNTIFS($G$17:$G$219,"入池",$AF$17:$AF$219,"&gt;=-1E+307",$AF$17:$AF$219,"&lt;=1E+307")&lt;=1,100,ROUND(100*(COUNTIFS($G$17:$G$219,"入池",$AF$17:$AF$219,"&gt;=-1E+307",$AF$17:$AF$219,"&lt;"&amp;AF109)+COUNTIFS($G$17:$G$219,"入池",$AF$17:$AF$219,AF109,$AF$17:$AF$219,"&gt;=-1E+307",$AF$17:$AF$219,"&lt;=1E+307")/2-0.5)/(COUNTIFS($G$17:$G$219,"入池",$AF$17:$AF$219,"&gt;=-1E+307",$AF$17:$AF$219,"&lt;=1E+307")-1),2)))</x:f>
        <x:v>86.86</x:v>
      </x:c>
      <x:c r="AI109" s="17" t="n">
        <x:f>IF(NOT(ISNUMBER(AG109)),"",IF(NOT(ISNUMBER(AH109)),AG109,ROUND(AG109*'sheet1-指标体系'!$J$8+AH109*'sheet1-指标体系'!$J$9,2)))</x:f>
        <x:v>90.56</x:v>
      </x:c>
      <x:c r="AJ109" s="37" t="n">
        <x:f>IF(NOT(ISNUMBER(F109)),"",IF(F109&gt;=3,IF(NOT(ISNUMBER(N109)),"",N109),IF(NOT(ISNUMBER(O109)),"",O109)))</x:f>
        <x:v>0.1381</x:v>
      </x:c>
      <x:c r="AK109" s="17" t="n">
        <x:f>IF(OR(G109&lt;&gt;"入池",NOT(ISNUMBER(M109)),NOT(ISNUMBER(AJ109))),"",IF(M109&gt;=AJ109,100,IF(AJ109-M109&lt;'sheet1-指标体系'!$J$10,80,60)))</x:f>
        <x:v>100</x:v>
      </x:c>
      <x:c r="AL109" s="17" t="n">
        <x:f>IF(COUNT(I109,K109,L109)=0,"",ROUND((IF(ISNUMBER(I109),I109*40%,0)+IF(ISNUMBER(K109),K109*30%,0)+IF(ISNUMBER(L109),L109*30%,0))/(IF(ISNUMBER(I109),40%,0)+IF(ISNUMBER(K109),30%,0)+IF(ISNUMBER(L109),30%,0)),2))</x:f>
        <x:v>88</x:v>
      </x:c>
      <x:c r="AM109" s="17" t="n">
        <x:f>IF(COUNT(Q109,R109,W109,X109)=0,"",ROUND((IF(ISNUMBER(Q109),Q109*42%,0)+IF(ISNUMBER(R109),R109*28%,0)+IF(ISNUMBER(W109),W109*18%,0)+IF(ISNUMBER(X109),X109*12%,0))/(IF(ISNUMBER(Q109),42%,0)+IF(ISNUMBER(R109),28%,0)+IF(ISNUMBER(W109),18%,0)+IF(ISNUMBER(X109),12%,0)),2))</x:f>
        <x:v>90.03</x:v>
      </x:c>
      <x:c r="AN109" s="17" t="n">
        <x:f>IF(ISNUMBER(AC109),AC109,"")</x:f>
        <x:v>67.82</x:v>
      </x:c>
      <x:c r="AO109" s="17" t="n">
        <x:f>IF(COUNT(AG109,AH109)=0,"",ROUND((IF(ISNUMBER(AG109),AG109*60%,0)+IF(ISNUMBER(AH109),AH109*40%,0))/(IF(ISNUMBER(AG109),60%,0)+IF(ISNUMBER(AH109),40%,0)),2))</x:f>
        <x:v>90.56</x:v>
      </x:c>
      <x:c r="AP109" s="17" t="n">
        <x:f>IF(ISNUMBER(AK109),AK109,"")</x:f>
        <x:v>100</x:v>
      </x:c>
      <x:c r="AQ109" s="39" t="n">
        <x:f>IF(G109&lt;&gt;"入池",0,IF(ISNUMBER(I109),6%,0)+IF(ISNUMBER(K109),4.5%,0)+IF(ISNUMBER(L109),4.5%,0)+IF(ISNUMBER(Q109),8.4%,0)+IF(ISNUMBER(R109),5.6%,0)+IF(ISNUMBER(W109),3.6%,0)+IF(ISNUMBER(X109),2.4%,0)+IF(ISNUMBER(AC109),25%,0)+IF(ISNUMBER(AG109),18%,0)+IF(ISNUMBER(AH109),12%,0)+IF(ISNUMBER(AK109),10%,0))</x:f>
        <x:v>1</x:v>
      </x:c>
      <x:c r="AR109" s="17" t="n">
        <x:f>IF(AQ109=0,"",IF(ISNUMBER(I109),I109*6%,0)+IF(ISNUMBER(K109),K109*4.5%,0)+IF(ISNUMBER(L109),L109*4.5%,0)+IF(ISNUMBER(Q109),Q109*8.4%,0)+IF(ISNUMBER(R109),R109*5.6%,0)+IF(ISNUMBER(W109),W109*3.6%,0)+IF(ISNUMBER(X109),X109*2.4%,0)+IF(ISNUMBER(AC109),AC109*25%,0)+IF(ISNUMBER(AG109),AG109*18%,0)+IF(ISNUMBER(AH109),AH109*12%,0)+IF(ISNUMBER(AK109),AK109*10%,0))</x:f>
        <x:v>85.32902999999999</x:v>
      </x:c>
      <x:c r="AS109" s="17" t="n">
        <x:f>IF(AQ109=0,"",ROUND(AR109/AQ109,2))</x:f>
        <x:v>85.33</x:v>
      </x:c>
      <x:c r="AT109" s="40" t="n">
        <x:f>IF(OR(G109&lt;&gt;"入池",NOT(ISNUMBER(AS109))),"",COUNTIFS($G$17:$G$219,"入池",$AS$17:$AS$219,"&gt;"&amp;AS109)+COUNTIFS($G$17:$G$219,"入池",$AS$17:$AS$219,AS109,$AQ$17:$AQ$219,"&gt;"&amp;AQ109)+COUNTIFS($G$17:G109,"入池",$AS$17:AS109,AS109,$AQ$17:AQ109,AQ109))</x:f>
        <x:v>19</x:v>
      </x:c>
      <x:c r="AU109" s="41" t="str">
        <x:f t="shared" si="4">IF(NOT(ISNUMBER(I109)),"管理人规模；","")&amp;IF(J109="","产品规模标识；","")&amp;IF(AND(F109&lt;3,NOT(ISNUMBER(O109))),"R_incep；","")&amp;IF(NOT(ISNUMBER(N109)),"近三年收益；","")&amp;IF(NOT(ISNUMBER(U109)),"近三年胜率；","")&amp;IF(AND(ISNUMBER(V109),OR(V109&lt;0,V109&gt;1)),"胜率窗口口径不一致；","")&amp;IF(NOT(ISNUMBER(AA109)),"近三年回撤；","")&amp;IF(NOT(ISNUMBER(AD109)),"短期卡玛；","")&amp;IF(AND(ISNUMBER(P109),NOT(ISNUMBER(AE109))),"DD_long不可识别；","")</x:f>
      </x:c>
      <x:c r="AV109" s="42" t="n">
        <x:v>5</x:v>
      </x:c>
      <x:c r="AW109" s="19" t="str">
        <x:v>武汉九招私募基金管理有限公司</x:v>
      </x:c>
      <x:c r="AX109" s="19" t="str">
        <x:v>2026-07-21</x:v>
      </x:c>
      <x:c r="AY109" s="19" t="str">
        <x:v>https://gs.amac.org.cn/amac-infodisc/res/pof/manager/2301051740101642.html</x:v>
      </x:c>
      <x:c r="AZ109" s="19" t="str">
        <x:v>九招真格量化套利一号私募证券投资基金</x:v>
      </x:c>
      <x:c r="BA109" s="19" t="str">
        <x:v>2025-07-21</x:v>
      </x:c>
      <x:c r="BB109" s="19"/>
      <x:c r="BC109" s="19" t="str">
        <x:v>https://gs.amac.org.cn/amac-infodisc/res/pof/fund/2103231905105915.html</x:v>
      </x:c>
      <x:c r="BD109" s="19" t="str">
        <x:v>已匹配</x:v>
      </x:c>
      <x:c r="BE109"/>
      <x:c r="BF109"/>
    </x:row>
    <x:row r="110" ht="28" customHeight="1">
      <x:c r="A110" s="4" t="n">
        <x:v>94</x:v>
      </x:c>
      <x:c r="B110" s="15" t="str">
        <x:f>'sheet4-原始数据'!A95</x:f>
        <x:v>宏翼高频1号</x:v>
      </x:c>
      <x:c r="C110" s="15" t="str">
        <x:f>'sheet4-原始数据'!B95</x:f>
        <x:v>SQA623</x:v>
      </x:c>
      <x:c r="D110" s="15" t="str">
        <x:f>'sheet4-原始数据'!E95</x:f>
        <x:v>上海宏翼</x:v>
      </x:c>
      <x:c r="E110" s="32" t="n">
        <x:f>IF(ISNUMBER('sheet4-原始数据'!F95),'sheet4-原始数据'!F95,"")</x:f>
        <x:v>44285</x:v>
      </x:c>
      <x:c r="F110" s="17" t="n">
        <x:f>IF(NOT(ISNUMBER(E110)),"",ROUND(('sheet1-指标体系'!$J$23-E110)/365.25,4))</x:f>
        <x:v>5.4648</x:v>
      </x:c>
      <x:c r="G110" s="4" t="str">
        <x:f t="shared" si="3">IF(NOT(ISNUMBER(F110)),"",IF(F110&lt;1,"不入池","入池"))</x:f>
        <x:v>入池</x:v>
      </x:c>
      <x:c r="H110" s="33" t="str">
        <x:v>5-10亿元</x:v>
      </x:c>
      <x:c r="I110" s="17" t="n">
        <x:f>IF(H110="","",IF(ISNUMBER(SEARCH("100亿元以上",H110)),100,IF(OR(ISNUMBER(SEARCH("20-50",H110)),ISNUMBER(SEARCH("50-100",H110)),ISNUMBER(SEARCH("20-100",H110))),90,IF(ISNUMBER(SEARCH("10-20",H110)),80,IF(ISNUMBER(SEARCH("5-10",H110)),70,IF(ISNUMBER(SEARCH("0-5",H110)),60,""))))))</x:f>
        <x:v>70</x:v>
      </x:c>
      <x:c r="J110" s="34" t="str">
        <x:v>无低于1000万元标识</x:v>
      </x:c>
      <x:c r="K110" s="17" t="n">
        <x:f>IF(J110="","",IF(J110="低于1000万元",0,100))</x:f>
        <x:v>100</x:v>
      </x:c>
      <x:c r="L110" s="17" t="n">
        <x:f>IF(NOT(ISNUMBER(F110)),"",IF(F110&lt;1,"",IF(F110&lt;3,70,100)))</x:f>
        <x:v>100</x:v>
      </x:c>
      <x:c r="M110" s="35" t="n">
        <x:f>IF(ISNUMBER('sheet4-原始数据'!G95),'sheet4-原始数据'!G95,"")</x:f>
        <x:v>0.1017</x:v>
      </x:c>
      <x:c r="N110" s="35" t="n">
        <x:f>IF(ISNUMBER('sheet4-原始数据'!H95),'sheet4-原始数据'!H95,"")</x:f>
        <x:v>0.114</x:v>
      </x:c>
      <x:c r="O110" s="36" t="str">
        <x:f>IF(ISNUMBER('sheet4-原始数据'!Q95),'sheet4-原始数据'!Q95,"")</x:f>
      </x:c>
      <x:c r="P110" s="37" t="n">
        <x:f>IF($G110&lt;&gt;"入池","",IF($F110&gt;=3,IF(OR(NOT(ISNUMBER($M110)),NOT(ISNUMBER($N110)),1+$M110&lt;=0,1+$N110&lt;0),"",((1+$N110)^3/(1+$M110))^(1/2)-1),IF(OR($F110&lt;=1,NOT(ISNUMBER($M110)),NOT(ISNUMBER($O110)),1+$M110&lt;=0,1+$O110&lt;0),"",((1+$O110)^$F110/(1+$M110))^(1/($F110-1))-1)))</x:f>
        <x:v>0.12020140112698763</x:v>
      </x:c>
      <x:c r="Q110" s="17" t="n">
        <x:f>IF(OR($G110&lt;&gt;"入池",NOT(ISNUMBER(M110))),"",IF(COUNTIFS($G$17:$G$219,"入池",$M$17:$M$219,"&gt;=-1E+307",$M$17:$M$219,"&lt;=1E+307")&lt;=1,100,ROUND(100*(COUNTIFS($G$17:$G$219,"入池",$M$17:$M$219,"&gt;=-1E+307",$M$17:$M$219,"&lt;"&amp;M110)+COUNTIFS($G$17:$G$219,"入池",$M$17:$M$219,M110,$M$17:$M$219,"&gt;=-1E+307",$M$17:$M$219,"&lt;=1E+307")/2-0.5)/(COUNTIFS($G$17:$G$219,"入池",$M$17:$M$219,"&gt;=-1E+307",$M$17:$M$219,"&lt;=1E+307")-1),2)))</x:f>
        <x:v>81.19</x:v>
      </x:c>
      <x:c r="R110" s="17" t="n">
        <x:f>IF(OR($G110&lt;&gt;"入池",NOT(ISNUMBER(P110))),"",IF(COUNTIFS($G$17:$G$219,"入池",$P$17:$P$219,"&gt;=-1E+307",$P$17:$P$219,"&lt;=1E+307")&lt;=1,100,ROUND(100*(COUNTIFS($G$17:$G$219,"入池",$P$17:$P$219,"&gt;=-1E+307",$P$17:$P$219,"&lt;"&amp;P110)+COUNTIFS($G$17:$G$219,"入池",$P$17:$P$219,P110,$P$17:$P$219,"&gt;=-1E+307",$P$17:$P$219,"&lt;=1E+307")/2-0.5)/(COUNTIFS($G$17:$G$219,"入池",$P$17:$P$219,"&gt;=-1E+307",$P$17:$P$219,"&lt;=1E+307")-1),2)))</x:f>
        <x:v>81.19</x:v>
      </x:c>
      <x:c r="S110" s="17" t="n">
        <x:f>IF(NOT(ISNUMBER(Q110)),"",IF(NOT(ISNUMBER(R110)),Q110,ROUND(Q110*'sheet1-指标体系'!$J$8+R110*'sheet1-指标体系'!$J$9,2)))</x:f>
        <x:v>81.19</x:v>
      </x:c>
      <x:c r="T110" s="35" t="n">
        <x:f>IF(ISNUMBER('sheet4-原始数据'!J95),'sheet4-原始数据'!J95,"")</x:f>
        <x:v>0.6154</x:v>
      </x:c>
      <x:c r="U110" s="35" t="n">
        <x:f>IF(ISNUMBER('sheet4-原始数据'!I95),'sheet4-原始数据'!I95,"")</x:f>
        <x:v>0.7027</x:v>
      </x:c>
      <x:c r="V110" s="37" t="n">
        <x:f>IF(OR(NOT(ISNUMBER(T110)),NOT(ISNUMBER(U110))),"",(U110*'sheet1-指标体系'!$J$6-T110*'sheet1-指标体系'!$J$5)/'sheet1-指标体系'!$J$7)</x:f>
        <x:v>0.7499875</x:v>
      </x:c>
      <x:c r="W110" s="17" t="n">
        <x:f>IF(NOT(ISNUMBER(T110)),"",T110*100)</x:f>
        <x:v>61.53999999999999</x:v>
      </x:c>
      <x:c r="X110" s="17" t="n">
        <x:f>IF($G110&lt;&gt;"入池","",IF(AND(ISNUMBER(V110),V110&gt;=0,V110&lt;=1),V110*100,IF(MAX(0,($F110-1)*12)&lt;6,100,"")))</x:f>
        <x:v>74.99875</x:v>
      </x:c>
      <x:c r="Y110" s="17" t="n">
        <x:f>IF(NOT(ISNUMBER(W110)),"",IF(NOT(ISNUMBER(X110)),W110,ROUND(W110*'sheet1-指标体系'!$J$8+X110*'sheet1-指标体系'!$J$9,2)))</x:f>
        <x:v>66.92</x:v>
      </x:c>
      <x:c r="Z110" s="37" t="n">
        <x:f>IF(OR(NOT(ISNUMBER(M110)),NOT(ISNUMBER(AD110)),AD110=0),"",ABS(M110/AD110))</x:f>
        <x:v>0.17334242372592465</x:v>
      </x:c>
      <x:c r="AA110" s="35" t="n">
        <x:f>IF(ISNUMBER('sheet4-原始数据'!K95),'sheet4-原始数据'!K95,"")</x:f>
        <x:v>0.1734</x:v>
      </x:c>
      <x:c r="AB110" s="37" t="n">
        <x:f>IF(COUNT(Z110:AA110)=0,"",MAX(Z110:AA110))</x:f>
        <x:v>0.1734</x:v>
      </x:c>
      <x:c r="AC110" s="17" t="n">
        <x:f>IF(OR($G110&lt;&gt;"入池",NOT(ISNUMBER(AB110))),"",IF(COUNTIFS($G$17:$G$219,"入池",$AB$17:$AB$219,"&gt;=-1E+307",$AB$17:$AB$219,"&lt;=1E+307")&lt;=1,100,ROUND(100*(COUNTIFS($G$17:$G$219,"入池",$AB$17:$AB$219,"&lt;=1E+307",$AB$17:$AB$219,"&gt;"&amp;AB110)+COUNTIFS($G$17:$G$219,"入池",$AB$17:$AB$219,AB110,$AB$17:$AB$219,"&gt;=-1E+307",$AB$17:$AB$219,"&lt;=1E+307")/2-0.5)/(COUNTIFS($G$17:$G$219,"入池",$AB$17:$AB$219,"&gt;=-1E+307",$AB$17:$AB$219,"&lt;=1E+307")-1),2)))</x:f>
        <x:v>12.38</x:v>
      </x:c>
      <x:c r="AD110" s="38" t="n">
        <x:f>IF(ISNUMBER('sheet4-原始数据'!M95),'sheet4-原始数据'!M95,"")</x:f>
        <x:v>0.5867</x:v>
      </x:c>
      <x:c r="AE110" s="37" t="str">
        <x:f t="shared" si="5">IF(OR(NOT(ISNUMBER(P110)),NOT(ISNUMBER(AA110)),NOT(ISNUMBER(Z110))),"",IF(AA110&gt;Z110+'sheet1-指标体系'!$J$11,AA110,""))</x:f>
      </x:c>
      <x:c r="AF110" s="17" t="str">
        <x:f>IF(OR(NOT(ISNUMBER(P110)),NOT(ISNUMBER(AE110)),AE110=0),"",P110/AE110)</x:f>
      </x:c>
      <x:c r="AG110" s="17" t="n">
        <x:f>IF(OR($G110&lt;&gt;"入池",NOT(ISNUMBER(AD110))),"",IF(COUNTIFS($G$17:$G$219,"入池",$AD$17:$AD$219,"&gt;=-1E+307",$AD$17:$AD$219,"&lt;=1E+307")&lt;=1,100,ROUND(100*(COUNTIFS($G$17:$G$219,"入池",$AD$17:$AD$219,"&gt;=-1E+307",$AD$17:$AD$219,"&lt;"&amp;AD110)+COUNTIFS($G$17:$G$219,"入池",$AD$17:$AD$219,AD110,$AD$17:$AD$219,"&gt;=-1E+307",$AD$17:$AD$219,"&lt;=1E+307")/2-0.5)/(COUNTIFS($G$17:$G$219,"入池",$AD$17:$AD$219,"&gt;=-1E+307",$AD$17:$AD$219,"&lt;=1E+307")-1),2)))</x:f>
        <x:v>28.86</x:v>
      </x:c>
      <x:c r="AH110" s="17" t="str">
        <x:f>IF(OR($G110&lt;&gt;"入池",NOT(ISNUMBER(AF110))),"",IF(COUNTIFS($G$17:$G$219,"入池",$AF$17:$AF$219,"&gt;=-1E+307",$AF$17:$AF$219,"&lt;=1E+307")&lt;=1,100,ROUND(100*(COUNTIFS($G$17:$G$219,"入池",$AF$17:$AF$219,"&gt;=-1E+307",$AF$17:$AF$219,"&lt;"&amp;AF110)+COUNTIFS($G$17:$G$219,"入池",$AF$17:$AF$219,AF110,$AF$17:$AF$219,"&gt;=-1E+307",$AF$17:$AF$219,"&lt;=1E+307")/2-0.5)/(COUNTIFS($G$17:$G$219,"入池",$AF$17:$AF$219,"&gt;=-1E+307",$AF$17:$AF$219,"&lt;=1E+307")-1),2)))</x:f>
      </x:c>
      <x:c r="AI110" s="17" t="n">
        <x:f>IF(NOT(ISNUMBER(AG110)),"",IF(NOT(ISNUMBER(AH110)),AG110,ROUND(AG110*'sheet1-指标体系'!$J$8+AH110*'sheet1-指标体系'!$J$9,2)))</x:f>
        <x:v>28.86</x:v>
      </x:c>
      <x:c r="AJ110" s="37" t="n">
        <x:f>IF(NOT(ISNUMBER(F110)),"",IF(F110&gt;=3,IF(NOT(ISNUMBER(N110)),"",N110),IF(NOT(ISNUMBER(O110)),"",O110)))</x:f>
        <x:v>0.114</x:v>
      </x:c>
      <x:c r="AK110" s="17" t="n">
        <x:f>IF(OR(G110&lt;&gt;"入池",NOT(ISNUMBER(M110)),NOT(ISNUMBER(AJ110))),"",IF(M110&gt;=AJ110,100,IF(AJ110-M110&lt;'sheet1-指标体系'!$J$10,80,60)))</x:f>
        <x:v>80</x:v>
      </x:c>
      <x:c r="AL110" s="17" t="n">
        <x:f>IF(COUNT(I110,K110,L110)=0,"",ROUND((IF(ISNUMBER(I110),I110*40%,0)+IF(ISNUMBER(K110),K110*30%,0)+IF(ISNUMBER(L110),L110*30%,0))/(IF(ISNUMBER(I110),40%,0)+IF(ISNUMBER(K110),30%,0)+IF(ISNUMBER(L110),30%,0)),2))</x:f>
        <x:v>88</x:v>
      </x:c>
      <x:c r="AM110" s="17" t="n">
        <x:f>IF(COUNT(Q110,R110,W110,X110)=0,"",ROUND((IF(ISNUMBER(Q110),Q110*42%,0)+IF(ISNUMBER(R110),R110*28%,0)+IF(ISNUMBER(W110),W110*18%,0)+IF(ISNUMBER(X110),X110*12%,0))/(IF(ISNUMBER(Q110),42%,0)+IF(ISNUMBER(R110),28%,0)+IF(ISNUMBER(W110),18%,0)+IF(ISNUMBER(X110),12%,0)),2))</x:f>
        <x:v>76.91</x:v>
      </x:c>
      <x:c r="AN110" s="17" t="n">
        <x:f>IF(ISNUMBER(AC110),AC110,"")</x:f>
        <x:v>12.38</x:v>
      </x:c>
      <x:c r="AO110" s="17" t="n">
        <x:f>IF(COUNT(AG110,AH110)=0,"",ROUND((IF(ISNUMBER(AG110),AG110*60%,0)+IF(ISNUMBER(AH110),AH110*40%,0))/(IF(ISNUMBER(AG110),60%,0)+IF(ISNUMBER(AH110),40%,0)),2))</x:f>
        <x:v>28.86</x:v>
      </x:c>
      <x:c r="AP110" s="17" t="n">
        <x:f>IF(ISNUMBER(AK110),AK110,"")</x:f>
        <x:v>80</x:v>
      </x:c>
      <x:c r="AQ110" s="39" t="n">
        <x:f>IF(G110&lt;&gt;"入池",0,IF(ISNUMBER(I110),6%,0)+IF(ISNUMBER(K110),4.5%,0)+IF(ISNUMBER(L110),4.5%,0)+IF(ISNUMBER(Q110),8.4%,0)+IF(ISNUMBER(R110),5.6%,0)+IF(ISNUMBER(W110),3.6%,0)+IF(ISNUMBER(X110),2.4%,0)+IF(ISNUMBER(AC110),25%,0)+IF(ISNUMBER(AG110),18%,0)+IF(ISNUMBER(AH110),12%,0)+IF(ISNUMBER(AK110),10%,0))</x:f>
        <x:v>0.88</x:v>
      </x:c>
      <x:c r="AR110" s="17" t="n">
        <x:f>IF(AQ110=0,"",IF(ISNUMBER(I110),I110*6%,0)+IF(ISNUMBER(K110),K110*4.5%,0)+IF(ISNUMBER(L110),L110*4.5%,0)+IF(ISNUMBER(Q110),Q110*8.4%,0)+IF(ISNUMBER(R110),R110*5.6%,0)+IF(ISNUMBER(W110),W110*3.6%,0)+IF(ISNUMBER(X110),X110*2.4%,0)+IF(ISNUMBER(AC110),AC110*25%,0)+IF(ISNUMBER(AG110),AG110*18%,0)+IF(ISNUMBER(AH110),AH110*12%,0)+IF(ISNUMBER(AK110),AK110*10%,0))</x:f>
        <x:v>44.871809999999996</x:v>
      </x:c>
      <x:c r="AS110" s="17" t="n">
        <x:f>IF(AQ110=0,"",ROUND(AR110/AQ110,2))</x:f>
        <x:v>50.99</x:v>
      </x:c>
      <x:c r="AT110" s="40" t="n">
        <x:f>IF(OR(G110&lt;&gt;"入池",NOT(ISNUMBER(AS110))),"",COUNTIFS($G$17:$G$219,"入池",$AS$17:$AS$219,"&gt;"&amp;AS110)+COUNTIFS($G$17:$G$219,"入池",$AS$17:$AS$219,AS110,$AQ$17:$AQ$219,"&gt;"&amp;AQ110)+COUNTIFS($G$17:G110,"入池",$AS$17:AS110,AS110,$AQ$17:AQ110,AQ110))</x:f>
        <x:v>143</x:v>
      </x:c>
      <x:c r="AU110" s="41" t="str">
        <x:f t="shared" si="4">IF(NOT(ISNUMBER(I110)),"管理人规模；","")&amp;IF(J110="","产品规模标识；","")&amp;IF(AND(F110&lt;3,NOT(ISNUMBER(O110))),"R_incep；","")&amp;IF(NOT(ISNUMBER(N110)),"近三年收益；","")&amp;IF(NOT(ISNUMBER(U110)),"近三年胜率；","")&amp;IF(AND(ISNUMBER(V110),OR(V110&lt;0,V110&gt;1)),"胜率窗口口径不一致；","")&amp;IF(NOT(ISNUMBER(AA110)),"近三年回撤；","")&amp;IF(NOT(ISNUMBER(AD110)),"短期卡玛；","")&amp;IF(AND(ISNUMBER(P110),NOT(ISNUMBER(AE110))),"DD_long不可识别；","")</x:f>
        <x:v>DD_long不可识别；</x:v>
      </x:c>
      <x:c r="AV110" s="42" t="n">
        <x:v>5</x:v>
      </x:c>
      <x:c r="AW110" s="19" t="str">
        <x:v>上海宏翼私募基金管理有限公司</x:v>
      </x:c>
      <x:c r="AX110" s="19" t="str">
        <x:v>2026-01-05</x:v>
      </x:c>
      <x:c r="AY110" s="19" t="str">
        <x:v>https://gs.amac.org.cn/amac-infodisc/res/pof/manager/2008271406105036.html</x:v>
      </x:c>
      <x:c r="AZ110" s="19" t="str">
        <x:v>宏翼高频1号私募证券投资基金</x:v>
      </x:c>
      <x:c r="BA110" s="19" t="str">
        <x:v>2022-01-05</x:v>
      </x:c>
      <x:c r="BB110" s="19"/>
      <x:c r="BC110" s="19" t="str">
        <x:v>https://gs.amac.org.cn/amac-infodisc/res/pof/fund/2104071855107484.html</x:v>
      </x:c>
      <x:c r="BD110" s="19" t="str">
        <x:v>已匹配</x:v>
      </x:c>
      <x:c r="BE110"/>
      <x:c r="BF110"/>
    </x:row>
    <x:row r="111" ht="28" customHeight="1">
      <x:c r="A111" s="4" t="n">
        <x:v>95</x:v>
      </x:c>
      <x:c r="B111" s="15" t="str">
        <x:f>'sheet4-原始数据'!A96</x:f>
        <x:v>钧誉厚德量化对冲11号</x:v>
      </x:c>
      <x:c r="C111" s="15" t="str">
        <x:f>'sheet4-原始数据'!B96</x:f>
        <x:v>SQN453</x:v>
      </x:c>
      <x:c r="D111" s="15" t="str">
        <x:f>'sheet4-原始数据'!E96</x:f>
        <x:v>珠海钧誉资管</x:v>
      </x:c>
      <x:c r="E111" s="32" t="n">
        <x:f>IF(ISNUMBER('sheet4-原始数据'!F96),'sheet4-原始数据'!F96,"")</x:f>
        <x:v>44323</x:v>
      </x:c>
      <x:c r="F111" s="17" t="n">
        <x:f>IF(NOT(ISNUMBER(E111)),"",ROUND(('sheet1-指标体系'!$J$23-E111)/365.25,4))</x:f>
        <x:v>5.3607</x:v>
      </x:c>
      <x:c r="G111" s="4" t="str">
        <x:f t="shared" si="3">IF(NOT(ISNUMBER(F111)),"",IF(F111&lt;1,"不入池","入池"))</x:f>
        <x:v>入池</x:v>
      </x:c>
      <x:c r="H111" s="33" t="str">
        <x:v>0-5亿元</x:v>
      </x:c>
      <x:c r="I111" s="17" t="n">
        <x:f>IF(H111="","",IF(ISNUMBER(SEARCH("100亿元以上",H111)),100,IF(OR(ISNUMBER(SEARCH("20-50",H111)),ISNUMBER(SEARCH("50-100",H111)),ISNUMBER(SEARCH("20-100",H111))),90,IF(ISNUMBER(SEARCH("10-20",H111)),80,IF(ISNUMBER(SEARCH("5-10",H111)),70,IF(ISNUMBER(SEARCH("0-5",H111)),60,""))))))</x:f>
        <x:v>60</x:v>
      </x:c>
      <x:c r="J111" s="34" t="str">
        <x:v>无低于1000万元标识</x:v>
      </x:c>
      <x:c r="K111" s="17" t="n">
        <x:f>IF(J111="","",IF(J111="低于1000万元",0,100))</x:f>
        <x:v>100</x:v>
      </x:c>
      <x:c r="L111" s="17" t="n">
        <x:f>IF(NOT(ISNUMBER(F111)),"",IF(F111&lt;1,"",IF(F111&lt;3,70,100)))</x:f>
        <x:v>100</x:v>
      </x:c>
      <x:c r="M111" s="35" t="n">
        <x:f>IF(ISNUMBER('sheet4-原始数据'!G96),'sheet4-原始数据'!G96,"")</x:f>
        <x:v>0.10903115230164317</x:v>
      </x:c>
      <x:c r="N111" s="35" t="n">
        <x:f>IF(ISNUMBER('sheet4-原始数据'!H96),'sheet4-原始数据'!H96,"")</x:f>
        <x:v>0.08030601138775961</x:v>
      </x:c>
      <x:c r="O111" s="36" t="n">
        <x:f>IF(ISNUMBER('sheet4-原始数据'!Q96),'sheet4-原始数据'!Q96,"")</x:f>
        <x:v>0.08985495565769552</x:v>
      </x:c>
      <x:c r="P111" s="37" t="n">
        <x:f>IF($G111&lt;&gt;"入池","",IF($F111&gt;=3,IF(OR(NOT(ISNUMBER($M111)),NOT(ISNUMBER($N111)),1+$M111&lt;=0,1+$N111&lt;0),"",((1+$N111)^3/(1+$M111))^(1/2)-1),IF(OR($F111&lt;=1,NOT(ISNUMBER($M111)),NOT(ISNUMBER($O111)),1+$M111&lt;=0,1+$O111&lt;0),"",((1+$O111)^$F111/(1+$M111))^(1/($F111-1))-1)))</x:f>
        <x:v>0.06622366212361763</x:v>
      </x:c>
      <x:c r="Q111" s="17" t="n">
        <x:f>IF(OR($G111&lt;&gt;"入池",NOT(ISNUMBER(M111))),"",IF(COUNTIFS($G$17:$G$219,"入池",$M$17:$M$219,"&gt;=-1E+307",$M$17:$M$219,"&lt;=1E+307")&lt;=1,100,ROUND(100*(COUNTIFS($G$17:$G$219,"入池",$M$17:$M$219,"&gt;=-1E+307",$M$17:$M$219,"&lt;"&amp;M111)+COUNTIFS($G$17:$G$219,"入池",$M$17:$M$219,M111,$M$17:$M$219,"&gt;=-1E+307",$M$17:$M$219,"&lt;=1E+307")/2-0.5)/(COUNTIFS($G$17:$G$219,"入池",$M$17:$M$219,"&gt;=-1E+307",$M$17:$M$219,"&lt;=1E+307")-1),2)))</x:f>
        <x:v>83.17</x:v>
      </x:c>
      <x:c r="R111" s="17" t="n">
        <x:f>IF(OR($G111&lt;&gt;"入池",NOT(ISNUMBER(P111))),"",IF(COUNTIFS($G$17:$G$219,"入池",$P$17:$P$219,"&gt;=-1E+307",$P$17:$P$219,"&lt;=1E+307")&lt;=1,100,ROUND(100*(COUNTIFS($G$17:$G$219,"入池",$P$17:$P$219,"&gt;=-1E+307",$P$17:$P$219,"&lt;"&amp;P111)+COUNTIFS($G$17:$G$219,"入池",$P$17:$P$219,P111,$P$17:$P$219,"&gt;=-1E+307",$P$17:$P$219,"&lt;=1E+307")/2-0.5)/(COUNTIFS($G$17:$G$219,"入池",$P$17:$P$219,"&gt;=-1E+307",$P$17:$P$219,"&lt;=1E+307")-1),2)))</x:f>
        <x:v>53.47</x:v>
      </x:c>
      <x:c r="S111" s="17" t="n">
        <x:f>IF(NOT(ISNUMBER(Q111)),"",IF(NOT(ISNUMBER(R111)),Q111,ROUND(Q111*'sheet1-指标体系'!$J$8+R111*'sheet1-指标体系'!$J$9,2)))</x:f>
        <x:v>71.29</x:v>
      </x:c>
      <x:c r="T111" s="35" t="n">
        <x:f>IF(ISNUMBER('sheet4-原始数据'!J96),'sheet4-原始数据'!J96,"")</x:f>
        <x:v>1</x:v>
      </x:c>
      <x:c r="U111" s="35" t="n">
        <x:f>IF(ISNUMBER('sheet4-原始数据'!I96),'sheet4-原始数据'!I96,"")</x:f>
        <x:v>0.972972972972973</x:v>
      </x:c>
      <x:c r="V111" s="37" t="n">
        <x:f>IF(OR(NOT(ISNUMBER(T111)),NOT(ISNUMBER(U111))),"",(U111*'sheet1-指标体系'!$J$6-T111*'sheet1-指标体系'!$J$5)/'sheet1-指标体系'!$J$7)</x:f>
        <x:v>0.9583333333333334</x:v>
      </x:c>
      <x:c r="W111" s="17" t="n">
        <x:f>IF(NOT(ISNUMBER(T111)),"",T111*100)</x:f>
        <x:v>100</x:v>
      </x:c>
      <x:c r="X111" s="17" t="n">
        <x:f>IF($G111&lt;&gt;"入池","",IF(AND(ISNUMBER(V111),V111&gt;=0,V111&lt;=1),V111*100,IF(MAX(0,($F111-1)*12)&lt;6,100,"")))</x:f>
        <x:v>95.83333333333334</x:v>
      </x:c>
      <x:c r="Y111" s="17" t="n">
        <x:f>IF(NOT(ISNUMBER(W111)),"",IF(NOT(ISNUMBER(X111)),W111,ROUND(W111*'sheet1-指标体系'!$J$8+X111*'sheet1-指标体系'!$J$9,2)))</x:f>
        <x:v>98.33</x:v>
      </x:c>
      <x:c r="Z111" s="37" t="n">
        <x:f>IF(OR(NOT(ISNUMBER(M111)),NOT(ISNUMBER(AD111)),AD111=0),"",ABS(M111/AD111))</x:f>
        <x:v>0.00826733361122689</x:v>
      </x:c>
      <x:c r="AA111" s="35" t="n">
        <x:f>IF(ISNUMBER('sheet4-原始数据'!K96),'sheet4-原始数据'!K96,"")</x:f>
        <x:v>0.00826733361122689</x:v>
      </x:c>
      <x:c r="AB111" s="37" t="n">
        <x:f>IF(COUNT(Z111:AA111)=0,"",MAX(Z111:AA111))</x:f>
        <x:v>0.00826733361122689</x:v>
      </x:c>
      <x:c r="AC111" s="17" t="n">
        <x:f>IF(OR($G111&lt;&gt;"入池",NOT(ISNUMBER(AB111))),"",IF(COUNTIFS($G$17:$G$219,"入池",$AB$17:$AB$219,"&gt;=-1E+307",$AB$17:$AB$219,"&lt;=1E+307")&lt;=1,100,ROUND(100*(COUNTIFS($G$17:$G$219,"入池",$AB$17:$AB$219,"&lt;=1E+307",$AB$17:$AB$219,"&gt;"&amp;AB111)+COUNTIFS($G$17:$G$219,"入池",$AB$17:$AB$219,AB111,$AB$17:$AB$219,"&gt;=-1E+307",$AB$17:$AB$219,"&lt;=1E+307")/2-0.5)/(COUNTIFS($G$17:$G$219,"入池",$AB$17:$AB$219,"&gt;=-1E+307",$AB$17:$AB$219,"&lt;=1E+307")-1),2)))</x:f>
        <x:v>89.6</x:v>
      </x:c>
      <x:c r="AD111" s="38" t="n">
        <x:f>IF(ISNUMBER('sheet4-原始数据'!M96),'sheet4-原始数据'!M96,"")</x:f>
        <x:v>13.18818828764583</x:v>
      </x:c>
      <x:c r="AE111" s="37" t="str">
        <x:f t="shared" si="5">IF(OR(NOT(ISNUMBER(P111)),NOT(ISNUMBER(AA111)),NOT(ISNUMBER(Z111))),"",IF(AA111&gt;Z111+'sheet1-指标体系'!$J$11,AA111,""))</x:f>
      </x:c>
      <x:c r="AF111" s="17" t="str">
        <x:f>IF(OR(NOT(ISNUMBER(P111)),NOT(ISNUMBER(AE111)),AE111=0),"",P111/AE111)</x:f>
      </x:c>
      <x:c r="AG111" s="17" t="n">
        <x:f>IF(OR($G111&lt;&gt;"入池",NOT(ISNUMBER(AD111))),"",IF(COUNTIFS($G$17:$G$219,"入池",$AD$17:$AD$219,"&gt;=-1E+307",$AD$17:$AD$219,"&lt;=1E+307")&lt;=1,100,ROUND(100*(COUNTIFS($G$17:$G$219,"入池",$AD$17:$AD$219,"&gt;=-1E+307",$AD$17:$AD$219,"&lt;"&amp;AD111)+COUNTIFS($G$17:$G$219,"入池",$AD$17:$AD$219,AD111,$AD$17:$AD$219,"&gt;=-1E+307",$AD$17:$AD$219,"&lt;=1E+307")/2-0.5)/(COUNTIFS($G$17:$G$219,"入池",$AD$17:$AD$219,"&gt;=-1E+307",$AD$17:$AD$219,"&lt;=1E+307")-1),2)))</x:f>
        <x:v>84.08</x:v>
      </x:c>
      <x:c r="AH111" s="17" t="str">
        <x:f>IF(OR($G111&lt;&gt;"入池",NOT(ISNUMBER(AF111))),"",IF(COUNTIFS($G$17:$G$219,"入池",$AF$17:$AF$219,"&gt;=-1E+307",$AF$17:$AF$219,"&lt;=1E+307")&lt;=1,100,ROUND(100*(COUNTIFS($G$17:$G$219,"入池",$AF$17:$AF$219,"&gt;=-1E+307",$AF$17:$AF$219,"&lt;"&amp;AF111)+COUNTIFS($G$17:$G$219,"入池",$AF$17:$AF$219,AF111,$AF$17:$AF$219,"&gt;=-1E+307",$AF$17:$AF$219,"&lt;=1E+307")/2-0.5)/(COUNTIFS($G$17:$G$219,"入池",$AF$17:$AF$219,"&gt;=-1E+307",$AF$17:$AF$219,"&lt;=1E+307")-1),2)))</x:f>
      </x:c>
      <x:c r="AI111" s="17" t="n">
        <x:f>IF(NOT(ISNUMBER(AG111)),"",IF(NOT(ISNUMBER(AH111)),AG111,ROUND(AG111*'sheet1-指标体系'!$J$8+AH111*'sheet1-指标体系'!$J$9,2)))</x:f>
        <x:v>84.08</x:v>
      </x:c>
      <x:c r="AJ111" s="37" t="n">
        <x:f>IF(NOT(ISNUMBER(F111)),"",IF(F111&gt;=3,IF(NOT(ISNUMBER(N111)),"",N111),IF(NOT(ISNUMBER(O111)),"",O111)))</x:f>
        <x:v>0.08030601138775961</x:v>
      </x:c>
      <x:c r="AK111" s="17" t="n">
        <x:f>IF(OR(G111&lt;&gt;"入池",NOT(ISNUMBER(M111)),NOT(ISNUMBER(AJ111))),"",IF(M111&gt;=AJ111,100,IF(AJ111-M111&lt;'sheet1-指标体系'!$J$10,80,60)))</x:f>
        <x:v>100</x:v>
      </x:c>
      <x:c r="AL111" s="17" t="n">
        <x:f>IF(COUNT(I111,K111,L111)=0,"",ROUND((IF(ISNUMBER(I111),I111*40%,0)+IF(ISNUMBER(K111),K111*30%,0)+IF(ISNUMBER(L111),L111*30%,0))/(IF(ISNUMBER(I111),40%,0)+IF(ISNUMBER(K111),30%,0)+IF(ISNUMBER(L111),30%,0)),2))</x:f>
        <x:v>84</x:v>
      </x:c>
      <x:c r="AM111" s="17" t="n">
        <x:f>IF(COUNT(Q111,R111,W111,X111)=0,"",ROUND((IF(ISNUMBER(Q111),Q111*42%,0)+IF(ISNUMBER(R111),R111*28%,0)+IF(ISNUMBER(W111),W111*18%,0)+IF(ISNUMBER(X111),X111*12%,0))/(IF(ISNUMBER(Q111),42%,0)+IF(ISNUMBER(R111),28%,0)+IF(ISNUMBER(W111),18%,0)+IF(ISNUMBER(X111),12%,0)),2))</x:f>
        <x:v>79.4</x:v>
      </x:c>
      <x:c r="AN111" s="17" t="n">
        <x:f>IF(ISNUMBER(AC111),AC111,"")</x:f>
        <x:v>89.6</x:v>
      </x:c>
      <x:c r="AO111" s="17" t="n">
        <x:f>IF(COUNT(AG111,AH111)=0,"",ROUND((IF(ISNUMBER(AG111),AG111*60%,0)+IF(ISNUMBER(AH111),AH111*40%,0))/(IF(ISNUMBER(AG111),60%,0)+IF(ISNUMBER(AH111),40%,0)),2))</x:f>
        <x:v>84.08</x:v>
      </x:c>
      <x:c r="AP111" s="17" t="n">
        <x:f>IF(ISNUMBER(AK111),AK111,"")</x:f>
        <x:v>100</x:v>
      </x:c>
      <x:c r="AQ111" s="39" t="n">
        <x:f>IF(G111&lt;&gt;"入池",0,IF(ISNUMBER(I111),6%,0)+IF(ISNUMBER(K111),4.5%,0)+IF(ISNUMBER(L111),4.5%,0)+IF(ISNUMBER(Q111),8.4%,0)+IF(ISNUMBER(R111),5.6%,0)+IF(ISNUMBER(W111),3.6%,0)+IF(ISNUMBER(X111),2.4%,0)+IF(ISNUMBER(AC111),25%,0)+IF(ISNUMBER(AG111),18%,0)+IF(ISNUMBER(AH111),12%,0)+IF(ISNUMBER(AK111),10%,0))</x:f>
        <x:v>0.88</x:v>
      </x:c>
      <x:c r="AR111" s="17" t="n">
        <x:f>IF(AQ111=0,"",IF(ISNUMBER(I111),I111*6%,0)+IF(ISNUMBER(K111),K111*4.5%,0)+IF(ISNUMBER(L111),L111*4.5%,0)+IF(ISNUMBER(Q111),Q111*8.4%,0)+IF(ISNUMBER(R111),R111*5.6%,0)+IF(ISNUMBER(W111),W111*3.6%,0)+IF(ISNUMBER(X111),X111*2.4%,0)+IF(ISNUMBER(AC111),AC111*25%,0)+IF(ISNUMBER(AG111),AG111*18%,0)+IF(ISNUMBER(AH111),AH111*12%,0)+IF(ISNUMBER(AK111),AK111*10%,0))</x:f>
        <x:v>76.015</x:v>
      </x:c>
      <x:c r="AS111" s="17" t="n">
        <x:f>IF(AQ111=0,"",ROUND(AR111/AQ111,2))</x:f>
        <x:v>86.38</x:v>
      </x:c>
      <x:c r="AT111" s="40" t="n">
        <x:f>IF(OR(G111&lt;&gt;"入池",NOT(ISNUMBER(AS111))),"",COUNTIFS($G$17:$G$219,"入池",$AS$17:$AS$219,"&gt;"&amp;AS111)+COUNTIFS($G$17:$G$219,"入池",$AS$17:$AS$219,AS111,$AQ$17:$AQ$219,"&gt;"&amp;AQ111)+COUNTIFS($G$17:G111,"入池",$AS$17:AS111,AS111,$AQ$17:AQ111,AQ111))</x:f>
        <x:v>13</x:v>
      </x:c>
      <x:c r="AU111" s="41" t="str">
        <x:f t="shared" si="4">IF(NOT(ISNUMBER(I111)),"管理人规模；","")&amp;IF(J111="","产品规模标识；","")&amp;IF(AND(F111&lt;3,NOT(ISNUMBER(O111))),"R_incep；","")&amp;IF(NOT(ISNUMBER(N111)),"近三年收益；","")&amp;IF(NOT(ISNUMBER(U111)),"近三年胜率；","")&amp;IF(AND(ISNUMBER(V111),OR(V111&lt;0,V111&gt;1)),"胜率窗口口径不一致；","")&amp;IF(NOT(ISNUMBER(AA111)),"近三年回撤；","")&amp;IF(NOT(ISNUMBER(AD111)),"短期卡玛；","")&amp;IF(AND(ISNUMBER(P111),NOT(ISNUMBER(AE111))),"DD_long不可识别；","")</x:f>
        <x:v>DD_long不可识别；</x:v>
      </x:c>
      <x:c r="AV111" s="42" t="n">
        <x:v>0</x:v>
      </x:c>
      <x:c r="AW111" s="19" t="str">
        <x:v>珠海钧誉资产管理有限公司</x:v>
      </x:c>
      <x:c r="AX111" s="19" t="str">
        <x:v>2024-06-28</x:v>
      </x:c>
      <x:c r="AY111" s="19" t="str">
        <x:v>https://gs.amac.org.cn/amac-infodisc/res/pof/manager/1801241613109731.html</x:v>
      </x:c>
      <x:c r="AZ111" s="19" t="str">
        <x:v>钧誉厚德量化对冲11号私募证券投资基金</x:v>
      </x:c>
      <x:c r="BA111" s="19" t="str">
        <x:v>2024-11-07</x:v>
      </x:c>
      <x:c r="BB111" s="19"/>
      <x:c r="BC111" s="19" t="str">
        <x:v>https://gs.amac.org.cn/amac-infodisc/res/pof/fund/2105111737102298.html</x:v>
      </x:c>
      <x:c r="BD111" s="19" t="str">
        <x:v>已匹配</x:v>
      </x:c>
      <x:c r="BE111"/>
      <x:c r="BF111"/>
    </x:row>
    <x:row r="112" ht="28" customHeight="1">
      <x:c r="A112" s="4" t="n">
        <x:v>96</x:v>
      </x:c>
      <x:c r="B112" s="15" t="str">
        <x:f>'sheet4-原始数据'!A97</x:f>
        <x:v>杉阳云杉混合1号A类</x:v>
      </x:c>
      <x:c r="C112" s="15" t="str">
        <x:f>'sheet4-原始数据'!B97</x:f>
        <x:v>LA063A</x:v>
      </x:c>
      <x:c r="D112" s="15" t="str">
        <x:f>'sheet4-原始数据'!E97</x:f>
        <x:v>上海杉阳</x:v>
      </x:c>
      <x:c r="E112" s="32" t="n">
        <x:f>IF(ISNUMBER('sheet4-原始数据'!F97),'sheet4-原始数据'!F97,"")</x:f>
        <x:v>43980</x:v>
      </x:c>
      <x:c r="F112" s="17" t="n">
        <x:f>IF(NOT(ISNUMBER(E112)),"",ROUND(('sheet1-指标体系'!$J$23-E112)/365.25,4))</x:f>
        <x:v>6.2998</x:v>
      </x:c>
      <x:c r="G112" s="4" t="str">
        <x:f t="shared" si="3">IF(NOT(ISNUMBER(F112)),"",IF(F112&lt;1,"不入池","入池"))</x:f>
        <x:v>入池</x:v>
      </x:c>
      <x:c r="H112" s="33" t="str">
        <x:v>0-5亿元</x:v>
      </x:c>
      <x:c r="I112" s="17" t="n">
        <x:f>IF(H112="","",IF(ISNUMBER(SEARCH("100亿元以上",H112)),100,IF(OR(ISNUMBER(SEARCH("20-50",H112)),ISNUMBER(SEARCH("50-100",H112)),ISNUMBER(SEARCH("20-100",H112))),90,IF(ISNUMBER(SEARCH("10-20",H112)),80,IF(ISNUMBER(SEARCH("5-10",H112)),70,IF(ISNUMBER(SEARCH("0-5",H112)),60,""))))))</x:f>
        <x:v>60</x:v>
      </x:c>
      <x:c r="J112" s="34"/>
      <x:c r="K112" s="17" t="str">
        <x:f>IF(J112="","",IF(J112="低于1000万元",0,100))</x:f>
      </x:c>
      <x:c r="L112" s="17" t="n">
        <x:f>IF(NOT(ISNUMBER(F112)),"",IF(F112&lt;1,"",IF(F112&lt;3,70,100)))</x:f>
        <x:v>100</x:v>
      </x:c>
      <x:c r="M112" s="35" t="n">
        <x:f>IF(ISNUMBER('sheet4-原始数据'!G97),'sheet4-原始数据'!G97,"")</x:f>
        <x:v>0.073</x:v>
      </x:c>
      <x:c r="N112" s="35" t="n">
        <x:f>IF(ISNUMBER('sheet4-原始数据'!H97),'sheet4-原始数据'!H97,"")</x:f>
        <x:v>0.0412</x:v>
      </x:c>
      <x:c r="O112" s="36" t="str">
        <x:f>IF(ISNUMBER('sheet4-原始数据'!Q97),'sheet4-原始数据'!Q97,"")</x:f>
      </x:c>
      <x:c r="P112" s="37" t="n">
        <x:f>IF($G112&lt;&gt;"入池","",IF($F112&gt;=3,IF(OR(NOT(ISNUMBER($M112)),NOT(ISNUMBER($N112)),1+$M112&lt;=0,1+$N112&lt;0),"",((1+$N112)^3/(1+$M112))^(1/2)-1),IF(OR($F112&lt;=1,NOT(ISNUMBER($M112)),NOT(ISNUMBER($O112)),1+$M112&lt;=0,1+$O112&lt;0),"",((1+$O112)^$F112/(1+$M112))^(1/($F112-1))-1)))</x:f>
        <x:v>0.025655181019568207</x:v>
      </x:c>
      <x:c r="Q112" s="17" t="n">
        <x:f>IF(OR($G112&lt;&gt;"入池",NOT(ISNUMBER(M112))),"",IF(COUNTIFS($G$17:$G$219,"入池",$M$17:$M$219,"&gt;=-1E+307",$M$17:$M$219,"&lt;=1E+307")&lt;=1,100,ROUND(100*(COUNTIFS($G$17:$G$219,"入池",$M$17:$M$219,"&gt;=-1E+307",$M$17:$M$219,"&lt;"&amp;M112)+COUNTIFS($G$17:$G$219,"入池",$M$17:$M$219,M112,$M$17:$M$219,"&gt;=-1E+307",$M$17:$M$219,"&lt;=1E+307")/2-0.5)/(COUNTIFS($G$17:$G$219,"入池",$M$17:$M$219,"&gt;=-1E+307",$M$17:$M$219,"&lt;=1E+307")-1),2)))</x:f>
        <x:v>66.83</x:v>
      </x:c>
      <x:c r="R112" s="17" t="n">
        <x:f>IF(OR($G112&lt;&gt;"入池",NOT(ISNUMBER(P112))),"",IF(COUNTIFS($G$17:$G$219,"入池",$P$17:$P$219,"&gt;=-1E+307",$P$17:$P$219,"&lt;=1E+307")&lt;=1,100,ROUND(100*(COUNTIFS($G$17:$G$219,"入池",$P$17:$P$219,"&gt;=-1E+307",$P$17:$P$219,"&lt;"&amp;P112)+COUNTIFS($G$17:$G$219,"入池",$P$17:$P$219,P112,$P$17:$P$219,"&gt;=-1E+307",$P$17:$P$219,"&lt;=1E+307")/2-0.5)/(COUNTIFS($G$17:$G$219,"入池",$P$17:$P$219,"&gt;=-1E+307",$P$17:$P$219,"&lt;=1E+307")-1),2)))</x:f>
        <x:v>12.87</x:v>
      </x:c>
      <x:c r="S112" s="17" t="n">
        <x:f>IF(NOT(ISNUMBER(Q112)),"",IF(NOT(ISNUMBER(R112)),Q112,ROUND(Q112*'sheet1-指标体系'!$J$8+R112*'sheet1-指标体系'!$J$9,2)))</x:f>
        <x:v>45.25</x:v>
      </x:c>
      <x:c r="T112" s="35" t="n">
        <x:f>IF(ISNUMBER('sheet4-原始数据'!J97),'sheet4-原始数据'!J97,"")</x:f>
        <x:v>0.7692</x:v>
      </x:c>
      <x:c r="U112" s="35" t="n">
        <x:f>IF(ISNUMBER('sheet4-原始数据'!I97),'sheet4-原始数据'!I97,"")</x:f>
        <x:v>0.7027</x:v>
      </x:c>
      <x:c r="V112" s="37" t="n">
        <x:f>IF(OR(NOT(ISNUMBER(T112)),NOT(ISNUMBER(U112))),"",(U112*'sheet1-指标体系'!$J$6-T112*'sheet1-指标体系'!$J$5)/'sheet1-指标体系'!$J$7)</x:f>
        <x:v>0.6666791666666668</x:v>
      </x:c>
      <x:c r="W112" s="17" t="n">
        <x:f>IF(NOT(ISNUMBER(T112)),"",T112*100)</x:f>
        <x:v>76.92</x:v>
      </x:c>
      <x:c r="X112" s="17" t="n">
        <x:f>IF($G112&lt;&gt;"入池","",IF(AND(ISNUMBER(V112),V112&gt;=0,V112&lt;=1),V112*100,IF(MAX(0,($F112-1)*12)&lt;6,100,"")))</x:f>
        <x:v>66.66791666666668</x:v>
      </x:c>
      <x:c r="Y112" s="17" t="n">
        <x:f>IF(NOT(ISNUMBER(W112)),"",IF(NOT(ISNUMBER(X112)),W112,ROUND(W112*'sheet1-指标体系'!$J$8+X112*'sheet1-指标体系'!$J$9,2)))</x:f>
        <x:v>72.82</x:v>
      </x:c>
      <x:c r="Z112" s="37" t="n">
        <x:f>IF(OR(NOT(ISNUMBER(M112)),NOT(ISNUMBER(AD112)),AD112=0),"",ABS(M112/AD112))</x:f>
        <x:v>0.005842617492636701</x:v>
      </x:c>
      <x:c r="AA112" s="35" t="n">
        <x:f>IF(ISNUMBER('sheet4-原始数据'!K97),'sheet4-原始数据'!K97,"")</x:f>
        <x:v>0.031</x:v>
      </x:c>
      <x:c r="AB112" s="37" t="n">
        <x:f>IF(COUNT(Z112:AA112)=0,"",MAX(Z112:AA112))</x:f>
        <x:v>0.031</x:v>
      </x:c>
      <x:c r="AC112" s="17" t="n">
        <x:f>IF(OR($G112&lt;&gt;"入池",NOT(ISNUMBER(AB112))),"",IF(COUNTIFS($G$17:$G$219,"入池",$AB$17:$AB$219,"&gt;=-1E+307",$AB$17:$AB$219,"&lt;=1E+307")&lt;=1,100,ROUND(100*(COUNTIFS($G$17:$G$219,"入池",$AB$17:$AB$219,"&lt;=1E+307",$AB$17:$AB$219,"&gt;"&amp;AB112)+COUNTIFS($G$17:$G$219,"入池",$AB$17:$AB$219,AB112,$AB$17:$AB$219,"&gt;=-1E+307",$AB$17:$AB$219,"&lt;=1E+307")/2-0.5)/(COUNTIFS($G$17:$G$219,"入池",$AB$17:$AB$219,"&gt;=-1E+307",$AB$17:$AB$219,"&lt;=1E+307")-1),2)))</x:f>
        <x:v>59.41</x:v>
      </x:c>
      <x:c r="AD112" s="38" t="n">
        <x:f>IF(ISNUMBER('sheet4-原始数据'!M97),'sheet4-原始数据'!M97,"")</x:f>
        <x:v>12.4944</x:v>
      </x:c>
      <x:c r="AE112" s="37" t="n">
        <x:f t="shared" si="5">IF(OR(NOT(ISNUMBER(P112)),NOT(ISNUMBER(AA112)),NOT(ISNUMBER(Z112))),"",IF(AA112&gt;Z112+'sheet1-指标体系'!$J$11,AA112,""))</x:f>
        <x:v>0.031</x:v>
      </x:c>
      <x:c r="AF112" s="17" t="n">
        <x:f>IF(OR(NOT(ISNUMBER(P112)),NOT(ISNUMBER(AE112)),AE112=0),"",P112/AE112)</x:f>
        <x:v>0.8275864845022003</x:v>
      </x:c>
      <x:c r="AG112" s="17" t="n">
        <x:f>IF(OR($G112&lt;&gt;"入池",NOT(ISNUMBER(AD112))),"",IF(COUNTIFS($G$17:$G$219,"入池",$AD$17:$AD$219,"&gt;=-1E+307",$AD$17:$AD$219,"&lt;=1E+307")&lt;=1,100,ROUND(100*(COUNTIFS($G$17:$G$219,"入池",$AD$17:$AD$219,"&gt;=-1E+307",$AD$17:$AD$219,"&lt;"&amp;AD112)+COUNTIFS($G$17:$G$219,"入池",$AD$17:$AD$219,AD112,$AD$17:$AD$219,"&gt;=-1E+307",$AD$17:$AD$219,"&lt;=1E+307")/2-0.5)/(COUNTIFS($G$17:$G$219,"入池",$AD$17:$AD$219,"&gt;=-1E+307",$AD$17:$AD$219,"&lt;=1E+307")-1),2)))</x:f>
        <x:v>83.08</x:v>
      </x:c>
      <x:c r="AH112" s="17" t="n">
        <x:f>IF(OR($G112&lt;&gt;"入池",NOT(ISNUMBER(AF112))),"",IF(COUNTIFS($G$17:$G$219,"入池",$AF$17:$AF$219,"&gt;=-1E+307",$AF$17:$AF$219,"&lt;=1E+307")&lt;=1,100,ROUND(100*(COUNTIFS($G$17:$G$219,"入池",$AF$17:$AF$219,"&gt;=-1E+307",$AF$17:$AF$219,"&lt;"&amp;AF112)+COUNTIFS($G$17:$G$219,"入池",$AF$17:$AF$219,AF112,$AF$17:$AF$219,"&gt;=-1E+307",$AF$17:$AF$219,"&lt;=1E+307")/2-0.5)/(COUNTIFS($G$17:$G$219,"入池",$AF$17:$AF$219,"&gt;=-1E+307",$AF$17:$AF$219,"&lt;=1E+307")-1),2)))</x:f>
        <x:v>32.85</x:v>
      </x:c>
      <x:c r="AI112" s="17" t="n">
        <x:f>IF(NOT(ISNUMBER(AG112)),"",IF(NOT(ISNUMBER(AH112)),AG112,ROUND(AG112*'sheet1-指标体系'!$J$8+AH112*'sheet1-指标体系'!$J$9,2)))</x:f>
        <x:v>62.99</x:v>
      </x:c>
      <x:c r="AJ112" s="37" t="n">
        <x:f>IF(NOT(ISNUMBER(F112)),"",IF(F112&gt;=3,IF(NOT(ISNUMBER(N112)),"",N112),IF(NOT(ISNUMBER(O112)),"",O112)))</x:f>
        <x:v>0.0412</x:v>
      </x:c>
      <x:c r="AK112" s="17" t="n">
        <x:f>IF(OR(G112&lt;&gt;"入池",NOT(ISNUMBER(M112)),NOT(ISNUMBER(AJ112))),"",IF(M112&gt;=AJ112,100,IF(AJ112-M112&lt;'sheet1-指标体系'!$J$10,80,60)))</x:f>
        <x:v>100</x:v>
      </x:c>
      <x:c r="AL112" s="17" t="n">
        <x:f>IF(COUNT(I112,K112,L112)=0,"",ROUND((IF(ISNUMBER(I112),I112*40%,0)+IF(ISNUMBER(K112),K112*30%,0)+IF(ISNUMBER(L112),L112*30%,0))/(IF(ISNUMBER(I112),40%,0)+IF(ISNUMBER(K112),30%,0)+IF(ISNUMBER(L112),30%,0)),2))</x:f>
        <x:v>77.14</x:v>
      </x:c>
      <x:c r="AM112" s="17" t="n">
        <x:f>IF(COUNT(Q112,R112,W112,X112)=0,"",ROUND((IF(ISNUMBER(Q112),Q112*42%,0)+IF(ISNUMBER(R112),R112*28%,0)+IF(ISNUMBER(W112),W112*18%,0)+IF(ISNUMBER(X112),X112*12%,0))/(IF(ISNUMBER(Q112),42%,0)+IF(ISNUMBER(R112),28%,0)+IF(ISNUMBER(W112),18%,0)+IF(ISNUMBER(X112),12%,0)),2))</x:f>
        <x:v>53.52</x:v>
      </x:c>
      <x:c r="AN112" s="17" t="n">
        <x:f>IF(ISNUMBER(AC112),AC112,"")</x:f>
        <x:v>59.41</x:v>
      </x:c>
      <x:c r="AO112" s="17" t="n">
        <x:f>IF(COUNT(AG112,AH112)=0,"",ROUND((IF(ISNUMBER(AG112),AG112*60%,0)+IF(ISNUMBER(AH112),AH112*40%,0))/(IF(ISNUMBER(AG112),60%,0)+IF(ISNUMBER(AH112),40%,0)),2))</x:f>
        <x:v>62.99</x:v>
      </x:c>
      <x:c r="AP112" s="17" t="n">
        <x:f>IF(ISNUMBER(AK112),AK112,"")</x:f>
        <x:v>100</x:v>
      </x:c>
      <x:c r="AQ112" s="39" t="n">
        <x:f>IF(G112&lt;&gt;"入池",0,IF(ISNUMBER(I112),6%,0)+IF(ISNUMBER(K112),4.5%,0)+IF(ISNUMBER(L112),4.5%,0)+IF(ISNUMBER(Q112),8.4%,0)+IF(ISNUMBER(R112),5.6%,0)+IF(ISNUMBER(W112),3.6%,0)+IF(ISNUMBER(X112),2.4%,0)+IF(ISNUMBER(AC112),25%,0)+IF(ISNUMBER(AG112),18%,0)+IF(ISNUMBER(AH112),12%,0)+IF(ISNUMBER(AK112),10%,0))</x:f>
        <x:v>0.9550000000000001</x:v>
      </x:c>
      <x:c r="AR112" s="17" t="n">
        <x:f>IF(AQ112=0,"",IF(ISNUMBER(I112),I112*6%,0)+IF(ISNUMBER(K112),K112*4.5%,0)+IF(ISNUMBER(L112),L112*4.5%,0)+IF(ISNUMBER(Q112),Q112*8.4%,0)+IF(ISNUMBER(R112),R112*5.6%,0)+IF(ISNUMBER(W112),W112*3.6%,0)+IF(ISNUMBER(X112),X112*2.4%,0)+IF(ISNUMBER(AC112),AC112*25%,0)+IF(ISNUMBER(AG112),AG112*18%,0)+IF(ISNUMBER(AH112),AH112*12%,0)+IF(ISNUMBER(AK112),AK112*10%,0))</x:f>
        <x:v>62.55249</x:v>
      </x:c>
      <x:c r="AS112" s="17" t="n">
        <x:f>IF(AQ112=0,"",ROUND(AR112/AQ112,2))</x:f>
        <x:v>65.5</x:v>
      </x:c>
      <x:c r="AT112" s="40" t="n">
        <x:f>IF(OR(G112&lt;&gt;"入池",NOT(ISNUMBER(AS112))),"",COUNTIFS($G$17:$G$219,"入池",$AS$17:$AS$219,"&gt;"&amp;AS112)+COUNTIFS($G$17:$G$219,"入池",$AS$17:$AS$219,AS112,$AQ$17:$AQ$219,"&gt;"&amp;AQ112)+COUNTIFS($G$17:G112,"入池",$AS$17:AS112,AS112,$AQ$17:AQ112,AQ112))</x:f>
        <x:v>90</x:v>
      </x:c>
      <x:c r="AU112" s="41" t="str">
        <x:f t="shared" si="4">IF(NOT(ISNUMBER(I112)),"管理人规模；","")&amp;IF(J112="","产品规模标识；","")&amp;IF(AND(F112&lt;3,NOT(ISNUMBER(O112))),"R_incep；","")&amp;IF(NOT(ISNUMBER(N112)),"近三年收益；","")&amp;IF(NOT(ISNUMBER(U112)),"近三年胜率；","")&amp;IF(AND(ISNUMBER(V112),OR(V112&lt;0,V112&gt;1)),"胜率窗口口径不一致；","")&amp;IF(NOT(ISNUMBER(AA112)),"近三年回撤；","")&amp;IF(NOT(ISNUMBER(AD112)),"短期卡玛；","")&amp;IF(AND(ISNUMBER(P112),NOT(ISNUMBER(AE112))),"DD_long不可识别；","")</x:f>
        <x:v>产品规模标识；</x:v>
      </x:c>
      <x:c r="AV112" s="42" t="n">
        <x:v>0</x:v>
      </x:c>
      <x:c r="AW112" s="19" t="str">
        <x:v>上海杉阳私募基金管理有限公司</x:v>
      </x:c>
      <x:c r="AX112" s="19" t="str">
        <x:v>2026-05-06</x:v>
      </x:c>
      <x:c r="AY112" s="19" t="str">
        <x:v>https://gs.amac.org.cn/amac-infodisc/res/pof/manager/2001061547104837.html</x:v>
      </x:c>
      <x:c r="AZ112" s="19"/>
      <x:c r="BA112" s="19"/>
      <x:c r="BB112" s="19"/>
      <x:c r="BC112" s="19"/>
      <x:c r="BD112" s="19" t="str">
        <x:v>基金页未匹配；管理人已核验</x:v>
      </x:c>
      <x:c r="BE112"/>
      <x:c r="BF112"/>
    </x:row>
    <x:row r="113" ht="28" customHeight="1">
      <x:c r="A113" s="4" t="n">
        <x:v>97</x:v>
      </x:c>
      <x:c r="B113" s="15" t="str">
        <x:f>'sheet4-原始数据'!A98</x:f>
        <x:v>嘉和传承精研二期</x:v>
      </x:c>
      <x:c r="C113" s="15" t="str">
        <x:f>'sheet4-原始数据'!B98</x:f>
        <x:v>STD929</x:v>
      </x:c>
      <x:c r="D113" s="15" t="str">
        <x:f>'sheet4-原始数据'!E98</x:f>
        <x:v>上海嘉和传承</x:v>
      </x:c>
      <x:c r="E113" s="32" t="n">
        <x:f>IF(ISNUMBER('sheet4-原始数据'!F98),'sheet4-原始数据'!F98,"")</x:f>
        <x:v>44537</x:v>
      </x:c>
      <x:c r="F113" s="17" t="n">
        <x:f>IF(NOT(ISNUMBER(E113)),"",ROUND(('sheet1-指标体系'!$J$23-E113)/365.25,4))</x:f>
        <x:v>4.7748</x:v>
      </x:c>
      <x:c r="G113" s="4" t="str">
        <x:f t="shared" si="3">IF(NOT(ISNUMBER(F113)),"",IF(F113&lt;1,"不入池","入池"))</x:f>
        <x:v>入池</x:v>
      </x:c>
      <x:c r="H113" s="33" t="str">
        <x:v>5-10亿元</x:v>
      </x:c>
      <x:c r="I113" s="17" t="n">
        <x:f>IF(H113="","",IF(ISNUMBER(SEARCH("100亿元以上",H113)),100,IF(OR(ISNUMBER(SEARCH("20-50",H113)),ISNUMBER(SEARCH("50-100",H113)),ISNUMBER(SEARCH("20-100",H113))),90,IF(ISNUMBER(SEARCH("10-20",H113)),80,IF(ISNUMBER(SEARCH("5-10",H113)),70,IF(ISNUMBER(SEARCH("0-5",H113)),60,""))))))</x:f>
        <x:v>70</x:v>
      </x:c>
      <x:c r="J113" s="34" t="str">
        <x:v>无低于1000万元标识</x:v>
      </x:c>
      <x:c r="K113" s="17" t="n">
        <x:f>IF(J113="","",IF(J113="低于1000万元",0,100))</x:f>
        <x:v>100</x:v>
      </x:c>
      <x:c r="L113" s="17" t="n">
        <x:f>IF(NOT(ISNUMBER(F113)),"",IF(F113&lt;1,"",IF(F113&lt;3,70,100)))</x:f>
        <x:v>100</x:v>
      </x:c>
      <x:c r="M113" s="35" t="n">
        <x:f>IF(ISNUMBER('sheet4-原始数据'!G98),'sheet4-原始数据'!G98,"")</x:f>
        <x:v>0.0694</x:v>
      </x:c>
      <x:c r="N113" s="35" t="n">
        <x:f>IF(ISNUMBER('sheet4-原始数据'!H98),'sheet4-原始数据'!H98,"")</x:f>
        <x:v>0.1189</x:v>
      </x:c>
      <x:c r="O113" s="36" t="str">
        <x:f>IF(ISNUMBER('sheet4-原始数据'!Q98),'sheet4-原始数据'!Q98,"")</x:f>
      </x:c>
      <x:c r="P113" s="37" t="n">
        <x:f>IF($G113&lt;&gt;"入池","",IF($F113&gt;=3,IF(OR(NOT(ISNUMBER($M113)),NOT(ISNUMBER($N113)),1+$M113&lt;=0,1+$N113&lt;0),"",((1+$N113)^3/(1+$M113))^(1/2)-1),IF(OR($F113&lt;=1,NOT(ISNUMBER($M113)),NOT(ISNUMBER($O113)),1+$M113&lt;=0,1+$O113&lt;0),"",((1+$O113)^$F113/(1+$M113))^(1/($F113-1))-1)))</x:f>
        <x:v>0.14450269824270534</x:v>
      </x:c>
      <x:c r="Q113" s="17" t="n">
        <x:f>IF(OR($G113&lt;&gt;"入池",NOT(ISNUMBER(M113))),"",IF(COUNTIFS($G$17:$G$219,"入池",$M$17:$M$219,"&gt;=-1E+307",$M$17:$M$219,"&lt;=1E+307")&lt;=1,100,ROUND(100*(COUNTIFS($G$17:$G$219,"入池",$M$17:$M$219,"&gt;=-1E+307",$M$17:$M$219,"&lt;"&amp;M113)+COUNTIFS($G$17:$G$219,"入池",$M$17:$M$219,M113,$M$17:$M$219,"&gt;=-1E+307",$M$17:$M$219,"&lt;=1E+307")/2-0.5)/(COUNTIFS($G$17:$G$219,"入池",$M$17:$M$219,"&gt;=-1E+307",$M$17:$M$219,"&lt;=1E+307")-1),2)))</x:f>
        <x:v>61.39</x:v>
      </x:c>
      <x:c r="R113" s="17" t="n">
        <x:f>IF(OR($G113&lt;&gt;"入池",NOT(ISNUMBER(P113))),"",IF(COUNTIFS($G$17:$G$219,"入池",$P$17:$P$219,"&gt;=-1E+307",$P$17:$P$219,"&lt;=1E+307")&lt;=1,100,ROUND(100*(COUNTIFS($G$17:$G$219,"入池",$P$17:$P$219,"&gt;=-1E+307",$P$17:$P$219,"&lt;"&amp;P113)+COUNTIFS($G$17:$G$219,"入池",$P$17:$P$219,P113,$P$17:$P$219,"&gt;=-1E+307",$P$17:$P$219,"&lt;=1E+307")/2-0.5)/(COUNTIFS($G$17:$G$219,"入池",$P$17:$P$219,"&gt;=-1E+307",$P$17:$P$219,"&lt;=1E+307")-1),2)))</x:f>
        <x:v>88.12</x:v>
      </x:c>
      <x:c r="S113" s="17" t="n">
        <x:f>IF(NOT(ISNUMBER(Q113)),"",IF(NOT(ISNUMBER(R113)),Q113,ROUND(Q113*'sheet1-指标体系'!$J$8+R113*'sheet1-指标体系'!$J$9,2)))</x:f>
        <x:v>72.08</x:v>
      </x:c>
      <x:c r="T113" s="35" t="n">
        <x:f>IF(ISNUMBER('sheet4-原始数据'!J98),'sheet4-原始数据'!J98,"")</x:f>
        <x:v>0.5385</x:v>
      </x:c>
      <x:c r="U113" s="35" t="n">
        <x:f>IF(ISNUMBER('sheet4-原始数据'!I98),'sheet4-原始数据'!I98,"")</x:f>
        <x:v>0.5946</x:v>
      </x:c>
      <x:c r="V113" s="37" t="n">
        <x:f>IF(OR(NOT(ISNUMBER(T113)),NOT(ISNUMBER(U113))),"",(U113*'sheet1-指标体系'!$J$6-T113*'sheet1-指标体系'!$J$5)/'sheet1-指标体系'!$J$7)</x:f>
        <x:v>0.6249875</x:v>
      </x:c>
      <x:c r="W113" s="17" t="n">
        <x:f>IF(NOT(ISNUMBER(T113)),"",T113*100)</x:f>
        <x:v>53.849999999999994</x:v>
      </x:c>
      <x:c r="X113" s="17" t="n">
        <x:f>IF($G113&lt;&gt;"入池","",IF(AND(ISNUMBER(V113),V113&gt;=0,V113&lt;=1),V113*100,IF(MAX(0,($F113-1)*12)&lt;6,100,"")))</x:f>
        <x:v>62.49875</x:v>
      </x:c>
      <x:c r="Y113" s="17" t="n">
        <x:f>IF(NOT(ISNUMBER(W113)),"",IF(NOT(ISNUMBER(X113)),W113,ROUND(W113*'sheet1-指标体系'!$J$8+X113*'sheet1-指标体系'!$J$9,2)))</x:f>
        <x:v>57.31</x:v>
      </x:c>
      <x:c r="Z113" s="37" t="n">
        <x:f>IF(OR(NOT(ISNUMBER(M113)),NOT(ISNUMBER(AD113)),AD113=0),"",ABS(M113/AD113))</x:f>
        <x:v>0.0894445160458822</x:v>
      </x:c>
      <x:c r="AA113" s="35" t="n">
        <x:f>IF(ISNUMBER('sheet4-原始数据'!K98),'sheet4-原始数据'!K98,"")</x:f>
        <x:v>0.0894</x:v>
      </x:c>
      <x:c r="AB113" s="37" t="n">
        <x:f>IF(COUNT(Z113:AA113)=0,"",MAX(Z113:AA113))</x:f>
        <x:v>0.0894445160458822</x:v>
      </x:c>
      <x:c r="AC113" s="17" t="n">
        <x:f>IF(OR($G113&lt;&gt;"入池",NOT(ISNUMBER(AB113))),"",IF(COUNTIFS($G$17:$G$219,"入池",$AB$17:$AB$219,"&gt;=-1E+307",$AB$17:$AB$219,"&lt;=1E+307")&lt;=1,100,ROUND(100*(COUNTIFS($G$17:$G$219,"入池",$AB$17:$AB$219,"&lt;=1E+307",$AB$17:$AB$219,"&gt;"&amp;AB113)+COUNTIFS($G$17:$G$219,"入池",$AB$17:$AB$219,AB113,$AB$17:$AB$219,"&gt;=-1E+307",$AB$17:$AB$219,"&lt;=1E+307")/2-0.5)/(COUNTIFS($G$17:$G$219,"入池",$AB$17:$AB$219,"&gt;=-1E+307",$AB$17:$AB$219,"&lt;=1E+307")-1),2)))</x:f>
        <x:v>29.7</x:v>
      </x:c>
      <x:c r="AD113" s="38" t="n">
        <x:f>IF(ISNUMBER('sheet4-原始数据'!M98),'sheet4-原始数据'!M98,"")</x:f>
        <x:v>0.7759</x:v>
      </x:c>
      <x:c r="AE113" s="37" t="str">
        <x:f t="shared" si="5">IF(OR(NOT(ISNUMBER(P113)),NOT(ISNUMBER(AA113)),NOT(ISNUMBER(Z113))),"",IF(AA113&gt;Z113+'sheet1-指标体系'!$J$11,AA113,""))</x:f>
      </x:c>
      <x:c r="AF113" s="17" t="str">
        <x:f>IF(OR(NOT(ISNUMBER(P113)),NOT(ISNUMBER(AE113)),AE113=0),"",P113/AE113)</x:f>
      </x:c>
      <x:c r="AG113" s="17" t="n">
        <x:f>IF(OR($G113&lt;&gt;"入池",NOT(ISNUMBER(AD113))),"",IF(COUNTIFS($G$17:$G$219,"入池",$AD$17:$AD$219,"&gt;=-1E+307",$AD$17:$AD$219,"&lt;=1E+307")&lt;=1,100,ROUND(100*(COUNTIFS($G$17:$G$219,"入池",$AD$17:$AD$219,"&gt;=-1E+307",$AD$17:$AD$219,"&lt;"&amp;AD113)+COUNTIFS($G$17:$G$219,"入池",$AD$17:$AD$219,AD113,$AD$17:$AD$219,"&gt;=-1E+307",$AD$17:$AD$219,"&lt;=1E+307")/2-0.5)/(COUNTIFS($G$17:$G$219,"入池",$AD$17:$AD$219,"&gt;=-1E+307",$AD$17:$AD$219,"&lt;=1E+307")-1),2)))</x:f>
        <x:v>30.85</x:v>
      </x:c>
      <x:c r="AH113" s="17" t="str">
        <x:f>IF(OR($G113&lt;&gt;"入池",NOT(ISNUMBER(AF113))),"",IF(COUNTIFS($G$17:$G$219,"入池",$AF$17:$AF$219,"&gt;=-1E+307",$AF$17:$AF$219,"&lt;=1E+307")&lt;=1,100,ROUND(100*(COUNTIFS($G$17:$G$219,"入池",$AF$17:$AF$219,"&gt;=-1E+307",$AF$17:$AF$219,"&lt;"&amp;AF113)+COUNTIFS($G$17:$G$219,"入池",$AF$17:$AF$219,AF113,$AF$17:$AF$219,"&gt;=-1E+307",$AF$17:$AF$219,"&lt;=1E+307")/2-0.5)/(COUNTIFS($G$17:$G$219,"入池",$AF$17:$AF$219,"&gt;=-1E+307",$AF$17:$AF$219,"&lt;=1E+307")-1),2)))</x:f>
      </x:c>
      <x:c r="AI113" s="17" t="n">
        <x:f>IF(NOT(ISNUMBER(AG113)),"",IF(NOT(ISNUMBER(AH113)),AG113,ROUND(AG113*'sheet1-指标体系'!$J$8+AH113*'sheet1-指标体系'!$J$9,2)))</x:f>
        <x:v>30.85</x:v>
      </x:c>
      <x:c r="AJ113" s="37" t="n">
        <x:f>IF(NOT(ISNUMBER(F113)),"",IF(F113&gt;=3,IF(NOT(ISNUMBER(N113)),"",N113),IF(NOT(ISNUMBER(O113)),"",O113)))</x:f>
        <x:v>0.1189</x:v>
      </x:c>
      <x:c r="AK113" s="17" t="n">
        <x:f>IF(OR(G113&lt;&gt;"入池",NOT(ISNUMBER(M113)),NOT(ISNUMBER(AJ113))),"",IF(M113&gt;=AJ113,100,IF(AJ113-M113&lt;'sheet1-指标体系'!$J$10,80,60)))</x:f>
        <x:v>80</x:v>
      </x:c>
      <x:c r="AL113" s="17" t="n">
        <x:f>IF(COUNT(I113,K113,L113)=0,"",ROUND((IF(ISNUMBER(I113),I113*40%,0)+IF(ISNUMBER(K113),K113*30%,0)+IF(ISNUMBER(L113),L113*30%,0))/(IF(ISNUMBER(I113),40%,0)+IF(ISNUMBER(K113),30%,0)+IF(ISNUMBER(L113),30%,0)),2))</x:f>
        <x:v>88</x:v>
      </x:c>
      <x:c r="AM113" s="17" t="n">
        <x:f>IF(COUNT(Q113,R113,W113,X113)=0,"",ROUND((IF(ISNUMBER(Q113),Q113*42%,0)+IF(ISNUMBER(R113),R113*28%,0)+IF(ISNUMBER(W113),W113*18%,0)+IF(ISNUMBER(X113),X113*12%,0))/(IF(ISNUMBER(Q113),42%,0)+IF(ISNUMBER(R113),28%,0)+IF(ISNUMBER(W113),18%,0)+IF(ISNUMBER(X113),12%,0)),2))</x:f>
        <x:v>67.65</x:v>
      </x:c>
      <x:c r="AN113" s="17" t="n">
        <x:f>IF(ISNUMBER(AC113),AC113,"")</x:f>
        <x:v>29.7</x:v>
      </x:c>
      <x:c r="AO113" s="17" t="n">
        <x:f>IF(COUNT(AG113,AH113)=0,"",ROUND((IF(ISNUMBER(AG113),AG113*60%,0)+IF(ISNUMBER(AH113),AH113*40%,0))/(IF(ISNUMBER(AG113),60%,0)+IF(ISNUMBER(AH113),40%,0)),2))</x:f>
        <x:v>30.85</x:v>
      </x:c>
      <x:c r="AP113" s="17" t="n">
        <x:f>IF(ISNUMBER(AK113),AK113,"")</x:f>
        <x:v>80</x:v>
      </x:c>
      <x:c r="AQ113" s="39" t="n">
        <x:f>IF(G113&lt;&gt;"入池",0,IF(ISNUMBER(I113),6%,0)+IF(ISNUMBER(K113),4.5%,0)+IF(ISNUMBER(L113),4.5%,0)+IF(ISNUMBER(Q113),8.4%,0)+IF(ISNUMBER(R113),5.6%,0)+IF(ISNUMBER(W113),3.6%,0)+IF(ISNUMBER(X113),2.4%,0)+IF(ISNUMBER(AC113),25%,0)+IF(ISNUMBER(AG113),18%,0)+IF(ISNUMBER(AH113),12%,0)+IF(ISNUMBER(AK113),10%,0))</x:f>
        <x:v>0.88</x:v>
      </x:c>
      <x:c r="AR113" s="17" t="n">
        <x:f>IF(AQ113=0,"",IF(ISNUMBER(I113),I113*6%,0)+IF(ISNUMBER(K113),K113*4.5%,0)+IF(ISNUMBER(L113),L113*4.5%,0)+IF(ISNUMBER(Q113),Q113*8.4%,0)+IF(ISNUMBER(R113),R113*5.6%,0)+IF(ISNUMBER(W113),W113*3.6%,0)+IF(ISNUMBER(X113),X113*2.4%,0)+IF(ISNUMBER(AC113),AC113*25%,0)+IF(ISNUMBER(AG113),AG113*18%,0)+IF(ISNUMBER(AH113),AH113*12%,0)+IF(ISNUMBER(AK113),AK113*10%,0))</x:f>
        <x:v>47.70805</x:v>
      </x:c>
      <x:c r="AS113" s="17" t="n">
        <x:f>IF(AQ113=0,"",ROUND(AR113/AQ113,2))</x:f>
        <x:v>54.21</x:v>
      </x:c>
      <x:c r="AT113" s="40" t="n">
        <x:f>IF(OR(G113&lt;&gt;"入池",NOT(ISNUMBER(AS113))),"",COUNTIFS($G$17:$G$219,"入池",$AS$17:$AS$219,"&gt;"&amp;AS113)+COUNTIFS($G$17:$G$219,"入池",$AS$17:$AS$219,AS113,$AQ$17:$AQ$219,"&gt;"&amp;AQ113)+COUNTIFS($G$17:G113,"入池",$AS$17:AS113,AS113,$AQ$17:AQ113,AQ113))</x:f>
        <x:v>131</x:v>
      </x:c>
      <x:c r="AU113" s="41" t="str">
        <x:f t="shared" si="4">IF(NOT(ISNUMBER(I113)),"管理人规模；","")&amp;IF(J113="","产品规模标识；","")&amp;IF(AND(F113&lt;3,NOT(ISNUMBER(O113))),"R_incep；","")&amp;IF(NOT(ISNUMBER(N113)),"近三年收益；","")&amp;IF(NOT(ISNUMBER(U113)),"近三年胜率；","")&amp;IF(AND(ISNUMBER(V113),OR(V113&lt;0,V113&gt;1)),"胜率窗口口径不一致；","")&amp;IF(NOT(ISNUMBER(AA113)),"近三年回撤；","")&amp;IF(NOT(ISNUMBER(AD113)),"短期卡玛；","")&amp;IF(AND(ISNUMBER(P113),NOT(ISNUMBER(AE113))),"DD_long不可识别；","")</x:f>
        <x:v>DD_long不可识别；</x:v>
      </x:c>
      <x:c r="AV113" s="42" t="n">
        <x:v>5</x:v>
      </x:c>
      <x:c r="AW113" s="19" t="str">
        <x:v>上海嘉和传承私募基金管理有限公司</x:v>
      </x:c>
      <x:c r="AX113" s="19" t="str">
        <x:v>2025-08-08</x:v>
      </x:c>
      <x:c r="AY113" s="19" t="str">
        <x:v>https://gs.amac.org.cn/amac-infodisc/res/pof/manager/2203031405108672.html</x:v>
      </x:c>
      <x:c r="AZ113" s="19" t="str">
        <x:v>嘉和传承精研二期私募证券投资基金</x:v>
      </x:c>
      <x:c r="BA113" s="19" t="str">
        <x:v>2026-06-05</x:v>
      </x:c>
      <x:c r="BB113" s="19"/>
      <x:c r="BC113" s="19" t="str">
        <x:v>https://gs.amac.org.cn/amac-infodisc/res/pof/fund/2112091906107607.html</x:v>
      </x:c>
      <x:c r="BD113" s="19" t="str">
        <x:v>已匹配</x:v>
      </x:c>
      <x:c r="BE113"/>
      <x:c r="BF113"/>
    </x:row>
    <x:row r="114" ht="28" customHeight="1">
      <x:c r="A114" s="4" t="n">
        <x:v>98</x:v>
      </x:c>
      <x:c r="B114" s="15" t="str">
        <x:f>'sheet4-原始数据'!A99</x:f>
        <x:v>呈瑞复合策略1号</x:v>
      </x:c>
      <x:c r="C114" s="15" t="str">
        <x:f>'sheet4-原始数据'!B99</x:f>
        <x:v>STK755</x:v>
      </x:c>
      <x:c r="D114" s="15" t="str">
        <x:f>'sheet4-原始数据'!E99</x:f>
        <x:v>上海呈瑞投资</x:v>
      </x:c>
      <x:c r="E114" s="32" t="n">
        <x:f>IF(ISNUMBER('sheet4-原始数据'!F99),'sheet4-原始数据'!F99,"")</x:f>
        <x:v>44547</x:v>
      </x:c>
      <x:c r="F114" s="17" t="n">
        <x:f>IF(NOT(ISNUMBER(E114)),"",ROUND(('sheet1-指标体系'!$J$23-E114)/365.25,4))</x:f>
        <x:v>4.7474</x:v>
      </x:c>
      <x:c r="G114" s="4" t="str">
        <x:f t="shared" si="3">IF(NOT(ISNUMBER(F114)),"",IF(F114&lt;1,"不入池","入池"))</x:f>
        <x:v>入池</x:v>
      </x:c>
      <x:c r="H114" s="33" t="str">
        <x:v>50-100亿元</x:v>
      </x:c>
      <x:c r="I114" s="17" t="n">
        <x:f>IF(H114="","",IF(ISNUMBER(SEARCH("100亿元以上",H114)),100,IF(OR(ISNUMBER(SEARCH("20-50",H114)),ISNUMBER(SEARCH("50-100",H114)),ISNUMBER(SEARCH("20-100",H114))),90,IF(ISNUMBER(SEARCH("10-20",H114)),80,IF(ISNUMBER(SEARCH("5-10",H114)),70,IF(ISNUMBER(SEARCH("0-5",H114)),60,""))))))</x:f>
        <x:v>90</x:v>
      </x:c>
      <x:c r="J114" s="34" t="str">
        <x:v>无低于1000万元标识</x:v>
      </x:c>
      <x:c r="K114" s="17" t="n">
        <x:f>IF(J114="","",IF(J114="低于1000万元",0,100))</x:f>
        <x:v>100</x:v>
      </x:c>
      <x:c r="L114" s="17" t="n">
        <x:f>IF(NOT(ISNUMBER(F114)),"",IF(F114&lt;1,"",IF(F114&lt;3,70,100)))</x:f>
        <x:v>100</x:v>
      </x:c>
      <x:c r="M114" s="35" t="n">
        <x:f>IF(ISNUMBER('sheet4-原始数据'!G99),'sheet4-原始数据'!G99,"")</x:f>
        <x:v>0.9287000000000001</x:v>
      </x:c>
      <x:c r="N114" s="35" t="n">
        <x:f>IF(ISNUMBER('sheet4-原始数据'!H99),'sheet4-原始数据'!H99,"")</x:f>
        <x:v>0.2027</x:v>
      </x:c>
      <x:c r="O114" s="36" t="str">
        <x:f>IF(ISNUMBER('sheet4-原始数据'!Q99),'sheet4-原始数据'!Q99,"")</x:f>
      </x:c>
      <x:c r="P114" s="37" t="n">
        <x:f>IF($G114&lt;&gt;"入池","",IF($F114&gt;=3,IF(OR(NOT(ISNUMBER($M114)),NOT(ISNUMBER($N114)),1+$M114&lt;=0,1+$N114&lt;0),"",((1+$N114)^3/(1+$M114))^(1/2)-1),IF(OR($F114&lt;=1,NOT(ISNUMBER($M114)),NOT(ISNUMBER($O114)),1+$M114&lt;=0,1+$O114&lt;0),"",((1+$O114)^$F114/(1+$M114))^(1/($F114-1))-1)))</x:f>
        <x:v>-0.050262412677226864</x:v>
      </x:c>
      <x:c r="Q114" s="17" t="n">
        <x:f>IF(OR($G114&lt;&gt;"入池",NOT(ISNUMBER(M114))),"",IF(COUNTIFS($G$17:$G$219,"入池",$M$17:$M$219,"&gt;=-1E+307",$M$17:$M$219,"&lt;=1E+307")&lt;=1,100,ROUND(100*(COUNTIFS($G$17:$G$219,"入池",$M$17:$M$219,"&gt;=-1E+307",$M$17:$M$219,"&lt;"&amp;M114)+COUNTIFS($G$17:$G$219,"入池",$M$17:$M$219,M114,$M$17:$M$219,"&gt;=-1E+307",$M$17:$M$219,"&lt;=1E+307")/2-0.5)/(COUNTIFS($G$17:$G$219,"入池",$M$17:$M$219,"&gt;=-1E+307",$M$17:$M$219,"&lt;=1E+307")-1),2)))</x:f>
        <x:v>100</x:v>
      </x:c>
      <x:c r="R114" s="17" t="n">
        <x:f>IF(OR($G114&lt;&gt;"入池",NOT(ISNUMBER(P114))),"",IF(COUNTIFS($G$17:$G$219,"入池",$P$17:$P$219,"&gt;=-1E+307",$P$17:$P$219,"&lt;=1E+307")&lt;=1,100,ROUND(100*(COUNTIFS($G$17:$G$219,"入池",$P$17:$P$219,"&gt;=-1E+307",$P$17:$P$219,"&lt;"&amp;P114)+COUNTIFS($G$17:$G$219,"入池",$P$17:$P$219,P114,$P$17:$P$219,"&gt;=-1E+307",$P$17:$P$219,"&lt;=1E+307")/2-0.5)/(COUNTIFS($G$17:$G$219,"入池",$P$17:$P$219,"&gt;=-1E+307",$P$17:$P$219,"&lt;=1E+307")-1),2)))</x:f>
        <x:v>0.5</x:v>
      </x:c>
      <x:c r="S114" s="17" t="n">
        <x:f>IF(NOT(ISNUMBER(Q114)),"",IF(NOT(ISNUMBER(R114)),Q114,ROUND(Q114*'sheet1-指标体系'!$J$8+R114*'sheet1-指标体系'!$J$9,2)))</x:f>
        <x:v>60.2</x:v>
      </x:c>
      <x:c r="T114" s="35" t="n">
        <x:f>IF(ISNUMBER('sheet4-原始数据'!J99),'sheet4-原始数据'!J99,"")</x:f>
        <x:v>0.6154</x:v>
      </x:c>
      <x:c r="U114" s="35" t="n">
        <x:f>IF(ISNUMBER('sheet4-原始数据'!I99),'sheet4-原始数据'!I99,"")</x:f>
        <x:v>0.6215999999999999</x:v>
      </x:c>
      <x:c r="V114" s="37" t="n">
        <x:f>IF(OR(NOT(ISNUMBER(T114)),NOT(ISNUMBER(U114))),"",(U114*'sheet1-指标体系'!$J$6-T114*'sheet1-指标体系'!$J$5)/'sheet1-指标体系'!$J$7)</x:f>
        <x:v>0.6249583333333333</x:v>
      </x:c>
      <x:c r="W114" s="17" t="n">
        <x:f>IF(NOT(ISNUMBER(T114)),"",T114*100)</x:f>
        <x:v>61.53999999999999</x:v>
      </x:c>
      <x:c r="X114" s="17" t="n">
        <x:f>IF($G114&lt;&gt;"入池","",IF(AND(ISNUMBER(V114),V114&gt;=0,V114&lt;=1),V114*100,IF(MAX(0,($F114-1)*12)&lt;6,100,"")))</x:f>
        <x:v>62.49583333333333</x:v>
      </x:c>
      <x:c r="Y114" s="17" t="n">
        <x:f>IF(NOT(ISNUMBER(W114)),"",IF(NOT(ISNUMBER(X114)),W114,ROUND(W114*'sheet1-指标体系'!$J$8+X114*'sheet1-指标体系'!$J$9,2)))</x:f>
        <x:v>61.92</x:v>
      </x:c>
      <x:c r="Z114" s="37" t="n">
        <x:f>IF(OR(NOT(ISNUMBER(M114)),NOT(ISNUMBER(AD114)),AD114=0),"",ABS(M114/AD114))</x:f>
        <x:v>0.17040679645498083</x:v>
      </x:c>
      <x:c r="AA114" s="35" t="n">
        <x:f>IF(ISNUMBER('sheet4-原始数据'!K99),'sheet4-原始数据'!K99,"")</x:f>
        <x:v>0.2943</x:v>
      </x:c>
      <x:c r="AB114" s="37" t="n">
        <x:f>IF(COUNT(Z114:AA114)=0,"",MAX(Z114:AA114))</x:f>
        <x:v>0.2943</x:v>
      </x:c>
      <x:c r="AC114" s="17" t="n">
        <x:f>IF(OR($G114&lt;&gt;"入池",NOT(ISNUMBER(AB114))),"",IF(COUNTIFS($G$17:$G$219,"入池",$AB$17:$AB$219,"&gt;=-1E+307",$AB$17:$AB$219,"&lt;=1E+307")&lt;=1,100,ROUND(100*(COUNTIFS($G$17:$G$219,"入池",$AB$17:$AB$219,"&lt;=1E+307",$AB$17:$AB$219,"&gt;"&amp;AB114)+COUNTIFS($G$17:$G$219,"入池",$AB$17:$AB$219,AB114,$AB$17:$AB$219,"&gt;=-1E+307",$AB$17:$AB$219,"&lt;=1E+307")/2-0.5)/(COUNTIFS($G$17:$G$219,"入池",$AB$17:$AB$219,"&gt;=-1E+307",$AB$17:$AB$219,"&lt;=1E+307")-1),2)))</x:f>
        <x:v>4.95</x:v>
      </x:c>
      <x:c r="AD114" s="38" t="n">
        <x:f>IF(ISNUMBER('sheet4-原始数据'!M99),'sheet4-原始数据'!M99,"")</x:f>
        <x:v>5.4499</x:v>
      </x:c>
      <x:c r="AE114" s="37" t="n">
        <x:f t="shared" si="5">IF(OR(NOT(ISNUMBER(P114)),NOT(ISNUMBER(AA114)),NOT(ISNUMBER(Z114))),"",IF(AA114&gt;Z114+'sheet1-指标体系'!$J$11,AA114,""))</x:f>
        <x:v>0.2943</x:v>
      </x:c>
      <x:c r="AF114" s="17" t="n">
        <x:f>IF(OR(NOT(ISNUMBER(P114)),NOT(ISNUMBER(AE114)),AE114=0),"",P114/AE114)</x:f>
        <x:v>-0.17078631558690746</x:v>
      </x:c>
      <x:c r="AG114" s="17" t="n">
        <x:f>IF(OR($G114&lt;&gt;"入池",NOT(ISNUMBER(AD114))),"",IF(COUNTIFS($G$17:$G$219,"入池",$AD$17:$AD$219,"&gt;=-1E+307",$AD$17:$AD$219,"&lt;=1E+307")&lt;=1,100,ROUND(100*(COUNTIFS($G$17:$G$219,"入池",$AD$17:$AD$219,"&gt;=-1E+307",$AD$17:$AD$219,"&lt;"&amp;AD114)+COUNTIFS($G$17:$G$219,"入池",$AD$17:$AD$219,AD114,$AD$17:$AD$219,"&gt;=-1E+307",$AD$17:$AD$219,"&lt;=1E+307")/2-0.5)/(COUNTIFS($G$17:$G$219,"入池",$AD$17:$AD$219,"&gt;=-1E+307",$AD$17:$AD$219,"&lt;=1E+307")-1),2)))</x:f>
        <x:v>66.17</x:v>
      </x:c>
      <x:c r="AH114" s="17" t="n">
        <x:f>IF(OR($G114&lt;&gt;"入池",NOT(ISNUMBER(AF114))),"",IF(COUNTIFS($G$17:$G$219,"入池",$AF$17:$AF$219,"&gt;=-1E+307",$AF$17:$AF$219,"&lt;=1E+307")&lt;=1,100,ROUND(100*(COUNTIFS($G$17:$G$219,"入池",$AF$17:$AF$219,"&gt;=-1E+307",$AF$17:$AF$219,"&lt;"&amp;AF114)+COUNTIFS($G$17:$G$219,"入池",$AF$17:$AF$219,AF114,$AF$17:$AF$219,"&gt;=-1E+307",$AF$17:$AF$219,"&lt;=1E+307")/2-0.5)/(COUNTIFS($G$17:$G$219,"入池",$AF$17:$AF$219,"&gt;=-1E+307",$AF$17:$AF$219,"&lt;=1E+307")-1),2)))</x:f>
        <x:v>0.73</x:v>
      </x:c>
      <x:c r="AI114" s="17" t="n">
        <x:f>IF(NOT(ISNUMBER(AG114)),"",IF(NOT(ISNUMBER(AH114)),AG114,ROUND(AG114*'sheet1-指标体系'!$J$8+AH114*'sheet1-指标体系'!$J$9,2)))</x:f>
        <x:v>39.99</x:v>
      </x:c>
      <x:c r="AJ114" s="37" t="n">
        <x:f>IF(NOT(ISNUMBER(F114)),"",IF(F114&gt;=3,IF(NOT(ISNUMBER(N114)),"",N114),IF(NOT(ISNUMBER(O114)),"",O114)))</x:f>
        <x:v>0.2027</x:v>
      </x:c>
      <x:c r="AK114" s="17" t="n">
        <x:f>IF(OR(G114&lt;&gt;"入池",NOT(ISNUMBER(M114)),NOT(ISNUMBER(AJ114))),"",IF(M114&gt;=AJ114,100,IF(AJ114-M114&lt;'sheet1-指标体系'!$J$10,80,60)))</x:f>
        <x:v>100</x:v>
      </x:c>
      <x:c r="AL114" s="17" t="n">
        <x:f>IF(COUNT(I114,K114,L114)=0,"",ROUND((IF(ISNUMBER(I114),I114*40%,0)+IF(ISNUMBER(K114),K114*30%,0)+IF(ISNUMBER(L114),L114*30%,0))/(IF(ISNUMBER(I114),40%,0)+IF(ISNUMBER(K114),30%,0)+IF(ISNUMBER(L114),30%,0)),2))</x:f>
        <x:v>96</x:v>
      </x:c>
      <x:c r="AM114" s="17" t="n">
        <x:f>IF(COUNT(Q114,R114,W114,X114)=0,"",ROUND((IF(ISNUMBER(Q114),Q114*42%,0)+IF(ISNUMBER(R114),R114*28%,0)+IF(ISNUMBER(W114),W114*18%,0)+IF(ISNUMBER(X114),X114*12%,0))/(IF(ISNUMBER(Q114),42%,0)+IF(ISNUMBER(R114),28%,0)+IF(ISNUMBER(W114),18%,0)+IF(ISNUMBER(X114),12%,0)),2))</x:f>
        <x:v>60.72</x:v>
      </x:c>
      <x:c r="AN114" s="17" t="n">
        <x:f>IF(ISNUMBER(AC114),AC114,"")</x:f>
        <x:v>4.95</x:v>
      </x:c>
      <x:c r="AO114" s="17" t="n">
        <x:f>IF(COUNT(AG114,AH114)=0,"",ROUND((IF(ISNUMBER(AG114),AG114*60%,0)+IF(ISNUMBER(AH114),AH114*40%,0))/(IF(ISNUMBER(AG114),60%,0)+IF(ISNUMBER(AH114),40%,0)),2))</x:f>
        <x:v>39.99</x:v>
      </x:c>
      <x:c r="AP114" s="17" t="n">
        <x:f>IF(ISNUMBER(AK114),AK114,"")</x:f>
        <x:v>100</x:v>
      </x:c>
      <x:c r="AQ114" s="39" t="n">
        <x:f>IF(G114&lt;&gt;"入池",0,IF(ISNUMBER(I114),6%,0)+IF(ISNUMBER(K114),4.5%,0)+IF(ISNUMBER(L114),4.5%,0)+IF(ISNUMBER(Q114),8.4%,0)+IF(ISNUMBER(R114),5.6%,0)+IF(ISNUMBER(W114),3.6%,0)+IF(ISNUMBER(X114),2.4%,0)+IF(ISNUMBER(AC114),25%,0)+IF(ISNUMBER(AG114),18%,0)+IF(ISNUMBER(AH114),12%,0)+IF(ISNUMBER(AK114),10%,0))</x:f>
        <x:v>1</x:v>
      </x:c>
      <x:c r="AR114" s="17" t="n">
        <x:f>IF(AQ114=0,"",IF(ISNUMBER(I114),I114*6%,0)+IF(ISNUMBER(K114),K114*4.5%,0)+IF(ISNUMBER(L114),L114*4.5%,0)+IF(ISNUMBER(Q114),Q114*8.4%,0)+IF(ISNUMBER(R114),R114*5.6%,0)+IF(ISNUMBER(W114),W114*3.6%,0)+IF(ISNUMBER(X114),X114*2.4%,0)+IF(ISNUMBER(AC114),AC114*25%,0)+IF(ISNUMBER(AG114),AG114*18%,0)+IF(ISNUMBER(AH114),AH114*12%,0)+IF(ISNUMBER(AK114),AK114*10%,0))</x:f>
        <x:v>49.77904</x:v>
      </x:c>
      <x:c r="AS114" s="17" t="n">
        <x:f>IF(AQ114=0,"",ROUND(AR114/AQ114,2))</x:f>
        <x:v>49.78</x:v>
      </x:c>
      <x:c r="AT114" s="40" t="n">
        <x:f>IF(OR(G114&lt;&gt;"入池",NOT(ISNUMBER(AS114))),"",COUNTIFS($G$17:$G$219,"入池",$AS$17:$AS$219,"&gt;"&amp;AS114)+COUNTIFS($G$17:$G$219,"入池",$AS$17:$AS$219,AS114,$AQ$17:$AQ$219,"&gt;"&amp;AQ114)+COUNTIFS($G$17:G114,"入池",$AS$17:AS114,AS114,$AQ$17:AQ114,AQ114))</x:f>
        <x:v>148</x:v>
      </x:c>
      <x:c r="AU114" s="41" t="str">
        <x:f t="shared" si="4">IF(NOT(ISNUMBER(I114)),"管理人规模；","")&amp;IF(J114="","产品规模标识；","")&amp;IF(AND(F114&lt;3,NOT(ISNUMBER(O114))),"R_incep；","")&amp;IF(NOT(ISNUMBER(N114)),"近三年收益；","")&amp;IF(NOT(ISNUMBER(U114)),"近三年胜率；","")&amp;IF(AND(ISNUMBER(V114),OR(V114&lt;0,V114&gt;1)),"胜率窗口口径不一致；","")&amp;IF(NOT(ISNUMBER(AA114)),"近三年回撤；","")&amp;IF(NOT(ISNUMBER(AD114)),"短期卡玛；","")&amp;IF(AND(ISNUMBER(P114),NOT(ISNUMBER(AE114))),"DD_long不可识别；","")</x:f>
      </x:c>
      <x:c r="AV114" s="42" t="n">
        <x:v>50</x:v>
      </x:c>
      <x:c r="AW114" s="19" t="str">
        <x:v>上海呈瑞投资管理有限公司</x:v>
      </x:c>
      <x:c r="AX114" s="19" t="str">
        <x:v>2025-06-25</x:v>
      </x:c>
      <x:c r="AY114" s="19" t="str">
        <x:v>https://gs.amac.org.cn/amac-infodisc/res/pof/manager/101000000860.html</x:v>
      </x:c>
      <x:c r="AZ114" s="19" t="str">
        <x:v>呈瑞复合策略1号私募证券投资基金</x:v>
      </x:c>
      <x:c r="BA114" s="19" t="str">
        <x:v>2025-06-06</x:v>
      </x:c>
      <x:c r="BB114" s="19"/>
      <x:c r="BC114" s="19" t="str">
        <x:v>https://gs.amac.org.cn/amac-infodisc/res/pof/fund/2112281829100961.html</x:v>
      </x:c>
      <x:c r="BD114" s="19" t="str">
        <x:v>已匹配</x:v>
      </x:c>
      <x:c r="BE114"/>
      <x:c r="BF114"/>
    </x:row>
    <x:row r="115" ht="28" customHeight="1">
      <x:c r="A115" s="4" t="n">
        <x:v>99</x:v>
      </x:c>
      <x:c r="B115" s="15" t="str">
        <x:f>'sheet4-原始数据'!A100</x:f>
        <x:v>晨翰6号</x:v>
      </x:c>
      <x:c r="C115" s="15" t="str">
        <x:f>'sheet4-原始数据'!B100</x:f>
        <x:v>STS460</x:v>
      </x:c>
      <x:c r="D115" s="15" t="str">
        <x:f>'sheet4-原始数据'!E100</x:f>
        <x:v>晋江晨翰</x:v>
      </x:c>
      <x:c r="E115" s="32" t="n">
        <x:f>IF(ISNUMBER('sheet4-原始数据'!F100),'sheet4-原始数据'!F100,"")</x:f>
        <x:v>44575</x:v>
      </x:c>
      <x:c r="F115" s="17" t="n">
        <x:f>IF(NOT(ISNUMBER(E115)),"",ROUND(('sheet1-指标体系'!$J$23-E115)/365.25,4))</x:f>
        <x:v>4.6708</x:v>
      </x:c>
      <x:c r="G115" s="4" t="str">
        <x:f t="shared" si="3">IF(NOT(ISNUMBER(F115)),"",IF(F115&lt;1,"不入池","入池"))</x:f>
        <x:v>入池</x:v>
      </x:c>
      <x:c r="H115" s="33" t="str">
        <x:v>5-10亿元</x:v>
      </x:c>
      <x:c r="I115" s="17" t="n">
        <x:f>IF(H115="","",IF(ISNUMBER(SEARCH("100亿元以上",H115)),100,IF(OR(ISNUMBER(SEARCH("20-50",H115)),ISNUMBER(SEARCH("50-100",H115)),ISNUMBER(SEARCH("20-100",H115))),90,IF(ISNUMBER(SEARCH("10-20",H115)),80,IF(ISNUMBER(SEARCH("5-10",H115)),70,IF(ISNUMBER(SEARCH("0-5",H115)),60,""))))))</x:f>
        <x:v>70</x:v>
      </x:c>
      <x:c r="J115" s="34" t="str">
        <x:v>无低于1000万元标识</x:v>
      </x:c>
      <x:c r="K115" s="17" t="n">
        <x:f>IF(J115="","",IF(J115="低于1000万元",0,100))</x:f>
        <x:v>100</x:v>
      </x:c>
      <x:c r="L115" s="17" t="n">
        <x:f>IF(NOT(ISNUMBER(F115)),"",IF(F115&lt;1,"",IF(F115&lt;3,70,100)))</x:f>
        <x:v>100</x:v>
      </x:c>
      <x:c r="M115" s="35" t="n">
        <x:f>IF(ISNUMBER('sheet4-原始数据'!G100),'sheet4-原始数据'!G100,"")</x:f>
        <x:v>0.0883</x:v>
      </x:c>
      <x:c r="N115" s="35" t="n">
        <x:f>IF(ISNUMBER('sheet4-原始数据'!H100),'sheet4-原始数据'!H100,"")</x:f>
        <x:v>0.0542</x:v>
      </x:c>
      <x:c r="O115" s="36" t="str">
        <x:f>IF(ISNUMBER('sheet4-原始数据'!Q100),'sheet4-原始数据'!Q100,"")</x:f>
      </x:c>
      <x:c r="P115" s="37" t="n">
        <x:f>IF($G115&lt;&gt;"入池","",IF($F115&gt;=3,IF(OR(NOT(ISNUMBER($M115)),NOT(ISNUMBER($N115)),1+$M115&lt;=0,1+$N115&lt;0),"",((1+$N115)^3/(1+$M115))^(1/2)-1),IF(OR($F115&lt;=1,NOT(ISNUMBER($M115)),NOT(ISNUMBER($O115)),1+$M115&lt;=0,1+$O115&lt;0),"",((1+$O115)^$F115/(1+$M115))^(1/($F115-1))-1)))</x:f>
        <x:v>0.037552791600455215</x:v>
      </x:c>
      <x:c r="Q115" s="17" t="n">
        <x:f>IF(OR($G115&lt;&gt;"入池",NOT(ISNUMBER(M115))),"",IF(COUNTIFS($G$17:$G$219,"入池",$M$17:$M$219,"&gt;=-1E+307",$M$17:$M$219,"&lt;=1E+307")&lt;=1,100,ROUND(100*(COUNTIFS($G$17:$G$219,"入池",$M$17:$M$219,"&gt;=-1E+307",$M$17:$M$219,"&lt;"&amp;M115)+COUNTIFS($G$17:$G$219,"入池",$M$17:$M$219,M115,$M$17:$M$219,"&gt;=-1E+307",$M$17:$M$219,"&lt;=1E+307")/2-0.5)/(COUNTIFS($G$17:$G$219,"入池",$M$17:$M$219,"&gt;=-1E+307",$M$17:$M$219,"&lt;=1E+307")-1),2)))</x:f>
        <x:v>75.74</x:v>
      </x:c>
      <x:c r="R115" s="17" t="n">
        <x:f>IF(OR($G115&lt;&gt;"入池",NOT(ISNUMBER(P115))),"",IF(COUNTIFS($G$17:$G$219,"入池",$P$17:$P$219,"&gt;=-1E+307",$P$17:$P$219,"&lt;=1E+307")&lt;=1,100,ROUND(100*(COUNTIFS($G$17:$G$219,"入池",$P$17:$P$219,"&gt;=-1E+307",$P$17:$P$219,"&lt;"&amp;P115)+COUNTIFS($G$17:$G$219,"入池",$P$17:$P$219,P115,$P$17:$P$219,"&gt;=-1E+307",$P$17:$P$219,"&lt;=1E+307")/2-0.5)/(COUNTIFS($G$17:$G$219,"入池",$P$17:$P$219,"&gt;=-1E+307",$P$17:$P$219,"&lt;=1E+307")-1),2)))</x:f>
        <x:v>22.77</x:v>
      </x:c>
      <x:c r="S115" s="17" t="n">
        <x:f>IF(NOT(ISNUMBER(Q115)),"",IF(NOT(ISNUMBER(R115)),Q115,ROUND(Q115*'sheet1-指标体系'!$J$8+R115*'sheet1-指标体系'!$J$9,2)))</x:f>
        <x:v>54.55</x:v>
      </x:c>
      <x:c r="T115" s="35" t="n">
        <x:f>IF(ISNUMBER('sheet4-原始数据'!J100),'sheet4-原始数据'!J100,"")</x:f>
        <x:v>0.46149999999999997</x:v>
      </x:c>
      <x:c r="U115" s="35" t="n">
        <x:f>IF(ISNUMBER('sheet4-原始数据'!I100),'sheet4-原始数据'!I100,"")</x:f>
        <x:v>0.5405</x:v>
      </x:c>
      <x:c r="V115" s="37" t="n">
        <x:f>IF(OR(NOT(ISNUMBER(T115)),NOT(ISNUMBER(U115))),"",(U115*'sheet1-指标体系'!$J$6-T115*'sheet1-指标体系'!$J$5)/'sheet1-指标体系'!$J$7)</x:f>
        <x:v>0.5832916666666667</x:v>
      </x:c>
      <x:c r="W115" s="17" t="n">
        <x:f>IF(NOT(ISNUMBER(T115)),"",T115*100)</x:f>
        <x:v>46.15</x:v>
      </x:c>
      <x:c r="X115" s="17" t="n">
        <x:f>IF($G115&lt;&gt;"入池","",IF(AND(ISNUMBER(V115),V115&gt;=0,V115&lt;=1),V115*100,IF(MAX(0,($F115-1)*12)&lt;6,100,"")))</x:f>
        <x:v>58.329166666666666</x:v>
      </x:c>
      <x:c r="Y115" s="17" t="n">
        <x:f>IF(NOT(ISNUMBER(W115)),"",IF(NOT(ISNUMBER(X115)),W115,ROUND(W115*'sheet1-指标体系'!$J$8+X115*'sheet1-指标体系'!$J$9,2)))</x:f>
        <x:v>51.02</x:v>
      </x:c>
      <x:c r="Z115" s="37" t="n">
        <x:f>IF(OR(NOT(ISNUMBER(M115)),NOT(ISNUMBER(AD115)),AD115=0),"",ABS(M115/AD115))</x:f>
        <x:v>0.05032486036703523</x:v>
      </x:c>
      <x:c r="AA115" s="35" t="n">
        <x:f>IF(ISNUMBER('sheet4-原始数据'!K100),'sheet4-原始数据'!K100,"")</x:f>
        <x:v>0.050300000000000004</x:v>
      </x:c>
      <x:c r="AB115" s="37" t="n">
        <x:f>IF(COUNT(Z115:AA115)=0,"",MAX(Z115:AA115))</x:f>
        <x:v>0.05032486036703523</x:v>
      </x:c>
      <x:c r="AC115" s="17" t="n">
        <x:f>IF(OR($G115&lt;&gt;"入池",NOT(ISNUMBER(AB115))),"",IF(COUNTIFS($G$17:$G$219,"入池",$AB$17:$AB$219,"&gt;=-1E+307",$AB$17:$AB$219,"&lt;=1E+307")&lt;=1,100,ROUND(100*(COUNTIFS($G$17:$G$219,"入池",$AB$17:$AB$219,"&lt;=1E+307",$AB$17:$AB$219,"&gt;"&amp;AB115)+COUNTIFS($G$17:$G$219,"入池",$AB$17:$AB$219,AB115,$AB$17:$AB$219,"&gt;=-1E+307",$AB$17:$AB$219,"&lt;=1E+307")/2-0.5)/(COUNTIFS($G$17:$G$219,"入池",$AB$17:$AB$219,"&gt;=-1E+307",$AB$17:$AB$219,"&lt;=1E+307")-1),2)))</x:f>
        <x:v>45.54</x:v>
      </x:c>
      <x:c r="AD115" s="38" t="n">
        <x:f>IF(ISNUMBER('sheet4-原始数据'!M100),'sheet4-原始数据'!M100,"")</x:f>
        <x:v>1.7546</x:v>
      </x:c>
      <x:c r="AE115" s="37" t="str">
        <x:f t="shared" si="5">IF(OR(NOT(ISNUMBER(P115)),NOT(ISNUMBER(AA115)),NOT(ISNUMBER(Z115))),"",IF(AA115&gt;Z115+'sheet1-指标体系'!$J$11,AA115,""))</x:f>
      </x:c>
      <x:c r="AF115" s="17" t="str">
        <x:f>IF(OR(NOT(ISNUMBER(P115)),NOT(ISNUMBER(AE115)),AE115=0),"",P115/AE115)</x:f>
      </x:c>
      <x:c r="AG115" s="17" t="n">
        <x:f>IF(OR($G115&lt;&gt;"入池",NOT(ISNUMBER(AD115))),"",IF(COUNTIFS($G$17:$G$219,"入池",$AD$17:$AD$219,"&gt;=-1E+307",$AD$17:$AD$219,"&lt;=1E+307")&lt;=1,100,ROUND(100*(COUNTIFS($G$17:$G$219,"入池",$AD$17:$AD$219,"&gt;=-1E+307",$AD$17:$AD$219,"&lt;"&amp;AD115)+COUNTIFS($G$17:$G$219,"入池",$AD$17:$AD$219,AD115,$AD$17:$AD$219,"&gt;=-1E+307",$AD$17:$AD$219,"&lt;=1E+307")/2-0.5)/(COUNTIFS($G$17:$G$219,"入池",$AD$17:$AD$219,"&gt;=-1E+307",$AD$17:$AD$219,"&lt;=1E+307")-1),2)))</x:f>
        <x:v>42.29</x:v>
      </x:c>
      <x:c r="AH115" s="17" t="str">
        <x:f>IF(OR($G115&lt;&gt;"入池",NOT(ISNUMBER(AF115))),"",IF(COUNTIFS($G$17:$G$219,"入池",$AF$17:$AF$219,"&gt;=-1E+307",$AF$17:$AF$219,"&lt;=1E+307")&lt;=1,100,ROUND(100*(COUNTIFS($G$17:$G$219,"入池",$AF$17:$AF$219,"&gt;=-1E+307",$AF$17:$AF$219,"&lt;"&amp;AF115)+COUNTIFS($G$17:$G$219,"入池",$AF$17:$AF$219,AF115,$AF$17:$AF$219,"&gt;=-1E+307",$AF$17:$AF$219,"&lt;=1E+307")/2-0.5)/(COUNTIFS($G$17:$G$219,"入池",$AF$17:$AF$219,"&gt;=-1E+307",$AF$17:$AF$219,"&lt;=1E+307")-1),2)))</x:f>
      </x:c>
      <x:c r="AI115" s="17" t="n">
        <x:f>IF(NOT(ISNUMBER(AG115)),"",IF(NOT(ISNUMBER(AH115)),AG115,ROUND(AG115*'sheet1-指标体系'!$J$8+AH115*'sheet1-指标体系'!$J$9,2)))</x:f>
        <x:v>42.29</x:v>
      </x:c>
      <x:c r="AJ115" s="37" t="n">
        <x:f>IF(NOT(ISNUMBER(F115)),"",IF(F115&gt;=3,IF(NOT(ISNUMBER(N115)),"",N115),IF(NOT(ISNUMBER(O115)),"",O115)))</x:f>
        <x:v>0.0542</x:v>
      </x:c>
      <x:c r="AK115" s="17" t="n">
        <x:f>IF(OR(G115&lt;&gt;"入池",NOT(ISNUMBER(M115)),NOT(ISNUMBER(AJ115))),"",IF(M115&gt;=AJ115,100,IF(AJ115-M115&lt;'sheet1-指标体系'!$J$10,80,60)))</x:f>
        <x:v>100</x:v>
      </x:c>
      <x:c r="AL115" s="17" t="n">
        <x:f>IF(COUNT(I115,K115,L115)=0,"",ROUND((IF(ISNUMBER(I115),I115*40%,0)+IF(ISNUMBER(K115),K115*30%,0)+IF(ISNUMBER(L115),L115*30%,0))/(IF(ISNUMBER(I115),40%,0)+IF(ISNUMBER(K115),30%,0)+IF(ISNUMBER(L115),30%,0)),2))</x:f>
        <x:v>88</x:v>
      </x:c>
      <x:c r="AM115" s="17" t="n">
        <x:f>IF(COUNT(Q115,R115,W115,X115)=0,"",ROUND((IF(ISNUMBER(Q115),Q115*42%,0)+IF(ISNUMBER(R115),R115*28%,0)+IF(ISNUMBER(W115),W115*18%,0)+IF(ISNUMBER(X115),X115*12%,0))/(IF(ISNUMBER(Q115),42%,0)+IF(ISNUMBER(R115),28%,0)+IF(ISNUMBER(W115),18%,0)+IF(ISNUMBER(X115),12%,0)),2))</x:f>
        <x:v>53.49</x:v>
      </x:c>
      <x:c r="AN115" s="17" t="n">
        <x:f>IF(ISNUMBER(AC115),AC115,"")</x:f>
        <x:v>45.54</x:v>
      </x:c>
      <x:c r="AO115" s="17" t="n">
        <x:f>IF(COUNT(AG115,AH115)=0,"",ROUND((IF(ISNUMBER(AG115),AG115*60%,0)+IF(ISNUMBER(AH115),AH115*40%,0))/(IF(ISNUMBER(AG115),60%,0)+IF(ISNUMBER(AH115),40%,0)),2))</x:f>
        <x:v>42.29</x:v>
      </x:c>
      <x:c r="AP115" s="17" t="n">
        <x:f>IF(ISNUMBER(AK115),AK115,"")</x:f>
        <x:v>100</x:v>
      </x:c>
      <x:c r="AQ115" s="39" t="n">
        <x:f>IF(G115&lt;&gt;"入池",0,IF(ISNUMBER(I115),6%,0)+IF(ISNUMBER(K115),4.5%,0)+IF(ISNUMBER(L115),4.5%,0)+IF(ISNUMBER(Q115),8.4%,0)+IF(ISNUMBER(R115),5.6%,0)+IF(ISNUMBER(W115),3.6%,0)+IF(ISNUMBER(X115),2.4%,0)+IF(ISNUMBER(AC115),25%,0)+IF(ISNUMBER(AG115),18%,0)+IF(ISNUMBER(AH115),12%,0)+IF(ISNUMBER(AK115),10%,0))</x:f>
        <x:v>0.88</x:v>
      </x:c>
      <x:c r="AR115" s="17" t="n">
        <x:f>IF(AQ115=0,"",IF(ISNUMBER(I115),I115*6%,0)+IF(ISNUMBER(K115),K115*4.5%,0)+IF(ISNUMBER(L115),L115*4.5%,0)+IF(ISNUMBER(Q115),Q115*8.4%,0)+IF(ISNUMBER(R115),R115*5.6%,0)+IF(ISNUMBER(W115),W115*3.6%,0)+IF(ISNUMBER(X115),X115*2.4%,0)+IF(ISNUMBER(AC115),AC115*25%,0)+IF(ISNUMBER(AG115),AG115*18%,0)+IF(ISNUMBER(AH115),AH115*12%,0)+IF(ISNUMBER(AK115),AK115*10%,0))</x:f>
        <x:v>52.89578</x:v>
      </x:c>
      <x:c r="AS115" s="17" t="n">
        <x:f>IF(AQ115=0,"",ROUND(AR115/AQ115,2))</x:f>
        <x:v>60.11</x:v>
      </x:c>
      <x:c r="AT115" s="40" t="n">
        <x:f>IF(OR(G115&lt;&gt;"入池",NOT(ISNUMBER(AS115))),"",COUNTIFS($G$17:$G$219,"入池",$AS$17:$AS$219,"&gt;"&amp;AS115)+COUNTIFS($G$17:$G$219,"入池",$AS$17:$AS$219,AS115,$AQ$17:$AQ$219,"&gt;"&amp;AQ115)+COUNTIFS($G$17:G115,"入池",$AS$17:AS115,AS115,$AQ$17:AQ115,AQ115))</x:f>
        <x:v>109</x:v>
      </x:c>
      <x:c r="AU115" s="41" t="str">
        <x:f t="shared" si="4">IF(NOT(ISNUMBER(I115)),"管理人规模；","")&amp;IF(J115="","产品规模标识；","")&amp;IF(AND(F115&lt;3,NOT(ISNUMBER(O115))),"R_incep；","")&amp;IF(NOT(ISNUMBER(N115)),"近三年收益；","")&amp;IF(NOT(ISNUMBER(U115)),"近三年胜率；","")&amp;IF(AND(ISNUMBER(V115),OR(V115&lt;0,V115&gt;1)),"胜率窗口口径不一致；","")&amp;IF(NOT(ISNUMBER(AA115)),"近三年回撤；","")&amp;IF(NOT(ISNUMBER(AD115)),"短期卡玛；","")&amp;IF(AND(ISNUMBER(P115),NOT(ISNUMBER(AE115))),"DD_long不可识别；","")</x:f>
        <x:v>DD_long不可识别；</x:v>
      </x:c>
      <x:c r="AV115" s="42" t="n">
        <x:v>5</x:v>
      </x:c>
      <x:c r="AW115" s="19" t="str">
        <x:v>晋江市晨翰私募基金管理有限公司</x:v>
      </x:c>
      <x:c r="AX115" s="19" t="str">
        <x:v>2026-07-31</x:v>
      </x:c>
      <x:c r="AY115" s="19" t="str">
        <x:v>https://gs.amac.org.cn/amac-infodisc/res/pof/manager/2002211754119480.html</x:v>
      </x:c>
      <x:c r="AZ115" s="19" t="str">
        <x:v>晨翰6号私募证券投资基金</x:v>
      </x:c>
      <x:c r="BA115" s="19" t="str">
        <x:v>2025-09-19</x:v>
      </x:c>
      <x:c r="BB115" s="19"/>
      <x:c r="BC115" s="19" t="str">
        <x:v>https://gs.amac.org.cn/amac-infodisc/res/pof/fund/2201191737119713.html</x:v>
      </x:c>
      <x:c r="BD115" s="19" t="str">
        <x:v>已匹配</x:v>
      </x:c>
      <x:c r="BE115"/>
      <x:c r="BF115"/>
    </x:row>
    <x:row r="116" ht="28" customHeight="1">
      <x:c r="A116" s="4" t="n">
        <x:v>100</x:v>
      </x:c>
      <x:c r="B116" s="15" t="str">
        <x:f>'sheet4-原始数据'!A101</x:f>
        <x:v>博普量化对冲6号A类</x:v>
      </x:c>
      <x:c r="C116" s="15" t="str">
        <x:f>'sheet4-原始数据'!B101</x:f>
        <x:v>EE891A</x:v>
      </x:c>
      <x:c r="D116" s="15" t="str">
        <x:f>'sheet4-原始数据'!E101</x:f>
        <x:v>深圳前海博普资管</x:v>
      </x:c>
      <x:c r="E116" s="32" t="n">
        <x:f>IF(ISNUMBER('sheet4-原始数据'!F101),'sheet4-原始数据'!F101,"")</x:f>
        <x:v>43430</x:v>
      </x:c>
      <x:c r="F116" s="17" t="n">
        <x:f>IF(NOT(ISNUMBER(E116)),"",ROUND(('sheet1-指标体系'!$J$23-E116)/365.25,4))</x:f>
        <x:v>7.8056</x:v>
      </x:c>
      <x:c r="G116" s="4" t="str">
        <x:f t="shared" si="3">IF(NOT(ISNUMBER(F116)),"",IF(F116&lt;1,"不入池","入池"))</x:f>
        <x:v>入池</x:v>
      </x:c>
      <x:c r="H116" s="33" t="str">
        <x:v>50-100亿元</x:v>
      </x:c>
      <x:c r="I116" s="17" t="n">
        <x:f>IF(H116="","",IF(ISNUMBER(SEARCH("100亿元以上",H116)),100,IF(OR(ISNUMBER(SEARCH("20-50",H116)),ISNUMBER(SEARCH("50-100",H116)),ISNUMBER(SEARCH("20-100",H116))),90,IF(ISNUMBER(SEARCH("10-20",H116)),80,IF(ISNUMBER(SEARCH("5-10",H116)),70,IF(ISNUMBER(SEARCH("0-5",H116)),60,""))))))</x:f>
        <x:v>90</x:v>
      </x:c>
      <x:c r="J116" s="34"/>
      <x:c r="K116" s="17" t="str">
        <x:f>IF(J116="","",IF(J116="低于1000万元",0,100))</x:f>
      </x:c>
      <x:c r="L116" s="17" t="n">
        <x:f>IF(NOT(ISNUMBER(F116)),"",IF(F116&lt;1,"",IF(F116&lt;3,70,100)))</x:f>
        <x:v>100</x:v>
      </x:c>
      <x:c r="M116" s="35" t="n">
        <x:f>IF(ISNUMBER('sheet4-原始数据'!G101),'sheet4-原始数据'!G101,"")</x:f>
        <x:v>0.0383</x:v>
      </x:c>
      <x:c r="N116" s="35" t="n">
        <x:f>IF(ISNUMBER('sheet4-原始数据'!H101),'sheet4-原始数据'!H101,"")</x:f>
        <x:v>0.0098</x:v>
      </x:c>
      <x:c r="O116" s="36" t="str">
        <x:f>IF(ISNUMBER('sheet4-原始数据'!Q101),'sheet4-原始数据'!Q101,"")</x:f>
      </x:c>
      <x:c r="P116" s="37" t="n">
        <x:f>IF($G116&lt;&gt;"入池","",IF($F116&gt;=3,IF(OR(NOT(ISNUMBER($M116)),NOT(ISNUMBER($N116)),1+$M116&lt;=0,1+$N116&lt;0),"",((1+$N116)^3/(1+$M116))^(1/2)-1),IF(OR($F116&lt;=1,NOT(ISNUMBER($M116)),NOT(ISNUMBER($O116)),1+$M116&lt;=0,1+$O116&lt;0),"",((1+$O116)^$F116/(1+$M116))^(1/($F116-1))-1)))</x:f>
        <x:v>-0.004155285809150366</x:v>
      </x:c>
      <x:c r="Q116" s="17" t="n">
        <x:f>IF(OR($G116&lt;&gt;"入池",NOT(ISNUMBER(M116))),"",IF(COUNTIFS($G$17:$G$219,"入池",$M$17:$M$219,"&gt;=-1E+307",$M$17:$M$219,"&lt;=1E+307")&lt;=1,100,ROUND(100*(COUNTIFS($G$17:$G$219,"入池",$M$17:$M$219,"&gt;=-1E+307",$M$17:$M$219,"&lt;"&amp;M116)+COUNTIFS($G$17:$G$219,"入池",$M$17:$M$219,M116,$M$17:$M$219,"&gt;=-1E+307",$M$17:$M$219,"&lt;=1E+307")/2-0.5)/(COUNTIFS($G$17:$G$219,"入池",$M$17:$M$219,"&gt;=-1E+307",$M$17:$M$219,"&lt;=1E+307")-1),2)))</x:f>
        <x:v>37.62</x:v>
      </x:c>
      <x:c r="R116" s="17" t="n">
        <x:f>IF(OR($G116&lt;&gt;"入池",NOT(ISNUMBER(P116))),"",IF(COUNTIFS($G$17:$G$219,"入池",$P$17:$P$219,"&gt;=-1E+307",$P$17:$P$219,"&lt;=1E+307")&lt;=1,100,ROUND(100*(COUNTIFS($G$17:$G$219,"入池",$P$17:$P$219,"&gt;=-1E+307",$P$17:$P$219,"&lt;"&amp;P116)+COUNTIFS($G$17:$G$219,"入池",$P$17:$P$219,P116,$P$17:$P$219,"&gt;=-1E+307",$P$17:$P$219,"&lt;=1E+307")/2-0.5)/(COUNTIFS($G$17:$G$219,"入池",$P$17:$P$219,"&gt;=-1E+307",$P$17:$P$219,"&lt;=1E+307")-1),2)))</x:f>
        <x:v>4.95</x:v>
      </x:c>
      <x:c r="S116" s="17" t="n">
        <x:f>IF(NOT(ISNUMBER(Q116)),"",IF(NOT(ISNUMBER(R116)),Q116,ROUND(Q116*'sheet1-指标体系'!$J$8+R116*'sheet1-指标体系'!$J$9,2)))</x:f>
        <x:v>24.55</x:v>
      </x:c>
      <x:c r="T116" s="35" t="n">
        <x:f>IF(ISNUMBER('sheet4-原始数据'!J101),'sheet4-原始数据'!J101,"")</x:f>
        <x:v>0.5385</x:v>
      </x:c>
      <x:c r="U116" s="35" t="n">
        <x:f>IF(ISNUMBER('sheet4-原始数据'!I101),'sheet4-原始数据'!I101,"")</x:f>
        <x:v>0.5946</x:v>
      </x:c>
      <x:c r="V116" s="37" t="n">
        <x:f>IF(OR(NOT(ISNUMBER(T116)),NOT(ISNUMBER(U116))),"",(U116*'sheet1-指标体系'!$J$6-T116*'sheet1-指标体系'!$J$5)/'sheet1-指标体系'!$J$7)</x:f>
        <x:v>0.6249875</x:v>
      </x:c>
      <x:c r="W116" s="17" t="n">
        <x:f>IF(NOT(ISNUMBER(T116)),"",T116*100)</x:f>
        <x:v>53.849999999999994</x:v>
      </x:c>
      <x:c r="X116" s="17" t="n">
        <x:f>IF($G116&lt;&gt;"入池","",IF(AND(ISNUMBER(V116),V116&gt;=0,V116&lt;=1),V116*100,IF(MAX(0,($F116-1)*12)&lt;6,100,"")))</x:f>
        <x:v>62.49875</x:v>
      </x:c>
      <x:c r="Y116" s="17" t="n">
        <x:f>IF(NOT(ISNUMBER(W116)),"",IF(NOT(ISNUMBER(X116)),W116,ROUND(W116*'sheet1-指标体系'!$J$8+X116*'sheet1-指标体系'!$J$9,2)))</x:f>
        <x:v>57.31</x:v>
      </x:c>
      <x:c r="Z116" s="37" t="n">
        <x:f>IF(OR(NOT(ISNUMBER(M116)),NOT(ISNUMBER(AD116)),AD116=0),"",ABS(M116/AD116))</x:f>
        <x:v>0.027637465723769666</x:v>
      </x:c>
      <x:c r="AA116" s="35" t="n">
        <x:f>IF(ISNUMBER('sheet4-原始数据'!K101),'sheet4-原始数据'!K101,"")</x:f>
        <x:v>0.0983</x:v>
      </x:c>
      <x:c r="AB116" s="37" t="n">
        <x:f>IF(COUNT(Z116:AA116)=0,"",MAX(Z116:AA116))</x:f>
        <x:v>0.0983</x:v>
      </x:c>
      <x:c r="AC116" s="17" t="n">
        <x:f>IF(OR($G116&lt;&gt;"入池",NOT(ISNUMBER(AB116))),"",IF(COUNTIFS($G$17:$G$219,"入池",$AB$17:$AB$219,"&gt;=-1E+307",$AB$17:$AB$219,"&lt;=1E+307")&lt;=1,100,ROUND(100*(COUNTIFS($G$17:$G$219,"入池",$AB$17:$AB$219,"&lt;=1E+307",$AB$17:$AB$219,"&gt;"&amp;AB116)+COUNTIFS($G$17:$G$219,"入池",$AB$17:$AB$219,AB116,$AB$17:$AB$219,"&gt;=-1E+307",$AB$17:$AB$219,"&lt;=1E+307")/2-0.5)/(COUNTIFS($G$17:$G$219,"入池",$AB$17:$AB$219,"&gt;=-1E+307",$AB$17:$AB$219,"&lt;=1E+307")-1),2)))</x:f>
        <x:v>28.22</x:v>
      </x:c>
      <x:c r="AD116" s="38" t="n">
        <x:f>IF(ISNUMBER('sheet4-原始数据'!M101),'sheet4-原始数据'!M101,"")</x:f>
        <x:v>1.3858</x:v>
      </x:c>
      <x:c r="AE116" s="37" t="n">
        <x:f t="shared" si="5">IF(OR(NOT(ISNUMBER(P116)),NOT(ISNUMBER(AA116)),NOT(ISNUMBER(Z116))),"",IF(AA116&gt;Z116+'sheet1-指标体系'!$J$11,AA116,""))</x:f>
        <x:v>0.0983</x:v>
      </x:c>
      <x:c r="AF116" s="17" t="n">
        <x:f>IF(OR(NOT(ISNUMBER(P116)),NOT(ISNUMBER(AE116)),AE116=0),"",P116/AE116)</x:f>
        <x:v>-0.042271473134795186</x:v>
      </x:c>
      <x:c r="AG116" s="17" t="n">
        <x:f>IF(OR($G116&lt;&gt;"入池",NOT(ISNUMBER(AD116))),"",IF(COUNTIFS($G$17:$G$219,"入池",$AD$17:$AD$219,"&gt;=-1E+307",$AD$17:$AD$219,"&lt;=1E+307")&lt;=1,100,ROUND(100*(COUNTIFS($G$17:$G$219,"入池",$AD$17:$AD$219,"&gt;=-1E+307",$AD$17:$AD$219,"&lt;"&amp;AD116)+COUNTIFS($G$17:$G$219,"入池",$AD$17:$AD$219,AD116,$AD$17:$AD$219,"&gt;=-1E+307",$AD$17:$AD$219,"&lt;=1E+307")/2-0.5)/(COUNTIFS($G$17:$G$219,"入池",$AD$17:$AD$219,"&gt;=-1E+307",$AD$17:$AD$219,"&lt;=1E+307")-1),2)))</x:f>
        <x:v>37.81</x:v>
      </x:c>
      <x:c r="AH116" s="17" t="n">
        <x:f>IF(OR($G116&lt;&gt;"入池",NOT(ISNUMBER(AF116))),"",IF(COUNTIFS($G$17:$G$219,"入池",$AF$17:$AF$219,"&gt;=-1E+307",$AF$17:$AF$219,"&lt;=1E+307")&lt;=1,100,ROUND(100*(COUNTIFS($G$17:$G$219,"入池",$AF$17:$AF$219,"&gt;=-1E+307",$AF$17:$AF$219,"&lt;"&amp;AF116)+COUNTIFS($G$17:$G$219,"入池",$AF$17:$AF$219,AF116,$AF$17:$AF$219,"&gt;=-1E+307",$AF$17:$AF$219,"&lt;=1E+307")/2-0.5)/(COUNTIFS($G$17:$G$219,"入池",$AF$17:$AF$219,"&gt;=-1E+307",$AF$17:$AF$219,"&lt;=1E+307")-1),2)))</x:f>
        <x:v>6.57</x:v>
      </x:c>
      <x:c r="AI116" s="17" t="n">
        <x:f>IF(NOT(ISNUMBER(AG116)),"",IF(NOT(ISNUMBER(AH116)),AG116,ROUND(AG116*'sheet1-指标体系'!$J$8+AH116*'sheet1-指标体系'!$J$9,2)))</x:f>
        <x:v>25.31</x:v>
      </x:c>
      <x:c r="AJ116" s="37" t="n">
        <x:f>IF(NOT(ISNUMBER(F116)),"",IF(F116&gt;=3,IF(NOT(ISNUMBER(N116)),"",N116),IF(NOT(ISNUMBER(O116)),"",O116)))</x:f>
        <x:v>0.0098</x:v>
      </x:c>
      <x:c r="AK116" s="17" t="n">
        <x:f>IF(OR(G116&lt;&gt;"入池",NOT(ISNUMBER(M116)),NOT(ISNUMBER(AJ116))),"",IF(M116&gt;=AJ116,100,IF(AJ116-M116&lt;'sheet1-指标体系'!$J$10,80,60)))</x:f>
        <x:v>100</x:v>
      </x:c>
      <x:c r="AL116" s="17" t="n">
        <x:f>IF(COUNT(I116,K116,L116)=0,"",ROUND((IF(ISNUMBER(I116),I116*40%,0)+IF(ISNUMBER(K116),K116*30%,0)+IF(ISNUMBER(L116),L116*30%,0))/(IF(ISNUMBER(I116),40%,0)+IF(ISNUMBER(K116),30%,0)+IF(ISNUMBER(L116),30%,0)),2))</x:f>
        <x:v>94.29</x:v>
      </x:c>
      <x:c r="AM116" s="17" t="n">
        <x:f>IF(COUNT(Q116,R116,W116,X116)=0,"",ROUND((IF(ISNUMBER(Q116),Q116*42%,0)+IF(ISNUMBER(R116),R116*28%,0)+IF(ISNUMBER(W116),W116*18%,0)+IF(ISNUMBER(X116),X116*12%,0))/(IF(ISNUMBER(Q116),42%,0)+IF(ISNUMBER(R116),28%,0)+IF(ISNUMBER(W116),18%,0)+IF(ISNUMBER(X116),12%,0)),2))</x:f>
        <x:v>34.38</x:v>
      </x:c>
      <x:c r="AN116" s="17" t="n">
        <x:f>IF(ISNUMBER(AC116),AC116,"")</x:f>
        <x:v>28.22</x:v>
      </x:c>
      <x:c r="AO116" s="17" t="n">
        <x:f>IF(COUNT(AG116,AH116)=0,"",ROUND((IF(ISNUMBER(AG116),AG116*60%,0)+IF(ISNUMBER(AH116),AH116*40%,0))/(IF(ISNUMBER(AG116),60%,0)+IF(ISNUMBER(AH116),40%,0)),2))</x:f>
        <x:v>25.31</x:v>
      </x:c>
      <x:c r="AP116" s="17" t="n">
        <x:f>IF(ISNUMBER(AK116),AK116,"")</x:f>
        <x:v>100</x:v>
      </x:c>
      <x:c r="AQ116" s="39" t="n">
        <x:f>IF(G116&lt;&gt;"入池",0,IF(ISNUMBER(I116),6%,0)+IF(ISNUMBER(K116),4.5%,0)+IF(ISNUMBER(L116),4.5%,0)+IF(ISNUMBER(Q116),8.4%,0)+IF(ISNUMBER(R116),5.6%,0)+IF(ISNUMBER(W116),3.6%,0)+IF(ISNUMBER(X116),2.4%,0)+IF(ISNUMBER(AC116),25%,0)+IF(ISNUMBER(AG116),18%,0)+IF(ISNUMBER(AH116),12%,0)+IF(ISNUMBER(AK116),10%,0))</x:f>
        <x:v>0.9550000000000001</x:v>
      </x:c>
      <x:c r="AR116" s="17" t="n">
        <x:f>IF(AQ116=0,"",IF(ISNUMBER(I116),I116*6%,0)+IF(ISNUMBER(K116),K116*4.5%,0)+IF(ISNUMBER(L116),L116*4.5%,0)+IF(ISNUMBER(Q116),Q116*8.4%,0)+IF(ISNUMBER(R116),R116*5.6%,0)+IF(ISNUMBER(W116),W116*3.6%,0)+IF(ISNUMBER(X116),X116*2.4%,0)+IF(ISNUMBER(AC116),AC116*25%,0)+IF(ISNUMBER(AG116),AG116*18%,0)+IF(ISNUMBER(AH116),AH116*12%,0)+IF(ISNUMBER(AK116),AK116*10%,0))</x:f>
        <x:v>41.42505</x:v>
      </x:c>
      <x:c r="AS116" s="17" t="n">
        <x:f>IF(AQ116=0,"",ROUND(AR116/AQ116,2))</x:f>
        <x:v>43.38</x:v>
      </x:c>
      <x:c r="AT116" s="40" t="n">
        <x:f>IF(OR(G116&lt;&gt;"入池",NOT(ISNUMBER(AS116))),"",COUNTIFS($G$17:$G$219,"入池",$AS$17:$AS$219,"&gt;"&amp;AS116)+COUNTIFS($G$17:$G$219,"入池",$AS$17:$AS$219,AS116,$AQ$17:$AQ$219,"&gt;"&amp;AQ116)+COUNTIFS($G$17:G116,"入池",$AS$17:AS116,AS116,$AQ$17:AQ116,AQ116))</x:f>
        <x:v>163</x:v>
      </x:c>
      <x:c r="AU116" s="41" t="str">
        <x:f t="shared" si="4">IF(NOT(ISNUMBER(I116)),"管理人规模；","")&amp;IF(J116="","产品规模标识；","")&amp;IF(AND(F116&lt;3,NOT(ISNUMBER(O116))),"R_incep；","")&amp;IF(NOT(ISNUMBER(N116)),"近三年收益；","")&amp;IF(NOT(ISNUMBER(U116)),"近三年胜率；","")&amp;IF(AND(ISNUMBER(V116),OR(V116&lt;0,V116&gt;1)),"胜率窗口口径不一致；","")&amp;IF(NOT(ISNUMBER(AA116)),"近三年回撤；","")&amp;IF(NOT(ISNUMBER(AD116)),"短期卡玛；","")&amp;IF(AND(ISNUMBER(P116),NOT(ISNUMBER(AE116))),"DD_long不可识别；","")</x:f>
        <x:v>产品规模标识；</x:v>
      </x:c>
      <x:c r="AV116" s="42" t="n">
        <x:v>50</x:v>
      </x:c>
      <x:c r="AW116" s="19" t="str">
        <x:v>深圳前海博普资产管理有限公司</x:v>
      </x:c>
      <x:c r="AX116" s="19" t="str">
        <x:v>2023-10-20</x:v>
      </x:c>
      <x:c r="AY116" s="19" t="str">
        <x:v>https://gs.amac.org.cn/amac-infodisc/res/pof/manager/1709041706102598.html</x:v>
      </x:c>
      <x:c r="AZ116" s="19"/>
      <x:c r="BA116" s="19"/>
      <x:c r="BB116" s="19"/>
      <x:c r="BC116" s="19"/>
      <x:c r="BD116" s="19" t="str">
        <x:v>基金页未匹配；管理人已核验</x:v>
      </x:c>
      <x:c r="BE116"/>
      <x:c r="BF116"/>
    </x:row>
    <x:row r="117" ht="28" customHeight="1">
      <x:c r="A117" s="4" t="n">
        <x:v>101</x:v>
      </x:c>
      <x:c r="B117" s="15" t="str">
        <x:f>'sheet4-原始数据'!A102</x:f>
        <x:v>中益仁东染千顷</x:v>
      </x:c>
      <x:c r="C117" s="15" t="str">
        <x:f>'sheet4-原始数据'!B102</x:f>
        <x:v>SXK740</x:v>
      </x:c>
      <x:c r="D117" s="15" t="str">
        <x:f>'sheet4-原始数据'!E102</x:f>
        <x:v>日照中益仁</x:v>
      </x:c>
      <x:c r="E117" s="32" t="n">
        <x:f>IF(ISNUMBER('sheet4-原始数据'!F102),'sheet4-原始数据'!F102,"")</x:f>
        <x:v>44827</x:v>
      </x:c>
      <x:c r="F117" s="17" t="n">
        <x:f>IF(NOT(ISNUMBER(E117)),"",ROUND(('sheet1-指标体系'!$J$23-E117)/365.25,4))</x:f>
        <x:v>3.9808</x:v>
      </x:c>
      <x:c r="G117" s="4" t="str">
        <x:f t="shared" si="3">IF(NOT(ISNUMBER(F117)),"",IF(F117&lt;1,"不入池","入池"))</x:f>
        <x:v>入池</x:v>
      </x:c>
      <x:c r="H117" s="33" t="str">
        <x:v>10-20亿元</x:v>
      </x:c>
      <x:c r="I117" s="17" t="n">
        <x:f>IF(H117="","",IF(ISNUMBER(SEARCH("100亿元以上",H117)),100,IF(OR(ISNUMBER(SEARCH("20-50",H117)),ISNUMBER(SEARCH("50-100",H117)),ISNUMBER(SEARCH("20-100",H117))),90,IF(ISNUMBER(SEARCH("10-20",H117)),80,IF(ISNUMBER(SEARCH("5-10",H117)),70,IF(ISNUMBER(SEARCH("0-5",H117)),60,""))))))</x:f>
        <x:v>80</x:v>
      </x:c>
      <x:c r="J117" s="34" t="str">
        <x:v>无低于1000万元标识</x:v>
      </x:c>
      <x:c r="K117" s="17" t="n">
        <x:f>IF(J117="","",IF(J117="低于1000万元",0,100))</x:f>
        <x:v>100</x:v>
      </x:c>
      <x:c r="L117" s="17" t="n">
        <x:f>IF(NOT(ISNUMBER(F117)),"",IF(F117&lt;1,"",IF(F117&lt;3,70,100)))</x:f>
        <x:v>100</x:v>
      </x:c>
      <x:c r="M117" s="35" t="n">
        <x:f>IF(ISNUMBER('sheet4-原始数据'!G102),'sheet4-原始数据'!G102,"")</x:f>
        <x:v>0.0946</x:v>
      </x:c>
      <x:c r="N117" s="35" t="n">
        <x:f>IF(ISNUMBER('sheet4-原始数据'!H102),'sheet4-原始数据'!H102,"")</x:f>
        <x:v>0.0839</x:v>
      </x:c>
      <x:c r="O117" s="36" t="str">
        <x:f>IF(ISNUMBER('sheet4-原始数据'!Q102),'sheet4-原始数据'!Q102,"")</x:f>
      </x:c>
      <x:c r="P117" s="37" t="n">
        <x:f>IF($G117&lt;&gt;"入池","",IF($F117&gt;=3,IF(OR(NOT(ISNUMBER($M117)),NOT(ISNUMBER($N117)),1+$M117&lt;=0,1+$N117&lt;0),"",((1+$N117)^3/(1+$M117))^(1/2)-1),IF(OR($F117&lt;=1,NOT(ISNUMBER($M117)),NOT(ISNUMBER($O117)),1+$M117&lt;=0,1+$O117&lt;0),"",((1+$O117)^$F117/(1+$M117))^(1/($F117-1))-1)))</x:f>
        <x:v>0.0785892873705174</x:v>
      </x:c>
      <x:c r="Q117" s="17" t="n">
        <x:f>IF(OR($G117&lt;&gt;"入池",NOT(ISNUMBER(M117))),"",IF(COUNTIFS($G$17:$G$219,"入池",$M$17:$M$219,"&gt;=-1E+307",$M$17:$M$219,"&lt;=1E+307")&lt;=1,100,ROUND(100*(COUNTIFS($G$17:$G$219,"入池",$M$17:$M$219,"&gt;=-1E+307",$M$17:$M$219,"&lt;"&amp;M117)+COUNTIFS($G$17:$G$219,"入池",$M$17:$M$219,M117,$M$17:$M$219,"&gt;=-1E+307",$M$17:$M$219,"&lt;=1E+307")/2-0.5)/(COUNTIFS($G$17:$G$219,"入池",$M$17:$M$219,"&gt;=-1E+307",$M$17:$M$219,"&lt;=1E+307")-1),2)))</x:f>
        <x:v>78.47</x:v>
      </x:c>
      <x:c r="R117" s="17" t="n">
        <x:f>IF(OR($G117&lt;&gt;"入池",NOT(ISNUMBER(P117))),"",IF(COUNTIFS($G$17:$G$219,"入池",$P$17:$P$219,"&gt;=-1E+307",$P$17:$P$219,"&lt;=1E+307")&lt;=1,100,ROUND(100*(COUNTIFS($G$17:$G$219,"入池",$P$17:$P$219,"&gt;=-1E+307",$P$17:$P$219,"&lt;"&amp;P117)+COUNTIFS($G$17:$G$219,"入池",$P$17:$P$219,P117,$P$17:$P$219,"&gt;=-1E+307",$P$17:$P$219,"&lt;=1E+307")/2-0.5)/(COUNTIFS($G$17:$G$219,"入池",$P$17:$P$219,"&gt;=-1E+307",$P$17:$P$219,"&lt;=1E+307")-1),2)))</x:f>
        <x:v>63.86</x:v>
      </x:c>
      <x:c r="S117" s="17" t="n">
        <x:f>IF(NOT(ISNUMBER(Q117)),"",IF(NOT(ISNUMBER(R117)),Q117,ROUND(Q117*'sheet1-指标体系'!$J$8+R117*'sheet1-指标体系'!$J$9,2)))</x:f>
        <x:v>72.63</x:v>
      </x:c>
      <x:c r="T117" s="35" t="n">
        <x:f>IF(ISNUMBER('sheet4-原始数据'!J102),'sheet4-原始数据'!J102,"")</x:f>
        <x:v>0.7692</x:v>
      </x:c>
      <x:c r="U117" s="35" t="n">
        <x:f>IF(ISNUMBER('sheet4-原始数据'!I102),'sheet4-原始数据'!I102,"")</x:f>
        <x:v>0.8919</x:v>
      </x:c>
      <x:c r="V117" s="37" t="n">
        <x:f>IF(OR(NOT(ISNUMBER(T117)),NOT(ISNUMBER(U117))),"",(U117*'sheet1-指标体系'!$J$6-T117*'sheet1-指标体系'!$J$5)/'sheet1-指标体系'!$J$7)</x:f>
        <x:v>0.9583625000000001</x:v>
      </x:c>
      <x:c r="W117" s="17" t="n">
        <x:f>IF(NOT(ISNUMBER(T117)),"",T117*100)</x:f>
        <x:v>76.92</x:v>
      </x:c>
      <x:c r="X117" s="17" t="n">
        <x:f>IF($G117&lt;&gt;"入池","",IF(AND(ISNUMBER(V117),V117&gt;=0,V117&lt;=1),V117*100,IF(MAX(0,($F117-1)*12)&lt;6,100,"")))</x:f>
        <x:v>95.83625</x:v>
      </x:c>
      <x:c r="Y117" s="17" t="n">
        <x:f>IF(NOT(ISNUMBER(W117)),"",IF(NOT(ISNUMBER(X117)),W117,ROUND(W117*'sheet1-指标体系'!$J$8+X117*'sheet1-指标体系'!$J$9,2)))</x:f>
        <x:v>84.49</x:v>
      </x:c>
      <x:c r="Z117" s="37" t="n">
        <x:f>IF(OR(NOT(ISNUMBER(M117)),NOT(ISNUMBER(AD117)),AD117=0),"",ABS(M117/AD117))</x:f>
        <x:v>0.02766567234017664</x:v>
      </x:c>
      <x:c r="AA117" s="35" t="n">
        <x:f>IF(ISNUMBER('sheet4-原始数据'!K102),'sheet4-原始数据'!K102,"")</x:f>
        <x:v>0.0277</x:v>
      </x:c>
      <x:c r="AB117" s="37" t="n">
        <x:f>IF(COUNT(Z117:AA117)=0,"",MAX(Z117:AA117))</x:f>
        <x:v>0.0277</x:v>
      </x:c>
      <x:c r="AC117" s="17" t="n">
        <x:f>IF(OR($G117&lt;&gt;"入池",NOT(ISNUMBER(AB117))),"",IF(COUNTIFS($G$17:$G$219,"入池",$AB$17:$AB$219,"&gt;=-1E+307",$AB$17:$AB$219,"&lt;=1E+307")&lt;=1,100,ROUND(100*(COUNTIFS($G$17:$G$219,"入池",$AB$17:$AB$219,"&lt;=1E+307",$AB$17:$AB$219,"&gt;"&amp;AB117)+COUNTIFS($G$17:$G$219,"入池",$AB$17:$AB$219,AB117,$AB$17:$AB$219,"&gt;=-1E+307",$AB$17:$AB$219,"&lt;=1E+307")/2-0.5)/(COUNTIFS($G$17:$G$219,"入池",$AB$17:$AB$219,"&gt;=-1E+307",$AB$17:$AB$219,"&lt;=1E+307")-1),2)))</x:f>
        <x:v>63.86</x:v>
      </x:c>
      <x:c r="AD117" s="38" t="n">
        <x:f>IF(ISNUMBER('sheet4-原始数据'!M102),'sheet4-原始数据'!M102,"")</x:f>
        <x:v>3.4194</x:v>
      </x:c>
      <x:c r="AE117" s="37" t="str">
        <x:f t="shared" si="5">IF(OR(NOT(ISNUMBER(P117)),NOT(ISNUMBER(AA117)),NOT(ISNUMBER(Z117))),"",IF(AA117&gt;Z117+'sheet1-指标体系'!$J$11,AA117,""))</x:f>
      </x:c>
      <x:c r="AF117" s="17" t="str">
        <x:f>IF(OR(NOT(ISNUMBER(P117)),NOT(ISNUMBER(AE117)),AE117=0),"",P117/AE117)</x:f>
      </x:c>
      <x:c r="AG117" s="17" t="n">
        <x:f>IF(OR($G117&lt;&gt;"入池",NOT(ISNUMBER(AD117))),"",IF(COUNTIFS($G$17:$G$219,"入池",$AD$17:$AD$219,"&gt;=-1E+307",$AD$17:$AD$219,"&lt;=1E+307")&lt;=1,100,ROUND(100*(COUNTIFS($G$17:$G$219,"入池",$AD$17:$AD$219,"&gt;=-1E+307",$AD$17:$AD$219,"&lt;"&amp;AD117)+COUNTIFS($G$17:$G$219,"入池",$AD$17:$AD$219,AD117,$AD$17:$AD$219,"&gt;=-1E+307",$AD$17:$AD$219,"&lt;=1E+307")/2-0.5)/(COUNTIFS($G$17:$G$219,"入池",$AD$17:$AD$219,"&gt;=-1E+307",$AD$17:$AD$219,"&lt;=1E+307")-1),2)))</x:f>
        <x:v>56.22</x:v>
      </x:c>
      <x:c r="AH117" s="17" t="str">
        <x:f>IF(OR($G117&lt;&gt;"入池",NOT(ISNUMBER(AF117))),"",IF(COUNTIFS($G$17:$G$219,"入池",$AF$17:$AF$219,"&gt;=-1E+307",$AF$17:$AF$219,"&lt;=1E+307")&lt;=1,100,ROUND(100*(COUNTIFS($G$17:$G$219,"入池",$AF$17:$AF$219,"&gt;=-1E+307",$AF$17:$AF$219,"&lt;"&amp;AF117)+COUNTIFS($G$17:$G$219,"入池",$AF$17:$AF$219,AF117,$AF$17:$AF$219,"&gt;=-1E+307",$AF$17:$AF$219,"&lt;=1E+307")/2-0.5)/(COUNTIFS($G$17:$G$219,"入池",$AF$17:$AF$219,"&gt;=-1E+307",$AF$17:$AF$219,"&lt;=1E+307")-1),2)))</x:f>
      </x:c>
      <x:c r="AI117" s="17" t="n">
        <x:f>IF(NOT(ISNUMBER(AG117)),"",IF(NOT(ISNUMBER(AH117)),AG117,ROUND(AG117*'sheet1-指标体系'!$J$8+AH117*'sheet1-指标体系'!$J$9,2)))</x:f>
        <x:v>56.22</x:v>
      </x:c>
      <x:c r="AJ117" s="37" t="n">
        <x:f>IF(NOT(ISNUMBER(F117)),"",IF(F117&gt;=3,IF(NOT(ISNUMBER(N117)),"",N117),IF(NOT(ISNUMBER(O117)),"",O117)))</x:f>
        <x:v>0.0839</x:v>
      </x:c>
      <x:c r="AK117" s="17" t="n">
        <x:f>IF(OR(G117&lt;&gt;"入池",NOT(ISNUMBER(M117)),NOT(ISNUMBER(AJ117))),"",IF(M117&gt;=AJ117,100,IF(AJ117-M117&lt;'sheet1-指标体系'!$J$10,80,60)))</x:f>
        <x:v>100</x:v>
      </x:c>
      <x:c r="AL117" s="17" t="n">
        <x:f>IF(COUNT(I117,K117,L117)=0,"",ROUND((IF(ISNUMBER(I117),I117*40%,0)+IF(ISNUMBER(K117),K117*30%,0)+IF(ISNUMBER(L117),L117*30%,0))/(IF(ISNUMBER(I117),40%,0)+IF(ISNUMBER(K117),30%,0)+IF(ISNUMBER(L117),30%,0)),2))</x:f>
        <x:v>92</x:v>
      </x:c>
      <x:c r="AM117" s="17" t="n">
        <x:f>IF(COUNT(Q117,R117,W117,X117)=0,"",ROUND((IF(ISNUMBER(Q117),Q117*42%,0)+IF(ISNUMBER(R117),R117*28%,0)+IF(ISNUMBER(W117),W117*18%,0)+IF(ISNUMBER(X117),X117*12%,0))/(IF(ISNUMBER(Q117),42%,0)+IF(ISNUMBER(R117),28%,0)+IF(ISNUMBER(W117),18%,0)+IF(ISNUMBER(X117),12%,0)),2))</x:f>
        <x:v>76.18</x:v>
      </x:c>
      <x:c r="AN117" s="17" t="n">
        <x:f>IF(ISNUMBER(AC117),AC117,"")</x:f>
        <x:v>63.86</x:v>
      </x:c>
      <x:c r="AO117" s="17" t="n">
        <x:f>IF(COUNT(AG117,AH117)=0,"",ROUND((IF(ISNUMBER(AG117),AG117*60%,0)+IF(ISNUMBER(AH117),AH117*40%,0))/(IF(ISNUMBER(AG117),60%,0)+IF(ISNUMBER(AH117),40%,0)),2))</x:f>
        <x:v>56.22</x:v>
      </x:c>
      <x:c r="AP117" s="17" t="n">
        <x:f>IF(ISNUMBER(AK117),AK117,"")</x:f>
        <x:v>100</x:v>
      </x:c>
      <x:c r="AQ117" s="39" t="n">
        <x:f>IF(G117&lt;&gt;"入池",0,IF(ISNUMBER(I117),6%,0)+IF(ISNUMBER(K117),4.5%,0)+IF(ISNUMBER(L117),4.5%,0)+IF(ISNUMBER(Q117),8.4%,0)+IF(ISNUMBER(R117),5.6%,0)+IF(ISNUMBER(W117),3.6%,0)+IF(ISNUMBER(X117),2.4%,0)+IF(ISNUMBER(AC117),25%,0)+IF(ISNUMBER(AG117),18%,0)+IF(ISNUMBER(AH117),12%,0)+IF(ISNUMBER(AK117),10%,0))</x:f>
        <x:v>0.88</x:v>
      </x:c>
      <x:c r="AR117" s="17" t="n">
        <x:f>IF(AQ117=0,"",IF(ISNUMBER(I117),I117*6%,0)+IF(ISNUMBER(K117),K117*4.5%,0)+IF(ISNUMBER(L117),L117*4.5%,0)+IF(ISNUMBER(Q117),Q117*8.4%,0)+IF(ISNUMBER(R117),R117*5.6%,0)+IF(ISNUMBER(W117),W117*3.6%,0)+IF(ISNUMBER(X117),X117*2.4%,0)+IF(ISNUMBER(AC117),AC117*25%,0)+IF(ISNUMBER(AG117),AG117*18%,0)+IF(ISNUMBER(AH117),AH117*12%,0)+IF(ISNUMBER(AK117),AK117*10%,0))</x:f>
        <x:v>65.12143</x:v>
      </x:c>
      <x:c r="AS117" s="17" t="n">
        <x:f>IF(AQ117=0,"",ROUND(AR117/AQ117,2))</x:f>
        <x:v>74</x:v>
      </x:c>
      <x:c r="AT117" s="40" t="n">
        <x:f>IF(OR(G117&lt;&gt;"入池",NOT(ISNUMBER(AS117))),"",COUNTIFS($G$17:$G$219,"入池",$AS$17:$AS$219,"&gt;"&amp;AS117)+COUNTIFS($G$17:$G$219,"入池",$AS$17:$AS$219,AS117,$AQ$17:$AQ$219,"&gt;"&amp;AQ117)+COUNTIFS($G$17:G117,"入池",$AS$17:AS117,AS117,$AQ$17:AQ117,AQ117))</x:f>
        <x:v>52</x:v>
      </x:c>
      <x:c r="AU117" s="41" t="str">
        <x:f t="shared" si="4">IF(NOT(ISNUMBER(I117)),"管理人规模；","")&amp;IF(J117="","产品规模标识；","")&amp;IF(AND(F117&lt;3,NOT(ISNUMBER(O117))),"R_incep；","")&amp;IF(NOT(ISNUMBER(N117)),"近三年收益；","")&amp;IF(NOT(ISNUMBER(U117)),"近三年胜率；","")&amp;IF(AND(ISNUMBER(V117),OR(V117&lt;0,V117&gt;1)),"胜率窗口口径不一致；","")&amp;IF(NOT(ISNUMBER(AA117)),"近三年回撤；","")&amp;IF(NOT(ISNUMBER(AD117)),"短期卡玛；","")&amp;IF(AND(ISNUMBER(P117),NOT(ISNUMBER(AE117))),"DD_long不可识别；","")</x:f>
        <x:v>DD_long不可识别；</x:v>
      </x:c>
      <x:c r="AV117" s="42" t="n">
        <x:v>10</x:v>
      </x:c>
      <x:c r="AW117" s="19" t="str">
        <x:v>日照中益仁私募基金管理有限公司</x:v>
      </x:c>
      <x:c r="AX117" s="19" t="str">
        <x:v>2026-01-08</x:v>
      </x:c>
      <x:c r="AY117" s="19" t="str">
        <x:v>https://gs.amac.org.cn/amac-infodisc/res/pof/manager/1708291806108811.html</x:v>
      </x:c>
      <x:c r="AZ117" s="19" t="str">
        <x:v>中益仁东染千顷私募证券投资基金</x:v>
      </x:c>
      <x:c r="BA117" s="19" t="str">
        <x:v>2023-04-19</x:v>
      </x:c>
      <x:c r="BB117" s="19"/>
      <x:c r="BC117" s="19" t="str">
        <x:v>https://gs.amac.org.cn/amac-infodisc/res/pof/fund/2209291849101854.html</x:v>
      </x:c>
      <x:c r="BD117" s="19" t="str">
        <x:v>已匹配</x:v>
      </x:c>
      <x:c r="BE117"/>
      <x:c r="BF117"/>
    </x:row>
    <x:row r="118" ht="28" customHeight="1">
      <x:c r="A118" s="4" t="n">
        <x:v>102</x:v>
      </x:c>
      <x:c r="B118" s="15" t="str">
        <x:f>'sheet4-原始数据'!A103</x:f>
        <x:v>系数CTA套利五号</x:v>
      </x:c>
      <x:c r="C118" s="15" t="str">
        <x:f>'sheet4-原始数据'!B103</x:f>
        <x:v>SXT086</x:v>
      </x:c>
      <x:c r="D118" s="15" t="str">
        <x:f>'sheet4-原始数据'!E103</x:f>
        <x:v>上海系数投资</x:v>
      </x:c>
      <x:c r="E118" s="32" t="n">
        <x:f>IF(ISNUMBER('sheet4-原始数据'!F103),'sheet4-原始数据'!F103,"")</x:f>
        <x:v>44881</x:v>
      </x:c>
      <x:c r="F118" s="17" t="n">
        <x:f>IF(NOT(ISNUMBER(E118)),"",ROUND(('sheet1-指标体系'!$J$23-E118)/365.25,4))</x:f>
        <x:v>3.833</x:v>
      </x:c>
      <x:c r="G118" s="4" t="str">
        <x:f t="shared" si="3">IF(NOT(ISNUMBER(F118)),"",IF(F118&lt;1,"不入池","入池"))</x:f>
        <x:v>入池</x:v>
      </x:c>
      <x:c r="H118" s="33" t="str">
        <x:v>0-5亿元</x:v>
      </x:c>
      <x:c r="I118" s="17" t="n">
        <x:f>IF(H118="","",IF(ISNUMBER(SEARCH("100亿元以上",H118)),100,IF(OR(ISNUMBER(SEARCH("20-50",H118)),ISNUMBER(SEARCH("50-100",H118)),ISNUMBER(SEARCH("20-100",H118))),90,IF(ISNUMBER(SEARCH("10-20",H118)),80,IF(ISNUMBER(SEARCH("5-10",H118)),70,IF(ISNUMBER(SEARCH("0-5",H118)),60,""))))))</x:f>
        <x:v>60</x:v>
      </x:c>
      <x:c r="J118" s="34" t="str">
        <x:v>无低于1000万元标识</x:v>
      </x:c>
      <x:c r="K118" s="17" t="n">
        <x:f>IF(J118="","",IF(J118="低于1000万元",0,100))</x:f>
        <x:v>100</x:v>
      </x:c>
      <x:c r="L118" s="17" t="n">
        <x:f>IF(NOT(ISNUMBER(F118)),"",IF(F118&lt;1,"",IF(F118&lt;3,70,100)))</x:f>
        <x:v>100</x:v>
      </x:c>
      <x:c r="M118" s="35" t="n">
        <x:f>IF(ISNUMBER('sheet4-原始数据'!G103),'sheet4-原始数据'!G103,"")</x:f>
        <x:v>0.006522015825151994</x:v>
      </x:c>
      <x:c r="N118" s="35" t="n">
        <x:f>IF(ISNUMBER('sheet4-原始数据'!H103),'sheet4-原始数据'!H103,"")</x:f>
        <x:v>0.09263842468154948</x:v>
      </x:c>
      <x:c r="O118" s="36" t="str">
        <x:f>IF(ISNUMBER('sheet4-原始数据'!Q103),'sheet4-原始数据'!Q103,"")</x:f>
      </x:c>
      <x:c r="P118" s="37" t="n">
        <x:f>IF($G118&lt;&gt;"入池","",IF($F118&gt;=3,IF(OR(NOT(ISNUMBER($M118)),NOT(ISNUMBER($N118)),1+$M118&lt;=0,1+$N118&lt;0),"",((1+$N118)^3/(1+$M118))^(1/2)-1),IF(OR($F118&lt;=1,NOT(ISNUMBER($M118)),NOT(ISNUMBER($O118)),1+$M118&lt;=0,1+$O118&lt;0),"",((1+$O118)^$F118/(1+$M118))^(1/($F118-1))-1)))</x:f>
        <x:v>0.13842143532544537</x:v>
      </x:c>
      <x:c r="Q118" s="17" t="n">
        <x:f>IF(OR($G118&lt;&gt;"入池",NOT(ISNUMBER(M118))),"",IF(COUNTIFS($G$17:$G$219,"入池",$M$17:$M$219,"&gt;=-1E+307",$M$17:$M$219,"&lt;=1E+307")&lt;=1,100,ROUND(100*(COUNTIFS($G$17:$G$219,"入池",$M$17:$M$219,"&gt;=-1E+307",$M$17:$M$219,"&lt;"&amp;M118)+COUNTIFS($G$17:$G$219,"入池",$M$17:$M$219,M118,$M$17:$M$219,"&gt;=-1E+307",$M$17:$M$219,"&lt;=1E+307")/2-0.5)/(COUNTIFS($G$17:$G$219,"入池",$M$17:$M$219,"&gt;=-1E+307",$M$17:$M$219,"&lt;=1E+307")-1),2)))</x:f>
        <x:v>20.3</x:v>
      </x:c>
      <x:c r="R118" s="17" t="n">
        <x:f>IF(OR($G118&lt;&gt;"入池",NOT(ISNUMBER(P118))),"",IF(COUNTIFS($G$17:$G$219,"入池",$P$17:$P$219,"&gt;=-1E+307",$P$17:$P$219,"&lt;=1E+307")&lt;=1,100,ROUND(100*(COUNTIFS($G$17:$G$219,"入池",$P$17:$P$219,"&gt;=-1E+307",$P$17:$P$219,"&lt;"&amp;P118)+COUNTIFS($G$17:$G$219,"入池",$P$17:$P$219,P118,$P$17:$P$219,"&gt;=-1E+307",$P$17:$P$219,"&lt;=1E+307")/2-0.5)/(COUNTIFS($G$17:$G$219,"入池",$P$17:$P$219,"&gt;=-1E+307",$P$17:$P$219,"&lt;=1E+307")-1),2)))</x:f>
        <x:v>86.63</x:v>
      </x:c>
      <x:c r="S118" s="17" t="n">
        <x:f>IF(NOT(ISNUMBER(Q118)),"",IF(NOT(ISNUMBER(R118)),Q118,ROUND(Q118*'sheet1-指标体系'!$J$8+R118*'sheet1-指标体系'!$J$9,2)))</x:f>
        <x:v>46.83</x:v>
      </x:c>
      <x:c r="T118" s="35" t="n">
        <x:f>IF(ISNUMBER('sheet4-原始数据'!J103),'sheet4-原始数据'!J103,"")</x:f>
        <x:v>0.46153846153846156</x:v>
      </x:c>
      <x:c r="U118" s="35" t="n">
        <x:f>IF(ISNUMBER('sheet4-原始数据'!I103),'sheet4-原始数据'!I103,"")</x:f>
        <x:v>0.6486486486486487</x:v>
      </x:c>
      <x:c r="V118" s="37" t="n">
        <x:f>IF(OR(NOT(ISNUMBER(T118)),NOT(ISNUMBER(U118))),"",(U118*'sheet1-指标体系'!$J$6-T118*'sheet1-指标体系'!$J$5)/'sheet1-指标体系'!$J$7)</x:f>
        <x:v>0.75</x:v>
      </x:c>
      <x:c r="W118" s="17" t="n">
        <x:f>IF(NOT(ISNUMBER(T118)),"",T118*100)</x:f>
        <x:v>46.15384615384615</x:v>
      </x:c>
      <x:c r="X118" s="17" t="n">
        <x:f>IF($G118&lt;&gt;"入池","",IF(AND(ISNUMBER(V118),V118&gt;=0,V118&lt;=1),V118*100,IF(MAX(0,($F118-1)*12)&lt;6,100,"")))</x:f>
        <x:v>75</x:v>
      </x:c>
      <x:c r="Y118" s="17" t="n">
        <x:f>IF(NOT(ISNUMBER(W118)),"",IF(NOT(ISNUMBER(X118)),W118,ROUND(W118*'sheet1-指标体系'!$J$8+X118*'sheet1-指标体系'!$J$9,2)))</x:f>
        <x:v>57.69</x:v>
      </x:c>
      <x:c r="Z118" s="37" t="n">
        <x:f>IF(OR(NOT(ISNUMBER(M118)),NOT(ISNUMBER(AD118)),AD118=0),"",ABS(M118/AD118))</x:f>
        <x:v>0.043114923827836105</x:v>
      </x:c>
      <x:c r="AA118" s="35" t="n">
        <x:f>IF(ISNUMBER('sheet4-原始数据'!K103),'sheet4-原始数据'!K103,"")</x:f>
        <x:v>0.043114923827836105</x:v>
      </x:c>
      <x:c r="AB118" s="37" t="n">
        <x:f>IF(COUNT(Z118:AA118)=0,"",MAX(Z118:AA118))</x:f>
        <x:v>0.043114923827836105</x:v>
      </x:c>
      <x:c r="AC118" s="17" t="n">
        <x:f>IF(OR($G118&lt;&gt;"入池",NOT(ISNUMBER(AB118))),"",IF(COUNTIFS($G$17:$G$219,"入池",$AB$17:$AB$219,"&gt;=-1E+307",$AB$17:$AB$219,"&lt;=1E+307")&lt;=1,100,ROUND(100*(COUNTIFS($G$17:$G$219,"入池",$AB$17:$AB$219,"&lt;=1E+307",$AB$17:$AB$219,"&gt;"&amp;AB118)+COUNTIFS($G$17:$G$219,"入池",$AB$17:$AB$219,AB118,$AB$17:$AB$219,"&gt;=-1E+307",$AB$17:$AB$219,"&lt;=1E+307")/2-0.5)/(COUNTIFS($G$17:$G$219,"入池",$AB$17:$AB$219,"&gt;=-1E+307",$AB$17:$AB$219,"&lt;=1E+307")-1),2)))</x:f>
        <x:v>49.01</x:v>
      </x:c>
      <x:c r="AD118" s="38" t="n">
        <x:f>IF(ISNUMBER('sheet4-原始数据'!M103),'sheet4-原始数据'!M103,"")</x:f>
        <x:v>0.15127049397548079</x:v>
      </x:c>
      <x:c r="AE118" s="37" t="str">
        <x:f t="shared" si="5">IF(OR(NOT(ISNUMBER(P118)),NOT(ISNUMBER(AA118)),NOT(ISNUMBER(Z118))),"",IF(AA118&gt;Z118+'sheet1-指标体系'!$J$11,AA118,""))</x:f>
      </x:c>
      <x:c r="AF118" s="17" t="str">
        <x:f>IF(OR(NOT(ISNUMBER(P118)),NOT(ISNUMBER(AE118)),AE118=0),"",P118/AE118)</x:f>
      </x:c>
      <x:c r="AG118" s="17" t="n">
        <x:f>IF(OR($G118&lt;&gt;"入池",NOT(ISNUMBER(AD118))),"",IF(COUNTIFS($G$17:$G$219,"入池",$AD$17:$AD$219,"&gt;=-1E+307",$AD$17:$AD$219,"&lt;=1E+307")&lt;=1,100,ROUND(100*(COUNTIFS($G$17:$G$219,"入池",$AD$17:$AD$219,"&gt;=-1E+307",$AD$17:$AD$219,"&lt;"&amp;AD118)+COUNTIFS($G$17:$G$219,"入池",$AD$17:$AD$219,AD118,$AD$17:$AD$219,"&gt;=-1E+307",$AD$17:$AD$219,"&lt;=1E+307")/2-0.5)/(COUNTIFS($G$17:$G$219,"入池",$AD$17:$AD$219,"&gt;=-1E+307",$AD$17:$AD$219,"&lt;=1E+307")-1),2)))</x:f>
        <x:v>21.89</x:v>
      </x:c>
      <x:c r="AH118" s="17" t="str">
        <x:f>IF(OR($G118&lt;&gt;"入池",NOT(ISNUMBER(AF118))),"",IF(COUNTIFS($G$17:$G$219,"入池",$AF$17:$AF$219,"&gt;=-1E+307",$AF$17:$AF$219,"&lt;=1E+307")&lt;=1,100,ROUND(100*(COUNTIFS($G$17:$G$219,"入池",$AF$17:$AF$219,"&gt;=-1E+307",$AF$17:$AF$219,"&lt;"&amp;AF118)+COUNTIFS($G$17:$G$219,"入池",$AF$17:$AF$219,AF118,$AF$17:$AF$219,"&gt;=-1E+307",$AF$17:$AF$219,"&lt;=1E+307")/2-0.5)/(COUNTIFS($G$17:$G$219,"入池",$AF$17:$AF$219,"&gt;=-1E+307",$AF$17:$AF$219,"&lt;=1E+307")-1),2)))</x:f>
      </x:c>
      <x:c r="AI118" s="17" t="n">
        <x:f>IF(NOT(ISNUMBER(AG118)),"",IF(NOT(ISNUMBER(AH118)),AG118,ROUND(AG118*'sheet1-指标体系'!$J$8+AH118*'sheet1-指标体系'!$J$9,2)))</x:f>
        <x:v>21.89</x:v>
      </x:c>
      <x:c r="AJ118" s="37" t="n">
        <x:f>IF(NOT(ISNUMBER(F118)),"",IF(F118&gt;=3,IF(NOT(ISNUMBER(N118)),"",N118),IF(NOT(ISNUMBER(O118)),"",O118)))</x:f>
        <x:v>0.09263842468154948</x:v>
      </x:c>
      <x:c r="AK118" s="17" t="n">
        <x:f>IF(OR(G118&lt;&gt;"入池",NOT(ISNUMBER(M118)),NOT(ISNUMBER(AJ118))),"",IF(M118&gt;=AJ118,100,IF(AJ118-M118&lt;'sheet1-指标体系'!$J$10,80,60)))</x:f>
        <x:v>80</x:v>
      </x:c>
      <x:c r="AL118" s="17" t="n">
        <x:f>IF(COUNT(I118,K118,L118)=0,"",ROUND((IF(ISNUMBER(I118),I118*40%,0)+IF(ISNUMBER(K118),K118*30%,0)+IF(ISNUMBER(L118),L118*30%,0))/(IF(ISNUMBER(I118),40%,0)+IF(ISNUMBER(K118),30%,0)+IF(ISNUMBER(L118),30%,0)),2))</x:f>
        <x:v>84</x:v>
      </x:c>
      <x:c r="AM118" s="17" t="n">
        <x:f>IF(COUNT(Q118,R118,W118,X118)=0,"",ROUND((IF(ISNUMBER(Q118),Q118*42%,0)+IF(ISNUMBER(R118),R118*28%,0)+IF(ISNUMBER(W118),W118*18%,0)+IF(ISNUMBER(X118),X118*12%,0))/(IF(ISNUMBER(Q118),42%,0)+IF(ISNUMBER(R118),28%,0)+IF(ISNUMBER(W118),18%,0)+IF(ISNUMBER(X118),12%,0)),2))</x:f>
        <x:v>50.09</x:v>
      </x:c>
      <x:c r="AN118" s="17" t="n">
        <x:f>IF(ISNUMBER(AC118),AC118,"")</x:f>
        <x:v>49.01</x:v>
      </x:c>
      <x:c r="AO118" s="17" t="n">
        <x:f>IF(COUNT(AG118,AH118)=0,"",ROUND((IF(ISNUMBER(AG118),AG118*60%,0)+IF(ISNUMBER(AH118),AH118*40%,0))/(IF(ISNUMBER(AG118),60%,0)+IF(ISNUMBER(AH118),40%,0)),2))</x:f>
        <x:v>21.89</x:v>
      </x:c>
      <x:c r="AP118" s="17" t="n">
        <x:f>IF(ISNUMBER(AK118),AK118,"")</x:f>
        <x:v>80</x:v>
      </x:c>
      <x:c r="AQ118" s="39" t="n">
        <x:f>IF(G118&lt;&gt;"入池",0,IF(ISNUMBER(I118),6%,0)+IF(ISNUMBER(K118),4.5%,0)+IF(ISNUMBER(L118),4.5%,0)+IF(ISNUMBER(Q118),8.4%,0)+IF(ISNUMBER(R118),5.6%,0)+IF(ISNUMBER(W118),3.6%,0)+IF(ISNUMBER(X118),2.4%,0)+IF(ISNUMBER(AC118),25%,0)+IF(ISNUMBER(AG118),18%,0)+IF(ISNUMBER(AH118),12%,0)+IF(ISNUMBER(AK118),10%,0))</x:f>
        <x:v>0.88</x:v>
      </x:c>
      <x:c r="AR118" s="17" t="n">
        <x:f>IF(AQ118=0,"",IF(ISNUMBER(I118),I118*6%,0)+IF(ISNUMBER(K118),K118*4.5%,0)+IF(ISNUMBER(L118),L118*4.5%,0)+IF(ISNUMBER(Q118),Q118*8.4%,0)+IF(ISNUMBER(R118),R118*5.6%,0)+IF(ISNUMBER(W118),W118*3.6%,0)+IF(ISNUMBER(X118),X118*2.4%,0)+IF(ISNUMBER(AC118),AC118*25%,0)+IF(ISNUMBER(AG118),AG118*18%,0)+IF(ISNUMBER(AH118),AH118*12%,0)+IF(ISNUMBER(AK118),AK118*10%,0))</x:f>
        <x:v>46.81071846153846</x:v>
      </x:c>
      <x:c r="AS118" s="17" t="n">
        <x:f>IF(AQ118=0,"",ROUND(AR118/AQ118,2))</x:f>
        <x:v>53.19</x:v>
      </x:c>
      <x:c r="AT118" s="40" t="n">
        <x:f>IF(OR(G118&lt;&gt;"入池",NOT(ISNUMBER(AS118))),"",COUNTIFS($G$17:$G$219,"入池",$AS$17:$AS$219,"&gt;"&amp;AS118)+COUNTIFS($G$17:$G$219,"入池",$AS$17:$AS$219,AS118,$AQ$17:$AQ$219,"&gt;"&amp;AQ118)+COUNTIFS($G$17:G118,"入池",$AS$17:AS118,AS118,$AQ$17:AQ118,AQ118))</x:f>
        <x:v>134</x:v>
      </x:c>
      <x:c r="AU118" s="41" t="str">
        <x:f t="shared" si="4">IF(NOT(ISNUMBER(I118)),"管理人规模；","")&amp;IF(J118="","产品规模标识；","")&amp;IF(AND(F118&lt;3,NOT(ISNUMBER(O118))),"R_incep；","")&amp;IF(NOT(ISNUMBER(N118)),"近三年收益；","")&amp;IF(NOT(ISNUMBER(U118)),"近三年胜率；","")&amp;IF(AND(ISNUMBER(V118),OR(V118&lt;0,V118&gt;1)),"胜率窗口口径不一致；","")&amp;IF(NOT(ISNUMBER(AA118)),"近三年回撤；","")&amp;IF(NOT(ISNUMBER(AD118)),"短期卡玛；","")&amp;IF(AND(ISNUMBER(P118),NOT(ISNUMBER(AE118))),"DD_long不可识别；","")</x:f>
        <x:v>DD_long不可识别；</x:v>
      </x:c>
      <x:c r="AV118" s="42" t="n">
        <x:v>0</x:v>
      </x:c>
      <x:c r="AW118" s="19" t="str">
        <x:v>上海系数投资管理合伙企业（有限合伙）</x:v>
      </x:c>
      <x:c r="AX118" s="19" t="str">
        <x:v>2026-08-03</x:v>
      </x:c>
      <x:c r="AY118" s="19" t="str">
        <x:v>https://gs.amac.org.cn/amac-infodisc/res/pof/manager/101000000497.html</x:v>
      </x:c>
      <x:c r="AZ118" s="19" t="str">
        <x:v>系数CTA套利五号私募证券投资基金</x:v>
      </x:c>
      <x:c r="BA118" s="19" t="str">
        <x:v>2026-06-16</x:v>
      </x:c>
      <x:c r="BB118" s="19"/>
      <x:c r="BC118" s="19" t="str">
        <x:v>https://gs.amac.org.cn/amac-infodisc/res/pof/fund/2211221840100768.html</x:v>
      </x:c>
      <x:c r="BD118" s="19" t="str">
        <x:v>已匹配</x:v>
      </x:c>
      <x:c r="BE118"/>
      <x:c r="BF118"/>
    </x:row>
    <x:row r="119" ht="28" customHeight="1">
      <x:c r="A119" s="4" t="n">
        <x:v>103</x:v>
      </x:c>
      <x:c r="B119" s="15" t="str">
        <x:f>'sheet4-原始数据'!A104</x:f>
        <x:v>世宽若水尘心3号</x:v>
      </x:c>
      <x:c r="C119" s="15" t="str">
        <x:f>'sheet4-原始数据'!B104</x:f>
        <x:v>SXT730</x:v>
      </x:c>
      <x:c r="D119" s="15" t="str">
        <x:f>'sheet4-原始数据'!E104</x:f>
        <x:v>厦门世宽</x:v>
      </x:c>
      <x:c r="E119" s="32" t="n">
        <x:f>IF(ISNUMBER('sheet4-原始数据'!F104),'sheet4-原始数据'!F104,"")</x:f>
        <x:v>44883</x:v>
      </x:c>
      <x:c r="F119" s="17" t="n">
        <x:f>IF(NOT(ISNUMBER(E119)),"",ROUND(('sheet1-指标体系'!$J$23-E119)/365.25,4))</x:f>
        <x:v>3.8275</x:v>
      </x:c>
      <x:c r="G119" s="4" t="str">
        <x:f t="shared" si="3">IF(NOT(ISNUMBER(F119)),"",IF(F119&lt;1,"不入池","入池"))</x:f>
        <x:v>入池</x:v>
      </x:c>
      <x:c r="H119" s="33" t="str">
        <x:v>0-5亿元</x:v>
      </x:c>
      <x:c r="I119" s="17" t="n">
        <x:f>IF(H119="","",IF(ISNUMBER(SEARCH("100亿元以上",H119)),100,IF(OR(ISNUMBER(SEARCH("20-50",H119)),ISNUMBER(SEARCH("50-100",H119)),ISNUMBER(SEARCH("20-100",H119))),90,IF(ISNUMBER(SEARCH("10-20",H119)),80,IF(ISNUMBER(SEARCH("5-10",H119)),70,IF(ISNUMBER(SEARCH("0-5",H119)),60,""))))))</x:f>
        <x:v>60</x:v>
      </x:c>
      <x:c r="J119" s="34" t="str">
        <x:v>无低于1000万元标识</x:v>
      </x:c>
      <x:c r="K119" s="17" t="n">
        <x:f>IF(J119="","",IF(J119="低于1000万元",0,100))</x:f>
        <x:v>100</x:v>
      </x:c>
      <x:c r="L119" s="17" t="n">
        <x:f>IF(NOT(ISNUMBER(F119)),"",IF(F119&lt;1,"",IF(F119&lt;3,70,100)))</x:f>
        <x:v>100</x:v>
      </x:c>
      <x:c r="M119" s="35" t="n">
        <x:f>IF(ISNUMBER('sheet4-原始数据'!G104),'sheet4-原始数据'!G104,"")</x:f>
        <x:v>0.20488471623722737</x:v>
      </x:c>
      <x:c r="N119" s="35" t="n">
        <x:f>IF(ISNUMBER('sheet4-原始数据'!H104),'sheet4-原始数据'!H104,"")</x:f>
        <x:v>0.15322368386776763</x:v>
      </x:c>
      <x:c r="O119" s="36" t="n">
        <x:f>IF(ISNUMBER('sheet4-原始数据'!Q104),'sheet4-原始数据'!Q104,"")</x:f>
        <x:v>0.11969763961265278</x:v>
      </x:c>
      <x:c r="P119" s="37" t="n">
        <x:f>IF($G119&lt;&gt;"入池","",IF($F119&gt;=3,IF(OR(NOT(ISNUMBER($M119)),NOT(ISNUMBER($N119)),1+$M119&lt;=0,1+$N119&lt;0),"",((1+$N119)^3/(1+$M119))^(1/2)-1),IF(OR($F119&lt;=1,NOT(ISNUMBER($M119)),NOT(ISNUMBER($O119)),1+$M119&lt;=0,1+$O119&lt;0),"",((1+$O119)^$F119/(1+$M119))^(1/($F119-1))-1)))</x:f>
        <x:v>0.12822983927188258</x:v>
      </x:c>
      <x:c r="Q119" s="17" t="n">
        <x:f>IF(OR($G119&lt;&gt;"入池",NOT(ISNUMBER(M119))),"",IF(COUNTIFS($G$17:$G$219,"入池",$M$17:$M$219,"&gt;=-1E+307",$M$17:$M$219,"&lt;=1E+307")&lt;=1,100,ROUND(100*(COUNTIFS($G$17:$G$219,"入池",$M$17:$M$219,"&gt;=-1E+307",$M$17:$M$219,"&lt;"&amp;M119)+COUNTIFS($G$17:$G$219,"入池",$M$17:$M$219,M119,$M$17:$M$219,"&gt;=-1E+307",$M$17:$M$219,"&lt;=1E+307")/2-0.5)/(COUNTIFS($G$17:$G$219,"入池",$M$17:$M$219,"&gt;=-1E+307",$M$17:$M$219,"&lt;=1E+307")-1),2)))</x:f>
        <x:v>94.06</x:v>
      </x:c>
      <x:c r="R119" s="17" t="n">
        <x:f>IF(OR($G119&lt;&gt;"入池",NOT(ISNUMBER(P119))),"",IF(COUNTIFS($G$17:$G$219,"入池",$P$17:$P$219,"&gt;=-1E+307",$P$17:$P$219,"&lt;=1E+307")&lt;=1,100,ROUND(100*(COUNTIFS($G$17:$G$219,"入池",$P$17:$P$219,"&gt;=-1E+307",$P$17:$P$219,"&lt;"&amp;P119)+COUNTIFS($G$17:$G$219,"入池",$P$17:$P$219,P119,$P$17:$P$219,"&gt;=-1E+307",$P$17:$P$219,"&lt;=1E+307")/2-0.5)/(COUNTIFS($G$17:$G$219,"入池",$P$17:$P$219,"&gt;=-1E+307",$P$17:$P$219,"&lt;=1E+307")-1),2)))</x:f>
        <x:v>82.67</x:v>
      </x:c>
      <x:c r="S119" s="17" t="n">
        <x:f>IF(NOT(ISNUMBER(Q119)),"",IF(NOT(ISNUMBER(R119)),Q119,ROUND(Q119*'sheet1-指标体系'!$J$8+R119*'sheet1-指标体系'!$J$9,2)))</x:f>
        <x:v>89.5</x:v>
      </x:c>
      <x:c r="T119" s="35" t="n">
        <x:f>IF(ISNUMBER('sheet4-原始数据'!J104),'sheet4-原始数据'!J104,"")</x:f>
        <x:v>0.8461538461538461</x:v>
      </x:c>
      <x:c r="U119" s="35" t="n">
        <x:f>IF(ISNUMBER('sheet4-原始数据'!I104),'sheet4-原始数据'!I104,"")</x:f>
        <x:v>0.7567567567567568</x:v>
      </x:c>
      <x:c r="V119" s="37" t="n">
        <x:f>IF(OR(NOT(ISNUMBER(T119)),NOT(ISNUMBER(U119))),"",(U119*'sheet1-指标体系'!$J$6-T119*'sheet1-指标体系'!$J$5)/'sheet1-指标体系'!$J$7)</x:f>
        <x:v>0.7083333333333334</x:v>
      </x:c>
      <x:c r="W119" s="17" t="n">
        <x:f>IF(NOT(ISNUMBER(T119)),"",T119*100)</x:f>
        <x:v>84.61538461538461</x:v>
      </x:c>
      <x:c r="X119" s="17" t="n">
        <x:f>IF($G119&lt;&gt;"入池","",IF(AND(ISNUMBER(V119),V119&gt;=0,V119&lt;=1),V119*100,IF(MAX(0,($F119-1)*12)&lt;6,100,"")))</x:f>
        <x:v>70.83333333333334</x:v>
      </x:c>
      <x:c r="Y119" s="17" t="n">
        <x:f>IF(NOT(ISNUMBER(W119)),"",IF(NOT(ISNUMBER(X119)),W119,ROUND(W119*'sheet1-指标体系'!$J$8+X119*'sheet1-指标体系'!$J$9,2)))</x:f>
        <x:v>79.1</x:v>
      </x:c>
      <x:c r="Z119" s="37" t="n">
        <x:f>IF(OR(NOT(ISNUMBER(M119)),NOT(ISNUMBER(AD119)),AD119=0),"",ABS(M119/AD119))</x:f>
        <x:v>0.009266355465756382</x:v>
      </x:c>
      <x:c r="AA119" s="35" t="n">
        <x:f>IF(ISNUMBER('sheet4-原始数据'!K104),'sheet4-原始数据'!K104,"")</x:f>
        <x:v>0.010807624287679451</x:v>
      </x:c>
      <x:c r="AB119" s="37" t="n">
        <x:f>IF(COUNT(Z119:AA119)=0,"",MAX(Z119:AA119))</x:f>
        <x:v>0.010807624287679451</x:v>
      </x:c>
      <x:c r="AC119" s="17" t="n">
        <x:f>IF(OR($G119&lt;&gt;"入池",NOT(ISNUMBER(AB119))),"",IF(COUNTIFS($G$17:$G$219,"入池",$AB$17:$AB$219,"&gt;=-1E+307",$AB$17:$AB$219,"&lt;=1E+307")&lt;=1,100,ROUND(100*(COUNTIFS($G$17:$G$219,"入池",$AB$17:$AB$219,"&lt;=1E+307",$AB$17:$AB$219,"&gt;"&amp;AB119)+COUNTIFS($G$17:$G$219,"入池",$AB$17:$AB$219,AB119,$AB$17:$AB$219,"&gt;=-1E+307",$AB$17:$AB$219,"&lt;=1E+307")/2-0.5)/(COUNTIFS($G$17:$G$219,"入池",$AB$17:$AB$219,"&gt;=-1E+307",$AB$17:$AB$219,"&lt;=1E+307")-1),2)))</x:f>
        <x:v>85.64</x:v>
      </x:c>
      <x:c r="AD119" s="38" t="n">
        <x:f>IF(ISNUMBER('sheet4-原始数据'!M104),'sheet4-原始数据'!M104,"")</x:f>
        <x:v>22.110604001149582</x:v>
      </x:c>
      <x:c r="AE119" s="37" t="n">
        <x:f t="shared" si="5">IF(OR(NOT(ISNUMBER(P119)),NOT(ISNUMBER(AA119)),NOT(ISNUMBER(Z119))),"",IF(AA119&gt;Z119+'sheet1-指标体系'!$J$11,AA119,""))</x:f>
        <x:v>0.010807624287679451</x:v>
      </x:c>
      <x:c r="AF119" s="17" t="n">
        <x:f>IF(OR(NOT(ISNUMBER(P119)),NOT(ISNUMBER(AE119)),AE119=0),"",P119/AE119)</x:f>
        <x:v>11.86475731008367</x:v>
      </x:c>
      <x:c r="AG119" s="17" t="n">
        <x:f>IF(OR($G119&lt;&gt;"入池",NOT(ISNUMBER(AD119))),"",IF(COUNTIFS($G$17:$G$219,"入池",$AD$17:$AD$219,"&gt;=-1E+307",$AD$17:$AD$219,"&lt;=1E+307")&lt;=1,100,ROUND(100*(COUNTIFS($G$17:$G$219,"入池",$AD$17:$AD$219,"&gt;=-1E+307",$AD$17:$AD$219,"&lt;"&amp;AD119)+COUNTIFS($G$17:$G$219,"入池",$AD$17:$AD$219,AD119,$AD$17:$AD$219,"&gt;=-1E+307",$AD$17:$AD$219,"&lt;=1E+307")/2-0.5)/(COUNTIFS($G$17:$G$219,"入池",$AD$17:$AD$219,"&gt;=-1E+307",$AD$17:$AD$219,"&lt;=1E+307")-1),2)))</x:f>
        <x:v>89.55</x:v>
      </x:c>
      <x:c r="AH119" s="17" t="n">
        <x:f>IF(OR($G119&lt;&gt;"入池",NOT(ISNUMBER(AF119))),"",IF(COUNTIFS($G$17:$G$219,"入池",$AF$17:$AF$219,"&gt;=-1E+307",$AF$17:$AF$219,"&lt;=1E+307")&lt;=1,100,ROUND(100*(COUNTIFS($G$17:$G$219,"入池",$AF$17:$AF$219,"&gt;=-1E+307",$AF$17:$AF$219,"&lt;"&amp;AF119)+COUNTIFS($G$17:$G$219,"入池",$AF$17:$AF$219,AF119,$AF$17:$AF$219,"&gt;=-1E+307",$AF$17:$AF$219,"&lt;=1E+307")/2-0.5)/(COUNTIFS($G$17:$G$219,"入池",$AF$17:$AF$219,"&gt;=-1E+307",$AF$17:$AF$219,"&lt;=1E+307")-1),2)))</x:f>
        <x:v>91.97</x:v>
      </x:c>
      <x:c r="AI119" s="17" t="n">
        <x:f>IF(NOT(ISNUMBER(AG119)),"",IF(NOT(ISNUMBER(AH119)),AG119,ROUND(AG119*'sheet1-指标体系'!$J$8+AH119*'sheet1-指标体系'!$J$9,2)))</x:f>
        <x:v>90.52</x:v>
      </x:c>
      <x:c r="AJ119" s="37" t="n">
        <x:f>IF(NOT(ISNUMBER(F119)),"",IF(F119&gt;=3,IF(NOT(ISNUMBER(N119)),"",N119),IF(NOT(ISNUMBER(O119)),"",O119)))</x:f>
        <x:v>0.15322368386776763</x:v>
      </x:c>
      <x:c r="AK119" s="17" t="n">
        <x:f>IF(OR(G119&lt;&gt;"入池",NOT(ISNUMBER(M119)),NOT(ISNUMBER(AJ119))),"",IF(M119&gt;=AJ119,100,IF(AJ119-M119&lt;'sheet1-指标体系'!$J$10,80,60)))</x:f>
        <x:v>100</x:v>
      </x:c>
      <x:c r="AL119" s="17" t="n">
        <x:f>IF(COUNT(I119,K119,L119)=0,"",ROUND((IF(ISNUMBER(I119),I119*40%,0)+IF(ISNUMBER(K119),K119*30%,0)+IF(ISNUMBER(L119),L119*30%,0))/(IF(ISNUMBER(I119),40%,0)+IF(ISNUMBER(K119),30%,0)+IF(ISNUMBER(L119),30%,0)),2))</x:f>
        <x:v>84</x:v>
      </x:c>
      <x:c r="AM119" s="17" t="n">
        <x:f>IF(COUNT(Q119,R119,W119,X119)=0,"",ROUND((IF(ISNUMBER(Q119),Q119*42%,0)+IF(ISNUMBER(R119),R119*28%,0)+IF(ISNUMBER(W119),W119*18%,0)+IF(ISNUMBER(X119),X119*12%,0))/(IF(ISNUMBER(Q119),42%,0)+IF(ISNUMBER(R119),28%,0)+IF(ISNUMBER(W119),18%,0)+IF(ISNUMBER(X119),12%,0)),2))</x:f>
        <x:v>86.38</x:v>
      </x:c>
      <x:c r="AN119" s="17" t="n">
        <x:f>IF(ISNUMBER(AC119),AC119,"")</x:f>
        <x:v>85.64</x:v>
      </x:c>
      <x:c r="AO119" s="17" t="n">
        <x:f>IF(COUNT(AG119,AH119)=0,"",ROUND((IF(ISNUMBER(AG119),AG119*60%,0)+IF(ISNUMBER(AH119),AH119*40%,0))/(IF(ISNUMBER(AG119),60%,0)+IF(ISNUMBER(AH119),40%,0)),2))</x:f>
        <x:v>90.52</x:v>
      </x:c>
      <x:c r="AP119" s="17" t="n">
        <x:f>IF(ISNUMBER(AK119),AK119,"")</x:f>
        <x:v>100</x:v>
      </x:c>
      <x:c r="AQ119" s="39" t="n">
        <x:f>IF(G119&lt;&gt;"入池",0,IF(ISNUMBER(I119),6%,0)+IF(ISNUMBER(K119),4.5%,0)+IF(ISNUMBER(L119),4.5%,0)+IF(ISNUMBER(Q119),8.4%,0)+IF(ISNUMBER(R119),5.6%,0)+IF(ISNUMBER(W119),3.6%,0)+IF(ISNUMBER(X119),2.4%,0)+IF(ISNUMBER(AC119),25%,0)+IF(ISNUMBER(AG119),18%,0)+IF(ISNUMBER(AH119),12%,0)+IF(ISNUMBER(AK119),10%,0))</x:f>
        <x:v>1</x:v>
      </x:c>
      <x:c r="AR119" s="17" t="n">
        <x:f>IF(AQ119=0,"",IF(ISNUMBER(I119),I119*6%,0)+IF(ISNUMBER(K119),K119*4.5%,0)+IF(ISNUMBER(L119),L119*4.5%,0)+IF(ISNUMBER(Q119),Q119*8.4%,0)+IF(ISNUMBER(R119),R119*5.6%,0)+IF(ISNUMBER(W119),W119*3.6%,0)+IF(ISNUMBER(X119),X119*2.4%,0)+IF(ISNUMBER(AC119),AC119*25%,0)+IF(ISNUMBER(AG119),AG119*18%,0)+IF(ISNUMBER(AH119),AH119*12%,0)+IF(ISNUMBER(AK119),AK119*10%,0))</x:f>
        <x:v>88.44211384615384</x:v>
      </x:c>
      <x:c r="AS119" s="17" t="n">
        <x:f>IF(AQ119=0,"",ROUND(AR119/AQ119,2))</x:f>
        <x:v>88.44</x:v>
      </x:c>
      <x:c r="AT119" s="40" t="n">
        <x:f>IF(OR(G119&lt;&gt;"入池",NOT(ISNUMBER(AS119))),"",COUNTIFS($G$17:$G$219,"入池",$AS$17:$AS$219,"&gt;"&amp;AS119)+COUNTIFS($G$17:$G$219,"入池",$AS$17:$AS$219,AS119,$AQ$17:$AQ$219,"&gt;"&amp;AQ119)+COUNTIFS($G$17:G119,"入池",$AS$17:AS119,AS119,$AQ$17:AQ119,AQ119))</x:f>
        <x:v>9</x:v>
      </x:c>
      <x:c r="AU119" s="41" t="str">
        <x:f t="shared" si="4">IF(NOT(ISNUMBER(I119)),"管理人规模；","")&amp;IF(J119="","产品规模标识；","")&amp;IF(AND(F119&lt;3,NOT(ISNUMBER(O119))),"R_incep；","")&amp;IF(NOT(ISNUMBER(N119)),"近三年收益；","")&amp;IF(NOT(ISNUMBER(U119)),"近三年胜率；","")&amp;IF(AND(ISNUMBER(V119),OR(V119&lt;0,V119&gt;1)),"胜率窗口口径不一致；","")&amp;IF(NOT(ISNUMBER(AA119)),"近三年回撤；","")&amp;IF(NOT(ISNUMBER(AD119)),"短期卡玛；","")&amp;IF(AND(ISNUMBER(P119),NOT(ISNUMBER(AE119))),"DD_long不可识别；","")</x:f>
      </x:c>
      <x:c r="AV119" s="42" t="n">
        <x:v>0</x:v>
      </x:c>
      <x:c r="AW119" s="19" t="str">
        <x:v>厦门世宽私募基金管理有限公司</x:v>
      </x:c>
      <x:c r="AX119" s="19" t="str">
        <x:v>2026-02-26</x:v>
      </x:c>
      <x:c r="AY119" s="19" t="str">
        <x:v>https://gs.amac.org.cn/amac-infodisc/res/pof/manager/101000026000.html</x:v>
      </x:c>
      <x:c r="AZ119" s="19" t="str">
        <x:v>世宽若水尘心3号私募证券投资基金</x:v>
      </x:c>
      <x:c r="BA119" s="19" t="str">
        <x:v>2025-12-30</x:v>
      </x:c>
      <x:c r="BB119" s="19"/>
      <x:c r="BC119" s="19" t="str">
        <x:v>https://gs.amac.org.cn/amac-infodisc/res/pof/fund/2211252020100971.html</x:v>
      </x:c>
      <x:c r="BD119" s="19" t="str">
        <x:v>已匹配</x:v>
      </x:c>
      <x:c r="BE119"/>
      <x:c r="BF119"/>
    </x:row>
    <x:row r="120" ht="28" customHeight="1">
      <x:c r="A120" s="4" t="n">
        <x:v>104</x:v>
      </x:c>
      <x:c r="B120" s="15" t="str">
        <x:f>'sheet4-原始数据'!A105</x:f>
        <x:v>泓倍商品相对价值1号A类</x:v>
      </x:c>
      <x:c r="C120" s="15" t="str">
        <x:f>'sheet4-原始数据'!B105</x:f>
        <x:v>CU913A</x:v>
      </x:c>
      <x:c r="D120" s="15" t="str">
        <x:f>'sheet4-原始数据'!E105</x:f>
        <x:v>上海泓倍投资</x:v>
      </x:c>
      <x:c r="E120" s="32" t="n">
        <x:f>IF(ISNUMBER('sheet4-原始数据'!F105),'sheet4-原始数据'!F105,"")</x:f>
        <x:v>43413</x:v>
      </x:c>
      <x:c r="F120" s="17" t="n">
        <x:f>IF(NOT(ISNUMBER(E120)),"",ROUND(('sheet1-指标体系'!$J$23-E120)/365.25,4))</x:f>
        <x:v>7.8522</x:v>
      </x:c>
      <x:c r="G120" s="4" t="str">
        <x:f t="shared" si="3">IF(NOT(ISNUMBER(F120)),"",IF(F120&lt;1,"不入池","入池"))</x:f>
        <x:v>入池</x:v>
      </x:c>
      <x:c r="H120" s="33" t="str">
        <x:v>0-5亿元</x:v>
      </x:c>
      <x:c r="I120" s="17" t="n">
        <x:f>IF(H120="","",IF(ISNUMBER(SEARCH("100亿元以上",H120)),100,IF(OR(ISNUMBER(SEARCH("20-50",H120)),ISNUMBER(SEARCH("50-100",H120)),ISNUMBER(SEARCH("20-100",H120))),90,IF(ISNUMBER(SEARCH("10-20",H120)),80,IF(ISNUMBER(SEARCH("5-10",H120)),70,IF(ISNUMBER(SEARCH("0-5",H120)),60,""))))))</x:f>
        <x:v>60</x:v>
      </x:c>
      <x:c r="J120" s="34"/>
      <x:c r="K120" s="17" t="str">
        <x:f>IF(J120="","",IF(J120="低于1000万元",0,100))</x:f>
      </x:c>
      <x:c r="L120" s="17" t="n">
        <x:f>IF(NOT(ISNUMBER(F120)),"",IF(F120&lt;1,"",IF(F120&lt;3,70,100)))</x:f>
        <x:v>100</x:v>
      </x:c>
      <x:c r="M120" s="35" t="n">
        <x:f>IF(ISNUMBER('sheet4-原始数据'!G105),'sheet4-原始数据'!G105,"")</x:f>
        <x:v>0.0603</x:v>
      </x:c>
      <x:c r="N120" s="35" t="n">
        <x:f>IF(ISNUMBER('sheet4-原始数据'!H105),'sheet4-原始数据'!H105,"")</x:f>
        <x:v>0.0395</x:v>
      </x:c>
      <x:c r="O120" s="36" t="str">
        <x:f>IF(ISNUMBER('sheet4-原始数据'!Q105),'sheet4-原始数据'!Q105,"")</x:f>
      </x:c>
      <x:c r="P120" s="37" t="n">
        <x:f>IF($G120&lt;&gt;"入池","",IF($F120&gt;=3,IF(OR(NOT(ISNUMBER($M120)),NOT(ISNUMBER($N120)),1+$M120&lt;=0,1+$N120&lt;0),"",((1+$N120)^3/(1+$M120))^(1/2)-1),IF(OR($F120&lt;=1,NOT(ISNUMBER($M120)),NOT(ISNUMBER($O120)),1+$M120&lt;=0,1+$O120&lt;0),"",((1+$O120)^$F120/(1+$M120))^(1/($F120-1))-1)))</x:f>
        <x:v>0.029253517294159037</x:v>
      </x:c>
      <x:c r="Q120" s="17" t="n">
        <x:f>IF(OR($G120&lt;&gt;"入池",NOT(ISNUMBER(M120))),"",IF(COUNTIFS($G$17:$G$219,"入池",$M$17:$M$219,"&gt;=-1E+307",$M$17:$M$219,"&lt;=1E+307")&lt;=1,100,ROUND(100*(COUNTIFS($G$17:$G$219,"入池",$M$17:$M$219,"&gt;=-1E+307",$M$17:$M$219,"&lt;"&amp;M120)+COUNTIFS($G$17:$G$219,"入池",$M$17:$M$219,M120,$M$17:$M$219,"&gt;=-1E+307",$M$17:$M$219,"&lt;=1E+307")/2-0.5)/(COUNTIFS($G$17:$G$219,"入池",$M$17:$M$219,"&gt;=-1E+307",$M$17:$M$219,"&lt;=1E+307")-1),2)))</x:f>
        <x:v>54.46</x:v>
      </x:c>
      <x:c r="R120" s="17" t="n">
        <x:f>IF(OR($G120&lt;&gt;"入池",NOT(ISNUMBER(P120))),"",IF(COUNTIFS($G$17:$G$219,"入池",$P$17:$P$219,"&gt;=-1E+307",$P$17:$P$219,"&lt;=1E+307")&lt;=1,100,ROUND(100*(COUNTIFS($G$17:$G$219,"入池",$P$17:$P$219,"&gt;=-1E+307",$P$17:$P$219,"&lt;"&amp;P120)+COUNTIFS($G$17:$G$219,"入池",$P$17:$P$219,P120,$P$17:$P$219,"&gt;=-1E+307",$P$17:$P$219,"&lt;=1E+307")/2-0.5)/(COUNTIFS($G$17:$G$219,"入池",$P$17:$P$219,"&gt;=-1E+307",$P$17:$P$219,"&lt;=1E+307")-1),2)))</x:f>
        <x:v>15.35</x:v>
      </x:c>
      <x:c r="S120" s="17" t="n">
        <x:f>IF(NOT(ISNUMBER(Q120)),"",IF(NOT(ISNUMBER(R120)),Q120,ROUND(Q120*'sheet1-指标体系'!$J$8+R120*'sheet1-指标体系'!$J$9,2)))</x:f>
        <x:v>38.82</x:v>
      </x:c>
      <x:c r="T120" s="35" t="n">
        <x:f>IF(ISNUMBER('sheet4-原始数据'!J105),'sheet4-原始数据'!J105,"")</x:f>
        <x:v>0.46149999999999997</x:v>
      </x:c>
      <x:c r="U120" s="35" t="n">
        <x:f>IF(ISNUMBER('sheet4-原始数据'!I105),'sheet4-原始数据'!I105,"")</x:f>
        <x:v>0.6215999999999999</x:v>
      </x:c>
      <x:c r="V120" s="37" t="n">
        <x:f>IF(OR(NOT(ISNUMBER(T120)),NOT(ISNUMBER(U120))),"",(U120*'sheet1-指标体系'!$J$6-T120*'sheet1-指标体系'!$J$5)/'sheet1-指标体系'!$J$7)</x:f>
        <x:v>0.7083208333333332</x:v>
      </x:c>
      <x:c r="W120" s="17" t="n">
        <x:f>IF(NOT(ISNUMBER(T120)),"",T120*100)</x:f>
        <x:v>46.15</x:v>
      </x:c>
      <x:c r="X120" s="17" t="n">
        <x:f>IF($G120&lt;&gt;"入池","",IF(AND(ISNUMBER(V120),V120&gt;=0,V120&lt;=1),V120*100,IF(MAX(0,($F120-1)*12)&lt;6,100,"")))</x:f>
        <x:v>70.83208333333332</x:v>
      </x:c>
      <x:c r="Y120" s="17" t="n">
        <x:f>IF(NOT(ISNUMBER(W120)),"",IF(NOT(ISNUMBER(X120)),W120,ROUND(W120*'sheet1-指标体系'!$J$8+X120*'sheet1-指标体系'!$J$9,2)))</x:f>
        <x:v>56.02</x:v>
      </x:c>
      <x:c r="Z120" s="37" t="n">
        <x:f>IF(OR(NOT(ISNUMBER(M120)),NOT(ISNUMBER(AD120)),AD120=0),"",ABS(M120/AD120))</x:f>
        <x:v>0.06510472900021594</x:v>
      </x:c>
      <x:c r="AA120" s="35" t="n">
        <x:f>IF(ISNUMBER('sheet4-原始数据'!K105),'sheet4-原始数据'!K105,"")</x:f>
        <x:v>0.0883</x:v>
      </x:c>
      <x:c r="AB120" s="37" t="n">
        <x:f>IF(COUNT(Z120:AA120)=0,"",MAX(Z120:AA120))</x:f>
        <x:v>0.0883</x:v>
      </x:c>
      <x:c r="AC120" s="17" t="n">
        <x:f>IF(OR($G120&lt;&gt;"入池",NOT(ISNUMBER(AB120))),"",IF(COUNTIFS($G$17:$G$219,"入池",$AB$17:$AB$219,"&gt;=-1E+307",$AB$17:$AB$219,"&lt;=1E+307")&lt;=1,100,ROUND(100*(COUNTIFS($G$17:$G$219,"入池",$AB$17:$AB$219,"&lt;=1E+307",$AB$17:$AB$219,"&gt;"&amp;AB120)+COUNTIFS($G$17:$G$219,"入池",$AB$17:$AB$219,AB120,$AB$17:$AB$219,"&gt;=-1E+307",$AB$17:$AB$219,"&lt;=1E+307")/2-0.5)/(COUNTIFS($G$17:$G$219,"入池",$AB$17:$AB$219,"&gt;=-1E+307",$AB$17:$AB$219,"&lt;=1E+307")-1),2)))</x:f>
        <x:v>30.2</x:v>
      </x:c>
      <x:c r="AD120" s="38" t="n">
        <x:f>IF(ISNUMBER('sheet4-原始数据'!M105),'sheet4-原始数据'!M105,"")</x:f>
        <x:v>0.9262</x:v>
      </x:c>
      <x:c r="AE120" s="37" t="n">
        <x:f t="shared" si="5">IF(OR(NOT(ISNUMBER(P120)),NOT(ISNUMBER(AA120)),NOT(ISNUMBER(Z120))),"",IF(AA120&gt;Z120+'sheet1-指标体系'!$J$11,AA120,""))</x:f>
        <x:v>0.0883</x:v>
      </x:c>
      <x:c r="AF120" s="17" t="n">
        <x:f>IF(OR(NOT(ISNUMBER(P120)),NOT(ISNUMBER(AE120)),AE120=0),"",P120/AE120)</x:f>
        <x:v>0.33129691159863006</x:v>
      </x:c>
      <x:c r="AG120" s="17" t="n">
        <x:f>IF(OR($G120&lt;&gt;"入池",NOT(ISNUMBER(AD120))),"",IF(COUNTIFS($G$17:$G$219,"入池",$AD$17:$AD$219,"&gt;=-1E+307",$AD$17:$AD$219,"&lt;=1E+307")&lt;=1,100,ROUND(100*(COUNTIFS($G$17:$G$219,"入池",$AD$17:$AD$219,"&gt;=-1E+307",$AD$17:$AD$219,"&lt;"&amp;AD120)+COUNTIFS($G$17:$G$219,"入池",$AD$17:$AD$219,AD120,$AD$17:$AD$219,"&gt;=-1E+307",$AD$17:$AD$219,"&lt;=1E+307")/2-0.5)/(COUNTIFS($G$17:$G$219,"入池",$AD$17:$AD$219,"&gt;=-1E+307",$AD$17:$AD$219,"&lt;=1E+307")-1),2)))</x:f>
        <x:v>32.84</x:v>
      </x:c>
      <x:c r="AH120" s="17" t="n">
        <x:f>IF(OR($G120&lt;&gt;"入池",NOT(ISNUMBER(AF120))),"",IF(COUNTIFS($G$17:$G$219,"入池",$AF$17:$AF$219,"&gt;=-1E+307",$AF$17:$AF$219,"&lt;=1E+307")&lt;=1,100,ROUND(100*(COUNTIFS($G$17:$G$219,"入池",$AF$17:$AF$219,"&gt;=-1E+307",$AF$17:$AF$219,"&lt;"&amp;AF120)+COUNTIFS($G$17:$G$219,"入池",$AF$17:$AF$219,AF120,$AF$17:$AF$219,"&gt;=-1E+307",$AF$17:$AF$219,"&lt;=1E+307")/2-0.5)/(COUNTIFS($G$17:$G$219,"入池",$AF$17:$AF$219,"&gt;=-1E+307",$AF$17:$AF$219,"&lt;=1E+307")-1),2)))</x:f>
        <x:v>13.87</x:v>
      </x:c>
      <x:c r="AI120" s="17" t="n">
        <x:f>IF(NOT(ISNUMBER(AG120)),"",IF(NOT(ISNUMBER(AH120)),AG120,ROUND(AG120*'sheet1-指标体系'!$J$8+AH120*'sheet1-指标体系'!$J$9,2)))</x:f>
        <x:v>25.25</x:v>
      </x:c>
      <x:c r="AJ120" s="37" t="n">
        <x:f>IF(NOT(ISNUMBER(F120)),"",IF(F120&gt;=3,IF(NOT(ISNUMBER(N120)),"",N120),IF(NOT(ISNUMBER(O120)),"",O120)))</x:f>
        <x:v>0.0395</x:v>
      </x:c>
      <x:c r="AK120" s="17" t="n">
        <x:f>IF(OR(G120&lt;&gt;"入池",NOT(ISNUMBER(M120)),NOT(ISNUMBER(AJ120))),"",IF(M120&gt;=AJ120,100,IF(AJ120-M120&lt;'sheet1-指标体系'!$J$10,80,60)))</x:f>
        <x:v>100</x:v>
      </x:c>
      <x:c r="AL120" s="17" t="n">
        <x:f>IF(COUNT(I120,K120,L120)=0,"",ROUND((IF(ISNUMBER(I120),I120*40%,0)+IF(ISNUMBER(K120),K120*30%,0)+IF(ISNUMBER(L120),L120*30%,0))/(IF(ISNUMBER(I120),40%,0)+IF(ISNUMBER(K120),30%,0)+IF(ISNUMBER(L120),30%,0)),2))</x:f>
        <x:v>77.14</x:v>
      </x:c>
      <x:c r="AM120" s="17" t="n">
        <x:f>IF(COUNT(Q120,R120,W120,X120)=0,"",ROUND((IF(ISNUMBER(Q120),Q120*42%,0)+IF(ISNUMBER(R120),R120*28%,0)+IF(ISNUMBER(W120),W120*18%,0)+IF(ISNUMBER(X120),X120*12%,0))/(IF(ISNUMBER(Q120),42%,0)+IF(ISNUMBER(R120),28%,0)+IF(ISNUMBER(W120),18%,0)+IF(ISNUMBER(X120),12%,0)),2))</x:f>
        <x:v>43.98</x:v>
      </x:c>
      <x:c r="AN120" s="17" t="n">
        <x:f>IF(ISNUMBER(AC120),AC120,"")</x:f>
        <x:v>30.2</x:v>
      </x:c>
      <x:c r="AO120" s="17" t="n">
        <x:f>IF(COUNT(AG120,AH120)=0,"",ROUND((IF(ISNUMBER(AG120),AG120*60%,0)+IF(ISNUMBER(AH120),AH120*40%,0))/(IF(ISNUMBER(AG120),60%,0)+IF(ISNUMBER(AH120),40%,0)),2))</x:f>
        <x:v>25.25</x:v>
      </x:c>
      <x:c r="AP120" s="17" t="n">
        <x:f>IF(ISNUMBER(AK120),AK120,"")</x:f>
        <x:v>100</x:v>
      </x:c>
      <x:c r="AQ120" s="39" t="n">
        <x:f>IF(G120&lt;&gt;"入池",0,IF(ISNUMBER(I120),6%,0)+IF(ISNUMBER(K120),4.5%,0)+IF(ISNUMBER(L120),4.5%,0)+IF(ISNUMBER(Q120),8.4%,0)+IF(ISNUMBER(R120),5.6%,0)+IF(ISNUMBER(W120),3.6%,0)+IF(ISNUMBER(X120),2.4%,0)+IF(ISNUMBER(AC120),25%,0)+IF(ISNUMBER(AG120),18%,0)+IF(ISNUMBER(AH120),12%,0)+IF(ISNUMBER(AK120),10%,0))</x:f>
        <x:v>0.9550000000000001</x:v>
      </x:c>
      <x:c r="AR120" s="17" t="n">
        <x:f>IF(AQ120=0,"",IF(ISNUMBER(I120),I120*6%,0)+IF(ISNUMBER(K120),K120*4.5%,0)+IF(ISNUMBER(L120),L120*4.5%,0)+IF(ISNUMBER(Q120),Q120*8.4%,0)+IF(ISNUMBER(R120),R120*5.6%,0)+IF(ISNUMBER(W120),W120*3.6%,0)+IF(ISNUMBER(X120),X120*2.4%,0)+IF(ISNUMBER(AC120),AC120*25%,0)+IF(ISNUMBER(AG120),AG120*18%,0)+IF(ISNUMBER(AH120),AH120*12%,0)+IF(ISNUMBER(AK120),AK120*10%,0))</x:f>
        <x:v>42.02121</x:v>
      </x:c>
      <x:c r="AS120" s="17" t="n">
        <x:f>IF(AQ120=0,"",ROUND(AR120/AQ120,2))</x:f>
        <x:v>44</x:v>
      </x:c>
      <x:c r="AT120" s="40" t="n">
        <x:f>IF(OR(G120&lt;&gt;"入池",NOT(ISNUMBER(AS120))),"",COUNTIFS($G$17:$G$219,"入池",$AS$17:$AS$219,"&gt;"&amp;AS120)+COUNTIFS($G$17:$G$219,"入池",$AS$17:$AS$219,AS120,$AQ$17:$AQ$219,"&gt;"&amp;AQ120)+COUNTIFS($G$17:G120,"入池",$AS$17:AS120,AS120,$AQ$17:AQ120,AQ120))</x:f>
        <x:v>162</x:v>
      </x:c>
      <x:c r="AU120" s="41" t="str">
        <x:f t="shared" si="4">IF(NOT(ISNUMBER(I120)),"管理人规模；","")&amp;IF(J120="","产品规模标识；","")&amp;IF(AND(F120&lt;3,NOT(ISNUMBER(O120))),"R_incep；","")&amp;IF(NOT(ISNUMBER(N120)),"近三年收益；","")&amp;IF(NOT(ISNUMBER(U120)),"近三年胜率；","")&amp;IF(AND(ISNUMBER(V120),OR(V120&lt;0,V120&gt;1)),"胜率窗口口径不一致；","")&amp;IF(NOT(ISNUMBER(AA120)),"近三年回撤；","")&amp;IF(NOT(ISNUMBER(AD120)),"短期卡玛；","")&amp;IF(AND(ISNUMBER(P120),NOT(ISNUMBER(AE120))),"DD_long不可识别；","")</x:f>
        <x:v>产品规模标识；</x:v>
      </x:c>
      <x:c r="AV120" s="42" t="n">
        <x:v>0</x:v>
      </x:c>
      <x:c r="AW120" s="19" t="str">
        <x:v>上海泓倍资产管理中心（有限合伙）</x:v>
      </x:c>
      <x:c r="AX120" s="19" t="str">
        <x:v>2026-04-30</x:v>
      </x:c>
      <x:c r="AY120" s="19" t="str">
        <x:v>https://gs.amac.org.cn/amac-infodisc/res/pof/manager/101000004914.html</x:v>
      </x:c>
      <x:c r="AZ120" s="19"/>
      <x:c r="BA120" s="19"/>
      <x:c r="BB120" s="19"/>
      <x:c r="BC120" s="19"/>
      <x:c r="BD120" s="19" t="str">
        <x:v>基金页未匹配；管理人已核验</x:v>
      </x:c>
      <x:c r="BE120"/>
      <x:c r="BF120"/>
    </x:row>
    <x:row r="121" ht="28" customHeight="1">
      <x:c r="A121" s="4" t="n">
        <x:v>105</x:v>
      </x:c>
      <x:c r="B121" s="15" t="str">
        <x:f>'sheet4-原始数据'!A106</x:f>
        <x:v>博普日添月益A类</x:v>
      </x:c>
      <x:c r="C121" s="15" t="str">
        <x:f>'sheet4-原始数据'!B106</x:f>
        <x:v>JW903A</x:v>
      </x:c>
      <x:c r="D121" s="15" t="str">
        <x:f>'sheet4-原始数据'!E106</x:f>
        <x:v>深圳前海博普资管</x:v>
      </x:c>
      <x:c r="E121" s="32" t="n">
        <x:f>IF(ISNUMBER('sheet4-原始数据'!F106),'sheet4-原始数据'!F106,"")</x:f>
        <x:v>43917</x:v>
      </x:c>
      <x:c r="F121" s="17" t="n">
        <x:f>IF(NOT(ISNUMBER(E121)),"",ROUND(('sheet1-指标体系'!$J$23-E121)/365.25,4))</x:f>
        <x:v>6.4723</x:v>
      </x:c>
      <x:c r="G121" s="4" t="str">
        <x:f t="shared" si="3">IF(NOT(ISNUMBER(F121)),"",IF(F121&lt;1,"不入池","入池"))</x:f>
        <x:v>入池</x:v>
      </x:c>
      <x:c r="H121" s="33" t="str">
        <x:v>50-100亿元</x:v>
      </x:c>
      <x:c r="I121" s="17" t="n">
        <x:f>IF(H121="","",IF(ISNUMBER(SEARCH("100亿元以上",H121)),100,IF(OR(ISNUMBER(SEARCH("20-50",H121)),ISNUMBER(SEARCH("50-100",H121)),ISNUMBER(SEARCH("20-100",H121))),90,IF(ISNUMBER(SEARCH("10-20",H121)),80,IF(ISNUMBER(SEARCH("5-10",H121)),70,IF(ISNUMBER(SEARCH("0-5",H121)),60,""))))))</x:f>
        <x:v>90</x:v>
      </x:c>
      <x:c r="J121" s="34"/>
      <x:c r="K121" s="17" t="str">
        <x:f>IF(J121="","",IF(J121="低于1000万元",0,100))</x:f>
      </x:c>
      <x:c r="L121" s="17" t="n">
        <x:f>IF(NOT(ISNUMBER(F121)),"",IF(F121&lt;1,"",IF(F121&lt;3,70,100)))</x:f>
        <x:v>100</x:v>
      </x:c>
      <x:c r="M121" s="35" t="n">
        <x:f>IF(ISNUMBER('sheet4-原始数据'!G106),'sheet4-原始数据'!G106,"")</x:f>
        <x:v>0.0711</x:v>
      </x:c>
      <x:c r="N121" s="35" t="n">
        <x:f>IF(ISNUMBER('sheet4-原始数据'!H106),'sheet4-原始数据'!H106,"")</x:f>
        <x:v>0.0603</x:v>
      </x:c>
      <x:c r="O121" s="36" t="str">
        <x:f>IF(ISNUMBER('sheet4-原始数据'!Q106),'sheet4-原始数据'!Q106,"")</x:f>
      </x:c>
      <x:c r="P121" s="37" t="n">
        <x:f>IF($G121&lt;&gt;"入池","",IF($F121&gt;=3,IF(OR(NOT(ISNUMBER($M121)),NOT(ISNUMBER($N121)),1+$M121&lt;=0,1+$N121&lt;0),"",((1+$N121)^3/(1+$M121))^(1/2)-1),IF(OR($F121&lt;=1,NOT(ISNUMBER($M121)),NOT(ISNUMBER($O121)),1+$M121&lt;=0,1+$O121&lt;0),"",((1+$O121)^$F121/(1+$M121))^(1/($F121-1))-1)))</x:f>
        <x:v>0.05494090541040819</x:v>
      </x:c>
      <x:c r="Q121" s="17" t="n">
        <x:f>IF(OR($G121&lt;&gt;"入池",NOT(ISNUMBER(M121))),"",IF(COUNTIFS($G$17:$G$219,"入池",$M$17:$M$219,"&gt;=-1E+307",$M$17:$M$219,"&lt;=1E+307")&lt;=1,100,ROUND(100*(COUNTIFS($G$17:$G$219,"入池",$M$17:$M$219,"&gt;=-1E+307",$M$17:$M$219,"&lt;"&amp;M121)+COUNTIFS($G$17:$G$219,"入池",$M$17:$M$219,M121,$M$17:$M$219,"&gt;=-1E+307",$M$17:$M$219,"&lt;=1E+307")/2-0.5)/(COUNTIFS($G$17:$G$219,"入池",$M$17:$M$219,"&gt;=-1E+307",$M$17:$M$219,"&lt;=1E+307")-1),2)))</x:f>
        <x:v>63.86</x:v>
      </x:c>
      <x:c r="R121" s="17" t="n">
        <x:f>IF(OR($G121&lt;&gt;"入池",NOT(ISNUMBER(P121))),"",IF(COUNTIFS($G$17:$G$219,"入池",$P$17:$P$219,"&gt;=-1E+307",$P$17:$P$219,"&lt;=1E+307")&lt;=1,100,ROUND(100*(COUNTIFS($G$17:$G$219,"入池",$P$17:$P$219,"&gt;=-1E+307",$P$17:$P$219,"&lt;"&amp;P121)+COUNTIFS($G$17:$G$219,"入池",$P$17:$P$219,P121,$P$17:$P$219,"&gt;=-1E+307",$P$17:$P$219,"&lt;=1E+307")/2-0.5)/(COUNTIFS($G$17:$G$219,"入池",$P$17:$P$219,"&gt;=-1E+307",$P$17:$P$219,"&lt;=1E+307")-1),2)))</x:f>
        <x:v>42.08</x:v>
      </x:c>
      <x:c r="S121" s="17" t="n">
        <x:f>IF(NOT(ISNUMBER(Q121)),"",IF(NOT(ISNUMBER(R121)),Q121,ROUND(Q121*'sheet1-指标体系'!$J$8+R121*'sheet1-指标体系'!$J$9,2)))</x:f>
        <x:v>55.15</x:v>
      </x:c>
      <x:c r="T121" s="35" t="n">
        <x:f>IF(ISNUMBER('sheet4-原始数据'!J106),'sheet4-原始数据'!J106,"")</x:f>
        <x:v>0.9231</x:v>
      </x:c>
      <x:c r="U121" s="35" t="n">
        <x:f>IF(ISNUMBER('sheet4-原始数据'!I106),'sheet4-原始数据'!I106,"")</x:f>
        <x:v>0.8649</x:v>
      </x:c>
      <x:c r="V121" s="37" t="n">
        <x:f>IF(OR(NOT(ISNUMBER(T121)),NOT(ISNUMBER(U121))),"",(U121*'sheet1-指标体系'!$J$6-T121*'sheet1-指标体系'!$J$5)/'sheet1-指标体系'!$J$7)</x:f>
        <x:v>0.8333749999999999</x:v>
      </x:c>
      <x:c r="W121" s="17" t="n">
        <x:f>IF(NOT(ISNUMBER(T121)),"",T121*100)</x:f>
        <x:v>92.31</x:v>
      </x:c>
      <x:c r="X121" s="17" t="n">
        <x:f>IF($G121&lt;&gt;"入池","",IF(AND(ISNUMBER(V121),V121&gt;=0,V121&lt;=1),V121*100,IF(MAX(0,($F121-1)*12)&lt;6,100,"")))</x:f>
        <x:v>83.33749999999999</x:v>
      </x:c>
      <x:c r="Y121" s="17" t="n">
        <x:f>IF(NOT(ISNUMBER(W121)),"",IF(NOT(ISNUMBER(X121)),W121,ROUND(W121*'sheet1-指标体系'!$J$8+X121*'sheet1-指标体系'!$J$9,2)))</x:f>
        <x:v>88.72</x:v>
      </x:c>
      <x:c r="Z121" s="37" t="n">
        <x:f>IF(OR(NOT(ISNUMBER(M121)),NOT(ISNUMBER(AD121)),AD121=0),"",ABS(M121/AD121))</x:f>
        <x:v>0.0075761611985465695</x:v>
      </x:c>
      <x:c r="AA121" s="35" t="n">
        <x:f>IF(ISNUMBER('sheet4-原始数据'!K106),'sheet4-原始数据'!K106,"")</x:f>
        <x:v>0.0282</x:v>
      </x:c>
      <x:c r="AB121" s="37" t="n">
        <x:f>IF(COUNT(Z121:AA121)=0,"",MAX(Z121:AA121))</x:f>
        <x:v>0.0282</x:v>
      </x:c>
      <x:c r="AC121" s="17" t="n">
        <x:f>IF(OR($G121&lt;&gt;"入池",NOT(ISNUMBER(AB121))),"",IF(COUNTIFS($G$17:$G$219,"入池",$AB$17:$AB$219,"&gt;=-1E+307",$AB$17:$AB$219,"&lt;=1E+307")&lt;=1,100,ROUND(100*(COUNTIFS($G$17:$G$219,"入池",$AB$17:$AB$219,"&lt;=1E+307",$AB$17:$AB$219,"&gt;"&amp;AB121)+COUNTIFS($G$17:$G$219,"入池",$AB$17:$AB$219,AB121,$AB$17:$AB$219,"&gt;=-1E+307",$AB$17:$AB$219,"&lt;=1E+307")/2-0.5)/(COUNTIFS($G$17:$G$219,"入池",$AB$17:$AB$219,"&gt;=-1E+307",$AB$17:$AB$219,"&lt;=1E+307")-1),2)))</x:f>
        <x:v>62.62</x:v>
      </x:c>
      <x:c r="AD121" s="38" t="n">
        <x:f>IF(ISNUMBER('sheet4-原始数据'!M106),'sheet4-原始数据'!M106,"")</x:f>
        <x:v>9.3847</x:v>
      </x:c>
      <x:c r="AE121" s="37" t="n">
        <x:f t="shared" si="5">IF(OR(NOT(ISNUMBER(P121)),NOT(ISNUMBER(AA121)),NOT(ISNUMBER(Z121))),"",IF(AA121&gt;Z121+'sheet1-指标体系'!$J$11,AA121,""))</x:f>
        <x:v>0.0282</x:v>
      </x:c>
      <x:c r="AF121" s="17" t="n">
        <x:f>IF(OR(NOT(ISNUMBER(P121)),NOT(ISNUMBER(AE121)),AE121=0),"",P121/AE121)</x:f>
        <x:v>1.9482590571066736</x:v>
      </x:c>
      <x:c r="AG121" s="17" t="n">
        <x:f>IF(OR($G121&lt;&gt;"入池",NOT(ISNUMBER(AD121))),"",IF(COUNTIFS($G$17:$G$219,"入池",$AD$17:$AD$219,"&gt;=-1E+307",$AD$17:$AD$219,"&lt;=1E+307")&lt;=1,100,ROUND(100*(COUNTIFS($G$17:$G$219,"入池",$AD$17:$AD$219,"&gt;=-1E+307",$AD$17:$AD$219,"&lt;"&amp;AD121)+COUNTIFS($G$17:$G$219,"入池",$AD$17:$AD$219,AD121,$AD$17:$AD$219,"&gt;=-1E+307",$AD$17:$AD$219,"&lt;=1E+307")/2-0.5)/(COUNTIFS($G$17:$G$219,"入池",$AD$17:$AD$219,"&gt;=-1E+307",$AD$17:$AD$219,"&lt;=1E+307")-1),2)))</x:f>
        <x:v>75.12</x:v>
      </x:c>
      <x:c r="AH121" s="17" t="n">
        <x:f>IF(OR($G121&lt;&gt;"入池",NOT(ISNUMBER(AF121))),"",IF(COUNTIFS($G$17:$G$219,"入池",$AF$17:$AF$219,"&gt;=-1E+307",$AF$17:$AF$219,"&lt;=1E+307")&lt;=1,100,ROUND(100*(COUNTIFS($G$17:$G$219,"入池",$AF$17:$AF$219,"&gt;=-1E+307",$AF$17:$AF$219,"&lt;"&amp;AF121)+COUNTIFS($G$17:$G$219,"入池",$AF$17:$AF$219,AF121,$AF$17:$AF$219,"&gt;=-1E+307",$AF$17:$AF$219,"&lt;=1E+307")/2-0.5)/(COUNTIFS($G$17:$G$219,"入池",$AF$17:$AF$219,"&gt;=-1E+307",$AF$17:$AF$219,"&lt;=1E+307")-1),2)))</x:f>
        <x:v>64.96</x:v>
      </x:c>
      <x:c r="AI121" s="17" t="n">
        <x:f>IF(NOT(ISNUMBER(AG121)),"",IF(NOT(ISNUMBER(AH121)),AG121,ROUND(AG121*'sheet1-指标体系'!$J$8+AH121*'sheet1-指标体系'!$J$9,2)))</x:f>
        <x:v>71.06</x:v>
      </x:c>
      <x:c r="AJ121" s="37" t="n">
        <x:f>IF(NOT(ISNUMBER(F121)),"",IF(F121&gt;=3,IF(NOT(ISNUMBER(N121)),"",N121),IF(NOT(ISNUMBER(O121)),"",O121)))</x:f>
        <x:v>0.0603</x:v>
      </x:c>
      <x:c r="AK121" s="17" t="n">
        <x:f>IF(OR(G121&lt;&gt;"入池",NOT(ISNUMBER(M121)),NOT(ISNUMBER(AJ121))),"",IF(M121&gt;=AJ121,100,IF(AJ121-M121&lt;'sheet1-指标体系'!$J$10,80,60)))</x:f>
        <x:v>100</x:v>
      </x:c>
      <x:c r="AL121" s="17" t="n">
        <x:f>IF(COUNT(I121,K121,L121)=0,"",ROUND((IF(ISNUMBER(I121),I121*40%,0)+IF(ISNUMBER(K121),K121*30%,0)+IF(ISNUMBER(L121),L121*30%,0))/(IF(ISNUMBER(I121),40%,0)+IF(ISNUMBER(K121),30%,0)+IF(ISNUMBER(L121),30%,0)),2))</x:f>
        <x:v>94.29</x:v>
      </x:c>
      <x:c r="AM121" s="17" t="n">
        <x:f>IF(COUNT(Q121,R121,W121,X121)=0,"",ROUND((IF(ISNUMBER(Q121),Q121*42%,0)+IF(ISNUMBER(R121),R121*28%,0)+IF(ISNUMBER(W121),W121*18%,0)+IF(ISNUMBER(X121),X121*12%,0))/(IF(ISNUMBER(Q121),42%,0)+IF(ISNUMBER(R121),28%,0)+IF(ISNUMBER(W121),18%,0)+IF(ISNUMBER(X121),12%,0)),2))</x:f>
        <x:v>65.22</x:v>
      </x:c>
      <x:c r="AN121" s="17" t="n">
        <x:f>IF(ISNUMBER(AC121),AC121,"")</x:f>
        <x:v>62.62</x:v>
      </x:c>
      <x:c r="AO121" s="17" t="n">
        <x:f>IF(COUNT(AG121,AH121)=0,"",ROUND((IF(ISNUMBER(AG121),AG121*60%,0)+IF(ISNUMBER(AH121),AH121*40%,0))/(IF(ISNUMBER(AG121),60%,0)+IF(ISNUMBER(AH121),40%,0)),2))</x:f>
        <x:v>71.06</x:v>
      </x:c>
      <x:c r="AP121" s="17" t="n">
        <x:f>IF(ISNUMBER(AK121),AK121,"")</x:f>
        <x:v>100</x:v>
      </x:c>
      <x:c r="AQ121" s="39" t="n">
        <x:f>IF(G121&lt;&gt;"入池",0,IF(ISNUMBER(I121),6%,0)+IF(ISNUMBER(K121),4.5%,0)+IF(ISNUMBER(L121),4.5%,0)+IF(ISNUMBER(Q121),8.4%,0)+IF(ISNUMBER(R121),5.6%,0)+IF(ISNUMBER(W121),3.6%,0)+IF(ISNUMBER(X121),2.4%,0)+IF(ISNUMBER(AC121),25%,0)+IF(ISNUMBER(AG121),18%,0)+IF(ISNUMBER(AH121),12%,0)+IF(ISNUMBER(AK121),10%,0))</x:f>
        <x:v>0.9550000000000001</x:v>
      </x:c>
      <x:c r="AR121" s="17" t="n">
        <x:f>IF(AQ121=0,"",IF(ISNUMBER(I121),I121*6%,0)+IF(ISNUMBER(K121),K121*4.5%,0)+IF(ISNUMBER(L121),L121*4.5%,0)+IF(ISNUMBER(Q121),Q121*8.4%,0)+IF(ISNUMBER(R121),R121*5.6%,0)+IF(ISNUMBER(W121),W121*3.6%,0)+IF(ISNUMBER(X121),X121*2.4%,0)+IF(ISNUMBER(AC121),AC121*25%,0)+IF(ISNUMBER(AG121),AG121*18%,0)+IF(ISNUMBER(AH121),AH121*12%,0)+IF(ISNUMBER(AK121),AK121*10%,0))</x:f>
        <x:v>69.91578</x:v>
      </x:c>
      <x:c r="AS121" s="17" t="n">
        <x:f>IF(AQ121=0,"",ROUND(AR121/AQ121,2))</x:f>
        <x:v>73.21</x:v>
      </x:c>
      <x:c r="AT121" s="40" t="n">
        <x:f>IF(OR(G121&lt;&gt;"入池",NOT(ISNUMBER(AS121))),"",COUNTIFS($G$17:$G$219,"入池",$AS$17:$AS$219,"&gt;"&amp;AS121)+COUNTIFS($G$17:$G$219,"入池",$AS$17:$AS$219,AS121,$AQ$17:$AQ$219,"&gt;"&amp;AQ121)+COUNTIFS($G$17:G121,"入池",$AS$17:AS121,AS121,$AQ$17:AQ121,AQ121))</x:f>
        <x:v>56</x:v>
      </x:c>
      <x:c r="AU121" s="41" t="str">
        <x:f t="shared" si="4">IF(NOT(ISNUMBER(I121)),"管理人规模；","")&amp;IF(J121="","产品规模标识；","")&amp;IF(AND(F121&lt;3,NOT(ISNUMBER(O121))),"R_incep；","")&amp;IF(NOT(ISNUMBER(N121)),"近三年收益；","")&amp;IF(NOT(ISNUMBER(U121)),"近三年胜率；","")&amp;IF(AND(ISNUMBER(V121),OR(V121&lt;0,V121&gt;1)),"胜率窗口口径不一致；","")&amp;IF(NOT(ISNUMBER(AA121)),"近三年回撤；","")&amp;IF(NOT(ISNUMBER(AD121)),"短期卡玛；","")&amp;IF(AND(ISNUMBER(P121),NOT(ISNUMBER(AE121))),"DD_long不可识别；","")</x:f>
        <x:v>产品规模标识；</x:v>
      </x:c>
      <x:c r="AV121" s="42" t="n">
        <x:v>50</x:v>
      </x:c>
      <x:c r="AW121" s="19" t="str">
        <x:v>深圳前海博普资产管理有限公司</x:v>
      </x:c>
      <x:c r="AX121" s="19" t="str">
        <x:v>2023-10-20</x:v>
      </x:c>
      <x:c r="AY121" s="19" t="str">
        <x:v>https://gs.amac.org.cn/amac-infodisc/res/pof/manager/1709041706102598.html</x:v>
      </x:c>
      <x:c r="AZ121" s="19"/>
      <x:c r="BA121" s="19"/>
      <x:c r="BB121" s="19"/>
      <x:c r="BC121" s="19"/>
      <x:c r="BD121" s="19" t="str">
        <x:v>基金页未匹配；管理人已核验</x:v>
      </x:c>
      <x:c r="BE121"/>
      <x:c r="BF121"/>
    </x:row>
    <x:row r="122" ht="28" customHeight="1">
      <x:c r="A122" s="4" t="n">
        <x:v>106</x:v>
      </x:c>
      <x:c r="B122" s="15" t="str">
        <x:f>'sheet4-原始数据'!A107</x:f>
        <x:v>博普跨市场1号</x:v>
      </x:c>
      <x:c r="C122" s="15" t="str">
        <x:f>'sheet4-原始数据'!B107</x:f>
        <x:v>SN5169</x:v>
      </x:c>
      <x:c r="D122" s="15" t="str">
        <x:f>'sheet4-原始数据'!E107</x:f>
        <x:v>深圳博普科技</x:v>
      </x:c>
      <x:c r="E122" s="32" t="n">
        <x:f>IF(ISNUMBER('sheet4-原始数据'!F107),'sheet4-原始数据'!F107,"")</x:f>
        <x:v>42695</x:v>
      </x:c>
      <x:c r="F122" s="17" t="n">
        <x:f>IF(NOT(ISNUMBER(E122)),"",ROUND(('sheet1-指标体系'!$J$23-E122)/365.25,4))</x:f>
        <x:v>9.8179</x:v>
      </x:c>
      <x:c r="G122" s="4" t="str">
        <x:f t="shared" si="3">IF(NOT(ISNUMBER(F122)),"",IF(F122&lt;1,"不入池","入池"))</x:f>
        <x:v>入池</x:v>
      </x:c>
      <x:c r="H122" s="33" t="str">
        <x:v>100亿元以上</x:v>
      </x:c>
      <x:c r="I122" s="17" t="n">
        <x:f>IF(H122="","",IF(ISNUMBER(SEARCH("100亿元以上",H122)),100,IF(OR(ISNUMBER(SEARCH("20-50",H122)),ISNUMBER(SEARCH("50-100",H122)),ISNUMBER(SEARCH("20-100",H122))),90,IF(ISNUMBER(SEARCH("10-20",H122)),80,IF(ISNUMBER(SEARCH("5-10",H122)),70,IF(ISNUMBER(SEARCH("0-5",H122)),60,""))))))</x:f>
        <x:v>100</x:v>
      </x:c>
      <x:c r="J122" s="34" t="str">
        <x:v>无低于1000万元标识</x:v>
      </x:c>
      <x:c r="K122" s="17" t="n">
        <x:f>IF(J122="","",IF(J122="低于1000万元",0,100))</x:f>
        <x:v>100</x:v>
      </x:c>
      <x:c r="L122" s="17" t="n">
        <x:f>IF(NOT(ISNUMBER(F122)),"",IF(F122&lt;1,"",IF(F122&lt;3,70,100)))</x:f>
        <x:v>100</x:v>
      </x:c>
      <x:c r="M122" s="35" t="n">
        <x:f>IF(ISNUMBER('sheet4-原始数据'!G107),'sheet4-原始数据'!G107,"")</x:f>
        <x:v>0.049400000000000006</x:v>
      </x:c>
      <x:c r="N122" s="35" t="n">
        <x:f>IF(ISNUMBER('sheet4-原始数据'!H107),'sheet4-原始数据'!H107,"")</x:f>
        <x:v>0.046900000000000004</x:v>
      </x:c>
      <x:c r="O122" s="36" t="str">
        <x:f>IF(ISNUMBER('sheet4-原始数据'!Q107),'sheet4-原始数据'!Q107,"")</x:f>
      </x:c>
      <x:c r="P122" s="37" t="n">
        <x:f>IF($G122&lt;&gt;"入池","",IF($F122&gt;=3,IF(OR(NOT(ISNUMBER($M122)),NOT(ISNUMBER($N122)),1+$M122&lt;=0,1+$N122&lt;0),"",((1+$N122)^3/(1+$M122))^(1/2)-1),IF(OR($F122&lt;=1,NOT(ISNUMBER($M122)),NOT(ISNUMBER($O122)),1+$M122&lt;=0,1+$O122&lt;0),"",((1+$O122)^$F122/(1+$M122))^(1/($F122-1))-1)))</x:f>
        <x:v>0.045652234306673645</x:v>
      </x:c>
      <x:c r="Q122" s="17" t="n">
        <x:f>IF(OR($G122&lt;&gt;"入池",NOT(ISNUMBER(M122))),"",IF(COUNTIFS($G$17:$G$219,"入池",$M$17:$M$219,"&gt;=-1E+307",$M$17:$M$219,"&lt;=1E+307")&lt;=1,100,ROUND(100*(COUNTIFS($G$17:$G$219,"入池",$M$17:$M$219,"&gt;=-1E+307",$M$17:$M$219,"&lt;"&amp;M122)+COUNTIFS($G$17:$G$219,"入池",$M$17:$M$219,M122,$M$17:$M$219,"&gt;=-1E+307",$M$17:$M$219,"&lt;=1E+307")/2-0.5)/(COUNTIFS($G$17:$G$219,"入池",$M$17:$M$219,"&gt;=-1E+307",$M$17:$M$219,"&lt;=1E+307")-1),2)))</x:f>
        <x:v>49.5</x:v>
      </x:c>
      <x:c r="R122" s="17" t="n">
        <x:f>IF(OR($G122&lt;&gt;"入池",NOT(ISNUMBER(P122))),"",IF(COUNTIFS($G$17:$G$219,"入池",$P$17:$P$219,"&gt;=-1E+307",$P$17:$P$219,"&lt;=1E+307")&lt;=1,100,ROUND(100*(COUNTIFS($G$17:$G$219,"入池",$P$17:$P$219,"&gt;=-1E+307",$P$17:$P$219,"&lt;"&amp;P122)+COUNTIFS($G$17:$G$219,"入池",$P$17:$P$219,P122,$P$17:$P$219,"&gt;=-1E+307",$P$17:$P$219,"&lt;=1E+307")/2-0.5)/(COUNTIFS($G$17:$G$219,"入池",$P$17:$P$219,"&gt;=-1E+307",$P$17:$P$219,"&lt;=1E+307")-1),2)))</x:f>
        <x:v>32.18</x:v>
      </x:c>
      <x:c r="S122" s="17" t="n">
        <x:f>IF(NOT(ISNUMBER(Q122)),"",IF(NOT(ISNUMBER(R122)),Q122,ROUND(Q122*'sheet1-指标体系'!$J$8+R122*'sheet1-指标体系'!$J$9,2)))</x:f>
        <x:v>42.57</x:v>
      </x:c>
      <x:c r="T122" s="35" t="n">
        <x:f>IF(ISNUMBER('sheet4-原始数据'!J107),'sheet4-原始数据'!J107,"")</x:f>
        <x:v>0.9231</x:v>
      </x:c>
      <x:c r="U122" s="35" t="n">
        <x:f>IF(ISNUMBER('sheet4-原始数据'!I107),'sheet4-原始数据'!I107,"")</x:f>
        <x:v>0.8378</x:v>
      </x:c>
      <x:c r="V122" s="37" t="n">
        <x:f>IF(OR(NOT(ISNUMBER(T122)),NOT(ISNUMBER(U122))),"",(U122*'sheet1-指标体系'!$J$6-T122*'sheet1-指标体系'!$J$5)/'sheet1-指标体系'!$J$7)</x:f>
        <x:v>0.7915958333333334</x:v>
      </x:c>
      <x:c r="W122" s="17" t="n">
        <x:f>IF(NOT(ISNUMBER(T122)),"",T122*100)</x:f>
        <x:v>92.31</x:v>
      </x:c>
      <x:c r="X122" s="17" t="n">
        <x:f>IF($G122&lt;&gt;"入池","",IF(AND(ISNUMBER(V122),V122&gt;=0,V122&lt;=1),V122*100,IF(MAX(0,($F122-1)*12)&lt;6,100,"")))</x:f>
        <x:v>79.15958333333334</x:v>
      </x:c>
      <x:c r="Y122" s="17" t="n">
        <x:f>IF(NOT(ISNUMBER(W122)),"",IF(NOT(ISNUMBER(X122)),W122,ROUND(W122*'sheet1-指标体系'!$J$8+X122*'sheet1-指标体系'!$J$9,2)))</x:f>
        <x:v>87.05</x:v>
      </x:c>
      <x:c r="Z122" s="37" t="n">
        <x:f>IF(OR(NOT(ISNUMBER(M122)),NOT(ISNUMBER(AD122)),AD122=0),"",ABS(M122/AD122))</x:f>
        <x:v>0.006385398893542217</x:v>
      </x:c>
      <x:c r="AA122" s="35" t="n">
        <x:f>IF(ISNUMBER('sheet4-原始数据'!K107),'sheet4-原始数据'!K107,"")</x:f>
        <x:v>0.035699999999999996</x:v>
      </x:c>
      <x:c r="AB122" s="37" t="n">
        <x:f>IF(COUNT(Z122:AA122)=0,"",MAX(Z122:AA122))</x:f>
        <x:v>0.035699999999999996</x:v>
      </x:c>
      <x:c r="AC122" s="17" t="n">
        <x:f>IF(OR($G122&lt;&gt;"入池",NOT(ISNUMBER(AB122))),"",IF(COUNTIFS($G$17:$G$219,"入池",$AB$17:$AB$219,"&gt;=-1E+307",$AB$17:$AB$219,"&lt;=1E+307")&lt;=1,100,ROUND(100*(COUNTIFS($G$17:$G$219,"入池",$AB$17:$AB$219,"&lt;=1E+307",$AB$17:$AB$219,"&gt;"&amp;AB122)+COUNTIFS($G$17:$G$219,"入池",$AB$17:$AB$219,AB122,$AB$17:$AB$219,"&gt;=-1E+307",$AB$17:$AB$219,"&lt;=1E+307")/2-0.5)/(COUNTIFS($G$17:$G$219,"入池",$AB$17:$AB$219,"&gt;=-1E+307",$AB$17:$AB$219,"&lt;=1E+307")-1),2)))</x:f>
        <x:v>55.45</x:v>
      </x:c>
      <x:c r="AD122" s="38" t="n">
        <x:f>IF(ISNUMBER('sheet4-原始数据'!M107),'sheet4-原始数据'!M107,"")</x:f>
        <x:v>7.7364</x:v>
      </x:c>
      <x:c r="AE122" s="37" t="n">
        <x:f t="shared" si="5">IF(OR(NOT(ISNUMBER(P122)),NOT(ISNUMBER(AA122)),NOT(ISNUMBER(Z122))),"",IF(AA122&gt;Z122+'sheet1-指标体系'!$J$11,AA122,""))</x:f>
        <x:v>0.035699999999999996</x:v>
      </x:c>
      <x:c r="AF122" s="17" t="n">
        <x:f>IF(OR(NOT(ISNUMBER(P122)),NOT(ISNUMBER(AE122)),AE122=0),"",P122/AE122)</x:f>
        <x:v>1.2787740702149482</x:v>
      </x:c>
      <x:c r="AG122" s="17" t="n">
        <x:f>IF(OR($G122&lt;&gt;"入池",NOT(ISNUMBER(AD122))),"",IF(COUNTIFS($G$17:$G$219,"入池",$AD$17:$AD$219,"&gt;=-1E+307",$AD$17:$AD$219,"&lt;=1E+307")&lt;=1,100,ROUND(100*(COUNTIFS($G$17:$G$219,"入池",$AD$17:$AD$219,"&gt;=-1E+307",$AD$17:$AD$219,"&lt;"&amp;AD122)+COUNTIFS($G$17:$G$219,"入池",$AD$17:$AD$219,AD122,$AD$17:$AD$219,"&gt;=-1E+307",$AD$17:$AD$219,"&lt;=1E+307")/2-0.5)/(COUNTIFS($G$17:$G$219,"入池",$AD$17:$AD$219,"&gt;=-1E+307",$AD$17:$AD$219,"&lt;=1E+307")-1),2)))</x:f>
        <x:v>72.14</x:v>
      </x:c>
      <x:c r="AH122" s="17" t="n">
        <x:f>IF(OR($G122&lt;&gt;"入池",NOT(ISNUMBER(AF122))),"",IF(COUNTIFS($G$17:$G$219,"入池",$AF$17:$AF$219,"&gt;=-1E+307",$AF$17:$AF$219,"&lt;=1E+307")&lt;=1,100,ROUND(100*(COUNTIFS($G$17:$G$219,"入池",$AF$17:$AF$219,"&gt;=-1E+307",$AF$17:$AF$219,"&lt;"&amp;AF122)+COUNTIFS($G$17:$G$219,"入池",$AF$17:$AF$219,AF122,$AF$17:$AF$219,"&gt;=-1E+307",$AF$17:$AF$219,"&lt;=1E+307")/2-0.5)/(COUNTIFS($G$17:$G$219,"入池",$AF$17:$AF$219,"&gt;=-1E+307",$AF$17:$AF$219,"&lt;=1E+307")-1),2)))</x:f>
        <x:v>49.64</x:v>
      </x:c>
      <x:c r="AI122" s="17" t="n">
        <x:f>IF(NOT(ISNUMBER(AG122)),"",IF(NOT(ISNUMBER(AH122)),AG122,ROUND(AG122*'sheet1-指标体系'!$J$8+AH122*'sheet1-指标体系'!$J$9,2)))</x:f>
        <x:v>63.14</x:v>
      </x:c>
      <x:c r="AJ122" s="37" t="n">
        <x:f>IF(NOT(ISNUMBER(F122)),"",IF(F122&gt;=3,IF(NOT(ISNUMBER(N122)),"",N122),IF(NOT(ISNUMBER(O122)),"",O122)))</x:f>
        <x:v>0.046900000000000004</x:v>
      </x:c>
      <x:c r="AK122" s="17" t="n">
        <x:f>IF(OR(G122&lt;&gt;"入池",NOT(ISNUMBER(M122)),NOT(ISNUMBER(AJ122))),"",IF(M122&gt;=AJ122,100,IF(AJ122-M122&lt;'sheet1-指标体系'!$J$10,80,60)))</x:f>
        <x:v>100</x:v>
      </x:c>
      <x:c r="AL122" s="17" t="n">
        <x:f>IF(COUNT(I122,K122,L122)=0,"",ROUND((IF(ISNUMBER(I122),I122*40%,0)+IF(ISNUMBER(K122),K122*30%,0)+IF(ISNUMBER(L122),L122*30%,0))/(IF(ISNUMBER(I122),40%,0)+IF(ISNUMBER(K122),30%,0)+IF(ISNUMBER(L122),30%,0)),2))</x:f>
        <x:v>100</x:v>
      </x:c>
      <x:c r="AM122" s="17" t="n">
        <x:f>IF(COUNT(Q122,R122,W122,X122)=0,"",ROUND((IF(ISNUMBER(Q122),Q122*42%,0)+IF(ISNUMBER(R122),R122*28%,0)+IF(ISNUMBER(W122),W122*18%,0)+IF(ISNUMBER(X122),X122*12%,0))/(IF(ISNUMBER(Q122),42%,0)+IF(ISNUMBER(R122),28%,0)+IF(ISNUMBER(W122),18%,0)+IF(ISNUMBER(X122),12%,0)),2))</x:f>
        <x:v>55.92</x:v>
      </x:c>
      <x:c r="AN122" s="17" t="n">
        <x:f>IF(ISNUMBER(AC122),AC122,"")</x:f>
        <x:v>55.45</x:v>
      </x:c>
      <x:c r="AO122" s="17" t="n">
        <x:f>IF(COUNT(AG122,AH122)=0,"",ROUND((IF(ISNUMBER(AG122),AG122*60%,0)+IF(ISNUMBER(AH122),AH122*40%,0))/(IF(ISNUMBER(AG122),60%,0)+IF(ISNUMBER(AH122),40%,0)),2))</x:f>
        <x:v>63.14</x:v>
      </x:c>
      <x:c r="AP122" s="17" t="n">
        <x:f>IF(ISNUMBER(AK122),AK122,"")</x:f>
        <x:v>100</x:v>
      </x:c>
      <x:c r="AQ122" s="39" t="n">
        <x:f>IF(G122&lt;&gt;"入池",0,IF(ISNUMBER(I122),6%,0)+IF(ISNUMBER(K122),4.5%,0)+IF(ISNUMBER(L122),4.5%,0)+IF(ISNUMBER(Q122),8.4%,0)+IF(ISNUMBER(R122),5.6%,0)+IF(ISNUMBER(W122),3.6%,0)+IF(ISNUMBER(X122),2.4%,0)+IF(ISNUMBER(AC122),25%,0)+IF(ISNUMBER(AG122),18%,0)+IF(ISNUMBER(AH122),12%,0)+IF(ISNUMBER(AK122),10%,0))</x:f>
        <x:v>1</x:v>
      </x:c>
      <x:c r="AR122" s="17" t="n">
        <x:f>IF(AQ122=0,"",IF(ISNUMBER(I122),I122*6%,0)+IF(ISNUMBER(K122),K122*4.5%,0)+IF(ISNUMBER(L122),L122*4.5%,0)+IF(ISNUMBER(Q122),Q122*8.4%,0)+IF(ISNUMBER(R122),R122*5.6%,0)+IF(ISNUMBER(W122),W122*3.6%,0)+IF(ISNUMBER(X122),X122*2.4%,0)+IF(ISNUMBER(AC122),AC122*25%,0)+IF(ISNUMBER(AG122),AG122*18%,0)+IF(ISNUMBER(AH122),AH122*12%,0)+IF(ISNUMBER(AK122),AK122*10%,0))</x:f>
        <x:v>68.98757</x:v>
      </x:c>
      <x:c r="AS122" s="17" t="n">
        <x:f>IF(AQ122=0,"",ROUND(AR122/AQ122,2))</x:f>
        <x:v>68.99</x:v>
      </x:c>
      <x:c r="AT122" s="40" t="n">
        <x:f>IF(OR(G122&lt;&gt;"入池",NOT(ISNUMBER(AS122))),"",COUNTIFS($G$17:$G$219,"入池",$AS$17:$AS$219,"&gt;"&amp;AS122)+COUNTIFS($G$17:$G$219,"入池",$AS$17:$AS$219,AS122,$AQ$17:$AQ$219,"&gt;"&amp;AQ122)+COUNTIFS($G$17:G122,"入池",$AS$17:AS122,AS122,$AQ$17:AQ122,AQ122))</x:f>
        <x:v>78</x:v>
      </x:c>
      <x:c r="AU122" s="41" t="str">
        <x:f t="shared" si="4">IF(NOT(ISNUMBER(I122)),"管理人规模；","")&amp;IF(J122="","产品规模标识；","")&amp;IF(AND(F122&lt;3,NOT(ISNUMBER(O122))),"R_incep；","")&amp;IF(NOT(ISNUMBER(N122)),"近三年收益；","")&amp;IF(NOT(ISNUMBER(U122)),"近三年胜率；","")&amp;IF(AND(ISNUMBER(V122),OR(V122&lt;0,V122&gt;1)),"胜率窗口口径不一致；","")&amp;IF(NOT(ISNUMBER(AA122)),"近三年回撤；","")&amp;IF(NOT(ISNUMBER(AD122)),"短期卡玛；","")&amp;IF(AND(ISNUMBER(P122),NOT(ISNUMBER(AE122))),"DD_long不可识别；","")</x:f>
      </x:c>
      <x:c r="AV122" s="42" t="n">
        <x:v>100</x:v>
      </x:c>
      <x:c r="AW122" s="19" t="str">
        <x:v>深圳博普科技有限公司</x:v>
      </x:c>
      <x:c r="AX122" s="19" t="str">
        <x:v>2023-09-25</x:v>
      </x:c>
      <x:c r="AY122" s="19" t="str">
        <x:v>https://gs.amac.org.cn/amac-infodisc/res/pof/manager/101000001136.html</x:v>
      </x:c>
      <x:c r="AZ122" s="19" t="str">
        <x:v>博普跨市场1号私募基金</x:v>
      </x:c>
      <x:c r="BA122" s="19" t="str">
        <x:v>2024-09-25</x:v>
      </x:c>
      <x:c r="BB122" s="19"/>
      <x:c r="BC122" s="19" t="str">
        <x:v>https://gs.amac.org.cn/amac-infodisc/res/pof/fund/351000603064.html</x:v>
      </x:c>
      <x:c r="BD122" s="19" t="str">
        <x:v>已匹配</x:v>
      </x:c>
      <x:c r="BE122"/>
      <x:c r="BF122"/>
    </x:row>
    <x:row r="123" ht="28" customHeight="1">
      <x:c r="A123" s="4" t="n">
        <x:v>107</x:v>
      </x:c>
      <x:c r="B123" s="15" t="str">
        <x:f>'sheet4-原始数据'!A108</x:f>
        <x:v>博益安盈精英1号</x:v>
      </x:c>
      <x:c r="C123" s="15" t="str">
        <x:f>'sheet4-原始数据'!B108</x:f>
        <x:v>SL9566</x:v>
      </x:c>
      <x:c r="D123" s="15" t="str">
        <x:f>'sheet4-原始数据'!E108</x:f>
        <x:v>深圳博益安盈</x:v>
      </x:c>
      <x:c r="E123" s="32" t="n">
        <x:f>IF(ISNUMBER('sheet4-原始数据'!F108),'sheet4-原始数据'!F108,"")</x:f>
        <x:v>42611</x:v>
      </x:c>
      <x:c r="F123" s="17" t="n">
        <x:f>IF(NOT(ISNUMBER(E123)),"",ROUND(('sheet1-指标体系'!$J$23-E123)/365.25,4))</x:f>
        <x:v>10.0479</x:v>
      </x:c>
      <x:c r="G123" s="4" t="str">
        <x:f t="shared" si="3">IF(NOT(ISNUMBER(F123)),"",IF(F123&lt;1,"不入池","入池"))</x:f>
        <x:v>入池</x:v>
      </x:c>
      <x:c r="H123" s="33" t="str">
        <x:v>5-10亿元</x:v>
      </x:c>
      <x:c r="I123" s="17" t="n">
        <x:f>IF(H123="","",IF(ISNUMBER(SEARCH("100亿元以上",H123)),100,IF(OR(ISNUMBER(SEARCH("20-50",H123)),ISNUMBER(SEARCH("50-100",H123)),ISNUMBER(SEARCH("20-100",H123))),90,IF(ISNUMBER(SEARCH("10-20",H123)),80,IF(ISNUMBER(SEARCH("5-10",H123)),70,IF(ISNUMBER(SEARCH("0-5",H123)),60,""))))))</x:f>
        <x:v>70</x:v>
      </x:c>
      <x:c r="J123" s="34" t="str">
        <x:v>无低于1000万元标识</x:v>
      </x:c>
      <x:c r="K123" s="17" t="n">
        <x:f>IF(J123="","",IF(J123="低于1000万元",0,100))</x:f>
        <x:v>100</x:v>
      </x:c>
      <x:c r="L123" s="17" t="n">
        <x:f>IF(NOT(ISNUMBER(F123)),"",IF(F123&lt;1,"",IF(F123&lt;3,70,100)))</x:f>
        <x:v>100</x:v>
      </x:c>
      <x:c r="M123" s="35" t="n">
        <x:f>IF(ISNUMBER('sheet4-原始数据'!G108),'sheet4-原始数据'!G108,"")</x:f>
        <x:v>0.1729</x:v>
      </x:c>
      <x:c r="N123" s="35" t="n">
        <x:f>IF(ISNUMBER('sheet4-原始数据'!H108),'sheet4-原始数据'!H108,"")</x:f>
        <x:v>0.0889</x:v>
      </x:c>
      <x:c r="O123" s="36" t="str">
        <x:f>IF(ISNUMBER('sheet4-原始数据'!Q108),'sheet4-原始数据'!Q108,"")</x:f>
      </x:c>
      <x:c r="P123" s="37" t="n">
        <x:f>IF($G123&lt;&gt;"入池","",IF($F123&gt;=3,IF(OR(NOT(ISNUMBER($M123)),NOT(ISNUMBER($N123)),1+$M123&lt;=0,1+$N123&lt;0),"",((1+$N123)^3/(1+$M123))^(1/2)-1),IF(OR($F123&lt;=1,NOT(ISNUMBER($M123)),NOT(ISNUMBER($O123)),1+$M123&lt;=0,1+$O123&lt;0),"",((1+$O123)^$F123/(1+$M123))^(1/($F123-1))-1)))</x:f>
        <x:v>0.04918362449912861</x:v>
      </x:c>
      <x:c r="Q123" s="17" t="n">
        <x:f>IF(OR($G123&lt;&gt;"入池",NOT(ISNUMBER(M123))),"",IF(COUNTIFS($G$17:$G$219,"入池",$M$17:$M$219,"&gt;=-1E+307",$M$17:$M$219,"&lt;=1E+307")&lt;=1,100,ROUND(100*(COUNTIFS($G$17:$G$219,"入池",$M$17:$M$219,"&gt;=-1E+307",$M$17:$M$219,"&lt;"&amp;M123)+COUNTIFS($G$17:$G$219,"入池",$M$17:$M$219,M123,$M$17:$M$219,"&gt;=-1E+307",$M$17:$M$219,"&lt;=1E+307")/2-0.5)/(COUNTIFS($G$17:$G$219,"入池",$M$17:$M$219,"&gt;=-1E+307",$M$17:$M$219,"&lt;=1E+307")-1),2)))</x:f>
        <x:v>91.09</x:v>
      </x:c>
      <x:c r="R123" s="17" t="n">
        <x:f>IF(OR($G123&lt;&gt;"入池",NOT(ISNUMBER(P123))),"",IF(COUNTIFS($G$17:$G$219,"入池",$P$17:$P$219,"&gt;=-1E+307",$P$17:$P$219,"&lt;=1E+307")&lt;=1,100,ROUND(100*(COUNTIFS($G$17:$G$219,"入池",$P$17:$P$219,"&gt;=-1E+307",$P$17:$P$219,"&lt;"&amp;P123)+COUNTIFS($G$17:$G$219,"入池",$P$17:$P$219,P123,$P$17:$P$219,"&gt;=-1E+307",$P$17:$P$219,"&lt;=1E+307")/2-0.5)/(COUNTIFS($G$17:$G$219,"入池",$P$17:$P$219,"&gt;=-1E+307",$P$17:$P$219,"&lt;=1E+307")-1),2)))</x:f>
        <x:v>35.15</x:v>
      </x:c>
      <x:c r="S123" s="17" t="n">
        <x:f>IF(NOT(ISNUMBER(Q123)),"",IF(NOT(ISNUMBER(R123)),Q123,ROUND(Q123*'sheet1-指标体系'!$J$8+R123*'sheet1-指标体系'!$J$9,2)))</x:f>
        <x:v>68.71</x:v>
      </x:c>
      <x:c r="T123" s="35" t="n">
        <x:f>IF(ISNUMBER('sheet4-原始数据'!J108),'sheet4-原始数据'!J108,"")</x:f>
        <x:v>0.6923</x:v>
      </x:c>
      <x:c r="U123" s="35" t="n">
        <x:f>IF(ISNUMBER('sheet4-原始数据'!I108),'sheet4-原始数据'!I108,"")</x:f>
        <x:v>0.5676</x:v>
      </x:c>
      <x:c r="V123" s="37" t="n">
        <x:f>IF(OR(NOT(ISNUMBER(T123)),NOT(ISNUMBER(U123))),"",(U123*'sheet1-指标体系'!$J$6-T123*'sheet1-指标体系'!$J$5)/'sheet1-指标体系'!$J$7)</x:f>
        <x:v>0.5000541666666667</x:v>
      </x:c>
      <x:c r="W123" s="17" t="n">
        <x:f>IF(NOT(ISNUMBER(T123)),"",T123*100)</x:f>
        <x:v>69.23</x:v>
      </x:c>
      <x:c r="X123" s="17" t="n">
        <x:f>IF($G123&lt;&gt;"入池","",IF(AND(ISNUMBER(V123),V123&gt;=0,V123&lt;=1),V123*100,IF(MAX(0,($F123-1)*12)&lt;6,100,"")))</x:f>
        <x:v>50.00541666666667</x:v>
      </x:c>
      <x:c r="Y123" s="17" t="n">
        <x:f>IF(NOT(ISNUMBER(W123)),"",IF(NOT(ISNUMBER(X123)),W123,ROUND(W123*'sheet1-指标体系'!$J$8+X123*'sheet1-指标体系'!$J$9,2)))</x:f>
        <x:v>61.54</x:v>
      </x:c>
      <x:c r="Z123" s="37" t="n">
        <x:f>IF(OR(NOT(ISNUMBER(M123)),NOT(ISNUMBER(AD123)),AD123=0),"",ABS(M123/AD123))</x:f>
        <x:v>0.030910878698489318</x:v>
      </x:c>
      <x:c r="AA123" s="35" t="n">
        <x:f>IF(ISNUMBER('sheet4-原始数据'!K108),'sheet4-原始数据'!K108,"")</x:f>
        <x:v>0.030899999999999997</x:v>
      </x:c>
      <x:c r="AB123" s="37" t="n">
        <x:f>IF(COUNT(Z123:AA123)=0,"",MAX(Z123:AA123))</x:f>
        <x:v>0.030910878698489318</x:v>
      </x:c>
      <x:c r="AC123" s="17" t="n">
        <x:f>IF(OR($G123&lt;&gt;"入池",NOT(ISNUMBER(AB123))),"",IF(COUNTIFS($G$17:$G$219,"入池",$AB$17:$AB$219,"&gt;=-1E+307",$AB$17:$AB$219,"&lt;=1E+307")&lt;=1,100,ROUND(100*(COUNTIFS($G$17:$G$219,"入池",$AB$17:$AB$219,"&lt;=1E+307",$AB$17:$AB$219,"&gt;"&amp;AB123)+COUNTIFS($G$17:$G$219,"入池",$AB$17:$AB$219,AB123,$AB$17:$AB$219,"&gt;=-1E+307",$AB$17:$AB$219,"&lt;=1E+307")/2-0.5)/(COUNTIFS($G$17:$G$219,"入池",$AB$17:$AB$219,"&gt;=-1E+307",$AB$17:$AB$219,"&lt;=1E+307")-1),2)))</x:f>
        <x:v>59.9</x:v>
      </x:c>
      <x:c r="AD123" s="38" t="n">
        <x:f>IF(ISNUMBER('sheet4-原始数据'!M108),'sheet4-原始数据'!M108,"")</x:f>
        <x:v>5.5935</x:v>
      </x:c>
      <x:c r="AE123" s="37" t="str">
        <x:f t="shared" si="5">IF(OR(NOT(ISNUMBER(P123)),NOT(ISNUMBER(AA123)),NOT(ISNUMBER(Z123))),"",IF(AA123&gt;Z123+'sheet1-指标体系'!$J$11,AA123,""))</x:f>
      </x:c>
      <x:c r="AF123" s="17" t="str">
        <x:f>IF(OR(NOT(ISNUMBER(P123)),NOT(ISNUMBER(AE123)),AE123=0),"",P123/AE123)</x:f>
      </x:c>
      <x:c r="AG123" s="17" t="n">
        <x:f>IF(OR($G123&lt;&gt;"入池",NOT(ISNUMBER(AD123))),"",IF(COUNTIFS($G$17:$G$219,"入池",$AD$17:$AD$219,"&gt;=-1E+307",$AD$17:$AD$219,"&lt;=1E+307")&lt;=1,100,ROUND(100*(COUNTIFS($G$17:$G$219,"入池",$AD$17:$AD$219,"&gt;=-1E+307",$AD$17:$AD$219,"&lt;"&amp;AD123)+COUNTIFS($G$17:$G$219,"入池",$AD$17:$AD$219,AD123,$AD$17:$AD$219,"&gt;=-1E+307",$AD$17:$AD$219,"&lt;=1E+307")/2-0.5)/(COUNTIFS($G$17:$G$219,"入池",$AD$17:$AD$219,"&gt;=-1E+307",$AD$17:$AD$219,"&lt;=1E+307")-1),2)))</x:f>
        <x:v>66.67</x:v>
      </x:c>
      <x:c r="AH123" s="17" t="str">
        <x:f>IF(OR($G123&lt;&gt;"入池",NOT(ISNUMBER(AF123))),"",IF(COUNTIFS($G$17:$G$219,"入池",$AF$17:$AF$219,"&gt;=-1E+307",$AF$17:$AF$219,"&lt;=1E+307")&lt;=1,100,ROUND(100*(COUNTIFS($G$17:$G$219,"入池",$AF$17:$AF$219,"&gt;=-1E+307",$AF$17:$AF$219,"&lt;"&amp;AF123)+COUNTIFS($G$17:$G$219,"入池",$AF$17:$AF$219,AF123,$AF$17:$AF$219,"&gt;=-1E+307",$AF$17:$AF$219,"&lt;=1E+307")/2-0.5)/(COUNTIFS($G$17:$G$219,"入池",$AF$17:$AF$219,"&gt;=-1E+307",$AF$17:$AF$219,"&lt;=1E+307")-1),2)))</x:f>
      </x:c>
      <x:c r="AI123" s="17" t="n">
        <x:f>IF(NOT(ISNUMBER(AG123)),"",IF(NOT(ISNUMBER(AH123)),AG123,ROUND(AG123*'sheet1-指标体系'!$J$8+AH123*'sheet1-指标体系'!$J$9,2)))</x:f>
        <x:v>66.67</x:v>
      </x:c>
      <x:c r="AJ123" s="37" t="n">
        <x:f>IF(NOT(ISNUMBER(F123)),"",IF(F123&gt;=3,IF(NOT(ISNUMBER(N123)),"",N123),IF(NOT(ISNUMBER(O123)),"",O123)))</x:f>
        <x:v>0.0889</x:v>
      </x:c>
      <x:c r="AK123" s="17" t="n">
        <x:f>IF(OR(G123&lt;&gt;"入池",NOT(ISNUMBER(M123)),NOT(ISNUMBER(AJ123))),"",IF(M123&gt;=AJ123,100,IF(AJ123-M123&lt;'sheet1-指标体系'!$J$10,80,60)))</x:f>
        <x:v>100</x:v>
      </x:c>
      <x:c r="AL123" s="17" t="n">
        <x:f>IF(COUNT(I123,K123,L123)=0,"",ROUND((IF(ISNUMBER(I123),I123*40%,0)+IF(ISNUMBER(K123),K123*30%,0)+IF(ISNUMBER(L123),L123*30%,0))/(IF(ISNUMBER(I123),40%,0)+IF(ISNUMBER(K123),30%,0)+IF(ISNUMBER(L123),30%,0)),2))</x:f>
        <x:v>88</x:v>
      </x:c>
      <x:c r="AM123" s="17" t="n">
        <x:f>IF(COUNT(Q123,R123,W123,X123)=0,"",ROUND((IF(ISNUMBER(Q123),Q123*42%,0)+IF(ISNUMBER(R123),R123*28%,0)+IF(ISNUMBER(W123),W123*18%,0)+IF(ISNUMBER(X123),X123*12%,0))/(IF(ISNUMBER(Q123),42%,0)+IF(ISNUMBER(R123),28%,0)+IF(ISNUMBER(W123),18%,0)+IF(ISNUMBER(X123),12%,0)),2))</x:f>
        <x:v>66.56</x:v>
      </x:c>
      <x:c r="AN123" s="17" t="n">
        <x:f>IF(ISNUMBER(AC123),AC123,"")</x:f>
        <x:v>59.9</x:v>
      </x:c>
      <x:c r="AO123" s="17" t="n">
        <x:f>IF(COUNT(AG123,AH123)=0,"",ROUND((IF(ISNUMBER(AG123),AG123*60%,0)+IF(ISNUMBER(AH123),AH123*40%,0))/(IF(ISNUMBER(AG123),60%,0)+IF(ISNUMBER(AH123),40%,0)),2))</x:f>
        <x:v>66.67</x:v>
      </x:c>
      <x:c r="AP123" s="17" t="n">
        <x:f>IF(ISNUMBER(AK123),AK123,"")</x:f>
        <x:v>100</x:v>
      </x:c>
      <x:c r="AQ123" s="39" t="n">
        <x:f>IF(G123&lt;&gt;"入池",0,IF(ISNUMBER(I123),6%,0)+IF(ISNUMBER(K123),4.5%,0)+IF(ISNUMBER(L123),4.5%,0)+IF(ISNUMBER(Q123),8.4%,0)+IF(ISNUMBER(R123),5.6%,0)+IF(ISNUMBER(W123),3.6%,0)+IF(ISNUMBER(X123),2.4%,0)+IF(ISNUMBER(AC123),25%,0)+IF(ISNUMBER(AG123),18%,0)+IF(ISNUMBER(AH123),12%,0)+IF(ISNUMBER(AK123),10%,0))</x:f>
        <x:v>0.88</x:v>
      </x:c>
      <x:c r="AR123" s="17" t="n">
        <x:f>IF(AQ123=0,"",IF(ISNUMBER(I123),I123*6%,0)+IF(ISNUMBER(K123),K123*4.5%,0)+IF(ISNUMBER(L123),L123*4.5%,0)+IF(ISNUMBER(Q123),Q123*8.4%,0)+IF(ISNUMBER(R123),R123*5.6%,0)+IF(ISNUMBER(W123),W123*3.6%,0)+IF(ISNUMBER(X123),X123*2.4%,0)+IF(ISNUMBER(AC123),AC123*25%,0)+IF(ISNUMBER(AG123),AG123*18%,0)+IF(ISNUMBER(AH123),AH123*12%,0)+IF(ISNUMBER(AK123),AK123*10%,0))</x:f>
        <x:v>63.48797</x:v>
      </x:c>
      <x:c r="AS123" s="17" t="n">
        <x:f>IF(AQ123=0,"",ROUND(AR123/AQ123,2))</x:f>
        <x:v>72.15</x:v>
      </x:c>
      <x:c r="AT123" s="40" t="n">
        <x:f>IF(OR(G123&lt;&gt;"入池",NOT(ISNUMBER(AS123))),"",COUNTIFS($G$17:$G$219,"入池",$AS$17:$AS$219,"&gt;"&amp;AS123)+COUNTIFS($G$17:$G$219,"入池",$AS$17:$AS$219,AS123,$AQ$17:$AQ$219,"&gt;"&amp;AQ123)+COUNTIFS($G$17:G123,"入池",$AS$17:AS123,AS123,$AQ$17:AQ123,AQ123))</x:f>
        <x:v>61</x:v>
      </x:c>
      <x:c r="AU123" s="41" t="str">
        <x:f t="shared" si="4">IF(NOT(ISNUMBER(I123)),"管理人规模；","")&amp;IF(J123="","产品规模标识；","")&amp;IF(AND(F123&lt;3,NOT(ISNUMBER(O123))),"R_incep；","")&amp;IF(NOT(ISNUMBER(N123)),"近三年收益；","")&amp;IF(NOT(ISNUMBER(U123)),"近三年胜率；","")&amp;IF(AND(ISNUMBER(V123),OR(V123&lt;0,V123&gt;1)),"胜率窗口口径不一致；","")&amp;IF(NOT(ISNUMBER(AA123)),"近三年回撤；","")&amp;IF(NOT(ISNUMBER(AD123)),"短期卡玛；","")&amp;IF(AND(ISNUMBER(P123),NOT(ISNUMBER(AE123))),"DD_long不可识别；","")</x:f>
        <x:v>DD_long不可识别；</x:v>
      </x:c>
      <x:c r="AV123" s="42" t="n">
        <x:v>5</x:v>
      </x:c>
      <x:c r="AW123" s="19" t="str">
        <x:v>深圳市博益安盈私募证券投资基金管理有限公司</x:v>
      </x:c>
      <x:c r="AX123" s="19" t="str">
        <x:v>2026-01-05</x:v>
      </x:c>
      <x:c r="AY123" s="19" t="str">
        <x:v>https://gs.amac.org.cn/amac-infodisc/res/pof/manager/101000052138.html</x:v>
      </x:c>
      <x:c r="AZ123" s="19" t="str">
        <x:v>博益安盈精英1号私募投资基金</x:v>
      </x:c>
      <x:c r="BA123" s="19" t="str">
        <x:v>2025-09-05</x:v>
      </x:c>
      <x:c r="BB123" s="19"/>
      <x:c r="BC123" s="19" t="str">
        <x:v>https://gs.amac.org.cn/amac-infodisc/res/pof/fund/351000502422.html</x:v>
      </x:c>
      <x:c r="BD123" s="19" t="str">
        <x:v>已匹配</x:v>
      </x:c>
      <x:c r="BE123"/>
      <x:c r="BF123"/>
    </x:row>
    <x:row r="124" ht="28" customHeight="1">
      <x:c r="A124" s="4" t="n">
        <x:v>108</x:v>
      </x:c>
      <x:c r="B124" s="15" t="str">
        <x:f>'sheet4-原始数据'!A109</x:f>
        <x:v>珺墀价值投资甄选系列</x:v>
      </x:c>
      <x:c r="C124" s="15" t="str">
        <x:f>'sheet4-原始数据'!B109</x:f>
        <x:v>SD8791</x:v>
      </x:c>
      <x:c r="D124" s="15" t="str">
        <x:f>'sheet4-原始数据'!E109</x:f>
        <x:v>上海珺墀资管</x:v>
      </x:c>
      <x:c r="E124" s="32" t="n">
        <x:f>IF(ISNUMBER('sheet4-原始数据'!F109),'sheet4-原始数据'!F109,"")</x:f>
        <x:v>42347</x:v>
      </x:c>
      <x:c r="F124" s="17" t="n">
        <x:f>IF(NOT(ISNUMBER(E124)),"",ROUND(('sheet1-指标体系'!$J$23-E124)/365.25,4))</x:f>
        <x:v>10.7707</x:v>
      </x:c>
      <x:c r="G124" s="4" t="str">
        <x:f t="shared" si="3">IF(NOT(ISNUMBER(F124)),"",IF(F124&lt;1,"不入池","入池"))</x:f>
        <x:v>入池</x:v>
      </x:c>
      <x:c r="H124" s="33" t="str">
        <x:v>0-5亿元</x:v>
      </x:c>
      <x:c r="I124" s="17" t="n">
        <x:f>IF(H124="","",IF(ISNUMBER(SEARCH("100亿元以上",H124)),100,IF(OR(ISNUMBER(SEARCH("20-50",H124)),ISNUMBER(SEARCH("50-100",H124)),ISNUMBER(SEARCH("20-100",H124))),90,IF(ISNUMBER(SEARCH("10-20",H124)),80,IF(ISNUMBER(SEARCH("5-10",H124)),70,IF(ISNUMBER(SEARCH("0-5",H124)),60,""))))))</x:f>
        <x:v>60</x:v>
      </x:c>
      <x:c r="J124" s="34" t="str">
        <x:v>无低于1000万元标识</x:v>
      </x:c>
      <x:c r="K124" s="17" t="n">
        <x:f>IF(J124="","",IF(J124="低于1000万元",0,100))</x:f>
        <x:v>100</x:v>
      </x:c>
      <x:c r="L124" s="17" t="n">
        <x:f>IF(NOT(ISNUMBER(F124)),"",IF(F124&lt;1,"",IF(F124&lt;3,70,100)))</x:f>
        <x:v>100</x:v>
      </x:c>
      <x:c r="M124" s="35" t="n">
        <x:f>IF(ISNUMBER('sheet4-原始数据'!G109),'sheet4-原始数据'!G109,"")</x:f>
        <x:v>0.1425</x:v>
      </x:c>
      <x:c r="N124" s="35" t="n">
        <x:f>IF(ISNUMBER('sheet4-原始数据'!H109),'sheet4-原始数据'!H109,"")</x:f>
        <x:v>0.2036</x:v>
      </x:c>
      <x:c r="O124" s="36" t="str">
        <x:f>IF(ISNUMBER('sheet4-原始数据'!Q109),'sheet4-原始数据'!Q109,"")</x:f>
      </x:c>
      <x:c r="P124" s="37" t="n">
        <x:f>IF($G124&lt;&gt;"入池","",IF($F124&gt;=3,IF(OR(NOT(ISNUMBER($M124)),NOT(ISNUMBER($N124)),1+$M124&lt;=0,1+$N124&lt;0),"",((1+$N124)^3/(1+$M124))^(1/2)-1),IF(OR($F124&lt;=1,NOT(ISNUMBER($M124)),NOT(ISNUMBER($O124)),1+$M124&lt;=0,1+$O124&lt;0),"",((1+$O124)^$F124/(1+$M124))^(1/($F124-1))-1)))</x:f>
        <x:v>0.23536463407771957</x:v>
      </x:c>
      <x:c r="Q124" s="17" t="n">
        <x:f>IF(OR($G124&lt;&gt;"入池",NOT(ISNUMBER(M124))),"",IF(COUNTIFS($G$17:$G$219,"入池",$M$17:$M$219,"&gt;=-1E+307",$M$17:$M$219,"&lt;=1E+307")&lt;=1,100,ROUND(100*(COUNTIFS($G$17:$G$219,"入池",$M$17:$M$219,"&gt;=-1E+307",$M$17:$M$219,"&lt;"&amp;M124)+COUNTIFS($G$17:$G$219,"入池",$M$17:$M$219,M124,$M$17:$M$219,"&gt;=-1E+307",$M$17:$M$219,"&lt;=1E+307")/2-0.5)/(COUNTIFS($G$17:$G$219,"入池",$M$17:$M$219,"&gt;=-1E+307",$M$17:$M$219,"&lt;=1E+307")-1),2)))</x:f>
        <x:v>90.1</x:v>
      </x:c>
      <x:c r="R124" s="17" t="n">
        <x:f>IF(OR($G124&lt;&gt;"入池",NOT(ISNUMBER(P124))),"",IF(COUNTIFS($G$17:$G$219,"入池",$P$17:$P$219,"&gt;=-1E+307",$P$17:$P$219,"&lt;=1E+307")&lt;=1,100,ROUND(100*(COUNTIFS($G$17:$G$219,"入池",$P$17:$P$219,"&gt;=-1E+307",$P$17:$P$219,"&lt;"&amp;P124)+COUNTIFS($G$17:$G$219,"入池",$P$17:$P$219,P124,$P$17:$P$219,"&gt;=-1E+307",$P$17:$P$219,"&lt;=1E+307")/2-0.5)/(COUNTIFS($G$17:$G$219,"入池",$P$17:$P$219,"&gt;=-1E+307",$P$17:$P$219,"&lt;=1E+307")-1),2)))</x:f>
        <x:v>95.05</x:v>
      </x:c>
      <x:c r="S124" s="17" t="n">
        <x:f>IF(NOT(ISNUMBER(Q124)),"",IF(NOT(ISNUMBER(R124)),Q124,ROUND(Q124*'sheet1-指标体系'!$J$8+R124*'sheet1-指标体系'!$J$9,2)))</x:f>
        <x:v>92.08</x:v>
      </x:c>
      <x:c r="T124" s="35" t="n">
        <x:f>IF(ISNUMBER('sheet4-原始数据'!J109),'sheet4-原始数据'!J109,"")</x:f>
        <x:v>0.5385</x:v>
      </x:c>
      <x:c r="U124" s="35" t="n">
        <x:f>IF(ISNUMBER('sheet4-原始数据'!I109),'sheet4-原始数据'!I109,"")</x:f>
        <x:v>0.5405</x:v>
      </x:c>
      <x:c r="V124" s="37" t="n">
        <x:f>IF(OR(NOT(ISNUMBER(T124)),NOT(ISNUMBER(U124))),"",(U124*'sheet1-指标体系'!$J$6-T124*'sheet1-指标体系'!$J$5)/'sheet1-指标体系'!$J$7)</x:f>
        <x:v>0.5415833333333334</x:v>
      </x:c>
      <x:c r="W124" s="17" t="n">
        <x:f>IF(NOT(ISNUMBER(T124)),"",T124*100)</x:f>
        <x:v>53.849999999999994</x:v>
      </x:c>
      <x:c r="X124" s="17" t="n">
        <x:f>IF($G124&lt;&gt;"入池","",IF(AND(ISNUMBER(V124),V124&gt;=0,V124&lt;=1),V124*100,IF(MAX(0,($F124-1)*12)&lt;6,100,"")))</x:f>
        <x:v>54.15833333333334</x:v>
      </x:c>
      <x:c r="Y124" s="17" t="n">
        <x:f>IF(NOT(ISNUMBER(W124)),"",IF(NOT(ISNUMBER(X124)),W124,ROUND(W124*'sheet1-指标体系'!$J$8+X124*'sheet1-指标体系'!$J$9,2)))</x:f>
        <x:v>53.97</x:v>
      </x:c>
      <x:c r="Z124" s="37" t="n">
        <x:f>IF(OR(NOT(ISNUMBER(M124)),NOT(ISNUMBER(AD124)),AD124=0),"",ABS(M124/AD124))</x:f>
        <x:v>0.18532969176745998</x:v>
      </x:c>
      <x:c r="AA124" s="35" t="n">
        <x:f>IF(ISNUMBER('sheet4-原始数据'!K109),'sheet4-原始数据'!K109,"")</x:f>
        <x:v>0.3506</x:v>
      </x:c>
      <x:c r="AB124" s="37" t="n">
        <x:f>IF(COUNT(Z124:AA124)=0,"",MAX(Z124:AA124))</x:f>
        <x:v>0.3506</x:v>
      </x:c>
      <x:c r="AC124" s="17" t="n">
        <x:f>IF(OR($G124&lt;&gt;"入池",NOT(ISNUMBER(AB124))),"",IF(COUNTIFS($G$17:$G$219,"入池",$AB$17:$AB$219,"&gt;=-1E+307",$AB$17:$AB$219,"&lt;=1E+307")&lt;=1,100,ROUND(100*(COUNTIFS($G$17:$G$219,"入池",$AB$17:$AB$219,"&lt;=1E+307",$AB$17:$AB$219,"&gt;"&amp;AB124)+COUNTIFS($G$17:$G$219,"入池",$AB$17:$AB$219,AB124,$AB$17:$AB$219,"&gt;=-1E+307",$AB$17:$AB$219,"&lt;=1E+307")/2-0.5)/(COUNTIFS($G$17:$G$219,"入池",$AB$17:$AB$219,"&gt;=-1E+307",$AB$17:$AB$219,"&lt;=1E+307")-1),2)))</x:f>
        <x:v>1.98</x:v>
      </x:c>
      <x:c r="AD124" s="38" t="n">
        <x:f>IF(ISNUMBER('sheet4-原始数据'!M109),'sheet4-原始数据'!M109,"")</x:f>
        <x:v>0.7689</x:v>
      </x:c>
      <x:c r="AE124" s="37" t="n">
        <x:f t="shared" si="5">IF(OR(NOT(ISNUMBER(P124)),NOT(ISNUMBER(AA124)),NOT(ISNUMBER(Z124))),"",IF(AA124&gt;Z124+'sheet1-指标体系'!$J$11,AA124,""))</x:f>
        <x:v>0.3506</x:v>
      </x:c>
      <x:c r="AF124" s="17" t="n">
        <x:f>IF(OR(NOT(ISNUMBER(P124)),NOT(ISNUMBER(AE124)),AE124=0),"",P124/AE124)</x:f>
        <x:v>0.6713195495656576</x:v>
      </x:c>
      <x:c r="AG124" s="17" t="n">
        <x:f>IF(OR($G124&lt;&gt;"入池",NOT(ISNUMBER(AD124))),"",IF(COUNTIFS($G$17:$G$219,"入池",$AD$17:$AD$219,"&gt;=-1E+307",$AD$17:$AD$219,"&lt;=1E+307")&lt;=1,100,ROUND(100*(COUNTIFS($G$17:$G$219,"入池",$AD$17:$AD$219,"&gt;=-1E+307",$AD$17:$AD$219,"&lt;"&amp;AD124)+COUNTIFS($G$17:$G$219,"入池",$AD$17:$AD$219,AD124,$AD$17:$AD$219,"&gt;=-1E+307",$AD$17:$AD$219,"&lt;=1E+307")/2-0.5)/(COUNTIFS($G$17:$G$219,"入池",$AD$17:$AD$219,"&gt;=-1E+307",$AD$17:$AD$219,"&lt;=1E+307")-1),2)))</x:f>
        <x:v>30.35</x:v>
      </x:c>
      <x:c r="AH124" s="17" t="n">
        <x:f>IF(OR($G124&lt;&gt;"入池",NOT(ISNUMBER(AF124))),"",IF(COUNTIFS($G$17:$G$219,"入池",$AF$17:$AF$219,"&gt;=-1E+307",$AF$17:$AF$219,"&lt;=1E+307")&lt;=1,100,ROUND(100*(COUNTIFS($G$17:$G$219,"入池",$AF$17:$AF$219,"&gt;=-1E+307",$AF$17:$AF$219,"&lt;"&amp;AF124)+COUNTIFS($G$17:$G$219,"入池",$AF$17:$AF$219,AF124,$AF$17:$AF$219,"&gt;=-1E+307",$AF$17:$AF$219,"&lt;=1E+307")/2-0.5)/(COUNTIFS($G$17:$G$219,"入池",$AF$17:$AF$219,"&gt;=-1E+307",$AF$17:$AF$219,"&lt;=1E+307")-1),2)))</x:f>
        <x:v>24.82</x:v>
      </x:c>
      <x:c r="AI124" s="17" t="n">
        <x:f>IF(NOT(ISNUMBER(AG124)),"",IF(NOT(ISNUMBER(AH124)),AG124,ROUND(AG124*'sheet1-指标体系'!$J$8+AH124*'sheet1-指标体系'!$J$9,2)))</x:f>
        <x:v>28.14</x:v>
      </x:c>
      <x:c r="AJ124" s="37" t="n">
        <x:f>IF(NOT(ISNUMBER(F124)),"",IF(F124&gt;=3,IF(NOT(ISNUMBER(N124)),"",N124),IF(NOT(ISNUMBER(O124)),"",O124)))</x:f>
        <x:v>0.2036</x:v>
      </x:c>
      <x:c r="AK124" s="17" t="n">
        <x:f>IF(OR(G124&lt;&gt;"入池",NOT(ISNUMBER(M124)),NOT(ISNUMBER(AJ124))),"",IF(M124&gt;=AJ124,100,IF(AJ124-M124&lt;'sheet1-指标体系'!$J$10,80,60)))</x:f>
        <x:v>80</x:v>
      </x:c>
      <x:c r="AL124" s="17" t="n">
        <x:f>IF(COUNT(I124,K124,L124)=0,"",ROUND((IF(ISNUMBER(I124),I124*40%,0)+IF(ISNUMBER(K124),K124*30%,0)+IF(ISNUMBER(L124),L124*30%,0))/(IF(ISNUMBER(I124),40%,0)+IF(ISNUMBER(K124),30%,0)+IF(ISNUMBER(L124),30%,0)),2))</x:f>
        <x:v>84</x:v>
      </x:c>
      <x:c r="AM124" s="17" t="n">
        <x:f>IF(COUNT(Q124,R124,W124,X124)=0,"",ROUND((IF(ISNUMBER(Q124),Q124*42%,0)+IF(ISNUMBER(R124),R124*28%,0)+IF(ISNUMBER(W124),W124*18%,0)+IF(ISNUMBER(X124),X124*12%,0))/(IF(ISNUMBER(Q124),42%,0)+IF(ISNUMBER(R124),28%,0)+IF(ISNUMBER(W124),18%,0)+IF(ISNUMBER(X124),12%,0)),2))</x:f>
        <x:v>80.65</x:v>
      </x:c>
      <x:c r="AN124" s="17" t="n">
        <x:f>IF(ISNUMBER(AC124),AC124,"")</x:f>
        <x:v>1.98</x:v>
      </x:c>
      <x:c r="AO124" s="17" t="n">
        <x:f>IF(COUNT(AG124,AH124)=0,"",ROUND((IF(ISNUMBER(AG124),AG124*60%,0)+IF(ISNUMBER(AH124),AH124*40%,0))/(IF(ISNUMBER(AG124),60%,0)+IF(ISNUMBER(AH124),40%,0)),2))</x:f>
        <x:v>28.14</x:v>
      </x:c>
      <x:c r="AP124" s="17" t="n">
        <x:f>IF(ISNUMBER(AK124),AK124,"")</x:f>
        <x:v>80</x:v>
      </x:c>
      <x:c r="AQ124" s="39" t="n">
        <x:f>IF(G124&lt;&gt;"入池",0,IF(ISNUMBER(I124),6%,0)+IF(ISNUMBER(K124),4.5%,0)+IF(ISNUMBER(L124),4.5%,0)+IF(ISNUMBER(Q124),8.4%,0)+IF(ISNUMBER(R124),5.6%,0)+IF(ISNUMBER(W124),3.6%,0)+IF(ISNUMBER(X124),2.4%,0)+IF(ISNUMBER(AC124),25%,0)+IF(ISNUMBER(AG124),18%,0)+IF(ISNUMBER(AH124),12%,0)+IF(ISNUMBER(AK124),10%,0))</x:f>
        <x:v>1</x:v>
      </x:c>
      <x:c r="AR124" s="17" t="n">
        <x:f>IF(AQ124=0,"",IF(ISNUMBER(I124),I124*6%,0)+IF(ISNUMBER(K124),K124*4.5%,0)+IF(ISNUMBER(L124),L124*4.5%,0)+IF(ISNUMBER(Q124),Q124*8.4%,0)+IF(ISNUMBER(R124),R124*5.6%,0)+IF(ISNUMBER(W124),W124*3.6%,0)+IF(ISNUMBER(X124),X124*2.4%,0)+IF(ISNUMBER(AC124),AC124*25%,0)+IF(ISNUMBER(AG124),AG124*18%,0)+IF(ISNUMBER(AH124),AH124*12%,0)+IF(ISNUMBER(AK124),AK124*10%,0))</x:f>
        <x:v>45.666000000000004</x:v>
      </x:c>
      <x:c r="AS124" s="17" t="n">
        <x:f>IF(AQ124=0,"",ROUND(AR124/AQ124,2))</x:f>
        <x:v>45.67</x:v>
      </x:c>
      <x:c r="AT124" s="40" t="n">
        <x:f>IF(OR(G124&lt;&gt;"入池",NOT(ISNUMBER(AS124))),"",COUNTIFS($G$17:$G$219,"入池",$AS$17:$AS$219,"&gt;"&amp;AS124)+COUNTIFS($G$17:$G$219,"入池",$AS$17:$AS$219,AS124,$AQ$17:$AQ$219,"&gt;"&amp;AQ124)+COUNTIFS($G$17:G124,"入池",$AS$17:AS124,AS124,$AQ$17:AQ124,AQ124))</x:f>
        <x:v>157</x:v>
      </x:c>
      <x:c r="AU124" s="41" t="str">
        <x:f t="shared" si="4">IF(NOT(ISNUMBER(I124)),"管理人规模；","")&amp;IF(J124="","产品规模标识；","")&amp;IF(AND(F124&lt;3,NOT(ISNUMBER(O124))),"R_incep；","")&amp;IF(NOT(ISNUMBER(N124)),"近三年收益；","")&amp;IF(NOT(ISNUMBER(U124)),"近三年胜率；","")&amp;IF(AND(ISNUMBER(V124),OR(V124&lt;0,V124&gt;1)),"胜率窗口口径不一致；","")&amp;IF(NOT(ISNUMBER(AA124)),"近三年回撤；","")&amp;IF(NOT(ISNUMBER(AD124)),"短期卡玛；","")&amp;IF(AND(ISNUMBER(P124),NOT(ISNUMBER(AE124))),"DD_long不可识别；","")</x:f>
      </x:c>
      <x:c r="AV124" s="42" t="n">
        <x:v>0</x:v>
      </x:c>
      <x:c r="AW124" s="19" t="str">
        <x:v>上海珺墀资产管理有限公司</x:v>
      </x:c>
      <x:c r="AX124" s="19" t="str">
        <x:v>2026-01-07</x:v>
      </x:c>
      <x:c r="AY124" s="19" t="str">
        <x:v>https://gs.amac.org.cn/amac-infodisc/res/pof/manager/101000026339.html</x:v>
      </x:c>
      <x:c r="AZ124" s="19" t="str">
        <x:v>珺墀价值投资甄选系列私募证券投资基金</x:v>
      </x:c>
      <x:c r="BA124" s="19" t="str">
        <x:v>2026-01-13</x:v>
      </x:c>
      <x:c r="BB124" s="19"/>
      <x:c r="BC124" s="19" t="str">
        <x:v>https://gs.amac.org.cn/amac-infodisc/res/pof/fund/351000269550.html</x:v>
      </x:c>
      <x:c r="BD124" s="19" t="str">
        <x:v>已匹配</x:v>
      </x:c>
      <x:c r="BE124"/>
      <x:c r="BF124"/>
    </x:row>
    <x:row r="125" ht="28" customHeight="1">
      <x:c r="A125" s="4" t="n">
        <x:v>109</x:v>
      </x:c>
      <x:c r="B125" s="15" t="str">
        <x:f>'sheet4-原始数据'!A110</x:f>
        <x:v>盛泉恒元多策略量化对冲2号基金</x:v>
      </x:c>
      <x:c r="C125" s="15" t="str">
        <x:f>'sheet4-原始数据'!B110</x:f>
        <x:v>S67533</x:v>
      </x:c>
      <x:c r="D125" s="15" t="str">
        <x:f>'sheet4-原始数据'!E110</x:f>
        <x:v>南京盛泉恒元投资</x:v>
      </x:c>
      <x:c r="E125" s="32" t="n">
        <x:f>IF(ISNUMBER('sheet4-原始数据'!F110),'sheet4-原始数据'!F110,"")</x:f>
        <x:v>42258</x:v>
      </x:c>
      <x:c r="F125" s="17" t="n">
        <x:f>IF(NOT(ISNUMBER(E125)),"",ROUND(('sheet1-指标体系'!$J$23-E125)/365.25,4))</x:f>
        <x:v>11.0144</x:v>
      </x:c>
      <x:c r="G125" s="4" t="str">
        <x:f t="shared" si="3">IF(NOT(ISNUMBER(F125)),"",IF(F125&lt;1,"不入池","入池"))</x:f>
        <x:v>入池</x:v>
      </x:c>
      <x:c r="H125" s="33" t="str">
        <x:v>100亿元以上</x:v>
      </x:c>
      <x:c r="I125" s="17" t="n">
        <x:f>IF(H125="","",IF(ISNUMBER(SEARCH("100亿元以上",H125)),100,IF(OR(ISNUMBER(SEARCH("20-50",H125)),ISNUMBER(SEARCH("50-100",H125)),ISNUMBER(SEARCH("20-100",H125))),90,IF(ISNUMBER(SEARCH("10-20",H125)),80,IF(ISNUMBER(SEARCH("5-10",H125)),70,IF(ISNUMBER(SEARCH("0-5",H125)),60,""))))))</x:f>
        <x:v>100</x:v>
      </x:c>
      <x:c r="J125" s="34" t="str">
        <x:v>无低于1000万元标识</x:v>
      </x:c>
      <x:c r="K125" s="17" t="n">
        <x:f>IF(J125="","",IF(J125="低于1000万元",0,100))</x:f>
        <x:v>100</x:v>
      </x:c>
      <x:c r="L125" s="17" t="n">
        <x:f>IF(NOT(ISNUMBER(F125)),"",IF(F125&lt;1,"",IF(F125&lt;3,70,100)))</x:f>
        <x:v>100</x:v>
      </x:c>
      <x:c r="M125" s="35" t="n">
        <x:f>IF(ISNUMBER('sheet4-原始数据'!G110),'sheet4-原始数据'!G110,"")</x:f>
        <x:v>0.1066</x:v>
      </x:c>
      <x:c r="N125" s="35" t="n">
        <x:f>IF(ISNUMBER('sheet4-原始数据'!H110),'sheet4-原始数据'!H110,"")</x:f>
        <x:v>0.0816</x:v>
      </x:c>
      <x:c r="O125" s="36" t="str">
        <x:f>IF(ISNUMBER('sheet4-原始数据'!Q110),'sheet4-原始数据'!Q110,"")</x:f>
      </x:c>
      <x:c r="P125" s="37" t="n">
        <x:f>IF($G125&lt;&gt;"入池","",IF($F125&gt;=3,IF(OR(NOT(ISNUMBER($M125)),NOT(ISNUMBER($N125)),1+$M125&lt;=0,1+$N125&lt;0),"",((1+$N125)^3/(1+$M125))^(1/2)-1),IF(OR($F125&lt;=1,NOT(ISNUMBER($M125)),NOT(ISNUMBER($O125)),1+$M125&lt;=0,1+$O125&lt;0),"",((1+$O125)^$F125/(1+$M125))^(1/($F125-1))-1)))</x:f>
        <x:v>0.06931260170892228</x:v>
      </x:c>
      <x:c r="Q125" s="17" t="n">
        <x:f>IF(OR($G125&lt;&gt;"入池",NOT(ISNUMBER(M125))),"",IF(COUNTIFS($G$17:$G$219,"入池",$M$17:$M$219,"&gt;=-1E+307",$M$17:$M$219,"&lt;=1E+307")&lt;=1,100,ROUND(100*(COUNTIFS($G$17:$G$219,"入池",$M$17:$M$219,"&gt;=-1E+307",$M$17:$M$219,"&lt;"&amp;M125)+COUNTIFS($G$17:$G$219,"入池",$M$17:$M$219,M125,$M$17:$M$219,"&gt;=-1E+307",$M$17:$M$219,"&lt;=1E+307")/2-0.5)/(COUNTIFS($G$17:$G$219,"入池",$M$17:$M$219,"&gt;=-1E+307",$M$17:$M$219,"&lt;=1E+307")-1),2)))</x:f>
        <x:v>81.93</x:v>
      </x:c>
      <x:c r="R125" s="17" t="n">
        <x:f>IF(OR($G125&lt;&gt;"入池",NOT(ISNUMBER(P125))),"",IF(COUNTIFS($G$17:$G$219,"入池",$P$17:$P$219,"&gt;=-1E+307",$P$17:$P$219,"&lt;=1E+307")&lt;=1,100,ROUND(100*(COUNTIFS($G$17:$G$219,"入池",$P$17:$P$219,"&gt;=-1E+307",$P$17:$P$219,"&lt;"&amp;P125)+COUNTIFS($G$17:$G$219,"入池",$P$17:$P$219,P125,$P$17:$P$219,"&gt;=-1E+307",$P$17:$P$219,"&lt;=1E+307")/2-0.5)/(COUNTIFS($G$17:$G$219,"入池",$P$17:$P$219,"&gt;=-1E+307",$P$17:$P$219,"&lt;=1E+307")-1),2)))</x:f>
        <x:v>55.94</x:v>
      </x:c>
      <x:c r="S125" s="17" t="n">
        <x:f>IF(NOT(ISNUMBER(Q125)),"",IF(NOT(ISNUMBER(R125)),Q125,ROUND(Q125*'sheet1-指标体系'!$J$8+R125*'sheet1-指标体系'!$J$9,2)))</x:f>
        <x:v>71.53</x:v>
      </x:c>
      <x:c r="T125" s="35" t="n">
        <x:f>IF(ISNUMBER('sheet4-原始数据'!J110),'sheet4-原始数据'!J110,"")</x:f>
        <x:v>0.8462000000000001</x:v>
      </x:c>
      <x:c r="U125" s="35" t="n">
        <x:f>IF(ISNUMBER('sheet4-原始数据'!I110),'sheet4-原始数据'!I110,"")</x:f>
        <x:v>0.7568</x:v>
      </x:c>
      <x:c r="V125" s="37" t="n">
        <x:f>IF(OR(NOT(ISNUMBER(T125)),NOT(ISNUMBER(U125))),"",(U125*'sheet1-指标体系'!$J$6-T125*'sheet1-指标体系'!$J$5)/'sheet1-指标体系'!$J$7)</x:f>
        <x:v>0.7083749999999999</x:v>
      </x:c>
      <x:c r="W125" s="17" t="n">
        <x:f>IF(NOT(ISNUMBER(T125)),"",T125*100)</x:f>
        <x:v>84.62</x:v>
      </x:c>
      <x:c r="X125" s="17" t="n">
        <x:f>IF($G125&lt;&gt;"入池","",IF(AND(ISNUMBER(V125),V125&gt;=0,V125&lt;=1),V125*100,IF(MAX(0,($F125-1)*12)&lt;6,100,"")))</x:f>
        <x:v>70.83749999999999</x:v>
      </x:c>
      <x:c r="Y125" s="17" t="n">
        <x:f>IF(NOT(ISNUMBER(W125)),"",IF(NOT(ISNUMBER(X125)),W125,ROUND(W125*'sheet1-指标体系'!$J$8+X125*'sheet1-指标体系'!$J$9,2)))</x:f>
        <x:v>79.11</x:v>
      </x:c>
      <x:c r="Z125" s="37" t="n">
        <x:f>IF(OR(NOT(ISNUMBER(M125)),NOT(ISNUMBER(AD125)),AD125=0),"",ABS(M125/AD125))</x:f>
        <x:v>0.05088791292724842</x:v>
      </x:c>
      <x:c r="AA125" s="35" t="n">
        <x:f>IF(ISNUMBER('sheet4-原始数据'!K110),'sheet4-原始数据'!K110,"")</x:f>
        <x:v>0.0512</x:v>
      </x:c>
      <x:c r="AB125" s="37" t="n">
        <x:f>IF(COUNT(Z125:AA125)=0,"",MAX(Z125:AA125))</x:f>
        <x:v>0.0512</x:v>
      </x:c>
      <x:c r="AC125" s="17" t="n">
        <x:f>IF(OR($G125&lt;&gt;"入池",NOT(ISNUMBER(AB125))),"",IF(COUNTIFS($G$17:$G$219,"入池",$AB$17:$AB$219,"&gt;=-1E+307",$AB$17:$AB$219,"&lt;=1E+307")&lt;=1,100,ROUND(100*(COUNTIFS($G$17:$G$219,"入池",$AB$17:$AB$219,"&lt;=1E+307",$AB$17:$AB$219,"&gt;"&amp;AB125)+COUNTIFS($G$17:$G$219,"入池",$AB$17:$AB$219,AB125,$AB$17:$AB$219,"&gt;=-1E+307",$AB$17:$AB$219,"&lt;=1E+307")/2-0.5)/(COUNTIFS($G$17:$G$219,"入池",$AB$17:$AB$219,"&gt;=-1E+307",$AB$17:$AB$219,"&lt;=1E+307")-1),2)))</x:f>
        <x:v>45.05</x:v>
      </x:c>
      <x:c r="AD125" s="38" t="n">
        <x:f>IF(ISNUMBER('sheet4-原始数据'!M110),'sheet4-原始数据'!M110,"")</x:f>
        <x:v>2.0948</x:v>
      </x:c>
      <x:c r="AE125" s="37" t="n">
        <x:f t="shared" si="5">IF(OR(NOT(ISNUMBER(P125)),NOT(ISNUMBER(AA125)),NOT(ISNUMBER(Z125))),"",IF(AA125&gt;Z125+'sheet1-指标体系'!$J$11,AA125,""))</x:f>
        <x:v>0.0512</x:v>
      </x:c>
      <x:c r="AF125" s="17" t="n">
        <x:f>IF(OR(NOT(ISNUMBER(P125)),NOT(ISNUMBER(AE125)),AE125=0),"",P125/AE125)</x:f>
        <x:v>1.3537617521273884</x:v>
      </x:c>
      <x:c r="AG125" s="17" t="n">
        <x:f>IF(OR($G125&lt;&gt;"入池",NOT(ISNUMBER(AD125))),"",IF(COUNTIFS($G$17:$G$219,"入池",$AD$17:$AD$219,"&gt;=-1E+307",$AD$17:$AD$219,"&lt;=1E+307")&lt;=1,100,ROUND(100*(COUNTIFS($G$17:$G$219,"入池",$AD$17:$AD$219,"&gt;=-1E+307",$AD$17:$AD$219,"&lt;"&amp;AD125)+COUNTIFS($G$17:$G$219,"入池",$AD$17:$AD$219,AD125,$AD$17:$AD$219,"&gt;=-1E+307",$AD$17:$AD$219,"&lt;=1E+307")/2-0.5)/(COUNTIFS($G$17:$G$219,"入池",$AD$17:$AD$219,"&gt;=-1E+307",$AD$17:$AD$219,"&lt;=1E+307")-1),2)))</x:f>
        <x:v>46.27</x:v>
      </x:c>
      <x:c r="AH125" s="17" t="n">
        <x:f>IF(OR($G125&lt;&gt;"入池",NOT(ISNUMBER(AF125))),"",IF(COUNTIFS($G$17:$G$219,"入池",$AF$17:$AF$219,"&gt;=-1E+307",$AF$17:$AF$219,"&lt;=1E+307")&lt;=1,100,ROUND(100*(COUNTIFS($G$17:$G$219,"入池",$AF$17:$AF$219,"&gt;=-1E+307",$AF$17:$AF$219,"&lt;"&amp;AF125)+COUNTIFS($G$17:$G$219,"入池",$AF$17:$AF$219,AF125,$AF$17:$AF$219,"&gt;=-1E+307",$AF$17:$AF$219,"&lt;=1E+307")/2-0.5)/(COUNTIFS($G$17:$G$219,"入池",$AF$17:$AF$219,"&gt;=-1E+307",$AF$17:$AF$219,"&lt;=1E+307")-1),2)))</x:f>
        <x:v>51.09</x:v>
      </x:c>
      <x:c r="AI125" s="17" t="n">
        <x:f>IF(NOT(ISNUMBER(AG125)),"",IF(NOT(ISNUMBER(AH125)),AG125,ROUND(AG125*'sheet1-指标体系'!$J$8+AH125*'sheet1-指标体系'!$J$9,2)))</x:f>
        <x:v>48.2</x:v>
      </x:c>
      <x:c r="AJ125" s="37" t="n">
        <x:f>IF(NOT(ISNUMBER(F125)),"",IF(F125&gt;=3,IF(NOT(ISNUMBER(N125)),"",N125),IF(NOT(ISNUMBER(O125)),"",O125)))</x:f>
        <x:v>0.0816</x:v>
      </x:c>
      <x:c r="AK125" s="17" t="n">
        <x:f>IF(OR(G125&lt;&gt;"入池",NOT(ISNUMBER(M125)),NOT(ISNUMBER(AJ125))),"",IF(M125&gt;=AJ125,100,IF(AJ125-M125&lt;'sheet1-指标体系'!$J$10,80,60)))</x:f>
        <x:v>100</x:v>
      </x:c>
      <x:c r="AL125" s="17" t="n">
        <x:f>IF(COUNT(I125,K125,L125)=0,"",ROUND((IF(ISNUMBER(I125),I125*40%,0)+IF(ISNUMBER(K125),K125*30%,0)+IF(ISNUMBER(L125),L125*30%,0))/(IF(ISNUMBER(I125),40%,0)+IF(ISNUMBER(K125),30%,0)+IF(ISNUMBER(L125),30%,0)),2))</x:f>
        <x:v>100</x:v>
      </x:c>
      <x:c r="AM125" s="17" t="n">
        <x:f>IF(COUNT(Q125,R125,W125,X125)=0,"",ROUND((IF(ISNUMBER(Q125),Q125*42%,0)+IF(ISNUMBER(R125),R125*28%,0)+IF(ISNUMBER(W125),W125*18%,0)+IF(ISNUMBER(X125),X125*12%,0))/(IF(ISNUMBER(Q125),42%,0)+IF(ISNUMBER(R125),28%,0)+IF(ISNUMBER(W125),18%,0)+IF(ISNUMBER(X125),12%,0)),2))</x:f>
        <x:v>73.81</x:v>
      </x:c>
      <x:c r="AN125" s="17" t="n">
        <x:f>IF(ISNUMBER(AC125),AC125,"")</x:f>
        <x:v>45.05</x:v>
      </x:c>
      <x:c r="AO125" s="17" t="n">
        <x:f>IF(COUNT(AG125,AH125)=0,"",ROUND((IF(ISNUMBER(AG125),AG125*60%,0)+IF(ISNUMBER(AH125),AH125*40%,0))/(IF(ISNUMBER(AG125),60%,0)+IF(ISNUMBER(AH125),40%,0)),2))</x:f>
        <x:v>48.2</x:v>
      </x:c>
      <x:c r="AP125" s="17" t="n">
        <x:f>IF(ISNUMBER(AK125),AK125,"")</x:f>
        <x:v>100</x:v>
      </x:c>
      <x:c r="AQ125" s="39" t="n">
        <x:f>IF(G125&lt;&gt;"入池",0,IF(ISNUMBER(I125),6%,0)+IF(ISNUMBER(K125),4.5%,0)+IF(ISNUMBER(L125),4.5%,0)+IF(ISNUMBER(Q125),8.4%,0)+IF(ISNUMBER(R125),5.6%,0)+IF(ISNUMBER(W125),3.6%,0)+IF(ISNUMBER(X125),2.4%,0)+IF(ISNUMBER(AC125),25%,0)+IF(ISNUMBER(AG125),18%,0)+IF(ISNUMBER(AH125),12%,0)+IF(ISNUMBER(AK125),10%,0))</x:f>
        <x:v>1</x:v>
      </x:c>
      <x:c r="AR125" s="17" t="n">
        <x:f>IF(AQ125=0,"",IF(ISNUMBER(I125),I125*6%,0)+IF(ISNUMBER(K125),K125*4.5%,0)+IF(ISNUMBER(L125),L125*4.5%,0)+IF(ISNUMBER(Q125),Q125*8.4%,0)+IF(ISNUMBER(R125),R125*5.6%,0)+IF(ISNUMBER(W125),W125*3.6%,0)+IF(ISNUMBER(X125),X125*2.4%,0)+IF(ISNUMBER(AC125),AC125*25%,0)+IF(ISNUMBER(AG125),AG125*18%,0)+IF(ISNUMBER(AH125),AH125*12%,0)+IF(ISNUMBER(AK125),AK125*10%,0))</x:f>
        <x:v>65.48308</x:v>
      </x:c>
      <x:c r="AS125" s="17" t="n">
        <x:f>IF(AQ125=0,"",ROUND(AR125/AQ125,2))</x:f>
        <x:v>65.48</x:v>
      </x:c>
      <x:c r="AT125" s="40" t="n">
        <x:f>IF(OR(G125&lt;&gt;"入池",NOT(ISNUMBER(AS125))),"",COUNTIFS($G$17:$G$219,"入池",$AS$17:$AS$219,"&gt;"&amp;AS125)+COUNTIFS($G$17:$G$219,"入池",$AS$17:$AS$219,AS125,$AQ$17:$AQ$219,"&gt;"&amp;AQ125)+COUNTIFS($G$17:G125,"入池",$AS$17:AS125,AS125,$AQ$17:AQ125,AQ125))</x:f>
        <x:v>91</x:v>
      </x:c>
      <x:c r="AU125" s="41" t="str">
        <x:f t="shared" si="4">IF(NOT(ISNUMBER(I125)),"管理人规模；","")&amp;IF(J125="","产品规模标识；","")&amp;IF(AND(F125&lt;3,NOT(ISNUMBER(O125))),"R_incep；","")&amp;IF(NOT(ISNUMBER(N125)),"近三年收益；","")&amp;IF(NOT(ISNUMBER(U125)),"近三年胜率；","")&amp;IF(AND(ISNUMBER(V125),OR(V125&lt;0,V125&gt;1)),"胜率窗口口径不一致；","")&amp;IF(NOT(ISNUMBER(AA125)),"近三年回撤；","")&amp;IF(NOT(ISNUMBER(AD125)),"短期卡玛；","")&amp;IF(AND(ISNUMBER(P125),NOT(ISNUMBER(AE125))),"DD_long不可识别；","")</x:f>
      </x:c>
      <x:c r="AV125" s="42" t="n">
        <x:v>100</x:v>
      </x:c>
      <x:c r="AW125" s="19" t="str">
        <x:v>南京盛泉恒元投资有限公司</x:v>
      </x:c>
      <x:c r="AX125" s="19" t="str">
        <x:v>2026-02-24</x:v>
      </x:c>
      <x:c r="AY125" s="19" t="str">
        <x:v>https://gs.amac.org.cn/amac-infodisc/res/pof/manager/101000008304.html</x:v>
      </x:c>
      <x:c r="AZ125" s="19" t="str">
        <x:v>盛泉恒元多策略量化对冲2号基金</x:v>
      </x:c>
      <x:c r="BA125" s="19" t="str">
        <x:v>2026-03-17</x:v>
      </x:c>
      <x:c r="BB125" s="19"/>
      <x:c r="BC125" s="19" t="str">
        <x:v>https://gs.amac.org.cn/amac-infodisc/res/pof/fund/351000223244.html</x:v>
      </x:c>
      <x:c r="BD125" s="19" t="str">
        <x:v>已匹配</x:v>
      </x:c>
      <x:c r="BE125"/>
      <x:c r="BF125"/>
    </x:row>
    <x:row r="126" ht="28" customHeight="1">
      <x:c r="A126" s="4" t="n">
        <x:v>110</x:v>
      </x:c>
      <x:c r="B126" s="15" t="str">
        <x:f>'sheet4-原始数据'!A111</x:f>
        <x:v>申毅多策略量化7号</x:v>
      </x:c>
      <x:c r="C126" s="15" t="str">
        <x:f>'sheet4-原始数据'!B111</x:f>
        <x:v>S35707</x:v>
      </x:c>
      <x:c r="D126" s="15" t="str">
        <x:f>'sheet4-原始数据'!E111</x:f>
        <x:v>上海申毅投资</x:v>
      </x:c>
      <x:c r="E126" s="32" t="n">
        <x:f>IF(ISNUMBER('sheet4-原始数据'!F111),'sheet4-原始数据'!F111,"")</x:f>
        <x:v>42191</x:v>
      </x:c>
      <x:c r="F126" s="17" t="n">
        <x:f>IF(NOT(ISNUMBER(E126)),"",ROUND(('sheet1-指标体系'!$J$23-E126)/365.25,4))</x:f>
        <x:v>11.1978</x:v>
      </x:c>
      <x:c r="G126" s="4" t="str">
        <x:f t="shared" si="3">IF(NOT(ISNUMBER(F126)),"",IF(F126&lt;1,"不入池","入池"))</x:f>
        <x:v>入池</x:v>
      </x:c>
      <x:c r="H126" s="33" t="str">
        <x:v>100亿元以上</x:v>
      </x:c>
      <x:c r="I126" s="17" t="n">
        <x:f>IF(H126="","",IF(ISNUMBER(SEARCH("100亿元以上",H126)),100,IF(OR(ISNUMBER(SEARCH("20-50",H126)),ISNUMBER(SEARCH("50-100",H126)),ISNUMBER(SEARCH("20-100",H126))),90,IF(ISNUMBER(SEARCH("10-20",H126)),80,IF(ISNUMBER(SEARCH("5-10",H126)),70,IF(ISNUMBER(SEARCH("0-5",H126)),60,""))))))</x:f>
        <x:v>100</x:v>
      </x:c>
      <x:c r="J126" s="34" t="str">
        <x:v>无低于1000万元标识</x:v>
      </x:c>
      <x:c r="K126" s="17" t="n">
        <x:f>IF(J126="","",IF(J126="低于1000万元",0,100))</x:f>
        <x:v>100</x:v>
      </x:c>
      <x:c r="L126" s="17" t="n">
        <x:f>IF(NOT(ISNUMBER(F126)),"",IF(F126&lt;1,"",IF(F126&lt;3,70,100)))</x:f>
        <x:v>100</x:v>
      </x:c>
      <x:c r="M126" s="35" t="n">
        <x:f>IF(ISNUMBER('sheet4-原始数据'!G111),'sheet4-原始数据'!G111,"")</x:f>
        <x:v>0.0227</x:v>
      </x:c>
      <x:c r="N126" s="35" t="n">
        <x:f>IF(ISNUMBER('sheet4-原始数据'!H111),'sheet4-原始数据'!H111,"")</x:f>
        <x:v>0.09390000000000001</x:v>
      </x:c>
      <x:c r="O126" s="36" t="str">
        <x:f>IF(ISNUMBER('sheet4-原始数据'!Q111),'sheet4-原始数据'!Q111,"")</x:f>
      </x:c>
      <x:c r="P126" s="37" t="n">
        <x:f>IF($G126&lt;&gt;"入池","",IF($F126&gt;=3,IF(OR(NOT(ISNUMBER($M126)),NOT(ISNUMBER($N126)),1+$M126&lt;=0,1+$N126&lt;0),"",((1+$N126)^3/(1+$M126))^(1/2)-1),IF(OR($F126&lt;=1,NOT(ISNUMBER($M126)),NOT(ISNUMBER($O126)),1+$M126&lt;=0,1+$O126&lt;0),"",((1+$O126)^$F126/(1+$M126))^(1/($F126-1))-1)))</x:f>
        <x:v>0.13133781982169812</x:v>
      </x:c>
      <x:c r="Q126" s="17" t="n">
        <x:f>IF(OR($G126&lt;&gt;"入池",NOT(ISNUMBER(M126))),"",IF(COUNTIFS($G$17:$G$219,"入池",$M$17:$M$219,"&gt;=-1E+307",$M$17:$M$219,"&lt;=1E+307")&lt;=1,100,ROUND(100*(COUNTIFS($G$17:$G$219,"入池",$M$17:$M$219,"&gt;=-1E+307",$M$17:$M$219,"&lt;"&amp;M126)+COUNTIFS($G$17:$G$219,"入池",$M$17:$M$219,M126,$M$17:$M$219,"&gt;=-1E+307",$M$17:$M$219,"&lt;=1E+307")/2-0.5)/(COUNTIFS($G$17:$G$219,"入池",$M$17:$M$219,"&gt;=-1E+307",$M$17:$M$219,"&lt;=1E+307")-1),2)))</x:f>
        <x:v>27.72</x:v>
      </x:c>
      <x:c r="R126" s="17" t="n">
        <x:f>IF(OR($G126&lt;&gt;"入池",NOT(ISNUMBER(P126))),"",IF(COUNTIFS($G$17:$G$219,"入池",$P$17:$P$219,"&gt;=-1E+307",$P$17:$P$219,"&lt;=1E+307")&lt;=1,100,ROUND(100*(COUNTIFS($G$17:$G$219,"入池",$P$17:$P$219,"&gt;=-1E+307",$P$17:$P$219,"&lt;"&amp;P126)+COUNTIFS($G$17:$G$219,"入池",$P$17:$P$219,P126,$P$17:$P$219,"&gt;=-1E+307",$P$17:$P$219,"&lt;=1E+307")/2-0.5)/(COUNTIFS($G$17:$G$219,"入池",$P$17:$P$219,"&gt;=-1E+307",$P$17:$P$219,"&lt;=1E+307")-1),2)))</x:f>
        <x:v>84.16</x:v>
      </x:c>
      <x:c r="S126" s="17" t="n">
        <x:f>IF(NOT(ISNUMBER(Q126)),"",IF(NOT(ISNUMBER(R126)),Q126,ROUND(Q126*'sheet1-指标体系'!$J$8+R126*'sheet1-指标体系'!$J$9,2)))</x:f>
        <x:v>50.3</x:v>
      </x:c>
      <x:c r="T126" s="35" t="n">
        <x:f>IF(ISNUMBER('sheet4-原始数据'!J111),'sheet4-原始数据'!J111,"")</x:f>
        <x:v>0.6923</x:v>
      </x:c>
      <x:c r="U126" s="35" t="n">
        <x:f>IF(ISNUMBER('sheet4-原始数据'!I111),'sheet4-原始数据'!I111,"")</x:f>
        <x:v>0.7837999999999999</x:v>
      </x:c>
      <x:c r="V126" s="37" t="n">
        <x:f>IF(OR(NOT(ISNUMBER(T126)),NOT(ISNUMBER(U126))),"",(U126*'sheet1-指标体系'!$J$6-T126*'sheet1-指标体系'!$J$5)/'sheet1-指标体系'!$J$7)</x:f>
        <x:v>0.8333624999999999</x:v>
      </x:c>
      <x:c r="W126" s="17" t="n">
        <x:f>IF(NOT(ISNUMBER(T126)),"",T126*100)</x:f>
        <x:v>69.23</x:v>
      </x:c>
      <x:c r="X126" s="17" t="n">
        <x:f>IF($G126&lt;&gt;"入池","",IF(AND(ISNUMBER(V126),V126&gt;=0,V126&lt;=1),V126*100,IF(MAX(0,($F126-1)*12)&lt;6,100,"")))</x:f>
        <x:v>83.33624999999999</x:v>
      </x:c>
      <x:c r="Y126" s="17" t="n">
        <x:f>IF(NOT(ISNUMBER(W126)),"",IF(NOT(ISNUMBER(X126)),W126,ROUND(W126*'sheet1-指标体系'!$J$8+X126*'sheet1-指标体系'!$J$9,2)))</x:f>
        <x:v>74.87</x:v>
      </x:c>
      <x:c r="Z126" s="37" t="n">
        <x:f>IF(OR(NOT(ISNUMBER(M126)),NOT(ISNUMBER(AD126)),AD126=0),"",ABS(M126/AD126))</x:f>
        <x:v>0.035798769910108816</x:v>
      </x:c>
      <x:c r="AA126" s="35" t="n">
        <x:f>IF(ISNUMBER('sheet4-原始数据'!K111),'sheet4-原始数据'!K111,"")</x:f>
        <x:v>0.0999</x:v>
      </x:c>
      <x:c r="AB126" s="37" t="n">
        <x:f>IF(COUNT(Z126:AA126)=0,"",MAX(Z126:AA126))</x:f>
        <x:v>0.0999</x:v>
      </x:c>
      <x:c r="AC126" s="17" t="n">
        <x:f>IF(OR($G126&lt;&gt;"入池",NOT(ISNUMBER(AB126))),"",IF(COUNTIFS($G$17:$G$219,"入池",$AB$17:$AB$219,"&gt;=-1E+307",$AB$17:$AB$219,"&lt;=1E+307")&lt;=1,100,ROUND(100*(COUNTIFS($G$17:$G$219,"入池",$AB$17:$AB$219,"&lt;=1E+307",$AB$17:$AB$219,"&gt;"&amp;AB126)+COUNTIFS($G$17:$G$219,"入池",$AB$17:$AB$219,AB126,$AB$17:$AB$219,"&gt;=-1E+307",$AB$17:$AB$219,"&lt;=1E+307")/2-0.5)/(COUNTIFS($G$17:$G$219,"入池",$AB$17:$AB$219,"&gt;=-1E+307",$AB$17:$AB$219,"&lt;=1E+307")-1),2)))</x:f>
        <x:v>26.73</x:v>
      </x:c>
      <x:c r="AD126" s="38" t="n">
        <x:f>IF(ISNUMBER('sheet4-原始数据'!M111),'sheet4-原始数据'!M111,"")</x:f>
        <x:v>0.6341</x:v>
      </x:c>
      <x:c r="AE126" s="37" t="n">
        <x:f t="shared" si="5">IF(OR(NOT(ISNUMBER(P126)),NOT(ISNUMBER(AA126)),NOT(ISNUMBER(Z126))),"",IF(AA126&gt;Z126+'sheet1-指标体系'!$J$11,AA126,""))</x:f>
        <x:v>0.0999</x:v>
      </x:c>
      <x:c r="AF126" s="17" t="n">
        <x:f>IF(OR(NOT(ISNUMBER(P126)),NOT(ISNUMBER(AE126)),AE126=0),"",P126/AE126)</x:f>
        <x:v>1.3146928911080893</x:v>
      </x:c>
      <x:c r="AG126" s="17" t="n">
        <x:f>IF(OR($G126&lt;&gt;"入池",NOT(ISNUMBER(AD126))),"",IF(COUNTIFS($G$17:$G$219,"入池",$AD$17:$AD$219,"&gt;=-1E+307",$AD$17:$AD$219,"&lt;=1E+307")&lt;=1,100,ROUND(100*(COUNTIFS($G$17:$G$219,"入池",$AD$17:$AD$219,"&gt;=-1E+307",$AD$17:$AD$219,"&lt;"&amp;AD126)+COUNTIFS($G$17:$G$219,"入池",$AD$17:$AD$219,AD126,$AD$17:$AD$219,"&gt;=-1E+307",$AD$17:$AD$219,"&lt;=1E+307")/2-0.5)/(COUNTIFS($G$17:$G$219,"入池",$AD$17:$AD$219,"&gt;=-1E+307",$AD$17:$AD$219,"&lt;=1E+307")-1),2)))</x:f>
        <x:v>29.35</x:v>
      </x:c>
      <x:c r="AH126" s="17" t="n">
        <x:f>IF(OR($G126&lt;&gt;"入池",NOT(ISNUMBER(AF126))),"",IF(COUNTIFS($G$17:$G$219,"入池",$AF$17:$AF$219,"&gt;=-1E+307",$AF$17:$AF$219,"&lt;=1E+307")&lt;=1,100,ROUND(100*(COUNTIFS($G$17:$G$219,"入池",$AF$17:$AF$219,"&gt;=-1E+307",$AF$17:$AF$219,"&lt;"&amp;AF126)+COUNTIFS($G$17:$G$219,"入池",$AF$17:$AF$219,AF126,$AF$17:$AF$219,"&gt;=-1E+307",$AF$17:$AF$219,"&lt;=1E+307")/2-0.5)/(COUNTIFS($G$17:$G$219,"入池",$AF$17:$AF$219,"&gt;=-1E+307",$AF$17:$AF$219,"&lt;=1E+307")-1),2)))</x:f>
        <x:v>50.36</x:v>
      </x:c>
      <x:c r="AI126" s="17" t="n">
        <x:f>IF(NOT(ISNUMBER(AG126)),"",IF(NOT(ISNUMBER(AH126)),AG126,ROUND(AG126*'sheet1-指标体系'!$J$8+AH126*'sheet1-指标体系'!$J$9,2)))</x:f>
        <x:v>37.75</x:v>
      </x:c>
      <x:c r="AJ126" s="37" t="n">
        <x:f>IF(NOT(ISNUMBER(F126)),"",IF(F126&gt;=3,IF(NOT(ISNUMBER(N126)),"",N126),IF(NOT(ISNUMBER(O126)),"",O126)))</x:f>
        <x:v>0.09390000000000001</x:v>
      </x:c>
      <x:c r="AK126" s="17" t="n">
        <x:f>IF(OR(G126&lt;&gt;"入池",NOT(ISNUMBER(M126)),NOT(ISNUMBER(AJ126))),"",IF(M126&gt;=AJ126,100,IF(AJ126-M126&lt;'sheet1-指标体系'!$J$10,80,60)))</x:f>
        <x:v>80</x:v>
      </x:c>
      <x:c r="AL126" s="17" t="n">
        <x:f>IF(COUNT(I126,K126,L126)=0,"",ROUND((IF(ISNUMBER(I126),I126*40%,0)+IF(ISNUMBER(K126),K126*30%,0)+IF(ISNUMBER(L126),L126*30%,0))/(IF(ISNUMBER(I126),40%,0)+IF(ISNUMBER(K126),30%,0)+IF(ISNUMBER(L126),30%,0)),2))</x:f>
        <x:v>100</x:v>
      </x:c>
      <x:c r="AM126" s="17" t="n">
        <x:f>IF(COUNT(Q126,R126,W126,X126)=0,"",ROUND((IF(ISNUMBER(Q126),Q126*42%,0)+IF(ISNUMBER(R126),R126*28%,0)+IF(ISNUMBER(W126),W126*18%,0)+IF(ISNUMBER(X126),X126*12%,0))/(IF(ISNUMBER(Q126),42%,0)+IF(ISNUMBER(R126),28%,0)+IF(ISNUMBER(W126),18%,0)+IF(ISNUMBER(X126),12%,0)),2))</x:f>
        <x:v>57.67</x:v>
      </x:c>
      <x:c r="AN126" s="17" t="n">
        <x:f>IF(ISNUMBER(AC126),AC126,"")</x:f>
        <x:v>26.73</x:v>
      </x:c>
      <x:c r="AO126" s="17" t="n">
        <x:f>IF(COUNT(AG126,AH126)=0,"",ROUND((IF(ISNUMBER(AG126),AG126*60%,0)+IF(ISNUMBER(AH126),AH126*40%,0))/(IF(ISNUMBER(AG126),60%,0)+IF(ISNUMBER(AH126),40%,0)),2))</x:f>
        <x:v>37.75</x:v>
      </x:c>
      <x:c r="AP126" s="17" t="n">
        <x:f>IF(ISNUMBER(AK126),AK126,"")</x:f>
        <x:v>80</x:v>
      </x:c>
      <x:c r="AQ126" s="39" t="n">
        <x:f>IF(G126&lt;&gt;"入池",0,IF(ISNUMBER(I126),6%,0)+IF(ISNUMBER(K126),4.5%,0)+IF(ISNUMBER(L126),4.5%,0)+IF(ISNUMBER(Q126),8.4%,0)+IF(ISNUMBER(R126),5.6%,0)+IF(ISNUMBER(W126),3.6%,0)+IF(ISNUMBER(X126),2.4%,0)+IF(ISNUMBER(AC126),25%,0)+IF(ISNUMBER(AG126),18%,0)+IF(ISNUMBER(AH126),12%,0)+IF(ISNUMBER(AK126),10%,0))</x:f>
        <x:v>1</x:v>
      </x:c>
      <x:c r="AR126" s="17" t="n">
        <x:f>IF(AQ126=0,"",IF(ISNUMBER(I126),I126*6%,0)+IF(ISNUMBER(K126),K126*4.5%,0)+IF(ISNUMBER(L126),L126*4.5%,0)+IF(ISNUMBER(Q126),Q126*8.4%,0)+IF(ISNUMBER(R126),R126*5.6%,0)+IF(ISNUMBER(W126),W126*3.6%,0)+IF(ISNUMBER(X126),X126*2.4%,0)+IF(ISNUMBER(AC126),AC126*25%,0)+IF(ISNUMBER(AG126),AG126*18%,0)+IF(ISNUMBER(AH126),AH126*12%,0)+IF(ISNUMBER(AK126),AK126*10%,0))</x:f>
        <x:v>52.54249</x:v>
      </x:c>
      <x:c r="AS126" s="17" t="n">
        <x:f>IF(AQ126=0,"",ROUND(AR126/AQ126,2))</x:f>
        <x:v>52.54</x:v>
      </x:c>
      <x:c r="AT126" s="40" t="n">
        <x:f>IF(OR(G126&lt;&gt;"入池",NOT(ISNUMBER(AS126))),"",COUNTIFS($G$17:$G$219,"入池",$AS$17:$AS$219,"&gt;"&amp;AS126)+COUNTIFS($G$17:$G$219,"入池",$AS$17:$AS$219,AS126,$AQ$17:$AQ$219,"&gt;"&amp;AQ126)+COUNTIFS($G$17:G126,"入池",$AS$17:AS126,AS126,$AQ$17:AQ126,AQ126))</x:f>
        <x:v>136</x:v>
      </x:c>
      <x:c r="AU126" s="41" t="str">
        <x:f t="shared" si="4">IF(NOT(ISNUMBER(I126)),"管理人规模；","")&amp;IF(J126="","产品规模标识；","")&amp;IF(AND(F126&lt;3,NOT(ISNUMBER(O126))),"R_incep；","")&amp;IF(NOT(ISNUMBER(N126)),"近三年收益；","")&amp;IF(NOT(ISNUMBER(U126)),"近三年胜率；","")&amp;IF(AND(ISNUMBER(V126),OR(V126&lt;0,V126&gt;1)),"胜率窗口口径不一致；","")&amp;IF(NOT(ISNUMBER(AA126)),"近三年回撤；","")&amp;IF(NOT(ISNUMBER(AD126)),"短期卡玛；","")&amp;IF(AND(ISNUMBER(P126),NOT(ISNUMBER(AE126))),"DD_long不可识别；","")</x:f>
      </x:c>
      <x:c r="AV126" s="42" t="n">
        <x:v>100</x:v>
      </x:c>
      <x:c r="AW126" s="19" t="str">
        <x:v>上海申毅投资股份有限公司</x:v>
      </x:c>
      <x:c r="AX126" s="19" t="str">
        <x:v>2026-04-28</x:v>
      </x:c>
      <x:c r="AY126" s="19" t="str">
        <x:v>https://gs.amac.org.cn/amac-infodisc/res/pof/manager/101000000870.html</x:v>
      </x:c>
      <x:c r="AZ126" s="19" t="str">
        <x:v>申毅多策略量化7号</x:v>
      </x:c>
      <x:c r="BA126" s="19" t="str">
        <x:v>2024-08-08</x:v>
      </x:c>
      <x:c r="BB126" s="19"/>
      <x:c r="BC126" s="19" t="str">
        <x:v>https://gs.amac.org.cn/amac-infodisc/res/pof/fund/351000188777.html</x:v>
      </x:c>
      <x:c r="BD126" s="19" t="str">
        <x:v>已匹配</x:v>
      </x:c>
      <x:c r="BE126"/>
      <x:c r="BF126"/>
    </x:row>
    <x:row r="127" ht="28" customHeight="1">
      <x:c r="A127" s="4" t="n">
        <x:v>111</x:v>
      </x:c>
      <x:c r="B127" s="15" t="str">
        <x:f>'sheet4-原始数据'!A112</x:f>
        <x:v>汇艾稳健3号</x:v>
      </x:c>
      <x:c r="C127" s="15" t="str">
        <x:f>'sheet4-原始数据'!B112</x:f>
        <x:v>SR8584</x:v>
      </x:c>
      <x:c r="D127" s="15" t="str">
        <x:f>'sheet4-原始数据'!E112</x:f>
        <x:v>上海汇艾资管</x:v>
      </x:c>
      <x:c r="E127" s="32" t="n">
        <x:f>IF(ISNUMBER('sheet4-原始数据'!F112),'sheet4-原始数据'!F112,"")</x:f>
        <x:v>42772</x:v>
      </x:c>
      <x:c r="F127" s="17" t="n">
        <x:f>IF(NOT(ISNUMBER(E127)),"",ROUND(('sheet1-指标体系'!$J$23-E127)/365.25,4))</x:f>
        <x:v>9.6071</x:v>
      </x:c>
      <x:c r="G127" s="4" t="str">
        <x:f t="shared" si="3">IF(NOT(ISNUMBER(F127)),"",IF(F127&lt;1,"不入池","入池"))</x:f>
        <x:v>入池</x:v>
      </x:c>
      <x:c r="H127" s="33" t="str">
        <x:v>0-5亿元</x:v>
      </x:c>
      <x:c r="I127" s="17" t="n">
        <x:f>IF(H127="","",IF(ISNUMBER(SEARCH("100亿元以上",H127)),100,IF(OR(ISNUMBER(SEARCH("20-50",H127)),ISNUMBER(SEARCH("50-100",H127)),ISNUMBER(SEARCH("20-100",H127))),90,IF(ISNUMBER(SEARCH("10-20",H127)),80,IF(ISNUMBER(SEARCH("5-10",H127)),70,IF(ISNUMBER(SEARCH("0-5",H127)),60,""))))))</x:f>
        <x:v>60</x:v>
      </x:c>
      <x:c r="J127" s="34" t="str">
        <x:v>无低于1000万元标识</x:v>
      </x:c>
      <x:c r="K127" s="17" t="n">
        <x:f>IF(J127="","",IF(J127="低于1000万元",0,100))</x:f>
        <x:v>100</x:v>
      </x:c>
      <x:c r="L127" s="17" t="n">
        <x:f>IF(NOT(ISNUMBER(F127)),"",IF(F127&lt;1,"",IF(F127&lt;3,70,100)))</x:f>
        <x:v>100</x:v>
      </x:c>
      <x:c r="M127" s="35" t="n">
        <x:f>IF(ISNUMBER('sheet4-原始数据'!G112),'sheet4-原始数据'!G112,"")</x:f>
        <x:v>0.08070000000000001</x:v>
      </x:c>
      <x:c r="N127" s="35" t="n">
        <x:f>IF(ISNUMBER('sheet4-原始数据'!H112),'sheet4-原始数据'!H112,"")</x:f>
        <x:v>0.0444</x:v>
      </x:c>
      <x:c r="O127" s="36" t="str">
        <x:f>IF(ISNUMBER('sheet4-原始数据'!Q112),'sheet4-原始数据'!Q112,"")</x:f>
      </x:c>
      <x:c r="P127" s="37" t="n">
        <x:f>IF($G127&lt;&gt;"入池","",IF($F127&gt;=3,IF(OR(NOT(ISNUMBER($M127)),NOT(ISNUMBER($N127)),1+$M127&lt;=0,1+$N127&lt;0),"",((1+$N127)^3/(1+$M127))^(1/2)-1),IF(OR($F127&lt;=1,NOT(ISNUMBER($M127)),NOT(ISNUMBER($O127)),1+$M127&lt;=0,1+$O127&lt;0),"",((1+$O127)^$F127/(1+$M127))^(1/($F127-1))-1)))</x:f>
        <x:v>0.02670982739148653</x:v>
      </x:c>
      <x:c r="Q127" s="17" t="n">
        <x:f>IF(OR($G127&lt;&gt;"入池",NOT(ISNUMBER(M127))),"",IF(COUNTIFS($G$17:$G$219,"入池",$M$17:$M$219,"&gt;=-1E+307",$M$17:$M$219,"&lt;=1E+307")&lt;=1,100,ROUND(100*(COUNTIFS($G$17:$G$219,"入池",$M$17:$M$219,"&gt;=-1E+307",$M$17:$M$219,"&lt;"&amp;M127)+COUNTIFS($G$17:$G$219,"入池",$M$17:$M$219,M127,$M$17:$M$219,"&gt;=-1E+307",$M$17:$M$219,"&lt;=1E+307")/2-0.5)/(COUNTIFS($G$17:$G$219,"入池",$M$17:$M$219,"&gt;=-1E+307",$M$17:$M$219,"&lt;=1E+307")-1),2)))</x:f>
        <x:v>72.28</x:v>
      </x:c>
      <x:c r="R127" s="17" t="n">
        <x:f>IF(OR($G127&lt;&gt;"入池",NOT(ISNUMBER(P127))),"",IF(COUNTIFS($G$17:$G$219,"入池",$P$17:$P$219,"&gt;=-1E+307",$P$17:$P$219,"&lt;=1E+307")&lt;=1,100,ROUND(100*(COUNTIFS($G$17:$G$219,"入池",$P$17:$P$219,"&gt;=-1E+307",$P$17:$P$219,"&lt;"&amp;P127)+COUNTIFS($G$17:$G$219,"入池",$P$17:$P$219,P127,$P$17:$P$219,"&gt;=-1E+307",$P$17:$P$219,"&lt;=1E+307")/2-0.5)/(COUNTIFS($G$17:$G$219,"入池",$P$17:$P$219,"&gt;=-1E+307",$P$17:$P$219,"&lt;=1E+307")-1),2)))</x:f>
        <x:v>13.37</x:v>
      </x:c>
      <x:c r="S127" s="17" t="n">
        <x:f>IF(NOT(ISNUMBER(Q127)),"",IF(NOT(ISNUMBER(R127)),Q127,ROUND(Q127*'sheet1-指标体系'!$J$8+R127*'sheet1-指标体系'!$J$9,2)))</x:f>
        <x:v>48.72</x:v>
      </x:c>
      <x:c r="T127" s="35" t="n">
        <x:f>IF(ISNUMBER('sheet4-原始数据'!J112),'sheet4-原始数据'!J112,"")</x:f>
        <x:v>1</x:v>
      </x:c>
      <x:c r="U127" s="35" t="n">
        <x:f>IF(ISNUMBER('sheet4-原始数据'!I112),'sheet4-原始数据'!I112,"")</x:f>
        <x:v>0.8108</x:v>
      </x:c>
      <x:c r="V127" s="37" t="n">
        <x:f>IF(OR(NOT(ISNUMBER(T127)),NOT(ISNUMBER(U127))),"",(U127*'sheet1-指标体系'!$J$6-T127*'sheet1-指标体系'!$J$5)/'sheet1-指标体系'!$J$7)</x:f>
        <x:v>0.7083166666666666</x:v>
      </x:c>
      <x:c r="W127" s="17" t="n">
        <x:f>IF(NOT(ISNUMBER(T127)),"",T127*100)</x:f>
        <x:v>100</x:v>
      </x:c>
      <x:c r="X127" s="17" t="n">
        <x:f>IF($G127&lt;&gt;"入池","",IF(AND(ISNUMBER(V127),V127&gt;=0,V127&lt;=1),V127*100,IF(MAX(0,($F127-1)*12)&lt;6,100,"")))</x:f>
        <x:v>70.83166666666666</x:v>
      </x:c>
      <x:c r="Y127" s="17" t="n">
        <x:f>IF(NOT(ISNUMBER(W127)),"",IF(NOT(ISNUMBER(X127)),W127,ROUND(W127*'sheet1-指标体系'!$J$8+X127*'sheet1-指标体系'!$J$9,2)))</x:f>
        <x:v>88.33</x:v>
      </x:c>
      <x:c r="Z127" s="37" t="n">
        <x:f>IF(OR(NOT(ISNUMBER(M127)),NOT(ISNUMBER(AD127)),AD127=0),"",ABS(M127/AD127))</x:f>
        <x:v>0.007819767441860465</x:v>
      </x:c>
      <x:c r="AA127" s="35" t="n">
        <x:f>IF(ISNUMBER('sheet4-原始数据'!K112),'sheet4-原始数据'!K112,"")</x:f>
        <x:v>0.0106</x:v>
      </x:c>
      <x:c r="AB127" s="37" t="n">
        <x:f>IF(COUNT(Z127:AA127)=0,"",MAX(Z127:AA127))</x:f>
        <x:v>0.0106</x:v>
      </x:c>
      <x:c r="AC127" s="17" t="n">
        <x:f>IF(OR($G127&lt;&gt;"入池",NOT(ISNUMBER(AB127))),"",IF(COUNTIFS($G$17:$G$219,"入池",$AB$17:$AB$219,"&gt;=-1E+307",$AB$17:$AB$219,"&lt;=1E+307")&lt;=1,100,ROUND(100*(COUNTIFS($G$17:$G$219,"入池",$AB$17:$AB$219,"&lt;=1E+307",$AB$17:$AB$219,"&gt;"&amp;AB127)+COUNTIFS($G$17:$G$219,"入池",$AB$17:$AB$219,AB127,$AB$17:$AB$219,"&gt;=-1E+307",$AB$17:$AB$219,"&lt;=1E+307")/2-0.5)/(COUNTIFS($G$17:$G$219,"入池",$AB$17:$AB$219,"&gt;=-1E+307",$AB$17:$AB$219,"&lt;=1E+307")-1),2)))</x:f>
        <x:v>86.63</x:v>
      </x:c>
      <x:c r="AD127" s="38" t="n">
        <x:f>IF(ISNUMBER('sheet4-原始数据'!M112),'sheet4-原始数据'!M112,"")</x:f>
        <x:v>10.32</x:v>
      </x:c>
      <x:c r="AE127" s="37" t="n">
        <x:f>IF(OR(NOT(ISNUMBER(P127)),NOT(ISNUMBER(AA127)),NOT(ISNUMBER(Z127))),"",IF(AA127&gt;Z127+'sheet1-指标体系'!$J$11,AA127,""))</x:f>
        <x:v>0.0106</x:v>
      </x:c>
      <x:c r="AF127" s="17" t="n">
        <x:f>IF(OR(NOT(ISNUMBER(P127)),NOT(ISNUMBER(AE127)),AE127=0),"",P127/AE127)</x:f>
        <x:v>2.5197950369326914</x:v>
      </x:c>
      <x:c r="AG127" s="17" t="n">
        <x:f>IF(OR($G127&lt;&gt;"入池",NOT(ISNUMBER(AD127))),"",IF(COUNTIFS($G$17:$G$219,"入池",$AD$17:$AD$219,"&gt;=-1E+307",$AD$17:$AD$219,"&lt;=1E+307")&lt;=1,100,ROUND(100*(COUNTIFS($G$17:$G$219,"入池",$AD$17:$AD$219,"&gt;=-1E+307",$AD$17:$AD$219,"&lt;"&amp;AD127)+COUNTIFS($G$17:$G$219,"入池",$AD$17:$AD$219,AD127,$AD$17:$AD$219,"&gt;=-1E+307",$AD$17:$AD$219,"&lt;=1E+307")/2-0.5)/(COUNTIFS($G$17:$G$219,"入池",$AD$17:$AD$219,"&gt;=-1E+307",$AD$17:$AD$219,"&lt;=1E+307")-1),2)))</x:f>
        <x:v>79.6</x:v>
      </x:c>
      <x:c r="AH127" s="17" t="n">
        <x:f>IF(OR($G127&lt;&gt;"入池",NOT(ISNUMBER(AF127))),"",IF(COUNTIFS($G$17:$G$219,"入池",$AF$17:$AF$219,"&gt;=-1E+307",$AF$17:$AF$219,"&lt;=1E+307")&lt;=1,100,ROUND(100*(COUNTIFS($G$17:$G$219,"入池",$AF$17:$AF$219,"&gt;=-1E+307",$AF$17:$AF$219,"&lt;"&amp;AF127)+COUNTIFS($G$17:$G$219,"入池",$AF$17:$AF$219,AF127,$AF$17:$AF$219,"&gt;=-1E+307",$AF$17:$AF$219,"&lt;=1E+307")/2-0.5)/(COUNTIFS($G$17:$G$219,"入池",$AF$17:$AF$219,"&gt;=-1E+307",$AF$17:$AF$219,"&lt;=1E+307")-1),2)))</x:f>
        <x:v>70.8</x:v>
      </x:c>
      <x:c r="AI127" s="17" t="n">
        <x:f>IF(NOT(ISNUMBER(AG127)),"",IF(NOT(ISNUMBER(AH127)),AG127,ROUND(AG127*'sheet1-指标体系'!$J$8+AH127*'sheet1-指标体系'!$J$9,2)))</x:f>
        <x:v>76.08</x:v>
      </x:c>
      <x:c r="AJ127" s="37" t="n">
        <x:f>IF(NOT(ISNUMBER(F127)),"",IF(F127&gt;=3,IF(NOT(ISNUMBER(N127)),"",N127),IF(NOT(ISNUMBER(O127)),"",O127)))</x:f>
        <x:v>0.0444</x:v>
      </x:c>
      <x:c r="AK127" s="17" t="n">
        <x:f>IF(OR(G127&lt;&gt;"入池",NOT(ISNUMBER(M127)),NOT(ISNUMBER(AJ127))),"",IF(M127&gt;=AJ127,100,IF(AJ127-M127&lt;'sheet1-指标体系'!$J$10,80,60)))</x:f>
        <x:v>100</x:v>
      </x:c>
      <x:c r="AL127" s="17" t="n">
        <x:f>IF(COUNT(I127,K127,L127)=0,"",ROUND((IF(ISNUMBER(I127),I127*40%,0)+IF(ISNUMBER(K127),K127*30%,0)+IF(ISNUMBER(L127),L127*30%,0))/(IF(ISNUMBER(I127),40%,0)+IF(ISNUMBER(K127),30%,0)+IF(ISNUMBER(L127),30%,0)),2))</x:f>
        <x:v>84</x:v>
      </x:c>
      <x:c r="AM127" s="17" t="n">
        <x:f>IF(COUNT(Q127,R127,W127,X127)=0,"",ROUND((IF(ISNUMBER(Q127),Q127*42%,0)+IF(ISNUMBER(R127),R127*28%,0)+IF(ISNUMBER(W127),W127*18%,0)+IF(ISNUMBER(X127),X127*12%,0))/(IF(ISNUMBER(Q127),42%,0)+IF(ISNUMBER(R127),28%,0)+IF(ISNUMBER(W127),18%,0)+IF(ISNUMBER(X127),12%,0)),2))</x:f>
        <x:v>60.6</x:v>
      </x:c>
      <x:c r="AN127" s="17" t="n">
        <x:f>IF(ISNUMBER(AC127),AC127,"")</x:f>
        <x:v>86.63</x:v>
      </x:c>
      <x:c r="AO127" s="17" t="n">
        <x:f>IF(COUNT(AG127,AH127)=0,"",ROUND((IF(ISNUMBER(AG127),AG127*60%,0)+IF(ISNUMBER(AH127),AH127*40%,0))/(IF(ISNUMBER(AG127),60%,0)+IF(ISNUMBER(AH127),40%,0)),2))</x:f>
        <x:v>76.08</x:v>
      </x:c>
      <x:c r="AP127" s="17" t="n">
        <x:f>IF(ISNUMBER(AK127),AK127,"")</x:f>
        <x:v>100</x:v>
      </x:c>
      <x:c r="AQ127" s="39" t="n">
        <x:f>IF(G127&lt;&gt;"入池",0,IF(ISNUMBER(I127),6%,0)+IF(ISNUMBER(K127),4.5%,0)+IF(ISNUMBER(L127),4.5%,0)+IF(ISNUMBER(Q127),8.4%,0)+IF(ISNUMBER(R127),5.6%,0)+IF(ISNUMBER(W127),3.6%,0)+IF(ISNUMBER(X127),2.4%,0)+IF(ISNUMBER(AC127),25%,0)+IF(ISNUMBER(AG127),18%,0)+IF(ISNUMBER(AH127),12%,0)+IF(ISNUMBER(AK127),10%,0))</x:f>
        <x:v>1</x:v>
      </x:c>
      <x:c r="AR127" s="17" t="n">
        <x:f>IF(AQ127=0,"",IF(ISNUMBER(I127),I127*6%,0)+IF(ISNUMBER(K127),K127*4.5%,0)+IF(ISNUMBER(L127),L127*4.5%,0)+IF(ISNUMBER(Q127),Q127*8.4%,0)+IF(ISNUMBER(R127),R127*5.6%,0)+IF(ISNUMBER(W127),W127*3.6%,0)+IF(ISNUMBER(X127),X127*2.4%,0)+IF(ISNUMBER(AC127),AC127*25%,0)+IF(ISNUMBER(AG127),AG127*18%,0)+IF(ISNUMBER(AH127),AH127*12%,0)+IF(ISNUMBER(AK127),AK127*10%,0))</x:f>
        <x:v>79.2017</x:v>
      </x:c>
      <x:c r="AS127" s="17" t="n">
        <x:f>IF(AQ127=0,"",ROUND(AR127/AQ127,2))</x:f>
        <x:v>79.2</x:v>
      </x:c>
      <x:c r="AT127" s="40" t="n">
        <x:f>IF(OR(G127&lt;&gt;"入池",NOT(ISNUMBER(AS127))),"",COUNTIFS($G$17:$G$219,"入池",$AS$17:$AS$219,"&gt;"&amp;AS127)+COUNTIFS($G$17:$G$219,"入池",$AS$17:$AS$219,AS127,$AQ$17:$AQ$219,"&gt;"&amp;AQ127)+COUNTIFS($G$17:G127,"入池",$AS$17:AS127,AS127,$AQ$17:AQ127,AQ127))</x:f>
        <x:v>37</x:v>
      </x:c>
      <x:c r="AU127" s="41" t="str">
        <x:f t="shared" si="4">IF(NOT(ISNUMBER(I127)),"管理人规模；","")&amp;IF(J127="","产品规模标识；","")&amp;IF(AND(F127&lt;3,NOT(ISNUMBER(O127))),"R_incep；","")&amp;IF(NOT(ISNUMBER(N127)),"近三年收益；","")&amp;IF(NOT(ISNUMBER(U127)),"近三年胜率；","")&amp;IF(AND(ISNUMBER(V127),OR(V127&lt;0,V127&gt;1)),"胜率窗口口径不一致；","")&amp;IF(NOT(ISNUMBER(AA127)),"近三年回撤；","")&amp;IF(NOT(ISNUMBER(AD127)),"短期卡玛；","")&amp;IF(AND(ISNUMBER(P127),NOT(ISNUMBER(AE127))),"DD_long不可识别；","")</x:f>
      </x:c>
      <x:c r="AV127" s="42" t="n">
        <x:v>0</x:v>
      </x:c>
      <x:c r="AW127" s="19" t="str">
        <x:v>上海汇艾资产管理有限公司</x:v>
      </x:c>
      <x:c r="AX127" s="19" t="str">
        <x:v>2026-07-28</x:v>
      </x:c>
      <x:c r="AY127" s="19" t="str">
        <x:v>https://gs.amac.org.cn/amac-infodisc/res/pof/manager/101000016385.html</x:v>
      </x:c>
      <x:c r="AZ127" s="19" t="str">
        <x:v>汇艾稳健3号私募投资基金</x:v>
      </x:c>
      <x:c r="BA127" s="19" t="str">
        <x:v>2020-09-24</x:v>
      </x:c>
      <x:c r="BB127" s="19"/>
      <x:c r="BC127" s="19" t="str">
        <x:v>https://gs.amac.org.cn/amac-infodisc/res/pof/fund/351000760422.html</x:v>
      </x:c>
      <x:c r="BD127" s="19" t="str">
        <x:v>已匹配</x:v>
      </x:c>
      <x:c r="BE127"/>
      <x:c r="BF127"/>
    </x:row>
    <x:row r="128" ht="28" customHeight="1">
      <x:c r="A128" s="4" t="n">
        <x:v>112</x:v>
      </x:c>
      <x:c r="B128" s="15" t="str">
        <x:f>'sheet4-原始数据'!A113</x:f>
        <x:v>博普稳增3号</x:v>
      </x:c>
      <x:c r="C128" s="15" t="str">
        <x:f>'sheet4-原始数据'!B113</x:f>
        <x:v>SW7191</x:v>
      </x:c>
      <x:c r="D128" s="15" t="str">
        <x:f>'sheet4-原始数据'!E113</x:f>
        <x:v>深圳博普科技</x:v>
      </x:c>
      <x:c r="E128" s="32" t="n">
        <x:f>IF(ISNUMBER('sheet4-原始数据'!F113),'sheet4-原始数据'!F113,"")</x:f>
        <x:v>43031</x:v>
      </x:c>
      <x:c r="F128" s="17" t="n">
        <x:f>IF(NOT(ISNUMBER(E128)),"",ROUND(('sheet1-指标体系'!$J$23-E128)/365.25,4))</x:f>
        <x:v>8.898</x:v>
      </x:c>
      <x:c r="G128" s="4" t="str">
        <x:f t="shared" si="3">IF(NOT(ISNUMBER(F128)),"",IF(F128&lt;1,"不入池","入池"))</x:f>
        <x:v>入池</x:v>
      </x:c>
      <x:c r="H128" s="33" t="str">
        <x:v>100亿元以上</x:v>
      </x:c>
      <x:c r="I128" s="17" t="n">
        <x:f>IF(H128="","",IF(ISNUMBER(SEARCH("100亿元以上",H128)),100,IF(OR(ISNUMBER(SEARCH("20-50",H128)),ISNUMBER(SEARCH("50-100",H128)),ISNUMBER(SEARCH("20-100",H128))),90,IF(ISNUMBER(SEARCH("10-20",H128)),80,IF(ISNUMBER(SEARCH("5-10",H128)),70,IF(ISNUMBER(SEARCH("0-5",H128)),60,""))))))</x:f>
        <x:v>100</x:v>
      </x:c>
      <x:c r="J128" s="34" t="str">
        <x:v>无低于1000万元标识</x:v>
      </x:c>
      <x:c r="K128" s="17" t="n">
        <x:f>IF(J128="","",IF(J128="低于1000万元",0,100))</x:f>
        <x:v>100</x:v>
      </x:c>
      <x:c r="L128" s="17" t="n">
        <x:f>IF(NOT(ISNUMBER(F128)),"",IF(F128&lt;1,"",IF(F128&lt;3,70,100)))</x:f>
        <x:v>100</x:v>
      </x:c>
      <x:c r="M128" s="35" t="n">
        <x:f>IF(ISNUMBER('sheet4-原始数据'!G113),'sheet4-原始数据'!G113,"")</x:f>
        <x:v>0.056299999999999996</x:v>
      </x:c>
      <x:c r="N128" s="35" t="n">
        <x:f>IF(ISNUMBER('sheet4-原始数据'!H113),'sheet4-原始数据'!H113,"")</x:f>
        <x:v>0.0417</x:v>
      </x:c>
      <x:c r="O128" s="36" t="str">
        <x:f>IF(ISNUMBER('sheet4-原始数据'!Q113),'sheet4-原始数据'!Q113,"")</x:f>
      </x:c>
      <x:c r="P128" s="37" t="n">
        <x:f>IF($G128&lt;&gt;"入池","",IF($F128&gt;=3,IF(OR(NOT(ISNUMBER($M128)),NOT(ISNUMBER($N128)),1+$M128&lt;=0,1+$N128&lt;0),"",((1+$N128)^3/(1+$M128))^(1/2)-1),IF(OR($F128&lt;=1,NOT(ISNUMBER($M128)),NOT(ISNUMBER($O128)),1+$M128&lt;=0,1+$O128&lt;0),"",((1+$O128)^$F128/(1+$M128))^(1/($F128-1))-1)))</x:f>
        <x:v>0.034475849760892796</x:v>
      </x:c>
      <x:c r="Q128" s="17" t="n">
        <x:f>IF(OR($G128&lt;&gt;"入池",NOT(ISNUMBER(M128))),"",IF(COUNTIFS($G$17:$G$219,"入池",$M$17:$M$219,"&gt;=-1E+307",$M$17:$M$219,"&lt;=1E+307")&lt;=1,100,ROUND(100*(COUNTIFS($G$17:$G$219,"入池",$M$17:$M$219,"&gt;=-1E+307",$M$17:$M$219,"&lt;"&amp;M128)+COUNTIFS($G$17:$G$219,"入池",$M$17:$M$219,M128,$M$17:$M$219,"&gt;=-1E+307",$M$17:$M$219,"&lt;=1E+307")/2-0.5)/(COUNTIFS($G$17:$G$219,"入池",$M$17:$M$219,"&gt;=-1E+307",$M$17:$M$219,"&lt;=1E+307")-1),2)))</x:f>
        <x:v>52.23</x:v>
      </x:c>
      <x:c r="R128" s="17" t="n">
        <x:f>IF(OR($G128&lt;&gt;"入池",NOT(ISNUMBER(P128))),"",IF(COUNTIFS($G$17:$G$219,"入池",$P$17:$P$219,"&gt;=-1E+307",$P$17:$P$219,"&lt;=1E+307")&lt;=1,100,ROUND(100*(COUNTIFS($G$17:$G$219,"入池",$P$17:$P$219,"&gt;=-1E+307",$P$17:$P$219,"&lt;"&amp;P128)+COUNTIFS($G$17:$G$219,"入池",$P$17:$P$219,P128,$P$17:$P$219,"&gt;=-1E+307",$P$17:$P$219,"&lt;=1E+307")/2-0.5)/(COUNTIFS($G$17:$G$219,"入池",$P$17:$P$219,"&gt;=-1E+307",$P$17:$P$219,"&lt;=1E+307")-1),2)))</x:f>
        <x:v>20.3</x:v>
      </x:c>
      <x:c r="S128" s="17" t="n">
        <x:f>IF(NOT(ISNUMBER(Q128)),"",IF(NOT(ISNUMBER(R128)),Q128,ROUND(Q128*'sheet1-指标体系'!$J$8+R128*'sheet1-指标体系'!$J$9,2)))</x:f>
        <x:v>39.46</x:v>
      </x:c>
      <x:c r="T128" s="35" t="n">
        <x:f>IF(ISNUMBER('sheet4-原始数据'!J113),'sheet4-原始数据'!J113,"")</x:f>
        <x:v>0.8462000000000001</x:v>
      </x:c>
      <x:c r="U128" s="35" t="n">
        <x:f>IF(ISNUMBER('sheet4-原始数据'!I113),'sheet4-原始数据'!I113,"")</x:f>
        <x:v>0.7837999999999999</x:v>
      </x:c>
      <x:c r="V128" s="37" t="n">
        <x:f>IF(OR(NOT(ISNUMBER(T128)),NOT(ISNUMBER(U128))),"",(U128*'sheet1-指标体系'!$J$6-T128*'sheet1-指标体系'!$J$5)/'sheet1-指标体系'!$J$7)</x:f>
        <x:v>0.75</x:v>
      </x:c>
      <x:c r="W128" s="17" t="n">
        <x:f>IF(NOT(ISNUMBER(T128)),"",T128*100)</x:f>
        <x:v>84.62</x:v>
      </x:c>
      <x:c r="X128" s="17" t="n">
        <x:f>IF($G128&lt;&gt;"入池","",IF(AND(ISNUMBER(V128),V128&gt;=0,V128&lt;=1),V128*100,IF(MAX(0,($F128-1)*12)&lt;6,100,"")))</x:f>
        <x:v>75</x:v>
      </x:c>
      <x:c r="Y128" s="17" t="n">
        <x:f>IF(NOT(ISNUMBER(W128)),"",IF(NOT(ISNUMBER(X128)),W128,ROUND(W128*'sheet1-指标体系'!$J$8+X128*'sheet1-指标体系'!$J$9,2)))</x:f>
        <x:v>80.77</x:v>
      </x:c>
      <x:c r="Z128" s="37" t="n">
        <x:f>IF(OR(NOT(ISNUMBER(M128)),NOT(ISNUMBER(AD128)),AD128=0),"",ABS(M128/AD128))</x:f>
        <x:v>0.005879220141811384</x:v>
      </x:c>
      <x:c r="AA128" s="35" t="n">
        <x:f>IF(ISNUMBER('sheet4-原始数据'!K113),'sheet4-原始数据'!K113,"")</x:f>
        <x:v>0.021099999999999997</x:v>
      </x:c>
      <x:c r="AB128" s="37" t="n">
        <x:f>IF(COUNT(Z128:AA128)=0,"",MAX(Z128:AA128))</x:f>
        <x:v>0.021099999999999997</x:v>
      </x:c>
      <x:c r="AC128" s="17" t="n">
        <x:f>IF(OR($G128&lt;&gt;"入池",NOT(ISNUMBER(AB128))),"",IF(COUNTIFS($G$17:$G$219,"入池",$AB$17:$AB$219,"&gt;=-1E+307",$AB$17:$AB$219,"&lt;=1E+307")&lt;=1,100,ROUND(100*(COUNTIFS($G$17:$G$219,"入池",$AB$17:$AB$219,"&lt;=1E+307",$AB$17:$AB$219,"&gt;"&amp;AB128)+COUNTIFS($G$17:$G$219,"入池",$AB$17:$AB$219,AB128,$AB$17:$AB$219,"&gt;=-1E+307",$AB$17:$AB$219,"&lt;=1E+307")/2-0.5)/(COUNTIFS($G$17:$G$219,"入池",$AB$17:$AB$219,"&gt;=-1E+307",$AB$17:$AB$219,"&lt;=1E+307")-1),2)))</x:f>
        <x:v>74.5</x:v>
      </x:c>
      <x:c r="AD128" s="38" t="n">
        <x:f>IF(ISNUMBER('sheet4-原始数据'!M113),'sheet4-原始数据'!M113,"")</x:f>
        <x:v>9.5761</x:v>
      </x:c>
      <x:c r="AE128" s="37" t="n">
        <x:f>IF(OR(NOT(ISNUMBER(P128)),NOT(ISNUMBER(AA128)),NOT(ISNUMBER(Z128))),"",IF(AA128&gt;Z128+'sheet1-指标体系'!$J$11,AA128,""))</x:f>
        <x:v>0.021099999999999997</x:v>
      </x:c>
      <x:c r="AF128" s="17" t="n">
        <x:f>IF(OR(NOT(ISNUMBER(P128)),NOT(ISNUMBER(AE128)),AE128=0),"",P128/AE128)</x:f>
        <x:v>1.6339265289522655</x:v>
      </x:c>
      <x:c r="AG128" s="17" t="n">
        <x:f>IF(OR($G128&lt;&gt;"入池",NOT(ISNUMBER(AD128))),"",IF(COUNTIFS($G$17:$G$219,"入池",$AD$17:$AD$219,"&gt;=-1E+307",$AD$17:$AD$219,"&lt;=1E+307")&lt;=1,100,ROUND(100*(COUNTIFS($G$17:$G$219,"入池",$AD$17:$AD$219,"&gt;=-1E+307",$AD$17:$AD$219,"&lt;"&amp;AD128)+COUNTIFS($G$17:$G$219,"入池",$AD$17:$AD$219,AD128,$AD$17:$AD$219,"&gt;=-1E+307",$AD$17:$AD$219,"&lt;=1E+307")/2-0.5)/(COUNTIFS($G$17:$G$219,"入池",$AD$17:$AD$219,"&gt;=-1E+307",$AD$17:$AD$219,"&lt;=1E+307")-1),2)))</x:f>
        <x:v>77.11</x:v>
      </x:c>
      <x:c r="AH128" s="17" t="n">
        <x:f>IF(OR($G128&lt;&gt;"入池",NOT(ISNUMBER(AF128))),"",IF(COUNTIFS($G$17:$G$219,"入池",$AF$17:$AF$219,"&gt;=-1E+307",$AF$17:$AF$219,"&lt;=1E+307")&lt;=1,100,ROUND(100*(COUNTIFS($G$17:$G$219,"入池",$AF$17:$AF$219,"&gt;=-1E+307",$AF$17:$AF$219,"&lt;"&amp;AF128)+COUNTIFS($G$17:$G$219,"入池",$AF$17:$AF$219,AF128,$AF$17:$AF$219,"&gt;=-1E+307",$AF$17:$AF$219,"&lt;=1E+307")/2-0.5)/(COUNTIFS($G$17:$G$219,"入池",$AF$17:$AF$219,"&gt;=-1E+307",$AF$17:$AF$219,"&lt;=1E+307")-1),2)))</x:f>
        <x:v>57.66</x:v>
      </x:c>
      <x:c r="AI128" s="17" t="n">
        <x:f>IF(NOT(ISNUMBER(AG128)),"",IF(NOT(ISNUMBER(AH128)),AG128,ROUND(AG128*'sheet1-指标体系'!$J$8+AH128*'sheet1-指标体系'!$J$9,2)))</x:f>
        <x:v>69.33</x:v>
      </x:c>
      <x:c r="AJ128" s="37" t="n">
        <x:f>IF(NOT(ISNUMBER(F128)),"",IF(F128&gt;=3,IF(NOT(ISNUMBER(N128)),"",N128),IF(NOT(ISNUMBER(O128)),"",O128)))</x:f>
        <x:v>0.0417</x:v>
      </x:c>
      <x:c r="AK128" s="17" t="n">
        <x:f>IF(OR(G128&lt;&gt;"入池",NOT(ISNUMBER(M128)),NOT(ISNUMBER(AJ128))),"",IF(M128&gt;=AJ128,100,IF(AJ128-M128&lt;'sheet1-指标体系'!$J$10,80,60)))</x:f>
        <x:v>100</x:v>
      </x:c>
      <x:c r="AL128" s="17" t="n">
        <x:f>IF(COUNT(I128,K128,L128)=0,"",ROUND((IF(ISNUMBER(I128),I128*40%,0)+IF(ISNUMBER(K128),K128*30%,0)+IF(ISNUMBER(L128),L128*30%,0))/(IF(ISNUMBER(I128),40%,0)+IF(ISNUMBER(K128),30%,0)+IF(ISNUMBER(L128),30%,0)),2))</x:f>
        <x:v>100</x:v>
      </x:c>
      <x:c r="AM128" s="17" t="n">
        <x:f>IF(COUNT(Q128,R128,W128,X128)=0,"",ROUND((IF(ISNUMBER(Q128),Q128*42%,0)+IF(ISNUMBER(R128),R128*28%,0)+IF(ISNUMBER(W128),W128*18%,0)+IF(ISNUMBER(X128),X128*12%,0))/(IF(ISNUMBER(Q128),42%,0)+IF(ISNUMBER(R128),28%,0)+IF(ISNUMBER(W128),18%,0)+IF(ISNUMBER(X128),12%,0)),2))</x:f>
        <x:v>51.85</x:v>
      </x:c>
      <x:c r="AN128" s="17" t="n">
        <x:f>IF(ISNUMBER(AC128),AC128,"")</x:f>
        <x:v>74.5</x:v>
      </x:c>
      <x:c r="AO128" s="17" t="n">
        <x:f>IF(COUNT(AG128,AH128)=0,"",ROUND((IF(ISNUMBER(AG128),AG128*60%,0)+IF(ISNUMBER(AH128),AH128*40%,0))/(IF(ISNUMBER(AG128),60%,0)+IF(ISNUMBER(AH128),40%,0)),2))</x:f>
        <x:v>69.33</x:v>
      </x:c>
      <x:c r="AP128" s="17" t="n">
        <x:f>IF(ISNUMBER(AK128),AK128,"")</x:f>
        <x:v>100</x:v>
      </x:c>
      <x:c r="AQ128" s="39" t="n">
        <x:f>IF(G128&lt;&gt;"入池",0,IF(ISNUMBER(I128),6%,0)+IF(ISNUMBER(K128),4.5%,0)+IF(ISNUMBER(L128),4.5%,0)+IF(ISNUMBER(Q128),8.4%,0)+IF(ISNUMBER(R128),5.6%,0)+IF(ISNUMBER(W128),3.6%,0)+IF(ISNUMBER(X128),2.4%,0)+IF(ISNUMBER(AC128),25%,0)+IF(ISNUMBER(AG128),18%,0)+IF(ISNUMBER(AH128),12%,0)+IF(ISNUMBER(AK128),10%,0))</x:f>
        <x:v>1</x:v>
      </x:c>
      <x:c r="AR128" s="17" t="n">
        <x:f>IF(AQ128=0,"",IF(ISNUMBER(I128),I128*6%,0)+IF(ISNUMBER(K128),K128*4.5%,0)+IF(ISNUMBER(L128),L128*4.5%,0)+IF(ISNUMBER(Q128),Q128*8.4%,0)+IF(ISNUMBER(R128),R128*5.6%,0)+IF(ISNUMBER(W128),W128*3.6%,0)+IF(ISNUMBER(X128),X128*2.4%,0)+IF(ISNUMBER(AC128),AC128*25%,0)+IF(ISNUMBER(AG128),AG128*18%,0)+IF(ISNUMBER(AH128),AH128*12%,0)+IF(ISNUMBER(AK128),AK128*10%,0))</x:f>
        <x:v>74.79444000000001</x:v>
      </x:c>
      <x:c r="AS128" s="17" t="n">
        <x:f>IF(AQ128=0,"",ROUND(AR128/AQ128,2))</x:f>
        <x:v>74.79</x:v>
      </x:c>
      <x:c r="AT128" s="40" t="n">
        <x:f>IF(OR(G128&lt;&gt;"入池",NOT(ISNUMBER(AS128))),"",COUNTIFS($G$17:$G$219,"入池",$AS$17:$AS$219,"&gt;"&amp;AS128)+COUNTIFS($G$17:$G$219,"入池",$AS$17:$AS$219,AS128,$AQ$17:$AQ$219,"&gt;"&amp;AQ128)+COUNTIFS($G$17:G128,"入池",$AS$17:AS128,AS128,$AQ$17:AQ128,AQ128))</x:f>
        <x:v>49</x:v>
      </x:c>
      <x:c r="AU128" s="41" t="str">
        <x:f t="shared" si="4">IF(NOT(ISNUMBER(I128)),"管理人规模；","")&amp;IF(J128="","产品规模标识；","")&amp;IF(AND(F128&lt;3,NOT(ISNUMBER(O128))),"R_incep；","")&amp;IF(NOT(ISNUMBER(N128)),"近三年收益；","")&amp;IF(NOT(ISNUMBER(U128)),"近三年胜率；","")&amp;IF(AND(ISNUMBER(V128),OR(V128&lt;0,V128&gt;1)),"胜率窗口口径不一致；","")&amp;IF(NOT(ISNUMBER(AA128)),"近三年回撤；","")&amp;IF(NOT(ISNUMBER(AD128)),"短期卡玛；","")&amp;IF(AND(ISNUMBER(P128),NOT(ISNUMBER(AE128))),"DD_long不可识别；","")</x:f>
      </x:c>
      <x:c r="AV128" s="42" t="n">
        <x:v>100</x:v>
      </x:c>
      <x:c r="AW128" s="19" t="str">
        <x:v>深圳博普科技有限公司</x:v>
      </x:c>
      <x:c r="AX128" s="19" t="str">
        <x:v>2023-09-25</x:v>
      </x:c>
      <x:c r="AY128" s="19" t="str">
        <x:v>https://gs.amac.org.cn/amac-infodisc/res/pof/manager/101000001136.html</x:v>
      </x:c>
      <x:c r="AZ128" s="19" t="str">
        <x:v>博普稳增3号私募证券投资基金</x:v>
      </x:c>
      <x:c r="BA128" s="19" t="str">
        <x:v>2026-08-31</x:v>
      </x:c>
      <x:c r="BB128" s="19"/>
      <x:c r="BC128" s="19" t="str">
        <x:v>https://gs.amac.org.cn/amac-infodisc/res/pof/fund/1711061720100628.html</x:v>
      </x:c>
      <x:c r="BD128" s="19" t="str">
        <x:v>已匹配</x:v>
      </x:c>
      <x:c r="BE128"/>
      <x:c r="BF128"/>
    </x:row>
    <x:row r="129" ht="28" customHeight="1">
      <x:c r="A129" s="4" t="n">
        <x:v>113</x:v>
      </x:c>
      <x:c r="B129" s="15" t="str">
        <x:f>'sheet4-原始数据'!A114</x:f>
        <x:v>盛冠达试金石3号</x:v>
      </x:c>
      <x:c r="C129" s="15" t="str">
        <x:f>'sheet4-原始数据'!B114</x:f>
        <x:v>SW1709</x:v>
      </x:c>
      <x:c r="D129" s="15" t="str">
        <x:f>'sheet4-原始数据'!E114</x:f>
        <x:v>海南盛冠达</x:v>
      </x:c>
      <x:c r="E129" s="32" t="n">
        <x:f>IF(ISNUMBER('sheet4-原始数据'!F114),'sheet4-原始数据'!F114,"")</x:f>
        <x:v>43041</x:v>
      </x:c>
      <x:c r="F129" s="17" t="n">
        <x:f>IF(NOT(ISNUMBER(E129)),"",ROUND(('sheet1-指标体系'!$J$23-E129)/365.25,4))</x:f>
        <x:v>8.8706</x:v>
      </x:c>
      <x:c r="G129" s="4" t="str">
        <x:f t="shared" si="3">IF(NOT(ISNUMBER(F129)),"",IF(F129&lt;1,"不入池","入池"))</x:f>
        <x:v>入池</x:v>
      </x:c>
      <x:c r="H129" s="33" t="str">
        <x:v>20-50亿元</x:v>
      </x:c>
      <x:c r="I129" s="17" t="n">
        <x:f>IF(H129="","",IF(ISNUMBER(SEARCH("100亿元以上",H129)),100,IF(OR(ISNUMBER(SEARCH("20-50",H129)),ISNUMBER(SEARCH("50-100",H129)),ISNUMBER(SEARCH("20-100",H129))),90,IF(ISNUMBER(SEARCH("10-20",H129)),80,IF(ISNUMBER(SEARCH("5-10",H129)),70,IF(ISNUMBER(SEARCH("0-5",H129)),60,""))))))</x:f>
        <x:v>90</x:v>
      </x:c>
      <x:c r="J129" s="34" t="str">
        <x:v>无低于1000万元标识</x:v>
      </x:c>
      <x:c r="K129" s="17" t="n">
        <x:f>IF(J129="","",IF(J129="低于1000万元",0,100))</x:f>
        <x:v>100</x:v>
      </x:c>
      <x:c r="L129" s="17" t="n">
        <x:f>IF(NOT(ISNUMBER(F129)),"",IF(F129&lt;1,"",IF(F129&lt;3,70,100)))</x:f>
        <x:v>100</x:v>
      </x:c>
      <x:c r="M129" s="35" t="n">
        <x:f>IF(ISNUMBER('sheet4-原始数据'!G114),'sheet4-原始数据'!G114,"")</x:f>
        <x:v>0.0271</x:v>
      </x:c>
      <x:c r="N129" s="35" t="n">
        <x:f>IF(ISNUMBER('sheet4-原始数据'!H114),'sheet4-原始数据'!H114,"")</x:f>
        <x:v>0.0475</x:v>
      </x:c>
      <x:c r="O129" s="36" t="str">
        <x:f>IF(ISNUMBER('sheet4-原始数据'!Q114),'sheet4-原始数据'!Q114,"")</x:f>
      </x:c>
      <x:c r="P129" s="37" t="n">
        <x:f>IF($G129&lt;&gt;"入池","",IF($F129&gt;=3,IF(OR(NOT(ISNUMBER($M129)),NOT(ISNUMBER($N129)),1+$M129&lt;=0,1+$N129&lt;0),"",((1+$N129)^3/(1+$M129))^(1/2)-1),IF(OR($F129&lt;=1,NOT(ISNUMBER($M129)),NOT(ISNUMBER($O129)),1+$M129&lt;=0,1+$O129&lt;0),"",((1+$O129)^$F129/(1+$M129))^(1/($F129-1))-1)))</x:f>
        <x:v>0.05785144309798662</x:v>
      </x:c>
      <x:c r="Q129" s="17" t="n">
        <x:f>IF(OR($G129&lt;&gt;"入池",NOT(ISNUMBER(M129))),"",IF(COUNTIFS($G$17:$G$219,"入池",$M$17:$M$219,"&gt;=-1E+307",$M$17:$M$219,"&lt;=1E+307")&lt;=1,100,ROUND(100*(COUNTIFS($G$17:$G$219,"入池",$M$17:$M$219,"&gt;=-1E+307",$M$17:$M$219,"&lt;"&amp;M129)+COUNTIFS($G$17:$G$219,"入池",$M$17:$M$219,M129,$M$17:$M$219,"&gt;=-1E+307",$M$17:$M$219,"&lt;=1E+307")/2-0.5)/(COUNTIFS($G$17:$G$219,"入池",$M$17:$M$219,"&gt;=-1E+307",$M$17:$M$219,"&lt;=1E+307")-1),2)))</x:f>
        <x:v>30.69</x:v>
      </x:c>
      <x:c r="R129" s="17" t="n">
        <x:f>IF(OR($G129&lt;&gt;"入池",NOT(ISNUMBER(P129))),"",IF(COUNTIFS($G$17:$G$219,"入池",$P$17:$P$219,"&gt;=-1E+307",$P$17:$P$219,"&lt;=1E+307")&lt;=1,100,ROUND(100*(COUNTIFS($G$17:$G$219,"入池",$P$17:$P$219,"&gt;=-1E+307",$P$17:$P$219,"&lt;"&amp;P129)+COUNTIFS($G$17:$G$219,"入池",$P$17:$P$219,P129,$P$17:$P$219,"&gt;=-1E+307",$P$17:$P$219,"&lt;=1E+307")/2-0.5)/(COUNTIFS($G$17:$G$219,"入池",$P$17:$P$219,"&gt;=-1E+307",$P$17:$P$219,"&lt;=1E+307")-1),2)))</x:f>
        <x:v>46.04</x:v>
      </x:c>
      <x:c r="S129" s="17" t="n">
        <x:f>IF(NOT(ISNUMBER(Q129)),"",IF(NOT(ISNUMBER(R129)),Q129,ROUND(Q129*'sheet1-指标体系'!$J$8+R129*'sheet1-指标体系'!$J$9,2)))</x:f>
        <x:v>36.83</x:v>
      </x:c>
      <x:c r="T129" s="35" t="n">
        <x:f>IF(ISNUMBER('sheet4-原始数据'!J114),'sheet4-原始数据'!J114,"")</x:f>
        <x:v>0.6923</x:v>
      </x:c>
      <x:c r="U129" s="35" t="n">
        <x:f>IF(ISNUMBER('sheet4-原始数据'!I114),'sheet4-原始数据'!I114,"")</x:f>
        <x:v>0.6757</x:v>
      </x:c>
      <x:c r="V129" s="37" t="n">
        <x:f>IF(OR(NOT(ISNUMBER(T129)),NOT(ISNUMBER(U129))),"",(U129*'sheet1-指标体系'!$J$6-T129*'sheet1-指标体系'!$J$5)/'sheet1-指标体系'!$J$7)</x:f>
        <x:v>0.6667083333333332</x:v>
      </x:c>
      <x:c r="W129" s="17" t="n">
        <x:f>IF(NOT(ISNUMBER(T129)),"",T129*100)</x:f>
        <x:v>69.23</x:v>
      </x:c>
      <x:c r="X129" s="17" t="n">
        <x:f>IF($G129&lt;&gt;"入池","",IF(AND(ISNUMBER(V129),V129&gt;=0,V129&lt;=1),V129*100,IF(MAX(0,($F129-1)*12)&lt;6,100,"")))</x:f>
        <x:v>66.67083333333332</x:v>
      </x:c>
      <x:c r="Y129" s="17" t="n">
        <x:f>IF(NOT(ISNUMBER(W129)),"",IF(NOT(ISNUMBER(X129)),W129,ROUND(W129*'sheet1-指标体系'!$J$8+X129*'sheet1-指标体系'!$J$9,2)))</x:f>
        <x:v>68.21</x:v>
      </x:c>
      <x:c r="Z129" s="37" t="n">
        <x:f>IF(OR(NOT(ISNUMBER(M129)),NOT(ISNUMBER(AD129)),AD129=0),"",ABS(M129/AD129))</x:f>
        <x:v>0.02074561739263569</x:v>
      </x:c>
      <x:c r="AA129" s="35" t="n">
        <x:f>IF(ISNUMBER('sheet4-原始数据'!K114),'sheet4-原始数据'!K114,"")</x:f>
        <x:v>0.0393</x:v>
      </x:c>
      <x:c r="AB129" s="37" t="n">
        <x:f>IF(COUNT(Z129:AA129)=0,"",MAX(Z129:AA129))</x:f>
        <x:v>0.0393</x:v>
      </x:c>
      <x:c r="AC129" s="17" t="n">
        <x:f>IF(OR($G129&lt;&gt;"入池",NOT(ISNUMBER(AB129))),"",IF(COUNTIFS($G$17:$G$219,"入池",$AB$17:$AB$219,"&gt;=-1E+307",$AB$17:$AB$219,"&lt;=1E+307")&lt;=1,100,ROUND(100*(COUNTIFS($G$17:$G$219,"入池",$AB$17:$AB$219,"&lt;=1E+307",$AB$17:$AB$219,"&gt;"&amp;AB129)+COUNTIFS($G$17:$G$219,"入池",$AB$17:$AB$219,AB129,$AB$17:$AB$219,"&gt;=-1E+307",$AB$17:$AB$219,"&lt;=1E+307")/2-0.5)/(COUNTIFS($G$17:$G$219,"入池",$AB$17:$AB$219,"&gt;=-1E+307",$AB$17:$AB$219,"&lt;=1E+307")-1),2)))</x:f>
        <x:v>52.97</x:v>
      </x:c>
      <x:c r="AD129" s="38" t="n">
        <x:f>IF(ISNUMBER('sheet4-原始数据'!M114),'sheet4-原始数据'!M114,"")</x:f>
        <x:v>1.3063</x:v>
      </x:c>
      <x:c r="AE129" s="37" t="n">
        <x:f>IF(OR(NOT(ISNUMBER(P129)),NOT(ISNUMBER(AA129)),NOT(ISNUMBER(Z129))),"",IF(AA129&gt;Z129+'sheet1-指标体系'!$J$11,AA129,""))</x:f>
        <x:v>0.0393</x:v>
      </x:c>
      <x:c r="AF129" s="17" t="n">
        <x:f>IF(OR(NOT(ISNUMBER(P129)),NOT(ISNUMBER(AE129)),AE129=0),"",P129/AE129)</x:f>
        <x:v>1.4720468981675985</x:v>
      </x:c>
      <x:c r="AG129" s="17" t="n">
        <x:f>IF(OR($G129&lt;&gt;"入池",NOT(ISNUMBER(AD129))),"",IF(COUNTIFS($G$17:$G$219,"入池",$AD$17:$AD$219,"&gt;=-1E+307",$AD$17:$AD$219,"&lt;=1E+307")&lt;=1,100,ROUND(100*(COUNTIFS($G$17:$G$219,"入池",$AD$17:$AD$219,"&gt;=-1E+307",$AD$17:$AD$219,"&lt;"&amp;AD129)+COUNTIFS($G$17:$G$219,"入池",$AD$17:$AD$219,AD129,$AD$17:$AD$219,"&gt;=-1E+307",$AD$17:$AD$219,"&lt;=1E+307")/2-0.5)/(COUNTIFS($G$17:$G$219,"入池",$AD$17:$AD$219,"&gt;=-1E+307",$AD$17:$AD$219,"&lt;=1E+307")-1),2)))</x:f>
        <x:v>36.82</x:v>
      </x:c>
      <x:c r="AH129" s="17" t="n">
        <x:f>IF(OR($G129&lt;&gt;"入池",NOT(ISNUMBER(AF129))),"",IF(COUNTIFS($G$17:$G$219,"入池",$AF$17:$AF$219,"&gt;=-1E+307",$AF$17:$AF$219,"&lt;=1E+307")&lt;=1,100,ROUND(100*(COUNTIFS($G$17:$G$219,"入池",$AF$17:$AF$219,"&gt;=-1E+307",$AF$17:$AF$219,"&lt;"&amp;AF129)+COUNTIFS($G$17:$G$219,"入池",$AF$17:$AF$219,AF129,$AF$17:$AF$219,"&gt;=-1E+307",$AF$17:$AF$219,"&lt;=1E+307")/2-0.5)/(COUNTIFS($G$17:$G$219,"入池",$AF$17:$AF$219,"&gt;=-1E+307",$AF$17:$AF$219,"&lt;=1E+307")-1),2)))</x:f>
        <x:v>54.74</x:v>
      </x:c>
      <x:c r="AI129" s="17" t="n">
        <x:f>IF(NOT(ISNUMBER(AG129)),"",IF(NOT(ISNUMBER(AH129)),AG129,ROUND(AG129*'sheet1-指标体系'!$J$8+AH129*'sheet1-指标体系'!$J$9,2)))</x:f>
        <x:v>43.99</x:v>
      </x:c>
      <x:c r="AJ129" s="37" t="n">
        <x:f>IF(NOT(ISNUMBER(F129)),"",IF(F129&gt;=3,IF(NOT(ISNUMBER(N129)),"",N129),IF(NOT(ISNUMBER(O129)),"",O129)))</x:f>
        <x:v>0.0475</x:v>
      </x:c>
      <x:c r="AK129" s="17" t="n">
        <x:f>IF(OR(G129&lt;&gt;"入池",NOT(ISNUMBER(M129)),NOT(ISNUMBER(AJ129))),"",IF(M129&gt;=AJ129,100,IF(AJ129-M129&lt;'sheet1-指标体系'!$J$10,80,60)))</x:f>
        <x:v>80</x:v>
      </x:c>
      <x:c r="AL129" s="17" t="n">
        <x:f>IF(COUNT(I129,K129,L129)=0,"",ROUND((IF(ISNUMBER(I129),I129*40%,0)+IF(ISNUMBER(K129),K129*30%,0)+IF(ISNUMBER(L129),L129*30%,0))/(IF(ISNUMBER(I129),40%,0)+IF(ISNUMBER(K129),30%,0)+IF(ISNUMBER(L129),30%,0)),2))</x:f>
        <x:v>96</x:v>
      </x:c>
      <x:c r="AM129" s="17" t="n">
        <x:f>IF(COUNT(Q129,R129,W129,X129)=0,"",ROUND((IF(ISNUMBER(Q129),Q129*42%,0)+IF(ISNUMBER(R129),R129*28%,0)+IF(ISNUMBER(W129),W129*18%,0)+IF(ISNUMBER(X129),X129*12%,0))/(IF(ISNUMBER(Q129),42%,0)+IF(ISNUMBER(R129),28%,0)+IF(ISNUMBER(W129),18%,0)+IF(ISNUMBER(X129),12%,0)),2))</x:f>
        <x:v>46.24</x:v>
      </x:c>
      <x:c r="AN129" s="17" t="n">
        <x:f>IF(ISNUMBER(AC129),AC129,"")</x:f>
        <x:v>52.97</x:v>
      </x:c>
      <x:c r="AO129" s="17" t="n">
        <x:f>IF(COUNT(AG129,AH129)=0,"",ROUND((IF(ISNUMBER(AG129),AG129*60%,0)+IF(ISNUMBER(AH129),AH129*40%,0))/(IF(ISNUMBER(AG129),60%,0)+IF(ISNUMBER(AH129),40%,0)),2))</x:f>
        <x:v>43.99</x:v>
      </x:c>
      <x:c r="AP129" s="17" t="n">
        <x:f>IF(ISNUMBER(AK129),AK129,"")</x:f>
        <x:v>80</x:v>
      </x:c>
      <x:c r="AQ129" s="39" t="n">
        <x:f>IF(G129&lt;&gt;"入池",0,IF(ISNUMBER(I129),6%,0)+IF(ISNUMBER(K129),4.5%,0)+IF(ISNUMBER(L129),4.5%,0)+IF(ISNUMBER(Q129),8.4%,0)+IF(ISNUMBER(R129),5.6%,0)+IF(ISNUMBER(W129),3.6%,0)+IF(ISNUMBER(X129),2.4%,0)+IF(ISNUMBER(AC129),25%,0)+IF(ISNUMBER(AG129),18%,0)+IF(ISNUMBER(AH129),12%,0)+IF(ISNUMBER(AK129),10%,0))</x:f>
        <x:v>1</x:v>
      </x:c>
      <x:c r="AR129" s="17" t="n">
        <x:f>IF(AQ129=0,"",IF(ISNUMBER(I129),I129*6%,0)+IF(ISNUMBER(K129),K129*4.5%,0)+IF(ISNUMBER(L129),L129*4.5%,0)+IF(ISNUMBER(Q129),Q129*8.4%,0)+IF(ISNUMBER(R129),R129*5.6%,0)+IF(ISNUMBER(W129),W129*3.6%,0)+IF(ISNUMBER(X129),X129*2.4%,0)+IF(ISNUMBER(AC129),AC129*25%,0)+IF(ISNUMBER(AG129),AG129*18%,0)+IF(ISNUMBER(AH129),AH129*12%,0)+IF(ISNUMBER(AK129),AK129*10%,0))</x:f>
        <x:v>58.087480000000006</x:v>
      </x:c>
      <x:c r="AS129" s="17" t="n">
        <x:f>IF(AQ129=0,"",ROUND(AR129/AQ129,2))</x:f>
        <x:v>58.09</x:v>
      </x:c>
      <x:c r="AT129" s="40" t="n">
        <x:f>IF(OR(G129&lt;&gt;"入池",NOT(ISNUMBER(AS129))),"",COUNTIFS($G$17:$G$219,"入池",$AS$17:$AS$219,"&gt;"&amp;AS129)+COUNTIFS($G$17:$G$219,"入池",$AS$17:$AS$219,AS129,$AQ$17:$AQ$219,"&gt;"&amp;AQ129)+COUNTIFS($G$17:G129,"入池",$AS$17:AS129,AS129,$AQ$17:AQ129,AQ129))</x:f>
        <x:v>116</x:v>
      </x:c>
      <x:c r="AU129" s="41" t="str">
        <x:f t="shared" si="4">IF(NOT(ISNUMBER(I129)),"管理人规模；","")&amp;IF(J129="","产品规模标识；","")&amp;IF(AND(F129&lt;3,NOT(ISNUMBER(O129))),"R_incep；","")&amp;IF(NOT(ISNUMBER(N129)),"近三年收益；","")&amp;IF(NOT(ISNUMBER(U129)),"近三年胜率；","")&amp;IF(AND(ISNUMBER(V129),OR(V129&lt;0,V129&gt;1)),"胜率窗口口径不一致；","")&amp;IF(NOT(ISNUMBER(AA129)),"近三年回撤；","")&amp;IF(NOT(ISNUMBER(AD129)),"短期卡玛；","")&amp;IF(AND(ISNUMBER(P129),NOT(ISNUMBER(AE129))),"DD_long不可识别；","")</x:f>
      </x:c>
      <x:c r="AV129" s="42" t="n">
        <x:v>20</x:v>
      </x:c>
      <x:c r="AW129" s="19" t="str">
        <x:v>海南盛冠达私募基金管理有限公司</x:v>
      </x:c>
      <x:c r="AX129" s="19" t="str">
        <x:v>2026-01-05</x:v>
      </x:c>
      <x:c r="AY129" s="19" t="str">
        <x:v>https://gs.amac.org.cn/amac-infodisc/res/pof/manager/101000001663.html</x:v>
      </x:c>
      <x:c r="AZ129" s="19" t="str">
        <x:v>盛冠达试金石3号私募投资基金</x:v>
      </x:c>
      <x:c r="BA129" s="19" t="str">
        <x:v>2020-04-07</x:v>
      </x:c>
      <x:c r="BB129" s="19"/>
      <x:c r="BC129" s="19" t="str">
        <x:v>https://gs.amac.org.cn/amac-infodisc/res/pof/fund/1711131228105655.html</x:v>
      </x:c>
      <x:c r="BD129" s="19" t="str">
        <x:v>已匹配</x:v>
      </x:c>
      <x:c r="BE129"/>
      <x:c r="BF129"/>
    </x:row>
    <x:row r="130" ht="28" customHeight="1">
      <x:c r="A130" s="4" t="n">
        <x:v>114</x:v>
      </x:c>
      <x:c r="B130" s="15" t="str">
        <x:f>'sheet4-原始数据'!A115</x:f>
        <x:v>盛泉恒元量化套利12号专项</x:v>
      </x:c>
      <x:c r="C130" s="15" t="str">
        <x:f>'sheet4-原始数据'!B115</x:f>
        <x:v>SEE184</x:v>
      </x:c>
      <x:c r="D130" s="15" t="str">
        <x:f>'sheet4-原始数据'!E115</x:f>
        <x:v>南京盛泉恒元投资</x:v>
      </x:c>
      <x:c r="E130" s="32" t="n">
        <x:f>IF(ISNUMBER('sheet4-原始数据'!F115),'sheet4-原始数据'!F115,"")</x:f>
        <x:v>43340</x:v>
      </x:c>
      <x:c r="F130" s="17" t="n">
        <x:f>IF(NOT(ISNUMBER(E130)),"",ROUND(('sheet1-指标体系'!$J$23-E130)/365.25,4))</x:f>
        <x:v>8.052</x:v>
      </x:c>
      <x:c r="G130" s="4" t="str">
        <x:f t="shared" si="3">IF(NOT(ISNUMBER(F130)),"",IF(F130&lt;1,"不入池","入池"))</x:f>
        <x:v>入池</x:v>
      </x:c>
      <x:c r="H130" s="33" t="str">
        <x:v>100亿元以上</x:v>
      </x:c>
      <x:c r="I130" s="17" t="n">
        <x:f>IF(H130="","",IF(ISNUMBER(SEARCH("100亿元以上",H130)),100,IF(OR(ISNUMBER(SEARCH("20-50",H130)),ISNUMBER(SEARCH("50-100",H130)),ISNUMBER(SEARCH("20-100",H130))),90,IF(ISNUMBER(SEARCH("10-20",H130)),80,IF(ISNUMBER(SEARCH("5-10",H130)),70,IF(ISNUMBER(SEARCH("0-5",H130)),60,""))))))</x:f>
        <x:v>100</x:v>
      </x:c>
      <x:c r="J130" s="34" t="str">
        <x:v>无低于1000万元标识</x:v>
      </x:c>
      <x:c r="K130" s="17" t="n">
        <x:f>IF(J130="","",IF(J130="低于1000万元",0,100))</x:f>
        <x:v>100</x:v>
      </x:c>
      <x:c r="L130" s="17" t="n">
        <x:f>IF(NOT(ISNUMBER(F130)),"",IF(F130&lt;1,"",IF(F130&lt;3,70,100)))</x:f>
        <x:v>100</x:v>
      </x:c>
      <x:c r="M130" s="35" t="n">
        <x:f>IF(ISNUMBER('sheet4-原始数据'!G115),'sheet4-原始数据'!G115,"")</x:f>
        <x:v>0.0978</x:v>
      </x:c>
      <x:c r="N130" s="35" t="n">
        <x:f>IF(ISNUMBER('sheet4-原始数据'!H115),'sheet4-原始数据'!H115,"")</x:f>
        <x:v>0.0682</x:v>
      </x:c>
      <x:c r="O130" s="36" t="str">
        <x:f>IF(ISNUMBER('sheet4-原始数据'!Q115),'sheet4-原始数据'!Q115,"")</x:f>
      </x:c>
      <x:c r="P130" s="37" t="n">
        <x:f>IF($G130&lt;&gt;"入池","",IF($F130&gt;=3,IF(OR(NOT(ISNUMBER($M130)),NOT(ISNUMBER($N130)),1+$M130&lt;=0,1+$N130&lt;0),"",((1+$N130)^3/(1+$M130))^(1/2)-1),IF(OR($F130&lt;=1,NOT(ISNUMBER($M130)),NOT(ISNUMBER($O130)),1+$M130&lt;=0,1+$O130&lt;0),"",((1+$O130)^$F130/(1+$M130))^(1/($F130-1))-1)))</x:f>
        <x:v>0.05370064823130649</x:v>
      </x:c>
      <x:c r="Q130" s="17" t="n">
        <x:f>IF(OR($G130&lt;&gt;"入池",NOT(ISNUMBER(M130))),"",IF(COUNTIFS($G$17:$G$219,"入池",$M$17:$M$219,"&gt;=-1E+307",$M$17:$M$219,"&lt;=1E+307")&lt;=1,100,ROUND(100*(COUNTIFS($G$17:$G$219,"入池",$M$17:$M$219,"&gt;=-1E+307",$M$17:$M$219,"&lt;"&amp;M130)+COUNTIFS($G$17:$G$219,"入池",$M$17:$M$219,M130,$M$17:$M$219,"&gt;=-1E+307",$M$17:$M$219,"&lt;=1E+307")/2-0.5)/(COUNTIFS($G$17:$G$219,"入池",$M$17:$M$219,"&gt;=-1E+307",$M$17:$M$219,"&lt;=1E+307")-1),2)))</x:f>
        <x:v>79.21</x:v>
      </x:c>
      <x:c r="R130" s="17" t="n">
        <x:f>IF(OR($G130&lt;&gt;"入池",NOT(ISNUMBER(P130))),"",IF(COUNTIFS($G$17:$G$219,"入池",$P$17:$P$219,"&gt;=-1E+307",$P$17:$P$219,"&lt;=1E+307")&lt;=1,100,ROUND(100*(COUNTIFS($G$17:$G$219,"入池",$P$17:$P$219,"&gt;=-1E+307",$P$17:$P$219,"&lt;"&amp;P130)+COUNTIFS($G$17:$G$219,"入池",$P$17:$P$219,P130,$P$17:$P$219,"&gt;=-1E+307",$P$17:$P$219,"&lt;=1E+307")/2-0.5)/(COUNTIFS($G$17:$G$219,"入池",$P$17:$P$219,"&gt;=-1E+307",$P$17:$P$219,"&lt;=1E+307")-1),2)))</x:f>
        <x:v>40.1</x:v>
      </x:c>
      <x:c r="S130" s="17" t="n">
        <x:f>IF(NOT(ISNUMBER(Q130)),"",IF(NOT(ISNUMBER(R130)),Q130,ROUND(Q130*'sheet1-指标体系'!$J$8+R130*'sheet1-指标体系'!$J$9,2)))</x:f>
        <x:v>63.57</x:v>
      </x:c>
      <x:c r="T130" s="35" t="n">
        <x:f>IF(ISNUMBER('sheet4-原始数据'!J115),'sheet4-原始数据'!J115,"")</x:f>
        <x:v>0.7692</x:v>
      </x:c>
      <x:c r="U130" s="35" t="n">
        <x:f>IF(ISNUMBER('sheet4-原始数据'!I115),'sheet4-原始数据'!I115,"")</x:f>
        <x:v>0.7297</x:v>
      </x:c>
      <x:c r="V130" s="37" t="n">
        <x:f>IF(OR(NOT(ISNUMBER(T130)),NOT(ISNUMBER(U130))),"",(U130*'sheet1-指标体系'!$J$6-T130*'sheet1-指标体系'!$J$5)/'sheet1-指标体系'!$J$7)</x:f>
        <x:v>0.7083041666666666</x:v>
      </x:c>
      <x:c r="W130" s="17" t="n">
        <x:f>IF(NOT(ISNUMBER(T130)),"",T130*100)</x:f>
        <x:v>76.92</x:v>
      </x:c>
      <x:c r="X130" s="17" t="n">
        <x:f>IF($G130&lt;&gt;"入池","",IF(AND(ISNUMBER(V130),V130&gt;=0,V130&lt;=1),V130*100,IF(MAX(0,($F130-1)*12)&lt;6,100,"")))</x:f>
        <x:v>70.83041666666666</x:v>
      </x:c>
      <x:c r="Y130" s="17" t="n">
        <x:f>IF(NOT(ISNUMBER(W130)),"",IF(NOT(ISNUMBER(X130)),W130,ROUND(W130*'sheet1-指标体系'!$J$8+X130*'sheet1-指标体系'!$J$9,2)))</x:f>
        <x:v>74.48</x:v>
      </x:c>
      <x:c r="Z130" s="37" t="n">
        <x:f>IF(OR(NOT(ISNUMBER(M130)),NOT(ISNUMBER(AD130)),AD130=0),"",ABS(M130/AD130))</x:f>
        <x:v>0.05117203850983675</x:v>
      </x:c>
      <x:c r="AA130" s="35" t="n">
        <x:f>IF(ISNUMBER('sheet4-原始数据'!K115),'sheet4-原始数据'!K115,"")</x:f>
        <x:v>0.0641</x:v>
      </x:c>
      <x:c r="AB130" s="37" t="n">
        <x:f>IF(COUNT(Z130:AA130)=0,"",MAX(Z130:AA130))</x:f>
        <x:v>0.0641</x:v>
      </x:c>
      <x:c r="AC130" s="17" t="n">
        <x:f>IF(OR($G130&lt;&gt;"入池",NOT(ISNUMBER(AB130))),"",IF(COUNTIFS($G$17:$G$219,"入池",$AB$17:$AB$219,"&gt;=-1E+307",$AB$17:$AB$219,"&lt;=1E+307")&lt;=1,100,ROUND(100*(COUNTIFS($G$17:$G$219,"入池",$AB$17:$AB$219,"&lt;=1E+307",$AB$17:$AB$219,"&gt;"&amp;AB130)+COUNTIFS($G$17:$G$219,"入池",$AB$17:$AB$219,AB130,$AB$17:$AB$219,"&gt;=-1E+307",$AB$17:$AB$219,"&lt;=1E+307")/2-0.5)/(COUNTIFS($G$17:$G$219,"入池",$AB$17:$AB$219,"&gt;=-1E+307",$AB$17:$AB$219,"&lt;=1E+307")-1),2)))</x:f>
        <x:v>39.11</x:v>
      </x:c>
      <x:c r="AD130" s="38" t="n">
        <x:f>IF(ISNUMBER('sheet4-原始数据'!M115),'sheet4-原始数据'!M115,"")</x:f>
        <x:v>1.9112</x:v>
      </x:c>
      <x:c r="AE130" s="37" t="n">
        <x:f>IF(OR(NOT(ISNUMBER(P130)),NOT(ISNUMBER(AA130)),NOT(ISNUMBER(Z130))),"",IF(AA130&gt;Z130+'sheet1-指标体系'!$J$11,AA130,""))</x:f>
        <x:v>0.0641</x:v>
      </x:c>
      <x:c r="AF130" s="17" t="n">
        <x:f>IF(OR(NOT(ISNUMBER(P130)),NOT(ISNUMBER(AE130)),AE130=0),"",P130/AE130)</x:f>
        <x:v>0.8377636229532993</x:v>
      </x:c>
      <x:c r="AG130" s="17" t="n">
        <x:f>IF(OR($G130&lt;&gt;"入池",NOT(ISNUMBER(AD130))),"",IF(COUNTIFS($G$17:$G$219,"入池",$AD$17:$AD$219,"&gt;=-1E+307",$AD$17:$AD$219,"&lt;=1E+307")&lt;=1,100,ROUND(100*(COUNTIFS($G$17:$G$219,"入池",$AD$17:$AD$219,"&gt;=-1E+307",$AD$17:$AD$219,"&lt;"&amp;AD130)+COUNTIFS($G$17:$G$219,"入池",$AD$17:$AD$219,AD130,$AD$17:$AD$219,"&gt;=-1E+307",$AD$17:$AD$219,"&lt;=1E+307")/2-0.5)/(COUNTIFS($G$17:$G$219,"入池",$AD$17:$AD$219,"&gt;=-1E+307",$AD$17:$AD$219,"&lt;=1E+307")-1),2)))</x:f>
        <x:v>44.28</x:v>
      </x:c>
      <x:c r="AH130" s="17" t="n">
        <x:f>IF(OR($G130&lt;&gt;"入池",NOT(ISNUMBER(AF130))),"",IF(COUNTIFS($G$17:$G$219,"入池",$AF$17:$AF$219,"&gt;=-1E+307",$AF$17:$AF$219,"&lt;=1E+307")&lt;=1,100,ROUND(100*(COUNTIFS($G$17:$G$219,"入池",$AF$17:$AF$219,"&gt;=-1E+307",$AF$17:$AF$219,"&lt;"&amp;AF130)+COUNTIFS($G$17:$G$219,"入池",$AF$17:$AF$219,AF130,$AF$17:$AF$219,"&gt;=-1E+307",$AF$17:$AF$219,"&lt;=1E+307")/2-0.5)/(COUNTIFS($G$17:$G$219,"入池",$AF$17:$AF$219,"&gt;=-1E+307",$AF$17:$AF$219,"&lt;=1E+307")-1),2)))</x:f>
        <x:v>33.58</x:v>
      </x:c>
      <x:c r="AI130" s="17" t="n">
        <x:f>IF(NOT(ISNUMBER(AG130)),"",IF(NOT(ISNUMBER(AH130)),AG130,ROUND(AG130*'sheet1-指标体系'!$J$8+AH130*'sheet1-指标体系'!$J$9,2)))</x:f>
        <x:v>40</x:v>
      </x:c>
      <x:c r="AJ130" s="37" t="n">
        <x:f>IF(NOT(ISNUMBER(F130)),"",IF(F130&gt;=3,IF(NOT(ISNUMBER(N130)),"",N130),IF(NOT(ISNUMBER(O130)),"",O130)))</x:f>
        <x:v>0.0682</x:v>
      </x:c>
      <x:c r="AK130" s="17" t="n">
        <x:f>IF(OR(G130&lt;&gt;"入池",NOT(ISNUMBER(M130)),NOT(ISNUMBER(AJ130))),"",IF(M130&gt;=AJ130,100,IF(AJ130-M130&lt;'sheet1-指标体系'!$J$10,80,60)))</x:f>
        <x:v>100</x:v>
      </x:c>
      <x:c r="AL130" s="17" t="n">
        <x:f>IF(COUNT(I130,K130,L130)=0,"",ROUND((IF(ISNUMBER(I130),I130*40%,0)+IF(ISNUMBER(K130),K130*30%,0)+IF(ISNUMBER(L130),L130*30%,0))/(IF(ISNUMBER(I130),40%,0)+IF(ISNUMBER(K130),30%,0)+IF(ISNUMBER(L130),30%,0)),2))</x:f>
        <x:v>100</x:v>
      </x:c>
      <x:c r="AM130" s="17" t="n">
        <x:f>IF(COUNT(Q130,R130,W130,X130)=0,"",ROUND((IF(ISNUMBER(Q130),Q130*42%,0)+IF(ISNUMBER(R130),R130*28%,0)+IF(ISNUMBER(W130),W130*18%,0)+IF(ISNUMBER(X130),X130*12%,0))/(IF(ISNUMBER(Q130),42%,0)+IF(ISNUMBER(R130),28%,0)+IF(ISNUMBER(W130),18%,0)+IF(ISNUMBER(X130),12%,0)),2))</x:f>
        <x:v>66.84</x:v>
      </x:c>
      <x:c r="AN130" s="17" t="n">
        <x:f>IF(ISNUMBER(AC130),AC130,"")</x:f>
        <x:v>39.11</x:v>
      </x:c>
      <x:c r="AO130" s="17" t="n">
        <x:f>IF(COUNT(AG130,AH130)=0,"",ROUND((IF(ISNUMBER(AG130),AG130*60%,0)+IF(ISNUMBER(AH130),AH130*40%,0))/(IF(ISNUMBER(AG130),60%,0)+IF(ISNUMBER(AH130),40%,0)),2))</x:f>
        <x:v>40</x:v>
      </x:c>
      <x:c r="AP130" s="17" t="n">
        <x:f>IF(ISNUMBER(AK130),AK130,"")</x:f>
        <x:v>100</x:v>
      </x:c>
      <x:c r="AQ130" s="39" t="n">
        <x:f>IF(G130&lt;&gt;"入池",0,IF(ISNUMBER(I130),6%,0)+IF(ISNUMBER(K130),4.5%,0)+IF(ISNUMBER(L130),4.5%,0)+IF(ISNUMBER(Q130),8.4%,0)+IF(ISNUMBER(R130),5.6%,0)+IF(ISNUMBER(W130),3.6%,0)+IF(ISNUMBER(X130),2.4%,0)+IF(ISNUMBER(AC130),25%,0)+IF(ISNUMBER(AG130),18%,0)+IF(ISNUMBER(AH130),12%,0)+IF(ISNUMBER(AK130),10%,0))</x:f>
        <x:v>1</x:v>
      </x:c>
      <x:c r="AR130" s="17" t="n">
        <x:f>IF(AQ130=0,"",IF(ISNUMBER(I130),I130*6%,0)+IF(ISNUMBER(K130),K130*4.5%,0)+IF(ISNUMBER(L130),L130*4.5%,0)+IF(ISNUMBER(Q130),Q130*8.4%,0)+IF(ISNUMBER(R130),R130*5.6%,0)+IF(ISNUMBER(W130),W130*3.6%,0)+IF(ISNUMBER(X130),X130*2.4%,0)+IF(ISNUMBER(AC130),AC130*25%,0)+IF(ISNUMBER(AG130),AG130*18%,0)+IF(ISNUMBER(AH130),AH130*12%,0)+IF(ISNUMBER(AK130),AK130*10%,0))</x:f>
        <x:v>60.14579</x:v>
      </x:c>
      <x:c r="AS130" s="17" t="n">
        <x:f>IF(AQ130=0,"",ROUND(AR130/AQ130,2))</x:f>
        <x:v>60.15</x:v>
      </x:c>
      <x:c r="AT130" s="40" t="n">
        <x:f>IF(OR(G130&lt;&gt;"入池",NOT(ISNUMBER(AS130))),"",COUNTIFS($G$17:$G$219,"入池",$AS$17:$AS$219,"&gt;"&amp;AS130)+COUNTIFS($G$17:$G$219,"入池",$AS$17:$AS$219,AS130,$AQ$17:$AQ$219,"&gt;"&amp;AQ130)+COUNTIFS($G$17:G130,"入池",$AS$17:AS130,AS130,$AQ$17:AQ130,AQ130))</x:f>
        <x:v>108</x:v>
      </x:c>
      <x:c r="AU130" s="41" t="str">
        <x:f t="shared" si="4">IF(NOT(ISNUMBER(I130)),"管理人规模；","")&amp;IF(J130="","产品规模标识；","")&amp;IF(AND(F130&lt;3,NOT(ISNUMBER(O130))),"R_incep；","")&amp;IF(NOT(ISNUMBER(N130)),"近三年收益；","")&amp;IF(NOT(ISNUMBER(U130)),"近三年胜率；","")&amp;IF(AND(ISNUMBER(V130),OR(V130&lt;0,V130&gt;1)),"胜率窗口口径不一致；","")&amp;IF(NOT(ISNUMBER(AA130)),"近三年回撤；","")&amp;IF(NOT(ISNUMBER(AD130)),"短期卡玛；","")&amp;IF(AND(ISNUMBER(P130),NOT(ISNUMBER(AE130))),"DD_long不可识别；","")</x:f>
      </x:c>
      <x:c r="AV130" s="42" t="n">
        <x:v>100</x:v>
      </x:c>
      <x:c r="AW130" s="19" t="str">
        <x:v>南京盛泉恒元投资有限公司</x:v>
      </x:c>
      <x:c r="AX130" s="19" t="str">
        <x:v>2026-02-24</x:v>
      </x:c>
      <x:c r="AY130" s="19" t="str">
        <x:v>https://gs.amac.org.cn/amac-infodisc/res/pof/manager/101000008304.html</x:v>
      </x:c>
      <x:c r="AZ130" s="19" t="str">
        <x:v>盛泉恒元量化套利12号专项私募证券投资基金</x:v>
      </x:c>
      <x:c r="BA130" s="19" t="str">
        <x:v>2025-04-16</x:v>
      </x:c>
      <x:c r="BB130" s="19"/>
      <x:c r="BC130" s="19" t="str">
        <x:v>https://gs.amac.org.cn/amac-infodisc/res/pof/fund/1808311648103483.html</x:v>
      </x:c>
      <x:c r="BD130" s="19" t="str">
        <x:v>已匹配</x:v>
      </x:c>
      <x:c r="BE130"/>
      <x:c r="BF130"/>
    </x:row>
    <x:row r="131" ht="28" customHeight="1">
      <x:c r="A131" s="4" t="n">
        <x:v>115</x:v>
      </x:c>
      <x:c r="B131" s="15" t="str">
        <x:f>'sheet4-原始数据'!A116</x:f>
        <x:v>致同稳健成长1期</x:v>
      </x:c>
      <x:c r="C131" s="15" t="str">
        <x:f>'sheet4-原始数据'!B116</x:f>
        <x:v>SEP459</x:v>
      </x:c>
      <x:c r="D131" s="15" t="str">
        <x:f>'sheet4-原始数据'!E116</x:f>
        <x:v>上海致同投资</x:v>
      </x:c>
      <x:c r="E131" s="32" t="n">
        <x:f>IF(ISNUMBER('sheet4-原始数据'!F116),'sheet4-原始数据'!F116,"")</x:f>
        <x:v>43389</x:v>
      </x:c>
      <x:c r="F131" s="17" t="n">
        <x:f>IF(NOT(ISNUMBER(E131)),"",ROUND(('sheet1-指标体系'!$J$23-E131)/365.25,4))</x:f>
        <x:v>7.9179</x:v>
      </x:c>
      <x:c r="G131" s="4" t="str">
        <x:f t="shared" si="3">IF(NOT(ISNUMBER(F131)),"",IF(F131&lt;1,"不入池","入池"))</x:f>
        <x:v>入池</x:v>
      </x:c>
      <x:c r="H131" s="33" t="str">
        <x:v>20-50亿元</x:v>
      </x:c>
      <x:c r="I131" s="17" t="n">
        <x:f>IF(H131="","",IF(ISNUMBER(SEARCH("100亿元以上",H131)),100,IF(OR(ISNUMBER(SEARCH("20-50",H131)),ISNUMBER(SEARCH("50-100",H131)),ISNUMBER(SEARCH("20-100",H131))),90,IF(ISNUMBER(SEARCH("10-20",H131)),80,IF(ISNUMBER(SEARCH("5-10",H131)),70,IF(ISNUMBER(SEARCH("0-5",H131)),60,""))))))</x:f>
        <x:v>90</x:v>
      </x:c>
      <x:c r="J131" s="34" t="str">
        <x:v>无低于1000万元标识</x:v>
      </x:c>
      <x:c r="K131" s="17" t="n">
        <x:f>IF(J131="","",IF(J131="低于1000万元",0,100))</x:f>
        <x:v>100</x:v>
      </x:c>
      <x:c r="L131" s="17" t="n">
        <x:f>IF(NOT(ISNUMBER(F131)),"",IF(F131&lt;1,"",IF(F131&lt;3,70,100)))</x:f>
        <x:v>100</x:v>
      </x:c>
      <x:c r="M131" s="35" t="n">
        <x:f>IF(ISNUMBER('sheet4-原始数据'!G116),'sheet4-原始数据'!G116,"")</x:f>
        <x:v>0.048600000000000004</x:v>
      </x:c>
      <x:c r="N131" s="35" t="n">
        <x:f>IF(ISNUMBER('sheet4-原始数据'!H116),'sheet4-原始数据'!H116,"")</x:f>
        <x:v>0.061399999999999996</x:v>
      </x:c>
      <x:c r="O131" s="36" t="str">
        <x:f>IF(ISNUMBER('sheet4-原始数据'!Q116),'sheet4-原始数据'!Q116,"")</x:f>
      </x:c>
      <x:c r="P131" s="37" t="n">
        <x:f>IF($G131&lt;&gt;"入池","",IF($F131&gt;=3,IF(OR(NOT(ISNUMBER($M131)),NOT(ISNUMBER($N131)),1+$M131&lt;=0,1+$N131&lt;0),"",((1+$N131)^3/(1+$M131))^(1/2)-1),IF(OR($F131&lt;=1,NOT(ISNUMBER($M131)),NOT(ISNUMBER($O131)),1+$M131&lt;=0,1+$O131&lt;0),"",((1+$O131)^$F131/(1+$M131))^(1/($F131-1))-1)))</x:f>
        <x:v>0.06785847374744569</x:v>
      </x:c>
      <x:c r="Q131" s="17" t="n">
        <x:f>IF(OR($G131&lt;&gt;"入池",NOT(ISNUMBER(M131))),"",IF(COUNTIFS($G$17:$G$219,"入池",$M$17:$M$219,"&gt;=-1E+307",$M$17:$M$219,"&lt;=1E+307")&lt;=1,100,ROUND(100*(COUNTIFS($G$17:$G$219,"入池",$M$17:$M$219,"&gt;=-1E+307",$M$17:$M$219,"&lt;"&amp;M131)+COUNTIFS($G$17:$G$219,"入池",$M$17:$M$219,M131,$M$17:$M$219,"&gt;=-1E+307",$M$17:$M$219,"&lt;=1E+307")/2-0.5)/(COUNTIFS($G$17:$G$219,"入池",$M$17:$M$219,"&gt;=-1E+307",$M$17:$M$219,"&lt;=1E+307")-1),2)))</x:f>
        <x:v>48.51</x:v>
      </x:c>
      <x:c r="R131" s="17" t="n">
        <x:f>IF(OR($G131&lt;&gt;"入池",NOT(ISNUMBER(P131))),"",IF(COUNTIFS($G$17:$G$219,"入池",$P$17:$P$219,"&gt;=-1E+307",$P$17:$P$219,"&lt;=1E+307")&lt;=1,100,ROUND(100*(COUNTIFS($G$17:$G$219,"入池",$P$17:$P$219,"&gt;=-1E+307",$P$17:$P$219,"&lt;"&amp;P131)+COUNTIFS($G$17:$G$219,"入池",$P$17:$P$219,P131,$P$17:$P$219,"&gt;=-1E+307",$P$17:$P$219,"&lt;=1E+307")/2-0.5)/(COUNTIFS($G$17:$G$219,"入池",$P$17:$P$219,"&gt;=-1E+307",$P$17:$P$219,"&lt;=1E+307")-1),2)))</x:f>
        <x:v>54.95</x:v>
      </x:c>
      <x:c r="S131" s="17" t="n">
        <x:f>IF(NOT(ISNUMBER(Q131)),"",IF(NOT(ISNUMBER(R131)),Q131,ROUND(Q131*'sheet1-指标体系'!$J$8+R131*'sheet1-指标体系'!$J$9,2)))</x:f>
        <x:v>51.09</x:v>
      </x:c>
      <x:c r="T131" s="35" t="n">
        <x:f>IF(ISNUMBER('sheet4-原始数据'!J116),'sheet4-原始数据'!J116,"")</x:f>
        <x:v>0.9231</x:v>
      </x:c>
      <x:c r="U131" s="35" t="n">
        <x:f>IF(ISNUMBER('sheet4-原始数据'!I116),'sheet4-原始数据'!I116,"")</x:f>
        <x:v>0.8919</x:v>
      </x:c>
      <x:c r="V131" s="37" t="n">
        <x:f>IF(OR(NOT(ISNUMBER(T131)),NOT(ISNUMBER(U131))),"",(U131*'sheet1-指标体系'!$J$6-T131*'sheet1-指标体系'!$J$5)/'sheet1-指标体系'!$J$7)</x:f>
        <x:v>0.875</x:v>
      </x:c>
      <x:c r="W131" s="17" t="n">
        <x:f>IF(NOT(ISNUMBER(T131)),"",T131*100)</x:f>
        <x:v>92.31</x:v>
      </x:c>
      <x:c r="X131" s="17" t="n">
        <x:f>IF($G131&lt;&gt;"入池","",IF(AND(ISNUMBER(V131),V131&gt;=0,V131&lt;=1),V131*100,IF(MAX(0,($F131-1)*12)&lt;6,100,"")))</x:f>
        <x:v>87.5</x:v>
      </x:c>
      <x:c r="Y131" s="17" t="n">
        <x:f>IF(NOT(ISNUMBER(W131)),"",IF(NOT(ISNUMBER(X131)),W131,ROUND(W131*'sheet1-指标体系'!$J$8+X131*'sheet1-指标体系'!$J$9,2)))</x:f>
        <x:v>90.39</x:v>
      </x:c>
      <x:c r="Z131" s="37" t="n">
        <x:f>IF(OR(NOT(ISNUMBER(M131)),NOT(ISNUMBER(AD131)),AD131=0),"",ABS(M131/AD131))</x:f>
        <x:v>0.007135830384541971</x:v>
      </x:c>
      <x:c r="AA131" s="35" t="n">
        <x:f>IF(ISNUMBER('sheet4-原始数据'!K116),'sheet4-原始数据'!K116,"")</x:f>
        <x:v>0.0070999999999999995</x:v>
      </x:c>
      <x:c r="AB131" s="37" t="n">
        <x:f>IF(COUNT(Z131:AA131)=0,"",MAX(Z131:AA131))</x:f>
        <x:v>0.007135830384541971</x:v>
      </x:c>
      <x:c r="AC131" s="17" t="n">
        <x:f>IF(OR($G131&lt;&gt;"入池",NOT(ISNUMBER(AB131))),"",IF(COUNTIFS($G$17:$G$219,"入池",$AB$17:$AB$219,"&gt;=-1E+307",$AB$17:$AB$219,"&lt;=1E+307")&lt;=1,100,ROUND(100*(COUNTIFS($G$17:$G$219,"入池",$AB$17:$AB$219,"&lt;=1E+307",$AB$17:$AB$219,"&gt;"&amp;AB131)+COUNTIFS($G$17:$G$219,"入池",$AB$17:$AB$219,AB131,$AB$17:$AB$219,"&gt;=-1E+307",$AB$17:$AB$219,"&lt;=1E+307")/2-0.5)/(COUNTIFS($G$17:$G$219,"入池",$AB$17:$AB$219,"&gt;=-1E+307",$AB$17:$AB$219,"&lt;=1E+307")-1),2)))</x:f>
        <x:v>91.58</x:v>
      </x:c>
      <x:c r="AD131" s="38" t="n">
        <x:f>IF(ISNUMBER('sheet4-原始数据'!M116),'sheet4-原始数据'!M116,"")</x:f>
        <x:v>6.8107</x:v>
      </x:c>
      <x:c r="AE131" s="37" t="str">
        <x:f>IF(OR(NOT(ISNUMBER(P131)),NOT(ISNUMBER(AA131)),NOT(ISNUMBER(Z131))),"",IF(AA131&gt;Z131+'sheet1-指标体系'!$J$11,AA131,""))</x:f>
      </x:c>
      <x:c r="AF131" s="17" t="str">
        <x:f>IF(OR(NOT(ISNUMBER(P131)),NOT(ISNUMBER(AE131)),AE131=0),"",P131/AE131)</x:f>
      </x:c>
      <x:c r="AG131" s="17" t="n">
        <x:f>IF(OR($G131&lt;&gt;"入池",NOT(ISNUMBER(AD131))),"",IF(COUNTIFS($G$17:$G$219,"入池",$AD$17:$AD$219,"&gt;=-1E+307",$AD$17:$AD$219,"&lt;=1E+307")&lt;=1,100,ROUND(100*(COUNTIFS($G$17:$G$219,"入池",$AD$17:$AD$219,"&gt;=-1E+307",$AD$17:$AD$219,"&lt;"&amp;AD131)+COUNTIFS($G$17:$G$219,"入池",$AD$17:$AD$219,AD131,$AD$17:$AD$219,"&gt;=-1E+307",$AD$17:$AD$219,"&lt;=1E+307")/2-0.5)/(COUNTIFS($G$17:$G$219,"入池",$AD$17:$AD$219,"&gt;=-1E+307",$AD$17:$AD$219,"&lt;=1E+307")-1),2)))</x:f>
        <x:v>71.64</x:v>
      </x:c>
      <x:c r="AH131" s="17" t="str">
        <x:f>IF(OR($G131&lt;&gt;"入池",NOT(ISNUMBER(AF131))),"",IF(COUNTIFS($G$17:$G$219,"入池",$AF$17:$AF$219,"&gt;=-1E+307",$AF$17:$AF$219,"&lt;=1E+307")&lt;=1,100,ROUND(100*(COUNTIFS($G$17:$G$219,"入池",$AF$17:$AF$219,"&gt;=-1E+307",$AF$17:$AF$219,"&lt;"&amp;AF131)+COUNTIFS($G$17:$G$219,"入池",$AF$17:$AF$219,AF131,$AF$17:$AF$219,"&gt;=-1E+307",$AF$17:$AF$219,"&lt;=1E+307")/2-0.5)/(COUNTIFS($G$17:$G$219,"入池",$AF$17:$AF$219,"&gt;=-1E+307",$AF$17:$AF$219,"&lt;=1E+307")-1),2)))</x:f>
      </x:c>
      <x:c r="AI131" s="17" t="n">
        <x:f>IF(NOT(ISNUMBER(AG131)),"",IF(NOT(ISNUMBER(AH131)),AG131,ROUND(AG131*'sheet1-指标体系'!$J$8+AH131*'sheet1-指标体系'!$J$9,2)))</x:f>
        <x:v>71.64</x:v>
      </x:c>
      <x:c r="AJ131" s="37" t="n">
        <x:f>IF(NOT(ISNUMBER(F131)),"",IF(F131&gt;=3,IF(NOT(ISNUMBER(N131)),"",N131),IF(NOT(ISNUMBER(O131)),"",O131)))</x:f>
        <x:v>0.061399999999999996</x:v>
      </x:c>
      <x:c r="AK131" s="17" t="n">
        <x:f>IF(OR(G131&lt;&gt;"入池",NOT(ISNUMBER(M131)),NOT(ISNUMBER(AJ131))),"",IF(M131&gt;=AJ131,100,IF(AJ131-M131&lt;'sheet1-指标体系'!$J$10,80,60)))</x:f>
        <x:v>80</x:v>
      </x:c>
      <x:c r="AL131" s="17" t="n">
        <x:f>IF(COUNT(I131,K131,L131)=0,"",ROUND((IF(ISNUMBER(I131),I131*40%,0)+IF(ISNUMBER(K131),K131*30%,0)+IF(ISNUMBER(L131),L131*30%,0))/(IF(ISNUMBER(I131),40%,0)+IF(ISNUMBER(K131),30%,0)+IF(ISNUMBER(L131),30%,0)),2))</x:f>
        <x:v>96</x:v>
      </x:c>
      <x:c r="AM131" s="17" t="n">
        <x:f>IF(COUNT(Q131,R131,W131,X131)=0,"",ROUND((IF(ISNUMBER(Q131),Q131*42%,0)+IF(ISNUMBER(R131),R131*28%,0)+IF(ISNUMBER(W131),W131*18%,0)+IF(ISNUMBER(X131),X131*12%,0))/(IF(ISNUMBER(Q131),42%,0)+IF(ISNUMBER(R131),28%,0)+IF(ISNUMBER(W131),18%,0)+IF(ISNUMBER(X131),12%,0)),2))</x:f>
        <x:v>62.88</x:v>
      </x:c>
      <x:c r="AN131" s="17" t="n">
        <x:f>IF(ISNUMBER(AC131),AC131,"")</x:f>
        <x:v>91.58</x:v>
      </x:c>
      <x:c r="AO131" s="17" t="n">
        <x:f>IF(COUNT(AG131,AH131)=0,"",ROUND((IF(ISNUMBER(AG131),AG131*60%,0)+IF(ISNUMBER(AH131),AH131*40%,0))/(IF(ISNUMBER(AG131),60%,0)+IF(ISNUMBER(AH131),40%,0)),2))</x:f>
        <x:v>71.64</x:v>
      </x:c>
      <x:c r="AP131" s="17" t="n">
        <x:f>IF(ISNUMBER(AK131),AK131,"")</x:f>
        <x:v>80</x:v>
      </x:c>
      <x:c r="AQ131" s="39" t="n">
        <x:f>IF(G131&lt;&gt;"入池",0,IF(ISNUMBER(I131),6%,0)+IF(ISNUMBER(K131),4.5%,0)+IF(ISNUMBER(L131),4.5%,0)+IF(ISNUMBER(Q131),8.4%,0)+IF(ISNUMBER(R131),5.6%,0)+IF(ISNUMBER(W131),3.6%,0)+IF(ISNUMBER(X131),2.4%,0)+IF(ISNUMBER(AC131),25%,0)+IF(ISNUMBER(AG131),18%,0)+IF(ISNUMBER(AH131),12%,0)+IF(ISNUMBER(AK131),10%,0))</x:f>
        <x:v>0.88</x:v>
      </x:c>
      <x:c r="AR131" s="17" t="n">
        <x:f>IF(AQ131=0,"",IF(ISNUMBER(I131),I131*6%,0)+IF(ISNUMBER(K131),K131*4.5%,0)+IF(ISNUMBER(L131),L131*4.5%,0)+IF(ISNUMBER(Q131),Q131*8.4%,0)+IF(ISNUMBER(R131),R131*5.6%,0)+IF(ISNUMBER(W131),W131*3.6%,0)+IF(ISNUMBER(X131),X131*2.4%,0)+IF(ISNUMBER(AC131),AC131*25%,0)+IF(ISNUMBER(AG131),AG131*18%,0)+IF(ISNUMBER(AH131),AH131*12%,0)+IF(ISNUMBER(AK131),AK131*10%,0))</x:f>
        <x:v>70.7654</x:v>
      </x:c>
      <x:c r="AS131" s="17" t="n">
        <x:f>IF(AQ131=0,"",ROUND(AR131/AQ131,2))</x:f>
        <x:v>80.42</x:v>
      </x:c>
      <x:c r="AT131" s="40" t="n">
        <x:f>IF(OR(G131&lt;&gt;"入池",NOT(ISNUMBER(AS131))),"",COUNTIFS($G$17:$G$219,"入池",$AS$17:$AS$219,"&gt;"&amp;AS131)+COUNTIFS($G$17:$G$219,"入池",$AS$17:$AS$219,AS131,$AQ$17:$AQ$219,"&gt;"&amp;AQ131)+COUNTIFS($G$17:G131,"入池",$AS$17:AS131,AS131,$AQ$17:AQ131,AQ131))</x:f>
        <x:v>30</x:v>
      </x:c>
      <x:c r="AU131" s="41" t="str">
        <x:f t="shared" si="4">IF(NOT(ISNUMBER(I131)),"管理人规模；","")&amp;IF(J131="","产品规模标识；","")&amp;IF(AND(F131&lt;3,NOT(ISNUMBER(O131))),"R_incep；","")&amp;IF(NOT(ISNUMBER(N131)),"近三年收益；","")&amp;IF(NOT(ISNUMBER(U131)),"近三年胜率；","")&amp;IF(AND(ISNUMBER(V131),OR(V131&lt;0,V131&gt;1)),"胜率窗口口径不一致；","")&amp;IF(NOT(ISNUMBER(AA131)),"近三年回撤；","")&amp;IF(NOT(ISNUMBER(AD131)),"短期卡玛；","")&amp;IF(AND(ISNUMBER(P131),NOT(ISNUMBER(AE131))),"DD_long不可识别；","")</x:f>
        <x:v>DD_long不可识别；</x:v>
      </x:c>
      <x:c r="AV131" s="42" t="n">
        <x:v>20</x:v>
      </x:c>
      <x:c r="AW131" s="19" t="str">
        <x:v>上海致同投资管理有限公司</x:v>
      </x:c>
      <x:c r="AX131" s="19" t="str">
        <x:v>2026-03-16</x:v>
      </x:c>
      <x:c r="AY131" s="19" t="str">
        <x:v>https://gs.amac.org.cn/amac-infodisc/res/pof/manager/101000004339.html</x:v>
      </x:c>
      <x:c r="AZ131" s="19" t="str">
        <x:v>致同稳健成长1期私募证券投资基金</x:v>
      </x:c>
      <x:c r="BA131" s="19" t="str">
        <x:v>2026-01-26</x:v>
      </x:c>
      <x:c r="BB131" s="19"/>
      <x:c r="BC131" s="19" t="str">
        <x:v>https://gs.amac.org.cn/amac-infodisc/res/pof/fund/1810191705108886.html</x:v>
      </x:c>
      <x:c r="BD131" s="19" t="str">
        <x:v>已匹配</x:v>
      </x:c>
      <x:c r="BE131"/>
      <x:c r="BF131"/>
    </x:row>
    <x:row r="132" ht="28" customHeight="1">
      <x:c r="A132" s="4" t="n">
        <x:v>116</x:v>
      </x:c>
      <x:c r="B132" s="15" t="str">
        <x:f>'sheet4-原始数据'!A117</x:f>
        <x:v>冲和稳健增长一号</x:v>
      </x:c>
      <x:c r="C132" s="15" t="str">
        <x:f>'sheet4-原始数据'!B117</x:f>
        <x:v>SEW918</x:v>
      </x:c>
      <x:c r="D132" s="15" t="str">
        <x:f>'sheet4-原始数据'!E117</x:f>
        <x:v>北京冲和资管</x:v>
      </x:c>
      <x:c r="E132" s="32" t="n">
        <x:f>IF(ISNUMBER('sheet4-原始数据'!F117),'sheet4-原始数据'!F117,"")</x:f>
        <x:v>43461</x:v>
      </x:c>
      <x:c r="F132" s="17" t="n">
        <x:f>IF(NOT(ISNUMBER(E132)),"",ROUND(('sheet1-指标体系'!$J$23-E132)/365.25,4))</x:f>
        <x:v>7.7207</x:v>
      </x:c>
      <x:c r="G132" s="4" t="str">
        <x:f t="shared" si="3">IF(NOT(ISNUMBER(F132)),"",IF(F132&lt;1,"不入池","入池"))</x:f>
        <x:v>入池</x:v>
      </x:c>
      <x:c r="H132" s="33" t="str">
        <x:v>0-5亿元</x:v>
      </x:c>
      <x:c r="I132" s="17" t="n">
        <x:f>IF(H132="","",IF(ISNUMBER(SEARCH("100亿元以上",H132)),100,IF(OR(ISNUMBER(SEARCH("20-50",H132)),ISNUMBER(SEARCH("50-100",H132)),ISNUMBER(SEARCH("20-100",H132))),90,IF(ISNUMBER(SEARCH("10-20",H132)),80,IF(ISNUMBER(SEARCH("5-10",H132)),70,IF(ISNUMBER(SEARCH("0-5",H132)),60,""))))))</x:f>
        <x:v>60</x:v>
      </x:c>
      <x:c r="J132" s="34" t="str">
        <x:v>无低于1000万元标识</x:v>
      </x:c>
      <x:c r="K132" s="17" t="n">
        <x:f>IF(J132="","",IF(J132="低于1000万元",0,100))</x:f>
        <x:v>100</x:v>
      </x:c>
      <x:c r="L132" s="17" t="n">
        <x:f>IF(NOT(ISNUMBER(F132)),"",IF(F132&lt;1,"",IF(F132&lt;3,70,100)))</x:f>
        <x:v>100</x:v>
      </x:c>
      <x:c r="M132" s="35" t="n">
        <x:f>IF(ISNUMBER('sheet4-原始数据'!G117),'sheet4-原始数据'!G117,"")</x:f>
        <x:v>0.046</x:v>
      </x:c>
      <x:c r="N132" s="35" t="n">
        <x:f>IF(ISNUMBER('sheet4-原始数据'!H117),'sheet4-原始数据'!H117,"")</x:f>
        <x:v>0.029900000000000003</x:v>
      </x:c>
      <x:c r="O132" s="36" t="str">
        <x:f>IF(ISNUMBER('sheet4-原始数据'!Q117),'sheet4-原始数据'!Q117,"")</x:f>
      </x:c>
      <x:c r="P132" s="37" t="n">
        <x:f>IF($G132&lt;&gt;"入池","",IF($F132&gt;=3,IF(OR(NOT(ISNUMBER($M132)),NOT(ISNUMBER($N132)),1+$M132&lt;=0,1+$N132&lt;0),"",((1+$N132)^3/(1+$M132))^(1/2)-1),IF(OR($F132&lt;=1,NOT(ISNUMBER($M132)),NOT(ISNUMBER($O132)),1+$M132&lt;=0,1+$O132&lt;0),"",((1+$O132)^$F132/(1+$M132))^(1/($F132-1))-1)))</x:f>
        <x:v>0.021943168795413026</x:v>
      </x:c>
      <x:c r="Q132" s="17" t="n">
        <x:f>IF(OR($G132&lt;&gt;"入池",NOT(ISNUMBER(M132))),"",IF(COUNTIFS($G$17:$G$219,"入池",$M$17:$M$219,"&gt;=-1E+307",$M$17:$M$219,"&lt;=1E+307")&lt;=1,100,ROUND(100*(COUNTIFS($G$17:$G$219,"入池",$M$17:$M$219,"&gt;=-1E+307",$M$17:$M$219,"&lt;"&amp;M132)+COUNTIFS($G$17:$G$219,"入池",$M$17:$M$219,M132,$M$17:$M$219,"&gt;=-1E+307",$M$17:$M$219,"&lt;=1E+307")/2-0.5)/(COUNTIFS($G$17:$G$219,"入池",$M$17:$M$219,"&gt;=-1E+307",$M$17:$M$219,"&lt;=1E+307")-1),2)))</x:f>
        <x:v>46.53</x:v>
      </x:c>
      <x:c r="R132" s="17" t="n">
        <x:f>IF(OR($G132&lt;&gt;"入池",NOT(ISNUMBER(P132))),"",IF(COUNTIFS($G$17:$G$219,"入池",$P$17:$P$219,"&gt;=-1E+307",$P$17:$P$219,"&lt;=1E+307")&lt;=1,100,ROUND(100*(COUNTIFS($G$17:$G$219,"入池",$P$17:$P$219,"&gt;=-1E+307",$P$17:$P$219,"&lt;"&amp;P132)+COUNTIFS($G$17:$G$219,"入池",$P$17:$P$219,P132,$P$17:$P$219,"&gt;=-1E+307",$P$17:$P$219,"&lt;=1E+307")/2-0.5)/(COUNTIFS($G$17:$G$219,"入池",$P$17:$P$219,"&gt;=-1E+307",$P$17:$P$219,"&lt;=1E+307")-1),2)))</x:f>
        <x:v>10.4</x:v>
      </x:c>
      <x:c r="S132" s="17" t="n">
        <x:f>IF(NOT(ISNUMBER(Q132)),"",IF(NOT(ISNUMBER(R132)),Q132,ROUND(Q132*'sheet1-指标体系'!$J$8+R132*'sheet1-指标体系'!$J$9,2)))</x:f>
        <x:v>32.08</x:v>
      </x:c>
      <x:c r="T132" s="35" t="n">
        <x:f>IF(ISNUMBER('sheet4-原始数据'!J117),'sheet4-原始数据'!J117,"")</x:f>
        <x:v>0.6923</x:v>
      </x:c>
      <x:c r="U132" s="35" t="n">
        <x:f>IF(ISNUMBER('sheet4-原始数据'!I117),'sheet4-原始数据'!I117,"")</x:f>
        <x:v>0.7568</x:v>
      </x:c>
      <x:c r="V132" s="37" t="n">
        <x:f>IF(OR(NOT(ISNUMBER(T132)),NOT(ISNUMBER(U132))),"",(U132*'sheet1-指标体系'!$J$6-T132*'sheet1-指标体系'!$J$5)/'sheet1-指标体系'!$J$7)</x:f>
        <x:v>0.7917375</x:v>
      </x:c>
      <x:c r="W132" s="17" t="n">
        <x:f>IF(NOT(ISNUMBER(T132)),"",T132*100)</x:f>
        <x:v>69.23</x:v>
      </x:c>
      <x:c r="X132" s="17" t="n">
        <x:f>IF($G132&lt;&gt;"入池","",IF(AND(ISNUMBER(V132),V132&gt;=0,V132&lt;=1),V132*100,IF(MAX(0,($F132-1)*12)&lt;6,100,"")))</x:f>
        <x:v>79.17375</x:v>
      </x:c>
      <x:c r="Y132" s="17" t="n">
        <x:f>IF(NOT(ISNUMBER(W132)),"",IF(NOT(ISNUMBER(X132)),W132,ROUND(W132*'sheet1-指标体系'!$J$8+X132*'sheet1-指标体系'!$J$9,2)))</x:f>
        <x:v>73.21</x:v>
      </x:c>
      <x:c r="Z132" s="37" t="n">
        <x:f>IF(OR(NOT(ISNUMBER(M132)),NOT(ISNUMBER(AD132)),AD132=0),"",ABS(M132/AD132))</x:f>
        <x:v>0.03334541500543675</x:v>
      </x:c>
      <x:c r="AA132" s="35" t="n">
        <x:f>IF(ISNUMBER('sheet4-原始数据'!K117),'sheet4-原始数据'!K117,"")</x:f>
        <x:v>0.2323</x:v>
      </x:c>
      <x:c r="AB132" s="37" t="n">
        <x:f>IF(COUNT(Z132:AA132)=0,"",MAX(Z132:AA132))</x:f>
        <x:v>0.2323</x:v>
      </x:c>
      <x:c r="AC132" s="17" t="n">
        <x:f>IF(OR($G132&lt;&gt;"入池",NOT(ISNUMBER(AB132))),"",IF(COUNTIFS($G$17:$G$219,"入池",$AB$17:$AB$219,"&gt;=-1E+307",$AB$17:$AB$219,"&lt;=1E+307")&lt;=1,100,ROUND(100*(COUNTIFS($G$17:$G$219,"入池",$AB$17:$AB$219,"&lt;=1E+307",$AB$17:$AB$219,"&gt;"&amp;AB132)+COUNTIFS($G$17:$G$219,"入池",$AB$17:$AB$219,AB132,$AB$17:$AB$219,"&gt;=-1E+307",$AB$17:$AB$219,"&lt;=1E+307")/2-0.5)/(COUNTIFS($G$17:$G$219,"入池",$AB$17:$AB$219,"&gt;=-1E+307",$AB$17:$AB$219,"&lt;=1E+307")-1),2)))</x:f>
        <x:v>7.43</x:v>
      </x:c>
      <x:c r="AD132" s="38" t="n">
        <x:f>IF(ISNUMBER('sheet4-原始数据'!M117),'sheet4-原始数据'!M117,"")</x:f>
        <x:v>1.3795</x:v>
      </x:c>
      <x:c r="AE132" s="37" t="n">
        <x:f>IF(OR(NOT(ISNUMBER(P132)),NOT(ISNUMBER(AA132)),NOT(ISNUMBER(Z132))),"",IF(AA132&gt;Z132+'sheet1-指标体系'!$J$11,AA132,""))</x:f>
        <x:v>0.2323</x:v>
      </x:c>
      <x:c r="AF132" s="17" t="n">
        <x:f>IF(OR(NOT(ISNUMBER(P132)),NOT(ISNUMBER(AE132)),AE132=0),"",P132/AE132)</x:f>
        <x:v>0.09446047694969016</x:v>
      </x:c>
      <x:c r="AG132" s="17" t="n">
        <x:f>IF(OR($G132&lt;&gt;"入池",NOT(ISNUMBER(AD132))),"",IF(COUNTIFS($G$17:$G$219,"入池",$AD$17:$AD$219,"&gt;=-1E+307",$AD$17:$AD$219,"&lt;=1E+307")&lt;=1,100,ROUND(100*(COUNTIFS($G$17:$G$219,"入池",$AD$17:$AD$219,"&gt;=-1E+307",$AD$17:$AD$219,"&lt;"&amp;AD132)+COUNTIFS($G$17:$G$219,"入池",$AD$17:$AD$219,AD132,$AD$17:$AD$219,"&gt;=-1E+307",$AD$17:$AD$219,"&lt;=1E+307")/2-0.5)/(COUNTIFS($G$17:$G$219,"入池",$AD$17:$AD$219,"&gt;=-1E+307",$AD$17:$AD$219,"&lt;=1E+307")-1),2)))</x:f>
        <x:v>37.31</x:v>
      </x:c>
      <x:c r="AH132" s="17" t="n">
        <x:f>IF(OR($G132&lt;&gt;"入池",NOT(ISNUMBER(AF132))),"",IF(COUNTIFS($G$17:$G$219,"入池",$AF$17:$AF$219,"&gt;=-1E+307",$AF$17:$AF$219,"&lt;=1E+307")&lt;=1,100,ROUND(100*(COUNTIFS($G$17:$G$219,"入池",$AF$17:$AF$219,"&gt;=-1E+307",$AF$17:$AF$219,"&lt;"&amp;AF132)+COUNTIFS($G$17:$G$219,"入池",$AF$17:$AF$219,AF132,$AF$17:$AF$219,"&gt;=-1E+307",$AF$17:$AF$219,"&lt;=1E+307")/2-0.5)/(COUNTIFS($G$17:$G$219,"入池",$AF$17:$AF$219,"&gt;=-1E+307",$AF$17:$AF$219,"&lt;=1E+307")-1),2)))</x:f>
        <x:v>8.03</x:v>
      </x:c>
      <x:c r="AI132" s="17" t="n">
        <x:f>IF(NOT(ISNUMBER(AG132)),"",IF(NOT(ISNUMBER(AH132)),AG132,ROUND(AG132*'sheet1-指标体系'!$J$8+AH132*'sheet1-指标体系'!$J$9,2)))</x:f>
        <x:v>25.6</x:v>
      </x:c>
      <x:c r="AJ132" s="37" t="n">
        <x:f>IF(NOT(ISNUMBER(F132)),"",IF(F132&gt;=3,IF(NOT(ISNUMBER(N132)),"",N132),IF(NOT(ISNUMBER(O132)),"",O132)))</x:f>
        <x:v>0.029900000000000003</x:v>
      </x:c>
      <x:c r="AK132" s="17" t="n">
        <x:f>IF(OR(G132&lt;&gt;"入池",NOT(ISNUMBER(M132)),NOT(ISNUMBER(AJ132))),"",IF(M132&gt;=AJ132,100,IF(AJ132-M132&lt;'sheet1-指标体系'!$J$10,80,60)))</x:f>
        <x:v>100</x:v>
      </x:c>
      <x:c r="AL132" s="17" t="n">
        <x:f>IF(COUNT(I132,K132,L132)=0,"",ROUND((IF(ISNUMBER(I132),I132*40%,0)+IF(ISNUMBER(K132),K132*30%,0)+IF(ISNUMBER(L132),L132*30%,0))/(IF(ISNUMBER(I132),40%,0)+IF(ISNUMBER(K132),30%,0)+IF(ISNUMBER(L132),30%,0)),2))</x:f>
        <x:v>84</x:v>
      </x:c>
      <x:c r="AM132" s="17" t="n">
        <x:f>IF(COUNT(Q132,R132,W132,X132)=0,"",ROUND((IF(ISNUMBER(Q132),Q132*42%,0)+IF(ISNUMBER(R132),R132*28%,0)+IF(ISNUMBER(W132),W132*18%,0)+IF(ISNUMBER(X132),X132*12%,0))/(IF(ISNUMBER(Q132),42%,0)+IF(ISNUMBER(R132),28%,0)+IF(ISNUMBER(W132),18%,0)+IF(ISNUMBER(X132),12%,0)),2))</x:f>
        <x:v>44.42</x:v>
      </x:c>
      <x:c r="AN132" s="17" t="n">
        <x:f>IF(ISNUMBER(AC132),AC132,"")</x:f>
        <x:v>7.43</x:v>
      </x:c>
      <x:c r="AO132" s="17" t="n">
        <x:f>IF(COUNT(AG132,AH132)=0,"",ROUND((IF(ISNUMBER(AG132),AG132*60%,0)+IF(ISNUMBER(AH132),AH132*40%,0))/(IF(ISNUMBER(AG132),60%,0)+IF(ISNUMBER(AH132),40%,0)),2))</x:f>
        <x:v>25.6</x:v>
      </x:c>
      <x:c r="AP132" s="17" t="n">
        <x:f>IF(ISNUMBER(AK132),AK132,"")</x:f>
        <x:v>100</x:v>
      </x:c>
      <x:c r="AQ132" s="39" t="n">
        <x:f>IF(G132&lt;&gt;"入池",0,IF(ISNUMBER(I132),6%,0)+IF(ISNUMBER(K132),4.5%,0)+IF(ISNUMBER(L132),4.5%,0)+IF(ISNUMBER(Q132),8.4%,0)+IF(ISNUMBER(R132),5.6%,0)+IF(ISNUMBER(W132),3.6%,0)+IF(ISNUMBER(X132),2.4%,0)+IF(ISNUMBER(AC132),25%,0)+IF(ISNUMBER(AG132),18%,0)+IF(ISNUMBER(AH132),12%,0)+IF(ISNUMBER(AK132),10%,0))</x:f>
        <x:v>1</x:v>
      </x:c>
      <x:c r="AR132" s="17" t="n">
        <x:f>IF(AQ132=0,"",IF(ISNUMBER(I132),I132*6%,0)+IF(ISNUMBER(K132),K132*4.5%,0)+IF(ISNUMBER(L132),L132*4.5%,0)+IF(ISNUMBER(Q132),Q132*8.4%,0)+IF(ISNUMBER(R132),R132*5.6%,0)+IF(ISNUMBER(W132),W132*3.6%,0)+IF(ISNUMBER(X132),X132*2.4%,0)+IF(ISNUMBER(AC132),AC132*25%,0)+IF(ISNUMBER(AG132),AG132*18%,0)+IF(ISNUMBER(AH132),AH132*12%,0)+IF(ISNUMBER(AK132),AK132*10%,0))</x:f>
        <x:v>41.020270000000004</x:v>
      </x:c>
      <x:c r="AS132" s="17" t="n">
        <x:f>IF(AQ132=0,"",ROUND(AR132/AQ132,2))</x:f>
        <x:v>41.02</x:v>
      </x:c>
      <x:c r="AT132" s="40" t="n">
        <x:f>IF(OR(G132&lt;&gt;"入池",NOT(ISNUMBER(AS132))),"",COUNTIFS($G$17:$G$219,"入池",$AS$17:$AS$219,"&gt;"&amp;AS132)+COUNTIFS($G$17:$G$219,"入池",$AS$17:$AS$219,AS132,$AQ$17:$AQ$219,"&gt;"&amp;AQ132)+COUNTIFS($G$17:G132,"入池",$AS$17:AS132,AS132,$AQ$17:AQ132,AQ132))</x:f>
        <x:v>172</x:v>
      </x:c>
      <x:c r="AU132" s="41" t="str">
        <x:f t="shared" si="4">IF(NOT(ISNUMBER(I132)),"管理人规模；","")&amp;IF(J132="","产品规模标识；","")&amp;IF(AND(F132&lt;3,NOT(ISNUMBER(O132))),"R_incep；","")&amp;IF(NOT(ISNUMBER(N132)),"近三年收益；","")&amp;IF(NOT(ISNUMBER(U132)),"近三年胜率；","")&amp;IF(AND(ISNUMBER(V132),OR(V132&lt;0,V132&gt;1)),"胜率窗口口径不一致；","")&amp;IF(NOT(ISNUMBER(AA132)),"近三年回撤；","")&amp;IF(NOT(ISNUMBER(AD132)),"短期卡玛；","")&amp;IF(AND(ISNUMBER(P132),NOT(ISNUMBER(AE132))),"DD_long不可识别；","")</x:f>
      </x:c>
      <x:c r="AV132" s="42" t="n">
        <x:v>0</x:v>
      </x:c>
      <x:c r="AW132" s="19" t="str">
        <x:v>北京冲和资产管理有限公司</x:v>
      </x:c>
      <x:c r="AX132" s="19" t="str">
        <x:v>2026-05-14</x:v>
      </x:c>
      <x:c r="AY132" s="19" t="str">
        <x:v>https://gs.amac.org.cn/amac-infodisc/res/pof/manager/101000038139.html</x:v>
      </x:c>
      <x:c r="AZ132" s="19" t="str">
        <x:v>冲和稳健增长一号私募证券投资基金</x:v>
      </x:c>
      <x:c r="BA132" s="19" t="str">
        <x:v>2019-01-08</x:v>
      </x:c>
      <x:c r="BB132" s="19"/>
      <x:c r="BC132" s="19" t="str">
        <x:v>https://gs.amac.org.cn/amac-infodisc/res/pof/fund/1901080925106759.html</x:v>
      </x:c>
      <x:c r="BD132" s="19" t="str">
        <x:v>已匹配</x:v>
      </x:c>
      <x:c r="BE132"/>
      <x:c r="BF132"/>
    </x:row>
    <x:row r="133" ht="28" customHeight="1">
      <x:c r="A133" s="4" t="n">
        <x:v>117</x:v>
      </x:c>
      <x:c r="B133" s="15" t="str">
        <x:f>'sheet4-原始数据'!A118</x:f>
        <x:v>晨乐佳享3号</x:v>
      </x:c>
      <x:c r="C133" s="15" t="str">
        <x:f>'sheet4-原始数据'!B118</x:f>
        <x:v>SEX105</x:v>
      </x:c>
      <x:c r="D133" s="15" t="str">
        <x:f>'sheet4-原始数据'!E118</x:f>
        <x:v>北京晨乐资管</x:v>
      </x:c>
      <x:c r="E133" s="32" t="n">
        <x:f>IF(ISNUMBER('sheet4-原始数据'!F118),'sheet4-原始数据'!F118,"")</x:f>
        <x:v>43468</x:v>
      </x:c>
      <x:c r="F133" s="17" t="n">
        <x:f>IF(NOT(ISNUMBER(E133)),"",ROUND(('sheet1-指标体系'!$J$23-E133)/365.25,4))</x:f>
        <x:v>7.7016</x:v>
      </x:c>
      <x:c r="G133" s="4" t="str">
        <x:f t="shared" si="3">IF(NOT(ISNUMBER(F133)),"",IF(F133&lt;1,"不入池","入池"))</x:f>
        <x:v>入池</x:v>
      </x:c>
      <x:c r="H133" s="33" t="str">
        <x:v>5-10亿元</x:v>
      </x:c>
      <x:c r="I133" s="17" t="n">
        <x:f>IF(H133="","",IF(ISNUMBER(SEARCH("100亿元以上",H133)),100,IF(OR(ISNUMBER(SEARCH("20-50",H133)),ISNUMBER(SEARCH("50-100",H133)),ISNUMBER(SEARCH("20-100",H133))),90,IF(ISNUMBER(SEARCH("10-20",H133)),80,IF(ISNUMBER(SEARCH("5-10",H133)),70,IF(ISNUMBER(SEARCH("0-5",H133)),60,""))))))</x:f>
        <x:v>70</x:v>
      </x:c>
      <x:c r="J133" s="34" t="str">
        <x:v>无低于1000万元标识</x:v>
      </x:c>
      <x:c r="K133" s="17" t="n">
        <x:f>IF(J133="","",IF(J133="低于1000万元",0,100))</x:f>
        <x:v>100</x:v>
      </x:c>
      <x:c r="L133" s="17" t="n">
        <x:f>IF(NOT(ISNUMBER(F133)),"",IF(F133&lt;1,"",IF(F133&lt;3,70,100)))</x:f>
        <x:v>100</x:v>
      </x:c>
      <x:c r="M133" s="35" t="n">
        <x:f>IF(ISNUMBER('sheet4-原始数据'!G118),'sheet4-原始数据'!G118,"")</x:f>
        <x:v>-0.33240000000000003</x:v>
      </x:c>
      <x:c r="N133" s="35" t="n">
        <x:f>IF(ISNUMBER('sheet4-原始数据'!H118),'sheet4-原始数据'!H118,"")</x:f>
        <x:v>-0.0786</x:v>
      </x:c>
      <x:c r="O133" s="36" t="str">
        <x:f>IF(ISNUMBER('sheet4-原始数据'!Q118),'sheet4-原始数据'!Q118,"")</x:f>
      </x:c>
      <x:c r="P133" s="37" t="n">
        <x:f>IF($G133&lt;&gt;"入池","",IF($F133&gt;=3,IF(OR(NOT(ISNUMBER($M133)),NOT(ISNUMBER($N133)),1+$M133&lt;=0,1+$N133&lt;0),"",((1+$N133)^3/(1+$M133))^(1/2)-1),IF(OR($F133&lt;=1,NOT(ISNUMBER($M133)),NOT(ISNUMBER($O133)),1+$M133&lt;=0,1+$O133&lt;0),"",((1+$O133)^$F133/(1+$M133))^(1/($F133-1))-1)))</x:f>
        <x:v>0.08246571017137727</x:v>
      </x:c>
      <x:c r="Q133" s="17" t="n">
        <x:f>IF(OR($G133&lt;&gt;"入池",NOT(ISNUMBER(M133))),"",IF(COUNTIFS($G$17:$G$219,"入池",$M$17:$M$219,"&gt;=-1E+307",$M$17:$M$219,"&lt;=1E+307")&lt;=1,100,ROUND(100*(COUNTIFS($G$17:$G$219,"入池",$M$17:$M$219,"&gt;=-1E+307",$M$17:$M$219,"&lt;"&amp;M133)+COUNTIFS($G$17:$G$219,"入池",$M$17:$M$219,M133,$M$17:$M$219,"&gt;=-1E+307",$M$17:$M$219,"&lt;=1E+307")/2-0.5)/(COUNTIFS($G$17:$G$219,"入池",$M$17:$M$219,"&gt;=-1E+307",$M$17:$M$219,"&lt;=1E+307")-1),2)))</x:f>
        <x:v>0.99</x:v>
      </x:c>
      <x:c r="R133" s="17" t="n">
        <x:f>IF(OR($G133&lt;&gt;"入池",NOT(ISNUMBER(P133))),"",IF(COUNTIFS($G$17:$G$219,"入池",$P$17:$P$219,"&gt;=-1E+307",$P$17:$P$219,"&lt;=1E+307")&lt;=1,100,ROUND(100*(COUNTIFS($G$17:$G$219,"入池",$P$17:$P$219,"&gt;=-1E+307",$P$17:$P$219,"&lt;"&amp;P133)+COUNTIFS($G$17:$G$219,"入池",$P$17:$P$219,P133,$P$17:$P$219,"&gt;=-1E+307",$P$17:$P$219,"&lt;=1E+307")/2-0.5)/(COUNTIFS($G$17:$G$219,"入池",$P$17:$P$219,"&gt;=-1E+307",$P$17:$P$219,"&lt;=1E+307")-1),2)))</x:f>
        <x:v>67.33</x:v>
      </x:c>
      <x:c r="S133" s="17" t="n">
        <x:f>IF(NOT(ISNUMBER(Q133)),"",IF(NOT(ISNUMBER(R133)),Q133,ROUND(Q133*'sheet1-指标体系'!$J$8+R133*'sheet1-指标体系'!$J$9,2)))</x:f>
        <x:v>27.53</x:v>
      </x:c>
      <x:c r="T133" s="35" t="n">
        <x:f>IF(ISNUMBER('sheet4-原始数据'!J118),'sheet4-原始数据'!J118,"")</x:f>
        <x:v>0.3846</x:v>
      </x:c>
      <x:c r="U133" s="35" t="n">
        <x:f>IF(ISNUMBER('sheet4-原始数据'!I118),'sheet4-原始数据'!I118,"")</x:f>
        <x:v>0.5135000000000001</x:v>
      </x:c>
      <x:c r="V133" s="37" t="n">
        <x:f>IF(OR(NOT(ISNUMBER(T133)),NOT(ISNUMBER(U133))),"",(U133*'sheet1-指标体系'!$J$6-T133*'sheet1-指标体系'!$J$5)/'sheet1-指标体系'!$J$7)</x:f>
        <x:v>0.5833208333333334</x:v>
      </x:c>
      <x:c r="W133" s="17" t="n">
        <x:f>IF(NOT(ISNUMBER(T133)),"",T133*100)</x:f>
        <x:v>38.46</x:v>
      </x:c>
      <x:c r="X133" s="17" t="n">
        <x:f>IF($G133&lt;&gt;"入池","",IF(AND(ISNUMBER(V133),V133&gt;=0,V133&lt;=1),V133*100,IF(MAX(0,($F133-1)*12)&lt;6,100,"")))</x:f>
        <x:v>58.33208333333334</x:v>
      </x:c>
      <x:c r="Y133" s="17" t="n">
        <x:f>IF(NOT(ISNUMBER(W133)),"",IF(NOT(ISNUMBER(X133)),W133,ROUND(W133*'sheet1-指标体系'!$J$8+X133*'sheet1-指标体系'!$J$9,2)))</x:f>
        <x:v>46.41</x:v>
      </x:c>
      <x:c r="Z133" s="37" t="n">
        <x:f>IF(OR(NOT(ISNUMBER(M133)),NOT(ISNUMBER(AD133)),AD133=0),"",ABS(M133/AD133))</x:f>
        <x:v>0.4013038754074611</x:v>
      </x:c>
      <x:c r="AA133" s="35" t="n">
        <x:f>IF(ISNUMBER('sheet4-原始数据'!K118),'sheet4-原始数据'!K118,"")</x:f>
        <x:v>0.5534</x:v>
      </x:c>
      <x:c r="AB133" s="37" t="n">
        <x:f>IF(COUNT(Z133:AA133)=0,"",MAX(Z133:AA133))</x:f>
        <x:v>0.5534</x:v>
      </x:c>
      <x:c r="AC133" s="17" t="n">
        <x:f>IF(OR($G133&lt;&gt;"入池",NOT(ISNUMBER(AB133))),"",IF(COUNTIFS($G$17:$G$219,"入池",$AB$17:$AB$219,"&gt;=-1E+307",$AB$17:$AB$219,"&lt;=1E+307")&lt;=1,100,ROUND(100*(COUNTIFS($G$17:$G$219,"入池",$AB$17:$AB$219,"&lt;=1E+307",$AB$17:$AB$219,"&gt;"&amp;AB133)+COUNTIFS($G$17:$G$219,"入池",$AB$17:$AB$219,AB133,$AB$17:$AB$219,"&gt;=-1E+307",$AB$17:$AB$219,"&lt;=1E+307")/2-0.5)/(COUNTIFS($G$17:$G$219,"入池",$AB$17:$AB$219,"&gt;=-1E+307",$AB$17:$AB$219,"&lt;=1E+307")-1),2)))</x:f>
        <x:v>0</x:v>
      </x:c>
      <x:c r="AD133" s="38" t="n">
        <x:f>IF(ISNUMBER('sheet4-原始数据'!M118),'sheet4-原始数据'!M118,"")</x:f>
        <x:v>-0.8283</x:v>
      </x:c>
      <x:c r="AE133" s="37" t="n">
        <x:f>IF(OR(NOT(ISNUMBER(P133)),NOT(ISNUMBER(AA133)),NOT(ISNUMBER(Z133))),"",IF(AA133&gt;Z133+'sheet1-指标体系'!$J$11,AA133,""))</x:f>
        <x:v>0.5534</x:v>
      </x:c>
      <x:c r="AF133" s="17" t="n">
        <x:f>IF(OR(NOT(ISNUMBER(P133)),NOT(ISNUMBER(AE133)),AE133=0),"",P133/AE133)</x:f>
        <x:v>0.14901646218174425</x:v>
      </x:c>
      <x:c r="AG133" s="17" t="n">
        <x:f>IF(OR($G133&lt;&gt;"入池",NOT(ISNUMBER(AD133))),"",IF(COUNTIFS($G$17:$G$219,"入池",$AD$17:$AD$219,"&gt;=-1E+307",$AD$17:$AD$219,"&lt;=1E+307")&lt;=1,100,ROUND(100*(COUNTIFS($G$17:$G$219,"入池",$AD$17:$AD$219,"&gt;=-1E+307",$AD$17:$AD$219,"&lt;"&amp;AD133)+COUNTIFS($G$17:$G$219,"入池",$AD$17:$AD$219,AD133,$AD$17:$AD$219,"&gt;=-1E+307",$AD$17:$AD$219,"&lt;=1E+307")/2-0.5)/(COUNTIFS($G$17:$G$219,"入池",$AD$17:$AD$219,"&gt;=-1E+307",$AD$17:$AD$219,"&lt;=1E+307")-1),2)))</x:f>
        <x:v>2.99</x:v>
      </x:c>
      <x:c r="AH133" s="17" t="n">
        <x:f>IF(OR($G133&lt;&gt;"入池",NOT(ISNUMBER(AF133))),"",IF(COUNTIFS($G$17:$G$219,"入池",$AF$17:$AF$219,"&gt;=-1E+307",$AF$17:$AF$219,"&lt;=1E+307")&lt;=1,100,ROUND(100*(COUNTIFS($G$17:$G$219,"入池",$AF$17:$AF$219,"&gt;=-1E+307",$AF$17:$AF$219,"&lt;"&amp;AF133)+COUNTIFS($G$17:$G$219,"入池",$AF$17:$AF$219,AF133,$AF$17:$AF$219,"&gt;=-1E+307",$AF$17:$AF$219,"&lt;=1E+307")/2-0.5)/(COUNTIFS($G$17:$G$219,"入池",$AF$17:$AF$219,"&gt;=-1E+307",$AF$17:$AF$219,"&lt;=1E+307")-1),2)))</x:f>
        <x:v>9.49</x:v>
      </x:c>
      <x:c r="AI133" s="17" t="n">
        <x:f>IF(NOT(ISNUMBER(AG133)),"",IF(NOT(ISNUMBER(AH133)),AG133,ROUND(AG133*'sheet1-指标体系'!$J$8+AH133*'sheet1-指标体系'!$J$9,2)))</x:f>
        <x:v>5.59</x:v>
      </x:c>
      <x:c r="AJ133" s="37" t="n">
        <x:f>IF(NOT(ISNUMBER(F133)),"",IF(F133&gt;=3,IF(NOT(ISNUMBER(N133)),"",N133),IF(NOT(ISNUMBER(O133)),"",O133)))</x:f>
        <x:v>-0.0786</x:v>
      </x:c>
      <x:c r="AK133" s="17" t="n">
        <x:f>IF(OR(G133&lt;&gt;"入池",NOT(ISNUMBER(M133)),NOT(ISNUMBER(AJ133))),"",IF(M133&gt;=AJ133,100,IF(AJ133-M133&lt;'sheet1-指标体系'!$J$10,80,60)))</x:f>
        <x:v>60</x:v>
      </x:c>
      <x:c r="AL133" s="17" t="n">
        <x:f>IF(COUNT(I133,K133,L133)=0,"",ROUND((IF(ISNUMBER(I133),I133*40%,0)+IF(ISNUMBER(K133),K133*30%,0)+IF(ISNUMBER(L133),L133*30%,0))/(IF(ISNUMBER(I133),40%,0)+IF(ISNUMBER(K133),30%,0)+IF(ISNUMBER(L133),30%,0)),2))</x:f>
        <x:v>88</x:v>
      </x:c>
      <x:c r="AM133" s="17" t="n">
        <x:f>IF(COUNT(Q133,R133,W133,X133)=0,"",ROUND((IF(ISNUMBER(Q133),Q133*42%,0)+IF(ISNUMBER(R133),R133*28%,0)+IF(ISNUMBER(W133),W133*18%,0)+IF(ISNUMBER(X133),X133*12%,0))/(IF(ISNUMBER(Q133),42%,0)+IF(ISNUMBER(R133),28%,0)+IF(ISNUMBER(W133),18%,0)+IF(ISNUMBER(X133),12%,0)),2))</x:f>
        <x:v>33.19</x:v>
      </x:c>
      <x:c r="AN133" s="17" t="n">
        <x:f>IF(ISNUMBER(AC133),AC133,"")</x:f>
        <x:v>0</x:v>
      </x:c>
      <x:c r="AO133" s="17" t="n">
        <x:f>IF(COUNT(AG133,AH133)=0,"",ROUND((IF(ISNUMBER(AG133),AG133*60%,0)+IF(ISNUMBER(AH133),AH133*40%,0))/(IF(ISNUMBER(AG133),60%,0)+IF(ISNUMBER(AH133),40%,0)),2))</x:f>
        <x:v>5.59</x:v>
      </x:c>
      <x:c r="AP133" s="17" t="n">
        <x:f>IF(ISNUMBER(AK133),AK133,"")</x:f>
        <x:v>60</x:v>
      </x:c>
      <x:c r="AQ133" s="39" t="n">
        <x:f>IF(G133&lt;&gt;"入池",0,IF(ISNUMBER(I133),6%,0)+IF(ISNUMBER(K133),4.5%,0)+IF(ISNUMBER(L133),4.5%,0)+IF(ISNUMBER(Q133),8.4%,0)+IF(ISNUMBER(R133),5.6%,0)+IF(ISNUMBER(W133),3.6%,0)+IF(ISNUMBER(X133),2.4%,0)+IF(ISNUMBER(AC133),25%,0)+IF(ISNUMBER(AG133),18%,0)+IF(ISNUMBER(AH133),12%,0)+IF(ISNUMBER(AK133),10%,0))</x:f>
        <x:v>1</x:v>
      </x:c>
      <x:c r="AR133" s="17" t="n">
        <x:f>IF(AQ133=0,"",IF(ISNUMBER(I133),I133*6%,0)+IF(ISNUMBER(K133),K133*4.5%,0)+IF(ISNUMBER(L133),L133*4.5%,0)+IF(ISNUMBER(Q133),Q133*8.4%,0)+IF(ISNUMBER(R133),R133*5.6%,0)+IF(ISNUMBER(W133),W133*3.6%,0)+IF(ISNUMBER(X133),X133*2.4%,0)+IF(ISNUMBER(AC133),AC133*25%,0)+IF(ISNUMBER(AG133),AG133*18%,0)+IF(ISNUMBER(AH133),AH133*12%,0)+IF(ISNUMBER(AK133),AK133*10%,0))</x:f>
        <x:v>27.515169999999998</x:v>
      </x:c>
      <x:c r="AS133" s="17" t="n">
        <x:f>IF(AQ133=0,"",ROUND(AR133/AQ133,2))</x:f>
        <x:v>27.52</x:v>
      </x:c>
      <x:c r="AT133" s="40" t="n">
        <x:f>IF(OR(G133&lt;&gt;"入池",NOT(ISNUMBER(AS133))),"",COUNTIFS($G$17:$G$219,"入池",$AS$17:$AS$219,"&gt;"&amp;AS133)+COUNTIFS($G$17:$G$219,"入池",$AS$17:$AS$219,AS133,$AQ$17:$AQ$219,"&gt;"&amp;AQ133)+COUNTIFS($G$17:G133,"入池",$AS$17:AS133,AS133,$AQ$17:AQ133,AQ133))</x:f>
        <x:v>198</x:v>
      </x:c>
      <x:c r="AU133" s="41" t="str">
        <x:f t="shared" si="4">IF(NOT(ISNUMBER(I133)),"管理人规模；","")&amp;IF(J133="","产品规模标识；","")&amp;IF(AND(F133&lt;3,NOT(ISNUMBER(O133))),"R_incep；","")&amp;IF(NOT(ISNUMBER(N133)),"近三年收益；","")&amp;IF(NOT(ISNUMBER(U133)),"近三年胜率；","")&amp;IF(AND(ISNUMBER(V133),OR(V133&lt;0,V133&gt;1)),"胜率窗口口径不一致；","")&amp;IF(NOT(ISNUMBER(AA133)),"近三年回撤；","")&amp;IF(NOT(ISNUMBER(AD133)),"短期卡玛；","")&amp;IF(AND(ISNUMBER(P133),NOT(ISNUMBER(AE133))),"DD_long不可识别；","")</x:f>
      </x:c>
      <x:c r="AV133" s="42" t="n">
        <x:v>5</x:v>
      </x:c>
      <x:c r="AW133" s="19" t="str">
        <x:v>北京晨乐资产管理有限公司</x:v>
      </x:c>
      <x:c r="AX133" s="19" t="str">
        <x:v>2025-01-03</x:v>
      </x:c>
      <x:c r="AY133" s="19" t="str">
        <x:v>https://gs.amac.org.cn/amac-infodisc/res/pof/manager/1701061825106751.html</x:v>
      </x:c>
      <x:c r="AZ133" s="19" t="str">
        <x:v>晨乐佳享3号私募证券投资基金</x:v>
      </x:c>
      <x:c r="BA133" s="19" t="str">
        <x:v>2024-09-23</x:v>
      </x:c>
      <x:c r="BB133" s="19"/>
      <x:c r="BC133" s="19" t="str">
        <x:v>https://gs.amac.org.cn/amac-infodisc/res/pof/fund/1901251805101844.html</x:v>
      </x:c>
      <x:c r="BD133" s="19" t="str">
        <x:v>已匹配</x:v>
      </x:c>
      <x:c r="BE133"/>
      <x:c r="BF133"/>
    </x:row>
    <x:row r="134" ht="28" customHeight="1">
      <x:c r="A134" s="4" t="n">
        <x:v>118</x:v>
      </x:c>
      <x:c r="B134" s="15" t="str">
        <x:f>'sheet4-原始数据'!A119</x:f>
        <x:v>盛泉恒元量化套利11号</x:v>
      </x:c>
      <x:c r="C134" s="15" t="str">
        <x:f>'sheet4-原始数据'!B119</x:f>
        <x:v>SEX315</x:v>
      </x:c>
      <x:c r="D134" s="15" t="str">
        <x:f>'sheet4-原始数据'!E119</x:f>
        <x:v>南京盛泉恒元投资</x:v>
      </x:c>
      <x:c r="E134" s="32" t="n">
        <x:f>IF(ISNUMBER('sheet4-原始数据'!F119),'sheet4-原始数据'!F119,"")</x:f>
        <x:v>43487</x:v>
      </x:c>
      <x:c r="F134" s="17" t="n">
        <x:f>IF(NOT(ISNUMBER(E134)),"",ROUND(('sheet1-指标体系'!$J$23-E134)/365.25,4))</x:f>
        <x:v>7.6496</x:v>
      </x:c>
      <x:c r="G134" s="4" t="str">
        <x:f t="shared" si="3">IF(NOT(ISNUMBER(F134)),"",IF(F134&lt;1,"不入池","入池"))</x:f>
        <x:v>入池</x:v>
      </x:c>
      <x:c r="H134" s="33" t="str">
        <x:v>100亿元以上</x:v>
      </x:c>
      <x:c r="I134" s="17" t="n">
        <x:f>IF(H134="","",IF(ISNUMBER(SEARCH("100亿元以上",H134)),100,IF(OR(ISNUMBER(SEARCH("20-50",H134)),ISNUMBER(SEARCH("50-100",H134)),ISNUMBER(SEARCH("20-100",H134))),90,IF(ISNUMBER(SEARCH("10-20",H134)),80,IF(ISNUMBER(SEARCH("5-10",H134)),70,IF(ISNUMBER(SEARCH("0-5",H134)),60,""))))))</x:f>
        <x:v>100</x:v>
      </x:c>
      <x:c r="J134" s="34" t="str">
        <x:v>无低于1000万元标识</x:v>
      </x:c>
      <x:c r="K134" s="17" t="n">
        <x:f>IF(J134="","",IF(J134="低于1000万元",0,100))</x:f>
        <x:v>100</x:v>
      </x:c>
      <x:c r="L134" s="17" t="n">
        <x:f>IF(NOT(ISNUMBER(F134)),"",IF(F134&lt;1,"",IF(F134&lt;3,70,100)))</x:f>
        <x:v>100</x:v>
      </x:c>
      <x:c r="M134" s="35" t="n">
        <x:f>IF(ISNUMBER('sheet4-原始数据'!G119),'sheet4-原始数据'!G119,"")</x:f>
        <x:v>0.09789999999999999</x:v>
      </x:c>
      <x:c r="N134" s="35" t="n">
        <x:f>IF(ISNUMBER('sheet4-原始数据'!H119),'sheet4-原始数据'!H119,"")</x:f>
        <x:v>0.0692</x:v>
      </x:c>
      <x:c r="O134" s="36" t="str">
        <x:f>IF(ISNUMBER('sheet4-原始数据'!Q119),'sheet4-原始数据'!Q119,"")</x:f>
      </x:c>
      <x:c r="P134" s="37" t="n">
        <x:f>IF($G134&lt;&gt;"入池","",IF($F134&gt;=3,IF(OR(NOT(ISNUMBER($M134)),NOT(ISNUMBER($N134)),1+$M134&lt;=0,1+$N134&lt;0),"",((1+$N134)^3/(1+$M134))^(1/2)-1),IF(OR($F134&lt;=1,NOT(ISNUMBER($M134)),NOT(ISNUMBER($O134)),1+$M134&lt;=0,1+$O134&lt;0),"",((1+$O134)^$F134/(1+$M134))^(1/($F134-1))-1)))</x:f>
        <x:v>0.055132578433953805</x:v>
      </x:c>
      <x:c r="Q134" s="17" t="n">
        <x:f>IF(OR($G134&lt;&gt;"入池",NOT(ISNUMBER(M134))),"",IF(COUNTIFS($G$17:$G$219,"入池",$M$17:$M$219,"&gt;=-1E+307",$M$17:$M$219,"&lt;=1E+307")&lt;=1,100,ROUND(100*(COUNTIFS($G$17:$G$219,"入池",$M$17:$M$219,"&gt;=-1E+307",$M$17:$M$219,"&lt;"&amp;M134)+COUNTIFS($G$17:$G$219,"入池",$M$17:$M$219,M134,$M$17:$M$219,"&gt;=-1E+307",$M$17:$M$219,"&lt;=1E+307")/2-0.5)/(COUNTIFS($G$17:$G$219,"入池",$M$17:$M$219,"&gt;=-1E+307",$M$17:$M$219,"&lt;=1E+307")-1),2)))</x:f>
        <x:v>79.7</x:v>
      </x:c>
      <x:c r="R134" s="17" t="n">
        <x:f>IF(OR($G134&lt;&gt;"入池",NOT(ISNUMBER(P134))),"",IF(COUNTIFS($G$17:$G$219,"入池",$P$17:$P$219,"&gt;=-1E+307",$P$17:$P$219,"&lt;=1E+307")&lt;=1,100,ROUND(100*(COUNTIFS($G$17:$G$219,"入池",$P$17:$P$219,"&gt;=-1E+307",$P$17:$P$219,"&lt;"&amp;P134)+COUNTIFS($G$17:$G$219,"入池",$P$17:$P$219,P134,$P$17:$P$219,"&gt;=-1E+307",$P$17:$P$219,"&lt;=1E+307")/2-0.5)/(COUNTIFS($G$17:$G$219,"入池",$P$17:$P$219,"&gt;=-1E+307",$P$17:$P$219,"&lt;=1E+307")-1),2)))</x:f>
        <x:v>42.57</x:v>
      </x:c>
      <x:c r="S134" s="17" t="n">
        <x:f>IF(NOT(ISNUMBER(Q134)),"",IF(NOT(ISNUMBER(R134)),Q134,ROUND(Q134*'sheet1-指标体系'!$J$8+R134*'sheet1-指标体系'!$J$9,2)))</x:f>
        <x:v>64.85</x:v>
      </x:c>
      <x:c r="T134" s="35" t="n">
        <x:f>IF(ISNUMBER('sheet4-原始数据'!J119),'sheet4-原始数据'!J119,"")</x:f>
        <x:v>0.7692</x:v>
      </x:c>
      <x:c r="U134" s="35" t="n">
        <x:f>IF(ISNUMBER('sheet4-原始数据'!I119),'sheet4-原始数据'!I119,"")</x:f>
        <x:v>0.7027</x:v>
      </x:c>
      <x:c r="V134" s="37" t="n">
        <x:f>IF(OR(NOT(ISNUMBER(T134)),NOT(ISNUMBER(U134))),"",(U134*'sheet1-指标体系'!$J$6-T134*'sheet1-指标体系'!$J$5)/'sheet1-指标体系'!$J$7)</x:f>
        <x:v>0.6666791666666668</x:v>
      </x:c>
      <x:c r="W134" s="17" t="n">
        <x:f>IF(NOT(ISNUMBER(T134)),"",T134*100)</x:f>
        <x:v>76.92</x:v>
      </x:c>
      <x:c r="X134" s="17" t="n">
        <x:f>IF($G134&lt;&gt;"入池","",IF(AND(ISNUMBER(V134),V134&gt;=0,V134&lt;=1),V134*100,IF(MAX(0,($F134-1)*12)&lt;6,100,"")))</x:f>
        <x:v>66.66791666666668</x:v>
      </x:c>
      <x:c r="Y134" s="17" t="n">
        <x:f>IF(NOT(ISNUMBER(W134)),"",IF(NOT(ISNUMBER(X134)),W134,ROUND(W134*'sheet1-指标体系'!$J$8+X134*'sheet1-指标体系'!$J$9,2)))</x:f>
        <x:v>72.82</x:v>
      </x:c>
      <x:c r="Z134" s="37" t="n">
        <x:f>IF(OR(NOT(ISNUMBER(M134)),NOT(ISNUMBER(AD134)),AD134=0),"",ABS(M134/AD134))</x:f>
        <x:v>0.051170813297093866</x:v>
      </x:c>
      <x:c r="AA134" s="35" t="n">
        <x:f>IF(ISNUMBER('sheet4-原始数据'!K119),'sheet4-原始数据'!K119,"")</x:f>
        <x:v>0.0622</x:v>
      </x:c>
      <x:c r="AB134" s="37" t="n">
        <x:f>IF(COUNT(Z134:AA134)=0,"",MAX(Z134:AA134))</x:f>
        <x:v>0.0622</x:v>
      </x:c>
      <x:c r="AC134" s="17" t="n">
        <x:f>IF(OR($G134&lt;&gt;"入池",NOT(ISNUMBER(AB134))),"",IF(COUNTIFS($G$17:$G$219,"入池",$AB$17:$AB$219,"&gt;=-1E+307",$AB$17:$AB$219,"&lt;=1E+307")&lt;=1,100,ROUND(100*(COUNTIFS($G$17:$G$219,"入池",$AB$17:$AB$219,"&lt;=1E+307",$AB$17:$AB$219,"&gt;"&amp;AB134)+COUNTIFS($G$17:$G$219,"入池",$AB$17:$AB$219,AB134,$AB$17:$AB$219,"&gt;=-1E+307",$AB$17:$AB$219,"&lt;=1E+307")/2-0.5)/(COUNTIFS($G$17:$G$219,"入池",$AB$17:$AB$219,"&gt;=-1E+307",$AB$17:$AB$219,"&lt;=1E+307")-1),2)))</x:f>
        <x:v>39.6</x:v>
      </x:c>
      <x:c r="AD134" s="38" t="n">
        <x:f>IF(ISNUMBER('sheet4-原始数据'!M119),'sheet4-原始数据'!M119,"")</x:f>
        <x:v>1.9132</x:v>
      </x:c>
      <x:c r="AE134" s="37" t="n">
        <x:f>IF(OR(NOT(ISNUMBER(P134)),NOT(ISNUMBER(AA134)),NOT(ISNUMBER(Z134))),"",IF(AA134&gt;Z134+'sheet1-指标体系'!$J$11,AA134,""))</x:f>
        <x:v>0.0622</x:v>
      </x:c>
      <x:c r="AF134" s="17" t="n">
        <x:f>IF(OR(NOT(ISNUMBER(P134)),NOT(ISNUMBER(AE134)),AE134=0),"",P134/AE134)</x:f>
        <x:v>0.8863758590667814</x:v>
      </x:c>
      <x:c r="AG134" s="17" t="n">
        <x:f>IF(OR($G134&lt;&gt;"入池",NOT(ISNUMBER(AD134))),"",IF(COUNTIFS($G$17:$G$219,"入池",$AD$17:$AD$219,"&gt;=-1E+307",$AD$17:$AD$219,"&lt;=1E+307")&lt;=1,100,ROUND(100*(COUNTIFS($G$17:$G$219,"入池",$AD$17:$AD$219,"&gt;=-1E+307",$AD$17:$AD$219,"&lt;"&amp;AD134)+COUNTIFS($G$17:$G$219,"入池",$AD$17:$AD$219,AD134,$AD$17:$AD$219,"&gt;=-1E+307",$AD$17:$AD$219,"&lt;=1E+307")/2-0.5)/(COUNTIFS($G$17:$G$219,"入池",$AD$17:$AD$219,"&gt;=-1E+307",$AD$17:$AD$219,"&lt;=1E+307")-1),2)))</x:f>
        <x:v>44.78</x:v>
      </x:c>
      <x:c r="AH134" s="17" t="n">
        <x:f>IF(OR($G134&lt;&gt;"入池",NOT(ISNUMBER(AF134))),"",IF(COUNTIFS($G$17:$G$219,"入池",$AF$17:$AF$219,"&gt;=-1E+307",$AF$17:$AF$219,"&lt;=1E+307")&lt;=1,100,ROUND(100*(COUNTIFS($G$17:$G$219,"入池",$AF$17:$AF$219,"&gt;=-1E+307",$AF$17:$AF$219,"&lt;"&amp;AF134)+COUNTIFS($G$17:$G$219,"入池",$AF$17:$AF$219,AF134,$AF$17:$AF$219,"&gt;=-1E+307",$AF$17:$AF$219,"&lt;=1E+307")/2-0.5)/(COUNTIFS($G$17:$G$219,"入池",$AF$17:$AF$219,"&gt;=-1E+307",$AF$17:$AF$219,"&lt;=1E+307")-1),2)))</x:f>
        <x:v>37.96</x:v>
      </x:c>
      <x:c r="AI134" s="17" t="n">
        <x:f>IF(NOT(ISNUMBER(AG134)),"",IF(NOT(ISNUMBER(AH134)),AG134,ROUND(AG134*'sheet1-指标体系'!$J$8+AH134*'sheet1-指标体系'!$J$9,2)))</x:f>
        <x:v>42.05</x:v>
      </x:c>
      <x:c r="AJ134" s="37" t="n">
        <x:f>IF(NOT(ISNUMBER(F134)),"",IF(F134&gt;=3,IF(NOT(ISNUMBER(N134)),"",N134),IF(NOT(ISNUMBER(O134)),"",O134)))</x:f>
        <x:v>0.0692</x:v>
      </x:c>
      <x:c r="AK134" s="17" t="n">
        <x:f>IF(OR(G134&lt;&gt;"入池",NOT(ISNUMBER(M134)),NOT(ISNUMBER(AJ134))),"",IF(M134&gt;=AJ134,100,IF(AJ134-M134&lt;'sheet1-指标体系'!$J$10,80,60)))</x:f>
        <x:v>100</x:v>
      </x:c>
      <x:c r="AL134" s="17" t="n">
        <x:f>IF(COUNT(I134,K134,L134)=0,"",ROUND((IF(ISNUMBER(I134),I134*40%,0)+IF(ISNUMBER(K134),K134*30%,0)+IF(ISNUMBER(L134),L134*30%,0))/(IF(ISNUMBER(I134),40%,0)+IF(ISNUMBER(K134),30%,0)+IF(ISNUMBER(L134),30%,0)),2))</x:f>
        <x:v>100</x:v>
      </x:c>
      <x:c r="AM134" s="17" t="n">
        <x:f>IF(COUNT(Q134,R134,W134,X134)=0,"",ROUND((IF(ISNUMBER(Q134),Q134*42%,0)+IF(ISNUMBER(R134),R134*28%,0)+IF(ISNUMBER(W134),W134*18%,0)+IF(ISNUMBER(X134),X134*12%,0))/(IF(ISNUMBER(Q134),42%,0)+IF(ISNUMBER(R134),28%,0)+IF(ISNUMBER(W134),18%,0)+IF(ISNUMBER(X134),12%,0)),2))</x:f>
        <x:v>67.24</x:v>
      </x:c>
      <x:c r="AN134" s="17" t="n">
        <x:f>IF(ISNUMBER(AC134),AC134,"")</x:f>
        <x:v>39.6</x:v>
      </x:c>
      <x:c r="AO134" s="17" t="n">
        <x:f>IF(COUNT(AG134,AH134)=0,"",ROUND((IF(ISNUMBER(AG134),AG134*60%,0)+IF(ISNUMBER(AH134),AH134*40%,0))/(IF(ISNUMBER(AG134),60%,0)+IF(ISNUMBER(AH134),40%,0)),2))</x:f>
        <x:v>42.05</x:v>
      </x:c>
      <x:c r="AP134" s="17" t="n">
        <x:f>IF(ISNUMBER(AK134),AK134,"")</x:f>
        <x:v>100</x:v>
      </x:c>
      <x:c r="AQ134" s="39" t="n">
        <x:f>IF(G134&lt;&gt;"入池",0,IF(ISNUMBER(I134),6%,0)+IF(ISNUMBER(K134),4.5%,0)+IF(ISNUMBER(L134),4.5%,0)+IF(ISNUMBER(Q134),8.4%,0)+IF(ISNUMBER(R134),5.6%,0)+IF(ISNUMBER(W134),3.6%,0)+IF(ISNUMBER(X134),2.4%,0)+IF(ISNUMBER(AC134),25%,0)+IF(ISNUMBER(AG134),18%,0)+IF(ISNUMBER(AH134),12%,0)+IF(ISNUMBER(AK134),10%,0))</x:f>
        <x:v>1</x:v>
      </x:c>
      <x:c r="AR134" s="17" t="n">
        <x:f>IF(AQ134=0,"",IF(ISNUMBER(I134),I134*6%,0)+IF(ISNUMBER(K134),K134*4.5%,0)+IF(ISNUMBER(L134),L134*4.5%,0)+IF(ISNUMBER(Q134),Q134*8.4%,0)+IF(ISNUMBER(R134),R134*5.6%,0)+IF(ISNUMBER(W134),W134*3.6%,0)+IF(ISNUMBER(X134),X134*2.4%,0)+IF(ISNUMBER(AC134),AC134*25%,0)+IF(ISNUMBER(AG134),AG134*18%,0)+IF(ISNUMBER(AH134),AH134*12%,0)+IF(ISNUMBER(AK134),AK134*10%,0))</x:f>
        <x:v>60.96347</x:v>
      </x:c>
      <x:c r="AS134" s="17" t="n">
        <x:f>IF(AQ134=0,"",ROUND(AR134/AQ134,2))</x:f>
        <x:v>60.96</x:v>
      </x:c>
      <x:c r="AT134" s="40" t="n">
        <x:f>IF(OR(G134&lt;&gt;"入池",NOT(ISNUMBER(AS134))),"",COUNTIFS($G$17:$G$219,"入池",$AS$17:$AS$219,"&gt;"&amp;AS134)+COUNTIFS($G$17:$G$219,"入池",$AS$17:$AS$219,AS134,$AQ$17:$AQ$219,"&gt;"&amp;AQ134)+COUNTIFS($G$17:G134,"入池",$AS$17:AS134,AS134,$AQ$17:AQ134,AQ134))</x:f>
        <x:v>103</x:v>
      </x:c>
      <x:c r="AU134" s="41" t="str">
        <x:f t="shared" si="4">IF(NOT(ISNUMBER(I134)),"管理人规模；","")&amp;IF(J134="","产品规模标识；","")&amp;IF(AND(F134&lt;3,NOT(ISNUMBER(O134))),"R_incep；","")&amp;IF(NOT(ISNUMBER(N134)),"近三年收益；","")&amp;IF(NOT(ISNUMBER(U134)),"近三年胜率；","")&amp;IF(AND(ISNUMBER(V134),OR(V134&lt;0,V134&gt;1)),"胜率窗口口径不一致；","")&amp;IF(NOT(ISNUMBER(AA134)),"近三年回撤；","")&amp;IF(NOT(ISNUMBER(AD134)),"短期卡玛；","")&amp;IF(AND(ISNUMBER(P134),NOT(ISNUMBER(AE134))),"DD_long不可识别；","")</x:f>
      </x:c>
      <x:c r="AV134" s="42" t="n">
        <x:v>100</x:v>
      </x:c>
      <x:c r="AW134" s="19" t="str">
        <x:v>南京盛泉恒元投资有限公司</x:v>
      </x:c>
      <x:c r="AX134" s="19" t="str">
        <x:v>2026-02-24</x:v>
      </x:c>
      <x:c r="AY134" s="19" t="str">
        <x:v>https://gs.amac.org.cn/amac-infodisc/res/pof/manager/101000008304.html</x:v>
      </x:c>
      <x:c r="AZ134" s="19" t="str">
        <x:v>盛泉恒元量化套利11号私募证券投资基金</x:v>
      </x:c>
      <x:c r="BA134" s="19" t="str">
        <x:v>2026-05-28</x:v>
      </x:c>
      <x:c r="BB134" s="19"/>
      <x:c r="BC134" s="19" t="str">
        <x:v>https://gs.amac.org.cn/amac-infodisc/res/pof/fund/1901281739102503.html</x:v>
      </x:c>
      <x:c r="BD134" s="19" t="str">
        <x:v>已匹配</x:v>
      </x:c>
      <x:c r="BE134"/>
      <x:c r="BF134"/>
    </x:row>
    <x:row r="135" ht="28" customHeight="1">
      <x:c r="A135" s="4" t="n">
        <x:v>119</x:v>
      </x:c>
      <x:c r="B135" s="15" t="str">
        <x:f>'sheet4-原始数据'!A120</x:f>
        <x:v>殊馥兴义2号</x:v>
      </x:c>
      <x:c r="C135" s="15" t="str">
        <x:f>'sheet4-原始数据'!B120</x:f>
        <x:v>SGH592</x:v>
      </x:c>
      <x:c r="D135" s="15" t="str">
        <x:f>'sheet4-原始数据'!E120</x:f>
        <x:v>上海殊馥投资</x:v>
      </x:c>
      <x:c r="E135" s="32" t="n">
        <x:f>IF(ISNUMBER('sheet4-原始数据'!F120),'sheet4-原始数据'!F120,"")</x:f>
        <x:v>43549</x:v>
      </x:c>
      <x:c r="F135" s="17" t="n">
        <x:f>IF(NOT(ISNUMBER(E135)),"",ROUND(('sheet1-指标体系'!$J$23-E135)/365.25,4))</x:f>
        <x:v>7.4798</x:v>
      </x:c>
      <x:c r="G135" s="4" t="str">
        <x:f t="shared" si="3">IF(NOT(ISNUMBER(F135)),"",IF(F135&lt;1,"不入池","入池"))</x:f>
        <x:v>入池</x:v>
      </x:c>
      <x:c r="H135" s="33" t="str">
        <x:v>10-20亿元</x:v>
      </x:c>
      <x:c r="I135" s="17" t="n">
        <x:f>IF(H135="","",IF(ISNUMBER(SEARCH("100亿元以上",H135)),100,IF(OR(ISNUMBER(SEARCH("20-50",H135)),ISNUMBER(SEARCH("50-100",H135)),ISNUMBER(SEARCH("20-100",H135))),90,IF(ISNUMBER(SEARCH("10-20",H135)),80,IF(ISNUMBER(SEARCH("5-10",H135)),70,IF(ISNUMBER(SEARCH("0-5",H135)),60,""))))))</x:f>
        <x:v>80</x:v>
      </x:c>
      <x:c r="J135" s="34" t="str">
        <x:v>无低于1000万元标识</x:v>
      </x:c>
      <x:c r="K135" s="17" t="n">
        <x:f>IF(J135="","",IF(J135="低于1000万元",0,100))</x:f>
        <x:v>100</x:v>
      </x:c>
      <x:c r="L135" s="17" t="n">
        <x:f>IF(NOT(ISNUMBER(F135)),"",IF(F135&lt;1,"",IF(F135&lt;3,70,100)))</x:f>
        <x:v>100</x:v>
      </x:c>
      <x:c r="M135" s="35" t="n">
        <x:f>IF(ISNUMBER('sheet4-原始数据'!G120),'sheet4-原始数据'!G120,"")</x:f>
        <x:v>0.08310000000000001</x:v>
      </x:c>
      <x:c r="N135" s="35" t="n">
        <x:f>IF(ISNUMBER('sheet4-原始数据'!H120),'sheet4-原始数据'!H120,"")</x:f>
        <x:v>0.0707</x:v>
      </x:c>
      <x:c r="O135" s="36" t="str">
        <x:f>IF(ISNUMBER('sheet4-原始数据'!Q120),'sheet4-原始数据'!Q120,"")</x:f>
      </x:c>
      <x:c r="P135" s="37" t="n">
        <x:f>IF($G135&lt;&gt;"入池","",IF($F135&gt;=3,IF(OR(NOT(ISNUMBER($M135)),NOT(ISNUMBER($N135)),1+$M135&lt;=0,1+$N135&lt;0),"",((1+$N135)^3/(1+$M135))^(1/2)-1),IF(OR($F135&lt;=1,NOT(ISNUMBER($M135)),NOT(ISNUMBER($O135)),1+$M135&lt;=0,1+$O135&lt;0),"",((1+$O135)^$F135/(1+$M135))^(1/($F135-1))-1)))</x:f>
        <x:v>0.06455333810017927</x:v>
      </x:c>
      <x:c r="Q135" s="17" t="n">
        <x:f>IF(OR($G135&lt;&gt;"入池",NOT(ISNUMBER(M135))),"",IF(COUNTIFS($G$17:$G$219,"入池",$M$17:$M$219,"&gt;=-1E+307",$M$17:$M$219,"&lt;=1E+307")&lt;=1,100,ROUND(100*(COUNTIFS($G$17:$G$219,"入池",$M$17:$M$219,"&gt;=-1E+307",$M$17:$M$219,"&lt;"&amp;M135)+COUNTIFS($G$17:$G$219,"入池",$M$17:$M$219,M135,$M$17:$M$219,"&gt;=-1E+307",$M$17:$M$219,"&lt;=1E+307")/2-0.5)/(COUNTIFS($G$17:$G$219,"入池",$M$17:$M$219,"&gt;=-1E+307",$M$17:$M$219,"&lt;=1E+307")-1),2)))</x:f>
        <x:v>72.77</x:v>
      </x:c>
      <x:c r="R135" s="17" t="n">
        <x:f>IF(OR($G135&lt;&gt;"入池",NOT(ISNUMBER(P135))),"",IF(COUNTIFS($G$17:$G$219,"入池",$P$17:$P$219,"&gt;=-1E+307",$P$17:$P$219,"&lt;=1E+307")&lt;=1,100,ROUND(100*(COUNTIFS($G$17:$G$219,"入池",$P$17:$P$219,"&gt;=-1E+307",$P$17:$P$219,"&lt;"&amp;P135)+COUNTIFS($G$17:$G$219,"入池",$P$17:$P$219,P135,$P$17:$P$219,"&gt;=-1E+307",$P$17:$P$219,"&lt;=1E+307")/2-0.5)/(COUNTIFS($G$17:$G$219,"入池",$P$17:$P$219,"&gt;=-1E+307",$P$17:$P$219,"&lt;=1E+307")-1),2)))</x:f>
        <x:v>51.49</x:v>
      </x:c>
      <x:c r="S135" s="17" t="n">
        <x:f>IF(NOT(ISNUMBER(Q135)),"",IF(NOT(ISNUMBER(R135)),Q135,ROUND(Q135*'sheet1-指标体系'!$J$8+R135*'sheet1-指标体系'!$J$9,2)))</x:f>
        <x:v>64.26</x:v>
      </x:c>
      <x:c r="T135" s="35" t="n">
        <x:f>IF(ISNUMBER('sheet4-原始数据'!J120),'sheet4-原始数据'!J120,"")</x:f>
        <x:v>0.6923</x:v>
      </x:c>
      <x:c r="U135" s="35" t="n">
        <x:f>IF(ISNUMBER('sheet4-原始数据'!I120),'sheet4-原始数据'!I120,"")</x:f>
        <x:v>0.8108</x:v>
      </x:c>
      <x:c r="V135" s="37" t="n">
        <x:f>IF(OR(NOT(ISNUMBER(T135)),NOT(ISNUMBER(U135))),"",(U135*'sheet1-指标体系'!$J$6-T135*'sheet1-指标体系'!$J$5)/'sheet1-指标体系'!$J$7)</x:f>
        <x:v>0.8749874999999999</x:v>
      </x:c>
      <x:c r="W135" s="17" t="n">
        <x:f>IF(NOT(ISNUMBER(T135)),"",T135*100)</x:f>
        <x:v>69.23</x:v>
      </x:c>
      <x:c r="X135" s="17" t="n">
        <x:f>IF($G135&lt;&gt;"入池","",IF(AND(ISNUMBER(V135),V135&gt;=0,V135&lt;=1),V135*100,IF(MAX(0,($F135-1)*12)&lt;6,100,"")))</x:f>
        <x:v>87.49874999999999</x:v>
      </x:c>
      <x:c r="Y135" s="17" t="n">
        <x:f>IF(NOT(ISNUMBER(W135)),"",IF(NOT(ISNUMBER(X135)),W135,ROUND(W135*'sheet1-指标体系'!$J$8+X135*'sheet1-指标体系'!$J$9,2)))</x:f>
        <x:v>76.54</x:v>
      </x:c>
      <x:c r="Z135" s="37" t="n">
        <x:f>IF(OR(NOT(ISNUMBER(M135)),NOT(ISNUMBER(AD135)),AD135=0),"",ABS(M135/AD135))</x:f>
        <x:v>0.021588901589940767</x:v>
      </x:c>
      <x:c r="AA135" s="35" t="n">
        <x:f>IF(ISNUMBER('sheet4-原始数据'!K120),'sheet4-原始数据'!K120,"")</x:f>
        <x:v>0.0216</x:v>
      </x:c>
      <x:c r="AB135" s="37" t="n">
        <x:f>IF(COUNT(Z135:AA135)=0,"",MAX(Z135:AA135))</x:f>
        <x:v>0.0216</x:v>
      </x:c>
      <x:c r="AC135" s="17" t="n">
        <x:f>IF(OR($G135&lt;&gt;"入池",NOT(ISNUMBER(AB135))),"",IF(COUNTIFS($G$17:$G$219,"入池",$AB$17:$AB$219,"&gt;=-1E+307",$AB$17:$AB$219,"&lt;=1E+307")&lt;=1,100,ROUND(100*(COUNTIFS($G$17:$G$219,"入池",$AB$17:$AB$219,"&lt;=1E+307",$AB$17:$AB$219,"&gt;"&amp;AB135)+COUNTIFS($G$17:$G$219,"入池",$AB$17:$AB$219,AB135,$AB$17:$AB$219,"&gt;=-1E+307",$AB$17:$AB$219,"&lt;=1E+307")/2-0.5)/(COUNTIFS($G$17:$G$219,"入池",$AB$17:$AB$219,"&gt;=-1E+307",$AB$17:$AB$219,"&lt;=1E+307")-1),2)))</x:f>
        <x:v>73.76</x:v>
      </x:c>
      <x:c r="AD135" s="38" t="n">
        <x:f>IF(ISNUMBER('sheet4-原始数据'!M120),'sheet4-原始数据'!M120,"")</x:f>
        <x:v>3.8492</x:v>
      </x:c>
      <x:c r="AE135" s="37" t="str">
        <x:f>IF(OR(NOT(ISNUMBER(P135)),NOT(ISNUMBER(AA135)),NOT(ISNUMBER(Z135))),"",IF(AA135&gt;Z135+'sheet1-指标体系'!$J$11,AA135,""))</x:f>
      </x:c>
      <x:c r="AF135" s="17" t="str">
        <x:f>IF(OR(NOT(ISNUMBER(P135)),NOT(ISNUMBER(AE135)),AE135=0),"",P135/AE135)</x:f>
      </x:c>
      <x:c r="AG135" s="17" t="n">
        <x:f>IF(OR($G135&lt;&gt;"入池",NOT(ISNUMBER(AD135))),"",IF(COUNTIFS($G$17:$G$219,"入池",$AD$17:$AD$219,"&gt;=-1E+307",$AD$17:$AD$219,"&lt;=1E+307")&lt;=1,100,ROUND(100*(COUNTIFS($G$17:$G$219,"入池",$AD$17:$AD$219,"&gt;=-1E+307",$AD$17:$AD$219,"&lt;"&amp;AD135)+COUNTIFS($G$17:$G$219,"入池",$AD$17:$AD$219,AD135,$AD$17:$AD$219,"&gt;=-1E+307",$AD$17:$AD$219,"&lt;=1E+307")/2-0.5)/(COUNTIFS($G$17:$G$219,"入池",$AD$17:$AD$219,"&gt;=-1E+307",$AD$17:$AD$219,"&lt;=1E+307")-1),2)))</x:f>
        <x:v>59.2</x:v>
      </x:c>
      <x:c r="AH135" s="17" t="str">
        <x:f>IF(OR($G135&lt;&gt;"入池",NOT(ISNUMBER(AF135))),"",IF(COUNTIFS($G$17:$G$219,"入池",$AF$17:$AF$219,"&gt;=-1E+307",$AF$17:$AF$219,"&lt;=1E+307")&lt;=1,100,ROUND(100*(COUNTIFS($G$17:$G$219,"入池",$AF$17:$AF$219,"&gt;=-1E+307",$AF$17:$AF$219,"&lt;"&amp;AF135)+COUNTIFS($G$17:$G$219,"入池",$AF$17:$AF$219,AF135,$AF$17:$AF$219,"&gt;=-1E+307",$AF$17:$AF$219,"&lt;=1E+307")/2-0.5)/(COUNTIFS($G$17:$G$219,"入池",$AF$17:$AF$219,"&gt;=-1E+307",$AF$17:$AF$219,"&lt;=1E+307")-1),2)))</x:f>
      </x:c>
      <x:c r="AI135" s="17" t="n">
        <x:f>IF(NOT(ISNUMBER(AG135)),"",IF(NOT(ISNUMBER(AH135)),AG135,ROUND(AG135*'sheet1-指标体系'!$J$8+AH135*'sheet1-指标体系'!$J$9,2)))</x:f>
        <x:v>59.2</x:v>
      </x:c>
      <x:c r="AJ135" s="37" t="n">
        <x:f>IF(NOT(ISNUMBER(F135)),"",IF(F135&gt;=3,IF(NOT(ISNUMBER(N135)),"",N135),IF(NOT(ISNUMBER(O135)),"",O135)))</x:f>
        <x:v>0.0707</x:v>
      </x:c>
      <x:c r="AK135" s="17" t="n">
        <x:f>IF(OR(G135&lt;&gt;"入池",NOT(ISNUMBER(M135)),NOT(ISNUMBER(AJ135))),"",IF(M135&gt;=AJ135,100,IF(AJ135-M135&lt;'sheet1-指标体系'!$J$10,80,60)))</x:f>
        <x:v>100</x:v>
      </x:c>
      <x:c r="AL135" s="17" t="n">
        <x:f>IF(COUNT(I135,K135,L135)=0,"",ROUND((IF(ISNUMBER(I135),I135*40%,0)+IF(ISNUMBER(K135),K135*30%,0)+IF(ISNUMBER(L135),L135*30%,0))/(IF(ISNUMBER(I135),40%,0)+IF(ISNUMBER(K135),30%,0)+IF(ISNUMBER(L135),30%,0)),2))</x:f>
        <x:v>92</x:v>
      </x:c>
      <x:c r="AM135" s="17" t="n">
        <x:f>IF(COUNT(Q135,R135,W135,X135)=0,"",ROUND((IF(ISNUMBER(Q135),Q135*42%,0)+IF(ISNUMBER(R135),R135*28%,0)+IF(ISNUMBER(W135),W135*18%,0)+IF(ISNUMBER(X135),X135*12%,0))/(IF(ISNUMBER(Q135),42%,0)+IF(ISNUMBER(R135),28%,0)+IF(ISNUMBER(W135),18%,0)+IF(ISNUMBER(X135),12%,0)),2))</x:f>
        <x:v>67.94</x:v>
      </x:c>
      <x:c r="AN135" s="17" t="n">
        <x:f>IF(ISNUMBER(AC135),AC135,"")</x:f>
        <x:v>73.76</x:v>
      </x:c>
      <x:c r="AO135" s="17" t="n">
        <x:f>IF(COUNT(AG135,AH135)=0,"",ROUND((IF(ISNUMBER(AG135),AG135*60%,0)+IF(ISNUMBER(AH135),AH135*40%,0))/(IF(ISNUMBER(AG135),60%,0)+IF(ISNUMBER(AH135),40%,0)),2))</x:f>
        <x:v>59.2</x:v>
      </x:c>
      <x:c r="AP135" s="17" t="n">
        <x:f>IF(ISNUMBER(AK135),AK135,"")</x:f>
        <x:v>100</x:v>
      </x:c>
      <x:c r="AQ135" s="39" t="n">
        <x:f>IF(G135&lt;&gt;"入池",0,IF(ISNUMBER(I135),6%,0)+IF(ISNUMBER(K135),4.5%,0)+IF(ISNUMBER(L135),4.5%,0)+IF(ISNUMBER(Q135),8.4%,0)+IF(ISNUMBER(R135),5.6%,0)+IF(ISNUMBER(W135),3.6%,0)+IF(ISNUMBER(X135),2.4%,0)+IF(ISNUMBER(AC135),25%,0)+IF(ISNUMBER(AG135),18%,0)+IF(ISNUMBER(AH135),12%,0)+IF(ISNUMBER(AK135),10%,0))</x:f>
        <x:v>0.88</x:v>
      </x:c>
      <x:c r="AR135" s="17" t="n">
        <x:f>IF(AQ135=0,"",IF(ISNUMBER(I135),I135*6%,0)+IF(ISNUMBER(K135),K135*4.5%,0)+IF(ISNUMBER(L135),L135*4.5%,0)+IF(ISNUMBER(Q135),Q135*8.4%,0)+IF(ISNUMBER(R135),R135*5.6%,0)+IF(ISNUMBER(W135),W135*3.6%,0)+IF(ISNUMBER(X135),X135*2.4%,0)+IF(ISNUMBER(AC135),AC135*25%,0)+IF(ISNUMBER(AG135),AG135*18%,0)+IF(ISNUMBER(AH135),AH135*12%,0)+IF(ISNUMBER(AK135),AK135*10%,0))</x:f>
        <x:v>66.48437000000001</x:v>
      </x:c>
      <x:c r="AS135" s="17" t="n">
        <x:f>IF(AQ135=0,"",ROUND(AR135/AQ135,2))</x:f>
        <x:v>75.55</x:v>
      </x:c>
      <x:c r="AT135" s="40" t="n">
        <x:f>IF(OR(G135&lt;&gt;"入池",NOT(ISNUMBER(AS135))),"",COUNTIFS($G$17:$G$219,"入池",$AS$17:$AS$219,"&gt;"&amp;AS135)+COUNTIFS($G$17:$G$219,"入池",$AS$17:$AS$219,AS135,$AQ$17:$AQ$219,"&gt;"&amp;AQ135)+COUNTIFS($G$17:G135,"入池",$AS$17:AS135,AS135,$AQ$17:AQ135,AQ135))</x:f>
        <x:v>46</x:v>
      </x:c>
      <x:c r="AU135" s="41" t="str">
        <x:f t="shared" si="4">IF(NOT(ISNUMBER(I135)),"管理人规模；","")&amp;IF(J135="","产品规模标识；","")&amp;IF(AND(F135&lt;3,NOT(ISNUMBER(O135))),"R_incep；","")&amp;IF(NOT(ISNUMBER(N135)),"近三年收益；","")&amp;IF(NOT(ISNUMBER(U135)),"近三年胜率；","")&amp;IF(AND(ISNUMBER(V135),OR(V135&lt;0,V135&gt;1)),"胜率窗口口径不一致；","")&amp;IF(NOT(ISNUMBER(AA135)),"近三年回撤；","")&amp;IF(NOT(ISNUMBER(AD135)),"短期卡玛；","")&amp;IF(AND(ISNUMBER(P135),NOT(ISNUMBER(AE135))),"DD_long不可识别；","")</x:f>
        <x:v>DD_long不可识别；</x:v>
      </x:c>
      <x:c r="AV135" s="42" t="n">
        <x:v>10</x:v>
      </x:c>
      <x:c r="AW135" s="19" t="str">
        <x:v>上海殊馥投资管理有限公司</x:v>
      </x:c>
      <x:c r="AX135" s="19" t="str">
        <x:v>2026-06-29</x:v>
      </x:c>
      <x:c r="AY135" s="19" t="str">
        <x:v>https://gs.amac.org.cn/amac-infodisc/res/pof/manager/101000042776.html</x:v>
      </x:c>
      <x:c r="AZ135" s="19" t="str">
        <x:v>殊馥兴义2号私募证券投资基金</x:v>
      </x:c>
      <x:c r="BA135" s="19" t="str">
        <x:v>2025-07-14</x:v>
      </x:c>
      <x:c r="BB135" s="19"/>
      <x:c r="BC135" s="19" t="str">
        <x:v>https://gs.amac.org.cn/amac-infodisc/res/pof/fund/1904241451105050.html</x:v>
      </x:c>
      <x:c r="BD135" s="19" t="str">
        <x:v>已匹配</x:v>
      </x:c>
      <x:c r="BE135"/>
      <x:c r="BF135"/>
    </x:row>
    <x:row r="136" ht="28" customHeight="1">
      <x:c r="A136" s="4" t="n">
        <x:v>120</x:v>
      </x:c>
      <x:c r="B136" s="15" t="str">
        <x:f>'sheet4-原始数据'!A121</x:f>
        <x:v>永泉奇点1号混合投资</x:v>
      </x:c>
      <x:c r="C136" s="15" t="str">
        <x:f>'sheet4-原始数据'!B121</x:f>
        <x:v>SGM299</x:v>
      </x:c>
      <x:c r="D136" s="15" t="str">
        <x:f>'sheet4-原始数据'!E121</x:f>
        <x:v>宁波永泉</x:v>
      </x:c>
      <x:c r="E136" s="32" t="n">
        <x:f>IF(ISNUMBER('sheet4-原始数据'!F121),'sheet4-原始数据'!F121,"")</x:f>
        <x:v>43585</x:v>
      </x:c>
      <x:c r="F136" s="17" t="n">
        <x:f>IF(NOT(ISNUMBER(E136)),"",ROUND(('sheet1-指标体系'!$J$23-E136)/365.25,4))</x:f>
        <x:v>7.3812</x:v>
      </x:c>
      <x:c r="G136" s="4" t="str">
        <x:f t="shared" si="3">IF(NOT(ISNUMBER(F136)),"",IF(F136&lt;1,"不入池","入池"))</x:f>
        <x:v>入池</x:v>
      </x:c>
      <x:c r="H136" s="33" t="str">
        <x:v>0-5亿元</x:v>
      </x:c>
      <x:c r="I136" s="17" t="n">
        <x:f>IF(H136="","",IF(ISNUMBER(SEARCH("100亿元以上",H136)),100,IF(OR(ISNUMBER(SEARCH("20-50",H136)),ISNUMBER(SEARCH("50-100",H136)),ISNUMBER(SEARCH("20-100",H136))),90,IF(ISNUMBER(SEARCH("10-20",H136)),80,IF(ISNUMBER(SEARCH("5-10",H136)),70,IF(ISNUMBER(SEARCH("0-5",H136)),60,""))))))</x:f>
        <x:v>60</x:v>
      </x:c>
      <x:c r="J136" s="34" t="str">
        <x:v>无低于1000万元标识</x:v>
      </x:c>
      <x:c r="K136" s="17" t="n">
        <x:f>IF(J136="","",IF(J136="低于1000万元",0,100))</x:f>
        <x:v>100</x:v>
      </x:c>
      <x:c r="L136" s="17" t="n">
        <x:f>IF(NOT(ISNUMBER(F136)),"",IF(F136&lt;1,"",IF(F136&lt;3,70,100)))</x:f>
        <x:v>100</x:v>
      </x:c>
      <x:c r="M136" s="35" t="n">
        <x:f>IF(ISNUMBER('sheet4-原始数据'!G121),'sheet4-原始数据'!G121,"")</x:f>
        <x:v>0.059000000000000004</x:v>
      </x:c>
      <x:c r="N136" s="35" t="n">
        <x:f>IF(ISNUMBER('sheet4-原始数据'!H121),'sheet4-原始数据'!H121,"")</x:f>
        <x:v>0.09140000000000001</x:v>
      </x:c>
      <x:c r="O136" s="36" t="str">
        <x:f>IF(ISNUMBER('sheet4-原始数据'!Q121),'sheet4-原始数据'!Q121,"")</x:f>
      </x:c>
      <x:c r="P136" s="37" t="n">
        <x:f>IF($G136&lt;&gt;"入池","",IF($F136&gt;=3,IF(OR(NOT(ISNUMBER($M136)),NOT(ISNUMBER($N136)),1+$M136&lt;=0,1+$N136&lt;0),"",((1+$N136)^3/(1+$M136))^(1/2)-1),IF(OR($F136&lt;=1,NOT(ISNUMBER($M136)),NOT(ISNUMBER($O136)),1+$M136&lt;=0,1+$O136&lt;0),"",((1+$O136)^$F136/(1+$M136))^(1/($F136-1))-1)))</x:f>
        <x:v>0.10796985396856162</x:v>
      </x:c>
      <x:c r="Q136" s="17" t="n">
        <x:f>IF(OR($G136&lt;&gt;"入池",NOT(ISNUMBER(M136))),"",IF(COUNTIFS($G$17:$G$219,"入池",$M$17:$M$219,"&gt;=-1E+307",$M$17:$M$219,"&lt;=1E+307")&lt;=1,100,ROUND(100*(COUNTIFS($G$17:$G$219,"入池",$M$17:$M$219,"&gt;=-1E+307",$M$17:$M$219,"&lt;"&amp;M136)+COUNTIFS($G$17:$G$219,"入池",$M$17:$M$219,M136,$M$17:$M$219,"&gt;=-1E+307",$M$17:$M$219,"&lt;=1E+307")/2-0.5)/(COUNTIFS($G$17:$G$219,"入池",$M$17:$M$219,"&gt;=-1E+307",$M$17:$M$219,"&lt;=1E+307")-1),2)))</x:f>
        <x:v>53.47</x:v>
      </x:c>
      <x:c r="R136" s="17" t="n">
        <x:f>IF(OR($G136&lt;&gt;"入池",NOT(ISNUMBER(P136))),"",IF(COUNTIFS($G$17:$G$219,"入池",$P$17:$P$219,"&gt;=-1E+307",$P$17:$P$219,"&lt;=1E+307")&lt;=1,100,ROUND(100*(COUNTIFS($G$17:$G$219,"入池",$P$17:$P$219,"&gt;=-1E+307",$P$17:$P$219,"&lt;"&amp;P136)+COUNTIFS($G$17:$G$219,"入池",$P$17:$P$219,P136,$P$17:$P$219,"&gt;=-1E+307",$P$17:$P$219,"&lt;=1E+307")/2-0.5)/(COUNTIFS($G$17:$G$219,"入池",$P$17:$P$219,"&gt;=-1E+307",$P$17:$P$219,"&lt;=1E+307")-1),2)))</x:f>
        <x:v>75.25</x:v>
      </x:c>
      <x:c r="S136" s="17" t="n">
        <x:f>IF(NOT(ISNUMBER(Q136)),"",IF(NOT(ISNUMBER(R136)),Q136,ROUND(Q136*'sheet1-指标体系'!$J$8+R136*'sheet1-指标体系'!$J$9,2)))</x:f>
        <x:v>62.18</x:v>
      </x:c>
      <x:c r="T136" s="35" t="n">
        <x:f>IF(ISNUMBER('sheet4-原始数据'!J121),'sheet4-原始数据'!J121,"")</x:f>
        <x:v>0.9231</x:v>
      </x:c>
      <x:c r="U136" s="35" t="n">
        <x:f>IF(ISNUMBER('sheet4-原始数据'!I121),'sheet4-原始数据'!I121,"")</x:f>
        <x:v>0.8649</x:v>
      </x:c>
      <x:c r="V136" s="37" t="n">
        <x:f>IF(OR(NOT(ISNUMBER(T136)),NOT(ISNUMBER(U136))),"",(U136*'sheet1-指标体系'!$J$6-T136*'sheet1-指标体系'!$J$5)/'sheet1-指标体系'!$J$7)</x:f>
        <x:v>0.8333749999999999</x:v>
      </x:c>
      <x:c r="W136" s="17" t="n">
        <x:f>IF(NOT(ISNUMBER(T136)),"",T136*100)</x:f>
        <x:v>92.31</x:v>
      </x:c>
      <x:c r="X136" s="17" t="n">
        <x:f>IF($G136&lt;&gt;"入池","",IF(AND(ISNUMBER(V136),V136&gt;=0,V136&lt;=1),V136*100,IF(MAX(0,($F136-1)*12)&lt;6,100,"")))</x:f>
        <x:v>83.33749999999999</x:v>
      </x:c>
      <x:c r="Y136" s="17" t="n">
        <x:f>IF(NOT(ISNUMBER(W136)),"",IF(NOT(ISNUMBER(X136)),W136,ROUND(W136*'sheet1-指标体系'!$J$8+X136*'sheet1-指标体系'!$J$9,2)))</x:f>
        <x:v>88.72</x:v>
      </x:c>
      <x:c r="Z136" s="37" t="n">
        <x:f>IF(OR(NOT(ISNUMBER(M136)),NOT(ISNUMBER(AD136)),AD136=0),"",ABS(M136/AD136))</x:f>
        <x:v>0.002356117118987908</x:v>
      </x:c>
      <x:c r="AA136" s="35" t="n">
        <x:f>IF(ISNUMBER('sheet4-原始数据'!K121),'sheet4-原始数据'!K121,"")</x:f>
        <x:v>0.0144</x:v>
      </x:c>
      <x:c r="AB136" s="37" t="n">
        <x:f>IF(COUNT(Z136:AA136)=0,"",MAX(Z136:AA136))</x:f>
        <x:v>0.0144</x:v>
      </x:c>
      <x:c r="AC136" s="17" t="n">
        <x:f>IF(OR($G136&lt;&gt;"入池",NOT(ISNUMBER(AB136))),"",IF(COUNTIFS($G$17:$G$219,"入池",$AB$17:$AB$219,"&gt;=-1E+307",$AB$17:$AB$219,"&lt;=1E+307")&lt;=1,100,ROUND(100*(COUNTIFS($G$17:$G$219,"入池",$AB$17:$AB$219,"&lt;=1E+307",$AB$17:$AB$219,"&gt;"&amp;AB136)+COUNTIFS($G$17:$G$219,"入池",$AB$17:$AB$219,AB136,$AB$17:$AB$219,"&gt;=-1E+307",$AB$17:$AB$219,"&lt;=1E+307")/2-0.5)/(COUNTIFS($G$17:$G$219,"入池",$AB$17:$AB$219,"&gt;=-1E+307",$AB$17:$AB$219,"&lt;=1E+307")-1),2)))</x:f>
        <x:v>79.7</x:v>
      </x:c>
      <x:c r="AD136" s="38" t="n">
        <x:f>IF(ISNUMBER('sheet4-原始数据'!M121),'sheet4-原始数据'!M121,"")</x:f>
        <x:v>25.0412</x:v>
      </x:c>
      <x:c r="AE136" s="37" t="n">
        <x:f>IF(OR(NOT(ISNUMBER(P136)),NOT(ISNUMBER(AA136)),NOT(ISNUMBER(Z136))),"",IF(AA136&gt;Z136+'sheet1-指标体系'!$J$11,AA136,""))</x:f>
        <x:v>0.0144</x:v>
      </x:c>
      <x:c r="AF136" s="17" t="n">
        <x:f>IF(OR(NOT(ISNUMBER(P136)),NOT(ISNUMBER(AE136)),AE136=0),"",P136/AE136)</x:f>
        <x:v>7.497906525594558</x:v>
      </x:c>
      <x:c r="AG136" s="17" t="n">
        <x:f>IF(OR($G136&lt;&gt;"入池",NOT(ISNUMBER(AD136))),"",IF(COUNTIFS($G$17:$G$219,"入池",$AD$17:$AD$219,"&gt;=-1E+307",$AD$17:$AD$219,"&lt;=1E+307")&lt;=1,100,ROUND(100*(COUNTIFS($G$17:$G$219,"入池",$AD$17:$AD$219,"&gt;=-1E+307",$AD$17:$AD$219,"&lt;"&amp;AD136)+COUNTIFS($G$17:$G$219,"入池",$AD$17:$AD$219,AD136,$AD$17:$AD$219,"&gt;=-1E+307",$AD$17:$AD$219,"&lt;=1E+307")/2-0.5)/(COUNTIFS($G$17:$G$219,"入池",$AD$17:$AD$219,"&gt;=-1E+307",$AD$17:$AD$219,"&lt;=1E+307")-1),2)))</x:f>
        <x:v>91.04</x:v>
      </x:c>
      <x:c r="AH136" s="17" t="n">
        <x:f>IF(OR($G136&lt;&gt;"入池",NOT(ISNUMBER(AF136))),"",IF(COUNTIFS($G$17:$G$219,"入池",$AF$17:$AF$219,"&gt;=-1E+307",$AF$17:$AF$219,"&lt;=1E+307")&lt;=1,100,ROUND(100*(COUNTIFS($G$17:$G$219,"入池",$AF$17:$AF$219,"&gt;=-1E+307",$AF$17:$AF$219,"&lt;"&amp;AF136)+COUNTIFS($G$17:$G$219,"入池",$AF$17:$AF$219,AF136,$AF$17:$AF$219,"&gt;=-1E+307",$AF$17:$AF$219,"&lt;=1E+307")/2-0.5)/(COUNTIFS($G$17:$G$219,"入池",$AF$17:$AF$219,"&gt;=-1E+307",$AF$17:$AF$219,"&lt;=1E+307")-1),2)))</x:f>
        <x:v>89.05</x:v>
      </x:c>
      <x:c r="AI136" s="17" t="n">
        <x:f>IF(NOT(ISNUMBER(AG136)),"",IF(NOT(ISNUMBER(AH136)),AG136,ROUND(AG136*'sheet1-指标体系'!$J$8+AH136*'sheet1-指标体系'!$J$9,2)))</x:f>
        <x:v>90.24</x:v>
      </x:c>
      <x:c r="AJ136" s="37" t="n">
        <x:f>IF(NOT(ISNUMBER(F136)),"",IF(F136&gt;=3,IF(NOT(ISNUMBER(N136)),"",N136),IF(NOT(ISNUMBER(O136)),"",O136)))</x:f>
        <x:v>0.09140000000000001</x:v>
      </x:c>
      <x:c r="AK136" s="17" t="n">
        <x:f>IF(OR(G136&lt;&gt;"入池",NOT(ISNUMBER(M136)),NOT(ISNUMBER(AJ136))),"",IF(M136&gt;=AJ136,100,IF(AJ136-M136&lt;'sheet1-指标体系'!$J$10,80,60)))</x:f>
        <x:v>80</x:v>
      </x:c>
      <x:c r="AL136" s="17" t="n">
        <x:f>IF(COUNT(I136,K136,L136)=0,"",ROUND((IF(ISNUMBER(I136),I136*40%,0)+IF(ISNUMBER(K136),K136*30%,0)+IF(ISNUMBER(L136),L136*30%,0))/(IF(ISNUMBER(I136),40%,0)+IF(ISNUMBER(K136),30%,0)+IF(ISNUMBER(L136),30%,0)),2))</x:f>
        <x:v>84</x:v>
      </x:c>
      <x:c r="AM136" s="17" t="n">
        <x:f>IF(COUNT(Q136,R136,W136,X136)=0,"",ROUND((IF(ISNUMBER(Q136),Q136*42%,0)+IF(ISNUMBER(R136),R136*28%,0)+IF(ISNUMBER(W136),W136*18%,0)+IF(ISNUMBER(X136),X136*12%,0))/(IF(ISNUMBER(Q136),42%,0)+IF(ISNUMBER(R136),28%,0)+IF(ISNUMBER(W136),18%,0)+IF(ISNUMBER(X136),12%,0)),2))</x:f>
        <x:v>70.14</x:v>
      </x:c>
      <x:c r="AN136" s="17" t="n">
        <x:f>IF(ISNUMBER(AC136),AC136,"")</x:f>
        <x:v>79.7</x:v>
      </x:c>
      <x:c r="AO136" s="17" t="n">
        <x:f>IF(COUNT(AG136,AH136)=0,"",ROUND((IF(ISNUMBER(AG136),AG136*60%,0)+IF(ISNUMBER(AH136),AH136*40%,0))/(IF(ISNUMBER(AG136),60%,0)+IF(ISNUMBER(AH136),40%,0)),2))</x:f>
        <x:v>90.24</x:v>
      </x:c>
      <x:c r="AP136" s="17" t="n">
        <x:f>IF(ISNUMBER(AK136),AK136,"")</x:f>
        <x:v>80</x:v>
      </x:c>
      <x:c r="AQ136" s="39" t="n">
        <x:f>IF(G136&lt;&gt;"入池",0,IF(ISNUMBER(I136),6%,0)+IF(ISNUMBER(K136),4.5%,0)+IF(ISNUMBER(L136),4.5%,0)+IF(ISNUMBER(Q136),8.4%,0)+IF(ISNUMBER(R136),5.6%,0)+IF(ISNUMBER(W136),3.6%,0)+IF(ISNUMBER(X136),2.4%,0)+IF(ISNUMBER(AC136),25%,0)+IF(ISNUMBER(AG136),18%,0)+IF(ISNUMBER(AH136),12%,0)+IF(ISNUMBER(AK136),10%,0))</x:f>
        <x:v>1</x:v>
      </x:c>
      <x:c r="AR136" s="17" t="n">
        <x:f>IF(AQ136=0,"",IF(ISNUMBER(I136),I136*6%,0)+IF(ISNUMBER(K136),K136*4.5%,0)+IF(ISNUMBER(L136),L136*4.5%,0)+IF(ISNUMBER(Q136),Q136*8.4%,0)+IF(ISNUMBER(R136),R136*5.6%,0)+IF(ISNUMBER(W136),W136*3.6%,0)+IF(ISNUMBER(X136),X136*2.4%,0)+IF(ISNUMBER(AC136),AC136*25%,0)+IF(ISNUMBER(AG136),AG136*18%,0)+IF(ISNUMBER(AH136),AH136*12%,0)+IF(ISNUMBER(AK136),AK136*10%,0))</x:f>
        <x:v>81.62694</x:v>
      </x:c>
      <x:c r="AS136" s="17" t="n">
        <x:f>IF(AQ136=0,"",ROUND(AR136/AQ136,2))</x:f>
        <x:v>81.63</x:v>
      </x:c>
      <x:c r="AT136" s="40" t="n">
        <x:f>IF(OR(G136&lt;&gt;"入池",NOT(ISNUMBER(AS136))),"",COUNTIFS($G$17:$G$219,"入池",$AS$17:$AS$219,"&gt;"&amp;AS136)+COUNTIFS($G$17:$G$219,"入池",$AS$17:$AS$219,AS136,$AQ$17:$AQ$219,"&gt;"&amp;AQ136)+COUNTIFS($G$17:G136,"入池",$AS$17:AS136,AS136,$AQ$17:AQ136,AQ136))</x:f>
        <x:v>27</x:v>
      </x:c>
      <x:c r="AU136" s="41" t="str">
        <x:f t="shared" si="4">IF(NOT(ISNUMBER(I136)),"管理人规模；","")&amp;IF(J136="","产品规模标识；","")&amp;IF(AND(F136&lt;3,NOT(ISNUMBER(O136))),"R_incep；","")&amp;IF(NOT(ISNUMBER(N136)),"近三年收益；","")&amp;IF(NOT(ISNUMBER(U136)),"近三年胜率；","")&amp;IF(AND(ISNUMBER(V136),OR(V136&lt;0,V136&gt;1)),"胜率窗口口径不一致；","")&amp;IF(NOT(ISNUMBER(AA136)),"近三年回撤；","")&amp;IF(NOT(ISNUMBER(AD136)),"短期卡玛；","")&amp;IF(AND(ISNUMBER(P136),NOT(ISNUMBER(AE136))),"DD_long不可识别；","")</x:f>
      </x:c>
      <x:c r="AV136" s="42" t="n">
        <x:v>0</x:v>
      </x:c>
      <x:c r="AW136" s="19" t="str">
        <x:v>宁波永泉私募基金管理有限公司</x:v>
      </x:c>
      <x:c r="AX136" s="19" t="str">
        <x:v>2026-09-09</x:v>
      </x:c>
      <x:c r="AY136" s="19" t="str">
        <x:v>https://gs.amac.org.cn/amac-infodisc/res/pof/manager/101000016974.html</x:v>
      </x:c>
      <x:c r="AZ136" s="19" t="str">
        <x:v>永泉奇点1号混合投资私募基金</x:v>
      </x:c>
      <x:c r="BA136" s="19" t="str">
        <x:v>2024-09-20</x:v>
      </x:c>
      <x:c r="BB136" s="19"/>
      <x:c r="BC136" s="19" t="str">
        <x:v>https://gs.amac.org.cn/amac-infodisc/res/pof/fund/1905101802102119.html</x:v>
      </x:c>
      <x:c r="BD136" s="19" t="str">
        <x:v>已匹配</x:v>
      </x:c>
      <x:c r="BE136"/>
      <x:c r="BF136"/>
    </x:row>
    <x:row r="137" ht="28" customHeight="1">
      <x:c r="A137" s="4" t="n">
        <x:v>121</x:v>
      </x:c>
      <x:c r="B137" s="15" t="str">
        <x:f>'sheet4-原始数据'!A122</x:f>
        <x:v>宏量鼎诚</x:v>
      </x:c>
      <x:c r="C137" s="15" t="str">
        <x:f>'sheet4-原始数据'!B122</x:f>
        <x:v>SGQ716</x:v>
      </x:c>
      <x:c r="D137" s="15" t="str">
        <x:f>'sheet4-原始数据'!E122</x:f>
        <x:v>北京宏量资管</x:v>
      </x:c>
      <x:c r="E137" s="32" t="n">
        <x:f>IF(ISNUMBER('sheet4-原始数据'!F122),'sheet4-原始数据'!F122,"")</x:f>
        <x:v>43613</x:v>
      </x:c>
      <x:c r="F137" s="17" t="n">
        <x:f>IF(NOT(ISNUMBER(E137)),"",ROUND(('sheet1-指标体系'!$J$23-E137)/365.25,4))</x:f>
        <x:v>7.3046</x:v>
      </x:c>
      <x:c r="G137" s="4" t="str">
        <x:f t="shared" si="3">IF(NOT(ISNUMBER(F137)),"",IF(F137&lt;1,"不入池","入池"))</x:f>
        <x:v>入池</x:v>
      </x:c>
      <x:c r="H137" s="33" t="str">
        <x:v>0-5亿元</x:v>
      </x:c>
      <x:c r="I137" s="17" t="n">
        <x:f>IF(H137="","",IF(ISNUMBER(SEARCH("100亿元以上",H137)),100,IF(OR(ISNUMBER(SEARCH("20-50",H137)),ISNUMBER(SEARCH("50-100",H137)),ISNUMBER(SEARCH("20-100",H137))),90,IF(ISNUMBER(SEARCH("10-20",H137)),80,IF(ISNUMBER(SEARCH("5-10",H137)),70,IF(ISNUMBER(SEARCH("0-5",H137)),60,""))))))</x:f>
        <x:v>60</x:v>
      </x:c>
      <x:c r="J137" s="34" t="str">
        <x:v>无低于1000万元标识</x:v>
      </x:c>
      <x:c r="K137" s="17" t="n">
        <x:f>IF(J137="","",IF(J137="低于1000万元",0,100))</x:f>
        <x:v>100</x:v>
      </x:c>
      <x:c r="L137" s="17" t="n">
        <x:f>IF(NOT(ISNUMBER(F137)),"",IF(F137&lt;1,"",IF(F137&lt;3,70,100)))</x:f>
        <x:v>100</x:v>
      </x:c>
      <x:c r="M137" s="35" t="n">
        <x:f>IF(ISNUMBER('sheet4-原始数据'!G122),'sheet4-原始数据'!G122,"")</x:f>
        <x:v>-0.0268</x:v>
      </x:c>
      <x:c r="N137" s="35" t="n">
        <x:f>IF(ISNUMBER('sheet4-原始数据'!H122),'sheet4-原始数据'!H122,"")</x:f>
        <x:v>0.14529999999999998</x:v>
      </x:c>
      <x:c r="O137" s="36" t="str">
        <x:f>IF(ISNUMBER('sheet4-原始数据'!Q122),'sheet4-原始数据'!Q122,"")</x:f>
      </x:c>
      <x:c r="P137" s="37" t="n">
        <x:f>IF($G137&lt;&gt;"入池","",IF($F137&gt;=3,IF(OR(NOT(ISNUMBER($M137)),NOT(ISNUMBER($N137)),1+$M137&lt;=0,1+$N137&lt;0),"",((1+$N137)^3/(1+$M137))^(1/2)-1),IF(OR($F137&lt;=1,NOT(ISNUMBER($M137)),NOT(ISNUMBER($O137)),1+$M137&lt;=0,1+$O137&lt;0),"",((1+$O137)^$F137/(1+$M137))^(1/($F137-1))-1)))</x:f>
        <x:v>0.2424469118178767</x:v>
      </x:c>
      <x:c r="Q137" s="17" t="n">
        <x:f>IF(OR($G137&lt;&gt;"入池",NOT(ISNUMBER(M137))),"",IF(COUNTIFS($G$17:$G$219,"入池",$M$17:$M$219,"&gt;=-1E+307",$M$17:$M$219,"&lt;=1E+307")&lt;=1,100,ROUND(100*(COUNTIFS($G$17:$G$219,"入池",$M$17:$M$219,"&gt;=-1E+307",$M$17:$M$219,"&lt;"&amp;M137)+COUNTIFS($G$17:$G$219,"入池",$M$17:$M$219,M137,$M$17:$M$219,"&gt;=-1E+307",$M$17:$M$219,"&lt;=1E+307")/2-0.5)/(COUNTIFS($G$17:$G$219,"入池",$M$17:$M$219,"&gt;=-1E+307",$M$17:$M$219,"&lt;=1E+307")-1),2)))</x:f>
        <x:v>11.39</x:v>
      </x:c>
      <x:c r="R137" s="17" t="n">
        <x:f>IF(OR($G137&lt;&gt;"入池",NOT(ISNUMBER(P137))),"",IF(COUNTIFS($G$17:$G$219,"入池",$P$17:$P$219,"&gt;=-1E+307",$P$17:$P$219,"&lt;=1E+307")&lt;=1,100,ROUND(100*(COUNTIFS($G$17:$G$219,"入池",$P$17:$P$219,"&gt;=-1E+307",$P$17:$P$219,"&lt;"&amp;P137)+COUNTIFS($G$17:$G$219,"入池",$P$17:$P$219,P137,$P$17:$P$219,"&gt;=-1E+307",$P$17:$P$219,"&lt;=1E+307")/2-0.5)/(COUNTIFS($G$17:$G$219,"入池",$P$17:$P$219,"&gt;=-1E+307",$P$17:$P$219,"&lt;=1E+307")-1),2)))</x:f>
        <x:v>96.04</x:v>
      </x:c>
      <x:c r="S137" s="17" t="n">
        <x:f>IF(NOT(ISNUMBER(Q137)),"",IF(NOT(ISNUMBER(R137)),Q137,ROUND(Q137*'sheet1-指标体系'!$J$8+R137*'sheet1-指标体系'!$J$9,2)))</x:f>
        <x:v>45.25</x:v>
      </x:c>
      <x:c r="T137" s="35" t="n">
        <x:f>IF(ISNUMBER('sheet4-原始数据'!J122),'sheet4-原始数据'!J122,"")</x:f>
        <x:v>0.3077</x:v>
      </x:c>
      <x:c r="U137" s="35" t="n">
        <x:f>IF(ISNUMBER('sheet4-原始数据'!I122),'sheet4-原始数据'!I122,"")</x:f>
        <x:v>0.5676</x:v>
      </x:c>
      <x:c r="V137" s="37" t="n">
        <x:f>IF(OR(NOT(ISNUMBER(T137)),NOT(ISNUMBER(U137))),"",(U137*'sheet1-指标体系'!$J$6-T137*'sheet1-指标体系'!$J$5)/'sheet1-指标体系'!$J$7)</x:f>
        <x:v>0.7083791666666667</x:v>
      </x:c>
      <x:c r="W137" s="17" t="n">
        <x:f>IF(NOT(ISNUMBER(T137)),"",T137*100)</x:f>
        <x:v>30.769999999999996</x:v>
      </x:c>
      <x:c r="X137" s="17" t="n">
        <x:f>IF($G137&lt;&gt;"入池","",IF(AND(ISNUMBER(V137),V137&gt;=0,V137&lt;=1),V137*100,IF(MAX(0,($F137-1)*12)&lt;6,100,"")))</x:f>
        <x:v>70.83791666666667</x:v>
      </x:c>
      <x:c r="Y137" s="17" t="n">
        <x:f>IF(NOT(ISNUMBER(W137)),"",IF(NOT(ISNUMBER(X137)),W137,ROUND(W137*'sheet1-指标体系'!$J$8+X137*'sheet1-指标体系'!$J$9,2)))</x:f>
        <x:v>46.8</x:v>
      </x:c>
      <x:c r="Z137" s="37" t="n">
        <x:f>IF(OR(NOT(ISNUMBER(M137)),NOT(ISNUMBER(AD137)),AD137=0),"",ABS(M137/AD137))</x:f>
        <x:v>0.02810108000419419</x:v>
      </x:c>
      <x:c r="AA137" s="35" t="n">
        <x:f>IF(ISNUMBER('sheet4-原始数据'!K122),'sheet4-原始数据'!K122,"")</x:f>
        <x:v>0.0281</x:v>
      </x:c>
      <x:c r="AB137" s="37" t="n">
        <x:f>IF(COUNT(Z137:AA137)=0,"",MAX(Z137:AA137))</x:f>
        <x:v>0.02810108000419419</x:v>
      </x:c>
      <x:c r="AC137" s="17" t="n">
        <x:f>IF(OR($G137&lt;&gt;"入池",NOT(ISNUMBER(AB137))),"",IF(COUNTIFS($G$17:$G$219,"入池",$AB$17:$AB$219,"&gt;=-1E+307",$AB$17:$AB$219,"&lt;=1E+307")&lt;=1,100,ROUND(100*(COUNTIFS($G$17:$G$219,"入池",$AB$17:$AB$219,"&lt;=1E+307",$AB$17:$AB$219,"&gt;"&amp;AB137)+COUNTIFS($G$17:$G$219,"入池",$AB$17:$AB$219,AB137,$AB$17:$AB$219,"&gt;=-1E+307",$AB$17:$AB$219,"&lt;=1E+307")/2-0.5)/(COUNTIFS($G$17:$G$219,"入池",$AB$17:$AB$219,"&gt;=-1E+307",$AB$17:$AB$219,"&lt;=1E+307")-1),2)))</x:f>
        <x:v>63.37</x:v>
      </x:c>
      <x:c r="AD137" s="38" t="n">
        <x:f>IF(ISNUMBER('sheet4-原始数据'!M122),'sheet4-原始数据'!M122,"")</x:f>
        <x:v>-0.9537</x:v>
      </x:c>
      <x:c r="AE137" s="37" t="str">
        <x:f>IF(OR(NOT(ISNUMBER(P137)),NOT(ISNUMBER(AA137)),NOT(ISNUMBER(Z137))),"",IF(AA137&gt;Z137+'sheet1-指标体系'!$J$11,AA137,""))</x:f>
      </x:c>
      <x:c r="AF137" s="17" t="str">
        <x:f>IF(OR(NOT(ISNUMBER(P137)),NOT(ISNUMBER(AE137)),AE137=0),"",P137/AE137)</x:f>
      </x:c>
      <x:c r="AG137" s="17" t="n">
        <x:f>IF(OR($G137&lt;&gt;"入池",NOT(ISNUMBER(AD137))),"",IF(COUNTIFS($G$17:$G$219,"入池",$AD$17:$AD$219,"&gt;=-1E+307",$AD$17:$AD$219,"&lt;=1E+307")&lt;=1,100,ROUND(100*(COUNTIFS($G$17:$G$219,"入池",$AD$17:$AD$219,"&gt;=-1E+307",$AD$17:$AD$219,"&lt;"&amp;AD137)+COUNTIFS($G$17:$G$219,"入池",$AD$17:$AD$219,AD137,$AD$17:$AD$219,"&gt;=-1E+307",$AD$17:$AD$219,"&lt;=1E+307")/2-0.5)/(COUNTIFS($G$17:$G$219,"入池",$AD$17:$AD$219,"&gt;=-1E+307",$AD$17:$AD$219,"&lt;=1E+307")-1),2)))</x:f>
        <x:v>0.5</x:v>
      </x:c>
      <x:c r="AH137" s="17" t="str">
        <x:f>IF(OR($G137&lt;&gt;"入池",NOT(ISNUMBER(AF137))),"",IF(COUNTIFS($G$17:$G$219,"入池",$AF$17:$AF$219,"&gt;=-1E+307",$AF$17:$AF$219,"&lt;=1E+307")&lt;=1,100,ROUND(100*(COUNTIFS($G$17:$G$219,"入池",$AF$17:$AF$219,"&gt;=-1E+307",$AF$17:$AF$219,"&lt;"&amp;AF137)+COUNTIFS($G$17:$G$219,"入池",$AF$17:$AF$219,AF137,$AF$17:$AF$219,"&gt;=-1E+307",$AF$17:$AF$219,"&lt;=1E+307")/2-0.5)/(COUNTIFS($G$17:$G$219,"入池",$AF$17:$AF$219,"&gt;=-1E+307",$AF$17:$AF$219,"&lt;=1E+307")-1),2)))</x:f>
      </x:c>
      <x:c r="AI137" s="17" t="n">
        <x:f>IF(NOT(ISNUMBER(AG137)),"",IF(NOT(ISNUMBER(AH137)),AG137,ROUND(AG137*'sheet1-指标体系'!$J$8+AH137*'sheet1-指标体系'!$J$9,2)))</x:f>
        <x:v>0.5</x:v>
      </x:c>
      <x:c r="AJ137" s="37" t="n">
        <x:f>IF(NOT(ISNUMBER(F137)),"",IF(F137&gt;=3,IF(NOT(ISNUMBER(N137)),"",N137),IF(NOT(ISNUMBER(O137)),"",O137)))</x:f>
        <x:v>0.14529999999999998</x:v>
      </x:c>
      <x:c r="AK137" s="17" t="n">
        <x:f>IF(OR(G137&lt;&gt;"入池",NOT(ISNUMBER(M137)),NOT(ISNUMBER(AJ137))),"",IF(M137&gt;=AJ137,100,IF(AJ137-M137&lt;'sheet1-指标体系'!$J$10,80,60)))</x:f>
        <x:v>80</x:v>
      </x:c>
      <x:c r="AL137" s="17" t="n">
        <x:f>IF(COUNT(I137,K137,L137)=0,"",ROUND((IF(ISNUMBER(I137),I137*40%,0)+IF(ISNUMBER(K137),K137*30%,0)+IF(ISNUMBER(L137),L137*30%,0))/(IF(ISNUMBER(I137),40%,0)+IF(ISNUMBER(K137),30%,0)+IF(ISNUMBER(L137),30%,0)),2))</x:f>
        <x:v>84</x:v>
      </x:c>
      <x:c r="AM137" s="17" t="n">
        <x:f>IF(COUNT(Q137,R137,W137,X137)=0,"",ROUND((IF(ISNUMBER(Q137),Q137*42%,0)+IF(ISNUMBER(R137),R137*28%,0)+IF(ISNUMBER(W137),W137*18%,0)+IF(ISNUMBER(X137),X137*12%,0))/(IF(ISNUMBER(Q137),42%,0)+IF(ISNUMBER(R137),28%,0)+IF(ISNUMBER(W137),18%,0)+IF(ISNUMBER(X137),12%,0)),2))</x:f>
        <x:v>45.71</x:v>
      </x:c>
      <x:c r="AN137" s="17" t="n">
        <x:f>IF(ISNUMBER(AC137),AC137,"")</x:f>
        <x:v>63.37</x:v>
      </x:c>
      <x:c r="AO137" s="17" t="n">
        <x:f>IF(COUNT(AG137,AH137)=0,"",ROUND((IF(ISNUMBER(AG137),AG137*60%,0)+IF(ISNUMBER(AH137),AH137*40%,0))/(IF(ISNUMBER(AG137),60%,0)+IF(ISNUMBER(AH137),40%,0)),2))</x:f>
        <x:v>0.5</x:v>
      </x:c>
      <x:c r="AP137" s="17" t="n">
        <x:f>IF(ISNUMBER(AK137),AK137,"")</x:f>
        <x:v>80</x:v>
      </x:c>
      <x:c r="AQ137" s="39" t="n">
        <x:f>IF(G137&lt;&gt;"入池",0,IF(ISNUMBER(I137),6%,0)+IF(ISNUMBER(K137),4.5%,0)+IF(ISNUMBER(L137),4.5%,0)+IF(ISNUMBER(Q137),8.4%,0)+IF(ISNUMBER(R137),5.6%,0)+IF(ISNUMBER(W137),3.6%,0)+IF(ISNUMBER(X137),2.4%,0)+IF(ISNUMBER(AC137),25%,0)+IF(ISNUMBER(AG137),18%,0)+IF(ISNUMBER(AH137),12%,0)+IF(ISNUMBER(AK137),10%,0))</x:f>
        <x:v>0.88</x:v>
      </x:c>
      <x:c r="AR137" s="17" t="n">
        <x:f>IF(AQ137=0,"",IF(ISNUMBER(I137),I137*6%,0)+IF(ISNUMBER(K137),K137*4.5%,0)+IF(ISNUMBER(L137),L137*4.5%,0)+IF(ISNUMBER(Q137),Q137*8.4%,0)+IF(ISNUMBER(R137),R137*5.6%,0)+IF(ISNUMBER(W137),W137*3.6%,0)+IF(ISNUMBER(X137),X137*2.4%,0)+IF(ISNUMBER(AC137),AC137*25%,0)+IF(ISNUMBER(AG137),AG137*18%,0)+IF(ISNUMBER(AH137),AH137*12%,0)+IF(ISNUMBER(AK137),AK137*10%,0))</x:f>
        <x:v>45.67533</x:v>
      </x:c>
      <x:c r="AS137" s="17" t="n">
        <x:f>IF(AQ137=0,"",ROUND(AR137/AQ137,2))</x:f>
        <x:v>51.9</x:v>
      </x:c>
      <x:c r="AT137" s="40" t="n">
        <x:f>IF(OR(G137&lt;&gt;"入池",NOT(ISNUMBER(AS137))),"",COUNTIFS($G$17:$G$219,"入池",$AS$17:$AS$219,"&gt;"&amp;AS137)+COUNTIFS($G$17:$G$219,"入池",$AS$17:$AS$219,AS137,$AQ$17:$AQ$219,"&gt;"&amp;AQ137)+COUNTIFS($G$17:G137,"入池",$AS$17:AS137,AS137,$AQ$17:AQ137,AQ137))</x:f>
        <x:v>137</x:v>
      </x:c>
      <x:c r="AU137" s="41" t="str">
        <x:f t="shared" si="4">IF(NOT(ISNUMBER(I137)),"管理人规模；","")&amp;IF(J137="","产品规模标识；","")&amp;IF(AND(F137&lt;3,NOT(ISNUMBER(O137))),"R_incep；","")&amp;IF(NOT(ISNUMBER(N137)),"近三年收益；","")&amp;IF(NOT(ISNUMBER(U137)),"近三年胜率；","")&amp;IF(AND(ISNUMBER(V137),OR(V137&lt;0,V137&gt;1)),"胜率窗口口径不一致；","")&amp;IF(NOT(ISNUMBER(AA137)),"近三年回撤；","")&amp;IF(NOT(ISNUMBER(AD137)),"短期卡玛；","")&amp;IF(AND(ISNUMBER(P137),NOT(ISNUMBER(AE137))),"DD_long不可识别；","")</x:f>
        <x:v>DD_long不可识别；</x:v>
      </x:c>
      <x:c r="AV137" s="42" t="n">
        <x:v>0</x:v>
      </x:c>
      <x:c r="AW137" s="19" t="str">
        <x:v>北京宏量资本管理有限公司</x:v>
      </x:c>
      <x:c r="AX137" s="19" t="str">
        <x:v>2025-12-04</x:v>
      </x:c>
      <x:c r="AY137" s="19" t="str">
        <x:v>https://gs.amac.org.cn/amac-infodisc/res/pof/manager/1706211851108652.html</x:v>
      </x:c>
      <x:c r="AZ137" s="19" t="str">
        <x:v>宏量鼎诚私募证券投资基金</x:v>
      </x:c>
      <x:c r="BA137" s="19" t="str">
        <x:v>2025-12-10</x:v>
      </x:c>
      <x:c r="BB137" s="19"/>
      <x:c r="BC137" s="19" t="str">
        <x:v>https://gs.amac.org.cn/amac-infodisc/res/pof/fund/1906111459103914.html</x:v>
      </x:c>
      <x:c r="BD137" s="19" t="str">
        <x:v>已匹配</x:v>
      </x:c>
      <x:c r="BE137"/>
      <x:c r="BF137"/>
    </x:row>
    <x:row r="138" ht="28" customHeight="1">
      <x:c r="A138" s="4" t="n">
        <x:v>122</x:v>
      </x:c>
      <x:c r="B138" s="15" t="str">
        <x:f>'sheet4-原始数据'!A123</x:f>
        <x:v>永泉奇点2号混合投资</x:v>
      </x:c>
      <x:c r="C138" s="15" t="str">
        <x:f>'sheet4-原始数据'!B123</x:f>
        <x:v>SJB356</x:v>
      </x:c>
      <x:c r="D138" s="15" t="str">
        <x:f>'sheet4-原始数据'!E123</x:f>
        <x:v>宁波永泉</x:v>
      </x:c>
      <x:c r="E138" s="32" t="n">
        <x:f>IF(ISNUMBER('sheet4-原始数据'!F123),'sheet4-原始数据'!F123,"")</x:f>
        <x:v>43728</x:v>
      </x:c>
      <x:c r="F138" s="17" t="n">
        <x:f>IF(NOT(ISNUMBER(E138)),"",ROUND(('sheet1-指标体系'!$J$23-E138)/365.25,4))</x:f>
        <x:v>6.9897</x:v>
      </x:c>
      <x:c r="G138" s="4" t="str">
        <x:f t="shared" si="3">IF(NOT(ISNUMBER(F138)),"",IF(F138&lt;1,"不入池","入池"))</x:f>
        <x:v>入池</x:v>
      </x:c>
      <x:c r="H138" s="33" t="str">
        <x:v>0-5亿元</x:v>
      </x:c>
      <x:c r="I138" s="17" t="n">
        <x:f>IF(H138="","",IF(ISNUMBER(SEARCH("100亿元以上",H138)),100,IF(OR(ISNUMBER(SEARCH("20-50",H138)),ISNUMBER(SEARCH("50-100",H138)),ISNUMBER(SEARCH("20-100",H138))),90,IF(ISNUMBER(SEARCH("10-20",H138)),80,IF(ISNUMBER(SEARCH("5-10",H138)),70,IF(ISNUMBER(SEARCH("0-5",H138)),60,""))))))</x:f>
        <x:v>60</x:v>
      </x:c>
      <x:c r="J138" s="34" t="str">
        <x:v>无低于1000万元标识</x:v>
      </x:c>
      <x:c r="K138" s="17" t="n">
        <x:f>IF(J138="","",IF(J138="低于1000万元",0,100))</x:f>
        <x:v>100</x:v>
      </x:c>
      <x:c r="L138" s="17" t="n">
        <x:f>IF(NOT(ISNUMBER(F138)),"",IF(F138&lt;1,"",IF(F138&lt;3,70,100)))</x:f>
        <x:v>100</x:v>
      </x:c>
      <x:c r="M138" s="35" t="n">
        <x:f>IF(ISNUMBER('sheet4-原始数据'!G123),'sheet4-原始数据'!G123,"")</x:f>
        <x:v>0.054299999999999994</x:v>
      </x:c>
      <x:c r="N138" s="35" t="n">
        <x:f>IF(ISNUMBER('sheet4-原始数据'!H123),'sheet4-原始数据'!H123,"")</x:f>
        <x:v>0.1206</x:v>
      </x:c>
      <x:c r="O138" s="36" t="str">
        <x:f>IF(ISNUMBER('sheet4-原始数据'!Q123),'sheet4-原始数据'!Q123,"")</x:f>
      </x:c>
      <x:c r="P138" s="37" t="n">
        <x:f>IF($G138&lt;&gt;"入池","",IF($F138&gt;=3,IF(OR(NOT(ISNUMBER($M138)),NOT(ISNUMBER($N138)),1+$M138&lt;=0,1+$N138&lt;0),"",((1+$N138)^3/(1+$M138))^(1/2)-1),IF(OR($F138&lt;=1,NOT(ISNUMBER($M138)),NOT(ISNUMBER($O138)),1+$M138&lt;=0,1+$O138&lt;0),"",((1+$O138)^$F138/(1+$M138))^(1/($F138-1))-1)))</x:f>
        <x:v>0.15529747442032127</x:v>
      </x:c>
      <x:c r="Q138" s="17" t="n">
        <x:f>IF(OR($G138&lt;&gt;"入池",NOT(ISNUMBER(M138))),"",IF(COUNTIFS($G$17:$G$219,"入池",$M$17:$M$219,"&gt;=-1E+307",$M$17:$M$219,"&lt;=1E+307")&lt;=1,100,ROUND(100*(COUNTIFS($G$17:$G$219,"入池",$M$17:$M$219,"&gt;=-1E+307",$M$17:$M$219,"&lt;"&amp;M138)+COUNTIFS($G$17:$G$219,"入池",$M$17:$M$219,M138,$M$17:$M$219,"&gt;=-1E+307",$M$17:$M$219,"&lt;=1E+307")/2-0.5)/(COUNTIFS($G$17:$G$219,"入池",$M$17:$M$219,"&gt;=-1E+307",$M$17:$M$219,"&lt;=1E+307")-1),2)))</x:f>
        <x:v>50.99</x:v>
      </x:c>
      <x:c r="R138" s="17" t="n">
        <x:f>IF(OR($G138&lt;&gt;"入池",NOT(ISNUMBER(P138))),"",IF(COUNTIFS($G$17:$G$219,"入池",$P$17:$P$219,"&gt;=-1E+307",$P$17:$P$219,"&lt;=1E+307")&lt;=1,100,ROUND(100*(COUNTIFS($G$17:$G$219,"入池",$P$17:$P$219,"&gt;=-1E+307",$P$17:$P$219,"&lt;"&amp;P138)+COUNTIFS($G$17:$G$219,"入池",$P$17:$P$219,P138,$P$17:$P$219,"&gt;=-1E+307",$P$17:$P$219,"&lt;=1E+307")/2-0.5)/(COUNTIFS($G$17:$G$219,"入池",$P$17:$P$219,"&gt;=-1E+307",$P$17:$P$219,"&lt;=1E+307")-1),2)))</x:f>
        <x:v>90.1</x:v>
      </x:c>
      <x:c r="S138" s="17" t="n">
        <x:f>IF(NOT(ISNUMBER(Q138)),"",IF(NOT(ISNUMBER(R138)),Q138,ROUND(Q138*'sheet1-指标体系'!$J$8+R138*'sheet1-指标体系'!$J$9,2)))</x:f>
        <x:v>66.63</x:v>
      </x:c>
      <x:c r="T138" s="35" t="n">
        <x:f>IF(ISNUMBER('sheet4-原始数据'!J123),'sheet4-原始数据'!J123,"")</x:f>
        <x:v>1</x:v>
      </x:c>
      <x:c r="U138" s="35" t="n">
        <x:f>IF(ISNUMBER('sheet4-原始数据'!I123),'sheet4-原始数据'!I123,"")</x:f>
        <x:v>0.8649</x:v>
      </x:c>
      <x:c r="V138" s="37" t="n">
        <x:f>IF(OR(NOT(ISNUMBER(T138)),NOT(ISNUMBER(U138))),"",(U138*'sheet1-指标体系'!$J$6-T138*'sheet1-指标体系'!$J$5)/'sheet1-指标体系'!$J$7)</x:f>
        <x:v>0.7917208333333333</x:v>
      </x:c>
      <x:c r="W138" s="17" t="n">
        <x:f>IF(NOT(ISNUMBER(T138)),"",T138*100)</x:f>
        <x:v>100</x:v>
      </x:c>
      <x:c r="X138" s="17" t="n">
        <x:f>IF($G138&lt;&gt;"入池","",IF(AND(ISNUMBER(V138),V138&gt;=0,V138&lt;=1),V138*100,IF(MAX(0,($F138-1)*12)&lt;6,100,"")))</x:f>
        <x:v>79.17208333333333</x:v>
      </x:c>
      <x:c r="Y138" s="17" t="n">
        <x:f>IF(NOT(ISNUMBER(W138)),"",IF(NOT(ISNUMBER(X138)),W138,ROUND(W138*'sheet1-指标体系'!$J$8+X138*'sheet1-指标体系'!$J$9,2)))</x:f>
        <x:v>91.67</x:v>
      </x:c>
      <x:c r="Z138" s="37" t="n">
        <x:f>IF(OR(NOT(ISNUMBER(M138)),NOT(ISNUMBER(AD138)),AD138=0),"",ABS(M138/AD138))</x:f>
        <x:v>0.0031880790502694894</x:v>
      </x:c>
      <x:c r="AA138" s="35" t="n">
        <x:f>IF(ISNUMBER('sheet4-原始数据'!K123),'sheet4-原始数据'!K123,"")</x:f>
        <x:v>0.0227</x:v>
      </x:c>
      <x:c r="AB138" s="37" t="n">
        <x:f>IF(COUNT(Z138:AA138)=0,"",MAX(Z138:AA138))</x:f>
        <x:v>0.0227</x:v>
      </x:c>
      <x:c r="AC138" s="17" t="n">
        <x:f>IF(OR($G138&lt;&gt;"入池",NOT(ISNUMBER(AB138))),"",IF(COUNTIFS($G$17:$G$219,"入池",$AB$17:$AB$219,"&gt;=-1E+307",$AB$17:$AB$219,"&lt;=1E+307")&lt;=1,100,ROUND(100*(COUNTIFS($G$17:$G$219,"入池",$AB$17:$AB$219,"&lt;=1E+307",$AB$17:$AB$219,"&gt;"&amp;AB138)+COUNTIFS($G$17:$G$219,"入池",$AB$17:$AB$219,AB138,$AB$17:$AB$219,"&gt;=-1E+307",$AB$17:$AB$219,"&lt;=1E+307")/2-0.5)/(COUNTIFS($G$17:$G$219,"入池",$AB$17:$AB$219,"&gt;=-1E+307",$AB$17:$AB$219,"&lt;=1E+307")-1),2)))</x:f>
        <x:v>72.28</x:v>
      </x:c>
      <x:c r="AD138" s="38" t="n">
        <x:f>IF(ISNUMBER('sheet4-原始数据'!M123),'sheet4-原始数据'!M123,"")</x:f>
        <x:v>17.0322</x:v>
      </x:c>
      <x:c r="AE138" s="37" t="n">
        <x:f>IF(OR(NOT(ISNUMBER(P138)),NOT(ISNUMBER(AA138)),NOT(ISNUMBER(Z138))),"",IF(AA138&gt;Z138+'sheet1-指标体系'!$J$11,AA138,""))</x:f>
        <x:v>0.0227</x:v>
      </x:c>
      <x:c r="AF138" s="17" t="n">
        <x:f>IF(OR(NOT(ISNUMBER(P138)),NOT(ISNUMBER(AE138)),AE138=0),"",P138/AE138)</x:f>
        <x:v>6.8412984326132715</x:v>
      </x:c>
      <x:c r="AG138" s="17" t="n">
        <x:f>IF(OR($G138&lt;&gt;"入池",NOT(ISNUMBER(AD138))),"",IF(COUNTIFS($G$17:$G$219,"入池",$AD$17:$AD$219,"&gt;=-1E+307",$AD$17:$AD$219,"&lt;=1E+307")&lt;=1,100,ROUND(100*(COUNTIFS($G$17:$G$219,"入池",$AD$17:$AD$219,"&gt;=-1E+307",$AD$17:$AD$219,"&lt;"&amp;AD138)+COUNTIFS($G$17:$G$219,"入池",$AD$17:$AD$219,AD138,$AD$17:$AD$219,"&gt;=-1E+307",$AD$17:$AD$219,"&lt;=1E+307")/2-0.5)/(COUNTIFS($G$17:$G$219,"入池",$AD$17:$AD$219,"&gt;=-1E+307",$AD$17:$AD$219,"&lt;=1E+307")-1),2)))</x:f>
        <x:v>88.06</x:v>
      </x:c>
      <x:c r="AH138" s="17" t="n">
        <x:f>IF(OR($G138&lt;&gt;"入池",NOT(ISNUMBER(AF138))),"",IF(COUNTIFS($G$17:$G$219,"入池",$AF$17:$AF$219,"&gt;=-1E+307",$AF$17:$AF$219,"&lt;=1E+307")&lt;=1,100,ROUND(100*(COUNTIFS($G$17:$G$219,"入池",$AF$17:$AF$219,"&gt;=-1E+307",$AF$17:$AF$219,"&lt;"&amp;AF138)+COUNTIFS($G$17:$G$219,"入池",$AF$17:$AF$219,AF138,$AF$17:$AF$219,"&gt;=-1E+307",$AF$17:$AF$219,"&lt;=1E+307")/2-0.5)/(COUNTIFS($G$17:$G$219,"入池",$AF$17:$AF$219,"&gt;=-1E+307",$AF$17:$AF$219,"&lt;=1E+307")-1),2)))</x:f>
        <x:v>88.32</x:v>
      </x:c>
      <x:c r="AI138" s="17" t="n">
        <x:f>IF(NOT(ISNUMBER(AG138)),"",IF(NOT(ISNUMBER(AH138)),AG138,ROUND(AG138*'sheet1-指标体系'!$J$8+AH138*'sheet1-指标体系'!$J$9,2)))</x:f>
        <x:v>88.16</x:v>
      </x:c>
      <x:c r="AJ138" s="37" t="n">
        <x:f>IF(NOT(ISNUMBER(F138)),"",IF(F138&gt;=3,IF(NOT(ISNUMBER(N138)),"",N138),IF(NOT(ISNUMBER(O138)),"",O138)))</x:f>
        <x:v>0.1206</x:v>
      </x:c>
      <x:c r="AK138" s="17" t="n">
        <x:f>IF(OR(G138&lt;&gt;"入池",NOT(ISNUMBER(M138)),NOT(ISNUMBER(AJ138))),"",IF(M138&gt;=AJ138,100,IF(AJ138-M138&lt;'sheet1-指标体系'!$J$10,80,60)))</x:f>
        <x:v>80</x:v>
      </x:c>
      <x:c r="AL138" s="17" t="n">
        <x:f>IF(COUNT(I138,K138,L138)=0,"",ROUND((IF(ISNUMBER(I138),I138*40%,0)+IF(ISNUMBER(K138),K138*30%,0)+IF(ISNUMBER(L138),L138*30%,0))/(IF(ISNUMBER(I138),40%,0)+IF(ISNUMBER(K138),30%,0)+IF(ISNUMBER(L138),30%,0)),2))</x:f>
        <x:v>84</x:v>
      </x:c>
      <x:c r="AM138" s="17" t="n">
        <x:f>IF(COUNT(Q138,R138,W138,X138)=0,"",ROUND((IF(ISNUMBER(Q138),Q138*42%,0)+IF(ISNUMBER(R138),R138*28%,0)+IF(ISNUMBER(W138),W138*18%,0)+IF(ISNUMBER(X138),X138*12%,0))/(IF(ISNUMBER(Q138),42%,0)+IF(ISNUMBER(R138),28%,0)+IF(ISNUMBER(W138),18%,0)+IF(ISNUMBER(X138),12%,0)),2))</x:f>
        <x:v>74.14</x:v>
      </x:c>
      <x:c r="AN138" s="17" t="n">
        <x:f>IF(ISNUMBER(AC138),AC138,"")</x:f>
        <x:v>72.28</x:v>
      </x:c>
      <x:c r="AO138" s="17" t="n">
        <x:f>IF(COUNT(AG138,AH138)=0,"",ROUND((IF(ISNUMBER(AG138),AG138*60%,0)+IF(ISNUMBER(AH138),AH138*40%,0))/(IF(ISNUMBER(AG138),60%,0)+IF(ISNUMBER(AH138),40%,0)),2))</x:f>
        <x:v>88.16</x:v>
      </x:c>
      <x:c r="AP138" s="17" t="n">
        <x:f>IF(ISNUMBER(AK138),AK138,"")</x:f>
        <x:v>80</x:v>
      </x:c>
      <x:c r="AQ138" s="39" t="n">
        <x:f>IF(G138&lt;&gt;"入池",0,IF(ISNUMBER(I138),6%,0)+IF(ISNUMBER(K138),4.5%,0)+IF(ISNUMBER(L138),4.5%,0)+IF(ISNUMBER(Q138),8.4%,0)+IF(ISNUMBER(R138),5.6%,0)+IF(ISNUMBER(W138),3.6%,0)+IF(ISNUMBER(X138),2.4%,0)+IF(ISNUMBER(AC138),25%,0)+IF(ISNUMBER(AG138),18%,0)+IF(ISNUMBER(AH138),12%,0)+IF(ISNUMBER(AK138),10%,0))</x:f>
        <x:v>1</x:v>
      </x:c>
      <x:c r="AR138" s="17" t="n">
        <x:f>IF(AQ138=0,"",IF(ISNUMBER(I138),I138*6%,0)+IF(ISNUMBER(K138),K138*4.5%,0)+IF(ISNUMBER(L138),L138*4.5%,0)+IF(ISNUMBER(Q138),Q138*8.4%,0)+IF(ISNUMBER(R138),R138*5.6%,0)+IF(ISNUMBER(W138),W138*3.6%,0)+IF(ISNUMBER(X138),X138*2.4%,0)+IF(ISNUMBER(AC138),AC138*25%,0)+IF(ISNUMBER(AG138),AG138*18%,0)+IF(ISNUMBER(AH138),AH138*12%,0)+IF(ISNUMBER(AK138),AK138*10%,0))</x:f>
        <x:v>79.94809000000001</x:v>
      </x:c>
      <x:c r="AS138" s="17" t="n">
        <x:f>IF(AQ138=0,"",ROUND(AR138/AQ138,2))</x:f>
        <x:v>79.95</x:v>
      </x:c>
      <x:c r="AT138" s="40" t="n">
        <x:f>IF(OR(G138&lt;&gt;"入池",NOT(ISNUMBER(AS138))),"",COUNTIFS($G$17:$G$219,"入池",$AS$17:$AS$219,"&gt;"&amp;AS138)+COUNTIFS($G$17:$G$219,"入池",$AS$17:$AS$219,AS138,$AQ$17:$AQ$219,"&gt;"&amp;AQ138)+COUNTIFS($G$17:G138,"入池",$AS$17:AS138,AS138,$AQ$17:AQ138,AQ138))</x:f>
        <x:v>32</x:v>
      </x:c>
      <x:c r="AU138" s="41" t="str">
        <x:f t="shared" si="4">IF(NOT(ISNUMBER(I138)),"管理人规模；","")&amp;IF(J138="","产品规模标识；","")&amp;IF(AND(F138&lt;3,NOT(ISNUMBER(O138))),"R_incep；","")&amp;IF(NOT(ISNUMBER(N138)),"近三年收益；","")&amp;IF(NOT(ISNUMBER(U138)),"近三年胜率；","")&amp;IF(AND(ISNUMBER(V138),OR(V138&lt;0,V138&gt;1)),"胜率窗口口径不一致；","")&amp;IF(NOT(ISNUMBER(AA138)),"近三年回撤；","")&amp;IF(NOT(ISNUMBER(AD138)),"短期卡玛；","")&amp;IF(AND(ISNUMBER(P138),NOT(ISNUMBER(AE138))),"DD_long不可识别；","")</x:f>
      </x:c>
      <x:c r="AV138" s="42" t="n">
        <x:v>0</x:v>
      </x:c>
      <x:c r="AW138" s="19" t="str">
        <x:v>宁波永泉私募基金管理有限公司</x:v>
      </x:c>
      <x:c r="AX138" s="19" t="str">
        <x:v>2026-09-09</x:v>
      </x:c>
      <x:c r="AY138" s="19" t="str">
        <x:v>https://gs.amac.org.cn/amac-infodisc/res/pof/manager/101000016974.html</x:v>
      </x:c>
      <x:c r="AZ138" s="19" t="str">
        <x:v>永泉奇点2号混合投资私募基金</x:v>
      </x:c>
      <x:c r="BA138" s="19" t="str">
        <x:v>2024-09-20</x:v>
      </x:c>
      <x:c r="BB138" s="19"/>
      <x:c r="BC138" s="19" t="str">
        <x:v>https://gs.amac.org.cn/amac-infodisc/res/pof/fund/1909261835100611.html</x:v>
      </x:c>
      <x:c r="BD138" s="19" t="str">
        <x:v>已匹配</x:v>
      </x:c>
      <x:c r="BE138"/>
      <x:c r="BF138"/>
    </x:row>
    <x:row r="139" ht="28" customHeight="1">
      <x:c r="A139" s="4" t="n">
        <x:v>123</x:v>
      </x:c>
      <x:c r="B139" s="15" t="str">
        <x:f>'sheet4-原始数据'!A124</x:f>
        <x:v>厦门言起博士一号</x:v>
      </x:c>
      <x:c r="C139" s="15" t="str">
        <x:f>'sheet4-原始数据'!B124</x:f>
        <x:v>SJR679</x:v>
      </x:c>
      <x:c r="D139" s="15" t="str">
        <x:f>'sheet4-原始数据'!E124</x:f>
        <x:v>厦门言起投资</x:v>
      </x:c>
      <x:c r="E139" s="32" t="n">
        <x:f>IF(ISNUMBER('sheet4-原始数据'!F124),'sheet4-原始数据'!F124,"")</x:f>
        <x:v>43881</x:v>
      </x:c>
      <x:c r="F139" s="17" t="n">
        <x:f>IF(NOT(ISNUMBER(E139)),"",ROUND(('sheet1-指标体系'!$J$23-E139)/365.25,4))</x:f>
        <x:v>6.5708</x:v>
      </x:c>
      <x:c r="G139" s="4" t="str">
        <x:f t="shared" si="3">IF(NOT(ISNUMBER(F139)),"",IF(F139&lt;1,"不入池","入池"))</x:f>
        <x:v>入池</x:v>
      </x:c>
      <x:c r="H139" s="33" t="str">
        <x:v>0-5亿元</x:v>
      </x:c>
      <x:c r="I139" s="17" t="n">
        <x:f>IF(H139="","",IF(ISNUMBER(SEARCH("100亿元以上",H139)),100,IF(OR(ISNUMBER(SEARCH("20-50",H139)),ISNUMBER(SEARCH("50-100",H139)),ISNUMBER(SEARCH("20-100",H139))),90,IF(ISNUMBER(SEARCH("10-20",H139)),80,IF(ISNUMBER(SEARCH("5-10",H139)),70,IF(ISNUMBER(SEARCH("0-5",H139)),60,""))))))</x:f>
        <x:v>60</x:v>
      </x:c>
      <x:c r="J139" s="34" t="str">
        <x:v>低于1000万元</x:v>
      </x:c>
      <x:c r="K139" s="17" t="n">
        <x:f>IF(J139="","",IF(J139="低于1000万元",0,100))</x:f>
        <x:v>0</x:v>
      </x:c>
      <x:c r="L139" s="17" t="n">
        <x:f>IF(NOT(ISNUMBER(F139)),"",IF(F139&lt;1,"",IF(F139&lt;3,70,100)))</x:f>
        <x:v>100</x:v>
      </x:c>
      <x:c r="M139" s="35" t="n">
        <x:f>IF(ISNUMBER('sheet4-原始数据'!G124),'sheet4-原始数据'!G124,"")</x:f>
        <x:v>-0.0984</x:v>
      </x:c>
      <x:c r="N139" s="35" t="n">
        <x:f>IF(ISNUMBER('sheet4-原始数据'!H124),'sheet4-原始数据'!H124,"")</x:f>
        <x:v>-0.0072</x:v>
      </x:c>
      <x:c r="O139" s="36" t="str">
        <x:f>IF(ISNUMBER('sheet4-原始数据'!Q124),'sheet4-原始数据'!Q124,"")</x:f>
      </x:c>
      <x:c r="P139" s="37" t="n">
        <x:f>IF($G139&lt;&gt;"入池","",IF($F139&gt;=3,IF(OR(NOT(ISNUMBER($M139)),NOT(ISNUMBER($N139)),1+$M139&lt;=0,1+$N139&lt;0),"",((1+$N139)^3/(1+$M139))^(1/2)-1),IF(OR($F139&lt;=1,NOT(ISNUMBER($M139)),NOT(ISNUMBER($O139)),1+$M139&lt;=0,1+$O139&lt;0),"",((1+$O139)^$F139/(1+$M139))^(1/($F139-1))-1)))</x:f>
        <x:v>0.041803233920701066</x:v>
      </x:c>
      <x:c r="Q139" s="17" t="n">
        <x:f>IF(OR($G139&lt;&gt;"入池",NOT(ISNUMBER(M139))),"",IF(COUNTIFS($G$17:$G$219,"入池",$M$17:$M$219,"&gt;=-1E+307",$M$17:$M$219,"&lt;=1E+307")&lt;=1,100,ROUND(100*(COUNTIFS($G$17:$G$219,"入池",$M$17:$M$219,"&gt;=-1E+307",$M$17:$M$219,"&lt;"&amp;M139)+COUNTIFS($G$17:$G$219,"入池",$M$17:$M$219,M139,$M$17:$M$219,"&gt;=-1E+307",$M$17:$M$219,"&lt;=1E+307")/2-0.5)/(COUNTIFS($G$17:$G$219,"入池",$M$17:$M$219,"&gt;=-1E+307",$M$17:$M$219,"&lt;=1E+307")-1),2)))</x:f>
        <x:v>4.95</x:v>
      </x:c>
      <x:c r="R139" s="17" t="n">
        <x:f>IF(OR($G139&lt;&gt;"入池",NOT(ISNUMBER(P139))),"",IF(COUNTIFS($G$17:$G$219,"入池",$P$17:$P$219,"&gt;=-1E+307",$P$17:$P$219,"&lt;=1E+307")&lt;=1,100,ROUND(100*(COUNTIFS($G$17:$G$219,"入池",$P$17:$P$219,"&gt;=-1E+307",$P$17:$P$219,"&lt;"&amp;P139)+COUNTIFS($G$17:$G$219,"入池",$P$17:$P$219,P139,$P$17:$P$219,"&gt;=-1E+307",$P$17:$P$219,"&lt;=1E+307")/2-0.5)/(COUNTIFS($G$17:$G$219,"入池",$P$17:$P$219,"&gt;=-1E+307",$P$17:$P$219,"&lt;=1E+307")-1),2)))</x:f>
        <x:v>29.7</x:v>
      </x:c>
      <x:c r="S139" s="17" t="n">
        <x:f>IF(NOT(ISNUMBER(Q139)),"",IF(NOT(ISNUMBER(R139)),Q139,ROUND(Q139*'sheet1-指标体系'!$J$8+R139*'sheet1-指标体系'!$J$9,2)))</x:f>
        <x:v>14.85</x:v>
      </x:c>
      <x:c r="T139" s="35" t="n">
        <x:f>IF(ISNUMBER('sheet4-原始数据'!J124),'sheet4-原始数据'!J124,"")</x:f>
        <x:v>0.5385</x:v>
      </x:c>
      <x:c r="U139" s="35" t="n">
        <x:f>IF(ISNUMBER('sheet4-原始数据'!I124),'sheet4-原始数据'!I124,"")</x:f>
        <x:v>0.6215999999999999</x:v>
      </x:c>
      <x:c r="V139" s="37" t="n">
        <x:f>IF(OR(NOT(ISNUMBER(T139)),NOT(ISNUMBER(U139))),"",(U139*'sheet1-指标体系'!$J$6-T139*'sheet1-指标体系'!$J$5)/'sheet1-指标体系'!$J$7)</x:f>
        <x:v>0.6666124999999999</x:v>
      </x:c>
      <x:c r="W139" s="17" t="n">
        <x:f>IF(NOT(ISNUMBER(T139)),"",T139*100)</x:f>
        <x:v>53.849999999999994</x:v>
      </x:c>
      <x:c r="X139" s="17" t="n">
        <x:f>IF($G139&lt;&gt;"入池","",IF(AND(ISNUMBER(V139),V139&gt;=0,V139&lt;=1),V139*100,IF(MAX(0,($F139-1)*12)&lt;6,100,"")))</x:f>
        <x:v>66.66125</x:v>
      </x:c>
      <x:c r="Y139" s="17" t="n">
        <x:f>IF(NOT(ISNUMBER(W139)),"",IF(NOT(ISNUMBER(X139)),W139,ROUND(W139*'sheet1-指标体系'!$J$8+X139*'sheet1-指标体系'!$J$9,2)))</x:f>
        <x:v>58.97</x:v>
      </x:c>
      <x:c r="Z139" s="37" t="n">
        <x:f>IF(OR(NOT(ISNUMBER(M139)),NOT(ISNUMBER(AD139)),AD139=0),"",ABS(M139/AD139))</x:f>
        <x:v>0.1312</x:v>
      </x:c>
      <x:c r="AA139" s="35" t="n">
        <x:f>IF(ISNUMBER('sheet4-原始数据'!K124),'sheet4-原始数据'!K124,"")</x:f>
        <x:v>0.13119999999999998</x:v>
      </x:c>
      <x:c r="AB139" s="37" t="n">
        <x:f>IF(COUNT(Z139:AA139)=0,"",MAX(Z139:AA139))</x:f>
        <x:v>0.1312</x:v>
      </x:c>
      <x:c r="AC139" s="17" t="n">
        <x:f>IF(OR($G139&lt;&gt;"入池",NOT(ISNUMBER(AB139))),"",IF(COUNTIFS($G$17:$G$219,"入池",$AB$17:$AB$219,"&gt;=-1E+307",$AB$17:$AB$219,"&lt;=1E+307")&lt;=1,100,ROUND(100*(COUNTIFS($G$17:$G$219,"入池",$AB$17:$AB$219,"&lt;=1E+307",$AB$17:$AB$219,"&gt;"&amp;AB139)+COUNTIFS($G$17:$G$219,"入池",$AB$17:$AB$219,AB139,$AB$17:$AB$219,"&gt;=-1E+307",$AB$17:$AB$219,"&lt;=1E+307")/2-0.5)/(COUNTIFS($G$17:$G$219,"入池",$AB$17:$AB$219,"&gt;=-1E+307",$AB$17:$AB$219,"&lt;=1E+307")-1),2)))</x:f>
        <x:v>16.83</x:v>
      </x:c>
      <x:c r="AD139" s="38" t="n">
        <x:f>IF(ISNUMBER('sheet4-原始数据'!M124),'sheet4-原始数据'!M124,"")</x:f>
        <x:v>-0.75</x:v>
      </x:c>
      <x:c r="AE139" s="37" t="str">
        <x:f>IF(OR(NOT(ISNUMBER(P139)),NOT(ISNUMBER(AA139)),NOT(ISNUMBER(Z139))),"",IF(AA139&gt;Z139+'sheet1-指标体系'!$J$11,AA139,""))</x:f>
      </x:c>
      <x:c r="AF139" s="17" t="str">
        <x:f>IF(OR(NOT(ISNUMBER(P139)),NOT(ISNUMBER(AE139)),AE139=0),"",P139/AE139)</x:f>
      </x:c>
      <x:c r="AG139" s="17" t="n">
        <x:f>IF(OR($G139&lt;&gt;"入池",NOT(ISNUMBER(AD139))),"",IF(COUNTIFS($G$17:$G$219,"入池",$AD$17:$AD$219,"&gt;=-1E+307",$AD$17:$AD$219,"&lt;=1E+307")&lt;=1,100,ROUND(100*(COUNTIFS($G$17:$G$219,"入池",$AD$17:$AD$219,"&gt;=-1E+307",$AD$17:$AD$219,"&lt;"&amp;AD139)+COUNTIFS($G$17:$G$219,"入池",$AD$17:$AD$219,AD139,$AD$17:$AD$219,"&gt;=-1E+307",$AD$17:$AD$219,"&lt;=1E+307")/2-0.5)/(COUNTIFS($G$17:$G$219,"入池",$AD$17:$AD$219,"&gt;=-1E+307",$AD$17:$AD$219,"&lt;=1E+307")-1),2)))</x:f>
        <x:v>4.98</x:v>
      </x:c>
      <x:c r="AH139" s="17" t="str">
        <x:f>IF(OR($G139&lt;&gt;"入池",NOT(ISNUMBER(AF139))),"",IF(COUNTIFS($G$17:$G$219,"入池",$AF$17:$AF$219,"&gt;=-1E+307",$AF$17:$AF$219,"&lt;=1E+307")&lt;=1,100,ROUND(100*(COUNTIFS($G$17:$G$219,"入池",$AF$17:$AF$219,"&gt;=-1E+307",$AF$17:$AF$219,"&lt;"&amp;AF139)+COUNTIFS($G$17:$G$219,"入池",$AF$17:$AF$219,AF139,$AF$17:$AF$219,"&gt;=-1E+307",$AF$17:$AF$219,"&lt;=1E+307")/2-0.5)/(COUNTIFS($G$17:$G$219,"入池",$AF$17:$AF$219,"&gt;=-1E+307",$AF$17:$AF$219,"&lt;=1E+307")-1),2)))</x:f>
      </x:c>
      <x:c r="AI139" s="17" t="n">
        <x:f>IF(NOT(ISNUMBER(AG139)),"",IF(NOT(ISNUMBER(AH139)),AG139,ROUND(AG139*'sheet1-指标体系'!$J$8+AH139*'sheet1-指标体系'!$J$9,2)))</x:f>
        <x:v>4.98</x:v>
      </x:c>
      <x:c r="AJ139" s="37" t="n">
        <x:f>IF(NOT(ISNUMBER(F139)),"",IF(F139&gt;=3,IF(NOT(ISNUMBER(N139)),"",N139),IF(NOT(ISNUMBER(O139)),"",O139)))</x:f>
        <x:v>-0.0072</x:v>
      </x:c>
      <x:c r="AK139" s="17" t="n">
        <x:f>IF(OR(G139&lt;&gt;"入池",NOT(ISNUMBER(M139)),NOT(ISNUMBER(AJ139))),"",IF(M139&gt;=AJ139,100,IF(AJ139-M139&lt;'sheet1-指标体系'!$J$10,80,60)))</x:f>
        <x:v>80</x:v>
      </x:c>
      <x:c r="AL139" s="17" t="n">
        <x:f>IF(COUNT(I139,K139,L139)=0,"",ROUND((IF(ISNUMBER(I139),I139*40%,0)+IF(ISNUMBER(K139),K139*30%,0)+IF(ISNUMBER(L139),L139*30%,0))/(IF(ISNUMBER(I139),40%,0)+IF(ISNUMBER(K139),30%,0)+IF(ISNUMBER(L139),30%,0)),2))</x:f>
        <x:v>54</x:v>
      </x:c>
      <x:c r="AM139" s="17" t="n">
        <x:f>IF(COUNT(Q139,R139,W139,X139)=0,"",ROUND((IF(ISNUMBER(Q139),Q139*42%,0)+IF(ISNUMBER(R139),R139*28%,0)+IF(ISNUMBER(W139),W139*18%,0)+IF(ISNUMBER(X139),X139*12%,0))/(IF(ISNUMBER(Q139),42%,0)+IF(ISNUMBER(R139),28%,0)+IF(ISNUMBER(W139),18%,0)+IF(ISNUMBER(X139),12%,0)),2))</x:f>
        <x:v>28.09</x:v>
      </x:c>
      <x:c r="AN139" s="17" t="n">
        <x:f>IF(ISNUMBER(AC139),AC139,"")</x:f>
        <x:v>16.83</x:v>
      </x:c>
      <x:c r="AO139" s="17" t="n">
        <x:f>IF(COUNT(AG139,AH139)=0,"",ROUND((IF(ISNUMBER(AG139),AG139*60%,0)+IF(ISNUMBER(AH139),AH139*40%,0))/(IF(ISNUMBER(AG139),60%,0)+IF(ISNUMBER(AH139),40%,0)),2))</x:f>
        <x:v>4.98</x:v>
      </x:c>
      <x:c r="AP139" s="17" t="n">
        <x:f>IF(ISNUMBER(AK139),AK139,"")</x:f>
        <x:v>80</x:v>
      </x:c>
      <x:c r="AQ139" s="39" t="n">
        <x:f>IF(G139&lt;&gt;"入池",0,IF(ISNUMBER(I139),6%,0)+IF(ISNUMBER(K139),4.5%,0)+IF(ISNUMBER(L139),4.5%,0)+IF(ISNUMBER(Q139),8.4%,0)+IF(ISNUMBER(R139),5.6%,0)+IF(ISNUMBER(W139),3.6%,0)+IF(ISNUMBER(X139),2.4%,0)+IF(ISNUMBER(AC139),25%,0)+IF(ISNUMBER(AG139),18%,0)+IF(ISNUMBER(AH139),12%,0)+IF(ISNUMBER(AK139),10%,0))</x:f>
        <x:v>0.88</x:v>
      </x:c>
      <x:c r="AR139" s="17" t="n">
        <x:f>IF(AQ139=0,"",IF(ISNUMBER(I139),I139*6%,0)+IF(ISNUMBER(K139),K139*4.5%,0)+IF(ISNUMBER(L139),L139*4.5%,0)+IF(ISNUMBER(Q139),Q139*8.4%,0)+IF(ISNUMBER(R139),R139*5.6%,0)+IF(ISNUMBER(W139),W139*3.6%,0)+IF(ISNUMBER(X139),X139*2.4%,0)+IF(ISNUMBER(AC139),AC139*25%,0)+IF(ISNUMBER(AG139),AG139*18%,0)+IF(ISNUMBER(AH139),AH139*12%,0)+IF(ISNUMBER(AK139),AK139*10%,0))</x:f>
        <x:v>26.821369999999998</x:v>
      </x:c>
      <x:c r="AS139" s="17" t="n">
        <x:f>IF(AQ139=0,"",ROUND(AR139/AQ139,2))</x:f>
        <x:v>30.48</x:v>
      </x:c>
      <x:c r="AT139" s="40" t="n">
        <x:f>IF(OR(G139&lt;&gt;"入池",NOT(ISNUMBER(AS139))),"",COUNTIFS($G$17:$G$219,"入池",$AS$17:$AS$219,"&gt;"&amp;AS139)+COUNTIFS($G$17:$G$219,"入池",$AS$17:$AS$219,AS139,$AQ$17:$AQ$219,"&gt;"&amp;AQ139)+COUNTIFS($G$17:G139,"入池",$AS$17:AS139,AS139,$AQ$17:AQ139,AQ139))</x:f>
        <x:v>192</x:v>
      </x:c>
      <x:c r="AU139" s="41" t="str">
        <x:f t="shared" si="4">IF(NOT(ISNUMBER(I139)),"管理人规模；","")&amp;IF(J139="","产品规模标识；","")&amp;IF(AND(F139&lt;3,NOT(ISNUMBER(O139))),"R_incep；","")&amp;IF(NOT(ISNUMBER(N139)),"近三年收益；","")&amp;IF(NOT(ISNUMBER(U139)),"近三年胜率；","")&amp;IF(AND(ISNUMBER(V139),OR(V139&lt;0,V139&gt;1)),"胜率窗口口径不一致；","")&amp;IF(NOT(ISNUMBER(AA139)),"近三年回撤；","")&amp;IF(NOT(ISNUMBER(AD139)),"短期卡玛；","")&amp;IF(AND(ISNUMBER(P139),NOT(ISNUMBER(AE139))),"DD_long不可识别；","")</x:f>
        <x:v>DD_long不可识别；</x:v>
      </x:c>
      <x:c r="AV139" s="42" t="n">
        <x:v>0</x:v>
      </x:c>
      <x:c r="AW139" s="19" t="str">
        <x:v>厦门言起投资管理有限公司</x:v>
      </x:c>
      <x:c r="AX139" s="19" t="str">
        <x:v>2026-03-02</x:v>
      </x:c>
      <x:c r="AY139" s="19" t="str">
        <x:v>https://gs.amac.org.cn/amac-infodisc/res/pof/manager/101000049573.html</x:v>
      </x:c>
      <x:c r="AZ139" s="19" t="str">
        <x:v>厦门言起博士一号私募证券投资基金</x:v>
      </x:c>
      <x:c r="BA139" s="19" t="str">
        <x:v>2026-06-02</x:v>
      </x:c>
      <x:c r="BB139" s="19" t="str">
        <x:v>2026年第2季度季度更新信息</x:v>
      </x:c>
      <x:c r="BC139" s="19" t="str">
        <x:v>https://gs.amac.org.cn/amac-infodisc/res/pof/fund/2002211800116572.html</x:v>
      </x:c>
      <x:c r="BD139" s="19" t="str">
        <x:v>已匹配</x:v>
      </x:c>
      <x:c r="BE139"/>
      <x:c r="BF139"/>
    </x:row>
    <x:row r="140" ht="28" customHeight="1">
      <x:c r="A140" s="4" t="n">
        <x:v>124</x:v>
      </x:c>
      <x:c r="B140" s="15" t="str">
        <x:f>'sheet4-原始数据'!A125</x:f>
        <x:v>平凡浩睿</x:v>
      </x:c>
      <x:c r="C140" s="15" t="str">
        <x:f>'sheet4-原始数据'!B125</x:f>
        <x:v>SJS890</x:v>
      </x:c>
      <x:c r="D140" s="15" t="str">
        <x:f>'sheet4-原始数据'!E125</x:f>
        <x:v>北京平凡</x:v>
      </x:c>
      <x:c r="E140" s="32" t="n">
        <x:f>IF(ISNUMBER('sheet4-原始数据'!F125),'sheet4-原始数据'!F125,"")</x:f>
        <x:v>43894</x:v>
      </x:c>
      <x:c r="F140" s="17" t="n">
        <x:f>IF(NOT(ISNUMBER(E140)),"",ROUND(('sheet1-指标体系'!$J$23-E140)/365.25,4))</x:f>
        <x:v>6.5352</x:v>
      </x:c>
      <x:c r="G140" s="4" t="str">
        <x:f t="shared" si="3">IF(NOT(ISNUMBER(F140)),"",IF(F140&lt;1,"不入池","入池"))</x:f>
        <x:v>入池</x:v>
      </x:c>
      <x:c r="H140" s="33" t="str">
        <x:v>50-100亿元</x:v>
      </x:c>
      <x:c r="I140" s="17" t="n">
        <x:f>IF(H140="","",IF(ISNUMBER(SEARCH("100亿元以上",H140)),100,IF(OR(ISNUMBER(SEARCH("20-50",H140)),ISNUMBER(SEARCH("50-100",H140)),ISNUMBER(SEARCH("20-100",H140))),90,IF(ISNUMBER(SEARCH("10-20",H140)),80,IF(ISNUMBER(SEARCH("5-10",H140)),70,IF(ISNUMBER(SEARCH("0-5",H140)),60,""))))))</x:f>
        <x:v>90</x:v>
      </x:c>
      <x:c r="J140" s="34" t="str">
        <x:v>无低于1000万元标识</x:v>
      </x:c>
      <x:c r="K140" s="17" t="n">
        <x:f>IF(J140="","",IF(J140="低于1000万元",0,100))</x:f>
        <x:v>100</x:v>
      </x:c>
      <x:c r="L140" s="17" t="n">
        <x:f>IF(NOT(ISNUMBER(F140)),"",IF(F140&lt;1,"",IF(F140&lt;3,70,100)))</x:f>
        <x:v>100</x:v>
      </x:c>
      <x:c r="M140" s="35" t="n">
        <x:f>IF(ISNUMBER('sheet4-原始数据'!G125),'sheet4-原始数据'!G125,"")</x:f>
        <x:v>0.1923</x:v>
      </x:c>
      <x:c r="N140" s="35" t="n">
        <x:f>IF(ISNUMBER('sheet4-原始数据'!H125),'sheet4-原始数据'!H125,"")</x:f>
        <x:v>0.1378</x:v>
      </x:c>
      <x:c r="O140" s="36" t="str">
        <x:f>IF(ISNUMBER('sheet4-原始数据'!Q125),'sheet4-原始数据'!Q125,"")</x:f>
      </x:c>
      <x:c r="P140" s="37" t="n">
        <x:f>IF($G140&lt;&gt;"入池","",IF($F140&gt;=3,IF(OR(NOT(ISNUMBER($M140)),NOT(ISNUMBER($N140)),1+$M140&lt;=0,1+$N140&lt;0),"",((1+$N140)^3/(1+$M140))^(1/2)-1),IF(OR($F140&lt;=1,NOT(ISNUMBER($M140)),NOT(ISNUMBER($O140)),1+$M140&lt;=0,1+$O140&lt;0),"",((1+$O140)^$F140/(1+$M140))^(1/($F140-1))-1)))</x:f>
        <x:v>0.11149143944283679</x:v>
      </x:c>
      <x:c r="Q140" s="17" t="n">
        <x:f>IF(OR($G140&lt;&gt;"入池",NOT(ISNUMBER(M140))),"",IF(COUNTIFS($G$17:$G$219,"入池",$M$17:$M$219,"&gt;=-1E+307",$M$17:$M$219,"&lt;=1E+307")&lt;=1,100,ROUND(100*(COUNTIFS($G$17:$G$219,"入池",$M$17:$M$219,"&gt;=-1E+307",$M$17:$M$219,"&lt;"&amp;M140)+COUNTIFS($G$17:$G$219,"入池",$M$17:$M$219,M140,$M$17:$M$219,"&gt;=-1E+307",$M$17:$M$219,"&lt;=1E+307")/2-0.5)/(COUNTIFS($G$17:$G$219,"入池",$M$17:$M$219,"&gt;=-1E+307",$M$17:$M$219,"&lt;=1E+307")-1),2)))</x:f>
        <x:v>92.57</x:v>
      </x:c>
      <x:c r="R140" s="17" t="n">
        <x:f>IF(OR($G140&lt;&gt;"入池",NOT(ISNUMBER(P140))),"",IF(COUNTIFS($G$17:$G$219,"入池",$P$17:$P$219,"&gt;=-1E+307",$P$17:$P$219,"&lt;=1E+307")&lt;=1,100,ROUND(100*(COUNTIFS($G$17:$G$219,"入池",$P$17:$P$219,"&gt;=-1E+307",$P$17:$P$219,"&lt;"&amp;P140)+COUNTIFS($G$17:$G$219,"入池",$P$17:$P$219,P140,$P$17:$P$219,"&gt;=-1E+307",$P$17:$P$219,"&lt;=1E+307")/2-0.5)/(COUNTIFS($G$17:$G$219,"入池",$P$17:$P$219,"&gt;=-1E+307",$P$17:$P$219,"&lt;=1E+307")-1),2)))</x:f>
        <x:v>77.23</x:v>
      </x:c>
      <x:c r="S140" s="17" t="n">
        <x:f>IF(NOT(ISNUMBER(Q140)),"",IF(NOT(ISNUMBER(R140)),Q140,ROUND(Q140*'sheet1-指标体系'!$J$8+R140*'sheet1-指标体系'!$J$9,2)))</x:f>
        <x:v>86.43</x:v>
      </x:c>
      <x:c r="T140" s="35" t="n">
        <x:f>IF(ISNUMBER('sheet4-原始数据'!J125),'sheet4-原始数据'!J125,"")</x:f>
        <x:v>0.9231</x:v>
      </x:c>
      <x:c r="U140" s="35" t="n">
        <x:f>IF(ISNUMBER('sheet4-原始数据'!I125),'sheet4-原始数据'!I125,"")</x:f>
        <x:v>0.8649</x:v>
      </x:c>
      <x:c r="V140" s="37" t="n">
        <x:f>IF(OR(NOT(ISNUMBER(T140)),NOT(ISNUMBER(U140))),"",(U140*'sheet1-指标体系'!$J$6-T140*'sheet1-指标体系'!$J$5)/'sheet1-指标体系'!$J$7)</x:f>
        <x:v>0.8333749999999999</x:v>
      </x:c>
      <x:c r="W140" s="17" t="n">
        <x:f>IF(NOT(ISNUMBER(T140)),"",T140*100)</x:f>
        <x:v>92.31</x:v>
      </x:c>
      <x:c r="X140" s="17" t="n">
        <x:f>IF($G140&lt;&gt;"入池","",IF(AND(ISNUMBER(V140),V140&gt;=0,V140&lt;=1),V140*100,IF(MAX(0,($F140-1)*12)&lt;6,100,"")))</x:f>
        <x:v>83.33749999999999</x:v>
      </x:c>
      <x:c r="Y140" s="17" t="n">
        <x:f>IF(NOT(ISNUMBER(W140)),"",IF(NOT(ISNUMBER(X140)),W140,ROUND(W140*'sheet1-指标体系'!$J$8+X140*'sheet1-指标体系'!$J$9,2)))</x:f>
        <x:v>88.72</x:v>
      </x:c>
      <x:c r="Z140" s="37" t="n">
        <x:f>IF(OR(NOT(ISNUMBER(M140)),NOT(ISNUMBER(AD140)),AD140=0),"",ABS(M140/AD140))</x:f>
        <x:v>0.0039990184416513475</x:v>
      </x:c>
      <x:c r="AA140" s="35" t="n">
        <x:f>IF(ISNUMBER('sheet4-原始数据'!K125),'sheet4-原始数据'!K125,"")</x:f>
        <x:v>0.025699999999999997</x:v>
      </x:c>
      <x:c r="AB140" s="37" t="n">
        <x:f>IF(COUNT(Z140:AA140)=0,"",MAX(Z140:AA140))</x:f>
        <x:v>0.025699999999999997</x:v>
      </x:c>
      <x:c r="AC140" s="17" t="n">
        <x:f>IF(OR($G140&lt;&gt;"入池",NOT(ISNUMBER(AB140))),"",IF(COUNTIFS($G$17:$G$219,"入池",$AB$17:$AB$219,"&gt;=-1E+307",$AB$17:$AB$219,"&lt;=1E+307")&lt;=1,100,ROUND(100*(COUNTIFS($G$17:$G$219,"入池",$AB$17:$AB$219,"&lt;=1E+307",$AB$17:$AB$219,"&gt;"&amp;AB140)+COUNTIFS($G$17:$G$219,"入池",$AB$17:$AB$219,AB140,$AB$17:$AB$219,"&gt;=-1E+307",$AB$17:$AB$219,"&lt;=1E+307")/2-0.5)/(COUNTIFS($G$17:$G$219,"入池",$AB$17:$AB$219,"&gt;=-1E+307",$AB$17:$AB$219,"&lt;=1E+307")-1),2)))</x:f>
        <x:v>65.84</x:v>
      </x:c>
      <x:c r="AD140" s="38" t="n">
        <x:f>IF(ISNUMBER('sheet4-原始数据'!M125),'sheet4-原始数据'!M125,"")</x:f>
        <x:v>48.0868</x:v>
      </x:c>
      <x:c r="AE140" s="37" t="n">
        <x:f>IF(OR(NOT(ISNUMBER(P140)),NOT(ISNUMBER(AA140)),NOT(ISNUMBER(Z140))),"",IF(AA140&gt;Z140+'sheet1-指标体系'!$J$11,AA140,""))</x:f>
        <x:v>0.025699999999999997</x:v>
      </x:c>
      <x:c r="AF140" s="17" t="n">
        <x:f>IF(OR(NOT(ISNUMBER(P140)),NOT(ISNUMBER(AE140)),AE140=0),"",P140/AE140)</x:f>
        <x:v>4.338188305168747</x:v>
      </x:c>
      <x:c r="AG140" s="17" t="n">
        <x:f>IF(OR($G140&lt;&gt;"入池",NOT(ISNUMBER(AD140))),"",IF(COUNTIFS($G$17:$G$219,"入池",$AD$17:$AD$219,"&gt;=-1E+307",$AD$17:$AD$219,"&lt;=1E+307")&lt;=1,100,ROUND(100*(COUNTIFS($G$17:$G$219,"入池",$AD$17:$AD$219,"&gt;=-1E+307",$AD$17:$AD$219,"&lt;"&amp;AD140)+COUNTIFS($G$17:$G$219,"入池",$AD$17:$AD$219,AD140,$AD$17:$AD$219,"&gt;=-1E+307",$AD$17:$AD$219,"&lt;=1E+307")/2-0.5)/(COUNTIFS($G$17:$G$219,"入池",$AD$17:$AD$219,"&gt;=-1E+307",$AD$17:$AD$219,"&lt;=1E+307")-1),2)))</x:f>
        <x:v>96.52</x:v>
      </x:c>
      <x:c r="AH140" s="17" t="n">
        <x:f>IF(OR($G140&lt;&gt;"入池",NOT(ISNUMBER(AF140))),"",IF(COUNTIFS($G$17:$G$219,"入池",$AF$17:$AF$219,"&gt;=-1E+307",$AF$17:$AF$219,"&lt;=1E+307")&lt;=1,100,ROUND(100*(COUNTIFS($G$17:$G$219,"入池",$AF$17:$AF$219,"&gt;=-1E+307",$AF$17:$AF$219,"&lt;"&amp;AF140)+COUNTIFS($G$17:$G$219,"入池",$AF$17:$AF$219,AF140,$AF$17:$AF$219,"&gt;=-1E+307",$AF$17:$AF$219,"&lt;=1E+307")/2-0.5)/(COUNTIFS($G$17:$G$219,"入池",$AF$17:$AF$219,"&gt;=-1E+307",$AF$17:$AF$219,"&lt;=1E+307")-1),2)))</x:f>
        <x:v>81.75</x:v>
      </x:c>
      <x:c r="AI140" s="17" t="n">
        <x:f>IF(NOT(ISNUMBER(AG140)),"",IF(NOT(ISNUMBER(AH140)),AG140,ROUND(AG140*'sheet1-指标体系'!$J$8+AH140*'sheet1-指标体系'!$J$9,2)))</x:f>
        <x:v>90.61</x:v>
      </x:c>
      <x:c r="AJ140" s="37" t="n">
        <x:f>IF(NOT(ISNUMBER(F140)),"",IF(F140&gt;=3,IF(NOT(ISNUMBER(N140)),"",N140),IF(NOT(ISNUMBER(O140)),"",O140)))</x:f>
        <x:v>0.1378</x:v>
      </x:c>
      <x:c r="AK140" s="17" t="n">
        <x:f>IF(OR(G140&lt;&gt;"入池",NOT(ISNUMBER(M140)),NOT(ISNUMBER(AJ140))),"",IF(M140&gt;=AJ140,100,IF(AJ140-M140&lt;'sheet1-指标体系'!$J$10,80,60)))</x:f>
        <x:v>100</x:v>
      </x:c>
      <x:c r="AL140" s="17" t="n">
        <x:f>IF(COUNT(I140,K140,L140)=0,"",ROUND((IF(ISNUMBER(I140),I140*40%,0)+IF(ISNUMBER(K140),K140*30%,0)+IF(ISNUMBER(L140),L140*30%,0))/(IF(ISNUMBER(I140),40%,0)+IF(ISNUMBER(K140),30%,0)+IF(ISNUMBER(L140),30%,0)),2))</x:f>
        <x:v>96</x:v>
      </x:c>
      <x:c r="AM140" s="17" t="n">
        <x:f>IF(COUNT(Q140,R140,W140,X140)=0,"",ROUND((IF(ISNUMBER(Q140),Q140*42%,0)+IF(ISNUMBER(R140),R140*28%,0)+IF(ISNUMBER(W140),W140*18%,0)+IF(ISNUMBER(X140),X140*12%,0))/(IF(ISNUMBER(Q140),42%,0)+IF(ISNUMBER(R140),28%,0)+IF(ISNUMBER(W140),18%,0)+IF(ISNUMBER(X140),12%,0)),2))</x:f>
        <x:v>87.12</x:v>
      </x:c>
      <x:c r="AN140" s="17" t="n">
        <x:f>IF(ISNUMBER(AC140),AC140,"")</x:f>
        <x:v>65.84</x:v>
      </x:c>
      <x:c r="AO140" s="17" t="n">
        <x:f>IF(COUNT(AG140,AH140)=0,"",ROUND((IF(ISNUMBER(AG140),AG140*60%,0)+IF(ISNUMBER(AH140),AH140*40%,0))/(IF(ISNUMBER(AG140),60%,0)+IF(ISNUMBER(AH140),40%,0)),2))</x:f>
        <x:v>90.61</x:v>
      </x:c>
      <x:c r="AP140" s="17" t="n">
        <x:f>IF(ISNUMBER(AK140),AK140,"")</x:f>
        <x:v>100</x:v>
      </x:c>
      <x:c r="AQ140" s="39" t="n">
        <x:f>IF(G140&lt;&gt;"入池",0,IF(ISNUMBER(I140),6%,0)+IF(ISNUMBER(K140),4.5%,0)+IF(ISNUMBER(L140),4.5%,0)+IF(ISNUMBER(Q140),8.4%,0)+IF(ISNUMBER(R140),5.6%,0)+IF(ISNUMBER(W140),3.6%,0)+IF(ISNUMBER(X140),2.4%,0)+IF(ISNUMBER(AC140),25%,0)+IF(ISNUMBER(AG140),18%,0)+IF(ISNUMBER(AH140),12%,0)+IF(ISNUMBER(AK140),10%,0))</x:f>
        <x:v>1</x:v>
      </x:c>
      <x:c r="AR140" s="17" t="n">
        <x:f>IF(AQ140=0,"",IF(ISNUMBER(I140),I140*6%,0)+IF(ISNUMBER(K140),K140*4.5%,0)+IF(ISNUMBER(L140),L140*4.5%,0)+IF(ISNUMBER(Q140),Q140*8.4%,0)+IF(ISNUMBER(R140),R140*5.6%,0)+IF(ISNUMBER(W140),W140*3.6%,0)+IF(ISNUMBER(X140),X140*2.4%,0)+IF(ISNUMBER(AC140),AC140*25%,0)+IF(ISNUMBER(AG140),AG140*18%,0)+IF(ISNUMBER(AH140),AH140*12%,0)+IF(ISNUMBER(AK140),AK140*10%,0))</x:f>
        <x:v>85.46762</x:v>
      </x:c>
      <x:c r="AS140" s="17" t="n">
        <x:f>IF(AQ140=0,"",ROUND(AR140/AQ140,2))</x:f>
        <x:v>85.47</x:v>
      </x:c>
      <x:c r="AT140" s="40" t="n">
        <x:f>IF(OR(G140&lt;&gt;"入池",NOT(ISNUMBER(AS140))),"",COUNTIFS($G$17:$G$219,"入池",$AS$17:$AS$219,"&gt;"&amp;AS140)+COUNTIFS($G$17:$G$219,"入池",$AS$17:$AS$219,AS140,$AQ$17:$AQ$219,"&gt;"&amp;AQ140)+COUNTIFS($G$17:G140,"入池",$AS$17:AS140,AS140,$AQ$17:AQ140,AQ140))</x:f>
        <x:v>17</x:v>
      </x:c>
      <x:c r="AU140" s="41" t="str">
        <x:f t="shared" si="4">IF(NOT(ISNUMBER(I140)),"管理人规模；","")&amp;IF(J140="","产品规模标识；","")&amp;IF(AND(F140&lt;3,NOT(ISNUMBER(O140))),"R_incep；","")&amp;IF(NOT(ISNUMBER(N140)),"近三年收益；","")&amp;IF(NOT(ISNUMBER(U140)),"近三年胜率；","")&amp;IF(AND(ISNUMBER(V140),OR(V140&lt;0,V140&gt;1)),"胜率窗口口径不一致；","")&amp;IF(NOT(ISNUMBER(AA140)),"近三年回撤；","")&amp;IF(NOT(ISNUMBER(AD140)),"短期卡玛；","")&amp;IF(AND(ISNUMBER(P140),NOT(ISNUMBER(AE140))),"DD_long不可识别；","")</x:f>
      </x:c>
      <x:c r="AV140" s="42" t="n">
        <x:v>50</x:v>
      </x:c>
      <x:c r="AW140" s="19" t="str">
        <x:v>北京平凡私募基金管理有限公司</x:v>
      </x:c>
      <x:c r="AX140" s="19" t="str">
        <x:v>2026-08-05</x:v>
      </x:c>
      <x:c r="AY140" s="19" t="str">
        <x:v>https://gs.amac.org.cn/amac-infodisc/res/pof/manager/101000030286.html</x:v>
      </x:c>
      <x:c r="AZ140" s="19" t="str">
        <x:v>平凡浩睿私募证券投资基金</x:v>
      </x:c>
      <x:c r="BA140" s="19" t="str">
        <x:v>2024-11-01</x:v>
      </x:c>
      <x:c r="BB140" s="19"/>
      <x:c r="BC140" s="19" t="str">
        <x:v>https://gs.amac.org.cn/amac-infodisc/res/pof/fund/2003111724111317.html</x:v>
      </x:c>
      <x:c r="BD140" s="19" t="str">
        <x:v>已匹配</x:v>
      </x:c>
      <x:c r="BE140"/>
      <x:c r="BF140"/>
    </x:row>
    <x:row r="141" ht="28" customHeight="1">
      <x:c r="A141" s="4" t="n">
        <x:v>125</x:v>
      </x:c>
      <x:c r="B141" s="15" t="str">
        <x:f>'sheet4-原始数据'!A126</x:f>
        <x:v>博普日添月益</x:v>
      </x:c>
      <x:c r="C141" s="15" t="str">
        <x:f>'sheet4-原始数据'!B126</x:f>
        <x:v>SJW903</x:v>
      </x:c>
      <x:c r="D141" s="15" t="str">
        <x:f>'sheet4-原始数据'!E126</x:f>
        <x:v>深圳前海博普资管</x:v>
      </x:c>
      <x:c r="E141" s="32" t="n">
        <x:f>IF(ISNUMBER('sheet4-原始数据'!F126),'sheet4-原始数据'!F126,"")</x:f>
        <x:v>43917</x:v>
      </x:c>
      <x:c r="F141" s="17" t="n">
        <x:f>IF(NOT(ISNUMBER(E141)),"",ROUND(('sheet1-指标体系'!$J$23-E141)/365.25,4))</x:f>
        <x:v>6.4723</x:v>
      </x:c>
      <x:c r="G141" s="4" t="str">
        <x:f t="shared" si="3">IF(NOT(ISNUMBER(F141)),"",IF(F141&lt;1,"不入池","入池"))</x:f>
        <x:v>入池</x:v>
      </x:c>
      <x:c r="H141" s="33" t="str">
        <x:v>50-100亿元</x:v>
      </x:c>
      <x:c r="I141" s="17" t="n">
        <x:f>IF(H141="","",IF(ISNUMBER(SEARCH("100亿元以上",H141)),100,IF(OR(ISNUMBER(SEARCH("20-50",H141)),ISNUMBER(SEARCH("50-100",H141)),ISNUMBER(SEARCH("20-100",H141))),90,IF(ISNUMBER(SEARCH("10-20",H141)),80,IF(ISNUMBER(SEARCH("5-10",H141)),70,IF(ISNUMBER(SEARCH("0-5",H141)),60,""))))))</x:f>
        <x:v>90</x:v>
      </x:c>
      <x:c r="J141" s="34" t="str">
        <x:v>无低于1000万元标识</x:v>
      </x:c>
      <x:c r="K141" s="17" t="n">
        <x:f>IF(J141="","",IF(J141="低于1000万元",0,100))</x:f>
        <x:v>100</x:v>
      </x:c>
      <x:c r="L141" s="17" t="n">
        <x:f>IF(NOT(ISNUMBER(F141)),"",IF(F141&lt;1,"",IF(F141&lt;3,70,100)))</x:f>
        <x:v>100</x:v>
      </x:c>
      <x:c r="M141" s="35" t="n">
        <x:f>IF(ISNUMBER('sheet4-原始数据'!G126),'sheet4-原始数据'!G126,"")</x:f>
        <x:v>0.0704</x:v>
      </x:c>
      <x:c r="N141" s="35" t="n">
        <x:f>IF(ISNUMBER('sheet4-原始数据'!H126),'sheet4-原始数据'!H126,"")</x:f>
        <x:v>0.06</x:v>
      </x:c>
      <x:c r="O141" s="36" t="str">
        <x:f>IF(ISNUMBER('sheet4-原始数据'!Q126),'sheet4-原始数据'!Q126,"")</x:f>
      </x:c>
      <x:c r="P141" s="37" t="n">
        <x:f>IF($G141&lt;&gt;"入池","",IF($F141&gt;=3,IF(OR(NOT(ISNUMBER($M141)),NOT(ISNUMBER($N141)),1+$M141&lt;=0,1+$N141&lt;0),"",((1+$N141)^3/(1+$M141))^(1/2)-1),IF(OR($F141&lt;=1,NOT(ISNUMBER($M141)),NOT(ISNUMBER($O141)),1+$M141&lt;=0,1+$O141&lt;0),"",((1+$O141)^$F141/(1+$M141))^(1/($F141-1))-1)))</x:f>
        <x:v>0.054837953961691</x:v>
      </x:c>
      <x:c r="Q141" s="17" t="n">
        <x:f>IF(OR($G141&lt;&gt;"入池",NOT(ISNUMBER(M141))),"",IF(COUNTIFS($G$17:$G$219,"入池",$M$17:$M$219,"&gt;=-1E+307",$M$17:$M$219,"&lt;=1E+307")&lt;=1,100,ROUND(100*(COUNTIFS($G$17:$G$219,"入池",$M$17:$M$219,"&gt;=-1E+307",$M$17:$M$219,"&lt;"&amp;M141)+COUNTIFS($G$17:$G$219,"入池",$M$17:$M$219,M141,$M$17:$M$219,"&gt;=-1E+307",$M$17:$M$219,"&lt;=1E+307")/2-0.5)/(COUNTIFS($G$17:$G$219,"入池",$M$17:$M$219,"&gt;=-1E+307",$M$17:$M$219,"&lt;=1E+307")-1),2)))</x:f>
        <x:v>62.87</x:v>
      </x:c>
      <x:c r="R141" s="17" t="n">
        <x:f>IF(OR($G141&lt;&gt;"入池",NOT(ISNUMBER(P141))),"",IF(COUNTIFS($G$17:$G$219,"入池",$P$17:$P$219,"&gt;=-1E+307",$P$17:$P$219,"&lt;=1E+307")&lt;=1,100,ROUND(100*(COUNTIFS($G$17:$G$219,"入池",$P$17:$P$219,"&gt;=-1E+307",$P$17:$P$219,"&lt;"&amp;P141)+COUNTIFS($G$17:$G$219,"入池",$P$17:$P$219,P141,$P$17:$P$219,"&gt;=-1E+307",$P$17:$P$219,"&lt;=1E+307")/2-0.5)/(COUNTIFS($G$17:$G$219,"入池",$P$17:$P$219,"&gt;=-1E+307",$P$17:$P$219,"&lt;=1E+307")-1),2)))</x:f>
        <x:v>41.58</x:v>
      </x:c>
      <x:c r="S141" s="17" t="n">
        <x:f>IF(NOT(ISNUMBER(Q141)),"",IF(NOT(ISNUMBER(R141)),Q141,ROUND(Q141*'sheet1-指标体系'!$J$8+R141*'sheet1-指标体系'!$J$9,2)))</x:f>
        <x:v>54.35</x:v>
      </x:c>
      <x:c r="T141" s="35" t="n">
        <x:f>IF(ISNUMBER('sheet4-原始数据'!J126),'sheet4-原始数据'!J126,"")</x:f>
        <x:v>1</x:v>
      </x:c>
      <x:c r="U141" s="35" t="n">
        <x:f>IF(ISNUMBER('sheet4-原始数据'!I126),'sheet4-原始数据'!I126,"")</x:f>
        <x:v>0.8919</x:v>
      </x:c>
      <x:c r="V141" s="37" t="n">
        <x:f>IF(OR(NOT(ISNUMBER(T141)),NOT(ISNUMBER(U141))),"",(U141*'sheet1-指标体系'!$J$6-T141*'sheet1-指标体系'!$J$5)/'sheet1-指标体系'!$J$7)</x:f>
        <x:v>0.8333458333333335</x:v>
      </x:c>
      <x:c r="W141" s="17" t="n">
        <x:f>IF(NOT(ISNUMBER(T141)),"",T141*100)</x:f>
        <x:v>100</x:v>
      </x:c>
      <x:c r="X141" s="17" t="n">
        <x:f>IF($G141&lt;&gt;"入池","",IF(AND(ISNUMBER(V141),V141&gt;=0,V141&lt;=1),V141*100,IF(MAX(0,($F141-1)*12)&lt;6,100,"")))</x:f>
        <x:v>83.33458333333334</x:v>
      </x:c>
      <x:c r="Y141" s="17" t="n">
        <x:f>IF(NOT(ISNUMBER(W141)),"",IF(NOT(ISNUMBER(X141)),W141,ROUND(W141*'sheet1-指标体系'!$J$8+X141*'sheet1-指标体系'!$J$9,2)))</x:f>
        <x:v>93.33</x:v>
      </x:c>
      <x:c r="Z141" s="37" t="n">
        <x:f>IF(OR(NOT(ISNUMBER(M141)),NOT(ISNUMBER(AD141)),AD141=0),"",ABS(M141/AD141))</x:f>
        <x:v>0.007669179484944878</x:v>
      </x:c>
      <x:c r="AA141" s="35" t="n">
        <x:f>IF(ISNUMBER('sheet4-原始数据'!K126),'sheet4-原始数据'!K126,"")</x:f>
        <x:v>0.0282</x:v>
      </x:c>
      <x:c r="AB141" s="37" t="n">
        <x:f>IF(COUNT(Z141:AA141)=0,"",MAX(Z141:AA141))</x:f>
        <x:v>0.0282</x:v>
      </x:c>
      <x:c r="AC141" s="17" t="n">
        <x:f>IF(OR($G141&lt;&gt;"入池",NOT(ISNUMBER(AB141))),"",IF(COUNTIFS($G$17:$G$219,"入池",$AB$17:$AB$219,"&gt;=-1E+307",$AB$17:$AB$219,"&lt;=1E+307")&lt;=1,100,ROUND(100*(COUNTIFS($G$17:$G$219,"入池",$AB$17:$AB$219,"&lt;=1E+307",$AB$17:$AB$219,"&gt;"&amp;AB141)+COUNTIFS($G$17:$G$219,"入池",$AB$17:$AB$219,AB141,$AB$17:$AB$219,"&gt;=-1E+307",$AB$17:$AB$219,"&lt;=1E+307")/2-0.5)/(COUNTIFS($G$17:$G$219,"入池",$AB$17:$AB$219,"&gt;=-1E+307",$AB$17:$AB$219,"&lt;=1E+307")-1),2)))</x:f>
        <x:v>62.62</x:v>
      </x:c>
      <x:c r="AD141" s="38" t="n">
        <x:f>IF(ISNUMBER('sheet4-原始数据'!M126),'sheet4-原始数据'!M126,"")</x:f>
        <x:v>9.1796</x:v>
      </x:c>
      <x:c r="AE141" s="37" t="n">
        <x:f>IF(OR(NOT(ISNUMBER(P141)),NOT(ISNUMBER(AA141)),NOT(ISNUMBER(Z141))),"",IF(AA141&gt;Z141+'sheet1-指标体系'!$J$11,AA141,""))</x:f>
        <x:v>0.0282</x:v>
      </x:c>
      <x:c r="AF141" s="17" t="n">
        <x:f>IF(OR(NOT(ISNUMBER(P141)),NOT(ISNUMBER(AE141)),AE141=0),"",P141/AE141)</x:f>
        <x:v>1.9446082965138654</x:v>
      </x:c>
      <x:c r="AG141" s="17" t="n">
        <x:f>IF(OR($G141&lt;&gt;"入池",NOT(ISNUMBER(AD141))),"",IF(COUNTIFS($G$17:$G$219,"入池",$AD$17:$AD$219,"&gt;=-1E+307",$AD$17:$AD$219,"&lt;=1E+307")&lt;=1,100,ROUND(100*(COUNTIFS($G$17:$G$219,"入池",$AD$17:$AD$219,"&gt;=-1E+307",$AD$17:$AD$219,"&lt;"&amp;AD141)+COUNTIFS($G$17:$G$219,"入池",$AD$17:$AD$219,AD141,$AD$17:$AD$219,"&gt;=-1E+307",$AD$17:$AD$219,"&lt;=1E+307")/2-0.5)/(COUNTIFS($G$17:$G$219,"入池",$AD$17:$AD$219,"&gt;=-1E+307",$AD$17:$AD$219,"&lt;=1E+307")-1),2)))</x:f>
        <x:v>74.13</x:v>
      </x:c>
      <x:c r="AH141" s="17" t="n">
        <x:f>IF(OR($G141&lt;&gt;"入池",NOT(ISNUMBER(AF141))),"",IF(COUNTIFS($G$17:$G$219,"入池",$AF$17:$AF$219,"&gt;=-1E+307",$AF$17:$AF$219,"&lt;=1E+307")&lt;=1,100,ROUND(100*(COUNTIFS($G$17:$G$219,"入池",$AF$17:$AF$219,"&gt;=-1E+307",$AF$17:$AF$219,"&lt;"&amp;AF141)+COUNTIFS($G$17:$G$219,"入池",$AF$17:$AF$219,AF141,$AF$17:$AF$219,"&gt;=-1E+307",$AF$17:$AF$219,"&lt;=1E+307")/2-0.5)/(COUNTIFS($G$17:$G$219,"入池",$AF$17:$AF$219,"&gt;=-1E+307",$AF$17:$AF$219,"&lt;=1E+307")-1),2)))</x:f>
        <x:v>64.23</x:v>
      </x:c>
      <x:c r="AI141" s="17" t="n">
        <x:f>IF(NOT(ISNUMBER(AG141)),"",IF(NOT(ISNUMBER(AH141)),AG141,ROUND(AG141*'sheet1-指标体系'!$J$8+AH141*'sheet1-指标体系'!$J$9,2)))</x:f>
        <x:v>70.17</x:v>
      </x:c>
      <x:c r="AJ141" s="37" t="n">
        <x:f>IF(NOT(ISNUMBER(F141)),"",IF(F141&gt;=3,IF(NOT(ISNUMBER(N141)),"",N141),IF(NOT(ISNUMBER(O141)),"",O141)))</x:f>
        <x:v>0.06</x:v>
      </x:c>
      <x:c r="AK141" s="17" t="n">
        <x:f>IF(OR(G141&lt;&gt;"入池",NOT(ISNUMBER(M141)),NOT(ISNUMBER(AJ141))),"",IF(M141&gt;=AJ141,100,IF(AJ141-M141&lt;'sheet1-指标体系'!$J$10,80,60)))</x:f>
        <x:v>100</x:v>
      </x:c>
      <x:c r="AL141" s="17" t="n">
        <x:f>IF(COUNT(I141,K141,L141)=0,"",ROUND((IF(ISNUMBER(I141),I141*40%,0)+IF(ISNUMBER(K141),K141*30%,0)+IF(ISNUMBER(L141),L141*30%,0))/(IF(ISNUMBER(I141),40%,0)+IF(ISNUMBER(K141),30%,0)+IF(ISNUMBER(L141),30%,0)),2))</x:f>
        <x:v>96</x:v>
      </x:c>
      <x:c r="AM141" s="17" t="n">
        <x:f>IF(COUNT(Q141,R141,W141,X141)=0,"",ROUND((IF(ISNUMBER(Q141),Q141*42%,0)+IF(ISNUMBER(R141),R141*28%,0)+IF(ISNUMBER(W141),W141*18%,0)+IF(ISNUMBER(X141),X141*12%,0))/(IF(ISNUMBER(Q141),42%,0)+IF(ISNUMBER(R141),28%,0)+IF(ISNUMBER(W141),18%,0)+IF(ISNUMBER(X141),12%,0)),2))</x:f>
        <x:v>66.05</x:v>
      </x:c>
      <x:c r="AN141" s="17" t="n">
        <x:f>IF(ISNUMBER(AC141),AC141,"")</x:f>
        <x:v>62.62</x:v>
      </x:c>
      <x:c r="AO141" s="17" t="n">
        <x:f>IF(COUNT(AG141,AH141)=0,"",ROUND((IF(ISNUMBER(AG141),AG141*60%,0)+IF(ISNUMBER(AH141),AH141*40%,0))/(IF(ISNUMBER(AG141),60%,0)+IF(ISNUMBER(AH141),40%,0)),2))</x:f>
        <x:v>70.17</x:v>
      </x:c>
      <x:c r="AP141" s="17" t="n">
        <x:f>IF(ISNUMBER(AK141),AK141,"")</x:f>
        <x:v>100</x:v>
      </x:c>
      <x:c r="AQ141" s="39" t="n">
        <x:f>IF(G141&lt;&gt;"入池",0,IF(ISNUMBER(I141),6%,0)+IF(ISNUMBER(K141),4.5%,0)+IF(ISNUMBER(L141),4.5%,0)+IF(ISNUMBER(Q141),8.4%,0)+IF(ISNUMBER(R141),5.6%,0)+IF(ISNUMBER(W141),3.6%,0)+IF(ISNUMBER(X141),2.4%,0)+IF(ISNUMBER(AC141),25%,0)+IF(ISNUMBER(AG141),18%,0)+IF(ISNUMBER(AH141),12%,0)+IF(ISNUMBER(AK141),10%,0))</x:f>
        <x:v>1</x:v>
      </x:c>
      <x:c r="AR141" s="17" t="n">
        <x:f>IF(AQ141=0,"",IF(ISNUMBER(I141),I141*6%,0)+IF(ISNUMBER(K141),K141*4.5%,0)+IF(ISNUMBER(L141),L141*4.5%,0)+IF(ISNUMBER(Q141),Q141*8.4%,0)+IF(ISNUMBER(R141),R141*5.6%,0)+IF(ISNUMBER(W141),W141*3.6%,0)+IF(ISNUMBER(X141),X141*2.4%,0)+IF(ISNUMBER(AC141),AC141*25%,0)+IF(ISNUMBER(AG141),AG141*18%,0)+IF(ISNUMBER(AH141),AH141*12%,0)+IF(ISNUMBER(AK141),AK141*10%,0))</x:f>
        <x:v>74.31559</x:v>
      </x:c>
      <x:c r="AS141" s="17" t="n">
        <x:f>IF(AQ141=0,"",ROUND(AR141/AQ141,2))</x:f>
        <x:v>74.32</x:v>
      </x:c>
      <x:c r="AT141" s="40" t="n">
        <x:f>IF(OR(G141&lt;&gt;"入池",NOT(ISNUMBER(AS141))),"",COUNTIFS($G$17:$G$219,"入池",$AS$17:$AS$219,"&gt;"&amp;AS141)+COUNTIFS($G$17:$G$219,"入池",$AS$17:$AS$219,AS141,$AQ$17:$AQ$219,"&gt;"&amp;AQ141)+COUNTIFS($G$17:G141,"入池",$AS$17:AS141,AS141,$AQ$17:AQ141,AQ141))</x:f>
        <x:v>51</x:v>
      </x:c>
      <x:c r="AU141" s="41" t="str">
        <x:f t="shared" si="4">IF(NOT(ISNUMBER(I141)),"管理人规模；","")&amp;IF(J141="","产品规模标识；","")&amp;IF(AND(F141&lt;3,NOT(ISNUMBER(O141))),"R_incep；","")&amp;IF(NOT(ISNUMBER(N141)),"近三年收益；","")&amp;IF(NOT(ISNUMBER(U141)),"近三年胜率；","")&amp;IF(AND(ISNUMBER(V141),OR(V141&lt;0,V141&gt;1)),"胜率窗口口径不一致；","")&amp;IF(NOT(ISNUMBER(AA141)),"近三年回撤；","")&amp;IF(NOT(ISNUMBER(AD141)),"短期卡玛；","")&amp;IF(AND(ISNUMBER(P141),NOT(ISNUMBER(AE141))),"DD_long不可识别；","")</x:f>
      </x:c>
      <x:c r="AV141" s="42" t="n">
        <x:v>50</x:v>
      </x:c>
      <x:c r="AW141" s="19" t="str">
        <x:v>深圳前海博普资产管理有限公司</x:v>
      </x:c>
      <x:c r="AX141" s="19" t="str">
        <x:v>2023-10-20</x:v>
      </x:c>
      <x:c r="AY141" s="19" t="str">
        <x:v>https://gs.amac.org.cn/amac-infodisc/res/pof/manager/1709041706102598.html</x:v>
      </x:c>
      <x:c r="AZ141" s="19" t="str">
        <x:v>博普日添月益证券投资私募基金</x:v>
      </x:c>
      <x:c r="BA141" s="19" t="str">
        <x:v>2022-04-19</x:v>
      </x:c>
      <x:c r="BB141" s="19"/>
      <x:c r="BC141" s="19" t="str">
        <x:v>https://gs.amac.org.cn/amac-infodisc/res/pof/fund/2003311737105713.html</x:v>
      </x:c>
      <x:c r="BD141" s="19" t="str">
        <x:v>已匹配</x:v>
      </x:c>
      <x:c r="BE141"/>
      <x:c r="BF141"/>
    </x:row>
    <x:row r="142" ht="28" customHeight="1">
      <x:c r="A142" s="4" t="n">
        <x:v>126</x:v>
      </x:c>
      <x:c r="B142" s="15" t="str">
        <x:f>'sheet4-原始数据'!A127</x:f>
        <x:v>鸣熙资产-招享套利1号</x:v>
      </x:c>
      <x:c r="C142" s="15" t="str">
        <x:f>'sheet4-原始数据'!B127</x:f>
        <x:v>SJZ381</x:v>
      </x:c>
      <x:c r="D142" s="15" t="str">
        <x:f>'sheet4-原始数据'!E127</x:f>
        <x:v>鸣熙资本</x:v>
      </x:c>
      <x:c r="E142" s="32" t="n">
        <x:f>IF(ISNUMBER('sheet4-原始数据'!F127),'sheet4-原始数据'!F127,"")</x:f>
        <x:v>43937</x:v>
      </x:c>
      <x:c r="F142" s="17" t="n">
        <x:f>IF(NOT(ISNUMBER(E142)),"",ROUND(('sheet1-指标体系'!$J$23-E142)/365.25,4))</x:f>
        <x:v>6.4175</x:v>
      </x:c>
      <x:c r="G142" s="4" t="str">
        <x:f t="shared" si="3">IF(NOT(ISNUMBER(F142)),"",IF(F142&lt;1,"不入池","入池"))</x:f>
        <x:v>入池</x:v>
      </x:c>
      <x:c r="H142" s="33" t="str">
        <x:v>100亿元以上</x:v>
      </x:c>
      <x:c r="I142" s="17" t="n">
        <x:f>IF(H142="","",IF(ISNUMBER(SEARCH("100亿元以上",H142)),100,IF(OR(ISNUMBER(SEARCH("20-50",H142)),ISNUMBER(SEARCH("50-100",H142)),ISNUMBER(SEARCH("20-100",H142))),90,IF(ISNUMBER(SEARCH("10-20",H142)),80,IF(ISNUMBER(SEARCH("5-10",H142)),70,IF(ISNUMBER(SEARCH("0-5",H142)),60,""))))))</x:f>
        <x:v>100</x:v>
      </x:c>
      <x:c r="J142" s="34" t="str">
        <x:v>无低于1000万元标识</x:v>
      </x:c>
      <x:c r="K142" s="17" t="n">
        <x:f>IF(J142="","",IF(J142="低于1000万元",0,100))</x:f>
        <x:v>100</x:v>
      </x:c>
      <x:c r="L142" s="17" t="n">
        <x:f>IF(NOT(ISNUMBER(F142)),"",IF(F142&lt;1,"",IF(F142&lt;3,70,100)))</x:f>
        <x:v>100</x:v>
      </x:c>
      <x:c r="M142" s="35" t="n">
        <x:f>IF(ISNUMBER('sheet4-原始数据'!G127),'sheet4-原始数据'!G127,"")</x:f>
        <x:v>0.0424</x:v>
      </x:c>
      <x:c r="N142" s="35" t="n">
        <x:f>IF(ISNUMBER('sheet4-原始数据'!H127),'sheet4-原始数据'!H127,"")</x:f>
        <x:v>0.0737</x:v>
      </x:c>
      <x:c r="O142" s="36" t="str">
        <x:f>IF(ISNUMBER('sheet4-原始数据'!Q127),'sheet4-原始数据'!Q127,"")</x:f>
      </x:c>
      <x:c r="P142" s="37" t="n">
        <x:f>IF($G142&lt;&gt;"入池","",IF($F142&gt;=3,IF(OR(NOT(ISNUMBER($M142)),NOT(ISNUMBER($N142)),1+$M142&lt;=0,1+$N142&lt;0),"",((1+$N142)^3/(1+$M142))^(1/2)-1),IF(OR($F142&lt;=1,NOT(ISNUMBER($M142)),NOT(ISNUMBER($O142)),1+$M142&lt;=0,1+$O142&lt;0),"",((1+$O142)^$F142/(1+$M142))^(1/($F142-1))-1)))</x:f>
        <x:v>0.0897006960700455</x:v>
      </x:c>
      <x:c r="Q142" s="17" t="n">
        <x:f>IF(OR($G142&lt;&gt;"入池",NOT(ISNUMBER(M142))),"",IF(COUNTIFS($G$17:$G$219,"入池",$M$17:$M$219,"&gt;=-1E+307",$M$17:$M$219,"&lt;=1E+307")&lt;=1,100,ROUND(100*(COUNTIFS($G$17:$G$219,"入池",$M$17:$M$219,"&gt;=-1E+307",$M$17:$M$219,"&lt;"&amp;M142)+COUNTIFS($G$17:$G$219,"入池",$M$17:$M$219,M142,$M$17:$M$219,"&gt;=-1E+307",$M$17:$M$219,"&lt;=1E+307")/2-0.5)/(COUNTIFS($G$17:$G$219,"入池",$M$17:$M$219,"&gt;=-1E+307",$M$17:$M$219,"&lt;=1E+307")-1),2)))</x:f>
        <x:v>45.54</x:v>
      </x:c>
      <x:c r="R142" s="17" t="n">
        <x:f>IF(OR($G142&lt;&gt;"入池",NOT(ISNUMBER(P142))),"",IF(COUNTIFS($G$17:$G$219,"入池",$P$17:$P$219,"&gt;=-1E+307",$P$17:$P$219,"&lt;=1E+307")&lt;=1,100,ROUND(100*(COUNTIFS($G$17:$G$219,"入池",$P$17:$P$219,"&gt;=-1E+307",$P$17:$P$219,"&lt;"&amp;P142)+COUNTIFS($G$17:$G$219,"入池",$P$17:$P$219,P142,$P$17:$P$219,"&gt;=-1E+307",$P$17:$P$219,"&lt;=1E+307")/2-0.5)/(COUNTIFS($G$17:$G$219,"入池",$P$17:$P$219,"&gt;=-1E+307",$P$17:$P$219,"&lt;=1E+307")-1),2)))</x:f>
        <x:v>70.3</x:v>
      </x:c>
      <x:c r="S142" s="17" t="n">
        <x:f>IF(NOT(ISNUMBER(Q142)),"",IF(NOT(ISNUMBER(R142)),Q142,ROUND(Q142*'sheet1-指标体系'!$J$8+R142*'sheet1-指标体系'!$J$9,2)))</x:f>
        <x:v>55.44</x:v>
      </x:c>
      <x:c r="T142" s="35" t="n">
        <x:f>IF(ISNUMBER('sheet4-原始数据'!J127),'sheet4-原始数据'!J127,"")</x:f>
        <x:v>0.6923</x:v>
      </x:c>
      <x:c r="U142" s="35" t="n">
        <x:f>IF(ISNUMBER('sheet4-原始数据'!I127),'sheet4-原始数据'!I127,"")</x:f>
        <x:v>0.8919</x:v>
      </x:c>
      <x:c r="V142" s="37" t="n">
        <x:f>IF(OR(NOT(ISNUMBER(T142)),NOT(ISNUMBER(U142))),"",(U142*'sheet1-指标体系'!$J$6-T142*'sheet1-指标体系'!$J$5)/'sheet1-指标体系'!$J$7)</x:f>
        <x:v>1.0000166666666668</x:v>
      </x:c>
      <x:c r="W142" s="17" t="n">
        <x:f>IF(NOT(ISNUMBER(T142)),"",T142*100)</x:f>
        <x:v>69.23</x:v>
      </x:c>
      <x:c r="X142" s="17" t="str">
        <x:f>IF($G142&lt;&gt;"入池","",IF(AND(ISNUMBER(V142),V142&gt;=0,V142&lt;=1),V142*100,IF(MAX(0,($F142-1)*12)&lt;6,100,"")))</x:f>
      </x:c>
      <x:c r="Y142" s="17" t="n">
        <x:f>IF(NOT(ISNUMBER(W142)),"",IF(NOT(ISNUMBER(X142)),W142,ROUND(W142*'sheet1-指标体系'!$J$8+X142*'sheet1-指标体系'!$J$9,2)))</x:f>
        <x:v>69.23</x:v>
      </x:c>
      <x:c r="Z142" s="37" t="n">
        <x:f>IF(OR(NOT(ISNUMBER(M142)),NOT(ISNUMBER(AD142)),AD142=0),"",ABS(M142/AD142))</x:f>
        <x:v>0.004687724574069365</x:v>
      </x:c>
      <x:c r="AA142" s="35" t="n">
        <x:f>IF(ISNUMBER('sheet4-原始数据'!K127),'sheet4-原始数据'!K127,"")</x:f>
        <x:v>0.004699999999999999</x:v>
      </x:c>
      <x:c r="AB142" s="37" t="n">
        <x:f>IF(COUNT(Z142:AA142)=0,"",MAX(Z142:AA142))</x:f>
        <x:v>0.004699999999999999</x:v>
      </x:c>
      <x:c r="AC142" s="17" t="n">
        <x:f>IF(OR($G142&lt;&gt;"入池",NOT(ISNUMBER(AB142))),"",IF(COUNTIFS($G$17:$G$219,"入池",$AB$17:$AB$219,"&gt;=-1E+307",$AB$17:$AB$219,"&lt;=1E+307")&lt;=1,100,ROUND(100*(COUNTIFS($G$17:$G$219,"入池",$AB$17:$AB$219,"&lt;=1E+307",$AB$17:$AB$219,"&gt;"&amp;AB142)+COUNTIFS($G$17:$G$219,"入池",$AB$17:$AB$219,AB142,$AB$17:$AB$219,"&gt;=-1E+307",$AB$17:$AB$219,"&lt;=1E+307")/2-0.5)/(COUNTIFS($G$17:$G$219,"入池",$AB$17:$AB$219,"&gt;=-1E+307",$AB$17:$AB$219,"&lt;=1E+307")-1),2)))</x:f>
        <x:v>95.79</x:v>
      </x:c>
      <x:c r="AD142" s="38" t="n">
        <x:f>IF(ISNUMBER('sheet4-原始数据'!M127),'sheet4-原始数据'!M127,"")</x:f>
        <x:v>9.0449</x:v>
      </x:c>
      <x:c r="AE142" s="37" t="str">
        <x:f>IF(OR(NOT(ISNUMBER(P142)),NOT(ISNUMBER(AA142)),NOT(ISNUMBER(Z142))),"",IF(AA142&gt;Z142+'sheet1-指标体系'!$J$11,AA142,""))</x:f>
      </x:c>
      <x:c r="AF142" s="17" t="str">
        <x:f>IF(OR(NOT(ISNUMBER(P142)),NOT(ISNUMBER(AE142)),AE142=0),"",P142/AE142)</x:f>
      </x:c>
      <x:c r="AG142" s="17" t="n">
        <x:f>IF(OR($G142&lt;&gt;"入池",NOT(ISNUMBER(AD142))),"",IF(COUNTIFS($G$17:$G$219,"入池",$AD$17:$AD$219,"&gt;=-1E+307",$AD$17:$AD$219,"&lt;=1E+307")&lt;=1,100,ROUND(100*(COUNTIFS($G$17:$G$219,"入池",$AD$17:$AD$219,"&gt;=-1E+307",$AD$17:$AD$219,"&lt;"&amp;AD142)+COUNTIFS($G$17:$G$219,"入池",$AD$17:$AD$219,AD142,$AD$17:$AD$219,"&gt;=-1E+307",$AD$17:$AD$219,"&lt;=1E+307")/2-0.5)/(COUNTIFS($G$17:$G$219,"入池",$AD$17:$AD$219,"&gt;=-1E+307",$AD$17:$AD$219,"&lt;=1E+307")-1),2)))</x:f>
        <x:v>73.63</x:v>
      </x:c>
      <x:c r="AH142" s="17" t="str">
        <x:f>IF(OR($G142&lt;&gt;"入池",NOT(ISNUMBER(AF142))),"",IF(COUNTIFS($G$17:$G$219,"入池",$AF$17:$AF$219,"&gt;=-1E+307",$AF$17:$AF$219,"&lt;=1E+307")&lt;=1,100,ROUND(100*(COUNTIFS($G$17:$G$219,"入池",$AF$17:$AF$219,"&gt;=-1E+307",$AF$17:$AF$219,"&lt;"&amp;AF142)+COUNTIFS($G$17:$G$219,"入池",$AF$17:$AF$219,AF142,$AF$17:$AF$219,"&gt;=-1E+307",$AF$17:$AF$219,"&lt;=1E+307")/2-0.5)/(COUNTIFS($G$17:$G$219,"入池",$AF$17:$AF$219,"&gt;=-1E+307",$AF$17:$AF$219,"&lt;=1E+307")-1),2)))</x:f>
      </x:c>
      <x:c r="AI142" s="17" t="n">
        <x:f>IF(NOT(ISNUMBER(AG142)),"",IF(NOT(ISNUMBER(AH142)),AG142,ROUND(AG142*'sheet1-指标体系'!$J$8+AH142*'sheet1-指标体系'!$J$9,2)))</x:f>
        <x:v>73.63</x:v>
      </x:c>
      <x:c r="AJ142" s="37" t="n">
        <x:f>IF(NOT(ISNUMBER(F142)),"",IF(F142&gt;=3,IF(NOT(ISNUMBER(N142)),"",N142),IF(NOT(ISNUMBER(O142)),"",O142)))</x:f>
        <x:v>0.0737</x:v>
      </x:c>
      <x:c r="AK142" s="17" t="n">
        <x:f>IF(OR(G142&lt;&gt;"入池",NOT(ISNUMBER(M142)),NOT(ISNUMBER(AJ142))),"",IF(M142&gt;=AJ142,100,IF(AJ142-M142&lt;'sheet1-指标体系'!$J$10,80,60)))</x:f>
        <x:v>80</x:v>
      </x:c>
      <x:c r="AL142" s="17" t="n">
        <x:f>IF(COUNT(I142,K142,L142)=0,"",ROUND((IF(ISNUMBER(I142),I142*40%,0)+IF(ISNUMBER(K142),K142*30%,0)+IF(ISNUMBER(L142),L142*30%,0))/(IF(ISNUMBER(I142),40%,0)+IF(ISNUMBER(K142),30%,0)+IF(ISNUMBER(L142),30%,0)),2))</x:f>
        <x:v>100</x:v>
      </x:c>
      <x:c r="AM142" s="17" t="n">
        <x:f>IF(COUNT(Q142,R142,W142,X142)=0,"",ROUND((IF(ISNUMBER(Q142),Q142*42%,0)+IF(ISNUMBER(R142),R142*28%,0)+IF(ISNUMBER(W142),W142*18%,0)+IF(ISNUMBER(X142),X142*12%,0))/(IF(ISNUMBER(Q142),42%,0)+IF(ISNUMBER(R142),28%,0)+IF(ISNUMBER(W142),18%,0)+IF(ISNUMBER(X142),12%,0)),2))</x:f>
        <x:v>58.26</x:v>
      </x:c>
      <x:c r="AN142" s="17" t="n">
        <x:f>IF(ISNUMBER(AC142),AC142,"")</x:f>
        <x:v>95.79</x:v>
      </x:c>
      <x:c r="AO142" s="17" t="n">
        <x:f>IF(COUNT(AG142,AH142)=0,"",ROUND((IF(ISNUMBER(AG142),AG142*60%,0)+IF(ISNUMBER(AH142),AH142*40%,0))/(IF(ISNUMBER(AG142),60%,0)+IF(ISNUMBER(AH142),40%,0)),2))</x:f>
        <x:v>73.63</x:v>
      </x:c>
      <x:c r="AP142" s="17" t="n">
        <x:f>IF(ISNUMBER(AK142),AK142,"")</x:f>
        <x:v>80</x:v>
      </x:c>
      <x:c r="AQ142" s="39" t="n">
        <x:f>IF(G142&lt;&gt;"入池",0,IF(ISNUMBER(I142),6%,0)+IF(ISNUMBER(K142),4.5%,0)+IF(ISNUMBER(L142),4.5%,0)+IF(ISNUMBER(Q142),8.4%,0)+IF(ISNUMBER(R142),5.6%,0)+IF(ISNUMBER(W142),3.6%,0)+IF(ISNUMBER(X142),2.4%,0)+IF(ISNUMBER(AC142),25%,0)+IF(ISNUMBER(AG142),18%,0)+IF(ISNUMBER(AH142),12%,0)+IF(ISNUMBER(AK142),10%,0))</x:f>
        <x:v>0.856</x:v>
      </x:c>
      <x:c r="AR142" s="17" t="n">
        <x:f>IF(AQ142=0,"",IF(ISNUMBER(I142),I142*6%,0)+IF(ISNUMBER(K142),K142*4.5%,0)+IF(ISNUMBER(L142),L142*4.5%,0)+IF(ISNUMBER(Q142),Q142*8.4%,0)+IF(ISNUMBER(R142),R142*5.6%,0)+IF(ISNUMBER(W142),W142*3.6%,0)+IF(ISNUMBER(X142),X142*2.4%,0)+IF(ISNUMBER(AC142),AC142*25%,0)+IF(ISNUMBER(AG142),AG142*18%,0)+IF(ISNUMBER(AH142),AH142*12%,0)+IF(ISNUMBER(AK142),AK142*10%,0))</x:f>
        <x:v>70.45534</x:v>
      </x:c>
      <x:c r="AS142" s="17" t="n">
        <x:f>IF(AQ142=0,"",ROUND(AR142/AQ142,2))</x:f>
        <x:v>82.31</x:v>
      </x:c>
      <x:c r="AT142" s="40" t="n">
        <x:f>IF(OR(G142&lt;&gt;"入池",NOT(ISNUMBER(AS142))),"",COUNTIFS($G$17:$G$219,"入池",$AS$17:$AS$219,"&gt;"&amp;AS142)+COUNTIFS($G$17:$G$219,"入池",$AS$17:$AS$219,AS142,$AQ$17:$AQ$219,"&gt;"&amp;AQ142)+COUNTIFS($G$17:G142,"入池",$AS$17:AS142,AS142,$AQ$17:AQ142,AQ142))</x:f>
        <x:v>25</x:v>
      </x:c>
      <x:c r="AU142" s="41" t="str">
        <x:f t="shared" si="4">IF(NOT(ISNUMBER(I142)),"管理人规模；","")&amp;IF(J142="","产品规模标识；","")&amp;IF(AND(F142&lt;3,NOT(ISNUMBER(O142))),"R_incep；","")&amp;IF(NOT(ISNUMBER(N142)),"近三年收益；","")&amp;IF(NOT(ISNUMBER(U142)),"近三年胜率；","")&amp;IF(AND(ISNUMBER(V142),OR(V142&lt;0,V142&gt;1)),"胜率窗口口径不一致；","")&amp;IF(NOT(ISNUMBER(AA142)),"近三年回撤；","")&amp;IF(NOT(ISNUMBER(AD142)),"短期卡玛；","")&amp;IF(AND(ISNUMBER(P142),NOT(ISNUMBER(AE142))),"DD_long不可识别；","")</x:f>
        <x:v>胜率窗口口径不一致；DD_long不可识别；</x:v>
      </x:c>
      <x:c r="AV142" s="42" t="n">
        <x:v>100</x:v>
      </x:c>
      <x:c r="AW142" s="19" t="str">
        <x:v>上海鸣熙资产管理有限公司</x:v>
      </x:c>
      <x:c r="AX142" s="19" t="str">
        <x:v>2026-07-20</x:v>
      </x:c>
      <x:c r="AY142" s="19" t="str">
        <x:v>https://gs.amac.org.cn/amac-infodisc/res/pof/manager/101000039347.html</x:v>
      </x:c>
      <x:c r="AZ142" s="19" t="str">
        <x:v>鸣熙资产-招享套利1号私募证券投资基金</x:v>
      </x:c>
      <x:c r="BA142" s="19" t="str">
        <x:v>2025-07-31</x:v>
      </x:c>
      <x:c r="BB142" s="19"/>
      <x:c r="BC142" s="19" t="str">
        <x:v>https://gs.amac.org.cn/amac-infodisc/res/pof/fund/2004141732109376.html</x:v>
      </x:c>
      <x:c r="BD142" s="19" t="str">
        <x:v>已匹配</x:v>
      </x:c>
      <x:c r="BE142"/>
      <x:c r="BF142"/>
    </x:row>
    <x:row r="143" ht="28" customHeight="1">
      <x:c r="A143" s="4" t="n">
        <x:v>127</x:v>
      </x:c>
      <x:c r="B143" s="15" t="str">
        <x:f>'sheet4-原始数据'!A128</x:f>
        <x:v>盛冠达量化套利6号</x:v>
      </x:c>
      <x:c r="C143" s="15" t="str">
        <x:f>'sheet4-原始数据'!B128</x:f>
        <x:v>SJZ209</x:v>
      </x:c>
      <x:c r="D143" s="15" t="str">
        <x:f>'sheet4-原始数据'!E128</x:f>
        <x:v>海南盛冠达</x:v>
      </x:c>
      <x:c r="E143" s="32" t="n">
        <x:f>IF(ISNUMBER('sheet4-原始数据'!F128),'sheet4-原始数据'!F128,"")</x:f>
        <x:v>43983</x:v>
      </x:c>
      <x:c r="F143" s="17" t="n">
        <x:f>IF(NOT(ISNUMBER(E143)),"",ROUND(('sheet1-指标体系'!$J$23-E143)/365.25,4))</x:f>
        <x:v>6.2916</x:v>
      </x:c>
      <x:c r="G143" s="4" t="str">
        <x:f t="shared" si="3">IF(NOT(ISNUMBER(F143)),"",IF(F143&lt;1,"不入池","入池"))</x:f>
        <x:v>入池</x:v>
      </x:c>
      <x:c r="H143" s="33" t="str">
        <x:v>20-50亿元</x:v>
      </x:c>
      <x:c r="I143" s="17" t="n">
        <x:f>IF(H143="","",IF(ISNUMBER(SEARCH("100亿元以上",H143)),100,IF(OR(ISNUMBER(SEARCH("20-50",H143)),ISNUMBER(SEARCH("50-100",H143)),ISNUMBER(SEARCH("20-100",H143))),90,IF(ISNUMBER(SEARCH("10-20",H143)),80,IF(ISNUMBER(SEARCH("5-10",H143)),70,IF(ISNUMBER(SEARCH("0-5",H143)),60,""))))))</x:f>
        <x:v>90</x:v>
      </x:c>
      <x:c r="J143" s="34" t="str">
        <x:v>无低于1000万元标识</x:v>
      </x:c>
      <x:c r="K143" s="17" t="n">
        <x:f>IF(J143="","",IF(J143="低于1000万元",0,100))</x:f>
        <x:v>100</x:v>
      </x:c>
      <x:c r="L143" s="17" t="n">
        <x:f>IF(NOT(ISNUMBER(F143)),"",IF(F143&lt;1,"",IF(F143&lt;3,70,100)))</x:f>
        <x:v>100</x:v>
      </x:c>
      <x:c r="M143" s="35" t="n">
        <x:f>IF(ISNUMBER('sheet4-原始数据'!G128),'sheet4-原始数据'!G128,"")</x:f>
        <x:v>0.038599999999999995</x:v>
      </x:c>
      <x:c r="N143" s="35" t="n">
        <x:f>IF(ISNUMBER('sheet4-原始数据'!H128),'sheet4-原始数据'!H128,"")</x:f>
        <x:v>0.0373</x:v>
      </x:c>
      <x:c r="O143" s="36" t="str">
        <x:f>IF(ISNUMBER('sheet4-原始数据'!Q128),'sheet4-原始数据'!Q128,"")</x:f>
      </x:c>
      <x:c r="P143" s="37" t="n">
        <x:f>IF($G143&lt;&gt;"入池","",IF($F143&gt;=3,IF(OR(NOT(ISNUMBER($M143)),NOT(ISNUMBER($N143)),1+$M143&lt;=0,1+$N143&lt;0),"",((1+$N143)^3/(1+$M143))^(1/2)-1),IF(OR($F143&lt;=1,NOT(ISNUMBER($M143)),NOT(ISNUMBER($O143)),1+$M143&lt;=0,1+$O143&lt;0),"",((1+$O143)^$F143/(1+$M143))^(1/($F143-1))-1)))</x:f>
        <x:v>0.03665061032377381</x:v>
      </x:c>
      <x:c r="Q143" s="17" t="n">
        <x:f>IF(OR($G143&lt;&gt;"入池",NOT(ISNUMBER(M143))),"",IF(COUNTIFS($G$17:$G$219,"入池",$M$17:$M$219,"&gt;=-1E+307",$M$17:$M$219,"&lt;=1E+307")&lt;=1,100,ROUND(100*(COUNTIFS($G$17:$G$219,"入池",$M$17:$M$219,"&gt;=-1E+307",$M$17:$M$219,"&lt;"&amp;M143)+COUNTIFS($G$17:$G$219,"入池",$M$17:$M$219,M143,$M$17:$M$219,"&gt;=-1E+307",$M$17:$M$219,"&lt;=1E+307")/2-0.5)/(COUNTIFS($G$17:$G$219,"入池",$M$17:$M$219,"&gt;=-1E+307",$M$17:$M$219,"&lt;=1E+307")-1),2)))</x:f>
        <x:v>38.37</x:v>
      </x:c>
      <x:c r="R143" s="17" t="n">
        <x:f>IF(OR($G143&lt;&gt;"入池",NOT(ISNUMBER(P143))),"",IF(COUNTIFS($G$17:$G$219,"入池",$P$17:$P$219,"&gt;=-1E+307",$P$17:$P$219,"&lt;=1E+307")&lt;=1,100,ROUND(100*(COUNTIFS($G$17:$G$219,"入池",$P$17:$P$219,"&gt;=-1E+307",$P$17:$P$219,"&lt;"&amp;P143)+COUNTIFS($G$17:$G$219,"入池",$P$17:$P$219,P143,$P$17:$P$219,"&gt;=-1E+307",$P$17:$P$219,"&lt;=1E+307")/2-0.5)/(COUNTIFS($G$17:$G$219,"入池",$P$17:$P$219,"&gt;=-1E+307",$P$17:$P$219,"&lt;=1E+307")-1),2)))</x:f>
        <x:v>21.29</x:v>
      </x:c>
      <x:c r="S143" s="17" t="n">
        <x:f>IF(NOT(ISNUMBER(Q143)),"",IF(NOT(ISNUMBER(R143)),Q143,ROUND(Q143*'sheet1-指标体系'!$J$8+R143*'sheet1-指标体系'!$J$9,2)))</x:f>
        <x:v>31.54</x:v>
      </x:c>
      <x:c r="T143" s="35" t="n">
        <x:f>IF(ISNUMBER('sheet4-原始数据'!J128),'sheet4-原始数据'!J128,"")</x:f>
        <x:v>0.6154</x:v>
      </x:c>
      <x:c r="U143" s="35" t="n">
        <x:f>IF(ISNUMBER('sheet4-原始数据'!I128),'sheet4-原始数据'!I128,"")</x:f>
        <x:v>0.6486</x:v>
      </x:c>
      <x:c r="V143" s="37" t="n">
        <x:f>IF(OR(NOT(ISNUMBER(T143)),NOT(ISNUMBER(U143))),"",(U143*'sheet1-指标体系'!$J$6-T143*'sheet1-指标体系'!$J$5)/'sheet1-指标体系'!$J$7)</x:f>
        <x:v>0.6665833333333332</x:v>
      </x:c>
      <x:c r="W143" s="17" t="n">
        <x:f>IF(NOT(ISNUMBER(T143)),"",T143*100)</x:f>
        <x:v>61.53999999999999</x:v>
      </x:c>
      <x:c r="X143" s="17" t="n">
        <x:f>IF($G143&lt;&gt;"入池","",IF(AND(ISNUMBER(V143),V143&gt;=0,V143&lt;=1),V143*100,IF(MAX(0,($F143-1)*12)&lt;6,100,"")))</x:f>
        <x:v>66.65833333333332</x:v>
      </x:c>
      <x:c r="Y143" s="17" t="n">
        <x:f>IF(NOT(ISNUMBER(W143)),"",IF(NOT(ISNUMBER(X143)),W143,ROUND(W143*'sheet1-指标体系'!$J$8+X143*'sheet1-指标体系'!$J$9,2)))</x:f>
        <x:v>63.59</x:v>
      </x:c>
      <x:c r="Z143" s="37" t="n">
        <x:f>IF(OR(NOT(ISNUMBER(M143)),NOT(ISNUMBER(AD143)),AD143=0),"",ABS(M143/AD143))</x:f>
        <x:v>0.021025110300125275</x:v>
      </x:c>
      <x:c r="AA143" s="35" t="n">
        <x:f>IF(ISNUMBER('sheet4-原始数据'!K128),'sheet4-原始数据'!K128,"")</x:f>
        <x:v>0.042199999999999994</x:v>
      </x:c>
      <x:c r="AB143" s="37" t="n">
        <x:f>IF(COUNT(Z143:AA143)=0,"",MAX(Z143:AA143))</x:f>
        <x:v>0.042199999999999994</x:v>
      </x:c>
      <x:c r="AC143" s="17" t="n">
        <x:f>IF(OR($G143&lt;&gt;"入池",NOT(ISNUMBER(AB143))),"",IF(COUNTIFS($G$17:$G$219,"入池",$AB$17:$AB$219,"&gt;=-1E+307",$AB$17:$AB$219,"&lt;=1E+307")&lt;=1,100,ROUND(100*(COUNTIFS($G$17:$G$219,"入池",$AB$17:$AB$219,"&lt;=1E+307",$AB$17:$AB$219,"&gt;"&amp;AB143)+COUNTIFS($G$17:$G$219,"入池",$AB$17:$AB$219,AB143,$AB$17:$AB$219,"&gt;=-1E+307",$AB$17:$AB$219,"&lt;=1E+307")/2-0.5)/(COUNTIFS($G$17:$G$219,"入池",$AB$17:$AB$219,"&gt;=-1E+307",$AB$17:$AB$219,"&lt;=1E+307")-1),2)))</x:f>
        <x:v>50.5</x:v>
      </x:c>
      <x:c r="AD143" s="38" t="n">
        <x:f>IF(ISNUMBER('sheet4-原始数据'!M128),'sheet4-原始数据'!M128,"")</x:f>
        <x:v>1.8359</x:v>
      </x:c>
      <x:c r="AE143" s="37" t="n">
        <x:f>IF(OR(NOT(ISNUMBER(P143)),NOT(ISNUMBER(AA143)),NOT(ISNUMBER(Z143))),"",IF(AA143&gt;Z143+'sheet1-指标体系'!$J$11,AA143,""))</x:f>
        <x:v>0.042199999999999994</x:v>
      </x:c>
      <x:c r="AF143" s="17" t="n">
        <x:f>IF(OR(NOT(ISNUMBER(P143)),NOT(ISNUMBER(AE143)),AE143=0),"",P143/AE143)</x:f>
        <x:v>0.8684978749709436</x:v>
      </x:c>
      <x:c r="AG143" s="17" t="n">
        <x:f>IF(OR($G143&lt;&gt;"入池",NOT(ISNUMBER(AD143))),"",IF(COUNTIFS($G$17:$G$219,"入池",$AD$17:$AD$219,"&gt;=-1E+307",$AD$17:$AD$219,"&lt;=1E+307")&lt;=1,100,ROUND(100*(COUNTIFS($G$17:$G$219,"入池",$AD$17:$AD$219,"&gt;=-1E+307",$AD$17:$AD$219,"&lt;"&amp;AD143)+COUNTIFS($G$17:$G$219,"入池",$AD$17:$AD$219,AD143,$AD$17:$AD$219,"&gt;=-1E+307",$AD$17:$AD$219,"&lt;=1E+307")/2-0.5)/(COUNTIFS($G$17:$G$219,"入池",$AD$17:$AD$219,"&gt;=-1E+307",$AD$17:$AD$219,"&lt;=1E+307")-1),2)))</x:f>
        <x:v>42.79</x:v>
      </x:c>
      <x:c r="AH143" s="17" t="n">
        <x:f>IF(OR($G143&lt;&gt;"入池",NOT(ISNUMBER(AF143))),"",IF(COUNTIFS($G$17:$G$219,"入池",$AF$17:$AF$219,"&gt;=-1E+307",$AF$17:$AF$219,"&lt;=1E+307")&lt;=1,100,ROUND(100*(COUNTIFS($G$17:$G$219,"入池",$AF$17:$AF$219,"&gt;=-1E+307",$AF$17:$AF$219,"&lt;"&amp;AF143)+COUNTIFS($G$17:$G$219,"入池",$AF$17:$AF$219,AF143,$AF$17:$AF$219,"&gt;=-1E+307",$AF$17:$AF$219,"&lt;=1E+307")/2-0.5)/(COUNTIFS($G$17:$G$219,"入池",$AF$17:$AF$219,"&gt;=-1E+307",$AF$17:$AF$219,"&lt;=1E+307")-1),2)))</x:f>
        <x:v>35.77</x:v>
      </x:c>
      <x:c r="AI143" s="17" t="n">
        <x:f>IF(NOT(ISNUMBER(AG143)),"",IF(NOT(ISNUMBER(AH143)),AG143,ROUND(AG143*'sheet1-指标体系'!$J$8+AH143*'sheet1-指标体系'!$J$9,2)))</x:f>
        <x:v>39.98</x:v>
      </x:c>
      <x:c r="AJ143" s="37" t="n">
        <x:f>IF(NOT(ISNUMBER(F143)),"",IF(F143&gt;=3,IF(NOT(ISNUMBER(N143)),"",N143),IF(NOT(ISNUMBER(O143)),"",O143)))</x:f>
        <x:v>0.0373</x:v>
      </x:c>
      <x:c r="AK143" s="17" t="n">
        <x:f>IF(OR(G143&lt;&gt;"入池",NOT(ISNUMBER(M143)),NOT(ISNUMBER(AJ143))),"",IF(M143&gt;=AJ143,100,IF(AJ143-M143&lt;'sheet1-指标体系'!$J$10,80,60)))</x:f>
        <x:v>100</x:v>
      </x:c>
      <x:c r="AL143" s="17" t="n">
        <x:f>IF(COUNT(I143,K143,L143)=0,"",ROUND((IF(ISNUMBER(I143),I143*40%,0)+IF(ISNUMBER(K143),K143*30%,0)+IF(ISNUMBER(L143),L143*30%,0))/(IF(ISNUMBER(I143),40%,0)+IF(ISNUMBER(K143),30%,0)+IF(ISNUMBER(L143),30%,0)),2))</x:f>
        <x:v>96</x:v>
      </x:c>
      <x:c r="AM143" s="17" t="n">
        <x:f>IF(COUNT(Q143,R143,W143,X143)=0,"",ROUND((IF(ISNUMBER(Q143),Q143*42%,0)+IF(ISNUMBER(R143),R143*28%,0)+IF(ISNUMBER(W143),W143*18%,0)+IF(ISNUMBER(X143),X143*12%,0))/(IF(ISNUMBER(Q143),42%,0)+IF(ISNUMBER(R143),28%,0)+IF(ISNUMBER(W143),18%,0)+IF(ISNUMBER(X143),12%,0)),2))</x:f>
        <x:v>41.15</x:v>
      </x:c>
      <x:c r="AN143" s="17" t="n">
        <x:f>IF(ISNUMBER(AC143),AC143,"")</x:f>
        <x:v>50.5</x:v>
      </x:c>
      <x:c r="AO143" s="17" t="n">
        <x:f>IF(COUNT(AG143,AH143)=0,"",ROUND((IF(ISNUMBER(AG143),AG143*60%,0)+IF(ISNUMBER(AH143),AH143*40%,0))/(IF(ISNUMBER(AG143),60%,0)+IF(ISNUMBER(AH143),40%,0)),2))</x:f>
        <x:v>39.98</x:v>
      </x:c>
      <x:c r="AP143" s="17" t="n">
        <x:f>IF(ISNUMBER(AK143),AK143,"")</x:f>
        <x:v>100</x:v>
      </x:c>
      <x:c r="AQ143" s="39" t="n">
        <x:f>IF(G143&lt;&gt;"入池",0,IF(ISNUMBER(I143),6%,0)+IF(ISNUMBER(K143),4.5%,0)+IF(ISNUMBER(L143),4.5%,0)+IF(ISNUMBER(Q143),8.4%,0)+IF(ISNUMBER(R143),5.6%,0)+IF(ISNUMBER(W143),3.6%,0)+IF(ISNUMBER(X143),2.4%,0)+IF(ISNUMBER(AC143),25%,0)+IF(ISNUMBER(AG143),18%,0)+IF(ISNUMBER(AH143),12%,0)+IF(ISNUMBER(AK143),10%,0))</x:f>
        <x:v>1</x:v>
      </x:c>
      <x:c r="AR143" s="17" t="n">
        <x:f>IF(AQ143=0,"",IF(ISNUMBER(I143),I143*6%,0)+IF(ISNUMBER(K143),K143*4.5%,0)+IF(ISNUMBER(L143),L143*4.5%,0)+IF(ISNUMBER(Q143),Q143*8.4%,0)+IF(ISNUMBER(R143),R143*5.6%,0)+IF(ISNUMBER(W143),W143*3.6%,0)+IF(ISNUMBER(X143),X143*2.4%,0)+IF(ISNUMBER(AC143),AC143*25%,0)+IF(ISNUMBER(AG143),AG143*18%,0)+IF(ISNUMBER(AH143),AH143*12%,0)+IF(ISNUMBER(AK143),AK143*10%,0))</x:f>
        <x:v>57.250159999999994</x:v>
      </x:c>
      <x:c r="AS143" s="17" t="n">
        <x:f>IF(AQ143=0,"",ROUND(AR143/AQ143,2))</x:f>
        <x:v>57.25</x:v>
      </x:c>
      <x:c r="AT143" s="40" t="n">
        <x:f>IF(OR(G143&lt;&gt;"入池",NOT(ISNUMBER(AS143))),"",COUNTIFS($G$17:$G$219,"入池",$AS$17:$AS$219,"&gt;"&amp;AS143)+COUNTIFS($G$17:$G$219,"入池",$AS$17:$AS$219,AS143,$AQ$17:$AQ$219,"&gt;"&amp;AQ143)+COUNTIFS($G$17:G143,"入池",$AS$17:AS143,AS143,$AQ$17:AQ143,AQ143))</x:f>
        <x:v>120</x:v>
      </x:c>
      <x:c r="AU143" s="41" t="str">
        <x:f t="shared" si="4">IF(NOT(ISNUMBER(I143)),"管理人规模；","")&amp;IF(J143="","产品规模标识；","")&amp;IF(AND(F143&lt;3,NOT(ISNUMBER(O143))),"R_incep；","")&amp;IF(NOT(ISNUMBER(N143)),"近三年收益；","")&amp;IF(NOT(ISNUMBER(U143)),"近三年胜率；","")&amp;IF(AND(ISNUMBER(V143),OR(V143&lt;0,V143&gt;1)),"胜率窗口口径不一致；","")&amp;IF(NOT(ISNUMBER(AA143)),"近三年回撤；","")&amp;IF(NOT(ISNUMBER(AD143)),"短期卡玛；","")&amp;IF(AND(ISNUMBER(P143),NOT(ISNUMBER(AE143))),"DD_long不可识别；","")</x:f>
      </x:c>
      <x:c r="AV143" s="42" t="n">
        <x:v>20</x:v>
      </x:c>
      <x:c r="AW143" s="19" t="str">
        <x:v>海南盛冠达私募基金管理有限公司</x:v>
      </x:c>
      <x:c r="AX143" s="19" t="str">
        <x:v>2026-01-05</x:v>
      </x:c>
      <x:c r="AY143" s="19" t="str">
        <x:v>https://gs.amac.org.cn/amac-infodisc/res/pof/manager/101000001663.html</x:v>
      </x:c>
      <x:c r="AZ143" s="19" t="str">
        <x:v>盛冠达量化套利6号私募证券投资基金</x:v>
      </x:c>
      <x:c r="BA143" s="19" t="str">
        <x:v>2024-08-07</x:v>
      </x:c>
      <x:c r="BB143" s="19"/>
      <x:c r="BC143" s="19" t="str">
        <x:v>https://gs.amac.org.cn/amac-infodisc/res/pof/fund/2006011729107407.html</x:v>
      </x:c>
      <x:c r="BD143" s="19" t="str">
        <x:v>已匹配</x:v>
      </x:c>
      <x:c r="BE143"/>
      <x:c r="BF143"/>
    </x:row>
    <x:row r="144" ht="28" customHeight="1">
      <x:c r="A144" s="4" t="n">
        <x:v>128</x:v>
      </x:c>
      <x:c r="B144" s="15" t="str">
        <x:f>'sheet4-原始数据'!A129</x:f>
        <x:v>盛泉恒元量化套利27号</x:v>
      </x:c>
      <x:c r="C144" s="15" t="str">
        <x:f>'sheet4-原始数据'!B129</x:f>
        <x:v>SJY718</x:v>
      </x:c>
      <x:c r="D144" s="15" t="str">
        <x:f>'sheet4-原始数据'!E129</x:f>
        <x:v>南京盛泉恒元投资</x:v>
      </x:c>
      <x:c r="E144" s="32" t="n">
        <x:f>IF(ISNUMBER('sheet4-原始数据'!F129),'sheet4-原始数据'!F129,"")</x:f>
        <x:v>43998</x:v>
      </x:c>
      <x:c r="F144" s="17" t="n">
        <x:f>IF(NOT(ISNUMBER(E144)),"",ROUND(('sheet1-指标体系'!$J$23-E144)/365.25,4))</x:f>
        <x:v>6.2505</x:v>
      </x:c>
      <x:c r="G144" s="4" t="str">
        <x:f t="shared" si="3">IF(NOT(ISNUMBER(F144)),"",IF(F144&lt;1,"不入池","入池"))</x:f>
        <x:v>入池</x:v>
      </x:c>
      <x:c r="H144" s="33" t="str">
        <x:v>100亿元以上</x:v>
      </x:c>
      <x:c r="I144" s="17" t="n">
        <x:f>IF(H144="","",IF(ISNUMBER(SEARCH("100亿元以上",H144)),100,IF(OR(ISNUMBER(SEARCH("20-50",H144)),ISNUMBER(SEARCH("50-100",H144)),ISNUMBER(SEARCH("20-100",H144))),90,IF(ISNUMBER(SEARCH("10-20",H144)),80,IF(ISNUMBER(SEARCH("5-10",H144)),70,IF(ISNUMBER(SEARCH("0-5",H144)),60,""))))))</x:f>
        <x:v>100</x:v>
      </x:c>
      <x:c r="J144" s="34" t="str">
        <x:v>无低于1000万元标识</x:v>
      </x:c>
      <x:c r="K144" s="17" t="n">
        <x:f>IF(J144="","",IF(J144="低于1000万元",0,100))</x:f>
        <x:v>100</x:v>
      </x:c>
      <x:c r="L144" s="17" t="n">
        <x:f>IF(NOT(ISNUMBER(F144)),"",IF(F144&lt;1,"",IF(F144&lt;3,70,100)))</x:f>
        <x:v>100</x:v>
      </x:c>
      <x:c r="M144" s="35" t="n">
        <x:f>IF(ISNUMBER('sheet4-原始数据'!G129),'sheet4-原始数据'!G129,"")</x:f>
        <x:v>0.0902</x:v>
      </x:c>
      <x:c r="N144" s="35" t="n">
        <x:f>IF(ISNUMBER('sheet4-原始数据'!H129),'sheet4-原始数据'!H129,"")</x:f>
        <x:v>0.0664</x:v>
      </x:c>
      <x:c r="O144" s="36" t="str">
        <x:f>IF(ISNUMBER('sheet4-原始数据'!Q129),'sheet4-原始数据'!Q129,"")</x:f>
      </x:c>
      <x:c r="P144" s="37" t="n">
        <x:f>IF($G144&lt;&gt;"入池","",IF($F144&gt;=3,IF(OR(NOT(ISNUMBER($M144)),NOT(ISNUMBER($N144)),1+$M144&lt;=0,1+$N144&lt;0),"",((1+$N144)^3/(1+$M144))^(1/2)-1),IF(OR($F144&lt;=1,NOT(ISNUMBER($M144)),NOT(ISNUMBER($O144)),1+$M144&lt;=0,1+$O144&lt;0),"",((1+$O144)^$F144/(1+$M144))^(1/($F144-1))-1)))</x:f>
        <x:v>0.05469555518619562</x:v>
      </x:c>
      <x:c r="Q144" s="17" t="n">
        <x:f>IF(OR($G144&lt;&gt;"入池",NOT(ISNUMBER(M144))),"",IF(COUNTIFS($G$17:$G$219,"入池",$M$17:$M$219,"&gt;=-1E+307",$M$17:$M$219,"&lt;=1E+307")&lt;=1,100,ROUND(100*(COUNTIFS($G$17:$G$219,"入池",$M$17:$M$219,"&gt;=-1E+307",$M$17:$M$219,"&lt;"&amp;M144)+COUNTIFS($G$17:$G$219,"入池",$M$17:$M$219,M144,$M$17:$M$219,"&gt;=-1E+307",$M$17:$M$219,"&lt;=1E+307")/2-0.5)/(COUNTIFS($G$17:$G$219,"入池",$M$17:$M$219,"&gt;=-1E+307",$M$17:$M$219,"&lt;=1E+307")-1),2)))</x:f>
        <x:v>76.24</x:v>
      </x:c>
      <x:c r="R144" s="17" t="n">
        <x:f>IF(OR($G144&lt;&gt;"入池",NOT(ISNUMBER(P144))),"",IF(COUNTIFS($G$17:$G$219,"入池",$P$17:$P$219,"&gt;=-1E+307",$P$17:$P$219,"&lt;=1E+307")&lt;=1,100,ROUND(100*(COUNTIFS($G$17:$G$219,"入池",$P$17:$P$219,"&gt;=-1E+307",$P$17:$P$219,"&lt;"&amp;P144)+COUNTIFS($G$17:$G$219,"入池",$P$17:$P$219,P144,$P$17:$P$219,"&gt;=-1E+307",$P$17:$P$219,"&lt;=1E+307")/2-0.5)/(COUNTIFS($G$17:$G$219,"入池",$P$17:$P$219,"&gt;=-1E+307",$P$17:$P$219,"&lt;=1E+307")-1),2)))</x:f>
        <x:v>41.09</x:v>
      </x:c>
      <x:c r="S144" s="17" t="n">
        <x:f>IF(NOT(ISNUMBER(Q144)),"",IF(NOT(ISNUMBER(R144)),Q144,ROUND(Q144*'sheet1-指标体系'!$J$8+R144*'sheet1-指标体系'!$J$9,2)))</x:f>
        <x:v>62.18</x:v>
      </x:c>
      <x:c r="T144" s="35" t="n">
        <x:f>IF(ISNUMBER('sheet4-原始数据'!J129),'sheet4-原始数据'!J129,"")</x:f>
        <x:v>0.7692</x:v>
      </x:c>
      <x:c r="U144" s="35" t="n">
        <x:f>IF(ISNUMBER('sheet4-原始数据'!I129),'sheet4-原始数据'!I129,"")</x:f>
        <x:v>0.7027</x:v>
      </x:c>
      <x:c r="V144" s="37" t="n">
        <x:f>IF(OR(NOT(ISNUMBER(T144)),NOT(ISNUMBER(U144))),"",(U144*'sheet1-指标体系'!$J$6-T144*'sheet1-指标体系'!$J$5)/'sheet1-指标体系'!$J$7)</x:f>
        <x:v>0.6666791666666668</x:v>
      </x:c>
      <x:c r="W144" s="17" t="n">
        <x:f>IF(NOT(ISNUMBER(T144)),"",T144*100)</x:f>
        <x:v>76.92</x:v>
      </x:c>
      <x:c r="X144" s="17" t="n">
        <x:f>IF($G144&lt;&gt;"入池","",IF(AND(ISNUMBER(V144),V144&gt;=0,V144&lt;=1),V144*100,IF(MAX(0,($F144-1)*12)&lt;6,100,"")))</x:f>
        <x:v>66.66791666666668</x:v>
      </x:c>
      <x:c r="Y144" s="17" t="n">
        <x:f>IF(NOT(ISNUMBER(W144)),"",IF(NOT(ISNUMBER(X144)),W144,ROUND(W144*'sheet1-指标体系'!$J$8+X144*'sheet1-指标体系'!$J$9,2)))</x:f>
        <x:v>72.82</x:v>
      </x:c>
      <x:c r="Z144" s="37" t="n">
        <x:f>IF(OR(NOT(ISNUMBER(M144)),NOT(ISNUMBER(AD144)),AD144=0),"",ABS(M144/AD144))</x:f>
        <x:v>0.05583065115127507</x:v>
      </x:c>
      <x:c r="AA144" s="35" t="n">
        <x:f>IF(ISNUMBER('sheet4-原始数据'!K129),'sheet4-原始数据'!K129,"")</x:f>
        <x:v>0.0605</x:v>
      </x:c>
      <x:c r="AB144" s="37" t="n">
        <x:f>IF(COUNT(Z144:AA144)=0,"",MAX(Z144:AA144))</x:f>
        <x:v>0.0605</x:v>
      </x:c>
      <x:c r="AC144" s="17" t="n">
        <x:f>IF(OR($G144&lt;&gt;"入池",NOT(ISNUMBER(AB144))),"",IF(COUNTIFS($G$17:$G$219,"入池",$AB$17:$AB$219,"&gt;=-1E+307",$AB$17:$AB$219,"&lt;=1E+307")&lt;=1,100,ROUND(100*(COUNTIFS($G$17:$G$219,"入池",$AB$17:$AB$219,"&lt;=1E+307",$AB$17:$AB$219,"&gt;"&amp;AB144)+COUNTIFS($G$17:$G$219,"入池",$AB$17:$AB$219,AB144,$AB$17:$AB$219,"&gt;=-1E+307",$AB$17:$AB$219,"&lt;=1E+307")/2-0.5)/(COUNTIFS($G$17:$G$219,"入池",$AB$17:$AB$219,"&gt;=-1E+307",$AB$17:$AB$219,"&lt;=1E+307")-1),2)))</x:f>
        <x:v>40.1</x:v>
      </x:c>
      <x:c r="AD144" s="38" t="n">
        <x:f>IF(ISNUMBER('sheet4-原始数据'!M129),'sheet4-原始数据'!M129,"")</x:f>
        <x:v>1.6156</x:v>
      </x:c>
      <x:c r="AE144" s="37" t="n">
        <x:f>IF(OR(NOT(ISNUMBER(P144)),NOT(ISNUMBER(AA144)),NOT(ISNUMBER(Z144))),"",IF(AA144&gt;Z144+'sheet1-指标体系'!$J$11,AA144,""))</x:f>
        <x:v>0.0605</x:v>
      </x:c>
      <x:c r="AF144" s="17" t="n">
        <x:f>IF(OR(NOT(ISNUMBER(P144)),NOT(ISNUMBER(AE144)),AE144=0),"",P144/AE144)</x:f>
        <x:v>0.9040587634081921</x:v>
      </x:c>
      <x:c r="AG144" s="17" t="n">
        <x:f>IF(OR($G144&lt;&gt;"入池",NOT(ISNUMBER(AD144))),"",IF(COUNTIFS($G$17:$G$219,"入池",$AD$17:$AD$219,"&gt;=-1E+307",$AD$17:$AD$219,"&lt;=1E+307")&lt;=1,100,ROUND(100*(COUNTIFS($G$17:$G$219,"入池",$AD$17:$AD$219,"&gt;=-1E+307",$AD$17:$AD$219,"&lt;"&amp;AD144)+COUNTIFS($G$17:$G$219,"入池",$AD$17:$AD$219,AD144,$AD$17:$AD$219,"&gt;=-1E+307",$AD$17:$AD$219,"&lt;=1E+307")/2-0.5)/(COUNTIFS($G$17:$G$219,"入池",$AD$17:$AD$219,"&gt;=-1E+307",$AD$17:$AD$219,"&lt;=1E+307")-1),2)))</x:f>
        <x:v>39.3</x:v>
      </x:c>
      <x:c r="AH144" s="17" t="n">
        <x:f>IF(OR($G144&lt;&gt;"入池",NOT(ISNUMBER(AF144))),"",IF(COUNTIFS($G$17:$G$219,"入池",$AF$17:$AF$219,"&gt;=-1E+307",$AF$17:$AF$219,"&lt;=1E+307")&lt;=1,100,ROUND(100*(COUNTIFS($G$17:$G$219,"入池",$AF$17:$AF$219,"&gt;=-1E+307",$AF$17:$AF$219,"&lt;"&amp;AF144)+COUNTIFS($G$17:$G$219,"入池",$AF$17:$AF$219,AF144,$AF$17:$AF$219,"&gt;=-1E+307",$AF$17:$AF$219,"&lt;=1E+307")/2-0.5)/(COUNTIFS($G$17:$G$219,"入池",$AF$17:$AF$219,"&gt;=-1E+307",$AF$17:$AF$219,"&lt;=1E+307")-1),2)))</x:f>
        <x:v>38.69</x:v>
      </x:c>
      <x:c r="AI144" s="17" t="n">
        <x:f>IF(NOT(ISNUMBER(AG144)),"",IF(NOT(ISNUMBER(AH144)),AG144,ROUND(AG144*'sheet1-指标体系'!$J$8+AH144*'sheet1-指标体系'!$J$9,2)))</x:f>
        <x:v>39.06</x:v>
      </x:c>
      <x:c r="AJ144" s="37" t="n">
        <x:f>IF(NOT(ISNUMBER(F144)),"",IF(F144&gt;=3,IF(NOT(ISNUMBER(N144)),"",N144),IF(NOT(ISNUMBER(O144)),"",O144)))</x:f>
        <x:v>0.0664</x:v>
      </x:c>
      <x:c r="AK144" s="17" t="n">
        <x:f>IF(OR(G144&lt;&gt;"入池",NOT(ISNUMBER(M144)),NOT(ISNUMBER(AJ144))),"",IF(M144&gt;=AJ144,100,IF(AJ144-M144&lt;'sheet1-指标体系'!$J$10,80,60)))</x:f>
        <x:v>100</x:v>
      </x:c>
      <x:c r="AL144" s="17" t="n">
        <x:f>IF(COUNT(I144,K144,L144)=0,"",ROUND((IF(ISNUMBER(I144),I144*40%,0)+IF(ISNUMBER(K144),K144*30%,0)+IF(ISNUMBER(L144),L144*30%,0))/(IF(ISNUMBER(I144),40%,0)+IF(ISNUMBER(K144),30%,0)+IF(ISNUMBER(L144),30%,0)),2))</x:f>
        <x:v>100</x:v>
      </x:c>
      <x:c r="AM144" s="17" t="n">
        <x:f>IF(COUNT(Q144,R144,W144,X144)=0,"",ROUND((IF(ISNUMBER(Q144),Q144*42%,0)+IF(ISNUMBER(R144),R144*28%,0)+IF(ISNUMBER(W144),W144*18%,0)+IF(ISNUMBER(X144),X144*12%,0))/(IF(ISNUMBER(Q144),42%,0)+IF(ISNUMBER(R144),28%,0)+IF(ISNUMBER(W144),18%,0)+IF(ISNUMBER(X144),12%,0)),2))</x:f>
        <x:v>65.37</x:v>
      </x:c>
      <x:c r="AN144" s="17" t="n">
        <x:f>IF(ISNUMBER(AC144),AC144,"")</x:f>
        <x:v>40.1</x:v>
      </x:c>
      <x:c r="AO144" s="17" t="n">
        <x:f>IF(COUNT(AG144,AH144)=0,"",ROUND((IF(ISNUMBER(AG144),AG144*60%,0)+IF(ISNUMBER(AH144),AH144*40%,0))/(IF(ISNUMBER(AG144),60%,0)+IF(ISNUMBER(AH144),40%,0)),2))</x:f>
        <x:v>39.06</x:v>
      </x:c>
      <x:c r="AP144" s="17" t="n">
        <x:f>IF(ISNUMBER(AK144),AK144,"")</x:f>
        <x:v>100</x:v>
      </x:c>
      <x:c r="AQ144" s="39" t="n">
        <x:f>IF(G144&lt;&gt;"入池",0,IF(ISNUMBER(I144),6%,0)+IF(ISNUMBER(K144),4.5%,0)+IF(ISNUMBER(L144),4.5%,0)+IF(ISNUMBER(Q144),8.4%,0)+IF(ISNUMBER(R144),5.6%,0)+IF(ISNUMBER(W144),3.6%,0)+IF(ISNUMBER(X144),2.4%,0)+IF(ISNUMBER(AC144),25%,0)+IF(ISNUMBER(AG144),18%,0)+IF(ISNUMBER(AH144),12%,0)+IF(ISNUMBER(AK144),10%,0))</x:f>
        <x:v>1</x:v>
      </x:c>
      <x:c r="AR144" s="17" t="n">
        <x:f>IF(AQ144=0,"",IF(ISNUMBER(I144),I144*6%,0)+IF(ISNUMBER(K144),K144*4.5%,0)+IF(ISNUMBER(L144),L144*4.5%,0)+IF(ISNUMBER(Q144),Q144*8.4%,0)+IF(ISNUMBER(R144),R144*5.6%,0)+IF(ISNUMBER(W144),W144*3.6%,0)+IF(ISNUMBER(X144),X144*2.4%,0)+IF(ISNUMBER(AC144),AC144*25%,0)+IF(ISNUMBER(AG144),AG144*18%,0)+IF(ISNUMBER(AH144),AH144*12%,0)+IF(ISNUMBER(AK144),AK144*10%,0))</x:f>
        <x:v>59.81615</x:v>
      </x:c>
      <x:c r="AS144" s="17" t="n">
        <x:f>IF(AQ144=0,"",ROUND(AR144/AQ144,2))</x:f>
        <x:v>59.82</x:v>
      </x:c>
      <x:c r="AT144" s="40" t="n">
        <x:f>IF(OR(G144&lt;&gt;"入池",NOT(ISNUMBER(AS144))),"",COUNTIFS($G$17:$G$219,"入池",$AS$17:$AS$219,"&gt;"&amp;AS144)+COUNTIFS($G$17:$G$219,"入池",$AS$17:$AS$219,AS144,$AQ$17:$AQ$219,"&gt;"&amp;AQ144)+COUNTIFS($G$17:G144,"入池",$AS$17:AS144,AS144,$AQ$17:AQ144,AQ144))</x:f>
        <x:v>110</x:v>
      </x:c>
      <x:c r="AU144" s="41" t="str">
        <x:f t="shared" si="4">IF(NOT(ISNUMBER(I144)),"管理人规模；","")&amp;IF(J144="","产品规模标识；","")&amp;IF(AND(F144&lt;3,NOT(ISNUMBER(O144))),"R_incep；","")&amp;IF(NOT(ISNUMBER(N144)),"近三年收益；","")&amp;IF(NOT(ISNUMBER(U144)),"近三年胜率；","")&amp;IF(AND(ISNUMBER(V144),OR(V144&lt;0,V144&gt;1)),"胜率窗口口径不一致；","")&amp;IF(NOT(ISNUMBER(AA144)),"近三年回撤；","")&amp;IF(NOT(ISNUMBER(AD144)),"短期卡玛；","")&amp;IF(AND(ISNUMBER(P144),NOT(ISNUMBER(AE144))),"DD_long不可识别；","")</x:f>
      </x:c>
      <x:c r="AV144" s="42" t="n">
        <x:v>100</x:v>
      </x:c>
      <x:c r="AW144" s="19" t="str">
        <x:v>南京盛泉恒元投资有限公司</x:v>
      </x:c>
      <x:c r="AX144" s="19" t="str">
        <x:v>2026-02-24</x:v>
      </x:c>
      <x:c r="AY144" s="19" t="str">
        <x:v>https://gs.amac.org.cn/amac-infodisc/res/pof/manager/101000008304.html</x:v>
      </x:c>
      <x:c r="AZ144" s="19" t="str">
        <x:v>盛泉恒元量化套利27号私募证券投资基金</x:v>
      </x:c>
      <x:c r="BA144" s="19" t="str">
        <x:v>2025-07-08</x:v>
      </x:c>
      <x:c r="BB144" s="19"/>
      <x:c r="BC144" s="19" t="str">
        <x:v>https://gs.amac.org.cn/amac-infodisc/res/pof/fund/2006151927109230.html</x:v>
      </x:c>
      <x:c r="BD144" s="19" t="str">
        <x:v>已匹配</x:v>
      </x:c>
      <x:c r="BE144"/>
      <x:c r="BF144"/>
    </x:row>
    <x:row r="145" ht="28" customHeight="1">
      <x:c r="A145" s="4" t="n">
        <x:v>129</x:v>
      </x:c>
      <x:c r="B145" s="15" t="str">
        <x:f>'sheet4-原始数据'!A130</x:f>
        <x:v>杉阳云杉转债1号</x:v>
      </x:c>
      <x:c r="C145" s="15" t="str">
        <x:f>'sheet4-原始数据'!B130</x:f>
        <x:v>SLE395</x:v>
      </x:c>
      <x:c r="D145" s="15" t="str">
        <x:f>'sheet4-原始数据'!E130</x:f>
        <x:v>上海杉阳</x:v>
      </x:c>
      <x:c r="E145" s="32" t="n">
        <x:f>IF(ISNUMBER('sheet4-原始数据'!F130),'sheet4-原始数据'!F130,"")</x:f>
        <x:v>43998</x:v>
      </x:c>
      <x:c r="F145" s="17" t="n">
        <x:f>IF(NOT(ISNUMBER(E145)),"",ROUND(('sheet1-指标体系'!$J$23-E145)/365.25,4))</x:f>
        <x:v>6.2505</x:v>
      </x:c>
      <x:c r="G145" s="4" t="str">
        <x:f t="shared" ref="G145:G208" si="6">IF(NOT(ISNUMBER(F145)),"",IF(F145&lt;1,"不入池","入池"))</x:f>
        <x:v>入池</x:v>
      </x:c>
      <x:c r="H145" s="33" t="str">
        <x:v>0-5亿元</x:v>
      </x:c>
      <x:c r="I145" s="17" t="n">
        <x:f>IF(H145="","",IF(ISNUMBER(SEARCH("100亿元以上",H145)),100,IF(OR(ISNUMBER(SEARCH("20-50",H145)),ISNUMBER(SEARCH("50-100",H145)),ISNUMBER(SEARCH("20-100",H145))),90,IF(ISNUMBER(SEARCH("10-20",H145)),80,IF(ISNUMBER(SEARCH("5-10",H145)),70,IF(ISNUMBER(SEARCH("0-5",H145)),60,""))))))</x:f>
        <x:v>60</x:v>
      </x:c>
      <x:c r="J145" s="34" t="str">
        <x:v>无低于1000万元标识</x:v>
      </x:c>
      <x:c r="K145" s="17" t="n">
        <x:f>IF(J145="","",IF(J145="低于1000万元",0,100))</x:f>
        <x:v>100</x:v>
      </x:c>
      <x:c r="L145" s="17" t="n">
        <x:f>IF(NOT(ISNUMBER(F145)),"",IF(F145&lt;1,"",IF(F145&lt;3,70,100)))</x:f>
        <x:v>100</x:v>
      </x:c>
      <x:c r="M145" s="35" t="n">
        <x:f>IF(ISNUMBER('sheet4-原始数据'!G130),'sheet4-原始数据'!G130,"")</x:f>
        <x:v>0.0104</x:v>
      </x:c>
      <x:c r="N145" s="35" t="n">
        <x:f>IF(ISNUMBER('sheet4-原始数据'!H130),'sheet4-原始数据'!H130,"")</x:f>
        <x:v>0.054000000000000006</x:v>
      </x:c>
      <x:c r="O145" s="36" t="str">
        <x:f>IF(ISNUMBER('sheet4-原始数据'!Q130),'sheet4-原始数据'!Q130,"")</x:f>
      </x:c>
      <x:c r="P145" s="37" t="n">
        <x:f>IF($G145&lt;&gt;"入池","",IF($F145&gt;=3,IF(OR(NOT(ISNUMBER($M145)),NOT(ISNUMBER($N145)),1+$M145&lt;=0,1+$N145&lt;0),"",((1+$N145)^3/(1+$M145))^(1/2)-1),IF(OR($F145&lt;=1,NOT(ISNUMBER($M145)),NOT(ISNUMBER($O145)),1+$M145&lt;=0,1+$O145&lt;0),"",((1+$O145)^$F145/(1+$M145))^(1/($F145-1))-1)))</x:f>
        <x:v>0.07650052891623238</x:v>
      </x:c>
      <x:c r="Q145" s="17" t="n">
        <x:f>IF(OR($G145&lt;&gt;"入池",NOT(ISNUMBER(M145))),"",IF(COUNTIFS($G$17:$G$219,"入池",$M$17:$M$219,"&gt;=-1E+307",$M$17:$M$219,"&lt;=1E+307")&lt;=1,100,ROUND(100*(COUNTIFS($G$17:$G$219,"入池",$M$17:$M$219,"&gt;=-1E+307",$M$17:$M$219,"&lt;"&amp;M145)+COUNTIFS($G$17:$G$219,"入池",$M$17:$M$219,M145,$M$17:$M$219,"&gt;=-1E+307",$M$17:$M$219,"&lt;=1E+307")/2-0.5)/(COUNTIFS($G$17:$G$219,"入池",$M$17:$M$219,"&gt;=-1E+307",$M$17:$M$219,"&lt;=1E+307")-1),2)))</x:f>
        <x:v>22.77</x:v>
      </x:c>
      <x:c r="R145" s="17" t="n">
        <x:f>IF(OR($G145&lt;&gt;"入池",NOT(ISNUMBER(P145))),"",IF(COUNTIFS($G$17:$G$219,"入池",$P$17:$P$219,"&gt;=-1E+307",$P$17:$P$219,"&lt;=1E+307")&lt;=1,100,ROUND(100*(COUNTIFS($G$17:$G$219,"入池",$P$17:$P$219,"&gt;=-1E+307",$P$17:$P$219,"&lt;"&amp;P145)+COUNTIFS($G$17:$G$219,"入池",$P$17:$P$219,P145,$P$17:$P$219,"&gt;=-1E+307",$P$17:$P$219,"&lt;=1E+307")/2-0.5)/(COUNTIFS($G$17:$G$219,"入池",$P$17:$P$219,"&gt;=-1E+307",$P$17:$P$219,"&lt;=1E+307")-1),2)))</x:f>
        <x:v>62.38</x:v>
      </x:c>
      <x:c r="S145" s="17" t="n">
        <x:f>IF(NOT(ISNUMBER(Q145)),"",IF(NOT(ISNUMBER(R145)),Q145,ROUND(Q145*'sheet1-指标体系'!$J$8+R145*'sheet1-指标体系'!$J$9,2)))</x:f>
        <x:v>38.61</x:v>
      </x:c>
      <x:c r="T145" s="35" t="n">
        <x:f>IF(ISNUMBER('sheet4-原始数据'!J130),'sheet4-原始数据'!J130,"")</x:f>
        <x:v>0.5385</x:v>
      </x:c>
      <x:c r="U145" s="35" t="n">
        <x:f>IF(ISNUMBER('sheet4-原始数据'!I130),'sheet4-原始数据'!I130,"")</x:f>
        <x:v>0.6757</x:v>
      </x:c>
      <x:c r="V145" s="37" t="n">
        <x:f>IF(OR(NOT(ISNUMBER(T145)),NOT(ISNUMBER(U145))),"",(U145*'sheet1-指标体系'!$J$6-T145*'sheet1-指标体系'!$J$5)/'sheet1-指标体系'!$J$7)</x:f>
        <x:v>0.7500166666666667</x:v>
      </x:c>
      <x:c r="W145" s="17" t="n">
        <x:f>IF(NOT(ISNUMBER(T145)),"",T145*100)</x:f>
        <x:v>53.849999999999994</x:v>
      </x:c>
      <x:c r="X145" s="17" t="n">
        <x:f>IF($G145&lt;&gt;"入池","",IF(AND(ISNUMBER(V145),V145&gt;=0,V145&lt;=1),V145*100,IF(MAX(0,($F145-1)*12)&lt;6,100,"")))</x:f>
        <x:v>75.00166666666667</x:v>
      </x:c>
      <x:c r="Y145" s="17" t="n">
        <x:f>IF(NOT(ISNUMBER(W145)),"",IF(NOT(ISNUMBER(X145)),W145,ROUND(W145*'sheet1-指标体系'!$J$8+X145*'sheet1-指标体系'!$J$9,2)))</x:f>
        <x:v>62.31</x:v>
      </x:c>
      <x:c r="Z145" s="37" t="n">
        <x:f>IF(OR(NOT(ISNUMBER(M145)),NOT(ISNUMBER(AD145)),AD145=0),"",ABS(M145/AD145))</x:f>
        <x:v>0.030489592494869537</x:v>
      </x:c>
      <x:c r="AA145" s="35" t="n">
        <x:f>IF(ISNUMBER('sheet4-原始数据'!K130),'sheet4-原始数据'!K130,"")</x:f>
        <x:v>0.0526</x:v>
      </x:c>
      <x:c r="AB145" s="37" t="n">
        <x:f>IF(COUNT(Z145:AA145)=0,"",MAX(Z145:AA145))</x:f>
        <x:v>0.0526</x:v>
      </x:c>
      <x:c r="AC145" s="17" t="n">
        <x:f>IF(OR($G145&lt;&gt;"入池",NOT(ISNUMBER(AB145))),"",IF(COUNTIFS($G$17:$G$219,"入池",$AB$17:$AB$219,"&gt;=-1E+307",$AB$17:$AB$219,"&lt;=1E+307")&lt;=1,100,ROUND(100*(COUNTIFS($G$17:$G$219,"入池",$AB$17:$AB$219,"&lt;=1E+307",$AB$17:$AB$219,"&gt;"&amp;AB145)+COUNTIFS($G$17:$G$219,"入池",$AB$17:$AB$219,AB145,$AB$17:$AB$219,"&gt;=-1E+307",$AB$17:$AB$219,"&lt;=1E+307")/2-0.5)/(COUNTIFS($G$17:$G$219,"入池",$AB$17:$AB$219,"&gt;=-1E+307",$AB$17:$AB$219,"&lt;=1E+307")-1),2)))</x:f>
        <x:v>44.55</x:v>
      </x:c>
      <x:c r="AD145" s="38" t="n">
        <x:f>IF(ISNUMBER('sheet4-原始数据'!M130),'sheet4-原始数据'!M130,"")</x:f>
        <x:v>0.3411</x:v>
      </x:c>
      <x:c r="AE145" s="37" t="n">
        <x:f>IF(OR(NOT(ISNUMBER(P145)),NOT(ISNUMBER(AA145)),NOT(ISNUMBER(Z145))),"",IF(AA145&gt;Z145+'sheet1-指标体系'!$J$11,AA145,""))</x:f>
        <x:v>0.0526</x:v>
      </x:c>
      <x:c r="AF145" s="17" t="n">
        <x:f>IF(OR(NOT(ISNUMBER(P145)),NOT(ISNUMBER(AE145)),AE145=0),"",P145/AE145)</x:f>
        <x:v>1.4543826790158247</x:v>
      </x:c>
      <x:c r="AG145" s="17" t="n">
        <x:f>IF(OR($G145&lt;&gt;"入池",NOT(ISNUMBER(AD145))),"",IF(COUNTIFS($G$17:$G$219,"入池",$AD$17:$AD$219,"&gt;=-1E+307",$AD$17:$AD$219,"&lt;=1E+307")&lt;=1,100,ROUND(100*(COUNTIFS($G$17:$G$219,"入池",$AD$17:$AD$219,"&gt;=-1E+307",$AD$17:$AD$219,"&lt;"&amp;AD145)+COUNTIFS($G$17:$G$219,"入池",$AD$17:$AD$219,AD145,$AD$17:$AD$219,"&gt;=-1E+307",$AD$17:$AD$219,"&lt;=1E+307")/2-0.5)/(COUNTIFS($G$17:$G$219,"入池",$AD$17:$AD$219,"&gt;=-1E+307",$AD$17:$AD$219,"&lt;=1E+307")-1),2)))</x:f>
        <x:v>24.88</x:v>
      </x:c>
      <x:c r="AH145" s="17" t="n">
        <x:f>IF(OR($G145&lt;&gt;"入池",NOT(ISNUMBER(AF145))),"",IF(COUNTIFS($G$17:$G$219,"入池",$AF$17:$AF$219,"&gt;=-1E+307",$AF$17:$AF$219,"&lt;=1E+307")&lt;=1,100,ROUND(100*(COUNTIFS($G$17:$G$219,"入池",$AF$17:$AF$219,"&gt;=-1E+307",$AF$17:$AF$219,"&lt;"&amp;AF145)+COUNTIFS($G$17:$G$219,"入池",$AF$17:$AF$219,AF145,$AF$17:$AF$219,"&gt;=-1E+307",$AF$17:$AF$219,"&lt;=1E+307")/2-0.5)/(COUNTIFS($G$17:$G$219,"入池",$AF$17:$AF$219,"&gt;=-1E+307",$AF$17:$AF$219,"&lt;=1E+307")-1),2)))</x:f>
        <x:v>54.01</x:v>
      </x:c>
      <x:c r="AI145" s="17" t="n">
        <x:f>IF(NOT(ISNUMBER(AG145)),"",IF(NOT(ISNUMBER(AH145)),AG145,ROUND(AG145*'sheet1-指标体系'!$J$8+AH145*'sheet1-指标体系'!$J$9,2)))</x:f>
        <x:v>36.53</x:v>
      </x:c>
      <x:c r="AJ145" s="37" t="n">
        <x:f>IF(NOT(ISNUMBER(F145)),"",IF(F145&gt;=3,IF(NOT(ISNUMBER(N145)),"",N145),IF(NOT(ISNUMBER(O145)),"",O145)))</x:f>
        <x:v>0.054000000000000006</x:v>
      </x:c>
      <x:c r="AK145" s="17" t="n">
        <x:f>IF(OR(G145&lt;&gt;"入池",NOT(ISNUMBER(M145)),NOT(ISNUMBER(AJ145))),"",IF(M145&gt;=AJ145,100,IF(AJ145-M145&lt;'sheet1-指标体系'!$J$10,80,60)))</x:f>
        <x:v>80</x:v>
      </x:c>
      <x:c r="AL145" s="17" t="n">
        <x:f>IF(COUNT(I145,K145,L145)=0,"",ROUND((IF(ISNUMBER(I145),I145*40%,0)+IF(ISNUMBER(K145),K145*30%,0)+IF(ISNUMBER(L145),L145*30%,0))/(IF(ISNUMBER(I145),40%,0)+IF(ISNUMBER(K145),30%,0)+IF(ISNUMBER(L145),30%,0)),2))</x:f>
        <x:v>84</x:v>
      </x:c>
      <x:c r="AM145" s="17" t="n">
        <x:f>IF(COUNT(Q145,R145,W145,X145)=0,"",ROUND((IF(ISNUMBER(Q145),Q145*42%,0)+IF(ISNUMBER(R145),R145*28%,0)+IF(ISNUMBER(W145),W145*18%,0)+IF(ISNUMBER(X145),X145*12%,0))/(IF(ISNUMBER(Q145),42%,0)+IF(ISNUMBER(R145),28%,0)+IF(ISNUMBER(W145),18%,0)+IF(ISNUMBER(X145),12%,0)),2))</x:f>
        <x:v>45.72</x:v>
      </x:c>
      <x:c r="AN145" s="17" t="n">
        <x:f>IF(ISNUMBER(AC145),AC145,"")</x:f>
        <x:v>44.55</x:v>
      </x:c>
      <x:c r="AO145" s="17" t="n">
        <x:f>IF(COUNT(AG145,AH145)=0,"",ROUND((IF(ISNUMBER(AG145),AG145*60%,0)+IF(ISNUMBER(AH145),AH145*40%,0))/(IF(ISNUMBER(AG145),60%,0)+IF(ISNUMBER(AH145),40%,0)),2))</x:f>
        <x:v>36.53</x:v>
      </x:c>
      <x:c r="AP145" s="17" t="n">
        <x:f>IF(ISNUMBER(AK145),AK145,"")</x:f>
        <x:v>80</x:v>
      </x:c>
      <x:c r="AQ145" s="39" t="n">
        <x:f>IF(G145&lt;&gt;"入池",0,IF(ISNUMBER(I145),6%,0)+IF(ISNUMBER(K145),4.5%,0)+IF(ISNUMBER(L145),4.5%,0)+IF(ISNUMBER(Q145),8.4%,0)+IF(ISNUMBER(R145),5.6%,0)+IF(ISNUMBER(W145),3.6%,0)+IF(ISNUMBER(X145),2.4%,0)+IF(ISNUMBER(AC145),25%,0)+IF(ISNUMBER(AG145),18%,0)+IF(ISNUMBER(AH145),12%,0)+IF(ISNUMBER(AK145),10%,0))</x:f>
        <x:v>1</x:v>
      </x:c>
      <x:c r="AR145" s="17" t="n">
        <x:f>IF(AQ145=0,"",IF(ISNUMBER(I145),I145*6%,0)+IF(ISNUMBER(K145),K145*4.5%,0)+IF(ISNUMBER(L145),L145*4.5%,0)+IF(ISNUMBER(Q145),Q145*8.4%,0)+IF(ISNUMBER(R145),R145*5.6%,0)+IF(ISNUMBER(W145),W145*3.6%,0)+IF(ISNUMBER(X145),X145*2.4%,0)+IF(ISNUMBER(AC145),AC145*25%,0)+IF(ISNUMBER(AG145),AG145*18%,0)+IF(ISNUMBER(AH145),AH145*12%,0)+IF(ISNUMBER(AK145),AK145*10%,0))</x:f>
        <x:v>51.841699999999996</x:v>
      </x:c>
      <x:c r="AS145" s="17" t="n">
        <x:f>IF(AQ145=0,"",ROUND(AR145/AQ145,2))</x:f>
        <x:v>51.84</x:v>
      </x:c>
      <x:c r="AT145" s="40" t="n">
        <x:f>IF(OR(G145&lt;&gt;"入池",NOT(ISNUMBER(AS145))),"",COUNTIFS($G$17:$G$219,"入池",$AS$17:$AS$219,"&gt;"&amp;AS145)+COUNTIFS($G$17:$G$219,"入池",$AS$17:$AS$219,AS145,$AQ$17:$AQ$219,"&gt;"&amp;AQ145)+COUNTIFS($G$17:G145,"入池",$AS$17:AS145,AS145,$AQ$17:AQ145,AQ145))</x:f>
        <x:v>139</x:v>
      </x:c>
      <x:c r="AU145" s="41" t="str">
        <x:f t="shared" ref="AU145:AU208" si="7">IF(NOT(ISNUMBER(I145)),"管理人规模；","")&amp;IF(J145="","产品规模标识；","")&amp;IF(AND(F145&lt;3,NOT(ISNUMBER(O145))),"R_incep；","")&amp;IF(NOT(ISNUMBER(N145)),"近三年收益；","")&amp;IF(NOT(ISNUMBER(U145)),"近三年胜率；","")&amp;IF(AND(ISNUMBER(V145),OR(V145&lt;0,V145&gt;1)),"胜率窗口口径不一致；","")&amp;IF(NOT(ISNUMBER(AA145)),"近三年回撤；","")&amp;IF(NOT(ISNUMBER(AD145)),"短期卡玛；","")&amp;IF(AND(ISNUMBER(P145),NOT(ISNUMBER(AE145))),"DD_long不可识别；","")</x:f>
      </x:c>
      <x:c r="AV145" s="42" t="n">
        <x:v>0</x:v>
      </x:c>
      <x:c r="AW145" s="19" t="str">
        <x:v>上海杉阳私募基金管理有限公司</x:v>
      </x:c>
      <x:c r="AX145" s="19" t="str">
        <x:v>2026-05-06</x:v>
      </x:c>
      <x:c r="AY145" s="19" t="str">
        <x:v>https://gs.amac.org.cn/amac-infodisc/res/pof/manager/2001061547104837.html</x:v>
      </x:c>
      <x:c r="AZ145" s="19" t="str">
        <x:v>杉阳云杉转债1号私募证券投资基金</x:v>
      </x:c>
      <x:c r="BA145" s="19" t="str">
        <x:v>2026-04-16</x:v>
      </x:c>
      <x:c r="BB145" s="19"/>
      <x:c r="BC145" s="19" t="str">
        <x:v>https://gs.amac.org.cn/amac-infodisc/res/pof/fund/2006171757102620.html</x:v>
      </x:c>
      <x:c r="BD145" s="19" t="str">
        <x:v>已匹配</x:v>
      </x:c>
      <x:c r="BE145"/>
      <x:c r="BF145"/>
    </x:row>
    <x:row r="146" ht="28" customHeight="1">
      <x:c r="A146" s="4" t="n">
        <x:v>130</x:v>
      </x:c>
      <x:c r="B146" s="15" t="str">
        <x:f>'sheet4-原始数据'!A131</x:f>
        <x:v>聚亿具臻</x:v>
      </x:c>
      <x:c r="C146" s="15" t="str">
        <x:f>'sheet4-原始数据'!B131</x:f>
        <x:v>SLM995</x:v>
      </x:c>
      <x:c r="D146" s="15" t="str">
        <x:f>'sheet4-原始数据'!E131</x:f>
        <x:v>珠海聚亿基金</x:v>
      </x:c>
      <x:c r="E146" s="32" t="n">
        <x:f>IF(ISNUMBER('sheet4-原始数据'!F131),'sheet4-原始数据'!F131,"")</x:f>
        <x:v>44061</x:v>
      </x:c>
      <x:c r="F146" s="17" t="n">
        <x:f>IF(NOT(ISNUMBER(E146)),"",ROUND(('sheet1-指标体系'!$J$23-E146)/365.25,4))</x:f>
        <x:v>6.078</x:v>
      </x:c>
      <x:c r="G146" s="4" t="str">
        <x:f t="shared" si="6">IF(NOT(ISNUMBER(F146)),"",IF(F146&lt;1,"不入池","入池"))</x:f>
        <x:v>入池</x:v>
      </x:c>
      <x:c r="H146" s="33" t="str">
        <x:v>0-5亿元</x:v>
      </x:c>
      <x:c r="I146" s="17" t="n">
        <x:f>IF(H146="","",IF(ISNUMBER(SEARCH("100亿元以上",H146)),100,IF(OR(ISNUMBER(SEARCH("20-50",H146)),ISNUMBER(SEARCH("50-100",H146)),ISNUMBER(SEARCH("20-100",H146))),90,IF(ISNUMBER(SEARCH("10-20",H146)),80,IF(ISNUMBER(SEARCH("5-10",H146)),70,IF(ISNUMBER(SEARCH("0-5",H146)),60,""))))))</x:f>
        <x:v>60</x:v>
      </x:c>
      <x:c r="J146" s="34" t="str">
        <x:v>无低于1000万元标识</x:v>
      </x:c>
      <x:c r="K146" s="17" t="n">
        <x:f>IF(J146="","",IF(J146="低于1000万元",0,100))</x:f>
        <x:v>100</x:v>
      </x:c>
      <x:c r="L146" s="17" t="n">
        <x:f>IF(NOT(ISNUMBER(F146)),"",IF(F146&lt;1,"",IF(F146&lt;3,70,100)))</x:f>
        <x:v>100</x:v>
      </x:c>
      <x:c r="M146" s="35" t="n">
        <x:f>IF(ISNUMBER('sheet4-原始数据'!G131),'sheet4-原始数据'!G131,"")</x:f>
        <x:v>0.3188</x:v>
      </x:c>
      <x:c r="N146" s="35" t="n">
        <x:f>IF(ISNUMBER('sheet4-原始数据'!H131),'sheet4-原始数据'!H131,"")</x:f>
        <x:v>0.2515</x:v>
      </x:c>
      <x:c r="O146" s="36" t="str">
        <x:f>IF(ISNUMBER('sheet4-原始数据'!Q131),'sheet4-原始数据'!Q131,"")</x:f>
      </x:c>
      <x:c r="P146" s="37" t="n">
        <x:f>IF($G146&lt;&gt;"入池","",IF($F146&gt;=3,IF(OR(NOT(ISNUMBER($M146)),NOT(ISNUMBER($N146)),1+$M146&lt;=0,1+$N146&lt;0),"",((1+$N146)^3/(1+$M146))^(1/2)-1),IF(OR($F146&lt;=1,NOT(ISNUMBER($M146)),NOT(ISNUMBER($O146)),1+$M146&lt;=0,1+$O146&lt;0),"",((1+$O146)^$F146/(1+$M146))^(1/($F146-1))-1)))</x:f>
        <x:v>0.21914906993058803</x:v>
      </x:c>
      <x:c r="Q146" s="17" t="n">
        <x:f>IF(OR($G146&lt;&gt;"入池",NOT(ISNUMBER(M146))),"",IF(COUNTIFS($G$17:$G$219,"入池",$M$17:$M$219,"&gt;=-1E+307",$M$17:$M$219,"&lt;=1E+307")&lt;=1,100,ROUND(100*(COUNTIFS($G$17:$G$219,"入池",$M$17:$M$219,"&gt;=-1E+307",$M$17:$M$219,"&lt;"&amp;M146)+COUNTIFS($G$17:$G$219,"入池",$M$17:$M$219,M146,$M$17:$M$219,"&gt;=-1E+307",$M$17:$M$219,"&lt;=1E+307")/2-0.5)/(COUNTIFS($G$17:$G$219,"入池",$M$17:$M$219,"&gt;=-1E+307",$M$17:$M$219,"&lt;=1E+307")-1),2)))</x:f>
        <x:v>97.52</x:v>
      </x:c>
      <x:c r="R146" s="17" t="n">
        <x:f>IF(OR($G146&lt;&gt;"入池",NOT(ISNUMBER(P146))),"",IF(COUNTIFS($G$17:$G$219,"入池",$P$17:$P$219,"&gt;=-1E+307",$P$17:$P$219,"&lt;=1E+307")&lt;=1,100,ROUND(100*(COUNTIFS($G$17:$G$219,"入池",$P$17:$P$219,"&gt;=-1E+307",$P$17:$P$219,"&lt;"&amp;P146)+COUNTIFS($G$17:$G$219,"入池",$P$17:$P$219,P146,$P$17:$P$219,"&gt;=-1E+307",$P$17:$P$219,"&lt;=1E+307")/2-0.5)/(COUNTIFS($G$17:$G$219,"入池",$P$17:$P$219,"&gt;=-1E+307",$P$17:$P$219,"&lt;=1E+307")-1),2)))</x:f>
        <x:v>94.06</x:v>
      </x:c>
      <x:c r="S146" s="17" t="n">
        <x:f>IF(NOT(ISNUMBER(Q146)),"",IF(NOT(ISNUMBER(R146)),Q146,ROUND(Q146*'sheet1-指标体系'!$J$8+R146*'sheet1-指标体系'!$J$9,2)))</x:f>
        <x:v>96.14</x:v>
      </x:c>
      <x:c r="T146" s="35" t="n">
        <x:f>IF(ISNUMBER('sheet4-原始数据'!J131),'sheet4-原始数据'!J131,"")</x:f>
        <x:v>0.7692</x:v>
      </x:c>
      <x:c r="U146" s="35" t="n">
        <x:f>IF(ISNUMBER('sheet4-原始数据'!I131),'sheet4-原始数据'!I131,"")</x:f>
        <x:v>0.6486</x:v>
      </x:c>
      <x:c r="V146" s="37" t="n">
        <x:f>IF(OR(NOT(ISNUMBER(T146)),NOT(ISNUMBER(U146))),"",(U146*'sheet1-指标体系'!$J$6-T146*'sheet1-指标体系'!$J$5)/'sheet1-指标体系'!$J$7)</x:f>
        <x:v>0.5832749999999999</x:v>
      </x:c>
      <x:c r="W146" s="17" t="n">
        <x:f>IF(NOT(ISNUMBER(T146)),"",T146*100)</x:f>
        <x:v>76.92</x:v>
      </x:c>
      <x:c r="X146" s="17" t="n">
        <x:f>IF($G146&lt;&gt;"入池","",IF(AND(ISNUMBER(V146),V146&gt;=0,V146&lt;=1),V146*100,IF(MAX(0,($F146-1)*12)&lt;6,100,"")))</x:f>
        <x:v>58.327499999999986</x:v>
      </x:c>
      <x:c r="Y146" s="17" t="n">
        <x:f>IF(NOT(ISNUMBER(W146)),"",IF(NOT(ISNUMBER(X146)),W146,ROUND(W146*'sheet1-指标体系'!$J$8+X146*'sheet1-指标体系'!$J$9,2)))</x:f>
        <x:v>69.48</x:v>
      </x:c>
      <x:c r="Z146" s="37" t="n">
        <x:f>IF(OR(NOT(ISNUMBER(M146)),NOT(ISNUMBER(AD146)),AD146=0),"",ABS(M146/AD146))</x:f>
        <x:v>0.02933760329817974</x:v>
      </x:c>
      <x:c r="AA146" s="35" t="n">
        <x:f>IF(ISNUMBER('sheet4-原始数据'!K131),'sheet4-原始数据'!K131,"")</x:f>
        <x:v>0.078</x:v>
      </x:c>
      <x:c r="AB146" s="37" t="n">
        <x:f>IF(COUNT(Z146:AA146)=0,"",MAX(Z146:AA146))</x:f>
        <x:v>0.078</x:v>
      </x:c>
      <x:c r="AC146" s="17" t="n">
        <x:f>IF(OR($G146&lt;&gt;"入池",NOT(ISNUMBER(AB146))),"",IF(COUNTIFS($G$17:$G$219,"入池",$AB$17:$AB$219,"&gt;=-1E+307",$AB$17:$AB$219,"&lt;=1E+307")&lt;=1,100,ROUND(100*(COUNTIFS($G$17:$G$219,"入池",$AB$17:$AB$219,"&lt;=1E+307",$AB$17:$AB$219,"&gt;"&amp;AB146)+COUNTIFS($G$17:$G$219,"入池",$AB$17:$AB$219,AB146,$AB$17:$AB$219,"&gt;=-1E+307",$AB$17:$AB$219,"&lt;=1E+307")/2-0.5)/(COUNTIFS($G$17:$G$219,"入池",$AB$17:$AB$219,"&gt;=-1E+307",$AB$17:$AB$219,"&lt;=1E+307")-1),2)))</x:f>
        <x:v>35.64</x:v>
      </x:c>
      <x:c r="AD146" s="38" t="n">
        <x:f>IF(ISNUMBER('sheet4-原始数据'!M131),'sheet4-原始数据'!M131,"")</x:f>
        <x:v>10.8666</x:v>
      </x:c>
      <x:c r="AE146" s="37" t="n">
        <x:f>IF(OR(NOT(ISNUMBER(P146)),NOT(ISNUMBER(AA146)),NOT(ISNUMBER(Z146))),"",IF(AA146&gt;Z146+'sheet1-指标体系'!$J$11,AA146,""))</x:f>
        <x:v>0.078</x:v>
      </x:c>
      <x:c r="AF146" s="17" t="n">
        <x:f>IF(OR(NOT(ISNUMBER(P146)),NOT(ISNUMBER(AE146)),AE146=0),"",P146/AE146)</x:f>
        <x:v>2.8096034606485643</x:v>
      </x:c>
      <x:c r="AG146" s="17" t="n">
        <x:f>IF(OR($G146&lt;&gt;"入池",NOT(ISNUMBER(AD146))),"",IF(COUNTIFS($G$17:$G$219,"入池",$AD$17:$AD$219,"&gt;=-1E+307",$AD$17:$AD$219,"&lt;=1E+307")&lt;=1,100,ROUND(100*(COUNTIFS($G$17:$G$219,"入池",$AD$17:$AD$219,"&gt;=-1E+307",$AD$17:$AD$219,"&lt;"&amp;AD146)+COUNTIFS($G$17:$G$219,"入池",$AD$17:$AD$219,AD146,$AD$17:$AD$219,"&gt;=-1E+307",$AD$17:$AD$219,"&lt;=1E+307")/2-0.5)/(COUNTIFS($G$17:$G$219,"入池",$AD$17:$AD$219,"&gt;=-1E+307",$AD$17:$AD$219,"&lt;=1E+307")-1),2)))</x:f>
        <x:v>81.59</x:v>
      </x:c>
      <x:c r="AH146" s="17" t="n">
        <x:f>IF(OR($G146&lt;&gt;"入池",NOT(ISNUMBER(AF146))),"",IF(COUNTIFS($G$17:$G$219,"入池",$AF$17:$AF$219,"&gt;=-1E+307",$AF$17:$AF$219,"&lt;=1E+307")&lt;=1,100,ROUND(100*(COUNTIFS($G$17:$G$219,"入池",$AF$17:$AF$219,"&gt;=-1E+307",$AF$17:$AF$219,"&lt;"&amp;AF146)+COUNTIFS($G$17:$G$219,"入池",$AF$17:$AF$219,AF146,$AF$17:$AF$219,"&gt;=-1E+307",$AF$17:$AF$219,"&lt;=1E+307")/2-0.5)/(COUNTIFS($G$17:$G$219,"入池",$AF$17:$AF$219,"&gt;=-1E+307",$AF$17:$AF$219,"&lt;=1E+307")-1),2)))</x:f>
        <x:v>75.18</x:v>
      </x:c>
      <x:c r="AI146" s="17" t="n">
        <x:f>IF(NOT(ISNUMBER(AG146)),"",IF(NOT(ISNUMBER(AH146)),AG146,ROUND(AG146*'sheet1-指标体系'!$J$8+AH146*'sheet1-指标体系'!$J$9,2)))</x:f>
        <x:v>79.03</x:v>
      </x:c>
      <x:c r="AJ146" s="37" t="n">
        <x:f>IF(NOT(ISNUMBER(F146)),"",IF(F146&gt;=3,IF(NOT(ISNUMBER(N146)),"",N146),IF(NOT(ISNUMBER(O146)),"",O146)))</x:f>
        <x:v>0.2515</x:v>
      </x:c>
      <x:c r="AK146" s="17" t="n">
        <x:f>IF(OR(G146&lt;&gt;"入池",NOT(ISNUMBER(M146)),NOT(ISNUMBER(AJ146))),"",IF(M146&gt;=AJ146,100,IF(AJ146-M146&lt;'sheet1-指标体系'!$J$10,80,60)))</x:f>
        <x:v>100</x:v>
      </x:c>
      <x:c r="AL146" s="17" t="n">
        <x:f>IF(COUNT(I146,K146,L146)=0,"",ROUND((IF(ISNUMBER(I146),I146*40%,0)+IF(ISNUMBER(K146),K146*30%,0)+IF(ISNUMBER(L146),L146*30%,0))/(IF(ISNUMBER(I146),40%,0)+IF(ISNUMBER(K146),30%,0)+IF(ISNUMBER(L146),30%,0)),2))</x:f>
        <x:v>84</x:v>
      </x:c>
      <x:c r="AM146" s="17" t="n">
        <x:f>IF(COUNT(Q146,R146,W146,X146)=0,"",ROUND((IF(ISNUMBER(Q146),Q146*42%,0)+IF(ISNUMBER(R146),R146*28%,0)+IF(ISNUMBER(W146),W146*18%,0)+IF(ISNUMBER(X146),X146*12%,0))/(IF(ISNUMBER(Q146),42%,0)+IF(ISNUMBER(R146),28%,0)+IF(ISNUMBER(W146),18%,0)+IF(ISNUMBER(X146),12%,0)),2))</x:f>
        <x:v>88.14</x:v>
      </x:c>
      <x:c r="AN146" s="17" t="n">
        <x:f>IF(ISNUMBER(AC146),AC146,"")</x:f>
        <x:v>35.64</x:v>
      </x:c>
      <x:c r="AO146" s="17" t="n">
        <x:f>IF(COUNT(AG146,AH146)=0,"",ROUND((IF(ISNUMBER(AG146),AG146*60%,0)+IF(ISNUMBER(AH146),AH146*40%,0))/(IF(ISNUMBER(AG146),60%,0)+IF(ISNUMBER(AH146),40%,0)),2))</x:f>
        <x:v>79.03</x:v>
      </x:c>
      <x:c r="AP146" s="17" t="n">
        <x:f>IF(ISNUMBER(AK146),AK146,"")</x:f>
        <x:v>100</x:v>
      </x:c>
      <x:c r="AQ146" s="39" t="n">
        <x:f>IF(G146&lt;&gt;"入池",0,IF(ISNUMBER(I146),6%,0)+IF(ISNUMBER(K146),4.5%,0)+IF(ISNUMBER(L146),4.5%,0)+IF(ISNUMBER(Q146),8.4%,0)+IF(ISNUMBER(R146),5.6%,0)+IF(ISNUMBER(W146),3.6%,0)+IF(ISNUMBER(X146),2.4%,0)+IF(ISNUMBER(AC146),25%,0)+IF(ISNUMBER(AG146),18%,0)+IF(ISNUMBER(AH146),12%,0)+IF(ISNUMBER(AK146),10%,0))</x:f>
        <x:v>1</x:v>
      </x:c>
      <x:c r="AR146" s="17" t="n">
        <x:f>IF(AQ146=0,"",IF(ISNUMBER(I146),I146*6%,0)+IF(ISNUMBER(K146),K146*4.5%,0)+IF(ISNUMBER(L146),L146*4.5%,0)+IF(ISNUMBER(Q146),Q146*8.4%,0)+IF(ISNUMBER(R146),R146*5.6%,0)+IF(ISNUMBER(W146),W146*3.6%,0)+IF(ISNUMBER(X146),X146*2.4%,0)+IF(ISNUMBER(AC146),AC146*25%,0)+IF(ISNUMBER(AG146),AG146*18%,0)+IF(ISNUMBER(AH146),AH146*12%,0)+IF(ISNUMBER(AK146),AK146*10%,0))</x:f>
        <x:v>72.84582</x:v>
      </x:c>
      <x:c r="AS146" s="17" t="n">
        <x:f>IF(AQ146=0,"",ROUND(AR146/AQ146,2))</x:f>
        <x:v>72.85</x:v>
      </x:c>
      <x:c r="AT146" s="40" t="n">
        <x:f>IF(OR(G146&lt;&gt;"入池",NOT(ISNUMBER(AS146))),"",COUNTIFS($G$17:$G$219,"入池",$AS$17:$AS$219,"&gt;"&amp;AS146)+COUNTIFS($G$17:$G$219,"入池",$AS$17:$AS$219,AS146,$AQ$17:$AQ$219,"&gt;"&amp;AQ146)+COUNTIFS($G$17:G146,"入池",$AS$17:AS146,AS146,$AQ$17:AQ146,AQ146))</x:f>
        <x:v>57</x:v>
      </x:c>
      <x:c r="AU146" s="41" t="str">
        <x:f t="shared" si="7">IF(NOT(ISNUMBER(I146)),"管理人规模；","")&amp;IF(J146="","产品规模标识；","")&amp;IF(AND(F146&lt;3,NOT(ISNUMBER(O146))),"R_incep；","")&amp;IF(NOT(ISNUMBER(N146)),"近三年收益；","")&amp;IF(NOT(ISNUMBER(U146)),"近三年胜率；","")&amp;IF(AND(ISNUMBER(V146),OR(V146&lt;0,V146&gt;1)),"胜率窗口口径不一致；","")&amp;IF(NOT(ISNUMBER(AA146)),"近三年回撤；","")&amp;IF(NOT(ISNUMBER(AD146)),"短期卡玛；","")&amp;IF(AND(ISNUMBER(P146),NOT(ISNUMBER(AE146))),"DD_long不可识别；","")</x:f>
      </x:c>
      <x:c r="AV146" s="42" t="n">
        <x:v>0</x:v>
      </x:c>
      <x:c r="AW146" s="19" t="str">
        <x:v>珠海聚亿基金管理有限公司</x:v>
      </x:c>
      <x:c r="AX146" s="19" t="str">
        <x:v>2026-06-25</x:v>
      </x:c>
      <x:c r="AY146" s="19" t="str">
        <x:v>https://gs.amac.org.cn/amac-infodisc/res/pof/manager/1706231108101144.html</x:v>
      </x:c>
      <x:c r="AZ146" s="19" t="str">
        <x:v>聚亿具臻私募证券投资基金</x:v>
      </x:c>
      <x:c r="BA146" s="19" t="str">
        <x:v>2026-07-28</x:v>
      </x:c>
      <x:c r="BB146" s="19"/>
      <x:c r="BC146" s="19" t="str">
        <x:v>https://gs.amac.org.cn/amac-infodisc/res/pof/fund/2008201725129997.html</x:v>
      </x:c>
      <x:c r="BD146" s="19" t="str">
        <x:v>已匹配</x:v>
      </x:c>
      <x:c r="BE146"/>
      <x:c r="BF146"/>
    </x:row>
    <x:row r="147" ht="28" customHeight="1">
      <x:c r="A147" s="4" t="n">
        <x:v>131</x:v>
      </x:c>
      <x:c r="B147" s="15" t="str">
        <x:f>'sheet4-原始数据'!A132</x:f>
        <x:v>盛泉恒元量化套利31号</x:v>
      </x:c>
      <x:c r="C147" s="15" t="str">
        <x:f>'sheet4-原始数据'!B132</x:f>
        <x:v>SLM933</x:v>
      </x:c>
      <x:c r="D147" s="15" t="str">
        <x:f>'sheet4-原始数据'!E132</x:f>
        <x:v>南京盛泉恒元投资</x:v>
      </x:c>
      <x:c r="E147" s="32" t="n">
        <x:f>IF(ISNUMBER('sheet4-原始数据'!F132),'sheet4-原始数据'!F132,"")</x:f>
        <x:v>44069</x:v>
      </x:c>
      <x:c r="F147" s="17" t="n">
        <x:f>IF(NOT(ISNUMBER(E147)),"",ROUND(('sheet1-指标体系'!$J$23-E147)/365.25,4))</x:f>
        <x:v>6.0561</x:v>
      </x:c>
      <x:c r="G147" s="4" t="str">
        <x:f t="shared" si="6">IF(NOT(ISNUMBER(F147)),"",IF(F147&lt;1,"不入池","入池"))</x:f>
        <x:v>入池</x:v>
      </x:c>
      <x:c r="H147" s="33" t="str">
        <x:v>100亿元以上</x:v>
      </x:c>
      <x:c r="I147" s="17" t="n">
        <x:f>IF(H147="","",IF(ISNUMBER(SEARCH("100亿元以上",H147)),100,IF(OR(ISNUMBER(SEARCH("20-50",H147)),ISNUMBER(SEARCH("50-100",H147)),ISNUMBER(SEARCH("20-100",H147))),90,IF(ISNUMBER(SEARCH("10-20",H147)),80,IF(ISNUMBER(SEARCH("5-10",H147)),70,IF(ISNUMBER(SEARCH("0-5",H147)),60,""))))))</x:f>
        <x:v>100</x:v>
      </x:c>
      <x:c r="J147" s="34" t="str">
        <x:v>无低于1000万元标识</x:v>
      </x:c>
      <x:c r="K147" s="17" t="n">
        <x:f>IF(J147="","",IF(J147="低于1000万元",0,100))</x:f>
        <x:v>100</x:v>
      </x:c>
      <x:c r="L147" s="17" t="n">
        <x:f>IF(NOT(ISNUMBER(F147)),"",IF(F147&lt;1,"",IF(F147&lt;3,70,100)))</x:f>
        <x:v>100</x:v>
      </x:c>
      <x:c r="M147" s="35" t="n">
        <x:f>IF(ISNUMBER('sheet4-原始数据'!G132),'sheet4-原始数据'!G132,"")</x:f>
        <x:v>0.0913</x:v>
      </x:c>
      <x:c r="N147" s="35" t="n">
        <x:f>IF(ISNUMBER('sheet4-原始数据'!H132),'sheet4-原始数据'!H132,"")</x:f>
        <x:v>0.0626</x:v>
      </x:c>
      <x:c r="O147" s="36" t="str">
        <x:f>IF(ISNUMBER('sheet4-原始数据'!Q132),'sheet4-原始数据'!Q132,"")</x:f>
      </x:c>
      <x:c r="P147" s="37" t="n">
        <x:f>IF($G147&lt;&gt;"入池","",IF($F147&gt;=3,IF(OR(NOT(ISNUMBER($M147)),NOT(ISNUMBER($N147)),1+$M147&lt;=0,1+$N147&lt;0),"",((1+$N147)^3/(1+$M147))^(1/2)-1),IF(OR($F147&lt;=1,NOT(ISNUMBER($M147)),NOT(ISNUMBER($O147)),1+$M147&lt;=0,1+$O147&lt;0),"",((1+$O147)^$F147/(1+$M147))^(1/($F147-1))-1)))</x:f>
        <x:v>0.04853429502863027</x:v>
      </x:c>
      <x:c r="Q147" s="17" t="n">
        <x:f>IF(OR($G147&lt;&gt;"入池",NOT(ISNUMBER(M147))),"",IF(COUNTIFS($G$17:$G$219,"入池",$M$17:$M$219,"&gt;=-1E+307",$M$17:$M$219,"&lt;=1E+307")&lt;=1,100,ROUND(100*(COUNTIFS($G$17:$G$219,"入池",$M$17:$M$219,"&gt;=-1E+307",$M$17:$M$219,"&lt;"&amp;M147)+COUNTIFS($G$17:$G$219,"入池",$M$17:$M$219,M147,$M$17:$M$219,"&gt;=-1E+307",$M$17:$M$219,"&lt;=1E+307")/2-0.5)/(COUNTIFS($G$17:$G$219,"入池",$M$17:$M$219,"&gt;=-1E+307",$M$17:$M$219,"&lt;=1E+307")-1),2)))</x:f>
        <x:v>77.23</x:v>
      </x:c>
      <x:c r="R147" s="17" t="n">
        <x:f>IF(OR($G147&lt;&gt;"入池",NOT(ISNUMBER(P147))),"",IF(COUNTIFS($G$17:$G$219,"入池",$P$17:$P$219,"&gt;=-1E+307",$P$17:$P$219,"&lt;=1E+307")&lt;=1,100,ROUND(100*(COUNTIFS($G$17:$G$219,"入池",$P$17:$P$219,"&gt;=-1E+307",$P$17:$P$219,"&lt;"&amp;P147)+COUNTIFS($G$17:$G$219,"入池",$P$17:$P$219,P147,$P$17:$P$219,"&gt;=-1E+307",$P$17:$P$219,"&lt;=1E+307")/2-0.5)/(COUNTIFS($G$17:$G$219,"入池",$P$17:$P$219,"&gt;=-1E+307",$P$17:$P$219,"&lt;=1E+307")-1),2)))</x:f>
        <x:v>34.65</x:v>
      </x:c>
      <x:c r="S147" s="17" t="n">
        <x:f>IF(NOT(ISNUMBER(Q147)),"",IF(NOT(ISNUMBER(R147)),Q147,ROUND(Q147*'sheet1-指标体系'!$J$8+R147*'sheet1-指标体系'!$J$9,2)))</x:f>
        <x:v>60.2</x:v>
      </x:c>
      <x:c r="T147" s="35" t="n">
        <x:f>IF(ISNUMBER('sheet4-原始数据'!J132),'sheet4-原始数据'!J132,"")</x:f>
        <x:v>0.7692</x:v>
      </x:c>
      <x:c r="U147" s="35" t="n">
        <x:f>IF(ISNUMBER('sheet4-原始数据'!I132),'sheet4-原始数据'!I132,"")</x:f>
        <x:v>0.7297</x:v>
      </x:c>
      <x:c r="V147" s="37" t="n">
        <x:f>IF(OR(NOT(ISNUMBER(T147)),NOT(ISNUMBER(U147))),"",(U147*'sheet1-指标体系'!$J$6-T147*'sheet1-指标体系'!$J$5)/'sheet1-指标体系'!$J$7)</x:f>
        <x:v>0.7083041666666666</x:v>
      </x:c>
      <x:c r="W147" s="17" t="n">
        <x:f>IF(NOT(ISNUMBER(T147)),"",T147*100)</x:f>
        <x:v>76.92</x:v>
      </x:c>
      <x:c r="X147" s="17" t="n">
        <x:f>IF($G147&lt;&gt;"入池","",IF(AND(ISNUMBER(V147),V147&gt;=0,V147&lt;=1),V147*100,IF(MAX(0,($F147-1)*12)&lt;6,100,"")))</x:f>
        <x:v>70.83041666666666</x:v>
      </x:c>
      <x:c r="Y147" s="17" t="n">
        <x:f>IF(NOT(ISNUMBER(W147)),"",IF(NOT(ISNUMBER(X147)),W147,ROUND(W147*'sheet1-指标体系'!$J$8+X147*'sheet1-指标体系'!$J$9,2)))</x:f>
        <x:v>74.48</x:v>
      </x:c>
      <x:c r="Z147" s="37" t="n">
        <x:f>IF(OR(NOT(ISNUMBER(M147)),NOT(ISNUMBER(AD147)),AD147=0),"",ABS(M147/AD147))</x:f>
        <x:v>0.054910687436097914</x:v>
      </x:c>
      <x:c r="AA147" s="35" t="n">
        <x:f>IF(ISNUMBER('sheet4-原始数据'!K132),'sheet4-原始数据'!K132,"")</x:f>
        <x:v>0.0662</x:v>
      </x:c>
      <x:c r="AB147" s="37" t="n">
        <x:f>IF(COUNT(Z147:AA147)=0,"",MAX(Z147:AA147))</x:f>
        <x:v>0.0662</x:v>
      </x:c>
      <x:c r="AC147" s="17" t="n">
        <x:f>IF(OR($G147&lt;&gt;"入池",NOT(ISNUMBER(AB147))),"",IF(COUNTIFS($G$17:$G$219,"入池",$AB$17:$AB$219,"&gt;=-1E+307",$AB$17:$AB$219,"&lt;=1E+307")&lt;=1,100,ROUND(100*(COUNTIFS($G$17:$G$219,"入池",$AB$17:$AB$219,"&lt;=1E+307",$AB$17:$AB$219,"&gt;"&amp;AB147)+COUNTIFS($G$17:$G$219,"入池",$AB$17:$AB$219,AB147,$AB$17:$AB$219,"&gt;=-1E+307",$AB$17:$AB$219,"&lt;=1E+307")/2-0.5)/(COUNTIFS($G$17:$G$219,"入池",$AB$17:$AB$219,"&gt;=-1E+307",$AB$17:$AB$219,"&lt;=1E+307")-1),2)))</x:f>
        <x:v>37.62</x:v>
      </x:c>
      <x:c r="AD147" s="38" t="n">
        <x:f>IF(ISNUMBER('sheet4-原始数据'!M132),'sheet4-原始数据'!M132,"")</x:f>
        <x:v>1.6627</x:v>
      </x:c>
      <x:c r="AE147" s="37" t="n">
        <x:f>IF(OR(NOT(ISNUMBER(P147)),NOT(ISNUMBER(AA147)),NOT(ISNUMBER(Z147))),"",IF(AA147&gt;Z147+'sheet1-指标体系'!$J$11,AA147,""))</x:f>
        <x:v>0.0662</x:v>
      </x:c>
      <x:c r="AF147" s="17" t="n">
        <x:f>IF(OR(NOT(ISNUMBER(P147)),NOT(ISNUMBER(AE147)),AE147=0),"",P147/AE147)</x:f>
        <x:v>0.7331464505835389</x:v>
      </x:c>
      <x:c r="AG147" s="17" t="n">
        <x:f>IF(OR($G147&lt;&gt;"入池",NOT(ISNUMBER(AD147))),"",IF(COUNTIFS($G$17:$G$219,"入池",$AD$17:$AD$219,"&gt;=-1E+307",$AD$17:$AD$219,"&lt;=1E+307")&lt;=1,100,ROUND(100*(COUNTIFS($G$17:$G$219,"入池",$AD$17:$AD$219,"&gt;=-1E+307",$AD$17:$AD$219,"&lt;"&amp;AD147)+COUNTIFS($G$17:$G$219,"入池",$AD$17:$AD$219,AD147,$AD$17:$AD$219,"&gt;=-1E+307",$AD$17:$AD$219,"&lt;=1E+307")/2-0.5)/(COUNTIFS($G$17:$G$219,"入池",$AD$17:$AD$219,"&gt;=-1E+307",$AD$17:$AD$219,"&lt;=1E+307")-1),2)))</x:f>
        <x:v>39.8</x:v>
      </x:c>
      <x:c r="AH147" s="17" t="n">
        <x:f>IF(OR($G147&lt;&gt;"入池",NOT(ISNUMBER(AF147))),"",IF(COUNTIFS($G$17:$G$219,"入池",$AF$17:$AF$219,"&gt;=-1E+307",$AF$17:$AF$219,"&lt;=1E+307")&lt;=1,100,ROUND(100*(COUNTIFS($G$17:$G$219,"入池",$AF$17:$AF$219,"&gt;=-1E+307",$AF$17:$AF$219,"&lt;"&amp;AF147)+COUNTIFS($G$17:$G$219,"入池",$AF$17:$AF$219,AF147,$AF$17:$AF$219,"&gt;=-1E+307",$AF$17:$AF$219,"&lt;=1E+307")/2-0.5)/(COUNTIFS($G$17:$G$219,"入池",$AF$17:$AF$219,"&gt;=-1E+307",$AF$17:$AF$219,"&lt;=1E+307")-1),2)))</x:f>
        <x:v>27.74</x:v>
      </x:c>
      <x:c r="AI147" s="17" t="n">
        <x:f>IF(NOT(ISNUMBER(AG147)),"",IF(NOT(ISNUMBER(AH147)),AG147,ROUND(AG147*'sheet1-指标体系'!$J$8+AH147*'sheet1-指标体系'!$J$9,2)))</x:f>
        <x:v>34.98</x:v>
      </x:c>
      <x:c r="AJ147" s="37" t="n">
        <x:f>IF(NOT(ISNUMBER(F147)),"",IF(F147&gt;=3,IF(NOT(ISNUMBER(N147)),"",N147),IF(NOT(ISNUMBER(O147)),"",O147)))</x:f>
        <x:v>0.0626</x:v>
      </x:c>
      <x:c r="AK147" s="17" t="n">
        <x:f>IF(OR(G147&lt;&gt;"入池",NOT(ISNUMBER(M147)),NOT(ISNUMBER(AJ147))),"",IF(M147&gt;=AJ147,100,IF(AJ147-M147&lt;'sheet1-指标体系'!$J$10,80,60)))</x:f>
        <x:v>100</x:v>
      </x:c>
      <x:c r="AL147" s="17" t="n">
        <x:f>IF(COUNT(I147,K147,L147)=0,"",ROUND((IF(ISNUMBER(I147),I147*40%,0)+IF(ISNUMBER(K147),K147*30%,0)+IF(ISNUMBER(L147),L147*30%,0))/(IF(ISNUMBER(I147),40%,0)+IF(ISNUMBER(K147),30%,0)+IF(ISNUMBER(L147),30%,0)),2))</x:f>
        <x:v>100</x:v>
      </x:c>
      <x:c r="AM147" s="17" t="n">
        <x:f>IF(COUNT(Q147,R147,W147,X147)=0,"",ROUND((IF(ISNUMBER(Q147),Q147*42%,0)+IF(ISNUMBER(R147),R147*28%,0)+IF(ISNUMBER(W147),W147*18%,0)+IF(ISNUMBER(X147),X147*12%,0))/(IF(ISNUMBER(Q147),42%,0)+IF(ISNUMBER(R147),28%,0)+IF(ISNUMBER(W147),18%,0)+IF(ISNUMBER(X147),12%,0)),2))</x:f>
        <x:v>64.48</x:v>
      </x:c>
      <x:c r="AN147" s="17" t="n">
        <x:f>IF(ISNUMBER(AC147),AC147,"")</x:f>
        <x:v>37.62</x:v>
      </x:c>
      <x:c r="AO147" s="17" t="n">
        <x:f>IF(COUNT(AG147,AH147)=0,"",ROUND((IF(ISNUMBER(AG147),AG147*60%,0)+IF(ISNUMBER(AH147),AH147*40%,0))/(IF(ISNUMBER(AG147),60%,0)+IF(ISNUMBER(AH147),40%,0)),2))</x:f>
        <x:v>34.98</x:v>
      </x:c>
      <x:c r="AP147" s="17" t="n">
        <x:f>IF(ISNUMBER(AK147),AK147,"")</x:f>
        <x:v>100</x:v>
      </x:c>
      <x:c r="AQ147" s="39" t="n">
        <x:f>IF(G147&lt;&gt;"入池",0,IF(ISNUMBER(I147),6%,0)+IF(ISNUMBER(K147),4.5%,0)+IF(ISNUMBER(L147),4.5%,0)+IF(ISNUMBER(Q147),8.4%,0)+IF(ISNUMBER(R147),5.6%,0)+IF(ISNUMBER(W147),3.6%,0)+IF(ISNUMBER(X147),2.4%,0)+IF(ISNUMBER(AC147),25%,0)+IF(ISNUMBER(AG147),18%,0)+IF(ISNUMBER(AH147),12%,0)+IF(ISNUMBER(AK147),10%,0))</x:f>
        <x:v>1</x:v>
      </x:c>
      <x:c r="AR147" s="17" t="n">
        <x:f>IF(AQ147=0,"",IF(ISNUMBER(I147),I147*6%,0)+IF(ISNUMBER(K147),K147*4.5%,0)+IF(ISNUMBER(L147),L147*4.5%,0)+IF(ISNUMBER(Q147),Q147*8.4%,0)+IF(ISNUMBER(R147),R147*5.6%,0)+IF(ISNUMBER(W147),W147*3.6%,0)+IF(ISNUMBER(X147),X147*2.4%,0)+IF(ISNUMBER(AC147),AC147*25%,0)+IF(ISNUMBER(AG147),AG147*18%,0)+IF(ISNUMBER(AH147),AH147*12%,0)+IF(ISNUMBER(AK147),AK147*10%,0))</x:f>
        <x:v>57.79457</x:v>
      </x:c>
      <x:c r="AS147" s="17" t="n">
        <x:f>IF(AQ147=0,"",ROUND(AR147/AQ147,2))</x:f>
        <x:v>57.79</x:v>
      </x:c>
      <x:c r="AT147" s="40" t="n">
        <x:f>IF(OR(G147&lt;&gt;"入池",NOT(ISNUMBER(AS147))),"",COUNTIFS($G$17:$G$219,"入池",$AS$17:$AS$219,"&gt;"&amp;AS147)+COUNTIFS($G$17:$G$219,"入池",$AS$17:$AS$219,AS147,$AQ$17:$AQ$219,"&gt;"&amp;AQ147)+COUNTIFS($G$17:G147,"入池",$AS$17:AS147,AS147,$AQ$17:AQ147,AQ147))</x:f>
        <x:v>117</x:v>
      </x:c>
      <x:c r="AU147" s="41" t="str">
        <x:f t="shared" si="7">IF(NOT(ISNUMBER(I147)),"管理人规模；","")&amp;IF(J147="","产品规模标识；","")&amp;IF(AND(F147&lt;3,NOT(ISNUMBER(O147))),"R_incep；","")&amp;IF(NOT(ISNUMBER(N147)),"近三年收益；","")&amp;IF(NOT(ISNUMBER(U147)),"近三年胜率；","")&amp;IF(AND(ISNUMBER(V147),OR(V147&lt;0,V147&gt;1)),"胜率窗口口径不一致；","")&amp;IF(NOT(ISNUMBER(AA147)),"近三年回撤；","")&amp;IF(NOT(ISNUMBER(AD147)),"短期卡玛；","")&amp;IF(AND(ISNUMBER(P147),NOT(ISNUMBER(AE147))),"DD_long不可识别；","")</x:f>
      </x:c>
      <x:c r="AV147" s="42" t="n">
        <x:v>100</x:v>
      </x:c>
      <x:c r="AW147" s="19" t="str">
        <x:v>南京盛泉恒元投资有限公司</x:v>
      </x:c>
      <x:c r="AX147" s="19" t="str">
        <x:v>2026-02-24</x:v>
      </x:c>
      <x:c r="AY147" s="19" t="str">
        <x:v>https://gs.amac.org.cn/amac-infodisc/res/pof/manager/101000008304.html</x:v>
      </x:c>
      <x:c r="AZ147" s="19" t="str">
        <x:v>盛泉恒元量化套利31号私募证券投资基金</x:v>
      </x:c>
      <x:c r="BA147" s="19" t="str">
        <x:v>2025-06-30</x:v>
      </x:c>
      <x:c r="BB147" s="19"/>
      <x:c r="BC147" s="19" t="str">
        <x:v>https://gs.amac.org.cn/amac-infodisc/res/pof/fund/2008261728106155.html</x:v>
      </x:c>
      <x:c r="BD147" s="19" t="str">
        <x:v>已匹配</x:v>
      </x:c>
      <x:c r="BE147"/>
      <x:c r="BF147"/>
    </x:row>
    <x:row r="148" ht="28" customHeight="1">
      <x:c r="A148" s="4" t="n">
        <x:v>132</x:v>
      </x:c>
      <x:c r="B148" s="15" t="str">
        <x:f>'sheet4-原始数据'!A133</x:f>
        <x:v>俊丹湾谷二号</x:v>
      </x:c>
      <x:c r="C148" s="15" t="str">
        <x:f>'sheet4-原始数据'!B133</x:f>
        <x:v>SLQ627</x:v>
      </x:c>
      <x:c r="D148" s="15" t="str">
        <x:f>'sheet4-原始数据'!E133</x:f>
        <x:v>上海俊丹</x:v>
      </x:c>
      <x:c r="E148" s="32" t="n">
        <x:f>IF(ISNUMBER('sheet4-原始数据'!F133),'sheet4-原始数据'!F133,"")</x:f>
        <x:v>44069</x:v>
      </x:c>
      <x:c r="F148" s="17" t="n">
        <x:f>IF(NOT(ISNUMBER(E148)),"",ROUND(('sheet1-指标体系'!$J$23-E148)/365.25,4))</x:f>
        <x:v>6.0561</x:v>
      </x:c>
      <x:c r="G148" s="4" t="str">
        <x:f t="shared" si="6">IF(NOT(ISNUMBER(F148)),"",IF(F148&lt;1,"不入池","入池"))</x:f>
        <x:v>入池</x:v>
      </x:c>
      <x:c r="H148" s="33" t="str">
        <x:v>10-20亿元</x:v>
      </x:c>
      <x:c r="I148" s="17" t="n">
        <x:f>IF(H148="","",IF(ISNUMBER(SEARCH("100亿元以上",H148)),100,IF(OR(ISNUMBER(SEARCH("20-50",H148)),ISNUMBER(SEARCH("50-100",H148)),ISNUMBER(SEARCH("20-100",H148))),90,IF(ISNUMBER(SEARCH("10-20",H148)),80,IF(ISNUMBER(SEARCH("5-10",H148)),70,IF(ISNUMBER(SEARCH("0-5",H148)),60,""))))))</x:f>
        <x:v>80</x:v>
      </x:c>
      <x:c r="J148" s="34" t="str">
        <x:v>无低于1000万元标识</x:v>
      </x:c>
      <x:c r="K148" s="17" t="n">
        <x:f>IF(J148="","",IF(J148="低于1000万元",0,100))</x:f>
        <x:v>100</x:v>
      </x:c>
      <x:c r="L148" s="17" t="n">
        <x:f>IF(NOT(ISNUMBER(F148)),"",IF(F148&lt;1,"",IF(F148&lt;3,70,100)))</x:f>
        <x:v>100</x:v>
      </x:c>
      <x:c r="M148" s="35" t="n">
        <x:f>IF(ISNUMBER('sheet4-原始数据'!G133),'sheet4-原始数据'!G133,"")</x:f>
        <x:v>0.0416</x:v>
      </x:c>
      <x:c r="N148" s="35" t="n">
        <x:f>IF(ISNUMBER('sheet4-原始数据'!H133),'sheet4-原始数据'!H133,"")</x:f>
        <x:v>0.0527</x:v>
      </x:c>
      <x:c r="O148" s="36" t="str">
        <x:f>IF(ISNUMBER('sheet4-原始数据'!Q133),'sheet4-原始数据'!Q133,"")</x:f>
      </x:c>
      <x:c r="P148" s="37" t="n">
        <x:f>IF($G148&lt;&gt;"入池","",IF($F148&gt;=3,IF(OR(NOT(ISNUMBER($M148)),NOT(ISNUMBER($N148)),1+$M148&lt;=0,1+$N148&lt;0),"",((1+$N148)^3/(1+$M148))^(1/2)-1),IF(OR($F148&lt;=1,NOT(ISNUMBER($M148)),NOT(ISNUMBER($O148)),1+$M148&lt;=0,1+$O148&lt;0),"",((1+$O148)^$F148/(1+$M148))^(1/($F148-1))-1)))</x:f>
        <x:v>0.0582942799664905</x:v>
      </x:c>
      <x:c r="Q148" s="17" t="n">
        <x:f>IF(OR($G148&lt;&gt;"入池",NOT(ISNUMBER(M148))),"",IF(COUNTIFS($G$17:$G$219,"入池",$M$17:$M$219,"&gt;=-1E+307",$M$17:$M$219,"&lt;=1E+307")&lt;=1,100,ROUND(100*(COUNTIFS($G$17:$G$219,"入池",$M$17:$M$219,"&gt;=-1E+307",$M$17:$M$219,"&lt;"&amp;M148)+COUNTIFS($G$17:$G$219,"入池",$M$17:$M$219,M148,$M$17:$M$219,"&gt;=-1E+307",$M$17:$M$219,"&lt;=1E+307")/2-0.5)/(COUNTIFS($G$17:$G$219,"入池",$M$17:$M$219,"&gt;=-1E+307",$M$17:$M$219,"&lt;=1E+307")-1),2)))</x:f>
        <x:v>44.8</x:v>
      </x:c>
      <x:c r="R148" s="17" t="n">
        <x:f>IF(OR($G148&lt;&gt;"入池",NOT(ISNUMBER(P148))),"",IF(COUNTIFS($G$17:$G$219,"入池",$P$17:$P$219,"&gt;=-1E+307",$P$17:$P$219,"&lt;=1E+307")&lt;=1,100,ROUND(100*(COUNTIFS($G$17:$G$219,"入池",$P$17:$P$219,"&gt;=-1E+307",$P$17:$P$219,"&lt;"&amp;P148)+COUNTIFS($G$17:$G$219,"入池",$P$17:$P$219,P148,$P$17:$P$219,"&gt;=-1E+307",$P$17:$P$219,"&lt;=1E+307")/2-0.5)/(COUNTIFS($G$17:$G$219,"入池",$P$17:$P$219,"&gt;=-1E+307",$P$17:$P$219,"&lt;=1E+307")-1),2)))</x:f>
        <x:v>47.52</x:v>
      </x:c>
      <x:c r="S148" s="17" t="n">
        <x:f>IF(NOT(ISNUMBER(Q148)),"",IF(NOT(ISNUMBER(R148)),Q148,ROUND(Q148*'sheet1-指标体系'!$J$8+R148*'sheet1-指标体系'!$J$9,2)))</x:f>
        <x:v>45.89</x:v>
      </x:c>
      <x:c r="T148" s="35" t="n">
        <x:f>IF(ISNUMBER('sheet4-原始数据'!J133),'sheet4-原始数据'!J133,"")</x:f>
        <x:v>0.7692</x:v>
      </x:c>
      <x:c r="U148" s="35" t="n">
        <x:f>IF(ISNUMBER('sheet4-原始数据'!I133),'sheet4-原始数据'!I133,"")</x:f>
        <x:v>0.7837999999999999</x:v>
      </x:c>
      <x:c r="V148" s="37" t="n">
        <x:f>IF(OR(NOT(ISNUMBER(T148)),NOT(ISNUMBER(U148))),"",(U148*'sheet1-指标体系'!$J$6-T148*'sheet1-指标体系'!$J$5)/'sheet1-指标体系'!$J$7)</x:f>
        <x:v>0.7917083333333332</x:v>
      </x:c>
      <x:c r="W148" s="17" t="n">
        <x:f>IF(NOT(ISNUMBER(T148)),"",T148*100)</x:f>
        <x:v>76.92</x:v>
      </x:c>
      <x:c r="X148" s="17" t="n">
        <x:f>IF($G148&lt;&gt;"入池","",IF(AND(ISNUMBER(V148),V148&gt;=0,V148&lt;=1),V148*100,IF(MAX(0,($F148-1)*12)&lt;6,100,"")))</x:f>
        <x:v>79.17083333333332</x:v>
      </x:c>
      <x:c r="Y148" s="17" t="n">
        <x:f>IF(NOT(ISNUMBER(W148)),"",IF(NOT(ISNUMBER(X148)),W148,ROUND(W148*'sheet1-指标体系'!$J$8+X148*'sheet1-指标体系'!$J$9,2)))</x:f>
        <x:v>77.82</x:v>
      </x:c>
      <x:c r="Z148" s="37" t="n">
        <x:f>IF(OR(NOT(ISNUMBER(M148)),NOT(ISNUMBER(AD148)),AD148=0),"",ABS(M148/AD148))</x:f>
        <x:v>0.0126232741617357</x:v>
      </x:c>
      <x:c r="AA148" s="35" t="n">
        <x:f>IF(ISNUMBER('sheet4-原始数据'!K133),'sheet4-原始数据'!K133,"")</x:f>
        <x:v>0.0126</x:v>
      </x:c>
      <x:c r="AB148" s="37" t="n">
        <x:f>IF(COUNT(Z148:AA148)=0,"",MAX(Z148:AA148))</x:f>
        <x:v>0.0126232741617357</x:v>
      </x:c>
      <x:c r="AC148" s="17" t="n">
        <x:f>IF(OR($G148&lt;&gt;"入池",NOT(ISNUMBER(AB148))),"",IF(COUNTIFS($G$17:$G$219,"入池",$AB$17:$AB$219,"&gt;=-1E+307",$AB$17:$AB$219,"&lt;=1E+307")&lt;=1,100,ROUND(100*(COUNTIFS($G$17:$G$219,"入池",$AB$17:$AB$219,"&lt;=1E+307",$AB$17:$AB$219,"&gt;"&amp;AB148)+COUNTIFS($G$17:$G$219,"入池",$AB$17:$AB$219,AB148,$AB$17:$AB$219,"&gt;=-1E+307",$AB$17:$AB$219,"&lt;=1E+307")/2-0.5)/(COUNTIFS($G$17:$G$219,"入池",$AB$17:$AB$219,"&gt;=-1E+307",$AB$17:$AB$219,"&lt;=1E+307")-1),2)))</x:f>
        <x:v>83.66</x:v>
      </x:c>
      <x:c r="AD148" s="38" t="n">
        <x:f>IF(ISNUMBER('sheet4-原始数据'!M133),'sheet4-原始数据'!M133,"")</x:f>
        <x:v>3.2955</x:v>
      </x:c>
      <x:c r="AE148" s="37" t="str">
        <x:f>IF(OR(NOT(ISNUMBER(P148)),NOT(ISNUMBER(AA148)),NOT(ISNUMBER(Z148))),"",IF(AA148&gt;Z148+'sheet1-指标体系'!$J$11,AA148,""))</x:f>
      </x:c>
      <x:c r="AF148" s="17" t="str">
        <x:f>IF(OR(NOT(ISNUMBER(P148)),NOT(ISNUMBER(AE148)),AE148=0),"",P148/AE148)</x:f>
      </x:c>
      <x:c r="AG148" s="17" t="n">
        <x:f>IF(OR($G148&lt;&gt;"入池",NOT(ISNUMBER(AD148))),"",IF(COUNTIFS($G$17:$G$219,"入池",$AD$17:$AD$219,"&gt;=-1E+307",$AD$17:$AD$219,"&lt;=1E+307")&lt;=1,100,ROUND(100*(COUNTIFS($G$17:$G$219,"入池",$AD$17:$AD$219,"&gt;=-1E+307",$AD$17:$AD$219,"&lt;"&amp;AD148)+COUNTIFS($G$17:$G$219,"入池",$AD$17:$AD$219,AD148,$AD$17:$AD$219,"&gt;=-1E+307",$AD$17:$AD$219,"&lt;=1E+307")/2-0.5)/(COUNTIFS($G$17:$G$219,"入池",$AD$17:$AD$219,"&gt;=-1E+307",$AD$17:$AD$219,"&lt;=1E+307")-1),2)))</x:f>
        <x:v>54.23</x:v>
      </x:c>
      <x:c r="AH148" s="17" t="str">
        <x:f>IF(OR($G148&lt;&gt;"入池",NOT(ISNUMBER(AF148))),"",IF(COUNTIFS($G$17:$G$219,"入池",$AF$17:$AF$219,"&gt;=-1E+307",$AF$17:$AF$219,"&lt;=1E+307")&lt;=1,100,ROUND(100*(COUNTIFS($G$17:$G$219,"入池",$AF$17:$AF$219,"&gt;=-1E+307",$AF$17:$AF$219,"&lt;"&amp;AF148)+COUNTIFS($G$17:$G$219,"入池",$AF$17:$AF$219,AF148,$AF$17:$AF$219,"&gt;=-1E+307",$AF$17:$AF$219,"&lt;=1E+307")/2-0.5)/(COUNTIFS($G$17:$G$219,"入池",$AF$17:$AF$219,"&gt;=-1E+307",$AF$17:$AF$219,"&lt;=1E+307")-1),2)))</x:f>
      </x:c>
      <x:c r="AI148" s="17" t="n">
        <x:f>IF(NOT(ISNUMBER(AG148)),"",IF(NOT(ISNUMBER(AH148)),AG148,ROUND(AG148*'sheet1-指标体系'!$J$8+AH148*'sheet1-指标体系'!$J$9,2)))</x:f>
        <x:v>54.23</x:v>
      </x:c>
      <x:c r="AJ148" s="37" t="n">
        <x:f>IF(NOT(ISNUMBER(F148)),"",IF(F148&gt;=3,IF(NOT(ISNUMBER(N148)),"",N148),IF(NOT(ISNUMBER(O148)),"",O148)))</x:f>
        <x:v>0.0527</x:v>
      </x:c>
      <x:c r="AK148" s="17" t="n">
        <x:f>IF(OR(G148&lt;&gt;"入池",NOT(ISNUMBER(M148)),NOT(ISNUMBER(AJ148))),"",IF(M148&gt;=AJ148,100,IF(AJ148-M148&lt;'sheet1-指标体系'!$J$10,80,60)))</x:f>
        <x:v>80</x:v>
      </x:c>
      <x:c r="AL148" s="17" t="n">
        <x:f>IF(COUNT(I148,K148,L148)=0,"",ROUND((IF(ISNUMBER(I148),I148*40%,0)+IF(ISNUMBER(K148),K148*30%,0)+IF(ISNUMBER(L148),L148*30%,0))/(IF(ISNUMBER(I148),40%,0)+IF(ISNUMBER(K148),30%,0)+IF(ISNUMBER(L148),30%,0)),2))</x:f>
        <x:v>92</x:v>
      </x:c>
      <x:c r="AM148" s="17" t="n">
        <x:f>IF(COUNT(Q148,R148,W148,X148)=0,"",ROUND((IF(ISNUMBER(Q148),Q148*42%,0)+IF(ISNUMBER(R148),R148*28%,0)+IF(ISNUMBER(W148),W148*18%,0)+IF(ISNUMBER(X148),X148*12%,0))/(IF(ISNUMBER(Q148),42%,0)+IF(ISNUMBER(R148),28%,0)+IF(ISNUMBER(W148),18%,0)+IF(ISNUMBER(X148),12%,0)),2))</x:f>
        <x:v>55.47</x:v>
      </x:c>
      <x:c r="AN148" s="17" t="n">
        <x:f>IF(ISNUMBER(AC148),AC148,"")</x:f>
        <x:v>83.66</x:v>
      </x:c>
      <x:c r="AO148" s="17" t="n">
        <x:f>IF(COUNT(AG148,AH148)=0,"",ROUND((IF(ISNUMBER(AG148),AG148*60%,0)+IF(ISNUMBER(AH148),AH148*40%,0))/(IF(ISNUMBER(AG148),60%,0)+IF(ISNUMBER(AH148),40%,0)),2))</x:f>
        <x:v>54.23</x:v>
      </x:c>
      <x:c r="AP148" s="17" t="n">
        <x:f>IF(ISNUMBER(AK148),AK148,"")</x:f>
        <x:v>80</x:v>
      </x:c>
      <x:c r="AQ148" s="39" t="n">
        <x:f>IF(G148&lt;&gt;"入池",0,IF(ISNUMBER(I148),6%,0)+IF(ISNUMBER(K148),4.5%,0)+IF(ISNUMBER(L148),4.5%,0)+IF(ISNUMBER(Q148),8.4%,0)+IF(ISNUMBER(R148),5.6%,0)+IF(ISNUMBER(W148),3.6%,0)+IF(ISNUMBER(X148),2.4%,0)+IF(ISNUMBER(AC148),25%,0)+IF(ISNUMBER(AG148),18%,0)+IF(ISNUMBER(AH148),12%,0)+IF(ISNUMBER(AK148),10%,0))</x:f>
        <x:v>0.88</x:v>
      </x:c>
      <x:c r="AR148" s="17" t="n">
        <x:f>IF(AQ148=0,"",IF(ISNUMBER(I148),I148*6%,0)+IF(ISNUMBER(K148),K148*4.5%,0)+IF(ISNUMBER(L148),L148*4.5%,0)+IF(ISNUMBER(Q148),Q148*8.4%,0)+IF(ISNUMBER(R148),R148*5.6%,0)+IF(ISNUMBER(W148),W148*3.6%,0)+IF(ISNUMBER(X148),X148*2.4%,0)+IF(ISNUMBER(AC148),AC148*25%,0)+IF(ISNUMBER(AG148),AG148*18%,0)+IF(ISNUMBER(AH148),AH148*12%,0)+IF(ISNUMBER(AK148),AK148*10%,0))</x:f>
        <x:v>63.56994</x:v>
      </x:c>
      <x:c r="AS148" s="17" t="n">
        <x:f>IF(AQ148=0,"",ROUND(AR148/AQ148,2))</x:f>
        <x:v>72.24</x:v>
      </x:c>
      <x:c r="AT148" s="40" t="n">
        <x:f>IF(OR(G148&lt;&gt;"入池",NOT(ISNUMBER(AS148))),"",COUNTIFS($G$17:$G$219,"入池",$AS$17:$AS$219,"&gt;"&amp;AS148)+COUNTIFS($G$17:$G$219,"入池",$AS$17:$AS$219,AS148,$AQ$17:$AQ$219,"&gt;"&amp;AQ148)+COUNTIFS($G$17:G148,"入池",$AS$17:AS148,AS148,$AQ$17:AQ148,AQ148))</x:f>
        <x:v>60</x:v>
      </x:c>
      <x:c r="AU148" s="41" t="str">
        <x:f t="shared" si="7">IF(NOT(ISNUMBER(I148)),"管理人规模；","")&amp;IF(J148="","产品规模标识；","")&amp;IF(AND(F148&lt;3,NOT(ISNUMBER(O148))),"R_incep；","")&amp;IF(NOT(ISNUMBER(N148)),"近三年收益；","")&amp;IF(NOT(ISNUMBER(U148)),"近三年胜率；","")&amp;IF(AND(ISNUMBER(V148),OR(V148&lt;0,V148&gt;1)),"胜率窗口口径不一致；","")&amp;IF(NOT(ISNUMBER(AA148)),"近三年回撤；","")&amp;IF(NOT(ISNUMBER(AD148)),"短期卡玛；","")&amp;IF(AND(ISNUMBER(P148),NOT(ISNUMBER(AE148))),"DD_long不可识别；","")</x:f>
        <x:v>DD_long不可识别；</x:v>
      </x:c>
      <x:c r="AV148" s="42" t="n">
        <x:v>10</x:v>
      </x:c>
      <x:c r="AW148" s="19" t="str">
        <x:v>上海俊丹私募基金管理有限公司</x:v>
      </x:c>
      <x:c r="AX148" s="19" t="str">
        <x:v>2025-12-03</x:v>
      </x:c>
      <x:c r="AY148" s="19" t="str">
        <x:v>https://gs.amac.org.cn/amac-infodisc/res/pof/manager/1907181104109037.html</x:v>
      </x:c>
      <x:c r="AZ148" s="19" t="str">
        <x:v>俊丹湾谷二号私募证券投资基金</x:v>
      </x:c>
      <x:c r="BA148" s="19" t="str">
        <x:v>2023-05-18</x:v>
      </x:c>
      <x:c r="BB148" s="19"/>
      <x:c r="BC148" s="19" t="str">
        <x:v>https://gs.amac.org.cn/amac-infodisc/res/pof/fund/2008311647105017.html</x:v>
      </x:c>
      <x:c r="BD148" s="19" t="str">
        <x:v>已匹配</x:v>
      </x:c>
      <x:c r="BE148"/>
      <x:c r="BF148"/>
    </x:row>
    <x:row r="149" ht="28" customHeight="1">
      <x:c r="A149" s="4" t="n">
        <x:v>133</x:v>
      </x:c>
      <x:c r="B149" s="15" t="str">
        <x:f>'sheet4-原始数据'!A134</x:f>
        <x:v>永泉奇点17号混合投资</x:v>
      </x:c>
      <x:c r="C149" s="15" t="str">
        <x:f>'sheet4-原始数据'!B134</x:f>
        <x:v>SNG016</x:v>
      </x:c>
      <x:c r="D149" s="15" t="str">
        <x:f>'sheet4-原始数据'!E134</x:f>
        <x:v>宁波永泉</x:v>
      </x:c>
      <x:c r="E149" s="32" t="n">
        <x:f>IF(ISNUMBER('sheet4-原始数据'!F134),'sheet4-原始数据'!F134,"")</x:f>
        <x:v>44155</x:v>
      </x:c>
      <x:c r="F149" s="17" t="n">
        <x:f>IF(NOT(ISNUMBER(E149)),"",ROUND(('sheet1-指标体系'!$J$23-E149)/365.25,4))</x:f>
        <x:v>5.8207</x:v>
      </x:c>
      <x:c r="G149" s="4" t="str">
        <x:f t="shared" si="6">IF(NOT(ISNUMBER(F149)),"",IF(F149&lt;1,"不入池","入池"))</x:f>
        <x:v>入池</x:v>
      </x:c>
      <x:c r="H149" s="33" t="str">
        <x:v>0-5亿元</x:v>
      </x:c>
      <x:c r="I149" s="17" t="n">
        <x:f>IF(H149="","",IF(ISNUMBER(SEARCH("100亿元以上",H149)),100,IF(OR(ISNUMBER(SEARCH("20-50",H149)),ISNUMBER(SEARCH("50-100",H149)),ISNUMBER(SEARCH("20-100",H149))),90,IF(ISNUMBER(SEARCH("10-20",H149)),80,IF(ISNUMBER(SEARCH("5-10",H149)),70,IF(ISNUMBER(SEARCH("0-5",H149)),60,""))))))</x:f>
        <x:v>60</x:v>
      </x:c>
      <x:c r="J149" s="34" t="str">
        <x:v>无低于1000万元标识</x:v>
      </x:c>
      <x:c r="K149" s="17" t="n">
        <x:f>IF(J149="","",IF(J149="低于1000万元",0,100))</x:f>
        <x:v>100</x:v>
      </x:c>
      <x:c r="L149" s="17" t="n">
        <x:f>IF(NOT(ISNUMBER(F149)),"",IF(F149&lt;1,"",IF(F149&lt;3,70,100)))</x:f>
        <x:v>100</x:v>
      </x:c>
      <x:c r="M149" s="35" t="n">
        <x:f>IF(ISNUMBER('sheet4-原始数据'!G134),'sheet4-原始数据'!G134,"")</x:f>
        <x:v>0.052000000000000005</x:v>
      </x:c>
      <x:c r="N149" s="35" t="n">
        <x:f>IF(ISNUMBER('sheet4-原始数据'!H134),'sheet4-原始数据'!H134,"")</x:f>
        <x:v>0.1173</x:v>
      </x:c>
      <x:c r="O149" s="36" t="str">
        <x:f>IF(ISNUMBER('sheet4-原始数据'!Q134),'sheet4-原始数据'!Q134,"")</x:f>
      </x:c>
      <x:c r="P149" s="37" t="n">
        <x:f>IF($G149&lt;&gt;"入池","",IF($F149&gt;=3,IF(OR(NOT(ISNUMBER($M149)),NOT(ISNUMBER($N149)),1+$M149&lt;=0,1+$N149&lt;0),"",((1+$N149)^3/(1+$M149))^(1/2)-1),IF(OR($F149&lt;=1,NOT(ISNUMBER($M149)),NOT(ISNUMBER($O149)),1+$M149&lt;=0,1+$O149&lt;0),"",((1+$O149)^$F149/(1+$M149))^(1/($F149-1))-1)))</x:f>
        <x:v>0.1514546242176149</x:v>
      </x:c>
      <x:c r="Q149" s="17" t="n">
        <x:f>IF(OR($G149&lt;&gt;"入池",NOT(ISNUMBER(M149))),"",IF(COUNTIFS($G$17:$G$219,"入池",$M$17:$M$219,"&gt;=-1E+307",$M$17:$M$219,"&lt;=1E+307")&lt;=1,100,ROUND(100*(COUNTIFS($G$17:$G$219,"入池",$M$17:$M$219,"&gt;=-1E+307",$M$17:$M$219,"&lt;"&amp;M149)+COUNTIFS($G$17:$G$219,"入池",$M$17:$M$219,M149,$M$17:$M$219,"&gt;=-1E+307",$M$17:$M$219,"&lt;=1E+307")/2-0.5)/(COUNTIFS($G$17:$G$219,"入池",$M$17:$M$219,"&gt;=-1E+307",$M$17:$M$219,"&lt;=1E+307")-1),2)))</x:f>
        <x:v>50.5</x:v>
      </x:c>
      <x:c r="R149" s="17" t="n">
        <x:f>IF(OR($G149&lt;&gt;"入池",NOT(ISNUMBER(P149))),"",IF(COUNTIFS($G$17:$G$219,"入池",$P$17:$P$219,"&gt;=-1E+307",$P$17:$P$219,"&lt;=1E+307")&lt;=1,100,ROUND(100*(COUNTIFS($G$17:$G$219,"入池",$P$17:$P$219,"&gt;=-1E+307",$P$17:$P$219,"&lt;"&amp;P149)+COUNTIFS($G$17:$G$219,"入池",$P$17:$P$219,P149,$P$17:$P$219,"&gt;=-1E+307",$P$17:$P$219,"&lt;=1E+307")/2-0.5)/(COUNTIFS($G$17:$G$219,"入池",$P$17:$P$219,"&gt;=-1E+307",$P$17:$P$219,"&lt;=1E+307")-1),2)))</x:f>
        <x:v>89.11</x:v>
      </x:c>
      <x:c r="S149" s="17" t="n">
        <x:f>IF(NOT(ISNUMBER(Q149)),"",IF(NOT(ISNUMBER(R149)),Q149,ROUND(Q149*'sheet1-指标体系'!$J$8+R149*'sheet1-指标体系'!$J$9,2)))</x:f>
        <x:v>65.94</x:v>
      </x:c>
      <x:c r="T149" s="35" t="n">
        <x:f>IF(ISNUMBER('sheet4-原始数据'!J134),'sheet4-原始数据'!J134,"")</x:f>
        <x:v>0.8462000000000001</x:v>
      </x:c>
      <x:c r="U149" s="35" t="n">
        <x:f>IF(ISNUMBER('sheet4-原始数据'!I134),'sheet4-原始数据'!I134,"")</x:f>
        <x:v>0.8108</x:v>
      </x:c>
      <x:c r="V149" s="37" t="n">
        <x:f>IF(OR(NOT(ISNUMBER(T149)),NOT(ISNUMBER(U149))),"",(U149*'sheet1-指标体系'!$J$6-T149*'sheet1-指标体系'!$J$5)/'sheet1-指标体系'!$J$7)</x:f>
        <x:v>0.7916249999999998</x:v>
      </x:c>
      <x:c r="W149" s="17" t="n">
        <x:f>IF(NOT(ISNUMBER(T149)),"",T149*100)</x:f>
        <x:v>84.62</x:v>
      </x:c>
      <x:c r="X149" s="17" t="n">
        <x:f>IF($G149&lt;&gt;"入池","",IF(AND(ISNUMBER(V149),V149&gt;=0,V149&lt;=1),V149*100,IF(MAX(0,($F149-1)*12)&lt;6,100,"")))</x:f>
        <x:v>79.16249999999998</x:v>
      </x:c>
      <x:c r="Y149" s="17" t="n">
        <x:f>IF(NOT(ISNUMBER(W149)),"",IF(NOT(ISNUMBER(X149)),W149,ROUND(W149*'sheet1-指标体系'!$J$8+X149*'sheet1-指标体系'!$J$9,2)))</x:f>
        <x:v>82.44</x:v>
      </x:c>
      <x:c r="Z149" s="37" t="n">
        <x:f>IF(OR(NOT(ISNUMBER(M149)),NOT(ISNUMBER(AD149)),AD149=0),"",ABS(M149/AD149))</x:f>
        <x:v>0.0036595750670335627</x:v>
      </x:c>
      <x:c r="AA149" s="35" t="n">
        <x:f>IF(ISNUMBER('sheet4-原始数据'!K134),'sheet4-原始数据'!K134,"")</x:f>
        <x:v>0.0108</x:v>
      </x:c>
      <x:c r="AB149" s="37" t="n">
        <x:f>IF(COUNT(Z149:AA149)=0,"",MAX(Z149:AA149))</x:f>
        <x:v>0.0108</x:v>
      </x:c>
      <x:c r="AC149" s="17" t="n">
        <x:f>IF(OR($G149&lt;&gt;"入池",NOT(ISNUMBER(AB149))),"",IF(COUNTIFS($G$17:$G$219,"入池",$AB$17:$AB$219,"&gt;=-1E+307",$AB$17:$AB$219,"&lt;=1E+307")&lt;=1,100,ROUND(100*(COUNTIFS($G$17:$G$219,"入池",$AB$17:$AB$219,"&lt;=1E+307",$AB$17:$AB$219,"&gt;"&amp;AB149)+COUNTIFS($G$17:$G$219,"入池",$AB$17:$AB$219,AB149,$AB$17:$AB$219,"&gt;=-1E+307",$AB$17:$AB$219,"&lt;=1E+307")/2-0.5)/(COUNTIFS($G$17:$G$219,"入池",$AB$17:$AB$219,"&gt;=-1E+307",$AB$17:$AB$219,"&lt;=1E+307")-1),2)))</x:f>
        <x:v>86.14</x:v>
      </x:c>
      <x:c r="AD149" s="38" t="n">
        <x:f>IF(ISNUMBER('sheet4-原始数据'!M134),'sheet4-原始数据'!M134,"")</x:f>
        <x:v>14.2093</x:v>
      </x:c>
      <x:c r="AE149" s="37" t="n">
        <x:f>IF(OR(NOT(ISNUMBER(P149)),NOT(ISNUMBER(AA149)),NOT(ISNUMBER(Z149))),"",IF(AA149&gt;Z149+'sheet1-指标体系'!$J$11,AA149,""))</x:f>
        <x:v>0.0108</x:v>
      </x:c>
      <x:c r="AF149" s="17" t="n">
        <x:f>IF(OR(NOT(ISNUMBER(P149)),NOT(ISNUMBER(AE149)),AE149=0),"",P149/AE149)</x:f>
        <x:v>14.023576316445824</x:v>
      </x:c>
      <x:c r="AG149" s="17" t="n">
        <x:f>IF(OR($G149&lt;&gt;"入池",NOT(ISNUMBER(AD149))),"",IF(COUNTIFS($G$17:$G$219,"入池",$AD$17:$AD$219,"&gt;=-1E+307",$AD$17:$AD$219,"&lt;=1E+307")&lt;=1,100,ROUND(100*(COUNTIFS($G$17:$G$219,"入池",$AD$17:$AD$219,"&gt;=-1E+307",$AD$17:$AD$219,"&lt;"&amp;AD149)+COUNTIFS($G$17:$G$219,"入池",$AD$17:$AD$219,AD149,$AD$17:$AD$219,"&gt;=-1E+307",$AD$17:$AD$219,"&lt;=1E+307")/2-0.5)/(COUNTIFS($G$17:$G$219,"入池",$AD$17:$AD$219,"&gt;=-1E+307",$AD$17:$AD$219,"&lt;=1E+307")-1),2)))</x:f>
        <x:v>84.58</x:v>
      </x:c>
      <x:c r="AH149" s="17" t="n">
        <x:f>IF(OR($G149&lt;&gt;"入池",NOT(ISNUMBER(AF149))),"",IF(COUNTIFS($G$17:$G$219,"入池",$AF$17:$AF$219,"&gt;=-1E+307",$AF$17:$AF$219,"&lt;=1E+307")&lt;=1,100,ROUND(100*(COUNTIFS($G$17:$G$219,"入池",$AF$17:$AF$219,"&gt;=-1E+307",$AF$17:$AF$219,"&lt;"&amp;AF149)+COUNTIFS($G$17:$G$219,"入池",$AF$17:$AF$219,AF149,$AF$17:$AF$219,"&gt;=-1E+307",$AF$17:$AF$219,"&lt;=1E+307")/2-0.5)/(COUNTIFS($G$17:$G$219,"入池",$AF$17:$AF$219,"&gt;=-1E+307",$AF$17:$AF$219,"&lt;=1E+307")-1),2)))</x:f>
        <x:v>94.16</x:v>
      </x:c>
      <x:c r="AI149" s="17" t="n">
        <x:f>IF(NOT(ISNUMBER(AG149)),"",IF(NOT(ISNUMBER(AH149)),AG149,ROUND(AG149*'sheet1-指标体系'!$J$8+AH149*'sheet1-指标体系'!$J$9,2)))</x:f>
        <x:v>88.41</x:v>
      </x:c>
      <x:c r="AJ149" s="37" t="n">
        <x:f>IF(NOT(ISNUMBER(F149)),"",IF(F149&gt;=3,IF(NOT(ISNUMBER(N149)),"",N149),IF(NOT(ISNUMBER(O149)),"",O149)))</x:f>
        <x:v>0.1173</x:v>
      </x:c>
      <x:c r="AK149" s="17" t="n">
        <x:f>IF(OR(G149&lt;&gt;"入池",NOT(ISNUMBER(M149)),NOT(ISNUMBER(AJ149))),"",IF(M149&gt;=AJ149,100,IF(AJ149-M149&lt;'sheet1-指标体系'!$J$10,80,60)))</x:f>
        <x:v>80</x:v>
      </x:c>
      <x:c r="AL149" s="17" t="n">
        <x:f>IF(COUNT(I149,K149,L149)=0,"",ROUND((IF(ISNUMBER(I149),I149*40%,0)+IF(ISNUMBER(K149),K149*30%,0)+IF(ISNUMBER(L149),L149*30%,0))/(IF(ISNUMBER(I149),40%,0)+IF(ISNUMBER(K149),30%,0)+IF(ISNUMBER(L149),30%,0)),2))</x:f>
        <x:v>84</x:v>
      </x:c>
      <x:c r="AM149" s="17" t="n">
        <x:f>IF(COUNT(Q149,R149,W149,X149)=0,"",ROUND((IF(ISNUMBER(Q149),Q149*42%,0)+IF(ISNUMBER(R149),R149*28%,0)+IF(ISNUMBER(W149),W149*18%,0)+IF(ISNUMBER(X149),X149*12%,0))/(IF(ISNUMBER(Q149),42%,0)+IF(ISNUMBER(R149),28%,0)+IF(ISNUMBER(W149),18%,0)+IF(ISNUMBER(X149),12%,0)),2))</x:f>
        <x:v>70.89</x:v>
      </x:c>
      <x:c r="AN149" s="17" t="n">
        <x:f>IF(ISNUMBER(AC149),AC149,"")</x:f>
        <x:v>86.14</x:v>
      </x:c>
      <x:c r="AO149" s="17" t="n">
        <x:f>IF(COUNT(AG149,AH149)=0,"",ROUND((IF(ISNUMBER(AG149),AG149*60%,0)+IF(ISNUMBER(AH149),AH149*40%,0))/(IF(ISNUMBER(AG149),60%,0)+IF(ISNUMBER(AH149),40%,0)),2))</x:f>
        <x:v>88.41</x:v>
      </x:c>
      <x:c r="AP149" s="17" t="n">
        <x:f>IF(ISNUMBER(AK149),AK149,"")</x:f>
        <x:v>80</x:v>
      </x:c>
      <x:c r="AQ149" s="39" t="n">
        <x:f>IF(G149&lt;&gt;"入池",0,IF(ISNUMBER(I149),6%,0)+IF(ISNUMBER(K149),4.5%,0)+IF(ISNUMBER(L149),4.5%,0)+IF(ISNUMBER(Q149),8.4%,0)+IF(ISNUMBER(R149),5.6%,0)+IF(ISNUMBER(W149),3.6%,0)+IF(ISNUMBER(X149),2.4%,0)+IF(ISNUMBER(AC149),25%,0)+IF(ISNUMBER(AG149),18%,0)+IF(ISNUMBER(AH149),12%,0)+IF(ISNUMBER(AK149),10%,0))</x:f>
        <x:v>1</x:v>
      </x:c>
      <x:c r="AR149" s="17" t="n">
        <x:f>IF(AQ149=0,"",IF(ISNUMBER(I149),I149*6%,0)+IF(ISNUMBER(K149),K149*4.5%,0)+IF(ISNUMBER(L149),L149*4.5%,0)+IF(ISNUMBER(Q149),Q149*8.4%,0)+IF(ISNUMBER(R149),R149*5.6%,0)+IF(ISNUMBER(W149),W149*3.6%,0)+IF(ISNUMBER(X149),X149*2.4%,0)+IF(ISNUMBER(AC149),AC149*25%,0)+IF(ISNUMBER(AG149),AG149*18%,0)+IF(ISNUMBER(AH149),AH149*12%,0)+IF(ISNUMBER(AK149),AK149*10%,0))</x:f>
        <x:v>82.83698</x:v>
      </x:c>
      <x:c r="AS149" s="17" t="n">
        <x:f>IF(AQ149=0,"",ROUND(AR149/AQ149,2))</x:f>
        <x:v>82.84</x:v>
      </x:c>
      <x:c r="AT149" s="40" t="n">
        <x:f>IF(OR(G149&lt;&gt;"入池",NOT(ISNUMBER(AS149))),"",COUNTIFS($G$17:$G$219,"入池",$AS$17:$AS$219,"&gt;"&amp;AS149)+COUNTIFS($G$17:$G$219,"入池",$AS$17:$AS$219,AS149,$AQ$17:$AQ$219,"&gt;"&amp;AQ149)+COUNTIFS($G$17:G149,"入池",$AS$17:AS149,AS149,$AQ$17:AQ149,AQ149))</x:f>
        <x:v>24</x:v>
      </x:c>
      <x:c r="AU149" s="41" t="str">
        <x:f t="shared" si="7">IF(NOT(ISNUMBER(I149)),"管理人规模；","")&amp;IF(J149="","产品规模标识；","")&amp;IF(AND(F149&lt;3,NOT(ISNUMBER(O149))),"R_incep；","")&amp;IF(NOT(ISNUMBER(N149)),"近三年收益；","")&amp;IF(NOT(ISNUMBER(U149)),"近三年胜率；","")&amp;IF(AND(ISNUMBER(V149),OR(V149&lt;0,V149&gt;1)),"胜率窗口口径不一致；","")&amp;IF(NOT(ISNUMBER(AA149)),"近三年回撤；","")&amp;IF(NOT(ISNUMBER(AD149)),"短期卡玛；","")&amp;IF(AND(ISNUMBER(P149),NOT(ISNUMBER(AE149))),"DD_long不可识别；","")</x:f>
      </x:c>
      <x:c r="AV149" s="42" t="n">
        <x:v>0</x:v>
      </x:c>
      <x:c r="AW149" s="19" t="str">
        <x:v>宁波永泉私募基金管理有限公司</x:v>
      </x:c>
      <x:c r="AX149" s="19" t="str">
        <x:v>2026-09-09</x:v>
      </x:c>
      <x:c r="AY149" s="19" t="str">
        <x:v>https://gs.amac.org.cn/amac-infodisc/res/pof/manager/101000016974.html</x:v>
      </x:c>
      <x:c r="AZ149" s="19" t="str">
        <x:v>永泉奇点17号混合投资私募基金</x:v>
      </x:c>
      <x:c r="BA149" s="19" t="str">
        <x:v>2026-07-08</x:v>
      </x:c>
      <x:c r="BB149" s="19"/>
      <x:c r="BC149" s="19" t="str">
        <x:v>https://gs.amac.org.cn/amac-infodisc/res/pof/fund/2011301715100423.html</x:v>
      </x:c>
      <x:c r="BD149" s="19" t="str">
        <x:v>已匹配</x:v>
      </x:c>
      <x:c r="BE149"/>
      <x:c r="BF149"/>
    </x:row>
    <x:row r="150" ht="28" customHeight="1">
      <x:c r="A150" s="4" t="n">
        <x:v>134</x:v>
      </x:c>
      <x:c r="B150" s="15" t="str">
        <x:f>'sheet4-原始数据'!A135</x:f>
        <x:v>多打粮磬晟</x:v>
      </x:c>
      <x:c r="C150" s="15" t="str">
        <x:f>'sheet4-原始数据'!B135</x:f>
        <x:v>SNF235</x:v>
      </x:c>
      <x:c r="D150" s="15" t="str">
        <x:f>'sheet4-原始数据'!E135</x:f>
        <x:v>上海磬晟</x:v>
      </x:c>
      <x:c r="E150" s="32" t="n">
        <x:f>IF(ISNUMBER('sheet4-原始数据'!F135),'sheet4-原始数据'!F135,"")</x:f>
        <x:v>44175</x:v>
      </x:c>
      <x:c r="F150" s="17" t="n">
        <x:f>IF(NOT(ISNUMBER(E150)),"",ROUND(('sheet1-指标体系'!$J$23-E150)/365.25,4))</x:f>
        <x:v>5.7659</x:v>
      </x:c>
      <x:c r="G150" s="4" t="str">
        <x:f t="shared" si="6">IF(NOT(ISNUMBER(F150)),"",IF(F150&lt;1,"不入池","入池"))</x:f>
        <x:v>入池</x:v>
      </x:c>
      <x:c r="H150" s="33" t="str">
        <x:v>5-10亿元</x:v>
      </x:c>
      <x:c r="I150" s="17" t="n">
        <x:f>IF(H150="","",IF(ISNUMBER(SEARCH("100亿元以上",H150)),100,IF(OR(ISNUMBER(SEARCH("20-50",H150)),ISNUMBER(SEARCH("50-100",H150)),ISNUMBER(SEARCH("20-100",H150))),90,IF(ISNUMBER(SEARCH("10-20",H150)),80,IF(ISNUMBER(SEARCH("5-10",H150)),70,IF(ISNUMBER(SEARCH("0-5",H150)),60,""))))))</x:f>
        <x:v>70</x:v>
      </x:c>
      <x:c r="J150" s="34" t="str">
        <x:v>无低于1000万元标识</x:v>
      </x:c>
      <x:c r="K150" s="17" t="n">
        <x:f>IF(J150="","",IF(J150="低于1000万元",0,100))</x:f>
        <x:v>100</x:v>
      </x:c>
      <x:c r="L150" s="17" t="n">
        <x:f>IF(NOT(ISNUMBER(F150)),"",IF(F150&lt;1,"",IF(F150&lt;3,70,100)))</x:f>
        <x:v>100</x:v>
      </x:c>
      <x:c r="M150" s="35" t="n">
        <x:f>IF(ISNUMBER('sheet4-原始数据'!G135),'sheet4-原始数据'!G135,"")</x:f>
        <x:v>0</x:v>
      </x:c>
      <x:c r="N150" s="35" t="n">
        <x:f>IF(ISNUMBER('sheet4-原始数据'!H135),'sheet4-原始数据'!H135,"")</x:f>
        <x:v>-0.01</x:v>
      </x:c>
      <x:c r="O150" s="36" t="str">
        <x:f>IF(ISNUMBER('sheet4-原始数据'!Q135),'sheet4-原始数据'!Q135,"")</x:f>
      </x:c>
      <x:c r="P150" s="37" t="n">
        <x:f>IF($G150&lt;&gt;"入池","",IF($F150&gt;=3,IF(OR(NOT(ISNUMBER($M150)),NOT(ISNUMBER($N150)),1+$M150&lt;=0,1+$N150&lt;0),"",((1+$N150)^3/(1+$M150))^(1/2)-1),IF(OR($F150&lt;=1,NOT(ISNUMBER($M150)),NOT(ISNUMBER($O150)),1+$M150&lt;=0,1+$O150&lt;0),"",((1+$O150)^$F150/(1+$M150))^(1/($F150-1))-1)))</x:f>
        <x:v>-0.014962437264446238</x:v>
      </x:c>
      <x:c r="Q150" s="17" t="n">
        <x:f>IF(OR($G150&lt;&gt;"入池",NOT(ISNUMBER(M150))),"",IF(COUNTIFS($G$17:$G$219,"入池",$M$17:$M$219,"&gt;=-1E+307",$M$17:$M$219,"&lt;=1E+307")&lt;=1,100,ROUND(100*(COUNTIFS($G$17:$G$219,"入池",$M$17:$M$219,"&gt;=-1E+307",$M$17:$M$219,"&lt;"&amp;M150)+COUNTIFS($G$17:$G$219,"入池",$M$17:$M$219,M150,$M$17:$M$219,"&gt;=-1E+307",$M$17:$M$219,"&lt;=1E+307")/2-0.5)/(COUNTIFS($G$17:$G$219,"入池",$M$17:$M$219,"&gt;=-1E+307",$M$17:$M$219,"&lt;=1E+307")-1),2)))</x:f>
        <x:v>19.31</x:v>
      </x:c>
      <x:c r="R150" s="17" t="n">
        <x:f>IF(OR($G150&lt;&gt;"入池",NOT(ISNUMBER(P150))),"",IF(COUNTIFS($G$17:$G$219,"入池",$P$17:$P$219,"&gt;=-1E+307",$P$17:$P$219,"&lt;=1E+307")&lt;=1,100,ROUND(100*(COUNTIFS($G$17:$G$219,"入池",$P$17:$P$219,"&gt;=-1E+307",$P$17:$P$219,"&lt;"&amp;P150)+COUNTIFS($G$17:$G$219,"入池",$P$17:$P$219,P150,$P$17:$P$219,"&gt;=-1E+307",$P$17:$P$219,"&lt;=1E+307")/2-0.5)/(COUNTIFS($G$17:$G$219,"入池",$P$17:$P$219,"&gt;=-1E+307",$P$17:$P$219,"&lt;=1E+307")-1),2)))</x:f>
        <x:v>3.47</x:v>
      </x:c>
      <x:c r="S150" s="17" t="n">
        <x:f>IF(NOT(ISNUMBER(Q150)),"",IF(NOT(ISNUMBER(R150)),Q150,ROUND(Q150*'sheet1-指标体系'!$J$8+R150*'sheet1-指标体系'!$J$9,2)))</x:f>
        <x:v>12.97</x:v>
      </x:c>
      <x:c r="T150" s="35" t="n">
        <x:f>IF(ISNUMBER('sheet4-原始数据'!J135),'sheet4-原始数据'!J135,"")</x:f>
        <x:v>0.6154</x:v>
      </x:c>
      <x:c r="U150" s="35" t="n">
        <x:f>IF(ISNUMBER('sheet4-原始数据'!I135),'sheet4-原始数据'!I135,"")</x:f>
        <x:v>0.5405</x:v>
      </x:c>
      <x:c r="V150" s="37" t="n">
        <x:f>IF(OR(NOT(ISNUMBER(T150)),NOT(ISNUMBER(U150))),"",(U150*'sheet1-指标体系'!$J$6-T150*'sheet1-指标体系'!$J$5)/'sheet1-指标体系'!$J$7)</x:f>
        <x:v>0.4999291666666667</x:v>
      </x:c>
      <x:c r="W150" s="17" t="n">
        <x:f>IF(NOT(ISNUMBER(T150)),"",T150*100)</x:f>
        <x:v>61.53999999999999</x:v>
      </x:c>
      <x:c r="X150" s="17" t="n">
        <x:f>IF($G150&lt;&gt;"入池","",IF(AND(ISNUMBER(V150),V150&gt;=0,V150&lt;=1),V150*100,IF(MAX(0,($F150-1)*12)&lt;6,100,"")))</x:f>
        <x:v>49.99291666666667</x:v>
      </x:c>
      <x:c r="Y150" s="17" t="n">
        <x:f>IF(NOT(ISNUMBER(W150)),"",IF(NOT(ISNUMBER(X150)),W150,ROUND(W150*'sheet1-指标体系'!$J$8+X150*'sheet1-指标体系'!$J$9,2)))</x:f>
        <x:v>56.92</x:v>
      </x:c>
      <x:c r="Z150" s="37" t="n">
        <x:f>IF(OR(NOT(ISNUMBER(M150)),NOT(ISNUMBER(AD150)),AD150=0),"",ABS(M150/AD150))</x:f>
        <x:v>0</x:v>
      </x:c>
      <x:c r="AA150" s="35" t="n">
        <x:f>IF(ISNUMBER('sheet4-原始数据'!K135),'sheet4-原始数据'!K135,"")</x:f>
        <x:v>0.1151</x:v>
      </x:c>
      <x:c r="AB150" s="37" t="n">
        <x:f>IF(COUNT(Z150:AA150)=0,"",MAX(Z150:AA150))</x:f>
        <x:v>0.1151</x:v>
      </x:c>
      <x:c r="AC150" s="17" t="n">
        <x:f>IF(OR($G150&lt;&gt;"入池",NOT(ISNUMBER(AB150))),"",IF(COUNTIFS($G$17:$G$219,"入池",$AB$17:$AB$219,"&gt;=-1E+307",$AB$17:$AB$219,"&lt;=1E+307")&lt;=1,100,ROUND(100*(COUNTIFS($G$17:$G$219,"入池",$AB$17:$AB$219,"&lt;=1E+307",$AB$17:$AB$219,"&gt;"&amp;AB150)+COUNTIFS($G$17:$G$219,"入池",$AB$17:$AB$219,AB150,$AB$17:$AB$219,"&gt;=-1E+307",$AB$17:$AB$219,"&lt;=1E+307")/2-0.5)/(COUNTIFS($G$17:$G$219,"入池",$AB$17:$AB$219,"&gt;=-1E+307",$AB$17:$AB$219,"&lt;=1E+307")-1),2)))</x:f>
        <x:v>22.77</x:v>
      </x:c>
      <x:c r="AD150" s="38" t="n">
        <x:f>IF(ISNUMBER('sheet4-原始数据'!M135),'sheet4-原始数据'!M135,"")</x:f>
        <x:v>0.0001</x:v>
      </x:c>
      <x:c r="AE150" s="37" t="n">
        <x:f>IF(OR(NOT(ISNUMBER(P150)),NOT(ISNUMBER(AA150)),NOT(ISNUMBER(Z150))),"",IF(AA150&gt;Z150+'sheet1-指标体系'!$J$11,AA150,""))</x:f>
        <x:v>0.1151</x:v>
      </x:c>
      <x:c r="AF150" s="17" t="n">
        <x:f>IF(OR(NOT(ISNUMBER(P150)),NOT(ISNUMBER(AE150)),AE150=0),"",P150/AE150)</x:f>
        <x:v>-0.129995110898751</x:v>
      </x:c>
      <x:c r="AG150" s="17" t="n">
        <x:f>IF(OR($G150&lt;&gt;"入池",NOT(ISNUMBER(AD150))),"",IF(COUNTIFS($G$17:$G$219,"入池",$AD$17:$AD$219,"&gt;=-1E+307",$AD$17:$AD$219,"&lt;=1E+307")&lt;=1,100,ROUND(100*(COUNTIFS($G$17:$G$219,"入池",$AD$17:$AD$219,"&gt;=-1E+307",$AD$17:$AD$219,"&lt;"&amp;AD150)+COUNTIFS($G$17:$G$219,"入池",$AD$17:$AD$219,AD150,$AD$17:$AD$219,"&gt;=-1E+307",$AD$17:$AD$219,"&lt;=1E+307")/2-0.5)/(COUNTIFS($G$17:$G$219,"入池",$AD$17:$AD$219,"&gt;=-1E+307",$AD$17:$AD$219,"&lt;=1E+307")-1),2)))</x:f>
        <x:v>19.4</x:v>
      </x:c>
      <x:c r="AH150" s="17" t="n">
        <x:f>IF(OR($G150&lt;&gt;"入池",NOT(ISNUMBER(AF150))),"",IF(COUNTIFS($G$17:$G$219,"入池",$AF$17:$AF$219,"&gt;=-1E+307",$AF$17:$AF$219,"&lt;=1E+307")&lt;=1,100,ROUND(100*(COUNTIFS($G$17:$G$219,"入池",$AF$17:$AF$219,"&gt;=-1E+307",$AF$17:$AF$219,"&lt;"&amp;AF150)+COUNTIFS($G$17:$G$219,"入池",$AF$17:$AF$219,AF150,$AF$17:$AF$219,"&gt;=-1E+307",$AF$17:$AF$219,"&lt;=1E+307")/2-0.5)/(COUNTIFS($G$17:$G$219,"入池",$AF$17:$AF$219,"&gt;=-1E+307",$AF$17:$AF$219,"&lt;=1E+307")-1),2)))</x:f>
        <x:v>1.46</x:v>
      </x:c>
      <x:c r="AI150" s="17" t="n">
        <x:f>IF(NOT(ISNUMBER(AG150)),"",IF(NOT(ISNUMBER(AH150)),AG150,ROUND(AG150*'sheet1-指标体系'!$J$8+AH150*'sheet1-指标体系'!$J$9,2)))</x:f>
        <x:v>12.22</x:v>
      </x:c>
      <x:c r="AJ150" s="37" t="n">
        <x:f>IF(NOT(ISNUMBER(F150)),"",IF(F150&gt;=3,IF(NOT(ISNUMBER(N150)),"",N150),IF(NOT(ISNUMBER(O150)),"",O150)))</x:f>
        <x:v>-0.01</x:v>
      </x:c>
      <x:c r="AK150" s="17" t="n">
        <x:f>IF(OR(G150&lt;&gt;"入池",NOT(ISNUMBER(M150)),NOT(ISNUMBER(AJ150))),"",IF(M150&gt;=AJ150,100,IF(AJ150-M150&lt;'sheet1-指标体系'!$J$10,80,60)))</x:f>
        <x:v>100</x:v>
      </x:c>
      <x:c r="AL150" s="17" t="n">
        <x:f>IF(COUNT(I150,K150,L150)=0,"",ROUND((IF(ISNUMBER(I150),I150*40%,0)+IF(ISNUMBER(K150),K150*30%,0)+IF(ISNUMBER(L150),L150*30%,0))/(IF(ISNUMBER(I150),40%,0)+IF(ISNUMBER(K150),30%,0)+IF(ISNUMBER(L150),30%,0)),2))</x:f>
        <x:v>88</x:v>
      </x:c>
      <x:c r="AM150" s="17" t="n">
        <x:f>IF(COUNT(Q150,R150,W150,X150)=0,"",ROUND((IF(ISNUMBER(Q150),Q150*42%,0)+IF(ISNUMBER(R150),R150*28%,0)+IF(ISNUMBER(W150),W150*18%,0)+IF(ISNUMBER(X150),X150*12%,0))/(IF(ISNUMBER(Q150),42%,0)+IF(ISNUMBER(R150),28%,0)+IF(ISNUMBER(W150),18%,0)+IF(ISNUMBER(X150),12%,0)),2))</x:f>
        <x:v>26.16</x:v>
      </x:c>
      <x:c r="AN150" s="17" t="n">
        <x:f>IF(ISNUMBER(AC150),AC150,"")</x:f>
        <x:v>22.77</x:v>
      </x:c>
      <x:c r="AO150" s="17" t="n">
        <x:f>IF(COUNT(AG150,AH150)=0,"",ROUND((IF(ISNUMBER(AG150),AG150*60%,0)+IF(ISNUMBER(AH150),AH150*40%,0))/(IF(ISNUMBER(AG150),60%,0)+IF(ISNUMBER(AH150),40%,0)),2))</x:f>
        <x:v>12.22</x:v>
      </x:c>
      <x:c r="AP150" s="17" t="n">
        <x:f>IF(ISNUMBER(AK150),AK150,"")</x:f>
        <x:v>100</x:v>
      </x:c>
      <x:c r="AQ150" s="39" t="n">
        <x:f>IF(G150&lt;&gt;"入池",0,IF(ISNUMBER(I150),6%,0)+IF(ISNUMBER(K150),4.5%,0)+IF(ISNUMBER(L150),4.5%,0)+IF(ISNUMBER(Q150),8.4%,0)+IF(ISNUMBER(R150),5.6%,0)+IF(ISNUMBER(W150),3.6%,0)+IF(ISNUMBER(X150),2.4%,0)+IF(ISNUMBER(AC150),25%,0)+IF(ISNUMBER(AG150),18%,0)+IF(ISNUMBER(AH150),12%,0)+IF(ISNUMBER(AK150),10%,0))</x:f>
        <x:v>1</x:v>
      </x:c>
      <x:c r="AR150" s="17" t="n">
        <x:f>IF(AQ150=0,"",IF(ISNUMBER(I150),I150*6%,0)+IF(ISNUMBER(K150),K150*4.5%,0)+IF(ISNUMBER(L150),L150*4.5%,0)+IF(ISNUMBER(Q150),Q150*8.4%,0)+IF(ISNUMBER(R150),R150*5.6%,0)+IF(ISNUMBER(W150),W150*3.6%,0)+IF(ISNUMBER(X150),X150*2.4%,0)+IF(ISNUMBER(AC150),AC150*25%,0)+IF(ISNUMBER(AG150),AG150*18%,0)+IF(ISNUMBER(AH150),AH150*12%,0)+IF(ISNUMBER(AK150),AK150*10%,0))</x:f>
        <x:v>37.79133</x:v>
      </x:c>
      <x:c r="AS150" s="17" t="n">
        <x:f>IF(AQ150=0,"",ROUND(AR150/AQ150,2))</x:f>
        <x:v>37.79</x:v>
      </x:c>
      <x:c r="AT150" s="40" t="n">
        <x:f>IF(OR(G150&lt;&gt;"入池",NOT(ISNUMBER(AS150))),"",COUNTIFS($G$17:$G$219,"入池",$AS$17:$AS$219,"&gt;"&amp;AS150)+COUNTIFS($G$17:$G$219,"入池",$AS$17:$AS$219,AS150,$AQ$17:$AQ$219,"&gt;"&amp;AQ150)+COUNTIFS($G$17:G150,"入池",$AS$17:AS150,AS150,$AQ$17:AQ150,AQ150))</x:f>
        <x:v>178</x:v>
      </x:c>
      <x:c r="AU150" s="41" t="str">
        <x:f t="shared" si="7">IF(NOT(ISNUMBER(I150)),"管理人规模；","")&amp;IF(J150="","产品规模标识；","")&amp;IF(AND(F150&lt;3,NOT(ISNUMBER(O150))),"R_incep；","")&amp;IF(NOT(ISNUMBER(N150)),"近三年收益；","")&amp;IF(NOT(ISNUMBER(U150)),"近三年胜率；","")&amp;IF(AND(ISNUMBER(V150),OR(V150&lt;0,V150&gt;1)),"胜率窗口口径不一致；","")&amp;IF(NOT(ISNUMBER(AA150)),"近三年回撤；","")&amp;IF(NOT(ISNUMBER(AD150)),"短期卡玛；","")&amp;IF(AND(ISNUMBER(P150),NOT(ISNUMBER(AE150))),"DD_long不可识别；","")</x:f>
      </x:c>
      <x:c r="AV150" s="42" t="n">
        <x:v>5</x:v>
      </x:c>
      <x:c r="AW150" s="19" t="str">
        <x:v>上海磬晟私募基金管理有限公司</x:v>
      </x:c>
      <x:c r="AX150" s="19" t="str">
        <x:v>2025-02-05</x:v>
      </x:c>
      <x:c r="AY150" s="19" t="str">
        <x:v>https://gs.amac.org.cn/amac-infodisc/res/pof/manager/1612231709103386.html</x:v>
      </x:c>
      <x:c r="AZ150" s="19" t="str">
        <x:v>多打粮磬晟私募证券投资基金</x:v>
      </x:c>
      <x:c r="BA150" s="19" t="str">
        <x:v>2025-11-28</x:v>
      </x:c>
      <x:c r="BB150" s="19"/>
      <x:c r="BC150" s="19" t="str">
        <x:v>https://gs.amac.org.cn/amac-infodisc/res/pof/fund/2012141440107801.html</x:v>
      </x:c>
      <x:c r="BD150" s="19" t="str">
        <x:v>已匹配</x:v>
      </x:c>
      <x:c r="BE150"/>
      <x:c r="BF150"/>
    </x:row>
    <x:row r="151" ht="28" customHeight="1">
      <x:c r="A151" s="4" t="n">
        <x:v>135</x:v>
      </x:c>
      <x:c r="B151" s="15" t="str">
        <x:f>'sheet4-原始数据'!A136</x:f>
        <x:v>元康投资-稳健添利1号</x:v>
      </x:c>
      <x:c r="C151" s="15" t="str">
        <x:f>'sheet4-原始数据'!B136</x:f>
        <x:v>SNF469</x:v>
      </x:c>
      <x:c r="D151" s="15" t="str">
        <x:f>'sheet4-原始数据'!E136</x:f>
        <x:v>上海元康投资</x:v>
      </x:c>
      <x:c r="E151" s="32" t="n">
        <x:f>IF(ISNUMBER('sheet4-原始数据'!F136),'sheet4-原始数据'!F136,"")</x:f>
        <x:v>44195</x:v>
      </x:c>
      <x:c r="F151" s="17" t="n">
        <x:f>IF(NOT(ISNUMBER(E151)),"",ROUND(('sheet1-指标体系'!$J$23-E151)/365.25,4))</x:f>
        <x:v>5.7112</x:v>
      </x:c>
      <x:c r="G151" s="4" t="str">
        <x:f t="shared" si="6">IF(NOT(ISNUMBER(F151)),"",IF(F151&lt;1,"不入池","入池"))</x:f>
        <x:v>入池</x:v>
      </x:c>
      <x:c r="H151" s="33" t="str">
        <x:v>5-10亿元</x:v>
      </x:c>
      <x:c r="I151" s="17" t="n">
        <x:f>IF(H151="","",IF(ISNUMBER(SEARCH("100亿元以上",H151)),100,IF(OR(ISNUMBER(SEARCH("20-50",H151)),ISNUMBER(SEARCH("50-100",H151)),ISNUMBER(SEARCH("20-100",H151))),90,IF(ISNUMBER(SEARCH("10-20",H151)),80,IF(ISNUMBER(SEARCH("5-10",H151)),70,IF(ISNUMBER(SEARCH("0-5",H151)),60,""))))))</x:f>
        <x:v>70</x:v>
      </x:c>
      <x:c r="J151" s="34" t="str">
        <x:v>无低于1000万元标识</x:v>
      </x:c>
      <x:c r="K151" s="17" t="n">
        <x:f>IF(J151="","",IF(J151="低于1000万元",0,100))</x:f>
        <x:v>100</x:v>
      </x:c>
      <x:c r="L151" s="17" t="n">
        <x:f>IF(NOT(ISNUMBER(F151)),"",IF(F151&lt;1,"",IF(F151&lt;3,70,100)))</x:f>
        <x:v>100</x:v>
      </x:c>
      <x:c r="M151" s="35" t="n">
        <x:f>IF(ISNUMBER('sheet4-原始数据'!G136),'sheet4-原始数据'!G136,"")</x:f>
        <x:v>0.0096</x:v>
      </x:c>
      <x:c r="N151" s="35" t="n">
        <x:f>IF(ISNUMBER('sheet4-原始数据'!H136),'sheet4-原始数据'!H136,"")</x:f>
        <x:v>0.0417</x:v>
      </x:c>
      <x:c r="O151" s="36" t="str">
        <x:f>IF(ISNUMBER('sheet4-原始数据'!Q136),'sheet4-原始数据'!Q136,"")</x:f>
      </x:c>
      <x:c r="P151" s="37" t="n">
        <x:f>IF($G151&lt;&gt;"入池","",IF($F151&gt;=3,IF(OR(NOT(ISNUMBER($M151)),NOT(ISNUMBER($N151)),1+$M151&lt;=0,1+$N151&lt;0),"",((1+$N151)^3/(1+$M151))^(1/2)-1),IF(OR($F151&lt;=1,NOT(ISNUMBER($M151)),NOT(ISNUMBER($O151)),1+$M151&lt;=0,1+$O151&lt;0),"",((1+$O151)^$F151/(1+$M151))^(1/($F151-1))-1)))</x:f>
        <x:v>0.0581307252174319</x:v>
      </x:c>
      <x:c r="Q151" s="17" t="n">
        <x:f>IF(OR($G151&lt;&gt;"入池",NOT(ISNUMBER(M151))),"",IF(COUNTIFS($G$17:$G$219,"入池",$M$17:$M$219,"&gt;=-1E+307",$M$17:$M$219,"&lt;=1E+307")&lt;=1,100,ROUND(100*(COUNTIFS($G$17:$G$219,"入池",$M$17:$M$219,"&gt;=-1E+307",$M$17:$M$219,"&lt;"&amp;M151)+COUNTIFS($G$17:$G$219,"入池",$M$17:$M$219,M151,$M$17:$M$219,"&gt;=-1E+307",$M$17:$M$219,"&lt;=1E+307")/2-0.5)/(COUNTIFS($G$17:$G$219,"入池",$M$17:$M$219,"&gt;=-1E+307",$M$17:$M$219,"&lt;=1E+307")-1),2)))</x:f>
        <x:v>21.78</x:v>
      </x:c>
      <x:c r="R151" s="17" t="n">
        <x:f>IF(OR($G151&lt;&gt;"入池",NOT(ISNUMBER(P151))),"",IF(COUNTIFS($G$17:$G$219,"入池",$P$17:$P$219,"&gt;=-1E+307",$P$17:$P$219,"&lt;=1E+307")&lt;=1,100,ROUND(100*(COUNTIFS($G$17:$G$219,"入池",$P$17:$P$219,"&gt;=-1E+307",$P$17:$P$219,"&lt;"&amp;P151)+COUNTIFS($G$17:$G$219,"入池",$P$17:$P$219,P151,$P$17:$P$219,"&gt;=-1E+307",$P$17:$P$219,"&lt;=1E+307")/2-0.5)/(COUNTIFS($G$17:$G$219,"入池",$P$17:$P$219,"&gt;=-1E+307",$P$17:$P$219,"&lt;=1E+307")-1),2)))</x:f>
        <x:v>47.03</x:v>
      </x:c>
      <x:c r="S151" s="17" t="n">
        <x:f>IF(NOT(ISNUMBER(Q151)),"",IF(NOT(ISNUMBER(R151)),Q151,ROUND(Q151*'sheet1-指标体系'!$J$8+R151*'sheet1-指标体系'!$J$9,2)))</x:f>
        <x:v>31.88</x:v>
      </x:c>
      <x:c r="T151" s="35" t="n">
        <x:f>IF(ISNUMBER('sheet4-原始数据'!J136),'sheet4-原始数据'!J136,"")</x:f>
        <x:v>0.3846</x:v>
      </x:c>
      <x:c r="U151" s="35" t="n">
        <x:f>IF(ISNUMBER('sheet4-原始数据'!I136),'sheet4-原始数据'!I136,"")</x:f>
        <x:v>0.5135000000000001</x:v>
      </x:c>
      <x:c r="V151" s="37" t="n">
        <x:f>IF(OR(NOT(ISNUMBER(T151)),NOT(ISNUMBER(U151))),"",(U151*'sheet1-指标体系'!$J$6-T151*'sheet1-指标体系'!$J$5)/'sheet1-指标体系'!$J$7)</x:f>
        <x:v>0.5833208333333334</x:v>
      </x:c>
      <x:c r="W151" s="17" t="n">
        <x:f>IF(NOT(ISNUMBER(T151)),"",T151*100)</x:f>
        <x:v>38.46</x:v>
      </x:c>
      <x:c r="X151" s="17" t="n">
        <x:f>IF($G151&lt;&gt;"入池","",IF(AND(ISNUMBER(V151),V151&gt;=0,V151&lt;=1),V151*100,IF(MAX(0,($F151-1)*12)&lt;6,100,"")))</x:f>
        <x:v>58.33208333333334</x:v>
      </x:c>
      <x:c r="Y151" s="17" t="n">
        <x:f>IF(NOT(ISNUMBER(W151)),"",IF(NOT(ISNUMBER(X151)),W151,ROUND(W151*'sheet1-指标体系'!$J$8+X151*'sheet1-指标体系'!$J$9,2)))</x:f>
        <x:v>46.41</x:v>
      </x:c>
      <x:c r="Z151" s="37" t="n">
        <x:f>IF(OR(NOT(ISNUMBER(M151)),NOT(ISNUMBER(AD151)),AD151=0),"",ABS(M151/AD151))</x:f>
        <x:v>0.00889300602130616</x:v>
      </x:c>
      <x:c r="AA151" s="35" t="n">
        <x:f>IF(ISNUMBER('sheet4-原始数据'!K136),'sheet4-原始数据'!K136,"")</x:f>
        <x:v>0.012199999999999999</x:v>
      </x:c>
      <x:c r="AB151" s="37" t="n">
        <x:f>IF(COUNT(Z151:AA151)=0,"",MAX(Z151:AA151))</x:f>
        <x:v>0.012199999999999999</x:v>
      </x:c>
      <x:c r="AC151" s="17" t="n">
        <x:f>IF(OR($G151&lt;&gt;"入池",NOT(ISNUMBER(AB151))),"",IF(COUNTIFS($G$17:$G$219,"入池",$AB$17:$AB$219,"&gt;=-1E+307",$AB$17:$AB$219,"&lt;=1E+307")&lt;=1,100,ROUND(100*(COUNTIFS($G$17:$G$219,"入池",$AB$17:$AB$219,"&lt;=1E+307",$AB$17:$AB$219,"&gt;"&amp;AB151)+COUNTIFS($G$17:$G$219,"入池",$AB$17:$AB$219,AB151,$AB$17:$AB$219,"&gt;=-1E+307",$AB$17:$AB$219,"&lt;=1E+307")/2-0.5)/(COUNTIFS($G$17:$G$219,"入池",$AB$17:$AB$219,"&gt;=-1E+307",$AB$17:$AB$219,"&lt;=1E+307")-1),2)))</x:f>
        <x:v>84.16</x:v>
      </x:c>
      <x:c r="AD151" s="38" t="n">
        <x:f>IF(ISNUMBER('sheet4-原始数据'!M136),'sheet4-原始数据'!M136,"")</x:f>
        <x:v>1.0795</x:v>
      </x:c>
      <x:c r="AE151" s="37" t="n">
        <x:f>IF(OR(NOT(ISNUMBER(P151)),NOT(ISNUMBER(AA151)),NOT(ISNUMBER(Z151))),"",IF(AA151&gt;Z151+'sheet1-指标体系'!$J$11,AA151,""))</x:f>
        <x:v>0.012199999999999999</x:v>
      </x:c>
      <x:c r="AF151" s="17" t="n">
        <x:f>IF(OR(NOT(ISNUMBER(P151)),NOT(ISNUMBER(AE151)),AE151=0),"",P151/AE151)</x:f>
        <x:v>4.764813542412451</x:v>
      </x:c>
      <x:c r="AG151" s="17" t="n">
        <x:f>IF(OR($G151&lt;&gt;"入池",NOT(ISNUMBER(AD151))),"",IF(COUNTIFS($G$17:$G$219,"入池",$AD$17:$AD$219,"&gt;=-1E+307",$AD$17:$AD$219,"&lt;=1E+307")&lt;=1,100,ROUND(100*(COUNTIFS($G$17:$G$219,"入池",$AD$17:$AD$219,"&gt;=-1E+307",$AD$17:$AD$219,"&lt;"&amp;AD151)+COUNTIFS($G$17:$G$219,"入池",$AD$17:$AD$219,AD151,$AD$17:$AD$219,"&gt;=-1E+307",$AD$17:$AD$219,"&lt;=1E+307")/2-0.5)/(COUNTIFS($G$17:$G$219,"入池",$AD$17:$AD$219,"&gt;=-1E+307",$AD$17:$AD$219,"&lt;=1E+307")-1),2)))</x:f>
        <x:v>34.83</x:v>
      </x:c>
      <x:c r="AH151" s="17" t="n">
        <x:f>IF(OR($G151&lt;&gt;"入池",NOT(ISNUMBER(AF151))),"",IF(COUNTIFS($G$17:$G$219,"入池",$AF$17:$AF$219,"&gt;=-1E+307",$AF$17:$AF$219,"&lt;=1E+307")&lt;=1,100,ROUND(100*(COUNTIFS($G$17:$G$219,"入池",$AF$17:$AF$219,"&gt;=-1E+307",$AF$17:$AF$219,"&lt;"&amp;AF151)+COUNTIFS($G$17:$G$219,"入池",$AF$17:$AF$219,AF151,$AF$17:$AF$219,"&gt;=-1E+307",$AF$17:$AF$219,"&lt;=1E+307")/2-0.5)/(COUNTIFS($G$17:$G$219,"入池",$AF$17:$AF$219,"&gt;=-1E+307",$AF$17:$AF$219,"&lt;=1E+307")-1),2)))</x:f>
        <x:v>83.94</x:v>
      </x:c>
      <x:c r="AI151" s="17" t="n">
        <x:f>IF(NOT(ISNUMBER(AG151)),"",IF(NOT(ISNUMBER(AH151)),AG151,ROUND(AG151*'sheet1-指标体系'!$J$8+AH151*'sheet1-指标体系'!$J$9,2)))</x:f>
        <x:v>54.47</x:v>
      </x:c>
      <x:c r="AJ151" s="37" t="n">
        <x:f>IF(NOT(ISNUMBER(F151)),"",IF(F151&gt;=3,IF(NOT(ISNUMBER(N151)),"",N151),IF(NOT(ISNUMBER(O151)),"",O151)))</x:f>
        <x:v>0.0417</x:v>
      </x:c>
      <x:c r="AK151" s="17" t="n">
        <x:f>IF(OR(G151&lt;&gt;"入池",NOT(ISNUMBER(M151)),NOT(ISNUMBER(AJ151))),"",IF(M151&gt;=AJ151,100,IF(AJ151-M151&lt;'sheet1-指标体系'!$J$10,80,60)))</x:f>
        <x:v>80</x:v>
      </x:c>
      <x:c r="AL151" s="17" t="n">
        <x:f>IF(COUNT(I151,K151,L151)=0,"",ROUND((IF(ISNUMBER(I151),I151*40%,0)+IF(ISNUMBER(K151),K151*30%,0)+IF(ISNUMBER(L151),L151*30%,0))/(IF(ISNUMBER(I151),40%,0)+IF(ISNUMBER(K151),30%,0)+IF(ISNUMBER(L151),30%,0)),2))</x:f>
        <x:v>88</x:v>
      </x:c>
      <x:c r="AM151" s="17" t="n">
        <x:f>IF(COUNT(Q151,R151,W151,X151)=0,"",ROUND((IF(ISNUMBER(Q151),Q151*42%,0)+IF(ISNUMBER(R151),R151*28%,0)+IF(ISNUMBER(W151),W151*18%,0)+IF(ISNUMBER(X151),X151*12%,0))/(IF(ISNUMBER(Q151),42%,0)+IF(ISNUMBER(R151),28%,0)+IF(ISNUMBER(W151),18%,0)+IF(ISNUMBER(X151),12%,0)),2))</x:f>
        <x:v>36.24</x:v>
      </x:c>
      <x:c r="AN151" s="17" t="n">
        <x:f>IF(ISNUMBER(AC151),AC151,"")</x:f>
        <x:v>84.16</x:v>
      </x:c>
      <x:c r="AO151" s="17" t="n">
        <x:f>IF(COUNT(AG151,AH151)=0,"",ROUND((IF(ISNUMBER(AG151),AG151*60%,0)+IF(ISNUMBER(AH151),AH151*40%,0))/(IF(ISNUMBER(AG151),60%,0)+IF(ISNUMBER(AH151),40%,0)),2))</x:f>
        <x:v>54.47</x:v>
      </x:c>
      <x:c r="AP151" s="17" t="n">
        <x:f>IF(ISNUMBER(AK151),AK151,"")</x:f>
        <x:v>80</x:v>
      </x:c>
      <x:c r="AQ151" s="39" t="n">
        <x:f>IF(G151&lt;&gt;"入池",0,IF(ISNUMBER(I151),6%,0)+IF(ISNUMBER(K151),4.5%,0)+IF(ISNUMBER(L151),4.5%,0)+IF(ISNUMBER(Q151),8.4%,0)+IF(ISNUMBER(R151),5.6%,0)+IF(ISNUMBER(W151),3.6%,0)+IF(ISNUMBER(X151),2.4%,0)+IF(ISNUMBER(AC151),25%,0)+IF(ISNUMBER(AG151),18%,0)+IF(ISNUMBER(AH151),12%,0)+IF(ISNUMBER(AK151),10%,0))</x:f>
        <x:v>1</x:v>
      </x:c>
      <x:c r="AR151" s="17" t="n">
        <x:f>IF(AQ151=0,"",IF(ISNUMBER(I151),I151*6%,0)+IF(ISNUMBER(K151),K151*4.5%,0)+IF(ISNUMBER(L151),L151*4.5%,0)+IF(ISNUMBER(Q151),Q151*8.4%,0)+IF(ISNUMBER(R151),R151*5.6%,0)+IF(ISNUMBER(W151),W151*3.6%,0)+IF(ISNUMBER(X151),X151*2.4%,0)+IF(ISNUMBER(AC151),AC151*25%,0)+IF(ISNUMBER(AG151),AG151*18%,0)+IF(ISNUMBER(AH151),AH151*12%,0)+IF(ISNUMBER(AK151),AK151*10%,0))</x:f>
        <x:v>65.82992999999999</x:v>
      </x:c>
      <x:c r="AS151" s="17" t="n">
        <x:f>IF(AQ151=0,"",ROUND(AR151/AQ151,2))</x:f>
        <x:v>65.83</x:v>
      </x:c>
      <x:c r="AT151" s="40" t="n">
        <x:f>IF(OR(G151&lt;&gt;"入池",NOT(ISNUMBER(AS151))),"",COUNTIFS($G$17:$G$219,"入池",$AS$17:$AS$219,"&gt;"&amp;AS151)+COUNTIFS($G$17:$G$219,"入池",$AS$17:$AS$219,AS151,$AQ$17:$AQ$219,"&gt;"&amp;AQ151)+COUNTIFS($G$17:G151,"入池",$AS$17:AS151,AS151,$AQ$17:AQ151,AQ151))</x:f>
        <x:v>87</x:v>
      </x:c>
      <x:c r="AU151" s="41" t="str">
        <x:f t="shared" si="7">IF(NOT(ISNUMBER(I151)),"管理人规模；","")&amp;IF(J151="","产品规模标识；","")&amp;IF(AND(F151&lt;3,NOT(ISNUMBER(O151))),"R_incep；","")&amp;IF(NOT(ISNUMBER(N151)),"近三年收益；","")&amp;IF(NOT(ISNUMBER(U151)),"近三年胜率；","")&amp;IF(AND(ISNUMBER(V151),OR(V151&lt;0,V151&gt;1)),"胜率窗口口径不一致；","")&amp;IF(NOT(ISNUMBER(AA151)),"近三年回撤；","")&amp;IF(NOT(ISNUMBER(AD151)),"短期卡玛；","")&amp;IF(AND(ISNUMBER(P151),NOT(ISNUMBER(AE151))),"DD_long不可识别；","")</x:f>
      </x:c>
      <x:c r="AV151" s="42" t="n">
        <x:v>5</x:v>
      </x:c>
      <x:c r="AW151" s="19" t="str">
        <x:v>上海元康投资管理有限公司</x:v>
      </x:c>
      <x:c r="AX151" s="19" t="str">
        <x:v>2026-06-17</x:v>
      </x:c>
      <x:c r="AY151" s="19" t="str">
        <x:v>https://gs.amac.org.cn/amac-infodisc/res/pof/manager/101000012102.html</x:v>
      </x:c>
      <x:c r="AZ151" s="19" t="str">
        <x:v>元康投资-稳健添利1号私募证券投资基金</x:v>
      </x:c>
      <x:c r="BA151" s="19" t="str">
        <x:v>2025-10-17</x:v>
      </x:c>
      <x:c r="BB151" s="19"/>
      <x:c r="BC151" s="19" t="str">
        <x:v>https://gs.amac.org.cn/amac-infodisc/res/pof/fund/2012301646100082.html</x:v>
      </x:c>
      <x:c r="BD151" s="19" t="str">
        <x:v>已匹配</x:v>
      </x:c>
      <x:c r="BE151"/>
      <x:c r="BF151"/>
    </x:row>
    <x:row r="152" ht="28" customHeight="1">
      <x:c r="A152" s="4" t="n">
        <x:v>136</x:v>
      </x:c>
      <x:c r="B152" s="15" t="str">
        <x:f>'sheet4-原始数据'!A137</x:f>
        <x:v>鹿秀驯鹿20号</x:v>
      </x:c>
      <x:c r="C152" s="15" t="str">
        <x:f>'sheet4-原始数据'!B137</x:f>
        <x:v>SNQ397</x:v>
      </x:c>
      <x:c r="D152" s="15" t="str">
        <x:f>'sheet4-原始数据'!E137</x:f>
        <x:v>青岛鹿秀投资</x:v>
      </x:c>
      <x:c r="E152" s="32" t="n">
        <x:f>IF(ISNUMBER('sheet4-原始数据'!F137),'sheet4-原始数据'!F137,"")</x:f>
        <x:v>44223</x:v>
      </x:c>
      <x:c r="F152" s="17" t="n">
        <x:f>IF(NOT(ISNUMBER(E152)),"",ROUND(('sheet1-指标体系'!$J$23-E152)/365.25,4))</x:f>
        <x:v>5.6345</x:v>
      </x:c>
      <x:c r="G152" s="4" t="str">
        <x:f t="shared" si="6">IF(NOT(ISNUMBER(F152)),"",IF(F152&lt;1,"不入池","入池"))</x:f>
        <x:v>入池</x:v>
      </x:c>
      <x:c r="H152" s="33" t="str">
        <x:v>50-100亿元</x:v>
      </x:c>
      <x:c r="I152" s="17" t="n">
        <x:f>IF(H152="","",IF(ISNUMBER(SEARCH("100亿元以上",H152)),100,IF(OR(ISNUMBER(SEARCH("20-50",H152)),ISNUMBER(SEARCH("50-100",H152)),ISNUMBER(SEARCH("20-100",H152))),90,IF(ISNUMBER(SEARCH("10-20",H152)),80,IF(ISNUMBER(SEARCH("5-10",H152)),70,IF(ISNUMBER(SEARCH("0-5",H152)),60,""))))))</x:f>
        <x:v>90</x:v>
      </x:c>
      <x:c r="J152" s="34" t="str">
        <x:v>无低于1000万元标识</x:v>
      </x:c>
      <x:c r="K152" s="17" t="n">
        <x:f>IF(J152="","",IF(J152="低于1000万元",0,100))</x:f>
        <x:v>100</x:v>
      </x:c>
      <x:c r="L152" s="17" t="n">
        <x:f>IF(NOT(ISNUMBER(F152)),"",IF(F152&lt;1,"",IF(F152&lt;3,70,100)))</x:f>
        <x:v>100</x:v>
      </x:c>
      <x:c r="M152" s="35" t="n">
        <x:f>IF(ISNUMBER('sheet4-原始数据'!G137),'sheet4-原始数据'!G137,"")</x:f>
        <x:v>0.25489999999999996</x:v>
      </x:c>
      <x:c r="N152" s="35" t="n">
        <x:f>IF(ISNUMBER('sheet4-原始数据'!H137),'sheet4-原始数据'!H137,"")</x:f>
        <x:v>0.2298</x:v>
      </x:c>
      <x:c r="O152" s="36" t="str">
        <x:f>IF(ISNUMBER('sheet4-原始数据'!Q137),'sheet4-原始数据'!Q137,"")</x:f>
      </x:c>
      <x:c r="P152" s="37" t="n">
        <x:f>IF($G152&lt;&gt;"入池","",IF($F152&gt;=3,IF(OR(NOT(ISNUMBER($M152)),NOT(ISNUMBER($N152)),1+$M152&lt;=0,1+$N152&lt;0),"",((1+$N152)^3/(1+$M152))^(1/2)-1),IF(OR($F152&lt;=1,NOT(ISNUMBER($M152)),NOT(ISNUMBER($O152)),1+$M152&lt;=0,1+$O152&lt;0),"",((1+$O152)^$F152/(1+$M152))^(1/($F152-1))-1)))</x:f>
        <x:v>0.21743889735621647</x:v>
      </x:c>
      <x:c r="Q152" s="17" t="n">
        <x:f>IF(OR($G152&lt;&gt;"入池",NOT(ISNUMBER(M152))),"",IF(COUNTIFS($G$17:$G$219,"入池",$M$17:$M$219,"&gt;=-1E+307",$M$17:$M$219,"&lt;=1E+307")&lt;=1,100,ROUND(100*(COUNTIFS($G$17:$G$219,"入池",$M$17:$M$219,"&gt;=-1E+307",$M$17:$M$219,"&lt;"&amp;M152)+COUNTIFS($G$17:$G$219,"入池",$M$17:$M$219,M152,$M$17:$M$219,"&gt;=-1E+307",$M$17:$M$219,"&lt;=1E+307")/2-0.5)/(COUNTIFS($G$17:$G$219,"入池",$M$17:$M$219,"&gt;=-1E+307",$M$17:$M$219,"&lt;=1E+307")-1),2)))</x:f>
        <x:v>96.04</x:v>
      </x:c>
      <x:c r="R152" s="17" t="n">
        <x:f>IF(OR($G152&lt;&gt;"入池",NOT(ISNUMBER(P152))),"",IF(COUNTIFS($G$17:$G$219,"入池",$P$17:$P$219,"&gt;=-1E+307",$P$17:$P$219,"&lt;=1E+307")&lt;=1,100,ROUND(100*(COUNTIFS($G$17:$G$219,"入池",$P$17:$P$219,"&gt;=-1E+307",$P$17:$P$219,"&lt;"&amp;P152)+COUNTIFS($G$17:$G$219,"入池",$P$17:$P$219,P152,$P$17:$P$219,"&gt;=-1E+307",$P$17:$P$219,"&lt;=1E+307")/2-0.5)/(COUNTIFS($G$17:$G$219,"入池",$P$17:$P$219,"&gt;=-1E+307",$P$17:$P$219,"&lt;=1E+307")-1),2)))</x:f>
        <x:v>93.56</x:v>
      </x:c>
      <x:c r="S152" s="17" t="n">
        <x:f>IF(NOT(ISNUMBER(Q152)),"",IF(NOT(ISNUMBER(R152)),Q152,ROUND(Q152*'sheet1-指标体系'!$J$8+R152*'sheet1-指标体系'!$J$9,2)))</x:f>
        <x:v>95.05</x:v>
      </x:c>
      <x:c r="T152" s="35" t="n">
        <x:f>IF(ISNUMBER('sheet4-原始数据'!J137),'sheet4-原始数据'!J137,"")</x:f>
        <x:v>0.6154</x:v>
      </x:c>
      <x:c r="U152" s="35" t="n">
        <x:f>IF(ISNUMBER('sheet4-原始数据'!I137),'sheet4-原始数据'!I137,"")</x:f>
        <x:v>0.5405</x:v>
      </x:c>
      <x:c r="V152" s="37" t="n">
        <x:f>IF(OR(NOT(ISNUMBER(T152)),NOT(ISNUMBER(U152))),"",(U152*'sheet1-指标体系'!$J$6-T152*'sheet1-指标体系'!$J$5)/'sheet1-指标体系'!$J$7)</x:f>
        <x:v>0.4999291666666667</x:v>
      </x:c>
      <x:c r="W152" s="17" t="n">
        <x:f>IF(NOT(ISNUMBER(T152)),"",T152*100)</x:f>
        <x:v>61.53999999999999</x:v>
      </x:c>
      <x:c r="X152" s="17" t="n">
        <x:f>IF($G152&lt;&gt;"入池","",IF(AND(ISNUMBER(V152),V152&gt;=0,V152&lt;=1),V152*100,IF(MAX(0,($F152-1)*12)&lt;6,100,"")))</x:f>
        <x:v>49.99291666666667</x:v>
      </x:c>
      <x:c r="Y152" s="17" t="n">
        <x:f>IF(NOT(ISNUMBER(W152)),"",IF(NOT(ISNUMBER(X152)),W152,ROUND(W152*'sheet1-指标体系'!$J$8+X152*'sheet1-指标体系'!$J$9,2)))</x:f>
        <x:v>56.92</x:v>
      </x:c>
      <x:c r="Z152" s="37" t="n">
        <x:f>IF(OR(NOT(ISNUMBER(M152)),NOT(ISNUMBER(AD152)),AD152=0),"",ABS(M152/AD152))</x:f>
        <x:v>0.13476077187417393</x:v>
      </x:c>
      <x:c r="AA152" s="35" t="n">
        <x:f>IF(ISNUMBER('sheet4-原始数据'!K137),'sheet4-原始数据'!K137,"")</x:f>
        <x:v>0.2735</x:v>
      </x:c>
      <x:c r="AB152" s="37" t="n">
        <x:f>IF(COUNT(Z152:AA152)=0,"",MAX(Z152:AA152))</x:f>
        <x:v>0.2735</x:v>
      </x:c>
      <x:c r="AC152" s="17" t="n">
        <x:f>IF(OR($G152&lt;&gt;"入池",NOT(ISNUMBER(AB152))),"",IF(COUNTIFS($G$17:$G$219,"入池",$AB$17:$AB$219,"&gt;=-1E+307",$AB$17:$AB$219,"&lt;=1E+307")&lt;=1,100,ROUND(100*(COUNTIFS($G$17:$G$219,"入池",$AB$17:$AB$219,"&lt;=1E+307",$AB$17:$AB$219,"&gt;"&amp;AB152)+COUNTIFS($G$17:$G$219,"入池",$AB$17:$AB$219,AB152,$AB$17:$AB$219,"&gt;=-1E+307",$AB$17:$AB$219,"&lt;=1E+307")/2-0.5)/(COUNTIFS($G$17:$G$219,"入池",$AB$17:$AB$219,"&gt;=-1E+307",$AB$17:$AB$219,"&lt;=1E+307")-1),2)))</x:f>
        <x:v>6.44</x:v>
      </x:c>
      <x:c r="AD152" s="38" t="n">
        <x:f>IF(ISNUMBER('sheet4-原始数据'!M137),'sheet4-原始数据'!M137,"")</x:f>
        <x:v>1.8915</x:v>
      </x:c>
      <x:c r="AE152" s="37" t="n">
        <x:f>IF(OR(NOT(ISNUMBER(P152)),NOT(ISNUMBER(AA152)),NOT(ISNUMBER(Z152))),"",IF(AA152&gt;Z152+'sheet1-指标体系'!$J$11,AA152,""))</x:f>
        <x:v>0.2735</x:v>
      </x:c>
      <x:c r="AF152" s="17" t="n">
        <x:f>IF(OR(NOT(ISNUMBER(P152)),NOT(ISNUMBER(AE152)),AE152=0),"",P152/AE152)</x:f>
        <x:v>0.7950233906991461</x:v>
      </x:c>
      <x:c r="AG152" s="17" t="n">
        <x:f>IF(OR($G152&lt;&gt;"入池",NOT(ISNUMBER(AD152))),"",IF(COUNTIFS($G$17:$G$219,"入池",$AD$17:$AD$219,"&gt;=-1E+307",$AD$17:$AD$219,"&lt;=1E+307")&lt;=1,100,ROUND(100*(COUNTIFS($G$17:$G$219,"入池",$AD$17:$AD$219,"&gt;=-1E+307",$AD$17:$AD$219,"&lt;"&amp;AD152)+COUNTIFS($G$17:$G$219,"入池",$AD$17:$AD$219,AD152,$AD$17:$AD$219,"&gt;=-1E+307",$AD$17:$AD$219,"&lt;=1E+307")/2-0.5)/(COUNTIFS($G$17:$G$219,"入池",$AD$17:$AD$219,"&gt;=-1E+307",$AD$17:$AD$219,"&lt;=1E+307")-1),2)))</x:f>
        <x:v>43.78</x:v>
      </x:c>
      <x:c r="AH152" s="17" t="n">
        <x:f>IF(OR($G152&lt;&gt;"入池",NOT(ISNUMBER(AF152))),"",IF(COUNTIFS($G$17:$G$219,"入池",$AF$17:$AF$219,"&gt;=-1E+307",$AF$17:$AF$219,"&lt;=1E+307")&lt;=1,100,ROUND(100*(COUNTIFS($G$17:$G$219,"入池",$AF$17:$AF$219,"&gt;=-1E+307",$AF$17:$AF$219,"&lt;"&amp;AF152)+COUNTIFS($G$17:$G$219,"入池",$AF$17:$AF$219,AF152,$AF$17:$AF$219,"&gt;=-1E+307",$AF$17:$AF$219,"&lt;=1E+307")/2-0.5)/(COUNTIFS($G$17:$G$219,"入池",$AF$17:$AF$219,"&gt;=-1E+307",$AF$17:$AF$219,"&lt;=1E+307")-1),2)))</x:f>
        <x:v>30.66</x:v>
      </x:c>
      <x:c r="AI152" s="17" t="n">
        <x:f>IF(NOT(ISNUMBER(AG152)),"",IF(NOT(ISNUMBER(AH152)),AG152,ROUND(AG152*'sheet1-指标体系'!$J$8+AH152*'sheet1-指标体系'!$J$9,2)))</x:f>
        <x:v>38.53</x:v>
      </x:c>
      <x:c r="AJ152" s="37" t="n">
        <x:f>IF(NOT(ISNUMBER(F152)),"",IF(F152&gt;=3,IF(NOT(ISNUMBER(N152)),"",N152),IF(NOT(ISNUMBER(O152)),"",O152)))</x:f>
        <x:v>0.2298</x:v>
      </x:c>
      <x:c r="AK152" s="17" t="n">
        <x:f>IF(OR(G152&lt;&gt;"入池",NOT(ISNUMBER(M152)),NOT(ISNUMBER(AJ152))),"",IF(M152&gt;=AJ152,100,IF(AJ152-M152&lt;'sheet1-指标体系'!$J$10,80,60)))</x:f>
        <x:v>100</x:v>
      </x:c>
      <x:c r="AL152" s="17" t="n">
        <x:f>IF(COUNT(I152,K152,L152)=0,"",ROUND((IF(ISNUMBER(I152),I152*40%,0)+IF(ISNUMBER(K152),K152*30%,0)+IF(ISNUMBER(L152),L152*30%,0))/(IF(ISNUMBER(I152),40%,0)+IF(ISNUMBER(K152),30%,0)+IF(ISNUMBER(L152),30%,0)),2))</x:f>
        <x:v>96</x:v>
      </x:c>
      <x:c r="AM152" s="17" t="n">
        <x:f>IF(COUNT(Q152,R152,W152,X152)=0,"",ROUND((IF(ISNUMBER(Q152),Q152*42%,0)+IF(ISNUMBER(R152),R152*28%,0)+IF(ISNUMBER(W152),W152*18%,0)+IF(ISNUMBER(X152),X152*12%,0))/(IF(ISNUMBER(Q152),42%,0)+IF(ISNUMBER(R152),28%,0)+IF(ISNUMBER(W152),18%,0)+IF(ISNUMBER(X152),12%,0)),2))</x:f>
        <x:v>83.61</x:v>
      </x:c>
      <x:c r="AN152" s="17" t="n">
        <x:f>IF(ISNUMBER(AC152),AC152,"")</x:f>
        <x:v>6.44</x:v>
      </x:c>
      <x:c r="AO152" s="17" t="n">
        <x:f>IF(COUNT(AG152,AH152)=0,"",ROUND((IF(ISNUMBER(AG152),AG152*60%,0)+IF(ISNUMBER(AH152),AH152*40%,0))/(IF(ISNUMBER(AG152),60%,0)+IF(ISNUMBER(AH152),40%,0)),2))</x:f>
        <x:v>38.53</x:v>
      </x:c>
      <x:c r="AP152" s="17" t="n">
        <x:f>IF(ISNUMBER(AK152),AK152,"")</x:f>
        <x:v>100</x:v>
      </x:c>
      <x:c r="AQ152" s="39" t="n">
        <x:f>IF(G152&lt;&gt;"入池",0,IF(ISNUMBER(I152),6%,0)+IF(ISNUMBER(K152),4.5%,0)+IF(ISNUMBER(L152),4.5%,0)+IF(ISNUMBER(Q152),8.4%,0)+IF(ISNUMBER(R152),5.6%,0)+IF(ISNUMBER(W152),3.6%,0)+IF(ISNUMBER(X152),2.4%,0)+IF(ISNUMBER(AC152),25%,0)+IF(ISNUMBER(AG152),18%,0)+IF(ISNUMBER(AH152),12%,0)+IF(ISNUMBER(AK152),10%,0))</x:f>
        <x:v>1</x:v>
      </x:c>
      <x:c r="AR152" s="17" t="n">
        <x:f>IF(AQ152=0,"",IF(ISNUMBER(I152),I152*6%,0)+IF(ISNUMBER(K152),K152*4.5%,0)+IF(ISNUMBER(L152),L152*4.5%,0)+IF(ISNUMBER(Q152),Q152*8.4%,0)+IF(ISNUMBER(R152),R152*5.6%,0)+IF(ISNUMBER(W152),W152*3.6%,0)+IF(ISNUMBER(X152),X152*2.4%,0)+IF(ISNUMBER(AC152),AC152*25%,0)+IF(ISNUMBER(AG152),AG152*18%,0)+IF(ISNUMBER(AH152),AH152*12%,0)+IF(ISNUMBER(AK152),AK152*10%,0))</x:f>
        <x:v>54.29159</x:v>
      </x:c>
      <x:c r="AS152" s="17" t="n">
        <x:f>IF(AQ152=0,"",ROUND(AR152/AQ152,2))</x:f>
        <x:v>54.29</x:v>
      </x:c>
      <x:c r="AT152" s="40" t="n">
        <x:f>IF(OR(G152&lt;&gt;"入池",NOT(ISNUMBER(AS152))),"",COUNTIFS($G$17:$G$219,"入池",$AS$17:$AS$219,"&gt;"&amp;AS152)+COUNTIFS($G$17:$G$219,"入池",$AS$17:$AS$219,AS152,$AQ$17:$AQ$219,"&gt;"&amp;AQ152)+COUNTIFS($G$17:G152,"入池",$AS$17:AS152,AS152,$AQ$17:AQ152,AQ152))</x:f>
        <x:v>130</x:v>
      </x:c>
      <x:c r="AU152" s="41" t="str">
        <x:f t="shared" si="7">IF(NOT(ISNUMBER(I152)),"管理人规模；","")&amp;IF(J152="","产品规模标识；","")&amp;IF(AND(F152&lt;3,NOT(ISNUMBER(O152))),"R_incep；","")&amp;IF(NOT(ISNUMBER(N152)),"近三年收益；","")&amp;IF(NOT(ISNUMBER(U152)),"近三年胜率；","")&amp;IF(AND(ISNUMBER(V152),OR(V152&lt;0,V152&gt;1)),"胜率窗口口径不一致；","")&amp;IF(NOT(ISNUMBER(AA152)),"近三年回撤；","")&amp;IF(NOT(ISNUMBER(AD152)),"短期卡玛；","")&amp;IF(AND(ISNUMBER(P152),NOT(ISNUMBER(AE152))),"DD_long不可识别；","")</x:f>
      </x:c>
      <x:c r="AV152" s="42" t="n">
        <x:v>50</x:v>
      </x:c>
      <x:c r="AW152" s="19" t="str">
        <x:v>青岛鹿秀投资管理有限公司</x:v>
      </x:c>
      <x:c r="AX152" s="19" t="str">
        <x:v>2025-01-10</x:v>
      </x:c>
      <x:c r="AY152" s="19" t="str">
        <x:v>https://gs.amac.org.cn/amac-infodisc/res/pof/manager/1612231708101923.html</x:v>
      </x:c>
      <x:c r="AZ152" s="19" t="str">
        <x:v>鹿秀驯鹿20号私募证券投资基金</x:v>
      </x:c>
      <x:c r="BA152" s="19" t="str">
        <x:v>2025-04-09</x:v>
      </x:c>
      <x:c r="BB152" s="19"/>
      <x:c r="BC152" s="19" t="str">
        <x:v>https://gs.amac.org.cn/amac-infodisc/res/pof/fund/2101261837105022.html</x:v>
      </x:c>
      <x:c r="BD152" s="19" t="str">
        <x:v>已匹配</x:v>
      </x:c>
      <x:c r="BE152"/>
      <x:c r="BF152"/>
    </x:row>
    <x:row r="153" ht="28" customHeight="1">
      <x:c r="A153" s="4" t="n">
        <x:v>137</x:v>
      </x:c>
      <x:c r="B153" s="15" t="str">
        <x:f>'sheet4-原始数据'!A138</x:f>
        <x:v>宣夜投资涓流二号</x:v>
      </x:c>
      <x:c r="C153" s="15" t="str">
        <x:f>'sheet4-原始数据'!B138</x:f>
        <x:v>SQL764</x:v>
      </x:c>
      <x:c r="D153" s="15" t="str">
        <x:f>'sheet4-原始数据'!E138</x:f>
        <x:v>上海宣夜投资</x:v>
      </x:c>
      <x:c r="E153" s="32" t="n">
        <x:f>IF(ISNUMBER('sheet4-原始数据'!F138),'sheet4-原始数据'!F138,"")</x:f>
        <x:v>44327</x:v>
      </x:c>
      <x:c r="F153" s="17" t="n">
        <x:f>IF(NOT(ISNUMBER(E153)),"",ROUND(('sheet1-指标体系'!$J$23-E153)/365.25,4))</x:f>
        <x:v>5.3498</x:v>
      </x:c>
      <x:c r="G153" s="4" t="str">
        <x:f t="shared" si="6">IF(NOT(ISNUMBER(F153)),"",IF(F153&lt;1,"不入池","入池"))</x:f>
        <x:v>入池</x:v>
      </x:c>
      <x:c r="H153" s="33" t="str">
        <x:v>20-50亿元</x:v>
      </x:c>
      <x:c r="I153" s="17" t="n">
        <x:f>IF(H153="","",IF(ISNUMBER(SEARCH("100亿元以上",H153)),100,IF(OR(ISNUMBER(SEARCH("20-50",H153)),ISNUMBER(SEARCH("50-100",H153)),ISNUMBER(SEARCH("20-100",H153))),90,IF(ISNUMBER(SEARCH("10-20",H153)),80,IF(ISNUMBER(SEARCH("5-10",H153)),70,IF(ISNUMBER(SEARCH("0-5",H153)),60,""))))))</x:f>
        <x:v>90</x:v>
      </x:c>
      <x:c r="J153" s="34" t="str">
        <x:v>无低于1000万元标识</x:v>
      </x:c>
      <x:c r="K153" s="17" t="n">
        <x:f>IF(J153="","",IF(J153="低于1000万元",0,100))</x:f>
        <x:v>100</x:v>
      </x:c>
      <x:c r="L153" s="17" t="n">
        <x:f>IF(NOT(ISNUMBER(F153)),"",IF(F153&lt;1,"",IF(F153&lt;3,70,100)))</x:f>
        <x:v>100</x:v>
      </x:c>
      <x:c r="M153" s="35" t="n">
        <x:f>IF(ISNUMBER('sheet4-原始数据'!G138),'sheet4-原始数据'!G138,"")</x:f>
        <x:v>0.028399999999999998</x:v>
      </x:c>
      <x:c r="N153" s="35" t="n">
        <x:f>IF(ISNUMBER('sheet4-原始数据'!H138),'sheet4-原始数据'!H138,"")</x:f>
        <x:v>0.0405</x:v>
      </x:c>
      <x:c r="O153" s="36" t="str">
        <x:f>IF(ISNUMBER('sheet4-原始数据'!Q138),'sheet4-原始数据'!Q138,"")</x:f>
      </x:c>
      <x:c r="P153" s="37" t="n">
        <x:f>IF($G153&lt;&gt;"入池","",IF($F153&gt;=3,IF(OR(NOT(ISNUMBER($M153)),NOT(ISNUMBER($N153)),1+$M153&lt;=0,1+$N153&lt;0),"",((1+$N153)^3/(1+$M153))^(1/2)-1),IF(OR($F153&lt;=1,NOT(ISNUMBER($M153)),NOT(ISNUMBER($O153)),1+$M153&lt;=0,1+$O153&lt;0),"",((1+$O153)^$F153/(1+$M153))^(1/($F153-1))-1)))</x:f>
        <x:v>0.04660328331134078</x:v>
      </x:c>
      <x:c r="Q153" s="17" t="n">
        <x:f>IF(OR($G153&lt;&gt;"入池",NOT(ISNUMBER(M153))),"",IF(COUNTIFS($G$17:$G$219,"入池",$M$17:$M$219,"&gt;=-1E+307",$M$17:$M$219,"&lt;=1E+307")&lt;=1,100,ROUND(100*(COUNTIFS($G$17:$G$219,"入池",$M$17:$M$219,"&gt;=-1E+307",$M$17:$M$219,"&lt;"&amp;M153)+COUNTIFS($G$17:$G$219,"入池",$M$17:$M$219,M153,$M$17:$M$219,"&gt;=-1E+307",$M$17:$M$219,"&lt;=1E+307")/2-0.5)/(COUNTIFS($G$17:$G$219,"入池",$M$17:$M$219,"&gt;=-1E+307",$M$17:$M$219,"&lt;=1E+307")-1),2)))</x:f>
        <x:v>31.68</x:v>
      </x:c>
      <x:c r="R153" s="17" t="n">
        <x:f>IF(OR($G153&lt;&gt;"入池",NOT(ISNUMBER(P153))),"",IF(COUNTIFS($G$17:$G$219,"入池",$P$17:$P$219,"&gt;=-1E+307",$P$17:$P$219,"&lt;=1E+307")&lt;=1,100,ROUND(100*(COUNTIFS($G$17:$G$219,"入池",$P$17:$P$219,"&gt;=-1E+307",$P$17:$P$219,"&lt;"&amp;P153)+COUNTIFS($G$17:$G$219,"入池",$P$17:$P$219,P153,$P$17:$P$219,"&gt;=-1E+307",$P$17:$P$219,"&lt;=1E+307")/2-0.5)/(COUNTIFS($G$17:$G$219,"入池",$P$17:$P$219,"&gt;=-1E+307",$P$17:$P$219,"&lt;=1E+307")-1),2)))</x:f>
        <x:v>33.17</x:v>
      </x:c>
      <x:c r="S153" s="17" t="n">
        <x:f>IF(NOT(ISNUMBER(Q153)),"",IF(NOT(ISNUMBER(R153)),Q153,ROUND(Q153*'sheet1-指标体系'!$J$8+R153*'sheet1-指标体系'!$J$9,2)))</x:f>
        <x:v>32.28</x:v>
      </x:c>
      <x:c r="T153" s="35" t="n">
        <x:f>IF(ISNUMBER('sheet4-原始数据'!J138),'sheet4-原始数据'!J138,"")</x:f>
        <x:v>0.46149999999999997</x:v>
      </x:c>
      <x:c r="U153" s="35" t="n">
        <x:f>IF(ISNUMBER('sheet4-原始数据'!I138),'sheet4-原始数据'!I138,"")</x:f>
        <x:v>0.6486</x:v>
      </x:c>
      <x:c r="V153" s="37" t="n">
        <x:f>IF(OR(NOT(ISNUMBER(T153)),NOT(ISNUMBER(U153))),"",(U153*'sheet1-指标体系'!$J$6-T153*'sheet1-指标体系'!$J$5)/'sheet1-指标体系'!$J$7)</x:f>
        <x:v>0.7499458333333333</x:v>
      </x:c>
      <x:c r="W153" s="17" t="n">
        <x:f>IF(NOT(ISNUMBER(T153)),"",T153*100)</x:f>
        <x:v>46.15</x:v>
      </x:c>
      <x:c r="X153" s="17" t="n">
        <x:f>IF($G153&lt;&gt;"入池","",IF(AND(ISNUMBER(V153),V153&gt;=0,V153&lt;=1),V153*100,IF(MAX(0,($F153-1)*12)&lt;6,100,"")))</x:f>
        <x:v>74.99458333333334</x:v>
      </x:c>
      <x:c r="Y153" s="17" t="n">
        <x:f>IF(NOT(ISNUMBER(W153)),"",IF(NOT(ISNUMBER(X153)),W153,ROUND(W153*'sheet1-指标体系'!$J$8+X153*'sheet1-指标体系'!$J$9,2)))</x:f>
        <x:v>57.69</x:v>
      </x:c>
      <x:c r="Z153" s="37" t="n">
        <x:f>IF(OR(NOT(ISNUMBER(M153)),NOT(ISNUMBER(AD153)),AD153=0),"",ABS(M153/AD153))</x:f>
        <x:v>0.028306588258746133</x:v>
      </x:c>
      <x:c r="AA153" s="35" t="n">
        <x:f>IF(ISNUMBER('sheet4-原始数据'!K138),'sheet4-原始数据'!K138,"")</x:f>
        <x:v>0.028300000000000002</x:v>
      </x:c>
      <x:c r="AB153" s="37" t="n">
        <x:f>IF(COUNT(Z153:AA153)=0,"",MAX(Z153:AA153))</x:f>
        <x:v>0.028306588258746133</x:v>
      </x:c>
      <x:c r="AC153" s="17" t="n">
        <x:f>IF(OR($G153&lt;&gt;"入池",NOT(ISNUMBER(AB153))),"",IF(COUNTIFS($G$17:$G$219,"入池",$AB$17:$AB$219,"&gt;=-1E+307",$AB$17:$AB$219,"&lt;=1E+307")&lt;=1,100,ROUND(100*(COUNTIFS($G$17:$G$219,"入池",$AB$17:$AB$219,"&lt;=1E+307",$AB$17:$AB$219,"&gt;"&amp;AB153)+COUNTIFS($G$17:$G$219,"入池",$AB$17:$AB$219,AB153,$AB$17:$AB$219,"&gt;=-1E+307",$AB$17:$AB$219,"&lt;=1E+307")/2-0.5)/(COUNTIFS($G$17:$G$219,"入池",$AB$17:$AB$219,"&gt;=-1E+307",$AB$17:$AB$219,"&lt;=1E+307")-1),2)))</x:f>
        <x:v>61.39</x:v>
      </x:c>
      <x:c r="AD153" s="38" t="n">
        <x:f>IF(ISNUMBER('sheet4-原始数据'!M138),'sheet4-原始数据'!M138,"")</x:f>
        <x:v>1.0033</x:v>
      </x:c>
      <x:c r="AE153" s="37" t="str">
        <x:f>IF(OR(NOT(ISNUMBER(P153)),NOT(ISNUMBER(AA153)),NOT(ISNUMBER(Z153))),"",IF(AA153&gt;Z153+'sheet1-指标体系'!$J$11,AA153,""))</x:f>
      </x:c>
      <x:c r="AF153" s="17" t="str">
        <x:f>IF(OR(NOT(ISNUMBER(P153)),NOT(ISNUMBER(AE153)),AE153=0),"",P153/AE153)</x:f>
      </x:c>
      <x:c r="AG153" s="17" t="n">
        <x:f>IF(OR($G153&lt;&gt;"入池",NOT(ISNUMBER(AD153))),"",IF(COUNTIFS($G$17:$G$219,"入池",$AD$17:$AD$219,"&gt;=-1E+307",$AD$17:$AD$219,"&lt;=1E+307")&lt;=1,100,ROUND(100*(COUNTIFS($G$17:$G$219,"入池",$AD$17:$AD$219,"&gt;=-1E+307",$AD$17:$AD$219,"&lt;"&amp;AD153)+COUNTIFS($G$17:$G$219,"入池",$AD$17:$AD$219,AD153,$AD$17:$AD$219,"&gt;=-1E+307",$AD$17:$AD$219,"&lt;=1E+307")/2-0.5)/(COUNTIFS($G$17:$G$219,"入池",$AD$17:$AD$219,"&gt;=-1E+307",$AD$17:$AD$219,"&lt;=1E+307")-1),2)))</x:f>
        <x:v>33.83</x:v>
      </x:c>
      <x:c r="AH153" s="17" t="str">
        <x:f>IF(OR($G153&lt;&gt;"入池",NOT(ISNUMBER(AF153))),"",IF(COUNTIFS($G$17:$G$219,"入池",$AF$17:$AF$219,"&gt;=-1E+307",$AF$17:$AF$219,"&lt;=1E+307")&lt;=1,100,ROUND(100*(COUNTIFS($G$17:$G$219,"入池",$AF$17:$AF$219,"&gt;=-1E+307",$AF$17:$AF$219,"&lt;"&amp;AF153)+COUNTIFS($G$17:$G$219,"入池",$AF$17:$AF$219,AF153,$AF$17:$AF$219,"&gt;=-1E+307",$AF$17:$AF$219,"&lt;=1E+307")/2-0.5)/(COUNTIFS($G$17:$G$219,"入池",$AF$17:$AF$219,"&gt;=-1E+307",$AF$17:$AF$219,"&lt;=1E+307")-1),2)))</x:f>
      </x:c>
      <x:c r="AI153" s="17" t="n">
        <x:f>IF(NOT(ISNUMBER(AG153)),"",IF(NOT(ISNUMBER(AH153)),AG153,ROUND(AG153*'sheet1-指标体系'!$J$8+AH153*'sheet1-指标体系'!$J$9,2)))</x:f>
        <x:v>33.83</x:v>
      </x:c>
      <x:c r="AJ153" s="37" t="n">
        <x:f>IF(NOT(ISNUMBER(F153)),"",IF(F153&gt;=3,IF(NOT(ISNUMBER(N153)),"",N153),IF(NOT(ISNUMBER(O153)),"",O153)))</x:f>
        <x:v>0.0405</x:v>
      </x:c>
      <x:c r="AK153" s="17" t="n">
        <x:f>IF(OR(G153&lt;&gt;"入池",NOT(ISNUMBER(M153)),NOT(ISNUMBER(AJ153))),"",IF(M153&gt;=AJ153,100,IF(AJ153-M153&lt;'sheet1-指标体系'!$J$10,80,60)))</x:f>
        <x:v>80</x:v>
      </x:c>
      <x:c r="AL153" s="17" t="n">
        <x:f>IF(COUNT(I153,K153,L153)=0,"",ROUND((IF(ISNUMBER(I153),I153*40%,0)+IF(ISNUMBER(K153),K153*30%,0)+IF(ISNUMBER(L153),L153*30%,0))/(IF(ISNUMBER(I153),40%,0)+IF(ISNUMBER(K153),30%,0)+IF(ISNUMBER(L153),30%,0)),2))</x:f>
        <x:v>96</x:v>
      </x:c>
      <x:c r="AM153" s="17" t="n">
        <x:f>IF(COUNT(Q153,R153,W153,X153)=0,"",ROUND((IF(ISNUMBER(Q153),Q153*42%,0)+IF(ISNUMBER(R153),R153*28%,0)+IF(ISNUMBER(W153),W153*18%,0)+IF(ISNUMBER(X153),X153*12%,0))/(IF(ISNUMBER(Q153),42%,0)+IF(ISNUMBER(R153),28%,0)+IF(ISNUMBER(W153),18%,0)+IF(ISNUMBER(X153),12%,0)),2))</x:f>
        <x:v>39.9</x:v>
      </x:c>
      <x:c r="AN153" s="17" t="n">
        <x:f>IF(ISNUMBER(AC153),AC153,"")</x:f>
        <x:v>61.39</x:v>
      </x:c>
      <x:c r="AO153" s="17" t="n">
        <x:f>IF(COUNT(AG153,AH153)=0,"",ROUND((IF(ISNUMBER(AG153),AG153*60%,0)+IF(ISNUMBER(AH153),AH153*40%,0))/(IF(ISNUMBER(AG153),60%,0)+IF(ISNUMBER(AH153),40%,0)),2))</x:f>
        <x:v>33.83</x:v>
      </x:c>
      <x:c r="AP153" s="17" t="n">
        <x:f>IF(ISNUMBER(AK153),AK153,"")</x:f>
        <x:v>80</x:v>
      </x:c>
      <x:c r="AQ153" s="39" t="n">
        <x:f>IF(G153&lt;&gt;"入池",0,IF(ISNUMBER(I153),6%,0)+IF(ISNUMBER(K153),4.5%,0)+IF(ISNUMBER(L153),4.5%,0)+IF(ISNUMBER(Q153),8.4%,0)+IF(ISNUMBER(R153),5.6%,0)+IF(ISNUMBER(W153),3.6%,0)+IF(ISNUMBER(X153),2.4%,0)+IF(ISNUMBER(AC153),25%,0)+IF(ISNUMBER(AG153),18%,0)+IF(ISNUMBER(AH153),12%,0)+IF(ISNUMBER(AK153),10%,0))</x:f>
        <x:v>0.88</x:v>
      </x:c>
      <x:c r="AR153" s="17" t="n">
        <x:f>IF(AQ153=0,"",IF(ISNUMBER(I153),I153*6%,0)+IF(ISNUMBER(K153),K153*4.5%,0)+IF(ISNUMBER(L153),L153*4.5%,0)+IF(ISNUMBER(Q153),Q153*8.4%,0)+IF(ISNUMBER(R153),R153*5.6%,0)+IF(ISNUMBER(W153),W153*3.6%,0)+IF(ISNUMBER(X153),X153*2.4%,0)+IF(ISNUMBER(AC153),AC153*25%,0)+IF(ISNUMBER(AG153),AG153*18%,0)+IF(ISNUMBER(AH153),AH153*12%,0)+IF(ISNUMBER(AK153),AK153*10%,0))</x:f>
        <x:v>51.81681</x:v>
      </x:c>
      <x:c r="AS153" s="17" t="n">
        <x:f>IF(AQ153=0,"",ROUND(AR153/AQ153,2))</x:f>
        <x:v>58.88</x:v>
      </x:c>
      <x:c r="AT153" s="40" t="n">
        <x:f>IF(OR(G153&lt;&gt;"入池",NOT(ISNUMBER(AS153))),"",COUNTIFS($G$17:$G$219,"入池",$AS$17:$AS$219,"&gt;"&amp;AS153)+COUNTIFS($G$17:$G$219,"入池",$AS$17:$AS$219,AS153,$AQ$17:$AQ$219,"&gt;"&amp;AQ153)+COUNTIFS($G$17:G153,"入池",$AS$17:AS153,AS153,$AQ$17:AQ153,AQ153))</x:f>
        <x:v>114</x:v>
      </x:c>
      <x:c r="AU153" s="41" t="str">
        <x:f t="shared" si="7">IF(NOT(ISNUMBER(I153)),"管理人规模；","")&amp;IF(J153="","产品规模标识；","")&amp;IF(AND(F153&lt;3,NOT(ISNUMBER(O153))),"R_incep；","")&amp;IF(NOT(ISNUMBER(N153)),"近三年收益；","")&amp;IF(NOT(ISNUMBER(U153)),"近三年胜率；","")&amp;IF(AND(ISNUMBER(V153),OR(V153&lt;0,V153&gt;1)),"胜率窗口口径不一致；","")&amp;IF(NOT(ISNUMBER(AA153)),"近三年回撤；","")&amp;IF(NOT(ISNUMBER(AD153)),"短期卡玛；","")&amp;IF(AND(ISNUMBER(P153),NOT(ISNUMBER(AE153))),"DD_long不可识别；","")</x:f>
        <x:v>DD_long不可识别；</x:v>
      </x:c>
      <x:c r="AV153" s="42" t="n">
        <x:v>20</x:v>
      </x:c>
      <x:c r="AW153" s="19" t="str">
        <x:v>上海宣夜投资管理有限公司</x:v>
      </x:c>
      <x:c r="AX153" s="19" t="str">
        <x:v>2026-05-22</x:v>
      </x:c>
      <x:c r="AY153" s="19" t="str">
        <x:v>https://gs.amac.org.cn/amac-infodisc/res/pof/manager/1609130947110564.html</x:v>
      </x:c>
      <x:c r="AZ153" s="19" t="str">
        <x:v>宣夜投资涓流二号私募证券投资基金</x:v>
      </x:c>
      <x:c r="BA153" s="19" t="str">
        <x:v>2025-11-19</x:v>
      </x:c>
      <x:c r="BB153" s="19"/>
      <x:c r="BC153" s="19" t="str">
        <x:v>https://gs.amac.org.cn/amac-infodisc/res/pof/fund/2105181107105802.html</x:v>
      </x:c>
      <x:c r="BD153" s="19" t="str">
        <x:v>已匹配</x:v>
      </x:c>
      <x:c r="BE153"/>
      <x:c r="BF153"/>
    </x:row>
    <x:row r="154" ht="28" customHeight="1">
      <x:c r="A154" s="4" t="n">
        <x:v>138</x:v>
      </x:c>
      <x:c r="B154" s="15" t="str">
        <x:f>'sheet4-原始数据'!A139</x:f>
        <x:v>永泉奇点18号混合投资</x:v>
      </x:c>
      <x:c r="C154" s="15" t="str">
        <x:f>'sheet4-原始数据'!B139</x:f>
        <x:v>SNK980</x:v>
      </x:c>
      <x:c r="D154" s="15" t="str">
        <x:f>'sheet4-原始数据'!E139</x:f>
        <x:v>宁波永泉</x:v>
      </x:c>
      <x:c r="E154" s="32" t="n">
        <x:f>IF(ISNUMBER('sheet4-原始数据'!F139),'sheet4-原始数据'!F139,"")</x:f>
        <x:v>44334</x:v>
      </x:c>
      <x:c r="F154" s="17" t="n">
        <x:f>IF(NOT(ISNUMBER(E154)),"",ROUND(('sheet1-指标体系'!$J$23-E154)/365.25,4))</x:f>
        <x:v>5.3306</x:v>
      </x:c>
      <x:c r="G154" s="4" t="str">
        <x:f t="shared" si="6">IF(NOT(ISNUMBER(F154)),"",IF(F154&lt;1,"不入池","入池"))</x:f>
        <x:v>入池</x:v>
      </x:c>
      <x:c r="H154" s="33" t="str">
        <x:v>0-5亿元</x:v>
      </x:c>
      <x:c r="I154" s="17" t="n">
        <x:f>IF(H154="","",IF(ISNUMBER(SEARCH("100亿元以上",H154)),100,IF(OR(ISNUMBER(SEARCH("20-50",H154)),ISNUMBER(SEARCH("50-100",H154)),ISNUMBER(SEARCH("20-100",H154))),90,IF(ISNUMBER(SEARCH("10-20",H154)),80,IF(ISNUMBER(SEARCH("5-10",H154)),70,IF(ISNUMBER(SEARCH("0-5",H154)),60,""))))))</x:f>
        <x:v>60</x:v>
      </x:c>
      <x:c r="J154" s="34" t="str">
        <x:v>无低于1000万元标识</x:v>
      </x:c>
      <x:c r="K154" s="17" t="n">
        <x:f>IF(J154="","",IF(J154="低于1000万元",0,100))</x:f>
        <x:v>100</x:v>
      </x:c>
      <x:c r="L154" s="17" t="n">
        <x:f>IF(NOT(ISNUMBER(F154)),"",IF(F154&lt;1,"",IF(F154&lt;3,70,100)))</x:f>
        <x:v>100</x:v>
      </x:c>
      <x:c r="M154" s="35" t="n">
        <x:f>IF(ISNUMBER('sheet4-原始数据'!G139),'sheet4-原始数据'!G139,"")</x:f>
        <x:v>0.0391</x:v>
      </x:c>
      <x:c r="N154" s="35" t="n">
        <x:f>IF(ISNUMBER('sheet4-原始数据'!H139),'sheet4-原始数据'!H139,"")</x:f>
        <x:v>0.0663</x:v>
      </x:c>
      <x:c r="O154" s="36" t="str">
        <x:f>IF(ISNUMBER('sheet4-原始数据'!Q139),'sheet4-原始数据'!Q139,"")</x:f>
      </x:c>
      <x:c r="P154" s="37" t="n">
        <x:f>IF($G154&lt;&gt;"入池","",IF($F154&gt;=3,IF(OR(NOT(ISNUMBER($M154)),NOT(ISNUMBER($N154)),1+$M154&lt;=0,1+$N154&lt;0),"",((1+$N154)^3/(1+$M154))^(1/2)-1),IF(OR($F154&lt;=1,NOT(ISNUMBER($M154)),NOT(ISNUMBER($O154)),1+$M154&lt;=0,1+$O154&lt;0),"",((1+$O154)^$F154/(1+$M154))^(1/($F154-1))-1)))</x:f>
        <x:v>0.08016584672028082</x:v>
      </x:c>
      <x:c r="Q154" s="17" t="n">
        <x:f>IF(OR($G154&lt;&gt;"入池",NOT(ISNUMBER(M154))),"",IF(COUNTIFS($G$17:$G$219,"入池",$M$17:$M$219,"&gt;=-1E+307",$M$17:$M$219,"&lt;=1E+307")&lt;=1,100,ROUND(100*(COUNTIFS($G$17:$G$219,"入池",$M$17:$M$219,"&gt;=-1E+307",$M$17:$M$219,"&lt;"&amp;M154)+COUNTIFS($G$17:$G$219,"入池",$M$17:$M$219,M154,$M$17:$M$219,"&gt;=-1E+307",$M$17:$M$219,"&lt;=1E+307")/2-0.5)/(COUNTIFS($G$17:$G$219,"入池",$M$17:$M$219,"&gt;=-1E+307",$M$17:$M$219,"&lt;=1E+307")-1),2)))</x:f>
        <x:v>39.6</x:v>
      </x:c>
      <x:c r="R154" s="17" t="n">
        <x:f>IF(OR($G154&lt;&gt;"入池",NOT(ISNUMBER(P154))),"",IF(COUNTIFS($G$17:$G$219,"入池",$P$17:$P$219,"&gt;=-1E+307",$P$17:$P$219,"&lt;=1E+307")&lt;=1,100,ROUND(100*(COUNTIFS($G$17:$G$219,"入池",$P$17:$P$219,"&gt;=-1E+307",$P$17:$P$219,"&lt;"&amp;P154)+COUNTIFS($G$17:$G$219,"入池",$P$17:$P$219,P154,$P$17:$P$219,"&gt;=-1E+307",$P$17:$P$219,"&lt;=1E+307")/2-0.5)/(COUNTIFS($G$17:$G$219,"入池",$P$17:$P$219,"&gt;=-1E+307",$P$17:$P$219,"&lt;=1E+307")-1),2)))</x:f>
        <x:v>64.85</x:v>
      </x:c>
      <x:c r="S154" s="17" t="n">
        <x:f>IF(NOT(ISNUMBER(Q154)),"",IF(NOT(ISNUMBER(R154)),Q154,ROUND(Q154*'sheet1-指标体系'!$J$8+R154*'sheet1-指标体系'!$J$9,2)))</x:f>
        <x:v>49.7</x:v>
      </x:c>
      <x:c r="T154" s="35" t="n">
        <x:f>IF(ISNUMBER('sheet4-原始数据'!J139),'sheet4-原始数据'!J139,"")</x:f>
        <x:v>0.7692</x:v>
      </x:c>
      <x:c r="U154" s="35" t="n">
        <x:f>IF(ISNUMBER('sheet4-原始数据'!I139),'sheet4-原始数据'!I139,"")</x:f>
        <x:v>0.7568</x:v>
      </x:c>
      <x:c r="V154" s="37" t="n">
        <x:f>IF(OR(NOT(ISNUMBER(T154)),NOT(ISNUMBER(U154))),"",(U154*'sheet1-指标体系'!$J$6-T154*'sheet1-指标体系'!$J$5)/'sheet1-指标体系'!$J$7)</x:f>
        <x:v>0.7500833333333334</x:v>
      </x:c>
      <x:c r="W154" s="17" t="n">
        <x:f>IF(NOT(ISNUMBER(T154)),"",T154*100)</x:f>
        <x:v>76.92</x:v>
      </x:c>
      <x:c r="X154" s="17" t="n">
        <x:f>IF($G154&lt;&gt;"入池","",IF(AND(ISNUMBER(V154),V154&gt;=0,V154&lt;=1),V154*100,IF(MAX(0,($F154-1)*12)&lt;6,100,"")))</x:f>
        <x:v>75.00833333333334</x:v>
      </x:c>
      <x:c r="Y154" s="17" t="n">
        <x:f>IF(NOT(ISNUMBER(W154)),"",IF(NOT(ISNUMBER(X154)),W154,ROUND(W154*'sheet1-指标体系'!$J$8+X154*'sheet1-指标体系'!$J$9,2)))</x:f>
        <x:v>76.16</x:v>
      </x:c>
      <x:c r="Z154" s="37" t="n">
        <x:f>IF(OR(NOT(ISNUMBER(M154)),NOT(ISNUMBER(AD154)),AD154=0),"",ABS(M154/AD154))</x:f>
        <x:v>0.009029188989469795</x:v>
      </x:c>
      <x:c r="AA154" s="35" t="n">
        <x:f>IF(ISNUMBER('sheet4-原始数据'!K139),'sheet4-原始数据'!K139,"")</x:f>
        <x:v>0.0174</x:v>
      </x:c>
      <x:c r="AB154" s="37" t="n">
        <x:f>IF(COUNT(Z154:AA154)=0,"",MAX(Z154:AA154))</x:f>
        <x:v>0.0174</x:v>
      </x:c>
      <x:c r="AC154" s="17" t="n">
        <x:f>IF(OR($G154&lt;&gt;"入池",NOT(ISNUMBER(AB154))),"",IF(COUNTIFS($G$17:$G$219,"入池",$AB$17:$AB$219,"&gt;=-1E+307",$AB$17:$AB$219,"&lt;=1E+307")&lt;=1,100,ROUND(100*(COUNTIFS($G$17:$G$219,"入池",$AB$17:$AB$219,"&lt;=1E+307",$AB$17:$AB$219,"&gt;"&amp;AB154)+COUNTIFS($G$17:$G$219,"入池",$AB$17:$AB$219,AB154,$AB$17:$AB$219,"&gt;=-1E+307",$AB$17:$AB$219,"&lt;=1E+307")/2-0.5)/(COUNTIFS($G$17:$G$219,"入池",$AB$17:$AB$219,"&gt;=-1E+307",$AB$17:$AB$219,"&lt;=1E+307")-1),2)))</x:f>
        <x:v>76.24</x:v>
      </x:c>
      <x:c r="AD154" s="38" t="n">
        <x:f>IF(ISNUMBER('sheet4-原始数据'!M139),'sheet4-原始数据'!M139,"")</x:f>
        <x:v>4.3304</x:v>
      </x:c>
      <x:c r="AE154" s="37" t="n">
        <x:f>IF(OR(NOT(ISNUMBER(P154)),NOT(ISNUMBER(AA154)),NOT(ISNUMBER(Z154))),"",IF(AA154&gt;Z154+'sheet1-指标体系'!$J$11,AA154,""))</x:f>
        <x:v>0.0174</x:v>
      </x:c>
      <x:c r="AF154" s="17" t="n">
        <x:f>IF(OR(NOT(ISNUMBER(P154)),NOT(ISNUMBER(AE154)),AE154=0),"",P154/AE154)</x:f>
        <x:v>4.607232570131082</x:v>
      </x:c>
      <x:c r="AG154" s="17" t="n">
        <x:f>IF(OR($G154&lt;&gt;"入池",NOT(ISNUMBER(AD154))),"",IF(COUNTIFS($G$17:$G$219,"入池",$AD$17:$AD$219,"&gt;=-1E+307",$AD$17:$AD$219,"&lt;=1E+307")&lt;=1,100,ROUND(100*(COUNTIFS($G$17:$G$219,"入池",$AD$17:$AD$219,"&gt;=-1E+307",$AD$17:$AD$219,"&lt;"&amp;AD154)+COUNTIFS($G$17:$G$219,"入池",$AD$17:$AD$219,AD154,$AD$17:$AD$219,"&gt;=-1E+307",$AD$17:$AD$219,"&lt;=1E+307")/2-0.5)/(COUNTIFS($G$17:$G$219,"入池",$AD$17:$AD$219,"&gt;=-1E+307",$AD$17:$AD$219,"&lt;=1E+307")-1),2)))</x:f>
        <x:v>60.7</x:v>
      </x:c>
      <x:c r="AH154" s="17" t="n">
        <x:f>IF(OR($G154&lt;&gt;"入池",NOT(ISNUMBER(AF154))),"",IF(COUNTIFS($G$17:$G$219,"入池",$AF$17:$AF$219,"&gt;=-1E+307",$AF$17:$AF$219,"&lt;=1E+307")&lt;=1,100,ROUND(100*(COUNTIFS($G$17:$G$219,"入池",$AF$17:$AF$219,"&gt;=-1E+307",$AF$17:$AF$219,"&lt;"&amp;AF154)+COUNTIFS($G$17:$G$219,"入池",$AF$17:$AF$219,AF154,$AF$17:$AF$219,"&gt;=-1E+307",$AF$17:$AF$219,"&lt;=1E+307")/2-0.5)/(COUNTIFS($G$17:$G$219,"入池",$AF$17:$AF$219,"&gt;=-1E+307",$AF$17:$AF$219,"&lt;=1E+307")-1),2)))</x:f>
        <x:v>82.48</x:v>
      </x:c>
      <x:c r="AI154" s="17" t="n">
        <x:f>IF(NOT(ISNUMBER(AG154)),"",IF(NOT(ISNUMBER(AH154)),AG154,ROUND(AG154*'sheet1-指标体系'!$J$8+AH154*'sheet1-指标体系'!$J$9,2)))</x:f>
        <x:v>69.41</x:v>
      </x:c>
      <x:c r="AJ154" s="37" t="n">
        <x:f>IF(NOT(ISNUMBER(F154)),"",IF(F154&gt;=3,IF(NOT(ISNUMBER(N154)),"",N154),IF(NOT(ISNUMBER(O154)),"",O154)))</x:f>
        <x:v>0.0663</x:v>
      </x:c>
      <x:c r="AK154" s="17" t="n">
        <x:f>IF(OR(G154&lt;&gt;"入池",NOT(ISNUMBER(M154)),NOT(ISNUMBER(AJ154))),"",IF(M154&gt;=AJ154,100,IF(AJ154-M154&lt;'sheet1-指标体系'!$J$10,80,60)))</x:f>
        <x:v>80</x:v>
      </x:c>
      <x:c r="AL154" s="17" t="n">
        <x:f>IF(COUNT(I154,K154,L154)=0,"",ROUND((IF(ISNUMBER(I154),I154*40%,0)+IF(ISNUMBER(K154),K154*30%,0)+IF(ISNUMBER(L154),L154*30%,0))/(IF(ISNUMBER(I154),40%,0)+IF(ISNUMBER(K154),30%,0)+IF(ISNUMBER(L154),30%,0)),2))</x:f>
        <x:v>84</x:v>
      </x:c>
      <x:c r="AM154" s="17" t="n">
        <x:f>IF(COUNT(Q154,R154,W154,X154)=0,"",ROUND((IF(ISNUMBER(Q154),Q154*42%,0)+IF(ISNUMBER(R154),R154*28%,0)+IF(ISNUMBER(W154),W154*18%,0)+IF(ISNUMBER(X154),X154*12%,0))/(IF(ISNUMBER(Q154),42%,0)+IF(ISNUMBER(R154),28%,0)+IF(ISNUMBER(W154),18%,0)+IF(ISNUMBER(X154),12%,0)),2))</x:f>
        <x:v>57.64</x:v>
      </x:c>
      <x:c r="AN154" s="17" t="n">
        <x:f>IF(ISNUMBER(AC154),AC154,"")</x:f>
        <x:v>76.24</x:v>
      </x:c>
      <x:c r="AO154" s="17" t="n">
        <x:f>IF(COUNT(AG154,AH154)=0,"",ROUND((IF(ISNUMBER(AG154),AG154*60%,0)+IF(ISNUMBER(AH154),AH154*40%,0))/(IF(ISNUMBER(AG154),60%,0)+IF(ISNUMBER(AH154),40%,0)),2))</x:f>
        <x:v>69.41</x:v>
      </x:c>
      <x:c r="AP154" s="17" t="n">
        <x:f>IF(ISNUMBER(AK154),AK154,"")</x:f>
        <x:v>80</x:v>
      </x:c>
      <x:c r="AQ154" s="39" t="n">
        <x:f>IF(G154&lt;&gt;"入池",0,IF(ISNUMBER(I154),6%,0)+IF(ISNUMBER(K154),4.5%,0)+IF(ISNUMBER(L154),4.5%,0)+IF(ISNUMBER(Q154),8.4%,0)+IF(ISNUMBER(R154),5.6%,0)+IF(ISNUMBER(W154),3.6%,0)+IF(ISNUMBER(X154),2.4%,0)+IF(ISNUMBER(AC154),25%,0)+IF(ISNUMBER(AG154),18%,0)+IF(ISNUMBER(AH154),12%,0)+IF(ISNUMBER(AK154),10%,0))</x:f>
        <x:v>1</x:v>
      </x:c>
      <x:c r="AR154" s="17" t="n">
        <x:f>IF(AQ154=0,"",IF(ISNUMBER(I154),I154*6%,0)+IF(ISNUMBER(K154),K154*4.5%,0)+IF(ISNUMBER(L154),L154*4.5%,0)+IF(ISNUMBER(Q154),Q154*8.4%,0)+IF(ISNUMBER(R154),R154*5.6%,0)+IF(ISNUMBER(W154),W154*3.6%,0)+IF(ISNUMBER(X154),X154*2.4%,0)+IF(ISNUMBER(AC154),AC154*25%,0)+IF(ISNUMBER(AG154),AG154*18%,0)+IF(ISNUMBER(AH154),AH154*12%,0)+IF(ISNUMBER(AK154),AK154*10%,0))</x:f>
        <x:v>72.01092</x:v>
      </x:c>
      <x:c r="AS154" s="17" t="n">
        <x:f>IF(AQ154=0,"",ROUND(AR154/AQ154,2))</x:f>
        <x:v>72.01</x:v>
      </x:c>
      <x:c r="AT154" s="40" t="n">
        <x:f>IF(OR(G154&lt;&gt;"入池",NOT(ISNUMBER(AS154))),"",COUNTIFS($G$17:$G$219,"入池",$AS$17:$AS$219,"&gt;"&amp;AS154)+COUNTIFS($G$17:$G$219,"入池",$AS$17:$AS$219,AS154,$AQ$17:$AQ$219,"&gt;"&amp;AQ154)+COUNTIFS($G$17:G154,"入池",$AS$17:AS154,AS154,$AQ$17:AQ154,AQ154))</x:f>
        <x:v>62</x:v>
      </x:c>
      <x:c r="AU154" s="41" t="str">
        <x:f t="shared" si="7">IF(NOT(ISNUMBER(I154)),"管理人规模；","")&amp;IF(J154="","产品规模标识；","")&amp;IF(AND(F154&lt;3,NOT(ISNUMBER(O154))),"R_incep；","")&amp;IF(NOT(ISNUMBER(N154)),"近三年收益；","")&amp;IF(NOT(ISNUMBER(U154)),"近三年胜率；","")&amp;IF(AND(ISNUMBER(V154),OR(V154&lt;0,V154&gt;1)),"胜率窗口口径不一致；","")&amp;IF(NOT(ISNUMBER(AA154)),"近三年回撤；","")&amp;IF(NOT(ISNUMBER(AD154)),"短期卡玛；","")&amp;IF(AND(ISNUMBER(P154),NOT(ISNUMBER(AE154))),"DD_long不可识别；","")</x:f>
      </x:c>
      <x:c r="AV154" s="42" t="n">
        <x:v>0</x:v>
      </x:c>
      <x:c r="AW154" s="19" t="str">
        <x:v>宁波永泉私募基金管理有限公司</x:v>
      </x:c>
      <x:c r="AX154" s="19" t="str">
        <x:v>2026-09-09</x:v>
      </x:c>
      <x:c r="AY154" s="19" t="str">
        <x:v>https://gs.amac.org.cn/amac-infodisc/res/pof/manager/101000016974.html</x:v>
      </x:c>
      <x:c r="AZ154" s="19" t="str">
        <x:v>永泉奇点18号混合投资私募基金</x:v>
      </x:c>
      <x:c r="BA154" s="19" t="str">
        <x:v>2024-10-10</x:v>
      </x:c>
      <x:c r="BB154" s="19"/>
      <x:c r="BC154" s="19" t="str">
        <x:v>https://gs.amac.org.cn/amac-infodisc/res/pof/fund/2105261800100429.html</x:v>
      </x:c>
      <x:c r="BD154" s="19" t="str">
        <x:v>已匹配</x:v>
      </x:c>
      <x:c r="BE154"/>
      <x:c r="BF154"/>
    </x:row>
    <x:row r="155" ht="28" customHeight="1">
      <x:c r="A155" s="4" t="n">
        <x:v>139</x:v>
      </x:c>
      <x:c r="B155" s="15" t="str">
        <x:f>'sheet4-原始数据'!A140</x:f>
        <x:v>惠隆金选套利1号</x:v>
      </x:c>
      <x:c r="C155" s="15" t="str">
        <x:f>'sheet4-原始数据'!B140</x:f>
        <x:v>SQG026</x:v>
      </x:c>
      <x:c r="D155" s="15" t="str">
        <x:f>'sheet4-原始数据'!E140</x:f>
        <x:v>北京惠隆资管</x:v>
      </x:c>
      <x:c r="E155" s="32" t="n">
        <x:f>IF(ISNUMBER('sheet4-原始数据'!F140),'sheet4-原始数据'!F140,"")</x:f>
        <x:v>44462</x:v>
      </x:c>
      <x:c r="F155" s="17" t="n">
        <x:f>IF(NOT(ISNUMBER(E155)),"",ROUND(('sheet1-指标体系'!$J$23-E155)/365.25,4))</x:f>
        <x:v>4.9802</x:v>
      </x:c>
      <x:c r="G155" s="4" t="str">
        <x:f t="shared" si="6">IF(NOT(ISNUMBER(F155)),"",IF(F155&lt;1,"不入池","入池"))</x:f>
        <x:v>入池</x:v>
      </x:c>
      <x:c r="H155" s="33" t="str">
        <x:v>10-20亿元</x:v>
      </x:c>
      <x:c r="I155" s="17" t="n">
        <x:f>IF(H155="","",IF(ISNUMBER(SEARCH("100亿元以上",H155)),100,IF(OR(ISNUMBER(SEARCH("20-50",H155)),ISNUMBER(SEARCH("50-100",H155)),ISNUMBER(SEARCH("20-100",H155))),90,IF(ISNUMBER(SEARCH("10-20",H155)),80,IF(ISNUMBER(SEARCH("5-10",H155)),70,IF(ISNUMBER(SEARCH("0-5",H155)),60,""))))))</x:f>
        <x:v>80</x:v>
      </x:c>
      <x:c r="J155" s="34" t="str">
        <x:v>无低于1000万元标识</x:v>
      </x:c>
      <x:c r="K155" s="17" t="n">
        <x:f>IF(J155="","",IF(J155="低于1000万元",0,100))</x:f>
        <x:v>100</x:v>
      </x:c>
      <x:c r="L155" s="17" t="n">
        <x:f>IF(NOT(ISNUMBER(F155)),"",IF(F155&lt;1,"",IF(F155&lt;3,70,100)))</x:f>
        <x:v>100</x:v>
      </x:c>
      <x:c r="M155" s="35" t="n">
        <x:f>IF(ISNUMBER('sheet4-原始数据'!G140),'sheet4-原始数据'!G140,"")</x:f>
        <x:v>0.13369999999999999</x:v>
      </x:c>
      <x:c r="N155" s="35" t="n">
        <x:f>IF(ISNUMBER('sheet4-原始数据'!H140),'sheet4-原始数据'!H140,"")</x:f>
        <x:v>0.1664</x:v>
      </x:c>
      <x:c r="O155" s="36" t="str">
        <x:f>IF(ISNUMBER('sheet4-原始数据'!Q140),'sheet4-原始数据'!Q140,"")</x:f>
      </x:c>
      <x:c r="P155" s="37" t="n">
        <x:f>IF($G155&lt;&gt;"入池","",IF($F155&gt;=3,IF(OR(NOT(ISNUMBER($M155)),NOT(ISNUMBER($N155)),1+$M155&lt;=0,1+$N155&lt;0),"",((1+$N155)^3/(1+$M155))^(1/2)-1),IF(OR($F155&lt;=1,NOT(ISNUMBER($M155)),NOT(ISNUMBER($O155)),1+$M155&lt;=0,1+$O155&lt;0),"",((1+$O155)^$F155/(1+$M155))^(1/($F155-1))-1)))</x:f>
        <x:v>0.18310201258518566</x:v>
      </x:c>
      <x:c r="Q155" s="17" t="n">
        <x:f>IF(OR($G155&lt;&gt;"入池",NOT(ISNUMBER(M155))),"",IF(COUNTIFS($G$17:$G$219,"入池",$M$17:$M$219,"&gt;=-1E+307",$M$17:$M$219,"&lt;=1E+307")&lt;=1,100,ROUND(100*(COUNTIFS($G$17:$G$219,"入池",$M$17:$M$219,"&gt;=-1E+307",$M$17:$M$219,"&lt;"&amp;M155)+COUNTIFS($G$17:$G$219,"入池",$M$17:$M$219,M155,$M$17:$M$219,"&gt;=-1E+307",$M$17:$M$219,"&lt;=1E+307")/2-0.5)/(COUNTIFS($G$17:$G$219,"入池",$M$17:$M$219,"&gt;=-1E+307",$M$17:$M$219,"&lt;=1E+307")-1),2)))</x:f>
        <x:v>87.87</x:v>
      </x:c>
      <x:c r="R155" s="17" t="n">
        <x:f>IF(OR($G155&lt;&gt;"入池",NOT(ISNUMBER(P155))),"",IF(COUNTIFS($G$17:$G$219,"入池",$P$17:$P$219,"&gt;=-1E+307",$P$17:$P$219,"&lt;=1E+307")&lt;=1,100,ROUND(100*(COUNTIFS($G$17:$G$219,"入池",$P$17:$P$219,"&gt;=-1E+307",$P$17:$P$219,"&lt;"&amp;P155)+COUNTIFS($G$17:$G$219,"入池",$P$17:$P$219,P155,$P$17:$P$219,"&gt;=-1E+307",$P$17:$P$219,"&lt;=1E+307")/2-0.5)/(COUNTIFS($G$17:$G$219,"入池",$P$17:$P$219,"&gt;=-1E+307",$P$17:$P$219,"&lt;=1E+307")-1),2)))</x:f>
        <x:v>92.33</x:v>
      </x:c>
      <x:c r="S155" s="17" t="n">
        <x:f>IF(NOT(ISNUMBER(Q155)),"",IF(NOT(ISNUMBER(R155)),Q155,ROUND(Q155*'sheet1-指标体系'!$J$8+R155*'sheet1-指标体系'!$J$9,2)))</x:f>
        <x:v>89.65</x:v>
      </x:c>
      <x:c r="T155" s="35" t="n">
        <x:f>IF(ISNUMBER('sheet4-原始数据'!J140),'sheet4-原始数据'!J140,"")</x:f>
        <x:v>1</x:v>
      </x:c>
      <x:c r="U155" s="35" t="n">
        <x:f>IF(ISNUMBER('sheet4-原始数据'!I140),'sheet4-原始数据'!I140,"")</x:f>
        <x:v>1</x:v>
      </x:c>
      <x:c r="V155" s="37" t="n">
        <x:f>IF(OR(NOT(ISNUMBER(T155)),NOT(ISNUMBER(U155))),"",(U155*'sheet1-指标体系'!$J$6-T155*'sheet1-指标体系'!$J$5)/'sheet1-指标体系'!$J$7)</x:f>
        <x:v>1</x:v>
      </x:c>
      <x:c r="W155" s="17" t="n">
        <x:f>IF(NOT(ISNUMBER(T155)),"",T155*100)</x:f>
        <x:v>100</x:v>
      </x:c>
      <x:c r="X155" s="17" t="n">
        <x:f>IF($G155&lt;&gt;"入池","",IF(AND(ISNUMBER(V155),V155&gt;=0,V155&lt;=1),V155*100,IF(MAX(0,($F155-1)*12)&lt;6,100,"")))</x:f>
        <x:v>100</x:v>
      </x:c>
      <x:c r="Y155" s="17" t="n">
        <x:f>IF(NOT(ISNUMBER(W155)),"",IF(NOT(ISNUMBER(X155)),W155,ROUND(W155*'sheet1-指标体系'!$J$8+X155*'sheet1-指标体系'!$J$9,2)))</x:f>
        <x:v>100</x:v>
      </x:c>
      <x:c r="Z155" s="37" t="n">
        <x:f>IF(OR(NOT(ISNUMBER(M155)),NOT(ISNUMBER(AD155)),AD155=0),"",ABS(M155/AD155))</x:f>
        <x:v>0.0027219498688903724</x:v>
      </x:c>
      <x:c r="AA155" s="35" t="n">
        <x:f>IF(ISNUMBER('sheet4-原始数据'!K140),'sheet4-原始数据'!K140,"")</x:f>
        <x:v>0.0027</x:v>
      </x:c>
      <x:c r="AB155" s="37" t="n">
        <x:f>IF(COUNT(Z155:AA155)=0,"",MAX(Z155:AA155))</x:f>
        <x:v>0.0027219498688903724</x:v>
      </x:c>
      <x:c r="AC155" s="17" t="n">
        <x:f>IF(OR($G155&lt;&gt;"入池",NOT(ISNUMBER(AB155))),"",IF(COUNTIFS($G$17:$G$219,"入池",$AB$17:$AB$219,"&gt;=-1E+307",$AB$17:$AB$219,"&lt;=1E+307")&lt;=1,100,ROUND(100*(COUNTIFS($G$17:$G$219,"入池",$AB$17:$AB$219,"&lt;=1E+307",$AB$17:$AB$219,"&gt;"&amp;AB155)+COUNTIFS($G$17:$G$219,"入池",$AB$17:$AB$219,AB155,$AB$17:$AB$219,"&gt;=-1E+307",$AB$17:$AB$219,"&lt;=1E+307")/2-0.5)/(COUNTIFS($G$17:$G$219,"入池",$AB$17:$AB$219,"&gt;=-1E+307",$AB$17:$AB$219,"&lt;=1E+307")-1),2)))</x:f>
        <x:v>98.27</x:v>
      </x:c>
      <x:c r="AD155" s="38" t="n">
        <x:f>IF(ISNUMBER('sheet4-原始数据'!M140),'sheet4-原始数据'!M140,"")</x:f>
        <x:v>49.1192</x:v>
      </x:c>
      <x:c r="AE155" s="37" t="str">
        <x:f>IF(OR(NOT(ISNUMBER(P155)),NOT(ISNUMBER(AA155)),NOT(ISNUMBER(Z155))),"",IF(AA155&gt;Z155+'sheet1-指标体系'!$J$11,AA155,""))</x:f>
      </x:c>
      <x:c r="AF155" s="17" t="str">
        <x:f>IF(OR(NOT(ISNUMBER(P155)),NOT(ISNUMBER(AE155)),AE155=0),"",P155/AE155)</x:f>
      </x:c>
      <x:c r="AG155" s="17" t="n">
        <x:f>IF(OR($G155&lt;&gt;"入池",NOT(ISNUMBER(AD155))),"",IF(COUNTIFS($G$17:$G$219,"入池",$AD$17:$AD$219,"&gt;=-1E+307",$AD$17:$AD$219,"&lt;=1E+307")&lt;=1,100,ROUND(100*(COUNTIFS($G$17:$G$219,"入池",$AD$17:$AD$219,"&gt;=-1E+307",$AD$17:$AD$219,"&lt;"&amp;AD155)+COUNTIFS($G$17:$G$219,"入池",$AD$17:$AD$219,AD155,$AD$17:$AD$219,"&gt;=-1E+307",$AD$17:$AD$219,"&lt;=1E+307")/2-0.5)/(COUNTIFS($G$17:$G$219,"入池",$AD$17:$AD$219,"&gt;=-1E+307",$AD$17:$AD$219,"&lt;=1E+307")-1),2)))</x:f>
        <x:v>97.26</x:v>
      </x:c>
      <x:c r="AH155" s="17" t="str">
        <x:f>IF(OR($G155&lt;&gt;"入池",NOT(ISNUMBER(AF155))),"",IF(COUNTIFS($G$17:$G$219,"入池",$AF$17:$AF$219,"&gt;=-1E+307",$AF$17:$AF$219,"&lt;=1E+307")&lt;=1,100,ROUND(100*(COUNTIFS($G$17:$G$219,"入池",$AF$17:$AF$219,"&gt;=-1E+307",$AF$17:$AF$219,"&lt;"&amp;AF155)+COUNTIFS($G$17:$G$219,"入池",$AF$17:$AF$219,AF155,$AF$17:$AF$219,"&gt;=-1E+307",$AF$17:$AF$219,"&lt;=1E+307")/2-0.5)/(COUNTIFS($G$17:$G$219,"入池",$AF$17:$AF$219,"&gt;=-1E+307",$AF$17:$AF$219,"&lt;=1E+307")-1),2)))</x:f>
      </x:c>
      <x:c r="AI155" s="17" t="n">
        <x:f>IF(NOT(ISNUMBER(AG155)),"",IF(NOT(ISNUMBER(AH155)),AG155,ROUND(AG155*'sheet1-指标体系'!$J$8+AH155*'sheet1-指标体系'!$J$9,2)))</x:f>
        <x:v>97.26</x:v>
      </x:c>
      <x:c r="AJ155" s="37" t="n">
        <x:f>IF(NOT(ISNUMBER(F155)),"",IF(F155&gt;=3,IF(NOT(ISNUMBER(N155)),"",N155),IF(NOT(ISNUMBER(O155)),"",O155)))</x:f>
        <x:v>0.1664</x:v>
      </x:c>
      <x:c r="AK155" s="17" t="n">
        <x:f>IF(OR(G155&lt;&gt;"入池",NOT(ISNUMBER(M155)),NOT(ISNUMBER(AJ155))),"",IF(M155&gt;=AJ155,100,IF(AJ155-M155&lt;'sheet1-指标体系'!$J$10,80,60)))</x:f>
        <x:v>80</x:v>
      </x:c>
      <x:c r="AL155" s="17" t="n">
        <x:f>IF(COUNT(I155,K155,L155)=0,"",ROUND((IF(ISNUMBER(I155),I155*40%,0)+IF(ISNUMBER(K155),K155*30%,0)+IF(ISNUMBER(L155),L155*30%,0))/(IF(ISNUMBER(I155),40%,0)+IF(ISNUMBER(K155),30%,0)+IF(ISNUMBER(L155),30%,0)),2))</x:f>
        <x:v>92</x:v>
      </x:c>
      <x:c r="AM155" s="17" t="n">
        <x:f>IF(COUNT(Q155,R155,W155,X155)=0,"",ROUND((IF(ISNUMBER(Q155),Q155*42%,0)+IF(ISNUMBER(R155),R155*28%,0)+IF(ISNUMBER(W155),W155*18%,0)+IF(ISNUMBER(X155),X155*12%,0))/(IF(ISNUMBER(Q155),42%,0)+IF(ISNUMBER(R155),28%,0)+IF(ISNUMBER(W155),18%,0)+IF(ISNUMBER(X155),12%,0)),2))</x:f>
        <x:v>92.76</x:v>
      </x:c>
      <x:c r="AN155" s="17" t="n">
        <x:f>IF(ISNUMBER(AC155),AC155,"")</x:f>
        <x:v>98.27</x:v>
      </x:c>
      <x:c r="AO155" s="17" t="n">
        <x:f>IF(COUNT(AG155,AH155)=0,"",ROUND((IF(ISNUMBER(AG155),AG155*60%,0)+IF(ISNUMBER(AH155),AH155*40%,0))/(IF(ISNUMBER(AG155),60%,0)+IF(ISNUMBER(AH155),40%,0)),2))</x:f>
        <x:v>97.26</x:v>
      </x:c>
      <x:c r="AP155" s="17" t="n">
        <x:f>IF(ISNUMBER(AK155),AK155,"")</x:f>
        <x:v>80</x:v>
      </x:c>
      <x:c r="AQ155" s="39" t="n">
        <x:f>IF(G155&lt;&gt;"入池",0,IF(ISNUMBER(I155),6%,0)+IF(ISNUMBER(K155),4.5%,0)+IF(ISNUMBER(L155),4.5%,0)+IF(ISNUMBER(Q155),8.4%,0)+IF(ISNUMBER(R155),5.6%,0)+IF(ISNUMBER(W155),3.6%,0)+IF(ISNUMBER(X155),2.4%,0)+IF(ISNUMBER(AC155),25%,0)+IF(ISNUMBER(AG155),18%,0)+IF(ISNUMBER(AH155),12%,0)+IF(ISNUMBER(AK155),10%,0))</x:f>
        <x:v>0.88</x:v>
      </x:c>
      <x:c r="AR155" s="17" t="n">
        <x:f>IF(AQ155=0,"",IF(ISNUMBER(I155),I155*6%,0)+IF(ISNUMBER(K155),K155*4.5%,0)+IF(ISNUMBER(L155),L155*4.5%,0)+IF(ISNUMBER(Q155),Q155*8.4%,0)+IF(ISNUMBER(R155),R155*5.6%,0)+IF(ISNUMBER(W155),W155*3.6%,0)+IF(ISNUMBER(X155),X155*2.4%,0)+IF(ISNUMBER(AC155),AC155*25%,0)+IF(ISNUMBER(AG155),AG155*18%,0)+IF(ISNUMBER(AH155),AH155*12%,0)+IF(ISNUMBER(AK155),AK155*10%,0))</x:f>
        <x:v>82.42586</x:v>
      </x:c>
      <x:c r="AS155" s="17" t="n">
        <x:f>IF(AQ155=0,"",ROUND(AR155/AQ155,2))</x:f>
        <x:v>93.67</x:v>
      </x:c>
      <x:c r="AT155" s="40" t="n">
        <x:f>IF(OR(G155&lt;&gt;"入池",NOT(ISNUMBER(AS155))),"",COUNTIFS($G$17:$G$219,"入池",$AS$17:$AS$219,"&gt;"&amp;AS155)+COUNTIFS($G$17:$G$219,"入池",$AS$17:$AS$219,AS155,$AQ$17:$AQ$219,"&gt;"&amp;AQ155)+COUNTIFS($G$17:G155,"入池",$AS$17:AS155,AS155,$AQ$17:AQ155,AQ155))</x:f>
        <x:v>1</x:v>
      </x:c>
      <x:c r="AU155" s="41" t="str">
        <x:f t="shared" si="7">IF(NOT(ISNUMBER(I155)),"管理人规模；","")&amp;IF(J155="","产品规模标识；","")&amp;IF(AND(F155&lt;3,NOT(ISNUMBER(O155))),"R_incep；","")&amp;IF(NOT(ISNUMBER(N155)),"近三年收益；","")&amp;IF(NOT(ISNUMBER(U155)),"近三年胜率；","")&amp;IF(AND(ISNUMBER(V155),OR(V155&lt;0,V155&gt;1)),"胜率窗口口径不一致；","")&amp;IF(NOT(ISNUMBER(AA155)),"近三年回撤；","")&amp;IF(NOT(ISNUMBER(AD155)),"短期卡玛；","")&amp;IF(AND(ISNUMBER(P155),NOT(ISNUMBER(AE155))),"DD_long不可识别；","")</x:f>
        <x:v>DD_long不可识别；</x:v>
      </x:c>
      <x:c r="AV155" s="42" t="n">
        <x:v>10</x:v>
      </x:c>
      <x:c r="AW155" s="19" t="str">
        <x:v>北京惠隆资本管理有限责任公司</x:v>
      </x:c>
      <x:c r="AX155" s="19" t="str">
        <x:v>2026-08-14</x:v>
      </x:c>
      <x:c r="AY155" s="19" t="str">
        <x:v>https://gs.amac.org.cn/amac-infodisc/res/pof/manager/1705031716108118.html</x:v>
      </x:c>
      <x:c r="AZ155" s="19" t="str">
        <x:v>惠隆金选套利1号私募证券投资基金</x:v>
      </x:c>
      <x:c r="BA155" s="19" t="str">
        <x:v>2025-12-19</x:v>
      </x:c>
      <x:c r="BB155" s="19"/>
      <x:c r="BC155" s="19" t="str">
        <x:v>https://gs.amac.org.cn/amac-infodisc/res/pof/fund/2109281437101671.html</x:v>
      </x:c>
      <x:c r="BD155" s="19" t="str">
        <x:v>已匹配</x:v>
      </x:c>
      <x:c r="BE155"/>
      <x:c r="BF155"/>
    </x:row>
    <x:row r="156" ht="28" customHeight="1">
      <x:c r="A156" s="4" t="n">
        <x:v>140</x:v>
      </x:c>
      <x:c r="B156" s="15" t="str">
        <x:f>'sheet4-原始数据'!A141</x:f>
        <x:v>景鹏稳进1号</x:v>
      </x:c>
      <x:c r="C156" s="15" t="str">
        <x:f>'sheet4-原始数据'!B141</x:f>
        <x:v>SSX278</x:v>
      </x:c>
      <x:c r="D156" s="15" t="str">
        <x:f>'sheet4-原始数据'!E141</x:f>
        <x:v>上海景鹏</x:v>
      </x:c>
      <x:c r="E156" s="32" t="n">
        <x:f>IF(ISNUMBER('sheet4-原始数据'!F141),'sheet4-原始数据'!F141,"")</x:f>
        <x:v>44480</x:v>
      </x:c>
      <x:c r="F156" s="17" t="n">
        <x:f>IF(NOT(ISNUMBER(E156)),"",ROUND(('sheet1-指标体系'!$J$23-E156)/365.25,4))</x:f>
        <x:v>4.9309</x:v>
      </x:c>
      <x:c r="G156" s="4" t="str">
        <x:f t="shared" si="6">IF(NOT(ISNUMBER(F156)),"",IF(F156&lt;1,"不入池","入池"))</x:f>
        <x:v>入池</x:v>
      </x:c>
      <x:c r="H156" s="33" t="str">
        <x:v>0-5亿元</x:v>
      </x:c>
      <x:c r="I156" s="17" t="n">
        <x:f>IF(H156="","",IF(ISNUMBER(SEARCH("100亿元以上",H156)),100,IF(OR(ISNUMBER(SEARCH("20-50",H156)),ISNUMBER(SEARCH("50-100",H156)),ISNUMBER(SEARCH("20-100",H156))),90,IF(ISNUMBER(SEARCH("10-20",H156)),80,IF(ISNUMBER(SEARCH("5-10",H156)),70,IF(ISNUMBER(SEARCH("0-5",H156)),60,""))))))</x:f>
        <x:v>60</x:v>
      </x:c>
      <x:c r="J156" s="34" t="str">
        <x:v>无低于1000万元标识</x:v>
      </x:c>
      <x:c r="K156" s="17" t="n">
        <x:f>IF(J156="","",IF(J156="低于1000万元",0,100))</x:f>
        <x:v>100</x:v>
      </x:c>
      <x:c r="L156" s="17" t="n">
        <x:f>IF(NOT(ISNUMBER(F156)),"",IF(F156&lt;1,"",IF(F156&lt;3,70,100)))</x:f>
        <x:v>100</x:v>
      </x:c>
      <x:c r="M156" s="35" t="n">
        <x:f>IF(ISNUMBER('sheet4-原始数据'!G141),'sheet4-原始数据'!G141,"")</x:f>
        <x:v>0.0673</x:v>
      </x:c>
      <x:c r="N156" s="35" t="n">
        <x:f>IF(ISNUMBER('sheet4-原始数据'!H141),'sheet4-原始数据'!H141,"")</x:f>
        <x:v>0.061</x:v>
      </x:c>
      <x:c r="O156" s="36" t="str">
        <x:f>IF(ISNUMBER('sheet4-原始数据'!Q141),'sheet4-原始数据'!Q141,"")</x:f>
      </x:c>
      <x:c r="P156" s="37" t="n">
        <x:f>IF($G156&lt;&gt;"入池","",IF($F156&gt;=3,IF(OR(NOT(ISNUMBER($M156)),NOT(ISNUMBER($N156)),1+$M156&lt;=0,1+$N156&lt;0),"",((1+$N156)^3/(1+$M156))^(1/2)-1),IF(OR($F156&lt;=1,NOT(ISNUMBER($M156)),NOT(ISNUMBER($O156)),1+$M156&lt;=0,1+$O156&lt;0),"",((1+$O156)^$F156/(1+$M156))^(1/($F156-1))-1)))</x:f>
        <x:v>0.057863958985294506</x:v>
      </x:c>
      <x:c r="Q156" s="17" t="n">
        <x:f>IF(OR($G156&lt;&gt;"入池",NOT(ISNUMBER(M156))),"",IF(COUNTIFS($G$17:$G$219,"入池",$M$17:$M$219,"&gt;=-1E+307",$M$17:$M$219,"&lt;=1E+307")&lt;=1,100,ROUND(100*(COUNTIFS($G$17:$G$219,"入池",$M$17:$M$219,"&gt;=-1E+307",$M$17:$M$219,"&lt;"&amp;M156)+COUNTIFS($G$17:$G$219,"入池",$M$17:$M$219,M156,$M$17:$M$219,"&gt;=-1E+307",$M$17:$M$219,"&lt;=1E+307")/2-0.5)/(COUNTIFS($G$17:$G$219,"入池",$M$17:$M$219,"&gt;=-1E+307",$M$17:$M$219,"&lt;=1E+307")-1),2)))</x:f>
        <x:v>60.89</x:v>
      </x:c>
      <x:c r="R156" s="17" t="n">
        <x:f>IF(OR($G156&lt;&gt;"入池",NOT(ISNUMBER(P156))),"",IF(COUNTIFS($G$17:$G$219,"入池",$P$17:$P$219,"&gt;=-1E+307",$P$17:$P$219,"&lt;=1E+307")&lt;=1,100,ROUND(100*(COUNTIFS($G$17:$G$219,"入池",$P$17:$P$219,"&gt;=-1E+307",$P$17:$P$219,"&lt;"&amp;P156)+COUNTIFS($G$17:$G$219,"入池",$P$17:$P$219,P156,$P$17:$P$219,"&gt;=-1E+307",$P$17:$P$219,"&lt;=1E+307")/2-0.5)/(COUNTIFS($G$17:$G$219,"入池",$P$17:$P$219,"&gt;=-1E+307",$P$17:$P$219,"&lt;=1E+307")-1),2)))</x:f>
        <x:v>46.53</x:v>
      </x:c>
      <x:c r="S156" s="17" t="n">
        <x:f>IF(NOT(ISNUMBER(Q156)),"",IF(NOT(ISNUMBER(R156)),Q156,ROUND(Q156*'sheet1-指标体系'!$J$8+R156*'sheet1-指标体系'!$J$9,2)))</x:f>
        <x:v>55.15</x:v>
      </x:c>
      <x:c r="T156" s="35" t="n">
        <x:f>IF(ISNUMBER('sheet4-原始数据'!J141),'sheet4-原始数据'!J141,"")</x:f>
        <x:v>0.9231</x:v>
      </x:c>
      <x:c r="U156" s="35" t="n">
        <x:f>IF(ISNUMBER('sheet4-原始数据'!I141),'sheet4-原始数据'!I141,"")</x:f>
        <x:v>0.8919</x:v>
      </x:c>
      <x:c r="V156" s="37" t="n">
        <x:f>IF(OR(NOT(ISNUMBER(T156)),NOT(ISNUMBER(U156))),"",(U156*'sheet1-指标体系'!$J$6-T156*'sheet1-指标体系'!$J$5)/'sheet1-指标体系'!$J$7)</x:f>
        <x:v>0.875</x:v>
      </x:c>
      <x:c r="W156" s="17" t="n">
        <x:f>IF(NOT(ISNUMBER(T156)),"",T156*100)</x:f>
        <x:v>92.31</x:v>
      </x:c>
      <x:c r="X156" s="17" t="n">
        <x:f>IF($G156&lt;&gt;"入池","",IF(AND(ISNUMBER(V156),V156&gt;=0,V156&lt;=1),V156*100,IF(MAX(0,($F156-1)*12)&lt;6,100,"")))</x:f>
        <x:v>87.5</x:v>
      </x:c>
      <x:c r="Y156" s="17" t="n">
        <x:f>IF(NOT(ISNUMBER(W156)),"",IF(NOT(ISNUMBER(X156)),W156,ROUND(W156*'sheet1-指标体系'!$J$8+X156*'sheet1-指标体系'!$J$9,2)))</x:f>
        <x:v>90.39</x:v>
      </x:c>
      <x:c r="Z156" s="37" t="n">
        <x:f>IF(OR(NOT(ISNUMBER(M156)),NOT(ISNUMBER(AD156)),AD156=0),"",ABS(M156/AD156))</x:f>
        <x:v>0.006300200333264683</x:v>
      </x:c>
      <x:c r="AA156" s="35" t="n">
        <x:f>IF(ISNUMBER('sheet4-原始数据'!K141),'sheet4-原始数据'!K141,"")</x:f>
        <x:v>0.0161</x:v>
      </x:c>
      <x:c r="AB156" s="37" t="n">
        <x:f>IF(COUNT(Z156:AA156)=0,"",MAX(Z156:AA156))</x:f>
        <x:v>0.0161</x:v>
      </x:c>
      <x:c r="AC156" s="17" t="n">
        <x:f>IF(OR($G156&lt;&gt;"入池",NOT(ISNUMBER(AB156))),"",IF(COUNTIFS($G$17:$G$219,"入池",$AB$17:$AB$219,"&gt;=-1E+307",$AB$17:$AB$219,"&lt;=1E+307")&lt;=1,100,ROUND(100*(COUNTIFS($G$17:$G$219,"入池",$AB$17:$AB$219,"&lt;=1E+307",$AB$17:$AB$219,"&gt;"&amp;AB156)+COUNTIFS($G$17:$G$219,"入池",$AB$17:$AB$219,AB156,$AB$17:$AB$219,"&gt;=-1E+307",$AB$17:$AB$219,"&lt;=1E+307")/2-0.5)/(COUNTIFS($G$17:$G$219,"入池",$AB$17:$AB$219,"&gt;=-1E+307",$AB$17:$AB$219,"&lt;=1E+307")-1),2)))</x:f>
        <x:v>77.72</x:v>
      </x:c>
      <x:c r="AD156" s="38" t="n">
        <x:f>IF(ISNUMBER('sheet4-原始数据'!M141),'sheet4-原始数据'!M141,"")</x:f>
        <x:v>10.6822</x:v>
      </x:c>
      <x:c r="AE156" s="37" t="n">
        <x:f>IF(OR(NOT(ISNUMBER(P156)),NOT(ISNUMBER(AA156)),NOT(ISNUMBER(Z156))),"",IF(AA156&gt;Z156+'sheet1-指标体系'!$J$11,AA156,""))</x:f>
        <x:v>0.0161</x:v>
      </x:c>
      <x:c r="AF156" s="17" t="n">
        <x:f>IF(OR(NOT(ISNUMBER(P156)),NOT(ISNUMBER(AE156)),AE156=0),"",P156/AE156)</x:f>
        <x:v>3.59403471958351</x:v>
      </x:c>
      <x:c r="AG156" s="17" t="n">
        <x:f>IF(OR($G156&lt;&gt;"入池",NOT(ISNUMBER(AD156))),"",IF(COUNTIFS($G$17:$G$219,"入池",$AD$17:$AD$219,"&gt;=-1E+307",$AD$17:$AD$219,"&lt;=1E+307")&lt;=1,100,ROUND(100*(COUNTIFS($G$17:$G$219,"入池",$AD$17:$AD$219,"&gt;=-1E+307",$AD$17:$AD$219,"&lt;"&amp;AD156)+COUNTIFS($G$17:$G$219,"入池",$AD$17:$AD$219,AD156,$AD$17:$AD$219,"&gt;=-1E+307",$AD$17:$AD$219,"&lt;=1E+307")/2-0.5)/(COUNTIFS($G$17:$G$219,"入池",$AD$17:$AD$219,"&gt;=-1E+307",$AD$17:$AD$219,"&lt;=1E+307")-1),2)))</x:f>
        <x:v>80.6</x:v>
      </x:c>
      <x:c r="AH156" s="17" t="n">
        <x:f>IF(OR($G156&lt;&gt;"入池",NOT(ISNUMBER(AF156))),"",IF(COUNTIFS($G$17:$G$219,"入池",$AF$17:$AF$219,"&gt;=-1E+307",$AF$17:$AF$219,"&lt;=1E+307")&lt;=1,100,ROUND(100*(COUNTIFS($G$17:$G$219,"入池",$AF$17:$AF$219,"&gt;=-1E+307",$AF$17:$AF$219,"&lt;"&amp;AF156)+COUNTIFS($G$17:$G$219,"入池",$AF$17:$AF$219,AF156,$AF$17:$AF$219,"&gt;=-1E+307",$AF$17:$AF$219,"&lt;=1E+307")/2-0.5)/(COUNTIFS($G$17:$G$219,"入池",$AF$17:$AF$219,"&gt;=-1E+307",$AF$17:$AF$219,"&lt;=1E+307")-1),2)))</x:f>
        <x:v>78.1</x:v>
      </x:c>
      <x:c r="AI156" s="17" t="n">
        <x:f>IF(NOT(ISNUMBER(AG156)),"",IF(NOT(ISNUMBER(AH156)),AG156,ROUND(AG156*'sheet1-指标体系'!$J$8+AH156*'sheet1-指标体系'!$J$9,2)))</x:f>
        <x:v>79.6</x:v>
      </x:c>
      <x:c r="AJ156" s="37" t="n">
        <x:f>IF(NOT(ISNUMBER(F156)),"",IF(F156&gt;=3,IF(NOT(ISNUMBER(N156)),"",N156),IF(NOT(ISNUMBER(O156)),"",O156)))</x:f>
        <x:v>0.061</x:v>
      </x:c>
      <x:c r="AK156" s="17" t="n">
        <x:f>IF(OR(G156&lt;&gt;"入池",NOT(ISNUMBER(M156)),NOT(ISNUMBER(AJ156))),"",IF(M156&gt;=AJ156,100,IF(AJ156-M156&lt;'sheet1-指标体系'!$J$10,80,60)))</x:f>
        <x:v>100</x:v>
      </x:c>
      <x:c r="AL156" s="17" t="n">
        <x:f>IF(COUNT(I156,K156,L156)=0,"",ROUND((IF(ISNUMBER(I156),I156*40%,0)+IF(ISNUMBER(K156),K156*30%,0)+IF(ISNUMBER(L156),L156*30%,0))/(IF(ISNUMBER(I156),40%,0)+IF(ISNUMBER(K156),30%,0)+IF(ISNUMBER(L156),30%,0)),2))</x:f>
        <x:v>84</x:v>
      </x:c>
      <x:c r="AM156" s="17" t="n">
        <x:f>IF(COUNT(Q156,R156,W156,X156)=0,"",ROUND((IF(ISNUMBER(Q156),Q156*42%,0)+IF(ISNUMBER(R156),R156*28%,0)+IF(ISNUMBER(W156),W156*18%,0)+IF(ISNUMBER(X156),X156*12%,0))/(IF(ISNUMBER(Q156),42%,0)+IF(ISNUMBER(R156),28%,0)+IF(ISNUMBER(W156),18%,0)+IF(ISNUMBER(X156),12%,0)),2))</x:f>
        <x:v>65.72</x:v>
      </x:c>
      <x:c r="AN156" s="17" t="n">
        <x:f>IF(ISNUMBER(AC156),AC156,"")</x:f>
        <x:v>77.72</x:v>
      </x:c>
      <x:c r="AO156" s="17" t="n">
        <x:f>IF(COUNT(AG156,AH156)=0,"",ROUND((IF(ISNUMBER(AG156),AG156*60%,0)+IF(ISNUMBER(AH156),AH156*40%,0))/(IF(ISNUMBER(AG156),60%,0)+IF(ISNUMBER(AH156),40%,0)),2))</x:f>
        <x:v>79.6</x:v>
      </x:c>
      <x:c r="AP156" s="17" t="n">
        <x:f>IF(ISNUMBER(AK156),AK156,"")</x:f>
        <x:v>100</x:v>
      </x:c>
      <x:c r="AQ156" s="39" t="n">
        <x:f>IF(G156&lt;&gt;"入池",0,IF(ISNUMBER(I156),6%,0)+IF(ISNUMBER(K156),4.5%,0)+IF(ISNUMBER(L156),4.5%,0)+IF(ISNUMBER(Q156),8.4%,0)+IF(ISNUMBER(R156),5.6%,0)+IF(ISNUMBER(W156),3.6%,0)+IF(ISNUMBER(X156),2.4%,0)+IF(ISNUMBER(AC156),25%,0)+IF(ISNUMBER(AG156),18%,0)+IF(ISNUMBER(AH156),12%,0)+IF(ISNUMBER(AK156),10%,0))</x:f>
        <x:v>1</x:v>
      </x:c>
      <x:c r="AR156" s="17" t="n">
        <x:f>IF(AQ156=0,"",IF(ISNUMBER(I156),I156*6%,0)+IF(ISNUMBER(K156),K156*4.5%,0)+IF(ISNUMBER(L156),L156*4.5%,0)+IF(ISNUMBER(Q156),Q156*8.4%,0)+IF(ISNUMBER(R156),R156*5.6%,0)+IF(ISNUMBER(W156),W156*3.6%,0)+IF(ISNUMBER(X156),X156*2.4%,0)+IF(ISNUMBER(AC156),AC156*25%,0)+IF(ISNUMBER(AG156),AG156*18%,0)+IF(ISNUMBER(AH156),AH156*12%,0)+IF(ISNUMBER(AK156),AK156*10%,0))</x:f>
        <x:v>79.0536</x:v>
      </x:c>
      <x:c r="AS156" s="17" t="n">
        <x:f>IF(AQ156=0,"",ROUND(AR156/AQ156,2))</x:f>
        <x:v>79.05</x:v>
      </x:c>
      <x:c r="AT156" s="40" t="n">
        <x:f>IF(OR(G156&lt;&gt;"入池",NOT(ISNUMBER(AS156))),"",COUNTIFS($G$17:$G$219,"入池",$AS$17:$AS$219,"&gt;"&amp;AS156)+COUNTIFS($G$17:$G$219,"入池",$AS$17:$AS$219,AS156,$AQ$17:$AQ$219,"&gt;"&amp;AQ156)+COUNTIFS($G$17:G156,"入池",$AS$17:AS156,AS156,$AQ$17:AQ156,AQ156))</x:f>
        <x:v>39</x:v>
      </x:c>
      <x:c r="AU156" s="41" t="str">
        <x:f t="shared" si="7">IF(NOT(ISNUMBER(I156)),"管理人规模；","")&amp;IF(J156="","产品规模标识；","")&amp;IF(AND(F156&lt;3,NOT(ISNUMBER(O156))),"R_incep；","")&amp;IF(NOT(ISNUMBER(N156)),"近三年收益；","")&amp;IF(NOT(ISNUMBER(U156)),"近三年胜率；","")&amp;IF(AND(ISNUMBER(V156),OR(V156&lt;0,V156&gt;1)),"胜率窗口口径不一致；","")&amp;IF(NOT(ISNUMBER(AA156)),"近三年回撤；","")&amp;IF(NOT(ISNUMBER(AD156)),"短期卡玛；","")&amp;IF(AND(ISNUMBER(P156),NOT(ISNUMBER(AE156))),"DD_long不可识别；","")</x:f>
      </x:c>
      <x:c r="AV156" s="42" t="n">
        <x:v>0</x:v>
      </x:c>
      <x:c r="AW156" s="19" t="str">
        <x:v>上海景鹏私募基金管理有限公司</x:v>
      </x:c>
      <x:c r="AX156" s="19" t="str">
        <x:v>2026-07-27</x:v>
      </x:c>
      <x:c r="AY156" s="19" t="str">
        <x:v>https://gs.amac.org.cn/amac-infodisc/res/pof/manager/2107201407107524.html</x:v>
      </x:c>
      <x:c r="AZ156" s="19" t="str">
        <x:v>景鹏稳进1号私募证券投资基金</x:v>
      </x:c>
      <x:c r="BA156" s="19" t="str">
        <x:v>2026-07-21</x:v>
      </x:c>
      <x:c r="BB156" s="19"/>
      <x:c r="BC156" s="19" t="str">
        <x:v>https://gs.amac.org.cn/amac-infodisc/res/pof/fund/2110181713130466.html</x:v>
      </x:c>
      <x:c r="BD156" s="19" t="str">
        <x:v>已匹配</x:v>
      </x:c>
      <x:c r="BE156"/>
      <x:c r="BF156"/>
    </x:row>
    <x:row r="157" ht="28" customHeight="1">
      <x:c r="A157" s="4" t="n">
        <x:v>141</x:v>
      </x:c>
      <x:c r="B157" s="15" t="str">
        <x:f>'sheet4-原始数据'!A142</x:f>
        <x:v>久游投资4号</x:v>
      </x:c>
      <x:c r="C157" s="15" t="str">
        <x:f>'sheet4-原始数据'!B142</x:f>
        <x:v>STB214</x:v>
      </x:c>
      <x:c r="D157" s="15" t="str">
        <x:f>'sheet4-原始数据'!E142</x:f>
        <x:v>深圳久游</x:v>
      </x:c>
      <x:c r="E157" s="32" t="n">
        <x:f>IF(ISNUMBER('sheet4-原始数据'!F142),'sheet4-原始数据'!F142,"")</x:f>
        <x:v>44505</x:v>
      </x:c>
      <x:c r="F157" s="17" t="n">
        <x:f>IF(NOT(ISNUMBER(E157)),"",ROUND(('sheet1-指标体系'!$J$23-E157)/365.25,4))</x:f>
        <x:v>4.8624</x:v>
      </x:c>
      <x:c r="G157" s="4" t="str">
        <x:f t="shared" si="6">IF(NOT(ISNUMBER(F157)),"",IF(F157&lt;1,"不入池","入池"))</x:f>
        <x:v>入池</x:v>
      </x:c>
      <x:c r="H157" s="33" t="str">
        <x:v>0-5亿元</x:v>
      </x:c>
      <x:c r="I157" s="17" t="n">
        <x:f>IF(H157="","",IF(ISNUMBER(SEARCH("100亿元以上",H157)),100,IF(OR(ISNUMBER(SEARCH("20-50",H157)),ISNUMBER(SEARCH("50-100",H157)),ISNUMBER(SEARCH("20-100",H157))),90,IF(ISNUMBER(SEARCH("10-20",H157)),80,IF(ISNUMBER(SEARCH("5-10",H157)),70,IF(ISNUMBER(SEARCH("0-5",H157)),60,""))))))</x:f>
        <x:v>60</x:v>
      </x:c>
      <x:c r="J157" s="34" t="str">
        <x:v>无低于1000万元标识</x:v>
      </x:c>
      <x:c r="K157" s="17" t="n">
        <x:f>IF(J157="","",IF(J157="低于1000万元",0,100))</x:f>
        <x:v>100</x:v>
      </x:c>
      <x:c r="L157" s="17" t="n">
        <x:f>IF(NOT(ISNUMBER(F157)),"",IF(F157&lt;1,"",IF(F157&lt;3,70,100)))</x:f>
        <x:v>100</x:v>
      </x:c>
      <x:c r="M157" s="35" t="n">
        <x:f>IF(ISNUMBER('sheet4-原始数据'!G142),'sheet4-原始数据'!G142,"")</x:f>
        <x:v>0.0708</x:v>
      </x:c>
      <x:c r="N157" s="35" t="n">
        <x:f>IF(ISNUMBER('sheet4-原始数据'!H142),'sheet4-原始数据'!H142,"")</x:f>
        <x:v>0.0783</x:v>
      </x:c>
      <x:c r="O157" s="36" t="str">
        <x:f>IF(ISNUMBER('sheet4-原始数据'!Q142),'sheet4-原始数据'!Q142,"")</x:f>
      </x:c>
      <x:c r="P157" s="37" t="n">
        <x:f>IF($G157&lt;&gt;"入池","",IF($F157&gt;=3,IF(OR(NOT(ISNUMBER($M157)),NOT(ISNUMBER($N157)),1+$M157&lt;=0,1+$N157&lt;0),"",((1+$N157)^3/(1+$M157))^(1/2)-1),IF(OR($F157&lt;=1,NOT(ISNUMBER($M157)),NOT(ISNUMBER($O157)),1+$M157&lt;=0,1+$O157&lt;0),"",((1+$O157)^$F157/(1+$M157))^(1/($F157-1))-1)))</x:f>
        <x:v>0.08206967612124472</x:v>
      </x:c>
      <x:c r="Q157" s="17" t="n">
        <x:f>IF(OR($G157&lt;&gt;"入池",NOT(ISNUMBER(M157))),"",IF(COUNTIFS($G$17:$G$219,"入池",$M$17:$M$219,"&gt;=-1E+307",$M$17:$M$219,"&lt;=1E+307")&lt;=1,100,ROUND(100*(COUNTIFS($G$17:$G$219,"入池",$M$17:$M$219,"&gt;=-1E+307",$M$17:$M$219,"&lt;"&amp;M157)+COUNTIFS($G$17:$G$219,"入池",$M$17:$M$219,M157,$M$17:$M$219,"&gt;=-1E+307",$M$17:$M$219,"&lt;=1E+307")/2-0.5)/(COUNTIFS($G$17:$G$219,"入池",$M$17:$M$219,"&gt;=-1E+307",$M$17:$M$219,"&lt;=1E+307")-1),2)))</x:f>
        <x:v>63.37</x:v>
      </x:c>
      <x:c r="R157" s="17" t="n">
        <x:f>IF(OR($G157&lt;&gt;"入池",NOT(ISNUMBER(P157))),"",IF(COUNTIFS($G$17:$G$219,"入池",$P$17:$P$219,"&gt;=-1E+307",$P$17:$P$219,"&lt;=1E+307")&lt;=1,100,ROUND(100*(COUNTIFS($G$17:$G$219,"入池",$P$17:$P$219,"&gt;=-1E+307",$P$17:$P$219,"&lt;"&amp;P157)+COUNTIFS($G$17:$G$219,"入池",$P$17:$P$219,P157,$P$17:$P$219,"&gt;=-1E+307",$P$17:$P$219,"&lt;=1E+307")/2-0.5)/(COUNTIFS($G$17:$G$219,"入池",$P$17:$P$219,"&gt;=-1E+307",$P$17:$P$219,"&lt;=1E+307")-1),2)))</x:f>
        <x:v>66.83</x:v>
      </x:c>
      <x:c r="S157" s="17" t="n">
        <x:f>IF(NOT(ISNUMBER(Q157)),"",IF(NOT(ISNUMBER(R157)),Q157,ROUND(Q157*'sheet1-指标体系'!$J$8+R157*'sheet1-指标体系'!$J$9,2)))</x:f>
        <x:v>64.75</x:v>
      </x:c>
      <x:c r="T157" s="35" t="n">
        <x:f>IF(ISNUMBER('sheet4-原始数据'!J142),'sheet4-原始数据'!J142,"")</x:f>
        <x:v>1</x:v>
      </x:c>
      <x:c r="U157" s="35" t="n">
        <x:f>IF(ISNUMBER('sheet4-原始数据'!I142),'sheet4-原始数据'!I142,"")</x:f>
        <x:v>0.973</x:v>
      </x:c>
      <x:c r="V157" s="37" t="n">
        <x:f>IF(OR(NOT(ISNUMBER(T157)),NOT(ISNUMBER(U157))),"",(U157*'sheet1-指标体系'!$J$6-T157*'sheet1-指标体系'!$J$5)/'sheet1-指标体系'!$J$7)</x:f>
        <x:v>0.9583749999999999</x:v>
      </x:c>
      <x:c r="W157" s="17" t="n">
        <x:f>IF(NOT(ISNUMBER(T157)),"",T157*100)</x:f>
        <x:v>100</x:v>
      </x:c>
      <x:c r="X157" s="17" t="n">
        <x:f>IF($G157&lt;&gt;"入池","",IF(AND(ISNUMBER(V157),V157&gt;=0,V157&lt;=1),V157*100,IF(MAX(0,($F157-1)*12)&lt;6,100,"")))</x:f>
        <x:v>95.83749999999999</x:v>
      </x:c>
      <x:c r="Y157" s="17" t="n">
        <x:f>IF(NOT(ISNUMBER(W157)),"",IF(NOT(ISNUMBER(X157)),W157,ROUND(W157*'sheet1-指标体系'!$J$8+X157*'sheet1-指标体系'!$J$9,2)))</x:f>
        <x:v>98.34</x:v>
      </x:c>
      <x:c r="Z157" s="37" t="n">
        <x:f>IF(OR(NOT(ISNUMBER(M157)),NOT(ISNUMBER(AD157)),AD157=0),"",ABS(M157/AD157))</x:f>
        <x:v>0.004321157191247826</x:v>
      </x:c>
      <x:c r="AA157" s="35" t="n">
        <x:f>IF(ISNUMBER('sheet4-原始数据'!K142),'sheet4-原始数据'!K142,"")</x:f>
        <x:v>0.016399999999999998</x:v>
      </x:c>
      <x:c r="AB157" s="37" t="n">
        <x:f>IF(COUNT(Z157:AA157)=0,"",MAX(Z157:AA157))</x:f>
        <x:v>0.016399999999999998</x:v>
      </x:c>
      <x:c r="AC157" s="17" t="n">
        <x:f>IF(OR($G157&lt;&gt;"入池",NOT(ISNUMBER(AB157))),"",IF(COUNTIFS($G$17:$G$219,"入池",$AB$17:$AB$219,"&gt;=-1E+307",$AB$17:$AB$219,"&lt;=1E+307")&lt;=1,100,ROUND(100*(COUNTIFS($G$17:$G$219,"入池",$AB$17:$AB$219,"&lt;=1E+307",$AB$17:$AB$219,"&gt;"&amp;AB157)+COUNTIFS($G$17:$G$219,"入池",$AB$17:$AB$219,AB157,$AB$17:$AB$219,"&gt;=-1E+307",$AB$17:$AB$219,"&lt;=1E+307")/2-0.5)/(COUNTIFS($G$17:$G$219,"入池",$AB$17:$AB$219,"&gt;=-1E+307",$AB$17:$AB$219,"&lt;=1E+307")-1),2)))</x:f>
        <x:v>77.23</x:v>
      </x:c>
      <x:c r="AD157" s="38" t="n">
        <x:f>IF(ISNUMBER('sheet4-原始数据'!M142),'sheet4-原始数据'!M142,"")</x:f>
        <x:v>16.3845</x:v>
      </x:c>
      <x:c r="AE157" s="37" t="n">
        <x:f>IF(OR(NOT(ISNUMBER(P157)),NOT(ISNUMBER(AA157)),NOT(ISNUMBER(Z157))),"",IF(AA157&gt;Z157+'sheet1-指标体系'!$J$11,AA157,""))</x:f>
        <x:v>0.016399999999999998</x:v>
      </x:c>
      <x:c r="AF157" s="17" t="n">
        <x:f>IF(OR(NOT(ISNUMBER(P157)),NOT(ISNUMBER(AE157)),AE157=0),"",P157/AE157)</x:f>
        <x:v>5.004248543978337</x:v>
      </x:c>
      <x:c r="AG157" s="17" t="n">
        <x:f>IF(OR($G157&lt;&gt;"入池",NOT(ISNUMBER(AD157))),"",IF(COUNTIFS($G$17:$G$219,"入池",$AD$17:$AD$219,"&gt;=-1E+307",$AD$17:$AD$219,"&lt;=1E+307")&lt;=1,100,ROUND(100*(COUNTIFS($G$17:$G$219,"入池",$AD$17:$AD$219,"&gt;=-1E+307",$AD$17:$AD$219,"&lt;"&amp;AD157)+COUNTIFS($G$17:$G$219,"入池",$AD$17:$AD$219,AD157,$AD$17:$AD$219,"&gt;=-1E+307",$AD$17:$AD$219,"&lt;=1E+307")/2-0.5)/(COUNTIFS($G$17:$G$219,"入池",$AD$17:$AD$219,"&gt;=-1E+307",$AD$17:$AD$219,"&lt;=1E+307")-1),2)))</x:f>
        <x:v>87.06</x:v>
      </x:c>
      <x:c r="AH157" s="17" t="n">
        <x:f>IF(OR($G157&lt;&gt;"入池",NOT(ISNUMBER(AF157))),"",IF(COUNTIFS($G$17:$G$219,"入池",$AF$17:$AF$219,"&gt;=-1E+307",$AF$17:$AF$219,"&lt;=1E+307")&lt;=1,100,ROUND(100*(COUNTIFS($G$17:$G$219,"入池",$AF$17:$AF$219,"&gt;=-1E+307",$AF$17:$AF$219,"&lt;"&amp;AF157)+COUNTIFS($G$17:$G$219,"入池",$AF$17:$AF$219,AF157,$AF$17:$AF$219,"&gt;=-1E+307",$AF$17:$AF$219,"&lt;=1E+307")/2-0.5)/(COUNTIFS($G$17:$G$219,"入池",$AF$17:$AF$219,"&gt;=-1E+307",$AF$17:$AF$219,"&lt;=1E+307")-1),2)))</x:f>
        <x:v>85.4</x:v>
      </x:c>
      <x:c r="AI157" s="17" t="n">
        <x:f>IF(NOT(ISNUMBER(AG157)),"",IF(NOT(ISNUMBER(AH157)),AG157,ROUND(AG157*'sheet1-指标体系'!$J$8+AH157*'sheet1-指标体系'!$J$9,2)))</x:f>
        <x:v>86.4</x:v>
      </x:c>
      <x:c r="AJ157" s="37" t="n">
        <x:f>IF(NOT(ISNUMBER(F157)),"",IF(F157&gt;=3,IF(NOT(ISNUMBER(N157)),"",N157),IF(NOT(ISNUMBER(O157)),"",O157)))</x:f>
        <x:v>0.0783</x:v>
      </x:c>
      <x:c r="AK157" s="17" t="n">
        <x:f>IF(OR(G157&lt;&gt;"入池",NOT(ISNUMBER(M157)),NOT(ISNUMBER(AJ157))),"",IF(M157&gt;=AJ157,100,IF(AJ157-M157&lt;'sheet1-指标体系'!$J$10,80,60)))</x:f>
        <x:v>80</x:v>
      </x:c>
      <x:c r="AL157" s="17" t="n">
        <x:f>IF(COUNT(I157,K157,L157)=0,"",ROUND((IF(ISNUMBER(I157),I157*40%,0)+IF(ISNUMBER(K157),K157*30%,0)+IF(ISNUMBER(L157),L157*30%,0))/(IF(ISNUMBER(I157),40%,0)+IF(ISNUMBER(K157),30%,0)+IF(ISNUMBER(L157),30%,0)),2))</x:f>
        <x:v>84</x:v>
      </x:c>
      <x:c r="AM157" s="17" t="n">
        <x:f>IF(COUNT(Q157,R157,W157,X157)=0,"",ROUND((IF(ISNUMBER(Q157),Q157*42%,0)+IF(ISNUMBER(R157),R157*28%,0)+IF(ISNUMBER(W157),W157*18%,0)+IF(ISNUMBER(X157),X157*12%,0))/(IF(ISNUMBER(Q157),42%,0)+IF(ISNUMBER(R157),28%,0)+IF(ISNUMBER(W157),18%,0)+IF(ISNUMBER(X157),12%,0)),2))</x:f>
        <x:v>74.83</x:v>
      </x:c>
      <x:c r="AN157" s="17" t="n">
        <x:f>IF(ISNUMBER(AC157),AC157,"")</x:f>
        <x:v>77.23</x:v>
      </x:c>
      <x:c r="AO157" s="17" t="n">
        <x:f>IF(COUNT(AG157,AH157)=0,"",ROUND((IF(ISNUMBER(AG157),AG157*60%,0)+IF(ISNUMBER(AH157),AH157*40%,0))/(IF(ISNUMBER(AG157),60%,0)+IF(ISNUMBER(AH157),40%,0)),2))</x:f>
        <x:v>86.4</x:v>
      </x:c>
      <x:c r="AP157" s="17" t="n">
        <x:f>IF(ISNUMBER(AK157),AK157,"")</x:f>
        <x:v>80</x:v>
      </x:c>
      <x:c r="AQ157" s="39" t="n">
        <x:f>IF(G157&lt;&gt;"入池",0,IF(ISNUMBER(I157),6%,0)+IF(ISNUMBER(K157),4.5%,0)+IF(ISNUMBER(L157),4.5%,0)+IF(ISNUMBER(Q157),8.4%,0)+IF(ISNUMBER(R157),5.6%,0)+IF(ISNUMBER(W157),3.6%,0)+IF(ISNUMBER(X157),2.4%,0)+IF(ISNUMBER(AC157),25%,0)+IF(ISNUMBER(AG157),18%,0)+IF(ISNUMBER(AH157),12%,0)+IF(ISNUMBER(AK157),10%,0))</x:f>
        <x:v>1</x:v>
      </x:c>
      <x:c r="AR157" s="17" t="n">
        <x:f>IF(AQ157=0,"",IF(ISNUMBER(I157),I157*6%,0)+IF(ISNUMBER(K157),K157*4.5%,0)+IF(ISNUMBER(L157),L157*4.5%,0)+IF(ISNUMBER(Q157),Q157*8.4%,0)+IF(ISNUMBER(R157),R157*5.6%,0)+IF(ISNUMBER(W157),W157*3.6%,0)+IF(ISNUMBER(X157),X157*2.4%,0)+IF(ISNUMBER(AC157),AC157*25%,0)+IF(ISNUMBER(AG157),AG157*18%,0)+IF(ISNUMBER(AH157),AH157*12%,0)+IF(ISNUMBER(AK157),AK157*10%,0))</x:f>
        <x:v>80.79196</x:v>
      </x:c>
      <x:c r="AS157" s="17" t="n">
        <x:f>IF(AQ157=0,"",ROUND(AR157/AQ157,2))</x:f>
        <x:v>80.79</x:v>
      </x:c>
      <x:c r="AT157" s="40" t="n">
        <x:f>IF(OR(G157&lt;&gt;"入池",NOT(ISNUMBER(AS157))),"",COUNTIFS($G$17:$G$219,"入池",$AS$17:$AS$219,"&gt;"&amp;AS157)+COUNTIFS($G$17:$G$219,"入池",$AS$17:$AS$219,AS157,$AQ$17:$AQ$219,"&gt;"&amp;AQ157)+COUNTIFS($G$17:G157,"入池",$AS$17:AS157,AS157,$AQ$17:AQ157,AQ157))</x:f>
        <x:v>29</x:v>
      </x:c>
      <x:c r="AU157" s="41" t="str">
        <x:f t="shared" si="7">IF(NOT(ISNUMBER(I157)),"管理人规模；","")&amp;IF(J157="","产品规模标识；","")&amp;IF(AND(F157&lt;3,NOT(ISNUMBER(O157))),"R_incep；","")&amp;IF(NOT(ISNUMBER(N157)),"近三年收益；","")&amp;IF(NOT(ISNUMBER(U157)),"近三年胜率；","")&amp;IF(AND(ISNUMBER(V157),OR(V157&lt;0,V157&gt;1)),"胜率窗口口径不一致；","")&amp;IF(NOT(ISNUMBER(AA157)),"近三年回撤；","")&amp;IF(NOT(ISNUMBER(AD157)),"短期卡玛；","")&amp;IF(AND(ISNUMBER(P157),NOT(ISNUMBER(AE157))),"DD_long不可识别；","")</x:f>
      </x:c>
      <x:c r="AV157" s="42" t="n">
        <x:v>0</x:v>
      </x:c>
      <x:c r="AW157" s="19" t="str">
        <x:v>深圳久游私募证券基金管理有限公司</x:v>
      </x:c>
      <x:c r="AX157" s="19" t="str">
        <x:v>2025-04-28</x:v>
      </x:c>
      <x:c r="AY157" s="19" t="str">
        <x:v>https://gs.amac.org.cn/amac-infodisc/res/pof/manager/2108310949105248.html</x:v>
      </x:c>
      <x:c r="AZ157" s="19" t="str">
        <x:v>久游投资4号私募证券投资基金</x:v>
      </x:c>
      <x:c r="BA157" s="19" t="str">
        <x:v>2021-11-17</x:v>
      </x:c>
      <x:c r="BB157" s="19"/>
      <x:c r="BC157" s="19" t="str">
        <x:v>https://gs.amac.org.cn/amac-infodisc/res/pof/fund/2111101732101714.html</x:v>
      </x:c>
      <x:c r="BD157" s="19" t="str">
        <x:v>已匹配</x:v>
      </x:c>
      <x:c r="BE157"/>
      <x:c r="BF157"/>
    </x:row>
    <x:row r="158" ht="28" customHeight="1">
      <x:c r="A158" s="4" t="n">
        <x:v>142</x:v>
      </x:c>
      <x:c r="B158" s="15" t="str">
        <x:f>'sheet4-原始数据'!A143</x:f>
        <x:v>摩旗ETF套利1号</x:v>
      </x:c>
      <x:c r="C158" s="15" t="str">
        <x:f>'sheet4-原始数据'!B143</x:f>
        <x:v>STR466</x:v>
      </x:c>
      <x:c r="D158" s="15" t="str">
        <x:f>'sheet4-原始数据'!E143</x:f>
        <x:v>上海摩旗投资</x:v>
      </x:c>
      <x:c r="E158" s="32" t="n">
        <x:f>IF(ISNUMBER('sheet4-原始数据'!F143),'sheet4-原始数据'!F143,"")</x:f>
        <x:v>44571</x:v>
      </x:c>
      <x:c r="F158" s="17" t="n">
        <x:f>IF(NOT(ISNUMBER(E158)),"",ROUND(('sheet1-指标体系'!$J$23-E158)/365.25,4))</x:f>
        <x:v>4.6817</x:v>
      </x:c>
      <x:c r="G158" s="4" t="str">
        <x:f t="shared" si="6">IF(NOT(ISNUMBER(F158)),"",IF(F158&lt;1,"不入池","入池"))</x:f>
        <x:v>入池</x:v>
      </x:c>
      <x:c r="H158" s="33" t="str">
        <x:v>10-20亿元</x:v>
      </x:c>
      <x:c r="I158" s="17" t="n">
        <x:f>IF(H158="","",IF(ISNUMBER(SEARCH("100亿元以上",H158)),100,IF(OR(ISNUMBER(SEARCH("20-50",H158)),ISNUMBER(SEARCH("50-100",H158)),ISNUMBER(SEARCH("20-100",H158))),90,IF(ISNUMBER(SEARCH("10-20",H158)),80,IF(ISNUMBER(SEARCH("5-10",H158)),70,IF(ISNUMBER(SEARCH("0-5",H158)),60,""))))))</x:f>
        <x:v>80</x:v>
      </x:c>
      <x:c r="J158" s="34" t="str">
        <x:v>无低于1000万元标识</x:v>
      </x:c>
      <x:c r="K158" s="17" t="n">
        <x:f>IF(J158="","",IF(J158="低于1000万元",0,100))</x:f>
        <x:v>100</x:v>
      </x:c>
      <x:c r="L158" s="17" t="n">
        <x:f>IF(NOT(ISNUMBER(F158)),"",IF(F158&lt;1,"",IF(F158&lt;3,70,100)))</x:f>
        <x:v>100</x:v>
      </x:c>
      <x:c r="M158" s="35" t="n">
        <x:f>IF(ISNUMBER('sheet4-原始数据'!G143),'sheet4-原始数据'!G143,"")</x:f>
        <x:v>0.1133</x:v>
      </x:c>
      <x:c r="N158" s="35" t="n">
        <x:f>IF(ISNUMBER('sheet4-原始数据'!H143),'sheet4-原始数据'!H143,"")</x:f>
        <x:v>0.14529999999999998</x:v>
      </x:c>
      <x:c r="O158" s="36" t="str">
        <x:f>IF(ISNUMBER('sheet4-原始数据'!Q143),'sheet4-原始数据'!Q143,"")</x:f>
      </x:c>
      <x:c r="P158" s="37" t="n">
        <x:f>IF($G158&lt;&gt;"入池","",IF($F158&gt;=3,IF(OR(NOT(ISNUMBER($M158)),NOT(ISNUMBER($N158)),1+$M158&lt;=0,1+$N158&lt;0),"",((1+$N158)^3/(1+$M158))^(1/2)-1),IF(OR($F158&lt;=1,NOT(ISNUMBER($M158)),NOT(ISNUMBER($O158)),1+$M158&lt;=0,1+$O158&lt;0),"",((1+$O158)^$F158/(1+$M158))^(1/($F158-1))-1)))</x:f>
        <x:v>0.1616432857020107</x:v>
      </x:c>
      <x:c r="Q158" s="17" t="n">
        <x:f>IF(OR($G158&lt;&gt;"入池",NOT(ISNUMBER(M158))),"",IF(COUNTIFS($G$17:$G$219,"入池",$M$17:$M$219,"&gt;=-1E+307",$M$17:$M$219,"&lt;=1E+307")&lt;=1,100,ROUND(100*(COUNTIFS($G$17:$G$219,"入池",$M$17:$M$219,"&gt;=-1E+307",$M$17:$M$219,"&lt;"&amp;M158)+COUNTIFS($G$17:$G$219,"入池",$M$17:$M$219,M158,$M$17:$M$219,"&gt;=-1E+307",$M$17:$M$219,"&lt;=1E+307")/2-0.5)/(COUNTIFS($G$17:$G$219,"入池",$M$17:$M$219,"&gt;=-1E+307",$M$17:$M$219,"&lt;=1E+307")-1),2)))</x:f>
        <x:v>84.65</x:v>
      </x:c>
      <x:c r="R158" s="17" t="n">
        <x:f>IF(OR($G158&lt;&gt;"入池",NOT(ISNUMBER(P158))),"",IF(COUNTIFS($G$17:$G$219,"入池",$P$17:$P$219,"&gt;=-1E+307",$P$17:$P$219,"&lt;=1E+307")&lt;=1,100,ROUND(100*(COUNTIFS($G$17:$G$219,"入池",$P$17:$P$219,"&gt;=-1E+307",$P$17:$P$219,"&lt;"&amp;P158)+COUNTIFS($G$17:$G$219,"入池",$P$17:$P$219,P158,$P$17:$P$219,"&gt;=-1E+307",$P$17:$P$219,"&lt;=1E+307")/2-0.5)/(COUNTIFS($G$17:$G$219,"入池",$P$17:$P$219,"&gt;=-1E+307",$P$17:$P$219,"&lt;=1E+307")-1),2)))</x:f>
        <x:v>90.59</x:v>
      </x:c>
      <x:c r="S158" s="17" t="n">
        <x:f>IF(NOT(ISNUMBER(Q158)),"",IF(NOT(ISNUMBER(R158)),Q158,ROUND(Q158*'sheet1-指标体系'!$J$8+R158*'sheet1-指标体系'!$J$9,2)))</x:f>
        <x:v>87.03</x:v>
      </x:c>
      <x:c r="T158" s="35" t="n">
        <x:f>IF(ISNUMBER('sheet4-原始数据'!J143),'sheet4-原始数据'!J143,"")</x:f>
        <x:v>1</x:v>
      </x:c>
      <x:c r="U158" s="35" t="n">
        <x:f>IF(ISNUMBER('sheet4-原始数据'!I143),'sheet4-原始数据'!I143,"")</x:f>
        <x:v>0.9459000000000001</x:v>
      </x:c>
      <x:c r="V158" s="37" t="n">
        <x:f>IF(OR(NOT(ISNUMBER(T158)),NOT(ISNUMBER(U158))),"",(U158*'sheet1-指标体系'!$J$6-T158*'sheet1-指标体系'!$J$5)/'sheet1-指标体系'!$J$7)</x:f>
        <x:v>0.9165958333333334</x:v>
      </x:c>
      <x:c r="W158" s="17" t="n">
        <x:f>IF(NOT(ISNUMBER(T158)),"",T158*100)</x:f>
        <x:v>100</x:v>
      </x:c>
      <x:c r="X158" s="17" t="n">
        <x:f>IF($G158&lt;&gt;"入池","",IF(AND(ISNUMBER(V158),V158&gt;=0,V158&lt;=1),V158*100,IF(MAX(0,($F158-1)*12)&lt;6,100,"")))</x:f>
        <x:v>91.65958333333334</x:v>
      </x:c>
      <x:c r="Y158" s="17" t="n">
        <x:f>IF(NOT(ISNUMBER(W158)),"",IF(NOT(ISNUMBER(X158)),W158,ROUND(W158*'sheet1-指标体系'!$J$8+X158*'sheet1-指标体系'!$J$9,2)))</x:f>
        <x:v>96.66</x:v>
      </x:c>
      <x:c r="Z158" s="37" t="n">
        <x:f>IF(OR(NOT(ISNUMBER(M158)),NOT(ISNUMBER(AD158)),AD158=0),"",ABS(M158/AD158))</x:f>
        <x:v>0.005707147282682611</x:v>
      </x:c>
      <x:c r="AA158" s="35" t="n">
        <x:f>IF(ISNUMBER('sheet4-原始数据'!K143),'sheet4-原始数据'!K143,"")</x:f>
        <x:v>0.005699999999999999</x:v>
      </x:c>
      <x:c r="AB158" s="37" t="n">
        <x:f>IF(COUNT(Z158:AA158)=0,"",MAX(Z158:AA158))</x:f>
        <x:v>0.005707147282682611</x:v>
      </x:c>
      <x:c r="AC158" s="17" t="n">
        <x:f>IF(OR($G158&lt;&gt;"入池",NOT(ISNUMBER(AB158))),"",IF(COUNTIFS($G$17:$G$219,"入池",$AB$17:$AB$219,"&gt;=-1E+307",$AB$17:$AB$219,"&lt;=1E+307")&lt;=1,100,ROUND(100*(COUNTIFS($G$17:$G$219,"入池",$AB$17:$AB$219,"&lt;=1E+307",$AB$17:$AB$219,"&gt;"&amp;AB158)+COUNTIFS($G$17:$G$219,"入池",$AB$17:$AB$219,AB158,$AB$17:$AB$219,"&gt;=-1E+307",$AB$17:$AB$219,"&lt;=1E+307")/2-0.5)/(COUNTIFS($G$17:$G$219,"入池",$AB$17:$AB$219,"&gt;=-1E+307",$AB$17:$AB$219,"&lt;=1E+307")-1),2)))</x:f>
        <x:v>94.55</x:v>
      </x:c>
      <x:c r="AD158" s="38" t="n">
        <x:f>IF(ISNUMBER('sheet4-原始数据'!M143),'sheet4-原始数据'!M143,"")</x:f>
        <x:v>19.8523</x:v>
      </x:c>
      <x:c r="AE158" s="37" t="str">
        <x:f>IF(OR(NOT(ISNUMBER(P158)),NOT(ISNUMBER(AA158)),NOT(ISNUMBER(Z158))),"",IF(AA158&gt;Z158+'sheet1-指标体系'!$J$11,AA158,""))</x:f>
      </x:c>
      <x:c r="AF158" s="17" t="str">
        <x:f>IF(OR(NOT(ISNUMBER(P158)),NOT(ISNUMBER(AE158)),AE158=0),"",P158/AE158)</x:f>
      </x:c>
      <x:c r="AG158" s="17" t="n">
        <x:f>IF(OR($G158&lt;&gt;"入池",NOT(ISNUMBER(AD158))),"",IF(COUNTIFS($G$17:$G$219,"入池",$AD$17:$AD$219,"&gt;=-1E+307",$AD$17:$AD$219,"&lt;=1E+307")&lt;=1,100,ROUND(100*(COUNTIFS($G$17:$G$219,"入池",$AD$17:$AD$219,"&gt;=-1E+307",$AD$17:$AD$219,"&lt;"&amp;AD158)+COUNTIFS($G$17:$G$219,"入池",$AD$17:$AD$219,AD158,$AD$17:$AD$219,"&gt;=-1E+307",$AD$17:$AD$219,"&lt;=1E+307")/2-0.5)/(COUNTIFS($G$17:$G$219,"入池",$AD$17:$AD$219,"&gt;=-1E+307",$AD$17:$AD$219,"&lt;=1E+307")-1),2)))</x:f>
        <x:v>88.56</x:v>
      </x:c>
      <x:c r="AH158" s="17" t="str">
        <x:f>IF(OR($G158&lt;&gt;"入池",NOT(ISNUMBER(AF158))),"",IF(COUNTIFS($G$17:$G$219,"入池",$AF$17:$AF$219,"&gt;=-1E+307",$AF$17:$AF$219,"&lt;=1E+307")&lt;=1,100,ROUND(100*(COUNTIFS($G$17:$G$219,"入池",$AF$17:$AF$219,"&gt;=-1E+307",$AF$17:$AF$219,"&lt;"&amp;AF158)+COUNTIFS($G$17:$G$219,"入池",$AF$17:$AF$219,AF158,$AF$17:$AF$219,"&gt;=-1E+307",$AF$17:$AF$219,"&lt;=1E+307")/2-0.5)/(COUNTIFS($G$17:$G$219,"入池",$AF$17:$AF$219,"&gt;=-1E+307",$AF$17:$AF$219,"&lt;=1E+307")-1),2)))</x:f>
      </x:c>
      <x:c r="AI158" s="17" t="n">
        <x:f>IF(NOT(ISNUMBER(AG158)),"",IF(NOT(ISNUMBER(AH158)),AG158,ROUND(AG158*'sheet1-指标体系'!$J$8+AH158*'sheet1-指标体系'!$J$9,2)))</x:f>
        <x:v>88.56</x:v>
      </x:c>
      <x:c r="AJ158" s="37" t="n">
        <x:f>IF(NOT(ISNUMBER(F158)),"",IF(F158&gt;=3,IF(NOT(ISNUMBER(N158)),"",N158),IF(NOT(ISNUMBER(O158)),"",O158)))</x:f>
        <x:v>0.14529999999999998</x:v>
      </x:c>
      <x:c r="AK158" s="17" t="n">
        <x:f>IF(OR(G158&lt;&gt;"入池",NOT(ISNUMBER(M158)),NOT(ISNUMBER(AJ158))),"",IF(M158&gt;=AJ158,100,IF(AJ158-M158&lt;'sheet1-指标体系'!$J$10,80,60)))</x:f>
        <x:v>80</x:v>
      </x:c>
      <x:c r="AL158" s="17" t="n">
        <x:f>IF(COUNT(I158,K158,L158)=0,"",ROUND((IF(ISNUMBER(I158),I158*40%,0)+IF(ISNUMBER(K158),K158*30%,0)+IF(ISNUMBER(L158),L158*30%,0))/(IF(ISNUMBER(I158),40%,0)+IF(ISNUMBER(K158),30%,0)+IF(ISNUMBER(L158),30%,0)),2))</x:f>
        <x:v>92</x:v>
      </x:c>
      <x:c r="AM158" s="17" t="n">
        <x:f>IF(COUNT(Q158,R158,W158,X158)=0,"",ROUND((IF(ISNUMBER(Q158),Q158*42%,0)+IF(ISNUMBER(R158),R158*28%,0)+IF(ISNUMBER(W158),W158*18%,0)+IF(ISNUMBER(X158),X158*12%,0))/(IF(ISNUMBER(Q158),42%,0)+IF(ISNUMBER(R158),28%,0)+IF(ISNUMBER(W158),18%,0)+IF(ISNUMBER(X158),12%,0)),2))</x:f>
        <x:v>89.92</x:v>
      </x:c>
      <x:c r="AN158" s="17" t="n">
        <x:f>IF(ISNUMBER(AC158),AC158,"")</x:f>
        <x:v>94.55</x:v>
      </x:c>
      <x:c r="AO158" s="17" t="n">
        <x:f>IF(COUNT(AG158,AH158)=0,"",ROUND((IF(ISNUMBER(AG158),AG158*60%,0)+IF(ISNUMBER(AH158),AH158*40%,0))/(IF(ISNUMBER(AG158),60%,0)+IF(ISNUMBER(AH158),40%,0)),2))</x:f>
        <x:v>88.56</x:v>
      </x:c>
      <x:c r="AP158" s="17" t="n">
        <x:f>IF(ISNUMBER(AK158),AK158,"")</x:f>
        <x:v>80</x:v>
      </x:c>
      <x:c r="AQ158" s="39" t="n">
        <x:f>IF(G158&lt;&gt;"入池",0,IF(ISNUMBER(I158),6%,0)+IF(ISNUMBER(K158),4.5%,0)+IF(ISNUMBER(L158),4.5%,0)+IF(ISNUMBER(Q158),8.4%,0)+IF(ISNUMBER(R158),5.6%,0)+IF(ISNUMBER(W158),3.6%,0)+IF(ISNUMBER(X158),2.4%,0)+IF(ISNUMBER(AC158),25%,0)+IF(ISNUMBER(AG158),18%,0)+IF(ISNUMBER(AH158),12%,0)+IF(ISNUMBER(AK158),10%,0))</x:f>
        <x:v>0.88</x:v>
      </x:c>
      <x:c r="AR158" s="17" t="n">
        <x:f>IF(AQ158=0,"",IF(ISNUMBER(I158),I158*6%,0)+IF(ISNUMBER(K158),K158*4.5%,0)+IF(ISNUMBER(L158),L158*4.5%,0)+IF(ISNUMBER(Q158),Q158*8.4%,0)+IF(ISNUMBER(R158),R158*5.6%,0)+IF(ISNUMBER(W158),W158*3.6%,0)+IF(ISNUMBER(X158),X158*2.4%,0)+IF(ISNUMBER(AC158),AC158*25%,0)+IF(ISNUMBER(AG158),AG158*18%,0)+IF(ISNUMBER(AH158),AH158*12%,0)+IF(ISNUMBER(AK158),AK158*10%,0))</x:f>
        <x:v>79.36176999999999</x:v>
      </x:c>
      <x:c r="AS158" s="17" t="n">
        <x:f>IF(AQ158=0,"",ROUND(AR158/AQ158,2))</x:f>
        <x:v>90.18</x:v>
      </x:c>
      <x:c r="AT158" s="40" t="n">
        <x:f>IF(OR(G158&lt;&gt;"入池",NOT(ISNUMBER(AS158))),"",COUNTIFS($G$17:$G$219,"入池",$AS$17:$AS$219,"&gt;"&amp;AS158)+COUNTIFS($G$17:$G$219,"入池",$AS$17:$AS$219,AS158,$AQ$17:$AQ$219,"&gt;"&amp;AQ158)+COUNTIFS($G$17:G158,"入池",$AS$17:AS158,AS158,$AQ$17:AQ158,AQ158))</x:f>
        <x:v>7</x:v>
      </x:c>
      <x:c r="AU158" s="41" t="str">
        <x:f t="shared" si="7">IF(NOT(ISNUMBER(I158)),"管理人规模；","")&amp;IF(J158="","产品规模标识；","")&amp;IF(AND(F158&lt;3,NOT(ISNUMBER(O158))),"R_incep；","")&amp;IF(NOT(ISNUMBER(N158)),"近三年收益；","")&amp;IF(NOT(ISNUMBER(U158)),"近三年胜率；","")&amp;IF(AND(ISNUMBER(V158),OR(V158&lt;0,V158&gt;1)),"胜率窗口口径不一致；","")&amp;IF(NOT(ISNUMBER(AA158)),"近三年回撤；","")&amp;IF(NOT(ISNUMBER(AD158)),"短期卡玛；","")&amp;IF(AND(ISNUMBER(P158),NOT(ISNUMBER(AE158))),"DD_long不可识别；","")</x:f>
        <x:v>DD_long不可识别；</x:v>
      </x:c>
      <x:c r="AV158" s="42" t="n">
        <x:v>10</x:v>
      </x:c>
      <x:c r="AW158" s="19" t="str">
        <x:v>上海摩旗投资管理有限公司</x:v>
      </x:c>
      <x:c r="AX158" s="19" t="str">
        <x:v>2025-12-25</x:v>
      </x:c>
      <x:c r="AY158" s="19" t="str">
        <x:v>https://gs.amac.org.cn/amac-infodisc/res/pof/manager/101000000297.html</x:v>
      </x:c>
      <x:c r="AZ158" s="19" t="str">
        <x:v>摩旗ETF套利1号私募证券投资基金</x:v>
      </x:c>
      <x:c r="BA158" s="19" t="str">
        <x:v>2024-12-06</x:v>
      </x:c>
      <x:c r="BB158" s="19"/>
      <x:c r="BC158" s="19" t="str">
        <x:v>https://gs.amac.org.cn/amac-infodisc/res/pof/fund/2201111049116796.html</x:v>
      </x:c>
      <x:c r="BD158" s="19" t="str">
        <x:v>已匹配</x:v>
      </x:c>
      <x:c r="BE158"/>
      <x:c r="BF158"/>
    </x:row>
    <x:row r="159" ht="28" customHeight="1">
      <x:c r="A159" s="4" t="n">
        <x:v>143</x:v>
      </x:c>
      <x:c r="B159" s="15" t="str">
        <x:f>'sheet4-原始数据'!A144</x:f>
        <x:v>兆信期权中性2号A类</x:v>
      </x:c>
      <x:c r="C159" s="15" t="str">
        <x:f>'sheet4-原始数据'!B144</x:f>
        <x:v>TB977A</x:v>
      </x:c>
      <x:c r="D159" s="15" t="str">
        <x:f>'sheet4-原始数据'!E144</x:f>
        <x:v>江苏兆信</x:v>
      </x:c>
      <x:c r="E159" s="32" t="n">
        <x:f>IF(ISNUMBER('sheet4-原始数据'!F144),'sheet4-原始数据'!F144,"")</x:f>
        <x:v>44511</x:v>
      </x:c>
      <x:c r="F159" s="17" t="n">
        <x:f>IF(NOT(ISNUMBER(E159)),"",ROUND(('sheet1-指标体系'!$J$23-E159)/365.25,4))</x:f>
        <x:v>4.846</x:v>
      </x:c>
      <x:c r="G159" s="4" t="str">
        <x:f t="shared" si="6">IF(NOT(ISNUMBER(F159)),"",IF(F159&lt;1,"不入池","入池"))</x:f>
        <x:v>入池</x:v>
      </x:c>
      <x:c r="H159" s="33" t="str">
        <x:v>20-50亿元</x:v>
      </x:c>
      <x:c r="I159" s="17" t="n">
        <x:f>IF(H159="","",IF(ISNUMBER(SEARCH("100亿元以上",H159)),100,IF(OR(ISNUMBER(SEARCH("20-50",H159)),ISNUMBER(SEARCH("50-100",H159)),ISNUMBER(SEARCH("20-100",H159))),90,IF(ISNUMBER(SEARCH("10-20",H159)),80,IF(ISNUMBER(SEARCH("5-10",H159)),70,IF(ISNUMBER(SEARCH("0-5",H159)),60,""))))))</x:f>
        <x:v>90</x:v>
      </x:c>
      <x:c r="J159" s="34"/>
      <x:c r="K159" s="17" t="str">
        <x:f>IF(J159="","",IF(J159="低于1000万元",0,100))</x:f>
      </x:c>
      <x:c r="L159" s="17" t="n">
        <x:f>IF(NOT(ISNUMBER(F159)),"",IF(F159&lt;1,"",IF(F159&lt;3,70,100)))</x:f>
        <x:v>100</x:v>
      </x:c>
      <x:c r="M159" s="35" t="n">
        <x:f>IF(ISNUMBER('sheet4-原始数据'!G144),'sheet4-原始数据'!G144,"")</x:f>
        <x:v>0.131</x:v>
      </x:c>
      <x:c r="N159" s="35" t="n">
        <x:f>IF(ISNUMBER('sheet4-原始数据'!H144),'sheet4-原始数据'!H144,"")</x:f>
        <x:v>0.07690000000000001</x:v>
      </x:c>
      <x:c r="O159" s="36" t="str">
        <x:f>IF(ISNUMBER('sheet4-原始数据'!Q144),'sheet4-原始数据'!Q144,"")</x:f>
      </x:c>
      <x:c r="P159" s="37" t="n">
        <x:f>IF($G159&lt;&gt;"入池","",IF($F159&gt;=3,IF(OR(NOT(ISNUMBER($M159)),NOT(ISNUMBER($N159)),1+$M159&lt;=0,1+$N159&lt;0),"",((1+$N159)^3/(1+$M159))^(1/2)-1),IF(OR($F159&lt;=1,NOT(ISNUMBER($M159)),NOT(ISNUMBER($O159)),1+$M159&lt;=0,1+$O159&lt;0),"",((1+$O159)^$F159/(1+$M159))^(1/($F159-1))-1)))</x:f>
        <x:v>0.05082830644580705</x:v>
      </x:c>
      <x:c r="Q159" s="17" t="n">
        <x:f>IF(OR($G159&lt;&gt;"入池",NOT(ISNUMBER(M159))),"",IF(COUNTIFS($G$17:$G$219,"入池",$M$17:$M$219,"&gt;=-1E+307",$M$17:$M$219,"&lt;=1E+307")&lt;=1,100,ROUND(100*(COUNTIFS($G$17:$G$219,"入池",$M$17:$M$219,"&gt;=-1E+307",$M$17:$M$219,"&lt;"&amp;M159)+COUNTIFS($G$17:$G$219,"入池",$M$17:$M$219,M159,$M$17:$M$219,"&gt;=-1E+307",$M$17:$M$219,"&lt;=1E+307")/2-0.5)/(COUNTIFS($G$17:$G$219,"入池",$M$17:$M$219,"&gt;=-1E+307",$M$17:$M$219,"&lt;=1E+307")-1),2)))</x:f>
        <x:v>86.63</x:v>
      </x:c>
      <x:c r="R159" s="17" t="n">
        <x:f>IF(OR($G159&lt;&gt;"入池",NOT(ISNUMBER(P159))),"",IF(COUNTIFS($G$17:$G$219,"入池",$P$17:$P$219,"&gt;=-1E+307",$P$17:$P$219,"&lt;=1E+307")&lt;=1,100,ROUND(100*(COUNTIFS($G$17:$G$219,"入池",$P$17:$P$219,"&gt;=-1E+307",$P$17:$P$219,"&lt;"&amp;P159)+COUNTIFS($G$17:$G$219,"入池",$P$17:$P$219,P159,$P$17:$P$219,"&gt;=-1E+307",$P$17:$P$219,"&lt;=1E+307")/2-0.5)/(COUNTIFS($G$17:$G$219,"入池",$P$17:$P$219,"&gt;=-1E+307",$P$17:$P$219,"&lt;=1E+307")-1),2)))</x:f>
        <x:v>37.62</x:v>
      </x:c>
      <x:c r="S159" s="17" t="n">
        <x:f>IF(NOT(ISNUMBER(Q159)),"",IF(NOT(ISNUMBER(R159)),Q159,ROUND(Q159*'sheet1-指标体系'!$J$8+R159*'sheet1-指标体系'!$J$9,2)))</x:f>
        <x:v>67.03</x:v>
      </x:c>
      <x:c r="T159" s="35" t="n">
        <x:f>IF(ISNUMBER('sheet4-原始数据'!J144),'sheet4-原始数据'!J144,"")</x:f>
        <x:v>0.9231</x:v>
      </x:c>
      <x:c r="U159" s="35" t="n">
        <x:f>IF(ISNUMBER('sheet4-原始数据'!I144),'sheet4-原始数据'!I144,"")</x:f>
        <x:v>0.8108</x:v>
      </x:c>
      <x:c r="V159" s="37" t="n">
        <x:f>IF(OR(NOT(ISNUMBER(T159)),NOT(ISNUMBER(U159))),"",(U159*'sheet1-指标体系'!$J$6-T159*'sheet1-指标体系'!$J$5)/'sheet1-指标体系'!$J$7)</x:f>
        <x:v>0.7499708333333333</x:v>
      </x:c>
      <x:c r="W159" s="17" t="n">
        <x:f>IF(NOT(ISNUMBER(T159)),"",T159*100)</x:f>
        <x:v>92.31</x:v>
      </x:c>
      <x:c r="X159" s="17" t="n">
        <x:f>IF($G159&lt;&gt;"入池","",IF(AND(ISNUMBER(V159),V159&gt;=0,V159&lt;=1),V159*100,IF(MAX(0,($F159-1)*12)&lt;6,100,"")))</x:f>
        <x:v>74.99708333333332</x:v>
      </x:c>
      <x:c r="Y159" s="17" t="n">
        <x:f>IF(NOT(ISNUMBER(W159)),"",IF(NOT(ISNUMBER(X159)),W159,ROUND(W159*'sheet1-指标体系'!$J$8+X159*'sheet1-指标体系'!$J$9,2)))</x:f>
        <x:v>85.38</x:v>
      </x:c>
      <x:c r="Z159" s="37" t="n">
        <x:f>IF(OR(NOT(ISNUMBER(M159)),NOT(ISNUMBER(AD159)),AD159=0),"",ABS(M159/AD159))</x:f>
        <x:v>0.014594636749518155</x:v>
      </x:c>
      <x:c r="AA159" s="35" t="n">
        <x:f>IF(ISNUMBER('sheet4-原始数据'!K144),'sheet4-原始数据'!K144,"")</x:f>
        <x:v>0.0802</x:v>
      </x:c>
      <x:c r="AB159" s="37" t="n">
        <x:f>IF(COUNT(Z159:AA159)=0,"",MAX(Z159:AA159))</x:f>
        <x:v>0.0802</x:v>
      </x:c>
      <x:c r="AC159" s="17" t="n">
        <x:f>IF(OR($G159&lt;&gt;"入池",NOT(ISNUMBER(AB159))),"",IF(COUNTIFS($G$17:$G$219,"入池",$AB$17:$AB$219,"&gt;=-1E+307",$AB$17:$AB$219,"&lt;=1E+307")&lt;=1,100,ROUND(100*(COUNTIFS($G$17:$G$219,"入池",$AB$17:$AB$219,"&lt;=1E+307",$AB$17:$AB$219,"&gt;"&amp;AB159)+COUNTIFS($G$17:$G$219,"入池",$AB$17:$AB$219,AB159,$AB$17:$AB$219,"&gt;=-1E+307",$AB$17:$AB$219,"&lt;=1E+307")/2-0.5)/(COUNTIFS($G$17:$G$219,"入池",$AB$17:$AB$219,"&gt;=-1E+307",$AB$17:$AB$219,"&lt;=1E+307")-1),2)))</x:f>
        <x:v>33.17</x:v>
      </x:c>
      <x:c r="AD159" s="38" t="n">
        <x:f>IF(ISNUMBER('sheet4-原始数据'!M144),'sheet4-原始数据'!M144,"")</x:f>
        <x:v>8.9759</x:v>
      </x:c>
      <x:c r="AE159" s="37" t="n">
        <x:f>IF(OR(NOT(ISNUMBER(P159)),NOT(ISNUMBER(AA159)),NOT(ISNUMBER(Z159))),"",IF(AA159&gt;Z159+'sheet1-指标体系'!$J$11,AA159,""))</x:f>
        <x:v>0.0802</x:v>
      </x:c>
      <x:c r="AF159" s="17" t="n">
        <x:f>IF(OR(NOT(ISNUMBER(P159)),NOT(ISNUMBER(AE159)),AE159=0),"",P159/AE159)</x:f>
        <x:v>0.6337694070549508</x:v>
      </x:c>
      <x:c r="AG159" s="17" t="n">
        <x:f>IF(OR($G159&lt;&gt;"入池",NOT(ISNUMBER(AD159))),"",IF(COUNTIFS($G$17:$G$219,"入池",$AD$17:$AD$219,"&gt;=-1E+307",$AD$17:$AD$219,"&lt;=1E+307")&lt;=1,100,ROUND(100*(COUNTIFS($G$17:$G$219,"入池",$AD$17:$AD$219,"&gt;=-1E+307",$AD$17:$AD$219,"&lt;"&amp;AD159)+COUNTIFS($G$17:$G$219,"入池",$AD$17:$AD$219,AD159,$AD$17:$AD$219,"&gt;=-1E+307",$AD$17:$AD$219,"&lt;=1E+307")/2-0.5)/(COUNTIFS($G$17:$G$219,"入池",$AD$17:$AD$219,"&gt;=-1E+307",$AD$17:$AD$219,"&lt;=1E+307")-1),2)))</x:f>
        <x:v>73.13</x:v>
      </x:c>
      <x:c r="AH159" s="17" t="n">
        <x:f>IF(OR($G159&lt;&gt;"入池",NOT(ISNUMBER(AF159))),"",IF(COUNTIFS($G$17:$G$219,"入池",$AF$17:$AF$219,"&gt;=-1E+307",$AF$17:$AF$219,"&lt;=1E+307")&lt;=1,100,ROUND(100*(COUNTIFS($G$17:$G$219,"入池",$AF$17:$AF$219,"&gt;=-1E+307",$AF$17:$AF$219,"&lt;"&amp;AF159)+COUNTIFS($G$17:$G$219,"入池",$AF$17:$AF$219,AF159,$AF$17:$AF$219,"&gt;=-1E+307",$AF$17:$AF$219,"&lt;=1E+307")/2-0.5)/(COUNTIFS($G$17:$G$219,"入池",$AF$17:$AF$219,"&gt;=-1E+307",$AF$17:$AF$219,"&lt;=1E+307")-1),2)))</x:f>
        <x:v>22.63</x:v>
      </x:c>
      <x:c r="AI159" s="17" t="n">
        <x:f>IF(NOT(ISNUMBER(AG159)),"",IF(NOT(ISNUMBER(AH159)),AG159,ROUND(AG159*'sheet1-指标体系'!$J$8+AH159*'sheet1-指标体系'!$J$9,2)))</x:f>
        <x:v>52.93</x:v>
      </x:c>
      <x:c r="AJ159" s="37" t="n">
        <x:f>IF(NOT(ISNUMBER(F159)),"",IF(F159&gt;=3,IF(NOT(ISNUMBER(N159)),"",N159),IF(NOT(ISNUMBER(O159)),"",O159)))</x:f>
        <x:v>0.07690000000000001</x:v>
      </x:c>
      <x:c r="AK159" s="17" t="n">
        <x:f>IF(OR(G159&lt;&gt;"入池",NOT(ISNUMBER(M159)),NOT(ISNUMBER(AJ159))),"",IF(M159&gt;=AJ159,100,IF(AJ159-M159&lt;'sheet1-指标体系'!$J$10,80,60)))</x:f>
        <x:v>100</x:v>
      </x:c>
      <x:c r="AL159" s="17" t="n">
        <x:f>IF(COUNT(I159,K159,L159)=0,"",ROUND((IF(ISNUMBER(I159),I159*40%,0)+IF(ISNUMBER(K159),K159*30%,0)+IF(ISNUMBER(L159),L159*30%,0))/(IF(ISNUMBER(I159),40%,0)+IF(ISNUMBER(K159),30%,0)+IF(ISNUMBER(L159),30%,0)),2))</x:f>
        <x:v>94.29</x:v>
      </x:c>
      <x:c r="AM159" s="17" t="n">
        <x:f>IF(COUNT(Q159,R159,W159,X159)=0,"",ROUND((IF(ISNUMBER(Q159),Q159*42%,0)+IF(ISNUMBER(R159),R159*28%,0)+IF(ISNUMBER(W159),W159*18%,0)+IF(ISNUMBER(X159),X159*12%,0))/(IF(ISNUMBER(Q159),42%,0)+IF(ISNUMBER(R159),28%,0)+IF(ISNUMBER(W159),18%,0)+IF(ISNUMBER(X159),12%,0)),2))</x:f>
        <x:v>72.53</x:v>
      </x:c>
      <x:c r="AN159" s="17" t="n">
        <x:f>IF(ISNUMBER(AC159),AC159,"")</x:f>
        <x:v>33.17</x:v>
      </x:c>
      <x:c r="AO159" s="17" t="n">
        <x:f>IF(COUNT(AG159,AH159)=0,"",ROUND((IF(ISNUMBER(AG159),AG159*60%,0)+IF(ISNUMBER(AH159),AH159*40%,0))/(IF(ISNUMBER(AG159),60%,0)+IF(ISNUMBER(AH159),40%,0)),2))</x:f>
        <x:v>52.93</x:v>
      </x:c>
      <x:c r="AP159" s="17" t="n">
        <x:f>IF(ISNUMBER(AK159),AK159,"")</x:f>
        <x:v>100</x:v>
      </x:c>
      <x:c r="AQ159" s="39" t="n">
        <x:f>IF(G159&lt;&gt;"入池",0,IF(ISNUMBER(I159),6%,0)+IF(ISNUMBER(K159),4.5%,0)+IF(ISNUMBER(L159),4.5%,0)+IF(ISNUMBER(Q159),8.4%,0)+IF(ISNUMBER(R159),5.6%,0)+IF(ISNUMBER(W159),3.6%,0)+IF(ISNUMBER(X159),2.4%,0)+IF(ISNUMBER(AC159),25%,0)+IF(ISNUMBER(AG159),18%,0)+IF(ISNUMBER(AH159),12%,0)+IF(ISNUMBER(AK159),10%,0))</x:f>
        <x:v>0.9550000000000001</x:v>
      </x:c>
      <x:c r="AR159" s="17" t="n">
        <x:f>IF(AQ159=0,"",IF(ISNUMBER(I159),I159*6%,0)+IF(ISNUMBER(K159),K159*4.5%,0)+IF(ISNUMBER(L159),L159*4.5%,0)+IF(ISNUMBER(Q159),Q159*8.4%,0)+IF(ISNUMBER(R159),R159*5.6%,0)+IF(ISNUMBER(W159),W159*3.6%,0)+IF(ISNUMBER(X159),X159*2.4%,0)+IF(ISNUMBER(AC159),AC159*25%,0)+IF(ISNUMBER(AG159),AG159*18%,0)+IF(ISNUMBER(AH159),AH159*12%,0)+IF(ISNUMBER(AK159),AK159*10%,0))</x:f>
        <x:v>58.57823</x:v>
      </x:c>
      <x:c r="AS159" s="17" t="n">
        <x:f>IF(AQ159=0,"",ROUND(AR159/AQ159,2))</x:f>
        <x:v>61.34</x:v>
      </x:c>
      <x:c r="AT159" s="40" t="n">
        <x:f>IF(OR(G159&lt;&gt;"入池",NOT(ISNUMBER(AS159))),"",COUNTIFS($G$17:$G$219,"入池",$AS$17:$AS$219,"&gt;"&amp;AS159)+COUNTIFS($G$17:$G$219,"入池",$AS$17:$AS$219,AS159,$AQ$17:$AQ$219,"&gt;"&amp;AQ159)+COUNTIFS($G$17:G159,"入池",$AS$17:AS159,AS159,$AQ$17:AQ159,AQ159))</x:f>
        <x:v>101</x:v>
      </x:c>
      <x:c r="AU159" s="41" t="str">
        <x:f t="shared" si="7">IF(NOT(ISNUMBER(I159)),"管理人规模；","")&amp;IF(J159="","产品规模标识；","")&amp;IF(AND(F159&lt;3,NOT(ISNUMBER(O159))),"R_incep；","")&amp;IF(NOT(ISNUMBER(N159)),"近三年收益；","")&amp;IF(NOT(ISNUMBER(U159)),"近三年胜率；","")&amp;IF(AND(ISNUMBER(V159),OR(V159&lt;0,V159&gt;1)),"胜率窗口口径不一致；","")&amp;IF(NOT(ISNUMBER(AA159)),"近三年回撤；","")&amp;IF(NOT(ISNUMBER(AD159)),"短期卡玛；","")&amp;IF(AND(ISNUMBER(P159),NOT(ISNUMBER(AE159))),"DD_long不可识别；","")</x:f>
        <x:v>产品规模标识；</x:v>
      </x:c>
      <x:c r="AV159" s="42" t="n">
        <x:v>20</x:v>
      </x:c>
      <x:c r="AW159" s="19" t="str">
        <x:v>江苏兆信私募基金管理有限公司</x:v>
      </x:c>
      <x:c r="AX159" s="19" t="str">
        <x:v>2026-04-17</x:v>
      </x:c>
      <x:c r="AY159" s="19" t="str">
        <x:v>https://gs.amac.org.cn/amac-infodisc/res/pof/manager/101000002312.html</x:v>
      </x:c>
      <x:c r="AZ159" s="19"/>
      <x:c r="BA159" s="19"/>
      <x:c r="BB159" s="19"/>
      <x:c r="BC159" s="19"/>
      <x:c r="BD159" s="19" t="str">
        <x:v>基金页未匹配；管理人已核验</x:v>
      </x:c>
      <x:c r="BE159"/>
      <x:c r="BF159"/>
    </x:row>
    <x:row r="160" ht="28" customHeight="1">
      <x:c r="A160" s="4" t="n">
        <x:v>144</x:v>
      </x:c>
      <x:c r="B160" s="15" t="str">
        <x:f>'sheet4-原始数据'!A145</x:f>
        <x:v>庄贤亨贞期权对冲</x:v>
      </x:c>
      <x:c r="C160" s="15" t="str">
        <x:f>'sheet4-原始数据'!B145</x:f>
        <x:v>STW239</x:v>
      </x:c>
      <x:c r="D160" s="15" t="str">
        <x:f>'sheet4-原始数据'!E145</x:f>
        <x:v>杭州庄贤投资</x:v>
      </x:c>
      <x:c r="E160" s="32" t="n">
        <x:f>IF(ISNUMBER('sheet4-原始数据'!F145),'sheet4-原始数据'!F145,"")</x:f>
        <x:v>44589</x:v>
      </x:c>
      <x:c r="F160" s="17" t="n">
        <x:f>IF(NOT(ISNUMBER(E160)),"",ROUND(('sheet1-指标体系'!$J$23-E160)/365.25,4))</x:f>
        <x:v>4.6324</x:v>
      </x:c>
      <x:c r="G160" s="4" t="str">
        <x:f t="shared" si="6">IF(NOT(ISNUMBER(F160)),"",IF(F160&lt;1,"不入池","入池"))</x:f>
        <x:v>入池</x:v>
      </x:c>
      <x:c r="H160" s="33" t="str">
        <x:v>20-50亿元</x:v>
      </x:c>
      <x:c r="I160" s="17" t="n">
        <x:f>IF(H160="","",IF(ISNUMBER(SEARCH("100亿元以上",H160)),100,IF(OR(ISNUMBER(SEARCH("20-50",H160)),ISNUMBER(SEARCH("50-100",H160)),ISNUMBER(SEARCH("20-100",H160))),90,IF(ISNUMBER(SEARCH("10-20",H160)),80,IF(ISNUMBER(SEARCH("5-10",H160)),70,IF(ISNUMBER(SEARCH("0-5",H160)),60,""))))))</x:f>
        <x:v>90</x:v>
      </x:c>
      <x:c r="J160" s="34" t="str">
        <x:v>无低于1000万元标识</x:v>
      </x:c>
      <x:c r="K160" s="17" t="n">
        <x:f>IF(J160="","",IF(J160="低于1000万元",0,100))</x:f>
        <x:v>100</x:v>
      </x:c>
      <x:c r="L160" s="17" t="n">
        <x:f>IF(NOT(ISNUMBER(F160)),"",IF(F160&lt;1,"",IF(F160&lt;3,70,100)))</x:f>
        <x:v>100</x:v>
      </x:c>
      <x:c r="M160" s="35" t="n">
        <x:f>IF(ISNUMBER('sheet4-原始数据'!G145),'sheet4-原始数据'!G145,"")</x:f>
        <x:v>0.0405</x:v>
      </x:c>
      <x:c r="N160" s="35" t="n">
        <x:f>IF(ISNUMBER('sheet4-原始数据'!H145),'sheet4-原始数据'!H145,"")</x:f>
        <x:v>0.04650000000000001</x:v>
      </x:c>
      <x:c r="O160" s="36" t="str">
        <x:f>IF(ISNUMBER('sheet4-原始数据'!Q145),'sheet4-原始数据'!Q145,"")</x:f>
      </x:c>
      <x:c r="P160" s="37" t="n">
        <x:f>IF($G160&lt;&gt;"入池","",IF($F160&gt;=3,IF(OR(NOT(ISNUMBER($M160)),NOT(ISNUMBER($N160)),1+$M160&lt;=0,1+$N160&lt;0),"",((1+$N160)^3/(1+$M160))^(1/2)-1),IF(OR($F160&lt;=1,NOT(ISNUMBER($M160)),NOT(ISNUMBER($O160)),1+$M160&lt;=0,1+$O160&lt;0),"",((1+$O160)^$F160/(1+$M160))^(1/($F160-1))-1)))</x:f>
        <x:v>0.049512962088846146</x:v>
      </x:c>
      <x:c r="Q160" s="17" t="n">
        <x:f>IF(OR($G160&lt;&gt;"入池",NOT(ISNUMBER(M160))),"",IF(COUNTIFS($G$17:$G$219,"入池",$M$17:$M$219,"&gt;=-1E+307",$M$17:$M$219,"&lt;=1E+307")&lt;=1,100,ROUND(100*(COUNTIFS($G$17:$G$219,"入池",$M$17:$M$219,"&gt;=-1E+307",$M$17:$M$219,"&lt;"&amp;M160)+COUNTIFS($G$17:$G$219,"入池",$M$17:$M$219,M160,$M$17:$M$219,"&gt;=-1E+307",$M$17:$M$219,"&lt;=1E+307")/2-0.5)/(COUNTIFS($G$17:$G$219,"入池",$M$17:$M$219,"&gt;=-1E+307",$M$17:$M$219,"&lt;=1E+307")-1),2)))</x:f>
        <x:v>43.07</x:v>
      </x:c>
      <x:c r="R160" s="17" t="n">
        <x:f>IF(OR($G160&lt;&gt;"入池",NOT(ISNUMBER(P160))),"",IF(COUNTIFS($G$17:$G$219,"入池",$P$17:$P$219,"&gt;=-1E+307",$P$17:$P$219,"&lt;=1E+307")&lt;=1,100,ROUND(100*(COUNTIFS($G$17:$G$219,"入池",$P$17:$P$219,"&gt;=-1E+307",$P$17:$P$219,"&lt;"&amp;P160)+COUNTIFS($G$17:$G$219,"入池",$P$17:$P$219,P160,$P$17:$P$219,"&gt;=-1E+307",$P$17:$P$219,"&lt;=1E+307")/2-0.5)/(COUNTIFS($G$17:$G$219,"入池",$P$17:$P$219,"&gt;=-1E+307",$P$17:$P$219,"&lt;=1E+307")-1),2)))</x:f>
        <x:v>35.89</x:v>
      </x:c>
      <x:c r="S160" s="17" t="n">
        <x:f>IF(NOT(ISNUMBER(Q160)),"",IF(NOT(ISNUMBER(R160)),Q160,ROUND(Q160*'sheet1-指标体系'!$J$8+R160*'sheet1-指标体系'!$J$9,2)))</x:f>
        <x:v>40.2</x:v>
      </x:c>
      <x:c r="T160" s="35" t="n">
        <x:f>IF(ISNUMBER('sheet4-原始数据'!J145),'sheet4-原始数据'!J145,"")</x:f>
        <x:v>0.6923</x:v>
      </x:c>
      <x:c r="U160" s="35" t="n">
        <x:f>IF(ISNUMBER('sheet4-原始数据'!I145),'sheet4-原始数据'!I145,"")</x:f>
        <x:v>0.7568</x:v>
      </x:c>
      <x:c r="V160" s="37" t="n">
        <x:f>IF(OR(NOT(ISNUMBER(T160)),NOT(ISNUMBER(U160))),"",(U160*'sheet1-指标体系'!$J$6-T160*'sheet1-指标体系'!$J$5)/'sheet1-指标体系'!$J$7)</x:f>
        <x:v>0.7917375</x:v>
      </x:c>
      <x:c r="W160" s="17" t="n">
        <x:f>IF(NOT(ISNUMBER(T160)),"",T160*100)</x:f>
        <x:v>69.23</x:v>
      </x:c>
      <x:c r="X160" s="17" t="n">
        <x:f>IF($G160&lt;&gt;"入池","",IF(AND(ISNUMBER(V160),V160&gt;=0,V160&lt;=1),V160*100,IF(MAX(0,($F160-1)*12)&lt;6,100,"")))</x:f>
        <x:v>79.17375</x:v>
      </x:c>
      <x:c r="Y160" s="17" t="n">
        <x:f>IF(NOT(ISNUMBER(W160)),"",IF(NOT(ISNUMBER(X160)),W160,ROUND(W160*'sheet1-指标体系'!$J$8+X160*'sheet1-指标体系'!$J$9,2)))</x:f>
        <x:v>73.21</x:v>
      </x:c>
      <x:c r="Z160" s="37" t="n">
        <x:f>IF(OR(NOT(ISNUMBER(M160)),NOT(ISNUMBER(AD160)),AD160=0),"",ABS(M160/AD160))</x:f>
        <x:v>0.0042838103699942886</x:v>
      </x:c>
      <x:c r="AA160" s="35" t="n">
        <x:f>IF(ISNUMBER('sheet4-原始数据'!K145),'sheet4-原始数据'!K145,"")</x:f>
        <x:v>0.013000000000000001</x:v>
      </x:c>
      <x:c r="AB160" s="37" t="n">
        <x:f>IF(COUNT(Z160:AA160)=0,"",MAX(Z160:AA160))</x:f>
        <x:v>0.013000000000000001</x:v>
      </x:c>
      <x:c r="AC160" s="17" t="n">
        <x:f>IF(OR($G160&lt;&gt;"入池",NOT(ISNUMBER(AB160))),"",IF(COUNTIFS($G$17:$G$219,"入池",$AB$17:$AB$219,"&gt;=-1E+307",$AB$17:$AB$219,"&lt;=1E+307")&lt;=1,100,ROUND(100*(COUNTIFS($G$17:$G$219,"入池",$AB$17:$AB$219,"&lt;=1E+307",$AB$17:$AB$219,"&gt;"&amp;AB160)+COUNTIFS($G$17:$G$219,"入池",$AB$17:$AB$219,AB160,$AB$17:$AB$219,"&gt;=-1E+307",$AB$17:$AB$219,"&lt;=1E+307")/2-0.5)/(COUNTIFS($G$17:$G$219,"入池",$AB$17:$AB$219,"&gt;=-1E+307",$AB$17:$AB$219,"&lt;=1E+307")-1),2)))</x:f>
        <x:v>82.18</x:v>
      </x:c>
      <x:c r="AD160" s="38" t="n">
        <x:f>IF(ISNUMBER('sheet4-原始数据'!M145),'sheet4-原始数据'!M145,"")</x:f>
        <x:v>9.4542</x:v>
      </x:c>
      <x:c r="AE160" s="37" t="n">
        <x:f>IF(OR(NOT(ISNUMBER(P160)),NOT(ISNUMBER(AA160)),NOT(ISNUMBER(Z160))),"",IF(AA160&gt;Z160+'sheet1-指标体系'!$J$11,AA160,""))</x:f>
        <x:v>0.013000000000000001</x:v>
      </x:c>
      <x:c r="AF160" s="17" t="n">
        <x:f>IF(OR(NOT(ISNUMBER(P160)),NOT(ISNUMBER(AE160)),AE160=0),"",P160/AE160)</x:f>
        <x:v>3.808689391449703</x:v>
      </x:c>
      <x:c r="AG160" s="17" t="n">
        <x:f>IF(OR($G160&lt;&gt;"入池",NOT(ISNUMBER(AD160))),"",IF(COUNTIFS($G$17:$G$219,"入池",$AD$17:$AD$219,"&gt;=-1E+307",$AD$17:$AD$219,"&lt;=1E+307")&lt;=1,100,ROUND(100*(COUNTIFS($G$17:$G$219,"入池",$AD$17:$AD$219,"&gt;=-1E+307",$AD$17:$AD$219,"&lt;"&amp;AD160)+COUNTIFS($G$17:$G$219,"入池",$AD$17:$AD$219,AD160,$AD$17:$AD$219,"&gt;=-1E+307",$AD$17:$AD$219,"&lt;=1E+307")/2-0.5)/(COUNTIFS($G$17:$G$219,"入池",$AD$17:$AD$219,"&gt;=-1E+307",$AD$17:$AD$219,"&lt;=1E+307")-1),2)))</x:f>
        <x:v>76.37</x:v>
      </x:c>
      <x:c r="AH160" s="17" t="n">
        <x:f>IF(OR($G160&lt;&gt;"入池",NOT(ISNUMBER(AF160))),"",IF(COUNTIFS($G$17:$G$219,"入池",$AF$17:$AF$219,"&gt;=-1E+307",$AF$17:$AF$219,"&lt;=1E+307")&lt;=1,100,ROUND(100*(COUNTIFS($G$17:$G$219,"入池",$AF$17:$AF$219,"&gt;=-1E+307",$AF$17:$AF$219,"&lt;"&amp;AF160)+COUNTIFS($G$17:$G$219,"入池",$AF$17:$AF$219,AF160,$AF$17:$AF$219,"&gt;=-1E+307",$AF$17:$AF$219,"&lt;=1E+307")/2-0.5)/(COUNTIFS($G$17:$G$219,"入池",$AF$17:$AF$219,"&gt;=-1E+307",$AF$17:$AF$219,"&lt;=1E+307")-1),2)))</x:f>
        <x:v>80.66</x:v>
      </x:c>
      <x:c r="AI160" s="17" t="n">
        <x:f>IF(NOT(ISNUMBER(AG160)),"",IF(NOT(ISNUMBER(AH160)),AG160,ROUND(AG160*'sheet1-指标体系'!$J$8+AH160*'sheet1-指标体系'!$J$9,2)))</x:f>
        <x:v>78.09</x:v>
      </x:c>
      <x:c r="AJ160" s="37" t="n">
        <x:f>IF(NOT(ISNUMBER(F160)),"",IF(F160&gt;=3,IF(NOT(ISNUMBER(N160)),"",N160),IF(NOT(ISNUMBER(O160)),"",O160)))</x:f>
        <x:v>0.04650000000000001</x:v>
      </x:c>
      <x:c r="AK160" s="17" t="n">
        <x:f>IF(OR(G160&lt;&gt;"入池",NOT(ISNUMBER(M160)),NOT(ISNUMBER(AJ160))),"",IF(M160&gt;=AJ160,100,IF(AJ160-M160&lt;'sheet1-指标体系'!$J$10,80,60)))</x:f>
        <x:v>80</x:v>
      </x:c>
      <x:c r="AL160" s="17" t="n">
        <x:f>IF(COUNT(I160,K160,L160)=0,"",ROUND((IF(ISNUMBER(I160),I160*40%,0)+IF(ISNUMBER(K160),K160*30%,0)+IF(ISNUMBER(L160),L160*30%,0))/(IF(ISNUMBER(I160),40%,0)+IF(ISNUMBER(K160),30%,0)+IF(ISNUMBER(L160),30%,0)),2))</x:f>
        <x:v>96</x:v>
      </x:c>
      <x:c r="AM160" s="17" t="n">
        <x:f>IF(COUNT(Q160,R160,W160,X160)=0,"",ROUND((IF(ISNUMBER(Q160),Q160*42%,0)+IF(ISNUMBER(R160),R160*28%,0)+IF(ISNUMBER(W160),W160*18%,0)+IF(ISNUMBER(X160),X160*12%,0))/(IF(ISNUMBER(Q160),42%,0)+IF(ISNUMBER(R160),28%,0)+IF(ISNUMBER(W160),18%,0)+IF(ISNUMBER(X160),12%,0)),2))</x:f>
        <x:v>50.1</x:v>
      </x:c>
      <x:c r="AN160" s="17" t="n">
        <x:f>IF(ISNUMBER(AC160),AC160,"")</x:f>
        <x:v>82.18</x:v>
      </x:c>
      <x:c r="AO160" s="17" t="n">
        <x:f>IF(COUNT(AG160,AH160)=0,"",ROUND((IF(ISNUMBER(AG160),AG160*60%,0)+IF(ISNUMBER(AH160),AH160*40%,0))/(IF(ISNUMBER(AG160),60%,0)+IF(ISNUMBER(AH160),40%,0)),2))</x:f>
        <x:v>78.09</x:v>
      </x:c>
      <x:c r="AP160" s="17" t="n">
        <x:f>IF(ISNUMBER(AK160),AK160,"")</x:f>
        <x:v>80</x:v>
      </x:c>
      <x:c r="AQ160" s="39" t="n">
        <x:f>IF(G160&lt;&gt;"入池",0,IF(ISNUMBER(I160),6%,0)+IF(ISNUMBER(K160),4.5%,0)+IF(ISNUMBER(L160),4.5%,0)+IF(ISNUMBER(Q160),8.4%,0)+IF(ISNUMBER(R160),5.6%,0)+IF(ISNUMBER(W160),3.6%,0)+IF(ISNUMBER(X160),2.4%,0)+IF(ISNUMBER(AC160),25%,0)+IF(ISNUMBER(AG160),18%,0)+IF(ISNUMBER(AH160),12%,0)+IF(ISNUMBER(AK160),10%,0))</x:f>
        <x:v>1</x:v>
      </x:c>
      <x:c r="AR160" s="17" t="n">
        <x:f>IF(AQ160=0,"",IF(ISNUMBER(I160),I160*6%,0)+IF(ISNUMBER(K160),K160*4.5%,0)+IF(ISNUMBER(L160),L160*4.5%,0)+IF(ISNUMBER(Q160),Q160*8.4%,0)+IF(ISNUMBER(R160),R160*5.6%,0)+IF(ISNUMBER(W160),W160*3.6%,0)+IF(ISNUMBER(X160),X160*2.4%,0)+IF(ISNUMBER(AC160),AC160*25%,0)+IF(ISNUMBER(AG160),AG160*18%,0)+IF(ISNUMBER(AH160),AH160*12%,0)+IF(ISNUMBER(AK160),AK160*10%,0))</x:f>
        <x:v>76.39097</x:v>
      </x:c>
      <x:c r="AS160" s="17" t="n">
        <x:f>IF(AQ160=0,"",ROUND(AR160/AQ160,2))</x:f>
        <x:v>76.39</x:v>
      </x:c>
      <x:c r="AT160" s="40" t="n">
        <x:f>IF(OR(G160&lt;&gt;"入池",NOT(ISNUMBER(AS160))),"",COUNTIFS($G$17:$G$219,"入池",$AS$17:$AS$219,"&gt;"&amp;AS160)+COUNTIFS($G$17:$G$219,"入池",$AS$17:$AS$219,AS160,$AQ$17:$AQ$219,"&gt;"&amp;AQ160)+COUNTIFS($G$17:G160,"入池",$AS$17:AS160,AS160,$AQ$17:AQ160,AQ160))</x:f>
        <x:v>42</x:v>
      </x:c>
      <x:c r="AU160" s="41" t="str">
        <x:f t="shared" si="7">IF(NOT(ISNUMBER(I160)),"管理人规模；","")&amp;IF(J160="","产品规模标识；","")&amp;IF(AND(F160&lt;3,NOT(ISNUMBER(O160))),"R_incep；","")&amp;IF(NOT(ISNUMBER(N160)),"近三年收益；","")&amp;IF(NOT(ISNUMBER(U160)),"近三年胜率；","")&amp;IF(AND(ISNUMBER(V160),OR(V160&lt;0,V160&gt;1)),"胜率窗口口径不一致；","")&amp;IF(NOT(ISNUMBER(AA160)),"近三年回撤；","")&amp;IF(NOT(ISNUMBER(AD160)),"短期卡玛；","")&amp;IF(AND(ISNUMBER(P160),NOT(ISNUMBER(AE160))),"DD_long不可识别；","")</x:f>
      </x:c>
      <x:c r="AV160" s="42" t="n">
        <x:v>20</x:v>
      </x:c>
      <x:c r="AW160" s="19" t="str">
        <x:v>杭州庄贤投资管理合伙企业（有限合伙）</x:v>
      </x:c>
      <x:c r="AX160" s="19" t="str">
        <x:v>2026-08-10</x:v>
      </x:c>
      <x:c r="AY160" s="19" t="str">
        <x:v>https://gs.amac.org.cn/amac-infodisc/res/pof/manager/1703280912100590.html</x:v>
      </x:c>
      <x:c r="AZ160" s="19" t="str">
        <x:v>庄贤亨贞期权对冲私募证券投资基金</x:v>
      </x:c>
      <x:c r="BA160" s="19" t="str">
        <x:v>2025-03-28</x:v>
      </x:c>
      <x:c r="BB160" s="19"/>
      <x:c r="BC160" s="19" t="str">
        <x:v>https://gs.amac.org.cn/amac-infodisc/res/pof/fund/2202111734100728.html</x:v>
      </x:c>
      <x:c r="BD160" s="19" t="str">
        <x:v>已匹配</x:v>
      </x:c>
      <x:c r="BE160"/>
      <x:c r="BF160"/>
    </x:row>
    <x:row r="161" ht="28" customHeight="1">
      <x:c r="A161" s="4" t="n">
        <x:v>145</x:v>
      </x:c>
      <x:c r="B161" s="15" t="str">
        <x:f>'sheet4-原始数据'!A146</x:f>
        <x:v>悬铃尊享CTA8号</x:v>
      </x:c>
      <x:c r="C161" s="15" t="str">
        <x:f>'sheet4-原始数据'!B146</x:f>
        <x:v>STW103</x:v>
      </x:c>
      <x:c r="D161" s="15" t="str">
        <x:f>'sheet4-原始数据'!E146</x:f>
        <x:v>上海悬铃</x:v>
      </x:c>
      <x:c r="E161" s="32" t="n">
        <x:f>IF(ISNUMBER('sheet4-原始数据'!F146),'sheet4-原始数据'!F146,"")</x:f>
        <x:v>44631</x:v>
      </x:c>
      <x:c r="F161" s="17" t="n">
        <x:f>IF(NOT(ISNUMBER(E161)),"",ROUND(('sheet1-指标体系'!$J$23-E161)/365.25,4))</x:f>
        <x:v>4.5175</x:v>
      </x:c>
      <x:c r="G161" s="4" t="str">
        <x:f t="shared" si="6">IF(NOT(ISNUMBER(F161)),"",IF(F161&lt;1,"不入池","入池"))</x:f>
        <x:v>入池</x:v>
      </x:c>
      <x:c r="H161" s="33" t="str">
        <x:v>20-50亿元</x:v>
      </x:c>
      <x:c r="I161" s="17" t="n">
        <x:f>IF(H161="","",IF(ISNUMBER(SEARCH("100亿元以上",H161)),100,IF(OR(ISNUMBER(SEARCH("20-50",H161)),ISNUMBER(SEARCH("50-100",H161)),ISNUMBER(SEARCH("20-100",H161))),90,IF(ISNUMBER(SEARCH("10-20",H161)),80,IF(ISNUMBER(SEARCH("5-10",H161)),70,IF(ISNUMBER(SEARCH("0-5",H161)),60,""))))))</x:f>
        <x:v>90</x:v>
      </x:c>
      <x:c r="J161" s="34" t="str">
        <x:v>无低于1000万元标识</x:v>
      </x:c>
      <x:c r="K161" s="17" t="n">
        <x:f>IF(J161="","",IF(J161="低于1000万元",0,100))</x:f>
        <x:v>100</x:v>
      </x:c>
      <x:c r="L161" s="17" t="n">
        <x:f>IF(NOT(ISNUMBER(F161)),"",IF(F161&lt;1,"",IF(F161&lt;3,70,100)))</x:f>
        <x:v>100</x:v>
      </x:c>
      <x:c r="M161" s="35" t="n">
        <x:f>IF(ISNUMBER('sheet4-原始数据'!G146),'sheet4-原始数据'!G146,"")</x:f>
        <x:v>-0.071</x:v>
      </x:c>
      <x:c r="N161" s="35" t="n">
        <x:f>IF(ISNUMBER('sheet4-原始数据'!H146),'sheet4-原始数据'!H146,"")</x:f>
        <x:v>0.041299999999999996</x:v>
      </x:c>
      <x:c r="O161" s="36" t="str">
        <x:f>IF(ISNUMBER('sheet4-原始数据'!Q146),'sheet4-原始数据'!Q146,"")</x:f>
      </x:c>
      <x:c r="P161" s="37" t="n">
        <x:f>IF($G161&lt;&gt;"入池","",IF($F161&gt;=3,IF(OR(NOT(ISNUMBER($M161)),NOT(ISNUMBER($N161)),1+$M161&lt;=0,1+$N161&lt;0),"",((1+$N161)^3/(1+$M161))^(1/2)-1),IF(OR($F161&lt;=1,NOT(ISNUMBER($M161)),NOT(ISNUMBER($O161)),1+$M161&lt;=0,1+$O161&lt;0),"",((1+$O161)^$F161/(1+$M161))^(1/($F161-1))-1)))</x:f>
        <x:v>0.10244249573458775</x:v>
      </x:c>
      <x:c r="Q161" s="17" t="n">
        <x:f>IF(OR($G161&lt;&gt;"入池",NOT(ISNUMBER(M161))),"",IF(COUNTIFS($G$17:$G$219,"入池",$M$17:$M$219,"&gt;=-1E+307",$M$17:$M$219,"&lt;=1E+307")&lt;=1,100,ROUND(100*(COUNTIFS($G$17:$G$219,"入池",$M$17:$M$219,"&gt;=-1E+307",$M$17:$M$219,"&lt;"&amp;M161)+COUNTIFS($G$17:$G$219,"入池",$M$17:$M$219,M161,$M$17:$M$219,"&gt;=-1E+307",$M$17:$M$219,"&lt;=1E+307")/2-0.5)/(COUNTIFS($G$17:$G$219,"入池",$M$17:$M$219,"&gt;=-1E+307",$M$17:$M$219,"&lt;=1E+307")-1),2)))</x:f>
        <x:v>6.93</x:v>
      </x:c>
      <x:c r="R161" s="17" t="n">
        <x:f>IF(OR($G161&lt;&gt;"入池",NOT(ISNUMBER(P161))),"",IF(COUNTIFS($G$17:$G$219,"入池",$P$17:$P$219,"&gt;=-1E+307",$P$17:$P$219,"&lt;=1E+307")&lt;=1,100,ROUND(100*(COUNTIFS($G$17:$G$219,"入池",$P$17:$P$219,"&gt;=-1E+307",$P$17:$P$219,"&lt;"&amp;P161)+COUNTIFS($G$17:$G$219,"入池",$P$17:$P$219,P161,$P$17:$P$219,"&gt;=-1E+307",$P$17:$P$219,"&lt;=1E+307")/2-0.5)/(COUNTIFS($G$17:$G$219,"入池",$P$17:$P$219,"&gt;=-1E+307",$P$17:$P$219,"&lt;=1E+307")-1),2)))</x:f>
        <x:v>72.77</x:v>
      </x:c>
      <x:c r="S161" s="17" t="n">
        <x:f>IF(NOT(ISNUMBER(Q161)),"",IF(NOT(ISNUMBER(R161)),Q161,ROUND(Q161*'sheet1-指标体系'!$J$8+R161*'sheet1-指标体系'!$J$9,2)))</x:f>
        <x:v>33.27</x:v>
      </x:c>
      <x:c r="T161" s="35" t="n">
        <x:f>IF(ISNUMBER('sheet4-原始数据'!J146),'sheet4-原始数据'!J146,"")</x:f>
        <x:v>0.3846</x:v>
      </x:c>
      <x:c r="U161" s="35" t="n">
        <x:f>IF(ISNUMBER('sheet4-原始数据'!I146),'sheet4-原始数据'!I146,"")</x:f>
        <x:v>0.6486</x:v>
      </x:c>
      <x:c r="V161" s="37" t="n">
        <x:f>IF(OR(NOT(ISNUMBER(T161)),NOT(ISNUMBER(U161))),"",(U161*'sheet1-指标体系'!$J$6-T161*'sheet1-指标体系'!$J$5)/'sheet1-指标体系'!$J$7)</x:f>
        <x:v>0.7915999999999999</x:v>
      </x:c>
      <x:c r="W161" s="17" t="n">
        <x:f>IF(NOT(ISNUMBER(T161)),"",T161*100)</x:f>
        <x:v>38.46</x:v>
      </x:c>
      <x:c r="X161" s="17" t="n">
        <x:f>IF($G161&lt;&gt;"入池","",IF(AND(ISNUMBER(V161),V161&gt;=0,V161&lt;=1),V161*100,IF(MAX(0,($F161-1)*12)&lt;6,100,"")))</x:f>
        <x:v>79.15999999999998</x:v>
      </x:c>
      <x:c r="Y161" s="17" t="n">
        <x:f>IF(NOT(ISNUMBER(W161)),"",IF(NOT(ISNUMBER(X161)),W161,ROUND(W161*'sheet1-指标体系'!$J$8+X161*'sheet1-指标体系'!$J$9,2)))</x:f>
        <x:v>54.74</x:v>
      </x:c>
      <x:c r="Z161" s="37" t="n">
        <x:f>IF(OR(NOT(ISNUMBER(M161)),NOT(ISNUMBER(AD161)),AD161=0),"",ABS(M161/AD161))</x:f>
        <x:v>0.10552913198573127</x:v>
      </x:c>
      <x:c r="AA161" s="35" t="n">
        <x:f>IF(ISNUMBER('sheet4-原始数据'!K146),'sheet4-原始数据'!K146,"")</x:f>
        <x:v>0.1167</x:v>
      </x:c>
      <x:c r="AB161" s="37" t="n">
        <x:f>IF(COUNT(Z161:AA161)=0,"",MAX(Z161:AA161))</x:f>
        <x:v>0.1167</x:v>
      </x:c>
      <x:c r="AC161" s="17" t="n">
        <x:f>IF(OR($G161&lt;&gt;"入池",NOT(ISNUMBER(AB161))),"",IF(COUNTIFS($G$17:$G$219,"入池",$AB$17:$AB$219,"&gt;=-1E+307",$AB$17:$AB$219,"&lt;=1E+307")&lt;=1,100,ROUND(100*(COUNTIFS($G$17:$G$219,"入池",$AB$17:$AB$219,"&lt;=1E+307",$AB$17:$AB$219,"&gt;"&amp;AB161)+COUNTIFS($G$17:$G$219,"入池",$AB$17:$AB$219,AB161,$AB$17:$AB$219,"&gt;=-1E+307",$AB$17:$AB$219,"&lt;=1E+307")/2-0.5)/(COUNTIFS($G$17:$G$219,"入池",$AB$17:$AB$219,"&gt;=-1E+307",$AB$17:$AB$219,"&lt;=1E+307")-1),2)))</x:f>
        <x:v>22.28</x:v>
      </x:c>
      <x:c r="AD161" s="38" t="n">
        <x:f>IF(ISNUMBER('sheet4-原始数据'!M146),'sheet4-原始数据'!M146,"")</x:f>
        <x:v>-0.6728</x:v>
      </x:c>
      <x:c r="AE161" s="37" t="n">
        <x:f>IF(OR(NOT(ISNUMBER(P161)),NOT(ISNUMBER(AA161)),NOT(ISNUMBER(Z161))),"",IF(AA161&gt;Z161+'sheet1-指标体系'!$J$11,AA161,""))</x:f>
        <x:v>0.1167</x:v>
      </x:c>
      <x:c r="AF161" s="17" t="n">
        <x:f>IF(OR(NOT(ISNUMBER(P161)),NOT(ISNUMBER(AE161)),AE161=0),"",P161/AE161)</x:f>
        <x:v>0.8778277269459104</x:v>
      </x:c>
      <x:c r="AG161" s="17" t="n">
        <x:f>IF(OR($G161&lt;&gt;"入池",NOT(ISNUMBER(AD161))),"",IF(COUNTIFS($G$17:$G$219,"入池",$AD$17:$AD$219,"&gt;=-1E+307",$AD$17:$AD$219,"&lt;=1E+307")&lt;=1,100,ROUND(100*(COUNTIFS($G$17:$G$219,"入池",$AD$17:$AD$219,"&gt;=-1E+307",$AD$17:$AD$219,"&lt;"&amp;AD161)+COUNTIFS($G$17:$G$219,"入池",$AD$17:$AD$219,AD161,$AD$17:$AD$219,"&gt;=-1E+307",$AD$17:$AD$219,"&lt;=1E+307")/2-0.5)/(COUNTIFS($G$17:$G$219,"入池",$AD$17:$AD$219,"&gt;=-1E+307",$AD$17:$AD$219,"&lt;=1E+307")-1),2)))</x:f>
        <x:v>5.47</x:v>
      </x:c>
      <x:c r="AH161" s="17" t="n">
        <x:f>IF(OR($G161&lt;&gt;"入池",NOT(ISNUMBER(AF161))),"",IF(COUNTIFS($G$17:$G$219,"入池",$AF$17:$AF$219,"&gt;=-1E+307",$AF$17:$AF$219,"&lt;=1E+307")&lt;=1,100,ROUND(100*(COUNTIFS($G$17:$G$219,"入池",$AF$17:$AF$219,"&gt;=-1E+307",$AF$17:$AF$219,"&lt;"&amp;AF161)+COUNTIFS($G$17:$G$219,"入池",$AF$17:$AF$219,AF161,$AF$17:$AF$219,"&gt;=-1E+307",$AF$17:$AF$219,"&lt;=1E+307")/2-0.5)/(COUNTIFS($G$17:$G$219,"入池",$AF$17:$AF$219,"&gt;=-1E+307",$AF$17:$AF$219,"&lt;=1E+307")-1),2)))</x:f>
        <x:v>36.5</x:v>
      </x:c>
      <x:c r="AI161" s="17" t="n">
        <x:f>IF(NOT(ISNUMBER(AG161)),"",IF(NOT(ISNUMBER(AH161)),AG161,ROUND(AG161*'sheet1-指标体系'!$J$8+AH161*'sheet1-指标体系'!$J$9,2)))</x:f>
        <x:v>17.88</x:v>
      </x:c>
      <x:c r="AJ161" s="37" t="n">
        <x:f>IF(NOT(ISNUMBER(F161)),"",IF(F161&gt;=3,IF(NOT(ISNUMBER(N161)),"",N161),IF(NOT(ISNUMBER(O161)),"",O161)))</x:f>
        <x:v>0.041299999999999996</x:v>
      </x:c>
      <x:c r="AK161" s="17" t="n">
        <x:f>IF(OR(G161&lt;&gt;"入池",NOT(ISNUMBER(M161)),NOT(ISNUMBER(AJ161))),"",IF(M161&gt;=AJ161,100,IF(AJ161-M161&lt;'sheet1-指标体系'!$J$10,80,60)))</x:f>
        <x:v>80</x:v>
      </x:c>
      <x:c r="AL161" s="17" t="n">
        <x:f>IF(COUNT(I161,K161,L161)=0,"",ROUND((IF(ISNUMBER(I161),I161*40%,0)+IF(ISNUMBER(K161),K161*30%,0)+IF(ISNUMBER(L161),L161*30%,0))/(IF(ISNUMBER(I161),40%,0)+IF(ISNUMBER(K161),30%,0)+IF(ISNUMBER(L161),30%,0)),2))</x:f>
        <x:v>96</x:v>
      </x:c>
      <x:c r="AM161" s="17" t="n">
        <x:f>IF(COUNT(Q161,R161,W161,X161)=0,"",ROUND((IF(ISNUMBER(Q161),Q161*42%,0)+IF(ISNUMBER(R161),R161*28%,0)+IF(ISNUMBER(W161),W161*18%,0)+IF(ISNUMBER(X161),X161*12%,0))/(IF(ISNUMBER(Q161),42%,0)+IF(ISNUMBER(R161),28%,0)+IF(ISNUMBER(W161),18%,0)+IF(ISNUMBER(X161),12%,0)),2))</x:f>
        <x:v>39.71</x:v>
      </x:c>
      <x:c r="AN161" s="17" t="n">
        <x:f>IF(ISNUMBER(AC161),AC161,"")</x:f>
        <x:v>22.28</x:v>
      </x:c>
      <x:c r="AO161" s="17" t="n">
        <x:f>IF(COUNT(AG161,AH161)=0,"",ROUND((IF(ISNUMBER(AG161),AG161*60%,0)+IF(ISNUMBER(AH161),AH161*40%,0))/(IF(ISNUMBER(AG161),60%,0)+IF(ISNUMBER(AH161),40%,0)),2))</x:f>
        <x:v>17.88</x:v>
      </x:c>
      <x:c r="AP161" s="17" t="n">
        <x:f>IF(ISNUMBER(AK161),AK161,"")</x:f>
        <x:v>80</x:v>
      </x:c>
      <x:c r="AQ161" s="39" t="n">
        <x:f>IF(G161&lt;&gt;"入池",0,IF(ISNUMBER(I161),6%,0)+IF(ISNUMBER(K161),4.5%,0)+IF(ISNUMBER(L161),4.5%,0)+IF(ISNUMBER(Q161),8.4%,0)+IF(ISNUMBER(R161),5.6%,0)+IF(ISNUMBER(W161),3.6%,0)+IF(ISNUMBER(X161),2.4%,0)+IF(ISNUMBER(AC161),25%,0)+IF(ISNUMBER(AG161),18%,0)+IF(ISNUMBER(AH161),12%,0)+IF(ISNUMBER(AK161),10%,0))</x:f>
        <x:v>1</x:v>
      </x:c>
      <x:c r="AR161" s="17" t="n">
        <x:f>IF(AQ161=0,"",IF(ISNUMBER(I161),I161*6%,0)+IF(ISNUMBER(K161),K161*4.5%,0)+IF(ISNUMBER(L161),L161*4.5%,0)+IF(ISNUMBER(Q161),Q161*8.4%,0)+IF(ISNUMBER(R161),R161*5.6%,0)+IF(ISNUMBER(W161),W161*3.6%,0)+IF(ISNUMBER(X161),X161*2.4%,0)+IF(ISNUMBER(AC161),AC161*25%,0)+IF(ISNUMBER(AG161),AG161*18%,0)+IF(ISNUMBER(AH161),AH161*12%,0)+IF(ISNUMBER(AK161),AK161*10%,0))</x:f>
        <x:v>41.27624</x:v>
      </x:c>
      <x:c r="AS161" s="17" t="n">
        <x:f>IF(AQ161=0,"",ROUND(AR161/AQ161,2))</x:f>
        <x:v>41.28</x:v>
      </x:c>
      <x:c r="AT161" s="40" t="n">
        <x:f>IF(OR(G161&lt;&gt;"入池",NOT(ISNUMBER(AS161))),"",COUNTIFS($G$17:$G$219,"入池",$AS$17:$AS$219,"&gt;"&amp;AS161)+COUNTIFS($G$17:$G$219,"入池",$AS$17:$AS$219,AS161,$AQ$17:$AQ$219,"&gt;"&amp;AQ161)+COUNTIFS($G$17:G161,"入池",$AS$17:AS161,AS161,$AQ$17:AQ161,AQ161))</x:f>
        <x:v>171</x:v>
      </x:c>
      <x:c r="AU161" s="41" t="str">
        <x:f t="shared" si="7">IF(NOT(ISNUMBER(I161)),"管理人规模；","")&amp;IF(J161="","产品规模标识；","")&amp;IF(AND(F161&lt;3,NOT(ISNUMBER(O161))),"R_incep；","")&amp;IF(NOT(ISNUMBER(N161)),"近三年收益；","")&amp;IF(NOT(ISNUMBER(U161)),"近三年胜率；","")&amp;IF(AND(ISNUMBER(V161),OR(V161&lt;0,V161&gt;1)),"胜率窗口口径不一致；","")&amp;IF(NOT(ISNUMBER(AA161)),"近三年回撤；","")&amp;IF(NOT(ISNUMBER(AD161)),"短期卡玛；","")&amp;IF(AND(ISNUMBER(P161),NOT(ISNUMBER(AE161))),"DD_long不可识别；","")</x:f>
      </x:c>
      <x:c r="AV161" s="42" t="n">
        <x:v>20</x:v>
      </x:c>
      <x:c r="AW161" s="19" t="str">
        <x:v>上海悬铃私募基金管理有限公司</x:v>
      </x:c>
      <x:c r="AX161" s="19" t="str">
        <x:v>2026-07-13</x:v>
      </x:c>
      <x:c r="AY161" s="19" t="str">
        <x:v>https://gs.amac.org.cn/amac-infodisc/res/pof/manager/1701161209103763.html</x:v>
      </x:c>
      <x:c r="AZ161" s="19" t="str">
        <x:v>悬铃尊享CTA8号私募证券投资基金</x:v>
      </x:c>
      <x:c r="BA161" s="19" t="str">
        <x:v>2026-02-12</x:v>
      </x:c>
      <x:c r="BB161" s="19"/>
      <x:c r="BC161" s="19" t="str">
        <x:v>https://gs.amac.org.cn/amac-infodisc/res/pof/fund/2203171944106372.html</x:v>
      </x:c>
      <x:c r="BD161" s="19" t="str">
        <x:v>已匹配</x:v>
      </x:c>
      <x:c r="BE161"/>
      <x:c r="BF161"/>
    </x:row>
    <x:row r="162" ht="28" customHeight="1">
      <x:c r="A162" s="4" t="n">
        <x:v>146</x:v>
      </x:c>
      <x:c r="B162" s="15" t="str">
        <x:f>'sheet4-原始数据'!A147</x:f>
        <x:v>起源天择稳健1号</x:v>
      </x:c>
      <x:c r="C162" s="15" t="str">
        <x:f>'sheet4-原始数据'!B147</x:f>
        <x:v>SVJ267</x:v>
      </x:c>
      <x:c r="D162" s="15" t="str">
        <x:f>'sheet4-原始数据'!E147</x:f>
        <x:v>海南起源</x:v>
      </x:c>
      <x:c r="E162" s="32" t="n">
        <x:f>IF(ISNUMBER('sheet4-原始数据'!F147),'sheet4-原始数据'!F147,"")</x:f>
        <x:v>44643</x:v>
      </x:c>
      <x:c r="F162" s="17" t="n">
        <x:f>IF(NOT(ISNUMBER(E162)),"",ROUND(('sheet1-指标体系'!$J$23-E162)/365.25,4))</x:f>
        <x:v>4.4846</x:v>
      </x:c>
      <x:c r="G162" s="4" t="str">
        <x:f t="shared" si="6">IF(NOT(ISNUMBER(F162)),"",IF(F162&lt;1,"不入池","入池"))</x:f>
        <x:v>入池</x:v>
      </x:c>
      <x:c r="H162" s="33" t="str">
        <x:v>0-5亿元</x:v>
      </x:c>
      <x:c r="I162" s="17" t="n">
        <x:f>IF(H162="","",IF(ISNUMBER(SEARCH("100亿元以上",H162)),100,IF(OR(ISNUMBER(SEARCH("20-50",H162)),ISNUMBER(SEARCH("50-100",H162)),ISNUMBER(SEARCH("20-100",H162))),90,IF(ISNUMBER(SEARCH("10-20",H162)),80,IF(ISNUMBER(SEARCH("5-10",H162)),70,IF(ISNUMBER(SEARCH("0-5",H162)),60,""))))))</x:f>
        <x:v>60</x:v>
      </x:c>
      <x:c r="J162" s="34" t="str">
        <x:v>无低于1000万元标识</x:v>
      </x:c>
      <x:c r="K162" s="17" t="n">
        <x:f>IF(J162="","",IF(J162="低于1000万元",0,100))</x:f>
        <x:v>100</x:v>
      </x:c>
      <x:c r="L162" s="17" t="n">
        <x:f>IF(NOT(ISNUMBER(F162)),"",IF(F162&lt;1,"",IF(F162&lt;3,70,100)))</x:f>
        <x:v>100</x:v>
      </x:c>
      <x:c r="M162" s="35" t="n">
        <x:f>IF(ISNUMBER('sheet4-原始数据'!G147),'sheet4-原始数据'!G147,"")</x:f>
        <x:v>0.1231</x:v>
      </x:c>
      <x:c r="N162" s="35" t="n">
        <x:f>IF(ISNUMBER('sheet4-原始数据'!H147),'sheet4-原始数据'!H147,"")</x:f>
        <x:v>0.121</x:v>
      </x:c>
      <x:c r="O162" s="36" t="str">
        <x:f>IF(ISNUMBER('sheet4-原始数据'!Q147),'sheet4-原始数据'!Q147,"")</x:f>
      </x:c>
      <x:c r="P162" s="37" t="n">
        <x:f>IF($G162&lt;&gt;"入池","",IF($F162&gt;=3,IF(OR(NOT(ISNUMBER($M162)),NOT(ISNUMBER($N162)),1+$M162&lt;=0,1+$N162&lt;0),"",((1+$N162)^3/(1+$M162))^(1/2)-1),IF(OR($F162&lt;=1,NOT(ISNUMBER($M162)),NOT(ISNUMBER($O162)),1+$M162&lt;=0,1+$O162&lt;0),"",((1+$O162)^$F162/(1+$M162))^(1/($F162-1))-1)))</x:f>
        <x:v>0.11995147294607089</x:v>
      </x:c>
      <x:c r="Q162" s="17" t="n">
        <x:f>IF(OR($G162&lt;&gt;"入池",NOT(ISNUMBER(M162))),"",IF(COUNTIFS($G$17:$G$219,"入池",$M$17:$M$219,"&gt;=-1E+307",$M$17:$M$219,"&lt;=1E+307")&lt;=1,100,ROUND(100*(COUNTIFS($G$17:$G$219,"入池",$M$17:$M$219,"&gt;=-1E+307",$M$17:$M$219,"&lt;"&amp;M162)+COUNTIFS($G$17:$G$219,"入池",$M$17:$M$219,M162,$M$17:$M$219,"&gt;=-1E+307",$M$17:$M$219,"&lt;=1E+307")/2-0.5)/(COUNTIFS($G$17:$G$219,"入池",$M$17:$M$219,"&gt;=-1E+307",$M$17:$M$219,"&lt;=1E+307")-1),2)))</x:f>
        <x:v>86.14</x:v>
      </x:c>
      <x:c r="R162" s="17" t="n">
        <x:f>IF(OR($G162&lt;&gt;"入池",NOT(ISNUMBER(P162))),"",IF(COUNTIFS($G$17:$G$219,"入池",$P$17:$P$219,"&gt;=-1E+307",$P$17:$P$219,"&lt;=1E+307")&lt;=1,100,ROUND(100*(COUNTIFS($G$17:$G$219,"入池",$P$17:$P$219,"&gt;=-1E+307",$P$17:$P$219,"&lt;"&amp;P162)+COUNTIFS($G$17:$G$219,"入池",$P$17:$P$219,P162,$P$17:$P$219,"&gt;=-1E+307",$P$17:$P$219,"&lt;=1E+307")/2-0.5)/(COUNTIFS($G$17:$G$219,"入池",$P$17:$P$219,"&gt;=-1E+307",$P$17:$P$219,"&lt;=1E+307")-1),2)))</x:f>
        <x:v>80.69</x:v>
      </x:c>
      <x:c r="S162" s="17" t="n">
        <x:f>IF(NOT(ISNUMBER(Q162)),"",IF(NOT(ISNUMBER(R162)),Q162,ROUND(Q162*'sheet1-指标体系'!$J$8+R162*'sheet1-指标体系'!$J$9,2)))</x:f>
        <x:v>83.96</x:v>
      </x:c>
      <x:c r="T162" s="35" t="n">
        <x:f>IF(ISNUMBER('sheet4-原始数据'!J147),'sheet4-原始数据'!J147,"")</x:f>
        <x:v>0.7692</x:v>
      </x:c>
      <x:c r="U162" s="35" t="n">
        <x:f>IF(ISNUMBER('sheet4-原始数据'!I147),'sheet4-原始数据'!I147,"")</x:f>
        <x:v>0.7297</x:v>
      </x:c>
      <x:c r="V162" s="37" t="n">
        <x:f>IF(OR(NOT(ISNUMBER(T162)),NOT(ISNUMBER(U162))),"",(U162*'sheet1-指标体系'!$J$6-T162*'sheet1-指标体系'!$J$5)/'sheet1-指标体系'!$J$7)</x:f>
        <x:v>0.7083041666666666</x:v>
      </x:c>
      <x:c r="W162" s="17" t="n">
        <x:f>IF(NOT(ISNUMBER(T162)),"",T162*100)</x:f>
        <x:v>76.92</x:v>
      </x:c>
      <x:c r="X162" s="17" t="n">
        <x:f>IF($G162&lt;&gt;"入池","",IF(AND(ISNUMBER(V162),V162&gt;=0,V162&lt;=1),V162*100,IF(MAX(0,($F162-1)*12)&lt;6,100,"")))</x:f>
        <x:v>70.83041666666666</x:v>
      </x:c>
      <x:c r="Y162" s="17" t="n">
        <x:f>IF(NOT(ISNUMBER(W162)),"",IF(NOT(ISNUMBER(X162)),W162,ROUND(W162*'sheet1-指标体系'!$J$8+X162*'sheet1-指标体系'!$J$9,2)))</x:f>
        <x:v>74.48</x:v>
      </x:c>
      <x:c r="Z162" s="37" t="n">
        <x:f>IF(OR(NOT(ISNUMBER(M162)),NOT(ISNUMBER(AD162)),AD162=0),"",ABS(M162/AD162))</x:f>
        <x:v>0.05286438203212231</x:v>
      </x:c>
      <x:c r="AA162" s="35" t="n">
        <x:f>IF(ISNUMBER('sheet4-原始数据'!K147),'sheet4-原始数据'!K147,"")</x:f>
        <x:v>0.0529</x:v>
      </x:c>
      <x:c r="AB162" s="37" t="n">
        <x:f>IF(COUNT(Z162:AA162)=0,"",MAX(Z162:AA162))</x:f>
        <x:v>0.0529</x:v>
      </x:c>
      <x:c r="AC162" s="17" t="n">
        <x:f>IF(OR($G162&lt;&gt;"入池",NOT(ISNUMBER(AB162))),"",IF(COUNTIFS($G$17:$G$219,"入池",$AB$17:$AB$219,"&gt;=-1E+307",$AB$17:$AB$219,"&lt;=1E+307")&lt;=1,100,ROUND(100*(COUNTIFS($G$17:$G$219,"入池",$AB$17:$AB$219,"&lt;=1E+307",$AB$17:$AB$219,"&gt;"&amp;AB162)+COUNTIFS($G$17:$G$219,"入池",$AB$17:$AB$219,AB162,$AB$17:$AB$219,"&gt;=-1E+307",$AB$17:$AB$219,"&lt;=1E+307")/2-0.5)/(COUNTIFS($G$17:$G$219,"入池",$AB$17:$AB$219,"&gt;=-1E+307",$AB$17:$AB$219,"&lt;=1E+307")-1),2)))</x:f>
        <x:v>44.06</x:v>
      </x:c>
      <x:c r="AD162" s="38" t="n">
        <x:f>IF(ISNUMBER('sheet4-原始数据'!M147),'sheet4-原始数据'!M147,"")</x:f>
        <x:v>2.3286</x:v>
      </x:c>
      <x:c r="AE162" s="37" t="str">
        <x:f>IF(OR(NOT(ISNUMBER(P162)),NOT(ISNUMBER(AA162)),NOT(ISNUMBER(Z162))),"",IF(AA162&gt;Z162+'sheet1-指标体系'!$J$11,AA162,""))</x:f>
      </x:c>
      <x:c r="AF162" s="17" t="str">
        <x:f>IF(OR(NOT(ISNUMBER(P162)),NOT(ISNUMBER(AE162)),AE162=0),"",P162/AE162)</x:f>
      </x:c>
      <x:c r="AG162" s="17" t="n">
        <x:f>IF(OR($G162&lt;&gt;"入池",NOT(ISNUMBER(AD162))),"",IF(COUNTIFS($G$17:$G$219,"入池",$AD$17:$AD$219,"&gt;=-1E+307",$AD$17:$AD$219,"&lt;=1E+307")&lt;=1,100,ROUND(100*(COUNTIFS($G$17:$G$219,"入池",$AD$17:$AD$219,"&gt;=-1E+307",$AD$17:$AD$219,"&lt;"&amp;AD162)+COUNTIFS($G$17:$G$219,"入池",$AD$17:$AD$219,AD162,$AD$17:$AD$219,"&gt;=-1E+307",$AD$17:$AD$219,"&lt;=1E+307")/2-0.5)/(COUNTIFS($G$17:$G$219,"入池",$AD$17:$AD$219,"&gt;=-1E+307",$AD$17:$AD$219,"&lt;=1E+307")-1),2)))</x:f>
        <x:v>48.76</x:v>
      </x:c>
      <x:c r="AH162" s="17" t="str">
        <x:f>IF(OR($G162&lt;&gt;"入池",NOT(ISNUMBER(AF162))),"",IF(COUNTIFS($G$17:$G$219,"入池",$AF$17:$AF$219,"&gt;=-1E+307",$AF$17:$AF$219,"&lt;=1E+307")&lt;=1,100,ROUND(100*(COUNTIFS($G$17:$G$219,"入池",$AF$17:$AF$219,"&gt;=-1E+307",$AF$17:$AF$219,"&lt;"&amp;AF162)+COUNTIFS($G$17:$G$219,"入池",$AF$17:$AF$219,AF162,$AF$17:$AF$219,"&gt;=-1E+307",$AF$17:$AF$219,"&lt;=1E+307")/2-0.5)/(COUNTIFS($G$17:$G$219,"入池",$AF$17:$AF$219,"&gt;=-1E+307",$AF$17:$AF$219,"&lt;=1E+307")-1),2)))</x:f>
      </x:c>
      <x:c r="AI162" s="17" t="n">
        <x:f>IF(NOT(ISNUMBER(AG162)),"",IF(NOT(ISNUMBER(AH162)),AG162,ROUND(AG162*'sheet1-指标体系'!$J$8+AH162*'sheet1-指标体系'!$J$9,2)))</x:f>
        <x:v>48.76</x:v>
      </x:c>
      <x:c r="AJ162" s="37" t="n">
        <x:f>IF(NOT(ISNUMBER(F162)),"",IF(F162&gt;=3,IF(NOT(ISNUMBER(N162)),"",N162),IF(NOT(ISNUMBER(O162)),"",O162)))</x:f>
        <x:v>0.121</x:v>
      </x:c>
      <x:c r="AK162" s="17" t="n">
        <x:f>IF(OR(G162&lt;&gt;"入池",NOT(ISNUMBER(M162)),NOT(ISNUMBER(AJ162))),"",IF(M162&gt;=AJ162,100,IF(AJ162-M162&lt;'sheet1-指标体系'!$J$10,80,60)))</x:f>
        <x:v>100</x:v>
      </x:c>
      <x:c r="AL162" s="17" t="n">
        <x:f>IF(COUNT(I162,K162,L162)=0,"",ROUND((IF(ISNUMBER(I162),I162*40%,0)+IF(ISNUMBER(K162),K162*30%,0)+IF(ISNUMBER(L162),L162*30%,0))/(IF(ISNUMBER(I162),40%,0)+IF(ISNUMBER(K162),30%,0)+IF(ISNUMBER(L162),30%,0)),2))</x:f>
        <x:v>84</x:v>
      </x:c>
      <x:c r="AM162" s="17" t="n">
        <x:f>IF(COUNT(Q162,R162,W162,X162)=0,"",ROUND((IF(ISNUMBER(Q162),Q162*42%,0)+IF(ISNUMBER(R162),R162*28%,0)+IF(ISNUMBER(W162),W162*18%,0)+IF(ISNUMBER(X162),X162*12%,0))/(IF(ISNUMBER(Q162),42%,0)+IF(ISNUMBER(R162),28%,0)+IF(ISNUMBER(W162),18%,0)+IF(ISNUMBER(X162),12%,0)),2))</x:f>
        <x:v>81.12</x:v>
      </x:c>
      <x:c r="AN162" s="17" t="n">
        <x:f>IF(ISNUMBER(AC162),AC162,"")</x:f>
        <x:v>44.06</x:v>
      </x:c>
      <x:c r="AO162" s="17" t="n">
        <x:f>IF(COUNT(AG162,AH162)=0,"",ROUND((IF(ISNUMBER(AG162),AG162*60%,0)+IF(ISNUMBER(AH162),AH162*40%,0))/(IF(ISNUMBER(AG162),60%,0)+IF(ISNUMBER(AH162),40%,0)),2))</x:f>
        <x:v>48.76</x:v>
      </x:c>
      <x:c r="AP162" s="17" t="n">
        <x:f>IF(ISNUMBER(AK162),AK162,"")</x:f>
        <x:v>100</x:v>
      </x:c>
      <x:c r="AQ162" s="39" t="n">
        <x:f>IF(G162&lt;&gt;"入池",0,IF(ISNUMBER(I162),6%,0)+IF(ISNUMBER(K162),4.5%,0)+IF(ISNUMBER(L162),4.5%,0)+IF(ISNUMBER(Q162),8.4%,0)+IF(ISNUMBER(R162),5.6%,0)+IF(ISNUMBER(W162),3.6%,0)+IF(ISNUMBER(X162),2.4%,0)+IF(ISNUMBER(AC162),25%,0)+IF(ISNUMBER(AG162),18%,0)+IF(ISNUMBER(AH162),12%,0)+IF(ISNUMBER(AK162),10%,0))</x:f>
        <x:v>0.88</x:v>
      </x:c>
      <x:c r="AR162" s="17" t="n">
        <x:f>IF(AQ162=0,"",IF(ISNUMBER(I162),I162*6%,0)+IF(ISNUMBER(K162),K162*4.5%,0)+IF(ISNUMBER(L162),L162*4.5%,0)+IF(ISNUMBER(Q162),Q162*8.4%,0)+IF(ISNUMBER(R162),R162*5.6%,0)+IF(ISNUMBER(W162),W162*3.6%,0)+IF(ISNUMBER(X162),X162*2.4%,0)+IF(ISNUMBER(AC162),AC162*25%,0)+IF(ISNUMBER(AG162),AG162*18%,0)+IF(ISNUMBER(AH162),AH162*12%,0)+IF(ISNUMBER(AK162),AK162*10%,0))</x:f>
        <x:v>58.615249999999996</x:v>
      </x:c>
      <x:c r="AS162" s="17" t="n">
        <x:f>IF(AQ162=0,"",ROUND(AR162/AQ162,2))</x:f>
        <x:v>66.61</x:v>
      </x:c>
      <x:c r="AT162" s="40" t="n">
        <x:f>IF(OR(G162&lt;&gt;"入池",NOT(ISNUMBER(AS162))),"",COUNTIFS($G$17:$G$219,"入池",$AS$17:$AS$219,"&gt;"&amp;AS162)+COUNTIFS($G$17:$G$219,"入池",$AS$17:$AS$219,AS162,$AQ$17:$AQ$219,"&gt;"&amp;AQ162)+COUNTIFS($G$17:G162,"入池",$AS$17:AS162,AS162,$AQ$17:AQ162,AQ162))</x:f>
        <x:v>84</x:v>
      </x:c>
      <x:c r="AU162" s="41" t="str">
        <x:f t="shared" si="7">IF(NOT(ISNUMBER(I162)),"管理人规模；","")&amp;IF(J162="","产品规模标识；","")&amp;IF(AND(F162&lt;3,NOT(ISNUMBER(O162))),"R_incep；","")&amp;IF(NOT(ISNUMBER(N162)),"近三年收益；","")&amp;IF(NOT(ISNUMBER(U162)),"近三年胜率；","")&amp;IF(AND(ISNUMBER(V162),OR(V162&lt;0,V162&gt;1)),"胜率窗口口径不一致；","")&amp;IF(NOT(ISNUMBER(AA162)),"近三年回撤；","")&amp;IF(NOT(ISNUMBER(AD162)),"短期卡玛；","")&amp;IF(AND(ISNUMBER(P162),NOT(ISNUMBER(AE162))),"DD_long不可识别；","")</x:f>
        <x:v>DD_long不可识别；</x:v>
      </x:c>
      <x:c r="AV162" s="42" t="n">
        <x:v>0</x:v>
      </x:c>
      <x:c r="AW162" s="19" t="str">
        <x:v>海南起源私募基金管理合伙企业（有限合伙）</x:v>
      </x:c>
      <x:c r="AX162" s="19" t="str">
        <x:v>2025-12-30</x:v>
      </x:c>
      <x:c r="AY162" s="19" t="str">
        <x:v>https://gs.amac.org.cn/amac-infodisc/res/pof/manager/2109301707118145.html</x:v>
      </x:c>
      <x:c r="AZ162" s="19" t="str">
        <x:v>起源天择稳健1号私募证券投资基金</x:v>
      </x:c>
      <x:c r="BA162" s="19" t="str">
        <x:v>2025-06-13</x:v>
      </x:c>
      <x:c r="BB162" s="19"/>
      <x:c r="BC162" s="19" t="str">
        <x:v>https://gs.amac.org.cn/amac-infodisc/res/pof/fund/2203280952108464.html</x:v>
      </x:c>
      <x:c r="BD162" s="19" t="str">
        <x:v>已匹配</x:v>
      </x:c>
      <x:c r="BE162"/>
      <x:c r="BF162"/>
    </x:row>
    <x:row r="163" ht="28" customHeight="1">
      <x:c r="A163" s="4" t="n">
        <x:v>147</x:v>
      </x:c>
      <x:c r="B163" s="15" t="str">
        <x:f>'sheet4-原始数据'!A148</x:f>
        <x:v>东玛多策略稳健1号</x:v>
      </x:c>
      <x:c r="C163" s="15" t="str">
        <x:f>'sheet4-原始数据'!B148</x:f>
        <x:v>SVG441</x:v>
      </x:c>
      <x:c r="D163" s="15" t="str">
        <x:f>'sheet4-原始数据'!E148</x:f>
        <x:v>宁波东玛</x:v>
      </x:c>
      <x:c r="E163" s="32" t="n">
        <x:f>IF(ISNUMBER('sheet4-原始数据'!F148),'sheet4-原始数据'!F148,"")</x:f>
        <x:v>44648</x:v>
      </x:c>
      <x:c r="F163" s="17" t="n">
        <x:f>IF(NOT(ISNUMBER(E163)),"",ROUND(('sheet1-指标体系'!$J$23-E163)/365.25,4))</x:f>
        <x:v>4.4709</x:v>
      </x:c>
      <x:c r="G163" s="4" t="str">
        <x:f t="shared" si="6">IF(NOT(ISNUMBER(F163)),"",IF(F163&lt;1,"不入池","入池"))</x:f>
        <x:v>入池</x:v>
      </x:c>
      <x:c r="H163" s="33" t="str">
        <x:v>5-10亿元</x:v>
      </x:c>
      <x:c r="I163" s="17" t="n">
        <x:f>IF(H163="","",IF(ISNUMBER(SEARCH("100亿元以上",H163)),100,IF(OR(ISNUMBER(SEARCH("20-50",H163)),ISNUMBER(SEARCH("50-100",H163)),ISNUMBER(SEARCH("20-100",H163))),90,IF(ISNUMBER(SEARCH("10-20",H163)),80,IF(ISNUMBER(SEARCH("5-10",H163)),70,IF(ISNUMBER(SEARCH("0-5",H163)),60,""))))))</x:f>
        <x:v>70</x:v>
      </x:c>
      <x:c r="J163" s="34" t="str">
        <x:v>无低于1000万元标识</x:v>
      </x:c>
      <x:c r="K163" s="17" t="n">
        <x:f>IF(J163="","",IF(J163="低于1000万元",0,100))</x:f>
        <x:v>100</x:v>
      </x:c>
      <x:c r="L163" s="17" t="n">
        <x:f>IF(NOT(ISNUMBER(F163)),"",IF(F163&lt;1,"",IF(F163&lt;3,70,100)))</x:f>
        <x:v>100</x:v>
      </x:c>
      <x:c r="M163" s="35" t="n">
        <x:f>IF(ISNUMBER('sheet4-原始数据'!G148),'sheet4-原始数据'!G148,"")</x:f>
        <x:v>-0.1452</x:v>
      </x:c>
      <x:c r="N163" s="35" t="n">
        <x:f>IF(ISNUMBER('sheet4-原始数据'!H148),'sheet4-原始数据'!H148,"")</x:f>
        <x:v>0.019</x:v>
      </x:c>
      <x:c r="O163" s="36" t="str">
        <x:f>IF(ISNUMBER('sheet4-原始数据'!Q148),'sheet4-原始数据'!Q148,"")</x:f>
      </x:c>
      <x:c r="P163" s="37" t="n">
        <x:f>IF($G163&lt;&gt;"入池","",IF($F163&gt;=3,IF(OR(NOT(ISNUMBER($M163)),NOT(ISNUMBER($N163)),1+$M163&lt;=0,1+$N163&lt;0),"",((1+$N163)^3/(1+$M163))^(1/2)-1),IF(OR($F163&lt;=1,NOT(ISNUMBER($M163)),NOT(ISNUMBER($O163)),1+$M163&lt;=0,1+$O163&lt;0),"",((1+$O163)^$F163/(1+$M163))^(1/($F163-1))-1)))</x:f>
        <x:v>0.11257428863445473</x:v>
      </x:c>
      <x:c r="Q163" s="17" t="n">
        <x:f>IF(OR($G163&lt;&gt;"入池",NOT(ISNUMBER(M163))),"",IF(COUNTIFS($G$17:$G$219,"入池",$M$17:$M$219,"&gt;=-1E+307",$M$17:$M$219,"&lt;=1E+307")&lt;=1,100,ROUND(100*(COUNTIFS($G$17:$G$219,"入池",$M$17:$M$219,"&gt;=-1E+307",$M$17:$M$219,"&lt;"&amp;M163)+COUNTIFS($G$17:$G$219,"入池",$M$17:$M$219,M163,$M$17:$M$219,"&gt;=-1E+307",$M$17:$M$219,"&lt;=1E+307")/2-0.5)/(COUNTIFS($G$17:$G$219,"入池",$M$17:$M$219,"&gt;=-1E+307",$M$17:$M$219,"&lt;=1E+307")-1),2)))</x:f>
        <x:v>3.47</x:v>
      </x:c>
      <x:c r="R163" s="17" t="n">
        <x:f>IF(OR($G163&lt;&gt;"入池",NOT(ISNUMBER(P163))),"",IF(COUNTIFS($G$17:$G$219,"入池",$P$17:$P$219,"&gt;=-1E+307",$P$17:$P$219,"&lt;=1E+307")&lt;=1,100,ROUND(100*(COUNTIFS($G$17:$G$219,"入池",$P$17:$P$219,"&gt;=-1E+307",$P$17:$P$219,"&lt;"&amp;P163)+COUNTIFS($G$17:$G$219,"入池",$P$17:$P$219,P163,$P$17:$P$219,"&gt;=-1E+307",$P$17:$P$219,"&lt;=1E+307")/2-0.5)/(COUNTIFS($G$17:$G$219,"入池",$P$17:$P$219,"&gt;=-1E+307",$P$17:$P$219,"&lt;=1E+307")-1),2)))</x:f>
        <x:v>77.72</x:v>
      </x:c>
      <x:c r="S163" s="17" t="n">
        <x:f>IF(NOT(ISNUMBER(Q163)),"",IF(NOT(ISNUMBER(R163)),Q163,ROUND(Q163*'sheet1-指标体系'!$J$8+R163*'sheet1-指标体系'!$J$9,2)))</x:f>
        <x:v>33.17</x:v>
      </x:c>
      <x:c r="T163" s="35" t="n">
        <x:f>IF(ISNUMBER('sheet4-原始数据'!J148),'sheet4-原始数据'!J148,"")</x:f>
        <x:v>0.3077</x:v>
      </x:c>
      <x:c r="U163" s="35" t="n">
        <x:f>IF(ISNUMBER('sheet4-原始数据'!I148),'sheet4-原始数据'!I148,"")</x:f>
        <x:v>0.4595</x:v>
      </x:c>
      <x:c r="V163" s="37" t="n">
        <x:f>IF(OR(NOT(ISNUMBER(T163)),NOT(ISNUMBER(U163))),"",(U163*'sheet1-指标体系'!$J$6-T163*'sheet1-指标体系'!$J$5)/'sheet1-指标体系'!$J$7)</x:f>
        <x:v>0.541725</x:v>
      </x:c>
      <x:c r="W163" s="17" t="n">
        <x:f>IF(NOT(ISNUMBER(T163)),"",T163*100)</x:f>
        <x:v>30.769999999999996</x:v>
      </x:c>
      <x:c r="X163" s="17" t="n">
        <x:f>IF($G163&lt;&gt;"入池","",IF(AND(ISNUMBER(V163),V163&gt;=0,V163&lt;=1),V163*100,IF(MAX(0,($F163-1)*12)&lt;6,100,"")))</x:f>
        <x:v>54.1725</x:v>
      </x:c>
      <x:c r="Y163" s="17" t="n">
        <x:f>IF(NOT(ISNUMBER(W163)),"",IF(NOT(ISNUMBER(X163)),W163,ROUND(W163*'sheet1-指标体系'!$J$8+X163*'sheet1-指标体系'!$J$9,2)))</x:f>
        <x:v>40.13</x:v>
      </x:c>
      <x:c r="Z163" s="37" t="n">
        <x:f>IF(OR(NOT(ISNUMBER(M163)),NOT(ISNUMBER(AD163)),AD163=0),"",ABS(M163/AD163))</x:f>
        <x:v>0.1741215973138266</x:v>
      </x:c>
      <x:c r="AA163" s="35" t="n">
        <x:f>IF(ISNUMBER('sheet4-原始数据'!K148),'sheet4-原始数据'!K148,"")</x:f>
        <x:v>0.1741</x:v>
      </x:c>
      <x:c r="AB163" s="37" t="n">
        <x:f>IF(COUNT(Z163:AA163)=0,"",MAX(Z163:AA163))</x:f>
        <x:v>0.1741215973138266</x:v>
      </x:c>
      <x:c r="AC163" s="17" t="n">
        <x:f>IF(OR($G163&lt;&gt;"入池",NOT(ISNUMBER(AB163))),"",IF(COUNTIFS($G$17:$G$219,"入池",$AB$17:$AB$219,"&gt;=-1E+307",$AB$17:$AB$219,"&lt;=1E+307")&lt;=1,100,ROUND(100*(COUNTIFS($G$17:$G$219,"入池",$AB$17:$AB$219,"&lt;=1E+307",$AB$17:$AB$219,"&gt;"&amp;AB163)+COUNTIFS($G$17:$G$219,"入池",$AB$17:$AB$219,AB163,$AB$17:$AB$219,"&gt;=-1E+307",$AB$17:$AB$219,"&lt;=1E+307")/2-0.5)/(COUNTIFS($G$17:$G$219,"入池",$AB$17:$AB$219,"&gt;=-1E+307",$AB$17:$AB$219,"&lt;=1E+307")-1),2)))</x:f>
        <x:v>11.39</x:v>
      </x:c>
      <x:c r="AD163" s="38" t="n">
        <x:f>IF(ISNUMBER('sheet4-原始数据'!M148),'sheet4-原始数据'!M148,"")</x:f>
        <x:v>-0.8339</x:v>
      </x:c>
      <x:c r="AE163" s="37" t="str">
        <x:f>IF(OR(NOT(ISNUMBER(P163)),NOT(ISNUMBER(AA163)),NOT(ISNUMBER(Z163))),"",IF(AA163&gt;Z163+'sheet1-指标体系'!$J$11,AA163,""))</x:f>
      </x:c>
      <x:c r="AF163" s="17" t="str">
        <x:f>IF(OR(NOT(ISNUMBER(P163)),NOT(ISNUMBER(AE163)),AE163=0),"",P163/AE163)</x:f>
      </x:c>
      <x:c r="AG163" s="17" t="n">
        <x:f>IF(OR($G163&lt;&gt;"入池",NOT(ISNUMBER(AD163))),"",IF(COUNTIFS($G$17:$G$219,"入池",$AD$17:$AD$219,"&gt;=-1E+307",$AD$17:$AD$219,"&lt;=1E+307")&lt;=1,100,ROUND(100*(COUNTIFS($G$17:$G$219,"入池",$AD$17:$AD$219,"&gt;=-1E+307",$AD$17:$AD$219,"&lt;"&amp;AD163)+COUNTIFS($G$17:$G$219,"入池",$AD$17:$AD$219,AD163,$AD$17:$AD$219,"&gt;=-1E+307",$AD$17:$AD$219,"&lt;=1E+307")/2-0.5)/(COUNTIFS($G$17:$G$219,"入池",$AD$17:$AD$219,"&gt;=-1E+307",$AD$17:$AD$219,"&lt;=1E+307")-1),2)))</x:f>
        <x:v>2.49</x:v>
      </x:c>
      <x:c r="AH163" s="17" t="str">
        <x:f>IF(OR($G163&lt;&gt;"入池",NOT(ISNUMBER(AF163))),"",IF(COUNTIFS($G$17:$G$219,"入池",$AF$17:$AF$219,"&gt;=-1E+307",$AF$17:$AF$219,"&lt;=1E+307")&lt;=1,100,ROUND(100*(COUNTIFS($G$17:$G$219,"入池",$AF$17:$AF$219,"&gt;=-1E+307",$AF$17:$AF$219,"&lt;"&amp;AF163)+COUNTIFS($G$17:$G$219,"入池",$AF$17:$AF$219,AF163,$AF$17:$AF$219,"&gt;=-1E+307",$AF$17:$AF$219,"&lt;=1E+307")/2-0.5)/(COUNTIFS($G$17:$G$219,"入池",$AF$17:$AF$219,"&gt;=-1E+307",$AF$17:$AF$219,"&lt;=1E+307")-1),2)))</x:f>
      </x:c>
      <x:c r="AI163" s="17" t="n">
        <x:f>IF(NOT(ISNUMBER(AG163)),"",IF(NOT(ISNUMBER(AH163)),AG163,ROUND(AG163*'sheet1-指标体系'!$J$8+AH163*'sheet1-指标体系'!$J$9,2)))</x:f>
        <x:v>2.49</x:v>
      </x:c>
      <x:c r="AJ163" s="37" t="n">
        <x:f>IF(NOT(ISNUMBER(F163)),"",IF(F163&gt;=3,IF(NOT(ISNUMBER(N163)),"",N163),IF(NOT(ISNUMBER(O163)),"",O163)))</x:f>
        <x:v>0.019</x:v>
      </x:c>
      <x:c r="AK163" s="17" t="n">
        <x:f>IF(OR(G163&lt;&gt;"入池",NOT(ISNUMBER(M163)),NOT(ISNUMBER(AJ163))),"",IF(M163&gt;=AJ163,100,IF(AJ163-M163&lt;'sheet1-指标体系'!$J$10,80,60)))</x:f>
        <x:v>80</x:v>
      </x:c>
      <x:c r="AL163" s="17" t="n">
        <x:f>IF(COUNT(I163,K163,L163)=0,"",ROUND((IF(ISNUMBER(I163),I163*40%,0)+IF(ISNUMBER(K163),K163*30%,0)+IF(ISNUMBER(L163),L163*30%,0))/(IF(ISNUMBER(I163),40%,0)+IF(ISNUMBER(K163),30%,0)+IF(ISNUMBER(L163),30%,0)),2))</x:f>
        <x:v>88</x:v>
      </x:c>
      <x:c r="AM163" s="17" t="n">
        <x:f>IF(COUNT(Q163,R163,W163,X163)=0,"",ROUND((IF(ISNUMBER(Q163),Q163*42%,0)+IF(ISNUMBER(R163),R163*28%,0)+IF(ISNUMBER(W163),W163*18%,0)+IF(ISNUMBER(X163),X163*12%,0))/(IF(ISNUMBER(Q163),42%,0)+IF(ISNUMBER(R163),28%,0)+IF(ISNUMBER(W163),18%,0)+IF(ISNUMBER(X163),12%,0)),2))</x:f>
        <x:v>35.26</x:v>
      </x:c>
      <x:c r="AN163" s="17" t="n">
        <x:f>IF(ISNUMBER(AC163),AC163,"")</x:f>
        <x:v>11.39</x:v>
      </x:c>
      <x:c r="AO163" s="17" t="n">
        <x:f>IF(COUNT(AG163,AH163)=0,"",ROUND((IF(ISNUMBER(AG163),AG163*60%,0)+IF(ISNUMBER(AH163),AH163*40%,0))/(IF(ISNUMBER(AG163),60%,0)+IF(ISNUMBER(AH163),40%,0)),2))</x:f>
        <x:v>2.49</x:v>
      </x:c>
      <x:c r="AP163" s="17" t="n">
        <x:f>IF(ISNUMBER(AK163),AK163,"")</x:f>
        <x:v>80</x:v>
      </x:c>
      <x:c r="AQ163" s="39" t="n">
        <x:f>IF(G163&lt;&gt;"入池",0,IF(ISNUMBER(I163),6%,0)+IF(ISNUMBER(K163),4.5%,0)+IF(ISNUMBER(L163),4.5%,0)+IF(ISNUMBER(Q163),8.4%,0)+IF(ISNUMBER(R163),5.6%,0)+IF(ISNUMBER(W163),3.6%,0)+IF(ISNUMBER(X163),2.4%,0)+IF(ISNUMBER(AC163),25%,0)+IF(ISNUMBER(AG163),18%,0)+IF(ISNUMBER(AH163),12%,0)+IF(ISNUMBER(AK163),10%,0))</x:f>
        <x:v>0.88</x:v>
      </x:c>
      <x:c r="AR163" s="17" t="n">
        <x:f>IF(AQ163=0,"",IF(ISNUMBER(I163),I163*6%,0)+IF(ISNUMBER(K163),K163*4.5%,0)+IF(ISNUMBER(L163),L163*4.5%,0)+IF(ISNUMBER(Q163),Q163*8.4%,0)+IF(ISNUMBER(R163),R163*5.6%,0)+IF(ISNUMBER(W163),W163*3.6%,0)+IF(ISNUMBER(X163),X163*2.4%,0)+IF(ISNUMBER(AC163),AC163*25%,0)+IF(ISNUMBER(AG163),AG163*18%,0)+IF(ISNUMBER(AH163),AH163*12%,0)+IF(ISNUMBER(AK163),AK163*10%,0))</x:f>
        <x:v>31.547359999999998</x:v>
      </x:c>
      <x:c r="AS163" s="17" t="n">
        <x:f>IF(AQ163=0,"",ROUND(AR163/AQ163,2))</x:f>
        <x:v>35.85</x:v>
      </x:c>
      <x:c r="AT163" s="40" t="n">
        <x:f>IF(OR(G163&lt;&gt;"入池",NOT(ISNUMBER(AS163))),"",COUNTIFS($G$17:$G$219,"入池",$AS$17:$AS$219,"&gt;"&amp;AS163)+COUNTIFS($G$17:$G$219,"入池",$AS$17:$AS$219,AS163,$AQ$17:$AQ$219,"&gt;"&amp;AQ163)+COUNTIFS($G$17:G163,"入池",$AS$17:AS163,AS163,$AQ$17:AQ163,AQ163))</x:f>
        <x:v>181</x:v>
      </x:c>
      <x:c r="AU163" s="41" t="str">
        <x:f t="shared" si="7">IF(NOT(ISNUMBER(I163)),"管理人规模；","")&amp;IF(J163="","产品规模标识；","")&amp;IF(AND(F163&lt;3,NOT(ISNUMBER(O163))),"R_incep；","")&amp;IF(NOT(ISNUMBER(N163)),"近三年收益；","")&amp;IF(NOT(ISNUMBER(U163)),"近三年胜率；","")&amp;IF(AND(ISNUMBER(V163),OR(V163&lt;0,V163&gt;1)),"胜率窗口口径不一致；","")&amp;IF(NOT(ISNUMBER(AA163)),"近三年回撤；","")&amp;IF(NOT(ISNUMBER(AD163)),"短期卡玛；","")&amp;IF(AND(ISNUMBER(P163),NOT(ISNUMBER(AE163))),"DD_long不可识别；","")</x:f>
        <x:v>DD_long不可识别；</x:v>
      </x:c>
      <x:c r="AV163" s="42" t="n">
        <x:v>5</x:v>
      </x:c>
      <x:c r="AW163" s="19" t="str">
        <x:v>宁波东玛私募基金管理有限公司</x:v>
      </x:c>
      <x:c r="AX163" s="19" t="str">
        <x:v>2026-07-07</x:v>
      </x:c>
      <x:c r="AY163" s="19" t="str">
        <x:v>https://gs.amac.org.cn/amac-infodisc/res/pof/manager/2110261036100964.html</x:v>
      </x:c>
      <x:c r="AZ163" s="19" t="str">
        <x:v>东玛多策略稳健1号私募证券投资基金</x:v>
      </x:c>
      <x:c r="BA163" s="19" t="str">
        <x:v>2024-12-02</x:v>
      </x:c>
      <x:c r="BB163" s="19"/>
      <x:c r="BC163" s="19" t="str">
        <x:v>https://gs.amac.org.cn/amac-infodisc/res/pof/fund/2204081717101635.html</x:v>
      </x:c>
      <x:c r="BD163" s="19" t="str">
        <x:v>已匹配</x:v>
      </x:c>
      <x:c r="BE163"/>
      <x:c r="BF163"/>
    </x:row>
    <x:row r="164" ht="28" customHeight="1">
      <x:c r="A164" s="4" t="n">
        <x:v>148</x:v>
      </x:c>
      <x:c r="B164" s="15" t="str">
        <x:f>'sheet4-原始数据'!A149</x:f>
        <x:v>以利安得利混合1号</x:v>
      </x:c>
      <x:c r="C164" s="15" t="str">
        <x:f>'sheet4-原始数据'!B149</x:f>
        <x:v>SVJ912</x:v>
      </x:c>
      <x:c r="D164" s="15" t="str">
        <x:f>'sheet4-原始数据'!E149</x:f>
        <x:v>河南以利</x:v>
      </x:c>
      <x:c r="E164" s="32" t="n">
        <x:f>IF(ISNUMBER('sheet4-原始数据'!F149),'sheet4-原始数据'!F149,"")</x:f>
        <x:v>44664</x:v>
      </x:c>
      <x:c r="F164" s="17" t="n">
        <x:f>IF(NOT(ISNUMBER(E164)),"",ROUND(('sheet1-指标体系'!$J$23-E164)/365.25,4))</x:f>
        <x:v>4.4271</x:v>
      </x:c>
      <x:c r="G164" s="4" t="str">
        <x:f t="shared" si="6">IF(NOT(ISNUMBER(F164)),"",IF(F164&lt;1,"不入池","入池"))</x:f>
        <x:v>入池</x:v>
      </x:c>
      <x:c r="H164" s="33" t="str">
        <x:v>0-5亿元</x:v>
      </x:c>
      <x:c r="I164" s="17" t="n">
        <x:f>IF(H164="","",IF(ISNUMBER(SEARCH("100亿元以上",H164)),100,IF(OR(ISNUMBER(SEARCH("20-50",H164)),ISNUMBER(SEARCH("50-100",H164)),ISNUMBER(SEARCH("20-100",H164))),90,IF(ISNUMBER(SEARCH("10-20",H164)),80,IF(ISNUMBER(SEARCH("5-10",H164)),70,IF(ISNUMBER(SEARCH("0-5",H164)),60,""))))))</x:f>
        <x:v>60</x:v>
      </x:c>
      <x:c r="J164" s="34" t="str">
        <x:v>无低于1000万元标识</x:v>
      </x:c>
      <x:c r="K164" s="17" t="n">
        <x:f>IF(J164="","",IF(J164="低于1000万元",0,100))</x:f>
        <x:v>100</x:v>
      </x:c>
      <x:c r="L164" s="17" t="n">
        <x:f>IF(NOT(ISNUMBER(F164)),"",IF(F164&lt;1,"",IF(F164&lt;3,70,100)))</x:f>
        <x:v>100</x:v>
      </x:c>
      <x:c r="M164" s="35" t="n">
        <x:f>IF(ISNUMBER('sheet4-原始数据'!G149),'sheet4-原始数据'!G149,"")</x:f>
        <x:v>0.0393</x:v>
      </x:c>
      <x:c r="N164" s="35" t="n">
        <x:f>IF(ISNUMBER('sheet4-原始数据'!H149),'sheet4-原始数据'!H149,"")</x:f>
        <x:v>0.0867</x:v>
      </x:c>
      <x:c r="O164" s="36" t="str">
        <x:f>IF(ISNUMBER('sheet4-原始数据'!Q149),'sheet4-原始数据'!Q149,"")</x:f>
      </x:c>
      <x:c r="P164" s="37" t="n">
        <x:f>IF($G164&lt;&gt;"入池","",IF($F164&gt;=3,IF(OR(NOT(ISNUMBER($M164)),NOT(ISNUMBER($N164)),1+$M164&lt;=0,1+$N164&lt;0),"",((1+$N164)^3/(1+$M164))^(1/2)-1),IF(OR($F164&lt;=1,NOT(ISNUMBER($M164)),NOT(ISNUMBER($O164)),1+$M164&lt;=0,1+$O164&lt;0),"",((1+$O164)^$F164/(1+$M164))^(1/($F164-1))-1)))</x:f>
        <x:v>0.11120461634096257</x:v>
      </x:c>
      <x:c r="Q164" s="17" t="n">
        <x:f>IF(OR($G164&lt;&gt;"入池",NOT(ISNUMBER(M164))),"",IF(COUNTIFS($G$17:$G$219,"入池",$M$17:$M$219,"&gt;=-1E+307",$M$17:$M$219,"&lt;=1E+307")&lt;=1,100,ROUND(100*(COUNTIFS($G$17:$G$219,"入池",$M$17:$M$219,"&gt;=-1E+307",$M$17:$M$219,"&lt;"&amp;M164)+COUNTIFS($G$17:$G$219,"入池",$M$17:$M$219,M164,$M$17:$M$219,"&gt;=-1E+307",$M$17:$M$219,"&lt;=1E+307")/2-0.5)/(COUNTIFS($G$17:$G$219,"入池",$M$17:$M$219,"&gt;=-1E+307",$M$17:$M$219,"&lt;=1E+307")-1),2)))</x:f>
        <x:v>40.1</x:v>
      </x:c>
      <x:c r="R164" s="17" t="n">
        <x:f>IF(OR($G164&lt;&gt;"入池",NOT(ISNUMBER(P164))),"",IF(COUNTIFS($G$17:$G$219,"入池",$P$17:$P$219,"&gt;=-1E+307",$P$17:$P$219,"&lt;=1E+307")&lt;=1,100,ROUND(100*(COUNTIFS($G$17:$G$219,"入池",$P$17:$P$219,"&gt;=-1E+307",$P$17:$P$219,"&lt;"&amp;P164)+COUNTIFS($G$17:$G$219,"入池",$P$17:$P$219,P164,$P$17:$P$219,"&gt;=-1E+307",$P$17:$P$219,"&lt;=1E+307")/2-0.5)/(COUNTIFS($G$17:$G$219,"入池",$P$17:$P$219,"&gt;=-1E+307",$P$17:$P$219,"&lt;=1E+307")-1),2)))</x:f>
        <x:v>76.73</x:v>
      </x:c>
      <x:c r="S164" s="17" t="n">
        <x:f>IF(NOT(ISNUMBER(Q164)),"",IF(NOT(ISNUMBER(R164)),Q164,ROUND(Q164*'sheet1-指标体系'!$J$8+R164*'sheet1-指标体系'!$J$9,2)))</x:f>
        <x:v>54.75</x:v>
      </x:c>
      <x:c r="T164" s="35" t="n">
        <x:f>IF(ISNUMBER('sheet4-原始数据'!J149),'sheet4-原始数据'!J149,"")</x:f>
        <x:v>0.8462000000000001</x:v>
      </x:c>
      <x:c r="U164" s="35" t="n">
        <x:f>IF(ISNUMBER('sheet4-原始数据'!I149),'sheet4-原始数据'!I149,"")</x:f>
        <x:v>0.9189</x:v>
      </x:c>
      <x:c r="V164" s="37" t="n">
        <x:f>IF(OR(NOT(ISNUMBER(T164)),NOT(ISNUMBER(U164))),"",(U164*'sheet1-指标体系'!$J$6-T164*'sheet1-指标体系'!$J$5)/'sheet1-指标体系'!$J$7)</x:f>
        <x:v>0.9582791666666669</x:v>
      </x:c>
      <x:c r="W164" s="17" t="n">
        <x:f>IF(NOT(ISNUMBER(T164)),"",T164*100)</x:f>
        <x:v>84.62</x:v>
      </x:c>
      <x:c r="X164" s="17" t="n">
        <x:f>IF($G164&lt;&gt;"入池","",IF(AND(ISNUMBER(V164),V164&gt;=0,V164&lt;=1),V164*100,IF(MAX(0,($F164-1)*12)&lt;6,100,"")))</x:f>
        <x:v>95.8279166666667</x:v>
      </x:c>
      <x:c r="Y164" s="17" t="n">
        <x:f>IF(NOT(ISNUMBER(W164)),"",IF(NOT(ISNUMBER(X164)),W164,ROUND(W164*'sheet1-指标体系'!$J$8+X164*'sheet1-指标体系'!$J$9,2)))</x:f>
        <x:v>89.1</x:v>
      </x:c>
      <x:c r="Z164" s="37" t="n">
        <x:f>IF(OR(NOT(ISNUMBER(M164)),NOT(ISNUMBER(AD164)),AD164=0),"",ABS(M164/AD164))</x:f>
        <x:v>0.0011679847359552064</x:v>
      </x:c>
      <x:c r="AA164" s="35" t="n">
        <x:f>IF(ISNUMBER('sheet4-原始数据'!K149),'sheet4-原始数据'!K149,"")</x:f>
        <x:v>0.0070999999999999995</x:v>
      </x:c>
      <x:c r="AB164" s="37" t="n">
        <x:f>IF(COUNT(Z164:AA164)=0,"",MAX(Z164:AA164))</x:f>
        <x:v>0.0070999999999999995</x:v>
      </x:c>
      <x:c r="AC164" s="17" t="n">
        <x:f>IF(OR($G164&lt;&gt;"入池",NOT(ISNUMBER(AB164))),"",IF(COUNTIFS($G$17:$G$219,"入池",$AB$17:$AB$219,"&gt;=-1E+307",$AB$17:$AB$219,"&lt;=1E+307")&lt;=1,100,ROUND(100*(COUNTIFS($G$17:$G$219,"入池",$AB$17:$AB$219,"&lt;=1E+307",$AB$17:$AB$219,"&gt;"&amp;AB164)+COUNTIFS($G$17:$G$219,"入池",$AB$17:$AB$219,AB164,$AB$17:$AB$219,"&gt;=-1E+307",$AB$17:$AB$219,"&lt;=1E+307")/2-0.5)/(COUNTIFS($G$17:$G$219,"入池",$AB$17:$AB$219,"&gt;=-1E+307",$AB$17:$AB$219,"&lt;=1E+307")-1),2)))</x:f>
        <x:v>92.08</x:v>
      </x:c>
      <x:c r="AD164" s="38" t="n">
        <x:f>IF(ISNUMBER('sheet4-原始数据'!M149),'sheet4-原始数据'!M149,"")</x:f>
        <x:v>33.6477</x:v>
      </x:c>
      <x:c r="AE164" s="37" t="n">
        <x:f>IF(OR(NOT(ISNUMBER(P164)),NOT(ISNUMBER(AA164)),NOT(ISNUMBER(Z164))),"",IF(AA164&gt;Z164+'sheet1-指标体系'!$J$11,AA164,""))</x:f>
        <x:v>0.0070999999999999995</x:v>
      </x:c>
      <x:c r="AF164" s="17" t="n">
        <x:f>IF(OR(NOT(ISNUMBER(P164)),NOT(ISNUMBER(AE164)),AE164=0),"",P164/AE164)</x:f>
        <x:v>15.662622019853885</x:v>
      </x:c>
      <x:c r="AG164" s="17" t="n">
        <x:f>IF(OR($G164&lt;&gt;"入池",NOT(ISNUMBER(AD164))),"",IF(COUNTIFS($G$17:$G$219,"入池",$AD$17:$AD$219,"&gt;=-1E+307",$AD$17:$AD$219,"&lt;=1E+307")&lt;=1,100,ROUND(100*(COUNTIFS($G$17:$G$219,"入池",$AD$17:$AD$219,"&gt;=-1E+307",$AD$17:$AD$219,"&lt;"&amp;AD164)+COUNTIFS($G$17:$G$219,"入池",$AD$17:$AD$219,AD164,$AD$17:$AD$219,"&gt;=-1E+307",$AD$17:$AD$219,"&lt;=1E+307")/2-0.5)/(COUNTIFS($G$17:$G$219,"入池",$AD$17:$AD$219,"&gt;=-1E+307",$AD$17:$AD$219,"&lt;=1E+307")-1),2)))</x:f>
        <x:v>94.03</x:v>
      </x:c>
      <x:c r="AH164" s="17" t="n">
        <x:f>IF(OR($G164&lt;&gt;"入池",NOT(ISNUMBER(AF164))),"",IF(COUNTIFS($G$17:$G$219,"入池",$AF$17:$AF$219,"&gt;=-1E+307",$AF$17:$AF$219,"&lt;=1E+307")&lt;=1,100,ROUND(100*(COUNTIFS($G$17:$G$219,"入池",$AF$17:$AF$219,"&gt;=-1E+307",$AF$17:$AF$219,"&lt;"&amp;AF164)+COUNTIFS($G$17:$G$219,"入池",$AF$17:$AF$219,AF164,$AF$17:$AF$219,"&gt;=-1E+307",$AF$17:$AF$219,"&lt;=1E+307")/2-0.5)/(COUNTIFS($G$17:$G$219,"入池",$AF$17:$AF$219,"&gt;=-1E+307",$AF$17:$AF$219,"&lt;=1E+307")-1),2)))</x:f>
        <x:v>94.89</x:v>
      </x:c>
      <x:c r="AI164" s="17" t="n">
        <x:f>IF(NOT(ISNUMBER(AG164)),"",IF(NOT(ISNUMBER(AH164)),AG164,ROUND(AG164*'sheet1-指标体系'!$J$8+AH164*'sheet1-指标体系'!$J$9,2)))</x:f>
        <x:v>94.37</x:v>
      </x:c>
      <x:c r="AJ164" s="37" t="n">
        <x:f>IF(NOT(ISNUMBER(F164)),"",IF(F164&gt;=3,IF(NOT(ISNUMBER(N164)),"",N164),IF(NOT(ISNUMBER(O164)),"",O164)))</x:f>
        <x:v>0.0867</x:v>
      </x:c>
      <x:c r="AK164" s="17" t="n">
        <x:f>IF(OR(G164&lt;&gt;"入池",NOT(ISNUMBER(M164)),NOT(ISNUMBER(AJ164))),"",IF(M164&gt;=AJ164,100,IF(AJ164-M164&lt;'sheet1-指标体系'!$J$10,80,60)))</x:f>
        <x:v>80</x:v>
      </x:c>
      <x:c r="AL164" s="17" t="n">
        <x:f>IF(COUNT(I164,K164,L164)=0,"",ROUND((IF(ISNUMBER(I164),I164*40%,0)+IF(ISNUMBER(K164),K164*30%,0)+IF(ISNUMBER(L164),L164*30%,0))/(IF(ISNUMBER(I164),40%,0)+IF(ISNUMBER(K164),30%,0)+IF(ISNUMBER(L164),30%,0)),2))</x:f>
        <x:v>84</x:v>
      </x:c>
      <x:c r="AM164" s="17" t="n">
        <x:f>IF(COUNT(Q164,R164,W164,X164)=0,"",ROUND((IF(ISNUMBER(Q164),Q164*42%,0)+IF(ISNUMBER(R164),R164*28%,0)+IF(ISNUMBER(W164),W164*18%,0)+IF(ISNUMBER(X164),X164*12%,0))/(IF(ISNUMBER(Q164),42%,0)+IF(ISNUMBER(R164),28%,0)+IF(ISNUMBER(W164),18%,0)+IF(ISNUMBER(X164),12%,0)),2))</x:f>
        <x:v>65.06</x:v>
      </x:c>
      <x:c r="AN164" s="17" t="n">
        <x:f>IF(ISNUMBER(AC164),AC164,"")</x:f>
        <x:v>92.08</x:v>
      </x:c>
      <x:c r="AO164" s="17" t="n">
        <x:f>IF(COUNT(AG164,AH164)=0,"",ROUND((IF(ISNUMBER(AG164),AG164*60%,0)+IF(ISNUMBER(AH164),AH164*40%,0))/(IF(ISNUMBER(AG164),60%,0)+IF(ISNUMBER(AH164),40%,0)),2))</x:f>
        <x:v>94.37</x:v>
      </x:c>
      <x:c r="AP164" s="17" t="n">
        <x:f>IF(ISNUMBER(AK164),AK164,"")</x:f>
        <x:v>80</x:v>
      </x:c>
      <x:c r="AQ164" s="39" t="n">
        <x:f>IF(G164&lt;&gt;"入池",0,IF(ISNUMBER(I164),6%,0)+IF(ISNUMBER(K164),4.5%,0)+IF(ISNUMBER(L164),4.5%,0)+IF(ISNUMBER(Q164),8.4%,0)+IF(ISNUMBER(R164),5.6%,0)+IF(ISNUMBER(W164),3.6%,0)+IF(ISNUMBER(X164),2.4%,0)+IF(ISNUMBER(AC164),25%,0)+IF(ISNUMBER(AG164),18%,0)+IF(ISNUMBER(AH164),12%,0)+IF(ISNUMBER(AK164),10%,0))</x:f>
        <x:v>1</x:v>
      </x:c>
      <x:c r="AR164" s="17" t="n">
        <x:f>IF(AQ164=0,"",IF(ISNUMBER(I164),I164*6%,0)+IF(ISNUMBER(K164),K164*4.5%,0)+IF(ISNUMBER(L164),L164*4.5%,0)+IF(ISNUMBER(Q164),Q164*8.4%,0)+IF(ISNUMBER(R164),R164*5.6%,0)+IF(ISNUMBER(W164),W164*3.6%,0)+IF(ISNUMBER(X164),X164*2.4%,0)+IF(ISNUMBER(AC164),AC164*25%,0)+IF(ISNUMBER(AG164),AG164*18%,0)+IF(ISNUMBER(AH164),AH164*12%,0)+IF(ISNUMBER(AK164),AK164*10%,0))</x:f>
        <x:v>84.94367</x:v>
      </x:c>
      <x:c r="AS164" s="17" t="n">
        <x:f>IF(AQ164=0,"",ROUND(AR164/AQ164,2))</x:f>
        <x:v>84.94</x:v>
      </x:c>
      <x:c r="AT164" s="40" t="n">
        <x:f>IF(OR(G164&lt;&gt;"入池",NOT(ISNUMBER(AS164))),"",COUNTIFS($G$17:$G$219,"入池",$AS$17:$AS$219,"&gt;"&amp;AS164)+COUNTIFS($G$17:$G$219,"入池",$AS$17:$AS$219,AS164,$AQ$17:$AQ$219,"&gt;"&amp;AQ164)+COUNTIFS($G$17:G164,"入池",$AS$17:AS164,AS164,$AQ$17:AQ164,AQ164))</x:f>
        <x:v>20</x:v>
      </x:c>
      <x:c r="AU164" s="41" t="str">
        <x:f t="shared" si="7">IF(NOT(ISNUMBER(I164)),"管理人规模；","")&amp;IF(J164="","产品规模标识；","")&amp;IF(AND(F164&lt;3,NOT(ISNUMBER(O164))),"R_incep；","")&amp;IF(NOT(ISNUMBER(N164)),"近三年收益；","")&amp;IF(NOT(ISNUMBER(U164)),"近三年胜率；","")&amp;IF(AND(ISNUMBER(V164),OR(V164&lt;0,V164&gt;1)),"胜率窗口口径不一致；","")&amp;IF(NOT(ISNUMBER(AA164)),"近三年回撤；","")&amp;IF(NOT(ISNUMBER(AD164)),"短期卡玛；","")&amp;IF(AND(ISNUMBER(P164),NOT(ISNUMBER(AE164))),"DD_long不可识别；","")</x:f>
      </x:c>
      <x:c r="AV164" s="42" t="n">
        <x:v>0</x:v>
      </x:c>
      <x:c r="AW164" s="19" t="str">
        <x:v>河南以利私募基金管理有限公司</x:v>
      </x:c>
      <x:c r="AX164" s="19" t="str">
        <x:v>2026-08-21</x:v>
      </x:c>
      <x:c r="AY164" s="19" t="str">
        <x:v>https://gs.amac.org.cn/amac-infodisc/res/pof/manager/101000009955.html</x:v>
      </x:c>
      <x:c r="AZ164" s="19" t="str">
        <x:v>以利安得利混合1号私募证券投资基金</x:v>
      </x:c>
      <x:c r="BA164" s="19" t="str">
        <x:v>2026-07-22</x:v>
      </x:c>
      <x:c r="BB164" s="19"/>
      <x:c r="BC164" s="19" t="str">
        <x:v>https://gs.amac.org.cn/amac-infodisc/res/pof/fund/2204180932106462.html</x:v>
      </x:c>
      <x:c r="BD164" s="19" t="str">
        <x:v>已匹配</x:v>
      </x:c>
      <x:c r="BE164"/>
      <x:c r="BF164"/>
    </x:row>
    <x:row r="165" ht="28" customHeight="1">
      <x:c r="A165" s="4" t="n">
        <x:v>149</x:v>
      </x:c>
      <x:c r="B165" s="15" t="str">
        <x:f>'sheet4-原始数据'!A150</x:f>
        <x:v>放牛人5号</x:v>
      </x:c>
      <x:c r="C165" s="15" t="str">
        <x:f>'sheet4-原始数据'!B150</x:f>
        <x:v>SVH487</x:v>
      </x:c>
      <x:c r="D165" s="15" t="str">
        <x:f>'sheet4-原始数据'!E150</x:f>
        <x:v>上海放牛人</x:v>
      </x:c>
      <x:c r="E165" s="32" t="n">
        <x:f>IF(ISNUMBER('sheet4-原始数据'!F150),'sheet4-原始数据'!F150,"")</x:f>
        <x:v>44729</x:v>
      </x:c>
      <x:c r="F165" s="17" t="n">
        <x:f>IF(NOT(ISNUMBER(E165)),"",ROUND(('sheet1-指标体系'!$J$23-E165)/365.25,4))</x:f>
        <x:v>4.2491</x:v>
      </x:c>
      <x:c r="G165" s="4" t="str">
        <x:f t="shared" si="6">IF(NOT(ISNUMBER(F165)),"",IF(F165&lt;1,"不入池","入池"))</x:f>
        <x:v>入池</x:v>
      </x:c>
      <x:c r="H165" s="33" t="str">
        <x:v>0-5亿元</x:v>
      </x:c>
      <x:c r="I165" s="17" t="n">
        <x:f>IF(H165="","",IF(ISNUMBER(SEARCH("100亿元以上",H165)),100,IF(OR(ISNUMBER(SEARCH("20-50",H165)),ISNUMBER(SEARCH("50-100",H165)),ISNUMBER(SEARCH("20-100",H165))),90,IF(ISNUMBER(SEARCH("10-20",H165)),80,IF(ISNUMBER(SEARCH("5-10",H165)),70,IF(ISNUMBER(SEARCH("0-5",H165)),60,""))))))</x:f>
        <x:v>60</x:v>
      </x:c>
      <x:c r="J165" s="34" t="str">
        <x:v>无低于1000万元标识</x:v>
      </x:c>
      <x:c r="K165" s="17" t="n">
        <x:f>IF(J165="","",IF(J165="低于1000万元",0,100))</x:f>
        <x:v>100</x:v>
      </x:c>
      <x:c r="L165" s="17" t="n">
        <x:f>IF(NOT(ISNUMBER(F165)),"",IF(F165&lt;1,"",IF(F165&lt;3,70,100)))</x:f>
        <x:v>100</x:v>
      </x:c>
      <x:c r="M165" s="35" t="n">
        <x:f>IF(ISNUMBER('sheet4-原始数据'!G150),'sheet4-原始数据'!G150,"")</x:f>
        <x:v>0.0946</x:v>
      </x:c>
      <x:c r="N165" s="35" t="n">
        <x:f>IF(ISNUMBER('sheet4-原始数据'!H150),'sheet4-原始数据'!H150,"")</x:f>
        <x:v>0.081</x:v>
      </x:c>
      <x:c r="O165" s="36" t="str">
        <x:f>IF(ISNUMBER('sheet4-原始数据'!Q150),'sheet4-原始数据'!Q150,"")</x:f>
      </x:c>
      <x:c r="P165" s="37" t="n">
        <x:f>IF($G165&lt;&gt;"入池","",IF($F165&gt;=3,IF(OR(NOT(ISNUMBER($M165)),NOT(ISNUMBER($N165)),1+$M165&lt;=0,1+$N165&lt;0),"",((1+$N165)^3/(1+$M165))^(1/2)-1),IF(OR($F165&lt;=1,NOT(ISNUMBER($M165)),NOT(ISNUMBER($O165)),1+$M165&lt;=0,1+$O165&lt;0),"",((1+$O165)^$F165/(1+$M165))^(1/($F165-1))-1)))</x:f>
        <x:v>0.07426349744391603</x:v>
      </x:c>
      <x:c r="Q165" s="17" t="n">
        <x:f>IF(OR($G165&lt;&gt;"入池",NOT(ISNUMBER(M165))),"",IF(COUNTIFS($G$17:$G$219,"入池",$M$17:$M$219,"&gt;=-1E+307",$M$17:$M$219,"&lt;=1E+307")&lt;=1,100,ROUND(100*(COUNTIFS($G$17:$G$219,"入池",$M$17:$M$219,"&gt;=-1E+307",$M$17:$M$219,"&lt;"&amp;M165)+COUNTIFS($G$17:$G$219,"入池",$M$17:$M$219,M165,$M$17:$M$219,"&gt;=-1E+307",$M$17:$M$219,"&lt;=1E+307")/2-0.5)/(COUNTIFS($G$17:$G$219,"入池",$M$17:$M$219,"&gt;=-1E+307",$M$17:$M$219,"&lt;=1E+307")-1),2)))</x:f>
        <x:v>78.47</x:v>
      </x:c>
      <x:c r="R165" s="17" t="n">
        <x:f>IF(OR($G165&lt;&gt;"入池",NOT(ISNUMBER(P165))),"",IF(COUNTIFS($G$17:$G$219,"入池",$P$17:$P$219,"&gt;=-1E+307",$P$17:$P$219,"&lt;=1E+307")&lt;=1,100,ROUND(100*(COUNTIFS($G$17:$G$219,"入池",$P$17:$P$219,"&gt;=-1E+307",$P$17:$P$219,"&lt;"&amp;P165)+COUNTIFS($G$17:$G$219,"入池",$P$17:$P$219,P165,$P$17:$P$219,"&gt;=-1E+307",$P$17:$P$219,"&lt;=1E+307")/2-0.5)/(COUNTIFS($G$17:$G$219,"入池",$P$17:$P$219,"&gt;=-1E+307",$P$17:$P$219,"&lt;=1E+307")-1),2)))</x:f>
        <x:v>59.41</x:v>
      </x:c>
      <x:c r="S165" s="17" t="n">
        <x:f>IF(NOT(ISNUMBER(Q165)),"",IF(NOT(ISNUMBER(R165)),Q165,ROUND(Q165*'sheet1-指标体系'!$J$8+R165*'sheet1-指标体系'!$J$9,2)))</x:f>
        <x:v>70.85</x:v>
      </x:c>
      <x:c r="T165" s="35" t="n">
        <x:f>IF(ISNUMBER('sheet4-原始数据'!J150),'sheet4-原始数据'!J150,"")</x:f>
        <x:v>1</x:v>
      </x:c>
      <x:c r="U165" s="35" t="n">
        <x:f>IF(ISNUMBER('sheet4-原始数据'!I150),'sheet4-原始数据'!I150,"")</x:f>
        <x:v>0.9459000000000001</x:v>
      </x:c>
      <x:c r="V165" s="37" t="n">
        <x:f>IF(OR(NOT(ISNUMBER(T165)),NOT(ISNUMBER(U165))),"",(U165*'sheet1-指标体系'!$J$6-T165*'sheet1-指标体系'!$J$5)/'sheet1-指标体系'!$J$7)</x:f>
        <x:v>0.9165958333333334</x:v>
      </x:c>
      <x:c r="W165" s="17" t="n">
        <x:f>IF(NOT(ISNUMBER(T165)),"",T165*100)</x:f>
        <x:v>100</x:v>
      </x:c>
      <x:c r="X165" s="17" t="n">
        <x:f>IF($G165&lt;&gt;"入池","",IF(AND(ISNUMBER(V165),V165&gt;=0,V165&lt;=1),V165*100,IF(MAX(0,($F165-1)*12)&lt;6,100,"")))</x:f>
        <x:v>91.65958333333334</x:v>
      </x:c>
      <x:c r="Y165" s="17" t="n">
        <x:f>IF(NOT(ISNUMBER(W165)),"",IF(NOT(ISNUMBER(X165)),W165,ROUND(W165*'sheet1-指标体系'!$J$8+X165*'sheet1-指标体系'!$J$9,2)))</x:f>
        <x:v>96.66</x:v>
      </x:c>
      <x:c r="Z165" s="37" t="n">
        <x:f>IF(OR(NOT(ISNUMBER(M165)),NOT(ISNUMBER(AD165)),AD165=0),"",ABS(M165/AD165))</x:f>
        <x:v>0.0010544936925448636</x:v>
      </x:c>
      <x:c r="AA165" s="35" t="n">
        <x:f>IF(ISNUMBER('sheet4-原始数据'!K150),'sheet4-原始数据'!K150,"")</x:f>
        <x:v>0.0033</x:v>
      </x:c>
      <x:c r="AB165" s="37" t="n">
        <x:f>IF(COUNT(Z165:AA165)=0,"",MAX(Z165:AA165))</x:f>
        <x:v>0.0033</x:v>
      </x:c>
      <x:c r="AC165" s="17" t="n">
        <x:f>IF(OR($G165&lt;&gt;"入池",NOT(ISNUMBER(AB165))),"",IF(COUNTIFS($G$17:$G$219,"入池",$AB$17:$AB$219,"&gt;=-1E+307",$AB$17:$AB$219,"&lt;=1E+307")&lt;=1,100,ROUND(100*(COUNTIFS($G$17:$G$219,"入池",$AB$17:$AB$219,"&lt;=1E+307",$AB$17:$AB$219,"&gt;"&amp;AB165)+COUNTIFS($G$17:$G$219,"入池",$AB$17:$AB$219,AB165,$AB$17:$AB$219,"&gt;=-1E+307",$AB$17:$AB$219,"&lt;=1E+307")/2-0.5)/(COUNTIFS($G$17:$G$219,"入池",$AB$17:$AB$219,"&gt;=-1E+307",$AB$17:$AB$219,"&lt;=1E+307")-1),2)))</x:f>
        <x:v>97.52</x:v>
      </x:c>
      <x:c r="AD165" s="38" t="n">
        <x:f>IF(ISNUMBER('sheet4-原始数据'!M150),'sheet4-原始数据'!M150,"")</x:f>
        <x:v>89.7113</x:v>
      </x:c>
      <x:c r="AE165" s="37" t="n">
        <x:f>IF(OR(NOT(ISNUMBER(P165)),NOT(ISNUMBER(AA165)),NOT(ISNUMBER(Z165))),"",IF(AA165&gt;Z165+'sheet1-指标体系'!$J$11,AA165,""))</x:f>
        <x:v>0.0033</x:v>
      </x:c>
      <x:c r="AF165" s="17" t="n">
        <x:f>IF(OR(NOT(ISNUMBER(P165)),NOT(ISNUMBER(AE165)),AE165=0),"",P165/AE165)</x:f>
        <x:v>22.50409013452001</x:v>
      </x:c>
      <x:c r="AG165" s="17" t="n">
        <x:f>IF(OR($G165&lt;&gt;"入池",NOT(ISNUMBER(AD165))),"",IF(COUNTIFS($G$17:$G$219,"入池",$AD$17:$AD$219,"&gt;=-1E+307",$AD$17:$AD$219,"&lt;=1E+307")&lt;=1,100,ROUND(100*(COUNTIFS($G$17:$G$219,"入池",$AD$17:$AD$219,"&gt;=-1E+307",$AD$17:$AD$219,"&lt;"&amp;AD165)+COUNTIFS($G$17:$G$219,"入池",$AD$17:$AD$219,AD165,$AD$17:$AD$219,"&gt;=-1E+307",$AD$17:$AD$219,"&lt;=1E+307")/2-0.5)/(COUNTIFS($G$17:$G$219,"入池",$AD$17:$AD$219,"&gt;=-1E+307",$AD$17:$AD$219,"&lt;=1E+307")-1),2)))</x:f>
        <x:v>99.5</x:v>
      </x:c>
      <x:c r="AH165" s="17" t="n">
        <x:f>IF(OR($G165&lt;&gt;"入池",NOT(ISNUMBER(AF165))),"",IF(COUNTIFS($G$17:$G$219,"入池",$AF$17:$AF$219,"&gt;=-1E+307",$AF$17:$AF$219,"&lt;=1E+307")&lt;=1,100,ROUND(100*(COUNTIFS($G$17:$G$219,"入池",$AF$17:$AF$219,"&gt;=-1E+307",$AF$17:$AF$219,"&lt;"&amp;AF165)+COUNTIFS($G$17:$G$219,"入池",$AF$17:$AF$219,AF165,$AF$17:$AF$219,"&gt;=-1E+307",$AF$17:$AF$219,"&lt;=1E+307")/2-0.5)/(COUNTIFS($G$17:$G$219,"入池",$AF$17:$AF$219,"&gt;=-1E+307",$AF$17:$AF$219,"&lt;=1E+307")-1),2)))</x:f>
        <x:v>98.54</x:v>
      </x:c>
      <x:c r="AI165" s="17" t="n">
        <x:f>IF(NOT(ISNUMBER(AG165)),"",IF(NOT(ISNUMBER(AH165)),AG165,ROUND(AG165*'sheet1-指标体系'!$J$8+AH165*'sheet1-指标体系'!$J$9,2)))</x:f>
        <x:v>99.12</x:v>
      </x:c>
      <x:c r="AJ165" s="37" t="n">
        <x:f>IF(NOT(ISNUMBER(F165)),"",IF(F165&gt;=3,IF(NOT(ISNUMBER(N165)),"",N165),IF(NOT(ISNUMBER(O165)),"",O165)))</x:f>
        <x:v>0.081</x:v>
      </x:c>
      <x:c r="AK165" s="17" t="n">
        <x:f>IF(OR(G165&lt;&gt;"入池",NOT(ISNUMBER(M165)),NOT(ISNUMBER(AJ165))),"",IF(M165&gt;=AJ165,100,IF(AJ165-M165&lt;'sheet1-指标体系'!$J$10,80,60)))</x:f>
        <x:v>100</x:v>
      </x:c>
      <x:c r="AL165" s="17" t="n">
        <x:f>IF(COUNT(I165,K165,L165)=0,"",ROUND((IF(ISNUMBER(I165),I165*40%,0)+IF(ISNUMBER(K165),K165*30%,0)+IF(ISNUMBER(L165),L165*30%,0))/(IF(ISNUMBER(I165),40%,0)+IF(ISNUMBER(K165),30%,0)+IF(ISNUMBER(L165),30%,0)),2))</x:f>
        <x:v>84</x:v>
      </x:c>
      <x:c r="AM165" s="17" t="n">
        <x:f>IF(COUNT(Q165,R165,W165,X165)=0,"",ROUND((IF(ISNUMBER(Q165),Q165*42%,0)+IF(ISNUMBER(R165),R165*28%,0)+IF(ISNUMBER(W165),W165*18%,0)+IF(ISNUMBER(X165),X165*12%,0))/(IF(ISNUMBER(Q165),42%,0)+IF(ISNUMBER(R165),28%,0)+IF(ISNUMBER(W165),18%,0)+IF(ISNUMBER(X165),12%,0)),2))</x:f>
        <x:v>78.59</x:v>
      </x:c>
      <x:c r="AN165" s="17" t="n">
        <x:f>IF(ISNUMBER(AC165),AC165,"")</x:f>
        <x:v>97.52</x:v>
      </x:c>
      <x:c r="AO165" s="17" t="n">
        <x:f>IF(COUNT(AG165,AH165)=0,"",ROUND((IF(ISNUMBER(AG165),AG165*60%,0)+IF(ISNUMBER(AH165),AH165*40%,0))/(IF(ISNUMBER(AG165),60%,0)+IF(ISNUMBER(AH165),40%,0)),2))</x:f>
        <x:v>99.12</x:v>
      </x:c>
      <x:c r="AP165" s="17" t="n">
        <x:f>IF(ISNUMBER(AK165),AK165,"")</x:f>
        <x:v>100</x:v>
      </x:c>
      <x:c r="AQ165" s="39" t="n">
        <x:f>IF(G165&lt;&gt;"入池",0,IF(ISNUMBER(I165),6%,0)+IF(ISNUMBER(K165),4.5%,0)+IF(ISNUMBER(L165),4.5%,0)+IF(ISNUMBER(Q165),8.4%,0)+IF(ISNUMBER(R165),5.6%,0)+IF(ISNUMBER(W165),3.6%,0)+IF(ISNUMBER(X165),2.4%,0)+IF(ISNUMBER(AC165),25%,0)+IF(ISNUMBER(AG165),18%,0)+IF(ISNUMBER(AH165),12%,0)+IF(ISNUMBER(AK165),10%,0))</x:f>
        <x:v>1</x:v>
      </x:c>
      <x:c r="AR165" s="17" t="n">
        <x:f>IF(AQ165=0,"",IF(ISNUMBER(I165),I165*6%,0)+IF(ISNUMBER(K165),K165*4.5%,0)+IF(ISNUMBER(L165),L165*4.5%,0)+IF(ISNUMBER(Q165),Q165*8.4%,0)+IF(ISNUMBER(R165),R165*5.6%,0)+IF(ISNUMBER(W165),W165*3.6%,0)+IF(ISNUMBER(X165),X165*2.4%,0)+IF(ISNUMBER(AC165),AC165*25%,0)+IF(ISNUMBER(AG165),AG165*18%,0)+IF(ISNUMBER(AH165),AH165*12%,0)+IF(ISNUMBER(AK165),AK165*10%,0))</x:f>
        <x:v>92.43306999999999</x:v>
      </x:c>
      <x:c r="AS165" s="17" t="n">
        <x:f>IF(AQ165=0,"",ROUND(AR165/AQ165,2))</x:f>
        <x:v>92.43</x:v>
      </x:c>
      <x:c r="AT165" s="40" t="n">
        <x:f>IF(OR(G165&lt;&gt;"入池",NOT(ISNUMBER(AS165))),"",COUNTIFS($G$17:$G$219,"入池",$AS$17:$AS$219,"&gt;"&amp;AS165)+COUNTIFS($G$17:$G$219,"入池",$AS$17:$AS$219,AS165,$AQ$17:$AQ$219,"&gt;"&amp;AQ165)+COUNTIFS($G$17:G165,"入池",$AS$17:AS165,AS165,$AQ$17:AQ165,AQ165))</x:f>
        <x:v>3</x:v>
      </x:c>
      <x:c r="AU165" s="41" t="str">
        <x:f t="shared" si="7">IF(NOT(ISNUMBER(I165)),"管理人规模；","")&amp;IF(J165="","产品规模标识；","")&amp;IF(AND(F165&lt;3,NOT(ISNUMBER(O165))),"R_incep；","")&amp;IF(NOT(ISNUMBER(N165)),"近三年收益；","")&amp;IF(NOT(ISNUMBER(U165)),"近三年胜率；","")&amp;IF(AND(ISNUMBER(V165),OR(V165&lt;0,V165&gt;1)),"胜率窗口口径不一致；","")&amp;IF(NOT(ISNUMBER(AA165)),"近三年回撤；","")&amp;IF(NOT(ISNUMBER(AD165)),"短期卡玛；","")&amp;IF(AND(ISNUMBER(P165),NOT(ISNUMBER(AE165))),"DD_long不可识别；","")</x:f>
      </x:c>
      <x:c r="AV165" s="42" t="n">
        <x:v>0</x:v>
      </x:c>
      <x:c r="AW165" s="19" t="str">
        <x:v>上海放牛人私募基金管理有限公司</x:v>
      </x:c>
      <x:c r="AX165" s="19" t="str">
        <x:v>2026-03-18</x:v>
      </x:c>
      <x:c r="AY165" s="19" t="str">
        <x:v>https://gs.amac.org.cn/amac-infodisc/res/pof/manager/2104292125100136.html</x:v>
      </x:c>
      <x:c r="AZ165" s="19" t="str">
        <x:v>放牛人5号私募证券投资基金</x:v>
      </x:c>
      <x:c r="BA165" s="19" t="str">
        <x:v>2022-06-24</x:v>
      </x:c>
      <x:c r="BB165" s="19"/>
      <x:c r="BC165" s="19" t="str">
        <x:v>https://gs.amac.org.cn/amac-infodisc/res/pof/fund/2206241503107051.html</x:v>
      </x:c>
      <x:c r="BD165" s="19" t="str">
        <x:v>已匹配</x:v>
      </x:c>
      <x:c r="BE165"/>
      <x:c r="BF165"/>
    </x:row>
    <x:row r="166" ht="28" customHeight="1">
      <x:c r="A166" s="4" t="n">
        <x:v>150</x:v>
      </x:c>
      <x:c r="B166" s="15" t="str">
        <x:f>'sheet4-原始数据'!A151</x:f>
        <x:v>鹿秀呦呦1号</x:v>
      </x:c>
      <x:c r="C166" s="15" t="str">
        <x:f>'sheet4-原始数据'!B151</x:f>
        <x:v>SVY067</x:v>
      </x:c>
      <x:c r="D166" s="15" t="str">
        <x:f>'sheet4-原始数据'!E151</x:f>
        <x:v>青岛鹿秀投资</x:v>
      </x:c>
      <x:c r="E166" s="32" t="n">
        <x:f>IF(ISNUMBER('sheet4-原始数据'!F151),'sheet4-原始数据'!F151,"")</x:f>
        <x:v>44743</x:v>
      </x:c>
      <x:c r="F166" s="17" t="n">
        <x:f>IF(NOT(ISNUMBER(E166)),"",ROUND(('sheet1-指标体系'!$J$23-E166)/365.25,4))</x:f>
        <x:v>4.2108</x:v>
      </x:c>
      <x:c r="G166" s="4" t="str">
        <x:f t="shared" si="6">IF(NOT(ISNUMBER(F166)),"",IF(F166&lt;1,"不入池","入池"))</x:f>
        <x:v>入池</x:v>
      </x:c>
      <x:c r="H166" s="33" t="str">
        <x:v>50-100亿元</x:v>
      </x:c>
      <x:c r="I166" s="17" t="n">
        <x:f>IF(H166="","",IF(ISNUMBER(SEARCH("100亿元以上",H166)),100,IF(OR(ISNUMBER(SEARCH("20-50",H166)),ISNUMBER(SEARCH("50-100",H166)),ISNUMBER(SEARCH("20-100",H166))),90,IF(ISNUMBER(SEARCH("10-20",H166)),80,IF(ISNUMBER(SEARCH("5-10",H166)),70,IF(ISNUMBER(SEARCH("0-5",H166)),60,""))))))</x:f>
        <x:v>90</x:v>
      </x:c>
      <x:c r="J166" s="34" t="str">
        <x:v>无低于1000万元标识</x:v>
      </x:c>
      <x:c r="K166" s="17" t="n">
        <x:f>IF(J166="","",IF(J166="低于1000万元",0,100))</x:f>
        <x:v>100</x:v>
      </x:c>
      <x:c r="L166" s="17" t="n">
        <x:f>IF(NOT(ISNUMBER(F166)),"",IF(F166&lt;1,"",IF(F166&lt;3,70,100)))</x:f>
        <x:v>100</x:v>
      </x:c>
      <x:c r="M166" s="35" t="n">
        <x:f>IF(ISNUMBER('sheet4-原始数据'!G151),'sheet4-原始数据'!G151,"")</x:f>
        <x:v>-0.0152</x:v>
      </x:c>
      <x:c r="N166" s="35" t="n">
        <x:f>IF(ISNUMBER('sheet4-原始数据'!H151),'sheet4-原始数据'!H151,"")</x:f>
        <x:v>0.2566</x:v>
      </x:c>
      <x:c r="O166" s="36" t="str">
        <x:f>IF(ISNUMBER('sheet4-原始数据'!Q151),'sheet4-原始数据'!Q151,"")</x:f>
      </x:c>
      <x:c r="P166" s="37" t="n">
        <x:f>IF($G166&lt;&gt;"入池","",IF($F166&gt;=3,IF(OR(NOT(ISNUMBER($M166)),NOT(ISNUMBER($N166)),1+$M166&lt;=0,1+$N166&lt;0),"",((1+$N166)^3/(1+$M166))^(1/2)-1),IF(OR($F166&lt;=1,NOT(ISNUMBER($M166)),NOT(ISNUMBER($O166)),1+$M166&lt;=0,1+$O166&lt;0),"",((1+$O166)^$F166/(1+$M166))^(1/($F166-1))-1)))</x:f>
        <x:v>0.4194547848261032</x:v>
      </x:c>
      <x:c r="Q166" s="17" t="n">
        <x:f>IF(OR($G166&lt;&gt;"入池",NOT(ISNUMBER(M166))),"",IF(COUNTIFS($G$17:$G$219,"入池",$M$17:$M$219,"&gt;=-1E+307",$M$17:$M$219,"&lt;=1E+307")&lt;=1,100,ROUND(100*(COUNTIFS($G$17:$G$219,"入池",$M$17:$M$219,"&gt;=-1E+307",$M$17:$M$219,"&lt;"&amp;M166)+COUNTIFS($G$17:$G$219,"入池",$M$17:$M$219,M166,$M$17:$M$219,"&gt;=-1E+307",$M$17:$M$219,"&lt;=1E+307")/2-0.5)/(COUNTIFS($G$17:$G$219,"入池",$M$17:$M$219,"&gt;=-1E+307",$M$17:$M$219,"&lt;=1E+307")-1),2)))</x:f>
        <x:v>14.36</x:v>
      </x:c>
      <x:c r="R166" s="17" t="n">
        <x:f>IF(OR($G166&lt;&gt;"入池",NOT(ISNUMBER(P166))),"",IF(COUNTIFS($G$17:$G$219,"入池",$P$17:$P$219,"&gt;=-1E+307",$P$17:$P$219,"&lt;=1E+307")&lt;=1,100,ROUND(100*(COUNTIFS($G$17:$G$219,"入池",$P$17:$P$219,"&gt;=-1E+307",$P$17:$P$219,"&lt;"&amp;P166)+COUNTIFS($G$17:$G$219,"入池",$P$17:$P$219,P166,$P$17:$P$219,"&gt;=-1E+307",$P$17:$P$219,"&lt;=1E+307")/2-0.5)/(COUNTIFS($G$17:$G$219,"入池",$P$17:$P$219,"&gt;=-1E+307",$P$17:$P$219,"&lt;=1E+307")-1),2)))</x:f>
        <x:v>100</x:v>
      </x:c>
      <x:c r="S166" s="17" t="n">
        <x:f>IF(NOT(ISNUMBER(Q166)),"",IF(NOT(ISNUMBER(R166)),Q166,ROUND(Q166*'sheet1-指标体系'!$J$8+R166*'sheet1-指标体系'!$J$9,2)))</x:f>
        <x:v>48.62</x:v>
      </x:c>
      <x:c r="T166" s="35" t="n">
        <x:f>IF(ISNUMBER('sheet4-原始数据'!J151),'sheet4-原始数据'!J151,"")</x:f>
        <x:v>0.6923</x:v>
      </x:c>
      <x:c r="U166" s="35" t="n">
        <x:f>IF(ISNUMBER('sheet4-原始数据'!I151),'sheet4-原始数据'!I151,"")</x:f>
        <x:v>0.5946</x:v>
      </x:c>
      <x:c r="V166" s="37" t="n">
        <x:f>IF(OR(NOT(ISNUMBER(T166)),NOT(ISNUMBER(U166))),"",(U166*'sheet1-指标体系'!$J$6-T166*'sheet1-指标体系'!$J$5)/'sheet1-指标体系'!$J$7)</x:f>
        <x:v>0.5416791666666666</x:v>
      </x:c>
      <x:c r="W166" s="17" t="n">
        <x:f>IF(NOT(ISNUMBER(T166)),"",T166*100)</x:f>
        <x:v>69.23</x:v>
      </x:c>
      <x:c r="X166" s="17" t="n">
        <x:f>IF($G166&lt;&gt;"入池","",IF(AND(ISNUMBER(V166),V166&gt;=0,V166&lt;=1),V166*100,IF(MAX(0,($F166-1)*12)&lt;6,100,"")))</x:f>
        <x:v>54.16791666666666</x:v>
      </x:c>
      <x:c r="Y166" s="17" t="n">
        <x:f>IF(NOT(ISNUMBER(W166)),"",IF(NOT(ISNUMBER(X166)),W166,ROUND(W166*'sheet1-指标体系'!$J$8+X166*'sheet1-指标体系'!$J$9,2)))</x:f>
        <x:v>63.21</x:v>
      </x:c>
      <x:c r="Z166" s="37" t="n">
        <x:f>IF(OR(NOT(ISNUMBER(M166)),NOT(ISNUMBER(AD166)),AD166=0),"",ABS(M166/AD166))</x:f>
        <x:v>0.22485207100591717</x:v>
      </x:c>
      <x:c r="AA166" s="35" t="n">
        <x:f>IF(ISNUMBER('sheet4-原始数据'!K151),'sheet4-原始数据'!K151,"")</x:f>
        <x:v>0.3414</x:v>
      </x:c>
      <x:c r="AB166" s="37" t="n">
        <x:f>IF(COUNT(Z166:AA166)=0,"",MAX(Z166:AA166))</x:f>
        <x:v>0.3414</x:v>
      </x:c>
      <x:c r="AC166" s="17" t="n">
        <x:f>IF(OR($G166&lt;&gt;"入池",NOT(ISNUMBER(AB166))),"",IF(COUNTIFS($G$17:$G$219,"入池",$AB$17:$AB$219,"&gt;=-1E+307",$AB$17:$AB$219,"&lt;=1E+307")&lt;=1,100,ROUND(100*(COUNTIFS($G$17:$G$219,"入池",$AB$17:$AB$219,"&lt;=1E+307",$AB$17:$AB$219,"&gt;"&amp;AB166)+COUNTIFS($G$17:$G$219,"入池",$AB$17:$AB$219,AB166,$AB$17:$AB$219,"&gt;=-1E+307",$AB$17:$AB$219,"&lt;=1E+307")/2-0.5)/(COUNTIFS($G$17:$G$219,"入池",$AB$17:$AB$219,"&gt;=-1E+307",$AB$17:$AB$219,"&lt;=1E+307")-1),2)))</x:f>
        <x:v>2.48</x:v>
      </x:c>
      <x:c r="AD166" s="38" t="n">
        <x:f>IF(ISNUMBER('sheet4-原始数据'!M151),'sheet4-原始数据'!M151,"")</x:f>
        <x:v>-0.0676</x:v>
      </x:c>
      <x:c r="AE166" s="37" t="n">
        <x:f>IF(OR(NOT(ISNUMBER(P166)),NOT(ISNUMBER(AA166)),NOT(ISNUMBER(Z166))),"",IF(AA166&gt;Z166+'sheet1-指标体系'!$J$11,AA166,""))</x:f>
        <x:v>0.3414</x:v>
      </x:c>
      <x:c r="AF166" s="17" t="n">
        <x:f>IF(OR(NOT(ISNUMBER(P166)),NOT(ISNUMBER(AE166)),AE166=0),"",P166/AE166)</x:f>
        <x:v>1.2286314728356862</x:v>
      </x:c>
      <x:c r="AG166" s="17" t="n">
        <x:f>IF(OR($G166&lt;&gt;"入池",NOT(ISNUMBER(AD166))),"",IF(COUNTIFS($G$17:$G$219,"入池",$AD$17:$AD$219,"&gt;=-1E+307",$AD$17:$AD$219,"&lt;=1E+307")&lt;=1,100,ROUND(100*(COUNTIFS($G$17:$G$219,"入池",$AD$17:$AD$219,"&gt;=-1E+307",$AD$17:$AD$219,"&lt;"&amp;AD166)+COUNTIFS($G$17:$G$219,"入池",$AD$17:$AD$219,AD166,$AD$17:$AD$219,"&gt;=-1E+307",$AD$17:$AD$219,"&lt;=1E+307")/2-0.5)/(COUNTIFS($G$17:$G$219,"入池",$AD$17:$AD$219,"&gt;=-1E+307",$AD$17:$AD$219,"&lt;=1E+307")-1),2)))</x:f>
        <x:v>17.41</x:v>
      </x:c>
      <x:c r="AH166" s="17" t="n">
        <x:f>IF(OR($G166&lt;&gt;"入池",NOT(ISNUMBER(AF166))),"",IF(COUNTIFS($G$17:$G$219,"入池",$AF$17:$AF$219,"&gt;=-1E+307",$AF$17:$AF$219,"&lt;=1E+307")&lt;=1,100,ROUND(100*(COUNTIFS($G$17:$G$219,"入池",$AF$17:$AF$219,"&gt;=-1E+307",$AF$17:$AF$219,"&lt;"&amp;AF166)+COUNTIFS($G$17:$G$219,"入池",$AF$17:$AF$219,AF166,$AF$17:$AF$219,"&gt;=-1E+307",$AF$17:$AF$219,"&lt;=1E+307")/2-0.5)/(COUNTIFS($G$17:$G$219,"入池",$AF$17:$AF$219,"&gt;=-1E+307",$AF$17:$AF$219,"&lt;=1E+307")-1),2)))</x:f>
        <x:v>48.91</x:v>
      </x:c>
      <x:c r="AI166" s="17" t="n">
        <x:f>IF(NOT(ISNUMBER(AG166)),"",IF(NOT(ISNUMBER(AH166)),AG166,ROUND(AG166*'sheet1-指标体系'!$J$8+AH166*'sheet1-指标体系'!$J$9,2)))</x:f>
        <x:v>30.01</x:v>
      </x:c>
      <x:c r="AJ166" s="37" t="n">
        <x:f>IF(NOT(ISNUMBER(F166)),"",IF(F166&gt;=3,IF(NOT(ISNUMBER(N166)),"",N166),IF(NOT(ISNUMBER(O166)),"",O166)))</x:f>
        <x:v>0.2566</x:v>
      </x:c>
      <x:c r="AK166" s="17" t="n">
        <x:f>IF(OR(G166&lt;&gt;"入池",NOT(ISNUMBER(M166)),NOT(ISNUMBER(AJ166))),"",IF(M166&gt;=AJ166,100,IF(AJ166-M166&lt;'sheet1-指标体系'!$J$10,80,60)))</x:f>
        <x:v>60</x:v>
      </x:c>
      <x:c r="AL166" s="17" t="n">
        <x:f>IF(COUNT(I166,K166,L166)=0,"",ROUND((IF(ISNUMBER(I166),I166*40%,0)+IF(ISNUMBER(K166),K166*30%,0)+IF(ISNUMBER(L166),L166*30%,0))/(IF(ISNUMBER(I166),40%,0)+IF(ISNUMBER(K166),30%,0)+IF(ISNUMBER(L166),30%,0)),2))</x:f>
        <x:v>96</x:v>
      </x:c>
      <x:c r="AM166" s="17" t="n">
        <x:f>IF(COUNT(Q166,R166,W166,X166)=0,"",ROUND((IF(ISNUMBER(Q166),Q166*42%,0)+IF(ISNUMBER(R166),R166*28%,0)+IF(ISNUMBER(W166),W166*18%,0)+IF(ISNUMBER(X166),X166*12%,0))/(IF(ISNUMBER(Q166),42%,0)+IF(ISNUMBER(R166),28%,0)+IF(ISNUMBER(W166),18%,0)+IF(ISNUMBER(X166),12%,0)),2))</x:f>
        <x:v>52.99</x:v>
      </x:c>
      <x:c r="AN166" s="17" t="n">
        <x:f>IF(ISNUMBER(AC166),AC166,"")</x:f>
        <x:v>2.48</x:v>
      </x:c>
      <x:c r="AO166" s="17" t="n">
        <x:f>IF(COUNT(AG166,AH166)=0,"",ROUND((IF(ISNUMBER(AG166),AG166*60%,0)+IF(ISNUMBER(AH166),AH166*40%,0))/(IF(ISNUMBER(AG166),60%,0)+IF(ISNUMBER(AH166),40%,0)),2))</x:f>
        <x:v>30.01</x:v>
      </x:c>
      <x:c r="AP166" s="17" t="n">
        <x:f>IF(ISNUMBER(AK166),AK166,"")</x:f>
        <x:v>60</x:v>
      </x:c>
      <x:c r="AQ166" s="39" t="n">
        <x:f>IF(G166&lt;&gt;"入池",0,IF(ISNUMBER(I166),6%,0)+IF(ISNUMBER(K166),4.5%,0)+IF(ISNUMBER(L166),4.5%,0)+IF(ISNUMBER(Q166),8.4%,0)+IF(ISNUMBER(R166),5.6%,0)+IF(ISNUMBER(W166),3.6%,0)+IF(ISNUMBER(X166),2.4%,0)+IF(ISNUMBER(AC166),25%,0)+IF(ISNUMBER(AG166),18%,0)+IF(ISNUMBER(AH166),12%,0)+IF(ISNUMBER(AK166),10%,0))</x:f>
        <x:v>1</x:v>
      </x:c>
      <x:c r="AR166" s="17" t="n">
        <x:f>IF(AQ166=0,"",IF(ISNUMBER(I166),I166*6%,0)+IF(ISNUMBER(K166),K166*4.5%,0)+IF(ISNUMBER(L166),L166*4.5%,0)+IF(ISNUMBER(Q166),Q166*8.4%,0)+IF(ISNUMBER(R166),R166*5.6%,0)+IF(ISNUMBER(W166),W166*3.6%,0)+IF(ISNUMBER(X166),X166*2.4%,0)+IF(ISNUMBER(AC166),AC166*25%,0)+IF(ISNUMBER(AG166),AG166*18%,0)+IF(ISNUMBER(AH166),AH166*12%,0)+IF(ISNUMBER(AK166),AK166*10%,0))</x:f>
        <x:v>40.62155</x:v>
      </x:c>
      <x:c r="AS166" s="17" t="n">
        <x:f>IF(AQ166=0,"",ROUND(AR166/AQ166,2))</x:f>
        <x:v>40.62</x:v>
      </x:c>
      <x:c r="AT166" s="40" t="n">
        <x:f>IF(OR(G166&lt;&gt;"入池",NOT(ISNUMBER(AS166))),"",COUNTIFS($G$17:$G$219,"入池",$AS$17:$AS$219,"&gt;"&amp;AS166)+COUNTIFS($G$17:$G$219,"入池",$AS$17:$AS$219,AS166,$AQ$17:$AQ$219,"&gt;"&amp;AQ166)+COUNTIFS($G$17:G166,"入池",$AS$17:AS166,AS166,$AQ$17:AQ166,AQ166))</x:f>
        <x:v>173</x:v>
      </x:c>
      <x:c r="AU166" s="41" t="str">
        <x:f t="shared" si="7">IF(NOT(ISNUMBER(I166)),"管理人规模；","")&amp;IF(J166="","产品规模标识；","")&amp;IF(AND(F166&lt;3,NOT(ISNUMBER(O166))),"R_incep；","")&amp;IF(NOT(ISNUMBER(N166)),"近三年收益；","")&amp;IF(NOT(ISNUMBER(U166)),"近三年胜率；","")&amp;IF(AND(ISNUMBER(V166),OR(V166&lt;0,V166&gt;1)),"胜率窗口口径不一致；","")&amp;IF(NOT(ISNUMBER(AA166)),"近三年回撤；","")&amp;IF(NOT(ISNUMBER(AD166)),"短期卡玛；","")&amp;IF(AND(ISNUMBER(P166),NOT(ISNUMBER(AE166))),"DD_long不可识别；","")</x:f>
      </x:c>
      <x:c r="AV166" s="42" t="n">
        <x:v>50</x:v>
      </x:c>
      <x:c r="AW166" s="19" t="str">
        <x:v>青岛鹿秀投资管理有限公司</x:v>
      </x:c>
      <x:c r="AX166" s="19" t="str">
        <x:v>2025-01-10</x:v>
      </x:c>
      <x:c r="AY166" s="19" t="str">
        <x:v>https://gs.amac.org.cn/amac-infodisc/res/pof/manager/1612231708101923.html</x:v>
      </x:c>
      <x:c r="AZ166" s="19" t="str">
        <x:v>鹿秀呦呦1号私募证券投资基金</x:v>
      </x:c>
      <x:c r="BA166" s="19" t="str">
        <x:v>2025-11-21</x:v>
      </x:c>
      <x:c r="BB166" s="19"/>
      <x:c r="BC166" s="19" t="str">
        <x:v>https://gs.amac.org.cn/amac-infodisc/res/pof/fund/2207121422105313.html</x:v>
      </x:c>
      <x:c r="BD166" s="19" t="str">
        <x:v>已匹配</x:v>
      </x:c>
      <x:c r="BE166"/>
      <x:c r="BF166"/>
    </x:row>
    <x:row r="167" ht="28" customHeight="1">
      <x:c r="A167" s="4" t="n">
        <x:v>151</x:v>
      </x:c>
      <x:c r="B167" s="15" t="str">
        <x:f>'sheet4-原始数据'!A152</x:f>
        <x:v>慕途基本面量化1号</x:v>
      </x:c>
      <x:c r="C167" s="15" t="str">
        <x:f>'sheet4-原始数据'!B152</x:f>
        <x:v>SVW787</x:v>
      </x:c>
      <x:c r="D167" s="15" t="str">
        <x:f>'sheet4-原始数据'!E152</x:f>
        <x:v>慕途基金</x:v>
      </x:c>
      <x:c r="E167" s="32" t="n">
        <x:f>IF(ISNUMBER('sheet4-原始数据'!F152),'sheet4-原始数据'!F152,"")</x:f>
        <x:v>44750</x:v>
      </x:c>
      <x:c r="F167" s="17" t="n">
        <x:f>IF(NOT(ISNUMBER(E167)),"",ROUND(('sheet1-指标体系'!$J$23-E167)/365.25,4))</x:f>
        <x:v>4.1916</x:v>
      </x:c>
      <x:c r="G167" s="4" t="str">
        <x:f t="shared" si="6">IF(NOT(ISNUMBER(F167)),"",IF(F167&lt;1,"不入池","入池"))</x:f>
        <x:v>入池</x:v>
      </x:c>
      <x:c r="H167" s="33" t="str">
        <x:v>10-20亿元</x:v>
      </x:c>
      <x:c r="I167" s="17" t="n">
        <x:f>IF(H167="","",IF(ISNUMBER(SEARCH("100亿元以上",H167)),100,IF(OR(ISNUMBER(SEARCH("20-50",H167)),ISNUMBER(SEARCH("50-100",H167)),ISNUMBER(SEARCH("20-100",H167))),90,IF(ISNUMBER(SEARCH("10-20",H167)),80,IF(ISNUMBER(SEARCH("5-10",H167)),70,IF(ISNUMBER(SEARCH("0-5",H167)),60,""))))))</x:f>
        <x:v>80</x:v>
      </x:c>
      <x:c r="J167" s="34" t="str">
        <x:v>无低于1000万元标识</x:v>
      </x:c>
      <x:c r="K167" s="17" t="n">
        <x:f>IF(J167="","",IF(J167="低于1000万元",0,100))</x:f>
        <x:v>100</x:v>
      </x:c>
      <x:c r="L167" s="17" t="n">
        <x:f>IF(NOT(ISNUMBER(F167)),"",IF(F167&lt;1,"",IF(F167&lt;3,70,100)))</x:f>
        <x:v>100</x:v>
      </x:c>
      <x:c r="M167" s="35" t="n">
        <x:f>IF(ISNUMBER('sheet4-原始数据'!G152),'sheet4-原始数据'!G152,"")</x:f>
        <x:v>0.1066</x:v>
      </x:c>
      <x:c r="N167" s="35" t="n">
        <x:f>IF(ISNUMBER('sheet4-原始数据'!H152),'sheet4-原始数据'!H152,"")</x:f>
        <x:v>0.0931</x:v>
      </x:c>
      <x:c r="O167" s="36" t="str">
        <x:f>IF(ISNUMBER('sheet4-原始数据'!Q152),'sheet4-原始数据'!Q152,"")</x:f>
      </x:c>
      <x:c r="P167" s="37" t="n">
        <x:f>IF($G167&lt;&gt;"入池","",IF($F167&gt;=3,IF(OR(NOT(ISNUMBER($M167)),NOT(ISNUMBER($N167)),1+$M167&lt;=0,1+$N167&lt;0),"",((1+$N167)^3/(1+$M167))^(1/2)-1),IF(OR($F167&lt;=1,NOT(ISNUMBER($M167)),NOT(ISNUMBER($O167)),1+$M167&lt;=0,1+$O167&lt;0),"",((1+$O167)^$F167/(1+$M167))^(1/($F167-1))-1)))</x:f>
        <x:v>0.0864118862731762</x:v>
      </x:c>
      <x:c r="Q167" s="17" t="n">
        <x:f>IF(OR($G167&lt;&gt;"入池",NOT(ISNUMBER(M167))),"",IF(COUNTIFS($G$17:$G$219,"入池",$M$17:$M$219,"&gt;=-1E+307",$M$17:$M$219,"&lt;=1E+307")&lt;=1,100,ROUND(100*(COUNTIFS($G$17:$G$219,"入池",$M$17:$M$219,"&gt;=-1E+307",$M$17:$M$219,"&lt;"&amp;M167)+COUNTIFS($G$17:$G$219,"入池",$M$17:$M$219,M167,$M$17:$M$219,"&gt;=-1E+307",$M$17:$M$219,"&lt;=1E+307")/2-0.5)/(COUNTIFS($G$17:$G$219,"入池",$M$17:$M$219,"&gt;=-1E+307",$M$17:$M$219,"&lt;=1E+307")-1),2)))</x:f>
        <x:v>81.93</x:v>
      </x:c>
      <x:c r="R167" s="17" t="n">
        <x:f>IF(OR($G167&lt;&gt;"入池",NOT(ISNUMBER(P167))),"",IF(COUNTIFS($G$17:$G$219,"入池",$P$17:$P$219,"&gt;=-1E+307",$P$17:$P$219,"&lt;=1E+307")&lt;=1,100,ROUND(100*(COUNTIFS($G$17:$G$219,"入池",$P$17:$P$219,"&gt;=-1E+307",$P$17:$P$219,"&lt;"&amp;P167)+COUNTIFS($G$17:$G$219,"入池",$P$17:$P$219,P167,$P$17:$P$219,"&gt;=-1E+307",$P$17:$P$219,"&lt;=1E+307")/2-0.5)/(COUNTIFS($G$17:$G$219,"入池",$P$17:$P$219,"&gt;=-1E+307",$P$17:$P$219,"&lt;=1E+307")-1),2)))</x:f>
        <x:v>69.31</x:v>
      </x:c>
      <x:c r="S167" s="17" t="n">
        <x:f>IF(NOT(ISNUMBER(Q167)),"",IF(NOT(ISNUMBER(R167)),Q167,ROUND(Q167*'sheet1-指标体系'!$J$8+R167*'sheet1-指标体系'!$J$9,2)))</x:f>
        <x:v>76.88</x:v>
      </x:c>
      <x:c r="T167" s="35" t="n">
        <x:f>IF(ISNUMBER('sheet4-原始数据'!J152),'sheet4-原始数据'!J152,"")</x:f>
        <x:v>0.6923</x:v>
      </x:c>
      <x:c r="U167" s="35" t="n">
        <x:f>IF(ISNUMBER('sheet4-原始数据'!I152),'sheet4-原始数据'!I152,"")</x:f>
        <x:v>0.7297</x:v>
      </x:c>
      <x:c r="V167" s="37" t="n">
        <x:f>IF(OR(NOT(ISNUMBER(T167)),NOT(ISNUMBER(U167))),"",(U167*'sheet1-指标体系'!$J$6-T167*'sheet1-指标体系'!$J$5)/'sheet1-指标体系'!$J$7)</x:f>
        <x:v>0.7499583333333333</x:v>
      </x:c>
      <x:c r="W167" s="17" t="n">
        <x:f>IF(NOT(ISNUMBER(T167)),"",T167*100)</x:f>
        <x:v>69.23</x:v>
      </x:c>
      <x:c r="X167" s="17" t="n">
        <x:f>IF($G167&lt;&gt;"入池","",IF(AND(ISNUMBER(V167),V167&gt;=0,V167&lt;=1),V167*100,IF(MAX(0,($F167-1)*12)&lt;6,100,"")))</x:f>
        <x:v>74.99583333333332</x:v>
      </x:c>
      <x:c r="Y167" s="17" t="n">
        <x:f>IF(NOT(ISNUMBER(W167)),"",IF(NOT(ISNUMBER(X167)),W167,ROUND(W167*'sheet1-指标体系'!$J$8+X167*'sheet1-指标体系'!$J$9,2)))</x:f>
        <x:v>71.54</x:v>
      </x:c>
      <x:c r="Z167" s="37" t="n">
        <x:f>IF(OR(NOT(ISNUMBER(M167)),NOT(ISNUMBER(AD167)),AD167=0),"",ABS(M167/AD167))</x:f>
        <x:v>0.04021427493586842</x:v>
      </x:c>
      <x:c r="AA167" s="35" t="n">
        <x:f>IF(ISNUMBER('sheet4-原始数据'!K152),'sheet4-原始数据'!K152,"")</x:f>
        <x:v>0.04019999999999999</x:v>
      </x:c>
      <x:c r="AB167" s="37" t="n">
        <x:f>IF(COUNT(Z167:AA167)=0,"",MAX(Z167:AA167))</x:f>
        <x:v>0.04021427493586842</x:v>
      </x:c>
      <x:c r="AC167" s="17" t="n">
        <x:f>IF(OR($G167&lt;&gt;"入池",NOT(ISNUMBER(AB167))),"",IF(COUNTIFS($G$17:$G$219,"入池",$AB$17:$AB$219,"&gt;=-1E+307",$AB$17:$AB$219,"&lt;=1E+307")&lt;=1,100,ROUND(100*(COUNTIFS($G$17:$G$219,"入池",$AB$17:$AB$219,"&lt;=1E+307",$AB$17:$AB$219,"&gt;"&amp;AB167)+COUNTIFS($G$17:$G$219,"入池",$AB$17:$AB$219,AB167,$AB$17:$AB$219,"&gt;=-1E+307",$AB$17:$AB$219,"&lt;=1E+307")/2-0.5)/(COUNTIFS($G$17:$G$219,"入池",$AB$17:$AB$219,"&gt;=-1E+307",$AB$17:$AB$219,"&lt;=1E+307")-1),2)))</x:f>
        <x:v>52.48</x:v>
      </x:c>
      <x:c r="AD167" s="38" t="n">
        <x:f>IF(ISNUMBER('sheet4-原始数据'!M152),'sheet4-原始数据'!M152,"")</x:f>
        <x:v>2.6508</x:v>
      </x:c>
      <x:c r="AE167" s="37" t="str">
        <x:f>IF(OR(NOT(ISNUMBER(P167)),NOT(ISNUMBER(AA167)),NOT(ISNUMBER(Z167))),"",IF(AA167&gt;Z167+'sheet1-指标体系'!$J$11,AA167,""))</x:f>
      </x:c>
      <x:c r="AF167" s="17" t="str">
        <x:f>IF(OR(NOT(ISNUMBER(P167)),NOT(ISNUMBER(AE167)),AE167=0),"",P167/AE167)</x:f>
      </x:c>
      <x:c r="AG167" s="17" t="n">
        <x:f>IF(OR($G167&lt;&gt;"入池",NOT(ISNUMBER(AD167))),"",IF(COUNTIFS($G$17:$G$219,"入池",$AD$17:$AD$219,"&gt;=-1E+307",$AD$17:$AD$219,"&lt;=1E+307")&lt;=1,100,ROUND(100*(COUNTIFS($G$17:$G$219,"入池",$AD$17:$AD$219,"&gt;=-1E+307",$AD$17:$AD$219,"&lt;"&amp;AD167)+COUNTIFS($G$17:$G$219,"入池",$AD$17:$AD$219,AD167,$AD$17:$AD$219,"&gt;=-1E+307",$AD$17:$AD$219,"&lt;=1E+307")/2-0.5)/(COUNTIFS($G$17:$G$219,"入池",$AD$17:$AD$219,"&gt;=-1E+307",$AD$17:$AD$219,"&lt;=1E+307")-1),2)))</x:f>
        <x:v>49.75</x:v>
      </x:c>
      <x:c r="AH167" s="17" t="str">
        <x:f>IF(OR($G167&lt;&gt;"入池",NOT(ISNUMBER(AF167))),"",IF(COUNTIFS($G$17:$G$219,"入池",$AF$17:$AF$219,"&gt;=-1E+307",$AF$17:$AF$219,"&lt;=1E+307")&lt;=1,100,ROUND(100*(COUNTIFS($G$17:$G$219,"入池",$AF$17:$AF$219,"&gt;=-1E+307",$AF$17:$AF$219,"&lt;"&amp;AF167)+COUNTIFS($G$17:$G$219,"入池",$AF$17:$AF$219,AF167,$AF$17:$AF$219,"&gt;=-1E+307",$AF$17:$AF$219,"&lt;=1E+307")/2-0.5)/(COUNTIFS($G$17:$G$219,"入池",$AF$17:$AF$219,"&gt;=-1E+307",$AF$17:$AF$219,"&lt;=1E+307")-1),2)))</x:f>
      </x:c>
      <x:c r="AI167" s="17" t="n">
        <x:f>IF(NOT(ISNUMBER(AG167)),"",IF(NOT(ISNUMBER(AH167)),AG167,ROUND(AG167*'sheet1-指标体系'!$J$8+AH167*'sheet1-指标体系'!$J$9,2)))</x:f>
        <x:v>49.75</x:v>
      </x:c>
      <x:c r="AJ167" s="37" t="n">
        <x:f>IF(NOT(ISNUMBER(F167)),"",IF(F167&gt;=3,IF(NOT(ISNUMBER(N167)),"",N167),IF(NOT(ISNUMBER(O167)),"",O167)))</x:f>
        <x:v>0.0931</x:v>
      </x:c>
      <x:c r="AK167" s="17" t="n">
        <x:f>IF(OR(G167&lt;&gt;"入池",NOT(ISNUMBER(M167)),NOT(ISNUMBER(AJ167))),"",IF(M167&gt;=AJ167,100,IF(AJ167-M167&lt;'sheet1-指标体系'!$J$10,80,60)))</x:f>
        <x:v>100</x:v>
      </x:c>
      <x:c r="AL167" s="17" t="n">
        <x:f>IF(COUNT(I167,K167,L167)=0,"",ROUND((IF(ISNUMBER(I167),I167*40%,0)+IF(ISNUMBER(K167),K167*30%,0)+IF(ISNUMBER(L167),L167*30%,0))/(IF(ISNUMBER(I167),40%,0)+IF(ISNUMBER(K167),30%,0)+IF(ISNUMBER(L167),30%,0)),2))</x:f>
        <x:v>92</x:v>
      </x:c>
      <x:c r="AM167" s="17" t="n">
        <x:f>IF(COUNT(Q167,R167,W167,X167)=0,"",ROUND((IF(ISNUMBER(Q167),Q167*42%,0)+IF(ISNUMBER(R167),R167*28%,0)+IF(ISNUMBER(W167),W167*18%,0)+IF(ISNUMBER(X167),X167*12%,0))/(IF(ISNUMBER(Q167),42%,0)+IF(ISNUMBER(R167),28%,0)+IF(ISNUMBER(W167),18%,0)+IF(ISNUMBER(X167),12%,0)),2))</x:f>
        <x:v>75.28</x:v>
      </x:c>
      <x:c r="AN167" s="17" t="n">
        <x:f>IF(ISNUMBER(AC167),AC167,"")</x:f>
        <x:v>52.48</x:v>
      </x:c>
      <x:c r="AO167" s="17" t="n">
        <x:f>IF(COUNT(AG167,AH167)=0,"",ROUND((IF(ISNUMBER(AG167),AG167*60%,0)+IF(ISNUMBER(AH167),AH167*40%,0))/(IF(ISNUMBER(AG167),60%,0)+IF(ISNUMBER(AH167),40%,0)),2))</x:f>
        <x:v>49.75</x:v>
      </x:c>
      <x:c r="AP167" s="17" t="n">
        <x:f>IF(ISNUMBER(AK167),AK167,"")</x:f>
        <x:v>100</x:v>
      </x:c>
      <x:c r="AQ167" s="39" t="n">
        <x:f>IF(G167&lt;&gt;"入池",0,IF(ISNUMBER(I167),6%,0)+IF(ISNUMBER(K167),4.5%,0)+IF(ISNUMBER(L167),4.5%,0)+IF(ISNUMBER(Q167),8.4%,0)+IF(ISNUMBER(R167),5.6%,0)+IF(ISNUMBER(W167),3.6%,0)+IF(ISNUMBER(X167),2.4%,0)+IF(ISNUMBER(AC167),25%,0)+IF(ISNUMBER(AG167),18%,0)+IF(ISNUMBER(AH167),12%,0)+IF(ISNUMBER(AK167),10%,0))</x:f>
        <x:v>0.88</x:v>
      </x:c>
      <x:c r="AR167" s="17" t="n">
        <x:f>IF(AQ167=0,"",IF(ISNUMBER(I167),I167*6%,0)+IF(ISNUMBER(K167),K167*4.5%,0)+IF(ISNUMBER(L167),L167*4.5%,0)+IF(ISNUMBER(Q167),Q167*8.4%,0)+IF(ISNUMBER(R167),R167*5.6%,0)+IF(ISNUMBER(W167),W167*3.6%,0)+IF(ISNUMBER(X167),X167*2.4%,0)+IF(ISNUMBER(AC167),AC167*25%,0)+IF(ISNUMBER(AG167),AG167*18%,0)+IF(ISNUMBER(AH167),AH167*12%,0)+IF(ISNUMBER(AK167),AK167*10%,0))</x:f>
        <x:v>60.93066</x:v>
      </x:c>
      <x:c r="AS167" s="17" t="n">
        <x:f>IF(AQ167=0,"",ROUND(AR167/AQ167,2))</x:f>
        <x:v>69.24</x:v>
      </x:c>
      <x:c r="AT167" s="40" t="n">
        <x:f>IF(OR(G167&lt;&gt;"入池",NOT(ISNUMBER(AS167))),"",COUNTIFS($G$17:$G$219,"入池",$AS$17:$AS$219,"&gt;"&amp;AS167)+COUNTIFS($G$17:$G$219,"入池",$AS$17:$AS$219,AS167,$AQ$17:$AQ$219,"&gt;"&amp;AQ167)+COUNTIFS($G$17:G167,"入池",$AS$17:AS167,AS167,$AQ$17:AQ167,AQ167))</x:f>
        <x:v>76</x:v>
      </x:c>
      <x:c r="AU167" s="41" t="str">
        <x:f t="shared" si="7">IF(NOT(ISNUMBER(I167)),"管理人规模；","")&amp;IF(J167="","产品规模标识；","")&amp;IF(AND(F167&lt;3,NOT(ISNUMBER(O167))),"R_incep；","")&amp;IF(NOT(ISNUMBER(N167)),"近三年收益；","")&amp;IF(NOT(ISNUMBER(U167)),"近三年胜率；","")&amp;IF(AND(ISNUMBER(V167),OR(V167&lt;0,V167&gt;1)),"胜率窗口口径不一致；","")&amp;IF(NOT(ISNUMBER(AA167)),"近三年回撤；","")&amp;IF(NOT(ISNUMBER(AD167)),"短期卡玛；","")&amp;IF(AND(ISNUMBER(P167),NOT(ISNUMBER(AE167))),"DD_long不可识别；","")</x:f>
        <x:v>DD_long不可识别；</x:v>
      </x:c>
      <x:c r="AV167" s="42" t="n">
        <x:v>10</x:v>
      </x:c>
      <x:c r="AW167" s="19" t="str">
        <x:v>上海慕途私募基金管理有限公司</x:v>
      </x:c>
      <x:c r="AX167" s="19" t="str">
        <x:v>2026-06-12</x:v>
      </x:c>
      <x:c r="AY167" s="19" t="str">
        <x:v>https://gs.amac.org.cn/amac-infodisc/res/pof/manager/2106221238106983.html</x:v>
      </x:c>
      <x:c r="AZ167" s="19" t="str">
        <x:v>慕途基本面量化1号私募证券投资基金</x:v>
      </x:c>
      <x:c r="BA167" s="19" t="str">
        <x:v>2026-07-09</x:v>
      </x:c>
      <x:c r="BB167" s="19"/>
      <x:c r="BC167" s="19" t="str">
        <x:v>https://gs.amac.org.cn/amac-infodisc/res/pof/fund/2207141704102568.html</x:v>
      </x:c>
      <x:c r="BD167" s="19" t="str">
        <x:v>已匹配</x:v>
      </x:c>
      <x:c r="BE167"/>
      <x:c r="BF167"/>
    </x:row>
    <x:row r="168" ht="28" customHeight="1">
      <x:c r="A168" s="4" t="n">
        <x:v>152</x:v>
      </x:c>
      <x:c r="B168" s="15" t="str">
        <x:f>'sheet4-原始数据'!A153</x:f>
        <x:v>金和金诚5号</x:v>
      </x:c>
      <x:c r="C168" s="15" t="str">
        <x:f>'sheet4-原始数据'!B153</x:f>
        <x:v>SVZ035</x:v>
      </x:c>
      <x:c r="D168" s="15" t="str">
        <x:f>'sheet4-原始数据'!E153</x:f>
        <x:v>上海金和晟</x:v>
      </x:c>
      <x:c r="E168" s="32" t="n">
        <x:f>IF(ISNUMBER('sheet4-原始数据'!F153),'sheet4-原始数据'!F153,"")</x:f>
        <x:v>44749</x:v>
      </x:c>
      <x:c r="F168" s="17" t="n">
        <x:f>IF(NOT(ISNUMBER(E168)),"",ROUND(('sheet1-指标体系'!$J$23-E168)/365.25,4))</x:f>
        <x:v>4.1944</x:v>
      </x:c>
      <x:c r="G168" s="4" t="str">
        <x:f t="shared" si="6">IF(NOT(ISNUMBER(F168)),"",IF(F168&lt;1,"不入池","入池"))</x:f>
        <x:v>入池</x:v>
      </x:c>
      <x:c r="H168" s="33" t="str">
        <x:v>20-50亿元</x:v>
      </x:c>
      <x:c r="I168" s="17" t="n">
        <x:f>IF(H168="","",IF(ISNUMBER(SEARCH("100亿元以上",H168)),100,IF(OR(ISNUMBER(SEARCH("20-50",H168)),ISNUMBER(SEARCH("50-100",H168)),ISNUMBER(SEARCH("20-100",H168))),90,IF(ISNUMBER(SEARCH("10-20",H168)),80,IF(ISNUMBER(SEARCH("5-10",H168)),70,IF(ISNUMBER(SEARCH("0-5",H168)),60,""))))))</x:f>
        <x:v>90</x:v>
      </x:c>
      <x:c r="J168" s="34" t="str">
        <x:v>无低于1000万元标识</x:v>
      </x:c>
      <x:c r="K168" s="17" t="n">
        <x:f>IF(J168="","",IF(J168="低于1000万元",0,100))</x:f>
        <x:v>100</x:v>
      </x:c>
      <x:c r="L168" s="17" t="n">
        <x:f>IF(NOT(ISNUMBER(F168)),"",IF(F168&lt;1,"",IF(F168&lt;3,70,100)))</x:f>
        <x:v>100</x:v>
      </x:c>
      <x:c r="M168" s="35" t="n">
        <x:f>IF(ISNUMBER('sheet4-原始数据'!G153),'sheet4-原始数据'!G153,"")</x:f>
        <x:v>0.0843</x:v>
      </x:c>
      <x:c r="N168" s="35" t="n">
        <x:f>IF(ISNUMBER('sheet4-原始数据'!H153),'sheet4-原始数据'!H153,"")</x:f>
        <x:v>0.1232</x:v>
      </x:c>
      <x:c r="O168" s="36" t="str">
        <x:f>IF(ISNUMBER('sheet4-原始数据'!Q153),'sheet4-原始数据'!Q153,"")</x:f>
      </x:c>
      <x:c r="P168" s="37" t="n">
        <x:f>IF($G168&lt;&gt;"入池","",IF($F168&gt;=3,IF(OR(NOT(ISNUMBER($M168)),NOT(ISNUMBER($N168)),1+$M168&lt;=0,1+$N168&lt;0),"",((1+$N168)^3/(1+$M168))^(1/2)-1),IF(OR($F168&lt;=1,NOT(ISNUMBER($M168)),NOT(ISNUMBER($O168)),1+$M168&lt;=0,1+$O168&lt;0),"",((1+$O168)^$F168/(1+$M168))^(1/($F168-1))-1)))</x:f>
        <x:v>0.1431702486672659</x:v>
      </x:c>
      <x:c r="Q168" s="17" t="n">
        <x:f>IF(OR($G168&lt;&gt;"入池",NOT(ISNUMBER(M168))),"",IF(COUNTIFS($G$17:$G$219,"入池",$M$17:$M$219,"&gt;=-1E+307",$M$17:$M$219,"&lt;=1E+307")&lt;=1,100,ROUND(100*(COUNTIFS($G$17:$G$219,"入池",$M$17:$M$219,"&gt;=-1E+307",$M$17:$M$219,"&lt;"&amp;M168)+COUNTIFS($G$17:$G$219,"入池",$M$17:$M$219,M168,$M$17:$M$219,"&gt;=-1E+307",$M$17:$M$219,"&lt;=1E+307")/2-0.5)/(COUNTIFS($G$17:$G$219,"入池",$M$17:$M$219,"&gt;=-1E+307",$M$17:$M$219,"&lt;=1E+307")-1),2)))</x:f>
        <x:v>73.27</x:v>
      </x:c>
      <x:c r="R168" s="17" t="n">
        <x:f>IF(OR($G168&lt;&gt;"入池",NOT(ISNUMBER(P168))),"",IF(COUNTIFS($G$17:$G$219,"入池",$P$17:$P$219,"&gt;=-1E+307",$P$17:$P$219,"&lt;=1E+307")&lt;=1,100,ROUND(100*(COUNTIFS($G$17:$G$219,"入池",$P$17:$P$219,"&gt;=-1E+307",$P$17:$P$219,"&lt;"&amp;P168)+COUNTIFS($G$17:$G$219,"入池",$P$17:$P$219,P168,$P$17:$P$219,"&gt;=-1E+307",$P$17:$P$219,"&lt;=1E+307")/2-0.5)/(COUNTIFS($G$17:$G$219,"入池",$P$17:$P$219,"&gt;=-1E+307",$P$17:$P$219,"&lt;=1E+307")-1),2)))</x:f>
        <x:v>87.62</x:v>
      </x:c>
      <x:c r="S168" s="17" t="n">
        <x:f>IF(NOT(ISNUMBER(Q168)),"",IF(NOT(ISNUMBER(R168)),Q168,ROUND(Q168*'sheet1-指标体系'!$J$8+R168*'sheet1-指标体系'!$J$9,2)))</x:f>
        <x:v>79.01</x:v>
      </x:c>
      <x:c r="T168" s="35" t="n">
        <x:f>IF(ISNUMBER('sheet4-原始数据'!J153),'sheet4-原始数据'!J153,"")</x:f>
        <x:v>0.6923</x:v>
      </x:c>
      <x:c r="U168" s="35" t="n">
        <x:f>IF(ISNUMBER('sheet4-原始数据'!I153),'sheet4-原始数据'!I153,"")</x:f>
        <x:v>0.7059000000000001</x:v>
      </x:c>
      <x:c r="V168" s="37" t="n">
        <x:f>IF(OR(NOT(ISNUMBER(T168)),NOT(ISNUMBER(U168))),"",(U168*'sheet1-指标体系'!$J$6-T168*'sheet1-指标体系'!$J$5)/'sheet1-指标体系'!$J$7)</x:f>
        <x:v>0.7132666666666667</x:v>
      </x:c>
      <x:c r="W168" s="17" t="n">
        <x:f>IF(NOT(ISNUMBER(T168)),"",T168*100)</x:f>
        <x:v>69.23</x:v>
      </x:c>
      <x:c r="X168" s="17" t="n">
        <x:f>IF($G168&lt;&gt;"入池","",IF(AND(ISNUMBER(V168),V168&gt;=0,V168&lt;=1),V168*100,IF(MAX(0,($F168-1)*12)&lt;6,100,"")))</x:f>
        <x:v>71.32666666666667</x:v>
      </x:c>
      <x:c r="Y168" s="17" t="n">
        <x:f>IF(NOT(ISNUMBER(W168)),"",IF(NOT(ISNUMBER(X168)),W168,ROUND(W168*'sheet1-指标体系'!$J$8+X168*'sheet1-指标体系'!$J$9,2)))</x:f>
        <x:v>70.07</x:v>
      </x:c>
      <x:c r="Z168" s="37" t="n">
        <x:f>IF(OR(NOT(ISNUMBER(M168)),NOT(ISNUMBER(AD168)),AD168=0),"",ABS(M168/AD168))</x:f>
        <x:v>0.018683096562576183</x:v>
      </x:c>
      <x:c r="AA168" s="35" t="n">
        <x:f>IF(ISNUMBER('sheet4-原始数据'!K153),'sheet4-原始数据'!K153,"")</x:f>
        <x:v>0.0187</x:v>
      </x:c>
      <x:c r="AB168" s="37" t="n">
        <x:f>IF(COUNT(Z168:AA168)=0,"",MAX(Z168:AA168))</x:f>
        <x:v>0.0187</x:v>
      </x:c>
      <x:c r="AC168" s="17" t="n">
        <x:f>IF(OR($G168&lt;&gt;"入池",NOT(ISNUMBER(AB168))),"",IF(COUNTIFS($G$17:$G$219,"入池",$AB$17:$AB$219,"&gt;=-1E+307",$AB$17:$AB$219,"&lt;=1E+307")&lt;=1,100,ROUND(100*(COUNTIFS($G$17:$G$219,"入池",$AB$17:$AB$219,"&lt;=1E+307",$AB$17:$AB$219,"&gt;"&amp;AB168)+COUNTIFS($G$17:$G$219,"入池",$AB$17:$AB$219,AB168,$AB$17:$AB$219,"&gt;=-1E+307",$AB$17:$AB$219,"&lt;=1E+307")/2-0.5)/(COUNTIFS($G$17:$G$219,"入池",$AB$17:$AB$219,"&gt;=-1E+307",$AB$17:$AB$219,"&lt;=1E+307")-1),2)))</x:f>
        <x:v>75.74</x:v>
      </x:c>
      <x:c r="AD168" s="38" t="n">
        <x:f>IF(ISNUMBER('sheet4-原始数据'!M153),'sheet4-原始数据'!M153,"")</x:f>
        <x:v>4.5121</x:v>
      </x:c>
      <x:c r="AE168" s="37" t="str">
        <x:f>IF(OR(NOT(ISNUMBER(P168)),NOT(ISNUMBER(AA168)),NOT(ISNUMBER(Z168))),"",IF(AA168&gt;Z168+'sheet1-指标体系'!$J$11,AA168,""))</x:f>
      </x:c>
      <x:c r="AF168" s="17" t="str">
        <x:f>IF(OR(NOT(ISNUMBER(P168)),NOT(ISNUMBER(AE168)),AE168=0),"",P168/AE168)</x:f>
      </x:c>
      <x:c r="AG168" s="17" t="n">
        <x:f>IF(OR($G168&lt;&gt;"入池",NOT(ISNUMBER(AD168))),"",IF(COUNTIFS($G$17:$G$219,"入池",$AD$17:$AD$219,"&gt;=-1E+307",$AD$17:$AD$219,"&lt;=1E+307")&lt;=1,100,ROUND(100*(COUNTIFS($G$17:$G$219,"入池",$AD$17:$AD$219,"&gt;=-1E+307",$AD$17:$AD$219,"&lt;"&amp;AD168)+COUNTIFS($G$17:$G$219,"入池",$AD$17:$AD$219,AD168,$AD$17:$AD$219,"&gt;=-1E+307",$AD$17:$AD$219,"&lt;=1E+307")/2-0.5)/(COUNTIFS($G$17:$G$219,"入池",$AD$17:$AD$219,"&gt;=-1E+307",$AD$17:$AD$219,"&lt;=1E+307")-1),2)))</x:f>
        <x:v>62.19</x:v>
      </x:c>
      <x:c r="AH168" s="17" t="str">
        <x:f>IF(OR($G168&lt;&gt;"入池",NOT(ISNUMBER(AF168))),"",IF(COUNTIFS($G$17:$G$219,"入池",$AF$17:$AF$219,"&gt;=-1E+307",$AF$17:$AF$219,"&lt;=1E+307")&lt;=1,100,ROUND(100*(COUNTIFS($G$17:$G$219,"入池",$AF$17:$AF$219,"&gt;=-1E+307",$AF$17:$AF$219,"&lt;"&amp;AF168)+COUNTIFS($G$17:$G$219,"入池",$AF$17:$AF$219,AF168,$AF$17:$AF$219,"&gt;=-1E+307",$AF$17:$AF$219,"&lt;=1E+307")/2-0.5)/(COUNTIFS($G$17:$G$219,"入池",$AF$17:$AF$219,"&gt;=-1E+307",$AF$17:$AF$219,"&lt;=1E+307")-1),2)))</x:f>
      </x:c>
      <x:c r="AI168" s="17" t="n">
        <x:f>IF(NOT(ISNUMBER(AG168)),"",IF(NOT(ISNUMBER(AH168)),AG168,ROUND(AG168*'sheet1-指标体系'!$J$8+AH168*'sheet1-指标体系'!$J$9,2)))</x:f>
        <x:v>62.19</x:v>
      </x:c>
      <x:c r="AJ168" s="37" t="n">
        <x:f>IF(NOT(ISNUMBER(F168)),"",IF(F168&gt;=3,IF(NOT(ISNUMBER(N168)),"",N168),IF(NOT(ISNUMBER(O168)),"",O168)))</x:f>
        <x:v>0.1232</x:v>
      </x:c>
      <x:c r="AK168" s="17" t="n">
        <x:f>IF(OR(G168&lt;&gt;"入池",NOT(ISNUMBER(M168)),NOT(ISNUMBER(AJ168))),"",IF(M168&gt;=AJ168,100,IF(AJ168-M168&lt;'sheet1-指标体系'!$J$10,80,60)))</x:f>
        <x:v>80</x:v>
      </x:c>
      <x:c r="AL168" s="17" t="n">
        <x:f>IF(COUNT(I168,K168,L168)=0,"",ROUND((IF(ISNUMBER(I168),I168*40%,0)+IF(ISNUMBER(K168),K168*30%,0)+IF(ISNUMBER(L168),L168*30%,0))/(IF(ISNUMBER(I168),40%,0)+IF(ISNUMBER(K168),30%,0)+IF(ISNUMBER(L168),30%,0)),2))</x:f>
        <x:v>96</x:v>
      </x:c>
      <x:c r="AM168" s="17" t="n">
        <x:f>IF(COUNT(Q168,R168,W168,X168)=0,"",ROUND((IF(ISNUMBER(Q168),Q168*42%,0)+IF(ISNUMBER(R168),R168*28%,0)+IF(ISNUMBER(W168),W168*18%,0)+IF(ISNUMBER(X168),X168*12%,0))/(IF(ISNUMBER(Q168),42%,0)+IF(ISNUMBER(R168),28%,0)+IF(ISNUMBER(W168),18%,0)+IF(ISNUMBER(X168),12%,0)),2))</x:f>
        <x:v>76.33</x:v>
      </x:c>
      <x:c r="AN168" s="17" t="n">
        <x:f>IF(ISNUMBER(AC168),AC168,"")</x:f>
        <x:v>75.74</x:v>
      </x:c>
      <x:c r="AO168" s="17" t="n">
        <x:f>IF(COUNT(AG168,AH168)=0,"",ROUND((IF(ISNUMBER(AG168),AG168*60%,0)+IF(ISNUMBER(AH168),AH168*40%,0))/(IF(ISNUMBER(AG168),60%,0)+IF(ISNUMBER(AH168),40%,0)),2))</x:f>
        <x:v>62.19</x:v>
      </x:c>
      <x:c r="AP168" s="17" t="n">
        <x:f>IF(ISNUMBER(AK168),AK168,"")</x:f>
        <x:v>80</x:v>
      </x:c>
      <x:c r="AQ168" s="39" t="n">
        <x:f>IF(G168&lt;&gt;"入池",0,IF(ISNUMBER(I168),6%,0)+IF(ISNUMBER(K168),4.5%,0)+IF(ISNUMBER(L168),4.5%,0)+IF(ISNUMBER(Q168),8.4%,0)+IF(ISNUMBER(R168),5.6%,0)+IF(ISNUMBER(W168),3.6%,0)+IF(ISNUMBER(X168),2.4%,0)+IF(ISNUMBER(AC168),25%,0)+IF(ISNUMBER(AG168),18%,0)+IF(ISNUMBER(AH168),12%,0)+IF(ISNUMBER(AK168),10%,0))</x:f>
        <x:v>0.88</x:v>
      </x:c>
      <x:c r="AR168" s="17" t="n">
        <x:f>IF(AQ168=0,"",IF(ISNUMBER(I168),I168*6%,0)+IF(ISNUMBER(K168),K168*4.5%,0)+IF(ISNUMBER(L168),L168*4.5%,0)+IF(ISNUMBER(Q168),Q168*8.4%,0)+IF(ISNUMBER(R168),R168*5.6%,0)+IF(ISNUMBER(W168),W168*3.6%,0)+IF(ISNUMBER(X168),X168*2.4%,0)+IF(ISNUMBER(AC168),AC168*25%,0)+IF(ISNUMBER(AG168),AG168*18%,0)+IF(ISNUMBER(AH168),AH168*12%,0)+IF(ISNUMBER(AK168),AK168*10%,0))</x:f>
        <x:v>67.79472</x:v>
      </x:c>
      <x:c r="AS168" s="17" t="n">
        <x:f>IF(AQ168=0,"",ROUND(AR168/AQ168,2))</x:f>
        <x:v>77.04</x:v>
      </x:c>
      <x:c r="AT168" s="40" t="n">
        <x:f>IF(OR(G168&lt;&gt;"入池",NOT(ISNUMBER(AS168))),"",COUNTIFS($G$17:$G$219,"入池",$AS$17:$AS$219,"&gt;"&amp;AS168)+COUNTIFS($G$17:$G$219,"入池",$AS$17:$AS$219,AS168,$AQ$17:$AQ$219,"&gt;"&amp;AQ168)+COUNTIFS($G$17:G168,"入池",$AS$17:AS168,AS168,$AQ$17:AQ168,AQ168))</x:f>
        <x:v>41</x:v>
      </x:c>
      <x:c r="AU168" s="41" t="str">
        <x:f t="shared" si="7">IF(NOT(ISNUMBER(I168)),"管理人规模；","")&amp;IF(J168="","产品规模标识；","")&amp;IF(AND(F168&lt;3,NOT(ISNUMBER(O168))),"R_incep；","")&amp;IF(NOT(ISNUMBER(N168)),"近三年收益；","")&amp;IF(NOT(ISNUMBER(U168)),"近三年胜率；","")&amp;IF(AND(ISNUMBER(V168),OR(V168&lt;0,V168&gt;1)),"胜率窗口口径不一致；","")&amp;IF(NOT(ISNUMBER(AA168)),"近三年回撤；","")&amp;IF(NOT(ISNUMBER(AD168)),"短期卡玛；","")&amp;IF(AND(ISNUMBER(P168),NOT(ISNUMBER(AE168))),"DD_long不可识别；","")</x:f>
        <x:v>DD_long不可识别；</x:v>
      </x:c>
      <x:c r="AV168" s="42" t="n">
        <x:v>20</x:v>
      </x:c>
      <x:c r="AW168" s="19" t="str">
        <x:v>上海金和晟私募基金管理有限公司</x:v>
      </x:c>
      <x:c r="AX168" s="19" t="str">
        <x:v>2026-03-27</x:v>
      </x:c>
      <x:c r="AY168" s="19" t="str">
        <x:v>https://gs.amac.org.cn/amac-infodisc/res/pof/manager/2010280957108370.html</x:v>
      </x:c>
      <x:c r="AZ168" s="19" t="str">
        <x:v>金和金诚5号私募证券投资基金</x:v>
      </x:c>
      <x:c r="BA168" s="19" t="str">
        <x:v>2025-09-23</x:v>
      </x:c>
      <x:c r="BB168" s="19"/>
      <x:c r="BC168" s="19" t="str">
        <x:v>https://gs.amac.org.cn/amac-infodisc/res/pof/fund/2207141704101581.html</x:v>
      </x:c>
      <x:c r="BD168" s="19" t="str">
        <x:v>已匹配</x:v>
      </x:c>
      <x:c r="BE168"/>
      <x:c r="BF168"/>
    </x:row>
    <x:row r="169" ht="28" customHeight="1">
      <x:c r="A169" s="4" t="n">
        <x:v>153</x:v>
      </x:c>
      <x:c r="B169" s="15" t="str">
        <x:f>'sheet4-原始数据'!A154</x:f>
        <x:v>守正卓越一号</x:v>
      </x:c>
      <x:c r="C169" s="15" t="str">
        <x:f>'sheet4-原始数据'!B154</x:f>
        <x:v>SVY984</x:v>
      </x:c>
      <x:c r="D169" s="15" t="str">
        <x:f>'sheet4-原始数据'!E154</x:f>
        <x:v>山东守正</x:v>
      </x:c>
      <x:c r="E169" s="32" t="n">
        <x:f>IF(ISNUMBER('sheet4-原始数据'!F154),'sheet4-原始数据'!F154,"")</x:f>
        <x:v>44769</x:v>
      </x:c>
      <x:c r="F169" s="17" t="n">
        <x:f>IF(NOT(ISNUMBER(E169)),"",ROUND(('sheet1-指标体系'!$J$23-E169)/365.25,4))</x:f>
        <x:v>4.1396</x:v>
      </x:c>
      <x:c r="G169" s="4" t="str">
        <x:f t="shared" si="6">IF(NOT(ISNUMBER(F169)),"",IF(F169&lt;1,"不入池","入池"))</x:f>
        <x:v>入池</x:v>
      </x:c>
      <x:c r="H169" s="33" t="str">
        <x:v>0-5亿元</x:v>
      </x:c>
      <x:c r="I169" s="17" t="n">
        <x:f>IF(H169="","",IF(ISNUMBER(SEARCH("100亿元以上",H169)),100,IF(OR(ISNUMBER(SEARCH("20-50",H169)),ISNUMBER(SEARCH("50-100",H169)),ISNUMBER(SEARCH("20-100",H169))),90,IF(ISNUMBER(SEARCH("10-20",H169)),80,IF(ISNUMBER(SEARCH("5-10",H169)),70,IF(ISNUMBER(SEARCH("0-5",H169)),60,""))))))</x:f>
        <x:v>60</x:v>
      </x:c>
      <x:c r="J169" s="34" t="str">
        <x:v>无低于1000万元标识</x:v>
      </x:c>
      <x:c r="K169" s="17" t="n">
        <x:f>IF(J169="","",IF(J169="低于1000万元",0,100))</x:f>
        <x:v>100</x:v>
      </x:c>
      <x:c r="L169" s="17" t="n">
        <x:f>IF(NOT(ISNUMBER(F169)),"",IF(F169&lt;1,"",IF(F169&lt;3,70,100)))</x:f>
        <x:v>100</x:v>
      </x:c>
      <x:c r="M169" s="35" t="n">
        <x:f>IF(ISNUMBER('sheet4-原始数据'!G154),'sheet4-原始数据'!G154,"")</x:f>
        <x:v>0.049800000000000004</x:v>
      </x:c>
      <x:c r="N169" s="35" t="n">
        <x:f>IF(ISNUMBER('sheet4-原始数据'!H154),'sheet4-原始数据'!H154,"")</x:f>
        <x:v>0.1057</x:v>
      </x:c>
      <x:c r="O169" s="36" t="str">
        <x:f>IF(ISNUMBER('sheet4-原始数据'!Q154),'sheet4-原始数据'!Q154,"")</x:f>
      </x:c>
      <x:c r="P169" s="37" t="n">
        <x:f>IF($G169&lt;&gt;"入池","",IF($F169&gt;=3,IF(OR(NOT(ISNUMBER($M169)),NOT(ISNUMBER($N169)),1+$M169&lt;=0,1+$N169&lt;0),"",((1+$N169)^3/(1+$M169))^(1/2)-1),IF(OR($F169&lt;=1,NOT(ISNUMBER($M169)),NOT(ISNUMBER($O169)),1+$M169&lt;=0,1+$O169&lt;0),"",((1+$O169)^$F169/(1+$M169))^(1/($F169-1))-1)))</x:f>
        <x:v>0.13475650279072338</x:v>
      </x:c>
      <x:c r="Q169" s="17" t="n">
        <x:f>IF(OR($G169&lt;&gt;"入池",NOT(ISNUMBER(M169))),"",IF(COUNTIFS($G$17:$G$219,"入池",$M$17:$M$219,"&gt;=-1E+307",$M$17:$M$219,"&lt;=1E+307")&lt;=1,100,ROUND(100*(COUNTIFS($G$17:$G$219,"入池",$M$17:$M$219,"&gt;=-1E+307",$M$17:$M$219,"&lt;"&amp;M169)+COUNTIFS($G$17:$G$219,"入池",$M$17:$M$219,M169,$M$17:$M$219,"&gt;=-1E+307",$M$17:$M$219,"&lt;=1E+307")/2-0.5)/(COUNTIFS($G$17:$G$219,"入池",$M$17:$M$219,"&gt;=-1E+307",$M$17:$M$219,"&lt;=1E+307")-1),2)))</x:f>
        <x:v>50</x:v>
      </x:c>
      <x:c r="R169" s="17" t="n">
        <x:f>IF(OR($G169&lt;&gt;"入池",NOT(ISNUMBER(P169))),"",IF(COUNTIFS($G$17:$G$219,"入池",$P$17:$P$219,"&gt;=-1E+307",$P$17:$P$219,"&lt;=1E+307")&lt;=1,100,ROUND(100*(COUNTIFS($G$17:$G$219,"入池",$P$17:$P$219,"&gt;=-1E+307",$P$17:$P$219,"&lt;"&amp;P169)+COUNTIFS($G$17:$G$219,"入池",$P$17:$P$219,P169,$P$17:$P$219,"&gt;=-1E+307",$P$17:$P$219,"&lt;=1E+307")/2-0.5)/(COUNTIFS($G$17:$G$219,"入池",$P$17:$P$219,"&gt;=-1E+307",$P$17:$P$219,"&lt;=1E+307")-1),2)))</x:f>
        <x:v>86.14</x:v>
      </x:c>
      <x:c r="S169" s="17" t="n">
        <x:f>IF(NOT(ISNUMBER(Q169)),"",IF(NOT(ISNUMBER(R169)),Q169,ROUND(Q169*'sheet1-指标体系'!$J$8+R169*'sheet1-指标体系'!$J$9,2)))</x:f>
        <x:v>64.46</x:v>
      </x:c>
      <x:c r="T169" s="35" t="n">
        <x:f>IF(ISNUMBER('sheet4-原始数据'!J154),'sheet4-原始数据'!J154,"")</x:f>
        <x:v>1</x:v>
      </x:c>
      <x:c r="U169" s="35" t="n">
        <x:f>IF(ISNUMBER('sheet4-原始数据'!I154),'sheet4-原始数据'!I154,"")</x:f>
        <x:v>0.7837999999999999</x:v>
      </x:c>
      <x:c r="V169" s="37" t="n">
        <x:f>IF(OR(NOT(ISNUMBER(T169)),NOT(ISNUMBER(U169))),"",(U169*'sheet1-指标体系'!$J$6-T169*'sheet1-指标体系'!$J$5)/'sheet1-指标体系'!$J$7)</x:f>
        <x:v>0.6666916666666666</x:v>
      </x:c>
      <x:c r="W169" s="17" t="n">
        <x:f>IF(NOT(ISNUMBER(T169)),"",T169*100)</x:f>
        <x:v>100</x:v>
      </x:c>
      <x:c r="X169" s="17" t="n">
        <x:f>IF($G169&lt;&gt;"入池","",IF(AND(ISNUMBER(V169),V169&gt;=0,V169&lt;=1),V169*100,IF(MAX(0,($F169-1)*12)&lt;6,100,"")))</x:f>
        <x:v>66.66916666666665</x:v>
      </x:c>
      <x:c r="Y169" s="17" t="n">
        <x:f>IF(NOT(ISNUMBER(W169)),"",IF(NOT(ISNUMBER(X169)),W169,ROUND(W169*'sheet1-指标体系'!$J$8+X169*'sheet1-指标体系'!$J$9,2)))</x:f>
        <x:v>86.67</x:v>
      </x:c>
      <x:c r="Z169" s="37" t="n">
        <x:f>IF(OR(NOT(ISNUMBER(M169)),NOT(ISNUMBER(AD169)),AD169=0),"",ABS(M169/AD169))</x:f>
        <x:v>0.0020608061973159866</x:v>
      </x:c>
      <x:c r="AA169" s="35" t="n">
        <x:f>IF(ISNUMBER('sheet4-原始数据'!K154),'sheet4-原始数据'!K154,"")</x:f>
        <x:v>0.1185</x:v>
      </x:c>
      <x:c r="AB169" s="37" t="n">
        <x:f>IF(COUNT(Z169:AA169)=0,"",MAX(Z169:AA169))</x:f>
        <x:v>0.1185</x:v>
      </x:c>
      <x:c r="AC169" s="17" t="n">
        <x:f>IF(OR($G169&lt;&gt;"入池",NOT(ISNUMBER(AB169))),"",IF(COUNTIFS($G$17:$G$219,"入池",$AB$17:$AB$219,"&gt;=-1E+307",$AB$17:$AB$219,"&lt;=1E+307")&lt;=1,100,ROUND(100*(COUNTIFS($G$17:$G$219,"入池",$AB$17:$AB$219,"&lt;=1E+307",$AB$17:$AB$219,"&gt;"&amp;AB169)+COUNTIFS($G$17:$G$219,"入池",$AB$17:$AB$219,AB169,$AB$17:$AB$219,"&gt;=-1E+307",$AB$17:$AB$219,"&lt;=1E+307")/2-0.5)/(COUNTIFS($G$17:$G$219,"入池",$AB$17:$AB$219,"&gt;=-1E+307",$AB$17:$AB$219,"&lt;=1E+307")-1),2)))</x:f>
        <x:v>19.8</x:v>
      </x:c>
      <x:c r="AD169" s="38" t="n">
        <x:f>IF(ISNUMBER('sheet4-原始数据'!M154),'sheet4-原始数据'!M154,"")</x:f>
        <x:v>24.1653</x:v>
      </x:c>
      <x:c r="AE169" s="37" t="n">
        <x:f>IF(OR(NOT(ISNUMBER(P169)),NOT(ISNUMBER(AA169)),NOT(ISNUMBER(Z169))),"",IF(AA169&gt;Z169+'sheet1-指标体系'!$J$11,AA169,""))</x:f>
        <x:v>0.1185</x:v>
      </x:c>
      <x:c r="AF169" s="17" t="n">
        <x:f>IF(OR(NOT(ISNUMBER(P169)),NOT(ISNUMBER(AE169)),AE169=0),"",P169/AE169)</x:f>
        <x:v>1.1371856775588471</x:v>
      </x:c>
      <x:c r="AG169" s="17" t="n">
        <x:f>IF(OR($G169&lt;&gt;"入池",NOT(ISNUMBER(AD169))),"",IF(COUNTIFS($G$17:$G$219,"入池",$AD$17:$AD$219,"&gt;=-1E+307",$AD$17:$AD$219,"&lt;=1E+307")&lt;=1,100,ROUND(100*(COUNTIFS($G$17:$G$219,"入池",$AD$17:$AD$219,"&gt;=-1E+307",$AD$17:$AD$219,"&lt;"&amp;AD169)+COUNTIFS($G$17:$G$219,"入池",$AD$17:$AD$219,AD169,$AD$17:$AD$219,"&gt;=-1E+307",$AD$17:$AD$219,"&lt;=1E+307")/2-0.5)/(COUNTIFS($G$17:$G$219,"入池",$AD$17:$AD$219,"&gt;=-1E+307",$AD$17:$AD$219,"&lt;=1E+307")-1),2)))</x:f>
        <x:v>90.55</x:v>
      </x:c>
      <x:c r="AH169" s="17" t="n">
        <x:f>IF(OR($G169&lt;&gt;"入池",NOT(ISNUMBER(AF169))),"",IF(COUNTIFS($G$17:$G$219,"入池",$AF$17:$AF$219,"&gt;=-1E+307",$AF$17:$AF$219,"&lt;=1E+307")&lt;=1,100,ROUND(100*(COUNTIFS($G$17:$G$219,"入池",$AF$17:$AF$219,"&gt;=-1E+307",$AF$17:$AF$219,"&lt;"&amp;AF169)+COUNTIFS($G$17:$G$219,"入池",$AF$17:$AF$219,AF169,$AF$17:$AF$219,"&gt;=-1E+307",$AF$17:$AF$219,"&lt;=1E+307")/2-0.5)/(COUNTIFS($G$17:$G$219,"入池",$AF$17:$AF$219,"&gt;=-1E+307",$AF$17:$AF$219,"&lt;=1E+307")-1),2)))</x:f>
        <x:v>47.45</x:v>
      </x:c>
      <x:c r="AI169" s="17" t="n">
        <x:f>IF(NOT(ISNUMBER(AG169)),"",IF(NOT(ISNUMBER(AH169)),AG169,ROUND(AG169*'sheet1-指标体系'!$J$8+AH169*'sheet1-指标体系'!$J$9,2)))</x:f>
        <x:v>73.31</x:v>
      </x:c>
      <x:c r="AJ169" s="37" t="n">
        <x:f>IF(NOT(ISNUMBER(F169)),"",IF(F169&gt;=3,IF(NOT(ISNUMBER(N169)),"",N169),IF(NOT(ISNUMBER(O169)),"",O169)))</x:f>
        <x:v>0.1057</x:v>
      </x:c>
      <x:c r="AK169" s="17" t="n">
        <x:f>IF(OR(G169&lt;&gt;"入池",NOT(ISNUMBER(M169)),NOT(ISNUMBER(AJ169))),"",IF(M169&gt;=AJ169,100,IF(AJ169-M169&lt;'sheet1-指标体系'!$J$10,80,60)))</x:f>
        <x:v>80</x:v>
      </x:c>
      <x:c r="AL169" s="17" t="n">
        <x:f>IF(COUNT(I169,K169,L169)=0,"",ROUND((IF(ISNUMBER(I169),I169*40%,0)+IF(ISNUMBER(K169),K169*30%,0)+IF(ISNUMBER(L169),L169*30%,0))/(IF(ISNUMBER(I169),40%,0)+IF(ISNUMBER(K169),30%,0)+IF(ISNUMBER(L169),30%,0)),2))</x:f>
        <x:v>84</x:v>
      </x:c>
      <x:c r="AM169" s="17" t="n">
        <x:f>IF(COUNT(Q169,R169,W169,X169)=0,"",ROUND((IF(ISNUMBER(Q169),Q169*42%,0)+IF(ISNUMBER(R169),R169*28%,0)+IF(ISNUMBER(W169),W169*18%,0)+IF(ISNUMBER(X169),X169*12%,0))/(IF(ISNUMBER(Q169),42%,0)+IF(ISNUMBER(R169),28%,0)+IF(ISNUMBER(W169),18%,0)+IF(ISNUMBER(X169),12%,0)),2))</x:f>
        <x:v>71.12</x:v>
      </x:c>
      <x:c r="AN169" s="17" t="n">
        <x:f>IF(ISNUMBER(AC169),AC169,"")</x:f>
        <x:v>19.8</x:v>
      </x:c>
      <x:c r="AO169" s="17" t="n">
        <x:f>IF(COUNT(AG169,AH169)=0,"",ROUND((IF(ISNUMBER(AG169),AG169*60%,0)+IF(ISNUMBER(AH169),AH169*40%,0))/(IF(ISNUMBER(AG169),60%,0)+IF(ISNUMBER(AH169),40%,0)),2))</x:f>
        <x:v>73.31</x:v>
      </x:c>
      <x:c r="AP169" s="17" t="n">
        <x:f>IF(ISNUMBER(AK169),AK169,"")</x:f>
        <x:v>80</x:v>
      </x:c>
      <x:c r="AQ169" s="39" t="n">
        <x:f>IF(G169&lt;&gt;"入池",0,IF(ISNUMBER(I169),6%,0)+IF(ISNUMBER(K169),4.5%,0)+IF(ISNUMBER(L169),4.5%,0)+IF(ISNUMBER(Q169),8.4%,0)+IF(ISNUMBER(R169),5.6%,0)+IF(ISNUMBER(W169),3.6%,0)+IF(ISNUMBER(X169),2.4%,0)+IF(ISNUMBER(AC169),25%,0)+IF(ISNUMBER(AG169),18%,0)+IF(ISNUMBER(AH169),12%,0)+IF(ISNUMBER(AK169),10%,0))</x:f>
        <x:v>1</x:v>
      </x:c>
      <x:c r="AR169" s="17" t="n">
        <x:f>IF(AQ169=0,"",IF(ISNUMBER(I169),I169*6%,0)+IF(ISNUMBER(K169),K169*4.5%,0)+IF(ISNUMBER(L169),L169*4.5%,0)+IF(ISNUMBER(Q169),Q169*8.4%,0)+IF(ISNUMBER(R169),R169*5.6%,0)+IF(ISNUMBER(W169),W169*3.6%,0)+IF(ISNUMBER(X169),X169*2.4%,0)+IF(ISNUMBER(AC169),AC169*25%,0)+IF(ISNUMBER(AG169),AG169*18%,0)+IF(ISNUMBER(AH169),AH169*12%,0)+IF(ISNUMBER(AK169),AK169*10%,0))</x:f>
        <x:v>61.76690000000001</x:v>
      </x:c>
      <x:c r="AS169" s="17" t="n">
        <x:f>IF(AQ169=0,"",ROUND(AR169/AQ169,2))</x:f>
        <x:v>61.77</x:v>
      </x:c>
      <x:c r="AT169" s="40" t="n">
        <x:f>IF(OR(G169&lt;&gt;"入池",NOT(ISNUMBER(AS169))),"",COUNTIFS($G$17:$G$219,"入池",$AS$17:$AS$219,"&gt;"&amp;AS169)+COUNTIFS($G$17:$G$219,"入池",$AS$17:$AS$219,AS169,$AQ$17:$AQ$219,"&gt;"&amp;AQ169)+COUNTIFS($G$17:G169,"入池",$AS$17:AS169,AS169,$AQ$17:AQ169,AQ169))</x:f>
        <x:v>99</x:v>
      </x:c>
      <x:c r="AU169" s="41" t="str">
        <x:f t="shared" si="7">IF(NOT(ISNUMBER(I169)),"管理人规模；","")&amp;IF(J169="","产品规模标识；","")&amp;IF(AND(F169&lt;3,NOT(ISNUMBER(O169))),"R_incep；","")&amp;IF(NOT(ISNUMBER(N169)),"近三年收益；","")&amp;IF(NOT(ISNUMBER(U169)),"近三年胜率；","")&amp;IF(AND(ISNUMBER(V169),OR(V169&lt;0,V169&gt;1)),"胜率窗口口径不一致；","")&amp;IF(NOT(ISNUMBER(AA169)),"近三年回撤；","")&amp;IF(NOT(ISNUMBER(AD169)),"短期卡玛；","")&amp;IF(AND(ISNUMBER(P169),NOT(ISNUMBER(AE169))),"DD_long不可识别；","")</x:f>
      </x:c>
      <x:c r="AV169" s="42" t="n">
        <x:v>0</x:v>
      </x:c>
      <x:c r="AW169" s="19" t="str">
        <x:v>山东守正私募基金管理有限公司</x:v>
      </x:c>
      <x:c r="AX169" s="19" t="str">
        <x:v>2023-07-31</x:v>
      </x:c>
      <x:c r="AY169" s="19" t="str">
        <x:v>https://gs.amac.org.cn/amac-infodisc/res/pof/manager/2111241907106834.html</x:v>
      </x:c>
      <x:c r="AZ169" s="19" t="str">
        <x:v>守正卓越一号私募证券投资基金</x:v>
      </x:c>
      <x:c r="BA169" s="19" t="str">
        <x:v>2025-03-04</x:v>
      </x:c>
      <x:c r="BB169" s="19"/>
      <x:c r="BC169" s="19" t="str">
        <x:v>https://gs.amac.org.cn/amac-infodisc/res/pof/fund/2208081957100560.html</x:v>
      </x:c>
      <x:c r="BD169" s="19" t="str">
        <x:v>已匹配</x:v>
      </x:c>
      <x:c r="BE169"/>
      <x:c r="BF169"/>
    </x:row>
    <x:row r="170" ht="28" customHeight="1">
      <x:c r="A170" s="4" t="n">
        <x:v>154</x:v>
      </x:c>
      <x:c r="B170" s="15" t="str">
        <x:f>'sheet4-原始数据'!A155</x:f>
        <x:v>东方富银宏观量化1号</x:v>
      </x:c>
      <x:c r="C170" s="15" t="str">
        <x:f>'sheet4-原始数据'!B155</x:f>
        <x:v>SXA890</x:v>
      </x:c>
      <x:c r="D170" s="15" t="str">
        <x:f>'sheet4-原始数据'!E155</x:f>
        <x:v>深圳东方富银投资</x:v>
      </x:c>
      <x:c r="E170" s="32" t="n">
        <x:f>IF(ISNUMBER('sheet4-原始数据'!F155),'sheet4-原始数据'!F155,"")</x:f>
        <x:v>44776</x:v>
      </x:c>
      <x:c r="F170" s="17" t="n">
        <x:f>IF(NOT(ISNUMBER(E170)),"",ROUND(('sheet1-指标体系'!$J$23-E170)/365.25,4))</x:f>
        <x:v>4.1205</x:v>
      </x:c>
      <x:c r="G170" s="4" t="str">
        <x:f t="shared" si="6">IF(NOT(ISNUMBER(F170)),"",IF(F170&lt;1,"不入池","入池"))</x:f>
        <x:v>入池</x:v>
      </x:c>
      <x:c r="H170" s="33" t="str">
        <x:v>0-5亿元</x:v>
      </x:c>
      <x:c r="I170" s="17" t="n">
        <x:f>IF(H170="","",IF(ISNUMBER(SEARCH("100亿元以上",H170)),100,IF(OR(ISNUMBER(SEARCH("20-50",H170)),ISNUMBER(SEARCH("50-100",H170)),ISNUMBER(SEARCH("20-100",H170))),90,IF(ISNUMBER(SEARCH("10-20",H170)),80,IF(ISNUMBER(SEARCH("5-10",H170)),70,IF(ISNUMBER(SEARCH("0-5",H170)),60,""))))))</x:f>
        <x:v>60</x:v>
      </x:c>
      <x:c r="J170" s="34" t="str">
        <x:v>无低于1000万元标识</x:v>
      </x:c>
      <x:c r="K170" s="17" t="n">
        <x:f>IF(J170="","",IF(J170="低于1000万元",0,100))</x:f>
        <x:v>100</x:v>
      </x:c>
      <x:c r="L170" s="17" t="n">
        <x:f>IF(NOT(ISNUMBER(F170)),"",IF(F170&lt;1,"",IF(F170&lt;3,70,100)))</x:f>
        <x:v>100</x:v>
      </x:c>
      <x:c r="M170" s="35" t="n">
        <x:f>IF(ISNUMBER('sheet4-原始数据'!G155),'sheet4-原始数据'!G155,"")</x:f>
        <x:v>0.0663</x:v>
      </x:c>
      <x:c r="N170" s="35" t="n">
        <x:f>IF(ISNUMBER('sheet4-原始数据'!H155),'sheet4-原始数据'!H155,"")</x:f>
        <x:v>0.0839</x:v>
      </x:c>
      <x:c r="O170" s="36" t="str">
        <x:f>IF(ISNUMBER('sheet4-原始数据'!Q155),'sheet4-原始数据'!Q155,"")</x:f>
      </x:c>
      <x:c r="P170" s="37" t="n">
        <x:f>IF($G170&lt;&gt;"入池","",IF($F170&gt;=3,IF(OR(NOT(ISNUMBER($M170)),NOT(ISNUMBER($N170)),1+$M170&lt;=0,1+$N170&lt;0),"",((1+$N170)^3/(1+$M170))^(1/2)-1),IF(OR($F170&lt;=1,NOT(ISNUMBER($M170)),NOT(ISNUMBER($O170)),1+$M170&lt;=0,1+$O170&lt;0),"",((1+$O170)^$F170/(1+$M170))^(1/($F170-1))-1)))</x:f>
        <x:v>0.09280863960600372</x:v>
      </x:c>
      <x:c r="Q170" s="17" t="n">
        <x:f>IF(OR($G170&lt;&gt;"入池",NOT(ISNUMBER(M170))),"",IF(COUNTIFS($G$17:$G$219,"入池",$M$17:$M$219,"&gt;=-1E+307",$M$17:$M$219,"&lt;=1E+307")&lt;=1,100,ROUND(100*(COUNTIFS($G$17:$G$219,"入池",$M$17:$M$219,"&gt;=-1E+307",$M$17:$M$219,"&lt;"&amp;M170)+COUNTIFS($G$17:$G$219,"入池",$M$17:$M$219,M170,$M$17:$M$219,"&gt;=-1E+307",$M$17:$M$219,"&lt;=1E+307")/2-0.5)/(COUNTIFS($G$17:$G$219,"入池",$M$17:$M$219,"&gt;=-1E+307",$M$17:$M$219,"&lt;=1E+307")-1),2)))</x:f>
        <x:v>59.9</x:v>
      </x:c>
      <x:c r="R170" s="17" t="n">
        <x:f>IF(OR($G170&lt;&gt;"入池",NOT(ISNUMBER(P170))),"",IF(COUNTIFS($G$17:$G$219,"入池",$P$17:$P$219,"&gt;=-1E+307",$P$17:$P$219,"&lt;=1E+307")&lt;=1,100,ROUND(100*(COUNTIFS($G$17:$G$219,"入池",$P$17:$P$219,"&gt;=-1E+307",$P$17:$P$219,"&lt;"&amp;P170)+COUNTIFS($G$17:$G$219,"入池",$P$17:$P$219,P170,$P$17:$P$219,"&gt;=-1E+307",$P$17:$P$219,"&lt;=1E+307")/2-0.5)/(COUNTIFS($G$17:$G$219,"入池",$P$17:$P$219,"&gt;=-1E+307",$P$17:$P$219,"&lt;=1E+307")-1),2)))</x:f>
        <x:v>70.79</x:v>
      </x:c>
      <x:c r="S170" s="17" t="n">
        <x:f>IF(NOT(ISNUMBER(Q170)),"",IF(NOT(ISNUMBER(R170)),Q170,ROUND(Q170*'sheet1-指标体系'!$J$8+R170*'sheet1-指标体系'!$J$9,2)))</x:f>
        <x:v>64.26</x:v>
      </x:c>
      <x:c r="T170" s="35" t="n">
        <x:f>IF(ISNUMBER('sheet4-原始数据'!J155),'sheet4-原始数据'!J155,"")</x:f>
        <x:v>0.9231</x:v>
      </x:c>
      <x:c r="U170" s="35" t="n">
        <x:f>IF(ISNUMBER('sheet4-原始数据'!I155),'sheet4-原始数据'!I155,"")</x:f>
        <x:v>0.7837999999999999</x:v>
      </x:c>
      <x:c r="V170" s="37" t="n">
        <x:f>IF(OR(NOT(ISNUMBER(T170)),NOT(ISNUMBER(U170))),"",(U170*'sheet1-指标体系'!$J$6-T170*'sheet1-指标体系'!$J$5)/'sheet1-指标体系'!$J$7)</x:f>
        <x:v>0.7083458333333331</x:v>
      </x:c>
      <x:c r="W170" s="17" t="n">
        <x:f>IF(NOT(ISNUMBER(T170)),"",T170*100)</x:f>
        <x:v>92.31</x:v>
      </x:c>
      <x:c r="X170" s="17" t="n">
        <x:f>IF($G170&lt;&gt;"入池","",IF(AND(ISNUMBER(V170),V170&gt;=0,V170&lt;=1),V170*100,IF(MAX(0,($F170-1)*12)&lt;6,100,"")))</x:f>
        <x:v>70.83458333333331</x:v>
      </x:c>
      <x:c r="Y170" s="17" t="n">
        <x:f>IF(NOT(ISNUMBER(W170)),"",IF(NOT(ISNUMBER(X170)),W170,ROUND(W170*'sheet1-指标体系'!$J$8+X170*'sheet1-指标体系'!$J$9,2)))</x:f>
        <x:v>83.72</x:v>
      </x:c>
      <x:c r="Z170" s="37" t="n">
        <x:f>IF(OR(NOT(ISNUMBER(M170)),NOT(ISNUMBER(AD170)),AD170=0),"",ABS(M170/AD170))</x:f>
        <x:v>0.00702308189358389</x:v>
      </x:c>
      <x:c r="AA170" s="35" t="n">
        <x:f>IF(ISNUMBER('sheet4-原始数据'!K155),'sheet4-原始数据'!K155,"")</x:f>
        <x:v>0.0347</x:v>
      </x:c>
      <x:c r="AB170" s="37" t="n">
        <x:f>IF(COUNT(Z170:AA170)=0,"",MAX(Z170:AA170))</x:f>
        <x:v>0.0347</x:v>
      </x:c>
      <x:c r="AC170" s="17" t="n">
        <x:f>IF(OR($G170&lt;&gt;"入池",NOT(ISNUMBER(AB170))),"",IF(COUNTIFS($G$17:$G$219,"入池",$AB$17:$AB$219,"&gt;=-1E+307",$AB$17:$AB$219,"&lt;=1E+307")&lt;=1,100,ROUND(100*(COUNTIFS($G$17:$G$219,"入池",$AB$17:$AB$219,"&lt;=1E+307",$AB$17:$AB$219,"&gt;"&amp;AB170)+COUNTIFS($G$17:$G$219,"入池",$AB$17:$AB$219,AB170,$AB$17:$AB$219,"&gt;=-1E+307",$AB$17:$AB$219,"&lt;=1E+307")/2-0.5)/(COUNTIFS($G$17:$G$219,"入池",$AB$17:$AB$219,"&gt;=-1E+307",$AB$17:$AB$219,"&lt;=1E+307")-1),2)))</x:f>
        <x:v>56.68</x:v>
      </x:c>
      <x:c r="AD170" s="38" t="n">
        <x:f>IF(ISNUMBER('sheet4-原始数据'!M155),'sheet4-原始数据'!M155,"")</x:f>
        <x:v>9.4403</x:v>
      </x:c>
      <x:c r="AE170" s="37" t="n">
        <x:f>IF(OR(NOT(ISNUMBER(P170)),NOT(ISNUMBER(AA170)),NOT(ISNUMBER(Z170))),"",IF(AA170&gt;Z170+'sheet1-指标体系'!$J$11,AA170,""))</x:f>
        <x:v>0.0347</x:v>
      </x:c>
      <x:c r="AF170" s="17" t="n">
        <x:f>IF(OR(NOT(ISNUMBER(P170)),NOT(ISNUMBER(AE170)),AE170=0),"",P170/AE170)</x:f>
        <x:v>2.6746005650145164</x:v>
      </x:c>
      <x:c r="AG170" s="17" t="n">
        <x:f>IF(OR($G170&lt;&gt;"入池",NOT(ISNUMBER(AD170))),"",IF(COUNTIFS($G$17:$G$219,"入池",$AD$17:$AD$219,"&gt;=-1E+307",$AD$17:$AD$219,"&lt;=1E+307")&lt;=1,100,ROUND(100*(COUNTIFS($G$17:$G$219,"入池",$AD$17:$AD$219,"&gt;=-1E+307",$AD$17:$AD$219,"&lt;"&amp;AD170)+COUNTIFS($G$17:$G$219,"入池",$AD$17:$AD$219,AD170,$AD$17:$AD$219,"&gt;=-1E+307",$AD$17:$AD$219,"&lt;=1E+307")/2-0.5)/(COUNTIFS($G$17:$G$219,"入池",$AD$17:$AD$219,"&gt;=-1E+307",$AD$17:$AD$219,"&lt;=1E+307")-1),2)))</x:f>
        <x:v>75.62</x:v>
      </x:c>
      <x:c r="AH170" s="17" t="n">
        <x:f>IF(OR($G170&lt;&gt;"入池",NOT(ISNUMBER(AF170))),"",IF(COUNTIFS($G$17:$G$219,"入池",$AF$17:$AF$219,"&gt;=-1E+307",$AF$17:$AF$219,"&lt;=1E+307")&lt;=1,100,ROUND(100*(COUNTIFS($G$17:$G$219,"入池",$AF$17:$AF$219,"&gt;=-1E+307",$AF$17:$AF$219,"&lt;"&amp;AF170)+COUNTIFS($G$17:$G$219,"入池",$AF$17:$AF$219,AF170,$AF$17:$AF$219,"&gt;=-1E+307",$AF$17:$AF$219,"&lt;=1E+307")/2-0.5)/(COUNTIFS($G$17:$G$219,"入池",$AF$17:$AF$219,"&gt;=-1E+307",$AF$17:$AF$219,"&lt;=1E+307")-1),2)))</x:f>
        <x:v>73.72</x:v>
      </x:c>
      <x:c r="AI170" s="17" t="n">
        <x:f>IF(NOT(ISNUMBER(AG170)),"",IF(NOT(ISNUMBER(AH170)),AG170,ROUND(AG170*'sheet1-指标体系'!$J$8+AH170*'sheet1-指标体系'!$J$9,2)))</x:f>
        <x:v>74.86</x:v>
      </x:c>
      <x:c r="AJ170" s="37" t="n">
        <x:f>IF(NOT(ISNUMBER(F170)),"",IF(F170&gt;=3,IF(NOT(ISNUMBER(N170)),"",N170),IF(NOT(ISNUMBER(O170)),"",O170)))</x:f>
        <x:v>0.0839</x:v>
      </x:c>
      <x:c r="AK170" s="17" t="n">
        <x:f>IF(OR(G170&lt;&gt;"入池",NOT(ISNUMBER(M170)),NOT(ISNUMBER(AJ170))),"",IF(M170&gt;=AJ170,100,IF(AJ170-M170&lt;'sheet1-指标体系'!$J$10,80,60)))</x:f>
        <x:v>80</x:v>
      </x:c>
      <x:c r="AL170" s="17" t="n">
        <x:f>IF(COUNT(I170,K170,L170)=0,"",ROUND((IF(ISNUMBER(I170),I170*40%,0)+IF(ISNUMBER(K170),K170*30%,0)+IF(ISNUMBER(L170),L170*30%,0))/(IF(ISNUMBER(I170),40%,0)+IF(ISNUMBER(K170),30%,0)+IF(ISNUMBER(L170),30%,0)),2))</x:f>
        <x:v>84</x:v>
      </x:c>
      <x:c r="AM170" s="17" t="n">
        <x:f>IF(COUNT(Q170,R170,W170,X170)=0,"",ROUND((IF(ISNUMBER(Q170),Q170*42%,0)+IF(ISNUMBER(R170),R170*28%,0)+IF(ISNUMBER(W170),W170*18%,0)+IF(ISNUMBER(X170),X170*12%,0))/(IF(ISNUMBER(Q170),42%,0)+IF(ISNUMBER(R170),28%,0)+IF(ISNUMBER(W170),18%,0)+IF(ISNUMBER(X170),12%,0)),2))</x:f>
        <x:v>70.1</x:v>
      </x:c>
      <x:c r="AN170" s="17" t="n">
        <x:f>IF(ISNUMBER(AC170),AC170,"")</x:f>
        <x:v>56.68</x:v>
      </x:c>
      <x:c r="AO170" s="17" t="n">
        <x:f>IF(COUNT(AG170,AH170)=0,"",ROUND((IF(ISNUMBER(AG170),AG170*60%,0)+IF(ISNUMBER(AH170),AH170*40%,0))/(IF(ISNUMBER(AG170),60%,0)+IF(ISNUMBER(AH170),40%,0)),2))</x:f>
        <x:v>74.86</x:v>
      </x:c>
      <x:c r="AP170" s="17" t="n">
        <x:f>IF(ISNUMBER(AK170),AK170,"")</x:f>
        <x:v>80</x:v>
      </x:c>
      <x:c r="AQ170" s="39" t="n">
        <x:f>IF(G170&lt;&gt;"入池",0,IF(ISNUMBER(I170),6%,0)+IF(ISNUMBER(K170),4.5%,0)+IF(ISNUMBER(L170),4.5%,0)+IF(ISNUMBER(Q170),8.4%,0)+IF(ISNUMBER(R170),5.6%,0)+IF(ISNUMBER(W170),3.6%,0)+IF(ISNUMBER(X170),2.4%,0)+IF(ISNUMBER(AC170),25%,0)+IF(ISNUMBER(AG170),18%,0)+IF(ISNUMBER(AH170),12%,0)+IF(ISNUMBER(AK170),10%,0))</x:f>
        <x:v>1</x:v>
      </x:c>
      <x:c r="AR170" s="17" t="n">
        <x:f>IF(AQ170=0,"",IF(ISNUMBER(I170),I170*6%,0)+IF(ISNUMBER(K170),K170*4.5%,0)+IF(ISNUMBER(L170),L170*4.5%,0)+IF(ISNUMBER(Q170),Q170*8.4%,0)+IF(ISNUMBER(R170),R170*5.6%,0)+IF(ISNUMBER(W170),W170*3.6%,0)+IF(ISNUMBER(X170),X170*2.4%,0)+IF(ISNUMBER(AC170),AC170*25%,0)+IF(ISNUMBER(AG170),AG170*18%,0)+IF(ISNUMBER(AH170),AH170*12%,0)+IF(ISNUMBER(AK170),AK170*10%,0))</x:f>
        <x:v>71.24703</x:v>
      </x:c>
      <x:c r="AS170" s="17" t="n">
        <x:f>IF(AQ170=0,"",ROUND(AR170/AQ170,2))</x:f>
        <x:v>71.25</x:v>
      </x:c>
      <x:c r="AT170" s="40" t="n">
        <x:f>IF(OR(G170&lt;&gt;"入池",NOT(ISNUMBER(AS170))),"",COUNTIFS($G$17:$G$219,"入池",$AS$17:$AS$219,"&gt;"&amp;AS170)+COUNTIFS($G$17:$G$219,"入池",$AS$17:$AS$219,AS170,$AQ$17:$AQ$219,"&gt;"&amp;AQ170)+COUNTIFS($G$17:G170,"入池",$AS$17:AS170,AS170,$AQ$17:AQ170,AQ170))</x:f>
        <x:v>65</x:v>
      </x:c>
      <x:c r="AU170" s="41" t="str">
        <x:f t="shared" si="7">IF(NOT(ISNUMBER(I170)),"管理人规模；","")&amp;IF(J170="","产品规模标识；","")&amp;IF(AND(F170&lt;3,NOT(ISNUMBER(O170))),"R_incep；","")&amp;IF(NOT(ISNUMBER(N170)),"近三年收益；","")&amp;IF(NOT(ISNUMBER(U170)),"近三年胜率；","")&amp;IF(AND(ISNUMBER(V170),OR(V170&lt;0,V170&gt;1)),"胜率窗口口径不一致；","")&amp;IF(NOT(ISNUMBER(AA170)),"近三年回撤；","")&amp;IF(NOT(ISNUMBER(AD170)),"短期卡玛；","")&amp;IF(AND(ISNUMBER(P170),NOT(ISNUMBER(AE170))),"DD_long不可识别；","")</x:f>
      </x:c>
      <x:c r="AV170" s="42" t="n">
        <x:v>0</x:v>
      </x:c>
      <x:c r="AW170" s="19" t="str">
        <x:v>深圳市东方富银投资管理有限公司</x:v>
      </x:c>
      <x:c r="AX170" s="19" t="str">
        <x:v>2026-02-03</x:v>
      </x:c>
      <x:c r="AY170" s="19" t="str">
        <x:v>https://gs.amac.org.cn/amac-infodisc/res/pof/manager/1803121751101388.html</x:v>
      </x:c>
      <x:c r="AZ170" s="19" t="str">
        <x:v>东方富银宏观量化1号私募证券投资基金</x:v>
      </x:c>
      <x:c r="BA170" s="19" t="str">
        <x:v>2022-08-11</x:v>
      </x:c>
      <x:c r="BB170" s="19"/>
      <x:c r="BC170" s="19" t="str">
        <x:v>https://gs.amac.org.cn/amac-infodisc/res/pof/fund/2208111702102050.html</x:v>
      </x:c>
      <x:c r="BD170" s="19" t="str">
        <x:v>已匹配</x:v>
      </x:c>
      <x:c r="BE170"/>
      <x:c r="BF170"/>
    </x:row>
    <x:row r="171" ht="28" customHeight="1">
      <x:c r="A171" s="4" t="n">
        <x:v>155</x:v>
      </x:c>
      <x:c r="B171" s="15" t="str">
        <x:f>'sheet4-原始数据'!A156</x:f>
        <x:v>致同添利套利多策略三期A类</x:v>
      </x:c>
      <x:c r="C171" s="15" t="str">
        <x:f>'sheet4-原始数据'!B156</x:f>
        <x:v>TY632A</x:v>
      </x:c>
      <x:c r="D171" s="15" t="str">
        <x:f>'sheet4-原始数据'!E156</x:f>
        <x:v>上海致同投资</x:v>
      </x:c>
      <x:c r="E171" s="32" t="n">
        <x:f>IF(ISNUMBER('sheet4-原始数据'!F156),'sheet4-原始数据'!F156,"")</x:f>
        <x:v>44770</x:v>
      </x:c>
      <x:c r="F171" s="17" t="n">
        <x:f>IF(NOT(ISNUMBER(E171)),"",ROUND(('sheet1-指标体系'!$J$23-E171)/365.25,4))</x:f>
        <x:v>4.1369</x:v>
      </x:c>
      <x:c r="G171" s="4" t="str">
        <x:f t="shared" si="6">IF(NOT(ISNUMBER(F171)),"",IF(F171&lt;1,"不入池","入池"))</x:f>
        <x:v>入池</x:v>
      </x:c>
      <x:c r="H171" s="33" t="str">
        <x:v>20-50亿元</x:v>
      </x:c>
      <x:c r="I171" s="17" t="n">
        <x:f>IF(H171="","",IF(ISNUMBER(SEARCH("100亿元以上",H171)),100,IF(OR(ISNUMBER(SEARCH("20-50",H171)),ISNUMBER(SEARCH("50-100",H171)),ISNUMBER(SEARCH("20-100",H171))),90,IF(ISNUMBER(SEARCH("10-20",H171)),80,IF(ISNUMBER(SEARCH("5-10",H171)),70,IF(ISNUMBER(SEARCH("0-5",H171)),60,""))))))</x:f>
        <x:v>90</x:v>
      </x:c>
      <x:c r="J171" s="34"/>
      <x:c r="K171" s="17" t="str">
        <x:f>IF(J171="","",IF(J171="低于1000万元",0,100))</x:f>
      </x:c>
      <x:c r="L171" s="17" t="n">
        <x:f>IF(NOT(ISNUMBER(F171)),"",IF(F171&lt;1,"",IF(F171&lt;3,70,100)))</x:f>
        <x:v>100</x:v>
      </x:c>
      <x:c r="M171" s="35" t="n">
        <x:f>IF(ISNUMBER('sheet4-原始数据'!G156),'sheet4-原始数据'!G156,"")</x:f>
        <x:v>0.0304</x:v>
      </x:c>
      <x:c r="N171" s="35" t="n">
        <x:f>IF(ISNUMBER('sheet4-原始数据'!H156),'sheet4-原始数据'!H156,"")</x:f>
        <x:v>0.0355</x:v>
      </x:c>
      <x:c r="O171" s="36" t="str">
        <x:f>IF(ISNUMBER('sheet4-原始数据'!Q156),'sheet4-原始数据'!Q156,"")</x:f>
      </x:c>
      <x:c r="P171" s="37" t="n">
        <x:f>IF($G171&lt;&gt;"入池","",IF($F171&gt;=3,IF(OR(NOT(ISNUMBER($M171)),NOT(ISNUMBER($N171)),1+$M171&lt;=0,1+$N171&lt;0),"",((1+$N171)^3/(1+$M171))^(1/2)-1),IF(OR($F171&lt;=1,NOT(ISNUMBER($M171)),NOT(ISNUMBER($O171)),1+$M171&lt;=0,1+$O171&lt;0),"",((1+$O171)^$F171/(1+$M171))^(1/($F171-1))-1)))</x:f>
        <x:v>0.03805945818983991</x:v>
      </x:c>
      <x:c r="Q171" s="17" t="n">
        <x:f>IF(OR($G171&lt;&gt;"入池",NOT(ISNUMBER(M171))),"",IF(COUNTIFS($G$17:$G$219,"入池",$M$17:$M$219,"&gt;=-1E+307",$M$17:$M$219,"&lt;=1E+307")&lt;=1,100,ROUND(100*(COUNTIFS($G$17:$G$219,"入池",$M$17:$M$219,"&gt;=-1E+307",$M$17:$M$219,"&lt;"&amp;M171)+COUNTIFS($G$17:$G$219,"入池",$M$17:$M$219,M171,$M$17:$M$219,"&gt;=-1E+307",$M$17:$M$219,"&lt;=1E+307")/2-0.5)/(COUNTIFS($G$17:$G$219,"入池",$M$17:$M$219,"&gt;=-1E+307",$M$17:$M$219,"&lt;=1E+307")-1),2)))</x:f>
        <x:v>34.41</x:v>
      </x:c>
      <x:c r="R171" s="17" t="n">
        <x:f>IF(OR($G171&lt;&gt;"入池",NOT(ISNUMBER(P171))),"",IF(COUNTIFS($G$17:$G$219,"入池",$P$17:$P$219,"&gt;=-1E+307",$P$17:$P$219,"&lt;=1E+307")&lt;=1,100,ROUND(100*(COUNTIFS($G$17:$G$219,"入池",$P$17:$P$219,"&gt;=-1E+307",$P$17:$P$219,"&lt;"&amp;P171)+COUNTIFS($G$17:$G$219,"入池",$P$17:$P$219,P171,$P$17:$P$219,"&gt;=-1E+307",$P$17:$P$219,"&lt;=1E+307")/2-0.5)/(COUNTIFS($G$17:$G$219,"入池",$P$17:$P$219,"&gt;=-1E+307",$P$17:$P$219,"&lt;=1E+307")-1),2)))</x:f>
        <x:v>24.01</x:v>
      </x:c>
      <x:c r="S171" s="17" t="n">
        <x:f>IF(NOT(ISNUMBER(Q171)),"",IF(NOT(ISNUMBER(R171)),Q171,ROUND(Q171*'sheet1-指标体系'!$J$8+R171*'sheet1-指标体系'!$J$9,2)))</x:f>
        <x:v>30.25</x:v>
      </x:c>
      <x:c r="T171" s="35" t="n">
        <x:f>IF(ISNUMBER('sheet4-原始数据'!J156),'sheet4-原始数据'!J156,"")</x:f>
        <x:v>0.7692</x:v>
      </x:c>
      <x:c r="U171" s="35" t="n">
        <x:f>IF(ISNUMBER('sheet4-原始数据'!I156),'sheet4-原始数据'!I156,"")</x:f>
        <x:v>0.7837999999999999</x:v>
      </x:c>
      <x:c r="V171" s="37" t="n">
        <x:f>IF(OR(NOT(ISNUMBER(T171)),NOT(ISNUMBER(U171))),"",(U171*'sheet1-指标体系'!$J$6-T171*'sheet1-指标体系'!$J$5)/'sheet1-指标体系'!$J$7)</x:f>
        <x:v>0.7917083333333332</x:v>
      </x:c>
      <x:c r="W171" s="17" t="n">
        <x:f>IF(NOT(ISNUMBER(T171)),"",T171*100)</x:f>
        <x:v>76.92</x:v>
      </x:c>
      <x:c r="X171" s="17" t="n">
        <x:f>IF($G171&lt;&gt;"入池","",IF(AND(ISNUMBER(V171),V171&gt;=0,V171&lt;=1),V171*100,IF(MAX(0,($F171-1)*12)&lt;6,100,"")))</x:f>
        <x:v>79.17083333333332</x:v>
      </x:c>
      <x:c r="Y171" s="17" t="n">
        <x:f>IF(NOT(ISNUMBER(W171)),"",IF(NOT(ISNUMBER(X171)),W171,ROUND(W171*'sheet1-指标体系'!$J$8+X171*'sheet1-指标体系'!$J$9,2)))</x:f>
        <x:v>77.82</x:v>
      </x:c>
      <x:c r="Z171" s="37" t="n">
        <x:f>IF(OR(NOT(ISNUMBER(M171)),NOT(ISNUMBER(AD171)),AD171=0),"",ABS(M171/AD171))</x:f>
        <x:v>0.008567724480018038</x:v>
      </x:c>
      <x:c r="AA171" s="35" t="n">
        <x:f>IF(ISNUMBER('sheet4-原始数据'!K156),'sheet4-原始数据'!K156,"")</x:f>
        <x:v>0.0086</x:v>
      </x:c>
      <x:c r="AB171" s="37" t="n">
        <x:f>IF(COUNT(Z171:AA171)=0,"",MAX(Z171:AA171))</x:f>
        <x:v>0.0086</x:v>
      </x:c>
      <x:c r="AC171" s="17" t="n">
        <x:f>IF(OR($G171&lt;&gt;"入池",NOT(ISNUMBER(AB171))),"",IF(COUNTIFS($G$17:$G$219,"入池",$AB$17:$AB$219,"&gt;=-1E+307",$AB$17:$AB$219,"&lt;=1E+307")&lt;=1,100,ROUND(100*(COUNTIFS($G$17:$G$219,"入池",$AB$17:$AB$219,"&lt;=1E+307",$AB$17:$AB$219,"&gt;"&amp;AB171)+COUNTIFS($G$17:$G$219,"入池",$AB$17:$AB$219,AB171,$AB$17:$AB$219,"&gt;=-1E+307",$AB$17:$AB$219,"&lt;=1E+307")/2-0.5)/(COUNTIFS($G$17:$G$219,"入池",$AB$17:$AB$219,"&gt;=-1E+307",$AB$17:$AB$219,"&lt;=1E+307")-1),2)))</x:f>
        <x:v>88.61</x:v>
      </x:c>
      <x:c r="AD171" s="38" t="n">
        <x:f>IF(ISNUMBER('sheet4-原始数据'!M156),'sheet4-原始数据'!M156,"")</x:f>
        <x:v>3.5482</x:v>
      </x:c>
      <x:c r="AE171" s="37" t="str">
        <x:f>IF(OR(NOT(ISNUMBER(P171)),NOT(ISNUMBER(AA171)),NOT(ISNUMBER(Z171))),"",IF(AA171&gt;Z171+'sheet1-指标体系'!$J$11,AA171,""))</x:f>
      </x:c>
      <x:c r="AF171" s="17" t="str">
        <x:f>IF(OR(NOT(ISNUMBER(P171)),NOT(ISNUMBER(AE171)),AE171=0),"",P171/AE171)</x:f>
      </x:c>
      <x:c r="AG171" s="17" t="n">
        <x:f>IF(OR($G171&lt;&gt;"入池",NOT(ISNUMBER(AD171))),"",IF(COUNTIFS($G$17:$G$219,"入池",$AD$17:$AD$219,"&gt;=-1E+307",$AD$17:$AD$219,"&lt;=1E+307")&lt;=1,100,ROUND(100*(COUNTIFS($G$17:$G$219,"入池",$AD$17:$AD$219,"&gt;=-1E+307",$AD$17:$AD$219,"&lt;"&amp;AD171)+COUNTIFS($G$17:$G$219,"入池",$AD$17:$AD$219,AD171,$AD$17:$AD$219,"&gt;=-1E+307",$AD$17:$AD$219,"&lt;=1E+307")/2-0.5)/(COUNTIFS($G$17:$G$219,"入池",$AD$17:$AD$219,"&gt;=-1E+307",$AD$17:$AD$219,"&lt;=1E+307")-1),2)))</x:f>
        <x:v>58.21</x:v>
      </x:c>
      <x:c r="AH171" s="17" t="str">
        <x:f>IF(OR($G171&lt;&gt;"入池",NOT(ISNUMBER(AF171))),"",IF(COUNTIFS($G$17:$G$219,"入池",$AF$17:$AF$219,"&gt;=-1E+307",$AF$17:$AF$219,"&lt;=1E+307")&lt;=1,100,ROUND(100*(COUNTIFS($G$17:$G$219,"入池",$AF$17:$AF$219,"&gt;=-1E+307",$AF$17:$AF$219,"&lt;"&amp;AF171)+COUNTIFS($G$17:$G$219,"入池",$AF$17:$AF$219,AF171,$AF$17:$AF$219,"&gt;=-1E+307",$AF$17:$AF$219,"&lt;=1E+307")/2-0.5)/(COUNTIFS($G$17:$G$219,"入池",$AF$17:$AF$219,"&gt;=-1E+307",$AF$17:$AF$219,"&lt;=1E+307")-1),2)))</x:f>
      </x:c>
      <x:c r="AI171" s="17" t="n">
        <x:f>IF(NOT(ISNUMBER(AG171)),"",IF(NOT(ISNUMBER(AH171)),AG171,ROUND(AG171*'sheet1-指标体系'!$J$8+AH171*'sheet1-指标体系'!$J$9,2)))</x:f>
        <x:v>58.21</x:v>
      </x:c>
      <x:c r="AJ171" s="37" t="n">
        <x:f>IF(NOT(ISNUMBER(F171)),"",IF(F171&gt;=3,IF(NOT(ISNUMBER(N171)),"",N171),IF(NOT(ISNUMBER(O171)),"",O171)))</x:f>
        <x:v>0.0355</x:v>
      </x:c>
      <x:c r="AK171" s="17" t="n">
        <x:f>IF(OR(G171&lt;&gt;"入池",NOT(ISNUMBER(M171)),NOT(ISNUMBER(AJ171))),"",IF(M171&gt;=AJ171,100,IF(AJ171-M171&lt;'sheet1-指标体系'!$J$10,80,60)))</x:f>
        <x:v>80</x:v>
      </x:c>
      <x:c r="AL171" s="17" t="n">
        <x:f>IF(COUNT(I171,K171,L171)=0,"",ROUND((IF(ISNUMBER(I171),I171*40%,0)+IF(ISNUMBER(K171),K171*30%,0)+IF(ISNUMBER(L171),L171*30%,0))/(IF(ISNUMBER(I171),40%,0)+IF(ISNUMBER(K171),30%,0)+IF(ISNUMBER(L171),30%,0)),2))</x:f>
        <x:v>94.29</x:v>
      </x:c>
      <x:c r="AM171" s="17" t="n">
        <x:f>IF(COUNT(Q171,R171,W171,X171)=0,"",ROUND((IF(ISNUMBER(Q171),Q171*42%,0)+IF(ISNUMBER(R171),R171*28%,0)+IF(ISNUMBER(W171),W171*18%,0)+IF(ISNUMBER(X171),X171*12%,0))/(IF(ISNUMBER(Q171),42%,0)+IF(ISNUMBER(R171),28%,0)+IF(ISNUMBER(W171),18%,0)+IF(ISNUMBER(X171),12%,0)),2))</x:f>
        <x:v>44.52</x:v>
      </x:c>
      <x:c r="AN171" s="17" t="n">
        <x:f>IF(ISNUMBER(AC171),AC171,"")</x:f>
        <x:v>88.61</x:v>
      </x:c>
      <x:c r="AO171" s="17" t="n">
        <x:f>IF(COUNT(AG171,AH171)=0,"",ROUND((IF(ISNUMBER(AG171),AG171*60%,0)+IF(ISNUMBER(AH171),AH171*40%,0))/(IF(ISNUMBER(AG171),60%,0)+IF(ISNUMBER(AH171),40%,0)),2))</x:f>
        <x:v>58.21</x:v>
      </x:c>
      <x:c r="AP171" s="17" t="n">
        <x:f>IF(ISNUMBER(AK171),AK171,"")</x:f>
        <x:v>80</x:v>
      </x:c>
      <x:c r="AQ171" s="39" t="n">
        <x:f>IF(G171&lt;&gt;"入池",0,IF(ISNUMBER(I171),6%,0)+IF(ISNUMBER(K171),4.5%,0)+IF(ISNUMBER(L171),4.5%,0)+IF(ISNUMBER(Q171),8.4%,0)+IF(ISNUMBER(R171),5.6%,0)+IF(ISNUMBER(W171),3.6%,0)+IF(ISNUMBER(X171),2.4%,0)+IF(ISNUMBER(AC171),25%,0)+IF(ISNUMBER(AG171),18%,0)+IF(ISNUMBER(AH171),12%,0)+IF(ISNUMBER(AK171),10%,0))</x:f>
        <x:v>0.8350000000000001</x:v>
      </x:c>
      <x:c r="AR171" s="17" t="n">
        <x:f>IF(AQ171=0,"",IF(ISNUMBER(I171),I171*6%,0)+IF(ISNUMBER(K171),K171*4.5%,0)+IF(ISNUMBER(L171),L171*4.5%,0)+IF(ISNUMBER(Q171),Q171*8.4%,0)+IF(ISNUMBER(R171),R171*5.6%,0)+IF(ISNUMBER(W171),W171*3.6%,0)+IF(ISNUMBER(X171),X171*2.4%,0)+IF(ISNUMBER(AC171),AC171*25%,0)+IF(ISNUMBER(AG171),AG171*18%,0)+IF(ISNUMBER(AH171),AH171*12%,0)+IF(ISNUMBER(AK171),AK171*10%,0))</x:f>
        <x:v>59.43452</x:v>
      </x:c>
      <x:c r="AS171" s="17" t="n">
        <x:f>IF(AQ171=0,"",ROUND(AR171/AQ171,2))</x:f>
        <x:v>71.18</x:v>
      </x:c>
      <x:c r="AT171" s="40" t="n">
        <x:f>IF(OR(G171&lt;&gt;"入池",NOT(ISNUMBER(AS171))),"",COUNTIFS($G$17:$G$219,"入池",$AS$17:$AS$219,"&gt;"&amp;AS171)+COUNTIFS($G$17:$G$219,"入池",$AS$17:$AS$219,AS171,$AQ$17:$AQ$219,"&gt;"&amp;AQ171)+COUNTIFS($G$17:G171,"入池",$AS$17:AS171,AS171,$AQ$17:AQ171,AQ171))</x:f>
        <x:v>66</x:v>
      </x:c>
      <x:c r="AU171" s="41" t="str">
        <x:f t="shared" si="7">IF(NOT(ISNUMBER(I171)),"管理人规模；","")&amp;IF(J171="","产品规模标识；","")&amp;IF(AND(F171&lt;3,NOT(ISNUMBER(O171))),"R_incep；","")&amp;IF(NOT(ISNUMBER(N171)),"近三年收益；","")&amp;IF(NOT(ISNUMBER(U171)),"近三年胜率；","")&amp;IF(AND(ISNUMBER(V171),OR(V171&lt;0,V171&gt;1)),"胜率窗口口径不一致；","")&amp;IF(NOT(ISNUMBER(AA171)),"近三年回撤；","")&amp;IF(NOT(ISNUMBER(AD171)),"短期卡玛；","")&amp;IF(AND(ISNUMBER(P171),NOT(ISNUMBER(AE171))),"DD_long不可识别；","")</x:f>
        <x:v>产品规模标识；DD_long不可识别；</x:v>
      </x:c>
      <x:c r="AV171" s="42" t="n">
        <x:v>20</x:v>
      </x:c>
      <x:c r="AW171" s="19" t="str">
        <x:v>上海致同投资管理有限公司</x:v>
      </x:c>
      <x:c r="AX171" s="19" t="str">
        <x:v>2026-03-16</x:v>
      </x:c>
      <x:c r="AY171" s="19" t="str">
        <x:v>https://gs.amac.org.cn/amac-infodisc/res/pof/manager/101000004339.html</x:v>
      </x:c>
      <x:c r="AZ171" s="19"/>
      <x:c r="BA171" s="19"/>
      <x:c r="BB171" s="19"/>
      <x:c r="BC171" s="19"/>
      <x:c r="BD171" s="19" t="str">
        <x:v>基金页未匹配；管理人已核验</x:v>
      </x:c>
      <x:c r="BE171"/>
      <x:c r="BF171"/>
    </x:row>
    <x:row r="172" ht="28" customHeight="1">
      <x:c r="A172" s="4" t="n">
        <x:v>156</x:v>
      </x:c>
      <x:c r="B172" s="15" t="str">
        <x:f>'sheet4-原始数据'!A157</x:f>
        <x:v>炽浪衍复9号</x:v>
      </x:c>
      <x:c r="C172" s="15" t="str">
        <x:f>'sheet4-原始数据'!B157</x:f>
        <x:v>SXH337</x:v>
      </x:c>
      <x:c r="D172" s="15" t="str">
        <x:f>'sheet4-原始数据'!E157</x:f>
        <x:v>海南炽浪</x:v>
      </x:c>
      <x:c r="E172" s="32" t="n">
        <x:f>IF(ISNUMBER('sheet4-原始数据'!F157),'sheet4-原始数据'!F157,"")</x:f>
        <x:v>44819</x:v>
      </x:c>
      <x:c r="F172" s="17" t="n">
        <x:f>IF(NOT(ISNUMBER(E172)),"",ROUND(('sheet1-指标体系'!$J$23-E172)/365.25,4))</x:f>
        <x:v>4.0027</x:v>
      </x:c>
      <x:c r="G172" s="4" t="str">
        <x:f t="shared" si="6">IF(NOT(ISNUMBER(F172)),"",IF(F172&lt;1,"不入池","入池"))</x:f>
        <x:v>入池</x:v>
      </x:c>
      <x:c r="H172" s="33" t="str">
        <x:v>0-5亿元</x:v>
      </x:c>
      <x:c r="I172" s="17" t="n">
        <x:f>IF(H172="","",IF(ISNUMBER(SEARCH("100亿元以上",H172)),100,IF(OR(ISNUMBER(SEARCH("20-50",H172)),ISNUMBER(SEARCH("50-100",H172)),ISNUMBER(SEARCH("20-100",H172))),90,IF(ISNUMBER(SEARCH("10-20",H172)),80,IF(ISNUMBER(SEARCH("5-10",H172)),70,IF(ISNUMBER(SEARCH("0-5",H172)),60,""))))))</x:f>
        <x:v>60</x:v>
      </x:c>
      <x:c r="J172" s="34" t="str">
        <x:v>无低于1000万元标识</x:v>
      </x:c>
      <x:c r="K172" s="17" t="n">
        <x:f>IF(J172="","",IF(J172="低于1000万元",0,100))</x:f>
        <x:v>100</x:v>
      </x:c>
      <x:c r="L172" s="17" t="n">
        <x:f>IF(NOT(ISNUMBER(F172)),"",IF(F172&lt;1,"",IF(F172&lt;3,70,100)))</x:f>
        <x:v>100</x:v>
      </x:c>
      <x:c r="M172" s="35" t="n">
        <x:f>IF(ISNUMBER('sheet4-原始数据'!G157),'sheet4-原始数据'!G157,"")</x:f>
        <x:v>0.8868</x:v>
      </x:c>
      <x:c r="N172" s="35" t="n">
        <x:f>IF(ISNUMBER('sheet4-原始数据'!H157),'sheet4-原始数据'!H157,"")</x:f>
        <x:v>0.44409999999999994</x:v>
      </x:c>
      <x:c r="O172" s="36" t="str">
        <x:f>IF(ISNUMBER('sheet4-原始数据'!Q157),'sheet4-原始数据'!Q157,"")</x:f>
      </x:c>
      <x:c r="P172" s="37" t="n">
        <x:f>IF($G172&lt;&gt;"入池","",IF($F172&gt;=3,IF(OR(NOT(ISNUMBER($M172)),NOT(ISNUMBER($N172)),1+$M172&lt;=0,1+$N172&lt;0),"",((1+$N172)^3/(1+$M172))^(1/2)-1),IF(OR($F172&lt;=1,NOT(ISNUMBER($M172)),NOT(ISNUMBER($O172)),1+$M172&lt;=0,1+$O172&lt;0),"",((1+$O172)^$F172/(1+$M172))^(1/($F172-1))-1)))</x:f>
        <x:v>0.2633770057343514</x:v>
      </x:c>
      <x:c r="Q172" s="17" t="n">
        <x:f>IF(OR($G172&lt;&gt;"入池",NOT(ISNUMBER(M172))),"",IF(COUNTIFS($G$17:$G$219,"入池",$M$17:$M$219,"&gt;=-1E+307",$M$17:$M$219,"&lt;=1E+307")&lt;=1,100,ROUND(100*(COUNTIFS($G$17:$G$219,"入池",$M$17:$M$219,"&gt;=-1E+307",$M$17:$M$219,"&lt;"&amp;M172)+COUNTIFS($G$17:$G$219,"入池",$M$17:$M$219,M172,$M$17:$M$219,"&gt;=-1E+307",$M$17:$M$219,"&lt;=1E+307")/2-0.5)/(COUNTIFS($G$17:$G$219,"入池",$M$17:$M$219,"&gt;=-1E+307",$M$17:$M$219,"&lt;=1E+307")-1),2)))</x:f>
        <x:v>99.5</x:v>
      </x:c>
      <x:c r="R172" s="17" t="n">
        <x:f>IF(OR($G172&lt;&gt;"入池",NOT(ISNUMBER(P172))),"",IF(COUNTIFS($G$17:$G$219,"入池",$P$17:$P$219,"&gt;=-1E+307",$P$17:$P$219,"&lt;=1E+307")&lt;=1,100,ROUND(100*(COUNTIFS($G$17:$G$219,"入池",$P$17:$P$219,"&gt;=-1E+307",$P$17:$P$219,"&lt;"&amp;P172)+COUNTIFS($G$17:$G$219,"入池",$P$17:$P$219,P172,$P$17:$P$219,"&gt;=-1E+307",$P$17:$P$219,"&lt;=1E+307")/2-0.5)/(COUNTIFS($G$17:$G$219,"入池",$P$17:$P$219,"&gt;=-1E+307",$P$17:$P$219,"&lt;=1E+307")-1),2)))</x:f>
        <x:v>97.03</x:v>
      </x:c>
      <x:c r="S172" s="17" t="n">
        <x:f>IF(NOT(ISNUMBER(Q172)),"",IF(NOT(ISNUMBER(R172)),Q172,ROUND(Q172*'sheet1-指标体系'!$J$8+R172*'sheet1-指标体系'!$J$9,2)))</x:f>
        <x:v>98.51</x:v>
      </x:c>
      <x:c r="T172" s="35" t="n">
        <x:f>IF(ISNUMBER('sheet4-原始数据'!J157),'sheet4-原始数据'!J157,"")</x:f>
        <x:v>0.6154</x:v>
      </x:c>
      <x:c r="U172" s="35" t="n">
        <x:f>IF(ISNUMBER('sheet4-原始数据'!I157),'sheet4-原始数据'!I157,"")</x:f>
        <x:v>0.5676</x:v>
      </x:c>
      <x:c r="V172" s="37" t="n">
        <x:f>IF(OR(NOT(ISNUMBER(T172)),NOT(ISNUMBER(U172))),"",(U172*'sheet1-指标体系'!$J$6-T172*'sheet1-指标体系'!$J$5)/'sheet1-指标体系'!$J$7)</x:f>
        <x:v>0.5417083333333333</x:v>
      </x:c>
      <x:c r="W172" s="17" t="n">
        <x:f>IF(NOT(ISNUMBER(T172)),"",T172*100)</x:f>
        <x:v>61.53999999999999</x:v>
      </x:c>
      <x:c r="X172" s="17" t="n">
        <x:f>IF($G172&lt;&gt;"入池","",IF(AND(ISNUMBER(V172),V172&gt;=0,V172&lt;=1),V172*100,IF(MAX(0,($F172-1)*12)&lt;6,100,"")))</x:f>
        <x:v>54.170833333333334</x:v>
      </x:c>
      <x:c r="Y172" s="17" t="n">
        <x:f>IF(NOT(ISNUMBER(W172)),"",IF(NOT(ISNUMBER(X172)),W172,ROUND(W172*'sheet1-指标体系'!$J$8+X172*'sheet1-指标体系'!$J$9,2)))</x:f>
        <x:v>58.59</x:v>
      </x:c>
      <x:c r="Z172" s="37" t="n">
        <x:f>IF(OR(NOT(ISNUMBER(M172)),NOT(ISNUMBER(AD172)),AD172=0),"",ABS(M172/AD172))</x:f>
        <x:v>0.19344283751063412</x:v>
      </x:c>
      <x:c r="AA172" s="35" t="n">
        <x:f>IF(ISNUMBER('sheet4-原始数据'!K157),'sheet4-原始数据'!K157,"")</x:f>
        <x:v>0.32049999999999995</x:v>
      </x:c>
      <x:c r="AB172" s="37" t="n">
        <x:f>IF(COUNT(Z172:AA172)=0,"",MAX(Z172:AA172))</x:f>
        <x:v>0.32049999999999995</x:v>
      </x:c>
      <x:c r="AC172" s="17" t="n">
        <x:f>IF(OR($G172&lt;&gt;"入池",NOT(ISNUMBER(AB172))),"",IF(COUNTIFS($G$17:$G$219,"入池",$AB$17:$AB$219,"&gt;=-1E+307",$AB$17:$AB$219,"&lt;=1E+307")&lt;=1,100,ROUND(100*(COUNTIFS($G$17:$G$219,"入池",$AB$17:$AB$219,"&lt;=1E+307",$AB$17:$AB$219,"&gt;"&amp;AB172)+COUNTIFS($G$17:$G$219,"入池",$AB$17:$AB$219,AB172,$AB$17:$AB$219,"&gt;=-1E+307",$AB$17:$AB$219,"&lt;=1E+307")/2-0.5)/(COUNTIFS($G$17:$G$219,"入池",$AB$17:$AB$219,"&gt;=-1E+307",$AB$17:$AB$219,"&lt;=1E+307")-1),2)))</x:f>
        <x:v>4.46</x:v>
      </x:c>
      <x:c r="AD172" s="38" t="n">
        <x:f>IF(ISNUMBER('sheet4-原始数据'!M157),'sheet4-原始数据'!M157,"")</x:f>
        <x:v>4.5843</x:v>
      </x:c>
      <x:c r="AE172" s="37" t="n">
        <x:f>IF(OR(NOT(ISNUMBER(P172)),NOT(ISNUMBER(AA172)),NOT(ISNUMBER(Z172))),"",IF(AA172&gt;Z172+'sheet1-指标体系'!$J$11,AA172,""))</x:f>
        <x:v>0.32049999999999995</x:v>
      </x:c>
      <x:c r="AF172" s="17" t="n">
        <x:f>IF(OR(NOT(ISNUMBER(P172)),NOT(ISNUMBER(AE172)),AE172=0),"",P172/AE172)</x:f>
        <x:v>0.8217691286563228</x:v>
      </x:c>
      <x:c r="AG172" s="17" t="n">
        <x:f>IF(OR($G172&lt;&gt;"入池",NOT(ISNUMBER(AD172))),"",IF(COUNTIFS($G$17:$G$219,"入池",$AD$17:$AD$219,"&gt;=-1E+307",$AD$17:$AD$219,"&lt;=1E+307")&lt;=1,100,ROUND(100*(COUNTIFS($G$17:$G$219,"入池",$AD$17:$AD$219,"&gt;=-1E+307",$AD$17:$AD$219,"&lt;"&amp;AD172)+COUNTIFS($G$17:$G$219,"入池",$AD$17:$AD$219,AD172,$AD$17:$AD$219,"&gt;=-1E+307",$AD$17:$AD$219,"&lt;=1E+307")/2-0.5)/(COUNTIFS($G$17:$G$219,"入池",$AD$17:$AD$219,"&gt;=-1E+307",$AD$17:$AD$219,"&lt;=1E+307")-1),2)))</x:f>
        <x:v>62.69</x:v>
      </x:c>
      <x:c r="AH172" s="17" t="n">
        <x:f>IF(OR($G172&lt;&gt;"入池",NOT(ISNUMBER(AF172))),"",IF(COUNTIFS($G$17:$G$219,"入池",$AF$17:$AF$219,"&gt;=-1E+307",$AF$17:$AF$219,"&lt;=1E+307")&lt;=1,100,ROUND(100*(COUNTIFS($G$17:$G$219,"入池",$AF$17:$AF$219,"&gt;=-1E+307",$AF$17:$AF$219,"&lt;"&amp;AF172)+COUNTIFS($G$17:$G$219,"入池",$AF$17:$AF$219,AF172,$AF$17:$AF$219,"&gt;=-1E+307",$AF$17:$AF$219,"&lt;=1E+307")/2-0.5)/(COUNTIFS($G$17:$G$219,"入池",$AF$17:$AF$219,"&gt;=-1E+307",$AF$17:$AF$219,"&lt;=1E+307")-1),2)))</x:f>
        <x:v>31.39</x:v>
      </x:c>
      <x:c r="AI172" s="17" t="n">
        <x:f>IF(NOT(ISNUMBER(AG172)),"",IF(NOT(ISNUMBER(AH172)),AG172,ROUND(AG172*'sheet1-指标体系'!$J$8+AH172*'sheet1-指标体系'!$J$9,2)))</x:f>
        <x:v>50.17</x:v>
      </x:c>
      <x:c r="AJ172" s="37" t="n">
        <x:f>IF(NOT(ISNUMBER(F172)),"",IF(F172&gt;=3,IF(NOT(ISNUMBER(N172)),"",N172),IF(NOT(ISNUMBER(O172)),"",O172)))</x:f>
        <x:v>0.44409999999999994</x:v>
      </x:c>
      <x:c r="AK172" s="17" t="n">
        <x:f>IF(OR(G172&lt;&gt;"入池",NOT(ISNUMBER(M172)),NOT(ISNUMBER(AJ172))),"",IF(M172&gt;=AJ172,100,IF(AJ172-M172&lt;'sheet1-指标体系'!$J$10,80,60)))</x:f>
        <x:v>100</x:v>
      </x:c>
      <x:c r="AL172" s="17" t="n">
        <x:f>IF(COUNT(I172,K172,L172)=0,"",ROUND((IF(ISNUMBER(I172),I172*40%,0)+IF(ISNUMBER(K172),K172*30%,0)+IF(ISNUMBER(L172),L172*30%,0))/(IF(ISNUMBER(I172),40%,0)+IF(ISNUMBER(K172),30%,0)+IF(ISNUMBER(L172),30%,0)),2))</x:f>
        <x:v>84</x:v>
      </x:c>
      <x:c r="AM172" s="17" t="n">
        <x:f>IF(COUNT(Q172,R172,W172,X172)=0,"",ROUND((IF(ISNUMBER(Q172),Q172*42%,0)+IF(ISNUMBER(R172),R172*28%,0)+IF(ISNUMBER(W172),W172*18%,0)+IF(ISNUMBER(X172),X172*12%,0))/(IF(ISNUMBER(Q172),42%,0)+IF(ISNUMBER(R172),28%,0)+IF(ISNUMBER(W172),18%,0)+IF(ISNUMBER(X172),12%,0)),2))</x:f>
        <x:v>86.54</x:v>
      </x:c>
      <x:c r="AN172" s="17" t="n">
        <x:f>IF(ISNUMBER(AC172),AC172,"")</x:f>
        <x:v>4.46</x:v>
      </x:c>
      <x:c r="AO172" s="17" t="n">
        <x:f>IF(COUNT(AG172,AH172)=0,"",ROUND((IF(ISNUMBER(AG172),AG172*60%,0)+IF(ISNUMBER(AH172),AH172*40%,0))/(IF(ISNUMBER(AG172),60%,0)+IF(ISNUMBER(AH172),40%,0)),2))</x:f>
        <x:v>50.17</x:v>
      </x:c>
      <x:c r="AP172" s="17" t="n">
        <x:f>IF(ISNUMBER(AK172),AK172,"")</x:f>
        <x:v>100</x:v>
      </x:c>
      <x:c r="AQ172" s="39" t="n">
        <x:f>IF(G172&lt;&gt;"入池",0,IF(ISNUMBER(I172),6%,0)+IF(ISNUMBER(K172),4.5%,0)+IF(ISNUMBER(L172),4.5%,0)+IF(ISNUMBER(Q172),8.4%,0)+IF(ISNUMBER(R172),5.6%,0)+IF(ISNUMBER(W172),3.6%,0)+IF(ISNUMBER(X172),2.4%,0)+IF(ISNUMBER(AC172),25%,0)+IF(ISNUMBER(AG172),18%,0)+IF(ISNUMBER(AH172),12%,0)+IF(ISNUMBER(AK172),10%,0))</x:f>
        <x:v>1</x:v>
      </x:c>
      <x:c r="AR172" s="17" t="n">
        <x:f>IF(AQ172=0,"",IF(ISNUMBER(I172),I172*6%,0)+IF(ISNUMBER(K172),K172*4.5%,0)+IF(ISNUMBER(L172),L172*4.5%,0)+IF(ISNUMBER(Q172),Q172*8.4%,0)+IF(ISNUMBER(R172),R172*5.6%,0)+IF(ISNUMBER(W172),W172*3.6%,0)+IF(ISNUMBER(X172),X172*2.4%,0)+IF(ISNUMBER(AC172),AC172*25%,0)+IF(ISNUMBER(AG172),AG172*18%,0)+IF(ISNUMBER(AH172),AH172*12%,0)+IF(ISNUMBER(AK172),AK172*10%,0))</x:f>
        <x:v>56.07321999999999</x:v>
      </x:c>
      <x:c r="AS172" s="17" t="n">
        <x:f>IF(AQ172=0,"",ROUND(AR172/AQ172,2))</x:f>
        <x:v>56.07</x:v>
      </x:c>
      <x:c r="AT172" s="40" t="n">
        <x:f>IF(OR(G172&lt;&gt;"入池",NOT(ISNUMBER(AS172))),"",COUNTIFS($G$17:$G$219,"入池",$AS$17:$AS$219,"&gt;"&amp;AS172)+COUNTIFS($G$17:$G$219,"入池",$AS$17:$AS$219,AS172,$AQ$17:$AQ$219,"&gt;"&amp;AQ172)+COUNTIFS($G$17:G172,"入池",$AS$17:AS172,AS172,$AQ$17:AQ172,AQ172))</x:f>
        <x:v>123</x:v>
      </x:c>
      <x:c r="AU172" s="41" t="str">
        <x:f t="shared" si="7">IF(NOT(ISNUMBER(I172)),"管理人规模；","")&amp;IF(J172="","产品规模标识；","")&amp;IF(AND(F172&lt;3,NOT(ISNUMBER(O172))),"R_incep；","")&amp;IF(NOT(ISNUMBER(N172)),"近三年收益；","")&amp;IF(NOT(ISNUMBER(U172)),"近三年胜率；","")&amp;IF(AND(ISNUMBER(V172),OR(V172&lt;0,V172&gt;1)),"胜率窗口口径不一致；","")&amp;IF(NOT(ISNUMBER(AA172)),"近三年回撤；","")&amp;IF(NOT(ISNUMBER(AD172)),"短期卡玛；","")&amp;IF(AND(ISNUMBER(P172),NOT(ISNUMBER(AE172))),"DD_long不可识别；","")</x:f>
      </x:c>
      <x:c r="AV172" s="42" t="n">
        <x:v>0</x:v>
      </x:c>
      <x:c r="AW172" s="19" t="str">
        <x:v>炽浪私募基金（海南）合伙企业（有限合伙）</x:v>
      </x:c>
      <x:c r="AX172" s="19" t="str">
        <x:v>2026-02-10</x:v>
      </x:c>
      <x:c r="AY172" s="19" t="str">
        <x:v>https://gs.amac.org.cn/amac-infodisc/res/pof/manager/2005090837103499.html</x:v>
      </x:c>
      <x:c r="AZ172" s="19" t="str">
        <x:v>炽浪衍复9号私募证券投资基金</x:v>
      </x:c>
      <x:c r="BA172" s="19" t="str">
        <x:v>2026-07-20</x:v>
      </x:c>
      <x:c r="BB172" s="19"/>
      <x:c r="BC172" s="19" t="str">
        <x:v>https://gs.amac.org.cn/amac-infodisc/res/pof/fund/2209211854100874.html</x:v>
      </x:c>
      <x:c r="BD172" s="19" t="str">
        <x:v>已匹配</x:v>
      </x:c>
      <x:c r="BE172"/>
      <x:c r="BF172"/>
    </x:row>
    <x:row r="173" ht="28" customHeight="1">
      <x:c r="A173" s="4" t="n">
        <x:v>157</x:v>
      </x:c>
      <x:c r="B173" s="15" t="str">
        <x:f>'sheet4-原始数据'!A158</x:f>
        <x:v>岳鑫遥1号</x:v>
      </x:c>
      <x:c r="C173" s="15" t="str">
        <x:f>'sheet4-原始数据'!B158</x:f>
        <x:v>SXJ331</x:v>
      </x:c>
      <x:c r="D173" s="15" t="str">
        <x:f>'sheet4-原始数据'!E158</x:f>
        <x:v>北京岳鑫遥</x:v>
      </x:c>
      <x:c r="E173" s="32" t="n">
        <x:f>IF(ISNUMBER('sheet4-原始数据'!F158),'sheet4-原始数据'!F158,"")</x:f>
        <x:v>44830</x:v>
      </x:c>
      <x:c r="F173" s="17" t="n">
        <x:f>IF(NOT(ISNUMBER(E173)),"",ROUND(('sheet1-指标体系'!$J$23-E173)/365.25,4))</x:f>
        <x:v>3.9726</x:v>
      </x:c>
      <x:c r="G173" s="4" t="str">
        <x:f t="shared" si="6">IF(NOT(ISNUMBER(F173)),"",IF(F173&lt;1,"不入池","入池"))</x:f>
        <x:v>入池</x:v>
      </x:c>
      <x:c r="H173" s="33" t="str">
        <x:v>5-10亿元</x:v>
      </x:c>
      <x:c r="I173" s="17" t="n">
        <x:f>IF(H173="","",IF(ISNUMBER(SEARCH("100亿元以上",H173)),100,IF(OR(ISNUMBER(SEARCH("20-50",H173)),ISNUMBER(SEARCH("50-100",H173)),ISNUMBER(SEARCH("20-100",H173))),90,IF(ISNUMBER(SEARCH("10-20",H173)),80,IF(ISNUMBER(SEARCH("5-10",H173)),70,IF(ISNUMBER(SEARCH("0-5",H173)),60,""))))))</x:f>
        <x:v>70</x:v>
      </x:c>
      <x:c r="J173" s="34" t="str">
        <x:v>无低于1000万元标识</x:v>
      </x:c>
      <x:c r="K173" s="17" t="n">
        <x:f>IF(J173="","",IF(J173="低于1000万元",0,100))</x:f>
        <x:v>100</x:v>
      </x:c>
      <x:c r="L173" s="17" t="n">
        <x:f>IF(NOT(ISNUMBER(F173)),"",IF(F173&lt;1,"",IF(F173&lt;3,70,100)))</x:f>
        <x:v>100</x:v>
      </x:c>
      <x:c r="M173" s="35" t="n">
        <x:f>IF(ISNUMBER('sheet4-原始数据'!G158),'sheet4-原始数据'!G158,"")</x:f>
        <x:v>0.40369999999999995</x:v>
      </x:c>
      <x:c r="N173" s="35" t="n">
        <x:f>IF(ISNUMBER('sheet4-原始数据'!H158),'sheet4-原始数据'!H158,"")</x:f>
        <x:v>0.26789999999999997</x:v>
      </x:c>
      <x:c r="O173" s="36" t="str">
        <x:f>IF(ISNUMBER('sheet4-原始数据'!Q158),'sheet4-原始数据'!Q158,"")</x:f>
      </x:c>
      <x:c r="P173" s="37" t="n">
        <x:f>IF($G173&lt;&gt;"入池","",IF($F173&gt;=3,IF(OR(NOT(ISNUMBER($M173)),NOT(ISNUMBER($N173)),1+$M173&lt;=0,1+$N173&lt;0),"",((1+$N173)^3/(1+$M173))^(1/2)-1),IF(OR($F173&lt;=1,NOT(ISNUMBER($M173)),NOT(ISNUMBER($O173)),1+$M173&lt;=0,1+$O173&lt;0),"",((1+$O173)^$F173/(1+$M173))^(1/($F173-1))-1)))</x:f>
        <x:v>0.20500917262259089</x:v>
      </x:c>
      <x:c r="Q173" s="17" t="n">
        <x:f>IF(OR($G173&lt;&gt;"入池",NOT(ISNUMBER(M173))),"",IF(COUNTIFS($G$17:$G$219,"入池",$M$17:$M$219,"&gt;=-1E+307",$M$17:$M$219,"&lt;=1E+307")&lt;=1,100,ROUND(100*(COUNTIFS($G$17:$G$219,"入池",$M$17:$M$219,"&gt;=-1E+307",$M$17:$M$219,"&lt;"&amp;M173)+COUNTIFS($G$17:$G$219,"入池",$M$17:$M$219,M173,$M$17:$M$219,"&gt;=-1E+307",$M$17:$M$219,"&lt;=1E+307")/2-0.5)/(COUNTIFS($G$17:$G$219,"入池",$M$17:$M$219,"&gt;=-1E+307",$M$17:$M$219,"&lt;=1E+307")-1),2)))</x:f>
        <x:v>98.02</x:v>
      </x:c>
      <x:c r="R173" s="17" t="n">
        <x:f>IF(OR($G173&lt;&gt;"入池",NOT(ISNUMBER(P173))),"",IF(COUNTIFS($G$17:$G$219,"入池",$P$17:$P$219,"&gt;=-1E+307",$P$17:$P$219,"&lt;=1E+307")&lt;=1,100,ROUND(100*(COUNTIFS($G$17:$G$219,"入池",$P$17:$P$219,"&gt;=-1E+307",$P$17:$P$219,"&lt;"&amp;P173)+COUNTIFS($G$17:$G$219,"入池",$P$17:$P$219,P173,$P$17:$P$219,"&gt;=-1E+307",$P$17:$P$219,"&lt;=1E+307")/2-0.5)/(COUNTIFS($G$17:$G$219,"入池",$P$17:$P$219,"&gt;=-1E+307",$P$17:$P$219,"&lt;=1E+307")-1),2)))</x:f>
        <x:v>93.07</x:v>
      </x:c>
      <x:c r="S173" s="17" t="n">
        <x:f>IF(NOT(ISNUMBER(Q173)),"",IF(NOT(ISNUMBER(R173)),Q173,ROUND(Q173*'sheet1-指标体系'!$J$8+R173*'sheet1-指标体系'!$J$9,2)))</x:f>
        <x:v>96.04</x:v>
      </x:c>
      <x:c r="T173" s="35" t="n">
        <x:f>IF(ISNUMBER('sheet4-原始数据'!J158),'sheet4-原始数据'!J158,"")</x:f>
        <x:v>0.6923</x:v>
      </x:c>
      <x:c r="U173" s="35" t="n">
        <x:f>IF(ISNUMBER('sheet4-原始数据'!I158),'sheet4-原始数据'!I158,"")</x:f>
        <x:v>0.7568</x:v>
      </x:c>
      <x:c r="V173" s="37" t="n">
        <x:f>IF(OR(NOT(ISNUMBER(T173)),NOT(ISNUMBER(U173))),"",(U173*'sheet1-指标体系'!$J$6-T173*'sheet1-指标体系'!$J$5)/'sheet1-指标体系'!$J$7)</x:f>
        <x:v>0.7917375</x:v>
      </x:c>
      <x:c r="W173" s="17" t="n">
        <x:f>IF(NOT(ISNUMBER(T173)),"",T173*100)</x:f>
        <x:v>69.23</x:v>
      </x:c>
      <x:c r="X173" s="17" t="n">
        <x:f>IF($G173&lt;&gt;"入池","",IF(AND(ISNUMBER(V173),V173&gt;=0,V173&lt;=1),V173*100,IF(MAX(0,($F173-1)*12)&lt;6,100,"")))</x:f>
        <x:v>79.17375</x:v>
      </x:c>
      <x:c r="Y173" s="17" t="n">
        <x:f>IF(NOT(ISNUMBER(W173)),"",IF(NOT(ISNUMBER(X173)),W173,ROUND(W173*'sheet1-指标体系'!$J$8+X173*'sheet1-指标体系'!$J$9,2)))</x:f>
        <x:v>73.21</x:v>
      </x:c>
      <x:c r="Z173" s="37" t="n">
        <x:f>IF(OR(NOT(ISNUMBER(M173)),NOT(ISNUMBER(AD173)),AD173=0),"",ABS(M173/AD173))</x:f>
        <x:v>0.27545032751091697</x:v>
      </x:c>
      <x:c r="AA173" s="35" t="n">
        <x:f>IF(ISNUMBER('sheet4-原始数据'!K158),'sheet4-原始数据'!K158,"")</x:f>
        <x:v>0.2754</x:v>
      </x:c>
      <x:c r="AB173" s="37" t="n">
        <x:f>IF(COUNT(Z173:AA173)=0,"",MAX(Z173:AA173))</x:f>
        <x:v>0.27545032751091697</x:v>
      </x:c>
      <x:c r="AC173" s="17" t="n">
        <x:f>IF(OR($G173&lt;&gt;"入池",NOT(ISNUMBER(AB173))),"",IF(COUNTIFS($G$17:$G$219,"入池",$AB$17:$AB$219,"&gt;=-1E+307",$AB$17:$AB$219,"&lt;=1E+307")&lt;=1,100,ROUND(100*(COUNTIFS($G$17:$G$219,"入池",$AB$17:$AB$219,"&lt;=1E+307",$AB$17:$AB$219,"&gt;"&amp;AB173)+COUNTIFS($G$17:$G$219,"入池",$AB$17:$AB$219,AB173,$AB$17:$AB$219,"&gt;=-1E+307",$AB$17:$AB$219,"&lt;=1E+307")/2-0.5)/(COUNTIFS($G$17:$G$219,"入池",$AB$17:$AB$219,"&gt;=-1E+307",$AB$17:$AB$219,"&lt;=1E+307")-1),2)))</x:f>
        <x:v>5.94</x:v>
      </x:c>
      <x:c r="AD173" s="38" t="n">
        <x:f>IF(ISNUMBER('sheet4-原始数据'!M158),'sheet4-原始数据'!M158,"")</x:f>
        <x:v>1.4656</x:v>
      </x:c>
      <x:c r="AE173" s="37" t="str">
        <x:f>IF(OR(NOT(ISNUMBER(P173)),NOT(ISNUMBER(AA173)),NOT(ISNUMBER(Z173))),"",IF(AA173&gt;Z173+'sheet1-指标体系'!$J$11,AA173,""))</x:f>
      </x:c>
      <x:c r="AF173" s="17" t="str">
        <x:f>IF(OR(NOT(ISNUMBER(P173)),NOT(ISNUMBER(AE173)),AE173=0),"",P173/AE173)</x:f>
      </x:c>
      <x:c r="AG173" s="17" t="n">
        <x:f>IF(OR($G173&lt;&gt;"入池",NOT(ISNUMBER(AD173))),"",IF(COUNTIFS($G$17:$G$219,"入池",$AD$17:$AD$219,"&gt;=-1E+307",$AD$17:$AD$219,"&lt;=1E+307")&lt;=1,100,ROUND(100*(COUNTIFS($G$17:$G$219,"入池",$AD$17:$AD$219,"&gt;=-1E+307",$AD$17:$AD$219,"&lt;"&amp;AD173)+COUNTIFS($G$17:$G$219,"入池",$AD$17:$AD$219,AD173,$AD$17:$AD$219,"&gt;=-1E+307",$AD$17:$AD$219,"&lt;=1E+307")/2-0.5)/(COUNTIFS($G$17:$G$219,"入池",$AD$17:$AD$219,"&gt;=-1E+307",$AD$17:$AD$219,"&lt;=1E+307")-1),2)))</x:f>
        <x:v>38.81</x:v>
      </x:c>
      <x:c r="AH173" s="17" t="str">
        <x:f>IF(OR($G173&lt;&gt;"入池",NOT(ISNUMBER(AF173))),"",IF(COUNTIFS($G$17:$G$219,"入池",$AF$17:$AF$219,"&gt;=-1E+307",$AF$17:$AF$219,"&lt;=1E+307")&lt;=1,100,ROUND(100*(COUNTIFS($G$17:$G$219,"入池",$AF$17:$AF$219,"&gt;=-1E+307",$AF$17:$AF$219,"&lt;"&amp;AF173)+COUNTIFS($G$17:$G$219,"入池",$AF$17:$AF$219,AF173,$AF$17:$AF$219,"&gt;=-1E+307",$AF$17:$AF$219,"&lt;=1E+307")/2-0.5)/(COUNTIFS($G$17:$G$219,"入池",$AF$17:$AF$219,"&gt;=-1E+307",$AF$17:$AF$219,"&lt;=1E+307")-1),2)))</x:f>
      </x:c>
      <x:c r="AI173" s="17" t="n">
        <x:f>IF(NOT(ISNUMBER(AG173)),"",IF(NOT(ISNUMBER(AH173)),AG173,ROUND(AG173*'sheet1-指标体系'!$J$8+AH173*'sheet1-指标体系'!$J$9,2)))</x:f>
        <x:v>38.81</x:v>
      </x:c>
      <x:c r="AJ173" s="37" t="n">
        <x:f>IF(NOT(ISNUMBER(F173)),"",IF(F173&gt;=3,IF(NOT(ISNUMBER(N173)),"",N173),IF(NOT(ISNUMBER(O173)),"",O173)))</x:f>
        <x:v>0.26789999999999997</x:v>
      </x:c>
      <x:c r="AK173" s="17" t="n">
        <x:f>IF(OR(G173&lt;&gt;"入池",NOT(ISNUMBER(M173)),NOT(ISNUMBER(AJ173))),"",IF(M173&gt;=AJ173,100,IF(AJ173-M173&lt;'sheet1-指标体系'!$J$10,80,60)))</x:f>
        <x:v>100</x:v>
      </x:c>
      <x:c r="AL173" s="17" t="n">
        <x:f>IF(COUNT(I173,K173,L173)=0,"",ROUND((IF(ISNUMBER(I173),I173*40%,0)+IF(ISNUMBER(K173),K173*30%,0)+IF(ISNUMBER(L173),L173*30%,0))/(IF(ISNUMBER(I173),40%,0)+IF(ISNUMBER(K173),30%,0)+IF(ISNUMBER(L173),30%,0)),2))</x:f>
        <x:v>88</x:v>
      </x:c>
      <x:c r="AM173" s="17" t="n">
        <x:f>IF(COUNT(Q173,R173,W173,X173)=0,"",ROUND((IF(ISNUMBER(Q173),Q173*42%,0)+IF(ISNUMBER(R173),R173*28%,0)+IF(ISNUMBER(W173),W173*18%,0)+IF(ISNUMBER(X173),X173*12%,0))/(IF(ISNUMBER(Q173),42%,0)+IF(ISNUMBER(R173),28%,0)+IF(ISNUMBER(W173),18%,0)+IF(ISNUMBER(X173),12%,0)),2))</x:f>
        <x:v>89.19</x:v>
      </x:c>
      <x:c r="AN173" s="17" t="n">
        <x:f>IF(ISNUMBER(AC173),AC173,"")</x:f>
        <x:v>5.94</x:v>
      </x:c>
      <x:c r="AO173" s="17" t="n">
        <x:f>IF(COUNT(AG173,AH173)=0,"",ROUND((IF(ISNUMBER(AG173),AG173*60%,0)+IF(ISNUMBER(AH173),AH173*40%,0))/(IF(ISNUMBER(AG173),60%,0)+IF(ISNUMBER(AH173),40%,0)),2))</x:f>
        <x:v>38.81</x:v>
      </x:c>
      <x:c r="AP173" s="17" t="n">
        <x:f>IF(ISNUMBER(AK173),AK173,"")</x:f>
        <x:v>100</x:v>
      </x:c>
      <x:c r="AQ173" s="39" t="n">
        <x:f>IF(G173&lt;&gt;"入池",0,IF(ISNUMBER(I173),6%,0)+IF(ISNUMBER(K173),4.5%,0)+IF(ISNUMBER(L173),4.5%,0)+IF(ISNUMBER(Q173),8.4%,0)+IF(ISNUMBER(R173),5.6%,0)+IF(ISNUMBER(W173),3.6%,0)+IF(ISNUMBER(X173),2.4%,0)+IF(ISNUMBER(AC173),25%,0)+IF(ISNUMBER(AG173),18%,0)+IF(ISNUMBER(AH173),12%,0)+IF(ISNUMBER(AK173),10%,0))</x:f>
        <x:v>0.88</x:v>
      </x:c>
      <x:c r="AR173" s="17" t="n">
        <x:f>IF(AQ173=0,"",IF(ISNUMBER(I173),I173*6%,0)+IF(ISNUMBER(K173),K173*4.5%,0)+IF(ISNUMBER(L173),L173*4.5%,0)+IF(ISNUMBER(Q173),Q173*8.4%,0)+IF(ISNUMBER(R173),R173*5.6%,0)+IF(ISNUMBER(W173),W173*3.6%,0)+IF(ISNUMBER(X173),X173*2.4%,0)+IF(ISNUMBER(AC173),AC173*25%,0)+IF(ISNUMBER(AG173),AG173*18%,0)+IF(ISNUMBER(AH173),AH173*12%,0)+IF(ISNUMBER(AK173),AK173*10%,0))</x:f>
        <x:v>49.508849999999995</x:v>
      </x:c>
      <x:c r="AS173" s="17" t="n">
        <x:f>IF(AQ173=0,"",ROUND(AR173/AQ173,2))</x:f>
        <x:v>56.26</x:v>
      </x:c>
      <x:c r="AT173" s="40" t="n">
        <x:f>IF(OR(G173&lt;&gt;"入池",NOT(ISNUMBER(AS173))),"",COUNTIFS($G$17:$G$219,"入池",$AS$17:$AS$219,"&gt;"&amp;AS173)+COUNTIFS($G$17:$G$219,"入池",$AS$17:$AS$219,AS173,$AQ$17:$AQ$219,"&gt;"&amp;AQ173)+COUNTIFS($G$17:G173,"入池",$AS$17:AS173,AS173,$AQ$17:AQ173,AQ173))</x:f>
        <x:v>122</x:v>
      </x:c>
      <x:c r="AU173" s="41" t="str">
        <x:f t="shared" si="7">IF(NOT(ISNUMBER(I173)),"管理人规模；","")&amp;IF(J173="","产品规模标识；","")&amp;IF(AND(F173&lt;3,NOT(ISNUMBER(O173))),"R_incep；","")&amp;IF(NOT(ISNUMBER(N173)),"近三年收益；","")&amp;IF(NOT(ISNUMBER(U173)),"近三年胜率；","")&amp;IF(AND(ISNUMBER(V173),OR(V173&lt;0,V173&gt;1)),"胜率窗口口径不一致；","")&amp;IF(NOT(ISNUMBER(AA173)),"近三年回撤；","")&amp;IF(NOT(ISNUMBER(AD173)),"短期卡玛；","")&amp;IF(AND(ISNUMBER(P173),NOT(ISNUMBER(AE173))),"DD_long不可识别；","")</x:f>
        <x:v>DD_long不可识别；</x:v>
      </x:c>
      <x:c r="AV173" s="42" t="n">
        <x:v>5</x:v>
      </x:c>
      <x:c r="AW173" s="19" t="str">
        <x:v>岳鑫遥（北京）私募基金管理有限公司</x:v>
      </x:c>
      <x:c r="AX173" s="19" t="str">
        <x:v>2026-05-07</x:v>
      </x:c>
      <x:c r="AY173" s="19" t="str">
        <x:v>https://gs.amac.org.cn/amac-infodisc/res/pof/manager/2207041830121644.html</x:v>
      </x:c>
      <x:c r="AZ173" s="19" t="str">
        <x:v>岳鑫遥1号私募证券投资基金</x:v>
      </x:c>
      <x:c r="BA173" s="19" t="str">
        <x:v>2024-09-06</x:v>
      </x:c>
      <x:c r="BB173" s="19"/>
      <x:c r="BC173" s="19" t="str">
        <x:v>https://gs.amac.org.cn/amac-infodisc/res/pof/fund/2210131922100921.html</x:v>
      </x:c>
      <x:c r="BD173" s="19" t="str">
        <x:v>已匹配</x:v>
      </x:c>
      <x:c r="BE173"/>
      <x:c r="BF173"/>
    </x:row>
    <x:row r="174" ht="28" customHeight="1">
      <x:c r="A174" s="4" t="n">
        <x:v>158</x:v>
      </x:c>
      <x:c r="B174" s="15" t="str">
        <x:f>'sheet4-原始数据'!A159</x:f>
        <x:v>兆信股指期货期权套利1号</x:v>
      </x:c>
      <x:c r="C174" s="15" t="str">
        <x:f>'sheet4-原始数据'!B159</x:f>
        <x:v>SXN023</x:v>
      </x:c>
      <x:c r="D174" s="15" t="str">
        <x:f>'sheet4-原始数据'!E159</x:f>
        <x:v>江苏兆信</x:v>
      </x:c>
      <x:c r="E174" s="32" t="n">
        <x:f>IF(ISNUMBER('sheet4-原始数据'!F159),'sheet4-原始数据'!F159,"")</x:f>
        <x:v>44847</x:v>
      </x:c>
      <x:c r="F174" s="17" t="n">
        <x:f>IF(NOT(ISNUMBER(E174)),"",ROUND(('sheet1-指标体系'!$J$23-E174)/365.25,4))</x:f>
        <x:v>3.9261</x:v>
      </x:c>
      <x:c r="G174" s="4" t="str">
        <x:f t="shared" si="6">IF(NOT(ISNUMBER(F174)),"",IF(F174&lt;1,"不入池","入池"))</x:f>
        <x:v>入池</x:v>
      </x:c>
      <x:c r="H174" s="33" t="str">
        <x:v>20-50亿元</x:v>
      </x:c>
      <x:c r="I174" s="17" t="n">
        <x:f>IF(H174="","",IF(ISNUMBER(SEARCH("100亿元以上",H174)),100,IF(OR(ISNUMBER(SEARCH("20-50",H174)),ISNUMBER(SEARCH("50-100",H174)),ISNUMBER(SEARCH("20-100",H174))),90,IF(ISNUMBER(SEARCH("10-20",H174)),80,IF(ISNUMBER(SEARCH("5-10",H174)),70,IF(ISNUMBER(SEARCH("0-5",H174)),60,""))))))</x:f>
        <x:v>90</x:v>
      </x:c>
      <x:c r="J174" s="34" t="str">
        <x:v>无低于1000万元标识</x:v>
      </x:c>
      <x:c r="K174" s="17" t="n">
        <x:f>IF(J174="","",IF(J174="低于1000万元",0,100))</x:f>
        <x:v>100</x:v>
      </x:c>
      <x:c r="L174" s="17" t="n">
        <x:f>IF(NOT(ISNUMBER(F174)),"",IF(F174&lt;1,"",IF(F174&lt;3,70,100)))</x:f>
        <x:v>100</x:v>
      </x:c>
      <x:c r="M174" s="35" t="n">
        <x:f>IF(ISNUMBER('sheet4-原始数据'!G159),'sheet4-原始数据'!G159,"")</x:f>
        <x:v>0.0394</x:v>
      </x:c>
      <x:c r="N174" s="35" t="n">
        <x:f>IF(ISNUMBER('sheet4-原始数据'!H159),'sheet4-原始数据'!H159,"")</x:f>
        <x:v>0.0819</x:v>
      </x:c>
      <x:c r="O174" s="36" t="str">
        <x:f>IF(ISNUMBER('sheet4-原始数据'!Q159),'sheet4-原始数据'!Q159,"")</x:f>
      </x:c>
      <x:c r="P174" s="37" t="n">
        <x:f>IF($G174&lt;&gt;"入池","",IF($F174&gt;=3,IF(OR(NOT(ISNUMBER($M174)),NOT(ISNUMBER($N174)),1+$M174&lt;=0,1+$N174&lt;0),"",((1+$N174)^3/(1+$M174))^(1/2)-1),IF(OR($F174&lt;=1,NOT(ISNUMBER($M174)),NOT(ISNUMBER($O174)),1+$M174&lt;=0,1+$O174&lt;0),"",((1+$O174)^$F174/(1+$M174))^(1/($F174-1))-1)))</x:f>
        <x:v>0.10379729375915092</x:v>
      </x:c>
      <x:c r="Q174" s="17" t="n">
        <x:f>IF(OR($G174&lt;&gt;"入池",NOT(ISNUMBER(M174))),"",IF(COUNTIFS($G$17:$G$219,"入池",$M$17:$M$219,"&gt;=-1E+307",$M$17:$M$219,"&lt;=1E+307")&lt;=1,100,ROUND(100*(COUNTIFS($G$17:$G$219,"入池",$M$17:$M$219,"&gt;=-1E+307",$M$17:$M$219,"&lt;"&amp;M174)+COUNTIFS($G$17:$G$219,"入池",$M$17:$M$219,M174,$M$17:$M$219,"&gt;=-1E+307",$M$17:$M$219,"&lt;=1E+307")/2-0.5)/(COUNTIFS($G$17:$G$219,"入池",$M$17:$M$219,"&gt;=-1E+307",$M$17:$M$219,"&lt;=1E+307")-1),2)))</x:f>
        <x:v>40.59</x:v>
      </x:c>
      <x:c r="R174" s="17" t="n">
        <x:f>IF(OR($G174&lt;&gt;"入池",NOT(ISNUMBER(P174))),"",IF(COUNTIFS($G$17:$G$219,"入池",$P$17:$P$219,"&gt;=-1E+307",$P$17:$P$219,"&lt;=1E+307")&lt;=1,100,ROUND(100*(COUNTIFS($G$17:$G$219,"入池",$P$17:$P$219,"&gt;=-1E+307",$P$17:$P$219,"&lt;"&amp;P174)+COUNTIFS($G$17:$G$219,"入池",$P$17:$P$219,P174,$P$17:$P$219,"&gt;=-1E+307",$P$17:$P$219,"&lt;=1E+307")/2-0.5)/(COUNTIFS($G$17:$G$219,"入池",$P$17:$P$219,"&gt;=-1E+307",$P$17:$P$219,"&lt;=1E+307")-1),2)))</x:f>
        <x:v>74.26</x:v>
      </x:c>
      <x:c r="S174" s="17" t="n">
        <x:f>IF(NOT(ISNUMBER(Q174)),"",IF(NOT(ISNUMBER(R174)),Q174,ROUND(Q174*'sheet1-指标体系'!$J$8+R174*'sheet1-指标体系'!$J$9,2)))</x:f>
        <x:v>54.06</x:v>
      </x:c>
      <x:c r="T174" s="35" t="n">
        <x:f>IF(ISNUMBER('sheet4-原始数据'!J159),'sheet4-原始数据'!J159,"")</x:f>
        <x:v>0.46149999999999997</x:v>
      </x:c>
      <x:c r="U174" s="35" t="n">
        <x:f>IF(ISNUMBER('sheet4-原始数据'!I159),'sheet4-原始数据'!I159,"")</x:f>
        <x:v>0.7297</x:v>
      </x:c>
      <x:c r="V174" s="37" t="n">
        <x:f>IF(OR(NOT(ISNUMBER(T174)),NOT(ISNUMBER(U174))),"",(U174*'sheet1-指标体系'!$J$6-T174*'sheet1-指标体系'!$J$5)/'sheet1-指标体系'!$J$7)</x:f>
        <x:v>0.8749750000000001</x:v>
      </x:c>
      <x:c r="W174" s="17" t="n">
        <x:f>IF(NOT(ISNUMBER(T174)),"",T174*100)</x:f>
        <x:v>46.15</x:v>
      </x:c>
      <x:c r="X174" s="17" t="n">
        <x:f>IF($G174&lt;&gt;"入池","",IF(AND(ISNUMBER(V174),V174&gt;=0,V174&lt;=1),V174*100,IF(MAX(0,($F174-1)*12)&lt;6,100,"")))</x:f>
        <x:v>87.4975</x:v>
      </x:c>
      <x:c r="Y174" s="17" t="n">
        <x:f>IF(NOT(ISNUMBER(W174)),"",IF(NOT(ISNUMBER(X174)),W174,ROUND(W174*'sheet1-指标体系'!$J$8+X174*'sheet1-指标体系'!$J$9,2)))</x:f>
        <x:v>62.69</x:v>
      </x:c>
      <x:c r="Z174" s="37" t="n">
        <x:f>IF(OR(NOT(ISNUMBER(M174)),NOT(ISNUMBER(AD174)),AD174=0),"",ABS(M174/AD174))</x:f>
        <x:v>0.042868023066042864</x:v>
      </x:c>
      <x:c r="AA174" s="35" t="n">
        <x:f>IF(ISNUMBER('sheet4-原始数据'!K159),'sheet4-原始数据'!K159,"")</x:f>
        <x:v>0.042800000000000005</x:v>
      </x:c>
      <x:c r="AB174" s="37" t="n">
        <x:f>IF(COUNT(Z174:AA174)=0,"",MAX(Z174:AA174))</x:f>
        <x:v>0.042868023066042864</x:v>
      </x:c>
      <x:c r="AC174" s="17" t="n">
        <x:f>IF(OR($G174&lt;&gt;"入池",NOT(ISNUMBER(AB174))),"",IF(COUNTIFS($G$17:$G$219,"入池",$AB$17:$AB$219,"&gt;=-1E+307",$AB$17:$AB$219,"&lt;=1E+307")&lt;=1,100,ROUND(100*(COUNTIFS($G$17:$G$219,"入池",$AB$17:$AB$219,"&lt;=1E+307",$AB$17:$AB$219,"&gt;"&amp;AB174)+COUNTIFS($G$17:$G$219,"入池",$AB$17:$AB$219,AB174,$AB$17:$AB$219,"&gt;=-1E+307",$AB$17:$AB$219,"&lt;=1E+307")/2-0.5)/(COUNTIFS($G$17:$G$219,"入池",$AB$17:$AB$219,"&gt;=-1E+307",$AB$17:$AB$219,"&lt;=1E+307")-1),2)))</x:f>
        <x:v>49.5</x:v>
      </x:c>
      <x:c r="AD174" s="38" t="n">
        <x:f>IF(ISNUMBER('sheet4-原始数据'!M159),'sheet4-原始数据'!M159,"")</x:f>
        <x:v>0.9191</x:v>
      </x:c>
      <x:c r="AE174" s="37" t="str">
        <x:f>IF(OR(NOT(ISNUMBER(P174)),NOT(ISNUMBER(AA174)),NOT(ISNUMBER(Z174))),"",IF(AA174&gt;Z174+'sheet1-指标体系'!$J$11,AA174,""))</x:f>
      </x:c>
      <x:c r="AF174" s="17" t="str">
        <x:f>IF(OR(NOT(ISNUMBER(P174)),NOT(ISNUMBER(AE174)),AE174=0),"",P174/AE174)</x:f>
      </x:c>
      <x:c r="AG174" s="17" t="n">
        <x:f>IF(OR($G174&lt;&gt;"入池",NOT(ISNUMBER(AD174))),"",IF(COUNTIFS($G$17:$G$219,"入池",$AD$17:$AD$219,"&gt;=-1E+307",$AD$17:$AD$219,"&lt;=1E+307")&lt;=1,100,ROUND(100*(COUNTIFS($G$17:$G$219,"入池",$AD$17:$AD$219,"&gt;=-1E+307",$AD$17:$AD$219,"&lt;"&amp;AD174)+COUNTIFS($G$17:$G$219,"入池",$AD$17:$AD$219,AD174,$AD$17:$AD$219,"&gt;=-1E+307",$AD$17:$AD$219,"&lt;=1E+307")/2-0.5)/(COUNTIFS($G$17:$G$219,"入池",$AD$17:$AD$219,"&gt;=-1E+307",$AD$17:$AD$219,"&lt;=1E+307")-1),2)))</x:f>
        <x:v>32.34</x:v>
      </x:c>
      <x:c r="AH174" s="17" t="str">
        <x:f>IF(OR($G174&lt;&gt;"入池",NOT(ISNUMBER(AF174))),"",IF(COUNTIFS($G$17:$G$219,"入池",$AF$17:$AF$219,"&gt;=-1E+307",$AF$17:$AF$219,"&lt;=1E+307")&lt;=1,100,ROUND(100*(COUNTIFS($G$17:$G$219,"入池",$AF$17:$AF$219,"&gt;=-1E+307",$AF$17:$AF$219,"&lt;"&amp;AF174)+COUNTIFS($G$17:$G$219,"入池",$AF$17:$AF$219,AF174,$AF$17:$AF$219,"&gt;=-1E+307",$AF$17:$AF$219,"&lt;=1E+307")/2-0.5)/(COUNTIFS($G$17:$G$219,"入池",$AF$17:$AF$219,"&gt;=-1E+307",$AF$17:$AF$219,"&lt;=1E+307")-1),2)))</x:f>
      </x:c>
      <x:c r="AI174" s="17" t="n">
        <x:f>IF(NOT(ISNUMBER(AG174)),"",IF(NOT(ISNUMBER(AH174)),AG174,ROUND(AG174*'sheet1-指标体系'!$J$8+AH174*'sheet1-指标体系'!$J$9,2)))</x:f>
        <x:v>32.34</x:v>
      </x:c>
      <x:c r="AJ174" s="37" t="n">
        <x:f>IF(NOT(ISNUMBER(F174)),"",IF(F174&gt;=3,IF(NOT(ISNUMBER(N174)),"",N174),IF(NOT(ISNUMBER(O174)),"",O174)))</x:f>
        <x:v>0.0819</x:v>
      </x:c>
      <x:c r="AK174" s="17" t="n">
        <x:f>IF(OR(G174&lt;&gt;"入池",NOT(ISNUMBER(M174)),NOT(ISNUMBER(AJ174))),"",IF(M174&gt;=AJ174,100,IF(AJ174-M174&lt;'sheet1-指标体系'!$J$10,80,60)))</x:f>
        <x:v>80</x:v>
      </x:c>
      <x:c r="AL174" s="17" t="n">
        <x:f>IF(COUNT(I174,K174,L174)=0,"",ROUND((IF(ISNUMBER(I174),I174*40%,0)+IF(ISNUMBER(K174),K174*30%,0)+IF(ISNUMBER(L174),L174*30%,0))/(IF(ISNUMBER(I174),40%,0)+IF(ISNUMBER(K174),30%,0)+IF(ISNUMBER(L174),30%,0)),2))</x:f>
        <x:v>96</x:v>
      </x:c>
      <x:c r="AM174" s="17" t="n">
        <x:f>IF(COUNT(Q174,R174,W174,X174)=0,"",ROUND((IF(ISNUMBER(Q174),Q174*42%,0)+IF(ISNUMBER(R174),R174*28%,0)+IF(ISNUMBER(W174),W174*18%,0)+IF(ISNUMBER(X174),X174*12%,0))/(IF(ISNUMBER(Q174),42%,0)+IF(ISNUMBER(R174),28%,0)+IF(ISNUMBER(W174),18%,0)+IF(ISNUMBER(X174),12%,0)),2))</x:f>
        <x:v>56.65</x:v>
      </x:c>
      <x:c r="AN174" s="17" t="n">
        <x:f>IF(ISNUMBER(AC174),AC174,"")</x:f>
        <x:v>49.5</x:v>
      </x:c>
      <x:c r="AO174" s="17" t="n">
        <x:f>IF(COUNT(AG174,AH174)=0,"",ROUND((IF(ISNUMBER(AG174),AG174*60%,0)+IF(ISNUMBER(AH174),AH174*40%,0))/(IF(ISNUMBER(AG174),60%,0)+IF(ISNUMBER(AH174),40%,0)),2))</x:f>
        <x:v>32.34</x:v>
      </x:c>
      <x:c r="AP174" s="17" t="n">
        <x:f>IF(ISNUMBER(AK174),AK174,"")</x:f>
        <x:v>80</x:v>
      </x:c>
      <x:c r="AQ174" s="39" t="n">
        <x:f>IF(G174&lt;&gt;"入池",0,IF(ISNUMBER(I174),6%,0)+IF(ISNUMBER(K174),4.5%,0)+IF(ISNUMBER(L174),4.5%,0)+IF(ISNUMBER(Q174),8.4%,0)+IF(ISNUMBER(R174),5.6%,0)+IF(ISNUMBER(W174),3.6%,0)+IF(ISNUMBER(X174),2.4%,0)+IF(ISNUMBER(AC174),25%,0)+IF(ISNUMBER(AG174),18%,0)+IF(ISNUMBER(AH174),12%,0)+IF(ISNUMBER(AK174),10%,0))</x:f>
        <x:v>0.88</x:v>
      </x:c>
      <x:c r="AR174" s="17" t="n">
        <x:f>IF(AQ174=0,"",IF(ISNUMBER(I174),I174*6%,0)+IF(ISNUMBER(K174),K174*4.5%,0)+IF(ISNUMBER(L174),L174*4.5%,0)+IF(ISNUMBER(Q174),Q174*8.4%,0)+IF(ISNUMBER(R174),R174*5.6%,0)+IF(ISNUMBER(W174),W174*3.6%,0)+IF(ISNUMBER(X174),X174*2.4%,0)+IF(ISNUMBER(AC174),AC174*25%,0)+IF(ISNUMBER(AG174),AG174*18%,0)+IF(ISNUMBER(AH174),AH174*12%,0)+IF(ISNUMBER(AK174),AK174*10%,0))</x:f>
        <x:v>51.92566</x:v>
      </x:c>
      <x:c r="AS174" s="17" t="n">
        <x:f>IF(AQ174=0,"",ROUND(AR174/AQ174,2))</x:f>
        <x:v>59.01</x:v>
      </x:c>
      <x:c r="AT174" s="40" t="n">
        <x:f>IF(OR(G174&lt;&gt;"入池",NOT(ISNUMBER(AS174))),"",COUNTIFS($G$17:$G$219,"入池",$AS$17:$AS$219,"&gt;"&amp;AS174)+COUNTIFS($G$17:$G$219,"入池",$AS$17:$AS$219,AS174,$AQ$17:$AQ$219,"&gt;"&amp;AQ174)+COUNTIFS($G$17:G174,"入池",$AS$17:AS174,AS174,$AQ$17:AQ174,AQ174))</x:f>
        <x:v>113</x:v>
      </x:c>
      <x:c r="AU174" s="41" t="str">
        <x:f t="shared" si="7">IF(NOT(ISNUMBER(I174)),"管理人规模；","")&amp;IF(J174="","产品规模标识；","")&amp;IF(AND(F174&lt;3,NOT(ISNUMBER(O174))),"R_incep；","")&amp;IF(NOT(ISNUMBER(N174)),"近三年收益；","")&amp;IF(NOT(ISNUMBER(U174)),"近三年胜率；","")&amp;IF(AND(ISNUMBER(V174),OR(V174&lt;0,V174&gt;1)),"胜率窗口口径不一致；","")&amp;IF(NOT(ISNUMBER(AA174)),"近三年回撤；","")&amp;IF(NOT(ISNUMBER(AD174)),"短期卡玛；","")&amp;IF(AND(ISNUMBER(P174),NOT(ISNUMBER(AE174))),"DD_long不可识别；","")</x:f>
        <x:v>DD_long不可识别；</x:v>
      </x:c>
      <x:c r="AV174" s="42" t="n">
        <x:v>20</x:v>
      </x:c>
      <x:c r="AW174" s="19" t="str">
        <x:v>江苏兆信私募基金管理有限公司</x:v>
      </x:c>
      <x:c r="AX174" s="19" t="str">
        <x:v>2026-04-17</x:v>
      </x:c>
      <x:c r="AY174" s="19" t="str">
        <x:v>https://gs.amac.org.cn/amac-infodisc/res/pof/manager/101000002312.html</x:v>
      </x:c>
      <x:c r="AZ174" s="19" t="str">
        <x:v>兆信股指期货期权套利1号私募证券投资基金</x:v>
      </x:c>
      <x:c r="BA174" s="19" t="str">
        <x:v>2026-07-23</x:v>
      </x:c>
      <x:c r="BB174" s="19"/>
      <x:c r="BC174" s="19" t="str">
        <x:v>https://gs.amac.org.cn/amac-infodisc/res/pof/fund/2210140921103682.html</x:v>
      </x:c>
      <x:c r="BD174" s="19" t="str">
        <x:v>已匹配</x:v>
      </x:c>
      <x:c r="BE174"/>
      <x:c r="BF174"/>
    </x:row>
    <x:row r="175" ht="28" customHeight="1">
      <x:c r="A175" s="4" t="n">
        <x:v>159</x:v>
      </x:c>
      <x:c r="B175" s="15" t="str">
        <x:f>'sheet4-原始数据'!A160</x:f>
        <x:v>谊恒滴海一号</x:v>
      </x:c>
      <x:c r="C175" s="15" t="str">
        <x:f>'sheet4-原始数据'!B160</x:f>
        <x:v>SXL701</x:v>
      </x:c>
      <x:c r="D175" s="15" t="str">
        <x:f>'sheet4-原始数据'!E160</x:f>
        <x:v>上海滴海</x:v>
      </x:c>
      <x:c r="E175" s="32" t="n">
        <x:f>IF(ISNUMBER('sheet4-原始数据'!F160),'sheet4-原始数据'!F160,"")</x:f>
        <x:v>44855</x:v>
      </x:c>
      <x:c r="F175" s="17" t="n">
        <x:f>IF(NOT(ISNUMBER(E175)),"",ROUND(('sheet1-指标体系'!$J$23-E175)/365.25,4))</x:f>
        <x:v>3.9042</x:v>
      </x:c>
      <x:c r="G175" s="4" t="str">
        <x:f t="shared" si="6">IF(NOT(ISNUMBER(F175)),"",IF(F175&lt;1,"不入池","入池"))</x:f>
        <x:v>入池</x:v>
      </x:c>
      <x:c r="H175" s="33" t="str">
        <x:v>5-10亿元</x:v>
      </x:c>
      <x:c r="I175" s="17" t="n">
        <x:f>IF(H175="","",IF(ISNUMBER(SEARCH("100亿元以上",H175)),100,IF(OR(ISNUMBER(SEARCH("20-50",H175)),ISNUMBER(SEARCH("50-100",H175)),ISNUMBER(SEARCH("20-100",H175))),90,IF(ISNUMBER(SEARCH("10-20",H175)),80,IF(ISNUMBER(SEARCH("5-10",H175)),70,IF(ISNUMBER(SEARCH("0-5",H175)),60,""))))))</x:f>
        <x:v>70</x:v>
      </x:c>
      <x:c r="J175" s="34" t="str">
        <x:v>无低于1000万元标识</x:v>
      </x:c>
      <x:c r="K175" s="17" t="n">
        <x:f>IF(J175="","",IF(J175="低于1000万元",0,100))</x:f>
        <x:v>100</x:v>
      </x:c>
      <x:c r="L175" s="17" t="n">
        <x:f>IF(NOT(ISNUMBER(F175)),"",IF(F175&lt;1,"",IF(F175&lt;3,70,100)))</x:f>
        <x:v>100</x:v>
      </x:c>
      <x:c r="M175" s="35" t="n">
        <x:f>IF(ISNUMBER('sheet4-原始数据'!G160),'sheet4-原始数据'!G160,"")</x:f>
        <x:v>0.07780000000000001</x:v>
      </x:c>
      <x:c r="N175" s="35" t="n">
        <x:f>IF(ISNUMBER('sheet4-原始数据'!H160),'sheet4-原始数据'!H160,"")</x:f>
        <x:v>0.061200000000000004</x:v>
      </x:c>
      <x:c r="O175" s="36" t="str">
        <x:f>IF(ISNUMBER('sheet4-原始数据'!Q160),'sheet4-原始数据'!Q160,"")</x:f>
      </x:c>
      <x:c r="P175" s="37" t="n">
        <x:f>IF($G175&lt;&gt;"入池","",IF($F175&gt;=3,IF(OR(NOT(ISNUMBER($M175)),NOT(ISNUMBER($N175)),1+$M175&lt;=0,1+$N175&lt;0),"",((1+$N175)^3/(1+$M175))^(1/2)-1),IF(OR($F175&lt;=1,NOT(ISNUMBER($M175)),NOT(ISNUMBER($O175)),1+$M175&lt;=0,1+$O175&lt;0),"",((1+$O175)^$F175/(1+$M175))^(1/($F175-1))-1)))</x:f>
        <x:v>0.05299612339995918</x:v>
      </x:c>
      <x:c r="Q175" s="17" t="n">
        <x:f>IF(OR($G175&lt;&gt;"入池",NOT(ISNUMBER(M175))),"",IF(COUNTIFS($G$17:$G$219,"入池",$M$17:$M$219,"&gt;=-1E+307",$M$17:$M$219,"&lt;=1E+307")&lt;=1,100,ROUND(100*(COUNTIFS($G$17:$G$219,"入池",$M$17:$M$219,"&gt;=-1E+307",$M$17:$M$219,"&lt;"&amp;M175)+COUNTIFS($G$17:$G$219,"入池",$M$17:$M$219,M175,$M$17:$M$219,"&gt;=-1E+307",$M$17:$M$219,"&lt;=1E+307")/2-0.5)/(COUNTIFS($G$17:$G$219,"入池",$M$17:$M$219,"&gt;=-1E+307",$M$17:$M$219,"&lt;=1E+307")-1),2)))</x:f>
        <x:v>69.31</x:v>
      </x:c>
      <x:c r="R175" s="17" t="n">
        <x:f>IF(OR($G175&lt;&gt;"入池",NOT(ISNUMBER(P175))),"",IF(COUNTIFS($G$17:$G$219,"入池",$P$17:$P$219,"&gt;=-1E+307",$P$17:$P$219,"&lt;=1E+307")&lt;=1,100,ROUND(100*(COUNTIFS($G$17:$G$219,"入池",$P$17:$P$219,"&gt;=-1E+307",$P$17:$P$219,"&lt;"&amp;P175)+COUNTIFS($G$17:$G$219,"入池",$P$17:$P$219,P175,$P$17:$P$219,"&gt;=-1E+307",$P$17:$P$219,"&lt;=1E+307")/2-0.5)/(COUNTIFS($G$17:$G$219,"入池",$P$17:$P$219,"&gt;=-1E+307",$P$17:$P$219,"&lt;=1E+307")-1),2)))</x:f>
        <x:v>38.61</x:v>
      </x:c>
      <x:c r="S175" s="17" t="n">
        <x:f>IF(NOT(ISNUMBER(Q175)),"",IF(NOT(ISNUMBER(R175)),Q175,ROUND(Q175*'sheet1-指标体系'!$J$8+R175*'sheet1-指标体系'!$J$9,2)))</x:f>
        <x:v>57.03</x:v>
      </x:c>
      <x:c r="T175" s="35" t="n">
        <x:f>IF(ISNUMBER('sheet4-原始数据'!J160),'sheet4-原始数据'!J160,"")</x:f>
        <x:v>0.6154</x:v>
      </x:c>
      <x:c r="U175" s="35" t="n">
        <x:f>IF(ISNUMBER('sheet4-原始数据'!I160),'sheet4-原始数据'!I160,"")</x:f>
        <x:v>0.6215999999999999</x:v>
      </x:c>
      <x:c r="V175" s="37" t="n">
        <x:f>IF(OR(NOT(ISNUMBER(T175)),NOT(ISNUMBER(U175))),"",(U175*'sheet1-指标体系'!$J$6-T175*'sheet1-指标体系'!$J$5)/'sheet1-指标体系'!$J$7)</x:f>
        <x:v>0.6249583333333333</x:v>
      </x:c>
      <x:c r="W175" s="17" t="n">
        <x:f>IF(NOT(ISNUMBER(T175)),"",T175*100)</x:f>
        <x:v>61.53999999999999</x:v>
      </x:c>
      <x:c r="X175" s="17" t="n">
        <x:f>IF($G175&lt;&gt;"入池","",IF(AND(ISNUMBER(V175),V175&gt;=0,V175&lt;=1),V175*100,IF(MAX(0,($F175-1)*12)&lt;6,100,"")))</x:f>
        <x:v>62.49583333333333</x:v>
      </x:c>
      <x:c r="Y175" s="17" t="n">
        <x:f>IF(NOT(ISNUMBER(W175)),"",IF(NOT(ISNUMBER(X175)),W175,ROUND(W175*'sheet1-指标体系'!$J$8+X175*'sheet1-指标体系'!$J$9,2)))</x:f>
        <x:v>61.92</x:v>
      </x:c>
      <x:c r="Z175" s="37" t="n">
        <x:f>IF(OR(NOT(ISNUMBER(M175)),NOT(ISNUMBER(AD175)),AD175=0),"",ABS(M175/AD175))</x:f>
        <x:v>0.02886399050233732</x:v>
      </x:c>
      <x:c r="AA175" s="35" t="n">
        <x:f>IF(ISNUMBER('sheet4-原始数据'!K160),'sheet4-原始数据'!K160,"")</x:f>
        <x:v>0.028900000000000002</x:v>
      </x:c>
      <x:c r="AB175" s="37" t="n">
        <x:f>IF(COUNT(Z175:AA175)=0,"",MAX(Z175:AA175))</x:f>
        <x:v>0.028900000000000002</x:v>
      </x:c>
      <x:c r="AC175" s="17" t="n">
        <x:f>IF(OR($G175&lt;&gt;"入池",NOT(ISNUMBER(AB175))),"",IF(COUNTIFS($G$17:$G$219,"入池",$AB$17:$AB$219,"&gt;=-1E+307",$AB$17:$AB$219,"&lt;=1E+307")&lt;=1,100,ROUND(100*(COUNTIFS($G$17:$G$219,"入池",$AB$17:$AB$219,"&lt;=1E+307",$AB$17:$AB$219,"&gt;"&amp;AB175)+COUNTIFS($G$17:$G$219,"入池",$AB$17:$AB$219,AB175,$AB$17:$AB$219,"&gt;=-1E+307",$AB$17:$AB$219,"&lt;=1E+307")/2-0.5)/(COUNTIFS($G$17:$G$219,"入池",$AB$17:$AB$219,"&gt;=-1E+307",$AB$17:$AB$219,"&lt;=1E+307")-1),2)))</x:f>
        <x:v>60.89</x:v>
      </x:c>
      <x:c r="AD175" s="38" t="n">
        <x:f>IF(ISNUMBER('sheet4-原始数据'!M160),'sheet4-原始数据'!M160,"")</x:f>
        <x:v>2.6954</x:v>
      </x:c>
      <x:c r="AE175" s="37" t="str">
        <x:f>IF(OR(NOT(ISNUMBER(P175)),NOT(ISNUMBER(AA175)),NOT(ISNUMBER(Z175))),"",IF(AA175&gt;Z175+'sheet1-指标体系'!$J$11,AA175,""))</x:f>
      </x:c>
      <x:c r="AF175" s="17" t="str">
        <x:f>IF(OR(NOT(ISNUMBER(P175)),NOT(ISNUMBER(AE175)),AE175=0),"",P175/AE175)</x:f>
      </x:c>
      <x:c r="AG175" s="17" t="n">
        <x:f>IF(OR($G175&lt;&gt;"入池",NOT(ISNUMBER(AD175))),"",IF(COUNTIFS($G$17:$G$219,"入池",$AD$17:$AD$219,"&gt;=-1E+307",$AD$17:$AD$219,"&lt;=1E+307")&lt;=1,100,ROUND(100*(COUNTIFS($G$17:$G$219,"入池",$AD$17:$AD$219,"&gt;=-1E+307",$AD$17:$AD$219,"&lt;"&amp;AD175)+COUNTIFS($G$17:$G$219,"入池",$AD$17:$AD$219,AD175,$AD$17:$AD$219,"&gt;=-1E+307",$AD$17:$AD$219,"&lt;=1E+307")/2-0.5)/(COUNTIFS($G$17:$G$219,"入池",$AD$17:$AD$219,"&gt;=-1E+307",$AD$17:$AD$219,"&lt;=1E+307")-1),2)))</x:f>
        <x:v>50.75</x:v>
      </x:c>
      <x:c r="AH175" s="17" t="str">
        <x:f>IF(OR($G175&lt;&gt;"入池",NOT(ISNUMBER(AF175))),"",IF(COUNTIFS($G$17:$G$219,"入池",$AF$17:$AF$219,"&gt;=-1E+307",$AF$17:$AF$219,"&lt;=1E+307")&lt;=1,100,ROUND(100*(COUNTIFS($G$17:$G$219,"入池",$AF$17:$AF$219,"&gt;=-1E+307",$AF$17:$AF$219,"&lt;"&amp;AF175)+COUNTIFS($G$17:$G$219,"入池",$AF$17:$AF$219,AF175,$AF$17:$AF$219,"&gt;=-1E+307",$AF$17:$AF$219,"&lt;=1E+307")/2-0.5)/(COUNTIFS($G$17:$G$219,"入池",$AF$17:$AF$219,"&gt;=-1E+307",$AF$17:$AF$219,"&lt;=1E+307")-1),2)))</x:f>
      </x:c>
      <x:c r="AI175" s="17" t="n">
        <x:f>IF(NOT(ISNUMBER(AG175)),"",IF(NOT(ISNUMBER(AH175)),AG175,ROUND(AG175*'sheet1-指标体系'!$J$8+AH175*'sheet1-指标体系'!$J$9,2)))</x:f>
        <x:v>50.75</x:v>
      </x:c>
      <x:c r="AJ175" s="37" t="n">
        <x:f>IF(NOT(ISNUMBER(F175)),"",IF(F175&gt;=3,IF(NOT(ISNUMBER(N175)),"",N175),IF(NOT(ISNUMBER(O175)),"",O175)))</x:f>
        <x:v>0.061200000000000004</x:v>
      </x:c>
      <x:c r="AK175" s="17" t="n">
        <x:f>IF(OR(G175&lt;&gt;"入池",NOT(ISNUMBER(M175)),NOT(ISNUMBER(AJ175))),"",IF(M175&gt;=AJ175,100,IF(AJ175-M175&lt;'sheet1-指标体系'!$J$10,80,60)))</x:f>
        <x:v>100</x:v>
      </x:c>
      <x:c r="AL175" s="17" t="n">
        <x:f>IF(COUNT(I175,K175,L175)=0,"",ROUND((IF(ISNUMBER(I175),I175*40%,0)+IF(ISNUMBER(K175),K175*30%,0)+IF(ISNUMBER(L175),L175*30%,0))/(IF(ISNUMBER(I175),40%,0)+IF(ISNUMBER(K175),30%,0)+IF(ISNUMBER(L175),30%,0)),2))</x:f>
        <x:v>88</x:v>
      </x:c>
      <x:c r="AM175" s="17" t="n">
        <x:f>IF(COUNT(Q175,R175,W175,X175)=0,"",ROUND((IF(ISNUMBER(Q175),Q175*42%,0)+IF(ISNUMBER(R175),R175*28%,0)+IF(ISNUMBER(W175),W175*18%,0)+IF(ISNUMBER(X175),X175*12%,0))/(IF(ISNUMBER(Q175),42%,0)+IF(ISNUMBER(R175),28%,0)+IF(ISNUMBER(W175),18%,0)+IF(ISNUMBER(X175),12%,0)),2))</x:f>
        <x:v>58.5</x:v>
      </x:c>
      <x:c r="AN175" s="17" t="n">
        <x:f>IF(ISNUMBER(AC175),AC175,"")</x:f>
        <x:v>60.89</x:v>
      </x:c>
      <x:c r="AO175" s="17" t="n">
        <x:f>IF(COUNT(AG175,AH175)=0,"",ROUND((IF(ISNUMBER(AG175),AG175*60%,0)+IF(ISNUMBER(AH175),AH175*40%,0))/(IF(ISNUMBER(AG175),60%,0)+IF(ISNUMBER(AH175),40%,0)),2))</x:f>
        <x:v>50.75</x:v>
      </x:c>
      <x:c r="AP175" s="17" t="n">
        <x:f>IF(ISNUMBER(AK175),AK175,"")</x:f>
        <x:v>100</x:v>
      </x:c>
      <x:c r="AQ175" s="39" t="n">
        <x:f>IF(G175&lt;&gt;"入池",0,IF(ISNUMBER(I175),6%,0)+IF(ISNUMBER(K175),4.5%,0)+IF(ISNUMBER(L175),4.5%,0)+IF(ISNUMBER(Q175),8.4%,0)+IF(ISNUMBER(R175),5.6%,0)+IF(ISNUMBER(W175),3.6%,0)+IF(ISNUMBER(X175),2.4%,0)+IF(ISNUMBER(AC175),25%,0)+IF(ISNUMBER(AG175),18%,0)+IF(ISNUMBER(AH175),12%,0)+IF(ISNUMBER(AK175),10%,0))</x:f>
        <x:v>0.88</x:v>
      </x:c>
      <x:c r="AR175" s="17" t="n">
        <x:f>IF(AQ175=0,"",IF(ISNUMBER(I175),I175*6%,0)+IF(ISNUMBER(K175),K175*4.5%,0)+IF(ISNUMBER(L175),L175*4.5%,0)+IF(ISNUMBER(Q175),Q175*8.4%,0)+IF(ISNUMBER(R175),R175*5.6%,0)+IF(ISNUMBER(W175),W175*3.6%,0)+IF(ISNUMBER(X175),X175*2.4%,0)+IF(ISNUMBER(AC175),AC175*25%,0)+IF(ISNUMBER(AG175),AG175*18%,0)+IF(ISNUMBER(AH175),AH175*12%,0)+IF(ISNUMBER(AK175),AK175*10%,0))</x:f>
        <x:v>59.257039999999996</x:v>
      </x:c>
      <x:c r="AS175" s="17" t="n">
        <x:f>IF(AQ175=0,"",ROUND(AR175/AQ175,2))</x:f>
        <x:v>67.34</x:v>
      </x:c>
      <x:c r="AT175" s="40" t="n">
        <x:f>IF(OR(G175&lt;&gt;"入池",NOT(ISNUMBER(AS175))),"",COUNTIFS($G$17:$G$219,"入池",$AS$17:$AS$219,"&gt;"&amp;AS175)+COUNTIFS($G$17:$G$219,"入池",$AS$17:$AS$219,AS175,$AQ$17:$AQ$219,"&gt;"&amp;AQ175)+COUNTIFS($G$17:G175,"入池",$AS$17:AS175,AS175,$AQ$17:AQ175,AQ175))</x:f>
        <x:v>82</x:v>
      </x:c>
      <x:c r="AU175" s="41" t="str">
        <x:f t="shared" si="7">IF(NOT(ISNUMBER(I175)),"管理人规模；","")&amp;IF(J175="","产品规模标识；","")&amp;IF(AND(F175&lt;3,NOT(ISNUMBER(O175))),"R_incep；","")&amp;IF(NOT(ISNUMBER(N175)),"近三年收益；","")&amp;IF(NOT(ISNUMBER(U175)),"近三年胜率；","")&amp;IF(AND(ISNUMBER(V175),OR(V175&lt;0,V175&gt;1)),"胜率窗口口径不一致；","")&amp;IF(NOT(ISNUMBER(AA175)),"近三年回撤；","")&amp;IF(NOT(ISNUMBER(AD175)),"短期卡玛；","")&amp;IF(AND(ISNUMBER(P175),NOT(ISNUMBER(AE175))),"DD_long不可识别；","")</x:f>
        <x:v>DD_long不可识别；</x:v>
      </x:c>
      <x:c r="AV175" s="42" t="n">
        <x:v>5</x:v>
      </x:c>
      <x:c r="AW175" s="19" t="str">
        <x:v>上海滴海私募基金管理中心（有限合伙）</x:v>
      </x:c>
      <x:c r="AX175" s="19" t="str">
        <x:v>2026-03-23</x:v>
      </x:c>
      <x:c r="AY175" s="19" t="str">
        <x:v>https://gs.amac.org.cn/amac-infodisc/res/pof/manager/101000018343.html</x:v>
      </x:c>
      <x:c r="AZ175" s="19" t="str">
        <x:v>谊恒滴海一号私募证券投资基金</x:v>
      </x:c>
      <x:c r="BA175" s="19" t="str">
        <x:v>2025-03-19</x:v>
      </x:c>
      <x:c r="BB175" s="19"/>
      <x:c r="BC175" s="19" t="str">
        <x:v>https://gs.amac.org.cn/amac-infodisc/res/pof/fund/2210281610103422.html</x:v>
      </x:c>
      <x:c r="BD175" s="19" t="str">
        <x:v>已匹配</x:v>
      </x:c>
      <x:c r="BE175"/>
      <x:c r="BF175"/>
    </x:row>
    <x:row r="176" ht="28" customHeight="1">
      <x:c r="A176" s="4" t="n">
        <x:v>160</x:v>
      </x:c>
      <x:c r="B176" s="15" t="str">
        <x:f>'sheet4-原始数据'!A161</x:f>
        <x:v>尊嘉金润1号</x:v>
      </x:c>
      <x:c r="C176" s="15" t="str">
        <x:f>'sheet4-原始数据'!B161</x:f>
        <x:v>SXM526</x:v>
      </x:c>
      <x:c r="D176" s="15" t="str">
        <x:f>'sheet4-原始数据'!E161</x:f>
        <x:v>北京尊嘉资管</x:v>
      </x:c>
      <x:c r="E176" s="32" t="n">
        <x:f>IF(ISNUMBER('sheet4-原始数据'!F161),'sheet4-原始数据'!F161,"")</x:f>
        <x:v>44860</x:v>
      </x:c>
      <x:c r="F176" s="17" t="n">
        <x:f>IF(NOT(ISNUMBER(E176)),"",ROUND(('sheet1-指标体系'!$J$23-E176)/365.25,4))</x:f>
        <x:v>3.8905</x:v>
      </x:c>
      <x:c r="G176" s="4" t="str">
        <x:f t="shared" si="6">IF(NOT(ISNUMBER(F176)),"",IF(F176&lt;1,"不入池","入池"))</x:f>
        <x:v>入池</x:v>
      </x:c>
      <x:c r="H176" s="33" t="str">
        <x:v>0-5亿元</x:v>
      </x:c>
      <x:c r="I176" s="17" t="n">
        <x:f>IF(H176="","",IF(ISNUMBER(SEARCH("100亿元以上",H176)),100,IF(OR(ISNUMBER(SEARCH("20-50",H176)),ISNUMBER(SEARCH("50-100",H176)),ISNUMBER(SEARCH("20-100",H176))),90,IF(ISNUMBER(SEARCH("10-20",H176)),80,IF(ISNUMBER(SEARCH("5-10",H176)),70,IF(ISNUMBER(SEARCH("0-5",H176)),60,""))))))</x:f>
        <x:v>60</x:v>
      </x:c>
      <x:c r="J176" s="34" t="str">
        <x:v>无低于1000万元标识</x:v>
      </x:c>
      <x:c r="K176" s="17" t="n">
        <x:f>IF(J176="","",IF(J176="低于1000万元",0,100))</x:f>
        <x:v>100</x:v>
      </x:c>
      <x:c r="L176" s="17" t="n">
        <x:f>IF(NOT(ISNUMBER(F176)),"",IF(F176&lt;1,"",IF(F176&lt;3,70,100)))</x:f>
        <x:v>100</x:v>
      </x:c>
      <x:c r="M176" s="35" t="n">
        <x:f>IF(ISNUMBER('sheet4-原始数据'!G161),'sheet4-原始数据'!G161,"")</x:f>
        <x:v>0.0268</x:v>
      </x:c>
      <x:c r="N176" s="35" t="n">
        <x:f>IF(ISNUMBER('sheet4-原始数据'!H161),'sheet4-原始数据'!H161,"")</x:f>
        <x:v>0.062400000000000004</x:v>
      </x:c>
      <x:c r="O176" s="36" t="str">
        <x:f>IF(ISNUMBER('sheet4-原始数据'!Q161),'sheet4-原始数据'!Q161,"")</x:f>
      </x:c>
      <x:c r="P176" s="37" t="n">
        <x:f>IF($G176&lt;&gt;"入池","",IF($F176&gt;=3,IF(OR(NOT(ISNUMBER($M176)),NOT(ISNUMBER($N176)),1+$M176&lt;=0,1+$N176&lt;0),"",((1+$N176)^3/(1+$M176))^(1/2)-1),IF(OR($F176&lt;=1,NOT(ISNUMBER($M176)),NOT(ISNUMBER($O176)),1+$M176&lt;=0,1+$O176&lt;0),"",((1+$O176)^$F176/(1+$M176))^(1/($F176-1))-1)))</x:f>
        <x:v>0.0806602150597262</x:v>
      </x:c>
      <x:c r="Q176" s="17" t="n">
        <x:f>IF(OR($G176&lt;&gt;"入池",NOT(ISNUMBER(M176))),"",IF(COUNTIFS($G$17:$G$219,"入池",$M$17:$M$219,"&gt;=-1E+307",$M$17:$M$219,"&lt;=1E+307")&lt;=1,100,ROUND(100*(COUNTIFS($G$17:$G$219,"入池",$M$17:$M$219,"&gt;=-1E+307",$M$17:$M$219,"&lt;"&amp;M176)+COUNTIFS($G$17:$G$219,"入池",$M$17:$M$219,M176,$M$17:$M$219,"&gt;=-1E+307",$M$17:$M$219,"&lt;=1E+307")/2-0.5)/(COUNTIFS($G$17:$G$219,"入池",$M$17:$M$219,"&gt;=-1E+307",$M$17:$M$219,"&lt;=1E+307")-1),2)))</x:f>
        <x:v>30.2</x:v>
      </x:c>
      <x:c r="R176" s="17" t="n">
        <x:f>IF(OR($G176&lt;&gt;"入池",NOT(ISNUMBER(P176))),"",IF(COUNTIFS($G$17:$G$219,"入池",$P$17:$P$219,"&gt;=-1E+307",$P$17:$P$219,"&lt;=1E+307")&lt;=1,100,ROUND(100*(COUNTIFS($G$17:$G$219,"入池",$P$17:$P$219,"&gt;=-1E+307",$P$17:$P$219,"&lt;"&amp;P176)+COUNTIFS($G$17:$G$219,"入池",$P$17:$P$219,P176,$P$17:$P$219,"&gt;=-1E+307",$P$17:$P$219,"&lt;=1E+307")/2-0.5)/(COUNTIFS($G$17:$G$219,"入池",$P$17:$P$219,"&gt;=-1E+307",$P$17:$P$219,"&lt;=1E+307")-1),2)))</x:f>
        <x:v>65.84</x:v>
      </x:c>
      <x:c r="S176" s="17" t="n">
        <x:f>IF(NOT(ISNUMBER(Q176)),"",IF(NOT(ISNUMBER(R176)),Q176,ROUND(Q176*'sheet1-指标体系'!$J$8+R176*'sheet1-指标体系'!$J$9,2)))</x:f>
        <x:v>44.46</x:v>
      </x:c>
      <x:c r="T176" s="35" t="n">
        <x:f>IF(ISNUMBER('sheet4-原始数据'!J161),'sheet4-原始数据'!J161,"")</x:f>
        <x:v>0.6154</x:v>
      </x:c>
      <x:c r="U176" s="35" t="n">
        <x:f>IF(ISNUMBER('sheet4-原始数据'!I161),'sheet4-原始数据'!I161,"")</x:f>
        <x:v>0.7297</x:v>
      </x:c>
      <x:c r="V176" s="37" t="n">
        <x:f>IF(OR(NOT(ISNUMBER(T176)),NOT(ISNUMBER(U176))),"",(U176*'sheet1-指标体系'!$J$6-T176*'sheet1-指标体系'!$J$5)/'sheet1-指标体系'!$J$7)</x:f>
        <x:v>0.7916124999999999</x:v>
      </x:c>
      <x:c r="W176" s="17" t="n">
        <x:f>IF(NOT(ISNUMBER(T176)),"",T176*100)</x:f>
        <x:v>61.53999999999999</x:v>
      </x:c>
      <x:c r="X176" s="17" t="n">
        <x:f>IF($G176&lt;&gt;"入池","",IF(AND(ISNUMBER(V176),V176&gt;=0,V176&lt;=1),V176*100,IF(MAX(0,($F176-1)*12)&lt;6,100,"")))</x:f>
        <x:v>79.16125</x:v>
      </x:c>
      <x:c r="Y176" s="17" t="n">
        <x:f>IF(NOT(ISNUMBER(W176)),"",IF(NOT(ISNUMBER(X176)),W176,ROUND(W176*'sheet1-指标体系'!$J$8+X176*'sheet1-指标体系'!$J$9,2)))</x:f>
        <x:v>68.59</x:v>
      </x:c>
      <x:c r="Z176" s="37" t="n">
        <x:f>IF(OR(NOT(ISNUMBER(M176)),NOT(ISNUMBER(AD176)),AD176=0),"",ABS(M176/AD176))</x:f>
        <x:v>0.06179386672815311</x:v>
      </x:c>
      <x:c r="AA176" s="35" t="n">
        <x:f>IF(ISNUMBER('sheet4-原始数据'!K161),'sheet4-原始数据'!K161,"")</x:f>
        <x:v>0.109</x:v>
      </x:c>
      <x:c r="AB176" s="37" t="n">
        <x:f>IF(COUNT(Z176:AA176)=0,"",MAX(Z176:AA176))</x:f>
        <x:v>0.109</x:v>
      </x:c>
      <x:c r="AC176" s="17" t="n">
        <x:f>IF(OR($G176&lt;&gt;"入池",NOT(ISNUMBER(AB176))),"",IF(COUNTIFS($G$17:$G$219,"入池",$AB$17:$AB$219,"&gt;=-1E+307",$AB$17:$AB$219,"&lt;=1E+307")&lt;=1,100,ROUND(100*(COUNTIFS($G$17:$G$219,"入池",$AB$17:$AB$219,"&lt;=1E+307",$AB$17:$AB$219,"&gt;"&amp;AB176)+COUNTIFS($G$17:$G$219,"入池",$AB$17:$AB$219,AB176,$AB$17:$AB$219,"&gt;=-1E+307",$AB$17:$AB$219,"&lt;=1E+307")/2-0.5)/(COUNTIFS($G$17:$G$219,"入池",$AB$17:$AB$219,"&gt;=-1E+307",$AB$17:$AB$219,"&lt;=1E+307")-1),2)))</x:f>
        <x:v>24.75</x:v>
      </x:c>
      <x:c r="AD176" s="38" t="n">
        <x:f>IF(ISNUMBER('sheet4-原始数据'!M161),'sheet4-原始数据'!M161,"")</x:f>
        <x:v>0.4337</x:v>
      </x:c>
      <x:c r="AE176" s="37" t="n">
        <x:f>IF(OR(NOT(ISNUMBER(P176)),NOT(ISNUMBER(AA176)),NOT(ISNUMBER(Z176))),"",IF(AA176&gt;Z176+'sheet1-指标体系'!$J$11,AA176,""))</x:f>
        <x:v>0.109</x:v>
      </x:c>
      <x:c r="AF176" s="17" t="n">
        <x:f>IF(OR(NOT(ISNUMBER(P176)),NOT(ISNUMBER(AE176)),AE176=0),"",P176/AE176)</x:f>
        <x:v>0.740001973025011</x:v>
      </x:c>
      <x:c r="AG176" s="17" t="n">
        <x:f>IF(OR($G176&lt;&gt;"入池",NOT(ISNUMBER(AD176))),"",IF(COUNTIFS($G$17:$G$219,"入池",$AD$17:$AD$219,"&gt;=-1E+307",$AD$17:$AD$219,"&lt;=1E+307")&lt;=1,100,ROUND(100*(COUNTIFS($G$17:$G$219,"入池",$AD$17:$AD$219,"&gt;=-1E+307",$AD$17:$AD$219,"&lt;"&amp;AD176)+COUNTIFS($G$17:$G$219,"入池",$AD$17:$AD$219,AD176,$AD$17:$AD$219,"&gt;=-1E+307",$AD$17:$AD$219,"&lt;=1E+307")/2-0.5)/(COUNTIFS($G$17:$G$219,"入池",$AD$17:$AD$219,"&gt;=-1E+307",$AD$17:$AD$219,"&lt;=1E+307")-1),2)))</x:f>
        <x:v>26.37</x:v>
      </x:c>
      <x:c r="AH176" s="17" t="n">
        <x:f>IF(OR($G176&lt;&gt;"入池",NOT(ISNUMBER(AF176))),"",IF(COUNTIFS($G$17:$G$219,"入池",$AF$17:$AF$219,"&gt;=-1E+307",$AF$17:$AF$219,"&lt;=1E+307")&lt;=1,100,ROUND(100*(COUNTIFS($G$17:$G$219,"入池",$AF$17:$AF$219,"&gt;=-1E+307",$AF$17:$AF$219,"&lt;"&amp;AF176)+COUNTIFS($G$17:$G$219,"入池",$AF$17:$AF$219,AF176,$AF$17:$AF$219,"&gt;=-1E+307",$AF$17:$AF$219,"&lt;=1E+307")/2-0.5)/(COUNTIFS($G$17:$G$219,"入池",$AF$17:$AF$219,"&gt;=-1E+307",$AF$17:$AF$219,"&lt;=1E+307")-1),2)))</x:f>
        <x:v>28.47</x:v>
      </x:c>
      <x:c r="AI176" s="17" t="n">
        <x:f>IF(NOT(ISNUMBER(AG176)),"",IF(NOT(ISNUMBER(AH176)),AG176,ROUND(AG176*'sheet1-指标体系'!$J$8+AH176*'sheet1-指标体系'!$J$9,2)))</x:f>
        <x:v>27.21</x:v>
      </x:c>
      <x:c r="AJ176" s="37" t="n">
        <x:f>IF(NOT(ISNUMBER(F176)),"",IF(F176&gt;=3,IF(NOT(ISNUMBER(N176)),"",N176),IF(NOT(ISNUMBER(O176)),"",O176)))</x:f>
        <x:v>0.062400000000000004</x:v>
      </x:c>
      <x:c r="AK176" s="17" t="n">
        <x:f>IF(OR(G176&lt;&gt;"入池",NOT(ISNUMBER(M176)),NOT(ISNUMBER(AJ176))),"",IF(M176&gt;=AJ176,100,IF(AJ176-M176&lt;'sheet1-指标体系'!$J$10,80,60)))</x:f>
        <x:v>80</x:v>
      </x:c>
      <x:c r="AL176" s="17" t="n">
        <x:f>IF(COUNT(I176,K176,L176)=0,"",ROUND((IF(ISNUMBER(I176),I176*40%,0)+IF(ISNUMBER(K176),K176*30%,0)+IF(ISNUMBER(L176),L176*30%,0))/(IF(ISNUMBER(I176),40%,0)+IF(ISNUMBER(K176),30%,0)+IF(ISNUMBER(L176),30%,0)),2))</x:f>
        <x:v>84</x:v>
      </x:c>
      <x:c r="AM176" s="17" t="n">
        <x:f>IF(COUNT(Q176,R176,W176,X176)=0,"",ROUND((IF(ISNUMBER(Q176),Q176*42%,0)+IF(ISNUMBER(R176),R176*28%,0)+IF(ISNUMBER(W176),W176*18%,0)+IF(ISNUMBER(X176),X176*12%,0))/(IF(ISNUMBER(Q176),42%,0)+IF(ISNUMBER(R176),28%,0)+IF(ISNUMBER(W176),18%,0)+IF(ISNUMBER(X176),12%,0)),2))</x:f>
        <x:v>51.7</x:v>
      </x:c>
      <x:c r="AN176" s="17" t="n">
        <x:f>IF(ISNUMBER(AC176),AC176,"")</x:f>
        <x:v>24.75</x:v>
      </x:c>
      <x:c r="AO176" s="17" t="n">
        <x:f>IF(COUNT(AG176,AH176)=0,"",ROUND((IF(ISNUMBER(AG176),AG176*60%,0)+IF(ISNUMBER(AH176),AH176*40%,0))/(IF(ISNUMBER(AG176),60%,0)+IF(ISNUMBER(AH176),40%,0)),2))</x:f>
        <x:v>27.21</x:v>
      </x:c>
      <x:c r="AP176" s="17" t="n">
        <x:f>IF(ISNUMBER(AK176),AK176,"")</x:f>
        <x:v>80</x:v>
      </x:c>
      <x:c r="AQ176" s="39" t="n">
        <x:f>IF(G176&lt;&gt;"入池",0,IF(ISNUMBER(I176),6%,0)+IF(ISNUMBER(K176),4.5%,0)+IF(ISNUMBER(L176),4.5%,0)+IF(ISNUMBER(Q176),8.4%,0)+IF(ISNUMBER(R176),5.6%,0)+IF(ISNUMBER(W176),3.6%,0)+IF(ISNUMBER(X176),2.4%,0)+IF(ISNUMBER(AC176),25%,0)+IF(ISNUMBER(AG176),18%,0)+IF(ISNUMBER(AH176),12%,0)+IF(ISNUMBER(AK176),10%,0))</x:f>
        <x:v>1</x:v>
      </x:c>
      <x:c r="AR176" s="17" t="n">
        <x:f>IF(AQ176=0,"",IF(ISNUMBER(I176),I176*6%,0)+IF(ISNUMBER(K176),K176*4.5%,0)+IF(ISNUMBER(L176),L176*4.5%,0)+IF(ISNUMBER(Q176),Q176*8.4%,0)+IF(ISNUMBER(R176),R176*5.6%,0)+IF(ISNUMBER(W176),W176*3.6%,0)+IF(ISNUMBER(X176),X176*2.4%,0)+IF(ISNUMBER(AC176),AC176*25%,0)+IF(ISNUMBER(AG176),AG176*18%,0)+IF(ISNUMBER(AH176),AH176*12%,0)+IF(ISNUMBER(AK176),AK176*10%,0))</x:f>
        <x:v>45.28965</x:v>
      </x:c>
      <x:c r="AS176" s="17" t="n">
        <x:f>IF(AQ176=0,"",ROUND(AR176/AQ176,2))</x:f>
        <x:v>45.29</x:v>
      </x:c>
      <x:c r="AT176" s="40" t="n">
        <x:f>IF(OR(G176&lt;&gt;"入池",NOT(ISNUMBER(AS176))),"",COUNTIFS($G$17:$G$219,"入池",$AS$17:$AS$219,"&gt;"&amp;AS176)+COUNTIFS($G$17:$G$219,"入池",$AS$17:$AS$219,AS176,$AQ$17:$AQ$219,"&gt;"&amp;AQ176)+COUNTIFS($G$17:G176,"入池",$AS$17:AS176,AS176,$AQ$17:AQ176,AQ176))</x:f>
        <x:v>158</x:v>
      </x:c>
      <x:c r="AU176" s="41" t="str">
        <x:f t="shared" si="7">IF(NOT(ISNUMBER(I176)),"管理人规模；","")&amp;IF(J176="","产品规模标识；","")&amp;IF(AND(F176&lt;3,NOT(ISNUMBER(O176))),"R_incep；","")&amp;IF(NOT(ISNUMBER(N176)),"近三年收益；","")&amp;IF(NOT(ISNUMBER(U176)),"近三年胜率；","")&amp;IF(AND(ISNUMBER(V176),OR(V176&lt;0,V176&gt;1)),"胜率窗口口径不一致；","")&amp;IF(NOT(ISNUMBER(AA176)),"近三年回撤；","")&amp;IF(NOT(ISNUMBER(AD176)),"短期卡玛；","")&amp;IF(AND(ISNUMBER(P176),NOT(ISNUMBER(AE176))),"DD_long不可识别；","")</x:f>
      </x:c>
      <x:c r="AV176" s="42" t="n">
        <x:v>0</x:v>
      </x:c>
      <x:c r="AW176" s="19" t="str">
        <x:v>北京尊嘉资产管理有限公司</x:v>
      </x:c>
      <x:c r="AX176" s="19" t="str">
        <x:v>2026-07-21</x:v>
      </x:c>
      <x:c r="AY176" s="19" t="str">
        <x:v>https://gs.amac.org.cn/amac-infodisc/res/pof/manager/101000000661.html</x:v>
      </x:c>
      <x:c r="AZ176" s="19" t="str">
        <x:v>尊嘉金润1号私募证券投资基金</x:v>
      </x:c>
      <x:c r="BA176" s="19" t="str">
        <x:v>2025-02-07</x:v>
      </x:c>
      <x:c r="BB176" s="19"/>
      <x:c r="BC176" s="19" t="str">
        <x:v>https://gs.amac.org.cn/amac-infodisc/res/pof/fund/2210311704131702.html</x:v>
      </x:c>
      <x:c r="BD176" s="19" t="str">
        <x:v>已匹配</x:v>
      </x:c>
      <x:c r="BE176"/>
      <x:c r="BF176"/>
    </x:row>
    <x:row r="177" ht="28" customHeight="1">
      <x:c r="A177" s="4" t="n">
        <x:v>161</x:v>
      </x:c>
      <x:c r="B177" s="15" t="str">
        <x:f>'sheet4-原始数据'!A162</x:f>
        <x:v>殊馥兴义6号</x:v>
      </x:c>
      <x:c r="C177" s="15" t="str">
        <x:f>'sheet4-原始数据'!B162</x:f>
        <x:v>SXQ267</x:v>
      </x:c>
      <x:c r="D177" s="15" t="str">
        <x:f>'sheet4-原始数据'!E162</x:f>
        <x:v>上海殊馥投资</x:v>
      </x:c>
      <x:c r="E177" s="32" t="n">
        <x:f>IF(ISNUMBER('sheet4-原始数据'!F162),'sheet4-原始数据'!F162,"")</x:f>
        <x:v>44867</x:v>
      </x:c>
      <x:c r="F177" s="17" t="n">
        <x:f>IF(NOT(ISNUMBER(E177)),"",ROUND(('sheet1-指标体系'!$J$23-E177)/365.25,4))</x:f>
        <x:v>3.8713</x:v>
      </x:c>
      <x:c r="G177" s="4" t="str">
        <x:f t="shared" si="6">IF(NOT(ISNUMBER(F177)),"",IF(F177&lt;1,"不入池","入池"))</x:f>
        <x:v>入池</x:v>
      </x:c>
      <x:c r="H177" s="33" t="str">
        <x:v>10-20亿元</x:v>
      </x:c>
      <x:c r="I177" s="17" t="n">
        <x:f>IF(H177="","",IF(ISNUMBER(SEARCH("100亿元以上",H177)),100,IF(OR(ISNUMBER(SEARCH("20-50",H177)),ISNUMBER(SEARCH("50-100",H177)),ISNUMBER(SEARCH("20-100",H177))),90,IF(ISNUMBER(SEARCH("10-20",H177)),80,IF(ISNUMBER(SEARCH("5-10",H177)),70,IF(ISNUMBER(SEARCH("0-5",H177)),60,""))))))</x:f>
        <x:v>80</x:v>
      </x:c>
      <x:c r="J177" s="34" t="str">
        <x:v>无低于1000万元标识</x:v>
      </x:c>
      <x:c r="K177" s="17" t="n">
        <x:f>IF(J177="","",IF(J177="低于1000万元",0,100))</x:f>
        <x:v>100</x:v>
      </x:c>
      <x:c r="L177" s="17" t="n">
        <x:f>IF(NOT(ISNUMBER(F177)),"",IF(F177&lt;1,"",IF(F177&lt;3,70,100)))</x:f>
        <x:v>100</x:v>
      </x:c>
      <x:c r="M177" s="35" t="n">
        <x:f>IF(ISNUMBER('sheet4-原始数据'!G162),'sheet4-原始数据'!G162,"")</x:f>
        <x:v>0.075</x:v>
      </x:c>
      <x:c r="N177" s="35" t="n">
        <x:f>IF(ISNUMBER('sheet4-原始数据'!H162),'sheet4-原始数据'!H162,"")</x:f>
        <x:v>0.0666</x:v>
      </x:c>
      <x:c r="O177" s="36" t="str">
        <x:f>IF(ISNUMBER('sheet4-原始数据'!Q162),'sheet4-原始数据'!Q162,"")</x:f>
      </x:c>
      <x:c r="P177" s="37" t="n">
        <x:f>IF($G177&lt;&gt;"入池","",IF($F177&gt;=3,IF(OR(NOT(ISNUMBER($M177)),NOT(ISNUMBER($N177)),1+$M177&lt;=0,1+$N177&lt;0),"",((1+$N177)^3/(1+$M177))^(1/2)-1),IF(OR($F177&lt;=1,NOT(ISNUMBER($M177)),NOT(ISNUMBER($O177)),1+$M177&lt;=0,1+$O177&lt;0),"",((1+$O177)^$F177/(1+$M177))^(1/($F177-1))-1)))</x:f>
        <x:v>0.06242464610316811</x:v>
      </x:c>
      <x:c r="Q177" s="17" t="n">
        <x:f>IF(OR($G177&lt;&gt;"入池",NOT(ISNUMBER(M177))),"",IF(COUNTIFS($G$17:$G$219,"入池",$M$17:$M$219,"&gt;=-1E+307",$M$17:$M$219,"&lt;=1E+307")&lt;=1,100,ROUND(100*(COUNTIFS($G$17:$G$219,"入池",$M$17:$M$219,"&gt;=-1E+307",$M$17:$M$219,"&lt;"&amp;M177)+COUNTIFS($G$17:$G$219,"入池",$M$17:$M$219,M177,$M$17:$M$219,"&gt;=-1E+307",$M$17:$M$219,"&lt;=1E+307")/2-0.5)/(COUNTIFS($G$17:$G$219,"入池",$M$17:$M$219,"&gt;=-1E+307",$M$17:$M$219,"&lt;=1E+307")-1),2)))</x:f>
        <x:v>67.82</x:v>
      </x:c>
      <x:c r="R177" s="17" t="n">
        <x:f>IF(OR($G177&lt;&gt;"入池",NOT(ISNUMBER(P177))),"",IF(COUNTIFS($G$17:$G$219,"入池",$P$17:$P$219,"&gt;=-1E+307",$P$17:$P$219,"&lt;=1E+307")&lt;=1,100,ROUND(100*(COUNTIFS($G$17:$G$219,"入池",$P$17:$P$219,"&gt;=-1E+307",$P$17:$P$219,"&lt;"&amp;P177)+COUNTIFS($G$17:$G$219,"入池",$P$17:$P$219,P177,$P$17:$P$219,"&gt;=-1E+307",$P$17:$P$219,"&lt;=1E+307")/2-0.5)/(COUNTIFS($G$17:$G$219,"入池",$P$17:$P$219,"&gt;=-1E+307",$P$17:$P$219,"&lt;=1E+307")-1),2)))</x:f>
        <x:v>49.5</x:v>
      </x:c>
      <x:c r="S177" s="17" t="n">
        <x:f>IF(NOT(ISNUMBER(Q177)),"",IF(NOT(ISNUMBER(R177)),Q177,ROUND(Q177*'sheet1-指标体系'!$J$8+R177*'sheet1-指标体系'!$J$9,2)))</x:f>
        <x:v>60.49</x:v>
      </x:c>
      <x:c r="T177" s="35" t="n">
        <x:f>IF(ISNUMBER('sheet4-原始数据'!J162),'sheet4-原始数据'!J162,"")</x:f>
        <x:v>0.6923</x:v>
      </x:c>
      <x:c r="U177" s="35" t="n">
        <x:f>IF(ISNUMBER('sheet4-原始数据'!I162),'sheet4-原始数据'!I162,"")</x:f>
        <x:v>0.7837999999999999</x:v>
      </x:c>
      <x:c r="V177" s="37" t="n">
        <x:f>IF(OR(NOT(ISNUMBER(T177)),NOT(ISNUMBER(U177))),"",(U177*'sheet1-指标体系'!$J$6-T177*'sheet1-指标体系'!$J$5)/'sheet1-指标体系'!$J$7)</x:f>
        <x:v>0.8333624999999999</x:v>
      </x:c>
      <x:c r="W177" s="17" t="n">
        <x:f>IF(NOT(ISNUMBER(T177)),"",T177*100)</x:f>
        <x:v>69.23</x:v>
      </x:c>
      <x:c r="X177" s="17" t="n">
        <x:f>IF($G177&lt;&gt;"入池","",IF(AND(ISNUMBER(V177),V177&gt;=0,V177&lt;=1),V177*100,IF(MAX(0,($F177-1)*12)&lt;6,100,"")))</x:f>
        <x:v>83.33624999999999</x:v>
      </x:c>
      <x:c r="Y177" s="17" t="n">
        <x:f>IF(NOT(ISNUMBER(W177)),"",IF(NOT(ISNUMBER(X177)),W177,ROUND(W177*'sheet1-指标体系'!$J$8+X177*'sheet1-指标体系'!$J$9,2)))</x:f>
        <x:v>74.87</x:v>
      </x:c>
      <x:c r="Z177" s="37" t="n">
        <x:f>IF(OR(NOT(ISNUMBER(M177)),NOT(ISNUMBER(AD177)),AD177=0),"",ABS(M177/AD177))</x:f>
        <x:v>0.016947237600271153</x:v>
      </x:c>
      <x:c r="AA177" s="35" t="n">
        <x:f>IF(ISNUMBER('sheet4-原始数据'!K162),'sheet4-原始数据'!K162,"")</x:f>
        <x:v>0.0169</x:v>
      </x:c>
      <x:c r="AB177" s="37" t="n">
        <x:f>IF(COUNT(Z177:AA177)=0,"",MAX(Z177:AA177))</x:f>
        <x:v>0.016947237600271153</x:v>
      </x:c>
      <x:c r="AC177" s="17" t="n">
        <x:f>IF(OR($G177&lt;&gt;"入池",NOT(ISNUMBER(AB177))),"",IF(COUNTIFS($G$17:$G$219,"入池",$AB$17:$AB$219,"&gt;=-1E+307",$AB$17:$AB$219,"&lt;=1E+307")&lt;=1,100,ROUND(100*(COUNTIFS($G$17:$G$219,"入池",$AB$17:$AB$219,"&lt;=1E+307",$AB$17:$AB$219,"&gt;"&amp;AB177)+COUNTIFS($G$17:$G$219,"入池",$AB$17:$AB$219,AB177,$AB$17:$AB$219,"&gt;=-1E+307",$AB$17:$AB$219,"&lt;=1E+307")/2-0.5)/(COUNTIFS($G$17:$G$219,"入池",$AB$17:$AB$219,"&gt;=-1E+307",$AB$17:$AB$219,"&lt;=1E+307")-1),2)))</x:f>
        <x:v>76.73</x:v>
      </x:c>
      <x:c r="AD177" s="38" t="n">
        <x:f>IF(ISNUMBER('sheet4-原始数据'!M162),'sheet4-原始数据'!M162,"")</x:f>
        <x:v>4.4255</x:v>
      </x:c>
      <x:c r="AE177" s="37" t="str">
        <x:f>IF(OR(NOT(ISNUMBER(P177)),NOT(ISNUMBER(AA177)),NOT(ISNUMBER(Z177))),"",IF(AA177&gt;Z177+'sheet1-指标体系'!$J$11,AA177,""))</x:f>
      </x:c>
      <x:c r="AF177" s="17" t="str">
        <x:f>IF(OR(NOT(ISNUMBER(P177)),NOT(ISNUMBER(AE177)),AE177=0),"",P177/AE177)</x:f>
      </x:c>
      <x:c r="AG177" s="17" t="n">
        <x:f>IF(OR($G177&lt;&gt;"入池",NOT(ISNUMBER(AD177))),"",IF(COUNTIFS($G$17:$G$219,"入池",$AD$17:$AD$219,"&gt;=-1E+307",$AD$17:$AD$219,"&lt;=1E+307")&lt;=1,100,ROUND(100*(COUNTIFS($G$17:$G$219,"入池",$AD$17:$AD$219,"&gt;=-1E+307",$AD$17:$AD$219,"&lt;"&amp;AD177)+COUNTIFS($G$17:$G$219,"入池",$AD$17:$AD$219,AD177,$AD$17:$AD$219,"&gt;=-1E+307",$AD$17:$AD$219,"&lt;=1E+307")/2-0.5)/(COUNTIFS($G$17:$G$219,"入池",$AD$17:$AD$219,"&gt;=-1E+307",$AD$17:$AD$219,"&lt;=1E+307")-1),2)))</x:f>
        <x:v>61.19</x:v>
      </x:c>
      <x:c r="AH177" s="17" t="str">
        <x:f>IF(OR($G177&lt;&gt;"入池",NOT(ISNUMBER(AF177))),"",IF(COUNTIFS($G$17:$G$219,"入池",$AF$17:$AF$219,"&gt;=-1E+307",$AF$17:$AF$219,"&lt;=1E+307")&lt;=1,100,ROUND(100*(COUNTIFS($G$17:$G$219,"入池",$AF$17:$AF$219,"&gt;=-1E+307",$AF$17:$AF$219,"&lt;"&amp;AF177)+COUNTIFS($G$17:$G$219,"入池",$AF$17:$AF$219,AF177,$AF$17:$AF$219,"&gt;=-1E+307",$AF$17:$AF$219,"&lt;=1E+307")/2-0.5)/(COUNTIFS($G$17:$G$219,"入池",$AF$17:$AF$219,"&gt;=-1E+307",$AF$17:$AF$219,"&lt;=1E+307")-1),2)))</x:f>
      </x:c>
      <x:c r="AI177" s="17" t="n">
        <x:f>IF(NOT(ISNUMBER(AG177)),"",IF(NOT(ISNUMBER(AH177)),AG177,ROUND(AG177*'sheet1-指标体系'!$J$8+AH177*'sheet1-指标体系'!$J$9,2)))</x:f>
        <x:v>61.19</x:v>
      </x:c>
      <x:c r="AJ177" s="37" t="n">
        <x:f>IF(NOT(ISNUMBER(F177)),"",IF(F177&gt;=3,IF(NOT(ISNUMBER(N177)),"",N177),IF(NOT(ISNUMBER(O177)),"",O177)))</x:f>
        <x:v>0.0666</x:v>
      </x:c>
      <x:c r="AK177" s="17" t="n">
        <x:f>IF(OR(G177&lt;&gt;"入池",NOT(ISNUMBER(M177)),NOT(ISNUMBER(AJ177))),"",IF(M177&gt;=AJ177,100,IF(AJ177-M177&lt;'sheet1-指标体系'!$J$10,80,60)))</x:f>
        <x:v>100</x:v>
      </x:c>
      <x:c r="AL177" s="17" t="n">
        <x:f>IF(COUNT(I177,K177,L177)=0,"",ROUND((IF(ISNUMBER(I177),I177*40%,0)+IF(ISNUMBER(K177),K177*30%,0)+IF(ISNUMBER(L177),L177*30%,0))/(IF(ISNUMBER(I177),40%,0)+IF(ISNUMBER(K177),30%,0)+IF(ISNUMBER(L177),30%,0)),2))</x:f>
        <x:v>92</x:v>
      </x:c>
      <x:c r="AM177" s="17" t="n">
        <x:f>IF(COUNT(Q177,R177,W177,X177)=0,"",ROUND((IF(ISNUMBER(Q177),Q177*42%,0)+IF(ISNUMBER(R177),R177*28%,0)+IF(ISNUMBER(W177),W177*18%,0)+IF(ISNUMBER(X177),X177*12%,0))/(IF(ISNUMBER(Q177),42%,0)+IF(ISNUMBER(R177),28%,0)+IF(ISNUMBER(W177),18%,0)+IF(ISNUMBER(X177),12%,0)),2))</x:f>
        <x:v>64.81</x:v>
      </x:c>
      <x:c r="AN177" s="17" t="n">
        <x:f>IF(ISNUMBER(AC177),AC177,"")</x:f>
        <x:v>76.73</x:v>
      </x:c>
      <x:c r="AO177" s="17" t="n">
        <x:f>IF(COUNT(AG177,AH177)=0,"",ROUND((IF(ISNUMBER(AG177),AG177*60%,0)+IF(ISNUMBER(AH177),AH177*40%,0))/(IF(ISNUMBER(AG177),60%,0)+IF(ISNUMBER(AH177),40%,0)),2))</x:f>
        <x:v>61.19</x:v>
      </x:c>
      <x:c r="AP177" s="17" t="n">
        <x:f>IF(ISNUMBER(AK177),AK177,"")</x:f>
        <x:v>100</x:v>
      </x:c>
      <x:c r="AQ177" s="39" t="n">
        <x:f>IF(G177&lt;&gt;"入池",0,IF(ISNUMBER(I177),6%,0)+IF(ISNUMBER(K177),4.5%,0)+IF(ISNUMBER(L177),4.5%,0)+IF(ISNUMBER(Q177),8.4%,0)+IF(ISNUMBER(R177),5.6%,0)+IF(ISNUMBER(W177),3.6%,0)+IF(ISNUMBER(X177),2.4%,0)+IF(ISNUMBER(AC177),25%,0)+IF(ISNUMBER(AG177),18%,0)+IF(ISNUMBER(AH177),12%,0)+IF(ISNUMBER(AK177),10%,0))</x:f>
        <x:v>0.88</x:v>
      </x:c>
      <x:c r="AR177" s="17" t="n">
        <x:f>IF(AQ177=0,"",IF(ISNUMBER(I177),I177*6%,0)+IF(ISNUMBER(K177),K177*4.5%,0)+IF(ISNUMBER(L177),L177*4.5%,0)+IF(ISNUMBER(Q177),Q177*8.4%,0)+IF(ISNUMBER(R177),R177*5.6%,0)+IF(ISNUMBER(W177),W177*3.6%,0)+IF(ISNUMBER(X177),X177*2.4%,0)+IF(ISNUMBER(AC177),AC177*25%,0)+IF(ISNUMBER(AG177),AG177*18%,0)+IF(ISNUMBER(AH177),AH177*12%,0)+IF(ISNUMBER(AK177),AK177*10%,0))</x:f>
        <x:v>66.95793</x:v>
      </x:c>
      <x:c r="AS177" s="17" t="n">
        <x:f>IF(AQ177=0,"",ROUND(AR177/AQ177,2))</x:f>
        <x:v>76.09</x:v>
      </x:c>
      <x:c r="AT177" s="40" t="n">
        <x:f>IF(OR(G177&lt;&gt;"入池",NOT(ISNUMBER(AS177))),"",COUNTIFS($G$17:$G$219,"入池",$AS$17:$AS$219,"&gt;"&amp;AS177)+COUNTIFS($G$17:$G$219,"入池",$AS$17:$AS$219,AS177,$AQ$17:$AQ$219,"&gt;"&amp;AQ177)+COUNTIFS($G$17:G177,"入池",$AS$17:AS177,AS177,$AQ$17:AQ177,AQ177))</x:f>
        <x:v>43</x:v>
      </x:c>
      <x:c r="AU177" s="41" t="str">
        <x:f t="shared" si="7">IF(NOT(ISNUMBER(I177)),"管理人规模；","")&amp;IF(J177="","产品规模标识；","")&amp;IF(AND(F177&lt;3,NOT(ISNUMBER(O177))),"R_incep；","")&amp;IF(NOT(ISNUMBER(N177)),"近三年收益；","")&amp;IF(NOT(ISNUMBER(U177)),"近三年胜率；","")&amp;IF(AND(ISNUMBER(V177),OR(V177&lt;0,V177&gt;1)),"胜率窗口口径不一致；","")&amp;IF(NOT(ISNUMBER(AA177)),"近三年回撤；","")&amp;IF(NOT(ISNUMBER(AD177)),"短期卡玛；","")&amp;IF(AND(ISNUMBER(P177),NOT(ISNUMBER(AE177))),"DD_long不可识别；","")</x:f>
        <x:v>DD_long不可识别；</x:v>
      </x:c>
      <x:c r="AV177" s="42" t="n">
        <x:v>10</x:v>
      </x:c>
      <x:c r="AW177" s="19" t="str">
        <x:v>上海殊馥投资管理有限公司</x:v>
      </x:c>
      <x:c r="AX177" s="19" t="str">
        <x:v>2026-06-29</x:v>
      </x:c>
      <x:c r="AY177" s="19" t="str">
        <x:v>https://gs.amac.org.cn/amac-infodisc/res/pof/manager/101000042776.html</x:v>
      </x:c>
      <x:c r="AZ177" s="19" t="str">
        <x:v>殊馥兴义6号私募证券投资基金</x:v>
      </x:c>
      <x:c r="BA177" s="19" t="str">
        <x:v>2026-01-09</x:v>
      </x:c>
      <x:c r="BB177" s="19"/>
      <x:c r="BC177" s="19" t="str">
        <x:v>https://gs.amac.org.cn/amac-infodisc/res/pof/fund/2211021355100496.html</x:v>
      </x:c>
      <x:c r="BD177" s="19" t="str">
        <x:v>已匹配</x:v>
      </x:c>
      <x:c r="BE177"/>
      <x:c r="BF177"/>
    </x:row>
    <x:row r="178" ht="28" customHeight="1">
      <x:c r="A178" s="4" t="n">
        <x:v>162</x:v>
      </x:c>
      <x:c r="B178" s="15" t="str">
        <x:f>'sheet4-原始数据'!A163</x:f>
        <x:v>博弈树金选套利2号</x:v>
      </x:c>
      <x:c r="C178" s="15" t="str">
        <x:f>'sheet4-原始数据'!B163</x:f>
        <x:v>SXR086</x:v>
      </x:c>
      <x:c r="D178" s="15" t="str">
        <x:f>'sheet4-原始数据'!E163</x:f>
        <x:v>广东丰煜</x:v>
      </x:c>
      <x:c r="E178" s="32" t="n">
        <x:f>IF(ISNUMBER('sheet4-原始数据'!F163),'sheet4-原始数据'!F163,"")</x:f>
        <x:v>44867</x:v>
      </x:c>
      <x:c r="F178" s="17" t="n">
        <x:f>IF(NOT(ISNUMBER(E178)),"",ROUND(('sheet1-指标体系'!$J$23-E178)/365.25,4))</x:f>
        <x:v>3.8713</x:v>
      </x:c>
      <x:c r="G178" s="4" t="str">
        <x:f t="shared" si="6">IF(NOT(ISNUMBER(F178)),"",IF(F178&lt;1,"不入池","入池"))</x:f>
        <x:v>入池</x:v>
      </x:c>
      <x:c r="H178" s="33" t="str">
        <x:v>0-5亿元</x:v>
      </x:c>
      <x:c r="I178" s="17" t="n">
        <x:f>IF(H178="","",IF(ISNUMBER(SEARCH("100亿元以上",H178)),100,IF(OR(ISNUMBER(SEARCH("20-50",H178)),ISNUMBER(SEARCH("50-100",H178)),ISNUMBER(SEARCH("20-100",H178))),90,IF(ISNUMBER(SEARCH("10-20",H178)),80,IF(ISNUMBER(SEARCH("5-10",H178)),70,IF(ISNUMBER(SEARCH("0-5",H178)),60,""))))))</x:f>
        <x:v>60</x:v>
      </x:c>
      <x:c r="J178" s="34" t="str">
        <x:v>无低于1000万元标识</x:v>
      </x:c>
      <x:c r="K178" s="17" t="n">
        <x:f>IF(J178="","",IF(J178="低于1000万元",0,100))</x:f>
        <x:v>100</x:v>
      </x:c>
      <x:c r="L178" s="17" t="n">
        <x:f>IF(NOT(ISNUMBER(F178)),"",IF(F178&lt;1,"",IF(F178&lt;3,70,100)))</x:f>
        <x:v>100</x:v>
      </x:c>
      <x:c r="M178" s="35" t="n">
        <x:f>IF(ISNUMBER('sheet4-原始数据'!G163),'sheet4-原始数据'!G163,"")</x:f>
        <x:v>0.22329999999999997</x:v>
      </x:c>
      <x:c r="N178" s="35" t="n">
        <x:f>IF(ISNUMBER('sheet4-原始数据'!H163),'sheet4-原始数据'!H163,"")</x:f>
        <x:v>0.1272</x:v>
      </x:c>
      <x:c r="O178" s="36" t="str">
        <x:f>IF(ISNUMBER('sheet4-原始数据'!Q163),'sheet4-原始数据'!Q163,"")</x:f>
      </x:c>
      <x:c r="P178" s="37" t="n">
        <x:f>IF($G178&lt;&gt;"入池","",IF($F178&gt;=3,IF(OR(NOT(ISNUMBER($M178)),NOT(ISNUMBER($N178)),1+$M178&lt;=0,1+$N178&lt;0),"",((1+$N178)^3/(1+$M178))^(1/2)-1),IF(OR($F178&lt;=1,NOT(ISNUMBER($M178)),NOT(ISNUMBER($O178)),1+$M178&lt;=0,1+$O178&lt;0),"",((1+$O178)^$F178/(1+$M178))^(1/($F178-1))-1)))</x:f>
        <x:v>0.08201923752925433</x:v>
      </x:c>
      <x:c r="Q178" s="17" t="n">
        <x:f>IF(OR($G178&lt;&gt;"入池",NOT(ISNUMBER(M178))),"",IF(COUNTIFS($G$17:$G$219,"入池",$M$17:$M$219,"&gt;=-1E+307",$M$17:$M$219,"&lt;=1E+307")&lt;=1,100,ROUND(100*(COUNTIFS($G$17:$G$219,"入池",$M$17:$M$219,"&gt;=-1E+307",$M$17:$M$219,"&lt;"&amp;M178)+COUNTIFS($G$17:$G$219,"入池",$M$17:$M$219,M178,$M$17:$M$219,"&gt;=-1E+307",$M$17:$M$219,"&lt;=1E+307")/2-0.5)/(COUNTIFS($G$17:$G$219,"入池",$M$17:$M$219,"&gt;=-1E+307",$M$17:$M$219,"&lt;=1E+307")-1),2)))</x:f>
        <x:v>95.05</x:v>
      </x:c>
      <x:c r="R178" s="17" t="n">
        <x:f>IF(OR($G178&lt;&gt;"入池",NOT(ISNUMBER(P178))),"",IF(COUNTIFS($G$17:$G$219,"入池",$P$17:$P$219,"&gt;=-1E+307",$P$17:$P$219,"&lt;=1E+307")&lt;=1,100,ROUND(100*(COUNTIFS($G$17:$G$219,"入池",$P$17:$P$219,"&gt;=-1E+307",$P$17:$P$219,"&lt;"&amp;P178)+COUNTIFS($G$17:$G$219,"入池",$P$17:$P$219,P178,$P$17:$P$219,"&gt;=-1E+307",$P$17:$P$219,"&lt;=1E+307")/2-0.5)/(COUNTIFS($G$17:$G$219,"入池",$P$17:$P$219,"&gt;=-1E+307",$P$17:$P$219,"&lt;=1E+307")-1),2)))</x:f>
        <x:v>66.34</x:v>
      </x:c>
      <x:c r="S178" s="17" t="n">
        <x:f>IF(NOT(ISNUMBER(Q178)),"",IF(NOT(ISNUMBER(R178)),Q178,ROUND(Q178*'sheet1-指标体系'!$J$8+R178*'sheet1-指标体系'!$J$9,2)))</x:f>
        <x:v>83.57</x:v>
      </x:c>
      <x:c r="T178" s="35" t="n">
        <x:f>IF(ISNUMBER('sheet4-原始数据'!J163),'sheet4-原始数据'!J163,"")</x:f>
        <x:v>0.7692</x:v>
      </x:c>
      <x:c r="U178" s="35" t="n">
        <x:f>IF(ISNUMBER('sheet4-原始数据'!I163),'sheet4-原始数据'!I163,"")</x:f>
        <x:v>0.7297</x:v>
      </x:c>
      <x:c r="V178" s="37" t="n">
        <x:f>IF(OR(NOT(ISNUMBER(T178)),NOT(ISNUMBER(U178))),"",(U178*'sheet1-指标体系'!$J$6-T178*'sheet1-指标体系'!$J$5)/'sheet1-指标体系'!$J$7)</x:f>
        <x:v>0.7083041666666666</x:v>
      </x:c>
      <x:c r="W178" s="17" t="n">
        <x:f>IF(NOT(ISNUMBER(T178)),"",T178*100)</x:f>
        <x:v>76.92</x:v>
      </x:c>
      <x:c r="X178" s="17" t="n">
        <x:f>IF($G178&lt;&gt;"入池","",IF(AND(ISNUMBER(V178),V178&gt;=0,V178&lt;=1),V178*100,IF(MAX(0,($F178-1)*12)&lt;6,100,"")))</x:f>
        <x:v>70.83041666666666</x:v>
      </x:c>
      <x:c r="Y178" s="17" t="n">
        <x:f>IF(NOT(ISNUMBER(W178)),"",IF(NOT(ISNUMBER(X178)),W178,ROUND(W178*'sheet1-指标体系'!$J$8+X178*'sheet1-指标体系'!$J$9,2)))</x:f>
        <x:v>74.48</x:v>
      </x:c>
      <x:c r="Z178" s="37" t="n">
        <x:f>IF(OR(NOT(ISNUMBER(M178)),NOT(ISNUMBER(AD178)),AD178=0),"",ABS(M178/AD178))</x:f>
        <x:v>0.0409935379644588</x:v>
      </x:c>
      <x:c r="AA178" s="35" t="n">
        <x:f>IF(ISNUMBER('sheet4-原始数据'!K163),'sheet4-原始数据'!K163,"")</x:f>
        <x:v>0.040999999999999995</x:v>
      </x:c>
      <x:c r="AB178" s="37" t="n">
        <x:f>IF(COUNT(Z178:AA178)=0,"",MAX(Z178:AA178))</x:f>
        <x:v>0.040999999999999995</x:v>
      </x:c>
      <x:c r="AC178" s="17" t="n">
        <x:f>IF(OR($G178&lt;&gt;"入池",NOT(ISNUMBER(AB178))),"",IF(COUNTIFS($G$17:$G$219,"入池",$AB$17:$AB$219,"&gt;=-1E+307",$AB$17:$AB$219,"&lt;=1E+307")&lt;=1,100,ROUND(100*(COUNTIFS($G$17:$G$219,"入池",$AB$17:$AB$219,"&lt;=1E+307",$AB$17:$AB$219,"&gt;"&amp;AB178)+COUNTIFS($G$17:$G$219,"入池",$AB$17:$AB$219,AB178,$AB$17:$AB$219,"&gt;=-1E+307",$AB$17:$AB$219,"&lt;=1E+307")/2-0.5)/(COUNTIFS($G$17:$G$219,"入池",$AB$17:$AB$219,"&gt;=-1E+307",$AB$17:$AB$219,"&lt;=1E+307")-1),2)))</x:f>
        <x:v>50.99</x:v>
      </x:c>
      <x:c r="AD178" s="38" t="n">
        <x:f>IF(ISNUMBER('sheet4-原始数据'!M163),'sheet4-原始数据'!M163,"")</x:f>
        <x:v>5.4472</x:v>
      </x:c>
      <x:c r="AE178" s="37" t="str">
        <x:f>IF(OR(NOT(ISNUMBER(P178)),NOT(ISNUMBER(AA178)),NOT(ISNUMBER(Z178))),"",IF(AA178&gt;Z178+'sheet1-指标体系'!$J$11,AA178,""))</x:f>
      </x:c>
      <x:c r="AF178" s="17" t="str">
        <x:f>IF(OR(NOT(ISNUMBER(P178)),NOT(ISNUMBER(AE178)),AE178=0),"",P178/AE178)</x:f>
      </x:c>
      <x:c r="AG178" s="17" t="n">
        <x:f>IF(OR($G178&lt;&gt;"入池",NOT(ISNUMBER(AD178))),"",IF(COUNTIFS($G$17:$G$219,"入池",$AD$17:$AD$219,"&gt;=-1E+307",$AD$17:$AD$219,"&lt;=1E+307")&lt;=1,100,ROUND(100*(COUNTIFS($G$17:$G$219,"入池",$AD$17:$AD$219,"&gt;=-1E+307",$AD$17:$AD$219,"&lt;"&amp;AD178)+COUNTIFS($G$17:$G$219,"入池",$AD$17:$AD$219,AD178,$AD$17:$AD$219,"&gt;=-1E+307",$AD$17:$AD$219,"&lt;=1E+307")/2-0.5)/(COUNTIFS($G$17:$G$219,"入池",$AD$17:$AD$219,"&gt;=-1E+307",$AD$17:$AD$219,"&lt;=1E+307")-1),2)))</x:f>
        <x:v>65.67</x:v>
      </x:c>
      <x:c r="AH178" s="17" t="str">
        <x:f>IF(OR($G178&lt;&gt;"入池",NOT(ISNUMBER(AF178))),"",IF(COUNTIFS($G$17:$G$219,"入池",$AF$17:$AF$219,"&gt;=-1E+307",$AF$17:$AF$219,"&lt;=1E+307")&lt;=1,100,ROUND(100*(COUNTIFS($G$17:$G$219,"入池",$AF$17:$AF$219,"&gt;=-1E+307",$AF$17:$AF$219,"&lt;"&amp;AF178)+COUNTIFS($G$17:$G$219,"入池",$AF$17:$AF$219,AF178,$AF$17:$AF$219,"&gt;=-1E+307",$AF$17:$AF$219,"&lt;=1E+307")/2-0.5)/(COUNTIFS($G$17:$G$219,"入池",$AF$17:$AF$219,"&gt;=-1E+307",$AF$17:$AF$219,"&lt;=1E+307")-1),2)))</x:f>
      </x:c>
      <x:c r="AI178" s="17" t="n">
        <x:f>IF(NOT(ISNUMBER(AG178)),"",IF(NOT(ISNUMBER(AH178)),AG178,ROUND(AG178*'sheet1-指标体系'!$J$8+AH178*'sheet1-指标体系'!$J$9,2)))</x:f>
        <x:v>65.67</x:v>
      </x:c>
      <x:c r="AJ178" s="37" t="n">
        <x:f>IF(NOT(ISNUMBER(F178)),"",IF(F178&gt;=3,IF(NOT(ISNUMBER(N178)),"",N178),IF(NOT(ISNUMBER(O178)),"",O178)))</x:f>
        <x:v>0.1272</x:v>
      </x:c>
      <x:c r="AK178" s="17" t="n">
        <x:f>IF(OR(G178&lt;&gt;"入池",NOT(ISNUMBER(M178)),NOT(ISNUMBER(AJ178))),"",IF(M178&gt;=AJ178,100,IF(AJ178-M178&lt;'sheet1-指标体系'!$J$10,80,60)))</x:f>
        <x:v>100</x:v>
      </x:c>
      <x:c r="AL178" s="17" t="n">
        <x:f>IF(COUNT(I178,K178,L178)=0,"",ROUND((IF(ISNUMBER(I178),I178*40%,0)+IF(ISNUMBER(K178),K178*30%,0)+IF(ISNUMBER(L178),L178*30%,0))/(IF(ISNUMBER(I178),40%,0)+IF(ISNUMBER(K178),30%,0)+IF(ISNUMBER(L178),30%,0)),2))</x:f>
        <x:v>84</x:v>
      </x:c>
      <x:c r="AM178" s="17" t="n">
        <x:f>IF(COUNT(Q178,R178,W178,X178)=0,"",ROUND((IF(ISNUMBER(Q178),Q178*42%,0)+IF(ISNUMBER(R178),R178*28%,0)+IF(ISNUMBER(W178),W178*18%,0)+IF(ISNUMBER(X178),X178*12%,0))/(IF(ISNUMBER(Q178),42%,0)+IF(ISNUMBER(R178),28%,0)+IF(ISNUMBER(W178),18%,0)+IF(ISNUMBER(X178),12%,0)),2))</x:f>
        <x:v>80.84</x:v>
      </x:c>
      <x:c r="AN178" s="17" t="n">
        <x:f>IF(ISNUMBER(AC178),AC178,"")</x:f>
        <x:v>50.99</x:v>
      </x:c>
      <x:c r="AO178" s="17" t="n">
        <x:f>IF(COUNT(AG178,AH178)=0,"",ROUND((IF(ISNUMBER(AG178),AG178*60%,0)+IF(ISNUMBER(AH178),AH178*40%,0))/(IF(ISNUMBER(AG178),60%,0)+IF(ISNUMBER(AH178),40%,0)),2))</x:f>
        <x:v>65.67</x:v>
      </x:c>
      <x:c r="AP178" s="17" t="n">
        <x:f>IF(ISNUMBER(AK178),AK178,"")</x:f>
        <x:v>100</x:v>
      </x:c>
      <x:c r="AQ178" s="39" t="n">
        <x:f>IF(G178&lt;&gt;"入池",0,IF(ISNUMBER(I178),6%,0)+IF(ISNUMBER(K178),4.5%,0)+IF(ISNUMBER(L178),4.5%,0)+IF(ISNUMBER(Q178),8.4%,0)+IF(ISNUMBER(R178),5.6%,0)+IF(ISNUMBER(W178),3.6%,0)+IF(ISNUMBER(X178),2.4%,0)+IF(ISNUMBER(AC178),25%,0)+IF(ISNUMBER(AG178),18%,0)+IF(ISNUMBER(AH178),12%,0)+IF(ISNUMBER(AK178),10%,0))</x:f>
        <x:v>0.88</x:v>
      </x:c>
      <x:c r="AR178" s="17" t="n">
        <x:f>IF(AQ178=0,"",IF(ISNUMBER(I178),I178*6%,0)+IF(ISNUMBER(K178),K178*4.5%,0)+IF(ISNUMBER(L178),L178*4.5%,0)+IF(ISNUMBER(Q178),Q178*8.4%,0)+IF(ISNUMBER(R178),R178*5.6%,0)+IF(ISNUMBER(W178),W178*3.6%,0)+IF(ISNUMBER(X178),X178*2.4%,0)+IF(ISNUMBER(AC178),AC178*25%,0)+IF(ISNUMBER(AG178),AG178*18%,0)+IF(ISNUMBER(AH178),AH178*12%,0)+IF(ISNUMBER(AK178),AK178*10%,0))</x:f>
        <x:v>63.336389999999994</x:v>
      </x:c>
      <x:c r="AS178" s="17" t="n">
        <x:f>IF(AQ178=0,"",ROUND(AR178/AQ178,2))</x:f>
        <x:v>71.97</x:v>
      </x:c>
      <x:c r="AT178" s="40" t="n">
        <x:f>IF(OR(G178&lt;&gt;"入池",NOT(ISNUMBER(AS178))),"",COUNTIFS($G$17:$G$219,"入池",$AS$17:$AS$219,"&gt;"&amp;AS178)+COUNTIFS($G$17:$G$219,"入池",$AS$17:$AS$219,AS178,$AQ$17:$AQ$219,"&gt;"&amp;AQ178)+COUNTIFS($G$17:G178,"入池",$AS$17:AS178,AS178,$AQ$17:AQ178,AQ178))</x:f>
        <x:v>63</x:v>
      </x:c>
      <x:c r="AU178" s="41" t="str">
        <x:f t="shared" si="7">IF(NOT(ISNUMBER(I178)),"管理人规模；","")&amp;IF(J178="","产品规模标识；","")&amp;IF(AND(F178&lt;3,NOT(ISNUMBER(O178))),"R_incep；","")&amp;IF(NOT(ISNUMBER(N178)),"近三年收益；","")&amp;IF(NOT(ISNUMBER(U178)),"近三年胜率；","")&amp;IF(AND(ISNUMBER(V178),OR(V178&lt;0,V178&gt;1)),"胜率窗口口径不一致；","")&amp;IF(NOT(ISNUMBER(AA178)),"近三年回撤；","")&amp;IF(NOT(ISNUMBER(AD178)),"短期卡玛；","")&amp;IF(AND(ISNUMBER(P178),NOT(ISNUMBER(AE178))),"DD_long不可识别；","")</x:f>
        <x:v>DD_long不可识别；</x:v>
      </x:c>
      <x:c r="AV178" s="42" t="n">
        <x:v>0</x:v>
      </x:c>
      <x:c r="AW178" s="19" t="str">
        <x:v>广东丰煜私募基金管理有限公司</x:v>
      </x:c>
      <x:c r="AX178" s="19" t="str">
        <x:v>2026-04-22</x:v>
      </x:c>
      <x:c r="AY178" s="19" t="str">
        <x:v>https://gs.amac.org.cn/amac-infodisc/res/pof/manager/101000015767.html</x:v>
      </x:c>
      <x:c r="AZ178" s="19" t="str">
        <x:v>博弈树金选套利2号私募证券投资基金</x:v>
      </x:c>
      <x:c r="BA178" s="19" t="str">
        <x:v>2022-11-10</x:v>
      </x:c>
      <x:c r="BB178" s="19"/>
      <x:c r="BC178" s="19" t="str">
        <x:v>https://gs.amac.org.cn/amac-infodisc/res/pof/fund/2211100902114438.html</x:v>
      </x:c>
      <x:c r="BD178" s="19" t="str">
        <x:v>已匹配</x:v>
      </x:c>
      <x:c r="BE178"/>
      <x:c r="BF178"/>
    </x:row>
    <x:row r="179" ht="28" customHeight="1">
      <x:c r="A179" s="4" t="n">
        <x:v>163</x:v>
      </x:c>
      <x:c r="B179" s="15" t="str">
        <x:f>'sheet4-原始数据'!A164</x:f>
        <x:v>致同云峰AA类</x:v>
      </x:c>
      <x:c r="C179" s="15" t="str">
        <x:f>'sheet4-原始数据'!B164</x:f>
        <x:v>NB380A</x:v>
      </x:c>
      <x:c r="D179" s="15" t="str">
        <x:f>'sheet4-原始数据'!E164</x:f>
        <x:v>上海致同投资</x:v>
      </x:c>
      <x:c r="E179" s="32" t="n">
        <x:f>IF(ISNUMBER('sheet4-原始数据'!F164),'sheet4-原始数据'!F164,"")</x:f>
        <x:v>44145</x:v>
      </x:c>
      <x:c r="F179" s="17" t="n">
        <x:f>IF(NOT(ISNUMBER(E179)),"",ROUND(('sheet1-指标体系'!$J$23-E179)/365.25,4))</x:f>
        <x:v>5.848</x:v>
      </x:c>
      <x:c r="G179" s="4" t="str">
        <x:f t="shared" si="6">IF(NOT(ISNUMBER(F179)),"",IF(F179&lt;1,"不入池","入池"))</x:f>
        <x:v>入池</x:v>
      </x:c>
      <x:c r="H179" s="33" t="str">
        <x:v>20-50亿元</x:v>
      </x:c>
      <x:c r="I179" s="17" t="n">
        <x:f>IF(H179="","",IF(ISNUMBER(SEARCH("100亿元以上",H179)),100,IF(OR(ISNUMBER(SEARCH("20-50",H179)),ISNUMBER(SEARCH("50-100",H179)),ISNUMBER(SEARCH("20-100",H179))),90,IF(ISNUMBER(SEARCH("10-20",H179)),80,IF(ISNUMBER(SEARCH("5-10",H179)),70,IF(ISNUMBER(SEARCH("0-5",H179)),60,""))))))</x:f>
        <x:v>90</x:v>
      </x:c>
      <x:c r="J179" s="34"/>
      <x:c r="K179" s="17" t="str">
        <x:f>IF(J179="","",IF(J179="低于1000万元",0,100))</x:f>
      </x:c>
      <x:c r="L179" s="17" t="n">
        <x:f>IF(NOT(ISNUMBER(F179)),"",IF(F179&lt;1,"",IF(F179&lt;3,70,100)))</x:f>
        <x:v>100</x:v>
      </x:c>
      <x:c r="M179" s="35" t="n">
        <x:f>IF(ISNUMBER('sheet4-原始数据'!G164),'sheet4-原始数据'!G164,"")</x:f>
        <x:v>0.0416</x:v>
      </x:c>
      <x:c r="N179" s="35" t="n">
        <x:f>IF(ISNUMBER('sheet4-原始数据'!H164),'sheet4-原始数据'!H164,"")</x:f>
        <x:v>0.04190000000000001</x:v>
      </x:c>
      <x:c r="O179" s="36" t="str">
        <x:f>IF(ISNUMBER('sheet4-原始数据'!Q164),'sheet4-原始数据'!Q164,"")</x:f>
      </x:c>
      <x:c r="P179" s="37" t="n">
        <x:f>IF($G179&lt;&gt;"入池","",IF($F179&gt;=3,IF(OR(NOT(ISNUMBER($M179)),NOT(ISNUMBER($N179)),1+$M179&lt;=0,1+$N179&lt;0),"",((1+$N179)^3/(1+$M179))^(1/2)-1),IF(OR($F179&lt;=1,NOT(ISNUMBER($M179)),NOT(ISNUMBER($O179)),1+$M179&lt;=0,1+$O179&lt;0),"",((1+$O179)^$F179/(1+$M179))^(1/($F179-1))-1)))</x:f>
        <x:v>0.04205003240051863</x:v>
      </x:c>
      <x:c r="Q179" s="17" t="n">
        <x:f>IF(OR($G179&lt;&gt;"入池",NOT(ISNUMBER(M179))),"",IF(COUNTIFS($G$17:$G$219,"入池",$M$17:$M$219,"&gt;=-1E+307",$M$17:$M$219,"&lt;=1E+307")&lt;=1,100,ROUND(100*(COUNTIFS($G$17:$G$219,"入池",$M$17:$M$219,"&gt;=-1E+307",$M$17:$M$219,"&lt;"&amp;M179)+COUNTIFS($G$17:$G$219,"入池",$M$17:$M$219,M179,$M$17:$M$219,"&gt;=-1E+307",$M$17:$M$219,"&lt;=1E+307")/2-0.5)/(COUNTIFS($G$17:$G$219,"入池",$M$17:$M$219,"&gt;=-1E+307",$M$17:$M$219,"&lt;=1E+307")-1),2)))</x:f>
        <x:v>44.8</x:v>
      </x:c>
      <x:c r="R179" s="17" t="n">
        <x:f>IF(OR($G179&lt;&gt;"入池",NOT(ISNUMBER(P179))),"",IF(COUNTIFS($G$17:$G$219,"入池",$P$17:$P$219,"&gt;=-1E+307",$P$17:$P$219,"&lt;=1E+307")&lt;=1,100,ROUND(100*(COUNTIFS($G$17:$G$219,"入池",$P$17:$P$219,"&gt;=-1E+307",$P$17:$P$219,"&lt;"&amp;P179)+COUNTIFS($G$17:$G$219,"入池",$P$17:$P$219,P179,$P$17:$P$219,"&gt;=-1E+307",$P$17:$P$219,"&lt;=1E+307")/2-0.5)/(COUNTIFS($G$17:$G$219,"入池",$P$17:$P$219,"&gt;=-1E+307",$P$17:$P$219,"&lt;=1E+307")-1),2)))</x:f>
        <x:v>30.2</x:v>
      </x:c>
      <x:c r="S179" s="17" t="n">
        <x:f>IF(NOT(ISNUMBER(Q179)),"",IF(NOT(ISNUMBER(R179)),Q179,ROUND(Q179*'sheet1-指标体系'!$J$8+R179*'sheet1-指标体系'!$J$9,2)))</x:f>
        <x:v>38.96</x:v>
      </x:c>
      <x:c r="T179" s="35" t="n">
        <x:f>IF(ISNUMBER('sheet4-原始数据'!J164),'sheet4-原始数据'!J164,"")</x:f>
        <x:v>0.7692</x:v>
      </x:c>
      <x:c r="U179" s="35" t="n">
        <x:f>IF(ISNUMBER('sheet4-原始数据'!I164),'sheet4-原始数据'!I164,"")</x:f>
        <x:v>0.8108</x:v>
      </x:c>
      <x:c r="V179" s="37" t="n">
        <x:f>IF(OR(NOT(ISNUMBER(T179)),NOT(ISNUMBER(U179))),"",(U179*'sheet1-指标体系'!$J$6-T179*'sheet1-指标体系'!$J$5)/'sheet1-指标体系'!$J$7)</x:f>
        <x:v>0.8333333333333334</x:v>
      </x:c>
      <x:c r="W179" s="17" t="n">
        <x:f>IF(NOT(ISNUMBER(T179)),"",T179*100)</x:f>
        <x:v>76.92</x:v>
      </x:c>
      <x:c r="X179" s="17" t="n">
        <x:f>IF($G179&lt;&gt;"入池","",IF(AND(ISNUMBER(V179),V179&gt;=0,V179&lt;=1),V179*100,IF(MAX(0,($F179-1)*12)&lt;6,100,"")))</x:f>
        <x:v>83.33333333333334</x:v>
      </x:c>
      <x:c r="Y179" s="17" t="n">
        <x:f>IF(NOT(ISNUMBER(W179)),"",IF(NOT(ISNUMBER(X179)),W179,ROUND(W179*'sheet1-指标体系'!$J$8+X179*'sheet1-指标体系'!$J$9,2)))</x:f>
        <x:v>79.49</x:v>
      </x:c>
      <x:c r="Z179" s="37" t="n">
        <x:f>IF(OR(NOT(ISNUMBER(M179)),NOT(ISNUMBER(AD179)),AD179=0),"",ABS(M179/AD179))</x:f>
        <x:v>0.013725748977167744</x:v>
      </x:c>
      <x:c r="AA179" s="35" t="n">
        <x:f>IF(ISNUMBER('sheet4-原始数据'!K164),'sheet4-原始数据'!K164,"")</x:f>
        <x:v>0.0137</x:v>
      </x:c>
      <x:c r="AB179" s="37" t="n">
        <x:f>IF(COUNT(Z179:AA179)=0,"",MAX(Z179:AA179))</x:f>
        <x:v>0.013725748977167744</x:v>
      </x:c>
      <x:c r="AC179" s="17" t="n">
        <x:f>IF(OR($G179&lt;&gt;"入池",NOT(ISNUMBER(AB179))),"",IF(COUNTIFS($G$17:$G$219,"入池",$AB$17:$AB$219,"&gt;=-1E+307",$AB$17:$AB$219,"&lt;=1E+307")&lt;=1,100,ROUND(100*(COUNTIFS($G$17:$G$219,"入池",$AB$17:$AB$219,"&lt;=1E+307",$AB$17:$AB$219,"&gt;"&amp;AB179)+COUNTIFS($G$17:$G$219,"入池",$AB$17:$AB$219,AB179,$AB$17:$AB$219,"&gt;=-1E+307",$AB$17:$AB$219,"&lt;=1E+307")/2-0.5)/(COUNTIFS($G$17:$G$219,"入池",$AB$17:$AB$219,"&gt;=-1E+307",$AB$17:$AB$219,"&lt;=1E+307")-1),2)))</x:f>
        <x:v>80.2</x:v>
      </x:c>
      <x:c r="AD179" s="38" t="n">
        <x:f>IF(ISNUMBER('sheet4-原始数据'!M164),'sheet4-原始数据'!M164,"")</x:f>
        <x:v>3.0308</x:v>
      </x:c>
      <x:c r="AE179" s="37" t="str">
        <x:f>IF(OR(NOT(ISNUMBER(P179)),NOT(ISNUMBER(AA179)),NOT(ISNUMBER(Z179))),"",IF(AA179&gt;Z179+'sheet1-指标体系'!$J$11,AA179,""))</x:f>
      </x:c>
      <x:c r="AF179" s="17" t="str">
        <x:f>IF(OR(NOT(ISNUMBER(P179)),NOT(ISNUMBER(AE179)),AE179=0),"",P179/AE179)</x:f>
      </x:c>
      <x:c r="AG179" s="17" t="n">
        <x:f>IF(OR($G179&lt;&gt;"入池",NOT(ISNUMBER(AD179))),"",IF(COUNTIFS($G$17:$G$219,"入池",$AD$17:$AD$219,"&gt;=-1E+307",$AD$17:$AD$219,"&lt;=1E+307")&lt;=1,100,ROUND(100*(COUNTIFS($G$17:$G$219,"入池",$AD$17:$AD$219,"&gt;=-1E+307",$AD$17:$AD$219,"&lt;"&amp;AD179)+COUNTIFS($G$17:$G$219,"入池",$AD$17:$AD$219,AD179,$AD$17:$AD$219,"&gt;=-1E+307",$AD$17:$AD$219,"&lt;=1E+307")/2-0.5)/(COUNTIFS($G$17:$G$219,"入池",$AD$17:$AD$219,"&gt;=-1E+307",$AD$17:$AD$219,"&lt;=1E+307")-1),2)))</x:f>
        <x:v>52.74</x:v>
      </x:c>
      <x:c r="AH179" s="17" t="str">
        <x:f>IF(OR($G179&lt;&gt;"入池",NOT(ISNUMBER(AF179))),"",IF(COUNTIFS($G$17:$G$219,"入池",$AF$17:$AF$219,"&gt;=-1E+307",$AF$17:$AF$219,"&lt;=1E+307")&lt;=1,100,ROUND(100*(COUNTIFS($G$17:$G$219,"入池",$AF$17:$AF$219,"&gt;=-1E+307",$AF$17:$AF$219,"&lt;"&amp;AF179)+COUNTIFS($G$17:$G$219,"入池",$AF$17:$AF$219,AF179,$AF$17:$AF$219,"&gt;=-1E+307",$AF$17:$AF$219,"&lt;=1E+307")/2-0.5)/(COUNTIFS($G$17:$G$219,"入池",$AF$17:$AF$219,"&gt;=-1E+307",$AF$17:$AF$219,"&lt;=1E+307")-1),2)))</x:f>
      </x:c>
      <x:c r="AI179" s="17" t="n">
        <x:f>IF(NOT(ISNUMBER(AG179)),"",IF(NOT(ISNUMBER(AH179)),AG179,ROUND(AG179*'sheet1-指标体系'!$J$8+AH179*'sheet1-指标体系'!$J$9,2)))</x:f>
        <x:v>52.74</x:v>
      </x:c>
      <x:c r="AJ179" s="37" t="n">
        <x:f>IF(NOT(ISNUMBER(F179)),"",IF(F179&gt;=3,IF(NOT(ISNUMBER(N179)),"",N179),IF(NOT(ISNUMBER(O179)),"",O179)))</x:f>
        <x:v>0.04190000000000001</x:v>
      </x:c>
      <x:c r="AK179" s="17" t="n">
        <x:f>IF(OR(G179&lt;&gt;"入池",NOT(ISNUMBER(M179)),NOT(ISNUMBER(AJ179))),"",IF(M179&gt;=AJ179,100,IF(AJ179-M179&lt;'sheet1-指标体系'!$J$10,80,60)))</x:f>
        <x:v>80</x:v>
      </x:c>
      <x:c r="AL179" s="17" t="n">
        <x:f>IF(COUNT(I179,K179,L179)=0,"",ROUND((IF(ISNUMBER(I179),I179*40%,0)+IF(ISNUMBER(K179),K179*30%,0)+IF(ISNUMBER(L179),L179*30%,0))/(IF(ISNUMBER(I179),40%,0)+IF(ISNUMBER(K179),30%,0)+IF(ISNUMBER(L179),30%,0)),2))</x:f>
        <x:v>94.29</x:v>
      </x:c>
      <x:c r="AM179" s="17" t="n">
        <x:f>IF(COUNT(Q179,R179,W179,X179)=0,"",ROUND((IF(ISNUMBER(Q179),Q179*42%,0)+IF(ISNUMBER(R179),R179*28%,0)+IF(ISNUMBER(W179),W179*18%,0)+IF(ISNUMBER(X179),X179*12%,0))/(IF(ISNUMBER(Q179),42%,0)+IF(ISNUMBER(R179),28%,0)+IF(ISNUMBER(W179),18%,0)+IF(ISNUMBER(X179),12%,0)),2))</x:f>
        <x:v>51.12</x:v>
      </x:c>
      <x:c r="AN179" s="17" t="n">
        <x:f>IF(ISNUMBER(AC179),AC179,"")</x:f>
        <x:v>80.2</x:v>
      </x:c>
      <x:c r="AO179" s="17" t="n">
        <x:f>IF(COUNT(AG179,AH179)=0,"",ROUND((IF(ISNUMBER(AG179),AG179*60%,0)+IF(ISNUMBER(AH179),AH179*40%,0))/(IF(ISNUMBER(AG179),60%,0)+IF(ISNUMBER(AH179),40%,0)),2))</x:f>
        <x:v>52.74</x:v>
      </x:c>
      <x:c r="AP179" s="17" t="n">
        <x:f>IF(ISNUMBER(AK179),AK179,"")</x:f>
        <x:v>80</x:v>
      </x:c>
      <x:c r="AQ179" s="39" t="n">
        <x:f>IF(G179&lt;&gt;"入池",0,IF(ISNUMBER(I179),6%,0)+IF(ISNUMBER(K179),4.5%,0)+IF(ISNUMBER(L179),4.5%,0)+IF(ISNUMBER(Q179),8.4%,0)+IF(ISNUMBER(R179),5.6%,0)+IF(ISNUMBER(W179),3.6%,0)+IF(ISNUMBER(X179),2.4%,0)+IF(ISNUMBER(AC179),25%,0)+IF(ISNUMBER(AG179),18%,0)+IF(ISNUMBER(AH179),12%,0)+IF(ISNUMBER(AK179),10%,0))</x:f>
        <x:v>0.8350000000000001</x:v>
      </x:c>
      <x:c r="AR179" s="17" t="n">
        <x:f>IF(AQ179=0,"",IF(ISNUMBER(I179),I179*6%,0)+IF(ISNUMBER(K179),K179*4.5%,0)+IF(ISNUMBER(L179),L179*4.5%,0)+IF(ISNUMBER(Q179),Q179*8.4%,0)+IF(ISNUMBER(R179),R179*5.6%,0)+IF(ISNUMBER(W179),W179*3.6%,0)+IF(ISNUMBER(X179),X179*2.4%,0)+IF(ISNUMBER(AC179),AC179*25%,0)+IF(ISNUMBER(AG179),AG179*18%,0)+IF(ISNUMBER(AH179),AH179*12%,0)+IF(ISNUMBER(AK179),AK179*10%,0))</x:f>
        <x:v>57.66672</x:v>
      </x:c>
      <x:c r="AS179" s="17" t="n">
        <x:f>IF(AQ179=0,"",ROUND(AR179/AQ179,2))</x:f>
        <x:v>69.06</x:v>
      </x:c>
      <x:c r="AT179" s="40" t="n">
        <x:f>IF(OR(G179&lt;&gt;"入池",NOT(ISNUMBER(AS179))),"",COUNTIFS($G$17:$G$219,"入池",$AS$17:$AS$219,"&gt;"&amp;AS179)+COUNTIFS($G$17:$G$219,"入池",$AS$17:$AS$219,AS179,$AQ$17:$AQ$219,"&gt;"&amp;AQ179)+COUNTIFS($G$17:G179,"入池",$AS$17:AS179,AS179,$AQ$17:AQ179,AQ179))</x:f>
        <x:v>77</x:v>
      </x:c>
      <x:c r="AU179" s="41" t="str">
        <x:f t="shared" si="7">IF(NOT(ISNUMBER(I179)),"管理人规模；","")&amp;IF(J179="","产品规模标识；","")&amp;IF(AND(F179&lt;3,NOT(ISNUMBER(O179))),"R_incep；","")&amp;IF(NOT(ISNUMBER(N179)),"近三年收益；","")&amp;IF(NOT(ISNUMBER(U179)),"近三年胜率；","")&amp;IF(AND(ISNUMBER(V179),OR(V179&lt;0,V179&gt;1)),"胜率窗口口径不一致；","")&amp;IF(NOT(ISNUMBER(AA179)),"近三年回撤；","")&amp;IF(NOT(ISNUMBER(AD179)),"短期卡玛；","")&amp;IF(AND(ISNUMBER(P179),NOT(ISNUMBER(AE179))),"DD_long不可识别；","")</x:f>
        <x:v>产品规模标识；DD_long不可识别；</x:v>
      </x:c>
      <x:c r="AV179" s="42" t="n">
        <x:v>20</x:v>
      </x:c>
      <x:c r="AW179" s="19" t="str">
        <x:v>上海致同投资管理有限公司</x:v>
      </x:c>
      <x:c r="AX179" s="19" t="str">
        <x:v>2026-03-16</x:v>
      </x:c>
      <x:c r="AY179" s="19" t="str">
        <x:v>https://gs.amac.org.cn/amac-infodisc/res/pof/manager/101000004339.html</x:v>
      </x:c>
      <x:c r="AZ179" s="19"/>
      <x:c r="BA179" s="19"/>
      <x:c r="BB179" s="19"/>
      <x:c r="BC179" s="19"/>
      <x:c r="BD179" s="19" t="str">
        <x:v>基金页未匹配；管理人已核验</x:v>
      </x:c>
      <x:c r="BE179"/>
      <x:c r="BF179"/>
    </x:row>
    <x:row r="180" ht="28" customHeight="1">
      <x:c r="A180" s="4" t="n">
        <x:v>164</x:v>
      </x:c>
      <x:c r="B180" s="15" t="str">
        <x:f>'sheet4-原始数据'!A165</x:f>
        <x:v>擎丰1号3期</x:v>
      </x:c>
      <x:c r="C180" s="15" t="str">
        <x:f>'sheet4-原始数据'!B165</x:f>
        <x:v>SXK911</x:v>
      </x:c>
      <x:c r="D180" s="15" t="str">
        <x:f>'sheet4-原始数据'!E165</x:f>
        <x:v>上海擎丰</x:v>
      </x:c>
      <x:c r="E180" s="32" t="n">
        <x:f>IF(ISNUMBER('sheet4-原始数据'!F165),'sheet4-原始数据'!F165,"")</x:f>
        <x:v>44865</x:v>
      </x:c>
      <x:c r="F180" s="17" t="n">
        <x:f>IF(NOT(ISNUMBER(E180)),"",ROUND(('sheet1-指标体系'!$J$23-E180)/365.25,4))</x:f>
        <x:v>3.8768</x:v>
      </x:c>
      <x:c r="G180" s="4" t="str">
        <x:f t="shared" si="6">IF(NOT(ISNUMBER(F180)),"",IF(F180&lt;1,"不入池","入池"))</x:f>
        <x:v>入池</x:v>
      </x:c>
      <x:c r="H180" s="33" t="str">
        <x:v>0-5亿元</x:v>
      </x:c>
      <x:c r="I180" s="17" t="n">
        <x:f>IF(H180="","",IF(ISNUMBER(SEARCH("100亿元以上",H180)),100,IF(OR(ISNUMBER(SEARCH("20-50",H180)),ISNUMBER(SEARCH("50-100",H180)),ISNUMBER(SEARCH("20-100",H180))),90,IF(ISNUMBER(SEARCH("10-20",H180)),80,IF(ISNUMBER(SEARCH("5-10",H180)),70,IF(ISNUMBER(SEARCH("0-5",H180)),60,""))))))</x:f>
        <x:v>60</x:v>
      </x:c>
      <x:c r="J180" s="34" t="str">
        <x:v>无低于1000万元标识</x:v>
      </x:c>
      <x:c r="K180" s="17" t="n">
        <x:f>IF(J180="","",IF(J180="低于1000万元",0,100))</x:f>
        <x:v>100</x:v>
      </x:c>
      <x:c r="L180" s="17" t="n">
        <x:f>IF(NOT(ISNUMBER(F180)),"",IF(F180&lt;1,"",IF(F180&lt;3,70,100)))</x:f>
        <x:v>100</x:v>
      </x:c>
      <x:c r="M180" s="35" t="n">
        <x:f>IF(ISNUMBER('sheet4-原始数据'!G165),'sheet4-原始数据'!G165,"")</x:f>
        <x:v>0.0453</x:v>
      </x:c>
      <x:c r="N180" s="35" t="n">
        <x:f>IF(ISNUMBER('sheet4-原始数据'!H165),'sheet4-原始数据'!H165,"")</x:f>
        <x:v>0.04650000000000001</x:v>
      </x:c>
      <x:c r="O180" s="36" t="str">
        <x:f>IF(ISNUMBER('sheet4-原始数据'!Q165),'sheet4-原始数据'!Q165,"")</x:f>
      </x:c>
      <x:c r="P180" s="37" t="n">
        <x:f>IF($G180&lt;&gt;"入池","",IF($F180&gt;=3,IF(OR(NOT(ISNUMBER($M180)),NOT(ISNUMBER($N180)),1+$M180&lt;=0,1+$N180&lt;0),"",((1+$N180)^3/(1+$M180))^(1/2)-1),IF(OR($F180&lt;=1,NOT(ISNUMBER($M180)),NOT(ISNUMBER($O180)),1+$M180&lt;=0,1+$O180&lt;0),"",((1+$O180)^$F180/(1+$M180))^(1/($F180-1))-1)))</x:f>
        <x:v>0.047100516499306355</x:v>
      </x:c>
      <x:c r="Q180" s="17" t="n">
        <x:f>IF(OR($G180&lt;&gt;"入池",NOT(ISNUMBER(M180))),"",IF(COUNTIFS($G$17:$G$219,"入池",$M$17:$M$219,"&gt;=-1E+307",$M$17:$M$219,"&lt;=1E+307")&lt;=1,100,ROUND(100*(COUNTIFS($G$17:$G$219,"入池",$M$17:$M$219,"&gt;=-1E+307",$M$17:$M$219,"&lt;"&amp;M180)+COUNTIFS($G$17:$G$219,"入池",$M$17:$M$219,M180,$M$17:$M$219,"&gt;=-1E+307",$M$17:$M$219,"&lt;=1E+307")/2-0.5)/(COUNTIFS($G$17:$G$219,"入池",$M$17:$M$219,"&gt;=-1E+307",$M$17:$M$219,"&lt;=1E+307")-1),2)))</x:f>
        <x:v>46.04</x:v>
      </x:c>
      <x:c r="R180" s="17" t="n">
        <x:f>IF(OR($G180&lt;&gt;"入池",NOT(ISNUMBER(P180))),"",IF(COUNTIFS($G$17:$G$219,"入池",$P$17:$P$219,"&gt;=-1E+307",$P$17:$P$219,"&lt;=1E+307")&lt;=1,100,ROUND(100*(COUNTIFS($G$17:$G$219,"入池",$P$17:$P$219,"&gt;=-1E+307",$P$17:$P$219,"&lt;"&amp;P180)+COUNTIFS($G$17:$G$219,"入池",$P$17:$P$219,P180,$P$17:$P$219,"&gt;=-1E+307",$P$17:$P$219,"&lt;=1E+307")/2-0.5)/(COUNTIFS($G$17:$G$219,"入池",$P$17:$P$219,"&gt;=-1E+307",$P$17:$P$219,"&lt;=1E+307")-1),2)))</x:f>
        <x:v>33.66</x:v>
      </x:c>
      <x:c r="S180" s="17" t="n">
        <x:f>IF(NOT(ISNUMBER(Q180)),"",IF(NOT(ISNUMBER(R180)),Q180,ROUND(Q180*'sheet1-指标体系'!$J$8+R180*'sheet1-指标体系'!$J$9,2)))</x:f>
        <x:v>41.09</x:v>
      </x:c>
      <x:c r="T180" s="35" t="n">
        <x:f>IF(ISNUMBER('sheet4-原始数据'!J165),'sheet4-原始数据'!J165,"")</x:f>
        <x:v>0.9231</x:v>
      </x:c>
      <x:c r="U180" s="35" t="n">
        <x:f>IF(ISNUMBER('sheet4-原始数据'!I165),'sheet4-原始数据'!I165,"")</x:f>
        <x:v>0.8919</x:v>
      </x:c>
      <x:c r="V180" s="37" t="n">
        <x:f>IF(OR(NOT(ISNUMBER(T180)),NOT(ISNUMBER(U180))),"",(U180*'sheet1-指标体系'!$J$6-T180*'sheet1-指标体系'!$J$5)/'sheet1-指标体系'!$J$7)</x:f>
        <x:v>0.875</x:v>
      </x:c>
      <x:c r="W180" s="17" t="n">
        <x:f>IF(NOT(ISNUMBER(T180)),"",T180*100)</x:f>
        <x:v>92.31</x:v>
      </x:c>
      <x:c r="X180" s="17" t="n">
        <x:f>IF($G180&lt;&gt;"入池","",IF(AND(ISNUMBER(V180),V180&gt;=0,V180&lt;=1),V180*100,IF(MAX(0,($F180-1)*12)&lt;6,100,"")))</x:f>
        <x:v>87.5</x:v>
      </x:c>
      <x:c r="Y180" s="17" t="n">
        <x:f>IF(NOT(ISNUMBER(W180)),"",IF(NOT(ISNUMBER(X180)),W180,ROUND(W180*'sheet1-指标体系'!$J$8+X180*'sheet1-指标体系'!$J$9,2)))</x:f>
        <x:v>90.39</x:v>
      </x:c>
      <x:c r="Z180" s="37" t="n">
        <x:f>IF(OR(NOT(ISNUMBER(M180)),NOT(ISNUMBER(AD180)),AD180=0),"",ABS(M180/AD180))</x:f>
        <x:v>0.0019676745388127062</x:v>
      </x:c>
      <x:c r="AA180" s="35" t="n">
        <x:f>IF(ISNUMBER('sheet4-原始数据'!K165),'sheet4-原始数据'!K165,"")</x:f>
        <x:v>0.0026</x:v>
      </x:c>
      <x:c r="AB180" s="37" t="n">
        <x:f>IF(COUNT(Z180:AA180)=0,"",MAX(Z180:AA180))</x:f>
        <x:v>0.0026</x:v>
      </x:c>
      <x:c r="AC180" s="17" t="n">
        <x:f>IF(OR($G180&lt;&gt;"入池",NOT(ISNUMBER(AB180))),"",IF(COUNTIFS($G$17:$G$219,"入池",$AB$17:$AB$219,"&gt;=-1E+307",$AB$17:$AB$219,"&lt;=1E+307")&lt;=1,100,ROUND(100*(COUNTIFS($G$17:$G$219,"入池",$AB$17:$AB$219,"&lt;=1E+307",$AB$17:$AB$219,"&gt;"&amp;AB180)+COUNTIFS($G$17:$G$219,"入池",$AB$17:$AB$219,AB180,$AB$17:$AB$219,"&gt;=-1E+307",$AB$17:$AB$219,"&lt;=1E+307")/2-0.5)/(COUNTIFS($G$17:$G$219,"入池",$AB$17:$AB$219,"&gt;=-1E+307",$AB$17:$AB$219,"&lt;=1E+307")-1),2)))</x:f>
        <x:v>99.01</x:v>
      </x:c>
      <x:c r="AD180" s="38" t="n">
        <x:f>IF(ISNUMBER('sheet4-原始数据'!M165),'sheet4-原始数据'!M165,"")</x:f>
        <x:v>23.0221</x:v>
      </x:c>
      <x:c r="AE180" s="37" t="n">
        <x:f>IF(OR(NOT(ISNUMBER(P180)),NOT(ISNUMBER(AA180)),NOT(ISNUMBER(Z180))),"",IF(AA180&gt;Z180+'sheet1-指标体系'!$J$11,AA180,""))</x:f>
        <x:v>0.0026</x:v>
      </x:c>
      <x:c r="AF180" s="17" t="n">
        <x:f>IF(OR(NOT(ISNUMBER(P180)),NOT(ISNUMBER(AE180)),AE180=0),"",P180/AE180)</x:f>
        <x:v>18.115583268963984</x:v>
      </x:c>
      <x:c r="AG180" s="17" t="n">
        <x:f>IF(OR($G180&lt;&gt;"入池",NOT(ISNUMBER(AD180))),"",IF(COUNTIFS($G$17:$G$219,"入池",$AD$17:$AD$219,"&gt;=-1E+307",$AD$17:$AD$219,"&lt;=1E+307")&lt;=1,100,ROUND(100*(COUNTIFS($G$17:$G$219,"入池",$AD$17:$AD$219,"&gt;=-1E+307",$AD$17:$AD$219,"&lt;"&amp;AD180)+COUNTIFS($G$17:$G$219,"入池",$AD$17:$AD$219,AD180,$AD$17:$AD$219,"&gt;=-1E+307",$AD$17:$AD$219,"&lt;=1E+307")/2-0.5)/(COUNTIFS($G$17:$G$219,"入池",$AD$17:$AD$219,"&gt;=-1E+307",$AD$17:$AD$219,"&lt;=1E+307")-1),2)))</x:f>
        <x:v>90.05</x:v>
      </x:c>
      <x:c r="AH180" s="17" t="n">
        <x:f>IF(OR($G180&lt;&gt;"入池",NOT(ISNUMBER(AF180))),"",IF(COUNTIFS($G$17:$G$219,"入池",$AF$17:$AF$219,"&gt;=-1E+307",$AF$17:$AF$219,"&lt;=1E+307")&lt;=1,100,ROUND(100*(COUNTIFS($G$17:$G$219,"入池",$AF$17:$AF$219,"&gt;=-1E+307",$AF$17:$AF$219,"&lt;"&amp;AF180)+COUNTIFS($G$17:$G$219,"入池",$AF$17:$AF$219,AF180,$AF$17:$AF$219,"&gt;=-1E+307",$AF$17:$AF$219,"&lt;=1E+307")/2-0.5)/(COUNTIFS($G$17:$G$219,"入池",$AF$17:$AF$219,"&gt;=-1E+307",$AF$17:$AF$219,"&lt;=1E+307")-1),2)))</x:f>
        <x:v>97.08</x:v>
      </x:c>
      <x:c r="AI180" s="17" t="n">
        <x:f>IF(NOT(ISNUMBER(AG180)),"",IF(NOT(ISNUMBER(AH180)),AG180,ROUND(AG180*'sheet1-指标体系'!$J$8+AH180*'sheet1-指标体系'!$J$9,2)))</x:f>
        <x:v>92.86</x:v>
      </x:c>
      <x:c r="AJ180" s="37" t="n">
        <x:f>IF(NOT(ISNUMBER(F180)),"",IF(F180&gt;=3,IF(NOT(ISNUMBER(N180)),"",N180),IF(NOT(ISNUMBER(O180)),"",O180)))</x:f>
        <x:v>0.04650000000000001</x:v>
      </x:c>
      <x:c r="AK180" s="17" t="n">
        <x:f>IF(OR(G180&lt;&gt;"入池",NOT(ISNUMBER(M180)),NOT(ISNUMBER(AJ180))),"",IF(M180&gt;=AJ180,100,IF(AJ180-M180&lt;'sheet1-指标体系'!$J$10,80,60)))</x:f>
        <x:v>80</x:v>
      </x:c>
      <x:c r="AL180" s="17" t="n">
        <x:f>IF(COUNT(I180,K180,L180)=0,"",ROUND((IF(ISNUMBER(I180),I180*40%,0)+IF(ISNUMBER(K180),K180*30%,0)+IF(ISNUMBER(L180),L180*30%,0))/(IF(ISNUMBER(I180),40%,0)+IF(ISNUMBER(K180),30%,0)+IF(ISNUMBER(L180),30%,0)),2))</x:f>
        <x:v>84</x:v>
      </x:c>
      <x:c r="AM180" s="17" t="n">
        <x:f>IF(COUNT(Q180,R180,W180,X180)=0,"",ROUND((IF(ISNUMBER(Q180),Q180*42%,0)+IF(ISNUMBER(R180),R180*28%,0)+IF(ISNUMBER(W180),W180*18%,0)+IF(ISNUMBER(X180),X180*12%,0))/(IF(ISNUMBER(Q180),42%,0)+IF(ISNUMBER(R180),28%,0)+IF(ISNUMBER(W180),18%,0)+IF(ISNUMBER(X180),12%,0)),2))</x:f>
        <x:v>55.88</x:v>
      </x:c>
      <x:c r="AN180" s="17" t="n">
        <x:f>IF(ISNUMBER(AC180),AC180,"")</x:f>
        <x:v>99.01</x:v>
      </x:c>
      <x:c r="AO180" s="17" t="n">
        <x:f>IF(COUNT(AG180,AH180)=0,"",ROUND((IF(ISNUMBER(AG180),AG180*60%,0)+IF(ISNUMBER(AH180),AH180*40%,0))/(IF(ISNUMBER(AG180),60%,0)+IF(ISNUMBER(AH180),40%,0)),2))</x:f>
        <x:v>92.86</x:v>
      </x:c>
      <x:c r="AP180" s="17" t="n">
        <x:f>IF(ISNUMBER(AK180),AK180,"")</x:f>
        <x:v>80</x:v>
      </x:c>
      <x:c r="AQ180" s="39" t="n">
        <x:f>IF(G180&lt;&gt;"入池",0,IF(ISNUMBER(I180),6%,0)+IF(ISNUMBER(K180),4.5%,0)+IF(ISNUMBER(L180),4.5%,0)+IF(ISNUMBER(Q180),8.4%,0)+IF(ISNUMBER(R180),5.6%,0)+IF(ISNUMBER(W180),3.6%,0)+IF(ISNUMBER(X180),2.4%,0)+IF(ISNUMBER(AC180),25%,0)+IF(ISNUMBER(AG180),18%,0)+IF(ISNUMBER(AH180),12%,0)+IF(ISNUMBER(AK180),10%,0))</x:f>
        <x:v>1</x:v>
      </x:c>
      <x:c r="AR180" s="17" t="n">
        <x:f>IF(AQ180=0,"",IF(ISNUMBER(I180),I180*6%,0)+IF(ISNUMBER(K180),K180*4.5%,0)+IF(ISNUMBER(L180),L180*4.5%,0)+IF(ISNUMBER(Q180),Q180*8.4%,0)+IF(ISNUMBER(R180),R180*5.6%,0)+IF(ISNUMBER(W180),W180*3.6%,0)+IF(ISNUMBER(X180),X180*2.4%,0)+IF(ISNUMBER(AC180),AC180*25%,0)+IF(ISNUMBER(AG180),AG180*18%,0)+IF(ISNUMBER(AH180),AH180*12%,0)+IF(ISNUMBER(AK180),AK180*10%,0))</x:f>
        <x:v>84.38658000000001</x:v>
      </x:c>
      <x:c r="AS180" s="17" t="n">
        <x:f>IF(AQ180=0,"",ROUND(AR180/AQ180,2))</x:f>
        <x:v>84.39</x:v>
      </x:c>
      <x:c r="AT180" s="40" t="n">
        <x:f>IF(OR(G180&lt;&gt;"入池",NOT(ISNUMBER(AS180))),"",COUNTIFS($G$17:$G$219,"入池",$AS$17:$AS$219,"&gt;"&amp;AS180)+COUNTIFS($G$17:$G$219,"入池",$AS$17:$AS$219,AS180,$AQ$17:$AQ$219,"&gt;"&amp;AQ180)+COUNTIFS($G$17:G180,"入池",$AS$17:AS180,AS180,$AQ$17:AQ180,AQ180))</x:f>
        <x:v>21</x:v>
      </x:c>
      <x:c r="AU180" s="41" t="str">
        <x:f t="shared" si="7">IF(NOT(ISNUMBER(I180)),"管理人规模；","")&amp;IF(J180="","产品规模标识；","")&amp;IF(AND(F180&lt;3,NOT(ISNUMBER(O180))),"R_incep；","")&amp;IF(NOT(ISNUMBER(N180)),"近三年收益；","")&amp;IF(NOT(ISNUMBER(U180)),"近三年胜率；","")&amp;IF(AND(ISNUMBER(V180),OR(V180&lt;0,V180&gt;1)),"胜率窗口口径不一致；","")&amp;IF(NOT(ISNUMBER(AA180)),"近三年回撤；","")&amp;IF(NOT(ISNUMBER(AD180)),"短期卡玛；","")&amp;IF(AND(ISNUMBER(P180),NOT(ISNUMBER(AE180))),"DD_long不可识别；","")</x:f>
      </x:c>
      <x:c r="AV180" s="42" t="n">
        <x:v>0</x:v>
      </x:c>
      <x:c r="AW180" s="19" t="str">
        <x:v>上海擎丰私募基金管理有限公司</x:v>
      </x:c>
      <x:c r="AX180" s="19" t="str">
        <x:v>2026-08-06</x:v>
      </x:c>
      <x:c r="AY180" s="19" t="str">
        <x:v>https://gs.amac.org.cn/amac-infodisc/res/pof/manager/1707071820104466.html</x:v>
      </x:c>
      <x:c r="AZ180" s="19" t="str">
        <x:v>擎丰1号3期私募证券投资基金</x:v>
      </x:c>
      <x:c r="BA180" s="19" t="str">
        <x:v>2026-07-07</x:v>
      </x:c>
      <x:c r="BB180" s="19"/>
      <x:c r="BC180" s="19" t="str">
        <x:v>https://gs.amac.org.cn/amac-infodisc/res/pof/fund/2211141811104373.html</x:v>
      </x:c>
      <x:c r="BD180" s="19" t="str">
        <x:v>已匹配</x:v>
      </x:c>
      <x:c r="BE180"/>
      <x:c r="BF180"/>
    </x:row>
    <x:row r="181" ht="28" customHeight="1">
      <x:c r="A181" s="4" t="n">
        <x:v>165</x:v>
      </x:c>
      <x:c r="B181" s="15" t="str">
        <x:f>'sheet4-原始数据'!A166</x:f>
        <x:v>泰创稳健二号</x:v>
      </x:c>
      <x:c r="C181" s="15" t="str">
        <x:f>'sheet4-原始数据'!B166</x:f>
        <x:v>SXP356</x:v>
      </x:c>
      <x:c r="D181" s="15" t="str">
        <x:f>'sheet4-原始数据'!E166</x:f>
        <x:v>北京泰创投资</x:v>
      </x:c>
      <x:c r="E181" s="32" t="n">
        <x:f>IF(ISNUMBER('sheet4-原始数据'!F166),'sheet4-原始数据'!F166,"")</x:f>
        <x:v>44875</x:v>
      </x:c>
      <x:c r="F181" s="17" t="n">
        <x:f>IF(NOT(ISNUMBER(E181)),"",ROUND(('sheet1-指标体系'!$J$23-E181)/365.25,4))</x:f>
        <x:v>3.8494</x:v>
      </x:c>
      <x:c r="G181" s="4" t="str">
        <x:f t="shared" si="6">IF(NOT(ISNUMBER(F181)),"",IF(F181&lt;1,"不入池","入池"))</x:f>
        <x:v>入池</x:v>
      </x:c>
      <x:c r="H181" s="33" t="str">
        <x:v>5-10亿元</x:v>
      </x:c>
      <x:c r="I181" s="17" t="n">
        <x:f>IF(H181="","",IF(ISNUMBER(SEARCH("100亿元以上",H181)),100,IF(OR(ISNUMBER(SEARCH("20-50",H181)),ISNUMBER(SEARCH("50-100",H181)),ISNUMBER(SEARCH("20-100",H181))),90,IF(ISNUMBER(SEARCH("10-20",H181)),80,IF(ISNUMBER(SEARCH("5-10",H181)),70,IF(ISNUMBER(SEARCH("0-5",H181)),60,""))))))</x:f>
        <x:v>70</x:v>
      </x:c>
      <x:c r="J181" s="34" t="str">
        <x:v>无低于1000万元标识</x:v>
      </x:c>
      <x:c r="K181" s="17" t="n">
        <x:f>IF(J181="","",IF(J181="低于1000万元",0,100))</x:f>
        <x:v>100</x:v>
      </x:c>
      <x:c r="L181" s="17" t="n">
        <x:f>IF(NOT(ISNUMBER(F181)),"",IF(F181&lt;1,"",IF(F181&lt;3,70,100)))</x:f>
        <x:v>100</x:v>
      </x:c>
      <x:c r="M181" s="35" t="n">
        <x:f>IF(ISNUMBER('sheet4-原始数据'!G166),'sheet4-原始数据'!G166,"")</x:f>
        <x:v>-0.0868</x:v>
      </x:c>
      <x:c r="N181" s="35" t="n">
        <x:f>IF(ISNUMBER('sheet4-原始数据'!H166),'sheet4-原始数据'!H166,"")</x:f>
        <x:v>-0.0355</x:v>
      </x:c>
      <x:c r="O181" s="36" t="str">
        <x:f>IF(ISNUMBER('sheet4-原始数据'!Q166),'sheet4-原始数据'!Q166,"")</x:f>
      </x:c>
      <x:c r="P181" s="37" t="n">
        <x:f>IF($G181&lt;&gt;"入池","",IF($F181&gt;=3,IF(OR(NOT(ISNUMBER($M181)),NOT(ISNUMBER($N181)),1+$M181&lt;=0,1+$N181&lt;0),"",((1+$N181)^3/(1+$M181))^(1/2)-1),IF(OR($F181&lt;=1,NOT(ISNUMBER($M181)),NOT(ISNUMBER($O181)),1+$M181&lt;=0,1+$O181&lt;0),"",((1+$O181)^$F181/(1+$M181))^(1/($F181-1))-1)))</x:f>
        <x:v>-0.008779223362037847</x:v>
      </x:c>
      <x:c r="Q181" s="17" t="n">
        <x:f>IF(OR($G181&lt;&gt;"入池",NOT(ISNUMBER(M181))),"",IF(COUNTIFS($G$17:$G$219,"入池",$M$17:$M$219,"&gt;=-1E+307",$M$17:$M$219,"&lt;=1E+307")&lt;=1,100,ROUND(100*(COUNTIFS($G$17:$G$219,"入池",$M$17:$M$219,"&gt;=-1E+307",$M$17:$M$219,"&lt;"&amp;M181)+COUNTIFS($G$17:$G$219,"入池",$M$17:$M$219,M181,$M$17:$M$219,"&gt;=-1E+307",$M$17:$M$219,"&lt;=1E+307")/2-0.5)/(COUNTIFS($G$17:$G$219,"入池",$M$17:$M$219,"&gt;=-1E+307",$M$17:$M$219,"&lt;=1E+307")-1),2)))</x:f>
        <x:v>5.94</x:v>
      </x:c>
      <x:c r="R181" s="17" t="n">
        <x:f>IF(OR($G181&lt;&gt;"入池",NOT(ISNUMBER(P181))),"",IF(COUNTIFS($G$17:$G$219,"入池",$P$17:$P$219,"&gt;=-1E+307",$P$17:$P$219,"&lt;=1E+307")&lt;=1,100,ROUND(100*(COUNTIFS($G$17:$G$219,"入池",$P$17:$P$219,"&gt;=-1E+307",$P$17:$P$219,"&lt;"&amp;P181)+COUNTIFS($G$17:$G$219,"入池",$P$17:$P$219,P181,$P$17:$P$219,"&gt;=-1E+307",$P$17:$P$219,"&lt;=1E+307")/2-0.5)/(COUNTIFS($G$17:$G$219,"入池",$P$17:$P$219,"&gt;=-1E+307",$P$17:$P$219,"&lt;=1E+307")-1),2)))</x:f>
        <x:v>4.46</x:v>
      </x:c>
      <x:c r="S181" s="17" t="n">
        <x:f>IF(NOT(ISNUMBER(Q181)),"",IF(NOT(ISNUMBER(R181)),Q181,ROUND(Q181*'sheet1-指标体系'!$J$8+R181*'sheet1-指标体系'!$J$9,2)))</x:f>
        <x:v>5.35</x:v>
      </x:c>
      <x:c r="T181" s="35" t="n">
        <x:f>IF(ISNUMBER('sheet4-原始数据'!J166),'sheet4-原始数据'!J166,"")</x:f>
        <x:v>0.3846</x:v>
      </x:c>
      <x:c r="U181" s="35" t="n">
        <x:f>IF(ISNUMBER('sheet4-原始数据'!I166),'sheet4-原始数据'!I166,"")</x:f>
        <x:v>0.4054</x:v>
      </x:c>
      <x:c r="V181" s="37" t="n">
        <x:f>IF(OR(NOT(ISNUMBER(T181)),NOT(ISNUMBER(U181))),"",(U181*'sheet1-指标体系'!$J$6-T181*'sheet1-指标体系'!$J$5)/'sheet1-指标体系'!$J$7)</x:f>
        <x:v>0.4166666666666667</x:v>
      </x:c>
      <x:c r="W181" s="17" t="n">
        <x:f>IF(NOT(ISNUMBER(T181)),"",T181*100)</x:f>
        <x:v>38.46</x:v>
      </x:c>
      <x:c r="X181" s="17" t="n">
        <x:f>IF($G181&lt;&gt;"入池","",IF(AND(ISNUMBER(V181),V181&gt;=0,V181&lt;=1),V181*100,IF(MAX(0,($F181-1)*12)&lt;6,100,"")))</x:f>
        <x:v>41.66666666666667</x:v>
      </x:c>
      <x:c r="Y181" s="17" t="n">
        <x:f>IF(NOT(ISNUMBER(W181)),"",IF(NOT(ISNUMBER(X181)),W181,ROUND(W181*'sheet1-指标体系'!$J$8+X181*'sheet1-指标体系'!$J$9,2)))</x:f>
        <x:v>39.74</x:v>
      </x:c>
      <x:c r="Z181" s="37" t="n">
        <x:f>IF(OR(NOT(ISNUMBER(M181)),NOT(ISNUMBER(AD181)),AD181=0),"",ABS(M181/AD181))</x:f>
        <x:v>0.11018024879411019</x:v>
      </x:c>
      <x:c r="AA181" s="35" t="n">
        <x:f>IF(ISNUMBER('sheet4-原始数据'!K166),'sheet4-原始数据'!K166,"")</x:f>
        <x:v>0.14679999999999999</x:v>
      </x:c>
      <x:c r="AB181" s="37" t="n">
        <x:f>IF(COUNT(Z181:AA181)=0,"",MAX(Z181:AA181))</x:f>
        <x:v>0.14679999999999999</x:v>
      </x:c>
      <x:c r="AC181" s="17" t="n">
        <x:f>IF(OR($G181&lt;&gt;"入池",NOT(ISNUMBER(AB181))),"",IF(COUNTIFS($G$17:$G$219,"入池",$AB$17:$AB$219,"&gt;=-1E+307",$AB$17:$AB$219,"&lt;=1E+307")&lt;=1,100,ROUND(100*(COUNTIFS($G$17:$G$219,"入池",$AB$17:$AB$219,"&lt;=1E+307",$AB$17:$AB$219,"&gt;"&amp;AB181)+COUNTIFS($G$17:$G$219,"入池",$AB$17:$AB$219,AB181,$AB$17:$AB$219,"&gt;=-1E+307",$AB$17:$AB$219,"&lt;=1E+307")/2-0.5)/(COUNTIFS($G$17:$G$219,"入池",$AB$17:$AB$219,"&gt;=-1E+307",$AB$17:$AB$219,"&lt;=1E+307")-1),2)))</x:f>
        <x:v>13.86</x:v>
      </x:c>
      <x:c r="AD181" s="38" t="n">
        <x:f>IF(ISNUMBER('sheet4-原始数据'!M166),'sheet4-原始数据'!M166,"")</x:f>
        <x:v>-0.7878</x:v>
      </x:c>
      <x:c r="AE181" s="37" t="n">
        <x:f>IF(OR(NOT(ISNUMBER(P181)),NOT(ISNUMBER(AA181)),NOT(ISNUMBER(Z181))),"",IF(AA181&gt;Z181+'sheet1-指标体系'!$J$11,AA181,""))</x:f>
        <x:v>0.14679999999999999</x:v>
      </x:c>
      <x:c r="AF181" s="17" t="n">
        <x:f>IF(OR(NOT(ISNUMBER(P181)),NOT(ISNUMBER(AE181)),AE181=0),"",P181/AE181)</x:f>
        <x:v>-0.05980397385584365</x:v>
      </x:c>
      <x:c r="AG181" s="17" t="n">
        <x:f>IF(OR($G181&lt;&gt;"入池",NOT(ISNUMBER(AD181))),"",IF(COUNTIFS($G$17:$G$219,"入池",$AD$17:$AD$219,"&gt;=-1E+307",$AD$17:$AD$219,"&lt;=1E+307")&lt;=1,100,ROUND(100*(COUNTIFS($G$17:$G$219,"入池",$AD$17:$AD$219,"&gt;=-1E+307",$AD$17:$AD$219,"&lt;"&amp;AD181)+COUNTIFS($G$17:$G$219,"入池",$AD$17:$AD$219,AD181,$AD$17:$AD$219,"&gt;=-1E+307",$AD$17:$AD$219,"&lt;=1E+307")/2-0.5)/(COUNTIFS($G$17:$G$219,"入池",$AD$17:$AD$219,"&gt;=-1E+307",$AD$17:$AD$219,"&lt;=1E+307")-1),2)))</x:f>
        <x:v>4.48</x:v>
      </x:c>
      <x:c r="AH181" s="17" t="n">
        <x:f>IF(OR($G181&lt;&gt;"入池",NOT(ISNUMBER(AF181))),"",IF(COUNTIFS($G$17:$G$219,"入池",$AF$17:$AF$219,"&gt;=-1E+307",$AF$17:$AF$219,"&lt;=1E+307")&lt;=1,100,ROUND(100*(COUNTIFS($G$17:$G$219,"入池",$AF$17:$AF$219,"&gt;=-1E+307",$AF$17:$AF$219,"&lt;"&amp;AF181)+COUNTIFS($G$17:$G$219,"入池",$AF$17:$AF$219,AF181,$AF$17:$AF$219,"&gt;=-1E+307",$AF$17:$AF$219,"&lt;=1E+307")/2-0.5)/(COUNTIFS($G$17:$G$219,"入池",$AF$17:$AF$219,"&gt;=-1E+307",$AF$17:$AF$219,"&lt;=1E+307")-1),2)))</x:f>
        <x:v>5.11</x:v>
      </x:c>
      <x:c r="AI181" s="17" t="n">
        <x:f>IF(NOT(ISNUMBER(AG181)),"",IF(NOT(ISNUMBER(AH181)),AG181,ROUND(AG181*'sheet1-指标体系'!$J$8+AH181*'sheet1-指标体系'!$J$9,2)))</x:f>
        <x:v>4.73</x:v>
      </x:c>
      <x:c r="AJ181" s="37" t="n">
        <x:f>IF(NOT(ISNUMBER(F181)),"",IF(F181&gt;=3,IF(NOT(ISNUMBER(N181)),"",N181),IF(NOT(ISNUMBER(O181)),"",O181)))</x:f>
        <x:v>-0.0355</x:v>
      </x:c>
      <x:c r="AK181" s="17" t="n">
        <x:f>IF(OR(G181&lt;&gt;"入池",NOT(ISNUMBER(M181)),NOT(ISNUMBER(AJ181))),"",IF(M181&gt;=AJ181,100,IF(AJ181-M181&lt;'sheet1-指标体系'!$J$10,80,60)))</x:f>
        <x:v>80</x:v>
      </x:c>
      <x:c r="AL181" s="17" t="n">
        <x:f>IF(COUNT(I181,K181,L181)=0,"",ROUND((IF(ISNUMBER(I181),I181*40%,0)+IF(ISNUMBER(K181),K181*30%,0)+IF(ISNUMBER(L181),L181*30%,0))/(IF(ISNUMBER(I181),40%,0)+IF(ISNUMBER(K181),30%,0)+IF(ISNUMBER(L181),30%,0)),2))</x:f>
        <x:v>88</x:v>
      </x:c>
      <x:c r="AM181" s="17" t="n">
        <x:f>IF(COUNT(Q181,R181,W181,X181)=0,"",ROUND((IF(ISNUMBER(Q181),Q181*42%,0)+IF(ISNUMBER(R181),R181*28%,0)+IF(ISNUMBER(W181),W181*18%,0)+IF(ISNUMBER(X181),X181*12%,0))/(IF(ISNUMBER(Q181),42%,0)+IF(ISNUMBER(R181),28%,0)+IF(ISNUMBER(W181),18%,0)+IF(ISNUMBER(X181),12%,0)),2))</x:f>
        <x:v>15.67</x:v>
      </x:c>
      <x:c r="AN181" s="17" t="n">
        <x:f>IF(ISNUMBER(AC181),AC181,"")</x:f>
        <x:v>13.86</x:v>
      </x:c>
      <x:c r="AO181" s="17" t="n">
        <x:f>IF(COUNT(AG181,AH181)=0,"",ROUND((IF(ISNUMBER(AG181),AG181*60%,0)+IF(ISNUMBER(AH181),AH181*40%,0))/(IF(ISNUMBER(AG181),60%,0)+IF(ISNUMBER(AH181),40%,0)),2))</x:f>
        <x:v>4.73</x:v>
      </x:c>
      <x:c r="AP181" s="17" t="n">
        <x:f>IF(ISNUMBER(AK181),AK181,"")</x:f>
        <x:v>80</x:v>
      </x:c>
      <x:c r="AQ181" s="39" t="n">
        <x:f>IF(G181&lt;&gt;"入池",0,IF(ISNUMBER(I181),6%,0)+IF(ISNUMBER(K181),4.5%,0)+IF(ISNUMBER(L181),4.5%,0)+IF(ISNUMBER(Q181),8.4%,0)+IF(ISNUMBER(R181),5.6%,0)+IF(ISNUMBER(W181),3.6%,0)+IF(ISNUMBER(X181),2.4%,0)+IF(ISNUMBER(AC181),25%,0)+IF(ISNUMBER(AG181),18%,0)+IF(ISNUMBER(AH181),12%,0)+IF(ISNUMBER(AK181),10%,0))</x:f>
        <x:v>1</x:v>
      </x:c>
      <x:c r="AR181" s="17" t="n">
        <x:f>IF(AQ181=0,"",IF(ISNUMBER(I181),I181*6%,0)+IF(ISNUMBER(K181),K181*4.5%,0)+IF(ISNUMBER(L181),L181*4.5%,0)+IF(ISNUMBER(Q181),Q181*8.4%,0)+IF(ISNUMBER(R181),R181*5.6%,0)+IF(ISNUMBER(W181),W181*3.6%,0)+IF(ISNUMBER(X181),X181*2.4%,0)+IF(ISNUMBER(AC181),AC181*25%,0)+IF(ISNUMBER(AG181),AG181*18%,0)+IF(ISNUMBER(AH181),AH181*12%,0)+IF(ISNUMBER(AK181),AK181*10%,0))</x:f>
        <x:v>29.21788</x:v>
      </x:c>
      <x:c r="AS181" s="17" t="n">
        <x:f>IF(AQ181=0,"",ROUND(AR181/AQ181,2))</x:f>
        <x:v>29.22</x:v>
      </x:c>
      <x:c r="AT181" s="40" t="n">
        <x:f>IF(OR(G181&lt;&gt;"入池",NOT(ISNUMBER(AS181))),"",COUNTIFS($G$17:$G$219,"入池",$AS$17:$AS$219,"&gt;"&amp;AS181)+COUNTIFS($G$17:$G$219,"入池",$AS$17:$AS$219,AS181,$AQ$17:$AQ$219,"&gt;"&amp;AQ181)+COUNTIFS($G$17:G181,"入池",$AS$17:AS181,AS181,$AQ$17:AQ181,AQ181))</x:f>
        <x:v>195</x:v>
      </x:c>
      <x:c r="AU181" s="41" t="str">
        <x:f t="shared" si="7">IF(NOT(ISNUMBER(I181)),"管理人规模；","")&amp;IF(J181="","产品规模标识；","")&amp;IF(AND(F181&lt;3,NOT(ISNUMBER(O181))),"R_incep；","")&amp;IF(NOT(ISNUMBER(N181)),"近三年收益；","")&amp;IF(NOT(ISNUMBER(U181)),"近三年胜率；","")&amp;IF(AND(ISNUMBER(V181),OR(V181&lt;0,V181&gt;1)),"胜率窗口口径不一致；","")&amp;IF(NOT(ISNUMBER(AA181)),"近三年回撤；","")&amp;IF(NOT(ISNUMBER(AD181)),"短期卡玛；","")&amp;IF(AND(ISNUMBER(P181),NOT(ISNUMBER(AE181))),"DD_long不可识别；","")</x:f>
      </x:c>
      <x:c r="AV181" s="42" t="n">
        <x:v>5</x:v>
      </x:c>
      <x:c r="AW181" s="19" t="str">
        <x:v>北京泰创投资管理有限公司</x:v>
      </x:c>
      <x:c r="AX181" s="19" t="str">
        <x:v>2026-05-12</x:v>
      </x:c>
      <x:c r="AY181" s="19" t="str">
        <x:v>https://gs.amac.org.cn/amac-infodisc/res/pof/manager/101000008864.html</x:v>
      </x:c>
      <x:c r="AZ181" s="19" t="str">
        <x:v>泰创稳健二号私募证券投资基金</x:v>
      </x:c>
      <x:c r="BA181" s="19" t="str">
        <x:v>2026-07-22</x:v>
      </x:c>
      <x:c r="BB181" s="19"/>
      <x:c r="BC181" s="19" t="str">
        <x:v>https://gs.amac.org.cn/amac-infodisc/res/pof/fund/2211151609104614.html</x:v>
      </x:c>
      <x:c r="BD181" s="19" t="str">
        <x:v>已匹配</x:v>
      </x:c>
      <x:c r="BE181"/>
      <x:c r="BF181"/>
    </x:row>
    <x:row r="182" ht="28" customHeight="1">
      <x:c r="A182" s="4" t="n">
        <x:v>166</x:v>
      </x:c>
      <x:c r="B182" s="15" t="str">
        <x:f>'sheet4-原始数据'!A167</x:f>
        <x:v>殊馥兴义7号</x:v>
      </x:c>
      <x:c r="C182" s="15" t="str">
        <x:f>'sheet4-原始数据'!B167</x:f>
        <x:v>SXT610</x:v>
      </x:c>
      <x:c r="D182" s="15" t="str">
        <x:f>'sheet4-原始数据'!E167</x:f>
        <x:v>上海殊馥投资</x:v>
      </x:c>
      <x:c r="E182" s="32" t="n">
        <x:f>IF(ISNUMBER('sheet4-原始数据'!F167),'sheet4-原始数据'!F167,"")</x:f>
        <x:v>44894</x:v>
      </x:c>
      <x:c r="F182" s="17" t="n">
        <x:f>IF(NOT(ISNUMBER(E182)),"",ROUND(('sheet1-指标体系'!$J$23-E182)/365.25,4))</x:f>
        <x:v>3.7974</x:v>
      </x:c>
      <x:c r="G182" s="4" t="str">
        <x:f t="shared" si="6">IF(NOT(ISNUMBER(F182)),"",IF(F182&lt;1,"不入池","入池"))</x:f>
        <x:v>入池</x:v>
      </x:c>
      <x:c r="H182" s="33" t="str">
        <x:v>10-20亿元</x:v>
      </x:c>
      <x:c r="I182" s="17" t="n">
        <x:f>IF(H182="","",IF(ISNUMBER(SEARCH("100亿元以上",H182)),100,IF(OR(ISNUMBER(SEARCH("20-50",H182)),ISNUMBER(SEARCH("50-100",H182)),ISNUMBER(SEARCH("20-100",H182))),90,IF(ISNUMBER(SEARCH("10-20",H182)),80,IF(ISNUMBER(SEARCH("5-10",H182)),70,IF(ISNUMBER(SEARCH("0-5",H182)),60,""))))))</x:f>
        <x:v>80</x:v>
      </x:c>
      <x:c r="J182" s="34" t="str">
        <x:v>无低于1000万元标识</x:v>
      </x:c>
      <x:c r="K182" s="17" t="n">
        <x:f>IF(J182="","",IF(J182="低于1000万元",0,100))</x:f>
        <x:v>100</x:v>
      </x:c>
      <x:c r="L182" s="17" t="n">
        <x:f>IF(NOT(ISNUMBER(F182)),"",IF(F182&lt;1,"",IF(F182&lt;3,70,100)))</x:f>
        <x:v>100</x:v>
      </x:c>
      <x:c r="M182" s="35" t="n">
        <x:f>IF(ISNUMBER('sheet4-原始数据'!G167),'sheet4-原始数据'!G167,"")</x:f>
        <x:v>0.0724</x:v>
      </x:c>
      <x:c r="N182" s="35" t="n">
        <x:f>IF(ISNUMBER('sheet4-原始数据'!H167),'sheet4-原始数据'!H167,"")</x:f>
        <x:v>0.0758</x:v>
      </x:c>
      <x:c r="O182" s="36" t="str">
        <x:f>IF(ISNUMBER('sheet4-原始数据'!Q167),'sheet4-原始数据'!Q167,"")</x:f>
      </x:c>
      <x:c r="P182" s="37" t="n">
        <x:f>IF($G182&lt;&gt;"入池","",IF($F182&gt;=3,IF(OR(NOT(ISNUMBER($M182)),NOT(ISNUMBER($N182)),1+$M182&lt;=0,1+$N182&lt;0),"",((1+$N182)^3/(1+$M182))^(1/2)-1),IF(OR($F182&lt;=1,NOT(ISNUMBER($M182)),NOT(ISNUMBER($O182)),1+$M182&lt;=0,1+$O182&lt;0),"",((1+$O182)^$F182/(1+$M182))^(1/($F182-1))-1)))</x:f>
        <x:v>0.07750404020147594</x:v>
      </x:c>
      <x:c r="Q182" s="17" t="n">
        <x:f>IF(OR($G182&lt;&gt;"入池",NOT(ISNUMBER(M182))),"",IF(COUNTIFS($G$17:$G$219,"入池",$M$17:$M$219,"&gt;=-1E+307",$M$17:$M$219,"&lt;=1E+307")&lt;=1,100,ROUND(100*(COUNTIFS($G$17:$G$219,"入池",$M$17:$M$219,"&gt;=-1E+307",$M$17:$M$219,"&lt;"&amp;M182)+COUNTIFS($G$17:$G$219,"入池",$M$17:$M$219,M182,$M$17:$M$219,"&gt;=-1E+307",$M$17:$M$219,"&lt;=1E+307")/2-0.5)/(COUNTIFS($G$17:$G$219,"入池",$M$17:$M$219,"&gt;=-1E+307",$M$17:$M$219,"&lt;=1E+307")-1),2)))</x:f>
        <x:v>64.85</x:v>
      </x:c>
      <x:c r="R182" s="17" t="n">
        <x:f>IF(OR($G182&lt;&gt;"入池",NOT(ISNUMBER(P182))),"",IF(COUNTIFS($G$17:$G$219,"入池",$P$17:$P$219,"&gt;=-1E+307",$P$17:$P$219,"&lt;=1E+307")&lt;=1,100,ROUND(100*(COUNTIFS($G$17:$G$219,"入池",$P$17:$P$219,"&gt;=-1E+307",$P$17:$P$219,"&lt;"&amp;P182)+COUNTIFS($G$17:$G$219,"入池",$P$17:$P$219,P182,$P$17:$P$219,"&gt;=-1E+307",$P$17:$P$219,"&lt;=1E+307")/2-0.5)/(COUNTIFS($G$17:$G$219,"入池",$P$17:$P$219,"&gt;=-1E+307",$P$17:$P$219,"&lt;=1E+307")-1),2)))</x:f>
        <x:v>63.37</x:v>
      </x:c>
      <x:c r="S182" s="17" t="n">
        <x:f>IF(NOT(ISNUMBER(Q182)),"",IF(NOT(ISNUMBER(R182)),Q182,ROUND(Q182*'sheet1-指标体系'!$J$8+R182*'sheet1-指标体系'!$J$9,2)))</x:f>
        <x:v>64.26</x:v>
      </x:c>
      <x:c r="T182" s="35" t="n">
        <x:f>IF(ISNUMBER('sheet4-原始数据'!J167),'sheet4-原始数据'!J167,"")</x:f>
        <x:v>0.8462000000000001</x:v>
      </x:c>
      <x:c r="U182" s="35" t="n">
        <x:f>IF(ISNUMBER('sheet4-原始数据'!I167),'sheet4-原始数据'!I167,"")</x:f>
        <x:v>0.8378</x:v>
      </x:c>
      <x:c r="V182" s="37" t="n">
        <x:f>IF(OR(NOT(ISNUMBER(T182)),NOT(ISNUMBER(U182))),"",(U182*'sheet1-指标体系'!$J$6-T182*'sheet1-指标体系'!$J$5)/'sheet1-指标体系'!$J$7)</x:f>
        <x:v>0.8332499999999999</x:v>
      </x:c>
      <x:c r="W182" s="17" t="n">
        <x:f>IF(NOT(ISNUMBER(T182)),"",T182*100)</x:f>
        <x:v>84.62</x:v>
      </x:c>
      <x:c r="X182" s="17" t="n">
        <x:f>IF($G182&lt;&gt;"入池","",IF(AND(ISNUMBER(V182),V182&gt;=0,V182&lt;=1),V182*100,IF(MAX(0,($F182-1)*12)&lt;6,100,"")))</x:f>
        <x:v>83.32499999999999</x:v>
      </x:c>
      <x:c r="Y182" s="17" t="n">
        <x:f>IF(NOT(ISNUMBER(W182)),"",IF(NOT(ISNUMBER(X182)),W182,ROUND(W182*'sheet1-指标体系'!$J$8+X182*'sheet1-指标体系'!$J$9,2)))</x:f>
        <x:v>84.1</x:v>
      </x:c>
      <x:c r="Z182" s="37" t="n">
        <x:f>IF(OR(NOT(ISNUMBER(M182)),NOT(ISNUMBER(AD182)),AD182=0),"",ABS(M182/AD182))</x:f>
        <x:v>0.007867683814739955</x:v>
      </x:c>
      <x:c r="AA182" s="35" t="n">
        <x:f>IF(ISNUMBER('sheet4-原始数据'!K167),'sheet4-原始数据'!K167,"")</x:f>
        <x:v>0.0079</x:v>
      </x:c>
      <x:c r="AB182" s="37" t="n">
        <x:f>IF(COUNT(Z182:AA182)=0,"",MAX(Z182:AA182))</x:f>
        <x:v>0.0079</x:v>
      </x:c>
      <x:c r="AC182" s="17" t="n">
        <x:f>IF(OR($G182&lt;&gt;"入池",NOT(ISNUMBER(AB182))),"",IF(COUNTIFS($G$17:$G$219,"入池",$AB$17:$AB$219,"&gt;=-1E+307",$AB$17:$AB$219,"&lt;=1E+307")&lt;=1,100,ROUND(100*(COUNTIFS($G$17:$G$219,"入池",$AB$17:$AB$219,"&lt;=1E+307",$AB$17:$AB$219,"&gt;"&amp;AB182)+COUNTIFS($G$17:$G$219,"入池",$AB$17:$AB$219,AB182,$AB$17:$AB$219,"&gt;=-1E+307",$AB$17:$AB$219,"&lt;=1E+307")/2-0.5)/(COUNTIFS($G$17:$G$219,"入池",$AB$17:$AB$219,"&gt;=-1E+307",$AB$17:$AB$219,"&lt;=1E+307")-1),2)))</x:f>
        <x:v>90.1</x:v>
      </x:c>
      <x:c r="AD182" s="38" t="n">
        <x:f>IF(ISNUMBER('sheet4-原始数据'!M167),'sheet4-原始数据'!M167,"")</x:f>
        <x:v>9.2022</x:v>
      </x:c>
      <x:c r="AE182" s="37" t="str">
        <x:f>IF(OR(NOT(ISNUMBER(P182)),NOT(ISNUMBER(AA182)),NOT(ISNUMBER(Z182))),"",IF(AA182&gt;Z182+'sheet1-指标体系'!$J$11,AA182,""))</x:f>
      </x:c>
      <x:c r="AF182" s="17" t="str">
        <x:f>IF(OR(NOT(ISNUMBER(P182)),NOT(ISNUMBER(AE182)),AE182=0),"",P182/AE182)</x:f>
      </x:c>
      <x:c r="AG182" s="17" t="n">
        <x:f>IF(OR($G182&lt;&gt;"入池",NOT(ISNUMBER(AD182))),"",IF(COUNTIFS($G$17:$G$219,"入池",$AD$17:$AD$219,"&gt;=-1E+307",$AD$17:$AD$219,"&lt;=1E+307")&lt;=1,100,ROUND(100*(COUNTIFS($G$17:$G$219,"入池",$AD$17:$AD$219,"&gt;=-1E+307",$AD$17:$AD$219,"&lt;"&amp;AD182)+COUNTIFS($G$17:$G$219,"入池",$AD$17:$AD$219,AD182,$AD$17:$AD$219,"&gt;=-1E+307",$AD$17:$AD$219,"&lt;=1E+307")/2-0.5)/(COUNTIFS($G$17:$G$219,"入池",$AD$17:$AD$219,"&gt;=-1E+307",$AD$17:$AD$219,"&lt;=1E+307")-1),2)))</x:f>
        <x:v>74.63</x:v>
      </x:c>
      <x:c r="AH182" s="17" t="str">
        <x:f>IF(OR($G182&lt;&gt;"入池",NOT(ISNUMBER(AF182))),"",IF(COUNTIFS($G$17:$G$219,"入池",$AF$17:$AF$219,"&gt;=-1E+307",$AF$17:$AF$219,"&lt;=1E+307")&lt;=1,100,ROUND(100*(COUNTIFS($G$17:$G$219,"入池",$AF$17:$AF$219,"&gt;=-1E+307",$AF$17:$AF$219,"&lt;"&amp;AF182)+COUNTIFS($G$17:$G$219,"入池",$AF$17:$AF$219,AF182,$AF$17:$AF$219,"&gt;=-1E+307",$AF$17:$AF$219,"&lt;=1E+307")/2-0.5)/(COUNTIFS($G$17:$G$219,"入池",$AF$17:$AF$219,"&gt;=-1E+307",$AF$17:$AF$219,"&lt;=1E+307")-1),2)))</x:f>
      </x:c>
      <x:c r="AI182" s="17" t="n">
        <x:f>IF(NOT(ISNUMBER(AG182)),"",IF(NOT(ISNUMBER(AH182)),AG182,ROUND(AG182*'sheet1-指标体系'!$J$8+AH182*'sheet1-指标体系'!$J$9,2)))</x:f>
        <x:v>74.63</x:v>
      </x:c>
      <x:c r="AJ182" s="37" t="n">
        <x:f>IF(NOT(ISNUMBER(F182)),"",IF(F182&gt;=3,IF(NOT(ISNUMBER(N182)),"",N182),IF(NOT(ISNUMBER(O182)),"",O182)))</x:f>
        <x:v>0.0758</x:v>
      </x:c>
      <x:c r="AK182" s="17" t="n">
        <x:f>IF(OR(G182&lt;&gt;"入池",NOT(ISNUMBER(M182)),NOT(ISNUMBER(AJ182))),"",IF(M182&gt;=AJ182,100,IF(AJ182-M182&lt;'sheet1-指标体系'!$J$10,80,60)))</x:f>
        <x:v>80</x:v>
      </x:c>
      <x:c r="AL182" s="17" t="n">
        <x:f>IF(COUNT(I182,K182,L182)=0,"",ROUND((IF(ISNUMBER(I182),I182*40%,0)+IF(ISNUMBER(K182),K182*30%,0)+IF(ISNUMBER(L182),L182*30%,0))/(IF(ISNUMBER(I182),40%,0)+IF(ISNUMBER(K182),30%,0)+IF(ISNUMBER(L182),30%,0)),2))</x:f>
        <x:v>92</x:v>
      </x:c>
      <x:c r="AM182" s="17" t="n">
        <x:f>IF(COUNT(Q182,R182,W182,X182)=0,"",ROUND((IF(ISNUMBER(Q182),Q182*42%,0)+IF(ISNUMBER(R182),R182*28%,0)+IF(ISNUMBER(W182),W182*18%,0)+IF(ISNUMBER(X182),X182*12%,0))/(IF(ISNUMBER(Q182),42%,0)+IF(ISNUMBER(R182),28%,0)+IF(ISNUMBER(W182),18%,0)+IF(ISNUMBER(X182),12%,0)),2))</x:f>
        <x:v>70.21</x:v>
      </x:c>
      <x:c r="AN182" s="17" t="n">
        <x:f>IF(ISNUMBER(AC182),AC182,"")</x:f>
        <x:v>90.1</x:v>
      </x:c>
      <x:c r="AO182" s="17" t="n">
        <x:f>IF(COUNT(AG182,AH182)=0,"",ROUND((IF(ISNUMBER(AG182),AG182*60%,0)+IF(ISNUMBER(AH182),AH182*40%,0))/(IF(ISNUMBER(AG182),60%,0)+IF(ISNUMBER(AH182),40%,0)),2))</x:f>
        <x:v>74.63</x:v>
      </x:c>
      <x:c r="AP182" s="17" t="n">
        <x:f>IF(ISNUMBER(AK182),AK182,"")</x:f>
        <x:v>80</x:v>
      </x:c>
      <x:c r="AQ182" s="39" t="n">
        <x:f>IF(G182&lt;&gt;"入池",0,IF(ISNUMBER(I182),6%,0)+IF(ISNUMBER(K182),4.5%,0)+IF(ISNUMBER(L182),4.5%,0)+IF(ISNUMBER(Q182),8.4%,0)+IF(ISNUMBER(R182),5.6%,0)+IF(ISNUMBER(W182),3.6%,0)+IF(ISNUMBER(X182),2.4%,0)+IF(ISNUMBER(AC182),25%,0)+IF(ISNUMBER(AG182),18%,0)+IF(ISNUMBER(AH182),12%,0)+IF(ISNUMBER(AK182),10%,0))</x:f>
        <x:v>0.88</x:v>
      </x:c>
      <x:c r="AR182" s="17" t="n">
        <x:f>IF(AQ182=0,"",IF(ISNUMBER(I182),I182*6%,0)+IF(ISNUMBER(K182),K182*4.5%,0)+IF(ISNUMBER(L182),L182*4.5%,0)+IF(ISNUMBER(Q182),Q182*8.4%,0)+IF(ISNUMBER(R182),R182*5.6%,0)+IF(ISNUMBER(W182),W182*3.6%,0)+IF(ISNUMBER(X182),X182*2.4%,0)+IF(ISNUMBER(AC182),AC182*25%,0)+IF(ISNUMBER(AG182),AG182*18%,0)+IF(ISNUMBER(AH182),AH182*12%,0)+IF(ISNUMBER(AK182),AK182*10%,0))</x:f>
        <x:v>71.80063999999999</x:v>
      </x:c>
      <x:c r="AS182" s="17" t="n">
        <x:f>IF(AQ182=0,"",ROUND(AR182/AQ182,2))</x:f>
        <x:v>81.59</x:v>
      </x:c>
      <x:c r="AT182" s="40" t="n">
        <x:f>IF(OR(G182&lt;&gt;"入池",NOT(ISNUMBER(AS182))),"",COUNTIFS($G$17:$G$219,"入池",$AS$17:$AS$219,"&gt;"&amp;AS182)+COUNTIFS($G$17:$G$219,"入池",$AS$17:$AS$219,AS182,$AQ$17:$AQ$219,"&gt;"&amp;AQ182)+COUNTIFS($G$17:G182,"入池",$AS$17:AS182,AS182,$AQ$17:AQ182,AQ182))</x:f>
        <x:v>28</x:v>
      </x:c>
      <x:c r="AU182" s="41" t="str">
        <x:f t="shared" si="7">IF(NOT(ISNUMBER(I182)),"管理人规模；","")&amp;IF(J182="","产品规模标识；","")&amp;IF(AND(F182&lt;3,NOT(ISNUMBER(O182))),"R_incep；","")&amp;IF(NOT(ISNUMBER(N182)),"近三年收益；","")&amp;IF(NOT(ISNUMBER(U182)),"近三年胜率；","")&amp;IF(AND(ISNUMBER(V182),OR(V182&lt;0,V182&gt;1)),"胜率窗口口径不一致；","")&amp;IF(NOT(ISNUMBER(AA182)),"近三年回撤；","")&amp;IF(NOT(ISNUMBER(AD182)),"短期卡玛；","")&amp;IF(AND(ISNUMBER(P182),NOT(ISNUMBER(AE182))),"DD_long不可识别；","")</x:f>
        <x:v>DD_long不可识别；</x:v>
      </x:c>
      <x:c r="AV182" s="42" t="n">
        <x:v>10</x:v>
      </x:c>
      <x:c r="AW182" s="19" t="str">
        <x:v>上海殊馥投资管理有限公司</x:v>
      </x:c>
      <x:c r="AX182" s="19" t="str">
        <x:v>2026-06-29</x:v>
      </x:c>
      <x:c r="AY182" s="19" t="str">
        <x:v>https://gs.amac.org.cn/amac-infodisc/res/pof/manager/101000042776.html</x:v>
      </x:c>
      <x:c r="AZ182" s="19" t="str">
        <x:v>殊馥兴义7号私募证券投资基金</x:v>
      </x:c>
      <x:c r="BA182" s="19" t="str">
        <x:v>2025-07-17</x:v>
      </x:c>
      <x:c r="BB182" s="19"/>
      <x:c r="BC182" s="19" t="str">
        <x:v>https://gs.amac.org.cn/amac-infodisc/res/pof/fund/2211291421100191.html</x:v>
      </x:c>
      <x:c r="BD182" s="19" t="str">
        <x:v>已匹配</x:v>
      </x:c>
      <x:c r="BE182"/>
      <x:c r="BF182"/>
    </x:row>
    <x:row r="183" ht="28" customHeight="1">
      <x:c r="A183" s="4" t="n">
        <x:v>167</x:v>
      </x:c>
      <x:c r="B183" s="15" t="str">
        <x:f>'sheet4-原始数据'!A168</x:f>
        <x:v>锐耐复利倍增2号</x:v>
      </x:c>
      <x:c r="C183" s="15" t="str">
        <x:f>'sheet4-原始数据'!B168</x:f>
        <x:v>SXV513</x:v>
      </x:c>
      <x:c r="D183" s="15" t="str">
        <x:f>'sheet4-原始数据'!E168</x:f>
        <x:v>上海锐耐</x:v>
      </x:c>
      <x:c r="E183" s="32" t="n">
        <x:f>IF(ISNUMBER('sheet4-原始数据'!F168),'sheet4-原始数据'!F168,"")</x:f>
        <x:v>44893</x:v>
      </x:c>
      <x:c r="F183" s="17" t="n">
        <x:f>IF(NOT(ISNUMBER(E183)),"",ROUND(('sheet1-指标体系'!$J$23-E183)/365.25,4))</x:f>
        <x:v>3.8001</x:v>
      </x:c>
      <x:c r="G183" s="4" t="str">
        <x:f t="shared" si="6">IF(NOT(ISNUMBER(F183)),"",IF(F183&lt;1,"不入池","入池"))</x:f>
        <x:v>入池</x:v>
      </x:c>
      <x:c r="H183" s="33" t="str">
        <x:v>20-50亿元</x:v>
      </x:c>
      <x:c r="I183" s="17" t="n">
        <x:f>IF(H183="","",IF(ISNUMBER(SEARCH("100亿元以上",H183)),100,IF(OR(ISNUMBER(SEARCH("20-50",H183)),ISNUMBER(SEARCH("50-100",H183)),ISNUMBER(SEARCH("20-100",H183))),90,IF(ISNUMBER(SEARCH("10-20",H183)),80,IF(ISNUMBER(SEARCH("5-10",H183)),70,IF(ISNUMBER(SEARCH("0-5",H183)),60,""))))))</x:f>
        <x:v>90</x:v>
      </x:c>
      <x:c r="J183" s="34" t="str">
        <x:v>无低于1000万元标识</x:v>
      </x:c>
      <x:c r="K183" s="17" t="n">
        <x:f>IF(J183="","",IF(J183="低于1000万元",0,100))</x:f>
        <x:v>100</x:v>
      </x:c>
      <x:c r="L183" s="17" t="n">
        <x:f>IF(NOT(ISNUMBER(F183)),"",IF(F183&lt;1,"",IF(F183&lt;3,70,100)))</x:f>
        <x:v>100</x:v>
      </x:c>
      <x:c r="M183" s="35" t="n">
        <x:f>IF(ISNUMBER('sheet4-原始数据'!G168),'sheet4-原始数据'!G168,"")</x:f>
        <x:v>0.0288</x:v>
      </x:c>
      <x:c r="N183" s="35" t="n">
        <x:f>IF(ISNUMBER('sheet4-原始数据'!H168),'sheet4-原始数据'!H168,"")</x:f>
        <x:v>0.084</x:v>
      </x:c>
      <x:c r="O183" s="36" t="str">
        <x:f>IF(ISNUMBER('sheet4-原始数据'!Q168),'sheet4-原始数据'!Q168,"")</x:f>
      </x:c>
      <x:c r="P183" s="37" t="n">
        <x:f>IF($G183&lt;&gt;"入池","",IF($F183&gt;=3,IF(OR(NOT(ISNUMBER($M183)),NOT(ISNUMBER($N183)),1+$M183&lt;=0,1+$N183&lt;0),"",((1+$N183)^3/(1+$M183))^(1/2)-1),IF(OR($F183&lt;=1,NOT(ISNUMBER($M183)),NOT(ISNUMBER($O183)),1+$M183&lt;=0,1+$O183&lt;0),"",((1+$O183)^$F183/(1+$M183))^(1/($F183-1))-1)))</x:f>
        <x:v>0.11270091585713216</x:v>
      </x:c>
      <x:c r="Q183" s="17" t="n">
        <x:f>IF(OR($G183&lt;&gt;"入池",NOT(ISNUMBER(M183))),"",IF(COUNTIFS($G$17:$G$219,"入池",$M$17:$M$219,"&gt;=-1E+307",$M$17:$M$219,"&lt;=1E+307")&lt;=1,100,ROUND(100*(COUNTIFS($G$17:$G$219,"入池",$M$17:$M$219,"&gt;=-1E+307",$M$17:$M$219,"&lt;"&amp;M183)+COUNTIFS($G$17:$G$219,"入池",$M$17:$M$219,M183,$M$17:$M$219,"&gt;=-1E+307",$M$17:$M$219,"&lt;=1E+307")/2-0.5)/(COUNTIFS($G$17:$G$219,"入池",$M$17:$M$219,"&gt;=-1E+307",$M$17:$M$219,"&lt;=1E+307")-1),2)))</x:f>
        <x:v>32.18</x:v>
      </x:c>
      <x:c r="R183" s="17" t="n">
        <x:f>IF(OR($G183&lt;&gt;"入池",NOT(ISNUMBER(P183))),"",IF(COUNTIFS($G$17:$G$219,"入池",$P$17:$P$219,"&gt;=-1E+307",$P$17:$P$219,"&lt;=1E+307")&lt;=1,100,ROUND(100*(COUNTIFS($G$17:$G$219,"入池",$P$17:$P$219,"&gt;=-1E+307",$P$17:$P$219,"&lt;"&amp;P183)+COUNTIFS($G$17:$G$219,"入池",$P$17:$P$219,P183,$P$17:$P$219,"&gt;=-1E+307",$P$17:$P$219,"&lt;=1E+307")/2-0.5)/(COUNTIFS($G$17:$G$219,"入池",$P$17:$P$219,"&gt;=-1E+307",$P$17:$P$219,"&lt;=1E+307")-1),2)))</x:f>
        <x:v>78.22</x:v>
      </x:c>
      <x:c r="S183" s="17" t="n">
        <x:f>IF(NOT(ISNUMBER(Q183)),"",IF(NOT(ISNUMBER(R183)),Q183,ROUND(Q183*'sheet1-指标体系'!$J$8+R183*'sheet1-指标体系'!$J$9,2)))</x:f>
        <x:v>50.6</x:v>
      </x:c>
      <x:c r="T183" s="35" t="n">
        <x:f>IF(ISNUMBER('sheet4-原始数据'!J168),'sheet4-原始数据'!J168,"")</x:f>
        <x:v>0.5385</x:v>
      </x:c>
      <x:c r="U183" s="35" t="n">
        <x:f>IF(ISNUMBER('sheet4-原始数据'!I168),'sheet4-原始数据'!I168,"")</x:f>
        <x:v>0.6757</x:v>
      </x:c>
      <x:c r="V183" s="37" t="n">
        <x:f>IF(OR(NOT(ISNUMBER(T183)),NOT(ISNUMBER(U183))),"",(U183*'sheet1-指标体系'!$J$6-T183*'sheet1-指标体系'!$J$5)/'sheet1-指标体系'!$J$7)</x:f>
        <x:v>0.7500166666666667</x:v>
      </x:c>
      <x:c r="W183" s="17" t="n">
        <x:f>IF(NOT(ISNUMBER(T183)),"",T183*100)</x:f>
        <x:v>53.849999999999994</x:v>
      </x:c>
      <x:c r="X183" s="17" t="n">
        <x:f>IF($G183&lt;&gt;"入池","",IF(AND(ISNUMBER(V183),V183&gt;=0,V183&lt;=1),V183*100,IF(MAX(0,($F183-1)*12)&lt;6,100,"")))</x:f>
        <x:v>75.00166666666667</x:v>
      </x:c>
      <x:c r="Y183" s="17" t="n">
        <x:f>IF(NOT(ISNUMBER(W183)),"",IF(NOT(ISNUMBER(X183)),W183,ROUND(W183*'sheet1-指标体系'!$J$8+X183*'sheet1-指标体系'!$J$9,2)))</x:f>
        <x:v>62.31</x:v>
      </x:c>
      <x:c r="Z183" s="37" t="n">
        <x:f>IF(OR(NOT(ISNUMBER(M183)),NOT(ISNUMBER(AD183)),AD183=0),"",ABS(M183/AD183))</x:f>
        <x:v>0.04921394395078605</x:v>
      </x:c>
      <x:c r="AA183" s="35" t="n">
        <x:f>IF(ISNUMBER('sheet4-原始数据'!K168),'sheet4-原始数据'!K168,"")</x:f>
        <x:v>0.0492</x:v>
      </x:c>
      <x:c r="AB183" s="37" t="n">
        <x:f>IF(COUNT(Z183:AA183)=0,"",MAX(Z183:AA183))</x:f>
        <x:v>0.04921394395078605</x:v>
      </x:c>
      <x:c r="AC183" s="17" t="n">
        <x:f>IF(OR($G183&lt;&gt;"入池",NOT(ISNUMBER(AB183))),"",IF(COUNTIFS($G$17:$G$219,"入池",$AB$17:$AB$219,"&gt;=-1E+307",$AB$17:$AB$219,"&lt;=1E+307")&lt;=1,100,ROUND(100*(COUNTIFS($G$17:$G$219,"入池",$AB$17:$AB$219,"&lt;=1E+307",$AB$17:$AB$219,"&gt;"&amp;AB183)+COUNTIFS($G$17:$G$219,"入池",$AB$17:$AB$219,AB183,$AB$17:$AB$219,"&gt;=-1E+307",$AB$17:$AB$219,"&lt;=1E+307")/2-0.5)/(COUNTIFS($G$17:$G$219,"入池",$AB$17:$AB$219,"&gt;=-1E+307",$AB$17:$AB$219,"&lt;=1E+307")-1),2)))</x:f>
        <x:v>46.53</x:v>
      </x:c>
      <x:c r="AD183" s="38" t="n">
        <x:f>IF(ISNUMBER('sheet4-原始数据'!M168),'sheet4-原始数据'!M168,"")</x:f>
        <x:v>0.5852</x:v>
      </x:c>
      <x:c r="AE183" s="37" t="str">
        <x:f>IF(OR(NOT(ISNUMBER(P183)),NOT(ISNUMBER(AA183)),NOT(ISNUMBER(Z183))),"",IF(AA183&gt;Z183+'sheet1-指标体系'!$J$11,AA183,""))</x:f>
      </x:c>
      <x:c r="AF183" s="17" t="str">
        <x:f>IF(OR(NOT(ISNUMBER(P183)),NOT(ISNUMBER(AE183)),AE183=0),"",P183/AE183)</x:f>
      </x:c>
      <x:c r="AG183" s="17" t="n">
        <x:f>IF(OR($G183&lt;&gt;"入池",NOT(ISNUMBER(AD183))),"",IF(COUNTIFS($G$17:$G$219,"入池",$AD$17:$AD$219,"&gt;=-1E+307",$AD$17:$AD$219,"&lt;=1E+307")&lt;=1,100,ROUND(100*(COUNTIFS($G$17:$G$219,"入池",$AD$17:$AD$219,"&gt;=-1E+307",$AD$17:$AD$219,"&lt;"&amp;AD183)+COUNTIFS($G$17:$G$219,"入池",$AD$17:$AD$219,AD183,$AD$17:$AD$219,"&gt;=-1E+307",$AD$17:$AD$219,"&lt;=1E+307")/2-0.5)/(COUNTIFS($G$17:$G$219,"入池",$AD$17:$AD$219,"&gt;=-1E+307",$AD$17:$AD$219,"&lt;=1E+307")-1),2)))</x:f>
        <x:v>28.36</x:v>
      </x:c>
      <x:c r="AH183" s="17" t="str">
        <x:f>IF(OR($G183&lt;&gt;"入池",NOT(ISNUMBER(AF183))),"",IF(COUNTIFS($G$17:$G$219,"入池",$AF$17:$AF$219,"&gt;=-1E+307",$AF$17:$AF$219,"&lt;=1E+307")&lt;=1,100,ROUND(100*(COUNTIFS($G$17:$G$219,"入池",$AF$17:$AF$219,"&gt;=-1E+307",$AF$17:$AF$219,"&lt;"&amp;AF183)+COUNTIFS($G$17:$G$219,"入池",$AF$17:$AF$219,AF183,$AF$17:$AF$219,"&gt;=-1E+307",$AF$17:$AF$219,"&lt;=1E+307")/2-0.5)/(COUNTIFS($G$17:$G$219,"入池",$AF$17:$AF$219,"&gt;=-1E+307",$AF$17:$AF$219,"&lt;=1E+307")-1),2)))</x:f>
      </x:c>
      <x:c r="AI183" s="17" t="n">
        <x:f>IF(NOT(ISNUMBER(AG183)),"",IF(NOT(ISNUMBER(AH183)),AG183,ROUND(AG183*'sheet1-指标体系'!$J$8+AH183*'sheet1-指标体系'!$J$9,2)))</x:f>
        <x:v>28.36</x:v>
      </x:c>
      <x:c r="AJ183" s="37" t="n">
        <x:f>IF(NOT(ISNUMBER(F183)),"",IF(F183&gt;=3,IF(NOT(ISNUMBER(N183)),"",N183),IF(NOT(ISNUMBER(O183)),"",O183)))</x:f>
        <x:v>0.084</x:v>
      </x:c>
      <x:c r="AK183" s="17" t="n">
        <x:f>IF(OR(G183&lt;&gt;"入池",NOT(ISNUMBER(M183)),NOT(ISNUMBER(AJ183))),"",IF(M183&gt;=AJ183,100,IF(AJ183-M183&lt;'sheet1-指标体系'!$J$10,80,60)))</x:f>
        <x:v>80</x:v>
      </x:c>
      <x:c r="AL183" s="17" t="n">
        <x:f>IF(COUNT(I183,K183,L183)=0,"",ROUND((IF(ISNUMBER(I183),I183*40%,0)+IF(ISNUMBER(K183),K183*30%,0)+IF(ISNUMBER(L183),L183*30%,0))/(IF(ISNUMBER(I183),40%,0)+IF(ISNUMBER(K183),30%,0)+IF(ISNUMBER(L183),30%,0)),2))</x:f>
        <x:v>96</x:v>
      </x:c>
      <x:c r="AM183" s="17" t="n">
        <x:f>IF(COUNT(Q183,R183,W183,X183)=0,"",ROUND((IF(ISNUMBER(Q183),Q183*42%,0)+IF(ISNUMBER(R183),R183*28%,0)+IF(ISNUMBER(W183),W183*18%,0)+IF(ISNUMBER(X183),X183*12%,0))/(IF(ISNUMBER(Q183),42%,0)+IF(ISNUMBER(R183),28%,0)+IF(ISNUMBER(W183),18%,0)+IF(ISNUMBER(X183),12%,0)),2))</x:f>
        <x:v>54.11</x:v>
      </x:c>
      <x:c r="AN183" s="17" t="n">
        <x:f>IF(ISNUMBER(AC183),AC183,"")</x:f>
        <x:v>46.53</x:v>
      </x:c>
      <x:c r="AO183" s="17" t="n">
        <x:f>IF(COUNT(AG183,AH183)=0,"",ROUND((IF(ISNUMBER(AG183),AG183*60%,0)+IF(ISNUMBER(AH183),AH183*40%,0))/(IF(ISNUMBER(AG183),60%,0)+IF(ISNUMBER(AH183),40%,0)),2))</x:f>
        <x:v>28.36</x:v>
      </x:c>
      <x:c r="AP183" s="17" t="n">
        <x:f>IF(ISNUMBER(AK183),AK183,"")</x:f>
        <x:v>80</x:v>
      </x:c>
      <x:c r="AQ183" s="39" t="n">
        <x:f>IF(G183&lt;&gt;"入池",0,IF(ISNUMBER(I183),6%,0)+IF(ISNUMBER(K183),4.5%,0)+IF(ISNUMBER(L183),4.5%,0)+IF(ISNUMBER(Q183),8.4%,0)+IF(ISNUMBER(R183),5.6%,0)+IF(ISNUMBER(W183),3.6%,0)+IF(ISNUMBER(X183),2.4%,0)+IF(ISNUMBER(AC183),25%,0)+IF(ISNUMBER(AG183),18%,0)+IF(ISNUMBER(AH183),12%,0)+IF(ISNUMBER(AK183),10%,0))</x:f>
        <x:v>0.88</x:v>
      </x:c>
      <x:c r="AR183" s="17" t="n">
        <x:f>IF(AQ183=0,"",IF(ISNUMBER(I183),I183*6%,0)+IF(ISNUMBER(K183),K183*4.5%,0)+IF(ISNUMBER(L183),L183*4.5%,0)+IF(ISNUMBER(Q183),Q183*8.4%,0)+IF(ISNUMBER(R183),R183*5.6%,0)+IF(ISNUMBER(W183),W183*3.6%,0)+IF(ISNUMBER(X183),X183*2.4%,0)+IF(ISNUMBER(AC183),AC183*25%,0)+IF(ISNUMBER(AG183),AG183*18%,0)+IF(ISNUMBER(AH183),AH183*12%,0)+IF(ISNUMBER(AK183),AK183*10%,0))</x:f>
        <x:v>49.959379999999996</x:v>
      </x:c>
      <x:c r="AS183" s="17" t="n">
        <x:f>IF(AQ183=0,"",ROUND(AR183/AQ183,2))</x:f>
        <x:v>56.77</x:v>
      </x:c>
      <x:c r="AT183" s="40" t="n">
        <x:f>IF(OR(G183&lt;&gt;"入池",NOT(ISNUMBER(AS183))),"",COUNTIFS($G$17:$G$219,"入池",$AS$17:$AS$219,"&gt;"&amp;AS183)+COUNTIFS($G$17:$G$219,"入池",$AS$17:$AS$219,AS183,$AQ$17:$AQ$219,"&gt;"&amp;AQ183)+COUNTIFS($G$17:G183,"入池",$AS$17:AS183,AS183,$AQ$17:AQ183,AQ183))</x:f>
        <x:v>121</x:v>
      </x:c>
      <x:c r="AU183" s="41" t="str">
        <x:f t="shared" si="7">IF(NOT(ISNUMBER(I183)),"管理人规模；","")&amp;IF(J183="","产品规模标识；","")&amp;IF(AND(F183&lt;3,NOT(ISNUMBER(O183))),"R_incep；","")&amp;IF(NOT(ISNUMBER(N183)),"近三年收益；","")&amp;IF(NOT(ISNUMBER(U183)),"近三年胜率；","")&amp;IF(AND(ISNUMBER(V183),OR(V183&lt;0,V183&gt;1)),"胜率窗口口径不一致；","")&amp;IF(NOT(ISNUMBER(AA183)),"近三年回撤；","")&amp;IF(NOT(ISNUMBER(AD183)),"短期卡玛；","")&amp;IF(AND(ISNUMBER(P183),NOT(ISNUMBER(AE183))),"DD_long不可识别；","")</x:f>
        <x:v>DD_long不可识别；</x:v>
      </x:c>
      <x:c r="AV183" s="42" t="n">
        <x:v>20</x:v>
      </x:c>
      <x:c r="AW183" s="19" t="str">
        <x:v>上海锐耐私募基金管理有限公司</x:v>
      </x:c>
      <x:c r="AX183" s="19" t="str">
        <x:v>2026-05-14</x:v>
      </x:c>
      <x:c r="AY183" s="19" t="str">
        <x:v>https://gs.amac.org.cn/amac-infodisc/res/pof/manager/2011201413105709.html</x:v>
      </x:c>
      <x:c r="AZ183" s="19" t="str">
        <x:v>锐耐复利倍增2号私募证券投资基金</x:v>
      </x:c>
      <x:c r="BA183" s="19" t="str">
        <x:v>2025-03-06</x:v>
      </x:c>
      <x:c r="BB183" s="19"/>
      <x:c r="BC183" s="19" t="str">
        <x:v>https://gs.amac.org.cn/amac-infodisc/res/pof/fund/2212051126108903.html</x:v>
      </x:c>
      <x:c r="BD183" s="19" t="str">
        <x:v>已匹配</x:v>
      </x:c>
      <x:c r="BE183"/>
      <x:c r="BF183"/>
    </x:row>
    <x:row r="184" ht="28" customHeight="1">
      <x:c r="A184" s="4" t="n">
        <x:v>168</x:v>
      </x:c>
      <x:c r="B184" s="15" t="str">
        <x:f>'sheet4-原始数据'!A169</x:f>
        <x:v>乘舟紫荆1号</x:v>
      </x:c>
      <x:c r="C184" s="15" t="str">
        <x:f>'sheet4-原始数据'!B169</x:f>
        <x:v>SXW399</x:v>
      </x:c>
      <x:c r="D184" s="15" t="str">
        <x:f>'sheet4-原始数据'!E169</x:f>
        <x:v>上海乘舟投资</x:v>
      </x:c>
      <x:c r="E184" s="32" t="n">
        <x:f>IF(ISNUMBER('sheet4-原始数据'!F169),'sheet4-原始数据'!F169,"")</x:f>
        <x:v>44896</x:v>
      </x:c>
      <x:c r="F184" s="17" t="n">
        <x:f>IF(NOT(ISNUMBER(E184)),"",ROUND(('sheet1-指标体系'!$J$23-E184)/365.25,4))</x:f>
        <x:v>3.7919</x:v>
      </x:c>
      <x:c r="G184" s="4" t="str">
        <x:f t="shared" si="6">IF(NOT(ISNUMBER(F184)),"",IF(F184&lt;1,"不入池","入池"))</x:f>
        <x:v>入池</x:v>
      </x:c>
      <x:c r="H184" s="33" t="str">
        <x:v>5-10亿元</x:v>
      </x:c>
      <x:c r="I184" s="17" t="n">
        <x:f>IF(H184="","",IF(ISNUMBER(SEARCH("100亿元以上",H184)),100,IF(OR(ISNUMBER(SEARCH("20-50",H184)),ISNUMBER(SEARCH("50-100",H184)),ISNUMBER(SEARCH("20-100",H184))),90,IF(ISNUMBER(SEARCH("10-20",H184)),80,IF(ISNUMBER(SEARCH("5-10",H184)),70,IF(ISNUMBER(SEARCH("0-5",H184)),60,""))))))</x:f>
        <x:v>70</x:v>
      </x:c>
      <x:c r="J184" s="34" t="str">
        <x:v>无低于1000万元标识</x:v>
      </x:c>
      <x:c r="K184" s="17" t="n">
        <x:f>IF(J184="","",IF(J184="低于1000万元",0,100))</x:f>
        <x:v>100</x:v>
      </x:c>
      <x:c r="L184" s="17" t="n">
        <x:f>IF(NOT(ISNUMBER(F184)),"",IF(F184&lt;1,"",IF(F184&lt;3,70,100)))</x:f>
        <x:v>100</x:v>
      </x:c>
      <x:c r="M184" s="35" t="n">
        <x:f>IF(ISNUMBER('sheet4-原始数据'!G169),'sheet4-原始数据'!G169,"")</x:f>
        <x:v>-0.019299999999999998</x:v>
      </x:c>
      <x:c r="N184" s="35" t="n">
        <x:f>IF(ISNUMBER('sheet4-原始数据'!H169),'sheet4-原始数据'!H169,"")</x:f>
        <x:v>0.0603</x:v>
      </x:c>
      <x:c r="O184" s="36" t="str">
        <x:f>IF(ISNUMBER('sheet4-原始数据'!Q169),'sheet4-原始数据'!Q169,"")</x:f>
      </x:c>
      <x:c r="P184" s="37" t="n">
        <x:f>IF($G184&lt;&gt;"入池","",IF($F184&gt;=3,IF(OR(NOT(ISNUMBER($M184)),NOT(ISNUMBER($N184)),1+$M184&lt;=0,1+$N184&lt;0),"",((1+$N184)^3/(1+$M184))^(1/2)-1),IF(OR($F184&lt;=1,NOT(ISNUMBER($M184)),NOT(ISNUMBER($O184)),1+$M184&lt;=0,1+$O184&lt;0),"",((1+$O184)^$F184/(1+$M184))^(1/($F184-1))-1)))</x:f>
        <x:v>0.10249100405288503</x:v>
      </x:c>
      <x:c r="Q184" s="17" t="n">
        <x:f>IF(OR($G184&lt;&gt;"入池",NOT(ISNUMBER(M184))),"",IF(COUNTIFS($G$17:$G$219,"入池",$M$17:$M$219,"&gt;=-1E+307",$M$17:$M$219,"&lt;=1E+307")&lt;=1,100,ROUND(100*(COUNTIFS($G$17:$G$219,"入池",$M$17:$M$219,"&gt;=-1E+307",$M$17:$M$219,"&lt;"&amp;M184)+COUNTIFS($G$17:$G$219,"入池",$M$17:$M$219,M184,$M$17:$M$219,"&gt;=-1E+307",$M$17:$M$219,"&lt;=1E+307")/2-0.5)/(COUNTIFS($G$17:$G$219,"入池",$M$17:$M$219,"&gt;=-1E+307",$M$17:$M$219,"&lt;=1E+307")-1),2)))</x:f>
        <x:v>12.87</x:v>
      </x:c>
      <x:c r="R184" s="17" t="n">
        <x:f>IF(OR($G184&lt;&gt;"入池",NOT(ISNUMBER(P184))),"",IF(COUNTIFS($G$17:$G$219,"入池",$P$17:$P$219,"&gt;=-1E+307",$P$17:$P$219,"&lt;=1E+307")&lt;=1,100,ROUND(100*(COUNTIFS($G$17:$G$219,"入池",$P$17:$P$219,"&gt;=-1E+307",$P$17:$P$219,"&lt;"&amp;P184)+COUNTIFS($G$17:$G$219,"入池",$P$17:$P$219,P184,$P$17:$P$219,"&gt;=-1E+307",$P$17:$P$219,"&lt;=1E+307")/2-0.5)/(COUNTIFS($G$17:$G$219,"入池",$P$17:$P$219,"&gt;=-1E+307",$P$17:$P$219,"&lt;=1E+307")-1),2)))</x:f>
        <x:v>73.27</x:v>
      </x:c>
      <x:c r="S184" s="17" t="n">
        <x:f>IF(NOT(ISNUMBER(Q184)),"",IF(NOT(ISNUMBER(R184)),Q184,ROUND(Q184*'sheet1-指标体系'!$J$8+R184*'sheet1-指标体系'!$J$9,2)))</x:f>
        <x:v>37.03</x:v>
      </x:c>
      <x:c r="T184" s="35" t="n">
        <x:f>IF(ISNUMBER('sheet4-原始数据'!J169),'sheet4-原始数据'!J169,"")</x:f>
        <x:v>0.7692</x:v>
      </x:c>
      <x:c r="U184" s="35" t="n">
        <x:f>IF(ISNUMBER('sheet4-原始数据'!I169),'sheet4-原始数据'!I169,"")</x:f>
        <x:v>0.8378</x:v>
      </x:c>
      <x:c r="V184" s="37" t="n">
        <x:f>IF(OR(NOT(ISNUMBER(T184)),NOT(ISNUMBER(U184))),"",(U184*'sheet1-指标体系'!$J$6-T184*'sheet1-指标体系'!$J$5)/'sheet1-指标体系'!$J$7)</x:f>
        <x:v>0.8749583333333334</x:v>
      </x:c>
      <x:c r="W184" s="17" t="n">
        <x:f>IF(NOT(ISNUMBER(T184)),"",T184*100)</x:f>
        <x:v>76.92</x:v>
      </x:c>
      <x:c r="X184" s="17" t="n">
        <x:f>IF($G184&lt;&gt;"入池","",IF(AND(ISNUMBER(V184),V184&gt;=0,V184&lt;=1),V184*100,IF(MAX(0,($F184-1)*12)&lt;6,100,"")))</x:f>
        <x:v>87.49583333333334</x:v>
      </x:c>
      <x:c r="Y184" s="17" t="n">
        <x:f>IF(NOT(ISNUMBER(W184)),"",IF(NOT(ISNUMBER(X184)),W184,ROUND(W184*'sheet1-指标体系'!$J$8+X184*'sheet1-指标体系'!$J$9,2)))</x:f>
        <x:v>81.15</x:v>
      </x:c>
      <x:c r="Z184" s="37" t="n">
        <x:f>IF(OR(NOT(ISNUMBER(M184)),NOT(ISNUMBER(AD184)),AD184=0),"",ABS(M184/AD184))</x:f>
        <x:v>0.09999999999999999</x:v>
      </x:c>
      <x:c r="AA184" s="35" t="n">
        <x:f>IF(ISNUMBER('sheet4-原始数据'!K169),'sheet4-原始数据'!K169,"")</x:f>
        <x:v>0.1</x:v>
      </x:c>
      <x:c r="AB184" s="37" t="n">
        <x:f>IF(COUNT(Z184:AA184)=0,"",MAX(Z184:AA184))</x:f>
        <x:v>0.1</x:v>
      </x:c>
      <x:c r="AC184" s="17" t="n">
        <x:f>IF(OR($G184&lt;&gt;"入池",NOT(ISNUMBER(AB184))),"",IF(COUNTIFS($G$17:$G$219,"入池",$AB$17:$AB$219,"&gt;=-1E+307",$AB$17:$AB$219,"&lt;=1E+307")&lt;=1,100,ROUND(100*(COUNTIFS($G$17:$G$219,"入池",$AB$17:$AB$219,"&lt;=1E+307",$AB$17:$AB$219,"&gt;"&amp;AB184)+COUNTIFS($G$17:$G$219,"入池",$AB$17:$AB$219,AB184,$AB$17:$AB$219,"&gt;=-1E+307",$AB$17:$AB$219,"&lt;=1E+307")/2-0.5)/(COUNTIFS($G$17:$G$219,"入池",$AB$17:$AB$219,"&gt;=-1E+307",$AB$17:$AB$219,"&lt;=1E+307")-1),2)))</x:f>
        <x:v>26.24</x:v>
      </x:c>
      <x:c r="AD184" s="38" t="n">
        <x:f>IF(ISNUMBER('sheet4-原始数据'!M169),'sheet4-原始数据'!M169,"")</x:f>
        <x:v>-0.193</x:v>
      </x:c>
      <x:c r="AE184" s="37" t="str">
        <x:f>IF(OR(NOT(ISNUMBER(P184)),NOT(ISNUMBER(AA184)),NOT(ISNUMBER(Z184))),"",IF(AA184&gt;Z184+'sheet1-指标体系'!$J$11,AA184,""))</x:f>
      </x:c>
      <x:c r="AF184" s="17" t="str">
        <x:f>IF(OR(NOT(ISNUMBER(P184)),NOT(ISNUMBER(AE184)),AE184=0),"",P184/AE184)</x:f>
      </x:c>
      <x:c r="AG184" s="17" t="n">
        <x:f>IF(OR($G184&lt;&gt;"入池",NOT(ISNUMBER(AD184))),"",IF(COUNTIFS($G$17:$G$219,"入池",$AD$17:$AD$219,"&gt;=-1E+307",$AD$17:$AD$219,"&lt;=1E+307")&lt;=1,100,ROUND(100*(COUNTIFS($G$17:$G$219,"入池",$AD$17:$AD$219,"&gt;=-1E+307",$AD$17:$AD$219,"&lt;"&amp;AD184)+COUNTIFS($G$17:$G$219,"入池",$AD$17:$AD$219,AD184,$AD$17:$AD$219,"&gt;=-1E+307",$AD$17:$AD$219,"&lt;=1E+307")/2-0.5)/(COUNTIFS($G$17:$G$219,"入池",$AD$17:$AD$219,"&gt;=-1E+307",$AD$17:$AD$219,"&lt;=1E+307")-1),2)))</x:f>
        <x:v>13.93</x:v>
      </x:c>
      <x:c r="AH184" s="17" t="str">
        <x:f>IF(OR($G184&lt;&gt;"入池",NOT(ISNUMBER(AF184))),"",IF(COUNTIFS($G$17:$G$219,"入池",$AF$17:$AF$219,"&gt;=-1E+307",$AF$17:$AF$219,"&lt;=1E+307")&lt;=1,100,ROUND(100*(COUNTIFS($G$17:$G$219,"入池",$AF$17:$AF$219,"&gt;=-1E+307",$AF$17:$AF$219,"&lt;"&amp;AF184)+COUNTIFS($G$17:$G$219,"入池",$AF$17:$AF$219,AF184,$AF$17:$AF$219,"&gt;=-1E+307",$AF$17:$AF$219,"&lt;=1E+307")/2-0.5)/(COUNTIFS($G$17:$G$219,"入池",$AF$17:$AF$219,"&gt;=-1E+307",$AF$17:$AF$219,"&lt;=1E+307")-1),2)))</x:f>
      </x:c>
      <x:c r="AI184" s="17" t="n">
        <x:f>IF(NOT(ISNUMBER(AG184)),"",IF(NOT(ISNUMBER(AH184)),AG184,ROUND(AG184*'sheet1-指标体系'!$J$8+AH184*'sheet1-指标体系'!$J$9,2)))</x:f>
        <x:v>13.93</x:v>
      </x:c>
      <x:c r="AJ184" s="37" t="n">
        <x:f>IF(NOT(ISNUMBER(F184)),"",IF(F184&gt;=3,IF(NOT(ISNUMBER(N184)),"",N184),IF(NOT(ISNUMBER(O184)),"",O184)))</x:f>
        <x:v>0.0603</x:v>
      </x:c>
      <x:c r="AK184" s="17" t="n">
        <x:f>IF(OR(G184&lt;&gt;"入池",NOT(ISNUMBER(M184)),NOT(ISNUMBER(AJ184))),"",IF(M184&gt;=AJ184,100,IF(AJ184-M184&lt;'sheet1-指标体系'!$J$10,80,60)))</x:f>
        <x:v>80</x:v>
      </x:c>
      <x:c r="AL184" s="17" t="n">
        <x:f>IF(COUNT(I184,K184,L184)=0,"",ROUND((IF(ISNUMBER(I184),I184*40%,0)+IF(ISNUMBER(K184),K184*30%,0)+IF(ISNUMBER(L184),L184*30%,0))/(IF(ISNUMBER(I184),40%,0)+IF(ISNUMBER(K184),30%,0)+IF(ISNUMBER(L184),30%,0)),2))</x:f>
        <x:v>88</x:v>
      </x:c>
      <x:c r="AM184" s="17" t="n">
        <x:f>IF(COUNT(Q184,R184,W184,X184)=0,"",ROUND((IF(ISNUMBER(Q184),Q184*42%,0)+IF(ISNUMBER(R184),R184*28%,0)+IF(ISNUMBER(W184),W184*18%,0)+IF(ISNUMBER(X184),X184*12%,0))/(IF(ISNUMBER(Q184),42%,0)+IF(ISNUMBER(R184),28%,0)+IF(ISNUMBER(W184),18%,0)+IF(ISNUMBER(X184),12%,0)),2))</x:f>
        <x:v>50.27</x:v>
      </x:c>
      <x:c r="AN184" s="17" t="n">
        <x:f>IF(ISNUMBER(AC184),AC184,"")</x:f>
        <x:v>26.24</x:v>
      </x:c>
      <x:c r="AO184" s="17" t="n">
        <x:f>IF(COUNT(AG184,AH184)=0,"",ROUND((IF(ISNUMBER(AG184),AG184*60%,0)+IF(ISNUMBER(AH184),AH184*40%,0))/(IF(ISNUMBER(AG184),60%,0)+IF(ISNUMBER(AH184),40%,0)),2))</x:f>
        <x:v>13.93</x:v>
      </x:c>
      <x:c r="AP184" s="17" t="n">
        <x:f>IF(ISNUMBER(AK184),AK184,"")</x:f>
        <x:v>80</x:v>
      </x:c>
      <x:c r="AQ184" s="39" t="n">
        <x:f>IF(G184&lt;&gt;"入池",0,IF(ISNUMBER(I184),6%,0)+IF(ISNUMBER(K184),4.5%,0)+IF(ISNUMBER(L184),4.5%,0)+IF(ISNUMBER(Q184),8.4%,0)+IF(ISNUMBER(R184),5.6%,0)+IF(ISNUMBER(W184),3.6%,0)+IF(ISNUMBER(X184),2.4%,0)+IF(ISNUMBER(AC184),25%,0)+IF(ISNUMBER(AG184),18%,0)+IF(ISNUMBER(AH184),12%,0)+IF(ISNUMBER(AK184),10%,0))</x:f>
        <x:v>0.88</x:v>
      </x:c>
      <x:c r="AR184" s="17" t="n">
        <x:f>IF(AQ184=0,"",IF(ISNUMBER(I184),I184*6%,0)+IF(ISNUMBER(K184),K184*4.5%,0)+IF(ISNUMBER(L184),L184*4.5%,0)+IF(ISNUMBER(Q184),Q184*8.4%,0)+IF(ISNUMBER(R184),R184*5.6%,0)+IF(ISNUMBER(W184),W184*3.6%,0)+IF(ISNUMBER(X184),X184*2.4%,0)+IF(ISNUMBER(AC184),AC184*25%,0)+IF(ISNUMBER(AG184),AG184*18%,0)+IF(ISNUMBER(AH184),AH184*12%,0)+IF(ISNUMBER(AK184),AK184*10%,0))</x:f>
        <x:v>40.32062</x:v>
      </x:c>
      <x:c r="AS184" s="17" t="n">
        <x:f>IF(AQ184=0,"",ROUND(AR184/AQ184,2))</x:f>
        <x:v>45.82</x:v>
      </x:c>
      <x:c r="AT184" s="40" t="n">
        <x:f>IF(OR(G184&lt;&gt;"入池",NOT(ISNUMBER(AS184))),"",COUNTIFS($G$17:$G$219,"入池",$AS$17:$AS$219,"&gt;"&amp;AS184)+COUNTIFS($G$17:$G$219,"入池",$AS$17:$AS$219,AS184,$AQ$17:$AQ$219,"&gt;"&amp;AQ184)+COUNTIFS($G$17:G184,"入池",$AS$17:AS184,AS184,$AQ$17:AQ184,AQ184))</x:f>
        <x:v>156</x:v>
      </x:c>
      <x:c r="AU184" s="41" t="str">
        <x:f t="shared" si="7">IF(NOT(ISNUMBER(I184)),"管理人规模；","")&amp;IF(J184="","产品规模标识；","")&amp;IF(AND(F184&lt;3,NOT(ISNUMBER(O184))),"R_incep；","")&amp;IF(NOT(ISNUMBER(N184)),"近三年收益；","")&amp;IF(NOT(ISNUMBER(U184)),"近三年胜率；","")&amp;IF(AND(ISNUMBER(V184),OR(V184&lt;0,V184&gt;1)),"胜率窗口口径不一致；","")&amp;IF(NOT(ISNUMBER(AA184)),"近三年回撤；","")&amp;IF(NOT(ISNUMBER(AD184)),"短期卡玛；","")&amp;IF(AND(ISNUMBER(P184),NOT(ISNUMBER(AE184))),"DD_long不可识别；","")</x:f>
        <x:v>DD_long不可识别；</x:v>
      </x:c>
      <x:c r="AV184" s="42" t="n">
        <x:v>5</x:v>
      </x:c>
      <x:c r="AW184" s="19" t="str">
        <x:v>上海乘舟投资管理有限公司</x:v>
      </x:c>
      <x:c r="AX184" s="19" t="str">
        <x:v>2026-07-21</x:v>
      </x:c>
      <x:c r="AY184" s="19" t="str">
        <x:v>https://gs.amac.org.cn/amac-infodisc/res/pof/manager/2003191500102072.html</x:v>
      </x:c>
      <x:c r="AZ184" s="19" t="str">
        <x:v>乘舟紫荆1号私募证券投资基金</x:v>
      </x:c>
      <x:c r="BA184" s="19" t="str">
        <x:v>2022-12-07</x:v>
      </x:c>
      <x:c r="BB184" s="19"/>
      <x:c r="BC184" s="19" t="str">
        <x:v>https://gs.amac.org.cn/amac-infodisc/res/pof/fund/2212071732102944.html</x:v>
      </x:c>
      <x:c r="BD184" s="19" t="str">
        <x:v>已匹配</x:v>
      </x:c>
      <x:c r="BE184"/>
      <x:c r="BF184"/>
    </x:row>
    <x:row r="185" ht="28" customHeight="1">
      <x:c r="A185" s="4" t="n">
        <x:v>169</x:v>
      </x:c>
      <x:c r="B185" s="15" t="str">
        <x:f>'sheet4-原始数据'!A170</x:f>
        <x:v>岳鑫遥3号</x:v>
      </x:c>
      <x:c r="C185" s="15" t="str">
        <x:f>'sheet4-原始数据'!B170</x:f>
        <x:v>SXW818</x:v>
      </x:c>
      <x:c r="D185" s="15" t="str">
        <x:f>'sheet4-原始数据'!E170</x:f>
        <x:v>北京岳鑫遥</x:v>
      </x:c>
      <x:c r="E185" s="32" t="n">
        <x:f>IF(ISNUMBER('sheet4-原始数据'!F170),'sheet4-原始数据'!F170,"")</x:f>
        <x:v>44907</x:v>
      </x:c>
      <x:c r="F185" s="17" t="n">
        <x:f>IF(NOT(ISNUMBER(E185)),"",ROUND(('sheet1-指标体系'!$J$23-E185)/365.25,4))</x:f>
        <x:v>3.7618</x:v>
      </x:c>
      <x:c r="G185" s="4" t="str">
        <x:f t="shared" si="6">IF(NOT(ISNUMBER(F185)),"",IF(F185&lt;1,"不入池","入池"))</x:f>
        <x:v>入池</x:v>
      </x:c>
      <x:c r="H185" s="33" t="str">
        <x:v>5-10亿元</x:v>
      </x:c>
      <x:c r="I185" s="17" t="n">
        <x:f>IF(H185="","",IF(ISNUMBER(SEARCH("100亿元以上",H185)),100,IF(OR(ISNUMBER(SEARCH("20-50",H185)),ISNUMBER(SEARCH("50-100",H185)),ISNUMBER(SEARCH("20-100",H185))),90,IF(ISNUMBER(SEARCH("10-20",H185)),80,IF(ISNUMBER(SEARCH("5-10",H185)),70,IF(ISNUMBER(SEARCH("0-5",H185)),60,""))))))</x:f>
        <x:v>70</x:v>
      </x:c>
      <x:c r="J185" s="34" t="str">
        <x:v>无低于1000万元标识</x:v>
      </x:c>
      <x:c r="K185" s="17" t="n">
        <x:f>IF(J185="","",IF(J185="低于1000万元",0,100))</x:f>
        <x:v>100</x:v>
      </x:c>
      <x:c r="L185" s="17" t="n">
        <x:f>IF(NOT(ISNUMBER(F185)),"",IF(F185&lt;1,"",IF(F185&lt;3,70,100)))</x:f>
        <x:v>100</x:v>
      </x:c>
      <x:c r="M185" s="35" t="n">
        <x:f>IF(ISNUMBER('sheet4-原始数据'!G170),'sheet4-原始数据'!G170,"")</x:f>
        <x:v>-0.1536</x:v>
      </x:c>
      <x:c r="N185" s="35" t="n">
        <x:f>IF(ISNUMBER('sheet4-原始数据'!H170),'sheet4-原始数据'!H170,"")</x:f>
        <x:v>0.10679999999999999</x:v>
      </x:c>
      <x:c r="O185" s="36" t="str">
        <x:f>IF(ISNUMBER('sheet4-原始数据'!Q170),'sheet4-原始数据'!Q170,"")</x:f>
      </x:c>
      <x:c r="P185" s="37" t="n">
        <x:f>IF($G185&lt;&gt;"入池","",IF($F185&gt;=3,IF(OR(NOT(ISNUMBER($M185)),NOT(ISNUMBER($N185)),1+$M185&lt;=0,1+$N185&lt;0),"",((1+$N185)^3/(1+$M185))^(1/2)-1),IF(OR($F185&lt;=1,NOT(ISNUMBER($M185)),NOT(ISNUMBER($O185)),1+$M185&lt;=0,1+$O185&lt;0),"",((1+$O185)^$F185/(1+$M185))^(1/($F185-1))-1)))</x:f>
        <x:v>0.26565662965774295</x:v>
      </x:c>
      <x:c r="Q185" s="17" t="n">
        <x:f>IF(OR($G185&lt;&gt;"入池",NOT(ISNUMBER(M185))),"",IF(COUNTIFS($G$17:$G$219,"入池",$M$17:$M$219,"&gt;=-1E+307",$M$17:$M$219,"&lt;=1E+307")&lt;=1,100,ROUND(100*(COUNTIFS($G$17:$G$219,"入池",$M$17:$M$219,"&gt;=-1E+307",$M$17:$M$219,"&lt;"&amp;M185)+COUNTIFS($G$17:$G$219,"入池",$M$17:$M$219,M185,$M$17:$M$219,"&gt;=-1E+307",$M$17:$M$219,"&lt;=1E+307")/2-0.5)/(COUNTIFS($G$17:$G$219,"入池",$M$17:$M$219,"&gt;=-1E+307",$M$17:$M$219,"&lt;=1E+307")-1),2)))</x:f>
        <x:v>2.72</x:v>
      </x:c>
      <x:c r="R185" s="17" t="n">
        <x:f>IF(OR($G185&lt;&gt;"入池",NOT(ISNUMBER(P185))),"",IF(COUNTIFS($G$17:$G$219,"入池",$P$17:$P$219,"&gt;=-1E+307",$P$17:$P$219,"&lt;=1E+307")&lt;=1,100,ROUND(100*(COUNTIFS($G$17:$G$219,"入池",$P$17:$P$219,"&gt;=-1E+307",$P$17:$P$219,"&lt;"&amp;P185)+COUNTIFS($G$17:$G$219,"入池",$P$17:$P$219,P185,$P$17:$P$219,"&gt;=-1E+307",$P$17:$P$219,"&lt;=1E+307")/2-0.5)/(COUNTIFS($G$17:$G$219,"入池",$P$17:$P$219,"&gt;=-1E+307",$P$17:$P$219,"&lt;=1E+307")-1),2)))</x:f>
        <x:v>97.77</x:v>
      </x:c>
      <x:c r="S185" s="17" t="n">
        <x:f>IF(NOT(ISNUMBER(Q185)),"",IF(NOT(ISNUMBER(R185)),Q185,ROUND(Q185*'sheet1-指标体系'!$J$8+R185*'sheet1-指标体系'!$J$9,2)))</x:f>
        <x:v>40.74</x:v>
      </x:c>
      <x:c r="T185" s="35" t="n">
        <x:f>IF(ISNUMBER('sheet4-原始数据'!J170),'sheet4-原始数据'!J170,"")</x:f>
        <x:v>0.5385</x:v>
      </x:c>
      <x:c r="U185" s="35" t="n">
        <x:f>IF(ISNUMBER('sheet4-原始数据'!I170),'sheet4-原始数据'!I170,"")</x:f>
        <x:v>0.7297</x:v>
      </x:c>
      <x:c r="V185" s="37" t="n">
        <x:f>IF(OR(NOT(ISNUMBER(T185)),NOT(ISNUMBER(U185))),"",(U185*'sheet1-指标体系'!$J$6-T185*'sheet1-指标体系'!$J$5)/'sheet1-指标体系'!$J$7)</x:f>
        <x:v>0.8332666666666667</x:v>
      </x:c>
      <x:c r="W185" s="17" t="n">
        <x:f>IF(NOT(ISNUMBER(T185)),"",T185*100)</x:f>
        <x:v>53.849999999999994</x:v>
      </x:c>
      <x:c r="X185" s="17" t="n">
        <x:f>IF($G185&lt;&gt;"入池","",IF(AND(ISNUMBER(V185),V185&gt;=0,V185&lt;=1),V185*100,IF(MAX(0,($F185-1)*12)&lt;6,100,"")))</x:f>
        <x:v>83.32666666666667</x:v>
      </x:c>
      <x:c r="Y185" s="17" t="n">
        <x:f>IF(NOT(ISNUMBER(W185)),"",IF(NOT(ISNUMBER(X185)),W185,ROUND(W185*'sheet1-指标体系'!$J$8+X185*'sheet1-指标体系'!$J$9,2)))</x:f>
        <x:v>65.64</x:v>
      </x:c>
      <x:c r="Z185" s="37" t="n">
        <x:f>IF(OR(NOT(ISNUMBER(M185)),NOT(ISNUMBER(AD185)),AD185=0),"",ABS(M185/AD185))</x:f>
        <x:v>0.32357278281019586</x:v>
      </x:c>
      <x:c r="AA185" s="35" t="n">
        <x:f>IF(ISNUMBER('sheet4-原始数据'!K170),'sheet4-原始数据'!K170,"")</x:f>
        <x:v>0.3236</x:v>
      </x:c>
      <x:c r="AB185" s="37" t="n">
        <x:f>IF(COUNT(Z185:AA185)=0,"",MAX(Z185:AA185))</x:f>
        <x:v>0.3236</x:v>
      </x:c>
      <x:c r="AC185" s="17" t="n">
        <x:f>IF(OR($G185&lt;&gt;"入池",NOT(ISNUMBER(AB185))),"",IF(COUNTIFS($G$17:$G$219,"入池",$AB$17:$AB$219,"&gt;=-1E+307",$AB$17:$AB$219,"&lt;=1E+307")&lt;=1,100,ROUND(100*(COUNTIFS($G$17:$G$219,"入池",$AB$17:$AB$219,"&lt;=1E+307",$AB$17:$AB$219,"&gt;"&amp;AB185)+COUNTIFS($G$17:$G$219,"入池",$AB$17:$AB$219,AB185,$AB$17:$AB$219,"&gt;=-1E+307",$AB$17:$AB$219,"&lt;=1E+307")/2-0.5)/(COUNTIFS($G$17:$G$219,"入池",$AB$17:$AB$219,"&gt;=-1E+307",$AB$17:$AB$219,"&lt;=1E+307")-1),2)))</x:f>
        <x:v>3.22</x:v>
      </x:c>
      <x:c r="AD185" s="38" t="n">
        <x:f>IF(ISNUMBER('sheet4-原始数据'!M170),'sheet4-原始数据'!M170,"")</x:f>
        <x:v>-0.4747</x:v>
      </x:c>
      <x:c r="AE185" s="37" t="str">
        <x:f>IF(OR(NOT(ISNUMBER(P185)),NOT(ISNUMBER(AA185)),NOT(ISNUMBER(Z185))),"",IF(AA185&gt;Z185+'sheet1-指标体系'!$J$11,AA185,""))</x:f>
      </x:c>
      <x:c r="AF185" s="17" t="str">
        <x:f>IF(OR(NOT(ISNUMBER(P185)),NOT(ISNUMBER(AE185)),AE185=0),"",P185/AE185)</x:f>
      </x:c>
      <x:c r="AG185" s="17" t="n">
        <x:f>IF(OR($G185&lt;&gt;"入池",NOT(ISNUMBER(AD185))),"",IF(COUNTIFS($G$17:$G$219,"入池",$AD$17:$AD$219,"&gt;=-1E+307",$AD$17:$AD$219,"&lt;=1E+307")&lt;=1,100,ROUND(100*(COUNTIFS($G$17:$G$219,"入池",$AD$17:$AD$219,"&gt;=-1E+307",$AD$17:$AD$219,"&lt;"&amp;AD185)+COUNTIFS($G$17:$G$219,"入池",$AD$17:$AD$219,AD185,$AD$17:$AD$219,"&gt;=-1E+307",$AD$17:$AD$219,"&lt;=1E+307")/2-0.5)/(COUNTIFS($G$17:$G$219,"入池",$AD$17:$AD$219,"&gt;=-1E+307",$AD$17:$AD$219,"&lt;=1E+307")-1),2)))</x:f>
        <x:v>9.2</x:v>
      </x:c>
      <x:c r="AH185" s="17" t="str">
        <x:f>IF(OR($G185&lt;&gt;"入池",NOT(ISNUMBER(AF185))),"",IF(COUNTIFS($G$17:$G$219,"入池",$AF$17:$AF$219,"&gt;=-1E+307",$AF$17:$AF$219,"&lt;=1E+307")&lt;=1,100,ROUND(100*(COUNTIFS($G$17:$G$219,"入池",$AF$17:$AF$219,"&gt;=-1E+307",$AF$17:$AF$219,"&lt;"&amp;AF185)+COUNTIFS($G$17:$G$219,"入池",$AF$17:$AF$219,AF185,$AF$17:$AF$219,"&gt;=-1E+307",$AF$17:$AF$219,"&lt;=1E+307")/2-0.5)/(COUNTIFS($G$17:$G$219,"入池",$AF$17:$AF$219,"&gt;=-1E+307",$AF$17:$AF$219,"&lt;=1E+307")-1),2)))</x:f>
      </x:c>
      <x:c r="AI185" s="17" t="n">
        <x:f>IF(NOT(ISNUMBER(AG185)),"",IF(NOT(ISNUMBER(AH185)),AG185,ROUND(AG185*'sheet1-指标体系'!$J$8+AH185*'sheet1-指标体系'!$J$9,2)))</x:f>
        <x:v>9.2</x:v>
      </x:c>
      <x:c r="AJ185" s="37" t="n">
        <x:f>IF(NOT(ISNUMBER(F185)),"",IF(F185&gt;=3,IF(NOT(ISNUMBER(N185)),"",N185),IF(NOT(ISNUMBER(O185)),"",O185)))</x:f>
        <x:v>0.10679999999999999</x:v>
      </x:c>
      <x:c r="AK185" s="17" t="n">
        <x:f>IF(OR(G185&lt;&gt;"入池",NOT(ISNUMBER(M185)),NOT(ISNUMBER(AJ185))),"",IF(M185&gt;=AJ185,100,IF(AJ185-M185&lt;'sheet1-指标体系'!$J$10,80,60)))</x:f>
        <x:v>60</x:v>
      </x:c>
      <x:c r="AL185" s="17" t="n">
        <x:f>IF(COUNT(I185,K185,L185)=0,"",ROUND((IF(ISNUMBER(I185),I185*40%,0)+IF(ISNUMBER(K185),K185*30%,0)+IF(ISNUMBER(L185),L185*30%,0))/(IF(ISNUMBER(I185),40%,0)+IF(ISNUMBER(K185),30%,0)+IF(ISNUMBER(L185),30%,0)),2))</x:f>
        <x:v>88</x:v>
      </x:c>
      <x:c r="AM185" s="17" t="n">
        <x:f>IF(COUNT(Q185,R185,W185,X185)=0,"",ROUND((IF(ISNUMBER(Q185),Q185*42%,0)+IF(ISNUMBER(R185),R185*28%,0)+IF(ISNUMBER(W185),W185*18%,0)+IF(ISNUMBER(X185),X185*12%,0))/(IF(ISNUMBER(Q185),42%,0)+IF(ISNUMBER(R185),28%,0)+IF(ISNUMBER(W185),18%,0)+IF(ISNUMBER(X185),12%,0)),2))</x:f>
        <x:v>48.21</x:v>
      </x:c>
      <x:c r="AN185" s="17" t="n">
        <x:f>IF(ISNUMBER(AC185),AC185,"")</x:f>
        <x:v>3.22</x:v>
      </x:c>
      <x:c r="AO185" s="17" t="n">
        <x:f>IF(COUNT(AG185,AH185)=0,"",ROUND((IF(ISNUMBER(AG185),AG185*60%,0)+IF(ISNUMBER(AH185),AH185*40%,0))/(IF(ISNUMBER(AG185),60%,0)+IF(ISNUMBER(AH185),40%,0)),2))</x:f>
        <x:v>9.2</x:v>
      </x:c>
      <x:c r="AP185" s="17" t="n">
        <x:f>IF(ISNUMBER(AK185),AK185,"")</x:f>
        <x:v>60</x:v>
      </x:c>
      <x:c r="AQ185" s="39" t="n">
        <x:f>IF(G185&lt;&gt;"入池",0,IF(ISNUMBER(I185),6%,0)+IF(ISNUMBER(K185),4.5%,0)+IF(ISNUMBER(L185),4.5%,0)+IF(ISNUMBER(Q185),8.4%,0)+IF(ISNUMBER(R185),5.6%,0)+IF(ISNUMBER(W185),3.6%,0)+IF(ISNUMBER(X185),2.4%,0)+IF(ISNUMBER(AC185),25%,0)+IF(ISNUMBER(AG185),18%,0)+IF(ISNUMBER(AH185),12%,0)+IF(ISNUMBER(AK185),10%,0))</x:f>
        <x:v>0.88</x:v>
      </x:c>
      <x:c r="AR185" s="17" t="n">
        <x:f>IF(AQ185=0,"",IF(ISNUMBER(I185),I185*6%,0)+IF(ISNUMBER(K185),K185*4.5%,0)+IF(ISNUMBER(L185),L185*4.5%,0)+IF(ISNUMBER(Q185),Q185*8.4%,0)+IF(ISNUMBER(R185),R185*5.6%,0)+IF(ISNUMBER(W185),W185*3.6%,0)+IF(ISNUMBER(X185),X185*2.4%,0)+IF(ISNUMBER(AC185),AC185*25%,0)+IF(ISNUMBER(AG185),AG185*18%,0)+IF(ISNUMBER(AH185),AH185*12%,0)+IF(ISNUMBER(AK185),AK185*10%,0))</x:f>
        <x:v>31.303039999999996</x:v>
      </x:c>
      <x:c r="AS185" s="17" t="n">
        <x:f>IF(AQ185=0,"",ROUND(AR185/AQ185,2))</x:f>
        <x:v>35.57</x:v>
      </x:c>
      <x:c r="AT185" s="40" t="n">
        <x:f>IF(OR(G185&lt;&gt;"入池",NOT(ISNUMBER(AS185))),"",COUNTIFS($G$17:$G$219,"入池",$AS$17:$AS$219,"&gt;"&amp;AS185)+COUNTIFS($G$17:$G$219,"入池",$AS$17:$AS$219,AS185,$AQ$17:$AQ$219,"&gt;"&amp;AQ185)+COUNTIFS($G$17:G185,"入池",$AS$17:AS185,AS185,$AQ$17:AQ185,AQ185))</x:f>
        <x:v>183</x:v>
      </x:c>
      <x:c r="AU185" s="41" t="str">
        <x:f t="shared" si="7">IF(NOT(ISNUMBER(I185)),"管理人规模；","")&amp;IF(J185="","产品规模标识；","")&amp;IF(AND(F185&lt;3,NOT(ISNUMBER(O185))),"R_incep；","")&amp;IF(NOT(ISNUMBER(N185)),"近三年收益；","")&amp;IF(NOT(ISNUMBER(U185)),"近三年胜率；","")&amp;IF(AND(ISNUMBER(V185),OR(V185&lt;0,V185&gt;1)),"胜率窗口口径不一致；","")&amp;IF(NOT(ISNUMBER(AA185)),"近三年回撤；","")&amp;IF(NOT(ISNUMBER(AD185)),"短期卡玛；","")&amp;IF(AND(ISNUMBER(P185),NOT(ISNUMBER(AE185))),"DD_long不可识别；","")</x:f>
        <x:v>DD_long不可识别；</x:v>
      </x:c>
      <x:c r="AV185" s="42" t="n">
        <x:v>5</x:v>
      </x:c>
      <x:c r="AW185" s="19" t="str">
        <x:v>岳鑫遥（北京）私募基金管理有限公司</x:v>
      </x:c>
      <x:c r="AX185" s="19" t="str">
        <x:v>2026-05-07</x:v>
      </x:c>
      <x:c r="AY185" s="19" t="str">
        <x:v>https://gs.amac.org.cn/amac-infodisc/res/pof/manager/2207041830121644.html</x:v>
      </x:c>
      <x:c r="AZ185" s="19" t="str">
        <x:v>岳鑫遥3号私募证券投资基金</x:v>
      </x:c>
      <x:c r="BA185" s="19" t="str">
        <x:v>2022-12-23</x:v>
      </x:c>
      <x:c r="BB185" s="19"/>
      <x:c r="BC185" s="19" t="str">
        <x:v>https://gs.amac.org.cn/amac-infodisc/res/pof/fund/2212231712100194.html</x:v>
      </x:c>
      <x:c r="BD185" s="19" t="str">
        <x:v>已匹配</x:v>
      </x:c>
      <x:c r="BE185"/>
      <x:c r="BF185"/>
    </x:row>
    <x:row r="186" ht="28" customHeight="1">
      <x:c r="A186" s="4" t="n">
        <x:v>170</x:v>
      </x:c>
      <x:c r="B186" s="15" t="str">
        <x:f>'sheet4-原始数据'!A171</x:f>
        <x:v>雁丰卓衍1号</x:v>
      </x:c>
      <x:c r="C186" s="15" t="str">
        <x:f>'sheet4-原始数据'!B171</x:f>
        <x:v>SXX404</x:v>
      </x:c>
      <x:c r="D186" s="15" t="str">
        <x:f>'sheet4-原始数据'!E171</x:f>
        <x:v>上海雁丰投资</x:v>
      </x:c>
      <x:c r="E186" s="32" t="n">
        <x:f>IF(ISNUMBER('sheet4-原始数据'!F171),'sheet4-原始数据'!F171,"")</x:f>
        <x:v>44930</x:v>
      </x:c>
      <x:c r="F186" s="17" t="n">
        <x:f>IF(NOT(ISNUMBER(E186)),"",ROUND(('sheet1-指标体系'!$J$23-E186)/365.25,4))</x:f>
        <x:v>3.6988</x:v>
      </x:c>
      <x:c r="G186" s="4" t="str">
        <x:f t="shared" si="6">IF(NOT(ISNUMBER(F186)),"",IF(F186&lt;1,"不入池","入池"))</x:f>
        <x:v>入池</x:v>
      </x:c>
      <x:c r="H186" s="33" t="str">
        <x:v>0-5亿元</x:v>
      </x:c>
      <x:c r="I186" s="17" t="n">
        <x:f>IF(H186="","",IF(ISNUMBER(SEARCH("100亿元以上",H186)),100,IF(OR(ISNUMBER(SEARCH("20-50",H186)),ISNUMBER(SEARCH("50-100",H186)),ISNUMBER(SEARCH("20-100",H186))),90,IF(ISNUMBER(SEARCH("10-20",H186)),80,IF(ISNUMBER(SEARCH("5-10",H186)),70,IF(ISNUMBER(SEARCH("0-5",H186)),60,""))))))</x:f>
        <x:v>60</x:v>
      </x:c>
      <x:c r="J186" s="34" t="str">
        <x:v>无低于1000万元标识</x:v>
      </x:c>
      <x:c r="K186" s="17" t="n">
        <x:f>IF(J186="","",IF(J186="低于1000万元",0,100))</x:f>
        <x:v>100</x:v>
      </x:c>
      <x:c r="L186" s="17" t="n">
        <x:f>IF(NOT(ISNUMBER(F186)),"",IF(F186&lt;1,"",IF(F186&lt;3,70,100)))</x:f>
        <x:v>100</x:v>
      </x:c>
      <x:c r="M186" s="35" t="n">
        <x:f>IF(ISNUMBER('sheet4-原始数据'!G171),'sheet4-原始数据'!G171,"")</x:f>
        <x:v>0.1925</x:v>
      </x:c>
      <x:c r="N186" s="35" t="n">
        <x:f>IF(ISNUMBER('sheet4-原始数据'!H171),'sheet4-原始数据'!H171,"")</x:f>
        <x:v>0.09960000000000001</x:v>
      </x:c>
      <x:c r="O186" s="36" t="str">
        <x:f>IF(ISNUMBER('sheet4-原始数据'!Q171),'sheet4-原始数据'!Q171,"")</x:f>
      </x:c>
      <x:c r="P186" s="37" t="n">
        <x:f>IF($G186&lt;&gt;"入池","",IF($F186&gt;=3,IF(OR(NOT(ISNUMBER($M186)),NOT(ISNUMBER($N186)),1+$M186&lt;=0,1+$N186&lt;0),"",((1+$N186)^3/(1+$M186))^(1/2)-1),IF(OR($F186&lt;=1,NOT(ISNUMBER($M186)),NOT(ISNUMBER($O186)),1+$M186&lt;=0,1+$O186&lt;0),"",((1+$O186)^$F186/(1+$M186))^(1/($F186-1))-1)))</x:f>
        <x:v>0.055900274790533944</x:v>
      </x:c>
      <x:c r="Q186" s="17" t="n">
        <x:f>IF(OR($G186&lt;&gt;"入池",NOT(ISNUMBER(M186))),"",IF(COUNTIFS($G$17:$G$219,"入池",$M$17:$M$219,"&gt;=-1E+307",$M$17:$M$219,"&lt;=1E+307")&lt;=1,100,ROUND(100*(COUNTIFS($G$17:$G$219,"入池",$M$17:$M$219,"&gt;=-1E+307",$M$17:$M$219,"&lt;"&amp;M186)+COUNTIFS($G$17:$G$219,"入池",$M$17:$M$219,M186,$M$17:$M$219,"&gt;=-1E+307",$M$17:$M$219,"&lt;=1E+307")/2-0.5)/(COUNTIFS($G$17:$G$219,"入池",$M$17:$M$219,"&gt;=-1E+307",$M$17:$M$219,"&lt;=1E+307")-1),2)))</x:f>
        <x:v>93.07</x:v>
      </x:c>
      <x:c r="R186" s="17" t="n">
        <x:f>IF(OR($G186&lt;&gt;"入池",NOT(ISNUMBER(P186))),"",IF(COUNTIFS($G$17:$G$219,"入池",$P$17:$P$219,"&gt;=-1E+307",$P$17:$P$219,"&lt;=1E+307")&lt;=1,100,ROUND(100*(COUNTIFS($G$17:$G$219,"入池",$P$17:$P$219,"&gt;=-1E+307",$P$17:$P$219,"&lt;"&amp;P186)+COUNTIFS($G$17:$G$219,"入池",$P$17:$P$219,P186,$P$17:$P$219,"&gt;=-1E+307",$P$17:$P$219,"&lt;=1E+307")/2-0.5)/(COUNTIFS($G$17:$G$219,"入池",$P$17:$P$219,"&gt;=-1E+307",$P$17:$P$219,"&lt;=1E+307")-1),2)))</x:f>
        <x:v>44.06</x:v>
      </x:c>
      <x:c r="S186" s="17" t="n">
        <x:f>IF(NOT(ISNUMBER(Q186)),"",IF(NOT(ISNUMBER(R186)),Q186,ROUND(Q186*'sheet1-指标体系'!$J$8+R186*'sheet1-指标体系'!$J$9,2)))</x:f>
        <x:v>73.47</x:v>
      </x:c>
      <x:c r="T186" s="35" t="n">
        <x:f>IF(ISNUMBER('sheet4-原始数据'!J171),'sheet4-原始数据'!J171,"")</x:f>
        <x:v>0.7692</x:v>
      </x:c>
      <x:c r="U186" s="35" t="n">
        <x:f>IF(ISNUMBER('sheet4-原始数据'!I171),'sheet4-原始数据'!I171,"")</x:f>
        <x:v>0.7027</x:v>
      </x:c>
      <x:c r="V186" s="37" t="n">
        <x:f>IF(OR(NOT(ISNUMBER(T186)),NOT(ISNUMBER(U186))),"",(U186*'sheet1-指标体系'!$J$6-T186*'sheet1-指标体系'!$J$5)/'sheet1-指标体系'!$J$7)</x:f>
        <x:v>0.6666791666666668</x:v>
      </x:c>
      <x:c r="W186" s="17" t="n">
        <x:f>IF(NOT(ISNUMBER(T186)),"",T186*100)</x:f>
        <x:v>76.92</x:v>
      </x:c>
      <x:c r="X186" s="17" t="n">
        <x:f>IF($G186&lt;&gt;"入池","",IF(AND(ISNUMBER(V186),V186&gt;=0,V186&lt;=1),V186*100,IF(MAX(0,($F186-1)*12)&lt;6,100,"")))</x:f>
        <x:v>66.66791666666668</x:v>
      </x:c>
      <x:c r="Y186" s="17" t="n">
        <x:f>IF(NOT(ISNUMBER(W186)),"",IF(NOT(ISNUMBER(X186)),W186,ROUND(W186*'sheet1-指标体系'!$J$8+X186*'sheet1-指标体系'!$J$9,2)))</x:f>
        <x:v>72.82</x:v>
      </x:c>
      <x:c r="Z186" s="37" t="n">
        <x:f>IF(OR(NOT(ISNUMBER(M186)),NOT(ISNUMBER(AD186)),AD186=0),"",ABS(M186/AD186))</x:f>
        <x:v>0.021866799950018743</x:v>
      </x:c>
      <x:c r="AA186" s="35" t="n">
        <x:f>IF(ISNUMBER('sheet4-原始数据'!K171),'sheet4-原始数据'!K171,"")</x:f>
        <x:v>0.0559</x:v>
      </x:c>
      <x:c r="AB186" s="37" t="n">
        <x:f>IF(COUNT(Z186:AA186)=0,"",MAX(Z186:AA186))</x:f>
        <x:v>0.0559</x:v>
      </x:c>
      <x:c r="AC186" s="17" t="n">
        <x:f>IF(OR($G186&lt;&gt;"入池",NOT(ISNUMBER(AB186))),"",IF(COUNTIFS($G$17:$G$219,"入池",$AB$17:$AB$219,"&gt;=-1E+307",$AB$17:$AB$219,"&lt;=1E+307")&lt;=1,100,ROUND(100*(COUNTIFS($G$17:$G$219,"入池",$AB$17:$AB$219,"&lt;=1E+307",$AB$17:$AB$219,"&gt;"&amp;AB186)+COUNTIFS($G$17:$G$219,"入池",$AB$17:$AB$219,AB186,$AB$17:$AB$219,"&gt;=-1E+307",$AB$17:$AB$219,"&lt;=1E+307")/2-0.5)/(COUNTIFS($G$17:$G$219,"入池",$AB$17:$AB$219,"&gt;=-1E+307",$AB$17:$AB$219,"&lt;=1E+307")-1),2)))</x:f>
        <x:v>41.58</x:v>
      </x:c>
      <x:c r="AD186" s="38" t="n">
        <x:f>IF(ISNUMBER('sheet4-原始数据'!M171),'sheet4-原始数据'!M171,"")</x:f>
        <x:v>8.8033</x:v>
      </x:c>
      <x:c r="AE186" s="37" t="n">
        <x:f>IF(OR(NOT(ISNUMBER(P186)),NOT(ISNUMBER(AA186)),NOT(ISNUMBER(Z186))),"",IF(AA186&gt;Z186+'sheet1-指标体系'!$J$11,AA186,""))</x:f>
        <x:v>0.0559</x:v>
      </x:c>
      <x:c r="AF186" s="17" t="n">
        <x:f>IF(OR(NOT(ISNUMBER(P186)),NOT(ISNUMBER(AE186)),AE186=0),"",P186/AE186)</x:f>
        <x:v>1.0000049157519488</x:v>
      </x:c>
      <x:c r="AG186" s="17" t="n">
        <x:f>IF(OR($G186&lt;&gt;"入池",NOT(ISNUMBER(AD186))),"",IF(COUNTIFS($G$17:$G$219,"入池",$AD$17:$AD$219,"&gt;=-1E+307",$AD$17:$AD$219,"&lt;=1E+307")&lt;=1,100,ROUND(100*(COUNTIFS($G$17:$G$219,"入池",$AD$17:$AD$219,"&gt;=-1E+307",$AD$17:$AD$219,"&lt;"&amp;AD186)+COUNTIFS($G$17:$G$219,"入池",$AD$17:$AD$219,AD186,$AD$17:$AD$219,"&gt;=-1E+307",$AD$17:$AD$219,"&lt;=1E+307")/2-0.5)/(COUNTIFS($G$17:$G$219,"入池",$AD$17:$AD$219,"&gt;=-1E+307",$AD$17:$AD$219,"&lt;=1E+307")-1),2)))</x:f>
        <x:v>72.64</x:v>
      </x:c>
      <x:c r="AH186" s="17" t="n">
        <x:f>IF(OR($G186&lt;&gt;"入池",NOT(ISNUMBER(AF186))),"",IF(COUNTIFS($G$17:$G$219,"入池",$AF$17:$AF$219,"&gt;=-1E+307",$AF$17:$AF$219,"&lt;=1E+307")&lt;=1,100,ROUND(100*(COUNTIFS($G$17:$G$219,"入池",$AF$17:$AF$219,"&gt;=-1E+307",$AF$17:$AF$219,"&lt;"&amp;AF186)+COUNTIFS($G$17:$G$219,"入池",$AF$17:$AF$219,AF186,$AF$17:$AF$219,"&gt;=-1E+307",$AF$17:$AF$219,"&lt;=1E+307")/2-0.5)/(COUNTIFS($G$17:$G$219,"入池",$AF$17:$AF$219,"&gt;=-1E+307",$AF$17:$AF$219,"&lt;=1E+307")-1),2)))</x:f>
        <x:v>41.61</x:v>
      </x:c>
      <x:c r="AI186" s="17" t="n">
        <x:f>IF(NOT(ISNUMBER(AG186)),"",IF(NOT(ISNUMBER(AH186)),AG186,ROUND(AG186*'sheet1-指标体系'!$J$8+AH186*'sheet1-指标体系'!$J$9,2)))</x:f>
        <x:v>60.23</x:v>
      </x:c>
      <x:c r="AJ186" s="37" t="n">
        <x:f>IF(NOT(ISNUMBER(F186)),"",IF(F186&gt;=3,IF(NOT(ISNUMBER(N186)),"",N186),IF(NOT(ISNUMBER(O186)),"",O186)))</x:f>
        <x:v>0.09960000000000001</x:v>
      </x:c>
      <x:c r="AK186" s="17" t="n">
        <x:f>IF(OR(G186&lt;&gt;"入池",NOT(ISNUMBER(M186)),NOT(ISNUMBER(AJ186))),"",IF(M186&gt;=AJ186,100,IF(AJ186-M186&lt;'sheet1-指标体系'!$J$10,80,60)))</x:f>
        <x:v>100</x:v>
      </x:c>
      <x:c r="AL186" s="17" t="n">
        <x:f>IF(COUNT(I186,K186,L186)=0,"",ROUND((IF(ISNUMBER(I186),I186*40%,0)+IF(ISNUMBER(K186),K186*30%,0)+IF(ISNUMBER(L186),L186*30%,0))/(IF(ISNUMBER(I186),40%,0)+IF(ISNUMBER(K186),30%,0)+IF(ISNUMBER(L186),30%,0)),2))</x:f>
        <x:v>84</x:v>
      </x:c>
      <x:c r="AM186" s="17" t="n">
        <x:f>IF(COUNT(Q186,R186,W186,X186)=0,"",ROUND((IF(ISNUMBER(Q186),Q186*42%,0)+IF(ISNUMBER(R186),R186*28%,0)+IF(ISNUMBER(W186),W186*18%,0)+IF(ISNUMBER(X186),X186*12%,0))/(IF(ISNUMBER(Q186),42%,0)+IF(ISNUMBER(R186),28%,0)+IF(ISNUMBER(W186),18%,0)+IF(ISNUMBER(X186),12%,0)),2))</x:f>
        <x:v>73.27</x:v>
      </x:c>
      <x:c r="AN186" s="17" t="n">
        <x:f>IF(ISNUMBER(AC186),AC186,"")</x:f>
        <x:v>41.58</x:v>
      </x:c>
      <x:c r="AO186" s="17" t="n">
        <x:f>IF(COUNT(AG186,AH186)=0,"",ROUND((IF(ISNUMBER(AG186),AG186*60%,0)+IF(ISNUMBER(AH186),AH186*40%,0))/(IF(ISNUMBER(AG186),60%,0)+IF(ISNUMBER(AH186),40%,0)),2))</x:f>
        <x:v>60.23</x:v>
      </x:c>
      <x:c r="AP186" s="17" t="n">
        <x:f>IF(ISNUMBER(AK186),AK186,"")</x:f>
        <x:v>100</x:v>
      </x:c>
      <x:c r="AQ186" s="39" t="n">
        <x:f>IF(G186&lt;&gt;"入池",0,IF(ISNUMBER(I186),6%,0)+IF(ISNUMBER(K186),4.5%,0)+IF(ISNUMBER(L186),4.5%,0)+IF(ISNUMBER(Q186),8.4%,0)+IF(ISNUMBER(R186),5.6%,0)+IF(ISNUMBER(W186),3.6%,0)+IF(ISNUMBER(X186),2.4%,0)+IF(ISNUMBER(AC186),25%,0)+IF(ISNUMBER(AG186),18%,0)+IF(ISNUMBER(AH186),12%,0)+IF(ISNUMBER(AK186),10%,0))</x:f>
        <x:v>1</x:v>
      </x:c>
      <x:c r="AR186" s="17" t="n">
        <x:f>IF(AQ186=0,"",IF(ISNUMBER(I186),I186*6%,0)+IF(ISNUMBER(K186),K186*4.5%,0)+IF(ISNUMBER(L186),L186*4.5%,0)+IF(ISNUMBER(Q186),Q186*8.4%,0)+IF(ISNUMBER(R186),R186*5.6%,0)+IF(ISNUMBER(W186),W186*3.6%,0)+IF(ISNUMBER(X186),X186*2.4%,0)+IF(ISNUMBER(AC186),AC186*25%,0)+IF(ISNUMBER(AG186),AG186*18%,0)+IF(ISNUMBER(AH186),AH186*12%,0)+IF(ISNUMBER(AK186),AK186*10%,0))</x:f>
        <x:v>65.71779</x:v>
      </x:c>
      <x:c r="AS186" s="17" t="n">
        <x:f>IF(AQ186=0,"",ROUND(AR186/AQ186,2))</x:f>
        <x:v>65.72</x:v>
      </x:c>
      <x:c r="AT186" s="40" t="n">
        <x:f>IF(OR(G186&lt;&gt;"入池",NOT(ISNUMBER(AS186))),"",COUNTIFS($G$17:$G$219,"入池",$AS$17:$AS$219,"&gt;"&amp;AS186)+COUNTIFS($G$17:$G$219,"入池",$AS$17:$AS$219,AS186,$AQ$17:$AQ$219,"&gt;"&amp;AQ186)+COUNTIFS($G$17:G186,"入池",$AS$17:AS186,AS186,$AQ$17:AQ186,AQ186))</x:f>
        <x:v>88</x:v>
      </x:c>
      <x:c r="AU186" s="41" t="str">
        <x:f t="shared" si="7">IF(NOT(ISNUMBER(I186)),"管理人规模；","")&amp;IF(J186="","产品规模标识；","")&amp;IF(AND(F186&lt;3,NOT(ISNUMBER(O186))),"R_incep；","")&amp;IF(NOT(ISNUMBER(N186)),"近三年收益；","")&amp;IF(NOT(ISNUMBER(U186)),"近三年胜率；","")&amp;IF(AND(ISNUMBER(V186),OR(V186&lt;0,V186&gt;1)),"胜率窗口口径不一致；","")&amp;IF(NOT(ISNUMBER(AA186)),"近三年回撤；","")&amp;IF(NOT(ISNUMBER(AD186)),"短期卡玛；","")&amp;IF(AND(ISNUMBER(P186),NOT(ISNUMBER(AE186))),"DD_long不可识别；","")</x:f>
      </x:c>
      <x:c r="AV186" s="42" t="n">
        <x:v>0</x:v>
      </x:c>
      <x:c r="AW186" s="19" t="str">
        <x:v>上海雁丰投资管理有限公司</x:v>
      </x:c>
      <x:c r="AX186" s="19" t="str">
        <x:v>2026-01-14</x:v>
      </x:c>
      <x:c r="AY186" s="19" t="str">
        <x:v>https://gs.amac.org.cn/amac-infodisc/res/pof/manager/101000007795.html</x:v>
      </x:c>
      <x:c r="AZ186" s="19" t="str">
        <x:v>雁丰卓衍1号私募证券投资基金</x:v>
      </x:c>
      <x:c r="BA186" s="19" t="str">
        <x:v>2026-08-28</x:v>
      </x:c>
      <x:c r="BB186" s="19"/>
      <x:c r="BC186" s="19" t="str">
        <x:v>https://gs.amac.org.cn/amac-infodisc/res/pof/fund/2301040921105586.html</x:v>
      </x:c>
      <x:c r="BD186" s="19" t="str">
        <x:v>已匹配</x:v>
      </x:c>
      <x:c r="BE186"/>
      <x:c r="BF186"/>
    </x:row>
    <x:row r="187" ht="28" customHeight="1">
      <x:c r="A187" s="4" t="n">
        <x:v>171</x:v>
      </x:c>
      <x:c r="B187" s="15" t="str">
        <x:f>'sheet4-原始数据'!A172</x:f>
        <x:v>殊馥兴义8号</x:v>
      </x:c>
      <x:c r="C187" s="15" t="str">
        <x:f>'sheet4-原始数据'!B172</x:f>
        <x:v>SZA394</x:v>
      </x:c>
      <x:c r="D187" s="15" t="str">
        <x:f>'sheet4-原始数据'!E172</x:f>
        <x:v>上海殊馥投资</x:v>
      </x:c>
      <x:c r="E187" s="32" t="n">
        <x:f>IF(ISNUMBER('sheet4-原始数据'!F172),'sheet4-原始数据'!F172,"")</x:f>
        <x:v>44917</x:v>
      </x:c>
      <x:c r="F187" s="17" t="n">
        <x:f>IF(NOT(ISNUMBER(E187)),"",ROUND(('sheet1-指标体系'!$J$23-E187)/365.25,4))</x:f>
        <x:v>3.7344</x:v>
      </x:c>
      <x:c r="G187" s="4" t="str">
        <x:f t="shared" si="6">IF(NOT(ISNUMBER(F187)),"",IF(F187&lt;1,"不入池","入池"))</x:f>
        <x:v>入池</x:v>
      </x:c>
      <x:c r="H187" s="33" t="str">
        <x:v>10-20亿元</x:v>
      </x:c>
      <x:c r="I187" s="17" t="n">
        <x:f>IF(H187="","",IF(ISNUMBER(SEARCH("100亿元以上",H187)),100,IF(OR(ISNUMBER(SEARCH("20-50",H187)),ISNUMBER(SEARCH("50-100",H187)),ISNUMBER(SEARCH("20-100",H187))),90,IF(ISNUMBER(SEARCH("10-20",H187)),80,IF(ISNUMBER(SEARCH("5-10",H187)),70,IF(ISNUMBER(SEARCH("0-5",H187)),60,""))))))</x:f>
        <x:v>80</x:v>
      </x:c>
      <x:c r="J187" s="34" t="str">
        <x:v>无低于1000万元标识</x:v>
      </x:c>
      <x:c r="K187" s="17" t="n">
        <x:f>IF(J187="","",IF(J187="低于1000万元",0,100))</x:f>
        <x:v>100</x:v>
      </x:c>
      <x:c r="L187" s="17" t="n">
        <x:f>IF(NOT(ISNUMBER(F187)),"",IF(F187&lt;1,"",IF(F187&lt;3,70,100)))</x:f>
        <x:v>100</x:v>
      </x:c>
      <x:c r="M187" s="35" t="n">
        <x:f>IF(ISNUMBER('sheet4-原始数据'!G172),'sheet4-原始数据'!G172,"")</x:f>
        <x:v>0.2917</x:v>
      </x:c>
      <x:c r="N187" s="35" t="n">
        <x:f>IF(ISNUMBER('sheet4-原始数据'!H172),'sheet4-原始数据'!H172,"")</x:f>
        <x:v>0.2468</x:v>
      </x:c>
      <x:c r="O187" s="36" t="str">
        <x:f>IF(ISNUMBER('sheet4-原始数据'!Q172),'sheet4-原始数据'!Q172,"")</x:f>
      </x:c>
      <x:c r="P187" s="37" t="n">
        <x:f>IF($G187&lt;&gt;"入池","",IF($F187&gt;=3,IF(OR(NOT(ISNUMBER($M187)),NOT(ISNUMBER($N187)),1+$M187&lt;=0,1+$N187&lt;0),"",((1+$N187)^3/(1+$M187))^(1/2)-1),IF(OR($F187&lt;=1,NOT(ISNUMBER($M187)),NOT(ISNUMBER($O187)),1+$M187&lt;=0,1+$O187&lt;0),"",((1+$O187)^$F187/(1+$M187))^(1/($F187-1))-1)))</x:f>
        <x:v>0.2249387138545107</x:v>
      </x:c>
      <x:c r="Q187" s="17" t="n">
        <x:f>IF(OR($G187&lt;&gt;"入池",NOT(ISNUMBER(M187))),"",IF(COUNTIFS($G$17:$G$219,"入池",$M$17:$M$219,"&gt;=-1E+307",$M$17:$M$219,"&lt;=1E+307")&lt;=1,100,ROUND(100*(COUNTIFS($G$17:$G$219,"入池",$M$17:$M$219,"&gt;=-1E+307",$M$17:$M$219,"&lt;"&amp;M187)+COUNTIFS($G$17:$G$219,"入池",$M$17:$M$219,M187,$M$17:$M$219,"&gt;=-1E+307",$M$17:$M$219,"&lt;=1E+307")/2-0.5)/(COUNTIFS($G$17:$G$219,"入池",$M$17:$M$219,"&gt;=-1E+307",$M$17:$M$219,"&lt;=1E+307")-1),2)))</x:f>
        <x:v>97.03</x:v>
      </x:c>
      <x:c r="R187" s="17" t="n">
        <x:f>IF(OR($G187&lt;&gt;"入池",NOT(ISNUMBER(P187))),"",IF(COUNTIFS($G$17:$G$219,"入池",$P$17:$P$219,"&gt;=-1E+307",$P$17:$P$219,"&lt;=1E+307")&lt;=1,100,ROUND(100*(COUNTIFS($G$17:$G$219,"入池",$P$17:$P$219,"&gt;=-1E+307",$P$17:$P$219,"&lt;"&amp;P187)+COUNTIFS($G$17:$G$219,"入池",$P$17:$P$219,P187,$P$17:$P$219,"&gt;=-1E+307",$P$17:$P$219,"&lt;=1E+307")/2-0.5)/(COUNTIFS($G$17:$G$219,"入池",$P$17:$P$219,"&gt;=-1E+307",$P$17:$P$219,"&lt;=1E+307")-1),2)))</x:f>
        <x:v>94.55</x:v>
      </x:c>
      <x:c r="S187" s="17" t="n">
        <x:f>IF(NOT(ISNUMBER(Q187)),"",IF(NOT(ISNUMBER(R187)),Q187,ROUND(Q187*'sheet1-指标体系'!$J$8+R187*'sheet1-指标体系'!$J$9,2)))</x:f>
        <x:v>96.04</x:v>
      </x:c>
      <x:c r="T187" s="35" t="n">
        <x:f>IF(ISNUMBER('sheet4-原始数据'!J172),'sheet4-原始数据'!J172,"")</x:f>
        <x:v>0.6923</x:v>
      </x:c>
      <x:c r="U187" s="35" t="n">
        <x:f>IF(ISNUMBER('sheet4-原始数据'!I172),'sheet4-原始数据'!I172,"")</x:f>
        <x:v>0.6757</x:v>
      </x:c>
      <x:c r="V187" s="37" t="n">
        <x:f>IF(OR(NOT(ISNUMBER(T187)),NOT(ISNUMBER(U187))),"",(U187*'sheet1-指标体系'!$J$6-T187*'sheet1-指标体系'!$J$5)/'sheet1-指标体系'!$J$7)</x:f>
        <x:v>0.6667083333333332</x:v>
      </x:c>
      <x:c r="W187" s="17" t="n">
        <x:f>IF(NOT(ISNUMBER(T187)),"",T187*100)</x:f>
        <x:v>69.23</x:v>
      </x:c>
      <x:c r="X187" s="17" t="n">
        <x:f>IF($G187&lt;&gt;"入池","",IF(AND(ISNUMBER(V187),V187&gt;=0,V187&lt;=1),V187*100,IF(MAX(0,($F187-1)*12)&lt;6,100,"")))</x:f>
        <x:v>66.67083333333332</x:v>
      </x:c>
      <x:c r="Y187" s="17" t="n">
        <x:f>IF(NOT(ISNUMBER(W187)),"",IF(NOT(ISNUMBER(X187)),W187,ROUND(W187*'sheet1-指标体系'!$J$8+X187*'sheet1-指标体系'!$J$9,2)))</x:f>
        <x:v>68.21</x:v>
      </x:c>
      <x:c r="Z187" s="37" t="n">
        <x:f>IF(OR(NOT(ISNUMBER(M187)),NOT(ISNUMBER(AD187)),AD187=0),"",ABS(M187/AD187))</x:f>
        <x:v>0.07401299096721811</x:v>
      </x:c>
      <x:c r="AA187" s="35" t="n">
        <x:f>IF(ISNUMBER('sheet4-原始数据'!K172),'sheet4-原始数据'!K172,"")</x:f>
        <x:v>0.2059</x:v>
      </x:c>
      <x:c r="AB187" s="37" t="n">
        <x:f>IF(COUNT(Z187:AA187)=0,"",MAX(Z187:AA187))</x:f>
        <x:v>0.2059</x:v>
      </x:c>
      <x:c r="AC187" s="17" t="n">
        <x:f>IF(OR($G187&lt;&gt;"入池",NOT(ISNUMBER(AB187))),"",IF(COUNTIFS($G$17:$G$219,"入池",$AB$17:$AB$219,"&gt;=-1E+307",$AB$17:$AB$219,"&lt;=1E+307")&lt;=1,100,ROUND(100*(COUNTIFS($G$17:$G$219,"入池",$AB$17:$AB$219,"&lt;=1E+307",$AB$17:$AB$219,"&gt;"&amp;AB187)+COUNTIFS($G$17:$G$219,"入池",$AB$17:$AB$219,AB187,$AB$17:$AB$219,"&gt;=-1E+307",$AB$17:$AB$219,"&lt;=1E+307")/2-0.5)/(COUNTIFS($G$17:$G$219,"入池",$AB$17:$AB$219,"&gt;=-1E+307",$AB$17:$AB$219,"&lt;=1E+307")-1),2)))</x:f>
        <x:v>8.42</x:v>
      </x:c>
      <x:c r="AD187" s="38" t="n">
        <x:f>IF(ISNUMBER('sheet4-原始数据'!M172),'sheet4-原始数据'!M172,"")</x:f>
        <x:v>3.9412</x:v>
      </x:c>
      <x:c r="AE187" s="37" t="n">
        <x:f>IF(OR(NOT(ISNUMBER(P187)),NOT(ISNUMBER(AA187)),NOT(ISNUMBER(Z187))),"",IF(AA187&gt;Z187+'sheet1-指标体系'!$J$11,AA187,""))</x:f>
        <x:v>0.2059</x:v>
      </x:c>
      <x:c r="AF187" s="17" t="n">
        <x:f>IF(OR(NOT(ISNUMBER(P187)),NOT(ISNUMBER(AE187)),AE187=0),"",P187/AE187)</x:f>
        <x:v>1.0924658273652779</x:v>
      </x:c>
      <x:c r="AG187" s="17" t="n">
        <x:f>IF(OR($G187&lt;&gt;"入池",NOT(ISNUMBER(AD187))),"",IF(COUNTIFS($G$17:$G$219,"入池",$AD$17:$AD$219,"&gt;=-1E+307",$AD$17:$AD$219,"&lt;=1E+307")&lt;=1,100,ROUND(100*(COUNTIFS($G$17:$G$219,"入池",$AD$17:$AD$219,"&gt;=-1E+307",$AD$17:$AD$219,"&lt;"&amp;AD187)+COUNTIFS($G$17:$G$219,"入池",$AD$17:$AD$219,AD187,$AD$17:$AD$219,"&gt;=-1E+307",$AD$17:$AD$219,"&lt;=1E+307")/2-0.5)/(COUNTIFS($G$17:$G$219,"入池",$AD$17:$AD$219,"&gt;=-1E+307",$AD$17:$AD$219,"&lt;=1E+307")-1),2)))</x:f>
        <x:v>59.7</x:v>
      </x:c>
      <x:c r="AH187" s="17" t="n">
        <x:f>IF(OR($G187&lt;&gt;"入池",NOT(ISNUMBER(AF187))),"",IF(COUNTIFS($G$17:$G$219,"入池",$AF$17:$AF$219,"&gt;=-1E+307",$AF$17:$AF$219,"&lt;=1E+307")&lt;=1,100,ROUND(100*(COUNTIFS($G$17:$G$219,"入池",$AF$17:$AF$219,"&gt;=-1E+307",$AF$17:$AF$219,"&lt;"&amp;AF187)+COUNTIFS($G$17:$G$219,"入池",$AF$17:$AF$219,AF187,$AF$17:$AF$219,"&gt;=-1E+307",$AF$17:$AF$219,"&lt;=1E+307")/2-0.5)/(COUNTIFS($G$17:$G$219,"入池",$AF$17:$AF$219,"&gt;=-1E+307",$AF$17:$AF$219,"&lt;=1E+307")-1),2)))</x:f>
        <x:v>43.8</x:v>
      </x:c>
      <x:c r="AI187" s="17" t="n">
        <x:f>IF(NOT(ISNUMBER(AG187)),"",IF(NOT(ISNUMBER(AH187)),AG187,ROUND(AG187*'sheet1-指标体系'!$J$8+AH187*'sheet1-指标体系'!$J$9,2)))</x:f>
        <x:v>53.34</x:v>
      </x:c>
      <x:c r="AJ187" s="37" t="n">
        <x:f>IF(NOT(ISNUMBER(F187)),"",IF(F187&gt;=3,IF(NOT(ISNUMBER(N187)),"",N187),IF(NOT(ISNUMBER(O187)),"",O187)))</x:f>
        <x:v>0.2468</x:v>
      </x:c>
      <x:c r="AK187" s="17" t="n">
        <x:f>IF(OR(G187&lt;&gt;"入池",NOT(ISNUMBER(M187)),NOT(ISNUMBER(AJ187))),"",IF(M187&gt;=AJ187,100,IF(AJ187-M187&lt;'sheet1-指标体系'!$J$10,80,60)))</x:f>
        <x:v>100</x:v>
      </x:c>
      <x:c r="AL187" s="17" t="n">
        <x:f>IF(COUNT(I187,K187,L187)=0,"",ROUND((IF(ISNUMBER(I187),I187*40%,0)+IF(ISNUMBER(K187),K187*30%,0)+IF(ISNUMBER(L187),L187*30%,0))/(IF(ISNUMBER(I187),40%,0)+IF(ISNUMBER(K187),30%,0)+IF(ISNUMBER(L187),30%,0)),2))</x:f>
        <x:v>92</x:v>
      </x:c>
      <x:c r="AM187" s="17" t="n">
        <x:f>IF(COUNT(Q187,R187,W187,X187)=0,"",ROUND((IF(ISNUMBER(Q187),Q187*42%,0)+IF(ISNUMBER(R187),R187*28%,0)+IF(ISNUMBER(W187),W187*18%,0)+IF(ISNUMBER(X187),X187*12%,0))/(IF(ISNUMBER(Q187),42%,0)+IF(ISNUMBER(R187),28%,0)+IF(ISNUMBER(W187),18%,0)+IF(ISNUMBER(X187),12%,0)),2))</x:f>
        <x:v>87.69</x:v>
      </x:c>
      <x:c r="AN187" s="17" t="n">
        <x:f>IF(ISNUMBER(AC187),AC187,"")</x:f>
        <x:v>8.42</x:v>
      </x:c>
      <x:c r="AO187" s="17" t="n">
        <x:f>IF(COUNT(AG187,AH187)=0,"",ROUND((IF(ISNUMBER(AG187),AG187*60%,0)+IF(ISNUMBER(AH187),AH187*40%,0))/(IF(ISNUMBER(AG187),60%,0)+IF(ISNUMBER(AH187),40%,0)),2))</x:f>
        <x:v>53.34</x:v>
      </x:c>
      <x:c r="AP187" s="17" t="n">
        <x:f>IF(ISNUMBER(AK187),AK187,"")</x:f>
        <x:v>100</x:v>
      </x:c>
      <x:c r="AQ187" s="39" t="n">
        <x:f>IF(G187&lt;&gt;"入池",0,IF(ISNUMBER(I187),6%,0)+IF(ISNUMBER(K187),4.5%,0)+IF(ISNUMBER(L187),4.5%,0)+IF(ISNUMBER(Q187),8.4%,0)+IF(ISNUMBER(R187),5.6%,0)+IF(ISNUMBER(W187),3.6%,0)+IF(ISNUMBER(X187),2.4%,0)+IF(ISNUMBER(AC187),25%,0)+IF(ISNUMBER(AG187),18%,0)+IF(ISNUMBER(AH187),12%,0)+IF(ISNUMBER(AK187),10%,0))</x:f>
        <x:v>1</x:v>
      </x:c>
      <x:c r="AR187" s="17" t="n">
        <x:f>IF(AQ187=0,"",IF(ISNUMBER(I187),I187*6%,0)+IF(ISNUMBER(K187),K187*4.5%,0)+IF(ISNUMBER(L187),L187*4.5%,0)+IF(ISNUMBER(Q187),Q187*8.4%,0)+IF(ISNUMBER(R187),R187*5.6%,0)+IF(ISNUMBER(W187),W187*3.6%,0)+IF(ISNUMBER(X187),X187*2.4%,0)+IF(ISNUMBER(AC187),AC187*25%,0)+IF(ISNUMBER(AG187),AG187*18%,0)+IF(ISNUMBER(AH187),AH187*12%,0)+IF(ISNUMBER(AK187),AK187*10%,0))</x:f>
        <x:v>59.444700000000005</x:v>
      </x:c>
      <x:c r="AS187" s="17" t="n">
        <x:f>IF(AQ187=0,"",ROUND(AR187/AQ187,2))</x:f>
        <x:v>59.44</x:v>
      </x:c>
      <x:c r="AT187" s="40" t="n">
        <x:f>IF(OR(G187&lt;&gt;"入池",NOT(ISNUMBER(AS187))),"",COUNTIFS($G$17:$G$219,"入池",$AS$17:$AS$219,"&gt;"&amp;AS187)+COUNTIFS($G$17:$G$219,"入池",$AS$17:$AS$219,AS187,$AQ$17:$AQ$219,"&gt;"&amp;AQ187)+COUNTIFS($G$17:G187,"入池",$AS$17:AS187,AS187,$AQ$17:AQ187,AQ187))</x:f>
        <x:v>112</x:v>
      </x:c>
      <x:c r="AU187" s="41" t="str">
        <x:f t="shared" si="7">IF(NOT(ISNUMBER(I187)),"管理人规模；","")&amp;IF(J187="","产品规模标识；","")&amp;IF(AND(F187&lt;3,NOT(ISNUMBER(O187))),"R_incep；","")&amp;IF(NOT(ISNUMBER(N187)),"近三年收益；","")&amp;IF(NOT(ISNUMBER(U187)),"近三年胜率；","")&amp;IF(AND(ISNUMBER(V187),OR(V187&lt;0,V187&gt;1)),"胜率窗口口径不一致；","")&amp;IF(NOT(ISNUMBER(AA187)),"近三年回撤；","")&amp;IF(NOT(ISNUMBER(AD187)),"短期卡玛；","")&amp;IF(AND(ISNUMBER(P187),NOT(ISNUMBER(AE187))),"DD_long不可识别；","")</x:f>
      </x:c>
      <x:c r="AV187" s="42" t="n">
        <x:v>10</x:v>
      </x:c>
      <x:c r="AW187" s="19" t="str">
        <x:v>上海殊馥投资管理有限公司</x:v>
      </x:c>
      <x:c r="AX187" s="19" t="str">
        <x:v>2026-06-29</x:v>
      </x:c>
      <x:c r="AY187" s="19" t="str">
        <x:v>https://gs.amac.org.cn/amac-infodisc/res/pof/manager/101000042776.html</x:v>
      </x:c>
      <x:c r="AZ187" s="19" t="str">
        <x:v>殊馥兴义8号私募证券投资基金</x:v>
      </x:c>
      <x:c r="BA187" s="19" t="str">
        <x:v>2025-04-23</x:v>
      </x:c>
      <x:c r="BB187" s="19"/>
      <x:c r="BC187" s="19" t="str">
        <x:v>https://gs.amac.org.cn/amac-infodisc/res/pof/fund/2301040929105681.html</x:v>
      </x:c>
      <x:c r="BD187" s="19" t="str">
        <x:v>已匹配</x:v>
      </x:c>
      <x:c r="BE187"/>
      <x:c r="BF187"/>
    </x:row>
    <x:row r="188" ht="28" customHeight="1">
      <x:c r="A188" s="4" t="n">
        <x:v>172</x:v>
      </x:c>
      <x:c r="B188" s="15" t="str">
        <x:f>'sheet4-原始数据'!A173</x:f>
        <x:v>烁菓量化复合套利2号</x:v>
      </x:c>
      <x:c r="C188" s="15" t="str">
        <x:f>'sheet4-原始数据'!B173</x:f>
        <x:v>SZB527</x:v>
      </x:c>
      <x:c r="D188" s="15" t="str">
        <x:f>'sheet4-原始数据'!E173</x:f>
        <x:v>福州烁菓</x:v>
      </x:c>
      <x:c r="E188" s="32" t="n">
        <x:f>IF(ISNUMBER('sheet4-原始数据'!F173),'sheet4-原始数据'!F173,"")</x:f>
        <x:v>44931</x:v>
      </x:c>
      <x:c r="F188" s="17" t="n">
        <x:f>IF(NOT(ISNUMBER(E188)),"",ROUND(('sheet1-指标体系'!$J$23-E188)/365.25,4))</x:f>
        <x:v>3.6961</x:v>
      </x:c>
      <x:c r="G188" s="4" t="str">
        <x:f t="shared" si="6">IF(NOT(ISNUMBER(F188)),"",IF(F188&lt;1,"不入池","入池"))</x:f>
        <x:v>入池</x:v>
      </x:c>
      <x:c r="H188" s="33" t="str">
        <x:v>0-5亿元</x:v>
      </x:c>
      <x:c r="I188" s="17" t="n">
        <x:f>IF(H188="","",IF(ISNUMBER(SEARCH("100亿元以上",H188)),100,IF(OR(ISNUMBER(SEARCH("20-50",H188)),ISNUMBER(SEARCH("50-100",H188)),ISNUMBER(SEARCH("20-100",H188))),90,IF(ISNUMBER(SEARCH("10-20",H188)),80,IF(ISNUMBER(SEARCH("5-10",H188)),70,IF(ISNUMBER(SEARCH("0-5",H188)),60,""))))))</x:f>
        <x:v>60</x:v>
      </x:c>
      <x:c r="J188" s="34" t="str">
        <x:v>无低于1000万元标识</x:v>
      </x:c>
      <x:c r="K188" s="17" t="n">
        <x:f>IF(J188="","",IF(J188="低于1000万元",0,100))</x:f>
        <x:v>100</x:v>
      </x:c>
      <x:c r="L188" s="17" t="n">
        <x:f>IF(NOT(ISNUMBER(F188)),"",IF(F188&lt;1,"",IF(F188&lt;3,70,100)))</x:f>
        <x:v>100</x:v>
      </x:c>
      <x:c r="M188" s="35" t="n">
        <x:f>IF(ISNUMBER('sheet4-原始数据'!G173),'sheet4-原始数据'!G173,"")</x:f>
        <x:v>0.08810000000000001</x:v>
      </x:c>
      <x:c r="N188" s="35" t="n">
        <x:f>IF(ISNUMBER('sheet4-原始数据'!H173),'sheet4-原始数据'!H173,"")</x:f>
        <x:v>0.069</x:v>
      </x:c>
      <x:c r="O188" s="36" t="str">
        <x:f>IF(ISNUMBER('sheet4-原始数据'!Q173),'sheet4-原始数据'!Q173,"")</x:f>
      </x:c>
      <x:c r="P188" s="37" t="n">
        <x:f>IF($G188&lt;&gt;"入池","",IF($F188&gt;=3,IF(OR(NOT(ISNUMBER($M188)),NOT(ISNUMBER($N188)),1+$M188&lt;=0,1+$N188&lt;0),"",((1+$N188)^3/(1+$M188))^(1/2)-1),IF(OR($F188&lt;=1,NOT(ISNUMBER($M188)),NOT(ISNUMBER($O188)),1+$M188&lt;=0,1+$O188&lt;0),"",((1+$O188)^$F188/(1+$M188))^(1/($F188-1))-1)))</x:f>
        <x:v>0.059576097453777566</x:v>
      </x:c>
      <x:c r="Q188" s="17" t="n">
        <x:f>IF(OR($G188&lt;&gt;"入池",NOT(ISNUMBER(M188))),"",IF(COUNTIFS($G$17:$G$219,"入池",$M$17:$M$219,"&gt;=-1E+307",$M$17:$M$219,"&lt;=1E+307")&lt;=1,100,ROUND(100*(COUNTIFS($G$17:$G$219,"入池",$M$17:$M$219,"&gt;=-1E+307",$M$17:$M$219,"&lt;"&amp;M188)+COUNTIFS($G$17:$G$219,"入池",$M$17:$M$219,M188,$M$17:$M$219,"&gt;=-1E+307",$M$17:$M$219,"&lt;=1E+307")/2-0.5)/(COUNTIFS($G$17:$G$219,"入池",$M$17:$M$219,"&gt;=-1E+307",$M$17:$M$219,"&lt;=1E+307")-1),2)))</x:f>
        <x:v>75.25</x:v>
      </x:c>
      <x:c r="R188" s="17" t="n">
        <x:f>IF(OR($G188&lt;&gt;"入池",NOT(ISNUMBER(P188))),"",IF(COUNTIFS($G$17:$G$219,"入池",$P$17:$P$219,"&gt;=-1E+307",$P$17:$P$219,"&lt;=1E+307")&lt;=1,100,ROUND(100*(COUNTIFS($G$17:$G$219,"入池",$P$17:$P$219,"&gt;=-1E+307",$P$17:$P$219,"&lt;"&amp;P188)+COUNTIFS($G$17:$G$219,"入池",$P$17:$P$219,P188,$P$17:$P$219,"&gt;=-1E+307",$P$17:$P$219,"&lt;=1E+307")/2-0.5)/(COUNTIFS($G$17:$G$219,"入池",$P$17:$P$219,"&gt;=-1E+307",$P$17:$P$219,"&lt;=1E+307")-1),2)))</x:f>
        <x:v>49.01</x:v>
      </x:c>
      <x:c r="S188" s="17" t="n">
        <x:f>IF(NOT(ISNUMBER(Q188)),"",IF(NOT(ISNUMBER(R188)),Q188,ROUND(Q188*'sheet1-指标体系'!$J$8+R188*'sheet1-指标体系'!$J$9,2)))</x:f>
        <x:v>64.75</x:v>
      </x:c>
      <x:c r="T188" s="35" t="n">
        <x:f>IF(ISNUMBER('sheet4-原始数据'!J173),'sheet4-原始数据'!J173,"")</x:f>
        <x:v>1</x:v>
      </x:c>
      <x:c r="U188" s="35" t="n">
        <x:f>IF(ISNUMBER('sheet4-原始数据'!I173),'sheet4-原始数据'!I173,"")</x:f>
        <x:v>0.9189</x:v>
      </x:c>
      <x:c r="V188" s="37" t="n">
        <x:f>IF(OR(NOT(ISNUMBER(T188)),NOT(ISNUMBER(U188))),"",(U188*'sheet1-指标体系'!$J$6-T188*'sheet1-指标体系'!$J$5)/'sheet1-指标体系'!$J$7)</x:f>
        <x:v>0.8749708333333336</x:v>
      </x:c>
      <x:c r="W188" s="17" t="n">
        <x:f>IF(NOT(ISNUMBER(T188)),"",T188*100)</x:f>
        <x:v>100</x:v>
      </x:c>
      <x:c r="X188" s="17" t="n">
        <x:f>IF($G188&lt;&gt;"入池","",IF(AND(ISNUMBER(V188),V188&gt;=0,V188&lt;=1),V188*100,IF(MAX(0,($F188-1)*12)&lt;6,100,"")))</x:f>
        <x:v>87.49708333333336</x:v>
      </x:c>
      <x:c r="Y188" s="17" t="n">
        <x:f>IF(NOT(ISNUMBER(W188)),"",IF(NOT(ISNUMBER(X188)),W188,ROUND(W188*'sheet1-指标体系'!$J$8+X188*'sheet1-指标体系'!$J$9,2)))</x:f>
        <x:v>95</x:v>
      </x:c>
      <x:c r="Z188" s="37" t="n">
        <x:f>IF(OR(NOT(ISNUMBER(M188)),NOT(ISNUMBER(AD188)),AD188=0),"",ABS(M188/AD188))</x:f>
        <x:v>0.0016036054730090086</x:v>
      </x:c>
      <x:c r="AA188" s="35" t="n">
        <x:f>IF(ISNUMBER('sheet4-原始数据'!K173),'sheet4-原始数据'!K173,"")</x:f>
        <x:v>0.004699999999999999</x:v>
      </x:c>
      <x:c r="AB188" s="37" t="n">
        <x:f>IF(COUNT(Z188:AA188)=0,"",MAX(Z188:AA188))</x:f>
        <x:v>0.004699999999999999</x:v>
      </x:c>
      <x:c r="AC188" s="17" t="n">
        <x:f>IF(OR($G188&lt;&gt;"入池",NOT(ISNUMBER(AB188))),"",IF(COUNTIFS($G$17:$G$219,"入池",$AB$17:$AB$219,"&gt;=-1E+307",$AB$17:$AB$219,"&lt;=1E+307")&lt;=1,100,ROUND(100*(COUNTIFS($G$17:$G$219,"入池",$AB$17:$AB$219,"&lt;=1E+307",$AB$17:$AB$219,"&gt;"&amp;AB188)+COUNTIFS($G$17:$G$219,"入池",$AB$17:$AB$219,AB188,$AB$17:$AB$219,"&gt;=-1E+307",$AB$17:$AB$219,"&lt;=1E+307")/2-0.5)/(COUNTIFS($G$17:$G$219,"入池",$AB$17:$AB$219,"&gt;=-1E+307",$AB$17:$AB$219,"&lt;=1E+307")-1),2)))</x:f>
        <x:v>95.79</x:v>
      </x:c>
      <x:c r="AD188" s="38" t="n">
        <x:f>IF(ISNUMBER('sheet4-原始数据'!M173),'sheet4-原始数据'!M173,"")</x:f>
        <x:v>54.9387</x:v>
      </x:c>
      <x:c r="AE188" s="37" t="n">
        <x:f>IF(OR(NOT(ISNUMBER(P188)),NOT(ISNUMBER(AA188)),NOT(ISNUMBER(Z188))),"",IF(AA188&gt;Z188+'sheet1-指标体系'!$J$11,AA188,""))</x:f>
        <x:v>0.004699999999999999</x:v>
      </x:c>
      <x:c r="AF188" s="17" t="n">
        <x:f>IF(OR(NOT(ISNUMBER(P188)),NOT(ISNUMBER(AE188)),AE188=0),"",P188/AE188)</x:f>
        <x:v>12.675765415697356</x:v>
      </x:c>
      <x:c r="AG188" s="17" t="n">
        <x:f>IF(OR($G188&lt;&gt;"入池",NOT(ISNUMBER(AD188))),"",IF(COUNTIFS($G$17:$G$219,"入池",$AD$17:$AD$219,"&gt;=-1E+307",$AD$17:$AD$219,"&lt;=1E+307")&lt;=1,100,ROUND(100*(COUNTIFS($G$17:$G$219,"入池",$AD$17:$AD$219,"&gt;=-1E+307",$AD$17:$AD$219,"&lt;"&amp;AD188)+COUNTIFS($G$17:$G$219,"入池",$AD$17:$AD$219,AD188,$AD$17:$AD$219,"&gt;=-1E+307",$AD$17:$AD$219,"&lt;=1E+307")/2-0.5)/(COUNTIFS($G$17:$G$219,"入池",$AD$17:$AD$219,"&gt;=-1E+307",$AD$17:$AD$219,"&lt;=1E+307")-1),2)))</x:f>
        <x:v>98.01</x:v>
      </x:c>
      <x:c r="AH188" s="17" t="n">
        <x:f>IF(OR($G188&lt;&gt;"入池",NOT(ISNUMBER(AF188))),"",IF(COUNTIFS($G$17:$G$219,"入池",$AF$17:$AF$219,"&gt;=-1E+307",$AF$17:$AF$219,"&lt;=1E+307")&lt;=1,100,ROUND(100*(COUNTIFS($G$17:$G$219,"入池",$AF$17:$AF$219,"&gt;=-1E+307",$AF$17:$AF$219,"&lt;"&amp;AF188)+COUNTIFS($G$17:$G$219,"入池",$AF$17:$AF$219,AF188,$AF$17:$AF$219,"&gt;=-1E+307",$AF$17:$AF$219,"&lt;=1E+307")/2-0.5)/(COUNTIFS($G$17:$G$219,"入池",$AF$17:$AF$219,"&gt;=-1E+307",$AF$17:$AF$219,"&lt;=1E+307")-1),2)))</x:f>
        <x:v>92.7</x:v>
      </x:c>
      <x:c r="AI188" s="17" t="n">
        <x:f>IF(NOT(ISNUMBER(AG188)),"",IF(NOT(ISNUMBER(AH188)),AG188,ROUND(AG188*'sheet1-指标体系'!$J$8+AH188*'sheet1-指标体系'!$J$9,2)))</x:f>
        <x:v>95.89</x:v>
      </x:c>
      <x:c r="AJ188" s="37" t="n">
        <x:f>IF(NOT(ISNUMBER(F188)),"",IF(F188&gt;=3,IF(NOT(ISNUMBER(N188)),"",N188),IF(NOT(ISNUMBER(O188)),"",O188)))</x:f>
        <x:v>0.069</x:v>
      </x:c>
      <x:c r="AK188" s="17" t="n">
        <x:f>IF(OR(G188&lt;&gt;"入池",NOT(ISNUMBER(M188)),NOT(ISNUMBER(AJ188))),"",IF(M188&gt;=AJ188,100,IF(AJ188-M188&lt;'sheet1-指标体系'!$J$10,80,60)))</x:f>
        <x:v>100</x:v>
      </x:c>
      <x:c r="AL188" s="17" t="n">
        <x:f>IF(COUNT(I188,K188,L188)=0,"",ROUND((IF(ISNUMBER(I188),I188*40%,0)+IF(ISNUMBER(K188),K188*30%,0)+IF(ISNUMBER(L188),L188*30%,0))/(IF(ISNUMBER(I188),40%,0)+IF(ISNUMBER(K188),30%,0)+IF(ISNUMBER(L188),30%,0)),2))</x:f>
        <x:v>84</x:v>
      </x:c>
      <x:c r="AM188" s="17" t="n">
        <x:f>IF(COUNT(Q188,R188,W188,X188)=0,"",ROUND((IF(ISNUMBER(Q188),Q188*42%,0)+IF(ISNUMBER(R188),R188*28%,0)+IF(ISNUMBER(W188),W188*18%,0)+IF(ISNUMBER(X188),X188*12%,0))/(IF(ISNUMBER(Q188),42%,0)+IF(ISNUMBER(R188),28%,0)+IF(ISNUMBER(W188),18%,0)+IF(ISNUMBER(X188),12%,0)),2))</x:f>
        <x:v>73.83</x:v>
      </x:c>
      <x:c r="AN188" s="17" t="n">
        <x:f>IF(ISNUMBER(AC188),AC188,"")</x:f>
        <x:v>95.79</x:v>
      </x:c>
      <x:c r="AO188" s="17" t="n">
        <x:f>IF(COUNT(AG188,AH188)=0,"",ROUND((IF(ISNUMBER(AG188),AG188*60%,0)+IF(ISNUMBER(AH188),AH188*40%,0))/(IF(ISNUMBER(AG188),60%,0)+IF(ISNUMBER(AH188),40%,0)),2))</x:f>
        <x:v>95.89</x:v>
      </x:c>
      <x:c r="AP188" s="17" t="n">
        <x:f>IF(ISNUMBER(AK188),AK188,"")</x:f>
        <x:v>100</x:v>
      </x:c>
      <x:c r="AQ188" s="39" t="n">
        <x:f>IF(G188&lt;&gt;"入池",0,IF(ISNUMBER(I188),6%,0)+IF(ISNUMBER(K188),4.5%,0)+IF(ISNUMBER(L188),4.5%,0)+IF(ISNUMBER(Q188),8.4%,0)+IF(ISNUMBER(R188),5.6%,0)+IF(ISNUMBER(W188),3.6%,0)+IF(ISNUMBER(X188),2.4%,0)+IF(ISNUMBER(AC188),25%,0)+IF(ISNUMBER(AG188),18%,0)+IF(ISNUMBER(AH188),12%,0)+IF(ISNUMBER(AK188),10%,0))</x:f>
        <x:v>1</x:v>
      </x:c>
      <x:c r="AR188" s="17" t="n">
        <x:f>IF(AQ188=0,"",IF(ISNUMBER(I188),I188*6%,0)+IF(ISNUMBER(K188),K188*4.5%,0)+IF(ISNUMBER(L188),L188*4.5%,0)+IF(ISNUMBER(Q188),Q188*8.4%,0)+IF(ISNUMBER(R188),R188*5.6%,0)+IF(ISNUMBER(W188),W188*3.6%,0)+IF(ISNUMBER(X188),X188*2.4%,0)+IF(ISNUMBER(AC188),AC188*25%,0)+IF(ISNUMBER(AG188),AG188*18%,0)+IF(ISNUMBER(AH188),AH188*12%,0)+IF(ISNUMBER(AK188),AK188*10%,0))</x:f>
        <x:v>90.07879</x:v>
      </x:c>
      <x:c r="AS188" s="17" t="n">
        <x:f>IF(AQ188=0,"",ROUND(AR188/AQ188,2))</x:f>
        <x:v>90.08</x:v>
      </x:c>
      <x:c r="AT188" s="40" t="n">
        <x:f>IF(OR(G188&lt;&gt;"入池",NOT(ISNUMBER(AS188))),"",COUNTIFS($G$17:$G$219,"入池",$AS$17:$AS$219,"&gt;"&amp;AS188)+COUNTIFS($G$17:$G$219,"入池",$AS$17:$AS$219,AS188,$AQ$17:$AQ$219,"&gt;"&amp;AQ188)+COUNTIFS($G$17:G188,"入池",$AS$17:AS188,AS188,$AQ$17:AQ188,AQ188))</x:f>
        <x:v>8</x:v>
      </x:c>
      <x:c r="AU188" s="41" t="str">
        <x:f t="shared" si="7">IF(NOT(ISNUMBER(I188)),"管理人规模；","")&amp;IF(J188="","产品规模标识；","")&amp;IF(AND(F188&lt;3,NOT(ISNUMBER(O188))),"R_incep；","")&amp;IF(NOT(ISNUMBER(N188)),"近三年收益；","")&amp;IF(NOT(ISNUMBER(U188)),"近三年胜率；","")&amp;IF(AND(ISNUMBER(V188),OR(V188&lt;0,V188&gt;1)),"胜率窗口口径不一致；","")&amp;IF(NOT(ISNUMBER(AA188)),"近三年回撤；","")&amp;IF(NOT(ISNUMBER(AD188)),"短期卡玛；","")&amp;IF(AND(ISNUMBER(P188),NOT(ISNUMBER(AE188))),"DD_long不可识别；","")</x:f>
      </x:c>
      <x:c r="AV188" s="42" t="n">
        <x:v>0</x:v>
      </x:c>
      <x:c r="AW188" s="19" t="str">
        <x:v>福州烁菓私募基金管理有限公司</x:v>
      </x:c>
      <x:c r="AX188" s="19" t="str">
        <x:v>2026-07-31</x:v>
      </x:c>
      <x:c r="AY188" s="19" t="str">
        <x:v>https://gs.amac.org.cn/amac-infodisc/res/pof/manager/101000027571.html</x:v>
      </x:c>
      <x:c r="AZ188" s="19" t="str">
        <x:v>烁菓量化复合套利2号私募证券投资基金</x:v>
      </x:c>
      <x:c r="BA188" s="19" t="str">
        <x:v>2023-06-13</x:v>
      </x:c>
      <x:c r="BB188" s="19"/>
      <x:c r="BC188" s="19" t="str">
        <x:v>https://gs.amac.org.cn/amac-infodisc/res/pof/fund/2301111805105842.html</x:v>
      </x:c>
      <x:c r="BD188" s="19" t="str">
        <x:v>已匹配</x:v>
      </x:c>
      <x:c r="BE188"/>
      <x:c r="BF188"/>
    </x:row>
    <x:row r="189" ht="28" customHeight="1">
      <x:c r="A189" s="4" t="n">
        <x:v>173</x:v>
      </x:c>
      <x:c r="B189" s="15" t="str">
        <x:f>'sheet4-原始数据'!A174</x:f>
        <x:v>泰创稳健三号</x:v>
      </x:c>
      <x:c r="C189" s="15" t="str">
        <x:f>'sheet4-原始数据'!B174</x:f>
        <x:v>SZD744</x:v>
      </x:c>
      <x:c r="D189" s="15" t="str">
        <x:f>'sheet4-原始数据'!E174</x:f>
        <x:v>北京泰创投资</x:v>
      </x:c>
      <x:c r="E189" s="32" t="n">
        <x:f>IF(ISNUMBER('sheet4-原始数据'!F174),'sheet4-原始数据'!F174,"")</x:f>
        <x:v>44936</x:v>
      </x:c>
      <x:c r="F189" s="17" t="n">
        <x:f>IF(NOT(ISNUMBER(E189)),"",ROUND(('sheet1-指标体系'!$J$23-E189)/365.25,4))</x:f>
        <x:v>3.6824</x:v>
      </x:c>
      <x:c r="G189" s="4" t="str">
        <x:f t="shared" si="6">IF(NOT(ISNUMBER(F189)),"",IF(F189&lt;1,"不入池","入池"))</x:f>
        <x:v>入池</x:v>
      </x:c>
      <x:c r="H189" s="33" t="str">
        <x:v>5-10亿元</x:v>
      </x:c>
      <x:c r="I189" s="17" t="n">
        <x:f>IF(H189="","",IF(ISNUMBER(SEARCH("100亿元以上",H189)),100,IF(OR(ISNUMBER(SEARCH("20-50",H189)),ISNUMBER(SEARCH("50-100",H189)),ISNUMBER(SEARCH("20-100",H189))),90,IF(ISNUMBER(SEARCH("10-20",H189)),80,IF(ISNUMBER(SEARCH("5-10",H189)),70,IF(ISNUMBER(SEARCH("0-5",H189)),60,""))))))</x:f>
        <x:v>70</x:v>
      </x:c>
      <x:c r="J189" s="34" t="str">
        <x:v>无低于1000万元标识</x:v>
      </x:c>
      <x:c r="K189" s="17" t="n">
        <x:f>IF(J189="","",IF(J189="低于1000万元",0,100))</x:f>
        <x:v>100</x:v>
      </x:c>
      <x:c r="L189" s="17" t="n">
        <x:f>IF(NOT(ISNUMBER(F189)),"",IF(F189&lt;1,"",IF(F189&lt;3,70,100)))</x:f>
        <x:v>100</x:v>
      </x:c>
      <x:c r="M189" s="35" t="n">
        <x:f>IF(ISNUMBER('sheet4-原始数据'!G174),'sheet4-原始数据'!G174,"")</x:f>
        <x:v>0.0404</x:v>
      </x:c>
      <x:c r="N189" s="35" t="n">
        <x:f>IF(ISNUMBER('sheet4-原始数据'!H174),'sheet4-原始数据'!H174,"")</x:f>
        <x:v>0.0475</x:v>
      </x:c>
      <x:c r="O189" s="36" t="str">
        <x:f>IF(ISNUMBER('sheet4-原始数据'!Q174),'sheet4-原始数据'!Q174,"")</x:f>
      </x:c>
      <x:c r="P189" s="37" t="n">
        <x:f>IF($G189&lt;&gt;"入池","",IF($F189&gt;=3,IF(OR(NOT(ISNUMBER($M189)),NOT(ISNUMBER($N189)),1+$M189&lt;=0,1+$N189&lt;0),"",((1+$N189)^3/(1+$M189))^(1/2)-1),IF(OR($F189&lt;=1,NOT(ISNUMBER($M189)),NOT(ISNUMBER($O189)),1+$M189&lt;=0,1+$O189&lt;0),"",((1+$O189)^$F189/(1+$M189))^(1/($F189-1))-1)))</x:f>
        <x:v>0.05106814908115265</x:v>
      </x:c>
      <x:c r="Q189" s="17" t="n">
        <x:f>IF(OR($G189&lt;&gt;"入池",NOT(ISNUMBER(M189))),"",IF(COUNTIFS($G$17:$G$219,"入池",$M$17:$M$219,"&gt;=-1E+307",$M$17:$M$219,"&lt;=1E+307")&lt;=1,100,ROUND(100*(COUNTIFS($G$17:$G$219,"入池",$M$17:$M$219,"&gt;=-1E+307",$M$17:$M$219,"&lt;"&amp;M189)+COUNTIFS($G$17:$G$219,"入池",$M$17:$M$219,M189,$M$17:$M$219,"&gt;=-1E+307",$M$17:$M$219,"&lt;=1E+307")/2-0.5)/(COUNTIFS($G$17:$G$219,"入池",$M$17:$M$219,"&gt;=-1E+307",$M$17:$M$219,"&lt;=1E+307")-1),2)))</x:f>
        <x:v>42.08</x:v>
      </x:c>
      <x:c r="R189" s="17" t="n">
        <x:f>IF(OR($G189&lt;&gt;"入池",NOT(ISNUMBER(P189))),"",IF(COUNTIFS($G$17:$G$219,"入池",$P$17:$P$219,"&gt;=-1E+307",$P$17:$P$219,"&lt;=1E+307")&lt;=1,100,ROUND(100*(COUNTIFS($G$17:$G$219,"入池",$P$17:$P$219,"&gt;=-1E+307",$P$17:$P$219,"&lt;"&amp;P189)+COUNTIFS($G$17:$G$219,"入池",$P$17:$P$219,P189,$P$17:$P$219,"&gt;=-1E+307",$P$17:$P$219,"&lt;=1E+307")/2-0.5)/(COUNTIFS($G$17:$G$219,"入池",$P$17:$P$219,"&gt;=-1E+307",$P$17:$P$219,"&lt;=1E+307")-1),2)))</x:f>
        <x:v>38.12</x:v>
      </x:c>
      <x:c r="S189" s="17" t="n">
        <x:f>IF(NOT(ISNUMBER(Q189)),"",IF(NOT(ISNUMBER(R189)),Q189,ROUND(Q189*'sheet1-指标体系'!$J$8+R189*'sheet1-指标体系'!$J$9,2)))</x:f>
        <x:v>40.5</x:v>
      </x:c>
      <x:c r="T189" s="35" t="n">
        <x:f>IF(ISNUMBER('sheet4-原始数据'!J174),'sheet4-原始数据'!J174,"")</x:f>
        <x:v>0.6923</x:v>
      </x:c>
      <x:c r="U189" s="35" t="n">
        <x:f>IF(ISNUMBER('sheet4-原始数据'!I174),'sheet4-原始数据'!I174,"")</x:f>
        <x:v>0.7568</x:v>
      </x:c>
      <x:c r="V189" s="37" t="n">
        <x:f>IF(OR(NOT(ISNUMBER(T189)),NOT(ISNUMBER(U189))),"",(U189*'sheet1-指标体系'!$J$6-T189*'sheet1-指标体系'!$J$5)/'sheet1-指标体系'!$J$7)</x:f>
        <x:v>0.7917375</x:v>
      </x:c>
      <x:c r="W189" s="17" t="n">
        <x:f>IF(NOT(ISNUMBER(T189)),"",T189*100)</x:f>
        <x:v>69.23</x:v>
      </x:c>
      <x:c r="X189" s="17" t="n">
        <x:f>IF($G189&lt;&gt;"入池","",IF(AND(ISNUMBER(V189),V189&gt;=0,V189&lt;=1),V189*100,IF(MAX(0,($F189-1)*12)&lt;6,100,"")))</x:f>
        <x:v>79.17375</x:v>
      </x:c>
      <x:c r="Y189" s="17" t="n">
        <x:f>IF(NOT(ISNUMBER(W189)),"",IF(NOT(ISNUMBER(X189)),W189,ROUND(W189*'sheet1-指标体系'!$J$8+X189*'sheet1-指标体系'!$J$9,2)))</x:f>
        <x:v>73.21</x:v>
      </x:c>
      <x:c r="Z189" s="37" t="n">
        <x:f>IF(OR(NOT(ISNUMBER(M189)),NOT(ISNUMBER(AD189)),AD189=0),"",ABS(M189/AD189))</x:f>
        <x:v>0.01973137973137973</x:v>
      </x:c>
      <x:c r="AA189" s="35" t="n">
        <x:f>IF(ISNUMBER('sheet4-原始数据'!K174),'sheet4-原始数据'!K174,"")</x:f>
        <x:v>0.028300000000000002</x:v>
      </x:c>
      <x:c r="AB189" s="37" t="n">
        <x:f>IF(COUNT(Z189:AA189)=0,"",MAX(Z189:AA189))</x:f>
        <x:v>0.028300000000000002</x:v>
      </x:c>
      <x:c r="AC189" s="17" t="n">
        <x:f>IF(OR($G189&lt;&gt;"入池",NOT(ISNUMBER(AB189))),"",IF(COUNTIFS($G$17:$G$219,"入池",$AB$17:$AB$219,"&gt;=-1E+307",$AB$17:$AB$219,"&lt;=1E+307")&lt;=1,100,ROUND(100*(COUNTIFS($G$17:$G$219,"入池",$AB$17:$AB$219,"&lt;=1E+307",$AB$17:$AB$219,"&gt;"&amp;AB189)+COUNTIFS($G$17:$G$219,"入池",$AB$17:$AB$219,AB189,$AB$17:$AB$219,"&gt;=-1E+307",$AB$17:$AB$219,"&lt;=1E+307")/2-0.5)/(COUNTIFS($G$17:$G$219,"入池",$AB$17:$AB$219,"&gt;=-1E+307",$AB$17:$AB$219,"&lt;=1E+307")-1),2)))</x:f>
        <x:v>61.88</x:v>
      </x:c>
      <x:c r="AD189" s="38" t="n">
        <x:f>IF(ISNUMBER('sheet4-原始数据'!M174),'sheet4-原始数据'!M174,"")</x:f>
        <x:v>2.0475</x:v>
      </x:c>
      <x:c r="AE189" s="37" t="n">
        <x:f>IF(OR(NOT(ISNUMBER(P189)),NOT(ISNUMBER(AA189)),NOT(ISNUMBER(Z189))),"",IF(AA189&gt;Z189+'sheet1-指标体系'!$J$11,AA189,""))</x:f>
        <x:v>0.028300000000000002</x:v>
      </x:c>
      <x:c r="AF189" s="17" t="n">
        <x:f>IF(OR(NOT(ISNUMBER(P189)),NOT(ISNUMBER(AE189)),AE189=0),"",P189/AE189)</x:f>
        <x:v>1.8045282360831323</x:v>
      </x:c>
      <x:c r="AG189" s="17" t="n">
        <x:f>IF(OR($G189&lt;&gt;"入池",NOT(ISNUMBER(AD189))),"",IF(COUNTIFS($G$17:$G$219,"入池",$AD$17:$AD$219,"&gt;=-1E+307",$AD$17:$AD$219,"&lt;=1E+307")&lt;=1,100,ROUND(100*(COUNTIFS($G$17:$G$219,"入池",$AD$17:$AD$219,"&gt;=-1E+307",$AD$17:$AD$219,"&lt;"&amp;AD189)+COUNTIFS($G$17:$G$219,"入池",$AD$17:$AD$219,AD189,$AD$17:$AD$219,"&gt;=-1E+307",$AD$17:$AD$219,"&lt;=1E+307")/2-0.5)/(COUNTIFS($G$17:$G$219,"入池",$AD$17:$AD$219,"&gt;=-1E+307",$AD$17:$AD$219,"&lt;=1E+307")-1),2)))</x:f>
        <x:v>45.77</x:v>
      </x:c>
      <x:c r="AH189" s="17" t="n">
        <x:f>IF(OR($G189&lt;&gt;"入池",NOT(ISNUMBER(AF189))),"",IF(COUNTIFS($G$17:$G$219,"入池",$AF$17:$AF$219,"&gt;=-1E+307",$AF$17:$AF$219,"&lt;=1E+307")&lt;=1,100,ROUND(100*(COUNTIFS($G$17:$G$219,"入池",$AF$17:$AF$219,"&gt;=-1E+307",$AF$17:$AF$219,"&lt;"&amp;AF189)+COUNTIFS($G$17:$G$219,"入池",$AF$17:$AF$219,AF189,$AF$17:$AF$219,"&gt;=-1E+307",$AF$17:$AF$219,"&lt;=1E+307")/2-0.5)/(COUNTIFS($G$17:$G$219,"入池",$AF$17:$AF$219,"&gt;=-1E+307",$AF$17:$AF$219,"&lt;=1E+307")-1),2)))</x:f>
        <x:v>61.31</x:v>
      </x:c>
      <x:c r="AI189" s="17" t="n">
        <x:f>IF(NOT(ISNUMBER(AG189)),"",IF(NOT(ISNUMBER(AH189)),AG189,ROUND(AG189*'sheet1-指标体系'!$J$8+AH189*'sheet1-指标体系'!$J$9,2)))</x:f>
        <x:v>51.99</x:v>
      </x:c>
      <x:c r="AJ189" s="37" t="n">
        <x:f>IF(NOT(ISNUMBER(F189)),"",IF(F189&gt;=3,IF(NOT(ISNUMBER(N189)),"",N189),IF(NOT(ISNUMBER(O189)),"",O189)))</x:f>
        <x:v>0.0475</x:v>
      </x:c>
      <x:c r="AK189" s="17" t="n">
        <x:f>IF(OR(G189&lt;&gt;"入池",NOT(ISNUMBER(M189)),NOT(ISNUMBER(AJ189))),"",IF(M189&gt;=AJ189,100,IF(AJ189-M189&lt;'sheet1-指标体系'!$J$10,80,60)))</x:f>
        <x:v>80</x:v>
      </x:c>
      <x:c r="AL189" s="17" t="n">
        <x:f>IF(COUNT(I189,K189,L189)=0,"",ROUND((IF(ISNUMBER(I189),I189*40%,0)+IF(ISNUMBER(K189),K189*30%,0)+IF(ISNUMBER(L189),L189*30%,0))/(IF(ISNUMBER(I189),40%,0)+IF(ISNUMBER(K189),30%,0)+IF(ISNUMBER(L189),30%,0)),2))</x:f>
        <x:v>88</x:v>
      </x:c>
      <x:c r="AM189" s="17" t="n">
        <x:f>IF(COUNT(Q189,R189,W189,X189)=0,"",ROUND((IF(ISNUMBER(Q189),Q189*42%,0)+IF(ISNUMBER(R189),R189*28%,0)+IF(ISNUMBER(W189),W189*18%,0)+IF(ISNUMBER(X189),X189*12%,0))/(IF(ISNUMBER(Q189),42%,0)+IF(ISNUMBER(R189),28%,0)+IF(ISNUMBER(W189),18%,0)+IF(ISNUMBER(X189),12%,0)),2))</x:f>
        <x:v>50.31</x:v>
      </x:c>
      <x:c r="AN189" s="17" t="n">
        <x:f>IF(ISNUMBER(AC189),AC189,"")</x:f>
        <x:v>61.88</x:v>
      </x:c>
      <x:c r="AO189" s="17" t="n">
        <x:f>IF(COUNT(AG189,AH189)=0,"",ROUND((IF(ISNUMBER(AG189),AG189*60%,0)+IF(ISNUMBER(AH189),AH189*40%,0))/(IF(ISNUMBER(AG189),60%,0)+IF(ISNUMBER(AH189),40%,0)),2))</x:f>
        <x:v>51.99</x:v>
      </x:c>
      <x:c r="AP189" s="17" t="n">
        <x:f>IF(ISNUMBER(AK189),AK189,"")</x:f>
        <x:v>80</x:v>
      </x:c>
      <x:c r="AQ189" s="39" t="n">
        <x:f>IF(G189&lt;&gt;"入池",0,IF(ISNUMBER(I189),6%,0)+IF(ISNUMBER(K189),4.5%,0)+IF(ISNUMBER(L189),4.5%,0)+IF(ISNUMBER(Q189),8.4%,0)+IF(ISNUMBER(R189),5.6%,0)+IF(ISNUMBER(W189),3.6%,0)+IF(ISNUMBER(X189),2.4%,0)+IF(ISNUMBER(AC189),25%,0)+IF(ISNUMBER(AG189),18%,0)+IF(ISNUMBER(AH189),12%,0)+IF(ISNUMBER(AK189),10%,0))</x:f>
        <x:v>1</x:v>
      </x:c>
      <x:c r="AR189" s="17" t="n">
        <x:f>IF(AQ189=0,"",IF(ISNUMBER(I189),I189*6%,0)+IF(ISNUMBER(K189),K189*4.5%,0)+IF(ISNUMBER(L189),L189*4.5%,0)+IF(ISNUMBER(Q189),Q189*8.4%,0)+IF(ISNUMBER(R189),R189*5.6%,0)+IF(ISNUMBER(W189),W189*3.6%,0)+IF(ISNUMBER(X189),X189*2.4%,0)+IF(ISNUMBER(AC189),AC189*25%,0)+IF(ISNUMBER(AG189),AG189*18%,0)+IF(ISNUMBER(AH189),AH189*12%,0)+IF(ISNUMBER(AK189),AK189*10%,0))</x:f>
        <x:v>62.32769</x:v>
      </x:c>
      <x:c r="AS189" s="17" t="n">
        <x:f>IF(AQ189=0,"",ROUND(AR189/AQ189,2))</x:f>
        <x:v>62.33</x:v>
      </x:c>
      <x:c r="AT189" s="40" t="n">
        <x:f>IF(OR(G189&lt;&gt;"入池",NOT(ISNUMBER(AS189))),"",COUNTIFS($G$17:$G$219,"入池",$AS$17:$AS$219,"&gt;"&amp;AS189)+COUNTIFS($G$17:$G$219,"入池",$AS$17:$AS$219,AS189,$AQ$17:$AQ$219,"&gt;"&amp;AQ189)+COUNTIFS($G$17:G189,"入池",$AS$17:AS189,AS189,$AQ$17:AQ189,AQ189))</x:f>
        <x:v>98</x:v>
      </x:c>
      <x:c r="AU189" s="41" t="str">
        <x:f t="shared" si="7">IF(NOT(ISNUMBER(I189)),"管理人规模；","")&amp;IF(J189="","产品规模标识；","")&amp;IF(AND(F189&lt;3,NOT(ISNUMBER(O189))),"R_incep；","")&amp;IF(NOT(ISNUMBER(N189)),"近三年收益；","")&amp;IF(NOT(ISNUMBER(U189)),"近三年胜率；","")&amp;IF(AND(ISNUMBER(V189),OR(V189&lt;0,V189&gt;1)),"胜率窗口口径不一致；","")&amp;IF(NOT(ISNUMBER(AA189)),"近三年回撤；","")&amp;IF(NOT(ISNUMBER(AD189)),"短期卡玛；","")&amp;IF(AND(ISNUMBER(P189),NOT(ISNUMBER(AE189))),"DD_long不可识别；","")</x:f>
      </x:c>
      <x:c r="AV189" s="42" t="n">
        <x:v>5</x:v>
      </x:c>
      <x:c r="AW189" s="19" t="str">
        <x:v>北京泰创投资管理有限公司</x:v>
      </x:c>
      <x:c r="AX189" s="19" t="str">
        <x:v>2026-05-12</x:v>
      </x:c>
      <x:c r="AY189" s="19" t="str">
        <x:v>https://gs.amac.org.cn/amac-infodisc/res/pof/manager/101000008864.html</x:v>
      </x:c>
      <x:c r="AZ189" s="19" t="str">
        <x:v>泰创稳健三号私募证券投资基金</x:v>
      </x:c>
      <x:c r="BA189" s="19" t="str">
        <x:v>2026-03-25</x:v>
      </x:c>
      <x:c r="BB189" s="19"/>
      <x:c r="BC189" s="19" t="str">
        <x:v>https://gs.amac.org.cn/amac-infodisc/res/pof/fund/2301161834100205.html</x:v>
      </x:c>
      <x:c r="BD189" s="19" t="str">
        <x:v>已匹配</x:v>
      </x:c>
      <x:c r="BE189"/>
      <x:c r="BF189"/>
    </x:row>
    <x:row r="190" ht="28" customHeight="1">
      <x:c r="A190" s="4" t="n">
        <x:v>174</x:v>
      </x:c>
      <x:c r="B190" s="15" t="str">
        <x:f>'sheet4-原始数据'!A175</x:f>
        <x:v>赢起隆华1期</x:v>
      </x:c>
      <x:c r="C190" s="15" t="str">
        <x:f>'sheet4-原始数据'!B175</x:f>
        <x:v>SZC360</x:v>
      </x:c>
      <x:c r="D190" s="15" t="str">
        <x:f>'sheet4-原始数据'!E175</x:f>
        <x:v>上海赢起</x:v>
      </x:c>
      <x:c r="E190" s="32" t="n">
        <x:f>IF(ISNUMBER('sheet4-原始数据'!F175),'sheet4-原始数据'!F175,"")</x:f>
        <x:v>44938</x:v>
      </x:c>
      <x:c r="F190" s="17" t="n">
        <x:f>IF(NOT(ISNUMBER(E190)),"",ROUND(('sheet1-指标体系'!$J$23-E190)/365.25,4))</x:f>
        <x:v>3.6769</x:v>
      </x:c>
      <x:c r="G190" s="4" t="str">
        <x:f t="shared" si="6">IF(NOT(ISNUMBER(F190)),"",IF(F190&lt;1,"不入池","入池"))</x:f>
        <x:v>入池</x:v>
      </x:c>
      <x:c r="H190" s="33" t="str">
        <x:v>0-5亿元</x:v>
      </x:c>
      <x:c r="I190" s="17" t="n">
        <x:f>IF(H190="","",IF(ISNUMBER(SEARCH("100亿元以上",H190)),100,IF(OR(ISNUMBER(SEARCH("20-50",H190)),ISNUMBER(SEARCH("50-100",H190)),ISNUMBER(SEARCH("20-100",H190))),90,IF(ISNUMBER(SEARCH("10-20",H190)),80,IF(ISNUMBER(SEARCH("5-10",H190)),70,IF(ISNUMBER(SEARCH("0-5",H190)),60,""))))))</x:f>
        <x:v>60</x:v>
      </x:c>
      <x:c r="J190" s="34" t="str">
        <x:v>无低于1000万元标识</x:v>
      </x:c>
      <x:c r="K190" s="17" t="n">
        <x:f>IF(J190="","",IF(J190="低于1000万元",0,100))</x:f>
        <x:v>100</x:v>
      </x:c>
      <x:c r="L190" s="17" t="n">
        <x:f>IF(NOT(ISNUMBER(F190)),"",IF(F190&lt;1,"",IF(F190&lt;3,70,100)))</x:f>
        <x:v>100</x:v>
      </x:c>
      <x:c r="M190" s="35" t="n">
        <x:f>IF(ISNUMBER('sheet4-原始数据'!G175),'sheet4-原始数据'!G175,"")</x:f>
        <x:v>0.11720000000000001</x:v>
      </x:c>
      <x:c r="N190" s="35" t="n">
        <x:f>IF(ISNUMBER('sheet4-原始数据'!H175),'sheet4-原始数据'!H175,"")</x:f>
        <x:v>0.0916</x:v>
      </x:c>
      <x:c r="O190" s="36" t="str">
        <x:f>IF(ISNUMBER('sheet4-原始数据'!Q175),'sheet4-原始数据'!Q175,"")</x:f>
      </x:c>
      <x:c r="P190" s="37" t="n">
        <x:f>IF($G190&lt;&gt;"入池","",IF($F190&gt;=3,IF(OR(NOT(ISNUMBER($M190)),NOT(ISNUMBER($N190)),1+$M190&lt;=0,1+$N190&lt;0),"",((1+$N190)^3/(1+$M190))^(1/2)-1),IF(OR($F190&lt;=1,NOT(ISNUMBER($M190)),NOT(ISNUMBER($O190)),1+$M190&lt;=0,1+$O190&lt;0),"",((1+$O190)^$F190/(1+$M190))^(1/($F190-1))-1)))</x:f>
        <x:v>0.07902082593426174</x:v>
      </x:c>
      <x:c r="Q190" s="17" t="n">
        <x:f>IF(OR($G190&lt;&gt;"入池",NOT(ISNUMBER(M190))),"",IF(COUNTIFS($G$17:$G$219,"入池",$M$17:$M$219,"&gt;=-1E+307",$M$17:$M$219,"&lt;=1E+307")&lt;=1,100,ROUND(100*(COUNTIFS($G$17:$G$219,"入池",$M$17:$M$219,"&gt;=-1E+307",$M$17:$M$219,"&lt;"&amp;M190)+COUNTIFS($G$17:$G$219,"入池",$M$17:$M$219,M190,$M$17:$M$219,"&gt;=-1E+307",$M$17:$M$219,"&lt;=1E+307")/2-0.5)/(COUNTIFS($G$17:$G$219,"入池",$M$17:$M$219,"&gt;=-1E+307",$M$17:$M$219,"&lt;=1E+307")-1),2)))</x:f>
        <x:v>85.64</x:v>
      </x:c>
      <x:c r="R190" s="17" t="n">
        <x:f>IF(OR($G190&lt;&gt;"入池",NOT(ISNUMBER(P190))),"",IF(COUNTIFS($G$17:$G$219,"入池",$P$17:$P$219,"&gt;=-1E+307",$P$17:$P$219,"&lt;=1E+307")&lt;=1,100,ROUND(100*(COUNTIFS($G$17:$G$219,"入池",$P$17:$P$219,"&gt;=-1E+307",$P$17:$P$219,"&lt;"&amp;P190)+COUNTIFS($G$17:$G$219,"入池",$P$17:$P$219,P190,$P$17:$P$219,"&gt;=-1E+307",$P$17:$P$219,"&lt;=1E+307")/2-0.5)/(COUNTIFS($G$17:$G$219,"入池",$P$17:$P$219,"&gt;=-1E+307",$P$17:$P$219,"&lt;=1E+307")-1),2)))</x:f>
        <x:v>64.36</x:v>
      </x:c>
      <x:c r="S190" s="17" t="n">
        <x:f>IF(NOT(ISNUMBER(Q190)),"",IF(NOT(ISNUMBER(R190)),Q190,ROUND(Q190*'sheet1-指标体系'!$J$8+R190*'sheet1-指标体系'!$J$9,2)))</x:f>
        <x:v>77.13</x:v>
      </x:c>
      <x:c r="T190" s="35" t="n">
        <x:f>IF(ISNUMBER('sheet4-原始数据'!J175),'sheet4-原始数据'!J175,"")</x:f>
        <x:v>0.9231</x:v>
      </x:c>
      <x:c r="U190" s="35" t="n">
        <x:f>IF(ISNUMBER('sheet4-原始数据'!I175),'sheet4-原始数据'!I175,"")</x:f>
        <x:v>0.8649</x:v>
      </x:c>
      <x:c r="V190" s="37" t="n">
        <x:f>IF(OR(NOT(ISNUMBER(T190)),NOT(ISNUMBER(U190))),"",(U190*'sheet1-指标体系'!$J$6-T190*'sheet1-指标体系'!$J$5)/'sheet1-指标体系'!$J$7)</x:f>
        <x:v>0.8333749999999999</x:v>
      </x:c>
      <x:c r="W190" s="17" t="n">
        <x:f>IF(NOT(ISNUMBER(T190)),"",T190*100)</x:f>
        <x:v>92.31</x:v>
      </x:c>
      <x:c r="X190" s="17" t="n">
        <x:f>IF($G190&lt;&gt;"入池","",IF(AND(ISNUMBER(V190),V190&gt;=0,V190&lt;=1),V190*100,IF(MAX(0,($F190-1)*12)&lt;6,100,"")))</x:f>
        <x:v>83.33749999999999</x:v>
      </x:c>
      <x:c r="Y190" s="17" t="n">
        <x:f>IF(NOT(ISNUMBER(W190)),"",IF(NOT(ISNUMBER(X190)),W190,ROUND(W190*'sheet1-指标体系'!$J$8+X190*'sheet1-指标体系'!$J$9,2)))</x:f>
        <x:v>88.72</x:v>
      </x:c>
      <x:c r="Z190" s="37" t="n">
        <x:f>IF(OR(NOT(ISNUMBER(M190)),NOT(ISNUMBER(AD190)),AD190=0),"",ABS(M190/AD190))</x:f>
        <x:v>0.021671998372750977</x:v>
      </x:c>
      <x:c r="AA190" s="35" t="n">
        <x:f>IF(ISNUMBER('sheet4-原始数据'!K175),'sheet4-原始数据'!K175,"")</x:f>
        <x:v>0.034300000000000004</x:v>
      </x:c>
      <x:c r="AB190" s="37" t="n">
        <x:f>IF(COUNT(Z190:AA190)=0,"",MAX(Z190:AA190))</x:f>
        <x:v>0.034300000000000004</x:v>
      </x:c>
      <x:c r="AC190" s="17" t="n">
        <x:f>IF(OR($G190&lt;&gt;"入池",NOT(ISNUMBER(AB190))),"",IF(COUNTIFS($G$17:$G$219,"入池",$AB$17:$AB$219,"&gt;=-1E+307",$AB$17:$AB$219,"&lt;=1E+307")&lt;=1,100,ROUND(100*(COUNTIFS($G$17:$G$219,"入池",$AB$17:$AB$219,"&lt;=1E+307",$AB$17:$AB$219,"&gt;"&amp;AB190)+COUNTIFS($G$17:$G$219,"入池",$AB$17:$AB$219,AB190,$AB$17:$AB$219,"&gt;=-1E+307",$AB$17:$AB$219,"&lt;=1E+307")/2-0.5)/(COUNTIFS($G$17:$G$219,"入池",$AB$17:$AB$219,"&gt;=-1E+307",$AB$17:$AB$219,"&lt;=1E+307")-1),2)))</x:f>
        <x:v>57.92</x:v>
      </x:c>
      <x:c r="AD190" s="38" t="n">
        <x:f>IF(ISNUMBER('sheet4-原始数据'!M175),'sheet4-原始数据'!M175,"")</x:f>
        <x:v>5.4079</x:v>
      </x:c>
      <x:c r="AE190" s="37" t="n">
        <x:f>IF(OR(NOT(ISNUMBER(P190)),NOT(ISNUMBER(AA190)),NOT(ISNUMBER(Z190))),"",IF(AA190&gt;Z190+'sheet1-指标体系'!$J$11,AA190,""))</x:f>
        <x:v>0.034300000000000004</x:v>
      </x:c>
      <x:c r="AF190" s="17" t="n">
        <x:f>IF(OR(NOT(ISNUMBER(P190)),NOT(ISNUMBER(AE190)),AE190=0),"",P190/AE190)</x:f>
        <x:v>2.303814167179642</x:v>
      </x:c>
      <x:c r="AG190" s="17" t="n">
        <x:f>IF(OR($G190&lt;&gt;"入池",NOT(ISNUMBER(AD190))),"",IF(COUNTIFS($G$17:$G$219,"入池",$AD$17:$AD$219,"&gt;=-1E+307",$AD$17:$AD$219,"&lt;=1E+307")&lt;=1,100,ROUND(100*(COUNTIFS($G$17:$G$219,"入池",$AD$17:$AD$219,"&gt;=-1E+307",$AD$17:$AD$219,"&lt;"&amp;AD190)+COUNTIFS($G$17:$G$219,"入池",$AD$17:$AD$219,AD190,$AD$17:$AD$219,"&gt;=-1E+307",$AD$17:$AD$219,"&lt;=1E+307")/2-0.5)/(COUNTIFS($G$17:$G$219,"入池",$AD$17:$AD$219,"&gt;=-1E+307",$AD$17:$AD$219,"&lt;=1E+307")-1),2)))</x:f>
        <x:v>65.17</x:v>
      </x:c>
      <x:c r="AH190" s="17" t="n">
        <x:f>IF(OR($G190&lt;&gt;"入池",NOT(ISNUMBER(AF190))),"",IF(COUNTIFS($G$17:$G$219,"入池",$AF$17:$AF$219,"&gt;=-1E+307",$AF$17:$AF$219,"&lt;=1E+307")&lt;=1,100,ROUND(100*(COUNTIFS($G$17:$G$219,"入池",$AF$17:$AF$219,"&gt;=-1E+307",$AF$17:$AF$219,"&lt;"&amp;AF190)+COUNTIFS($G$17:$G$219,"入池",$AF$17:$AF$219,AF190,$AF$17:$AF$219,"&gt;=-1E+307",$AF$17:$AF$219,"&lt;=1E+307")/2-0.5)/(COUNTIFS($G$17:$G$219,"入池",$AF$17:$AF$219,"&gt;=-1E+307",$AF$17:$AF$219,"&lt;=1E+307")-1),2)))</x:f>
        <x:v>69.34</x:v>
      </x:c>
      <x:c r="AI190" s="17" t="n">
        <x:f>IF(NOT(ISNUMBER(AG190)),"",IF(NOT(ISNUMBER(AH190)),AG190,ROUND(AG190*'sheet1-指标体系'!$J$8+AH190*'sheet1-指标体系'!$J$9,2)))</x:f>
        <x:v>66.84</x:v>
      </x:c>
      <x:c r="AJ190" s="37" t="n">
        <x:f>IF(NOT(ISNUMBER(F190)),"",IF(F190&gt;=3,IF(NOT(ISNUMBER(N190)),"",N190),IF(NOT(ISNUMBER(O190)),"",O190)))</x:f>
        <x:v>0.0916</x:v>
      </x:c>
      <x:c r="AK190" s="17" t="n">
        <x:f>IF(OR(G190&lt;&gt;"入池",NOT(ISNUMBER(M190)),NOT(ISNUMBER(AJ190))),"",IF(M190&gt;=AJ190,100,IF(AJ190-M190&lt;'sheet1-指标体系'!$J$10,80,60)))</x:f>
        <x:v>100</x:v>
      </x:c>
      <x:c r="AL190" s="17" t="n">
        <x:f>IF(COUNT(I190,K190,L190)=0,"",ROUND((IF(ISNUMBER(I190),I190*40%,0)+IF(ISNUMBER(K190),K190*30%,0)+IF(ISNUMBER(L190),L190*30%,0))/(IF(ISNUMBER(I190),40%,0)+IF(ISNUMBER(K190),30%,0)+IF(ISNUMBER(L190),30%,0)),2))</x:f>
        <x:v>84</x:v>
      </x:c>
      <x:c r="AM190" s="17" t="n">
        <x:f>IF(COUNT(Q190,R190,W190,X190)=0,"",ROUND((IF(ISNUMBER(Q190),Q190*42%,0)+IF(ISNUMBER(R190),R190*28%,0)+IF(ISNUMBER(W190),W190*18%,0)+IF(ISNUMBER(X190),X190*12%,0))/(IF(ISNUMBER(Q190),42%,0)+IF(ISNUMBER(R190),28%,0)+IF(ISNUMBER(W190),18%,0)+IF(ISNUMBER(X190),12%,0)),2))</x:f>
        <x:v>80.61</x:v>
      </x:c>
      <x:c r="AN190" s="17" t="n">
        <x:f>IF(ISNUMBER(AC190),AC190,"")</x:f>
        <x:v>57.92</x:v>
      </x:c>
      <x:c r="AO190" s="17" t="n">
        <x:f>IF(COUNT(AG190,AH190)=0,"",ROUND((IF(ISNUMBER(AG190),AG190*60%,0)+IF(ISNUMBER(AH190),AH190*40%,0))/(IF(ISNUMBER(AG190),60%,0)+IF(ISNUMBER(AH190),40%,0)),2))</x:f>
        <x:v>66.84</x:v>
      </x:c>
      <x:c r="AP190" s="17" t="n">
        <x:f>IF(ISNUMBER(AK190),AK190,"")</x:f>
        <x:v>100</x:v>
      </x:c>
      <x:c r="AQ190" s="39" t="n">
        <x:f>IF(G190&lt;&gt;"入池",0,IF(ISNUMBER(I190),6%,0)+IF(ISNUMBER(K190),4.5%,0)+IF(ISNUMBER(L190),4.5%,0)+IF(ISNUMBER(Q190),8.4%,0)+IF(ISNUMBER(R190),5.6%,0)+IF(ISNUMBER(W190),3.6%,0)+IF(ISNUMBER(X190),2.4%,0)+IF(ISNUMBER(AC190),25%,0)+IF(ISNUMBER(AG190),18%,0)+IF(ISNUMBER(AH190),12%,0)+IF(ISNUMBER(AK190),10%,0))</x:f>
        <x:v>1</x:v>
      </x:c>
      <x:c r="AR190" s="17" t="n">
        <x:f>IF(AQ190=0,"",IF(ISNUMBER(I190),I190*6%,0)+IF(ISNUMBER(K190),K190*4.5%,0)+IF(ISNUMBER(L190),L190*4.5%,0)+IF(ISNUMBER(Q190),Q190*8.4%,0)+IF(ISNUMBER(R190),R190*5.6%,0)+IF(ISNUMBER(W190),W190*3.6%,0)+IF(ISNUMBER(X190),X190*2.4%,0)+IF(ISNUMBER(AC190),AC190*25%,0)+IF(ISNUMBER(AG190),AG190*18%,0)+IF(ISNUMBER(AH190),AH190*12%,0)+IF(ISNUMBER(AK190),AK190*10%,0))</x:f>
        <x:v>73.25258</x:v>
      </x:c>
      <x:c r="AS190" s="17" t="n">
        <x:f>IF(AQ190=0,"",ROUND(AR190/AQ190,2))</x:f>
        <x:v>73.25</x:v>
      </x:c>
      <x:c r="AT190" s="40" t="n">
        <x:f>IF(OR(G190&lt;&gt;"入池",NOT(ISNUMBER(AS190))),"",COUNTIFS($G$17:$G$219,"入池",$AS$17:$AS$219,"&gt;"&amp;AS190)+COUNTIFS($G$17:$G$219,"入池",$AS$17:$AS$219,AS190,$AQ$17:$AQ$219,"&gt;"&amp;AQ190)+COUNTIFS($G$17:G190,"入池",$AS$17:AS190,AS190,$AQ$17:AQ190,AQ190))</x:f>
        <x:v>55</x:v>
      </x:c>
      <x:c r="AU190" s="41" t="str">
        <x:f t="shared" si="7">IF(NOT(ISNUMBER(I190)),"管理人规模；","")&amp;IF(J190="","产品规模标识；","")&amp;IF(AND(F190&lt;3,NOT(ISNUMBER(O190))),"R_incep；","")&amp;IF(NOT(ISNUMBER(N190)),"近三年收益；","")&amp;IF(NOT(ISNUMBER(U190)),"近三年胜率；","")&amp;IF(AND(ISNUMBER(V190),OR(V190&lt;0,V190&gt;1)),"胜率窗口口径不一致；","")&amp;IF(NOT(ISNUMBER(AA190)),"近三年回撤；","")&amp;IF(NOT(ISNUMBER(AD190)),"短期卡玛；","")&amp;IF(AND(ISNUMBER(P190),NOT(ISNUMBER(AE190))),"DD_long不可识别；","")</x:f>
      </x:c>
      <x:c r="AV190" s="42" t="n">
        <x:v>0</x:v>
      </x:c>
      <x:c r="AW190" s="19" t="str">
        <x:v>赢起（上海）私募基金管理有限公司</x:v>
      </x:c>
      <x:c r="AX190" s="19" t="str">
        <x:v>2026-04-29</x:v>
      </x:c>
      <x:c r="AY190" s="19" t="str">
        <x:v>https://gs.amac.org.cn/amac-infodisc/res/pof/manager/1611081535100767.html</x:v>
      </x:c>
      <x:c r="AZ190" s="19" t="str">
        <x:v>赢起隆华1期私募证券投资基金</x:v>
      </x:c>
      <x:c r="BA190" s="19" t="str">
        <x:v>2023-01-17</x:v>
      </x:c>
      <x:c r="BB190" s="19"/>
      <x:c r="BC190" s="19" t="str">
        <x:v>https://gs.amac.org.cn/amac-infodisc/res/pof/fund/2301171711114464.html</x:v>
      </x:c>
      <x:c r="BD190" s="19" t="str">
        <x:v>已匹配</x:v>
      </x:c>
      <x:c r="BE190"/>
      <x:c r="BF190"/>
    </x:row>
    <x:row r="191" ht="28" customHeight="1">
      <x:c r="A191" s="4" t="n">
        <x:v>175</x:v>
      </x:c>
      <x:c r="B191" s="15" t="str">
        <x:f>'sheet4-原始数据'!A176</x:f>
        <x:v>思益行稳致远1号</x:v>
      </x:c>
      <x:c r="C191" s="15" t="str">
        <x:f>'sheet4-原始数据'!B176</x:f>
        <x:v>SZC556</x:v>
      </x:c>
      <x:c r="D191" s="15" t="str">
        <x:f>'sheet4-原始数据'!E176</x:f>
        <x:v>海南思益</x:v>
      </x:c>
      <x:c r="E191" s="32" t="n">
        <x:f>IF(ISNUMBER('sheet4-原始数据'!F176),'sheet4-原始数据'!F176,"")</x:f>
        <x:v>44942</x:v>
      </x:c>
      <x:c r="F191" s="17" t="n">
        <x:f>IF(NOT(ISNUMBER(E191)),"",ROUND(('sheet1-指标体系'!$J$23-E191)/365.25,4))</x:f>
        <x:v>3.666</x:v>
      </x:c>
      <x:c r="G191" s="4" t="str">
        <x:f t="shared" si="6">IF(NOT(ISNUMBER(F191)),"",IF(F191&lt;1,"不入池","入池"))</x:f>
        <x:v>入池</x:v>
      </x:c>
      <x:c r="H191" s="33" t="str">
        <x:v>10-20亿元</x:v>
      </x:c>
      <x:c r="I191" s="17" t="n">
        <x:f>IF(H191="","",IF(ISNUMBER(SEARCH("100亿元以上",H191)),100,IF(OR(ISNUMBER(SEARCH("20-50",H191)),ISNUMBER(SEARCH("50-100",H191)),ISNUMBER(SEARCH("20-100",H191))),90,IF(ISNUMBER(SEARCH("10-20",H191)),80,IF(ISNUMBER(SEARCH("5-10",H191)),70,IF(ISNUMBER(SEARCH("0-5",H191)),60,""))))))</x:f>
        <x:v>80</x:v>
      </x:c>
      <x:c r="J191" s="34" t="str">
        <x:v>无低于1000万元标识</x:v>
      </x:c>
      <x:c r="K191" s="17" t="n">
        <x:f>IF(J191="","",IF(J191="低于1000万元",0,100))</x:f>
        <x:v>100</x:v>
      </x:c>
      <x:c r="L191" s="17" t="n">
        <x:f>IF(NOT(ISNUMBER(F191)),"",IF(F191&lt;1,"",IF(F191&lt;3,70,100)))</x:f>
        <x:v>100</x:v>
      </x:c>
      <x:c r="M191" s="35" t="n">
        <x:f>IF(ISNUMBER('sheet4-原始数据'!G176),'sheet4-原始数据'!G176,"")</x:f>
        <x:v>0.0695</x:v>
      </x:c>
      <x:c r="N191" s="35" t="n">
        <x:f>IF(ISNUMBER('sheet4-原始数据'!H176),'sheet4-原始数据'!H176,"")</x:f>
        <x:v>0.0706</x:v>
      </x:c>
      <x:c r="O191" s="36" t="str">
        <x:f>IF(ISNUMBER('sheet4-原始数据'!Q176),'sheet4-原始数据'!Q176,"")</x:f>
      </x:c>
      <x:c r="P191" s="37" t="n">
        <x:f>IF($G191&lt;&gt;"入池","",IF($F191&gt;=3,IF(OR(NOT(ISNUMBER($M191)),NOT(ISNUMBER($N191)),1+$M191&lt;=0,1+$N191&lt;0),"",((1+$N191)^3/(1+$M191))^(1/2)-1),IF(OR($F191&lt;=1,NOT(ISNUMBER($M191)),NOT(ISNUMBER($O191)),1+$M191&lt;=0,1+$O191&lt;0),"",((1+$O191)^$F191/(1+$M191))^(1/($F191-1))-1)))</x:f>
        <x:v>0.0711504241909755</x:v>
      </x:c>
      <x:c r="Q191" s="17" t="n">
        <x:f>IF(OR($G191&lt;&gt;"入池",NOT(ISNUMBER(M191))),"",IF(COUNTIFS($G$17:$G$219,"入池",$M$17:$M$219,"&gt;=-1E+307",$M$17:$M$219,"&lt;=1E+307")&lt;=1,100,ROUND(100*(COUNTIFS($G$17:$G$219,"入池",$M$17:$M$219,"&gt;=-1E+307",$M$17:$M$219,"&lt;"&amp;M191)+COUNTIFS($G$17:$G$219,"入池",$M$17:$M$219,M191,$M$17:$M$219,"&gt;=-1E+307",$M$17:$M$219,"&lt;=1E+307")/2-0.5)/(COUNTIFS($G$17:$G$219,"入池",$M$17:$M$219,"&gt;=-1E+307",$M$17:$M$219,"&lt;=1E+307")-1),2)))</x:f>
        <x:v>61.88</x:v>
      </x:c>
      <x:c r="R191" s="17" t="n">
        <x:f>IF(OR($G191&lt;&gt;"入池",NOT(ISNUMBER(P191))),"",IF(COUNTIFS($G$17:$G$219,"入池",$P$17:$P$219,"&gt;=-1E+307",$P$17:$P$219,"&lt;=1E+307")&lt;=1,100,ROUND(100*(COUNTIFS($G$17:$G$219,"入池",$P$17:$P$219,"&gt;=-1E+307",$P$17:$P$219,"&lt;"&amp;P191)+COUNTIFS($G$17:$G$219,"入池",$P$17:$P$219,P191,$P$17:$P$219,"&gt;=-1E+307",$P$17:$P$219,"&lt;=1E+307")/2-0.5)/(COUNTIFS($G$17:$G$219,"入池",$P$17:$P$219,"&gt;=-1E+307",$P$17:$P$219,"&lt;=1E+307")-1),2)))</x:f>
        <x:v>57.92</x:v>
      </x:c>
      <x:c r="S191" s="17" t="n">
        <x:f>IF(NOT(ISNUMBER(Q191)),"",IF(NOT(ISNUMBER(R191)),Q191,ROUND(Q191*'sheet1-指标体系'!$J$8+R191*'sheet1-指标体系'!$J$9,2)))</x:f>
        <x:v>60.3</x:v>
      </x:c>
      <x:c r="T191" s="35" t="n">
        <x:f>IF(ISNUMBER('sheet4-原始数据'!J176),'sheet4-原始数据'!J176,"")</x:f>
        <x:v>0.8462000000000001</x:v>
      </x:c>
      <x:c r="U191" s="35" t="n">
        <x:f>IF(ISNUMBER('sheet4-原始数据'!I176),'sheet4-原始数据'!I176,"")</x:f>
        <x:v>0.7568</x:v>
      </x:c>
      <x:c r="V191" s="37" t="n">
        <x:f>IF(OR(NOT(ISNUMBER(T191)),NOT(ISNUMBER(U191))),"",(U191*'sheet1-指标体系'!$J$6-T191*'sheet1-指标体系'!$J$5)/'sheet1-指标体系'!$J$7)</x:f>
        <x:v>0.7083749999999999</x:v>
      </x:c>
      <x:c r="W191" s="17" t="n">
        <x:f>IF(NOT(ISNUMBER(T191)),"",T191*100)</x:f>
        <x:v>84.62</x:v>
      </x:c>
      <x:c r="X191" s="17" t="n">
        <x:f>IF($G191&lt;&gt;"入池","",IF(AND(ISNUMBER(V191),V191&gt;=0,V191&lt;=1),V191*100,IF(MAX(0,($F191-1)*12)&lt;6,100,"")))</x:f>
        <x:v>70.83749999999999</x:v>
      </x:c>
      <x:c r="Y191" s="17" t="n">
        <x:f>IF(NOT(ISNUMBER(W191)),"",IF(NOT(ISNUMBER(X191)),W191,ROUND(W191*'sheet1-指标体系'!$J$8+X191*'sheet1-指标体系'!$J$9,2)))</x:f>
        <x:v>79.11</x:v>
      </x:c>
      <x:c r="Z191" s="37" t="n">
        <x:f>IF(OR(NOT(ISNUMBER(M191)),NOT(ISNUMBER(AD191)),AD191=0),"",ABS(M191/AD191))</x:f>
        <x:v>0.02198532202960901</x:v>
      </x:c>
      <x:c r="AA191" s="35" t="n">
        <x:f>IF(ISNUMBER('sheet4-原始数据'!K176),'sheet4-原始数据'!K176,"")</x:f>
        <x:v>0.0384</x:v>
      </x:c>
      <x:c r="AB191" s="37" t="n">
        <x:f>IF(COUNT(Z191:AA191)=0,"",MAX(Z191:AA191))</x:f>
        <x:v>0.0384</x:v>
      </x:c>
      <x:c r="AC191" s="17" t="n">
        <x:f>IF(OR($G191&lt;&gt;"入池",NOT(ISNUMBER(AB191))),"",IF(COUNTIFS($G$17:$G$219,"入池",$AB$17:$AB$219,"&gt;=-1E+307",$AB$17:$AB$219,"&lt;=1E+307")&lt;=1,100,ROUND(100*(COUNTIFS($G$17:$G$219,"入池",$AB$17:$AB$219,"&lt;=1E+307",$AB$17:$AB$219,"&gt;"&amp;AB191)+COUNTIFS($G$17:$G$219,"入池",$AB$17:$AB$219,AB191,$AB$17:$AB$219,"&gt;=-1E+307",$AB$17:$AB$219,"&lt;=1E+307")/2-0.5)/(COUNTIFS($G$17:$G$219,"入池",$AB$17:$AB$219,"&gt;=-1E+307",$AB$17:$AB$219,"&lt;=1E+307")-1),2)))</x:f>
        <x:v>53.47</x:v>
      </x:c>
      <x:c r="AD191" s="38" t="n">
        <x:f>IF(ISNUMBER('sheet4-原始数据'!M176),'sheet4-原始数据'!M176,"")</x:f>
        <x:v>3.1612</x:v>
      </x:c>
      <x:c r="AE191" s="37" t="n">
        <x:f>IF(OR(NOT(ISNUMBER(P191)),NOT(ISNUMBER(AA191)),NOT(ISNUMBER(Z191))),"",IF(AA191&gt;Z191+'sheet1-指标体系'!$J$11,AA191,""))</x:f>
        <x:v>0.0384</x:v>
      </x:c>
      <x:c r="AF191" s="17" t="n">
        <x:f>IF(OR(NOT(ISNUMBER(P191)),NOT(ISNUMBER(AE191)),AE191=0),"",P191/AE191)</x:f>
        <x:v>1.8528756299733204</x:v>
      </x:c>
      <x:c r="AG191" s="17" t="n">
        <x:f>IF(OR($G191&lt;&gt;"入池",NOT(ISNUMBER(AD191))),"",IF(COUNTIFS($G$17:$G$219,"入池",$AD$17:$AD$219,"&gt;=-1E+307",$AD$17:$AD$219,"&lt;=1E+307")&lt;=1,100,ROUND(100*(COUNTIFS($G$17:$G$219,"入池",$AD$17:$AD$219,"&gt;=-1E+307",$AD$17:$AD$219,"&lt;"&amp;AD191)+COUNTIFS($G$17:$G$219,"入池",$AD$17:$AD$219,AD191,$AD$17:$AD$219,"&gt;=-1E+307",$AD$17:$AD$219,"&lt;=1E+307")/2-0.5)/(COUNTIFS($G$17:$G$219,"入池",$AD$17:$AD$219,"&gt;=-1E+307",$AD$17:$AD$219,"&lt;=1E+307")-1),2)))</x:f>
        <x:v>53.73</x:v>
      </x:c>
      <x:c r="AH191" s="17" t="n">
        <x:f>IF(OR($G191&lt;&gt;"入池",NOT(ISNUMBER(AF191))),"",IF(COUNTIFS($G$17:$G$219,"入池",$AF$17:$AF$219,"&gt;=-1E+307",$AF$17:$AF$219,"&lt;=1E+307")&lt;=1,100,ROUND(100*(COUNTIFS($G$17:$G$219,"入池",$AF$17:$AF$219,"&gt;=-1E+307",$AF$17:$AF$219,"&lt;"&amp;AF191)+COUNTIFS($G$17:$G$219,"入池",$AF$17:$AF$219,AF191,$AF$17:$AF$219,"&gt;=-1E+307",$AF$17:$AF$219,"&lt;=1E+307")/2-0.5)/(COUNTIFS($G$17:$G$219,"入池",$AF$17:$AF$219,"&gt;=-1E+307",$AF$17:$AF$219,"&lt;=1E+307")-1),2)))</x:f>
        <x:v>62.77</x:v>
      </x:c>
      <x:c r="AI191" s="17" t="n">
        <x:f>IF(NOT(ISNUMBER(AG191)),"",IF(NOT(ISNUMBER(AH191)),AG191,ROUND(AG191*'sheet1-指标体系'!$J$8+AH191*'sheet1-指标体系'!$J$9,2)))</x:f>
        <x:v>57.35</x:v>
      </x:c>
      <x:c r="AJ191" s="37" t="n">
        <x:f>IF(NOT(ISNUMBER(F191)),"",IF(F191&gt;=3,IF(NOT(ISNUMBER(N191)),"",N191),IF(NOT(ISNUMBER(O191)),"",O191)))</x:f>
        <x:v>0.0706</x:v>
      </x:c>
      <x:c r="AK191" s="17" t="n">
        <x:f>IF(OR(G191&lt;&gt;"入池",NOT(ISNUMBER(M191)),NOT(ISNUMBER(AJ191))),"",IF(M191&gt;=AJ191,100,IF(AJ191-M191&lt;'sheet1-指标体系'!$J$10,80,60)))</x:f>
        <x:v>80</x:v>
      </x:c>
      <x:c r="AL191" s="17" t="n">
        <x:f>IF(COUNT(I191,K191,L191)=0,"",ROUND((IF(ISNUMBER(I191),I191*40%,0)+IF(ISNUMBER(K191),K191*30%,0)+IF(ISNUMBER(L191),L191*30%,0))/(IF(ISNUMBER(I191),40%,0)+IF(ISNUMBER(K191),30%,0)+IF(ISNUMBER(L191),30%,0)),2))</x:f>
        <x:v>92</x:v>
      </x:c>
      <x:c r="AM191" s="17" t="n">
        <x:f>IF(COUNT(Q191,R191,W191,X191)=0,"",ROUND((IF(ISNUMBER(Q191),Q191*42%,0)+IF(ISNUMBER(R191),R191*28%,0)+IF(ISNUMBER(W191),W191*18%,0)+IF(ISNUMBER(X191),X191*12%,0))/(IF(ISNUMBER(Q191),42%,0)+IF(ISNUMBER(R191),28%,0)+IF(ISNUMBER(W191),18%,0)+IF(ISNUMBER(X191),12%,0)),2))</x:f>
        <x:v>65.94</x:v>
      </x:c>
      <x:c r="AN191" s="17" t="n">
        <x:f>IF(ISNUMBER(AC191),AC191,"")</x:f>
        <x:v>53.47</x:v>
      </x:c>
      <x:c r="AO191" s="17" t="n">
        <x:f>IF(COUNT(AG191,AH191)=0,"",ROUND((IF(ISNUMBER(AG191),AG191*60%,0)+IF(ISNUMBER(AH191),AH191*40%,0))/(IF(ISNUMBER(AG191),60%,0)+IF(ISNUMBER(AH191),40%,0)),2))</x:f>
        <x:v>57.35</x:v>
      </x:c>
      <x:c r="AP191" s="17" t="n">
        <x:f>IF(ISNUMBER(AK191),AK191,"")</x:f>
        <x:v>80</x:v>
      </x:c>
      <x:c r="AQ191" s="39" t="n">
        <x:f>IF(G191&lt;&gt;"入池",0,IF(ISNUMBER(I191),6%,0)+IF(ISNUMBER(K191),4.5%,0)+IF(ISNUMBER(L191),4.5%,0)+IF(ISNUMBER(Q191),8.4%,0)+IF(ISNUMBER(R191),5.6%,0)+IF(ISNUMBER(W191),3.6%,0)+IF(ISNUMBER(X191),2.4%,0)+IF(ISNUMBER(AC191),25%,0)+IF(ISNUMBER(AG191),18%,0)+IF(ISNUMBER(AH191),12%,0)+IF(ISNUMBER(AK191),10%,0))</x:f>
        <x:v>1</x:v>
      </x:c>
      <x:c r="AR191" s="17" t="n">
        <x:f>IF(AQ191=0,"",IF(ISNUMBER(I191),I191*6%,0)+IF(ISNUMBER(K191),K191*4.5%,0)+IF(ISNUMBER(L191),L191*4.5%,0)+IF(ISNUMBER(Q191),Q191*8.4%,0)+IF(ISNUMBER(R191),R191*5.6%,0)+IF(ISNUMBER(W191),W191*3.6%,0)+IF(ISNUMBER(X191),X191*2.4%,0)+IF(ISNUMBER(AC191),AC191*25%,0)+IF(ISNUMBER(AG191),AG191*18%,0)+IF(ISNUMBER(AH191),AH191*12%,0)+IF(ISNUMBER(AK191),AK191*10%,0))</x:f>
        <x:v>65.55916</x:v>
      </x:c>
      <x:c r="AS191" s="17" t="n">
        <x:f>IF(AQ191=0,"",ROUND(AR191/AQ191,2))</x:f>
        <x:v>65.56</x:v>
      </x:c>
      <x:c r="AT191" s="40" t="n">
        <x:f>IF(OR(G191&lt;&gt;"入池",NOT(ISNUMBER(AS191))),"",COUNTIFS($G$17:$G$219,"入池",$AS$17:$AS$219,"&gt;"&amp;AS191)+COUNTIFS($G$17:$G$219,"入池",$AS$17:$AS$219,AS191,$AQ$17:$AQ$219,"&gt;"&amp;AQ191)+COUNTIFS($G$17:G191,"入池",$AS$17:AS191,AS191,$AQ$17:AQ191,AQ191))</x:f>
        <x:v>89</x:v>
      </x:c>
      <x:c r="AU191" s="41" t="str">
        <x:f t="shared" si="7">IF(NOT(ISNUMBER(I191)),"管理人规模；","")&amp;IF(J191="","产品规模标识；","")&amp;IF(AND(F191&lt;3,NOT(ISNUMBER(O191))),"R_incep；","")&amp;IF(NOT(ISNUMBER(N191)),"近三年收益；","")&amp;IF(NOT(ISNUMBER(U191)),"近三年胜率；","")&amp;IF(AND(ISNUMBER(V191),OR(V191&lt;0,V191&gt;1)),"胜率窗口口径不一致；","")&amp;IF(NOT(ISNUMBER(AA191)),"近三年回撤；","")&amp;IF(NOT(ISNUMBER(AD191)),"短期卡玛；","")&amp;IF(AND(ISNUMBER(P191),NOT(ISNUMBER(AE191))),"DD_long不可识别；","")</x:f>
      </x:c>
      <x:c r="AV191" s="42" t="n">
        <x:v>10</x:v>
      </x:c>
      <x:c r="AW191" s="19" t="str">
        <x:v>海南思益私募基金管理合伙企业（有限合伙）</x:v>
      </x:c>
      <x:c r="AX191" s="19" t="str">
        <x:v>2026-06-16</x:v>
      </x:c>
      <x:c r="AY191" s="19" t="str">
        <x:v>https://gs.amac.org.cn/amac-infodisc/res/pof/manager/2204271712106058.html</x:v>
      </x:c>
      <x:c r="AZ191" s="19" t="str">
        <x:v>思益行稳致远1号私募证券投资基金</x:v>
      </x:c>
      <x:c r="BA191" s="19" t="str">
        <x:v>2026-01-08</x:v>
      </x:c>
      <x:c r="BB191" s="19"/>
      <x:c r="BC191" s="19" t="str">
        <x:v>https://gs.amac.org.cn/amac-infodisc/res/pof/fund/2301191725107252.html</x:v>
      </x:c>
      <x:c r="BD191" s="19" t="str">
        <x:v>已匹配</x:v>
      </x:c>
      <x:c r="BE191"/>
      <x:c r="BF191"/>
    </x:row>
    <x:row r="192" ht="28" customHeight="1">
      <x:c r="A192" s="4" t="n">
        <x:v>176</x:v>
      </x:c>
      <x:c r="B192" s="15" t="str">
        <x:f>'sheet4-原始数据'!A177</x:f>
        <x:v>恒立卓越1号</x:v>
      </x:c>
      <x:c r="C192" s="15" t="str">
        <x:f>'sheet4-原始数据'!B177</x:f>
        <x:v>SZF893</x:v>
      </x:c>
      <x:c r="D192" s="15" t="str">
        <x:f>'sheet4-原始数据'!E177</x:f>
        <x:v>海南恒立</x:v>
      </x:c>
      <x:c r="E192" s="32" t="n">
        <x:f>IF(ISNUMBER('sheet4-原始数据'!F177),'sheet4-原始数据'!F177,"")</x:f>
        <x:v>44945</x:v>
      </x:c>
      <x:c r="F192" s="17" t="n">
        <x:f>IF(NOT(ISNUMBER(E192)),"",ROUND(('sheet1-指标体系'!$J$23-E192)/365.25,4))</x:f>
        <x:v>3.6578</x:v>
      </x:c>
      <x:c r="G192" s="4" t="str">
        <x:f t="shared" si="6">IF(NOT(ISNUMBER(F192)),"",IF(F192&lt;1,"不入池","入池"))</x:f>
        <x:v>入池</x:v>
      </x:c>
      <x:c r="H192" s="33" t="str">
        <x:v>5-10亿元</x:v>
      </x:c>
      <x:c r="I192" s="17" t="n">
        <x:f>IF(H192="","",IF(ISNUMBER(SEARCH("100亿元以上",H192)),100,IF(OR(ISNUMBER(SEARCH("20-50",H192)),ISNUMBER(SEARCH("50-100",H192)),ISNUMBER(SEARCH("20-100",H192))),90,IF(ISNUMBER(SEARCH("10-20",H192)),80,IF(ISNUMBER(SEARCH("5-10",H192)),70,IF(ISNUMBER(SEARCH("0-5",H192)),60,""))))))</x:f>
        <x:v>70</x:v>
      </x:c>
      <x:c r="J192" s="34" t="str">
        <x:v>无低于1000万元标识</x:v>
      </x:c>
      <x:c r="K192" s="17" t="n">
        <x:f>IF(J192="","",IF(J192="低于1000万元",0,100))</x:f>
        <x:v>100</x:v>
      </x:c>
      <x:c r="L192" s="17" t="n">
        <x:f>IF(NOT(ISNUMBER(F192)),"",IF(F192&lt;1,"",IF(F192&lt;3,70,100)))</x:f>
        <x:v>100</x:v>
      </x:c>
      <x:c r="M192" s="35" t="n">
        <x:f>IF(ISNUMBER('sheet4-原始数据'!G177),'sheet4-原始数据'!G177,"")</x:f>
        <x:v>-0.046799999999999994</x:v>
      </x:c>
      <x:c r="N192" s="35" t="n">
        <x:f>IF(ISNUMBER('sheet4-原始数据'!H177),'sheet4-原始数据'!H177,"")</x:f>
        <x:v>0.15439999999999998</x:v>
      </x:c>
      <x:c r="O192" s="36" t="str">
        <x:f>IF(ISNUMBER('sheet4-原始数据'!Q177),'sheet4-原始数据'!Q177,"")</x:f>
      </x:c>
      <x:c r="P192" s="37" t="n">
        <x:f>IF($G192&lt;&gt;"入池","",IF($F192&gt;=3,IF(OR(NOT(ISNUMBER($M192)),NOT(ISNUMBER($N192)),1+$M192&lt;=0,1+$N192&lt;0),"",((1+$N192)^3/(1+$M192))^(1/2)-1),IF(OR($F192&lt;=1,NOT(ISNUMBER($M192)),NOT(ISNUMBER($O192)),1+$M192&lt;=0,1+$O192&lt;0),"",((1+$O192)^$F192/(1+$M192))^(1/($F192-1))-1)))</x:f>
        <x:v>0.27040577789946796</x:v>
      </x:c>
      <x:c r="Q192" s="17" t="n">
        <x:f>IF(OR($G192&lt;&gt;"入池",NOT(ISNUMBER(M192))),"",IF(COUNTIFS($G$17:$G$219,"入池",$M$17:$M$219,"&gt;=-1E+307",$M$17:$M$219,"&lt;=1E+307")&lt;=1,100,ROUND(100*(COUNTIFS($G$17:$G$219,"入池",$M$17:$M$219,"&gt;=-1E+307",$M$17:$M$219,"&lt;"&amp;M192)+COUNTIFS($G$17:$G$219,"入池",$M$17:$M$219,M192,$M$17:$M$219,"&gt;=-1E+307",$M$17:$M$219,"&lt;=1E+307")/2-0.5)/(COUNTIFS($G$17:$G$219,"入池",$M$17:$M$219,"&gt;=-1E+307",$M$17:$M$219,"&lt;=1E+307")-1),2)))</x:f>
        <x:v>8.91</x:v>
      </x:c>
      <x:c r="R192" s="17" t="n">
        <x:f>IF(OR($G192&lt;&gt;"入池",NOT(ISNUMBER(P192))),"",IF(COUNTIFS($G$17:$G$219,"入池",$P$17:$P$219,"&gt;=-1E+307",$P$17:$P$219,"&lt;=1E+307")&lt;=1,100,ROUND(100*(COUNTIFS($G$17:$G$219,"入池",$P$17:$P$219,"&gt;=-1E+307",$P$17:$P$219,"&lt;"&amp;P192)+COUNTIFS($G$17:$G$219,"入池",$P$17:$P$219,P192,$P$17:$P$219,"&gt;=-1E+307",$P$17:$P$219,"&lt;=1E+307")/2-0.5)/(COUNTIFS($G$17:$G$219,"入池",$P$17:$P$219,"&gt;=-1E+307",$P$17:$P$219,"&lt;=1E+307")-1),2)))</x:f>
        <x:v>98.51</x:v>
      </x:c>
      <x:c r="S192" s="17" t="n">
        <x:f>IF(NOT(ISNUMBER(Q192)),"",IF(NOT(ISNUMBER(R192)),Q192,ROUND(Q192*'sheet1-指标体系'!$J$8+R192*'sheet1-指标体系'!$J$9,2)))</x:f>
        <x:v>44.75</x:v>
      </x:c>
      <x:c r="T192" s="35" t="n">
        <x:f>IF(ISNUMBER('sheet4-原始数据'!J177),'sheet4-原始数据'!J177,"")</x:f>
        <x:v>0.5385</x:v>
      </x:c>
      <x:c r="U192" s="35" t="n">
        <x:f>IF(ISNUMBER('sheet4-原始数据'!I177),'sheet4-原始数据'!I177,"")</x:f>
        <x:v>0.5405</x:v>
      </x:c>
      <x:c r="V192" s="37" t="n">
        <x:f>IF(OR(NOT(ISNUMBER(T192)),NOT(ISNUMBER(U192))),"",(U192*'sheet1-指标体系'!$J$6-T192*'sheet1-指标体系'!$J$5)/'sheet1-指标体系'!$J$7)</x:f>
        <x:v>0.5415833333333334</x:v>
      </x:c>
      <x:c r="W192" s="17" t="n">
        <x:f>IF(NOT(ISNUMBER(T192)),"",T192*100)</x:f>
        <x:v>53.849999999999994</x:v>
      </x:c>
      <x:c r="X192" s="17" t="n">
        <x:f>IF($G192&lt;&gt;"入池","",IF(AND(ISNUMBER(V192),V192&gt;=0,V192&lt;=1),V192*100,IF(MAX(0,($F192-1)*12)&lt;6,100,"")))</x:f>
        <x:v>54.15833333333334</x:v>
      </x:c>
      <x:c r="Y192" s="17" t="n">
        <x:f>IF(NOT(ISNUMBER(W192)),"",IF(NOT(ISNUMBER(X192)),W192,ROUND(W192*'sheet1-指标体系'!$J$8+X192*'sheet1-指标体系'!$J$9,2)))</x:f>
        <x:v>53.97</x:v>
      </x:c>
      <x:c r="Z192" s="37" t="n">
        <x:f>IF(OR(NOT(ISNUMBER(M192)),NOT(ISNUMBER(AD192)),AD192=0),"",ABS(M192/AD192))</x:f>
        <x:v>0.12280241406454998</x:v>
      </x:c>
      <x:c r="AA192" s="35" t="n">
        <x:f>IF(ISNUMBER('sheet4-原始数据'!K177),'sheet4-原始数据'!K177,"")</x:f>
        <x:v>0.12279999999999999</x:v>
      </x:c>
      <x:c r="AB192" s="37" t="n">
        <x:f>IF(COUNT(Z192:AA192)=0,"",MAX(Z192:AA192))</x:f>
        <x:v>0.12280241406454998</x:v>
      </x:c>
      <x:c r="AC192" s="17" t="n">
        <x:f>IF(OR($G192&lt;&gt;"入池",NOT(ISNUMBER(AB192))),"",IF(COUNTIFS($G$17:$G$219,"入池",$AB$17:$AB$219,"&gt;=-1E+307",$AB$17:$AB$219,"&lt;=1E+307")&lt;=1,100,ROUND(100*(COUNTIFS($G$17:$G$219,"入池",$AB$17:$AB$219,"&lt;=1E+307",$AB$17:$AB$219,"&gt;"&amp;AB192)+COUNTIFS($G$17:$G$219,"入池",$AB$17:$AB$219,AB192,$AB$17:$AB$219,"&gt;=-1E+307",$AB$17:$AB$219,"&lt;=1E+307")/2-0.5)/(COUNTIFS($G$17:$G$219,"入池",$AB$17:$AB$219,"&gt;=-1E+307",$AB$17:$AB$219,"&lt;=1E+307")-1),2)))</x:f>
        <x:v>18.32</x:v>
      </x:c>
      <x:c r="AD192" s="38" t="n">
        <x:f>IF(ISNUMBER('sheet4-原始数据'!M177),'sheet4-原始数据'!M177,"")</x:f>
        <x:v>-0.3811</x:v>
      </x:c>
      <x:c r="AE192" s="37" t="str">
        <x:f>IF(OR(NOT(ISNUMBER(P192)),NOT(ISNUMBER(AA192)),NOT(ISNUMBER(Z192))),"",IF(AA192&gt;Z192+'sheet1-指标体系'!$J$11,AA192,""))</x:f>
      </x:c>
      <x:c r="AF192" s="17" t="str">
        <x:f>IF(OR(NOT(ISNUMBER(P192)),NOT(ISNUMBER(AE192)),AE192=0),"",P192/AE192)</x:f>
      </x:c>
      <x:c r="AG192" s="17" t="n">
        <x:f>IF(OR($G192&lt;&gt;"入池",NOT(ISNUMBER(AD192))),"",IF(COUNTIFS($G$17:$G$219,"入池",$AD$17:$AD$219,"&gt;=-1E+307",$AD$17:$AD$219,"&lt;=1E+307")&lt;=1,100,ROUND(100*(COUNTIFS($G$17:$G$219,"入池",$AD$17:$AD$219,"&gt;=-1E+307",$AD$17:$AD$219,"&lt;"&amp;AD192)+COUNTIFS($G$17:$G$219,"入池",$AD$17:$AD$219,AD192,$AD$17:$AD$219,"&gt;=-1E+307",$AD$17:$AD$219,"&lt;=1E+307")/2-0.5)/(COUNTIFS($G$17:$G$219,"入池",$AD$17:$AD$219,"&gt;=-1E+307",$AD$17:$AD$219,"&lt;=1E+307")-1),2)))</x:f>
        <x:v>10.45</x:v>
      </x:c>
      <x:c r="AH192" s="17" t="str">
        <x:f>IF(OR($G192&lt;&gt;"入池",NOT(ISNUMBER(AF192))),"",IF(COUNTIFS($G$17:$G$219,"入池",$AF$17:$AF$219,"&gt;=-1E+307",$AF$17:$AF$219,"&lt;=1E+307")&lt;=1,100,ROUND(100*(COUNTIFS($G$17:$G$219,"入池",$AF$17:$AF$219,"&gt;=-1E+307",$AF$17:$AF$219,"&lt;"&amp;AF192)+COUNTIFS($G$17:$G$219,"入池",$AF$17:$AF$219,AF192,$AF$17:$AF$219,"&gt;=-1E+307",$AF$17:$AF$219,"&lt;=1E+307")/2-0.5)/(COUNTIFS($G$17:$G$219,"入池",$AF$17:$AF$219,"&gt;=-1E+307",$AF$17:$AF$219,"&lt;=1E+307")-1),2)))</x:f>
      </x:c>
      <x:c r="AI192" s="17" t="n">
        <x:f>IF(NOT(ISNUMBER(AG192)),"",IF(NOT(ISNUMBER(AH192)),AG192,ROUND(AG192*'sheet1-指标体系'!$J$8+AH192*'sheet1-指标体系'!$J$9,2)))</x:f>
        <x:v>10.45</x:v>
      </x:c>
      <x:c r="AJ192" s="37" t="n">
        <x:f>IF(NOT(ISNUMBER(F192)),"",IF(F192&gt;=3,IF(NOT(ISNUMBER(N192)),"",N192),IF(NOT(ISNUMBER(O192)),"",O192)))</x:f>
        <x:v>0.15439999999999998</x:v>
      </x:c>
      <x:c r="AK192" s="17" t="n">
        <x:f>IF(OR(G192&lt;&gt;"入池",NOT(ISNUMBER(M192)),NOT(ISNUMBER(AJ192))),"",IF(M192&gt;=AJ192,100,IF(AJ192-M192&lt;'sheet1-指标体系'!$J$10,80,60)))</x:f>
        <x:v>60</x:v>
      </x:c>
      <x:c r="AL192" s="17" t="n">
        <x:f>IF(COUNT(I192,K192,L192)=0,"",ROUND((IF(ISNUMBER(I192),I192*40%,0)+IF(ISNUMBER(K192),K192*30%,0)+IF(ISNUMBER(L192),L192*30%,0))/(IF(ISNUMBER(I192),40%,0)+IF(ISNUMBER(K192),30%,0)+IF(ISNUMBER(L192),30%,0)),2))</x:f>
        <x:v>88</x:v>
      </x:c>
      <x:c r="AM192" s="17" t="n">
        <x:f>IF(COUNT(Q192,R192,W192,X192)=0,"",ROUND((IF(ISNUMBER(Q192),Q192*42%,0)+IF(ISNUMBER(R192),R192*28%,0)+IF(ISNUMBER(W192),W192*18%,0)+IF(ISNUMBER(X192),X192*12%,0))/(IF(ISNUMBER(Q192),42%,0)+IF(ISNUMBER(R192),28%,0)+IF(ISNUMBER(W192),18%,0)+IF(ISNUMBER(X192),12%,0)),2))</x:f>
        <x:v>47.52</x:v>
      </x:c>
      <x:c r="AN192" s="17" t="n">
        <x:f>IF(ISNUMBER(AC192),AC192,"")</x:f>
        <x:v>18.32</x:v>
      </x:c>
      <x:c r="AO192" s="17" t="n">
        <x:f>IF(COUNT(AG192,AH192)=0,"",ROUND((IF(ISNUMBER(AG192),AG192*60%,0)+IF(ISNUMBER(AH192),AH192*40%,0))/(IF(ISNUMBER(AG192),60%,0)+IF(ISNUMBER(AH192),40%,0)),2))</x:f>
        <x:v>10.45</x:v>
      </x:c>
      <x:c r="AP192" s="17" t="n">
        <x:f>IF(ISNUMBER(AK192),AK192,"")</x:f>
        <x:v>60</x:v>
      </x:c>
      <x:c r="AQ192" s="39" t="n">
        <x:f>IF(G192&lt;&gt;"入池",0,IF(ISNUMBER(I192),6%,0)+IF(ISNUMBER(K192),4.5%,0)+IF(ISNUMBER(L192),4.5%,0)+IF(ISNUMBER(Q192),8.4%,0)+IF(ISNUMBER(R192),5.6%,0)+IF(ISNUMBER(W192),3.6%,0)+IF(ISNUMBER(X192),2.4%,0)+IF(ISNUMBER(AC192),25%,0)+IF(ISNUMBER(AG192),18%,0)+IF(ISNUMBER(AH192),12%,0)+IF(ISNUMBER(AK192),10%,0))</x:f>
        <x:v>0.88</x:v>
      </x:c>
      <x:c r="AR192" s="17" t="n">
        <x:f>IF(AQ192=0,"",IF(ISNUMBER(I192),I192*6%,0)+IF(ISNUMBER(K192),K192*4.5%,0)+IF(ISNUMBER(L192),L192*4.5%,0)+IF(ISNUMBER(Q192),Q192*8.4%,0)+IF(ISNUMBER(R192),R192*5.6%,0)+IF(ISNUMBER(W192),W192*3.6%,0)+IF(ISNUMBER(X192),X192*2.4%,0)+IF(ISNUMBER(AC192),AC192*25%,0)+IF(ISNUMBER(AG192),AG192*18%,0)+IF(ISNUMBER(AH192),AH192*12%,0)+IF(ISNUMBER(AK192),AK192*10%,0))</x:f>
        <x:v>35.1644</x:v>
      </x:c>
      <x:c r="AS192" s="17" t="n">
        <x:f>IF(AQ192=0,"",ROUND(AR192/AQ192,2))</x:f>
        <x:v>39.96</x:v>
      </x:c>
      <x:c r="AT192" s="40" t="n">
        <x:f>IF(OR(G192&lt;&gt;"入池",NOT(ISNUMBER(AS192))),"",COUNTIFS($G$17:$G$219,"入池",$AS$17:$AS$219,"&gt;"&amp;AS192)+COUNTIFS($G$17:$G$219,"入池",$AS$17:$AS$219,AS192,$AQ$17:$AQ$219,"&gt;"&amp;AQ192)+COUNTIFS($G$17:G192,"入池",$AS$17:AS192,AS192,$AQ$17:AQ192,AQ192))</x:f>
        <x:v>176</x:v>
      </x:c>
      <x:c r="AU192" s="41" t="str">
        <x:f t="shared" si="7">IF(NOT(ISNUMBER(I192)),"管理人规模；","")&amp;IF(J192="","产品规模标识；","")&amp;IF(AND(F192&lt;3,NOT(ISNUMBER(O192))),"R_incep；","")&amp;IF(NOT(ISNUMBER(N192)),"近三年收益；","")&amp;IF(NOT(ISNUMBER(U192)),"近三年胜率；","")&amp;IF(AND(ISNUMBER(V192),OR(V192&lt;0,V192&gt;1)),"胜率窗口口径不一致；","")&amp;IF(NOT(ISNUMBER(AA192)),"近三年回撤；","")&amp;IF(NOT(ISNUMBER(AD192)),"短期卡玛；","")&amp;IF(AND(ISNUMBER(P192),NOT(ISNUMBER(AE192))),"DD_long不可识别；","")</x:f>
        <x:v>DD_long不可识别；</x:v>
      </x:c>
      <x:c r="AV192" s="42" t="n">
        <x:v>5</x:v>
      </x:c>
      <x:c r="AW192" s="19" t="str">
        <x:v>海南恒立私募基金管理有限公司</x:v>
      </x:c>
      <x:c r="AX192" s="19" t="str">
        <x:v>2026-07-08</x:v>
      </x:c>
      <x:c r="AY192" s="19" t="str">
        <x:v>https://gs.amac.org.cn/amac-infodisc/res/pof/manager/2204132153103555.html</x:v>
      </x:c>
      <x:c r="AZ192" s="19" t="str">
        <x:v>恒立卓越私募证券投资基金1号</x:v>
      </x:c>
      <x:c r="BA192" s="19" t="str">
        <x:v>2026-07-10</x:v>
      </x:c>
      <x:c r="BB192" s="19"/>
      <x:c r="BC192" s="19" t="str">
        <x:v>https://gs.amac.org.cn/amac-infodisc/res/pof/fund/2301291120104275.html</x:v>
      </x:c>
      <x:c r="BD192" s="19" t="str">
        <x:v>已匹配</x:v>
      </x:c>
      <x:c r="BE192"/>
      <x:c r="BF192"/>
    </x:row>
    <x:row r="193" ht="28" customHeight="1">
      <x:c r="A193" s="4" t="n">
        <x:v>177</x:v>
      </x:c>
      <x:c r="B193" s="15" t="str">
        <x:f>'sheet4-原始数据'!A178</x:f>
        <x:v>辰元优选稳健</x:v>
      </x:c>
      <x:c r="C193" s="15" t="str">
        <x:f>'sheet4-原始数据'!B178</x:f>
        <x:v>SZH690</x:v>
      </x:c>
      <x:c r="D193" s="15" t="str">
        <x:f>'sheet4-原始数据'!E178</x:f>
        <x:v>广东辰元</x:v>
      </x:c>
      <x:c r="E193" s="32" t="n">
        <x:f>IF(ISNUMBER('sheet4-原始数据'!F178),'sheet4-原始数据'!F178,"")</x:f>
        <x:v>44966</x:v>
      </x:c>
      <x:c r="F193" s="17" t="n">
        <x:f>IF(NOT(ISNUMBER(E193)),"",ROUND(('sheet1-指标体系'!$J$23-E193)/365.25,4))</x:f>
        <x:v>3.6003</x:v>
      </x:c>
      <x:c r="G193" s="4" t="str">
        <x:f t="shared" si="6">IF(NOT(ISNUMBER(F193)),"",IF(F193&lt;1,"不入池","入池"))</x:f>
        <x:v>入池</x:v>
      </x:c>
      <x:c r="H193" s="33" t="str">
        <x:v>20-50亿元</x:v>
      </x:c>
      <x:c r="I193" s="17" t="n">
        <x:f>IF(H193="","",IF(ISNUMBER(SEARCH("100亿元以上",H193)),100,IF(OR(ISNUMBER(SEARCH("20-50",H193)),ISNUMBER(SEARCH("50-100",H193)),ISNUMBER(SEARCH("20-100",H193))),90,IF(ISNUMBER(SEARCH("10-20",H193)),80,IF(ISNUMBER(SEARCH("5-10",H193)),70,IF(ISNUMBER(SEARCH("0-5",H193)),60,""))))))</x:f>
        <x:v>90</x:v>
      </x:c>
      <x:c r="J193" s="34" t="str">
        <x:v>无低于1000万元标识</x:v>
      </x:c>
      <x:c r="K193" s="17" t="n">
        <x:f>IF(J193="","",IF(J193="低于1000万元",0,100))</x:f>
        <x:v>100</x:v>
      </x:c>
      <x:c r="L193" s="17" t="n">
        <x:f>IF(NOT(ISNUMBER(F193)),"",IF(F193&lt;1,"",IF(F193&lt;3,70,100)))</x:f>
        <x:v>100</x:v>
      </x:c>
      <x:c r="M193" s="35" t="n">
        <x:f>IF(ISNUMBER('sheet4-原始数据'!G178),'sheet4-原始数据'!G178,"")</x:f>
        <x:v>0.0264</x:v>
      </x:c>
      <x:c r="N193" s="35" t="n">
        <x:f>IF(ISNUMBER('sheet4-原始数据'!H178),'sheet4-原始数据'!H178,"")</x:f>
        <x:v>0.0635</x:v>
      </x:c>
      <x:c r="O193" s="36" t="str">
        <x:f>IF(ISNUMBER('sheet4-原始数据'!Q178),'sheet4-原始数据'!Q178,"")</x:f>
      </x:c>
      <x:c r="P193" s="37" t="n">
        <x:f>IF($G193&lt;&gt;"入池","",IF($F193&gt;=3,IF(OR(NOT(ISNUMBER($M193)),NOT(ISNUMBER($N193)),1+$M193&lt;=0,1+$N193&lt;0),"",((1+$N193)^3/(1+$M193))^(1/2)-1),IF(OR($F193&lt;=1,NOT(ISNUMBER($M193)),NOT(ISNUMBER($O193)),1+$M193&lt;=0,1+$O193&lt;0),"",((1+$O193)^$F193/(1+$M193))^(1/($F193-1))-1)))</x:f>
        <x:v>0.08254988863086932</x:v>
      </x:c>
      <x:c r="Q193" s="17" t="n">
        <x:f>IF(OR($G193&lt;&gt;"入池",NOT(ISNUMBER(M193))),"",IF(COUNTIFS($G$17:$G$219,"入池",$M$17:$M$219,"&gt;=-1E+307",$M$17:$M$219,"&lt;=1E+307")&lt;=1,100,ROUND(100*(COUNTIFS($G$17:$G$219,"入池",$M$17:$M$219,"&gt;=-1E+307",$M$17:$M$219,"&lt;"&amp;M193)+COUNTIFS($G$17:$G$219,"入池",$M$17:$M$219,M193,$M$17:$M$219,"&gt;=-1E+307",$M$17:$M$219,"&lt;=1E+307")/2-0.5)/(COUNTIFS($G$17:$G$219,"入池",$M$17:$M$219,"&gt;=-1E+307",$M$17:$M$219,"&lt;=1E+307")-1),2)))</x:f>
        <x:v>29.7</x:v>
      </x:c>
      <x:c r="R193" s="17" t="n">
        <x:f>IF(OR($G193&lt;&gt;"入池",NOT(ISNUMBER(P193))),"",IF(COUNTIFS($G$17:$G$219,"入池",$P$17:$P$219,"&gt;=-1E+307",$P$17:$P$219,"&lt;=1E+307")&lt;=1,100,ROUND(100*(COUNTIFS($G$17:$G$219,"入池",$P$17:$P$219,"&gt;=-1E+307",$P$17:$P$219,"&lt;"&amp;P193)+COUNTIFS($G$17:$G$219,"入池",$P$17:$P$219,P193,$P$17:$P$219,"&gt;=-1E+307",$P$17:$P$219,"&lt;=1E+307")/2-0.5)/(COUNTIFS($G$17:$G$219,"入池",$P$17:$P$219,"&gt;=-1E+307",$P$17:$P$219,"&lt;=1E+307")-1),2)))</x:f>
        <x:v>67.82</x:v>
      </x:c>
      <x:c r="S193" s="17" t="n">
        <x:f>IF(NOT(ISNUMBER(Q193)),"",IF(NOT(ISNUMBER(R193)),Q193,ROUND(Q193*'sheet1-指标体系'!$J$8+R193*'sheet1-指标体系'!$J$9,2)))</x:f>
        <x:v>44.95</x:v>
      </x:c>
      <x:c r="T193" s="35" t="n">
        <x:f>IF(ISNUMBER('sheet4-原始数据'!J178),'sheet4-原始数据'!J178,"")</x:f>
        <x:v>0.6154</x:v>
      </x:c>
      <x:c r="U193" s="35" t="n">
        <x:f>IF(ISNUMBER('sheet4-原始数据'!I178),'sheet4-原始数据'!I178,"")</x:f>
        <x:v>0.8378</x:v>
      </x:c>
      <x:c r="V193" s="37" t="n">
        <x:f>IF(OR(NOT(ISNUMBER(T193)),NOT(ISNUMBER(U193))),"",(U193*'sheet1-指标体系'!$J$6-T193*'sheet1-指标体系'!$J$5)/'sheet1-指标体系'!$J$7)</x:f>
        <x:v>0.9582666666666667</x:v>
      </x:c>
      <x:c r="W193" s="17" t="n">
        <x:f>IF(NOT(ISNUMBER(T193)),"",T193*100)</x:f>
        <x:v>61.53999999999999</x:v>
      </x:c>
      <x:c r="X193" s="17" t="n">
        <x:f>IF($G193&lt;&gt;"入池","",IF(AND(ISNUMBER(V193),V193&gt;=0,V193&lt;=1),V193*100,IF(MAX(0,($F193-1)*12)&lt;6,100,"")))</x:f>
        <x:v>95.82666666666667</x:v>
      </x:c>
      <x:c r="Y193" s="17" t="n">
        <x:f>IF(NOT(ISNUMBER(W193)),"",IF(NOT(ISNUMBER(X193)),W193,ROUND(W193*'sheet1-指标体系'!$J$8+X193*'sheet1-指标体系'!$J$9,2)))</x:f>
        <x:v>75.25</x:v>
      </x:c>
      <x:c r="Z193" s="37" t="n">
        <x:f>IF(OR(NOT(ISNUMBER(M193)),NOT(ISNUMBER(AD193)),AD193=0),"",ABS(M193/AD193))</x:f>
        <x:v>0.004210324864839003</x:v>
      </x:c>
      <x:c r="AA193" s="35" t="n">
        <x:f>IF(ISNUMBER('sheet4-原始数据'!K178),'sheet4-原始数据'!K178,"")</x:f>
        <x:v>0.0042</x:v>
      </x:c>
      <x:c r="AB193" s="37" t="n">
        <x:f>IF(COUNT(Z193:AA193)=0,"",MAX(Z193:AA193))</x:f>
        <x:v>0.004210324864839003</x:v>
      </x:c>
      <x:c r="AC193" s="17" t="n">
        <x:f>IF(OR($G193&lt;&gt;"入池",NOT(ISNUMBER(AB193))),"",IF(COUNTIFS($G$17:$G$219,"入池",$AB$17:$AB$219,"&gt;=-1E+307",$AB$17:$AB$219,"&lt;=1E+307")&lt;=1,100,ROUND(100*(COUNTIFS($G$17:$G$219,"入池",$AB$17:$AB$219,"&lt;=1E+307",$AB$17:$AB$219,"&gt;"&amp;AB193)+COUNTIFS($G$17:$G$219,"入池",$AB$17:$AB$219,AB193,$AB$17:$AB$219,"&gt;=-1E+307",$AB$17:$AB$219,"&lt;=1E+307")/2-0.5)/(COUNTIFS($G$17:$G$219,"入池",$AB$17:$AB$219,"&gt;=-1E+307",$AB$17:$AB$219,"&lt;=1E+307")-1),2)))</x:f>
        <x:v>96.53</x:v>
      </x:c>
      <x:c r="AD193" s="38" t="n">
        <x:f>IF(ISNUMBER('sheet4-原始数据'!M178),'sheet4-原始数据'!M178,"")</x:f>
        <x:v>6.2703</x:v>
      </x:c>
      <x:c r="AE193" s="37" t="str">
        <x:f>IF(OR(NOT(ISNUMBER(P193)),NOT(ISNUMBER(AA193)),NOT(ISNUMBER(Z193))),"",IF(AA193&gt;Z193+'sheet1-指标体系'!$J$11,AA193,""))</x:f>
      </x:c>
      <x:c r="AF193" s="17" t="str">
        <x:f>IF(OR(NOT(ISNUMBER(P193)),NOT(ISNUMBER(AE193)),AE193=0),"",P193/AE193)</x:f>
      </x:c>
      <x:c r="AG193" s="17" t="n">
        <x:f>IF(OR($G193&lt;&gt;"入池",NOT(ISNUMBER(AD193))),"",IF(COUNTIFS($G$17:$G$219,"入池",$AD$17:$AD$219,"&gt;=-1E+307",$AD$17:$AD$219,"&lt;=1E+307")&lt;=1,100,ROUND(100*(COUNTIFS($G$17:$G$219,"入池",$AD$17:$AD$219,"&gt;=-1E+307",$AD$17:$AD$219,"&lt;"&amp;AD193)+COUNTIFS($G$17:$G$219,"入池",$AD$17:$AD$219,AD193,$AD$17:$AD$219,"&gt;=-1E+307",$AD$17:$AD$219,"&lt;=1E+307")/2-0.5)/(COUNTIFS($G$17:$G$219,"入池",$AD$17:$AD$219,"&gt;=-1E+307",$AD$17:$AD$219,"&lt;=1E+307")-1),2)))</x:f>
        <x:v>69.15</x:v>
      </x:c>
      <x:c r="AH193" s="17" t="str">
        <x:f>IF(OR($G193&lt;&gt;"入池",NOT(ISNUMBER(AF193))),"",IF(COUNTIFS($G$17:$G$219,"入池",$AF$17:$AF$219,"&gt;=-1E+307",$AF$17:$AF$219,"&lt;=1E+307")&lt;=1,100,ROUND(100*(COUNTIFS($G$17:$G$219,"入池",$AF$17:$AF$219,"&gt;=-1E+307",$AF$17:$AF$219,"&lt;"&amp;AF193)+COUNTIFS($G$17:$G$219,"入池",$AF$17:$AF$219,AF193,$AF$17:$AF$219,"&gt;=-1E+307",$AF$17:$AF$219,"&lt;=1E+307")/2-0.5)/(COUNTIFS($G$17:$G$219,"入池",$AF$17:$AF$219,"&gt;=-1E+307",$AF$17:$AF$219,"&lt;=1E+307")-1),2)))</x:f>
      </x:c>
      <x:c r="AI193" s="17" t="n">
        <x:f>IF(NOT(ISNUMBER(AG193)),"",IF(NOT(ISNUMBER(AH193)),AG193,ROUND(AG193*'sheet1-指标体系'!$J$8+AH193*'sheet1-指标体系'!$J$9,2)))</x:f>
        <x:v>69.15</x:v>
      </x:c>
      <x:c r="AJ193" s="37" t="n">
        <x:f>IF(NOT(ISNUMBER(F193)),"",IF(F193&gt;=3,IF(NOT(ISNUMBER(N193)),"",N193),IF(NOT(ISNUMBER(O193)),"",O193)))</x:f>
        <x:v>0.0635</x:v>
      </x:c>
      <x:c r="AK193" s="17" t="n">
        <x:f>IF(OR(G193&lt;&gt;"入池",NOT(ISNUMBER(M193)),NOT(ISNUMBER(AJ193))),"",IF(M193&gt;=AJ193,100,IF(AJ193-M193&lt;'sheet1-指标体系'!$J$10,80,60)))</x:f>
        <x:v>80</x:v>
      </x:c>
      <x:c r="AL193" s="17" t="n">
        <x:f>IF(COUNT(I193,K193,L193)=0,"",ROUND((IF(ISNUMBER(I193),I193*40%,0)+IF(ISNUMBER(K193),K193*30%,0)+IF(ISNUMBER(L193),L193*30%,0))/(IF(ISNUMBER(I193),40%,0)+IF(ISNUMBER(K193),30%,0)+IF(ISNUMBER(L193),30%,0)),2))</x:f>
        <x:v>96</x:v>
      </x:c>
      <x:c r="AM193" s="17" t="n">
        <x:f>IF(COUNT(Q193,R193,W193,X193)=0,"",ROUND((IF(ISNUMBER(Q193),Q193*42%,0)+IF(ISNUMBER(R193),R193*28%,0)+IF(ISNUMBER(W193),W193*18%,0)+IF(ISNUMBER(X193),X193*12%,0))/(IF(ISNUMBER(Q193),42%,0)+IF(ISNUMBER(R193),28%,0)+IF(ISNUMBER(W193),18%,0)+IF(ISNUMBER(X193),12%,0)),2))</x:f>
        <x:v>54.04</x:v>
      </x:c>
      <x:c r="AN193" s="17" t="n">
        <x:f>IF(ISNUMBER(AC193),AC193,"")</x:f>
        <x:v>96.53</x:v>
      </x:c>
      <x:c r="AO193" s="17" t="n">
        <x:f>IF(COUNT(AG193,AH193)=0,"",ROUND((IF(ISNUMBER(AG193),AG193*60%,0)+IF(ISNUMBER(AH193),AH193*40%,0))/(IF(ISNUMBER(AG193),60%,0)+IF(ISNUMBER(AH193),40%,0)),2))</x:f>
        <x:v>69.15</x:v>
      </x:c>
      <x:c r="AP193" s="17" t="n">
        <x:f>IF(ISNUMBER(AK193),AK193,"")</x:f>
        <x:v>80</x:v>
      </x:c>
      <x:c r="AQ193" s="39" t="n">
        <x:f>IF(G193&lt;&gt;"入池",0,IF(ISNUMBER(I193),6%,0)+IF(ISNUMBER(K193),4.5%,0)+IF(ISNUMBER(L193),4.5%,0)+IF(ISNUMBER(Q193),8.4%,0)+IF(ISNUMBER(R193),5.6%,0)+IF(ISNUMBER(W193),3.6%,0)+IF(ISNUMBER(X193),2.4%,0)+IF(ISNUMBER(AC193),25%,0)+IF(ISNUMBER(AG193),18%,0)+IF(ISNUMBER(AH193),12%,0)+IF(ISNUMBER(AK193),10%,0))</x:f>
        <x:v>0.88</x:v>
      </x:c>
      <x:c r="AR193" s="17" t="n">
        <x:f>IF(AQ193=0,"",IF(ISNUMBER(I193),I193*6%,0)+IF(ISNUMBER(K193),K193*4.5%,0)+IF(ISNUMBER(L193),L193*4.5%,0)+IF(ISNUMBER(Q193),Q193*8.4%,0)+IF(ISNUMBER(R193),R193*5.6%,0)+IF(ISNUMBER(W193),W193*3.6%,0)+IF(ISNUMBER(X193),X193*2.4%,0)+IF(ISNUMBER(AC193),AC193*25%,0)+IF(ISNUMBER(AG193),AG193*18%,0)+IF(ISNUMBER(AH193),AH193*12%,0)+IF(ISNUMBER(AK193),AK193*10%,0))</x:f>
        <x:v>69.7875</x:v>
      </x:c>
      <x:c r="AS193" s="17" t="n">
        <x:f>IF(AQ193=0,"",ROUND(AR193/AQ193,2))</x:f>
        <x:v>79.3</x:v>
      </x:c>
      <x:c r="AT193" s="40" t="n">
        <x:f>IF(OR(G193&lt;&gt;"入池",NOT(ISNUMBER(AS193))),"",COUNTIFS($G$17:$G$219,"入池",$AS$17:$AS$219,"&gt;"&amp;AS193)+COUNTIFS($G$17:$G$219,"入池",$AS$17:$AS$219,AS193,$AQ$17:$AQ$219,"&gt;"&amp;AQ193)+COUNTIFS($G$17:G193,"入池",$AS$17:AS193,AS193,$AQ$17:AQ193,AQ193))</x:f>
        <x:v>35</x:v>
      </x:c>
      <x:c r="AU193" s="41" t="str">
        <x:f t="shared" si="7">IF(NOT(ISNUMBER(I193)),"管理人规模；","")&amp;IF(J193="","产品规模标识；","")&amp;IF(AND(F193&lt;3,NOT(ISNUMBER(O193))),"R_incep；","")&amp;IF(NOT(ISNUMBER(N193)),"近三年收益；","")&amp;IF(NOT(ISNUMBER(U193)),"近三年胜率；","")&amp;IF(AND(ISNUMBER(V193),OR(V193&lt;0,V193&gt;1)),"胜率窗口口径不一致；","")&amp;IF(NOT(ISNUMBER(AA193)),"近三年回撤；","")&amp;IF(NOT(ISNUMBER(AD193)),"短期卡玛；","")&amp;IF(AND(ISNUMBER(P193),NOT(ISNUMBER(AE193))),"DD_long不可识别；","")</x:f>
        <x:v>DD_long不可识别；</x:v>
      </x:c>
      <x:c r="AV193" s="42" t="n">
        <x:v>20</x:v>
      </x:c>
      <x:c r="AW193" s="19" t="str">
        <x:v>广东辰元私募基金管理有限公司</x:v>
      </x:c>
      <x:c r="AX193" s="19" t="str">
        <x:v>2025-10-17</x:v>
      </x:c>
      <x:c r="AY193" s="19" t="str">
        <x:v>https://gs.amac.org.cn/amac-infodisc/res/pof/manager/2209261520106658.html</x:v>
      </x:c>
      <x:c r="AZ193" s="19" t="str">
        <x:v>辰元优选稳健私募证券投资基金</x:v>
      </x:c>
      <x:c r="BA193" s="19" t="str">
        <x:v>2026-07-03</x:v>
      </x:c>
      <x:c r="BB193" s="19"/>
      <x:c r="BC193" s="19" t="str">
        <x:v>https://gs.amac.org.cn/amac-infodisc/res/pof/fund/2302141700101335.html</x:v>
      </x:c>
      <x:c r="BD193" s="19" t="str">
        <x:v>已匹配</x:v>
      </x:c>
      <x:c r="BE193"/>
      <x:c r="BF193"/>
    </x:row>
    <x:row r="194" ht="28" customHeight="1">
      <x:c r="A194" s="4" t="n">
        <x:v>178</x:v>
      </x:c>
      <x:c r="B194" s="15" t="str">
        <x:f>'sheet4-原始数据'!A179</x:f>
        <x:v>辰元稳健2号</x:v>
      </x:c>
      <x:c r="C194" s="15" t="str">
        <x:f>'sheet4-原始数据'!B179</x:f>
        <x:v>SZJ724</x:v>
      </x:c>
      <x:c r="D194" s="15" t="str">
        <x:f>'sheet4-原始数据'!E179</x:f>
        <x:v>广东辰元</x:v>
      </x:c>
      <x:c r="E194" s="32" t="n">
        <x:f>IF(ISNUMBER('sheet4-原始数据'!F179),'sheet4-原始数据'!F179,"")</x:f>
        <x:v>44967</x:v>
      </x:c>
      <x:c r="F194" s="17" t="n">
        <x:f>IF(NOT(ISNUMBER(E194)),"",ROUND(('sheet1-指标体系'!$J$23-E194)/365.25,4))</x:f>
        <x:v>3.5975</x:v>
      </x:c>
      <x:c r="G194" s="4" t="str">
        <x:f t="shared" si="6">IF(NOT(ISNUMBER(F194)),"",IF(F194&lt;1,"不入池","入池"))</x:f>
        <x:v>入池</x:v>
      </x:c>
      <x:c r="H194" s="33" t="str">
        <x:v>20-50亿元</x:v>
      </x:c>
      <x:c r="I194" s="17" t="n">
        <x:f>IF(H194="","",IF(ISNUMBER(SEARCH("100亿元以上",H194)),100,IF(OR(ISNUMBER(SEARCH("20-50",H194)),ISNUMBER(SEARCH("50-100",H194)),ISNUMBER(SEARCH("20-100",H194))),90,IF(ISNUMBER(SEARCH("10-20",H194)),80,IF(ISNUMBER(SEARCH("5-10",H194)),70,IF(ISNUMBER(SEARCH("0-5",H194)),60,""))))))</x:f>
        <x:v>90</x:v>
      </x:c>
      <x:c r="J194" s="34" t="str">
        <x:v>无低于1000万元标识</x:v>
      </x:c>
      <x:c r="K194" s="17" t="n">
        <x:f>IF(J194="","",IF(J194="低于1000万元",0,100))</x:f>
        <x:v>100</x:v>
      </x:c>
      <x:c r="L194" s="17" t="n">
        <x:f>IF(NOT(ISNUMBER(F194)),"",IF(F194&lt;1,"",IF(F194&lt;3,70,100)))</x:f>
        <x:v>100</x:v>
      </x:c>
      <x:c r="M194" s="35" t="n">
        <x:f>IF(ISNUMBER('sheet4-原始数据'!G179),'sheet4-原始数据'!G179,"")</x:f>
        <x:v>0.023799999999999998</x:v>
      </x:c>
      <x:c r="N194" s="35" t="n">
        <x:f>IF(ISNUMBER('sheet4-原始数据'!H179),'sheet4-原始数据'!H179,"")</x:f>
        <x:v>0.0613</x:v>
      </x:c>
      <x:c r="O194" s="36" t="str">
        <x:f>IF(ISNUMBER('sheet4-原始数据'!Q179),'sheet4-原始数据'!Q179,"")</x:f>
      </x:c>
      <x:c r="P194" s="37" t="n">
        <x:f>IF($G194&lt;&gt;"入池","",IF($F194&gt;=3,IF(OR(NOT(ISNUMBER($M194)),NOT(ISNUMBER($N194)),1+$M194&lt;=0,1+$N194&lt;0),"",((1+$N194)^3/(1+$M194))^(1/2)-1),IF(OR($F194&lt;=1,NOT(ISNUMBER($M194)),NOT(ISNUMBER($O194)),1+$M194&lt;=0,1+$O194&lt;0),"",((1+$O194)^$F194/(1+$M194))^(1/($F194-1))-1)))</x:f>
        <x:v>0.08056198270776416</x:v>
      </x:c>
      <x:c r="Q194" s="17" t="n">
        <x:f>IF(OR($G194&lt;&gt;"入池",NOT(ISNUMBER(M194))),"",IF(COUNTIFS($G$17:$G$219,"入池",$M$17:$M$219,"&gt;=-1E+307",$M$17:$M$219,"&lt;=1E+307")&lt;=1,100,ROUND(100*(COUNTIFS($G$17:$G$219,"入池",$M$17:$M$219,"&gt;=-1E+307",$M$17:$M$219,"&lt;"&amp;M194)+COUNTIFS($G$17:$G$219,"入池",$M$17:$M$219,M194,$M$17:$M$219,"&gt;=-1E+307",$M$17:$M$219,"&lt;=1E+307")/2-0.5)/(COUNTIFS($G$17:$G$219,"入池",$M$17:$M$219,"&gt;=-1E+307",$M$17:$M$219,"&lt;=1E+307")-1),2)))</x:f>
        <x:v>28.22</x:v>
      </x:c>
      <x:c r="R194" s="17" t="n">
        <x:f>IF(OR($G194&lt;&gt;"入池",NOT(ISNUMBER(P194))),"",IF(COUNTIFS($G$17:$G$219,"入池",$P$17:$P$219,"&gt;=-1E+307",$P$17:$P$219,"&lt;=1E+307")&lt;=1,100,ROUND(100*(COUNTIFS($G$17:$G$219,"入池",$P$17:$P$219,"&gt;=-1E+307",$P$17:$P$219,"&lt;"&amp;P194)+COUNTIFS($G$17:$G$219,"入池",$P$17:$P$219,P194,$P$17:$P$219,"&gt;=-1E+307",$P$17:$P$219,"&lt;=1E+307")/2-0.5)/(COUNTIFS($G$17:$G$219,"入池",$P$17:$P$219,"&gt;=-1E+307",$P$17:$P$219,"&lt;=1E+307")-1),2)))</x:f>
        <x:v>65.35</x:v>
      </x:c>
      <x:c r="S194" s="17" t="n">
        <x:f>IF(NOT(ISNUMBER(Q194)),"",IF(NOT(ISNUMBER(R194)),Q194,ROUND(Q194*'sheet1-指标体系'!$J$8+R194*'sheet1-指标体系'!$J$9,2)))</x:f>
        <x:v>43.07</x:v>
      </x:c>
      <x:c r="T194" s="35" t="n">
        <x:f>IF(ISNUMBER('sheet4-原始数据'!J179),'sheet4-原始数据'!J179,"")</x:f>
        <x:v>0.6154</x:v>
      </x:c>
      <x:c r="U194" s="35" t="n">
        <x:f>IF(ISNUMBER('sheet4-原始数据'!I179),'sheet4-原始数据'!I179,"")</x:f>
        <x:v>0.8378</x:v>
      </x:c>
      <x:c r="V194" s="37" t="n">
        <x:f>IF(OR(NOT(ISNUMBER(T194)),NOT(ISNUMBER(U194))),"",(U194*'sheet1-指标体系'!$J$6-T194*'sheet1-指标体系'!$J$5)/'sheet1-指标体系'!$J$7)</x:f>
        <x:v>0.9582666666666667</x:v>
      </x:c>
      <x:c r="W194" s="17" t="n">
        <x:f>IF(NOT(ISNUMBER(T194)),"",T194*100)</x:f>
        <x:v>61.53999999999999</x:v>
      </x:c>
      <x:c r="X194" s="17" t="n">
        <x:f>IF($G194&lt;&gt;"入池","",IF(AND(ISNUMBER(V194),V194&gt;=0,V194&lt;=1),V194*100,IF(MAX(0,($F194-1)*12)&lt;6,100,"")))</x:f>
        <x:v>95.82666666666667</x:v>
      </x:c>
      <x:c r="Y194" s="17" t="n">
        <x:f>IF(NOT(ISNUMBER(W194)),"",IF(NOT(ISNUMBER(X194)),W194,ROUND(W194*'sheet1-指标体系'!$J$8+X194*'sheet1-指标体系'!$J$9,2)))</x:f>
        <x:v>75.25</x:v>
      </x:c>
      <x:c r="Z194" s="37" t="n">
        <x:f>IF(OR(NOT(ISNUMBER(M194)),NOT(ISNUMBER(AD194)),AD194=0),"",ABS(M194/AD194))</x:f>
        <x:v>0.00494001411432604</x:v>
      </x:c>
      <x:c r="AA194" s="35" t="n">
        <x:f>IF(ISNUMBER('sheet4-原始数据'!K179),'sheet4-原始数据'!K179,"")</x:f>
        <x:v>0.0062</x:v>
      </x:c>
      <x:c r="AB194" s="37" t="n">
        <x:f>IF(COUNT(Z194:AA194)=0,"",MAX(Z194:AA194))</x:f>
        <x:v>0.0062</x:v>
      </x:c>
      <x:c r="AC194" s="17" t="n">
        <x:f>IF(OR($G194&lt;&gt;"入池",NOT(ISNUMBER(AB194))),"",IF(COUNTIFS($G$17:$G$219,"入池",$AB$17:$AB$219,"&gt;=-1E+307",$AB$17:$AB$219,"&lt;=1E+307")&lt;=1,100,ROUND(100*(COUNTIFS($G$17:$G$219,"入池",$AB$17:$AB$219,"&lt;=1E+307",$AB$17:$AB$219,"&gt;"&amp;AB194)+COUNTIFS($G$17:$G$219,"入池",$AB$17:$AB$219,AB194,$AB$17:$AB$219,"&gt;=-1E+307",$AB$17:$AB$219,"&lt;=1E+307")/2-0.5)/(COUNTIFS($G$17:$G$219,"入池",$AB$17:$AB$219,"&gt;=-1E+307",$AB$17:$AB$219,"&lt;=1E+307")-1),2)))</x:f>
        <x:v>94.06</x:v>
      </x:c>
      <x:c r="AD194" s="38" t="n">
        <x:f>IF(ISNUMBER('sheet4-原始数据'!M179),'sheet4-原始数据'!M179,"")</x:f>
        <x:v>4.8178</x:v>
      </x:c>
      <x:c r="AE194" s="37" t="n">
        <x:f>IF(OR(NOT(ISNUMBER(P194)),NOT(ISNUMBER(AA194)),NOT(ISNUMBER(Z194))),"",IF(AA194&gt;Z194+'sheet1-指标体系'!$J$11,AA194,""))</x:f>
        <x:v>0.0062</x:v>
      </x:c>
      <x:c r="AF194" s="17" t="n">
        <x:f>IF(OR(NOT(ISNUMBER(P194)),NOT(ISNUMBER(AE194)),AE194=0),"",P194/AE194)</x:f>
        <x:v>12.993868178671638</x:v>
      </x:c>
      <x:c r="AG194" s="17" t="n">
        <x:f>IF(OR($G194&lt;&gt;"入池",NOT(ISNUMBER(AD194))),"",IF(COUNTIFS($G$17:$G$219,"入池",$AD$17:$AD$219,"&gt;=-1E+307",$AD$17:$AD$219,"&lt;=1E+307")&lt;=1,100,ROUND(100*(COUNTIFS($G$17:$G$219,"入池",$AD$17:$AD$219,"&gt;=-1E+307",$AD$17:$AD$219,"&lt;"&amp;AD194)+COUNTIFS($G$17:$G$219,"入池",$AD$17:$AD$219,AD194,$AD$17:$AD$219,"&gt;=-1E+307",$AD$17:$AD$219,"&lt;=1E+307")/2-0.5)/(COUNTIFS($G$17:$G$219,"入池",$AD$17:$AD$219,"&gt;=-1E+307",$AD$17:$AD$219,"&lt;=1E+307")-1),2)))</x:f>
        <x:v>63.68</x:v>
      </x:c>
      <x:c r="AH194" s="17" t="n">
        <x:f>IF(OR($G194&lt;&gt;"入池",NOT(ISNUMBER(AF194))),"",IF(COUNTIFS($G$17:$G$219,"入池",$AF$17:$AF$219,"&gt;=-1E+307",$AF$17:$AF$219,"&lt;=1E+307")&lt;=1,100,ROUND(100*(COUNTIFS($G$17:$G$219,"入池",$AF$17:$AF$219,"&gt;=-1E+307",$AF$17:$AF$219,"&lt;"&amp;AF194)+COUNTIFS($G$17:$G$219,"入池",$AF$17:$AF$219,AF194,$AF$17:$AF$219,"&gt;=-1E+307",$AF$17:$AF$219,"&lt;=1E+307")/2-0.5)/(COUNTIFS($G$17:$G$219,"入池",$AF$17:$AF$219,"&gt;=-1E+307",$AF$17:$AF$219,"&lt;=1E+307")-1),2)))</x:f>
        <x:v>93.43</x:v>
      </x:c>
      <x:c r="AI194" s="17" t="n">
        <x:f>IF(NOT(ISNUMBER(AG194)),"",IF(NOT(ISNUMBER(AH194)),AG194,ROUND(AG194*'sheet1-指标体系'!$J$8+AH194*'sheet1-指标体系'!$J$9,2)))</x:f>
        <x:v>75.58</x:v>
      </x:c>
      <x:c r="AJ194" s="37" t="n">
        <x:f>IF(NOT(ISNUMBER(F194)),"",IF(F194&gt;=3,IF(NOT(ISNUMBER(N194)),"",N194),IF(NOT(ISNUMBER(O194)),"",O194)))</x:f>
        <x:v>0.0613</x:v>
      </x:c>
      <x:c r="AK194" s="17" t="n">
        <x:f>IF(OR(G194&lt;&gt;"入池",NOT(ISNUMBER(M194)),NOT(ISNUMBER(AJ194))),"",IF(M194&gt;=AJ194,100,IF(AJ194-M194&lt;'sheet1-指标体系'!$J$10,80,60)))</x:f>
        <x:v>80</x:v>
      </x:c>
      <x:c r="AL194" s="17" t="n">
        <x:f>IF(COUNT(I194,K194,L194)=0,"",ROUND((IF(ISNUMBER(I194),I194*40%,0)+IF(ISNUMBER(K194),K194*30%,0)+IF(ISNUMBER(L194),L194*30%,0))/(IF(ISNUMBER(I194),40%,0)+IF(ISNUMBER(K194),30%,0)+IF(ISNUMBER(L194),30%,0)),2))</x:f>
        <x:v>96</x:v>
      </x:c>
      <x:c r="AM194" s="17" t="n">
        <x:f>IF(COUNT(Q194,R194,W194,X194)=0,"",ROUND((IF(ISNUMBER(Q194),Q194*42%,0)+IF(ISNUMBER(R194),R194*28%,0)+IF(ISNUMBER(W194),W194*18%,0)+IF(ISNUMBER(X194),X194*12%,0))/(IF(ISNUMBER(Q194),42%,0)+IF(ISNUMBER(R194),28%,0)+IF(ISNUMBER(W194),18%,0)+IF(ISNUMBER(X194),12%,0)),2))</x:f>
        <x:v>52.73</x:v>
      </x:c>
      <x:c r="AN194" s="17" t="n">
        <x:f>IF(ISNUMBER(AC194),AC194,"")</x:f>
        <x:v>94.06</x:v>
      </x:c>
      <x:c r="AO194" s="17" t="n">
        <x:f>IF(COUNT(AG194,AH194)=0,"",ROUND((IF(ISNUMBER(AG194),AG194*60%,0)+IF(ISNUMBER(AH194),AH194*40%,0))/(IF(ISNUMBER(AG194),60%,0)+IF(ISNUMBER(AH194),40%,0)),2))</x:f>
        <x:v>75.58</x:v>
      </x:c>
      <x:c r="AP194" s="17" t="n">
        <x:f>IF(ISNUMBER(AK194),AK194,"")</x:f>
        <x:v>80</x:v>
      </x:c>
      <x:c r="AQ194" s="39" t="n">
        <x:f>IF(G194&lt;&gt;"入池",0,IF(ISNUMBER(I194),6%,0)+IF(ISNUMBER(K194),4.5%,0)+IF(ISNUMBER(L194),4.5%,0)+IF(ISNUMBER(Q194),8.4%,0)+IF(ISNUMBER(R194),5.6%,0)+IF(ISNUMBER(W194),3.6%,0)+IF(ISNUMBER(X194),2.4%,0)+IF(ISNUMBER(AC194),25%,0)+IF(ISNUMBER(AG194),18%,0)+IF(ISNUMBER(AH194),12%,0)+IF(ISNUMBER(AK194),10%,0))</x:f>
        <x:v>1</x:v>
      </x:c>
      <x:c r="AR194" s="17" t="n">
        <x:f>IF(AQ194=0,"",IF(ISNUMBER(I194),I194*6%,0)+IF(ISNUMBER(K194),K194*4.5%,0)+IF(ISNUMBER(L194),L194*4.5%,0)+IF(ISNUMBER(Q194),Q194*8.4%,0)+IF(ISNUMBER(R194),R194*5.6%,0)+IF(ISNUMBER(W194),W194*3.6%,0)+IF(ISNUMBER(X194),X194*2.4%,0)+IF(ISNUMBER(AC194),AC194*25%,0)+IF(ISNUMBER(AG194),AG194*18%,0)+IF(ISNUMBER(AH194),AH194*12%,0)+IF(ISNUMBER(AK194),AK194*10%,0))</x:f>
        <x:v>79.13436</x:v>
      </x:c>
      <x:c r="AS194" s="17" t="n">
        <x:f>IF(AQ194=0,"",ROUND(AR194/AQ194,2))</x:f>
        <x:v>79.13</x:v>
      </x:c>
      <x:c r="AT194" s="40" t="n">
        <x:f>IF(OR(G194&lt;&gt;"入池",NOT(ISNUMBER(AS194))),"",COUNTIFS($G$17:$G$219,"入池",$AS$17:$AS$219,"&gt;"&amp;AS194)+COUNTIFS($G$17:$G$219,"入池",$AS$17:$AS$219,AS194,$AQ$17:$AQ$219,"&gt;"&amp;AQ194)+COUNTIFS($G$17:G194,"入池",$AS$17:AS194,AS194,$AQ$17:AQ194,AQ194))</x:f>
        <x:v>38</x:v>
      </x:c>
      <x:c r="AU194" s="41" t="str">
        <x:f t="shared" si="7">IF(NOT(ISNUMBER(I194)),"管理人规模；","")&amp;IF(J194="","产品规模标识；","")&amp;IF(AND(F194&lt;3,NOT(ISNUMBER(O194))),"R_incep；","")&amp;IF(NOT(ISNUMBER(N194)),"近三年收益；","")&amp;IF(NOT(ISNUMBER(U194)),"近三年胜率；","")&amp;IF(AND(ISNUMBER(V194),OR(V194&lt;0,V194&gt;1)),"胜率窗口口径不一致；","")&amp;IF(NOT(ISNUMBER(AA194)),"近三年回撤；","")&amp;IF(NOT(ISNUMBER(AD194)),"短期卡玛；","")&amp;IF(AND(ISNUMBER(P194),NOT(ISNUMBER(AE194))),"DD_long不可识别；","")</x:f>
      </x:c>
      <x:c r="AV194" s="42" t="n">
        <x:v>20</x:v>
      </x:c>
      <x:c r="AW194" s="19" t="str">
        <x:v>广东辰元私募基金管理有限公司</x:v>
      </x:c>
      <x:c r="AX194" s="19" t="str">
        <x:v>2025-10-17</x:v>
      </x:c>
      <x:c r="AY194" s="19" t="str">
        <x:v>https://gs.amac.org.cn/amac-infodisc/res/pof/manager/2209261520106658.html</x:v>
      </x:c>
      <x:c r="AZ194" s="19" t="str">
        <x:v>辰元稳健2号私募证券投资基金</x:v>
      </x:c>
      <x:c r="BA194" s="19" t="str">
        <x:v>2025-09-26</x:v>
      </x:c>
      <x:c r="BB194" s="19"/>
      <x:c r="BC194" s="19" t="str">
        <x:v>https://gs.amac.org.cn/amac-infodisc/res/pof/fund/2302151739100614.html</x:v>
      </x:c>
      <x:c r="BD194" s="19" t="str">
        <x:v>已匹配</x:v>
      </x:c>
      <x:c r="BE194"/>
      <x:c r="BF194"/>
    </x:row>
    <x:row r="195" ht="28" customHeight="1">
      <x:c r="A195" s="4" t="n">
        <x:v>179</x:v>
      </x:c>
      <x:c r="B195" s="15" t="str">
        <x:f>'sheet4-原始数据'!A180</x:f>
        <x:v>江岳联接54期</x:v>
      </x:c>
      <x:c r="C195" s="15" t="str">
        <x:f>'sheet4-原始数据'!B180</x:f>
        <x:v>SZJ846</x:v>
      </x:c>
      <x:c r="D195" s="15" t="str">
        <x:f>'sheet4-原始数据'!E180</x:f>
        <x:v>西安江岳</x:v>
      </x:c>
      <x:c r="E195" s="32" t="n">
        <x:f>IF(ISNUMBER('sheet4-原始数据'!F180),'sheet4-原始数据'!F180,"")</x:f>
        <x:v>44978</x:v>
      </x:c>
      <x:c r="F195" s="17" t="n">
        <x:f>IF(NOT(ISNUMBER(E195)),"",ROUND(('sheet1-指标体系'!$J$23-E195)/365.25,4))</x:f>
        <x:v>3.5674</x:v>
      </x:c>
      <x:c r="G195" s="4" t="str">
        <x:f t="shared" si="6">IF(NOT(ISNUMBER(F195)),"",IF(F195&lt;1,"不入池","入池"))</x:f>
        <x:v>入池</x:v>
      </x:c>
      <x:c r="H195" s="33" t="str">
        <x:v>10-20亿元</x:v>
      </x:c>
      <x:c r="I195" s="17" t="n">
        <x:f>IF(H195="","",IF(ISNUMBER(SEARCH("100亿元以上",H195)),100,IF(OR(ISNUMBER(SEARCH("20-50",H195)),ISNUMBER(SEARCH("50-100",H195)),ISNUMBER(SEARCH("20-100",H195))),90,IF(ISNUMBER(SEARCH("10-20",H195)),80,IF(ISNUMBER(SEARCH("5-10",H195)),70,IF(ISNUMBER(SEARCH("0-5",H195)),60,""))))))</x:f>
        <x:v>80</x:v>
      </x:c>
      <x:c r="J195" s="34" t="str">
        <x:v>无低于1000万元标识</x:v>
      </x:c>
      <x:c r="K195" s="17" t="n">
        <x:f>IF(J195="","",IF(J195="低于1000万元",0,100))</x:f>
        <x:v>100</x:v>
      </x:c>
      <x:c r="L195" s="17" t="n">
        <x:f>IF(NOT(ISNUMBER(F195)),"",IF(F195&lt;1,"",IF(F195&lt;3,70,100)))</x:f>
        <x:v>100</x:v>
      </x:c>
      <x:c r="M195" s="35" t="n">
        <x:f>IF(ISNUMBER('sheet4-原始数据'!G180),'sheet4-原始数据'!G180,"")</x:f>
        <x:v>0.057699999999999994</x:v>
      </x:c>
      <x:c r="N195" s="35" t="n">
        <x:f>IF(ISNUMBER('sheet4-原始数据'!H180),'sheet4-原始数据'!H180,"")</x:f>
        <x:v>0.0983</x:v>
      </x:c>
      <x:c r="O195" s="36" t="str">
        <x:f>IF(ISNUMBER('sheet4-原始数据'!Q180),'sheet4-原始数据'!Q180,"")</x:f>
      </x:c>
      <x:c r="P195" s="37" t="n">
        <x:f>IF($G195&lt;&gt;"入池","",IF($F195&gt;=3,IF(OR(NOT(ISNUMBER($M195)),NOT(ISNUMBER($N195)),1+$M195&lt;=0,1+$N195&lt;0),"",((1+$N195)^3/(1+$M195))^(1/2)-1),IF(OR($F195&lt;=1,NOT(ISNUMBER($M195)),NOT(ISNUMBER($O195)),1+$M195&lt;=0,1+$O195&lt;0),"",((1+$O195)^$F195/(1+$M195))^(1/($F195-1))-1)))</x:f>
        <x:v>0.11918072829534121</x:v>
      </x:c>
      <x:c r="Q195" s="17" t="n">
        <x:f>IF(OR($G195&lt;&gt;"入池",NOT(ISNUMBER(M195))),"",IF(COUNTIFS($G$17:$G$219,"入池",$M$17:$M$219,"&gt;=-1E+307",$M$17:$M$219,"&lt;=1E+307")&lt;=1,100,ROUND(100*(COUNTIFS($G$17:$G$219,"入池",$M$17:$M$219,"&gt;=-1E+307",$M$17:$M$219,"&lt;"&amp;M195)+COUNTIFS($G$17:$G$219,"入池",$M$17:$M$219,M195,$M$17:$M$219,"&gt;=-1E+307",$M$17:$M$219,"&lt;=1E+307")/2-0.5)/(COUNTIFS($G$17:$G$219,"入池",$M$17:$M$219,"&gt;=-1E+307",$M$17:$M$219,"&lt;=1E+307")-1),2)))</x:f>
        <x:v>52.97</x:v>
      </x:c>
      <x:c r="R195" s="17" t="n">
        <x:f>IF(OR($G195&lt;&gt;"入池",NOT(ISNUMBER(P195))),"",IF(COUNTIFS($G$17:$G$219,"入池",$P$17:$P$219,"&gt;=-1E+307",$P$17:$P$219,"&lt;=1E+307")&lt;=1,100,ROUND(100*(COUNTIFS($G$17:$G$219,"入池",$P$17:$P$219,"&gt;=-1E+307",$P$17:$P$219,"&lt;"&amp;P195)+COUNTIFS($G$17:$G$219,"入池",$P$17:$P$219,P195,$P$17:$P$219,"&gt;=-1E+307",$P$17:$P$219,"&lt;=1E+307")/2-0.5)/(COUNTIFS($G$17:$G$219,"入池",$P$17:$P$219,"&gt;=-1E+307",$P$17:$P$219,"&lt;=1E+307")-1),2)))</x:f>
        <x:v>80.2</x:v>
      </x:c>
      <x:c r="S195" s="17" t="n">
        <x:f>IF(NOT(ISNUMBER(Q195)),"",IF(NOT(ISNUMBER(R195)),Q195,ROUND(Q195*'sheet1-指标体系'!$J$8+R195*'sheet1-指标体系'!$J$9,2)))</x:f>
        <x:v>63.86</x:v>
      </x:c>
      <x:c r="T195" s="35" t="n">
        <x:f>IF(ISNUMBER('sheet4-原始数据'!J180),'sheet4-原始数据'!J180,"")</x:f>
        <x:v>0.9231</x:v>
      </x:c>
      <x:c r="U195" s="35" t="n">
        <x:f>IF(ISNUMBER('sheet4-原始数据'!I180),'sheet4-原始数据'!I180,"")</x:f>
        <x:v>0.9459000000000001</x:v>
      </x:c>
      <x:c r="V195" s="37" t="n">
        <x:f>IF(OR(NOT(ISNUMBER(T195)),NOT(ISNUMBER(U195))),"",(U195*'sheet1-指标体系'!$J$6-T195*'sheet1-指标体系'!$J$5)/'sheet1-指标体系'!$J$7)</x:f>
        <x:v>0.9582499999999999</x:v>
      </x:c>
      <x:c r="W195" s="17" t="n">
        <x:f>IF(NOT(ISNUMBER(T195)),"",T195*100)</x:f>
        <x:v>92.31</x:v>
      </x:c>
      <x:c r="X195" s="17" t="n">
        <x:f>IF($G195&lt;&gt;"入池","",IF(AND(ISNUMBER(V195),V195&gt;=0,V195&lt;=1),V195*100,IF(MAX(0,($F195-1)*12)&lt;6,100,"")))</x:f>
        <x:v>95.82499999999999</x:v>
      </x:c>
      <x:c r="Y195" s="17" t="n">
        <x:f>IF(NOT(ISNUMBER(W195)),"",IF(NOT(ISNUMBER(X195)),W195,ROUND(W195*'sheet1-指标体系'!$J$8+X195*'sheet1-指标体系'!$J$9,2)))</x:f>
        <x:v>93.72</x:v>
      </x:c>
      <x:c r="Z195" s="37" t="n">
        <x:f>IF(OR(NOT(ISNUMBER(M195)),NOT(ISNUMBER(AD195)),AD195=0),"",ABS(M195/AD195))</x:f>
        <x:v>0.005391414849283325</x:v>
      </x:c>
      <x:c r="AA195" s="35" t="n">
        <x:f>IF(ISNUMBER('sheet4-原始数据'!K180),'sheet4-原始数据'!K180,"")</x:f>
        <x:v>0.0066</x:v>
      </x:c>
      <x:c r="AB195" s="37" t="n">
        <x:f>IF(COUNT(Z195:AA195)=0,"",MAX(Z195:AA195))</x:f>
        <x:v>0.0066</x:v>
      </x:c>
      <x:c r="AC195" s="17" t="n">
        <x:f>IF(OR($G195&lt;&gt;"入池",NOT(ISNUMBER(AB195))),"",IF(COUNTIFS($G$17:$G$219,"入池",$AB$17:$AB$219,"&gt;=-1E+307",$AB$17:$AB$219,"&lt;=1E+307")&lt;=1,100,ROUND(100*(COUNTIFS($G$17:$G$219,"入池",$AB$17:$AB$219,"&lt;=1E+307",$AB$17:$AB$219,"&gt;"&amp;AB195)+COUNTIFS($G$17:$G$219,"入池",$AB$17:$AB$219,AB195,$AB$17:$AB$219,"&gt;=-1E+307",$AB$17:$AB$219,"&lt;=1E+307")/2-0.5)/(COUNTIFS($G$17:$G$219,"入池",$AB$17:$AB$219,"&gt;=-1E+307",$AB$17:$AB$219,"&lt;=1E+307")-1),2)))</x:f>
        <x:v>93.56</x:v>
      </x:c>
      <x:c r="AD195" s="38" t="n">
        <x:f>IF(ISNUMBER('sheet4-原始数据'!M180),'sheet4-原始数据'!M180,"")</x:f>
        <x:v>10.7022</x:v>
      </x:c>
      <x:c r="AE195" s="37" t="n">
        <x:f>IF(OR(NOT(ISNUMBER(P195)),NOT(ISNUMBER(AA195)),NOT(ISNUMBER(Z195))),"",IF(AA195&gt;Z195+'sheet1-指标体系'!$J$11,AA195,""))</x:f>
        <x:v>0.0066</x:v>
      </x:c>
      <x:c r="AF195" s="17" t="n">
        <x:f>IF(OR(NOT(ISNUMBER(P195)),NOT(ISNUMBER(AE195)),AE195=0),"",P195/AE195)</x:f>
        <x:v>18.05768610535473</x:v>
      </x:c>
      <x:c r="AG195" s="17" t="n">
        <x:f>IF(OR($G195&lt;&gt;"入池",NOT(ISNUMBER(AD195))),"",IF(COUNTIFS($G$17:$G$219,"入池",$AD$17:$AD$219,"&gt;=-1E+307",$AD$17:$AD$219,"&lt;=1E+307")&lt;=1,100,ROUND(100*(COUNTIFS($G$17:$G$219,"入池",$AD$17:$AD$219,"&gt;=-1E+307",$AD$17:$AD$219,"&lt;"&amp;AD195)+COUNTIFS($G$17:$G$219,"入池",$AD$17:$AD$219,AD195,$AD$17:$AD$219,"&gt;=-1E+307",$AD$17:$AD$219,"&lt;=1E+307")/2-0.5)/(COUNTIFS($G$17:$G$219,"入池",$AD$17:$AD$219,"&gt;=-1E+307",$AD$17:$AD$219,"&lt;=1E+307")-1),2)))</x:f>
        <x:v>81.09</x:v>
      </x:c>
      <x:c r="AH195" s="17" t="n">
        <x:f>IF(OR($G195&lt;&gt;"入池",NOT(ISNUMBER(AF195))),"",IF(COUNTIFS($G$17:$G$219,"入池",$AF$17:$AF$219,"&gt;=-1E+307",$AF$17:$AF$219,"&lt;=1E+307")&lt;=1,100,ROUND(100*(COUNTIFS($G$17:$G$219,"入池",$AF$17:$AF$219,"&gt;=-1E+307",$AF$17:$AF$219,"&lt;"&amp;AF195)+COUNTIFS($G$17:$G$219,"入池",$AF$17:$AF$219,AF195,$AF$17:$AF$219,"&gt;=-1E+307",$AF$17:$AF$219,"&lt;=1E+307")/2-0.5)/(COUNTIFS($G$17:$G$219,"入池",$AF$17:$AF$219,"&gt;=-1E+307",$AF$17:$AF$219,"&lt;=1E+307")-1),2)))</x:f>
        <x:v>96.35</x:v>
      </x:c>
      <x:c r="AI195" s="17" t="n">
        <x:f>IF(NOT(ISNUMBER(AG195)),"",IF(NOT(ISNUMBER(AH195)),AG195,ROUND(AG195*'sheet1-指标体系'!$J$8+AH195*'sheet1-指标体系'!$J$9,2)))</x:f>
        <x:v>87.19</x:v>
      </x:c>
      <x:c r="AJ195" s="37" t="n">
        <x:f>IF(NOT(ISNUMBER(F195)),"",IF(F195&gt;=3,IF(NOT(ISNUMBER(N195)),"",N195),IF(NOT(ISNUMBER(O195)),"",O195)))</x:f>
        <x:v>0.0983</x:v>
      </x:c>
      <x:c r="AK195" s="17" t="n">
        <x:f>IF(OR(G195&lt;&gt;"入池",NOT(ISNUMBER(M195)),NOT(ISNUMBER(AJ195))),"",IF(M195&gt;=AJ195,100,IF(AJ195-M195&lt;'sheet1-指标体系'!$J$10,80,60)))</x:f>
        <x:v>80</x:v>
      </x:c>
      <x:c r="AL195" s="17" t="n">
        <x:f>IF(COUNT(I195,K195,L195)=0,"",ROUND((IF(ISNUMBER(I195),I195*40%,0)+IF(ISNUMBER(K195),K195*30%,0)+IF(ISNUMBER(L195),L195*30%,0))/(IF(ISNUMBER(I195),40%,0)+IF(ISNUMBER(K195),30%,0)+IF(ISNUMBER(L195),30%,0)),2))</x:f>
        <x:v>92</x:v>
      </x:c>
      <x:c r="AM195" s="17" t="n">
        <x:f>IF(COUNT(Q195,R195,W195,X195)=0,"",ROUND((IF(ISNUMBER(Q195),Q195*42%,0)+IF(ISNUMBER(R195),R195*28%,0)+IF(ISNUMBER(W195),W195*18%,0)+IF(ISNUMBER(X195),X195*12%,0))/(IF(ISNUMBER(Q195),42%,0)+IF(ISNUMBER(R195),28%,0)+IF(ISNUMBER(W195),18%,0)+IF(ISNUMBER(X195),12%,0)),2))</x:f>
        <x:v>72.82</x:v>
      </x:c>
      <x:c r="AN195" s="17" t="n">
        <x:f>IF(ISNUMBER(AC195),AC195,"")</x:f>
        <x:v>93.56</x:v>
      </x:c>
      <x:c r="AO195" s="17" t="n">
        <x:f>IF(COUNT(AG195,AH195)=0,"",ROUND((IF(ISNUMBER(AG195),AG195*60%,0)+IF(ISNUMBER(AH195),AH195*40%,0))/(IF(ISNUMBER(AG195),60%,0)+IF(ISNUMBER(AH195),40%,0)),2))</x:f>
        <x:v>87.19</x:v>
      </x:c>
      <x:c r="AP195" s="17" t="n">
        <x:f>IF(ISNUMBER(AK195),AK195,"")</x:f>
        <x:v>80</x:v>
      </x:c>
      <x:c r="AQ195" s="39" t="n">
        <x:f>IF(G195&lt;&gt;"入池",0,IF(ISNUMBER(I195),6%,0)+IF(ISNUMBER(K195),4.5%,0)+IF(ISNUMBER(L195),4.5%,0)+IF(ISNUMBER(Q195),8.4%,0)+IF(ISNUMBER(R195),5.6%,0)+IF(ISNUMBER(W195),3.6%,0)+IF(ISNUMBER(X195),2.4%,0)+IF(ISNUMBER(AC195),25%,0)+IF(ISNUMBER(AG195),18%,0)+IF(ISNUMBER(AH195),12%,0)+IF(ISNUMBER(AK195),10%,0))</x:f>
        <x:v>1</x:v>
      </x:c>
      <x:c r="AR195" s="17" t="n">
        <x:f>IF(AQ195=0,"",IF(ISNUMBER(I195),I195*6%,0)+IF(ISNUMBER(K195),K195*4.5%,0)+IF(ISNUMBER(L195),L195*4.5%,0)+IF(ISNUMBER(Q195),Q195*8.4%,0)+IF(ISNUMBER(R195),R195*5.6%,0)+IF(ISNUMBER(W195),W195*3.6%,0)+IF(ISNUMBER(X195),X195*2.4%,0)+IF(ISNUMBER(AC195),AC195*25%,0)+IF(ISNUMBER(AG195),AG195*18%,0)+IF(ISNUMBER(AH195),AH195*12%,0)+IF(ISNUMBER(AK195),AK195*10%,0))</x:f>
        <x:v>85.91184</x:v>
      </x:c>
      <x:c r="AS195" s="17" t="n">
        <x:f>IF(AQ195=0,"",ROUND(AR195/AQ195,2))</x:f>
        <x:v>85.91</x:v>
      </x:c>
      <x:c r="AT195" s="40" t="n">
        <x:f>IF(OR(G195&lt;&gt;"入池",NOT(ISNUMBER(AS195))),"",COUNTIFS($G$17:$G$219,"入池",$AS$17:$AS$219,"&gt;"&amp;AS195)+COUNTIFS($G$17:$G$219,"入池",$AS$17:$AS$219,AS195,$AQ$17:$AQ$219,"&gt;"&amp;AQ195)+COUNTIFS($G$17:G195,"入池",$AS$17:AS195,AS195,$AQ$17:AQ195,AQ195))</x:f>
        <x:v>15</x:v>
      </x:c>
      <x:c r="AU195" s="41" t="str">
        <x:f t="shared" si="7">IF(NOT(ISNUMBER(I195)),"管理人规模；","")&amp;IF(J195="","产品规模标识；","")&amp;IF(AND(F195&lt;3,NOT(ISNUMBER(O195))),"R_incep；","")&amp;IF(NOT(ISNUMBER(N195)),"近三年收益；","")&amp;IF(NOT(ISNUMBER(U195)),"近三年胜率；","")&amp;IF(AND(ISNUMBER(V195),OR(V195&lt;0,V195&gt;1)),"胜率窗口口径不一致；","")&amp;IF(NOT(ISNUMBER(AA195)),"近三年回撤；","")&amp;IF(NOT(ISNUMBER(AD195)),"短期卡玛；","")&amp;IF(AND(ISNUMBER(P195),NOT(ISNUMBER(AE195))),"DD_long不可识别；","")</x:f>
      </x:c>
      <x:c r="AV195" s="42" t="n">
        <x:v>10</x:v>
      </x:c>
      <x:c r="AW195" s="19" t="str">
        <x:v>西安江岳私募基金管理有限公司</x:v>
      </x:c>
      <x:c r="AX195" s="19" t="str">
        <x:v>2026-08-24</x:v>
      </x:c>
      <x:c r="AY195" s="19" t="str">
        <x:v>https://gs.amac.org.cn/amac-infodisc/res/pof/manager/1703241729101117.html</x:v>
      </x:c>
      <x:c r="AZ195" s="19" t="str">
        <x:v>江岳联接54期私募证券投资基金</x:v>
      </x:c>
      <x:c r="BA195" s="19" t="str">
        <x:v>2026-07-31</x:v>
      </x:c>
      <x:c r="BB195" s="19"/>
      <x:c r="BC195" s="19" t="str">
        <x:v>https://gs.amac.org.cn/amac-infodisc/res/pof/fund/2302211738101079.html</x:v>
      </x:c>
      <x:c r="BD195" s="19" t="str">
        <x:v>已匹配</x:v>
      </x:c>
      <x:c r="BE195"/>
      <x:c r="BF195"/>
    </x:row>
    <x:row r="196" ht="28" customHeight="1">
      <x:c r="A196" s="4" t="n">
        <x:v>180</x:v>
      </x:c>
      <x:c r="B196" s="15" t="str">
        <x:f>'sheet4-原始数据'!A181</x:f>
        <x:v>言起投资价值成长1号</x:v>
      </x:c>
      <x:c r="C196" s="15" t="str">
        <x:f>'sheet4-原始数据'!B181</x:f>
        <x:v>SZL583</x:v>
      </x:c>
      <x:c r="D196" s="15" t="str">
        <x:f>'sheet4-原始数据'!E181</x:f>
        <x:v>厦门言起投资</x:v>
      </x:c>
      <x:c r="E196" s="32" t="n">
        <x:f>IF(ISNUMBER('sheet4-原始数据'!F181),'sheet4-原始数据'!F181,"")</x:f>
        <x:v>44979</x:v>
      </x:c>
      <x:c r="F196" s="17" t="n">
        <x:f>IF(NOT(ISNUMBER(E196)),"",ROUND(('sheet1-指标体系'!$J$23-E196)/365.25,4))</x:f>
        <x:v>3.5647</x:v>
      </x:c>
      <x:c r="G196" s="4" t="str">
        <x:f t="shared" si="6">IF(NOT(ISNUMBER(F196)),"",IF(F196&lt;1,"不入池","入池"))</x:f>
        <x:v>入池</x:v>
      </x:c>
      <x:c r="H196" s="33" t="str">
        <x:v>0-5亿元</x:v>
      </x:c>
      <x:c r="I196" s="17" t="n">
        <x:f>IF(H196="","",IF(ISNUMBER(SEARCH("100亿元以上",H196)),100,IF(OR(ISNUMBER(SEARCH("20-50",H196)),ISNUMBER(SEARCH("50-100",H196)),ISNUMBER(SEARCH("20-100",H196))),90,IF(ISNUMBER(SEARCH("10-20",H196)),80,IF(ISNUMBER(SEARCH("5-10",H196)),70,IF(ISNUMBER(SEARCH("0-5",H196)),60,""))))))</x:f>
        <x:v>60</x:v>
      </x:c>
      <x:c r="J196" s="34" t="str">
        <x:v>无低于1000万元标识</x:v>
      </x:c>
      <x:c r="K196" s="17" t="n">
        <x:f>IF(J196="","",IF(J196="低于1000万元",0,100))</x:f>
        <x:v>100</x:v>
      </x:c>
      <x:c r="L196" s="17" t="n">
        <x:f>IF(NOT(ISNUMBER(F196)),"",IF(F196&lt;1,"",IF(F196&lt;3,70,100)))</x:f>
        <x:v>100</x:v>
      </x:c>
      <x:c r="M196" s="35" t="n">
        <x:f>IF(ISNUMBER('sheet4-原始数据'!G181),'sheet4-原始数据'!G181,"")</x:f>
        <x:v>-0.2116</x:v>
      </x:c>
      <x:c r="N196" s="35" t="n">
        <x:f>IF(ISNUMBER('sheet4-原始数据'!H181),'sheet4-原始数据'!H181,"")</x:f>
        <x:v>-0.059000000000000004</x:v>
      </x:c>
      <x:c r="O196" s="36" t="str">
        <x:f>IF(ISNUMBER('sheet4-原始数据'!Q181),'sheet4-原始数据'!Q181,"")</x:f>
      </x:c>
      <x:c r="P196" s="37" t="n">
        <x:f>IF($G196&lt;&gt;"入池","",IF($F196&gt;=3,IF(OR(NOT(ISNUMBER($M196)),NOT(ISNUMBER($N196)),1+$M196&lt;=0,1+$N196&lt;0),"",((1+$N196)^3/(1+$M196))^(1/2)-1),IF(OR($F196&lt;=1,NOT(ISNUMBER($M196)),NOT(ISNUMBER($O196)),1+$M196&lt;=0,1+$O196&lt;0),"",((1+$O196)^$F196/(1+$M196))^(1/($F196-1))-1)))</x:f>
        <x:v>0.028042637928152647</x:v>
      </x:c>
      <x:c r="Q196" s="17" t="n">
        <x:f>IF(OR($G196&lt;&gt;"入池",NOT(ISNUMBER(M196))),"",IF(COUNTIFS($G$17:$G$219,"入池",$M$17:$M$219,"&gt;=-1E+307",$M$17:$M$219,"&lt;=1E+307")&lt;=1,100,ROUND(100*(COUNTIFS($G$17:$G$219,"入池",$M$17:$M$219,"&gt;=-1E+307",$M$17:$M$219,"&lt;"&amp;M196)+COUNTIFS($G$17:$G$219,"入池",$M$17:$M$219,M196,$M$17:$M$219,"&gt;=-1E+307",$M$17:$M$219,"&lt;=1E+307")/2-0.5)/(COUNTIFS($G$17:$G$219,"入池",$M$17:$M$219,"&gt;=-1E+307",$M$17:$M$219,"&lt;=1E+307")-1),2)))</x:f>
        <x:v>1.98</x:v>
      </x:c>
      <x:c r="R196" s="17" t="n">
        <x:f>IF(OR($G196&lt;&gt;"入池",NOT(ISNUMBER(P196))),"",IF(COUNTIFS($G$17:$G$219,"入池",$P$17:$P$219,"&gt;=-1E+307",$P$17:$P$219,"&lt;=1E+307")&lt;=1,100,ROUND(100*(COUNTIFS($G$17:$G$219,"入池",$P$17:$P$219,"&gt;=-1E+307",$P$17:$P$219,"&lt;"&amp;P196)+COUNTIFS($G$17:$G$219,"入池",$P$17:$P$219,P196,$P$17:$P$219,"&gt;=-1E+307",$P$17:$P$219,"&lt;=1E+307")/2-0.5)/(COUNTIFS($G$17:$G$219,"入池",$P$17:$P$219,"&gt;=-1E+307",$P$17:$P$219,"&lt;=1E+307")-1),2)))</x:f>
        <x:v>14.36</x:v>
      </x:c>
      <x:c r="S196" s="17" t="n">
        <x:f>IF(NOT(ISNUMBER(Q196)),"",IF(NOT(ISNUMBER(R196)),Q196,ROUND(Q196*'sheet1-指标体系'!$J$8+R196*'sheet1-指标体系'!$J$9,2)))</x:f>
        <x:v>6.93</x:v>
      </x:c>
      <x:c r="T196" s="35" t="n">
        <x:f>IF(ISNUMBER('sheet4-原始数据'!J181),'sheet4-原始数据'!J181,"")</x:f>
        <x:v>0.23079999999999998</x:v>
      </x:c>
      <x:c r="U196" s="35" t="n">
        <x:f>IF(ISNUMBER('sheet4-原始数据'!I181),'sheet4-原始数据'!I181,"")</x:f>
        <x:v>0.3514</x:v>
      </x:c>
      <x:c r="V196" s="37" t="n">
        <x:f>IF(OR(NOT(ISNUMBER(T196)),NOT(ISNUMBER(U196))),"",(U196*'sheet1-指标体系'!$J$6-T196*'sheet1-指标体系'!$J$5)/'sheet1-指标体系'!$J$7)</x:f>
        <x:v>0.416725</x:v>
      </x:c>
      <x:c r="W196" s="17" t="n">
        <x:f>IF(NOT(ISNUMBER(T196)),"",T196*100)</x:f>
        <x:v>23.08</x:v>
      </x:c>
      <x:c r="X196" s="17" t="n">
        <x:f>IF($G196&lt;&gt;"入池","",IF(AND(ISNUMBER(V196),V196&gt;=0,V196&lt;=1),V196*100,IF(MAX(0,($F196-1)*12)&lt;6,100,"")))</x:f>
        <x:v>41.6725</x:v>
      </x:c>
      <x:c r="Y196" s="17" t="n">
        <x:f>IF(NOT(ISNUMBER(W196)),"",IF(NOT(ISNUMBER(X196)),W196,ROUND(W196*'sheet1-指标体系'!$J$8+X196*'sheet1-指标体系'!$J$9,2)))</x:f>
        <x:v>30.52</x:v>
      </x:c>
      <x:c r="Z196" s="37" t="n">
        <x:f>IF(OR(NOT(ISNUMBER(M196)),NOT(ISNUMBER(AD196)),AD196=0),"",ABS(M196/AD196))</x:f>
        <x:v>0.32320146632045216</x:v>
      </x:c>
      <x:c r="AA196" s="35" t="n">
        <x:f>IF(ISNUMBER('sheet4-原始数据'!K181),'sheet4-原始数据'!K181,"")</x:f>
        <x:v>0.3232</x:v>
      </x:c>
      <x:c r="AB196" s="37" t="n">
        <x:f>IF(COUNT(Z196:AA196)=0,"",MAX(Z196:AA196))</x:f>
        <x:v>0.32320146632045216</x:v>
      </x:c>
      <x:c r="AC196" s="17" t="n">
        <x:f>IF(OR($G196&lt;&gt;"入池",NOT(ISNUMBER(AB196))),"",IF(COUNTIFS($G$17:$G$219,"入池",$AB$17:$AB$219,"&gt;=-1E+307",$AB$17:$AB$219,"&lt;=1E+307")&lt;=1,100,ROUND(100*(COUNTIFS($G$17:$G$219,"入池",$AB$17:$AB$219,"&lt;=1E+307",$AB$17:$AB$219,"&gt;"&amp;AB196)+COUNTIFS($G$17:$G$219,"入池",$AB$17:$AB$219,AB196,$AB$17:$AB$219,"&gt;=-1E+307",$AB$17:$AB$219,"&lt;=1E+307")/2-0.5)/(COUNTIFS($G$17:$G$219,"入池",$AB$17:$AB$219,"&gt;=-1E+307",$AB$17:$AB$219,"&lt;=1E+307")-1),2)))</x:f>
        <x:v>3.96</x:v>
      </x:c>
      <x:c r="AD196" s="38" t="n">
        <x:f>IF(ISNUMBER('sheet4-原始数据'!M181),'sheet4-原始数据'!M181,"")</x:f>
        <x:v>-0.6547</x:v>
      </x:c>
      <x:c r="AE196" s="37" t="str">
        <x:f>IF(OR(NOT(ISNUMBER(P196)),NOT(ISNUMBER(AA196)),NOT(ISNUMBER(Z196))),"",IF(AA196&gt;Z196+'sheet1-指标体系'!$J$11,AA196,""))</x:f>
      </x:c>
      <x:c r="AF196" s="17" t="str">
        <x:f>IF(OR(NOT(ISNUMBER(P196)),NOT(ISNUMBER(AE196)),AE196=0),"",P196/AE196)</x:f>
      </x:c>
      <x:c r="AG196" s="17" t="n">
        <x:f>IF(OR($G196&lt;&gt;"入池",NOT(ISNUMBER(AD196))),"",IF(COUNTIFS($G$17:$G$219,"入池",$AD$17:$AD$219,"&gt;=-1E+307",$AD$17:$AD$219,"&lt;=1E+307")&lt;=1,100,ROUND(100*(COUNTIFS($G$17:$G$219,"入池",$AD$17:$AD$219,"&gt;=-1E+307",$AD$17:$AD$219,"&lt;"&amp;AD196)+COUNTIFS($G$17:$G$219,"入池",$AD$17:$AD$219,AD196,$AD$17:$AD$219,"&gt;=-1E+307",$AD$17:$AD$219,"&lt;=1E+307")/2-0.5)/(COUNTIFS($G$17:$G$219,"入池",$AD$17:$AD$219,"&gt;=-1E+307",$AD$17:$AD$219,"&lt;=1E+307")-1),2)))</x:f>
        <x:v>5.97</x:v>
      </x:c>
      <x:c r="AH196" s="17" t="str">
        <x:f>IF(OR($G196&lt;&gt;"入池",NOT(ISNUMBER(AF196))),"",IF(COUNTIFS($G$17:$G$219,"入池",$AF$17:$AF$219,"&gt;=-1E+307",$AF$17:$AF$219,"&lt;=1E+307")&lt;=1,100,ROUND(100*(COUNTIFS($G$17:$G$219,"入池",$AF$17:$AF$219,"&gt;=-1E+307",$AF$17:$AF$219,"&lt;"&amp;AF196)+COUNTIFS($G$17:$G$219,"入池",$AF$17:$AF$219,AF196,$AF$17:$AF$219,"&gt;=-1E+307",$AF$17:$AF$219,"&lt;=1E+307")/2-0.5)/(COUNTIFS($G$17:$G$219,"入池",$AF$17:$AF$219,"&gt;=-1E+307",$AF$17:$AF$219,"&lt;=1E+307")-1),2)))</x:f>
      </x:c>
      <x:c r="AI196" s="17" t="n">
        <x:f>IF(NOT(ISNUMBER(AG196)),"",IF(NOT(ISNUMBER(AH196)),AG196,ROUND(AG196*'sheet1-指标体系'!$J$8+AH196*'sheet1-指标体系'!$J$9,2)))</x:f>
        <x:v>5.97</x:v>
      </x:c>
      <x:c r="AJ196" s="37" t="n">
        <x:f>IF(NOT(ISNUMBER(F196)),"",IF(F196&gt;=3,IF(NOT(ISNUMBER(N196)),"",N196),IF(NOT(ISNUMBER(O196)),"",O196)))</x:f>
        <x:v>-0.059000000000000004</x:v>
      </x:c>
      <x:c r="AK196" s="17" t="n">
        <x:f>IF(OR(G196&lt;&gt;"入池",NOT(ISNUMBER(M196)),NOT(ISNUMBER(AJ196))),"",IF(M196&gt;=AJ196,100,IF(AJ196-M196&lt;'sheet1-指标体系'!$J$10,80,60)))</x:f>
        <x:v>80</x:v>
      </x:c>
      <x:c r="AL196" s="17" t="n">
        <x:f>IF(COUNT(I196,K196,L196)=0,"",ROUND((IF(ISNUMBER(I196),I196*40%,0)+IF(ISNUMBER(K196),K196*30%,0)+IF(ISNUMBER(L196),L196*30%,0))/(IF(ISNUMBER(I196),40%,0)+IF(ISNUMBER(K196),30%,0)+IF(ISNUMBER(L196),30%,0)),2))</x:f>
        <x:v>84</x:v>
      </x:c>
      <x:c r="AM196" s="17" t="n">
        <x:f>IF(COUNT(Q196,R196,W196,X196)=0,"",ROUND((IF(ISNUMBER(Q196),Q196*42%,0)+IF(ISNUMBER(R196),R196*28%,0)+IF(ISNUMBER(W196),W196*18%,0)+IF(ISNUMBER(X196),X196*12%,0))/(IF(ISNUMBER(Q196),42%,0)+IF(ISNUMBER(R196),28%,0)+IF(ISNUMBER(W196),18%,0)+IF(ISNUMBER(X196),12%,0)),2))</x:f>
        <x:v>14.01</x:v>
      </x:c>
      <x:c r="AN196" s="17" t="n">
        <x:f>IF(ISNUMBER(AC196),AC196,"")</x:f>
        <x:v>3.96</x:v>
      </x:c>
      <x:c r="AO196" s="17" t="n">
        <x:f>IF(COUNT(AG196,AH196)=0,"",ROUND((IF(ISNUMBER(AG196),AG196*60%,0)+IF(ISNUMBER(AH196),AH196*40%,0))/(IF(ISNUMBER(AG196),60%,0)+IF(ISNUMBER(AH196),40%,0)),2))</x:f>
        <x:v>5.97</x:v>
      </x:c>
      <x:c r="AP196" s="17" t="n">
        <x:f>IF(ISNUMBER(AK196),AK196,"")</x:f>
        <x:v>80</x:v>
      </x:c>
      <x:c r="AQ196" s="39" t="n">
        <x:f>IF(G196&lt;&gt;"入池",0,IF(ISNUMBER(I196),6%,0)+IF(ISNUMBER(K196),4.5%,0)+IF(ISNUMBER(L196),4.5%,0)+IF(ISNUMBER(Q196),8.4%,0)+IF(ISNUMBER(R196),5.6%,0)+IF(ISNUMBER(W196),3.6%,0)+IF(ISNUMBER(X196),2.4%,0)+IF(ISNUMBER(AC196),25%,0)+IF(ISNUMBER(AG196),18%,0)+IF(ISNUMBER(AH196),12%,0)+IF(ISNUMBER(AK196),10%,0))</x:f>
        <x:v>0.88</x:v>
      </x:c>
      <x:c r="AR196" s="17" t="n">
        <x:f>IF(AQ196=0,"",IF(ISNUMBER(I196),I196*6%,0)+IF(ISNUMBER(K196),K196*4.5%,0)+IF(ISNUMBER(L196),L196*4.5%,0)+IF(ISNUMBER(Q196),Q196*8.4%,0)+IF(ISNUMBER(R196),R196*5.6%,0)+IF(ISNUMBER(W196),W196*3.6%,0)+IF(ISNUMBER(X196),X196*2.4%,0)+IF(ISNUMBER(AC196),AC196*25%,0)+IF(ISNUMBER(AG196),AG196*18%,0)+IF(ISNUMBER(AH196),AH196*12%,0)+IF(ISNUMBER(AK196),AK196*10%,0))</x:f>
        <x:v>25.4661</x:v>
      </x:c>
      <x:c r="AS196" s="17" t="n">
        <x:f>IF(AQ196=0,"",ROUND(AR196/AQ196,2))</x:f>
        <x:v>28.94</x:v>
      </x:c>
      <x:c r="AT196" s="40" t="n">
        <x:f>IF(OR(G196&lt;&gt;"入池",NOT(ISNUMBER(AS196))),"",COUNTIFS($G$17:$G$219,"入池",$AS$17:$AS$219,"&gt;"&amp;AS196)+COUNTIFS($G$17:$G$219,"入池",$AS$17:$AS$219,AS196,$AQ$17:$AQ$219,"&gt;"&amp;AQ196)+COUNTIFS($G$17:G196,"入池",$AS$17:AS196,AS196,$AQ$17:AQ196,AQ196))</x:f>
        <x:v>196</x:v>
      </x:c>
      <x:c r="AU196" s="41" t="str">
        <x:f t="shared" si="7">IF(NOT(ISNUMBER(I196)),"管理人规模；","")&amp;IF(J196="","产品规模标识；","")&amp;IF(AND(F196&lt;3,NOT(ISNUMBER(O196))),"R_incep；","")&amp;IF(NOT(ISNUMBER(N196)),"近三年收益；","")&amp;IF(NOT(ISNUMBER(U196)),"近三年胜率；","")&amp;IF(AND(ISNUMBER(V196),OR(V196&lt;0,V196&gt;1)),"胜率窗口口径不一致；","")&amp;IF(NOT(ISNUMBER(AA196)),"近三年回撤；","")&amp;IF(NOT(ISNUMBER(AD196)),"短期卡玛；","")&amp;IF(AND(ISNUMBER(P196),NOT(ISNUMBER(AE196))),"DD_long不可识别；","")</x:f>
        <x:v>DD_long不可识别；</x:v>
      </x:c>
      <x:c r="AV196" s="42" t="n">
        <x:v>0</x:v>
      </x:c>
      <x:c r="AW196" s="19" t="str">
        <x:v>厦门言起投资管理有限公司</x:v>
      </x:c>
      <x:c r="AX196" s="19" t="str">
        <x:v>2026-03-02</x:v>
      </x:c>
      <x:c r="AY196" s="19" t="str">
        <x:v>https://gs.amac.org.cn/amac-infodisc/res/pof/manager/101000049573.html</x:v>
      </x:c>
      <x:c r="AZ196" s="19" t="str">
        <x:v>言起投资价值成长1号私募证券投资基金</x:v>
      </x:c>
      <x:c r="BA196" s="19" t="str">
        <x:v>2023-02-27</x:v>
      </x:c>
      <x:c r="BB196" s="19"/>
      <x:c r="BC196" s="19" t="str">
        <x:v>https://gs.amac.org.cn/amac-infodisc/res/pof/fund/2302271500104378.html</x:v>
      </x:c>
      <x:c r="BD196" s="19" t="str">
        <x:v>已匹配</x:v>
      </x:c>
      <x:c r="BE196"/>
      <x:c r="BF196"/>
    </x:row>
    <x:row r="197" ht="28" customHeight="1">
      <x:c r="A197" s="4" t="n">
        <x:v>181</x:v>
      </x:c>
      <x:c r="B197" s="15" t="str">
        <x:f>'sheet4-原始数据'!A182</x:f>
        <x:v>泰创稳增1号</x:v>
      </x:c>
      <x:c r="C197" s="15" t="str">
        <x:f>'sheet4-原始数据'!B182</x:f>
        <x:v>SZV527</x:v>
      </x:c>
      <x:c r="D197" s="15" t="str">
        <x:f>'sheet4-原始数据'!E182</x:f>
        <x:v>北京泰创投资</x:v>
      </x:c>
      <x:c r="E197" s="32" t="n">
        <x:f>IF(ISNUMBER('sheet4-原始数据'!F182),'sheet4-原始数据'!F182,"")</x:f>
        <x:v>45026</x:v>
      </x:c>
      <x:c r="F197" s="17" t="n">
        <x:f>IF(NOT(ISNUMBER(E197)),"",ROUND(('sheet1-指标体系'!$J$23-E197)/365.25,4))</x:f>
        <x:v>3.436</x:v>
      </x:c>
      <x:c r="G197" s="4" t="str">
        <x:f t="shared" si="6">IF(NOT(ISNUMBER(F197)),"",IF(F197&lt;1,"不入池","入池"))</x:f>
        <x:v>入池</x:v>
      </x:c>
      <x:c r="H197" s="33" t="str">
        <x:v>5-10亿元</x:v>
      </x:c>
      <x:c r="I197" s="17" t="n">
        <x:f>IF(H197="","",IF(ISNUMBER(SEARCH("100亿元以上",H197)),100,IF(OR(ISNUMBER(SEARCH("20-50",H197)),ISNUMBER(SEARCH("50-100",H197)),ISNUMBER(SEARCH("20-100",H197))),90,IF(ISNUMBER(SEARCH("10-20",H197)),80,IF(ISNUMBER(SEARCH("5-10",H197)),70,IF(ISNUMBER(SEARCH("0-5",H197)),60,""))))))</x:f>
        <x:v>70</x:v>
      </x:c>
      <x:c r="J197" s="34" t="str">
        <x:v>无低于1000万元标识</x:v>
      </x:c>
      <x:c r="K197" s="17" t="n">
        <x:f>IF(J197="","",IF(J197="低于1000万元",0,100))</x:f>
        <x:v>100</x:v>
      </x:c>
      <x:c r="L197" s="17" t="n">
        <x:f>IF(NOT(ISNUMBER(F197)),"",IF(F197&lt;1,"",IF(F197&lt;3,70,100)))</x:f>
        <x:v>100</x:v>
      </x:c>
      <x:c r="M197" s="35" t="n">
        <x:f>IF(ISNUMBER('sheet4-原始数据'!G182),'sheet4-原始数据'!G182,"")</x:f>
        <x:v>0.049</x:v>
      </x:c>
      <x:c r="N197" s="35" t="n">
        <x:f>IF(ISNUMBER('sheet4-原始数据'!H182),'sheet4-原始数据'!H182,"")</x:f>
        <x:v>0.0583</x:v>
      </x:c>
      <x:c r="O197" s="36" t="str">
        <x:f>IF(ISNUMBER('sheet4-原始数据'!Q182),'sheet4-原始数据'!Q182,"")</x:f>
      </x:c>
      <x:c r="P197" s="37" t="n">
        <x:f>IF($G197&lt;&gt;"入池","",IF($F197&gt;=3,IF(OR(NOT(ISNUMBER($M197)),NOT(ISNUMBER($N197)),1+$M197&lt;=0,1+$N197&lt;0),"",((1+$N197)^3/(1+$M197))^(1/2)-1),IF(OR($F197&lt;=1,NOT(ISNUMBER($M197)),NOT(ISNUMBER($O197)),1+$M197&lt;=0,1+$O197&lt;0),"",((1+$O197)^$F197/(1+$M197))^(1/($F197-1))-1)))</x:f>
        <x:v>0.0629808731978938</x:v>
      </x:c>
      <x:c r="Q197" s="17" t="n">
        <x:f>IF(OR($G197&lt;&gt;"入池",NOT(ISNUMBER(M197))),"",IF(COUNTIFS($G$17:$G$219,"入池",$M$17:$M$219,"&gt;=-1E+307",$M$17:$M$219,"&lt;=1E+307")&lt;=1,100,ROUND(100*(COUNTIFS($G$17:$G$219,"入池",$M$17:$M$219,"&gt;=-1E+307",$M$17:$M$219,"&lt;"&amp;M197)+COUNTIFS($G$17:$G$219,"入池",$M$17:$M$219,M197,$M$17:$M$219,"&gt;=-1E+307",$M$17:$M$219,"&lt;=1E+307")/2-0.5)/(COUNTIFS($G$17:$G$219,"入池",$M$17:$M$219,"&gt;=-1E+307",$M$17:$M$219,"&lt;=1E+307")-1),2)))</x:f>
        <x:v>49.01</x:v>
      </x:c>
      <x:c r="R197" s="17" t="n">
        <x:f>IF(OR($G197&lt;&gt;"入池",NOT(ISNUMBER(P197))),"",IF(COUNTIFS($G$17:$G$219,"入池",$P$17:$P$219,"&gt;=-1E+307",$P$17:$P$219,"&lt;=1E+307")&lt;=1,100,ROUND(100*(COUNTIFS($G$17:$G$219,"入池",$P$17:$P$219,"&gt;=-1E+307",$P$17:$P$219,"&lt;"&amp;P197)+COUNTIFS($G$17:$G$219,"入池",$P$17:$P$219,P197,$P$17:$P$219,"&gt;=-1E+307",$P$17:$P$219,"&lt;=1E+307")/2-0.5)/(COUNTIFS($G$17:$G$219,"入池",$P$17:$P$219,"&gt;=-1E+307",$P$17:$P$219,"&lt;=1E+307")-1),2)))</x:f>
        <x:v>50</x:v>
      </x:c>
      <x:c r="S197" s="17" t="n">
        <x:f>IF(NOT(ISNUMBER(Q197)),"",IF(NOT(ISNUMBER(R197)),Q197,ROUND(Q197*'sheet1-指标体系'!$J$8+R197*'sheet1-指标体系'!$J$9,2)))</x:f>
        <x:v>49.41</x:v>
      </x:c>
      <x:c r="T197" s="35" t="n">
        <x:f>IF(ISNUMBER('sheet4-原始数据'!J182),'sheet4-原始数据'!J182,"")</x:f>
        <x:v>0.6154</x:v>
      </x:c>
      <x:c r="U197" s="35" t="n">
        <x:f>IF(ISNUMBER('sheet4-原始数据'!I182),'sheet4-原始数据'!I182,"")</x:f>
        <x:v>0.7837999999999999</x:v>
      </x:c>
      <x:c r="V197" s="37" t="n">
        <x:f>IF(OR(NOT(ISNUMBER(T197)),NOT(ISNUMBER(U197))),"",(U197*'sheet1-指标体系'!$J$6-T197*'sheet1-指标体系'!$J$5)/'sheet1-指标体系'!$J$7)</x:f>
        <x:v>0.8750166666666667</x:v>
      </x:c>
      <x:c r="W197" s="17" t="n">
        <x:f>IF(NOT(ISNUMBER(T197)),"",T197*100)</x:f>
        <x:v>61.53999999999999</x:v>
      </x:c>
      <x:c r="X197" s="17" t="n">
        <x:f>IF($G197&lt;&gt;"入池","",IF(AND(ISNUMBER(V197),V197&gt;=0,V197&lt;=1),V197*100,IF(MAX(0,($F197-1)*12)&lt;6,100,"")))</x:f>
        <x:v>87.50166666666667</x:v>
      </x:c>
      <x:c r="Y197" s="17" t="n">
        <x:f>IF(NOT(ISNUMBER(W197)),"",IF(NOT(ISNUMBER(X197)),W197,ROUND(W197*'sheet1-指标体系'!$J$8+X197*'sheet1-指标体系'!$J$9,2)))</x:f>
        <x:v>71.92</x:v>
      </x:c>
      <x:c r="Z197" s="37" t="n">
        <x:f>IF(OR(NOT(ISNUMBER(M197)),NOT(ISNUMBER(AD197)),AD197=0),"",ABS(M197/AD197))</x:f>
        <x:v>0.0160645203593207</x:v>
      </x:c>
      <x:c r="AA197" s="35" t="n">
        <x:f>IF(ISNUMBER('sheet4-原始数据'!K182),'sheet4-原始数据'!K182,"")</x:f>
        <x:v>0.023799999999999998</x:v>
      </x:c>
      <x:c r="AB197" s="37" t="n">
        <x:f>IF(COUNT(Z197:AA197)=0,"",MAX(Z197:AA197))</x:f>
        <x:v>0.023799999999999998</x:v>
      </x:c>
      <x:c r="AC197" s="17" t="n">
        <x:f>IF(OR($G197&lt;&gt;"入池",NOT(ISNUMBER(AB197))),"",IF(COUNTIFS($G$17:$G$219,"入池",$AB$17:$AB$219,"&gt;=-1E+307",$AB$17:$AB$219,"&lt;=1E+307")&lt;=1,100,ROUND(100*(COUNTIFS($G$17:$G$219,"入池",$AB$17:$AB$219,"&lt;=1E+307",$AB$17:$AB$219,"&gt;"&amp;AB197)+COUNTIFS($G$17:$G$219,"入池",$AB$17:$AB$219,AB197,$AB$17:$AB$219,"&gt;=-1E+307",$AB$17:$AB$219,"&lt;=1E+307")/2-0.5)/(COUNTIFS($G$17:$G$219,"入池",$AB$17:$AB$219,"&gt;=-1E+307",$AB$17:$AB$219,"&lt;=1E+307")-1),2)))</x:f>
        <x:v>71.29</x:v>
      </x:c>
      <x:c r="AD197" s="38" t="n">
        <x:f>IF(ISNUMBER('sheet4-原始数据'!M182),'sheet4-原始数据'!M182,"")</x:f>
        <x:v>3.0502</x:v>
      </x:c>
      <x:c r="AE197" s="37" t="n">
        <x:f>IF(OR(NOT(ISNUMBER(P197)),NOT(ISNUMBER(AA197)),NOT(ISNUMBER(Z197))),"",IF(AA197&gt;Z197+'sheet1-指标体系'!$J$11,AA197,""))</x:f>
        <x:v>0.023799999999999998</x:v>
      </x:c>
      <x:c r="AF197" s="17" t="n">
        <x:f>IF(OR(NOT(ISNUMBER(P197)),NOT(ISNUMBER(AE197)),AE197=0),"",P197/AE197)</x:f>
        <x:v>2.646255176382093</x:v>
      </x:c>
      <x:c r="AG197" s="17" t="n">
        <x:f>IF(OR($G197&lt;&gt;"入池",NOT(ISNUMBER(AD197))),"",IF(COUNTIFS($G$17:$G$219,"入池",$AD$17:$AD$219,"&gt;=-1E+307",$AD$17:$AD$219,"&lt;=1E+307")&lt;=1,100,ROUND(100*(COUNTIFS($G$17:$G$219,"入池",$AD$17:$AD$219,"&gt;=-1E+307",$AD$17:$AD$219,"&lt;"&amp;AD197)+COUNTIFS($G$17:$G$219,"入池",$AD$17:$AD$219,AD197,$AD$17:$AD$219,"&gt;=-1E+307",$AD$17:$AD$219,"&lt;=1E+307")/2-0.5)/(COUNTIFS($G$17:$G$219,"入池",$AD$17:$AD$219,"&gt;=-1E+307",$AD$17:$AD$219,"&lt;=1E+307")-1),2)))</x:f>
        <x:v>53.23</x:v>
      </x:c>
      <x:c r="AH197" s="17" t="n">
        <x:f>IF(OR($G197&lt;&gt;"入池",NOT(ISNUMBER(AF197))),"",IF(COUNTIFS($G$17:$G$219,"入池",$AF$17:$AF$219,"&gt;=-1E+307",$AF$17:$AF$219,"&lt;=1E+307")&lt;=1,100,ROUND(100*(COUNTIFS($G$17:$G$219,"入池",$AF$17:$AF$219,"&gt;=-1E+307",$AF$17:$AF$219,"&lt;"&amp;AF197)+COUNTIFS($G$17:$G$219,"入池",$AF$17:$AF$219,AF197,$AF$17:$AF$219,"&gt;=-1E+307",$AF$17:$AF$219,"&lt;=1E+307")/2-0.5)/(COUNTIFS($G$17:$G$219,"入池",$AF$17:$AF$219,"&gt;=-1E+307",$AF$17:$AF$219,"&lt;=1E+307")-1),2)))</x:f>
        <x:v>72.26</x:v>
      </x:c>
      <x:c r="AI197" s="17" t="n">
        <x:f>IF(NOT(ISNUMBER(AG197)),"",IF(NOT(ISNUMBER(AH197)),AG197,ROUND(AG197*'sheet1-指标体系'!$J$8+AH197*'sheet1-指标体系'!$J$9,2)))</x:f>
        <x:v>60.84</x:v>
      </x:c>
      <x:c r="AJ197" s="37" t="n">
        <x:f>IF(NOT(ISNUMBER(F197)),"",IF(F197&gt;=3,IF(NOT(ISNUMBER(N197)),"",N197),IF(NOT(ISNUMBER(O197)),"",O197)))</x:f>
        <x:v>0.0583</x:v>
      </x:c>
      <x:c r="AK197" s="17" t="n">
        <x:f>IF(OR(G197&lt;&gt;"入池",NOT(ISNUMBER(M197)),NOT(ISNUMBER(AJ197))),"",IF(M197&gt;=AJ197,100,IF(AJ197-M197&lt;'sheet1-指标体系'!$J$10,80,60)))</x:f>
        <x:v>80</x:v>
      </x:c>
      <x:c r="AL197" s="17" t="n">
        <x:f>IF(COUNT(I197,K197,L197)=0,"",ROUND((IF(ISNUMBER(I197),I197*40%,0)+IF(ISNUMBER(K197),K197*30%,0)+IF(ISNUMBER(L197),L197*30%,0))/(IF(ISNUMBER(I197),40%,0)+IF(ISNUMBER(K197),30%,0)+IF(ISNUMBER(L197),30%,0)),2))</x:f>
        <x:v>88</x:v>
      </x:c>
      <x:c r="AM197" s="17" t="n">
        <x:f>IF(COUNT(Q197,R197,W197,X197)=0,"",ROUND((IF(ISNUMBER(Q197),Q197*42%,0)+IF(ISNUMBER(R197),R197*28%,0)+IF(ISNUMBER(W197),W197*18%,0)+IF(ISNUMBER(X197),X197*12%,0))/(IF(ISNUMBER(Q197),42%,0)+IF(ISNUMBER(R197),28%,0)+IF(ISNUMBER(W197),18%,0)+IF(ISNUMBER(X197),12%,0)),2))</x:f>
        <x:v>56.16</x:v>
      </x:c>
      <x:c r="AN197" s="17" t="n">
        <x:f>IF(ISNUMBER(AC197),AC197,"")</x:f>
        <x:v>71.29</x:v>
      </x:c>
      <x:c r="AO197" s="17" t="n">
        <x:f>IF(COUNT(AG197,AH197)=0,"",ROUND((IF(ISNUMBER(AG197),AG197*60%,0)+IF(ISNUMBER(AH197),AH197*40%,0))/(IF(ISNUMBER(AG197),60%,0)+IF(ISNUMBER(AH197),40%,0)),2))</x:f>
        <x:v>60.84</x:v>
      </x:c>
      <x:c r="AP197" s="17" t="n">
        <x:f>IF(ISNUMBER(AK197),AK197,"")</x:f>
        <x:v>80</x:v>
      </x:c>
      <x:c r="AQ197" s="39" t="n">
        <x:f>IF(G197&lt;&gt;"入池",0,IF(ISNUMBER(I197),6%,0)+IF(ISNUMBER(K197),4.5%,0)+IF(ISNUMBER(L197),4.5%,0)+IF(ISNUMBER(Q197),8.4%,0)+IF(ISNUMBER(R197),5.6%,0)+IF(ISNUMBER(W197),3.6%,0)+IF(ISNUMBER(X197),2.4%,0)+IF(ISNUMBER(AC197),25%,0)+IF(ISNUMBER(AG197),18%,0)+IF(ISNUMBER(AH197),12%,0)+IF(ISNUMBER(AK197),10%,0))</x:f>
        <x:v>1</x:v>
      </x:c>
      <x:c r="AR197" s="17" t="n">
        <x:f>IF(AQ197=0,"",IF(ISNUMBER(I197),I197*6%,0)+IF(ISNUMBER(K197),K197*4.5%,0)+IF(ISNUMBER(L197),L197*4.5%,0)+IF(ISNUMBER(Q197),Q197*8.4%,0)+IF(ISNUMBER(R197),R197*5.6%,0)+IF(ISNUMBER(W197),W197*3.6%,0)+IF(ISNUMBER(X197),X197*2.4%,0)+IF(ISNUMBER(AC197),AC197*25%,0)+IF(ISNUMBER(AG197),AG197*18%,0)+IF(ISNUMBER(AH197),AH197*12%,0)+IF(ISNUMBER(AK197),AK197*10%,0))</x:f>
        <x:v>68.50742</x:v>
      </x:c>
      <x:c r="AS197" s="17" t="n">
        <x:f>IF(AQ197=0,"",ROUND(AR197/AQ197,2))</x:f>
        <x:v>68.51</x:v>
      </x:c>
      <x:c r="AT197" s="40" t="n">
        <x:f>IF(OR(G197&lt;&gt;"入池",NOT(ISNUMBER(AS197))),"",COUNTIFS($G$17:$G$219,"入池",$AS$17:$AS$219,"&gt;"&amp;AS197)+COUNTIFS($G$17:$G$219,"入池",$AS$17:$AS$219,AS197,$AQ$17:$AQ$219,"&gt;"&amp;AQ197)+COUNTIFS($G$17:G197,"入池",$AS$17:AS197,AS197,$AQ$17:AQ197,AQ197))</x:f>
        <x:v>81</x:v>
      </x:c>
      <x:c r="AU197" s="41" t="str">
        <x:f t="shared" si="7">IF(NOT(ISNUMBER(I197)),"管理人规模；","")&amp;IF(J197="","产品规模标识；","")&amp;IF(AND(F197&lt;3,NOT(ISNUMBER(O197))),"R_incep；","")&amp;IF(NOT(ISNUMBER(N197)),"近三年收益；","")&amp;IF(NOT(ISNUMBER(U197)),"近三年胜率；","")&amp;IF(AND(ISNUMBER(V197),OR(V197&lt;0,V197&gt;1)),"胜率窗口口径不一致；","")&amp;IF(NOT(ISNUMBER(AA197)),"近三年回撤；","")&amp;IF(NOT(ISNUMBER(AD197)),"短期卡玛；","")&amp;IF(AND(ISNUMBER(P197),NOT(ISNUMBER(AE197))),"DD_long不可识别；","")</x:f>
      </x:c>
      <x:c r="AV197" s="42" t="n">
        <x:v>5</x:v>
      </x:c>
      <x:c r="AW197" s="19" t="str">
        <x:v>北京泰创投资管理有限公司</x:v>
      </x:c>
      <x:c r="AX197" s="19" t="str">
        <x:v>2026-05-12</x:v>
      </x:c>
      <x:c r="AY197" s="19" t="str">
        <x:v>https://gs.amac.org.cn/amac-infodisc/res/pof/manager/101000008864.html</x:v>
      </x:c>
      <x:c r="AZ197" s="19" t="str">
        <x:v>泰创稳增1号私募证券投资基金</x:v>
      </x:c>
      <x:c r="BA197" s="19" t="str">
        <x:v>2026-06-12</x:v>
      </x:c>
      <x:c r="BB197" s="19"/>
      <x:c r="BC197" s="19" t="str">
        <x:v>https://gs.amac.org.cn/amac-infodisc/res/pof/fund/2304172010100805.html</x:v>
      </x:c>
      <x:c r="BD197" s="19" t="str">
        <x:v>已匹配</x:v>
      </x:c>
      <x:c r="BE197"/>
      <x:c r="BF197"/>
    </x:row>
    <x:row r="198" ht="28" customHeight="1">
      <x:c r="A198" s="4" t="n">
        <x:v>182</x:v>
      </x:c>
      <x:c r="B198" s="15" t="str">
        <x:f>'sheet4-原始数据'!A183</x:f>
        <x:v>悬铃君享CTA2号</x:v>
      </x:c>
      <x:c r="C198" s="15" t="str">
        <x:f>'sheet4-原始数据'!B183</x:f>
        <x:v>SZF199</x:v>
      </x:c>
      <x:c r="D198" s="15" t="str">
        <x:f>'sheet4-原始数据'!E183</x:f>
        <x:v>上海悬铃</x:v>
      </x:c>
      <x:c r="E198" s="32" t="n">
        <x:f>IF(ISNUMBER('sheet4-原始数据'!F183),'sheet4-原始数据'!F183,"")</x:f>
        <x:v>45034</x:v>
      </x:c>
      <x:c r="F198" s="17" t="n">
        <x:f>IF(NOT(ISNUMBER(E198)),"",ROUND(('sheet1-指标体系'!$J$23-E198)/365.25,4))</x:f>
        <x:v>3.4141</x:v>
      </x:c>
      <x:c r="G198" s="4" t="str">
        <x:f t="shared" si="6">IF(NOT(ISNUMBER(F198)),"",IF(F198&lt;1,"不入池","入池"))</x:f>
        <x:v>入池</x:v>
      </x:c>
      <x:c r="H198" s="33" t="str">
        <x:v>20-50亿元</x:v>
      </x:c>
      <x:c r="I198" s="17" t="n">
        <x:f>IF(H198="","",IF(ISNUMBER(SEARCH("100亿元以上",H198)),100,IF(OR(ISNUMBER(SEARCH("20-50",H198)),ISNUMBER(SEARCH("50-100",H198)),ISNUMBER(SEARCH("20-100",H198))),90,IF(ISNUMBER(SEARCH("10-20",H198)),80,IF(ISNUMBER(SEARCH("5-10",H198)),70,IF(ISNUMBER(SEARCH("0-5",H198)),60,""))))))</x:f>
        <x:v>90</x:v>
      </x:c>
      <x:c r="J198" s="34" t="str">
        <x:v>无低于1000万元标识</x:v>
      </x:c>
      <x:c r="K198" s="17" t="n">
        <x:f>IF(J198="","",IF(J198="低于1000万元",0,100))</x:f>
        <x:v>100</x:v>
      </x:c>
      <x:c r="L198" s="17" t="n">
        <x:f>IF(NOT(ISNUMBER(F198)),"",IF(F198&lt;1,"",IF(F198&lt;3,70,100)))</x:f>
        <x:v>100</x:v>
      </x:c>
      <x:c r="M198" s="35" t="n">
        <x:f>IF(ISNUMBER('sheet4-原始数据'!G183),'sheet4-原始数据'!G183,"")</x:f>
        <x:v>0.008</x:v>
      </x:c>
      <x:c r="N198" s="35" t="n">
        <x:f>IF(ISNUMBER('sheet4-原始数据'!H183),'sheet4-原始数据'!H183,"")</x:f>
        <x:v>0.079</x:v>
      </x:c>
      <x:c r="O198" s="36" t="str">
        <x:f>IF(ISNUMBER('sheet4-原始数据'!Q183),'sheet4-原始数据'!Q183,"")</x:f>
      </x:c>
      <x:c r="P198" s="37" t="n">
        <x:f>IF($G198&lt;&gt;"入池","",IF($F198&gt;=3,IF(OR(NOT(ISNUMBER($M198)),NOT(ISNUMBER($N198)),1+$M198&lt;=0,1+$N198&lt;0),"",((1+$N198)^3/(1+$M198))^(1/2)-1),IF(OR($F198&lt;=1,NOT(ISNUMBER($M198)),NOT(ISNUMBER($O198)),1+$M198&lt;=0,1+$O198&lt;0),"",((1+$O198)^$F198/(1+$M198))^(1/($F198-1))-1)))</x:f>
        <x:v>0.11635391809072271</x:v>
      </x:c>
      <x:c r="Q198" s="17" t="n">
        <x:f>IF(OR($G198&lt;&gt;"入池",NOT(ISNUMBER(M198))),"",IF(COUNTIFS($G$17:$G$219,"入池",$M$17:$M$219,"&gt;=-1E+307",$M$17:$M$219,"&lt;=1E+307")&lt;=1,100,ROUND(100*(COUNTIFS($G$17:$G$219,"入池",$M$17:$M$219,"&gt;=-1E+307",$M$17:$M$219,"&lt;"&amp;M198)+COUNTIFS($G$17:$G$219,"入池",$M$17:$M$219,M198,$M$17:$M$219,"&gt;=-1E+307",$M$17:$M$219,"&lt;=1E+307")/2-0.5)/(COUNTIFS($G$17:$G$219,"入池",$M$17:$M$219,"&gt;=-1E+307",$M$17:$M$219,"&lt;=1E+307")-1),2)))</x:f>
        <x:v>20.79</x:v>
      </x:c>
      <x:c r="R198" s="17" t="n">
        <x:f>IF(OR($G198&lt;&gt;"入池",NOT(ISNUMBER(P198))),"",IF(COUNTIFS($G$17:$G$219,"入池",$P$17:$P$219,"&gt;=-1E+307",$P$17:$P$219,"&lt;=1E+307")&lt;=1,100,ROUND(100*(COUNTIFS($G$17:$G$219,"入池",$P$17:$P$219,"&gt;=-1E+307",$P$17:$P$219,"&lt;"&amp;P198)+COUNTIFS($G$17:$G$219,"入池",$P$17:$P$219,P198,$P$17:$P$219,"&gt;=-1E+307",$P$17:$P$219,"&lt;=1E+307")/2-0.5)/(COUNTIFS($G$17:$G$219,"入池",$P$17:$P$219,"&gt;=-1E+307",$P$17:$P$219,"&lt;=1E+307")-1),2)))</x:f>
        <x:v>79.21</x:v>
      </x:c>
      <x:c r="S198" s="17" t="n">
        <x:f>IF(NOT(ISNUMBER(Q198)),"",IF(NOT(ISNUMBER(R198)),Q198,ROUND(Q198*'sheet1-指标体系'!$J$8+R198*'sheet1-指标体系'!$J$9,2)))</x:f>
        <x:v>44.16</x:v>
      </x:c>
      <x:c r="T198" s="35" t="n">
        <x:f>IF(ISNUMBER('sheet4-原始数据'!J183),'sheet4-原始数据'!J183,"")</x:f>
        <x:v>0.6154</x:v>
      </x:c>
      <x:c r="U198" s="35" t="n">
        <x:f>IF(ISNUMBER('sheet4-原始数据'!I183),'sheet4-原始数据'!I183,"")</x:f>
        <x:v>0.6486</x:v>
      </x:c>
      <x:c r="V198" s="37" t="n">
        <x:f>IF(OR(NOT(ISNUMBER(T198)),NOT(ISNUMBER(U198))),"",(U198*'sheet1-指标体系'!$J$6-T198*'sheet1-指标体系'!$J$5)/'sheet1-指标体系'!$J$7)</x:f>
        <x:v>0.6665833333333332</x:v>
      </x:c>
      <x:c r="W198" s="17" t="n">
        <x:f>IF(NOT(ISNUMBER(T198)),"",T198*100)</x:f>
        <x:v>61.53999999999999</x:v>
      </x:c>
      <x:c r="X198" s="17" t="n">
        <x:f>IF($G198&lt;&gt;"入池","",IF(AND(ISNUMBER(V198),V198&gt;=0,V198&lt;=1),V198*100,IF(MAX(0,($F198-1)*12)&lt;6,100,"")))</x:f>
        <x:v>66.65833333333332</x:v>
      </x:c>
      <x:c r="Y198" s="17" t="n">
        <x:f>IF(NOT(ISNUMBER(W198)),"",IF(NOT(ISNUMBER(X198)),W198,ROUND(W198*'sheet1-指标体系'!$J$8+X198*'sheet1-指标体系'!$J$9,2)))</x:f>
        <x:v>63.59</x:v>
      </x:c>
      <x:c r="Z198" s="37" t="n">
        <x:f>IF(OR(NOT(ISNUMBER(M198)),NOT(ISNUMBER(AD198)),AD198=0),"",ABS(M198/AD198))</x:f>
        <x:v>0.06584362139917696</x:v>
      </x:c>
      <x:c r="AA198" s="35" t="n">
        <x:f>IF(ISNUMBER('sheet4-原始数据'!K183),'sheet4-原始数据'!K183,"")</x:f>
        <x:v>0.1376</x:v>
      </x:c>
      <x:c r="AB198" s="37" t="n">
        <x:f>IF(COUNT(Z198:AA198)=0,"",MAX(Z198:AA198))</x:f>
        <x:v>0.1376</x:v>
      </x:c>
      <x:c r="AC198" s="17" t="n">
        <x:f>IF(OR($G198&lt;&gt;"入池",NOT(ISNUMBER(AB198))),"",IF(COUNTIFS($G$17:$G$219,"入池",$AB$17:$AB$219,"&gt;=-1E+307",$AB$17:$AB$219,"&lt;=1E+307")&lt;=1,100,ROUND(100*(COUNTIFS($G$17:$G$219,"入池",$AB$17:$AB$219,"&lt;=1E+307",$AB$17:$AB$219,"&gt;"&amp;AB198)+COUNTIFS($G$17:$G$219,"入池",$AB$17:$AB$219,AB198,$AB$17:$AB$219,"&gt;=-1E+307",$AB$17:$AB$219,"&lt;=1E+307")/2-0.5)/(COUNTIFS($G$17:$G$219,"入池",$AB$17:$AB$219,"&gt;=-1E+307",$AB$17:$AB$219,"&lt;=1E+307")-1),2)))</x:f>
        <x:v>15.35</x:v>
      </x:c>
      <x:c r="AD198" s="38" t="n">
        <x:f>IF(ISNUMBER('sheet4-原始数据'!M183),'sheet4-原始数据'!M183,"")</x:f>
        <x:v>0.1215</x:v>
      </x:c>
      <x:c r="AE198" s="37" t="n">
        <x:f>IF(OR(NOT(ISNUMBER(P198)),NOT(ISNUMBER(AA198)),NOT(ISNUMBER(Z198))),"",IF(AA198&gt;Z198+'sheet1-指标体系'!$J$11,AA198,""))</x:f>
        <x:v>0.1376</x:v>
      </x:c>
      <x:c r="AF198" s="17" t="n">
        <x:f>IF(OR(NOT(ISNUMBER(P198)),NOT(ISNUMBER(AE198)),AE198=0),"",P198/AE198)</x:f>
        <x:v>0.8455953349616476</x:v>
      </x:c>
      <x:c r="AG198" s="17" t="n">
        <x:f>IF(OR($G198&lt;&gt;"入池",NOT(ISNUMBER(AD198))),"",IF(COUNTIFS($G$17:$G$219,"入池",$AD$17:$AD$219,"&gt;=-1E+307",$AD$17:$AD$219,"&lt;=1E+307")&lt;=1,100,ROUND(100*(COUNTIFS($G$17:$G$219,"入池",$AD$17:$AD$219,"&gt;=-1E+307",$AD$17:$AD$219,"&lt;"&amp;AD198)+COUNTIFS($G$17:$G$219,"入池",$AD$17:$AD$219,AD198,$AD$17:$AD$219,"&gt;=-1E+307",$AD$17:$AD$219,"&lt;=1E+307")/2-0.5)/(COUNTIFS($G$17:$G$219,"入池",$AD$17:$AD$219,"&gt;=-1E+307",$AD$17:$AD$219,"&lt;=1E+307")-1),2)))</x:f>
        <x:v>21.39</x:v>
      </x:c>
      <x:c r="AH198" s="17" t="n">
        <x:f>IF(OR($G198&lt;&gt;"入池",NOT(ISNUMBER(AF198))),"",IF(COUNTIFS($G$17:$G$219,"入池",$AF$17:$AF$219,"&gt;=-1E+307",$AF$17:$AF$219,"&lt;=1E+307")&lt;=1,100,ROUND(100*(COUNTIFS($G$17:$G$219,"入池",$AF$17:$AF$219,"&gt;=-1E+307",$AF$17:$AF$219,"&lt;"&amp;AF198)+COUNTIFS($G$17:$G$219,"入池",$AF$17:$AF$219,AF198,$AF$17:$AF$219,"&gt;=-1E+307",$AF$17:$AF$219,"&lt;=1E+307")/2-0.5)/(COUNTIFS($G$17:$G$219,"入池",$AF$17:$AF$219,"&gt;=-1E+307",$AF$17:$AF$219,"&lt;=1E+307")-1),2)))</x:f>
        <x:v>34.31</x:v>
      </x:c>
      <x:c r="AI198" s="17" t="n">
        <x:f>IF(NOT(ISNUMBER(AG198)),"",IF(NOT(ISNUMBER(AH198)),AG198,ROUND(AG198*'sheet1-指标体系'!$J$8+AH198*'sheet1-指标体系'!$J$9,2)))</x:f>
        <x:v>26.56</x:v>
      </x:c>
      <x:c r="AJ198" s="37" t="n">
        <x:f>IF(NOT(ISNUMBER(F198)),"",IF(F198&gt;=3,IF(NOT(ISNUMBER(N198)),"",N198),IF(NOT(ISNUMBER(O198)),"",O198)))</x:f>
        <x:v>0.079</x:v>
      </x:c>
      <x:c r="AK198" s="17" t="n">
        <x:f>IF(OR(G198&lt;&gt;"入池",NOT(ISNUMBER(M198)),NOT(ISNUMBER(AJ198))),"",IF(M198&gt;=AJ198,100,IF(AJ198-M198&lt;'sheet1-指标体系'!$J$10,80,60)))</x:f>
        <x:v>80</x:v>
      </x:c>
      <x:c r="AL198" s="17" t="n">
        <x:f>IF(COUNT(I198,K198,L198)=0,"",ROUND((IF(ISNUMBER(I198),I198*40%,0)+IF(ISNUMBER(K198),K198*30%,0)+IF(ISNUMBER(L198),L198*30%,0))/(IF(ISNUMBER(I198),40%,0)+IF(ISNUMBER(K198),30%,0)+IF(ISNUMBER(L198),30%,0)),2))</x:f>
        <x:v>96</x:v>
      </x:c>
      <x:c r="AM198" s="17" t="n">
        <x:f>IF(COUNT(Q198,R198,W198,X198)=0,"",ROUND((IF(ISNUMBER(Q198),Q198*42%,0)+IF(ISNUMBER(R198),R198*28%,0)+IF(ISNUMBER(W198),W198*18%,0)+IF(ISNUMBER(X198),X198*12%,0))/(IF(ISNUMBER(Q198),42%,0)+IF(ISNUMBER(R198),28%,0)+IF(ISNUMBER(W198),18%,0)+IF(ISNUMBER(X198),12%,0)),2))</x:f>
        <x:v>49.99</x:v>
      </x:c>
      <x:c r="AN198" s="17" t="n">
        <x:f>IF(ISNUMBER(AC198),AC198,"")</x:f>
        <x:v>15.35</x:v>
      </x:c>
      <x:c r="AO198" s="17" t="n">
        <x:f>IF(COUNT(AG198,AH198)=0,"",ROUND((IF(ISNUMBER(AG198),AG198*60%,0)+IF(ISNUMBER(AH198),AH198*40%,0))/(IF(ISNUMBER(AG198),60%,0)+IF(ISNUMBER(AH198),40%,0)),2))</x:f>
        <x:v>26.56</x:v>
      </x:c>
      <x:c r="AP198" s="17" t="n">
        <x:f>IF(ISNUMBER(AK198),AK198,"")</x:f>
        <x:v>80</x:v>
      </x:c>
      <x:c r="AQ198" s="39" t="n">
        <x:f>IF(G198&lt;&gt;"入池",0,IF(ISNUMBER(I198),6%,0)+IF(ISNUMBER(K198),4.5%,0)+IF(ISNUMBER(L198),4.5%,0)+IF(ISNUMBER(Q198),8.4%,0)+IF(ISNUMBER(R198),5.6%,0)+IF(ISNUMBER(W198),3.6%,0)+IF(ISNUMBER(X198),2.4%,0)+IF(ISNUMBER(AC198),25%,0)+IF(ISNUMBER(AG198),18%,0)+IF(ISNUMBER(AH198),12%,0)+IF(ISNUMBER(AK198),10%,0))</x:f>
        <x:v>1</x:v>
      </x:c>
      <x:c r="AR198" s="17" t="n">
        <x:f>IF(AQ198=0,"",IF(ISNUMBER(I198),I198*6%,0)+IF(ISNUMBER(K198),K198*4.5%,0)+IF(ISNUMBER(L198),L198*4.5%,0)+IF(ISNUMBER(Q198),Q198*8.4%,0)+IF(ISNUMBER(R198),R198*5.6%,0)+IF(ISNUMBER(W198),W198*3.6%,0)+IF(ISNUMBER(X198),X198*2.4%,0)+IF(ISNUMBER(AC198),AC198*25%,0)+IF(ISNUMBER(AG198),AG198*18%,0)+IF(ISNUMBER(AH198),AH198*12%,0)+IF(ISNUMBER(AK198),AK198*10%,0))</x:f>
        <x:v>44.202259999999995</x:v>
      </x:c>
      <x:c r="AS198" s="17" t="n">
        <x:f>IF(AQ198=0,"",ROUND(AR198/AQ198,2))</x:f>
        <x:v>44.2</x:v>
      </x:c>
      <x:c r="AT198" s="40" t="n">
        <x:f>IF(OR(G198&lt;&gt;"入池",NOT(ISNUMBER(AS198))),"",COUNTIFS($G$17:$G$219,"入池",$AS$17:$AS$219,"&gt;"&amp;AS198)+COUNTIFS($G$17:$G$219,"入池",$AS$17:$AS$219,AS198,$AQ$17:$AQ$219,"&gt;"&amp;AQ198)+COUNTIFS($G$17:G198,"入池",$AS$17:AS198,AS198,$AQ$17:AQ198,AQ198))</x:f>
        <x:v>159</x:v>
      </x:c>
      <x:c r="AU198" s="41" t="str">
        <x:f t="shared" si="7">IF(NOT(ISNUMBER(I198)),"管理人规模；","")&amp;IF(J198="","产品规模标识；","")&amp;IF(AND(F198&lt;3,NOT(ISNUMBER(O198))),"R_incep；","")&amp;IF(NOT(ISNUMBER(N198)),"近三年收益；","")&amp;IF(NOT(ISNUMBER(U198)),"近三年胜率；","")&amp;IF(AND(ISNUMBER(V198),OR(V198&lt;0,V198&gt;1)),"胜率窗口口径不一致；","")&amp;IF(NOT(ISNUMBER(AA198)),"近三年回撤；","")&amp;IF(NOT(ISNUMBER(AD198)),"短期卡玛；","")&amp;IF(AND(ISNUMBER(P198),NOT(ISNUMBER(AE198))),"DD_long不可识别；","")</x:f>
      </x:c>
      <x:c r="AV198" s="42" t="n">
        <x:v>20</x:v>
      </x:c>
      <x:c r="AW198" s="19" t="str">
        <x:v>上海悬铃私募基金管理有限公司</x:v>
      </x:c>
      <x:c r="AX198" s="19" t="str">
        <x:v>2026-07-13</x:v>
      </x:c>
      <x:c r="AY198" s="19" t="str">
        <x:v>https://gs.amac.org.cn/amac-infodisc/res/pof/manager/1701161209103763.html</x:v>
      </x:c>
      <x:c r="AZ198" s="19" t="str">
        <x:v>悬铃君享CTA2号私募证券投资基金</x:v>
      </x:c>
      <x:c r="BA198" s="19" t="str">
        <x:v>2026-04-28</x:v>
      </x:c>
      <x:c r="BB198" s="19"/>
      <x:c r="BC198" s="19" t="str">
        <x:v>https://gs.amac.org.cn/amac-infodisc/res/pof/fund/2304181515102191.html</x:v>
      </x:c>
      <x:c r="BD198" s="19" t="str">
        <x:v>已匹配</x:v>
      </x:c>
      <x:c r="BE198"/>
      <x:c r="BF198"/>
    </x:row>
    <x:row r="199" ht="28" customHeight="1">
      <x:c r="A199" s="4" t="n">
        <x:v>183</x:v>
      </x:c>
      <x:c r="B199" s="15" t="str">
        <x:f>'sheet4-原始数据'!A184</x:f>
        <x:v>溋沣鸿运来星选1号</x:v>
      </x:c>
      <x:c r="C199" s="15" t="str">
        <x:f>'sheet4-原始数据'!B184</x:f>
        <x:v>S09408</x:v>
      </x:c>
      <x:c r="D199" s="15" t="str">
        <x:f>'sheet4-原始数据'!E184</x:f>
        <x:v>深圳前海溋沣资管</x:v>
      </x:c>
      <x:c r="E199" s="32" t="n">
        <x:f>IF(ISNUMBER('sheet4-原始数据'!F184),'sheet4-原始数据'!F184,"")</x:f>
        <x:v>45061</x:v>
      </x:c>
      <x:c r="F199" s="17" t="n">
        <x:f>IF(NOT(ISNUMBER(E199)),"",ROUND(('sheet1-指标体系'!$J$23-E199)/365.25,4))</x:f>
        <x:v>3.3402</x:v>
      </x:c>
      <x:c r="G199" s="4" t="str">
        <x:f t="shared" si="6">IF(NOT(ISNUMBER(F199)),"",IF(F199&lt;1,"不入池","入池"))</x:f>
        <x:v>入池</x:v>
      </x:c>
      <x:c r="H199" s="33" t="str">
        <x:v>0-5亿元</x:v>
      </x:c>
      <x:c r="I199" s="17" t="n">
        <x:f>IF(H199="","",IF(ISNUMBER(SEARCH("100亿元以上",H199)),100,IF(OR(ISNUMBER(SEARCH("20-50",H199)),ISNUMBER(SEARCH("50-100",H199)),ISNUMBER(SEARCH("20-100",H199))),90,IF(ISNUMBER(SEARCH("10-20",H199)),80,IF(ISNUMBER(SEARCH("5-10",H199)),70,IF(ISNUMBER(SEARCH("0-5",H199)),60,""))))))</x:f>
        <x:v>60</x:v>
      </x:c>
      <x:c r="J199" s="34" t="str">
        <x:v>无低于1000万元标识</x:v>
      </x:c>
      <x:c r="K199" s="17" t="n">
        <x:f>IF(J199="","",IF(J199="低于1000万元",0,100))</x:f>
        <x:v>100</x:v>
      </x:c>
      <x:c r="L199" s="17" t="n">
        <x:f>IF(NOT(ISNUMBER(F199)),"",IF(F199&lt;1,"",IF(F199&lt;3,70,100)))</x:f>
        <x:v>100</x:v>
      </x:c>
      <x:c r="M199" s="35" t="n">
        <x:f>IF(ISNUMBER('sheet4-原始数据'!G184),'sheet4-原始数据'!G184,"")</x:f>
        <x:v>0.08800000000000001</x:v>
      </x:c>
      <x:c r="N199" s="35" t="n">
        <x:f>IF(ISNUMBER('sheet4-原始数据'!H184),'sheet4-原始数据'!H184,"")</x:f>
        <x:v>0.048799999999999996</x:v>
      </x:c>
      <x:c r="O199" s="36" t="str">
        <x:f>IF(ISNUMBER('sheet4-原始数据'!Q184),'sheet4-原始数据'!Q184,"")</x:f>
      </x:c>
      <x:c r="P199" s="37" t="n">
        <x:f>IF($G199&lt;&gt;"入池","",IF($F199&gt;=3,IF(OR(NOT(ISNUMBER($M199)),NOT(ISNUMBER($N199)),1+$M199&lt;=0,1+$N199&lt;0),"",((1+$N199)^3/(1+$M199))^(1/2)-1),IF(OR($F199&lt;=1,NOT(ISNUMBER($M199)),NOT(ISNUMBER($O199)),1+$M199&lt;=0,1+$O199&lt;0),"",((1+$O199)^$F199/(1+$M199))^(1/($F199-1))-1)))</x:f>
        <x:v>0.029732856504397276</x:v>
      </x:c>
      <x:c r="Q199" s="17" t="n">
        <x:f>IF(OR($G199&lt;&gt;"入池",NOT(ISNUMBER(M199))),"",IF(COUNTIFS($G$17:$G$219,"入池",$M$17:$M$219,"&gt;=-1E+307",$M$17:$M$219,"&lt;=1E+307")&lt;=1,100,ROUND(100*(COUNTIFS($G$17:$G$219,"入池",$M$17:$M$219,"&gt;=-1E+307",$M$17:$M$219,"&lt;"&amp;M199)+COUNTIFS($G$17:$G$219,"入池",$M$17:$M$219,M199,$M$17:$M$219,"&gt;=-1E+307",$M$17:$M$219,"&lt;=1E+307")/2-0.5)/(COUNTIFS($G$17:$G$219,"入池",$M$17:$M$219,"&gt;=-1E+307",$M$17:$M$219,"&lt;=1E+307")-1),2)))</x:f>
        <x:v>74.75</x:v>
      </x:c>
      <x:c r="R199" s="17" t="n">
        <x:f>IF(OR($G199&lt;&gt;"入池",NOT(ISNUMBER(P199))),"",IF(COUNTIFS($G$17:$G$219,"入池",$P$17:$P$219,"&gt;=-1E+307",$P$17:$P$219,"&lt;=1E+307")&lt;=1,100,ROUND(100*(COUNTIFS($G$17:$G$219,"入池",$P$17:$P$219,"&gt;=-1E+307",$P$17:$P$219,"&lt;"&amp;P199)+COUNTIFS($G$17:$G$219,"入池",$P$17:$P$219,P199,$P$17:$P$219,"&gt;=-1E+307",$P$17:$P$219,"&lt;=1E+307")/2-0.5)/(COUNTIFS($G$17:$G$219,"入池",$P$17:$P$219,"&gt;=-1E+307",$P$17:$P$219,"&lt;=1E+307")-1),2)))</x:f>
        <x:v>15.84</x:v>
      </x:c>
      <x:c r="S199" s="17" t="n">
        <x:f>IF(NOT(ISNUMBER(Q199)),"",IF(NOT(ISNUMBER(R199)),Q199,ROUND(Q199*'sheet1-指标体系'!$J$8+R199*'sheet1-指标体系'!$J$9,2)))</x:f>
        <x:v>51.19</x:v>
      </x:c>
      <x:c r="T199" s="35" t="n">
        <x:f>IF(ISNUMBER('sheet4-原始数据'!J184),'sheet4-原始数据'!J184,"")</x:f>
        <x:v>0.8462000000000001</x:v>
      </x:c>
      <x:c r="U199" s="35" t="n">
        <x:f>IF(ISNUMBER('sheet4-原始数据'!I184),'sheet4-原始数据'!I184,"")</x:f>
        <x:v>0.8378</x:v>
      </x:c>
      <x:c r="V199" s="37" t="n">
        <x:f>IF(OR(NOT(ISNUMBER(T199)),NOT(ISNUMBER(U199))),"",(U199*'sheet1-指标体系'!$J$6-T199*'sheet1-指标体系'!$J$5)/'sheet1-指标体系'!$J$7)</x:f>
        <x:v>0.8332499999999999</x:v>
      </x:c>
      <x:c r="W199" s="17" t="n">
        <x:f>IF(NOT(ISNUMBER(T199)),"",T199*100)</x:f>
        <x:v>84.62</x:v>
      </x:c>
      <x:c r="X199" s="17" t="n">
        <x:f>IF($G199&lt;&gt;"入池","",IF(AND(ISNUMBER(V199),V199&gt;=0,V199&lt;=1),V199*100,IF(MAX(0,($F199-1)*12)&lt;6,100,"")))</x:f>
        <x:v>83.32499999999999</x:v>
      </x:c>
      <x:c r="Y199" s="17" t="n">
        <x:f>IF(NOT(ISNUMBER(W199)),"",IF(NOT(ISNUMBER(X199)),W199,ROUND(W199*'sheet1-指标体系'!$J$8+X199*'sheet1-指标体系'!$J$9,2)))</x:f>
        <x:v>84.1</x:v>
      </x:c>
      <x:c r="Z199" s="37" t="n">
        <x:f>IF(OR(NOT(ISNUMBER(M199)),NOT(ISNUMBER(AD199)),AD199=0),"",ABS(M199/AD199))</x:f>
        <x:v>0.02329459724170792</x:v>
      </x:c>
      <x:c r="AA199" s="35" t="n">
        <x:f>IF(ISNUMBER('sheet4-原始数据'!K184),'sheet4-原始数据'!K184,"")</x:f>
        <x:v>0.0269</x:v>
      </x:c>
      <x:c r="AB199" s="37" t="n">
        <x:f>IF(COUNT(Z199:AA199)=0,"",MAX(Z199:AA199))</x:f>
        <x:v>0.0269</x:v>
      </x:c>
      <x:c r="AC199" s="17" t="n">
        <x:f>IF(OR($G199&lt;&gt;"入池",NOT(ISNUMBER(AB199))),"",IF(COUNTIFS($G$17:$G$219,"入池",$AB$17:$AB$219,"&gt;=-1E+307",$AB$17:$AB$219,"&lt;=1E+307")&lt;=1,100,ROUND(100*(COUNTIFS($G$17:$G$219,"入池",$AB$17:$AB$219,"&lt;=1E+307",$AB$17:$AB$219,"&gt;"&amp;AB199)+COUNTIFS($G$17:$G$219,"入池",$AB$17:$AB$219,AB199,$AB$17:$AB$219,"&gt;=-1E+307",$AB$17:$AB$219,"&lt;=1E+307")/2-0.5)/(COUNTIFS($G$17:$G$219,"入池",$AB$17:$AB$219,"&gt;=-1E+307",$AB$17:$AB$219,"&lt;=1E+307")-1),2)))</x:f>
        <x:v>64.36</x:v>
      </x:c>
      <x:c r="AD199" s="38" t="n">
        <x:f>IF(ISNUMBER('sheet4-原始数据'!M184),'sheet4-原始数据'!M184,"")</x:f>
        <x:v>3.7777</x:v>
      </x:c>
      <x:c r="AE199" s="37" t="n">
        <x:f>IF(OR(NOT(ISNUMBER(P199)),NOT(ISNUMBER(AA199)),NOT(ISNUMBER(Z199))),"",IF(AA199&gt;Z199+'sheet1-指标体系'!$J$11,AA199,""))</x:f>
        <x:v>0.0269</x:v>
      </x:c>
      <x:c r="AF199" s="17" t="n">
        <x:f>IF(OR(NOT(ISNUMBER(P199)),NOT(ISNUMBER(AE199)),AE199=0),"",P199/AE199)</x:f>
        <x:v>1.1053106507210884</x:v>
      </x:c>
      <x:c r="AG199" s="17" t="n">
        <x:f>IF(OR($G199&lt;&gt;"入池",NOT(ISNUMBER(AD199))),"",IF(COUNTIFS($G$17:$G$219,"入池",$AD$17:$AD$219,"&gt;=-1E+307",$AD$17:$AD$219,"&lt;=1E+307")&lt;=1,100,ROUND(100*(COUNTIFS($G$17:$G$219,"入池",$AD$17:$AD$219,"&gt;=-1E+307",$AD$17:$AD$219,"&lt;"&amp;AD199)+COUNTIFS($G$17:$G$219,"入池",$AD$17:$AD$219,AD199,$AD$17:$AD$219,"&gt;=-1E+307",$AD$17:$AD$219,"&lt;=1E+307")/2-0.5)/(COUNTIFS($G$17:$G$219,"入池",$AD$17:$AD$219,"&gt;=-1E+307",$AD$17:$AD$219,"&lt;=1E+307")-1),2)))</x:f>
        <x:v>58.71</x:v>
      </x:c>
      <x:c r="AH199" s="17" t="n">
        <x:f>IF(OR($G199&lt;&gt;"入池",NOT(ISNUMBER(AF199))),"",IF(COUNTIFS($G$17:$G$219,"入池",$AF$17:$AF$219,"&gt;=-1E+307",$AF$17:$AF$219,"&lt;=1E+307")&lt;=1,100,ROUND(100*(COUNTIFS($G$17:$G$219,"入池",$AF$17:$AF$219,"&gt;=-1E+307",$AF$17:$AF$219,"&lt;"&amp;AF199)+COUNTIFS($G$17:$G$219,"入池",$AF$17:$AF$219,AF199,$AF$17:$AF$219,"&gt;=-1E+307",$AF$17:$AF$219,"&lt;=1E+307")/2-0.5)/(COUNTIFS($G$17:$G$219,"入池",$AF$17:$AF$219,"&gt;=-1E+307",$AF$17:$AF$219,"&lt;=1E+307")-1),2)))</x:f>
        <x:v>45.26</x:v>
      </x:c>
      <x:c r="AI199" s="17" t="n">
        <x:f>IF(NOT(ISNUMBER(AG199)),"",IF(NOT(ISNUMBER(AH199)),AG199,ROUND(AG199*'sheet1-指标体系'!$J$8+AH199*'sheet1-指标体系'!$J$9,2)))</x:f>
        <x:v>53.33</x:v>
      </x:c>
      <x:c r="AJ199" s="37" t="n">
        <x:f>IF(NOT(ISNUMBER(F199)),"",IF(F199&gt;=3,IF(NOT(ISNUMBER(N199)),"",N199),IF(NOT(ISNUMBER(O199)),"",O199)))</x:f>
        <x:v>0.048799999999999996</x:v>
      </x:c>
      <x:c r="AK199" s="17" t="n">
        <x:f>IF(OR(G199&lt;&gt;"入池",NOT(ISNUMBER(M199)),NOT(ISNUMBER(AJ199))),"",IF(M199&gt;=AJ199,100,IF(AJ199-M199&lt;'sheet1-指标体系'!$J$10,80,60)))</x:f>
        <x:v>100</x:v>
      </x:c>
      <x:c r="AL199" s="17" t="n">
        <x:f>IF(COUNT(I199,K199,L199)=0,"",ROUND((IF(ISNUMBER(I199),I199*40%,0)+IF(ISNUMBER(K199),K199*30%,0)+IF(ISNUMBER(L199),L199*30%,0))/(IF(ISNUMBER(I199),40%,0)+IF(ISNUMBER(K199),30%,0)+IF(ISNUMBER(L199),30%,0)),2))</x:f>
        <x:v>84</x:v>
      </x:c>
      <x:c r="AM199" s="17" t="n">
        <x:f>IF(COUNT(Q199,R199,W199,X199)=0,"",ROUND((IF(ISNUMBER(Q199),Q199*42%,0)+IF(ISNUMBER(R199),R199*28%,0)+IF(ISNUMBER(W199),W199*18%,0)+IF(ISNUMBER(X199),X199*12%,0))/(IF(ISNUMBER(Q199),42%,0)+IF(ISNUMBER(R199),28%,0)+IF(ISNUMBER(W199),18%,0)+IF(ISNUMBER(X199),12%,0)),2))</x:f>
        <x:v>61.06</x:v>
      </x:c>
      <x:c r="AN199" s="17" t="n">
        <x:f>IF(ISNUMBER(AC199),AC199,"")</x:f>
        <x:v>64.36</x:v>
      </x:c>
      <x:c r="AO199" s="17" t="n">
        <x:f>IF(COUNT(AG199,AH199)=0,"",ROUND((IF(ISNUMBER(AG199),AG199*60%,0)+IF(ISNUMBER(AH199),AH199*40%,0))/(IF(ISNUMBER(AG199),60%,0)+IF(ISNUMBER(AH199),40%,0)),2))</x:f>
        <x:v>53.33</x:v>
      </x:c>
      <x:c r="AP199" s="17" t="n">
        <x:f>IF(ISNUMBER(AK199),AK199,"")</x:f>
        <x:v>100</x:v>
      </x:c>
      <x:c r="AQ199" s="39" t="n">
        <x:f>IF(G199&lt;&gt;"入池",0,IF(ISNUMBER(I199),6%,0)+IF(ISNUMBER(K199),4.5%,0)+IF(ISNUMBER(L199),4.5%,0)+IF(ISNUMBER(Q199),8.4%,0)+IF(ISNUMBER(R199),5.6%,0)+IF(ISNUMBER(W199),3.6%,0)+IF(ISNUMBER(X199),2.4%,0)+IF(ISNUMBER(AC199),25%,0)+IF(ISNUMBER(AG199),18%,0)+IF(ISNUMBER(AH199),12%,0)+IF(ISNUMBER(AK199),10%,0))</x:f>
        <x:v>1</x:v>
      </x:c>
      <x:c r="AR199" s="17" t="n">
        <x:f>IF(AQ199=0,"",IF(ISNUMBER(I199),I199*6%,0)+IF(ISNUMBER(K199),K199*4.5%,0)+IF(ISNUMBER(L199),L199*4.5%,0)+IF(ISNUMBER(Q199),Q199*8.4%,0)+IF(ISNUMBER(R199),R199*5.6%,0)+IF(ISNUMBER(W199),W199*3.6%,0)+IF(ISNUMBER(X199),X199*2.4%,0)+IF(ISNUMBER(AC199),AC199*25%,0)+IF(ISNUMBER(AG199),AG199*18%,0)+IF(ISNUMBER(AH199),AH199*12%,0)+IF(ISNUMBER(AK199),AK199*10%,0))</x:f>
        <x:v>66.90116</x:v>
      </x:c>
      <x:c r="AS199" s="17" t="n">
        <x:f>IF(AQ199=0,"",ROUND(AR199/AQ199,2))</x:f>
        <x:v>66.9</x:v>
      </x:c>
      <x:c r="AT199" s="40" t="n">
        <x:f>IF(OR(G199&lt;&gt;"入池",NOT(ISNUMBER(AS199))),"",COUNTIFS($G$17:$G$219,"入池",$AS$17:$AS$219,"&gt;"&amp;AS199)+COUNTIFS($G$17:$G$219,"入池",$AS$17:$AS$219,AS199,$AQ$17:$AQ$219,"&gt;"&amp;AQ199)+COUNTIFS($G$17:G199,"入池",$AS$17:AS199,AS199,$AQ$17:AQ199,AQ199))</x:f>
        <x:v>83</x:v>
      </x:c>
      <x:c r="AU199" s="41" t="str">
        <x:f t="shared" si="7">IF(NOT(ISNUMBER(I199)),"管理人规模；","")&amp;IF(J199="","产品规模标识；","")&amp;IF(AND(F199&lt;3,NOT(ISNUMBER(O199))),"R_incep；","")&amp;IF(NOT(ISNUMBER(N199)),"近三年收益；","")&amp;IF(NOT(ISNUMBER(U199)),"近三年胜率；","")&amp;IF(AND(ISNUMBER(V199),OR(V199&lt;0,V199&gt;1)),"胜率窗口口径不一致；","")&amp;IF(NOT(ISNUMBER(AA199)),"近三年回撤；","")&amp;IF(NOT(ISNUMBER(AD199)),"短期卡玛；","")&amp;IF(AND(ISNUMBER(P199),NOT(ISNUMBER(AE199))),"DD_long不可识别；","")</x:f>
      </x:c>
      <x:c r="AV199" s="42" t="n">
        <x:v>0</x:v>
      </x:c>
      <x:c r="AW199" s="19" t="str">
        <x:v>深圳前海溋沣资本管理有限公司</x:v>
      </x:c>
      <x:c r="AX199" s="19" t="str">
        <x:v>2026-01-06</x:v>
      </x:c>
      <x:c r="AY199" s="19" t="str">
        <x:v>https://gs.amac.org.cn/amac-infodisc/res/pof/manager/1610131040102006.html</x:v>
      </x:c>
      <x:c r="AZ199" s="19" t="str">
        <x:v>溋沣鸿运来星选1号私募证券投资基金</x:v>
      </x:c>
      <x:c r="BA199" s="19" t="str">
        <x:v>2023-05-19</x:v>
      </x:c>
      <x:c r="BB199" s="19"/>
      <x:c r="BC199" s="19" t="str">
        <x:v>https://gs.amac.org.cn/amac-infodisc/res/pof/fund/2305191728100615.html</x:v>
      </x:c>
      <x:c r="BD199" s="19" t="str">
        <x:v>已匹配</x:v>
      </x:c>
      <x:c r="BE199"/>
      <x:c r="BF199"/>
    </x:row>
    <x:row r="200" ht="28" customHeight="1">
      <x:c r="A200" s="4" t="n">
        <x:v>184</x:v>
      </x:c>
      <x:c r="B200" s="15" t="str">
        <x:f>'sheet4-原始数据'!A185</x:f>
        <x:v>鑫翰启明复合策略三期</x:v>
      </x:c>
      <x:c r="C200" s="15" t="str">
        <x:f>'sheet4-原始数据'!B185</x:f>
        <x:v>SZR346</x:v>
      </x:c>
      <x:c r="D200" s="15" t="str">
        <x:f>'sheet4-原始数据'!E185</x:f>
        <x:v>北京鑫翰资管</x:v>
      </x:c>
      <x:c r="E200" s="32" t="n">
        <x:f>IF(ISNUMBER('sheet4-原始数据'!F185),'sheet4-原始数据'!F185,"")</x:f>
        <x:v>45068</x:v>
      </x:c>
      <x:c r="F200" s="17" t="n">
        <x:f>IF(NOT(ISNUMBER(E200)),"",ROUND(('sheet1-指标体系'!$J$23-E200)/365.25,4))</x:f>
        <x:v>3.321</x:v>
      </x:c>
      <x:c r="G200" s="4" t="str">
        <x:f t="shared" si="6">IF(NOT(ISNUMBER(F200)),"",IF(F200&lt;1,"不入池","入池"))</x:f>
        <x:v>入池</x:v>
      </x:c>
      <x:c r="H200" s="33" t="str">
        <x:v>0-5亿元</x:v>
      </x:c>
      <x:c r="I200" s="17" t="n">
        <x:f>IF(H200="","",IF(ISNUMBER(SEARCH("100亿元以上",H200)),100,IF(OR(ISNUMBER(SEARCH("20-50",H200)),ISNUMBER(SEARCH("50-100",H200)),ISNUMBER(SEARCH("20-100",H200))),90,IF(ISNUMBER(SEARCH("10-20",H200)),80,IF(ISNUMBER(SEARCH("5-10",H200)),70,IF(ISNUMBER(SEARCH("0-5",H200)),60,""))))))</x:f>
        <x:v>60</x:v>
      </x:c>
      <x:c r="J200" s="34" t="str">
        <x:v>无低于1000万元标识</x:v>
      </x:c>
      <x:c r="K200" s="17" t="n">
        <x:f>IF(J200="","",IF(J200="低于1000万元",0,100))</x:f>
        <x:v>100</x:v>
      </x:c>
      <x:c r="L200" s="17" t="n">
        <x:f>IF(NOT(ISNUMBER(F200)),"",IF(F200&lt;1,"",IF(F200&lt;3,70,100)))</x:f>
        <x:v>100</x:v>
      </x:c>
      <x:c r="M200" s="35" t="n">
        <x:f>IF(ISNUMBER('sheet4-原始数据'!G185),'sheet4-原始数据'!G185,"")</x:f>
        <x:v>0.0181</x:v>
      </x:c>
      <x:c r="N200" s="35" t="n">
        <x:f>IF(ISNUMBER('sheet4-原始数据'!H185),'sheet4-原始数据'!H185,"")</x:f>
        <x:v>0.051699999999999996</x:v>
      </x:c>
      <x:c r="O200" s="36" t="str">
        <x:f>IF(ISNUMBER('sheet4-原始数据'!Q185),'sheet4-原始数据'!Q185,"")</x:f>
      </x:c>
      <x:c r="P200" s="37" t="n">
        <x:f>IF($G200&lt;&gt;"入池","",IF($F200&gt;=3,IF(OR(NOT(ISNUMBER($M200)),NOT(ISNUMBER($N200)),1+$M200&lt;=0,1+$N200&lt;0),"",((1+$N200)^3/(1+$M200))^(1/2)-1),IF(OR($F200&lt;=1,NOT(ISNUMBER($M200)),NOT(ISNUMBER($O200)),1+$M200&lt;=0,1+$O200&lt;0),"",((1+$O200)^$F200/(1+$M200))^(1/($F200-1))-1)))</x:f>
        <x:v>0.06891357399651388</x:v>
      </x:c>
      <x:c r="Q200" s="17" t="n">
        <x:f>IF(OR($G200&lt;&gt;"入池",NOT(ISNUMBER(M200))),"",IF(COUNTIFS($G$17:$G$219,"入池",$M$17:$M$219,"&gt;=-1E+307",$M$17:$M$219,"&lt;=1E+307")&lt;=1,100,ROUND(100*(COUNTIFS($G$17:$G$219,"入池",$M$17:$M$219,"&gt;=-1E+307",$M$17:$M$219,"&lt;"&amp;M200)+COUNTIFS($G$17:$G$219,"入池",$M$17:$M$219,M200,$M$17:$M$219,"&gt;=-1E+307",$M$17:$M$219,"&lt;=1E+307")/2-0.5)/(COUNTIFS($G$17:$G$219,"入池",$M$17:$M$219,"&gt;=-1E+307",$M$17:$M$219,"&lt;=1E+307")-1),2)))</x:f>
        <x:v>26.24</x:v>
      </x:c>
      <x:c r="R200" s="17" t="n">
        <x:f>IF(OR($G200&lt;&gt;"入池",NOT(ISNUMBER(P200))),"",IF(COUNTIFS($G$17:$G$219,"入池",$P$17:$P$219,"&gt;=-1E+307",$P$17:$P$219,"&lt;=1E+307")&lt;=1,100,ROUND(100*(COUNTIFS($G$17:$G$219,"入池",$P$17:$P$219,"&gt;=-1E+307",$P$17:$P$219,"&lt;"&amp;P200)+COUNTIFS($G$17:$G$219,"入池",$P$17:$P$219,P200,$P$17:$P$219,"&gt;=-1E+307",$P$17:$P$219,"&lt;=1E+307")/2-0.5)/(COUNTIFS($G$17:$G$219,"入池",$P$17:$P$219,"&gt;=-1E+307",$P$17:$P$219,"&lt;=1E+307")-1),2)))</x:f>
        <x:v>55.45</x:v>
      </x:c>
      <x:c r="S200" s="17" t="n">
        <x:f>IF(NOT(ISNUMBER(Q200)),"",IF(NOT(ISNUMBER(R200)),Q200,ROUND(Q200*'sheet1-指标体系'!$J$8+R200*'sheet1-指标体系'!$J$9,2)))</x:f>
        <x:v>37.92</x:v>
      </x:c>
      <x:c r="T200" s="35" t="n">
        <x:f>IF(ISNUMBER('sheet4-原始数据'!J185),'sheet4-原始数据'!J185,"")</x:f>
        <x:v>0.6154</x:v>
      </x:c>
      <x:c r="U200" s="35" t="n">
        <x:f>IF(ISNUMBER('sheet4-原始数据'!I185),'sheet4-原始数据'!I185,"")</x:f>
        <x:v>0.6757</x:v>
      </x:c>
      <x:c r="V200" s="37" t="n">
        <x:f>IF(OR(NOT(ISNUMBER(T200)),NOT(ISNUMBER(U200))),"",(U200*'sheet1-指标体系'!$J$6-T200*'sheet1-指标体系'!$J$5)/'sheet1-指标体系'!$J$7)</x:f>
        <x:v>0.7083624999999999</x:v>
      </x:c>
      <x:c r="W200" s="17" t="n">
        <x:f>IF(NOT(ISNUMBER(T200)),"",T200*100)</x:f>
        <x:v>61.53999999999999</x:v>
      </x:c>
      <x:c r="X200" s="17" t="n">
        <x:f>IF($G200&lt;&gt;"入池","",IF(AND(ISNUMBER(V200),V200&gt;=0,V200&lt;=1),V200*100,IF(MAX(0,($F200-1)*12)&lt;6,100,"")))</x:f>
        <x:v>70.83624999999999</x:v>
      </x:c>
      <x:c r="Y200" s="17" t="n">
        <x:f>IF(NOT(ISNUMBER(W200)),"",IF(NOT(ISNUMBER(X200)),W200,ROUND(W200*'sheet1-指标体系'!$J$8+X200*'sheet1-指标体系'!$J$9,2)))</x:f>
        <x:v>65.26</x:v>
      </x:c>
      <x:c r="Z200" s="37" t="n">
        <x:f>IF(OR(NOT(ISNUMBER(M200)),NOT(ISNUMBER(AD200)),AD200=0),"",ABS(M200/AD200))</x:f>
        <x:v>0.035919825362175035</x:v>
      </x:c>
      <x:c r="AA200" s="35" t="n">
        <x:f>IF(ISNUMBER('sheet4-原始数据'!K185),'sheet4-原始数据'!K185,"")</x:f>
        <x:v>0.0383</x:v>
      </x:c>
      <x:c r="AB200" s="37" t="n">
        <x:f>IF(COUNT(Z200:AA200)=0,"",MAX(Z200:AA200))</x:f>
        <x:v>0.0383</x:v>
      </x:c>
      <x:c r="AC200" s="17" t="n">
        <x:f>IF(OR($G200&lt;&gt;"入池",NOT(ISNUMBER(AB200))),"",IF(COUNTIFS($G$17:$G$219,"入池",$AB$17:$AB$219,"&gt;=-1E+307",$AB$17:$AB$219,"&lt;=1E+307")&lt;=1,100,ROUND(100*(COUNTIFS($G$17:$G$219,"入池",$AB$17:$AB$219,"&lt;=1E+307",$AB$17:$AB$219,"&gt;"&amp;AB200)+COUNTIFS($G$17:$G$219,"入池",$AB$17:$AB$219,AB200,$AB$17:$AB$219,"&gt;=-1E+307",$AB$17:$AB$219,"&lt;=1E+307")/2-0.5)/(COUNTIFS($G$17:$G$219,"入池",$AB$17:$AB$219,"&gt;=-1E+307",$AB$17:$AB$219,"&lt;=1E+307")-1),2)))</x:f>
        <x:v>53.96</x:v>
      </x:c>
      <x:c r="AD200" s="38" t="n">
        <x:f>IF(ISNUMBER('sheet4-原始数据'!M185),'sheet4-原始数据'!M185,"")</x:f>
        <x:v>0.5039</x:v>
      </x:c>
      <x:c r="AE200" s="37" t="n">
        <x:f>IF(OR(NOT(ISNUMBER(P200)),NOT(ISNUMBER(AA200)),NOT(ISNUMBER(Z200))),"",IF(AA200&gt;Z200+'sheet1-指标体系'!$J$11,AA200,""))</x:f>
        <x:v>0.0383</x:v>
      </x:c>
      <x:c r="AF200" s="17" t="n">
        <x:f>IF(OR(NOT(ISNUMBER(P200)),NOT(ISNUMBER(AE200)),AE200=0),"",P200/AE200)</x:f>
        <x:v>1.799310026018639</x:v>
      </x:c>
      <x:c r="AG200" s="17" t="n">
        <x:f>IF(OR($G200&lt;&gt;"入池",NOT(ISNUMBER(AD200))),"",IF(COUNTIFS($G$17:$G$219,"入池",$AD$17:$AD$219,"&gt;=-1E+307",$AD$17:$AD$219,"&lt;=1E+307")&lt;=1,100,ROUND(100*(COUNTIFS($G$17:$G$219,"入池",$AD$17:$AD$219,"&gt;=-1E+307",$AD$17:$AD$219,"&lt;"&amp;AD200)+COUNTIFS($G$17:$G$219,"入池",$AD$17:$AD$219,AD200,$AD$17:$AD$219,"&gt;=-1E+307",$AD$17:$AD$219,"&lt;=1E+307")/2-0.5)/(COUNTIFS($G$17:$G$219,"入池",$AD$17:$AD$219,"&gt;=-1E+307",$AD$17:$AD$219,"&lt;=1E+307")-1),2)))</x:f>
        <x:v>26.87</x:v>
      </x:c>
      <x:c r="AH200" s="17" t="n">
        <x:f>IF(OR($G200&lt;&gt;"入池",NOT(ISNUMBER(AF200))),"",IF(COUNTIFS($G$17:$G$219,"入池",$AF$17:$AF$219,"&gt;=-1E+307",$AF$17:$AF$219,"&lt;=1E+307")&lt;=1,100,ROUND(100*(COUNTIFS($G$17:$G$219,"入池",$AF$17:$AF$219,"&gt;=-1E+307",$AF$17:$AF$219,"&lt;"&amp;AF200)+COUNTIFS($G$17:$G$219,"入池",$AF$17:$AF$219,AF200,$AF$17:$AF$219,"&gt;=-1E+307",$AF$17:$AF$219,"&lt;=1E+307")/2-0.5)/(COUNTIFS($G$17:$G$219,"入池",$AF$17:$AF$219,"&gt;=-1E+307",$AF$17:$AF$219,"&lt;=1E+307")-1),2)))</x:f>
        <x:v>60.58</x:v>
      </x:c>
      <x:c r="AI200" s="17" t="n">
        <x:f>IF(NOT(ISNUMBER(AG200)),"",IF(NOT(ISNUMBER(AH200)),AG200,ROUND(AG200*'sheet1-指标体系'!$J$8+AH200*'sheet1-指标体系'!$J$9,2)))</x:f>
        <x:v>40.35</x:v>
      </x:c>
      <x:c r="AJ200" s="37" t="n">
        <x:f>IF(NOT(ISNUMBER(F200)),"",IF(F200&gt;=3,IF(NOT(ISNUMBER(N200)),"",N200),IF(NOT(ISNUMBER(O200)),"",O200)))</x:f>
        <x:v>0.051699999999999996</x:v>
      </x:c>
      <x:c r="AK200" s="17" t="n">
        <x:f>IF(OR(G200&lt;&gt;"入池",NOT(ISNUMBER(M200)),NOT(ISNUMBER(AJ200))),"",IF(M200&gt;=AJ200,100,IF(AJ200-M200&lt;'sheet1-指标体系'!$J$10,80,60)))</x:f>
        <x:v>80</x:v>
      </x:c>
      <x:c r="AL200" s="17" t="n">
        <x:f>IF(COUNT(I200,K200,L200)=0,"",ROUND((IF(ISNUMBER(I200),I200*40%,0)+IF(ISNUMBER(K200),K200*30%,0)+IF(ISNUMBER(L200),L200*30%,0))/(IF(ISNUMBER(I200),40%,0)+IF(ISNUMBER(K200),30%,0)+IF(ISNUMBER(L200),30%,0)),2))</x:f>
        <x:v>84</x:v>
      </x:c>
      <x:c r="AM200" s="17" t="n">
        <x:f>IF(COUNT(Q200,R200,W200,X200)=0,"",ROUND((IF(ISNUMBER(Q200),Q200*42%,0)+IF(ISNUMBER(R200),R200*28%,0)+IF(ISNUMBER(W200),W200*18%,0)+IF(ISNUMBER(X200),X200*12%,0))/(IF(ISNUMBER(Q200),42%,0)+IF(ISNUMBER(R200),28%,0)+IF(ISNUMBER(W200),18%,0)+IF(ISNUMBER(X200),12%,0)),2))</x:f>
        <x:v>46.12</x:v>
      </x:c>
      <x:c r="AN200" s="17" t="n">
        <x:f>IF(ISNUMBER(AC200),AC200,"")</x:f>
        <x:v>53.96</x:v>
      </x:c>
      <x:c r="AO200" s="17" t="n">
        <x:f>IF(COUNT(AG200,AH200)=0,"",ROUND((IF(ISNUMBER(AG200),AG200*60%,0)+IF(ISNUMBER(AH200),AH200*40%,0))/(IF(ISNUMBER(AG200),60%,0)+IF(ISNUMBER(AH200),40%,0)),2))</x:f>
        <x:v>40.35</x:v>
      </x:c>
      <x:c r="AP200" s="17" t="n">
        <x:f>IF(ISNUMBER(AK200),AK200,"")</x:f>
        <x:v>80</x:v>
      </x:c>
      <x:c r="AQ200" s="39" t="n">
        <x:f>IF(G200&lt;&gt;"入池",0,IF(ISNUMBER(I200),6%,0)+IF(ISNUMBER(K200),4.5%,0)+IF(ISNUMBER(L200),4.5%,0)+IF(ISNUMBER(Q200),8.4%,0)+IF(ISNUMBER(R200),5.6%,0)+IF(ISNUMBER(W200),3.6%,0)+IF(ISNUMBER(X200),2.4%,0)+IF(ISNUMBER(AC200),25%,0)+IF(ISNUMBER(AG200),18%,0)+IF(ISNUMBER(AH200),12%,0)+IF(ISNUMBER(AK200),10%,0))</x:f>
        <x:v>1</x:v>
      </x:c>
      <x:c r="AR200" s="17" t="n">
        <x:f>IF(AQ200=0,"",IF(ISNUMBER(I200),I200*6%,0)+IF(ISNUMBER(K200),K200*4.5%,0)+IF(ISNUMBER(L200),L200*4.5%,0)+IF(ISNUMBER(Q200),Q200*8.4%,0)+IF(ISNUMBER(R200),R200*5.6%,0)+IF(ISNUMBER(W200),W200*3.6%,0)+IF(ISNUMBER(X200),X200*2.4%,0)+IF(ISNUMBER(AC200),AC200*25%,0)+IF(ISNUMBER(AG200),AG200*18%,0)+IF(ISNUMBER(AH200),AH200*12%,0)+IF(ISNUMBER(AK200),AK200*10%,0))</x:f>
        <x:v>55.42106999999999</x:v>
      </x:c>
      <x:c r="AS200" s="17" t="n">
        <x:f>IF(AQ200=0,"",ROUND(AR200/AQ200,2))</x:f>
        <x:v>55.42</x:v>
      </x:c>
      <x:c r="AT200" s="40" t="n">
        <x:f>IF(OR(G200&lt;&gt;"入池",NOT(ISNUMBER(AS200))),"",COUNTIFS($G$17:$G$219,"入池",$AS$17:$AS$219,"&gt;"&amp;AS200)+COUNTIFS($G$17:$G$219,"入池",$AS$17:$AS$219,AS200,$AQ$17:$AQ$219,"&gt;"&amp;AQ200)+COUNTIFS($G$17:G200,"入池",$AS$17:AS200,AS200,$AQ$17:AQ200,AQ200))</x:f>
        <x:v>124</x:v>
      </x:c>
      <x:c r="AU200" s="41" t="str">
        <x:f t="shared" si="7">IF(NOT(ISNUMBER(I200)),"管理人规模；","")&amp;IF(J200="","产品规模标识；","")&amp;IF(AND(F200&lt;3,NOT(ISNUMBER(O200))),"R_incep；","")&amp;IF(NOT(ISNUMBER(N200)),"近三年收益；","")&amp;IF(NOT(ISNUMBER(U200)),"近三年胜率；","")&amp;IF(AND(ISNUMBER(V200),OR(V200&lt;0,V200&gt;1)),"胜率窗口口径不一致；","")&amp;IF(NOT(ISNUMBER(AA200)),"近三年回撤；","")&amp;IF(NOT(ISNUMBER(AD200)),"短期卡玛；","")&amp;IF(AND(ISNUMBER(P200),NOT(ISNUMBER(AE200))),"DD_long不可识别；","")</x:f>
      </x:c>
      <x:c r="AV200" s="42" t="n">
        <x:v>0</x:v>
      </x:c>
      <x:c r="AW200" s="19" t="str">
        <x:v>北京鑫翰资本管理有限公司</x:v>
      </x:c>
      <x:c r="AX200" s="19" t="str">
        <x:v>2026-04-10</x:v>
      </x:c>
      <x:c r="AY200" s="19" t="str">
        <x:v>https://gs.amac.org.cn/amac-infodisc/res/pof/manager/1906200947105473.html</x:v>
      </x:c>
      <x:c r="AZ200" s="19" t="str">
        <x:v>鑫翰启明复合策略三期私募证券投资基金</x:v>
      </x:c>
      <x:c r="BA200" s="19" t="str">
        <x:v>2024-10-08</x:v>
      </x:c>
      <x:c r="BB200" s="19"/>
      <x:c r="BC200" s="19" t="str">
        <x:v>https://gs.amac.org.cn/amac-infodisc/res/pof/fund/2305312045104021.html</x:v>
      </x:c>
      <x:c r="BD200" s="19" t="str">
        <x:v>已匹配</x:v>
      </x:c>
      <x:c r="BE200"/>
      <x:c r="BF200"/>
    </x:row>
    <x:row r="201" ht="28" customHeight="1">
      <x:c r="A201" s="4" t="n">
        <x:v>185</x:v>
      </x:c>
      <x:c r="B201" s="15" t="str">
        <x:f>'sheet4-原始数据'!A186</x:f>
        <x:v>金和至信稳健12号</x:v>
      </x:c>
      <x:c r="C201" s="15" t="str">
        <x:f>'sheet4-原始数据'!B186</x:f>
        <x:v>SB5534</x:v>
      </x:c>
      <x:c r="D201" s="15" t="str">
        <x:f>'sheet4-原始数据'!E186</x:f>
        <x:v>上海金和晟</x:v>
      </x:c>
      <x:c r="E201" s="32" t="n">
        <x:f>IF(ISNUMBER('sheet4-原始数据'!F186),'sheet4-原始数据'!F186,"")</x:f>
        <x:v>45127</x:v>
      </x:c>
      <x:c r="F201" s="17" t="n">
        <x:f>IF(NOT(ISNUMBER(E201)),"",ROUND(('sheet1-指标体系'!$J$23-E201)/365.25,4))</x:f>
        <x:v>3.1595</x:v>
      </x:c>
      <x:c r="G201" s="4" t="str">
        <x:f t="shared" si="6">IF(NOT(ISNUMBER(F201)),"",IF(F201&lt;1,"不入池","入池"))</x:f>
        <x:v>入池</x:v>
      </x:c>
      <x:c r="H201" s="33" t="str">
        <x:v>20-50亿元</x:v>
      </x:c>
      <x:c r="I201" s="17" t="n">
        <x:f>IF(H201="","",IF(ISNUMBER(SEARCH("100亿元以上",H201)),100,IF(OR(ISNUMBER(SEARCH("20-50",H201)),ISNUMBER(SEARCH("50-100",H201)),ISNUMBER(SEARCH("20-100",H201))),90,IF(ISNUMBER(SEARCH("10-20",H201)),80,IF(ISNUMBER(SEARCH("5-10",H201)),70,IF(ISNUMBER(SEARCH("0-5",H201)),60,""))))))</x:f>
        <x:v>90</x:v>
      </x:c>
      <x:c r="J201" s="34" t="str">
        <x:v>无低于1000万元标识</x:v>
      </x:c>
      <x:c r="K201" s="17" t="n">
        <x:f>IF(J201="","",IF(J201="低于1000万元",0,100))</x:f>
        <x:v>100</x:v>
      </x:c>
      <x:c r="L201" s="17" t="n">
        <x:f>IF(NOT(ISNUMBER(F201)),"",IF(F201&lt;1,"",IF(F201&lt;3,70,100)))</x:f>
        <x:v>100</x:v>
      </x:c>
      <x:c r="M201" s="35" t="n">
        <x:f>IF(ISNUMBER('sheet4-原始数据'!G186),'sheet4-原始数据'!G186,"")</x:f>
        <x:v>0.032400000000000005</x:v>
      </x:c>
      <x:c r="N201" s="35" t="n">
        <x:f>IF(ISNUMBER('sheet4-原始数据'!H186),'sheet4-原始数据'!H186,"")</x:f>
        <x:v>0.054400000000000004</x:v>
      </x:c>
      <x:c r="O201" s="36" t="str">
        <x:f>IF(ISNUMBER('sheet4-原始数据'!Q186),'sheet4-原始数据'!Q186,"")</x:f>
      </x:c>
      <x:c r="P201" s="37" t="n">
        <x:f>IF($G201&lt;&gt;"入池","",IF($F201&gt;=3,IF(OR(NOT(ISNUMBER($M201)),NOT(ISNUMBER($N201)),1+$M201&lt;=0,1+$N201&lt;0),"",((1+$N201)^3/(1+$M201))^(1/2)-1),IF(OR($F201&lt;=1,NOT(ISNUMBER($M201)),NOT(ISNUMBER($O201)),1+$M201&lt;=0,1+$O201&lt;0),"",((1+$O201)^$F201/(1+$M201))^(1/($F201-1))-1)))</x:f>
        <x:v>0.06557518450452293</x:v>
      </x:c>
      <x:c r="Q201" s="17" t="n">
        <x:f>IF(OR($G201&lt;&gt;"入池",NOT(ISNUMBER(M201))),"",IF(COUNTIFS($G$17:$G$219,"入池",$M$17:$M$219,"&gt;=-1E+307",$M$17:$M$219,"&lt;=1E+307")&lt;=1,100,ROUND(100*(COUNTIFS($G$17:$G$219,"入池",$M$17:$M$219,"&gt;=-1E+307",$M$17:$M$219,"&lt;"&amp;M201)+COUNTIFS($G$17:$G$219,"入池",$M$17:$M$219,M201,$M$17:$M$219,"&gt;=-1E+307",$M$17:$M$219,"&lt;=1E+307")/2-0.5)/(COUNTIFS($G$17:$G$219,"入池",$M$17:$M$219,"&gt;=-1E+307",$M$17:$M$219,"&lt;=1E+307")-1),2)))</x:f>
        <x:v>35.64</x:v>
      </x:c>
      <x:c r="R201" s="17" t="n">
        <x:f>IF(OR($G201&lt;&gt;"入池",NOT(ISNUMBER(P201))),"",IF(COUNTIFS($G$17:$G$219,"入池",$P$17:$P$219,"&gt;=-1E+307",$P$17:$P$219,"&lt;=1E+307")&lt;=1,100,ROUND(100*(COUNTIFS($G$17:$G$219,"入池",$P$17:$P$219,"&gt;=-1E+307",$P$17:$P$219,"&lt;"&amp;P201)+COUNTIFS($G$17:$G$219,"入池",$P$17:$P$219,P201,$P$17:$P$219,"&gt;=-1E+307",$P$17:$P$219,"&lt;=1E+307")/2-0.5)/(COUNTIFS($G$17:$G$219,"入池",$P$17:$P$219,"&gt;=-1E+307",$P$17:$P$219,"&lt;=1E+307")-1),2)))</x:f>
        <x:v>52.97</x:v>
      </x:c>
      <x:c r="S201" s="17" t="n">
        <x:f>IF(NOT(ISNUMBER(Q201)),"",IF(NOT(ISNUMBER(R201)),Q201,ROUND(Q201*'sheet1-指标体系'!$J$8+R201*'sheet1-指标体系'!$J$9,2)))</x:f>
        <x:v>42.57</x:v>
      </x:c>
      <x:c r="T201" s="35" t="n">
        <x:f>IF(ISNUMBER('sheet4-原始数据'!J186),'sheet4-原始数据'!J186,"")</x:f>
        <x:v>0.8462000000000001</x:v>
      </x:c>
      <x:c r="U201" s="35" t="n">
        <x:f>IF(ISNUMBER('sheet4-原始数据'!I186),'sheet4-原始数据'!I186,"")</x:f>
        <x:v>0.8649</x:v>
      </x:c>
      <x:c r="V201" s="37" t="n">
        <x:f>IF(OR(NOT(ISNUMBER(T201)),NOT(ISNUMBER(U201))),"",(U201*'sheet1-指标体系'!$J$6-T201*'sheet1-指标体系'!$J$5)/'sheet1-指标体系'!$J$7)</x:f>
        <x:v>0.8750291666666667</x:v>
      </x:c>
      <x:c r="W201" s="17" t="n">
        <x:f>IF(NOT(ISNUMBER(T201)),"",T201*100)</x:f>
        <x:v>84.62</x:v>
      </x:c>
      <x:c r="X201" s="17" t="n">
        <x:f>IF($G201&lt;&gt;"入池","",IF(AND(ISNUMBER(V201),V201&gt;=0,V201&lt;=1),V201*100,IF(MAX(0,($F201-1)*12)&lt;6,100,"")))</x:f>
        <x:v>87.50291666666668</x:v>
      </x:c>
      <x:c r="Y201" s="17" t="n">
        <x:f>IF(NOT(ISNUMBER(W201)),"",IF(NOT(ISNUMBER(X201)),W201,ROUND(W201*'sheet1-指标体系'!$J$8+X201*'sheet1-指标体系'!$J$9,2)))</x:f>
        <x:v>85.77</x:v>
      </x:c>
      <x:c r="Z201" s="37" t="n">
        <x:f>IF(OR(NOT(ISNUMBER(M201)),NOT(ISNUMBER(AD201)),AD201=0),"",ABS(M201/AD201))</x:f>
        <x:v>0.007001166861143526</x:v>
      </x:c>
      <x:c r="AA201" s="35" t="n">
        <x:f>IF(ISNUMBER('sheet4-原始数据'!K186),'sheet4-原始数据'!K186,"")</x:f>
        <x:v>0.09960000000000001</x:v>
      </x:c>
      <x:c r="AB201" s="37" t="n">
        <x:f>IF(COUNT(Z201:AA201)=0,"",MAX(Z201:AA201))</x:f>
        <x:v>0.09960000000000001</x:v>
      </x:c>
      <x:c r="AC201" s="17" t="n">
        <x:f>IF(OR($G201&lt;&gt;"入池",NOT(ISNUMBER(AB201))),"",IF(COUNTIFS($G$17:$G$219,"入池",$AB$17:$AB$219,"&gt;=-1E+307",$AB$17:$AB$219,"&lt;=1E+307")&lt;=1,100,ROUND(100*(COUNTIFS($G$17:$G$219,"入池",$AB$17:$AB$219,"&lt;=1E+307",$AB$17:$AB$219,"&gt;"&amp;AB201)+COUNTIFS($G$17:$G$219,"入池",$AB$17:$AB$219,AB201,$AB$17:$AB$219,"&gt;=-1E+307",$AB$17:$AB$219,"&lt;=1E+307")/2-0.5)/(COUNTIFS($G$17:$G$219,"入池",$AB$17:$AB$219,"&gt;=-1E+307",$AB$17:$AB$219,"&lt;=1E+307")-1),2)))</x:f>
        <x:v>27.23</x:v>
      </x:c>
      <x:c r="AD201" s="38" t="n">
        <x:f>IF(ISNUMBER('sheet4-原始数据'!M186),'sheet4-原始数据'!M186,"")</x:f>
        <x:v>4.6278</x:v>
      </x:c>
      <x:c r="AE201" s="37" t="n">
        <x:f>IF(OR(NOT(ISNUMBER(P201)),NOT(ISNUMBER(AA201)),NOT(ISNUMBER(Z201))),"",IF(AA201&gt;Z201+'sheet1-指标体系'!$J$11,AA201,""))</x:f>
        <x:v>0.09960000000000001</x:v>
      </x:c>
      <x:c r="AF201" s="17" t="n">
        <x:f>IF(OR(NOT(ISNUMBER(P201)),NOT(ISNUMBER(AE201)),AE201=0),"",P201/AE201)</x:f>
        <x:v>0.6583853865915956</x:v>
      </x:c>
      <x:c r="AG201" s="17" t="n">
        <x:f>IF(OR($G201&lt;&gt;"入池",NOT(ISNUMBER(AD201))),"",IF(COUNTIFS($G$17:$G$219,"入池",$AD$17:$AD$219,"&gt;=-1E+307",$AD$17:$AD$219,"&lt;=1E+307")&lt;=1,100,ROUND(100*(COUNTIFS($G$17:$G$219,"入池",$AD$17:$AD$219,"&gt;=-1E+307",$AD$17:$AD$219,"&lt;"&amp;AD201)+COUNTIFS($G$17:$G$219,"入池",$AD$17:$AD$219,AD201,$AD$17:$AD$219,"&gt;=-1E+307",$AD$17:$AD$219,"&lt;=1E+307")/2-0.5)/(COUNTIFS($G$17:$G$219,"入池",$AD$17:$AD$219,"&gt;=-1E+307",$AD$17:$AD$219,"&lt;=1E+307")-1),2)))</x:f>
        <x:v>63.18</x:v>
      </x:c>
      <x:c r="AH201" s="17" t="n">
        <x:f>IF(OR($G201&lt;&gt;"入池",NOT(ISNUMBER(AF201))),"",IF(COUNTIFS($G$17:$G$219,"入池",$AF$17:$AF$219,"&gt;=-1E+307",$AF$17:$AF$219,"&lt;=1E+307")&lt;=1,100,ROUND(100*(COUNTIFS($G$17:$G$219,"入池",$AF$17:$AF$219,"&gt;=-1E+307",$AF$17:$AF$219,"&lt;"&amp;AF201)+COUNTIFS($G$17:$G$219,"入池",$AF$17:$AF$219,AF201,$AF$17:$AF$219,"&gt;=-1E+307",$AF$17:$AF$219,"&lt;=1E+307")/2-0.5)/(COUNTIFS($G$17:$G$219,"入池",$AF$17:$AF$219,"&gt;=-1E+307",$AF$17:$AF$219,"&lt;=1E+307")-1),2)))</x:f>
        <x:v>24.09</x:v>
      </x:c>
      <x:c r="AI201" s="17" t="n">
        <x:f>IF(NOT(ISNUMBER(AG201)),"",IF(NOT(ISNUMBER(AH201)),AG201,ROUND(AG201*'sheet1-指标体系'!$J$8+AH201*'sheet1-指标体系'!$J$9,2)))</x:f>
        <x:v>47.54</x:v>
      </x:c>
      <x:c r="AJ201" s="37" t="n">
        <x:f>IF(NOT(ISNUMBER(F201)),"",IF(F201&gt;=3,IF(NOT(ISNUMBER(N201)),"",N201),IF(NOT(ISNUMBER(O201)),"",O201)))</x:f>
        <x:v>0.054400000000000004</x:v>
      </x:c>
      <x:c r="AK201" s="17" t="n">
        <x:f>IF(OR(G201&lt;&gt;"入池",NOT(ISNUMBER(M201)),NOT(ISNUMBER(AJ201))),"",IF(M201&gt;=AJ201,100,IF(AJ201-M201&lt;'sheet1-指标体系'!$J$10,80,60)))</x:f>
        <x:v>80</x:v>
      </x:c>
      <x:c r="AL201" s="17" t="n">
        <x:f>IF(COUNT(I201,K201,L201)=0,"",ROUND((IF(ISNUMBER(I201),I201*40%,0)+IF(ISNUMBER(K201),K201*30%,0)+IF(ISNUMBER(L201),L201*30%,0))/(IF(ISNUMBER(I201),40%,0)+IF(ISNUMBER(K201),30%,0)+IF(ISNUMBER(L201),30%,0)),2))</x:f>
        <x:v>96</x:v>
      </x:c>
      <x:c r="AM201" s="17" t="n">
        <x:f>IF(COUNT(Q201,R201,W201,X201)=0,"",ROUND((IF(ISNUMBER(Q201),Q201*42%,0)+IF(ISNUMBER(R201),R201*28%,0)+IF(ISNUMBER(W201),W201*18%,0)+IF(ISNUMBER(X201),X201*12%,0))/(IF(ISNUMBER(Q201),42%,0)+IF(ISNUMBER(R201),28%,0)+IF(ISNUMBER(W201),18%,0)+IF(ISNUMBER(X201),12%,0)),2))</x:f>
        <x:v>55.53</x:v>
      </x:c>
      <x:c r="AN201" s="17" t="n">
        <x:f>IF(ISNUMBER(AC201),AC201,"")</x:f>
        <x:v>27.23</x:v>
      </x:c>
      <x:c r="AO201" s="17" t="n">
        <x:f>IF(COUNT(AG201,AH201)=0,"",ROUND((IF(ISNUMBER(AG201),AG201*60%,0)+IF(ISNUMBER(AH201),AH201*40%,0))/(IF(ISNUMBER(AG201),60%,0)+IF(ISNUMBER(AH201),40%,0)),2))</x:f>
        <x:v>47.54</x:v>
      </x:c>
      <x:c r="AP201" s="17" t="n">
        <x:f>IF(ISNUMBER(AK201),AK201,"")</x:f>
        <x:v>80</x:v>
      </x:c>
      <x:c r="AQ201" s="39" t="n">
        <x:f>IF(G201&lt;&gt;"入池",0,IF(ISNUMBER(I201),6%,0)+IF(ISNUMBER(K201),4.5%,0)+IF(ISNUMBER(L201),4.5%,0)+IF(ISNUMBER(Q201),8.4%,0)+IF(ISNUMBER(R201),5.6%,0)+IF(ISNUMBER(W201),3.6%,0)+IF(ISNUMBER(X201),2.4%,0)+IF(ISNUMBER(AC201),25%,0)+IF(ISNUMBER(AG201),18%,0)+IF(ISNUMBER(AH201),12%,0)+IF(ISNUMBER(AK201),10%,0))</x:f>
        <x:v>1</x:v>
      </x:c>
      <x:c r="AR201" s="17" t="n">
        <x:f>IF(AQ201=0,"",IF(ISNUMBER(I201),I201*6%,0)+IF(ISNUMBER(K201),K201*4.5%,0)+IF(ISNUMBER(L201),L201*4.5%,0)+IF(ISNUMBER(Q201),Q201*8.4%,0)+IF(ISNUMBER(R201),R201*5.6%,0)+IF(ISNUMBER(W201),W201*3.6%,0)+IF(ISNUMBER(X201),X201*2.4%,0)+IF(ISNUMBER(AC201),AC201*25%,0)+IF(ISNUMBER(AG201),AG201*18%,0)+IF(ISNUMBER(AH201),AH201*12%,0)+IF(ISNUMBER(AK201),AK201*10%,0))</x:f>
        <x:v>54.577169999999995</x:v>
      </x:c>
      <x:c r="AS201" s="17" t="n">
        <x:f>IF(AQ201=0,"",ROUND(AR201/AQ201,2))</x:f>
        <x:v>54.58</x:v>
      </x:c>
      <x:c r="AT201" s="40" t="n">
        <x:f>IF(OR(G201&lt;&gt;"入池",NOT(ISNUMBER(AS201))),"",COUNTIFS($G$17:$G$219,"入池",$AS$17:$AS$219,"&gt;"&amp;AS201)+COUNTIFS($G$17:$G$219,"入池",$AS$17:$AS$219,AS201,$AQ$17:$AQ$219,"&gt;"&amp;AQ201)+COUNTIFS($G$17:G201,"入池",$AS$17:AS201,AS201,$AQ$17:AQ201,AQ201))</x:f>
        <x:v>128</x:v>
      </x:c>
      <x:c r="AU201" s="41" t="str">
        <x:f t="shared" si="7">IF(NOT(ISNUMBER(I201)),"管理人规模；","")&amp;IF(J201="","产品规模标识；","")&amp;IF(AND(F201&lt;3,NOT(ISNUMBER(O201))),"R_incep；","")&amp;IF(NOT(ISNUMBER(N201)),"近三年收益；","")&amp;IF(NOT(ISNUMBER(U201)),"近三年胜率；","")&amp;IF(AND(ISNUMBER(V201),OR(V201&lt;0,V201&gt;1)),"胜率窗口口径不一致；","")&amp;IF(NOT(ISNUMBER(AA201)),"近三年回撤；","")&amp;IF(NOT(ISNUMBER(AD201)),"短期卡玛；","")&amp;IF(AND(ISNUMBER(P201),NOT(ISNUMBER(AE201))),"DD_long不可识别；","")</x:f>
      </x:c>
      <x:c r="AV201" s="42" t="n">
        <x:v>20</x:v>
      </x:c>
      <x:c r="AW201" s="19" t="str">
        <x:v>上海金和晟私募基金管理有限公司</x:v>
      </x:c>
      <x:c r="AX201" s="19" t="str">
        <x:v>2026-03-27</x:v>
      </x:c>
      <x:c r="AY201" s="19" t="str">
        <x:v>https://gs.amac.org.cn/amac-infodisc/res/pof/manager/2010280957108370.html</x:v>
      </x:c>
      <x:c r="AZ201" s="19" t="str">
        <x:v>金和至信稳健12号私募证券投资基金</x:v>
      </x:c>
      <x:c r="BA201" s="19" t="str">
        <x:v>2026-02-26</x:v>
      </x:c>
      <x:c r="BB201" s="19"/>
      <x:c r="BC201" s="19" t="str">
        <x:v>https://gs.amac.org.cn/amac-infodisc/res/pof/fund/2308031614104375.html</x:v>
      </x:c>
      <x:c r="BD201" s="19" t="str">
        <x:v>已匹配</x:v>
      </x:c>
      <x:c r="BE201"/>
      <x:c r="BF201"/>
    </x:row>
    <x:row r="202" ht="28" customHeight="1">
      <x:c r="A202" s="4" t="n">
        <x:v>186</x:v>
      </x:c>
      <x:c r="B202" s="15" t="str">
        <x:f>'sheet4-原始数据'!A187</x:f>
        <x:v>鸿儒灵活配置2期</x:v>
      </x:c>
      <x:c r="C202" s="15" t="str">
        <x:f>'sheet4-原始数据'!B187</x:f>
        <x:v>SB5918</x:v>
      </x:c>
      <x:c r="D202" s="15" t="str">
        <x:f>'sheet4-原始数据'!E187</x:f>
        <x:v>上海鸿儒投资</x:v>
      </x:c>
      <x:c r="E202" s="32" t="n">
        <x:f>IF(ISNUMBER('sheet4-原始数据'!F187),'sheet4-原始数据'!F187,"")</x:f>
        <x:v>45127</x:v>
      </x:c>
      <x:c r="F202" s="17" t="n">
        <x:f>IF(NOT(ISNUMBER(E202)),"",ROUND(('sheet1-指标体系'!$J$23-E202)/365.25,4))</x:f>
        <x:v>3.1595</x:v>
      </x:c>
      <x:c r="G202" s="4" t="str">
        <x:f t="shared" si="6">IF(NOT(ISNUMBER(F202)),"",IF(F202&lt;1,"不入池","入池"))</x:f>
        <x:v>入池</x:v>
      </x:c>
      <x:c r="H202" s="33" t="str">
        <x:v>0-5亿元</x:v>
      </x:c>
      <x:c r="I202" s="17" t="n">
        <x:f>IF(H202="","",IF(ISNUMBER(SEARCH("100亿元以上",H202)),100,IF(OR(ISNUMBER(SEARCH("20-50",H202)),ISNUMBER(SEARCH("50-100",H202)),ISNUMBER(SEARCH("20-100",H202))),90,IF(ISNUMBER(SEARCH("10-20",H202)),80,IF(ISNUMBER(SEARCH("5-10",H202)),70,IF(ISNUMBER(SEARCH("0-5",H202)),60,""))))))</x:f>
        <x:v>60</x:v>
      </x:c>
      <x:c r="J202" s="34" t="str">
        <x:v>无低于1000万元标识</x:v>
      </x:c>
      <x:c r="K202" s="17" t="n">
        <x:f>IF(J202="","",IF(J202="低于1000万元",0,100))</x:f>
        <x:v>100</x:v>
      </x:c>
      <x:c r="L202" s="17" t="n">
        <x:f>IF(NOT(ISNUMBER(F202)),"",IF(F202&lt;1,"",IF(F202&lt;3,70,100)))</x:f>
        <x:v>100</x:v>
      </x:c>
      <x:c r="M202" s="35" t="n">
        <x:f>IF(ISNUMBER('sheet4-原始数据'!G187),'sheet4-原始数据'!G187,"")</x:f>
        <x:v>0.0621</x:v>
      </x:c>
      <x:c r="N202" s="35" t="n">
        <x:f>IF(ISNUMBER('sheet4-原始数据'!H187),'sheet4-原始数据'!H187,"")</x:f>
        <x:v>0.0265</x:v>
      </x:c>
      <x:c r="O202" s="36" t="str">
        <x:f>IF(ISNUMBER('sheet4-原始数据'!Q187),'sheet4-原始数据'!Q187,"")</x:f>
      </x:c>
      <x:c r="P202" s="37" t="n">
        <x:f>IF($G202&lt;&gt;"入池","",IF($F202&gt;=3,IF(OR(NOT(ISNUMBER($M202)),NOT(ISNUMBER($N202)),1+$M202&lt;=0,1+$N202&lt;0),"",((1+$N202)^3/(1+$M202))^(1/2)-1),IF(OR($F202&lt;=1,NOT(ISNUMBER($M202)),NOT(ISNUMBER($O202)),1+$M202&lt;=0,1+$O202&lt;0),"",((1+$O202)^$F202/(1+$M202))^(1/($F202-1))-1)))</x:f>
        <x:v>0.009150003712266486</x:v>
      </x:c>
      <x:c r="Q202" s="17" t="n">
        <x:f>IF(OR($G202&lt;&gt;"入池",NOT(ISNUMBER(M202))),"",IF(COUNTIFS($G$17:$G$219,"入池",$M$17:$M$219,"&gt;=-1E+307",$M$17:$M$219,"&lt;=1E+307")&lt;=1,100,ROUND(100*(COUNTIFS($G$17:$G$219,"入池",$M$17:$M$219,"&gt;=-1E+307",$M$17:$M$219,"&lt;"&amp;M202)+COUNTIFS($G$17:$G$219,"入池",$M$17:$M$219,M202,$M$17:$M$219,"&gt;=-1E+307",$M$17:$M$219,"&lt;=1E+307")/2-0.5)/(COUNTIFS($G$17:$G$219,"入池",$M$17:$M$219,"&gt;=-1E+307",$M$17:$M$219,"&lt;=1E+307")-1),2)))</x:f>
        <x:v>55.94</x:v>
      </x:c>
      <x:c r="R202" s="17" t="n">
        <x:f>IF(OR($G202&lt;&gt;"入池",NOT(ISNUMBER(P202))),"",IF(COUNTIFS($G$17:$G$219,"入池",$P$17:$P$219,"&gt;=-1E+307",$P$17:$P$219,"&lt;=1E+307")&lt;=1,100,ROUND(100*(COUNTIFS($G$17:$G$219,"入池",$P$17:$P$219,"&gt;=-1E+307",$P$17:$P$219,"&lt;"&amp;P202)+COUNTIFS($G$17:$G$219,"入池",$P$17:$P$219,P202,$P$17:$P$219,"&gt;=-1E+307",$P$17:$P$219,"&lt;=1E+307")/2-0.5)/(COUNTIFS($G$17:$G$219,"入池",$P$17:$P$219,"&gt;=-1E+307",$P$17:$P$219,"&lt;=1E+307")-1),2)))</x:f>
        <x:v>6.44</x:v>
      </x:c>
      <x:c r="S202" s="17" t="n">
        <x:f>IF(NOT(ISNUMBER(Q202)),"",IF(NOT(ISNUMBER(R202)),Q202,ROUND(Q202*'sheet1-指标体系'!$J$8+R202*'sheet1-指标体系'!$J$9,2)))</x:f>
        <x:v>36.14</x:v>
      </x:c>
      <x:c r="T202" s="35" t="n">
        <x:f>IF(ISNUMBER('sheet4-原始数据'!J187),'sheet4-原始数据'!J187,"")</x:f>
        <x:v>0.7692</x:v>
      </x:c>
      <x:c r="U202" s="35" t="n">
        <x:f>IF(ISNUMBER('sheet4-原始数据'!I187),'sheet4-原始数据'!I187,"")</x:f>
        <x:v>0.8649</x:v>
      </x:c>
      <x:c r="V202" s="37" t="n">
        <x:f>IF(OR(NOT(ISNUMBER(T202)),NOT(ISNUMBER(U202))),"",(U202*'sheet1-指标体系'!$J$6-T202*'sheet1-指标体系'!$J$5)/'sheet1-指标体系'!$J$7)</x:f>
        <x:v>0.9167375</x:v>
      </x:c>
      <x:c r="W202" s="17" t="n">
        <x:f>IF(NOT(ISNUMBER(T202)),"",T202*100)</x:f>
        <x:v>76.92</x:v>
      </x:c>
      <x:c r="X202" s="17" t="n">
        <x:f>IF($G202&lt;&gt;"入池","",IF(AND(ISNUMBER(V202),V202&gt;=0,V202&lt;=1),V202*100,IF(MAX(0,($F202-1)*12)&lt;6,100,"")))</x:f>
        <x:v>91.67375</x:v>
      </x:c>
      <x:c r="Y202" s="17" t="n">
        <x:f>IF(NOT(ISNUMBER(W202)),"",IF(NOT(ISNUMBER(X202)),W202,ROUND(W202*'sheet1-指标体系'!$J$8+X202*'sheet1-指标体系'!$J$9,2)))</x:f>
        <x:v>82.82</x:v>
      </x:c>
      <x:c r="Z202" s="37" t="n">
        <x:f>IF(OR(NOT(ISNUMBER(M202)),NOT(ISNUMBER(AD202)),AD202=0),"",ABS(M202/AD202))</x:f>
        <x:v>0.003818366280320964</x:v>
      </x:c>
      <x:c r="AA202" s="35" t="n">
        <x:f>IF(ISNUMBER('sheet4-原始数据'!K187),'sheet4-原始数据'!K187,"")</x:f>
        <x:v>0.0225</x:v>
      </x:c>
      <x:c r="AB202" s="37" t="n">
        <x:f>IF(COUNT(Z202:AA202)=0,"",MAX(Z202:AA202))</x:f>
        <x:v>0.0225</x:v>
      </x:c>
      <x:c r="AC202" s="17" t="n">
        <x:f>IF(OR($G202&lt;&gt;"入池",NOT(ISNUMBER(AB202))),"",IF(COUNTIFS($G$17:$G$219,"入池",$AB$17:$AB$219,"&gt;=-1E+307",$AB$17:$AB$219,"&lt;=1E+307")&lt;=1,100,ROUND(100*(COUNTIFS($G$17:$G$219,"入池",$AB$17:$AB$219,"&lt;=1E+307",$AB$17:$AB$219,"&gt;"&amp;AB202)+COUNTIFS($G$17:$G$219,"入池",$AB$17:$AB$219,AB202,$AB$17:$AB$219,"&gt;=-1E+307",$AB$17:$AB$219,"&lt;=1E+307")/2-0.5)/(COUNTIFS($G$17:$G$219,"入池",$AB$17:$AB$219,"&gt;=-1E+307",$AB$17:$AB$219,"&lt;=1E+307")-1),2)))</x:f>
        <x:v>72.77</x:v>
      </x:c>
      <x:c r="AD202" s="38" t="n">
        <x:f>IF(ISNUMBER('sheet4-原始数据'!M187),'sheet4-原始数据'!M187,"")</x:f>
        <x:v>16.2635</x:v>
      </x:c>
      <x:c r="AE202" s="37" t="n">
        <x:f>IF(OR(NOT(ISNUMBER(P202)),NOT(ISNUMBER(AA202)),NOT(ISNUMBER(Z202))),"",IF(AA202&gt;Z202+'sheet1-指标体系'!$J$11,AA202,""))</x:f>
        <x:v>0.0225</x:v>
      </x:c>
      <x:c r="AF202" s="17" t="n">
        <x:f>IF(OR(NOT(ISNUMBER(P202)),NOT(ISNUMBER(AE202)),AE202=0),"",P202/AE202)</x:f>
        <x:v>0.40666683165628825</x:v>
      </x:c>
      <x:c r="AG202" s="17" t="n">
        <x:f>IF(OR($G202&lt;&gt;"入池",NOT(ISNUMBER(AD202))),"",IF(COUNTIFS($G$17:$G$219,"入池",$AD$17:$AD$219,"&gt;=-1E+307",$AD$17:$AD$219,"&lt;=1E+307")&lt;=1,100,ROUND(100*(COUNTIFS($G$17:$G$219,"入池",$AD$17:$AD$219,"&gt;=-1E+307",$AD$17:$AD$219,"&lt;"&amp;AD202)+COUNTIFS($G$17:$G$219,"入池",$AD$17:$AD$219,AD202,$AD$17:$AD$219,"&gt;=-1E+307",$AD$17:$AD$219,"&lt;=1E+307")/2-0.5)/(COUNTIFS($G$17:$G$219,"入池",$AD$17:$AD$219,"&gt;=-1E+307",$AD$17:$AD$219,"&lt;=1E+307")-1),2)))</x:f>
        <x:v>86.57</x:v>
      </x:c>
      <x:c r="AH202" s="17" t="n">
        <x:f>IF(OR($G202&lt;&gt;"入池",NOT(ISNUMBER(AF202))),"",IF(COUNTIFS($G$17:$G$219,"入池",$AF$17:$AF$219,"&gt;=-1E+307",$AF$17:$AF$219,"&lt;=1E+307")&lt;=1,100,ROUND(100*(COUNTIFS($G$17:$G$219,"入池",$AF$17:$AF$219,"&gt;=-1E+307",$AF$17:$AF$219,"&lt;"&amp;AF202)+COUNTIFS($G$17:$G$219,"入池",$AF$17:$AF$219,AF202,$AF$17:$AF$219,"&gt;=-1E+307",$AF$17:$AF$219,"&lt;=1E+307")/2-0.5)/(COUNTIFS($G$17:$G$219,"入池",$AF$17:$AF$219,"&gt;=-1E+307",$AF$17:$AF$219,"&lt;=1E+307")-1),2)))</x:f>
        <x:v>18.25</x:v>
      </x:c>
      <x:c r="AI202" s="17" t="n">
        <x:f>IF(NOT(ISNUMBER(AG202)),"",IF(NOT(ISNUMBER(AH202)),AG202,ROUND(AG202*'sheet1-指标体系'!$J$8+AH202*'sheet1-指标体系'!$J$9,2)))</x:f>
        <x:v>59.24</x:v>
      </x:c>
      <x:c r="AJ202" s="37" t="n">
        <x:f>IF(NOT(ISNUMBER(F202)),"",IF(F202&gt;=3,IF(NOT(ISNUMBER(N202)),"",N202),IF(NOT(ISNUMBER(O202)),"",O202)))</x:f>
        <x:v>0.0265</x:v>
      </x:c>
      <x:c r="AK202" s="17" t="n">
        <x:f>IF(OR(G202&lt;&gt;"入池",NOT(ISNUMBER(M202)),NOT(ISNUMBER(AJ202))),"",IF(M202&gt;=AJ202,100,IF(AJ202-M202&lt;'sheet1-指标体系'!$J$10,80,60)))</x:f>
        <x:v>100</x:v>
      </x:c>
      <x:c r="AL202" s="17" t="n">
        <x:f>IF(COUNT(I202,K202,L202)=0,"",ROUND((IF(ISNUMBER(I202),I202*40%,0)+IF(ISNUMBER(K202),K202*30%,0)+IF(ISNUMBER(L202),L202*30%,0))/(IF(ISNUMBER(I202),40%,0)+IF(ISNUMBER(K202),30%,0)+IF(ISNUMBER(L202),30%,0)),2))</x:f>
        <x:v>84</x:v>
      </x:c>
      <x:c r="AM202" s="17" t="n">
        <x:f>IF(COUNT(Q202,R202,W202,X202)=0,"",ROUND((IF(ISNUMBER(Q202),Q202*42%,0)+IF(ISNUMBER(R202),R202*28%,0)+IF(ISNUMBER(W202),W202*18%,0)+IF(ISNUMBER(X202),X202*12%,0))/(IF(ISNUMBER(Q202),42%,0)+IF(ISNUMBER(R202),28%,0)+IF(ISNUMBER(W202),18%,0)+IF(ISNUMBER(X202),12%,0)),2))</x:f>
        <x:v>50.14</x:v>
      </x:c>
      <x:c r="AN202" s="17" t="n">
        <x:f>IF(ISNUMBER(AC202),AC202,"")</x:f>
        <x:v>72.77</x:v>
      </x:c>
      <x:c r="AO202" s="17" t="n">
        <x:f>IF(COUNT(AG202,AH202)=0,"",ROUND((IF(ISNUMBER(AG202),AG202*60%,0)+IF(ISNUMBER(AH202),AH202*40%,0))/(IF(ISNUMBER(AG202),60%,0)+IF(ISNUMBER(AH202),40%,0)),2))</x:f>
        <x:v>59.24</x:v>
      </x:c>
      <x:c r="AP202" s="17" t="n">
        <x:f>IF(ISNUMBER(AK202),AK202,"")</x:f>
        <x:v>100</x:v>
      </x:c>
      <x:c r="AQ202" s="39" t="n">
        <x:f>IF(G202&lt;&gt;"入池",0,IF(ISNUMBER(I202),6%,0)+IF(ISNUMBER(K202),4.5%,0)+IF(ISNUMBER(L202),4.5%,0)+IF(ISNUMBER(Q202),8.4%,0)+IF(ISNUMBER(R202),5.6%,0)+IF(ISNUMBER(W202),3.6%,0)+IF(ISNUMBER(X202),2.4%,0)+IF(ISNUMBER(AC202),25%,0)+IF(ISNUMBER(AG202),18%,0)+IF(ISNUMBER(AH202),12%,0)+IF(ISNUMBER(AK202),10%,0))</x:f>
        <x:v>1</x:v>
      </x:c>
      <x:c r="AR202" s="17" t="n">
        <x:f>IF(AQ202=0,"",IF(ISNUMBER(I202),I202*6%,0)+IF(ISNUMBER(K202),K202*4.5%,0)+IF(ISNUMBER(L202),L202*4.5%,0)+IF(ISNUMBER(Q202),Q202*8.4%,0)+IF(ISNUMBER(R202),R202*5.6%,0)+IF(ISNUMBER(W202),W202*3.6%,0)+IF(ISNUMBER(X202),X202*2.4%,0)+IF(ISNUMBER(AC202),AC202*25%,0)+IF(ISNUMBER(AG202),AG202*18%,0)+IF(ISNUMBER(AH202),AH202*12%,0)+IF(ISNUMBER(AK202),AK202*10%,0))</x:f>
        <x:v>68.59398999999999</x:v>
      </x:c>
      <x:c r="AS202" s="17" t="n">
        <x:f>IF(AQ202=0,"",ROUND(AR202/AQ202,2))</x:f>
        <x:v>68.59</x:v>
      </x:c>
      <x:c r="AT202" s="40" t="n">
        <x:f>IF(OR(G202&lt;&gt;"入池",NOT(ISNUMBER(AS202))),"",COUNTIFS($G$17:$G$219,"入池",$AS$17:$AS$219,"&gt;"&amp;AS202)+COUNTIFS($G$17:$G$219,"入池",$AS$17:$AS$219,AS202,$AQ$17:$AQ$219,"&gt;"&amp;AQ202)+COUNTIFS($G$17:G202,"入池",$AS$17:AS202,AS202,$AQ$17:AQ202,AQ202))</x:f>
        <x:v>79</x:v>
      </x:c>
      <x:c r="AU202" s="41" t="str">
        <x:f t="shared" si="7">IF(NOT(ISNUMBER(I202)),"管理人规模；","")&amp;IF(J202="","产品规模标识；","")&amp;IF(AND(F202&lt;3,NOT(ISNUMBER(O202))),"R_incep；","")&amp;IF(NOT(ISNUMBER(N202)),"近三年收益；","")&amp;IF(NOT(ISNUMBER(U202)),"近三年胜率；","")&amp;IF(AND(ISNUMBER(V202),OR(V202&lt;0,V202&gt;1)),"胜率窗口口径不一致；","")&amp;IF(NOT(ISNUMBER(AA202)),"近三年回撤；","")&amp;IF(NOT(ISNUMBER(AD202)),"短期卡玛；","")&amp;IF(AND(ISNUMBER(P202),NOT(ISNUMBER(AE202))),"DD_long不可识别；","")</x:f>
      </x:c>
      <x:c r="AV202" s="42" t="n">
        <x:v>0</x:v>
      </x:c>
      <x:c r="AW202" s="19" t="str">
        <x:v>上海鸿儒投资管理有限公司</x:v>
      </x:c>
      <x:c r="AX202" s="19" t="str">
        <x:v>2026-01-30</x:v>
      </x:c>
      <x:c r="AY202" s="19" t="str">
        <x:v>https://gs.amac.org.cn/amac-infodisc/res/pof/manager/1912121722101881.html</x:v>
      </x:c>
      <x:c r="AZ202" s="19" t="str">
        <x:v>鸿儒灵活配置2期私募证券投资基金</x:v>
      </x:c>
      <x:c r="BA202" s="19" t="str">
        <x:v>2025-05-26</x:v>
      </x:c>
      <x:c r="BB202" s="19"/>
      <x:c r="BC202" s="19" t="str">
        <x:v>https://gs.amac.org.cn/amac-infodisc/res/pof/fund/2308031614104654.html</x:v>
      </x:c>
      <x:c r="BD202" s="19" t="str">
        <x:v>已匹配</x:v>
      </x:c>
      <x:c r="BE202"/>
      <x:c r="BF202"/>
    </x:row>
    <x:row r="203" ht="28" customHeight="1">
      <x:c r="A203" s="4" t="n">
        <x:v>187</x:v>
      </x:c>
      <x:c r="B203" s="15" t="str">
        <x:f>'sheet4-原始数据'!A188</x:f>
        <x:v>博普跨市场1号A类</x:v>
      </x:c>
      <x:c r="C203" s="15" t="str">
        <x:f>'sheet4-原始数据'!B188</x:f>
        <x:v>N5169A</x:v>
      </x:c>
      <x:c r="D203" s="15" t="str">
        <x:f>'sheet4-原始数据'!E188</x:f>
        <x:v>深圳博普科技</x:v>
      </x:c>
      <x:c r="E203" s="32" t="n">
        <x:f>IF(ISNUMBER('sheet4-原始数据'!F188),'sheet4-原始数据'!F188,"")</x:f>
        <x:v>42695</x:v>
      </x:c>
      <x:c r="F203" s="17" t="n">
        <x:f>IF(NOT(ISNUMBER(E203)),"",ROUND(('sheet1-指标体系'!$J$23-E203)/365.25,4))</x:f>
        <x:v>9.8179</x:v>
      </x:c>
      <x:c r="G203" s="4" t="str">
        <x:f t="shared" si="6">IF(NOT(ISNUMBER(F203)),"",IF(F203&lt;1,"不入池","入池"))</x:f>
        <x:v>入池</x:v>
      </x:c>
      <x:c r="H203" s="33" t="str">
        <x:v>100亿元以上</x:v>
      </x:c>
      <x:c r="I203" s="17" t="n">
        <x:f>IF(H203="","",IF(ISNUMBER(SEARCH("100亿元以上",H203)),100,IF(OR(ISNUMBER(SEARCH("20-50",H203)),ISNUMBER(SEARCH("50-100",H203)),ISNUMBER(SEARCH("20-100",H203))),90,IF(ISNUMBER(SEARCH("10-20",H203)),80,IF(ISNUMBER(SEARCH("5-10",H203)),70,IF(ISNUMBER(SEARCH("0-5",H203)),60,""))))))</x:f>
        <x:v>100</x:v>
      </x:c>
      <x:c r="J203" s="34"/>
      <x:c r="K203" s="17" t="str">
        <x:f>IF(J203="","",IF(J203="低于1000万元",0,100))</x:f>
      </x:c>
      <x:c r="L203" s="17" t="n">
        <x:f>IF(NOT(ISNUMBER(F203)),"",IF(F203&lt;1,"",IF(F203&lt;3,70,100)))</x:f>
        <x:v>100</x:v>
      </x:c>
      <x:c r="M203" s="35" t="n">
        <x:f>IF(ISNUMBER('sheet4-原始数据'!G188),'sheet4-原始数据'!G188,"")</x:f>
        <x:v>0.06</x:v>
      </x:c>
      <x:c r="N203" s="35" t="n">
        <x:f>IF(ISNUMBER('sheet4-原始数据'!H188),'sheet4-原始数据'!H188,"")</x:f>
        <x:v>0.0557</x:v>
      </x:c>
      <x:c r="O203" s="36" t="str">
        <x:f>IF(ISNUMBER('sheet4-原始数据'!Q188),'sheet4-原始数据'!Q188,"")</x:f>
      </x:c>
      <x:c r="P203" s="37" t="n">
        <x:f>IF($G203&lt;&gt;"入池","",IF($F203&gt;=3,IF(OR(NOT(ISNUMBER($M203)),NOT(ISNUMBER($N203)),1+$M203&lt;=0,1+$N203&lt;0),"",((1+$N203)^3/(1+$M203))^(1/2)-1),IF(OR($F203&lt;=1,NOT(ISNUMBER($M203)),NOT(ISNUMBER($O203)),1+$M203&lt;=0,1+$O203&lt;0),"",((1+$O203)^$F203/(1+$M203))^(1/($F203-1))-1)))</x:f>
        <x:v>0.05355654570288548</x:v>
      </x:c>
      <x:c r="Q203" s="17" t="n">
        <x:f>IF(OR($G203&lt;&gt;"入池",NOT(ISNUMBER(M203))),"",IF(COUNTIFS($G$17:$G$219,"入池",$M$17:$M$219,"&gt;=-1E+307",$M$17:$M$219,"&lt;=1E+307")&lt;=1,100,ROUND(100*(COUNTIFS($G$17:$G$219,"入池",$M$17:$M$219,"&gt;=-1E+307",$M$17:$M$219,"&lt;"&amp;M203)+COUNTIFS($G$17:$G$219,"入池",$M$17:$M$219,M203,$M$17:$M$219,"&gt;=-1E+307",$M$17:$M$219,"&lt;=1E+307")/2-0.5)/(COUNTIFS($G$17:$G$219,"入池",$M$17:$M$219,"&gt;=-1E+307",$M$17:$M$219,"&lt;=1E+307")-1),2)))</x:f>
        <x:v>53.96</x:v>
      </x:c>
      <x:c r="R203" s="17" t="n">
        <x:f>IF(OR($G203&lt;&gt;"入池",NOT(ISNUMBER(P203))),"",IF(COUNTIFS($G$17:$G$219,"入池",$P$17:$P$219,"&gt;=-1E+307",$P$17:$P$219,"&lt;=1E+307")&lt;=1,100,ROUND(100*(COUNTIFS($G$17:$G$219,"入池",$P$17:$P$219,"&gt;=-1E+307",$P$17:$P$219,"&lt;"&amp;P203)+COUNTIFS($G$17:$G$219,"入池",$P$17:$P$219,P203,$P$17:$P$219,"&gt;=-1E+307",$P$17:$P$219,"&lt;=1E+307")/2-0.5)/(COUNTIFS($G$17:$G$219,"入池",$P$17:$P$219,"&gt;=-1E+307",$P$17:$P$219,"&lt;=1E+307")-1),2)))</x:f>
        <x:v>39.6</x:v>
      </x:c>
      <x:c r="S203" s="17" t="n">
        <x:f>IF(NOT(ISNUMBER(Q203)),"",IF(NOT(ISNUMBER(R203)),Q203,ROUND(Q203*'sheet1-指标体系'!$J$8+R203*'sheet1-指标体系'!$J$9,2)))</x:f>
        <x:v>48.22</x:v>
      </x:c>
      <x:c r="T203" s="35" t="n">
        <x:f>IF(ISNUMBER('sheet4-原始数据'!J188),'sheet4-原始数据'!J188,"")</x:f>
        <x:v>0.9231</x:v>
      </x:c>
      <x:c r="U203" s="35" t="n">
        <x:f>IF(ISNUMBER('sheet4-原始数据'!I188),'sheet4-原始数据'!I188,"")</x:f>
        <x:v>0.8649</x:v>
      </x:c>
      <x:c r="V203" s="37" t="n">
        <x:f>IF(OR(NOT(ISNUMBER(T203)),NOT(ISNUMBER(U203))),"",(U203*'sheet1-指标体系'!$J$6-T203*'sheet1-指标体系'!$J$5)/'sheet1-指标体系'!$J$7)</x:f>
        <x:v>0.8333749999999999</x:v>
      </x:c>
      <x:c r="W203" s="17" t="n">
        <x:f>IF(NOT(ISNUMBER(T203)),"",T203*100)</x:f>
        <x:v>92.31</x:v>
      </x:c>
      <x:c r="X203" s="17" t="n">
        <x:f>IF($G203&lt;&gt;"入池","",IF(AND(ISNUMBER(V203),V203&gt;=0,V203&lt;=1),V203*100,IF(MAX(0,($F203-1)*12)&lt;6,100,"")))</x:f>
        <x:v>83.33749999999999</x:v>
      </x:c>
      <x:c r="Y203" s="17" t="n">
        <x:f>IF(NOT(ISNUMBER(W203)),"",IF(NOT(ISNUMBER(X203)),W203,ROUND(W203*'sheet1-指标体系'!$J$8+X203*'sheet1-指标体系'!$J$9,2)))</x:f>
        <x:v>88.72</x:v>
      </x:c>
      <x:c r="Z203" s="37" t="n">
        <x:f>IF(OR(NOT(ISNUMBER(M203)),NOT(ISNUMBER(AD203)),AD203=0),"",ABS(M203/AD203))</x:f>
        <x:v>0.0061774789708320035</x:v>
      </x:c>
      <x:c r="AA203" s="35" t="n">
        <x:f>IF(ISNUMBER('sheet4-原始数据'!K188),'sheet4-原始数据'!K188,"")</x:f>
        <x:v>0.0355</x:v>
      </x:c>
      <x:c r="AB203" s="37" t="n">
        <x:f>IF(COUNT(Z203:AA203)=0,"",MAX(Z203:AA203))</x:f>
        <x:v>0.0355</x:v>
      </x:c>
      <x:c r="AC203" s="17" t="n">
        <x:f>IF(OR($G203&lt;&gt;"入池",NOT(ISNUMBER(AB203))),"",IF(COUNTIFS($G$17:$G$219,"入池",$AB$17:$AB$219,"&gt;=-1E+307",$AB$17:$AB$219,"&lt;=1E+307")&lt;=1,100,ROUND(100*(COUNTIFS($G$17:$G$219,"入池",$AB$17:$AB$219,"&lt;=1E+307",$AB$17:$AB$219,"&gt;"&amp;AB203)+COUNTIFS($G$17:$G$219,"入池",$AB$17:$AB$219,AB203,$AB$17:$AB$219,"&gt;=-1E+307",$AB$17:$AB$219,"&lt;=1E+307")/2-0.5)/(COUNTIFS($G$17:$G$219,"入池",$AB$17:$AB$219,"&gt;=-1E+307",$AB$17:$AB$219,"&lt;=1E+307")-1),2)))</x:f>
        <x:v>55.94</x:v>
      </x:c>
      <x:c r="AD203" s="38" t="n">
        <x:f>IF(ISNUMBER('sheet4-原始数据'!M188),'sheet4-原始数据'!M188,"")</x:f>
        <x:v>9.7127</x:v>
      </x:c>
      <x:c r="AE203" s="37" t="n">
        <x:f>IF(OR(NOT(ISNUMBER(P203)),NOT(ISNUMBER(AA203)),NOT(ISNUMBER(Z203))),"",IF(AA203&gt;Z203+'sheet1-指标体系'!$J$11,AA203,""))</x:f>
        <x:v>0.0355</x:v>
      </x:c>
      <x:c r="AF203" s="17" t="n">
        <x:f>IF(OR(NOT(ISNUMBER(P203)),NOT(ISNUMBER(AE203)),AE203=0),"",P203/AE203)</x:f>
        <x:v>1.5086350902221264</x:v>
      </x:c>
      <x:c r="AG203" s="17" t="n">
        <x:f>IF(OR($G203&lt;&gt;"入池",NOT(ISNUMBER(AD203))),"",IF(COUNTIFS($G$17:$G$219,"入池",$AD$17:$AD$219,"&gt;=-1E+307",$AD$17:$AD$219,"&lt;=1E+307")&lt;=1,100,ROUND(100*(COUNTIFS($G$17:$G$219,"入池",$AD$17:$AD$219,"&gt;=-1E+307",$AD$17:$AD$219,"&lt;"&amp;AD203)+COUNTIFS($G$17:$G$219,"入池",$AD$17:$AD$219,AD203,$AD$17:$AD$219,"&gt;=-1E+307",$AD$17:$AD$219,"&lt;=1E+307")/2-0.5)/(COUNTIFS($G$17:$G$219,"入池",$AD$17:$AD$219,"&gt;=-1E+307",$AD$17:$AD$219,"&lt;=1E+307")-1),2)))</x:f>
        <x:v>77.61</x:v>
      </x:c>
      <x:c r="AH203" s="17" t="n">
        <x:f>IF(OR($G203&lt;&gt;"入池",NOT(ISNUMBER(AF203))),"",IF(COUNTIFS($G$17:$G$219,"入池",$AF$17:$AF$219,"&gt;=-1E+307",$AF$17:$AF$219,"&lt;=1E+307")&lt;=1,100,ROUND(100*(COUNTIFS($G$17:$G$219,"入池",$AF$17:$AF$219,"&gt;=-1E+307",$AF$17:$AF$219,"&lt;"&amp;AF203)+COUNTIFS($G$17:$G$219,"入池",$AF$17:$AF$219,AF203,$AF$17:$AF$219,"&gt;=-1E+307",$AF$17:$AF$219,"&lt;=1E+307")/2-0.5)/(COUNTIFS($G$17:$G$219,"入池",$AF$17:$AF$219,"&gt;=-1E+307",$AF$17:$AF$219,"&lt;=1E+307")-1),2)))</x:f>
        <x:v>55.47</x:v>
      </x:c>
      <x:c r="AI203" s="17" t="n">
        <x:f>IF(NOT(ISNUMBER(AG203)),"",IF(NOT(ISNUMBER(AH203)),AG203,ROUND(AG203*'sheet1-指标体系'!$J$8+AH203*'sheet1-指标体系'!$J$9,2)))</x:f>
        <x:v>68.75</x:v>
      </x:c>
      <x:c r="AJ203" s="37" t="n">
        <x:f>IF(NOT(ISNUMBER(F203)),"",IF(F203&gt;=3,IF(NOT(ISNUMBER(N203)),"",N203),IF(NOT(ISNUMBER(O203)),"",O203)))</x:f>
        <x:v>0.0557</x:v>
      </x:c>
      <x:c r="AK203" s="17" t="n">
        <x:f>IF(OR(G203&lt;&gt;"入池",NOT(ISNUMBER(M203)),NOT(ISNUMBER(AJ203))),"",IF(M203&gt;=AJ203,100,IF(AJ203-M203&lt;'sheet1-指标体系'!$J$10,80,60)))</x:f>
        <x:v>100</x:v>
      </x:c>
      <x:c r="AL203" s="17" t="n">
        <x:f>IF(COUNT(I203,K203,L203)=0,"",ROUND((IF(ISNUMBER(I203),I203*40%,0)+IF(ISNUMBER(K203),K203*30%,0)+IF(ISNUMBER(L203),L203*30%,0))/(IF(ISNUMBER(I203),40%,0)+IF(ISNUMBER(K203),30%,0)+IF(ISNUMBER(L203),30%,0)),2))</x:f>
        <x:v>100</x:v>
      </x:c>
      <x:c r="AM203" s="17" t="n">
        <x:f>IF(COUNT(Q203,R203,W203,X203)=0,"",ROUND((IF(ISNUMBER(Q203),Q203*42%,0)+IF(ISNUMBER(R203),R203*28%,0)+IF(ISNUMBER(W203),W203*18%,0)+IF(ISNUMBER(X203),X203*12%,0))/(IF(ISNUMBER(Q203),42%,0)+IF(ISNUMBER(R203),28%,0)+IF(ISNUMBER(W203),18%,0)+IF(ISNUMBER(X203),12%,0)),2))</x:f>
        <x:v>60.37</x:v>
      </x:c>
      <x:c r="AN203" s="17" t="n">
        <x:f>IF(ISNUMBER(AC203),AC203,"")</x:f>
        <x:v>55.94</x:v>
      </x:c>
      <x:c r="AO203" s="17" t="n">
        <x:f>IF(COUNT(AG203,AH203)=0,"",ROUND((IF(ISNUMBER(AG203),AG203*60%,0)+IF(ISNUMBER(AH203),AH203*40%,0))/(IF(ISNUMBER(AG203),60%,0)+IF(ISNUMBER(AH203),40%,0)),2))</x:f>
        <x:v>68.75</x:v>
      </x:c>
      <x:c r="AP203" s="17" t="n">
        <x:f>IF(ISNUMBER(AK203),AK203,"")</x:f>
        <x:v>100</x:v>
      </x:c>
      <x:c r="AQ203" s="39" t="n">
        <x:f>IF(G203&lt;&gt;"入池",0,IF(ISNUMBER(I203),6%,0)+IF(ISNUMBER(K203),4.5%,0)+IF(ISNUMBER(L203),4.5%,0)+IF(ISNUMBER(Q203),8.4%,0)+IF(ISNUMBER(R203),5.6%,0)+IF(ISNUMBER(W203),3.6%,0)+IF(ISNUMBER(X203),2.4%,0)+IF(ISNUMBER(AC203),25%,0)+IF(ISNUMBER(AG203),18%,0)+IF(ISNUMBER(AH203),12%,0)+IF(ISNUMBER(AK203),10%,0))</x:f>
        <x:v>0.9550000000000001</x:v>
      </x:c>
      <x:c r="AR203" s="17" t="n">
        <x:f>IF(AQ203=0,"",IF(ISNUMBER(I203),I203*6%,0)+IF(ISNUMBER(K203),K203*4.5%,0)+IF(ISNUMBER(L203),L203*4.5%,0)+IF(ISNUMBER(Q203),Q203*8.4%,0)+IF(ISNUMBER(R203),R203*5.6%,0)+IF(ISNUMBER(W203),W203*3.6%,0)+IF(ISNUMBER(X203),X203*2.4%,0)+IF(ISNUMBER(AC203),AC203*25%,0)+IF(ISNUMBER(AG203),AG203*18%,0)+IF(ISNUMBER(AH203),AH203*12%,0)+IF(ISNUMBER(AK203),AK203*10%,0))</x:f>
        <x:v>67.18469999999999</x:v>
      </x:c>
      <x:c r="AS203" s="17" t="n">
        <x:f>IF(AQ203=0,"",ROUND(AR203/AQ203,2))</x:f>
        <x:v>70.35</x:v>
      </x:c>
      <x:c r="AT203" s="40" t="n">
        <x:f>IF(OR(G203&lt;&gt;"入池",NOT(ISNUMBER(AS203))),"",COUNTIFS($G$17:$G$219,"入池",$AS$17:$AS$219,"&gt;"&amp;AS203)+COUNTIFS($G$17:$G$219,"入池",$AS$17:$AS$219,AS203,$AQ$17:$AQ$219,"&gt;"&amp;AQ203)+COUNTIFS($G$17:G203,"入池",$AS$17:AS203,AS203,$AQ$17:AQ203,AQ203))</x:f>
        <x:v>70</x:v>
      </x:c>
      <x:c r="AU203" s="41" t="str">
        <x:f t="shared" si="7">IF(NOT(ISNUMBER(I203)),"管理人规模；","")&amp;IF(J203="","产品规模标识；","")&amp;IF(AND(F203&lt;3,NOT(ISNUMBER(O203))),"R_incep；","")&amp;IF(NOT(ISNUMBER(N203)),"近三年收益；","")&amp;IF(NOT(ISNUMBER(U203)),"近三年胜率；","")&amp;IF(AND(ISNUMBER(V203),OR(V203&lt;0,V203&gt;1)),"胜率窗口口径不一致；","")&amp;IF(NOT(ISNUMBER(AA203)),"近三年回撤；","")&amp;IF(NOT(ISNUMBER(AD203)),"短期卡玛；","")&amp;IF(AND(ISNUMBER(P203),NOT(ISNUMBER(AE203))),"DD_long不可识别；","")</x:f>
        <x:v>产品规模标识；</x:v>
      </x:c>
      <x:c r="AV203" s="42" t="n">
        <x:v>100</x:v>
      </x:c>
      <x:c r="AW203" s="19" t="str">
        <x:v>深圳博普科技有限公司</x:v>
      </x:c>
      <x:c r="AX203" s="19" t="str">
        <x:v>2023-09-25</x:v>
      </x:c>
      <x:c r="AY203" s="19" t="str">
        <x:v>https://gs.amac.org.cn/amac-infodisc/res/pof/manager/101000001136.html</x:v>
      </x:c>
      <x:c r="AZ203" s="19"/>
      <x:c r="BA203" s="19"/>
      <x:c r="BB203" s="19"/>
      <x:c r="BC203" s="19"/>
      <x:c r="BD203" s="19" t="str">
        <x:v>基金页未匹配；管理人已核验</x:v>
      </x:c>
      <x:c r="BE203"/>
      <x:c r="BF203"/>
    </x:row>
    <x:row r="204" ht="28" customHeight="1">
      <x:c r="A204" s="4" t="n">
        <x:v>188</x:v>
      </x:c>
      <x:c r="B204" s="15" t="str">
        <x:f>'sheet4-原始数据'!A189</x:f>
        <x:v>东宏启航稳健1号</x:v>
      </x:c>
      <x:c r="C204" s="15" t="str">
        <x:f>'sheet4-原始数据'!B189</x:f>
        <x:v>SAAE31</x:v>
      </x:c>
      <x:c r="D204" s="15" t="str">
        <x:f>'sheet4-原始数据'!E189</x:f>
        <x:v>北京东宏世家资管</x:v>
      </x:c>
      <x:c r="E204" s="32" t="n">
        <x:f>IF(ISNUMBER('sheet4-原始数据'!F189),'sheet4-原始数据'!F189,"")</x:f>
        <x:v>45159</x:v>
      </x:c>
      <x:c r="F204" s="17" t="n">
        <x:f>IF(NOT(ISNUMBER(E204)),"",ROUND(('sheet1-指标体系'!$J$23-E204)/365.25,4))</x:f>
        <x:v>3.0719</x:v>
      </x:c>
      <x:c r="G204" s="4" t="str">
        <x:f t="shared" si="6">IF(NOT(ISNUMBER(F204)),"",IF(F204&lt;1,"不入池","入池"))</x:f>
        <x:v>入池</x:v>
      </x:c>
      <x:c r="H204" s="33" t="str">
        <x:v>5-10亿元</x:v>
      </x:c>
      <x:c r="I204" s="17" t="n">
        <x:f>IF(H204="","",IF(ISNUMBER(SEARCH("100亿元以上",H204)),100,IF(OR(ISNUMBER(SEARCH("20-50",H204)),ISNUMBER(SEARCH("50-100",H204)),ISNUMBER(SEARCH("20-100",H204))),90,IF(ISNUMBER(SEARCH("10-20",H204)),80,IF(ISNUMBER(SEARCH("5-10",H204)),70,IF(ISNUMBER(SEARCH("0-5",H204)),60,""))))))</x:f>
        <x:v>70</x:v>
      </x:c>
      <x:c r="J204" s="34" t="str">
        <x:v>无低于1000万元标识</x:v>
      </x:c>
      <x:c r="K204" s="17" t="n">
        <x:f>IF(J204="","",IF(J204="低于1000万元",0,100))</x:f>
        <x:v>100</x:v>
      </x:c>
      <x:c r="L204" s="17" t="n">
        <x:f>IF(NOT(ISNUMBER(F204)),"",IF(F204&lt;1,"",IF(F204&lt;3,70,100)))</x:f>
        <x:v>100</x:v>
      </x:c>
      <x:c r="M204" s="35" t="n">
        <x:f>IF(ISNUMBER('sheet4-原始数据'!G189),'sheet4-原始数据'!G189,"")</x:f>
        <x:v>0.174</x:v>
      </x:c>
      <x:c r="N204" s="35" t="n">
        <x:f>IF(ISNUMBER('sheet4-原始数据'!H189),'sheet4-原始数据'!H189,"")</x:f>
        <x:v>0.08539999999999999</x:v>
      </x:c>
      <x:c r="O204" s="36" t="str">
        <x:f>IF(ISNUMBER('sheet4-原始数据'!Q189),'sheet4-原始数据'!Q189,"")</x:f>
      </x:c>
      <x:c r="P204" s="37" t="n">
        <x:f>IF($G204&lt;&gt;"入池","",IF($F204&gt;=3,IF(OR(NOT(ISNUMBER($M204)),NOT(ISNUMBER($N204)),1+$M204&lt;=0,1+$N204&lt;0),"",((1+$N204)^3/(1+$M204))^(1/2)-1),IF(OR($F204&lt;=1,NOT(ISNUMBER($M204)),NOT(ISNUMBER($O204)),1+$M204&lt;=0,1+$O204&lt;0),"",((1+$O204)^$F204/(1+$M204))^(1/($F204-1))-1)))</x:f>
        <x:v>0.04363990697020759</x:v>
      </x:c>
      <x:c r="Q204" s="17" t="n">
        <x:f>IF(OR($G204&lt;&gt;"入池",NOT(ISNUMBER(M204))),"",IF(COUNTIFS($G$17:$G$219,"入池",$M$17:$M$219,"&gt;=-1E+307",$M$17:$M$219,"&lt;=1E+307")&lt;=1,100,ROUND(100*(COUNTIFS($G$17:$G$219,"入池",$M$17:$M$219,"&gt;=-1E+307",$M$17:$M$219,"&lt;"&amp;M204)+COUNTIFS($G$17:$G$219,"入池",$M$17:$M$219,M204,$M$17:$M$219,"&gt;=-1E+307",$M$17:$M$219,"&lt;=1E+307")/2-0.5)/(COUNTIFS($G$17:$G$219,"入池",$M$17:$M$219,"&gt;=-1E+307",$M$17:$M$219,"&lt;=1E+307")-1),2)))</x:f>
        <x:v>91.58</x:v>
      </x:c>
      <x:c r="R204" s="17" t="n">
        <x:f>IF(OR($G204&lt;&gt;"入池",NOT(ISNUMBER(P204))),"",IF(COUNTIFS($G$17:$G$219,"入池",$P$17:$P$219,"&gt;=-1E+307",$P$17:$P$219,"&lt;=1E+307")&lt;=1,100,ROUND(100*(COUNTIFS($G$17:$G$219,"入池",$P$17:$P$219,"&gt;=-1E+307",$P$17:$P$219,"&lt;"&amp;P204)+COUNTIFS($G$17:$G$219,"入池",$P$17:$P$219,P204,$P$17:$P$219,"&gt;=-1E+307",$P$17:$P$219,"&lt;=1E+307")/2-0.5)/(COUNTIFS($G$17:$G$219,"入池",$P$17:$P$219,"&gt;=-1E+307",$P$17:$P$219,"&lt;=1E+307")-1),2)))</x:f>
        <x:v>31.19</x:v>
      </x:c>
      <x:c r="S204" s="17" t="n">
        <x:f>IF(NOT(ISNUMBER(Q204)),"",IF(NOT(ISNUMBER(R204)),Q204,ROUND(Q204*'sheet1-指标体系'!$J$8+R204*'sheet1-指标体系'!$J$9,2)))</x:f>
        <x:v>67.42</x:v>
      </x:c>
      <x:c r="T204" s="35" t="n">
        <x:f>IF(ISNUMBER('sheet4-原始数据'!J189),'sheet4-原始数据'!J189,"")</x:f>
        <x:v>0.8462000000000001</x:v>
      </x:c>
      <x:c r="U204" s="35" t="n">
        <x:f>IF(ISNUMBER('sheet4-原始数据'!I189),'sheet4-原始数据'!I189,"")</x:f>
        <x:v>0.7568</x:v>
      </x:c>
      <x:c r="V204" s="37" t="n">
        <x:f>IF(OR(NOT(ISNUMBER(T204)),NOT(ISNUMBER(U204))),"",(U204*'sheet1-指标体系'!$J$6-T204*'sheet1-指标体系'!$J$5)/'sheet1-指标体系'!$J$7)</x:f>
        <x:v>0.7083749999999999</x:v>
      </x:c>
      <x:c r="W204" s="17" t="n">
        <x:f>IF(NOT(ISNUMBER(T204)),"",T204*100)</x:f>
        <x:v>84.62</x:v>
      </x:c>
      <x:c r="X204" s="17" t="n">
        <x:f>IF($G204&lt;&gt;"入池","",IF(AND(ISNUMBER(V204),V204&gt;=0,V204&lt;=1),V204*100,IF(MAX(0,($F204-1)*12)&lt;6,100,"")))</x:f>
        <x:v>70.83749999999999</x:v>
      </x:c>
      <x:c r="Y204" s="17" t="n">
        <x:f>IF(NOT(ISNUMBER(W204)),"",IF(NOT(ISNUMBER(X204)),W204,ROUND(W204*'sheet1-指标体系'!$J$8+X204*'sheet1-指标体系'!$J$9,2)))</x:f>
        <x:v>79.11</x:v>
      </x:c>
      <x:c r="Z204" s="37" t="n">
        <x:f>IF(OR(NOT(ISNUMBER(M204)),NOT(ISNUMBER(AD204)),AD204=0),"",ABS(M204/AD204))</x:f>
        <x:v>0.011498126598338718</x:v>
      </x:c>
      <x:c r="AA204" s="35" t="n">
        <x:f>IF(ISNUMBER('sheet4-原始数据'!K189),'sheet4-原始数据'!K189,"")</x:f>
        <x:v>0.067</x:v>
      </x:c>
      <x:c r="AB204" s="37" t="n">
        <x:f>IF(COUNT(Z204:AA204)=0,"",MAX(Z204:AA204))</x:f>
        <x:v>0.067</x:v>
      </x:c>
      <x:c r="AC204" s="17" t="n">
        <x:f>IF(OR($G204&lt;&gt;"入池",NOT(ISNUMBER(AB204))),"",IF(COUNTIFS($G$17:$G$219,"入池",$AB$17:$AB$219,"&gt;=-1E+307",$AB$17:$AB$219,"&lt;=1E+307")&lt;=1,100,ROUND(100*(COUNTIFS($G$17:$G$219,"入池",$AB$17:$AB$219,"&lt;=1E+307",$AB$17:$AB$219,"&gt;"&amp;AB204)+COUNTIFS($G$17:$G$219,"入池",$AB$17:$AB$219,AB204,$AB$17:$AB$219,"&gt;=-1E+307",$AB$17:$AB$219,"&lt;=1E+307")/2-0.5)/(COUNTIFS($G$17:$G$219,"入池",$AB$17:$AB$219,"&gt;=-1E+307",$AB$17:$AB$219,"&lt;=1E+307")-1),2)))</x:f>
        <x:v>37.13</x:v>
      </x:c>
      <x:c r="AD204" s="38" t="n">
        <x:f>IF(ISNUMBER('sheet4-原始数据'!M189),'sheet4-原始数据'!M189,"")</x:f>
        <x:v>15.1329</x:v>
      </x:c>
      <x:c r="AE204" s="37" t="n">
        <x:f>IF(OR(NOT(ISNUMBER(P204)),NOT(ISNUMBER(AA204)),NOT(ISNUMBER(Z204))),"",IF(AA204&gt;Z204+'sheet1-指标体系'!$J$11,AA204,""))</x:f>
        <x:v>0.067</x:v>
      </x:c>
      <x:c r="AF204" s="17" t="n">
        <x:f>IF(OR(NOT(ISNUMBER(P204)),NOT(ISNUMBER(AE204)),AE204=0),"",P204/AE204)</x:f>
        <x:v>0.6513418950777251</x:v>
      </x:c>
      <x:c r="AG204" s="17" t="n">
        <x:f>IF(OR($G204&lt;&gt;"入池",NOT(ISNUMBER(AD204))),"",IF(COUNTIFS($G$17:$G$219,"入池",$AD$17:$AD$219,"&gt;=-1E+307",$AD$17:$AD$219,"&lt;=1E+307")&lt;=1,100,ROUND(100*(COUNTIFS($G$17:$G$219,"入池",$AD$17:$AD$219,"&gt;=-1E+307",$AD$17:$AD$219,"&lt;"&amp;AD204)+COUNTIFS($G$17:$G$219,"入池",$AD$17:$AD$219,AD204,$AD$17:$AD$219,"&gt;=-1E+307",$AD$17:$AD$219,"&lt;=1E+307")/2-0.5)/(COUNTIFS($G$17:$G$219,"入池",$AD$17:$AD$219,"&gt;=-1E+307",$AD$17:$AD$219,"&lt;=1E+307")-1),2)))</x:f>
        <x:v>85.07</x:v>
      </x:c>
      <x:c r="AH204" s="17" t="n">
        <x:f>IF(OR($G204&lt;&gt;"入池",NOT(ISNUMBER(AF204))),"",IF(COUNTIFS($G$17:$G$219,"入池",$AF$17:$AF$219,"&gt;=-1E+307",$AF$17:$AF$219,"&lt;=1E+307")&lt;=1,100,ROUND(100*(COUNTIFS($G$17:$G$219,"入池",$AF$17:$AF$219,"&gt;=-1E+307",$AF$17:$AF$219,"&lt;"&amp;AF204)+COUNTIFS($G$17:$G$219,"入池",$AF$17:$AF$219,AF204,$AF$17:$AF$219,"&gt;=-1E+307",$AF$17:$AF$219,"&lt;=1E+307")/2-0.5)/(COUNTIFS($G$17:$G$219,"入池",$AF$17:$AF$219,"&gt;=-1E+307",$AF$17:$AF$219,"&lt;=1E+307")-1),2)))</x:f>
        <x:v>23.36</x:v>
      </x:c>
      <x:c r="AI204" s="17" t="n">
        <x:f>IF(NOT(ISNUMBER(AG204)),"",IF(NOT(ISNUMBER(AH204)),AG204,ROUND(AG204*'sheet1-指标体系'!$J$8+AH204*'sheet1-指标体系'!$J$9,2)))</x:f>
        <x:v>60.39</x:v>
      </x:c>
      <x:c r="AJ204" s="37" t="n">
        <x:f>IF(NOT(ISNUMBER(F204)),"",IF(F204&gt;=3,IF(NOT(ISNUMBER(N204)),"",N204),IF(NOT(ISNUMBER(O204)),"",O204)))</x:f>
        <x:v>0.08539999999999999</x:v>
      </x:c>
      <x:c r="AK204" s="17" t="n">
        <x:f>IF(OR(G204&lt;&gt;"入池",NOT(ISNUMBER(M204)),NOT(ISNUMBER(AJ204))),"",IF(M204&gt;=AJ204,100,IF(AJ204-M204&lt;'sheet1-指标体系'!$J$10,80,60)))</x:f>
        <x:v>100</x:v>
      </x:c>
      <x:c r="AL204" s="17" t="n">
        <x:f>IF(COUNT(I204,K204,L204)=0,"",ROUND((IF(ISNUMBER(I204),I204*40%,0)+IF(ISNUMBER(K204),K204*30%,0)+IF(ISNUMBER(L204),L204*30%,0))/(IF(ISNUMBER(I204),40%,0)+IF(ISNUMBER(K204),30%,0)+IF(ISNUMBER(L204),30%,0)),2))</x:f>
        <x:v>88</x:v>
      </x:c>
      <x:c r="AM204" s="17" t="n">
        <x:f>IF(COUNT(Q204,R204,W204,X204)=0,"",ROUND((IF(ISNUMBER(Q204),Q204*42%,0)+IF(ISNUMBER(R204),R204*28%,0)+IF(ISNUMBER(W204),W204*18%,0)+IF(ISNUMBER(X204),X204*12%,0))/(IF(ISNUMBER(Q204),42%,0)+IF(ISNUMBER(R204),28%,0)+IF(ISNUMBER(W204),18%,0)+IF(ISNUMBER(X204),12%,0)),2))</x:f>
        <x:v>70.93</x:v>
      </x:c>
      <x:c r="AN204" s="17" t="n">
        <x:f>IF(ISNUMBER(AC204),AC204,"")</x:f>
        <x:v>37.13</x:v>
      </x:c>
      <x:c r="AO204" s="17" t="n">
        <x:f>IF(COUNT(AG204,AH204)=0,"",ROUND((IF(ISNUMBER(AG204),AG204*60%,0)+IF(ISNUMBER(AH204),AH204*40%,0))/(IF(ISNUMBER(AG204),60%,0)+IF(ISNUMBER(AH204),40%,0)),2))</x:f>
        <x:v>60.39</x:v>
      </x:c>
      <x:c r="AP204" s="17" t="n">
        <x:f>IF(ISNUMBER(AK204),AK204,"")</x:f>
        <x:v>100</x:v>
      </x:c>
      <x:c r="AQ204" s="39" t="n">
        <x:f>IF(G204&lt;&gt;"入池",0,IF(ISNUMBER(I204),6%,0)+IF(ISNUMBER(K204),4.5%,0)+IF(ISNUMBER(L204),4.5%,0)+IF(ISNUMBER(Q204),8.4%,0)+IF(ISNUMBER(R204),5.6%,0)+IF(ISNUMBER(W204),3.6%,0)+IF(ISNUMBER(X204),2.4%,0)+IF(ISNUMBER(AC204),25%,0)+IF(ISNUMBER(AG204),18%,0)+IF(ISNUMBER(AH204),12%,0)+IF(ISNUMBER(AK204),10%,0))</x:f>
        <x:v>1</x:v>
      </x:c>
      <x:c r="AR204" s="17" t="n">
        <x:f>IF(AQ204=0,"",IF(ISNUMBER(I204),I204*6%,0)+IF(ISNUMBER(K204),K204*4.5%,0)+IF(ISNUMBER(L204),L204*4.5%,0)+IF(ISNUMBER(Q204),Q204*8.4%,0)+IF(ISNUMBER(R204),R204*5.6%,0)+IF(ISNUMBER(W204),W204*3.6%,0)+IF(ISNUMBER(X204),X204*2.4%,0)+IF(ISNUMBER(AC204),AC204*25%,0)+IF(ISNUMBER(AG204),AG204*18%,0)+IF(ISNUMBER(AH204),AH204*12%,0)+IF(ISNUMBER(AK204),AK204*10%,0))</x:f>
        <x:v>64.78407999999999</x:v>
      </x:c>
      <x:c r="AS204" s="17" t="n">
        <x:f>IF(AQ204=0,"",ROUND(AR204/AQ204,2))</x:f>
        <x:v>64.78</x:v>
      </x:c>
      <x:c r="AT204" s="40" t="n">
        <x:f>IF(OR(G204&lt;&gt;"入池",NOT(ISNUMBER(AS204))),"",COUNTIFS($G$17:$G$219,"入池",$AS$17:$AS$219,"&gt;"&amp;AS204)+COUNTIFS($G$17:$G$219,"入池",$AS$17:$AS$219,AS204,$AQ$17:$AQ$219,"&gt;"&amp;AQ204)+COUNTIFS($G$17:G204,"入池",$AS$17:AS204,AS204,$AQ$17:AQ204,AQ204))</x:f>
        <x:v>92</x:v>
      </x:c>
      <x:c r="AU204" s="41" t="str">
        <x:f t="shared" si="7">IF(NOT(ISNUMBER(I204)),"管理人规模；","")&amp;IF(J204="","产品规模标识；","")&amp;IF(AND(F204&lt;3,NOT(ISNUMBER(O204))),"R_incep；","")&amp;IF(NOT(ISNUMBER(N204)),"近三年收益；","")&amp;IF(NOT(ISNUMBER(U204)),"近三年胜率；","")&amp;IF(AND(ISNUMBER(V204),OR(V204&lt;0,V204&gt;1)),"胜率窗口口径不一致；","")&amp;IF(NOT(ISNUMBER(AA204)),"近三年回撤；","")&amp;IF(NOT(ISNUMBER(AD204)),"短期卡玛；","")&amp;IF(AND(ISNUMBER(P204),NOT(ISNUMBER(AE204))),"DD_long不可识别；","")</x:f>
      </x:c>
      <x:c r="AV204" s="42" t="n">
        <x:v>5</x:v>
      </x:c>
      <x:c r="AW204" s="19" t="str">
        <x:v>北京东宏世家资产管理有限公司</x:v>
      </x:c>
      <x:c r="AX204" s="19" t="str">
        <x:v>2026-05-29</x:v>
      </x:c>
      <x:c r="AY204" s="19" t="str">
        <x:v>https://gs.amac.org.cn/amac-infodisc/res/pof/manager/101000028582.html</x:v>
      </x:c>
      <x:c r="AZ204" s="19" t="str">
        <x:v>东宏启航稳健1号私募证券投资基金</x:v>
      </x:c>
      <x:c r="BA204" s="19" t="str">
        <x:v>2026-07-20</x:v>
      </x:c>
      <x:c r="BB204" s="19"/>
      <x:c r="BC204" s="19" t="str">
        <x:v>https://gs.amac.org.cn/amac-infodisc/res/pof/fund/2308251717100782.html</x:v>
      </x:c>
      <x:c r="BD204" s="19" t="str">
        <x:v>已匹配</x:v>
      </x:c>
      <x:c r="BE204"/>
      <x:c r="BF204"/>
    </x:row>
    <x:row r="205" ht="28" customHeight="1">
      <x:c r="A205" s="4" t="n">
        <x:v>189</x:v>
      </x:c>
      <x:c r="B205" s="15" t="str">
        <x:f>'sheet4-原始数据'!A190</x:f>
        <x:v>慕途基本面量化2号</x:v>
      </x:c>
      <x:c r="C205" s="15" t="str">
        <x:f>'sheet4-原始数据'!B190</x:f>
        <x:v>SB9576</x:v>
      </x:c>
      <x:c r="D205" s="15" t="str">
        <x:f>'sheet4-原始数据'!E190</x:f>
        <x:v>慕途基金</x:v>
      </x:c>
      <x:c r="E205" s="32" t="n">
        <x:f>IF(ISNUMBER('sheet4-原始数据'!F190),'sheet4-原始数据'!F190,"")</x:f>
        <x:v>45166</x:v>
      </x:c>
      <x:c r="F205" s="17" t="n">
        <x:f>IF(NOT(ISNUMBER(E205)),"",ROUND(('sheet1-指标体系'!$J$23-E205)/365.25,4))</x:f>
        <x:v>3.0527</x:v>
      </x:c>
      <x:c r="G205" s="4" t="str">
        <x:f t="shared" si="6">IF(NOT(ISNUMBER(F205)),"",IF(F205&lt;1,"不入池","入池"))</x:f>
        <x:v>入池</x:v>
      </x:c>
      <x:c r="H205" s="33" t="str">
        <x:v>10-20亿元</x:v>
      </x:c>
      <x:c r="I205" s="17" t="n">
        <x:f>IF(H205="","",IF(ISNUMBER(SEARCH("100亿元以上",H205)),100,IF(OR(ISNUMBER(SEARCH("20-50",H205)),ISNUMBER(SEARCH("50-100",H205)),ISNUMBER(SEARCH("20-100",H205))),90,IF(ISNUMBER(SEARCH("10-20",H205)),80,IF(ISNUMBER(SEARCH("5-10",H205)),70,IF(ISNUMBER(SEARCH("0-5",H205)),60,""))))))</x:f>
        <x:v>80</x:v>
      </x:c>
      <x:c r="J205" s="34" t="str">
        <x:v>无低于1000万元标识</x:v>
      </x:c>
      <x:c r="K205" s="17" t="n">
        <x:f>IF(J205="","",IF(J205="低于1000万元",0,100))</x:f>
        <x:v>100</x:v>
      </x:c>
      <x:c r="L205" s="17" t="n">
        <x:f>IF(NOT(ISNUMBER(F205)),"",IF(F205&lt;1,"",IF(F205&lt;3,70,100)))</x:f>
        <x:v>100</x:v>
      </x:c>
      <x:c r="M205" s="35" t="n">
        <x:f>IF(ISNUMBER('sheet4-原始数据'!G190),'sheet4-原始数据'!G190,"")</x:f>
        <x:v>0.11259999999999999</x:v>
      </x:c>
      <x:c r="N205" s="35" t="n">
        <x:f>IF(ISNUMBER('sheet4-原始数据'!H190),'sheet4-原始数据'!H190,"")</x:f>
        <x:v>0.0953</x:v>
      </x:c>
      <x:c r="O205" s="36" t="str">
        <x:f>IF(ISNUMBER('sheet4-原始数据'!Q190),'sheet4-原始数据'!Q190,"")</x:f>
      </x:c>
      <x:c r="P205" s="37" t="n">
        <x:f>IF($G205&lt;&gt;"入池","",IF($F205&gt;=3,IF(OR(NOT(ISNUMBER($M205)),NOT(ISNUMBER($N205)),1+$M205&lt;=0,1+$N205&lt;0),"",((1+$N205)^3/(1+$M205))^(1/2)-1),IF(OR($F205&lt;=1,NOT(ISNUMBER($M205)),NOT(ISNUMBER($O205)),1+$M205&lt;=0,1+$O205&lt;0),"",((1+$O205)^$F205/(1+$M205))^(1/($F205-1))-1)))</x:f>
        <x:v>0.08675113815936264</x:v>
      </x:c>
      <x:c r="Q205" s="17" t="n">
        <x:f>IF(OR($G205&lt;&gt;"入池",NOT(ISNUMBER(M205))),"",IF(COUNTIFS($G$17:$G$219,"入池",$M$17:$M$219,"&gt;=-1E+307",$M$17:$M$219,"&lt;=1E+307")&lt;=1,100,ROUND(100*(COUNTIFS($G$17:$G$219,"入池",$M$17:$M$219,"&gt;=-1E+307",$M$17:$M$219,"&lt;"&amp;M205)+COUNTIFS($G$17:$G$219,"入池",$M$17:$M$219,M205,$M$17:$M$219,"&gt;=-1E+307",$M$17:$M$219,"&lt;=1E+307")/2-0.5)/(COUNTIFS($G$17:$G$219,"入池",$M$17:$M$219,"&gt;=-1E+307",$M$17:$M$219,"&lt;=1E+307")-1),2)))</x:f>
        <x:v>84.16</x:v>
      </x:c>
      <x:c r="R205" s="17" t="n">
        <x:f>IF(OR($G205&lt;&gt;"入池",NOT(ISNUMBER(P205))),"",IF(COUNTIFS($G$17:$G$219,"入池",$P$17:$P$219,"&gt;=-1E+307",$P$17:$P$219,"&lt;=1E+307")&lt;=1,100,ROUND(100*(COUNTIFS($G$17:$G$219,"入池",$P$17:$P$219,"&gt;=-1E+307",$P$17:$P$219,"&lt;"&amp;P205)+COUNTIFS($G$17:$G$219,"入池",$P$17:$P$219,P205,$P$17:$P$219,"&gt;=-1E+307",$P$17:$P$219,"&lt;=1E+307")/2-0.5)/(COUNTIFS($G$17:$G$219,"入池",$P$17:$P$219,"&gt;=-1E+307",$P$17:$P$219,"&lt;=1E+307")-1),2)))</x:f>
        <x:v>69.8</x:v>
      </x:c>
      <x:c r="S205" s="17" t="n">
        <x:f>IF(NOT(ISNUMBER(Q205)),"",IF(NOT(ISNUMBER(R205)),Q205,ROUND(Q205*'sheet1-指标体系'!$J$8+R205*'sheet1-指标体系'!$J$9,2)))</x:f>
        <x:v>78.42</x:v>
      </x:c>
      <x:c r="T205" s="35" t="n">
        <x:f>IF(ISNUMBER('sheet4-原始数据'!J190),'sheet4-原始数据'!J190,"")</x:f>
        <x:v>0.6923</x:v>
      </x:c>
      <x:c r="U205" s="35" t="n">
        <x:f>IF(ISNUMBER('sheet4-原始数据'!I190),'sheet4-原始数据'!I190,"")</x:f>
        <x:v>0.7837999999999999</x:v>
      </x:c>
      <x:c r="V205" s="37" t="n">
        <x:f>IF(OR(NOT(ISNUMBER(T205)),NOT(ISNUMBER(U205))),"",(U205*'sheet1-指标体系'!$J$6-T205*'sheet1-指标体系'!$J$5)/'sheet1-指标体系'!$J$7)</x:f>
        <x:v>0.8333624999999999</x:v>
      </x:c>
      <x:c r="W205" s="17" t="n">
        <x:f>IF(NOT(ISNUMBER(T205)),"",T205*100)</x:f>
        <x:v>69.23</x:v>
      </x:c>
      <x:c r="X205" s="17" t="n">
        <x:f>IF($G205&lt;&gt;"入池","",IF(AND(ISNUMBER(V205),V205&gt;=0,V205&lt;=1),V205*100,IF(MAX(0,($F205-1)*12)&lt;6,100,"")))</x:f>
        <x:v>83.33624999999999</x:v>
      </x:c>
      <x:c r="Y205" s="17" t="n">
        <x:f>IF(NOT(ISNUMBER(W205)),"",IF(NOT(ISNUMBER(X205)),W205,ROUND(W205*'sheet1-指标体系'!$J$8+X205*'sheet1-指标体系'!$J$9,2)))</x:f>
        <x:v>74.87</x:v>
      </x:c>
      <x:c r="Z205" s="37" t="n">
        <x:f>IF(OR(NOT(ISNUMBER(M205)),NOT(ISNUMBER(AD205)),AD205=0),"",ABS(M205/AD205))</x:f>
        <x:v>0.03746340165025286</x:v>
      </x:c>
      <x:c r="AA205" s="35" t="n">
        <x:f>IF(ISNUMBER('sheet4-原始数据'!K190),'sheet4-原始数据'!K190,"")</x:f>
        <x:v>0.0375</x:v>
      </x:c>
      <x:c r="AB205" s="37" t="n">
        <x:f>IF(COUNT(Z205:AA205)=0,"",MAX(Z205:AA205))</x:f>
        <x:v>0.0375</x:v>
      </x:c>
      <x:c r="AC205" s="17" t="n">
        <x:f>IF(OR($G205&lt;&gt;"入池",NOT(ISNUMBER(AB205))),"",IF(COUNTIFS($G$17:$G$219,"入池",$AB$17:$AB$219,"&gt;=-1E+307",$AB$17:$AB$219,"&lt;=1E+307")&lt;=1,100,ROUND(100*(COUNTIFS($G$17:$G$219,"入池",$AB$17:$AB$219,"&lt;=1E+307",$AB$17:$AB$219,"&gt;"&amp;AB205)+COUNTIFS($G$17:$G$219,"入池",$AB$17:$AB$219,AB205,$AB$17:$AB$219,"&gt;=-1E+307",$AB$17:$AB$219,"&lt;=1E+307")/2-0.5)/(COUNTIFS($G$17:$G$219,"入池",$AB$17:$AB$219,"&gt;=-1E+307",$AB$17:$AB$219,"&lt;=1E+307")-1),2)))</x:f>
        <x:v>54.46</x:v>
      </x:c>
      <x:c r="AD205" s="38" t="n">
        <x:f>IF(ISNUMBER('sheet4-原始数据'!M190),'sheet4-原始数据'!M190,"")</x:f>
        <x:v>3.0056</x:v>
      </x:c>
      <x:c r="AE205" s="37" t="str">
        <x:f>IF(OR(NOT(ISNUMBER(P205)),NOT(ISNUMBER(AA205)),NOT(ISNUMBER(Z205))),"",IF(AA205&gt;Z205+'sheet1-指标体系'!$J$11,AA205,""))</x:f>
      </x:c>
      <x:c r="AF205" s="17" t="str">
        <x:f>IF(OR(NOT(ISNUMBER(P205)),NOT(ISNUMBER(AE205)),AE205=0),"",P205/AE205)</x:f>
      </x:c>
      <x:c r="AG205" s="17" t="n">
        <x:f>IF(OR($G205&lt;&gt;"入池",NOT(ISNUMBER(AD205))),"",IF(COUNTIFS($G$17:$G$219,"入池",$AD$17:$AD$219,"&gt;=-1E+307",$AD$17:$AD$219,"&lt;=1E+307")&lt;=1,100,ROUND(100*(COUNTIFS($G$17:$G$219,"入池",$AD$17:$AD$219,"&gt;=-1E+307",$AD$17:$AD$219,"&lt;"&amp;AD205)+COUNTIFS($G$17:$G$219,"入池",$AD$17:$AD$219,AD205,$AD$17:$AD$219,"&gt;=-1E+307",$AD$17:$AD$219,"&lt;=1E+307")/2-0.5)/(COUNTIFS($G$17:$G$219,"入池",$AD$17:$AD$219,"&gt;=-1E+307",$AD$17:$AD$219,"&lt;=1E+307")-1),2)))</x:f>
        <x:v>51.74</x:v>
      </x:c>
      <x:c r="AH205" s="17" t="str">
        <x:f>IF(OR($G205&lt;&gt;"入池",NOT(ISNUMBER(AF205))),"",IF(COUNTIFS($G$17:$G$219,"入池",$AF$17:$AF$219,"&gt;=-1E+307",$AF$17:$AF$219,"&lt;=1E+307")&lt;=1,100,ROUND(100*(COUNTIFS($G$17:$G$219,"入池",$AF$17:$AF$219,"&gt;=-1E+307",$AF$17:$AF$219,"&lt;"&amp;AF205)+COUNTIFS($G$17:$G$219,"入池",$AF$17:$AF$219,AF205,$AF$17:$AF$219,"&gt;=-1E+307",$AF$17:$AF$219,"&lt;=1E+307")/2-0.5)/(COUNTIFS($G$17:$G$219,"入池",$AF$17:$AF$219,"&gt;=-1E+307",$AF$17:$AF$219,"&lt;=1E+307")-1),2)))</x:f>
      </x:c>
      <x:c r="AI205" s="17" t="n">
        <x:f>IF(NOT(ISNUMBER(AG205)),"",IF(NOT(ISNUMBER(AH205)),AG205,ROUND(AG205*'sheet1-指标体系'!$J$8+AH205*'sheet1-指标体系'!$J$9,2)))</x:f>
        <x:v>51.74</x:v>
      </x:c>
      <x:c r="AJ205" s="37" t="n">
        <x:f>IF(NOT(ISNUMBER(F205)),"",IF(F205&gt;=3,IF(NOT(ISNUMBER(N205)),"",N205),IF(NOT(ISNUMBER(O205)),"",O205)))</x:f>
        <x:v>0.0953</x:v>
      </x:c>
      <x:c r="AK205" s="17" t="n">
        <x:f>IF(OR(G205&lt;&gt;"入池",NOT(ISNUMBER(M205)),NOT(ISNUMBER(AJ205))),"",IF(M205&gt;=AJ205,100,IF(AJ205-M205&lt;'sheet1-指标体系'!$J$10,80,60)))</x:f>
        <x:v>100</x:v>
      </x:c>
      <x:c r="AL205" s="17" t="n">
        <x:f>IF(COUNT(I205,K205,L205)=0,"",ROUND((IF(ISNUMBER(I205),I205*40%,0)+IF(ISNUMBER(K205),K205*30%,0)+IF(ISNUMBER(L205),L205*30%,0))/(IF(ISNUMBER(I205),40%,0)+IF(ISNUMBER(K205),30%,0)+IF(ISNUMBER(L205),30%,0)),2))</x:f>
        <x:v>92</x:v>
      </x:c>
      <x:c r="AM205" s="17" t="n">
        <x:f>IF(COUNT(Q205,R205,W205,X205)=0,"",ROUND((IF(ISNUMBER(Q205),Q205*42%,0)+IF(ISNUMBER(R205),R205*28%,0)+IF(ISNUMBER(W205),W205*18%,0)+IF(ISNUMBER(X205),X205*12%,0))/(IF(ISNUMBER(Q205),42%,0)+IF(ISNUMBER(R205),28%,0)+IF(ISNUMBER(W205),18%,0)+IF(ISNUMBER(X205),12%,0)),2))</x:f>
        <x:v>77.35</x:v>
      </x:c>
      <x:c r="AN205" s="17" t="n">
        <x:f>IF(ISNUMBER(AC205),AC205,"")</x:f>
        <x:v>54.46</x:v>
      </x:c>
      <x:c r="AO205" s="17" t="n">
        <x:f>IF(COUNT(AG205,AH205)=0,"",ROUND((IF(ISNUMBER(AG205),AG205*60%,0)+IF(ISNUMBER(AH205),AH205*40%,0))/(IF(ISNUMBER(AG205),60%,0)+IF(ISNUMBER(AH205),40%,0)),2))</x:f>
        <x:v>51.74</x:v>
      </x:c>
      <x:c r="AP205" s="17" t="n">
        <x:f>IF(ISNUMBER(AK205),AK205,"")</x:f>
        <x:v>100</x:v>
      </x:c>
      <x:c r="AQ205" s="39" t="n">
        <x:f>IF(G205&lt;&gt;"入池",0,IF(ISNUMBER(I205),6%,0)+IF(ISNUMBER(K205),4.5%,0)+IF(ISNUMBER(L205),4.5%,0)+IF(ISNUMBER(Q205),8.4%,0)+IF(ISNUMBER(R205),5.6%,0)+IF(ISNUMBER(W205),3.6%,0)+IF(ISNUMBER(X205),2.4%,0)+IF(ISNUMBER(AC205),25%,0)+IF(ISNUMBER(AG205),18%,0)+IF(ISNUMBER(AH205),12%,0)+IF(ISNUMBER(AK205),10%,0))</x:f>
        <x:v>0.88</x:v>
      </x:c>
      <x:c r="AR205" s="17" t="n">
        <x:f>IF(AQ205=0,"",IF(ISNUMBER(I205),I205*6%,0)+IF(ISNUMBER(K205),K205*4.5%,0)+IF(ISNUMBER(L205),L205*4.5%,0)+IF(ISNUMBER(Q205),Q205*8.4%,0)+IF(ISNUMBER(R205),R205*5.6%,0)+IF(ISNUMBER(W205),W205*3.6%,0)+IF(ISNUMBER(X205),X205*2.4%,0)+IF(ISNUMBER(AC205),AC205*25%,0)+IF(ISNUMBER(AG205),AG205*18%,0)+IF(ISNUMBER(AH205),AH205*12%,0)+IF(ISNUMBER(AK205),AK205*10%,0))</x:f>
        <x:v>62.19879</x:v>
      </x:c>
      <x:c r="AS205" s="17" t="n">
        <x:f>IF(AQ205=0,"",ROUND(AR205/AQ205,2))</x:f>
        <x:v>70.68</x:v>
      </x:c>
      <x:c r="AT205" s="40" t="n">
        <x:f>IF(OR(G205&lt;&gt;"入池",NOT(ISNUMBER(AS205))),"",COUNTIFS($G$17:$G$219,"入池",$AS$17:$AS$219,"&gt;"&amp;AS205)+COUNTIFS($G$17:$G$219,"入池",$AS$17:$AS$219,AS205,$AQ$17:$AQ$219,"&gt;"&amp;AQ205)+COUNTIFS($G$17:G205,"入池",$AS$17:AS205,AS205,$AQ$17:AQ205,AQ205))</x:f>
        <x:v>69</x:v>
      </x:c>
      <x:c r="AU205" s="41" t="str">
        <x:f t="shared" si="7">IF(NOT(ISNUMBER(I205)),"管理人规模；","")&amp;IF(J205="","产品规模标识；","")&amp;IF(AND(F205&lt;3,NOT(ISNUMBER(O205))),"R_incep；","")&amp;IF(NOT(ISNUMBER(N205)),"近三年收益；","")&amp;IF(NOT(ISNUMBER(U205)),"近三年胜率；","")&amp;IF(AND(ISNUMBER(V205),OR(V205&lt;0,V205&gt;1)),"胜率窗口口径不一致；","")&amp;IF(NOT(ISNUMBER(AA205)),"近三年回撤；","")&amp;IF(NOT(ISNUMBER(AD205)),"短期卡玛；","")&amp;IF(AND(ISNUMBER(P205),NOT(ISNUMBER(AE205))),"DD_long不可识别；","")</x:f>
        <x:v>DD_long不可识别；</x:v>
      </x:c>
      <x:c r="AV205" s="42" t="n">
        <x:v>10</x:v>
      </x:c>
      <x:c r="AW205" s="19" t="str">
        <x:v>上海慕途私募基金管理有限公司</x:v>
      </x:c>
      <x:c r="AX205" s="19" t="str">
        <x:v>2026-06-12</x:v>
      </x:c>
      <x:c r="AY205" s="19" t="str">
        <x:v>https://gs.amac.org.cn/amac-infodisc/res/pof/manager/2106221238106983.html</x:v>
      </x:c>
      <x:c r="AZ205" s="19" t="str">
        <x:v>慕途基本面量化2号私募证券投资基金</x:v>
      </x:c>
      <x:c r="BA205" s="19" t="str">
        <x:v>2026-07-22</x:v>
      </x:c>
      <x:c r="BB205" s="19"/>
      <x:c r="BC205" s="19" t="str">
        <x:v>https://gs.amac.org.cn/amac-infodisc/res/pof/fund/2309061045105511.html</x:v>
      </x:c>
      <x:c r="BD205" s="19" t="str">
        <x:v>已匹配</x:v>
      </x:c>
      <x:c r="BE205"/>
      <x:c r="BF205"/>
    </x:row>
    <x:row r="206" ht="28" customHeight="1">
      <x:c r="A206" s="4" t="n">
        <x:v>190</x:v>
      </x:c>
      <x:c r="B206" s="15" t="str">
        <x:f>'sheet4-原始数据'!A191</x:f>
        <x:v>兆信股指期货期权套利1号A类</x:v>
      </x:c>
      <x:c r="C206" s="15" t="str">
        <x:f>'sheet4-原始数据'!B191</x:f>
        <x:v>XN023A</x:v>
      </x:c>
      <x:c r="D206" s="15" t="str">
        <x:f>'sheet4-原始数据'!E191</x:f>
        <x:v>江苏兆信</x:v>
      </x:c>
      <x:c r="E206" s="32" t="n">
        <x:f>IF(ISNUMBER('sheet4-原始数据'!F191),'sheet4-原始数据'!F191,"")</x:f>
        <x:v>44847</x:v>
      </x:c>
      <x:c r="F206" s="17" t="n">
        <x:f>IF(NOT(ISNUMBER(E206)),"",ROUND(('sheet1-指标体系'!$J$23-E206)/365.25,4))</x:f>
        <x:v>3.9261</x:v>
      </x:c>
      <x:c r="G206" s="4" t="str">
        <x:f t="shared" si="6">IF(NOT(ISNUMBER(F206)),"",IF(F206&lt;1,"不入池","入池"))</x:f>
        <x:v>入池</x:v>
      </x:c>
      <x:c r="H206" s="33" t="str">
        <x:v>20-50亿元</x:v>
      </x:c>
      <x:c r="I206" s="17" t="n">
        <x:f>IF(H206="","",IF(ISNUMBER(SEARCH("100亿元以上",H206)),100,IF(OR(ISNUMBER(SEARCH("20-50",H206)),ISNUMBER(SEARCH("50-100",H206)),ISNUMBER(SEARCH("20-100",H206))),90,IF(ISNUMBER(SEARCH("10-20",H206)),80,IF(ISNUMBER(SEARCH("5-10",H206)),70,IF(ISNUMBER(SEARCH("0-5",H206)),60,""))))))</x:f>
        <x:v>90</x:v>
      </x:c>
      <x:c r="J206" s="34"/>
      <x:c r="K206" s="17" t="str">
        <x:f>IF(J206="","",IF(J206="低于1000万元",0,100))</x:f>
      </x:c>
      <x:c r="L206" s="17" t="n">
        <x:f>IF(NOT(ISNUMBER(F206)),"",IF(F206&lt;1,"",IF(F206&lt;3,70,100)))</x:f>
        <x:v>100</x:v>
      </x:c>
      <x:c r="M206" s="35" t="n">
        <x:f>IF(ISNUMBER('sheet4-原始数据'!G191),'sheet4-原始数据'!G191,"")</x:f>
        <x:v>0.04019999999999999</x:v>
      </x:c>
      <x:c r="N206" s="35" t="n">
        <x:f>IF(ISNUMBER('sheet4-原始数据'!H191),'sheet4-原始数据'!H191,"")</x:f>
        <x:v>0.08259999999999999</x:v>
      </x:c>
      <x:c r="O206" s="36" t="str">
        <x:f>IF(ISNUMBER('sheet4-原始数据'!Q191),'sheet4-原始数据'!Q191,"")</x:f>
      </x:c>
      <x:c r="P206" s="37" t="n">
        <x:f>IF($G206&lt;&gt;"入池","",IF($F206&gt;=3,IF(OR(NOT(ISNUMBER($M206)),NOT(ISNUMBER($N206)),1+$M206&lt;=0,1+$N206&lt;0),"",((1+$N206)^3/(1+$M206))^(1/2)-1),IF(OR($F206&lt;=1,NOT(ISNUMBER($M206)),NOT(ISNUMBER($O206)),1+$M206&lt;=0,1+$O206&lt;0),"",((1+$O206)^$F206/(1+$M206))^(1/($F206-1))-1)))</x:f>
        <x:v>0.10444376914361464</x:v>
      </x:c>
      <x:c r="Q206" s="17" t="n">
        <x:f>IF(OR($G206&lt;&gt;"入池",NOT(ISNUMBER(M206))),"",IF(COUNTIFS($G$17:$G$219,"入池",$M$17:$M$219,"&gt;=-1E+307",$M$17:$M$219,"&lt;=1E+307")&lt;=1,100,ROUND(100*(COUNTIFS($G$17:$G$219,"入池",$M$17:$M$219,"&gt;=-1E+307",$M$17:$M$219,"&lt;"&amp;M206)+COUNTIFS($G$17:$G$219,"入池",$M$17:$M$219,M206,$M$17:$M$219,"&gt;=-1E+307",$M$17:$M$219,"&lt;=1E+307")/2-0.5)/(COUNTIFS($G$17:$G$219,"入池",$M$17:$M$219,"&gt;=-1E+307",$M$17:$M$219,"&lt;=1E+307")-1),2)))</x:f>
        <x:v>41.58</x:v>
      </x:c>
      <x:c r="R206" s="17" t="n">
        <x:f>IF(OR($G206&lt;&gt;"入池",NOT(ISNUMBER(P206))),"",IF(COUNTIFS($G$17:$G$219,"入池",$P$17:$P$219,"&gt;=-1E+307",$P$17:$P$219,"&lt;=1E+307")&lt;=1,100,ROUND(100*(COUNTIFS($G$17:$G$219,"入池",$P$17:$P$219,"&gt;=-1E+307",$P$17:$P$219,"&lt;"&amp;P206)+COUNTIFS($G$17:$G$219,"入池",$P$17:$P$219,P206,$P$17:$P$219,"&gt;=-1E+307",$P$17:$P$219,"&lt;=1E+307")/2-0.5)/(COUNTIFS($G$17:$G$219,"入池",$P$17:$P$219,"&gt;=-1E+307",$P$17:$P$219,"&lt;=1E+307")-1),2)))</x:f>
        <x:v>74.75</x:v>
      </x:c>
      <x:c r="S206" s="17" t="n">
        <x:f>IF(NOT(ISNUMBER(Q206)),"",IF(NOT(ISNUMBER(R206)),Q206,ROUND(Q206*'sheet1-指标体系'!$J$8+R206*'sheet1-指标体系'!$J$9,2)))</x:f>
        <x:v>54.85</x:v>
      </x:c>
      <x:c r="T206" s="35" t="n">
        <x:f>IF(ISNUMBER('sheet4-原始数据'!J191),'sheet4-原始数据'!J191,"")</x:f>
        <x:v>0.3846</x:v>
      </x:c>
      <x:c r="U206" s="35" t="n">
        <x:f>IF(ISNUMBER('sheet4-原始数据'!I191),'sheet4-原始数据'!I191,"")</x:f>
        <x:v>0.7027</x:v>
      </x:c>
      <x:c r="V206" s="37" t="n">
        <x:f>IF(OR(NOT(ISNUMBER(T206)),NOT(ISNUMBER(U206))),"",(U206*'sheet1-指标体系'!$J$6-T206*'sheet1-指标体系'!$J$5)/'sheet1-指标体系'!$J$7)</x:f>
        <x:v>0.8750041666666667</x:v>
      </x:c>
      <x:c r="W206" s="17" t="n">
        <x:f>IF(NOT(ISNUMBER(T206)),"",T206*100)</x:f>
        <x:v>38.46</x:v>
      </x:c>
      <x:c r="X206" s="17" t="n">
        <x:f>IF($G206&lt;&gt;"入池","",IF(AND(ISNUMBER(V206),V206&gt;=0,V206&lt;=1),V206*100,IF(MAX(0,($F206-1)*12)&lt;6,100,"")))</x:f>
        <x:v>87.50041666666667</x:v>
      </x:c>
      <x:c r="Y206" s="17" t="n">
        <x:f>IF(NOT(ISNUMBER(W206)),"",IF(NOT(ISNUMBER(X206)),W206,ROUND(W206*'sheet1-指标体系'!$J$8+X206*'sheet1-指标体系'!$J$9,2)))</x:f>
        <x:v>58.08</x:v>
      </x:c>
      <x:c r="Z206" s="37" t="n">
        <x:f>IF(OR(NOT(ISNUMBER(M206)),NOT(ISNUMBER(AD206)),AD206=0),"",ABS(M206/AD206))</x:f>
        <x:v>0.037156853683334864</x:v>
      </x:c>
      <x:c r="AA206" s="35" t="n">
        <x:f>IF(ISNUMBER('sheet4-原始数据'!K191),'sheet4-原始数据'!K191,"")</x:f>
        <x:v>0.0405</x:v>
      </x:c>
      <x:c r="AB206" s="37" t="n">
        <x:f>IF(COUNT(Z206:AA206)=0,"",MAX(Z206:AA206))</x:f>
        <x:v>0.0405</x:v>
      </x:c>
      <x:c r="AC206" s="17" t="n">
        <x:f>IF(OR($G206&lt;&gt;"入池",NOT(ISNUMBER(AB206))),"",IF(COUNTIFS($G$17:$G$219,"入池",$AB$17:$AB$219,"&gt;=-1E+307",$AB$17:$AB$219,"&lt;=1E+307")&lt;=1,100,ROUND(100*(COUNTIFS($G$17:$G$219,"入池",$AB$17:$AB$219,"&lt;=1E+307",$AB$17:$AB$219,"&gt;"&amp;AB206)+COUNTIFS($G$17:$G$219,"入池",$AB$17:$AB$219,AB206,$AB$17:$AB$219,"&gt;=-1E+307",$AB$17:$AB$219,"&lt;=1E+307")/2-0.5)/(COUNTIFS($G$17:$G$219,"入池",$AB$17:$AB$219,"&gt;=-1E+307",$AB$17:$AB$219,"&lt;=1E+307")-1),2)))</x:f>
        <x:v>51.49</x:v>
      </x:c>
      <x:c r="AD206" s="38" t="n">
        <x:f>IF(ISNUMBER('sheet4-原始数据'!M191),'sheet4-原始数据'!M191,"")</x:f>
        <x:v>1.0819</x:v>
      </x:c>
      <x:c r="AE206" s="37" t="n">
        <x:f>IF(OR(NOT(ISNUMBER(P206)),NOT(ISNUMBER(AA206)),NOT(ISNUMBER(Z206))),"",IF(AA206&gt;Z206+'sheet1-指标体系'!$J$11,AA206,""))</x:f>
        <x:v>0.0405</x:v>
      </x:c>
      <x:c r="AF206" s="17" t="n">
        <x:f>IF(OR(NOT(ISNUMBER(P206)),NOT(ISNUMBER(AE206)),AE206=0),"",P206/AE206)</x:f>
        <x:v>2.5788584973732007</x:v>
      </x:c>
      <x:c r="AG206" s="17" t="n">
        <x:f>IF(OR($G206&lt;&gt;"入池",NOT(ISNUMBER(AD206))),"",IF(COUNTIFS($G$17:$G$219,"入池",$AD$17:$AD$219,"&gt;=-1E+307",$AD$17:$AD$219,"&lt;=1E+307")&lt;=1,100,ROUND(100*(COUNTIFS($G$17:$G$219,"入池",$AD$17:$AD$219,"&gt;=-1E+307",$AD$17:$AD$219,"&lt;"&amp;AD206)+COUNTIFS($G$17:$G$219,"入池",$AD$17:$AD$219,AD206,$AD$17:$AD$219,"&gt;=-1E+307",$AD$17:$AD$219,"&lt;=1E+307")/2-0.5)/(COUNTIFS($G$17:$G$219,"入池",$AD$17:$AD$219,"&gt;=-1E+307",$AD$17:$AD$219,"&lt;=1E+307")-1),2)))</x:f>
        <x:v>35.32</x:v>
      </x:c>
      <x:c r="AH206" s="17" t="n">
        <x:f>IF(OR($G206&lt;&gt;"入池",NOT(ISNUMBER(AF206))),"",IF(COUNTIFS($G$17:$G$219,"入池",$AF$17:$AF$219,"&gt;=-1E+307",$AF$17:$AF$219,"&lt;=1E+307")&lt;=1,100,ROUND(100*(COUNTIFS($G$17:$G$219,"入池",$AF$17:$AF$219,"&gt;=-1E+307",$AF$17:$AF$219,"&lt;"&amp;AF206)+COUNTIFS($G$17:$G$219,"入池",$AF$17:$AF$219,AF206,$AF$17:$AF$219,"&gt;=-1E+307",$AF$17:$AF$219,"&lt;=1E+307")/2-0.5)/(COUNTIFS($G$17:$G$219,"入池",$AF$17:$AF$219,"&gt;=-1E+307",$AF$17:$AF$219,"&lt;=1E+307")-1),2)))</x:f>
        <x:v>71.53</x:v>
      </x:c>
      <x:c r="AI206" s="17" t="n">
        <x:f>IF(NOT(ISNUMBER(AG206)),"",IF(NOT(ISNUMBER(AH206)),AG206,ROUND(AG206*'sheet1-指标体系'!$J$8+AH206*'sheet1-指标体系'!$J$9,2)))</x:f>
        <x:v>49.8</x:v>
      </x:c>
      <x:c r="AJ206" s="37" t="n">
        <x:f>IF(NOT(ISNUMBER(F206)),"",IF(F206&gt;=3,IF(NOT(ISNUMBER(N206)),"",N206),IF(NOT(ISNUMBER(O206)),"",O206)))</x:f>
        <x:v>0.08259999999999999</x:v>
      </x:c>
      <x:c r="AK206" s="17" t="n">
        <x:f>IF(OR(G206&lt;&gt;"入池",NOT(ISNUMBER(M206)),NOT(ISNUMBER(AJ206))),"",IF(M206&gt;=AJ206,100,IF(AJ206-M206&lt;'sheet1-指标体系'!$J$10,80,60)))</x:f>
        <x:v>80</x:v>
      </x:c>
      <x:c r="AL206" s="17" t="n">
        <x:f>IF(COUNT(I206,K206,L206)=0,"",ROUND((IF(ISNUMBER(I206),I206*40%,0)+IF(ISNUMBER(K206),K206*30%,0)+IF(ISNUMBER(L206),L206*30%,0))/(IF(ISNUMBER(I206),40%,0)+IF(ISNUMBER(K206),30%,0)+IF(ISNUMBER(L206),30%,0)),2))</x:f>
        <x:v>94.29</x:v>
      </x:c>
      <x:c r="AM206" s="17" t="n">
        <x:f>IF(COUNT(Q206,R206,W206,X206)=0,"",ROUND((IF(ISNUMBER(Q206),Q206*42%,0)+IF(ISNUMBER(R206),R206*28%,0)+IF(ISNUMBER(W206),W206*18%,0)+IF(ISNUMBER(X206),X206*12%,0))/(IF(ISNUMBER(Q206),42%,0)+IF(ISNUMBER(R206),28%,0)+IF(ISNUMBER(W206),18%,0)+IF(ISNUMBER(X206),12%,0)),2))</x:f>
        <x:v>55.82</x:v>
      </x:c>
      <x:c r="AN206" s="17" t="n">
        <x:f>IF(ISNUMBER(AC206),AC206,"")</x:f>
        <x:v>51.49</x:v>
      </x:c>
      <x:c r="AO206" s="17" t="n">
        <x:f>IF(COUNT(AG206,AH206)=0,"",ROUND((IF(ISNUMBER(AG206),AG206*60%,0)+IF(ISNUMBER(AH206),AH206*40%,0))/(IF(ISNUMBER(AG206),60%,0)+IF(ISNUMBER(AH206),40%,0)),2))</x:f>
        <x:v>49.8</x:v>
      </x:c>
      <x:c r="AP206" s="17" t="n">
        <x:f>IF(ISNUMBER(AK206),AK206,"")</x:f>
        <x:v>80</x:v>
      </x:c>
      <x:c r="AQ206" s="39" t="n">
        <x:f>IF(G206&lt;&gt;"入池",0,IF(ISNUMBER(I206),6%,0)+IF(ISNUMBER(K206),4.5%,0)+IF(ISNUMBER(L206),4.5%,0)+IF(ISNUMBER(Q206),8.4%,0)+IF(ISNUMBER(R206),5.6%,0)+IF(ISNUMBER(W206),3.6%,0)+IF(ISNUMBER(X206),2.4%,0)+IF(ISNUMBER(AC206),25%,0)+IF(ISNUMBER(AG206),18%,0)+IF(ISNUMBER(AH206),12%,0)+IF(ISNUMBER(AK206),10%,0))</x:f>
        <x:v>0.9550000000000001</x:v>
      </x:c>
      <x:c r="AR206" s="17" t="n">
        <x:f>IF(AQ206=0,"",IF(ISNUMBER(I206),I206*6%,0)+IF(ISNUMBER(K206),K206*4.5%,0)+IF(ISNUMBER(L206),L206*4.5%,0)+IF(ISNUMBER(Q206),Q206*8.4%,0)+IF(ISNUMBER(R206),R206*5.6%,0)+IF(ISNUMBER(W206),W206*3.6%,0)+IF(ISNUMBER(X206),X206*2.4%,0)+IF(ISNUMBER(AC206),AC206*25%,0)+IF(ISNUMBER(AG206),AG206*18%,0)+IF(ISNUMBER(AH206),AH206*12%,0)+IF(ISNUMBER(AK206),AK206*10%,0))</x:f>
        <x:v>56.87698999999999</x:v>
      </x:c>
      <x:c r="AS206" s="17" t="n">
        <x:f>IF(AQ206=0,"",ROUND(AR206/AQ206,2))</x:f>
        <x:v>59.56</x:v>
      </x:c>
      <x:c r="AT206" s="40" t="n">
        <x:f>IF(OR(G206&lt;&gt;"入池",NOT(ISNUMBER(AS206))),"",COUNTIFS($G$17:$G$219,"入池",$AS$17:$AS$219,"&gt;"&amp;AS206)+COUNTIFS($G$17:$G$219,"入池",$AS$17:$AS$219,AS206,$AQ$17:$AQ$219,"&gt;"&amp;AQ206)+COUNTIFS($G$17:G206,"入池",$AS$17:AS206,AS206,$AQ$17:AQ206,AQ206))</x:f>
        <x:v>111</x:v>
      </x:c>
      <x:c r="AU206" s="41" t="str">
        <x:f t="shared" si="7">IF(NOT(ISNUMBER(I206)),"管理人规模；","")&amp;IF(J206="","产品规模标识；","")&amp;IF(AND(F206&lt;3,NOT(ISNUMBER(O206))),"R_incep；","")&amp;IF(NOT(ISNUMBER(N206)),"近三年收益；","")&amp;IF(NOT(ISNUMBER(U206)),"近三年胜率；","")&amp;IF(AND(ISNUMBER(V206),OR(V206&lt;0,V206&gt;1)),"胜率窗口口径不一致；","")&amp;IF(NOT(ISNUMBER(AA206)),"近三年回撤；","")&amp;IF(NOT(ISNUMBER(AD206)),"短期卡玛；","")&amp;IF(AND(ISNUMBER(P206),NOT(ISNUMBER(AE206))),"DD_long不可识别；","")</x:f>
        <x:v>产品规模标识；</x:v>
      </x:c>
      <x:c r="AV206" s="42" t="n">
        <x:v>20</x:v>
      </x:c>
      <x:c r="AW206" s="19" t="str">
        <x:v>江苏兆信私募基金管理有限公司</x:v>
      </x:c>
      <x:c r="AX206" s="19" t="str">
        <x:v>2026-04-17</x:v>
      </x:c>
      <x:c r="AY206" s="19" t="str">
        <x:v>https://gs.amac.org.cn/amac-infodisc/res/pof/manager/101000002312.html</x:v>
      </x:c>
      <x:c r="AZ206" s="19"/>
      <x:c r="BA206" s="19"/>
      <x:c r="BB206" s="19"/>
      <x:c r="BC206" s="19"/>
      <x:c r="BD206" s="19" t="str">
        <x:v>基金页未匹配；管理人已核验</x:v>
      </x:c>
      <x:c r="BE206"/>
      <x:c r="BF206"/>
    </x:row>
    <x:row r="207" ht="28" customHeight="1">
      <x:c r="A207" s="4" t="n">
        <x:v>191</x:v>
      </x:c>
      <x:c r="B207" s="15" t="str">
        <x:f>'sheet4-原始数据'!A192</x:f>
        <x:v>溋沣鸿运来星选1号B类</x:v>
      </x:c>
      <x:c r="C207" s="15" t="str">
        <x:f>'sheet4-原始数据'!B192</x:f>
        <x:v>09408B</x:v>
      </x:c>
      <x:c r="D207" s="15" t="str">
        <x:f>'sheet4-原始数据'!E192</x:f>
        <x:v>深圳前海溋沣资管</x:v>
      </x:c>
      <x:c r="E207" s="32" t="n">
        <x:f>IF(ISNUMBER('sheet4-原始数据'!F192),'sheet4-原始数据'!F192,"")</x:f>
        <x:v>45061</x:v>
      </x:c>
      <x:c r="F207" s="17" t="n">
        <x:f>IF(NOT(ISNUMBER(E207)),"",ROUND(('sheet1-指标体系'!$J$23-E207)/365.25,4))</x:f>
        <x:v>3.3402</x:v>
      </x:c>
      <x:c r="G207" s="4" t="str">
        <x:f t="shared" si="6">IF(NOT(ISNUMBER(F207)),"",IF(F207&lt;1,"不入池","入池"))</x:f>
        <x:v>入池</x:v>
      </x:c>
      <x:c r="H207" s="33" t="str">
        <x:v>0-5亿元</x:v>
      </x:c>
      <x:c r="I207" s="17" t="n">
        <x:f>IF(H207="","",IF(ISNUMBER(SEARCH("100亿元以上",H207)),100,IF(OR(ISNUMBER(SEARCH("20-50",H207)),ISNUMBER(SEARCH("50-100",H207)),ISNUMBER(SEARCH("20-100",H207))),90,IF(ISNUMBER(SEARCH("10-20",H207)),80,IF(ISNUMBER(SEARCH("5-10",H207)),70,IF(ISNUMBER(SEARCH("0-5",H207)),60,""))))))</x:f>
        <x:v>60</x:v>
      </x:c>
      <x:c r="J207" s="34"/>
      <x:c r="K207" s="17" t="str">
        <x:f>IF(J207="","",IF(J207="低于1000万元",0,100))</x:f>
      </x:c>
      <x:c r="L207" s="17" t="n">
        <x:f>IF(NOT(ISNUMBER(F207)),"",IF(F207&lt;1,"",IF(F207&lt;3,70,100)))</x:f>
        <x:v>100</x:v>
      </x:c>
      <x:c r="M207" s="35" t="n">
        <x:f>IF(ISNUMBER('sheet4-原始数据'!G192),'sheet4-原始数据'!G192,"")</x:f>
        <x:v>0.0785</x:v>
      </x:c>
      <x:c r="N207" s="35" t="n">
        <x:f>IF(ISNUMBER('sheet4-原始数据'!H192),'sheet4-原始数据'!H192,"")</x:f>
        <x:v>0.0441</x:v>
      </x:c>
      <x:c r="O207" s="36" t="str">
        <x:f>IF(ISNUMBER('sheet4-原始数据'!Q192),'sheet4-原始数据'!Q192,"")</x:f>
      </x:c>
      <x:c r="P207" s="37" t="n">
        <x:f>IF($G207&lt;&gt;"入池","",IF($F207&gt;=3,IF(OR(NOT(ISNUMBER($M207)),NOT(ISNUMBER($N207)),1+$M207&lt;=0,1+$N207&lt;0),"",((1+$N207)^3/(1+$M207))^(1/2)-1),IF(OR($F207&lt;=1,NOT(ISNUMBER($M207)),NOT(ISNUMBER($O207)),1+$M207&lt;=0,1+$O207&lt;0),"",((1+$O207)^$F207/(1+$M207))^(1/($F207-1))-1)))</x:f>
        <x:v>0.027313674283319767</x:v>
      </x:c>
      <x:c r="Q207" s="17" t="n">
        <x:f>IF(OR($G207&lt;&gt;"入池",NOT(ISNUMBER(M207))),"",IF(COUNTIFS($G$17:$G$219,"入池",$M$17:$M$219,"&gt;=-1E+307",$M$17:$M$219,"&lt;=1E+307")&lt;=1,100,ROUND(100*(COUNTIFS($G$17:$G$219,"入池",$M$17:$M$219,"&gt;=-1E+307",$M$17:$M$219,"&lt;"&amp;M207)+COUNTIFS($G$17:$G$219,"入池",$M$17:$M$219,M207,$M$17:$M$219,"&gt;=-1E+307",$M$17:$M$219,"&lt;=1E+307")/2-0.5)/(COUNTIFS($G$17:$G$219,"入池",$M$17:$M$219,"&gt;=-1E+307",$M$17:$M$219,"&lt;=1E+307")-1),2)))</x:f>
        <x:v>70.3</x:v>
      </x:c>
      <x:c r="R207" s="17" t="n">
        <x:f>IF(OR($G207&lt;&gt;"入池",NOT(ISNUMBER(P207))),"",IF(COUNTIFS($G$17:$G$219,"入池",$P$17:$P$219,"&gt;=-1E+307",$P$17:$P$219,"&lt;=1E+307")&lt;=1,100,ROUND(100*(COUNTIFS($G$17:$G$219,"入池",$P$17:$P$219,"&gt;=-1E+307",$P$17:$P$219,"&lt;"&amp;P207)+COUNTIFS($G$17:$G$219,"入池",$P$17:$P$219,P207,$P$17:$P$219,"&gt;=-1E+307",$P$17:$P$219,"&lt;=1E+307")/2-0.5)/(COUNTIFS($G$17:$G$219,"入池",$P$17:$P$219,"&gt;=-1E+307",$P$17:$P$219,"&lt;=1E+307")-1),2)))</x:f>
        <x:v>13.86</x:v>
      </x:c>
      <x:c r="S207" s="17" t="n">
        <x:f>IF(NOT(ISNUMBER(Q207)),"",IF(NOT(ISNUMBER(R207)),Q207,ROUND(Q207*'sheet1-指标体系'!$J$8+R207*'sheet1-指标体系'!$J$9,2)))</x:f>
        <x:v>47.72</x:v>
      </x:c>
      <x:c r="T207" s="35" t="n">
        <x:f>IF(ISNUMBER('sheet4-原始数据'!J192),'sheet4-原始数据'!J192,"")</x:f>
        <x:v>0.7692</x:v>
      </x:c>
      <x:c r="U207" s="35" t="n">
        <x:f>IF(ISNUMBER('sheet4-原始数据'!I192),'sheet4-原始数据'!I192,"")</x:f>
        <x:v>0.8108</x:v>
      </x:c>
      <x:c r="V207" s="37" t="n">
        <x:f>IF(OR(NOT(ISNUMBER(T207)),NOT(ISNUMBER(U207))),"",(U207*'sheet1-指标体系'!$J$6-T207*'sheet1-指标体系'!$J$5)/'sheet1-指标体系'!$J$7)</x:f>
        <x:v>0.8333333333333334</x:v>
      </x:c>
      <x:c r="W207" s="17" t="n">
        <x:f>IF(NOT(ISNUMBER(T207)),"",T207*100)</x:f>
        <x:v>76.92</x:v>
      </x:c>
      <x:c r="X207" s="17" t="n">
        <x:f>IF($G207&lt;&gt;"入池","",IF(AND(ISNUMBER(V207),V207&gt;=0,V207&lt;=1),V207*100,IF(MAX(0,($F207-1)*12)&lt;6,100,"")))</x:f>
        <x:v>83.33333333333334</x:v>
      </x:c>
      <x:c r="Y207" s="17" t="n">
        <x:f>IF(NOT(ISNUMBER(W207)),"",IF(NOT(ISNUMBER(X207)),W207,ROUND(W207*'sheet1-指标体系'!$J$8+X207*'sheet1-指标体系'!$J$9,2)))</x:f>
        <x:v>79.49</x:v>
      </x:c>
      <x:c r="Z207" s="37" t="n">
        <x:f>IF(OR(NOT(ISNUMBER(M207)),NOT(ISNUMBER(AD207)),AD207=0),"",ABS(M207/AD207))</x:f>
        <x:v>0.023594121006281745</x:v>
      </x:c>
      <x:c r="AA207" s="35" t="n">
        <x:f>IF(ISNUMBER('sheet4-原始数据'!K192),'sheet4-原始数据'!K192,"")</x:f>
        <x:v>0.0258</x:v>
      </x:c>
      <x:c r="AB207" s="37" t="n">
        <x:f>IF(COUNT(Z207:AA207)=0,"",MAX(Z207:AA207))</x:f>
        <x:v>0.0258</x:v>
      </x:c>
      <x:c r="AC207" s="17" t="n">
        <x:f>IF(OR($G207&lt;&gt;"入池",NOT(ISNUMBER(AB207))),"",IF(COUNTIFS($G$17:$G$219,"入池",$AB$17:$AB$219,"&gt;=-1E+307",$AB$17:$AB$219,"&lt;=1E+307")&lt;=1,100,ROUND(100*(COUNTIFS($G$17:$G$219,"入池",$AB$17:$AB$219,"&lt;=1E+307",$AB$17:$AB$219,"&gt;"&amp;AB207)+COUNTIFS($G$17:$G$219,"入池",$AB$17:$AB$219,AB207,$AB$17:$AB$219,"&gt;=-1E+307",$AB$17:$AB$219,"&lt;=1E+307")/2-0.5)/(COUNTIFS($G$17:$G$219,"入池",$AB$17:$AB$219,"&gt;=-1E+307",$AB$17:$AB$219,"&lt;=1E+307")-1),2)))</x:f>
        <x:v>65.35</x:v>
      </x:c>
      <x:c r="AD207" s="38" t="n">
        <x:f>IF(ISNUMBER('sheet4-原始数据'!M192),'sheet4-原始数据'!M192,"")</x:f>
        <x:v>3.3271</x:v>
      </x:c>
      <x:c r="AE207" s="37" t="n">
        <x:f>IF(OR(NOT(ISNUMBER(P207)),NOT(ISNUMBER(AA207)),NOT(ISNUMBER(Z207))),"",IF(AA207&gt;Z207+'sheet1-指标体系'!$J$11,AA207,""))</x:f>
        <x:v>0.0258</x:v>
      </x:c>
      <x:c r="AF207" s="17" t="n">
        <x:f>IF(OR(NOT(ISNUMBER(P207)),NOT(ISNUMBER(AE207)),AE207=0),"",P207/AE207)</x:f>
        <x:v>1.0586695458651072</x:v>
      </x:c>
      <x:c r="AG207" s="17" t="n">
        <x:f>IF(OR($G207&lt;&gt;"入池",NOT(ISNUMBER(AD207))),"",IF(COUNTIFS($G$17:$G$219,"入池",$AD$17:$AD$219,"&gt;=-1E+307",$AD$17:$AD$219,"&lt;=1E+307")&lt;=1,100,ROUND(100*(COUNTIFS($G$17:$G$219,"入池",$AD$17:$AD$219,"&gt;=-1E+307",$AD$17:$AD$219,"&lt;"&amp;AD207)+COUNTIFS($G$17:$G$219,"入池",$AD$17:$AD$219,AD207,$AD$17:$AD$219,"&gt;=-1E+307",$AD$17:$AD$219,"&lt;=1E+307")/2-0.5)/(COUNTIFS($G$17:$G$219,"入池",$AD$17:$AD$219,"&gt;=-1E+307",$AD$17:$AD$219,"&lt;=1E+307")-1),2)))</x:f>
        <x:v>55.22</x:v>
      </x:c>
      <x:c r="AH207" s="17" t="n">
        <x:f>IF(OR($G207&lt;&gt;"入池",NOT(ISNUMBER(AF207))),"",IF(COUNTIFS($G$17:$G$219,"入池",$AF$17:$AF$219,"&gt;=-1E+307",$AF$17:$AF$219,"&lt;=1E+307")&lt;=1,100,ROUND(100*(COUNTIFS($G$17:$G$219,"入池",$AF$17:$AF$219,"&gt;=-1E+307",$AF$17:$AF$219,"&lt;"&amp;AF207)+COUNTIFS($G$17:$G$219,"入池",$AF$17:$AF$219,AF207,$AF$17:$AF$219,"&gt;=-1E+307",$AF$17:$AF$219,"&lt;=1E+307")/2-0.5)/(COUNTIFS($G$17:$G$219,"入池",$AF$17:$AF$219,"&gt;=-1E+307",$AF$17:$AF$219,"&lt;=1E+307")-1),2)))</x:f>
        <x:v>42.34</x:v>
      </x:c>
      <x:c r="AI207" s="17" t="n">
        <x:f>IF(NOT(ISNUMBER(AG207)),"",IF(NOT(ISNUMBER(AH207)),AG207,ROUND(AG207*'sheet1-指标体系'!$J$8+AH207*'sheet1-指标体系'!$J$9,2)))</x:f>
        <x:v>50.07</x:v>
      </x:c>
      <x:c r="AJ207" s="37" t="n">
        <x:f>IF(NOT(ISNUMBER(F207)),"",IF(F207&gt;=3,IF(NOT(ISNUMBER(N207)),"",N207),IF(NOT(ISNUMBER(O207)),"",O207)))</x:f>
        <x:v>0.0441</x:v>
      </x:c>
      <x:c r="AK207" s="17" t="n">
        <x:f>IF(OR(G207&lt;&gt;"入池",NOT(ISNUMBER(M207)),NOT(ISNUMBER(AJ207))),"",IF(M207&gt;=AJ207,100,IF(AJ207-M207&lt;'sheet1-指标体系'!$J$10,80,60)))</x:f>
        <x:v>100</x:v>
      </x:c>
      <x:c r="AL207" s="17" t="n">
        <x:f>IF(COUNT(I207,K207,L207)=0,"",ROUND((IF(ISNUMBER(I207),I207*40%,0)+IF(ISNUMBER(K207),K207*30%,0)+IF(ISNUMBER(L207),L207*30%,0))/(IF(ISNUMBER(I207),40%,0)+IF(ISNUMBER(K207),30%,0)+IF(ISNUMBER(L207),30%,0)),2))</x:f>
        <x:v>77.14</x:v>
      </x:c>
      <x:c r="AM207" s="17" t="n">
        <x:f>IF(COUNT(Q207,R207,W207,X207)=0,"",ROUND((IF(ISNUMBER(Q207),Q207*42%,0)+IF(ISNUMBER(R207),R207*28%,0)+IF(ISNUMBER(W207),W207*18%,0)+IF(ISNUMBER(X207),X207*12%,0))/(IF(ISNUMBER(Q207),42%,0)+IF(ISNUMBER(R207),28%,0)+IF(ISNUMBER(W207),18%,0)+IF(ISNUMBER(X207),12%,0)),2))</x:f>
        <x:v>57.25</x:v>
      </x:c>
      <x:c r="AN207" s="17" t="n">
        <x:f>IF(ISNUMBER(AC207),AC207,"")</x:f>
        <x:v>65.35</x:v>
      </x:c>
      <x:c r="AO207" s="17" t="n">
        <x:f>IF(COUNT(AG207,AH207)=0,"",ROUND((IF(ISNUMBER(AG207),AG207*60%,0)+IF(ISNUMBER(AH207),AH207*40%,0))/(IF(ISNUMBER(AG207),60%,0)+IF(ISNUMBER(AH207),40%,0)),2))</x:f>
        <x:v>50.07</x:v>
      </x:c>
      <x:c r="AP207" s="17" t="n">
        <x:f>IF(ISNUMBER(AK207),AK207,"")</x:f>
        <x:v>100</x:v>
      </x:c>
      <x:c r="AQ207" s="39" t="n">
        <x:f>IF(G207&lt;&gt;"入池",0,IF(ISNUMBER(I207),6%,0)+IF(ISNUMBER(K207),4.5%,0)+IF(ISNUMBER(L207),4.5%,0)+IF(ISNUMBER(Q207),8.4%,0)+IF(ISNUMBER(R207),5.6%,0)+IF(ISNUMBER(W207),3.6%,0)+IF(ISNUMBER(X207),2.4%,0)+IF(ISNUMBER(AC207),25%,0)+IF(ISNUMBER(AG207),18%,0)+IF(ISNUMBER(AH207),12%,0)+IF(ISNUMBER(AK207),10%,0))</x:f>
        <x:v>0.9550000000000001</x:v>
      </x:c>
      <x:c r="AR207" s="17" t="n">
        <x:f>IF(AQ207=0,"",IF(ISNUMBER(I207),I207*6%,0)+IF(ISNUMBER(K207),K207*4.5%,0)+IF(ISNUMBER(L207),L207*4.5%,0)+IF(ISNUMBER(Q207),Q207*8.4%,0)+IF(ISNUMBER(R207),R207*5.6%,0)+IF(ISNUMBER(W207),W207*3.6%,0)+IF(ISNUMBER(X207),X207*2.4%,0)+IF(ISNUMBER(AC207),AC207*25%,0)+IF(ISNUMBER(AG207),AG207*18%,0)+IF(ISNUMBER(AH207),AH207*12%,0)+IF(ISNUMBER(AK207),AK207*10%,0))</x:f>
        <x:v>60.908379999999994</x:v>
      </x:c>
      <x:c r="AS207" s="17" t="n">
        <x:f>IF(AQ207=0,"",ROUND(AR207/AQ207,2))</x:f>
        <x:v>63.78</x:v>
      </x:c>
      <x:c r="AT207" s="40" t="n">
        <x:f>IF(OR(G207&lt;&gt;"入池",NOT(ISNUMBER(AS207))),"",COUNTIFS($G$17:$G$219,"入池",$AS$17:$AS$219,"&gt;"&amp;AS207)+COUNTIFS($G$17:$G$219,"入池",$AS$17:$AS$219,AS207,$AQ$17:$AQ$219,"&gt;"&amp;AQ207)+COUNTIFS($G$17:G207,"入池",$AS$17:AS207,AS207,$AQ$17:AQ207,AQ207))</x:f>
        <x:v>96</x:v>
      </x:c>
      <x:c r="AU207" s="41" t="str">
        <x:f t="shared" si="7">IF(NOT(ISNUMBER(I207)),"管理人规模；","")&amp;IF(J207="","产品规模标识；","")&amp;IF(AND(F207&lt;3,NOT(ISNUMBER(O207))),"R_incep；","")&amp;IF(NOT(ISNUMBER(N207)),"近三年收益；","")&amp;IF(NOT(ISNUMBER(U207)),"近三年胜率；","")&amp;IF(AND(ISNUMBER(V207),OR(V207&lt;0,V207&gt;1)),"胜率窗口口径不一致；","")&amp;IF(NOT(ISNUMBER(AA207)),"近三年回撤；","")&amp;IF(NOT(ISNUMBER(AD207)),"短期卡玛；","")&amp;IF(AND(ISNUMBER(P207),NOT(ISNUMBER(AE207))),"DD_long不可识别；","")</x:f>
        <x:v>产品规模标识；</x:v>
      </x:c>
      <x:c r="AV207" s="42" t="n">
        <x:v>0</x:v>
      </x:c>
      <x:c r="AW207" s="19" t="str">
        <x:v>深圳前海溋沣资本管理有限公司</x:v>
      </x:c>
      <x:c r="AX207" s="19" t="str">
        <x:v>2026-01-06</x:v>
      </x:c>
      <x:c r="AY207" s="19" t="str">
        <x:v>https://gs.amac.org.cn/amac-infodisc/res/pof/manager/1610131040102006.html</x:v>
      </x:c>
      <x:c r="AZ207" s="19"/>
      <x:c r="BA207" s="19"/>
      <x:c r="BB207" s="19"/>
      <x:c r="BC207" s="19"/>
      <x:c r="BD207" s="19" t="str">
        <x:v>基金页未匹配；管理人已核验</x:v>
      </x:c>
      <x:c r="BE207"/>
      <x:c r="BF207"/>
    </x:row>
    <x:row r="208" ht="28" customHeight="1">
      <x:c r="A208" s="4" t="n">
        <x:v>192</x:v>
      </x:c>
      <x:c r="B208" s="15" t="str">
        <x:f>'sheet4-原始数据'!A193</x:f>
        <x:v>岳鑫遥3号A类</x:v>
      </x:c>
      <x:c r="C208" s="15" t="str">
        <x:f>'sheet4-原始数据'!B193</x:f>
        <x:v>XW818A</x:v>
      </x:c>
      <x:c r="D208" s="15" t="str">
        <x:f>'sheet4-原始数据'!E193</x:f>
        <x:v>北京岳鑫遥</x:v>
      </x:c>
      <x:c r="E208" s="32" t="n">
        <x:f>IF(ISNUMBER('sheet4-原始数据'!F193),'sheet4-原始数据'!F193,"")</x:f>
        <x:v>44907</x:v>
      </x:c>
      <x:c r="F208" s="17" t="n">
        <x:f>IF(NOT(ISNUMBER(E208)),"",ROUND(('sheet1-指标体系'!$J$23-E208)/365.25,4))</x:f>
        <x:v>3.7618</x:v>
      </x:c>
      <x:c r="G208" s="4" t="str">
        <x:f t="shared" si="6">IF(NOT(ISNUMBER(F208)),"",IF(F208&lt;1,"不入池","入池"))</x:f>
        <x:v>入池</x:v>
      </x:c>
      <x:c r="H208" s="33" t="str">
        <x:v>5-10亿元</x:v>
      </x:c>
      <x:c r="I208" s="17" t="n">
        <x:f>IF(H208="","",IF(ISNUMBER(SEARCH("100亿元以上",H208)),100,IF(OR(ISNUMBER(SEARCH("20-50",H208)),ISNUMBER(SEARCH("50-100",H208)),ISNUMBER(SEARCH("20-100",H208))),90,IF(ISNUMBER(SEARCH("10-20",H208)),80,IF(ISNUMBER(SEARCH("5-10",H208)),70,IF(ISNUMBER(SEARCH("0-5",H208)),60,""))))))</x:f>
        <x:v>70</x:v>
      </x:c>
      <x:c r="J208" s="34"/>
      <x:c r="K208" s="17" t="str">
        <x:f>IF(J208="","",IF(J208="低于1000万元",0,100))</x:f>
      </x:c>
      <x:c r="L208" s="17" t="n">
        <x:f>IF(NOT(ISNUMBER(F208)),"",IF(F208&lt;1,"",IF(F208&lt;3,70,100)))</x:f>
        <x:v>100</x:v>
      </x:c>
      <x:c r="M208" s="35" t="n">
        <x:f>IF(ISNUMBER('sheet4-原始数据'!G193),'sheet4-原始数据'!G193,"")</x:f>
        <x:v>-0.1536</x:v>
      </x:c>
      <x:c r="N208" s="35" t="n">
        <x:f>IF(ISNUMBER('sheet4-原始数据'!H193),'sheet4-原始数据'!H193,"")</x:f>
        <x:v>0.10679999999999999</x:v>
      </x:c>
      <x:c r="O208" s="36" t="str">
        <x:f>IF(ISNUMBER('sheet4-原始数据'!Q193),'sheet4-原始数据'!Q193,"")</x:f>
      </x:c>
      <x:c r="P208" s="37" t="n">
        <x:f>IF($G208&lt;&gt;"入池","",IF($F208&gt;=3,IF(OR(NOT(ISNUMBER($M208)),NOT(ISNUMBER($N208)),1+$M208&lt;=0,1+$N208&lt;0),"",((1+$N208)^3/(1+$M208))^(1/2)-1),IF(OR($F208&lt;=1,NOT(ISNUMBER($M208)),NOT(ISNUMBER($O208)),1+$M208&lt;=0,1+$O208&lt;0),"",((1+$O208)^$F208/(1+$M208))^(1/($F208-1))-1)))</x:f>
        <x:v>0.26565662965774295</x:v>
      </x:c>
      <x:c r="Q208" s="17" t="n">
        <x:f>IF(OR($G208&lt;&gt;"入池",NOT(ISNUMBER(M208))),"",IF(COUNTIFS($G$17:$G$219,"入池",$M$17:$M$219,"&gt;=-1E+307",$M$17:$M$219,"&lt;=1E+307")&lt;=1,100,ROUND(100*(COUNTIFS($G$17:$G$219,"入池",$M$17:$M$219,"&gt;=-1E+307",$M$17:$M$219,"&lt;"&amp;M208)+COUNTIFS($G$17:$G$219,"入池",$M$17:$M$219,M208,$M$17:$M$219,"&gt;=-1E+307",$M$17:$M$219,"&lt;=1E+307")/2-0.5)/(COUNTIFS($G$17:$G$219,"入池",$M$17:$M$219,"&gt;=-1E+307",$M$17:$M$219,"&lt;=1E+307")-1),2)))</x:f>
        <x:v>2.72</x:v>
      </x:c>
      <x:c r="R208" s="17" t="n">
        <x:f>IF(OR($G208&lt;&gt;"入池",NOT(ISNUMBER(P208))),"",IF(COUNTIFS($G$17:$G$219,"入池",$P$17:$P$219,"&gt;=-1E+307",$P$17:$P$219,"&lt;=1E+307")&lt;=1,100,ROUND(100*(COUNTIFS($G$17:$G$219,"入池",$P$17:$P$219,"&gt;=-1E+307",$P$17:$P$219,"&lt;"&amp;P208)+COUNTIFS($G$17:$G$219,"入池",$P$17:$P$219,P208,$P$17:$P$219,"&gt;=-1E+307",$P$17:$P$219,"&lt;=1E+307")/2-0.5)/(COUNTIFS($G$17:$G$219,"入池",$P$17:$P$219,"&gt;=-1E+307",$P$17:$P$219,"&lt;=1E+307")-1),2)))</x:f>
        <x:v>97.77</x:v>
      </x:c>
      <x:c r="S208" s="17" t="n">
        <x:f>IF(NOT(ISNUMBER(Q208)),"",IF(NOT(ISNUMBER(R208)),Q208,ROUND(Q208*'sheet1-指标体系'!$J$8+R208*'sheet1-指标体系'!$J$9,2)))</x:f>
        <x:v>40.74</x:v>
      </x:c>
      <x:c r="T208" s="35" t="n">
        <x:f>IF(ISNUMBER('sheet4-原始数据'!J193),'sheet4-原始数据'!J193,"")</x:f>
        <x:v>0.5385</x:v>
      </x:c>
      <x:c r="U208" s="35" t="n">
        <x:f>IF(ISNUMBER('sheet4-原始数据'!I193),'sheet4-原始数据'!I193,"")</x:f>
        <x:v>0.7297</x:v>
      </x:c>
      <x:c r="V208" s="37" t="n">
        <x:f>IF(OR(NOT(ISNUMBER(T208)),NOT(ISNUMBER(U208))),"",(U208*'sheet1-指标体系'!$J$6-T208*'sheet1-指标体系'!$J$5)/'sheet1-指标体系'!$J$7)</x:f>
        <x:v>0.8332666666666667</x:v>
      </x:c>
      <x:c r="W208" s="17" t="n">
        <x:f>IF(NOT(ISNUMBER(T208)),"",T208*100)</x:f>
        <x:v>53.849999999999994</x:v>
      </x:c>
      <x:c r="X208" s="17" t="n">
        <x:f>IF($G208&lt;&gt;"入池","",IF(AND(ISNUMBER(V208),V208&gt;=0,V208&lt;=1),V208*100,IF(MAX(0,($F208-1)*12)&lt;6,100,"")))</x:f>
        <x:v>83.32666666666667</x:v>
      </x:c>
      <x:c r="Y208" s="17" t="n">
        <x:f>IF(NOT(ISNUMBER(W208)),"",IF(NOT(ISNUMBER(X208)),W208,ROUND(W208*'sheet1-指标体系'!$J$8+X208*'sheet1-指标体系'!$J$9,2)))</x:f>
        <x:v>65.64</x:v>
      </x:c>
      <x:c r="Z208" s="37" t="n">
        <x:f>IF(OR(NOT(ISNUMBER(M208)),NOT(ISNUMBER(AD208)),AD208=0),"",ABS(M208/AD208))</x:f>
        <x:v>0.32357278281019586</x:v>
      </x:c>
      <x:c r="AA208" s="35" t="n">
        <x:f>IF(ISNUMBER('sheet4-原始数据'!K193),'sheet4-原始数据'!K193,"")</x:f>
        <x:v>0.3236</x:v>
      </x:c>
      <x:c r="AB208" s="37" t="n">
        <x:f>IF(COUNT(Z208:AA208)=0,"",MAX(Z208:AA208))</x:f>
        <x:v>0.3236</x:v>
      </x:c>
      <x:c r="AC208" s="17" t="n">
        <x:f>IF(OR($G208&lt;&gt;"入池",NOT(ISNUMBER(AB208))),"",IF(COUNTIFS($G$17:$G$219,"入池",$AB$17:$AB$219,"&gt;=-1E+307",$AB$17:$AB$219,"&lt;=1E+307")&lt;=1,100,ROUND(100*(COUNTIFS($G$17:$G$219,"入池",$AB$17:$AB$219,"&lt;=1E+307",$AB$17:$AB$219,"&gt;"&amp;AB208)+COUNTIFS($G$17:$G$219,"入池",$AB$17:$AB$219,AB208,$AB$17:$AB$219,"&gt;=-1E+307",$AB$17:$AB$219,"&lt;=1E+307")/2-0.5)/(COUNTIFS($G$17:$G$219,"入池",$AB$17:$AB$219,"&gt;=-1E+307",$AB$17:$AB$219,"&lt;=1E+307")-1),2)))</x:f>
        <x:v>3.22</x:v>
      </x:c>
      <x:c r="AD208" s="38" t="n">
        <x:f>IF(ISNUMBER('sheet4-原始数据'!M193),'sheet4-原始数据'!M193,"")</x:f>
        <x:v>-0.4747</x:v>
      </x:c>
      <x:c r="AE208" s="37" t="str">
        <x:f>IF(OR(NOT(ISNUMBER(P208)),NOT(ISNUMBER(AA208)),NOT(ISNUMBER(Z208))),"",IF(AA208&gt;Z208+'sheet1-指标体系'!$J$11,AA208,""))</x:f>
      </x:c>
      <x:c r="AF208" s="17" t="str">
        <x:f>IF(OR(NOT(ISNUMBER(P208)),NOT(ISNUMBER(AE208)),AE208=0),"",P208/AE208)</x:f>
      </x:c>
      <x:c r="AG208" s="17" t="n">
        <x:f>IF(OR($G208&lt;&gt;"入池",NOT(ISNUMBER(AD208))),"",IF(COUNTIFS($G$17:$G$219,"入池",$AD$17:$AD$219,"&gt;=-1E+307",$AD$17:$AD$219,"&lt;=1E+307")&lt;=1,100,ROUND(100*(COUNTIFS($G$17:$G$219,"入池",$AD$17:$AD$219,"&gt;=-1E+307",$AD$17:$AD$219,"&lt;"&amp;AD208)+COUNTIFS($G$17:$G$219,"入池",$AD$17:$AD$219,AD208,$AD$17:$AD$219,"&gt;=-1E+307",$AD$17:$AD$219,"&lt;=1E+307")/2-0.5)/(COUNTIFS($G$17:$G$219,"入池",$AD$17:$AD$219,"&gt;=-1E+307",$AD$17:$AD$219,"&lt;=1E+307")-1),2)))</x:f>
        <x:v>9.2</x:v>
      </x:c>
      <x:c r="AH208" s="17" t="str">
        <x:f>IF(OR($G208&lt;&gt;"入池",NOT(ISNUMBER(AF208))),"",IF(COUNTIFS($G$17:$G$219,"入池",$AF$17:$AF$219,"&gt;=-1E+307",$AF$17:$AF$219,"&lt;=1E+307")&lt;=1,100,ROUND(100*(COUNTIFS($G$17:$G$219,"入池",$AF$17:$AF$219,"&gt;=-1E+307",$AF$17:$AF$219,"&lt;"&amp;AF208)+COUNTIFS($G$17:$G$219,"入池",$AF$17:$AF$219,AF208,$AF$17:$AF$219,"&gt;=-1E+307",$AF$17:$AF$219,"&lt;=1E+307")/2-0.5)/(COUNTIFS($G$17:$G$219,"入池",$AF$17:$AF$219,"&gt;=-1E+307",$AF$17:$AF$219,"&lt;=1E+307")-1),2)))</x:f>
      </x:c>
      <x:c r="AI208" s="17" t="n">
        <x:f>IF(NOT(ISNUMBER(AG208)),"",IF(NOT(ISNUMBER(AH208)),AG208,ROUND(AG208*'sheet1-指标体系'!$J$8+AH208*'sheet1-指标体系'!$J$9,2)))</x:f>
        <x:v>9.2</x:v>
      </x:c>
      <x:c r="AJ208" s="37" t="n">
        <x:f>IF(NOT(ISNUMBER(F208)),"",IF(F208&gt;=3,IF(NOT(ISNUMBER(N208)),"",N208),IF(NOT(ISNUMBER(O208)),"",O208)))</x:f>
        <x:v>0.10679999999999999</x:v>
      </x:c>
      <x:c r="AK208" s="17" t="n">
        <x:f>IF(OR(G208&lt;&gt;"入池",NOT(ISNUMBER(M208)),NOT(ISNUMBER(AJ208))),"",IF(M208&gt;=AJ208,100,IF(AJ208-M208&lt;'sheet1-指标体系'!$J$10,80,60)))</x:f>
        <x:v>60</x:v>
      </x:c>
      <x:c r="AL208" s="17" t="n">
        <x:f>IF(COUNT(I208,K208,L208)=0,"",ROUND((IF(ISNUMBER(I208),I208*40%,0)+IF(ISNUMBER(K208),K208*30%,0)+IF(ISNUMBER(L208),L208*30%,0))/(IF(ISNUMBER(I208),40%,0)+IF(ISNUMBER(K208),30%,0)+IF(ISNUMBER(L208),30%,0)),2))</x:f>
        <x:v>82.86</x:v>
      </x:c>
      <x:c r="AM208" s="17" t="n">
        <x:f>IF(COUNT(Q208,R208,W208,X208)=0,"",ROUND((IF(ISNUMBER(Q208),Q208*42%,0)+IF(ISNUMBER(R208),R208*28%,0)+IF(ISNUMBER(W208),W208*18%,0)+IF(ISNUMBER(X208),X208*12%,0))/(IF(ISNUMBER(Q208),42%,0)+IF(ISNUMBER(R208),28%,0)+IF(ISNUMBER(W208),18%,0)+IF(ISNUMBER(X208),12%,0)),2))</x:f>
        <x:v>48.21</x:v>
      </x:c>
      <x:c r="AN208" s="17" t="n">
        <x:f>IF(ISNUMBER(AC208),AC208,"")</x:f>
        <x:v>3.22</x:v>
      </x:c>
      <x:c r="AO208" s="17" t="n">
        <x:f>IF(COUNT(AG208,AH208)=0,"",ROUND((IF(ISNUMBER(AG208),AG208*60%,0)+IF(ISNUMBER(AH208),AH208*40%,0))/(IF(ISNUMBER(AG208),60%,0)+IF(ISNUMBER(AH208),40%,0)),2))</x:f>
        <x:v>9.2</x:v>
      </x:c>
      <x:c r="AP208" s="17" t="n">
        <x:f>IF(ISNUMBER(AK208),AK208,"")</x:f>
        <x:v>60</x:v>
      </x:c>
      <x:c r="AQ208" s="39" t="n">
        <x:f>IF(G208&lt;&gt;"入池",0,IF(ISNUMBER(I208),6%,0)+IF(ISNUMBER(K208),4.5%,0)+IF(ISNUMBER(L208),4.5%,0)+IF(ISNUMBER(Q208),8.4%,0)+IF(ISNUMBER(R208),5.6%,0)+IF(ISNUMBER(W208),3.6%,0)+IF(ISNUMBER(X208),2.4%,0)+IF(ISNUMBER(AC208),25%,0)+IF(ISNUMBER(AG208),18%,0)+IF(ISNUMBER(AH208),12%,0)+IF(ISNUMBER(AK208),10%,0))</x:f>
        <x:v>0.8350000000000001</x:v>
      </x:c>
      <x:c r="AR208" s="17" t="n">
        <x:f>IF(AQ208=0,"",IF(ISNUMBER(I208),I208*6%,0)+IF(ISNUMBER(K208),K208*4.5%,0)+IF(ISNUMBER(L208),L208*4.5%,0)+IF(ISNUMBER(Q208),Q208*8.4%,0)+IF(ISNUMBER(R208),R208*5.6%,0)+IF(ISNUMBER(W208),W208*3.6%,0)+IF(ISNUMBER(X208),X208*2.4%,0)+IF(ISNUMBER(AC208),AC208*25%,0)+IF(ISNUMBER(AG208),AG208*18%,0)+IF(ISNUMBER(AH208),AH208*12%,0)+IF(ISNUMBER(AK208),AK208*10%,0))</x:f>
        <x:v>26.803039999999996</x:v>
      </x:c>
      <x:c r="AS208" s="17" t="n">
        <x:f>IF(AQ208=0,"",ROUND(AR208/AQ208,2))</x:f>
        <x:v>32.1</x:v>
      </x:c>
      <x:c r="AT208" s="40" t="n">
        <x:f>IF(OR(G208&lt;&gt;"入池",NOT(ISNUMBER(AS208))),"",COUNTIFS($G$17:$G$219,"入池",$AS$17:$AS$219,"&gt;"&amp;AS208)+COUNTIFS($G$17:$G$219,"入池",$AS$17:$AS$219,AS208,$AQ$17:$AQ$219,"&gt;"&amp;AQ208)+COUNTIFS($G$17:G208,"入池",$AS$17:AS208,AS208,$AQ$17:AQ208,AQ208))</x:f>
        <x:v>188</x:v>
      </x:c>
      <x:c r="AU208" s="41" t="str">
        <x:f t="shared" si="7">IF(NOT(ISNUMBER(I208)),"管理人规模；","")&amp;IF(J208="","产品规模标识；","")&amp;IF(AND(F208&lt;3,NOT(ISNUMBER(O208))),"R_incep；","")&amp;IF(NOT(ISNUMBER(N208)),"近三年收益；","")&amp;IF(NOT(ISNUMBER(U208)),"近三年胜率；","")&amp;IF(AND(ISNUMBER(V208),OR(V208&lt;0,V208&gt;1)),"胜率窗口口径不一致；","")&amp;IF(NOT(ISNUMBER(AA208)),"近三年回撤；","")&amp;IF(NOT(ISNUMBER(AD208)),"短期卡玛；","")&amp;IF(AND(ISNUMBER(P208),NOT(ISNUMBER(AE208))),"DD_long不可识别；","")</x:f>
        <x:v>产品规模标识；DD_long不可识别；</x:v>
      </x:c>
      <x:c r="AV208" s="42" t="n">
        <x:v>5</x:v>
      </x:c>
      <x:c r="AW208" s="19" t="str">
        <x:v>岳鑫遥（北京）私募基金管理有限公司</x:v>
      </x:c>
      <x:c r="AX208" s="19" t="str">
        <x:v>2026-05-07</x:v>
      </x:c>
      <x:c r="AY208" s="19" t="str">
        <x:v>https://gs.amac.org.cn/amac-infodisc/res/pof/manager/2207041830121644.html</x:v>
      </x:c>
      <x:c r="AZ208" s="19"/>
      <x:c r="BA208" s="19"/>
      <x:c r="BB208" s="19"/>
      <x:c r="BC208" s="19"/>
      <x:c r="BD208" s="19" t="str">
        <x:v>基金页未匹配；管理人已核验</x:v>
      </x:c>
      <x:c r="BE208"/>
      <x:c r="BF208"/>
    </x:row>
    <x:row r="209" ht="28" customHeight="1">
      <x:c r="A209" s="4" t="n">
        <x:v>193</x:v>
      </x:c>
      <x:c r="B209" s="15" t="str">
        <x:f>'sheet4-原始数据'!A194</x:f>
        <x:v>惠隆金选套利1号B类</x:v>
      </x:c>
      <x:c r="C209" s="15" t="str">
        <x:f>'sheet4-原始数据'!B194</x:f>
        <x:v>QG026B</x:v>
      </x:c>
      <x:c r="D209" s="15" t="str">
        <x:f>'sheet4-原始数据'!E194</x:f>
        <x:v>北京惠隆资管</x:v>
      </x:c>
      <x:c r="E209" s="32" t="n">
        <x:f>IF(ISNUMBER('sheet4-原始数据'!F194),'sheet4-原始数据'!F194,"")</x:f>
        <x:v>44462</x:v>
      </x:c>
      <x:c r="F209" s="17" t="n">
        <x:f>IF(NOT(ISNUMBER(E209)),"",ROUND(('sheet1-指标体系'!$J$23-E209)/365.25,4))</x:f>
        <x:v>4.9802</x:v>
      </x:c>
      <x:c r="G209" s="4" t="str">
        <x:f t="shared" ref="G209:G272" si="8">IF(NOT(ISNUMBER(F209)),"",IF(F209&lt;1,"不入池","入池"))</x:f>
        <x:v>入池</x:v>
      </x:c>
      <x:c r="H209" s="33" t="str">
        <x:v>10-20亿元</x:v>
      </x:c>
      <x:c r="I209" s="17" t="n">
        <x:f>IF(H209="","",IF(ISNUMBER(SEARCH("100亿元以上",H209)),100,IF(OR(ISNUMBER(SEARCH("20-50",H209)),ISNUMBER(SEARCH("50-100",H209)),ISNUMBER(SEARCH("20-100",H209))),90,IF(ISNUMBER(SEARCH("10-20",H209)),80,IF(ISNUMBER(SEARCH("5-10",H209)),70,IF(ISNUMBER(SEARCH("0-5",H209)),60,""))))))</x:f>
        <x:v>80</x:v>
      </x:c>
      <x:c r="J209" s="34"/>
      <x:c r="K209" s="17" t="str">
        <x:f>IF(J209="","",IF(J209="低于1000万元",0,100))</x:f>
      </x:c>
      <x:c r="L209" s="17" t="n">
        <x:f>IF(NOT(ISNUMBER(F209)),"",IF(F209&lt;1,"",IF(F209&lt;3,70,100)))</x:f>
        <x:v>100</x:v>
      </x:c>
      <x:c r="M209" s="35" t="n">
        <x:f>IF(ISNUMBER('sheet4-原始数据'!G194),'sheet4-原始数据'!G194,"")</x:f>
        <x:v>0.13369999999999999</x:v>
      </x:c>
      <x:c r="N209" s="35" t="n">
        <x:f>IF(ISNUMBER('sheet4-原始数据'!H194),'sheet4-原始数据'!H194,"")</x:f>
        <x:v>0.1664</x:v>
      </x:c>
      <x:c r="O209" s="36" t="str">
        <x:f>IF(ISNUMBER('sheet4-原始数据'!Q194),'sheet4-原始数据'!Q194,"")</x:f>
      </x:c>
      <x:c r="P209" s="37" t="n">
        <x:f>IF($G209&lt;&gt;"入池","",IF($F209&gt;=3,IF(OR(NOT(ISNUMBER($M209)),NOT(ISNUMBER($N209)),1+$M209&lt;=0,1+$N209&lt;0),"",((1+$N209)^3/(1+$M209))^(1/2)-1),IF(OR($F209&lt;=1,NOT(ISNUMBER($M209)),NOT(ISNUMBER($O209)),1+$M209&lt;=0,1+$O209&lt;0),"",((1+$O209)^$F209/(1+$M209))^(1/($F209-1))-1)))</x:f>
        <x:v>0.18310201258518566</x:v>
      </x:c>
      <x:c r="Q209" s="17" t="n">
        <x:f>IF(OR($G209&lt;&gt;"入池",NOT(ISNUMBER(M209))),"",IF(COUNTIFS($G$17:$G$219,"入池",$M$17:$M$219,"&gt;=-1E+307",$M$17:$M$219,"&lt;=1E+307")&lt;=1,100,ROUND(100*(COUNTIFS($G$17:$G$219,"入池",$M$17:$M$219,"&gt;=-1E+307",$M$17:$M$219,"&lt;"&amp;M209)+COUNTIFS($G$17:$G$219,"入池",$M$17:$M$219,M209,$M$17:$M$219,"&gt;=-1E+307",$M$17:$M$219,"&lt;=1E+307")/2-0.5)/(COUNTIFS($G$17:$G$219,"入池",$M$17:$M$219,"&gt;=-1E+307",$M$17:$M$219,"&lt;=1E+307")-1),2)))</x:f>
        <x:v>87.87</x:v>
      </x:c>
      <x:c r="R209" s="17" t="n">
        <x:f>IF(OR($G209&lt;&gt;"入池",NOT(ISNUMBER(P209))),"",IF(COUNTIFS($G$17:$G$219,"入池",$P$17:$P$219,"&gt;=-1E+307",$P$17:$P$219,"&lt;=1E+307")&lt;=1,100,ROUND(100*(COUNTIFS($G$17:$G$219,"入池",$P$17:$P$219,"&gt;=-1E+307",$P$17:$P$219,"&lt;"&amp;P209)+COUNTIFS($G$17:$G$219,"入池",$P$17:$P$219,P209,$P$17:$P$219,"&gt;=-1E+307",$P$17:$P$219,"&lt;=1E+307")/2-0.5)/(COUNTIFS($G$17:$G$219,"入池",$P$17:$P$219,"&gt;=-1E+307",$P$17:$P$219,"&lt;=1E+307")-1),2)))</x:f>
        <x:v>92.33</x:v>
      </x:c>
      <x:c r="S209" s="17" t="n">
        <x:f>IF(NOT(ISNUMBER(Q209)),"",IF(NOT(ISNUMBER(R209)),Q209,ROUND(Q209*'sheet1-指标体系'!$J$8+R209*'sheet1-指标体系'!$J$9,2)))</x:f>
        <x:v>89.65</x:v>
      </x:c>
      <x:c r="T209" s="35" t="n">
        <x:f>IF(ISNUMBER('sheet4-原始数据'!J194),'sheet4-原始数据'!J194,"")</x:f>
        <x:v>1</x:v>
      </x:c>
      <x:c r="U209" s="35" t="n">
        <x:f>IF(ISNUMBER('sheet4-原始数据'!I194),'sheet4-原始数据'!I194,"")</x:f>
        <x:v>1</x:v>
      </x:c>
      <x:c r="V209" s="37" t="n">
        <x:f>IF(OR(NOT(ISNUMBER(T209)),NOT(ISNUMBER(U209))),"",(U209*'sheet1-指标体系'!$J$6-T209*'sheet1-指标体系'!$J$5)/'sheet1-指标体系'!$J$7)</x:f>
        <x:v>1</x:v>
      </x:c>
      <x:c r="W209" s="17" t="n">
        <x:f>IF(NOT(ISNUMBER(T209)),"",T209*100)</x:f>
        <x:v>100</x:v>
      </x:c>
      <x:c r="X209" s="17" t="n">
        <x:f>IF($G209&lt;&gt;"入池","",IF(AND(ISNUMBER(V209),V209&gt;=0,V209&lt;=1),V209*100,IF(MAX(0,($F209-1)*12)&lt;6,100,"")))</x:f>
        <x:v>100</x:v>
      </x:c>
      <x:c r="Y209" s="17" t="n">
        <x:f>IF(NOT(ISNUMBER(W209)),"",IF(NOT(ISNUMBER(X209)),W209,ROUND(W209*'sheet1-指标体系'!$J$8+X209*'sheet1-指标体系'!$J$9,2)))</x:f>
        <x:v>100</x:v>
      </x:c>
      <x:c r="Z209" s="37" t="n">
        <x:f>IF(OR(NOT(ISNUMBER(M209)),NOT(ISNUMBER(AD209)),AD209=0),"",ABS(M209/AD209))</x:f>
        <x:v>0.0027219498688903724</x:v>
      </x:c>
      <x:c r="AA209" s="35" t="n">
        <x:f>IF(ISNUMBER('sheet4-原始数据'!K194),'sheet4-原始数据'!K194,"")</x:f>
        <x:v>0.0027</x:v>
      </x:c>
      <x:c r="AB209" s="37" t="n">
        <x:f>IF(COUNT(Z209:AA209)=0,"",MAX(Z209:AA209))</x:f>
        <x:v>0.0027219498688903724</x:v>
      </x:c>
      <x:c r="AC209" s="17" t="n">
        <x:f>IF(OR($G209&lt;&gt;"入池",NOT(ISNUMBER(AB209))),"",IF(COUNTIFS($G$17:$G$219,"入池",$AB$17:$AB$219,"&gt;=-1E+307",$AB$17:$AB$219,"&lt;=1E+307")&lt;=1,100,ROUND(100*(COUNTIFS($G$17:$G$219,"入池",$AB$17:$AB$219,"&lt;=1E+307",$AB$17:$AB$219,"&gt;"&amp;AB209)+COUNTIFS($G$17:$G$219,"入池",$AB$17:$AB$219,AB209,$AB$17:$AB$219,"&gt;=-1E+307",$AB$17:$AB$219,"&lt;=1E+307")/2-0.5)/(COUNTIFS($G$17:$G$219,"入池",$AB$17:$AB$219,"&gt;=-1E+307",$AB$17:$AB$219,"&lt;=1E+307")-1),2)))</x:f>
        <x:v>98.27</x:v>
      </x:c>
      <x:c r="AD209" s="38" t="n">
        <x:f>IF(ISNUMBER('sheet4-原始数据'!M194),'sheet4-原始数据'!M194,"")</x:f>
        <x:v>49.1192</x:v>
      </x:c>
      <x:c r="AE209" s="37" t="str">
        <x:f>IF(OR(NOT(ISNUMBER(P209)),NOT(ISNUMBER(AA209)),NOT(ISNUMBER(Z209))),"",IF(AA209&gt;Z209+'sheet1-指标体系'!$J$11,AA209,""))</x:f>
      </x:c>
      <x:c r="AF209" s="17" t="str">
        <x:f>IF(OR(NOT(ISNUMBER(P209)),NOT(ISNUMBER(AE209)),AE209=0),"",P209/AE209)</x:f>
      </x:c>
      <x:c r="AG209" s="17" t="n">
        <x:f>IF(OR($G209&lt;&gt;"入池",NOT(ISNUMBER(AD209))),"",IF(COUNTIFS($G$17:$G$219,"入池",$AD$17:$AD$219,"&gt;=-1E+307",$AD$17:$AD$219,"&lt;=1E+307")&lt;=1,100,ROUND(100*(COUNTIFS($G$17:$G$219,"入池",$AD$17:$AD$219,"&gt;=-1E+307",$AD$17:$AD$219,"&lt;"&amp;AD209)+COUNTIFS($G$17:$G$219,"入池",$AD$17:$AD$219,AD209,$AD$17:$AD$219,"&gt;=-1E+307",$AD$17:$AD$219,"&lt;=1E+307")/2-0.5)/(COUNTIFS($G$17:$G$219,"入池",$AD$17:$AD$219,"&gt;=-1E+307",$AD$17:$AD$219,"&lt;=1E+307")-1),2)))</x:f>
        <x:v>97.26</x:v>
      </x:c>
      <x:c r="AH209" s="17" t="str">
        <x:f>IF(OR($G209&lt;&gt;"入池",NOT(ISNUMBER(AF209))),"",IF(COUNTIFS($G$17:$G$219,"入池",$AF$17:$AF$219,"&gt;=-1E+307",$AF$17:$AF$219,"&lt;=1E+307")&lt;=1,100,ROUND(100*(COUNTIFS($G$17:$G$219,"入池",$AF$17:$AF$219,"&gt;=-1E+307",$AF$17:$AF$219,"&lt;"&amp;AF209)+COUNTIFS($G$17:$G$219,"入池",$AF$17:$AF$219,AF209,$AF$17:$AF$219,"&gt;=-1E+307",$AF$17:$AF$219,"&lt;=1E+307")/2-0.5)/(COUNTIFS($G$17:$G$219,"入池",$AF$17:$AF$219,"&gt;=-1E+307",$AF$17:$AF$219,"&lt;=1E+307")-1),2)))</x:f>
      </x:c>
      <x:c r="AI209" s="17" t="n">
        <x:f>IF(NOT(ISNUMBER(AG209)),"",IF(NOT(ISNUMBER(AH209)),AG209,ROUND(AG209*'sheet1-指标体系'!$J$8+AH209*'sheet1-指标体系'!$J$9,2)))</x:f>
        <x:v>97.26</x:v>
      </x:c>
      <x:c r="AJ209" s="37" t="n">
        <x:f>IF(NOT(ISNUMBER(F209)),"",IF(F209&gt;=3,IF(NOT(ISNUMBER(N209)),"",N209),IF(NOT(ISNUMBER(O209)),"",O209)))</x:f>
        <x:v>0.1664</x:v>
      </x:c>
      <x:c r="AK209" s="17" t="n">
        <x:f>IF(OR(G209&lt;&gt;"入池",NOT(ISNUMBER(M209)),NOT(ISNUMBER(AJ209))),"",IF(M209&gt;=AJ209,100,IF(AJ209-M209&lt;'sheet1-指标体系'!$J$10,80,60)))</x:f>
        <x:v>80</x:v>
      </x:c>
      <x:c r="AL209" s="17" t="n">
        <x:f>IF(COUNT(I209,K209,L209)=0,"",ROUND((IF(ISNUMBER(I209),I209*40%,0)+IF(ISNUMBER(K209),K209*30%,0)+IF(ISNUMBER(L209),L209*30%,0))/(IF(ISNUMBER(I209),40%,0)+IF(ISNUMBER(K209),30%,0)+IF(ISNUMBER(L209),30%,0)),2))</x:f>
        <x:v>88.57</x:v>
      </x:c>
      <x:c r="AM209" s="17" t="n">
        <x:f>IF(COUNT(Q209,R209,W209,X209)=0,"",ROUND((IF(ISNUMBER(Q209),Q209*42%,0)+IF(ISNUMBER(R209),R209*28%,0)+IF(ISNUMBER(W209),W209*18%,0)+IF(ISNUMBER(X209),X209*12%,0))/(IF(ISNUMBER(Q209),42%,0)+IF(ISNUMBER(R209),28%,0)+IF(ISNUMBER(W209),18%,0)+IF(ISNUMBER(X209),12%,0)),2))</x:f>
        <x:v>92.76</x:v>
      </x:c>
      <x:c r="AN209" s="17" t="n">
        <x:f>IF(ISNUMBER(AC209),AC209,"")</x:f>
        <x:v>98.27</x:v>
      </x:c>
      <x:c r="AO209" s="17" t="n">
        <x:f>IF(COUNT(AG209,AH209)=0,"",ROUND((IF(ISNUMBER(AG209),AG209*60%,0)+IF(ISNUMBER(AH209),AH209*40%,0))/(IF(ISNUMBER(AG209),60%,0)+IF(ISNUMBER(AH209),40%,0)),2))</x:f>
        <x:v>97.26</x:v>
      </x:c>
      <x:c r="AP209" s="17" t="n">
        <x:f>IF(ISNUMBER(AK209),AK209,"")</x:f>
        <x:v>80</x:v>
      </x:c>
      <x:c r="AQ209" s="39" t="n">
        <x:f>IF(G209&lt;&gt;"入池",0,IF(ISNUMBER(I209),6%,0)+IF(ISNUMBER(K209),4.5%,0)+IF(ISNUMBER(L209),4.5%,0)+IF(ISNUMBER(Q209),8.4%,0)+IF(ISNUMBER(R209),5.6%,0)+IF(ISNUMBER(W209),3.6%,0)+IF(ISNUMBER(X209),2.4%,0)+IF(ISNUMBER(AC209),25%,0)+IF(ISNUMBER(AG209),18%,0)+IF(ISNUMBER(AH209),12%,0)+IF(ISNUMBER(AK209),10%,0))</x:f>
        <x:v>0.8350000000000001</x:v>
      </x:c>
      <x:c r="AR209" s="17" t="n">
        <x:f>IF(AQ209=0,"",IF(ISNUMBER(I209),I209*6%,0)+IF(ISNUMBER(K209),K209*4.5%,0)+IF(ISNUMBER(L209),L209*4.5%,0)+IF(ISNUMBER(Q209),Q209*8.4%,0)+IF(ISNUMBER(R209),R209*5.6%,0)+IF(ISNUMBER(W209),W209*3.6%,0)+IF(ISNUMBER(X209),X209*2.4%,0)+IF(ISNUMBER(AC209),AC209*25%,0)+IF(ISNUMBER(AG209),AG209*18%,0)+IF(ISNUMBER(AH209),AH209*12%,0)+IF(ISNUMBER(AK209),AK209*10%,0))</x:f>
        <x:v>77.92586</x:v>
      </x:c>
      <x:c r="AS209" s="17" t="n">
        <x:f>IF(AQ209=0,"",ROUND(AR209/AQ209,2))</x:f>
        <x:v>93.32</x:v>
      </x:c>
      <x:c r="AT209" s="40" t="n">
        <x:f>IF(OR(G209&lt;&gt;"入池",NOT(ISNUMBER(AS209))),"",COUNTIFS($G$17:$G$219,"入池",$AS$17:$AS$219,"&gt;"&amp;AS209)+COUNTIFS($G$17:$G$219,"入池",$AS$17:$AS$219,AS209,$AQ$17:$AQ$219,"&gt;"&amp;AQ209)+COUNTIFS($G$17:G209,"入池",$AS$17:AS209,AS209,$AQ$17:AQ209,AQ209))</x:f>
        <x:v>2</x:v>
      </x:c>
      <x:c r="AU209" s="41" t="str">
        <x:f t="shared" ref="AU209:AU272" si="9">IF(NOT(ISNUMBER(I209)),"管理人规模；","")&amp;IF(J209="","产品规模标识；","")&amp;IF(AND(F209&lt;3,NOT(ISNUMBER(O209))),"R_incep；","")&amp;IF(NOT(ISNUMBER(N209)),"近三年收益；","")&amp;IF(NOT(ISNUMBER(U209)),"近三年胜率；","")&amp;IF(AND(ISNUMBER(V209),OR(V209&lt;0,V209&gt;1)),"胜率窗口口径不一致；","")&amp;IF(NOT(ISNUMBER(AA209)),"近三年回撤；","")&amp;IF(NOT(ISNUMBER(AD209)),"短期卡玛；","")&amp;IF(AND(ISNUMBER(P209),NOT(ISNUMBER(AE209))),"DD_long不可识别；","")</x:f>
        <x:v>产品规模标识；DD_long不可识别；</x:v>
      </x:c>
      <x:c r="AV209" s="42" t="n">
        <x:v>10</x:v>
      </x:c>
      <x:c r="AW209" s="19" t="str">
        <x:v>北京惠隆资本管理有限责任公司</x:v>
      </x:c>
      <x:c r="AX209" s="19" t="str">
        <x:v>2026-08-14</x:v>
      </x:c>
      <x:c r="AY209" s="19" t="str">
        <x:v>https://gs.amac.org.cn/amac-infodisc/res/pof/manager/1705031716108118.html</x:v>
      </x:c>
      <x:c r="AZ209" s="19"/>
      <x:c r="BA209" s="19"/>
      <x:c r="BB209" s="19"/>
      <x:c r="BC209" s="19"/>
      <x:c r="BD209" s="19" t="str">
        <x:v>基金页未匹配；管理人已核验</x:v>
      </x:c>
      <x:c r="BE209"/>
      <x:c r="BF209"/>
    </x:row>
    <x:row r="210" ht="28" customHeight="1">
      <x:c r="A210" s="4" t="n">
        <x:v>194</x:v>
      </x:c>
      <x:c r="B210" s="15" t="str">
        <x:f>'sheet4-原始数据'!A195</x:f>
        <x:v>庄贤亨贞期权对冲A类</x:v>
      </x:c>
      <x:c r="C210" s="15" t="str">
        <x:f>'sheet4-原始数据'!B195</x:f>
        <x:v>TW239A</x:v>
      </x:c>
      <x:c r="D210" s="15" t="str">
        <x:f>'sheet4-原始数据'!E195</x:f>
        <x:v>杭州庄贤投资</x:v>
      </x:c>
      <x:c r="E210" s="32" t="n">
        <x:f>IF(ISNUMBER('sheet4-原始数据'!F195),'sheet4-原始数据'!F195,"")</x:f>
        <x:v>44589</x:v>
      </x:c>
      <x:c r="F210" s="17" t="n">
        <x:f>IF(NOT(ISNUMBER(E210)),"",ROUND(('sheet1-指标体系'!$J$23-E210)/365.25,4))</x:f>
        <x:v>4.6324</x:v>
      </x:c>
      <x:c r="G210" s="4" t="str">
        <x:f t="shared" si="8">IF(NOT(ISNUMBER(F210)),"",IF(F210&lt;1,"不入池","入池"))</x:f>
        <x:v>入池</x:v>
      </x:c>
      <x:c r="H210" s="33" t="str">
        <x:v>20-50亿元</x:v>
      </x:c>
      <x:c r="I210" s="17" t="n">
        <x:f>IF(H210="","",IF(ISNUMBER(SEARCH("100亿元以上",H210)),100,IF(OR(ISNUMBER(SEARCH("20-50",H210)),ISNUMBER(SEARCH("50-100",H210)),ISNUMBER(SEARCH("20-100",H210))),90,IF(ISNUMBER(SEARCH("10-20",H210)),80,IF(ISNUMBER(SEARCH("5-10",H210)),70,IF(ISNUMBER(SEARCH("0-5",H210)),60,""))))))</x:f>
        <x:v>90</x:v>
      </x:c>
      <x:c r="J210" s="34"/>
      <x:c r="K210" s="17" t="str">
        <x:f>IF(J210="","",IF(J210="低于1000万元",0,100))</x:f>
      </x:c>
      <x:c r="L210" s="17" t="n">
        <x:f>IF(NOT(ISNUMBER(F210)),"",IF(F210&lt;1,"",IF(F210&lt;3,70,100)))</x:f>
        <x:v>100</x:v>
      </x:c>
      <x:c r="M210" s="35" t="n">
        <x:f>IF(ISNUMBER('sheet4-原始数据'!G195),'sheet4-原始数据'!G195,"")</x:f>
        <x:v>0.0405</x:v>
      </x:c>
      <x:c r="N210" s="35" t="n">
        <x:f>IF(ISNUMBER('sheet4-原始数据'!H195),'sheet4-原始数据'!H195,"")</x:f>
        <x:v>0.04650000000000001</x:v>
      </x:c>
      <x:c r="O210" s="36" t="str">
        <x:f>IF(ISNUMBER('sheet4-原始数据'!Q195),'sheet4-原始数据'!Q195,"")</x:f>
      </x:c>
      <x:c r="P210" s="37" t="n">
        <x:f>IF($G210&lt;&gt;"入池","",IF($F210&gt;=3,IF(OR(NOT(ISNUMBER($M210)),NOT(ISNUMBER($N210)),1+$M210&lt;=0,1+$N210&lt;0),"",((1+$N210)^3/(1+$M210))^(1/2)-1),IF(OR($F210&lt;=1,NOT(ISNUMBER($M210)),NOT(ISNUMBER($O210)),1+$M210&lt;=0,1+$O210&lt;0),"",((1+$O210)^$F210/(1+$M210))^(1/($F210-1))-1)))</x:f>
        <x:v>0.049512962088846146</x:v>
      </x:c>
      <x:c r="Q210" s="17" t="n">
        <x:f>IF(OR($G210&lt;&gt;"入池",NOT(ISNUMBER(M210))),"",IF(COUNTIFS($G$17:$G$219,"入池",$M$17:$M$219,"&gt;=-1E+307",$M$17:$M$219,"&lt;=1E+307")&lt;=1,100,ROUND(100*(COUNTIFS($G$17:$G$219,"入池",$M$17:$M$219,"&gt;=-1E+307",$M$17:$M$219,"&lt;"&amp;M210)+COUNTIFS($G$17:$G$219,"入池",$M$17:$M$219,M210,$M$17:$M$219,"&gt;=-1E+307",$M$17:$M$219,"&lt;=1E+307")/2-0.5)/(COUNTIFS($G$17:$G$219,"入池",$M$17:$M$219,"&gt;=-1E+307",$M$17:$M$219,"&lt;=1E+307")-1),2)))</x:f>
        <x:v>43.07</x:v>
      </x:c>
      <x:c r="R210" s="17" t="n">
        <x:f>IF(OR($G210&lt;&gt;"入池",NOT(ISNUMBER(P210))),"",IF(COUNTIFS($G$17:$G$219,"入池",$P$17:$P$219,"&gt;=-1E+307",$P$17:$P$219,"&lt;=1E+307")&lt;=1,100,ROUND(100*(COUNTIFS($G$17:$G$219,"入池",$P$17:$P$219,"&gt;=-1E+307",$P$17:$P$219,"&lt;"&amp;P210)+COUNTIFS($G$17:$G$219,"入池",$P$17:$P$219,P210,$P$17:$P$219,"&gt;=-1E+307",$P$17:$P$219,"&lt;=1E+307")/2-0.5)/(COUNTIFS($G$17:$G$219,"入池",$P$17:$P$219,"&gt;=-1E+307",$P$17:$P$219,"&lt;=1E+307")-1),2)))</x:f>
        <x:v>35.89</x:v>
      </x:c>
      <x:c r="S210" s="17" t="n">
        <x:f>IF(NOT(ISNUMBER(Q210)),"",IF(NOT(ISNUMBER(R210)),Q210,ROUND(Q210*'sheet1-指标体系'!$J$8+R210*'sheet1-指标体系'!$J$9,2)))</x:f>
        <x:v>40.2</x:v>
      </x:c>
      <x:c r="T210" s="35" t="n">
        <x:f>IF(ISNUMBER('sheet4-原始数据'!J195),'sheet4-原始数据'!J195,"")</x:f>
        <x:v>0.6923</x:v>
      </x:c>
      <x:c r="U210" s="35" t="n">
        <x:f>IF(ISNUMBER('sheet4-原始数据'!I195),'sheet4-原始数据'!I195,"")</x:f>
        <x:v>0.7568</x:v>
      </x:c>
      <x:c r="V210" s="37" t="n">
        <x:f>IF(OR(NOT(ISNUMBER(T210)),NOT(ISNUMBER(U210))),"",(U210*'sheet1-指标体系'!$J$6-T210*'sheet1-指标体系'!$J$5)/'sheet1-指标体系'!$J$7)</x:f>
        <x:v>0.7917375</x:v>
      </x:c>
      <x:c r="W210" s="17" t="n">
        <x:f>IF(NOT(ISNUMBER(T210)),"",T210*100)</x:f>
        <x:v>69.23</x:v>
      </x:c>
      <x:c r="X210" s="17" t="n">
        <x:f>IF($G210&lt;&gt;"入池","",IF(AND(ISNUMBER(V210),V210&gt;=0,V210&lt;=1),V210*100,IF(MAX(0,($F210-1)*12)&lt;6,100,"")))</x:f>
        <x:v>79.17375</x:v>
      </x:c>
      <x:c r="Y210" s="17" t="n">
        <x:f>IF(NOT(ISNUMBER(W210)),"",IF(NOT(ISNUMBER(X210)),W210,ROUND(W210*'sheet1-指标体系'!$J$8+X210*'sheet1-指标体系'!$J$9,2)))</x:f>
        <x:v>73.21</x:v>
      </x:c>
      <x:c r="Z210" s="37" t="n">
        <x:f>IF(OR(NOT(ISNUMBER(M210)),NOT(ISNUMBER(AD210)),AD210=0),"",ABS(M210/AD210))</x:f>
        <x:v>0.0042838103699942886</x:v>
      </x:c>
      <x:c r="AA210" s="35" t="n">
        <x:f>IF(ISNUMBER('sheet4-原始数据'!K195),'sheet4-原始数据'!K195,"")</x:f>
        <x:v>0.013000000000000001</x:v>
      </x:c>
      <x:c r="AB210" s="37" t="n">
        <x:f>IF(COUNT(Z210:AA210)=0,"",MAX(Z210:AA210))</x:f>
        <x:v>0.013000000000000001</x:v>
      </x:c>
      <x:c r="AC210" s="17" t="n">
        <x:f>IF(OR($G210&lt;&gt;"入池",NOT(ISNUMBER(AB210))),"",IF(COUNTIFS($G$17:$G$219,"入池",$AB$17:$AB$219,"&gt;=-1E+307",$AB$17:$AB$219,"&lt;=1E+307")&lt;=1,100,ROUND(100*(COUNTIFS($G$17:$G$219,"入池",$AB$17:$AB$219,"&lt;=1E+307",$AB$17:$AB$219,"&gt;"&amp;AB210)+COUNTIFS($G$17:$G$219,"入池",$AB$17:$AB$219,AB210,$AB$17:$AB$219,"&gt;=-1E+307",$AB$17:$AB$219,"&lt;=1E+307")/2-0.5)/(COUNTIFS($G$17:$G$219,"入池",$AB$17:$AB$219,"&gt;=-1E+307",$AB$17:$AB$219,"&lt;=1E+307")-1),2)))</x:f>
        <x:v>82.18</x:v>
      </x:c>
      <x:c r="AD210" s="38" t="n">
        <x:f>IF(ISNUMBER('sheet4-原始数据'!M195),'sheet4-原始数据'!M195,"")</x:f>
        <x:v>9.4542</x:v>
      </x:c>
      <x:c r="AE210" s="37" t="n">
        <x:f>IF(OR(NOT(ISNUMBER(P210)),NOT(ISNUMBER(AA210)),NOT(ISNUMBER(Z210))),"",IF(AA210&gt;Z210+'sheet1-指标体系'!$J$11,AA210,""))</x:f>
        <x:v>0.013000000000000001</x:v>
      </x:c>
      <x:c r="AF210" s="17" t="n">
        <x:f>IF(OR(NOT(ISNUMBER(P210)),NOT(ISNUMBER(AE210)),AE210=0),"",P210/AE210)</x:f>
        <x:v>3.808689391449703</x:v>
      </x:c>
      <x:c r="AG210" s="17" t="n">
        <x:f>IF(OR($G210&lt;&gt;"入池",NOT(ISNUMBER(AD210))),"",IF(COUNTIFS($G$17:$G$219,"入池",$AD$17:$AD$219,"&gt;=-1E+307",$AD$17:$AD$219,"&lt;=1E+307")&lt;=1,100,ROUND(100*(COUNTIFS($G$17:$G$219,"入池",$AD$17:$AD$219,"&gt;=-1E+307",$AD$17:$AD$219,"&lt;"&amp;AD210)+COUNTIFS($G$17:$G$219,"入池",$AD$17:$AD$219,AD210,$AD$17:$AD$219,"&gt;=-1E+307",$AD$17:$AD$219,"&lt;=1E+307")/2-0.5)/(COUNTIFS($G$17:$G$219,"入池",$AD$17:$AD$219,"&gt;=-1E+307",$AD$17:$AD$219,"&lt;=1E+307")-1),2)))</x:f>
        <x:v>76.37</x:v>
      </x:c>
      <x:c r="AH210" s="17" t="n">
        <x:f>IF(OR($G210&lt;&gt;"入池",NOT(ISNUMBER(AF210))),"",IF(COUNTIFS($G$17:$G$219,"入池",$AF$17:$AF$219,"&gt;=-1E+307",$AF$17:$AF$219,"&lt;=1E+307")&lt;=1,100,ROUND(100*(COUNTIFS($G$17:$G$219,"入池",$AF$17:$AF$219,"&gt;=-1E+307",$AF$17:$AF$219,"&lt;"&amp;AF210)+COUNTIFS($G$17:$G$219,"入池",$AF$17:$AF$219,AF210,$AF$17:$AF$219,"&gt;=-1E+307",$AF$17:$AF$219,"&lt;=1E+307")/2-0.5)/(COUNTIFS($G$17:$G$219,"入池",$AF$17:$AF$219,"&gt;=-1E+307",$AF$17:$AF$219,"&lt;=1E+307")-1),2)))</x:f>
        <x:v>80.66</x:v>
      </x:c>
      <x:c r="AI210" s="17" t="n">
        <x:f>IF(NOT(ISNUMBER(AG210)),"",IF(NOT(ISNUMBER(AH210)),AG210,ROUND(AG210*'sheet1-指标体系'!$J$8+AH210*'sheet1-指标体系'!$J$9,2)))</x:f>
        <x:v>78.09</x:v>
      </x:c>
      <x:c r="AJ210" s="37" t="n">
        <x:f>IF(NOT(ISNUMBER(F210)),"",IF(F210&gt;=3,IF(NOT(ISNUMBER(N210)),"",N210),IF(NOT(ISNUMBER(O210)),"",O210)))</x:f>
        <x:v>0.04650000000000001</x:v>
      </x:c>
      <x:c r="AK210" s="17" t="n">
        <x:f>IF(OR(G210&lt;&gt;"入池",NOT(ISNUMBER(M210)),NOT(ISNUMBER(AJ210))),"",IF(M210&gt;=AJ210,100,IF(AJ210-M210&lt;'sheet1-指标体系'!$J$10,80,60)))</x:f>
        <x:v>80</x:v>
      </x:c>
      <x:c r="AL210" s="17" t="n">
        <x:f>IF(COUNT(I210,K210,L210)=0,"",ROUND((IF(ISNUMBER(I210),I210*40%,0)+IF(ISNUMBER(K210),K210*30%,0)+IF(ISNUMBER(L210),L210*30%,0))/(IF(ISNUMBER(I210),40%,0)+IF(ISNUMBER(K210),30%,0)+IF(ISNUMBER(L210),30%,0)),2))</x:f>
        <x:v>94.29</x:v>
      </x:c>
      <x:c r="AM210" s="17" t="n">
        <x:f>IF(COUNT(Q210,R210,W210,X210)=0,"",ROUND((IF(ISNUMBER(Q210),Q210*42%,0)+IF(ISNUMBER(R210),R210*28%,0)+IF(ISNUMBER(W210),W210*18%,0)+IF(ISNUMBER(X210),X210*12%,0))/(IF(ISNUMBER(Q210),42%,0)+IF(ISNUMBER(R210),28%,0)+IF(ISNUMBER(W210),18%,0)+IF(ISNUMBER(X210),12%,0)),2))</x:f>
        <x:v>50.1</x:v>
      </x:c>
      <x:c r="AN210" s="17" t="n">
        <x:f>IF(ISNUMBER(AC210),AC210,"")</x:f>
        <x:v>82.18</x:v>
      </x:c>
      <x:c r="AO210" s="17" t="n">
        <x:f>IF(COUNT(AG210,AH210)=0,"",ROUND((IF(ISNUMBER(AG210),AG210*60%,0)+IF(ISNUMBER(AH210),AH210*40%,0))/(IF(ISNUMBER(AG210),60%,0)+IF(ISNUMBER(AH210),40%,0)),2))</x:f>
        <x:v>78.09</x:v>
      </x:c>
      <x:c r="AP210" s="17" t="n">
        <x:f>IF(ISNUMBER(AK210),AK210,"")</x:f>
        <x:v>80</x:v>
      </x:c>
      <x:c r="AQ210" s="39" t="n">
        <x:f>IF(G210&lt;&gt;"入池",0,IF(ISNUMBER(I210),6%,0)+IF(ISNUMBER(K210),4.5%,0)+IF(ISNUMBER(L210),4.5%,0)+IF(ISNUMBER(Q210),8.4%,0)+IF(ISNUMBER(R210),5.6%,0)+IF(ISNUMBER(W210),3.6%,0)+IF(ISNUMBER(X210),2.4%,0)+IF(ISNUMBER(AC210),25%,0)+IF(ISNUMBER(AG210),18%,0)+IF(ISNUMBER(AH210),12%,0)+IF(ISNUMBER(AK210),10%,0))</x:f>
        <x:v>0.9550000000000001</x:v>
      </x:c>
      <x:c r="AR210" s="17" t="n">
        <x:f>IF(AQ210=0,"",IF(ISNUMBER(I210),I210*6%,0)+IF(ISNUMBER(K210),K210*4.5%,0)+IF(ISNUMBER(L210),L210*4.5%,0)+IF(ISNUMBER(Q210),Q210*8.4%,0)+IF(ISNUMBER(R210),R210*5.6%,0)+IF(ISNUMBER(W210),W210*3.6%,0)+IF(ISNUMBER(X210),X210*2.4%,0)+IF(ISNUMBER(AC210),AC210*25%,0)+IF(ISNUMBER(AG210),AG210*18%,0)+IF(ISNUMBER(AH210),AH210*12%,0)+IF(ISNUMBER(AK210),AK210*10%,0))</x:f>
        <x:v>71.89097000000001</x:v>
      </x:c>
      <x:c r="AS210" s="17" t="n">
        <x:f>IF(AQ210=0,"",ROUND(AR210/AQ210,2))</x:f>
        <x:v>75.28</x:v>
      </x:c>
      <x:c r="AT210" s="40" t="n">
        <x:f>IF(OR(G210&lt;&gt;"入池",NOT(ISNUMBER(AS210))),"",COUNTIFS($G$17:$G$219,"入池",$AS$17:$AS$219,"&gt;"&amp;AS210)+COUNTIFS($G$17:$G$219,"入池",$AS$17:$AS$219,AS210,$AQ$17:$AQ$219,"&gt;"&amp;AQ210)+COUNTIFS($G$17:G210,"入池",$AS$17:AS210,AS210,$AQ$17:AQ210,AQ210))</x:f>
        <x:v>48</x:v>
      </x:c>
      <x:c r="AU210" s="41" t="str">
        <x:f t="shared" si="9">IF(NOT(ISNUMBER(I210)),"管理人规模；","")&amp;IF(J210="","产品规模标识；","")&amp;IF(AND(F210&lt;3,NOT(ISNUMBER(O210))),"R_incep；","")&amp;IF(NOT(ISNUMBER(N210)),"近三年收益；","")&amp;IF(NOT(ISNUMBER(U210)),"近三年胜率；","")&amp;IF(AND(ISNUMBER(V210),OR(V210&lt;0,V210&gt;1)),"胜率窗口口径不一致；","")&amp;IF(NOT(ISNUMBER(AA210)),"近三年回撤；","")&amp;IF(NOT(ISNUMBER(AD210)),"短期卡玛；","")&amp;IF(AND(ISNUMBER(P210),NOT(ISNUMBER(AE210))),"DD_long不可识别；","")</x:f>
        <x:v>产品规模标识；</x:v>
      </x:c>
      <x:c r="AV210" s="42" t="n">
        <x:v>20</x:v>
      </x:c>
      <x:c r="AW210" s="19" t="str">
        <x:v>杭州庄贤投资管理合伙企业（有限合伙）</x:v>
      </x:c>
      <x:c r="AX210" s="19" t="str">
        <x:v>2026-08-10</x:v>
      </x:c>
      <x:c r="AY210" s="19" t="str">
        <x:v>https://gs.amac.org.cn/amac-infodisc/res/pof/manager/1703280912100590.html</x:v>
      </x:c>
      <x:c r="AZ210" s="19"/>
      <x:c r="BA210" s="19"/>
      <x:c r="BB210" s="19"/>
      <x:c r="BC210" s="19"/>
      <x:c r="BD210" s="19" t="str">
        <x:v>基金页未匹配；管理人已核验</x:v>
      </x:c>
      <x:c r="BE210"/>
      <x:c r="BF210"/>
    </x:row>
    <x:row r="211" ht="28" customHeight="1">
      <x:c r="A211" s="4" t="n">
        <x:v>195</x:v>
      </x:c>
      <x:c r="B211" s="15" t="str">
        <x:f>'sheet4-原始数据'!A196</x:f>
        <x:v>展弘优选套利运作1号A类</x:v>
      </x:c>
      <x:c r="C211" s="15" t="str">
        <x:f>'sheet4-原始数据'!B196</x:f>
        <x:v>B2690A</x:v>
      </x:c>
      <x:c r="D211" s="15" t="str">
        <x:f>'sheet4-原始数据'!E196</x:f>
        <x:v>上海展弘投资</x:v>
      </x:c>
      <x:c r="E211" s="32" t="n">
        <x:f>IF(ISNUMBER('sheet4-原始数据'!F196),'sheet4-原始数据'!F196,"")</x:f>
        <x:v>45119</x:v>
      </x:c>
      <x:c r="F211" s="17" t="n">
        <x:f>IF(NOT(ISNUMBER(E211)),"",ROUND(('sheet1-指标体系'!$J$23-E211)/365.25,4))</x:f>
        <x:v>3.1814</x:v>
      </x:c>
      <x:c r="G211" s="4" t="str">
        <x:f t="shared" si="8">IF(NOT(ISNUMBER(F211)),"",IF(F211&lt;1,"不入池","入池"))</x:f>
        <x:v>入池</x:v>
      </x:c>
      <x:c r="H211" s="33" t="str">
        <x:v>100亿元以上</x:v>
      </x:c>
      <x:c r="I211" s="17" t="n">
        <x:f>IF(H211="","",IF(ISNUMBER(SEARCH("100亿元以上",H211)),100,IF(OR(ISNUMBER(SEARCH("20-50",H211)),ISNUMBER(SEARCH("50-100",H211)),ISNUMBER(SEARCH("20-100",H211))),90,IF(ISNUMBER(SEARCH("10-20",H211)),80,IF(ISNUMBER(SEARCH("5-10",H211)),70,IF(ISNUMBER(SEARCH("0-5",H211)),60,""))))))</x:f>
        <x:v>100</x:v>
      </x:c>
      <x:c r="J211" s="34"/>
      <x:c r="K211" s="17" t="str">
        <x:f>IF(J211="","",IF(J211="低于1000万元",0,100))</x:f>
      </x:c>
      <x:c r="L211" s="17" t="n">
        <x:f>IF(NOT(ISNUMBER(F211)),"",IF(F211&lt;1,"",IF(F211&lt;3,70,100)))</x:f>
        <x:v>100</x:v>
      </x:c>
      <x:c r="M211" s="35" t="n">
        <x:f>IF(ISNUMBER('sheet4-原始数据'!G196),'sheet4-原始数据'!G196,"")</x:f>
        <x:v>0.0298</x:v>
      </x:c>
      <x:c r="N211" s="35" t="n">
        <x:f>IF(ISNUMBER('sheet4-原始数据'!H196),'sheet4-原始数据'!H196,"")</x:f>
        <x:v>0.0525</x:v>
      </x:c>
      <x:c r="O211" s="36" t="str">
        <x:f>IF(ISNUMBER('sheet4-原始数据'!Q196),'sheet4-原始数据'!Q196,"")</x:f>
      </x:c>
      <x:c r="P211" s="37" t="n">
        <x:f>IF($G211&lt;&gt;"入池","",IF($F211&gt;=3,IF(OR(NOT(ISNUMBER($M211)),NOT(ISNUMBER($N211)),1+$M211&lt;=0,1+$N211&lt;0),"",((1+$N211)^3/(1+$M211))^(1/2)-1),IF(OR($F211&lt;=1,NOT(ISNUMBER($M211)),NOT(ISNUMBER($O211)),1+$M211&lt;=0,1+$O211&lt;0),"",((1+$O211)^$F211/(1+$M211))^(1/($F211-1))-1)))</x:f>
        <x:v>0.0640369582851974</x:v>
      </x:c>
      <x:c r="Q211" s="17" t="n">
        <x:f>IF(OR($G211&lt;&gt;"入池",NOT(ISNUMBER(M211))),"",IF(COUNTIFS($G$17:$G$219,"入池",$M$17:$M$219,"&gt;=-1E+307",$M$17:$M$219,"&lt;=1E+307")&lt;=1,100,ROUND(100*(COUNTIFS($G$17:$G$219,"入池",$M$17:$M$219,"&gt;=-1E+307",$M$17:$M$219,"&lt;"&amp;M211)+COUNTIFS($G$17:$G$219,"入池",$M$17:$M$219,M211,$M$17:$M$219,"&gt;=-1E+307",$M$17:$M$219,"&lt;=1E+307")/2-0.5)/(COUNTIFS($G$17:$G$219,"入池",$M$17:$M$219,"&gt;=-1E+307",$M$17:$M$219,"&lt;=1E+307")-1),2)))</x:f>
        <x:v>33.66</x:v>
      </x:c>
      <x:c r="R211" s="17" t="n">
        <x:f>IF(OR($G211&lt;&gt;"入池",NOT(ISNUMBER(P211))),"",IF(COUNTIFS($G$17:$G$219,"入池",$P$17:$P$219,"&gt;=-1E+307",$P$17:$P$219,"&lt;=1E+307")&lt;=1,100,ROUND(100*(COUNTIFS($G$17:$G$219,"入池",$P$17:$P$219,"&gt;=-1E+307",$P$17:$P$219,"&lt;"&amp;P211)+COUNTIFS($G$17:$G$219,"入池",$P$17:$P$219,P211,$P$17:$P$219,"&gt;=-1E+307",$P$17:$P$219,"&lt;=1E+307")/2-0.5)/(COUNTIFS($G$17:$G$219,"入池",$P$17:$P$219,"&gt;=-1E+307",$P$17:$P$219,"&lt;=1E+307")-1),2)))</x:f>
        <x:v>50.5</x:v>
      </x:c>
      <x:c r="S211" s="17" t="n">
        <x:f>IF(NOT(ISNUMBER(Q211)),"",IF(NOT(ISNUMBER(R211)),Q211,ROUND(Q211*'sheet1-指标体系'!$J$8+R211*'sheet1-指标体系'!$J$9,2)))</x:f>
        <x:v>40.4</x:v>
      </x:c>
      <x:c r="T211" s="35" t="n">
        <x:f>IF(ISNUMBER('sheet4-原始数据'!J196),'sheet4-原始数据'!J196,"")</x:f>
        <x:v>0.46149999999999997</x:v>
      </x:c>
      <x:c r="U211" s="35" t="n">
        <x:f>IF(ISNUMBER('sheet4-原始数据'!I196),'sheet4-原始数据'!I196,"")</x:f>
        <x:v>0.6757</x:v>
      </x:c>
      <x:c r="V211" s="37" t="n">
        <x:f>IF(OR(NOT(ISNUMBER(T211)),NOT(ISNUMBER(U211))),"",(U211*'sheet1-指标体系'!$J$6-T211*'sheet1-指标体系'!$J$5)/'sheet1-指标体系'!$J$7)</x:f>
        <x:v>0.7917249999999999</x:v>
      </x:c>
      <x:c r="W211" s="17" t="n">
        <x:f>IF(NOT(ISNUMBER(T211)),"",T211*100)</x:f>
        <x:v>46.15</x:v>
      </x:c>
      <x:c r="X211" s="17" t="n">
        <x:f>IF($G211&lt;&gt;"入池","",IF(AND(ISNUMBER(V211),V211&gt;=0,V211&lt;=1),V211*100,IF(MAX(0,($F211-1)*12)&lt;6,100,"")))</x:f>
        <x:v>79.17249999999999</x:v>
      </x:c>
      <x:c r="Y211" s="17" t="n">
        <x:f>IF(NOT(ISNUMBER(W211)),"",IF(NOT(ISNUMBER(X211)),W211,ROUND(W211*'sheet1-指标体系'!$J$8+X211*'sheet1-指标体系'!$J$9,2)))</x:f>
        <x:v>59.36</x:v>
      </x:c>
      <x:c r="Z211" s="37" t="n">
        <x:f>IF(OR(NOT(ISNUMBER(M211)),NOT(ISNUMBER(AD211)),AD211=0),"",ABS(M211/AD211))</x:f>
        <x:v>0.015379851362510322</x:v>
      </x:c>
      <x:c r="AA211" s="35" t="n">
        <x:f>IF(ISNUMBER('sheet4-原始数据'!K196),'sheet4-原始数据'!K196,"")</x:f>
        <x:v>0.054299999999999994</x:v>
      </x:c>
      <x:c r="AB211" s="37" t="n">
        <x:f>IF(COUNT(Z211:AA211)=0,"",MAX(Z211:AA211))</x:f>
        <x:v>0.054299999999999994</x:v>
      </x:c>
      <x:c r="AC211" s="17" t="n">
        <x:f>IF(OR($G211&lt;&gt;"入池",NOT(ISNUMBER(AB211))),"",IF(COUNTIFS($G$17:$G$219,"入池",$AB$17:$AB$219,"&gt;=-1E+307",$AB$17:$AB$219,"&lt;=1E+307")&lt;=1,100,ROUND(100*(COUNTIFS($G$17:$G$219,"入池",$AB$17:$AB$219,"&lt;=1E+307",$AB$17:$AB$219,"&gt;"&amp;AB211)+COUNTIFS($G$17:$G$219,"入池",$AB$17:$AB$219,AB211,$AB$17:$AB$219,"&gt;=-1E+307",$AB$17:$AB$219,"&lt;=1E+307")/2-0.5)/(COUNTIFS($G$17:$G$219,"入池",$AB$17:$AB$219,"&gt;=-1E+307",$AB$17:$AB$219,"&lt;=1E+307")-1),2)))</x:f>
        <x:v>42.82</x:v>
      </x:c>
      <x:c r="AD211" s="38" t="n">
        <x:f>IF(ISNUMBER('sheet4-原始数据'!M196),'sheet4-原始数据'!M196,"")</x:f>
        <x:v>1.9376</x:v>
      </x:c>
      <x:c r="AE211" s="37" t="n">
        <x:f>IF(OR(NOT(ISNUMBER(P211)),NOT(ISNUMBER(AA211)),NOT(ISNUMBER(Z211))),"",IF(AA211&gt;Z211+'sheet1-指标体系'!$J$11,AA211,""))</x:f>
        <x:v>0.054299999999999994</x:v>
      </x:c>
      <x:c r="AF211" s="17" t="n">
        <x:f>IF(OR(NOT(ISNUMBER(P211)),NOT(ISNUMBER(AE211)),AE211=0),"",P211/AE211)</x:f>
        <x:v>1.1793178321399154</x:v>
      </x:c>
      <x:c r="AG211" s="17" t="n">
        <x:f>IF(OR($G211&lt;&gt;"入池",NOT(ISNUMBER(AD211))),"",IF(COUNTIFS($G$17:$G$219,"入池",$AD$17:$AD$219,"&gt;=-1E+307",$AD$17:$AD$219,"&lt;=1E+307")&lt;=1,100,ROUND(100*(COUNTIFS($G$17:$G$219,"入池",$AD$17:$AD$219,"&gt;=-1E+307",$AD$17:$AD$219,"&lt;"&amp;AD211)+COUNTIFS($G$17:$G$219,"入池",$AD$17:$AD$219,AD211,$AD$17:$AD$219,"&gt;=-1E+307",$AD$17:$AD$219,"&lt;=1E+307")/2-0.5)/(COUNTIFS($G$17:$G$219,"入池",$AD$17:$AD$219,"&gt;=-1E+307",$AD$17:$AD$219,"&lt;=1E+307")-1),2)))</x:f>
        <x:v>45.27</x:v>
      </x:c>
      <x:c r="AH211" s="17" t="n">
        <x:f>IF(OR($G211&lt;&gt;"入池",NOT(ISNUMBER(AF211))),"",IF(COUNTIFS($G$17:$G$219,"入池",$AF$17:$AF$219,"&gt;=-1E+307",$AF$17:$AF$219,"&lt;=1E+307")&lt;=1,100,ROUND(100*(COUNTIFS($G$17:$G$219,"入池",$AF$17:$AF$219,"&gt;=-1E+307",$AF$17:$AF$219,"&lt;"&amp;AF211)+COUNTIFS($G$17:$G$219,"入池",$AF$17:$AF$219,AF211,$AF$17:$AF$219,"&gt;=-1E+307",$AF$17:$AF$219,"&lt;=1E+307")/2-0.5)/(COUNTIFS($G$17:$G$219,"入池",$AF$17:$AF$219,"&gt;=-1E+307",$AF$17:$AF$219,"&lt;=1E+307")-1),2)))</x:f>
        <x:v>48.18</x:v>
      </x:c>
      <x:c r="AI211" s="17" t="n">
        <x:f>IF(NOT(ISNUMBER(AG211)),"",IF(NOT(ISNUMBER(AH211)),AG211,ROUND(AG211*'sheet1-指标体系'!$J$8+AH211*'sheet1-指标体系'!$J$9,2)))</x:f>
        <x:v>46.43</x:v>
      </x:c>
      <x:c r="AJ211" s="37" t="n">
        <x:f>IF(NOT(ISNUMBER(F211)),"",IF(F211&gt;=3,IF(NOT(ISNUMBER(N211)),"",N211),IF(NOT(ISNUMBER(O211)),"",O211)))</x:f>
        <x:v>0.0525</x:v>
      </x:c>
      <x:c r="AK211" s="17" t="n">
        <x:f>IF(OR(G211&lt;&gt;"入池",NOT(ISNUMBER(M211)),NOT(ISNUMBER(AJ211))),"",IF(M211&gt;=AJ211,100,IF(AJ211-M211&lt;'sheet1-指标体系'!$J$10,80,60)))</x:f>
        <x:v>80</x:v>
      </x:c>
      <x:c r="AL211" s="17" t="n">
        <x:f>IF(COUNT(I211,K211,L211)=0,"",ROUND((IF(ISNUMBER(I211),I211*40%,0)+IF(ISNUMBER(K211),K211*30%,0)+IF(ISNUMBER(L211),L211*30%,0))/(IF(ISNUMBER(I211),40%,0)+IF(ISNUMBER(K211),30%,0)+IF(ISNUMBER(L211),30%,0)),2))</x:f>
        <x:v>100</x:v>
      </x:c>
      <x:c r="AM211" s="17" t="n">
        <x:f>IF(COUNT(Q211,R211,W211,X211)=0,"",ROUND((IF(ISNUMBER(Q211),Q211*42%,0)+IF(ISNUMBER(R211),R211*28%,0)+IF(ISNUMBER(W211),W211*18%,0)+IF(ISNUMBER(X211),X211*12%,0))/(IF(ISNUMBER(Q211),42%,0)+IF(ISNUMBER(R211),28%,0)+IF(ISNUMBER(W211),18%,0)+IF(ISNUMBER(X211),12%,0)),2))</x:f>
        <x:v>46.08</x:v>
      </x:c>
      <x:c r="AN211" s="17" t="n">
        <x:f>IF(ISNUMBER(AC211),AC211,"")</x:f>
        <x:v>42.82</x:v>
      </x:c>
      <x:c r="AO211" s="17" t="n">
        <x:f>IF(COUNT(AG211,AH211)=0,"",ROUND((IF(ISNUMBER(AG211),AG211*60%,0)+IF(ISNUMBER(AH211),AH211*40%,0))/(IF(ISNUMBER(AG211),60%,0)+IF(ISNUMBER(AH211),40%,0)),2))</x:f>
        <x:v>46.43</x:v>
      </x:c>
      <x:c r="AP211" s="17" t="n">
        <x:f>IF(ISNUMBER(AK211),AK211,"")</x:f>
        <x:v>80</x:v>
      </x:c>
      <x:c r="AQ211" s="39" t="n">
        <x:f>IF(G211&lt;&gt;"入池",0,IF(ISNUMBER(I211),6%,0)+IF(ISNUMBER(K211),4.5%,0)+IF(ISNUMBER(L211),4.5%,0)+IF(ISNUMBER(Q211),8.4%,0)+IF(ISNUMBER(R211),5.6%,0)+IF(ISNUMBER(W211),3.6%,0)+IF(ISNUMBER(X211),2.4%,0)+IF(ISNUMBER(AC211),25%,0)+IF(ISNUMBER(AG211),18%,0)+IF(ISNUMBER(AH211),12%,0)+IF(ISNUMBER(AK211),10%,0))</x:f>
        <x:v>0.9550000000000001</x:v>
      </x:c>
      <x:c r="AR211" s="17" t="n">
        <x:f>IF(AQ211=0,"",IF(ISNUMBER(I211),I211*6%,0)+IF(ISNUMBER(K211),K211*4.5%,0)+IF(ISNUMBER(L211),L211*4.5%,0)+IF(ISNUMBER(Q211),Q211*8.4%,0)+IF(ISNUMBER(R211),R211*5.6%,0)+IF(ISNUMBER(W211),W211*3.6%,0)+IF(ISNUMBER(X211),X211*2.4%,0)+IF(ISNUMBER(AC211),AC211*25%,0)+IF(ISNUMBER(AG211),AG211*18%,0)+IF(ISNUMBER(AH211),AH211*12%,0)+IF(ISNUMBER(AK211),AK211*10%,0))</x:f>
        <x:v>52.35218</x:v>
      </x:c>
      <x:c r="AS211" s="17" t="n">
        <x:f>IF(AQ211=0,"",ROUND(AR211/AQ211,2))</x:f>
        <x:v>54.82</x:v>
      </x:c>
      <x:c r="AT211" s="40" t="n">
        <x:f>IF(OR(G211&lt;&gt;"入池",NOT(ISNUMBER(AS211))),"",COUNTIFS($G$17:$G$219,"入池",$AS$17:$AS$219,"&gt;"&amp;AS211)+COUNTIFS($G$17:$G$219,"入池",$AS$17:$AS$219,AS211,$AQ$17:$AQ$219,"&gt;"&amp;AQ211)+COUNTIFS($G$17:G211,"入池",$AS$17:AS211,AS211,$AQ$17:AQ211,AQ211))</x:f>
        <x:v>126</x:v>
      </x:c>
      <x:c r="AU211" s="41" t="str">
        <x:f t="shared" si="9">IF(NOT(ISNUMBER(I211)),"管理人规模；","")&amp;IF(J211="","产品规模标识；","")&amp;IF(AND(F211&lt;3,NOT(ISNUMBER(O211))),"R_incep；","")&amp;IF(NOT(ISNUMBER(N211)),"近三年收益；","")&amp;IF(NOT(ISNUMBER(U211)),"近三年胜率；","")&amp;IF(AND(ISNUMBER(V211),OR(V211&lt;0,V211&gt;1)),"胜率窗口口径不一致；","")&amp;IF(NOT(ISNUMBER(AA211)),"近三年回撤；","")&amp;IF(NOT(ISNUMBER(AD211)),"短期卡玛；","")&amp;IF(AND(ISNUMBER(P211),NOT(ISNUMBER(AE211))),"DD_long不可识别；","")</x:f>
        <x:v>产品规模标识；</x:v>
      </x:c>
      <x:c r="AV211" s="42" t="n">
        <x:v>100</x:v>
      </x:c>
      <x:c r="AW211" s="19" t="str">
        <x:v>上海展弘投资管理有限公司</x:v>
      </x:c>
      <x:c r="AX211" s="19" t="str">
        <x:v>2025-10-24</x:v>
      </x:c>
      <x:c r="AY211" s="19" t="str">
        <x:v>https://gs.amac.org.cn/amac-infodisc/res/pof/manager/101000019470.html</x:v>
      </x:c>
      <x:c r="AZ211" s="19"/>
      <x:c r="BA211" s="19"/>
      <x:c r="BB211" s="19"/>
      <x:c r="BC211" s="19"/>
      <x:c r="BD211" s="19" t="str">
        <x:v>基金页未匹配；管理人已核验</x:v>
      </x:c>
      <x:c r="BE211"/>
      <x:c r="BF211"/>
    </x:row>
    <x:row r="212" ht="28" customHeight="1">
      <x:c r="A212" s="4" t="n">
        <x:v>196</x:v>
      </x:c>
      <x:c r="B212" s="15" t="str">
        <x:f>'sheet4-原始数据'!A197</x:f>
        <x:v>鸿熵天然1号A类</x:v>
      </x:c>
      <x:c r="C212" s="15" t="str">
        <x:f>'sheet4-原始数据'!B197</x:f>
        <x:v>XU720A</x:v>
      </x:c>
      <x:c r="D212" s="15" t="str">
        <x:f>'sheet4-原始数据'!E197</x:f>
        <x:v>北京鸿熵</x:v>
      </x:c>
      <x:c r="E212" s="32" t="n">
        <x:f>IF(ISNUMBER('sheet4-原始数据'!F197),'sheet4-原始数据'!F197,"")</x:f>
        <x:v>44883</x:v>
      </x:c>
      <x:c r="F212" s="17" t="n">
        <x:f>IF(NOT(ISNUMBER(E212)),"",ROUND(('sheet1-指标体系'!$J$23-E212)/365.25,4))</x:f>
        <x:v>3.8275</x:v>
      </x:c>
      <x:c r="G212" s="4" t="str">
        <x:f t="shared" si="8">IF(NOT(ISNUMBER(F212)),"",IF(F212&lt;1,"不入池","入池"))</x:f>
        <x:v>入池</x:v>
      </x:c>
      <x:c r="H212" s="33" t="str">
        <x:v>0-5亿元</x:v>
      </x:c>
      <x:c r="I212" s="17" t="n">
        <x:f>IF(H212="","",IF(ISNUMBER(SEARCH("100亿元以上",H212)),100,IF(OR(ISNUMBER(SEARCH("20-50",H212)),ISNUMBER(SEARCH("50-100",H212)),ISNUMBER(SEARCH("20-100",H212))),90,IF(ISNUMBER(SEARCH("10-20",H212)),80,IF(ISNUMBER(SEARCH("5-10",H212)),70,IF(ISNUMBER(SEARCH("0-5",H212)),60,""))))))</x:f>
        <x:v>60</x:v>
      </x:c>
      <x:c r="J212" s="34"/>
      <x:c r="K212" s="17" t="str">
        <x:f>IF(J212="","",IF(J212="低于1000万元",0,100))</x:f>
      </x:c>
      <x:c r="L212" s="17" t="n">
        <x:f>IF(NOT(ISNUMBER(F212)),"",IF(F212&lt;1,"",IF(F212&lt;3,70,100)))</x:f>
        <x:v>100</x:v>
      </x:c>
      <x:c r="M212" s="35" t="n">
        <x:f>IF(ISNUMBER('sheet4-原始数据'!G197),'sheet4-原始数据'!G197,"")</x:f>
        <x:v>0.038900000000000004</x:v>
      </x:c>
      <x:c r="N212" s="35" t="n">
        <x:f>IF(ISNUMBER('sheet4-原始数据'!H197),'sheet4-原始数据'!H197,"")</x:f>
        <x:v>0.049400000000000006</x:v>
      </x:c>
      <x:c r="O212" s="36" t="str">
        <x:f>IF(ISNUMBER('sheet4-原始数据'!Q197),'sheet4-原始数据'!Q197,"")</x:f>
      </x:c>
      <x:c r="P212" s="37" t="n">
        <x:f>IF($G212&lt;&gt;"入池","",IF($F212&gt;=3,IF(OR(NOT(ISNUMBER($M212)),NOT(ISNUMBER($N212)),1+$M212&lt;=0,1+$N212&lt;0),"",((1+$N212)^3/(1+$M212))^(1/2)-1),IF(OR($F212&lt;=1,NOT(ISNUMBER($M212)),NOT(ISNUMBER($O212)),1+$M212&lt;=0,1+$O212&lt;0),"",((1+$O212)^$F212/(1+$M212))^(1/($F212-1))-1)))</x:f>
        <x:v>0.05468972891534629</x:v>
      </x:c>
      <x:c r="Q212" s="17" t="n">
        <x:f>IF(OR($G212&lt;&gt;"入池",NOT(ISNUMBER(M212))),"",IF(COUNTIFS($G$17:$G$219,"入池",$M$17:$M$219,"&gt;=-1E+307",$M$17:$M$219,"&lt;=1E+307")&lt;=1,100,ROUND(100*(COUNTIFS($G$17:$G$219,"入池",$M$17:$M$219,"&gt;=-1E+307",$M$17:$M$219,"&lt;"&amp;M212)+COUNTIFS($G$17:$G$219,"入池",$M$17:$M$219,M212,$M$17:$M$219,"&gt;=-1E+307",$M$17:$M$219,"&lt;=1E+307")/2-0.5)/(COUNTIFS($G$17:$G$219,"入池",$M$17:$M$219,"&gt;=-1E+307",$M$17:$M$219,"&lt;=1E+307")-1),2)))</x:f>
        <x:v>39.11</x:v>
      </x:c>
      <x:c r="R212" s="17" t="n">
        <x:f>IF(OR($G212&lt;&gt;"入池",NOT(ISNUMBER(P212))),"",IF(COUNTIFS($G$17:$G$219,"入池",$P$17:$P$219,"&gt;=-1E+307",$P$17:$P$219,"&lt;=1E+307")&lt;=1,100,ROUND(100*(COUNTIFS($G$17:$G$219,"入池",$P$17:$P$219,"&gt;=-1E+307",$P$17:$P$219,"&lt;"&amp;P212)+COUNTIFS($G$17:$G$219,"入池",$P$17:$P$219,P212,$P$17:$P$219,"&gt;=-1E+307",$P$17:$P$219,"&lt;=1E+307")/2-0.5)/(COUNTIFS($G$17:$G$219,"入池",$P$17:$P$219,"&gt;=-1E+307",$P$17:$P$219,"&lt;=1E+307")-1),2)))</x:f>
        <x:v>40.59</x:v>
      </x:c>
      <x:c r="S212" s="17" t="n">
        <x:f>IF(NOT(ISNUMBER(Q212)),"",IF(NOT(ISNUMBER(R212)),Q212,ROUND(Q212*'sheet1-指标体系'!$J$8+R212*'sheet1-指标体系'!$J$9,2)))</x:f>
        <x:v>39.7</x:v>
      </x:c>
      <x:c r="T212" s="35" t="n">
        <x:f>IF(ISNUMBER('sheet4-原始数据'!J197),'sheet4-原始数据'!J197,"")</x:f>
        <x:v>0.5385</x:v>
      </x:c>
      <x:c r="U212" s="35" t="n">
        <x:f>IF(ISNUMBER('sheet4-原始数据'!I197),'sheet4-原始数据'!I197,"")</x:f>
        <x:v>0.5405</x:v>
      </x:c>
      <x:c r="V212" s="37" t="n">
        <x:f>IF(OR(NOT(ISNUMBER(T212)),NOT(ISNUMBER(U212))),"",(U212*'sheet1-指标体系'!$J$6-T212*'sheet1-指标体系'!$J$5)/'sheet1-指标体系'!$J$7)</x:f>
        <x:v>0.5415833333333334</x:v>
      </x:c>
      <x:c r="W212" s="17" t="n">
        <x:f>IF(NOT(ISNUMBER(T212)),"",T212*100)</x:f>
        <x:v>53.849999999999994</x:v>
      </x:c>
      <x:c r="X212" s="17" t="n">
        <x:f>IF($G212&lt;&gt;"入池","",IF(AND(ISNUMBER(V212),V212&gt;=0,V212&lt;=1),V212*100,IF(MAX(0,($F212-1)*12)&lt;6,100,"")))</x:f>
        <x:v>54.15833333333334</x:v>
      </x:c>
      <x:c r="Y212" s="17" t="n">
        <x:f>IF(NOT(ISNUMBER(W212)),"",IF(NOT(ISNUMBER(X212)),W212,ROUND(W212*'sheet1-指标体系'!$J$8+X212*'sheet1-指标体系'!$J$9,2)))</x:f>
        <x:v>53.97</x:v>
      </x:c>
      <x:c r="Z212" s="37" t="n">
        <x:f>IF(OR(NOT(ISNUMBER(M212)),NOT(ISNUMBER(AD212)),AD212=0),"",ABS(M212/AD212))</x:f>
        <x:v>0.15498007968127492</x:v>
      </x:c>
      <x:c r="AA212" s="35" t="n">
        <x:f>IF(ISNUMBER('sheet4-原始数据'!K197),'sheet4-原始数据'!K197,"")</x:f>
        <x:v>0.1551</x:v>
      </x:c>
      <x:c r="AB212" s="37" t="n">
        <x:f>IF(COUNT(Z212:AA212)=0,"",MAX(Z212:AA212))</x:f>
        <x:v>0.1551</x:v>
      </x:c>
      <x:c r="AC212" s="17" t="n">
        <x:f>IF(OR($G212&lt;&gt;"入池",NOT(ISNUMBER(AB212))),"",IF(COUNTIFS($G$17:$G$219,"入池",$AB$17:$AB$219,"&gt;=-1E+307",$AB$17:$AB$219,"&lt;=1E+307")&lt;=1,100,ROUND(100*(COUNTIFS($G$17:$G$219,"入池",$AB$17:$AB$219,"&lt;=1E+307",$AB$17:$AB$219,"&gt;"&amp;AB212)+COUNTIFS($G$17:$G$219,"入池",$AB$17:$AB$219,AB212,$AB$17:$AB$219,"&gt;=-1E+307",$AB$17:$AB$219,"&lt;=1E+307")/2-0.5)/(COUNTIFS($G$17:$G$219,"入池",$AB$17:$AB$219,"&gt;=-1E+307",$AB$17:$AB$219,"&lt;=1E+307")-1),2)))</x:f>
        <x:v>12.87</x:v>
      </x:c>
      <x:c r="AD212" s="38" t="n">
        <x:f>IF(ISNUMBER('sheet4-原始数据'!M197),'sheet4-原始数据'!M197,"")</x:f>
        <x:v>0.251</x:v>
      </x:c>
      <x:c r="AE212" s="37" t="n">
        <x:f>IF(OR(NOT(ISNUMBER(P212)),NOT(ISNUMBER(AA212)),NOT(ISNUMBER(Z212))),"",IF(AA212&gt;Z212+'sheet1-指标体系'!$J$11,AA212,""))</x:f>
        <x:v>0.1551</x:v>
      </x:c>
      <x:c r="AF212" s="17" t="n">
        <x:f>IF(OR(NOT(ISNUMBER(P212)),NOT(ISNUMBER(AE212)),AE212=0),"",P212/AE212)</x:f>
        <x:v>0.35260947076303223</x:v>
      </x:c>
      <x:c r="AG212" s="17" t="n">
        <x:f>IF(OR($G212&lt;&gt;"入池",NOT(ISNUMBER(AD212))),"",IF(COUNTIFS($G$17:$G$219,"入池",$AD$17:$AD$219,"&gt;=-1E+307",$AD$17:$AD$219,"&lt;=1E+307")&lt;=1,100,ROUND(100*(COUNTIFS($G$17:$G$219,"入池",$AD$17:$AD$219,"&gt;=-1E+307",$AD$17:$AD$219,"&lt;"&amp;AD212)+COUNTIFS($G$17:$G$219,"入池",$AD$17:$AD$219,AD212,$AD$17:$AD$219,"&gt;=-1E+307",$AD$17:$AD$219,"&lt;=1E+307")/2-0.5)/(COUNTIFS($G$17:$G$219,"入池",$AD$17:$AD$219,"&gt;=-1E+307",$AD$17:$AD$219,"&lt;=1E+307")-1),2)))</x:f>
        <x:v>22.39</x:v>
      </x:c>
      <x:c r="AH212" s="17" t="n">
        <x:f>IF(OR($G212&lt;&gt;"入池",NOT(ISNUMBER(AF212))),"",IF(COUNTIFS($G$17:$G$219,"入池",$AF$17:$AF$219,"&gt;=-1E+307",$AF$17:$AF$219,"&lt;=1E+307")&lt;=1,100,ROUND(100*(COUNTIFS($G$17:$G$219,"入池",$AF$17:$AF$219,"&gt;=-1E+307",$AF$17:$AF$219,"&lt;"&amp;AF212)+COUNTIFS($G$17:$G$219,"入池",$AF$17:$AF$219,AF212,$AF$17:$AF$219,"&gt;=-1E+307",$AF$17:$AF$219,"&lt;=1E+307")/2-0.5)/(COUNTIFS($G$17:$G$219,"入池",$AF$17:$AF$219,"&gt;=-1E+307",$AF$17:$AF$219,"&lt;=1E+307")-1),2)))</x:f>
        <x:v>14.6</x:v>
      </x:c>
      <x:c r="AI212" s="17" t="n">
        <x:f>IF(NOT(ISNUMBER(AG212)),"",IF(NOT(ISNUMBER(AH212)),AG212,ROUND(AG212*'sheet1-指标体系'!$J$8+AH212*'sheet1-指标体系'!$J$9,2)))</x:f>
        <x:v>19.27</x:v>
      </x:c>
      <x:c r="AJ212" s="37" t="n">
        <x:f>IF(NOT(ISNUMBER(F212)),"",IF(F212&gt;=3,IF(NOT(ISNUMBER(N212)),"",N212),IF(NOT(ISNUMBER(O212)),"",O212)))</x:f>
        <x:v>0.049400000000000006</x:v>
      </x:c>
      <x:c r="AK212" s="17" t="n">
        <x:f>IF(OR(G212&lt;&gt;"入池",NOT(ISNUMBER(M212)),NOT(ISNUMBER(AJ212))),"",IF(M212&gt;=AJ212,100,IF(AJ212-M212&lt;'sheet1-指标体系'!$J$10,80,60)))</x:f>
        <x:v>80</x:v>
      </x:c>
      <x:c r="AL212" s="17" t="n">
        <x:f>IF(COUNT(I212,K212,L212)=0,"",ROUND((IF(ISNUMBER(I212),I212*40%,0)+IF(ISNUMBER(K212),K212*30%,0)+IF(ISNUMBER(L212),L212*30%,0))/(IF(ISNUMBER(I212),40%,0)+IF(ISNUMBER(K212),30%,0)+IF(ISNUMBER(L212),30%,0)),2))</x:f>
        <x:v>77.14</x:v>
      </x:c>
      <x:c r="AM212" s="17" t="n">
        <x:f>IF(COUNT(Q212,R212,W212,X212)=0,"",ROUND((IF(ISNUMBER(Q212),Q212*42%,0)+IF(ISNUMBER(R212),R212*28%,0)+IF(ISNUMBER(W212),W212*18%,0)+IF(ISNUMBER(X212),X212*12%,0))/(IF(ISNUMBER(Q212),42%,0)+IF(ISNUMBER(R212),28%,0)+IF(ISNUMBER(W212),18%,0)+IF(ISNUMBER(X212),12%,0)),2))</x:f>
        <x:v>43.98</x:v>
      </x:c>
      <x:c r="AN212" s="17" t="n">
        <x:f>IF(ISNUMBER(AC212),AC212,"")</x:f>
        <x:v>12.87</x:v>
      </x:c>
      <x:c r="AO212" s="17" t="n">
        <x:f>IF(COUNT(AG212,AH212)=0,"",ROUND((IF(ISNUMBER(AG212),AG212*60%,0)+IF(ISNUMBER(AH212),AH212*40%,0))/(IF(ISNUMBER(AG212),60%,0)+IF(ISNUMBER(AH212),40%,0)),2))</x:f>
        <x:v>19.27</x:v>
      </x:c>
      <x:c r="AP212" s="17" t="n">
        <x:f>IF(ISNUMBER(AK212),AK212,"")</x:f>
        <x:v>80</x:v>
      </x:c>
      <x:c r="AQ212" s="39" t="n">
        <x:f>IF(G212&lt;&gt;"入池",0,IF(ISNUMBER(I212),6%,0)+IF(ISNUMBER(K212),4.5%,0)+IF(ISNUMBER(L212),4.5%,0)+IF(ISNUMBER(Q212),8.4%,0)+IF(ISNUMBER(R212),5.6%,0)+IF(ISNUMBER(W212),3.6%,0)+IF(ISNUMBER(X212),2.4%,0)+IF(ISNUMBER(AC212),25%,0)+IF(ISNUMBER(AG212),18%,0)+IF(ISNUMBER(AH212),12%,0)+IF(ISNUMBER(AK212),10%,0))</x:f>
        <x:v>0.9550000000000001</x:v>
      </x:c>
      <x:c r="AR212" s="17" t="n">
        <x:f>IF(AQ212=0,"",IF(ISNUMBER(I212),I212*6%,0)+IF(ISNUMBER(K212),K212*4.5%,0)+IF(ISNUMBER(L212),L212*4.5%,0)+IF(ISNUMBER(Q212),Q212*8.4%,0)+IF(ISNUMBER(R212),R212*5.6%,0)+IF(ISNUMBER(W212),W212*3.6%,0)+IF(ISNUMBER(X212),X212*2.4%,0)+IF(ISNUMBER(AC212),AC212*25%,0)+IF(ISNUMBER(AG212),AG212*18%,0)+IF(ISNUMBER(AH212),AH212*12%,0)+IF(ISNUMBER(AK212),AK212*10%,0))</x:f>
        <x:v>33.89638</x:v>
      </x:c>
      <x:c r="AS212" s="17" t="n">
        <x:f>IF(AQ212=0,"",ROUND(AR212/AQ212,2))</x:f>
        <x:v>35.49</x:v>
      </x:c>
      <x:c r="AT212" s="40" t="n">
        <x:f>IF(OR(G212&lt;&gt;"入池",NOT(ISNUMBER(AS212))),"",COUNTIFS($G$17:$G$219,"入池",$AS$17:$AS$219,"&gt;"&amp;AS212)+COUNTIFS($G$17:$G$219,"入池",$AS$17:$AS$219,AS212,$AQ$17:$AQ$219,"&gt;"&amp;AQ212)+COUNTIFS($G$17:G212,"入池",$AS$17:AS212,AS212,$AQ$17:AQ212,AQ212))</x:f>
        <x:v>184</x:v>
      </x:c>
      <x:c r="AU212" s="41" t="str">
        <x:f t="shared" si="9">IF(NOT(ISNUMBER(I212)),"管理人规模；","")&amp;IF(J212="","产品规模标识；","")&amp;IF(AND(F212&lt;3,NOT(ISNUMBER(O212))),"R_incep；","")&amp;IF(NOT(ISNUMBER(N212)),"近三年收益；","")&amp;IF(NOT(ISNUMBER(U212)),"近三年胜率；","")&amp;IF(AND(ISNUMBER(V212),OR(V212&lt;0,V212&gt;1)),"胜率窗口口径不一致；","")&amp;IF(NOT(ISNUMBER(AA212)),"近三年回撤；","")&amp;IF(NOT(ISNUMBER(AD212)),"短期卡玛；","")&amp;IF(AND(ISNUMBER(P212),NOT(ISNUMBER(AE212))),"DD_long不可识别；","")</x:f>
        <x:v>产品规模标识；</x:v>
      </x:c>
      <x:c r="AV212" s="42" t="n">
        <x:v>0</x:v>
      </x:c>
      <x:c r="AW212" s="19" t="str">
        <x:v>北京鸿熵私募基金管理有限公司</x:v>
      </x:c>
      <x:c r="AX212" s="19" t="str">
        <x:v>2025-05-13</x:v>
      </x:c>
      <x:c r="AY212" s="19" t="str">
        <x:v>https://gs.amac.org.cn/amac-infodisc/res/pof/manager/101000011345.html</x:v>
      </x:c>
      <x:c r="AZ212" s="19"/>
      <x:c r="BA212" s="19"/>
      <x:c r="BB212" s="19"/>
      <x:c r="BC212" s="19"/>
      <x:c r="BD212" s="19" t="str">
        <x:v>基金页未匹配；管理人已核验</x:v>
      </x:c>
      <x:c r="BE212"/>
      <x:c r="BF212"/>
    </x:row>
    <x:row r="213" ht="28" customHeight="1">
      <x:c r="A213" s="4" t="n">
        <x:v>197</x:v>
      </x:c>
      <x:c r="B213" s="15" t="str">
        <x:f>'sheet4-原始数据'!A198</x:f>
        <x:v>乘舟紫荆1号B类</x:v>
      </x:c>
      <x:c r="C213" s="15" t="str">
        <x:f>'sheet4-原始数据'!B198</x:f>
        <x:v>XW399B</x:v>
      </x:c>
      <x:c r="D213" s="15" t="str">
        <x:f>'sheet4-原始数据'!E198</x:f>
        <x:v>上海乘舟投资</x:v>
      </x:c>
      <x:c r="E213" s="32" t="n">
        <x:f>IF(ISNUMBER('sheet4-原始数据'!F198),'sheet4-原始数据'!F198,"")</x:f>
        <x:v>44896</x:v>
      </x:c>
      <x:c r="F213" s="17" t="n">
        <x:f>IF(NOT(ISNUMBER(E213)),"",ROUND(('sheet1-指标体系'!$J$23-E213)/365.25,4))</x:f>
        <x:v>3.7919</x:v>
      </x:c>
      <x:c r="G213" s="4" t="str">
        <x:f t="shared" si="8">IF(NOT(ISNUMBER(F213)),"",IF(F213&lt;1,"不入池","入池"))</x:f>
        <x:v>入池</x:v>
      </x:c>
      <x:c r="H213" s="33" t="str">
        <x:v>5-10亿元</x:v>
      </x:c>
      <x:c r="I213" s="17" t="n">
        <x:f>IF(H213="","",IF(ISNUMBER(SEARCH("100亿元以上",H213)),100,IF(OR(ISNUMBER(SEARCH("20-50",H213)),ISNUMBER(SEARCH("50-100",H213)),ISNUMBER(SEARCH("20-100",H213))),90,IF(ISNUMBER(SEARCH("10-20",H213)),80,IF(ISNUMBER(SEARCH("5-10",H213)),70,IF(ISNUMBER(SEARCH("0-5",H213)),60,""))))))</x:f>
        <x:v>70</x:v>
      </x:c>
      <x:c r="J213" s="34"/>
      <x:c r="K213" s="17" t="str">
        <x:f>IF(J213="","",IF(J213="低于1000万元",0,100))</x:f>
      </x:c>
      <x:c r="L213" s="17" t="n">
        <x:f>IF(NOT(ISNUMBER(F213)),"",IF(F213&lt;1,"",IF(F213&lt;3,70,100)))</x:f>
        <x:v>100</x:v>
      </x:c>
      <x:c r="M213" s="35" t="n">
        <x:f>IF(ISNUMBER('sheet4-原始数据'!G198),'sheet4-原始数据'!G198,"")</x:f>
        <x:v>-0.0127</x:v>
      </x:c>
      <x:c r="N213" s="35" t="n">
        <x:f>IF(ISNUMBER('sheet4-原始数据'!H198),'sheet4-原始数据'!H198,"")</x:f>
        <x:v>0.06280000000000001</x:v>
      </x:c>
      <x:c r="O213" s="36" t="str">
        <x:f>IF(ISNUMBER('sheet4-原始数据'!Q198),'sheet4-原始数据'!Q198,"")</x:f>
      </x:c>
      <x:c r="P213" s="37" t="n">
        <x:f>IF($G213&lt;&gt;"入池","",IF($F213&gt;=3,IF(OR(NOT(ISNUMBER($M213)),NOT(ISNUMBER($N213)),1+$M213&lt;=0,1+$N213&lt;0),"",((1+$N213)^3/(1+$M213))^(1/2)-1),IF(OR($F213&lt;=1,NOT(ISNUMBER($M213)),NOT(ISNUMBER($O213)),1+$M213&lt;=0,1+$O213&lt;0),"",((1+$O213)^$F213/(1+$M213))^(1/($F213-1))-1)))</x:f>
        <x:v>0.1026882582429216</x:v>
      </x:c>
      <x:c r="Q213" s="17" t="n">
        <x:f>IF(OR($G213&lt;&gt;"入池",NOT(ISNUMBER(M213))),"",IF(COUNTIFS($G$17:$G$219,"入池",$M$17:$M$219,"&gt;=-1E+307",$M$17:$M$219,"&lt;=1E+307")&lt;=1,100,ROUND(100*(COUNTIFS($G$17:$G$219,"入池",$M$17:$M$219,"&gt;=-1E+307",$M$17:$M$219,"&lt;"&amp;M213)+COUNTIFS($G$17:$G$219,"入池",$M$17:$M$219,M213,$M$17:$M$219,"&gt;=-1E+307",$M$17:$M$219,"&lt;=1E+307")/2-0.5)/(COUNTIFS($G$17:$G$219,"入池",$M$17:$M$219,"&gt;=-1E+307",$M$17:$M$219,"&lt;=1E+307")-1),2)))</x:f>
        <x:v>16.34</x:v>
      </x:c>
      <x:c r="R213" s="17" t="n">
        <x:f>IF(OR($G213&lt;&gt;"入池",NOT(ISNUMBER(P213))),"",IF(COUNTIFS($G$17:$G$219,"入池",$P$17:$P$219,"&gt;=-1E+307",$P$17:$P$219,"&lt;=1E+307")&lt;=1,100,ROUND(100*(COUNTIFS($G$17:$G$219,"入池",$P$17:$P$219,"&gt;=-1E+307",$P$17:$P$219,"&lt;"&amp;P213)+COUNTIFS($G$17:$G$219,"入池",$P$17:$P$219,P213,$P$17:$P$219,"&gt;=-1E+307",$P$17:$P$219,"&lt;=1E+307")/2-0.5)/(COUNTIFS($G$17:$G$219,"入池",$P$17:$P$219,"&gt;=-1E+307",$P$17:$P$219,"&lt;=1E+307")-1),2)))</x:f>
        <x:v>73.76</x:v>
      </x:c>
      <x:c r="S213" s="17" t="n">
        <x:f>IF(NOT(ISNUMBER(Q213)),"",IF(NOT(ISNUMBER(R213)),Q213,ROUND(Q213*'sheet1-指标体系'!$J$8+R213*'sheet1-指标体系'!$J$9,2)))</x:f>
        <x:v>39.31</x:v>
      </x:c>
      <x:c r="T213" s="35" t="n">
        <x:f>IF(ISNUMBER('sheet4-原始数据'!J198),'sheet4-原始数据'!J198,"")</x:f>
        <x:v>0.7692</x:v>
      </x:c>
      <x:c r="U213" s="35" t="n">
        <x:f>IF(ISNUMBER('sheet4-原始数据'!I198),'sheet4-原始数据'!I198,"")</x:f>
        <x:v>0.8649</x:v>
      </x:c>
      <x:c r="V213" s="37" t="n">
        <x:f>IF(OR(NOT(ISNUMBER(T213)),NOT(ISNUMBER(U213))),"",(U213*'sheet1-指标体系'!$J$6-T213*'sheet1-指标体系'!$J$5)/'sheet1-指标体系'!$J$7)</x:f>
        <x:v>0.9167375</x:v>
      </x:c>
      <x:c r="W213" s="17" t="n">
        <x:f>IF(NOT(ISNUMBER(T213)),"",T213*100)</x:f>
        <x:v>76.92</x:v>
      </x:c>
      <x:c r="X213" s="17" t="n">
        <x:f>IF($G213&lt;&gt;"入池","",IF(AND(ISNUMBER(V213),V213&gt;=0,V213&lt;=1),V213*100,IF(MAX(0,($F213-1)*12)&lt;6,100,"")))</x:f>
        <x:v>91.67375</x:v>
      </x:c>
      <x:c r="Y213" s="17" t="n">
        <x:f>IF(NOT(ISNUMBER(W213)),"",IF(NOT(ISNUMBER(X213)),W213,ROUND(W213*'sheet1-指标体系'!$J$8+X213*'sheet1-指标体系'!$J$9,2)))</x:f>
        <x:v>82.82</x:v>
      </x:c>
      <x:c r="Z213" s="37" t="n">
        <x:f>IF(OR(NOT(ISNUMBER(M213)),NOT(ISNUMBER(AD213)),AD213=0),"",ABS(M213/AD213))</x:f>
        <x:v>0.09906396255850233</x:v>
      </x:c>
      <x:c r="AA213" s="35" t="n">
        <x:f>IF(ISNUMBER('sheet4-原始数据'!K198),'sheet4-原始数据'!K198,"")</x:f>
        <x:v>0.09910000000000001</x:v>
      </x:c>
      <x:c r="AB213" s="37" t="n">
        <x:f>IF(COUNT(Z213:AA213)=0,"",MAX(Z213:AA213))</x:f>
        <x:v>0.09910000000000001</x:v>
      </x:c>
      <x:c r="AC213" s="17" t="n">
        <x:f>IF(OR($G213&lt;&gt;"入池",NOT(ISNUMBER(AB213))),"",IF(COUNTIFS($G$17:$G$219,"入池",$AB$17:$AB$219,"&gt;=-1E+307",$AB$17:$AB$219,"&lt;=1E+307")&lt;=1,100,ROUND(100*(COUNTIFS($G$17:$G$219,"入池",$AB$17:$AB$219,"&lt;=1E+307",$AB$17:$AB$219,"&gt;"&amp;AB213)+COUNTIFS($G$17:$G$219,"入池",$AB$17:$AB$219,AB213,$AB$17:$AB$219,"&gt;=-1E+307",$AB$17:$AB$219,"&lt;=1E+307")/2-0.5)/(COUNTIFS($G$17:$G$219,"入池",$AB$17:$AB$219,"&gt;=-1E+307",$AB$17:$AB$219,"&lt;=1E+307")-1),2)))</x:f>
        <x:v>27.72</x:v>
      </x:c>
      <x:c r="AD213" s="38" t="n">
        <x:f>IF(ISNUMBER('sheet4-原始数据'!M198),'sheet4-原始数据'!M198,"")</x:f>
        <x:v>-0.1282</x:v>
      </x:c>
      <x:c r="AE213" s="37" t="str">
        <x:f>IF(OR(NOT(ISNUMBER(P213)),NOT(ISNUMBER(AA213)),NOT(ISNUMBER(Z213))),"",IF(AA213&gt;Z213+'sheet1-指标体系'!$J$11,AA213,""))</x:f>
      </x:c>
      <x:c r="AF213" s="17" t="str">
        <x:f>IF(OR(NOT(ISNUMBER(P213)),NOT(ISNUMBER(AE213)),AE213=0),"",P213/AE213)</x:f>
      </x:c>
      <x:c r="AG213" s="17" t="n">
        <x:f>IF(OR($G213&lt;&gt;"入池",NOT(ISNUMBER(AD213))),"",IF(COUNTIFS($G$17:$G$219,"入池",$AD$17:$AD$219,"&gt;=-1E+307",$AD$17:$AD$219,"&lt;=1E+307")&lt;=1,100,ROUND(100*(COUNTIFS($G$17:$G$219,"入池",$AD$17:$AD$219,"&gt;=-1E+307",$AD$17:$AD$219,"&lt;"&amp;AD213)+COUNTIFS($G$17:$G$219,"入池",$AD$17:$AD$219,AD213,$AD$17:$AD$219,"&gt;=-1E+307",$AD$17:$AD$219,"&lt;=1E+307")/2-0.5)/(COUNTIFS($G$17:$G$219,"入池",$AD$17:$AD$219,"&gt;=-1E+307",$AD$17:$AD$219,"&lt;=1E+307")-1),2)))</x:f>
        <x:v>15.42</x:v>
      </x:c>
      <x:c r="AH213" s="17" t="str">
        <x:f>IF(OR($G213&lt;&gt;"入池",NOT(ISNUMBER(AF213))),"",IF(COUNTIFS($G$17:$G$219,"入池",$AF$17:$AF$219,"&gt;=-1E+307",$AF$17:$AF$219,"&lt;=1E+307")&lt;=1,100,ROUND(100*(COUNTIFS($G$17:$G$219,"入池",$AF$17:$AF$219,"&gt;=-1E+307",$AF$17:$AF$219,"&lt;"&amp;AF213)+COUNTIFS($G$17:$G$219,"入池",$AF$17:$AF$219,AF213,$AF$17:$AF$219,"&gt;=-1E+307",$AF$17:$AF$219,"&lt;=1E+307")/2-0.5)/(COUNTIFS($G$17:$G$219,"入池",$AF$17:$AF$219,"&gt;=-1E+307",$AF$17:$AF$219,"&lt;=1E+307")-1),2)))</x:f>
      </x:c>
      <x:c r="AI213" s="17" t="n">
        <x:f>IF(NOT(ISNUMBER(AG213)),"",IF(NOT(ISNUMBER(AH213)),AG213,ROUND(AG213*'sheet1-指标体系'!$J$8+AH213*'sheet1-指标体系'!$J$9,2)))</x:f>
        <x:v>15.42</x:v>
      </x:c>
      <x:c r="AJ213" s="37" t="n">
        <x:f>IF(NOT(ISNUMBER(F213)),"",IF(F213&gt;=3,IF(NOT(ISNUMBER(N213)),"",N213),IF(NOT(ISNUMBER(O213)),"",O213)))</x:f>
        <x:v>0.06280000000000001</x:v>
      </x:c>
      <x:c r="AK213" s="17" t="n">
        <x:f>IF(OR(G213&lt;&gt;"入池",NOT(ISNUMBER(M213)),NOT(ISNUMBER(AJ213))),"",IF(M213&gt;=AJ213,100,IF(AJ213-M213&lt;'sheet1-指标体系'!$J$10,80,60)))</x:f>
        <x:v>80</x:v>
      </x:c>
      <x:c r="AL213" s="17" t="n">
        <x:f>IF(COUNT(I213,K213,L213)=0,"",ROUND((IF(ISNUMBER(I213),I213*40%,0)+IF(ISNUMBER(K213),K213*30%,0)+IF(ISNUMBER(L213),L213*30%,0))/(IF(ISNUMBER(I213),40%,0)+IF(ISNUMBER(K213),30%,0)+IF(ISNUMBER(L213),30%,0)),2))</x:f>
        <x:v>82.86</x:v>
      </x:c>
      <x:c r="AM213" s="17" t="n">
        <x:f>IF(COUNT(Q213,R213,W213,X213)=0,"",ROUND((IF(ISNUMBER(Q213),Q213*42%,0)+IF(ISNUMBER(R213),R213*28%,0)+IF(ISNUMBER(W213),W213*18%,0)+IF(ISNUMBER(X213),X213*12%,0))/(IF(ISNUMBER(Q213),42%,0)+IF(ISNUMBER(R213),28%,0)+IF(ISNUMBER(W213),18%,0)+IF(ISNUMBER(X213),12%,0)),2))</x:f>
        <x:v>52.36</x:v>
      </x:c>
      <x:c r="AN213" s="17" t="n">
        <x:f>IF(ISNUMBER(AC213),AC213,"")</x:f>
        <x:v>27.72</x:v>
      </x:c>
      <x:c r="AO213" s="17" t="n">
        <x:f>IF(COUNT(AG213,AH213)=0,"",ROUND((IF(ISNUMBER(AG213),AG213*60%,0)+IF(ISNUMBER(AH213),AH213*40%,0))/(IF(ISNUMBER(AG213),60%,0)+IF(ISNUMBER(AH213),40%,0)),2))</x:f>
        <x:v>15.42</x:v>
      </x:c>
      <x:c r="AP213" s="17" t="n">
        <x:f>IF(ISNUMBER(AK213),AK213,"")</x:f>
        <x:v>80</x:v>
      </x:c>
      <x:c r="AQ213" s="39" t="n">
        <x:f>IF(G213&lt;&gt;"入池",0,IF(ISNUMBER(I213),6%,0)+IF(ISNUMBER(K213),4.5%,0)+IF(ISNUMBER(L213),4.5%,0)+IF(ISNUMBER(Q213),8.4%,0)+IF(ISNUMBER(R213),5.6%,0)+IF(ISNUMBER(W213),3.6%,0)+IF(ISNUMBER(X213),2.4%,0)+IF(ISNUMBER(AC213),25%,0)+IF(ISNUMBER(AG213),18%,0)+IF(ISNUMBER(AH213),12%,0)+IF(ISNUMBER(AK213),10%,0))</x:f>
        <x:v>0.8350000000000001</x:v>
      </x:c>
      <x:c r="AR213" s="17" t="n">
        <x:f>IF(AQ213=0,"",IF(ISNUMBER(I213),I213*6%,0)+IF(ISNUMBER(K213),K213*4.5%,0)+IF(ISNUMBER(L213),L213*4.5%,0)+IF(ISNUMBER(Q213),Q213*8.4%,0)+IF(ISNUMBER(R213),R213*5.6%,0)+IF(ISNUMBER(W213),W213*3.6%,0)+IF(ISNUMBER(X213),X213*2.4%,0)+IF(ISNUMBER(AC213),AC213*25%,0)+IF(ISNUMBER(AG213),AG213*18%,0)+IF(ISNUMBER(AH213),AH213*12%,0)+IF(ISNUMBER(AK213),AK213*10%,0))</x:f>
        <x:v>36.87801</x:v>
      </x:c>
      <x:c r="AS213" s="17" t="n">
        <x:f>IF(AQ213=0,"",ROUND(AR213/AQ213,2))</x:f>
        <x:v>44.17</x:v>
      </x:c>
      <x:c r="AT213" s="40" t="n">
        <x:f>IF(OR(G213&lt;&gt;"入池",NOT(ISNUMBER(AS213))),"",COUNTIFS($G$17:$G$219,"入池",$AS$17:$AS$219,"&gt;"&amp;AS213)+COUNTIFS($G$17:$G$219,"入池",$AS$17:$AS$219,AS213,$AQ$17:$AQ$219,"&gt;"&amp;AQ213)+COUNTIFS($G$17:G213,"入池",$AS$17:AS213,AS213,$AQ$17:AQ213,AQ213))</x:f>
        <x:v>160</x:v>
      </x:c>
      <x:c r="AU213" s="41" t="str">
        <x:f t="shared" si="9">IF(NOT(ISNUMBER(I213)),"管理人规模；","")&amp;IF(J213="","产品规模标识；","")&amp;IF(AND(F213&lt;3,NOT(ISNUMBER(O213))),"R_incep；","")&amp;IF(NOT(ISNUMBER(N213)),"近三年收益；","")&amp;IF(NOT(ISNUMBER(U213)),"近三年胜率；","")&amp;IF(AND(ISNUMBER(V213),OR(V213&lt;0,V213&gt;1)),"胜率窗口口径不一致；","")&amp;IF(NOT(ISNUMBER(AA213)),"近三年回撤；","")&amp;IF(NOT(ISNUMBER(AD213)),"短期卡玛；","")&amp;IF(AND(ISNUMBER(P213),NOT(ISNUMBER(AE213))),"DD_long不可识别；","")</x:f>
        <x:v>产品规模标识；DD_long不可识别；</x:v>
      </x:c>
      <x:c r="AV213" s="42" t="n">
        <x:v>5</x:v>
      </x:c>
      <x:c r="AW213" s="19" t="str">
        <x:v>上海乘舟投资管理有限公司</x:v>
      </x:c>
      <x:c r="AX213" s="19" t="str">
        <x:v>2026-07-21</x:v>
      </x:c>
      <x:c r="AY213" s="19" t="str">
        <x:v>https://gs.amac.org.cn/amac-infodisc/res/pof/manager/2003191500102072.html</x:v>
      </x:c>
      <x:c r="AZ213" s="19"/>
      <x:c r="BA213" s="19"/>
      <x:c r="BB213" s="19"/>
      <x:c r="BC213" s="19"/>
      <x:c r="BD213" s="19" t="str">
        <x:v>基金页未匹配；管理人已核验</x:v>
      </x:c>
      <x:c r="BE213"/>
      <x:c r="BF213"/>
    </x:row>
    <x:row r="214" ht="28" customHeight="1">
      <x:c r="A214" s="4" t="n">
        <x:v>198</x:v>
      </x:c>
      <x:c r="B214" s="15" t="str">
        <x:f>'sheet4-原始数据'!A199</x:f>
        <x:v>博普稳增3号A类</x:v>
      </x:c>
      <x:c r="C214" s="15" t="str">
        <x:f>'sheet4-原始数据'!B199</x:f>
        <x:v>W7191A</x:v>
      </x:c>
      <x:c r="D214" s="15" t="str">
        <x:f>'sheet4-原始数据'!E199</x:f>
        <x:v>深圳博普科技</x:v>
      </x:c>
      <x:c r="E214" s="32" t="n">
        <x:f>IF(ISNUMBER('sheet4-原始数据'!F199),'sheet4-原始数据'!F199,"")</x:f>
        <x:v>42950</x:v>
      </x:c>
      <x:c r="F214" s="17" t="n">
        <x:f>IF(NOT(ISNUMBER(E214)),"",ROUND(('sheet1-指标体系'!$J$23-E214)/365.25,4))</x:f>
        <x:v>9.1198</x:v>
      </x:c>
      <x:c r="G214" s="4" t="str">
        <x:f t="shared" si="8">IF(NOT(ISNUMBER(F214)),"",IF(F214&lt;1,"不入池","入池"))</x:f>
        <x:v>入池</x:v>
      </x:c>
      <x:c r="H214" s="33" t="str">
        <x:v>100亿元以上</x:v>
      </x:c>
      <x:c r="I214" s="17" t="n">
        <x:f>IF(H214="","",IF(ISNUMBER(SEARCH("100亿元以上",H214)),100,IF(OR(ISNUMBER(SEARCH("20-50",H214)),ISNUMBER(SEARCH("50-100",H214)),ISNUMBER(SEARCH("20-100",H214))),90,IF(ISNUMBER(SEARCH("10-20",H214)),80,IF(ISNUMBER(SEARCH("5-10",H214)),70,IF(ISNUMBER(SEARCH("0-5",H214)),60,""))))))</x:f>
        <x:v>100</x:v>
      </x:c>
      <x:c r="J214" s="34"/>
      <x:c r="K214" s="17" t="str">
        <x:f>IF(J214="","",IF(J214="低于1000万元",0,100))</x:f>
      </x:c>
      <x:c r="L214" s="17" t="n">
        <x:f>IF(NOT(ISNUMBER(F214)),"",IF(F214&lt;1,"",IF(F214&lt;3,70,100)))</x:f>
        <x:v>100</x:v>
      </x:c>
      <x:c r="M214" s="35" t="n">
        <x:f>IF(ISNUMBER('sheet4-原始数据'!G199),'sheet4-原始数据'!G199,"")</x:f>
        <x:v>0.0634</x:v>
      </x:c>
      <x:c r="N214" s="35" t="n">
        <x:f>IF(ISNUMBER('sheet4-原始数据'!H199),'sheet4-原始数据'!H199,"")</x:f>
        <x:v>0.046900000000000004</x:v>
      </x:c>
      <x:c r="O214" s="36" t="str">
        <x:f>IF(ISNUMBER('sheet4-原始数据'!Q199),'sheet4-原始数据'!Q199,"")</x:f>
      </x:c>
      <x:c r="P214" s="37" t="n">
        <x:f>IF($G214&lt;&gt;"入池","",IF($F214&gt;=3,IF(OR(NOT(ISNUMBER($M214)),NOT(ISNUMBER($N214)),1+$M214&lt;=0,1+$N214&lt;0),"",((1+$N214)^3/(1+$M214))^(1/2)-1),IF(OR($F214&lt;=1,NOT(ISNUMBER($M214)),NOT(ISNUMBER($O214)),1+$M214&lt;=0,1+$O214&lt;0),"",((1+$O214)^$F214/(1+$M214))^(1/($F214-1))-1)))</x:f>
        <x:v>0.038746256645905364</x:v>
      </x:c>
      <x:c r="Q214" s="17" t="n">
        <x:f>IF(OR($G214&lt;&gt;"入池",NOT(ISNUMBER(M214))),"",IF(COUNTIFS($G$17:$G$219,"入池",$M$17:$M$219,"&gt;=-1E+307",$M$17:$M$219,"&lt;=1E+307")&lt;=1,100,ROUND(100*(COUNTIFS($G$17:$G$219,"入池",$M$17:$M$219,"&gt;=-1E+307",$M$17:$M$219,"&lt;"&amp;M214)+COUNTIFS($G$17:$G$219,"入池",$M$17:$M$219,M214,$M$17:$M$219,"&gt;=-1E+307",$M$17:$M$219,"&lt;=1E+307")/2-0.5)/(COUNTIFS($G$17:$G$219,"入池",$M$17:$M$219,"&gt;=-1E+307",$M$17:$M$219,"&lt;=1E+307")-1),2)))</x:f>
        <x:v>58.42</x:v>
      </x:c>
      <x:c r="R214" s="17" t="n">
        <x:f>IF(OR($G214&lt;&gt;"入池",NOT(ISNUMBER(P214))),"",IF(COUNTIFS($G$17:$G$219,"入池",$P$17:$P$219,"&gt;=-1E+307",$P$17:$P$219,"&lt;=1E+307")&lt;=1,100,ROUND(100*(COUNTIFS($G$17:$G$219,"入池",$P$17:$P$219,"&gt;=-1E+307",$P$17:$P$219,"&lt;"&amp;P214)+COUNTIFS($G$17:$G$219,"入池",$P$17:$P$219,P214,$P$17:$P$219,"&gt;=-1E+307",$P$17:$P$219,"&lt;=1E+307")/2-0.5)/(COUNTIFS($G$17:$G$219,"入池",$P$17:$P$219,"&gt;=-1E+307",$P$17:$P$219,"&lt;=1E+307")-1),2)))</x:f>
        <x:v>24.75</x:v>
      </x:c>
      <x:c r="S214" s="17" t="n">
        <x:f>IF(NOT(ISNUMBER(Q214)),"",IF(NOT(ISNUMBER(R214)),Q214,ROUND(Q214*'sheet1-指标体系'!$J$8+R214*'sheet1-指标体系'!$J$9,2)))</x:f>
        <x:v>44.95</x:v>
      </x:c>
      <x:c r="T214" s="35" t="n">
        <x:f>IF(ISNUMBER('sheet4-原始数据'!J199),'sheet4-原始数据'!J199,"")</x:f>
        <x:v>0.9231</x:v>
      </x:c>
      <x:c r="U214" s="35" t="n">
        <x:f>IF(ISNUMBER('sheet4-原始数据'!I199),'sheet4-原始数据'!I199,"")</x:f>
        <x:v>0.8378</x:v>
      </x:c>
      <x:c r="V214" s="37" t="n">
        <x:f>IF(OR(NOT(ISNUMBER(T214)),NOT(ISNUMBER(U214))),"",(U214*'sheet1-指标体系'!$J$6-T214*'sheet1-指标体系'!$J$5)/'sheet1-指标体系'!$J$7)</x:f>
        <x:v>0.7915958333333334</x:v>
      </x:c>
      <x:c r="W214" s="17" t="n">
        <x:f>IF(NOT(ISNUMBER(T214)),"",T214*100)</x:f>
        <x:v>92.31</x:v>
      </x:c>
      <x:c r="X214" s="17" t="n">
        <x:f>IF($G214&lt;&gt;"入池","",IF(AND(ISNUMBER(V214),V214&gt;=0,V214&lt;=1),V214*100,IF(MAX(0,($F214-1)*12)&lt;6,100,"")))</x:f>
        <x:v>79.15958333333334</x:v>
      </x:c>
      <x:c r="Y214" s="17" t="n">
        <x:f>IF(NOT(ISNUMBER(W214)),"",IF(NOT(ISNUMBER(X214)),W214,ROUND(W214*'sheet1-指标体系'!$J$8+X214*'sheet1-指标体系'!$J$9,2)))</x:f>
        <x:v>87.05</x:v>
      </x:c>
      <x:c r="Z214" s="37" t="n">
        <x:f>IF(OR(NOT(ISNUMBER(M214)),NOT(ISNUMBER(AD214)),AD214=0),"",ABS(M214/AD214))</x:f>
        <x:v>0.0061784941625898995</x:v>
      </x:c>
      <x:c r="AA214" s="35" t="n">
        <x:f>IF(ISNUMBER('sheet4-原始数据'!K199),'sheet4-原始数据'!K199,"")</x:f>
        <x:v>0.021099999999999997</x:v>
      </x:c>
      <x:c r="AB214" s="37" t="n">
        <x:f>IF(COUNT(Z214:AA214)=0,"",MAX(Z214:AA214))</x:f>
        <x:v>0.021099999999999997</x:v>
      </x:c>
      <x:c r="AC214" s="17" t="n">
        <x:f>IF(OR($G214&lt;&gt;"入池",NOT(ISNUMBER(AB214))),"",IF(COUNTIFS($G$17:$G$219,"入池",$AB$17:$AB$219,"&gt;=-1E+307",$AB$17:$AB$219,"&lt;=1E+307")&lt;=1,100,ROUND(100*(COUNTIFS($G$17:$G$219,"入池",$AB$17:$AB$219,"&lt;=1E+307",$AB$17:$AB$219,"&gt;"&amp;AB214)+COUNTIFS($G$17:$G$219,"入池",$AB$17:$AB$219,AB214,$AB$17:$AB$219,"&gt;=-1E+307",$AB$17:$AB$219,"&lt;=1E+307")/2-0.5)/(COUNTIFS($G$17:$G$219,"入池",$AB$17:$AB$219,"&gt;=-1E+307",$AB$17:$AB$219,"&lt;=1E+307")-1),2)))</x:f>
        <x:v>74.5</x:v>
      </x:c>
      <x:c r="AD214" s="38" t="n">
        <x:f>IF(ISNUMBER('sheet4-原始数据'!M199),'sheet4-原始数据'!M199,"")</x:f>
        <x:v>10.2614</x:v>
      </x:c>
      <x:c r="AE214" s="37" t="n">
        <x:f>IF(OR(NOT(ISNUMBER(P214)),NOT(ISNUMBER(AA214)),NOT(ISNUMBER(Z214))),"",IF(AA214&gt;Z214+'sheet1-指标体系'!$J$11,AA214,""))</x:f>
        <x:v>0.021099999999999997</x:v>
      </x:c>
      <x:c r="AF214" s="17" t="n">
        <x:f>IF(OR(NOT(ISNUMBER(P214)),NOT(ISNUMBER(AE214)),AE214=0),"",P214/AE214)</x:f>
        <x:v>1.8363154808485957</x:v>
      </x:c>
      <x:c r="AG214" s="17" t="n">
        <x:f>IF(OR($G214&lt;&gt;"入池",NOT(ISNUMBER(AD214))),"",IF(COUNTIFS($G$17:$G$219,"入池",$AD$17:$AD$219,"&gt;=-1E+307",$AD$17:$AD$219,"&lt;=1E+307")&lt;=1,100,ROUND(100*(COUNTIFS($G$17:$G$219,"入池",$AD$17:$AD$219,"&gt;=-1E+307",$AD$17:$AD$219,"&lt;"&amp;AD214)+COUNTIFS($G$17:$G$219,"入池",$AD$17:$AD$219,AD214,$AD$17:$AD$219,"&gt;=-1E+307",$AD$17:$AD$219,"&lt;=1E+307")/2-0.5)/(COUNTIFS($G$17:$G$219,"入池",$AD$17:$AD$219,"&gt;=-1E+307",$AD$17:$AD$219,"&lt;=1E+307")-1),2)))</x:f>
        <x:v>79.1</x:v>
      </x:c>
      <x:c r="AH214" s="17" t="n">
        <x:f>IF(OR($G214&lt;&gt;"入池",NOT(ISNUMBER(AF214))),"",IF(COUNTIFS($G$17:$G$219,"入池",$AF$17:$AF$219,"&gt;=-1E+307",$AF$17:$AF$219,"&lt;=1E+307")&lt;=1,100,ROUND(100*(COUNTIFS($G$17:$G$219,"入池",$AF$17:$AF$219,"&gt;=-1E+307",$AF$17:$AF$219,"&lt;"&amp;AF214)+COUNTIFS($G$17:$G$219,"入池",$AF$17:$AF$219,AF214,$AF$17:$AF$219,"&gt;=-1E+307",$AF$17:$AF$219,"&lt;=1E+307")/2-0.5)/(COUNTIFS($G$17:$G$219,"入池",$AF$17:$AF$219,"&gt;=-1E+307",$AF$17:$AF$219,"&lt;=1E+307")-1),2)))</x:f>
        <x:v>62.04</x:v>
      </x:c>
      <x:c r="AI214" s="17" t="n">
        <x:f>IF(NOT(ISNUMBER(AG214)),"",IF(NOT(ISNUMBER(AH214)),AG214,ROUND(AG214*'sheet1-指标体系'!$J$8+AH214*'sheet1-指标体系'!$J$9,2)))</x:f>
        <x:v>72.28</x:v>
      </x:c>
      <x:c r="AJ214" s="37" t="n">
        <x:f>IF(NOT(ISNUMBER(F214)),"",IF(F214&gt;=3,IF(NOT(ISNUMBER(N214)),"",N214),IF(NOT(ISNUMBER(O214)),"",O214)))</x:f>
        <x:v>0.046900000000000004</x:v>
      </x:c>
      <x:c r="AK214" s="17" t="n">
        <x:f>IF(OR(G214&lt;&gt;"入池",NOT(ISNUMBER(M214)),NOT(ISNUMBER(AJ214))),"",IF(M214&gt;=AJ214,100,IF(AJ214-M214&lt;'sheet1-指标体系'!$J$10,80,60)))</x:f>
        <x:v>100</x:v>
      </x:c>
      <x:c r="AL214" s="17" t="n">
        <x:f>IF(COUNT(I214,K214,L214)=0,"",ROUND((IF(ISNUMBER(I214),I214*40%,0)+IF(ISNUMBER(K214),K214*30%,0)+IF(ISNUMBER(L214),L214*30%,0))/(IF(ISNUMBER(I214),40%,0)+IF(ISNUMBER(K214),30%,0)+IF(ISNUMBER(L214),30%,0)),2))</x:f>
        <x:v>100</x:v>
      </x:c>
      <x:c r="AM214" s="17" t="n">
        <x:f>IF(COUNT(Q214,R214,W214,X214)=0,"",ROUND((IF(ISNUMBER(Q214),Q214*42%,0)+IF(ISNUMBER(R214),R214*28%,0)+IF(ISNUMBER(W214),W214*18%,0)+IF(ISNUMBER(X214),X214*12%,0))/(IF(ISNUMBER(Q214),42%,0)+IF(ISNUMBER(R214),28%,0)+IF(ISNUMBER(W214),18%,0)+IF(ISNUMBER(X214),12%,0)),2))</x:f>
        <x:v>57.58</x:v>
      </x:c>
      <x:c r="AN214" s="17" t="n">
        <x:f>IF(ISNUMBER(AC214),AC214,"")</x:f>
        <x:v>74.5</x:v>
      </x:c>
      <x:c r="AO214" s="17" t="n">
        <x:f>IF(COUNT(AG214,AH214)=0,"",ROUND((IF(ISNUMBER(AG214),AG214*60%,0)+IF(ISNUMBER(AH214),AH214*40%,0))/(IF(ISNUMBER(AG214),60%,0)+IF(ISNUMBER(AH214),40%,0)),2))</x:f>
        <x:v>72.28</x:v>
      </x:c>
      <x:c r="AP214" s="17" t="n">
        <x:f>IF(ISNUMBER(AK214),AK214,"")</x:f>
        <x:v>100</x:v>
      </x:c>
      <x:c r="AQ214" s="39" t="n">
        <x:f>IF(G214&lt;&gt;"入池",0,IF(ISNUMBER(I214),6%,0)+IF(ISNUMBER(K214),4.5%,0)+IF(ISNUMBER(L214),4.5%,0)+IF(ISNUMBER(Q214),8.4%,0)+IF(ISNUMBER(R214),5.6%,0)+IF(ISNUMBER(W214),3.6%,0)+IF(ISNUMBER(X214),2.4%,0)+IF(ISNUMBER(AC214),25%,0)+IF(ISNUMBER(AG214),18%,0)+IF(ISNUMBER(AH214),12%,0)+IF(ISNUMBER(AK214),10%,0))</x:f>
        <x:v>0.9550000000000001</x:v>
      </x:c>
      <x:c r="AR214" s="17" t="n">
        <x:f>IF(AQ214=0,"",IF(ISNUMBER(I214),I214*6%,0)+IF(ISNUMBER(K214),K214*4.5%,0)+IF(ISNUMBER(L214),L214*4.5%,0)+IF(ISNUMBER(Q214),Q214*8.4%,0)+IF(ISNUMBER(R214),R214*5.6%,0)+IF(ISNUMBER(W214),W214*3.6%,0)+IF(ISNUMBER(X214),X214*2.4%,0)+IF(ISNUMBER(AC214),AC214*25%,0)+IF(ISNUMBER(AG214),AG214*18%,0)+IF(ISNUMBER(AH214),AH214*12%,0)+IF(ISNUMBER(AK214),AK214*10%,0))</x:f>
        <x:v>72.32407</x:v>
      </x:c>
      <x:c r="AS214" s="17" t="n">
        <x:f>IF(AQ214=0,"",ROUND(AR214/AQ214,2))</x:f>
        <x:v>75.73</x:v>
      </x:c>
      <x:c r="AT214" s="40" t="n">
        <x:f>IF(OR(G214&lt;&gt;"入池",NOT(ISNUMBER(AS214))),"",COUNTIFS($G$17:$G$219,"入池",$AS$17:$AS$219,"&gt;"&amp;AS214)+COUNTIFS($G$17:$G$219,"入池",$AS$17:$AS$219,AS214,$AQ$17:$AQ$219,"&gt;"&amp;AQ214)+COUNTIFS($G$17:G214,"入池",$AS$17:AS214,AS214,$AQ$17:AQ214,AQ214))</x:f>
        <x:v>44</x:v>
      </x:c>
      <x:c r="AU214" s="41" t="str">
        <x:f t="shared" si="9">IF(NOT(ISNUMBER(I214)),"管理人规模；","")&amp;IF(J214="","产品规模标识；","")&amp;IF(AND(F214&lt;3,NOT(ISNUMBER(O214))),"R_incep；","")&amp;IF(NOT(ISNUMBER(N214)),"近三年收益；","")&amp;IF(NOT(ISNUMBER(U214)),"近三年胜率；","")&amp;IF(AND(ISNUMBER(V214),OR(V214&lt;0,V214&gt;1)),"胜率窗口口径不一致；","")&amp;IF(NOT(ISNUMBER(AA214)),"近三年回撤；","")&amp;IF(NOT(ISNUMBER(AD214)),"短期卡玛；","")&amp;IF(AND(ISNUMBER(P214),NOT(ISNUMBER(AE214))),"DD_long不可识别；","")</x:f>
        <x:v>产品规模标识；</x:v>
      </x:c>
      <x:c r="AV214" s="42" t="n">
        <x:v>100</x:v>
      </x:c>
      <x:c r="AW214" s="19" t="str">
        <x:v>深圳博普科技有限公司</x:v>
      </x:c>
      <x:c r="AX214" s="19" t="str">
        <x:v>2023-09-25</x:v>
      </x:c>
      <x:c r="AY214" s="19" t="str">
        <x:v>https://gs.amac.org.cn/amac-infodisc/res/pof/manager/101000001136.html</x:v>
      </x:c>
      <x:c r="AZ214" s="19"/>
      <x:c r="BA214" s="19"/>
      <x:c r="BB214" s="19"/>
      <x:c r="BC214" s="19"/>
      <x:c r="BD214" s="19" t="str">
        <x:v>基金页未匹配；管理人已核验</x:v>
      </x:c>
      <x:c r="BE214"/>
      <x:c r="BF214"/>
    </x:row>
    <x:row r="215" ht="28" customHeight="1">
      <x:c r="A215" s="4" t="n">
        <x:v>199</x:v>
      </x:c>
      <x:c r="B215" s="15" t="str">
        <x:f>'sheet4-原始数据'!A200</x:f>
        <x:v>守正卓越一号A类</x:v>
      </x:c>
      <x:c r="C215" s="15" t="str">
        <x:f>'sheet4-原始数据'!B200</x:f>
        <x:v>VY984A</x:v>
      </x:c>
      <x:c r="D215" s="15" t="str">
        <x:f>'sheet4-原始数据'!E200</x:f>
        <x:v>山东守正</x:v>
      </x:c>
      <x:c r="E215" s="32" t="n">
        <x:f>IF(ISNUMBER('sheet4-原始数据'!F200),'sheet4-原始数据'!F200,"")</x:f>
        <x:v>44769</x:v>
      </x:c>
      <x:c r="F215" s="17" t="n">
        <x:f>IF(NOT(ISNUMBER(E215)),"",ROUND(('sheet1-指标体系'!$J$23-E215)/365.25,4))</x:f>
        <x:v>4.1396</x:v>
      </x:c>
      <x:c r="G215" s="4" t="str">
        <x:f t="shared" si="8">IF(NOT(ISNUMBER(F215)),"",IF(F215&lt;1,"不入池","入池"))</x:f>
        <x:v>入池</x:v>
      </x:c>
      <x:c r="H215" s="33" t="str">
        <x:v>0-5亿元</x:v>
      </x:c>
      <x:c r="I215" s="17" t="n">
        <x:f>IF(H215="","",IF(ISNUMBER(SEARCH("100亿元以上",H215)),100,IF(OR(ISNUMBER(SEARCH("20-50",H215)),ISNUMBER(SEARCH("50-100",H215)),ISNUMBER(SEARCH("20-100",H215))),90,IF(ISNUMBER(SEARCH("10-20",H215)),80,IF(ISNUMBER(SEARCH("5-10",H215)),70,IF(ISNUMBER(SEARCH("0-5",H215)),60,""))))))</x:f>
        <x:v>60</x:v>
      </x:c>
      <x:c r="J215" s="34"/>
      <x:c r="K215" s="17" t="str">
        <x:f>IF(J215="","",IF(J215="低于1000万元",0,100))</x:f>
      </x:c>
      <x:c r="L215" s="17" t="n">
        <x:f>IF(NOT(ISNUMBER(F215)),"",IF(F215&lt;1,"",IF(F215&lt;3,70,100)))</x:f>
        <x:v>100</x:v>
      </x:c>
      <x:c r="M215" s="35" t="n">
        <x:f>IF(ISNUMBER('sheet4-原始数据'!G200),'sheet4-原始数据'!G200,"")</x:f>
        <x:v>0.038599999999999995</x:v>
      </x:c>
      <x:c r="N215" s="35" t="n">
        <x:f>IF(ISNUMBER('sheet4-原始数据'!H200),'sheet4-原始数据'!H200,"")</x:f>
        <x:v>0.1011</x:v>
      </x:c>
      <x:c r="O215" s="36" t="str">
        <x:f>IF(ISNUMBER('sheet4-原始数据'!Q200),'sheet4-原始数据'!Q200,"")</x:f>
      </x:c>
      <x:c r="P215" s="37" t="n">
        <x:f>IF($G215&lt;&gt;"入池","",IF($F215&gt;=3,IF(OR(NOT(ISNUMBER($M215)),NOT(ISNUMBER($N215)),1+$M215&lt;=0,1+$N215&lt;0),"",((1+$N215)^3/(1+$M215))^(1/2)-1),IF(OR($F215&lt;=1,NOT(ISNUMBER($M215)),NOT(ISNUMBER($O215)),1+$M215&lt;=0,1+$O215&lt;0),"",((1+$O215)^$F215/(1+$M215))^(1/($F215-1))-1)))</x:f>
        <x:v>0.13374656649418704</x:v>
      </x:c>
      <x:c r="Q215" s="17" t="n">
        <x:f>IF(OR($G215&lt;&gt;"入池",NOT(ISNUMBER(M215))),"",IF(COUNTIFS($G$17:$G$219,"入池",$M$17:$M$219,"&gt;=-1E+307",$M$17:$M$219,"&lt;=1E+307")&lt;=1,100,ROUND(100*(COUNTIFS($G$17:$G$219,"入池",$M$17:$M$219,"&gt;=-1E+307",$M$17:$M$219,"&lt;"&amp;M215)+COUNTIFS($G$17:$G$219,"入池",$M$17:$M$219,M215,$M$17:$M$219,"&gt;=-1E+307",$M$17:$M$219,"&lt;=1E+307")/2-0.5)/(COUNTIFS($G$17:$G$219,"入池",$M$17:$M$219,"&gt;=-1E+307",$M$17:$M$219,"&lt;=1E+307")-1),2)))</x:f>
        <x:v>38.37</x:v>
      </x:c>
      <x:c r="R215" s="17" t="n">
        <x:f>IF(OR($G215&lt;&gt;"入池",NOT(ISNUMBER(P215))),"",IF(COUNTIFS($G$17:$G$219,"入池",$P$17:$P$219,"&gt;=-1E+307",$P$17:$P$219,"&lt;=1E+307")&lt;=1,100,ROUND(100*(COUNTIFS($G$17:$G$219,"入池",$P$17:$P$219,"&gt;=-1E+307",$P$17:$P$219,"&lt;"&amp;P215)+COUNTIFS($G$17:$G$219,"入池",$P$17:$P$219,P215,$P$17:$P$219,"&gt;=-1E+307",$P$17:$P$219,"&lt;=1E+307")/2-0.5)/(COUNTIFS($G$17:$G$219,"入池",$P$17:$P$219,"&gt;=-1E+307",$P$17:$P$219,"&lt;=1E+307")-1),2)))</x:f>
        <x:v>85.15</x:v>
      </x:c>
      <x:c r="S215" s="17" t="n">
        <x:f>IF(NOT(ISNUMBER(Q215)),"",IF(NOT(ISNUMBER(R215)),Q215,ROUND(Q215*'sheet1-指标体系'!$J$8+R215*'sheet1-指标体系'!$J$9,2)))</x:f>
        <x:v>57.08</x:v>
      </x:c>
      <x:c r="T215" s="35" t="n">
        <x:f>IF(ISNUMBER('sheet4-原始数据'!J200),'sheet4-原始数据'!J200,"")</x:f>
        <x:v>1</x:v>
      </x:c>
      <x:c r="U215" s="35" t="n">
        <x:f>IF(ISNUMBER('sheet4-原始数据'!I200),'sheet4-原始数据'!I200,"")</x:f>
        <x:v>0.7568</x:v>
      </x:c>
      <x:c r="V215" s="37" t="n">
        <x:f>IF(OR(NOT(ISNUMBER(T215)),NOT(ISNUMBER(U215))),"",(U215*'sheet1-指标体系'!$J$6-T215*'sheet1-指标体系'!$J$5)/'sheet1-指标体系'!$J$7)</x:f>
        <x:v>0.6250666666666667</x:v>
      </x:c>
      <x:c r="W215" s="17" t="n">
        <x:f>IF(NOT(ISNUMBER(T215)),"",T215*100)</x:f>
        <x:v>100</x:v>
      </x:c>
      <x:c r="X215" s="17" t="n">
        <x:f>IF($G215&lt;&gt;"入池","",IF(AND(ISNUMBER(V215),V215&gt;=0,V215&lt;=1),V215*100,IF(MAX(0,($F215-1)*12)&lt;6,100,"")))</x:f>
        <x:v>62.50666666666667</x:v>
      </x:c>
      <x:c r="Y215" s="17" t="n">
        <x:f>IF(NOT(ISNUMBER(W215)),"",IF(NOT(ISNUMBER(X215)),W215,ROUND(W215*'sheet1-指标体系'!$J$8+X215*'sheet1-指标体系'!$J$9,2)))</x:f>
        <x:v>85</x:v>
      </x:c>
      <x:c r="Z215" s="37" t="n">
        <x:f>IF(OR(NOT(ISNUMBER(M215)),NOT(ISNUMBER(AD215)),AD215=0),"",ABS(M215/AD215))</x:f>
        <x:v>0.0006766670815489014</x:v>
      </x:c>
      <x:c r="AA215" s="35" t="n">
        <x:f>IF(ISNUMBER('sheet4-原始数据'!K200),'sheet4-原始数据'!K200,"")</x:f>
        <x:v>0.1183</x:v>
      </x:c>
      <x:c r="AB215" s="37" t="n">
        <x:f>IF(COUNT(Z215:AA215)=0,"",MAX(Z215:AA215))</x:f>
        <x:v>0.1183</x:v>
      </x:c>
      <x:c r="AC215" s="17" t="n">
        <x:f>IF(OR($G215&lt;&gt;"入池",NOT(ISNUMBER(AB215))),"",IF(COUNTIFS($G$17:$G$219,"入池",$AB$17:$AB$219,"&gt;=-1E+307",$AB$17:$AB$219,"&lt;=1E+307")&lt;=1,100,ROUND(100*(COUNTIFS($G$17:$G$219,"入池",$AB$17:$AB$219,"&lt;=1E+307",$AB$17:$AB$219,"&gt;"&amp;AB215)+COUNTIFS($G$17:$G$219,"入池",$AB$17:$AB$219,AB215,$AB$17:$AB$219,"&gt;=-1E+307",$AB$17:$AB$219,"&lt;=1E+307")/2-0.5)/(COUNTIFS($G$17:$G$219,"入池",$AB$17:$AB$219,"&gt;=-1E+307",$AB$17:$AB$219,"&lt;=1E+307")-1),2)))</x:f>
        <x:v>20.3</x:v>
      </x:c>
      <x:c r="AD215" s="38" t="n">
        <x:f>IF(ISNUMBER('sheet4-原始数据'!M200),'sheet4-原始数据'!M200,"")</x:f>
        <x:v>57.0443</x:v>
      </x:c>
      <x:c r="AE215" s="37" t="n">
        <x:f>IF(OR(NOT(ISNUMBER(P215)),NOT(ISNUMBER(AA215)),NOT(ISNUMBER(Z215))),"",IF(AA215&gt;Z215+'sheet1-指标体系'!$J$11,AA215,""))</x:f>
        <x:v>0.1183</x:v>
      </x:c>
      <x:c r="AF215" s="17" t="n">
        <x:f>IF(OR(NOT(ISNUMBER(P215)),NOT(ISNUMBER(AE215)),AE215=0),"",P215/AE215)</x:f>
        <x:v>1.1305711453439309</x:v>
      </x:c>
      <x:c r="AG215" s="17" t="n">
        <x:f>IF(OR($G215&lt;&gt;"入池",NOT(ISNUMBER(AD215))),"",IF(COUNTIFS($G$17:$G$219,"入池",$AD$17:$AD$219,"&gt;=-1E+307",$AD$17:$AD$219,"&lt;=1E+307")&lt;=1,100,ROUND(100*(COUNTIFS($G$17:$G$219,"入池",$AD$17:$AD$219,"&gt;=-1E+307",$AD$17:$AD$219,"&lt;"&amp;AD215)+COUNTIFS($G$17:$G$219,"入池",$AD$17:$AD$219,AD215,$AD$17:$AD$219,"&gt;=-1E+307",$AD$17:$AD$219,"&lt;=1E+307")/2-0.5)/(COUNTIFS($G$17:$G$219,"入池",$AD$17:$AD$219,"&gt;=-1E+307",$AD$17:$AD$219,"&lt;=1E+307")-1),2)))</x:f>
        <x:v>98.51</x:v>
      </x:c>
      <x:c r="AH215" s="17" t="n">
        <x:f>IF(OR($G215&lt;&gt;"入池",NOT(ISNUMBER(AF215))),"",IF(COUNTIFS($G$17:$G$219,"入池",$AF$17:$AF$219,"&gt;=-1E+307",$AF$17:$AF$219,"&lt;=1E+307")&lt;=1,100,ROUND(100*(COUNTIFS($G$17:$G$219,"入池",$AF$17:$AF$219,"&gt;=-1E+307",$AF$17:$AF$219,"&lt;"&amp;AF215)+COUNTIFS($G$17:$G$219,"入池",$AF$17:$AF$219,AF215,$AF$17:$AF$219,"&gt;=-1E+307",$AF$17:$AF$219,"&lt;=1E+307")/2-0.5)/(COUNTIFS($G$17:$G$219,"入池",$AF$17:$AF$219,"&gt;=-1E+307",$AF$17:$AF$219,"&lt;=1E+307")-1),2)))</x:f>
        <x:v>46.72</x:v>
      </x:c>
      <x:c r="AI215" s="17" t="n">
        <x:f>IF(NOT(ISNUMBER(AG215)),"",IF(NOT(ISNUMBER(AH215)),AG215,ROUND(AG215*'sheet1-指标体系'!$J$8+AH215*'sheet1-指标体系'!$J$9,2)))</x:f>
        <x:v>77.79</x:v>
      </x:c>
      <x:c r="AJ215" s="37" t="n">
        <x:f>IF(NOT(ISNUMBER(F215)),"",IF(F215&gt;=3,IF(NOT(ISNUMBER(N215)),"",N215),IF(NOT(ISNUMBER(O215)),"",O215)))</x:f>
        <x:v>0.1011</x:v>
      </x:c>
      <x:c r="AK215" s="17" t="n">
        <x:f>IF(OR(G215&lt;&gt;"入池",NOT(ISNUMBER(M215)),NOT(ISNUMBER(AJ215))),"",IF(M215&gt;=AJ215,100,IF(AJ215-M215&lt;'sheet1-指标体系'!$J$10,80,60)))</x:f>
        <x:v>80</x:v>
      </x:c>
      <x:c r="AL215" s="17" t="n">
        <x:f>IF(COUNT(I215,K215,L215)=0,"",ROUND((IF(ISNUMBER(I215),I215*40%,0)+IF(ISNUMBER(K215),K215*30%,0)+IF(ISNUMBER(L215),L215*30%,0))/(IF(ISNUMBER(I215),40%,0)+IF(ISNUMBER(K215),30%,0)+IF(ISNUMBER(L215),30%,0)),2))</x:f>
        <x:v>77.14</x:v>
      </x:c>
      <x:c r="AM215" s="17" t="n">
        <x:f>IF(COUNT(Q215,R215,W215,X215)=0,"",ROUND((IF(ISNUMBER(Q215),Q215*42%,0)+IF(ISNUMBER(R215),R215*28%,0)+IF(ISNUMBER(W215),W215*18%,0)+IF(ISNUMBER(X215),X215*12%,0))/(IF(ISNUMBER(Q215),42%,0)+IF(ISNUMBER(R215),28%,0)+IF(ISNUMBER(W215),18%,0)+IF(ISNUMBER(X215),12%,0)),2))</x:f>
        <x:v>65.46</x:v>
      </x:c>
      <x:c r="AN215" s="17" t="n">
        <x:f>IF(ISNUMBER(AC215),AC215,"")</x:f>
        <x:v>20.3</x:v>
      </x:c>
      <x:c r="AO215" s="17" t="n">
        <x:f>IF(COUNT(AG215,AH215)=0,"",ROUND((IF(ISNUMBER(AG215),AG215*60%,0)+IF(ISNUMBER(AH215),AH215*40%,0))/(IF(ISNUMBER(AG215),60%,0)+IF(ISNUMBER(AH215),40%,0)),2))</x:f>
        <x:v>77.79</x:v>
      </x:c>
      <x:c r="AP215" s="17" t="n">
        <x:f>IF(ISNUMBER(AK215),AK215,"")</x:f>
        <x:v>80</x:v>
      </x:c>
      <x:c r="AQ215" s="39" t="n">
        <x:f>IF(G215&lt;&gt;"入池",0,IF(ISNUMBER(I215),6%,0)+IF(ISNUMBER(K215),4.5%,0)+IF(ISNUMBER(L215),4.5%,0)+IF(ISNUMBER(Q215),8.4%,0)+IF(ISNUMBER(R215),5.6%,0)+IF(ISNUMBER(W215),3.6%,0)+IF(ISNUMBER(X215),2.4%,0)+IF(ISNUMBER(AC215),25%,0)+IF(ISNUMBER(AG215),18%,0)+IF(ISNUMBER(AH215),12%,0)+IF(ISNUMBER(AK215),10%,0))</x:f>
        <x:v>0.9550000000000001</x:v>
      </x:c>
      <x:c r="AR215" s="17" t="n">
        <x:f>IF(AQ215=0,"",IF(ISNUMBER(I215),I215*6%,0)+IF(ISNUMBER(K215),K215*4.5%,0)+IF(ISNUMBER(L215),L215*4.5%,0)+IF(ISNUMBER(Q215),Q215*8.4%,0)+IF(ISNUMBER(R215),R215*5.6%,0)+IF(ISNUMBER(W215),W215*3.6%,0)+IF(ISNUMBER(X215),X215*2.4%,0)+IF(ISNUMBER(AC215),AC215*25%,0)+IF(ISNUMBER(AG215),AG215*18%,0)+IF(ISNUMBER(AH215),AH215*12%,0)+IF(ISNUMBER(AK215),AK215*10%,0))</x:f>
        <x:v>57.60484</x:v>
      </x:c>
      <x:c r="AS215" s="17" t="n">
        <x:f>IF(AQ215=0,"",ROUND(AR215/AQ215,2))</x:f>
        <x:v>60.32</x:v>
      </x:c>
      <x:c r="AT215" s="40" t="n">
        <x:f>IF(OR(G215&lt;&gt;"入池",NOT(ISNUMBER(AS215))),"",COUNTIFS($G$17:$G$219,"入池",$AS$17:$AS$219,"&gt;"&amp;AS215)+COUNTIFS($G$17:$G$219,"入池",$AS$17:$AS$219,AS215,$AQ$17:$AQ$219,"&gt;"&amp;AQ215)+COUNTIFS($G$17:G215,"入池",$AS$17:AS215,AS215,$AQ$17:AQ215,AQ215))</x:f>
        <x:v>107</x:v>
      </x:c>
      <x:c r="AU215" s="41" t="str">
        <x:f t="shared" si="9">IF(NOT(ISNUMBER(I215)),"管理人规模；","")&amp;IF(J215="","产品规模标识；","")&amp;IF(AND(F215&lt;3,NOT(ISNUMBER(O215))),"R_incep；","")&amp;IF(NOT(ISNUMBER(N215)),"近三年收益；","")&amp;IF(NOT(ISNUMBER(U215)),"近三年胜率；","")&amp;IF(AND(ISNUMBER(V215),OR(V215&lt;0,V215&gt;1)),"胜率窗口口径不一致；","")&amp;IF(NOT(ISNUMBER(AA215)),"近三年回撤；","")&amp;IF(NOT(ISNUMBER(AD215)),"短期卡玛；","")&amp;IF(AND(ISNUMBER(P215),NOT(ISNUMBER(AE215))),"DD_long不可识别；","")</x:f>
        <x:v>产品规模标识；</x:v>
      </x:c>
      <x:c r="AV215" s="42" t="n">
        <x:v>0</x:v>
      </x:c>
      <x:c r="AW215" s="19" t="str">
        <x:v>山东守正私募基金管理有限公司</x:v>
      </x:c>
      <x:c r="AX215" s="19" t="str">
        <x:v>2023-07-31</x:v>
      </x:c>
      <x:c r="AY215" s="19" t="str">
        <x:v>https://gs.amac.org.cn/amac-infodisc/res/pof/manager/2111241907106834.html</x:v>
      </x:c>
      <x:c r="AZ215" s="19"/>
      <x:c r="BA215" s="19"/>
      <x:c r="BB215" s="19"/>
      <x:c r="BC215" s="19"/>
      <x:c r="BD215" s="19" t="str">
        <x:v>基金页未匹配；管理人已核验</x:v>
      </x:c>
      <x:c r="BE215"/>
      <x:c r="BF215"/>
    </x:row>
    <x:row r="216" ht="28" customHeight="1">
      <x:c r="A216" s="4" t="n">
        <x:v>200</x:v>
      </x:c>
      <x:c r="B216" s="15" t="str">
        <x:f>'sheet4-原始数据'!A201</x:f>
        <x:v>和熙新月1号A类</x:v>
      </x:c>
      <x:c r="C216" s="15" t="str">
        <x:f>'sheet4-原始数据'!B201</x:f>
        <x:v>JG287A</x:v>
      </x:c>
      <x:c r="D216" s="15" t="str">
        <x:f>'sheet4-原始数据'!E201</x:f>
        <x:v>浙江和熙资管</x:v>
      </x:c>
      <x:c r="E216" s="32" t="n">
        <x:f>IF(ISNUMBER('sheet4-原始数据'!F201),'sheet4-原始数据'!F201,"")</x:f>
        <x:v>43783</x:v>
      </x:c>
      <x:c r="F216" s="17" t="n">
        <x:f>IF(NOT(ISNUMBER(E216)),"",ROUND(('sheet1-指标体系'!$J$23-E216)/365.25,4))</x:f>
        <x:v>6.8392</x:v>
      </x:c>
      <x:c r="G216" s="4" t="str">
        <x:f t="shared" si="8">IF(NOT(ISNUMBER(F216)),"",IF(F216&lt;1,"不入池","入池"))</x:f>
        <x:v>入池</x:v>
      </x:c>
      <x:c r="H216" s="33" t="str">
        <x:v>5-10亿元</x:v>
      </x:c>
      <x:c r="I216" s="17" t="n">
        <x:f>IF(H216="","",IF(ISNUMBER(SEARCH("100亿元以上",H216)),100,IF(OR(ISNUMBER(SEARCH("20-50",H216)),ISNUMBER(SEARCH("50-100",H216)),ISNUMBER(SEARCH("20-100",H216))),90,IF(ISNUMBER(SEARCH("10-20",H216)),80,IF(ISNUMBER(SEARCH("5-10",H216)),70,IF(ISNUMBER(SEARCH("0-5",H216)),60,""))))))</x:f>
        <x:v>70</x:v>
      </x:c>
      <x:c r="J216" s="34"/>
      <x:c r="K216" s="17" t="str">
        <x:f>IF(J216="","",IF(J216="低于1000万元",0,100))</x:f>
      </x:c>
      <x:c r="L216" s="17" t="n">
        <x:f>IF(NOT(ISNUMBER(F216)),"",IF(F216&lt;1,"",IF(F216&lt;3,70,100)))</x:f>
        <x:v>100</x:v>
      </x:c>
      <x:c r="M216" s="35" t="n">
        <x:f>IF(ISNUMBER('sheet4-原始数据'!G201),'sheet4-原始数据'!G201,"")</x:f>
        <x:v>-0.0027</x:v>
      </x:c>
      <x:c r="N216" s="35" t="n">
        <x:f>IF(ISNUMBER('sheet4-原始数据'!H201),'sheet4-原始数据'!H201,"")</x:f>
        <x:v>0.0208</x:v>
      </x:c>
      <x:c r="O216" s="36" t="str">
        <x:f>IF(ISNUMBER('sheet4-原始数据'!Q201),'sheet4-原始数据'!Q201,"")</x:f>
      </x:c>
      <x:c r="P216" s="37" t="n">
        <x:f>IF($G216&lt;&gt;"入池","",IF($F216&gt;=3,IF(OR(NOT(ISNUMBER($M216)),NOT(ISNUMBER($N216)),1+$M216&lt;=0,1+$N216&lt;0),"",((1+$N216)^3/(1+$M216))^(1/2)-1),IF(OR($F216&lt;=1,NOT(ISNUMBER($M216)),NOT(ISNUMBER($O216)),1+$M216&lt;=0,1+$O216&lt;0),"",((1+$O216)^$F216/(1+$M216))^(1/($F216-1))-1)))</x:f>
        <x:v>0.0327568460243326</x:v>
      </x:c>
      <x:c r="Q216" s="17" t="n">
        <x:f>IF(OR($G216&lt;&gt;"入池",NOT(ISNUMBER(M216))),"",IF(COUNTIFS($G$17:$G$219,"入池",$M$17:$M$219,"&gt;=-1E+307",$M$17:$M$219,"&lt;=1E+307")&lt;=1,100,ROUND(100*(COUNTIFS($G$17:$G$219,"入池",$M$17:$M$219,"&gt;=-1E+307",$M$17:$M$219,"&lt;"&amp;M216)+COUNTIFS($G$17:$G$219,"入池",$M$17:$M$219,M216,$M$17:$M$219,"&gt;=-1E+307",$M$17:$M$219,"&lt;=1E+307")/2-0.5)/(COUNTIFS($G$17:$G$219,"入池",$M$17:$M$219,"&gt;=-1E+307",$M$17:$M$219,"&lt;=1E+307")-1),2)))</x:f>
        <x:v>17.82</x:v>
      </x:c>
      <x:c r="R216" s="17" t="n">
        <x:f>IF(OR($G216&lt;&gt;"入池",NOT(ISNUMBER(P216))),"",IF(COUNTIFS($G$17:$G$219,"入池",$P$17:$P$219,"&gt;=-1E+307",$P$17:$P$219,"&lt;=1E+307")&lt;=1,100,ROUND(100*(COUNTIFS($G$17:$G$219,"入池",$P$17:$P$219,"&gt;=-1E+307",$P$17:$P$219,"&lt;"&amp;P216)+COUNTIFS($G$17:$G$219,"入池",$P$17:$P$219,P216,$P$17:$P$219,"&gt;=-1E+307",$P$17:$P$219,"&lt;=1E+307")/2-0.5)/(COUNTIFS($G$17:$G$219,"入池",$P$17:$P$219,"&gt;=-1E+307",$P$17:$P$219,"&lt;=1E+307")-1),2)))</x:f>
        <x:v>18.81</x:v>
      </x:c>
      <x:c r="S216" s="17" t="n">
        <x:f>IF(NOT(ISNUMBER(Q216)),"",IF(NOT(ISNUMBER(R216)),Q216,ROUND(Q216*'sheet1-指标体系'!$J$8+R216*'sheet1-指标体系'!$J$9,2)))</x:f>
        <x:v>18.22</x:v>
      </x:c>
      <x:c r="T216" s="35" t="n">
        <x:f>IF(ISNUMBER('sheet4-原始数据'!J201),'sheet4-原始数据'!J201,"")</x:f>
        <x:v>0.46149999999999997</x:v>
      </x:c>
      <x:c r="U216" s="35" t="n">
        <x:f>IF(ISNUMBER('sheet4-原始数据'!I201),'sheet4-原始数据'!I201,"")</x:f>
        <x:v>0.5135000000000001</x:v>
      </x:c>
      <x:c r="V216" s="37" t="n">
        <x:f>IF(OR(NOT(ISNUMBER(T216)),NOT(ISNUMBER(U216))),"",(U216*'sheet1-指标体系'!$J$6-T216*'sheet1-指标体系'!$J$5)/'sheet1-指标体系'!$J$7)</x:f>
        <x:v>0.5416666666666667</x:v>
      </x:c>
      <x:c r="W216" s="17" t="n">
        <x:f>IF(NOT(ISNUMBER(T216)),"",T216*100)</x:f>
        <x:v>46.15</x:v>
      </x:c>
      <x:c r="X216" s="17" t="n">
        <x:f>IF($G216&lt;&gt;"入池","",IF(AND(ISNUMBER(V216),V216&gt;=0,V216&lt;=1),V216*100,IF(MAX(0,($F216-1)*12)&lt;6,100,"")))</x:f>
        <x:v>54.16666666666667</x:v>
      </x:c>
      <x:c r="Y216" s="17" t="n">
        <x:f>IF(NOT(ISNUMBER(W216)),"",IF(NOT(ISNUMBER(X216)),W216,ROUND(W216*'sheet1-指标体系'!$J$8+X216*'sheet1-指标体系'!$J$9,2)))</x:f>
        <x:v>49.36</x:v>
      </x:c>
      <x:c r="Z216" s="37" t="n">
        <x:f>IF(OR(NOT(ISNUMBER(M216)),NOT(ISNUMBER(AD216)),AD216=0),"",ABS(M216/AD216))</x:f>
        <x:v>0.08490566037735849</x:v>
      </x:c>
      <x:c r="AA216" s="35" t="n">
        <x:f>IF(ISNUMBER('sheet4-原始数据'!K201),'sheet4-原始数据'!K201,"")</x:f>
        <x:v>0.08449999999999999</x:v>
      </x:c>
      <x:c r="AB216" s="37" t="n">
        <x:f>IF(COUNT(Z216:AA216)=0,"",MAX(Z216:AA216))</x:f>
        <x:v>0.08490566037735849</x:v>
      </x:c>
      <x:c r="AC216" s="17" t="n">
        <x:f>IF(OR($G216&lt;&gt;"入池",NOT(ISNUMBER(AB216))),"",IF(COUNTIFS($G$17:$G$219,"入池",$AB$17:$AB$219,"&gt;=-1E+307",$AB$17:$AB$219,"&lt;=1E+307")&lt;=1,100,ROUND(100*(COUNTIFS($G$17:$G$219,"入池",$AB$17:$AB$219,"&lt;=1E+307",$AB$17:$AB$219,"&gt;"&amp;AB216)+COUNTIFS($G$17:$G$219,"入池",$AB$17:$AB$219,AB216,$AB$17:$AB$219,"&gt;=-1E+307",$AB$17:$AB$219,"&lt;=1E+307")/2-0.5)/(COUNTIFS($G$17:$G$219,"入池",$AB$17:$AB$219,"&gt;=-1E+307",$AB$17:$AB$219,"&lt;=1E+307")-1),2)))</x:f>
        <x:v>31.68</x:v>
      </x:c>
      <x:c r="AD216" s="38" t="n">
        <x:f>IF(ISNUMBER('sheet4-原始数据'!M201),'sheet4-原始数据'!M201,"")</x:f>
        <x:v>-0.0318</x:v>
      </x:c>
      <x:c r="AE216" s="37" t="str">
        <x:f>IF(OR(NOT(ISNUMBER(P216)),NOT(ISNUMBER(AA216)),NOT(ISNUMBER(Z216))),"",IF(AA216&gt;Z216+'sheet1-指标体系'!$J$11,AA216,""))</x:f>
      </x:c>
      <x:c r="AF216" s="17" t="str">
        <x:f>IF(OR(NOT(ISNUMBER(P216)),NOT(ISNUMBER(AE216)),AE216=0),"",P216/AE216)</x:f>
      </x:c>
      <x:c r="AG216" s="17" t="n">
        <x:f>IF(OR($G216&lt;&gt;"入池",NOT(ISNUMBER(AD216))),"",IF(COUNTIFS($G$17:$G$219,"入池",$AD$17:$AD$219,"&gt;=-1E+307",$AD$17:$AD$219,"&lt;=1E+307")&lt;=1,100,ROUND(100*(COUNTIFS($G$17:$G$219,"入池",$AD$17:$AD$219,"&gt;=-1E+307",$AD$17:$AD$219,"&lt;"&amp;AD216)+COUNTIFS($G$17:$G$219,"入池",$AD$17:$AD$219,AD216,$AD$17:$AD$219,"&gt;=-1E+307",$AD$17:$AD$219,"&lt;=1E+307")/2-0.5)/(COUNTIFS($G$17:$G$219,"入池",$AD$17:$AD$219,"&gt;=-1E+307",$AD$17:$AD$219,"&lt;=1E+307")-1),2)))</x:f>
        <x:v>18.91</x:v>
      </x:c>
      <x:c r="AH216" s="17" t="str">
        <x:f>IF(OR($G216&lt;&gt;"入池",NOT(ISNUMBER(AF216))),"",IF(COUNTIFS($G$17:$G$219,"入池",$AF$17:$AF$219,"&gt;=-1E+307",$AF$17:$AF$219,"&lt;=1E+307")&lt;=1,100,ROUND(100*(COUNTIFS($G$17:$G$219,"入池",$AF$17:$AF$219,"&gt;=-1E+307",$AF$17:$AF$219,"&lt;"&amp;AF216)+COUNTIFS($G$17:$G$219,"入池",$AF$17:$AF$219,AF216,$AF$17:$AF$219,"&gt;=-1E+307",$AF$17:$AF$219,"&lt;=1E+307")/2-0.5)/(COUNTIFS($G$17:$G$219,"入池",$AF$17:$AF$219,"&gt;=-1E+307",$AF$17:$AF$219,"&lt;=1E+307")-1),2)))</x:f>
      </x:c>
      <x:c r="AI216" s="17" t="n">
        <x:f>IF(NOT(ISNUMBER(AG216)),"",IF(NOT(ISNUMBER(AH216)),AG216,ROUND(AG216*'sheet1-指标体系'!$J$8+AH216*'sheet1-指标体系'!$J$9,2)))</x:f>
        <x:v>18.91</x:v>
      </x:c>
      <x:c r="AJ216" s="37" t="n">
        <x:f>IF(NOT(ISNUMBER(F216)),"",IF(F216&gt;=3,IF(NOT(ISNUMBER(N216)),"",N216),IF(NOT(ISNUMBER(O216)),"",O216)))</x:f>
        <x:v>0.0208</x:v>
      </x:c>
      <x:c r="AK216" s="17" t="n">
        <x:f>IF(OR(G216&lt;&gt;"入池",NOT(ISNUMBER(M216)),NOT(ISNUMBER(AJ216))),"",IF(M216&gt;=AJ216,100,IF(AJ216-M216&lt;'sheet1-指标体系'!$J$10,80,60)))</x:f>
        <x:v>80</x:v>
      </x:c>
      <x:c r="AL216" s="17" t="n">
        <x:f>IF(COUNT(I216,K216,L216)=0,"",ROUND((IF(ISNUMBER(I216),I216*40%,0)+IF(ISNUMBER(K216),K216*30%,0)+IF(ISNUMBER(L216),L216*30%,0))/(IF(ISNUMBER(I216),40%,0)+IF(ISNUMBER(K216),30%,0)+IF(ISNUMBER(L216),30%,0)),2))</x:f>
        <x:v>82.86</x:v>
      </x:c>
      <x:c r="AM216" s="17" t="n">
        <x:f>IF(COUNT(Q216,R216,W216,X216)=0,"",ROUND((IF(ISNUMBER(Q216),Q216*42%,0)+IF(ISNUMBER(R216),R216*28%,0)+IF(ISNUMBER(W216),W216*18%,0)+IF(ISNUMBER(X216),X216*12%,0))/(IF(ISNUMBER(Q216),42%,0)+IF(ISNUMBER(R216),28%,0)+IF(ISNUMBER(W216),18%,0)+IF(ISNUMBER(X216),12%,0)),2))</x:f>
        <x:v>27.56</x:v>
      </x:c>
      <x:c r="AN216" s="17" t="n">
        <x:f>IF(ISNUMBER(AC216),AC216,"")</x:f>
        <x:v>31.68</x:v>
      </x:c>
      <x:c r="AO216" s="17" t="n">
        <x:f>IF(COUNT(AG216,AH216)=0,"",ROUND((IF(ISNUMBER(AG216),AG216*60%,0)+IF(ISNUMBER(AH216),AH216*40%,0))/(IF(ISNUMBER(AG216),60%,0)+IF(ISNUMBER(AH216),40%,0)),2))</x:f>
        <x:v>18.91</x:v>
      </x:c>
      <x:c r="AP216" s="17" t="n">
        <x:f>IF(ISNUMBER(AK216),AK216,"")</x:f>
        <x:v>80</x:v>
      </x:c>
      <x:c r="AQ216" s="39" t="n">
        <x:f>IF(G216&lt;&gt;"入池",0,IF(ISNUMBER(I216),6%,0)+IF(ISNUMBER(K216),4.5%,0)+IF(ISNUMBER(L216),4.5%,0)+IF(ISNUMBER(Q216),8.4%,0)+IF(ISNUMBER(R216),5.6%,0)+IF(ISNUMBER(W216),3.6%,0)+IF(ISNUMBER(X216),2.4%,0)+IF(ISNUMBER(AC216),25%,0)+IF(ISNUMBER(AG216),18%,0)+IF(ISNUMBER(AH216),12%,0)+IF(ISNUMBER(AK216),10%,0))</x:f>
        <x:v>0.8350000000000001</x:v>
      </x:c>
      <x:c r="AR216" s="17" t="n">
        <x:f>IF(AQ216=0,"",IF(ISNUMBER(I216),I216*6%,0)+IF(ISNUMBER(K216),K216*4.5%,0)+IF(ISNUMBER(L216),L216*4.5%,0)+IF(ISNUMBER(Q216),Q216*8.4%,0)+IF(ISNUMBER(R216),R216*5.6%,0)+IF(ISNUMBER(W216),W216*3.6%,0)+IF(ISNUMBER(X216),X216*2.4%,0)+IF(ISNUMBER(AC216),AC216*25%,0)+IF(ISNUMBER(AG216),AG216*18%,0)+IF(ISNUMBER(AH216),AH216*12%,0)+IF(ISNUMBER(AK216),AK216*10%,0))</x:f>
        <x:v>33.53544</x:v>
      </x:c>
      <x:c r="AS216" s="17" t="n">
        <x:f>IF(AQ216=0,"",ROUND(AR216/AQ216,2))</x:f>
        <x:v>40.16</x:v>
      </x:c>
      <x:c r="AT216" s="40" t="n">
        <x:f>IF(OR(G216&lt;&gt;"入池",NOT(ISNUMBER(AS216))),"",COUNTIFS($G$17:$G$219,"入池",$AS$17:$AS$219,"&gt;"&amp;AS216)+COUNTIFS($G$17:$G$219,"入池",$AS$17:$AS$219,AS216,$AQ$17:$AQ$219,"&gt;"&amp;AQ216)+COUNTIFS($G$17:G216,"入池",$AS$17:AS216,AS216,$AQ$17:AQ216,AQ216))</x:f>
        <x:v>174</x:v>
      </x:c>
      <x:c r="AU216" s="41" t="str">
        <x:f t="shared" si="9">IF(NOT(ISNUMBER(I216)),"管理人规模；","")&amp;IF(J216="","产品规模标识；","")&amp;IF(AND(F216&lt;3,NOT(ISNUMBER(O216))),"R_incep；","")&amp;IF(NOT(ISNUMBER(N216)),"近三年收益；","")&amp;IF(NOT(ISNUMBER(U216)),"近三年胜率；","")&amp;IF(AND(ISNUMBER(V216),OR(V216&lt;0,V216&gt;1)),"胜率窗口口径不一致；","")&amp;IF(NOT(ISNUMBER(AA216)),"近三年回撤；","")&amp;IF(NOT(ISNUMBER(AD216)),"短期卡玛；","")&amp;IF(AND(ISNUMBER(P216),NOT(ISNUMBER(AE216))),"DD_long不可识别；","")</x:f>
        <x:v>产品规模标识；DD_long不可识别；</x:v>
      </x:c>
      <x:c r="AV216" s="42" t="n">
        <x:v>5</x:v>
      </x:c>
      <x:c r="AW216" s="19" t="str">
        <x:v>浙江和熙资产管理有限公司</x:v>
      </x:c>
      <x:c r="AX216" s="19" t="str">
        <x:v>2026-02-10</x:v>
      </x:c>
      <x:c r="AY216" s="19" t="str">
        <x:v>https://gs.amac.org.cn/amac-infodisc/res/pof/manager/101000072213.html</x:v>
      </x:c>
      <x:c r="AZ216" s="19"/>
      <x:c r="BA216" s="19"/>
      <x:c r="BB216" s="19"/>
      <x:c r="BC216" s="19"/>
      <x:c r="BD216" s="19" t="str">
        <x:v>基金页未匹配；管理人已核验</x:v>
      </x:c>
      <x:c r="BE216"/>
      <x:c r="BF216"/>
    </x:row>
    <x:row r="217" ht="28" customHeight="1">
      <x:c r="A217" s="4" t="n">
        <x:v>201</x:v>
      </x:c>
      <x:c r="B217" s="15" t="str">
        <x:f>'sheet4-原始数据'!A202</x:f>
        <x:v>常行7号</x:v>
      </x:c>
      <x:c r="C217" s="15" t="str">
        <x:f>'sheet4-原始数据'!B202</x:f>
        <x:v>SQH214</x:v>
      </x:c>
      <x:c r="D217" s="15" t="str">
        <x:f>'sheet4-原始数据'!E202</x:f>
        <x:v>江苏常行投资</x:v>
      </x:c>
      <x:c r="E217" s="32" t="n">
        <x:f>IF(ISNUMBER('sheet4-原始数据'!F202),'sheet4-原始数据'!F202,"")</x:f>
        <x:v>44288</x:v>
      </x:c>
      <x:c r="F217" s="17" t="n">
        <x:f>IF(NOT(ISNUMBER(E217)),"",ROUND(('sheet1-指标体系'!$J$23-E217)/365.25,4))</x:f>
        <x:v>5.4565</x:v>
      </x:c>
      <x:c r="G217" s="4" t="str">
        <x:f t="shared" si="8">IF(NOT(ISNUMBER(F217)),"",IF(F217&lt;1,"不入池","入池"))</x:f>
        <x:v>入池</x:v>
      </x:c>
      <x:c r="H217" s="33" t="str">
        <x:v>5-10亿元</x:v>
      </x:c>
      <x:c r="I217" s="17" t="n">
        <x:f>IF(H217="","",IF(ISNUMBER(SEARCH("100亿元以上",H217)),100,IF(OR(ISNUMBER(SEARCH("20-50",H217)),ISNUMBER(SEARCH("50-100",H217)),ISNUMBER(SEARCH("20-100",H217))),90,IF(ISNUMBER(SEARCH("10-20",H217)),80,IF(ISNUMBER(SEARCH("5-10",H217)),70,IF(ISNUMBER(SEARCH("0-5",H217)),60,""))))))</x:f>
        <x:v>70</x:v>
      </x:c>
      <x:c r="J217" s="34" t="str">
        <x:v>无低于1000万元标识</x:v>
      </x:c>
      <x:c r="K217" s="17" t="n">
        <x:f>IF(J217="","",IF(J217="低于1000万元",0,100))</x:f>
        <x:v>100</x:v>
      </x:c>
      <x:c r="L217" s="17" t="n">
        <x:f>IF(NOT(ISNUMBER(F217)),"",IF(F217&lt;1,"",IF(F217&lt;3,70,100)))</x:f>
        <x:v>100</x:v>
      </x:c>
      <x:c r="M217" s="35" t="n">
        <x:f>IF(ISNUMBER('sheet4-原始数据'!G202),'sheet4-原始数据'!G202,"")</x:f>
        <x:v>0.07295652170906353</x:v>
      </x:c>
      <x:c r="N217" s="35" t="n">
        <x:f>IF(ISNUMBER('sheet4-原始数据'!H202),'sheet4-原始数据'!H202,"")</x:f>
        <x:v>0.062095741394736725</x:v>
      </x:c>
      <x:c r="O217" s="36" t="n">
        <x:f>IF(ISNUMBER('sheet4-原始数据'!Q202),'sheet4-原始数据'!Q202,"")</x:f>
        <x:v>0.06374704185130686</x:v>
      </x:c>
      <x:c r="P217" s="37" t="n">
        <x:f>IF($G217&lt;&gt;"入池","",IF($F217&gt;=3,IF(OR(NOT(ISNUMBER($M217)),NOT(ISNUMBER($N217)),1+$M217&lt;=0,1+$N217&lt;0),"",((1+$N217)^3/(1+$M217))^(1/2)-1),IF(OR($F217&lt;=1,NOT(ISNUMBER($M217)),NOT(ISNUMBER($O217)),1+$M217&lt;=0,1+$O217&lt;0),"",((1+$O217)^$F217/(1+$M217))^(1/($F217-1))-1)))</x:f>
        <x:v>0.056706647053498926</x:v>
      </x:c>
      <x:c r="Q217" s="17" t="n">
        <x:f>IF(OR($G217&lt;&gt;"入池",NOT(ISNUMBER(M217))),"",IF(COUNTIFS($G$17:$G$219,"入池",$M$17:$M$219,"&gt;=-1E+307",$M$17:$M$219,"&lt;=1E+307")&lt;=1,100,ROUND(100*(COUNTIFS($G$17:$G$219,"入池",$M$17:$M$219,"&gt;=-1E+307",$M$17:$M$219,"&lt;"&amp;M217)+COUNTIFS($G$17:$G$219,"入池",$M$17:$M$219,M217,$M$17:$M$219,"&gt;=-1E+307",$M$17:$M$219,"&lt;=1E+307")/2-0.5)/(COUNTIFS($G$17:$G$219,"入池",$M$17:$M$219,"&gt;=-1E+307",$M$17:$M$219,"&lt;=1E+307")-1),2)))</x:f>
        <x:v>66.34</x:v>
      </x:c>
      <x:c r="R217" s="17" t="n">
        <x:f>IF(OR($G217&lt;&gt;"入池",NOT(ISNUMBER(P217))),"",IF(COUNTIFS($G$17:$G$219,"入池",$P$17:$P$219,"&gt;=-1E+307",$P$17:$P$219,"&lt;=1E+307")&lt;=1,100,ROUND(100*(COUNTIFS($G$17:$G$219,"入池",$P$17:$P$219,"&gt;=-1E+307",$P$17:$P$219,"&lt;"&amp;P217)+COUNTIFS($G$17:$G$219,"入池",$P$17:$P$219,P217,$P$17:$P$219,"&gt;=-1E+307",$P$17:$P$219,"&lt;=1E+307")/2-0.5)/(COUNTIFS($G$17:$G$219,"入池",$P$17:$P$219,"&gt;=-1E+307",$P$17:$P$219,"&lt;=1E+307")-1),2)))</x:f>
        <x:v>45.54</x:v>
      </x:c>
      <x:c r="S217" s="17" t="n">
        <x:f>IF(NOT(ISNUMBER(Q217)),"",IF(NOT(ISNUMBER(R217)),Q217,ROUND(Q217*'sheet1-指标体系'!$J$8+R217*'sheet1-指标体系'!$J$9,2)))</x:f>
        <x:v>58.02</x:v>
      </x:c>
      <x:c r="T217" s="35" t="n">
        <x:f>IF(ISNUMBER('sheet4-原始数据'!J202),'sheet4-原始数据'!J202,"")</x:f>
        <x:v>1</x:v>
      </x:c>
      <x:c r="U217" s="35" t="n">
        <x:f>IF(ISNUMBER('sheet4-原始数据'!I202),'sheet4-原始数据'!I202,"")</x:f>
        <x:v>0.8918918918918919</x:v>
      </x:c>
      <x:c r="V217" s="37" t="n">
        <x:f>IF(OR(NOT(ISNUMBER(T217)),NOT(ISNUMBER(U217))),"",(U217*'sheet1-指标体系'!$J$6-T217*'sheet1-指标体系'!$J$5)/'sheet1-指标体系'!$J$7)</x:f>
        <x:v>0.8333333333333334</x:v>
      </x:c>
      <x:c r="W217" s="17" t="n">
        <x:f>IF(NOT(ISNUMBER(T217)),"",T217*100)</x:f>
        <x:v>100</x:v>
      </x:c>
      <x:c r="X217" s="17" t="n">
        <x:f>IF($G217&lt;&gt;"入池","",IF(AND(ISNUMBER(V217),V217&gt;=0,V217&lt;=1),V217*100,IF(MAX(0,($F217-1)*12)&lt;6,100,"")))</x:f>
        <x:v>83.33333333333334</x:v>
      </x:c>
      <x:c r="Y217" s="17" t="n">
        <x:f>IF(NOT(ISNUMBER(W217)),"",IF(NOT(ISNUMBER(X217)),W217,ROUND(W217*'sheet1-指标体系'!$J$8+X217*'sheet1-指标体系'!$J$9,2)))</x:f>
        <x:v>93.33</x:v>
      </x:c>
      <x:c r="Z217" s="37" t="n">
        <x:f>IF(OR(NOT(ISNUMBER(M217)),NOT(ISNUMBER(AD217)),AD217=0),"",ABS(M217/AD217))</x:f>
        <x:v>0.001650907999399709</x:v>
      </x:c>
      <x:c r="AA217" s="35" t="n">
        <x:f>IF(ISNUMBER('sheet4-原始数据'!K202),'sheet4-原始数据'!K202,"")</x:f>
        <x:v>0.011487355336476712</x:v>
      </x:c>
      <x:c r="AB217" s="37" t="n">
        <x:f>IF(COUNT(Z217:AA217)=0,"",MAX(Z217:AA217))</x:f>
        <x:v>0.011487355336476712</x:v>
      </x:c>
      <x:c r="AC217" s="17" t="n">
        <x:f>IF(OR($G217&lt;&gt;"入池",NOT(ISNUMBER(AB217))),"",IF(COUNTIFS($G$17:$G$219,"入池",$AB$17:$AB$219,"&gt;=-1E+307",$AB$17:$AB$219,"&lt;=1E+307")&lt;=1,100,ROUND(100*(COUNTIFS($G$17:$G$219,"入池",$AB$17:$AB$219,"&lt;=1E+307",$AB$17:$AB$219,"&gt;"&amp;AB217)+COUNTIFS($G$17:$G$219,"入池",$AB$17:$AB$219,AB217,$AB$17:$AB$219,"&gt;=-1E+307",$AB$17:$AB$219,"&lt;=1E+307")/2-0.5)/(COUNTIFS($G$17:$G$219,"入池",$AB$17:$AB$219,"&gt;=-1E+307",$AB$17:$AB$219,"&lt;=1E+307")-1),2)))</x:f>
        <x:v>85.15</x:v>
      </x:c>
      <x:c r="AD217" s="38" t="n">
        <x:f>IF(ISNUMBER('sheet4-原始数据'!M202),'sheet4-原始数据'!M202,"")</x:f>
        <x:v>44.19175492249807</x:v>
      </x:c>
      <x:c r="AE217" s="37" t="n">
        <x:f>IF(OR(NOT(ISNUMBER(P217)),NOT(ISNUMBER(AA217)),NOT(ISNUMBER(Z217))),"",IF(AA217&gt;Z217+'sheet1-指标体系'!$J$11,AA217,""))</x:f>
        <x:v>0.011487355336476712</x:v>
      </x:c>
      <x:c r="AF217" s="17" t="n">
        <x:f>IF(OR(NOT(ISNUMBER(P217)),NOT(ISNUMBER(AE217)),AE217=0),"",P217/AE217)</x:f>
        <x:v>4.9364405811870204</x:v>
      </x:c>
      <x:c r="AG217" s="17" t="n">
        <x:f>IF(OR($G217&lt;&gt;"入池",NOT(ISNUMBER(AD217))),"",IF(COUNTIFS($G$17:$G$219,"入池",$AD$17:$AD$219,"&gt;=-1E+307",$AD$17:$AD$219,"&lt;=1E+307")&lt;=1,100,ROUND(100*(COUNTIFS($G$17:$G$219,"入池",$AD$17:$AD$219,"&gt;=-1E+307",$AD$17:$AD$219,"&lt;"&amp;AD217)+COUNTIFS($G$17:$G$219,"入池",$AD$17:$AD$219,AD217,$AD$17:$AD$219,"&gt;=-1E+307",$AD$17:$AD$219,"&lt;=1E+307")/2-0.5)/(COUNTIFS($G$17:$G$219,"入池",$AD$17:$AD$219,"&gt;=-1E+307",$AD$17:$AD$219,"&lt;=1E+307")-1),2)))</x:f>
        <x:v>96.02</x:v>
      </x:c>
      <x:c r="AH217" s="17" t="n">
        <x:f>IF(OR($G217&lt;&gt;"入池",NOT(ISNUMBER(AF217))),"",IF(COUNTIFS($G$17:$G$219,"入池",$AF$17:$AF$219,"&gt;=-1E+307",$AF$17:$AF$219,"&lt;=1E+307")&lt;=1,100,ROUND(100*(COUNTIFS($G$17:$G$219,"入池",$AF$17:$AF$219,"&gt;=-1E+307",$AF$17:$AF$219,"&lt;"&amp;AF217)+COUNTIFS($G$17:$G$219,"入池",$AF$17:$AF$219,AF217,$AF$17:$AF$219,"&gt;=-1E+307",$AF$17:$AF$219,"&lt;=1E+307")/2-0.5)/(COUNTIFS($G$17:$G$219,"入池",$AF$17:$AF$219,"&gt;=-1E+307",$AF$17:$AF$219,"&lt;=1E+307")-1),2)))</x:f>
        <x:v>84.67</x:v>
      </x:c>
      <x:c r="AI217" s="17" t="n">
        <x:f>IF(NOT(ISNUMBER(AG217)),"",IF(NOT(ISNUMBER(AH217)),AG217,ROUND(AG217*'sheet1-指标体系'!$J$8+AH217*'sheet1-指标体系'!$J$9,2)))</x:f>
        <x:v>91.48</x:v>
      </x:c>
      <x:c r="AJ217" s="37" t="n">
        <x:f>IF(NOT(ISNUMBER(F217)),"",IF(F217&gt;=3,IF(NOT(ISNUMBER(N217)),"",N217),IF(NOT(ISNUMBER(O217)),"",O217)))</x:f>
        <x:v>0.062095741394736725</x:v>
      </x:c>
      <x:c r="AK217" s="17" t="n">
        <x:f>IF(OR(G217&lt;&gt;"入池",NOT(ISNUMBER(M217)),NOT(ISNUMBER(AJ217))),"",IF(M217&gt;=AJ217,100,IF(AJ217-M217&lt;'sheet1-指标体系'!$J$10,80,60)))</x:f>
        <x:v>100</x:v>
      </x:c>
      <x:c r="AL217" s="17" t="n">
        <x:f>IF(COUNT(I217,K217,L217)=0,"",ROUND((IF(ISNUMBER(I217),I217*40%,0)+IF(ISNUMBER(K217),K217*30%,0)+IF(ISNUMBER(L217),L217*30%,0))/(IF(ISNUMBER(I217),40%,0)+IF(ISNUMBER(K217),30%,0)+IF(ISNUMBER(L217),30%,0)),2))</x:f>
        <x:v>88</x:v>
      </x:c>
      <x:c r="AM217" s="17" t="n">
        <x:f>IF(COUNT(Q217,R217,W217,X217)=0,"",ROUND((IF(ISNUMBER(Q217),Q217*42%,0)+IF(ISNUMBER(R217),R217*28%,0)+IF(ISNUMBER(W217),W217*18%,0)+IF(ISNUMBER(X217),X217*12%,0))/(IF(ISNUMBER(Q217),42%,0)+IF(ISNUMBER(R217),28%,0)+IF(ISNUMBER(W217),18%,0)+IF(ISNUMBER(X217),12%,0)),2))</x:f>
        <x:v>68.61</x:v>
      </x:c>
      <x:c r="AN217" s="17" t="n">
        <x:f>IF(ISNUMBER(AC217),AC217,"")</x:f>
        <x:v>85.15</x:v>
      </x:c>
      <x:c r="AO217" s="17" t="n">
        <x:f>IF(COUNT(AG217,AH217)=0,"",ROUND((IF(ISNUMBER(AG217),AG217*60%,0)+IF(ISNUMBER(AH217),AH217*40%,0))/(IF(ISNUMBER(AG217),60%,0)+IF(ISNUMBER(AH217),40%,0)),2))</x:f>
        <x:v>91.48</x:v>
      </x:c>
      <x:c r="AP217" s="17" t="n">
        <x:f>IF(ISNUMBER(AK217),AK217,"")</x:f>
        <x:v>100</x:v>
      </x:c>
      <x:c r="AQ217" s="39" t="n">
        <x:f>IF(G217&lt;&gt;"入池",0,IF(ISNUMBER(I217),6%,0)+IF(ISNUMBER(K217),4.5%,0)+IF(ISNUMBER(L217),4.5%,0)+IF(ISNUMBER(Q217),8.4%,0)+IF(ISNUMBER(R217),5.6%,0)+IF(ISNUMBER(W217),3.6%,0)+IF(ISNUMBER(X217),2.4%,0)+IF(ISNUMBER(AC217),25%,0)+IF(ISNUMBER(AG217),18%,0)+IF(ISNUMBER(AH217),12%,0)+IF(ISNUMBER(AK217),10%,0))</x:f>
        <x:v>1</x:v>
      </x:c>
      <x:c r="AR217" s="17" t="n">
        <x:f>IF(AQ217=0,"",IF(ISNUMBER(I217),I217*6%,0)+IF(ISNUMBER(K217),K217*4.5%,0)+IF(ISNUMBER(L217),L217*4.5%,0)+IF(ISNUMBER(Q217),Q217*8.4%,0)+IF(ISNUMBER(R217),R217*5.6%,0)+IF(ISNUMBER(W217),W217*3.6%,0)+IF(ISNUMBER(X217),X217*2.4%,0)+IF(ISNUMBER(AC217),AC217*25%,0)+IF(ISNUMBER(AG217),AG217*18%,0)+IF(ISNUMBER(AH217),AH217*12%,0)+IF(ISNUMBER(AK217),AK217*10%,0))</x:f>
        <x:v>85.65429999999999</x:v>
      </x:c>
      <x:c r="AS217" s="17" t="n">
        <x:f>IF(AQ217=0,"",ROUND(AR217/AQ217,2))</x:f>
        <x:v>85.65</x:v>
      </x:c>
      <x:c r="AT217" s="40" t="n">
        <x:f>IF(OR(G217&lt;&gt;"入池",NOT(ISNUMBER(AS217))),"",COUNTIFS($G$17:$G$219,"入池",$AS$17:$AS$219,"&gt;"&amp;AS217)+COUNTIFS($G$17:$G$219,"入池",$AS$17:$AS$219,AS217,$AQ$17:$AQ$219,"&gt;"&amp;AQ217)+COUNTIFS($G$17:G217,"入池",$AS$17:AS217,AS217,$AQ$17:AQ217,AQ217))</x:f>
        <x:v>16</x:v>
      </x:c>
      <x:c r="AU217" s="41" t="str">
        <x:f t="shared" si="9">IF(NOT(ISNUMBER(I217)),"管理人规模；","")&amp;IF(J217="","产品规模标识；","")&amp;IF(AND(F217&lt;3,NOT(ISNUMBER(O217))),"R_incep；","")&amp;IF(NOT(ISNUMBER(N217)),"近三年收益；","")&amp;IF(NOT(ISNUMBER(U217)),"近三年胜率；","")&amp;IF(AND(ISNUMBER(V217),OR(V217&lt;0,V217&gt;1)),"胜率窗口口径不一致；","")&amp;IF(NOT(ISNUMBER(AA217)),"近三年回撤；","")&amp;IF(NOT(ISNUMBER(AD217)),"短期卡玛；","")&amp;IF(AND(ISNUMBER(P217),NOT(ISNUMBER(AE217))),"DD_long不可识别；","")</x:f>
      </x:c>
      <x:c r="AV217" s="42" t="n">
        <x:v>5</x:v>
      </x:c>
      <x:c r="AW217" s="19" t="str">
        <x:v>江苏常行投资管理有限公司</x:v>
      </x:c>
      <x:c r="AX217" s="19" t="str">
        <x:v>2026-01-28</x:v>
      </x:c>
      <x:c r="AY217" s="19" t="str">
        <x:v>https://gs.amac.org.cn/amac-infodisc/res/pof/manager/101000022360.html</x:v>
      </x:c>
      <x:c r="AZ217" s="19" t="str">
        <x:v>常行7号私募证券投资基金</x:v>
      </x:c>
      <x:c r="BA217" s="19" t="str">
        <x:v>2026-07-28</x:v>
      </x:c>
      <x:c r="BB217" s="19"/>
      <x:c r="BC217" s="19" t="str">
        <x:v>https://gs.amac.org.cn/amac-infodisc/res/pof/fund/2104131319108374.html</x:v>
      </x:c>
      <x:c r="BD217" s="19" t="str">
        <x:v>已匹配</x:v>
      </x:c>
      <x:c r="BE217"/>
      <x:c r="BF217"/>
    </x:row>
    <x:row r="218" ht="28" customHeight="1">
      <x:c r="A218" s="4" t="n">
        <x:v>202</x:v>
      </x:c>
      <x:c r="B218" s="15" t="str">
        <x:f>'sheet4-原始数据'!A203</x:f>
        <x:v>深度梦扬量化套利0号</x:v>
      </x:c>
      <x:c r="C218" s="15" t="str">
        <x:f>'sheet4-原始数据'!B203</x:f>
        <x:v>SQD620</x:v>
      </x:c>
      <x:c r="D218" s="15" t="str">
        <x:f>'sheet4-原始数据'!E203</x:f>
        <x:v>杭州深度资管</x:v>
      </x:c>
      <x:c r="E218" s="32" t="n">
        <x:f>IF(ISNUMBER('sheet4-原始数据'!F203),'sheet4-原始数据'!F203,"")</x:f>
        <x:v>44305</x:v>
      </x:c>
      <x:c r="F218" s="17" t="n">
        <x:f>IF(NOT(ISNUMBER(E218)),"",ROUND(('sheet1-指标体系'!$J$23-E218)/365.25,4))</x:f>
        <x:v>5.41</x:v>
      </x:c>
      <x:c r="G218" s="4" t="str">
        <x:f t="shared" si="8">IF(NOT(ISNUMBER(F218)),"",IF(F218&lt;1,"不入池","入池"))</x:f>
        <x:v>入池</x:v>
      </x:c>
      <x:c r="H218" s="33" t="str">
        <x:v>10-20亿元</x:v>
      </x:c>
      <x:c r="I218" s="17" t="n">
        <x:f>IF(H218="","",IF(ISNUMBER(SEARCH("100亿元以上",H218)),100,IF(OR(ISNUMBER(SEARCH("20-50",H218)),ISNUMBER(SEARCH("50-100",H218)),ISNUMBER(SEARCH("20-100",H218))),90,IF(ISNUMBER(SEARCH("10-20",H218)),80,IF(ISNUMBER(SEARCH("5-10",H218)),70,IF(ISNUMBER(SEARCH("0-5",H218)),60,""))))))</x:f>
        <x:v>80</x:v>
      </x:c>
      <x:c r="J218" s="34" t="str">
        <x:v>无低于1000万元标识</x:v>
      </x:c>
      <x:c r="K218" s="17" t="n">
        <x:f>IF(J218="","",IF(J218="低于1000万元",0,100))</x:f>
        <x:v>100</x:v>
      </x:c>
      <x:c r="L218" s="17" t="n">
        <x:f>IF(NOT(ISNUMBER(F218)),"",IF(F218&lt;1,"",IF(F218&lt;3,70,100)))</x:f>
        <x:v>100</x:v>
      </x:c>
      <x:c r="M218" s="35" t="n">
        <x:f>IF(ISNUMBER('sheet4-原始数据'!G203),'sheet4-原始数据'!G203,"")</x:f>
        <x:v>0.09961373147029673</x:v>
      </x:c>
      <x:c r="N218" s="35" t="n">
        <x:f>IF(ISNUMBER('sheet4-原始数据'!H203),'sheet4-原始数据'!H203,"")</x:f>
        <x:v>0.0845476235035083</x:v>
      </x:c>
      <x:c r="O218" s="36" t="n">
        <x:f>IF(ISNUMBER('sheet4-原始数据'!Q203),'sheet4-原始数据'!Q203,"")</x:f>
        <x:v>0.07761167704291072</x:v>
      </x:c>
      <x:c r="P218" s="37" t="n">
        <x:f>IF($G218&lt;&gt;"入池","",IF($F218&gt;=3,IF(OR(NOT(ISNUMBER($M218)),NOT(ISNUMBER($N218)),1+$M218&lt;=0,1+$N218&lt;0),"",((1+$N218)^3/(1+$M218))^(1/2)-1),IF(OR($F218&lt;=1,NOT(ISNUMBER($M218)),NOT(ISNUMBER($O218)),1+$M218&lt;=0,1+$O218&lt;0),"",((1+$O218)^$F218/(1+$M218))^(1/($F218-1))-1)))</x:f>
        <x:v>0.07709215652437873</x:v>
      </x:c>
      <x:c r="Q218" s="17" t="n">
        <x:f>IF(OR($G218&lt;&gt;"入池",NOT(ISNUMBER(M218))),"",IF(COUNTIFS($G$17:$G$219,"入池",$M$17:$M$219,"&gt;=-1E+307",$M$17:$M$219,"&lt;=1E+307")&lt;=1,100,ROUND(100*(COUNTIFS($G$17:$G$219,"入池",$M$17:$M$219,"&gt;=-1E+307",$M$17:$M$219,"&lt;"&amp;M218)+COUNTIFS($G$17:$G$219,"入池",$M$17:$M$219,M218,$M$17:$M$219,"&gt;=-1E+307",$M$17:$M$219,"&lt;=1E+307")/2-0.5)/(COUNTIFS($G$17:$G$219,"入池",$M$17:$M$219,"&gt;=-1E+307",$M$17:$M$219,"&lt;=1E+307")-1),2)))</x:f>
        <x:v>80.2</x:v>
      </x:c>
      <x:c r="R218" s="17" t="n">
        <x:f>IF(OR($G218&lt;&gt;"入池",NOT(ISNUMBER(P218))),"",IF(COUNTIFS($G$17:$G$219,"入池",$P$17:$P$219,"&gt;=-1E+307",$P$17:$P$219,"&lt;=1E+307")&lt;=1,100,ROUND(100*(COUNTIFS($G$17:$G$219,"入池",$P$17:$P$219,"&gt;=-1E+307",$P$17:$P$219,"&lt;"&amp;P218)+COUNTIFS($G$17:$G$219,"入池",$P$17:$P$219,P218,$P$17:$P$219,"&gt;=-1E+307",$P$17:$P$219,"&lt;=1E+307")/2-0.5)/(COUNTIFS($G$17:$G$219,"入池",$P$17:$P$219,"&gt;=-1E+307",$P$17:$P$219,"&lt;=1E+307")-1),2)))</x:f>
        <x:v>62.87</x:v>
      </x:c>
      <x:c r="S218" s="17" t="n">
        <x:f>IF(NOT(ISNUMBER(Q218)),"",IF(NOT(ISNUMBER(R218)),Q218,ROUND(Q218*'sheet1-指标体系'!$J$8+R218*'sheet1-指标体系'!$J$9,2)))</x:f>
        <x:v>73.27</x:v>
      </x:c>
      <x:c r="T218" s="35" t="n">
        <x:f>IF(ISNUMBER('sheet4-原始数据'!J203),'sheet4-原始数据'!J203,"")</x:f>
        <x:v>0.6923076923076923</x:v>
      </x:c>
      <x:c r="U218" s="35" t="n">
        <x:f>IF(ISNUMBER('sheet4-原始数据'!I203),'sheet4-原始数据'!I203,"")</x:f>
        <x:v>0.7567567567567568</x:v>
      </x:c>
      <x:c r="V218" s="37" t="n">
        <x:f>IF(OR(NOT(ISNUMBER(T218)),NOT(ISNUMBER(U218))),"",(U218*'sheet1-指标体系'!$J$6-T218*'sheet1-指标体系'!$J$5)/'sheet1-指标体系'!$J$7)</x:f>
        <x:v>0.7916666666666666</x:v>
      </x:c>
      <x:c r="W218" s="17" t="n">
        <x:f>IF(NOT(ISNUMBER(T218)),"",T218*100)</x:f>
        <x:v>69.23076923076923</x:v>
      </x:c>
      <x:c r="X218" s="17" t="n">
        <x:f>IF($G218&lt;&gt;"入池","",IF(AND(ISNUMBER(V218),V218&gt;=0,V218&lt;=1),V218*100,IF(MAX(0,($F218-1)*12)&lt;6,100,"")))</x:f>
        <x:v>79.16666666666666</x:v>
      </x:c>
      <x:c r="Y218" s="17" t="n">
        <x:f>IF(NOT(ISNUMBER(W218)),"",IF(NOT(ISNUMBER(X218)),W218,ROUND(W218*'sheet1-指标体系'!$J$8+X218*'sheet1-指标体系'!$J$9,2)))</x:f>
        <x:v>73.21</x:v>
      </x:c>
      <x:c r="Z218" s="37" t="n">
        <x:f>IF(OR(NOT(ISNUMBER(M218)),NOT(ISNUMBER(AD218)),AD218=0),"",ABS(M218/AD218))</x:f>
        <x:v>0.040228725193407255</x:v>
      </x:c>
      <x:c r="AA218" s="35" t="n">
        <x:f>IF(ISNUMBER('sheet4-原始数据'!K203),'sheet4-原始数据'!K203,"")</x:f>
        <x:v>0.040228725193407255</x:v>
      </x:c>
      <x:c r="AB218" s="37" t="n">
        <x:f>IF(COUNT(Z218:AA218)=0,"",MAX(Z218:AA218))</x:f>
        <x:v>0.040228725193407255</x:v>
      </x:c>
      <x:c r="AC218" s="17" t="n">
        <x:f>IF(OR($G218&lt;&gt;"入池",NOT(ISNUMBER(AB218))),"",IF(COUNTIFS($G$17:$G$219,"入池",$AB$17:$AB$219,"&gt;=-1E+307",$AB$17:$AB$219,"&lt;=1E+307")&lt;=1,100,ROUND(100*(COUNTIFS($G$17:$G$219,"入池",$AB$17:$AB$219,"&lt;=1E+307",$AB$17:$AB$219,"&gt;"&amp;AB218)+COUNTIFS($G$17:$G$219,"入池",$AB$17:$AB$219,AB218,$AB$17:$AB$219,"&gt;=-1E+307",$AB$17:$AB$219,"&lt;=1E+307")/2-0.5)/(COUNTIFS($G$17:$G$219,"入池",$AB$17:$AB$219,"&gt;=-1E+307",$AB$17:$AB$219,"&lt;=1E+307")-1),2)))</x:f>
        <x:v>51.98</x:v>
      </x:c>
      <x:c r="AD218" s="38" t="n">
        <x:f>IF(ISNUMBER('sheet4-原始数据'!M203),'sheet4-原始数据'!M203,"")</x:f>
        <x:v>2.476184144324354</x:v>
      </x:c>
      <x:c r="AE218" s="37" t="str">
        <x:f>IF(OR(NOT(ISNUMBER(P218)),NOT(ISNUMBER(AA218)),NOT(ISNUMBER(Z218))),"",IF(AA218&gt;Z218+'sheet1-指标体系'!$J$11,AA218,""))</x:f>
      </x:c>
      <x:c r="AF218" s="17" t="str">
        <x:f>IF(OR(NOT(ISNUMBER(P218)),NOT(ISNUMBER(AE218)),AE218=0),"",P218/AE218)</x:f>
      </x:c>
      <x:c r="AG218" s="17" t="n">
        <x:f>IF(OR($G218&lt;&gt;"入池",NOT(ISNUMBER(AD218))),"",IF(COUNTIFS($G$17:$G$219,"入池",$AD$17:$AD$219,"&gt;=-1E+307",$AD$17:$AD$219,"&lt;=1E+307")&lt;=1,100,ROUND(100*(COUNTIFS($G$17:$G$219,"入池",$AD$17:$AD$219,"&gt;=-1E+307",$AD$17:$AD$219,"&lt;"&amp;AD218)+COUNTIFS($G$17:$G$219,"入池",$AD$17:$AD$219,AD218,$AD$17:$AD$219,"&gt;=-1E+307",$AD$17:$AD$219,"&lt;=1E+307")/2-0.5)/(COUNTIFS($G$17:$G$219,"入池",$AD$17:$AD$219,"&gt;=-1E+307",$AD$17:$AD$219,"&lt;=1E+307")-1),2)))</x:f>
        <x:v>49.25</x:v>
      </x:c>
      <x:c r="AH218" s="17" t="str">
        <x:f>IF(OR($G218&lt;&gt;"入池",NOT(ISNUMBER(AF218))),"",IF(COUNTIFS($G$17:$G$219,"入池",$AF$17:$AF$219,"&gt;=-1E+307",$AF$17:$AF$219,"&lt;=1E+307")&lt;=1,100,ROUND(100*(COUNTIFS($G$17:$G$219,"入池",$AF$17:$AF$219,"&gt;=-1E+307",$AF$17:$AF$219,"&lt;"&amp;AF218)+COUNTIFS($G$17:$G$219,"入池",$AF$17:$AF$219,AF218,$AF$17:$AF$219,"&gt;=-1E+307",$AF$17:$AF$219,"&lt;=1E+307")/2-0.5)/(COUNTIFS($G$17:$G$219,"入池",$AF$17:$AF$219,"&gt;=-1E+307",$AF$17:$AF$219,"&lt;=1E+307")-1),2)))</x:f>
      </x:c>
      <x:c r="AI218" s="17" t="n">
        <x:f>IF(NOT(ISNUMBER(AG218)),"",IF(NOT(ISNUMBER(AH218)),AG218,ROUND(AG218*'sheet1-指标体系'!$J$8+AH218*'sheet1-指标体系'!$J$9,2)))</x:f>
        <x:v>49.25</x:v>
      </x:c>
      <x:c r="AJ218" s="37" t="n">
        <x:f>IF(NOT(ISNUMBER(F218)),"",IF(F218&gt;=3,IF(NOT(ISNUMBER(N218)),"",N218),IF(NOT(ISNUMBER(O218)),"",O218)))</x:f>
        <x:v>0.0845476235035083</x:v>
      </x:c>
      <x:c r="AK218" s="17" t="n">
        <x:f>IF(OR(G218&lt;&gt;"入池",NOT(ISNUMBER(M218)),NOT(ISNUMBER(AJ218))),"",IF(M218&gt;=AJ218,100,IF(AJ218-M218&lt;'sheet1-指标体系'!$J$10,80,60)))</x:f>
        <x:v>100</x:v>
      </x:c>
      <x:c r="AL218" s="17" t="n">
        <x:f>IF(COUNT(I218,K218,L218)=0,"",ROUND((IF(ISNUMBER(I218),I218*40%,0)+IF(ISNUMBER(K218),K218*30%,0)+IF(ISNUMBER(L218),L218*30%,0))/(IF(ISNUMBER(I218),40%,0)+IF(ISNUMBER(K218),30%,0)+IF(ISNUMBER(L218),30%,0)),2))</x:f>
        <x:v>92</x:v>
      </x:c>
      <x:c r="AM218" s="17" t="n">
        <x:f>IF(COUNT(Q218,R218,W218,X218)=0,"",ROUND((IF(ISNUMBER(Q218),Q218*42%,0)+IF(ISNUMBER(R218),R218*28%,0)+IF(ISNUMBER(W218),W218*18%,0)+IF(ISNUMBER(X218),X218*12%,0))/(IF(ISNUMBER(Q218),42%,0)+IF(ISNUMBER(R218),28%,0)+IF(ISNUMBER(W218),18%,0)+IF(ISNUMBER(X218),12%,0)),2))</x:f>
        <x:v>73.25</x:v>
      </x:c>
      <x:c r="AN218" s="17" t="n">
        <x:f>IF(ISNUMBER(AC218),AC218,"")</x:f>
        <x:v>51.98</x:v>
      </x:c>
      <x:c r="AO218" s="17" t="n">
        <x:f>IF(COUNT(AG218,AH218)=0,"",ROUND((IF(ISNUMBER(AG218),AG218*60%,0)+IF(ISNUMBER(AH218),AH218*40%,0))/(IF(ISNUMBER(AG218),60%,0)+IF(ISNUMBER(AH218),40%,0)),2))</x:f>
        <x:v>49.25</x:v>
      </x:c>
      <x:c r="AP218" s="17" t="n">
        <x:f>IF(ISNUMBER(AK218),AK218,"")</x:f>
        <x:v>100</x:v>
      </x:c>
      <x:c r="AQ218" s="39" t="n">
        <x:f>IF(G218&lt;&gt;"入池",0,IF(ISNUMBER(I218),6%,0)+IF(ISNUMBER(K218),4.5%,0)+IF(ISNUMBER(L218),4.5%,0)+IF(ISNUMBER(Q218),8.4%,0)+IF(ISNUMBER(R218),5.6%,0)+IF(ISNUMBER(W218),3.6%,0)+IF(ISNUMBER(X218),2.4%,0)+IF(ISNUMBER(AC218),25%,0)+IF(ISNUMBER(AG218),18%,0)+IF(ISNUMBER(AH218),12%,0)+IF(ISNUMBER(AK218),10%,0))</x:f>
        <x:v>0.88</x:v>
      </x:c>
      <x:c r="AR218" s="17" t="n">
        <x:f>IF(AQ218=0,"",IF(ISNUMBER(I218),I218*6%,0)+IF(ISNUMBER(K218),K218*4.5%,0)+IF(ISNUMBER(L218),L218*4.5%,0)+IF(ISNUMBER(Q218),Q218*8.4%,0)+IF(ISNUMBER(R218),R218*5.6%,0)+IF(ISNUMBER(W218),W218*3.6%,0)+IF(ISNUMBER(X218),X218*2.4%,0)+IF(ISNUMBER(AC218),AC218*25%,0)+IF(ISNUMBER(AG218),AG218*18%,0)+IF(ISNUMBER(AH218),AH218*12%,0)+IF(ISNUMBER(AK218),AK218*10%,0))</x:f>
        <x:v>60.30982769230769</x:v>
      </x:c>
      <x:c r="AS218" s="17" t="n">
        <x:f>IF(AQ218=0,"",ROUND(AR218/AQ218,2))</x:f>
        <x:v>68.53</x:v>
      </x:c>
      <x:c r="AT218" s="40" t="n">
        <x:f>IF(OR(G218&lt;&gt;"入池",NOT(ISNUMBER(AS218))),"",COUNTIFS($G$17:$G$219,"入池",$AS$17:$AS$219,"&gt;"&amp;AS218)+COUNTIFS($G$17:$G$219,"入池",$AS$17:$AS$219,AS218,$AQ$17:$AQ$219,"&gt;"&amp;AQ218)+COUNTIFS($G$17:G218,"入池",$AS$17:AS218,AS218,$AQ$17:AQ218,AQ218))</x:f>
        <x:v>80</x:v>
      </x:c>
      <x:c r="AU218" s="41" t="str">
        <x:f t="shared" si="9">IF(NOT(ISNUMBER(I218)),"管理人规模；","")&amp;IF(J218="","产品规模标识；","")&amp;IF(AND(F218&lt;3,NOT(ISNUMBER(O218))),"R_incep；","")&amp;IF(NOT(ISNUMBER(N218)),"近三年收益；","")&amp;IF(NOT(ISNUMBER(U218)),"近三年胜率；","")&amp;IF(AND(ISNUMBER(V218),OR(V218&lt;0,V218&gt;1)),"胜率窗口口径不一致；","")&amp;IF(NOT(ISNUMBER(AA218)),"近三年回撤；","")&amp;IF(NOT(ISNUMBER(AD218)),"短期卡玛；","")&amp;IF(AND(ISNUMBER(P218),NOT(ISNUMBER(AE218))),"DD_long不可识别；","")</x:f>
        <x:v>DD_long不可识别；</x:v>
      </x:c>
      <x:c r="AV218" s="42" t="n">
        <x:v>10</x:v>
      </x:c>
      <x:c r="AW218" s="19" t="str">
        <x:v>杭州深度资产管理有限公司</x:v>
      </x:c>
      <x:c r="AX218" s="19" t="str">
        <x:v>2026-04-21</x:v>
      </x:c>
      <x:c r="AY218" s="19" t="str">
        <x:v>https://gs.amac.org.cn/amac-infodisc/res/pof/manager/1703210938100205.html</x:v>
      </x:c>
      <x:c r="AZ218" s="19" t="str">
        <x:v>深度梦扬量化套利0号私募证券投资基金</x:v>
      </x:c>
      <x:c r="BA218" s="19" t="str">
        <x:v>2025-04-23</x:v>
      </x:c>
      <x:c r="BB218" s="19"/>
      <x:c r="BC218" s="19" t="str">
        <x:v>https://gs.amac.org.cn/amac-infodisc/res/pof/fund/2104230845102170.html</x:v>
      </x:c>
      <x:c r="BD218" s="19" t="str">
        <x:v>已匹配</x:v>
      </x:c>
      <x:c r="BE218"/>
      <x:c r="BF218"/>
    </x:row>
    <x:row r="219" ht="28" customHeight="1">
      <x:c r="A219" s="4" t="n">
        <x:v>203</x:v>
      </x:c>
      <x:c r="B219" s="15" t="str">
        <x:f>'sheet4-原始数据'!A204</x:f>
        <x:v>滨风风云瑞丰1号</x:v>
      </x:c>
      <x:c r="C219" s="15" t="str">
        <x:f>'sheet4-原始数据'!B204</x:f>
        <x:v>SXL267</x:v>
      </x:c>
      <x:c r="D219" s="15" t="str">
        <x:f>'sheet4-原始数据'!E204</x:f>
        <x:v>鹰潭滨风投资</x:v>
      </x:c>
      <x:c r="E219" s="32" t="n">
        <x:f>IF(ISNUMBER('sheet4-原始数据'!F204),'sheet4-原始数据'!F204,"")</x:f>
        <x:v>44897</x:v>
      </x:c>
      <x:c r="F219" s="17" t="n">
        <x:f>IF(NOT(ISNUMBER(E219)),"",ROUND(('sheet1-指标体系'!$J$23-E219)/365.25,4))</x:f>
        <x:v>3.7892</x:v>
      </x:c>
      <x:c r="G219" s="4" t="str">
        <x:f t="shared" si="8">IF(NOT(ISNUMBER(F219)),"",IF(F219&lt;1,"不入池","入池"))</x:f>
        <x:v>入池</x:v>
      </x:c>
      <x:c r="H219" s="33" t="str">
        <x:v>5-10亿元</x:v>
      </x:c>
      <x:c r="I219" s="17" t="n">
        <x:f>IF(H219="","",IF(ISNUMBER(SEARCH("100亿元以上",H219)),100,IF(OR(ISNUMBER(SEARCH("20-50",H219)),ISNUMBER(SEARCH("50-100",H219)),ISNUMBER(SEARCH("20-100",H219))),90,IF(ISNUMBER(SEARCH("10-20",H219)),80,IF(ISNUMBER(SEARCH("5-10",H219)),70,IF(ISNUMBER(SEARCH("0-5",H219)),60,""))))))</x:f>
        <x:v>70</x:v>
      </x:c>
      <x:c r="J219" s="34" t="str">
        <x:v>无低于1000万元标识</x:v>
      </x:c>
      <x:c r="K219" s="17" t="n">
        <x:f>IF(J219="","",IF(J219="低于1000万元",0,100))</x:f>
        <x:v>100</x:v>
      </x:c>
      <x:c r="L219" s="17" t="n">
        <x:f>IF(NOT(ISNUMBER(F219)),"",IF(F219&lt;1,"",IF(F219&lt;3,70,100)))</x:f>
        <x:v>100</x:v>
      </x:c>
      <x:c r="M219" s="35" t="n">
        <x:f>IF(ISNUMBER('sheet4-原始数据'!G204),'sheet4-原始数据'!G204,"")</x:f>
        <x:v>0.45675607986970457</x:v>
      </x:c>
      <x:c r="N219" s="35" t="n">
        <x:f>IF(ISNUMBER('sheet4-原始数据'!H204),'sheet4-原始数据'!H204,"")</x:f>
        <x:v>0.24545794227734263</x:v>
      </x:c>
      <x:c r="O219" s="36" t="n">
        <x:f>IF(ISNUMBER('sheet4-原始数据'!Q204),'sheet4-原始数据'!Q204,"")</x:f>
        <x:v>0.24541579582863648</x:v>
      </x:c>
      <x:c r="P219" s="37" t="n">
        <x:f>IF($G219&lt;&gt;"入池","",IF($F219&gt;=3,IF(OR(NOT(ISNUMBER($M219)),NOT(ISNUMBER($N219)),1+$M219&lt;=0,1+$N219&lt;0),"",((1+$N219)^3/(1+$M219))^(1/2)-1),IF(OR($F219&lt;=1,NOT(ISNUMBER($M219)),NOT(ISNUMBER($O219)),1+$M219&lt;=0,1+$O219&lt;0),"",((1+$O219)^$F219/(1+$M219))^(1/($F219-1))-1)))</x:f>
        <x:v>0.1515960857729166</x:v>
      </x:c>
      <x:c r="Q219" s="17" t="n">
        <x:f>IF(OR($G219&lt;&gt;"入池",NOT(ISNUMBER(M219))),"",IF(COUNTIFS($G$17:$G$219,"入池",$M$17:$M$219,"&gt;=-1E+307",$M$17:$M$219,"&lt;=1E+307")&lt;=1,100,ROUND(100*(COUNTIFS($G$17:$G$219,"入池",$M$17:$M$219,"&gt;=-1E+307",$M$17:$M$219,"&lt;"&amp;M219)+COUNTIFS($G$17:$G$219,"入池",$M$17:$M$219,M219,$M$17:$M$219,"&gt;=-1E+307",$M$17:$M$219,"&lt;=1E+307")/2-0.5)/(COUNTIFS($G$17:$G$219,"入池",$M$17:$M$219,"&gt;=-1E+307",$M$17:$M$219,"&lt;=1E+307")-1),2)))</x:f>
        <x:v>98.51</x:v>
      </x:c>
      <x:c r="R219" s="17" t="n">
        <x:f>IF(OR($G219&lt;&gt;"入池",NOT(ISNUMBER(P219))),"",IF(COUNTIFS($G$17:$G$219,"入池",$P$17:$P$219,"&gt;=-1E+307",$P$17:$P$219,"&lt;=1E+307")&lt;=1,100,ROUND(100*(COUNTIFS($G$17:$G$219,"入池",$P$17:$P$219,"&gt;=-1E+307",$P$17:$P$219,"&lt;"&amp;P219)+COUNTIFS($G$17:$G$219,"入池",$P$17:$P$219,P219,$P$17:$P$219,"&gt;=-1E+307",$P$17:$P$219,"&lt;=1E+307")/2-0.5)/(COUNTIFS($G$17:$G$219,"入池",$P$17:$P$219,"&gt;=-1E+307",$P$17:$P$219,"&lt;=1E+307")-1),2)))</x:f>
        <x:v>89.6</x:v>
      </x:c>
      <x:c r="S219" s="17" t="n">
        <x:f>IF(NOT(ISNUMBER(Q219)),"",IF(NOT(ISNUMBER(R219)),Q219,ROUND(Q219*'sheet1-指标体系'!$J$8+R219*'sheet1-指标体系'!$J$9,2)))</x:f>
        <x:v>94.95</x:v>
      </x:c>
      <x:c r="T219" s="35" t="n">
        <x:f>IF(ISNUMBER('sheet4-原始数据'!J204),'sheet4-原始数据'!J204,"")</x:f>
        <x:v>0.6923076923076923</x:v>
      </x:c>
      <x:c r="U219" s="35" t="n">
        <x:f>IF(ISNUMBER('sheet4-原始数据'!I204),'sheet4-原始数据'!I204,"")</x:f>
        <x:v>0.6486486486486487</x:v>
      </x:c>
      <x:c r="V219" s="37" t="n">
        <x:f>IF(OR(NOT(ISNUMBER(T219)),NOT(ISNUMBER(U219))),"",(U219*'sheet1-指标体系'!$J$6-T219*'sheet1-指标体系'!$J$5)/'sheet1-指标体系'!$J$7)</x:f>
        <x:v>0.625</x:v>
      </x:c>
      <x:c r="W219" s="17" t="n">
        <x:f>IF(NOT(ISNUMBER(T219)),"",T219*100)</x:f>
        <x:v>69.23076923076923</x:v>
      </x:c>
      <x:c r="X219" s="17" t="n">
        <x:f>IF($G219&lt;&gt;"入池","",IF(AND(ISNUMBER(V219),V219&gt;=0,V219&lt;=1),V219*100,IF(MAX(0,($F219-1)*12)&lt;6,100,"")))</x:f>
        <x:v>62.5</x:v>
      </x:c>
      <x:c r="Y219" s="17" t="n">
        <x:f>IF(NOT(ISNUMBER(W219)),"",IF(NOT(ISNUMBER(X219)),W219,ROUND(W219*'sheet1-指标体系'!$J$8+X219*'sheet1-指标体系'!$J$9,2)))</x:f>
        <x:v>66.54</x:v>
      </x:c>
      <x:c r="Z219" s="37" t="n">
        <x:f>IF(OR(NOT(ISNUMBER(M219)),NOT(ISNUMBER(AD219)),AD219=0),"",ABS(M219/AD219))</x:f>
        <x:v>0.1306153585353449</x:v>
      </x:c>
      <x:c r="AA219" s="35" t="n">
        <x:f>IF(ISNUMBER('sheet4-原始数据'!K204),'sheet4-原始数据'!K204,"")</x:f>
        <x:v>0.1306153585353449</x:v>
      </x:c>
      <x:c r="AB219" s="37" t="n">
        <x:f>IF(COUNT(Z219:AA219)=0,"",MAX(Z219:AA219))</x:f>
        <x:v>0.1306153585353449</x:v>
      </x:c>
      <x:c r="AC219" s="17" t="n">
        <x:f>IF(OR($G219&lt;&gt;"入池",NOT(ISNUMBER(AB219))),"",IF(COUNTIFS($G$17:$G$219,"入池",$AB$17:$AB$219,"&gt;=-1E+307",$AB$17:$AB$219,"&lt;=1E+307")&lt;=1,100,ROUND(100*(COUNTIFS($G$17:$G$219,"入池",$AB$17:$AB$219,"&lt;=1E+307",$AB$17:$AB$219,"&gt;"&amp;AB219)+COUNTIFS($G$17:$G$219,"入池",$AB$17:$AB$219,AB219,$AB$17:$AB$219,"&gt;=-1E+307",$AB$17:$AB$219,"&lt;=1E+307")/2-0.5)/(COUNTIFS($G$17:$G$219,"入池",$AB$17:$AB$219,"&gt;=-1E+307",$AB$17:$AB$219,"&lt;=1E+307")-1),2)))</x:f>
        <x:v>17.33</x:v>
      </x:c>
      <x:c r="AD219" s="38" t="n">
        <x:f>IF(ISNUMBER('sheet4-原始数据'!M204),'sheet4-原始数据'!M204,"")</x:f>
        <x:v>3.4969553733308096</x:v>
      </x:c>
      <x:c r="AE219" s="37" t="str">
        <x:f>IF(OR(NOT(ISNUMBER(P219)),NOT(ISNUMBER(AA219)),NOT(ISNUMBER(Z219))),"",IF(AA219&gt;Z219+'sheet1-指标体系'!$J$11,AA219,""))</x:f>
      </x:c>
      <x:c r="AF219" s="17" t="str">
        <x:f>IF(OR(NOT(ISNUMBER(P219)),NOT(ISNUMBER(AE219)),AE219=0),"",P219/AE219)</x:f>
      </x:c>
      <x:c r="AG219" s="17" t="n">
        <x:f>IF(OR($G219&lt;&gt;"入池",NOT(ISNUMBER(AD219))),"",IF(COUNTIFS($G$17:$G$219,"入池",$AD$17:$AD$219,"&gt;=-1E+307",$AD$17:$AD$219,"&lt;=1E+307")&lt;=1,100,ROUND(100*(COUNTIFS($G$17:$G$219,"入池",$AD$17:$AD$219,"&gt;=-1E+307",$AD$17:$AD$219,"&lt;"&amp;AD219)+COUNTIFS($G$17:$G$219,"入池",$AD$17:$AD$219,AD219,$AD$17:$AD$219,"&gt;=-1E+307",$AD$17:$AD$219,"&lt;=1E+307")/2-0.5)/(COUNTIFS($G$17:$G$219,"入池",$AD$17:$AD$219,"&gt;=-1E+307",$AD$17:$AD$219,"&lt;=1E+307")-1),2)))</x:f>
        <x:v>57.71</x:v>
      </x:c>
      <x:c r="AH219" s="17" t="str">
        <x:f>IF(OR($G219&lt;&gt;"入池",NOT(ISNUMBER(AF219))),"",IF(COUNTIFS($G$17:$G$219,"入池",$AF$17:$AF$219,"&gt;=-1E+307",$AF$17:$AF$219,"&lt;=1E+307")&lt;=1,100,ROUND(100*(COUNTIFS($G$17:$G$219,"入池",$AF$17:$AF$219,"&gt;=-1E+307",$AF$17:$AF$219,"&lt;"&amp;AF219)+COUNTIFS($G$17:$G$219,"入池",$AF$17:$AF$219,AF219,$AF$17:$AF$219,"&gt;=-1E+307",$AF$17:$AF$219,"&lt;=1E+307")/2-0.5)/(COUNTIFS($G$17:$G$219,"入池",$AF$17:$AF$219,"&gt;=-1E+307",$AF$17:$AF$219,"&lt;=1E+307")-1),2)))</x:f>
      </x:c>
      <x:c r="AI219" s="17" t="n">
        <x:f>IF(NOT(ISNUMBER(AG219)),"",IF(NOT(ISNUMBER(AH219)),AG219,ROUND(AG219*'sheet1-指标体系'!$J$8+AH219*'sheet1-指标体系'!$J$9,2)))</x:f>
        <x:v>57.71</x:v>
      </x:c>
      <x:c r="AJ219" s="37" t="n">
        <x:f>IF(NOT(ISNUMBER(F219)),"",IF(F219&gt;=3,IF(NOT(ISNUMBER(N219)),"",N219),IF(NOT(ISNUMBER(O219)),"",O219)))</x:f>
        <x:v>0.24545794227734263</x:v>
      </x:c>
      <x:c r="AK219" s="17" t="n">
        <x:f>IF(OR(G219&lt;&gt;"入池",NOT(ISNUMBER(M219)),NOT(ISNUMBER(AJ219))),"",IF(M219&gt;=AJ219,100,IF(AJ219-M219&lt;'sheet1-指标体系'!$J$10,80,60)))</x:f>
        <x:v>100</x:v>
      </x:c>
      <x:c r="AL219" s="17" t="n">
        <x:f>IF(COUNT(I219,K219,L219)=0,"",ROUND((IF(ISNUMBER(I219),I219*40%,0)+IF(ISNUMBER(K219),K219*30%,0)+IF(ISNUMBER(L219),L219*30%,0))/(IF(ISNUMBER(I219),40%,0)+IF(ISNUMBER(K219),30%,0)+IF(ISNUMBER(L219),30%,0)),2))</x:f>
        <x:v>88</x:v>
      </x:c>
      <x:c r="AM219" s="17" t="n">
        <x:f>IF(COUNT(Q219,R219,W219,X219)=0,"",ROUND((IF(ISNUMBER(Q219),Q219*42%,0)+IF(ISNUMBER(R219),R219*28%,0)+IF(ISNUMBER(W219),W219*18%,0)+IF(ISNUMBER(X219),X219*12%,0))/(IF(ISNUMBER(Q219),42%,0)+IF(ISNUMBER(R219),28%,0)+IF(ISNUMBER(W219),18%,0)+IF(ISNUMBER(X219),12%,0)),2))</x:f>
        <x:v>86.42</x:v>
      </x:c>
      <x:c r="AN219" s="17" t="n">
        <x:f>IF(ISNUMBER(AC219),AC219,"")</x:f>
        <x:v>17.33</x:v>
      </x:c>
      <x:c r="AO219" s="17" t="n">
        <x:f>IF(COUNT(AG219,AH219)=0,"",ROUND((IF(ISNUMBER(AG219),AG219*60%,0)+IF(ISNUMBER(AH219),AH219*40%,0))/(IF(ISNUMBER(AG219),60%,0)+IF(ISNUMBER(AH219),40%,0)),2))</x:f>
        <x:v>57.71</x:v>
      </x:c>
      <x:c r="AP219" s="17" t="n">
        <x:f>IF(ISNUMBER(AK219),AK219,"")</x:f>
        <x:v>100</x:v>
      </x:c>
      <x:c r="AQ219" s="39" t="n">
        <x:f>IF(G219&lt;&gt;"入池",0,IF(ISNUMBER(I219),6%,0)+IF(ISNUMBER(K219),4.5%,0)+IF(ISNUMBER(L219),4.5%,0)+IF(ISNUMBER(Q219),8.4%,0)+IF(ISNUMBER(R219),5.6%,0)+IF(ISNUMBER(W219),3.6%,0)+IF(ISNUMBER(X219),2.4%,0)+IF(ISNUMBER(AC219),25%,0)+IF(ISNUMBER(AG219),18%,0)+IF(ISNUMBER(AH219),12%,0)+IF(ISNUMBER(AK219),10%,0))</x:f>
        <x:v>0.88</x:v>
      </x:c>
      <x:c r="AR219" s="17" t="n">
        <x:f>IF(AQ219=0,"",IF(ISNUMBER(I219),I219*6%,0)+IF(ISNUMBER(K219),K219*4.5%,0)+IF(ISNUMBER(L219),L219*4.5%,0)+IF(ISNUMBER(Q219),Q219*8.4%,0)+IF(ISNUMBER(R219),R219*5.6%,0)+IF(ISNUMBER(W219),W219*3.6%,0)+IF(ISNUMBER(X219),X219*2.4%,0)+IF(ISNUMBER(AC219),AC219*25%,0)+IF(ISNUMBER(AG219),AG219*18%,0)+IF(ISNUMBER(AH219),AH219*12%,0)+IF(ISNUMBER(AK219),AK219*10%,0))</x:f>
        <x:v>55.20504769230769</x:v>
      </x:c>
      <x:c r="AS219" s="17" t="n">
        <x:f>IF(AQ219=0,"",ROUND(AR219/AQ219,2))</x:f>
        <x:v>62.73</x:v>
      </x:c>
      <x:c r="AT219" s="40" t="n">
        <x:f>IF(OR(G219&lt;&gt;"入池",NOT(ISNUMBER(AS219))),"",COUNTIFS($G$17:$G$219,"入池",$AS$17:$AS$219,"&gt;"&amp;AS219)+COUNTIFS($G$17:$G$219,"入池",$AS$17:$AS$219,AS219,$AQ$17:$AQ$219,"&gt;"&amp;AQ219)+COUNTIFS($G$17:G219,"入池",$AS$17:AS219,AS219,$AQ$17:AQ219,AQ219))</x:f>
        <x:v>97</x:v>
      </x:c>
      <x:c r="AU219" s="41" t="str">
        <x:f t="shared" si="9">IF(NOT(ISNUMBER(I219)),"管理人规模；","")&amp;IF(J219="","产品规模标识；","")&amp;IF(AND(F219&lt;3,NOT(ISNUMBER(O219))),"R_incep；","")&amp;IF(NOT(ISNUMBER(N219)),"近三年收益；","")&amp;IF(NOT(ISNUMBER(U219)),"近三年胜率；","")&amp;IF(AND(ISNUMBER(V219),OR(V219&lt;0,V219&gt;1)),"胜率窗口口径不一致；","")&amp;IF(NOT(ISNUMBER(AA219)),"近三年回撤；","")&amp;IF(NOT(ISNUMBER(AD219)),"短期卡玛；","")&amp;IF(AND(ISNUMBER(P219),NOT(ISNUMBER(AE219))),"DD_long不可识别；","")</x:f>
        <x:v>DD_long不可识别；</x:v>
      </x:c>
      <x:c r="AV219" s="42" t="n">
        <x:v>5</x:v>
      </x:c>
      <x:c r="AW219" s="19" t="str">
        <x:v>鹰潭滨风投资管理有限公司</x:v>
      </x:c>
      <x:c r="AX219" s="19" t="str">
        <x:v>2025-08-06</x:v>
      </x:c>
      <x:c r="AY219" s="19" t="str">
        <x:v>https://gs.amac.org.cn/amac-infodisc/res/pof/manager/1801301704109241.html</x:v>
      </x:c>
      <x:c r="AZ219" s="19" t="str">
        <x:v>滨风风云瑞丰1号私募证券投资基金</x:v>
      </x:c>
      <x:c r="BA219" s="19" t="str">
        <x:v>2024-11-06</x:v>
      </x:c>
      <x:c r="BB219" s="19"/>
      <x:c r="BC219" s="19" t="str">
        <x:v>https://gs.amac.org.cn/amac-infodisc/res/pof/fund/2212071732101603.html</x:v>
      </x:c>
      <x:c r="BD219" s="19" t="str">
        <x:v>已匹配</x:v>
      </x:c>
      <x:c r="BE219"/>
      <x:c r="BF219"/>
    </x:row>
    <x:row r="220" ht="28" customHeight="1">
      <x:c r="A220" s="4"/>
      <x:c r="B220" s="15"/>
      <x:c r="C220" s="15"/>
      <x:c r="D220" s="15"/>
      <x:c r="E220" s="32"/>
      <x:c r="F220" s="17"/>
      <x:c r="G220" s="4">
        <x:f t="shared" si="8"/>
      </x:c>
      <x:c r="H220" s="33"/>
      <x:c r="I220" s="17"/>
      <x:c r="J220" s="34"/>
      <x:c r="K220" s="17"/>
      <x:c r="L220" s="17"/>
      <x:c r="M220" s="35"/>
      <x:c r="N220" s="35"/>
      <x:c r="O220" s="36"/>
      <x:c r="P220" s="37"/>
      <x:c r="Q220" s="17"/>
      <x:c r="R220" s="17"/>
      <x:c r="S220" s="17"/>
      <x:c r="T220" s="35"/>
      <x:c r="U220" s="35"/>
      <x:c r="V220" s="37"/>
      <x:c r="W220" s="17"/>
      <x:c r="X220" s="17"/>
      <x:c r="Y220" s="17"/>
      <x:c r="Z220" s="37"/>
      <x:c r="AA220" s="35"/>
      <x:c r="AB220" s="37"/>
      <x:c r="AC220" s="17"/>
      <x:c r="AD220" s="38"/>
      <x:c r="AE220" s="37"/>
      <x:c r="AF220" s="17"/>
      <x:c r="AG220" s="17"/>
      <x:c r="AH220" s="17"/>
      <x:c r="AI220" s="17"/>
      <x:c r="AJ220" s="37"/>
      <x:c r="AK220" s="17"/>
      <x:c r="AL220" s="17"/>
      <x:c r="AM220" s="17"/>
      <x:c r="AN220" s="17"/>
      <x:c r="AO220" s="17"/>
      <x:c r="AP220" s="17"/>
      <x:c r="AQ220" s="39"/>
      <x:c r="AR220" s="17"/>
      <x:c r="AS220" s="17"/>
      <x:c r="AT220" s="40"/>
      <x:c r="AU220" s="41">
        <x:f t="shared" si="9"/>
      </x:c>
      <x:c r="AV220" s="42"/>
      <x:c r="AW220" s="19"/>
      <x:c r="AX220" s="19"/>
      <x:c r="AY220" s="19"/>
      <x:c r="AZ220" s="19"/>
      <x:c r="BA220" s="19"/>
      <x:c r="BB220" s="19"/>
      <x:c r="BC220" s="19"/>
      <x:c r="BD220" s="19"/>
      <x:c r="BE220"/>
      <x:c r="BF220"/>
    </x:row>
    <x:row r="221" ht="28" customHeight="1">
      <x:c r="A221" s="4"/>
      <x:c r="B221" s="15"/>
      <x:c r="C221" s="15"/>
      <x:c r="D221" s="15"/>
      <x:c r="E221" s="32"/>
      <x:c r="F221" s="17"/>
      <x:c r="G221" s="4">
        <x:f t="shared" si="8"/>
      </x:c>
      <x:c r="H221" s="33"/>
      <x:c r="I221" s="17"/>
      <x:c r="J221" s="34"/>
      <x:c r="K221" s="17"/>
      <x:c r="L221" s="17"/>
      <x:c r="M221" s="35"/>
      <x:c r="N221" s="35"/>
      <x:c r="O221" s="36"/>
      <x:c r="P221" s="37"/>
      <x:c r="Q221" s="17"/>
      <x:c r="R221" s="17"/>
      <x:c r="S221" s="17"/>
      <x:c r="T221" s="35"/>
      <x:c r="U221" s="35"/>
      <x:c r="V221" s="37"/>
      <x:c r="W221" s="17"/>
      <x:c r="X221" s="17"/>
      <x:c r="Y221" s="17"/>
      <x:c r="Z221" s="37"/>
      <x:c r="AA221" s="35"/>
      <x:c r="AB221" s="37"/>
      <x:c r="AC221" s="17"/>
      <x:c r="AD221" s="38"/>
      <x:c r="AE221" s="37"/>
      <x:c r="AF221" s="17"/>
      <x:c r="AG221" s="17"/>
      <x:c r="AH221" s="17"/>
      <x:c r="AI221" s="17"/>
      <x:c r="AJ221" s="37"/>
      <x:c r="AK221" s="17"/>
      <x:c r="AL221" s="17"/>
      <x:c r="AM221" s="17"/>
      <x:c r="AN221" s="17"/>
      <x:c r="AO221" s="17"/>
      <x:c r="AP221" s="17"/>
      <x:c r="AQ221" s="39"/>
      <x:c r="AR221" s="17"/>
      <x:c r="AS221" s="17"/>
      <x:c r="AT221" s="40"/>
      <x:c r="AU221" s="41">
        <x:f t="shared" si="9"/>
      </x:c>
      <x:c r="AV221" s="42"/>
      <x:c r="AW221" s="19"/>
      <x:c r="AX221" s="19"/>
      <x:c r="AY221" s="19"/>
      <x:c r="AZ221" s="19"/>
      <x:c r="BA221" s="19"/>
      <x:c r="BB221" s="19"/>
      <x:c r="BC221" s="19"/>
      <x:c r="BD221" s="19"/>
      <x:c r="BE221"/>
      <x:c r="BF221"/>
    </x:row>
    <x:row r="222" ht="28" customHeight="1">
      <x:c r="A222" s="4"/>
      <x:c r="B222" s="15"/>
      <x:c r="C222" s="15"/>
      <x:c r="D222" s="15"/>
      <x:c r="E222" s="32"/>
      <x:c r="F222" s="17"/>
      <x:c r="G222" s="4">
        <x:f t="shared" si="8"/>
      </x:c>
      <x:c r="H222" s="33"/>
      <x:c r="I222" s="17"/>
      <x:c r="J222" s="34"/>
      <x:c r="K222" s="17"/>
      <x:c r="L222" s="17"/>
      <x:c r="M222" s="35"/>
      <x:c r="N222" s="35"/>
      <x:c r="O222" s="36"/>
      <x:c r="P222" s="37"/>
      <x:c r="Q222" s="17"/>
      <x:c r="R222" s="17"/>
      <x:c r="S222" s="17"/>
      <x:c r="T222" s="35"/>
      <x:c r="U222" s="35"/>
      <x:c r="V222" s="37"/>
      <x:c r="W222" s="17"/>
      <x:c r="X222" s="17"/>
      <x:c r="Y222" s="17"/>
      <x:c r="Z222" s="37"/>
      <x:c r="AA222" s="35"/>
      <x:c r="AB222" s="37"/>
      <x:c r="AC222" s="17"/>
      <x:c r="AD222" s="38"/>
      <x:c r="AE222" s="37"/>
      <x:c r="AF222" s="17"/>
      <x:c r="AG222" s="17"/>
      <x:c r="AH222" s="17"/>
      <x:c r="AI222" s="17"/>
      <x:c r="AJ222" s="37"/>
      <x:c r="AK222" s="17"/>
      <x:c r="AL222" s="17"/>
      <x:c r="AM222" s="17"/>
      <x:c r="AN222" s="17"/>
      <x:c r="AO222" s="17"/>
      <x:c r="AP222" s="17"/>
      <x:c r="AQ222" s="39"/>
      <x:c r="AR222" s="17"/>
      <x:c r="AS222" s="17"/>
      <x:c r="AT222" s="40"/>
      <x:c r="AU222" s="41">
        <x:f t="shared" si="9"/>
      </x:c>
      <x:c r="AV222" s="42"/>
      <x:c r="AW222" s="19"/>
      <x:c r="AX222" s="19"/>
      <x:c r="AY222" s="19"/>
      <x:c r="AZ222" s="19"/>
      <x:c r="BA222" s="19"/>
      <x:c r="BB222" s="19"/>
      <x:c r="BC222" s="19"/>
      <x:c r="BD222" s="19"/>
      <x:c r="BE222"/>
      <x:c r="BF222"/>
    </x:row>
    <x:row r="223" ht="28" customHeight="1">
      <x:c r="A223" s="4"/>
      <x:c r="B223" s="15"/>
      <x:c r="C223" s="15"/>
      <x:c r="D223" s="15"/>
      <x:c r="E223" s="32"/>
      <x:c r="F223" s="17"/>
      <x:c r="G223" s="4">
        <x:f t="shared" si="8"/>
      </x:c>
      <x:c r="H223" s="33"/>
      <x:c r="I223" s="17"/>
      <x:c r="J223" s="34"/>
      <x:c r="K223" s="17"/>
      <x:c r="L223" s="17"/>
      <x:c r="M223" s="35"/>
      <x:c r="N223" s="35"/>
      <x:c r="O223" s="36"/>
      <x:c r="P223" s="37"/>
      <x:c r="Q223" s="17"/>
      <x:c r="R223" s="17"/>
      <x:c r="S223" s="17"/>
      <x:c r="T223" s="35"/>
      <x:c r="U223" s="35"/>
      <x:c r="V223" s="37"/>
      <x:c r="W223" s="17"/>
      <x:c r="X223" s="17"/>
      <x:c r="Y223" s="17"/>
      <x:c r="Z223" s="37"/>
      <x:c r="AA223" s="35"/>
      <x:c r="AB223" s="37"/>
      <x:c r="AC223" s="17"/>
      <x:c r="AD223" s="38"/>
      <x:c r="AE223" s="37"/>
      <x:c r="AF223" s="17"/>
      <x:c r="AG223" s="17"/>
      <x:c r="AH223" s="17"/>
      <x:c r="AI223" s="17"/>
      <x:c r="AJ223" s="37"/>
      <x:c r="AK223" s="17"/>
      <x:c r="AL223" s="17"/>
      <x:c r="AM223" s="17"/>
      <x:c r="AN223" s="17"/>
      <x:c r="AO223" s="17"/>
      <x:c r="AP223" s="17"/>
      <x:c r="AQ223" s="39"/>
      <x:c r="AR223" s="17"/>
      <x:c r="AS223" s="17"/>
      <x:c r="AT223" s="40"/>
      <x:c r="AU223" s="41">
        <x:f t="shared" si="9"/>
      </x:c>
      <x:c r="AV223" s="42"/>
      <x:c r="AW223" s="19"/>
      <x:c r="AX223" s="19"/>
      <x:c r="AY223" s="19"/>
      <x:c r="AZ223" s="19"/>
      <x:c r="BA223" s="19"/>
      <x:c r="BB223" s="19"/>
      <x:c r="BC223" s="19"/>
      <x:c r="BD223" s="19"/>
      <x:c r="BE223"/>
      <x:c r="BF223"/>
    </x:row>
    <x:row r="224" ht="28" customHeight="1">
      <x:c r="A224" s="4"/>
      <x:c r="B224" s="15"/>
      <x:c r="C224" s="15"/>
      <x:c r="D224" s="15"/>
      <x:c r="E224" s="32"/>
      <x:c r="F224" s="17"/>
      <x:c r="G224" s="4">
        <x:f t="shared" si="8"/>
      </x:c>
      <x:c r="H224" s="33"/>
      <x:c r="I224" s="17"/>
      <x:c r="J224" s="34"/>
      <x:c r="K224" s="17"/>
      <x:c r="L224" s="17"/>
      <x:c r="M224" s="35"/>
      <x:c r="N224" s="35"/>
      <x:c r="O224" s="36"/>
      <x:c r="P224" s="37"/>
      <x:c r="Q224" s="17"/>
      <x:c r="R224" s="17"/>
      <x:c r="S224" s="17"/>
      <x:c r="T224" s="35"/>
      <x:c r="U224" s="35"/>
      <x:c r="V224" s="37"/>
      <x:c r="W224" s="17"/>
      <x:c r="X224" s="17"/>
      <x:c r="Y224" s="17"/>
      <x:c r="Z224" s="37"/>
      <x:c r="AA224" s="35"/>
      <x:c r="AB224" s="37"/>
      <x:c r="AC224" s="17"/>
      <x:c r="AD224" s="38"/>
      <x:c r="AE224" s="37"/>
      <x:c r="AF224" s="17"/>
      <x:c r="AG224" s="17"/>
      <x:c r="AH224" s="17"/>
      <x:c r="AI224" s="17"/>
      <x:c r="AJ224" s="37"/>
      <x:c r="AK224" s="17"/>
      <x:c r="AL224" s="17"/>
      <x:c r="AM224" s="17"/>
      <x:c r="AN224" s="17"/>
      <x:c r="AO224" s="17"/>
      <x:c r="AP224" s="17"/>
      <x:c r="AQ224" s="39"/>
      <x:c r="AR224" s="17"/>
      <x:c r="AS224" s="17"/>
      <x:c r="AT224" s="40"/>
      <x:c r="AU224" s="41">
        <x:f t="shared" si="9"/>
      </x:c>
      <x:c r="AV224" s="42"/>
      <x:c r="AW224" s="19"/>
      <x:c r="AX224" s="19"/>
      <x:c r="AY224" s="19"/>
      <x:c r="AZ224" s="19"/>
      <x:c r="BA224" s="19"/>
      <x:c r="BB224" s="19"/>
      <x:c r="BC224" s="19"/>
      <x:c r="BD224" s="19"/>
      <x:c r="BE224"/>
      <x:c r="BF224"/>
    </x:row>
    <x:row r="225" ht="28" customHeight="1">
      <x:c r="A225" s="4"/>
      <x:c r="B225" s="15"/>
      <x:c r="C225" s="15"/>
      <x:c r="D225" s="15"/>
      <x:c r="E225" s="32"/>
      <x:c r="F225" s="17"/>
      <x:c r="G225" s="4">
        <x:f t="shared" si="8"/>
      </x:c>
      <x:c r="H225" s="33"/>
      <x:c r="I225" s="17"/>
      <x:c r="J225" s="34"/>
      <x:c r="K225" s="17"/>
      <x:c r="L225" s="17"/>
      <x:c r="M225" s="35"/>
      <x:c r="N225" s="35"/>
      <x:c r="O225" s="36"/>
      <x:c r="P225" s="37"/>
      <x:c r="Q225" s="17"/>
      <x:c r="R225" s="17"/>
      <x:c r="S225" s="17"/>
      <x:c r="T225" s="35"/>
      <x:c r="U225" s="35"/>
      <x:c r="V225" s="37"/>
      <x:c r="W225" s="17"/>
      <x:c r="X225" s="17"/>
      <x:c r="Y225" s="17"/>
      <x:c r="Z225" s="37"/>
      <x:c r="AA225" s="35"/>
      <x:c r="AB225" s="37"/>
      <x:c r="AC225" s="17"/>
      <x:c r="AD225" s="38"/>
      <x:c r="AE225" s="37"/>
      <x:c r="AF225" s="17"/>
      <x:c r="AG225" s="17"/>
      <x:c r="AH225" s="17"/>
      <x:c r="AI225" s="17"/>
      <x:c r="AJ225" s="37"/>
      <x:c r="AK225" s="17"/>
      <x:c r="AL225" s="17"/>
      <x:c r="AM225" s="17"/>
      <x:c r="AN225" s="17"/>
      <x:c r="AO225" s="17"/>
      <x:c r="AP225" s="17"/>
      <x:c r="AQ225" s="39"/>
      <x:c r="AR225" s="17"/>
      <x:c r="AS225" s="17"/>
      <x:c r="AT225" s="40"/>
      <x:c r="AU225" s="41">
        <x:f t="shared" si="9"/>
      </x:c>
      <x:c r="AV225" s="42"/>
      <x:c r="AW225" s="19"/>
      <x:c r="AX225" s="19"/>
      <x:c r="AY225" s="19"/>
      <x:c r="AZ225" s="19"/>
      <x:c r="BA225" s="19"/>
      <x:c r="BB225" s="19"/>
      <x:c r="BC225" s="19"/>
      <x:c r="BD225" s="19"/>
      <x:c r="BF225"/>
    </x:row>
    <x:row r="226" ht="28" customHeight="1">
      <x:c r="A226" s="4"/>
      <x:c r="B226" s="15"/>
      <x:c r="C226" s="15"/>
      <x:c r="D226" s="15"/>
      <x:c r="E226" s="32"/>
      <x:c r="F226" s="17"/>
      <x:c r="G226" s="4">
        <x:f t="shared" si="8"/>
      </x:c>
      <x:c r="H226" s="33"/>
      <x:c r="I226" s="17"/>
      <x:c r="J226" s="34"/>
      <x:c r="K226" s="17"/>
      <x:c r="L226" s="17"/>
      <x:c r="M226" s="35"/>
      <x:c r="N226" s="35"/>
      <x:c r="O226" s="36"/>
      <x:c r="P226" s="37"/>
      <x:c r="Q226" s="17"/>
      <x:c r="R226" s="17"/>
      <x:c r="S226" s="17"/>
      <x:c r="T226" s="35"/>
      <x:c r="U226" s="35"/>
      <x:c r="V226" s="37"/>
      <x:c r="W226" s="17"/>
      <x:c r="X226" s="17"/>
      <x:c r="Y226" s="17"/>
      <x:c r="Z226" s="37"/>
      <x:c r="AA226" s="35"/>
      <x:c r="AB226" s="37"/>
      <x:c r="AC226" s="17"/>
      <x:c r="AD226" s="38"/>
      <x:c r="AE226" s="37"/>
      <x:c r="AF226" s="17"/>
      <x:c r="AG226" s="17"/>
      <x:c r="AH226" s="17"/>
      <x:c r="AI226" s="17"/>
      <x:c r="AJ226" s="37"/>
      <x:c r="AK226" s="17"/>
      <x:c r="AL226" s="17"/>
      <x:c r="AM226" s="17"/>
      <x:c r="AN226" s="17"/>
      <x:c r="AO226" s="17"/>
      <x:c r="AP226" s="17"/>
      <x:c r="AQ226" s="39"/>
      <x:c r="AR226" s="17"/>
      <x:c r="AS226" s="17"/>
      <x:c r="AT226" s="40"/>
      <x:c r="AU226" s="41">
        <x:f t="shared" si="9"/>
      </x:c>
      <x:c r="AV226" s="42"/>
      <x:c r="AW226" s="19"/>
      <x:c r="AX226" s="19"/>
      <x:c r="AY226" s="19"/>
      <x:c r="AZ226" s="19"/>
      <x:c r="BA226" s="19"/>
      <x:c r="BB226" s="19"/>
      <x:c r="BC226" s="19"/>
      <x:c r="BD226" s="19"/>
      <x:c r="BE226"/>
      <x:c r="BF226"/>
    </x:row>
    <x:row r="227" ht="28" customHeight="1">
      <x:c r="A227" s="4"/>
      <x:c r="B227" s="15"/>
      <x:c r="C227" s="15"/>
      <x:c r="D227" s="15"/>
      <x:c r="E227" s="32"/>
      <x:c r="F227" s="17"/>
      <x:c r="G227" s="4">
        <x:f t="shared" si="8"/>
      </x:c>
      <x:c r="H227" s="33"/>
      <x:c r="I227" s="17"/>
      <x:c r="J227" s="34"/>
      <x:c r="K227" s="17"/>
      <x:c r="L227" s="17"/>
      <x:c r="M227" s="35"/>
      <x:c r="N227" s="35"/>
      <x:c r="O227" s="36"/>
      <x:c r="P227" s="37"/>
      <x:c r="Q227" s="17"/>
      <x:c r="R227" s="17"/>
      <x:c r="S227" s="17"/>
      <x:c r="T227" s="35"/>
      <x:c r="U227" s="35"/>
      <x:c r="V227" s="37"/>
      <x:c r="W227" s="17"/>
      <x:c r="X227" s="17"/>
      <x:c r="Y227" s="17"/>
      <x:c r="Z227" s="37"/>
      <x:c r="AA227" s="35"/>
      <x:c r="AB227" s="37"/>
      <x:c r="AC227" s="17"/>
      <x:c r="AD227" s="38"/>
      <x:c r="AE227" s="37"/>
      <x:c r="AF227" s="17"/>
      <x:c r="AG227" s="17"/>
      <x:c r="AH227" s="17"/>
      <x:c r="AI227" s="17"/>
      <x:c r="AJ227" s="37"/>
      <x:c r="AK227" s="17"/>
      <x:c r="AL227" s="17"/>
      <x:c r="AM227" s="17"/>
      <x:c r="AN227" s="17"/>
      <x:c r="AO227" s="17"/>
      <x:c r="AP227" s="17"/>
      <x:c r="AQ227" s="39"/>
      <x:c r="AR227" s="17"/>
      <x:c r="AS227" s="17"/>
      <x:c r="AT227" s="40"/>
      <x:c r="AU227" s="41">
        <x:f t="shared" si="9"/>
      </x:c>
      <x:c r="AV227" s="42"/>
      <x:c r="AW227" s="19"/>
      <x:c r="AX227" s="19"/>
      <x:c r="AY227" s="19"/>
      <x:c r="AZ227" s="19"/>
      <x:c r="BA227" s="19"/>
      <x:c r="BB227" s="19"/>
      <x:c r="BC227" s="19"/>
      <x:c r="BD227" s="19"/>
      <x:c r="BE227"/>
      <x:c r="BF227"/>
    </x:row>
    <x:row r="228" ht="28" customHeight="1">
      <x:c r="A228" s="4"/>
      <x:c r="B228" s="15"/>
      <x:c r="C228" s="15"/>
      <x:c r="D228" s="15"/>
      <x:c r="E228" s="32"/>
      <x:c r="F228" s="17"/>
      <x:c r="G228" s="4">
        <x:f t="shared" si="8"/>
      </x:c>
      <x:c r="H228" s="33"/>
      <x:c r="I228" s="17"/>
      <x:c r="J228" s="34"/>
      <x:c r="K228" s="17"/>
      <x:c r="L228" s="17"/>
      <x:c r="M228" s="35"/>
      <x:c r="N228" s="35"/>
      <x:c r="O228" s="36"/>
      <x:c r="P228" s="37"/>
      <x:c r="Q228" s="17"/>
      <x:c r="R228" s="17"/>
      <x:c r="S228" s="17"/>
      <x:c r="T228" s="35"/>
      <x:c r="U228" s="35"/>
      <x:c r="V228" s="37"/>
      <x:c r="W228" s="17"/>
      <x:c r="X228" s="17"/>
      <x:c r="Y228" s="17"/>
      <x:c r="Z228" s="37"/>
      <x:c r="AA228" s="35"/>
      <x:c r="AB228" s="37"/>
      <x:c r="AC228" s="17"/>
      <x:c r="AD228" s="38"/>
      <x:c r="AE228" s="37"/>
      <x:c r="AF228" s="17"/>
      <x:c r="AG228" s="17"/>
      <x:c r="AH228" s="17"/>
      <x:c r="AI228" s="17"/>
      <x:c r="AJ228" s="37"/>
      <x:c r="AK228" s="17"/>
      <x:c r="AL228" s="17"/>
      <x:c r="AM228" s="17"/>
      <x:c r="AN228" s="17"/>
      <x:c r="AO228" s="17"/>
      <x:c r="AP228" s="17"/>
      <x:c r="AQ228" s="39"/>
      <x:c r="AR228" s="17"/>
      <x:c r="AS228" s="17"/>
      <x:c r="AT228" s="40"/>
      <x:c r="AU228" s="41">
        <x:f t="shared" si="9"/>
      </x:c>
      <x:c r="AV228" s="42"/>
      <x:c r="AW228" s="19"/>
      <x:c r="AX228" s="19"/>
      <x:c r="AY228" s="19"/>
      <x:c r="AZ228" s="19"/>
      <x:c r="BA228" s="19"/>
      <x:c r="BB228" s="19"/>
      <x:c r="BC228" s="19"/>
      <x:c r="BD228" s="19"/>
      <x:c r="BE228"/>
      <x:c r="BF228"/>
    </x:row>
    <x:row r="229" ht="28" customHeight="1">
      <x:c r="A229" s="4"/>
      <x:c r="B229" s="15"/>
      <x:c r="C229" s="15"/>
      <x:c r="D229" s="15"/>
      <x:c r="E229" s="32"/>
      <x:c r="F229" s="17"/>
      <x:c r="G229" s="4">
        <x:f t="shared" si="8"/>
      </x:c>
      <x:c r="H229" s="33"/>
      <x:c r="I229" s="17"/>
      <x:c r="J229" s="34"/>
      <x:c r="K229" s="17"/>
      <x:c r="L229" s="17"/>
      <x:c r="M229" s="35"/>
      <x:c r="N229" s="35"/>
      <x:c r="O229" s="36"/>
      <x:c r="P229" s="37"/>
      <x:c r="Q229" s="17"/>
      <x:c r="R229" s="17"/>
      <x:c r="S229" s="17"/>
      <x:c r="T229" s="35"/>
      <x:c r="U229" s="35"/>
      <x:c r="V229" s="37"/>
      <x:c r="W229" s="17"/>
      <x:c r="X229" s="17"/>
      <x:c r="Y229" s="17"/>
      <x:c r="Z229" s="37"/>
      <x:c r="AA229" s="35"/>
      <x:c r="AB229" s="37"/>
      <x:c r="AC229" s="17"/>
      <x:c r="AD229" s="38"/>
      <x:c r="AE229" s="37"/>
      <x:c r="AF229" s="17"/>
      <x:c r="AG229" s="17"/>
      <x:c r="AH229" s="17"/>
      <x:c r="AI229" s="17"/>
      <x:c r="AJ229" s="37"/>
      <x:c r="AK229" s="17"/>
      <x:c r="AL229" s="17"/>
      <x:c r="AM229" s="17"/>
      <x:c r="AN229" s="17"/>
      <x:c r="AO229" s="17"/>
      <x:c r="AP229" s="17"/>
      <x:c r="AQ229" s="39"/>
      <x:c r="AR229" s="17"/>
      <x:c r="AS229" s="17"/>
      <x:c r="AT229" s="40"/>
      <x:c r="AU229" s="41">
        <x:f t="shared" si="9"/>
      </x:c>
      <x:c r="AV229" s="42"/>
      <x:c r="AW229" s="19"/>
      <x:c r="AX229" s="19"/>
      <x:c r="AY229" s="19"/>
      <x:c r="AZ229" s="19"/>
      <x:c r="BA229" s="19"/>
      <x:c r="BB229" s="19"/>
      <x:c r="BC229" s="19"/>
      <x:c r="BD229" s="19"/>
      <x:c r="BE229"/>
      <x:c r="BF229"/>
    </x:row>
    <x:row r="230" ht="28" customHeight="1">
      <x:c r="A230" s="4"/>
      <x:c r="B230" s="15"/>
      <x:c r="C230" s="15"/>
      <x:c r="D230" s="15"/>
      <x:c r="E230" s="32"/>
      <x:c r="F230" s="17"/>
      <x:c r="G230" s="4">
        <x:f t="shared" si="8"/>
      </x:c>
      <x:c r="H230" s="33"/>
      <x:c r="I230" s="17"/>
      <x:c r="J230" s="34"/>
      <x:c r="K230" s="17"/>
      <x:c r="L230" s="17"/>
      <x:c r="M230" s="35"/>
      <x:c r="N230" s="35"/>
      <x:c r="O230" s="36"/>
      <x:c r="P230" s="37"/>
      <x:c r="Q230" s="17"/>
      <x:c r="R230" s="17"/>
      <x:c r="S230" s="17"/>
      <x:c r="T230" s="35"/>
      <x:c r="U230" s="35"/>
      <x:c r="V230" s="37"/>
      <x:c r="W230" s="17"/>
      <x:c r="X230" s="17"/>
      <x:c r="Y230" s="17"/>
      <x:c r="Z230" s="37"/>
      <x:c r="AA230" s="35"/>
      <x:c r="AB230" s="37"/>
      <x:c r="AC230" s="17"/>
      <x:c r="AD230" s="38"/>
      <x:c r="AE230" s="37"/>
      <x:c r="AF230" s="17"/>
      <x:c r="AG230" s="17"/>
      <x:c r="AH230" s="17"/>
      <x:c r="AI230" s="17"/>
      <x:c r="AJ230" s="37"/>
      <x:c r="AK230" s="17"/>
      <x:c r="AL230" s="17"/>
      <x:c r="AM230" s="17"/>
      <x:c r="AN230" s="17"/>
      <x:c r="AO230" s="17"/>
      <x:c r="AP230" s="17"/>
      <x:c r="AQ230" s="39"/>
      <x:c r="AR230" s="17"/>
      <x:c r="AS230" s="17"/>
      <x:c r="AT230" s="40"/>
      <x:c r="AU230" s="41">
        <x:f t="shared" si="9"/>
      </x:c>
      <x:c r="AV230" s="42"/>
      <x:c r="AW230" s="19"/>
      <x:c r="AX230" s="19"/>
      <x:c r="AY230" s="19"/>
      <x:c r="AZ230" s="19"/>
      <x:c r="BA230" s="19"/>
      <x:c r="BB230" s="19"/>
      <x:c r="BC230" s="19"/>
      <x:c r="BD230" s="19"/>
      <x:c r="BE230"/>
      <x:c r="BF230"/>
    </x:row>
    <x:row r="231" ht="28" customHeight="1">
      <x:c r="A231" s="4"/>
      <x:c r="B231" s="15"/>
      <x:c r="C231" s="15"/>
      <x:c r="D231" s="15"/>
      <x:c r="E231" s="32"/>
      <x:c r="F231" s="17"/>
      <x:c r="G231" s="4">
        <x:f t="shared" si="8"/>
      </x:c>
      <x:c r="H231" s="33"/>
      <x:c r="I231" s="17"/>
      <x:c r="J231" s="34"/>
      <x:c r="K231" s="17"/>
      <x:c r="L231" s="17"/>
      <x:c r="M231" s="35"/>
      <x:c r="N231" s="35"/>
      <x:c r="O231" s="36"/>
      <x:c r="P231" s="37"/>
      <x:c r="Q231" s="17"/>
      <x:c r="R231" s="17"/>
      <x:c r="S231" s="17"/>
      <x:c r="T231" s="35"/>
      <x:c r="U231" s="35"/>
      <x:c r="V231" s="37"/>
      <x:c r="W231" s="17"/>
      <x:c r="X231" s="17"/>
      <x:c r="Y231" s="17"/>
      <x:c r="Z231" s="37"/>
      <x:c r="AA231" s="35"/>
      <x:c r="AB231" s="37"/>
      <x:c r="AC231" s="17"/>
      <x:c r="AD231" s="38"/>
      <x:c r="AE231" s="37"/>
      <x:c r="AF231" s="17"/>
      <x:c r="AG231" s="17"/>
      <x:c r="AH231" s="17"/>
      <x:c r="AI231" s="17"/>
      <x:c r="AJ231" s="37"/>
      <x:c r="AK231" s="17"/>
      <x:c r="AL231" s="17"/>
      <x:c r="AM231" s="17"/>
      <x:c r="AN231" s="17"/>
      <x:c r="AO231" s="17"/>
      <x:c r="AP231" s="17"/>
      <x:c r="AQ231" s="39"/>
      <x:c r="AR231" s="17"/>
      <x:c r="AS231" s="17"/>
      <x:c r="AT231" s="40"/>
      <x:c r="AU231" s="41">
        <x:f t="shared" si="9"/>
      </x:c>
      <x:c r="AV231" s="42"/>
      <x:c r="AW231" s="19"/>
      <x:c r="AX231" s="19"/>
      <x:c r="AY231" s="19"/>
      <x:c r="AZ231" s="19"/>
      <x:c r="BA231" s="19"/>
      <x:c r="BB231" s="19"/>
      <x:c r="BC231" s="19"/>
      <x:c r="BD231" s="19"/>
      <x:c r="BE231"/>
      <x:c r="BF231"/>
    </x:row>
    <x:row r="232" ht="28" customHeight="1">
      <x:c r="A232" s="4"/>
      <x:c r="B232" s="15"/>
      <x:c r="C232" s="15"/>
      <x:c r="D232" s="15"/>
      <x:c r="E232" s="32"/>
      <x:c r="F232" s="17"/>
      <x:c r="G232" s="4">
        <x:f t="shared" si="8"/>
      </x:c>
      <x:c r="H232" s="33"/>
      <x:c r="I232" s="17"/>
      <x:c r="J232" s="34"/>
      <x:c r="K232" s="17"/>
      <x:c r="L232" s="17"/>
      <x:c r="M232" s="35"/>
      <x:c r="N232" s="35"/>
      <x:c r="O232" s="36"/>
      <x:c r="P232" s="37"/>
      <x:c r="Q232" s="17"/>
      <x:c r="R232" s="17"/>
      <x:c r="S232" s="17"/>
      <x:c r="T232" s="35"/>
      <x:c r="U232" s="35"/>
      <x:c r="V232" s="37"/>
      <x:c r="W232" s="17"/>
      <x:c r="X232" s="17"/>
      <x:c r="Y232" s="17"/>
      <x:c r="Z232" s="37"/>
      <x:c r="AA232" s="35"/>
      <x:c r="AB232" s="37"/>
      <x:c r="AC232" s="17"/>
      <x:c r="AD232" s="38"/>
      <x:c r="AE232" s="37"/>
      <x:c r="AF232" s="17"/>
      <x:c r="AG232" s="17"/>
      <x:c r="AH232" s="17"/>
      <x:c r="AI232" s="17"/>
      <x:c r="AJ232" s="37"/>
      <x:c r="AK232" s="17"/>
      <x:c r="AL232" s="17"/>
      <x:c r="AM232" s="17"/>
      <x:c r="AN232" s="17"/>
      <x:c r="AO232" s="17"/>
      <x:c r="AP232" s="17"/>
      <x:c r="AQ232" s="39"/>
      <x:c r="AR232" s="17"/>
      <x:c r="AS232" s="17"/>
      <x:c r="AT232" s="40"/>
      <x:c r="AU232" s="41">
        <x:f t="shared" si="9"/>
      </x:c>
      <x:c r="AV232" s="42"/>
      <x:c r="AW232" s="19"/>
      <x:c r="AX232" s="19"/>
      <x:c r="AY232" s="19"/>
      <x:c r="AZ232" s="19"/>
      <x:c r="BA232" s="19"/>
      <x:c r="BB232" s="19"/>
      <x:c r="BC232" s="19"/>
      <x:c r="BD232" s="19"/>
      <x:c r="BE232"/>
      <x:c r="BF232"/>
    </x:row>
    <x:row r="233" ht="28" customHeight="1">
      <x:c r="A233" s="4"/>
      <x:c r="B233" s="15"/>
      <x:c r="C233" s="15"/>
      <x:c r="D233" s="15"/>
      <x:c r="E233" s="32"/>
      <x:c r="F233" s="17"/>
      <x:c r="G233" s="4">
        <x:f t="shared" si="8"/>
      </x:c>
      <x:c r="H233" s="33"/>
      <x:c r="I233" s="17"/>
      <x:c r="J233" s="34"/>
      <x:c r="K233" s="17"/>
      <x:c r="L233" s="17"/>
      <x:c r="M233" s="35"/>
      <x:c r="N233" s="35"/>
      <x:c r="O233" s="36"/>
      <x:c r="P233" s="37"/>
      <x:c r="Q233" s="17"/>
      <x:c r="R233" s="17"/>
      <x:c r="S233" s="17"/>
      <x:c r="T233" s="35"/>
      <x:c r="U233" s="35"/>
      <x:c r="V233" s="37"/>
      <x:c r="W233" s="17"/>
      <x:c r="X233" s="17"/>
      <x:c r="Y233" s="17"/>
      <x:c r="Z233" s="37"/>
      <x:c r="AA233" s="35"/>
      <x:c r="AB233" s="37"/>
      <x:c r="AC233" s="17"/>
      <x:c r="AD233" s="38"/>
      <x:c r="AE233" s="37"/>
      <x:c r="AF233" s="17"/>
      <x:c r="AG233" s="17"/>
      <x:c r="AH233" s="17"/>
      <x:c r="AI233" s="17"/>
      <x:c r="AJ233" s="37"/>
      <x:c r="AK233" s="17"/>
      <x:c r="AL233" s="17"/>
      <x:c r="AM233" s="17"/>
      <x:c r="AN233" s="17"/>
      <x:c r="AO233" s="17"/>
      <x:c r="AP233" s="17"/>
      <x:c r="AQ233" s="39"/>
      <x:c r="AR233" s="17"/>
      <x:c r="AS233" s="17"/>
      <x:c r="AT233" s="40"/>
      <x:c r="AU233" s="41">
        <x:f t="shared" si="9"/>
      </x:c>
      <x:c r="AV233" s="42"/>
      <x:c r="AW233" s="19"/>
      <x:c r="AX233" s="19"/>
      <x:c r="AY233" s="19"/>
      <x:c r="AZ233" s="19"/>
      <x:c r="BA233" s="19"/>
      <x:c r="BB233" s="19"/>
      <x:c r="BC233" s="19"/>
      <x:c r="BD233" s="19"/>
      <x:c r="BE233"/>
      <x:c r="BF233"/>
    </x:row>
    <x:row r="234" ht="28" customHeight="1">
      <x:c r="A234" s="4"/>
      <x:c r="B234" s="15"/>
      <x:c r="C234" s="15"/>
      <x:c r="D234" s="15"/>
      <x:c r="E234" s="32"/>
      <x:c r="F234" s="17"/>
      <x:c r="G234" s="4">
        <x:f t="shared" si="8"/>
      </x:c>
      <x:c r="H234" s="33"/>
      <x:c r="I234" s="17"/>
      <x:c r="J234" s="34"/>
      <x:c r="K234" s="17"/>
      <x:c r="L234" s="17"/>
      <x:c r="M234" s="35"/>
      <x:c r="N234" s="35"/>
      <x:c r="O234" s="36"/>
      <x:c r="P234" s="37"/>
      <x:c r="Q234" s="17"/>
      <x:c r="R234" s="17"/>
      <x:c r="S234" s="17"/>
      <x:c r="T234" s="35"/>
      <x:c r="U234" s="35"/>
      <x:c r="V234" s="37"/>
      <x:c r="W234" s="17"/>
      <x:c r="X234" s="17"/>
      <x:c r="Y234" s="17"/>
      <x:c r="Z234" s="37"/>
      <x:c r="AA234" s="35"/>
      <x:c r="AB234" s="37"/>
      <x:c r="AC234" s="17"/>
      <x:c r="AD234" s="38"/>
      <x:c r="AE234" s="37"/>
      <x:c r="AF234" s="17"/>
      <x:c r="AG234" s="17"/>
      <x:c r="AH234" s="17"/>
      <x:c r="AI234" s="17"/>
      <x:c r="AJ234" s="37"/>
      <x:c r="AK234" s="17"/>
      <x:c r="AL234" s="17"/>
      <x:c r="AM234" s="17"/>
      <x:c r="AN234" s="17"/>
      <x:c r="AO234" s="17"/>
      <x:c r="AP234" s="17"/>
      <x:c r="AQ234" s="39"/>
      <x:c r="AR234" s="17"/>
      <x:c r="AS234" s="17"/>
      <x:c r="AT234" s="40"/>
      <x:c r="AU234" s="41">
        <x:f t="shared" si="9"/>
      </x:c>
      <x:c r="AV234" s="42"/>
      <x:c r="AW234" s="19"/>
      <x:c r="AX234" s="19"/>
      <x:c r="AY234" s="19"/>
      <x:c r="AZ234" s="19"/>
      <x:c r="BA234" s="19"/>
      <x:c r="BB234" s="19"/>
      <x:c r="BC234" s="19"/>
      <x:c r="BD234" s="19"/>
      <x:c r="BE234"/>
      <x:c r="BF234"/>
    </x:row>
    <x:row r="235" ht="28" customHeight="1">
      <x:c r="A235" s="4"/>
      <x:c r="B235" s="15"/>
      <x:c r="C235" s="15"/>
      <x:c r="D235" s="15"/>
      <x:c r="E235" s="32"/>
      <x:c r="F235" s="17"/>
      <x:c r="G235" s="4">
        <x:f t="shared" si="8"/>
      </x:c>
      <x:c r="H235" s="33"/>
      <x:c r="I235" s="17"/>
      <x:c r="J235" s="34"/>
      <x:c r="K235" s="17"/>
      <x:c r="L235" s="17"/>
      <x:c r="M235" s="35"/>
      <x:c r="N235" s="35"/>
      <x:c r="O235" s="36"/>
      <x:c r="P235" s="37"/>
      <x:c r="Q235" s="17"/>
      <x:c r="R235" s="17"/>
      <x:c r="S235" s="17"/>
      <x:c r="T235" s="35"/>
      <x:c r="U235" s="35"/>
      <x:c r="V235" s="37"/>
      <x:c r="W235" s="17"/>
      <x:c r="X235" s="17"/>
      <x:c r="Y235" s="17"/>
      <x:c r="Z235" s="37"/>
      <x:c r="AA235" s="35"/>
      <x:c r="AB235" s="37"/>
      <x:c r="AC235" s="17"/>
      <x:c r="AD235" s="38"/>
      <x:c r="AE235" s="37"/>
      <x:c r="AF235" s="17"/>
      <x:c r="AG235" s="17"/>
      <x:c r="AH235" s="17"/>
      <x:c r="AI235" s="17"/>
      <x:c r="AJ235" s="37"/>
      <x:c r="AK235" s="17"/>
      <x:c r="AL235" s="17"/>
      <x:c r="AM235" s="17"/>
      <x:c r="AN235" s="17"/>
      <x:c r="AO235" s="17"/>
      <x:c r="AP235" s="17"/>
      <x:c r="AQ235" s="39"/>
      <x:c r="AR235" s="17"/>
      <x:c r="AS235" s="17"/>
      <x:c r="AT235" s="40"/>
      <x:c r="AU235" s="41">
        <x:f t="shared" si="9"/>
      </x:c>
      <x:c r="AV235" s="42"/>
      <x:c r="AW235" s="19"/>
      <x:c r="AX235" s="19"/>
      <x:c r="AY235" s="19"/>
      <x:c r="AZ235" s="19"/>
      <x:c r="BA235" s="19"/>
      <x:c r="BB235" s="19"/>
      <x:c r="BC235" s="19"/>
      <x:c r="BD235" s="19"/>
      <x:c r="BE235"/>
      <x:c r="BF235"/>
    </x:row>
    <x:row r="236" ht="28" customHeight="1">
      <x:c r="A236" s="4"/>
      <x:c r="B236" s="15"/>
      <x:c r="C236" s="15"/>
      <x:c r="D236" s="15"/>
      <x:c r="E236" s="32"/>
      <x:c r="F236" s="17"/>
      <x:c r="G236" s="4">
        <x:f t="shared" si="8"/>
      </x:c>
      <x:c r="H236" s="33"/>
      <x:c r="I236" s="17"/>
      <x:c r="J236" s="34"/>
      <x:c r="K236" s="17"/>
      <x:c r="L236" s="17"/>
      <x:c r="M236" s="35"/>
      <x:c r="N236" s="35"/>
      <x:c r="O236" s="36"/>
      <x:c r="P236" s="37"/>
      <x:c r="Q236" s="17"/>
      <x:c r="R236" s="17"/>
      <x:c r="S236" s="17"/>
      <x:c r="T236" s="35"/>
      <x:c r="U236" s="35"/>
      <x:c r="V236" s="37"/>
      <x:c r="W236" s="17"/>
      <x:c r="X236" s="17"/>
      <x:c r="Y236" s="17"/>
      <x:c r="Z236" s="37"/>
      <x:c r="AA236" s="35"/>
      <x:c r="AB236" s="37"/>
      <x:c r="AC236" s="17"/>
      <x:c r="AD236" s="38"/>
      <x:c r="AE236" s="37"/>
      <x:c r="AF236" s="17"/>
      <x:c r="AG236" s="17"/>
      <x:c r="AH236" s="17"/>
      <x:c r="AI236" s="17"/>
      <x:c r="AJ236" s="37"/>
      <x:c r="AK236" s="17"/>
      <x:c r="AL236" s="17"/>
      <x:c r="AM236" s="17"/>
      <x:c r="AN236" s="17"/>
      <x:c r="AO236" s="17"/>
      <x:c r="AP236" s="17"/>
      <x:c r="AQ236" s="39"/>
      <x:c r="AR236" s="17"/>
      <x:c r="AS236" s="17"/>
      <x:c r="AT236" s="40"/>
      <x:c r="AU236" s="41">
        <x:f t="shared" si="9"/>
      </x:c>
      <x:c r="AV236" s="42"/>
      <x:c r="AW236" s="19"/>
      <x:c r="AX236" s="19"/>
      <x:c r="AY236" s="19"/>
      <x:c r="AZ236" s="19"/>
      <x:c r="BA236" s="19"/>
      <x:c r="BB236" s="19"/>
      <x:c r="BC236" s="19"/>
      <x:c r="BD236" s="19"/>
      <x:c r="BE236"/>
      <x:c r="BF236"/>
    </x:row>
    <x:row r="237" ht="28" customHeight="1">
      <x:c r="A237" s="4"/>
      <x:c r="B237" s="15"/>
      <x:c r="C237" s="15"/>
      <x:c r="D237" s="15"/>
      <x:c r="E237" s="32"/>
      <x:c r="F237" s="17"/>
      <x:c r="G237" s="4">
        <x:f t="shared" si="8"/>
      </x:c>
      <x:c r="H237" s="33"/>
      <x:c r="I237" s="17"/>
      <x:c r="J237" s="34"/>
      <x:c r="K237" s="17"/>
      <x:c r="L237" s="17"/>
      <x:c r="M237" s="35"/>
      <x:c r="N237" s="35"/>
      <x:c r="O237" s="36"/>
      <x:c r="P237" s="37"/>
      <x:c r="Q237" s="17"/>
      <x:c r="R237" s="17"/>
      <x:c r="S237" s="17"/>
      <x:c r="T237" s="35"/>
      <x:c r="U237" s="35"/>
      <x:c r="V237" s="37"/>
      <x:c r="W237" s="17"/>
      <x:c r="X237" s="17"/>
      <x:c r="Y237" s="17"/>
      <x:c r="Z237" s="37"/>
      <x:c r="AA237" s="35"/>
      <x:c r="AB237" s="37"/>
      <x:c r="AC237" s="17"/>
      <x:c r="AD237" s="38"/>
      <x:c r="AE237" s="37"/>
      <x:c r="AF237" s="17"/>
      <x:c r="AG237" s="17"/>
      <x:c r="AH237" s="17"/>
      <x:c r="AI237" s="17"/>
      <x:c r="AJ237" s="37"/>
      <x:c r="AK237" s="17"/>
      <x:c r="AL237" s="17"/>
      <x:c r="AM237" s="17"/>
      <x:c r="AN237" s="17"/>
      <x:c r="AO237" s="17"/>
      <x:c r="AP237" s="17"/>
      <x:c r="AQ237" s="39"/>
      <x:c r="AR237" s="17"/>
      <x:c r="AS237" s="17"/>
      <x:c r="AT237" s="40"/>
      <x:c r="AU237" s="41">
        <x:f t="shared" si="9"/>
      </x:c>
      <x:c r="AV237" s="42"/>
      <x:c r="AW237" s="19"/>
      <x:c r="AX237" s="19"/>
      <x:c r="AY237" s="19"/>
      <x:c r="AZ237" s="19"/>
      <x:c r="BA237" s="19"/>
      <x:c r="BB237" s="19"/>
      <x:c r="BC237" s="19"/>
      <x:c r="BD237" s="19"/>
      <x:c r="BE237"/>
      <x:c r="BF237"/>
    </x:row>
    <x:row r="238" ht="28" customHeight="1">
      <x:c r="A238" s="4"/>
      <x:c r="B238" s="15"/>
      <x:c r="C238" s="15"/>
      <x:c r="D238" s="15"/>
      <x:c r="E238" s="32"/>
      <x:c r="F238" s="17"/>
      <x:c r="G238" s="4">
        <x:f t="shared" si="8"/>
      </x:c>
      <x:c r="H238" s="33"/>
      <x:c r="I238" s="17"/>
      <x:c r="J238" s="34"/>
      <x:c r="K238" s="17"/>
      <x:c r="L238" s="17"/>
      <x:c r="M238" s="35"/>
      <x:c r="N238" s="35"/>
      <x:c r="O238" s="36"/>
      <x:c r="P238" s="37"/>
      <x:c r="Q238" s="17"/>
      <x:c r="R238" s="17"/>
      <x:c r="S238" s="17"/>
      <x:c r="T238" s="35"/>
      <x:c r="U238" s="35"/>
      <x:c r="V238" s="37"/>
      <x:c r="W238" s="17"/>
      <x:c r="X238" s="17"/>
      <x:c r="Y238" s="17"/>
      <x:c r="Z238" s="37"/>
      <x:c r="AA238" s="35"/>
      <x:c r="AB238" s="37"/>
      <x:c r="AC238" s="17"/>
      <x:c r="AD238" s="38"/>
      <x:c r="AE238" s="37"/>
      <x:c r="AF238" s="17"/>
      <x:c r="AG238" s="17"/>
      <x:c r="AH238" s="17"/>
      <x:c r="AI238" s="17"/>
      <x:c r="AJ238" s="37"/>
      <x:c r="AK238" s="17"/>
      <x:c r="AL238" s="17"/>
      <x:c r="AM238" s="17"/>
      <x:c r="AN238" s="17"/>
      <x:c r="AO238" s="17"/>
      <x:c r="AP238" s="17"/>
      <x:c r="AQ238" s="39"/>
      <x:c r="AR238" s="17"/>
      <x:c r="AS238" s="17"/>
      <x:c r="AT238" s="40"/>
      <x:c r="AU238" s="41">
        <x:f t="shared" si="9"/>
      </x:c>
      <x:c r="AV238" s="42"/>
      <x:c r="AW238" s="19"/>
      <x:c r="AX238" s="19"/>
      <x:c r="AY238" s="19"/>
      <x:c r="AZ238" s="19"/>
      <x:c r="BA238" s="19"/>
      <x:c r="BB238" s="19"/>
      <x:c r="BC238" s="19"/>
      <x:c r="BD238" s="19"/>
      <x:c r="BF238"/>
    </x:row>
    <x:row r="239" ht="28" customHeight="1">
      <x:c r="A239" s="4"/>
      <x:c r="B239" s="15"/>
      <x:c r="C239" s="15"/>
      <x:c r="D239" s="15"/>
      <x:c r="E239" s="32"/>
      <x:c r="F239" s="17"/>
      <x:c r="G239" s="4">
        <x:f t="shared" si="8"/>
      </x:c>
      <x:c r="H239" s="33"/>
      <x:c r="I239" s="17"/>
      <x:c r="J239" s="34"/>
      <x:c r="K239" s="17"/>
      <x:c r="L239" s="17"/>
      <x:c r="M239" s="35"/>
      <x:c r="N239" s="35"/>
      <x:c r="O239" s="36"/>
      <x:c r="P239" s="37"/>
      <x:c r="Q239" s="17"/>
      <x:c r="R239" s="17"/>
      <x:c r="S239" s="17"/>
      <x:c r="T239" s="35"/>
      <x:c r="U239" s="35"/>
      <x:c r="V239" s="37"/>
      <x:c r="W239" s="17"/>
      <x:c r="X239" s="17"/>
      <x:c r="Y239" s="17"/>
      <x:c r="Z239" s="37"/>
      <x:c r="AA239" s="35"/>
      <x:c r="AB239" s="37"/>
      <x:c r="AC239" s="17"/>
      <x:c r="AD239" s="38"/>
      <x:c r="AE239" s="37"/>
      <x:c r="AF239" s="17"/>
      <x:c r="AG239" s="17"/>
      <x:c r="AH239" s="17"/>
      <x:c r="AI239" s="17"/>
      <x:c r="AJ239" s="37"/>
      <x:c r="AK239" s="17"/>
      <x:c r="AL239" s="17"/>
      <x:c r="AM239" s="17"/>
      <x:c r="AN239" s="17"/>
      <x:c r="AO239" s="17"/>
      <x:c r="AP239" s="17"/>
      <x:c r="AQ239" s="39"/>
      <x:c r="AR239" s="17"/>
      <x:c r="AS239" s="17"/>
      <x:c r="AT239" s="40"/>
      <x:c r="AU239" s="41">
        <x:f t="shared" si="9"/>
      </x:c>
      <x:c r="AV239" s="42"/>
      <x:c r="AW239" s="19"/>
      <x:c r="AX239" s="19"/>
      <x:c r="AY239" s="19"/>
      <x:c r="AZ239" s="19"/>
      <x:c r="BA239" s="19"/>
      <x:c r="BB239" s="19"/>
      <x:c r="BC239" s="19"/>
      <x:c r="BD239" s="19"/>
      <x:c r="BE239"/>
      <x:c r="BF239"/>
    </x:row>
    <x:row r="240" ht="28" customHeight="1">
      <x:c r="A240" s="4"/>
      <x:c r="B240" s="15"/>
      <x:c r="C240" s="15"/>
      <x:c r="D240" s="15"/>
      <x:c r="E240" s="32"/>
      <x:c r="F240" s="17"/>
      <x:c r="G240" s="4">
        <x:f t="shared" si="8"/>
      </x:c>
      <x:c r="H240" s="33"/>
      <x:c r="I240" s="17"/>
      <x:c r="J240" s="34"/>
      <x:c r="K240" s="17"/>
      <x:c r="L240" s="17"/>
      <x:c r="M240" s="35"/>
      <x:c r="N240" s="35"/>
      <x:c r="O240" s="36"/>
      <x:c r="P240" s="37"/>
      <x:c r="Q240" s="17"/>
      <x:c r="R240" s="17"/>
      <x:c r="S240" s="17"/>
      <x:c r="T240" s="35"/>
      <x:c r="U240" s="35"/>
      <x:c r="V240" s="37"/>
      <x:c r="W240" s="17"/>
      <x:c r="X240" s="17"/>
      <x:c r="Y240" s="17"/>
      <x:c r="Z240" s="37"/>
      <x:c r="AA240" s="35"/>
      <x:c r="AB240" s="37"/>
      <x:c r="AC240" s="17"/>
      <x:c r="AD240" s="38"/>
      <x:c r="AE240" s="37"/>
      <x:c r="AF240" s="17"/>
      <x:c r="AG240" s="17"/>
      <x:c r="AH240" s="17"/>
      <x:c r="AI240" s="17"/>
      <x:c r="AJ240" s="37"/>
      <x:c r="AK240" s="17"/>
      <x:c r="AL240" s="17"/>
      <x:c r="AM240" s="17"/>
      <x:c r="AN240" s="17"/>
      <x:c r="AO240" s="17"/>
      <x:c r="AP240" s="17"/>
      <x:c r="AQ240" s="39"/>
      <x:c r="AR240" s="17"/>
      <x:c r="AS240" s="17"/>
      <x:c r="AT240" s="40"/>
      <x:c r="AU240" s="41">
        <x:f t="shared" si="9"/>
      </x:c>
      <x:c r="AV240" s="42"/>
      <x:c r="AW240" s="19"/>
      <x:c r="AX240" s="19"/>
      <x:c r="AY240" s="19"/>
      <x:c r="AZ240" s="19"/>
      <x:c r="BA240" s="19"/>
      <x:c r="BB240" s="19"/>
      <x:c r="BC240" s="19"/>
      <x:c r="BD240" s="19"/>
      <x:c r="BE240"/>
      <x:c r="BF240"/>
    </x:row>
    <x:row r="241" ht="28" customHeight="1">
      <x:c r="A241" s="4"/>
      <x:c r="B241" s="15"/>
      <x:c r="C241" s="15"/>
      <x:c r="D241" s="15"/>
      <x:c r="E241" s="32"/>
      <x:c r="F241" s="17"/>
      <x:c r="G241" s="4">
        <x:f t="shared" si="8"/>
      </x:c>
      <x:c r="H241" s="33"/>
      <x:c r="I241" s="17"/>
      <x:c r="J241" s="34"/>
      <x:c r="K241" s="17"/>
      <x:c r="L241" s="17"/>
      <x:c r="M241" s="35"/>
      <x:c r="N241" s="35"/>
      <x:c r="O241" s="36"/>
      <x:c r="P241" s="37"/>
      <x:c r="Q241" s="17"/>
      <x:c r="R241" s="17"/>
      <x:c r="S241" s="17"/>
      <x:c r="T241" s="35"/>
      <x:c r="U241" s="35"/>
      <x:c r="V241" s="37"/>
      <x:c r="W241" s="17"/>
      <x:c r="X241" s="17"/>
      <x:c r="Y241" s="17"/>
      <x:c r="Z241" s="37"/>
      <x:c r="AA241" s="35"/>
      <x:c r="AB241" s="37"/>
      <x:c r="AC241" s="17"/>
      <x:c r="AD241" s="38"/>
      <x:c r="AE241" s="37"/>
      <x:c r="AF241" s="17"/>
      <x:c r="AG241" s="17"/>
      <x:c r="AH241" s="17"/>
      <x:c r="AI241" s="17"/>
      <x:c r="AJ241" s="37"/>
      <x:c r="AK241" s="17"/>
      <x:c r="AL241" s="17"/>
      <x:c r="AM241" s="17"/>
      <x:c r="AN241" s="17"/>
      <x:c r="AO241" s="17"/>
      <x:c r="AP241" s="17"/>
      <x:c r="AQ241" s="39"/>
      <x:c r="AR241" s="17"/>
      <x:c r="AS241" s="17"/>
      <x:c r="AT241" s="40"/>
      <x:c r="AU241" s="41">
        <x:f t="shared" si="9"/>
      </x:c>
      <x:c r="AV241" s="42"/>
      <x:c r="AW241" s="19"/>
      <x:c r="AX241" s="19"/>
      <x:c r="AY241" s="19"/>
      <x:c r="AZ241" s="19"/>
      <x:c r="BA241" s="19"/>
      <x:c r="BB241" s="19"/>
      <x:c r="BC241" s="19"/>
      <x:c r="BD241" s="19"/>
      <x:c r="BE241"/>
      <x:c r="BF241"/>
    </x:row>
    <x:row r="242" ht="28" customHeight="1">
      <x:c r="A242" s="4"/>
      <x:c r="B242" s="15"/>
      <x:c r="C242" s="15"/>
      <x:c r="D242" s="15"/>
      <x:c r="E242" s="32"/>
      <x:c r="F242" s="17"/>
      <x:c r="G242" s="4">
        <x:f t="shared" si="8"/>
      </x:c>
      <x:c r="H242" s="33"/>
      <x:c r="I242" s="17"/>
      <x:c r="J242" s="34"/>
      <x:c r="K242" s="17"/>
      <x:c r="L242" s="17"/>
      <x:c r="M242" s="35"/>
      <x:c r="N242" s="35"/>
      <x:c r="O242" s="36"/>
      <x:c r="P242" s="37"/>
      <x:c r="Q242" s="17"/>
      <x:c r="R242" s="17"/>
      <x:c r="S242" s="17"/>
      <x:c r="T242" s="35"/>
      <x:c r="U242" s="35"/>
      <x:c r="V242" s="37"/>
      <x:c r="W242" s="17"/>
      <x:c r="X242" s="17"/>
      <x:c r="Y242" s="17"/>
      <x:c r="Z242" s="37"/>
      <x:c r="AA242" s="35"/>
      <x:c r="AB242" s="37"/>
      <x:c r="AC242" s="17"/>
      <x:c r="AD242" s="38"/>
      <x:c r="AE242" s="37"/>
      <x:c r="AF242" s="17"/>
      <x:c r="AG242" s="17"/>
      <x:c r="AH242" s="17"/>
      <x:c r="AI242" s="17"/>
      <x:c r="AJ242" s="37"/>
      <x:c r="AK242" s="17"/>
      <x:c r="AL242" s="17"/>
      <x:c r="AM242" s="17"/>
      <x:c r="AN242" s="17"/>
      <x:c r="AO242" s="17"/>
      <x:c r="AP242" s="17"/>
      <x:c r="AQ242" s="39"/>
      <x:c r="AR242" s="17"/>
      <x:c r="AS242" s="17"/>
      <x:c r="AT242" s="40"/>
      <x:c r="AU242" s="41">
        <x:f t="shared" si="9"/>
      </x:c>
      <x:c r="AV242" s="42"/>
      <x:c r="AW242" s="19"/>
      <x:c r="AX242" s="19"/>
      <x:c r="AY242" s="19"/>
      <x:c r="AZ242" s="19"/>
      <x:c r="BA242" s="19"/>
      <x:c r="BB242" s="19"/>
      <x:c r="BC242" s="19"/>
      <x:c r="BD242" s="19"/>
      <x:c r="BE242"/>
      <x:c r="BF242"/>
    </x:row>
    <x:row r="243" ht="28" customHeight="1">
      <x:c r="A243" s="4"/>
      <x:c r="B243" s="15"/>
      <x:c r="C243" s="15"/>
      <x:c r="D243" s="15"/>
      <x:c r="E243" s="32"/>
      <x:c r="F243" s="17"/>
      <x:c r="G243" s="4">
        <x:f t="shared" si="8"/>
      </x:c>
      <x:c r="H243" s="33"/>
      <x:c r="I243" s="17"/>
      <x:c r="J243" s="34"/>
      <x:c r="K243" s="17"/>
      <x:c r="L243" s="17"/>
      <x:c r="M243" s="35"/>
      <x:c r="N243" s="35"/>
      <x:c r="O243" s="36"/>
      <x:c r="P243" s="37"/>
      <x:c r="Q243" s="17"/>
      <x:c r="R243" s="17"/>
      <x:c r="S243" s="17"/>
      <x:c r="T243" s="35"/>
      <x:c r="U243" s="35"/>
      <x:c r="V243" s="37"/>
      <x:c r="W243" s="17"/>
      <x:c r="X243" s="17"/>
      <x:c r="Y243" s="17"/>
      <x:c r="Z243" s="37"/>
      <x:c r="AA243" s="35"/>
      <x:c r="AB243" s="37"/>
      <x:c r="AC243" s="17"/>
      <x:c r="AD243" s="38"/>
      <x:c r="AE243" s="37"/>
      <x:c r="AF243" s="17"/>
      <x:c r="AG243" s="17"/>
      <x:c r="AH243" s="17"/>
      <x:c r="AI243" s="17"/>
      <x:c r="AJ243" s="37"/>
      <x:c r="AK243" s="17"/>
      <x:c r="AL243" s="17"/>
      <x:c r="AM243" s="17"/>
      <x:c r="AN243" s="17"/>
      <x:c r="AO243" s="17"/>
      <x:c r="AP243" s="17"/>
      <x:c r="AQ243" s="39"/>
      <x:c r="AR243" s="17"/>
      <x:c r="AS243" s="17"/>
      <x:c r="AT243" s="40"/>
      <x:c r="AU243" s="41">
        <x:f t="shared" si="9"/>
      </x:c>
      <x:c r="AV243" s="42"/>
      <x:c r="AW243" s="19"/>
      <x:c r="AX243" s="19"/>
      <x:c r="AY243" s="19"/>
      <x:c r="AZ243" s="19"/>
      <x:c r="BA243" s="19"/>
      <x:c r="BB243" s="19"/>
      <x:c r="BC243" s="19"/>
      <x:c r="BD243" s="19"/>
      <x:c r="BE243"/>
      <x:c r="BF243"/>
    </x:row>
    <x:row r="244" ht="28" customHeight="1">
      <x:c r="A244" s="4"/>
      <x:c r="B244" s="15"/>
      <x:c r="C244" s="15"/>
      <x:c r="D244" s="15"/>
      <x:c r="E244" s="32"/>
      <x:c r="F244" s="17"/>
      <x:c r="G244" s="4">
        <x:f t="shared" si="8"/>
      </x:c>
      <x:c r="H244" s="33"/>
      <x:c r="I244" s="17"/>
      <x:c r="J244" s="34"/>
      <x:c r="K244" s="17"/>
      <x:c r="L244" s="17"/>
      <x:c r="M244" s="35"/>
      <x:c r="N244" s="35"/>
      <x:c r="O244" s="36"/>
      <x:c r="P244" s="37"/>
      <x:c r="Q244" s="17"/>
      <x:c r="R244" s="17"/>
      <x:c r="S244" s="17"/>
      <x:c r="T244" s="35"/>
      <x:c r="U244" s="35"/>
      <x:c r="V244" s="37"/>
      <x:c r="W244" s="17"/>
      <x:c r="X244" s="17"/>
      <x:c r="Y244" s="17"/>
      <x:c r="Z244" s="37"/>
      <x:c r="AA244" s="35"/>
      <x:c r="AB244" s="37"/>
      <x:c r="AC244" s="17"/>
      <x:c r="AD244" s="38"/>
      <x:c r="AE244" s="37"/>
      <x:c r="AF244" s="17"/>
      <x:c r="AG244" s="17"/>
      <x:c r="AH244" s="17"/>
      <x:c r="AI244" s="17"/>
      <x:c r="AJ244" s="37"/>
      <x:c r="AK244" s="17"/>
      <x:c r="AL244" s="17"/>
      <x:c r="AM244" s="17"/>
      <x:c r="AN244" s="17"/>
      <x:c r="AO244" s="17"/>
      <x:c r="AP244" s="17"/>
      <x:c r="AQ244" s="39"/>
      <x:c r="AR244" s="17"/>
      <x:c r="AS244" s="17"/>
      <x:c r="AT244" s="40"/>
      <x:c r="AU244" s="41">
        <x:f t="shared" si="9"/>
      </x:c>
      <x:c r="AV244" s="42"/>
      <x:c r="AW244" s="19"/>
      <x:c r="AX244" s="19"/>
      <x:c r="AY244" s="19"/>
      <x:c r="AZ244" s="19"/>
      <x:c r="BA244" s="19"/>
      <x:c r="BB244" s="19"/>
      <x:c r="BC244" s="19"/>
      <x:c r="BD244" s="19"/>
      <x:c r="BE244"/>
      <x:c r="BF244"/>
    </x:row>
    <x:row r="245" ht="28" customHeight="1">
      <x:c r="A245" s="4"/>
      <x:c r="B245" s="15"/>
      <x:c r="C245" s="15"/>
      <x:c r="D245" s="15"/>
      <x:c r="E245" s="32"/>
      <x:c r="F245" s="17"/>
      <x:c r="G245" s="4">
        <x:f t="shared" si="8"/>
      </x:c>
      <x:c r="H245" s="33"/>
      <x:c r="I245" s="17"/>
      <x:c r="J245" s="34"/>
      <x:c r="K245" s="17"/>
      <x:c r="L245" s="17"/>
      <x:c r="M245" s="35"/>
      <x:c r="N245" s="35"/>
      <x:c r="O245" s="36"/>
      <x:c r="P245" s="37"/>
      <x:c r="Q245" s="17"/>
      <x:c r="R245" s="17"/>
      <x:c r="S245" s="17"/>
      <x:c r="T245" s="35"/>
      <x:c r="U245" s="35"/>
      <x:c r="V245" s="37"/>
      <x:c r="W245" s="17"/>
      <x:c r="X245" s="17"/>
      <x:c r="Y245" s="17"/>
      <x:c r="Z245" s="37"/>
      <x:c r="AA245" s="35"/>
      <x:c r="AB245" s="37"/>
      <x:c r="AC245" s="17"/>
      <x:c r="AD245" s="38"/>
      <x:c r="AE245" s="37"/>
      <x:c r="AF245" s="17"/>
      <x:c r="AG245" s="17"/>
      <x:c r="AH245" s="17"/>
      <x:c r="AI245" s="17"/>
      <x:c r="AJ245" s="37"/>
      <x:c r="AK245" s="17"/>
      <x:c r="AL245" s="17"/>
      <x:c r="AM245" s="17"/>
      <x:c r="AN245" s="17"/>
      <x:c r="AO245" s="17"/>
      <x:c r="AP245" s="17"/>
      <x:c r="AQ245" s="39"/>
      <x:c r="AR245" s="17"/>
      <x:c r="AS245" s="17"/>
      <x:c r="AT245" s="40"/>
      <x:c r="AU245" s="41">
        <x:f t="shared" si="9"/>
      </x:c>
      <x:c r="AV245" s="42"/>
      <x:c r="AW245" s="19"/>
      <x:c r="AX245" s="19"/>
      <x:c r="AY245" s="19"/>
      <x:c r="AZ245" s="19"/>
      <x:c r="BA245" s="19"/>
      <x:c r="BB245" s="19"/>
      <x:c r="BC245" s="19"/>
      <x:c r="BD245" s="19"/>
      <x:c r="BE245"/>
      <x:c r="BF245"/>
    </x:row>
    <x:row r="246" ht="28" customHeight="1">
      <x:c r="A246" s="4"/>
      <x:c r="B246" s="15"/>
      <x:c r="C246" s="15"/>
      <x:c r="D246" s="15"/>
      <x:c r="E246" s="32"/>
      <x:c r="F246" s="17"/>
      <x:c r="G246" s="4">
        <x:f t="shared" si="8"/>
      </x:c>
      <x:c r="H246" s="33"/>
      <x:c r="I246" s="17"/>
      <x:c r="J246" s="34"/>
      <x:c r="K246" s="17"/>
      <x:c r="L246" s="17"/>
      <x:c r="M246" s="35"/>
      <x:c r="N246" s="35"/>
      <x:c r="O246" s="36"/>
      <x:c r="P246" s="37"/>
      <x:c r="Q246" s="17"/>
      <x:c r="R246" s="17"/>
      <x:c r="S246" s="17"/>
      <x:c r="T246" s="35"/>
      <x:c r="U246" s="35"/>
      <x:c r="V246" s="37"/>
      <x:c r="W246" s="17"/>
      <x:c r="X246" s="17"/>
      <x:c r="Y246" s="17"/>
      <x:c r="Z246" s="37"/>
      <x:c r="AA246" s="35"/>
      <x:c r="AB246" s="37"/>
      <x:c r="AC246" s="17"/>
      <x:c r="AD246" s="38"/>
      <x:c r="AE246" s="37"/>
      <x:c r="AF246" s="17"/>
      <x:c r="AG246" s="17"/>
      <x:c r="AH246" s="17"/>
      <x:c r="AI246" s="17"/>
      <x:c r="AJ246" s="37"/>
      <x:c r="AK246" s="17"/>
      <x:c r="AL246" s="17"/>
      <x:c r="AM246" s="17"/>
      <x:c r="AN246" s="17"/>
      <x:c r="AO246" s="17"/>
      <x:c r="AP246" s="17"/>
      <x:c r="AQ246" s="39"/>
      <x:c r="AR246" s="17"/>
      <x:c r="AS246" s="17"/>
      <x:c r="AT246" s="40"/>
      <x:c r="AU246" s="41">
        <x:f t="shared" si="9"/>
      </x:c>
      <x:c r="AV246" s="42"/>
      <x:c r="AW246" s="19"/>
      <x:c r="AX246" s="19"/>
      <x:c r="AY246" s="19"/>
      <x:c r="AZ246" s="19"/>
      <x:c r="BA246" s="19"/>
      <x:c r="BB246" s="19"/>
      <x:c r="BC246" s="19"/>
      <x:c r="BD246" s="19"/>
      <x:c r="BF246"/>
    </x:row>
    <x:row r="247" ht="28" customHeight="1">
      <x:c r="A247" s="4"/>
      <x:c r="B247" s="15"/>
      <x:c r="C247" s="15"/>
      <x:c r="D247" s="15"/>
      <x:c r="E247" s="32"/>
      <x:c r="F247" s="17"/>
      <x:c r="G247" s="4">
        <x:f t="shared" si="8"/>
      </x:c>
      <x:c r="H247" s="33"/>
      <x:c r="I247" s="17"/>
      <x:c r="J247" s="34"/>
      <x:c r="K247" s="17"/>
      <x:c r="L247" s="17"/>
      <x:c r="M247" s="35"/>
      <x:c r="N247" s="35"/>
      <x:c r="O247" s="36"/>
      <x:c r="P247" s="37"/>
      <x:c r="Q247" s="17"/>
      <x:c r="R247" s="17"/>
      <x:c r="S247" s="17"/>
      <x:c r="T247" s="35"/>
      <x:c r="U247" s="35"/>
      <x:c r="V247" s="37"/>
      <x:c r="W247" s="17"/>
      <x:c r="X247" s="17"/>
      <x:c r="Y247" s="17"/>
      <x:c r="Z247" s="37"/>
      <x:c r="AA247" s="35"/>
      <x:c r="AB247" s="37"/>
      <x:c r="AC247" s="17"/>
      <x:c r="AD247" s="38"/>
      <x:c r="AE247" s="37"/>
      <x:c r="AF247" s="17"/>
      <x:c r="AG247" s="17"/>
      <x:c r="AH247" s="17"/>
      <x:c r="AI247" s="17"/>
      <x:c r="AJ247" s="37"/>
      <x:c r="AK247" s="17"/>
      <x:c r="AL247" s="17"/>
      <x:c r="AM247" s="17"/>
      <x:c r="AN247" s="17"/>
      <x:c r="AO247" s="17"/>
      <x:c r="AP247" s="17"/>
      <x:c r="AQ247" s="39"/>
      <x:c r="AR247" s="17"/>
      <x:c r="AS247" s="17"/>
      <x:c r="AT247" s="40"/>
      <x:c r="AU247" s="41">
        <x:f t="shared" si="9"/>
      </x:c>
      <x:c r="AV247" s="42"/>
      <x:c r="AW247" s="19"/>
      <x:c r="AX247" s="19"/>
      <x:c r="AY247" s="19"/>
      <x:c r="AZ247" s="19"/>
      <x:c r="BA247" s="19"/>
      <x:c r="BB247" s="19"/>
      <x:c r="BC247" s="19"/>
      <x:c r="BD247" s="19"/>
      <x:c r="BE247"/>
      <x:c r="BF247"/>
    </x:row>
    <x:row r="248" ht="28" customHeight="1">
      <x:c r="A248" s="4"/>
      <x:c r="B248" s="15"/>
      <x:c r="C248" s="15"/>
      <x:c r="D248" s="15"/>
      <x:c r="E248" s="32"/>
      <x:c r="F248" s="17"/>
      <x:c r="G248" s="4">
        <x:f t="shared" si="8"/>
      </x:c>
      <x:c r="H248" s="33"/>
      <x:c r="I248" s="17"/>
      <x:c r="J248" s="34"/>
      <x:c r="K248" s="17"/>
      <x:c r="L248" s="17"/>
      <x:c r="M248" s="35"/>
      <x:c r="N248" s="35"/>
      <x:c r="O248" s="36"/>
      <x:c r="P248" s="37"/>
      <x:c r="Q248" s="17"/>
      <x:c r="R248" s="17"/>
      <x:c r="S248" s="17"/>
      <x:c r="T248" s="35"/>
      <x:c r="U248" s="35"/>
      <x:c r="V248" s="37"/>
      <x:c r="W248" s="17"/>
      <x:c r="X248" s="17"/>
      <x:c r="Y248" s="17"/>
      <x:c r="Z248" s="37"/>
      <x:c r="AA248" s="35"/>
      <x:c r="AB248" s="37"/>
      <x:c r="AC248" s="17"/>
      <x:c r="AD248" s="38"/>
      <x:c r="AE248" s="37"/>
      <x:c r="AF248" s="17"/>
      <x:c r="AG248" s="17"/>
      <x:c r="AH248" s="17"/>
      <x:c r="AI248" s="17"/>
      <x:c r="AJ248" s="37"/>
      <x:c r="AK248" s="17"/>
      <x:c r="AL248" s="17"/>
      <x:c r="AM248" s="17"/>
      <x:c r="AN248" s="17"/>
      <x:c r="AO248" s="17"/>
      <x:c r="AP248" s="17"/>
      <x:c r="AQ248" s="39"/>
      <x:c r="AR248" s="17"/>
      <x:c r="AS248" s="17"/>
      <x:c r="AT248" s="40"/>
      <x:c r="AU248" s="41">
        <x:f t="shared" si="9"/>
      </x:c>
      <x:c r="AV248" s="42"/>
      <x:c r="AW248" s="19"/>
      <x:c r="AX248" s="19"/>
      <x:c r="AY248" s="19"/>
      <x:c r="AZ248" s="19"/>
      <x:c r="BA248" s="19"/>
      <x:c r="BB248" s="19"/>
      <x:c r="BC248" s="19"/>
      <x:c r="BD248" s="19"/>
      <x:c r="BE248"/>
      <x:c r="BF248"/>
    </x:row>
    <x:row r="249" ht="28" customHeight="1">
      <x:c r="A249" s="4"/>
      <x:c r="B249" s="15"/>
      <x:c r="C249" s="15"/>
      <x:c r="D249" s="15"/>
      <x:c r="E249" s="32"/>
      <x:c r="F249" s="17"/>
      <x:c r="G249" s="4">
        <x:f t="shared" si="8"/>
      </x:c>
      <x:c r="H249" s="33"/>
      <x:c r="I249" s="17"/>
      <x:c r="J249" s="34"/>
      <x:c r="K249" s="17"/>
      <x:c r="L249" s="17"/>
      <x:c r="M249" s="35"/>
      <x:c r="N249" s="35"/>
      <x:c r="O249" s="36"/>
      <x:c r="P249" s="37"/>
      <x:c r="Q249" s="17"/>
      <x:c r="R249" s="17"/>
      <x:c r="S249" s="17"/>
      <x:c r="T249" s="35"/>
      <x:c r="U249" s="35"/>
      <x:c r="V249" s="37"/>
      <x:c r="W249" s="17"/>
      <x:c r="X249" s="17"/>
      <x:c r="Y249" s="17"/>
      <x:c r="Z249" s="37"/>
      <x:c r="AA249" s="35"/>
      <x:c r="AB249" s="37"/>
      <x:c r="AC249" s="17"/>
      <x:c r="AD249" s="38"/>
      <x:c r="AE249" s="37"/>
      <x:c r="AF249" s="17"/>
      <x:c r="AG249" s="17"/>
      <x:c r="AH249" s="17"/>
      <x:c r="AI249" s="17"/>
      <x:c r="AJ249" s="37"/>
      <x:c r="AK249" s="17"/>
      <x:c r="AL249" s="17"/>
      <x:c r="AM249" s="17"/>
      <x:c r="AN249" s="17"/>
      <x:c r="AO249" s="17"/>
      <x:c r="AP249" s="17"/>
      <x:c r="AQ249" s="39"/>
      <x:c r="AR249" s="17"/>
      <x:c r="AS249" s="17"/>
      <x:c r="AT249" s="40"/>
      <x:c r="AU249" s="41">
        <x:f t="shared" si="9"/>
      </x:c>
      <x:c r="AV249" s="42"/>
      <x:c r="AW249" s="19"/>
      <x:c r="AX249" s="19"/>
      <x:c r="AY249" s="19"/>
      <x:c r="AZ249" s="19"/>
      <x:c r="BA249" s="19"/>
      <x:c r="BB249" s="19"/>
      <x:c r="BC249" s="19"/>
      <x:c r="BD249" s="19"/>
      <x:c r="BE249"/>
      <x:c r="BF249"/>
    </x:row>
    <x:row r="250" ht="28" customHeight="1">
      <x:c r="A250" s="4"/>
      <x:c r="B250" s="15"/>
      <x:c r="C250" s="15"/>
      <x:c r="D250" s="15"/>
      <x:c r="E250" s="32"/>
      <x:c r="F250" s="17"/>
      <x:c r="G250" s="4">
        <x:f t="shared" si="8"/>
      </x:c>
      <x:c r="H250" s="33"/>
      <x:c r="I250" s="17"/>
      <x:c r="J250" s="34"/>
      <x:c r="K250" s="17"/>
      <x:c r="L250" s="17"/>
      <x:c r="M250" s="35"/>
      <x:c r="N250" s="35"/>
      <x:c r="O250" s="36"/>
      <x:c r="P250" s="37"/>
      <x:c r="Q250" s="17"/>
      <x:c r="R250" s="17"/>
      <x:c r="S250" s="17"/>
      <x:c r="T250" s="35"/>
      <x:c r="U250" s="35"/>
      <x:c r="V250" s="37"/>
      <x:c r="W250" s="17"/>
      <x:c r="X250" s="17"/>
      <x:c r="Y250" s="17"/>
      <x:c r="Z250" s="37"/>
      <x:c r="AA250" s="35"/>
      <x:c r="AB250" s="37"/>
      <x:c r="AC250" s="17"/>
      <x:c r="AD250" s="38"/>
      <x:c r="AE250" s="37"/>
      <x:c r="AF250" s="17"/>
      <x:c r="AG250" s="17"/>
      <x:c r="AH250" s="17"/>
      <x:c r="AI250" s="17"/>
      <x:c r="AJ250" s="37"/>
      <x:c r="AK250" s="17"/>
      <x:c r="AL250" s="17"/>
      <x:c r="AM250" s="17"/>
      <x:c r="AN250" s="17"/>
      <x:c r="AO250" s="17"/>
      <x:c r="AP250" s="17"/>
      <x:c r="AQ250" s="39"/>
      <x:c r="AR250" s="17"/>
      <x:c r="AS250" s="17"/>
      <x:c r="AT250" s="40"/>
      <x:c r="AU250" s="41">
        <x:f t="shared" si="9"/>
      </x:c>
      <x:c r="AV250" s="42"/>
      <x:c r="AW250" s="19"/>
      <x:c r="AX250" s="19"/>
      <x:c r="AY250" s="19"/>
      <x:c r="AZ250" s="19"/>
      <x:c r="BA250" s="19"/>
      <x:c r="BB250" s="19"/>
      <x:c r="BC250" s="19"/>
      <x:c r="BD250" s="19"/>
      <x:c r="BE250"/>
      <x:c r="BF250"/>
    </x:row>
    <x:row r="251" ht="28" customHeight="1">
      <x:c r="A251" s="4"/>
      <x:c r="B251" s="15"/>
      <x:c r="C251" s="15"/>
      <x:c r="D251" s="15"/>
      <x:c r="E251" s="32"/>
      <x:c r="F251" s="17"/>
      <x:c r="G251" s="4">
        <x:f t="shared" si="8"/>
      </x:c>
      <x:c r="H251" s="33"/>
      <x:c r="I251" s="17"/>
      <x:c r="J251" s="34"/>
      <x:c r="K251" s="17"/>
      <x:c r="L251" s="17"/>
      <x:c r="M251" s="35"/>
      <x:c r="N251" s="35"/>
      <x:c r="O251" s="36"/>
      <x:c r="P251" s="37"/>
      <x:c r="Q251" s="17"/>
      <x:c r="R251" s="17"/>
      <x:c r="S251" s="17"/>
      <x:c r="T251" s="35"/>
      <x:c r="U251" s="35"/>
      <x:c r="V251" s="37"/>
      <x:c r="W251" s="17"/>
      <x:c r="X251" s="17"/>
      <x:c r="Y251" s="17"/>
      <x:c r="Z251" s="37"/>
      <x:c r="AA251" s="35"/>
      <x:c r="AB251" s="37"/>
      <x:c r="AC251" s="17"/>
      <x:c r="AD251" s="38"/>
      <x:c r="AE251" s="37"/>
      <x:c r="AF251" s="17"/>
      <x:c r="AG251" s="17"/>
      <x:c r="AH251" s="17"/>
      <x:c r="AI251" s="17"/>
      <x:c r="AJ251" s="37"/>
      <x:c r="AK251" s="17"/>
      <x:c r="AL251" s="17"/>
      <x:c r="AM251" s="17"/>
      <x:c r="AN251" s="17"/>
      <x:c r="AO251" s="17"/>
      <x:c r="AP251" s="17"/>
      <x:c r="AQ251" s="39"/>
      <x:c r="AR251" s="17"/>
      <x:c r="AS251" s="17"/>
      <x:c r="AT251" s="40"/>
      <x:c r="AU251" s="41">
        <x:f t="shared" si="9"/>
      </x:c>
      <x:c r="AV251" s="42"/>
      <x:c r="AW251" s="19"/>
      <x:c r="AX251" s="19"/>
      <x:c r="AY251" s="19"/>
      <x:c r="AZ251" s="19"/>
      <x:c r="BA251" s="19"/>
      <x:c r="BB251" s="19"/>
      <x:c r="BC251" s="19"/>
      <x:c r="BD251" s="19"/>
      <x:c r="BE251"/>
      <x:c r="BF251"/>
    </x:row>
    <x:row r="252" ht="28" customHeight="1">
      <x:c r="A252" s="4"/>
      <x:c r="B252" s="15"/>
      <x:c r="C252" s="15"/>
      <x:c r="D252" s="15"/>
      <x:c r="E252" s="32"/>
      <x:c r="F252" s="17"/>
      <x:c r="G252" s="4">
        <x:f t="shared" si="8"/>
      </x:c>
      <x:c r="H252" s="33"/>
      <x:c r="I252" s="17"/>
      <x:c r="J252" s="34"/>
      <x:c r="K252" s="17"/>
      <x:c r="L252" s="17"/>
      <x:c r="M252" s="35"/>
      <x:c r="N252" s="35"/>
      <x:c r="O252" s="36"/>
      <x:c r="P252" s="37"/>
      <x:c r="Q252" s="17"/>
      <x:c r="R252" s="17"/>
      <x:c r="S252" s="17"/>
      <x:c r="T252" s="35"/>
      <x:c r="U252" s="35"/>
      <x:c r="V252" s="37"/>
      <x:c r="W252" s="17"/>
      <x:c r="X252" s="17"/>
      <x:c r="Y252" s="17"/>
      <x:c r="Z252" s="37"/>
      <x:c r="AA252" s="35"/>
      <x:c r="AB252" s="37"/>
      <x:c r="AC252" s="17"/>
      <x:c r="AD252" s="38"/>
      <x:c r="AE252" s="37"/>
      <x:c r="AF252" s="17"/>
      <x:c r="AG252" s="17"/>
      <x:c r="AH252" s="17"/>
      <x:c r="AI252" s="17"/>
      <x:c r="AJ252" s="37"/>
      <x:c r="AK252" s="17"/>
      <x:c r="AL252" s="17"/>
      <x:c r="AM252" s="17"/>
      <x:c r="AN252" s="17"/>
      <x:c r="AO252" s="17"/>
      <x:c r="AP252" s="17"/>
      <x:c r="AQ252" s="39"/>
      <x:c r="AR252" s="17"/>
      <x:c r="AS252" s="17"/>
      <x:c r="AT252" s="40"/>
      <x:c r="AU252" s="41">
        <x:f t="shared" si="9"/>
      </x:c>
      <x:c r="AV252" s="42"/>
      <x:c r="AW252" s="19"/>
      <x:c r="AX252" s="19"/>
      <x:c r="AY252" s="19"/>
      <x:c r="AZ252" s="19"/>
      <x:c r="BA252" s="19"/>
      <x:c r="BB252" s="19"/>
      <x:c r="BC252" s="19"/>
      <x:c r="BD252" s="19"/>
      <x:c r="BE252"/>
      <x:c r="BF252"/>
    </x:row>
    <x:row r="253" ht="28" customHeight="1">
      <x:c r="A253" s="4"/>
      <x:c r="B253" s="15"/>
      <x:c r="C253" s="15"/>
      <x:c r="D253" s="15"/>
      <x:c r="E253" s="32"/>
      <x:c r="F253" s="17"/>
      <x:c r="G253" s="4">
        <x:f t="shared" si="8"/>
      </x:c>
      <x:c r="H253" s="33"/>
      <x:c r="I253" s="17"/>
      <x:c r="J253" s="34"/>
      <x:c r="K253" s="17"/>
      <x:c r="L253" s="17"/>
      <x:c r="M253" s="35"/>
      <x:c r="N253" s="35"/>
      <x:c r="O253" s="36"/>
      <x:c r="P253" s="37"/>
      <x:c r="Q253" s="17"/>
      <x:c r="R253" s="17"/>
      <x:c r="S253" s="17"/>
      <x:c r="T253" s="35"/>
      <x:c r="U253" s="35"/>
      <x:c r="V253" s="37"/>
      <x:c r="W253" s="17"/>
      <x:c r="X253" s="17"/>
      <x:c r="Y253" s="17"/>
      <x:c r="Z253" s="37"/>
      <x:c r="AA253" s="35"/>
      <x:c r="AB253" s="37"/>
      <x:c r="AC253" s="17"/>
      <x:c r="AD253" s="38"/>
      <x:c r="AE253" s="37"/>
      <x:c r="AF253" s="17"/>
      <x:c r="AG253" s="17"/>
      <x:c r="AH253" s="17"/>
      <x:c r="AI253" s="17"/>
      <x:c r="AJ253" s="37"/>
      <x:c r="AK253" s="17"/>
      <x:c r="AL253" s="17"/>
      <x:c r="AM253" s="17"/>
      <x:c r="AN253" s="17"/>
      <x:c r="AO253" s="17"/>
      <x:c r="AP253" s="17"/>
      <x:c r="AQ253" s="39"/>
      <x:c r="AR253" s="17"/>
      <x:c r="AS253" s="17"/>
      <x:c r="AT253" s="40"/>
      <x:c r="AU253" s="41">
        <x:f t="shared" si="9"/>
      </x:c>
      <x:c r="AV253" s="42"/>
      <x:c r="AW253" s="19"/>
      <x:c r="AX253" s="19"/>
      <x:c r="AY253" s="19"/>
      <x:c r="AZ253" s="19"/>
      <x:c r="BA253" s="19"/>
      <x:c r="BB253" s="19"/>
      <x:c r="BC253" s="19"/>
      <x:c r="BD253" s="19"/>
      <x:c r="BE253"/>
      <x:c r="BF253"/>
    </x:row>
    <x:row r="254" ht="28" customHeight="1">
      <x:c r="A254" s="4"/>
      <x:c r="B254" s="15"/>
      <x:c r="C254" s="15"/>
      <x:c r="D254" s="15"/>
      <x:c r="E254" s="32"/>
      <x:c r="F254" s="17"/>
      <x:c r="G254" s="4">
        <x:f t="shared" si="8"/>
      </x:c>
      <x:c r="H254" s="33"/>
      <x:c r="I254" s="17"/>
      <x:c r="J254" s="34"/>
      <x:c r="K254" s="17"/>
      <x:c r="L254" s="17"/>
      <x:c r="M254" s="35"/>
      <x:c r="N254" s="35"/>
      <x:c r="O254" s="36"/>
      <x:c r="P254" s="37"/>
      <x:c r="Q254" s="17"/>
      <x:c r="R254" s="17"/>
      <x:c r="S254" s="17"/>
      <x:c r="T254" s="35"/>
      <x:c r="U254" s="35"/>
      <x:c r="V254" s="37"/>
      <x:c r="W254" s="17"/>
      <x:c r="X254" s="17"/>
      <x:c r="Y254" s="17"/>
      <x:c r="Z254" s="37"/>
      <x:c r="AA254" s="35"/>
      <x:c r="AB254" s="37"/>
      <x:c r="AC254" s="17"/>
      <x:c r="AD254" s="38"/>
      <x:c r="AE254" s="37"/>
      <x:c r="AF254" s="17"/>
      <x:c r="AG254" s="17"/>
      <x:c r="AH254" s="17"/>
      <x:c r="AI254" s="17"/>
      <x:c r="AJ254" s="37"/>
      <x:c r="AK254" s="17"/>
      <x:c r="AL254" s="17"/>
      <x:c r="AM254" s="17"/>
      <x:c r="AN254" s="17"/>
      <x:c r="AO254" s="17"/>
      <x:c r="AP254" s="17"/>
      <x:c r="AQ254" s="39"/>
      <x:c r="AR254" s="17"/>
      <x:c r="AS254" s="17"/>
      <x:c r="AT254" s="40"/>
      <x:c r="AU254" s="41">
        <x:f t="shared" si="9"/>
      </x:c>
      <x:c r="AV254" s="42"/>
      <x:c r="AW254" s="19"/>
      <x:c r="AX254" s="19"/>
      <x:c r="AY254" s="19"/>
      <x:c r="AZ254" s="19"/>
      <x:c r="BA254" s="19"/>
      <x:c r="BB254" s="19"/>
      <x:c r="BC254" s="19"/>
      <x:c r="BD254" s="19"/>
      <x:c r="BE254"/>
      <x:c r="BF254"/>
    </x:row>
    <x:row r="255" ht="28" customHeight="1">
      <x:c r="A255" s="4"/>
      <x:c r="B255" s="15"/>
      <x:c r="C255" s="15"/>
      <x:c r="D255" s="15"/>
      <x:c r="E255" s="32"/>
      <x:c r="F255" s="17"/>
      <x:c r="G255" s="4">
        <x:f t="shared" si="8"/>
      </x:c>
      <x:c r="H255" s="33"/>
      <x:c r="I255" s="17"/>
      <x:c r="J255" s="34"/>
      <x:c r="K255" s="17"/>
      <x:c r="L255" s="17"/>
      <x:c r="M255" s="35"/>
      <x:c r="N255" s="35"/>
      <x:c r="O255" s="36"/>
      <x:c r="P255" s="37"/>
      <x:c r="Q255" s="17"/>
      <x:c r="R255" s="17"/>
      <x:c r="S255" s="17"/>
      <x:c r="T255" s="35"/>
      <x:c r="U255" s="35"/>
      <x:c r="V255" s="37"/>
      <x:c r="W255" s="17"/>
      <x:c r="X255" s="17"/>
      <x:c r="Y255" s="17"/>
      <x:c r="Z255" s="37"/>
      <x:c r="AA255" s="35"/>
      <x:c r="AB255" s="37"/>
      <x:c r="AC255" s="17"/>
      <x:c r="AD255" s="38"/>
      <x:c r="AE255" s="37"/>
      <x:c r="AF255" s="17"/>
      <x:c r="AG255" s="17"/>
      <x:c r="AH255" s="17"/>
      <x:c r="AI255" s="17"/>
      <x:c r="AJ255" s="37"/>
      <x:c r="AK255" s="17"/>
      <x:c r="AL255" s="17"/>
      <x:c r="AM255" s="17"/>
      <x:c r="AN255" s="17"/>
      <x:c r="AO255" s="17"/>
      <x:c r="AP255" s="17"/>
      <x:c r="AQ255" s="39"/>
      <x:c r="AR255" s="17"/>
      <x:c r="AS255" s="17"/>
      <x:c r="AT255" s="40"/>
      <x:c r="AU255" s="41">
        <x:f t="shared" si="9"/>
      </x:c>
      <x:c r="AV255" s="42"/>
      <x:c r="AW255" s="19"/>
      <x:c r="AX255" s="19"/>
      <x:c r="AY255" s="19"/>
      <x:c r="AZ255" s="19"/>
      <x:c r="BA255" s="19"/>
      <x:c r="BB255" s="19"/>
      <x:c r="BC255" s="19"/>
      <x:c r="BD255" s="19"/>
      <x:c r="BE255"/>
      <x:c r="BF255"/>
    </x:row>
    <x:row r="256" ht="28" customHeight="1">
      <x:c r="A256" s="4"/>
      <x:c r="B256" s="15"/>
      <x:c r="C256" s="15"/>
      <x:c r="D256" s="15"/>
      <x:c r="E256" s="32"/>
      <x:c r="F256" s="17"/>
      <x:c r="G256" s="4">
        <x:f t="shared" si="8"/>
      </x:c>
      <x:c r="H256" s="33"/>
      <x:c r="I256" s="17"/>
      <x:c r="J256" s="34"/>
      <x:c r="K256" s="17"/>
      <x:c r="L256" s="17"/>
      <x:c r="M256" s="35"/>
      <x:c r="N256" s="35"/>
      <x:c r="O256" s="36"/>
      <x:c r="P256" s="37"/>
      <x:c r="Q256" s="17"/>
      <x:c r="R256" s="17"/>
      <x:c r="S256" s="17"/>
      <x:c r="T256" s="35"/>
      <x:c r="U256" s="35"/>
      <x:c r="V256" s="37"/>
      <x:c r="W256" s="17"/>
      <x:c r="X256" s="17"/>
      <x:c r="Y256" s="17"/>
      <x:c r="Z256" s="37"/>
      <x:c r="AA256" s="35"/>
      <x:c r="AB256" s="37"/>
      <x:c r="AC256" s="17"/>
      <x:c r="AD256" s="38"/>
      <x:c r="AE256" s="37"/>
      <x:c r="AF256" s="17"/>
      <x:c r="AG256" s="17"/>
      <x:c r="AH256" s="17"/>
      <x:c r="AI256" s="17"/>
      <x:c r="AJ256" s="37"/>
      <x:c r="AK256" s="17"/>
      <x:c r="AL256" s="17"/>
      <x:c r="AM256" s="17"/>
      <x:c r="AN256" s="17"/>
      <x:c r="AO256" s="17"/>
      <x:c r="AP256" s="17"/>
      <x:c r="AQ256" s="39"/>
      <x:c r="AR256" s="17"/>
      <x:c r="AS256" s="17"/>
      <x:c r="AT256" s="40"/>
      <x:c r="AU256" s="41">
        <x:f t="shared" si="9"/>
      </x:c>
      <x:c r="AV256" s="42"/>
      <x:c r="AW256" s="19"/>
      <x:c r="AX256" s="19"/>
      <x:c r="AY256" s="19"/>
      <x:c r="AZ256" s="19"/>
      <x:c r="BA256" s="19"/>
      <x:c r="BB256" s="19"/>
      <x:c r="BC256" s="19"/>
      <x:c r="BD256" s="19"/>
      <x:c r="BE256"/>
      <x:c r="BF256"/>
    </x:row>
    <x:row r="257" ht="28" customHeight="1">
      <x:c r="A257" s="4"/>
      <x:c r="B257" s="15"/>
      <x:c r="C257" s="15"/>
      <x:c r="D257" s="15"/>
      <x:c r="E257" s="32"/>
      <x:c r="F257" s="17"/>
      <x:c r="G257" s="4">
        <x:f t="shared" si="8"/>
      </x:c>
      <x:c r="H257" s="33"/>
      <x:c r="I257" s="17"/>
      <x:c r="J257" s="34"/>
      <x:c r="K257" s="17"/>
      <x:c r="L257" s="17"/>
      <x:c r="M257" s="35"/>
      <x:c r="N257" s="35"/>
      <x:c r="O257" s="36"/>
      <x:c r="P257" s="37"/>
      <x:c r="Q257" s="17"/>
      <x:c r="R257" s="17"/>
      <x:c r="S257" s="17"/>
      <x:c r="T257" s="35"/>
      <x:c r="U257" s="35"/>
      <x:c r="V257" s="37"/>
      <x:c r="W257" s="17"/>
      <x:c r="X257" s="17"/>
      <x:c r="Y257" s="17"/>
      <x:c r="Z257" s="37"/>
      <x:c r="AA257" s="35"/>
      <x:c r="AB257" s="37"/>
      <x:c r="AC257" s="17"/>
      <x:c r="AD257" s="38"/>
      <x:c r="AE257" s="37"/>
      <x:c r="AF257" s="17"/>
      <x:c r="AG257" s="17"/>
      <x:c r="AH257" s="17"/>
      <x:c r="AI257" s="17"/>
      <x:c r="AJ257" s="37"/>
      <x:c r="AK257" s="17"/>
      <x:c r="AL257" s="17"/>
      <x:c r="AM257" s="17"/>
      <x:c r="AN257" s="17"/>
      <x:c r="AO257" s="17"/>
      <x:c r="AP257" s="17"/>
      <x:c r="AQ257" s="39"/>
      <x:c r="AR257" s="17"/>
      <x:c r="AS257" s="17"/>
      <x:c r="AT257" s="40"/>
      <x:c r="AU257" s="41">
        <x:f t="shared" si="9"/>
      </x:c>
      <x:c r="AV257" s="42"/>
      <x:c r="AW257" s="19"/>
      <x:c r="AX257" s="19"/>
      <x:c r="AY257" s="19"/>
      <x:c r="AZ257" s="19"/>
      <x:c r="BA257" s="19"/>
      <x:c r="BB257" s="19"/>
      <x:c r="BC257" s="19"/>
      <x:c r="BD257" s="19"/>
      <x:c r="BE257"/>
      <x:c r="BF257"/>
    </x:row>
    <x:row r="258" ht="28" customHeight="1">
      <x:c r="A258" s="4"/>
      <x:c r="B258" s="15"/>
      <x:c r="C258" s="15"/>
      <x:c r="D258" s="15"/>
      <x:c r="E258" s="32"/>
      <x:c r="F258" s="17"/>
      <x:c r="G258" s="4">
        <x:f t="shared" si="8"/>
      </x:c>
      <x:c r="H258" s="33"/>
      <x:c r="I258" s="17"/>
      <x:c r="J258" s="34"/>
      <x:c r="K258" s="17"/>
      <x:c r="L258" s="17"/>
      <x:c r="M258" s="35"/>
      <x:c r="N258" s="35"/>
      <x:c r="O258" s="36"/>
      <x:c r="P258" s="37"/>
      <x:c r="Q258" s="17"/>
      <x:c r="R258" s="17"/>
      <x:c r="S258" s="17"/>
      <x:c r="T258" s="35"/>
      <x:c r="U258" s="35"/>
      <x:c r="V258" s="37"/>
      <x:c r="W258" s="17"/>
      <x:c r="X258" s="17"/>
      <x:c r="Y258" s="17"/>
      <x:c r="Z258" s="37"/>
      <x:c r="AA258" s="35"/>
      <x:c r="AB258" s="37"/>
      <x:c r="AC258" s="17"/>
      <x:c r="AD258" s="38"/>
      <x:c r="AE258" s="37"/>
      <x:c r="AF258" s="17"/>
      <x:c r="AG258" s="17"/>
      <x:c r="AH258" s="17"/>
      <x:c r="AI258" s="17"/>
      <x:c r="AJ258" s="37"/>
      <x:c r="AK258" s="17"/>
      <x:c r="AL258" s="17"/>
      <x:c r="AM258" s="17"/>
      <x:c r="AN258" s="17"/>
      <x:c r="AO258" s="17"/>
      <x:c r="AP258" s="17"/>
      <x:c r="AQ258" s="39"/>
      <x:c r="AR258" s="17"/>
      <x:c r="AS258" s="17"/>
      <x:c r="AT258" s="40"/>
      <x:c r="AU258" s="41">
        <x:f t="shared" si="9"/>
      </x:c>
      <x:c r="AV258" s="42"/>
      <x:c r="AW258" s="19"/>
      <x:c r="AX258" s="19"/>
      <x:c r="AY258" s="19"/>
      <x:c r="AZ258" s="19"/>
      <x:c r="BA258" s="19"/>
      <x:c r="BB258" s="19"/>
      <x:c r="BC258" s="19"/>
      <x:c r="BD258" s="19"/>
      <x:c r="BE258"/>
      <x:c r="BF258"/>
    </x:row>
    <x:row r="259" ht="28" customHeight="1">
      <x:c r="A259" s="4"/>
      <x:c r="B259" s="15"/>
      <x:c r="C259" s="15"/>
      <x:c r="D259" s="15"/>
      <x:c r="E259" s="32"/>
      <x:c r="F259" s="17"/>
      <x:c r="G259" s="4">
        <x:f t="shared" si="8"/>
      </x:c>
      <x:c r="H259" s="33"/>
      <x:c r="I259" s="17"/>
      <x:c r="J259" s="34"/>
      <x:c r="K259" s="17"/>
      <x:c r="L259" s="17"/>
      <x:c r="M259" s="35"/>
      <x:c r="N259" s="35"/>
      <x:c r="O259" s="36"/>
      <x:c r="P259" s="37"/>
      <x:c r="Q259" s="17"/>
      <x:c r="R259" s="17"/>
      <x:c r="S259" s="17"/>
      <x:c r="T259" s="35"/>
      <x:c r="U259" s="35"/>
      <x:c r="V259" s="37"/>
      <x:c r="W259" s="17"/>
      <x:c r="X259" s="17"/>
      <x:c r="Y259" s="17"/>
      <x:c r="Z259" s="37"/>
      <x:c r="AA259" s="35"/>
      <x:c r="AB259" s="37"/>
      <x:c r="AC259" s="17"/>
      <x:c r="AD259" s="38"/>
      <x:c r="AE259" s="37"/>
      <x:c r="AF259" s="17"/>
      <x:c r="AG259" s="17"/>
      <x:c r="AH259" s="17"/>
      <x:c r="AI259" s="17"/>
      <x:c r="AJ259" s="37"/>
      <x:c r="AK259" s="17"/>
      <x:c r="AL259" s="17"/>
      <x:c r="AM259" s="17"/>
      <x:c r="AN259" s="17"/>
      <x:c r="AO259" s="17"/>
      <x:c r="AP259" s="17"/>
      <x:c r="AQ259" s="39"/>
      <x:c r="AR259" s="17"/>
      <x:c r="AS259" s="17"/>
      <x:c r="AT259" s="40"/>
      <x:c r="AU259" s="41">
        <x:f t="shared" si="9"/>
      </x:c>
      <x:c r="AV259" s="42"/>
      <x:c r="AW259" s="19"/>
      <x:c r="AX259" s="19"/>
      <x:c r="AY259" s="19"/>
      <x:c r="AZ259" s="19"/>
      <x:c r="BA259" s="19"/>
      <x:c r="BB259" s="19"/>
      <x:c r="BC259" s="19"/>
      <x:c r="BD259" s="19"/>
      <x:c r="BE259"/>
      <x:c r="BF259"/>
    </x:row>
    <x:row r="260" ht="28" customHeight="1">
      <x:c r="A260" s="4"/>
      <x:c r="B260" s="15"/>
      <x:c r="C260" s="15"/>
      <x:c r="D260" s="15"/>
      <x:c r="E260" s="32"/>
      <x:c r="F260" s="17"/>
      <x:c r="G260" s="4">
        <x:f t="shared" si="8"/>
      </x:c>
      <x:c r="H260" s="33"/>
      <x:c r="I260" s="17"/>
      <x:c r="J260" s="34"/>
      <x:c r="K260" s="17"/>
      <x:c r="L260" s="17"/>
      <x:c r="M260" s="35"/>
      <x:c r="N260" s="35"/>
      <x:c r="O260" s="36"/>
      <x:c r="P260" s="37"/>
      <x:c r="Q260" s="17"/>
      <x:c r="R260" s="17"/>
      <x:c r="S260" s="17"/>
      <x:c r="T260" s="35"/>
      <x:c r="U260" s="35"/>
      <x:c r="V260" s="37"/>
      <x:c r="W260" s="17"/>
      <x:c r="X260" s="17"/>
      <x:c r="Y260" s="17"/>
      <x:c r="Z260" s="37"/>
      <x:c r="AA260" s="35"/>
      <x:c r="AB260" s="37"/>
      <x:c r="AC260" s="17"/>
      <x:c r="AD260" s="38"/>
      <x:c r="AE260" s="37"/>
      <x:c r="AF260" s="17"/>
      <x:c r="AG260" s="17"/>
      <x:c r="AH260" s="17"/>
      <x:c r="AI260" s="17"/>
      <x:c r="AJ260" s="37"/>
      <x:c r="AK260" s="17"/>
      <x:c r="AL260" s="17"/>
      <x:c r="AM260" s="17"/>
      <x:c r="AN260" s="17"/>
      <x:c r="AO260" s="17"/>
      <x:c r="AP260" s="17"/>
      <x:c r="AQ260" s="39"/>
      <x:c r="AR260" s="17"/>
      <x:c r="AS260" s="17"/>
      <x:c r="AT260" s="40"/>
      <x:c r="AU260" s="41">
        <x:f t="shared" si="9"/>
      </x:c>
      <x:c r="AV260" s="42"/>
      <x:c r="AW260" s="19"/>
      <x:c r="AX260" s="19"/>
      <x:c r="AY260" s="19"/>
      <x:c r="AZ260" s="19"/>
      <x:c r="BA260" s="19"/>
      <x:c r="BB260" s="19"/>
      <x:c r="BC260" s="19"/>
      <x:c r="BD260" s="19"/>
      <x:c r="BE260"/>
      <x:c r="BF260"/>
    </x:row>
    <x:row r="261" ht="28" customHeight="1">
      <x:c r="A261" s="4"/>
      <x:c r="B261" s="15"/>
      <x:c r="C261" s="15"/>
      <x:c r="D261" s="15"/>
      <x:c r="E261" s="32"/>
      <x:c r="F261" s="17"/>
      <x:c r="G261" s="4">
        <x:f t="shared" si="8"/>
      </x:c>
      <x:c r="H261" s="33"/>
      <x:c r="I261" s="17"/>
      <x:c r="J261" s="34"/>
      <x:c r="K261" s="17"/>
      <x:c r="L261" s="17"/>
      <x:c r="M261" s="35"/>
      <x:c r="N261" s="35"/>
      <x:c r="O261" s="36"/>
      <x:c r="P261" s="37"/>
      <x:c r="Q261" s="17"/>
      <x:c r="R261" s="17"/>
      <x:c r="S261" s="17"/>
      <x:c r="T261" s="35"/>
      <x:c r="U261" s="35"/>
      <x:c r="V261" s="37"/>
      <x:c r="W261" s="17"/>
      <x:c r="X261" s="17"/>
      <x:c r="Y261" s="17"/>
      <x:c r="Z261" s="37"/>
      <x:c r="AA261" s="35"/>
      <x:c r="AB261" s="37"/>
      <x:c r="AC261" s="17"/>
      <x:c r="AD261" s="38"/>
      <x:c r="AE261" s="37"/>
      <x:c r="AF261" s="17"/>
      <x:c r="AG261" s="17"/>
      <x:c r="AH261" s="17"/>
      <x:c r="AI261" s="17"/>
      <x:c r="AJ261" s="37"/>
      <x:c r="AK261" s="17"/>
      <x:c r="AL261" s="17"/>
      <x:c r="AM261" s="17"/>
      <x:c r="AN261" s="17"/>
      <x:c r="AO261" s="17"/>
      <x:c r="AP261" s="17"/>
      <x:c r="AQ261" s="39"/>
      <x:c r="AR261" s="17"/>
      <x:c r="AS261" s="17"/>
      <x:c r="AT261" s="40"/>
      <x:c r="AU261" s="41">
        <x:f t="shared" si="9"/>
      </x:c>
      <x:c r="AV261" s="42"/>
      <x:c r="AW261" s="19"/>
      <x:c r="AX261" s="19"/>
      <x:c r="AY261" s="19"/>
      <x:c r="AZ261" s="19"/>
      <x:c r="BA261" s="19"/>
      <x:c r="BB261" s="19"/>
      <x:c r="BC261" s="19"/>
      <x:c r="BD261" s="19"/>
      <x:c r="BE261"/>
      <x:c r="BF261"/>
    </x:row>
    <x:row r="262" ht="28" customHeight="1">
      <x:c r="A262" s="4"/>
      <x:c r="B262" s="15"/>
      <x:c r="C262" s="15"/>
      <x:c r="D262" s="15"/>
      <x:c r="E262" s="32"/>
      <x:c r="F262" s="17"/>
      <x:c r="G262" s="4">
        <x:f t="shared" si="8"/>
      </x:c>
      <x:c r="H262" s="33"/>
      <x:c r="I262" s="17"/>
      <x:c r="J262" s="34"/>
      <x:c r="K262" s="17"/>
      <x:c r="L262" s="17"/>
      <x:c r="M262" s="35"/>
      <x:c r="N262" s="35"/>
      <x:c r="O262" s="36"/>
      <x:c r="P262" s="37"/>
      <x:c r="Q262" s="17"/>
      <x:c r="R262" s="17"/>
      <x:c r="S262" s="17"/>
      <x:c r="T262" s="35"/>
      <x:c r="U262" s="35"/>
      <x:c r="V262" s="37"/>
      <x:c r="W262" s="17"/>
      <x:c r="X262" s="17"/>
      <x:c r="Y262" s="17"/>
      <x:c r="Z262" s="37"/>
      <x:c r="AA262" s="35"/>
      <x:c r="AB262" s="37"/>
      <x:c r="AC262" s="17"/>
      <x:c r="AD262" s="38"/>
      <x:c r="AE262" s="37"/>
      <x:c r="AF262" s="17"/>
      <x:c r="AG262" s="17"/>
      <x:c r="AH262" s="17"/>
      <x:c r="AI262" s="17"/>
      <x:c r="AJ262" s="37"/>
      <x:c r="AK262" s="17"/>
      <x:c r="AL262" s="17"/>
      <x:c r="AM262" s="17"/>
      <x:c r="AN262" s="17"/>
      <x:c r="AO262" s="17"/>
      <x:c r="AP262" s="17"/>
      <x:c r="AQ262" s="39"/>
      <x:c r="AR262" s="17"/>
      <x:c r="AS262" s="17"/>
      <x:c r="AT262" s="40"/>
      <x:c r="AU262" s="41">
        <x:f t="shared" si="9"/>
      </x:c>
      <x:c r="AV262" s="42"/>
      <x:c r="AW262" s="19"/>
      <x:c r="AX262" s="19"/>
      <x:c r="AY262" s="19"/>
      <x:c r="AZ262" s="19"/>
      <x:c r="BA262" s="19"/>
      <x:c r="BB262" s="19"/>
      <x:c r="BC262" s="19"/>
      <x:c r="BD262" s="19"/>
      <x:c r="BE262"/>
      <x:c r="BF262"/>
    </x:row>
    <x:row r="263" ht="28" customHeight="1">
      <x:c r="A263" s="4"/>
      <x:c r="B263" s="15"/>
      <x:c r="C263" s="15"/>
      <x:c r="D263" s="15"/>
      <x:c r="E263" s="32"/>
      <x:c r="F263" s="17"/>
      <x:c r="G263" s="4">
        <x:f t="shared" si="8"/>
      </x:c>
      <x:c r="H263" s="33"/>
      <x:c r="I263" s="17"/>
      <x:c r="J263" s="34"/>
      <x:c r="K263" s="17"/>
      <x:c r="L263" s="17"/>
      <x:c r="M263" s="35"/>
      <x:c r="N263" s="35"/>
      <x:c r="O263" s="36"/>
      <x:c r="P263" s="37"/>
      <x:c r="Q263" s="17"/>
      <x:c r="R263" s="17"/>
      <x:c r="S263" s="17"/>
      <x:c r="T263" s="35"/>
      <x:c r="U263" s="35"/>
      <x:c r="V263" s="37"/>
      <x:c r="W263" s="17"/>
      <x:c r="X263" s="17"/>
      <x:c r="Y263" s="17"/>
      <x:c r="Z263" s="37"/>
      <x:c r="AA263" s="35"/>
      <x:c r="AB263" s="37"/>
      <x:c r="AC263" s="17"/>
      <x:c r="AD263" s="38"/>
      <x:c r="AE263" s="37"/>
      <x:c r="AF263" s="17"/>
      <x:c r="AG263" s="17"/>
      <x:c r="AH263" s="17"/>
      <x:c r="AI263" s="17"/>
      <x:c r="AJ263" s="37"/>
      <x:c r="AK263" s="17"/>
      <x:c r="AL263" s="17"/>
      <x:c r="AM263" s="17"/>
      <x:c r="AN263" s="17"/>
      <x:c r="AO263" s="17"/>
      <x:c r="AP263" s="17"/>
      <x:c r="AQ263" s="39"/>
      <x:c r="AR263" s="17"/>
      <x:c r="AS263" s="17"/>
      <x:c r="AT263" s="40"/>
      <x:c r="AU263" s="41">
        <x:f t="shared" si="9"/>
      </x:c>
      <x:c r="AV263" s="42"/>
      <x:c r="AW263" s="19"/>
      <x:c r="AX263" s="19"/>
      <x:c r="AY263" s="19"/>
      <x:c r="AZ263" s="19"/>
      <x:c r="BA263" s="19"/>
      <x:c r="BB263" s="19"/>
      <x:c r="BC263" s="19"/>
      <x:c r="BD263" s="19"/>
      <x:c r="BE263"/>
      <x:c r="BF263"/>
    </x:row>
    <x:row r="264" ht="28" customHeight="1">
      <x:c r="A264" s="4"/>
      <x:c r="B264" s="15"/>
      <x:c r="C264" s="15"/>
      <x:c r="D264" s="15"/>
      <x:c r="E264" s="32"/>
      <x:c r="F264" s="17"/>
      <x:c r="G264" s="4">
        <x:f t="shared" si="8"/>
      </x:c>
      <x:c r="H264" s="33"/>
      <x:c r="I264" s="17"/>
      <x:c r="J264" s="34"/>
      <x:c r="K264" s="17"/>
      <x:c r="L264" s="17"/>
      <x:c r="M264" s="35"/>
      <x:c r="N264" s="35"/>
      <x:c r="O264" s="36"/>
      <x:c r="P264" s="37"/>
      <x:c r="Q264" s="17"/>
      <x:c r="R264" s="17"/>
      <x:c r="S264" s="17"/>
      <x:c r="T264" s="35"/>
      <x:c r="U264" s="35"/>
      <x:c r="V264" s="37"/>
      <x:c r="W264" s="17"/>
      <x:c r="X264" s="17"/>
      <x:c r="Y264" s="17"/>
      <x:c r="Z264" s="37"/>
      <x:c r="AA264" s="35"/>
      <x:c r="AB264" s="37"/>
      <x:c r="AC264" s="17"/>
      <x:c r="AD264" s="38"/>
      <x:c r="AE264" s="37"/>
      <x:c r="AF264" s="17"/>
      <x:c r="AG264" s="17"/>
      <x:c r="AH264" s="17"/>
      <x:c r="AI264" s="17"/>
      <x:c r="AJ264" s="37"/>
      <x:c r="AK264" s="17"/>
      <x:c r="AL264" s="17"/>
      <x:c r="AM264" s="17"/>
      <x:c r="AN264" s="17"/>
      <x:c r="AO264" s="17"/>
      <x:c r="AP264" s="17"/>
      <x:c r="AQ264" s="39"/>
      <x:c r="AR264" s="17"/>
      <x:c r="AS264" s="17"/>
      <x:c r="AT264" s="40"/>
      <x:c r="AU264" s="41">
        <x:f t="shared" si="9"/>
      </x:c>
      <x:c r="AV264" s="42"/>
      <x:c r="AW264" s="19"/>
      <x:c r="AX264" s="19"/>
      <x:c r="AY264" s="19"/>
      <x:c r="AZ264" s="19"/>
      <x:c r="BA264" s="19"/>
      <x:c r="BB264" s="19"/>
      <x:c r="BC264" s="19"/>
      <x:c r="BD264" s="19"/>
      <x:c r="BE264"/>
      <x:c r="BF264"/>
    </x:row>
    <x:row r="265" ht="28" customHeight="1">
      <x:c r="A265" s="4"/>
      <x:c r="B265" s="15"/>
      <x:c r="C265" s="15"/>
      <x:c r="D265" s="15"/>
      <x:c r="E265" s="32"/>
      <x:c r="F265" s="17"/>
      <x:c r="G265" s="4">
        <x:f t="shared" si="8"/>
      </x:c>
      <x:c r="H265" s="33"/>
      <x:c r="I265" s="17"/>
      <x:c r="J265" s="34"/>
      <x:c r="K265" s="17"/>
      <x:c r="L265" s="17"/>
      <x:c r="M265" s="35"/>
      <x:c r="N265" s="35"/>
      <x:c r="O265" s="36"/>
      <x:c r="P265" s="37"/>
      <x:c r="Q265" s="17"/>
      <x:c r="R265" s="17"/>
      <x:c r="S265" s="17"/>
      <x:c r="T265" s="35"/>
      <x:c r="U265" s="35"/>
      <x:c r="V265" s="37"/>
      <x:c r="W265" s="17"/>
      <x:c r="X265" s="17"/>
      <x:c r="Y265" s="17"/>
      <x:c r="Z265" s="37"/>
      <x:c r="AA265" s="35"/>
      <x:c r="AB265" s="37"/>
      <x:c r="AC265" s="17"/>
      <x:c r="AD265" s="38"/>
      <x:c r="AE265" s="37"/>
      <x:c r="AF265" s="17"/>
      <x:c r="AG265" s="17"/>
      <x:c r="AH265" s="17"/>
      <x:c r="AI265" s="17"/>
      <x:c r="AJ265" s="37"/>
      <x:c r="AK265" s="17"/>
      <x:c r="AL265" s="17"/>
      <x:c r="AM265" s="17"/>
      <x:c r="AN265" s="17"/>
      <x:c r="AO265" s="17"/>
      <x:c r="AP265" s="17"/>
      <x:c r="AQ265" s="39"/>
      <x:c r="AR265" s="17"/>
      <x:c r="AS265" s="17"/>
      <x:c r="AT265" s="40"/>
      <x:c r="AU265" s="41">
        <x:f t="shared" si="9"/>
      </x:c>
      <x:c r="AV265" s="42"/>
      <x:c r="AW265" s="19"/>
      <x:c r="AX265" s="19"/>
      <x:c r="AY265" s="19"/>
      <x:c r="AZ265" s="19"/>
      <x:c r="BA265" s="19"/>
      <x:c r="BB265" s="19"/>
      <x:c r="BC265" s="19"/>
      <x:c r="BD265" s="19"/>
      <x:c r="BE265"/>
      <x:c r="BF265"/>
    </x:row>
    <x:row r="266" ht="28" customHeight="1">
      <x:c r="A266" s="4"/>
      <x:c r="B266" s="15"/>
      <x:c r="C266" s="15"/>
      <x:c r="D266" s="15"/>
      <x:c r="E266" s="32"/>
      <x:c r="F266" s="17"/>
      <x:c r="G266" s="4">
        <x:f t="shared" si="8"/>
      </x:c>
      <x:c r="H266" s="33"/>
      <x:c r="I266" s="17"/>
      <x:c r="J266" s="34"/>
      <x:c r="K266" s="17"/>
      <x:c r="L266" s="17"/>
      <x:c r="M266" s="35"/>
      <x:c r="N266" s="35"/>
      <x:c r="O266" s="36"/>
      <x:c r="P266" s="37"/>
      <x:c r="Q266" s="17"/>
      <x:c r="R266" s="17"/>
      <x:c r="S266" s="17"/>
      <x:c r="T266" s="35"/>
      <x:c r="U266" s="35"/>
      <x:c r="V266" s="37"/>
      <x:c r="W266" s="17"/>
      <x:c r="X266" s="17"/>
      <x:c r="Y266" s="17"/>
      <x:c r="Z266" s="37"/>
      <x:c r="AA266" s="35"/>
      <x:c r="AB266" s="37"/>
      <x:c r="AC266" s="17"/>
      <x:c r="AD266" s="38"/>
      <x:c r="AE266" s="37"/>
      <x:c r="AF266" s="17"/>
      <x:c r="AG266" s="17"/>
      <x:c r="AH266" s="17"/>
      <x:c r="AI266" s="17"/>
      <x:c r="AJ266" s="37"/>
      <x:c r="AK266" s="17"/>
      <x:c r="AL266" s="17"/>
      <x:c r="AM266" s="17"/>
      <x:c r="AN266" s="17"/>
      <x:c r="AO266" s="17"/>
      <x:c r="AP266" s="17"/>
      <x:c r="AQ266" s="39"/>
      <x:c r="AR266" s="17"/>
      <x:c r="AS266" s="17"/>
      <x:c r="AT266" s="40"/>
      <x:c r="AU266" s="41">
        <x:f t="shared" si="9"/>
      </x:c>
      <x:c r="AV266" s="42"/>
      <x:c r="AW266" s="19"/>
      <x:c r="AX266" s="19"/>
      <x:c r="AY266" s="19"/>
      <x:c r="AZ266" s="19"/>
      <x:c r="BA266" s="19"/>
      <x:c r="BB266" s="19"/>
      <x:c r="BC266" s="19"/>
      <x:c r="BD266" s="19"/>
      <x:c r="BE266"/>
      <x:c r="BF266"/>
    </x:row>
    <x:row r="267" ht="28" customHeight="1">
      <x:c r="A267" s="4"/>
      <x:c r="B267" s="15"/>
      <x:c r="C267" s="15"/>
      <x:c r="D267" s="15"/>
      <x:c r="E267" s="32"/>
      <x:c r="F267" s="17"/>
      <x:c r="G267" s="4">
        <x:f t="shared" si="8"/>
      </x:c>
      <x:c r="H267" s="33"/>
      <x:c r="I267" s="17"/>
      <x:c r="J267" s="34"/>
      <x:c r="K267" s="17"/>
      <x:c r="L267" s="17"/>
      <x:c r="M267" s="35"/>
      <x:c r="N267" s="35"/>
      <x:c r="O267" s="36"/>
      <x:c r="P267" s="37"/>
      <x:c r="Q267" s="17"/>
      <x:c r="R267" s="17"/>
      <x:c r="S267" s="17"/>
      <x:c r="T267" s="35"/>
      <x:c r="U267" s="35"/>
      <x:c r="V267" s="37"/>
      <x:c r="W267" s="17"/>
      <x:c r="X267" s="17"/>
      <x:c r="Y267" s="17"/>
      <x:c r="Z267" s="37"/>
      <x:c r="AA267" s="35"/>
      <x:c r="AB267" s="37"/>
      <x:c r="AC267" s="17"/>
      <x:c r="AD267" s="38"/>
      <x:c r="AE267" s="37"/>
      <x:c r="AF267" s="17"/>
      <x:c r="AG267" s="17"/>
      <x:c r="AH267" s="17"/>
      <x:c r="AI267" s="17"/>
      <x:c r="AJ267" s="37"/>
      <x:c r="AK267" s="17"/>
      <x:c r="AL267" s="17"/>
      <x:c r="AM267" s="17"/>
      <x:c r="AN267" s="17"/>
      <x:c r="AO267" s="17"/>
      <x:c r="AP267" s="17"/>
      <x:c r="AQ267" s="39"/>
      <x:c r="AR267" s="17"/>
      <x:c r="AS267" s="17"/>
      <x:c r="AT267" s="40"/>
      <x:c r="AU267" s="41">
        <x:f t="shared" si="9"/>
      </x:c>
      <x:c r="AV267" s="42"/>
      <x:c r="AW267" s="19"/>
      <x:c r="AX267" s="19"/>
      <x:c r="AY267" s="19"/>
      <x:c r="AZ267" s="19"/>
      <x:c r="BA267" s="19"/>
      <x:c r="BB267" s="19"/>
      <x:c r="BC267" s="19"/>
      <x:c r="BD267" s="19"/>
      <x:c r="BE267"/>
      <x:c r="BF267"/>
    </x:row>
    <x:row r="268" ht="28" customHeight="1">
      <x:c r="A268" s="4"/>
      <x:c r="B268" s="15"/>
      <x:c r="C268" s="15"/>
      <x:c r="D268" s="15"/>
      <x:c r="E268" s="32"/>
      <x:c r="F268" s="17"/>
      <x:c r="G268" s="4">
        <x:f t="shared" si="8"/>
      </x:c>
      <x:c r="H268" s="33"/>
      <x:c r="I268" s="17"/>
      <x:c r="J268" s="34"/>
      <x:c r="K268" s="17"/>
      <x:c r="L268" s="17"/>
      <x:c r="M268" s="35"/>
      <x:c r="N268" s="35"/>
      <x:c r="O268" s="36"/>
      <x:c r="P268" s="37"/>
      <x:c r="Q268" s="17"/>
      <x:c r="R268" s="17"/>
      <x:c r="S268" s="17"/>
      <x:c r="T268" s="35"/>
      <x:c r="U268" s="35"/>
      <x:c r="V268" s="37"/>
      <x:c r="W268" s="17"/>
      <x:c r="X268" s="17"/>
      <x:c r="Y268" s="17"/>
      <x:c r="Z268" s="37"/>
      <x:c r="AA268" s="35"/>
      <x:c r="AB268" s="37"/>
      <x:c r="AC268" s="17"/>
      <x:c r="AD268" s="38"/>
      <x:c r="AE268" s="37"/>
      <x:c r="AF268" s="17"/>
      <x:c r="AG268" s="17"/>
      <x:c r="AH268" s="17"/>
      <x:c r="AI268" s="17"/>
      <x:c r="AJ268" s="37"/>
      <x:c r="AK268" s="17"/>
      <x:c r="AL268" s="17"/>
      <x:c r="AM268" s="17"/>
      <x:c r="AN268" s="17"/>
      <x:c r="AO268" s="17"/>
      <x:c r="AP268" s="17"/>
      <x:c r="AQ268" s="39"/>
      <x:c r="AR268" s="17"/>
      <x:c r="AS268" s="17"/>
      <x:c r="AT268" s="40"/>
      <x:c r="AU268" s="41">
        <x:f t="shared" si="9"/>
      </x:c>
      <x:c r="AV268" s="42"/>
      <x:c r="AW268" s="19"/>
      <x:c r="AX268" s="19"/>
      <x:c r="AY268" s="19"/>
      <x:c r="AZ268" s="19"/>
      <x:c r="BA268" s="19"/>
      <x:c r="BB268" s="19"/>
      <x:c r="BC268" s="19"/>
      <x:c r="BD268" s="19"/>
      <x:c r="BF268"/>
    </x:row>
    <x:row r="269" ht="28" customHeight="1">
      <x:c r="A269" s="4"/>
      <x:c r="B269" s="15"/>
      <x:c r="C269" s="15"/>
      <x:c r="D269" s="15"/>
      <x:c r="E269" s="32"/>
      <x:c r="F269" s="17"/>
      <x:c r="G269" s="4">
        <x:f t="shared" si="8"/>
      </x:c>
      <x:c r="H269" s="33"/>
      <x:c r="I269" s="17"/>
      <x:c r="J269" s="34"/>
      <x:c r="K269" s="17"/>
      <x:c r="L269" s="17"/>
      <x:c r="M269" s="35"/>
      <x:c r="N269" s="35"/>
      <x:c r="O269" s="36"/>
      <x:c r="P269" s="37"/>
      <x:c r="Q269" s="17"/>
      <x:c r="R269" s="17"/>
      <x:c r="S269" s="17"/>
      <x:c r="T269" s="35"/>
      <x:c r="U269" s="35"/>
      <x:c r="V269" s="37"/>
      <x:c r="W269" s="17"/>
      <x:c r="X269" s="17"/>
      <x:c r="Y269" s="17"/>
      <x:c r="Z269" s="37"/>
      <x:c r="AA269" s="35"/>
      <x:c r="AB269" s="37"/>
      <x:c r="AC269" s="17"/>
      <x:c r="AD269" s="38"/>
      <x:c r="AE269" s="37"/>
      <x:c r="AF269" s="17"/>
      <x:c r="AG269" s="17"/>
      <x:c r="AH269" s="17"/>
      <x:c r="AI269" s="17"/>
      <x:c r="AJ269" s="37"/>
      <x:c r="AK269" s="17"/>
      <x:c r="AL269" s="17"/>
      <x:c r="AM269" s="17"/>
      <x:c r="AN269" s="17"/>
      <x:c r="AO269" s="17"/>
      <x:c r="AP269" s="17"/>
      <x:c r="AQ269" s="39"/>
      <x:c r="AR269" s="17"/>
      <x:c r="AS269" s="17"/>
      <x:c r="AT269" s="40"/>
      <x:c r="AU269" s="41">
        <x:f t="shared" si="9"/>
      </x:c>
      <x:c r="AV269" s="42"/>
      <x:c r="AW269" s="19"/>
      <x:c r="AX269" s="19"/>
      <x:c r="AY269" s="19"/>
      <x:c r="AZ269" s="19"/>
      <x:c r="BA269" s="19"/>
      <x:c r="BB269" s="19"/>
      <x:c r="BC269" s="19"/>
      <x:c r="BD269" s="19"/>
      <x:c r="BE269"/>
      <x:c r="BF269"/>
    </x:row>
    <x:row r="270" ht="28" customHeight="1">
      <x:c r="A270" s="4"/>
      <x:c r="B270" s="15"/>
      <x:c r="C270" s="15"/>
      <x:c r="D270" s="15"/>
      <x:c r="E270" s="32"/>
      <x:c r="F270" s="17"/>
      <x:c r="G270" s="4">
        <x:f t="shared" si="8"/>
      </x:c>
      <x:c r="H270" s="33"/>
      <x:c r="I270" s="17"/>
      <x:c r="J270" s="34"/>
      <x:c r="K270" s="17"/>
      <x:c r="L270" s="17"/>
      <x:c r="M270" s="35"/>
      <x:c r="N270" s="35"/>
      <x:c r="O270" s="36"/>
      <x:c r="P270" s="37"/>
      <x:c r="Q270" s="17"/>
      <x:c r="R270" s="17"/>
      <x:c r="S270" s="17"/>
      <x:c r="T270" s="35"/>
      <x:c r="U270" s="35"/>
      <x:c r="V270" s="37"/>
      <x:c r="W270" s="17"/>
      <x:c r="X270" s="17"/>
      <x:c r="Y270" s="17"/>
      <x:c r="Z270" s="37"/>
      <x:c r="AA270" s="35"/>
      <x:c r="AB270" s="37"/>
      <x:c r="AC270" s="17"/>
      <x:c r="AD270" s="38"/>
      <x:c r="AE270" s="37"/>
      <x:c r="AF270" s="17"/>
      <x:c r="AG270" s="17"/>
      <x:c r="AH270" s="17"/>
      <x:c r="AI270" s="17"/>
      <x:c r="AJ270" s="37"/>
      <x:c r="AK270" s="17"/>
      <x:c r="AL270" s="17"/>
      <x:c r="AM270" s="17"/>
      <x:c r="AN270" s="17"/>
      <x:c r="AO270" s="17"/>
      <x:c r="AP270" s="17"/>
      <x:c r="AQ270" s="39"/>
      <x:c r="AR270" s="17"/>
      <x:c r="AS270" s="17"/>
      <x:c r="AT270" s="40"/>
      <x:c r="AU270" s="41">
        <x:f t="shared" si="9"/>
      </x:c>
      <x:c r="AV270" s="42"/>
      <x:c r="AW270" s="19"/>
      <x:c r="AX270" s="19"/>
      <x:c r="AY270" s="19"/>
      <x:c r="AZ270" s="19"/>
      <x:c r="BA270" s="19"/>
      <x:c r="BB270" s="19"/>
      <x:c r="BC270" s="19"/>
      <x:c r="BD270" s="19"/>
      <x:c r="BE270"/>
      <x:c r="BF270"/>
    </x:row>
    <x:row r="271" ht="28" customHeight="1">
      <x:c r="A271" s="4"/>
      <x:c r="B271" s="15"/>
      <x:c r="C271" s="15"/>
      <x:c r="D271" s="15"/>
      <x:c r="E271" s="32"/>
      <x:c r="F271" s="17"/>
      <x:c r="G271" s="4">
        <x:f t="shared" si="8"/>
      </x:c>
      <x:c r="H271" s="33"/>
      <x:c r="I271" s="17"/>
      <x:c r="J271" s="34"/>
      <x:c r="K271" s="17"/>
      <x:c r="L271" s="17"/>
      <x:c r="M271" s="35"/>
      <x:c r="N271" s="35"/>
      <x:c r="O271" s="36"/>
      <x:c r="P271" s="37"/>
      <x:c r="Q271" s="17"/>
      <x:c r="R271" s="17"/>
      <x:c r="S271" s="17"/>
      <x:c r="T271" s="35"/>
      <x:c r="U271" s="35"/>
      <x:c r="V271" s="37"/>
      <x:c r="W271" s="17"/>
      <x:c r="X271" s="17"/>
      <x:c r="Y271" s="17"/>
      <x:c r="Z271" s="37"/>
      <x:c r="AA271" s="35"/>
      <x:c r="AB271" s="37"/>
      <x:c r="AC271" s="17"/>
      <x:c r="AD271" s="38"/>
      <x:c r="AE271" s="37"/>
      <x:c r="AF271" s="17"/>
      <x:c r="AG271" s="17"/>
      <x:c r="AH271" s="17"/>
      <x:c r="AI271" s="17"/>
      <x:c r="AJ271" s="37"/>
      <x:c r="AK271" s="17"/>
      <x:c r="AL271" s="17"/>
      <x:c r="AM271" s="17"/>
      <x:c r="AN271" s="17"/>
      <x:c r="AO271" s="17"/>
      <x:c r="AP271" s="17"/>
      <x:c r="AQ271" s="39"/>
      <x:c r="AR271" s="17"/>
      <x:c r="AS271" s="17"/>
      <x:c r="AT271" s="40"/>
      <x:c r="AU271" s="41">
        <x:f t="shared" si="9"/>
      </x:c>
      <x:c r="AV271" s="42"/>
      <x:c r="AW271" s="19"/>
      <x:c r="AX271" s="19"/>
      <x:c r="AY271" s="19"/>
      <x:c r="AZ271" s="19"/>
      <x:c r="BA271" s="19"/>
      <x:c r="BB271" s="19"/>
      <x:c r="BC271" s="19"/>
      <x:c r="BD271" s="19"/>
      <x:c r="BE271"/>
      <x:c r="BF271"/>
    </x:row>
    <x:row r="272" ht="28" customHeight="1">
      <x:c r="A272" s="4"/>
      <x:c r="B272" s="15"/>
      <x:c r="C272" s="15"/>
      <x:c r="D272" s="15"/>
      <x:c r="E272" s="32"/>
      <x:c r="F272" s="17"/>
      <x:c r="G272" s="4">
        <x:f t="shared" si="8"/>
      </x:c>
      <x:c r="H272" s="33"/>
      <x:c r="I272" s="17"/>
      <x:c r="J272" s="34"/>
      <x:c r="K272" s="17"/>
      <x:c r="L272" s="17"/>
      <x:c r="M272" s="35"/>
      <x:c r="N272" s="35"/>
      <x:c r="O272" s="36"/>
      <x:c r="P272" s="37"/>
      <x:c r="Q272" s="17"/>
      <x:c r="R272" s="17"/>
      <x:c r="S272" s="17"/>
      <x:c r="T272" s="35"/>
      <x:c r="U272" s="35"/>
      <x:c r="V272" s="37"/>
      <x:c r="W272" s="17"/>
      <x:c r="X272" s="17"/>
      <x:c r="Y272" s="17"/>
      <x:c r="Z272" s="37"/>
      <x:c r="AA272" s="35"/>
      <x:c r="AB272" s="37"/>
      <x:c r="AC272" s="17"/>
      <x:c r="AD272" s="38"/>
      <x:c r="AE272" s="37"/>
      <x:c r="AF272" s="17"/>
      <x:c r="AG272" s="17"/>
      <x:c r="AH272" s="17"/>
      <x:c r="AI272" s="17"/>
      <x:c r="AJ272" s="37"/>
      <x:c r="AK272" s="17"/>
      <x:c r="AL272" s="17"/>
      <x:c r="AM272" s="17"/>
      <x:c r="AN272" s="17"/>
      <x:c r="AO272" s="17"/>
      <x:c r="AP272" s="17"/>
      <x:c r="AQ272" s="39"/>
      <x:c r="AR272" s="17"/>
      <x:c r="AS272" s="17"/>
      <x:c r="AT272" s="40"/>
      <x:c r="AU272" s="41">
        <x:f t="shared" si="9"/>
      </x:c>
      <x:c r="AV272" s="42"/>
      <x:c r="AW272" s="19"/>
      <x:c r="AX272" s="19"/>
      <x:c r="AY272" s="19"/>
      <x:c r="AZ272" s="19"/>
      <x:c r="BA272" s="19"/>
      <x:c r="BB272" s="19"/>
      <x:c r="BC272" s="19"/>
      <x:c r="BD272" s="19"/>
      <x:c r="BE272"/>
      <x:c r="BF272"/>
    </x:row>
    <x:row r="273" ht="28" customHeight="1">
      <x:c r="A273" s="4"/>
      <x:c r="B273" s="15"/>
      <x:c r="C273" s="15"/>
      <x:c r="D273" s="15"/>
      <x:c r="E273" s="32"/>
      <x:c r="F273" s="17"/>
      <x:c r="G273" s="4">
        <x:f t="shared" ref="G273:G330" si="10">IF(F273="","",IF(F273&lt;1,"不入池","入池"))</x:f>
      </x:c>
      <x:c r="H273" s="33"/>
      <x:c r="I273" s="17"/>
      <x:c r="J273" s="34"/>
      <x:c r="K273" s="17"/>
      <x:c r="L273" s="17"/>
      <x:c r="M273" s="35"/>
      <x:c r="N273" s="35"/>
      <x:c r="O273" s="36"/>
      <x:c r="P273" s="37"/>
      <x:c r="Q273" s="17"/>
      <x:c r="R273" s="17"/>
      <x:c r="S273" s="17"/>
      <x:c r="T273" s="35"/>
      <x:c r="U273" s="35"/>
      <x:c r="V273" s="37"/>
      <x:c r="W273" s="17"/>
      <x:c r="X273" s="17"/>
      <x:c r="Y273" s="17"/>
      <x:c r="Z273" s="37"/>
      <x:c r="AA273" s="35"/>
      <x:c r="AB273" s="37"/>
      <x:c r="AC273" s="17"/>
      <x:c r="AD273" s="38"/>
      <x:c r="AE273" s="37"/>
      <x:c r="AF273" s="17"/>
      <x:c r="AG273" s="17"/>
      <x:c r="AH273" s="17"/>
      <x:c r="AI273" s="17"/>
      <x:c r="AJ273" s="37"/>
      <x:c r="AK273" s="17"/>
      <x:c r="AL273" s="17"/>
      <x:c r="AM273" s="17"/>
      <x:c r="AN273" s="17"/>
      <x:c r="AO273" s="17"/>
      <x:c r="AP273" s="17"/>
      <x:c r="AQ273" s="39"/>
      <x:c r="AR273" s="17"/>
      <x:c r="AS273" s="17"/>
      <x:c r="AT273" s="40"/>
      <x:c r="AU273" s="41">
        <x:f t="shared" ref="AU273:AU330" si="11">IF(I273="","管理人规模；","")&amp;IF(J273="","产品规模标识；","")&amp;IF(AND(F273&lt;3,O273=""),"R_incep；","")&amp;IF(N273="","近三年收益；","")&amp;IF(U273="","近三年胜率；","")&amp;IF(AND(V273&lt;&gt;"",OR(V273&lt;0,V273&gt;1)),"胜率窗口口径不一致；","")&amp;IF(AA273="","近三年回撤；","")&amp;IF(AD273="","短期卡玛；","")&amp;IF(AND(P273&lt;&gt;"",AE273=""),"DD_long不可识别；","")</x:f>
      </x:c>
      <x:c r="AV273" s="42"/>
      <x:c r="AW273" s="19"/>
      <x:c r="AX273" s="19"/>
      <x:c r="AY273" s="19"/>
      <x:c r="AZ273" s="19"/>
      <x:c r="BA273" s="19"/>
      <x:c r="BB273" s="19"/>
      <x:c r="BC273" s="19"/>
      <x:c r="BD273" s="19"/>
      <x:c r="BF273"/>
    </x:row>
    <x:row r="274" ht="28" customHeight="1">
      <x:c r="A274" s="4"/>
      <x:c r="B274" s="15"/>
      <x:c r="C274" s="15"/>
      <x:c r="D274" s="15"/>
      <x:c r="E274" s="32"/>
      <x:c r="F274" s="17"/>
      <x:c r="G274" s="4">
        <x:f t="shared" si="10"/>
      </x:c>
      <x:c r="H274" s="33"/>
      <x:c r="I274" s="17"/>
      <x:c r="J274" s="34"/>
      <x:c r="K274" s="17"/>
      <x:c r="L274" s="17"/>
      <x:c r="M274" s="35"/>
      <x:c r="N274" s="35"/>
      <x:c r="O274" s="36"/>
      <x:c r="P274" s="37"/>
      <x:c r="Q274" s="17"/>
      <x:c r="R274" s="17"/>
      <x:c r="S274" s="17"/>
      <x:c r="T274" s="35"/>
      <x:c r="U274" s="35"/>
      <x:c r="V274" s="37"/>
      <x:c r="W274" s="17"/>
      <x:c r="X274" s="17"/>
      <x:c r="Y274" s="17"/>
      <x:c r="Z274" s="37"/>
      <x:c r="AA274" s="35"/>
      <x:c r="AB274" s="37"/>
      <x:c r="AC274" s="17"/>
      <x:c r="AD274" s="38"/>
      <x:c r="AE274" s="37"/>
      <x:c r="AF274" s="17"/>
      <x:c r="AG274" s="17"/>
      <x:c r="AH274" s="17"/>
      <x:c r="AI274" s="17"/>
      <x:c r="AJ274" s="37"/>
      <x:c r="AK274" s="17"/>
      <x:c r="AL274" s="17"/>
      <x:c r="AM274" s="17"/>
      <x:c r="AN274" s="17"/>
      <x:c r="AO274" s="17"/>
      <x:c r="AP274" s="17"/>
      <x:c r="AQ274" s="39"/>
      <x:c r="AR274" s="17"/>
      <x:c r="AS274" s="17"/>
      <x:c r="AT274" s="40"/>
      <x:c r="AU274" s="41">
        <x:f t="shared" si="11"/>
      </x:c>
      <x:c r="AV274" s="42"/>
      <x:c r="AW274" s="19"/>
      <x:c r="AX274" s="19"/>
      <x:c r="AY274" s="19"/>
      <x:c r="AZ274" s="19"/>
      <x:c r="BA274" s="19"/>
      <x:c r="BB274" s="19"/>
      <x:c r="BC274" s="19"/>
      <x:c r="BD274" s="19"/>
      <x:c r="BF274"/>
    </x:row>
    <x:row r="275" ht="28" customHeight="1">
      <x:c r="A275" s="4"/>
      <x:c r="B275" s="15"/>
      <x:c r="C275" s="15"/>
      <x:c r="D275" s="15"/>
      <x:c r="E275" s="32"/>
      <x:c r="F275" s="17"/>
      <x:c r="G275" s="4">
        <x:f t="shared" si="10"/>
      </x:c>
      <x:c r="H275" s="33"/>
      <x:c r="I275" s="17"/>
      <x:c r="J275" s="34"/>
      <x:c r="K275" s="17"/>
      <x:c r="L275" s="17"/>
      <x:c r="M275" s="35"/>
      <x:c r="N275" s="35"/>
      <x:c r="O275" s="36"/>
      <x:c r="P275" s="37"/>
      <x:c r="Q275" s="17"/>
      <x:c r="R275" s="17"/>
      <x:c r="S275" s="17"/>
      <x:c r="T275" s="35"/>
      <x:c r="U275" s="35"/>
      <x:c r="V275" s="37"/>
      <x:c r="W275" s="17"/>
      <x:c r="X275" s="17"/>
      <x:c r="Y275" s="17"/>
      <x:c r="Z275" s="37"/>
      <x:c r="AA275" s="35"/>
      <x:c r="AB275" s="37"/>
      <x:c r="AC275" s="17"/>
      <x:c r="AD275" s="38"/>
      <x:c r="AE275" s="37"/>
      <x:c r="AF275" s="17"/>
      <x:c r="AG275" s="17"/>
      <x:c r="AH275" s="17"/>
      <x:c r="AI275" s="17"/>
      <x:c r="AJ275" s="37"/>
      <x:c r="AK275" s="17"/>
      <x:c r="AL275" s="17"/>
      <x:c r="AM275" s="17"/>
      <x:c r="AN275" s="17"/>
      <x:c r="AO275" s="17"/>
      <x:c r="AP275" s="17"/>
      <x:c r="AQ275" s="39"/>
      <x:c r="AR275" s="17"/>
      <x:c r="AS275" s="17"/>
      <x:c r="AT275" s="40"/>
      <x:c r="AU275" s="41">
        <x:f t="shared" si="11"/>
      </x:c>
      <x:c r="AV275" s="42"/>
      <x:c r="AW275" s="19"/>
      <x:c r="AX275" s="19"/>
      <x:c r="AY275" s="19"/>
      <x:c r="AZ275" s="19"/>
      <x:c r="BA275" s="19"/>
      <x:c r="BB275" s="19"/>
      <x:c r="BC275" s="19"/>
      <x:c r="BD275" s="19"/>
      <x:c r="BE275"/>
      <x:c r="BF275"/>
    </x:row>
    <x:row r="276" ht="28" customHeight="1">
      <x:c r="A276" s="4"/>
      <x:c r="B276" s="15"/>
      <x:c r="C276" s="15"/>
      <x:c r="D276" s="15"/>
      <x:c r="E276" s="32"/>
      <x:c r="F276" s="17"/>
      <x:c r="G276" s="4">
        <x:f t="shared" si="10"/>
      </x:c>
      <x:c r="H276" s="33"/>
      <x:c r="I276" s="17"/>
      <x:c r="J276" s="34"/>
      <x:c r="K276" s="17"/>
      <x:c r="L276" s="17"/>
      <x:c r="M276" s="35"/>
      <x:c r="N276" s="35"/>
      <x:c r="O276" s="36"/>
      <x:c r="P276" s="37"/>
      <x:c r="Q276" s="17"/>
      <x:c r="R276" s="17"/>
      <x:c r="S276" s="17"/>
      <x:c r="T276" s="35"/>
      <x:c r="U276" s="35"/>
      <x:c r="V276" s="37"/>
      <x:c r="W276" s="17"/>
      <x:c r="X276" s="17"/>
      <x:c r="Y276" s="17"/>
      <x:c r="Z276" s="37"/>
      <x:c r="AA276" s="35"/>
      <x:c r="AB276" s="37"/>
      <x:c r="AC276" s="17"/>
      <x:c r="AD276" s="38"/>
      <x:c r="AE276" s="37"/>
      <x:c r="AF276" s="17"/>
      <x:c r="AG276" s="17"/>
      <x:c r="AH276" s="17"/>
      <x:c r="AI276" s="17"/>
      <x:c r="AJ276" s="37"/>
      <x:c r="AK276" s="17"/>
      <x:c r="AL276" s="17"/>
      <x:c r="AM276" s="17"/>
      <x:c r="AN276" s="17"/>
      <x:c r="AO276" s="17"/>
      <x:c r="AP276" s="17"/>
      <x:c r="AQ276" s="39"/>
      <x:c r="AR276" s="17"/>
      <x:c r="AS276" s="17"/>
      <x:c r="AT276" s="40"/>
      <x:c r="AU276" s="41">
        <x:f t="shared" si="11"/>
      </x:c>
      <x:c r="AV276" s="42"/>
      <x:c r="AW276" s="19"/>
      <x:c r="AX276" s="19"/>
      <x:c r="AY276" s="19"/>
      <x:c r="AZ276" s="19"/>
      <x:c r="BA276" s="19"/>
      <x:c r="BB276" s="19"/>
      <x:c r="BC276" s="19"/>
      <x:c r="BD276" s="19"/>
      <x:c r="BE276"/>
      <x:c r="BF276"/>
    </x:row>
    <x:row r="277" ht="28" customHeight="1">
      <x:c r="A277" s="4"/>
      <x:c r="B277" s="15"/>
      <x:c r="C277" s="15"/>
      <x:c r="D277" s="15"/>
      <x:c r="E277" s="32"/>
      <x:c r="F277" s="17"/>
      <x:c r="G277" s="4">
        <x:f t="shared" si="10"/>
      </x:c>
      <x:c r="H277" s="33"/>
      <x:c r="I277" s="17"/>
      <x:c r="J277" s="34"/>
      <x:c r="K277" s="17"/>
      <x:c r="L277" s="17"/>
      <x:c r="M277" s="35"/>
      <x:c r="N277" s="35"/>
      <x:c r="O277" s="36"/>
      <x:c r="P277" s="37"/>
      <x:c r="Q277" s="17"/>
      <x:c r="R277" s="17"/>
      <x:c r="S277" s="17"/>
      <x:c r="T277" s="35"/>
      <x:c r="U277" s="35"/>
      <x:c r="V277" s="37"/>
      <x:c r="W277" s="17"/>
      <x:c r="X277" s="17"/>
      <x:c r="Y277" s="17"/>
      <x:c r="Z277" s="37"/>
      <x:c r="AA277" s="35"/>
      <x:c r="AB277" s="37"/>
      <x:c r="AC277" s="17"/>
      <x:c r="AD277" s="38"/>
      <x:c r="AE277" s="37"/>
      <x:c r="AF277" s="17"/>
      <x:c r="AG277" s="17"/>
      <x:c r="AH277" s="17"/>
      <x:c r="AI277" s="17"/>
      <x:c r="AJ277" s="37"/>
      <x:c r="AK277" s="17"/>
      <x:c r="AL277" s="17"/>
      <x:c r="AM277" s="17"/>
      <x:c r="AN277" s="17"/>
      <x:c r="AO277" s="17"/>
      <x:c r="AP277" s="17"/>
      <x:c r="AQ277" s="39"/>
      <x:c r="AR277" s="17"/>
      <x:c r="AS277" s="17"/>
      <x:c r="AT277" s="40"/>
      <x:c r="AU277" s="41">
        <x:f t="shared" si="11"/>
      </x:c>
      <x:c r="AV277" s="42"/>
      <x:c r="AW277" s="19"/>
      <x:c r="AX277" s="19"/>
      <x:c r="AY277" s="19"/>
      <x:c r="AZ277" s="19"/>
      <x:c r="BA277" s="19"/>
      <x:c r="BB277" s="19"/>
      <x:c r="BC277" s="19"/>
      <x:c r="BD277" s="19"/>
      <x:c r="BE277"/>
      <x:c r="BF277"/>
    </x:row>
    <x:row r="278" ht="28" customHeight="1">
      <x:c r="A278" s="4"/>
      <x:c r="B278" s="15"/>
      <x:c r="C278" s="15"/>
      <x:c r="D278" s="15"/>
      <x:c r="E278" s="32"/>
      <x:c r="F278" s="17"/>
      <x:c r="G278" s="4">
        <x:f t="shared" si="10"/>
      </x:c>
      <x:c r="H278" s="33"/>
      <x:c r="I278" s="17"/>
      <x:c r="J278" s="34"/>
      <x:c r="K278" s="17"/>
      <x:c r="L278" s="17"/>
      <x:c r="M278" s="35"/>
      <x:c r="N278" s="35"/>
      <x:c r="O278" s="36"/>
      <x:c r="P278" s="37"/>
      <x:c r="Q278" s="17"/>
      <x:c r="R278" s="17"/>
      <x:c r="S278" s="17"/>
      <x:c r="T278" s="35"/>
      <x:c r="U278" s="35"/>
      <x:c r="V278" s="37"/>
      <x:c r="W278" s="17"/>
      <x:c r="X278" s="17"/>
      <x:c r="Y278" s="17"/>
      <x:c r="Z278" s="37"/>
      <x:c r="AA278" s="35"/>
      <x:c r="AB278" s="37"/>
      <x:c r="AC278" s="17"/>
      <x:c r="AD278" s="38"/>
      <x:c r="AE278" s="37"/>
      <x:c r="AF278" s="17"/>
      <x:c r="AG278" s="17"/>
      <x:c r="AH278" s="17"/>
      <x:c r="AI278" s="17"/>
      <x:c r="AJ278" s="37"/>
      <x:c r="AK278" s="17"/>
      <x:c r="AL278" s="17"/>
      <x:c r="AM278" s="17"/>
      <x:c r="AN278" s="17"/>
      <x:c r="AO278" s="17"/>
      <x:c r="AP278" s="17"/>
      <x:c r="AQ278" s="39"/>
      <x:c r="AR278" s="17"/>
      <x:c r="AS278" s="17"/>
      <x:c r="AT278" s="40"/>
      <x:c r="AU278" s="41">
        <x:f t="shared" si="11"/>
      </x:c>
      <x:c r="AV278" s="42"/>
      <x:c r="AW278" s="19"/>
      <x:c r="AX278" s="19"/>
      <x:c r="AY278" s="19"/>
      <x:c r="AZ278" s="19"/>
      <x:c r="BA278" s="19"/>
      <x:c r="BB278" s="19"/>
      <x:c r="BC278" s="19"/>
      <x:c r="BD278" s="19"/>
      <x:c r="BE278"/>
      <x:c r="BF278"/>
    </x:row>
    <x:row r="279" ht="28" customHeight="1">
      <x:c r="A279" s="4"/>
      <x:c r="B279" s="15"/>
      <x:c r="C279" s="15"/>
      <x:c r="D279" s="15"/>
      <x:c r="E279" s="32"/>
      <x:c r="F279" s="17"/>
      <x:c r="G279" s="4">
        <x:f t="shared" si="10"/>
      </x:c>
      <x:c r="H279" s="33"/>
      <x:c r="I279" s="17"/>
      <x:c r="J279" s="34"/>
      <x:c r="K279" s="17"/>
      <x:c r="L279" s="17"/>
      <x:c r="M279" s="35"/>
      <x:c r="N279" s="35"/>
      <x:c r="O279" s="36"/>
      <x:c r="P279" s="37"/>
      <x:c r="Q279" s="17"/>
      <x:c r="R279" s="17"/>
      <x:c r="S279" s="17"/>
      <x:c r="T279" s="35"/>
      <x:c r="U279" s="35"/>
      <x:c r="V279" s="37"/>
      <x:c r="W279" s="17"/>
      <x:c r="X279" s="17"/>
      <x:c r="Y279" s="17"/>
      <x:c r="Z279" s="37"/>
      <x:c r="AA279" s="35"/>
      <x:c r="AB279" s="37"/>
      <x:c r="AC279" s="17"/>
      <x:c r="AD279" s="38"/>
      <x:c r="AE279" s="37"/>
      <x:c r="AF279" s="17"/>
      <x:c r="AG279" s="17"/>
      <x:c r="AH279" s="17"/>
      <x:c r="AI279" s="17"/>
      <x:c r="AJ279" s="37"/>
      <x:c r="AK279" s="17"/>
      <x:c r="AL279" s="17"/>
      <x:c r="AM279" s="17"/>
      <x:c r="AN279" s="17"/>
      <x:c r="AO279" s="17"/>
      <x:c r="AP279" s="17"/>
      <x:c r="AQ279" s="39"/>
      <x:c r="AR279" s="17"/>
      <x:c r="AS279" s="17"/>
      <x:c r="AT279" s="40"/>
      <x:c r="AU279" s="41">
        <x:f t="shared" si="11"/>
      </x:c>
      <x:c r="AV279" s="42"/>
      <x:c r="AW279" s="19"/>
      <x:c r="AX279" s="19"/>
      <x:c r="AY279" s="19"/>
      <x:c r="AZ279" s="19"/>
      <x:c r="BA279" s="19"/>
      <x:c r="BB279" s="19"/>
      <x:c r="BC279" s="19"/>
      <x:c r="BD279" s="19"/>
      <x:c r="BE279"/>
      <x:c r="BF279"/>
    </x:row>
    <x:row r="280" ht="28" customHeight="1">
      <x:c r="A280" s="4"/>
      <x:c r="B280" s="15"/>
      <x:c r="C280" s="15"/>
      <x:c r="D280" s="15"/>
      <x:c r="E280" s="32"/>
      <x:c r="F280" s="17"/>
      <x:c r="G280" s="4">
        <x:f t="shared" si="10"/>
      </x:c>
      <x:c r="H280" s="33"/>
      <x:c r="I280" s="17"/>
      <x:c r="J280" s="34"/>
      <x:c r="K280" s="17"/>
      <x:c r="L280" s="17"/>
      <x:c r="M280" s="35"/>
      <x:c r="N280" s="35"/>
      <x:c r="O280" s="36"/>
      <x:c r="P280" s="37"/>
      <x:c r="Q280" s="17"/>
      <x:c r="R280" s="17"/>
      <x:c r="S280" s="17"/>
      <x:c r="T280" s="35"/>
      <x:c r="U280" s="35"/>
      <x:c r="V280" s="37"/>
      <x:c r="W280" s="17"/>
      <x:c r="X280" s="17"/>
      <x:c r="Y280" s="17"/>
      <x:c r="Z280" s="37"/>
      <x:c r="AA280" s="35"/>
      <x:c r="AB280" s="37"/>
      <x:c r="AC280" s="17"/>
      <x:c r="AD280" s="38"/>
      <x:c r="AE280" s="37"/>
      <x:c r="AF280" s="17"/>
      <x:c r="AG280" s="17"/>
      <x:c r="AH280" s="17"/>
      <x:c r="AI280" s="17"/>
      <x:c r="AJ280" s="37"/>
      <x:c r="AK280" s="17"/>
      <x:c r="AL280" s="17"/>
      <x:c r="AM280" s="17"/>
      <x:c r="AN280" s="17"/>
      <x:c r="AO280" s="17"/>
      <x:c r="AP280" s="17"/>
      <x:c r="AQ280" s="39"/>
      <x:c r="AR280" s="17"/>
      <x:c r="AS280" s="17"/>
      <x:c r="AT280" s="40"/>
      <x:c r="AU280" s="41">
        <x:f t="shared" si="11"/>
      </x:c>
      <x:c r="AV280" s="42"/>
      <x:c r="AW280" s="19"/>
      <x:c r="AX280" s="19"/>
      <x:c r="AY280" s="19"/>
      <x:c r="AZ280" s="19"/>
      <x:c r="BA280" s="19"/>
      <x:c r="BB280" s="19"/>
      <x:c r="BC280" s="19"/>
      <x:c r="BD280" s="19"/>
      <x:c r="BE280"/>
      <x:c r="BF280"/>
    </x:row>
    <x:row r="281" ht="28" customHeight="1">
      <x:c r="A281" s="4"/>
      <x:c r="B281" s="15"/>
      <x:c r="C281" s="15"/>
      <x:c r="D281" s="15"/>
      <x:c r="E281" s="32"/>
      <x:c r="F281" s="17"/>
      <x:c r="G281" s="4">
        <x:f t="shared" si="10"/>
      </x:c>
      <x:c r="H281" s="33"/>
      <x:c r="I281" s="17"/>
      <x:c r="J281" s="34"/>
      <x:c r="K281" s="17"/>
      <x:c r="L281" s="17"/>
      <x:c r="M281" s="35"/>
      <x:c r="N281" s="35"/>
      <x:c r="O281" s="36"/>
      <x:c r="P281" s="37"/>
      <x:c r="Q281" s="17"/>
      <x:c r="R281" s="17"/>
      <x:c r="S281" s="17"/>
      <x:c r="T281" s="35"/>
      <x:c r="U281" s="35"/>
      <x:c r="V281" s="37"/>
      <x:c r="W281" s="17"/>
      <x:c r="X281" s="17"/>
      <x:c r="Y281" s="17"/>
      <x:c r="Z281" s="37"/>
      <x:c r="AA281" s="35"/>
      <x:c r="AB281" s="37"/>
      <x:c r="AC281" s="17"/>
      <x:c r="AD281" s="38"/>
      <x:c r="AE281" s="37"/>
      <x:c r="AF281" s="17"/>
      <x:c r="AG281" s="17"/>
      <x:c r="AH281" s="17"/>
      <x:c r="AI281" s="17"/>
      <x:c r="AJ281" s="37"/>
      <x:c r="AK281" s="17"/>
      <x:c r="AL281" s="17"/>
      <x:c r="AM281" s="17"/>
      <x:c r="AN281" s="17"/>
      <x:c r="AO281" s="17"/>
      <x:c r="AP281" s="17"/>
      <x:c r="AQ281" s="39"/>
      <x:c r="AR281" s="17"/>
      <x:c r="AS281" s="17"/>
      <x:c r="AT281" s="40"/>
      <x:c r="AU281" s="41">
        <x:f t="shared" si="11"/>
      </x:c>
      <x:c r="AV281" s="42"/>
      <x:c r="AW281" s="19"/>
      <x:c r="AX281" s="19"/>
      <x:c r="AY281" s="19"/>
      <x:c r="AZ281" s="19"/>
      <x:c r="BA281" s="19"/>
      <x:c r="BB281" s="19"/>
      <x:c r="BC281" s="19"/>
      <x:c r="BD281" s="19"/>
      <x:c r="BE281"/>
      <x:c r="BF281"/>
    </x:row>
    <x:row r="282" ht="28" customHeight="1">
      <x:c r="A282" s="4"/>
      <x:c r="B282" s="15"/>
      <x:c r="C282" s="15"/>
      <x:c r="D282" s="15"/>
      <x:c r="E282" s="32"/>
      <x:c r="F282" s="17"/>
      <x:c r="G282" s="4">
        <x:f t="shared" si="10"/>
      </x:c>
      <x:c r="H282" s="33"/>
      <x:c r="I282" s="17"/>
      <x:c r="J282" s="34"/>
      <x:c r="K282" s="17"/>
      <x:c r="L282" s="17"/>
      <x:c r="M282" s="35"/>
      <x:c r="N282" s="35"/>
      <x:c r="O282" s="36"/>
      <x:c r="P282" s="37"/>
      <x:c r="Q282" s="17"/>
      <x:c r="R282" s="17"/>
      <x:c r="S282" s="17"/>
      <x:c r="T282" s="35"/>
      <x:c r="U282" s="35"/>
      <x:c r="V282" s="37"/>
      <x:c r="W282" s="17"/>
      <x:c r="X282" s="17"/>
      <x:c r="Y282" s="17"/>
      <x:c r="Z282" s="37"/>
      <x:c r="AA282" s="35"/>
      <x:c r="AB282" s="37"/>
      <x:c r="AC282" s="17"/>
      <x:c r="AD282" s="38"/>
      <x:c r="AE282" s="37"/>
      <x:c r="AF282" s="17"/>
      <x:c r="AG282" s="17"/>
      <x:c r="AH282" s="17"/>
      <x:c r="AI282" s="17"/>
      <x:c r="AJ282" s="37"/>
      <x:c r="AK282" s="17"/>
      <x:c r="AL282" s="17"/>
      <x:c r="AM282" s="17"/>
      <x:c r="AN282" s="17"/>
      <x:c r="AO282" s="17"/>
      <x:c r="AP282" s="17"/>
      <x:c r="AQ282" s="39"/>
      <x:c r="AR282" s="17"/>
      <x:c r="AS282" s="17"/>
      <x:c r="AT282" s="40"/>
      <x:c r="AU282" s="41">
        <x:f t="shared" si="11"/>
      </x:c>
      <x:c r="AV282" s="42"/>
      <x:c r="AW282" s="19"/>
      <x:c r="AX282" s="19"/>
      <x:c r="AY282" s="19"/>
      <x:c r="AZ282" s="19"/>
      <x:c r="BA282" s="19"/>
      <x:c r="BB282" s="19"/>
      <x:c r="BC282" s="19"/>
      <x:c r="BD282" s="19"/>
      <x:c r="BF282"/>
    </x:row>
    <x:row r="283" ht="28" customHeight="1">
      <x:c r="A283" s="4"/>
      <x:c r="B283" s="15"/>
      <x:c r="C283" s="15"/>
      <x:c r="D283" s="15"/>
      <x:c r="E283" s="32"/>
      <x:c r="F283" s="17"/>
      <x:c r="G283" s="4">
        <x:f t="shared" si="10"/>
      </x:c>
      <x:c r="H283" s="33"/>
      <x:c r="I283" s="17"/>
      <x:c r="J283" s="34"/>
      <x:c r="K283" s="17"/>
      <x:c r="L283" s="17"/>
      <x:c r="M283" s="35"/>
      <x:c r="N283" s="35"/>
      <x:c r="O283" s="36"/>
      <x:c r="P283" s="37"/>
      <x:c r="Q283" s="17"/>
      <x:c r="R283" s="17"/>
      <x:c r="S283" s="17"/>
      <x:c r="T283" s="35"/>
      <x:c r="U283" s="35"/>
      <x:c r="V283" s="37"/>
      <x:c r="W283" s="17"/>
      <x:c r="X283" s="17"/>
      <x:c r="Y283" s="17"/>
      <x:c r="Z283" s="37"/>
      <x:c r="AA283" s="35"/>
      <x:c r="AB283" s="37"/>
      <x:c r="AC283" s="17"/>
      <x:c r="AD283" s="38"/>
      <x:c r="AE283" s="37">
        <x:f t="shared" ref="AE283:AE290" si="12">Z283</x:f>
      </x:c>
      <x:c r="AF283" s="17"/>
      <x:c r="AG283" s="17"/>
      <x:c r="AH283" s="17"/>
      <x:c r="AI283" s="17"/>
      <x:c r="AJ283" s="37"/>
      <x:c r="AK283" s="17"/>
      <x:c r="AL283" s="17"/>
      <x:c r="AM283" s="17"/>
      <x:c r="AN283" s="17"/>
      <x:c r="AO283" s="17"/>
      <x:c r="AP283" s="17"/>
      <x:c r="AQ283" s="39"/>
      <x:c r="AR283" s="17"/>
      <x:c r="AS283" s="17"/>
      <x:c r="AT283" s="40"/>
      <x:c r="AU283" s="41">
        <x:f t="shared" si="11"/>
      </x:c>
      <x:c r="AV283" s="42"/>
      <x:c r="AW283" s="19"/>
      <x:c r="AX283" s="19"/>
      <x:c r="AY283" s="19"/>
      <x:c r="AZ283" s="19"/>
      <x:c r="BA283" s="19"/>
      <x:c r="BB283" s="19"/>
      <x:c r="BC283" s="19"/>
      <x:c r="BD283" s="19"/>
      <x:c r="BE283"/>
      <x:c r="BF283"/>
    </x:row>
    <x:row r="284" ht="28" customHeight="1">
      <x:c r="A284" s="4"/>
      <x:c r="B284" s="15"/>
      <x:c r="C284" s="15"/>
      <x:c r="D284" s="15"/>
      <x:c r="E284" s="32"/>
      <x:c r="F284" s="17"/>
      <x:c r="G284" s="4">
        <x:f t="shared" si="10"/>
      </x:c>
      <x:c r="H284" s="33"/>
      <x:c r="I284" s="17"/>
      <x:c r="J284" s="34"/>
      <x:c r="K284" s="17"/>
      <x:c r="L284" s="17"/>
      <x:c r="M284" s="35"/>
      <x:c r="N284" s="35"/>
      <x:c r="O284" s="36"/>
      <x:c r="P284" s="37"/>
      <x:c r="Q284" s="17"/>
      <x:c r="R284" s="17"/>
      <x:c r="S284" s="17"/>
      <x:c r="T284" s="35"/>
      <x:c r="U284" s="35"/>
      <x:c r="V284" s="37"/>
      <x:c r="W284" s="17"/>
      <x:c r="X284" s="17"/>
      <x:c r="Y284" s="17"/>
      <x:c r="Z284" s="37"/>
      <x:c r="AA284" s="35"/>
      <x:c r="AB284" s="37"/>
      <x:c r="AC284" s="17"/>
      <x:c r="AD284" s="38"/>
      <x:c r="AE284" s="37">
        <x:f t="shared" si="12"/>
      </x:c>
      <x:c r="AF284" s="17"/>
      <x:c r="AG284" s="17"/>
      <x:c r="AH284" s="17"/>
      <x:c r="AI284" s="17"/>
      <x:c r="AJ284" s="37"/>
      <x:c r="AK284" s="17"/>
      <x:c r="AL284" s="17"/>
      <x:c r="AM284" s="17"/>
      <x:c r="AN284" s="17"/>
      <x:c r="AO284" s="17"/>
      <x:c r="AP284" s="17"/>
      <x:c r="AQ284" s="39"/>
      <x:c r="AR284" s="17"/>
      <x:c r="AS284" s="17"/>
      <x:c r="AT284" s="40"/>
      <x:c r="AU284" s="41">
        <x:f t="shared" si="11"/>
      </x:c>
      <x:c r="AV284" s="42"/>
      <x:c r="AW284" s="19"/>
      <x:c r="AX284" s="19"/>
      <x:c r="AY284" s="19"/>
      <x:c r="AZ284" s="19"/>
      <x:c r="BA284" s="19"/>
      <x:c r="BB284" s="19"/>
      <x:c r="BC284" s="19"/>
      <x:c r="BD284" s="19"/>
      <x:c r="BE284"/>
      <x:c r="BF284"/>
    </x:row>
    <x:row r="285" ht="28" customHeight="1">
      <x:c r="A285" s="4"/>
      <x:c r="B285" s="15"/>
      <x:c r="C285" s="15"/>
      <x:c r="D285" s="15"/>
      <x:c r="E285" s="32"/>
      <x:c r="F285" s="17"/>
      <x:c r="G285" s="4">
        <x:f t="shared" si="10"/>
      </x:c>
      <x:c r="H285" s="33"/>
      <x:c r="I285" s="17"/>
      <x:c r="J285" s="34"/>
      <x:c r="K285" s="17"/>
      <x:c r="L285" s="17"/>
      <x:c r="M285" s="35"/>
      <x:c r="N285" s="35"/>
      <x:c r="O285" s="36"/>
      <x:c r="P285" s="37"/>
      <x:c r="Q285" s="17"/>
      <x:c r="R285" s="17"/>
      <x:c r="S285" s="17"/>
      <x:c r="T285" s="35"/>
      <x:c r="U285" s="35"/>
      <x:c r="V285" s="37"/>
      <x:c r="W285" s="17"/>
      <x:c r="X285" s="17"/>
      <x:c r="Y285" s="17"/>
      <x:c r="Z285" s="37"/>
      <x:c r="AA285" s="35"/>
      <x:c r="AB285" s="37"/>
      <x:c r="AC285" s="17"/>
      <x:c r="AD285" s="38"/>
      <x:c r="AE285" s="37">
        <x:f t="shared" si="12"/>
      </x:c>
      <x:c r="AF285" s="17"/>
      <x:c r="AG285" s="17"/>
      <x:c r="AH285" s="17"/>
      <x:c r="AI285" s="17"/>
      <x:c r="AJ285" s="37"/>
      <x:c r="AK285" s="17"/>
      <x:c r="AL285" s="17"/>
      <x:c r="AM285" s="17"/>
      <x:c r="AN285" s="17"/>
      <x:c r="AO285" s="17"/>
      <x:c r="AP285" s="17"/>
      <x:c r="AQ285" s="39"/>
      <x:c r="AR285" s="17"/>
      <x:c r="AS285" s="17"/>
      <x:c r="AT285" s="40"/>
      <x:c r="AU285" s="41">
        <x:f t="shared" si="11"/>
      </x:c>
      <x:c r="AV285" s="42"/>
      <x:c r="AW285" s="19"/>
      <x:c r="AX285" s="19"/>
      <x:c r="AY285" s="19"/>
      <x:c r="AZ285" s="19"/>
      <x:c r="BA285" s="19"/>
      <x:c r="BB285" s="19"/>
      <x:c r="BC285" s="19"/>
      <x:c r="BD285" s="19"/>
      <x:c r="BE285"/>
      <x:c r="BF285"/>
    </x:row>
    <x:row r="286" ht="28" customHeight="1">
      <x:c r="A286" s="4"/>
      <x:c r="B286" s="15"/>
      <x:c r="C286" s="15"/>
      <x:c r="D286" s="15"/>
      <x:c r="E286" s="32"/>
      <x:c r="F286" s="17"/>
      <x:c r="G286" s="4">
        <x:f t="shared" si="10"/>
      </x:c>
      <x:c r="H286" s="33"/>
      <x:c r="I286" s="17"/>
      <x:c r="J286" s="34"/>
      <x:c r="K286" s="17"/>
      <x:c r="L286" s="17"/>
      <x:c r="M286" s="35"/>
      <x:c r="N286" s="35"/>
      <x:c r="O286" s="36"/>
      <x:c r="P286" s="37"/>
      <x:c r="Q286" s="17"/>
      <x:c r="R286" s="17"/>
      <x:c r="S286" s="17"/>
      <x:c r="T286" s="35"/>
      <x:c r="U286" s="35"/>
      <x:c r="V286" s="37"/>
      <x:c r="W286" s="17"/>
      <x:c r="X286" s="17"/>
      <x:c r="Y286" s="17"/>
      <x:c r="Z286" s="37"/>
      <x:c r="AA286" s="35"/>
      <x:c r="AB286" s="37"/>
      <x:c r="AC286" s="17"/>
      <x:c r="AD286" s="38"/>
      <x:c r="AE286" s="37">
        <x:f t="shared" si="12"/>
      </x:c>
      <x:c r="AF286" s="17"/>
      <x:c r="AG286" s="17"/>
      <x:c r="AH286" s="17"/>
      <x:c r="AI286" s="17"/>
      <x:c r="AJ286" s="37"/>
      <x:c r="AK286" s="17"/>
      <x:c r="AL286" s="17"/>
      <x:c r="AM286" s="17"/>
      <x:c r="AN286" s="17"/>
      <x:c r="AO286" s="17"/>
      <x:c r="AP286" s="17"/>
      <x:c r="AQ286" s="39"/>
      <x:c r="AR286" s="17"/>
      <x:c r="AS286" s="17"/>
      <x:c r="AT286" s="40"/>
      <x:c r="AU286" s="41">
        <x:f t="shared" si="11"/>
      </x:c>
      <x:c r="AV286" s="42"/>
      <x:c r="AW286" s="19"/>
      <x:c r="AX286" s="19"/>
      <x:c r="AY286" s="19"/>
      <x:c r="AZ286" s="19"/>
      <x:c r="BA286" s="19"/>
      <x:c r="BB286" s="19"/>
      <x:c r="BC286" s="19"/>
      <x:c r="BD286" s="19"/>
      <x:c r="BF286"/>
    </x:row>
    <x:row r="287" ht="28" customHeight="1">
      <x:c r="A287" s="4"/>
      <x:c r="B287" s="15"/>
      <x:c r="C287" s="15"/>
      <x:c r="D287" s="15"/>
      <x:c r="E287" s="32"/>
      <x:c r="F287" s="17"/>
      <x:c r="G287" s="4">
        <x:f t="shared" si="10"/>
      </x:c>
      <x:c r="H287" s="33"/>
      <x:c r="I287" s="17"/>
      <x:c r="J287" s="34"/>
      <x:c r="K287" s="17"/>
      <x:c r="L287" s="17"/>
      <x:c r="M287" s="35"/>
      <x:c r="N287" s="35"/>
      <x:c r="O287" s="36"/>
      <x:c r="P287" s="37"/>
      <x:c r="Q287" s="17"/>
      <x:c r="R287" s="17"/>
      <x:c r="S287" s="17"/>
      <x:c r="T287" s="35"/>
      <x:c r="U287" s="35"/>
      <x:c r="V287" s="37"/>
      <x:c r="W287" s="17"/>
      <x:c r="X287" s="17"/>
      <x:c r="Y287" s="17"/>
      <x:c r="Z287" s="37"/>
      <x:c r="AA287" s="35"/>
      <x:c r="AB287" s="37"/>
      <x:c r="AC287" s="17"/>
      <x:c r="AD287" s="38"/>
      <x:c r="AE287" s="37">
        <x:f t="shared" si="12"/>
      </x:c>
      <x:c r="AF287" s="17"/>
      <x:c r="AG287" s="17"/>
      <x:c r="AH287" s="17"/>
      <x:c r="AI287" s="17"/>
      <x:c r="AJ287" s="37"/>
      <x:c r="AK287" s="17"/>
      <x:c r="AL287" s="17"/>
      <x:c r="AM287" s="17"/>
      <x:c r="AN287" s="17"/>
      <x:c r="AO287" s="17"/>
      <x:c r="AP287" s="17"/>
      <x:c r="AQ287" s="39"/>
      <x:c r="AR287" s="17"/>
      <x:c r="AS287" s="17"/>
      <x:c r="AT287" s="40"/>
      <x:c r="AU287" s="41">
        <x:f t="shared" si="11"/>
      </x:c>
      <x:c r="AV287" s="42"/>
      <x:c r="AW287" s="19"/>
      <x:c r="AX287" s="19"/>
      <x:c r="AY287" s="19"/>
      <x:c r="AZ287" s="19"/>
      <x:c r="BA287" s="19"/>
      <x:c r="BB287" s="19"/>
      <x:c r="BC287" s="19"/>
      <x:c r="BD287" s="19"/>
      <x:c r="BE287"/>
      <x:c r="BF287"/>
    </x:row>
    <x:row r="288" ht="28" customHeight="1">
      <x:c r="A288" s="4"/>
      <x:c r="B288" s="15"/>
      <x:c r="C288" s="15"/>
      <x:c r="D288" s="15"/>
      <x:c r="E288" s="32"/>
      <x:c r="F288" s="17"/>
      <x:c r="G288" s="4">
        <x:f t="shared" si="10"/>
      </x:c>
      <x:c r="H288" s="33"/>
      <x:c r="I288" s="17"/>
      <x:c r="J288" s="34"/>
      <x:c r="K288" s="17"/>
      <x:c r="L288" s="17"/>
      <x:c r="M288" s="35"/>
      <x:c r="N288" s="35"/>
      <x:c r="O288" s="36"/>
      <x:c r="P288" s="37"/>
      <x:c r="Q288" s="17"/>
      <x:c r="R288" s="17"/>
      <x:c r="S288" s="17"/>
      <x:c r="T288" s="35"/>
      <x:c r="U288" s="35"/>
      <x:c r="V288" s="37"/>
      <x:c r="W288" s="17"/>
      <x:c r="X288" s="17"/>
      <x:c r="Y288" s="17"/>
      <x:c r="Z288" s="37"/>
      <x:c r="AA288" s="35"/>
      <x:c r="AB288" s="37"/>
      <x:c r="AC288" s="17"/>
      <x:c r="AD288" s="38"/>
      <x:c r="AE288" s="37">
        <x:f t="shared" si="12"/>
      </x:c>
      <x:c r="AF288" s="17"/>
      <x:c r="AG288" s="17"/>
      <x:c r="AH288" s="17"/>
      <x:c r="AI288" s="17"/>
      <x:c r="AJ288" s="37"/>
      <x:c r="AK288" s="17"/>
      <x:c r="AL288" s="17"/>
      <x:c r="AM288" s="17"/>
      <x:c r="AN288" s="17"/>
      <x:c r="AO288" s="17"/>
      <x:c r="AP288" s="17"/>
      <x:c r="AQ288" s="39"/>
      <x:c r="AR288" s="17"/>
      <x:c r="AS288" s="17"/>
      <x:c r="AT288" s="40"/>
      <x:c r="AU288" s="41">
        <x:f t="shared" si="11"/>
      </x:c>
      <x:c r="AV288" s="42"/>
      <x:c r="AW288" s="19"/>
      <x:c r="AX288" s="19"/>
      <x:c r="AY288" s="19"/>
      <x:c r="AZ288" s="19"/>
      <x:c r="BA288" s="19"/>
      <x:c r="BB288" s="19"/>
      <x:c r="BC288" s="19"/>
      <x:c r="BD288" s="19"/>
      <x:c r="BE288"/>
      <x:c r="BF288"/>
    </x:row>
    <x:row r="289" ht="28" customHeight="1">
      <x:c r="A289" s="4"/>
      <x:c r="B289" s="15"/>
      <x:c r="C289" s="15"/>
      <x:c r="D289" s="15"/>
      <x:c r="E289" s="32"/>
      <x:c r="F289" s="17"/>
      <x:c r="G289" s="4">
        <x:f t="shared" si="10"/>
      </x:c>
      <x:c r="H289" s="33"/>
      <x:c r="I289" s="17"/>
      <x:c r="J289" s="34"/>
      <x:c r="K289" s="17"/>
      <x:c r="L289" s="17"/>
      <x:c r="M289" s="35"/>
      <x:c r="N289" s="35"/>
      <x:c r="O289" s="36"/>
      <x:c r="P289" s="37"/>
      <x:c r="Q289" s="17"/>
      <x:c r="R289" s="17"/>
      <x:c r="S289" s="17"/>
      <x:c r="T289" s="35"/>
      <x:c r="U289" s="35"/>
      <x:c r="V289" s="37"/>
      <x:c r="W289" s="17"/>
      <x:c r="X289" s="17"/>
      <x:c r="Y289" s="17"/>
      <x:c r="Z289" s="37"/>
      <x:c r="AA289" s="35"/>
      <x:c r="AB289" s="37"/>
      <x:c r="AC289" s="17"/>
      <x:c r="AD289" s="38"/>
      <x:c r="AE289" s="37">
        <x:f t="shared" si="12"/>
      </x:c>
      <x:c r="AF289" s="17"/>
      <x:c r="AG289" s="17"/>
      <x:c r="AH289" s="17"/>
      <x:c r="AI289" s="17"/>
      <x:c r="AJ289" s="37"/>
      <x:c r="AK289" s="17"/>
      <x:c r="AL289" s="17"/>
      <x:c r="AM289" s="17"/>
      <x:c r="AN289" s="17"/>
      <x:c r="AO289" s="17"/>
      <x:c r="AP289" s="17"/>
      <x:c r="AQ289" s="39"/>
      <x:c r="AR289" s="17"/>
      <x:c r="AS289" s="17"/>
      <x:c r="AT289" s="40"/>
      <x:c r="AU289" s="41">
        <x:f t="shared" si="11"/>
      </x:c>
      <x:c r="AV289" s="42"/>
      <x:c r="AW289" s="19"/>
      <x:c r="AX289" s="19"/>
      <x:c r="AY289" s="19"/>
      <x:c r="AZ289" s="19"/>
      <x:c r="BA289" s="19"/>
      <x:c r="BB289" s="19"/>
      <x:c r="BC289" s="19"/>
      <x:c r="BD289" s="19"/>
      <x:c r="BE289"/>
      <x:c r="BF289"/>
    </x:row>
    <x:row r="290" ht="28" customHeight="1">
      <x:c r="A290" s="4"/>
      <x:c r="B290" s="15"/>
      <x:c r="C290" s="15"/>
      <x:c r="D290" s="15"/>
      <x:c r="E290" s="32"/>
      <x:c r="F290" s="17"/>
      <x:c r="G290" s="4">
        <x:f t="shared" si="10"/>
      </x:c>
      <x:c r="H290" s="33"/>
      <x:c r="I290" s="17"/>
      <x:c r="J290" s="34"/>
      <x:c r="K290" s="17"/>
      <x:c r="L290" s="17"/>
      <x:c r="M290" s="35"/>
      <x:c r="N290" s="35"/>
      <x:c r="O290" s="36"/>
      <x:c r="P290" s="37"/>
      <x:c r="Q290" s="17"/>
      <x:c r="R290" s="17"/>
      <x:c r="S290" s="17"/>
      <x:c r="T290" s="35"/>
      <x:c r="U290" s="35"/>
      <x:c r="V290" s="37"/>
      <x:c r="W290" s="17"/>
      <x:c r="X290" s="17"/>
      <x:c r="Y290" s="17"/>
      <x:c r="Z290" s="37"/>
      <x:c r="AA290" s="35"/>
      <x:c r="AB290" s="37"/>
      <x:c r="AC290" s="17"/>
      <x:c r="AD290" s="38"/>
      <x:c r="AE290" s="37">
        <x:f t="shared" si="12"/>
      </x:c>
      <x:c r="AF290" s="17"/>
      <x:c r="AG290" s="17"/>
      <x:c r="AH290" s="17"/>
      <x:c r="AI290" s="17"/>
      <x:c r="AJ290" s="37"/>
      <x:c r="AK290" s="17"/>
      <x:c r="AL290" s="17"/>
      <x:c r="AM290" s="17"/>
      <x:c r="AN290" s="17"/>
      <x:c r="AO290" s="17"/>
      <x:c r="AP290" s="17"/>
      <x:c r="AQ290" s="39"/>
      <x:c r="AR290" s="17"/>
      <x:c r="AS290" s="17"/>
      <x:c r="AT290" s="40"/>
      <x:c r="AU290" s="41">
        <x:f t="shared" si="11"/>
      </x:c>
      <x:c r="AV290" s="42"/>
      <x:c r="AW290" s="19"/>
      <x:c r="AX290" s="19"/>
      <x:c r="AY290" s="19"/>
      <x:c r="AZ290" s="19"/>
      <x:c r="BA290" s="19"/>
      <x:c r="BB290" s="19"/>
      <x:c r="BC290" s="19"/>
      <x:c r="BD290" s="19"/>
      <x:c r="BF290"/>
    </x:row>
    <x:row r="291" ht="28" customHeight="1">
      <x:c r="A291" s="4"/>
      <x:c r="B291" s="15"/>
      <x:c r="C291" s="15"/>
      <x:c r="D291" s="15"/>
      <x:c r="E291" s="32"/>
      <x:c r="F291" s="17"/>
      <x:c r="G291" s="4">
        <x:f t="shared" si="10"/>
      </x:c>
      <x:c r="H291" s="33"/>
      <x:c r="I291" s="17"/>
      <x:c r="J291" s="34"/>
      <x:c r="K291" s="17"/>
      <x:c r="L291" s="17"/>
      <x:c r="M291" s="35"/>
      <x:c r="N291" s="35"/>
      <x:c r="O291" s="36"/>
      <x:c r="P291" s="37"/>
      <x:c r="Q291" s="17"/>
      <x:c r="R291" s="17"/>
      <x:c r="S291" s="17"/>
      <x:c r="T291" s="35"/>
      <x:c r="U291" s="35"/>
      <x:c r="V291" s="37"/>
      <x:c r="W291" s="17"/>
      <x:c r="X291" s="17"/>
      <x:c r="Y291" s="17"/>
      <x:c r="Z291" s="37"/>
      <x:c r="AA291" s="35"/>
      <x:c r="AB291" s="37"/>
      <x:c r="AC291" s="17"/>
      <x:c r="AD291" s="38"/>
      <x:c r="AE291" s="37"/>
      <x:c r="AF291" s="17"/>
      <x:c r="AG291" s="17"/>
      <x:c r="AH291" s="17"/>
      <x:c r="AI291" s="17"/>
      <x:c r="AJ291" s="37"/>
      <x:c r="AK291" s="17"/>
      <x:c r="AL291" s="17"/>
      <x:c r="AM291" s="17"/>
      <x:c r="AN291" s="17"/>
      <x:c r="AO291" s="17"/>
      <x:c r="AP291" s="17"/>
      <x:c r="AQ291" s="39"/>
      <x:c r="AR291" s="17"/>
      <x:c r="AS291" s="17"/>
      <x:c r="AT291" s="40"/>
      <x:c r="AU291" s="41">
        <x:f t="shared" si="11"/>
      </x:c>
      <x:c r="AV291" s="42"/>
      <x:c r="AW291" s="19"/>
      <x:c r="AX291" s="19"/>
      <x:c r="AY291" s="19"/>
      <x:c r="AZ291" s="19"/>
      <x:c r="BA291" s="19"/>
      <x:c r="BB291" s="19"/>
      <x:c r="BC291" s="19"/>
      <x:c r="BD291" s="19"/>
      <x:c r="BF291"/>
    </x:row>
    <x:row r="292" ht="28" customHeight="1">
      <x:c r="A292" s="4"/>
      <x:c r="B292" s="15"/>
      <x:c r="C292" s="15"/>
      <x:c r="D292" s="15"/>
      <x:c r="E292" s="32"/>
      <x:c r="F292" s="17"/>
      <x:c r="G292" s="4">
        <x:f t="shared" si="10"/>
      </x:c>
      <x:c r="H292" s="33"/>
      <x:c r="I292" s="17"/>
      <x:c r="J292" s="34"/>
      <x:c r="K292" s="17"/>
      <x:c r="L292" s="17"/>
      <x:c r="M292" s="35"/>
      <x:c r="N292" s="35"/>
      <x:c r="O292" s="36"/>
      <x:c r="P292" s="37"/>
      <x:c r="Q292" s="17"/>
      <x:c r="R292" s="17"/>
      <x:c r="S292" s="17"/>
      <x:c r="T292" s="35"/>
      <x:c r="U292" s="35"/>
      <x:c r="V292" s="37"/>
      <x:c r="W292" s="17"/>
      <x:c r="X292" s="17"/>
      <x:c r="Y292" s="17"/>
      <x:c r="Z292" s="37"/>
      <x:c r="AA292" s="35"/>
      <x:c r="AB292" s="37"/>
      <x:c r="AC292" s="17"/>
      <x:c r="AD292" s="38"/>
      <x:c r="AE292" s="37"/>
      <x:c r="AF292" s="17"/>
      <x:c r="AG292" s="17"/>
      <x:c r="AH292" s="17"/>
      <x:c r="AI292" s="17"/>
      <x:c r="AJ292" s="37"/>
      <x:c r="AK292" s="17"/>
      <x:c r="AL292" s="17"/>
      <x:c r="AM292" s="17"/>
      <x:c r="AN292" s="17"/>
      <x:c r="AO292" s="17"/>
      <x:c r="AP292" s="17"/>
      <x:c r="AQ292" s="39"/>
      <x:c r="AR292" s="17"/>
      <x:c r="AS292" s="17"/>
      <x:c r="AT292" s="40"/>
      <x:c r="AU292" s="41">
        <x:f t="shared" si="11"/>
      </x:c>
      <x:c r="AV292" s="42"/>
      <x:c r="AW292" s="19"/>
      <x:c r="AX292" s="19"/>
      <x:c r="AY292" s="19"/>
      <x:c r="AZ292" s="19"/>
      <x:c r="BA292" s="19"/>
      <x:c r="BB292" s="19"/>
      <x:c r="BC292" s="19"/>
      <x:c r="BD292" s="19"/>
      <x:c r="BF292"/>
    </x:row>
    <x:row r="293" ht="28" customHeight="1">
      <x:c r="A293" s="4"/>
      <x:c r="B293" s="15"/>
      <x:c r="C293" s="15"/>
      <x:c r="D293" s="15"/>
      <x:c r="E293" s="32"/>
      <x:c r="F293" s="17"/>
      <x:c r="G293" s="4">
        <x:f t="shared" si="10"/>
      </x:c>
      <x:c r="H293" s="33"/>
      <x:c r="I293" s="17"/>
      <x:c r="J293" s="34"/>
      <x:c r="K293" s="17"/>
      <x:c r="L293" s="17"/>
      <x:c r="M293" s="35"/>
      <x:c r="N293" s="35"/>
      <x:c r="O293" s="36"/>
      <x:c r="P293" s="37"/>
      <x:c r="Q293" s="17"/>
      <x:c r="R293" s="17"/>
      <x:c r="S293" s="17"/>
      <x:c r="T293" s="35"/>
      <x:c r="U293" s="35"/>
      <x:c r="V293" s="37"/>
      <x:c r="W293" s="17"/>
      <x:c r="X293" s="17"/>
      <x:c r="Y293" s="17"/>
      <x:c r="Z293" s="37"/>
      <x:c r="AA293" s="35"/>
      <x:c r="AB293" s="37"/>
      <x:c r="AC293" s="17"/>
      <x:c r="AD293" s="38"/>
      <x:c r="AE293" s="37"/>
      <x:c r="AF293" s="17"/>
      <x:c r="AG293" s="17"/>
      <x:c r="AH293" s="17"/>
      <x:c r="AI293" s="17"/>
      <x:c r="AJ293" s="37"/>
      <x:c r="AK293" s="17"/>
      <x:c r="AL293" s="17"/>
      <x:c r="AM293" s="17"/>
      <x:c r="AN293" s="17"/>
      <x:c r="AO293" s="17"/>
      <x:c r="AP293" s="17"/>
      <x:c r="AQ293" s="39"/>
      <x:c r="AR293" s="17"/>
      <x:c r="AS293" s="17"/>
      <x:c r="AT293" s="40"/>
      <x:c r="AU293" s="41">
        <x:f t="shared" si="11"/>
      </x:c>
      <x:c r="AV293" s="42"/>
      <x:c r="AW293" s="19"/>
      <x:c r="AX293" s="19"/>
      <x:c r="AY293" s="19"/>
      <x:c r="AZ293" s="19"/>
      <x:c r="BA293" s="19"/>
      <x:c r="BB293" s="19"/>
      <x:c r="BC293" s="19"/>
      <x:c r="BD293" s="19"/>
      <x:c r="BE293"/>
      <x:c r="BF293"/>
    </x:row>
    <x:row r="294" ht="28" customHeight="1">
      <x:c r="A294" s="4"/>
      <x:c r="B294" s="15"/>
      <x:c r="C294" s="15"/>
      <x:c r="D294" s="15"/>
      <x:c r="E294" s="32"/>
      <x:c r="F294" s="17"/>
      <x:c r="G294" s="4">
        <x:f t="shared" si="10"/>
      </x:c>
      <x:c r="H294" s="33"/>
      <x:c r="I294" s="17"/>
      <x:c r="J294" s="34"/>
      <x:c r="K294" s="17"/>
      <x:c r="L294" s="17"/>
      <x:c r="M294" s="35"/>
      <x:c r="N294" s="35"/>
      <x:c r="O294" s="36"/>
      <x:c r="P294" s="37"/>
      <x:c r="Q294" s="17"/>
      <x:c r="R294" s="17"/>
      <x:c r="S294" s="17"/>
      <x:c r="T294" s="35"/>
      <x:c r="U294" s="35"/>
      <x:c r="V294" s="37"/>
      <x:c r="W294" s="17"/>
      <x:c r="X294" s="17"/>
      <x:c r="Y294" s="17"/>
      <x:c r="Z294" s="37"/>
      <x:c r="AA294" s="35"/>
      <x:c r="AB294" s="37"/>
      <x:c r="AC294" s="17"/>
      <x:c r="AD294" s="38"/>
      <x:c r="AE294" s="37"/>
      <x:c r="AF294" s="17"/>
      <x:c r="AG294" s="17"/>
      <x:c r="AH294" s="17"/>
      <x:c r="AI294" s="17"/>
      <x:c r="AJ294" s="37"/>
      <x:c r="AK294" s="17"/>
      <x:c r="AL294" s="17"/>
      <x:c r="AM294" s="17"/>
      <x:c r="AN294" s="17"/>
      <x:c r="AO294" s="17"/>
      <x:c r="AP294" s="17"/>
      <x:c r="AQ294" s="39"/>
      <x:c r="AR294" s="17"/>
      <x:c r="AS294" s="17"/>
      <x:c r="AT294" s="40"/>
      <x:c r="AU294" s="41">
        <x:f t="shared" si="11"/>
      </x:c>
      <x:c r="AV294" s="42"/>
      <x:c r="AW294" s="19"/>
      <x:c r="AX294" s="19"/>
      <x:c r="AY294" s="19"/>
      <x:c r="AZ294" s="19"/>
      <x:c r="BA294" s="19"/>
      <x:c r="BB294" s="19"/>
      <x:c r="BC294" s="19"/>
      <x:c r="BD294" s="19"/>
      <x:c r="BE294"/>
      <x:c r="BF294"/>
    </x:row>
    <x:row r="295" ht="28" customHeight="1">
      <x:c r="A295" s="4"/>
      <x:c r="B295" s="15"/>
      <x:c r="C295" s="15"/>
      <x:c r="D295" s="15"/>
      <x:c r="E295" s="32"/>
      <x:c r="F295" s="17"/>
      <x:c r="G295" s="4">
        <x:f t="shared" si="10"/>
      </x:c>
      <x:c r="H295" s="33"/>
      <x:c r="I295" s="17"/>
      <x:c r="J295" s="34"/>
      <x:c r="K295" s="17"/>
      <x:c r="L295" s="17"/>
      <x:c r="M295" s="35"/>
      <x:c r="N295" s="35"/>
      <x:c r="O295" s="36"/>
      <x:c r="P295" s="37"/>
      <x:c r="Q295" s="17"/>
      <x:c r="R295" s="17"/>
      <x:c r="S295" s="17"/>
      <x:c r="T295" s="35"/>
      <x:c r="U295" s="35"/>
      <x:c r="V295" s="37"/>
      <x:c r="W295" s="17"/>
      <x:c r="X295" s="17"/>
      <x:c r="Y295" s="17"/>
      <x:c r="Z295" s="37"/>
      <x:c r="AA295" s="35"/>
      <x:c r="AB295" s="37"/>
      <x:c r="AC295" s="17"/>
      <x:c r="AD295" s="38"/>
      <x:c r="AE295" s="37"/>
      <x:c r="AF295" s="17"/>
      <x:c r="AG295" s="17"/>
      <x:c r="AH295" s="17"/>
      <x:c r="AI295" s="17"/>
      <x:c r="AJ295" s="37"/>
      <x:c r="AK295" s="17"/>
      <x:c r="AL295" s="17"/>
      <x:c r="AM295" s="17"/>
      <x:c r="AN295" s="17"/>
      <x:c r="AO295" s="17"/>
      <x:c r="AP295" s="17"/>
      <x:c r="AQ295" s="39"/>
      <x:c r="AR295" s="17"/>
      <x:c r="AS295" s="17"/>
      <x:c r="AT295" s="40"/>
      <x:c r="AU295" s="41">
        <x:f t="shared" si="11"/>
      </x:c>
      <x:c r="AV295" s="42"/>
      <x:c r="AW295" s="19"/>
      <x:c r="AX295" s="19"/>
      <x:c r="AY295" s="19"/>
      <x:c r="AZ295" s="19"/>
      <x:c r="BA295" s="19"/>
      <x:c r="BB295" s="19"/>
      <x:c r="BC295" s="19"/>
      <x:c r="BD295" s="19"/>
      <x:c r="BF295"/>
    </x:row>
    <x:row r="296" ht="28" customHeight="1">
      <x:c r="A296" s="4"/>
      <x:c r="B296" s="15"/>
      <x:c r="C296" s="15"/>
      <x:c r="D296" s="15"/>
      <x:c r="E296" s="32"/>
      <x:c r="F296" s="17"/>
      <x:c r="G296" s="4">
        <x:f t="shared" si="10"/>
      </x:c>
      <x:c r="H296" s="33"/>
      <x:c r="I296" s="17"/>
      <x:c r="J296" s="34"/>
      <x:c r="K296" s="17"/>
      <x:c r="L296" s="17"/>
      <x:c r="M296" s="35"/>
      <x:c r="N296" s="35"/>
      <x:c r="O296" s="36"/>
      <x:c r="P296" s="37"/>
      <x:c r="Q296" s="17"/>
      <x:c r="R296" s="17"/>
      <x:c r="S296" s="17"/>
      <x:c r="T296" s="35"/>
      <x:c r="U296" s="35"/>
      <x:c r="V296" s="37"/>
      <x:c r="W296" s="17"/>
      <x:c r="X296" s="17"/>
      <x:c r="Y296" s="17"/>
      <x:c r="Z296" s="37"/>
      <x:c r="AA296" s="35"/>
      <x:c r="AB296" s="37"/>
      <x:c r="AC296" s="17"/>
      <x:c r="AD296" s="38"/>
      <x:c r="AE296" s="37"/>
      <x:c r="AF296" s="17"/>
      <x:c r="AG296" s="17"/>
      <x:c r="AH296" s="17"/>
      <x:c r="AI296" s="17"/>
      <x:c r="AJ296" s="37"/>
      <x:c r="AK296" s="17"/>
      <x:c r="AL296" s="17"/>
      <x:c r="AM296" s="17"/>
      <x:c r="AN296" s="17"/>
      <x:c r="AO296" s="17"/>
      <x:c r="AP296" s="17"/>
      <x:c r="AQ296" s="39"/>
      <x:c r="AR296" s="17"/>
      <x:c r="AS296" s="17"/>
      <x:c r="AT296" s="40"/>
      <x:c r="AU296" s="41">
        <x:f t="shared" si="11"/>
      </x:c>
      <x:c r="AV296" s="42"/>
      <x:c r="AW296" s="19"/>
      <x:c r="AX296" s="19"/>
      <x:c r="AY296" s="19"/>
      <x:c r="AZ296" s="19"/>
      <x:c r="BA296" s="19"/>
      <x:c r="BB296" s="19"/>
      <x:c r="BC296" s="19"/>
      <x:c r="BD296" s="19"/>
      <x:c r="BF296"/>
    </x:row>
    <x:row r="297" ht="28" customHeight="1">
      <x:c r="A297" s="4"/>
      <x:c r="B297" s="15"/>
      <x:c r="C297" s="15"/>
      <x:c r="D297" s="15"/>
      <x:c r="E297" s="32"/>
      <x:c r="F297" s="17"/>
      <x:c r="G297" s="4">
        <x:f t="shared" si="10"/>
      </x:c>
      <x:c r="H297" s="33"/>
      <x:c r="I297" s="17"/>
      <x:c r="J297" s="34"/>
      <x:c r="K297" s="17"/>
      <x:c r="L297" s="17"/>
      <x:c r="M297" s="35"/>
      <x:c r="N297" s="35"/>
      <x:c r="O297" s="36"/>
      <x:c r="P297" s="37"/>
      <x:c r="Q297" s="17"/>
      <x:c r="R297" s="17"/>
      <x:c r="S297" s="17"/>
      <x:c r="T297" s="35"/>
      <x:c r="U297" s="35"/>
      <x:c r="V297" s="37"/>
      <x:c r="W297" s="17"/>
      <x:c r="X297" s="17"/>
      <x:c r="Y297" s="17"/>
      <x:c r="Z297" s="37"/>
      <x:c r="AA297" s="35"/>
      <x:c r="AB297" s="37"/>
      <x:c r="AC297" s="17"/>
      <x:c r="AD297" s="38"/>
      <x:c r="AE297" s="37"/>
      <x:c r="AF297" s="17"/>
      <x:c r="AG297" s="17"/>
      <x:c r="AH297" s="17"/>
      <x:c r="AI297" s="17"/>
      <x:c r="AJ297" s="37"/>
      <x:c r="AK297" s="17"/>
      <x:c r="AL297" s="17"/>
      <x:c r="AM297" s="17"/>
      <x:c r="AN297" s="17"/>
      <x:c r="AO297" s="17"/>
      <x:c r="AP297" s="17"/>
      <x:c r="AQ297" s="39"/>
      <x:c r="AR297" s="17"/>
      <x:c r="AS297" s="17"/>
      <x:c r="AT297" s="40"/>
      <x:c r="AU297" s="41">
        <x:f t="shared" si="11"/>
      </x:c>
      <x:c r="AV297" s="42"/>
      <x:c r="AW297" s="19"/>
      <x:c r="AX297" s="19"/>
      <x:c r="AY297" s="19"/>
      <x:c r="AZ297" s="19"/>
      <x:c r="BA297" s="19"/>
      <x:c r="BB297" s="19"/>
      <x:c r="BC297" s="19"/>
      <x:c r="BD297" s="19"/>
      <x:c r="BF297"/>
    </x:row>
    <x:row r="298" ht="28" customHeight="1">
      <x:c r="A298" s="4"/>
      <x:c r="B298" s="15"/>
      <x:c r="C298" s="15"/>
      <x:c r="D298" s="15"/>
      <x:c r="E298" s="32"/>
      <x:c r="F298" s="17"/>
      <x:c r="G298" s="4">
        <x:f t="shared" si="10"/>
      </x:c>
      <x:c r="H298" s="33"/>
      <x:c r="I298" s="17"/>
      <x:c r="J298" s="34"/>
      <x:c r="K298" s="17"/>
      <x:c r="L298" s="17"/>
      <x:c r="M298" s="35"/>
      <x:c r="N298" s="35"/>
      <x:c r="O298" s="36"/>
      <x:c r="P298" s="37"/>
      <x:c r="Q298" s="17"/>
      <x:c r="R298" s="17"/>
      <x:c r="S298" s="17"/>
      <x:c r="T298" s="35"/>
      <x:c r="U298" s="35"/>
      <x:c r="V298" s="37"/>
      <x:c r="W298" s="17"/>
      <x:c r="X298" s="17"/>
      <x:c r="Y298" s="17"/>
      <x:c r="Z298" s="37"/>
      <x:c r="AA298" s="35"/>
      <x:c r="AB298" s="37"/>
      <x:c r="AC298" s="17"/>
      <x:c r="AD298" s="38"/>
      <x:c r="AE298" s="37"/>
      <x:c r="AF298" s="17"/>
      <x:c r="AG298" s="17"/>
      <x:c r="AH298" s="17"/>
      <x:c r="AI298" s="17"/>
      <x:c r="AJ298" s="37"/>
      <x:c r="AK298" s="17"/>
      <x:c r="AL298" s="17"/>
      <x:c r="AM298" s="17"/>
      <x:c r="AN298" s="17"/>
      <x:c r="AO298" s="17"/>
      <x:c r="AP298" s="17"/>
      <x:c r="AQ298" s="39"/>
      <x:c r="AR298" s="17"/>
      <x:c r="AS298" s="17"/>
      <x:c r="AT298" s="40"/>
      <x:c r="AU298" s="41">
        <x:f t="shared" si="11"/>
      </x:c>
      <x:c r="AV298" s="42"/>
      <x:c r="AW298" s="19"/>
      <x:c r="AX298" s="19"/>
      <x:c r="AY298" s="19"/>
      <x:c r="AZ298" s="19"/>
      <x:c r="BA298" s="19"/>
      <x:c r="BB298" s="19"/>
      <x:c r="BC298" s="19"/>
      <x:c r="BD298" s="19"/>
      <x:c r="BF298"/>
    </x:row>
    <x:row r="299" ht="28" customHeight="1">
      <x:c r="A299" s="4"/>
      <x:c r="B299" s="15"/>
      <x:c r="C299" s="15"/>
      <x:c r="D299" s="15"/>
      <x:c r="E299" s="32"/>
      <x:c r="F299" s="17"/>
      <x:c r="G299" s="4">
        <x:f t="shared" si="10"/>
      </x:c>
      <x:c r="H299" s="33"/>
      <x:c r="I299" s="17"/>
      <x:c r="J299" s="34"/>
      <x:c r="K299" s="17"/>
      <x:c r="L299" s="17"/>
      <x:c r="M299" s="35"/>
      <x:c r="N299" s="35"/>
      <x:c r="O299" s="36"/>
      <x:c r="P299" s="37"/>
      <x:c r="Q299" s="17"/>
      <x:c r="R299" s="17"/>
      <x:c r="S299" s="17"/>
      <x:c r="T299" s="35"/>
      <x:c r="U299" s="35"/>
      <x:c r="V299" s="37"/>
      <x:c r="W299" s="17"/>
      <x:c r="X299" s="17"/>
      <x:c r="Y299" s="17"/>
      <x:c r="Z299" s="37"/>
      <x:c r="AA299" s="35"/>
      <x:c r="AB299" s="37"/>
      <x:c r="AC299" s="17"/>
      <x:c r="AD299" s="38"/>
      <x:c r="AE299" s="37">
        <x:f t="shared" ref="AE299:AE305" si="13">Z299</x:f>
      </x:c>
      <x:c r="AF299" s="17"/>
      <x:c r="AG299" s="17"/>
      <x:c r="AH299" s="17"/>
      <x:c r="AI299" s="17"/>
      <x:c r="AJ299" s="37"/>
      <x:c r="AK299" s="17"/>
      <x:c r="AL299" s="17"/>
      <x:c r="AM299" s="17"/>
      <x:c r="AN299" s="17"/>
      <x:c r="AO299" s="17"/>
      <x:c r="AP299" s="17"/>
      <x:c r="AQ299" s="39"/>
      <x:c r="AR299" s="17"/>
      <x:c r="AS299" s="17"/>
      <x:c r="AT299" s="40"/>
      <x:c r="AU299" s="41">
        <x:f t="shared" si="11"/>
      </x:c>
      <x:c r="AV299" s="42"/>
      <x:c r="AW299" s="19"/>
      <x:c r="AX299" s="19"/>
      <x:c r="AY299" s="19"/>
      <x:c r="AZ299" s="19"/>
      <x:c r="BA299" s="19"/>
      <x:c r="BB299" s="19"/>
      <x:c r="BC299" s="19"/>
      <x:c r="BD299" s="19"/>
      <x:c r="BF299"/>
    </x:row>
    <x:row r="300" ht="28" customHeight="1">
      <x:c r="A300" s="4"/>
      <x:c r="B300" s="15"/>
      <x:c r="C300" s="15"/>
      <x:c r="D300" s="15"/>
      <x:c r="E300" s="32"/>
      <x:c r="F300" s="17"/>
      <x:c r="G300" s="4">
        <x:f t="shared" si="10"/>
      </x:c>
      <x:c r="H300" s="33"/>
      <x:c r="I300" s="17"/>
      <x:c r="J300" s="34"/>
      <x:c r="K300" s="17"/>
      <x:c r="L300" s="17"/>
      <x:c r="M300" s="35"/>
      <x:c r="N300" s="35"/>
      <x:c r="O300" s="36"/>
      <x:c r="P300" s="37"/>
      <x:c r="Q300" s="17"/>
      <x:c r="R300" s="17"/>
      <x:c r="S300" s="17"/>
      <x:c r="T300" s="35"/>
      <x:c r="U300" s="35"/>
      <x:c r="V300" s="37"/>
      <x:c r="W300" s="17"/>
      <x:c r="X300" s="17"/>
      <x:c r="Y300" s="17"/>
      <x:c r="Z300" s="37"/>
      <x:c r="AA300" s="35"/>
      <x:c r="AB300" s="37"/>
      <x:c r="AC300" s="17"/>
      <x:c r="AD300" s="38"/>
      <x:c r="AE300" s="37">
        <x:f t="shared" si="13"/>
      </x:c>
      <x:c r="AF300" s="17"/>
      <x:c r="AG300" s="17"/>
      <x:c r="AH300" s="17"/>
      <x:c r="AI300" s="17"/>
      <x:c r="AJ300" s="37"/>
      <x:c r="AK300" s="17"/>
      <x:c r="AL300" s="17"/>
      <x:c r="AM300" s="17"/>
      <x:c r="AN300" s="17"/>
      <x:c r="AO300" s="17"/>
      <x:c r="AP300" s="17"/>
      <x:c r="AQ300" s="39"/>
      <x:c r="AR300" s="17"/>
      <x:c r="AS300" s="17"/>
      <x:c r="AT300" s="40"/>
      <x:c r="AU300" s="41">
        <x:f t="shared" si="11"/>
      </x:c>
      <x:c r="AV300" s="42"/>
      <x:c r="AW300" s="19"/>
      <x:c r="AX300" s="19"/>
      <x:c r="AY300" s="19"/>
      <x:c r="AZ300" s="19"/>
      <x:c r="BA300" s="19"/>
      <x:c r="BB300" s="19"/>
      <x:c r="BC300" s="19"/>
      <x:c r="BD300" s="19"/>
      <x:c r="BF300"/>
    </x:row>
    <x:row r="301" ht="28" customHeight="1">
      <x:c r="A301" s="4"/>
      <x:c r="B301" s="15"/>
      <x:c r="C301" s="15"/>
      <x:c r="D301" s="15"/>
      <x:c r="E301" s="32"/>
      <x:c r="F301" s="17"/>
      <x:c r="G301" s="4">
        <x:f t="shared" si="10"/>
      </x:c>
      <x:c r="H301" s="33"/>
      <x:c r="I301" s="17"/>
      <x:c r="J301" s="34"/>
      <x:c r="K301" s="17"/>
      <x:c r="L301" s="17"/>
      <x:c r="M301" s="35"/>
      <x:c r="N301" s="35"/>
      <x:c r="O301" s="36"/>
      <x:c r="P301" s="37"/>
      <x:c r="Q301" s="17"/>
      <x:c r="R301" s="17"/>
      <x:c r="S301" s="17"/>
      <x:c r="T301" s="35"/>
      <x:c r="U301" s="35"/>
      <x:c r="V301" s="37"/>
      <x:c r="W301" s="17"/>
      <x:c r="X301" s="17"/>
      <x:c r="Y301" s="17"/>
      <x:c r="Z301" s="37"/>
      <x:c r="AA301" s="35"/>
      <x:c r="AB301" s="37"/>
      <x:c r="AC301" s="17"/>
      <x:c r="AD301" s="38"/>
      <x:c r="AE301" s="37">
        <x:f t="shared" si="13"/>
      </x:c>
      <x:c r="AF301" s="17"/>
      <x:c r="AG301" s="17"/>
      <x:c r="AH301" s="17"/>
      <x:c r="AI301" s="17"/>
      <x:c r="AJ301" s="37"/>
      <x:c r="AK301" s="17"/>
      <x:c r="AL301" s="17"/>
      <x:c r="AM301" s="17"/>
      <x:c r="AN301" s="17"/>
      <x:c r="AO301" s="17"/>
      <x:c r="AP301" s="17"/>
      <x:c r="AQ301" s="39"/>
      <x:c r="AR301" s="17"/>
      <x:c r="AS301" s="17"/>
      <x:c r="AT301" s="40"/>
      <x:c r="AU301" s="41">
        <x:f t="shared" si="11"/>
      </x:c>
      <x:c r="AV301" s="42"/>
      <x:c r="AW301" s="19"/>
      <x:c r="AX301" s="19"/>
      <x:c r="AY301" s="19"/>
      <x:c r="AZ301" s="19"/>
      <x:c r="BA301" s="19"/>
      <x:c r="BB301" s="19"/>
      <x:c r="BC301" s="19"/>
      <x:c r="BD301" s="19"/>
      <x:c r="BE301"/>
      <x:c r="BF301"/>
    </x:row>
    <x:row r="302" ht="28" customHeight="1">
      <x:c r="A302" s="4"/>
      <x:c r="B302" s="15"/>
      <x:c r="C302" s="15"/>
      <x:c r="D302" s="15"/>
      <x:c r="E302" s="32"/>
      <x:c r="F302" s="17"/>
      <x:c r="G302" s="4">
        <x:f t="shared" si="10"/>
      </x:c>
      <x:c r="H302" s="33"/>
      <x:c r="I302" s="17"/>
      <x:c r="J302" s="34"/>
      <x:c r="K302" s="17"/>
      <x:c r="L302" s="17"/>
      <x:c r="M302" s="35"/>
      <x:c r="N302" s="35"/>
      <x:c r="O302" s="36"/>
      <x:c r="P302" s="37"/>
      <x:c r="Q302" s="17"/>
      <x:c r="R302" s="17"/>
      <x:c r="S302" s="17"/>
      <x:c r="T302" s="35"/>
      <x:c r="U302" s="35"/>
      <x:c r="V302" s="37"/>
      <x:c r="W302" s="17"/>
      <x:c r="X302" s="17"/>
      <x:c r="Y302" s="17"/>
      <x:c r="Z302" s="37"/>
      <x:c r="AA302" s="35"/>
      <x:c r="AB302" s="37"/>
      <x:c r="AC302" s="17"/>
      <x:c r="AD302" s="38"/>
      <x:c r="AE302" s="37">
        <x:f t="shared" si="13"/>
      </x:c>
      <x:c r="AF302" s="17"/>
      <x:c r="AG302" s="17"/>
      <x:c r="AH302" s="17"/>
      <x:c r="AI302" s="17"/>
      <x:c r="AJ302" s="37"/>
      <x:c r="AK302" s="17"/>
      <x:c r="AL302" s="17"/>
      <x:c r="AM302" s="17"/>
      <x:c r="AN302" s="17"/>
      <x:c r="AO302" s="17"/>
      <x:c r="AP302" s="17"/>
      <x:c r="AQ302" s="39"/>
      <x:c r="AR302" s="17"/>
      <x:c r="AS302" s="17"/>
      <x:c r="AT302" s="40"/>
      <x:c r="AU302" s="41">
        <x:f t="shared" si="11"/>
      </x:c>
      <x:c r="AV302" s="42"/>
      <x:c r="AW302" s="19"/>
      <x:c r="AX302" s="19"/>
      <x:c r="AY302" s="19"/>
      <x:c r="AZ302" s="19"/>
      <x:c r="BA302" s="19"/>
      <x:c r="BB302" s="19"/>
      <x:c r="BC302" s="19"/>
      <x:c r="BD302" s="19"/>
      <x:c r="BE302"/>
      <x:c r="BF302"/>
    </x:row>
    <x:row r="303" ht="28" customHeight="1">
      <x:c r="A303" s="4"/>
      <x:c r="B303" s="15"/>
      <x:c r="C303" s="15"/>
      <x:c r="D303" s="15"/>
      <x:c r="E303" s="32"/>
      <x:c r="F303" s="17"/>
      <x:c r="G303" s="4">
        <x:f t="shared" si="10"/>
      </x:c>
      <x:c r="H303" s="33"/>
      <x:c r="I303" s="17"/>
      <x:c r="J303" s="34"/>
      <x:c r="K303" s="17"/>
      <x:c r="L303" s="17"/>
      <x:c r="M303" s="35"/>
      <x:c r="N303" s="35"/>
      <x:c r="O303" s="36"/>
      <x:c r="P303" s="37"/>
      <x:c r="Q303" s="17"/>
      <x:c r="R303" s="17"/>
      <x:c r="S303" s="17"/>
      <x:c r="T303" s="35"/>
      <x:c r="U303" s="35"/>
      <x:c r="V303" s="37"/>
      <x:c r="W303" s="17"/>
      <x:c r="X303" s="17"/>
      <x:c r="Y303" s="17"/>
      <x:c r="Z303" s="37"/>
      <x:c r="AA303" s="35"/>
      <x:c r="AB303" s="37"/>
      <x:c r="AC303" s="17"/>
      <x:c r="AD303" s="38"/>
      <x:c r="AE303" s="37">
        <x:f t="shared" si="13"/>
      </x:c>
      <x:c r="AF303" s="17"/>
      <x:c r="AG303" s="17"/>
      <x:c r="AH303" s="17"/>
      <x:c r="AI303" s="17"/>
      <x:c r="AJ303" s="37"/>
      <x:c r="AK303" s="17"/>
      <x:c r="AL303" s="17"/>
      <x:c r="AM303" s="17"/>
      <x:c r="AN303" s="17"/>
      <x:c r="AO303" s="17"/>
      <x:c r="AP303" s="17"/>
      <x:c r="AQ303" s="39"/>
      <x:c r="AR303" s="17"/>
      <x:c r="AS303" s="17"/>
      <x:c r="AT303" s="40"/>
      <x:c r="AU303" s="41">
        <x:f t="shared" si="11"/>
      </x:c>
      <x:c r="AV303" s="42"/>
      <x:c r="AW303" s="19"/>
      <x:c r="AX303" s="19"/>
      <x:c r="AY303" s="19"/>
      <x:c r="AZ303" s="19"/>
      <x:c r="BA303" s="19"/>
      <x:c r="BB303" s="19"/>
      <x:c r="BC303" s="19"/>
      <x:c r="BD303" s="19"/>
      <x:c r="BE303"/>
      <x:c r="BF303"/>
    </x:row>
    <x:row r="304" ht="28" customHeight="1">
      <x:c r="A304" s="4"/>
      <x:c r="B304" s="15"/>
      <x:c r="C304" s="15"/>
      <x:c r="D304" s="15"/>
      <x:c r="E304" s="32"/>
      <x:c r="F304" s="17"/>
      <x:c r="G304" s="4">
        <x:f t="shared" si="10"/>
      </x:c>
      <x:c r="H304" s="33"/>
      <x:c r="I304" s="17"/>
      <x:c r="J304" s="34"/>
      <x:c r="K304" s="17"/>
      <x:c r="L304" s="17"/>
      <x:c r="M304" s="35"/>
      <x:c r="N304" s="35"/>
      <x:c r="O304" s="36"/>
      <x:c r="P304" s="37"/>
      <x:c r="Q304" s="17"/>
      <x:c r="R304" s="17"/>
      <x:c r="S304" s="17"/>
      <x:c r="T304" s="35"/>
      <x:c r="U304" s="35"/>
      <x:c r="V304" s="37"/>
      <x:c r="W304" s="17"/>
      <x:c r="X304" s="17"/>
      <x:c r="Y304" s="17"/>
      <x:c r="Z304" s="37"/>
      <x:c r="AA304" s="35"/>
      <x:c r="AB304" s="37"/>
      <x:c r="AC304" s="17"/>
      <x:c r="AD304" s="38"/>
      <x:c r="AE304" s="37">
        <x:f t="shared" si="13"/>
      </x:c>
      <x:c r="AF304" s="17"/>
      <x:c r="AG304" s="17"/>
      <x:c r="AH304" s="17"/>
      <x:c r="AI304" s="17"/>
      <x:c r="AJ304" s="37"/>
      <x:c r="AK304" s="17"/>
      <x:c r="AL304" s="17"/>
      <x:c r="AM304" s="17"/>
      <x:c r="AN304" s="17"/>
      <x:c r="AO304" s="17"/>
      <x:c r="AP304" s="17"/>
      <x:c r="AQ304" s="39"/>
      <x:c r="AR304" s="17"/>
      <x:c r="AS304" s="17"/>
      <x:c r="AT304" s="40"/>
      <x:c r="AU304" s="41">
        <x:f t="shared" si="11"/>
      </x:c>
      <x:c r="AV304" s="42"/>
      <x:c r="AW304" s="19"/>
      <x:c r="AX304" s="19"/>
      <x:c r="AY304" s="19"/>
      <x:c r="AZ304" s="19"/>
      <x:c r="BA304" s="19"/>
      <x:c r="BB304" s="19"/>
      <x:c r="BC304" s="19"/>
      <x:c r="BD304" s="19"/>
      <x:c r="BF304"/>
    </x:row>
    <x:row r="305" ht="28" customHeight="1">
      <x:c r="A305" s="4"/>
      <x:c r="B305" s="15"/>
      <x:c r="C305" s="15"/>
      <x:c r="D305" s="15"/>
      <x:c r="E305" s="32"/>
      <x:c r="F305" s="17"/>
      <x:c r="G305" s="4">
        <x:f t="shared" si="10"/>
      </x:c>
      <x:c r="H305" s="33"/>
      <x:c r="I305" s="17"/>
      <x:c r="J305" s="34"/>
      <x:c r="K305" s="17"/>
      <x:c r="L305" s="17"/>
      <x:c r="M305" s="35"/>
      <x:c r="N305" s="35"/>
      <x:c r="O305" s="36"/>
      <x:c r="P305" s="37"/>
      <x:c r="Q305" s="17"/>
      <x:c r="R305" s="17"/>
      <x:c r="S305" s="17"/>
      <x:c r="T305" s="35"/>
      <x:c r="U305" s="35"/>
      <x:c r="V305" s="37"/>
      <x:c r="W305" s="17"/>
      <x:c r="X305" s="17"/>
      <x:c r="Y305" s="17"/>
      <x:c r="Z305" s="37"/>
      <x:c r="AA305" s="35"/>
      <x:c r="AB305" s="37"/>
      <x:c r="AC305" s="17"/>
      <x:c r="AD305" s="38"/>
      <x:c r="AE305" s="37">
        <x:f t="shared" si="13"/>
      </x:c>
      <x:c r="AF305" s="17"/>
      <x:c r="AG305" s="17"/>
      <x:c r="AH305" s="17"/>
      <x:c r="AI305" s="17"/>
      <x:c r="AJ305" s="37"/>
      <x:c r="AK305" s="17"/>
      <x:c r="AL305" s="17"/>
      <x:c r="AM305" s="17"/>
      <x:c r="AN305" s="17"/>
      <x:c r="AO305" s="17"/>
      <x:c r="AP305" s="17"/>
      <x:c r="AQ305" s="39"/>
      <x:c r="AR305" s="17"/>
      <x:c r="AS305" s="17"/>
      <x:c r="AT305" s="40"/>
      <x:c r="AU305" s="41">
        <x:f t="shared" si="11"/>
      </x:c>
      <x:c r="AV305" s="42"/>
      <x:c r="AW305" s="19"/>
      <x:c r="AX305" s="19"/>
      <x:c r="AY305" s="19"/>
      <x:c r="AZ305" s="19"/>
      <x:c r="BA305" s="19"/>
      <x:c r="BB305" s="19"/>
      <x:c r="BC305" s="19"/>
      <x:c r="BD305" s="19"/>
      <x:c r="BF305"/>
    </x:row>
    <x:row r="306" ht="28" customHeight="1">
      <x:c r="A306" s="4"/>
      <x:c r="B306" s="15"/>
      <x:c r="C306" s="15"/>
      <x:c r="D306" s="15"/>
      <x:c r="E306" s="32"/>
      <x:c r="F306" s="17"/>
      <x:c r="G306" s="4">
        <x:f t="shared" si="10"/>
      </x:c>
      <x:c r="H306" s="33"/>
      <x:c r="I306" s="17"/>
      <x:c r="J306" s="34"/>
      <x:c r="K306" s="17"/>
      <x:c r="L306" s="17"/>
      <x:c r="M306" s="35"/>
      <x:c r="N306" s="35"/>
      <x:c r="O306" s="36"/>
      <x:c r="P306" s="37"/>
      <x:c r="Q306" s="17"/>
      <x:c r="R306" s="17"/>
      <x:c r="S306" s="17"/>
      <x:c r="T306" s="35"/>
      <x:c r="U306" s="35"/>
      <x:c r="V306" s="37"/>
      <x:c r="W306" s="17"/>
      <x:c r="X306" s="17"/>
      <x:c r="Y306" s="17"/>
      <x:c r="Z306" s="37"/>
      <x:c r="AA306" s="35"/>
      <x:c r="AB306" s="37"/>
      <x:c r="AC306" s="17"/>
      <x:c r="AD306" s="38"/>
      <x:c r="AE306" s="37"/>
      <x:c r="AF306" s="17"/>
      <x:c r="AG306" s="17"/>
      <x:c r="AH306" s="17"/>
      <x:c r="AI306" s="17"/>
      <x:c r="AJ306" s="37"/>
      <x:c r="AK306" s="17"/>
      <x:c r="AL306" s="17"/>
      <x:c r="AM306" s="17"/>
      <x:c r="AN306" s="17"/>
      <x:c r="AO306" s="17"/>
      <x:c r="AP306" s="17"/>
      <x:c r="AQ306" s="39"/>
      <x:c r="AR306" s="17"/>
      <x:c r="AS306" s="17"/>
      <x:c r="AT306" s="40"/>
      <x:c r="AU306" s="41">
        <x:f t="shared" si="11"/>
      </x:c>
      <x:c r="AV306" s="42"/>
      <x:c r="AW306" s="19"/>
      <x:c r="AX306" s="19"/>
      <x:c r="AY306" s="19"/>
      <x:c r="AZ306" s="19"/>
      <x:c r="BA306" s="19"/>
      <x:c r="BB306" s="19"/>
      <x:c r="BC306" s="19"/>
      <x:c r="BD306" s="19"/>
      <x:c r="BF306"/>
    </x:row>
    <x:row r="307" ht="28" customHeight="1">
      <x:c r="A307" s="4"/>
      <x:c r="B307" s="15"/>
      <x:c r="C307" s="15"/>
      <x:c r="D307" s="15"/>
      <x:c r="E307" s="32"/>
      <x:c r="F307" s="17"/>
      <x:c r="G307" s="4">
        <x:f t="shared" si="10"/>
      </x:c>
      <x:c r="H307" s="33"/>
      <x:c r="I307" s="17"/>
      <x:c r="J307" s="34"/>
      <x:c r="K307" s="17"/>
      <x:c r="L307" s="17"/>
      <x:c r="M307" s="35"/>
      <x:c r="N307" s="35"/>
      <x:c r="O307" s="36"/>
      <x:c r="P307" s="37"/>
      <x:c r="Q307" s="17"/>
      <x:c r="R307" s="17"/>
      <x:c r="S307" s="17"/>
      <x:c r="T307" s="35"/>
      <x:c r="U307" s="35"/>
      <x:c r="V307" s="37"/>
      <x:c r="W307" s="17"/>
      <x:c r="X307" s="17"/>
      <x:c r="Y307" s="17"/>
      <x:c r="Z307" s="37"/>
      <x:c r="AA307" s="35"/>
      <x:c r="AB307" s="37"/>
      <x:c r="AC307" s="17"/>
      <x:c r="AD307" s="38"/>
      <x:c r="AE307" s="37"/>
      <x:c r="AF307" s="17"/>
      <x:c r="AG307" s="17"/>
      <x:c r="AH307" s="17"/>
      <x:c r="AI307" s="17"/>
      <x:c r="AJ307" s="37"/>
      <x:c r="AK307" s="17"/>
      <x:c r="AL307" s="17"/>
      <x:c r="AM307" s="17"/>
      <x:c r="AN307" s="17"/>
      <x:c r="AO307" s="17"/>
      <x:c r="AP307" s="17"/>
      <x:c r="AQ307" s="39"/>
      <x:c r="AR307" s="17"/>
      <x:c r="AS307" s="17"/>
      <x:c r="AT307" s="40"/>
      <x:c r="AU307" s="41">
        <x:f t="shared" si="11"/>
      </x:c>
      <x:c r="AV307" s="42"/>
      <x:c r="AW307" s="19"/>
      <x:c r="AX307" s="19"/>
      <x:c r="AY307" s="19"/>
      <x:c r="AZ307" s="19"/>
      <x:c r="BA307" s="19"/>
      <x:c r="BB307" s="19"/>
      <x:c r="BC307" s="19"/>
      <x:c r="BD307" s="19"/>
      <x:c r="BE307"/>
      <x:c r="BF307"/>
    </x:row>
    <x:row r="308" ht="28" customHeight="1">
      <x:c r="A308" s="4"/>
      <x:c r="B308" s="15"/>
      <x:c r="C308" s="15"/>
      <x:c r="D308" s="15"/>
      <x:c r="E308" s="32"/>
      <x:c r="F308" s="17"/>
      <x:c r="G308" s="4">
        <x:f t="shared" si="10"/>
      </x:c>
      <x:c r="H308" s="33"/>
      <x:c r="I308" s="17"/>
      <x:c r="J308" s="34"/>
      <x:c r="K308" s="17"/>
      <x:c r="L308" s="17"/>
      <x:c r="M308" s="35"/>
      <x:c r="N308" s="35"/>
      <x:c r="O308" s="36"/>
      <x:c r="P308" s="37"/>
      <x:c r="Q308" s="17"/>
      <x:c r="R308" s="17"/>
      <x:c r="S308" s="17"/>
      <x:c r="T308" s="35"/>
      <x:c r="U308" s="35"/>
      <x:c r="V308" s="37"/>
      <x:c r="W308" s="17"/>
      <x:c r="X308" s="17"/>
      <x:c r="Y308" s="17"/>
      <x:c r="Z308" s="37"/>
      <x:c r="AA308" s="35"/>
      <x:c r="AB308" s="37"/>
      <x:c r="AC308" s="17"/>
      <x:c r="AD308" s="38"/>
      <x:c r="AE308" s="37"/>
      <x:c r="AF308" s="17"/>
      <x:c r="AG308" s="17"/>
      <x:c r="AH308" s="17"/>
      <x:c r="AI308" s="17"/>
      <x:c r="AJ308" s="37"/>
      <x:c r="AK308" s="17"/>
      <x:c r="AL308" s="17"/>
      <x:c r="AM308" s="17"/>
      <x:c r="AN308" s="17"/>
      <x:c r="AO308" s="17"/>
      <x:c r="AP308" s="17"/>
      <x:c r="AQ308" s="39"/>
      <x:c r="AR308" s="17"/>
      <x:c r="AS308" s="17"/>
      <x:c r="AT308" s="40"/>
      <x:c r="AU308" s="41">
        <x:f t="shared" si="11"/>
      </x:c>
      <x:c r="AV308" s="42"/>
      <x:c r="AW308" s="19"/>
      <x:c r="AX308" s="19"/>
      <x:c r="AY308" s="19"/>
      <x:c r="AZ308" s="19"/>
      <x:c r="BA308" s="19"/>
      <x:c r="BB308" s="19"/>
      <x:c r="BC308" s="19"/>
      <x:c r="BD308" s="19"/>
      <x:c r="BE308"/>
      <x:c r="BF308"/>
    </x:row>
    <x:row r="309" ht="28" customHeight="1">
      <x:c r="A309" s="4"/>
      <x:c r="B309" s="15"/>
      <x:c r="C309" s="15"/>
      <x:c r="D309" s="15"/>
      <x:c r="E309" s="32"/>
      <x:c r="F309" s="17"/>
      <x:c r="G309" s="4">
        <x:f t="shared" si="10"/>
      </x:c>
      <x:c r="H309" s="33"/>
      <x:c r="I309" s="17"/>
      <x:c r="J309" s="34"/>
      <x:c r="K309" s="17"/>
      <x:c r="L309" s="17"/>
      <x:c r="M309" s="35"/>
      <x:c r="N309" s="35"/>
      <x:c r="O309" s="36"/>
      <x:c r="P309" s="37"/>
      <x:c r="Q309" s="17"/>
      <x:c r="R309" s="17"/>
      <x:c r="S309" s="17"/>
      <x:c r="T309" s="35"/>
      <x:c r="U309" s="35"/>
      <x:c r="V309" s="37"/>
      <x:c r="W309" s="17"/>
      <x:c r="X309" s="17"/>
      <x:c r="Y309" s="17"/>
      <x:c r="Z309" s="37"/>
      <x:c r="AA309" s="35"/>
      <x:c r="AB309" s="37"/>
      <x:c r="AC309" s="17"/>
      <x:c r="AD309" s="38"/>
      <x:c r="AE309" s="37"/>
      <x:c r="AF309" s="17"/>
      <x:c r="AG309" s="17"/>
      <x:c r="AH309" s="17"/>
      <x:c r="AI309" s="17"/>
      <x:c r="AJ309" s="37"/>
      <x:c r="AK309" s="17"/>
      <x:c r="AL309" s="17"/>
      <x:c r="AM309" s="17"/>
      <x:c r="AN309" s="17"/>
      <x:c r="AO309" s="17"/>
      <x:c r="AP309" s="17"/>
      <x:c r="AQ309" s="39"/>
      <x:c r="AR309" s="17"/>
      <x:c r="AS309" s="17"/>
      <x:c r="AT309" s="40"/>
      <x:c r="AU309" s="41">
        <x:f t="shared" si="11"/>
      </x:c>
      <x:c r="AV309" s="42"/>
      <x:c r="AW309" s="19"/>
      <x:c r="AX309" s="19"/>
      <x:c r="AY309" s="19"/>
      <x:c r="AZ309" s="19"/>
      <x:c r="BA309" s="19"/>
      <x:c r="BB309" s="19"/>
      <x:c r="BC309" s="19"/>
      <x:c r="BD309" s="19"/>
      <x:c r="BE309"/>
      <x:c r="BF309"/>
    </x:row>
    <x:row r="310" ht="28" customHeight="1">
      <x:c r="A310" s="4"/>
      <x:c r="B310" s="15"/>
      <x:c r="C310" s="15"/>
      <x:c r="D310" s="15"/>
      <x:c r="E310" s="32"/>
      <x:c r="F310" s="17"/>
      <x:c r="G310" s="4">
        <x:f t="shared" si="10"/>
      </x:c>
      <x:c r="H310" s="33"/>
      <x:c r="I310" s="17"/>
      <x:c r="J310" s="34"/>
      <x:c r="K310" s="17"/>
      <x:c r="L310" s="17"/>
      <x:c r="M310" s="35"/>
      <x:c r="N310" s="35"/>
      <x:c r="O310" s="36"/>
      <x:c r="P310" s="37"/>
      <x:c r="Q310" s="17"/>
      <x:c r="R310" s="17"/>
      <x:c r="S310" s="17"/>
      <x:c r="T310" s="35"/>
      <x:c r="U310" s="35"/>
      <x:c r="V310" s="37"/>
      <x:c r="W310" s="17"/>
      <x:c r="X310" s="17"/>
      <x:c r="Y310" s="17"/>
      <x:c r="Z310" s="37"/>
      <x:c r="AA310" s="35"/>
      <x:c r="AB310" s="37"/>
      <x:c r="AC310" s="17"/>
      <x:c r="AD310" s="38"/>
      <x:c r="AE310" s="37"/>
      <x:c r="AF310" s="17"/>
      <x:c r="AG310" s="17"/>
      <x:c r="AH310" s="17"/>
      <x:c r="AI310" s="17"/>
      <x:c r="AJ310" s="37"/>
      <x:c r="AK310" s="17"/>
      <x:c r="AL310" s="17"/>
      <x:c r="AM310" s="17"/>
      <x:c r="AN310" s="17"/>
      <x:c r="AO310" s="17"/>
      <x:c r="AP310" s="17"/>
      <x:c r="AQ310" s="39"/>
      <x:c r="AR310" s="17"/>
      <x:c r="AS310" s="17"/>
      <x:c r="AT310" s="40"/>
      <x:c r="AU310" s="41">
        <x:f t="shared" si="11"/>
      </x:c>
      <x:c r="AV310" s="42"/>
      <x:c r="AW310" s="19"/>
      <x:c r="AX310" s="19"/>
      <x:c r="AY310" s="19"/>
      <x:c r="AZ310" s="19"/>
      <x:c r="BA310" s="19"/>
      <x:c r="BB310" s="19"/>
      <x:c r="BC310" s="19"/>
      <x:c r="BD310" s="19"/>
      <x:c r="BE310"/>
      <x:c r="BF310"/>
    </x:row>
    <x:row r="311" ht="28" customHeight="1">
      <x:c r="A311" s="4"/>
      <x:c r="B311" s="15"/>
      <x:c r="C311" s="15"/>
      <x:c r="D311" s="15"/>
      <x:c r="E311" s="32"/>
      <x:c r="F311" s="17"/>
      <x:c r="G311" s="4">
        <x:f t="shared" si="10"/>
      </x:c>
      <x:c r="H311" s="33"/>
      <x:c r="I311" s="17"/>
      <x:c r="J311" s="34"/>
      <x:c r="K311" s="17"/>
      <x:c r="L311" s="17"/>
      <x:c r="M311" s="35"/>
      <x:c r="N311" s="35"/>
      <x:c r="O311" s="36"/>
      <x:c r="P311" s="37"/>
      <x:c r="Q311" s="17"/>
      <x:c r="R311" s="17"/>
      <x:c r="S311" s="17"/>
      <x:c r="T311" s="35"/>
      <x:c r="U311" s="35"/>
      <x:c r="V311" s="37"/>
      <x:c r="W311" s="17"/>
      <x:c r="X311" s="17"/>
      <x:c r="Y311" s="17"/>
      <x:c r="Z311" s="37"/>
      <x:c r="AA311" s="35"/>
      <x:c r="AB311" s="37"/>
      <x:c r="AC311" s="17"/>
      <x:c r="AD311" s="38"/>
      <x:c r="AE311" s="37"/>
      <x:c r="AF311" s="17"/>
      <x:c r="AG311" s="17"/>
      <x:c r="AH311" s="17"/>
      <x:c r="AI311" s="17"/>
      <x:c r="AJ311" s="37"/>
      <x:c r="AK311" s="17"/>
      <x:c r="AL311" s="17"/>
      <x:c r="AM311" s="17"/>
      <x:c r="AN311" s="17"/>
      <x:c r="AO311" s="17"/>
      <x:c r="AP311" s="17"/>
      <x:c r="AQ311" s="39"/>
      <x:c r="AR311" s="17"/>
      <x:c r="AS311" s="17"/>
      <x:c r="AT311" s="40"/>
      <x:c r="AU311" s="41">
        <x:f t="shared" si="11"/>
      </x:c>
      <x:c r="AV311" s="42"/>
      <x:c r="AW311" s="19"/>
      <x:c r="AX311" s="19"/>
      <x:c r="AY311" s="19"/>
      <x:c r="AZ311" s="19"/>
      <x:c r="BA311" s="19"/>
      <x:c r="BB311" s="19"/>
      <x:c r="BC311" s="19"/>
      <x:c r="BD311" s="19"/>
      <x:c r="BF311"/>
    </x:row>
    <x:row r="312" ht="28" customHeight="1">
      <x:c r="A312" s="4"/>
      <x:c r="B312" s="15"/>
      <x:c r="C312" s="15"/>
      <x:c r="D312" s="15"/>
      <x:c r="E312" s="32"/>
      <x:c r="F312" s="17"/>
      <x:c r="G312" s="4">
        <x:f t="shared" si="10"/>
      </x:c>
      <x:c r="H312" s="33"/>
      <x:c r="I312" s="17"/>
      <x:c r="J312" s="34"/>
      <x:c r="K312" s="17"/>
      <x:c r="L312" s="17"/>
      <x:c r="M312" s="35"/>
      <x:c r="N312" s="35"/>
      <x:c r="O312" s="36"/>
      <x:c r="P312" s="37"/>
      <x:c r="Q312" s="17"/>
      <x:c r="R312" s="17"/>
      <x:c r="S312" s="17"/>
      <x:c r="T312" s="35"/>
      <x:c r="U312" s="35"/>
      <x:c r="V312" s="37"/>
      <x:c r="W312" s="17"/>
      <x:c r="X312" s="17"/>
      <x:c r="Y312" s="17"/>
      <x:c r="Z312" s="37"/>
      <x:c r="AA312" s="35"/>
      <x:c r="AB312" s="37"/>
      <x:c r="AC312" s="17"/>
      <x:c r="AD312" s="38"/>
      <x:c r="AE312" s="37"/>
      <x:c r="AF312" s="17"/>
      <x:c r="AG312" s="17"/>
      <x:c r="AH312" s="17"/>
      <x:c r="AI312" s="17"/>
      <x:c r="AJ312" s="37"/>
      <x:c r="AK312" s="17"/>
      <x:c r="AL312" s="17"/>
      <x:c r="AM312" s="17"/>
      <x:c r="AN312" s="17"/>
      <x:c r="AO312" s="17"/>
      <x:c r="AP312" s="17"/>
      <x:c r="AQ312" s="39"/>
      <x:c r="AR312" s="17"/>
      <x:c r="AS312" s="17"/>
      <x:c r="AT312" s="40"/>
      <x:c r="AU312" s="41">
        <x:f t="shared" si="11"/>
      </x:c>
      <x:c r="AV312" s="42"/>
      <x:c r="AW312" s="19"/>
      <x:c r="AX312" s="19"/>
      <x:c r="AY312" s="19"/>
      <x:c r="AZ312" s="19"/>
      <x:c r="BA312" s="19"/>
      <x:c r="BB312" s="19"/>
      <x:c r="BC312" s="19"/>
      <x:c r="BD312" s="19"/>
      <x:c r="BE312"/>
      <x:c r="BF312"/>
    </x:row>
    <x:row r="313" ht="28" customHeight="1">
      <x:c r="A313" s="4"/>
      <x:c r="B313" s="15"/>
      <x:c r="C313" s="15"/>
      <x:c r="D313" s="15"/>
      <x:c r="E313" s="32"/>
      <x:c r="F313" s="17"/>
      <x:c r="G313" s="4">
        <x:f t="shared" si="10"/>
      </x:c>
      <x:c r="H313" s="33"/>
      <x:c r="I313" s="17"/>
      <x:c r="J313" s="34"/>
      <x:c r="K313" s="17"/>
      <x:c r="L313" s="17"/>
      <x:c r="M313" s="35"/>
      <x:c r="N313" s="35"/>
      <x:c r="O313" s="36"/>
      <x:c r="P313" s="37"/>
      <x:c r="Q313" s="17"/>
      <x:c r="R313" s="17"/>
      <x:c r="S313" s="17"/>
      <x:c r="T313" s="35"/>
      <x:c r="U313" s="35"/>
      <x:c r="V313" s="37"/>
      <x:c r="W313" s="17"/>
      <x:c r="X313" s="17"/>
      <x:c r="Y313" s="17"/>
      <x:c r="Z313" s="37"/>
      <x:c r="AA313" s="35"/>
      <x:c r="AB313" s="37"/>
      <x:c r="AC313" s="17"/>
      <x:c r="AD313" s="38"/>
      <x:c r="AE313" s="37"/>
      <x:c r="AF313" s="17"/>
      <x:c r="AG313" s="17"/>
      <x:c r="AH313" s="17"/>
      <x:c r="AI313" s="17"/>
      <x:c r="AJ313" s="37"/>
      <x:c r="AK313" s="17"/>
      <x:c r="AL313" s="17"/>
      <x:c r="AM313" s="17"/>
      <x:c r="AN313" s="17"/>
      <x:c r="AO313" s="17"/>
      <x:c r="AP313" s="17"/>
      <x:c r="AQ313" s="39"/>
      <x:c r="AR313" s="17"/>
      <x:c r="AS313" s="17"/>
      <x:c r="AT313" s="40"/>
      <x:c r="AU313" s="41">
        <x:f t="shared" si="11"/>
      </x:c>
      <x:c r="AV313" s="42"/>
      <x:c r="AW313" s="19"/>
      <x:c r="AX313" s="19"/>
      <x:c r="AY313" s="19"/>
      <x:c r="AZ313" s="19"/>
      <x:c r="BA313" s="19"/>
      <x:c r="BB313" s="19"/>
      <x:c r="BC313" s="19"/>
      <x:c r="BD313" s="19"/>
      <x:c r="BE313"/>
      <x:c r="BF313"/>
    </x:row>
    <x:row r="314" ht="28" customHeight="1">
      <x:c r="A314" s="4"/>
      <x:c r="B314" s="15"/>
      <x:c r="C314" s="15"/>
      <x:c r="D314" s="15"/>
      <x:c r="E314" s="32"/>
      <x:c r="F314" s="17"/>
      <x:c r="G314" s="4">
        <x:f t="shared" si="10"/>
      </x:c>
      <x:c r="H314" s="33"/>
      <x:c r="I314" s="17"/>
      <x:c r="J314" s="34"/>
      <x:c r="K314" s="17"/>
      <x:c r="L314" s="17"/>
      <x:c r="M314" s="35"/>
      <x:c r="N314" s="35"/>
      <x:c r="O314" s="36"/>
      <x:c r="P314" s="37"/>
      <x:c r="Q314" s="17"/>
      <x:c r="R314" s="17"/>
      <x:c r="S314" s="17"/>
      <x:c r="T314" s="35"/>
      <x:c r="U314" s="35"/>
      <x:c r="V314" s="37"/>
      <x:c r="W314" s="17"/>
      <x:c r="X314" s="17"/>
      <x:c r="Y314" s="17"/>
      <x:c r="Z314" s="37"/>
      <x:c r="AA314" s="35"/>
      <x:c r="AB314" s="37"/>
      <x:c r="AC314" s="17"/>
      <x:c r="AD314" s="38"/>
      <x:c r="AE314" s="37"/>
      <x:c r="AF314" s="17"/>
      <x:c r="AG314" s="17"/>
      <x:c r="AH314" s="17"/>
      <x:c r="AI314" s="17"/>
      <x:c r="AJ314" s="37"/>
      <x:c r="AK314" s="17"/>
      <x:c r="AL314" s="17"/>
      <x:c r="AM314" s="17"/>
      <x:c r="AN314" s="17"/>
      <x:c r="AO314" s="17"/>
      <x:c r="AP314" s="17"/>
      <x:c r="AQ314" s="39"/>
      <x:c r="AR314" s="17"/>
      <x:c r="AS314" s="17"/>
      <x:c r="AT314" s="40"/>
      <x:c r="AU314" s="41">
        <x:f t="shared" si="11"/>
      </x:c>
      <x:c r="AV314" s="42"/>
      <x:c r="AW314" s="19"/>
      <x:c r="AX314" s="19"/>
      <x:c r="AY314" s="19"/>
      <x:c r="AZ314" s="19"/>
      <x:c r="BA314" s="19"/>
      <x:c r="BB314" s="19"/>
      <x:c r="BC314" s="19"/>
      <x:c r="BD314" s="19"/>
      <x:c r="BF314"/>
    </x:row>
    <x:row r="315" ht="28" customHeight="1">
      <x:c r="A315" s="4"/>
      <x:c r="B315" s="15"/>
      <x:c r="C315" s="15"/>
      <x:c r="D315" s="15"/>
      <x:c r="E315" s="32"/>
      <x:c r="F315" s="17"/>
      <x:c r="G315" s="4">
        <x:f t="shared" si="10"/>
      </x:c>
      <x:c r="H315" s="33"/>
      <x:c r="I315" s="17"/>
      <x:c r="J315" s="34"/>
      <x:c r="K315" s="17"/>
      <x:c r="L315" s="17"/>
      <x:c r="M315" s="35"/>
      <x:c r="N315" s="35"/>
      <x:c r="O315" s="36"/>
      <x:c r="P315" s="37"/>
      <x:c r="Q315" s="17"/>
      <x:c r="R315" s="17"/>
      <x:c r="S315" s="17"/>
      <x:c r="T315" s="35"/>
      <x:c r="U315" s="35"/>
      <x:c r="V315" s="37"/>
      <x:c r="W315" s="17"/>
      <x:c r="X315" s="17"/>
      <x:c r="Y315" s="17"/>
      <x:c r="Z315" s="37"/>
      <x:c r="AA315" s="35"/>
      <x:c r="AB315" s="37"/>
      <x:c r="AC315" s="17"/>
      <x:c r="AD315" s="38"/>
      <x:c r="AE315" s="37"/>
      <x:c r="AF315" s="17"/>
      <x:c r="AG315" s="17"/>
      <x:c r="AH315" s="17"/>
      <x:c r="AI315" s="17"/>
      <x:c r="AJ315" s="37"/>
      <x:c r="AK315" s="17"/>
      <x:c r="AL315" s="17"/>
      <x:c r="AM315" s="17"/>
      <x:c r="AN315" s="17"/>
      <x:c r="AO315" s="17"/>
      <x:c r="AP315" s="17"/>
      <x:c r="AQ315" s="39"/>
      <x:c r="AR315" s="17"/>
      <x:c r="AS315" s="17"/>
      <x:c r="AT315" s="40"/>
      <x:c r="AU315" s="41">
        <x:f t="shared" si="11"/>
      </x:c>
      <x:c r="AV315" s="42"/>
      <x:c r="AW315" s="19"/>
      <x:c r="AX315" s="19"/>
      <x:c r="AY315" s="19"/>
      <x:c r="AZ315" s="19"/>
      <x:c r="BA315" s="19"/>
      <x:c r="BB315" s="19"/>
      <x:c r="BC315" s="19"/>
      <x:c r="BD315" s="19"/>
      <x:c r="BF315"/>
    </x:row>
    <x:row r="316" ht="28" customHeight="1">
      <x:c r="A316" s="4"/>
      <x:c r="B316" s="15"/>
      <x:c r="C316" s="15"/>
      <x:c r="D316" s="15"/>
      <x:c r="E316" s="32"/>
      <x:c r="F316" s="17"/>
      <x:c r="G316" s="4">
        <x:f t="shared" si="10"/>
      </x:c>
      <x:c r="H316" s="33"/>
      <x:c r="I316" s="17"/>
      <x:c r="J316" s="34"/>
      <x:c r="K316" s="17"/>
      <x:c r="L316" s="17"/>
      <x:c r="M316" s="35"/>
      <x:c r="N316" s="35"/>
      <x:c r="O316" s="36"/>
      <x:c r="P316" s="37"/>
      <x:c r="Q316" s="17"/>
      <x:c r="R316" s="17"/>
      <x:c r="S316" s="17"/>
      <x:c r="T316" s="35"/>
      <x:c r="U316" s="35"/>
      <x:c r="V316" s="37"/>
      <x:c r="W316" s="17"/>
      <x:c r="X316" s="17"/>
      <x:c r="Y316" s="17"/>
      <x:c r="Z316" s="37"/>
      <x:c r="AA316" s="35"/>
      <x:c r="AB316" s="37"/>
      <x:c r="AC316" s="17"/>
      <x:c r="AD316" s="38"/>
      <x:c r="AE316" s="37"/>
      <x:c r="AF316" s="17"/>
      <x:c r="AG316" s="17"/>
      <x:c r="AH316" s="17"/>
      <x:c r="AI316" s="17"/>
      <x:c r="AJ316" s="37"/>
      <x:c r="AK316" s="17"/>
      <x:c r="AL316" s="17"/>
      <x:c r="AM316" s="17"/>
      <x:c r="AN316" s="17"/>
      <x:c r="AO316" s="17"/>
      <x:c r="AP316" s="17"/>
      <x:c r="AQ316" s="39"/>
      <x:c r="AR316" s="17"/>
      <x:c r="AS316" s="17"/>
      <x:c r="AT316" s="40"/>
      <x:c r="AU316" s="41">
        <x:f t="shared" si="11"/>
      </x:c>
      <x:c r="AV316" s="42"/>
      <x:c r="AW316" s="19"/>
      <x:c r="AX316" s="19"/>
      <x:c r="AY316" s="19"/>
      <x:c r="AZ316" s="19"/>
      <x:c r="BA316" s="19"/>
      <x:c r="BB316" s="19"/>
      <x:c r="BC316" s="19"/>
      <x:c r="BD316" s="19"/>
      <x:c r="BF316"/>
    </x:row>
    <x:row r="317" ht="28" customHeight="1">
      <x:c r="A317" s="4"/>
      <x:c r="B317" s="15"/>
      <x:c r="C317" s="15"/>
      <x:c r="D317" s="15"/>
      <x:c r="E317" s="32"/>
      <x:c r="F317" s="17"/>
      <x:c r="G317" s="4">
        <x:f t="shared" si="10"/>
      </x:c>
      <x:c r="H317" s="33"/>
      <x:c r="I317" s="17"/>
      <x:c r="J317" s="34"/>
      <x:c r="K317" s="17"/>
      <x:c r="L317" s="17"/>
      <x:c r="M317" s="35"/>
      <x:c r="N317" s="35"/>
      <x:c r="O317" s="36"/>
      <x:c r="P317" s="37"/>
      <x:c r="Q317" s="17"/>
      <x:c r="R317" s="17"/>
      <x:c r="S317" s="17"/>
      <x:c r="T317" s="35"/>
      <x:c r="U317" s="35"/>
      <x:c r="V317" s="37"/>
      <x:c r="W317" s="17"/>
      <x:c r="X317" s="17"/>
      <x:c r="Y317" s="17"/>
      <x:c r="Z317" s="37"/>
      <x:c r="AA317" s="35"/>
      <x:c r="AB317" s="37"/>
      <x:c r="AC317" s="17"/>
      <x:c r="AD317" s="38"/>
      <x:c r="AE317" s="37"/>
      <x:c r="AF317" s="17"/>
      <x:c r="AG317" s="17"/>
      <x:c r="AH317" s="17"/>
      <x:c r="AI317" s="17"/>
      <x:c r="AJ317" s="37"/>
      <x:c r="AK317" s="17"/>
      <x:c r="AL317" s="17"/>
      <x:c r="AM317" s="17"/>
      <x:c r="AN317" s="17"/>
      <x:c r="AO317" s="17"/>
      <x:c r="AP317" s="17"/>
      <x:c r="AQ317" s="39"/>
      <x:c r="AR317" s="17"/>
      <x:c r="AS317" s="17"/>
      <x:c r="AT317" s="40"/>
      <x:c r="AU317" s="41">
        <x:f t="shared" si="11"/>
      </x:c>
      <x:c r="AV317" s="42"/>
      <x:c r="AW317" s="19"/>
      <x:c r="AX317" s="19"/>
      <x:c r="AY317" s="19"/>
      <x:c r="AZ317" s="19"/>
      <x:c r="BA317" s="19"/>
      <x:c r="BB317" s="19"/>
      <x:c r="BC317" s="19"/>
      <x:c r="BD317" s="19"/>
      <x:c r="BF317"/>
    </x:row>
    <x:row r="318" ht="28" customHeight="1">
      <x:c r="A318" s="4"/>
      <x:c r="B318" s="15"/>
      <x:c r="C318" s="15"/>
      <x:c r="D318" s="15"/>
      <x:c r="E318" s="32"/>
      <x:c r="F318" s="17"/>
      <x:c r="G318" s="4">
        <x:f t="shared" si="10"/>
      </x:c>
      <x:c r="H318" s="33"/>
      <x:c r="I318" s="17"/>
      <x:c r="J318" s="34"/>
      <x:c r="K318" s="17"/>
      <x:c r="L318" s="17"/>
      <x:c r="M318" s="35"/>
      <x:c r="N318" s="35"/>
      <x:c r="O318" s="36"/>
      <x:c r="P318" s="37"/>
      <x:c r="Q318" s="17"/>
      <x:c r="R318" s="17"/>
      <x:c r="S318" s="17"/>
      <x:c r="T318" s="35"/>
      <x:c r="U318" s="35"/>
      <x:c r="V318" s="37"/>
      <x:c r="W318" s="17"/>
      <x:c r="X318" s="17"/>
      <x:c r="Y318" s="17"/>
      <x:c r="Z318" s="37"/>
      <x:c r="AA318" s="35"/>
      <x:c r="AB318" s="37"/>
      <x:c r="AC318" s="17"/>
      <x:c r="AD318" s="38"/>
      <x:c r="AE318" s="37"/>
      <x:c r="AF318" s="17"/>
      <x:c r="AG318" s="17"/>
      <x:c r="AH318" s="17"/>
      <x:c r="AI318" s="17"/>
      <x:c r="AJ318" s="37"/>
      <x:c r="AK318" s="17"/>
      <x:c r="AL318" s="17"/>
      <x:c r="AM318" s="17"/>
      <x:c r="AN318" s="17"/>
      <x:c r="AO318" s="17"/>
      <x:c r="AP318" s="17"/>
      <x:c r="AQ318" s="39"/>
      <x:c r="AR318" s="17"/>
      <x:c r="AS318" s="17"/>
      <x:c r="AT318" s="40"/>
      <x:c r="AU318" s="41">
        <x:f t="shared" si="11"/>
      </x:c>
      <x:c r="AV318" s="42"/>
      <x:c r="AW318" s="19"/>
      <x:c r="AX318" s="19"/>
      <x:c r="AY318" s="19"/>
      <x:c r="AZ318" s="19"/>
      <x:c r="BA318" s="19"/>
      <x:c r="BB318" s="19"/>
      <x:c r="BC318" s="19"/>
      <x:c r="BD318" s="19"/>
      <x:c r="BF318"/>
    </x:row>
    <x:row r="319" ht="28" customHeight="1">
      <x:c r="A319" s="4"/>
      <x:c r="B319" s="15"/>
      <x:c r="C319" s="15"/>
      <x:c r="D319" s="15"/>
      <x:c r="E319" s="32"/>
      <x:c r="F319" s="17"/>
      <x:c r="G319" s="4">
        <x:f t="shared" si="10"/>
      </x:c>
      <x:c r="H319" s="33"/>
      <x:c r="I319" s="17"/>
      <x:c r="J319" s="34"/>
      <x:c r="K319" s="17"/>
      <x:c r="L319" s="17"/>
      <x:c r="M319" s="35"/>
      <x:c r="N319" s="35"/>
      <x:c r="O319" s="36"/>
      <x:c r="P319" s="37"/>
      <x:c r="Q319" s="17"/>
      <x:c r="R319" s="17"/>
      <x:c r="S319" s="17"/>
      <x:c r="T319" s="35"/>
      <x:c r="U319" s="35"/>
      <x:c r="V319" s="37"/>
      <x:c r="W319" s="17"/>
      <x:c r="X319" s="17"/>
      <x:c r="Y319" s="17"/>
      <x:c r="Z319" s="37"/>
      <x:c r="AA319" s="35"/>
      <x:c r="AB319" s="37"/>
      <x:c r="AC319" s="17"/>
      <x:c r="AD319" s="38"/>
      <x:c r="AE319" s="37"/>
      <x:c r="AF319" s="17"/>
      <x:c r="AG319" s="17"/>
      <x:c r="AH319" s="17"/>
      <x:c r="AI319" s="17"/>
      <x:c r="AJ319" s="37"/>
      <x:c r="AK319" s="17"/>
      <x:c r="AL319" s="17"/>
      <x:c r="AM319" s="17"/>
      <x:c r="AN319" s="17"/>
      <x:c r="AO319" s="17"/>
      <x:c r="AP319" s="17"/>
      <x:c r="AQ319" s="39"/>
      <x:c r="AR319" s="17"/>
      <x:c r="AS319" s="17"/>
      <x:c r="AT319" s="40"/>
      <x:c r="AU319" s="41">
        <x:f t="shared" si="11"/>
      </x:c>
      <x:c r="AV319" s="42"/>
      <x:c r="AW319" s="19"/>
      <x:c r="AX319" s="19"/>
      <x:c r="AY319" s="19"/>
      <x:c r="AZ319" s="19"/>
      <x:c r="BA319" s="19"/>
      <x:c r="BB319" s="19"/>
      <x:c r="BC319" s="19"/>
      <x:c r="BD319" s="19"/>
      <x:c r="BF319"/>
    </x:row>
    <x:row r="320" ht="28" customHeight="1">
      <x:c r="A320" s="4"/>
      <x:c r="B320" s="15"/>
      <x:c r="C320" s="15"/>
      <x:c r="D320" s="15"/>
      <x:c r="E320" s="32"/>
      <x:c r="F320" s="17"/>
      <x:c r="G320" s="4">
        <x:f t="shared" si="10"/>
      </x:c>
      <x:c r="H320" s="33"/>
      <x:c r="I320" s="17"/>
      <x:c r="J320" s="34"/>
      <x:c r="K320" s="17"/>
      <x:c r="L320" s="17"/>
      <x:c r="M320" s="35"/>
      <x:c r="N320" s="35"/>
      <x:c r="O320" s="36"/>
      <x:c r="P320" s="37"/>
      <x:c r="Q320" s="17"/>
      <x:c r="R320" s="17"/>
      <x:c r="S320" s="17"/>
      <x:c r="T320" s="35"/>
      <x:c r="U320" s="35"/>
      <x:c r="V320" s="37"/>
      <x:c r="W320" s="17"/>
      <x:c r="X320" s="17"/>
      <x:c r="Y320" s="17"/>
      <x:c r="Z320" s="37"/>
      <x:c r="AA320" s="35"/>
      <x:c r="AB320" s="37"/>
      <x:c r="AC320" s="17"/>
      <x:c r="AD320" s="38"/>
      <x:c r="AE320" s="37"/>
      <x:c r="AF320" s="17"/>
      <x:c r="AG320" s="17"/>
      <x:c r="AH320" s="17"/>
      <x:c r="AI320" s="17"/>
      <x:c r="AJ320" s="37"/>
      <x:c r="AK320" s="17"/>
      <x:c r="AL320" s="17"/>
      <x:c r="AM320" s="17"/>
      <x:c r="AN320" s="17"/>
      <x:c r="AO320" s="17"/>
      <x:c r="AP320" s="17"/>
      <x:c r="AQ320" s="39"/>
      <x:c r="AR320" s="17"/>
      <x:c r="AS320" s="17"/>
      <x:c r="AT320" s="40"/>
      <x:c r="AU320" s="41">
        <x:f t="shared" si="11"/>
      </x:c>
      <x:c r="AV320" s="42"/>
      <x:c r="AW320" s="19"/>
      <x:c r="AX320" s="19"/>
      <x:c r="AY320" s="19"/>
      <x:c r="AZ320" s="19"/>
      <x:c r="BA320" s="19"/>
      <x:c r="BB320" s="19"/>
      <x:c r="BC320" s="19"/>
      <x:c r="BD320" s="19"/>
      <x:c r="BF320"/>
    </x:row>
    <x:row r="321" ht="28" customHeight="1">
      <x:c r="A321" s="4"/>
      <x:c r="B321" s="15"/>
      <x:c r="C321" s="15"/>
      <x:c r="D321" s="15"/>
      <x:c r="E321" s="32"/>
      <x:c r="F321" s="17"/>
      <x:c r="G321" s="4">
        <x:f t="shared" si="10"/>
      </x:c>
      <x:c r="H321" s="33"/>
      <x:c r="I321" s="17"/>
      <x:c r="J321" s="34"/>
      <x:c r="K321" s="17"/>
      <x:c r="L321" s="17"/>
      <x:c r="M321" s="35"/>
      <x:c r="N321" s="35"/>
      <x:c r="O321" s="36"/>
      <x:c r="P321" s="37"/>
      <x:c r="Q321" s="17"/>
      <x:c r="R321" s="17"/>
      <x:c r="S321" s="17"/>
      <x:c r="T321" s="35"/>
      <x:c r="U321" s="35"/>
      <x:c r="V321" s="37"/>
      <x:c r="W321" s="17"/>
      <x:c r="X321" s="17"/>
      <x:c r="Y321" s="17"/>
      <x:c r="Z321" s="37"/>
      <x:c r="AA321" s="35"/>
      <x:c r="AB321" s="37"/>
      <x:c r="AC321" s="17"/>
      <x:c r="AD321" s="38"/>
      <x:c r="AE321" s="37"/>
      <x:c r="AF321" s="17"/>
      <x:c r="AG321" s="17"/>
      <x:c r="AH321" s="17"/>
      <x:c r="AI321" s="17"/>
      <x:c r="AJ321" s="37"/>
      <x:c r="AK321" s="17"/>
      <x:c r="AL321" s="17"/>
      <x:c r="AM321" s="17"/>
      <x:c r="AN321" s="17"/>
      <x:c r="AO321" s="17"/>
      <x:c r="AP321" s="17"/>
      <x:c r="AQ321" s="39"/>
      <x:c r="AR321" s="17"/>
      <x:c r="AS321" s="17"/>
      <x:c r="AT321" s="40"/>
      <x:c r="AU321" s="41">
        <x:f t="shared" si="11"/>
      </x:c>
      <x:c r="AV321" s="42"/>
      <x:c r="AW321" s="19"/>
      <x:c r="AX321" s="19"/>
      <x:c r="AY321" s="19"/>
      <x:c r="AZ321" s="19"/>
      <x:c r="BA321" s="19"/>
      <x:c r="BB321" s="19"/>
      <x:c r="BC321" s="19"/>
      <x:c r="BD321" s="19"/>
      <x:c r="BF321"/>
    </x:row>
    <x:row r="322" ht="28" customHeight="1">
      <x:c r="A322" s="4"/>
      <x:c r="B322" s="15"/>
      <x:c r="C322" s="15"/>
      <x:c r="D322" s="15"/>
      <x:c r="E322" s="32"/>
      <x:c r="F322" s="17"/>
      <x:c r="G322" s="4">
        <x:f t="shared" si="10"/>
      </x:c>
      <x:c r="H322" s="33"/>
      <x:c r="I322" s="17"/>
      <x:c r="J322" s="34"/>
      <x:c r="K322" s="17"/>
      <x:c r="L322" s="17"/>
      <x:c r="M322" s="35"/>
      <x:c r="N322" s="35"/>
      <x:c r="O322" s="36"/>
      <x:c r="P322" s="37"/>
      <x:c r="Q322" s="17"/>
      <x:c r="R322" s="17"/>
      <x:c r="S322" s="17"/>
      <x:c r="T322" s="35"/>
      <x:c r="U322" s="35"/>
      <x:c r="V322" s="37"/>
      <x:c r="W322" s="17"/>
      <x:c r="X322" s="17"/>
      <x:c r="Y322" s="17"/>
      <x:c r="Z322" s="37"/>
      <x:c r="AA322" s="35"/>
      <x:c r="AB322" s="37"/>
      <x:c r="AC322" s="17"/>
      <x:c r="AD322" s="38"/>
      <x:c r="AE322" s="37"/>
      <x:c r="AF322" s="17"/>
      <x:c r="AG322" s="17"/>
      <x:c r="AH322" s="17"/>
      <x:c r="AI322" s="17"/>
      <x:c r="AJ322" s="37"/>
      <x:c r="AK322" s="17"/>
      <x:c r="AL322" s="17"/>
      <x:c r="AM322" s="17"/>
      <x:c r="AN322" s="17"/>
      <x:c r="AO322" s="17"/>
      <x:c r="AP322" s="17"/>
      <x:c r="AQ322" s="39"/>
      <x:c r="AR322" s="17"/>
      <x:c r="AS322" s="17"/>
      <x:c r="AT322" s="40"/>
      <x:c r="AU322" s="41">
        <x:f t="shared" si="11"/>
      </x:c>
      <x:c r="AV322" s="42"/>
      <x:c r="AW322" s="19"/>
      <x:c r="AX322" s="19"/>
      <x:c r="AY322" s="19"/>
      <x:c r="AZ322" s="19"/>
      <x:c r="BA322" s="19"/>
      <x:c r="BB322" s="19"/>
      <x:c r="BC322" s="19"/>
      <x:c r="BD322" s="19"/>
      <x:c r="BF322"/>
    </x:row>
    <x:row r="323" ht="28" customHeight="1">
      <x:c r="A323" s="4"/>
      <x:c r="B323" s="15"/>
      <x:c r="C323" s="15"/>
      <x:c r="D323" s="15"/>
      <x:c r="E323" s="32"/>
      <x:c r="F323" s="17"/>
      <x:c r="G323" s="4">
        <x:f t="shared" si="10"/>
      </x:c>
      <x:c r="H323" s="33"/>
      <x:c r="I323" s="17"/>
      <x:c r="J323" s="34"/>
      <x:c r="K323" s="17"/>
      <x:c r="L323" s="17"/>
      <x:c r="M323" s="35"/>
      <x:c r="N323" s="35"/>
      <x:c r="O323" s="36"/>
      <x:c r="P323" s="37"/>
      <x:c r="Q323" s="17"/>
      <x:c r="R323" s="17"/>
      <x:c r="S323" s="17"/>
      <x:c r="T323" s="35"/>
      <x:c r="U323" s="35"/>
      <x:c r="V323" s="37"/>
      <x:c r="W323" s="17"/>
      <x:c r="X323" s="17"/>
      <x:c r="Y323" s="17"/>
      <x:c r="Z323" s="37"/>
      <x:c r="AA323" s="35"/>
      <x:c r="AB323" s="37"/>
      <x:c r="AC323" s="17"/>
      <x:c r="AD323" s="38"/>
      <x:c r="AE323" s="37"/>
      <x:c r="AF323" s="17"/>
      <x:c r="AG323" s="17"/>
      <x:c r="AH323" s="17"/>
      <x:c r="AI323" s="17"/>
      <x:c r="AJ323" s="37"/>
      <x:c r="AK323" s="17"/>
      <x:c r="AL323" s="17"/>
      <x:c r="AM323" s="17"/>
      <x:c r="AN323" s="17"/>
      <x:c r="AO323" s="17"/>
      <x:c r="AP323" s="17"/>
      <x:c r="AQ323" s="39"/>
      <x:c r="AR323" s="17"/>
      <x:c r="AS323" s="17"/>
      <x:c r="AT323" s="40"/>
      <x:c r="AU323" s="41">
        <x:f t="shared" si="11"/>
      </x:c>
      <x:c r="AV323" s="42"/>
      <x:c r="AW323" s="19"/>
      <x:c r="AX323" s="19"/>
      <x:c r="AY323" s="19"/>
      <x:c r="AZ323" s="19"/>
      <x:c r="BA323" s="19"/>
      <x:c r="BB323" s="19"/>
      <x:c r="BC323" s="19"/>
      <x:c r="BD323" s="19"/>
      <x:c r="BF323"/>
    </x:row>
    <x:row r="324" ht="28" customHeight="1">
      <x:c r="A324" s="4"/>
      <x:c r="B324" s="15"/>
      <x:c r="C324" s="15"/>
      <x:c r="D324" s="15"/>
      <x:c r="E324" s="32"/>
      <x:c r="F324" s="17"/>
      <x:c r="G324" s="4">
        <x:f t="shared" si="10"/>
      </x:c>
      <x:c r="H324" s="33"/>
      <x:c r="I324" s="17"/>
      <x:c r="J324" s="34"/>
      <x:c r="K324" s="17"/>
      <x:c r="L324" s="17"/>
      <x:c r="M324" s="35"/>
      <x:c r="N324" s="35"/>
      <x:c r="O324" s="36"/>
      <x:c r="P324" s="37"/>
      <x:c r="Q324" s="17"/>
      <x:c r="R324" s="17"/>
      <x:c r="S324" s="17"/>
      <x:c r="T324" s="35"/>
      <x:c r="U324" s="35"/>
      <x:c r="V324" s="37"/>
      <x:c r="W324" s="17"/>
      <x:c r="X324" s="17"/>
      <x:c r="Y324" s="17"/>
      <x:c r="Z324" s="37"/>
      <x:c r="AA324" s="35"/>
      <x:c r="AB324" s="37"/>
      <x:c r="AC324" s="17"/>
      <x:c r="AD324" s="38"/>
      <x:c r="AE324" s="37"/>
      <x:c r="AF324" s="17"/>
      <x:c r="AG324" s="17"/>
      <x:c r="AH324" s="17"/>
      <x:c r="AI324" s="17"/>
      <x:c r="AJ324" s="37"/>
      <x:c r="AK324" s="17"/>
      <x:c r="AL324" s="17"/>
      <x:c r="AM324" s="17"/>
      <x:c r="AN324" s="17"/>
      <x:c r="AO324" s="17"/>
      <x:c r="AP324" s="17"/>
      <x:c r="AQ324" s="39"/>
      <x:c r="AR324" s="17"/>
      <x:c r="AS324" s="17"/>
      <x:c r="AT324" s="40"/>
      <x:c r="AU324" s="41">
        <x:f t="shared" si="11"/>
      </x:c>
      <x:c r="AV324" s="42"/>
      <x:c r="AW324" s="19"/>
      <x:c r="AX324" s="19"/>
      <x:c r="AY324" s="19"/>
      <x:c r="AZ324" s="19"/>
      <x:c r="BA324" s="19"/>
      <x:c r="BB324" s="19"/>
      <x:c r="BC324" s="19"/>
      <x:c r="BD324" s="19"/>
      <x:c r="BF324"/>
    </x:row>
    <x:row r="325" ht="28" customHeight="1">
      <x:c r="A325" s="4"/>
      <x:c r="B325" s="15"/>
      <x:c r="C325" s="15"/>
      <x:c r="D325" s="15"/>
      <x:c r="E325" s="32"/>
      <x:c r="F325" s="17"/>
      <x:c r="G325" s="4">
        <x:f t="shared" si="10"/>
      </x:c>
      <x:c r="H325" s="33"/>
      <x:c r="I325" s="17"/>
      <x:c r="J325" s="34"/>
      <x:c r="K325" s="17"/>
      <x:c r="L325" s="17"/>
      <x:c r="M325" s="35"/>
      <x:c r="N325" s="35"/>
      <x:c r="O325" s="36"/>
      <x:c r="P325" s="37"/>
      <x:c r="Q325" s="17"/>
      <x:c r="R325" s="17"/>
      <x:c r="S325" s="17"/>
      <x:c r="T325" s="35"/>
      <x:c r="U325" s="35"/>
      <x:c r="V325" s="37"/>
      <x:c r="W325" s="17"/>
      <x:c r="X325" s="17"/>
      <x:c r="Y325" s="17"/>
      <x:c r="Z325" s="37"/>
      <x:c r="AA325" s="35"/>
      <x:c r="AB325" s="37"/>
      <x:c r="AC325" s="17"/>
      <x:c r="AD325" s="38"/>
      <x:c r="AE325" s="37"/>
      <x:c r="AF325" s="17"/>
      <x:c r="AG325" s="17"/>
      <x:c r="AH325" s="17"/>
      <x:c r="AI325" s="17"/>
      <x:c r="AJ325" s="37"/>
      <x:c r="AK325" s="17"/>
      <x:c r="AL325" s="17"/>
      <x:c r="AM325" s="17"/>
      <x:c r="AN325" s="17"/>
      <x:c r="AO325" s="17"/>
      <x:c r="AP325" s="17"/>
      <x:c r="AQ325" s="39"/>
      <x:c r="AR325" s="17"/>
      <x:c r="AS325" s="17"/>
      <x:c r="AT325" s="40"/>
      <x:c r="AU325" s="41">
        <x:f t="shared" si="11"/>
      </x:c>
      <x:c r="AV325" s="42"/>
      <x:c r="AW325" s="19"/>
      <x:c r="AX325" s="19"/>
      <x:c r="AY325" s="19"/>
      <x:c r="AZ325" s="19"/>
      <x:c r="BA325" s="19"/>
      <x:c r="BB325" s="19"/>
      <x:c r="BC325" s="19"/>
      <x:c r="BD325" s="19"/>
      <x:c r="BF325"/>
    </x:row>
    <x:row r="326" ht="28" customHeight="1">
      <x:c r="A326" s="4"/>
      <x:c r="B326" s="15"/>
      <x:c r="C326" s="15"/>
      <x:c r="D326" s="15"/>
      <x:c r="E326" s="32"/>
      <x:c r="F326" s="17"/>
      <x:c r="G326" s="4">
        <x:f t="shared" si="10"/>
      </x:c>
      <x:c r="H326" s="33"/>
      <x:c r="I326" s="17"/>
      <x:c r="J326" s="34"/>
      <x:c r="K326" s="17"/>
      <x:c r="L326" s="17"/>
      <x:c r="M326" s="35"/>
      <x:c r="N326" s="35"/>
      <x:c r="O326" s="36"/>
      <x:c r="P326" s="37"/>
      <x:c r="Q326" s="17"/>
      <x:c r="R326" s="17"/>
      <x:c r="S326" s="17"/>
      <x:c r="T326" s="35"/>
      <x:c r="U326" s="35"/>
      <x:c r="V326" s="37"/>
      <x:c r="W326" s="17"/>
      <x:c r="X326" s="17"/>
      <x:c r="Y326" s="17"/>
      <x:c r="Z326" s="37"/>
      <x:c r="AA326" s="35"/>
      <x:c r="AB326" s="37"/>
      <x:c r="AC326" s="17"/>
      <x:c r="AD326" s="38"/>
      <x:c r="AE326" s="37"/>
      <x:c r="AF326" s="17"/>
      <x:c r="AG326" s="17"/>
      <x:c r="AH326" s="17"/>
      <x:c r="AI326" s="17"/>
      <x:c r="AJ326" s="37"/>
      <x:c r="AK326" s="17"/>
      <x:c r="AL326" s="17"/>
      <x:c r="AM326" s="17"/>
      <x:c r="AN326" s="17"/>
      <x:c r="AO326" s="17"/>
      <x:c r="AP326" s="17"/>
      <x:c r="AQ326" s="39"/>
      <x:c r="AR326" s="17"/>
      <x:c r="AS326" s="17"/>
      <x:c r="AT326" s="40"/>
      <x:c r="AU326" s="41">
        <x:f t="shared" si="11"/>
      </x:c>
      <x:c r="AV326" s="42"/>
      <x:c r="AW326" s="19"/>
      <x:c r="AX326" s="19"/>
      <x:c r="AY326" s="19"/>
      <x:c r="AZ326" s="19"/>
      <x:c r="BA326" s="19"/>
      <x:c r="BB326" s="19"/>
      <x:c r="BC326" s="19"/>
      <x:c r="BD326" s="19"/>
      <x:c r="BF326"/>
    </x:row>
    <x:row r="327" ht="28" customHeight="1">
      <x:c r="A327" s="4"/>
      <x:c r="B327" s="15"/>
      <x:c r="C327" s="15"/>
      <x:c r="D327" s="15"/>
      <x:c r="E327" s="32"/>
      <x:c r="F327" s="17"/>
      <x:c r="G327" s="4">
        <x:f t="shared" si="10"/>
      </x:c>
      <x:c r="H327" s="33"/>
      <x:c r="I327" s="17"/>
      <x:c r="J327" s="34"/>
      <x:c r="K327" s="17"/>
      <x:c r="L327" s="17"/>
      <x:c r="M327" s="35"/>
      <x:c r="N327" s="35"/>
      <x:c r="O327" s="36"/>
      <x:c r="P327" s="37"/>
      <x:c r="Q327" s="17"/>
      <x:c r="R327" s="17"/>
      <x:c r="S327" s="17"/>
      <x:c r="T327" s="35"/>
      <x:c r="U327" s="35"/>
      <x:c r="V327" s="37"/>
      <x:c r="W327" s="17"/>
      <x:c r="X327" s="17"/>
      <x:c r="Y327" s="17"/>
      <x:c r="Z327" s="37"/>
      <x:c r="AA327" s="35"/>
      <x:c r="AB327" s="37"/>
      <x:c r="AC327" s="17"/>
      <x:c r="AD327" s="38"/>
      <x:c r="AE327" s="37"/>
      <x:c r="AF327" s="17"/>
      <x:c r="AG327" s="17"/>
      <x:c r="AH327" s="17"/>
      <x:c r="AI327" s="17"/>
      <x:c r="AJ327" s="37"/>
      <x:c r="AK327" s="17"/>
      <x:c r="AL327" s="17"/>
      <x:c r="AM327" s="17"/>
      <x:c r="AN327" s="17"/>
      <x:c r="AO327" s="17"/>
      <x:c r="AP327" s="17"/>
      <x:c r="AQ327" s="39"/>
      <x:c r="AR327" s="17"/>
      <x:c r="AS327" s="17"/>
      <x:c r="AT327" s="40"/>
      <x:c r="AU327" s="41">
        <x:f t="shared" si="11"/>
      </x:c>
      <x:c r="AV327" s="42"/>
      <x:c r="AW327" s="19"/>
      <x:c r="AX327" s="19"/>
      <x:c r="AY327" s="19"/>
      <x:c r="AZ327" s="19"/>
      <x:c r="BA327" s="19"/>
      <x:c r="BB327" s="19"/>
      <x:c r="BC327" s="19"/>
      <x:c r="BD327" s="19"/>
      <x:c r="BF327"/>
    </x:row>
    <x:row r="328" ht="28" customHeight="1">
      <x:c r="A328" s="4"/>
      <x:c r="B328" s="15"/>
      <x:c r="C328" s="15"/>
      <x:c r="D328" s="15"/>
      <x:c r="E328" s="32"/>
      <x:c r="F328" s="17"/>
      <x:c r="G328" s="4">
        <x:f t="shared" si="10"/>
      </x:c>
      <x:c r="H328" s="33"/>
      <x:c r="I328" s="17"/>
      <x:c r="J328" s="34"/>
      <x:c r="K328" s="17"/>
      <x:c r="L328" s="17"/>
      <x:c r="M328" s="35"/>
      <x:c r="N328" s="35"/>
      <x:c r="O328" s="36"/>
      <x:c r="P328" s="37"/>
      <x:c r="Q328" s="17"/>
      <x:c r="R328" s="17"/>
      <x:c r="S328" s="17"/>
      <x:c r="T328" s="35"/>
      <x:c r="U328" s="35"/>
      <x:c r="V328" s="37"/>
      <x:c r="W328" s="17"/>
      <x:c r="X328" s="17"/>
      <x:c r="Y328" s="17"/>
      <x:c r="Z328" s="37"/>
      <x:c r="AA328" s="35"/>
      <x:c r="AB328" s="37"/>
      <x:c r="AC328" s="17"/>
      <x:c r="AD328" s="38"/>
      <x:c r="AE328" s="37"/>
      <x:c r="AF328" s="17"/>
      <x:c r="AG328" s="17"/>
      <x:c r="AH328" s="17"/>
      <x:c r="AI328" s="17"/>
      <x:c r="AJ328" s="37"/>
      <x:c r="AK328" s="17"/>
      <x:c r="AL328" s="17"/>
      <x:c r="AM328" s="17"/>
      <x:c r="AN328" s="17"/>
      <x:c r="AO328" s="17"/>
      <x:c r="AP328" s="17"/>
      <x:c r="AQ328" s="39"/>
      <x:c r="AR328" s="17"/>
      <x:c r="AS328" s="17"/>
      <x:c r="AT328" s="40"/>
      <x:c r="AU328" s="41">
        <x:f t="shared" si="11"/>
      </x:c>
      <x:c r="AV328" s="42"/>
      <x:c r="AW328" s="19"/>
      <x:c r="AX328" s="19"/>
      <x:c r="AY328" s="19"/>
      <x:c r="AZ328" s="19"/>
      <x:c r="BA328" s="19"/>
      <x:c r="BB328" s="19"/>
      <x:c r="BC328" s="19"/>
      <x:c r="BD328" s="19"/>
      <x:c r="BF328"/>
    </x:row>
    <x:row r="329" ht="28" customHeight="1">
      <x:c r="A329" s="4"/>
      <x:c r="B329" s="15"/>
      <x:c r="C329" s="15"/>
      <x:c r="D329" s="15"/>
      <x:c r="E329" s="32"/>
      <x:c r="F329" s="17"/>
      <x:c r="G329" s="4">
        <x:f t="shared" si="10"/>
      </x:c>
      <x:c r="H329" s="33"/>
      <x:c r="I329" s="17"/>
      <x:c r="J329" s="34"/>
      <x:c r="K329" s="17"/>
      <x:c r="L329" s="17"/>
      <x:c r="M329" s="35"/>
      <x:c r="N329" s="35"/>
      <x:c r="O329" s="36"/>
      <x:c r="P329" s="37"/>
      <x:c r="Q329" s="17"/>
      <x:c r="R329" s="17"/>
      <x:c r="S329" s="17"/>
      <x:c r="T329" s="35"/>
      <x:c r="U329" s="35"/>
      <x:c r="V329" s="37"/>
      <x:c r="W329" s="17"/>
      <x:c r="X329" s="17"/>
      <x:c r="Y329" s="17"/>
      <x:c r="Z329" s="37"/>
      <x:c r="AA329" s="35"/>
      <x:c r="AB329" s="37"/>
      <x:c r="AC329" s="17"/>
      <x:c r="AD329" s="38"/>
      <x:c r="AE329" s="37"/>
      <x:c r="AF329" s="17"/>
      <x:c r="AG329" s="17"/>
      <x:c r="AH329" s="17"/>
      <x:c r="AI329" s="17"/>
      <x:c r="AJ329" s="37"/>
      <x:c r="AK329" s="17"/>
      <x:c r="AL329" s="17"/>
      <x:c r="AM329" s="17"/>
      <x:c r="AN329" s="17"/>
      <x:c r="AO329" s="17"/>
      <x:c r="AP329" s="17"/>
      <x:c r="AQ329" s="39"/>
      <x:c r="AR329" s="17"/>
      <x:c r="AS329" s="17"/>
      <x:c r="AT329" s="40"/>
      <x:c r="AU329" s="41">
        <x:f t="shared" si="11"/>
      </x:c>
      <x:c r="AV329" s="42"/>
      <x:c r="AW329" s="19"/>
      <x:c r="AX329" s="19"/>
      <x:c r="AY329" s="19"/>
      <x:c r="AZ329" s="19"/>
      <x:c r="BA329" s="19"/>
      <x:c r="BB329" s="19"/>
      <x:c r="BC329" s="19"/>
      <x:c r="BD329" s="19"/>
      <x:c r="BF329"/>
    </x:row>
    <x:row r="330" ht="28" customHeight="1">
      <x:c r="A330" s="4"/>
      <x:c r="B330" s="15"/>
      <x:c r="C330" s="15"/>
      <x:c r="D330" s="15"/>
      <x:c r="E330" s="32"/>
      <x:c r="F330" s="17"/>
      <x:c r="G330" s="4">
        <x:f t="shared" si="10"/>
      </x:c>
      <x:c r="H330" s="33"/>
      <x:c r="I330" s="17"/>
      <x:c r="J330" s="34"/>
      <x:c r="K330" s="17"/>
      <x:c r="L330" s="17"/>
      <x:c r="M330" s="35"/>
      <x:c r="N330" s="35"/>
      <x:c r="O330" s="36"/>
      <x:c r="P330" s="37"/>
      <x:c r="Q330" s="17"/>
      <x:c r="R330" s="17"/>
      <x:c r="S330" s="17"/>
      <x:c r="T330" s="35"/>
      <x:c r="U330" s="35"/>
      <x:c r="V330" s="37"/>
      <x:c r="W330" s="17"/>
      <x:c r="X330" s="17"/>
      <x:c r="Y330" s="17"/>
      <x:c r="Z330" s="37"/>
      <x:c r="AA330" s="35"/>
      <x:c r="AB330" s="37"/>
      <x:c r="AC330" s="17"/>
      <x:c r="AD330" s="38"/>
      <x:c r="AE330" s="37"/>
      <x:c r="AF330" s="17"/>
      <x:c r="AG330" s="17"/>
      <x:c r="AH330" s="17"/>
      <x:c r="AI330" s="17"/>
      <x:c r="AJ330" s="37"/>
      <x:c r="AK330" s="17"/>
      <x:c r="AL330" s="17"/>
      <x:c r="AM330" s="17"/>
      <x:c r="AN330" s="17"/>
      <x:c r="AO330" s="17"/>
      <x:c r="AP330" s="17"/>
      <x:c r="AQ330" s="39"/>
      <x:c r="AR330" s="17"/>
      <x:c r="AS330" s="17"/>
      <x:c r="AT330" s="40"/>
      <x:c r="AU330" s="41">
        <x:f t="shared" si="11"/>
      </x:c>
      <x:c r="AV330" s="42"/>
      <x:c r="AW330" s="19"/>
      <x:c r="AX330" s="19"/>
      <x:c r="AY330" s="19"/>
      <x:c r="AZ330" s="19"/>
      <x:c r="BA330" s="19"/>
      <x:c r="BB330" s="19"/>
      <x:c r="BC330" s="19"/>
      <x:c r="BD330" s="19"/>
      <x:c r="BF330"/>
    </x:row>
  </x:sheetData>
  <x:mergeCells>
    <x:mergeCell ref="A15:G15"/>
    <x:mergeCell ref="H15:L15"/>
    <x:mergeCell ref="M15:S15"/>
    <x:mergeCell ref="T15:Y15"/>
    <x:mergeCell ref="Z15:AC15"/>
    <x:mergeCell ref="AD15:AI15"/>
    <x:mergeCell ref="AJ15:AK15"/>
    <x:mergeCell ref="AL15:AU15"/>
    <x:mergeCell ref="AV15:BD15"/>
  </x:mergeCells>
  <x:conditionalFormatting sqref="G17:G330">
    <x:cfRule type="containsText" dxfId="0" priority="1" operator="between" text="不入池">
      <x:formula>NOT(ISERROR(SEARCH("不入池",G17)))</x:formula>
    </x:cfRule>
  </x:conditionalFormatting>
  <x:pageMargins left="0.7" right="0.7" top="0.75" bottom="0.75" header="0.3" footer="0.3"/>
  <x:tableParts count="1">
    <x:tablePart xmlns:r="http://schemas.openxmlformats.org/officeDocument/2006/relationships" r:id="Rbf4388df3e5d4a42"/>
  </x:tableParts>
</x:worksheet>
</file>

<file path=xl/worksheets/sheet3.xml><?xml version="1.0" encoding="utf-8"?>
<x:worksheet xmlns:x="http://schemas.openxmlformats.org/spreadsheetml/2006/main">
  <x:sheetViews>
    <x:sheetView showGridLines="0" workbookViewId="0">
      <x:pane xSplit="4" ySplit="5" topLeftCell="E6" activePane="bottomRight" state="frozen"/>
    </x:sheetView>
  </x:sheetViews>
  <x:sheetFormatPr defaultColWidth="9" defaultRowHeight="14.25"/>
  <x:cols>
    <x:col min="1" max="1" width="8" style="1" customWidth="1"/>
    <x:col min="2" max="2" width="27" style="1" customWidth="1"/>
    <x:col min="3" max="3" width="13" style="1" customWidth="1"/>
    <x:col min="4" max="4" width="21" style="1" customWidth="1"/>
    <x:col min="5" max="5" width="11" style="1" customWidth="1"/>
    <x:col min="6" max="13" width="14" style="1" customWidth="1"/>
    <x:col min="14" max="14" width="16" style="1" customWidth="1"/>
    <x:col min="15" max="16" width="14" style="1" customWidth="1"/>
    <x:col min="17" max="17" width="17" style="1" customWidth="1"/>
    <x:col min="18" max="18" width="18" style="1" customWidth="1"/>
    <x:col min="19" max="19" width="12" style="1" customWidth="1"/>
    <x:col min="20" max="20" width="18" style="1" customWidth="1"/>
    <x:col min="21" max="21" width="14" style="1" customWidth="1"/>
    <x:col min="22" max="22" width="13" style="1" customWidth="1"/>
    <x:col min="23" max="23" width="50" style="1" customWidth="1"/>
    <x:col min="24" max="24" width="12" style="1" customWidth="1"/>
  </x:cols>
  <x:sheetData>
    <x:row r="1" ht="20.25" customHeight="1">
      <x:c r="A1" s="6" t="s">
        <x:v>69</x:v>
      </x:c>
      <x:c r="B1" s="6"/>
      <x:c r="C1" s="6"/>
      <x:c r="D1" s="6"/>
      <x:c r="E1" s="6"/>
      <x:c r="F1" s="6"/>
      <x:c r="G1" s="6"/>
      <x:c r="H1" s="6"/>
      <x:c r="I1" s="6"/>
      <x:c r="J1" s="6"/>
      <x:c r="K1" s="6"/>
      <x:c r="L1" s="6"/>
      <x:c r="M1" s="6"/>
      <x:c r="N1" s="6"/>
      <x:c r="O1" s="6"/>
      <x:c r="P1" s="6"/>
      <x:c r="Q1" s="6"/>
      <x:c r="R1" s="6"/>
      <x:c r="S1" s="6"/>
      <x:c r="T1" s="6"/>
      <x:c r="U1" s="6"/>
      <x:c r="V1" s="6"/>
      <x:c r="W1" s="6"/>
      <x:c r="X1" s="6"/>
    </x:row>
    <x:row r="2">
      <x:c r="A2" s="7" t="str">
        <x:v>保留近三年收益与最大回撤齐全的203只；以203只重算排名分。管理人处罚及规模分组见现有汇总页。</x:v>
      </x:c>
      <x:c r="B2" s="7"/>
      <x:c r="C2" s="7"/>
      <x:c r="D2" s="7"/>
      <x:c r="E2" s="7"/>
      <x:c r="F2" s="7"/>
      <x:c r="G2" s="7"/>
      <x:c r="H2" s="7"/>
      <x:c r="I2" s="7"/>
      <x:c r="J2" s="7"/>
      <x:c r="K2" s="7"/>
      <x:c r="L2" s="7"/>
      <x:c r="M2" s="7"/>
      <x:c r="N2" s="7"/>
      <x:c r="O2" s="7"/>
      <x:c r="P2" s="7"/>
      <x:c r="Q2" s="7"/>
      <x:c r="R2" s="7"/>
      <x:c r="S2" s="7"/>
      <x:c r="T2" s="7"/>
      <x:c r="U2" s="7"/>
      <x:c r="V2" s="7"/>
      <x:c r="W2" s="7"/>
      <x:c r="X2" s="7"/>
    </x:row>
    <x:row r="4" ht="34" customHeight="1">
      <x:c r="A4" s="8" t="s">
        <x:v>70</x:v>
      </x:c>
      <x:c r="B4" s="9"/>
      <x:c r="C4" s="9"/>
      <x:c r="D4" s="9"/>
      <x:c r="E4" s="10"/>
      <x:c r="F4" s="11" t="s">
        <x:v>71</x:v>
      </x:c>
      <x:c r="G4" s="9"/>
      <x:c r="H4" s="9"/>
      <x:c r="I4" s="9"/>
      <x:c r="J4" s="9"/>
      <x:c r="K4" s="9"/>
      <x:c r="L4" s="9"/>
      <x:c r="M4" s="10"/>
      <x:c r="N4" s="12" t="s">
        <x:v>72</x:v>
      </x:c>
      <x:c r="O4" s="9"/>
      <x:c r="P4" s="9"/>
      <x:c r="Q4" s="9"/>
      <x:c r="R4" s="10"/>
      <x:c r="S4" s="13" t="s">
        <x:v>73</x:v>
      </x:c>
      <x:c r="T4" s="9"/>
      <x:c r="U4" s="9"/>
      <x:c r="V4" s="9"/>
      <x:c r="W4" s="9"/>
      <x:c r="X4" s="10"/>
    </x:row>
    <x:row r="5" ht="34" customHeight="1">
      <x:c r="A5" s="14" t="str">
        <x:v>排名</x:v>
      </x:c>
      <x:c r="B5" s="14" t="str">
        <x:v>产品名称</x:v>
      </x:c>
      <x:c r="C5" s="14" t="str">
        <x:v>备案号</x:v>
      </x:c>
      <x:c r="D5" s="14" t="str">
        <x:v>管理人</x:v>
      </x:c>
      <x:c r="E5" s="14" t="str">
        <x:v>入池状态</x:v>
      </x:c>
      <x:c r="F5" s="14" t="str">
        <x:v>管理人规模分</x:v>
      </x:c>
      <x:c r="G5" s="14" t="str">
        <x:v>产品规模分</x:v>
      </x:c>
      <x:c r="H5" s="14" t="str">
        <x:v>成立年限分</x:v>
      </x:c>
      <x:c r="I5" s="14" t="str">
        <x:v>年化收益分（可用折算）</x:v>
      </x:c>
      <x:c r="J5" s="14" t="str">
        <x:v>月度胜率分（可用折算）</x:v>
      </x:c>
      <x:c r="K5" s="14" t="str">
        <x:v>最大回撤分</x:v>
      </x:c>
      <x:c r="L5" s="14" t="str">
        <x:v>卡玛比率分（可用折算）</x:v>
      </x:c>
      <x:c r="M5" s="14" t="str">
        <x:v>收益趋势分</x:v>
      </x:c>
      <x:c r="N5" s="14" t="str">
        <x:v>管理人及产品</x:v>
      </x:c>
      <x:c r="O5" s="14" t="str">
        <x:v>收益能力</x:v>
      </x:c>
      <x:c r="P5" s="14" t="str">
        <x:v>风险控制</x:v>
      </x:c>
      <x:c r="Q5" s="14" t="str">
        <x:v>风险调整收益</x:v>
      </x:c>
      <x:c r="R5" s="14" t="str">
        <x:v>业绩一致性/趋势</x:v>
      </x:c>
      <x:c r="S5" s="14" t="str">
        <x:v>有效权重</x:v>
      </x:c>
      <x:c r="T5" s="14" t="str">
        <x:v>加权总分（不补缺）</x:v>
      </x:c>
      <x:c r="U5" s="14" t="str">
        <x:v>可比总分</x:v>
      </x:c>
      <x:c r="V5" s="14" t="str">
        <x:v>严格总分</x:v>
      </x:c>
      <x:c r="W5" s="14" t="str">
        <x:v>数据缺口</x:v>
      </x:c>
      <x:c r="X5" s="14" t="str">
        <x:v>明细相对行</x:v>
      </x:c>
    </x:row>
    <x:row r="6" ht="28" customHeight="1">
      <x:c r="A6" s="4" t="n">
        <x:v>1</x:v>
      </x:c>
      <x:c r="B6" s="15" t="str">
        <x:f>IF($X6="","",INDEX('sheet2-计算明细'!$B$17:$B$219,$X6))</x:f>
        <x:v>惠隆金选套利1号</x:v>
      </x:c>
      <x:c r="C6" s="15" t="str">
        <x:f>IF($X6="","",INDEX('sheet2-计算明细'!$C$17:$C$219,$X6))</x:f>
        <x:v>SQG026</x:v>
      </x:c>
      <x:c r="D6" s="15" t="str">
        <x:f>IF($X6="","",INDEX('sheet2-计算明细'!$D$17:$D$219,$X6))</x:f>
        <x:v>北京惠隆资管</x:v>
      </x:c>
      <x:c r="E6" s="15" t="str">
        <x:f>IF($X6="","",INDEX('sheet2-计算明细'!$G$17:$G$219,$X6))</x:f>
        <x:v>入池</x:v>
      </x:c>
      <x:c r="F6" s="16" t="n">
        <x:f>IF($X6="","",INDEX('sheet2-计算明细'!$I$17:$I$219,$X6))</x:f>
        <x:v>80</x:v>
      </x:c>
      <x:c r="G6" s="16" t="n">
        <x:f>IF($X6="","",INDEX('sheet2-计算明细'!$K$17:$K$219,$X6))</x:f>
        <x:v>100</x:v>
      </x:c>
      <x:c r="H6" s="16" t="n">
        <x:f>IF($X6="","",INDEX('sheet2-计算明细'!$L$17:$L$219,$X6))</x:f>
        <x:v>100</x:v>
      </x:c>
      <x:c r="I6" s="16" t="n">
        <x:f>IF($X6="","",INDEX('sheet2-计算明细'!$S$17:$S$219,$X6))</x:f>
        <x:v>89.65</x:v>
      </x:c>
      <x:c r="J6" s="16" t="n">
        <x:f>IF($X6="","",INDEX('sheet2-计算明细'!$Y$17:$Y$219,$X6))</x:f>
        <x:v>100</x:v>
      </x:c>
      <x:c r="K6" s="16" t="n">
        <x:f>IF($X6="","",INDEX('sheet2-计算明细'!$AC$17:$AC$219,$X6))</x:f>
        <x:v>98.27</x:v>
      </x:c>
      <x:c r="L6" s="16" t="n">
        <x:f>IF($X6="","",INDEX('sheet2-计算明细'!$AI$17:$AI$219,$X6))</x:f>
        <x:v>97.26</x:v>
      </x:c>
      <x:c r="M6" s="16" t="n">
        <x:f>IF($X6="","",INDEX('sheet2-计算明细'!$AK$17:$AK$219,$X6))</x:f>
        <x:v>80</x:v>
      </x:c>
      <x:c r="N6" s="17" t="n">
        <x:f t="shared" ref="N6:N69" si="0">IF(ISNUMBER(INDEX('sheet2-计算明细'!$AL$17:$AL$219,$X6)),INDEX('sheet2-计算明细'!$AL$17:$AL$219,$X6),"")</x:f>
        <x:v>92</x:v>
      </x:c>
      <x:c r="O6" s="17" t="n">
        <x:f t="shared" ref="O6:O69" si="1">IF(ISNUMBER(INDEX('sheet2-计算明细'!$AM$17:$AM$219,$X6)),INDEX('sheet2-计算明细'!$AM$17:$AM$219,$X6),"")</x:f>
        <x:v>92.76</x:v>
      </x:c>
      <x:c r="P6" s="17" t="n">
        <x:f t="shared" ref="P6:P69" si="2">IF(ISNUMBER(INDEX('sheet2-计算明细'!$AN$17:$AN$219,$X6)),INDEX('sheet2-计算明细'!$AN$17:$AN$219,$X6),"")</x:f>
        <x:v>98.27</x:v>
      </x:c>
      <x:c r="Q6" s="17" t="n">
        <x:f t="shared" ref="Q6:Q69" si="3">IF(ISNUMBER(INDEX('sheet2-计算明细'!$AO$17:$AO$219,$X6)),INDEX('sheet2-计算明细'!$AO$17:$AO$219,$X6),"")</x:f>
        <x:v>97.26</x:v>
      </x:c>
      <x:c r="R6" s="17" t="n">
        <x:f t="shared" ref="R6:R69" si="4">IF(ISNUMBER(INDEX('sheet2-计算明细'!$AP$17:$AP$219,$X6)),INDEX('sheet2-计算明细'!$AP$17:$AP$219,$X6),"")</x:f>
        <x:v>80</x:v>
      </x:c>
      <x:c r="S6" s="18" t="n">
        <x:f>IF($X6="","",INDEX('sheet2-计算明细'!$AQ$17:$AQ$219,$X6))</x:f>
        <x:v>0.88</x:v>
      </x:c>
      <x:c r="T6" s="16" t="n">
        <x:f>IF($X6="","",INDEX('sheet2-计算明细'!$AR$17:$AR$219,$X6))</x:f>
        <x:v>82.42586</x:v>
      </x:c>
      <x:c r="U6" s="17" t="n">
        <x:f t="shared" ref="U6:U69" si="5">IF(S6=0,"",ROUND(T6/S6,2))</x:f>
        <x:v>93.67</x:v>
      </x:c>
      <x:c r="V6" s="17" t="str">
        <x:f t="shared" ref="V6:V69" si="6">IF(ABS(S6-1)&lt;0.00000001,T6,"")</x:f>
      </x:c>
      <x:c r="W6" s="19" t="str">
        <x:f>IF($X6="","",INDEX('sheet2-计算明细'!$AU$17:$AU$219,$X6))</x:f>
        <x:v>DD_long不可识别；</x:v>
      </x:c>
      <x:c r="X6" s="15" t="n">
        <x:f>IF($A6&gt;COUNT('sheet2-计算明细'!$AT$17:$AT$219),"",MATCH($A6,'sheet2-计算明细'!$AT$17:$AT$219,0))</x:f>
        <x:v>139</x:v>
      </x:c>
    </x:row>
    <x:row r="7" ht="28" customHeight="1">
      <x:c r="A7" s="4" t="n">
        <x:v>2</x:v>
      </x:c>
      <x:c r="B7" s="15" t="str">
        <x:f>IF($X7="","",INDEX('sheet2-计算明细'!$B$17:$B$219,$X7))</x:f>
        <x:v>惠隆金选套利1号B类</x:v>
      </x:c>
      <x:c r="C7" s="15" t="str">
        <x:f>IF($X7="","",INDEX('sheet2-计算明细'!$C$17:$C$219,$X7))</x:f>
        <x:v>QG026B</x:v>
      </x:c>
      <x:c r="D7" s="15" t="str">
        <x:f>IF($X7="","",INDEX('sheet2-计算明细'!$D$17:$D$219,$X7))</x:f>
        <x:v>北京惠隆资管</x:v>
      </x:c>
      <x:c r="E7" s="15" t="str">
        <x:f>IF($X7="","",INDEX('sheet2-计算明细'!$G$17:$G$219,$X7))</x:f>
        <x:v>入池</x:v>
      </x:c>
      <x:c r="F7" s="16" t="n">
        <x:f>IF($X7="","",INDEX('sheet2-计算明细'!$I$17:$I$219,$X7))</x:f>
        <x:v>80</x:v>
      </x:c>
      <x:c r="G7" s="16" t="str">
        <x:f>IF($X7="","",INDEX('sheet2-计算明细'!$K$17:$K$219,$X7))</x:f>
      </x:c>
      <x:c r="H7" s="16" t="n">
        <x:f>IF($X7="","",INDEX('sheet2-计算明细'!$L$17:$L$219,$X7))</x:f>
        <x:v>100</x:v>
      </x:c>
      <x:c r="I7" s="16" t="n">
        <x:f>IF($X7="","",INDEX('sheet2-计算明细'!$S$17:$S$219,$X7))</x:f>
        <x:v>89.65</x:v>
      </x:c>
      <x:c r="J7" s="16" t="n">
        <x:f>IF($X7="","",INDEX('sheet2-计算明细'!$Y$17:$Y$219,$X7))</x:f>
        <x:v>100</x:v>
      </x:c>
      <x:c r="K7" s="16" t="n">
        <x:f>IF($X7="","",INDEX('sheet2-计算明细'!$AC$17:$AC$219,$X7))</x:f>
        <x:v>98.27</x:v>
      </x:c>
      <x:c r="L7" s="16" t="n">
        <x:f>IF($X7="","",INDEX('sheet2-计算明细'!$AI$17:$AI$219,$X7))</x:f>
        <x:v>97.26</x:v>
      </x:c>
      <x:c r="M7" s="16" t="n">
        <x:f>IF($X7="","",INDEX('sheet2-计算明细'!$AK$17:$AK$219,$X7))</x:f>
        <x:v>80</x:v>
      </x:c>
      <x:c r="N7" s="17" t="n">
        <x:f t="shared" si="0">IF(ISNUMBER(INDEX('sheet2-计算明细'!$AL$17:$AL$219,$X7)),INDEX('sheet2-计算明细'!$AL$17:$AL$219,$X7),"")</x:f>
        <x:v>88.57</x:v>
      </x:c>
      <x:c r="O7" s="17" t="n">
        <x:f t="shared" si="1">IF(ISNUMBER(INDEX('sheet2-计算明细'!$AM$17:$AM$219,$X7)),INDEX('sheet2-计算明细'!$AM$17:$AM$219,$X7),"")</x:f>
        <x:v>92.76</x:v>
      </x:c>
      <x:c r="P7" s="17" t="n">
        <x:f t="shared" si="2">IF(ISNUMBER(INDEX('sheet2-计算明细'!$AN$17:$AN$219,$X7)),INDEX('sheet2-计算明细'!$AN$17:$AN$219,$X7),"")</x:f>
        <x:v>98.27</x:v>
      </x:c>
      <x:c r="Q7" s="17" t="n">
        <x:f t="shared" si="3">IF(ISNUMBER(INDEX('sheet2-计算明细'!$AO$17:$AO$219,$X7)),INDEX('sheet2-计算明细'!$AO$17:$AO$219,$X7),"")</x:f>
        <x:v>97.26</x:v>
      </x:c>
      <x:c r="R7" s="17" t="n">
        <x:f t="shared" si="4">IF(ISNUMBER(INDEX('sheet2-计算明细'!$AP$17:$AP$219,$X7)),INDEX('sheet2-计算明细'!$AP$17:$AP$219,$X7),"")</x:f>
        <x:v>80</x:v>
      </x:c>
      <x:c r="S7" s="18" t="n">
        <x:f>IF($X7="","",INDEX('sheet2-计算明细'!$AQ$17:$AQ$219,$X7))</x:f>
        <x:v>0.8350000000000001</x:v>
      </x:c>
      <x:c r="T7" s="16" t="n">
        <x:f>IF($X7="","",INDEX('sheet2-计算明细'!$AR$17:$AR$219,$X7))</x:f>
        <x:v>77.92586</x:v>
      </x:c>
      <x:c r="U7" s="17" t="n">
        <x:f t="shared" si="5">IF(S7=0,"",ROUND(T7/S7,2))</x:f>
        <x:v>93.32</x:v>
      </x:c>
      <x:c r="V7" s="17" t="str">
        <x:f t="shared" si="6">IF(ABS(S7-1)&lt;0.00000001,T7,"")</x:f>
      </x:c>
      <x:c r="W7" s="20" t="str">
        <x:f>IF($X7="","",INDEX('sheet2-计算明细'!$AU$17:$AU$219,$X7))</x:f>
        <x:v>产品规模标识；DD_long不可识别；</x:v>
      </x:c>
      <x:c r="X7" s="15" t="n">
        <x:f>IF($A7&gt;COUNT('sheet2-计算明细'!$AT$17:$AT$219),"",MATCH($A7,'sheet2-计算明细'!$AT$17:$AT$219,0))</x:f>
        <x:v>193</x:v>
      </x:c>
    </x:row>
    <x:row r="8" ht="28" customHeight="1">
      <x:c r="A8" s="4" t="n">
        <x:v>3</x:v>
      </x:c>
      <x:c r="B8" s="15" t="str">
        <x:f>IF($X8="","",INDEX('sheet2-计算明细'!$B$17:$B$219,$X8))</x:f>
        <x:v>放牛人5号</x:v>
      </x:c>
      <x:c r="C8" s="15" t="str">
        <x:f>IF($X8="","",INDEX('sheet2-计算明细'!$C$17:$C$219,$X8))</x:f>
        <x:v>SVH487</x:v>
      </x:c>
      <x:c r="D8" s="15" t="str">
        <x:f>IF($X8="","",INDEX('sheet2-计算明细'!$D$17:$D$219,$X8))</x:f>
        <x:v>上海放牛人</x:v>
      </x:c>
      <x:c r="E8" s="15" t="str">
        <x:f>IF($X8="","",INDEX('sheet2-计算明细'!$G$17:$G$219,$X8))</x:f>
        <x:v>入池</x:v>
      </x:c>
      <x:c r="F8" s="16" t="n">
        <x:f>IF($X8="","",INDEX('sheet2-计算明细'!$I$17:$I$219,$X8))</x:f>
        <x:v>60</x:v>
      </x:c>
      <x:c r="G8" s="16" t="n">
        <x:f>IF($X8="","",INDEX('sheet2-计算明细'!$K$17:$K$219,$X8))</x:f>
        <x:v>100</x:v>
      </x:c>
      <x:c r="H8" s="16" t="n">
        <x:f>IF($X8="","",INDEX('sheet2-计算明细'!$L$17:$L$219,$X8))</x:f>
        <x:v>100</x:v>
      </x:c>
      <x:c r="I8" s="16" t="n">
        <x:f>IF($X8="","",INDEX('sheet2-计算明细'!$S$17:$S$219,$X8))</x:f>
        <x:v>70.85</x:v>
      </x:c>
      <x:c r="J8" s="16" t="n">
        <x:f>IF($X8="","",INDEX('sheet2-计算明细'!$Y$17:$Y$219,$X8))</x:f>
        <x:v>96.66</x:v>
      </x:c>
      <x:c r="K8" s="16" t="n">
        <x:f>IF($X8="","",INDEX('sheet2-计算明细'!$AC$17:$AC$219,$X8))</x:f>
        <x:v>97.52</x:v>
      </x:c>
      <x:c r="L8" s="16" t="n">
        <x:f>IF($X8="","",INDEX('sheet2-计算明细'!$AI$17:$AI$219,$X8))</x:f>
        <x:v>99.12</x:v>
      </x:c>
      <x:c r="M8" s="16" t="n">
        <x:f>IF($X8="","",INDEX('sheet2-计算明细'!$AK$17:$AK$219,$X8))</x:f>
        <x:v>100</x:v>
      </x:c>
      <x:c r="N8" s="17" t="n">
        <x:f t="shared" si="0">IF(ISNUMBER(INDEX('sheet2-计算明细'!$AL$17:$AL$219,$X8)),INDEX('sheet2-计算明细'!$AL$17:$AL$219,$X8),"")</x:f>
        <x:v>84</x:v>
      </x:c>
      <x:c r="O8" s="17" t="n">
        <x:f t="shared" si="1">IF(ISNUMBER(INDEX('sheet2-计算明细'!$AM$17:$AM$219,$X8)),INDEX('sheet2-计算明细'!$AM$17:$AM$219,$X8),"")</x:f>
        <x:v>78.59</x:v>
      </x:c>
      <x:c r="P8" s="17" t="n">
        <x:f t="shared" si="2">IF(ISNUMBER(INDEX('sheet2-计算明细'!$AN$17:$AN$219,$X8)),INDEX('sheet2-计算明细'!$AN$17:$AN$219,$X8),"")</x:f>
        <x:v>97.52</x:v>
      </x:c>
      <x:c r="Q8" s="17" t="n">
        <x:f t="shared" si="3">IF(ISNUMBER(INDEX('sheet2-计算明细'!$AO$17:$AO$219,$X8)),INDEX('sheet2-计算明细'!$AO$17:$AO$219,$X8),"")</x:f>
        <x:v>99.12</x:v>
      </x:c>
      <x:c r="R8" s="17" t="n">
        <x:f t="shared" si="4">IF(ISNUMBER(INDEX('sheet2-计算明细'!$AP$17:$AP$219,$X8)),INDEX('sheet2-计算明细'!$AP$17:$AP$219,$X8),"")</x:f>
        <x:v>100</x:v>
      </x:c>
      <x:c r="S8" s="18" t="n">
        <x:f>IF($X8="","",INDEX('sheet2-计算明细'!$AQ$17:$AQ$219,$X8))</x:f>
        <x:v>1</x:v>
      </x:c>
      <x:c r="T8" s="16" t="n">
        <x:f>IF($X8="","",INDEX('sheet2-计算明细'!$AR$17:$AR$219,$X8))</x:f>
        <x:v>92.43306999999999</x:v>
      </x:c>
      <x:c r="U8" s="17" t="n">
        <x:f t="shared" si="5">IF(S8=0,"",ROUND(T8/S8,2))</x:f>
        <x:v>92.43</x:v>
      </x:c>
      <x:c r="V8" s="17" t="n">
        <x:f t="shared" si="6">IF(ABS(S8-1)&lt;0.00000001,T8,"")</x:f>
        <x:v>92.43306999999999</x:v>
      </x:c>
      <x:c r="W8" s="19" t="str">
        <x:f>IF($X8="","",INDEX('sheet2-计算明细'!$AU$17:$AU$219,$X8))</x:f>
      </x:c>
      <x:c r="X8" s="15" t="n">
        <x:f>IF($A8&gt;COUNT('sheet2-计算明细'!$AT$17:$AT$219),"",MATCH($A8,'sheet2-计算明细'!$AT$17:$AT$219,0))</x:f>
        <x:v>149</x:v>
      </x:c>
    </x:row>
    <x:row r="9" ht="28" customHeight="1">
      <x:c r="A9" s="4" t="n">
        <x:v>4</x:v>
      </x:c>
      <x:c r="B9" s="15" t="str">
        <x:f>IF($X9="","",INDEX('sheet2-计算明细'!$B$17:$B$219,$X9))</x:f>
        <x:v>裕锦量化专享1号</x:v>
      </x:c>
      <x:c r="C9" s="15" t="str">
        <x:f>IF($X9="","",INDEX('sheet2-计算明细'!$C$17:$C$219,$X9))</x:f>
        <x:v>SNE165</x:v>
      </x:c>
      <x:c r="D9" s="15" t="str">
        <x:f>IF($X9="","",INDEX('sheet2-计算明细'!$D$17:$D$219,$X9))</x:f>
        <x:v>深圳裕锦</x:v>
      </x:c>
      <x:c r="E9" s="15" t="str">
        <x:f>IF($X9="","",INDEX('sheet2-计算明细'!$G$17:$G$219,$X9))</x:f>
        <x:v>入池</x:v>
      </x:c>
      <x:c r="F9" s="16" t="n">
        <x:f>IF($X9="","",INDEX('sheet2-计算明细'!$I$17:$I$219,$X9))</x:f>
        <x:v>80</x:v>
      </x:c>
      <x:c r="G9" s="16" t="n">
        <x:f>IF($X9="","",INDEX('sheet2-计算明细'!$K$17:$K$219,$X9))</x:f>
        <x:v>100</x:v>
      </x:c>
      <x:c r="H9" s="16" t="n">
        <x:f>IF($X9="","",INDEX('sheet2-计算明细'!$L$17:$L$219,$X9))</x:f>
        <x:v>100</x:v>
      </x:c>
      <x:c r="I9" s="16" t="n">
        <x:f>IF($X9="","",INDEX('sheet2-计算明细'!$S$17:$S$219,$X9))</x:f>
        <x:v>91.68</x:v>
      </x:c>
      <x:c r="J9" s="16" t="n">
        <x:f>IF($X9="","",INDEX('sheet2-计算明细'!$Y$17:$Y$219,$X9))</x:f>
        <x:v>81.15</x:v>
      </x:c>
      <x:c r="K9" s="16" t="n">
        <x:f>IF($X9="","",INDEX('sheet2-计算明细'!$AC$17:$AC$219,$X9))</x:f>
        <x:v>87.13</x:v>
      </x:c>
      <x:c r="L9" s="16" t="n">
        <x:f>IF($X9="","",INDEX('sheet2-计算明细'!$AI$17:$AI$219,$X9))</x:f>
        <x:v>94.97</x:v>
      </x:c>
      <x:c r="M9" s="16" t="n">
        <x:f>IF($X9="","",INDEX('sheet2-计算明细'!$AK$17:$AK$219,$X9))</x:f>
        <x:v>100</x:v>
      </x:c>
      <x:c r="N9" s="17" t="n">
        <x:f t="shared" si="0">IF(ISNUMBER(INDEX('sheet2-计算明细'!$AL$17:$AL$219,$X9)),INDEX('sheet2-计算明细'!$AL$17:$AL$219,$X9),"")</x:f>
        <x:v>92</x:v>
      </x:c>
      <x:c r="O9" s="17" t="n">
        <x:f t="shared" si="1">IF(ISNUMBER(INDEX('sheet2-计算明细'!$AM$17:$AM$219,$X9)),INDEX('sheet2-计算明细'!$AM$17:$AM$219,$X9),"")</x:f>
        <x:v>88.52</x:v>
      </x:c>
      <x:c r="P9" s="17" t="n">
        <x:f t="shared" si="2">IF(ISNUMBER(INDEX('sheet2-计算明细'!$AN$17:$AN$219,$X9)),INDEX('sheet2-计算明细'!$AN$17:$AN$219,$X9),"")</x:f>
        <x:v>87.13</x:v>
      </x:c>
      <x:c r="Q9" s="17" t="n">
        <x:f t="shared" si="3">IF(ISNUMBER(INDEX('sheet2-计算明细'!$AO$17:$AO$219,$X9)),INDEX('sheet2-计算明细'!$AO$17:$AO$219,$X9),"")</x:f>
        <x:v>94.97</x:v>
      </x:c>
      <x:c r="R9" s="17" t="n">
        <x:f t="shared" si="4">IF(ISNUMBER(INDEX('sheet2-计算明细'!$AP$17:$AP$219,$X9)),INDEX('sheet2-计算明细'!$AP$17:$AP$219,$X9),"")</x:f>
        <x:v>100</x:v>
      </x:c>
      <x:c r="S9" s="18" t="n">
        <x:f>IF($X9="","",INDEX('sheet2-计算明细'!$AQ$17:$AQ$219,$X9))</x:f>
        <x:v>1</x:v>
      </x:c>
      <x:c r="T9" s="16" t="n">
        <x:f>IF($X9="","",INDEX('sheet2-计算明细'!$AR$17:$AR$219,$X9))</x:f>
        <x:v>91.77708</x:v>
      </x:c>
      <x:c r="U9" s="17" t="n">
        <x:f t="shared" si="5">IF(S9=0,"",ROUND(T9/S9,2))</x:f>
        <x:v>91.78</x:v>
      </x:c>
      <x:c r="V9" s="17" t="n">
        <x:f t="shared" si="6">IF(ABS(S9-1)&lt;0.00000001,T9,"")</x:f>
        <x:v>91.77708</x:v>
      </x:c>
      <x:c r="W9" s="19" t="str">
        <x:f>IF($X9="","",INDEX('sheet2-计算明细'!$AU$17:$AU$219,$X9))</x:f>
      </x:c>
      <x:c r="X9" s="15" t="n">
        <x:f>IF($A9&gt;COUNT('sheet2-计算明细'!$AT$17:$AT$219),"",MATCH($A9,'sheet2-计算明细'!$AT$17:$AT$219,0))</x:f>
        <x:v>28</x:v>
      </x:c>
    </x:row>
    <x:row r="10" ht="28" customHeight="1">
      <x:c r="A10" s="4" t="n">
        <x:v>5</x:v>
      </x:c>
      <x:c r="B10" s="15" t="str">
        <x:f>IF($X10="","",INDEX('sheet2-计算明细'!$B$17:$B$219,$X10))</x:f>
        <x:v>祁腾蜂赢1号</x:v>
      </x:c>
      <x:c r="C10" s="15" t="str">
        <x:f>IF($X10="","",INDEX('sheet2-计算明细'!$C$17:$C$219,$X10))</x:f>
        <x:v>SEV580</x:v>
      </x:c>
      <x:c r="D10" s="15" t="str">
        <x:f>IF($X10="","",INDEX('sheet2-计算明细'!$D$17:$D$219,$X10))</x:f>
        <x:v>宁波祁腾投资</x:v>
      </x:c>
      <x:c r="E10" s="15" t="str">
        <x:f>IF($X10="","",INDEX('sheet2-计算明细'!$G$17:$G$219,$X10))</x:f>
        <x:v>入池</x:v>
      </x:c>
      <x:c r="F10" s="16" t="n">
        <x:f>IF($X10="","",INDEX('sheet2-计算明细'!$I$17:$I$219,$X10))</x:f>
        <x:v>60</x:v>
      </x:c>
      <x:c r="G10" s="16" t="n">
        <x:f>IF($X10="","",INDEX('sheet2-计算明细'!$K$17:$K$219,$X10))</x:f>
        <x:v>100</x:v>
      </x:c>
      <x:c r="H10" s="16" t="n">
        <x:f>IF($X10="","",INDEX('sheet2-计算明细'!$L$17:$L$219,$X10))</x:f>
        <x:v>100</x:v>
      </x:c>
      <x:c r="I10" s="16" t="n">
        <x:f>IF($X10="","",INDEX('sheet2-计算明细'!$S$17:$S$219,$X10))</x:f>
        <x:v>83.46</x:v>
      </x:c>
      <x:c r="J10" s="16" t="n">
        <x:f>IF($X10="","",INDEX('sheet2-计算明细'!$Y$17:$Y$219,$X10))</x:f>
        <x:v>77.82</x:v>
      </x:c>
      <x:c r="K10" s="16" t="n">
        <x:f>IF($X10="","",INDEX('sheet2-计算明细'!$AC$17:$AC$219,$X10))</x:f>
        <x:v>95.05</x:v>
      </x:c>
      <x:c r="L10" s="16" t="n">
        <x:f>IF($X10="","",INDEX('sheet2-计算明细'!$AI$17:$AI$219,$X10))</x:f>
        <x:v>94.35</x:v>
      </x:c>
      <x:c r="M10" s="16" t="n">
        <x:f>IF($X10="","",INDEX('sheet2-计算明细'!$AK$17:$AK$219,$X10))</x:f>
        <x:v>100</x:v>
      </x:c>
      <x:c r="N10" s="17" t="n">
        <x:f t="shared" si="0">IF(ISNUMBER(INDEX('sheet2-计算明细'!$AL$17:$AL$219,$X10)),INDEX('sheet2-计算明细'!$AL$17:$AL$219,$X10),"")</x:f>
        <x:v>84</x:v>
      </x:c>
      <x:c r="O10" s="17" t="n">
        <x:f t="shared" si="1">IF(ISNUMBER(INDEX('sheet2-计算明细'!$AM$17:$AM$219,$X10)),INDEX('sheet2-计算明细'!$AM$17:$AM$219,$X10),"")</x:f>
        <x:v>81.77</x:v>
      </x:c>
      <x:c r="P10" s="17" t="n">
        <x:f t="shared" si="2">IF(ISNUMBER(INDEX('sheet2-计算明细'!$AN$17:$AN$219,$X10)),INDEX('sheet2-计算明细'!$AN$17:$AN$219,$X10),"")</x:f>
        <x:v>95.05</x:v>
      </x:c>
      <x:c r="Q10" s="17" t="n">
        <x:f t="shared" si="3">IF(ISNUMBER(INDEX('sheet2-计算明细'!$AO$17:$AO$219,$X10)),INDEX('sheet2-计算明细'!$AO$17:$AO$219,$X10),"")</x:f>
        <x:v>94.35</x:v>
      </x:c>
      <x:c r="R10" s="17" t="n">
        <x:f t="shared" si="4">IF(ISNUMBER(INDEX('sheet2-计算明细'!$AP$17:$AP$219,$X10)),INDEX('sheet2-计算明细'!$AP$17:$AP$219,$X10),"")</x:f>
        <x:v>100</x:v>
      </x:c>
      <x:c r="S10" s="18" t="n">
        <x:f>IF($X10="","",INDEX('sheet2-计算明细'!$AQ$17:$AQ$219,$X10))</x:f>
        <x:v>1</x:v>
      </x:c>
      <x:c r="T10" s="16" t="n">
        <x:f>IF($X10="","",INDEX('sheet2-计算明细'!$AR$17:$AR$219,$X10))</x:f>
        <x:v>91.02081076923076</x:v>
      </x:c>
      <x:c r="U10" s="17" t="n">
        <x:f t="shared" si="5">IF(S10=0,"",ROUND(T10/S10,2))</x:f>
        <x:v>91.02</x:v>
      </x:c>
      <x:c r="V10" s="17" t="n">
        <x:f t="shared" si="6">IF(ABS(S10-1)&lt;0.00000001,T10,"")</x:f>
        <x:v>91.02081076923076</x:v>
      </x:c>
      <x:c r="W10" s="19" t="str">
        <x:f>IF($X10="","",INDEX('sheet2-计算明细'!$AU$17:$AU$219,$X10))</x:f>
      </x:c>
      <x:c r="X10" s="15" t="n">
        <x:f>IF($A10&gt;COUNT('sheet2-计算明细'!$AT$17:$AT$219),"",MATCH($A10,'sheet2-计算明细'!$AT$17:$AT$219,0))</x:f>
        <x:v>87</x:v>
      </x:c>
    </x:row>
    <x:row r="11" ht="28" customHeight="1">
      <x:c r="A11" s="4" t="n">
        <x:v>6</x:v>
      </x:c>
      <x:c r="B11" s="15" t="str">
        <x:f>IF($X11="","",INDEX('sheet2-计算明细'!$B$17:$B$219,$X11))</x:f>
        <x:v>量客投资金选套利1号</x:v>
      </x:c>
      <x:c r="C11" s="15" t="str">
        <x:f>IF($X11="","",INDEX('sheet2-计算明细'!$C$17:$C$219,$X11))</x:f>
        <x:v>SNH457</x:v>
      </x:c>
      <x:c r="D11" s="15" t="str">
        <x:f>IF($X11="","",INDEX('sheet2-计算明细'!$D$17:$D$219,$X11))</x:f>
        <x:v>上海量客</x:v>
      </x:c>
      <x:c r="E11" s="15" t="str">
        <x:f>IF($X11="","",INDEX('sheet2-计算明细'!$G$17:$G$219,$X11))</x:f>
        <x:v>入池</x:v>
      </x:c>
      <x:c r="F11" s="16" t="n">
        <x:f>IF($X11="","",INDEX('sheet2-计算明细'!$I$17:$I$219,$X11))</x:f>
        <x:v>90</x:v>
      </x:c>
      <x:c r="G11" s="16" t="n">
        <x:f>IF($X11="","",INDEX('sheet2-计算明细'!$K$17:$K$219,$X11))</x:f>
        <x:v>100</x:v>
      </x:c>
      <x:c r="H11" s="16" t="n">
        <x:f>IF($X11="","",INDEX('sheet2-计算明细'!$L$17:$L$219,$X11))</x:f>
        <x:v>100</x:v>
      </x:c>
      <x:c r="I11" s="16" t="n">
        <x:f>IF($X11="","",INDEX('sheet2-计算明细'!$S$17:$S$219,$X11))</x:f>
        <x:v>63.86</x:v>
      </x:c>
      <x:c r="J11" s="16" t="n">
        <x:f>IF($X11="","",INDEX('sheet2-计算明细'!$Y$17:$Y$219,$X11))</x:f>
        <x:v>95</x:v>
      </x:c>
      <x:c r="K11" s="16" t="n">
        <x:f>IF($X11="","",INDEX('sheet2-计算明细'!$AC$17:$AC$219,$X11))</x:f>
        <x:v>97.03</x:v>
      </x:c>
      <x:c r="L11" s="16" t="n">
        <x:f>IF($X11="","",INDEX('sheet2-计算明细'!$AI$17:$AI$219,$X11))</x:f>
        <x:v>97.02</x:v>
      </x:c>
      <x:c r="M11" s="16" t="n">
        <x:f>IF($X11="","",INDEX('sheet2-计算明细'!$AK$17:$AK$219,$X11))</x:f>
        <x:v>80</x:v>
      </x:c>
      <x:c r="N11" s="17" t="n">
        <x:f t="shared" si="0">IF(ISNUMBER(INDEX('sheet2-计算明细'!$AL$17:$AL$219,$X11)),INDEX('sheet2-计算明细'!$AL$17:$AL$219,$X11),"")</x:f>
        <x:v>96</x:v>
      </x:c>
      <x:c r="O11" s="17" t="n">
        <x:f t="shared" si="1">IF(ISNUMBER(INDEX('sheet2-计算明细'!$AM$17:$AM$219,$X11)),INDEX('sheet2-计算明细'!$AM$17:$AM$219,$X11),"")</x:f>
        <x:v>73.2</x:v>
      </x:c>
      <x:c r="P11" s="17" t="n">
        <x:f t="shared" si="2">IF(ISNUMBER(INDEX('sheet2-计算明细'!$AN$17:$AN$219,$X11)),INDEX('sheet2-计算明细'!$AN$17:$AN$219,$X11),"")</x:f>
        <x:v>97.03</x:v>
      </x:c>
      <x:c r="Q11" s="17" t="n">
        <x:f t="shared" si="3">IF(ISNUMBER(INDEX('sheet2-计算明细'!$AO$17:$AO$219,$X11)),INDEX('sheet2-计算明细'!$AO$17:$AO$219,$X11),"")</x:f>
        <x:v>97.02</x:v>
      </x:c>
      <x:c r="R11" s="17" t="n">
        <x:f t="shared" si="4">IF(ISNUMBER(INDEX('sheet2-计算明细'!$AP$17:$AP$219,$X11)),INDEX('sheet2-计算明细'!$AP$17:$AP$219,$X11),"")</x:f>
        <x:v>80</x:v>
      </x:c>
      <x:c r="S11" s="18" t="n">
        <x:f>IF($X11="","",INDEX('sheet2-计算明细'!$AQ$17:$AQ$219,$X11))</x:f>
        <x:v>1</x:v>
      </x:c>
      <x:c r="T11" s="16" t="n">
        <x:f>IF($X11="","",INDEX('sheet2-计算明细'!$AR$17:$AR$219,$X11))</x:f>
        <x:v>90.40418000000001</x:v>
      </x:c>
      <x:c r="U11" s="17" t="n">
        <x:f t="shared" si="5">IF(S11=0,"",ROUND(T11/S11,2))</x:f>
        <x:v>90.4</x:v>
      </x:c>
      <x:c r="V11" s="17" t="n">
        <x:f t="shared" si="6">IF(ABS(S11-1)&lt;0.00000001,T11,"")</x:f>
        <x:v>90.40418000000001</x:v>
      </x:c>
      <x:c r="W11" s="19" t="str">
        <x:f>IF($X11="","",INDEX('sheet2-计算明细'!$AU$17:$AU$219,$X11))</x:f>
      </x:c>
      <x:c r="X11" s="15" t="n">
        <x:f>IF($A11&gt;COUNT('sheet2-计算明细'!$AT$17:$AT$219),"",MATCH($A11,'sheet2-计算明细'!$AT$17:$AT$219,0))</x:f>
        <x:v>79</x:v>
      </x:c>
    </x:row>
    <x:row r="12" ht="28" customHeight="1">
      <x:c r="A12" s="4" t="n">
        <x:v>7</x:v>
      </x:c>
      <x:c r="B12" s="15" t="str">
        <x:f>IF($X12="","",INDEX('sheet2-计算明细'!$B$17:$B$219,$X12))</x:f>
        <x:v>摩旗ETF套利1号</x:v>
      </x:c>
      <x:c r="C12" s="15" t="str">
        <x:f>IF($X12="","",INDEX('sheet2-计算明细'!$C$17:$C$219,$X12))</x:f>
        <x:v>STR466</x:v>
      </x:c>
      <x:c r="D12" s="15" t="str">
        <x:f>IF($X12="","",INDEX('sheet2-计算明细'!$D$17:$D$219,$X12))</x:f>
        <x:v>上海摩旗投资</x:v>
      </x:c>
      <x:c r="E12" s="15" t="str">
        <x:f>IF($X12="","",INDEX('sheet2-计算明细'!$G$17:$G$219,$X12))</x:f>
        <x:v>入池</x:v>
      </x:c>
      <x:c r="F12" s="16" t="n">
        <x:f>IF($X12="","",INDEX('sheet2-计算明细'!$I$17:$I$219,$X12))</x:f>
        <x:v>80</x:v>
      </x:c>
      <x:c r="G12" s="16" t="n">
        <x:f>IF($X12="","",INDEX('sheet2-计算明细'!$K$17:$K$219,$X12))</x:f>
        <x:v>100</x:v>
      </x:c>
      <x:c r="H12" s="16" t="n">
        <x:f>IF($X12="","",INDEX('sheet2-计算明细'!$L$17:$L$219,$X12))</x:f>
        <x:v>100</x:v>
      </x:c>
      <x:c r="I12" s="16" t="n">
        <x:f>IF($X12="","",INDEX('sheet2-计算明细'!$S$17:$S$219,$X12))</x:f>
        <x:v>87.03</x:v>
      </x:c>
      <x:c r="J12" s="16" t="n">
        <x:f>IF($X12="","",INDEX('sheet2-计算明细'!$Y$17:$Y$219,$X12))</x:f>
        <x:v>96.66</x:v>
      </x:c>
      <x:c r="K12" s="16" t="n">
        <x:f>IF($X12="","",INDEX('sheet2-计算明细'!$AC$17:$AC$219,$X12))</x:f>
        <x:v>94.55</x:v>
      </x:c>
      <x:c r="L12" s="16" t="n">
        <x:f>IF($X12="","",INDEX('sheet2-计算明细'!$AI$17:$AI$219,$X12))</x:f>
        <x:v>88.56</x:v>
      </x:c>
      <x:c r="M12" s="16" t="n">
        <x:f>IF($X12="","",INDEX('sheet2-计算明细'!$AK$17:$AK$219,$X12))</x:f>
        <x:v>80</x:v>
      </x:c>
      <x:c r="N12" s="17" t="n">
        <x:f t="shared" si="0">IF(ISNUMBER(INDEX('sheet2-计算明细'!$AL$17:$AL$219,$X12)),INDEX('sheet2-计算明细'!$AL$17:$AL$219,$X12),"")</x:f>
        <x:v>92</x:v>
      </x:c>
      <x:c r="O12" s="17" t="n">
        <x:f t="shared" si="1">IF(ISNUMBER(INDEX('sheet2-计算明细'!$AM$17:$AM$219,$X12)),INDEX('sheet2-计算明细'!$AM$17:$AM$219,$X12),"")</x:f>
        <x:v>89.92</x:v>
      </x:c>
      <x:c r="P12" s="17" t="n">
        <x:f t="shared" si="2">IF(ISNUMBER(INDEX('sheet2-计算明细'!$AN$17:$AN$219,$X12)),INDEX('sheet2-计算明细'!$AN$17:$AN$219,$X12),"")</x:f>
        <x:v>94.55</x:v>
      </x:c>
      <x:c r="Q12" s="17" t="n">
        <x:f t="shared" si="3">IF(ISNUMBER(INDEX('sheet2-计算明细'!$AO$17:$AO$219,$X12)),INDEX('sheet2-计算明细'!$AO$17:$AO$219,$X12),"")</x:f>
        <x:v>88.56</x:v>
      </x:c>
      <x:c r="R12" s="17" t="n">
        <x:f t="shared" si="4">IF(ISNUMBER(INDEX('sheet2-计算明细'!$AP$17:$AP$219,$X12)),INDEX('sheet2-计算明细'!$AP$17:$AP$219,$X12),"")</x:f>
        <x:v>80</x:v>
      </x:c>
      <x:c r="S12" s="18" t="n">
        <x:f>IF($X12="","",INDEX('sheet2-计算明细'!$AQ$17:$AQ$219,$X12))</x:f>
        <x:v>0.88</x:v>
      </x:c>
      <x:c r="T12" s="16" t="n">
        <x:f>IF($X12="","",INDEX('sheet2-计算明细'!$AR$17:$AR$219,$X12))</x:f>
        <x:v>79.36176999999999</x:v>
      </x:c>
      <x:c r="U12" s="17" t="n">
        <x:f t="shared" si="5">IF(S12=0,"",ROUND(T12/S12,2))</x:f>
        <x:v>90.18</x:v>
      </x:c>
      <x:c r="V12" s="17" t="str">
        <x:f t="shared" si="6">IF(ABS(S12-1)&lt;0.00000001,T12,"")</x:f>
      </x:c>
      <x:c r="W12" s="19" t="str">
        <x:f>IF($X12="","",INDEX('sheet2-计算明细'!$AU$17:$AU$219,$X12))</x:f>
        <x:v>DD_long不可识别；</x:v>
      </x:c>
      <x:c r="X12" s="15" t="n">
        <x:f>IF($A12&gt;COUNT('sheet2-计算明细'!$AT$17:$AT$219),"",MATCH($A12,'sheet2-计算明细'!$AT$17:$AT$219,0))</x:f>
        <x:v>142</x:v>
      </x:c>
    </x:row>
    <x:row r="13" ht="28" customHeight="1">
      <x:c r="A13" s="4" t="n">
        <x:v>8</x:v>
      </x:c>
      <x:c r="B13" s="15" t="str">
        <x:f>IF($X13="","",INDEX('sheet2-计算明细'!$B$17:$B$219,$X13))</x:f>
        <x:v>烁菓量化复合套利2号</x:v>
      </x:c>
      <x:c r="C13" s="15" t="str">
        <x:f>IF($X13="","",INDEX('sheet2-计算明细'!$C$17:$C$219,$X13))</x:f>
        <x:v>SZB527</x:v>
      </x:c>
      <x:c r="D13" s="15" t="str">
        <x:f>IF($X13="","",INDEX('sheet2-计算明细'!$D$17:$D$219,$X13))</x:f>
        <x:v>福州烁菓</x:v>
      </x:c>
      <x:c r="E13" s="15" t="str">
        <x:f>IF($X13="","",INDEX('sheet2-计算明细'!$G$17:$G$219,$X13))</x:f>
        <x:v>入池</x:v>
      </x:c>
      <x:c r="F13" s="16" t="n">
        <x:f>IF($X13="","",INDEX('sheet2-计算明细'!$I$17:$I$219,$X13))</x:f>
        <x:v>60</x:v>
      </x:c>
      <x:c r="G13" s="16" t="n">
        <x:f>IF($X13="","",INDEX('sheet2-计算明细'!$K$17:$K$219,$X13))</x:f>
        <x:v>100</x:v>
      </x:c>
      <x:c r="H13" s="16" t="n">
        <x:f>IF($X13="","",INDEX('sheet2-计算明细'!$L$17:$L$219,$X13))</x:f>
        <x:v>100</x:v>
      </x:c>
      <x:c r="I13" s="16" t="n">
        <x:f>IF($X13="","",INDEX('sheet2-计算明细'!$S$17:$S$219,$X13))</x:f>
        <x:v>64.75</x:v>
      </x:c>
      <x:c r="J13" s="16" t="n">
        <x:f>IF($X13="","",INDEX('sheet2-计算明细'!$Y$17:$Y$219,$X13))</x:f>
        <x:v>95</x:v>
      </x:c>
      <x:c r="K13" s="16" t="n">
        <x:f>IF($X13="","",INDEX('sheet2-计算明细'!$AC$17:$AC$219,$X13))</x:f>
        <x:v>95.79</x:v>
      </x:c>
      <x:c r="L13" s="16" t="n">
        <x:f>IF($X13="","",INDEX('sheet2-计算明细'!$AI$17:$AI$219,$X13))</x:f>
        <x:v>95.89</x:v>
      </x:c>
      <x:c r="M13" s="16" t="n">
        <x:f>IF($X13="","",INDEX('sheet2-计算明细'!$AK$17:$AK$219,$X13))</x:f>
        <x:v>100</x:v>
      </x:c>
      <x:c r="N13" s="17" t="n">
        <x:f t="shared" si="0">IF(ISNUMBER(INDEX('sheet2-计算明细'!$AL$17:$AL$219,$X13)),INDEX('sheet2-计算明细'!$AL$17:$AL$219,$X13),"")</x:f>
        <x:v>84</x:v>
      </x:c>
      <x:c r="O13" s="17" t="n">
        <x:f t="shared" si="1">IF(ISNUMBER(INDEX('sheet2-计算明细'!$AM$17:$AM$219,$X13)),INDEX('sheet2-计算明细'!$AM$17:$AM$219,$X13),"")</x:f>
        <x:v>73.83</x:v>
      </x:c>
      <x:c r="P13" s="17" t="n">
        <x:f t="shared" si="2">IF(ISNUMBER(INDEX('sheet2-计算明细'!$AN$17:$AN$219,$X13)),INDEX('sheet2-计算明细'!$AN$17:$AN$219,$X13),"")</x:f>
        <x:v>95.79</x:v>
      </x:c>
      <x:c r="Q13" s="17" t="n">
        <x:f t="shared" si="3">IF(ISNUMBER(INDEX('sheet2-计算明细'!$AO$17:$AO$219,$X13)),INDEX('sheet2-计算明细'!$AO$17:$AO$219,$X13),"")</x:f>
        <x:v>95.89</x:v>
      </x:c>
      <x:c r="R13" s="17" t="n">
        <x:f t="shared" si="4">IF(ISNUMBER(INDEX('sheet2-计算明细'!$AP$17:$AP$219,$X13)),INDEX('sheet2-计算明细'!$AP$17:$AP$219,$X13),"")</x:f>
        <x:v>100</x:v>
      </x:c>
      <x:c r="S13" s="18" t="n">
        <x:f>IF($X13="","",INDEX('sheet2-计算明细'!$AQ$17:$AQ$219,$X13))</x:f>
        <x:v>1</x:v>
      </x:c>
      <x:c r="T13" s="16" t="n">
        <x:f>IF($X13="","",INDEX('sheet2-计算明细'!$AR$17:$AR$219,$X13))</x:f>
        <x:v>90.07879</x:v>
      </x:c>
      <x:c r="U13" s="17" t="n">
        <x:f t="shared" si="5">IF(S13=0,"",ROUND(T13/S13,2))</x:f>
        <x:v>90.08</x:v>
      </x:c>
      <x:c r="V13" s="17" t="n">
        <x:f t="shared" si="6">IF(ABS(S13-1)&lt;0.00000001,T13,"")</x:f>
        <x:v>90.07879</x:v>
      </x:c>
      <x:c r="W13" s="19" t="str">
        <x:f>IF($X13="","",INDEX('sheet2-计算明细'!$AU$17:$AU$219,$X13))</x:f>
      </x:c>
      <x:c r="X13" s="15" t="n">
        <x:f>IF($A13&gt;COUNT('sheet2-计算明细'!$AT$17:$AT$219),"",MATCH($A13,'sheet2-计算明细'!$AT$17:$AT$219,0))</x:f>
        <x:v>172</x:v>
      </x:c>
    </x:row>
    <x:row r="14" ht="28" customHeight="1">
      <x:c r="A14" s="4" t="n">
        <x:v>9</x:v>
      </x:c>
      <x:c r="B14" s="15" t="str">
        <x:f>IF($X14="","",INDEX('sheet2-计算明细'!$B$17:$B$219,$X14))</x:f>
        <x:v>世宽若水尘心3号</x:v>
      </x:c>
      <x:c r="C14" s="15" t="str">
        <x:f>IF($X14="","",INDEX('sheet2-计算明细'!$C$17:$C$219,$X14))</x:f>
        <x:v>SXT730</x:v>
      </x:c>
      <x:c r="D14" s="15" t="str">
        <x:f>IF($X14="","",INDEX('sheet2-计算明细'!$D$17:$D$219,$X14))</x:f>
        <x:v>厦门世宽</x:v>
      </x:c>
      <x:c r="E14" s="15" t="str">
        <x:f>IF($X14="","",INDEX('sheet2-计算明细'!$G$17:$G$219,$X14))</x:f>
        <x:v>入池</x:v>
      </x:c>
      <x:c r="F14" s="16" t="n">
        <x:f>IF($X14="","",INDEX('sheet2-计算明细'!$I$17:$I$219,$X14))</x:f>
        <x:v>60</x:v>
      </x:c>
      <x:c r="G14" s="16" t="n">
        <x:f>IF($X14="","",INDEX('sheet2-计算明细'!$K$17:$K$219,$X14))</x:f>
        <x:v>100</x:v>
      </x:c>
      <x:c r="H14" s="16" t="n">
        <x:f>IF($X14="","",INDEX('sheet2-计算明细'!$L$17:$L$219,$X14))</x:f>
        <x:v>100</x:v>
      </x:c>
      <x:c r="I14" s="16" t="n">
        <x:f>IF($X14="","",INDEX('sheet2-计算明细'!$S$17:$S$219,$X14))</x:f>
        <x:v>89.5</x:v>
      </x:c>
      <x:c r="J14" s="16" t="n">
        <x:f>IF($X14="","",INDEX('sheet2-计算明细'!$Y$17:$Y$219,$X14))</x:f>
        <x:v>79.1</x:v>
      </x:c>
      <x:c r="K14" s="16" t="n">
        <x:f>IF($X14="","",INDEX('sheet2-计算明细'!$AC$17:$AC$219,$X14))</x:f>
        <x:v>85.64</x:v>
      </x:c>
      <x:c r="L14" s="16" t="n">
        <x:f>IF($X14="","",INDEX('sheet2-计算明细'!$AI$17:$AI$219,$X14))</x:f>
        <x:v>90.52</x:v>
      </x:c>
      <x:c r="M14" s="16" t="n">
        <x:f>IF($X14="","",INDEX('sheet2-计算明细'!$AK$17:$AK$219,$X14))</x:f>
        <x:v>100</x:v>
      </x:c>
      <x:c r="N14" s="17" t="n">
        <x:f t="shared" si="0">IF(ISNUMBER(INDEX('sheet2-计算明细'!$AL$17:$AL$219,$X14)),INDEX('sheet2-计算明细'!$AL$17:$AL$219,$X14),"")</x:f>
        <x:v>84</x:v>
      </x:c>
      <x:c r="O14" s="17" t="n">
        <x:f t="shared" si="1">IF(ISNUMBER(INDEX('sheet2-计算明细'!$AM$17:$AM$219,$X14)),INDEX('sheet2-计算明细'!$AM$17:$AM$219,$X14),"")</x:f>
        <x:v>86.38</x:v>
      </x:c>
      <x:c r="P14" s="17" t="n">
        <x:f t="shared" si="2">IF(ISNUMBER(INDEX('sheet2-计算明细'!$AN$17:$AN$219,$X14)),INDEX('sheet2-计算明细'!$AN$17:$AN$219,$X14),"")</x:f>
        <x:v>85.64</x:v>
      </x:c>
      <x:c r="Q14" s="17" t="n">
        <x:f t="shared" si="3">IF(ISNUMBER(INDEX('sheet2-计算明细'!$AO$17:$AO$219,$X14)),INDEX('sheet2-计算明细'!$AO$17:$AO$219,$X14),"")</x:f>
        <x:v>90.52</x:v>
      </x:c>
      <x:c r="R14" s="17" t="n">
        <x:f t="shared" si="4">IF(ISNUMBER(INDEX('sheet2-计算明细'!$AP$17:$AP$219,$X14)),INDEX('sheet2-计算明细'!$AP$17:$AP$219,$X14),"")</x:f>
        <x:v>100</x:v>
      </x:c>
      <x:c r="S14" s="18" t="n">
        <x:f>IF($X14="","",INDEX('sheet2-计算明细'!$AQ$17:$AQ$219,$X14))</x:f>
        <x:v>1</x:v>
      </x:c>
      <x:c r="T14" s="16" t="n">
        <x:f>IF($X14="","",INDEX('sheet2-计算明细'!$AR$17:$AR$219,$X14))</x:f>
        <x:v>88.44211384615384</x:v>
      </x:c>
      <x:c r="U14" s="17" t="n">
        <x:f t="shared" si="5">IF(S14=0,"",ROUND(T14/S14,2))</x:f>
        <x:v>88.44</x:v>
      </x:c>
      <x:c r="V14" s="17" t="n">
        <x:f t="shared" si="6">IF(ABS(S14-1)&lt;0.00000001,T14,"")</x:f>
        <x:v>88.44211384615384</x:v>
      </x:c>
      <x:c r="W14" s="19" t="str">
        <x:f>IF($X14="","",INDEX('sheet2-计算明细'!$AU$17:$AU$219,$X14))</x:f>
      </x:c>
      <x:c r="X14" s="15" t="n">
        <x:f>IF($A14&gt;COUNT('sheet2-计算明细'!$AT$17:$AT$219),"",MATCH($A14,'sheet2-计算明细'!$AT$17:$AT$219,0))</x:f>
        <x:v>103</x:v>
      </x:c>
    </x:row>
    <x:row r="15" ht="28" customHeight="1">
      <x:c r="A15" s="4" t="n">
        <x:v>10</x:v>
      </x:c>
      <x:c r="B15" s="15" t="str">
        <x:f>IF($X15="","",INDEX('sheet2-计算明细'!$B$17:$B$219,$X15))</x:f>
        <x:v>平凡凡响二号</x:v>
      </x:c>
      <x:c r="C15" s="15" t="str">
        <x:f>IF($X15="","",INDEX('sheet2-计算明细'!$C$17:$C$219,$X15))</x:f>
        <x:v>SZU727</x:v>
      </x:c>
      <x:c r="D15" s="15" t="str">
        <x:f>IF($X15="","",INDEX('sheet2-计算明细'!$D$17:$D$219,$X15))</x:f>
        <x:v>北京平凡</x:v>
      </x:c>
      <x:c r="E15" s="15" t="str">
        <x:f>IF($X15="","",INDEX('sheet2-计算明细'!$G$17:$G$219,$X15))</x:f>
        <x:v>入池</x:v>
      </x:c>
      <x:c r="F15" s="16" t="n">
        <x:f>IF($X15="","",INDEX('sheet2-计算明细'!$I$17:$I$219,$X15))</x:f>
        <x:v>90</x:v>
      </x:c>
      <x:c r="G15" s="16" t="n">
        <x:f>IF($X15="","",INDEX('sheet2-计算明细'!$K$17:$K$219,$X15))</x:f>
        <x:v>100</x:v>
      </x:c>
      <x:c r="H15" s="16" t="n">
        <x:f>IF($X15="","",INDEX('sheet2-计算明细'!$L$17:$L$219,$X15))</x:f>
        <x:v>100</x:v>
      </x:c>
      <x:c r="I15" s="16" t="n">
        <x:f>IF($X15="","",INDEX('sheet2-计算明细'!$S$17:$S$219,$X15))</x:f>
        <x:v>50.79</x:v>
      </x:c>
      <x:c r="J15" s="16" t="n">
        <x:f>IF($X15="","",INDEX('sheet2-计算明细'!$Y$17:$Y$219,$X15))</x:f>
        <x:v>91.67</x:v>
      </x:c>
      <x:c r="K15" s="16" t="n">
        <x:f>IF($X15="","",INDEX('sheet2-计算明细'!$AC$17:$AC$219,$X15))</x:f>
        <x:v>93.07</x:v>
      </x:c>
      <x:c r="L15" s="16" t="n">
        <x:f>IF($X15="","",INDEX('sheet2-计算明细'!$AI$17:$AI$219,$X15))</x:f>
        <x:v>92.68</x:v>
      </x:c>
      <x:c r="M15" s="16" t="n">
        <x:f>IF($X15="","",INDEX('sheet2-计算明细'!$AK$17:$AK$219,$X15))</x:f>
        <x:v>100</x:v>
      </x:c>
      <x:c r="N15" s="17" t="n">
        <x:f t="shared" si="0">IF(ISNUMBER(INDEX('sheet2-计算明细'!$AL$17:$AL$219,$X15)),INDEX('sheet2-计算明细'!$AL$17:$AL$219,$X15),"")</x:f>
        <x:v>96</x:v>
      </x:c>
      <x:c r="O15" s="17" t="n">
        <x:f t="shared" si="1">IF(ISNUMBER(INDEX('sheet2-计算明细'!$AM$17:$AM$219,$X15)),INDEX('sheet2-计算明细'!$AM$17:$AM$219,$X15),"")</x:f>
        <x:v>63.06</x:v>
      </x:c>
      <x:c r="P15" s="17" t="n">
        <x:f t="shared" si="2">IF(ISNUMBER(INDEX('sheet2-计算明细'!$AN$17:$AN$219,$X15)),INDEX('sheet2-计算明细'!$AN$17:$AN$219,$X15),"")</x:f>
        <x:v>93.07</x:v>
      </x:c>
      <x:c r="Q15" s="17" t="n">
        <x:f t="shared" si="3">IF(ISNUMBER(INDEX('sheet2-计算明细'!$AO$17:$AO$219,$X15)),INDEX('sheet2-计算明细'!$AO$17:$AO$219,$X15),"")</x:f>
        <x:v>92.68</x:v>
      </x:c>
      <x:c r="R15" s="17" t="n">
        <x:f t="shared" si="4">IF(ISNUMBER(INDEX('sheet2-计算明细'!$AP$17:$AP$219,$X15)),INDEX('sheet2-计算明细'!$AP$17:$AP$219,$X15),"")</x:f>
        <x:v>100</x:v>
      </x:c>
      <x:c r="S15" s="18" t="n">
        <x:f>IF($X15="","",INDEX('sheet2-计算明细'!$AQ$17:$AQ$219,$X15))</x:f>
        <x:v>1</x:v>
      </x:c>
      <x:c r="T15" s="16" t="n">
        <x:f>IF($X15="","",INDEX('sheet2-计算明细'!$AR$17:$AR$219,$X15))</x:f>
        <x:v>88.08371</x:v>
      </x:c>
      <x:c r="U15" s="17" t="n">
        <x:f t="shared" si="5">IF(S15=0,"",ROUND(T15/S15,2))</x:f>
        <x:v>88.08</x:v>
      </x:c>
      <x:c r="V15" s="17" t="n">
        <x:f t="shared" si="6">IF(ABS(S15-1)&lt;0.00000001,T15,"")</x:f>
        <x:v>88.08371</x:v>
      </x:c>
      <x:c r="W15" s="19" t="str">
        <x:f>IF($X15="","",INDEX('sheet2-计算明细'!$AU$17:$AU$219,$X15))</x:f>
      </x:c>
      <x:c r="X15" s="15" t="n">
        <x:f>IF($A15&gt;COUNT('sheet2-计算明细'!$AT$17:$AT$219),"",MATCH($A15,'sheet2-计算明细'!$AT$17:$AT$219,0))</x:f>
        <x:v>65</x:v>
      </x:c>
    </x:row>
    <x:row r="16" ht="28" customHeight="1">
      <x:c r="A16" s="4" t="n">
        <x:v>11</x:v>
      </x:c>
      <x:c r="B16" s="15" t="str">
        <x:f>IF($X16="","",INDEX('sheet2-计算明细'!$B$17:$B$219,$X16))</x:f>
        <x:v>爱凡哲九号</x:v>
      </x:c>
      <x:c r="C16" s="15" t="str">
        <x:f>IF($X16="","",INDEX('sheet2-计算明细'!$C$17:$C$219,$X16))</x:f>
        <x:v>SJA112</x:v>
      </x:c>
      <x:c r="D16" s="15" t="str">
        <x:f>IF($X16="","",INDEX('sheet2-计算明细'!$D$17:$D$219,$X16))</x:f>
        <x:v>爱凡哲投资</x:v>
      </x:c>
      <x:c r="E16" s="15" t="str">
        <x:f>IF($X16="","",INDEX('sheet2-计算明细'!$G$17:$G$219,$X16))</x:f>
        <x:v>入池</x:v>
      </x:c>
      <x:c r="F16" s="16" t="n">
        <x:f>IF($X16="","",INDEX('sheet2-计算明细'!$I$17:$I$219,$X16))</x:f>
        <x:v>90</x:v>
      </x:c>
      <x:c r="G16" s="16" t="n">
        <x:f>IF($X16="","",INDEX('sheet2-计算明细'!$K$17:$K$219,$X16))</x:f>
        <x:v>100</x:v>
      </x:c>
      <x:c r="H16" s="16" t="n">
        <x:f>IF($X16="","",INDEX('sheet2-计算明细'!$L$17:$L$219,$X16))</x:f>
        <x:v>100</x:v>
      </x:c>
      <x:c r="I16" s="16" t="n">
        <x:f>IF($X16="","",INDEX('sheet2-计算明细'!$S$17:$S$219,$X16))</x:f>
        <x:v>82.97</x:v>
      </x:c>
      <x:c r="J16" s="16" t="n">
        <x:f>IF($X16="","",INDEX('sheet2-计算明细'!$Y$17:$Y$219,$X16))</x:f>
        <x:v>87.44</x:v>
      </x:c>
      <x:c r="K16" s="16" t="n">
        <x:f>IF($X16="","",INDEX('sheet2-计算明细'!$AC$17:$AC$219,$X16))</x:f>
        <x:v>83.17</x:v>
      </x:c>
      <x:c r="L16" s="16" t="n">
        <x:f>IF($X16="","",INDEX('sheet2-计算明细'!$AI$17:$AI$219,$X16))</x:f>
        <x:v>92.32</x:v>
      </x:c>
      <x:c r="M16" s="16" t="n">
        <x:f>IF($X16="","",INDEX('sheet2-计算明细'!$AK$17:$AK$219,$X16))</x:f>
        <x:v>80</x:v>
      </x:c>
      <x:c r="N16" s="17" t="n">
        <x:f t="shared" si="0">IF(ISNUMBER(INDEX('sheet2-计算明细'!$AL$17:$AL$219,$X16)),INDEX('sheet2-计算明细'!$AL$17:$AL$219,$X16),"")</x:f>
        <x:v>96</x:v>
      </x:c>
      <x:c r="O16" s="17" t="n">
        <x:f t="shared" si="1">IF(ISNUMBER(INDEX('sheet2-计算明细'!$AM$17:$AM$219,$X16)),INDEX('sheet2-计算明细'!$AM$17:$AM$219,$X16),"")</x:f>
        <x:v>84.31</x:v>
      </x:c>
      <x:c r="P16" s="17" t="n">
        <x:f t="shared" si="2">IF(ISNUMBER(INDEX('sheet2-计算明细'!$AN$17:$AN$219,$X16)),INDEX('sheet2-计算明细'!$AN$17:$AN$219,$X16),"")</x:f>
        <x:v>83.17</x:v>
      </x:c>
      <x:c r="Q16" s="17" t="n">
        <x:f t="shared" si="3">IF(ISNUMBER(INDEX('sheet2-计算明细'!$AO$17:$AO$219,$X16)),INDEX('sheet2-计算明细'!$AO$17:$AO$219,$X16),"")</x:f>
        <x:v>92.32</x:v>
      </x:c>
      <x:c r="R16" s="17" t="n">
        <x:f t="shared" si="4">IF(ISNUMBER(INDEX('sheet2-计算明细'!$AP$17:$AP$219,$X16)),INDEX('sheet2-计算明细'!$AP$17:$AP$219,$X16),"")</x:f>
        <x:v>80</x:v>
      </x:c>
      <x:c r="S16" s="18" t="n">
        <x:f>IF($X16="","",INDEX('sheet2-计算明细'!$AQ$17:$AQ$219,$X16))</x:f>
        <x:v>1</x:v>
      </x:c>
      <x:c r="T16" s="16" t="n">
        <x:f>IF($X16="","",INDEX('sheet2-计算明细'!$AR$17:$AR$219,$X16))</x:f>
        <x:v>87.75119000000001</x:v>
      </x:c>
      <x:c r="U16" s="17" t="n">
        <x:f t="shared" si="5">IF(S16=0,"",ROUND(T16/S16,2))</x:f>
        <x:v>87.75</x:v>
      </x:c>
      <x:c r="V16" s="17" t="n">
        <x:f t="shared" si="6">IF(ABS(S16-1)&lt;0.00000001,T16,"")</x:f>
        <x:v>87.75119000000001</x:v>
      </x:c>
      <x:c r="W16" s="19" t="str">
        <x:f>IF($X16="","",INDEX('sheet2-计算明细'!$AU$17:$AU$219,$X16))</x:f>
      </x:c>
      <x:c r="X16" s="15" t="n">
        <x:f>IF($A16&gt;COUNT('sheet2-计算明细'!$AT$17:$AT$219),"",MATCH($A16,'sheet2-计算明细'!$AT$17:$AT$219,0))</x:f>
        <x:v>11</x:v>
      </x:c>
    </x:row>
    <x:row r="17" ht="28" customHeight="1">
      <x:c r="A17" s="4" t="n">
        <x:v>12</x:v>
      </x:c>
      <x:c r="B17" s="15" t="str">
        <x:f>IF($X17="","",INDEX('sheet2-计算明细'!$B$17:$B$219,$X17))</x:f>
        <x:v>奶酪鑫鑫宝二号</x:v>
      </x:c>
      <x:c r="C17" s="15" t="str">
        <x:f>IF($X17="","",INDEX('sheet2-计算明细'!$C$17:$C$219,$X17))</x:f>
        <x:v>SB2838</x:v>
      </x:c>
      <x:c r="D17" s="15" t="str">
        <x:f>IF($X17="","",INDEX('sheet2-计算明细'!$D$17:$D$219,$X17))</x:f>
        <x:v>广东奶酪</x:v>
      </x:c>
      <x:c r="E17" s="15" t="str">
        <x:f>IF($X17="","",INDEX('sheet2-计算明细'!$G$17:$G$219,$X17))</x:f>
        <x:v>入池</x:v>
      </x:c>
      <x:c r="F17" s="16" t="n">
        <x:f>IF($X17="","",INDEX('sheet2-计算明细'!$I$17:$I$219,$X17))</x:f>
        <x:v>80</x:v>
      </x:c>
      <x:c r="G17" s="16" t="n">
        <x:f>IF($X17="","",INDEX('sheet2-计算明细'!$K$17:$K$219,$X17))</x:f>
        <x:v>100</x:v>
      </x:c>
      <x:c r="H17" s="16" t="n">
        <x:f>IF($X17="","",INDEX('sheet2-计算明细'!$L$17:$L$219,$X17))</x:f>
        <x:v>100</x:v>
      </x:c>
      <x:c r="I17" s="16" t="n">
        <x:f>IF($X17="","",INDEX('sheet2-计算明细'!$S$17:$S$219,$X17))</x:f>
        <x:v>45.55</x:v>
      </x:c>
      <x:c r="J17" s="16" t="n">
        <x:f>IF($X17="","",INDEX('sheet2-计算明细'!$Y$17:$Y$219,$X17))</x:f>
        <x:v>100</x:v>
      </x:c>
      <x:c r="K17" s="16" t="n">
        <x:f>IF($X17="","",INDEX('sheet2-计算明细'!$AC$17:$AC$219,$X17))</x:f>
        <x:v>100</x:v>
      </x:c>
      <x:c r="L17" s="16" t="str">
        <x:f>IF($X17="","",INDEX('sheet2-计算明细'!$AI$17:$AI$219,$X17))</x:f>
      </x:c>
      <x:c r="M17" s="16" t="n">
        <x:f>IF($X17="","",INDEX('sheet2-计算明细'!$AK$17:$AK$219,$X17))</x:f>
        <x:v>100</x:v>
      </x:c>
      <x:c r="N17" s="17" t="n">
        <x:f t="shared" si="0">IF(ISNUMBER(INDEX('sheet2-计算明细'!$AL$17:$AL$219,$X17)),INDEX('sheet2-计算明细'!$AL$17:$AL$219,$X17),"")</x:f>
        <x:v>92</x:v>
      </x:c>
      <x:c r="O17" s="17" t="n">
        <x:f t="shared" si="1">IF(ISNUMBER(INDEX('sheet2-计算明细'!$AM$17:$AM$219,$X17)),INDEX('sheet2-计算明细'!$AM$17:$AM$219,$X17),"")</x:f>
        <x:v>61.88</x:v>
      </x:c>
      <x:c r="P17" s="17" t="n">
        <x:f t="shared" si="2">IF(ISNUMBER(INDEX('sheet2-计算明细'!$AN$17:$AN$219,$X17)),INDEX('sheet2-计算明细'!$AN$17:$AN$219,$X17),"")</x:f>
        <x:v>100</x:v>
      </x:c>
      <x:c r="Q17" s="17" t="str">
        <x:f t="shared" si="3">IF(ISNUMBER(INDEX('sheet2-计算明细'!$AO$17:$AO$219,$X17)),INDEX('sheet2-计算明细'!$AO$17:$AO$219,$X17),"")</x:f>
      </x:c>
      <x:c r="R17" s="17" t="n">
        <x:f t="shared" si="4">IF(ISNUMBER(INDEX('sheet2-计算明细'!$AP$17:$AP$219,$X17)),INDEX('sheet2-计算明细'!$AP$17:$AP$219,$X17),"")</x:f>
        <x:v>100</x:v>
      </x:c>
      <x:c r="S17" s="18" t="n">
        <x:f>IF($X17="","",INDEX('sheet2-计算明细'!$AQ$17:$AQ$219,$X17))</x:f>
        <x:v>0.7</x:v>
      </x:c>
      <x:c r="T17" s="16" t="n">
        <x:f>IF($X17="","",INDEX('sheet2-计算明细'!$AR$17:$AR$219,$X17))</x:f>
        <x:v>61.17672</x:v>
      </x:c>
      <x:c r="U17" s="17" t="n">
        <x:f t="shared" si="5">IF(S17=0,"",ROUND(T17/S17,2))</x:f>
        <x:v>87.4</x:v>
      </x:c>
      <x:c r="V17" s="17" t="str">
        <x:f t="shared" si="6">IF(ABS(S17-1)&lt;0.00000001,T17,"")</x:f>
      </x:c>
      <x:c r="W17" s="19" t="str">
        <x:f>IF($X17="","",INDEX('sheet2-计算明细'!$AU$17:$AU$219,$X17))</x:f>
        <x:v>短期卡玛；DD_long不可识别；</x:v>
      </x:c>
      <x:c r="X17" s="15" t="n">
        <x:f>IF($A17&gt;COUNT('sheet2-计算明细'!$AT$17:$AT$219),"",MATCH($A17,'sheet2-计算明细'!$AT$17:$AT$219,0))</x:f>
        <x:v>69</x:v>
      </x:c>
    </x:row>
    <x:row r="18" ht="28" customHeight="1">
      <x:c r="A18" s="4" t="n">
        <x:v>13</x:v>
      </x:c>
      <x:c r="B18" s="15" t="str">
        <x:f>IF($X18="","",INDEX('sheet2-计算明细'!$B$17:$B$219,$X18))</x:f>
        <x:v>钧誉厚德量化对冲11号</x:v>
      </x:c>
      <x:c r="C18" s="15" t="str">
        <x:f>IF($X18="","",INDEX('sheet2-计算明细'!$C$17:$C$219,$X18))</x:f>
        <x:v>SQN453</x:v>
      </x:c>
      <x:c r="D18" s="15" t="str">
        <x:f>IF($X18="","",INDEX('sheet2-计算明细'!$D$17:$D$219,$X18))</x:f>
        <x:v>珠海钧誉资管</x:v>
      </x:c>
      <x:c r="E18" s="15" t="str">
        <x:f>IF($X18="","",INDEX('sheet2-计算明细'!$G$17:$G$219,$X18))</x:f>
        <x:v>入池</x:v>
      </x:c>
      <x:c r="F18" s="16" t="n">
        <x:f>IF($X18="","",INDEX('sheet2-计算明细'!$I$17:$I$219,$X18))</x:f>
        <x:v>60</x:v>
      </x:c>
      <x:c r="G18" s="16" t="n">
        <x:f>IF($X18="","",INDEX('sheet2-计算明细'!$K$17:$K$219,$X18))</x:f>
        <x:v>100</x:v>
      </x:c>
      <x:c r="H18" s="16" t="n">
        <x:f>IF($X18="","",INDEX('sheet2-计算明细'!$L$17:$L$219,$X18))</x:f>
        <x:v>100</x:v>
      </x:c>
      <x:c r="I18" s="16" t="n">
        <x:f>IF($X18="","",INDEX('sheet2-计算明细'!$S$17:$S$219,$X18))</x:f>
        <x:v>71.29</x:v>
      </x:c>
      <x:c r="J18" s="16" t="n">
        <x:f>IF($X18="","",INDEX('sheet2-计算明细'!$Y$17:$Y$219,$X18))</x:f>
        <x:v>98.33</x:v>
      </x:c>
      <x:c r="K18" s="16" t="n">
        <x:f>IF($X18="","",INDEX('sheet2-计算明细'!$AC$17:$AC$219,$X18))</x:f>
        <x:v>89.6</x:v>
      </x:c>
      <x:c r="L18" s="16" t="n">
        <x:f>IF($X18="","",INDEX('sheet2-计算明细'!$AI$17:$AI$219,$X18))</x:f>
        <x:v>84.08</x:v>
      </x:c>
      <x:c r="M18" s="16" t="n">
        <x:f>IF($X18="","",INDEX('sheet2-计算明细'!$AK$17:$AK$219,$X18))</x:f>
        <x:v>100</x:v>
      </x:c>
      <x:c r="N18" s="17" t="n">
        <x:f t="shared" si="0">IF(ISNUMBER(INDEX('sheet2-计算明细'!$AL$17:$AL$219,$X18)),INDEX('sheet2-计算明细'!$AL$17:$AL$219,$X18),"")</x:f>
        <x:v>84</x:v>
      </x:c>
      <x:c r="O18" s="17" t="n">
        <x:f t="shared" si="1">IF(ISNUMBER(INDEX('sheet2-计算明细'!$AM$17:$AM$219,$X18)),INDEX('sheet2-计算明细'!$AM$17:$AM$219,$X18),"")</x:f>
        <x:v>79.4</x:v>
      </x:c>
      <x:c r="P18" s="17" t="n">
        <x:f t="shared" si="2">IF(ISNUMBER(INDEX('sheet2-计算明细'!$AN$17:$AN$219,$X18)),INDEX('sheet2-计算明细'!$AN$17:$AN$219,$X18),"")</x:f>
        <x:v>89.6</x:v>
      </x:c>
      <x:c r="Q18" s="17" t="n">
        <x:f t="shared" si="3">IF(ISNUMBER(INDEX('sheet2-计算明细'!$AO$17:$AO$219,$X18)),INDEX('sheet2-计算明细'!$AO$17:$AO$219,$X18),"")</x:f>
        <x:v>84.08</x:v>
      </x:c>
      <x:c r="R18" s="17" t="n">
        <x:f t="shared" si="4">IF(ISNUMBER(INDEX('sheet2-计算明细'!$AP$17:$AP$219,$X18)),INDEX('sheet2-计算明细'!$AP$17:$AP$219,$X18),"")</x:f>
        <x:v>100</x:v>
      </x:c>
      <x:c r="S18" s="18" t="n">
        <x:f>IF($X18="","",INDEX('sheet2-计算明细'!$AQ$17:$AQ$219,$X18))</x:f>
        <x:v>0.88</x:v>
      </x:c>
      <x:c r="T18" s="16" t="n">
        <x:f>IF($X18="","",INDEX('sheet2-计算明细'!$AR$17:$AR$219,$X18))</x:f>
        <x:v>76.015</x:v>
      </x:c>
      <x:c r="U18" s="17" t="n">
        <x:f t="shared" si="5">IF(S18=0,"",ROUND(T18/S18,2))</x:f>
        <x:v>86.38</x:v>
      </x:c>
      <x:c r="V18" s="17" t="str">
        <x:f t="shared" si="6">IF(ABS(S18-1)&lt;0.00000001,T18,"")</x:f>
      </x:c>
      <x:c r="W18" s="19" t="str">
        <x:f>IF($X18="","",INDEX('sheet2-计算明细'!$AU$17:$AU$219,$X18))</x:f>
        <x:v>DD_long不可识别；</x:v>
      </x:c>
      <x:c r="X18" s="15" t="n">
        <x:f>IF($A18&gt;COUNT('sheet2-计算明细'!$AT$17:$AT$219),"",MATCH($A18,'sheet2-计算明细'!$AT$17:$AT$219,0))</x:f>
        <x:v>95</x:v>
      </x:c>
    </x:row>
    <x:row r="19" ht="28" customHeight="1">
      <x:c r="A19" s="4" t="n">
        <x:v>14</x:v>
      </x:c>
      <x:c r="B19" s="15" t="str">
        <x:f>IF($X19="","",INDEX('sheet2-计算明细'!$B$17:$B$219,$X19))</x:f>
        <x:v>鹿秀统计套利1号</x:v>
      </x:c>
      <x:c r="C19" s="15" t="str">
        <x:f>IF($X19="","",INDEX('sheet2-计算明细'!$C$17:$C$219,$X19))</x:f>
        <x:v>SJJ138</x:v>
      </x:c>
      <x:c r="D19" s="15" t="str">
        <x:f>IF($X19="","",INDEX('sheet2-计算明细'!$D$17:$D$219,$X19))</x:f>
        <x:v>青岛鹿秀投资</x:v>
      </x:c>
      <x:c r="E19" s="15" t="str">
        <x:f>IF($X19="","",INDEX('sheet2-计算明细'!$G$17:$G$219,$X19))</x:f>
        <x:v>入池</x:v>
      </x:c>
      <x:c r="F19" s="16" t="n">
        <x:f>IF($X19="","",INDEX('sheet2-计算明细'!$I$17:$I$219,$X19))</x:f>
        <x:v>90</x:v>
      </x:c>
      <x:c r="G19" s="16" t="n">
        <x:f>IF($X19="","",INDEX('sheet2-计算明细'!$K$17:$K$219,$X19))</x:f>
        <x:v>100</x:v>
      </x:c>
      <x:c r="H19" s="16" t="n">
        <x:f>IF($X19="","",INDEX('sheet2-计算明细'!$L$17:$L$219,$X19))</x:f>
        <x:v>100</x:v>
      </x:c>
      <x:c r="I19" s="16" t="n">
        <x:f>IF($X19="","",INDEX('sheet2-计算明细'!$S$17:$S$219,$X19))</x:f>
        <x:v>30.25</x:v>
      </x:c>
      <x:c r="J19" s="16" t="n">
        <x:f>IF($X19="","",INDEX('sheet2-计算明细'!$Y$17:$Y$219,$X19))</x:f>
        <x:v>95</x:v>
      </x:c>
      <x:c r="K19" s="16" t="n">
        <x:f>IF($X19="","",INDEX('sheet2-计算明细'!$AC$17:$AC$219,$X19))</x:f>
        <x:v>99.5</x:v>
      </x:c>
      <x:c r="L19" s="16" t="n">
        <x:f>IF($X19="","",INDEX('sheet2-计算明细'!$AI$17:$AI$219,$X19))</x:f>
        <x:v>97.01</x:v>
      </x:c>
      <x:c r="M19" s="16" t="n">
        <x:f>IF($X19="","",INDEX('sheet2-计算明细'!$AK$17:$AK$219,$X19))</x:f>
        <x:v>80</x:v>
      </x:c>
      <x:c r="N19" s="17" t="n">
        <x:f t="shared" si="0">IF(ISNUMBER(INDEX('sheet2-计算明细'!$AL$17:$AL$219,$X19)),INDEX('sheet2-计算明细'!$AL$17:$AL$219,$X19),"")</x:f>
        <x:v>96</x:v>
      </x:c>
      <x:c r="O19" s="17" t="n">
        <x:f t="shared" si="1">IF(ISNUMBER(INDEX('sheet2-计算明细'!$AM$17:$AM$219,$X19)),INDEX('sheet2-计算明细'!$AM$17:$AM$219,$X19),"")</x:f>
        <x:v>49.67</x:v>
      </x:c>
      <x:c r="P19" s="17" t="n">
        <x:f t="shared" si="2">IF(ISNUMBER(INDEX('sheet2-计算明细'!$AN$17:$AN$219,$X19)),INDEX('sheet2-计算明细'!$AN$17:$AN$219,$X19),"")</x:f>
        <x:v>99.5</x:v>
      </x:c>
      <x:c r="Q19" s="17" t="n">
        <x:f t="shared" si="3">IF(ISNUMBER(INDEX('sheet2-计算明细'!$AO$17:$AO$219,$X19)),INDEX('sheet2-计算明细'!$AO$17:$AO$219,$X19),"")</x:f>
        <x:v>97.01</x:v>
      </x:c>
      <x:c r="R19" s="17" t="n">
        <x:f t="shared" si="4">IF(ISNUMBER(INDEX('sheet2-计算明细'!$AP$17:$AP$219,$X19)),INDEX('sheet2-计算明细'!$AP$17:$AP$219,$X19),"")</x:f>
        <x:v>80</x:v>
      </x:c>
      <x:c r="S19" s="18" t="n">
        <x:f>IF($X19="","",INDEX('sheet2-计算明细'!$AQ$17:$AQ$219,$X19))</x:f>
        <x:v>1</x:v>
      </x:c>
      <x:c r="T19" s="16" t="n">
        <x:f>IF($X19="","",INDEX('sheet2-计算明细'!$AR$17:$AR$219,$X19))</x:f>
        <x:v>86.31353</x:v>
      </x:c>
      <x:c r="U19" s="17" t="n">
        <x:f t="shared" si="5">IF(S19=0,"",ROUND(T19/S19,2))</x:f>
        <x:v>86.31</x:v>
      </x:c>
      <x:c r="V19" s="17" t="n">
        <x:f t="shared" si="6">IF(ABS(S19-1)&lt;0.00000001,T19,"")</x:f>
        <x:v>86.31353</x:v>
      </x:c>
      <x:c r="W19" s="19" t="str">
        <x:f>IF($X19="","",INDEX('sheet2-计算明细'!$AU$17:$AU$219,$X19))</x:f>
      </x:c>
      <x:c r="X19" s="15" t="n">
        <x:f>IF($A19&gt;COUNT('sheet2-计算明细'!$AT$17:$AT$219),"",MATCH($A19,'sheet2-计算明细'!$AT$17:$AT$219,0))</x:f>
        <x:v>16</x:v>
      </x:c>
    </x:row>
    <x:row r="20" ht="28" customHeight="1">
      <x:c r="A20" s="4" t="n">
        <x:v>15</x:v>
      </x:c>
      <x:c r="B20" s="15" t="str">
        <x:f>IF($X20="","",INDEX('sheet2-计算明细'!$B$17:$B$219,$X20))</x:f>
        <x:v>江岳联接54期</x:v>
      </x:c>
      <x:c r="C20" s="15" t="str">
        <x:f>IF($X20="","",INDEX('sheet2-计算明细'!$C$17:$C$219,$X20))</x:f>
        <x:v>SZJ846</x:v>
      </x:c>
      <x:c r="D20" s="15" t="str">
        <x:f>IF($X20="","",INDEX('sheet2-计算明细'!$D$17:$D$219,$X20))</x:f>
        <x:v>西安江岳</x:v>
      </x:c>
      <x:c r="E20" s="15" t="str">
        <x:f>IF($X20="","",INDEX('sheet2-计算明细'!$G$17:$G$219,$X20))</x:f>
        <x:v>入池</x:v>
      </x:c>
      <x:c r="F20" s="16" t="n">
        <x:f>IF($X20="","",INDEX('sheet2-计算明细'!$I$17:$I$219,$X20))</x:f>
        <x:v>80</x:v>
      </x:c>
      <x:c r="G20" s="16" t="n">
        <x:f>IF($X20="","",INDEX('sheet2-计算明细'!$K$17:$K$219,$X20))</x:f>
        <x:v>100</x:v>
      </x:c>
      <x:c r="H20" s="16" t="n">
        <x:f>IF($X20="","",INDEX('sheet2-计算明细'!$L$17:$L$219,$X20))</x:f>
        <x:v>100</x:v>
      </x:c>
      <x:c r="I20" s="16" t="n">
        <x:f>IF($X20="","",INDEX('sheet2-计算明细'!$S$17:$S$219,$X20))</x:f>
        <x:v>63.86</x:v>
      </x:c>
      <x:c r="J20" s="16" t="n">
        <x:f>IF($X20="","",INDEX('sheet2-计算明细'!$Y$17:$Y$219,$X20))</x:f>
        <x:v>93.72</x:v>
      </x:c>
      <x:c r="K20" s="16" t="n">
        <x:f>IF($X20="","",INDEX('sheet2-计算明细'!$AC$17:$AC$219,$X20))</x:f>
        <x:v>93.56</x:v>
      </x:c>
      <x:c r="L20" s="16" t="n">
        <x:f>IF($X20="","",INDEX('sheet2-计算明细'!$AI$17:$AI$219,$X20))</x:f>
        <x:v>87.19</x:v>
      </x:c>
      <x:c r="M20" s="16" t="n">
        <x:f>IF($X20="","",INDEX('sheet2-计算明细'!$AK$17:$AK$219,$X20))</x:f>
        <x:v>80</x:v>
      </x:c>
      <x:c r="N20" s="17" t="n">
        <x:f t="shared" si="0">IF(ISNUMBER(INDEX('sheet2-计算明细'!$AL$17:$AL$219,$X20)),INDEX('sheet2-计算明细'!$AL$17:$AL$219,$X20),"")</x:f>
        <x:v>92</x:v>
      </x:c>
      <x:c r="O20" s="17" t="n">
        <x:f t="shared" si="1">IF(ISNUMBER(INDEX('sheet2-计算明细'!$AM$17:$AM$219,$X20)),INDEX('sheet2-计算明细'!$AM$17:$AM$219,$X20),"")</x:f>
        <x:v>72.82</x:v>
      </x:c>
      <x:c r="P20" s="17" t="n">
        <x:f t="shared" si="2">IF(ISNUMBER(INDEX('sheet2-计算明细'!$AN$17:$AN$219,$X20)),INDEX('sheet2-计算明细'!$AN$17:$AN$219,$X20),"")</x:f>
        <x:v>93.56</x:v>
      </x:c>
      <x:c r="Q20" s="17" t="n">
        <x:f t="shared" si="3">IF(ISNUMBER(INDEX('sheet2-计算明细'!$AO$17:$AO$219,$X20)),INDEX('sheet2-计算明细'!$AO$17:$AO$219,$X20),"")</x:f>
        <x:v>87.19</x:v>
      </x:c>
      <x:c r="R20" s="17" t="n">
        <x:f t="shared" si="4">IF(ISNUMBER(INDEX('sheet2-计算明细'!$AP$17:$AP$219,$X20)),INDEX('sheet2-计算明细'!$AP$17:$AP$219,$X20),"")</x:f>
        <x:v>80</x:v>
      </x:c>
      <x:c r="S20" s="18" t="n">
        <x:f>IF($X20="","",INDEX('sheet2-计算明细'!$AQ$17:$AQ$219,$X20))</x:f>
        <x:v>1</x:v>
      </x:c>
      <x:c r="T20" s="16" t="n">
        <x:f>IF($X20="","",INDEX('sheet2-计算明细'!$AR$17:$AR$219,$X20))</x:f>
        <x:v>85.91184</x:v>
      </x:c>
      <x:c r="U20" s="17" t="n">
        <x:f t="shared" si="5">IF(S20=0,"",ROUND(T20/S20,2))</x:f>
        <x:v>85.91</x:v>
      </x:c>
      <x:c r="V20" s="17" t="n">
        <x:f t="shared" si="6">IF(ABS(S20-1)&lt;0.00000001,T20,"")</x:f>
        <x:v>85.91184</x:v>
      </x:c>
      <x:c r="W20" s="19" t="str">
        <x:f>IF($X20="","",INDEX('sheet2-计算明细'!$AU$17:$AU$219,$X20))</x:f>
      </x:c>
      <x:c r="X20" s="15" t="n">
        <x:f>IF($A20&gt;COUNT('sheet2-计算明细'!$AT$17:$AT$219),"",MATCH($A20,'sheet2-计算明细'!$AT$17:$AT$219,0))</x:f>
        <x:v>179</x:v>
      </x:c>
    </x:row>
    <x:row r="21" ht="28" customHeight="1">
      <x:c r="A21" s="4" t="n">
        <x:v>16</x:v>
      </x:c>
      <x:c r="B21" s="15" t="str">
        <x:f>IF($X21="","",INDEX('sheet2-计算明细'!$B$17:$B$219,$X21))</x:f>
        <x:v>常行7号</x:v>
      </x:c>
      <x:c r="C21" s="15" t="str">
        <x:f>IF($X21="","",INDEX('sheet2-计算明细'!$C$17:$C$219,$X21))</x:f>
        <x:v>SQH214</x:v>
      </x:c>
      <x:c r="D21" s="15" t="str">
        <x:f>IF($X21="","",INDEX('sheet2-计算明细'!$D$17:$D$219,$X21))</x:f>
        <x:v>江苏常行投资</x:v>
      </x:c>
      <x:c r="E21" s="15" t="str">
        <x:f>IF($X21="","",INDEX('sheet2-计算明细'!$G$17:$G$219,$X21))</x:f>
        <x:v>入池</x:v>
      </x:c>
      <x:c r="F21" s="16" t="n">
        <x:f>IF($X21="","",INDEX('sheet2-计算明细'!$I$17:$I$219,$X21))</x:f>
        <x:v>70</x:v>
      </x:c>
      <x:c r="G21" s="16" t="n">
        <x:f>IF($X21="","",INDEX('sheet2-计算明细'!$K$17:$K$219,$X21))</x:f>
        <x:v>100</x:v>
      </x:c>
      <x:c r="H21" s="16" t="n">
        <x:f>IF($X21="","",INDEX('sheet2-计算明细'!$L$17:$L$219,$X21))</x:f>
        <x:v>100</x:v>
      </x:c>
      <x:c r="I21" s="16" t="n">
        <x:f>IF($X21="","",INDEX('sheet2-计算明细'!$S$17:$S$219,$X21))</x:f>
        <x:v>58.02</x:v>
      </x:c>
      <x:c r="J21" s="16" t="n">
        <x:f>IF($X21="","",INDEX('sheet2-计算明细'!$Y$17:$Y$219,$X21))</x:f>
        <x:v>93.33</x:v>
      </x:c>
      <x:c r="K21" s="16" t="n">
        <x:f>IF($X21="","",INDEX('sheet2-计算明细'!$AC$17:$AC$219,$X21))</x:f>
        <x:v>85.15</x:v>
      </x:c>
      <x:c r="L21" s="16" t="n">
        <x:f>IF($X21="","",INDEX('sheet2-计算明细'!$AI$17:$AI$219,$X21))</x:f>
        <x:v>91.48</x:v>
      </x:c>
      <x:c r="M21" s="16" t="n">
        <x:f>IF($X21="","",INDEX('sheet2-计算明细'!$AK$17:$AK$219,$X21))</x:f>
        <x:v>100</x:v>
      </x:c>
      <x:c r="N21" s="17" t="n">
        <x:f t="shared" si="0">IF(ISNUMBER(INDEX('sheet2-计算明细'!$AL$17:$AL$219,$X21)),INDEX('sheet2-计算明细'!$AL$17:$AL$219,$X21),"")</x:f>
        <x:v>88</x:v>
      </x:c>
      <x:c r="O21" s="17" t="n">
        <x:f t="shared" si="1">IF(ISNUMBER(INDEX('sheet2-计算明细'!$AM$17:$AM$219,$X21)),INDEX('sheet2-计算明细'!$AM$17:$AM$219,$X21),"")</x:f>
        <x:v>68.61</x:v>
      </x:c>
      <x:c r="P21" s="17" t="n">
        <x:f t="shared" si="2">IF(ISNUMBER(INDEX('sheet2-计算明细'!$AN$17:$AN$219,$X21)),INDEX('sheet2-计算明细'!$AN$17:$AN$219,$X21),"")</x:f>
        <x:v>85.15</x:v>
      </x:c>
      <x:c r="Q21" s="17" t="n">
        <x:f t="shared" si="3">IF(ISNUMBER(INDEX('sheet2-计算明细'!$AO$17:$AO$219,$X21)),INDEX('sheet2-计算明细'!$AO$17:$AO$219,$X21),"")</x:f>
        <x:v>91.48</x:v>
      </x:c>
      <x:c r="R21" s="17" t="n">
        <x:f t="shared" si="4">IF(ISNUMBER(INDEX('sheet2-计算明细'!$AP$17:$AP$219,$X21)),INDEX('sheet2-计算明细'!$AP$17:$AP$219,$X21),"")</x:f>
        <x:v>100</x:v>
      </x:c>
      <x:c r="S21" s="18" t="n">
        <x:f>IF($X21="","",INDEX('sheet2-计算明细'!$AQ$17:$AQ$219,$X21))</x:f>
        <x:v>1</x:v>
      </x:c>
      <x:c r="T21" s="16" t="n">
        <x:f>IF($X21="","",INDEX('sheet2-计算明细'!$AR$17:$AR$219,$X21))</x:f>
        <x:v>85.65429999999999</x:v>
      </x:c>
      <x:c r="U21" s="17" t="n">
        <x:f t="shared" si="5">IF(S21=0,"",ROUND(T21/S21,2))</x:f>
        <x:v>85.65</x:v>
      </x:c>
      <x:c r="V21" s="17" t="n">
        <x:f t="shared" si="6">IF(ABS(S21-1)&lt;0.00000001,T21,"")</x:f>
        <x:v>85.65429999999999</x:v>
      </x:c>
      <x:c r="W21" s="19" t="str">
        <x:f>IF($X21="","",INDEX('sheet2-计算明细'!$AU$17:$AU$219,$X21))</x:f>
      </x:c>
      <x:c r="X21" s="15" t="n">
        <x:f>IF($A21&gt;COUNT('sheet2-计算明细'!$AT$17:$AT$219),"",MATCH($A21,'sheet2-计算明细'!$AT$17:$AT$219,0))</x:f>
        <x:v>201</x:v>
      </x:c>
    </x:row>
    <x:row r="22" ht="28" customHeight="1">
      <x:c r="A22" s="4" t="n">
        <x:v>17</x:v>
      </x:c>
      <x:c r="B22" s="15" t="str">
        <x:f>IF($X22="","",INDEX('sheet2-计算明细'!$B$17:$B$219,$X22))</x:f>
        <x:v>平凡浩睿</x:v>
      </x:c>
      <x:c r="C22" s="15" t="str">
        <x:f>IF($X22="","",INDEX('sheet2-计算明细'!$C$17:$C$219,$X22))</x:f>
        <x:v>SJS890</x:v>
      </x:c>
      <x:c r="D22" s="15" t="str">
        <x:f>IF($X22="","",INDEX('sheet2-计算明细'!$D$17:$D$219,$X22))</x:f>
        <x:v>北京平凡</x:v>
      </x:c>
      <x:c r="E22" s="15" t="str">
        <x:f>IF($X22="","",INDEX('sheet2-计算明细'!$G$17:$G$219,$X22))</x:f>
        <x:v>入池</x:v>
      </x:c>
      <x:c r="F22" s="16" t="n">
        <x:f>IF($X22="","",INDEX('sheet2-计算明细'!$I$17:$I$219,$X22))</x:f>
        <x:v>90</x:v>
      </x:c>
      <x:c r="G22" s="16" t="n">
        <x:f>IF($X22="","",INDEX('sheet2-计算明细'!$K$17:$K$219,$X22))</x:f>
        <x:v>100</x:v>
      </x:c>
      <x:c r="H22" s="16" t="n">
        <x:f>IF($X22="","",INDEX('sheet2-计算明细'!$L$17:$L$219,$X22))</x:f>
        <x:v>100</x:v>
      </x:c>
      <x:c r="I22" s="16" t="n">
        <x:f>IF($X22="","",INDEX('sheet2-计算明细'!$S$17:$S$219,$X22))</x:f>
        <x:v>86.43</x:v>
      </x:c>
      <x:c r="J22" s="16" t="n">
        <x:f>IF($X22="","",INDEX('sheet2-计算明细'!$Y$17:$Y$219,$X22))</x:f>
        <x:v>88.72</x:v>
      </x:c>
      <x:c r="K22" s="16" t="n">
        <x:f>IF($X22="","",INDEX('sheet2-计算明细'!$AC$17:$AC$219,$X22))</x:f>
        <x:v>65.84</x:v>
      </x:c>
      <x:c r="L22" s="16" t="n">
        <x:f>IF($X22="","",INDEX('sheet2-计算明细'!$AI$17:$AI$219,$X22))</x:f>
        <x:v>90.61</x:v>
      </x:c>
      <x:c r="M22" s="16" t="n">
        <x:f>IF($X22="","",INDEX('sheet2-计算明细'!$AK$17:$AK$219,$X22))</x:f>
        <x:v>100</x:v>
      </x:c>
      <x:c r="N22" s="17" t="n">
        <x:f t="shared" si="0">IF(ISNUMBER(INDEX('sheet2-计算明细'!$AL$17:$AL$219,$X22)),INDEX('sheet2-计算明细'!$AL$17:$AL$219,$X22),"")</x:f>
        <x:v>96</x:v>
      </x:c>
      <x:c r="O22" s="17" t="n">
        <x:f t="shared" si="1">IF(ISNUMBER(INDEX('sheet2-计算明细'!$AM$17:$AM$219,$X22)),INDEX('sheet2-计算明细'!$AM$17:$AM$219,$X22),"")</x:f>
        <x:v>87.12</x:v>
      </x:c>
      <x:c r="P22" s="17" t="n">
        <x:f t="shared" si="2">IF(ISNUMBER(INDEX('sheet2-计算明细'!$AN$17:$AN$219,$X22)),INDEX('sheet2-计算明细'!$AN$17:$AN$219,$X22),"")</x:f>
        <x:v>65.84</x:v>
      </x:c>
      <x:c r="Q22" s="17" t="n">
        <x:f t="shared" si="3">IF(ISNUMBER(INDEX('sheet2-计算明细'!$AO$17:$AO$219,$X22)),INDEX('sheet2-计算明细'!$AO$17:$AO$219,$X22),"")</x:f>
        <x:v>90.61</x:v>
      </x:c>
      <x:c r="R22" s="17" t="n">
        <x:f t="shared" si="4">IF(ISNUMBER(INDEX('sheet2-计算明细'!$AP$17:$AP$219,$X22)),INDEX('sheet2-计算明细'!$AP$17:$AP$219,$X22),"")</x:f>
        <x:v>100</x:v>
      </x:c>
      <x:c r="S22" s="18" t="n">
        <x:f>IF($X22="","",INDEX('sheet2-计算明细'!$AQ$17:$AQ$219,$X22))</x:f>
        <x:v>1</x:v>
      </x:c>
      <x:c r="T22" s="16" t="n">
        <x:f>IF($X22="","",INDEX('sheet2-计算明细'!$AR$17:$AR$219,$X22))</x:f>
        <x:v>85.46762</x:v>
      </x:c>
      <x:c r="U22" s="17" t="n">
        <x:f t="shared" si="5">IF(S22=0,"",ROUND(T22/S22,2))</x:f>
        <x:v>85.47</x:v>
      </x:c>
      <x:c r="V22" s="17" t="n">
        <x:f t="shared" si="6">IF(ABS(S22-1)&lt;0.00000001,T22,"")</x:f>
        <x:v>85.46762</x:v>
      </x:c>
      <x:c r="W22" s="19" t="str">
        <x:f>IF($X22="","",INDEX('sheet2-计算明细'!$AU$17:$AU$219,$X22))</x:f>
      </x:c>
      <x:c r="X22" s="15" t="n">
        <x:f>IF($A22&gt;COUNT('sheet2-计算明细'!$AT$17:$AT$219),"",MATCH($A22,'sheet2-计算明细'!$AT$17:$AT$219,0))</x:f>
        <x:v>124</x:v>
      </x:c>
    </x:row>
    <x:row r="23" ht="28" customHeight="1">
      <x:c r="A23" s="4" t="n">
        <x:v>18</x:v>
      </x:c>
      <x:c r="B23" s="15" t="str">
        <x:f>IF($X23="","",INDEX('sheet2-计算明细'!$B$17:$B$219,$X23))</x:f>
        <x:v>慕途稳健2号</x:v>
      </x:c>
      <x:c r="C23" s="15" t="str">
        <x:f>IF($X23="","",INDEX('sheet2-计算明细'!$C$17:$C$219,$X23))</x:f>
        <x:v>SXW938</x:v>
      </x:c>
      <x:c r="D23" s="15" t="str">
        <x:f>IF($X23="","",INDEX('sheet2-计算明细'!$D$17:$D$219,$X23))</x:f>
        <x:v>慕途基金</x:v>
      </x:c>
      <x:c r="E23" s="15" t="str">
        <x:f>IF($X23="","",INDEX('sheet2-计算明细'!$G$17:$G$219,$X23))</x:f>
        <x:v>入池</x:v>
      </x:c>
      <x:c r="F23" s="16" t="n">
        <x:f>IF($X23="","",INDEX('sheet2-计算明细'!$I$17:$I$219,$X23))</x:f>
        <x:v>80</x:v>
      </x:c>
      <x:c r="G23" s="16" t="n">
        <x:f>IF($X23="","",INDEX('sheet2-计算明细'!$K$17:$K$219,$X23))</x:f>
        <x:v>100</x:v>
      </x:c>
      <x:c r="H23" s="16" t="n">
        <x:f>IF($X23="","",INDEX('sheet2-计算明细'!$L$17:$L$219,$X23))</x:f>
        <x:v>100</x:v>
      </x:c>
      <x:c r="I23" s="16" t="n">
        <x:f>IF($X23="","",INDEX('sheet2-计算明细'!$S$17:$S$219,$X23))</x:f>
        <x:v>65.84</x:v>
      </x:c>
      <x:c r="J23" s="16" t="n">
        <x:f>IF($X23="","",INDEX('sheet2-计算明细'!$Y$17:$Y$219,$X23))</x:f>
        <x:v>92.31</x:v>
      </x:c>
      <x:c r="K23" s="16" t="n">
        <x:f>IF($X23="","",INDEX('sheet2-计算明细'!$AC$17:$AC$219,$X23))</x:f>
        <x:v>90.59</x:v>
      </x:c>
      <x:c r="L23" s="16" t="n">
        <x:f>IF($X23="","",INDEX('sheet2-计算明细'!$AI$17:$AI$219,$X23))</x:f>
        <x:v>78.11</x:v>
      </x:c>
      <x:c r="M23" s="16" t="n">
        <x:f>IF($X23="","",INDEX('sheet2-计算明细'!$AK$17:$AK$219,$X23))</x:f>
        <x:v>100</x:v>
      </x:c>
      <x:c r="N23" s="17" t="n">
        <x:f t="shared" si="0">IF(ISNUMBER(INDEX('sheet2-计算明细'!$AL$17:$AL$219,$X23)),INDEX('sheet2-计算明细'!$AL$17:$AL$219,$X23),"")</x:f>
        <x:v>92</x:v>
      </x:c>
      <x:c r="O23" s="17" t="n">
        <x:f t="shared" si="1">IF(ISNUMBER(INDEX('sheet2-计算明细'!$AM$17:$AM$219,$X23)),INDEX('sheet2-计算明细'!$AM$17:$AM$219,$X23),"")</x:f>
        <x:v>71.26</x:v>
      </x:c>
      <x:c r="P23" s="17" t="n">
        <x:f t="shared" si="2">IF(ISNUMBER(INDEX('sheet2-计算明细'!$AN$17:$AN$219,$X23)),INDEX('sheet2-计算明细'!$AN$17:$AN$219,$X23),"")</x:f>
        <x:v>90.59</x:v>
      </x:c>
      <x:c r="Q23" s="17" t="n">
        <x:f t="shared" si="3">IF(ISNUMBER(INDEX('sheet2-计算明细'!$AO$17:$AO$219,$X23)),INDEX('sheet2-计算明细'!$AO$17:$AO$219,$X23),"")</x:f>
        <x:v>78.11</x:v>
      </x:c>
      <x:c r="R23" s="17" t="n">
        <x:f t="shared" si="4">IF(ISNUMBER(INDEX('sheet2-计算明细'!$AP$17:$AP$219,$X23)),INDEX('sheet2-计算明细'!$AP$17:$AP$219,$X23),"")</x:f>
        <x:v>100</x:v>
      </x:c>
      <x:c r="S23" s="18" t="n">
        <x:f>IF($X23="","",INDEX('sheet2-计算明细'!$AQ$17:$AQ$219,$X23))</x:f>
        <x:v>0.856</x:v>
      </x:c>
      <x:c r="T23" s="16" t="n">
        <x:f>IF($X23="","",INDEX('sheet2-计算明细'!$AR$17:$AR$219,$X23))</x:f>
        <x:v>73.04834</x:v>
      </x:c>
      <x:c r="U23" s="17" t="n">
        <x:f t="shared" si="5">IF(S23=0,"",ROUND(T23/S23,2))</x:f>
        <x:v>85.34</x:v>
      </x:c>
      <x:c r="V23" s="17" t="str">
        <x:f t="shared" si="6">IF(ABS(S23-1)&lt;0.00000001,T23,"")</x:f>
      </x:c>
      <x:c r="W23" s="19" t="str">
        <x:f>IF($X23="","",INDEX('sheet2-计算明细'!$AU$17:$AU$219,$X23))</x:f>
        <x:v>胜率窗口口径不一致；DD_long不可识别；</x:v>
      </x:c>
      <x:c r="X23" s="15" t="n">
        <x:f>IF($A23&gt;COUNT('sheet2-计算明细'!$AT$17:$AT$219),"",MATCH($A23,'sheet2-计算明细'!$AT$17:$AT$219,0))</x:f>
        <x:v>60</x:v>
      </x:c>
    </x:row>
    <x:row r="24" ht="28" customHeight="1">
      <x:c r="A24" s="4" t="n">
        <x:v>19</x:v>
      </x:c>
      <x:c r="B24" s="15" t="str">
        <x:f>IF($X24="","",INDEX('sheet2-计算明细'!$B$17:$B$219,$X24))</x:f>
        <x:v>九招真格量化套利一号</x:v>
      </x:c>
      <x:c r="C24" s="15" t="str">
        <x:f>IF($X24="","",INDEX('sheet2-计算明细'!$C$17:$C$219,$X24))</x:f>
        <x:v>SQD546</x:v>
      </x:c>
      <x:c r="D24" s="15" t="str">
        <x:f>IF($X24="","",INDEX('sheet2-计算明细'!$D$17:$D$219,$X24))</x:f>
        <x:v>武汉九招</x:v>
      </x:c>
      <x:c r="E24" s="15" t="str">
        <x:f>IF($X24="","",INDEX('sheet2-计算明细'!$G$17:$G$219,$X24))</x:f>
        <x:v>入池</x:v>
      </x:c>
      <x:c r="F24" s="16" t="n">
        <x:f>IF($X24="","",INDEX('sheet2-计算明细'!$I$17:$I$219,$X24))</x:f>
        <x:v>70</x:v>
      </x:c>
      <x:c r="G24" s="16" t="n">
        <x:f>IF($X24="","",INDEX('sheet2-计算明细'!$K$17:$K$219,$X24))</x:f>
        <x:v>100</x:v>
      </x:c>
      <x:c r="H24" s="16" t="n">
        <x:f>IF($X24="","",INDEX('sheet2-计算明细'!$L$17:$L$219,$X24))</x:f>
        <x:v>100</x:v>
      </x:c>
      <x:c r="I24" s="16" t="n">
        <x:f>IF($X24="","",INDEX('sheet2-计算明细'!$S$17:$S$219,$X24))</x:f>
        <x:v>88.61</x:v>
      </x:c>
      <x:c r="J24" s="16" t="n">
        <x:f>IF($X24="","",INDEX('sheet2-计算明细'!$Y$17:$Y$219,$X24))</x:f>
        <x:v>93.33</x:v>
      </x:c>
      <x:c r="K24" s="16" t="n">
        <x:f>IF($X24="","",INDEX('sheet2-计算明细'!$AC$17:$AC$219,$X24))</x:f>
        <x:v>67.82</x:v>
      </x:c>
      <x:c r="L24" s="16" t="n">
        <x:f>IF($X24="","",INDEX('sheet2-计算明细'!$AI$17:$AI$219,$X24))</x:f>
        <x:v>90.56</x:v>
      </x:c>
      <x:c r="M24" s="16" t="n">
        <x:f>IF($X24="","",INDEX('sheet2-计算明细'!$AK$17:$AK$219,$X24))</x:f>
        <x:v>100</x:v>
      </x:c>
      <x:c r="N24" s="17" t="n">
        <x:f t="shared" si="0">IF(ISNUMBER(INDEX('sheet2-计算明细'!$AL$17:$AL$219,$X24)),INDEX('sheet2-计算明细'!$AL$17:$AL$219,$X24),"")</x:f>
        <x:v>88</x:v>
      </x:c>
      <x:c r="O24" s="17" t="n">
        <x:f t="shared" si="1">IF(ISNUMBER(INDEX('sheet2-计算明细'!$AM$17:$AM$219,$X24)),INDEX('sheet2-计算明细'!$AM$17:$AM$219,$X24),"")</x:f>
        <x:v>90.03</x:v>
      </x:c>
      <x:c r="P24" s="17" t="n">
        <x:f t="shared" si="2">IF(ISNUMBER(INDEX('sheet2-计算明细'!$AN$17:$AN$219,$X24)),INDEX('sheet2-计算明细'!$AN$17:$AN$219,$X24),"")</x:f>
        <x:v>67.82</x:v>
      </x:c>
      <x:c r="Q24" s="17" t="n">
        <x:f t="shared" si="3">IF(ISNUMBER(INDEX('sheet2-计算明细'!$AO$17:$AO$219,$X24)),INDEX('sheet2-计算明细'!$AO$17:$AO$219,$X24),"")</x:f>
        <x:v>90.56</x:v>
      </x:c>
      <x:c r="R24" s="17" t="n">
        <x:f t="shared" si="4">IF(ISNUMBER(INDEX('sheet2-计算明细'!$AP$17:$AP$219,$X24)),INDEX('sheet2-计算明细'!$AP$17:$AP$219,$X24),"")</x:f>
        <x:v>100</x:v>
      </x:c>
      <x:c r="S24" s="18" t="n">
        <x:f>IF($X24="","",INDEX('sheet2-计算明细'!$AQ$17:$AQ$219,$X24))</x:f>
        <x:v>1</x:v>
      </x:c>
      <x:c r="T24" s="16" t="n">
        <x:f>IF($X24="","",INDEX('sheet2-计算明细'!$AR$17:$AR$219,$X24))</x:f>
        <x:v>85.32902999999999</x:v>
      </x:c>
      <x:c r="U24" s="17" t="n">
        <x:f t="shared" si="5">IF(S24=0,"",ROUND(T24/S24,2))</x:f>
        <x:v>85.33</x:v>
      </x:c>
      <x:c r="V24" s="17" t="n">
        <x:f t="shared" si="6">IF(ABS(S24-1)&lt;0.00000001,T24,"")</x:f>
        <x:v>85.32902999999999</x:v>
      </x:c>
      <x:c r="W24" s="19" t="str">
        <x:f>IF($X24="","",INDEX('sheet2-计算明细'!$AU$17:$AU$219,$X24))</x:f>
      </x:c>
      <x:c r="X24" s="15" t="n">
        <x:f>IF($A24&gt;COUNT('sheet2-计算明细'!$AT$17:$AT$219),"",MATCH($A24,'sheet2-计算明细'!$AT$17:$AT$219,0))</x:f>
        <x:v>93</x:v>
      </x:c>
    </x:row>
    <x:row r="25" ht="28" customHeight="1">
      <x:c r="A25" s="4" t="n">
        <x:v>20</x:v>
      </x:c>
      <x:c r="B25" s="15" t="str">
        <x:f>IF($X25="","",INDEX('sheet2-计算明细'!$B$17:$B$219,$X25))</x:f>
        <x:v>以利安得利混合1号</x:v>
      </x:c>
      <x:c r="C25" s="15" t="str">
        <x:f>IF($X25="","",INDEX('sheet2-计算明细'!$C$17:$C$219,$X25))</x:f>
        <x:v>SVJ912</x:v>
      </x:c>
      <x:c r="D25" s="15" t="str">
        <x:f>IF($X25="","",INDEX('sheet2-计算明细'!$D$17:$D$219,$X25))</x:f>
        <x:v>河南以利</x:v>
      </x:c>
      <x:c r="E25" s="15" t="str">
        <x:f>IF($X25="","",INDEX('sheet2-计算明细'!$G$17:$G$219,$X25))</x:f>
        <x:v>入池</x:v>
      </x:c>
      <x:c r="F25" s="16" t="n">
        <x:f>IF($X25="","",INDEX('sheet2-计算明细'!$I$17:$I$219,$X25))</x:f>
        <x:v>60</x:v>
      </x:c>
      <x:c r="G25" s="16" t="n">
        <x:f>IF($X25="","",INDEX('sheet2-计算明细'!$K$17:$K$219,$X25))</x:f>
        <x:v>100</x:v>
      </x:c>
      <x:c r="H25" s="16" t="n">
        <x:f>IF($X25="","",INDEX('sheet2-计算明细'!$L$17:$L$219,$X25))</x:f>
        <x:v>100</x:v>
      </x:c>
      <x:c r="I25" s="16" t="n">
        <x:f>IF($X25="","",INDEX('sheet2-计算明细'!$S$17:$S$219,$X25))</x:f>
        <x:v>54.75</x:v>
      </x:c>
      <x:c r="J25" s="16" t="n">
        <x:f>IF($X25="","",INDEX('sheet2-计算明细'!$Y$17:$Y$219,$X25))</x:f>
        <x:v>89.1</x:v>
      </x:c>
      <x:c r="K25" s="16" t="n">
        <x:f>IF($X25="","",INDEX('sheet2-计算明细'!$AC$17:$AC$219,$X25))</x:f>
        <x:v>92.08</x:v>
      </x:c>
      <x:c r="L25" s="16" t="n">
        <x:f>IF($X25="","",INDEX('sheet2-计算明细'!$AI$17:$AI$219,$X25))</x:f>
        <x:v>94.37</x:v>
      </x:c>
      <x:c r="M25" s="16" t="n">
        <x:f>IF($X25="","",INDEX('sheet2-计算明细'!$AK$17:$AK$219,$X25))</x:f>
        <x:v>80</x:v>
      </x:c>
      <x:c r="N25" s="17" t="n">
        <x:f t="shared" si="0">IF(ISNUMBER(INDEX('sheet2-计算明细'!$AL$17:$AL$219,$X25)),INDEX('sheet2-计算明细'!$AL$17:$AL$219,$X25),"")</x:f>
        <x:v>84</x:v>
      </x:c>
      <x:c r="O25" s="17" t="n">
        <x:f t="shared" si="1">IF(ISNUMBER(INDEX('sheet2-计算明细'!$AM$17:$AM$219,$X25)),INDEX('sheet2-计算明细'!$AM$17:$AM$219,$X25),"")</x:f>
        <x:v>65.06</x:v>
      </x:c>
      <x:c r="P25" s="17" t="n">
        <x:f t="shared" si="2">IF(ISNUMBER(INDEX('sheet2-计算明细'!$AN$17:$AN$219,$X25)),INDEX('sheet2-计算明细'!$AN$17:$AN$219,$X25),"")</x:f>
        <x:v>92.08</x:v>
      </x:c>
      <x:c r="Q25" s="17" t="n">
        <x:f t="shared" si="3">IF(ISNUMBER(INDEX('sheet2-计算明细'!$AO$17:$AO$219,$X25)),INDEX('sheet2-计算明细'!$AO$17:$AO$219,$X25),"")</x:f>
        <x:v>94.37</x:v>
      </x:c>
      <x:c r="R25" s="17" t="n">
        <x:f t="shared" si="4">IF(ISNUMBER(INDEX('sheet2-计算明细'!$AP$17:$AP$219,$X25)),INDEX('sheet2-计算明细'!$AP$17:$AP$219,$X25),"")</x:f>
        <x:v>80</x:v>
      </x:c>
      <x:c r="S25" s="18" t="n">
        <x:f>IF($X25="","",INDEX('sheet2-计算明细'!$AQ$17:$AQ$219,$X25))</x:f>
        <x:v>1</x:v>
      </x:c>
      <x:c r="T25" s="16" t="n">
        <x:f>IF($X25="","",INDEX('sheet2-计算明细'!$AR$17:$AR$219,$X25))</x:f>
        <x:v>84.94367</x:v>
      </x:c>
      <x:c r="U25" s="17" t="n">
        <x:f t="shared" si="5">IF(S25=0,"",ROUND(T25/S25,2))</x:f>
        <x:v>84.94</x:v>
      </x:c>
      <x:c r="V25" s="17" t="n">
        <x:f t="shared" si="6">IF(ABS(S25-1)&lt;0.00000001,T25,"")</x:f>
        <x:v>84.94367</x:v>
      </x:c>
      <x:c r="W25" s="19" t="str">
        <x:f>IF($X25="","",INDEX('sheet2-计算明细'!$AU$17:$AU$219,$X25))</x:f>
      </x:c>
      <x:c r="X25" s="15" t="n">
        <x:f>IF($A25&gt;COUNT('sheet2-计算明细'!$AT$17:$AT$219),"",MATCH($A25,'sheet2-计算明细'!$AT$17:$AT$219,0))</x:f>
        <x:v>148</x:v>
      </x:c>
    </x:row>
    <x:row r="26" ht="28" customHeight="1">
      <x:c r="A26" s="4" t="n">
        <x:v>21</x:v>
      </x:c>
      <x:c r="B26" s="15" t="str">
        <x:f>IF($X26="","",INDEX('sheet2-计算明细'!$B$17:$B$219,$X26))</x:f>
        <x:v>擎丰1号3期</x:v>
      </x:c>
      <x:c r="C26" s="15" t="str">
        <x:f>IF($X26="","",INDEX('sheet2-计算明细'!$C$17:$C$219,$X26))</x:f>
        <x:v>SXK911</x:v>
      </x:c>
      <x:c r="D26" s="15" t="str">
        <x:f>IF($X26="","",INDEX('sheet2-计算明细'!$D$17:$D$219,$X26))</x:f>
        <x:v>上海擎丰</x:v>
      </x:c>
      <x:c r="E26" s="15" t="str">
        <x:f>IF($X26="","",INDEX('sheet2-计算明细'!$G$17:$G$219,$X26))</x:f>
        <x:v>入池</x:v>
      </x:c>
      <x:c r="F26" s="16" t="n">
        <x:f>IF($X26="","",INDEX('sheet2-计算明细'!$I$17:$I$219,$X26))</x:f>
        <x:v>60</x:v>
      </x:c>
      <x:c r="G26" s="16" t="n">
        <x:f>IF($X26="","",INDEX('sheet2-计算明细'!$K$17:$K$219,$X26))</x:f>
        <x:v>100</x:v>
      </x:c>
      <x:c r="H26" s="16" t="n">
        <x:f>IF($X26="","",INDEX('sheet2-计算明细'!$L$17:$L$219,$X26))</x:f>
        <x:v>100</x:v>
      </x:c>
      <x:c r="I26" s="16" t="n">
        <x:f>IF($X26="","",INDEX('sheet2-计算明细'!$S$17:$S$219,$X26))</x:f>
        <x:v>41.09</x:v>
      </x:c>
      <x:c r="J26" s="16" t="n">
        <x:f>IF($X26="","",INDEX('sheet2-计算明细'!$Y$17:$Y$219,$X26))</x:f>
        <x:v>90.39</x:v>
      </x:c>
      <x:c r="K26" s="16" t="n">
        <x:f>IF($X26="","",INDEX('sheet2-计算明细'!$AC$17:$AC$219,$X26))</x:f>
        <x:v>99.01</x:v>
      </x:c>
      <x:c r="L26" s="16" t="n">
        <x:f>IF($X26="","",INDEX('sheet2-计算明细'!$AI$17:$AI$219,$X26))</x:f>
        <x:v>92.86</x:v>
      </x:c>
      <x:c r="M26" s="16" t="n">
        <x:f>IF($X26="","",INDEX('sheet2-计算明细'!$AK$17:$AK$219,$X26))</x:f>
        <x:v>80</x:v>
      </x:c>
      <x:c r="N26" s="17" t="n">
        <x:f t="shared" si="0">IF(ISNUMBER(INDEX('sheet2-计算明细'!$AL$17:$AL$219,$X26)),INDEX('sheet2-计算明细'!$AL$17:$AL$219,$X26),"")</x:f>
        <x:v>84</x:v>
      </x:c>
      <x:c r="O26" s="17" t="n">
        <x:f t="shared" si="1">IF(ISNUMBER(INDEX('sheet2-计算明细'!$AM$17:$AM$219,$X26)),INDEX('sheet2-计算明细'!$AM$17:$AM$219,$X26),"")</x:f>
        <x:v>55.88</x:v>
      </x:c>
      <x:c r="P26" s="17" t="n">
        <x:f t="shared" si="2">IF(ISNUMBER(INDEX('sheet2-计算明细'!$AN$17:$AN$219,$X26)),INDEX('sheet2-计算明细'!$AN$17:$AN$219,$X26),"")</x:f>
        <x:v>99.01</x:v>
      </x:c>
      <x:c r="Q26" s="17" t="n">
        <x:f t="shared" si="3">IF(ISNUMBER(INDEX('sheet2-计算明细'!$AO$17:$AO$219,$X26)),INDEX('sheet2-计算明细'!$AO$17:$AO$219,$X26),"")</x:f>
        <x:v>92.86</x:v>
      </x:c>
      <x:c r="R26" s="17" t="n">
        <x:f t="shared" si="4">IF(ISNUMBER(INDEX('sheet2-计算明细'!$AP$17:$AP$219,$X26)),INDEX('sheet2-计算明细'!$AP$17:$AP$219,$X26),"")</x:f>
        <x:v>80</x:v>
      </x:c>
      <x:c r="S26" s="18" t="n">
        <x:f>IF($X26="","",INDEX('sheet2-计算明细'!$AQ$17:$AQ$219,$X26))</x:f>
        <x:v>1</x:v>
      </x:c>
      <x:c r="T26" s="16" t="n">
        <x:f>IF($X26="","",INDEX('sheet2-计算明细'!$AR$17:$AR$219,$X26))</x:f>
        <x:v>84.38658000000001</x:v>
      </x:c>
      <x:c r="U26" s="17" t="n">
        <x:f t="shared" si="5">IF(S26=0,"",ROUND(T26/S26,2))</x:f>
        <x:v>84.39</x:v>
      </x:c>
      <x:c r="V26" s="17" t="n">
        <x:f t="shared" si="6">IF(ABS(S26-1)&lt;0.00000001,T26,"")</x:f>
        <x:v>84.38658000000001</x:v>
      </x:c>
      <x:c r="W26" s="19" t="str">
        <x:f>IF($X26="","",INDEX('sheet2-计算明细'!$AU$17:$AU$219,$X26))</x:f>
      </x:c>
      <x:c r="X26" s="15" t="n">
        <x:f>IF($A26&gt;COUNT('sheet2-计算明细'!$AT$17:$AT$219),"",MATCH($A26,'sheet2-计算明细'!$AT$17:$AT$219,0))</x:f>
        <x:v>164</x:v>
      </x:c>
    </x:row>
    <x:row r="27" ht="28" customHeight="1">
      <x:c r="A27" s="4" t="n">
        <x:v>22</x:v>
      </x:c>
      <x:c r="B27" s="15" t="str">
        <x:f>IF($X27="","",INDEX('sheet2-计算明细'!$B$17:$B$219,$X27))</x:f>
        <x:v>奶酪平价套利稳健一号</x:v>
      </x:c>
      <x:c r="C27" s="15" t="str">
        <x:f>IF($X27="","",INDEX('sheet2-计算明细'!$C$17:$C$219,$X27))</x:f>
        <x:v>SAAS17</x:v>
      </x:c>
      <x:c r="D27" s="15" t="str">
        <x:f>IF($X27="","",INDEX('sheet2-计算明细'!$D$17:$D$219,$X27))</x:f>
        <x:v>广东奶酪</x:v>
      </x:c>
      <x:c r="E27" s="15" t="str">
        <x:f>IF($X27="","",INDEX('sheet2-计算明细'!$G$17:$G$219,$X27))</x:f>
        <x:v>入池</x:v>
      </x:c>
      <x:c r="F27" s="16" t="n">
        <x:f>IF($X27="","",INDEX('sheet2-计算明细'!$I$17:$I$219,$X27))</x:f>
        <x:v>80</x:v>
      </x:c>
      <x:c r="G27" s="16" t="n">
        <x:f>IF($X27="","",INDEX('sheet2-计算明细'!$K$17:$K$219,$X27))</x:f>
        <x:v>100</x:v>
      </x:c>
      <x:c r="H27" s="16" t="n">
        <x:f>IF($X27="","",INDEX('sheet2-计算明细'!$L$17:$L$219,$X27))</x:f>
        <x:v>100</x:v>
      </x:c>
      <x:c r="I27" s="16" t="n">
        <x:f>IF($X27="","",INDEX('sheet2-计算明细'!$S$17:$S$219,$X27))</x:f>
        <x:v>43.96</x:v>
      </x:c>
      <x:c r="J27" s="16" t="n">
        <x:f>IF($X27="","",INDEX('sheet2-计算明细'!$Y$17:$Y$219,$X27))</x:f>
        <x:v>88.33</x:v>
      </x:c>
      <x:c r="K27" s="16" t="n">
        <x:f>IF($X27="","",INDEX('sheet2-计算明细'!$AC$17:$AC$219,$X27))</x:f>
        <x:v>91.09</x:v>
      </x:c>
      <x:c r="L27" s="16" t="n">
        <x:f>IF($X27="","",INDEX('sheet2-计算明细'!$AI$17:$AI$219,$X27))</x:f>
        <x:v>86.18</x:v>
      </x:c>
      <x:c r="M27" s="16" t="n">
        <x:f>IF($X27="","",INDEX('sheet2-计算明细'!$AK$17:$AK$219,$X27))</x:f>
        <x:v>100</x:v>
      </x:c>
      <x:c r="N27" s="17" t="n">
        <x:f t="shared" si="0">IF(ISNUMBER(INDEX('sheet2-计算明细'!$AL$17:$AL$219,$X27)),INDEX('sheet2-计算明细'!$AL$17:$AL$219,$X27),"")</x:f>
        <x:v>92</x:v>
      </x:c>
      <x:c r="O27" s="17" t="n">
        <x:f t="shared" si="1">IF(ISNUMBER(INDEX('sheet2-计算明细'!$AM$17:$AM$219,$X27)),INDEX('sheet2-计算明细'!$AM$17:$AM$219,$X27),"")</x:f>
        <x:v>57.27</x:v>
      </x:c>
      <x:c r="P27" s="17" t="n">
        <x:f t="shared" si="2">IF(ISNUMBER(INDEX('sheet2-计算明细'!$AN$17:$AN$219,$X27)),INDEX('sheet2-计算明细'!$AN$17:$AN$219,$X27),"")</x:f>
        <x:v>91.09</x:v>
      </x:c>
      <x:c r="Q27" s="17" t="n">
        <x:f t="shared" si="3">IF(ISNUMBER(INDEX('sheet2-计算明细'!$AO$17:$AO$219,$X27)),INDEX('sheet2-计算明细'!$AO$17:$AO$219,$X27),"")</x:f>
        <x:v>86.18</x:v>
      </x:c>
      <x:c r="R27" s="17" t="n">
        <x:f t="shared" si="4">IF(ISNUMBER(INDEX('sheet2-计算明细'!$AP$17:$AP$219,$X27)),INDEX('sheet2-计算明细'!$AP$17:$AP$219,$X27),"")</x:f>
        <x:v>100</x:v>
      </x:c>
      <x:c r="S27" s="18" t="n">
        <x:f>IF($X27="","",INDEX('sheet2-计算明细'!$AQ$17:$AQ$219,$X27))</x:f>
        <x:v>1</x:v>
      </x:c>
      <x:c r="T27" s="16" t="n">
        <x:f>IF($X27="","",INDEX('sheet2-计算明细'!$AR$17:$AR$219,$X27))</x:f>
        <x:v>83.88114</x:v>
      </x:c>
      <x:c r="U27" s="17" t="n">
        <x:f t="shared" si="5">IF(S27=0,"",ROUND(T27/S27,2))</x:f>
        <x:v>83.88</x:v>
      </x:c>
      <x:c r="V27" s="17" t="n">
        <x:f t="shared" si="6">IF(ABS(S27-1)&lt;0.00000001,T27,"")</x:f>
        <x:v>83.88114</x:v>
      </x:c>
      <x:c r="W27" s="19" t="str">
        <x:f>IF($X27="","",INDEX('sheet2-计算明细'!$AU$17:$AU$219,$X27))</x:f>
      </x:c>
      <x:c r="X27" s="15" t="n">
        <x:f>IF($A27&gt;COUNT('sheet2-计算明细'!$AT$17:$AT$219),"",MATCH($A27,'sheet2-计算明细'!$AT$17:$AT$219,0))</x:f>
        <x:v>73</x:v>
      </x:c>
    </x:row>
    <x:row r="28" ht="28" customHeight="1">
      <x:c r="A28" s="4" t="n">
        <x:v>23</x:v>
      </x:c>
      <x:c r="B28" s="15" t="str">
        <x:f>IF($X28="","",INDEX('sheet2-计算明细'!$B$17:$B$219,$X28))</x:f>
        <x:v>擎丰1号</x:v>
      </x:c>
      <x:c r="C28" s="15" t="str">
        <x:f>IF($X28="","",INDEX('sheet2-计算明细'!$C$17:$C$219,$X28))</x:f>
        <x:v>SCS637</x:v>
      </x:c>
      <x:c r="D28" s="15" t="str">
        <x:f>IF($X28="","",INDEX('sheet2-计算明细'!$D$17:$D$219,$X28))</x:f>
        <x:v>上海擎丰</x:v>
      </x:c>
      <x:c r="E28" s="15" t="str">
        <x:f>IF($X28="","",INDEX('sheet2-计算明细'!$G$17:$G$219,$X28))</x:f>
        <x:v>入池</x:v>
      </x:c>
      <x:c r="F28" s="16" t="n">
        <x:f>IF($X28="","",INDEX('sheet2-计算明细'!$I$17:$I$219,$X28))</x:f>
        <x:v>60</x:v>
      </x:c>
      <x:c r="G28" s="16" t="n">
        <x:f>IF($X28="","",INDEX('sheet2-计算明细'!$K$17:$K$219,$X28))</x:f>
        <x:v>100</x:v>
      </x:c>
      <x:c r="H28" s="16" t="n">
        <x:f>IF($X28="","",INDEX('sheet2-计算明细'!$L$17:$L$219,$X28))</x:f>
        <x:v>100</x:v>
      </x:c>
      <x:c r="I28" s="16" t="n">
        <x:f>IF($X28="","",INDEX('sheet2-计算明细'!$S$17:$S$219,$X28))</x:f>
        <x:v>51.39</x:v>
      </x:c>
      <x:c r="J28" s="16" t="n">
        <x:f>IF($X28="","",INDEX('sheet2-计算明细'!$Y$17:$Y$219,$X28))</x:f>
        <x:v>87.05</x:v>
      </x:c>
      <x:c r="K28" s="16" t="n">
        <x:f>IF($X28="","",INDEX('sheet2-计算明细'!$AC$17:$AC$219,$X28))</x:f>
        <x:v>92.57</x:v>
      </x:c>
      <x:c r="L28" s="16" t="n">
        <x:f>IF($X28="","",INDEX('sheet2-计算明细'!$AI$17:$AI$219,$X28))</x:f>
        <x:v>82.09</x:v>
      </x:c>
      <x:c r="M28" s="16" t="n">
        <x:f>IF($X28="","",INDEX('sheet2-计算明细'!$AK$17:$AK$219,$X28))</x:f>
        <x:v>100</x:v>
      </x:c>
      <x:c r="N28" s="17" t="n">
        <x:f t="shared" si="0">IF(ISNUMBER(INDEX('sheet2-计算明细'!$AL$17:$AL$219,$X28)),INDEX('sheet2-计算明细'!$AL$17:$AL$219,$X28),"")</x:f>
        <x:v>84</x:v>
      </x:c>
      <x:c r="O28" s="17" t="n">
        <x:f t="shared" si="1">IF(ISNUMBER(INDEX('sheet2-计算明细'!$AM$17:$AM$219,$X28)),INDEX('sheet2-计算明细'!$AM$17:$AM$219,$X28),"")</x:f>
        <x:v>62.09</x:v>
      </x:c>
      <x:c r="P28" s="17" t="n">
        <x:f t="shared" si="2">IF(ISNUMBER(INDEX('sheet2-计算明细'!$AN$17:$AN$219,$X28)),INDEX('sheet2-计算明细'!$AN$17:$AN$219,$X28),"")</x:f>
        <x:v>92.57</x:v>
      </x:c>
      <x:c r="Q28" s="17" t="n">
        <x:f t="shared" si="3">IF(ISNUMBER(INDEX('sheet2-计算明细'!$AO$17:$AO$219,$X28)),INDEX('sheet2-计算明细'!$AO$17:$AO$219,$X28),"")</x:f>
        <x:v>82.09</x:v>
      </x:c>
      <x:c r="R28" s="17" t="n">
        <x:f t="shared" si="4">IF(ISNUMBER(INDEX('sheet2-计算明细'!$AP$17:$AP$219,$X28)),INDEX('sheet2-计算明细'!$AP$17:$AP$219,$X28),"")</x:f>
        <x:v>100</x:v>
      </x:c>
      <x:c r="S28" s="18" t="n">
        <x:f>IF($X28="","",INDEX('sheet2-计算明细'!$AQ$17:$AQ$219,$X28))</x:f>
        <x:v>0.88</x:v>
      </x:c>
      <x:c r="T28" s="16" t="n">
        <x:f>IF($X28="","",INDEX('sheet2-计算明细'!$AR$17:$AR$219,$X28))</x:f>
        <x:v>72.93573</x:v>
      </x:c>
      <x:c r="U28" s="17" t="n">
        <x:f t="shared" si="5">IF(S28=0,"",ROUND(T28/S28,2))</x:f>
        <x:v>82.88</x:v>
      </x:c>
      <x:c r="V28" s="17" t="str">
        <x:f t="shared" si="6">IF(ABS(S28-1)&lt;0.00000001,T28,"")</x:f>
      </x:c>
      <x:c r="W28" s="19" t="str">
        <x:f>IF($X28="","",INDEX('sheet2-计算明细'!$AU$17:$AU$219,$X28))</x:f>
        <x:v>DD_long不可识别；</x:v>
      </x:c>
      <x:c r="X28" s="15" t="n">
        <x:f>IF($A28&gt;COUNT('sheet2-计算明细'!$AT$17:$AT$219),"",MATCH($A28,'sheet2-计算明细'!$AT$17:$AT$219,0))</x:f>
        <x:v>8</x:v>
      </x:c>
    </x:row>
    <x:row r="29" ht="28" customHeight="1">
      <x:c r="A29" s="4" t="n">
        <x:v>24</x:v>
      </x:c>
      <x:c r="B29" s="15" t="str">
        <x:f>IF($X29="","",INDEX('sheet2-计算明细'!$B$17:$B$219,$X29))</x:f>
        <x:v>永泉奇点17号混合投资</x:v>
      </x:c>
      <x:c r="C29" s="15" t="str">
        <x:f>IF($X29="","",INDEX('sheet2-计算明细'!$C$17:$C$219,$X29))</x:f>
        <x:v>SNG016</x:v>
      </x:c>
      <x:c r="D29" s="15" t="str">
        <x:f>IF($X29="","",INDEX('sheet2-计算明细'!$D$17:$D$219,$X29))</x:f>
        <x:v>宁波永泉</x:v>
      </x:c>
      <x:c r="E29" s="15" t="str">
        <x:f>IF($X29="","",INDEX('sheet2-计算明细'!$G$17:$G$219,$X29))</x:f>
        <x:v>入池</x:v>
      </x:c>
      <x:c r="F29" s="16" t="n">
        <x:f>IF($X29="","",INDEX('sheet2-计算明细'!$I$17:$I$219,$X29))</x:f>
        <x:v>60</x:v>
      </x:c>
      <x:c r="G29" s="16" t="n">
        <x:f>IF($X29="","",INDEX('sheet2-计算明细'!$K$17:$K$219,$X29))</x:f>
        <x:v>100</x:v>
      </x:c>
      <x:c r="H29" s="16" t="n">
        <x:f>IF($X29="","",INDEX('sheet2-计算明细'!$L$17:$L$219,$X29))</x:f>
        <x:v>100</x:v>
      </x:c>
      <x:c r="I29" s="16" t="n">
        <x:f>IF($X29="","",INDEX('sheet2-计算明细'!$S$17:$S$219,$X29))</x:f>
        <x:v>65.94</x:v>
      </x:c>
      <x:c r="J29" s="16" t="n">
        <x:f>IF($X29="","",INDEX('sheet2-计算明细'!$Y$17:$Y$219,$X29))</x:f>
        <x:v>82.44</x:v>
      </x:c>
      <x:c r="K29" s="16" t="n">
        <x:f>IF($X29="","",INDEX('sheet2-计算明细'!$AC$17:$AC$219,$X29))</x:f>
        <x:v>86.14</x:v>
      </x:c>
      <x:c r="L29" s="16" t="n">
        <x:f>IF($X29="","",INDEX('sheet2-计算明细'!$AI$17:$AI$219,$X29))</x:f>
        <x:v>88.41</x:v>
      </x:c>
      <x:c r="M29" s="16" t="n">
        <x:f>IF($X29="","",INDEX('sheet2-计算明细'!$AK$17:$AK$219,$X29))</x:f>
        <x:v>80</x:v>
      </x:c>
      <x:c r="N29" s="17" t="n">
        <x:f t="shared" si="0">IF(ISNUMBER(INDEX('sheet2-计算明细'!$AL$17:$AL$219,$X29)),INDEX('sheet2-计算明细'!$AL$17:$AL$219,$X29),"")</x:f>
        <x:v>84</x:v>
      </x:c>
      <x:c r="O29" s="17" t="n">
        <x:f t="shared" si="1">IF(ISNUMBER(INDEX('sheet2-计算明细'!$AM$17:$AM$219,$X29)),INDEX('sheet2-计算明细'!$AM$17:$AM$219,$X29),"")</x:f>
        <x:v>70.89</x:v>
      </x:c>
      <x:c r="P29" s="17" t="n">
        <x:f t="shared" si="2">IF(ISNUMBER(INDEX('sheet2-计算明细'!$AN$17:$AN$219,$X29)),INDEX('sheet2-计算明细'!$AN$17:$AN$219,$X29),"")</x:f>
        <x:v>86.14</x:v>
      </x:c>
      <x:c r="Q29" s="17" t="n">
        <x:f t="shared" si="3">IF(ISNUMBER(INDEX('sheet2-计算明细'!$AO$17:$AO$219,$X29)),INDEX('sheet2-计算明细'!$AO$17:$AO$219,$X29),"")</x:f>
        <x:v>88.41</x:v>
      </x:c>
      <x:c r="R29" s="17" t="n">
        <x:f t="shared" si="4">IF(ISNUMBER(INDEX('sheet2-计算明细'!$AP$17:$AP$219,$X29)),INDEX('sheet2-计算明细'!$AP$17:$AP$219,$X29),"")</x:f>
        <x:v>80</x:v>
      </x:c>
      <x:c r="S29" s="18" t="n">
        <x:f>IF($X29="","",INDEX('sheet2-计算明细'!$AQ$17:$AQ$219,$X29))</x:f>
        <x:v>1</x:v>
      </x:c>
      <x:c r="T29" s="16" t="n">
        <x:f>IF($X29="","",INDEX('sheet2-计算明细'!$AR$17:$AR$219,$X29))</x:f>
        <x:v>82.83698</x:v>
      </x:c>
      <x:c r="U29" s="17" t="n">
        <x:f t="shared" si="5">IF(S29=0,"",ROUND(T29/S29,2))</x:f>
        <x:v>82.84</x:v>
      </x:c>
      <x:c r="V29" s="17" t="n">
        <x:f t="shared" si="6">IF(ABS(S29-1)&lt;0.00000001,T29,"")</x:f>
        <x:v>82.83698</x:v>
      </x:c>
      <x:c r="W29" s="19" t="str">
        <x:f>IF($X29="","",INDEX('sheet2-计算明细'!$AU$17:$AU$219,$X29))</x:f>
      </x:c>
      <x:c r="X29" s="15" t="n">
        <x:f>IF($A29&gt;COUNT('sheet2-计算明细'!$AT$17:$AT$219),"",MATCH($A29,'sheet2-计算明细'!$AT$17:$AT$219,0))</x:f>
        <x:v>133</x:v>
      </x:c>
    </x:row>
    <x:row r="30" ht="28" customHeight="1">
      <x:c r="A30" s="4" t="n">
        <x:v>25</x:v>
      </x:c>
      <x:c r="B30" s="15" t="str">
        <x:f>IF($X30="","",INDEX('sheet2-计算明细'!$B$17:$B$219,$X30))</x:f>
        <x:v>鸣熙资产-招享套利1号</x:v>
      </x:c>
      <x:c r="C30" s="15" t="str">
        <x:f>IF($X30="","",INDEX('sheet2-计算明细'!$C$17:$C$219,$X30))</x:f>
        <x:v>SJZ381</x:v>
      </x:c>
      <x:c r="D30" s="15" t="str">
        <x:f>IF($X30="","",INDEX('sheet2-计算明细'!$D$17:$D$219,$X30))</x:f>
        <x:v>鸣熙资本</x:v>
      </x:c>
      <x:c r="E30" s="15" t="str">
        <x:f>IF($X30="","",INDEX('sheet2-计算明细'!$G$17:$G$219,$X30))</x:f>
        <x:v>入池</x:v>
      </x:c>
      <x:c r="F30" s="16" t="n">
        <x:f>IF($X30="","",INDEX('sheet2-计算明细'!$I$17:$I$219,$X30))</x:f>
        <x:v>100</x:v>
      </x:c>
      <x:c r="G30" s="16" t="n">
        <x:f>IF($X30="","",INDEX('sheet2-计算明细'!$K$17:$K$219,$X30))</x:f>
        <x:v>100</x:v>
      </x:c>
      <x:c r="H30" s="16" t="n">
        <x:f>IF($X30="","",INDEX('sheet2-计算明细'!$L$17:$L$219,$X30))</x:f>
        <x:v>100</x:v>
      </x:c>
      <x:c r="I30" s="16" t="n">
        <x:f>IF($X30="","",INDEX('sheet2-计算明细'!$S$17:$S$219,$X30))</x:f>
        <x:v>55.44</x:v>
      </x:c>
      <x:c r="J30" s="16" t="n">
        <x:f>IF($X30="","",INDEX('sheet2-计算明细'!$Y$17:$Y$219,$X30))</x:f>
        <x:v>69.23</x:v>
      </x:c>
      <x:c r="K30" s="16" t="n">
        <x:f>IF($X30="","",INDEX('sheet2-计算明细'!$AC$17:$AC$219,$X30))</x:f>
        <x:v>95.79</x:v>
      </x:c>
      <x:c r="L30" s="16" t="n">
        <x:f>IF($X30="","",INDEX('sheet2-计算明细'!$AI$17:$AI$219,$X30))</x:f>
        <x:v>73.63</x:v>
      </x:c>
      <x:c r="M30" s="16" t="n">
        <x:f>IF($X30="","",INDEX('sheet2-计算明细'!$AK$17:$AK$219,$X30))</x:f>
        <x:v>80</x:v>
      </x:c>
      <x:c r="N30" s="17" t="n">
        <x:f t="shared" si="0">IF(ISNUMBER(INDEX('sheet2-计算明细'!$AL$17:$AL$219,$X30)),INDEX('sheet2-计算明细'!$AL$17:$AL$219,$X30),"")</x:f>
        <x:v>100</x:v>
      </x:c>
      <x:c r="O30" s="17" t="n">
        <x:f t="shared" si="1">IF(ISNUMBER(INDEX('sheet2-计算明细'!$AM$17:$AM$219,$X30)),INDEX('sheet2-计算明细'!$AM$17:$AM$219,$X30),"")</x:f>
        <x:v>58.26</x:v>
      </x:c>
      <x:c r="P30" s="17" t="n">
        <x:f t="shared" si="2">IF(ISNUMBER(INDEX('sheet2-计算明细'!$AN$17:$AN$219,$X30)),INDEX('sheet2-计算明细'!$AN$17:$AN$219,$X30),"")</x:f>
        <x:v>95.79</x:v>
      </x:c>
      <x:c r="Q30" s="17" t="n">
        <x:f t="shared" si="3">IF(ISNUMBER(INDEX('sheet2-计算明细'!$AO$17:$AO$219,$X30)),INDEX('sheet2-计算明细'!$AO$17:$AO$219,$X30),"")</x:f>
        <x:v>73.63</x:v>
      </x:c>
      <x:c r="R30" s="17" t="n">
        <x:f t="shared" si="4">IF(ISNUMBER(INDEX('sheet2-计算明细'!$AP$17:$AP$219,$X30)),INDEX('sheet2-计算明细'!$AP$17:$AP$219,$X30),"")</x:f>
        <x:v>80</x:v>
      </x:c>
      <x:c r="S30" s="18" t="n">
        <x:f>IF($X30="","",INDEX('sheet2-计算明细'!$AQ$17:$AQ$219,$X30))</x:f>
        <x:v>0.856</x:v>
      </x:c>
      <x:c r="T30" s="16" t="n">
        <x:f>IF($X30="","",INDEX('sheet2-计算明细'!$AR$17:$AR$219,$X30))</x:f>
        <x:v>70.45534</x:v>
      </x:c>
      <x:c r="U30" s="17" t="n">
        <x:f t="shared" si="5">IF(S30=0,"",ROUND(T30/S30,2))</x:f>
        <x:v>82.31</x:v>
      </x:c>
      <x:c r="V30" s="17" t="str">
        <x:f t="shared" si="6">IF(ABS(S30-1)&lt;0.00000001,T30,"")</x:f>
      </x:c>
      <x:c r="W30" s="19" t="str">
        <x:f>IF($X30="","",INDEX('sheet2-计算明细'!$AU$17:$AU$219,$X30))</x:f>
        <x:v>胜率窗口口径不一致；DD_long不可识别；</x:v>
      </x:c>
      <x:c r="X30" s="15" t="n">
        <x:f>IF($A30&gt;COUNT('sheet2-计算明细'!$AT$17:$AT$219),"",MATCH($A30,'sheet2-计算明细'!$AT$17:$AT$219,0))</x:f>
        <x:v>126</x:v>
      </x:c>
    </x:row>
    <x:row r="31" ht="28" customHeight="1">
      <x:c r="A31" s="4" t="n">
        <x:v>26</x:v>
      </x:c>
      <x:c r="B31" s="15" t="str">
        <x:f>IF($X31="","",INDEX('sheet2-计算明细'!$B$17:$B$219,$X31))</x:f>
        <x:v>博润小牛3号</x:v>
      </x:c>
      <x:c r="C31" s="15" t="str">
        <x:f>IF($X31="","",INDEX('sheet2-计算明细'!$C$17:$C$219,$X31))</x:f>
        <x:v>STV728</x:v>
      </x:c>
      <x:c r="D31" s="15" t="str">
        <x:f>IF($X31="","",INDEX('sheet2-计算明细'!$D$17:$D$219,$X31))</x:f>
        <x:v>北京博润银泰投资</x:v>
      </x:c>
      <x:c r="E31" s="15" t="str">
        <x:f>IF($X31="","",INDEX('sheet2-计算明细'!$G$17:$G$219,$X31))</x:f>
        <x:v>入池</x:v>
      </x:c>
      <x:c r="F31" s="16" t="n">
        <x:f>IF($X31="","",INDEX('sheet2-计算明细'!$I$17:$I$219,$X31))</x:f>
        <x:v>100</x:v>
      </x:c>
      <x:c r="G31" s="16" t="n">
        <x:f>IF($X31="","",INDEX('sheet2-计算明细'!$K$17:$K$219,$X31))</x:f>
        <x:v>100</x:v>
      </x:c>
      <x:c r="H31" s="16" t="n">
        <x:f>IF($X31="","",INDEX('sheet2-计算明细'!$L$17:$L$219,$X31))</x:f>
        <x:v>100</x:v>
      </x:c>
      <x:c r="I31" s="16" t="n">
        <x:f>IF($X31="","",INDEX('sheet2-计算明细'!$S$17:$S$219,$X31))</x:f>
        <x:v>90.1</x:v>
      </x:c>
      <x:c r="J31" s="16" t="n">
        <x:f>IF($X31="","",INDEX('sheet2-计算明细'!$Y$17:$Y$219,$X31))</x:f>
        <x:v>81.15</x:v>
      </x:c>
      <x:c r="K31" s="16" t="n">
        <x:f>IF($X31="","",INDEX('sheet2-计算明细'!$AC$17:$AC$219,$X31))</x:f>
        <x:v>73.27</x:v>
      </x:c>
      <x:c r="L31" s="16" t="n">
        <x:f>IF($X31="","",INDEX('sheet2-计算明细'!$AI$17:$AI$219,$X31))</x:f>
        <x:v>78.3</x:v>
      </x:c>
      <x:c r="M31" s="16" t="n">
        <x:f>IF($X31="","",INDEX('sheet2-计算明细'!$AK$17:$AK$219,$X31))</x:f>
        <x:v>80</x:v>
      </x:c>
      <x:c r="N31" s="17" t="n">
        <x:f t="shared" si="0">IF(ISNUMBER(INDEX('sheet2-计算明细'!$AL$17:$AL$219,$X31)),INDEX('sheet2-计算明细'!$AL$17:$AL$219,$X31),"")</x:f>
        <x:v>100</x:v>
      </x:c>
      <x:c r="O31" s="17" t="n">
        <x:f t="shared" si="1">IF(ISNUMBER(INDEX('sheet2-计算明细'!$AM$17:$AM$219,$X31)),INDEX('sheet2-计算明细'!$AM$17:$AM$219,$X31),"")</x:f>
        <x:v>87.41</x:v>
      </x:c>
      <x:c r="P31" s="17" t="n">
        <x:f t="shared" si="2">IF(ISNUMBER(INDEX('sheet2-计算明细'!$AN$17:$AN$219,$X31)),INDEX('sheet2-计算明细'!$AN$17:$AN$219,$X31),"")</x:f>
        <x:v>73.27</x:v>
      </x:c>
      <x:c r="Q31" s="17" t="n">
        <x:f t="shared" si="3">IF(ISNUMBER(INDEX('sheet2-计算明细'!$AO$17:$AO$219,$X31)),INDEX('sheet2-计算明细'!$AO$17:$AO$219,$X31),"")</x:f>
        <x:v>78.3</x:v>
      </x:c>
      <x:c r="R31" s="17" t="n">
        <x:f t="shared" si="4">IF(ISNUMBER(INDEX('sheet2-计算明细'!$AP$17:$AP$219,$X31)),INDEX('sheet2-计算明细'!$AP$17:$AP$219,$X31),"")</x:f>
        <x:v>80</x:v>
      </x:c>
      <x:c r="S31" s="18" t="n">
        <x:f>IF($X31="","",INDEX('sheet2-计算明细'!$AQ$17:$AQ$219,$X31))</x:f>
        <x:v>1</x:v>
      </x:c>
      <x:c r="T31" s="16" t="n">
        <x:f>IF($X31="","",INDEX('sheet2-计算明细'!$AR$17:$AR$219,$X31))</x:f>
        <x:v>82.29084</x:v>
      </x:c>
      <x:c r="U31" s="17" t="n">
        <x:f t="shared" si="5">IF(S31=0,"",ROUND(T31/S31,2))</x:f>
        <x:v>82.29</x:v>
      </x:c>
      <x:c r="V31" s="17" t="n">
        <x:f t="shared" si="6">IF(ABS(S31-1)&lt;0.00000001,T31,"")</x:f>
        <x:v>82.29084</x:v>
      </x:c>
      <x:c r="W31" s="19" t="str">
        <x:f>IF($X31="","",INDEX('sheet2-计算明细'!$AU$17:$AU$219,$X31))</x:f>
      </x:c>
      <x:c r="X31" s="15" t="n">
        <x:f>IF($A31&gt;COUNT('sheet2-计算明细'!$AT$17:$AT$219),"",MATCH($A31,'sheet2-计算明细'!$AT$17:$AT$219,0))</x:f>
        <x:v>43</x:v>
      </x:c>
    </x:row>
    <x:row r="32" ht="28" customHeight="1">
      <x:c r="A32" s="4" t="n">
        <x:v>27</x:v>
      </x:c>
      <x:c r="B32" s="15" t="str">
        <x:f>IF($X32="","",INDEX('sheet2-计算明细'!$B$17:$B$219,$X32))</x:f>
        <x:v>永泉奇点1号混合投资</x:v>
      </x:c>
      <x:c r="C32" s="15" t="str">
        <x:f>IF($X32="","",INDEX('sheet2-计算明细'!$C$17:$C$219,$X32))</x:f>
        <x:v>SGM299</x:v>
      </x:c>
      <x:c r="D32" s="15" t="str">
        <x:f>IF($X32="","",INDEX('sheet2-计算明细'!$D$17:$D$219,$X32))</x:f>
        <x:v>宁波永泉</x:v>
      </x:c>
      <x:c r="E32" s="15" t="str">
        <x:f>IF($X32="","",INDEX('sheet2-计算明细'!$G$17:$G$219,$X32))</x:f>
        <x:v>入池</x:v>
      </x:c>
      <x:c r="F32" s="16" t="n">
        <x:f>IF($X32="","",INDEX('sheet2-计算明细'!$I$17:$I$219,$X32))</x:f>
        <x:v>60</x:v>
      </x:c>
      <x:c r="G32" s="16" t="n">
        <x:f>IF($X32="","",INDEX('sheet2-计算明细'!$K$17:$K$219,$X32))</x:f>
        <x:v>100</x:v>
      </x:c>
      <x:c r="H32" s="16" t="n">
        <x:f>IF($X32="","",INDEX('sheet2-计算明细'!$L$17:$L$219,$X32))</x:f>
        <x:v>100</x:v>
      </x:c>
      <x:c r="I32" s="16" t="n">
        <x:f>IF($X32="","",INDEX('sheet2-计算明细'!$S$17:$S$219,$X32))</x:f>
        <x:v>62.18</x:v>
      </x:c>
      <x:c r="J32" s="16" t="n">
        <x:f>IF($X32="","",INDEX('sheet2-计算明细'!$Y$17:$Y$219,$X32))</x:f>
        <x:v>88.72</x:v>
      </x:c>
      <x:c r="K32" s="16" t="n">
        <x:f>IF($X32="","",INDEX('sheet2-计算明细'!$AC$17:$AC$219,$X32))</x:f>
        <x:v>79.7</x:v>
      </x:c>
      <x:c r="L32" s="16" t="n">
        <x:f>IF($X32="","",INDEX('sheet2-计算明细'!$AI$17:$AI$219,$X32))</x:f>
        <x:v>90.24</x:v>
      </x:c>
      <x:c r="M32" s="16" t="n">
        <x:f>IF($X32="","",INDEX('sheet2-计算明细'!$AK$17:$AK$219,$X32))</x:f>
        <x:v>80</x:v>
      </x:c>
      <x:c r="N32" s="17" t="n">
        <x:f t="shared" si="0">IF(ISNUMBER(INDEX('sheet2-计算明细'!$AL$17:$AL$219,$X32)),INDEX('sheet2-计算明细'!$AL$17:$AL$219,$X32),"")</x:f>
        <x:v>84</x:v>
      </x:c>
      <x:c r="O32" s="17" t="n">
        <x:f t="shared" si="1">IF(ISNUMBER(INDEX('sheet2-计算明细'!$AM$17:$AM$219,$X32)),INDEX('sheet2-计算明细'!$AM$17:$AM$219,$X32),"")</x:f>
        <x:v>70.14</x:v>
      </x:c>
      <x:c r="P32" s="17" t="n">
        <x:f t="shared" si="2">IF(ISNUMBER(INDEX('sheet2-计算明细'!$AN$17:$AN$219,$X32)),INDEX('sheet2-计算明细'!$AN$17:$AN$219,$X32),"")</x:f>
        <x:v>79.7</x:v>
      </x:c>
      <x:c r="Q32" s="17" t="n">
        <x:f t="shared" si="3">IF(ISNUMBER(INDEX('sheet2-计算明细'!$AO$17:$AO$219,$X32)),INDEX('sheet2-计算明细'!$AO$17:$AO$219,$X32),"")</x:f>
        <x:v>90.24</x:v>
      </x:c>
      <x:c r="R32" s="17" t="n">
        <x:f t="shared" si="4">IF(ISNUMBER(INDEX('sheet2-计算明细'!$AP$17:$AP$219,$X32)),INDEX('sheet2-计算明细'!$AP$17:$AP$219,$X32),"")</x:f>
        <x:v>80</x:v>
      </x:c>
      <x:c r="S32" s="18" t="n">
        <x:f>IF($X32="","",INDEX('sheet2-计算明细'!$AQ$17:$AQ$219,$X32))</x:f>
        <x:v>1</x:v>
      </x:c>
      <x:c r="T32" s="16" t="n">
        <x:f>IF($X32="","",INDEX('sheet2-计算明细'!$AR$17:$AR$219,$X32))</x:f>
        <x:v>81.62694</x:v>
      </x:c>
      <x:c r="U32" s="17" t="n">
        <x:f t="shared" si="5">IF(S32=0,"",ROUND(T32/S32,2))</x:f>
        <x:v>81.63</x:v>
      </x:c>
      <x:c r="V32" s="17" t="n">
        <x:f t="shared" si="6">IF(ABS(S32-1)&lt;0.00000001,T32,"")</x:f>
        <x:v>81.62694</x:v>
      </x:c>
      <x:c r="W32" s="19" t="str">
        <x:f>IF($X32="","",INDEX('sheet2-计算明细'!$AU$17:$AU$219,$X32))</x:f>
      </x:c>
      <x:c r="X32" s="15" t="n">
        <x:f>IF($A32&gt;COUNT('sheet2-计算明细'!$AT$17:$AT$219),"",MATCH($A32,'sheet2-计算明细'!$AT$17:$AT$219,0))</x:f>
        <x:v>120</x:v>
      </x:c>
    </x:row>
    <x:row r="33" ht="28" customHeight="1">
      <x:c r="A33" s="4" t="n">
        <x:v>28</x:v>
      </x:c>
      <x:c r="B33" s="15" t="str">
        <x:f>IF($X33="","",INDEX('sheet2-计算明细'!$B$17:$B$219,$X33))</x:f>
        <x:v>殊馥兴义7号</x:v>
      </x:c>
      <x:c r="C33" s="15" t="str">
        <x:f>IF($X33="","",INDEX('sheet2-计算明细'!$C$17:$C$219,$X33))</x:f>
        <x:v>SXT610</x:v>
      </x:c>
      <x:c r="D33" s="15" t="str">
        <x:f>IF($X33="","",INDEX('sheet2-计算明细'!$D$17:$D$219,$X33))</x:f>
        <x:v>上海殊馥投资</x:v>
      </x:c>
      <x:c r="E33" s="15" t="str">
        <x:f>IF($X33="","",INDEX('sheet2-计算明细'!$G$17:$G$219,$X33))</x:f>
        <x:v>入池</x:v>
      </x:c>
      <x:c r="F33" s="16" t="n">
        <x:f>IF($X33="","",INDEX('sheet2-计算明细'!$I$17:$I$219,$X33))</x:f>
        <x:v>80</x:v>
      </x:c>
      <x:c r="G33" s="16" t="n">
        <x:f>IF($X33="","",INDEX('sheet2-计算明细'!$K$17:$K$219,$X33))</x:f>
        <x:v>100</x:v>
      </x:c>
      <x:c r="H33" s="16" t="n">
        <x:f>IF($X33="","",INDEX('sheet2-计算明细'!$L$17:$L$219,$X33))</x:f>
        <x:v>100</x:v>
      </x:c>
      <x:c r="I33" s="16" t="n">
        <x:f>IF($X33="","",INDEX('sheet2-计算明细'!$S$17:$S$219,$X33))</x:f>
        <x:v>64.26</x:v>
      </x:c>
      <x:c r="J33" s="16" t="n">
        <x:f>IF($X33="","",INDEX('sheet2-计算明细'!$Y$17:$Y$219,$X33))</x:f>
        <x:v>84.1</x:v>
      </x:c>
      <x:c r="K33" s="16" t="n">
        <x:f>IF($X33="","",INDEX('sheet2-计算明细'!$AC$17:$AC$219,$X33))</x:f>
        <x:v>90.1</x:v>
      </x:c>
      <x:c r="L33" s="16" t="n">
        <x:f>IF($X33="","",INDEX('sheet2-计算明细'!$AI$17:$AI$219,$X33))</x:f>
        <x:v>74.63</x:v>
      </x:c>
      <x:c r="M33" s="16" t="n">
        <x:f>IF($X33="","",INDEX('sheet2-计算明细'!$AK$17:$AK$219,$X33))</x:f>
        <x:v>80</x:v>
      </x:c>
      <x:c r="N33" s="17" t="n">
        <x:f t="shared" si="0">IF(ISNUMBER(INDEX('sheet2-计算明细'!$AL$17:$AL$219,$X33)),INDEX('sheet2-计算明细'!$AL$17:$AL$219,$X33),"")</x:f>
        <x:v>92</x:v>
      </x:c>
      <x:c r="O33" s="17" t="n">
        <x:f t="shared" si="1">IF(ISNUMBER(INDEX('sheet2-计算明细'!$AM$17:$AM$219,$X33)),INDEX('sheet2-计算明细'!$AM$17:$AM$219,$X33),"")</x:f>
        <x:v>70.21</x:v>
      </x:c>
      <x:c r="P33" s="17" t="n">
        <x:f t="shared" si="2">IF(ISNUMBER(INDEX('sheet2-计算明细'!$AN$17:$AN$219,$X33)),INDEX('sheet2-计算明细'!$AN$17:$AN$219,$X33),"")</x:f>
        <x:v>90.1</x:v>
      </x:c>
      <x:c r="Q33" s="17" t="n">
        <x:f t="shared" si="3">IF(ISNUMBER(INDEX('sheet2-计算明细'!$AO$17:$AO$219,$X33)),INDEX('sheet2-计算明细'!$AO$17:$AO$219,$X33),"")</x:f>
        <x:v>74.63</x:v>
      </x:c>
      <x:c r="R33" s="17" t="n">
        <x:f t="shared" si="4">IF(ISNUMBER(INDEX('sheet2-计算明细'!$AP$17:$AP$219,$X33)),INDEX('sheet2-计算明细'!$AP$17:$AP$219,$X33),"")</x:f>
        <x:v>80</x:v>
      </x:c>
      <x:c r="S33" s="18" t="n">
        <x:f>IF($X33="","",INDEX('sheet2-计算明细'!$AQ$17:$AQ$219,$X33))</x:f>
        <x:v>0.88</x:v>
      </x:c>
      <x:c r="T33" s="16" t="n">
        <x:f>IF($X33="","",INDEX('sheet2-计算明细'!$AR$17:$AR$219,$X33))</x:f>
        <x:v>71.80063999999999</x:v>
      </x:c>
      <x:c r="U33" s="17" t="n">
        <x:f t="shared" si="5">IF(S33=0,"",ROUND(T33/S33,2))</x:f>
        <x:v>81.59</x:v>
      </x:c>
      <x:c r="V33" s="17" t="str">
        <x:f t="shared" si="6">IF(ABS(S33-1)&lt;0.00000001,T33,"")</x:f>
      </x:c>
      <x:c r="W33" s="19" t="str">
        <x:f>IF($X33="","",INDEX('sheet2-计算明细'!$AU$17:$AU$219,$X33))</x:f>
        <x:v>DD_long不可识别；</x:v>
      </x:c>
      <x:c r="X33" s="15" t="n">
        <x:f>IF($A33&gt;COUNT('sheet2-计算明细'!$AT$17:$AT$219),"",MATCH($A33,'sheet2-计算明细'!$AT$17:$AT$219,0))</x:f>
        <x:v>166</x:v>
      </x:c>
    </x:row>
    <x:row r="34" ht="28" customHeight="1">
      <x:c r="A34" s="4" t="n">
        <x:v>29</x:v>
      </x:c>
      <x:c r="B34" s="15" t="str">
        <x:f>IF($X34="","",INDEX('sheet2-计算明细'!$B$17:$B$219,$X34))</x:f>
        <x:v>久游投资4号</x:v>
      </x:c>
      <x:c r="C34" s="15" t="str">
        <x:f>IF($X34="","",INDEX('sheet2-计算明细'!$C$17:$C$219,$X34))</x:f>
        <x:v>STB214</x:v>
      </x:c>
      <x:c r="D34" s="15" t="str">
        <x:f>IF($X34="","",INDEX('sheet2-计算明细'!$D$17:$D$219,$X34))</x:f>
        <x:v>深圳久游</x:v>
      </x:c>
      <x:c r="E34" s="15" t="str">
        <x:f>IF($X34="","",INDEX('sheet2-计算明细'!$G$17:$G$219,$X34))</x:f>
        <x:v>入池</x:v>
      </x:c>
      <x:c r="F34" s="16" t="n">
        <x:f>IF($X34="","",INDEX('sheet2-计算明细'!$I$17:$I$219,$X34))</x:f>
        <x:v>60</x:v>
      </x:c>
      <x:c r="G34" s="16" t="n">
        <x:f>IF($X34="","",INDEX('sheet2-计算明细'!$K$17:$K$219,$X34))</x:f>
        <x:v>100</x:v>
      </x:c>
      <x:c r="H34" s="16" t="n">
        <x:f>IF($X34="","",INDEX('sheet2-计算明细'!$L$17:$L$219,$X34))</x:f>
        <x:v>100</x:v>
      </x:c>
      <x:c r="I34" s="16" t="n">
        <x:f>IF($X34="","",INDEX('sheet2-计算明细'!$S$17:$S$219,$X34))</x:f>
        <x:v>64.75</x:v>
      </x:c>
      <x:c r="J34" s="16" t="n">
        <x:f>IF($X34="","",INDEX('sheet2-计算明细'!$Y$17:$Y$219,$X34))</x:f>
        <x:v>98.34</x:v>
      </x:c>
      <x:c r="K34" s="16" t="n">
        <x:f>IF($X34="","",INDEX('sheet2-计算明细'!$AC$17:$AC$219,$X34))</x:f>
        <x:v>77.23</x:v>
      </x:c>
      <x:c r="L34" s="16" t="n">
        <x:f>IF($X34="","",INDEX('sheet2-计算明细'!$AI$17:$AI$219,$X34))</x:f>
        <x:v>86.4</x:v>
      </x:c>
      <x:c r="M34" s="16" t="n">
        <x:f>IF($X34="","",INDEX('sheet2-计算明细'!$AK$17:$AK$219,$X34))</x:f>
        <x:v>80</x:v>
      </x:c>
      <x:c r="N34" s="17" t="n">
        <x:f t="shared" si="0">IF(ISNUMBER(INDEX('sheet2-计算明细'!$AL$17:$AL$219,$X34)),INDEX('sheet2-计算明细'!$AL$17:$AL$219,$X34),"")</x:f>
        <x:v>84</x:v>
      </x:c>
      <x:c r="O34" s="17" t="n">
        <x:f t="shared" si="1">IF(ISNUMBER(INDEX('sheet2-计算明细'!$AM$17:$AM$219,$X34)),INDEX('sheet2-计算明细'!$AM$17:$AM$219,$X34),"")</x:f>
        <x:v>74.83</x:v>
      </x:c>
      <x:c r="P34" s="17" t="n">
        <x:f t="shared" si="2">IF(ISNUMBER(INDEX('sheet2-计算明细'!$AN$17:$AN$219,$X34)),INDEX('sheet2-计算明细'!$AN$17:$AN$219,$X34),"")</x:f>
        <x:v>77.23</x:v>
      </x:c>
      <x:c r="Q34" s="17" t="n">
        <x:f t="shared" si="3">IF(ISNUMBER(INDEX('sheet2-计算明细'!$AO$17:$AO$219,$X34)),INDEX('sheet2-计算明细'!$AO$17:$AO$219,$X34),"")</x:f>
        <x:v>86.4</x:v>
      </x:c>
      <x:c r="R34" s="17" t="n">
        <x:f t="shared" si="4">IF(ISNUMBER(INDEX('sheet2-计算明细'!$AP$17:$AP$219,$X34)),INDEX('sheet2-计算明细'!$AP$17:$AP$219,$X34),"")</x:f>
        <x:v>80</x:v>
      </x:c>
      <x:c r="S34" s="18" t="n">
        <x:f>IF($X34="","",INDEX('sheet2-计算明细'!$AQ$17:$AQ$219,$X34))</x:f>
        <x:v>1</x:v>
      </x:c>
      <x:c r="T34" s="16" t="n">
        <x:f>IF($X34="","",INDEX('sheet2-计算明细'!$AR$17:$AR$219,$X34))</x:f>
        <x:v>80.79196</x:v>
      </x:c>
      <x:c r="U34" s="17" t="n">
        <x:f t="shared" si="5">IF(S34=0,"",ROUND(T34/S34,2))</x:f>
        <x:v>80.79</x:v>
      </x:c>
      <x:c r="V34" s="17" t="n">
        <x:f t="shared" si="6">IF(ABS(S34-1)&lt;0.00000001,T34,"")</x:f>
        <x:v>80.79196</x:v>
      </x:c>
      <x:c r="W34" s="19" t="str">
        <x:f>IF($X34="","",INDEX('sheet2-计算明细'!$AU$17:$AU$219,$X34))</x:f>
      </x:c>
      <x:c r="X34" s="15" t="n">
        <x:f>IF($A34&gt;COUNT('sheet2-计算明细'!$AT$17:$AT$219),"",MATCH($A34,'sheet2-计算明细'!$AT$17:$AT$219,0))</x:f>
        <x:v>141</x:v>
      </x:c>
    </x:row>
    <x:row r="35" ht="28" customHeight="1">
      <x:c r="A35" s="4" t="n">
        <x:v>30</x:v>
      </x:c>
      <x:c r="B35" s="15" t="str">
        <x:f>IF($X35="","",INDEX('sheet2-计算明细'!$B$17:$B$219,$X35))</x:f>
        <x:v>致同稳健成长1期</x:v>
      </x:c>
      <x:c r="C35" s="15" t="str">
        <x:f>IF($X35="","",INDEX('sheet2-计算明细'!$C$17:$C$219,$X35))</x:f>
        <x:v>SEP459</x:v>
      </x:c>
      <x:c r="D35" s="15" t="str">
        <x:f>IF($X35="","",INDEX('sheet2-计算明细'!$D$17:$D$219,$X35))</x:f>
        <x:v>上海致同投资</x:v>
      </x:c>
      <x:c r="E35" s="15" t="str">
        <x:f>IF($X35="","",INDEX('sheet2-计算明细'!$G$17:$G$219,$X35))</x:f>
        <x:v>入池</x:v>
      </x:c>
      <x:c r="F35" s="16" t="n">
        <x:f>IF($X35="","",INDEX('sheet2-计算明细'!$I$17:$I$219,$X35))</x:f>
        <x:v>90</x:v>
      </x:c>
      <x:c r="G35" s="16" t="n">
        <x:f>IF($X35="","",INDEX('sheet2-计算明细'!$K$17:$K$219,$X35))</x:f>
        <x:v>100</x:v>
      </x:c>
      <x:c r="H35" s="16" t="n">
        <x:f>IF($X35="","",INDEX('sheet2-计算明细'!$L$17:$L$219,$X35))</x:f>
        <x:v>100</x:v>
      </x:c>
      <x:c r="I35" s="16" t="n">
        <x:f>IF($X35="","",INDEX('sheet2-计算明细'!$S$17:$S$219,$X35))</x:f>
        <x:v>51.09</x:v>
      </x:c>
      <x:c r="J35" s="16" t="n">
        <x:f>IF($X35="","",INDEX('sheet2-计算明细'!$Y$17:$Y$219,$X35))</x:f>
        <x:v>90.39</x:v>
      </x:c>
      <x:c r="K35" s="16" t="n">
        <x:f>IF($X35="","",INDEX('sheet2-计算明细'!$AC$17:$AC$219,$X35))</x:f>
        <x:v>91.58</x:v>
      </x:c>
      <x:c r="L35" s="16" t="n">
        <x:f>IF($X35="","",INDEX('sheet2-计算明细'!$AI$17:$AI$219,$X35))</x:f>
        <x:v>71.64</x:v>
      </x:c>
      <x:c r="M35" s="16" t="n">
        <x:f>IF($X35="","",INDEX('sheet2-计算明细'!$AK$17:$AK$219,$X35))</x:f>
        <x:v>80</x:v>
      </x:c>
      <x:c r="N35" s="17" t="n">
        <x:f t="shared" si="0">IF(ISNUMBER(INDEX('sheet2-计算明细'!$AL$17:$AL$219,$X35)),INDEX('sheet2-计算明细'!$AL$17:$AL$219,$X35),"")</x:f>
        <x:v>96</x:v>
      </x:c>
      <x:c r="O35" s="17" t="n">
        <x:f t="shared" si="1">IF(ISNUMBER(INDEX('sheet2-计算明细'!$AM$17:$AM$219,$X35)),INDEX('sheet2-计算明细'!$AM$17:$AM$219,$X35),"")</x:f>
        <x:v>62.88</x:v>
      </x:c>
      <x:c r="P35" s="17" t="n">
        <x:f t="shared" si="2">IF(ISNUMBER(INDEX('sheet2-计算明细'!$AN$17:$AN$219,$X35)),INDEX('sheet2-计算明细'!$AN$17:$AN$219,$X35),"")</x:f>
        <x:v>91.58</x:v>
      </x:c>
      <x:c r="Q35" s="17" t="n">
        <x:f t="shared" si="3">IF(ISNUMBER(INDEX('sheet2-计算明细'!$AO$17:$AO$219,$X35)),INDEX('sheet2-计算明细'!$AO$17:$AO$219,$X35),"")</x:f>
        <x:v>71.64</x:v>
      </x:c>
      <x:c r="R35" s="17" t="n">
        <x:f t="shared" si="4">IF(ISNUMBER(INDEX('sheet2-计算明细'!$AP$17:$AP$219,$X35)),INDEX('sheet2-计算明细'!$AP$17:$AP$219,$X35),"")</x:f>
        <x:v>80</x:v>
      </x:c>
      <x:c r="S35" s="18" t="n">
        <x:f>IF($X35="","",INDEX('sheet2-计算明细'!$AQ$17:$AQ$219,$X35))</x:f>
        <x:v>0.88</x:v>
      </x:c>
      <x:c r="T35" s="16" t="n">
        <x:f>IF($X35="","",INDEX('sheet2-计算明细'!$AR$17:$AR$219,$X35))</x:f>
        <x:v>70.7654</x:v>
      </x:c>
      <x:c r="U35" s="17" t="n">
        <x:f t="shared" si="5">IF(S35=0,"",ROUND(T35/S35,2))</x:f>
        <x:v>80.42</x:v>
      </x:c>
      <x:c r="V35" s="17" t="str">
        <x:f t="shared" si="6">IF(ABS(S35-1)&lt;0.00000001,T35,"")</x:f>
      </x:c>
      <x:c r="W35" s="19" t="str">
        <x:f>IF($X35="","",INDEX('sheet2-计算明细'!$AU$17:$AU$219,$X35))</x:f>
        <x:v>DD_long不可识别；</x:v>
      </x:c>
      <x:c r="X35" s="15" t="n">
        <x:f>IF($A35&gt;COUNT('sheet2-计算明细'!$AT$17:$AT$219),"",MATCH($A35,'sheet2-计算明细'!$AT$17:$AT$219,0))</x:f>
        <x:v>115</x:v>
      </x:c>
    </x:row>
    <x:row r="36" ht="28" customHeight="1">
      <x:c r="A36" s="4" t="n">
        <x:v>31</x:v>
      </x:c>
      <x:c r="B36" s="15" t="str">
        <x:f>IF($X36="","",INDEX('sheet2-计算明细'!$B$17:$B$219,$X36))</x:f>
        <x:v>鋆晟狮王套利</x:v>
      </x:c>
      <x:c r="C36" s="15" t="str">
        <x:f>IF($X36="","",INDEX('sheet2-计算明细'!$C$17:$C$219,$X36))</x:f>
        <x:v>SGS754</x:v>
      </x:c>
      <x:c r="D36" s="15" t="str">
        <x:f>IF($X36="","",INDEX('sheet2-计算明细'!$D$17:$D$219,$X36))</x:f>
        <x:v>上海鋆晟投资</x:v>
      </x:c>
      <x:c r="E36" s="15" t="str">
        <x:f>IF($X36="","",INDEX('sheet2-计算明细'!$G$17:$G$219,$X36))</x:f>
        <x:v>入池</x:v>
      </x:c>
      <x:c r="F36" s="16" t="n">
        <x:f>IF($X36="","",INDEX('sheet2-计算明细'!$I$17:$I$219,$X36))</x:f>
        <x:v>70</x:v>
      </x:c>
      <x:c r="G36" s="16" t="n">
        <x:f>IF($X36="","",INDEX('sheet2-计算明细'!$K$17:$K$219,$X36))</x:f>
        <x:v>100</x:v>
      </x:c>
      <x:c r="H36" s="16" t="n">
        <x:f>IF($X36="","",INDEX('sheet2-计算明细'!$L$17:$L$219,$X36))</x:f>
        <x:v>100</x:v>
      </x:c>
      <x:c r="I36" s="16" t="n">
        <x:f>IF($X36="","",INDEX('sheet2-计算明细'!$S$17:$S$219,$X36))</x:f>
        <x:v>63.37</x:v>
      </x:c>
      <x:c r="J36" s="16" t="n">
        <x:f>IF($X36="","",INDEX('sheet2-计算明细'!$Y$17:$Y$219,$X36))</x:f>
        <x:v>80.77</x:v>
      </x:c>
      <x:c r="K36" s="16" t="n">
        <x:f>IF($X36="","",INDEX('sheet2-计算明细'!$AC$17:$AC$219,$X36))</x:f>
        <x:v>78.71</x:v>
      </x:c>
      <x:c r="L36" s="16" t="n">
        <x:f>IF($X36="","",INDEX('sheet2-计算明细'!$AI$17:$AI$219,$X36))</x:f>
        <x:v>79.33</x:v>
      </x:c>
      <x:c r="M36" s="16" t="n">
        <x:f>IF($X36="","",INDEX('sheet2-计算明细'!$AK$17:$AK$219,$X36))</x:f>
        <x:v>100</x:v>
      </x:c>
      <x:c r="N36" s="17" t="n">
        <x:f t="shared" si="0">IF(ISNUMBER(INDEX('sheet2-计算明细'!$AL$17:$AL$219,$X36)),INDEX('sheet2-计算明细'!$AL$17:$AL$219,$X36),"")</x:f>
        <x:v>88</x:v>
      </x:c>
      <x:c r="O36" s="17" t="n">
        <x:f t="shared" si="1">IF(ISNUMBER(INDEX('sheet2-计算明细'!$AM$17:$AM$219,$X36)),INDEX('sheet2-计算明细'!$AM$17:$AM$219,$X36),"")</x:f>
        <x:v>68.59</x:v>
      </x:c>
      <x:c r="P36" s="17" t="n">
        <x:f t="shared" si="2">IF(ISNUMBER(INDEX('sheet2-计算明细'!$AN$17:$AN$219,$X36)),INDEX('sheet2-计算明细'!$AN$17:$AN$219,$X36),"")</x:f>
        <x:v>78.71</x:v>
      </x:c>
      <x:c r="Q36" s="17" t="n">
        <x:f t="shared" si="3">IF(ISNUMBER(INDEX('sheet2-计算明细'!$AO$17:$AO$219,$X36)),INDEX('sheet2-计算明细'!$AO$17:$AO$219,$X36),"")</x:f>
        <x:v>79.33</x:v>
      </x:c>
      <x:c r="R36" s="17" t="n">
        <x:f t="shared" si="4">IF(ISNUMBER(INDEX('sheet2-计算明细'!$AP$17:$AP$219,$X36)),INDEX('sheet2-计算明细'!$AP$17:$AP$219,$X36),"")</x:f>
        <x:v>100</x:v>
      </x:c>
      <x:c r="S36" s="18" t="n">
        <x:f>IF($X36="","",INDEX('sheet2-计算明细'!$AQ$17:$AQ$219,$X36))</x:f>
        <x:v>1</x:v>
      </x:c>
      <x:c r="T36" s="16" t="n">
        <x:f>IF($X36="","",INDEX('sheet2-计算明细'!$AR$17:$AR$219,$X36))</x:f>
        <x:v>80.39526000000001</x:v>
      </x:c>
      <x:c r="U36" s="17" t="n">
        <x:f t="shared" si="5">IF(S36=0,"",ROUND(T36/S36,2))</x:f>
        <x:v>80.4</x:v>
      </x:c>
      <x:c r="V36" s="17" t="n">
        <x:f t="shared" si="6">IF(ABS(S36-1)&lt;0.00000001,T36,"")</x:f>
        <x:v>80.39526000000001</x:v>
      </x:c>
      <x:c r="W36" s="19" t="str">
        <x:f>IF($X36="","",INDEX('sheet2-计算明细'!$AU$17:$AU$219,$X36))</x:f>
      </x:c>
      <x:c r="X36" s="15" t="n">
        <x:f>IF($A36&gt;COUNT('sheet2-计算明细'!$AT$17:$AT$219),"",MATCH($A36,'sheet2-计算明细'!$AT$17:$AT$219,0))</x:f>
        <x:v>77</x:v>
      </x:c>
    </x:row>
    <x:row r="37" ht="28" customHeight="1">
      <x:c r="A37" s="4" t="n">
        <x:v>32</x:v>
      </x:c>
      <x:c r="B37" s="15" t="str">
        <x:f>IF($X37="","",INDEX('sheet2-计算明细'!$B$17:$B$219,$X37))</x:f>
        <x:v>永泉奇点2号混合投资</x:v>
      </x:c>
      <x:c r="C37" s="15" t="str">
        <x:f>IF($X37="","",INDEX('sheet2-计算明细'!$C$17:$C$219,$X37))</x:f>
        <x:v>SJB356</x:v>
      </x:c>
      <x:c r="D37" s="15" t="str">
        <x:f>IF($X37="","",INDEX('sheet2-计算明细'!$D$17:$D$219,$X37))</x:f>
        <x:v>宁波永泉</x:v>
      </x:c>
      <x:c r="E37" s="15" t="str">
        <x:f>IF($X37="","",INDEX('sheet2-计算明细'!$G$17:$G$219,$X37))</x:f>
        <x:v>入池</x:v>
      </x:c>
      <x:c r="F37" s="16" t="n">
        <x:f>IF($X37="","",INDEX('sheet2-计算明细'!$I$17:$I$219,$X37))</x:f>
        <x:v>60</x:v>
      </x:c>
      <x:c r="G37" s="16" t="n">
        <x:f>IF($X37="","",INDEX('sheet2-计算明细'!$K$17:$K$219,$X37))</x:f>
        <x:v>100</x:v>
      </x:c>
      <x:c r="H37" s="16" t="n">
        <x:f>IF($X37="","",INDEX('sheet2-计算明细'!$L$17:$L$219,$X37))</x:f>
        <x:v>100</x:v>
      </x:c>
      <x:c r="I37" s="16" t="n">
        <x:f>IF($X37="","",INDEX('sheet2-计算明细'!$S$17:$S$219,$X37))</x:f>
        <x:v>66.63</x:v>
      </x:c>
      <x:c r="J37" s="16" t="n">
        <x:f>IF($X37="","",INDEX('sheet2-计算明细'!$Y$17:$Y$219,$X37))</x:f>
        <x:v>91.67</x:v>
      </x:c>
      <x:c r="K37" s="16" t="n">
        <x:f>IF($X37="","",INDEX('sheet2-计算明细'!$AC$17:$AC$219,$X37))</x:f>
        <x:v>72.28</x:v>
      </x:c>
      <x:c r="L37" s="16" t="n">
        <x:f>IF($X37="","",INDEX('sheet2-计算明细'!$AI$17:$AI$219,$X37))</x:f>
        <x:v>88.16</x:v>
      </x:c>
      <x:c r="M37" s="16" t="n">
        <x:f>IF($X37="","",INDEX('sheet2-计算明细'!$AK$17:$AK$219,$X37))</x:f>
        <x:v>80</x:v>
      </x:c>
      <x:c r="N37" s="17" t="n">
        <x:f t="shared" si="0">IF(ISNUMBER(INDEX('sheet2-计算明细'!$AL$17:$AL$219,$X37)),INDEX('sheet2-计算明细'!$AL$17:$AL$219,$X37),"")</x:f>
        <x:v>84</x:v>
      </x:c>
      <x:c r="O37" s="17" t="n">
        <x:f t="shared" si="1">IF(ISNUMBER(INDEX('sheet2-计算明细'!$AM$17:$AM$219,$X37)),INDEX('sheet2-计算明细'!$AM$17:$AM$219,$X37),"")</x:f>
        <x:v>74.14</x:v>
      </x:c>
      <x:c r="P37" s="17" t="n">
        <x:f t="shared" si="2">IF(ISNUMBER(INDEX('sheet2-计算明细'!$AN$17:$AN$219,$X37)),INDEX('sheet2-计算明细'!$AN$17:$AN$219,$X37),"")</x:f>
        <x:v>72.28</x:v>
      </x:c>
      <x:c r="Q37" s="17" t="n">
        <x:f t="shared" si="3">IF(ISNUMBER(INDEX('sheet2-计算明细'!$AO$17:$AO$219,$X37)),INDEX('sheet2-计算明细'!$AO$17:$AO$219,$X37),"")</x:f>
        <x:v>88.16</x:v>
      </x:c>
      <x:c r="R37" s="17" t="n">
        <x:f t="shared" si="4">IF(ISNUMBER(INDEX('sheet2-计算明细'!$AP$17:$AP$219,$X37)),INDEX('sheet2-计算明细'!$AP$17:$AP$219,$X37),"")</x:f>
        <x:v>80</x:v>
      </x:c>
      <x:c r="S37" s="18" t="n">
        <x:f>IF($X37="","",INDEX('sheet2-计算明细'!$AQ$17:$AQ$219,$X37))</x:f>
        <x:v>1</x:v>
      </x:c>
      <x:c r="T37" s="16" t="n">
        <x:f>IF($X37="","",INDEX('sheet2-计算明细'!$AR$17:$AR$219,$X37))</x:f>
        <x:v>79.94809000000001</x:v>
      </x:c>
      <x:c r="U37" s="17" t="n">
        <x:f t="shared" si="5">IF(S37=0,"",ROUND(T37/S37,2))</x:f>
        <x:v>79.95</x:v>
      </x:c>
      <x:c r="V37" s="17" t="n">
        <x:f t="shared" si="6">IF(ABS(S37-1)&lt;0.00000001,T37,"")</x:f>
        <x:v>79.94809000000001</x:v>
      </x:c>
      <x:c r="W37" s="19" t="str">
        <x:f>IF($X37="","",INDEX('sheet2-计算明细'!$AU$17:$AU$219,$X37))</x:f>
      </x:c>
      <x:c r="X37" s="15" t="n">
        <x:f>IF($A37&gt;COUNT('sheet2-计算明细'!$AT$17:$AT$219),"",MATCH($A37,'sheet2-计算明细'!$AT$17:$AT$219,0))</x:f>
        <x:v>122</x:v>
      </x:c>
    </x:row>
    <x:row r="38" ht="28" customHeight="1">
      <x:c r="A38" s="4" t="n">
        <x:v>33</x:v>
      </x:c>
      <x:c r="B38" s="15" t="str">
        <x:f>IF($X38="","",INDEX('sheet2-计算明细'!$B$17:$B$219,$X38))</x:f>
        <x:v>龙帆恒盛稳固9号</x:v>
      </x:c>
      <x:c r="C38" s="15" t="str">
        <x:f>IF($X38="","",INDEX('sheet2-计算明细'!$C$17:$C$219,$X38))</x:f>
        <x:v>SSX605</x:v>
      </x:c>
      <x:c r="D38" s="15" t="str">
        <x:f>IF($X38="","",INDEX('sheet2-计算明细'!$D$17:$D$219,$X38))</x:f>
        <x:v>厦门龙帆资管</x:v>
      </x:c>
      <x:c r="E38" s="15" t="str">
        <x:f>IF($X38="","",INDEX('sheet2-计算明细'!$G$17:$G$219,$X38))</x:f>
        <x:v>入池</x:v>
      </x:c>
      <x:c r="F38" s="16" t="n">
        <x:f>IF($X38="","",INDEX('sheet2-计算明细'!$I$17:$I$219,$X38))</x:f>
        <x:v>70</x:v>
      </x:c>
      <x:c r="G38" s="16" t="n">
        <x:f>IF($X38="","",INDEX('sheet2-计算明细'!$K$17:$K$219,$X38))</x:f>
        <x:v>100</x:v>
      </x:c>
      <x:c r="H38" s="16" t="n">
        <x:f>IF($X38="","",INDEX('sheet2-计算明细'!$L$17:$L$219,$X38))</x:f>
        <x:v>100</x:v>
      </x:c>
      <x:c r="I38" s="16" t="n">
        <x:f>IF($X38="","",INDEX('sheet2-计算明细'!$S$17:$S$219,$X38))</x:f>
        <x:v>51.29</x:v>
      </x:c>
      <x:c r="J38" s="16" t="n">
        <x:f>IF($X38="","",INDEX('sheet2-计算明细'!$Y$17:$Y$219,$X38))</x:f>
        <x:v>74.48</x:v>
      </x:c>
      <x:c r="K38" s="16" t="n">
        <x:f>IF($X38="","",INDEX('sheet2-计算明细'!$AC$17:$AC$219,$X38))</x:f>
        <x:v>82.18</x:v>
      </x:c>
      <x:c r="L38" s="16" t="n">
        <x:f>IF($X38="","",INDEX('sheet2-计算明细'!$AI$17:$AI$219,$X38))</x:f>
        <x:v>81.46</x:v>
      </x:c>
      <x:c r="M38" s="16" t="n">
        <x:f>IF($X38="","",INDEX('sheet2-计算明细'!$AK$17:$AK$219,$X38))</x:f>
        <x:v>100</x:v>
      </x:c>
      <x:c r="N38" s="17" t="n">
        <x:f t="shared" si="0">IF(ISNUMBER(INDEX('sheet2-计算明细'!$AL$17:$AL$219,$X38)),INDEX('sheet2-计算明细'!$AL$17:$AL$219,$X38),"")</x:f>
        <x:v>88</x:v>
      </x:c>
      <x:c r="O38" s="17" t="n">
        <x:f t="shared" si="1">IF(ISNUMBER(INDEX('sheet2-计算明细'!$AM$17:$AM$219,$X38)),INDEX('sheet2-计算明细'!$AM$17:$AM$219,$X38),"")</x:f>
        <x:v>58.25</x:v>
      </x:c>
      <x:c r="P38" s="17" t="n">
        <x:f t="shared" si="2">IF(ISNUMBER(INDEX('sheet2-计算明细'!$AN$17:$AN$219,$X38)),INDEX('sheet2-计算明细'!$AN$17:$AN$219,$X38),"")</x:f>
        <x:v>82.18</x:v>
      </x:c>
      <x:c r="Q38" s="17" t="n">
        <x:f t="shared" si="3">IF(ISNUMBER(INDEX('sheet2-计算明细'!$AO$17:$AO$219,$X38)),INDEX('sheet2-计算明细'!$AO$17:$AO$219,$X38),"")</x:f>
        <x:v>81.46</x:v>
      </x:c>
      <x:c r="R38" s="17" t="n">
        <x:f t="shared" si="4">IF(ISNUMBER(INDEX('sheet2-计算明细'!$AP$17:$AP$219,$X38)),INDEX('sheet2-计算明细'!$AP$17:$AP$219,$X38),"")</x:f>
        <x:v>100</x:v>
      </x:c>
      <x:c r="S38" s="18" t="n">
        <x:f>IF($X38="","",INDEX('sheet2-计算明细'!$AQ$17:$AQ$219,$X38))</x:f>
        <x:v>1</x:v>
      </x:c>
      <x:c r="T38" s="16" t="n">
        <x:f>IF($X38="","",INDEX('sheet2-计算明细'!$AR$17:$AR$219,$X38))</x:f>
        <x:v>79.83177</x:v>
      </x:c>
      <x:c r="U38" s="17" t="n">
        <x:f t="shared" si="5">IF(S38=0,"",ROUND(T38/S38,2))</x:f>
        <x:v>79.83</x:v>
      </x:c>
      <x:c r="V38" s="17" t="n">
        <x:f t="shared" si="6">IF(ABS(S38-1)&lt;0.00000001,T38,"")</x:f>
        <x:v>79.83177</x:v>
      </x:c>
      <x:c r="W38" s="19" t="str">
        <x:f>IF($X38="","",INDEX('sheet2-计算明细'!$AU$17:$AU$219,$X38))</x:f>
      </x:c>
      <x:c r="X38" s="15" t="n">
        <x:f>IF($A38&gt;COUNT('sheet2-计算明细'!$AT$17:$AT$219),"",MATCH($A38,'sheet2-计算明细'!$AT$17:$AT$219,0))</x:f>
        <x:v>40</x:v>
      </x:c>
    </x:row>
    <x:row r="39" ht="28" customHeight="1">
      <x:c r="A39" s="4" t="n">
        <x:v>34</x:v>
      </x:c>
      <x:c r="B39" s="15" t="str">
        <x:f>IF($X39="","",INDEX('sheet2-计算明细'!$B$17:$B$219,$X39))</x:f>
        <x:v>爱凡哲AH多空1号</x:v>
      </x:c>
      <x:c r="C39" s="15" t="str">
        <x:f>IF($X39="","",INDEX('sheet2-计算明细'!$C$17:$C$219,$X39))</x:f>
        <x:v>SVM785</x:v>
      </x:c>
      <x:c r="D39" s="15" t="str">
        <x:f>IF($X39="","",INDEX('sheet2-计算明细'!$D$17:$D$219,$X39))</x:f>
        <x:v>爱凡哲投资</x:v>
      </x:c>
      <x:c r="E39" s="15" t="str">
        <x:f>IF($X39="","",INDEX('sheet2-计算明细'!$G$17:$G$219,$X39))</x:f>
        <x:v>入池</x:v>
      </x:c>
      <x:c r="F39" s="16" t="n">
        <x:f>IF($X39="","",INDEX('sheet2-计算明细'!$I$17:$I$219,$X39))</x:f>
        <x:v>90</x:v>
      </x:c>
      <x:c r="G39" s="16" t="n">
        <x:f>IF($X39="","",INDEX('sheet2-计算明细'!$K$17:$K$219,$X39))</x:f>
        <x:v>100</x:v>
      </x:c>
      <x:c r="H39" s="16" t="n">
        <x:f>IF($X39="","",INDEX('sheet2-计算明细'!$L$17:$L$219,$X39))</x:f>
        <x:v>100</x:v>
      </x:c>
      <x:c r="I39" s="16" t="n">
        <x:f>IF($X39="","",INDEX('sheet2-计算明细'!$S$17:$S$219,$X39))</x:f>
        <x:v>73.27</x:v>
      </x:c>
      <x:c r="J39" s="16" t="n">
        <x:f>IF($X39="","",INDEX('sheet2-计算明细'!$Y$17:$Y$219,$X39))</x:f>
        <x:v>88.72</x:v>
      </x:c>
      <x:c r="K39" s="16" t="n">
        <x:f>IF($X39="","",INDEX('sheet2-计算明细'!$AC$17:$AC$219,$X39))</x:f>
        <x:v>75.25</x:v>
      </x:c>
      <x:c r="L39" s="16" t="n">
        <x:f>IF($X39="","",INDEX('sheet2-计算明细'!$AI$17:$AI$219,$X39))</x:f>
        <x:v>75.93</x:v>
      </x:c>
      <x:c r="M39" s="16" t="n">
        <x:f>IF($X39="","",INDEX('sheet2-计算明细'!$AK$17:$AK$219,$X39))</x:f>
        <x:v>80</x:v>
      </x:c>
      <x:c r="N39" s="17" t="n">
        <x:f t="shared" si="0">IF(ISNUMBER(INDEX('sheet2-计算明细'!$AL$17:$AL$219,$X39)),INDEX('sheet2-计算明细'!$AL$17:$AL$219,$X39),"")</x:f>
        <x:v>96</x:v>
      </x:c>
      <x:c r="O39" s="17" t="n">
        <x:f t="shared" si="1">IF(ISNUMBER(INDEX('sheet2-计算明细'!$AM$17:$AM$219,$X39)),INDEX('sheet2-计算明细'!$AM$17:$AM$219,$X39),"")</x:f>
        <x:v>77.91</x:v>
      </x:c>
      <x:c r="P39" s="17" t="n">
        <x:f t="shared" si="2">IF(ISNUMBER(INDEX('sheet2-计算明细'!$AN$17:$AN$219,$X39)),INDEX('sheet2-计算明细'!$AN$17:$AN$219,$X39),"")</x:f>
        <x:v>75.25</x:v>
      </x:c>
      <x:c r="Q39" s="17" t="n">
        <x:f t="shared" si="3">IF(ISNUMBER(INDEX('sheet2-计算明细'!$AO$17:$AO$219,$X39)),INDEX('sheet2-计算明细'!$AO$17:$AO$219,$X39),"")</x:f>
        <x:v>75.93</x:v>
      </x:c>
      <x:c r="R39" s="17" t="n">
        <x:f t="shared" si="4">IF(ISNUMBER(INDEX('sheet2-计算明细'!$AP$17:$AP$219,$X39)),INDEX('sheet2-计算明细'!$AP$17:$AP$219,$X39),"")</x:f>
        <x:v>80</x:v>
      </x:c>
      <x:c r="S39" s="18" t="n">
        <x:f>IF($X39="","",INDEX('sheet2-计算明细'!$AQ$17:$AQ$219,$X39))</x:f>
        <x:v>1</x:v>
      </x:c>
      <x:c r="T39" s="16" t="n">
        <x:f>IF($X39="","",INDEX('sheet2-计算明细'!$AR$17:$AR$219,$X39))</x:f>
        <x:v>79.57316</x:v>
      </x:c>
      <x:c r="U39" s="17" t="n">
        <x:f t="shared" si="5">IF(S39=0,"",ROUND(T39/S39,2))</x:f>
        <x:v>79.57</x:v>
      </x:c>
      <x:c r="V39" s="17" t="n">
        <x:f t="shared" si="6">IF(ABS(S39-1)&lt;0.00000001,T39,"")</x:f>
        <x:v>79.57316</x:v>
      </x:c>
      <x:c r="W39" s="19" t="str">
        <x:f>IF($X39="","",INDEX('sheet2-计算明细'!$AU$17:$AU$219,$X39))</x:f>
      </x:c>
      <x:c r="X39" s="15" t="n">
        <x:f>IF($A39&gt;COUNT('sheet2-计算明细'!$AT$17:$AT$219),"",MATCH($A39,'sheet2-计算明细'!$AT$17:$AT$219,0))</x:f>
        <x:v>46</x:v>
      </x:c>
    </x:row>
    <x:row r="40" ht="28" customHeight="1">
      <x:c r="A40" s="4" t="n">
        <x:v>35</x:v>
      </x:c>
      <x:c r="B40" s="15" t="str">
        <x:f>IF($X40="","",INDEX('sheet2-计算明细'!$B$17:$B$219,$X40))</x:f>
        <x:v>辰元优选稳健</x:v>
      </x:c>
      <x:c r="C40" s="15" t="str">
        <x:f>IF($X40="","",INDEX('sheet2-计算明细'!$C$17:$C$219,$X40))</x:f>
        <x:v>SZH690</x:v>
      </x:c>
      <x:c r="D40" s="15" t="str">
        <x:f>IF($X40="","",INDEX('sheet2-计算明细'!$D$17:$D$219,$X40))</x:f>
        <x:v>广东辰元</x:v>
      </x:c>
      <x:c r="E40" s="15" t="str">
        <x:f>IF($X40="","",INDEX('sheet2-计算明细'!$G$17:$G$219,$X40))</x:f>
        <x:v>入池</x:v>
      </x:c>
      <x:c r="F40" s="16" t="n">
        <x:f>IF($X40="","",INDEX('sheet2-计算明细'!$I$17:$I$219,$X40))</x:f>
        <x:v>90</x:v>
      </x:c>
      <x:c r="G40" s="16" t="n">
        <x:f>IF($X40="","",INDEX('sheet2-计算明细'!$K$17:$K$219,$X40))</x:f>
        <x:v>100</x:v>
      </x:c>
      <x:c r="H40" s="16" t="n">
        <x:f>IF($X40="","",INDEX('sheet2-计算明细'!$L$17:$L$219,$X40))</x:f>
        <x:v>100</x:v>
      </x:c>
      <x:c r="I40" s="16" t="n">
        <x:f>IF($X40="","",INDEX('sheet2-计算明细'!$S$17:$S$219,$X40))</x:f>
        <x:v>44.95</x:v>
      </x:c>
      <x:c r="J40" s="16" t="n">
        <x:f>IF($X40="","",INDEX('sheet2-计算明细'!$Y$17:$Y$219,$X40))</x:f>
        <x:v>75.25</x:v>
      </x:c>
      <x:c r="K40" s="16" t="n">
        <x:f>IF($X40="","",INDEX('sheet2-计算明细'!$AC$17:$AC$219,$X40))</x:f>
        <x:v>96.53</x:v>
      </x:c>
      <x:c r="L40" s="16" t="n">
        <x:f>IF($X40="","",INDEX('sheet2-计算明细'!$AI$17:$AI$219,$X40))</x:f>
        <x:v>69.15</x:v>
      </x:c>
      <x:c r="M40" s="16" t="n">
        <x:f>IF($X40="","",INDEX('sheet2-计算明细'!$AK$17:$AK$219,$X40))</x:f>
        <x:v>80</x:v>
      </x:c>
      <x:c r="N40" s="17" t="n">
        <x:f t="shared" si="0">IF(ISNUMBER(INDEX('sheet2-计算明细'!$AL$17:$AL$219,$X40)),INDEX('sheet2-计算明细'!$AL$17:$AL$219,$X40),"")</x:f>
        <x:v>96</x:v>
      </x:c>
      <x:c r="O40" s="17" t="n">
        <x:f t="shared" si="1">IF(ISNUMBER(INDEX('sheet2-计算明细'!$AM$17:$AM$219,$X40)),INDEX('sheet2-计算明细'!$AM$17:$AM$219,$X40),"")</x:f>
        <x:v>54.04</x:v>
      </x:c>
      <x:c r="P40" s="17" t="n">
        <x:f t="shared" si="2">IF(ISNUMBER(INDEX('sheet2-计算明细'!$AN$17:$AN$219,$X40)),INDEX('sheet2-计算明细'!$AN$17:$AN$219,$X40),"")</x:f>
        <x:v>96.53</x:v>
      </x:c>
      <x:c r="Q40" s="17" t="n">
        <x:f t="shared" si="3">IF(ISNUMBER(INDEX('sheet2-计算明细'!$AO$17:$AO$219,$X40)),INDEX('sheet2-计算明细'!$AO$17:$AO$219,$X40),"")</x:f>
        <x:v>69.15</x:v>
      </x:c>
      <x:c r="R40" s="17" t="n">
        <x:f t="shared" si="4">IF(ISNUMBER(INDEX('sheet2-计算明细'!$AP$17:$AP$219,$X40)),INDEX('sheet2-计算明细'!$AP$17:$AP$219,$X40),"")</x:f>
        <x:v>80</x:v>
      </x:c>
      <x:c r="S40" s="18" t="n">
        <x:f>IF($X40="","",INDEX('sheet2-计算明细'!$AQ$17:$AQ$219,$X40))</x:f>
        <x:v>0.88</x:v>
      </x:c>
      <x:c r="T40" s="16" t="n">
        <x:f>IF($X40="","",INDEX('sheet2-计算明细'!$AR$17:$AR$219,$X40))</x:f>
        <x:v>69.7875</x:v>
      </x:c>
      <x:c r="U40" s="17" t="n">
        <x:f t="shared" si="5">IF(S40=0,"",ROUND(T40/S40,2))</x:f>
        <x:v>79.3</x:v>
      </x:c>
      <x:c r="V40" s="17" t="str">
        <x:f t="shared" si="6">IF(ABS(S40-1)&lt;0.00000001,T40,"")</x:f>
      </x:c>
      <x:c r="W40" s="19" t="str">
        <x:f>IF($X40="","",INDEX('sheet2-计算明细'!$AU$17:$AU$219,$X40))</x:f>
        <x:v>DD_long不可识别；</x:v>
      </x:c>
      <x:c r="X40" s="15" t="n">
        <x:f>IF($A40&gt;COUNT('sheet2-计算明细'!$AT$17:$AT$219),"",MATCH($A40,'sheet2-计算明细'!$AT$17:$AT$219,0))</x:f>
        <x:v>177</x:v>
      </x:c>
    </x:row>
    <x:row r="41" ht="28" customHeight="1">
      <x:c r="A41" s="4" t="n">
        <x:v>36</x:v>
      </x:c>
      <x:c r="B41" s="15" t="str">
        <x:f>IF($X41="","",INDEX('sheet2-计算明细'!$B$17:$B$219,$X41))</x:f>
        <x:v>平凡悟鑫</x:v>
      </x:c>
      <x:c r="C41" s="15" t="str">
        <x:f>IF($X41="","",INDEX('sheet2-计算明细'!$C$17:$C$219,$X41))</x:f>
        <x:v>SJ2870</x:v>
      </x:c>
      <x:c r="D41" s="15" t="str">
        <x:f>IF($X41="","",INDEX('sheet2-计算明细'!$D$17:$D$219,$X41))</x:f>
        <x:v>北京平凡</x:v>
      </x:c>
      <x:c r="E41" s="15" t="str">
        <x:f>IF($X41="","",INDEX('sheet2-计算明细'!$G$17:$G$219,$X41))</x:f>
        <x:v>入池</x:v>
      </x:c>
      <x:c r="F41" s="16" t="n">
        <x:f>IF($X41="","",INDEX('sheet2-计算明细'!$I$17:$I$219,$X41))</x:f>
        <x:v>90</x:v>
      </x:c>
      <x:c r="G41" s="16" t="n">
        <x:f>IF($X41="","",INDEX('sheet2-计算明细'!$K$17:$K$219,$X41))</x:f>
        <x:v>100</x:v>
      </x:c>
      <x:c r="H41" s="16" t="n">
        <x:f>IF($X41="","",INDEX('sheet2-计算明细'!$L$17:$L$219,$X41))</x:f>
        <x:v>100</x:v>
      </x:c>
      <x:c r="I41" s="16" t="n">
        <x:f>IF($X41="","",INDEX('sheet2-计算明细'!$S$17:$S$219,$X41))</x:f>
        <x:v>54.55</x:v>
      </x:c>
      <x:c r="J41" s="16" t="n">
        <x:f>IF($X41="","",INDEX('sheet2-计算明细'!$Y$17:$Y$219,$X41))</x:f>
        <x:v>90.39</x:v>
      </x:c>
      <x:c r="K41" s="16" t="n">
        <x:f>IF($X41="","",INDEX('sheet2-计算明细'!$AC$17:$AC$219,$X41))</x:f>
        <x:v>87.62</x:v>
      </x:c>
      <x:c r="L41" s="16" t="n">
        <x:f>IF($X41="","",INDEX('sheet2-计算明细'!$AI$17:$AI$219,$X41))</x:f>
        <x:v>68.66</x:v>
      </x:c>
      <x:c r="M41" s="16" t="n">
        <x:f>IF($X41="","",INDEX('sheet2-计算明细'!$AK$17:$AK$219,$X41))</x:f>
        <x:v>80</x:v>
      </x:c>
      <x:c r="N41" s="17" t="n">
        <x:f t="shared" si="0">IF(ISNUMBER(INDEX('sheet2-计算明细'!$AL$17:$AL$219,$X41)),INDEX('sheet2-计算明细'!$AL$17:$AL$219,$X41),"")</x:f>
        <x:v>96</x:v>
      </x:c>
      <x:c r="O41" s="17" t="n">
        <x:f t="shared" si="1">IF(ISNUMBER(INDEX('sheet2-计算明细'!$AM$17:$AM$219,$X41)),INDEX('sheet2-计算明细'!$AM$17:$AM$219,$X41),"")</x:f>
        <x:v>65.3</x:v>
      </x:c>
      <x:c r="P41" s="17" t="n">
        <x:f t="shared" si="2">IF(ISNUMBER(INDEX('sheet2-计算明细'!$AN$17:$AN$219,$X41)),INDEX('sheet2-计算明细'!$AN$17:$AN$219,$X41),"")</x:f>
        <x:v>87.62</x:v>
      </x:c>
      <x:c r="Q41" s="17" t="n">
        <x:f t="shared" si="3">IF(ISNUMBER(INDEX('sheet2-计算明细'!$AO$17:$AO$219,$X41)),INDEX('sheet2-计算明细'!$AO$17:$AO$219,$X41),"")</x:f>
        <x:v>68.66</x:v>
      </x:c>
      <x:c r="R41" s="17" t="n">
        <x:f t="shared" si="4">IF(ISNUMBER(INDEX('sheet2-计算明细'!$AP$17:$AP$219,$X41)),INDEX('sheet2-计算明细'!$AP$17:$AP$219,$X41),"")</x:f>
        <x:v>80</x:v>
      </x:c>
      <x:c r="S41" s="18" t="n">
        <x:f>IF($X41="","",INDEX('sheet2-计算明细'!$AQ$17:$AQ$219,$X41))</x:f>
        <x:v>0.88</x:v>
      </x:c>
      <x:c r="T41" s="16" t="n">
        <x:f>IF($X41="","",INDEX('sheet2-计算明细'!$AR$17:$AR$219,$X41))</x:f>
        <x:v>69.72452</x:v>
      </x:c>
      <x:c r="U41" s="17" t="n">
        <x:f t="shared" si="5">IF(S41=0,"",ROUND(T41/S41,2))</x:f>
        <x:v>79.23</x:v>
      </x:c>
      <x:c r="V41" s="17" t="str">
        <x:f t="shared" si="6">IF(ABS(S41-1)&lt;0.00000001,T41,"")</x:f>
      </x:c>
      <x:c r="W41" s="19" t="str">
        <x:f>IF($X41="","",INDEX('sheet2-计算明细'!$AU$17:$AU$219,$X41))</x:f>
        <x:v>DD_long不可识别；</x:v>
      </x:c>
      <x:c r="X41" s="15" t="n">
        <x:f>IF($A41&gt;COUNT('sheet2-计算明细'!$AT$17:$AT$219),"",MATCH($A41,'sheet2-计算明细'!$AT$17:$AT$219,0))</x:f>
        <x:v>4</x:v>
      </x:c>
    </x:row>
    <x:row r="42" ht="28" customHeight="1">
      <x:c r="A42" s="4" t="n">
        <x:v>37</x:v>
      </x:c>
      <x:c r="B42" s="15" t="str">
        <x:f>IF($X42="","",INDEX('sheet2-计算明细'!$B$17:$B$219,$X42))</x:f>
        <x:v>汇艾稳健3号</x:v>
      </x:c>
      <x:c r="C42" s="15" t="str">
        <x:f>IF($X42="","",INDEX('sheet2-计算明细'!$C$17:$C$219,$X42))</x:f>
        <x:v>SR8584</x:v>
      </x:c>
      <x:c r="D42" s="15" t="str">
        <x:f>IF($X42="","",INDEX('sheet2-计算明细'!$D$17:$D$219,$X42))</x:f>
        <x:v>上海汇艾资管</x:v>
      </x:c>
      <x:c r="E42" s="15" t="str">
        <x:f>IF($X42="","",INDEX('sheet2-计算明细'!$G$17:$G$219,$X42))</x:f>
        <x:v>入池</x:v>
      </x:c>
      <x:c r="F42" s="16" t="n">
        <x:f>IF($X42="","",INDEX('sheet2-计算明细'!$I$17:$I$219,$X42))</x:f>
        <x:v>60</x:v>
      </x:c>
      <x:c r="G42" s="16" t="n">
        <x:f>IF($X42="","",INDEX('sheet2-计算明细'!$K$17:$K$219,$X42))</x:f>
        <x:v>100</x:v>
      </x:c>
      <x:c r="H42" s="16" t="n">
        <x:f>IF($X42="","",INDEX('sheet2-计算明细'!$L$17:$L$219,$X42))</x:f>
        <x:v>100</x:v>
      </x:c>
      <x:c r="I42" s="16" t="n">
        <x:f>IF($X42="","",INDEX('sheet2-计算明细'!$S$17:$S$219,$X42))</x:f>
        <x:v>48.72</x:v>
      </x:c>
      <x:c r="J42" s="16" t="n">
        <x:f>IF($X42="","",INDEX('sheet2-计算明细'!$Y$17:$Y$219,$X42))</x:f>
        <x:v>88.33</x:v>
      </x:c>
      <x:c r="K42" s="16" t="n">
        <x:f>IF($X42="","",INDEX('sheet2-计算明细'!$AC$17:$AC$219,$X42))</x:f>
        <x:v>86.63</x:v>
      </x:c>
      <x:c r="L42" s="16" t="n">
        <x:f>IF($X42="","",INDEX('sheet2-计算明细'!$AI$17:$AI$219,$X42))</x:f>
        <x:v>76.08</x:v>
      </x:c>
      <x:c r="M42" s="16" t="n">
        <x:f>IF($X42="","",INDEX('sheet2-计算明细'!$AK$17:$AK$219,$X42))</x:f>
        <x:v>100</x:v>
      </x:c>
      <x:c r="N42" s="17" t="n">
        <x:f t="shared" si="0">IF(ISNUMBER(INDEX('sheet2-计算明细'!$AL$17:$AL$219,$X42)),INDEX('sheet2-计算明细'!$AL$17:$AL$219,$X42),"")</x:f>
        <x:v>84</x:v>
      </x:c>
      <x:c r="O42" s="17" t="n">
        <x:f t="shared" si="1">IF(ISNUMBER(INDEX('sheet2-计算明细'!$AM$17:$AM$219,$X42)),INDEX('sheet2-计算明细'!$AM$17:$AM$219,$X42),"")</x:f>
        <x:v>60.6</x:v>
      </x:c>
      <x:c r="P42" s="17" t="n">
        <x:f t="shared" si="2">IF(ISNUMBER(INDEX('sheet2-计算明细'!$AN$17:$AN$219,$X42)),INDEX('sheet2-计算明细'!$AN$17:$AN$219,$X42),"")</x:f>
        <x:v>86.63</x:v>
      </x:c>
      <x:c r="Q42" s="17" t="n">
        <x:f t="shared" si="3">IF(ISNUMBER(INDEX('sheet2-计算明细'!$AO$17:$AO$219,$X42)),INDEX('sheet2-计算明细'!$AO$17:$AO$219,$X42),"")</x:f>
        <x:v>76.08</x:v>
      </x:c>
      <x:c r="R42" s="17" t="n">
        <x:f t="shared" si="4">IF(ISNUMBER(INDEX('sheet2-计算明细'!$AP$17:$AP$219,$X42)),INDEX('sheet2-计算明细'!$AP$17:$AP$219,$X42),"")</x:f>
        <x:v>100</x:v>
      </x:c>
      <x:c r="S42" s="18" t="n">
        <x:f>IF($X42="","",INDEX('sheet2-计算明细'!$AQ$17:$AQ$219,$X42))</x:f>
        <x:v>1</x:v>
      </x:c>
      <x:c r="T42" s="16" t="n">
        <x:f>IF($X42="","",INDEX('sheet2-计算明细'!$AR$17:$AR$219,$X42))</x:f>
        <x:v>79.2017</x:v>
      </x:c>
      <x:c r="U42" s="17" t="n">
        <x:f t="shared" si="5">IF(S42=0,"",ROUND(T42/S42,2))</x:f>
        <x:v>79.2</x:v>
      </x:c>
      <x:c r="V42" s="17" t="n">
        <x:f t="shared" si="6">IF(ABS(S42-1)&lt;0.00000001,T42,"")</x:f>
        <x:v>79.2017</x:v>
      </x:c>
      <x:c r="W42" s="19" t="str">
        <x:f>IF($X42="","",INDEX('sheet2-计算明细'!$AU$17:$AU$219,$X42))</x:f>
      </x:c>
      <x:c r="X42" s="15" t="n">
        <x:f>IF($A42&gt;COUNT('sheet2-计算明细'!$AT$17:$AT$219),"",MATCH($A42,'sheet2-计算明细'!$AT$17:$AT$219,0))</x:f>
        <x:v>111</x:v>
      </x:c>
    </x:row>
    <x:row r="43" ht="28" customHeight="1">
      <x:c r="A43" s="4" t="n">
        <x:v>38</x:v>
      </x:c>
      <x:c r="B43" s="15" t="str">
        <x:f>IF($X43="","",INDEX('sheet2-计算明细'!$B$17:$B$219,$X43))</x:f>
        <x:v>辰元稳健2号</x:v>
      </x:c>
      <x:c r="C43" s="15" t="str">
        <x:f>IF($X43="","",INDEX('sheet2-计算明细'!$C$17:$C$219,$X43))</x:f>
        <x:v>SZJ724</x:v>
      </x:c>
      <x:c r="D43" s="15" t="str">
        <x:f>IF($X43="","",INDEX('sheet2-计算明细'!$D$17:$D$219,$X43))</x:f>
        <x:v>广东辰元</x:v>
      </x:c>
      <x:c r="E43" s="15" t="str">
        <x:f>IF($X43="","",INDEX('sheet2-计算明细'!$G$17:$G$219,$X43))</x:f>
        <x:v>入池</x:v>
      </x:c>
      <x:c r="F43" s="16" t="n">
        <x:f>IF($X43="","",INDEX('sheet2-计算明细'!$I$17:$I$219,$X43))</x:f>
        <x:v>90</x:v>
      </x:c>
      <x:c r="G43" s="16" t="n">
        <x:f>IF($X43="","",INDEX('sheet2-计算明细'!$K$17:$K$219,$X43))</x:f>
        <x:v>100</x:v>
      </x:c>
      <x:c r="H43" s="16" t="n">
        <x:f>IF($X43="","",INDEX('sheet2-计算明细'!$L$17:$L$219,$X43))</x:f>
        <x:v>100</x:v>
      </x:c>
      <x:c r="I43" s="16" t="n">
        <x:f>IF($X43="","",INDEX('sheet2-计算明细'!$S$17:$S$219,$X43))</x:f>
        <x:v>43.07</x:v>
      </x:c>
      <x:c r="J43" s="16" t="n">
        <x:f>IF($X43="","",INDEX('sheet2-计算明细'!$Y$17:$Y$219,$X43))</x:f>
        <x:v>75.25</x:v>
      </x:c>
      <x:c r="K43" s="16" t="n">
        <x:f>IF($X43="","",INDEX('sheet2-计算明细'!$AC$17:$AC$219,$X43))</x:f>
        <x:v>94.06</x:v>
      </x:c>
      <x:c r="L43" s="16" t="n">
        <x:f>IF($X43="","",INDEX('sheet2-计算明细'!$AI$17:$AI$219,$X43))</x:f>
        <x:v>75.58</x:v>
      </x:c>
      <x:c r="M43" s="16" t="n">
        <x:f>IF($X43="","",INDEX('sheet2-计算明细'!$AK$17:$AK$219,$X43))</x:f>
        <x:v>80</x:v>
      </x:c>
      <x:c r="N43" s="17" t="n">
        <x:f t="shared" si="0">IF(ISNUMBER(INDEX('sheet2-计算明细'!$AL$17:$AL$219,$X43)),INDEX('sheet2-计算明细'!$AL$17:$AL$219,$X43),"")</x:f>
        <x:v>96</x:v>
      </x:c>
      <x:c r="O43" s="17" t="n">
        <x:f t="shared" si="1">IF(ISNUMBER(INDEX('sheet2-计算明细'!$AM$17:$AM$219,$X43)),INDEX('sheet2-计算明细'!$AM$17:$AM$219,$X43),"")</x:f>
        <x:v>52.73</x:v>
      </x:c>
      <x:c r="P43" s="17" t="n">
        <x:f t="shared" si="2">IF(ISNUMBER(INDEX('sheet2-计算明细'!$AN$17:$AN$219,$X43)),INDEX('sheet2-计算明细'!$AN$17:$AN$219,$X43),"")</x:f>
        <x:v>94.06</x:v>
      </x:c>
      <x:c r="Q43" s="17" t="n">
        <x:f t="shared" si="3">IF(ISNUMBER(INDEX('sheet2-计算明细'!$AO$17:$AO$219,$X43)),INDEX('sheet2-计算明细'!$AO$17:$AO$219,$X43),"")</x:f>
        <x:v>75.58</x:v>
      </x:c>
      <x:c r="R43" s="17" t="n">
        <x:f t="shared" si="4">IF(ISNUMBER(INDEX('sheet2-计算明细'!$AP$17:$AP$219,$X43)),INDEX('sheet2-计算明细'!$AP$17:$AP$219,$X43),"")</x:f>
        <x:v>80</x:v>
      </x:c>
      <x:c r="S43" s="18" t="n">
        <x:f>IF($X43="","",INDEX('sheet2-计算明细'!$AQ$17:$AQ$219,$X43))</x:f>
        <x:v>1</x:v>
      </x:c>
      <x:c r="T43" s="16" t="n">
        <x:f>IF($X43="","",INDEX('sheet2-计算明细'!$AR$17:$AR$219,$X43))</x:f>
        <x:v>79.13436</x:v>
      </x:c>
      <x:c r="U43" s="17" t="n">
        <x:f t="shared" si="5">IF(S43=0,"",ROUND(T43/S43,2))</x:f>
        <x:v>79.13</x:v>
      </x:c>
      <x:c r="V43" s="17" t="n">
        <x:f t="shared" si="6">IF(ABS(S43-1)&lt;0.00000001,T43,"")</x:f>
        <x:v>79.13436</x:v>
      </x:c>
      <x:c r="W43" s="19" t="str">
        <x:f>IF($X43="","",INDEX('sheet2-计算明细'!$AU$17:$AU$219,$X43))</x:f>
      </x:c>
      <x:c r="X43" s="15" t="n">
        <x:f>IF($A43&gt;COUNT('sheet2-计算明细'!$AT$17:$AT$219),"",MATCH($A43,'sheet2-计算明细'!$AT$17:$AT$219,0))</x:f>
        <x:v>178</x:v>
      </x:c>
    </x:row>
    <x:row r="44" ht="28" customHeight="1">
      <x:c r="A44" s="4" t="n">
        <x:v>39</x:v>
      </x:c>
      <x:c r="B44" s="15" t="str">
        <x:f>IF($X44="","",INDEX('sheet2-计算明细'!$B$17:$B$219,$X44))</x:f>
        <x:v>景鹏稳进1号</x:v>
      </x:c>
      <x:c r="C44" s="15" t="str">
        <x:f>IF($X44="","",INDEX('sheet2-计算明细'!$C$17:$C$219,$X44))</x:f>
        <x:v>SSX278</x:v>
      </x:c>
      <x:c r="D44" s="15" t="str">
        <x:f>IF($X44="","",INDEX('sheet2-计算明细'!$D$17:$D$219,$X44))</x:f>
        <x:v>上海景鹏</x:v>
      </x:c>
      <x:c r="E44" s="15" t="str">
        <x:f>IF($X44="","",INDEX('sheet2-计算明细'!$G$17:$G$219,$X44))</x:f>
        <x:v>入池</x:v>
      </x:c>
      <x:c r="F44" s="16" t="n">
        <x:f>IF($X44="","",INDEX('sheet2-计算明细'!$I$17:$I$219,$X44))</x:f>
        <x:v>60</x:v>
      </x:c>
      <x:c r="G44" s="16" t="n">
        <x:f>IF($X44="","",INDEX('sheet2-计算明细'!$K$17:$K$219,$X44))</x:f>
        <x:v>100</x:v>
      </x:c>
      <x:c r="H44" s="16" t="n">
        <x:f>IF($X44="","",INDEX('sheet2-计算明细'!$L$17:$L$219,$X44))</x:f>
        <x:v>100</x:v>
      </x:c>
      <x:c r="I44" s="16" t="n">
        <x:f>IF($X44="","",INDEX('sheet2-计算明细'!$S$17:$S$219,$X44))</x:f>
        <x:v>55.15</x:v>
      </x:c>
      <x:c r="J44" s="16" t="n">
        <x:f>IF($X44="","",INDEX('sheet2-计算明细'!$Y$17:$Y$219,$X44))</x:f>
        <x:v>90.39</x:v>
      </x:c>
      <x:c r="K44" s="16" t="n">
        <x:f>IF($X44="","",INDEX('sheet2-计算明细'!$AC$17:$AC$219,$X44))</x:f>
        <x:v>77.72</x:v>
      </x:c>
      <x:c r="L44" s="16" t="n">
        <x:f>IF($X44="","",INDEX('sheet2-计算明细'!$AI$17:$AI$219,$X44))</x:f>
        <x:v>79.6</x:v>
      </x:c>
      <x:c r="M44" s="16" t="n">
        <x:f>IF($X44="","",INDEX('sheet2-计算明细'!$AK$17:$AK$219,$X44))</x:f>
        <x:v>100</x:v>
      </x:c>
      <x:c r="N44" s="17" t="n">
        <x:f t="shared" si="0">IF(ISNUMBER(INDEX('sheet2-计算明细'!$AL$17:$AL$219,$X44)),INDEX('sheet2-计算明细'!$AL$17:$AL$219,$X44),"")</x:f>
        <x:v>84</x:v>
      </x:c>
      <x:c r="O44" s="17" t="n">
        <x:f t="shared" si="1">IF(ISNUMBER(INDEX('sheet2-计算明细'!$AM$17:$AM$219,$X44)),INDEX('sheet2-计算明细'!$AM$17:$AM$219,$X44),"")</x:f>
        <x:v>65.72</x:v>
      </x:c>
      <x:c r="P44" s="17" t="n">
        <x:f t="shared" si="2">IF(ISNUMBER(INDEX('sheet2-计算明细'!$AN$17:$AN$219,$X44)),INDEX('sheet2-计算明细'!$AN$17:$AN$219,$X44),"")</x:f>
        <x:v>77.72</x:v>
      </x:c>
      <x:c r="Q44" s="17" t="n">
        <x:f t="shared" si="3">IF(ISNUMBER(INDEX('sheet2-计算明细'!$AO$17:$AO$219,$X44)),INDEX('sheet2-计算明细'!$AO$17:$AO$219,$X44),"")</x:f>
        <x:v>79.6</x:v>
      </x:c>
      <x:c r="R44" s="17" t="n">
        <x:f t="shared" si="4">IF(ISNUMBER(INDEX('sheet2-计算明细'!$AP$17:$AP$219,$X44)),INDEX('sheet2-计算明细'!$AP$17:$AP$219,$X44),"")</x:f>
        <x:v>100</x:v>
      </x:c>
      <x:c r="S44" s="18" t="n">
        <x:f>IF($X44="","",INDEX('sheet2-计算明细'!$AQ$17:$AQ$219,$X44))</x:f>
        <x:v>1</x:v>
      </x:c>
      <x:c r="T44" s="16" t="n">
        <x:f>IF($X44="","",INDEX('sheet2-计算明细'!$AR$17:$AR$219,$X44))</x:f>
        <x:v>79.0536</x:v>
      </x:c>
      <x:c r="U44" s="17" t="n">
        <x:f t="shared" si="5">IF(S44=0,"",ROUND(T44/S44,2))</x:f>
        <x:v>79.05</x:v>
      </x:c>
      <x:c r="V44" s="17" t="n">
        <x:f t="shared" si="6">IF(ABS(S44-1)&lt;0.00000001,T44,"")</x:f>
        <x:v>79.0536</x:v>
      </x:c>
      <x:c r="W44" s="19" t="str">
        <x:f>IF($X44="","",INDEX('sheet2-计算明细'!$AU$17:$AU$219,$X44))</x:f>
      </x:c>
      <x:c r="X44" s="15" t="n">
        <x:f>IF($A44&gt;COUNT('sheet2-计算明细'!$AT$17:$AT$219),"",MATCH($A44,'sheet2-计算明细'!$AT$17:$AT$219,0))</x:f>
        <x:v>140</x:v>
      </x:c>
    </x:row>
    <x:row r="45" ht="28" customHeight="1">
      <x:c r="A45" s="4" t="n">
        <x:v>40</x:v>
      </x:c>
      <x:c r="B45" s="15" t="str">
        <x:f>IF($X45="","",INDEX('sheet2-计算明细'!$B$17:$B$219,$X45))</x:f>
        <x:v>金和和善对冲5号</x:v>
      </x:c>
      <x:c r="C45" s="15" t="str">
        <x:f>IF($X45="","",INDEX('sheet2-计算明细'!$C$17:$C$219,$X45))</x:f>
        <x:v>SZX748</x:v>
      </x:c>
      <x:c r="D45" s="15" t="str">
        <x:f>IF($X45="","",INDEX('sheet2-计算明细'!$D$17:$D$219,$X45))</x:f>
        <x:v>上海金和晟</x:v>
      </x:c>
      <x:c r="E45" s="15" t="str">
        <x:f>IF($X45="","",INDEX('sheet2-计算明细'!$G$17:$G$219,$X45))</x:f>
        <x:v>入池</x:v>
      </x:c>
      <x:c r="F45" s="16" t="n">
        <x:f>IF($X45="","",INDEX('sheet2-计算明细'!$I$17:$I$219,$X45))</x:f>
        <x:v>90</x:v>
      </x:c>
      <x:c r="G45" s="16" t="n">
        <x:f>IF($X45="","",INDEX('sheet2-计算明细'!$K$17:$K$219,$X45))</x:f>
        <x:v>100</x:v>
      </x:c>
      <x:c r="H45" s="16" t="n">
        <x:f>IF($X45="","",INDEX('sheet2-计算明细'!$L$17:$L$219,$X45))</x:f>
        <x:v>100</x:v>
      </x:c>
      <x:c r="I45" s="16" t="n">
        <x:f>IF($X45="","",INDEX('sheet2-计算明细'!$S$17:$S$219,$X45))</x:f>
        <x:v>63.36</x:v>
      </x:c>
      <x:c r="J45" s="16" t="n">
        <x:f>IF($X45="","",INDEX('sheet2-计算明细'!$Y$17:$Y$219,$X45))</x:f>
        <x:v>81.15</x:v>
      </x:c>
      <x:c r="K45" s="16" t="n">
        <x:f>IF($X45="","",INDEX('sheet2-计算明细'!$AC$17:$AC$219,$X45))</x:f>
        <x:v>84.65</x:v>
      </x:c>
      <x:c r="L45" s="16" t="n">
        <x:f>IF($X45="","",INDEX('sheet2-计算明细'!$AI$17:$AI$219,$X45))</x:f>
        <x:v>60.2</x:v>
      </x:c>
      <x:c r="M45" s="16" t="n">
        <x:f>IF($X45="","",INDEX('sheet2-计算明细'!$AK$17:$AK$219,$X45))</x:f>
        <x:v>80</x:v>
      </x:c>
      <x:c r="N45" s="17" t="n">
        <x:f t="shared" si="0">IF(ISNUMBER(INDEX('sheet2-计算明细'!$AL$17:$AL$219,$X45)),INDEX('sheet2-计算明细'!$AL$17:$AL$219,$X45),"")</x:f>
        <x:v>96</x:v>
      </x:c>
      <x:c r="O45" s="17" t="n">
        <x:f t="shared" si="1">IF(ISNUMBER(INDEX('sheet2-计算明细'!$AM$17:$AM$219,$X45)),INDEX('sheet2-计算明细'!$AM$17:$AM$219,$X45),"")</x:f>
        <x:v>68.7</x:v>
      </x:c>
      <x:c r="P45" s="17" t="n">
        <x:f t="shared" si="2">IF(ISNUMBER(INDEX('sheet2-计算明细'!$AN$17:$AN$219,$X45)),INDEX('sheet2-计算明细'!$AN$17:$AN$219,$X45),"")</x:f>
        <x:v>84.65</x:v>
      </x:c>
      <x:c r="Q45" s="17" t="n">
        <x:f t="shared" si="3">IF(ISNUMBER(INDEX('sheet2-计算明细'!$AO$17:$AO$219,$X45)),INDEX('sheet2-计算明细'!$AO$17:$AO$219,$X45),"")</x:f>
        <x:v>60.2</x:v>
      </x:c>
      <x:c r="R45" s="17" t="n">
        <x:f t="shared" si="4">IF(ISNUMBER(INDEX('sheet2-计算明细'!$AP$17:$AP$219,$X45)),INDEX('sheet2-计算明细'!$AP$17:$AP$219,$X45),"")</x:f>
        <x:v>80</x:v>
      </x:c>
      <x:c r="S45" s="18" t="n">
        <x:f>IF($X45="","",INDEX('sheet2-计算明细'!$AQ$17:$AQ$219,$X45))</x:f>
        <x:v>0.88</x:v>
      </x:c>
      <x:c r="T45" s="16" t="n">
        <x:f>IF($X45="","",INDEX('sheet2-计算明细'!$AR$17:$AR$219,$X45))</x:f>
        <x:v>68.13848</x:v>
      </x:c>
      <x:c r="U45" s="17" t="n">
        <x:f t="shared" si="5">IF(S45=0,"",ROUND(T45/S45,2))</x:f>
        <x:v>77.43</x:v>
      </x:c>
      <x:c r="V45" s="17" t="str">
        <x:f t="shared" si="6">IF(ABS(S45-1)&lt;0.00000001,T45,"")</x:f>
      </x:c>
      <x:c r="W45" s="19" t="str">
        <x:f>IF($X45="","",INDEX('sheet2-计算明细'!$AU$17:$AU$219,$X45))</x:f>
        <x:v>DD_long不可识别；</x:v>
      </x:c>
      <x:c r="X45" s="15" t="n">
        <x:f>IF($A45&gt;COUNT('sheet2-计算明细'!$AT$17:$AT$219),"",MATCH($A45,'sheet2-计算明细'!$AT$17:$AT$219,0))</x:f>
        <x:v>67</x:v>
      </x:c>
    </x:row>
    <x:row r="46" ht="28" customHeight="1">
      <x:c r="A46" s="4" t="n">
        <x:v>41</x:v>
      </x:c>
      <x:c r="B46" s="15" t="str">
        <x:f>IF($X46="","",INDEX('sheet2-计算明细'!$B$17:$B$219,$X46))</x:f>
        <x:v>金和金诚5号</x:v>
      </x:c>
      <x:c r="C46" s="15" t="str">
        <x:f>IF($X46="","",INDEX('sheet2-计算明细'!$C$17:$C$219,$X46))</x:f>
        <x:v>SVZ035</x:v>
      </x:c>
      <x:c r="D46" s="15" t="str">
        <x:f>IF($X46="","",INDEX('sheet2-计算明细'!$D$17:$D$219,$X46))</x:f>
        <x:v>上海金和晟</x:v>
      </x:c>
      <x:c r="E46" s="15" t="str">
        <x:f>IF($X46="","",INDEX('sheet2-计算明细'!$G$17:$G$219,$X46))</x:f>
        <x:v>入池</x:v>
      </x:c>
      <x:c r="F46" s="16" t="n">
        <x:f>IF($X46="","",INDEX('sheet2-计算明细'!$I$17:$I$219,$X46))</x:f>
        <x:v>90</x:v>
      </x:c>
      <x:c r="G46" s="16" t="n">
        <x:f>IF($X46="","",INDEX('sheet2-计算明细'!$K$17:$K$219,$X46))</x:f>
        <x:v>100</x:v>
      </x:c>
      <x:c r="H46" s="16" t="n">
        <x:f>IF($X46="","",INDEX('sheet2-计算明细'!$L$17:$L$219,$X46))</x:f>
        <x:v>100</x:v>
      </x:c>
      <x:c r="I46" s="16" t="n">
        <x:f>IF($X46="","",INDEX('sheet2-计算明细'!$S$17:$S$219,$X46))</x:f>
        <x:v>79.01</x:v>
      </x:c>
      <x:c r="J46" s="16" t="n">
        <x:f>IF($X46="","",INDEX('sheet2-计算明细'!$Y$17:$Y$219,$X46))</x:f>
        <x:v>70.07</x:v>
      </x:c>
      <x:c r="K46" s="16" t="n">
        <x:f>IF($X46="","",INDEX('sheet2-计算明细'!$AC$17:$AC$219,$X46))</x:f>
        <x:v>75.74</x:v>
      </x:c>
      <x:c r="L46" s="16" t="n">
        <x:f>IF($X46="","",INDEX('sheet2-计算明细'!$AI$17:$AI$219,$X46))</x:f>
        <x:v>62.19</x:v>
      </x:c>
      <x:c r="M46" s="16" t="n">
        <x:f>IF($X46="","",INDEX('sheet2-计算明细'!$AK$17:$AK$219,$X46))</x:f>
        <x:v>80</x:v>
      </x:c>
      <x:c r="N46" s="17" t="n">
        <x:f t="shared" si="0">IF(ISNUMBER(INDEX('sheet2-计算明细'!$AL$17:$AL$219,$X46)),INDEX('sheet2-计算明细'!$AL$17:$AL$219,$X46),"")</x:f>
        <x:v>96</x:v>
      </x:c>
      <x:c r="O46" s="17" t="n">
        <x:f t="shared" si="1">IF(ISNUMBER(INDEX('sheet2-计算明细'!$AM$17:$AM$219,$X46)),INDEX('sheet2-计算明细'!$AM$17:$AM$219,$X46),"")</x:f>
        <x:v>76.33</x:v>
      </x:c>
      <x:c r="P46" s="17" t="n">
        <x:f t="shared" si="2">IF(ISNUMBER(INDEX('sheet2-计算明细'!$AN$17:$AN$219,$X46)),INDEX('sheet2-计算明细'!$AN$17:$AN$219,$X46),"")</x:f>
        <x:v>75.74</x:v>
      </x:c>
      <x:c r="Q46" s="17" t="n">
        <x:f t="shared" si="3">IF(ISNUMBER(INDEX('sheet2-计算明细'!$AO$17:$AO$219,$X46)),INDEX('sheet2-计算明细'!$AO$17:$AO$219,$X46),"")</x:f>
        <x:v>62.19</x:v>
      </x:c>
      <x:c r="R46" s="17" t="n">
        <x:f t="shared" si="4">IF(ISNUMBER(INDEX('sheet2-计算明细'!$AP$17:$AP$219,$X46)),INDEX('sheet2-计算明细'!$AP$17:$AP$219,$X46),"")</x:f>
        <x:v>80</x:v>
      </x:c>
      <x:c r="S46" s="18" t="n">
        <x:f>IF($X46="","",INDEX('sheet2-计算明细'!$AQ$17:$AQ$219,$X46))</x:f>
        <x:v>0.88</x:v>
      </x:c>
      <x:c r="T46" s="16" t="n">
        <x:f>IF($X46="","",INDEX('sheet2-计算明细'!$AR$17:$AR$219,$X46))</x:f>
        <x:v>67.79472</x:v>
      </x:c>
      <x:c r="U46" s="17" t="n">
        <x:f t="shared" si="5">IF(S46=0,"",ROUND(T46/S46,2))</x:f>
        <x:v>77.04</x:v>
      </x:c>
      <x:c r="V46" s="17" t="str">
        <x:f t="shared" si="6">IF(ABS(S46-1)&lt;0.00000001,T46,"")</x:f>
      </x:c>
      <x:c r="W46" s="19" t="str">
        <x:f>IF($X46="","",INDEX('sheet2-计算明细'!$AU$17:$AU$219,$X46))</x:f>
        <x:v>DD_long不可识别；</x:v>
      </x:c>
      <x:c r="X46" s="15" t="n">
        <x:f>IF($A46&gt;COUNT('sheet2-计算明细'!$AT$17:$AT$219),"",MATCH($A46,'sheet2-计算明细'!$AT$17:$AT$219,0))</x:f>
        <x:v>152</x:v>
      </x:c>
    </x:row>
    <x:row r="47" ht="28" customHeight="1">
      <x:c r="A47" s="4" t="n">
        <x:v>42</x:v>
      </x:c>
      <x:c r="B47" s="15" t="str">
        <x:f>IF($X47="","",INDEX('sheet2-计算明细'!$B$17:$B$219,$X47))</x:f>
        <x:v>庄贤亨贞期权对冲</x:v>
      </x:c>
      <x:c r="C47" s="15" t="str">
        <x:f>IF($X47="","",INDEX('sheet2-计算明细'!$C$17:$C$219,$X47))</x:f>
        <x:v>STW239</x:v>
      </x:c>
      <x:c r="D47" s="15" t="str">
        <x:f>IF($X47="","",INDEX('sheet2-计算明细'!$D$17:$D$219,$X47))</x:f>
        <x:v>杭州庄贤投资</x:v>
      </x:c>
      <x:c r="E47" s="15" t="str">
        <x:f>IF($X47="","",INDEX('sheet2-计算明细'!$G$17:$G$219,$X47))</x:f>
        <x:v>入池</x:v>
      </x:c>
      <x:c r="F47" s="16" t="n">
        <x:f>IF($X47="","",INDEX('sheet2-计算明细'!$I$17:$I$219,$X47))</x:f>
        <x:v>90</x:v>
      </x:c>
      <x:c r="G47" s="16" t="n">
        <x:f>IF($X47="","",INDEX('sheet2-计算明细'!$K$17:$K$219,$X47))</x:f>
        <x:v>100</x:v>
      </x:c>
      <x:c r="H47" s="16" t="n">
        <x:f>IF($X47="","",INDEX('sheet2-计算明细'!$L$17:$L$219,$X47))</x:f>
        <x:v>100</x:v>
      </x:c>
      <x:c r="I47" s="16" t="n">
        <x:f>IF($X47="","",INDEX('sheet2-计算明细'!$S$17:$S$219,$X47))</x:f>
        <x:v>40.2</x:v>
      </x:c>
      <x:c r="J47" s="16" t="n">
        <x:f>IF($X47="","",INDEX('sheet2-计算明细'!$Y$17:$Y$219,$X47))</x:f>
        <x:v>73.21</x:v>
      </x:c>
      <x:c r="K47" s="16" t="n">
        <x:f>IF($X47="","",INDEX('sheet2-计算明细'!$AC$17:$AC$219,$X47))</x:f>
        <x:v>82.18</x:v>
      </x:c>
      <x:c r="L47" s="16" t="n">
        <x:f>IF($X47="","",INDEX('sheet2-计算明细'!$AI$17:$AI$219,$X47))</x:f>
        <x:v>78.09</x:v>
      </x:c>
      <x:c r="M47" s="16" t="n">
        <x:f>IF($X47="","",INDEX('sheet2-计算明细'!$AK$17:$AK$219,$X47))</x:f>
        <x:v>80</x:v>
      </x:c>
      <x:c r="N47" s="17" t="n">
        <x:f t="shared" si="0">IF(ISNUMBER(INDEX('sheet2-计算明细'!$AL$17:$AL$219,$X47)),INDEX('sheet2-计算明细'!$AL$17:$AL$219,$X47),"")</x:f>
        <x:v>96</x:v>
      </x:c>
      <x:c r="O47" s="17" t="n">
        <x:f t="shared" si="1">IF(ISNUMBER(INDEX('sheet2-计算明细'!$AM$17:$AM$219,$X47)),INDEX('sheet2-计算明细'!$AM$17:$AM$219,$X47),"")</x:f>
        <x:v>50.1</x:v>
      </x:c>
      <x:c r="P47" s="17" t="n">
        <x:f t="shared" si="2">IF(ISNUMBER(INDEX('sheet2-计算明细'!$AN$17:$AN$219,$X47)),INDEX('sheet2-计算明细'!$AN$17:$AN$219,$X47),"")</x:f>
        <x:v>82.18</x:v>
      </x:c>
      <x:c r="Q47" s="17" t="n">
        <x:f t="shared" si="3">IF(ISNUMBER(INDEX('sheet2-计算明细'!$AO$17:$AO$219,$X47)),INDEX('sheet2-计算明细'!$AO$17:$AO$219,$X47),"")</x:f>
        <x:v>78.09</x:v>
      </x:c>
      <x:c r="R47" s="17" t="n">
        <x:f t="shared" si="4">IF(ISNUMBER(INDEX('sheet2-计算明细'!$AP$17:$AP$219,$X47)),INDEX('sheet2-计算明细'!$AP$17:$AP$219,$X47),"")</x:f>
        <x:v>80</x:v>
      </x:c>
      <x:c r="S47" s="18" t="n">
        <x:f>IF($X47="","",INDEX('sheet2-计算明细'!$AQ$17:$AQ$219,$X47))</x:f>
        <x:v>1</x:v>
      </x:c>
      <x:c r="T47" s="16" t="n">
        <x:f>IF($X47="","",INDEX('sheet2-计算明细'!$AR$17:$AR$219,$X47))</x:f>
        <x:v>76.39097</x:v>
      </x:c>
      <x:c r="U47" s="17" t="n">
        <x:f t="shared" si="5">IF(S47=0,"",ROUND(T47/S47,2))</x:f>
        <x:v>76.39</x:v>
      </x:c>
      <x:c r="V47" s="17" t="n">
        <x:f t="shared" si="6">IF(ABS(S47-1)&lt;0.00000001,T47,"")</x:f>
        <x:v>76.39097</x:v>
      </x:c>
      <x:c r="W47" s="19" t="str">
        <x:f>IF($X47="","",INDEX('sheet2-计算明细'!$AU$17:$AU$219,$X47))</x:f>
      </x:c>
      <x:c r="X47" s="15" t="n">
        <x:f>IF($A47&gt;COUNT('sheet2-计算明细'!$AT$17:$AT$219),"",MATCH($A47,'sheet2-计算明细'!$AT$17:$AT$219,0))</x:f>
        <x:v>144</x:v>
      </x:c>
    </x:row>
    <x:row r="48" ht="28" customHeight="1">
      <x:c r="A48" s="4" t="n">
        <x:v>43</x:v>
      </x:c>
      <x:c r="B48" s="15" t="str">
        <x:f>IF($X48="","",INDEX('sheet2-计算明细'!$B$17:$B$219,$X48))</x:f>
        <x:v>殊馥兴义6号</x:v>
      </x:c>
      <x:c r="C48" s="15" t="str">
        <x:f>IF($X48="","",INDEX('sheet2-计算明细'!$C$17:$C$219,$X48))</x:f>
        <x:v>SXQ267</x:v>
      </x:c>
      <x:c r="D48" s="15" t="str">
        <x:f>IF($X48="","",INDEX('sheet2-计算明细'!$D$17:$D$219,$X48))</x:f>
        <x:v>上海殊馥投资</x:v>
      </x:c>
      <x:c r="E48" s="15" t="str">
        <x:f>IF($X48="","",INDEX('sheet2-计算明细'!$G$17:$G$219,$X48))</x:f>
        <x:v>入池</x:v>
      </x:c>
      <x:c r="F48" s="16" t="n">
        <x:f>IF($X48="","",INDEX('sheet2-计算明细'!$I$17:$I$219,$X48))</x:f>
        <x:v>80</x:v>
      </x:c>
      <x:c r="G48" s="16" t="n">
        <x:f>IF($X48="","",INDEX('sheet2-计算明细'!$K$17:$K$219,$X48))</x:f>
        <x:v>100</x:v>
      </x:c>
      <x:c r="H48" s="16" t="n">
        <x:f>IF($X48="","",INDEX('sheet2-计算明细'!$L$17:$L$219,$X48))</x:f>
        <x:v>100</x:v>
      </x:c>
      <x:c r="I48" s="16" t="n">
        <x:f>IF($X48="","",INDEX('sheet2-计算明细'!$S$17:$S$219,$X48))</x:f>
        <x:v>60.49</x:v>
      </x:c>
      <x:c r="J48" s="16" t="n">
        <x:f>IF($X48="","",INDEX('sheet2-计算明细'!$Y$17:$Y$219,$X48))</x:f>
        <x:v>74.87</x:v>
      </x:c>
      <x:c r="K48" s="16" t="n">
        <x:f>IF($X48="","",INDEX('sheet2-计算明细'!$AC$17:$AC$219,$X48))</x:f>
        <x:v>76.73</x:v>
      </x:c>
      <x:c r="L48" s="16" t="n">
        <x:f>IF($X48="","",INDEX('sheet2-计算明细'!$AI$17:$AI$219,$X48))</x:f>
        <x:v>61.19</x:v>
      </x:c>
      <x:c r="M48" s="16" t="n">
        <x:f>IF($X48="","",INDEX('sheet2-计算明细'!$AK$17:$AK$219,$X48))</x:f>
        <x:v>100</x:v>
      </x:c>
      <x:c r="N48" s="17" t="n">
        <x:f t="shared" si="0">IF(ISNUMBER(INDEX('sheet2-计算明细'!$AL$17:$AL$219,$X48)),INDEX('sheet2-计算明细'!$AL$17:$AL$219,$X48),"")</x:f>
        <x:v>92</x:v>
      </x:c>
      <x:c r="O48" s="17" t="n">
        <x:f t="shared" si="1">IF(ISNUMBER(INDEX('sheet2-计算明细'!$AM$17:$AM$219,$X48)),INDEX('sheet2-计算明细'!$AM$17:$AM$219,$X48),"")</x:f>
        <x:v>64.81</x:v>
      </x:c>
      <x:c r="P48" s="17" t="n">
        <x:f t="shared" si="2">IF(ISNUMBER(INDEX('sheet2-计算明细'!$AN$17:$AN$219,$X48)),INDEX('sheet2-计算明细'!$AN$17:$AN$219,$X48),"")</x:f>
        <x:v>76.73</x:v>
      </x:c>
      <x:c r="Q48" s="17" t="n">
        <x:f t="shared" si="3">IF(ISNUMBER(INDEX('sheet2-计算明细'!$AO$17:$AO$219,$X48)),INDEX('sheet2-计算明细'!$AO$17:$AO$219,$X48),"")</x:f>
        <x:v>61.19</x:v>
      </x:c>
      <x:c r="R48" s="17" t="n">
        <x:f t="shared" si="4">IF(ISNUMBER(INDEX('sheet2-计算明细'!$AP$17:$AP$219,$X48)),INDEX('sheet2-计算明细'!$AP$17:$AP$219,$X48),"")</x:f>
        <x:v>100</x:v>
      </x:c>
      <x:c r="S48" s="18" t="n">
        <x:f>IF($X48="","",INDEX('sheet2-计算明细'!$AQ$17:$AQ$219,$X48))</x:f>
        <x:v>0.88</x:v>
      </x:c>
      <x:c r="T48" s="16" t="n">
        <x:f>IF($X48="","",INDEX('sheet2-计算明细'!$AR$17:$AR$219,$X48))</x:f>
        <x:v>66.95793</x:v>
      </x:c>
      <x:c r="U48" s="17" t="n">
        <x:f t="shared" si="5">IF(S48=0,"",ROUND(T48/S48,2))</x:f>
        <x:v>76.09</x:v>
      </x:c>
      <x:c r="V48" s="17" t="str">
        <x:f t="shared" si="6">IF(ABS(S48-1)&lt;0.00000001,T48,"")</x:f>
      </x:c>
      <x:c r="W48" s="19" t="str">
        <x:f>IF($X48="","",INDEX('sheet2-计算明细'!$AU$17:$AU$219,$X48))</x:f>
        <x:v>DD_long不可识别；</x:v>
      </x:c>
      <x:c r="X48" s="15" t="n">
        <x:f>IF($A48&gt;COUNT('sheet2-计算明细'!$AT$17:$AT$219),"",MATCH($A48,'sheet2-计算明细'!$AT$17:$AT$219,0))</x:f>
        <x:v>161</x:v>
      </x:c>
    </x:row>
    <x:row r="49" ht="28" customHeight="1">
      <x:c r="A49" s="4" t="n">
        <x:v>44</x:v>
      </x:c>
      <x:c r="B49" s="15" t="str">
        <x:f>IF($X49="","",INDEX('sheet2-计算明细'!$B$17:$B$219,$X49))</x:f>
        <x:v>博普稳增3号A类</x:v>
      </x:c>
      <x:c r="C49" s="15" t="str">
        <x:f>IF($X49="","",INDEX('sheet2-计算明细'!$C$17:$C$219,$X49))</x:f>
        <x:v>W7191A</x:v>
      </x:c>
      <x:c r="D49" s="15" t="str">
        <x:f>IF($X49="","",INDEX('sheet2-计算明细'!$D$17:$D$219,$X49))</x:f>
        <x:v>深圳博普科技</x:v>
      </x:c>
      <x:c r="E49" s="15" t="str">
        <x:f>IF($X49="","",INDEX('sheet2-计算明细'!$G$17:$G$219,$X49))</x:f>
        <x:v>入池</x:v>
      </x:c>
      <x:c r="F49" s="16" t="n">
        <x:f>IF($X49="","",INDEX('sheet2-计算明细'!$I$17:$I$219,$X49))</x:f>
        <x:v>100</x:v>
      </x:c>
      <x:c r="G49" s="16" t="str">
        <x:f>IF($X49="","",INDEX('sheet2-计算明细'!$K$17:$K$219,$X49))</x:f>
      </x:c>
      <x:c r="H49" s="16" t="n">
        <x:f>IF($X49="","",INDEX('sheet2-计算明细'!$L$17:$L$219,$X49))</x:f>
        <x:v>100</x:v>
      </x:c>
      <x:c r="I49" s="16" t="n">
        <x:f>IF($X49="","",INDEX('sheet2-计算明细'!$S$17:$S$219,$X49))</x:f>
        <x:v>44.95</x:v>
      </x:c>
      <x:c r="J49" s="16" t="n">
        <x:f>IF($X49="","",INDEX('sheet2-计算明细'!$Y$17:$Y$219,$X49))</x:f>
        <x:v>87.05</x:v>
      </x:c>
      <x:c r="K49" s="16" t="n">
        <x:f>IF($X49="","",INDEX('sheet2-计算明细'!$AC$17:$AC$219,$X49))</x:f>
        <x:v>74.5</x:v>
      </x:c>
      <x:c r="L49" s="16" t="n">
        <x:f>IF($X49="","",INDEX('sheet2-计算明细'!$AI$17:$AI$219,$X49))</x:f>
        <x:v>72.28</x:v>
      </x:c>
      <x:c r="M49" s="16" t="n">
        <x:f>IF($X49="","",INDEX('sheet2-计算明细'!$AK$17:$AK$219,$X49))</x:f>
        <x:v>100</x:v>
      </x:c>
      <x:c r="N49" s="17" t="n">
        <x:f t="shared" si="0">IF(ISNUMBER(INDEX('sheet2-计算明细'!$AL$17:$AL$219,$X49)),INDEX('sheet2-计算明细'!$AL$17:$AL$219,$X49),"")</x:f>
        <x:v>100</x:v>
      </x:c>
      <x:c r="O49" s="17" t="n">
        <x:f t="shared" si="1">IF(ISNUMBER(INDEX('sheet2-计算明细'!$AM$17:$AM$219,$X49)),INDEX('sheet2-计算明细'!$AM$17:$AM$219,$X49),"")</x:f>
        <x:v>57.58</x:v>
      </x:c>
      <x:c r="P49" s="17" t="n">
        <x:f t="shared" si="2">IF(ISNUMBER(INDEX('sheet2-计算明细'!$AN$17:$AN$219,$X49)),INDEX('sheet2-计算明细'!$AN$17:$AN$219,$X49),"")</x:f>
        <x:v>74.5</x:v>
      </x:c>
      <x:c r="Q49" s="17" t="n">
        <x:f t="shared" si="3">IF(ISNUMBER(INDEX('sheet2-计算明细'!$AO$17:$AO$219,$X49)),INDEX('sheet2-计算明细'!$AO$17:$AO$219,$X49),"")</x:f>
        <x:v>72.28</x:v>
      </x:c>
      <x:c r="R49" s="17" t="n">
        <x:f t="shared" si="4">IF(ISNUMBER(INDEX('sheet2-计算明细'!$AP$17:$AP$219,$X49)),INDEX('sheet2-计算明细'!$AP$17:$AP$219,$X49),"")</x:f>
        <x:v>100</x:v>
      </x:c>
      <x:c r="S49" s="18" t="n">
        <x:f>IF($X49="","",INDEX('sheet2-计算明细'!$AQ$17:$AQ$219,$X49))</x:f>
        <x:v>0.9550000000000001</x:v>
      </x:c>
      <x:c r="T49" s="16" t="n">
        <x:f>IF($X49="","",INDEX('sheet2-计算明细'!$AR$17:$AR$219,$X49))</x:f>
        <x:v>72.32407</x:v>
      </x:c>
      <x:c r="U49" s="17" t="n">
        <x:f t="shared" si="5">IF(S49=0,"",ROUND(T49/S49,2))</x:f>
        <x:v>75.73</x:v>
      </x:c>
      <x:c r="V49" s="17" t="str">
        <x:f t="shared" si="6">IF(ABS(S49-1)&lt;0.00000001,T49,"")</x:f>
      </x:c>
      <x:c r="W49" s="19" t="str">
        <x:f>IF($X49="","",INDEX('sheet2-计算明细'!$AU$17:$AU$219,$X49))</x:f>
        <x:v>产品规模标识；</x:v>
      </x:c>
      <x:c r="X49" s="15" t="n">
        <x:f>IF($A49&gt;COUNT('sheet2-计算明细'!$AT$17:$AT$219),"",MATCH($A49,'sheet2-计算明细'!$AT$17:$AT$219,0))</x:f>
        <x:v>198</x:v>
      </x:c>
    </x:row>
    <x:row r="50" ht="28" customHeight="1">
      <x:c r="A50" s="4" t="n">
        <x:v>45</x:v>
      </x:c>
      <x:c r="B50" s="15" t="str">
        <x:f>IF($X50="","",INDEX('sheet2-计算明细'!$B$17:$B$219,$X50))</x:f>
        <x:v>钧誉酬勤量化3号</x:v>
      </x:c>
      <x:c r="C50" s="15" t="str">
        <x:f>IF($X50="","",INDEX('sheet2-计算明细'!$C$17:$C$219,$X50))</x:f>
        <x:v>SVP121</x:v>
      </x:c>
      <x:c r="D50" s="15" t="str">
        <x:f>IF($X50="","",INDEX('sheet2-计算明细'!$D$17:$D$219,$X50))</x:f>
        <x:v>珠海钧誉资管</x:v>
      </x:c>
      <x:c r="E50" s="15" t="str">
        <x:f>IF($X50="","",INDEX('sheet2-计算明细'!$G$17:$G$219,$X50))</x:f>
        <x:v>入池</x:v>
      </x:c>
      <x:c r="F50" s="16" t="n">
        <x:f>IF($X50="","",INDEX('sheet2-计算明细'!$I$17:$I$219,$X50))</x:f>
        <x:v>60</x:v>
      </x:c>
      <x:c r="G50" s="16" t="n">
        <x:f>IF($X50="","",INDEX('sheet2-计算明细'!$K$17:$K$219,$X50))</x:f>
        <x:v>100</x:v>
      </x:c>
      <x:c r="H50" s="16" t="n">
        <x:f>IF($X50="","",INDEX('sheet2-计算明细'!$L$17:$L$219,$X50))</x:f>
        <x:v>100</x:v>
      </x:c>
      <x:c r="I50" s="16" t="n">
        <x:f>IF($X50="","",INDEX('sheet2-计算明细'!$S$17:$S$219,$X50))</x:f>
        <x:v>47.67</x:v>
      </x:c>
      <x:c r="J50" s="16" t="n">
        <x:f>IF($X50="","",INDEX('sheet2-计算明细'!$Y$17:$Y$219,$X50))</x:f>
        <x:v>80.38</x:v>
      </x:c>
      <x:c r="K50" s="16" t="n">
        <x:f>IF($X50="","",INDEX('sheet2-计算明细'!$AC$17:$AC$219,$X50))</x:f>
        <x:v>80.69</x:v>
      </x:c>
      <x:c r="L50" s="16" t="n">
        <x:f>IF($X50="","",INDEX('sheet2-计算明细'!$AI$17:$AI$219,$X50))</x:f>
        <x:v>71.24</x:v>
      </x:c>
      <x:c r="M50" s="16" t="n">
        <x:f>IF($X50="","",INDEX('sheet2-计算明细'!$AK$17:$AK$219,$X50))</x:f>
        <x:v>100</x:v>
      </x:c>
      <x:c r="N50" s="17" t="n">
        <x:f t="shared" si="0">IF(ISNUMBER(INDEX('sheet2-计算明细'!$AL$17:$AL$219,$X50)),INDEX('sheet2-计算明细'!$AL$17:$AL$219,$X50),"")</x:f>
        <x:v>84</x:v>
      </x:c>
      <x:c r="O50" s="17" t="n">
        <x:f t="shared" si="1">IF(ISNUMBER(INDEX('sheet2-计算明细'!$AM$17:$AM$219,$X50)),INDEX('sheet2-计算明细'!$AM$17:$AM$219,$X50),"")</x:f>
        <x:v>57.48</x:v>
      </x:c>
      <x:c r="P50" s="17" t="n">
        <x:f t="shared" si="2">IF(ISNUMBER(INDEX('sheet2-计算明细'!$AN$17:$AN$219,$X50)),INDEX('sheet2-计算明细'!$AN$17:$AN$219,$X50),"")</x:f>
        <x:v>80.69</x:v>
      </x:c>
      <x:c r="Q50" s="17" t="n">
        <x:f t="shared" si="3">IF(ISNUMBER(INDEX('sheet2-计算明细'!$AO$17:$AO$219,$X50)),INDEX('sheet2-计算明细'!$AO$17:$AO$219,$X50),"")</x:f>
        <x:v>71.24</x:v>
      </x:c>
      <x:c r="R50" s="17" t="n">
        <x:f t="shared" si="4">IF(ISNUMBER(INDEX('sheet2-计算明细'!$AP$17:$AP$219,$X50)),INDEX('sheet2-计算明细'!$AP$17:$AP$219,$X50),"")</x:f>
        <x:v>100</x:v>
      </x:c>
      <x:c r="S50" s="18" t="n">
        <x:f>IF($X50="","",INDEX('sheet2-计算明细'!$AQ$17:$AQ$219,$X50))</x:f>
        <x:v>1</x:v>
      </x:c>
      <x:c r="T50" s="16" t="n">
        <x:f>IF($X50="","",INDEX('sheet2-计算明细'!$AR$17:$AR$219,$X50))</x:f>
        <x:v>75.64252</x:v>
      </x:c>
      <x:c r="U50" s="17" t="n">
        <x:f t="shared" si="5">IF(S50=0,"",ROUND(T50/S50,2))</x:f>
        <x:v>75.64</x:v>
      </x:c>
      <x:c r="V50" s="17" t="n">
        <x:f t="shared" si="6">IF(ABS(S50-1)&lt;0.00000001,T50,"")</x:f>
        <x:v>75.64252</x:v>
      </x:c>
      <x:c r="W50" s="19" t="str">
        <x:f>IF($X50="","",INDEX('sheet2-计算明细'!$AU$17:$AU$219,$X50))</x:f>
      </x:c>
      <x:c r="X50" s="15" t="n">
        <x:f>IF($A50&gt;COUNT('sheet2-计算明细'!$AT$17:$AT$219),"",MATCH($A50,'sheet2-计算明细'!$AT$17:$AT$219,0))</x:f>
        <x:v>47</x:v>
      </x:c>
    </x:row>
    <x:row r="51" ht="28" customHeight="1">
      <x:c r="A51" s="4" t="n">
        <x:v>46</x:v>
      </x:c>
      <x:c r="B51" s="15" t="str">
        <x:f>IF($X51="","",INDEX('sheet2-计算明细'!$B$17:$B$219,$X51))</x:f>
        <x:v>殊馥兴义2号</x:v>
      </x:c>
      <x:c r="C51" s="15" t="str">
        <x:f>IF($X51="","",INDEX('sheet2-计算明细'!$C$17:$C$219,$X51))</x:f>
        <x:v>SGH592</x:v>
      </x:c>
      <x:c r="D51" s="15" t="str">
        <x:f>IF($X51="","",INDEX('sheet2-计算明细'!$D$17:$D$219,$X51))</x:f>
        <x:v>上海殊馥投资</x:v>
      </x:c>
      <x:c r="E51" s="15" t="str">
        <x:f>IF($X51="","",INDEX('sheet2-计算明细'!$G$17:$G$219,$X51))</x:f>
        <x:v>入池</x:v>
      </x:c>
      <x:c r="F51" s="16" t="n">
        <x:f>IF($X51="","",INDEX('sheet2-计算明细'!$I$17:$I$219,$X51))</x:f>
        <x:v>80</x:v>
      </x:c>
      <x:c r="G51" s="16" t="n">
        <x:f>IF($X51="","",INDEX('sheet2-计算明细'!$K$17:$K$219,$X51))</x:f>
        <x:v>100</x:v>
      </x:c>
      <x:c r="H51" s="16" t="n">
        <x:f>IF($X51="","",INDEX('sheet2-计算明细'!$L$17:$L$219,$X51))</x:f>
        <x:v>100</x:v>
      </x:c>
      <x:c r="I51" s="16" t="n">
        <x:f>IF($X51="","",INDEX('sheet2-计算明细'!$S$17:$S$219,$X51))</x:f>
        <x:v>64.26</x:v>
      </x:c>
      <x:c r="J51" s="16" t="n">
        <x:f>IF($X51="","",INDEX('sheet2-计算明细'!$Y$17:$Y$219,$X51))</x:f>
        <x:v>76.54</x:v>
      </x:c>
      <x:c r="K51" s="16" t="n">
        <x:f>IF($X51="","",INDEX('sheet2-计算明细'!$AC$17:$AC$219,$X51))</x:f>
        <x:v>73.76</x:v>
      </x:c>
      <x:c r="L51" s="16" t="n">
        <x:f>IF($X51="","",INDEX('sheet2-计算明细'!$AI$17:$AI$219,$X51))</x:f>
        <x:v>59.2</x:v>
      </x:c>
      <x:c r="M51" s="16" t="n">
        <x:f>IF($X51="","",INDEX('sheet2-计算明细'!$AK$17:$AK$219,$X51))</x:f>
        <x:v>100</x:v>
      </x:c>
      <x:c r="N51" s="17" t="n">
        <x:f t="shared" si="0">IF(ISNUMBER(INDEX('sheet2-计算明细'!$AL$17:$AL$219,$X51)),INDEX('sheet2-计算明细'!$AL$17:$AL$219,$X51),"")</x:f>
        <x:v>92</x:v>
      </x:c>
      <x:c r="O51" s="17" t="n">
        <x:f t="shared" si="1">IF(ISNUMBER(INDEX('sheet2-计算明细'!$AM$17:$AM$219,$X51)),INDEX('sheet2-计算明细'!$AM$17:$AM$219,$X51),"")</x:f>
        <x:v>67.94</x:v>
      </x:c>
      <x:c r="P51" s="17" t="n">
        <x:f t="shared" si="2">IF(ISNUMBER(INDEX('sheet2-计算明细'!$AN$17:$AN$219,$X51)),INDEX('sheet2-计算明细'!$AN$17:$AN$219,$X51),"")</x:f>
        <x:v>73.76</x:v>
      </x:c>
      <x:c r="Q51" s="17" t="n">
        <x:f t="shared" si="3">IF(ISNUMBER(INDEX('sheet2-计算明细'!$AO$17:$AO$219,$X51)),INDEX('sheet2-计算明细'!$AO$17:$AO$219,$X51),"")</x:f>
        <x:v>59.2</x:v>
      </x:c>
      <x:c r="R51" s="17" t="n">
        <x:f t="shared" si="4">IF(ISNUMBER(INDEX('sheet2-计算明细'!$AP$17:$AP$219,$X51)),INDEX('sheet2-计算明细'!$AP$17:$AP$219,$X51),"")</x:f>
        <x:v>100</x:v>
      </x:c>
      <x:c r="S51" s="18" t="n">
        <x:f>IF($X51="","",INDEX('sheet2-计算明细'!$AQ$17:$AQ$219,$X51))</x:f>
        <x:v>0.88</x:v>
      </x:c>
      <x:c r="T51" s="16" t="n">
        <x:f>IF($X51="","",INDEX('sheet2-计算明细'!$AR$17:$AR$219,$X51))</x:f>
        <x:v>66.48437000000001</x:v>
      </x:c>
      <x:c r="U51" s="17" t="n">
        <x:f t="shared" si="5">IF(S51=0,"",ROUND(T51/S51,2))</x:f>
        <x:v>75.55</x:v>
      </x:c>
      <x:c r="V51" s="17" t="str">
        <x:f t="shared" si="6">IF(ABS(S51-1)&lt;0.00000001,T51,"")</x:f>
      </x:c>
      <x:c r="W51" s="19" t="str">
        <x:f>IF($X51="","",INDEX('sheet2-计算明细'!$AU$17:$AU$219,$X51))</x:f>
        <x:v>DD_long不可识别；</x:v>
      </x:c>
      <x:c r="X51" s="15" t="n">
        <x:f>IF($A51&gt;COUNT('sheet2-计算明细'!$AT$17:$AT$219),"",MATCH($A51,'sheet2-计算明细'!$AT$17:$AT$219,0))</x:f>
        <x:v>119</x:v>
      </x:c>
    </x:row>
    <x:row r="52" ht="28" customHeight="1">
      <x:c r="A52" s="4" t="n">
        <x:v>47</x:v>
      </x:c>
      <x:c r="B52" s="15" t="str">
        <x:f>IF($X52="","",INDEX('sheet2-计算明细'!$B$17:$B$219,$X52))</x:f>
        <x:v>佳泽信享5号A类</x:v>
      </x:c>
      <x:c r="C52" s="15" t="str">
        <x:f>IF($X52="","",INDEX('sheet2-计算明细'!$C$17:$C$219,$X52))</x:f>
        <x:v>ZC395A</x:v>
      </x:c>
      <x:c r="D52" s="15" t="str">
        <x:f>IF($X52="","",INDEX('sheet2-计算明细'!$D$17:$D$219,$X52))</x:f>
        <x:v>海南佳泽</x:v>
      </x:c>
      <x:c r="E52" s="15" t="str">
        <x:f>IF($X52="","",INDEX('sheet2-计算明细'!$G$17:$G$219,$X52))</x:f>
        <x:v>入池</x:v>
      </x:c>
      <x:c r="F52" s="16" t="n">
        <x:f>IF($X52="","",INDEX('sheet2-计算明细'!$I$17:$I$219,$X52))</x:f>
        <x:v>60</x:v>
      </x:c>
      <x:c r="G52" s="16" t="str">
        <x:f>IF($X52="","",INDEX('sheet2-计算明细'!$K$17:$K$219,$X52))</x:f>
      </x:c>
      <x:c r="H52" s="16" t="n">
        <x:f>IF($X52="","",INDEX('sheet2-计算明细'!$L$17:$L$219,$X52))</x:f>
        <x:v>100</x:v>
      </x:c>
      <x:c r="I52" s="16" t="n">
        <x:f>IF($X52="","",INDEX('sheet2-计算明细'!$S$17:$S$219,$X52))</x:f>
        <x:v>55.25</x:v>
      </x:c>
      <x:c r="J52" s="16" t="n">
        <x:f>IF($X52="","",INDEX('sheet2-计算明细'!$Y$17:$Y$219,$X52))</x:f>
        <x:v>85.38</x:v>
      </x:c>
      <x:c r="K52" s="16" t="n">
        <x:f>IF($X52="","",INDEX('sheet2-计算明细'!$AC$17:$AC$219,$X52))</x:f>
        <x:v>70.05</x:v>
      </x:c>
      <x:c r="L52" s="16" t="n">
        <x:f>IF($X52="","",INDEX('sheet2-计算明细'!$AI$17:$AI$219,$X52))</x:f>
        <x:v>78.5</x:v>
      </x:c>
      <x:c r="M52" s="16" t="n">
        <x:f>IF($X52="","",INDEX('sheet2-计算明细'!$AK$17:$AK$219,$X52))</x:f>
        <x:v>100</x:v>
      </x:c>
      <x:c r="N52" s="17" t="n">
        <x:f t="shared" si="0">IF(ISNUMBER(INDEX('sheet2-计算明细'!$AL$17:$AL$219,$X52)),INDEX('sheet2-计算明细'!$AL$17:$AL$219,$X52),"")</x:f>
        <x:v>77.14</x:v>
      </x:c>
      <x:c r="O52" s="17" t="n">
        <x:f t="shared" si="1">IF(ISNUMBER(INDEX('sheet2-计算明细'!$AM$17:$AM$219,$X52)),INDEX('sheet2-计算明细'!$AM$17:$AM$219,$X52),"")</x:f>
        <x:v>64.29</x:v>
      </x:c>
      <x:c r="P52" s="17" t="n">
        <x:f t="shared" si="2">IF(ISNUMBER(INDEX('sheet2-计算明细'!$AN$17:$AN$219,$X52)),INDEX('sheet2-计算明细'!$AN$17:$AN$219,$X52),"")</x:f>
        <x:v>70.05</x:v>
      </x:c>
      <x:c r="Q52" s="17" t="n">
        <x:f t="shared" si="3">IF(ISNUMBER(INDEX('sheet2-计算明细'!$AO$17:$AO$219,$X52)),INDEX('sheet2-计算明细'!$AO$17:$AO$219,$X52),"")</x:f>
        <x:v>78.5</x:v>
      </x:c>
      <x:c r="R52" s="17" t="n">
        <x:f t="shared" si="4">IF(ISNUMBER(INDEX('sheet2-计算明细'!$AP$17:$AP$219,$X52)),INDEX('sheet2-计算明细'!$AP$17:$AP$219,$X52),"")</x:f>
        <x:v>100</x:v>
      </x:c>
      <x:c r="S52" s="18" t="n">
        <x:f>IF($X52="","",INDEX('sheet2-计算明细'!$AQ$17:$AQ$219,$X52))</x:f>
        <x:v>0.9550000000000001</x:v>
      </x:c>
      <x:c r="T52" s="16" t="n">
        <x:f>IF($X52="","",INDEX('sheet2-计算明细'!$AR$17:$AR$219,$X52))</x:f>
        <x:v>72.02118999999999</x:v>
      </x:c>
      <x:c r="U52" s="17" t="n">
        <x:f t="shared" si="5">IF(S52=0,"",ROUND(T52/S52,2))</x:f>
        <x:v>75.41</x:v>
      </x:c>
      <x:c r="V52" s="17" t="str">
        <x:f t="shared" si="6">IF(ABS(S52-1)&lt;0.00000001,T52,"")</x:f>
      </x:c>
      <x:c r="W52" s="19" t="str">
        <x:f>IF($X52="","",INDEX('sheet2-计算明细'!$AU$17:$AU$219,$X52))</x:f>
        <x:v>产品规模标识；</x:v>
      </x:c>
      <x:c r="X52" s="15" t="n">
        <x:f>IF($A52&gt;COUNT('sheet2-计算明细'!$AT$17:$AT$219),"",MATCH($A52,'sheet2-计算明细'!$AT$17:$AT$219,0))</x:f>
        <x:v>75</x:v>
      </x:c>
    </x:row>
    <x:row r="53" ht="28" customHeight="1">
      <x:c r="A53" s="4" t="n">
        <x:v>48</x:v>
      </x:c>
      <x:c r="B53" s="15" t="str">
        <x:f>IF($X53="","",INDEX('sheet2-计算明细'!$B$17:$B$219,$X53))</x:f>
        <x:v>庄贤亨贞期权对冲A类</x:v>
      </x:c>
      <x:c r="C53" s="15" t="str">
        <x:f>IF($X53="","",INDEX('sheet2-计算明细'!$C$17:$C$219,$X53))</x:f>
        <x:v>TW239A</x:v>
      </x:c>
      <x:c r="D53" s="15" t="str">
        <x:f>IF($X53="","",INDEX('sheet2-计算明细'!$D$17:$D$219,$X53))</x:f>
        <x:v>杭州庄贤投资</x:v>
      </x:c>
      <x:c r="E53" s="15" t="str">
        <x:f>IF($X53="","",INDEX('sheet2-计算明细'!$G$17:$G$219,$X53))</x:f>
        <x:v>入池</x:v>
      </x:c>
      <x:c r="F53" s="16" t="n">
        <x:f>IF($X53="","",INDEX('sheet2-计算明细'!$I$17:$I$219,$X53))</x:f>
        <x:v>90</x:v>
      </x:c>
      <x:c r="G53" s="16" t="str">
        <x:f>IF($X53="","",INDEX('sheet2-计算明细'!$K$17:$K$219,$X53))</x:f>
      </x:c>
      <x:c r="H53" s="16" t="n">
        <x:f>IF($X53="","",INDEX('sheet2-计算明细'!$L$17:$L$219,$X53))</x:f>
        <x:v>100</x:v>
      </x:c>
      <x:c r="I53" s="16" t="n">
        <x:f>IF($X53="","",INDEX('sheet2-计算明细'!$S$17:$S$219,$X53))</x:f>
        <x:v>40.2</x:v>
      </x:c>
      <x:c r="J53" s="16" t="n">
        <x:f>IF($X53="","",INDEX('sheet2-计算明细'!$Y$17:$Y$219,$X53))</x:f>
        <x:v>73.21</x:v>
      </x:c>
      <x:c r="K53" s="16" t="n">
        <x:f>IF($X53="","",INDEX('sheet2-计算明细'!$AC$17:$AC$219,$X53))</x:f>
        <x:v>82.18</x:v>
      </x:c>
      <x:c r="L53" s="16" t="n">
        <x:f>IF($X53="","",INDEX('sheet2-计算明细'!$AI$17:$AI$219,$X53))</x:f>
        <x:v>78.09</x:v>
      </x:c>
      <x:c r="M53" s="16" t="n">
        <x:f>IF($X53="","",INDEX('sheet2-计算明细'!$AK$17:$AK$219,$X53))</x:f>
        <x:v>80</x:v>
      </x:c>
      <x:c r="N53" s="17" t="n">
        <x:f t="shared" si="0">IF(ISNUMBER(INDEX('sheet2-计算明细'!$AL$17:$AL$219,$X53)),INDEX('sheet2-计算明细'!$AL$17:$AL$219,$X53),"")</x:f>
        <x:v>94.29</x:v>
      </x:c>
      <x:c r="O53" s="17" t="n">
        <x:f t="shared" si="1">IF(ISNUMBER(INDEX('sheet2-计算明细'!$AM$17:$AM$219,$X53)),INDEX('sheet2-计算明细'!$AM$17:$AM$219,$X53),"")</x:f>
        <x:v>50.1</x:v>
      </x:c>
      <x:c r="P53" s="17" t="n">
        <x:f t="shared" si="2">IF(ISNUMBER(INDEX('sheet2-计算明细'!$AN$17:$AN$219,$X53)),INDEX('sheet2-计算明细'!$AN$17:$AN$219,$X53),"")</x:f>
        <x:v>82.18</x:v>
      </x:c>
      <x:c r="Q53" s="17" t="n">
        <x:f t="shared" si="3">IF(ISNUMBER(INDEX('sheet2-计算明细'!$AO$17:$AO$219,$X53)),INDEX('sheet2-计算明细'!$AO$17:$AO$219,$X53),"")</x:f>
        <x:v>78.09</x:v>
      </x:c>
      <x:c r="R53" s="17" t="n">
        <x:f t="shared" si="4">IF(ISNUMBER(INDEX('sheet2-计算明细'!$AP$17:$AP$219,$X53)),INDEX('sheet2-计算明细'!$AP$17:$AP$219,$X53),"")</x:f>
        <x:v>80</x:v>
      </x:c>
      <x:c r="S53" s="18" t="n">
        <x:f>IF($X53="","",INDEX('sheet2-计算明细'!$AQ$17:$AQ$219,$X53))</x:f>
        <x:v>0.9550000000000001</x:v>
      </x:c>
      <x:c r="T53" s="16" t="n">
        <x:f>IF($X53="","",INDEX('sheet2-计算明细'!$AR$17:$AR$219,$X53))</x:f>
        <x:v>71.89097000000001</x:v>
      </x:c>
      <x:c r="U53" s="17" t="n">
        <x:f t="shared" si="5">IF(S53=0,"",ROUND(T53/S53,2))</x:f>
        <x:v>75.28</x:v>
      </x:c>
      <x:c r="V53" s="17" t="str">
        <x:f t="shared" si="6">IF(ABS(S53-1)&lt;0.00000001,T53,"")</x:f>
      </x:c>
      <x:c r="W53" s="19" t="str">
        <x:f>IF($X53="","",INDEX('sheet2-计算明细'!$AU$17:$AU$219,$X53))</x:f>
        <x:v>产品规模标识；</x:v>
      </x:c>
      <x:c r="X53" s="15" t="n">
        <x:f>IF($A53&gt;COUNT('sheet2-计算明细'!$AT$17:$AT$219),"",MATCH($A53,'sheet2-计算明细'!$AT$17:$AT$219,0))</x:f>
        <x:v>194</x:v>
      </x:c>
    </x:row>
    <x:row r="54" ht="28" customHeight="1">
      <x:c r="A54" s="4" t="n">
        <x:v>49</x:v>
      </x:c>
      <x:c r="B54" s="15" t="str">
        <x:f>IF($X54="","",INDEX('sheet2-计算明细'!$B$17:$B$219,$X54))</x:f>
        <x:v>博普稳增3号</x:v>
      </x:c>
      <x:c r="C54" s="15" t="str">
        <x:f>IF($X54="","",INDEX('sheet2-计算明细'!$C$17:$C$219,$X54))</x:f>
        <x:v>SW7191</x:v>
      </x:c>
      <x:c r="D54" s="15" t="str">
        <x:f>IF($X54="","",INDEX('sheet2-计算明细'!$D$17:$D$219,$X54))</x:f>
        <x:v>深圳博普科技</x:v>
      </x:c>
      <x:c r="E54" s="15" t="str">
        <x:f>IF($X54="","",INDEX('sheet2-计算明细'!$G$17:$G$219,$X54))</x:f>
        <x:v>入池</x:v>
      </x:c>
      <x:c r="F54" s="16" t="n">
        <x:f>IF($X54="","",INDEX('sheet2-计算明细'!$I$17:$I$219,$X54))</x:f>
        <x:v>100</x:v>
      </x:c>
      <x:c r="G54" s="16" t="n">
        <x:f>IF($X54="","",INDEX('sheet2-计算明细'!$K$17:$K$219,$X54))</x:f>
        <x:v>100</x:v>
      </x:c>
      <x:c r="H54" s="16" t="n">
        <x:f>IF($X54="","",INDEX('sheet2-计算明细'!$L$17:$L$219,$X54))</x:f>
        <x:v>100</x:v>
      </x:c>
      <x:c r="I54" s="16" t="n">
        <x:f>IF($X54="","",INDEX('sheet2-计算明细'!$S$17:$S$219,$X54))</x:f>
        <x:v>39.46</x:v>
      </x:c>
      <x:c r="J54" s="16" t="n">
        <x:f>IF($X54="","",INDEX('sheet2-计算明细'!$Y$17:$Y$219,$X54))</x:f>
        <x:v>80.77</x:v>
      </x:c>
      <x:c r="K54" s="16" t="n">
        <x:f>IF($X54="","",INDEX('sheet2-计算明细'!$AC$17:$AC$219,$X54))</x:f>
        <x:v>74.5</x:v>
      </x:c>
      <x:c r="L54" s="16" t="n">
        <x:f>IF($X54="","",INDEX('sheet2-计算明细'!$AI$17:$AI$219,$X54))</x:f>
        <x:v>69.33</x:v>
      </x:c>
      <x:c r="M54" s="16" t="n">
        <x:f>IF($X54="","",INDEX('sheet2-计算明细'!$AK$17:$AK$219,$X54))</x:f>
        <x:v>100</x:v>
      </x:c>
      <x:c r="N54" s="17" t="n">
        <x:f t="shared" si="0">IF(ISNUMBER(INDEX('sheet2-计算明细'!$AL$17:$AL$219,$X54)),INDEX('sheet2-计算明细'!$AL$17:$AL$219,$X54),"")</x:f>
        <x:v>100</x:v>
      </x:c>
      <x:c r="O54" s="17" t="n">
        <x:f t="shared" si="1">IF(ISNUMBER(INDEX('sheet2-计算明细'!$AM$17:$AM$219,$X54)),INDEX('sheet2-计算明细'!$AM$17:$AM$219,$X54),"")</x:f>
        <x:v>51.85</x:v>
      </x:c>
      <x:c r="P54" s="17" t="n">
        <x:f t="shared" si="2">IF(ISNUMBER(INDEX('sheet2-计算明细'!$AN$17:$AN$219,$X54)),INDEX('sheet2-计算明细'!$AN$17:$AN$219,$X54),"")</x:f>
        <x:v>74.5</x:v>
      </x:c>
      <x:c r="Q54" s="17" t="n">
        <x:f t="shared" si="3">IF(ISNUMBER(INDEX('sheet2-计算明细'!$AO$17:$AO$219,$X54)),INDEX('sheet2-计算明细'!$AO$17:$AO$219,$X54),"")</x:f>
        <x:v>69.33</x:v>
      </x:c>
      <x:c r="R54" s="17" t="n">
        <x:f t="shared" si="4">IF(ISNUMBER(INDEX('sheet2-计算明细'!$AP$17:$AP$219,$X54)),INDEX('sheet2-计算明细'!$AP$17:$AP$219,$X54),"")</x:f>
        <x:v>100</x:v>
      </x:c>
      <x:c r="S54" s="18" t="n">
        <x:f>IF($X54="","",INDEX('sheet2-计算明细'!$AQ$17:$AQ$219,$X54))</x:f>
        <x:v>1</x:v>
      </x:c>
      <x:c r="T54" s="16" t="n">
        <x:f>IF($X54="","",INDEX('sheet2-计算明细'!$AR$17:$AR$219,$X54))</x:f>
        <x:v>74.79444000000001</x:v>
      </x:c>
      <x:c r="U54" s="17" t="n">
        <x:f t="shared" si="5">IF(S54=0,"",ROUND(T54/S54,2))</x:f>
        <x:v>74.79</x:v>
      </x:c>
      <x:c r="V54" s="17" t="n">
        <x:f t="shared" si="6">IF(ABS(S54-1)&lt;0.00000001,T54,"")</x:f>
        <x:v>74.79444000000001</x:v>
      </x:c>
      <x:c r="W54" s="19" t="str">
        <x:f>IF($X54="","",INDEX('sheet2-计算明细'!$AU$17:$AU$219,$X54))</x:f>
      </x:c>
      <x:c r="X54" s="15" t="n">
        <x:f>IF($A54&gt;COUNT('sheet2-计算明细'!$AT$17:$AT$219),"",MATCH($A54,'sheet2-计算明细'!$AT$17:$AT$219,0))</x:f>
        <x:v>112</x:v>
      </x:c>
    </x:row>
    <x:row r="55" ht="28" customHeight="1">
      <x:c r="A55" s="4" t="n">
        <x:v>50</x:v>
      </x:c>
      <x:c r="B55" s="15" t="str">
        <x:f>IF($X55="","",INDEX('sheet2-计算明细'!$B$17:$B$219,$X55))</x:f>
        <x:v>泽盈毅明1号</x:v>
      </x:c>
      <x:c r="C55" s="15" t="str">
        <x:f>IF($X55="","",INDEX('sheet2-计算明细'!$C$17:$C$219,$X55))</x:f>
        <x:v>STP012</x:v>
      </x:c>
      <x:c r="D55" s="15" t="str">
        <x:f>IF($X55="","",INDEX('sheet2-计算明细'!$D$17:$D$219,$X55))</x:f>
        <x:v>青岛泽盈资管</x:v>
      </x:c>
      <x:c r="E55" s="15" t="str">
        <x:f>IF($X55="","",INDEX('sheet2-计算明细'!$G$17:$G$219,$X55))</x:f>
        <x:v>入池</x:v>
      </x:c>
      <x:c r="F55" s="16" t="n">
        <x:f>IF($X55="","",INDEX('sheet2-计算明细'!$I$17:$I$219,$X55))</x:f>
        <x:v>80</x:v>
      </x:c>
      <x:c r="G55" s="16" t="n">
        <x:f>IF($X55="","",INDEX('sheet2-计算明细'!$K$17:$K$219,$X55))</x:f>
        <x:v>100</x:v>
      </x:c>
      <x:c r="H55" s="16" t="n">
        <x:f>IF($X55="","",INDEX('sheet2-计算明细'!$L$17:$L$219,$X55))</x:f>
        <x:v>100</x:v>
      </x:c>
      <x:c r="I55" s="16" t="n">
        <x:f>IF($X55="","",INDEX('sheet2-计算明细'!$S$17:$S$219,$X55))</x:f>
        <x:v>61.58</x:v>
      </x:c>
      <x:c r="J55" s="16" t="n">
        <x:f>IF($X55="","",INDEX('sheet2-计算明细'!$Y$17:$Y$219,$X55))</x:f>
        <x:v>79.49</x:v>
      </x:c>
      <x:c r="K55" s="16" t="n">
        <x:f>IF($X55="","",INDEX('sheet2-计算明细'!$AC$17:$AC$219,$X55))</x:f>
        <x:v>56.68</x:v>
      </x:c>
      <x:c r="L55" s="16" t="n">
        <x:f>IF($X55="","",INDEX('sheet2-计算明细'!$AI$17:$AI$219,$X55))</x:f>
        <x:v>83.66</x:v>
      </x:c>
      <x:c r="M55" s="16" t="n">
        <x:f>IF($X55="","",INDEX('sheet2-计算明细'!$AK$17:$AK$219,$X55))</x:f>
        <x:v>80</x:v>
      </x:c>
      <x:c r="N55" s="17" t="n">
        <x:f t="shared" si="0">IF(ISNUMBER(INDEX('sheet2-计算明细'!$AL$17:$AL$219,$X55)),INDEX('sheet2-计算明细'!$AL$17:$AL$219,$X55),"")</x:f>
        <x:v>92</x:v>
      </x:c>
      <x:c r="O55" s="17" t="n">
        <x:f t="shared" si="1">IF(ISNUMBER(INDEX('sheet2-计算明细'!$AM$17:$AM$219,$X55)),INDEX('sheet2-计算明细'!$AM$17:$AM$219,$X55),"")</x:f>
        <x:v>66.95</x:v>
      </x:c>
      <x:c r="P55" s="17" t="n">
        <x:f t="shared" si="2">IF(ISNUMBER(INDEX('sheet2-计算明细'!$AN$17:$AN$219,$X55)),INDEX('sheet2-计算明细'!$AN$17:$AN$219,$X55),"")</x:f>
        <x:v>56.68</x:v>
      </x:c>
      <x:c r="Q55" s="17" t="n">
        <x:f t="shared" si="3">IF(ISNUMBER(INDEX('sheet2-计算明细'!$AO$17:$AO$219,$X55)),INDEX('sheet2-计算明细'!$AO$17:$AO$219,$X55),"")</x:f>
        <x:v>83.66</x:v>
      </x:c>
      <x:c r="R55" s="17" t="n">
        <x:f t="shared" si="4">IF(ISNUMBER(INDEX('sheet2-计算明细'!$AP$17:$AP$219,$X55)),INDEX('sheet2-计算明细'!$AP$17:$AP$219,$X55),"")</x:f>
        <x:v>80</x:v>
      </x:c>
      <x:c r="S55" s="18" t="n">
        <x:f>IF($X55="","",INDEX('sheet2-计算明细'!$AQ$17:$AQ$219,$X55))</x:f>
        <x:v>1</x:v>
      </x:c>
      <x:c r="T55" s="16" t="n">
        <x:f>IF($X55="","",INDEX('sheet2-计算明细'!$AR$17:$AR$219,$X55))</x:f>
        <x:v>74.45920000000001</x:v>
      </x:c>
      <x:c r="U55" s="17" t="n">
        <x:f t="shared" si="5">IF(S55=0,"",ROUND(T55/S55,2))</x:f>
        <x:v>74.46</x:v>
      </x:c>
      <x:c r="V55" s="17" t="n">
        <x:f t="shared" si="6">IF(ABS(S55-1)&lt;0.00000001,T55,"")</x:f>
        <x:v>74.45920000000001</x:v>
      </x:c>
      <x:c r="W55" s="19" t="str">
        <x:f>IF($X55="","",INDEX('sheet2-计算明细'!$AU$17:$AU$219,$X55))</x:f>
      </x:c>
      <x:c r="X55" s="15" t="n">
        <x:f>IF($A55&gt;COUNT('sheet2-计算明细'!$AT$17:$AT$219),"",MATCH($A55,'sheet2-计算明细'!$AT$17:$AT$219,0))</x:f>
        <x:v>55</x:v>
      </x:c>
    </x:row>
    <x:row r="56" ht="28" customHeight="1">
      <x:c r="A56" s="4" t="n">
        <x:v>51</x:v>
      </x:c>
      <x:c r="B56" s="15" t="str">
        <x:f>IF($X56="","",INDEX('sheet2-计算明细'!$B$17:$B$219,$X56))</x:f>
        <x:v>博普日添月益</x:v>
      </x:c>
      <x:c r="C56" s="15" t="str">
        <x:f>IF($X56="","",INDEX('sheet2-计算明细'!$C$17:$C$219,$X56))</x:f>
        <x:v>SJW903</x:v>
      </x:c>
      <x:c r="D56" s="15" t="str">
        <x:f>IF($X56="","",INDEX('sheet2-计算明细'!$D$17:$D$219,$X56))</x:f>
        <x:v>深圳前海博普资管</x:v>
      </x:c>
      <x:c r="E56" s="15" t="str">
        <x:f>IF($X56="","",INDEX('sheet2-计算明细'!$G$17:$G$219,$X56))</x:f>
        <x:v>入池</x:v>
      </x:c>
      <x:c r="F56" s="16" t="n">
        <x:f>IF($X56="","",INDEX('sheet2-计算明细'!$I$17:$I$219,$X56))</x:f>
        <x:v>90</x:v>
      </x:c>
      <x:c r="G56" s="16" t="n">
        <x:f>IF($X56="","",INDEX('sheet2-计算明细'!$K$17:$K$219,$X56))</x:f>
        <x:v>100</x:v>
      </x:c>
      <x:c r="H56" s="16" t="n">
        <x:f>IF($X56="","",INDEX('sheet2-计算明细'!$L$17:$L$219,$X56))</x:f>
        <x:v>100</x:v>
      </x:c>
      <x:c r="I56" s="16" t="n">
        <x:f>IF($X56="","",INDEX('sheet2-计算明细'!$S$17:$S$219,$X56))</x:f>
        <x:v>54.35</x:v>
      </x:c>
      <x:c r="J56" s="16" t="n">
        <x:f>IF($X56="","",INDEX('sheet2-计算明细'!$Y$17:$Y$219,$X56))</x:f>
        <x:v>93.33</x:v>
      </x:c>
      <x:c r="K56" s="16" t="n">
        <x:f>IF($X56="","",INDEX('sheet2-计算明细'!$AC$17:$AC$219,$X56))</x:f>
        <x:v>62.62</x:v>
      </x:c>
      <x:c r="L56" s="16" t="n">
        <x:f>IF($X56="","",INDEX('sheet2-计算明细'!$AI$17:$AI$219,$X56))</x:f>
        <x:v>70.17</x:v>
      </x:c>
      <x:c r="M56" s="16" t="n">
        <x:f>IF($X56="","",INDEX('sheet2-计算明细'!$AK$17:$AK$219,$X56))</x:f>
        <x:v>100</x:v>
      </x:c>
      <x:c r="N56" s="17" t="n">
        <x:f t="shared" si="0">IF(ISNUMBER(INDEX('sheet2-计算明细'!$AL$17:$AL$219,$X56)),INDEX('sheet2-计算明细'!$AL$17:$AL$219,$X56),"")</x:f>
        <x:v>96</x:v>
      </x:c>
      <x:c r="O56" s="17" t="n">
        <x:f t="shared" si="1">IF(ISNUMBER(INDEX('sheet2-计算明细'!$AM$17:$AM$219,$X56)),INDEX('sheet2-计算明细'!$AM$17:$AM$219,$X56),"")</x:f>
        <x:v>66.05</x:v>
      </x:c>
      <x:c r="P56" s="17" t="n">
        <x:f t="shared" si="2">IF(ISNUMBER(INDEX('sheet2-计算明细'!$AN$17:$AN$219,$X56)),INDEX('sheet2-计算明细'!$AN$17:$AN$219,$X56),"")</x:f>
        <x:v>62.62</x:v>
      </x:c>
      <x:c r="Q56" s="17" t="n">
        <x:f t="shared" si="3">IF(ISNUMBER(INDEX('sheet2-计算明细'!$AO$17:$AO$219,$X56)),INDEX('sheet2-计算明细'!$AO$17:$AO$219,$X56),"")</x:f>
        <x:v>70.17</x:v>
      </x:c>
      <x:c r="R56" s="17" t="n">
        <x:f t="shared" si="4">IF(ISNUMBER(INDEX('sheet2-计算明细'!$AP$17:$AP$219,$X56)),INDEX('sheet2-计算明细'!$AP$17:$AP$219,$X56),"")</x:f>
        <x:v>100</x:v>
      </x:c>
      <x:c r="S56" s="18" t="n">
        <x:f>IF($X56="","",INDEX('sheet2-计算明细'!$AQ$17:$AQ$219,$X56))</x:f>
        <x:v>1</x:v>
      </x:c>
      <x:c r="T56" s="16" t="n">
        <x:f>IF($X56="","",INDEX('sheet2-计算明细'!$AR$17:$AR$219,$X56))</x:f>
        <x:v>74.31559</x:v>
      </x:c>
      <x:c r="U56" s="17" t="n">
        <x:f t="shared" si="5">IF(S56=0,"",ROUND(T56/S56,2))</x:f>
        <x:v>74.32</x:v>
      </x:c>
      <x:c r="V56" s="17" t="n">
        <x:f t="shared" si="6">IF(ABS(S56-1)&lt;0.00000001,T56,"")</x:f>
        <x:v>74.31559</x:v>
      </x:c>
      <x:c r="W56" s="19" t="str">
        <x:f>IF($X56="","",INDEX('sheet2-计算明细'!$AU$17:$AU$219,$X56))</x:f>
      </x:c>
      <x:c r="X56" s="15" t="n">
        <x:f>IF($A56&gt;COUNT('sheet2-计算明细'!$AT$17:$AT$219),"",MATCH($A56,'sheet2-计算明细'!$AT$17:$AT$219,0))</x:f>
        <x:v>125</x:v>
      </x:c>
    </x:row>
    <x:row r="57" ht="28" customHeight="1">
      <x:c r="A57" s="4" t="n">
        <x:v>52</x:v>
      </x:c>
      <x:c r="B57" s="15" t="str">
        <x:f>IF($X57="","",INDEX('sheet2-计算明细'!$B$17:$B$219,$X57))</x:f>
        <x:v>中益仁东染千顷</x:v>
      </x:c>
      <x:c r="C57" s="15" t="str">
        <x:f>IF($X57="","",INDEX('sheet2-计算明细'!$C$17:$C$219,$X57))</x:f>
        <x:v>SXK740</x:v>
      </x:c>
      <x:c r="D57" s="15" t="str">
        <x:f>IF($X57="","",INDEX('sheet2-计算明细'!$D$17:$D$219,$X57))</x:f>
        <x:v>日照中益仁</x:v>
      </x:c>
      <x:c r="E57" s="15" t="str">
        <x:f>IF($X57="","",INDEX('sheet2-计算明细'!$G$17:$G$219,$X57))</x:f>
        <x:v>入池</x:v>
      </x:c>
      <x:c r="F57" s="16" t="n">
        <x:f>IF($X57="","",INDEX('sheet2-计算明细'!$I$17:$I$219,$X57))</x:f>
        <x:v>80</x:v>
      </x:c>
      <x:c r="G57" s="16" t="n">
        <x:f>IF($X57="","",INDEX('sheet2-计算明细'!$K$17:$K$219,$X57))</x:f>
        <x:v>100</x:v>
      </x:c>
      <x:c r="H57" s="16" t="n">
        <x:f>IF($X57="","",INDEX('sheet2-计算明细'!$L$17:$L$219,$X57))</x:f>
        <x:v>100</x:v>
      </x:c>
      <x:c r="I57" s="16" t="n">
        <x:f>IF($X57="","",INDEX('sheet2-计算明细'!$S$17:$S$219,$X57))</x:f>
        <x:v>72.63</x:v>
      </x:c>
      <x:c r="J57" s="16" t="n">
        <x:f>IF($X57="","",INDEX('sheet2-计算明细'!$Y$17:$Y$219,$X57))</x:f>
        <x:v>84.49</x:v>
      </x:c>
      <x:c r="K57" s="16" t="n">
        <x:f>IF($X57="","",INDEX('sheet2-计算明细'!$AC$17:$AC$219,$X57))</x:f>
        <x:v>63.86</x:v>
      </x:c>
      <x:c r="L57" s="16" t="n">
        <x:f>IF($X57="","",INDEX('sheet2-计算明细'!$AI$17:$AI$219,$X57))</x:f>
        <x:v>56.22</x:v>
      </x:c>
      <x:c r="M57" s="16" t="n">
        <x:f>IF($X57="","",INDEX('sheet2-计算明细'!$AK$17:$AK$219,$X57))</x:f>
        <x:v>100</x:v>
      </x:c>
      <x:c r="N57" s="17" t="n">
        <x:f t="shared" si="0">IF(ISNUMBER(INDEX('sheet2-计算明细'!$AL$17:$AL$219,$X57)),INDEX('sheet2-计算明细'!$AL$17:$AL$219,$X57),"")</x:f>
        <x:v>92</x:v>
      </x:c>
      <x:c r="O57" s="17" t="n">
        <x:f t="shared" si="1">IF(ISNUMBER(INDEX('sheet2-计算明细'!$AM$17:$AM$219,$X57)),INDEX('sheet2-计算明细'!$AM$17:$AM$219,$X57),"")</x:f>
        <x:v>76.18</x:v>
      </x:c>
      <x:c r="P57" s="17" t="n">
        <x:f t="shared" si="2">IF(ISNUMBER(INDEX('sheet2-计算明细'!$AN$17:$AN$219,$X57)),INDEX('sheet2-计算明细'!$AN$17:$AN$219,$X57),"")</x:f>
        <x:v>63.86</x:v>
      </x:c>
      <x:c r="Q57" s="17" t="n">
        <x:f t="shared" si="3">IF(ISNUMBER(INDEX('sheet2-计算明细'!$AO$17:$AO$219,$X57)),INDEX('sheet2-计算明细'!$AO$17:$AO$219,$X57),"")</x:f>
        <x:v>56.22</x:v>
      </x:c>
      <x:c r="R57" s="17" t="n">
        <x:f t="shared" si="4">IF(ISNUMBER(INDEX('sheet2-计算明细'!$AP$17:$AP$219,$X57)),INDEX('sheet2-计算明细'!$AP$17:$AP$219,$X57),"")</x:f>
        <x:v>100</x:v>
      </x:c>
      <x:c r="S57" s="18" t="n">
        <x:f>IF($X57="","",INDEX('sheet2-计算明细'!$AQ$17:$AQ$219,$X57))</x:f>
        <x:v>0.88</x:v>
      </x:c>
      <x:c r="T57" s="16" t="n">
        <x:f>IF($X57="","",INDEX('sheet2-计算明细'!$AR$17:$AR$219,$X57))</x:f>
        <x:v>65.12143</x:v>
      </x:c>
      <x:c r="U57" s="17" t="n">
        <x:f t="shared" si="5">IF(S57=0,"",ROUND(T57/S57,2))</x:f>
        <x:v>74</x:v>
      </x:c>
      <x:c r="V57" s="17" t="str">
        <x:f t="shared" si="6">IF(ABS(S57-1)&lt;0.00000001,T57,"")</x:f>
      </x:c>
      <x:c r="W57" s="19" t="str">
        <x:f>IF($X57="","",INDEX('sheet2-计算明细'!$AU$17:$AU$219,$X57))</x:f>
        <x:v>DD_long不可识别；</x:v>
      </x:c>
      <x:c r="X57" s="15" t="n">
        <x:f>IF($A57&gt;COUNT('sheet2-计算明细'!$AT$17:$AT$219),"",MATCH($A57,'sheet2-计算明细'!$AT$17:$AT$219,0))</x:f>
        <x:v>101</x:v>
      </x:c>
    </x:row>
    <x:row r="58" ht="28" customHeight="1">
      <x:c r="A58" s="4" t="n">
        <x:v>53</x:v>
      </x:c>
      <x:c r="B58" s="15" t="str">
        <x:f>IF($X58="","",INDEX('sheet2-计算明细'!$B$17:$B$219,$X58))</x:f>
        <x:v>橡杉量化套利十号</x:v>
      </x:c>
      <x:c r="C58" s="15" t="str">
        <x:f>IF($X58="","",INDEX('sheet2-计算明细'!$C$17:$C$219,$X58))</x:f>
        <x:v>SLY435</x:v>
      </x:c>
      <x:c r="D58" s="15" t="str">
        <x:f>IF($X58="","",INDEX('sheet2-计算明细'!$D$17:$D$219,$X58))</x:f>
        <x:v>上海橡杉资管</x:v>
      </x:c>
      <x:c r="E58" s="15" t="str">
        <x:f>IF($X58="","",INDEX('sheet2-计算明细'!$G$17:$G$219,$X58))</x:f>
        <x:v>入池</x:v>
      </x:c>
      <x:c r="F58" s="16" t="n">
        <x:f>IF($X58="","",INDEX('sheet2-计算明细'!$I$17:$I$219,$X58))</x:f>
        <x:v>70</x:v>
      </x:c>
      <x:c r="G58" s="16" t="n">
        <x:f>IF($X58="","",INDEX('sheet2-计算明细'!$K$17:$K$219,$X58))</x:f>
        <x:v>100</x:v>
      </x:c>
      <x:c r="H58" s="16" t="n">
        <x:f>IF($X58="","",INDEX('sheet2-计算明细'!$L$17:$L$219,$X58))</x:f>
        <x:v>100</x:v>
      </x:c>
      <x:c r="I58" s="16" t="n">
        <x:f>IF($X58="","",INDEX('sheet2-计算明细'!$S$17:$S$219,$X58))</x:f>
        <x:v>31.98</x:v>
      </x:c>
      <x:c r="J58" s="16" t="n">
        <x:f>IF($X58="","",INDEX('sheet2-计算明细'!$Y$17:$Y$219,$X58))</x:f>
        <x:v>60.26</x:v>
      </x:c>
      <x:c r="K58" s="16" t="n">
        <x:f>IF($X58="","",INDEX('sheet2-计算明细'!$AC$17:$AC$219,$X58))</x:f>
        <x:v>88.12</x:v>
      </x:c>
      <x:c r="L58" s="16" t="n">
        <x:f>IF($X58="","",INDEX('sheet2-计算明细'!$AI$17:$AI$219,$X58))</x:f>
        <x:v>64.18</x:v>
      </x:c>
      <x:c r="M58" s="16" t="n">
        <x:f>IF($X58="","",INDEX('sheet2-计算明细'!$AK$17:$AK$219,$X58))</x:f>
        <x:v>100</x:v>
      </x:c>
      <x:c r="N58" s="17" t="n">
        <x:f t="shared" si="0">IF(ISNUMBER(INDEX('sheet2-计算明细'!$AL$17:$AL$219,$X58)),INDEX('sheet2-计算明细'!$AL$17:$AL$219,$X58),"")</x:f>
        <x:v>88</x:v>
      </x:c>
      <x:c r="O58" s="17" t="n">
        <x:f t="shared" si="1">IF(ISNUMBER(INDEX('sheet2-计算明细'!$AM$17:$AM$219,$X58)),INDEX('sheet2-计算明细'!$AM$17:$AM$219,$X58),"")</x:f>
        <x:v>40.46</x:v>
      </x:c>
      <x:c r="P58" s="17" t="n">
        <x:f t="shared" si="2">IF(ISNUMBER(INDEX('sheet2-计算明细'!$AN$17:$AN$219,$X58)),INDEX('sheet2-计算明细'!$AN$17:$AN$219,$X58),"")</x:f>
        <x:v>88.12</x:v>
      </x:c>
      <x:c r="Q58" s="17" t="n">
        <x:f t="shared" si="3">IF(ISNUMBER(INDEX('sheet2-计算明细'!$AO$17:$AO$219,$X58)),INDEX('sheet2-计算明细'!$AO$17:$AO$219,$X58),"")</x:f>
        <x:v>64.18</x:v>
      </x:c>
      <x:c r="R58" s="17" t="n">
        <x:f t="shared" si="4">IF(ISNUMBER(INDEX('sheet2-计算明细'!$AP$17:$AP$219,$X58)),INDEX('sheet2-计算明细'!$AP$17:$AP$219,$X58),"")</x:f>
        <x:v>100</x:v>
      </x:c>
      <x:c r="S58" s="18" t="n">
        <x:f>IF($X58="","",INDEX('sheet2-计算明细'!$AQ$17:$AQ$219,$X58))</x:f>
        <x:v>0.88</x:v>
      </x:c>
      <x:c r="T58" s="16" t="n">
        <x:f>IF($X58="","",INDEX('sheet2-计算明细'!$AR$17:$AR$219,$X58))</x:f>
        <x:v>64.87531999999999</x:v>
      </x:c>
      <x:c r="U58" s="17" t="n">
        <x:f t="shared" si="5">IF(S58=0,"",ROUND(T58/S58,2))</x:f>
        <x:v>73.72</x:v>
      </x:c>
      <x:c r="V58" s="17" t="str">
        <x:f t="shared" si="6">IF(ABS(S58-1)&lt;0.00000001,T58,"")</x:f>
      </x:c>
      <x:c r="W58" s="19" t="str">
        <x:f>IF($X58="","",INDEX('sheet2-计算明细'!$AU$17:$AU$219,$X58))</x:f>
        <x:v>DD_long不可识别；</x:v>
      </x:c>
      <x:c r="X58" s="15" t="n">
        <x:f>IF($A58&gt;COUNT('sheet2-计算明细'!$AT$17:$AT$219),"",MATCH($A58,'sheet2-计算明细'!$AT$17:$AT$219,0))</x:f>
        <x:v>27</x:v>
      </x:c>
    </x:row>
    <x:row r="59" ht="28" customHeight="1">
      <x:c r="A59" s="4" t="n">
        <x:v>54</x:v>
      </x:c>
      <x:c r="B59" s="15" t="str">
        <x:f>IF($X59="","",INDEX('sheet2-计算明细'!$B$17:$B$219,$X59))</x:f>
        <x:v>杨湜套利1号</x:v>
      </x:c>
      <x:c r="C59" s="15" t="str">
        <x:f>IF($X59="","",INDEX('sheet2-计算明细'!$C$17:$C$219,$X59))</x:f>
        <x:v>SB6565</x:v>
      </x:c>
      <x:c r="D59" s="15" t="str">
        <x:f>IF($X59="","",INDEX('sheet2-计算明细'!$D$17:$D$219,$X59))</x:f>
        <x:v>上海杨湜投资</x:v>
      </x:c>
      <x:c r="E59" s="15" t="str">
        <x:f>IF($X59="","",INDEX('sheet2-计算明细'!$G$17:$G$219,$X59))</x:f>
        <x:v>入池</x:v>
      </x:c>
      <x:c r="F59" s="16" t="n">
        <x:f>IF($X59="","",INDEX('sheet2-计算明细'!$I$17:$I$219,$X59))</x:f>
        <x:v>80</x:v>
      </x:c>
      <x:c r="G59" s="16" t="n">
        <x:f>IF($X59="","",INDEX('sheet2-计算明细'!$K$17:$K$219,$X59))</x:f>
        <x:v>100</x:v>
      </x:c>
      <x:c r="H59" s="16" t="n">
        <x:f>IF($X59="","",INDEX('sheet2-计算明细'!$L$17:$L$219,$X59))</x:f>
        <x:v>100</x:v>
      </x:c>
      <x:c r="I59" s="16" t="n">
        <x:f>IF($X59="","",INDEX('sheet2-计算明细'!$S$17:$S$219,$X59))</x:f>
        <x:v>67.03</x:v>
      </x:c>
      <x:c r="J59" s="16" t="n">
        <x:f>IF($X59="","",INDEX('sheet2-计算明细'!$Y$17:$Y$219,$X59))</x:f>
        <x:v>81.15</x:v>
      </x:c>
      <x:c r="K59" s="16" t="n">
        <x:f>IF($X59="","",INDEX('sheet2-计算明细'!$AC$17:$AC$219,$X59))</x:f>
        <x:v>71.78</x:v>
      </x:c>
      <x:c r="L59" s="16" t="n">
        <x:f>IF($X59="","",INDEX('sheet2-计算明细'!$AI$17:$AI$219,$X59))</x:f>
        <x:v>64.37</x:v>
      </x:c>
      <x:c r="M59" s="16" t="n">
        <x:f>IF($X59="","",INDEX('sheet2-计算明细'!$AK$17:$AK$219,$X59))</x:f>
        <x:v>80</x:v>
      </x:c>
      <x:c r="N59" s="17" t="n">
        <x:f t="shared" si="0">IF(ISNUMBER(INDEX('sheet2-计算明细'!$AL$17:$AL$219,$X59)),INDEX('sheet2-计算明细'!$AL$17:$AL$219,$X59),"")</x:f>
        <x:v>92</x:v>
      </x:c>
      <x:c r="O59" s="17" t="n">
        <x:f t="shared" si="1">IF(ISNUMBER(INDEX('sheet2-计算明细'!$AM$17:$AM$219,$X59)),INDEX('sheet2-计算明细'!$AM$17:$AM$219,$X59),"")</x:f>
        <x:v>71.26</x:v>
      </x:c>
      <x:c r="P59" s="17" t="n">
        <x:f t="shared" si="2">IF(ISNUMBER(INDEX('sheet2-计算明细'!$AN$17:$AN$219,$X59)),INDEX('sheet2-计算明细'!$AN$17:$AN$219,$X59),"")</x:f>
        <x:v>71.78</x:v>
      </x:c>
      <x:c r="Q59" s="17" t="n">
        <x:f t="shared" si="3">IF(ISNUMBER(INDEX('sheet2-计算明细'!$AO$17:$AO$219,$X59)),INDEX('sheet2-计算明细'!$AO$17:$AO$219,$X59),"")</x:f>
        <x:v>64.37</x:v>
      </x:c>
      <x:c r="R59" s="17" t="n">
        <x:f t="shared" si="4">IF(ISNUMBER(INDEX('sheet2-计算明细'!$AP$17:$AP$219,$X59)),INDEX('sheet2-计算明细'!$AP$17:$AP$219,$X59),"")</x:f>
        <x:v>80</x:v>
      </x:c>
      <x:c r="S59" s="18" t="n">
        <x:f>IF($X59="","",INDEX('sheet2-计算明细'!$AQ$17:$AQ$219,$X59))</x:f>
        <x:v>1</x:v>
      </x:c>
      <x:c r="T59" s="16" t="n">
        <x:f>IF($X59="","",INDEX('sheet2-计算明细'!$AR$17:$AR$219,$X59))</x:f>
        <x:v>73.30893999999999</x:v>
      </x:c>
      <x:c r="U59" s="17" t="n">
        <x:f t="shared" si="5">IF(S59=0,"",ROUND(T59/S59,2))</x:f>
        <x:v>73.31</x:v>
      </x:c>
      <x:c r="V59" s="17" t="n">
        <x:f t="shared" si="6">IF(ABS(S59-1)&lt;0.00000001,T59,"")</x:f>
        <x:v>73.30893999999999</x:v>
      </x:c>
      <x:c r="W59" s="19" t="str">
        <x:f>IF($X59="","",INDEX('sheet2-计算明细'!$AU$17:$AU$219,$X59))</x:f>
      </x:c>
      <x:c r="X59" s="15" t="n">
        <x:f>IF($A59&gt;COUNT('sheet2-计算明细'!$AT$17:$AT$219),"",MATCH($A59,'sheet2-计算明细'!$AT$17:$AT$219,0))</x:f>
        <x:v>72</x:v>
      </x:c>
    </x:row>
    <x:row r="60" ht="28" customHeight="1">
      <x:c r="A60" s="4" t="n">
        <x:v>55</x:v>
      </x:c>
      <x:c r="B60" s="15" t="str">
        <x:f>IF($X60="","",INDEX('sheet2-计算明细'!$B$17:$B$219,$X60))</x:f>
        <x:v>赢起隆华1期</x:v>
      </x:c>
      <x:c r="C60" s="15" t="str">
        <x:f>IF($X60="","",INDEX('sheet2-计算明细'!$C$17:$C$219,$X60))</x:f>
        <x:v>SZC360</x:v>
      </x:c>
      <x:c r="D60" s="15" t="str">
        <x:f>IF($X60="","",INDEX('sheet2-计算明细'!$D$17:$D$219,$X60))</x:f>
        <x:v>上海赢起</x:v>
      </x:c>
      <x:c r="E60" s="15" t="str">
        <x:f>IF($X60="","",INDEX('sheet2-计算明细'!$G$17:$G$219,$X60))</x:f>
        <x:v>入池</x:v>
      </x:c>
      <x:c r="F60" s="16" t="n">
        <x:f>IF($X60="","",INDEX('sheet2-计算明细'!$I$17:$I$219,$X60))</x:f>
        <x:v>60</x:v>
      </x:c>
      <x:c r="G60" s="16" t="n">
        <x:f>IF($X60="","",INDEX('sheet2-计算明细'!$K$17:$K$219,$X60))</x:f>
        <x:v>100</x:v>
      </x:c>
      <x:c r="H60" s="16" t="n">
        <x:f>IF($X60="","",INDEX('sheet2-计算明细'!$L$17:$L$219,$X60))</x:f>
        <x:v>100</x:v>
      </x:c>
      <x:c r="I60" s="16" t="n">
        <x:f>IF($X60="","",INDEX('sheet2-计算明细'!$S$17:$S$219,$X60))</x:f>
        <x:v>77.13</x:v>
      </x:c>
      <x:c r="J60" s="16" t="n">
        <x:f>IF($X60="","",INDEX('sheet2-计算明细'!$Y$17:$Y$219,$X60))</x:f>
        <x:v>88.72</x:v>
      </x:c>
      <x:c r="K60" s="16" t="n">
        <x:f>IF($X60="","",INDEX('sheet2-计算明细'!$AC$17:$AC$219,$X60))</x:f>
        <x:v>57.92</x:v>
      </x:c>
      <x:c r="L60" s="16" t="n">
        <x:f>IF($X60="","",INDEX('sheet2-计算明细'!$AI$17:$AI$219,$X60))</x:f>
        <x:v>66.84</x:v>
      </x:c>
      <x:c r="M60" s="16" t="n">
        <x:f>IF($X60="","",INDEX('sheet2-计算明细'!$AK$17:$AK$219,$X60))</x:f>
        <x:v>100</x:v>
      </x:c>
      <x:c r="N60" s="17" t="n">
        <x:f t="shared" si="0">IF(ISNUMBER(INDEX('sheet2-计算明细'!$AL$17:$AL$219,$X60)),INDEX('sheet2-计算明细'!$AL$17:$AL$219,$X60),"")</x:f>
        <x:v>84</x:v>
      </x:c>
      <x:c r="O60" s="17" t="n">
        <x:f t="shared" si="1">IF(ISNUMBER(INDEX('sheet2-计算明细'!$AM$17:$AM$219,$X60)),INDEX('sheet2-计算明细'!$AM$17:$AM$219,$X60),"")</x:f>
        <x:v>80.61</x:v>
      </x:c>
      <x:c r="P60" s="17" t="n">
        <x:f t="shared" si="2">IF(ISNUMBER(INDEX('sheet2-计算明细'!$AN$17:$AN$219,$X60)),INDEX('sheet2-计算明细'!$AN$17:$AN$219,$X60),"")</x:f>
        <x:v>57.92</x:v>
      </x:c>
      <x:c r="Q60" s="17" t="n">
        <x:f t="shared" si="3">IF(ISNUMBER(INDEX('sheet2-计算明细'!$AO$17:$AO$219,$X60)),INDEX('sheet2-计算明细'!$AO$17:$AO$219,$X60),"")</x:f>
        <x:v>66.84</x:v>
      </x:c>
      <x:c r="R60" s="17" t="n">
        <x:f t="shared" si="4">IF(ISNUMBER(INDEX('sheet2-计算明细'!$AP$17:$AP$219,$X60)),INDEX('sheet2-计算明细'!$AP$17:$AP$219,$X60),"")</x:f>
        <x:v>100</x:v>
      </x:c>
      <x:c r="S60" s="18" t="n">
        <x:f>IF($X60="","",INDEX('sheet2-计算明细'!$AQ$17:$AQ$219,$X60))</x:f>
        <x:v>1</x:v>
      </x:c>
      <x:c r="T60" s="16" t="n">
        <x:f>IF($X60="","",INDEX('sheet2-计算明细'!$AR$17:$AR$219,$X60))</x:f>
        <x:v>73.25258</x:v>
      </x:c>
      <x:c r="U60" s="17" t="n">
        <x:f t="shared" si="5">IF(S60=0,"",ROUND(T60/S60,2))</x:f>
        <x:v>73.25</x:v>
      </x:c>
      <x:c r="V60" s="17" t="n">
        <x:f t="shared" si="6">IF(ABS(S60-1)&lt;0.00000001,T60,"")</x:f>
        <x:v>73.25258</x:v>
      </x:c>
      <x:c r="W60" s="19" t="str">
        <x:f>IF($X60="","",INDEX('sheet2-计算明细'!$AU$17:$AU$219,$X60))</x:f>
      </x:c>
      <x:c r="X60" s="15" t="n">
        <x:f>IF($A60&gt;COUNT('sheet2-计算明细'!$AT$17:$AT$219),"",MATCH($A60,'sheet2-计算明细'!$AT$17:$AT$219,0))</x:f>
        <x:v>174</x:v>
      </x:c>
    </x:row>
    <x:row r="61" ht="28" customHeight="1">
      <x:c r="A61" s="4" t="n">
        <x:v>56</x:v>
      </x:c>
      <x:c r="B61" s="15" t="str">
        <x:f>IF($X61="","",INDEX('sheet2-计算明细'!$B$17:$B$219,$X61))</x:f>
        <x:v>博普日添月益A类</x:v>
      </x:c>
      <x:c r="C61" s="15" t="str">
        <x:f>IF($X61="","",INDEX('sheet2-计算明细'!$C$17:$C$219,$X61))</x:f>
        <x:v>JW903A</x:v>
      </x:c>
      <x:c r="D61" s="15" t="str">
        <x:f>IF($X61="","",INDEX('sheet2-计算明细'!$D$17:$D$219,$X61))</x:f>
        <x:v>深圳前海博普资管</x:v>
      </x:c>
      <x:c r="E61" s="15" t="str">
        <x:f>IF($X61="","",INDEX('sheet2-计算明细'!$G$17:$G$219,$X61))</x:f>
        <x:v>入池</x:v>
      </x:c>
      <x:c r="F61" s="16" t="n">
        <x:f>IF($X61="","",INDEX('sheet2-计算明细'!$I$17:$I$219,$X61))</x:f>
        <x:v>90</x:v>
      </x:c>
      <x:c r="G61" s="16" t="str">
        <x:f>IF($X61="","",INDEX('sheet2-计算明细'!$K$17:$K$219,$X61))</x:f>
      </x:c>
      <x:c r="H61" s="16" t="n">
        <x:f>IF($X61="","",INDEX('sheet2-计算明细'!$L$17:$L$219,$X61))</x:f>
        <x:v>100</x:v>
      </x:c>
      <x:c r="I61" s="16" t="n">
        <x:f>IF($X61="","",INDEX('sheet2-计算明细'!$S$17:$S$219,$X61))</x:f>
        <x:v>55.15</x:v>
      </x:c>
      <x:c r="J61" s="16" t="n">
        <x:f>IF($X61="","",INDEX('sheet2-计算明细'!$Y$17:$Y$219,$X61))</x:f>
        <x:v>88.72</x:v>
      </x:c>
      <x:c r="K61" s="16" t="n">
        <x:f>IF($X61="","",INDEX('sheet2-计算明细'!$AC$17:$AC$219,$X61))</x:f>
        <x:v>62.62</x:v>
      </x:c>
      <x:c r="L61" s="16" t="n">
        <x:f>IF($X61="","",INDEX('sheet2-计算明细'!$AI$17:$AI$219,$X61))</x:f>
        <x:v>71.06</x:v>
      </x:c>
      <x:c r="M61" s="16" t="n">
        <x:f>IF($X61="","",INDEX('sheet2-计算明细'!$AK$17:$AK$219,$X61))</x:f>
        <x:v>100</x:v>
      </x:c>
      <x:c r="N61" s="17" t="n">
        <x:f t="shared" si="0">IF(ISNUMBER(INDEX('sheet2-计算明细'!$AL$17:$AL$219,$X61)),INDEX('sheet2-计算明细'!$AL$17:$AL$219,$X61),"")</x:f>
        <x:v>94.29</x:v>
      </x:c>
      <x:c r="O61" s="17" t="n">
        <x:f t="shared" si="1">IF(ISNUMBER(INDEX('sheet2-计算明细'!$AM$17:$AM$219,$X61)),INDEX('sheet2-计算明细'!$AM$17:$AM$219,$X61),"")</x:f>
        <x:v>65.22</x:v>
      </x:c>
      <x:c r="P61" s="17" t="n">
        <x:f t="shared" si="2">IF(ISNUMBER(INDEX('sheet2-计算明细'!$AN$17:$AN$219,$X61)),INDEX('sheet2-计算明细'!$AN$17:$AN$219,$X61),"")</x:f>
        <x:v>62.62</x:v>
      </x:c>
      <x:c r="Q61" s="17" t="n">
        <x:f t="shared" si="3">IF(ISNUMBER(INDEX('sheet2-计算明细'!$AO$17:$AO$219,$X61)),INDEX('sheet2-计算明细'!$AO$17:$AO$219,$X61),"")</x:f>
        <x:v>71.06</x:v>
      </x:c>
      <x:c r="R61" s="17" t="n">
        <x:f t="shared" si="4">IF(ISNUMBER(INDEX('sheet2-计算明细'!$AP$17:$AP$219,$X61)),INDEX('sheet2-计算明细'!$AP$17:$AP$219,$X61),"")</x:f>
        <x:v>100</x:v>
      </x:c>
      <x:c r="S61" s="18" t="n">
        <x:f>IF($X61="","",INDEX('sheet2-计算明细'!$AQ$17:$AQ$219,$X61))</x:f>
        <x:v>0.9550000000000001</x:v>
      </x:c>
      <x:c r="T61" s="16" t="n">
        <x:f>IF($X61="","",INDEX('sheet2-计算明细'!$AR$17:$AR$219,$X61))</x:f>
        <x:v>69.91578</x:v>
      </x:c>
      <x:c r="U61" s="17" t="n">
        <x:f t="shared" si="5">IF(S61=0,"",ROUND(T61/S61,2))</x:f>
        <x:v>73.21</x:v>
      </x:c>
      <x:c r="V61" s="17" t="str">
        <x:f t="shared" si="6">IF(ABS(S61-1)&lt;0.00000001,T61,"")</x:f>
      </x:c>
      <x:c r="W61" s="19" t="str">
        <x:f>IF($X61="","",INDEX('sheet2-计算明细'!$AU$17:$AU$219,$X61))</x:f>
        <x:v>产品规模标识；</x:v>
      </x:c>
      <x:c r="X61" s="15" t="n">
        <x:f>IF($A61&gt;COUNT('sheet2-计算明细'!$AT$17:$AT$219),"",MATCH($A61,'sheet2-计算明细'!$AT$17:$AT$219,0))</x:f>
        <x:v>105</x:v>
      </x:c>
    </x:row>
    <x:row r="62" ht="28" customHeight="1">
      <x:c r="A62" s="4" t="n">
        <x:v>57</x:v>
      </x:c>
      <x:c r="B62" s="15" t="str">
        <x:f>IF($X62="","",INDEX('sheet2-计算明细'!$B$17:$B$219,$X62))</x:f>
        <x:v>聚亿具臻</x:v>
      </x:c>
      <x:c r="C62" s="15" t="str">
        <x:f>IF($X62="","",INDEX('sheet2-计算明细'!$C$17:$C$219,$X62))</x:f>
        <x:v>SLM995</x:v>
      </x:c>
      <x:c r="D62" s="15" t="str">
        <x:f>IF($X62="","",INDEX('sheet2-计算明细'!$D$17:$D$219,$X62))</x:f>
        <x:v>珠海聚亿基金</x:v>
      </x:c>
      <x:c r="E62" s="15" t="str">
        <x:f>IF($X62="","",INDEX('sheet2-计算明细'!$G$17:$G$219,$X62))</x:f>
        <x:v>入池</x:v>
      </x:c>
      <x:c r="F62" s="16" t="n">
        <x:f>IF($X62="","",INDEX('sheet2-计算明细'!$I$17:$I$219,$X62))</x:f>
        <x:v>60</x:v>
      </x:c>
      <x:c r="G62" s="16" t="n">
        <x:f>IF($X62="","",INDEX('sheet2-计算明细'!$K$17:$K$219,$X62))</x:f>
        <x:v>100</x:v>
      </x:c>
      <x:c r="H62" s="16" t="n">
        <x:f>IF($X62="","",INDEX('sheet2-计算明细'!$L$17:$L$219,$X62))</x:f>
        <x:v>100</x:v>
      </x:c>
      <x:c r="I62" s="16" t="n">
        <x:f>IF($X62="","",INDEX('sheet2-计算明细'!$S$17:$S$219,$X62))</x:f>
        <x:v>96.14</x:v>
      </x:c>
      <x:c r="J62" s="16" t="n">
        <x:f>IF($X62="","",INDEX('sheet2-计算明细'!$Y$17:$Y$219,$X62))</x:f>
        <x:v>69.48</x:v>
      </x:c>
      <x:c r="K62" s="16" t="n">
        <x:f>IF($X62="","",INDEX('sheet2-计算明细'!$AC$17:$AC$219,$X62))</x:f>
        <x:v>35.64</x:v>
      </x:c>
      <x:c r="L62" s="16" t="n">
        <x:f>IF($X62="","",INDEX('sheet2-计算明细'!$AI$17:$AI$219,$X62))</x:f>
        <x:v>79.03</x:v>
      </x:c>
      <x:c r="M62" s="16" t="n">
        <x:f>IF($X62="","",INDEX('sheet2-计算明细'!$AK$17:$AK$219,$X62))</x:f>
        <x:v>100</x:v>
      </x:c>
      <x:c r="N62" s="17" t="n">
        <x:f t="shared" si="0">IF(ISNUMBER(INDEX('sheet2-计算明细'!$AL$17:$AL$219,$X62)),INDEX('sheet2-计算明细'!$AL$17:$AL$219,$X62),"")</x:f>
        <x:v>84</x:v>
      </x:c>
      <x:c r="O62" s="17" t="n">
        <x:f t="shared" si="1">IF(ISNUMBER(INDEX('sheet2-计算明细'!$AM$17:$AM$219,$X62)),INDEX('sheet2-计算明细'!$AM$17:$AM$219,$X62),"")</x:f>
        <x:v>88.14</x:v>
      </x:c>
      <x:c r="P62" s="17" t="n">
        <x:f t="shared" si="2">IF(ISNUMBER(INDEX('sheet2-计算明细'!$AN$17:$AN$219,$X62)),INDEX('sheet2-计算明细'!$AN$17:$AN$219,$X62),"")</x:f>
        <x:v>35.64</x:v>
      </x:c>
      <x:c r="Q62" s="17" t="n">
        <x:f t="shared" si="3">IF(ISNUMBER(INDEX('sheet2-计算明细'!$AO$17:$AO$219,$X62)),INDEX('sheet2-计算明细'!$AO$17:$AO$219,$X62),"")</x:f>
        <x:v>79.03</x:v>
      </x:c>
      <x:c r="R62" s="17" t="n">
        <x:f t="shared" si="4">IF(ISNUMBER(INDEX('sheet2-计算明细'!$AP$17:$AP$219,$X62)),INDEX('sheet2-计算明细'!$AP$17:$AP$219,$X62),"")</x:f>
        <x:v>100</x:v>
      </x:c>
      <x:c r="S62" s="18" t="n">
        <x:f>IF($X62="","",INDEX('sheet2-计算明细'!$AQ$17:$AQ$219,$X62))</x:f>
        <x:v>1</x:v>
      </x:c>
      <x:c r="T62" s="16" t="n">
        <x:f>IF($X62="","",INDEX('sheet2-计算明细'!$AR$17:$AR$219,$X62))</x:f>
        <x:v>72.84582</x:v>
      </x:c>
      <x:c r="U62" s="17" t="n">
        <x:f t="shared" si="5">IF(S62=0,"",ROUND(T62/S62,2))</x:f>
        <x:v>72.85</x:v>
      </x:c>
      <x:c r="V62" s="17" t="n">
        <x:f t="shared" si="6">IF(ABS(S62-1)&lt;0.00000001,T62,"")</x:f>
        <x:v>72.84582</x:v>
      </x:c>
      <x:c r="W62" s="19" t="str">
        <x:f>IF($X62="","",INDEX('sheet2-计算明细'!$AU$17:$AU$219,$X62))</x:f>
      </x:c>
      <x:c r="X62" s="15" t="n">
        <x:f>IF($A62&gt;COUNT('sheet2-计算明细'!$AT$17:$AT$219),"",MATCH($A62,'sheet2-计算明细'!$AT$17:$AT$219,0))</x:f>
        <x:v>130</x:v>
      </x:c>
    </x:row>
    <x:row r="63" ht="28" customHeight="1">
      <x:c r="A63" s="4" t="n">
        <x:v>58</x:v>
      </x:c>
      <x:c r="B63" s="15" t="str">
        <x:f>IF($X63="","",INDEX('sheet2-计算明细'!$B$17:$B$219,$X63))</x:f>
        <x:v>致同添利套利多策略三期</x:v>
      </x:c>
      <x:c r="C63" s="15" t="str">
        <x:f>IF($X63="","",INDEX('sheet2-计算明细'!$C$17:$C$219,$X63))</x:f>
        <x:v>STY632</x:v>
      </x:c>
      <x:c r="D63" s="15" t="str">
        <x:f>IF($X63="","",INDEX('sheet2-计算明细'!$D$17:$D$219,$X63))</x:f>
        <x:v>上海致同投资</x:v>
      </x:c>
      <x:c r="E63" s="15" t="str">
        <x:f>IF($X63="","",INDEX('sheet2-计算明细'!$G$17:$G$219,$X63))</x:f>
        <x:v>入池</x:v>
      </x:c>
      <x:c r="F63" s="16" t="n">
        <x:f>IF($X63="","",INDEX('sheet2-计算明细'!$I$17:$I$219,$X63))</x:f>
        <x:v>90</x:v>
      </x:c>
      <x:c r="G63" s="16" t="n">
        <x:f>IF($X63="","",INDEX('sheet2-计算明细'!$K$17:$K$219,$X63))</x:f>
        <x:v>100</x:v>
      </x:c>
      <x:c r="H63" s="16" t="n">
        <x:f>IF($X63="","",INDEX('sheet2-计算明细'!$L$17:$L$219,$X63))</x:f>
        <x:v>100</x:v>
      </x:c>
      <x:c r="I63" s="16" t="n">
        <x:f>IF($X63="","",INDEX('sheet2-计算明细'!$S$17:$S$219,$X63))</x:f>
        <x:v>30</x:v>
      </x:c>
      <x:c r="J63" s="16" t="n">
        <x:f>IF($X63="","",INDEX('sheet2-计算明细'!$Y$17:$Y$219,$X63))</x:f>
        <x:v>76.16</x:v>
      </x:c>
      <x:c r="K63" s="16" t="n">
        <x:f>IF($X63="","",INDEX('sheet2-计算明细'!$AC$17:$AC$219,$X63))</x:f>
        <x:v>89.11</x:v>
      </x:c>
      <x:c r="L63" s="16" t="n">
        <x:f>IF($X63="","",INDEX('sheet2-计算明细'!$AI$17:$AI$219,$X63))</x:f>
        <x:v>57.21</x:v>
      </x:c>
      <x:c r="M63" s="16" t="n">
        <x:f>IF($X63="","",INDEX('sheet2-计算明细'!$AK$17:$AK$219,$X63))</x:f>
        <x:v>80</x:v>
      </x:c>
      <x:c r="N63" s="17" t="n">
        <x:f t="shared" si="0">IF(ISNUMBER(INDEX('sheet2-计算明细'!$AL$17:$AL$219,$X63)),INDEX('sheet2-计算明细'!$AL$17:$AL$219,$X63),"")</x:f>
        <x:v>96</x:v>
      </x:c>
      <x:c r="O63" s="17" t="n">
        <x:f t="shared" si="1">IF(ISNUMBER(INDEX('sheet2-计算明细'!$AM$17:$AM$219,$X63)),INDEX('sheet2-计算明细'!$AM$17:$AM$219,$X63),"")</x:f>
        <x:v>43.85</x:v>
      </x:c>
      <x:c r="P63" s="17" t="n">
        <x:f t="shared" si="2">IF(ISNUMBER(INDEX('sheet2-计算明细'!$AN$17:$AN$219,$X63)),INDEX('sheet2-计算明细'!$AN$17:$AN$219,$X63),"")</x:f>
        <x:v>89.11</x:v>
      </x:c>
      <x:c r="Q63" s="17" t="n">
        <x:f t="shared" si="3">IF(ISNUMBER(INDEX('sheet2-计算明细'!$AO$17:$AO$219,$X63)),INDEX('sheet2-计算明细'!$AO$17:$AO$219,$X63),"")</x:f>
        <x:v>57.21</x:v>
      </x:c>
      <x:c r="R63" s="17" t="n">
        <x:f t="shared" si="4">IF(ISNUMBER(INDEX('sheet2-计算明细'!$AP$17:$AP$219,$X63)),INDEX('sheet2-计算明细'!$AP$17:$AP$219,$X63),"")</x:f>
        <x:v>80</x:v>
      </x:c>
      <x:c r="S63" s="18" t="n">
        <x:f>IF($X63="","",INDEX('sheet2-计算明细'!$AQ$17:$AQ$219,$X63))</x:f>
        <x:v>0.88</x:v>
      </x:c>
      <x:c r="T63" s="16" t="n">
        <x:f>IF($X63="","",INDEX('sheet2-计算明细'!$AR$17:$AR$219,$X63))</x:f>
        <x:v>63.74490000000001</x:v>
      </x:c>
      <x:c r="U63" s="17" t="n">
        <x:f t="shared" si="5">IF(S63=0,"",ROUND(T63/S63,2))</x:f>
        <x:v>72.44</x:v>
      </x:c>
      <x:c r="V63" s="17" t="str">
        <x:f t="shared" si="6">IF(ABS(S63-1)&lt;0.00000001,T63,"")</x:f>
      </x:c>
      <x:c r="W63" s="19" t="str">
        <x:f>IF($X63="","",INDEX('sheet2-计算明细'!$AU$17:$AU$219,$X63))</x:f>
        <x:v>DD_long不可识别；</x:v>
      </x:c>
      <x:c r="X63" s="15" t="n">
        <x:f>IF($A63&gt;COUNT('sheet2-计算明细'!$AT$17:$AT$219),"",MATCH($A63,'sheet2-计算明细'!$AT$17:$AT$219,0))</x:f>
        <x:v>51</x:v>
      </x:c>
    </x:row>
    <x:row r="64" ht="28" customHeight="1">
      <x:c r="A64" s="4" t="n">
        <x:v>59</x:v>
      </x:c>
      <x:c r="B64" s="15" t="str">
        <x:f>IF($X64="","",INDEX('sheet2-计算明细'!$B$17:$B$219,$X64))</x:f>
        <x:v>九招真格量化商品套利一号</x:v>
      </x:c>
      <x:c r="C64" s="15" t="str">
        <x:f>IF($X64="","",INDEX('sheet2-计算明细'!$C$17:$C$219,$X64))</x:f>
        <x:v>STK200</x:v>
      </x:c>
      <x:c r="D64" s="15" t="str">
        <x:f>IF($X64="","",INDEX('sheet2-计算明细'!$D$17:$D$219,$X64))</x:f>
        <x:v>武汉九招</x:v>
      </x:c>
      <x:c r="E64" s="15" t="str">
        <x:f>IF($X64="","",INDEX('sheet2-计算明细'!$G$17:$G$219,$X64))</x:f>
        <x:v>入池</x:v>
      </x:c>
      <x:c r="F64" s="16" t="n">
        <x:f>IF($X64="","",INDEX('sheet2-计算明细'!$I$17:$I$219,$X64))</x:f>
        <x:v>70</x:v>
      </x:c>
      <x:c r="G64" s="16" t="n">
        <x:f>IF($X64="","",INDEX('sheet2-计算明细'!$K$17:$K$219,$X64))</x:f>
        <x:v>100</x:v>
      </x:c>
      <x:c r="H64" s="16" t="n">
        <x:f>IF($X64="","",INDEX('sheet2-计算明细'!$L$17:$L$219,$X64))</x:f>
        <x:v>100</x:v>
      </x:c>
      <x:c r="I64" s="16" t="n">
        <x:f>IF($X64="","",INDEX('sheet2-计算明细'!$S$17:$S$219,$X64))</x:f>
        <x:v>72.97</x:v>
      </x:c>
      <x:c r="J64" s="16" t="n">
        <x:f>IF($X64="","",INDEX('sheet2-计算明细'!$Y$17:$Y$219,$X64))</x:f>
        <x:v>57.69</x:v>
      </x:c>
      <x:c r="K64" s="16" t="n">
        <x:f>IF($X64="","",INDEX('sheet2-计算明细'!$AC$17:$AC$219,$X64))</x:f>
        <x:v>58.91</x:v>
      </x:c>
      <x:c r="L64" s="16" t="n">
        <x:f>IF($X64="","",INDEX('sheet2-计算明细'!$AI$17:$AI$219,$X64))</x:f>
        <x:v>68.94</x:v>
      </x:c>
      <x:c r="M64" s="16" t="n">
        <x:f>IF($X64="","",INDEX('sheet2-计算明细'!$AK$17:$AK$219,$X64))</x:f>
        <x:v>100</x:v>
      </x:c>
      <x:c r="N64" s="17" t="n">
        <x:f t="shared" si="0">IF(ISNUMBER(INDEX('sheet2-计算明细'!$AL$17:$AL$219,$X64)),INDEX('sheet2-计算明细'!$AL$17:$AL$219,$X64),"")</x:f>
        <x:v>88</x:v>
      </x:c>
      <x:c r="O64" s="17" t="n">
        <x:f t="shared" si="1">IF(ISNUMBER(INDEX('sheet2-计算明细'!$AM$17:$AM$219,$X64)),INDEX('sheet2-计算明细'!$AM$17:$AM$219,$X64),"")</x:f>
        <x:v>68.39</x:v>
      </x:c>
      <x:c r="P64" s="17" t="n">
        <x:f t="shared" si="2">IF(ISNUMBER(INDEX('sheet2-计算明细'!$AN$17:$AN$219,$X64)),INDEX('sheet2-计算明细'!$AN$17:$AN$219,$X64),"")</x:f>
        <x:v>58.91</x:v>
      </x:c>
      <x:c r="Q64" s="17" t="n">
        <x:f t="shared" si="3">IF(ISNUMBER(INDEX('sheet2-计算明细'!$AO$17:$AO$219,$X64)),INDEX('sheet2-计算明细'!$AO$17:$AO$219,$X64),"")</x:f>
        <x:v>68.94</x:v>
      </x:c>
      <x:c r="R64" s="17" t="n">
        <x:f t="shared" si="4">IF(ISNUMBER(INDEX('sheet2-计算明细'!$AP$17:$AP$219,$X64)),INDEX('sheet2-计算明细'!$AP$17:$AP$219,$X64),"")</x:f>
        <x:v>100</x:v>
      </x:c>
      <x:c r="S64" s="18" t="n">
        <x:f>IF($X64="","",INDEX('sheet2-计算明细'!$AQ$17:$AQ$219,$X64))</x:f>
        <x:v>1</x:v>
      </x:c>
      <x:c r="T64" s="16" t="n">
        <x:f>IF($X64="","",INDEX('sheet2-计算明细'!$AR$17:$AR$219,$X64))</x:f>
        <x:v>72.28717</x:v>
      </x:c>
      <x:c r="U64" s="17" t="n">
        <x:f t="shared" si="5">IF(S64=0,"",ROUND(T64/S64,2))</x:f>
        <x:v>72.29</x:v>
      </x:c>
      <x:c r="V64" s="17" t="n">
        <x:f t="shared" si="6">IF(ABS(S64-1)&lt;0.00000001,T64,"")</x:f>
        <x:v>72.28717</x:v>
      </x:c>
      <x:c r="W64" s="19" t="str">
        <x:f>IF($X64="","",INDEX('sheet2-计算明细'!$AU$17:$AU$219,$X64))</x:f>
      </x:c>
      <x:c r="X64" s="15" t="n">
        <x:f>IF($A64&gt;COUNT('sheet2-计算明细'!$AT$17:$AT$219),"",MATCH($A64,'sheet2-计算明细'!$AT$17:$AT$219,0))</x:f>
        <x:v>42</x:v>
      </x:c>
    </x:row>
    <x:row r="65" ht="28" customHeight="1">
      <x:c r="A65" s="4" t="n">
        <x:v>60</x:v>
      </x:c>
      <x:c r="B65" s="15" t="str">
        <x:f>IF($X65="","",INDEX('sheet2-计算明细'!$B$17:$B$219,$X65))</x:f>
        <x:v>俊丹湾谷二号</x:v>
      </x:c>
      <x:c r="C65" s="15" t="str">
        <x:f>IF($X65="","",INDEX('sheet2-计算明细'!$C$17:$C$219,$X65))</x:f>
        <x:v>SLQ627</x:v>
      </x:c>
      <x:c r="D65" s="15" t="str">
        <x:f>IF($X65="","",INDEX('sheet2-计算明细'!$D$17:$D$219,$X65))</x:f>
        <x:v>上海俊丹</x:v>
      </x:c>
      <x:c r="E65" s="15" t="str">
        <x:f>IF($X65="","",INDEX('sheet2-计算明细'!$G$17:$G$219,$X65))</x:f>
        <x:v>入池</x:v>
      </x:c>
      <x:c r="F65" s="16" t="n">
        <x:f>IF($X65="","",INDEX('sheet2-计算明细'!$I$17:$I$219,$X65))</x:f>
        <x:v>80</x:v>
      </x:c>
      <x:c r="G65" s="16" t="n">
        <x:f>IF($X65="","",INDEX('sheet2-计算明细'!$K$17:$K$219,$X65))</x:f>
        <x:v>100</x:v>
      </x:c>
      <x:c r="H65" s="16" t="n">
        <x:f>IF($X65="","",INDEX('sheet2-计算明细'!$L$17:$L$219,$X65))</x:f>
        <x:v>100</x:v>
      </x:c>
      <x:c r="I65" s="16" t="n">
        <x:f>IF($X65="","",INDEX('sheet2-计算明细'!$S$17:$S$219,$X65))</x:f>
        <x:v>45.89</x:v>
      </x:c>
      <x:c r="J65" s="16" t="n">
        <x:f>IF($X65="","",INDEX('sheet2-计算明细'!$Y$17:$Y$219,$X65))</x:f>
        <x:v>77.82</x:v>
      </x:c>
      <x:c r="K65" s="16" t="n">
        <x:f>IF($X65="","",INDEX('sheet2-计算明细'!$AC$17:$AC$219,$X65))</x:f>
        <x:v>83.66</x:v>
      </x:c>
      <x:c r="L65" s="16" t="n">
        <x:f>IF($X65="","",INDEX('sheet2-计算明细'!$AI$17:$AI$219,$X65))</x:f>
        <x:v>54.23</x:v>
      </x:c>
      <x:c r="M65" s="16" t="n">
        <x:f>IF($X65="","",INDEX('sheet2-计算明细'!$AK$17:$AK$219,$X65))</x:f>
        <x:v>80</x:v>
      </x:c>
      <x:c r="N65" s="17" t="n">
        <x:f t="shared" si="0">IF(ISNUMBER(INDEX('sheet2-计算明细'!$AL$17:$AL$219,$X65)),INDEX('sheet2-计算明细'!$AL$17:$AL$219,$X65),"")</x:f>
        <x:v>92</x:v>
      </x:c>
      <x:c r="O65" s="17" t="n">
        <x:f t="shared" si="1">IF(ISNUMBER(INDEX('sheet2-计算明细'!$AM$17:$AM$219,$X65)),INDEX('sheet2-计算明细'!$AM$17:$AM$219,$X65),"")</x:f>
        <x:v>55.47</x:v>
      </x:c>
      <x:c r="P65" s="17" t="n">
        <x:f t="shared" si="2">IF(ISNUMBER(INDEX('sheet2-计算明细'!$AN$17:$AN$219,$X65)),INDEX('sheet2-计算明细'!$AN$17:$AN$219,$X65),"")</x:f>
        <x:v>83.66</x:v>
      </x:c>
      <x:c r="Q65" s="17" t="n">
        <x:f t="shared" si="3">IF(ISNUMBER(INDEX('sheet2-计算明细'!$AO$17:$AO$219,$X65)),INDEX('sheet2-计算明细'!$AO$17:$AO$219,$X65),"")</x:f>
        <x:v>54.23</x:v>
      </x:c>
      <x:c r="R65" s="17" t="n">
        <x:f t="shared" si="4">IF(ISNUMBER(INDEX('sheet2-计算明细'!$AP$17:$AP$219,$X65)),INDEX('sheet2-计算明细'!$AP$17:$AP$219,$X65),"")</x:f>
        <x:v>80</x:v>
      </x:c>
      <x:c r="S65" s="18" t="n">
        <x:f>IF($X65="","",INDEX('sheet2-计算明细'!$AQ$17:$AQ$219,$X65))</x:f>
        <x:v>0.88</x:v>
      </x:c>
      <x:c r="T65" s="16" t="n">
        <x:f>IF($X65="","",INDEX('sheet2-计算明细'!$AR$17:$AR$219,$X65))</x:f>
        <x:v>63.56994</x:v>
      </x:c>
      <x:c r="U65" s="17" t="n">
        <x:f t="shared" si="5">IF(S65=0,"",ROUND(T65/S65,2))</x:f>
        <x:v>72.24</x:v>
      </x:c>
      <x:c r="V65" s="17" t="str">
        <x:f t="shared" si="6">IF(ABS(S65-1)&lt;0.00000001,T65,"")</x:f>
      </x:c>
      <x:c r="W65" s="19" t="str">
        <x:f>IF($X65="","",INDEX('sheet2-计算明细'!$AU$17:$AU$219,$X65))</x:f>
        <x:v>DD_long不可识别；</x:v>
      </x:c>
      <x:c r="X65" s="15" t="n">
        <x:f>IF($A65&gt;COUNT('sheet2-计算明细'!$AT$17:$AT$219),"",MATCH($A65,'sheet2-计算明细'!$AT$17:$AT$219,0))</x:f>
        <x:v>132</x:v>
      </x:c>
    </x:row>
    <x:row r="66" ht="28" customHeight="1">
      <x:c r="A66" s="4" t="n">
        <x:v>61</x:v>
      </x:c>
      <x:c r="B66" s="15" t="str">
        <x:f>IF($X66="","",INDEX('sheet2-计算明细'!$B$17:$B$219,$X66))</x:f>
        <x:v>博益安盈精英1号</x:v>
      </x:c>
      <x:c r="C66" s="15" t="str">
        <x:f>IF($X66="","",INDEX('sheet2-计算明细'!$C$17:$C$219,$X66))</x:f>
        <x:v>SL9566</x:v>
      </x:c>
      <x:c r="D66" s="15" t="str">
        <x:f>IF($X66="","",INDEX('sheet2-计算明细'!$D$17:$D$219,$X66))</x:f>
        <x:v>深圳博益安盈</x:v>
      </x:c>
      <x:c r="E66" s="15" t="str">
        <x:f>IF($X66="","",INDEX('sheet2-计算明细'!$G$17:$G$219,$X66))</x:f>
        <x:v>入池</x:v>
      </x:c>
      <x:c r="F66" s="16" t="n">
        <x:f>IF($X66="","",INDEX('sheet2-计算明细'!$I$17:$I$219,$X66))</x:f>
        <x:v>70</x:v>
      </x:c>
      <x:c r="G66" s="16" t="n">
        <x:f>IF($X66="","",INDEX('sheet2-计算明细'!$K$17:$K$219,$X66))</x:f>
        <x:v>100</x:v>
      </x:c>
      <x:c r="H66" s="16" t="n">
        <x:f>IF($X66="","",INDEX('sheet2-计算明细'!$L$17:$L$219,$X66))</x:f>
        <x:v>100</x:v>
      </x:c>
      <x:c r="I66" s="16" t="n">
        <x:f>IF($X66="","",INDEX('sheet2-计算明细'!$S$17:$S$219,$X66))</x:f>
        <x:v>68.71</x:v>
      </x:c>
      <x:c r="J66" s="16" t="n">
        <x:f>IF($X66="","",INDEX('sheet2-计算明细'!$Y$17:$Y$219,$X66))</x:f>
        <x:v>61.54</x:v>
      </x:c>
      <x:c r="K66" s="16" t="n">
        <x:f>IF($X66="","",INDEX('sheet2-计算明细'!$AC$17:$AC$219,$X66))</x:f>
        <x:v>59.9</x:v>
      </x:c>
      <x:c r="L66" s="16" t="n">
        <x:f>IF($X66="","",INDEX('sheet2-计算明细'!$AI$17:$AI$219,$X66))</x:f>
        <x:v>66.67</x:v>
      </x:c>
      <x:c r="M66" s="16" t="n">
        <x:f>IF($X66="","",INDEX('sheet2-计算明细'!$AK$17:$AK$219,$X66))</x:f>
        <x:v>100</x:v>
      </x:c>
      <x:c r="N66" s="17" t="n">
        <x:f t="shared" si="0">IF(ISNUMBER(INDEX('sheet2-计算明细'!$AL$17:$AL$219,$X66)),INDEX('sheet2-计算明细'!$AL$17:$AL$219,$X66),"")</x:f>
        <x:v>88</x:v>
      </x:c>
      <x:c r="O66" s="17" t="n">
        <x:f t="shared" si="1">IF(ISNUMBER(INDEX('sheet2-计算明细'!$AM$17:$AM$219,$X66)),INDEX('sheet2-计算明细'!$AM$17:$AM$219,$X66),"")</x:f>
        <x:v>66.56</x:v>
      </x:c>
      <x:c r="P66" s="17" t="n">
        <x:f t="shared" si="2">IF(ISNUMBER(INDEX('sheet2-计算明细'!$AN$17:$AN$219,$X66)),INDEX('sheet2-计算明细'!$AN$17:$AN$219,$X66),"")</x:f>
        <x:v>59.9</x:v>
      </x:c>
      <x:c r="Q66" s="17" t="n">
        <x:f t="shared" si="3">IF(ISNUMBER(INDEX('sheet2-计算明细'!$AO$17:$AO$219,$X66)),INDEX('sheet2-计算明细'!$AO$17:$AO$219,$X66),"")</x:f>
        <x:v>66.67</x:v>
      </x:c>
      <x:c r="R66" s="17" t="n">
        <x:f t="shared" si="4">IF(ISNUMBER(INDEX('sheet2-计算明细'!$AP$17:$AP$219,$X66)),INDEX('sheet2-计算明细'!$AP$17:$AP$219,$X66),"")</x:f>
        <x:v>100</x:v>
      </x:c>
      <x:c r="S66" s="18" t="n">
        <x:f>IF($X66="","",INDEX('sheet2-计算明细'!$AQ$17:$AQ$219,$X66))</x:f>
        <x:v>0.88</x:v>
      </x:c>
      <x:c r="T66" s="16" t="n">
        <x:f>IF($X66="","",INDEX('sheet2-计算明细'!$AR$17:$AR$219,$X66))</x:f>
        <x:v>63.48797</x:v>
      </x:c>
      <x:c r="U66" s="17" t="n">
        <x:f t="shared" si="5">IF(S66=0,"",ROUND(T66/S66,2))</x:f>
        <x:v>72.15</x:v>
      </x:c>
      <x:c r="V66" s="17" t="str">
        <x:f t="shared" si="6">IF(ABS(S66-1)&lt;0.00000001,T66,"")</x:f>
      </x:c>
      <x:c r="W66" s="19" t="str">
        <x:f>IF($X66="","",INDEX('sheet2-计算明细'!$AU$17:$AU$219,$X66))</x:f>
        <x:v>DD_long不可识别；</x:v>
      </x:c>
      <x:c r="X66" s="15" t="n">
        <x:f>IF($A66&gt;COUNT('sheet2-计算明细'!$AT$17:$AT$219),"",MATCH($A66,'sheet2-计算明细'!$AT$17:$AT$219,0))</x:f>
        <x:v>107</x:v>
      </x:c>
    </x:row>
    <x:row r="67" ht="28" customHeight="1">
      <x:c r="A67" s="4" t="n">
        <x:v>62</x:v>
      </x:c>
      <x:c r="B67" s="15" t="str">
        <x:f>IF($X67="","",INDEX('sheet2-计算明细'!$B$17:$B$219,$X67))</x:f>
        <x:v>永泉奇点18号混合投资</x:v>
      </x:c>
      <x:c r="C67" s="15" t="str">
        <x:f>IF($X67="","",INDEX('sheet2-计算明细'!$C$17:$C$219,$X67))</x:f>
        <x:v>SNK980</x:v>
      </x:c>
      <x:c r="D67" s="15" t="str">
        <x:f>IF($X67="","",INDEX('sheet2-计算明细'!$D$17:$D$219,$X67))</x:f>
        <x:v>宁波永泉</x:v>
      </x:c>
      <x:c r="E67" s="15" t="str">
        <x:f>IF($X67="","",INDEX('sheet2-计算明细'!$G$17:$G$219,$X67))</x:f>
        <x:v>入池</x:v>
      </x:c>
      <x:c r="F67" s="16" t="n">
        <x:f>IF($X67="","",INDEX('sheet2-计算明细'!$I$17:$I$219,$X67))</x:f>
        <x:v>60</x:v>
      </x:c>
      <x:c r="G67" s="16" t="n">
        <x:f>IF($X67="","",INDEX('sheet2-计算明细'!$K$17:$K$219,$X67))</x:f>
        <x:v>100</x:v>
      </x:c>
      <x:c r="H67" s="16" t="n">
        <x:f>IF($X67="","",INDEX('sheet2-计算明细'!$L$17:$L$219,$X67))</x:f>
        <x:v>100</x:v>
      </x:c>
      <x:c r="I67" s="16" t="n">
        <x:f>IF($X67="","",INDEX('sheet2-计算明细'!$S$17:$S$219,$X67))</x:f>
        <x:v>49.7</x:v>
      </x:c>
      <x:c r="J67" s="16" t="n">
        <x:f>IF($X67="","",INDEX('sheet2-计算明细'!$Y$17:$Y$219,$X67))</x:f>
        <x:v>76.16</x:v>
      </x:c>
      <x:c r="K67" s="16" t="n">
        <x:f>IF($X67="","",INDEX('sheet2-计算明细'!$AC$17:$AC$219,$X67))</x:f>
        <x:v>76.24</x:v>
      </x:c>
      <x:c r="L67" s="16" t="n">
        <x:f>IF($X67="","",INDEX('sheet2-计算明细'!$AI$17:$AI$219,$X67))</x:f>
        <x:v>69.41</x:v>
      </x:c>
      <x:c r="M67" s="16" t="n">
        <x:f>IF($X67="","",INDEX('sheet2-计算明细'!$AK$17:$AK$219,$X67))</x:f>
        <x:v>80</x:v>
      </x:c>
      <x:c r="N67" s="17" t="n">
        <x:f t="shared" si="0">IF(ISNUMBER(INDEX('sheet2-计算明细'!$AL$17:$AL$219,$X67)),INDEX('sheet2-计算明细'!$AL$17:$AL$219,$X67),"")</x:f>
        <x:v>84</x:v>
      </x:c>
      <x:c r="O67" s="17" t="n">
        <x:f t="shared" si="1">IF(ISNUMBER(INDEX('sheet2-计算明细'!$AM$17:$AM$219,$X67)),INDEX('sheet2-计算明细'!$AM$17:$AM$219,$X67),"")</x:f>
        <x:v>57.64</x:v>
      </x:c>
      <x:c r="P67" s="17" t="n">
        <x:f t="shared" si="2">IF(ISNUMBER(INDEX('sheet2-计算明细'!$AN$17:$AN$219,$X67)),INDEX('sheet2-计算明细'!$AN$17:$AN$219,$X67),"")</x:f>
        <x:v>76.24</x:v>
      </x:c>
      <x:c r="Q67" s="17" t="n">
        <x:f t="shared" si="3">IF(ISNUMBER(INDEX('sheet2-计算明细'!$AO$17:$AO$219,$X67)),INDEX('sheet2-计算明细'!$AO$17:$AO$219,$X67),"")</x:f>
        <x:v>69.41</x:v>
      </x:c>
      <x:c r="R67" s="17" t="n">
        <x:f t="shared" si="4">IF(ISNUMBER(INDEX('sheet2-计算明细'!$AP$17:$AP$219,$X67)),INDEX('sheet2-计算明细'!$AP$17:$AP$219,$X67),"")</x:f>
        <x:v>80</x:v>
      </x:c>
      <x:c r="S67" s="18" t="n">
        <x:f>IF($X67="","",INDEX('sheet2-计算明细'!$AQ$17:$AQ$219,$X67))</x:f>
        <x:v>1</x:v>
      </x:c>
      <x:c r="T67" s="16" t="n">
        <x:f>IF($X67="","",INDEX('sheet2-计算明细'!$AR$17:$AR$219,$X67))</x:f>
        <x:v>72.01092</x:v>
      </x:c>
      <x:c r="U67" s="17" t="n">
        <x:f t="shared" si="5">IF(S67=0,"",ROUND(T67/S67,2))</x:f>
        <x:v>72.01</x:v>
      </x:c>
      <x:c r="V67" s="17" t="n">
        <x:f t="shared" si="6">IF(ABS(S67-1)&lt;0.00000001,T67,"")</x:f>
        <x:v>72.01092</x:v>
      </x:c>
      <x:c r="W67" s="19" t="str">
        <x:f>IF($X67="","",INDEX('sheet2-计算明细'!$AU$17:$AU$219,$X67))</x:f>
      </x:c>
      <x:c r="X67" s="15" t="n">
        <x:f>IF($A67&gt;COUNT('sheet2-计算明细'!$AT$17:$AT$219),"",MATCH($A67,'sheet2-计算明细'!$AT$17:$AT$219,0))</x:f>
        <x:v>138</x:v>
      </x:c>
    </x:row>
    <x:row r="68" ht="28" customHeight="1">
      <x:c r="A68" s="4" t="n">
        <x:v>63</x:v>
      </x:c>
      <x:c r="B68" s="15" t="str">
        <x:f>IF($X68="","",INDEX('sheet2-计算明细'!$B$17:$B$219,$X68))</x:f>
        <x:v>博弈树金选套利2号</x:v>
      </x:c>
      <x:c r="C68" s="15" t="str">
        <x:f>IF($X68="","",INDEX('sheet2-计算明细'!$C$17:$C$219,$X68))</x:f>
        <x:v>SXR086</x:v>
      </x:c>
      <x:c r="D68" s="15" t="str">
        <x:f>IF($X68="","",INDEX('sheet2-计算明细'!$D$17:$D$219,$X68))</x:f>
        <x:v>广东丰煜</x:v>
      </x:c>
      <x:c r="E68" s="15" t="str">
        <x:f>IF($X68="","",INDEX('sheet2-计算明细'!$G$17:$G$219,$X68))</x:f>
        <x:v>入池</x:v>
      </x:c>
      <x:c r="F68" s="16" t="n">
        <x:f>IF($X68="","",INDEX('sheet2-计算明细'!$I$17:$I$219,$X68))</x:f>
        <x:v>60</x:v>
      </x:c>
      <x:c r="G68" s="16" t="n">
        <x:f>IF($X68="","",INDEX('sheet2-计算明细'!$K$17:$K$219,$X68))</x:f>
        <x:v>100</x:v>
      </x:c>
      <x:c r="H68" s="16" t="n">
        <x:f>IF($X68="","",INDEX('sheet2-计算明细'!$L$17:$L$219,$X68))</x:f>
        <x:v>100</x:v>
      </x:c>
      <x:c r="I68" s="16" t="n">
        <x:f>IF($X68="","",INDEX('sheet2-计算明细'!$S$17:$S$219,$X68))</x:f>
        <x:v>83.57</x:v>
      </x:c>
      <x:c r="J68" s="16" t="n">
        <x:f>IF($X68="","",INDEX('sheet2-计算明细'!$Y$17:$Y$219,$X68))</x:f>
        <x:v>74.48</x:v>
      </x:c>
      <x:c r="K68" s="16" t="n">
        <x:f>IF($X68="","",INDEX('sheet2-计算明细'!$AC$17:$AC$219,$X68))</x:f>
        <x:v>50.99</x:v>
      </x:c>
      <x:c r="L68" s="16" t="n">
        <x:f>IF($X68="","",INDEX('sheet2-计算明细'!$AI$17:$AI$219,$X68))</x:f>
        <x:v>65.67</x:v>
      </x:c>
      <x:c r="M68" s="16" t="n">
        <x:f>IF($X68="","",INDEX('sheet2-计算明细'!$AK$17:$AK$219,$X68))</x:f>
        <x:v>100</x:v>
      </x:c>
      <x:c r="N68" s="17" t="n">
        <x:f t="shared" si="0">IF(ISNUMBER(INDEX('sheet2-计算明细'!$AL$17:$AL$219,$X68)),INDEX('sheet2-计算明细'!$AL$17:$AL$219,$X68),"")</x:f>
        <x:v>84</x:v>
      </x:c>
      <x:c r="O68" s="17" t="n">
        <x:f t="shared" si="1">IF(ISNUMBER(INDEX('sheet2-计算明细'!$AM$17:$AM$219,$X68)),INDEX('sheet2-计算明细'!$AM$17:$AM$219,$X68),"")</x:f>
        <x:v>80.84</x:v>
      </x:c>
      <x:c r="P68" s="17" t="n">
        <x:f t="shared" si="2">IF(ISNUMBER(INDEX('sheet2-计算明细'!$AN$17:$AN$219,$X68)),INDEX('sheet2-计算明细'!$AN$17:$AN$219,$X68),"")</x:f>
        <x:v>50.99</x:v>
      </x:c>
      <x:c r="Q68" s="17" t="n">
        <x:f t="shared" si="3">IF(ISNUMBER(INDEX('sheet2-计算明细'!$AO$17:$AO$219,$X68)),INDEX('sheet2-计算明细'!$AO$17:$AO$219,$X68),"")</x:f>
        <x:v>65.67</x:v>
      </x:c>
      <x:c r="R68" s="17" t="n">
        <x:f t="shared" si="4">IF(ISNUMBER(INDEX('sheet2-计算明细'!$AP$17:$AP$219,$X68)),INDEX('sheet2-计算明细'!$AP$17:$AP$219,$X68),"")</x:f>
        <x:v>100</x:v>
      </x:c>
      <x:c r="S68" s="18" t="n">
        <x:f>IF($X68="","",INDEX('sheet2-计算明细'!$AQ$17:$AQ$219,$X68))</x:f>
        <x:v>0.88</x:v>
      </x:c>
      <x:c r="T68" s="16" t="n">
        <x:f>IF($X68="","",INDEX('sheet2-计算明细'!$AR$17:$AR$219,$X68))</x:f>
        <x:v>63.336389999999994</x:v>
      </x:c>
      <x:c r="U68" s="17" t="n">
        <x:f t="shared" si="5">IF(S68=0,"",ROUND(T68/S68,2))</x:f>
        <x:v>71.97</x:v>
      </x:c>
      <x:c r="V68" s="17" t="str">
        <x:f t="shared" si="6">IF(ABS(S68-1)&lt;0.00000001,T68,"")</x:f>
      </x:c>
      <x:c r="W68" s="19" t="str">
        <x:f>IF($X68="","",INDEX('sheet2-计算明细'!$AU$17:$AU$219,$X68))</x:f>
        <x:v>DD_long不可识别；</x:v>
      </x:c>
      <x:c r="X68" s="15" t="n">
        <x:f>IF($A68&gt;COUNT('sheet2-计算明细'!$AT$17:$AT$219),"",MATCH($A68,'sheet2-计算明细'!$AT$17:$AT$219,0))</x:f>
        <x:v>162</x:v>
      </x:c>
    </x:row>
    <x:row r="69" ht="28" customHeight="1">
      <x:c r="A69" s="4" t="n">
        <x:v>64</x:v>
      </x:c>
      <x:c r="B69" s="15" t="str">
        <x:f>IF($X69="","",INDEX('sheet2-计算明细'!$B$17:$B$219,$X69))</x:f>
        <x:v>佳泽信享5号B类</x:v>
      </x:c>
      <x:c r="C69" s="15" t="str">
        <x:f>IF($X69="","",INDEX('sheet2-计算明细'!$C$17:$C$219,$X69))</x:f>
        <x:v>ZC395B</x:v>
      </x:c>
      <x:c r="D69" s="15" t="str">
        <x:f>IF($X69="","",INDEX('sheet2-计算明细'!$D$17:$D$219,$X69))</x:f>
        <x:v>海南佳泽</x:v>
      </x:c>
      <x:c r="E69" s="15" t="str">
        <x:f>IF($X69="","",INDEX('sheet2-计算明细'!$G$17:$G$219,$X69))</x:f>
        <x:v>入池</x:v>
      </x:c>
      <x:c r="F69" s="16" t="n">
        <x:f>IF($X69="","",INDEX('sheet2-计算明细'!$I$17:$I$219,$X69))</x:f>
        <x:v>60</x:v>
      </x:c>
      <x:c r="G69" s="16" t="str">
        <x:f>IF($X69="","",INDEX('sheet2-计算明细'!$K$17:$K$219,$X69))</x:f>
      </x:c>
      <x:c r="H69" s="16" t="n">
        <x:f>IF($X69="","",INDEX('sheet2-计算明细'!$L$17:$L$219,$X69))</x:f>
        <x:v>100</x:v>
      </x:c>
      <x:c r="I69" s="16" t="n">
        <x:f>IF($X69="","",INDEX('sheet2-计算明细'!$S$17:$S$219,$X69))</x:f>
        <x:v>44.56</x:v>
      </x:c>
      <x:c r="J69" s="16" t="n">
        <x:f>IF($X69="","",INDEX('sheet2-计算明细'!$Y$17:$Y$219,$X69))</x:f>
        <x:v>77.44</x:v>
      </x:c>
      <x:c r="K69" s="16" t="n">
        <x:f>IF($X69="","",INDEX('sheet2-计算明细'!$AC$17:$AC$219,$X69))</x:f>
        <x:v>69.06</x:v>
      </x:c>
      <x:c r="L69" s="16" t="n">
        <x:f>IF($X69="","",INDEX('sheet2-计算明细'!$AI$17:$AI$219,$X69))</x:f>
        <x:v>73.5</x:v>
      </x:c>
      <x:c r="M69" s="16" t="n">
        <x:f>IF($X69="","",INDEX('sheet2-计算明细'!$AK$17:$AK$219,$X69))</x:f>
        <x:v>100</x:v>
      </x:c>
      <x:c r="N69" s="17" t="n">
        <x:f t="shared" si="0">IF(ISNUMBER(INDEX('sheet2-计算明细'!$AL$17:$AL$219,$X69)),INDEX('sheet2-计算明细'!$AL$17:$AL$219,$X69),"")</x:f>
        <x:v>77.14</x:v>
      </x:c>
      <x:c r="O69" s="17" t="n">
        <x:f t="shared" si="1">IF(ISNUMBER(INDEX('sheet2-计算明细'!$AM$17:$AM$219,$X69)),INDEX('sheet2-计算明细'!$AM$17:$AM$219,$X69),"")</x:f>
        <x:v>54.42</x:v>
      </x:c>
      <x:c r="P69" s="17" t="n">
        <x:f t="shared" si="2">IF(ISNUMBER(INDEX('sheet2-计算明细'!$AN$17:$AN$219,$X69)),INDEX('sheet2-计算明细'!$AN$17:$AN$219,$X69),"")</x:f>
        <x:v>69.06</x:v>
      </x:c>
      <x:c r="Q69" s="17" t="n">
        <x:f t="shared" si="3">IF(ISNUMBER(INDEX('sheet2-计算明细'!$AO$17:$AO$219,$X69)),INDEX('sheet2-计算明细'!$AO$17:$AO$219,$X69),"")</x:f>
        <x:v>73.5</x:v>
      </x:c>
      <x:c r="R69" s="17" t="n">
        <x:f t="shared" si="4">IF(ISNUMBER(INDEX('sheet2-计算明细'!$AP$17:$AP$219,$X69)),INDEX('sheet2-计算明细'!$AP$17:$AP$219,$X69),"")</x:f>
        <x:v>100</x:v>
      </x:c>
      <x:c r="S69" s="18" t="n">
        <x:f>IF($X69="","",INDEX('sheet2-计算明细'!$AQ$17:$AQ$219,$X69))</x:f>
        <x:v>0.9550000000000001</x:v>
      </x:c>
      <x:c r="T69" s="16" t="n">
        <x:f>IF($X69="","",INDEX('sheet2-计算明细'!$AR$17:$AR$219,$X69))</x:f>
        <x:v>68.30019</x:v>
      </x:c>
      <x:c r="U69" s="17" t="n">
        <x:f t="shared" si="5">IF(S69=0,"",ROUND(T69/S69,2))</x:f>
        <x:v>71.52</x:v>
      </x:c>
      <x:c r="V69" s="17" t="str">
        <x:f t="shared" si="6">IF(ABS(S69-1)&lt;0.00000001,T69,"")</x:f>
      </x:c>
      <x:c r="W69" s="19" t="str">
        <x:f>IF($X69="","",INDEX('sheet2-计算明细'!$AU$17:$AU$219,$X69))</x:f>
        <x:v>产品规模标识；</x:v>
      </x:c>
      <x:c r="X69" s="15" t="n">
        <x:f>IF($A69&gt;COUNT('sheet2-计算明细'!$AT$17:$AT$219),"",MATCH($A69,'sheet2-计算明细'!$AT$17:$AT$219,0))</x:f>
        <x:v>76</x:v>
      </x:c>
    </x:row>
    <x:row r="70" ht="28" customHeight="1">
      <x:c r="A70" s="4" t="n">
        <x:v>65</x:v>
      </x:c>
      <x:c r="B70" s="15" t="str">
        <x:f>IF($X70="","",INDEX('sheet2-计算明细'!$B$17:$B$219,$X70))</x:f>
        <x:v>东方富银宏观量化1号</x:v>
      </x:c>
      <x:c r="C70" s="15" t="str">
        <x:f>IF($X70="","",INDEX('sheet2-计算明细'!$C$17:$C$219,$X70))</x:f>
        <x:v>SXA890</x:v>
      </x:c>
      <x:c r="D70" s="15" t="str">
        <x:f>IF($X70="","",INDEX('sheet2-计算明细'!$D$17:$D$219,$X70))</x:f>
        <x:v>深圳东方富银投资</x:v>
      </x:c>
      <x:c r="E70" s="15" t="str">
        <x:f>IF($X70="","",INDEX('sheet2-计算明细'!$G$17:$G$219,$X70))</x:f>
        <x:v>入池</x:v>
      </x:c>
      <x:c r="F70" s="16" t="n">
        <x:f>IF($X70="","",INDEX('sheet2-计算明细'!$I$17:$I$219,$X70))</x:f>
        <x:v>60</x:v>
      </x:c>
      <x:c r="G70" s="16" t="n">
        <x:f>IF($X70="","",INDEX('sheet2-计算明细'!$K$17:$K$219,$X70))</x:f>
        <x:v>100</x:v>
      </x:c>
      <x:c r="H70" s="16" t="n">
        <x:f>IF($X70="","",INDEX('sheet2-计算明细'!$L$17:$L$219,$X70))</x:f>
        <x:v>100</x:v>
      </x:c>
      <x:c r="I70" s="16" t="n">
        <x:f>IF($X70="","",INDEX('sheet2-计算明细'!$S$17:$S$219,$X70))</x:f>
        <x:v>64.26</x:v>
      </x:c>
      <x:c r="J70" s="16" t="n">
        <x:f>IF($X70="","",INDEX('sheet2-计算明细'!$Y$17:$Y$219,$X70))</x:f>
        <x:v>83.72</x:v>
      </x:c>
      <x:c r="K70" s="16" t="n">
        <x:f>IF($X70="","",INDEX('sheet2-计算明细'!$AC$17:$AC$219,$X70))</x:f>
        <x:v>56.68</x:v>
      </x:c>
      <x:c r="L70" s="16" t="n">
        <x:f>IF($X70="","",INDEX('sheet2-计算明细'!$AI$17:$AI$219,$X70))</x:f>
        <x:v>74.86</x:v>
      </x:c>
      <x:c r="M70" s="16" t="n">
        <x:f>IF($X70="","",INDEX('sheet2-计算明细'!$AK$17:$AK$219,$X70))</x:f>
        <x:v>80</x:v>
      </x:c>
      <x:c r="N70" s="17" t="n">
        <x:f t="shared" ref="N70:N133" si="7">IF(ISNUMBER(INDEX('sheet2-计算明细'!$AL$17:$AL$219,$X70)),INDEX('sheet2-计算明细'!$AL$17:$AL$219,$X70),"")</x:f>
        <x:v>84</x:v>
      </x:c>
      <x:c r="O70" s="17" t="n">
        <x:f t="shared" ref="O70:O133" si="8">IF(ISNUMBER(INDEX('sheet2-计算明细'!$AM$17:$AM$219,$X70)),INDEX('sheet2-计算明细'!$AM$17:$AM$219,$X70),"")</x:f>
        <x:v>70.1</x:v>
      </x:c>
      <x:c r="P70" s="17" t="n">
        <x:f t="shared" ref="P70:P133" si="9">IF(ISNUMBER(INDEX('sheet2-计算明细'!$AN$17:$AN$219,$X70)),INDEX('sheet2-计算明细'!$AN$17:$AN$219,$X70),"")</x:f>
        <x:v>56.68</x:v>
      </x:c>
      <x:c r="Q70" s="17" t="n">
        <x:f t="shared" ref="Q70:Q133" si="10">IF(ISNUMBER(INDEX('sheet2-计算明细'!$AO$17:$AO$219,$X70)),INDEX('sheet2-计算明细'!$AO$17:$AO$219,$X70),"")</x:f>
        <x:v>74.86</x:v>
      </x:c>
      <x:c r="R70" s="17" t="n">
        <x:f t="shared" ref="R70:R133" si="11">IF(ISNUMBER(INDEX('sheet2-计算明细'!$AP$17:$AP$219,$X70)),INDEX('sheet2-计算明细'!$AP$17:$AP$219,$X70),"")</x:f>
        <x:v>80</x:v>
      </x:c>
      <x:c r="S70" s="18" t="n">
        <x:f>IF($X70="","",INDEX('sheet2-计算明细'!$AQ$17:$AQ$219,$X70))</x:f>
        <x:v>1</x:v>
      </x:c>
      <x:c r="T70" s="16" t="n">
        <x:f>IF($X70="","",INDEX('sheet2-计算明细'!$AR$17:$AR$219,$X70))</x:f>
        <x:v>71.24703</x:v>
      </x:c>
      <x:c r="U70" s="17" t="n">
        <x:f t="shared" ref="U70:U133" si="12">IF(S70=0,"",ROUND(T70/S70,2))</x:f>
        <x:v>71.25</x:v>
      </x:c>
      <x:c r="V70" s="17" t="n">
        <x:f t="shared" ref="V70:V133" si="13">IF(ABS(S70-1)&lt;0.00000001,T70,"")</x:f>
        <x:v>71.24703</x:v>
      </x:c>
      <x:c r="W70" s="19" t="str">
        <x:f>IF($X70="","",INDEX('sheet2-计算明细'!$AU$17:$AU$219,$X70))</x:f>
      </x:c>
      <x:c r="X70" s="15" t="n">
        <x:f>IF($A70&gt;COUNT('sheet2-计算明细'!$AT$17:$AT$219),"",MATCH($A70,'sheet2-计算明细'!$AT$17:$AT$219,0))</x:f>
        <x:v>154</x:v>
      </x:c>
    </x:row>
    <x:row r="71" ht="28" customHeight="1">
      <x:c r="A71" s="4" t="n">
        <x:v>66</x:v>
      </x:c>
      <x:c r="B71" s="15" t="str">
        <x:f>IF($X71="","",INDEX('sheet2-计算明细'!$B$17:$B$219,$X71))</x:f>
        <x:v>致同添利套利多策略三期A类</x:v>
      </x:c>
      <x:c r="C71" s="15" t="str">
        <x:f>IF($X71="","",INDEX('sheet2-计算明细'!$C$17:$C$219,$X71))</x:f>
        <x:v>TY632A</x:v>
      </x:c>
      <x:c r="D71" s="15" t="str">
        <x:f>IF($X71="","",INDEX('sheet2-计算明细'!$D$17:$D$219,$X71))</x:f>
        <x:v>上海致同投资</x:v>
      </x:c>
      <x:c r="E71" s="15" t="str">
        <x:f>IF($X71="","",INDEX('sheet2-计算明细'!$G$17:$G$219,$X71))</x:f>
        <x:v>入池</x:v>
      </x:c>
      <x:c r="F71" s="16" t="n">
        <x:f>IF($X71="","",INDEX('sheet2-计算明细'!$I$17:$I$219,$X71))</x:f>
        <x:v>90</x:v>
      </x:c>
      <x:c r="G71" s="16" t="str">
        <x:f>IF($X71="","",INDEX('sheet2-计算明细'!$K$17:$K$219,$X71))</x:f>
      </x:c>
      <x:c r="H71" s="16" t="n">
        <x:f>IF($X71="","",INDEX('sheet2-计算明细'!$L$17:$L$219,$X71))</x:f>
        <x:v>100</x:v>
      </x:c>
      <x:c r="I71" s="16" t="n">
        <x:f>IF($X71="","",INDEX('sheet2-计算明细'!$S$17:$S$219,$X71))</x:f>
        <x:v>30.25</x:v>
      </x:c>
      <x:c r="J71" s="16" t="n">
        <x:f>IF($X71="","",INDEX('sheet2-计算明细'!$Y$17:$Y$219,$X71))</x:f>
        <x:v>77.82</x:v>
      </x:c>
      <x:c r="K71" s="16" t="n">
        <x:f>IF($X71="","",INDEX('sheet2-计算明细'!$AC$17:$AC$219,$X71))</x:f>
        <x:v>88.61</x:v>
      </x:c>
      <x:c r="L71" s="16" t="n">
        <x:f>IF($X71="","",INDEX('sheet2-计算明细'!$AI$17:$AI$219,$X71))</x:f>
        <x:v>58.21</x:v>
      </x:c>
      <x:c r="M71" s="16" t="n">
        <x:f>IF($X71="","",INDEX('sheet2-计算明细'!$AK$17:$AK$219,$X71))</x:f>
        <x:v>80</x:v>
      </x:c>
      <x:c r="N71" s="17" t="n">
        <x:f t="shared" si="7">IF(ISNUMBER(INDEX('sheet2-计算明细'!$AL$17:$AL$219,$X71)),INDEX('sheet2-计算明细'!$AL$17:$AL$219,$X71),"")</x:f>
        <x:v>94.29</x:v>
      </x:c>
      <x:c r="O71" s="17" t="n">
        <x:f t="shared" si="8">IF(ISNUMBER(INDEX('sheet2-计算明细'!$AM$17:$AM$219,$X71)),INDEX('sheet2-计算明细'!$AM$17:$AM$219,$X71),"")</x:f>
        <x:v>44.52</x:v>
      </x:c>
      <x:c r="P71" s="17" t="n">
        <x:f t="shared" si="9">IF(ISNUMBER(INDEX('sheet2-计算明细'!$AN$17:$AN$219,$X71)),INDEX('sheet2-计算明细'!$AN$17:$AN$219,$X71),"")</x:f>
        <x:v>88.61</x:v>
      </x:c>
      <x:c r="Q71" s="17" t="n">
        <x:f t="shared" si="10">IF(ISNUMBER(INDEX('sheet2-计算明细'!$AO$17:$AO$219,$X71)),INDEX('sheet2-计算明细'!$AO$17:$AO$219,$X71),"")</x:f>
        <x:v>58.21</x:v>
      </x:c>
      <x:c r="R71" s="17" t="n">
        <x:f t="shared" si="11">IF(ISNUMBER(INDEX('sheet2-计算明细'!$AP$17:$AP$219,$X71)),INDEX('sheet2-计算明细'!$AP$17:$AP$219,$X71),"")</x:f>
        <x:v>80</x:v>
      </x:c>
      <x:c r="S71" s="18" t="n">
        <x:f>IF($X71="","",INDEX('sheet2-计算明细'!$AQ$17:$AQ$219,$X71))</x:f>
        <x:v>0.8350000000000001</x:v>
      </x:c>
      <x:c r="T71" s="16" t="n">
        <x:f>IF($X71="","",INDEX('sheet2-计算明细'!$AR$17:$AR$219,$X71))</x:f>
        <x:v>59.43452</x:v>
      </x:c>
      <x:c r="U71" s="17" t="n">
        <x:f t="shared" si="12">IF(S71=0,"",ROUND(T71/S71,2))</x:f>
        <x:v>71.18</x:v>
      </x:c>
      <x:c r="V71" s="17" t="str">
        <x:f t="shared" si="13">IF(ABS(S71-1)&lt;0.00000001,T71,"")</x:f>
      </x:c>
      <x:c r="W71" s="19" t="str">
        <x:f>IF($X71="","",INDEX('sheet2-计算明细'!$AU$17:$AU$219,$X71))</x:f>
        <x:v>产品规模标识；DD_long不可识别；</x:v>
      </x:c>
      <x:c r="X71" s="15" t="n">
        <x:f>IF($A71&gt;COUNT('sheet2-计算明细'!$AT$17:$AT$219),"",MATCH($A71,'sheet2-计算明细'!$AT$17:$AT$219,0))</x:f>
        <x:v>155</x:v>
      </x:c>
    </x:row>
    <x:row r="72" ht="28" customHeight="1">
      <x:c r="A72" s="4" t="n">
        <x:v>67</x:v>
      </x:c>
      <x:c r="B72" s="15" t="str">
        <x:f>IF($X72="","",INDEX('sheet2-计算明细'!$B$17:$B$219,$X72))</x:f>
        <x:v>致同稳盈对冲</x:v>
      </x:c>
      <x:c r="C72" s="15" t="str">
        <x:f>IF($X72="","",INDEX('sheet2-计算明细'!$C$17:$C$219,$X72))</x:f>
        <x:v>SS8645</x:v>
      </x:c>
      <x:c r="D72" s="15" t="str">
        <x:f>IF($X72="","",INDEX('sheet2-计算明细'!$D$17:$D$219,$X72))</x:f>
        <x:v>上海致同投资</x:v>
      </x:c>
      <x:c r="E72" s="15" t="str">
        <x:f>IF($X72="","",INDEX('sheet2-计算明细'!$G$17:$G$219,$X72))</x:f>
        <x:v>入池</x:v>
      </x:c>
      <x:c r="F72" s="16" t="n">
        <x:f>IF($X72="","",INDEX('sheet2-计算明细'!$I$17:$I$219,$X72))</x:f>
        <x:v>90</x:v>
      </x:c>
      <x:c r="G72" s="16" t="n">
        <x:f>IF($X72="","",INDEX('sheet2-计算明细'!$K$17:$K$219,$X72))</x:f>
        <x:v>100</x:v>
      </x:c>
      <x:c r="H72" s="16" t="n">
        <x:f>IF($X72="","",INDEX('sheet2-计算明细'!$L$17:$L$219,$X72))</x:f>
        <x:v>100</x:v>
      </x:c>
      <x:c r="I72" s="16" t="n">
        <x:f>IF($X72="","",INDEX('sheet2-计算明细'!$S$17:$S$219,$X72))</x:f>
        <x:v>41.49</x:v>
      </x:c>
      <x:c r="J72" s="16" t="n">
        <x:f>IF($X72="","",INDEX('sheet2-计算明细'!$Y$17:$Y$219,$X72))</x:f>
        <x:v>77.82</x:v>
      </x:c>
      <x:c r="K72" s="16" t="n">
        <x:f>IF($X72="","",INDEX('sheet2-计算明细'!$AC$17:$AC$219,$X72))</x:f>
        <x:v>81.19</x:v>
      </x:c>
      <x:c r="L72" s="16" t="n">
        <x:f>IF($X72="","",INDEX('sheet2-计算明细'!$AI$17:$AI$219,$X72))</x:f>
        <x:v>52.24</x:v>
      </x:c>
      <x:c r="M72" s="16" t="n">
        <x:f>IF($X72="","",INDEX('sheet2-计算明细'!$AK$17:$AK$219,$X72))</x:f>
        <x:v>80</x:v>
      </x:c>
      <x:c r="N72" s="17" t="n">
        <x:f t="shared" si="7">IF(ISNUMBER(INDEX('sheet2-计算明细'!$AL$17:$AL$219,$X72)),INDEX('sheet2-计算明细'!$AL$17:$AL$219,$X72),"")</x:f>
        <x:v>96</x:v>
      </x:c>
      <x:c r="O72" s="17" t="n">
        <x:f t="shared" si="8">IF(ISNUMBER(INDEX('sheet2-计算明细'!$AM$17:$AM$219,$X72)),INDEX('sheet2-计算明细'!$AM$17:$AM$219,$X72),"")</x:f>
        <x:v>52.39</x:v>
      </x:c>
      <x:c r="P72" s="17" t="n">
        <x:f t="shared" si="9">IF(ISNUMBER(INDEX('sheet2-计算明细'!$AN$17:$AN$219,$X72)),INDEX('sheet2-计算明细'!$AN$17:$AN$219,$X72),"")</x:f>
        <x:v>81.19</x:v>
      </x:c>
      <x:c r="Q72" s="17" t="n">
        <x:f t="shared" si="10">IF(ISNUMBER(INDEX('sheet2-计算明细'!$AO$17:$AO$219,$X72)),INDEX('sheet2-计算明细'!$AO$17:$AO$219,$X72),"")</x:f>
        <x:v>52.24</x:v>
      </x:c>
      <x:c r="R72" s="17" t="n">
        <x:f t="shared" si="11">IF(ISNUMBER(INDEX('sheet2-计算明细'!$AP$17:$AP$219,$X72)),INDEX('sheet2-计算明细'!$AP$17:$AP$219,$X72),"")</x:f>
        <x:v>80</x:v>
      </x:c>
      <x:c r="S72" s="18" t="n">
        <x:f>IF($X72="","",INDEX('sheet2-计算明细'!$AQ$17:$AQ$219,$X72))</x:f>
        <x:v>0.88</x:v>
      </x:c>
      <x:c r="T72" s="16" t="n">
        <x:f>IF($X72="","",INDEX('sheet2-计算明细'!$AR$17:$AR$219,$X72))</x:f>
        <x:v>62.57795999999999</x:v>
      </x:c>
      <x:c r="U72" s="17" t="n">
        <x:f t="shared" si="12">IF(S72=0,"",ROUND(T72/S72,2))</x:f>
        <x:v>71.11</x:v>
      </x:c>
      <x:c r="V72" s="17" t="str">
        <x:f t="shared" si="13">IF(ABS(S72-1)&lt;0.00000001,T72,"")</x:f>
      </x:c>
      <x:c r="W72" s="19" t="str">
        <x:f>IF($X72="","",INDEX('sheet2-计算明细'!$AU$17:$AU$219,$X72))</x:f>
        <x:v>DD_long不可识别；</x:v>
      </x:c>
      <x:c r="X72" s="15" t="n">
        <x:f>IF($A72&gt;COUNT('sheet2-计算明细'!$AT$17:$AT$219),"",MATCH($A72,'sheet2-计算明细'!$AT$17:$AT$219,0))</x:f>
        <x:v>5</x:v>
      </x:c>
    </x:row>
    <x:row r="73" ht="28" customHeight="1">
      <x:c r="A73" s="4" t="n">
        <x:v>68</x:v>
      </x:c>
      <x:c r="B73" s="15" t="str">
        <x:f>IF($X73="","",INDEX('sheet2-计算明细'!$B$17:$B$219,$X73))</x:f>
        <x:v>银杏善利3号</x:v>
      </x:c>
      <x:c r="C73" s="15" t="str">
        <x:f>IF($X73="","",INDEX('sheet2-计算明细'!$C$17:$C$219,$X73))</x:f>
        <x:v>SXN943</x:v>
      </x:c>
      <x:c r="D73" s="15" t="str">
        <x:f>IF($X73="","",INDEX('sheet2-计算明细'!$D$17:$D$219,$X73))</x:f>
        <x:v>上海银杏</x:v>
      </x:c>
      <x:c r="E73" s="15" t="str">
        <x:f>IF($X73="","",INDEX('sheet2-计算明细'!$G$17:$G$219,$X73))</x:f>
        <x:v>入池</x:v>
      </x:c>
      <x:c r="F73" s="16" t="n">
        <x:f>IF($X73="","",INDEX('sheet2-计算明细'!$I$17:$I$219,$X73))</x:f>
        <x:v>60</x:v>
      </x:c>
      <x:c r="G73" s="16" t="n">
        <x:f>IF($X73="","",INDEX('sheet2-计算明细'!$K$17:$K$219,$X73))</x:f>
        <x:v>100</x:v>
      </x:c>
      <x:c r="H73" s="16" t="n">
        <x:f>IF($X73="","",INDEX('sheet2-计算明细'!$L$17:$L$219,$X73))</x:f>
        <x:v>100</x:v>
      </x:c>
      <x:c r="I73" s="16" t="n">
        <x:f>IF($X73="","",INDEX('sheet2-计算明细'!$S$17:$S$219,$X73))</x:f>
        <x:v>62.78</x:v>
      </x:c>
      <x:c r="J73" s="16" t="n">
        <x:f>IF($X73="","",INDEX('sheet2-计算明细'!$Y$17:$Y$219,$X73))</x:f>
        <x:v>68.59</x:v>
      </x:c>
      <x:c r="K73" s="16" t="n">
        <x:f>IF($X73="","",INDEX('sheet2-计算明细'!$AC$17:$AC$219,$X73))</x:f>
        <x:v>66.34</x:v>
      </x:c>
      <x:c r="L73" s="16" t="n">
        <x:f>IF($X73="","",INDEX('sheet2-计算明细'!$AI$17:$AI$219,$X73))</x:f>
        <x:v>62.63</x:v>
      </x:c>
      <x:c r="M73" s="16" t="n">
        <x:f>IF($X73="","",INDEX('sheet2-计算明细'!$AK$17:$AK$219,$X73))</x:f>
        <x:v>100</x:v>
      </x:c>
      <x:c r="N73" s="17" t="n">
        <x:f t="shared" si="7">IF(ISNUMBER(INDEX('sheet2-计算明细'!$AL$17:$AL$219,$X73)),INDEX('sheet2-计算明细'!$AL$17:$AL$219,$X73),"")</x:f>
        <x:v>84</x:v>
      </x:c>
      <x:c r="O73" s="17" t="n">
        <x:f t="shared" si="8">IF(ISNUMBER(INDEX('sheet2-计算明细'!$AM$17:$AM$219,$X73)),INDEX('sheet2-计算明细'!$AM$17:$AM$219,$X73),"")</x:f>
        <x:v>64.52</x:v>
      </x:c>
      <x:c r="P73" s="17" t="n">
        <x:f t="shared" si="9">IF(ISNUMBER(INDEX('sheet2-计算明细'!$AN$17:$AN$219,$X73)),INDEX('sheet2-计算明细'!$AN$17:$AN$219,$X73),"")</x:f>
        <x:v>66.34</x:v>
      </x:c>
      <x:c r="Q73" s="17" t="n">
        <x:f t="shared" si="10">IF(ISNUMBER(INDEX('sheet2-计算明细'!$AO$17:$AO$219,$X73)),INDEX('sheet2-计算明细'!$AO$17:$AO$219,$X73),"")</x:f>
        <x:v>62.63</x:v>
      </x:c>
      <x:c r="R73" s="17" t="n">
        <x:f t="shared" si="11">IF(ISNUMBER(INDEX('sheet2-计算明细'!$AP$17:$AP$219,$X73)),INDEX('sheet2-计算明细'!$AP$17:$AP$219,$X73),"")</x:f>
        <x:v>100</x:v>
      </x:c>
      <x:c r="S73" s="18" t="n">
        <x:f>IF($X73="","",INDEX('sheet2-计算明细'!$AQ$17:$AQ$219,$X73))</x:f>
        <x:v>1</x:v>
      </x:c>
      <x:c r="T73" s="16" t="n">
        <x:f>IF($X73="","",INDEX('sheet2-计算明细'!$AR$17:$AR$219,$X73))</x:f>
        <x:v>70.87735</x:v>
      </x:c>
      <x:c r="U73" s="17" t="n">
        <x:f t="shared" si="12">IF(S73=0,"",ROUND(T73/S73,2))</x:f>
        <x:v>70.88</x:v>
      </x:c>
      <x:c r="V73" s="17" t="n">
        <x:f t="shared" si="13">IF(ABS(S73-1)&lt;0.00000001,T73,"")</x:f>
        <x:v>70.87735</x:v>
      </x:c>
      <x:c r="W73" s="19" t="str">
        <x:f>IF($X73="","",INDEX('sheet2-计算明细'!$AU$17:$AU$219,$X73))</x:f>
      </x:c>
      <x:c r="X73" s="15" t="n">
        <x:f>IF($A73&gt;COUNT('sheet2-计算明细'!$AT$17:$AT$219),"",MATCH($A73,'sheet2-计算明细'!$AT$17:$AT$219,0))</x:f>
        <x:v>56</x:v>
      </x:c>
    </x:row>
    <x:row r="74" ht="28" customHeight="1">
      <x:c r="A74" s="4" t="n">
        <x:v>69</x:v>
      </x:c>
      <x:c r="B74" s="15" t="str">
        <x:f>IF($X74="","",INDEX('sheet2-计算明细'!$B$17:$B$219,$X74))</x:f>
        <x:v>慕途基本面量化2号</x:v>
      </x:c>
      <x:c r="C74" s="15" t="str">
        <x:f>IF($X74="","",INDEX('sheet2-计算明细'!$C$17:$C$219,$X74))</x:f>
        <x:v>SB9576</x:v>
      </x:c>
      <x:c r="D74" s="15" t="str">
        <x:f>IF($X74="","",INDEX('sheet2-计算明细'!$D$17:$D$219,$X74))</x:f>
        <x:v>慕途基金</x:v>
      </x:c>
      <x:c r="E74" s="15" t="str">
        <x:f>IF($X74="","",INDEX('sheet2-计算明细'!$G$17:$G$219,$X74))</x:f>
        <x:v>入池</x:v>
      </x:c>
      <x:c r="F74" s="16" t="n">
        <x:f>IF($X74="","",INDEX('sheet2-计算明细'!$I$17:$I$219,$X74))</x:f>
        <x:v>80</x:v>
      </x:c>
      <x:c r="G74" s="16" t="n">
        <x:f>IF($X74="","",INDEX('sheet2-计算明细'!$K$17:$K$219,$X74))</x:f>
        <x:v>100</x:v>
      </x:c>
      <x:c r="H74" s="16" t="n">
        <x:f>IF($X74="","",INDEX('sheet2-计算明细'!$L$17:$L$219,$X74))</x:f>
        <x:v>100</x:v>
      </x:c>
      <x:c r="I74" s="16" t="n">
        <x:f>IF($X74="","",INDEX('sheet2-计算明细'!$S$17:$S$219,$X74))</x:f>
        <x:v>78.42</x:v>
      </x:c>
      <x:c r="J74" s="16" t="n">
        <x:f>IF($X74="","",INDEX('sheet2-计算明细'!$Y$17:$Y$219,$X74))</x:f>
        <x:v>74.87</x:v>
      </x:c>
      <x:c r="K74" s="16" t="n">
        <x:f>IF($X74="","",INDEX('sheet2-计算明细'!$AC$17:$AC$219,$X74))</x:f>
        <x:v>54.46</x:v>
      </x:c>
      <x:c r="L74" s="16" t="n">
        <x:f>IF($X74="","",INDEX('sheet2-计算明细'!$AI$17:$AI$219,$X74))</x:f>
        <x:v>51.74</x:v>
      </x:c>
      <x:c r="M74" s="16" t="n">
        <x:f>IF($X74="","",INDEX('sheet2-计算明细'!$AK$17:$AK$219,$X74))</x:f>
        <x:v>100</x:v>
      </x:c>
      <x:c r="N74" s="17" t="n">
        <x:f t="shared" si="7">IF(ISNUMBER(INDEX('sheet2-计算明细'!$AL$17:$AL$219,$X74)),INDEX('sheet2-计算明细'!$AL$17:$AL$219,$X74),"")</x:f>
        <x:v>92</x:v>
      </x:c>
      <x:c r="O74" s="17" t="n">
        <x:f t="shared" si="8">IF(ISNUMBER(INDEX('sheet2-计算明细'!$AM$17:$AM$219,$X74)),INDEX('sheet2-计算明细'!$AM$17:$AM$219,$X74),"")</x:f>
        <x:v>77.35</x:v>
      </x:c>
      <x:c r="P74" s="17" t="n">
        <x:f t="shared" si="9">IF(ISNUMBER(INDEX('sheet2-计算明细'!$AN$17:$AN$219,$X74)),INDEX('sheet2-计算明细'!$AN$17:$AN$219,$X74),"")</x:f>
        <x:v>54.46</x:v>
      </x:c>
      <x:c r="Q74" s="17" t="n">
        <x:f t="shared" si="10">IF(ISNUMBER(INDEX('sheet2-计算明细'!$AO$17:$AO$219,$X74)),INDEX('sheet2-计算明细'!$AO$17:$AO$219,$X74),"")</x:f>
        <x:v>51.74</x:v>
      </x:c>
      <x:c r="R74" s="17" t="n">
        <x:f t="shared" si="11">IF(ISNUMBER(INDEX('sheet2-计算明细'!$AP$17:$AP$219,$X74)),INDEX('sheet2-计算明细'!$AP$17:$AP$219,$X74),"")</x:f>
        <x:v>100</x:v>
      </x:c>
      <x:c r="S74" s="18" t="n">
        <x:f>IF($X74="","",INDEX('sheet2-计算明细'!$AQ$17:$AQ$219,$X74))</x:f>
        <x:v>0.88</x:v>
      </x:c>
      <x:c r="T74" s="16" t="n">
        <x:f>IF($X74="","",INDEX('sheet2-计算明细'!$AR$17:$AR$219,$X74))</x:f>
        <x:v>62.19879</x:v>
      </x:c>
      <x:c r="U74" s="17" t="n">
        <x:f t="shared" si="12">IF(S74=0,"",ROUND(T74/S74,2))</x:f>
        <x:v>70.68</x:v>
      </x:c>
      <x:c r="V74" s="17" t="str">
        <x:f t="shared" si="13">IF(ABS(S74-1)&lt;0.00000001,T74,"")</x:f>
      </x:c>
      <x:c r="W74" s="19" t="str">
        <x:f>IF($X74="","",INDEX('sheet2-计算明细'!$AU$17:$AU$219,$X74))</x:f>
        <x:v>DD_long不可识别；</x:v>
      </x:c>
      <x:c r="X74" s="15" t="n">
        <x:f>IF($A74&gt;COUNT('sheet2-计算明细'!$AT$17:$AT$219),"",MATCH($A74,'sheet2-计算明细'!$AT$17:$AT$219,0))</x:f>
        <x:v>189</x:v>
      </x:c>
    </x:row>
    <x:row r="75" ht="28" customHeight="1">
      <x:c r="A75" s="4" t="n">
        <x:v>70</x:v>
      </x:c>
      <x:c r="B75" s="15" t="str">
        <x:f>IF($X75="","",INDEX('sheet2-计算明细'!$B$17:$B$219,$X75))</x:f>
        <x:v>博普跨市场1号A类</x:v>
      </x:c>
      <x:c r="C75" s="15" t="str">
        <x:f>IF($X75="","",INDEX('sheet2-计算明细'!$C$17:$C$219,$X75))</x:f>
        <x:v>N5169A</x:v>
      </x:c>
      <x:c r="D75" s="15" t="str">
        <x:f>IF($X75="","",INDEX('sheet2-计算明细'!$D$17:$D$219,$X75))</x:f>
        <x:v>深圳博普科技</x:v>
      </x:c>
      <x:c r="E75" s="15" t="str">
        <x:f>IF($X75="","",INDEX('sheet2-计算明细'!$G$17:$G$219,$X75))</x:f>
        <x:v>入池</x:v>
      </x:c>
      <x:c r="F75" s="16" t="n">
        <x:f>IF($X75="","",INDEX('sheet2-计算明细'!$I$17:$I$219,$X75))</x:f>
        <x:v>100</x:v>
      </x:c>
      <x:c r="G75" s="16" t="str">
        <x:f>IF($X75="","",INDEX('sheet2-计算明细'!$K$17:$K$219,$X75))</x:f>
      </x:c>
      <x:c r="H75" s="16" t="n">
        <x:f>IF($X75="","",INDEX('sheet2-计算明细'!$L$17:$L$219,$X75))</x:f>
        <x:v>100</x:v>
      </x:c>
      <x:c r="I75" s="16" t="n">
        <x:f>IF($X75="","",INDEX('sheet2-计算明细'!$S$17:$S$219,$X75))</x:f>
        <x:v>48.22</x:v>
      </x:c>
      <x:c r="J75" s="16" t="n">
        <x:f>IF($X75="","",INDEX('sheet2-计算明细'!$Y$17:$Y$219,$X75))</x:f>
        <x:v>88.72</x:v>
      </x:c>
      <x:c r="K75" s="16" t="n">
        <x:f>IF($X75="","",INDEX('sheet2-计算明细'!$AC$17:$AC$219,$X75))</x:f>
        <x:v>55.94</x:v>
      </x:c>
      <x:c r="L75" s="16" t="n">
        <x:f>IF($X75="","",INDEX('sheet2-计算明细'!$AI$17:$AI$219,$X75))</x:f>
        <x:v>68.75</x:v>
      </x:c>
      <x:c r="M75" s="16" t="n">
        <x:f>IF($X75="","",INDEX('sheet2-计算明细'!$AK$17:$AK$219,$X75))</x:f>
        <x:v>100</x:v>
      </x:c>
      <x:c r="N75" s="17" t="n">
        <x:f t="shared" si="7">IF(ISNUMBER(INDEX('sheet2-计算明细'!$AL$17:$AL$219,$X75)),INDEX('sheet2-计算明细'!$AL$17:$AL$219,$X75),"")</x:f>
        <x:v>100</x:v>
      </x:c>
      <x:c r="O75" s="17" t="n">
        <x:f t="shared" si="8">IF(ISNUMBER(INDEX('sheet2-计算明细'!$AM$17:$AM$219,$X75)),INDEX('sheet2-计算明细'!$AM$17:$AM$219,$X75),"")</x:f>
        <x:v>60.37</x:v>
      </x:c>
      <x:c r="P75" s="17" t="n">
        <x:f t="shared" si="9">IF(ISNUMBER(INDEX('sheet2-计算明细'!$AN$17:$AN$219,$X75)),INDEX('sheet2-计算明细'!$AN$17:$AN$219,$X75),"")</x:f>
        <x:v>55.94</x:v>
      </x:c>
      <x:c r="Q75" s="17" t="n">
        <x:f t="shared" si="10">IF(ISNUMBER(INDEX('sheet2-计算明细'!$AO$17:$AO$219,$X75)),INDEX('sheet2-计算明细'!$AO$17:$AO$219,$X75),"")</x:f>
        <x:v>68.75</x:v>
      </x:c>
      <x:c r="R75" s="17" t="n">
        <x:f t="shared" si="11">IF(ISNUMBER(INDEX('sheet2-计算明细'!$AP$17:$AP$219,$X75)),INDEX('sheet2-计算明细'!$AP$17:$AP$219,$X75),"")</x:f>
        <x:v>100</x:v>
      </x:c>
      <x:c r="S75" s="18" t="n">
        <x:f>IF($X75="","",INDEX('sheet2-计算明细'!$AQ$17:$AQ$219,$X75))</x:f>
        <x:v>0.9550000000000001</x:v>
      </x:c>
      <x:c r="T75" s="16" t="n">
        <x:f>IF($X75="","",INDEX('sheet2-计算明细'!$AR$17:$AR$219,$X75))</x:f>
        <x:v>67.18469999999999</x:v>
      </x:c>
      <x:c r="U75" s="17" t="n">
        <x:f t="shared" si="12">IF(S75=0,"",ROUND(T75/S75,2))</x:f>
        <x:v>70.35</x:v>
      </x:c>
      <x:c r="V75" s="17" t="str">
        <x:f t="shared" si="13">IF(ABS(S75-1)&lt;0.00000001,T75,"")</x:f>
      </x:c>
      <x:c r="W75" s="19" t="str">
        <x:f>IF($X75="","",INDEX('sheet2-计算明细'!$AU$17:$AU$219,$X75))</x:f>
        <x:v>产品规模标识；</x:v>
      </x:c>
      <x:c r="X75" s="15" t="n">
        <x:f>IF($A75&gt;COUNT('sheet2-计算明细'!$AT$17:$AT$219),"",MATCH($A75,'sheet2-计算明细'!$AT$17:$AT$219,0))</x:f>
        <x:v>187</x:v>
      </x:c>
    </x:row>
    <x:row r="76" ht="28" customHeight="1">
      <x:c r="A76" s="4" t="n">
        <x:v>71</x:v>
      </x:c>
      <x:c r="B76" s="15" t="str">
        <x:f>IF($X76="","",INDEX('sheet2-计算明细'!$B$17:$B$219,$X76))</x:f>
        <x:v>佳泽信享5号</x:v>
      </x:c>
      <x:c r="C76" s="15" t="str">
        <x:f>IF($X76="","",INDEX('sheet2-计算明细'!$C$17:$C$219,$X76))</x:f>
        <x:v>SZC395</x:v>
      </x:c>
      <x:c r="D76" s="15" t="str">
        <x:f>IF($X76="","",INDEX('sheet2-计算明细'!$D$17:$D$219,$X76))</x:f>
        <x:v>海南佳泽</x:v>
      </x:c>
      <x:c r="E76" s="15" t="str">
        <x:f>IF($X76="","",INDEX('sheet2-计算明细'!$G$17:$G$219,$X76))</x:f>
        <x:v>入池</x:v>
      </x:c>
      <x:c r="F76" s="16" t="n">
        <x:f>IF($X76="","",INDEX('sheet2-计算明细'!$I$17:$I$219,$X76))</x:f>
        <x:v>60</x:v>
      </x:c>
      <x:c r="G76" s="16" t="n">
        <x:f>IF($X76="","",INDEX('sheet2-计算明细'!$K$17:$K$219,$X76))</x:f>
        <x:v>100</x:v>
      </x:c>
      <x:c r="H76" s="16" t="n">
        <x:f>IF($X76="","",INDEX('sheet2-计算明细'!$L$17:$L$219,$X76))</x:f>
        <x:v>100</x:v>
      </x:c>
      <x:c r="I76" s="16" t="n">
        <x:f>IF($X76="","",INDEX('sheet2-计算明细'!$S$17:$S$219,$X76))</x:f>
        <x:v>45.05</x:v>
      </x:c>
      <x:c r="J76" s="16" t="n">
        <x:f>IF($X76="","",INDEX('sheet2-计算明细'!$Y$17:$Y$219,$X76))</x:f>
        <x:v>75.77</x:v>
      </x:c>
      <x:c r="K76" s="16" t="n">
        <x:f>IF($X76="","",INDEX('sheet2-计算明细'!$AC$17:$AC$219,$X76))</x:f>
        <x:v>68.32</x:v>
      </x:c>
      <x:c r="L76" s="16" t="n">
        <x:f>IF($X76="","",INDEX('sheet2-计算明细'!$AI$17:$AI$219,$X76))</x:f>
        <x:v>65.46</x:v>
      </x:c>
      <x:c r="M76" s="16" t="n">
        <x:f>IF($X76="","",INDEX('sheet2-计算明细'!$AK$17:$AK$219,$X76))</x:f>
        <x:v>100</x:v>
      </x:c>
      <x:c r="N76" s="17" t="n">
        <x:f t="shared" si="7">IF(ISNUMBER(INDEX('sheet2-计算明细'!$AL$17:$AL$219,$X76)),INDEX('sheet2-计算明细'!$AL$17:$AL$219,$X76),"")</x:f>
        <x:v>84</x:v>
      </x:c>
      <x:c r="O76" s="17" t="n">
        <x:f t="shared" si="8">IF(ISNUMBER(INDEX('sheet2-计算明细'!$AM$17:$AM$219,$X76)),INDEX('sheet2-计算明细'!$AM$17:$AM$219,$X76),"")</x:f>
        <x:v>54.27</x:v>
      </x:c>
      <x:c r="P76" s="17" t="n">
        <x:f t="shared" si="9">IF(ISNUMBER(INDEX('sheet2-计算明细'!$AN$17:$AN$219,$X76)),INDEX('sheet2-计算明细'!$AN$17:$AN$219,$X76),"")</x:f>
        <x:v>68.32</x:v>
      </x:c>
      <x:c r="Q76" s="17" t="n">
        <x:f t="shared" si="10">IF(ISNUMBER(INDEX('sheet2-计算明细'!$AO$17:$AO$219,$X76)),INDEX('sheet2-计算明细'!$AO$17:$AO$219,$X76),"")</x:f>
        <x:v>65.46</x:v>
      </x:c>
      <x:c r="R76" s="17" t="n">
        <x:f t="shared" si="11">IF(ISNUMBER(INDEX('sheet2-计算明细'!$AP$17:$AP$219,$X76)),INDEX('sheet2-计算明细'!$AP$17:$AP$219,$X76),"")</x:f>
        <x:v>100</x:v>
      </x:c>
      <x:c r="S76" s="18" t="n">
        <x:f>IF($X76="","",INDEX('sheet2-计算明细'!$AQ$17:$AQ$219,$X76))</x:f>
        <x:v>1</x:v>
      </x:c>
      <x:c r="T76" s="16" t="n">
        <x:f>IF($X76="","",INDEX('sheet2-计算明细'!$AR$17:$AR$219,$X76))</x:f>
        <x:v>70.17005</x:v>
      </x:c>
      <x:c r="U76" s="17" t="n">
        <x:f t="shared" si="12">IF(S76=0,"",ROUND(T76/S76,2))</x:f>
        <x:v>70.17</x:v>
      </x:c>
      <x:c r="V76" s="17" t="n">
        <x:f t="shared" si="13">IF(ABS(S76-1)&lt;0.00000001,T76,"")</x:f>
        <x:v>70.17005</x:v>
      </x:c>
      <x:c r="W76" s="19" t="str">
        <x:f>IF($X76="","",INDEX('sheet2-计算明细'!$AU$17:$AU$219,$X76))</x:f>
      </x:c>
      <x:c r="X76" s="15" t="n">
        <x:f>IF($A76&gt;COUNT('sheet2-计算明细'!$AT$17:$AT$219),"",MATCH($A76,'sheet2-计算明细'!$AT$17:$AT$219,0))</x:f>
        <x:v>61</x:v>
      </x:c>
    </x:row>
    <x:row r="77" ht="28" customHeight="1">
      <x:c r="A77" s="4" t="n">
        <x:v>72</x:v>
      </x:c>
      <x:c r="B77" s="15" t="str">
        <x:f>IF($X77="","",INDEX('sheet2-计算明细'!$B$17:$B$219,$X77))</x:f>
        <x:v>恒如套利三号</x:v>
      </x:c>
      <x:c r="C77" s="15" t="str">
        <x:f>IF($X77="","",INDEX('sheet2-计算明细'!$C$17:$C$219,$X77))</x:f>
        <x:v>SGQ731</x:v>
      </x:c>
      <x:c r="D77" s="15" t="str">
        <x:f>IF($X77="","",INDEX('sheet2-计算明细'!$D$17:$D$219,$X77))</x:f>
        <x:v>上海恒如投资</x:v>
      </x:c>
      <x:c r="E77" s="15" t="str">
        <x:f>IF($X77="","",INDEX('sheet2-计算明细'!$G$17:$G$219,$X77))</x:f>
        <x:v>入池</x:v>
      </x:c>
      <x:c r="F77" s="16" t="n">
        <x:f>IF($X77="","",INDEX('sheet2-计算明细'!$I$17:$I$219,$X77))</x:f>
        <x:v>70</x:v>
      </x:c>
      <x:c r="G77" s="16" t="n">
        <x:f>IF($X77="","",INDEX('sheet2-计算明细'!$K$17:$K$219,$X77))</x:f>
        <x:v>100</x:v>
      </x:c>
      <x:c r="H77" s="16" t="n">
        <x:f>IF($X77="","",INDEX('sheet2-计算明细'!$L$17:$L$219,$X77))</x:f>
        <x:v>100</x:v>
      </x:c>
      <x:c r="I77" s="16" t="n">
        <x:f>IF($X77="","",INDEX('sheet2-计算明细'!$S$17:$S$219,$X77))</x:f>
        <x:v>40.5</x:v>
      </x:c>
      <x:c r="J77" s="16" t="n">
        <x:f>IF($X77="","",INDEX('sheet2-计算明细'!$Y$17:$Y$219,$X77))</x:f>
        <x:v>68.59</x:v>
      </x:c>
      <x:c r="K77" s="16" t="n">
        <x:f>IF($X77="","",INDEX('sheet2-计算明细'!$AC$17:$AC$219,$X77))</x:f>
        <x:v>78.22</x:v>
      </x:c>
      <x:c r="L77" s="16" t="n">
        <x:f>IF($X77="","",INDEX('sheet2-计算明细'!$AI$17:$AI$219,$X77))</x:f>
        <x:v>64.6</x:v>
      </x:c>
      <x:c r="M77" s="16" t="n">
        <x:f>IF($X77="","",INDEX('sheet2-计算明细'!$AK$17:$AK$219,$X77))</x:f>
        <x:v>80</x:v>
      </x:c>
      <x:c r="N77" s="17" t="n">
        <x:f t="shared" si="7">IF(ISNUMBER(INDEX('sheet2-计算明细'!$AL$17:$AL$219,$X77)),INDEX('sheet2-计算明细'!$AL$17:$AL$219,$X77),"")</x:f>
        <x:v>88</x:v>
      </x:c>
      <x:c r="O77" s="17" t="n">
        <x:f t="shared" si="8">IF(ISNUMBER(INDEX('sheet2-计算明细'!$AM$17:$AM$219,$X77)),INDEX('sheet2-计算明细'!$AM$17:$AM$219,$X77),"")</x:f>
        <x:v>48.93</x:v>
      </x:c>
      <x:c r="P77" s="17" t="n">
        <x:f t="shared" si="9">IF(ISNUMBER(INDEX('sheet2-计算明细'!$AN$17:$AN$219,$X77)),INDEX('sheet2-计算明细'!$AN$17:$AN$219,$X77),"")</x:f>
        <x:v>78.22</x:v>
      </x:c>
      <x:c r="Q77" s="17" t="n">
        <x:f t="shared" si="10">IF(ISNUMBER(INDEX('sheet2-计算明细'!$AO$17:$AO$219,$X77)),INDEX('sheet2-计算明细'!$AO$17:$AO$219,$X77),"")</x:f>
        <x:v>64.6</x:v>
      </x:c>
      <x:c r="R77" s="17" t="n">
        <x:f t="shared" si="11">IF(ISNUMBER(INDEX('sheet2-计算明细'!$AP$17:$AP$219,$X77)),INDEX('sheet2-计算明细'!$AP$17:$AP$219,$X77),"")</x:f>
        <x:v>80</x:v>
      </x:c>
      <x:c r="S77" s="18" t="n">
        <x:f>IF($X77="","",INDEX('sheet2-计算明细'!$AQ$17:$AQ$219,$X77))</x:f>
        <x:v>1</x:v>
      </x:c>
      <x:c r="T77" s="16" t="n">
        <x:f>IF($X77="","",INDEX('sheet2-计算明细'!$AR$17:$AR$219,$X77))</x:f>
        <x:v>69.92063</x:v>
      </x:c>
      <x:c r="U77" s="17" t="n">
        <x:f t="shared" si="12">IF(S77=0,"",ROUND(T77/S77,2))</x:f>
        <x:v>69.92</x:v>
      </x:c>
      <x:c r="V77" s="17" t="n">
        <x:f t="shared" si="13">IF(ABS(S77-1)&lt;0.00000001,T77,"")</x:f>
        <x:v>69.92063</x:v>
      </x:c>
      <x:c r="W77" s="19" t="str">
        <x:f>IF($X77="","",INDEX('sheet2-计算明细'!$AU$17:$AU$219,$X77))</x:f>
      </x:c>
      <x:c r="X77" s="15" t="n">
        <x:f>IF($A77&gt;COUNT('sheet2-计算明细'!$AT$17:$AT$219),"",MATCH($A77,'sheet2-计算明细'!$AT$17:$AT$219,0))</x:f>
        <x:v>12</x:v>
      </x:c>
    </x:row>
    <x:row r="78" ht="28" customHeight="1">
      <x:c r="A78" s="4" t="n">
        <x:v>73</x:v>
      </x:c>
      <x:c r="B78" s="15" t="str">
        <x:f>IF($X78="","",INDEX('sheet2-计算明细'!$B$17:$B$219,$X78))</x:f>
        <x:v>杉阳云杉混合1号</x:v>
      </x:c>
      <x:c r="C78" s="15" t="str">
        <x:f>IF($X78="","",INDEX('sheet2-计算明细'!$C$17:$C$219,$X78))</x:f>
        <x:v>SLA063</x:v>
      </x:c>
      <x:c r="D78" s="15" t="str">
        <x:f>IF($X78="","",INDEX('sheet2-计算明细'!$D$17:$D$219,$X78))</x:f>
        <x:v>上海杉阳</x:v>
      </x:c>
      <x:c r="E78" s="15" t="str">
        <x:f>IF($X78="","",INDEX('sheet2-计算明细'!$G$17:$G$219,$X78))</x:f>
        <x:v>入池</x:v>
      </x:c>
      <x:c r="F78" s="16" t="n">
        <x:f>IF($X78="","",INDEX('sheet2-计算明细'!$I$17:$I$219,$X78))</x:f>
        <x:v>60</x:v>
      </x:c>
      <x:c r="G78" s="16" t="n">
        <x:f>IF($X78="","",INDEX('sheet2-计算明细'!$K$17:$K$219,$X78))</x:f>
        <x:v>100</x:v>
      </x:c>
      <x:c r="H78" s="16" t="n">
        <x:f>IF($X78="","",INDEX('sheet2-计算明细'!$L$17:$L$219,$X78))</x:f>
        <x:v>100</x:v>
      </x:c>
      <x:c r="I78" s="16" t="n">
        <x:f>IF($X78="","",INDEX('sheet2-计算明细'!$S$17:$S$219,$X78))</x:f>
        <x:v>49.01</x:v>
      </x:c>
      <x:c r="J78" s="16" t="n">
        <x:f>IF($X78="","",INDEX('sheet2-计算明细'!$Y$17:$Y$219,$X78))</x:f>
        <x:v>77.44</x:v>
      </x:c>
      <x:c r="K78" s="16" t="n">
        <x:f>IF($X78="","",INDEX('sheet2-计算明细'!$AC$17:$AC$219,$X78))</x:f>
        <x:v>60.4</x:v>
      </x:c>
      <x:c r="L78" s="16" t="n">
        <x:f>IF($X78="","",INDEX('sheet2-计算明细'!$AI$17:$AI$219,$X78))</x:f>
        <x:v>68.6</x:v>
      </x:c>
      <x:c r="M78" s="16" t="n">
        <x:f>IF($X78="","",INDEX('sheet2-计算明细'!$AK$17:$AK$219,$X78))</x:f>
        <x:v>100</x:v>
      </x:c>
      <x:c r="N78" s="17" t="n">
        <x:f t="shared" si="7">IF(ISNUMBER(INDEX('sheet2-计算明细'!$AL$17:$AL$219,$X78)),INDEX('sheet2-计算明细'!$AL$17:$AL$219,$X78),"")</x:f>
        <x:v>84</x:v>
      </x:c>
      <x:c r="O78" s="17" t="n">
        <x:f t="shared" si="8">IF(ISNUMBER(INDEX('sheet2-计算明细'!$AM$17:$AM$219,$X78)),INDEX('sheet2-计算明细'!$AM$17:$AM$219,$X78),"")</x:f>
        <x:v>57.54</x:v>
      </x:c>
      <x:c r="P78" s="17" t="n">
        <x:f t="shared" si="9">IF(ISNUMBER(INDEX('sheet2-计算明细'!$AN$17:$AN$219,$X78)),INDEX('sheet2-计算明细'!$AN$17:$AN$219,$X78),"")</x:f>
        <x:v>60.4</x:v>
      </x:c>
      <x:c r="Q78" s="17" t="n">
        <x:f t="shared" si="10">IF(ISNUMBER(INDEX('sheet2-计算明细'!$AO$17:$AO$219,$X78)),INDEX('sheet2-计算明细'!$AO$17:$AO$219,$X78),"")</x:f>
        <x:v>68.6</x:v>
      </x:c>
      <x:c r="R78" s="17" t="n">
        <x:f t="shared" si="11">IF(ISNUMBER(INDEX('sheet2-计算明细'!$AP$17:$AP$219,$X78)),INDEX('sheet2-计算明细'!$AP$17:$AP$219,$X78),"")</x:f>
        <x:v>100</x:v>
      </x:c>
      <x:c r="S78" s="18" t="n">
        <x:f>IF($X78="","",INDEX('sheet2-计算明细'!$AQ$17:$AQ$219,$X78))</x:f>
        <x:v>1</x:v>
      </x:c>
      <x:c r="T78" s="16" t="n">
        <x:f>IF($X78="","",INDEX('sheet2-计算明细'!$AR$17:$AR$219,$X78))</x:f>
        <x:v>69.78607</x:v>
      </x:c>
      <x:c r="U78" s="17" t="n">
        <x:f t="shared" si="12">IF(S78=0,"",ROUND(T78/S78,2))</x:f>
        <x:v>69.79</x:v>
      </x:c>
      <x:c r="V78" s="17" t="n">
        <x:f t="shared" si="13">IF(ABS(S78-1)&lt;0.00000001,T78,"")</x:f>
        <x:v>69.78607</x:v>
      </x:c>
      <x:c r="W78" s="19" t="str">
        <x:f>IF($X78="","",INDEX('sheet2-计算明细'!$AU$17:$AU$219,$X78))</x:f>
      </x:c>
      <x:c r="X78" s="15" t="n">
        <x:f>IF($A78&gt;COUNT('sheet2-计算明细'!$AT$17:$AT$219),"",MATCH($A78,'sheet2-计算明细'!$AT$17:$AT$219,0))</x:f>
        <x:v>89</x:v>
      </x:c>
    </x:row>
    <x:row r="79" ht="28" customHeight="1">
      <x:c r="A79" s="4" t="n">
        <x:v>74</x:v>
      </x:c>
      <x:c r="B79" s="15" t="str">
        <x:f>IF($X79="","",INDEX('sheet2-计算明细'!$B$17:$B$219,$X79))</x:f>
        <x:v>致同云峰A</x:v>
      </x:c>
      <x:c r="C79" s="15" t="str">
        <x:f>IF($X79="","",INDEX('sheet2-计算明细'!$C$17:$C$219,$X79))</x:f>
        <x:v>SNB380</x:v>
      </x:c>
      <x:c r="D79" s="15" t="str">
        <x:f>IF($X79="","",INDEX('sheet2-计算明细'!$D$17:$D$219,$X79))</x:f>
        <x:v>上海致同投资</x:v>
      </x:c>
      <x:c r="E79" s="15" t="str">
        <x:f>IF($X79="","",INDEX('sheet2-计算明细'!$G$17:$G$219,$X79))</x:f>
        <x:v>入池</x:v>
      </x:c>
      <x:c r="F79" s="16" t="n">
        <x:f>IF($X79="","",INDEX('sheet2-计算明细'!$I$17:$I$219,$X79))</x:f>
        <x:v>90</x:v>
      </x:c>
      <x:c r="G79" s="16" t="n">
        <x:f>IF($X79="","",INDEX('sheet2-计算明细'!$K$17:$K$219,$X79))</x:f>
        <x:v>100</x:v>
      </x:c>
      <x:c r="H79" s="16" t="n">
        <x:f>IF($X79="","",INDEX('sheet2-计算明细'!$L$17:$L$219,$X79))</x:f>
        <x:v>100</x:v>
      </x:c>
      <x:c r="I79" s="16" t="n">
        <x:f>IF($X79="","",INDEX('sheet2-计算明细'!$S$17:$S$219,$X79))</x:f>
        <x:v>38.71</x:v>
      </x:c>
      <x:c r="J79" s="16" t="n">
        <x:f>IF($X79="","",INDEX('sheet2-计算明细'!$Y$17:$Y$219,$X79))</x:f>
        <x:v>71.54</x:v>
      </x:c>
      <x:c r="K79" s="16" t="n">
        <x:f>IF($X79="","",INDEX('sheet2-计算明细'!$AC$17:$AC$219,$X79))</x:f>
        <x:v>79.21</x:v>
      </x:c>
      <x:c r="L79" s="16" t="n">
        <x:f>IF($X79="","",INDEX('sheet2-计算明细'!$AI$17:$AI$219,$X79))</x:f>
        <x:v>51.24</x:v>
      </x:c>
      <x:c r="M79" s="16" t="n">
        <x:f>IF($X79="","",INDEX('sheet2-计算明细'!$AK$17:$AK$219,$X79))</x:f>
        <x:v>80</x:v>
      </x:c>
      <x:c r="N79" s="17" t="n">
        <x:f t="shared" si="7">IF(ISNUMBER(INDEX('sheet2-计算明细'!$AL$17:$AL$219,$X79)),INDEX('sheet2-计算明细'!$AL$17:$AL$219,$X79),"")</x:f>
        <x:v>96</x:v>
      </x:c>
      <x:c r="O79" s="17" t="n">
        <x:f t="shared" si="8">IF(ISNUMBER(INDEX('sheet2-计算明细'!$AM$17:$AM$219,$X79)),INDEX('sheet2-计算明细'!$AM$17:$AM$219,$X79),"")</x:f>
        <x:v>48.56</x:v>
      </x:c>
      <x:c r="P79" s="17" t="n">
        <x:f t="shared" si="9">IF(ISNUMBER(INDEX('sheet2-计算明细'!$AN$17:$AN$219,$X79)),INDEX('sheet2-计算明细'!$AN$17:$AN$219,$X79),"")</x:f>
        <x:v>79.21</x:v>
      </x:c>
      <x:c r="Q79" s="17" t="n">
        <x:f t="shared" si="10">IF(ISNUMBER(INDEX('sheet2-计算明细'!$AO$17:$AO$219,$X79)),INDEX('sheet2-计算明细'!$AO$17:$AO$219,$X79),"")</x:f>
        <x:v>51.24</x:v>
      </x:c>
      <x:c r="R79" s="17" t="n">
        <x:f t="shared" si="11">IF(ISNUMBER(INDEX('sheet2-计算明细'!$AP$17:$AP$219,$X79)),INDEX('sheet2-计算明细'!$AP$17:$AP$219,$X79),"")</x:f>
        <x:v>80</x:v>
      </x:c>
      <x:c r="S79" s="18" t="n">
        <x:f>IF($X79="","",INDEX('sheet2-计算明细'!$AQ$17:$AQ$219,$X79))</x:f>
        <x:v>0.88</x:v>
      </x:c>
      <x:c r="T79" s="16" t="n">
        <x:f>IF($X79="","",INDEX('sheet2-计算明细'!$AR$17:$AR$219,$X79))</x:f>
        <x:v>61.13756</x:v>
      </x:c>
      <x:c r="U79" s="17" t="n">
        <x:f t="shared" si="12">IF(S79=0,"",ROUND(T79/S79,2))</x:f>
        <x:v>69.47</x:v>
      </x:c>
      <x:c r="V79" s="17" t="str">
        <x:f t="shared" si="13">IF(ABS(S79-1)&lt;0.00000001,T79,"")</x:f>
      </x:c>
      <x:c r="W79" s="19" t="str">
        <x:f>IF($X79="","",INDEX('sheet2-计算明细'!$AU$17:$AU$219,$X79))</x:f>
        <x:v>DD_long不可识别；</x:v>
      </x:c>
      <x:c r="X79" s="15" t="n">
        <x:f>IF($A79&gt;COUNT('sheet2-计算明细'!$AT$17:$AT$219),"",MATCH($A79,'sheet2-计算明细'!$AT$17:$AT$219,0))</x:f>
        <x:v>26</x:v>
      </x:c>
    </x:row>
    <x:row r="80" ht="28" customHeight="1">
      <x:c r="A80" s="4" t="n">
        <x:v>75</x:v>
      </x:c>
      <x:c r="B80" s="15" t="str">
        <x:f>IF($X80="","",INDEX('sheet2-计算明细'!$B$17:$B$219,$X80))</x:f>
        <x:v>殊馥馥源套利1号</x:v>
      </x:c>
      <x:c r="C80" s="15" t="str">
        <x:f>IF($X80="","",INDEX('sheet2-计算明细'!$C$17:$C$219,$X80))</x:f>
        <x:v>SGM512</x:v>
      </x:c>
      <x:c r="D80" s="15" t="str">
        <x:f>IF($X80="","",INDEX('sheet2-计算明细'!$D$17:$D$219,$X80))</x:f>
        <x:v>上海殊馥投资</x:v>
      </x:c>
      <x:c r="E80" s="15" t="str">
        <x:f>IF($X80="","",INDEX('sheet2-计算明细'!$G$17:$G$219,$X80))</x:f>
        <x:v>入池</x:v>
      </x:c>
      <x:c r="F80" s="16" t="n">
        <x:f>IF($X80="","",INDEX('sheet2-计算明细'!$I$17:$I$219,$X80))</x:f>
        <x:v>80</x:v>
      </x:c>
      <x:c r="G80" s="16" t="n">
        <x:f>IF($X80="","",INDEX('sheet2-计算明细'!$K$17:$K$219,$X80))</x:f>
        <x:v>100</x:v>
      </x:c>
      <x:c r="H80" s="16" t="n">
        <x:f>IF($X80="","",INDEX('sheet2-计算明细'!$L$17:$L$219,$X80))</x:f>
        <x:v>100</x:v>
      </x:c>
      <x:c r="I80" s="16" t="n">
        <x:f>IF($X80="","",INDEX('sheet2-计算明细'!$S$17:$S$219,$X80))</x:f>
        <x:v>64.06</x:v>
      </x:c>
      <x:c r="J80" s="16" t="n">
        <x:f>IF($X80="","",INDEX('sheet2-计算明细'!$Y$17:$Y$219,$X80))</x:f>
        <x:v>83.72</x:v>
      </x:c>
      <x:c r="K80" s="16" t="n">
        <x:f>IF($X80="","",INDEX('sheet2-计算明细'!$AC$17:$AC$219,$X80))</x:f>
        <x:v>46.04</x:v>
      </x:c>
      <x:c r="L80" s="16" t="n">
        <x:f>IF($X80="","",INDEX('sheet2-计算明细'!$AI$17:$AI$219,$X80))</x:f>
        <x:v>66.46</x:v>
      </x:c>
      <x:c r="M80" s="16" t="n">
        <x:f>IF($X80="","",INDEX('sheet2-计算明细'!$AK$17:$AK$219,$X80))</x:f>
        <x:v>100</x:v>
      </x:c>
      <x:c r="N80" s="17" t="n">
        <x:f t="shared" si="7">IF(ISNUMBER(INDEX('sheet2-计算明细'!$AL$17:$AL$219,$X80)),INDEX('sheet2-计算明细'!$AL$17:$AL$219,$X80),"")</x:f>
        <x:v>92</x:v>
      </x:c>
      <x:c r="O80" s="17" t="n">
        <x:f t="shared" si="8">IF(ISNUMBER(INDEX('sheet2-计算明细'!$AM$17:$AM$219,$X80)),INDEX('sheet2-计算明细'!$AM$17:$AM$219,$X80),"")</x:f>
        <x:v>69.96</x:v>
      </x:c>
      <x:c r="P80" s="17" t="n">
        <x:f t="shared" si="9">IF(ISNUMBER(INDEX('sheet2-计算明细'!$AN$17:$AN$219,$X80)),INDEX('sheet2-计算明细'!$AN$17:$AN$219,$X80),"")</x:f>
        <x:v>46.04</x:v>
      </x:c>
      <x:c r="Q80" s="17" t="n">
        <x:f t="shared" si="10">IF(ISNUMBER(INDEX('sheet2-计算明细'!$AO$17:$AO$219,$X80)),INDEX('sheet2-计算明细'!$AO$17:$AO$219,$X80),"")</x:f>
        <x:v>66.46</x:v>
      </x:c>
      <x:c r="R80" s="17" t="n">
        <x:f t="shared" si="11">IF(ISNUMBER(INDEX('sheet2-计算明细'!$AP$17:$AP$219,$X80)),INDEX('sheet2-计算明细'!$AP$17:$AP$219,$X80),"")</x:f>
        <x:v>100</x:v>
      </x:c>
      <x:c r="S80" s="18" t="n">
        <x:f>IF($X80="","",INDEX('sheet2-计算明细'!$AQ$17:$AQ$219,$X80))</x:f>
        <x:v>1</x:v>
      </x:c>
      <x:c r="T80" s="16" t="n">
        <x:f>IF($X80="","",INDEX('sheet2-计算明细'!$AR$17:$AR$219,$X80))</x:f>
        <x:v>69.23783</x:v>
      </x:c>
      <x:c r="U80" s="17" t="n">
        <x:f t="shared" si="12">IF(S80=0,"",ROUND(T80/S80,2))</x:f>
        <x:v>69.24</x:v>
      </x:c>
      <x:c r="V80" s="17" t="n">
        <x:f t="shared" si="13">IF(ABS(S80-1)&lt;0.00000001,T80,"")</x:f>
        <x:v>69.23783</x:v>
      </x:c>
      <x:c r="W80" s="19" t="str">
        <x:f>IF($X80="","",INDEX('sheet2-计算明细'!$AU$17:$AU$219,$X80))</x:f>
      </x:c>
      <x:c r="X80" s="15" t="n">
        <x:f>IF($A80&gt;COUNT('sheet2-计算明细'!$AT$17:$AT$219),"",MATCH($A80,'sheet2-计算明细'!$AT$17:$AT$219,0))</x:f>
        <x:v>88</x:v>
      </x:c>
    </x:row>
    <x:row r="81" ht="28" customHeight="1">
      <x:c r="A81" s="4" t="n">
        <x:v>76</x:v>
      </x:c>
      <x:c r="B81" s="15" t="str">
        <x:f>IF($X81="","",INDEX('sheet2-计算明细'!$B$17:$B$219,$X81))</x:f>
        <x:v>慕途基本面量化1号</x:v>
      </x:c>
      <x:c r="C81" s="15" t="str">
        <x:f>IF($X81="","",INDEX('sheet2-计算明细'!$C$17:$C$219,$X81))</x:f>
        <x:v>SVW787</x:v>
      </x:c>
      <x:c r="D81" s="15" t="str">
        <x:f>IF($X81="","",INDEX('sheet2-计算明细'!$D$17:$D$219,$X81))</x:f>
        <x:v>慕途基金</x:v>
      </x:c>
      <x:c r="E81" s="15" t="str">
        <x:f>IF($X81="","",INDEX('sheet2-计算明细'!$G$17:$G$219,$X81))</x:f>
        <x:v>入池</x:v>
      </x:c>
      <x:c r="F81" s="16" t="n">
        <x:f>IF($X81="","",INDEX('sheet2-计算明细'!$I$17:$I$219,$X81))</x:f>
        <x:v>80</x:v>
      </x:c>
      <x:c r="G81" s="16" t="n">
        <x:f>IF($X81="","",INDEX('sheet2-计算明细'!$K$17:$K$219,$X81))</x:f>
        <x:v>100</x:v>
      </x:c>
      <x:c r="H81" s="16" t="n">
        <x:f>IF($X81="","",INDEX('sheet2-计算明细'!$L$17:$L$219,$X81))</x:f>
        <x:v>100</x:v>
      </x:c>
      <x:c r="I81" s="16" t="n">
        <x:f>IF($X81="","",INDEX('sheet2-计算明细'!$S$17:$S$219,$X81))</x:f>
        <x:v>76.88</x:v>
      </x:c>
      <x:c r="J81" s="16" t="n">
        <x:f>IF($X81="","",INDEX('sheet2-计算明细'!$Y$17:$Y$219,$X81))</x:f>
        <x:v>71.54</x:v>
      </x:c>
      <x:c r="K81" s="16" t="n">
        <x:f>IF($X81="","",INDEX('sheet2-计算明细'!$AC$17:$AC$219,$X81))</x:f>
        <x:v>52.48</x:v>
      </x:c>
      <x:c r="L81" s="16" t="n">
        <x:f>IF($X81="","",INDEX('sheet2-计算明细'!$AI$17:$AI$219,$X81))</x:f>
        <x:v>49.75</x:v>
      </x:c>
      <x:c r="M81" s="16" t="n">
        <x:f>IF($X81="","",INDEX('sheet2-计算明细'!$AK$17:$AK$219,$X81))</x:f>
        <x:v>100</x:v>
      </x:c>
      <x:c r="N81" s="17" t="n">
        <x:f t="shared" si="7">IF(ISNUMBER(INDEX('sheet2-计算明细'!$AL$17:$AL$219,$X81)),INDEX('sheet2-计算明细'!$AL$17:$AL$219,$X81),"")</x:f>
        <x:v>92</x:v>
      </x:c>
      <x:c r="O81" s="17" t="n">
        <x:f t="shared" si="8">IF(ISNUMBER(INDEX('sheet2-计算明细'!$AM$17:$AM$219,$X81)),INDEX('sheet2-计算明细'!$AM$17:$AM$219,$X81),"")</x:f>
        <x:v>75.28</x:v>
      </x:c>
      <x:c r="P81" s="17" t="n">
        <x:f t="shared" si="9">IF(ISNUMBER(INDEX('sheet2-计算明细'!$AN$17:$AN$219,$X81)),INDEX('sheet2-计算明细'!$AN$17:$AN$219,$X81),"")</x:f>
        <x:v>52.48</x:v>
      </x:c>
      <x:c r="Q81" s="17" t="n">
        <x:f t="shared" si="10">IF(ISNUMBER(INDEX('sheet2-计算明细'!$AO$17:$AO$219,$X81)),INDEX('sheet2-计算明细'!$AO$17:$AO$219,$X81),"")</x:f>
        <x:v>49.75</x:v>
      </x:c>
      <x:c r="R81" s="17" t="n">
        <x:f t="shared" si="11">IF(ISNUMBER(INDEX('sheet2-计算明细'!$AP$17:$AP$219,$X81)),INDEX('sheet2-计算明细'!$AP$17:$AP$219,$X81),"")</x:f>
        <x:v>100</x:v>
      </x:c>
      <x:c r="S81" s="18" t="n">
        <x:f>IF($X81="","",INDEX('sheet2-计算明细'!$AQ$17:$AQ$219,$X81))</x:f>
        <x:v>0.88</x:v>
      </x:c>
      <x:c r="T81" s="16" t="n">
        <x:f>IF($X81="","",INDEX('sheet2-计算明细'!$AR$17:$AR$219,$X81))</x:f>
        <x:v>60.93066</x:v>
      </x:c>
      <x:c r="U81" s="17" t="n">
        <x:f t="shared" si="12">IF(S81=0,"",ROUND(T81/S81,2))</x:f>
        <x:v>69.24</x:v>
      </x:c>
      <x:c r="V81" s="17" t="str">
        <x:f t="shared" si="13">IF(ABS(S81-1)&lt;0.00000001,T81,"")</x:f>
      </x:c>
      <x:c r="W81" s="19" t="str">
        <x:f>IF($X81="","",INDEX('sheet2-计算明细'!$AU$17:$AU$219,$X81))</x:f>
        <x:v>DD_long不可识别；</x:v>
      </x:c>
      <x:c r="X81" s="15" t="n">
        <x:f>IF($A81&gt;COUNT('sheet2-计算明细'!$AT$17:$AT$219),"",MATCH($A81,'sheet2-计算明细'!$AT$17:$AT$219,0))</x:f>
        <x:v>151</x:v>
      </x:c>
    </x:row>
    <x:row r="82" ht="28" customHeight="1">
      <x:c r="A82" s="4" t="n">
        <x:v>77</x:v>
      </x:c>
      <x:c r="B82" s="15" t="str">
        <x:f>IF($X82="","",INDEX('sheet2-计算明细'!$B$17:$B$219,$X82))</x:f>
        <x:v>致同云峰AA类</x:v>
      </x:c>
      <x:c r="C82" s="15" t="str">
        <x:f>IF($X82="","",INDEX('sheet2-计算明细'!$C$17:$C$219,$X82))</x:f>
        <x:v>NB380A</x:v>
      </x:c>
      <x:c r="D82" s="15" t="str">
        <x:f>IF($X82="","",INDEX('sheet2-计算明细'!$D$17:$D$219,$X82))</x:f>
        <x:v>上海致同投资</x:v>
      </x:c>
      <x:c r="E82" s="15" t="str">
        <x:f>IF($X82="","",INDEX('sheet2-计算明细'!$G$17:$G$219,$X82))</x:f>
        <x:v>入池</x:v>
      </x:c>
      <x:c r="F82" s="16" t="n">
        <x:f>IF($X82="","",INDEX('sheet2-计算明细'!$I$17:$I$219,$X82))</x:f>
        <x:v>90</x:v>
      </x:c>
      <x:c r="G82" s="16" t="str">
        <x:f>IF($X82="","",INDEX('sheet2-计算明细'!$K$17:$K$219,$X82))</x:f>
      </x:c>
      <x:c r="H82" s="16" t="n">
        <x:f>IF($X82="","",INDEX('sheet2-计算明细'!$L$17:$L$219,$X82))</x:f>
        <x:v>100</x:v>
      </x:c>
      <x:c r="I82" s="16" t="n">
        <x:f>IF($X82="","",INDEX('sheet2-计算明细'!$S$17:$S$219,$X82))</x:f>
        <x:v>38.96</x:v>
      </x:c>
      <x:c r="J82" s="16" t="n">
        <x:f>IF($X82="","",INDEX('sheet2-计算明细'!$Y$17:$Y$219,$X82))</x:f>
        <x:v>79.49</x:v>
      </x:c>
      <x:c r="K82" s="16" t="n">
        <x:f>IF($X82="","",INDEX('sheet2-计算明细'!$AC$17:$AC$219,$X82))</x:f>
        <x:v>80.2</x:v>
      </x:c>
      <x:c r="L82" s="16" t="n">
        <x:f>IF($X82="","",INDEX('sheet2-计算明细'!$AI$17:$AI$219,$X82))</x:f>
        <x:v>52.74</x:v>
      </x:c>
      <x:c r="M82" s="16" t="n">
        <x:f>IF($X82="","",INDEX('sheet2-计算明细'!$AK$17:$AK$219,$X82))</x:f>
        <x:v>80</x:v>
      </x:c>
      <x:c r="N82" s="17" t="n">
        <x:f t="shared" si="7">IF(ISNUMBER(INDEX('sheet2-计算明细'!$AL$17:$AL$219,$X82)),INDEX('sheet2-计算明细'!$AL$17:$AL$219,$X82),"")</x:f>
        <x:v>94.29</x:v>
      </x:c>
      <x:c r="O82" s="17" t="n">
        <x:f t="shared" si="8">IF(ISNUMBER(INDEX('sheet2-计算明细'!$AM$17:$AM$219,$X82)),INDEX('sheet2-计算明细'!$AM$17:$AM$219,$X82),"")</x:f>
        <x:v>51.12</x:v>
      </x:c>
      <x:c r="P82" s="17" t="n">
        <x:f t="shared" si="9">IF(ISNUMBER(INDEX('sheet2-计算明细'!$AN$17:$AN$219,$X82)),INDEX('sheet2-计算明细'!$AN$17:$AN$219,$X82),"")</x:f>
        <x:v>80.2</x:v>
      </x:c>
      <x:c r="Q82" s="17" t="n">
        <x:f t="shared" si="10">IF(ISNUMBER(INDEX('sheet2-计算明细'!$AO$17:$AO$219,$X82)),INDEX('sheet2-计算明细'!$AO$17:$AO$219,$X82),"")</x:f>
        <x:v>52.74</x:v>
      </x:c>
      <x:c r="R82" s="17" t="n">
        <x:f t="shared" si="11">IF(ISNUMBER(INDEX('sheet2-计算明细'!$AP$17:$AP$219,$X82)),INDEX('sheet2-计算明细'!$AP$17:$AP$219,$X82),"")</x:f>
        <x:v>80</x:v>
      </x:c>
      <x:c r="S82" s="18" t="n">
        <x:f>IF($X82="","",INDEX('sheet2-计算明细'!$AQ$17:$AQ$219,$X82))</x:f>
        <x:v>0.8350000000000001</x:v>
      </x:c>
      <x:c r="T82" s="16" t="n">
        <x:f>IF($X82="","",INDEX('sheet2-计算明细'!$AR$17:$AR$219,$X82))</x:f>
        <x:v>57.66672</x:v>
      </x:c>
      <x:c r="U82" s="17" t="n">
        <x:f t="shared" si="12">IF(S82=0,"",ROUND(T82/S82,2))</x:f>
        <x:v>69.06</x:v>
      </x:c>
      <x:c r="V82" s="17" t="str">
        <x:f t="shared" si="13">IF(ABS(S82-1)&lt;0.00000001,T82,"")</x:f>
      </x:c>
      <x:c r="W82" s="19" t="str">
        <x:f>IF($X82="","",INDEX('sheet2-计算明细'!$AU$17:$AU$219,$X82))</x:f>
        <x:v>产品规模标识；DD_long不可识别；</x:v>
      </x:c>
      <x:c r="X82" s="15" t="n">
        <x:f>IF($A82&gt;COUNT('sheet2-计算明细'!$AT$17:$AT$219),"",MATCH($A82,'sheet2-计算明细'!$AT$17:$AT$219,0))</x:f>
        <x:v>163</x:v>
      </x:c>
    </x:row>
    <x:row r="83" ht="28" customHeight="1">
      <x:c r="A83" s="4" t="n">
        <x:v>78</x:v>
      </x:c>
      <x:c r="B83" s="15" t="str">
        <x:f>IF($X83="","",INDEX('sheet2-计算明细'!$B$17:$B$219,$X83))</x:f>
        <x:v>博普跨市场1号</x:v>
      </x:c>
      <x:c r="C83" s="15" t="str">
        <x:f>IF($X83="","",INDEX('sheet2-计算明细'!$C$17:$C$219,$X83))</x:f>
        <x:v>SN5169</x:v>
      </x:c>
      <x:c r="D83" s="15" t="str">
        <x:f>IF($X83="","",INDEX('sheet2-计算明细'!$D$17:$D$219,$X83))</x:f>
        <x:v>深圳博普科技</x:v>
      </x:c>
      <x:c r="E83" s="15" t="str">
        <x:f>IF($X83="","",INDEX('sheet2-计算明细'!$G$17:$G$219,$X83))</x:f>
        <x:v>入池</x:v>
      </x:c>
      <x:c r="F83" s="16" t="n">
        <x:f>IF($X83="","",INDEX('sheet2-计算明细'!$I$17:$I$219,$X83))</x:f>
        <x:v>100</x:v>
      </x:c>
      <x:c r="G83" s="16" t="n">
        <x:f>IF($X83="","",INDEX('sheet2-计算明细'!$K$17:$K$219,$X83))</x:f>
        <x:v>100</x:v>
      </x:c>
      <x:c r="H83" s="16" t="n">
        <x:f>IF($X83="","",INDEX('sheet2-计算明细'!$L$17:$L$219,$X83))</x:f>
        <x:v>100</x:v>
      </x:c>
      <x:c r="I83" s="16" t="n">
        <x:f>IF($X83="","",INDEX('sheet2-计算明细'!$S$17:$S$219,$X83))</x:f>
        <x:v>42.57</x:v>
      </x:c>
      <x:c r="J83" s="16" t="n">
        <x:f>IF($X83="","",INDEX('sheet2-计算明细'!$Y$17:$Y$219,$X83))</x:f>
        <x:v>87.05</x:v>
      </x:c>
      <x:c r="K83" s="16" t="n">
        <x:f>IF($X83="","",INDEX('sheet2-计算明细'!$AC$17:$AC$219,$X83))</x:f>
        <x:v>55.45</x:v>
      </x:c>
      <x:c r="L83" s="16" t="n">
        <x:f>IF($X83="","",INDEX('sheet2-计算明细'!$AI$17:$AI$219,$X83))</x:f>
        <x:v>63.14</x:v>
      </x:c>
      <x:c r="M83" s="16" t="n">
        <x:f>IF($X83="","",INDEX('sheet2-计算明细'!$AK$17:$AK$219,$X83))</x:f>
        <x:v>100</x:v>
      </x:c>
      <x:c r="N83" s="17" t="n">
        <x:f t="shared" si="7">IF(ISNUMBER(INDEX('sheet2-计算明细'!$AL$17:$AL$219,$X83)),INDEX('sheet2-计算明细'!$AL$17:$AL$219,$X83),"")</x:f>
        <x:v>100</x:v>
      </x:c>
      <x:c r="O83" s="17" t="n">
        <x:f t="shared" si="8">IF(ISNUMBER(INDEX('sheet2-计算明细'!$AM$17:$AM$219,$X83)),INDEX('sheet2-计算明细'!$AM$17:$AM$219,$X83),"")</x:f>
        <x:v>55.92</x:v>
      </x:c>
      <x:c r="P83" s="17" t="n">
        <x:f t="shared" si="9">IF(ISNUMBER(INDEX('sheet2-计算明细'!$AN$17:$AN$219,$X83)),INDEX('sheet2-计算明细'!$AN$17:$AN$219,$X83),"")</x:f>
        <x:v>55.45</x:v>
      </x:c>
      <x:c r="Q83" s="17" t="n">
        <x:f t="shared" si="10">IF(ISNUMBER(INDEX('sheet2-计算明细'!$AO$17:$AO$219,$X83)),INDEX('sheet2-计算明细'!$AO$17:$AO$219,$X83),"")</x:f>
        <x:v>63.14</x:v>
      </x:c>
      <x:c r="R83" s="17" t="n">
        <x:f t="shared" si="11">IF(ISNUMBER(INDEX('sheet2-计算明细'!$AP$17:$AP$219,$X83)),INDEX('sheet2-计算明细'!$AP$17:$AP$219,$X83),"")</x:f>
        <x:v>100</x:v>
      </x:c>
      <x:c r="S83" s="18" t="n">
        <x:f>IF($X83="","",INDEX('sheet2-计算明细'!$AQ$17:$AQ$219,$X83))</x:f>
        <x:v>1</x:v>
      </x:c>
      <x:c r="T83" s="16" t="n">
        <x:f>IF($X83="","",INDEX('sheet2-计算明细'!$AR$17:$AR$219,$X83))</x:f>
        <x:v>68.98757</x:v>
      </x:c>
      <x:c r="U83" s="17" t="n">
        <x:f t="shared" si="12">IF(S83=0,"",ROUND(T83/S83,2))</x:f>
        <x:v>68.99</x:v>
      </x:c>
      <x:c r="V83" s="17" t="n">
        <x:f t="shared" si="13">IF(ABS(S83-1)&lt;0.00000001,T83,"")</x:f>
        <x:v>68.98757</x:v>
      </x:c>
      <x:c r="W83" s="19" t="str">
        <x:f>IF($X83="","",INDEX('sheet2-计算明细'!$AU$17:$AU$219,$X83))</x:f>
      </x:c>
      <x:c r="X83" s="15" t="n">
        <x:f>IF($A83&gt;COUNT('sheet2-计算明细'!$AT$17:$AT$219),"",MATCH($A83,'sheet2-计算明细'!$AT$17:$AT$219,0))</x:f>
        <x:v>106</x:v>
      </x:c>
    </x:row>
    <x:row r="84" ht="28" customHeight="1">
      <x:c r="A84" s="4" t="n">
        <x:v>79</x:v>
      </x:c>
      <x:c r="B84" s="15" t="str">
        <x:f>IF($X84="","",INDEX('sheet2-计算明细'!$B$17:$B$219,$X84))</x:f>
        <x:v>鸿儒灵活配置2期</x:v>
      </x:c>
      <x:c r="C84" s="15" t="str">
        <x:f>IF($X84="","",INDEX('sheet2-计算明细'!$C$17:$C$219,$X84))</x:f>
        <x:v>SB5918</x:v>
      </x:c>
      <x:c r="D84" s="15" t="str">
        <x:f>IF($X84="","",INDEX('sheet2-计算明细'!$D$17:$D$219,$X84))</x:f>
        <x:v>上海鸿儒投资</x:v>
      </x:c>
      <x:c r="E84" s="15" t="str">
        <x:f>IF($X84="","",INDEX('sheet2-计算明细'!$G$17:$G$219,$X84))</x:f>
        <x:v>入池</x:v>
      </x:c>
      <x:c r="F84" s="16" t="n">
        <x:f>IF($X84="","",INDEX('sheet2-计算明细'!$I$17:$I$219,$X84))</x:f>
        <x:v>60</x:v>
      </x:c>
      <x:c r="G84" s="16" t="n">
        <x:f>IF($X84="","",INDEX('sheet2-计算明细'!$K$17:$K$219,$X84))</x:f>
        <x:v>100</x:v>
      </x:c>
      <x:c r="H84" s="16" t="n">
        <x:f>IF($X84="","",INDEX('sheet2-计算明细'!$L$17:$L$219,$X84))</x:f>
        <x:v>100</x:v>
      </x:c>
      <x:c r="I84" s="16" t="n">
        <x:f>IF($X84="","",INDEX('sheet2-计算明细'!$S$17:$S$219,$X84))</x:f>
        <x:v>36.14</x:v>
      </x:c>
      <x:c r="J84" s="16" t="n">
        <x:f>IF($X84="","",INDEX('sheet2-计算明细'!$Y$17:$Y$219,$X84))</x:f>
        <x:v>82.82</x:v>
      </x:c>
      <x:c r="K84" s="16" t="n">
        <x:f>IF($X84="","",INDEX('sheet2-计算明细'!$AC$17:$AC$219,$X84))</x:f>
        <x:v>72.77</x:v>
      </x:c>
      <x:c r="L84" s="16" t="n">
        <x:f>IF($X84="","",INDEX('sheet2-计算明细'!$AI$17:$AI$219,$X84))</x:f>
        <x:v>59.24</x:v>
      </x:c>
      <x:c r="M84" s="16" t="n">
        <x:f>IF($X84="","",INDEX('sheet2-计算明细'!$AK$17:$AK$219,$X84))</x:f>
        <x:v>100</x:v>
      </x:c>
      <x:c r="N84" s="17" t="n">
        <x:f t="shared" si="7">IF(ISNUMBER(INDEX('sheet2-计算明细'!$AL$17:$AL$219,$X84)),INDEX('sheet2-计算明细'!$AL$17:$AL$219,$X84),"")</x:f>
        <x:v>84</x:v>
      </x:c>
      <x:c r="O84" s="17" t="n">
        <x:f t="shared" si="8">IF(ISNUMBER(INDEX('sheet2-计算明细'!$AM$17:$AM$219,$X84)),INDEX('sheet2-计算明细'!$AM$17:$AM$219,$X84),"")</x:f>
        <x:v>50.14</x:v>
      </x:c>
      <x:c r="P84" s="17" t="n">
        <x:f t="shared" si="9">IF(ISNUMBER(INDEX('sheet2-计算明细'!$AN$17:$AN$219,$X84)),INDEX('sheet2-计算明细'!$AN$17:$AN$219,$X84),"")</x:f>
        <x:v>72.77</x:v>
      </x:c>
      <x:c r="Q84" s="17" t="n">
        <x:f t="shared" si="10">IF(ISNUMBER(INDEX('sheet2-计算明细'!$AO$17:$AO$219,$X84)),INDEX('sheet2-计算明细'!$AO$17:$AO$219,$X84),"")</x:f>
        <x:v>59.24</x:v>
      </x:c>
      <x:c r="R84" s="17" t="n">
        <x:f t="shared" si="11">IF(ISNUMBER(INDEX('sheet2-计算明细'!$AP$17:$AP$219,$X84)),INDEX('sheet2-计算明细'!$AP$17:$AP$219,$X84),"")</x:f>
        <x:v>100</x:v>
      </x:c>
      <x:c r="S84" s="18" t="n">
        <x:f>IF($X84="","",INDEX('sheet2-计算明细'!$AQ$17:$AQ$219,$X84))</x:f>
        <x:v>1</x:v>
      </x:c>
      <x:c r="T84" s="16" t="n">
        <x:f>IF($X84="","",INDEX('sheet2-计算明细'!$AR$17:$AR$219,$X84))</x:f>
        <x:v>68.59398999999999</x:v>
      </x:c>
      <x:c r="U84" s="17" t="n">
        <x:f t="shared" si="12">IF(S84=0,"",ROUND(T84/S84,2))</x:f>
        <x:v>68.59</x:v>
      </x:c>
      <x:c r="V84" s="17" t="n">
        <x:f t="shared" si="13">IF(ABS(S84-1)&lt;0.00000001,T84,"")</x:f>
        <x:v>68.59398999999999</x:v>
      </x:c>
      <x:c r="W84" s="19" t="str">
        <x:f>IF($X84="","",INDEX('sheet2-计算明细'!$AU$17:$AU$219,$X84))</x:f>
      </x:c>
      <x:c r="X84" s="15" t="n">
        <x:f>IF($A84&gt;COUNT('sheet2-计算明细'!$AT$17:$AT$219),"",MATCH($A84,'sheet2-计算明细'!$AT$17:$AT$219,0))</x:f>
        <x:v>186</x:v>
      </x:c>
    </x:row>
    <x:row r="85" ht="28" customHeight="1">
      <x:c r="A85" s="4" t="n">
        <x:v>80</x:v>
      </x:c>
      <x:c r="B85" s="15" t="str">
        <x:f>IF($X85="","",INDEX('sheet2-计算明细'!$B$17:$B$219,$X85))</x:f>
        <x:v>深度梦扬量化套利0号</x:v>
      </x:c>
      <x:c r="C85" s="15" t="str">
        <x:f>IF($X85="","",INDEX('sheet2-计算明细'!$C$17:$C$219,$X85))</x:f>
        <x:v>SQD620</x:v>
      </x:c>
      <x:c r="D85" s="15" t="str">
        <x:f>IF($X85="","",INDEX('sheet2-计算明细'!$D$17:$D$219,$X85))</x:f>
        <x:v>杭州深度资管</x:v>
      </x:c>
      <x:c r="E85" s="15" t="str">
        <x:f>IF($X85="","",INDEX('sheet2-计算明细'!$G$17:$G$219,$X85))</x:f>
        <x:v>入池</x:v>
      </x:c>
      <x:c r="F85" s="16" t="n">
        <x:f>IF($X85="","",INDEX('sheet2-计算明细'!$I$17:$I$219,$X85))</x:f>
        <x:v>80</x:v>
      </x:c>
      <x:c r="G85" s="16" t="n">
        <x:f>IF($X85="","",INDEX('sheet2-计算明细'!$K$17:$K$219,$X85))</x:f>
        <x:v>100</x:v>
      </x:c>
      <x:c r="H85" s="16" t="n">
        <x:f>IF($X85="","",INDEX('sheet2-计算明细'!$L$17:$L$219,$X85))</x:f>
        <x:v>100</x:v>
      </x:c>
      <x:c r="I85" s="16" t="n">
        <x:f>IF($X85="","",INDEX('sheet2-计算明细'!$S$17:$S$219,$X85))</x:f>
        <x:v>73.27</x:v>
      </x:c>
      <x:c r="J85" s="16" t="n">
        <x:f>IF($X85="","",INDEX('sheet2-计算明细'!$Y$17:$Y$219,$X85))</x:f>
        <x:v>73.21</x:v>
      </x:c>
      <x:c r="K85" s="16" t="n">
        <x:f>IF($X85="","",INDEX('sheet2-计算明细'!$AC$17:$AC$219,$X85))</x:f>
        <x:v>51.98</x:v>
      </x:c>
      <x:c r="L85" s="16" t="n">
        <x:f>IF($X85="","",INDEX('sheet2-计算明细'!$AI$17:$AI$219,$X85))</x:f>
        <x:v>49.25</x:v>
      </x:c>
      <x:c r="M85" s="16" t="n">
        <x:f>IF($X85="","",INDEX('sheet2-计算明细'!$AK$17:$AK$219,$X85))</x:f>
        <x:v>100</x:v>
      </x:c>
      <x:c r="N85" s="17" t="n">
        <x:f t="shared" si="7">IF(ISNUMBER(INDEX('sheet2-计算明细'!$AL$17:$AL$219,$X85)),INDEX('sheet2-计算明细'!$AL$17:$AL$219,$X85),"")</x:f>
        <x:v>92</x:v>
      </x:c>
      <x:c r="O85" s="17" t="n">
        <x:f t="shared" si="8">IF(ISNUMBER(INDEX('sheet2-计算明细'!$AM$17:$AM$219,$X85)),INDEX('sheet2-计算明细'!$AM$17:$AM$219,$X85),"")</x:f>
        <x:v>73.25</x:v>
      </x:c>
      <x:c r="P85" s="17" t="n">
        <x:f t="shared" si="9">IF(ISNUMBER(INDEX('sheet2-计算明细'!$AN$17:$AN$219,$X85)),INDEX('sheet2-计算明细'!$AN$17:$AN$219,$X85),"")</x:f>
        <x:v>51.98</x:v>
      </x:c>
      <x:c r="Q85" s="17" t="n">
        <x:f t="shared" si="10">IF(ISNUMBER(INDEX('sheet2-计算明细'!$AO$17:$AO$219,$X85)),INDEX('sheet2-计算明细'!$AO$17:$AO$219,$X85),"")</x:f>
        <x:v>49.25</x:v>
      </x:c>
      <x:c r="R85" s="17" t="n">
        <x:f t="shared" si="11">IF(ISNUMBER(INDEX('sheet2-计算明细'!$AP$17:$AP$219,$X85)),INDEX('sheet2-计算明细'!$AP$17:$AP$219,$X85),"")</x:f>
        <x:v>100</x:v>
      </x:c>
      <x:c r="S85" s="18" t="n">
        <x:f>IF($X85="","",INDEX('sheet2-计算明细'!$AQ$17:$AQ$219,$X85))</x:f>
        <x:v>0.88</x:v>
      </x:c>
      <x:c r="T85" s="16" t="n">
        <x:f>IF($X85="","",INDEX('sheet2-计算明细'!$AR$17:$AR$219,$X85))</x:f>
        <x:v>60.30982769230769</x:v>
      </x:c>
      <x:c r="U85" s="17" t="n">
        <x:f t="shared" si="12">IF(S85=0,"",ROUND(T85/S85,2))</x:f>
        <x:v>68.53</x:v>
      </x:c>
      <x:c r="V85" s="17" t="str">
        <x:f t="shared" si="13">IF(ABS(S85-1)&lt;0.00000001,T85,"")</x:f>
      </x:c>
      <x:c r="W85" s="19" t="str">
        <x:f>IF($X85="","",INDEX('sheet2-计算明细'!$AU$17:$AU$219,$X85))</x:f>
        <x:v>DD_long不可识别；</x:v>
      </x:c>
      <x:c r="X85" s="15" t="n">
        <x:f>IF($A85&gt;COUNT('sheet2-计算明细'!$AT$17:$AT$219),"",MATCH($A85,'sheet2-计算明细'!$AT$17:$AT$219,0))</x:f>
        <x:v>202</x:v>
      </x:c>
    </x:row>
    <x:row r="86" ht="28" customHeight="1">
      <x:c r="A86" s="4" t="n">
        <x:v>81</x:v>
      </x:c>
      <x:c r="B86" s="15" t="str">
        <x:f>IF($X86="","",INDEX('sheet2-计算明细'!$B$17:$B$219,$X86))</x:f>
        <x:v>泰创稳增1号</x:v>
      </x:c>
      <x:c r="C86" s="15" t="str">
        <x:f>IF($X86="","",INDEX('sheet2-计算明细'!$C$17:$C$219,$X86))</x:f>
        <x:v>SZV527</x:v>
      </x:c>
      <x:c r="D86" s="15" t="str">
        <x:f>IF($X86="","",INDEX('sheet2-计算明细'!$D$17:$D$219,$X86))</x:f>
        <x:v>北京泰创投资</x:v>
      </x:c>
      <x:c r="E86" s="15" t="str">
        <x:f>IF($X86="","",INDEX('sheet2-计算明细'!$G$17:$G$219,$X86))</x:f>
        <x:v>入池</x:v>
      </x:c>
      <x:c r="F86" s="16" t="n">
        <x:f>IF($X86="","",INDEX('sheet2-计算明细'!$I$17:$I$219,$X86))</x:f>
        <x:v>70</x:v>
      </x:c>
      <x:c r="G86" s="16" t="n">
        <x:f>IF($X86="","",INDEX('sheet2-计算明细'!$K$17:$K$219,$X86))</x:f>
        <x:v>100</x:v>
      </x:c>
      <x:c r="H86" s="16" t="n">
        <x:f>IF($X86="","",INDEX('sheet2-计算明细'!$L$17:$L$219,$X86))</x:f>
        <x:v>100</x:v>
      </x:c>
      <x:c r="I86" s="16" t="n">
        <x:f>IF($X86="","",INDEX('sheet2-计算明细'!$S$17:$S$219,$X86))</x:f>
        <x:v>49.41</x:v>
      </x:c>
      <x:c r="J86" s="16" t="n">
        <x:f>IF($X86="","",INDEX('sheet2-计算明细'!$Y$17:$Y$219,$X86))</x:f>
        <x:v>71.92</x:v>
      </x:c>
      <x:c r="K86" s="16" t="n">
        <x:f>IF($X86="","",INDEX('sheet2-计算明细'!$AC$17:$AC$219,$X86))</x:f>
        <x:v>71.29</x:v>
      </x:c>
      <x:c r="L86" s="16" t="n">
        <x:f>IF($X86="","",INDEX('sheet2-计算明细'!$AI$17:$AI$219,$X86))</x:f>
        <x:v>60.84</x:v>
      </x:c>
      <x:c r="M86" s="16" t="n">
        <x:f>IF($X86="","",INDEX('sheet2-计算明细'!$AK$17:$AK$219,$X86))</x:f>
        <x:v>80</x:v>
      </x:c>
      <x:c r="N86" s="17" t="n">
        <x:f t="shared" si="7">IF(ISNUMBER(INDEX('sheet2-计算明细'!$AL$17:$AL$219,$X86)),INDEX('sheet2-计算明细'!$AL$17:$AL$219,$X86),"")</x:f>
        <x:v>88</x:v>
      </x:c>
      <x:c r="O86" s="17" t="n">
        <x:f t="shared" si="8">IF(ISNUMBER(INDEX('sheet2-计算明细'!$AM$17:$AM$219,$X86)),INDEX('sheet2-计算明细'!$AM$17:$AM$219,$X86),"")</x:f>
        <x:v>56.16</x:v>
      </x:c>
      <x:c r="P86" s="17" t="n">
        <x:f t="shared" si="9">IF(ISNUMBER(INDEX('sheet2-计算明细'!$AN$17:$AN$219,$X86)),INDEX('sheet2-计算明细'!$AN$17:$AN$219,$X86),"")</x:f>
        <x:v>71.29</x:v>
      </x:c>
      <x:c r="Q86" s="17" t="n">
        <x:f t="shared" si="10">IF(ISNUMBER(INDEX('sheet2-计算明细'!$AO$17:$AO$219,$X86)),INDEX('sheet2-计算明细'!$AO$17:$AO$219,$X86),"")</x:f>
        <x:v>60.84</x:v>
      </x:c>
      <x:c r="R86" s="17" t="n">
        <x:f t="shared" si="11">IF(ISNUMBER(INDEX('sheet2-计算明细'!$AP$17:$AP$219,$X86)),INDEX('sheet2-计算明细'!$AP$17:$AP$219,$X86),"")</x:f>
        <x:v>80</x:v>
      </x:c>
      <x:c r="S86" s="18" t="n">
        <x:f>IF($X86="","",INDEX('sheet2-计算明细'!$AQ$17:$AQ$219,$X86))</x:f>
        <x:v>1</x:v>
      </x:c>
      <x:c r="T86" s="16" t="n">
        <x:f>IF($X86="","",INDEX('sheet2-计算明细'!$AR$17:$AR$219,$X86))</x:f>
        <x:v>68.50742</x:v>
      </x:c>
      <x:c r="U86" s="17" t="n">
        <x:f t="shared" si="12">IF(S86=0,"",ROUND(T86/S86,2))</x:f>
        <x:v>68.51</x:v>
      </x:c>
      <x:c r="V86" s="17" t="n">
        <x:f t="shared" si="13">IF(ABS(S86-1)&lt;0.00000001,T86,"")</x:f>
        <x:v>68.50742</x:v>
      </x:c>
      <x:c r="W86" s="19" t="str">
        <x:f>IF($X86="","",INDEX('sheet2-计算明细'!$AU$17:$AU$219,$X86))</x:f>
      </x:c>
      <x:c r="X86" s="15" t="n">
        <x:f>IF($A86&gt;COUNT('sheet2-计算明细'!$AT$17:$AT$219),"",MATCH($A86,'sheet2-计算明细'!$AT$17:$AT$219,0))</x:f>
        <x:v>181</x:v>
      </x:c>
    </x:row>
    <x:row r="87" ht="28" customHeight="1">
      <x:c r="A87" s="4" t="n">
        <x:v>82</x:v>
      </x:c>
      <x:c r="B87" s="15" t="str">
        <x:f>IF($X87="","",INDEX('sheet2-计算明细'!$B$17:$B$219,$X87))</x:f>
        <x:v>谊恒滴海一号</x:v>
      </x:c>
      <x:c r="C87" s="15" t="str">
        <x:f>IF($X87="","",INDEX('sheet2-计算明细'!$C$17:$C$219,$X87))</x:f>
        <x:v>SXL701</x:v>
      </x:c>
      <x:c r="D87" s="15" t="str">
        <x:f>IF($X87="","",INDEX('sheet2-计算明细'!$D$17:$D$219,$X87))</x:f>
        <x:v>上海滴海</x:v>
      </x:c>
      <x:c r="E87" s="15" t="str">
        <x:f>IF($X87="","",INDEX('sheet2-计算明细'!$G$17:$G$219,$X87))</x:f>
        <x:v>入池</x:v>
      </x:c>
      <x:c r="F87" s="16" t="n">
        <x:f>IF($X87="","",INDEX('sheet2-计算明细'!$I$17:$I$219,$X87))</x:f>
        <x:v>70</x:v>
      </x:c>
      <x:c r="G87" s="16" t="n">
        <x:f>IF($X87="","",INDEX('sheet2-计算明细'!$K$17:$K$219,$X87))</x:f>
        <x:v>100</x:v>
      </x:c>
      <x:c r="H87" s="16" t="n">
        <x:f>IF($X87="","",INDEX('sheet2-计算明细'!$L$17:$L$219,$X87))</x:f>
        <x:v>100</x:v>
      </x:c>
      <x:c r="I87" s="16" t="n">
        <x:f>IF($X87="","",INDEX('sheet2-计算明细'!$S$17:$S$219,$X87))</x:f>
        <x:v>57.03</x:v>
      </x:c>
      <x:c r="J87" s="16" t="n">
        <x:f>IF($X87="","",INDEX('sheet2-计算明细'!$Y$17:$Y$219,$X87))</x:f>
        <x:v>61.92</x:v>
      </x:c>
      <x:c r="K87" s="16" t="n">
        <x:f>IF($X87="","",INDEX('sheet2-计算明细'!$AC$17:$AC$219,$X87))</x:f>
        <x:v>60.89</x:v>
      </x:c>
      <x:c r="L87" s="16" t="n">
        <x:f>IF($X87="","",INDEX('sheet2-计算明细'!$AI$17:$AI$219,$X87))</x:f>
        <x:v>50.75</x:v>
      </x:c>
      <x:c r="M87" s="16" t="n">
        <x:f>IF($X87="","",INDEX('sheet2-计算明细'!$AK$17:$AK$219,$X87))</x:f>
        <x:v>100</x:v>
      </x:c>
      <x:c r="N87" s="17" t="n">
        <x:f t="shared" si="7">IF(ISNUMBER(INDEX('sheet2-计算明细'!$AL$17:$AL$219,$X87)),INDEX('sheet2-计算明细'!$AL$17:$AL$219,$X87),"")</x:f>
        <x:v>88</x:v>
      </x:c>
      <x:c r="O87" s="17" t="n">
        <x:f t="shared" si="8">IF(ISNUMBER(INDEX('sheet2-计算明细'!$AM$17:$AM$219,$X87)),INDEX('sheet2-计算明细'!$AM$17:$AM$219,$X87),"")</x:f>
        <x:v>58.5</x:v>
      </x:c>
      <x:c r="P87" s="17" t="n">
        <x:f t="shared" si="9">IF(ISNUMBER(INDEX('sheet2-计算明细'!$AN$17:$AN$219,$X87)),INDEX('sheet2-计算明细'!$AN$17:$AN$219,$X87),"")</x:f>
        <x:v>60.89</x:v>
      </x:c>
      <x:c r="Q87" s="17" t="n">
        <x:f t="shared" si="10">IF(ISNUMBER(INDEX('sheet2-计算明细'!$AO$17:$AO$219,$X87)),INDEX('sheet2-计算明细'!$AO$17:$AO$219,$X87),"")</x:f>
        <x:v>50.75</x:v>
      </x:c>
      <x:c r="R87" s="17" t="n">
        <x:f t="shared" si="11">IF(ISNUMBER(INDEX('sheet2-计算明细'!$AP$17:$AP$219,$X87)),INDEX('sheet2-计算明细'!$AP$17:$AP$219,$X87),"")</x:f>
        <x:v>100</x:v>
      </x:c>
      <x:c r="S87" s="18" t="n">
        <x:f>IF($X87="","",INDEX('sheet2-计算明细'!$AQ$17:$AQ$219,$X87))</x:f>
        <x:v>0.88</x:v>
      </x:c>
      <x:c r="T87" s="16" t="n">
        <x:f>IF($X87="","",INDEX('sheet2-计算明细'!$AR$17:$AR$219,$X87))</x:f>
        <x:v>59.257039999999996</x:v>
      </x:c>
      <x:c r="U87" s="17" t="n">
        <x:f t="shared" si="12">IF(S87=0,"",ROUND(T87/S87,2))</x:f>
        <x:v>67.34</x:v>
      </x:c>
      <x:c r="V87" s="17" t="str">
        <x:f t="shared" si="13">IF(ABS(S87-1)&lt;0.00000001,T87,"")</x:f>
      </x:c>
      <x:c r="W87" s="19" t="str">
        <x:f>IF($X87="","",INDEX('sheet2-计算明细'!$AU$17:$AU$219,$X87))</x:f>
        <x:v>DD_long不可识别；</x:v>
      </x:c>
      <x:c r="X87" s="15" t="n">
        <x:f>IF($A87&gt;COUNT('sheet2-计算明细'!$AT$17:$AT$219),"",MATCH($A87,'sheet2-计算明细'!$AT$17:$AT$219,0))</x:f>
        <x:v>159</x:v>
      </x:c>
    </x:row>
    <x:row r="88" ht="28" customHeight="1">
      <x:c r="A88" s="4" t="n">
        <x:v>83</x:v>
      </x:c>
      <x:c r="B88" s="15" t="str">
        <x:f>IF($X88="","",INDEX('sheet2-计算明细'!$B$17:$B$219,$X88))</x:f>
        <x:v>溋沣鸿运来星选1号</x:v>
      </x:c>
      <x:c r="C88" s="15" t="str">
        <x:f>IF($X88="","",INDEX('sheet2-计算明细'!$C$17:$C$219,$X88))</x:f>
        <x:v>S09408</x:v>
      </x:c>
      <x:c r="D88" s="15" t="str">
        <x:f>IF($X88="","",INDEX('sheet2-计算明细'!$D$17:$D$219,$X88))</x:f>
        <x:v>深圳前海溋沣资管</x:v>
      </x:c>
      <x:c r="E88" s="15" t="str">
        <x:f>IF($X88="","",INDEX('sheet2-计算明细'!$G$17:$G$219,$X88))</x:f>
        <x:v>入池</x:v>
      </x:c>
      <x:c r="F88" s="16" t="n">
        <x:f>IF($X88="","",INDEX('sheet2-计算明细'!$I$17:$I$219,$X88))</x:f>
        <x:v>60</x:v>
      </x:c>
      <x:c r="G88" s="16" t="n">
        <x:f>IF($X88="","",INDEX('sheet2-计算明细'!$K$17:$K$219,$X88))</x:f>
        <x:v>100</x:v>
      </x:c>
      <x:c r="H88" s="16" t="n">
        <x:f>IF($X88="","",INDEX('sheet2-计算明细'!$L$17:$L$219,$X88))</x:f>
        <x:v>100</x:v>
      </x:c>
      <x:c r="I88" s="16" t="n">
        <x:f>IF($X88="","",INDEX('sheet2-计算明细'!$S$17:$S$219,$X88))</x:f>
        <x:v>51.19</x:v>
      </x:c>
      <x:c r="J88" s="16" t="n">
        <x:f>IF($X88="","",INDEX('sheet2-计算明细'!$Y$17:$Y$219,$X88))</x:f>
        <x:v>84.1</x:v>
      </x:c>
      <x:c r="K88" s="16" t="n">
        <x:f>IF($X88="","",INDEX('sheet2-计算明细'!$AC$17:$AC$219,$X88))</x:f>
        <x:v>64.36</x:v>
      </x:c>
      <x:c r="L88" s="16" t="n">
        <x:f>IF($X88="","",INDEX('sheet2-计算明细'!$AI$17:$AI$219,$X88))</x:f>
        <x:v>53.33</x:v>
      </x:c>
      <x:c r="M88" s="16" t="n">
        <x:f>IF($X88="","",INDEX('sheet2-计算明细'!$AK$17:$AK$219,$X88))</x:f>
        <x:v>100</x:v>
      </x:c>
      <x:c r="N88" s="17" t="n">
        <x:f t="shared" si="7">IF(ISNUMBER(INDEX('sheet2-计算明细'!$AL$17:$AL$219,$X88)),INDEX('sheet2-计算明细'!$AL$17:$AL$219,$X88),"")</x:f>
        <x:v>84</x:v>
      </x:c>
      <x:c r="O88" s="17" t="n">
        <x:f t="shared" si="8">IF(ISNUMBER(INDEX('sheet2-计算明细'!$AM$17:$AM$219,$X88)),INDEX('sheet2-计算明细'!$AM$17:$AM$219,$X88),"")</x:f>
        <x:v>61.06</x:v>
      </x:c>
      <x:c r="P88" s="17" t="n">
        <x:f t="shared" si="9">IF(ISNUMBER(INDEX('sheet2-计算明细'!$AN$17:$AN$219,$X88)),INDEX('sheet2-计算明细'!$AN$17:$AN$219,$X88),"")</x:f>
        <x:v>64.36</x:v>
      </x:c>
      <x:c r="Q88" s="17" t="n">
        <x:f t="shared" si="10">IF(ISNUMBER(INDEX('sheet2-计算明细'!$AO$17:$AO$219,$X88)),INDEX('sheet2-计算明细'!$AO$17:$AO$219,$X88),"")</x:f>
        <x:v>53.33</x:v>
      </x:c>
      <x:c r="R88" s="17" t="n">
        <x:f t="shared" si="11">IF(ISNUMBER(INDEX('sheet2-计算明细'!$AP$17:$AP$219,$X88)),INDEX('sheet2-计算明细'!$AP$17:$AP$219,$X88),"")</x:f>
        <x:v>100</x:v>
      </x:c>
      <x:c r="S88" s="18" t="n">
        <x:f>IF($X88="","",INDEX('sheet2-计算明细'!$AQ$17:$AQ$219,$X88))</x:f>
        <x:v>1</x:v>
      </x:c>
      <x:c r="T88" s="16" t="n">
        <x:f>IF($X88="","",INDEX('sheet2-计算明细'!$AR$17:$AR$219,$X88))</x:f>
        <x:v>66.90116</x:v>
      </x:c>
      <x:c r="U88" s="17" t="n">
        <x:f t="shared" si="12">IF(S88=0,"",ROUND(T88/S88,2))</x:f>
        <x:v>66.9</x:v>
      </x:c>
      <x:c r="V88" s="17" t="n">
        <x:f t="shared" si="13">IF(ABS(S88-1)&lt;0.00000001,T88,"")</x:f>
        <x:v>66.90116</x:v>
      </x:c>
      <x:c r="W88" s="19" t="str">
        <x:f>IF($X88="","",INDEX('sheet2-计算明细'!$AU$17:$AU$219,$X88))</x:f>
      </x:c>
      <x:c r="X88" s="15" t="n">
        <x:f>IF($A88&gt;COUNT('sheet2-计算明细'!$AT$17:$AT$219),"",MATCH($A88,'sheet2-计算明细'!$AT$17:$AT$219,0))</x:f>
        <x:v>183</x:v>
      </x:c>
    </x:row>
    <x:row r="89" ht="28" customHeight="1">
      <x:c r="A89" s="4" t="n">
        <x:v>84</x:v>
      </x:c>
      <x:c r="B89" s="15" t="str">
        <x:f>IF($X89="","",INDEX('sheet2-计算明细'!$B$17:$B$219,$X89))</x:f>
        <x:v>起源天择稳健1号</x:v>
      </x:c>
      <x:c r="C89" s="15" t="str">
        <x:f>IF($X89="","",INDEX('sheet2-计算明细'!$C$17:$C$219,$X89))</x:f>
        <x:v>SVJ267</x:v>
      </x:c>
      <x:c r="D89" s="15" t="str">
        <x:f>IF($X89="","",INDEX('sheet2-计算明细'!$D$17:$D$219,$X89))</x:f>
        <x:v>海南起源</x:v>
      </x:c>
      <x:c r="E89" s="15" t="str">
        <x:f>IF($X89="","",INDEX('sheet2-计算明细'!$G$17:$G$219,$X89))</x:f>
        <x:v>入池</x:v>
      </x:c>
      <x:c r="F89" s="16" t="n">
        <x:f>IF($X89="","",INDEX('sheet2-计算明细'!$I$17:$I$219,$X89))</x:f>
        <x:v>60</x:v>
      </x:c>
      <x:c r="G89" s="16" t="n">
        <x:f>IF($X89="","",INDEX('sheet2-计算明细'!$K$17:$K$219,$X89))</x:f>
        <x:v>100</x:v>
      </x:c>
      <x:c r="H89" s="16" t="n">
        <x:f>IF($X89="","",INDEX('sheet2-计算明细'!$L$17:$L$219,$X89))</x:f>
        <x:v>100</x:v>
      </x:c>
      <x:c r="I89" s="16" t="n">
        <x:f>IF($X89="","",INDEX('sheet2-计算明细'!$S$17:$S$219,$X89))</x:f>
        <x:v>83.96</x:v>
      </x:c>
      <x:c r="J89" s="16" t="n">
        <x:f>IF($X89="","",INDEX('sheet2-计算明细'!$Y$17:$Y$219,$X89))</x:f>
        <x:v>74.48</x:v>
      </x:c>
      <x:c r="K89" s="16" t="n">
        <x:f>IF($X89="","",INDEX('sheet2-计算明细'!$AC$17:$AC$219,$X89))</x:f>
        <x:v>44.06</x:v>
      </x:c>
      <x:c r="L89" s="16" t="n">
        <x:f>IF($X89="","",INDEX('sheet2-计算明细'!$AI$17:$AI$219,$X89))</x:f>
        <x:v>48.76</x:v>
      </x:c>
      <x:c r="M89" s="16" t="n">
        <x:f>IF($X89="","",INDEX('sheet2-计算明细'!$AK$17:$AK$219,$X89))</x:f>
        <x:v>100</x:v>
      </x:c>
      <x:c r="N89" s="17" t="n">
        <x:f t="shared" si="7">IF(ISNUMBER(INDEX('sheet2-计算明细'!$AL$17:$AL$219,$X89)),INDEX('sheet2-计算明细'!$AL$17:$AL$219,$X89),"")</x:f>
        <x:v>84</x:v>
      </x:c>
      <x:c r="O89" s="17" t="n">
        <x:f t="shared" si="8">IF(ISNUMBER(INDEX('sheet2-计算明细'!$AM$17:$AM$219,$X89)),INDEX('sheet2-计算明细'!$AM$17:$AM$219,$X89),"")</x:f>
        <x:v>81.12</x:v>
      </x:c>
      <x:c r="P89" s="17" t="n">
        <x:f t="shared" si="9">IF(ISNUMBER(INDEX('sheet2-计算明细'!$AN$17:$AN$219,$X89)),INDEX('sheet2-计算明细'!$AN$17:$AN$219,$X89),"")</x:f>
        <x:v>44.06</x:v>
      </x:c>
      <x:c r="Q89" s="17" t="n">
        <x:f t="shared" si="10">IF(ISNUMBER(INDEX('sheet2-计算明细'!$AO$17:$AO$219,$X89)),INDEX('sheet2-计算明细'!$AO$17:$AO$219,$X89),"")</x:f>
        <x:v>48.76</x:v>
      </x:c>
      <x:c r="R89" s="17" t="n">
        <x:f t="shared" si="11">IF(ISNUMBER(INDEX('sheet2-计算明细'!$AP$17:$AP$219,$X89)),INDEX('sheet2-计算明细'!$AP$17:$AP$219,$X89),"")</x:f>
        <x:v>100</x:v>
      </x:c>
      <x:c r="S89" s="18" t="n">
        <x:f>IF($X89="","",INDEX('sheet2-计算明细'!$AQ$17:$AQ$219,$X89))</x:f>
        <x:v>0.88</x:v>
      </x:c>
      <x:c r="T89" s="16" t="n">
        <x:f>IF($X89="","",INDEX('sheet2-计算明细'!$AR$17:$AR$219,$X89))</x:f>
        <x:v>58.615249999999996</x:v>
      </x:c>
      <x:c r="U89" s="17" t="n">
        <x:f t="shared" si="12">IF(S89=0,"",ROUND(T89/S89,2))</x:f>
        <x:v>66.61</x:v>
      </x:c>
      <x:c r="V89" s="17" t="str">
        <x:f t="shared" si="13">IF(ABS(S89-1)&lt;0.00000001,T89,"")</x:f>
      </x:c>
      <x:c r="W89" s="19" t="str">
        <x:f>IF($X89="","",INDEX('sheet2-计算明细'!$AU$17:$AU$219,$X89))</x:f>
        <x:v>DD_long不可识别；</x:v>
      </x:c>
      <x:c r="X89" s="15" t="n">
        <x:f>IF($A89&gt;COUNT('sheet2-计算明细'!$AT$17:$AT$219),"",MATCH($A89,'sheet2-计算明细'!$AT$17:$AT$219,0))</x:f>
        <x:v>146</x:v>
      </x:c>
    </x:row>
    <x:row r="90" ht="28" customHeight="1">
      <x:c r="A90" s="4" t="n">
        <x:v>85</x:v>
      </x:c>
      <x:c r="B90" s="15" t="str">
        <x:f>IF($X90="","",INDEX('sheet2-计算明细'!$B$17:$B$219,$X90))</x:f>
        <x:v>博润易量稳健1号</x:v>
      </x:c>
      <x:c r="C90" s="15" t="str">
        <x:f>IF($X90="","",INDEX('sheet2-计算明细'!$C$17:$C$219,$X90))</x:f>
        <x:v>SXL913</x:v>
      </x:c>
      <x:c r="D90" s="15" t="str">
        <x:f>IF($X90="","",INDEX('sheet2-计算明细'!$D$17:$D$219,$X90))</x:f>
        <x:v>北京博润银泰投资</x:v>
      </x:c>
      <x:c r="E90" s="15" t="str">
        <x:f>IF($X90="","",INDEX('sheet2-计算明细'!$G$17:$G$219,$X90))</x:f>
        <x:v>入池</x:v>
      </x:c>
      <x:c r="F90" s="16" t="n">
        <x:f>IF($X90="","",INDEX('sheet2-计算明细'!$I$17:$I$219,$X90))</x:f>
        <x:v>100</x:v>
      </x:c>
      <x:c r="G90" s="16" t="n">
        <x:f>IF($X90="","",INDEX('sheet2-计算明细'!$K$17:$K$219,$X90))</x:f>
        <x:v>100</x:v>
      </x:c>
      <x:c r="H90" s="16" t="n">
        <x:f>IF($X90="","",INDEX('sheet2-计算明细'!$L$17:$L$219,$X90))</x:f>
        <x:v>100</x:v>
      </x:c>
      <x:c r="I90" s="16" t="n">
        <x:f>IF($X90="","",INDEX('sheet2-计算明细'!$S$17:$S$219,$X90))</x:f>
        <x:v>52.18</x:v>
      </x:c>
      <x:c r="J90" s="16" t="n">
        <x:f>IF($X90="","",INDEX('sheet2-计算明细'!$Y$17:$Y$219,$X90))</x:f>
        <x:v>58.97</x:v>
      </x:c>
      <x:c r="K90" s="16" t="n">
        <x:f>IF($X90="","",INDEX('sheet2-计算明细'!$AC$17:$AC$219,$X90))</x:f>
        <x:v>54.95</x:v>
      </x:c>
      <x:c r="L90" s="16" t="n">
        <x:f>IF($X90="","",INDEX('sheet2-计算明细'!$AI$17:$AI$219,$X90))</x:f>
        <x:v>46.77</x:v>
      </x:c>
      <x:c r="M90" s="16" t="n">
        <x:f>IF($X90="","",INDEX('sheet2-计算明细'!$AK$17:$AK$219,$X90))</x:f>
        <x:v>100</x:v>
      </x:c>
      <x:c r="N90" s="17" t="n">
        <x:f t="shared" si="7">IF(ISNUMBER(INDEX('sheet2-计算明细'!$AL$17:$AL$219,$X90)),INDEX('sheet2-计算明细'!$AL$17:$AL$219,$X90),"")</x:f>
        <x:v>100</x:v>
      </x:c>
      <x:c r="O90" s="17" t="n">
        <x:f t="shared" si="8">IF(ISNUMBER(INDEX('sheet2-计算明细'!$AM$17:$AM$219,$X90)),INDEX('sheet2-计算明细'!$AM$17:$AM$219,$X90),"")</x:f>
        <x:v>54.22</x:v>
      </x:c>
      <x:c r="P90" s="17" t="n">
        <x:f t="shared" si="9">IF(ISNUMBER(INDEX('sheet2-计算明细'!$AN$17:$AN$219,$X90)),INDEX('sheet2-计算明细'!$AN$17:$AN$219,$X90),"")</x:f>
        <x:v>54.95</x:v>
      </x:c>
      <x:c r="Q90" s="17" t="n">
        <x:f t="shared" si="10">IF(ISNUMBER(INDEX('sheet2-计算明细'!$AO$17:$AO$219,$X90)),INDEX('sheet2-计算明细'!$AO$17:$AO$219,$X90),"")</x:f>
        <x:v>46.77</x:v>
      </x:c>
      <x:c r="R90" s="17" t="n">
        <x:f t="shared" si="11">IF(ISNUMBER(INDEX('sheet2-计算明细'!$AP$17:$AP$219,$X90)),INDEX('sheet2-计算明细'!$AP$17:$AP$219,$X90),"")</x:f>
        <x:v>100</x:v>
      </x:c>
      <x:c r="S90" s="18" t="n">
        <x:f>IF($X90="","",INDEX('sheet2-计算明细'!$AQ$17:$AQ$219,$X90))</x:f>
        <x:v>0.88</x:v>
      </x:c>
      <x:c r="T90" s="16" t="n">
        <x:f>IF($X90="","",INDEX('sheet2-计算明细'!$AR$17:$AR$219,$X90))</x:f>
        <x:v>57.99921</x:v>
      </x:c>
      <x:c r="U90" s="17" t="n">
        <x:f t="shared" si="12">IF(S90=0,"",ROUND(T90/S90,2))</x:f>
        <x:v>65.91</x:v>
      </x:c>
      <x:c r="V90" s="17" t="str">
        <x:f t="shared" si="13">IF(ABS(S90-1)&lt;0.00000001,T90,"")</x:f>
      </x:c>
      <x:c r="W90" s="19" t="str">
        <x:f>IF($X90="","",INDEX('sheet2-计算明细'!$AU$17:$AU$219,$X90))</x:f>
        <x:v>DD_long不可识别；</x:v>
      </x:c>
      <x:c r="X90" s="15" t="n">
        <x:f>IF($A90&gt;COUNT('sheet2-计算明细'!$AT$17:$AT$219),"",MATCH($A90,'sheet2-计算明细'!$AT$17:$AT$219,0))</x:f>
        <x:v>58</x:v>
      </x:c>
    </x:row>
    <x:row r="91" ht="28" customHeight="1">
      <x:c r="A91" s="4" t="n">
        <x:v>86</x:v>
      </x:c>
      <x:c r="B91" s="15" t="str">
        <x:f>IF($X91="","",INDEX('sheet2-计算明细'!$B$17:$B$219,$X91))</x:f>
        <x:v>犇牛稳进3号</x:v>
      </x:c>
      <x:c r="C91" s="15" t="str">
        <x:f>IF($X91="","",INDEX('sheet2-计算明细'!$C$17:$C$219,$X91))</x:f>
        <x:v>SNE543</x:v>
      </x:c>
      <x:c r="D91" s="15" t="str">
        <x:f>IF($X91="","",INDEX('sheet2-计算明细'!$D$17:$D$219,$X91))</x:f>
        <x:v>上海犇牛</x:v>
      </x:c>
      <x:c r="E91" s="15" t="str">
        <x:f>IF($X91="","",INDEX('sheet2-计算明细'!$G$17:$G$219,$X91))</x:f>
        <x:v>入池</x:v>
      </x:c>
      <x:c r="F91" s="16" t="n">
        <x:f>IF($X91="","",INDEX('sheet2-计算明细'!$I$17:$I$219,$X91))</x:f>
        <x:v>80</x:v>
      </x:c>
      <x:c r="G91" s="16" t="n">
        <x:f>IF($X91="","",INDEX('sheet2-计算明细'!$K$17:$K$219,$X91))</x:f>
        <x:v>100</x:v>
      </x:c>
      <x:c r="H91" s="16" t="n">
        <x:f>IF($X91="","",INDEX('sheet2-计算明细'!$L$17:$L$219,$X91))</x:f>
        <x:v>100</x:v>
      </x:c>
      <x:c r="I91" s="16" t="n">
        <x:f>IF($X91="","",INDEX('sheet2-计算明细'!$S$17:$S$219,$X91))</x:f>
        <x:v>36.93</x:v>
      </x:c>
      <x:c r="J91" s="16" t="n">
        <x:f>IF($X91="","",INDEX('sheet2-计算明细'!$Y$17:$Y$219,$X91))</x:f>
        <x:v>66.15</x:v>
      </x:c>
      <x:c r="K91" s="16" t="n">
        <x:f>IF($X91="","",INDEX('sheet2-计算明细'!$AC$17:$AC$219,$X91))</x:f>
        <x:v>64.85</x:v>
      </x:c>
      <x:c r="L91" s="16" t="n">
        <x:f>IF($X91="","",INDEX('sheet2-计算明细'!$AI$17:$AI$219,$X91))</x:f>
        <x:v>62.41</x:v>
      </x:c>
      <x:c r="M91" s="16" t="n">
        <x:f>IF($X91="","",INDEX('sheet2-计算明细'!$AK$17:$AK$219,$X91))</x:f>
        <x:v>80</x:v>
      </x:c>
      <x:c r="N91" s="17" t="n">
        <x:f t="shared" si="7">IF(ISNUMBER(INDEX('sheet2-计算明细'!$AL$17:$AL$219,$X91)),INDEX('sheet2-计算明细'!$AL$17:$AL$219,$X91),"")</x:f>
        <x:v>92</x:v>
      </x:c>
      <x:c r="O91" s="17" t="n">
        <x:f t="shared" si="8">IF(ISNUMBER(INDEX('sheet2-计算明细'!$AM$17:$AM$219,$X91)),INDEX('sheet2-计算明细'!$AM$17:$AM$219,$X91),"")</x:f>
        <x:v>45.7</x:v>
      </x:c>
      <x:c r="P91" s="17" t="n">
        <x:f t="shared" si="9">IF(ISNUMBER(INDEX('sheet2-计算明细'!$AN$17:$AN$219,$X91)),INDEX('sheet2-计算明细'!$AN$17:$AN$219,$X91),"")</x:f>
        <x:v>64.85</x:v>
      </x:c>
      <x:c r="Q91" s="17" t="n">
        <x:f t="shared" si="10">IF(ISNUMBER(INDEX('sheet2-计算明细'!$AO$17:$AO$219,$X91)),INDEX('sheet2-计算明细'!$AO$17:$AO$219,$X91),"")</x:f>
        <x:v>62.41</x:v>
      </x:c>
      <x:c r="R91" s="17" t="n">
        <x:f t="shared" si="11">IF(ISNUMBER(INDEX('sheet2-计算明细'!$AP$17:$AP$219,$X91)),INDEX('sheet2-计算明细'!$AP$17:$AP$219,$X91),"")</x:f>
        <x:v>80</x:v>
      </x:c>
      <x:c r="S91" s="18" t="n">
        <x:f>IF($X91="","",INDEX('sheet2-计算明细'!$AQ$17:$AQ$219,$X91))</x:f>
        <x:v>1</x:v>
      </x:c>
      <x:c r="T91" s="16" t="n">
        <x:f>IF($X91="","",INDEX('sheet2-计算明细'!$AR$17:$AR$219,$X91))</x:f>
        <x:v>65.87608</x:v>
      </x:c>
      <x:c r="U91" s="17" t="n">
        <x:f t="shared" si="12">IF(S91=0,"",ROUND(T91/S91,2))</x:f>
        <x:v>65.88</x:v>
      </x:c>
      <x:c r="V91" s="17" t="n">
        <x:f t="shared" si="13">IF(ABS(S91-1)&lt;0.00000001,T91,"")</x:f>
        <x:v>65.87608</x:v>
      </x:c>
      <x:c r="W91" s="19" t="str">
        <x:f>IF($X91="","",INDEX('sheet2-计算明细'!$AU$17:$AU$219,$X91))</x:f>
      </x:c>
      <x:c r="X91" s="15" t="n">
        <x:f>IF($A91&gt;COUNT('sheet2-计算明细'!$AT$17:$AT$219),"",MATCH($A91,'sheet2-计算明细'!$AT$17:$AT$219,0))</x:f>
        <x:v>25</x:v>
      </x:c>
    </x:row>
    <x:row r="92" ht="28" customHeight="1">
      <x:c r="A92" s="4" t="n">
        <x:v>87</x:v>
      </x:c>
      <x:c r="B92" s="15" t="str">
        <x:f>IF($X92="","",INDEX('sheet2-计算明细'!$B$17:$B$219,$X92))</x:f>
        <x:v>元康投资-稳健添利1号</x:v>
      </x:c>
      <x:c r="C92" s="15" t="str">
        <x:f>IF($X92="","",INDEX('sheet2-计算明细'!$C$17:$C$219,$X92))</x:f>
        <x:v>SNF469</x:v>
      </x:c>
      <x:c r="D92" s="15" t="str">
        <x:f>IF($X92="","",INDEX('sheet2-计算明细'!$D$17:$D$219,$X92))</x:f>
        <x:v>上海元康投资</x:v>
      </x:c>
      <x:c r="E92" s="15" t="str">
        <x:f>IF($X92="","",INDEX('sheet2-计算明细'!$G$17:$G$219,$X92))</x:f>
        <x:v>入池</x:v>
      </x:c>
      <x:c r="F92" s="16" t="n">
        <x:f>IF($X92="","",INDEX('sheet2-计算明细'!$I$17:$I$219,$X92))</x:f>
        <x:v>70</x:v>
      </x:c>
      <x:c r="G92" s="16" t="n">
        <x:f>IF($X92="","",INDEX('sheet2-计算明细'!$K$17:$K$219,$X92))</x:f>
        <x:v>100</x:v>
      </x:c>
      <x:c r="H92" s="16" t="n">
        <x:f>IF($X92="","",INDEX('sheet2-计算明细'!$L$17:$L$219,$X92))</x:f>
        <x:v>100</x:v>
      </x:c>
      <x:c r="I92" s="16" t="n">
        <x:f>IF($X92="","",INDEX('sheet2-计算明细'!$S$17:$S$219,$X92))</x:f>
        <x:v>31.88</x:v>
      </x:c>
      <x:c r="J92" s="16" t="n">
        <x:f>IF($X92="","",INDEX('sheet2-计算明细'!$Y$17:$Y$219,$X92))</x:f>
        <x:v>46.41</x:v>
      </x:c>
      <x:c r="K92" s="16" t="n">
        <x:f>IF($X92="","",INDEX('sheet2-计算明细'!$AC$17:$AC$219,$X92))</x:f>
        <x:v>84.16</x:v>
      </x:c>
      <x:c r="L92" s="16" t="n">
        <x:f>IF($X92="","",INDEX('sheet2-计算明细'!$AI$17:$AI$219,$X92))</x:f>
        <x:v>54.47</x:v>
      </x:c>
      <x:c r="M92" s="16" t="n">
        <x:f>IF($X92="","",INDEX('sheet2-计算明细'!$AK$17:$AK$219,$X92))</x:f>
        <x:v>80</x:v>
      </x:c>
      <x:c r="N92" s="17" t="n">
        <x:f t="shared" si="7">IF(ISNUMBER(INDEX('sheet2-计算明细'!$AL$17:$AL$219,$X92)),INDEX('sheet2-计算明细'!$AL$17:$AL$219,$X92),"")</x:f>
        <x:v>88</x:v>
      </x:c>
      <x:c r="O92" s="17" t="n">
        <x:f t="shared" si="8">IF(ISNUMBER(INDEX('sheet2-计算明细'!$AM$17:$AM$219,$X92)),INDEX('sheet2-计算明细'!$AM$17:$AM$219,$X92),"")</x:f>
        <x:v>36.24</x:v>
      </x:c>
      <x:c r="P92" s="17" t="n">
        <x:f t="shared" si="9">IF(ISNUMBER(INDEX('sheet2-计算明细'!$AN$17:$AN$219,$X92)),INDEX('sheet2-计算明细'!$AN$17:$AN$219,$X92),"")</x:f>
        <x:v>84.16</x:v>
      </x:c>
      <x:c r="Q92" s="17" t="n">
        <x:f t="shared" si="10">IF(ISNUMBER(INDEX('sheet2-计算明细'!$AO$17:$AO$219,$X92)),INDEX('sheet2-计算明细'!$AO$17:$AO$219,$X92),"")</x:f>
        <x:v>54.47</x:v>
      </x:c>
      <x:c r="R92" s="17" t="n">
        <x:f t="shared" si="11">IF(ISNUMBER(INDEX('sheet2-计算明细'!$AP$17:$AP$219,$X92)),INDEX('sheet2-计算明细'!$AP$17:$AP$219,$X92),"")</x:f>
        <x:v>80</x:v>
      </x:c>
      <x:c r="S92" s="18" t="n">
        <x:f>IF($X92="","",INDEX('sheet2-计算明细'!$AQ$17:$AQ$219,$X92))</x:f>
        <x:v>1</x:v>
      </x:c>
      <x:c r="T92" s="16" t="n">
        <x:f>IF($X92="","",INDEX('sheet2-计算明细'!$AR$17:$AR$219,$X92))</x:f>
        <x:v>65.82992999999999</x:v>
      </x:c>
      <x:c r="U92" s="17" t="n">
        <x:f t="shared" si="12">IF(S92=0,"",ROUND(T92/S92,2))</x:f>
        <x:v>65.83</x:v>
      </x:c>
      <x:c r="V92" s="17" t="n">
        <x:f t="shared" si="13">IF(ABS(S92-1)&lt;0.00000001,T92,"")</x:f>
        <x:v>65.82992999999999</x:v>
      </x:c>
      <x:c r="W92" s="19" t="str">
        <x:f>IF($X92="","",INDEX('sheet2-计算明细'!$AU$17:$AU$219,$X92))</x:f>
      </x:c>
      <x:c r="X92" s="15" t="n">
        <x:f>IF($A92&gt;COUNT('sheet2-计算明细'!$AT$17:$AT$219),"",MATCH($A92,'sheet2-计算明细'!$AT$17:$AT$219,0))</x:f>
        <x:v>135</x:v>
      </x:c>
    </x:row>
    <x:row r="93" ht="28" customHeight="1">
      <x:c r="A93" s="4" t="n">
        <x:v>88</x:v>
      </x:c>
      <x:c r="B93" s="15" t="str">
        <x:f>IF($X93="","",INDEX('sheet2-计算明细'!$B$17:$B$219,$X93))</x:f>
        <x:v>雁丰卓衍1号</x:v>
      </x:c>
      <x:c r="C93" s="15" t="str">
        <x:f>IF($X93="","",INDEX('sheet2-计算明细'!$C$17:$C$219,$X93))</x:f>
        <x:v>SXX404</x:v>
      </x:c>
      <x:c r="D93" s="15" t="str">
        <x:f>IF($X93="","",INDEX('sheet2-计算明细'!$D$17:$D$219,$X93))</x:f>
        <x:v>上海雁丰投资</x:v>
      </x:c>
      <x:c r="E93" s="15" t="str">
        <x:f>IF($X93="","",INDEX('sheet2-计算明细'!$G$17:$G$219,$X93))</x:f>
        <x:v>入池</x:v>
      </x:c>
      <x:c r="F93" s="16" t="n">
        <x:f>IF($X93="","",INDEX('sheet2-计算明细'!$I$17:$I$219,$X93))</x:f>
        <x:v>60</x:v>
      </x:c>
      <x:c r="G93" s="16" t="n">
        <x:f>IF($X93="","",INDEX('sheet2-计算明细'!$K$17:$K$219,$X93))</x:f>
        <x:v>100</x:v>
      </x:c>
      <x:c r="H93" s="16" t="n">
        <x:f>IF($X93="","",INDEX('sheet2-计算明细'!$L$17:$L$219,$X93))</x:f>
        <x:v>100</x:v>
      </x:c>
      <x:c r="I93" s="16" t="n">
        <x:f>IF($X93="","",INDEX('sheet2-计算明细'!$S$17:$S$219,$X93))</x:f>
        <x:v>73.47</x:v>
      </x:c>
      <x:c r="J93" s="16" t="n">
        <x:f>IF($X93="","",INDEX('sheet2-计算明细'!$Y$17:$Y$219,$X93))</x:f>
        <x:v>72.82</x:v>
      </x:c>
      <x:c r="K93" s="16" t="n">
        <x:f>IF($X93="","",INDEX('sheet2-计算明细'!$AC$17:$AC$219,$X93))</x:f>
        <x:v>41.58</x:v>
      </x:c>
      <x:c r="L93" s="16" t="n">
        <x:f>IF($X93="","",INDEX('sheet2-计算明细'!$AI$17:$AI$219,$X93))</x:f>
        <x:v>60.23</x:v>
      </x:c>
      <x:c r="M93" s="16" t="n">
        <x:f>IF($X93="","",INDEX('sheet2-计算明细'!$AK$17:$AK$219,$X93))</x:f>
        <x:v>100</x:v>
      </x:c>
      <x:c r="N93" s="17" t="n">
        <x:f t="shared" si="7">IF(ISNUMBER(INDEX('sheet2-计算明细'!$AL$17:$AL$219,$X93)),INDEX('sheet2-计算明细'!$AL$17:$AL$219,$X93),"")</x:f>
        <x:v>84</x:v>
      </x:c>
      <x:c r="O93" s="17" t="n">
        <x:f t="shared" si="8">IF(ISNUMBER(INDEX('sheet2-计算明细'!$AM$17:$AM$219,$X93)),INDEX('sheet2-计算明细'!$AM$17:$AM$219,$X93),"")</x:f>
        <x:v>73.27</x:v>
      </x:c>
      <x:c r="P93" s="17" t="n">
        <x:f t="shared" si="9">IF(ISNUMBER(INDEX('sheet2-计算明细'!$AN$17:$AN$219,$X93)),INDEX('sheet2-计算明细'!$AN$17:$AN$219,$X93),"")</x:f>
        <x:v>41.58</x:v>
      </x:c>
      <x:c r="Q93" s="17" t="n">
        <x:f t="shared" si="10">IF(ISNUMBER(INDEX('sheet2-计算明细'!$AO$17:$AO$219,$X93)),INDEX('sheet2-计算明细'!$AO$17:$AO$219,$X93),"")</x:f>
        <x:v>60.23</x:v>
      </x:c>
      <x:c r="R93" s="17" t="n">
        <x:f t="shared" si="11">IF(ISNUMBER(INDEX('sheet2-计算明细'!$AP$17:$AP$219,$X93)),INDEX('sheet2-计算明细'!$AP$17:$AP$219,$X93),"")</x:f>
        <x:v>100</x:v>
      </x:c>
      <x:c r="S93" s="18" t="n">
        <x:f>IF($X93="","",INDEX('sheet2-计算明细'!$AQ$17:$AQ$219,$X93))</x:f>
        <x:v>1</x:v>
      </x:c>
      <x:c r="T93" s="16" t="n">
        <x:f>IF($X93="","",INDEX('sheet2-计算明细'!$AR$17:$AR$219,$X93))</x:f>
        <x:v>65.71779</x:v>
      </x:c>
      <x:c r="U93" s="17" t="n">
        <x:f t="shared" si="12">IF(S93=0,"",ROUND(T93/S93,2))</x:f>
        <x:v>65.72</x:v>
      </x:c>
      <x:c r="V93" s="17" t="n">
        <x:f t="shared" si="13">IF(ABS(S93-1)&lt;0.00000001,T93,"")</x:f>
        <x:v>65.71779</x:v>
      </x:c>
      <x:c r="W93" s="19" t="str">
        <x:f>IF($X93="","",INDEX('sheet2-计算明细'!$AU$17:$AU$219,$X93))</x:f>
      </x:c>
      <x:c r="X93" s="15" t="n">
        <x:f>IF($A93&gt;COUNT('sheet2-计算明细'!$AT$17:$AT$219),"",MATCH($A93,'sheet2-计算明细'!$AT$17:$AT$219,0))</x:f>
        <x:v>170</x:v>
      </x:c>
    </x:row>
    <x:row r="94" ht="28" customHeight="1">
      <x:c r="A94" s="4" t="n">
        <x:v>89</x:v>
      </x:c>
      <x:c r="B94" s="15" t="str">
        <x:f>IF($X94="","",INDEX('sheet2-计算明细'!$B$17:$B$219,$X94))</x:f>
        <x:v>思益行稳致远1号</x:v>
      </x:c>
      <x:c r="C94" s="15" t="str">
        <x:f>IF($X94="","",INDEX('sheet2-计算明细'!$C$17:$C$219,$X94))</x:f>
        <x:v>SZC556</x:v>
      </x:c>
      <x:c r="D94" s="15" t="str">
        <x:f>IF($X94="","",INDEX('sheet2-计算明细'!$D$17:$D$219,$X94))</x:f>
        <x:v>海南思益</x:v>
      </x:c>
      <x:c r="E94" s="15" t="str">
        <x:f>IF($X94="","",INDEX('sheet2-计算明细'!$G$17:$G$219,$X94))</x:f>
        <x:v>入池</x:v>
      </x:c>
      <x:c r="F94" s="16" t="n">
        <x:f>IF($X94="","",INDEX('sheet2-计算明细'!$I$17:$I$219,$X94))</x:f>
        <x:v>80</x:v>
      </x:c>
      <x:c r="G94" s="16" t="n">
        <x:f>IF($X94="","",INDEX('sheet2-计算明细'!$K$17:$K$219,$X94))</x:f>
        <x:v>100</x:v>
      </x:c>
      <x:c r="H94" s="16" t="n">
        <x:f>IF($X94="","",INDEX('sheet2-计算明细'!$L$17:$L$219,$X94))</x:f>
        <x:v>100</x:v>
      </x:c>
      <x:c r="I94" s="16" t="n">
        <x:f>IF($X94="","",INDEX('sheet2-计算明细'!$S$17:$S$219,$X94))</x:f>
        <x:v>60.3</x:v>
      </x:c>
      <x:c r="J94" s="16" t="n">
        <x:f>IF($X94="","",INDEX('sheet2-计算明细'!$Y$17:$Y$219,$X94))</x:f>
        <x:v>79.11</x:v>
      </x:c>
      <x:c r="K94" s="16" t="n">
        <x:f>IF($X94="","",INDEX('sheet2-计算明细'!$AC$17:$AC$219,$X94))</x:f>
        <x:v>53.47</x:v>
      </x:c>
      <x:c r="L94" s="16" t="n">
        <x:f>IF($X94="","",INDEX('sheet2-计算明细'!$AI$17:$AI$219,$X94))</x:f>
        <x:v>57.35</x:v>
      </x:c>
      <x:c r="M94" s="16" t="n">
        <x:f>IF($X94="","",INDEX('sheet2-计算明细'!$AK$17:$AK$219,$X94))</x:f>
        <x:v>80</x:v>
      </x:c>
      <x:c r="N94" s="17" t="n">
        <x:f t="shared" si="7">IF(ISNUMBER(INDEX('sheet2-计算明细'!$AL$17:$AL$219,$X94)),INDEX('sheet2-计算明细'!$AL$17:$AL$219,$X94),"")</x:f>
        <x:v>92</x:v>
      </x:c>
      <x:c r="O94" s="17" t="n">
        <x:f t="shared" si="8">IF(ISNUMBER(INDEX('sheet2-计算明细'!$AM$17:$AM$219,$X94)),INDEX('sheet2-计算明细'!$AM$17:$AM$219,$X94),"")</x:f>
        <x:v>65.94</x:v>
      </x:c>
      <x:c r="P94" s="17" t="n">
        <x:f t="shared" si="9">IF(ISNUMBER(INDEX('sheet2-计算明细'!$AN$17:$AN$219,$X94)),INDEX('sheet2-计算明细'!$AN$17:$AN$219,$X94),"")</x:f>
        <x:v>53.47</x:v>
      </x:c>
      <x:c r="Q94" s="17" t="n">
        <x:f t="shared" si="10">IF(ISNUMBER(INDEX('sheet2-计算明细'!$AO$17:$AO$219,$X94)),INDEX('sheet2-计算明细'!$AO$17:$AO$219,$X94),"")</x:f>
        <x:v>57.35</x:v>
      </x:c>
      <x:c r="R94" s="17" t="n">
        <x:f t="shared" si="11">IF(ISNUMBER(INDEX('sheet2-计算明细'!$AP$17:$AP$219,$X94)),INDEX('sheet2-计算明细'!$AP$17:$AP$219,$X94),"")</x:f>
        <x:v>80</x:v>
      </x:c>
      <x:c r="S94" s="18" t="n">
        <x:f>IF($X94="","",INDEX('sheet2-计算明细'!$AQ$17:$AQ$219,$X94))</x:f>
        <x:v>1</x:v>
      </x:c>
      <x:c r="T94" s="16" t="n">
        <x:f>IF($X94="","",INDEX('sheet2-计算明细'!$AR$17:$AR$219,$X94))</x:f>
        <x:v>65.55916</x:v>
      </x:c>
      <x:c r="U94" s="17" t="n">
        <x:f t="shared" si="12">IF(S94=0,"",ROUND(T94/S94,2))</x:f>
        <x:v>65.56</x:v>
      </x:c>
      <x:c r="V94" s="17" t="n">
        <x:f t="shared" si="13">IF(ABS(S94-1)&lt;0.00000001,T94,"")</x:f>
        <x:v>65.55916</x:v>
      </x:c>
      <x:c r="W94" s="19" t="str">
        <x:f>IF($X94="","",INDEX('sheet2-计算明细'!$AU$17:$AU$219,$X94))</x:f>
      </x:c>
      <x:c r="X94" s="15" t="n">
        <x:f>IF($A94&gt;COUNT('sheet2-计算明细'!$AT$17:$AT$219),"",MATCH($A94,'sheet2-计算明细'!$AT$17:$AT$219,0))</x:f>
        <x:v>175</x:v>
      </x:c>
    </x:row>
    <x:row r="95" ht="28" customHeight="1">
      <x:c r="A95" s="4" t="n">
        <x:v>90</x:v>
      </x:c>
      <x:c r="B95" s="15" t="str">
        <x:f>IF($X95="","",INDEX('sheet2-计算明细'!$B$17:$B$219,$X95))</x:f>
        <x:v>杉阳云杉混合1号A类</x:v>
      </x:c>
      <x:c r="C95" s="15" t="str">
        <x:f>IF($X95="","",INDEX('sheet2-计算明细'!$C$17:$C$219,$X95))</x:f>
        <x:v>LA063A</x:v>
      </x:c>
      <x:c r="D95" s="15" t="str">
        <x:f>IF($X95="","",INDEX('sheet2-计算明细'!$D$17:$D$219,$X95))</x:f>
        <x:v>上海杉阳</x:v>
      </x:c>
      <x:c r="E95" s="15" t="str">
        <x:f>IF($X95="","",INDEX('sheet2-计算明细'!$G$17:$G$219,$X95))</x:f>
        <x:v>入池</x:v>
      </x:c>
      <x:c r="F95" s="16" t="n">
        <x:f>IF($X95="","",INDEX('sheet2-计算明细'!$I$17:$I$219,$X95))</x:f>
        <x:v>60</x:v>
      </x:c>
      <x:c r="G95" s="16" t="str">
        <x:f>IF($X95="","",INDEX('sheet2-计算明细'!$K$17:$K$219,$X95))</x:f>
      </x:c>
      <x:c r="H95" s="16" t="n">
        <x:f>IF($X95="","",INDEX('sheet2-计算明细'!$L$17:$L$219,$X95))</x:f>
        <x:v>100</x:v>
      </x:c>
      <x:c r="I95" s="16" t="n">
        <x:f>IF($X95="","",INDEX('sheet2-计算明细'!$S$17:$S$219,$X95))</x:f>
        <x:v>45.25</x:v>
      </x:c>
      <x:c r="J95" s="16" t="n">
        <x:f>IF($X95="","",INDEX('sheet2-计算明细'!$Y$17:$Y$219,$X95))</x:f>
        <x:v>72.82</x:v>
      </x:c>
      <x:c r="K95" s="16" t="n">
        <x:f>IF($X95="","",INDEX('sheet2-计算明细'!$AC$17:$AC$219,$X95))</x:f>
        <x:v>59.41</x:v>
      </x:c>
      <x:c r="L95" s="16" t="n">
        <x:f>IF($X95="","",INDEX('sheet2-计算明细'!$AI$17:$AI$219,$X95))</x:f>
        <x:v>62.99</x:v>
      </x:c>
      <x:c r="M95" s="16" t="n">
        <x:f>IF($X95="","",INDEX('sheet2-计算明细'!$AK$17:$AK$219,$X95))</x:f>
        <x:v>100</x:v>
      </x:c>
      <x:c r="N95" s="17" t="n">
        <x:f t="shared" si="7">IF(ISNUMBER(INDEX('sheet2-计算明细'!$AL$17:$AL$219,$X95)),INDEX('sheet2-计算明细'!$AL$17:$AL$219,$X95),"")</x:f>
        <x:v>77.14</x:v>
      </x:c>
      <x:c r="O95" s="17" t="n">
        <x:f t="shared" si="8">IF(ISNUMBER(INDEX('sheet2-计算明细'!$AM$17:$AM$219,$X95)),INDEX('sheet2-计算明细'!$AM$17:$AM$219,$X95),"")</x:f>
        <x:v>53.52</x:v>
      </x:c>
      <x:c r="P95" s="17" t="n">
        <x:f t="shared" si="9">IF(ISNUMBER(INDEX('sheet2-计算明细'!$AN$17:$AN$219,$X95)),INDEX('sheet2-计算明细'!$AN$17:$AN$219,$X95),"")</x:f>
        <x:v>59.41</x:v>
      </x:c>
      <x:c r="Q95" s="17" t="n">
        <x:f t="shared" si="10">IF(ISNUMBER(INDEX('sheet2-计算明细'!$AO$17:$AO$219,$X95)),INDEX('sheet2-计算明细'!$AO$17:$AO$219,$X95),"")</x:f>
        <x:v>62.99</x:v>
      </x:c>
      <x:c r="R95" s="17" t="n">
        <x:f t="shared" si="11">IF(ISNUMBER(INDEX('sheet2-计算明细'!$AP$17:$AP$219,$X95)),INDEX('sheet2-计算明细'!$AP$17:$AP$219,$X95),"")</x:f>
        <x:v>100</x:v>
      </x:c>
      <x:c r="S95" s="18" t="n">
        <x:f>IF($X95="","",INDEX('sheet2-计算明细'!$AQ$17:$AQ$219,$X95))</x:f>
        <x:v>0.9550000000000001</x:v>
      </x:c>
      <x:c r="T95" s="16" t="n">
        <x:f>IF($X95="","",INDEX('sheet2-计算明细'!$AR$17:$AR$219,$X95))</x:f>
        <x:v>62.55249</x:v>
      </x:c>
      <x:c r="U95" s="17" t="n">
        <x:f t="shared" si="12">IF(S95=0,"",ROUND(T95/S95,2))</x:f>
        <x:v>65.5</x:v>
      </x:c>
      <x:c r="V95" s="17" t="str">
        <x:f t="shared" si="13">IF(ABS(S95-1)&lt;0.00000001,T95,"")</x:f>
      </x:c>
      <x:c r="W95" s="19" t="str">
        <x:f>IF($X95="","",INDEX('sheet2-计算明细'!$AU$17:$AU$219,$X95))</x:f>
        <x:v>产品规模标识；</x:v>
      </x:c>
      <x:c r="X95" s="15" t="n">
        <x:f>IF($A95&gt;COUNT('sheet2-计算明细'!$AT$17:$AT$219),"",MATCH($A95,'sheet2-计算明细'!$AT$17:$AT$219,0))</x:f>
        <x:v>96</x:v>
      </x:c>
    </x:row>
    <x:row r="96" ht="28" customHeight="1">
      <x:c r="A96" s="4" t="n">
        <x:v>91</x:v>
      </x:c>
      <x:c r="B96" s="15" t="str">
        <x:f>IF($X96="","",INDEX('sheet2-计算明细'!$B$17:$B$219,$X96))</x:f>
        <x:v>盛泉恒元多策略量化对冲2号基金</x:v>
      </x:c>
      <x:c r="C96" s="15" t="str">
        <x:f>IF($X96="","",INDEX('sheet2-计算明细'!$C$17:$C$219,$X96))</x:f>
        <x:v>S67533</x:v>
      </x:c>
      <x:c r="D96" s="15" t="str">
        <x:f>IF($X96="","",INDEX('sheet2-计算明细'!$D$17:$D$219,$X96))</x:f>
        <x:v>南京盛泉恒元投资</x:v>
      </x:c>
      <x:c r="E96" s="15" t="str">
        <x:f>IF($X96="","",INDEX('sheet2-计算明细'!$G$17:$G$219,$X96))</x:f>
        <x:v>入池</x:v>
      </x:c>
      <x:c r="F96" s="16" t="n">
        <x:f>IF($X96="","",INDEX('sheet2-计算明细'!$I$17:$I$219,$X96))</x:f>
        <x:v>100</x:v>
      </x:c>
      <x:c r="G96" s="16" t="n">
        <x:f>IF($X96="","",INDEX('sheet2-计算明细'!$K$17:$K$219,$X96))</x:f>
        <x:v>100</x:v>
      </x:c>
      <x:c r="H96" s="16" t="n">
        <x:f>IF($X96="","",INDEX('sheet2-计算明细'!$L$17:$L$219,$X96))</x:f>
        <x:v>100</x:v>
      </x:c>
      <x:c r="I96" s="16" t="n">
        <x:f>IF($X96="","",INDEX('sheet2-计算明细'!$S$17:$S$219,$X96))</x:f>
        <x:v>71.53</x:v>
      </x:c>
      <x:c r="J96" s="16" t="n">
        <x:f>IF($X96="","",INDEX('sheet2-计算明细'!$Y$17:$Y$219,$X96))</x:f>
        <x:v>79.11</x:v>
      </x:c>
      <x:c r="K96" s="16" t="n">
        <x:f>IF($X96="","",INDEX('sheet2-计算明细'!$AC$17:$AC$219,$X96))</x:f>
        <x:v>45.05</x:v>
      </x:c>
      <x:c r="L96" s="16" t="n">
        <x:f>IF($X96="","",INDEX('sheet2-计算明细'!$AI$17:$AI$219,$X96))</x:f>
        <x:v>48.2</x:v>
      </x:c>
      <x:c r="M96" s="16" t="n">
        <x:f>IF($X96="","",INDEX('sheet2-计算明细'!$AK$17:$AK$219,$X96))</x:f>
        <x:v>100</x:v>
      </x:c>
      <x:c r="N96" s="17" t="n">
        <x:f t="shared" si="7">IF(ISNUMBER(INDEX('sheet2-计算明细'!$AL$17:$AL$219,$X96)),INDEX('sheet2-计算明细'!$AL$17:$AL$219,$X96),"")</x:f>
        <x:v>100</x:v>
      </x:c>
      <x:c r="O96" s="17" t="n">
        <x:f t="shared" si="8">IF(ISNUMBER(INDEX('sheet2-计算明细'!$AM$17:$AM$219,$X96)),INDEX('sheet2-计算明细'!$AM$17:$AM$219,$X96),"")</x:f>
        <x:v>73.81</x:v>
      </x:c>
      <x:c r="P96" s="17" t="n">
        <x:f t="shared" si="9">IF(ISNUMBER(INDEX('sheet2-计算明细'!$AN$17:$AN$219,$X96)),INDEX('sheet2-计算明细'!$AN$17:$AN$219,$X96),"")</x:f>
        <x:v>45.05</x:v>
      </x:c>
      <x:c r="Q96" s="17" t="n">
        <x:f t="shared" si="10">IF(ISNUMBER(INDEX('sheet2-计算明细'!$AO$17:$AO$219,$X96)),INDEX('sheet2-计算明细'!$AO$17:$AO$219,$X96),"")</x:f>
        <x:v>48.2</x:v>
      </x:c>
      <x:c r="R96" s="17" t="n">
        <x:f t="shared" si="11">IF(ISNUMBER(INDEX('sheet2-计算明细'!$AP$17:$AP$219,$X96)),INDEX('sheet2-计算明细'!$AP$17:$AP$219,$X96),"")</x:f>
        <x:v>100</x:v>
      </x:c>
      <x:c r="S96" s="18" t="n">
        <x:f>IF($X96="","",INDEX('sheet2-计算明细'!$AQ$17:$AQ$219,$X96))</x:f>
        <x:v>1</x:v>
      </x:c>
      <x:c r="T96" s="16" t="n">
        <x:f>IF($X96="","",INDEX('sheet2-计算明细'!$AR$17:$AR$219,$X96))</x:f>
        <x:v>65.48308</x:v>
      </x:c>
      <x:c r="U96" s="17" t="n">
        <x:f t="shared" si="12">IF(S96=0,"",ROUND(T96/S96,2))</x:f>
        <x:v>65.48</x:v>
      </x:c>
      <x:c r="V96" s="17" t="n">
        <x:f t="shared" si="13">IF(ABS(S96-1)&lt;0.00000001,T96,"")</x:f>
        <x:v>65.48308</x:v>
      </x:c>
      <x:c r="W96" s="19" t="str">
        <x:f>IF($X96="","",INDEX('sheet2-计算明细'!$AU$17:$AU$219,$X96))</x:f>
      </x:c>
      <x:c r="X96" s="15" t="n">
        <x:f>IF($A96&gt;COUNT('sheet2-计算明细'!$AT$17:$AT$219),"",MATCH($A96,'sheet2-计算明细'!$AT$17:$AT$219,0))</x:f>
        <x:v>109</x:v>
      </x:c>
    </x:row>
    <x:row r="97" ht="28" customHeight="1">
      <x:c r="A97" s="4" t="n">
        <x:v>92</x:v>
      </x:c>
      <x:c r="B97" s="15" t="str">
        <x:f>IF($X97="","",INDEX('sheet2-计算明细'!$B$17:$B$219,$X97))</x:f>
        <x:v>东宏启航稳健1号</x:v>
      </x:c>
      <x:c r="C97" s="15" t="str">
        <x:f>IF($X97="","",INDEX('sheet2-计算明细'!$C$17:$C$219,$X97))</x:f>
        <x:v>SAAE31</x:v>
      </x:c>
      <x:c r="D97" s="15" t="str">
        <x:f>IF($X97="","",INDEX('sheet2-计算明细'!$D$17:$D$219,$X97))</x:f>
        <x:v>北京东宏世家资管</x:v>
      </x:c>
      <x:c r="E97" s="15" t="str">
        <x:f>IF($X97="","",INDEX('sheet2-计算明细'!$G$17:$G$219,$X97))</x:f>
        <x:v>入池</x:v>
      </x:c>
      <x:c r="F97" s="16" t="n">
        <x:f>IF($X97="","",INDEX('sheet2-计算明细'!$I$17:$I$219,$X97))</x:f>
        <x:v>70</x:v>
      </x:c>
      <x:c r="G97" s="16" t="n">
        <x:f>IF($X97="","",INDEX('sheet2-计算明细'!$K$17:$K$219,$X97))</x:f>
        <x:v>100</x:v>
      </x:c>
      <x:c r="H97" s="16" t="n">
        <x:f>IF($X97="","",INDEX('sheet2-计算明细'!$L$17:$L$219,$X97))</x:f>
        <x:v>100</x:v>
      </x:c>
      <x:c r="I97" s="16" t="n">
        <x:f>IF($X97="","",INDEX('sheet2-计算明细'!$S$17:$S$219,$X97))</x:f>
        <x:v>67.42</x:v>
      </x:c>
      <x:c r="J97" s="16" t="n">
        <x:f>IF($X97="","",INDEX('sheet2-计算明细'!$Y$17:$Y$219,$X97))</x:f>
        <x:v>79.11</x:v>
      </x:c>
      <x:c r="K97" s="16" t="n">
        <x:f>IF($X97="","",INDEX('sheet2-计算明细'!$AC$17:$AC$219,$X97))</x:f>
        <x:v>37.13</x:v>
      </x:c>
      <x:c r="L97" s="16" t="n">
        <x:f>IF($X97="","",INDEX('sheet2-计算明细'!$AI$17:$AI$219,$X97))</x:f>
        <x:v>60.39</x:v>
      </x:c>
      <x:c r="M97" s="16" t="n">
        <x:f>IF($X97="","",INDEX('sheet2-计算明细'!$AK$17:$AK$219,$X97))</x:f>
        <x:v>100</x:v>
      </x:c>
      <x:c r="N97" s="17" t="n">
        <x:f t="shared" si="7">IF(ISNUMBER(INDEX('sheet2-计算明细'!$AL$17:$AL$219,$X97)),INDEX('sheet2-计算明细'!$AL$17:$AL$219,$X97),"")</x:f>
        <x:v>88</x:v>
      </x:c>
      <x:c r="O97" s="17" t="n">
        <x:f t="shared" si="8">IF(ISNUMBER(INDEX('sheet2-计算明细'!$AM$17:$AM$219,$X97)),INDEX('sheet2-计算明细'!$AM$17:$AM$219,$X97),"")</x:f>
        <x:v>70.93</x:v>
      </x:c>
      <x:c r="P97" s="17" t="n">
        <x:f t="shared" si="9">IF(ISNUMBER(INDEX('sheet2-计算明细'!$AN$17:$AN$219,$X97)),INDEX('sheet2-计算明细'!$AN$17:$AN$219,$X97),"")</x:f>
        <x:v>37.13</x:v>
      </x:c>
      <x:c r="Q97" s="17" t="n">
        <x:f t="shared" si="10">IF(ISNUMBER(INDEX('sheet2-计算明细'!$AO$17:$AO$219,$X97)),INDEX('sheet2-计算明细'!$AO$17:$AO$219,$X97),"")</x:f>
        <x:v>60.39</x:v>
      </x:c>
      <x:c r="R97" s="17" t="n">
        <x:f t="shared" si="11">IF(ISNUMBER(INDEX('sheet2-计算明细'!$AP$17:$AP$219,$X97)),INDEX('sheet2-计算明细'!$AP$17:$AP$219,$X97),"")</x:f>
        <x:v>100</x:v>
      </x:c>
      <x:c r="S97" s="18" t="n">
        <x:f>IF($X97="","",INDEX('sheet2-计算明细'!$AQ$17:$AQ$219,$X97))</x:f>
        <x:v>1</x:v>
      </x:c>
      <x:c r="T97" s="16" t="n">
        <x:f>IF($X97="","",INDEX('sheet2-计算明细'!$AR$17:$AR$219,$X97))</x:f>
        <x:v>64.78407999999999</x:v>
      </x:c>
      <x:c r="U97" s="17" t="n">
        <x:f t="shared" si="12">IF(S97=0,"",ROUND(T97/S97,2))</x:f>
        <x:v>64.78</x:v>
      </x:c>
      <x:c r="V97" s="17" t="n">
        <x:f t="shared" si="13">IF(ABS(S97-1)&lt;0.00000001,T97,"")</x:f>
        <x:v>64.78407999999999</x:v>
      </x:c>
      <x:c r="W97" s="19" t="str">
        <x:f>IF($X97="","",INDEX('sheet2-计算明细'!$AU$17:$AU$219,$X97))</x:f>
      </x:c>
      <x:c r="X97" s="15" t="n">
        <x:f>IF($A97&gt;COUNT('sheet2-计算明细'!$AT$17:$AT$219),"",MATCH($A97,'sheet2-计算明细'!$AT$17:$AT$219,0))</x:f>
        <x:v>188</x:v>
      </x:c>
    </x:row>
    <x:row r="98" ht="28" customHeight="1">
      <x:c r="A98" s="4" t="n">
        <x:v>93</x:v>
      </x:c>
      <x:c r="B98" s="15" t="str">
        <x:f>IF($X98="","",INDEX('sheet2-计算明细'!$B$17:$B$219,$X98))</x:f>
        <x:v>汇富联合日盈12号</x:v>
      </x:c>
      <x:c r="C98" s="15" t="str">
        <x:f>IF($X98="","",INDEX('sheet2-计算明细'!$C$17:$C$219,$X98))</x:f>
        <x:v>SVQ519</x:v>
      </x:c>
      <x:c r="D98" s="15" t="str">
        <x:f>IF($X98="","",INDEX('sheet2-计算明细'!$D$17:$D$219,$X98))</x:f>
        <x:v>深圳前海汇富联合</x:v>
      </x:c>
      <x:c r="E98" s="15" t="str">
        <x:f>IF($X98="","",INDEX('sheet2-计算明细'!$G$17:$G$219,$X98))</x:f>
        <x:v>入池</x:v>
      </x:c>
      <x:c r="F98" s="16" t="n">
        <x:f>IF($X98="","",INDEX('sheet2-计算明细'!$I$17:$I$219,$X98))</x:f>
        <x:v>90</x:v>
      </x:c>
      <x:c r="G98" s="16" t="n">
        <x:f>IF($X98="","",INDEX('sheet2-计算明细'!$K$17:$K$219,$X98))</x:f>
        <x:v>100</x:v>
      </x:c>
      <x:c r="H98" s="16" t="n">
        <x:f>IF($X98="","",INDEX('sheet2-计算明细'!$L$17:$L$219,$X98))</x:f>
        <x:v>100</x:v>
      </x:c>
      <x:c r="I98" s="16" t="n">
        <x:f>IF($X98="","",INDEX('sheet2-计算明细'!$S$17:$S$219,$X98))</x:f>
        <x:v>60.1</x:v>
      </x:c>
      <x:c r="J98" s="16" t="n">
        <x:f>IF($X98="","",INDEX('sheet2-计算明细'!$Y$17:$Y$219,$X98))</x:f>
        <x:v>80.77</x:v>
      </x:c>
      <x:c r="K98" s="16" t="n">
        <x:f>IF($X98="","",INDEX('sheet2-计算明细'!$AC$17:$AC$219,$X98))</x:f>
        <x:v>41.09</x:v>
      </x:c>
      <x:c r="L98" s="16" t="n">
        <x:f>IF($X98="","",INDEX('sheet2-计算明细'!$AI$17:$AI$219,$X98))</x:f>
        <x:v>54.26</x:v>
      </x:c>
      <x:c r="M98" s="16" t="n">
        <x:f>IF($X98="","",INDEX('sheet2-计算明细'!$AK$17:$AK$219,$X98))</x:f>
        <x:v>100</x:v>
      </x:c>
      <x:c r="N98" s="17" t="n">
        <x:f t="shared" si="7">IF(ISNUMBER(INDEX('sheet2-计算明细'!$AL$17:$AL$219,$X98)),INDEX('sheet2-计算明细'!$AL$17:$AL$219,$X98),"")</x:f>
        <x:v>96</x:v>
      </x:c>
      <x:c r="O98" s="17" t="n">
        <x:f t="shared" si="8">IF(ISNUMBER(INDEX('sheet2-计算明细'!$AM$17:$AM$219,$X98)),INDEX('sheet2-计算明细'!$AM$17:$AM$219,$X98),"")</x:f>
        <x:v>66.3</x:v>
      </x:c>
      <x:c r="P98" s="17" t="n">
        <x:f t="shared" si="9">IF(ISNUMBER(INDEX('sheet2-计算明细'!$AN$17:$AN$219,$X98)),INDEX('sheet2-计算明细'!$AN$17:$AN$219,$X98),"")</x:f>
        <x:v>41.09</x:v>
      </x:c>
      <x:c r="Q98" s="17" t="n">
        <x:f t="shared" si="10">IF(ISNUMBER(INDEX('sheet2-计算明细'!$AO$17:$AO$219,$X98)),INDEX('sheet2-计算明细'!$AO$17:$AO$219,$X98),"")</x:f>
        <x:v>54.26</x:v>
      </x:c>
      <x:c r="R98" s="17" t="n">
        <x:f t="shared" si="11">IF(ISNUMBER(INDEX('sheet2-计算明细'!$AP$17:$AP$219,$X98)),INDEX('sheet2-计算明细'!$AP$17:$AP$219,$X98),"")</x:f>
        <x:v>100</x:v>
      </x:c>
      <x:c r="S98" s="18" t="n">
        <x:f>IF($X98="","",INDEX('sheet2-计算明细'!$AQ$17:$AQ$219,$X98))</x:f>
        <x:v>1</x:v>
      </x:c>
      <x:c r="T98" s="16" t="n">
        <x:f>IF($X98="","",INDEX('sheet2-计算明细'!$AR$17:$AR$219,$X98))</x:f>
        <x:v>64.21114</x:v>
      </x:c>
      <x:c r="U98" s="17" t="n">
        <x:f t="shared" si="12">IF(S98=0,"",ROUND(T98/S98,2))</x:f>
        <x:v>64.21</x:v>
      </x:c>
      <x:c r="V98" s="17" t="n">
        <x:f t="shared" si="13">IF(ABS(S98-1)&lt;0.00000001,T98,"")</x:f>
        <x:v>64.21114</x:v>
      </x:c>
      <x:c r="W98" s="19" t="str">
        <x:f>IF($X98="","",INDEX('sheet2-计算明细'!$AU$17:$AU$219,$X98))</x:f>
      </x:c>
      <x:c r="X98" s="15" t="n">
        <x:f>IF($A98&gt;COUNT('sheet2-计算明细'!$AT$17:$AT$219),"",MATCH($A98,'sheet2-计算明细'!$AT$17:$AT$219,0))</x:f>
        <x:v>48</x:v>
      </x:c>
    </x:row>
    <x:row r="99" ht="28" customHeight="1">
      <x:c r="A99" s="4" t="n">
        <x:v>94</x:v>
      </x:c>
      <x:c r="B99" s="15" t="str">
        <x:f>IF($X99="","",INDEX('sheet2-计算明细'!$B$17:$B$219,$X99))</x:f>
        <x:v>时间稳健1号</x:v>
      </x:c>
      <x:c r="C99" s="15" t="str">
        <x:f>IF($X99="","",INDEX('sheet2-计算明细'!$C$17:$C$219,$X99))</x:f>
        <x:v>SZM840</x:v>
      </x:c>
      <x:c r="D99" s="15" t="str">
        <x:f>IF($X99="","",INDEX('sheet2-计算明细'!$D$17:$D$219,$X99))</x:f>
        <x:v>青岛时间</x:v>
      </x:c>
      <x:c r="E99" s="15" t="str">
        <x:f>IF($X99="","",INDEX('sheet2-计算明细'!$G$17:$G$219,$X99))</x:f>
        <x:v>入池</x:v>
      </x:c>
      <x:c r="F99" s="16" t="n">
        <x:f>IF($X99="","",INDEX('sheet2-计算明细'!$I$17:$I$219,$X99))</x:f>
        <x:v>60</x:v>
      </x:c>
      <x:c r="G99" s="16" t="n">
        <x:f>IF($X99="","",INDEX('sheet2-计算明细'!$K$17:$K$219,$X99))</x:f>
        <x:v>100</x:v>
      </x:c>
      <x:c r="H99" s="16" t="n">
        <x:f>IF($X99="","",INDEX('sheet2-计算明细'!$L$17:$L$219,$X99))</x:f>
        <x:v>100</x:v>
      </x:c>
      <x:c r="I99" s="16" t="n">
        <x:f>IF($X99="","",INDEX('sheet2-计算明细'!$S$17:$S$219,$X99))</x:f>
        <x:v>97.12</x:v>
      </x:c>
      <x:c r="J99" s="16" t="n">
        <x:f>IF($X99="","",INDEX('sheet2-计算明细'!$Y$17:$Y$219,$X99))</x:f>
        <x:v>70.77</x:v>
      </x:c>
      <x:c r="K99" s="16" t="n">
        <x:f>IF($X99="","",INDEX('sheet2-计算明细'!$AC$17:$AC$219,$X99))</x:f>
        <x:v>7.92</x:v>
      </x:c>
      <x:c r="L99" s="16" t="n">
        <x:f>IF($X99="","",INDEX('sheet2-计算明细'!$AI$17:$AI$219,$X99))</x:f>
        <x:v>78.86</x:v>
      </x:c>
      <x:c r="M99" s="16" t="n">
        <x:f>IF($X99="","",INDEX('sheet2-计算明细'!$AK$17:$AK$219,$X99))</x:f>
        <x:v>80</x:v>
      </x:c>
      <x:c r="N99" s="17" t="n">
        <x:f t="shared" si="7">IF(ISNUMBER(INDEX('sheet2-计算明细'!$AL$17:$AL$219,$X99)),INDEX('sheet2-计算明细'!$AL$17:$AL$219,$X99),"")</x:f>
        <x:v>84</x:v>
      </x:c>
      <x:c r="O99" s="17" t="n">
        <x:f t="shared" si="8">IF(ISNUMBER(INDEX('sheet2-计算明细'!$AM$17:$AM$219,$X99)),INDEX('sheet2-计算明细'!$AM$17:$AM$219,$X99),"")</x:f>
        <x:v>89.22</x:v>
      </x:c>
      <x:c r="P99" s="17" t="n">
        <x:f t="shared" si="9">IF(ISNUMBER(INDEX('sheet2-计算明细'!$AN$17:$AN$219,$X99)),INDEX('sheet2-计算明细'!$AN$17:$AN$219,$X99),"")</x:f>
        <x:v>7.92</x:v>
      </x:c>
      <x:c r="Q99" s="17" t="n">
        <x:f t="shared" si="10">IF(ISNUMBER(INDEX('sheet2-计算明细'!$AO$17:$AO$219,$X99)),INDEX('sheet2-计算明细'!$AO$17:$AO$219,$X99),"")</x:f>
        <x:v>78.86</x:v>
      </x:c>
      <x:c r="R99" s="17" t="n">
        <x:f t="shared" si="11">IF(ISNUMBER(INDEX('sheet2-计算明细'!$AP$17:$AP$219,$X99)),INDEX('sheet2-计算明细'!$AP$17:$AP$219,$X99),"")</x:f>
        <x:v>80</x:v>
      </x:c>
      <x:c r="S99" s="18" t="n">
        <x:f>IF($X99="","",INDEX('sheet2-计算明细'!$AQ$17:$AQ$219,$X99))</x:f>
        <x:v>1</x:v>
      </x:c>
      <x:c r="T99" s="16" t="n">
        <x:f>IF($X99="","",INDEX('sheet2-计算明细'!$AR$17:$AR$219,$X99))</x:f>
        <x:v>64.08274</x:v>
      </x:c>
      <x:c r="U99" s="17" t="n">
        <x:f t="shared" si="12">IF(S99=0,"",ROUND(T99/S99,2))</x:f>
        <x:v>64.08</x:v>
      </x:c>
      <x:c r="V99" s="17" t="n">
        <x:f t="shared" si="13">IF(ABS(S99-1)&lt;0.00000001,T99,"")</x:f>
        <x:v>64.08274</x:v>
      </x:c>
      <x:c r="W99" s="19" t="str">
        <x:f>IF($X99="","",INDEX('sheet2-计算明细'!$AU$17:$AU$219,$X99))</x:f>
      </x:c>
      <x:c r="X99" s="15" t="n">
        <x:f>IF($A99&gt;COUNT('sheet2-计算明细'!$AT$17:$AT$219),"",MATCH($A99,'sheet2-计算明细'!$AT$17:$AT$219,0))</x:f>
        <x:v>82</x:v>
      </x:c>
    </x:row>
    <x:row r="100" ht="28" customHeight="1">
      <x:c r="A100" s="4" t="n">
        <x:v>95</x:v>
      </x:c>
      <x:c r="B100" s="15" t="str">
        <x:f>IF($X100="","",INDEX('sheet2-计算明细'!$B$17:$B$219,$X100))</x:f>
        <x:v>晨翰11号</x:v>
      </x:c>
      <x:c r="C100" s="15" t="str">
        <x:f>IF($X100="","",INDEX('sheet2-计算明细'!$C$17:$C$219,$X100))</x:f>
        <x:v>SVT598</x:v>
      </x:c>
      <x:c r="D100" s="15" t="str">
        <x:f>IF($X100="","",INDEX('sheet2-计算明细'!$D$17:$D$219,$X100))</x:f>
        <x:v>晋江晨翰</x:v>
      </x:c>
      <x:c r="E100" s="15" t="str">
        <x:f>IF($X100="","",INDEX('sheet2-计算明细'!$G$17:$G$219,$X100))</x:f>
        <x:v>入池</x:v>
      </x:c>
      <x:c r="F100" s="16" t="n">
        <x:f>IF($X100="","",INDEX('sheet2-计算明细'!$I$17:$I$219,$X100))</x:f>
        <x:v>70</x:v>
      </x:c>
      <x:c r="G100" s="16" t="n">
        <x:f>IF($X100="","",INDEX('sheet2-计算明细'!$K$17:$K$219,$X100))</x:f>
        <x:v>100</x:v>
      </x:c>
      <x:c r="H100" s="16" t="n">
        <x:f>IF($X100="","",INDEX('sheet2-计算明细'!$L$17:$L$219,$X100))</x:f>
        <x:v>100</x:v>
      </x:c>
      <x:c r="I100" s="16" t="n">
        <x:f>IF($X100="","",INDEX('sheet2-计算明细'!$S$17:$S$219,$X100))</x:f>
        <x:v>29.41</x:v>
      </x:c>
      <x:c r="J100" s="16" t="n">
        <x:f>IF($X100="","",INDEX('sheet2-计算明细'!$Y$17:$Y$219,$X100))</x:f>
        <x:v>63.59</x:v>
      </x:c>
      <x:c r="K100" s="16" t="n">
        <x:f>IF($X100="","",INDEX('sheet2-计算明细'!$AC$17:$AC$219,$X100))</x:f>
        <x:v>70.79</x:v>
      </x:c>
      <x:c r="L100" s="16" t="n">
        <x:f>IF($X100="","",INDEX('sheet2-计算明细'!$AI$17:$AI$219,$X100))</x:f>
        <x:v>50.27</x:v>
      </x:c>
      <x:c r="M100" s="16" t="n">
        <x:f>IF($X100="","",INDEX('sheet2-计算明细'!$AK$17:$AK$219,$X100))</x:f>
        <x:v>100</x:v>
      </x:c>
      <x:c r="N100" s="17" t="n">
        <x:f t="shared" si="7">IF(ISNUMBER(INDEX('sheet2-计算明细'!$AL$17:$AL$219,$X100)),INDEX('sheet2-计算明细'!$AL$17:$AL$219,$X100),"")</x:f>
        <x:v>88</x:v>
      </x:c>
      <x:c r="O100" s="17" t="n">
        <x:f t="shared" si="8">IF(ISNUMBER(INDEX('sheet2-计算明细'!$AM$17:$AM$219,$X100)),INDEX('sheet2-计算明细'!$AM$17:$AM$219,$X100),"")</x:f>
        <x:v>39.66</x:v>
      </x:c>
      <x:c r="P100" s="17" t="n">
        <x:f t="shared" si="9">IF(ISNUMBER(INDEX('sheet2-计算明细'!$AN$17:$AN$219,$X100)),INDEX('sheet2-计算明细'!$AN$17:$AN$219,$X100),"")</x:f>
        <x:v>70.79</x:v>
      </x:c>
      <x:c r="Q100" s="17" t="n">
        <x:f t="shared" si="10">IF(ISNUMBER(INDEX('sheet2-计算明细'!$AO$17:$AO$219,$X100)),INDEX('sheet2-计算明细'!$AO$17:$AO$219,$X100),"")</x:f>
        <x:v>50.27</x:v>
      </x:c>
      <x:c r="R100" s="17" t="n">
        <x:f t="shared" si="11">IF(ISNUMBER(INDEX('sheet2-计算明细'!$AP$17:$AP$219,$X100)),INDEX('sheet2-计算明细'!$AP$17:$AP$219,$X100),"")</x:f>
        <x:v>100</x:v>
      </x:c>
      <x:c r="S100" s="18" t="n">
        <x:f>IF($X100="","",INDEX('sheet2-计算明细'!$AQ$17:$AQ$219,$X100))</x:f>
        <x:v>1</x:v>
      </x:c>
      <x:c r="T100" s="16" t="n">
        <x:f>IF($X100="","",INDEX('sheet2-计算明细'!$AR$17:$AR$219,$X100))</x:f>
        <x:v>63.910259999999994</x:v>
      </x:c>
      <x:c r="U100" s="17" t="n">
        <x:f t="shared" si="12">IF(S100=0,"",ROUND(T100/S100,2))</x:f>
        <x:v>63.91</x:v>
      </x:c>
      <x:c r="V100" s="17" t="n">
        <x:f t="shared" si="13">IF(ABS(S100-1)&lt;0.00000001,T100,"")</x:f>
        <x:v>63.910259999999994</x:v>
      </x:c>
      <x:c r="W100" s="19" t="str">
        <x:f>IF($X100="","",INDEX('sheet2-计算明细'!$AU$17:$AU$219,$X100))</x:f>
      </x:c>
      <x:c r="X100" s="15" t="n">
        <x:f>IF($A100&gt;COUNT('sheet2-计算明细'!$AT$17:$AT$219),"",MATCH($A100,'sheet2-计算明细'!$AT$17:$AT$219,0))</x:f>
        <x:v>50</x:v>
      </x:c>
    </x:row>
    <x:row r="101" ht="28" customHeight="1">
      <x:c r="A101" s="4" t="n">
        <x:v>96</x:v>
      </x:c>
      <x:c r="B101" s="15" t="str">
        <x:f>IF($X101="","",INDEX('sheet2-计算明细'!$B$17:$B$219,$X101))</x:f>
        <x:v>溋沣鸿运来星选1号B类</x:v>
      </x:c>
      <x:c r="C101" s="15" t="str">
        <x:f>IF($X101="","",INDEX('sheet2-计算明细'!$C$17:$C$219,$X101))</x:f>
        <x:v>09408B</x:v>
      </x:c>
      <x:c r="D101" s="15" t="str">
        <x:f>IF($X101="","",INDEX('sheet2-计算明细'!$D$17:$D$219,$X101))</x:f>
        <x:v>深圳前海溋沣资管</x:v>
      </x:c>
      <x:c r="E101" s="15" t="str">
        <x:f>IF($X101="","",INDEX('sheet2-计算明细'!$G$17:$G$219,$X101))</x:f>
        <x:v>入池</x:v>
      </x:c>
      <x:c r="F101" s="16" t="n">
        <x:f>IF($X101="","",INDEX('sheet2-计算明细'!$I$17:$I$219,$X101))</x:f>
        <x:v>60</x:v>
      </x:c>
      <x:c r="G101" s="16" t="str">
        <x:f>IF($X101="","",INDEX('sheet2-计算明细'!$K$17:$K$219,$X101))</x:f>
      </x:c>
      <x:c r="H101" s="16" t="n">
        <x:f>IF($X101="","",INDEX('sheet2-计算明细'!$L$17:$L$219,$X101))</x:f>
        <x:v>100</x:v>
      </x:c>
      <x:c r="I101" s="16" t="n">
        <x:f>IF($X101="","",INDEX('sheet2-计算明细'!$S$17:$S$219,$X101))</x:f>
        <x:v>47.72</x:v>
      </x:c>
      <x:c r="J101" s="16" t="n">
        <x:f>IF($X101="","",INDEX('sheet2-计算明细'!$Y$17:$Y$219,$X101))</x:f>
        <x:v>79.49</x:v>
      </x:c>
      <x:c r="K101" s="16" t="n">
        <x:f>IF($X101="","",INDEX('sheet2-计算明细'!$AC$17:$AC$219,$X101))</x:f>
        <x:v>65.35</x:v>
      </x:c>
      <x:c r="L101" s="16" t="n">
        <x:f>IF($X101="","",INDEX('sheet2-计算明细'!$AI$17:$AI$219,$X101))</x:f>
        <x:v>50.07</x:v>
      </x:c>
      <x:c r="M101" s="16" t="n">
        <x:f>IF($X101="","",INDEX('sheet2-计算明细'!$AK$17:$AK$219,$X101))</x:f>
        <x:v>100</x:v>
      </x:c>
      <x:c r="N101" s="17" t="n">
        <x:f t="shared" si="7">IF(ISNUMBER(INDEX('sheet2-计算明细'!$AL$17:$AL$219,$X101)),INDEX('sheet2-计算明细'!$AL$17:$AL$219,$X101),"")</x:f>
        <x:v>77.14</x:v>
      </x:c>
      <x:c r="O101" s="17" t="n">
        <x:f t="shared" si="8">IF(ISNUMBER(INDEX('sheet2-计算明细'!$AM$17:$AM$219,$X101)),INDEX('sheet2-计算明细'!$AM$17:$AM$219,$X101),"")</x:f>
        <x:v>57.25</x:v>
      </x:c>
      <x:c r="P101" s="17" t="n">
        <x:f t="shared" si="9">IF(ISNUMBER(INDEX('sheet2-计算明细'!$AN$17:$AN$219,$X101)),INDEX('sheet2-计算明细'!$AN$17:$AN$219,$X101),"")</x:f>
        <x:v>65.35</x:v>
      </x:c>
      <x:c r="Q101" s="17" t="n">
        <x:f t="shared" si="10">IF(ISNUMBER(INDEX('sheet2-计算明细'!$AO$17:$AO$219,$X101)),INDEX('sheet2-计算明细'!$AO$17:$AO$219,$X101),"")</x:f>
        <x:v>50.07</x:v>
      </x:c>
      <x:c r="R101" s="17" t="n">
        <x:f t="shared" si="11">IF(ISNUMBER(INDEX('sheet2-计算明细'!$AP$17:$AP$219,$X101)),INDEX('sheet2-计算明细'!$AP$17:$AP$219,$X101),"")</x:f>
        <x:v>100</x:v>
      </x:c>
      <x:c r="S101" s="18" t="n">
        <x:f>IF($X101="","",INDEX('sheet2-计算明细'!$AQ$17:$AQ$219,$X101))</x:f>
        <x:v>0.9550000000000001</x:v>
      </x:c>
      <x:c r="T101" s="16" t="n">
        <x:f>IF($X101="","",INDEX('sheet2-计算明细'!$AR$17:$AR$219,$X101))</x:f>
        <x:v>60.908379999999994</x:v>
      </x:c>
      <x:c r="U101" s="17" t="n">
        <x:f t="shared" si="12">IF(S101=0,"",ROUND(T101/S101,2))</x:f>
        <x:v>63.78</x:v>
      </x:c>
      <x:c r="V101" s="17" t="str">
        <x:f t="shared" si="13">IF(ABS(S101-1)&lt;0.00000001,T101,"")</x:f>
      </x:c>
      <x:c r="W101" s="19" t="str">
        <x:f>IF($X101="","",INDEX('sheet2-计算明细'!$AU$17:$AU$219,$X101))</x:f>
        <x:v>产品规模标识；</x:v>
      </x:c>
      <x:c r="X101" s="15" t="n">
        <x:f>IF($A101&gt;COUNT('sheet2-计算明细'!$AT$17:$AT$219),"",MATCH($A101,'sheet2-计算明细'!$AT$17:$AT$219,0))</x:f>
        <x:v>191</x:v>
      </x:c>
    </x:row>
    <x:row r="102" ht="28" customHeight="1">
      <x:c r="A102" s="4" t="n">
        <x:v>97</x:v>
      </x:c>
      <x:c r="B102" s="15" t="str">
        <x:f>IF($X102="","",INDEX('sheet2-计算明细'!$B$17:$B$219,$X102))</x:f>
        <x:v>滨风风云瑞丰1号</x:v>
      </x:c>
      <x:c r="C102" s="15" t="str">
        <x:f>IF($X102="","",INDEX('sheet2-计算明细'!$C$17:$C$219,$X102))</x:f>
        <x:v>SXL267</x:v>
      </x:c>
      <x:c r="D102" s="15" t="str">
        <x:f>IF($X102="","",INDEX('sheet2-计算明细'!$D$17:$D$219,$X102))</x:f>
        <x:v>鹰潭滨风投资</x:v>
      </x:c>
      <x:c r="E102" s="15" t="str">
        <x:f>IF($X102="","",INDEX('sheet2-计算明细'!$G$17:$G$219,$X102))</x:f>
        <x:v>入池</x:v>
      </x:c>
      <x:c r="F102" s="16" t="n">
        <x:f>IF($X102="","",INDEX('sheet2-计算明细'!$I$17:$I$219,$X102))</x:f>
        <x:v>70</x:v>
      </x:c>
      <x:c r="G102" s="16" t="n">
        <x:f>IF($X102="","",INDEX('sheet2-计算明细'!$K$17:$K$219,$X102))</x:f>
        <x:v>100</x:v>
      </x:c>
      <x:c r="H102" s="16" t="n">
        <x:f>IF($X102="","",INDEX('sheet2-计算明细'!$L$17:$L$219,$X102))</x:f>
        <x:v>100</x:v>
      </x:c>
      <x:c r="I102" s="16" t="n">
        <x:f>IF($X102="","",INDEX('sheet2-计算明细'!$S$17:$S$219,$X102))</x:f>
        <x:v>94.95</x:v>
      </x:c>
      <x:c r="J102" s="16" t="n">
        <x:f>IF($X102="","",INDEX('sheet2-计算明细'!$Y$17:$Y$219,$X102))</x:f>
        <x:v>66.54</x:v>
      </x:c>
      <x:c r="K102" s="16" t="n">
        <x:f>IF($X102="","",INDEX('sheet2-计算明细'!$AC$17:$AC$219,$X102))</x:f>
        <x:v>17.33</x:v>
      </x:c>
      <x:c r="L102" s="16" t="n">
        <x:f>IF($X102="","",INDEX('sheet2-计算明细'!$AI$17:$AI$219,$X102))</x:f>
        <x:v>57.71</x:v>
      </x:c>
      <x:c r="M102" s="16" t="n">
        <x:f>IF($X102="","",INDEX('sheet2-计算明细'!$AK$17:$AK$219,$X102))</x:f>
        <x:v>100</x:v>
      </x:c>
      <x:c r="N102" s="17" t="n">
        <x:f t="shared" si="7">IF(ISNUMBER(INDEX('sheet2-计算明细'!$AL$17:$AL$219,$X102)),INDEX('sheet2-计算明细'!$AL$17:$AL$219,$X102),"")</x:f>
        <x:v>88</x:v>
      </x:c>
      <x:c r="O102" s="17" t="n">
        <x:f t="shared" si="8">IF(ISNUMBER(INDEX('sheet2-计算明细'!$AM$17:$AM$219,$X102)),INDEX('sheet2-计算明细'!$AM$17:$AM$219,$X102),"")</x:f>
        <x:v>86.42</x:v>
      </x:c>
      <x:c r="P102" s="17" t="n">
        <x:f t="shared" si="9">IF(ISNUMBER(INDEX('sheet2-计算明细'!$AN$17:$AN$219,$X102)),INDEX('sheet2-计算明细'!$AN$17:$AN$219,$X102),"")</x:f>
        <x:v>17.33</x:v>
      </x:c>
      <x:c r="Q102" s="17" t="n">
        <x:f t="shared" si="10">IF(ISNUMBER(INDEX('sheet2-计算明细'!$AO$17:$AO$219,$X102)),INDEX('sheet2-计算明细'!$AO$17:$AO$219,$X102),"")</x:f>
        <x:v>57.71</x:v>
      </x:c>
      <x:c r="R102" s="17" t="n">
        <x:f t="shared" si="11">IF(ISNUMBER(INDEX('sheet2-计算明细'!$AP$17:$AP$219,$X102)),INDEX('sheet2-计算明细'!$AP$17:$AP$219,$X102),"")</x:f>
        <x:v>100</x:v>
      </x:c>
      <x:c r="S102" s="18" t="n">
        <x:f>IF($X102="","",INDEX('sheet2-计算明细'!$AQ$17:$AQ$219,$X102))</x:f>
        <x:v>0.88</x:v>
      </x:c>
      <x:c r="T102" s="16" t="n">
        <x:f>IF($X102="","",INDEX('sheet2-计算明细'!$AR$17:$AR$219,$X102))</x:f>
        <x:v>55.20504769230769</x:v>
      </x:c>
      <x:c r="U102" s="17" t="n">
        <x:f t="shared" si="12">IF(S102=0,"",ROUND(T102/S102,2))</x:f>
        <x:v>62.73</x:v>
      </x:c>
      <x:c r="V102" s="17" t="str">
        <x:f t="shared" si="13">IF(ABS(S102-1)&lt;0.00000001,T102,"")</x:f>
      </x:c>
      <x:c r="W102" s="19" t="str">
        <x:f>IF($X102="","",INDEX('sheet2-计算明细'!$AU$17:$AU$219,$X102))</x:f>
        <x:v>DD_long不可识别；</x:v>
      </x:c>
      <x:c r="X102" s="15" t="n">
        <x:f>IF($A102&gt;COUNT('sheet2-计算明细'!$AT$17:$AT$219),"",MATCH($A102,'sheet2-计算明细'!$AT$17:$AT$219,0))</x:f>
        <x:v>203</x:v>
      </x:c>
    </x:row>
    <x:row r="103" ht="28" customHeight="1">
      <x:c r="A103" s="4" t="n">
        <x:v>98</x:v>
      </x:c>
      <x:c r="B103" s="15" t="str">
        <x:f>IF($X103="","",INDEX('sheet2-计算明细'!$B$17:$B$219,$X103))</x:f>
        <x:v>泰创稳健三号</x:v>
      </x:c>
      <x:c r="C103" s="15" t="str">
        <x:f>IF($X103="","",INDEX('sheet2-计算明细'!$C$17:$C$219,$X103))</x:f>
        <x:v>SZD744</x:v>
      </x:c>
      <x:c r="D103" s="15" t="str">
        <x:f>IF($X103="","",INDEX('sheet2-计算明细'!$D$17:$D$219,$X103))</x:f>
        <x:v>北京泰创投资</x:v>
      </x:c>
      <x:c r="E103" s="15" t="str">
        <x:f>IF($X103="","",INDEX('sheet2-计算明细'!$G$17:$G$219,$X103))</x:f>
        <x:v>入池</x:v>
      </x:c>
      <x:c r="F103" s="16" t="n">
        <x:f>IF($X103="","",INDEX('sheet2-计算明细'!$I$17:$I$219,$X103))</x:f>
        <x:v>70</x:v>
      </x:c>
      <x:c r="G103" s="16" t="n">
        <x:f>IF($X103="","",INDEX('sheet2-计算明细'!$K$17:$K$219,$X103))</x:f>
        <x:v>100</x:v>
      </x:c>
      <x:c r="H103" s="16" t="n">
        <x:f>IF($X103="","",INDEX('sheet2-计算明细'!$L$17:$L$219,$X103))</x:f>
        <x:v>100</x:v>
      </x:c>
      <x:c r="I103" s="16" t="n">
        <x:f>IF($X103="","",INDEX('sheet2-计算明细'!$S$17:$S$219,$X103))</x:f>
        <x:v>40.5</x:v>
      </x:c>
      <x:c r="J103" s="16" t="n">
        <x:f>IF($X103="","",INDEX('sheet2-计算明细'!$Y$17:$Y$219,$X103))</x:f>
        <x:v>73.21</x:v>
      </x:c>
      <x:c r="K103" s="16" t="n">
        <x:f>IF($X103="","",INDEX('sheet2-计算明细'!$AC$17:$AC$219,$X103))</x:f>
        <x:v>61.88</x:v>
      </x:c>
      <x:c r="L103" s="16" t="n">
        <x:f>IF($X103="","",INDEX('sheet2-计算明细'!$AI$17:$AI$219,$X103))</x:f>
        <x:v>51.99</x:v>
      </x:c>
      <x:c r="M103" s="16" t="n">
        <x:f>IF($X103="","",INDEX('sheet2-计算明细'!$AK$17:$AK$219,$X103))</x:f>
        <x:v>80</x:v>
      </x:c>
      <x:c r="N103" s="17" t="n">
        <x:f t="shared" si="7">IF(ISNUMBER(INDEX('sheet2-计算明细'!$AL$17:$AL$219,$X103)),INDEX('sheet2-计算明细'!$AL$17:$AL$219,$X103),"")</x:f>
        <x:v>88</x:v>
      </x:c>
      <x:c r="O103" s="17" t="n">
        <x:f t="shared" si="8">IF(ISNUMBER(INDEX('sheet2-计算明细'!$AM$17:$AM$219,$X103)),INDEX('sheet2-计算明细'!$AM$17:$AM$219,$X103),"")</x:f>
        <x:v>50.31</x:v>
      </x:c>
      <x:c r="P103" s="17" t="n">
        <x:f t="shared" si="9">IF(ISNUMBER(INDEX('sheet2-计算明细'!$AN$17:$AN$219,$X103)),INDEX('sheet2-计算明细'!$AN$17:$AN$219,$X103),"")</x:f>
        <x:v>61.88</x:v>
      </x:c>
      <x:c r="Q103" s="17" t="n">
        <x:f t="shared" si="10">IF(ISNUMBER(INDEX('sheet2-计算明细'!$AO$17:$AO$219,$X103)),INDEX('sheet2-计算明细'!$AO$17:$AO$219,$X103),"")</x:f>
        <x:v>51.99</x:v>
      </x:c>
      <x:c r="R103" s="17" t="n">
        <x:f t="shared" si="11">IF(ISNUMBER(INDEX('sheet2-计算明细'!$AP$17:$AP$219,$X103)),INDEX('sheet2-计算明细'!$AP$17:$AP$219,$X103),"")</x:f>
        <x:v>80</x:v>
      </x:c>
      <x:c r="S103" s="18" t="n">
        <x:f>IF($X103="","",INDEX('sheet2-计算明细'!$AQ$17:$AQ$219,$X103))</x:f>
        <x:v>1</x:v>
      </x:c>
      <x:c r="T103" s="16" t="n">
        <x:f>IF($X103="","",INDEX('sheet2-计算明细'!$AR$17:$AR$219,$X103))</x:f>
        <x:v>62.32769</x:v>
      </x:c>
      <x:c r="U103" s="17" t="n">
        <x:f t="shared" si="12">IF(S103=0,"",ROUND(T103/S103,2))</x:f>
        <x:v>62.33</x:v>
      </x:c>
      <x:c r="V103" s="17" t="n">
        <x:f t="shared" si="13">IF(ABS(S103-1)&lt;0.00000001,T103,"")</x:f>
        <x:v>62.32769</x:v>
      </x:c>
      <x:c r="W103" s="19" t="str">
        <x:f>IF($X103="","",INDEX('sheet2-计算明细'!$AU$17:$AU$219,$X103))</x:f>
      </x:c>
      <x:c r="X103" s="15" t="n">
        <x:f>IF($A103&gt;COUNT('sheet2-计算明细'!$AT$17:$AT$219),"",MATCH($A103,'sheet2-计算明细'!$AT$17:$AT$219,0))</x:f>
        <x:v>173</x:v>
      </x:c>
    </x:row>
    <x:row r="104" ht="28" customHeight="1">
      <x:c r="A104" s="4" t="n">
        <x:v>99</x:v>
      </x:c>
      <x:c r="B104" s="15" t="str">
        <x:f>IF($X104="","",INDEX('sheet2-计算明细'!$B$17:$B$219,$X104))</x:f>
        <x:v>守正卓越一号</x:v>
      </x:c>
      <x:c r="C104" s="15" t="str">
        <x:f>IF($X104="","",INDEX('sheet2-计算明细'!$C$17:$C$219,$X104))</x:f>
        <x:v>SVY984</x:v>
      </x:c>
      <x:c r="D104" s="15" t="str">
        <x:f>IF($X104="","",INDEX('sheet2-计算明细'!$D$17:$D$219,$X104))</x:f>
        <x:v>山东守正</x:v>
      </x:c>
      <x:c r="E104" s="15" t="str">
        <x:f>IF($X104="","",INDEX('sheet2-计算明细'!$G$17:$G$219,$X104))</x:f>
        <x:v>入池</x:v>
      </x:c>
      <x:c r="F104" s="16" t="n">
        <x:f>IF($X104="","",INDEX('sheet2-计算明细'!$I$17:$I$219,$X104))</x:f>
        <x:v>60</x:v>
      </x:c>
      <x:c r="G104" s="16" t="n">
        <x:f>IF($X104="","",INDEX('sheet2-计算明细'!$K$17:$K$219,$X104))</x:f>
        <x:v>100</x:v>
      </x:c>
      <x:c r="H104" s="16" t="n">
        <x:f>IF($X104="","",INDEX('sheet2-计算明细'!$L$17:$L$219,$X104))</x:f>
        <x:v>100</x:v>
      </x:c>
      <x:c r="I104" s="16" t="n">
        <x:f>IF($X104="","",INDEX('sheet2-计算明细'!$S$17:$S$219,$X104))</x:f>
        <x:v>64.46</x:v>
      </x:c>
      <x:c r="J104" s="16" t="n">
        <x:f>IF($X104="","",INDEX('sheet2-计算明细'!$Y$17:$Y$219,$X104))</x:f>
        <x:v>86.67</x:v>
      </x:c>
      <x:c r="K104" s="16" t="n">
        <x:f>IF($X104="","",INDEX('sheet2-计算明细'!$AC$17:$AC$219,$X104))</x:f>
        <x:v>19.8</x:v>
      </x:c>
      <x:c r="L104" s="16" t="n">
        <x:f>IF($X104="","",INDEX('sheet2-计算明细'!$AI$17:$AI$219,$X104))</x:f>
        <x:v>73.31</x:v>
      </x:c>
      <x:c r="M104" s="16" t="n">
        <x:f>IF($X104="","",INDEX('sheet2-计算明细'!$AK$17:$AK$219,$X104))</x:f>
        <x:v>80</x:v>
      </x:c>
      <x:c r="N104" s="17" t="n">
        <x:f t="shared" si="7">IF(ISNUMBER(INDEX('sheet2-计算明细'!$AL$17:$AL$219,$X104)),INDEX('sheet2-计算明细'!$AL$17:$AL$219,$X104),"")</x:f>
        <x:v>84</x:v>
      </x:c>
      <x:c r="O104" s="17" t="n">
        <x:f t="shared" si="8">IF(ISNUMBER(INDEX('sheet2-计算明细'!$AM$17:$AM$219,$X104)),INDEX('sheet2-计算明细'!$AM$17:$AM$219,$X104),"")</x:f>
        <x:v>71.12</x:v>
      </x:c>
      <x:c r="P104" s="17" t="n">
        <x:f t="shared" si="9">IF(ISNUMBER(INDEX('sheet2-计算明细'!$AN$17:$AN$219,$X104)),INDEX('sheet2-计算明细'!$AN$17:$AN$219,$X104),"")</x:f>
        <x:v>19.8</x:v>
      </x:c>
      <x:c r="Q104" s="17" t="n">
        <x:f t="shared" si="10">IF(ISNUMBER(INDEX('sheet2-计算明细'!$AO$17:$AO$219,$X104)),INDEX('sheet2-计算明细'!$AO$17:$AO$219,$X104),"")</x:f>
        <x:v>73.31</x:v>
      </x:c>
      <x:c r="R104" s="17" t="n">
        <x:f t="shared" si="11">IF(ISNUMBER(INDEX('sheet2-计算明细'!$AP$17:$AP$219,$X104)),INDEX('sheet2-计算明细'!$AP$17:$AP$219,$X104),"")</x:f>
        <x:v>80</x:v>
      </x:c>
      <x:c r="S104" s="18" t="n">
        <x:f>IF($X104="","",INDEX('sheet2-计算明细'!$AQ$17:$AQ$219,$X104))</x:f>
        <x:v>1</x:v>
      </x:c>
      <x:c r="T104" s="16" t="n">
        <x:f>IF($X104="","",INDEX('sheet2-计算明细'!$AR$17:$AR$219,$X104))</x:f>
        <x:v>61.76690000000001</x:v>
      </x:c>
      <x:c r="U104" s="17" t="n">
        <x:f t="shared" si="12">IF(S104=0,"",ROUND(T104/S104,2))</x:f>
        <x:v>61.77</x:v>
      </x:c>
      <x:c r="V104" s="17" t="n">
        <x:f t="shared" si="13">IF(ABS(S104-1)&lt;0.00000001,T104,"")</x:f>
        <x:v>61.76690000000001</x:v>
      </x:c>
      <x:c r="W104" s="19" t="str">
        <x:f>IF($X104="","",INDEX('sheet2-计算明细'!$AU$17:$AU$219,$X104))</x:f>
      </x:c>
      <x:c r="X104" s="15" t="n">
        <x:f>IF($A104&gt;COUNT('sheet2-计算明细'!$AT$17:$AT$219),"",MATCH($A104,'sheet2-计算明细'!$AT$17:$AT$219,0))</x:f>
        <x:v>153</x:v>
      </x:c>
    </x:row>
    <x:row r="105" ht="28" customHeight="1">
      <x:c r="A105" s="4" t="n">
        <x:v>100</x:v>
      </x:c>
      <x:c r="B105" s="15" t="str">
        <x:f>IF($X105="","",INDEX('sheet2-计算明细'!$B$17:$B$219,$X105))</x:f>
        <x:v>龙帆恒盛稳固8号</x:v>
      </x:c>
      <x:c r="C105" s="15" t="str">
        <x:f>IF($X105="","",INDEX('sheet2-计算明细'!$C$17:$C$219,$X105))</x:f>
        <x:v>SSU654</x:v>
      </x:c>
      <x:c r="D105" s="15" t="str">
        <x:f>IF($X105="","",INDEX('sheet2-计算明细'!$D$17:$D$219,$X105))</x:f>
        <x:v>厦门龙帆资管</x:v>
      </x:c>
      <x:c r="E105" s="15" t="str">
        <x:f>IF($X105="","",INDEX('sheet2-计算明细'!$G$17:$G$219,$X105))</x:f>
        <x:v>入池</x:v>
      </x:c>
      <x:c r="F105" s="16" t="n">
        <x:f>IF($X105="","",INDEX('sheet2-计算明细'!$I$17:$I$219,$X105))</x:f>
        <x:v>70</x:v>
      </x:c>
      <x:c r="G105" s="16" t="n">
        <x:f>IF($X105="","",INDEX('sheet2-计算明细'!$K$17:$K$219,$X105))</x:f>
        <x:v>100</x:v>
      </x:c>
      <x:c r="H105" s="16" t="n">
        <x:f>IF($X105="","",INDEX('sheet2-计算明细'!$L$17:$L$219,$X105))</x:f>
        <x:v>100</x:v>
      </x:c>
      <x:c r="I105" s="16" t="n">
        <x:f>IF($X105="","",INDEX('sheet2-计算明细'!$S$17:$S$219,$X105))</x:f>
        <x:v>53.96</x:v>
      </x:c>
      <x:c r="J105" s="16" t="n">
        <x:f>IF($X105="","",INDEX('sheet2-计算明细'!$Y$17:$Y$219,$X105))</x:f>
        <x:v>77.44</x:v>
      </x:c>
      <x:c r="K105" s="16" t="n">
        <x:f>IF($X105="","",INDEX('sheet2-计算明细'!$AC$17:$AC$219,$X105))</x:f>
        <x:v>42.82</x:v>
      </x:c>
      <x:c r="L105" s="16" t="n">
        <x:f>IF($X105="","",INDEX('sheet2-计算明细'!$AI$17:$AI$219,$X105))</x:f>
        <x:v>50.85</x:v>
      </x:c>
      <x:c r="M105" s="16" t="n">
        <x:f>IF($X105="","",INDEX('sheet2-计算明细'!$AK$17:$AK$219,$X105))</x:f>
        <x:v>100</x:v>
      </x:c>
      <x:c r="N105" s="17" t="n">
        <x:f t="shared" si="7">IF(ISNUMBER(INDEX('sheet2-计算明细'!$AL$17:$AL$219,$X105)),INDEX('sheet2-计算明细'!$AL$17:$AL$219,$X105),"")</x:f>
        <x:v>88</x:v>
      </x:c>
      <x:c r="O105" s="17" t="n">
        <x:f t="shared" si="8">IF(ISNUMBER(INDEX('sheet2-计算明细'!$AM$17:$AM$219,$X105)),INDEX('sheet2-计算明细'!$AM$17:$AM$219,$X105),"")</x:f>
        <x:v>61</x:v>
      </x:c>
      <x:c r="P105" s="17" t="n">
        <x:f t="shared" si="9">IF(ISNUMBER(INDEX('sheet2-计算明细'!$AN$17:$AN$219,$X105)),INDEX('sheet2-计算明细'!$AN$17:$AN$219,$X105),"")</x:f>
        <x:v>42.82</x:v>
      </x:c>
      <x:c r="Q105" s="17" t="n">
        <x:f t="shared" si="10">IF(ISNUMBER(INDEX('sheet2-计算明细'!$AO$17:$AO$219,$X105)),INDEX('sheet2-计算明细'!$AO$17:$AO$219,$X105),"")</x:f>
        <x:v>50.85</x:v>
      </x:c>
      <x:c r="R105" s="17" t="n">
        <x:f t="shared" si="11">IF(ISNUMBER(INDEX('sheet2-计算明细'!$AP$17:$AP$219,$X105)),INDEX('sheet2-计算明细'!$AP$17:$AP$219,$X105),"")</x:f>
        <x:v>100</x:v>
      </x:c>
      <x:c r="S105" s="18" t="n">
        <x:f>IF($X105="","",INDEX('sheet2-计算明细'!$AQ$17:$AQ$219,$X105))</x:f>
        <x:v>1</x:v>
      </x:c>
      <x:c r="T105" s="16" t="n">
        <x:f>IF($X105="","",INDEX('sheet2-计算明细'!$AR$17:$AR$219,$X105))</x:f>
        <x:v>61.36027</x:v>
      </x:c>
      <x:c r="U105" s="17" t="n">
        <x:f t="shared" si="12">IF(S105=0,"",ROUND(T105/S105,2))</x:f>
        <x:v>61.36</x:v>
      </x:c>
      <x:c r="V105" s="17" t="n">
        <x:f t="shared" si="13">IF(ABS(S105-1)&lt;0.00000001,T105,"")</x:f>
        <x:v>61.36027</x:v>
      </x:c>
      <x:c r="W105" s="19" t="str">
        <x:f>IF($X105="","",INDEX('sheet2-计算明细'!$AU$17:$AU$219,$X105))</x:f>
      </x:c>
      <x:c r="X105" s="15" t="n">
        <x:f>IF($A105&gt;COUNT('sheet2-计算明细'!$AT$17:$AT$219),"",MATCH($A105,'sheet2-计算明细'!$AT$17:$AT$219,0))</x:f>
        <x:v>39</x:v>
      </x:c>
    </x:row>
    <x:row r="106" ht="28" customHeight="1">
      <x:c r="A106" s="4" t="n">
        <x:v>101</x:v>
      </x:c>
      <x:c r="B106" s="15" t="str">
        <x:f>IF($X106="","",INDEX('sheet2-计算明细'!$B$17:$B$219,$X106))</x:f>
        <x:v>兆信期权中性2号A类</x:v>
      </x:c>
      <x:c r="C106" s="15" t="str">
        <x:f>IF($X106="","",INDEX('sheet2-计算明细'!$C$17:$C$219,$X106))</x:f>
        <x:v>TB977A</x:v>
      </x:c>
      <x:c r="D106" s="15" t="str">
        <x:f>IF($X106="","",INDEX('sheet2-计算明细'!$D$17:$D$219,$X106))</x:f>
        <x:v>江苏兆信</x:v>
      </x:c>
      <x:c r="E106" s="15" t="str">
        <x:f>IF($X106="","",INDEX('sheet2-计算明细'!$G$17:$G$219,$X106))</x:f>
        <x:v>入池</x:v>
      </x:c>
      <x:c r="F106" s="16" t="n">
        <x:f>IF($X106="","",INDEX('sheet2-计算明细'!$I$17:$I$219,$X106))</x:f>
        <x:v>90</x:v>
      </x:c>
      <x:c r="G106" s="16" t="str">
        <x:f>IF($X106="","",INDEX('sheet2-计算明细'!$K$17:$K$219,$X106))</x:f>
      </x:c>
      <x:c r="H106" s="16" t="n">
        <x:f>IF($X106="","",INDEX('sheet2-计算明细'!$L$17:$L$219,$X106))</x:f>
        <x:v>100</x:v>
      </x:c>
      <x:c r="I106" s="16" t="n">
        <x:f>IF($X106="","",INDEX('sheet2-计算明细'!$S$17:$S$219,$X106))</x:f>
        <x:v>67.03</x:v>
      </x:c>
      <x:c r="J106" s="16" t="n">
        <x:f>IF($X106="","",INDEX('sheet2-计算明细'!$Y$17:$Y$219,$X106))</x:f>
        <x:v>85.38</x:v>
      </x:c>
      <x:c r="K106" s="16" t="n">
        <x:f>IF($X106="","",INDEX('sheet2-计算明细'!$AC$17:$AC$219,$X106))</x:f>
        <x:v>33.17</x:v>
      </x:c>
      <x:c r="L106" s="16" t="n">
        <x:f>IF($X106="","",INDEX('sheet2-计算明细'!$AI$17:$AI$219,$X106))</x:f>
        <x:v>52.93</x:v>
      </x:c>
      <x:c r="M106" s="16" t="n">
        <x:f>IF($X106="","",INDEX('sheet2-计算明细'!$AK$17:$AK$219,$X106))</x:f>
        <x:v>100</x:v>
      </x:c>
      <x:c r="N106" s="17" t="n">
        <x:f t="shared" si="7">IF(ISNUMBER(INDEX('sheet2-计算明细'!$AL$17:$AL$219,$X106)),INDEX('sheet2-计算明细'!$AL$17:$AL$219,$X106),"")</x:f>
        <x:v>94.29</x:v>
      </x:c>
      <x:c r="O106" s="17" t="n">
        <x:f t="shared" si="8">IF(ISNUMBER(INDEX('sheet2-计算明细'!$AM$17:$AM$219,$X106)),INDEX('sheet2-计算明细'!$AM$17:$AM$219,$X106),"")</x:f>
        <x:v>72.53</x:v>
      </x:c>
      <x:c r="P106" s="17" t="n">
        <x:f t="shared" si="9">IF(ISNUMBER(INDEX('sheet2-计算明细'!$AN$17:$AN$219,$X106)),INDEX('sheet2-计算明细'!$AN$17:$AN$219,$X106),"")</x:f>
        <x:v>33.17</x:v>
      </x:c>
      <x:c r="Q106" s="17" t="n">
        <x:f t="shared" si="10">IF(ISNUMBER(INDEX('sheet2-计算明细'!$AO$17:$AO$219,$X106)),INDEX('sheet2-计算明细'!$AO$17:$AO$219,$X106),"")</x:f>
        <x:v>52.93</x:v>
      </x:c>
      <x:c r="R106" s="17" t="n">
        <x:f t="shared" si="11">IF(ISNUMBER(INDEX('sheet2-计算明细'!$AP$17:$AP$219,$X106)),INDEX('sheet2-计算明细'!$AP$17:$AP$219,$X106),"")</x:f>
        <x:v>100</x:v>
      </x:c>
      <x:c r="S106" s="18" t="n">
        <x:f>IF($X106="","",INDEX('sheet2-计算明细'!$AQ$17:$AQ$219,$X106))</x:f>
        <x:v>0.9550000000000001</x:v>
      </x:c>
      <x:c r="T106" s="16" t="n">
        <x:f>IF($X106="","",INDEX('sheet2-计算明细'!$AR$17:$AR$219,$X106))</x:f>
        <x:v>58.57823</x:v>
      </x:c>
      <x:c r="U106" s="17" t="n">
        <x:f t="shared" si="12">IF(S106=0,"",ROUND(T106/S106,2))</x:f>
        <x:v>61.34</x:v>
      </x:c>
      <x:c r="V106" s="17" t="str">
        <x:f t="shared" si="13">IF(ABS(S106-1)&lt;0.00000001,T106,"")</x:f>
      </x:c>
      <x:c r="W106" s="19" t="str">
        <x:f>IF($X106="","",INDEX('sheet2-计算明细'!$AU$17:$AU$219,$X106))</x:f>
        <x:v>产品规模标识；</x:v>
      </x:c>
      <x:c r="X106" s="15" t="n">
        <x:f>IF($A106&gt;COUNT('sheet2-计算明细'!$AT$17:$AT$219),"",MATCH($A106,'sheet2-计算明细'!$AT$17:$AT$219,0))</x:f>
        <x:v>143</x:v>
      </x:c>
    </x:row>
    <x:row r="107" ht="28" customHeight="1">
      <x:c r="A107" s="4" t="n">
        <x:v>102</x:v>
      </x:c>
      <x:c r="B107" s="15" t="str">
        <x:f>IF($X107="","",INDEX('sheet2-计算明细'!$B$17:$B$219,$X107))</x:f>
        <x:v>辉毅4号</x:v>
      </x:c>
      <x:c r="C107" s="15" t="str">
        <x:f>IF($X107="","",INDEX('sheet2-计算明细'!$C$17:$C$219,$X107))</x:f>
        <x:v>SM4445</x:v>
      </x:c>
      <x:c r="D107" s="15" t="str">
        <x:f>IF($X107="","",INDEX('sheet2-计算明细'!$D$17:$D$219,$X107))</x:f>
        <x:v>上海申毅投资</x:v>
      </x:c>
      <x:c r="E107" s="15" t="str">
        <x:f>IF($X107="","",INDEX('sheet2-计算明细'!$G$17:$G$219,$X107))</x:f>
        <x:v>入池</x:v>
      </x:c>
      <x:c r="F107" s="16" t="n">
        <x:f>IF($X107="","",INDEX('sheet2-计算明细'!$I$17:$I$219,$X107))</x:f>
        <x:v>100</x:v>
      </x:c>
      <x:c r="G107" s="16" t="n">
        <x:f>IF($X107="","",INDEX('sheet2-计算明细'!$K$17:$K$219,$X107))</x:f>
        <x:v>100</x:v>
      </x:c>
      <x:c r="H107" s="16" t="n">
        <x:f>IF($X107="","",INDEX('sheet2-计算明细'!$L$17:$L$219,$X107))</x:f>
        <x:v>100</x:v>
      </x:c>
      <x:c r="I107" s="16" t="n">
        <x:f>IF($X107="","",INDEX('sheet2-计算明细'!$S$17:$S$219,$X107))</x:f>
        <x:v>35.49</x:v>
      </x:c>
      <x:c r="J107" s="16" t="n">
        <x:f>IF($X107="","",INDEX('sheet2-计算明细'!$Y$17:$Y$219,$X107))</x:f>
        <x:v>64.36</x:v>
      </x:c>
      <x:c r="K107" s="16" t="n">
        <x:f>IF($X107="","",INDEX('sheet2-计算明细'!$AC$17:$AC$219,$X107))</x:f>
        <x:v>69.06</x:v>
      </x:c>
      <x:c r="L107" s="16" t="n">
        <x:f>IF($X107="","",INDEX('sheet2-计算明细'!$AI$17:$AI$219,$X107))</x:f>
        <x:v>40.22</x:v>
      </x:c>
      <x:c r="M107" s="16" t="n">
        <x:f>IF($X107="","",INDEX('sheet2-计算明细'!$AK$17:$AK$219,$X107))</x:f>
        <x:v>80</x:v>
      </x:c>
      <x:c r="N107" s="17" t="n">
        <x:f t="shared" si="7">IF(ISNUMBER(INDEX('sheet2-计算明细'!$AL$17:$AL$219,$X107)),INDEX('sheet2-计算明细'!$AL$17:$AL$219,$X107),"")</x:f>
        <x:v>100</x:v>
      </x:c>
      <x:c r="O107" s="17" t="n">
        <x:f t="shared" si="8">IF(ISNUMBER(INDEX('sheet2-计算明细'!$AM$17:$AM$219,$X107)),INDEX('sheet2-计算明细'!$AM$17:$AM$219,$X107),"")</x:f>
        <x:v>44.15</x:v>
      </x:c>
      <x:c r="P107" s="17" t="n">
        <x:f t="shared" si="9">IF(ISNUMBER(INDEX('sheet2-计算明细'!$AN$17:$AN$219,$X107)),INDEX('sheet2-计算明细'!$AN$17:$AN$219,$X107),"")</x:f>
        <x:v>69.06</x:v>
      </x:c>
      <x:c r="Q107" s="17" t="n">
        <x:f t="shared" si="10">IF(ISNUMBER(INDEX('sheet2-计算明细'!$AO$17:$AO$219,$X107)),INDEX('sheet2-计算明细'!$AO$17:$AO$219,$X107),"")</x:f>
        <x:v>40.22</x:v>
      </x:c>
      <x:c r="R107" s="17" t="n">
        <x:f t="shared" si="11">IF(ISNUMBER(INDEX('sheet2-计算明细'!$AP$17:$AP$219,$X107)),INDEX('sheet2-计算明细'!$AP$17:$AP$219,$X107),"")</x:f>
        <x:v>80</x:v>
      </x:c>
      <x:c r="S107" s="18" t="n">
        <x:f>IF($X107="","",INDEX('sheet2-计算明细'!$AQ$17:$AQ$219,$X107))</x:f>
        <x:v>1</x:v>
      </x:c>
      <x:c r="T107" s="16" t="n">
        <x:f>IF($X107="","",INDEX('sheet2-计算明细'!$AR$17:$AR$219,$X107))</x:f>
        <x:v>61.160289999999996</x:v>
      </x:c>
      <x:c r="U107" s="17" t="n">
        <x:f t="shared" si="12">IF(S107=0,"",ROUND(T107/S107,2))</x:f>
        <x:v>61.16</x:v>
      </x:c>
      <x:c r="V107" s="17" t="n">
        <x:f t="shared" si="13">IF(ABS(S107-1)&lt;0.00000001,T107,"")</x:f>
        <x:v>61.160289999999996</x:v>
      </x:c>
      <x:c r="W107" s="19" t="str">
        <x:f>IF($X107="","",INDEX('sheet2-计算明细'!$AU$17:$AU$219,$X107))</x:f>
      </x:c>
      <x:c r="X107" s="15" t="n">
        <x:f>IF($A107&gt;COUNT('sheet2-计算明细'!$AT$17:$AT$219),"",MATCH($A107,'sheet2-计算明细'!$AT$17:$AT$219,0))</x:f>
        <x:v>3</x:v>
      </x:c>
    </x:row>
    <x:row r="108" ht="28" customHeight="1">
      <x:c r="A108" s="4" t="n">
        <x:v>103</x:v>
      </x:c>
      <x:c r="B108" s="15" t="str">
        <x:f>IF($X108="","",INDEX('sheet2-计算明细'!$B$17:$B$219,$X108))</x:f>
        <x:v>盛泉恒元量化套利11号</x:v>
      </x:c>
      <x:c r="C108" s="15" t="str">
        <x:f>IF($X108="","",INDEX('sheet2-计算明细'!$C$17:$C$219,$X108))</x:f>
        <x:v>SEX315</x:v>
      </x:c>
      <x:c r="D108" s="15" t="str">
        <x:f>IF($X108="","",INDEX('sheet2-计算明细'!$D$17:$D$219,$X108))</x:f>
        <x:v>南京盛泉恒元投资</x:v>
      </x:c>
      <x:c r="E108" s="15" t="str">
        <x:f>IF($X108="","",INDEX('sheet2-计算明细'!$G$17:$G$219,$X108))</x:f>
        <x:v>入池</x:v>
      </x:c>
      <x:c r="F108" s="16" t="n">
        <x:f>IF($X108="","",INDEX('sheet2-计算明细'!$I$17:$I$219,$X108))</x:f>
        <x:v>100</x:v>
      </x:c>
      <x:c r="G108" s="16" t="n">
        <x:f>IF($X108="","",INDEX('sheet2-计算明细'!$K$17:$K$219,$X108))</x:f>
        <x:v>100</x:v>
      </x:c>
      <x:c r="H108" s="16" t="n">
        <x:f>IF($X108="","",INDEX('sheet2-计算明细'!$L$17:$L$219,$X108))</x:f>
        <x:v>100</x:v>
      </x:c>
      <x:c r="I108" s="16" t="n">
        <x:f>IF($X108="","",INDEX('sheet2-计算明细'!$S$17:$S$219,$X108))</x:f>
        <x:v>64.85</x:v>
      </x:c>
      <x:c r="J108" s="16" t="n">
        <x:f>IF($X108="","",INDEX('sheet2-计算明细'!$Y$17:$Y$219,$X108))</x:f>
        <x:v>72.82</x:v>
      </x:c>
      <x:c r="K108" s="16" t="n">
        <x:f>IF($X108="","",INDEX('sheet2-计算明细'!$AC$17:$AC$219,$X108))</x:f>
        <x:v>39.6</x:v>
      </x:c>
      <x:c r="L108" s="16" t="n">
        <x:f>IF($X108="","",INDEX('sheet2-计算明细'!$AI$17:$AI$219,$X108))</x:f>
        <x:v>42.05</x:v>
      </x:c>
      <x:c r="M108" s="16" t="n">
        <x:f>IF($X108="","",INDEX('sheet2-计算明细'!$AK$17:$AK$219,$X108))</x:f>
        <x:v>100</x:v>
      </x:c>
      <x:c r="N108" s="17" t="n">
        <x:f t="shared" si="7">IF(ISNUMBER(INDEX('sheet2-计算明细'!$AL$17:$AL$219,$X108)),INDEX('sheet2-计算明细'!$AL$17:$AL$219,$X108),"")</x:f>
        <x:v>100</x:v>
      </x:c>
      <x:c r="O108" s="17" t="n">
        <x:f t="shared" si="8">IF(ISNUMBER(INDEX('sheet2-计算明细'!$AM$17:$AM$219,$X108)),INDEX('sheet2-计算明细'!$AM$17:$AM$219,$X108),"")</x:f>
        <x:v>67.24</x:v>
      </x:c>
      <x:c r="P108" s="17" t="n">
        <x:f t="shared" si="9">IF(ISNUMBER(INDEX('sheet2-计算明细'!$AN$17:$AN$219,$X108)),INDEX('sheet2-计算明细'!$AN$17:$AN$219,$X108),"")</x:f>
        <x:v>39.6</x:v>
      </x:c>
      <x:c r="Q108" s="17" t="n">
        <x:f t="shared" si="10">IF(ISNUMBER(INDEX('sheet2-计算明细'!$AO$17:$AO$219,$X108)),INDEX('sheet2-计算明细'!$AO$17:$AO$219,$X108),"")</x:f>
        <x:v>42.05</x:v>
      </x:c>
      <x:c r="R108" s="17" t="n">
        <x:f t="shared" si="11">IF(ISNUMBER(INDEX('sheet2-计算明细'!$AP$17:$AP$219,$X108)),INDEX('sheet2-计算明细'!$AP$17:$AP$219,$X108),"")</x:f>
        <x:v>100</x:v>
      </x:c>
      <x:c r="S108" s="18" t="n">
        <x:f>IF($X108="","",INDEX('sheet2-计算明细'!$AQ$17:$AQ$219,$X108))</x:f>
        <x:v>1</x:v>
      </x:c>
      <x:c r="T108" s="16" t="n">
        <x:f>IF($X108="","",INDEX('sheet2-计算明细'!$AR$17:$AR$219,$X108))</x:f>
        <x:v>60.96347</x:v>
      </x:c>
      <x:c r="U108" s="17" t="n">
        <x:f t="shared" si="12">IF(S108=0,"",ROUND(T108/S108,2))</x:f>
        <x:v>60.96</x:v>
      </x:c>
      <x:c r="V108" s="17" t="n">
        <x:f t="shared" si="13">IF(ABS(S108-1)&lt;0.00000001,T108,"")</x:f>
        <x:v>60.96347</x:v>
      </x:c>
      <x:c r="W108" s="19" t="str">
        <x:f>IF($X108="","",INDEX('sheet2-计算明细'!$AU$17:$AU$219,$X108))</x:f>
      </x:c>
      <x:c r="X108" s="15" t="n">
        <x:f>IF($A108&gt;COUNT('sheet2-计算明细'!$AT$17:$AT$219),"",MATCH($A108,'sheet2-计算明细'!$AT$17:$AT$219,0))</x:f>
        <x:v>118</x:v>
      </x:c>
    </x:row>
    <x:row r="109" ht="28" customHeight="1">
      <x:c r="A109" s="4" t="n">
        <x:v>104</x:v>
      </x:c>
      <x:c r="B109" s="15" t="str">
        <x:f>IF($X109="","",INDEX('sheet2-计算明细'!$B$17:$B$219,$X109))</x:f>
        <x:v>铭杉量化稳健5号</x:v>
      </x:c>
      <x:c r="C109" s="15" t="str">
        <x:f>IF($X109="","",INDEX('sheet2-计算明细'!$C$17:$C$219,$X109))</x:f>
        <x:v>SLT573</x:v>
      </x:c>
      <x:c r="D109" s="15" t="str">
        <x:f>IF($X109="","",INDEX('sheet2-计算明细'!$D$17:$D$219,$X109))</x:f>
        <x:v>上海铭杉投资</x:v>
      </x:c>
      <x:c r="E109" s="15" t="str">
        <x:f>IF($X109="","",INDEX('sheet2-计算明细'!$G$17:$G$219,$X109))</x:f>
        <x:v>入池</x:v>
      </x:c>
      <x:c r="F109" s="16" t="n">
        <x:f>IF($X109="","",INDEX('sheet2-计算明细'!$I$17:$I$219,$X109))</x:f>
        <x:v>60</x:v>
      </x:c>
      <x:c r="G109" s="16" t="n">
        <x:f>IF($X109="","",INDEX('sheet2-计算明细'!$K$17:$K$219,$X109))</x:f>
        <x:v>0</x:v>
      </x:c>
      <x:c r="H109" s="16" t="n">
        <x:f>IF($X109="","",INDEX('sheet2-计算明细'!$L$17:$L$219,$X109))</x:f>
        <x:v>100</x:v>
      </x:c>
      <x:c r="I109" s="16" t="n">
        <x:f>IF($X109="","",INDEX('sheet2-计算明细'!$S$17:$S$219,$X109))</x:f>
        <x:v>50.55</x:v>
      </x:c>
      <x:c r="J109" s="16" t="n">
        <x:f>IF($X109="","",INDEX('sheet2-计算明细'!$Y$17:$Y$219,$X109))</x:f>
        <x:v>82.82</x:v>
      </x:c>
      <x:c r="K109" s="16" t="n">
        <x:f>IF($X109="","",INDEX('sheet2-计算明细'!$AC$17:$AC$219,$X109))</x:f>
        <x:v>67.33</x:v>
      </x:c>
      <x:c r="L109" s="16" t="n">
        <x:f>IF($X109="","",INDEX('sheet2-计算明细'!$AI$17:$AI$219,$X109))</x:f>
        <x:v>47.76</x:v>
      </x:c>
      <x:c r="M109" s="16" t="n">
        <x:f>IF($X109="","",INDEX('sheet2-计算明细'!$AK$17:$AK$219,$X109))</x:f>
        <x:v>80</x:v>
      </x:c>
      <x:c r="N109" s="17" t="n">
        <x:f t="shared" si="7">IF(ISNUMBER(INDEX('sheet2-计算明细'!$AL$17:$AL$219,$X109)),INDEX('sheet2-计算明细'!$AL$17:$AL$219,$X109),"")</x:f>
        <x:v>54</x:v>
      </x:c>
      <x:c r="O109" s="17" t="n">
        <x:f t="shared" si="8">IF(ISNUMBER(INDEX('sheet2-计算明细'!$AM$17:$AM$219,$X109)),INDEX('sheet2-计算明细'!$AM$17:$AM$219,$X109),"")</x:f>
        <x:v>60.23</x:v>
      </x:c>
      <x:c r="P109" s="17" t="n">
        <x:f t="shared" si="9">IF(ISNUMBER(INDEX('sheet2-计算明细'!$AN$17:$AN$219,$X109)),INDEX('sheet2-计算明细'!$AN$17:$AN$219,$X109),"")</x:f>
        <x:v>67.33</x:v>
      </x:c>
      <x:c r="Q109" s="17" t="n">
        <x:f t="shared" si="10">IF(ISNUMBER(INDEX('sheet2-计算明细'!$AO$17:$AO$219,$X109)),INDEX('sheet2-计算明细'!$AO$17:$AO$219,$X109),"")</x:f>
        <x:v>47.76</x:v>
      </x:c>
      <x:c r="R109" s="17" t="n">
        <x:f t="shared" si="11">IF(ISNUMBER(INDEX('sheet2-计算明细'!$AP$17:$AP$219,$X109)),INDEX('sheet2-计算明细'!$AP$17:$AP$219,$X109),"")</x:f>
        <x:v>80</x:v>
      </x:c>
      <x:c r="S109" s="18" t="n">
        <x:f>IF($X109="","",INDEX('sheet2-计算明细'!$AQ$17:$AQ$219,$X109))</x:f>
        <x:v>0.88</x:v>
      </x:c>
      <x:c r="T109" s="16" t="n">
        <x:f>IF($X109="","",INDEX('sheet2-计算明细'!$AR$17:$AR$219,$X109))</x:f>
        <x:v>53.57503</x:v>
      </x:c>
      <x:c r="U109" s="17" t="n">
        <x:f t="shared" si="12">IF(S109=0,"",ROUND(T109/S109,2))</x:f>
        <x:v>60.88</x:v>
      </x:c>
      <x:c r="V109" s="17" t="str">
        <x:f t="shared" si="13">IF(ABS(S109-1)&lt;0.00000001,T109,"")</x:f>
      </x:c>
      <x:c r="W109" s="19" t="str">
        <x:f>IF($X109="","",INDEX('sheet2-计算明细'!$AU$17:$AU$219,$X109))</x:f>
        <x:v>DD_long不可识别；</x:v>
      </x:c>
      <x:c r="X109" s="15" t="n">
        <x:f>IF($A109&gt;COUNT('sheet2-计算明细'!$AT$17:$AT$219),"",MATCH($A109,'sheet2-计算明细'!$AT$17:$AT$219,0))</x:f>
        <x:v>23</x:v>
      </x:c>
    </x:row>
    <x:row r="110" ht="28" customHeight="1">
      <x:c r="A110" s="4" t="n">
        <x:v>105</x:v>
      </x:c>
      <x:c r="B110" s="15" t="str">
        <x:f>IF($X110="","",INDEX('sheet2-计算明细'!$B$17:$B$219,$X110))</x:f>
        <x:v>鹿秀驯鹿二号</x:v>
      </x:c>
      <x:c r="C110" s="15" t="str">
        <x:f>IF($X110="","",INDEX('sheet2-计算明细'!$C$17:$C$219,$X110))</x:f>
        <x:v>SGF269</x:v>
      </x:c>
      <x:c r="D110" s="15" t="str">
        <x:f>IF($X110="","",INDEX('sheet2-计算明细'!$D$17:$D$219,$X110))</x:f>
        <x:v>青岛鹿秀投资</x:v>
      </x:c>
      <x:c r="E110" s="15" t="str">
        <x:f>IF($X110="","",INDEX('sheet2-计算明细'!$G$17:$G$219,$X110))</x:f>
        <x:v>入池</x:v>
      </x:c>
      <x:c r="F110" s="16" t="n">
        <x:f>IF($X110="","",INDEX('sheet2-计算明细'!$I$17:$I$219,$X110))</x:f>
        <x:v>90</x:v>
      </x:c>
      <x:c r="G110" s="16" t="n">
        <x:f>IF($X110="","",INDEX('sheet2-计算明细'!$K$17:$K$219,$X110))</x:f>
        <x:v>0</x:v>
      </x:c>
      <x:c r="H110" s="16" t="n">
        <x:f>IF($X110="","",INDEX('sheet2-计算明细'!$L$17:$L$219,$X110))</x:f>
        <x:v>100</x:v>
      </x:c>
      <x:c r="I110" s="16" t="n">
        <x:f>IF($X110="","",INDEX('sheet2-计算明细'!$S$17:$S$219,$X110))</x:f>
        <x:v>27.63</x:v>
      </x:c>
      <x:c r="J110" s="16" t="n">
        <x:f>IF($X110="","",INDEX('sheet2-计算明细'!$Y$17:$Y$219,$X110))</x:f>
        <x:v>85.38</x:v>
      </x:c>
      <x:c r="K110" s="16" t="n">
        <x:f>IF($X110="","",INDEX('sheet2-计算明细'!$AC$17:$AC$219,$X110))</x:f>
        <x:v>48.02</x:v>
      </x:c>
      <x:c r="L110" s="16" t="n">
        <x:f>IF($X110="","",INDEX('sheet2-计算明细'!$AI$17:$AI$219,$X110))</x:f>
        <x:v>66.42</x:v>
      </x:c>
      <x:c r="M110" s="16" t="n">
        <x:f>IF($X110="","",INDEX('sheet2-计算明细'!$AK$17:$AK$219,$X110))</x:f>
        <x:v>100</x:v>
      </x:c>
      <x:c r="N110" s="17" t="n">
        <x:f t="shared" si="7">IF(ISNUMBER(INDEX('sheet2-计算明细'!$AL$17:$AL$219,$X110)),INDEX('sheet2-计算明细'!$AL$17:$AL$219,$X110),"")</x:f>
        <x:v>66</x:v>
      </x:c>
      <x:c r="O110" s="17" t="n">
        <x:f t="shared" si="8">IF(ISNUMBER(INDEX('sheet2-计算明细'!$AM$17:$AM$219,$X110)),INDEX('sheet2-计算明细'!$AM$17:$AM$219,$X110),"")</x:f>
        <x:v>44.95</x:v>
      </x:c>
      <x:c r="P110" s="17" t="n">
        <x:f t="shared" si="9">IF(ISNUMBER(INDEX('sheet2-计算明细'!$AN$17:$AN$219,$X110)),INDEX('sheet2-计算明细'!$AN$17:$AN$219,$X110),"")</x:f>
        <x:v>48.02</x:v>
      </x:c>
      <x:c r="Q110" s="17" t="n">
        <x:f t="shared" si="10">IF(ISNUMBER(INDEX('sheet2-计算明细'!$AO$17:$AO$219,$X110)),INDEX('sheet2-计算明细'!$AO$17:$AO$219,$X110),"")</x:f>
        <x:v>66.42</x:v>
      </x:c>
      <x:c r="R110" s="17" t="n">
        <x:f t="shared" si="11">IF(ISNUMBER(INDEX('sheet2-计算明细'!$AP$17:$AP$219,$X110)),INDEX('sheet2-计算明细'!$AP$17:$AP$219,$X110),"")</x:f>
        <x:v>100</x:v>
      </x:c>
      <x:c r="S110" s="18" t="n">
        <x:f>IF($X110="","",INDEX('sheet2-计算明细'!$AQ$17:$AQ$219,$X110))</x:f>
        <x:v>1</x:v>
      </x:c>
      <x:c r="T110" s="16" t="n">
        <x:f>IF($X110="","",INDEX('sheet2-计算明细'!$AR$17:$AR$219,$X110))</x:f>
        <x:v>60.82293</x:v>
      </x:c>
      <x:c r="U110" s="17" t="n">
        <x:f t="shared" si="12">IF(S110=0,"",ROUND(T110/S110,2))</x:f>
        <x:v>60.82</x:v>
      </x:c>
      <x:c r="V110" s="17" t="n">
        <x:f t="shared" si="13">IF(ABS(S110-1)&lt;0.00000001,T110,"")</x:f>
        <x:v>60.82293</x:v>
      </x:c>
      <x:c r="W110" s="19" t="str">
        <x:f>IF($X110="","",INDEX('sheet2-计算明细'!$AU$17:$AU$219,$X110))</x:f>
      </x:c>
      <x:c r="X110" s="15" t="n">
        <x:f>IF($A110&gt;COUNT('sheet2-计算明细'!$AT$17:$AT$219),"",MATCH($A110,'sheet2-计算明细'!$AT$17:$AT$219,0))</x:f>
        <x:v>13</x:v>
      </x:c>
    </x:row>
    <x:row r="111" ht="28" customHeight="1">
      <x:c r="A111" s="4" t="n">
        <x:v>106</x:v>
      </x:c>
      <x:c r="B111" s="15" t="str">
        <x:f>IF($X111="","",INDEX('sheet2-计算明细'!$B$17:$B$219,$X111))</x:f>
        <x:v>交叉智能-量化增强2号</x:v>
      </x:c>
      <x:c r="C111" s="15" t="str">
        <x:f>IF($X111="","",INDEX('sheet2-计算明细'!$C$17:$C$219,$X111))</x:f>
        <x:v>SZD351</x:v>
      </x:c>
      <x:c r="D111" s="15" t="str">
        <x:f>IF($X111="","",INDEX('sheet2-计算明细'!$D$17:$D$219,$X111))</x:f>
        <x:v>北京交叉智能</x:v>
      </x:c>
      <x:c r="E111" s="15" t="str">
        <x:f>IF($X111="","",INDEX('sheet2-计算明细'!$G$17:$G$219,$X111))</x:f>
        <x:v>入池</x:v>
      </x:c>
      <x:c r="F111" s="16" t="n">
        <x:f>IF($X111="","",INDEX('sheet2-计算明细'!$I$17:$I$219,$X111))</x:f>
        <x:v>70</x:v>
      </x:c>
      <x:c r="G111" s="16" t="n">
        <x:f>IF($X111="","",INDEX('sheet2-计算明细'!$K$17:$K$219,$X111))</x:f>
        <x:v>100</x:v>
      </x:c>
      <x:c r="H111" s="16" t="n">
        <x:f>IF($X111="","",INDEX('sheet2-计算明细'!$L$17:$L$219,$X111))</x:f>
        <x:v>100</x:v>
      </x:c>
      <x:c r="I111" s="16" t="n">
        <x:f>IF($X111="","",INDEX('sheet2-计算明细'!$S$17:$S$219,$X111))</x:f>
        <x:v>47.43</x:v>
      </x:c>
      <x:c r="J111" s="16" t="n">
        <x:f>IF($X111="","",INDEX('sheet2-计算明细'!$Y$17:$Y$219,$X111))</x:f>
        <x:v>76.54</x:v>
      </x:c>
      <x:c r="K111" s="16" t="n">
        <x:f>IF($X111="","",INDEX('sheet2-计算明细'!$AC$17:$AC$219,$X111))</x:f>
        <x:v>57.43</x:v>
      </x:c>
      <x:c r="L111" s="16" t="n">
        <x:f>IF($X111="","",INDEX('sheet2-计算明细'!$AI$17:$AI$219,$X111))</x:f>
        <x:v>46.45</x:v>
      </x:c>
      <x:c r="M111" s="16" t="n">
        <x:f>IF($X111="","",INDEX('sheet2-计算明细'!$AK$17:$AK$219,$X111))</x:f>
        <x:v>80</x:v>
      </x:c>
      <x:c r="N111" s="17" t="n">
        <x:f t="shared" si="7">IF(ISNUMBER(INDEX('sheet2-计算明细'!$AL$17:$AL$219,$X111)),INDEX('sheet2-计算明细'!$AL$17:$AL$219,$X111),"")</x:f>
        <x:v>88</x:v>
      </x:c>
      <x:c r="O111" s="17" t="n">
        <x:f t="shared" si="8">IF(ISNUMBER(INDEX('sheet2-计算明细'!$AM$17:$AM$219,$X111)),INDEX('sheet2-计算明细'!$AM$17:$AM$219,$X111),"")</x:f>
        <x:v>56.16</x:v>
      </x:c>
      <x:c r="P111" s="17" t="n">
        <x:f t="shared" si="9">IF(ISNUMBER(INDEX('sheet2-计算明细'!$AN$17:$AN$219,$X111)),INDEX('sheet2-计算明细'!$AN$17:$AN$219,$X111),"")</x:f>
        <x:v>57.43</x:v>
      </x:c>
      <x:c r="Q111" s="17" t="n">
        <x:f t="shared" si="10">IF(ISNUMBER(INDEX('sheet2-计算明细'!$AO$17:$AO$219,$X111)),INDEX('sheet2-计算明细'!$AO$17:$AO$219,$X111),"")</x:f>
        <x:v>46.45</x:v>
      </x:c>
      <x:c r="R111" s="17" t="n">
        <x:f t="shared" si="11">IF(ISNUMBER(INDEX('sheet2-计算明细'!$AP$17:$AP$219,$X111)),INDEX('sheet2-计算明细'!$AP$17:$AP$219,$X111),"")</x:f>
        <x:v>80</x:v>
      </x:c>
      <x:c r="S111" s="18" t="n">
        <x:f>IF($X111="","",INDEX('sheet2-计算明细'!$AQ$17:$AQ$219,$X111))</x:f>
        <x:v>1</x:v>
      </x:c>
      <x:c r="T111" s="16" t="n">
        <x:f>IF($X111="","",INDEX('sheet2-计算明细'!$AR$17:$AR$219,$X111))</x:f>
        <x:v>60.72498999999999</x:v>
      </x:c>
      <x:c r="U111" s="17" t="n">
        <x:f t="shared" si="12">IF(S111=0,"",ROUND(T111/S111,2))</x:f>
        <x:v>60.72</x:v>
      </x:c>
      <x:c r="V111" s="17" t="n">
        <x:f t="shared" si="13">IF(ABS(S111-1)&lt;0.00000001,T111,"")</x:f>
        <x:v>60.72498999999999</x:v>
      </x:c>
      <x:c r="W111" s="19" t="str">
        <x:f>IF($X111="","",INDEX('sheet2-计算明细'!$AU$17:$AU$219,$X111))</x:f>
      </x:c>
      <x:c r="X111" s="15" t="n">
        <x:f>IF($A111&gt;COUNT('sheet2-计算明细'!$AT$17:$AT$219),"",MATCH($A111,'sheet2-计算明细'!$AT$17:$AT$219,0))</x:f>
        <x:v>83</x:v>
      </x:c>
    </x:row>
    <x:row r="112" ht="28" customHeight="1">
      <x:c r="A112" s="4" t="n">
        <x:v>107</x:v>
      </x:c>
      <x:c r="B112" s="15" t="str">
        <x:f>IF($X112="","",INDEX('sheet2-计算明细'!$B$17:$B$219,$X112))</x:f>
        <x:v>守正卓越一号A类</x:v>
      </x:c>
      <x:c r="C112" s="15" t="str">
        <x:f>IF($X112="","",INDEX('sheet2-计算明细'!$C$17:$C$219,$X112))</x:f>
        <x:v>VY984A</x:v>
      </x:c>
      <x:c r="D112" s="15" t="str">
        <x:f>IF($X112="","",INDEX('sheet2-计算明细'!$D$17:$D$219,$X112))</x:f>
        <x:v>山东守正</x:v>
      </x:c>
      <x:c r="E112" s="15" t="str">
        <x:f>IF($X112="","",INDEX('sheet2-计算明细'!$G$17:$G$219,$X112))</x:f>
        <x:v>入池</x:v>
      </x:c>
      <x:c r="F112" s="16" t="n">
        <x:f>IF($X112="","",INDEX('sheet2-计算明细'!$I$17:$I$219,$X112))</x:f>
        <x:v>60</x:v>
      </x:c>
      <x:c r="G112" s="16" t="str">
        <x:f>IF($X112="","",INDEX('sheet2-计算明细'!$K$17:$K$219,$X112))</x:f>
      </x:c>
      <x:c r="H112" s="16" t="n">
        <x:f>IF($X112="","",INDEX('sheet2-计算明细'!$L$17:$L$219,$X112))</x:f>
        <x:v>100</x:v>
      </x:c>
      <x:c r="I112" s="16" t="n">
        <x:f>IF($X112="","",INDEX('sheet2-计算明细'!$S$17:$S$219,$X112))</x:f>
        <x:v>57.08</x:v>
      </x:c>
      <x:c r="J112" s="16" t="n">
        <x:f>IF($X112="","",INDEX('sheet2-计算明细'!$Y$17:$Y$219,$X112))</x:f>
        <x:v>85</x:v>
      </x:c>
      <x:c r="K112" s="16" t="n">
        <x:f>IF($X112="","",INDEX('sheet2-计算明细'!$AC$17:$AC$219,$X112))</x:f>
        <x:v>20.3</x:v>
      </x:c>
      <x:c r="L112" s="16" t="n">
        <x:f>IF($X112="","",INDEX('sheet2-计算明细'!$AI$17:$AI$219,$X112))</x:f>
        <x:v>77.79</x:v>
      </x:c>
      <x:c r="M112" s="16" t="n">
        <x:f>IF($X112="","",INDEX('sheet2-计算明细'!$AK$17:$AK$219,$X112))</x:f>
        <x:v>80</x:v>
      </x:c>
      <x:c r="N112" s="17" t="n">
        <x:f t="shared" si="7">IF(ISNUMBER(INDEX('sheet2-计算明细'!$AL$17:$AL$219,$X112)),INDEX('sheet2-计算明细'!$AL$17:$AL$219,$X112),"")</x:f>
        <x:v>77.14</x:v>
      </x:c>
      <x:c r="O112" s="17" t="n">
        <x:f t="shared" si="8">IF(ISNUMBER(INDEX('sheet2-计算明细'!$AM$17:$AM$219,$X112)),INDEX('sheet2-计算明细'!$AM$17:$AM$219,$X112),"")</x:f>
        <x:v>65.46</x:v>
      </x:c>
      <x:c r="P112" s="17" t="n">
        <x:f t="shared" si="9">IF(ISNUMBER(INDEX('sheet2-计算明细'!$AN$17:$AN$219,$X112)),INDEX('sheet2-计算明细'!$AN$17:$AN$219,$X112),"")</x:f>
        <x:v>20.3</x:v>
      </x:c>
      <x:c r="Q112" s="17" t="n">
        <x:f t="shared" si="10">IF(ISNUMBER(INDEX('sheet2-计算明细'!$AO$17:$AO$219,$X112)),INDEX('sheet2-计算明细'!$AO$17:$AO$219,$X112),"")</x:f>
        <x:v>77.79</x:v>
      </x:c>
      <x:c r="R112" s="17" t="n">
        <x:f t="shared" si="11">IF(ISNUMBER(INDEX('sheet2-计算明细'!$AP$17:$AP$219,$X112)),INDEX('sheet2-计算明细'!$AP$17:$AP$219,$X112),"")</x:f>
        <x:v>80</x:v>
      </x:c>
      <x:c r="S112" s="18" t="n">
        <x:f>IF($X112="","",INDEX('sheet2-计算明细'!$AQ$17:$AQ$219,$X112))</x:f>
        <x:v>0.9550000000000001</x:v>
      </x:c>
      <x:c r="T112" s="16" t="n">
        <x:f>IF($X112="","",INDEX('sheet2-计算明细'!$AR$17:$AR$219,$X112))</x:f>
        <x:v>57.60484</x:v>
      </x:c>
      <x:c r="U112" s="17" t="n">
        <x:f t="shared" si="12">IF(S112=0,"",ROUND(T112/S112,2))</x:f>
        <x:v>60.32</x:v>
      </x:c>
      <x:c r="V112" s="17" t="str">
        <x:f t="shared" si="13">IF(ABS(S112-1)&lt;0.00000001,T112,"")</x:f>
      </x:c>
      <x:c r="W112" s="19" t="str">
        <x:f>IF($X112="","",INDEX('sheet2-计算明细'!$AU$17:$AU$219,$X112))</x:f>
        <x:v>产品规模标识；</x:v>
      </x:c>
      <x:c r="X112" s="15" t="n">
        <x:f>IF($A112&gt;COUNT('sheet2-计算明细'!$AT$17:$AT$219),"",MATCH($A112,'sheet2-计算明细'!$AT$17:$AT$219,0))</x:f>
        <x:v>199</x:v>
      </x:c>
    </x:row>
    <x:row r="113" ht="28" customHeight="1">
      <x:c r="A113" s="4" t="n">
        <x:v>108</x:v>
      </x:c>
      <x:c r="B113" s="15" t="str">
        <x:f>IF($X113="","",INDEX('sheet2-计算明细'!$B$17:$B$219,$X113))</x:f>
        <x:v>盛泉恒元量化套利12号专项</x:v>
      </x:c>
      <x:c r="C113" s="15" t="str">
        <x:f>IF($X113="","",INDEX('sheet2-计算明细'!$C$17:$C$219,$X113))</x:f>
        <x:v>SEE184</x:v>
      </x:c>
      <x:c r="D113" s="15" t="str">
        <x:f>IF($X113="","",INDEX('sheet2-计算明细'!$D$17:$D$219,$X113))</x:f>
        <x:v>南京盛泉恒元投资</x:v>
      </x:c>
      <x:c r="E113" s="15" t="str">
        <x:f>IF($X113="","",INDEX('sheet2-计算明细'!$G$17:$G$219,$X113))</x:f>
        <x:v>入池</x:v>
      </x:c>
      <x:c r="F113" s="16" t="n">
        <x:f>IF($X113="","",INDEX('sheet2-计算明细'!$I$17:$I$219,$X113))</x:f>
        <x:v>100</x:v>
      </x:c>
      <x:c r="G113" s="16" t="n">
        <x:f>IF($X113="","",INDEX('sheet2-计算明细'!$K$17:$K$219,$X113))</x:f>
        <x:v>100</x:v>
      </x:c>
      <x:c r="H113" s="16" t="n">
        <x:f>IF($X113="","",INDEX('sheet2-计算明细'!$L$17:$L$219,$X113))</x:f>
        <x:v>100</x:v>
      </x:c>
      <x:c r="I113" s="16" t="n">
        <x:f>IF($X113="","",INDEX('sheet2-计算明细'!$S$17:$S$219,$X113))</x:f>
        <x:v>63.57</x:v>
      </x:c>
      <x:c r="J113" s="16" t="n">
        <x:f>IF($X113="","",INDEX('sheet2-计算明细'!$Y$17:$Y$219,$X113))</x:f>
        <x:v>74.48</x:v>
      </x:c>
      <x:c r="K113" s="16" t="n">
        <x:f>IF($X113="","",INDEX('sheet2-计算明细'!$AC$17:$AC$219,$X113))</x:f>
        <x:v>39.11</x:v>
      </x:c>
      <x:c r="L113" s="16" t="n">
        <x:f>IF($X113="","",INDEX('sheet2-计算明细'!$AI$17:$AI$219,$X113))</x:f>
        <x:v>40</x:v>
      </x:c>
      <x:c r="M113" s="16" t="n">
        <x:f>IF($X113="","",INDEX('sheet2-计算明细'!$AK$17:$AK$219,$X113))</x:f>
        <x:v>100</x:v>
      </x:c>
      <x:c r="N113" s="17" t="n">
        <x:f t="shared" si="7">IF(ISNUMBER(INDEX('sheet2-计算明细'!$AL$17:$AL$219,$X113)),INDEX('sheet2-计算明细'!$AL$17:$AL$219,$X113),"")</x:f>
        <x:v>100</x:v>
      </x:c>
      <x:c r="O113" s="17" t="n">
        <x:f t="shared" si="8">IF(ISNUMBER(INDEX('sheet2-计算明细'!$AM$17:$AM$219,$X113)),INDEX('sheet2-计算明细'!$AM$17:$AM$219,$X113),"")</x:f>
        <x:v>66.84</x:v>
      </x:c>
      <x:c r="P113" s="17" t="n">
        <x:f t="shared" si="9">IF(ISNUMBER(INDEX('sheet2-计算明细'!$AN$17:$AN$219,$X113)),INDEX('sheet2-计算明细'!$AN$17:$AN$219,$X113),"")</x:f>
        <x:v>39.11</x:v>
      </x:c>
      <x:c r="Q113" s="17" t="n">
        <x:f t="shared" si="10">IF(ISNUMBER(INDEX('sheet2-计算明细'!$AO$17:$AO$219,$X113)),INDEX('sheet2-计算明细'!$AO$17:$AO$219,$X113),"")</x:f>
        <x:v>40</x:v>
      </x:c>
      <x:c r="R113" s="17" t="n">
        <x:f t="shared" si="11">IF(ISNUMBER(INDEX('sheet2-计算明细'!$AP$17:$AP$219,$X113)),INDEX('sheet2-计算明细'!$AP$17:$AP$219,$X113),"")</x:f>
        <x:v>100</x:v>
      </x:c>
      <x:c r="S113" s="18" t="n">
        <x:f>IF($X113="","",INDEX('sheet2-计算明细'!$AQ$17:$AQ$219,$X113))</x:f>
        <x:v>1</x:v>
      </x:c>
      <x:c r="T113" s="16" t="n">
        <x:f>IF($X113="","",INDEX('sheet2-计算明细'!$AR$17:$AR$219,$X113))</x:f>
        <x:v>60.14579</x:v>
      </x:c>
      <x:c r="U113" s="17" t="n">
        <x:f t="shared" si="12">IF(S113=0,"",ROUND(T113/S113,2))</x:f>
        <x:v>60.15</x:v>
      </x:c>
      <x:c r="V113" s="17" t="n">
        <x:f t="shared" si="13">IF(ABS(S113-1)&lt;0.00000001,T113,"")</x:f>
        <x:v>60.14579</x:v>
      </x:c>
      <x:c r="W113" s="19" t="str">
        <x:f>IF($X113="","",INDEX('sheet2-计算明细'!$AU$17:$AU$219,$X113))</x:f>
      </x:c>
      <x:c r="X113" s="15" t="n">
        <x:f>IF($A113&gt;COUNT('sheet2-计算明细'!$AT$17:$AT$219),"",MATCH($A113,'sheet2-计算明细'!$AT$17:$AT$219,0))</x:f>
        <x:v>114</x:v>
      </x:c>
    </x:row>
    <x:row r="114" ht="28" customHeight="1">
      <x:c r="A114" s="4" t="n">
        <x:v>109</x:v>
      </x:c>
      <x:c r="B114" s="15" t="str">
        <x:f>IF($X114="","",INDEX('sheet2-计算明细'!$B$17:$B$219,$X114))</x:f>
        <x:v>晨翰6号</x:v>
      </x:c>
      <x:c r="C114" s="15" t="str">
        <x:f>IF($X114="","",INDEX('sheet2-计算明细'!$C$17:$C$219,$X114))</x:f>
        <x:v>STS460</x:v>
      </x:c>
      <x:c r="D114" s="15" t="str">
        <x:f>IF($X114="","",INDEX('sheet2-计算明细'!$D$17:$D$219,$X114))</x:f>
        <x:v>晋江晨翰</x:v>
      </x:c>
      <x:c r="E114" s="15" t="str">
        <x:f>IF($X114="","",INDEX('sheet2-计算明细'!$G$17:$G$219,$X114))</x:f>
        <x:v>入池</x:v>
      </x:c>
      <x:c r="F114" s="16" t="n">
        <x:f>IF($X114="","",INDEX('sheet2-计算明细'!$I$17:$I$219,$X114))</x:f>
        <x:v>70</x:v>
      </x:c>
      <x:c r="G114" s="16" t="n">
        <x:f>IF($X114="","",INDEX('sheet2-计算明细'!$K$17:$K$219,$X114))</x:f>
        <x:v>100</x:v>
      </x:c>
      <x:c r="H114" s="16" t="n">
        <x:f>IF($X114="","",INDEX('sheet2-计算明细'!$L$17:$L$219,$X114))</x:f>
        <x:v>100</x:v>
      </x:c>
      <x:c r="I114" s="16" t="n">
        <x:f>IF($X114="","",INDEX('sheet2-计算明细'!$S$17:$S$219,$X114))</x:f>
        <x:v>54.55</x:v>
      </x:c>
      <x:c r="J114" s="16" t="n">
        <x:f>IF($X114="","",INDEX('sheet2-计算明细'!$Y$17:$Y$219,$X114))</x:f>
        <x:v>51.02</x:v>
      </x:c>
      <x:c r="K114" s="16" t="n">
        <x:f>IF($X114="","",INDEX('sheet2-计算明细'!$AC$17:$AC$219,$X114))</x:f>
        <x:v>45.54</x:v>
      </x:c>
      <x:c r="L114" s="16" t="n">
        <x:f>IF($X114="","",INDEX('sheet2-计算明细'!$AI$17:$AI$219,$X114))</x:f>
        <x:v>42.29</x:v>
      </x:c>
      <x:c r="M114" s="16" t="n">
        <x:f>IF($X114="","",INDEX('sheet2-计算明细'!$AK$17:$AK$219,$X114))</x:f>
        <x:v>100</x:v>
      </x:c>
      <x:c r="N114" s="17" t="n">
        <x:f t="shared" si="7">IF(ISNUMBER(INDEX('sheet2-计算明细'!$AL$17:$AL$219,$X114)),INDEX('sheet2-计算明细'!$AL$17:$AL$219,$X114),"")</x:f>
        <x:v>88</x:v>
      </x:c>
      <x:c r="O114" s="17" t="n">
        <x:f t="shared" si="8">IF(ISNUMBER(INDEX('sheet2-计算明细'!$AM$17:$AM$219,$X114)),INDEX('sheet2-计算明细'!$AM$17:$AM$219,$X114),"")</x:f>
        <x:v>53.49</x:v>
      </x:c>
      <x:c r="P114" s="17" t="n">
        <x:f t="shared" si="9">IF(ISNUMBER(INDEX('sheet2-计算明细'!$AN$17:$AN$219,$X114)),INDEX('sheet2-计算明细'!$AN$17:$AN$219,$X114),"")</x:f>
        <x:v>45.54</x:v>
      </x:c>
      <x:c r="Q114" s="17" t="n">
        <x:f t="shared" si="10">IF(ISNUMBER(INDEX('sheet2-计算明细'!$AO$17:$AO$219,$X114)),INDEX('sheet2-计算明细'!$AO$17:$AO$219,$X114),"")</x:f>
        <x:v>42.29</x:v>
      </x:c>
      <x:c r="R114" s="17" t="n">
        <x:f t="shared" si="11">IF(ISNUMBER(INDEX('sheet2-计算明细'!$AP$17:$AP$219,$X114)),INDEX('sheet2-计算明细'!$AP$17:$AP$219,$X114),"")</x:f>
        <x:v>100</x:v>
      </x:c>
      <x:c r="S114" s="18" t="n">
        <x:f>IF($X114="","",INDEX('sheet2-计算明细'!$AQ$17:$AQ$219,$X114))</x:f>
        <x:v>0.88</x:v>
      </x:c>
      <x:c r="T114" s="16" t="n">
        <x:f>IF($X114="","",INDEX('sheet2-计算明细'!$AR$17:$AR$219,$X114))</x:f>
        <x:v>52.89578</x:v>
      </x:c>
      <x:c r="U114" s="17" t="n">
        <x:f t="shared" si="12">IF(S114=0,"",ROUND(T114/S114,2))</x:f>
        <x:v>60.11</x:v>
      </x:c>
      <x:c r="V114" s="17" t="str">
        <x:f t="shared" si="13">IF(ABS(S114-1)&lt;0.00000001,T114,"")</x:f>
      </x:c>
      <x:c r="W114" s="19" t="str">
        <x:f>IF($X114="","",INDEX('sheet2-计算明细'!$AU$17:$AU$219,$X114))</x:f>
        <x:v>DD_long不可识别；</x:v>
      </x:c>
      <x:c r="X114" s="15" t="n">
        <x:f>IF($A114&gt;COUNT('sheet2-计算明细'!$AT$17:$AT$219),"",MATCH($A114,'sheet2-计算明细'!$AT$17:$AT$219,0))</x:f>
        <x:v>99</x:v>
      </x:c>
    </x:row>
    <x:row r="115" ht="28" customHeight="1">
      <x:c r="A115" s="4" t="n">
        <x:v>110</x:v>
      </x:c>
      <x:c r="B115" s="15" t="str">
        <x:f>IF($X115="","",INDEX('sheet2-计算明细'!$B$17:$B$219,$X115))</x:f>
        <x:v>盛泉恒元量化套利27号</x:v>
      </x:c>
      <x:c r="C115" s="15" t="str">
        <x:f>IF($X115="","",INDEX('sheet2-计算明细'!$C$17:$C$219,$X115))</x:f>
        <x:v>SJY718</x:v>
      </x:c>
      <x:c r="D115" s="15" t="str">
        <x:f>IF($X115="","",INDEX('sheet2-计算明细'!$D$17:$D$219,$X115))</x:f>
        <x:v>南京盛泉恒元投资</x:v>
      </x:c>
      <x:c r="E115" s="15" t="str">
        <x:f>IF($X115="","",INDEX('sheet2-计算明细'!$G$17:$G$219,$X115))</x:f>
        <x:v>入池</x:v>
      </x:c>
      <x:c r="F115" s="16" t="n">
        <x:f>IF($X115="","",INDEX('sheet2-计算明细'!$I$17:$I$219,$X115))</x:f>
        <x:v>100</x:v>
      </x:c>
      <x:c r="G115" s="16" t="n">
        <x:f>IF($X115="","",INDEX('sheet2-计算明细'!$K$17:$K$219,$X115))</x:f>
        <x:v>100</x:v>
      </x:c>
      <x:c r="H115" s="16" t="n">
        <x:f>IF($X115="","",INDEX('sheet2-计算明细'!$L$17:$L$219,$X115))</x:f>
        <x:v>100</x:v>
      </x:c>
      <x:c r="I115" s="16" t="n">
        <x:f>IF($X115="","",INDEX('sheet2-计算明细'!$S$17:$S$219,$X115))</x:f>
        <x:v>62.18</x:v>
      </x:c>
      <x:c r="J115" s="16" t="n">
        <x:f>IF($X115="","",INDEX('sheet2-计算明细'!$Y$17:$Y$219,$X115))</x:f>
        <x:v>72.82</x:v>
      </x:c>
      <x:c r="K115" s="16" t="n">
        <x:f>IF($X115="","",INDEX('sheet2-计算明细'!$AC$17:$AC$219,$X115))</x:f>
        <x:v>40.1</x:v>
      </x:c>
      <x:c r="L115" s="16" t="n">
        <x:f>IF($X115="","",INDEX('sheet2-计算明细'!$AI$17:$AI$219,$X115))</x:f>
        <x:v>39.06</x:v>
      </x:c>
      <x:c r="M115" s="16" t="n">
        <x:f>IF($X115="","",INDEX('sheet2-计算明细'!$AK$17:$AK$219,$X115))</x:f>
        <x:v>100</x:v>
      </x:c>
      <x:c r="N115" s="17" t="n">
        <x:f t="shared" si="7">IF(ISNUMBER(INDEX('sheet2-计算明细'!$AL$17:$AL$219,$X115)),INDEX('sheet2-计算明细'!$AL$17:$AL$219,$X115),"")</x:f>
        <x:v>100</x:v>
      </x:c>
      <x:c r="O115" s="17" t="n">
        <x:f t="shared" si="8">IF(ISNUMBER(INDEX('sheet2-计算明细'!$AM$17:$AM$219,$X115)),INDEX('sheet2-计算明细'!$AM$17:$AM$219,$X115),"")</x:f>
        <x:v>65.37</x:v>
      </x:c>
      <x:c r="P115" s="17" t="n">
        <x:f t="shared" si="9">IF(ISNUMBER(INDEX('sheet2-计算明细'!$AN$17:$AN$219,$X115)),INDEX('sheet2-计算明细'!$AN$17:$AN$219,$X115),"")</x:f>
        <x:v>40.1</x:v>
      </x:c>
      <x:c r="Q115" s="17" t="n">
        <x:f t="shared" si="10">IF(ISNUMBER(INDEX('sheet2-计算明细'!$AO$17:$AO$219,$X115)),INDEX('sheet2-计算明细'!$AO$17:$AO$219,$X115),"")</x:f>
        <x:v>39.06</x:v>
      </x:c>
      <x:c r="R115" s="17" t="n">
        <x:f t="shared" si="11">IF(ISNUMBER(INDEX('sheet2-计算明细'!$AP$17:$AP$219,$X115)),INDEX('sheet2-计算明细'!$AP$17:$AP$219,$X115),"")</x:f>
        <x:v>100</x:v>
      </x:c>
      <x:c r="S115" s="18" t="n">
        <x:f>IF($X115="","",INDEX('sheet2-计算明细'!$AQ$17:$AQ$219,$X115))</x:f>
        <x:v>1</x:v>
      </x:c>
      <x:c r="T115" s="16" t="n">
        <x:f>IF($X115="","",INDEX('sheet2-计算明细'!$AR$17:$AR$219,$X115))</x:f>
        <x:v>59.81615</x:v>
      </x:c>
      <x:c r="U115" s="17" t="n">
        <x:f t="shared" si="12">IF(S115=0,"",ROUND(T115/S115,2))</x:f>
        <x:v>59.82</x:v>
      </x:c>
      <x:c r="V115" s="17" t="n">
        <x:f t="shared" si="13">IF(ABS(S115-1)&lt;0.00000001,T115,"")</x:f>
        <x:v>59.81615</x:v>
      </x:c>
      <x:c r="W115" s="19" t="str">
        <x:f>IF($X115="","",INDEX('sheet2-计算明细'!$AU$17:$AU$219,$X115))</x:f>
      </x:c>
      <x:c r="X115" s="15" t="n">
        <x:f>IF($A115&gt;COUNT('sheet2-计算明细'!$AT$17:$AT$219),"",MATCH($A115,'sheet2-计算明细'!$AT$17:$AT$219,0))</x:f>
        <x:v>128</x:v>
      </x:c>
    </x:row>
    <x:row r="116" ht="28" customHeight="1">
      <x:c r="A116" s="4" t="n">
        <x:v>111</x:v>
      </x:c>
      <x:c r="B116" s="15" t="str">
        <x:f>IF($X116="","",INDEX('sheet2-计算明细'!$B$17:$B$219,$X116))</x:f>
        <x:v>兆信股指期货期权套利1号A类</x:v>
      </x:c>
      <x:c r="C116" s="15" t="str">
        <x:f>IF($X116="","",INDEX('sheet2-计算明细'!$C$17:$C$219,$X116))</x:f>
        <x:v>XN023A</x:v>
      </x:c>
      <x:c r="D116" s="15" t="str">
        <x:f>IF($X116="","",INDEX('sheet2-计算明细'!$D$17:$D$219,$X116))</x:f>
        <x:v>江苏兆信</x:v>
      </x:c>
      <x:c r="E116" s="15" t="str">
        <x:f>IF($X116="","",INDEX('sheet2-计算明细'!$G$17:$G$219,$X116))</x:f>
        <x:v>入池</x:v>
      </x:c>
      <x:c r="F116" s="16" t="n">
        <x:f>IF($X116="","",INDEX('sheet2-计算明细'!$I$17:$I$219,$X116))</x:f>
        <x:v>90</x:v>
      </x:c>
      <x:c r="G116" s="16" t="str">
        <x:f>IF($X116="","",INDEX('sheet2-计算明细'!$K$17:$K$219,$X116))</x:f>
      </x:c>
      <x:c r="H116" s="16" t="n">
        <x:f>IF($X116="","",INDEX('sheet2-计算明细'!$L$17:$L$219,$X116))</x:f>
        <x:v>100</x:v>
      </x:c>
      <x:c r="I116" s="16" t="n">
        <x:f>IF($X116="","",INDEX('sheet2-计算明细'!$S$17:$S$219,$X116))</x:f>
        <x:v>54.85</x:v>
      </x:c>
      <x:c r="J116" s="16" t="n">
        <x:f>IF($X116="","",INDEX('sheet2-计算明细'!$Y$17:$Y$219,$X116))</x:f>
        <x:v>58.08</x:v>
      </x:c>
      <x:c r="K116" s="16" t="n">
        <x:f>IF($X116="","",INDEX('sheet2-计算明细'!$AC$17:$AC$219,$X116))</x:f>
        <x:v>51.49</x:v>
      </x:c>
      <x:c r="L116" s="16" t="n">
        <x:f>IF($X116="","",INDEX('sheet2-计算明细'!$AI$17:$AI$219,$X116))</x:f>
        <x:v>49.8</x:v>
      </x:c>
      <x:c r="M116" s="16" t="n">
        <x:f>IF($X116="","",INDEX('sheet2-计算明细'!$AK$17:$AK$219,$X116))</x:f>
        <x:v>80</x:v>
      </x:c>
      <x:c r="N116" s="17" t="n">
        <x:f t="shared" si="7">IF(ISNUMBER(INDEX('sheet2-计算明细'!$AL$17:$AL$219,$X116)),INDEX('sheet2-计算明细'!$AL$17:$AL$219,$X116),"")</x:f>
        <x:v>94.29</x:v>
      </x:c>
      <x:c r="O116" s="17" t="n">
        <x:f t="shared" si="8">IF(ISNUMBER(INDEX('sheet2-计算明细'!$AM$17:$AM$219,$X116)),INDEX('sheet2-计算明细'!$AM$17:$AM$219,$X116),"")</x:f>
        <x:v>55.82</x:v>
      </x:c>
      <x:c r="P116" s="17" t="n">
        <x:f t="shared" si="9">IF(ISNUMBER(INDEX('sheet2-计算明细'!$AN$17:$AN$219,$X116)),INDEX('sheet2-计算明细'!$AN$17:$AN$219,$X116),"")</x:f>
        <x:v>51.49</x:v>
      </x:c>
      <x:c r="Q116" s="17" t="n">
        <x:f t="shared" si="10">IF(ISNUMBER(INDEX('sheet2-计算明细'!$AO$17:$AO$219,$X116)),INDEX('sheet2-计算明细'!$AO$17:$AO$219,$X116),"")</x:f>
        <x:v>49.8</x:v>
      </x:c>
      <x:c r="R116" s="17" t="n">
        <x:f t="shared" si="11">IF(ISNUMBER(INDEX('sheet2-计算明细'!$AP$17:$AP$219,$X116)),INDEX('sheet2-计算明细'!$AP$17:$AP$219,$X116),"")</x:f>
        <x:v>80</x:v>
      </x:c>
      <x:c r="S116" s="18" t="n">
        <x:f>IF($X116="","",INDEX('sheet2-计算明细'!$AQ$17:$AQ$219,$X116))</x:f>
        <x:v>0.9550000000000001</x:v>
      </x:c>
      <x:c r="T116" s="16" t="n">
        <x:f>IF($X116="","",INDEX('sheet2-计算明细'!$AR$17:$AR$219,$X116))</x:f>
        <x:v>56.87698999999999</x:v>
      </x:c>
      <x:c r="U116" s="17" t="n">
        <x:f t="shared" si="12">IF(S116=0,"",ROUND(T116/S116,2))</x:f>
        <x:v>59.56</x:v>
      </x:c>
      <x:c r="V116" s="17" t="str">
        <x:f t="shared" si="13">IF(ABS(S116-1)&lt;0.00000001,T116,"")</x:f>
      </x:c>
      <x:c r="W116" s="19" t="str">
        <x:f>IF($X116="","",INDEX('sheet2-计算明细'!$AU$17:$AU$219,$X116))</x:f>
        <x:v>产品规模标识；</x:v>
      </x:c>
      <x:c r="X116" s="15" t="n">
        <x:f>IF($A116&gt;COUNT('sheet2-计算明细'!$AT$17:$AT$219),"",MATCH($A116,'sheet2-计算明细'!$AT$17:$AT$219,0))</x:f>
        <x:v>190</x:v>
      </x:c>
    </x:row>
    <x:row r="117" ht="28" customHeight="1">
      <x:c r="A117" s="4" t="n">
        <x:v>112</x:v>
      </x:c>
      <x:c r="B117" s="15" t="str">
        <x:f>IF($X117="","",INDEX('sheet2-计算明细'!$B$17:$B$219,$X117))</x:f>
        <x:v>殊馥兴义8号</x:v>
      </x:c>
      <x:c r="C117" s="15" t="str">
        <x:f>IF($X117="","",INDEX('sheet2-计算明细'!$C$17:$C$219,$X117))</x:f>
        <x:v>SZA394</x:v>
      </x:c>
      <x:c r="D117" s="15" t="str">
        <x:f>IF($X117="","",INDEX('sheet2-计算明细'!$D$17:$D$219,$X117))</x:f>
        <x:v>上海殊馥投资</x:v>
      </x:c>
      <x:c r="E117" s="15" t="str">
        <x:f>IF($X117="","",INDEX('sheet2-计算明细'!$G$17:$G$219,$X117))</x:f>
        <x:v>入池</x:v>
      </x:c>
      <x:c r="F117" s="16" t="n">
        <x:f>IF($X117="","",INDEX('sheet2-计算明细'!$I$17:$I$219,$X117))</x:f>
        <x:v>80</x:v>
      </x:c>
      <x:c r="G117" s="16" t="n">
        <x:f>IF($X117="","",INDEX('sheet2-计算明细'!$K$17:$K$219,$X117))</x:f>
        <x:v>100</x:v>
      </x:c>
      <x:c r="H117" s="16" t="n">
        <x:f>IF($X117="","",INDEX('sheet2-计算明细'!$L$17:$L$219,$X117))</x:f>
        <x:v>100</x:v>
      </x:c>
      <x:c r="I117" s="16" t="n">
        <x:f>IF($X117="","",INDEX('sheet2-计算明细'!$S$17:$S$219,$X117))</x:f>
        <x:v>96.04</x:v>
      </x:c>
      <x:c r="J117" s="16" t="n">
        <x:f>IF($X117="","",INDEX('sheet2-计算明细'!$Y$17:$Y$219,$X117))</x:f>
        <x:v>68.21</x:v>
      </x:c>
      <x:c r="K117" s="16" t="n">
        <x:f>IF($X117="","",INDEX('sheet2-计算明细'!$AC$17:$AC$219,$X117))</x:f>
        <x:v>8.42</x:v>
      </x:c>
      <x:c r="L117" s="16" t="n">
        <x:f>IF($X117="","",INDEX('sheet2-计算明细'!$AI$17:$AI$219,$X117))</x:f>
        <x:v>53.34</x:v>
      </x:c>
      <x:c r="M117" s="16" t="n">
        <x:f>IF($X117="","",INDEX('sheet2-计算明细'!$AK$17:$AK$219,$X117))</x:f>
        <x:v>100</x:v>
      </x:c>
      <x:c r="N117" s="17" t="n">
        <x:f t="shared" si="7">IF(ISNUMBER(INDEX('sheet2-计算明细'!$AL$17:$AL$219,$X117)),INDEX('sheet2-计算明细'!$AL$17:$AL$219,$X117),"")</x:f>
        <x:v>92</x:v>
      </x:c>
      <x:c r="O117" s="17" t="n">
        <x:f t="shared" si="8">IF(ISNUMBER(INDEX('sheet2-计算明细'!$AM$17:$AM$219,$X117)),INDEX('sheet2-计算明细'!$AM$17:$AM$219,$X117),"")</x:f>
        <x:v>87.69</x:v>
      </x:c>
      <x:c r="P117" s="17" t="n">
        <x:f t="shared" si="9">IF(ISNUMBER(INDEX('sheet2-计算明细'!$AN$17:$AN$219,$X117)),INDEX('sheet2-计算明细'!$AN$17:$AN$219,$X117),"")</x:f>
        <x:v>8.42</x:v>
      </x:c>
      <x:c r="Q117" s="17" t="n">
        <x:f t="shared" si="10">IF(ISNUMBER(INDEX('sheet2-计算明细'!$AO$17:$AO$219,$X117)),INDEX('sheet2-计算明细'!$AO$17:$AO$219,$X117),"")</x:f>
        <x:v>53.34</x:v>
      </x:c>
      <x:c r="R117" s="17" t="n">
        <x:f t="shared" si="11">IF(ISNUMBER(INDEX('sheet2-计算明细'!$AP$17:$AP$219,$X117)),INDEX('sheet2-计算明细'!$AP$17:$AP$219,$X117),"")</x:f>
        <x:v>100</x:v>
      </x:c>
      <x:c r="S117" s="18" t="n">
        <x:f>IF($X117="","",INDEX('sheet2-计算明细'!$AQ$17:$AQ$219,$X117))</x:f>
        <x:v>1</x:v>
      </x:c>
      <x:c r="T117" s="16" t="n">
        <x:f>IF($X117="","",INDEX('sheet2-计算明细'!$AR$17:$AR$219,$X117))</x:f>
        <x:v>59.444700000000005</x:v>
      </x:c>
      <x:c r="U117" s="17" t="n">
        <x:f t="shared" si="12">IF(S117=0,"",ROUND(T117/S117,2))</x:f>
        <x:v>59.44</x:v>
      </x:c>
      <x:c r="V117" s="17" t="n">
        <x:f t="shared" si="13">IF(ABS(S117-1)&lt;0.00000001,T117,"")</x:f>
        <x:v>59.444700000000005</x:v>
      </x:c>
      <x:c r="W117" s="19" t="str">
        <x:f>IF($X117="","",INDEX('sheet2-计算明细'!$AU$17:$AU$219,$X117))</x:f>
      </x:c>
      <x:c r="X117" s="15" t="n">
        <x:f>IF($A117&gt;COUNT('sheet2-计算明细'!$AT$17:$AT$219),"",MATCH($A117,'sheet2-计算明细'!$AT$17:$AT$219,0))</x:f>
        <x:v>171</x:v>
      </x:c>
    </x:row>
    <x:row r="118" ht="28" customHeight="1">
      <x:c r="A118" s="4" t="n">
        <x:v>113</x:v>
      </x:c>
      <x:c r="B118" s="15" t="str">
        <x:f>IF($X118="","",INDEX('sheet2-计算明细'!$B$17:$B$219,$X118))</x:f>
        <x:v>兆信股指期货期权套利1号</x:v>
      </x:c>
      <x:c r="C118" s="15" t="str">
        <x:f>IF($X118="","",INDEX('sheet2-计算明细'!$C$17:$C$219,$X118))</x:f>
        <x:v>SXN023</x:v>
      </x:c>
      <x:c r="D118" s="15" t="str">
        <x:f>IF($X118="","",INDEX('sheet2-计算明细'!$D$17:$D$219,$X118))</x:f>
        <x:v>江苏兆信</x:v>
      </x:c>
      <x:c r="E118" s="15" t="str">
        <x:f>IF($X118="","",INDEX('sheet2-计算明细'!$G$17:$G$219,$X118))</x:f>
        <x:v>入池</x:v>
      </x:c>
      <x:c r="F118" s="16" t="n">
        <x:f>IF($X118="","",INDEX('sheet2-计算明细'!$I$17:$I$219,$X118))</x:f>
        <x:v>90</x:v>
      </x:c>
      <x:c r="G118" s="16" t="n">
        <x:f>IF($X118="","",INDEX('sheet2-计算明细'!$K$17:$K$219,$X118))</x:f>
        <x:v>100</x:v>
      </x:c>
      <x:c r="H118" s="16" t="n">
        <x:f>IF($X118="","",INDEX('sheet2-计算明细'!$L$17:$L$219,$X118))</x:f>
        <x:v>100</x:v>
      </x:c>
      <x:c r="I118" s="16" t="n">
        <x:f>IF($X118="","",INDEX('sheet2-计算明细'!$S$17:$S$219,$X118))</x:f>
        <x:v>54.06</x:v>
      </x:c>
      <x:c r="J118" s="16" t="n">
        <x:f>IF($X118="","",INDEX('sheet2-计算明细'!$Y$17:$Y$219,$X118))</x:f>
        <x:v>62.69</x:v>
      </x:c>
      <x:c r="K118" s="16" t="n">
        <x:f>IF($X118="","",INDEX('sheet2-计算明细'!$AC$17:$AC$219,$X118))</x:f>
        <x:v>49.5</x:v>
      </x:c>
      <x:c r="L118" s="16" t="n">
        <x:f>IF($X118="","",INDEX('sheet2-计算明细'!$AI$17:$AI$219,$X118))</x:f>
        <x:v>32.34</x:v>
      </x:c>
      <x:c r="M118" s="16" t="n">
        <x:f>IF($X118="","",INDEX('sheet2-计算明细'!$AK$17:$AK$219,$X118))</x:f>
        <x:v>80</x:v>
      </x:c>
      <x:c r="N118" s="17" t="n">
        <x:f t="shared" si="7">IF(ISNUMBER(INDEX('sheet2-计算明细'!$AL$17:$AL$219,$X118)),INDEX('sheet2-计算明细'!$AL$17:$AL$219,$X118),"")</x:f>
        <x:v>96</x:v>
      </x:c>
      <x:c r="O118" s="17" t="n">
        <x:f t="shared" si="8">IF(ISNUMBER(INDEX('sheet2-计算明细'!$AM$17:$AM$219,$X118)),INDEX('sheet2-计算明细'!$AM$17:$AM$219,$X118),"")</x:f>
        <x:v>56.65</x:v>
      </x:c>
      <x:c r="P118" s="17" t="n">
        <x:f t="shared" si="9">IF(ISNUMBER(INDEX('sheet2-计算明细'!$AN$17:$AN$219,$X118)),INDEX('sheet2-计算明细'!$AN$17:$AN$219,$X118),"")</x:f>
        <x:v>49.5</x:v>
      </x:c>
      <x:c r="Q118" s="17" t="n">
        <x:f t="shared" si="10">IF(ISNUMBER(INDEX('sheet2-计算明细'!$AO$17:$AO$219,$X118)),INDEX('sheet2-计算明细'!$AO$17:$AO$219,$X118),"")</x:f>
        <x:v>32.34</x:v>
      </x:c>
      <x:c r="R118" s="17" t="n">
        <x:f t="shared" si="11">IF(ISNUMBER(INDEX('sheet2-计算明细'!$AP$17:$AP$219,$X118)),INDEX('sheet2-计算明细'!$AP$17:$AP$219,$X118),"")</x:f>
        <x:v>80</x:v>
      </x:c>
      <x:c r="S118" s="18" t="n">
        <x:f>IF($X118="","",INDEX('sheet2-计算明细'!$AQ$17:$AQ$219,$X118))</x:f>
        <x:v>0.88</x:v>
      </x:c>
      <x:c r="T118" s="16" t="n">
        <x:f>IF($X118="","",INDEX('sheet2-计算明细'!$AR$17:$AR$219,$X118))</x:f>
        <x:v>51.92566</x:v>
      </x:c>
      <x:c r="U118" s="17" t="n">
        <x:f t="shared" si="12">IF(S118=0,"",ROUND(T118/S118,2))</x:f>
        <x:v>59.01</x:v>
      </x:c>
      <x:c r="V118" s="17" t="str">
        <x:f t="shared" si="13">IF(ABS(S118-1)&lt;0.00000001,T118,"")</x:f>
      </x:c>
      <x:c r="W118" s="19" t="str">
        <x:f>IF($X118="","",INDEX('sheet2-计算明细'!$AU$17:$AU$219,$X118))</x:f>
        <x:v>DD_long不可识别；</x:v>
      </x:c>
      <x:c r="X118" s="15" t="n">
        <x:f>IF($A118&gt;COUNT('sheet2-计算明细'!$AT$17:$AT$219),"",MATCH($A118,'sheet2-计算明细'!$AT$17:$AT$219,0))</x:f>
        <x:v>158</x:v>
      </x:c>
    </x:row>
    <x:row r="119" ht="28" customHeight="1">
      <x:c r="A119" s="4" t="n">
        <x:v>114</x:v>
      </x:c>
      <x:c r="B119" s="15" t="str">
        <x:f>IF($X119="","",INDEX('sheet2-计算明细'!$B$17:$B$219,$X119))</x:f>
        <x:v>宣夜投资涓流二号</x:v>
      </x:c>
      <x:c r="C119" s="15" t="str">
        <x:f>IF($X119="","",INDEX('sheet2-计算明细'!$C$17:$C$219,$X119))</x:f>
        <x:v>SQL764</x:v>
      </x:c>
      <x:c r="D119" s="15" t="str">
        <x:f>IF($X119="","",INDEX('sheet2-计算明细'!$D$17:$D$219,$X119))</x:f>
        <x:v>上海宣夜投资</x:v>
      </x:c>
      <x:c r="E119" s="15" t="str">
        <x:f>IF($X119="","",INDEX('sheet2-计算明细'!$G$17:$G$219,$X119))</x:f>
        <x:v>入池</x:v>
      </x:c>
      <x:c r="F119" s="16" t="n">
        <x:f>IF($X119="","",INDEX('sheet2-计算明细'!$I$17:$I$219,$X119))</x:f>
        <x:v>90</x:v>
      </x:c>
      <x:c r="G119" s="16" t="n">
        <x:f>IF($X119="","",INDEX('sheet2-计算明细'!$K$17:$K$219,$X119))</x:f>
        <x:v>100</x:v>
      </x:c>
      <x:c r="H119" s="16" t="n">
        <x:f>IF($X119="","",INDEX('sheet2-计算明细'!$L$17:$L$219,$X119))</x:f>
        <x:v>100</x:v>
      </x:c>
      <x:c r="I119" s="16" t="n">
        <x:f>IF($X119="","",INDEX('sheet2-计算明细'!$S$17:$S$219,$X119))</x:f>
        <x:v>32.28</x:v>
      </x:c>
      <x:c r="J119" s="16" t="n">
        <x:f>IF($X119="","",INDEX('sheet2-计算明细'!$Y$17:$Y$219,$X119))</x:f>
        <x:v>57.69</x:v>
      </x:c>
      <x:c r="K119" s="16" t="n">
        <x:f>IF($X119="","",INDEX('sheet2-计算明细'!$AC$17:$AC$219,$X119))</x:f>
        <x:v>61.39</x:v>
      </x:c>
      <x:c r="L119" s="16" t="n">
        <x:f>IF($X119="","",INDEX('sheet2-计算明细'!$AI$17:$AI$219,$X119))</x:f>
        <x:v>33.83</x:v>
      </x:c>
      <x:c r="M119" s="16" t="n">
        <x:f>IF($X119="","",INDEX('sheet2-计算明细'!$AK$17:$AK$219,$X119))</x:f>
        <x:v>80</x:v>
      </x:c>
      <x:c r="N119" s="17" t="n">
        <x:f t="shared" si="7">IF(ISNUMBER(INDEX('sheet2-计算明细'!$AL$17:$AL$219,$X119)),INDEX('sheet2-计算明细'!$AL$17:$AL$219,$X119),"")</x:f>
        <x:v>96</x:v>
      </x:c>
      <x:c r="O119" s="17" t="n">
        <x:f t="shared" si="8">IF(ISNUMBER(INDEX('sheet2-计算明细'!$AM$17:$AM$219,$X119)),INDEX('sheet2-计算明细'!$AM$17:$AM$219,$X119),"")</x:f>
        <x:v>39.9</x:v>
      </x:c>
      <x:c r="P119" s="17" t="n">
        <x:f t="shared" si="9">IF(ISNUMBER(INDEX('sheet2-计算明细'!$AN$17:$AN$219,$X119)),INDEX('sheet2-计算明细'!$AN$17:$AN$219,$X119),"")</x:f>
        <x:v>61.39</x:v>
      </x:c>
      <x:c r="Q119" s="17" t="n">
        <x:f t="shared" si="10">IF(ISNUMBER(INDEX('sheet2-计算明细'!$AO$17:$AO$219,$X119)),INDEX('sheet2-计算明细'!$AO$17:$AO$219,$X119),"")</x:f>
        <x:v>33.83</x:v>
      </x:c>
      <x:c r="R119" s="17" t="n">
        <x:f t="shared" si="11">IF(ISNUMBER(INDEX('sheet2-计算明细'!$AP$17:$AP$219,$X119)),INDEX('sheet2-计算明细'!$AP$17:$AP$219,$X119),"")</x:f>
        <x:v>80</x:v>
      </x:c>
      <x:c r="S119" s="18" t="n">
        <x:f>IF($X119="","",INDEX('sheet2-计算明细'!$AQ$17:$AQ$219,$X119))</x:f>
        <x:v>0.88</x:v>
      </x:c>
      <x:c r="T119" s="16" t="n">
        <x:f>IF($X119="","",INDEX('sheet2-计算明细'!$AR$17:$AR$219,$X119))</x:f>
        <x:v>51.81681</x:v>
      </x:c>
      <x:c r="U119" s="17" t="n">
        <x:f t="shared" si="12">IF(S119=0,"",ROUND(T119/S119,2))</x:f>
        <x:v>58.88</x:v>
      </x:c>
      <x:c r="V119" s="17" t="str">
        <x:f t="shared" si="13">IF(ABS(S119-1)&lt;0.00000001,T119,"")</x:f>
      </x:c>
      <x:c r="W119" s="19" t="str">
        <x:f>IF($X119="","",INDEX('sheet2-计算明细'!$AU$17:$AU$219,$X119))</x:f>
        <x:v>DD_long不可识别；</x:v>
      </x:c>
      <x:c r="X119" s="15" t="n">
        <x:f>IF($A119&gt;COUNT('sheet2-计算明细'!$AT$17:$AT$219),"",MATCH($A119,'sheet2-计算明细'!$AT$17:$AT$219,0))</x:f>
        <x:v>137</x:v>
      </x:c>
    </x:row>
    <x:row r="120" ht="28" customHeight="1">
      <x:c r="A120" s="4" t="n">
        <x:v>115</x:v>
      </x:c>
      <x:c r="B120" s="15" t="str">
        <x:f>IF($X120="","",INDEX('sheet2-计算明细'!$B$17:$B$219,$X120))</x:f>
        <x:v>悬铃C号9期</x:v>
      </x:c>
      <x:c r="C120" s="15" t="str">
        <x:f>IF($X120="","",INDEX('sheet2-计算明细'!$C$17:$C$219,$X120))</x:f>
        <x:v>SVH343</x:v>
      </x:c>
      <x:c r="D120" s="15" t="str">
        <x:f>IF($X120="","",INDEX('sheet2-计算明细'!$D$17:$D$219,$X120))</x:f>
        <x:v>上海悬铃</x:v>
      </x:c>
      <x:c r="E120" s="15" t="str">
        <x:f>IF($X120="","",INDEX('sheet2-计算明细'!$G$17:$G$219,$X120))</x:f>
        <x:v>入池</x:v>
      </x:c>
      <x:c r="F120" s="16" t="n">
        <x:f>IF($X120="","",INDEX('sheet2-计算明细'!$I$17:$I$219,$X120))</x:f>
        <x:v>90</x:v>
      </x:c>
      <x:c r="G120" s="16" t="n">
        <x:f>IF($X120="","",INDEX('sheet2-计算明细'!$K$17:$K$219,$X120))</x:f>
        <x:v>100</x:v>
      </x:c>
      <x:c r="H120" s="16" t="n">
        <x:f>IF($X120="","",INDEX('sheet2-计算明细'!$L$17:$L$219,$X120))</x:f>
        <x:v>100</x:v>
      </x:c>
      <x:c r="I120" s="16" t="n">
        <x:f>IF($X120="","",INDEX('sheet2-计算明细'!$S$17:$S$219,$X120))</x:f>
        <x:v>68.52</x:v>
      </x:c>
      <x:c r="J120" s="16" t="n">
        <x:f>IF($X120="","",INDEX('sheet2-计算明细'!$Y$17:$Y$219,$X120))</x:f>
        <x:v>66.92</x:v>
      </x:c>
      <x:c r="K120" s="16" t="n">
        <x:f>IF($X120="","",INDEX('sheet2-计算明细'!$AC$17:$AC$219,$X120))</x:f>
        <x:v>32.18</x:v>
      </x:c>
      <x:c r="L120" s="16" t="n">
        <x:f>IF($X120="","",INDEX('sheet2-计算明细'!$AI$17:$AI$219,$X120))</x:f>
        <x:v>48.45</x:v>
      </x:c>
      <x:c r="M120" s="16" t="n">
        <x:f>IF($X120="","",INDEX('sheet2-计算明细'!$AK$17:$AK$219,$X120))</x:f>
        <x:v>80</x:v>
      </x:c>
      <x:c r="N120" s="17" t="n">
        <x:f t="shared" si="7">IF(ISNUMBER(INDEX('sheet2-计算明细'!$AL$17:$AL$219,$X120)),INDEX('sheet2-计算明细'!$AL$17:$AL$219,$X120),"")</x:f>
        <x:v>96</x:v>
      </x:c>
      <x:c r="O120" s="17" t="n">
        <x:f t="shared" si="8">IF(ISNUMBER(INDEX('sheet2-计算明细'!$AM$17:$AM$219,$X120)),INDEX('sheet2-计算明细'!$AM$17:$AM$219,$X120),"")</x:f>
        <x:v>68.04</x:v>
      </x:c>
      <x:c r="P120" s="17" t="n">
        <x:f t="shared" si="9">IF(ISNUMBER(INDEX('sheet2-计算明细'!$AN$17:$AN$219,$X120)),INDEX('sheet2-计算明细'!$AN$17:$AN$219,$X120),"")</x:f>
        <x:v>32.18</x:v>
      </x:c>
      <x:c r="Q120" s="17" t="n">
        <x:f t="shared" si="10">IF(ISNUMBER(INDEX('sheet2-计算明细'!$AO$17:$AO$219,$X120)),INDEX('sheet2-计算明细'!$AO$17:$AO$219,$X120),"")</x:f>
        <x:v>48.45</x:v>
      </x:c>
      <x:c r="R120" s="17" t="n">
        <x:f t="shared" si="11">IF(ISNUMBER(INDEX('sheet2-计算明细'!$AP$17:$AP$219,$X120)),INDEX('sheet2-计算明细'!$AP$17:$AP$219,$X120),"")</x:f>
        <x:v>80</x:v>
      </x:c>
      <x:c r="S120" s="18" t="n">
        <x:f>IF($X120="","",INDEX('sheet2-计算明细'!$AQ$17:$AQ$219,$X120))</x:f>
        <x:v>1</x:v>
      </x:c>
      <x:c r="T120" s="16" t="n">
        <x:f>IF($X120="","",INDEX('sheet2-计算明细'!$AR$17:$AR$219,$X120))</x:f>
        <x:v>58.58733</x:v>
      </x:c>
      <x:c r="U120" s="17" t="n">
        <x:f t="shared" si="12">IF(S120=0,"",ROUND(T120/S120,2))</x:f>
        <x:v>58.59</x:v>
      </x:c>
      <x:c r="V120" s="17" t="n">
        <x:f t="shared" si="13">IF(ABS(S120-1)&lt;0.00000001,T120,"")</x:f>
        <x:v>58.58733</x:v>
      </x:c>
      <x:c r="W120" s="19" t="str">
        <x:f>IF($X120="","",INDEX('sheet2-计算明细'!$AU$17:$AU$219,$X120))</x:f>
      </x:c>
      <x:c r="X120" s="15" t="n">
        <x:f>IF($A120&gt;COUNT('sheet2-计算明细'!$AT$17:$AT$219),"",MATCH($A120,'sheet2-计算明细'!$AT$17:$AT$219,0))</x:f>
        <x:v>45</x:v>
      </x:c>
    </x:row>
    <x:row r="121" ht="28" customHeight="1">
      <x:c r="A121" s="4" t="n">
        <x:v>116</x:v>
      </x:c>
      <x:c r="B121" s="15" t="str">
        <x:f>IF($X121="","",INDEX('sheet2-计算明细'!$B$17:$B$219,$X121))</x:f>
        <x:v>盛冠达试金石3号</x:v>
      </x:c>
      <x:c r="C121" s="15" t="str">
        <x:f>IF($X121="","",INDEX('sheet2-计算明细'!$C$17:$C$219,$X121))</x:f>
        <x:v>SW1709</x:v>
      </x:c>
      <x:c r="D121" s="15" t="str">
        <x:f>IF($X121="","",INDEX('sheet2-计算明细'!$D$17:$D$219,$X121))</x:f>
        <x:v>海南盛冠达</x:v>
      </x:c>
      <x:c r="E121" s="15" t="str">
        <x:f>IF($X121="","",INDEX('sheet2-计算明细'!$G$17:$G$219,$X121))</x:f>
        <x:v>入池</x:v>
      </x:c>
      <x:c r="F121" s="16" t="n">
        <x:f>IF($X121="","",INDEX('sheet2-计算明细'!$I$17:$I$219,$X121))</x:f>
        <x:v>90</x:v>
      </x:c>
      <x:c r="G121" s="16" t="n">
        <x:f>IF($X121="","",INDEX('sheet2-计算明细'!$K$17:$K$219,$X121))</x:f>
        <x:v>100</x:v>
      </x:c>
      <x:c r="H121" s="16" t="n">
        <x:f>IF($X121="","",INDEX('sheet2-计算明细'!$L$17:$L$219,$X121))</x:f>
        <x:v>100</x:v>
      </x:c>
      <x:c r="I121" s="16" t="n">
        <x:f>IF($X121="","",INDEX('sheet2-计算明细'!$S$17:$S$219,$X121))</x:f>
        <x:v>36.83</x:v>
      </x:c>
      <x:c r="J121" s="16" t="n">
        <x:f>IF($X121="","",INDEX('sheet2-计算明细'!$Y$17:$Y$219,$X121))</x:f>
        <x:v>68.21</x:v>
      </x:c>
      <x:c r="K121" s="16" t="n">
        <x:f>IF($X121="","",INDEX('sheet2-计算明细'!$AC$17:$AC$219,$X121))</x:f>
        <x:v>52.97</x:v>
      </x:c>
      <x:c r="L121" s="16" t="n">
        <x:f>IF($X121="","",INDEX('sheet2-计算明细'!$AI$17:$AI$219,$X121))</x:f>
        <x:v>43.99</x:v>
      </x:c>
      <x:c r="M121" s="16" t="n">
        <x:f>IF($X121="","",INDEX('sheet2-计算明细'!$AK$17:$AK$219,$X121))</x:f>
        <x:v>80</x:v>
      </x:c>
      <x:c r="N121" s="17" t="n">
        <x:f t="shared" si="7">IF(ISNUMBER(INDEX('sheet2-计算明细'!$AL$17:$AL$219,$X121)),INDEX('sheet2-计算明细'!$AL$17:$AL$219,$X121),"")</x:f>
        <x:v>96</x:v>
      </x:c>
      <x:c r="O121" s="17" t="n">
        <x:f t="shared" si="8">IF(ISNUMBER(INDEX('sheet2-计算明细'!$AM$17:$AM$219,$X121)),INDEX('sheet2-计算明细'!$AM$17:$AM$219,$X121),"")</x:f>
        <x:v>46.24</x:v>
      </x:c>
      <x:c r="P121" s="17" t="n">
        <x:f t="shared" si="9">IF(ISNUMBER(INDEX('sheet2-计算明细'!$AN$17:$AN$219,$X121)),INDEX('sheet2-计算明细'!$AN$17:$AN$219,$X121),"")</x:f>
        <x:v>52.97</x:v>
      </x:c>
      <x:c r="Q121" s="17" t="n">
        <x:f t="shared" si="10">IF(ISNUMBER(INDEX('sheet2-计算明细'!$AO$17:$AO$219,$X121)),INDEX('sheet2-计算明细'!$AO$17:$AO$219,$X121),"")</x:f>
        <x:v>43.99</x:v>
      </x:c>
      <x:c r="R121" s="17" t="n">
        <x:f t="shared" si="11">IF(ISNUMBER(INDEX('sheet2-计算明细'!$AP$17:$AP$219,$X121)),INDEX('sheet2-计算明细'!$AP$17:$AP$219,$X121),"")</x:f>
        <x:v>80</x:v>
      </x:c>
      <x:c r="S121" s="18" t="n">
        <x:f>IF($X121="","",INDEX('sheet2-计算明细'!$AQ$17:$AQ$219,$X121))</x:f>
        <x:v>1</x:v>
      </x:c>
      <x:c r="T121" s="16" t="n">
        <x:f>IF($X121="","",INDEX('sheet2-计算明细'!$AR$17:$AR$219,$X121))</x:f>
        <x:v>58.087480000000006</x:v>
      </x:c>
      <x:c r="U121" s="17" t="n">
        <x:f t="shared" si="12">IF(S121=0,"",ROUND(T121/S121,2))</x:f>
        <x:v>58.09</x:v>
      </x:c>
      <x:c r="V121" s="17" t="n">
        <x:f t="shared" si="13">IF(ABS(S121-1)&lt;0.00000001,T121,"")</x:f>
        <x:v>58.087480000000006</x:v>
      </x:c>
      <x:c r="W121" s="19" t="str">
        <x:f>IF($X121="","",INDEX('sheet2-计算明细'!$AU$17:$AU$219,$X121))</x:f>
      </x:c>
      <x:c r="X121" s="15" t="n">
        <x:f>IF($A121&gt;COUNT('sheet2-计算明细'!$AT$17:$AT$219),"",MATCH($A121,'sheet2-计算明细'!$AT$17:$AT$219,0))</x:f>
        <x:v>113</x:v>
      </x:c>
    </x:row>
    <x:row r="122" ht="28" customHeight="1">
      <x:c r="A122" s="4" t="n">
        <x:v>117</x:v>
      </x:c>
      <x:c r="B122" s="15" t="str">
        <x:f>IF($X122="","",INDEX('sheet2-计算明细'!$B$17:$B$219,$X122))</x:f>
        <x:v>盛泉恒元量化套利31号</x:v>
      </x:c>
      <x:c r="C122" s="15" t="str">
        <x:f>IF($X122="","",INDEX('sheet2-计算明细'!$C$17:$C$219,$X122))</x:f>
        <x:v>SLM933</x:v>
      </x:c>
      <x:c r="D122" s="15" t="str">
        <x:f>IF($X122="","",INDEX('sheet2-计算明细'!$D$17:$D$219,$X122))</x:f>
        <x:v>南京盛泉恒元投资</x:v>
      </x:c>
      <x:c r="E122" s="15" t="str">
        <x:f>IF($X122="","",INDEX('sheet2-计算明细'!$G$17:$G$219,$X122))</x:f>
        <x:v>入池</x:v>
      </x:c>
      <x:c r="F122" s="16" t="n">
        <x:f>IF($X122="","",INDEX('sheet2-计算明细'!$I$17:$I$219,$X122))</x:f>
        <x:v>100</x:v>
      </x:c>
      <x:c r="G122" s="16" t="n">
        <x:f>IF($X122="","",INDEX('sheet2-计算明细'!$K$17:$K$219,$X122))</x:f>
        <x:v>100</x:v>
      </x:c>
      <x:c r="H122" s="16" t="n">
        <x:f>IF($X122="","",INDEX('sheet2-计算明细'!$L$17:$L$219,$X122))</x:f>
        <x:v>100</x:v>
      </x:c>
      <x:c r="I122" s="16" t="n">
        <x:f>IF($X122="","",INDEX('sheet2-计算明细'!$S$17:$S$219,$X122))</x:f>
        <x:v>60.2</x:v>
      </x:c>
      <x:c r="J122" s="16" t="n">
        <x:f>IF($X122="","",INDEX('sheet2-计算明细'!$Y$17:$Y$219,$X122))</x:f>
        <x:v>74.48</x:v>
      </x:c>
      <x:c r="K122" s="16" t="n">
        <x:f>IF($X122="","",INDEX('sheet2-计算明细'!$AC$17:$AC$219,$X122))</x:f>
        <x:v>37.62</x:v>
      </x:c>
      <x:c r="L122" s="16" t="n">
        <x:f>IF($X122="","",INDEX('sheet2-计算明细'!$AI$17:$AI$219,$X122))</x:f>
        <x:v>34.98</x:v>
      </x:c>
      <x:c r="M122" s="16" t="n">
        <x:f>IF($X122="","",INDEX('sheet2-计算明细'!$AK$17:$AK$219,$X122))</x:f>
        <x:v>100</x:v>
      </x:c>
      <x:c r="N122" s="17" t="n">
        <x:f t="shared" si="7">IF(ISNUMBER(INDEX('sheet2-计算明细'!$AL$17:$AL$219,$X122)),INDEX('sheet2-计算明细'!$AL$17:$AL$219,$X122),"")</x:f>
        <x:v>100</x:v>
      </x:c>
      <x:c r="O122" s="17" t="n">
        <x:f t="shared" si="8">IF(ISNUMBER(INDEX('sheet2-计算明细'!$AM$17:$AM$219,$X122)),INDEX('sheet2-计算明细'!$AM$17:$AM$219,$X122),"")</x:f>
        <x:v>64.48</x:v>
      </x:c>
      <x:c r="P122" s="17" t="n">
        <x:f t="shared" si="9">IF(ISNUMBER(INDEX('sheet2-计算明细'!$AN$17:$AN$219,$X122)),INDEX('sheet2-计算明细'!$AN$17:$AN$219,$X122),"")</x:f>
        <x:v>37.62</x:v>
      </x:c>
      <x:c r="Q122" s="17" t="n">
        <x:f t="shared" si="10">IF(ISNUMBER(INDEX('sheet2-计算明细'!$AO$17:$AO$219,$X122)),INDEX('sheet2-计算明细'!$AO$17:$AO$219,$X122),"")</x:f>
        <x:v>34.98</x:v>
      </x:c>
      <x:c r="R122" s="17" t="n">
        <x:f t="shared" si="11">IF(ISNUMBER(INDEX('sheet2-计算明细'!$AP$17:$AP$219,$X122)),INDEX('sheet2-计算明细'!$AP$17:$AP$219,$X122),"")</x:f>
        <x:v>100</x:v>
      </x:c>
      <x:c r="S122" s="18" t="n">
        <x:f>IF($X122="","",INDEX('sheet2-计算明细'!$AQ$17:$AQ$219,$X122))</x:f>
        <x:v>1</x:v>
      </x:c>
      <x:c r="T122" s="16" t="n">
        <x:f>IF($X122="","",INDEX('sheet2-计算明细'!$AR$17:$AR$219,$X122))</x:f>
        <x:v>57.79457</x:v>
      </x:c>
      <x:c r="U122" s="17" t="n">
        <x:f t="shared" si="12">IF(S122=0,"",ROUND(T122/S122,2))</x:f>
        <x:v>57.79</x:v>
      </x:c>
      <x:c r="V122" s="17" t="n">
        <x:f t="shared" si="13">IF(ABS(S122-1)&lt;0.00000001,T122,"")</x:f>
        <x:v>57.79457</x:v>
      </x:c>
      <x:c r="W122" s="19" t="str">
        <x:f>IF($X122="","",INDEX('sheet2-计算明细'!$AU$17:$AU$219,$X122))</x:f>
      </x:c>
      <x:c r="X122" s="15" t="n">
        <x:f>IF($A122&gt;COUNT('sheet2-计算明细'!$AT$17:$AT$219),"",MATCH($A122,'sheet2-计算明细'!$AT$17:$AT$219,0))</x:f>
        <x:v>131</x:v>
      </x:c>
    </x:row>
    <x:row r="123" ht="28" customHeight="1">
      <x:c r="A123" s="4" t="n">
        <x:v>118</x:v>
      </x:c>
      <x:c r="B123" s="15" t="str">
        <x:f>IF($X123="","",INDEX('sheet2-计算明细'!$B$17:$B$219,$X123))</x:f>
        <x:v>鹿秀驯鹿10号</x:v>
      </x:c>
      <x:c r="C123" s="15" t="str">
        <x:f>IF($X123="","",INDEX('sheet2-计算明细'!$C$17:$C$219,$X123))</x:f>
        <x:v>SNK594</x:v>
      </x:c>
      <x:c r="D123" s="15" t="str">
        <x:f>IF($X123="","",INDEX('sheet2-计算明细'!$D$17:$D$219,$X123))</x:f>
        <x:v>青岛鹿秀投资</x:v>
      </x:c>
      <x:c r="E123" s="15" t="str">
        <x:f>IF($X123="","",INDEX('sheet2-计算明细'!$G$17:$G$219,$X123))</x:f>
        <x:v>入池</x:v>
      </x:c>
      <x:c r="F123" s="16" t="n">
        <x:f>IF($X123="","",INDEX('sheet2-计算明细'!$I$17:$I$219,$X123))</x:f>
        <x:v>90</x:v>
      </x:c>
      <x:c r="G123" s="16" t="n">
        <x:f>IF($X123="","",INDEX('sheet2-计算明细'!$K$17:$K$219,$X123))</x:f>
        <x:v>100</x:v>
      </x:c>
      <x:c r="H123" s="16" t="n">
        <x:f>IF($X123="","",INDEX('sheet2-计算明细'!$L$17:$L$219,$X123))</x:f>
        <x:v>100</x:v>
      </x:c>
      <x:c r="I123" s="16" t="n">
        <x:f>IF($X123="","",INDEX('sheet2-计算明细'!$S$17:$S$219,$X123))</x:f>
        <x:v>98.02</x:v>
      </x:c>
      <x:c r="J123" s="16" t="n">
        <x:f>IF($X123="","",INDEX('sheet2-计算明细'!$Y$17:$Y$219,$X123))</x:f>
        <x:v>65.26</x:v>
      </x:c>
      <x:c r="K123" s="16" t="n">
        <x:f>IF($X123="","",INDEX('sheet2-计算明细'!$AC$17:$AC$219,$X123))</x:f>
        <x:v>5.45</x:v>
      </x:c>
      <x:c r="L123" s="16" t="n">
        <x:f>IF($X123="","",INDEX('sheet2-计算明细'!$AI$17:$AI$219,$X123))</x:f>
        <x:v>41.29</x:v>
      </x:c>
      <x:c r="M123" s="16" t="n">
        <x:f>IF($X123="","",INDEX('sheet2-计算明细'!$AK$17:$AK$219,$X123))</x:f>
        <x:v>100</x:v>
      </x:c>
      <x:c r="N123" s="17" t="n">
        <x:f t="shared" si="7">IF(ISNUMBER(INDEX('sheet2-计算明细'!$AL$17:$AL$219,$X123)),INDEX('sheet2-计算明细'!$AL$17:$AL$219,$X123),"")</x:f>
        <x:v>96</x:v>
      </x:c>
      <x:c r="O123" s="17" t="n">
        <x:f t="shared" si="8">IF(ISNUMBER(INDEX('sheet2-计算明细'!$AM$17:$AM$219,$X123)),INDEX('sheet2-计算明细'!$AM$17:$AM$219,$X123),"")</x:f>
        <x:v>88.19</x:v>
      </x:c>
      <x:c r="P123" s="17" t="n">
        <x:f t="shared" si="9">IF(ISNUMBER(INDEX('sheet2-计算明细'!$AN$17:$AN$219,$X123)),INDEX('sheet2-计算明细'!$AN$17:$AN$219,$X123),"")</x:f>
        <x:v>5.45</x:v>
      </x:c>
      <x:c r="Q123" s="17" t="n">
        <x:f t="shared" si="10">IF(ISNUMBER(INDEX('sheet2-计算明细'!$AO$17:$AO$219,$X123)),INDEX('sheet2-计算明细'!$AO$17:$AO$219,$X123),"")</x:f>
        <x:v>41.29</x:v>
      </x:c>
      <x:c r="R123" s="17" t="n">
        <x:f t="shared" si="11">IF(ISNUMBER(INDEX('sheet2-计算明细'!$AP$17:$AP$219,$X123)),INDEX('sheet2-计算明细'!$AP$17:$AP$219,$X123),"")</x:f>
        <x:v>100</x:v>
      </x:c>
      <x:c r="S123" s="18" t="n">
        <x:f>IF($X123="","",INDEX('sheet2-计算明细'!$AQ$17:$AQ$219,$X123))</x:f>
        <x:v>0.88</x:v>
      </x:c>
      <x:c r="T123" s="16" t="n">
        <x:f>IF($X123="","",INDEX('sheet2-计算明细'!$AR$17:$AR$219,$X123))</x:f>
        <x:v>50.83273</x:v>
      </x:c>
      <x:c r="U123" s="17" t="n">
        <x:f t="shared" si="12">IF(S123=0,"",ROUND(T123/S123,2))</x:f>
        <x:v>57.76</x:v>
      </x:c>
      <x:c r="V123" s="17" t="str">
        <x:f t="shared" si="13">IF(ABS(S123-1)&lt;0.00000001,T123,"")</x:f>
      </x:c>
      <x:c r="W123" s="19" t="str">
        <x:f>IF($X123="","",INDEX('sheet2-计算明细'!$AU$17:$AU$219,$X123))</x:f>
        <x:v>DD_long不可识别；</x:v>
      </x:c>
      <x:c r="X123" s="15" t="n">
        <x:f>IF($A123&gt;COUNT('sheet2-计算明细'!$AT$17:$AT$219),"",MATCH($A123,'sheet2-计算明细'!$AT$17:$AT$219,0))</x:f>
        <x:v>92</x:v>
      </x:c>
    </x:row>
    <x:row r="124" ht="28" customHeight="1">
      <x:c r="A124" s="4" t="n">
        <x:v>119</x:v>
      </x:c>
      <x:c r="B124" s="15" t="str">
        <x:f>IF($X124="","",INDEX('sheet2-计算明细'!$B$17:$B$219,$X124))</x:f>
        <x:v>杭州探融-锦鲤智能量化3号</x:v>
      </x:c>
      <x:c r="C124" s="15" t="str">
        <x:f>IF($X124="","",INDEX('sheet2-计算明细'!$C$17:$C$219,$X124))</x:f>
        <x:v>SQC001</x:v>
      </x:c>
      <x:c r="D124" s="15" t="str">
        <x:f>IF($X124="","",INDEX('sheet2-计算明细'!$D$17:$D$219,$X124))</x:f>
        <x:v>杭州探融投资</x:v>
      </x:c>
      <x:c r="E124" s="15" t="str">
        <x:f>IF($X124="","",INDEX('sheet2-计算明细'!$G$17:$G$219,$X124))</x:f>
        <x:v>入池</x:v>
      </x:c>
      <x:c r="F124" s="16" t="n">
        <x:f>IF($X124="","",INDEX('sheet2-计算明细'!$I$17:$I$219,$X124))</x:f>
        <x:v>60</x:v>
      </x:c>
      <x:c r="G124" s="16" t="n">
        <x:f>IF($X124="","",INDEX('sheet2-计算明细'!$K$17:$K$219,$X124))</x:f>
        <x:v>100</x:v>
      </x:c>
      <x:c r="H124" s="16" t="n">
        <x:f>IF($X124="","",INDEX('sheet2-计算明细'!$L$17:$L$219,$X124))</x:f>
        <x:v>100</x:v>
      </x:c>
      <x:c r="I124" s="16" t="n">
        <x:f>IF($X124="","",INDEX('sheet2-计算明细'!$S$17:$S$219,$X124))</x:f>
        <x:v>29.11</x:v>
      </x:c>
      <x:c r="J124" s="16" t="n">
        <x:f>IF($X124="","",INDEX('sheet2-计算明细'!$Y$17:$Y$219,$X124))</x:f>
        <x:v>54.36</x:v>
      </x:c>
      <x:c r="K124" s="16" t="n">
        <x:f>IF($X124="","",INDEX('sheet2-计算明细'!$AC$17:$AC$219,$X124))</x:f>
        <x:v>70.05</x:v>
      </x:c>
      <x:c r="L124" s="16" t="n">
        <x:f>IF($X124="","",INDEX('sheet2-计算明细'!$AI$17:$AI$219,$X124))</x:f>
        <x:v>39.68</x:v>
      </x:c>
      <x:c r="M124" s="16" t="n">
        <x:f>IF($X124="","",INDEX('sheet2-计算明细'!$AK$17:$AK$219,$X124))</x:f>
        <x:v>80</x:v>
      </x:c>
      <x:c r="N124" s="17" t="n">
        <x:f t="shared" si="7">IF(ISNUMBER(INDEX('sheet2-计算明细'!$AL$17:$AL$219,$X124)),INDEX('sheet2-计算明细'!$AL$17:$AL$219,$X124),"")</x:f>
        <x:v>84</x:v>
      </x:c>
      <x:c r="O124" s="17" t="n">
        <x:f t="shared" si="8">IF(ISNUMBER(INDEX('sheet2-计算明细'!$AM$17:$AM$219,$X124)),INDEX('sheet2-计算明细'!$AM$17:$AM$219,$X124),"")</x:f>
        <x:v>36.68</x:v>
      </x:c>
      <x:c r="P124" s="17" t="n">
        <x:f t="shared" si="9">IF(ISNUMBER(INDEX('sheet2-计算明细'!$AN$17:$AN$219,$X124)),INDEX('sheet2-计算明细'!$AN$17:$AN$219,$X124),"")</x:f>
        <x:v>70.05</x:v>
      </x:c>
      <x:c r="Q124" s="17" t="n">
        <x:f t="shared" si="10">IF(ISNUMBER(INDEX('sheet2-计算明细'!$AO$17:$AO$219,$X124)),INDEX('sheet2-计算明细'!$AO$17:$AO$219,$X124),"")</x:f>
        <x:v>39.68</x:v>
      </x:c>
      <x:c r="R124" s="17" t="n">
        <x:f t="shared" si="11">IF(ISNUMBER(INDEX('sheet2-计算明细'!$AP$17:$AP$219,$X124)),INDEX('sheet2-计算明细'!$AP$17:$AP$219,$X124),"")</x:f>
        <x:v>80</x:v>
      </x:c>
      <x:c r="S124" s="18" t="n">
        <x:f>IF($X124="","",INDEX('sheet2-计算明细'!$AQ$17:$AQ$219,$X124))</x:f>
        <x:v>1</x:v>
      </x:c>
      <x:c r="T124" s="16" t="n">
        <x:f>IF($X124="","",INDEX('sheet2-计算明细'!$AR$17:$AR$219,$X124))</x:f>
        <x:v>57.35428999999999</x:v>
      </x:c>
      <x:c r="U124" s="17" t="n">
        <x:f t="shared" si="12">IF(S124=0,"",ROUND(T124/S124,2))</x:f>
        <x:v>57.35</x:v>
      </x:c>
      <x:c r="V124" s="17" t="n">
        <x:f t="shared" si="13">IF(ABS(S124-1)&lt;0.00000001,T124,"")</x:f>
        <x:v>57.35428999999999</x:v>
      </x:c>
      <x:c r="W124" s="19" t="str">
        <x:f>IF($X124="","",INDEX('sheet2-计算明细'!$AU$17:$AU$219,$X124))</x:f>
      </x:c>
      <x:c r="X124" s="15" t="n">
        <x:f>IF($A124&gt;COUNT('sheet2-计算明细'!$AT$17:$AT$219),"",MATCH($A124,'sheet2-计算明细'!$AT$17:$AT$219,0))</x:f>
        <x:v>29</x:v>
      </x:c>
    </x:row>
    <x:row r="125" ht="28" customHeight="1">
      <x:c r="A125" s="4" t="n">
        <x:v>120</x:v>
      </x:c>
      <x:c r="B125" s="15" t="str">
        <x:f>IF($X125="","",INDEX('sheet2-计算明细'!$B$17:$B$219,$X125))</x:f>
        <x:v>盛冠达量化套利6号</x:v>
      </x:c>
      <x:c r="C125" s="15" t="str">
        <x:f>IF($X125="","",INDEX('sheet2-计算明细'!$C$17:$C$219,$X125))</x:f>
        <x:v>SJZ209</x:v>
      </x:c>
      <x:c r="D125" s="15" t="str">
        <x:f>IF($X125="","",INDEX('sheet2-计算明细'!$D$17:$D$219,$X125))</x:f>
        <x:v>海南盛冠达</x:v>
      </x:c>
      <x:c r="E125" s="15" t="str">
        <x:f>IF($X125="","",INDEX('sheet2-计算明细'!$G$17:$G$219,$X125))</x:f>
        <x:v>入池</x:v>
      </x:c>
      <x:c r="F125" s="16" t="n">
        <x:f>IF($X125="","",INDEX('sheet2-计算明细'!$I$17:$I$219,$X125))</x:f>
        <x:v>90</x:v>
      </x:c>
      <x:c r="G125" s="16" t="n">
        <x:f>IF($X125="","",INDEX('sheet2-计算明细'!$K$17:$K$219,$X125))</x:f>
        <x:v>100</x:v>
      </x:c>
      <x:c r="H125" s="16" t="n">
        <x:f>IF($X125="","",INDEX('sheet2-计算明细'!$L$17:$L$219,$X125))</x:f>
        <x:v>100</x:v>
      </x:c>
      <x:c r="I125" s="16" t="n">
        <x:f>IF($X125="","",INDEX('sheet2-计算明细'!$S$17:$S$219,$X125))</x:f>
        <x:v>31.54</x:v>
      </x:c>
      <x:c r="J125" s="16" t="n">
        <x:f>IF($X125="","",INDEX('sheet2-计算明细'!$Y$17:$Y$219,$X125))</x:f>
        <x:v>63.59</x:v>
      </x:c>
      <x:c r="K125" s="16" t="n">
        <x:f>IF($X125="","",INDEX('sheet2-计算明细'!$AC$17:$AC$219,$X125))</x:f>
        <x:v>50.5</x:v>
      </x:c>
      <x:c r="L125" s="16" t="n">
        <x:f>IF($X125="","",INDEX('sheet2-计算明细'!$AI$17:$AI$219,$X125))</x:f>
        <x:v>39.98</x:v>
      </x:c>
      <x:c r="M125" s="16" t="n">
        <x:f>IF($X125="","",INDEX('sheet2-计算明细'!$AK$17:$AK$219,$X125))</x:f>
        <x:v>100</x:v>
      </x:c>
      <x:c r="N125" s="17" t="n">
        <x:f t="shared" si="7">IF(ISNUMBER(INDEX('sheet2-计算明细'!$AL$17:$AL$219,$X125)),INDEX('sheet2-计算明细'!$AL$17:$AL$219,$X125),"")</x:f>
        <x:v>96</x:v>
      </x:c>
      <x:c r="O125" s="17" t="n">
        <x:f t="shared" si="8">IF(ISNUMBER(INDEX('sheet2-计算明细'!$AM$17:$AM$219,$X125)),INDEX('sheet2-计算明细'!$AM$17:$AM$219,$X125),"")</x:f>
        <x:v>41.15</x:v>
      </x:c>
      <x:c r="P125" s="17" t="n">
        <x:f t="shared" si="9">IF(ISNUMBER(INDEX('sheet2-计算明细'!$AN$17:$AN$219,$X125)),INDEX('sheet2-计算明细'!$AN$17:$AN$219,$X125),"")</x:f>
        <x:v>50.5</x:v>
      </x:c>
      <x:c r="Q125" s="17" t="n">
        <x:f t="shared" si="10">IF(ISNUMBER(INDEX('sheet2-计算明细'!$AO$17:$AO$219,$X125)),INDEX('sheet2-计算明细'!$AO$17:$AO$219,$X125),"")</x:f>
        <x:v>39.98</x:v>
      </x:c>
      <x:c r="R125" s="17" t="n">
        <x:f t="shared" si="11">IF(ISNUMBER(INDEX('sheet2-计算明细'!$AP$17:$AP$219,$X125)),INDEX('sheet2-计算明细'!$AP$17:$AP$219,$X125),"")</x:f>
        <x:v>100</x:v>
      </x:c>
      <x:c r="S125" s="18" t="n">
        <x:f>IF($X125="","",INDEX('sheet2-计算明细'!$AQ$17:$AQ$219,$X125))</x:f>
        <x:v>1</x:v>
      </x:c>
      <x:c r="T125" s="16" t="n">
        <x:f>IF($X125="","",INDEX('sheet2-计算明细'!$AR$17:$AR$219,$X125))</x:f>
        <x:v>57.250159999999994</x:v>
      </x:c>
      <x:c r="U125" s="17" t="n">
        <x:f t="shared" si="12">IF(S125=0,"",ROUND(T125/S125,2))</x:f>
        <x:v>57.25</x:v>
      </x:c>
      <x:c r="V125" s="17" t="n">
        <x:f t="shared" si="13">IF(ABS(S125-1)&lt;0.00000001,T125,"")</x:f>
        <x:v>57.250159999999994</x:v>
      </x:c>
      <x:c r="W125" s="19" t="str">
        <x:f>IF($X125="","",INDEX('sheet2-计算明细'!$AU$17:$AU$219,$X125))</x:f>
      </x:c>
      <x:c r="X125" s="15" t="n">
        <x:f>IF($A125&gt;COUNT('sheet2-计算明细'!$AT$17:$AT$219),"",MATCH($A125,'sheet2-计算明细'!$AT$17:$AT$219,0))</x:f>
        <x:v>127</x:v>
      </x:c>
    </x:row>
    <x:row r="126" ht="28" customHeight="1">
      <x:c r="A126" s="4" t="n">
        <x:v>121</x:v>
      </x:c>
      <x:c r="B126" s="15" t="str">
        <x:f>IF($X126="","",INDEX('sheet2-计算明细'!$B$17:$B$219,$X126))</x:f>
        <x:v>锐耐复利倍增2号</x:v>
      </x:c>
      <x:c r="C126" s="15" t="str">
        <x:f>IF($X126="","",INDEX('sheet2-计算明细'!$C$17:$C$219,$X126))</x:f>
        <x:v>SXV513</x:v>
      </x:c>
      <x:c r="D126" s="15" t="str">
        <x:f>IF($X126="","",INDEX('sheet2-计算明细'!$D$17:$D$219,$X126))</x:f>
        <x:v>上海锐耐</x:v>
      </x:c>
      <x:c r="E126" s="15" t="str">
        <x:f>IF($X126="","",INDEX('sheet2-计算明细'!$G$17:$G$219,$X126))</x:f>
        <x:v>入池</x:v>
      </x:c>
      <x:c r="F126" s="16" t="n">
        <x:f>IF($X126="","",INDEX('sheet2-计算明细'!$I$17:$I$219,$X126))</x:f>
        <x:v>90</x:v>
      </x:c>
      <x:c r="G126" s="16" t="n">
        <x:f>IF($X126="","",INDEX('sheet2-计算明细'!$K$17:$K$219,$X126))</x:f>
        <x:v>100</x:v>
      </x:c>
      <x:c r="H126" s="16" t="n">
        <x:f>IF($X126="","",INDEX('sheet2-计算明细'!$L$17:$L$219,$X126))</x:f>
        <x:v>100</x:v>
      </x:c>
      <x:c r="I126" s="16" t="n">
        <x:f>IF($X126="","",INDEX('sheet2-计算明细'!$S$17:$S$219,$X126))</x:f>
        <x:v>50.6</x:v>
      </x:c>
      <x:c r="J126" s="16" t="n">
        <x:f>IF($X126="","",INDEX('sheet2-计算明细'!$Y$17:$Y$219,$X126))</x:f>
        <x:v>62.31</x:v>
      </x:c>
      <x:c r="K126" s="16" t="n">
        <x:f>IF($X126="","",INDEX('sheet2-计算明细'!$AC$17:$AC$219,$X126))</x:f>
        <x:v>46.53</x:v>
      </x:c>
      <x:c r="L126" s="16" t="n">
        <x:f>IF($X126="","",INDEX('sheet2-计算明细'!$AI$17:$AI$219,$X126))</x:f>
        <x:v>28.36</x:v>
      </x:c>
      <x:c r="M126" s="16" t="n">
        <x:f>IF($X126="","",INDEX('sheet2-计算明细'!$AK$17:$AK$219,$X126))</x:f>
        <x:v>80</x:v>
      </x:c>
      <x:c r="N126" s="17" t="n">
        <x:f t="shared" si="7">IF(ISNUMBER(INDEX('sheet2-计算明细'!$AL$17:$AL$219,$X126)),INDEX('sheet2-计算明细'!$AL$17:$AL$219,$X126),"")</x:f>
        <x:v>96</x:v>
      </x:c>
      <x:c r="O126" s="17" t="n">
        <x:f t="shared" si="8">IF(ISNUMBER(INDEX('sheet2-计算明细'!$AM$17:$AM$219,$X126)),INDEX('sheet2-计算明细'!$AM$17:$AM$219,$X126),"")</x:f>
        <x:v>54.11</x:v>
      </x:c>
      <x:c r="P126" s="17" t="n">
        <x:f t="shared" si="9">IF(ISNUMBER(INDEX('sheet2-计算明细'!$AN$17:$AN$219,$X126)),INDEX('sheet2-计算明细'!$AN$17:$AN$219,$X126),"")</x:f>
        <x:v>46.53</x:v>
      </x:c>
      <x:c r="Q126" s="17" t="n">
        <x:f t="shared" si="10">IF(ISNUMBER(INDEX('sheet2-计算明细'!$AO$17:$AO$219,$X126)),INDEX('sheet2-计算明细'!$AO$17:$AO$219,$X126),"")</x:f>
        <x:v>28.36</x:v>
      </x:c>
      <x:c r="R126" s="17" t="n">
        <x:f t="shared" si="11">IF(ISNUMBER(INDEX('sheet2-计算明细'!$AP$17:$AP$219,$X126)),INDEX('sheet2-计算明细'!$AP$17:$AP$219,$X126),"")</x:f>
        <x:v>80</x:v>
      </x:c>
      <x:c r="S126" s="18" t="n">
        <x:f>IF($X126="","",INDEX('sheet2-计算明细'!$AQ$17:$AQ$219,$X126))</x:f>
        <x:v>0.88</x:v>
      </x:c>
      <x:c r="T126" s="16" t="n">
        <x:f>IF($X126="","",INDEX('sheet2-计算明细'!$AR$17:$AR$219,$X126))</x:f>
        <x:v>49.959379999999996</x:v>
      </x:c>
      <x:c r="U126" s="17" t="n">
        <x:f t="shared" si="12">IF(S126=0,"",ROUND(T126/S126,2))</x:f>
        <x:v>56.77</x:v>
      </x:c>
      <x:c r="V126" s="17" t="str">
        <x:f t="shared" si="13">IF(ABS(S126-1)&lt;0.00000001,T126,"")</x:f>
      </x:c>
      <x:c r="W126" s="19" t="str">
        <x:f>IF($X126="","",INDEX('sheet2-计算明细'!$AU$17:$AU$219,$X126))</x:f>
        <x:v>DD_long不可识别；</x:v>
      </x:c>
      <x:c r="X126" s="15" t="n">
        <x:f>IF($A126&gt;COUNT('sheet2-计算明细'!$AT$17:$AT$219),"",MATCH($A126,'sheet2-计算明细'!$AT$17:$AT$219,0))</x:f>
        <x:v>167</x:v>
      </x:c>
    </x:row>
    <x:row r="127" ht="28" customHeight="1">
      <x:c r="A127" s="4" t="n">
        <x:v>122</x:v>
      </x:c>
      <x:c r="B127" s="15" t="str">
        <x:f>IF($X127="","",INDEX('sheet2-计算明细'!$B$17:$B$219,$X127))</x:f>
        <x:v>岳鑫遥1号</x:v>
      </x:c>
      <x:c r="C127" s="15" t="str">
        <x:f>IF($X127="","",INDEX('sheet2-计算明细'!$C$17:$C$219,$X127))</x:f>
        <x:v>SXJ331</x:v>
      </x:c>
      <x:c r="D127" s="15" t="str">
        <x:f>IF($X127="","",INDEX('sheet2-计算明细'!$D$17:$D$219,$X127))</x:f>
        <x:v>北京岳鑫遥</x:v>
      </x:c>
      <x:c r="E127" s="15" t="str">
        <x:f>IF($X127="","",INDEX('sheet2-计算明细'!$G$17:$G$219,$X127))</x:f>
        <x:v>入池</x:v>
      </x:c>
      <x:c r="F127" s="16" t="n">
        <x:f>IF($X127="","",INDEX('sheet2-计算明细'!$I$17:$I$219,$X127))</x:f>
        <x:v>70</x:v>
      </x:c>
      <x:c r="G127" s="16" t="n">
        <x:f>IF($X127="","",INDEX('sheet2-计算明细'!$K$17:$K$219,$X127))</x:f>
        <x:v>100</x:v>
      </x:c>
      <x:c r="H127" s="16" t="n">
        <x:f>IF($X127="","",INDEX('sheet2-计算明细'!$L$17:$L$219,$X127))</x:f>
        <x:v>100</x:v>
      </x:c>
      <x:c r="I127" s="16" t="n">
        <x:f>IF($X127="","",INDEX('sheet2-计算明细'!$S$17:$S$219,$X127))</x:f>
        <x:v>96.04</x:v>
      </x:c>
      <x:c r="J127" s="16" t="n">
        <x:f>IF($X127="","",INDEX('sheet2-计算明细'!$Y$17:$Y$219,$X127))</x:f>
        <x:v>73.21</x:v>
      </x:c>
      <x:c r="K127" s="16" t="n">
        <x:f>IF($X127="","",INDEX('sheet2-计算明细'!$AC$17:$AC$219,$X127))</x:f>
        <x:v>5.94</x:v>
      </x:c>
      <x:c r="L127" s="16" t="n">
        <x:f>IF($X127="","",INDEX('sheet2-计算明细'!$AI$17:$AI$219,$X127))</x:f>
        <x:v>38.81</x:v>
      </x:c>
      <x:c r="M127" s="16" t="n">
        <x:f>IF($X127="","",INDEX('sheet2-计算明细'!$AK$17:$AK$219,$X127))</x:f>
        <x:v>100</x:v>
      </x:c>
      <x:c r="N127" s="17" t="n">
        <x:f t="shared" si="7">IF(ISNUMBER(INDEX('sheet2-计算明细'!$AL$17:$AL$219,$X127)),INDEX('sheet2-计算明细'!$AL$17:$AL$219,$X127),"")</x:f>
        <x:v>88</x:v>
      </x:c>
      <x:c r="O127" s="17" t="n">
        <x:f t="shared" si="8">IF(ISNUMBER(INDEX('sheet2-计算明细'!$AM$17:$AM$219,$X127)),INDEX('sheet2-计算明细'!$AM$17:$AM$219,$X127),"")</x:f>
        <x:v>89.19</x:v>
      </x:c>
      <x:c r="P127" s="17" t="n">
        <x:f t="shared" si="9">IF(ISNUMBER(INDEX('sheet2-计算明细'!$AN$17:$AN$219,$X127)),INDEX('sheet2-计算明细'!$AN$17:$AN$219,$X127),"")</x:f>
        <x:v>5.94</x:v>
      </x:c>
      <x:c r="Q127" s="17" t="n">
        <x:f t="shared" si="10">IF(ISNUMBER(INDEX('sheet2-计算明细'!$AO$17:$AO$219,$X127)),INDEX('sheet2-计算明细'!$AO$17:$AO$219,$X127),"")</x:f>
        <x:v>38.81</x:v>
      </x:c>
      <x:c r="R127" s="17" t="n">
        <x:f t="shared" si="11">IF(ISNUMBER(INDEX('sheet2-计算明细'!$AP$17:$AP$219,$X127)),INDEX('sheet2-计算明细'!$AP$17:$AP$219,$X127),"")</x:f>
        <x:v>100</x:v>
      </x:c>
      <x:c r="S127" s="18" t="n">
        <x:f>IF($X127="","",INDEX('sheet2-计算明细'!$AQ$17:$AQ$219,$X127))</x:f>
        <x:v>0.88</x:v>
      </x:c>
      <x:c r="T127" s="16" t="n">
        <x:f>IF($X127="","",INDEX('sheet2-计算明细'!$AR$17:$AR$219,$X127))</x:f>
        <x:v>49.508849999999995</x:v>
      </x:c>
      <x:c r="U127" s="17" t="n">
        <x:f t="shared" si="12">IF(S127=0,"",ROUND(T127/S127,2))</x:f>
        <x:v>56.26</x:v>
      </x:c>
      <x:c r="V127" s="17" t="str">
        <x:f t="shared" si="13">IF(ABS(S127-1)&lt;0.00000001,T127,"")</x:f>
      </x:c>
      <x:c r="W127" s="19" t="str">
        <x:f>IF($X127="","",INDEX('sheet2-计算明细'!$AU$17:$AU$219,$X127))</x:f>
        <x:v>DD_long不可识别；</x:v>
      </x:c>
      <x:c r="X127" s="15" t="n">
        <x:f>IF($A127&gt;COUNT('sheet2-计算明细'!$AT$17:$AT$219),"",MATCH($A127,'sheet2-计算明细'!$AT$17:$AT$219,0))</x:f>
        <x:v>157</x:v>
      </x:c>
    </x:row>
    <x:row r="128" ht="28" customHeight="1">
      <x:c r="A128" s="4" t="n">
        <x:v>123</x:v>
      </x:c>
      <x:c r="B128" s="15" t="str">
        <x:f>IF($X128="","",INDEX('sheet2-计算明细'!$B$17:$B$219,$X128))</x:f>
        <x:v>炽浪衍复9号</x:v>
      </x:c>
      <x:c r="C128" s="15" t="str">
        <x:f>IF($X128="","",INDEX('sheet2-计算明细'!$C$17:$C$219,$X128))</x:f>
        <x:v>SXH337</x:v>
      </x:c>
      <x:c r="D128" s="15" t="str">
        <x:f>IF($X128="","",INDEX('sheet2-计算明细'!$D$17:$D$219,$X128))</x:f>
        <x:v>海南炽浪</x:v>
      </x:c>
      <x:c r="E128" s="15" t="str">
        <x:f>IF($X128="","",INDEX('sheet2-计算明细'!$G$17:$G$219,$X128))</x:f>
        <x:v>入池</x:v>
      </x:c>
      <x:c r="F128" s="16" t="n">
        <x:f>IF($X128="","",INDEX('sheet2-计算明细'!$I$17:$I$219,$X128))</x:f>
        <x:v>60</x:v>
      </x:c>
      <x:c r="G128" s="16" t="n">
        <x:f>IF($X128="","",INDEX('sheet2-计算明细'!$K$17:$K$219,$X128))</x:f>
        <x:v>100</x:v>
      </x:c>
      <x:c r="H128" s="16" t="n">
        <x:f>IF($X128="","",INDEX('sheet2-计算明细'!$L$17:$L$219,$X128))</x:f>
        <x:v>100</x:v>
      </x:c>
      <x:c r="I128" s="16" t="n">
        <x:f>IF($X128="","",INDEX('sheet2-计算明细'!$S$17:$S$219,$X128))</x:f>
        <x:v>98.51</x:v>
      </x:c>
      <x:c r="J128" s="16" t="n">
        <x:f>IF($X128="","",INDEX('sheet2-计算明细'!$Y$17:$Y$219,$X128))</x:f>
        <x:v>58.59</x:v>
      </x:c>
      <x:c r="K128" s="16" t="n">
        <x:f>IF($X128="","",INDEX('sheet2-计算明细'!$AC$17:$AC$219,$X128))</x:f>
        <x:v>4.46</x:v>
      </x:c>
      <x:c r="L128" s="16" t="n">
        <x:f>IF($X128="","",INDEX('sheet2-计算明细'!$AI$17:$AI$219,$X128))</x:f>
        <x:v>50.17</x:v>
      </x:c>
      <x:c r="M128" s="16" t="n">
        <x:f>IF($X128="","",INDEX('sheet2-计算明细'!$AK$17:$AK$219,$X128))</x:f>
        <x:v>100</x:v>
      </x:c>
      <x:c r="N128" s="17" t="n">
        <x:f t="shared" si="7">IF(ISNUMBER(INDEX('sheet2-计算明细'!$AL$17:$AL$219,$X128)),INDEX('sheet2-计算明细'!$AL$17:$AL$219,$X128),"")</x:f>
        <x:v>84</x:v>
      </x:c>
      <x:c r="O128" s="17" t="n">
        <x:f t="shared" si="8">IF(ISNUMBER(INDEX('sheet2-计算明细'!$AM$17:$AM$219,$X128)),INDEX('sheet2-计算明细'!$AM$17:$AM$219,$X128),"")</x:f>
        <x:v>86.54</x:v>
      </x:c>
      <x:c r="P128" s="17" t="n">
        <x:f t="shared" si="9">IF(ISNUMBER(INDEX('sheet2-计算明细'!$AN$17:$AN$219,$X128)),INDEX('sheet2-计算明细'!$AN$17:$AN$219,$X128),"")</x:f>
        <x:v>4.46</x:v>
      </x:c>
      <x:c r="Q128" s="17" t="n">
        <x:f t="shared" si="10">IF(ISNUMBER(INDEX('sheet2-计算明细'!$AO$17:$AO$219,$X128)),INDEX('sheet2-计算明细'!$AO$17:$AO$219,$X128),"")</x:f>
        <x:v>50.17</x:v>
      </x:c>
      <x:c r="R128" s="17" t="n">
        <x:f t="shared" si="11">IF(ISNUMBER(INDEX('sheet2-计算明细'!$AP$17:$AP$219,$X128)),INDEX('sheet2-计算明细'!$AP$17:$AP$219,$X128),"")</x:f>
        <x:v>100</x:v>
      </x:c>
      <x:c r="S128" s="18" t="n">
        <x:f>IF($X128="","",INDEX('sheet2-计算明细'!$AQ$17:$AQ$219,$X128))</x:f>
        <x:v>1</x:v>
      </x:c>
      <x:c r="T128" s="16" t="n">
        <x:f>IF($X128="","",INDEX('sheet2-计算明细'!$AR$17:$AR$219,$X128))</x:f>
        <x:v>56.07321999999999</x:v>
      </x:c>
      <x:c r="U128" s="17" t="n">
        <x:f t="shared" si="12">IF(S128=0,"",ROUND(T128/S128,2))</x:f>
        <x:v>56.07</x:v>
      </x:c>
      <x:c r="V128" s="17" t="n">
        <x:f t="shared" si="13">IF(ABS(S128-1)&lt;0.00000001,T128,"")</x:f>
        <x:v>56.07321999999999</x:v>
      </x:c>
      <x:c r="W128" s="19" t="str">
        <x:f>IF($X128="","",INDEX('sheet2-计算明细'!$AU$17:$AU$219,$X128))</x:f>
      </x:c>
      <x:c r="X128" s="15" t="n">
        <x:f>IF($A128&gt;COUNT('sheet2-计算明细'!$AT$17:$AT$219),"",MATCH($A128,'sheet2-计算明细'!$AT$17:$AT$219,0))</x:f>
        <x:v>156</x:v>
      </x:c>
    </x:row>
    <x:row r="129" ht="28" customHeight="1">
      <x:c r="A129" s="4" t="n">
        <x:v>124</x:v>
      </x:c>
      <x:c r="B129" s="15" t="str">
        <x:f>IF($X129="","",INDEX('sheet2-计算明细'!$B$17:$B$219,$X129))</x:f>
        <x:v>鑫翰启明复合策略三期</x:v>
      </x:c>
      <x:c r="C129" s="15" t="str">
        <x:f>IF($X129="","",INDEX('sheet2-计算明细'!$C$17:$C$219,$X129))</x:f>
        <x:v>SZR346</x:v>
      </x:c>
      <x:c r="D129" s="15" t="str">
        <x:f>IF($X129="","",INDEX('sheet2-计算明细'!$D$17:$D$219,$X129))</x:f>
        <x:v>北京鑫翰资管</x:v>
      </x:c>
      <x:c r="E129" s="15" t="str">
        <x:f>IF($X129="","",INDEX('sheet2-计算明细'!$G$17:$G$219,$X129))</x:f>
        <x:v>入池</x:v>
      </x:c>
      <x:c r="F129" s="16" t="n">
        <x:f>IF($X129="","",INDEX('sheet2-计算明细'!$I$17:$I$219,$X129))</x:f>
        <x:v>60</x:v>
      </x:c>
      <x:c r="G129" s="16" t="n">
        <x:f>IF($X129="","",INDEX('sheet2-计算明细'!$K$17:$K$219,$X129))</x:f>
        <x:v>100</x:v>
      </x:c>
      <x:c r="H129" s="16" t="n">
        <x:f>IF($X129="","",INDEX('sheet2-计算明细'!$L$17:$L$219,$X129))</x:f>
        <x:v>100</x:v>
      </x:c>
      <x:c r="I129" s="16" t="n">
        <x:f>IF($X129="","",INDEX('sheet2-计算明细'!$S$17:$S$219,$X129))</x:f>
        <x:v>37.92</x:v>
      </x:c>
      <x:c r="J129" s="16" t="n">
        <x:f>IF($X129="","",INDEX('sheet2-计算明细'!$Y$17:$Y$219,$X129))</x:f>
        <x:v>65.26</x:v>
      </x:c>
      <x:c r="K129" s="16" t="n">
        <x:f>IF($X129="","",INDEX('sheet2-计算明细'!$AC$17:$AC$219,$X129))</x:f>
        <x:v>53.96</x:v>
      </x:c>
      <x:c r="L129" s="16" t="n">
        <x:f>IF($X129="","",INDEX('sheet2-计算明细'!$AI$17:$AI$219,$X129))</x:f>
        <x:v>40.35</x:v>
      </x:c>
      <x:c r="M129" s="16" t="n">
        <x:f>IF($X129="","",INDEX('sheet2-计算明细'!$AK$17:$AK$219,$X129))</x:f>
        <x:v>80</x:v>
      </x:c>
      <x:c r="N129" s="17" t="n">
        <x:f t="shared" si="7">IF(ISNUMBER(INDEX('sheet2-计算明细'!$AL$17:$AL$219,$X129)),INDEX('sheet2-计算明细'!$AL$17:$AL$219,$X129),"")</x:f>
        <x:v>84</x:v>
      </x:c>
      <x:c r="O129" s="17" t="n">
        <x:f t="shared" si="8">IF(ISNUMBER(INDEX('sheet2-计算明细'!$AM$17:$AM$219,$X129)),INDEX('sheet2-计算明细'!$AM$17:$AM$219,$X129),"")</x:f>
        <x:v>46.12</x:v>
      </x:c>
      <x:c r="P129" s="17" t="n">
        <x:f t="shared" si="9">IF(ISNUMBER(INDEX('sheet2-计算明细'!$AN$17:$AN$219,$X129)),INDEX('sheet2-计算明细'!$AN$17:$AN$219,$X129),"")</x:f>
        <x:v>53.96</x:v>
      </x:c>
      <x:c r="Q129" s="17" t="n">
        <x:f t="shared" si="10">IF(ISNUMBER(INDEX('sheet2-计算明细'!$AO$17:$AO$219,$X129)),INDEX('sheet2-计算明细'!$AO$17:$AO$219,$X129),"")</x:f>
        <x:v>40.35</x:v>
      </x:c>
      <x:c r="R129" s="17" t="n">
        <x:f t="shared" si="11">IF(ISNUMBER(INDEX('sheet2-计算明细'!$AP$17:$AP$219,$X129)),INDEX('sheet2-计算明细'!$AP$17:$AP$219,$X129),"")</x:f>
        <x:v>80</x:v>
      </x:c>
      <x:c r="S129" s="18" t="n">
        <x:f>IF($X129="","",INDEX('sheet2-计算明细'!$AQ$17:$AQ$219,$X129))</x:f>
        <x:v>1</x:v>
      </x:c>
      <x:c r="T129" s="16" t="n">
        <x:f>IF($X129="","",INDEX('sheet2-计算明细'!$AR$17:$AR$219,$X129))</x:f>
        <x:v>55.42106999999999</x:v>
      </x:c>
      <x:c r="U129" s="17" t="n">
        <x:f t="shared" si="12">IF(S129=0,"",ROUND(T129/S129,2))</x:f>
        <x:v>55.42</x:v>
      </x:c>
      <x:c r="V129" s="17" t="n">
        <x:f t="shared" si="13">IF(ABS(S129-1)&lt;0.00000001,T129,"")</x:f>
        <x:v>55.42106999999999</x:v>
      </x:c>
      <x:c r="W129" s="19" t="str">
        <x:f>IF($X129="","",INDEX('sheet2-计算明细'!$AU$17:$AU$219,$X129))</x:f>
      </x:c>
      <x:c r="X129" s="15" t="n">
        <x:f>IF($A129&gt;COUNT('sheet2-计算明细'!$AT$17:$AT$219),"",MATCH($A129,'sheet2-计算明细'!$AT$17:$AT$219,0))</x:f>
        <x:v>184</x:v>
      </x:c>
    </x:row>
    <x:row r="130" ht="28" customHeight="1">
      <x:c r="A130" s="4" t="n">
        <x:v>125</x:v>
      </x:c>
      <x:c r="B130" s="15" t="str">
        <x:f>IF($X130="","",INDEX('sheet2-计算明细'!$B$17:$B$219,$X130))</x:f>
        <x:v>蒙森斯道特恒星三号</x:v>
      </x:c>
      <x:c r="C130" s="15" t="str">
        <x:f>IF($X130="","",INDEX('sheet2-计算明细'!$C$17:$C$219,$X130))</x:f>
        <x:v>SJM626</x:v>
      </x:c>
      <x:c r="D130" s="15" t="str">
        <x:f>IF($X130="","",INDEX('sheet2-计算明细'!$D$17:$D$219,$X130))</x:f>
        <x:v>上海蒙森投资</x:v>
      </x:c>
      <x:c r="E130" s="15" t="str">
        <x:f>IF($X130="","",INDEX('sheet2-计算明细'!$G$17:$G$219,$X130))</x:f>
        <x:v>入池</x:v>
      </x:c>
      <x:c r="F130" s="16" t="n">
        <x:f>IF($X130="","",INDEX('sheet2-计算明细'!$I$17:$I$219,$X130))</x:f>
        <x:v>60</x:v>
      </x:c>
      <x:c r="G130" s="16" t="n">
        <x:f>IF($X130="","",INDEX('sheet2-计算明细'!$K$17:$K$219,$X130))</x:f>
        <x:v>100</x:v>
      </x:c>
      <x:c r="H130" s="16" t="n">
        <x:f>IF($X130="","",INDEX('sheet2-计算明细'!$L$17:$L$219,$X130))</x:f>
        <x:v>100</x:v>
      </x:c>
      <x:c r="I130" s="16" t="n">
        <x:f>IF($X130="","",INDEX('sheet2-计算明细'!$S$17:$S$219,$X130))</x:f>
        <x:v>61.39</x:v>
      </x:c>
      <x:c r="J130" s="16" t="n">
        <x:f>IF($X130="","",INDEX('sheet2-计算明细'!$Y$17:$Y$219,$X130))</x:f>
        <x:v>41.8</x:v>
      </x:c>
      <x:c r="K130" s="16" t="n">
        <x:f>IF($X130="","",INDEX('sheet2-计算明细'!$AC$17:$AC$219,$X130))</x:f>
        <x:v>33.66</x:v>
      </x:c>
      <x:c r="L130" s="16" t="n">
        <x:f>IF($X130="","",INDEX('sheet2-计算明细'!$AI$17:$AI$219,$X130))</x:f>
        <x:v>43.25</x:v>
      </x:c>
      <x:c r="M130" s="16" t="n">
        <x:f>IF($X130="","",INDEX('sheet2-计算明细'!$AK$17:$AK$219,$X130))</x:f>
        <x:v>100</x:v>
      </x:c>
      <x:c r="N130" s="17" t="n">
        <x:f t="shared" si="7">IF(ISNUMBER(INDEX('sheet2-计算明细'!$AL$17:$AL$219,$X130)),INDEX('sheet2-计算明细'!$AL$17:$AL$219,$X130),"")</x:f>
        <x:v>84</x:v>
      </x:c>
      <x:c r="O130" s="17" t="n">
        <x:f t="shared" si="8">IF(ISNUMBER(INDEX('sheet2-计算明细'!$AM$17:$AM$219,$X130)),INDEX('sheet2-计算明细'!$AM$17:$AM$219,$X130),"")</x:f>
        <x:v>55.51</x:v>
      </x:c>
      <x:c r="P130" s="17" t="n">
        <x:f t="shared" si="9">IF(ISNUMBER(INDEX('sheet2-计算明细'!$AN$17:$AN$219,$X130)),INDEX('sheet2-计算明细'!$AN$17:$AN$219,$X130),"")</x:f>
        <x:v>33.66</x:v>
      </x:c>
      <x:c r="Q130" s="17" t="n">
        <x:f t="shared" si="10">IF(ISNUMBER(INDEX('sheet2-计算明细'!$AO$17:$AO$219,$X130)),INDEX('sheet2-计算明细'!$AO$17:$AO$219,$X130),"")</x:f>
        <x:v>43.25</x:v>
      </x:c>
      <x:c r="R130" s="17" t="n">
        <x:f t="shared" si="11">IF(ISNUMBER(INDEX('sheet2-计算明细'!$AP$17:$AP$219,$X130)),INDEX('sheet2-计算明细'!$AP$17:$AP$219,$X130),"")</x:f>
        <x:v>100</x:v>
      </x:c>
      <x:c r="S130" s="18" t="n">
        <x:f>IF($X130="","",INDEX('sheet2-计算明细'!$AQ$17:$AQ$219,$X130))</x:f>
        <x:v>1</x:v>
      </x:c>
      <x:c r="T130" s="16" t="n">
        <x:f>IF($X130="","",INDEX('sheet2-计算明细'!$AR$17:$AR$219,$X130))</x:f>
        <x:v>55.09148</x:v>
      </x:c>
      <x:c r="U130" s="17" t="n">
        <x:f t="shared" si="12">IF(S130=0,"",ROUND(T130/S130,2))</x:f>
        <x:v>55.09</x:v>
      </x:c>
      <x:c r="V130" s="17" t="n">
        <x:f t="shared" si="13">IF(ABS(S130-1)&lt;0.00000001,T130,"")</x:f>
        <x:v>55.09148</x:v>
      </x:c>
      <x:c r="W130" s="19" t="str">
        <x:f>IF($X130="","",INDEX('sheet2-计算明细'!$AU$17:$AU$219,$X130))</x:f>
      </x:c>
      <x:c r="X130" s="15" t="n">
        <x:f>IF($A130&gt;COUNT('sheet2-计算明细'!$AT$17:$AT$219),"",MATCH($A130,'sheet2-计算明细'!$AT$17:$AT$219,0))</x:f>
        <x:v>20</x:v>
      </x:c>
    </x:row>
    <x:row r="131" ht="28" customHeight="1">
      <x:c r="A131" s="4" t="n">
        <x:v>126</x:v>
      </x:c>
      <x:c r="B131" s="15" t="str">
        <x:f>IF($X131="","",INDEX('sheet2-计算明细'!$B$17:$B$219,$X131))</x:f>
        <x:v>展弘优选套利运作1号A类</x:v>
      </x:c>
      <x:c r="C131" s="15" t="str">
        <x:f>IF($X131="","",INDEX('sheet2-计算明细'!$C$17:$C$219,$X131))</x:f>
        <x:v>B2690A</x:v>
      </x:c>
      <x:c r="D131" s="15" t="str">
        <x:f>IF($X131="","",INDEX('sheet2-计算明细'!$D$17:$D$219,$X131))</x:f>
        <x:v>上海展弘投资</x:v>
      </x:c>
      <x:c r="E131" s="15" t="str">
        <x:f>IF($X131="","",INDEX('sheet2-计算明细'!$G$17:$G$219,$X131))</x:f>
        <x:v>入池</x:v>
      </x:c>
      <x:c r="F131" s="16" t="n">
        <x:f>IF($X131="","",INDEX('sheet2-计算明细'!$I$17:$I$219,$X131))</x:f>
        <x:v>100</x:v>
      </x:c>
      <x:c r="G131" s="16" t="str">
        <x:f>IF($X131="","",INDEX('sheet2-计算明细'!$K$17:$K$219,$X131))</x:f>
      </x:c>
      <x:c r="H131" s="16" t="n">
        <x:f>IF($X131="","",INDEX('sheet2-计算明细'!$L$17:$L$219,$X131))</x:f>
        <x:v>100</x:v>
      </x:c>
      <x:c r="I131" s="16" t="n">
        <x:f>IF($X131="","",INDEX('sheet2-计算明细'!$S$17:$S$219,$X131))</x:f>
        <x:v>40.4</x:v>
      </x:c>
      <x:c r="J131" s="16" t="n">
        <x:f>IF($X131="","",INDEX('sheet2-计算明细'!$Y$17:$Y$219,$X131))</x:f>
        <x:v>59.36</x:v>
      </x:c>
      <x:c r="K131" s="16" t="n">
        <x:f>IF($X131="","",INDEX('sheet2-计算明细'!$AC$17:$AC$219,$X131))</x:f>
        <x:v>42.82</x:v>
      </x:c>
      <x:c r="L131" s="16" t="n">
        <x:f>IF($X131="","",INDEX('sheet2-计算明细'!$AI$17:$AI$219,$X131))</x:f>
        <x:v>46.43</x:v>
      </x:c>
      <x:c r="M131" s="16" t="n">
        <x:f>IF($X131="","",INDEX('sheet2-计算明细'!$AK$17:$AK$219,$X131))</x:f>
        <x:v>80</x:v>
      </x:c>
      <x:c r="N131" s="17" t="n">
        <x:f t="shared" si="7">IF(ISNUMBER(INDEX('sheet2-计算明细'!$AL$17:$AL$219,$X131)),INDEX('sheet2-计算明细'!$AL$17:$AL$219,$X131),"")</x:f>
        <x:v>100</x:v>
      </x:c>
      <x:c r="O131" s="17" t="n">
        <x:f t="shared" si="8">IF(ISNUMBER(INDEX('sheet2-计算明细'!$AM$17:$AM$219,$X131)),INDEX('sheet2-计算明细'!$AM$17:$AM$219,$X131),"")</x:f>
        <x:v>46.08</x:v>
      </x:c>
      <x:c r="P131" s="17" t="n">
        <x:f t="shared" si="9">IF(ISNUMBER(INDEX('sheet2-计算明细'!$AN$17:$AN$219,$X131)),INDEX('sheet2-计算明细'!$AN$17:$AN$219,$X131),"")</x:f>
        <x:v>42.82</x:v>
      </x:c>
      <x:c r="Q131" s="17" t="n">
        <x:f t="shared" si="10">IF(ISNUMBER(INDEX('sheet2-计算明细'!$AO$17:$AO$219,$X131)),INDEX('sheet2-计算明细'!$AO$17:$AO$219,$X131),"")</x:f>
        <x:v>46.43</x:v>
      </x:c>
      <x:c r="R131" s="17" t="n">
        <x:f t="shared" si="11">IF(ISNUMBER(INDEX('sheet2-计算明细'!$AP$17:$AP$219,$X131)),INDEX('sheet2-计算明细'!$AP$17:$AP$219,$X131),"")</x:f>
        <x:v>80</x:v>
      </x:c>
      <x:c r="S131" s="18" t="n">
        <x:f>IF($X131="","",INDEX('sheet2-计算明细'!$AQ$17:$AQ$219,$X131))</x:f>
        <x:v>0.9550000000000001</x:v>
      </x:c>
      <x:c r="T131" s="16" t="n">
        <x:f>IF($X131="","",INDEX('sheet2-计算明细'!$AR$17:$AR$219,$X131))</x:f>
        <x:v>52.35218</x:v>
      </x:c>
      <x:c r="U131" s="17" t="n">
        <x:f t="shared" si="12">IF(S131=0,"",ROUND(T131/S131,2))</x:f>
        <x:v>54.82</x:v>
      </x:c>
      <x:c r="V131" s="17" t="str">
        <x:f t="shared" si="13">IF(ABS(S131-1)&lt;0.00000001,T131,"")</x:f>
      </x:c>
      <x:c r="W131" s="19" t="str">
        <x:f>IF($X131="","",INDEX('sheet2-计算明细'!$AU$17:$AU$219,$X131))</x:f>
        <x:v>产品规模标识；</x:v>
      </x:c>
      <x:c r="X131" s="15" t="n">
        <x:f>IF($A131&gt;COUNT('sheet2-计算明细'!$AT$17:$AT$219),"",MATCH($A131,'sheet2-计算明细'!$AT$17:$AT$219,0))</x:f>
        <x:v>195</x:v>
      </x:c>
    </x:row>
    <x:row r="132" ht="28" customHeight="1">
      <x:c r="A132" s="4" t="n">
        <x:v>127</x:v>
      </x:c>
      <x:c r="B132" s="15" t="str">
        <x:f>IF($X132="","",INDEX('sheet2-计算明细'!$B$17:$B$219,$X132))</x:f>
        <x:v>鑫泰禾汇投1号</x:v>
      </x:c>
      <x:c r="C132" s="15" t="str">
        <x:f>IF($X132="","",INDEX('sheet2-计算明细'!$C$17:$C$219,$X132))</x:f>
        <x:v>SZP735</x:v>
      </x:c>
      <x:c r="D132" s="15" t="str">
        <x:f>IF($X132="","",INDEX('sheet2-计算明细'!$D$17:$D$219,$X132))</x:f>
        <x:v>深圳鑫泰禾</x:v>
      </x:c>
      <x:c r="E132" s="15" t="str">
        <x:f>IF($X132="","",INDEX('sheet2-计算明细'!$G$17:$G$219,$X132))</x:f>
        <x:v>入池</x:v>
      </x:c>
      <x:c r="F132" s="16" t="n">
        <x:f>IF($X132="","",INDEX('sheet2-计算明细'!$I$17:$I$219,$X132))</x:f>
        <x:v>60</x:v>
      </x:c>
      <x:c r="G132" s="16" t="n">
        <x:f>IF($X132="","",INDEX('sheet2-计算明细'!$K$17:$K$219,$X132))</x:f>
        <x:v>0</x:v>
      </x:c>
      <x:c r="H132" s="16" t="n">
        <x:f>IF($X132="","",INDEX('sheet2-计算明细'!$L$17:$L$219,$X132))</x:f>
        <x:v>100</x:v>
      </x:c>
      <x:c r="I132" s="16" t="n">
        <x:f>IF($X132="","",INDEX('sheet2-计算明细'!$S$17:$S$219,$X132))</x:f>
        <x:v>62.08</x:v>
      </x:c>
      <x:c r="J132" s="16" t="n">
        <x:f>IF($X132="","",INDEX('sheet2-计算明细'!$Y$17:$Y$219,$X132))</x:f>
        <x:v>68.21</x:v>
      </x:c>
      <x:c r="K132" s="16" t="n">
        <x:f>IF($X132="","",INDEX('sheet2-计算明细'!$AC$17:$AC$219,$X132))</x:f>
        <x:v>29.21</x:v>
      </x:c>
      <x:c r="L132" s="16" t="n">
        <x:f>IF($X132="","",INDEX('sheet2-计算明细'!$AI$17:$AI$219,$X132))</x:f>
        <x:v>61.62</x:v>
      </x:c>
      <x:c r="M132" s="16" t="n">
        <x:f>IF($X132="","",INDEX('sheet2-计算明细'!$AK$17:$AK$219,$X132))</x:f>
        <x:v>80</x:v>
      </x:c>
      <x:c r="N132" s="17" t="n">
        <x:f t="shared" si="7">IF(ISNUMBER(INDEX('sheet2-计算明细'!$AL$17:$AL$219,$X132)),INDEX('sheet2-计算明细'!$AL$17:$AL$219,$X132),"")</x:f>
        <x:v>54</x:v>
      </x:c>
      <x:c r="O132" s="17" t="n">
        <x:f t="shared" si="8">IF(ISNUMBER(INDEX('sheet2-计算明细'!$AM$17:$AM$219,$X132)),INDEX('sheet2-计算明细'!$AM$17:$AM$219,$X132),"")</x:f>
        <x:v>63.92</x:v>
      </x:c>
      <x:c r="P132" s="17" t="n">
        <x:f t="shared" si="9">IF(ISNUMBER(INDEX('sheet2-计算明细'!$AN$17:$AN$219,$X132)),INDEX('sheet2-计算明细'!$AN$17:$AN$219,$X132),"")</x:f>
        <x:v>29.21</x:v>
      </x:c>
      <x:c r="Q132" s="17" t="n">
        <x:f t="shared" si="10">IF(ISNUMBER(INDEX('sheet2-计算明细'!$AO$17:$AO$219,$X132)),INDEX('sheet2-计算明细'!$AO$17:$AO$219,$X132),"")</x:f>
        <x:v>61.62</x:v>
      </x:c>
      <x:c r="R132" s="17" t="n">
        <x:f t="shared" si="11">IF(ISNUMBER(INDEX('sheet2-计算明细'!$AP$17:$AP$219,$X132)),INDEX('sheet2-计算明细'!$AP$17:$AP$219,$X132),"")</x:f>
        <x:v>80</x:v>
      </x:c>
      <x:c r="S132" s="18" t="n">
        <x:f>IF($X132="","",INDEX('sheet2-计算明细'!$AQ$17:$AQ$219,$X132))</x:f>
        <x:v>1</x:v>
      </x:c>
      <x:c r="T132" s="16" t="n">
        <x:f>IF($X132="","",INDEX('sheet2-计算明细'!$AR$17:$AR$219,$X132))</x:f>
        <x:v>54.67088</x:v>
      </x:c>
      <x:c r="U132" s="17" t="n">
        <x:f t="shared" si="12">IF(S132=0,"",ROUND(T132/S132,2))</x:f>
        <x:v>54.67</x:v>
      </x:c>
      <x:c r="V132" s="17" t="n">
        <x:f t="shared" si="13">IF(ABS(S132-1)&lt;0.00000001,T132,"")</x:f>
        <x:v>54.67088</x:v>
      </x:c>
      <x:c r="W132" s="19" t="str">
        <x:f>IF($X132="","",INDEX('sheet2-计算明细'!$AU$17:$AU$219,$X132))</x:f>
      </x:c>
      <x:c r="X132" s="15" t="n">
        <x:f>IF($A132&gt;COUNT('sheet2-计算明细'!$AT$17:$AT$219),"",MATCH($A132,'sheet2-计算明细'!$AT$17:$AT$219,0))</x:f>
        <x:v>66</x:v>
      </x:c>
    </x:row>
    <x:row r="133" ht="28" customHeight="1">
      <x:c r="A133" s="4" t="n">
        <x:v>128</x:v>
      </x:c>
      <x:c r="B133" s="15" t="str">
        <x:f>IF($X133="","",INDEX('sheet2-计算明细'!$B$17:$B$219,$X133))</x:f>
        <x:v>金和至信稳健12号</x:v>
      </x:c>
      <x:c r="C133" s="15" t="str">
        <x:f>IF($X133="","",INDEX('sheet2-计算明细'!$C$17:$C$219,$X133))</x:f>
        <x:v>SB5534</x:v>
      </x:c>
      <x:c r="D133" s="15" t="str">
        <x:f>IF($X133="","",INDEX('sheet2-计算明细'!$D$17:$D$219,$X133))</x:f>
        <x:v>上海金和晟</x:v>
      </x:c>
      <x:c r="E133" s="15" t="str">
        <x:f>IF($X133="","",INDEX('sheet2-计算明细'!$G$17:$G$219,$X133))</x:f>
        <x:v>入池</x:v>
      </x:c>
      <x:c r="F133" s="16" t="n">
        <x:f>IF($X133="","",INDEX('sheet2-计算明细'!$I$17:$I$219,$X133))</x:f>
        <x:v>90</x:v>
      </x:c>
      <x:c r="G133" s="16" t="n">
        <x:f>IF($X133="","",INDEX('sheet2-计算明细'!$K$17:$K$219,$X133))</x:f>
        <x:v>100</x:v>
      </x:c>
      <x:c r="H133" s="16" t="n">
        <x:f>IF($X133="","",INDEX('sheet2-计算明细'!$L$17:$L$219,$X133))</x:f>
        <x:v>100</x:v>
      </x:c>
      <x:c r="I133" s="16" t="n">
        <x:f>IF($X133="","",INDEX('sheet2-计算明细'!$S$17:$S$219,$X133))</x:f>
        <x:v>42.57</x:v>
      </x:c>
      <x:c r="J133" s="16" t="n">
        <x:f>IF($X133="","",INDEX('sheet2-计算明细'!$Y$17:$Y$219,$X133))</x:f>
        <x:v>85.77</x:v>
      </x:c>
      <x:c r="K133" s="16" t="n">
        <x:f>IF($X133="","",INDEX('sheet2-计算明细'!$AC$17:$AC$219,$X133))</x:f>
        <x:v>27.23</x:v>
      </x:c>
      <x:c r="L133" s="16" t="n">
        <x:f>IF($X133="","",INDEX('sheet2-计算明细'!$AI$17:$AI$219,$X133))</x:f>
        <x:v>47.54</x:v>
      </x:c>
      <x:c r="M133" s="16" t="n">
        <x:f>IF($X133="","",INDEX('sheet2-计算明细'!$AK$17:$AK$219,$X133))</x:f>
        <x:v>80</x:v>
      </x:c>
      <x:c r="N133" s="17" t="n">
        <x:f t="shared" si="7">IF(ISNUMBER(INDEX('sheet2-计算明细'!$AL$17:$AL$219,$X133)),INDEX('sheet2-计算明细'!$AL$17:$AL$219,$X133),"")</x:f>
        <x:v>96</x:v>
      </x:c>
      <x:c r="O133" s="17" t="n">
        <x:f t="shared" si="8">IF(ISNUMBER(INDEX('sheet2-计算明细'!$AM$17:$AM$219,$X133)),INDEX('sheet2-计算明细'!$AM$17:$AM$219,$X133),"")</x:f>
        <x:v>55.53</x:v>
      </x:c>
      <x:c r="P133" s="17" t="n">
        <x:f t="shared" si="9">IF(ISNUMBER(INDEX('sheet2-计算明细'!$AN$17:$AN$219,$X133)),INDEX('sheet2-计算明细'!$AN$17:$AN$219,$X133),"")</x:f>
        <x:v>27.23</x:v>
      </x:c>
      <x:c r="Q133" s="17" t="n">
        <x:f t="shared" si="10">IF(ISNUMBER(INDEX('sheet2-计算明细'!$AO$17:$AO$219,$X133)),INDEX('sheet2-计算明细'!$AO$17:$AO$219,$X133),"")</x:f>
        <x:v>47.54</x:v>
      </x:c>
      <x:c r="R133" s="17" t="n">
        <x:f t="shared" si="11">IF(ISNUMBER(INDEX('sheet2-计算明细'!$AP$17:$AP$219,$X133)),INDEX('sheet2-计算明细'!$AP$17:$AP$219,$X133),"")</x:f>
        <x:v>80</x:v>
      </x:c>
      <x:c r="S133" s="18" t="n">
        <x:f>IF($X133="","",INDEX('sheet2-计算明细'!$AQ$17:$AQ$219,$X133))</x:f>
        <x:v>1</x:v>
      </x:c>
      <x:c r="T133" s="16" t="n">
        <x:f>IF($X133="","",INDEX('sheet2-计算明细'!$AR$17:$AR$219,$X133))</x:f>
        <x:v>54.577169999999995</x:v>
      </x:c>
      <x:c r="U133" s="17" t="n">
        <x:f t="shared" si="12">IF(S133=0,"",ROUND(T133/S133,2))</x:f>
        <x:v>54.58</x:v>
      </x:c>
      <x:c r="V133" s="17" t="n">
        <x:f t="shared" si="13">IF(ABS(S133-1)&lt;0.00000001,T133,"")</x:f>
        <x:v>54.577169999999995</x:v>
      </x:c>
      <x:c r="W133" s="19" t="str">
        <x:f>IF($X133="","",INDEX('sheet2-计算明细'!$AU$17:$AU$219,$X133))</x:f>
      </x:c>
      <x:c r="X133" s="15" t="n">
        <x:f>IF($A133&gt;COUNT('sheet2-计算明细'!$AT$17:$AT$219),"",MATCH($A133,'sheet2-计算明细'!$AT$17:$AT$219,0))</x:f>
        <x:v>185</x:v>
      </x:c>
    </x:row>
    <x:row r="134" ht="28" customHeight="1">
      <x:c r="A134" s="4" t="n">
        <x:v>129</x:v>
      </x:c>
      <x:c r="B134" s="15" t="str">
        <x:f>IF($X134="","",INDEX('sheet2-计算明细'!$B$17:$B$219,$X134))</x:f>
        <x:v>平凡笃行君享</x:v>
      </x:c>
      <x:c r="C134" s="15" t="str">
        <x:f>IF($X134="","",INDEX('sheet2-计算明细'!$C$17:$C$219,$X134))</x:f>
        <x:v>SQD327</x:v>
      </x:c>
      <x:c r="D134" s="15" t="str">
        <x:f>IF($X134="","",INDEX('sheet2-计算明细'!$D$17:$D$219,$X134))</x:f>
        <x:v>北京平凡</x:v>
      </x:c>
      <x:c r="E134" s="15" t="str">
        <x:f>IF($X134="","",INDEX('sheet2-计算明细'!$G$17:$G$219,$X134))</x:f>
        <x:v>入池</x:v>
      </x:c>
      <x:c r="F134" s="16" t="n">
        <x:f>IF($X134="","",INDEX('sheet2-计算明细'!$I$17:$I$219,$X134))</x:f>
        <x:v>90</x:v>
      </x:c>
      <x:c r="G134" s="16" t="n">
        <x:f>IF($X134="","",INDEX('sheet2-计算明细'!$K$17:$K$219,$X134))</x:f>
        <x:v>100</x:v>
      </x:c>
      <x:c r="H134" s="16" t="n">
        <x:f>IF($X134="","",INDEX('sheet2-计算明细'!$L$17:$L$219,$X134))</x:f>
        <x:v>100</x:v>
      </x:c>
      <x:c r="I134" s="16" t="n">
        <x:f>IF($X134="","",INDEX('sheet2-计算明细'!$S$17:$S$219,$X134))</x:f>
        <x:v>39.8</x:v>
      </x:c>
      <x:c r="J134" s="16" t="n">
        <x:f>IF($X134="","",INDEX('sheet2-计算明细'!$Y$17:$Y$219,$X134))</x:f>
        <x:v>61.54</x:v>
      </x:c>
      <x:c r="K134" s="16" t="n">
        <x:f>IF($X134="","",INDEX('sheet2-计算明细'!$AC$17:$AC$219,$X134))</x:f>
        <x:v>34.16</x:v>
      </x:c>
      <x:c r="L134" s="16" t="n">
        <x:f>IF($X134="","",INDEX('sheet2-计算明细'!$AI$17:$AI$219,$X134))</x:f>
        <x:v>31.84</x:v>
      </x:c>
      <x:c r="M134" s="16" t="n">
        <x:f>IF($X134="","",INDEX('sheet2-计算明细'!$AK$17:$AK$219,$X134))</x:f>
        <x:v>100</x:v>
      </x:c>
      <x:c r="N134" s="17" t="n">
        <x:f t="shared" ref="N134:N197" si="14">IF(ISNUMBER(INDEX('sheet2-计算明细'!$AL$17:$AL$219,$X134)),INDEX('sheet2-计算明细'!$AL$17:$AL$219,$X134),"")</x:f>
        <x:v>96</x:v>
      </x:c>
      <x:c r="O134" s="17" t="n">
        <x:f t="shared" ref="O134:O197" si="15">IF(ISNUMBER(INDEX('sheet2-计算明细'!$AM$17:$AM$219,$X134)),INDEX('sheet2-计算明细'!$AM$17:$AM$219,$X134),"")</x:f>
        <x:v>46.32</x:v>
      </x:c>
      <x:c r="P134" s="17" t="n">
        <x:f t="shared" ref="P134:P197" si="16">IF(ISNUMBER(INDEX('sheet2-计算明细'!$AN$17:$AN$219,$X134)),INDEX('sheet2-计算明细'!$AN$17:$AN$219,$X134),"")</x:f>
        <x:v>34.16</x:v>
      </x:c>
      <x:c r="Q134" s="17" t="n">
        <x:f t="shared" ref="Q134:Q197" si="17">IF(ISNUMBER(INDEX('sheet2-计算明细'!$AO$17:$AO$219,$X134)),INDEX('sheet2-计算明细'!$AO$17:$AO$219,$X134),"")</x:f>
        <x:v>31.84</x:v>
      </x:c>
      <x:c r="R134" s="17" t="n">
        <x:f t="shared" ref="R134:R197" si="18">IF(ISNUMBER(INDEX('sheet2-计算明细'!$AP$17:$AP$219,$X134)),INDEX('sheet2-计算明细'!$AP$17:$AP$219,$X134),"")</x:f>
        <x:v>100</x:v>
      </x:c>
      <x:c r="S134" s="18" t="n">
        <x:f>IF($X134="","",INDEX('sheet2-计算明细'!$AQ$17:$AQ$219,$X134))</x:f>
        <x:v>0.88</x:v>
      </x:c>
      <x:c r="T134" s="16" t="n">
        <x:f>IF($X134="","",INDEX('sheet2-计算明细'!$AR$17:$AR$219,$X134))</x:f>
        <x:v>47.936170000000004</x:v>
      </x:c>
      <x:c r="U134" s="17" t="n">
        <x:f t="shared" ref="U134:U197" si="19">IF(S134=0,"",ROUND(T134/S134,2))</x:f>
        <x:v>54.47</x:v>
      </x:c>
      <x:c r="V134" s="17" t="str">
        <x:f t="shared" ref="V134:V197" si="20">IF(ABS(S134-1)&lt;0.00000001,T134,"")</x:f>
      </x:c>
      <x:c r="W134" s="19" t="str">
        <x:f>IF($X134="","",INDEX('sheet2-计算明细'!$AU$17:$AU$219,$X134))</x:f>
        <x:v>DD_long不可识别；</x:v>
      </x:c>
      <x:c r="X134" s="15" t="n">
        <x:f>IF($A134&gt;COUNT('sheet2-计算明细'!$AT$17:$AT$219),"",MATCH($A134,'sheet2-计算明细'!$AT$17:$AT$219,0))</x:f>
        <x:v>30</x:v>
      </x:c>
    </x:row>
    <x:row r="135" ht="28" customHeight="1">
      <x:c r="A135" s="4" t="n">
        <x:v>130</x:v>
      </x:c>
      <x:c r="B135" s="15" t="str">
        <x:f>IF($X135="","",INDEX('sheet2-计算明细'!$B$17:$B$219,$X135))</x:f>
        <x:v>鹿秀驯鹿20号</x:v>
      </x:c>
      <x:c r="C135" s="15" t="str">
        <x:f>IF($X135="","",INDEX('sheet2-计算明细'!$C$17:$C$219,$X135))</x:f>
        <x:v>SNQ397</x:v>
      </x:c>
      <x:c r="D135" s="15" t="str">
        <x:f>IF($X135="","",INDEX('sheet2-计算明细'!$D$17:$D$219,$X135))</x:f>
        <x:v>青岛鹿秀投资</x:v>
      </x:c>
      <x:c r="E135" s="15" t="str">
        <x:f>IF($X135="","",INDEX('sheet2-计算明细'!$G$17:$G$219,$X135))</x:f>
        <x:v>入池</x:v>
      </x:c>
      <x:c r="F135" s="16" t="n">
        <x:f>IF($X135="","",INDEX('sheet2-计算明细'!$I$17:$I$219,$X135))</x:f>
        <x:v>90</x:v>
      </x:c>
      <x:c r="G135" s="16" t="n">
        <x:f>IF($X135="","",INDEX('sheet2-计算明细'!$K$17:$K$219,$X135))</x:f>
        <x:v>100</x:v>
      </x:c>
      <x:c r="H135" s="16" t="n">
        <x:f>IF($X135="","",INDEX('sheet2-计算明细'!$L$17:$L$219,$X135))</x:f>
        <x:v>100</x:v>
      </x:c>
      <x:c r="I135" s="16" t="n">
        <x:f>IF($X135="","",INDEX('sheet2-计算明细'!$S$17:$S$219,$X135))</x:f>
        <x:v>95.05</x:v>
      </x:c>
      <x:c r="J135" s="16" t="n">
        <x:f>IF($X135="","",INDEX('sheet2-计算明细'!$Y$17:$Y$219,$X135))</x:f>
        <x:v>56.92</x:v>
      </x:c>
      <x:c r="K135" s="16" t="n">
        <x:f>IF($X135="","",INDEX('sheet2-计算明细'!$AC$17:$AC$219,$X135))</x:f>
        <x:v>6.44</x:v>
      </x:c>
      <x:c r="L135" s="16" t="n">
        <x:f>IF($X135="","",INDEX('sheet2-计算明细'!$AI$17:$AI$219,$X135))</x:f>
        <x:v>38.53</x:v>
      </x:c>
      <x:c r="M135" s="16" t="n">
        <x:f>IF($X135="","",INDEX('sheet2-计算明细'!$AK$17:$AK$219,$X135))</x:f>
        <x:v>100</x:v>
      </x:c>
      <x:c r="N135" s="17" t="n">
        <x:f t="shared" si="14">IF(ISNUMBER(INDEX('sheet2-计算明细'!$AL$17:$AL$219,$X135)),INDEX('sheet2-计算明细'!$AL$17:$AL$219,$X135),"")</x:f>
        <x:v>96</x:v>
      </x:c>
      <x:c r="O135" s="17" t="n">
        <x:f t="shared" si="15">IF(ISNUMBER(INDEX('sheet2-计算明细'!$AM$17:$AM$219,$X135)),INDEX('sheet2-计算明细'!$AM$17:$AM$219,$X135),"")</x:f>
        <x:v>83.61</x:v>
      </x:c>
      <x:c r="P135" s="17" t="n">
        <x:f t="shared" si="16">IF(ISNUMBER(INDEX('sheet2-计算明细'!$AN$17:$AN$219,$X135)),INDEX('sheet2-计算明细'!$AN$17:$AN$219,$X135),"")</x:f>
        <x:v>6.44</x:v>
      </x:c>
      <x:c r="Q135" s="17" t="n">
        <x:f t="shared" si="17">IF(ISNUMBER(INDEX('sheet2-计算明细'!$AO$17:$AO$219,$X135)),INDEX('sheet2-计算明细'!$AO$17:$AO$219,$X135),"")</x:f>
        <x:v>38.53</x:v>
      </x:c>
      <x:c r="R135" s="17" t="n">
        <x:f t="shared" si="18">IF(ISNUMBER(INDEX('sheet2-计算明细'!$AP$17:$AP$219,$X135)),INDEX('sheet2-计算明细'!$AP$17:$AP$219,$X135),"")</x:f>
        <x:v>100</x:v>
      </x:c>
      <x:c r="S135" s="18" t="n">
        <x:f>IF($X135="","",INDEX('sheet2-计算明细'!$AQ$17:$AQ$219,$X135))</x:f>
        <x:v>1</x:v>
      </x:c>
      <x:c r="T135" s="16" t="n">
        <x:f>IF($X135="","",INDEX('sheet2-计算明细'!$AR$17:$AR$219,$X135))</x:f>
        <x:v>54.29159</x:v>
      </x:c>
      <x:c r="U135" s="17" t="n">
        <x:f t="shared" si="19">IF(S135=0,"",ROUND(T135/S135,2))</x:f>
        <x:v>54.29</x:v>
      </x:c>
      <x:c r="V135" s="17" t="n">
        <x:f t="shared" si="20">IF(ABS(S135-1)&lt;0.00000001,T135,"")</x:f>
        <x:v>54.29159</x:v>
      </x:c>
      <x:c r="W135" s="19" t="str">
        <x:f>IF($X135="","",INDEX('sheet2-计算明细'!$AU$17:$AU$219,$X135))</x:f>
      </x:c>
      <x:c r="X135" s="15" t="n">
        <x:f>IF($A135&gt;COUNT('sheet2-计算明细'!$AT$17:$AT$219),"",MATCH($A135,'sheet2-计算明细'!$AT$17:$AT$219,0))</x:f>
        <x:v>136</x:v>
      </x:c>
    </x:row>
    <x:row r="136" ht="28" customHeight="1">
      <x:c r="A136" s="4" t="n">
        <x:v>131</x:v>
      </x:c>
      <x:c r="B136" s="15" t="str">
        <x:f>IF($X136="","",INDEX('sheet2-计算明细'!$B$17:$B$219,$X136))</x:f>
        <x:v>嘉和传承精研二期</x:v>
      </x:c>
      <x:c r="C136" s="15" t="str">
        <x:f>IF($X136="","",INDEX('sheet2-计算明细'!$C$17:$C$219,$X136))</x:f>
        <x:v>STD929</x:v>
      </x:c>
      <x:c r="D136" s="15" t="str">
        <x:f>IF($X136="","",INDEX('sheet2-计算明细'!$D$17:$D$219,$X136))</x:f>
        <x:v>上海嘉和传承</x:v>
      </x:c>
      <x:c r="E136" s="15" t="str">
        <x:f>IF($X136="","",INDEX('sheet2-计算明细'!$G$17:$G$219,$X136))</x:f>
        <x:v>入池</x:v>
      </x:c>
      <x:c r="F136" s="16" t="n">
        <x:f>IF($X136="","",INDEX('sheet2-计算明细'!$I$17:$I$219,$X136))</x:f>
        <x:v>70</x:v>
      </x:c>
      <x:c r="G136" s="16" t="n">
        <x:f>IF($X136="","",INDEX('sheet2-计算明细'!$K$17:$K$219,$X136))</x:f>
        <x:v>100</x:v>
      </x:c>
      <x:c r="H136" s="16" t="n">
        <x:f>IF($X136="","",INDEX('sheet2-计算明细'!$L$17:$L$219,$X136))</x:f>
        <x:v>100</x:v>
      </x:c>
      <x:c r="I136" s="16" t="n">
        <x:f>IF($X136="","",INDEX('sheet2-计算明细'!$S$17:$S$219,$X136))</x:f>
        <x:v>72.08</x:v>
      </x:c>
      <x:c r="J136" s="16" t="n">
        <x:f>IF($X136="","",INDEX('sheet2-计算明细'!$Y$17:$Y$219,$X136))</x:f>
        <x:v>57.31</x:v>
      </x:c>
      <x:c r="K136" s="16" t="n">
        <x:f>IF($X136="","",INDEX('sheet2-计算明细'!$AC$17:$AC$219,$X136))</x:f>
        <x:v>29.7</x:v>
      </x:c>
      <x:c r="L136" s="16" t="n">
        <x:f>IF($X136="","",INDEX('sheet2-计算明细'!$AI$17:$AI$219,$X136))</x:f>
        <x:v>30.85</x:v>
      </x:c>
      <x:c r="M136" s="16" t="n">
        <x:f>IF($X136="","",INDEX('sheet2-计算明细'!$AK$17:$AK$219,$X136))</x:f>
        <x:v>80</x:v>
      </x:c>
      <x:c r="N136" s="17" t="n">
        <x:f t="shared" si="14">IF(ISNUMBER(INDEX('sheet2-计算明细'!$AL$17:$AL$219,$X136)),INDEX('sheet2-计算明细'!$AL$17:$AL$219,$X136),"")</x:f>
        <x:v>88</x:v>
      </x:c>
      <x:c r="O136" s="17" t="n">
        <x:f t="shared" si="15">IF(ISNUMBER(INDEX('sheet2-计算明细'!$AM$17:$AM$219,$X136)),INDEX('sheet2-计算明细'!$AM$17:$AM$219,$X136),"")</x:f>
        <x:v>67.65</x:v>
      </x:c>
      <x:c r="P136" s="17" t="n">
        <x:f t="shared" si="16">IF(ISNUMBER(INDEX('sheet2-计算明细'!$AN$17:$AN$219,$X136)),INDEX('sheet2-计算明细'!$AN$17:$AN$219,$X136),"")</x:f>
        <x:v>29.7</x:v>
      </x:c>
      <x:c r="Q136" s="17" t="n">
        <x:f t="shared" si="17">IF(ISNUMBER(INDEX('sheet2-计算明细'!$AO$17:$AO$219,$X136)),INDEX('sheet2-计算明细'!$AO$17:$AO$219,$X136),"")</x:f>
        <x:v>30.85</x:v>
      </x:c>
      <x:c r="R136" s="17" t="n">
        <x:f t="shared" si="18">IF(ISNUMBER(INDEX('sheet2-计算明细'!$AP$17:$AP$219,$X136)),INDEX('sheet2-计算明细'!$AP$17:$AP$219,$X136),"")</x:f>
        <x:v>80</x:v>
      </x:c>
      <x:c r="S136" s="18" t="n">
        <x:f>IF($X136="","",INDEX('sheet2-计算明细'!$AQ$17:$AQ$219,$X136))</x:f>
        <x:v>0.88</x:v>
      </x:c>
      <x:c r="T136" s="16" t="n">
        <x:f>IF($X136="","",INDEX('sheet2-计算明细'!$AR$17:$AR$219,$X136))</x:f>
        <x:v>47.70805</x:v>
      </x:c>
      <x:c r="U136" s="17" t="n">
        <x:f t="shared" si="19">IF(S136=0,"",ROUND(T136/S136,2))</x:f>
        <x:v>54.21</x:v>
      </x:c>
      <x:c r="V136" s="17" t="str">
        <x:f t="shared" si="20">IF(ABS(S136-1)&lt;0.00000001,T136,"")</x:f>
      </x:c>
      <x:c r="W136" s="19" t="str">
        <x:f>IF($X136="","",INDEX('sheet2-计算明细'!$AU$17:$AU$219,$X136))</x:f>
        <x:v>DD_long不可识别；</x:v>
      </x:c>
      <x:c r="X136" s="15" t="n">
        <x:f>IF($A136&gt;COUNT('sheet2-计算明细'!$AT$17:$AT$219),"",MATCH($A136,'sheet2-计算明细'!$AT$17:$AT$219,0))</x:f>
        <x:v>97</x:v>
      </x:c>
    </x:row>
    <x:row r="137" ht="28" customHeight="1">
      <x:c r="A137" s="4" t="n">
        <x:v>132</x:v>
      </x:c>
      <x:c r="B137" s="15" t="str">
        <x:f>IF($X137="","",INDEX('sheet2-计算明细'!$B$17:$B$219,$X137))</x:f>
        <x:v>银万财派恒星套利1号</x:v>
      </x:c>
      <x:c r="C137" s="15" t="str">
        <x:f>IF($X137="","",INDEX('sheet2-计算明细'!$C$17:$C$219,$X137))</x:f>
        <x:v>SB7490</x:v>
      </x:c>
      <x:c r="D137" s="15" t="str">
        <x:f>IF($X137="","",INDEX('sheet2-计算明细'!$D$17:$D$219,$X137))</x:f>
        <x:v>浙江银万</x:v>
      </x:c>
      <x:c r="E137" s="15" t="str">
        <x:f>IF($X137="","",INDEX('sheet2-计算明细'!$G$17:$G$219,$X137))</x:f>
        <x:v>入池</x:v>
      </x:c>
      <x:c r="F137" s="16" t="n">
        <x:f>IF($X137="","",INDEX('sheet2-计算明细'!$I$17:$I$219,$X137))</x:f>
        <x:v>90</x:v>
      </x:c>
      <x:c r="G137" s="16" t="n">
        <x:f>IF($X137="","",INDEX('sheet2-计算明细'!$K$17:$K$219,$X137))</x:f>
        <x:v>100</x:v>
      </x:c>
      <x:c r="H137" s="16" t="n">
        <x:f>IF($X137="","",INDEX('sheet2-计算明细'!$L$17:$L$219,$X137))</x:f>
        <x:v>100</x:v>
      </x:c>
      <x:c r="I137" s="16" t="n">
        <x:f>IF($X137="","",INDEX('sheet2-计算明细'!$S$17:$S$219,$X137))</x:f>
        <x:v>61.09</x:v>
      </x:c>
      <x:c r="J137" s="16" t="n">
        <x:f>IF($X137="","",INDEX('sheet2-计算明细'!$Y$17:$Y$219,$X137))</x:f>
        <x:v>49.36</x:v>
      </x:c>
      <x:c r="K137" s="16" t="n">
        <x:f>IF($X137="","",INDEX('sheet2-计算明细'!$AC$17:$AC$219,$X137))</x:f>
        <x:v>34.65</x:v>
      </x:c>
      <x:c r="L137" s="16" t="n">
        <x:f>IF($X137="","",INDEX('sheet2-计算明细'!$AI$17:$AI$219,$X137))</x:f>
        <x:v>32.06</x:v>
      </x:c>
      <x:c r="M137" s="16" t="n">
        <x:f>IF($X137="","",INDEX('sheet2-计算明细'!$AK$17:$AK$219,$X137))</x:f>
        <x:v>100</x:v>
      </x:c>
      <x:c r="N137" s="17" t="n">
        <x:f t="shared" si="14">IF(ISNUMBER(INDEX('sheet2-计算明细'!$AL$17:$AL$219,$X137)),INDEX('sheet2-计算明细'!$AL$17:$AL$219,$X137),"")</x:f>
        <x:v>96</x:v>
      </x:c>
      <x:c r="O137" s="17" t="n">
        <x:f t="shared" si="15">IF(ISNUMBER(INDEX('sheet2-计算明细'!$AM$17:$AM$219,$X137)),INDEX('sheet2-计算明细'!$AM$17:$AM$219,$X137),"")</x:f>
        <x:v>57.57</x:v>
      </x:c>
      <x:c r="P137" s="17" t="n">
        <x:f t="shared" si="16">IF(ISNUMBER(INDEX('sheet2-计算明细'!$AN$17:$AN$219,$X137)),INDEX('sheet2-计算明细'!$AN$17:$AN$219,$X137),"")</x:f>
        <x:v>34.65</x:v>
      </x:c>
      <x:c r="Q137" s="17" t="n">
        <x:f t="shared" si="17">IF(ISNUMBER(INDEX('sheet2-计算明细'!$AO$17:$AO$219,$X137)),INDEX('sheet2-计算明细'!$AO$17:$AO$219,$X137),"")</x:f>
        <x:v>32.06</x:v>
      </x:c>
      <x:c r="R137" s="17" t="n">
        <x:f t="shared" si="18">IF(ISNUMBER(INDEX('sheet2-计算明细'!$AP$17:$AP$219,$X137)),INDEX('sheet2-计算明细'!$AP$17:$AP$219,$X137),"")</x:f>
        <x:v>100</x:v>
      </x:c>
      <x:c r="S137" s="18" t="n">
        <x:f>IF($X137="","",INDEX('sheet2-计算明细'!$AQ$17:$AQ$219,$X137))</x:f>
        <x:v>1</x:v>
      </x:c>
      <x:c r="T137" s="16" t="n">
        <x:f>IF($X137="","",INDEX('sheet2-计算明细'!$AR$17:$AR$219,$X137))</x:f>
        <x:v>54.19514</x:v>
      </x:c>
      <x:c r="U137" s="17" t="n">
        <x:f t="shared" si="19">IF(S137=0,"",ROUND(T137/S137,2))</x:f>
        <x:v>54.2</x:v>
      </x:c>
      <x:c r="V137" s="17" t="n">
        <x:f t="shared" si="20">IF(ABS(S137-1)&lt;0.00000001,T137,"")</x:f>
        <x:v>54.19514</x:v>
      </x:c>
      <x:c r="W137" s="19" t="str">
        <x:f>IF($X137="","",INDEX('sheet2-计算明细'!$AU$17:$AU$219,$X137))</x:f>
      </x:c>
      <x:c r="X137" s="15" t="n">
        <x:f>IF($A137&gt;COUNT('sheet2-计算明细'!$AT$17:$AT$219),"",MATCH($A137,'sheet2-计算明细'!$AT$17:$AT$219,0))</x:f>
        <x:v>74</x:v>
      </x:c>
    </x:row>
    <x:row r="138" ht="28" customHeight="1">
      <x:c r="A138" s="4" t="n">
        <x:v>133</x:v>
      </x:c>
      <x:c r="B138" s="15" t="str">
        <x:f>IF($X138="","",INDEX('sheet2-计算明细'!$B$17:$B$219,$X138))</x:f>
        <x:v>本利达利磐一号</x:v>
      </x:c>
      <x:c r="C138" s="15" t="str">
        <x:f>IF($X138="","",INDEX('sheet2-计算明细'!$C$17:$C$219,$X138))</x:f>
        <x:v>SJF426</x:v>
      </x:c>
      <x:c r="D138" s="15" t="str">
        <x:f>IF($X138="","",INDEX('sheet2-计算明细'!$D$17:$D$219,$X138))</x:f>
        <x:v>深圳本利达资管</x:v>
      </x:c>
      <x:c r="E138" s="15" t="str">
        <x:f>IF($X138="","",INDEX('sheet2-计算明细'!$G$17:$G$219,$X138))</x:f>
        <x:v>入池</x:v>
      </x:c>
      <x:c r="F138" s="16" t="n">
        <x:f>IF($X138="","",INDEX('sheet2-计算明细'!$I$17:$I$219,$X138))</x:f>
        <x:v>60</x:v>
      </x:c>
      <x:c r="G138" s="16" t="n">
        <x:f>IF($X138="","",INDEX('sheet2-计算明细'!$K$17:$K$219,$X138))</x:f>
        <x:v>100</x:v>
      </x:c>
      <x:c r="H138" s="16" t="n">
        <x:f>IF($X138="","",INDEX('sheet2-计算明细'!$L$17:$L$219,$X138))</x:f>
        <x:v>100</x:v>
      </x:c>
      <x:c r="I138" s="16" t="n">
        <x:f>IF($X138="","",INDEX('sheet2-计算明细'!$S$17:$S$219,$X138))</x:f>
        <x:v>82.87</x:v>
      </x:c>
      <x:c r="J138" s="16" t="n">
        <x:f>IF($X138="","",INDEX('sheet2-计算明细'!$Y$17:$Y$219,$X138))</x:f>
        <x:v>71.15</x:v>
      </x:c>
      <x:c r="K138" s="16" t="n">
        <x:f>IF($X138="","",INDEX('sheet2-计算明细'!$AC$17:$AC$219,$X138))</x:f>
        <x:v>23.27</x:v>
      </x:c>
      <x:c r="L138" s="16" t="n">
        <x:f>IF($X138="","",INDEX('sheet2-计算明细'!$AI$17:$AI$219,$X138))</x:f>
        <x:v>37.81</x:v>
      </x:c>
      <x:c r="M138" s="16" t="n">
        <x:f>IF($X138="","",INDEX('sheet2-计算明细'!$AK$17:$AK$219,$X138))</x:f>
        <x:v>80</x:v>
      </x:c>
      <x:c r="N138" s="17" t="n">
        <x:f t="shared" si="14">IF(ISNUMBER(INDEX('sheet2-计算明细'!$AL$17:$AL$219,$X138)),INDEX('sheet2-计算明细'!$AL$17:$AL$219,$X138),"")</x:f>
        <x:v>84</x:v>
      </x:c>
      <x:c r="O138" s="17" t="n">
        <x:f t="shared" si="15">IF(ISNUMBER(INDEX('sheet2-计算明细'!$AM$17:$AM$219,$X138)),INDEX('sheet2-计算明细'!$AM$17:$AM$219,$X138),"")</x:f>
        <x:v>79.35</x:v>
      </x:c>
      <x:c r="P138" s="17" t="n">
        <x:f t="shared" si="16">IF(ISNUMBER(INDEX('sheet2-计算明细'!$AN$17:$AN$219,$X138)),INDEX('sheet2-计算明细'!$AN$17:$AN$219,$X138),"")</x:f>
        <x:v>23.27</x:v>
      </x:c>
      <x:c r="Q138" s="17" t="n">
        <x:f t="shared" si="17">IF(ISNUMBER(INDEX('sheet2-计算明细'!$AO$17:$AO$219,$X138)),INDEX('sheet2-计算明细'!$AO$17:$AO$219,$X138),"")</x:f>
        <x:v>37.81</x:v>
      </x:c>
      <x:c r="R138" s="17" t="n">
        <x:f t="shared" si="18">IF(ISNUMBER(INDEX('sheet2-计算明细'!$AP$17:$AP$219,$X138)),INDEX('sheet2-计算明细'!$AP$17:$AP$219,$X138),"")</x:f>
        <x:v>80</x:v>
      </x:c>
      <x:c r="S138" s="18" t="n">
        <x:f>IF($X138="","",INDEX('sheet2-计算明细'!$AQ$17:$AQ$219,$X138))</x:f>
        <x:v>1</x:v>
      </x:c>
      <x:c r="T138" s="16" t="n">
        <x:f>IF($X138="","",INDEX('sheet2-计算明细'!$AR$17:$AR$219,$X138))</x:f>
        <x:v>53.63127</x:v>
      </x:c>
      <x:c r="U138" s="17" t="n">
        <x:f t="shared" si="19">IF(S138=0,"",ROUND(T138/S138,2))</x:f>
        <x:v>53.63</x:v>
      </x:c>
      <x:c r="V138" s="17" t="n">
        <x:f t="shared" si="20">IF(ABS(S138-1)&lt;0.00000001,T138,"")</x:f>
        <x:v>53.63127</x:v>
      </x:c>
      <x:c r="W138" s="19" t="str">
        <x:f>IF($X138="","",INDEX('sheet2-计算明细'!$AU$17:$AU$219,$X138))</x:f>
      </x:c>
      <x:c r="X138" s="15" t="n">
        <x:f>IF($A138&gt;COUNT('sheet2-计算明细'!$AT$17:$AT$219),"",MATCH($A138,'sheet2-计算明细'!$AT$17:$AT$219,0))</x:f>
        <x:v>14</x:v>
      </x:c>
    </x:row>
    <x:row r="139" ht="28" customHeight="1">
      <x:c r="A139" s="4" t="n">
        <x:v>134</x:v>
      </x:c>
      <x:c r="B139" s="15" t="str">
        <x:f>IF($X139="","",INDEX('sheet2-计算明细'!$B$17:$B$219,$X139))</x:f>
        <x:v>系数CTA套利五号</x:v>
      </x:c>
      <x:c r="C139" s="15" t="str">
        <x:f>IF($X139="","",INDEX('sheet2-计算明细'!$C$17:$C$219,$X139))</x:f>
        <x:v>SXT086</x:v>
      </x:c>
      <x:c r="D139" s="15" t="str">
        <x:f>IF($X139="","",INDEX('sheet2-计算明细'!$D$17:$D$219,$X139))</x:f>
        <x:v>上海系数投资</x:v>
      </x:c>
      <x:c r="E139" s="15" t="str">
        <x:f>IF($X139="","",INDEX('sheet2-计算明细'!$G$17:$G$219,$X139))</x:f>
        <x:v>入池</x:v>
      </x:c>
      <x:c r="F139" s="16" t="n">
        <x:f>IF($X139="","",INDEX('sheet2-计算明细'!$I$17:$I$219,$X139))</x:f>
        <x:v>60</x:v>
      </x:c>
      <x:c r="G139" s="16" t="n">
        <x:f>IF($X139="","",INDEX('sheet2-计算明细'!$K$17:$K$219,$X139))</x:f>
        <x:v>100</x:v>
      </x:c>
      <x:c r="H139" s="16" t="n">
        <x:f>IF($X139="","",INDEX('sheet2-计算明细'!$L$17:$L$219,$X139))</x:f>
        <x:v>100</x:v>
      </x:c>
      <x:c r="I139" s="16" t="n">
        <x:f>IF($X139="","",INDEX('sheet2-计算明细'!$S$17:$S$219,$X139))</x:f>
        <x:v>46.83</x:v>
      </x:c>
      <x:c r="J139" s="16" t="n">
        <x:f>IF($X139="","",INDEX('sheet2-计算明细'!$Y$17:$Y$219,$X139))</x:f>
        <x:v>57.69</x:v>
      </x:c>
      <x:c r="K139" s="16" t="n">
        <x:f>IF($X139="","",INDEX('sheet2-计算明细'!$AC$17:$AC$219,$X139))</x:f>
        <x:v>49.01</x:v>
      </x:c>
      <x:c r="L139" s="16" t="n">
        <x:f>IF($X139="","",INDEX('sheet2-计算明细'!$AI$17:$AI$219,$X139))</x:f>
        <x:v>21.89</x:v>
      </x:c>
      <x:c r="M139" s="16" t="n">
        <x:f>IF($X139="","",INDEX('sheet2-计算明细'!$AK$17:$AK$219,$X139))</x:f>
        <x:v>80</x:v>
      </x:c>
      <x:c r="N139" s="17" t="n">
        <x:f t="shared" si="14">IF(ISNUMBER(INDEX('sheet2-计算明细'!$AL$17:$AL$219,$X139)),INDEX('sheet2-计算明细'!$AL$17:$AL$219,$X139),"")</x:f>
        <x:v>84</x:v>
      </x:c>
      <x:c r="O139" s="17" t="n">
        <x:f t="shared" si="15">IF(ISNUMBER(INDEX('sheet2-计算明细'!$AM$17:$AM$219,$X139)),INDEX('sheet2-计算明细'!$AM$17:$AM$219,$X139),"")</x:f>
        <x:v>50.09</x:v>
      </x:c>
      <x:c r="P139" s="17" t="n">
        <x:f t="shared" si="16">IF(ISNUMBER(INDEX('sheet2-计算明细'!$AN$17:$AN$219,$X139)),INDEX('sheet2-计算明细'!$AN$17:$AN$219,$X139),"")</x:f>
        <x:v>49.01</x:v>
      </x:c>
      <x:c r="Q139" s="17" t="n">
        <x:f t="shared" si="17">IF(ISNUMBER(INDEX('sheet2-计算明细'!$AO$17:$AO$219,$X139)),INDEX('sheet2-计算明细'!$AO$17:$AO$219,$X139),"")</x:f>
        <x:v>21.89</x:v>
      </x:c>
      <x:c r="R139" s="17" t="n">
        <x:f t="shared" si="18">IF(ISNUMBER(INDEX('sheet2-计算明细'!$AP$17:$AP$219,$X139)),INDEX('sheet2-计算明细'!$AP$17:$AP$219,$X139),"")</x:f>
        <x:v>80</x:v>
      </x:c>
      <x:c r="S139" s="18" t="n">
        <x:f>IF($X139="","",INDEX('sheet2-计算明细'!$AQ$17:$AQ$219,$X139))</x:f>
        <x:v>0.88</x:v>
      </x:c>
      <x:c r="T139" s="16" t="n">
        <x:f>IF($X139="","",INDEX('sheet2-计算明细'!$AR$17:$AR$219,$X139))</x:f>
        <x:v>46.81071846153846</x:v>
      </x:c>
      <x:c r="U139" s="17" t="n">
        <x:f t="shared" si="19">IF(S139=0,"",ROUND(T139/S139,2))</x:f>
        <x:v>53.19</x:v>
      </x:c>
      <x:c r="V139" s="17" t="str">
        <x:f t="shared" si="20">IF(ABS(S139-1)&lt;0.00000001,T139,"")</x:f>
      </x:c>
      <x:c r="W139" s="19" t="str">
        <x:f>IF($X139="","",INDEX('sheet2-计算明细'!$AU$17:$AU$219,$X139))</x:f>
        <x:v>DD_long不可识别；</x:v>
      </x:c>
      <x:c r="X139" s="15" t="n">
        <x:f>IF($A139&gt;COUNT('sheet2-计算明细'!$AT$17:$AT$219),"",MATCH($A139,'sheet2-计算明细'!$AT$17:$AT$219,0))</x:f>
        <x:v>102</x:v>
      </x:c>
    </x:row>
    <x:row r="140" ht="28" customHeight="1">
      <x:c r="A140" s="4" t="n">
        <x:v>135</x:v>
      </x:c>
      <x:c r="B140" s="15" t="str">
        <x:f>IF($X140="","",INDEX('sheet2-计算明细'!$B$17:$B$219,$X140))</x:f>
        <x:v>新时代智能量化3号</x:v>
      </x:c>
      <x:c r="C140" s="15" t="str">
        <x:f>IF($X140="","",INDEX('sheet2-计算明细'!$C$17:$C$219,$X140))</x:f>
        <x:v>SEM001</x:v>
      </x:c>
      <x:c r="D140" s="15" t="str">
        <x:f>IF($X140="","",INDEX('sheet2-计算明细'!$D$17:$D$219,$X140))</x:f>
        <x:v>杭州探融投资</x:v>
      </x:c>
      <x:c r="E140" s="15" t="str">
        <x:f>IF($X140="","",INDEX('sheet2-计算明细'!$G$17:$G$219,$X140))</x:f>
        <x:v>入池</x:v>
      </x:c>
      <x:c r="F140" s="16" t="n">
        <x:f>IF($X140="","",INDEX('sheet2-计算明细'!$I$17:$I$219,$X140))</x:f>
        <x:v>60</x:v>
      </x:c>
      <x:c r="G140" s="16" t="n">
        <x:f>IF($X140="","",INDEX('sheet2-计算明细'!$K$17:$K$219,$X140))</x:f>
        <x:v>100</x:v>
      </x:c>
      <x:c r="H140" s="16" t="n">
        <x:f>IF($X140="","",INDEX('sheet2-计算明细'!$L$17:$L$219,$X140))</x:f>
        <x:v>100</x:v>
      </x:c>
      <x:c r="I140" s="16" t="n">
        <x:f>IF($X140="","",INDEX('sheet2-计算明细'!$S$17:$S$219,$X140))</x:f>
        <x:v>25.54</x:v>
      </x:c>
      <x:c r="J140" s="16" t="n">
        <x:f>IF($X140="","",INDEX('sheet2-计算明细'!$Y$17:$Y$219,$X140))</x:f>
        <x:v>52.69</x:v>
      </x:c>
      <x:c r="K140" s="16" t="n">
        <x:f>IF($X140="","",INDEX('sheet2-计算明细'!$AC$17:$AC$219,$X140))</x:f>
        <x:v>58.42</x:v>
      </x:c>
      <x:c r="L140" s="16" t="n">
        <x:f>IF($X140="","",INDEX('sheet2-计算明细'!$AI$17:$AI$219,$X140))</x:f>
        <x:v>25.87</x:v>
      </x:c>
      <x:c r="M140" s="16" t="n">
        <x:f>IF($X140="","",INDEX('sheet2-计算明细'!$AK$17:$AK$219,$X140))</x:f>
        <x:v>80</x:v>
      </x:c>
      <x:c r="N140" s="17" t="n">
        <x:f t="shared" si="14">IF(ISNUMBER(INDEX('sheet2-计算明细'!$AL$17:$AL$219,$X140)),INDEX('sheet2-计算明细'!$AL$17:$AL$219,$X140),"")</x:f>
        <x:v>84</x:v>
      </x:c>
      <x:c r="O140" s="17" t="n">
        <x:f t="shared" si="15">IF(ISNUMBER(INDEX('sheet2-计算明细'!$AM$17:$AM$219,$X140)),INDEX('sheet2-计算明细'!$AM$17:$AM$219,$X140),"")</x:f>
        <x:v>33.69</x:v>
      </x:c>
      <x:c r="P140" s="17" t="n">
        <x:f t="shared" si="16">IF(ISNUMBER(INDEX('sheet2-计算明细'!$AN$17:$AN$219,$X140)),INDEX('sheet2-计算明细'!$AN$17:$AN$219,$X140),"")</x:f>
        <x:v>58.42</x:v>
      </x:c>
      <x:c r="Q140" s="17" t="n">
        <x:f t="shared" si="17">IF(ISNUMBER(INDEX('sheet2-计算明细'!$AO$17:$AO$219,$X140)),INDEX('sheet2-计算明细'!$AO$17:$AO$219,$X140),"")</x:f>
        <x:v>25.87</x:v>
      </x:c>
      <x:c r="R140" s="17" t="n">
        <x:f t="shared" si="18">IF(ISNUMBER(INDEX('sheet2-计算明细'!$AP$17:$AP$219,$X140)),INDEX('sheet2-计算明细'!$AP$17:$AP$219,$X140),"")</x:f>
        <x:v>80</x:v>
      </x:c>
      <x:c r="S140" s="18" t="n">
        <x:f>IF($X140="","",INDEX('sheet2-计算明细'!$AQ$17:$AQ$219,$X140))</x:f>
        <x:v>0.88</x:v>
      </x:c>
      <x:c r="T140" s="16" t="n">
        <x:f>IF($X140="","",INDEX('sheet2-计算明细'!$AR$17:$AR$219,$X140))</x:f>
        <x:v>46.599329999999995</x:v>
      </x:c>
      <x:c r="U140" s="17" t="n">
        <x:f t="shared" si="19">IF(S140=0,"",ROUND(T140/S140,2))</x:f>
        <x:v>52.95</x:v>
      </x:c>
      <x:c r="V140" s="17" t="str">
        <x:f t="shared" si="20">IF(ABS(S140-1)&lt;0.00000001,T140,"")</x:f>
      </x:c>
      <x:c r="W140" s="19" t="str">
        <x:f>IF($X140="","",INDEX('sheet2-计算明细'!$AU$17:$AU$219,$X140))</x:f>
        <x:v>DD_long不可识别；</x:v>
      </x:c>
      <x:c r="X140" s="15" t="n">
        <x:f>IF($A140&gt;COUNT('sheet2-计算明细'!$AT$17:$AT$219),"",MATCH($A140,'sheet2-计算明细'!$AT$17:$AT$219,0))</x:f>
        <x:v>9</x:v>
      </x:c>
    </x:row>
    <x:row r="141" ht="28" customHeight="1">
      <x:c r="A141" s="4" t="n">
        <x:v>136</x:v>
      </x:c>
      <x:c r="B141" s="15" t="str">
        <x:f>IF($X141="","",INDEX('sheet2-计算明细'!$B$17:$B$219,$X141))</x:f>
        <x:v>申毅多策略量化7号</x:v>
      </x:c>
      <x:c r="C141" s="15" t="str">
        <x:f>IF($X141="","",INDEX('sheet2-计算明细'!$C$17:$C$219,$X141))</x:f>
        <x:v>S35707</x:v>
      </x:c>
      <x:c r="D141" s="15" t="str">
        <x:f>IF($X141="","",INDEX('sheet2-计算明细'!$D$17:$D$219,$X141))</x:f>
        <x:v>上海申毅投资</x:v>
      </x:c>
      <x:c r="E141" s="15" t="str">
        <x:f>IF($X141="","",INDEX('sheet2-计算明细'!$G$17:$G$219,$X141))</x:f>
        <x:v>入池</x:v>
      </x:c>
      <x:c r="F141" s="16" t="n">
        <x:f>IF($X141="","",INDEX('sheet2-计算明细'!$I$17:$I$219,$X141))</x:f>
        <x:v>100</x:v>
      </x:c>
      <x:c r="G141" s="16" t="n">
        <x:f>IF($X141="","",INDEX('sheet2-计算明细'!$K$17:$K$219,$X141))</x:f>
        <x:v>100</x:v>
      </x:c>
      <x:c r="H141" s="16" t="n">
        <x:f>IF($X141="","",INDEX('sheet2-计算明细'!$L$17:$L$219,$X141))</x:f>
        <x:v>100</x:v>
      </x:c>
      <x:c r="I141" s="16" t="n">
        <x:f>IF($X141="","",INDEX('sheet2-计算明细'!$S$17:$S$219,$X141))</x:f>
        <x:v>50.3</x:v>
      </x:c>
      <x:c r="J141" s="16" t="n">
        <x:f>IF($X141="","",INDEX('sheet2-计算明细'!$Y$17:$Y$219,$X141))</x:f>
        <x:v>74.87</x:v>
      </x:c>
      <x:c r="K141" s="16" t="n">
        <x:f>IF($X141="","",INDEX('sheet2-计算明细'!$AC$17:$AC$219,$X141))</x:f>
        <x:v>26.73</x:v>
      </x:c>
      <x:c r="L141" s="16" t="n">
        <x:f>IF($X141="","",INDEX('sheet2-计算明细'!$AI$17:$AI$219,$X141))</x:f>
        <x:v>37.75</x:v>
      </x:c>
      <x:c r="M141" s="16" t="n">
        <x:f>IF($X141="","",INDEX('sheet2-计算明细'!$AK$17:$AK$219,$X141))</x:f>
        <x:v>80</x:v>
      </x:c>
      <x:c r="N141" s="17" t="n">
        <x:f t="shared" si="14">IF(ISNUMBER(INDEX('sheet2-计算明细'!$AL$17:$AL$219,$X141)),INDEX('sheet2-计算明细'!$AL$17:$AL$219,$X141),"")</x:f>
        <x:v>100</x:v>
      </x:c>
      <x:c r="O141" s="17" t="n">
        <x:f t="shared" si="15">IF(ISNUMBER(INDEX('sheet2-计算明细'!$AM$17:$AM$219,$X141)),INDEX('sheet2-计算明细'!$AM$17:$AM$219,$X141),"")</x:f>
        <x:v>57.67</x:v>
      </x:c>
      <x:c r="P141" s="17" t="n">
        <x:f t="shared" si="16">IF(ISNUMBER(INDEX('sheet2-计算明细'!$AN$17:$AN$219,$X141)),INDEX('sheet2-计算明细'!$AN$17:$AN$219,$X141),"")</x:f>
        <x:v>26.73</x:v>
      </x:c>
      <x:c r="Q141" s="17" t="n">
        <x:f t="shared" si="17">IF(ISNUMBER(INDEX('sheet2-计算明细'!$AO$17:$AO$219,$X141)),INDEX('sheet2-计算明细'!$AO$17:$AO$219,$X141),"")</x:f>
        <x:v>37.75</x:v>
      </x:c>
      <x:c r="R141" s="17" t="n">
        <x:f t="shared" si="18">IF(ISNUMBER(INDEX('sheet2-计算明细'!$AP$17:$AP$219,$X141)),INDEX('sheet2-计算明细'!$AP$17:$AP$219,$X141),"")</x:f>
        <x:v>80</x:v>
      </x:c>
      <x:c r="S141" s="18" t="n">
        <x:f>IF($X141="","",INDEX('sheet2-计算明细'!$AQ$17:$AQ$219,$X141))</x:f>
        <x:v>1</x:v>
      </x:c>
      <x:c r="T141" s="16" t="n">
        <x:f>IF($X141="","",INDEX('sheet2-计算明细'!$AR$17:$AR$219,$X141))</x:f>
        <x:v>52.54249</x:v>
      </x:c>
      <x:c r="U141" s="17" t="n">
        <x:f t="shared" si="19">IF(S141=0,"",ROUND(T141/S141,2))</x:f>
        <x:v>52.54</x:v>
      </x:c>
      <x:c r="V141" s="17" t="n">
        <x:f t="shared" si="20">IF(ABS(S141-1)&lt;0.00000001,T141,"")</x:f>
        <x:v>52.54249</x:v>
      </x:c>
      <x:c r="W141" s="19" t="str">
        <x:f>IF($X141="","",INDEX('sheet2-计算明细'!$AU$17:$AU$219,$X141))</x:f>
      </x:c>
      <x:c r="X141" s="15" t="n">
        <x:f>IF($A141&gt;COUNT('sheet2-计算明细'!$AT$17:$AT$219),"",MATCH($A141,'sheet2-计算明细'!$AT$17:$AT$219,0))</x:f>
        <x:v>110</x:v>
      </x:c>
    </x:row>
    <x:row r="142" ht="28" customHeight="1">
      <x:c r="A142" s="4" t="n">
        <x:v>137</x:v>
      </x:c>
      <x:c r="B142" s="15" t="str">
        <x:f>IF($X142="","",INDEX('sheet2-计算明细'!$B$17:$B$219,$X142))</x:f>
        <x:v>宏量鼎诚</x:v>
      </x:c>
      <x:c r="C142" s="15" t="str">
        <x:f>IF($X142="","",INDEX('sheet2-计算明细'!$C$17:$C$219,$X142))</x:f>
        <x:v>SGQ716</x:v>
      </x:c>
      <x:c r="D142" s="15" t="str">
        <x:f>IF($X142="","",INDEX('sheet2-计算明细'!$D$17:$D$219,$X142))</x:f>
        <x:v>北京宏量资管</x:v>
      </x:c>
      <x:c r="E142" s="15" t="str">
        <x:f>IF($X142="","",INDEX('sheet2-计算明细'!$G$17:$G$219,$X142))</x:f>
        <x:v>入池</x:v>
      </x:c>
      <x:c r="F142" s="16" t="n">
        <x:f>IF($X142="","",INDEX('sheet2-计算明细'!$I$17:$I$219,$X142))</x:f>
        <x:v>60</x:v>
      </x:c>
      <x:c r="G142" s="16" t="n">
        <x:f>IF($X142="","",INDEX('sheet2-计算明细'!$K$17:$K$219,$X142))</x:f>
        <x:v>100</x:v>
      </x:c>
      <x:c r="H142" s="16" t="n">
        <x:f>IF($X142="","",INDEX('sheet2-计算明细'!$L$17:$L$219,$X142))</x:f>
        <x:v>100</x:v>
      </x:c>
      <x:c r="I142" s="16" t="n">
        <x:f>IF($X142="","",INDEX('sheet2-计算明细'!$S$17:$S$219,$X142))</x:f>
        <x:v>45.25</x:v>
      </x:c>
      <x:c r="J142" s="16" t="n">
        <x:f>IF($X142="","",INDEX('sheet2-计算明细'!$Y$17:$Y$219,$X142))</x:f>
        <x:v>46.8</x:v>
      </x:c>
      <x:c r="K142" s="16" t="n">
        <x:f>IF($X142="","",INDEX('sheet2-计算明细'!$AC$17:$AC$219,$X142))</x:f>
        <x:v>63.37</x:v>
      </x:c>
      <x:c r="L142" s="16" t="n">
        <x:f>IF($X142="","",INDEX('sheet2-计算明细'!$AI$17:$AI$219,$X142))</x:f>
        <x:v>0.5</x:v>
      </x:c>
      <x:c r="M142" s="16" t="n">
        <x:f>IF($X142="","",INDEX('sheet2-计算明细'!$AK$17:$AK$219,$X142))</x:f>
        <x:v>80</x:v>
      </x:c>
      <x:c r="N142" s="17" t="n">
        <x:f t="shared" si="14">IF(ISNUMBER(INDEX('sheet2-计算明细'!$AL$17:$AL$219,$X142)),INDEX('sheet2-计算明细'!$AL$17:$AL$219,$X142),"")</x:f>
        <x:v>84</x:v>
      </x:c>
      <x:c r="O142" s="17" t="n">
        <x:f t="shared" si="15">IF(ISNUMBER(INDEX('sheet2-计算明细'!$AM$17:$AM$219,$X142)),INDEX('sheet2-计算明细'!$AM$17:$AM$219,$X142),"")</x:f>
        <x:v>45.71</x:v>
      </x:c>
      <x:c r="P142" s="17" t="n">
        <x:f t="shared" si="16">IF(ISNUMBER(INDEX('sheet2-计算明细'!$AN$17:$AN$219,$X142)),INDEX('sheet2-计算明细'!$AN$17:$AN$219,$X142),"")</x:f>
        <x:v>63.37</x:v>
      </x:c>
      <x:c r="Q142" s="17" t="n">
        <x:f t="shared" si="17">IF(ISNUMBER(INDEX('sheet2-计算明细'!$AO$17:$AO$219,$X142)),INDEX('sheet2-计算明细'!$AO$17:$AO$219,$X142),"")</x:f>
        <x:v>0.5</x:v>
      </x:c>
      <x:c r="R142" s="17" t="n">
        <x:f t="shared" si="18">IF(ISNUMBER(INDEX('sheet2-计算明细'!$AP$17:$AP$219,$X142)),INDEX('sheet2-计算明细'!$AP$17:$AP$219,$X142),"")</x:f>
        <x:v>80</x:v>
      </x:c>
      <x:c r="S142" s="18" t="n">
        <x:f>IF($X142="","",INDEX('sheet2-计算明细'!$AQ$17:$AQ$219,$X142))</x:f>
        <x:v>0.88</x:v>
      </x:c>
      <x:c r="T142" s="16" t="n">
        <x:f>IF($X142="","",INDEX('sheet2-计算明细'!$AR$17:$AR$219,$X142))</x:f>
        <x:v>45.67533</x:v>
      </x:c>
      <x:c r="U142" s="17" t="n">
        <x:f t="shared" si="19">IF(S142=0,"",ROUND(T142/S142,2))</x:f>
        <x:v>51.9</x:v>
      </x:c>
      <x:c r="V142" s="17" t="str">
        <x:f t="shared" si="20">IF(ABS(S142-1)&lt;0.00000001,T142,"")</x:f>
      </x:c>
      <x:c r="W142" s="19" t="str">
        <x:f>IF($X142="","",INDEX('sheet2-计算明细'!$AU$17:$AU$219,$X142))</x:f>
        <x:v>DD_long不可识别；</x:v>
      </x:c>
      <x:c r="X142" s="15" t="n">
        <x:f>IF($A142&gt;COUNT('sheet2-计算明细'!$AT$17:$AT$219),"",MATCH($A142,'sheet2-计算明细'!$AT$17:$AT$219,0))</x:f>
        <x:v>121</x:v>
      </x:c>
    </x:row>
    <x:row r="143" ht="28" customHeight="1">
      <x:c r="A143" s="4" t="n">
        <x:v>138</x:v>
      </x:c>
      <x:c r="B143" s="15" t="str">
        <x:f>IF($X143="","",INDEX('sheet2-计算明细'!$B$17:$B$219,$X143))</x:f>
        <x:v>百奕传家一号</x:v>
      </x:c>
      <x:c r="C143" s="15" t="str">
        <x:f>IF($X143="","",INDEX('sheet2-计算明细'!$C$17:$C$219,$X143))</x:f>
        <x:v>SJS027</x:v>
      </x:c>
      <x:c r="D143" s="15" t="str">
        <x:f>IF($X143="","",INDEX('sheet2-计算明细'!$D$17:$D$219,$X143))</x:f>
        <x:v>上海百奕投资</x:v>
      </x:c>
      <x:c r="E143" s="15" t="str">
        <x:f>IF($X143="","",INDEX('sheet2-计算明细'!$G$17:$G$219,$X143))</x:f>
        <x:v>入池</x:v>
      </x:c>
      <x:c r="F143" s="16" t="n">
        <x:f>IF($X143="","",INDEX('sheet2-计算明细'!$I$17:$I$219,$X143))</x:f>
        <x:v>60</x:v>
      </x:c>
      <x:c r="G143" s="16" t="n">
        <x:f>IF($X143="","",INDEX('sheet2-计算明细'!$K$17:$K$219,$X143))</x:f>
        <x:v>100</x:v>
      </x:c>
      <x:c r="H143" s="16" t="n">
        <x:f>IF($X143="","",INDEX('sheet2-计算明细'!$L$17:$L$219,$X143))</x:f>
        <x:v>100</x:v>
      </x:c>
      <x:c r="I143" s="16" t="n">
        <x:f>IF($X143="","",INDEX('sheet2-计算明细'!$S$17:$S$219,$X143))</x:f>
        <x:v>58.32</x:v>
      </x:c>
      <x:c r="J143" s="16" t="n">
        <x:f>IF($X143="","",INDEX('sheet2-计算明细'!$Y$17:$Y$219,$X143))</x:f>
        <x:v>58.97</x:v>
      </x:c>
      <x:c r="K143" s="16" t="n">
        <x:f>IF($X143="","",INDEX('sheet2-计算明细'!$AC$17:$AC$219,$X143))</x:f>
        <x:v>24.26</x:v>
      </x:c>
      <x:c r="L143" s="16" t="n">
        <x:f>IF($X143="","",INDEX('sheet2-计算明细'!$AI$17:$AI$219,$X143))</x:f>
        <x:v>38.41</x:v>
      </x:c>
      <x:c r="M143" s="16" t="n">
        <x:f>IF($X143="","",INDEX('sheet2-计算明细'!$AK$17:$AK$219,$X143))</x:f>
        <x:v>100</x:v>
      </x:c>
      <x:c r="N143" s="17" t="n">
        <x:f t="shared" si="14">IF(ISNUMBER(INDEX('sheet2-计算明细'!$AL$17:$AL$219,$X143)),INDEX('sheet2-计算明细'!$AL$17:$AL$219,$X143),"")</x:f>
        <x:v>84</x:v>
      </x:c>
      <x:c r="O143" s="17" t="n">
        <x:f t="shared" si="15">IF(ISNUMBER(INDEX('sheet2-计算明细'!$AM$17:$AM$219,$X143)),INDEX('sheet2-计算明细'!$AM$17:$AM$219,$X143),"")</x:f>
        <x:v>58.51</x:v>
      </x:c>
      <x:c r="P143" s="17" t="n">
        <x:f t="shared" si="16">IF(ISNUMBER(INDEX('sheet2-计算明细'!$AN$17:$AN$219,$X143)),INDEX('sheet2-计算明细'!$AN$17:$AN$219,$X143),"")</x:f>
        <x:v>24.26</x:v>
      </x:c>
      <x:c r="Q143" s="17" t="n">
        <x:f t="shared" si="17">IF(ISNUMBER(INDEX('sheet2-计算明细'!$AO$17:$AO$219,$X143)),INDEX('sheet2-计算明细'!$AO$17:$AO$219,$X143),"")</x:f>
        <x:v>38.41</x:v>
      </x:c>
      <x:c r="R143" s="17" t="n">
        <x:f t="shared" si="18">IF(ISNUMBER(INDEX('sheet2-计算明细'!$AP$17:$AP$219,$X143)),INDEX('sheet2-计算明细'!$AP$17:$AP$219,$X143),"")</x:f>
        <x:v>100</x:v>
      </x:c>
      <x:c r="S143" s="18" t="n">
        <x:f>IF($X143="","",INDEX('sheet2-计算明细'!$AQ$17:$AQ$219,$X143))</x:f>
        <x:v>1</x:v>
      </x:c>
      <x:c r="T143" s="16" t="n">
        <x:f>IF($X143="","",INDEX('sheet2-计算明细'!$AR$17:$AR$219,$X143))</x:f>
        <x:v>51.891310000000004</x:v>
      </x:c>
      <x:c r="U143" s="17" t="n">
        <x:f t="shared" si="19">IF(S143=0,"",ROUND(T143/S143,2))</x:f>
        <x:v>51.89</x:v>
      </x:c>
      <x:c r="V143" s="17" t="n">
        <x:f t="shared" si="20">IF(ABS(S143-1)&lt;0.00000001,T143,"")</x:f>
        <x:v>51.891310000000004</x:v>
      </x:c>
      <x:c r="W143" s="19" t="str">
        <x:f>IF($X143="","",INDEX('sheet2-计算明细'!$AU$17:$AU$219,$X143))</x:f>
      </x:c>
      <x:c r="X143" s="15" t="n">
        <x:f>IF($A143&gt;COUNT('sheet2-计算明细'!$AT$17:$AT$219),"",MATCH($A143,'sheet2-计算明细'!$AT$17:$AT$219,0))</x:f>
        <x:v>19</x:v>
      </x:c>
    </x:row>
    <x:row r="144" ht="28" customHeight="1">
      <x:c r="A144" s="4" t="n">
        <x:v>139</x:v>
      </x:c>
      <x:c r="B144" s="15" t="str">
        <x:f>IF($X144="","",INDEX('sheet2-计算明细'!$B$17:$B$219,$X144))</x:f>
        <x:v>杉阳云杉转债1号</x:v>
      </x:c>
      <x:c r="C144" s="15" t="str">
        <x:f>IF($X144="","",INDEX('sheet2-计算明细'!$C$17:$C$219,$X144))</x:f>
        <x:v>SLE395</x:v>
      </x:c>
      <x:c r="D144" s="15" t="str">
        <x:f>IF($X144="","",INDEX('sheet2-计算明细'!$D$17:$D$219,$X144))</x:f>
        <x:v>上海杉阳</x:v>
      </x:c>
      <x:c r="E144" s="15" t="str">
        <x:f>IF($X144="","",INDEX('sheet2-计算明细'!$G$17:$G$219,$X144))</x:f>
        <x:v>入池</x:v>
      </x:c>
      <x:c r="F144" s="16" t="n">
        <x:f>IF($X144="","",INDEX('sheet2-计算明细'!$I$17:$I$219,$X144))</x:f>
        <x:v>60</x:v>
      </x:c>
      <x:c r="G144" s="16" t="n">
        <x:f>IF($X144="","",INDEX('sheet2-计算明细'!$K$17:$K$219,$X144))</x:f>
        <x:v>100</x:v>
      </x:c>
      <x:c r="H144" s="16" t="n">
        <x:f>IF($X144="","",INDEX('sheet2-计算明细'!$L$17:$L$219,$X144))</x:f>
        <x:v>100</x:v>
      </x:c>
      <x:c r="I144" s="16" t="n">
        <x:f>IF($X144="","",INDEX('sheet2-计算明细'!$S$17:$S$219,$X144))</x:f>
        <x:v>38.61</x:v>
      </x:c>
      <x:c r="J144" s="16" t="n">
        <x:f>IF($X144="","",INDEX('sheet2-计算明细'!$Y$17:$Y$219,$X144))</x:f>
        <x:v>62.31</x:v>
      </x:c>
      <x:c r="K144" s="16" t="n">
        <x:f>IF($X144="","",INDEX('sheet2-计算明细'!$AC$17:$AC$219,$X144))</x:f>
        <x:v>44.55</x:v>
      </x:c>
      <x:c r="L144" s="16" t="n">
        <x:f>IF($X144="","",INDEX('sheet2-计算明细'!$AI$17:$AI$219,$X144))</x:f>
        <x:v>36.53</x:v>
      </x:c>
      <x:c r="M144" s="16" t="n">
        <x:f>IF($X144="","",INDEX('sheet2-计算明细'!$AK$17:$AK$219,$X144))</x:f>
        <x:v>80</x:v>
      </x:c>
      <x:c r="N144" s="17" t="n">
        <x:f t="shared" si="14">IF(ISNUMBER(INDEX('sheet2-计算明细'!$AL$17:$AL$219,$X144)),INDEX('sheet2-计算明细'!$AL$17:$AL$219,$X144),"")</x:f>
        <x:v>84</x:v>
      </x:c>
      <x:c r="O144" s="17" t="n">
        <x:f t="shared" si="15">IF(ISNUMBER(INDEX('sheet2-计算明细'!$AM$17:$AM$219,$X144)),INDEX('sheet2-计算明细'!$AM$17:$AM$219,$X144),"")</x:f>
        <x:v>45.72</x:v>
      </x:c>
      <x:c r="P144" s="17" t="n">
        <x:f t="shared" si="16">IF(ISNUMBER(INDEX('sheet2-计算明细'!$AN$17:$AN$219,$X144)),INDEX('sheet2-计算明细'!$AN$17:$AN$219,$X144),"")</x:f>
        <x:v>44.55</x:v>
      </x:c>
      <x:c r="Q144" s="17" t="n">
        <x:f t="shared" si="17">IF(ISNUMBER(INDEX('sheet2-计算明细'!$AO$17:$AO$219,$X144)),INDEX('sheet2-计算明细'!$AO$17:$AO$219,$X144),"")</x:f>
        <x:v>36.53</x:v>
      </x:c>
      <x:c r="R144" s="17" t="n">
        <x:f t="shared" si="18">IF(ISNUMBER(INDEX('sheet2-计算明细'!$AP$17:$AP$219,$X144)),INDEX('sheet2-计算明细'!$AP$17:$AP$219,$X144),"")</x:f>
        <x:v>80</x:v>
      </x:c>
      <x:c r="S144" s="18" t="n">
        <x:f>IF($X144="","",INDEX('sheet2-计算明细'!$AQ$17:$AQ$219,$X144))</x:f>
        <x:v>1</x:v>
      </x:c>
      <x:c r="T144" s="16" t="n">
        <x:f>IF($X144="","",INDEX('sheet2-计算明细'!$AR$17:$AR$219,$X144))</x:f>
        <x:v>51.841699999999996</x:v>
      </x:c>
      <x:c r="U144" s="17" t="n">
        <x:f t="shared" si="19">IF(S144=0,"",ROUND(T144/S144,2))</x:f>
        <x:v>51.84</x:v>
      </x:c>
      <x:c r="V144" s="17" t="n">
        <x:f t="shared" si="20">IF(ABS(S144-1)&lt;0.00000001,T144,"")</x:f>
        <x:v>51.841699999999996</x:v>
      </x:c>
      <x:c r="W144" s="19" t="str">
        <x:f>IF($X144="","",INDEX('sheet2-计算明细'!$AU$17:$AU$219,$X144))</x:f>
      </x:c>
      <x:c r="X144" s="15" t="n">
        <x:f>IF($A144&gt;COUNT('sheet2-计算明细'!$AT$17:$AT$219),"",MATCH($A144,'sheet2-计算明细'!$AT$17:$AT$219,0))</x:f>
        <x:v>129</x:v>
      </x:c>
    </x:row>
    <x:row r="145" ht="28" customHeight="1">
      <x:c r="A145" s="4" t="n">
        <x:v>140</x:v>
      </x:c>
      <x:c r="B145" s="15" t="str">
        <x:f>IF($X145="","",INDEX('sheet2-计算明细'!$B$17:$B$219,$X145))</x:f>
        <x:v>荣熙商品1号</x:v>
      </x:c>
      <x:c r="C145" s="15" t="str">
        <x:f>IF($X145="","",INDEX('sheet2-计算明细'!$C$17:$C$219,$X145))</x:f>
        <x:v>SQS292</x:v>
      </x:c>
      <x:c r="D145" s="15" t="str">
        <x:f>IF($X145="","",INDEX('sheet2-计算明细'!$D$17:$D$219,$X145))</x:f>
        <x:v>上海荣熙</x:v>
      </x:c>
      <x:c r="E145" s="15" t="str">
        <x:f>IF($X145="","",INDEX('sheet2-计算明细'!$G$17:$G$219,$X145))</x:f>
        <x:v>入池</x:v>
      </x:c>
      <x:c r="F145" s="16" t="n">
        <x:f>IF($X145="","",INDEX('sheet2-计算明细'!$I$17:$I$219,$X145))</x:f>
        <x:v>70</x:v>
      </x:c>
      <x:c r="G145" s="16" t="n">
        <x:f>IF($X145="","",INDEX('sheet2-计算明细'!$K$17:$K$219,$X145))</x:f>
        <x:v>100</x:v>
      </x:c>
      <x:c r="H145" s="16" t="n">
        <x:f>IF($X145="","",INDEX('sheet2-计算明细'!$L$17:$L$219,$X145))</x:f>
        <x:v>100</x:v>
      </x:c>
      <x:c r="I145" s="16" t="n">
        <x:f>IF($X145="","",INDEX('sheet2-计算明细'!$S$17:$S$219,$X145))</x:f>
        <x:v>43.56</x:v>
      </x:c>
      <x:c r="J145" s="16" t="n">
        <x:f>IF($X145="","",INDEX('sheet2-计算明细'!$Y$17:$Y$219,$X145))</x:f>
        <x:v>51.02</x:v>
      </x:c>
      <x:c r="K145" s="16" t="n">
        <x:f>IF($X145="","",INDEX('sheet2-计算明细'!$AC$17:$AC$219,$X145))</x:f>
        <x:v>40.59</x:v>
      </x:c>
      <x:c r="L145" s="16" t="n">
        <x:f>IF($X145="","",INDEX('sheet2-计算明细'!$AI$17:$AI$219,$X145))</x:f>
        <x:v>37.68</x:v>
      </x:c>
      <x:c r="M145" s="16" t="n">
        <x:f>IF($X145="","",INDEX('sheet2-计算明细'!$AK$17:$AK$219,$X145))</x:f>
        <x:v>80</x:v>
      </x:c>
      <x:c r="N145" s="17" t="n">
        <x:f t="shared" si="14">IF(ISNUMBER(INDEX('sheet2-计算明细'!$AL$17:$AL$219,$X145)),INDEX('sheet2-计算明细'!$AL$17:$AL$219,$X145),"")</x:f>
        <x:v>88</x:v>
      </x:c>
      <x:c r="O145" s="17" t="n">
        <x:f t="shared" si="15">IF(ISNUMBER(INDEX('sheet2-计算明细'!$AM$17:$AM$219,$X145)),INDEX('sheet2-计算明细'!$AM$17:$AM$219,$X145),"")</x:f>
        <x:v>45.8</x:v>
      </x:c>
      <x:c r="P145" s="17" t="n">
        <x:f t="shared" si="16">IF(ISNUMBER(INDEX('sheet2-计算明细'!$AN$17:$AN$219,$X145)),INDEX('sheet2-计算明细'!$AN$17:$AN$219,$X145),"")</x:f>
        <x:v>40.59</x:v>
      </x:c>
      <x:c r="Q145" s="17" t="n">
        <x:f t="shared" si="17">IF(ISNUMBER(INDEX('sheet2-计算明细'!$AO$17:$AO$219,$X145)),INDEX('sheet2-计算明细'!$AO$17:$AO$219,$X145),"")</x:f>
        <x:v>37.68</x:v>
      </x:c>
      <x:c r="R145" s="17" t="n">
        <x:f t="shared" si="18">IF(ISNUMBER(INDEX('sheet2-计算明细'!$AP$17:$AP$219,$X145)),INDEX('sheet2-计算明细'!$AP$17:$AP$219,$X145),"")</x:f>
        <x:v>80</x:v>
      </x:c>
      <x:c r="S145" s="18" t="n">
        <x:f>IF($X145="","",INDEX('sheet2-计算明细'!$AQ$17:$AQ$219,$X145))</x:f>
        <x:v>1</x:v>
      </x:c>
      <x:c r="T145" s="16" t="n">
        <x:f>IF($X145="","",INDEX('sheet2-计算明细'!$AR$17:$AR$219,$X145))</x:f>
        <x:v>51.81028</x:v>
      </x:c>
      <x:c r="U145" s="17" t="n">
        <x:f t="shared" si="19">IF(S145=0,"",ROUND(T145/S145,2))</x:f>
        <x:v>51.81</x:v>
      </x:c>
      <x:c r="V145" s="17" t="n">
        <x:f t="shared" si="20">IF(ABS(S145-1)&lt;0.00000001,T145,"")</x:f>
        <x:v>51.81028</x:v>
      </x:c>
      <x:c r="W145" s="19" t="str">
        <x:f>IF($X145="","",INDEX('sheet2-计算明细'!$AU$17:$AU$219,$X145))</x:f>
      </x:c>
      <x:c r="X145" s="15" t="n">
        <x:f>IF($A145&gt;COUNT('sheet2-计算明细'!$AT$17:$AT$219),"",MATCH($A145,'sheet2-计算明细'!$AT$17:$AT$219,0))</x:f>
        <x:v>32</x:v>
      </x:c>
    </x:row>
    <x:row r="146" ht="28" customHeight="1">
      <x:c r="A146" s="4" t="n">
        <x:v>141</x:v>
      </x:c>
      <x:c r="B146" s="15" t="str">
        <x:f>IF($X146="","",INDEX('sheet2-计算明细'!$B$17:$B$219,$X146))</x:f>
        <x:v>银杏善利6号</x:v>
      </x:c>
      <x:c r="C146" s="15" t="str">
        <x:f>IF($X146="","",INDEX('sheet2-计算明细'!$C$17:$C$219,$X146))</x:f>
        <x:v>SXS440</x:v>
      </x:c>
      <x:c r="D146" s="15" t="str">
        <x:f>IF($X146="","",INDEX('sheet2-计算明细'!$D$17:$D$219,$X146))</x:f>
        <x:v>上海银杏</x:v>
      </x:c>
      <x:c r="E146" s="15" t="str">
        <x:f>IF($X146="","",INDEX('sheet2-计算明细'!$G$17:$G$219,$X146))</x:f>
        <x:v>入池</x:v>
      </x:c>
      <x:c r="F146" s="16" t="n">
        <x:f>IF($X146="","",INDEX('sheet2-计算明细'!$I$17:$I$219,$X146))</x:f>
        <x:v>60</x:v>
      </x:c>
      <x:c r="G146" s="16" t="n">
        <x:f>IF($X146="","",INDEX('sheet2-计算明细'!$K$17:$K$219,$X146))</x:f>
        <x:v>0</x:v>
      </x:c>
      <x:c r="H146" s="16" t="n">
        <x:f>IF($X146="","",INDEX('sheet2-计算明细'!$L$17:$L$219,$X146))</x:f>
        <x:v>100</x:v>
      </x:c>
      <x:c r="I146" s="16" t="n">
        <x:f>IF($X146="","",INDEX('sheet2-计算明细'!$S$17:$S$219,$X146))</x:f>
        <x:v>41.88</x:v>
      </x:c>
      <x:c r="J146" s="16" t="n">
        <x:f>IF($X146="","",INDEX('sheet2-计算明细'!$Y$17:$Y$219,$X146))</x:f>
        <x:v>66.92</x:v>
      </x:c>
      <x:c r="K146" s="16" t="n">
        <x:f>IF($X146="","",INDEX('sheet2-计算明细'!$AC$17:$AC$219,$X146))</x:f>
        <x:v>50</x:v>
      </x:c>
      <x:c r="L146" s="16" t="n">
        <x:f>IF($X146="","",INDEX('sheet2-计算明细'!$AI$17:$AI$219,$X146))</x:f>
        <x:v>44.19</x:v>
      </x:c>
      <x:c r="M146" s="16" t="n">
        <x:f>IF($X146="","",INDEX('sheet2-计算明细'!$AK$17:$AK$219,$X146))</x:f>
        <x:v>80</x:v>
      </x:c>
      <x:c r="N146" s="17" t="n">
        <x:f t="shared" si="14">IF(ISNUMBER(INDEX('sheet2-计算明细'!$AL$17:$AL$219,$X146)),INDEX('sheet2-计算明细'!$AL$17:$AL$219,$X146),"")</x:f>
        <x:v>54</x:v>
      </x:c>
      <x:c r="O146" s="17" t="n">
        <x:f t="shared" si="15">IF(ISNUMBER(INDEX('sheet2-计算明细'!$AM$17:$AM$219,$X146)),INDEX('sheet2-计算明细'!$AM$17:$AM$219,$X146),"")</x:f>
        <x:v>49.4</x:v>
      </x:c>
      <x:c r="P146" s="17" t="n">
        <x:f t="shared" si="16">IF(ISNUMBER(INDEX('sheet2-计算明细'!$AN$17:$AN$219,$X146)),INDEX('sheet2-计算明细'!$AN$17:$AN$219,$X146),"")</x:f>
        <x:v>50</x:v>
      </x:c>
      <x:c r="Q146" s="17" t="n">
        <x:f t="shared" si="17">IF(ISNUMBER(INDEX('sheet2-计算明细'!$AO$17:$AO$219,$X146)),INDEX('sheet2-计算明细'!$AO$17:$AO$219,$X146),"")</x:f>
        <x:v>44.19</x:v>
      </x:c>
      <x:c r="R146" s="17" t="n">
        <x:f t="shared" si="18">IF(ISNUMBER(INDEX('sheet2-计算明细'!$AP$17:$AP$219,$X146)),INDEX('sheet2-计算明细'!$AP$17:$AP$219,$X146),"")</x:f>
        <x:v>80</x:v>
      </x:c>
      <x:c r="S146" s="18" t="n">
        <x:f>IF($X146="","",INDEX('sheet2-计算明细'!$AQ$17:$AQ$219,$X146))</x:f>
        <x:v>1</x:v>
      </x:c>
      <x:c r="T146" s="16" t="n">
        <x:f>IF($X146="","",INDEX('sheet2-计算明细'!$AR$17:$AR$219,$X146))</x:f>
        <x:v>51.734970000000004</x:v>
      </x:c>
      <x:c r="U146" s="17" t="n">
        <x:f t="shared" si="19">IF(S146=0,"",ROUND(T146/S146,2))</x:f>
        <x:v>51.73</x:v>
      </x:c>
      <x:c r="V146" s="17" t="n">
        <x:f t="shared" si="20">IF(ABS(S146-1)&lt;0.00000001,T146,"")</x:f>
        <x:v>51.734970000000004</x:v>
      </x:c>
      <x:c r="W146" s="19" t="str">
        <x:f>IF($X146="","",INDEX('sheet2-计算明细'!$AU$17:$AU$219,$X146))</x:f>
      </x:c>
      <x:c r="X146" s="15" t="n">
        <x:f>IF($A146&gt;COUNT('sheet2-计算明细'!$AT$17:$AT$219),"",MATCH($A146,'sheet2-计算明细'!$AT$17:$AT$219,0))</x:f>
        <x:v>57</x:v>
      </x:c>
    </x:row>
    <x:row r="147" ht="28" customHeight="1">
      <x:c r="A147" s="4" t="n">
        <x:v>142</x:v>
      </x:c>
      <x:c r="B147" s="15" t="str">
        <x:f>IF($X147="","",INDEX('sheet2-计算明细'!$B$17:$B$219,$X147))</x:f>
        <x:v>申毅格物22号</x:v>
      </x:c>
      <x:c r="C147" s="15" t="str">
        <x:f>IF($X147="","",INDEX('sheet2-计算明细'!$C$17:$C$219,$X147))</x:f>
        <x:v>SLD523</x:v>
      </x:c>
      <x:c r="D147" s="15" t="str">
        <x:f>IF($X147="","",INDEX('sheet2-计算明细'!$D$17:$D$219,$X147))</x:f>
        <x:v>上海申毅投资</x:v>
      </x:c>
      <x:c r="E147" s="15" t="str">
        <x:f>IF($X147="","",INDEX('sheet2-计算明细'!$G$17:$G$219,$X147))</x:f>
        <x:v>入池</x:v>
      </x:c>
      <x:c r="F147" s="16" t="n">
        <x:f>IF($X147="","",INDEX('sheet2-计算明细'!$I$17:$I$219,$X147))</x:f>
        <x:v>100</x:v>
      </x:c>
      <x:c r="G147" s="16" t="n">
        <x:f>IF($X147="","",INDEX('sheet2-计算明细'!$K$17:$K$219,$X147))</x:f>
        <x:v>100</x:v>
      </x:c>
      <x:c r="H147" s="16" t="n">
        <x:f>IF($X147="","",INDEX('sheet2-计算明细'!$L$17:$L$219,$X147))</x:f>
        <x:v>100</x:v>
      </x:c>
      <x:c r="I147" s="16" t="n">
        <x:f>IF($X147="","",INDEX('sheet2-计算明细'!$S$17:$S$219,$X147))</x:f>
        <x:v>66.09</x:v>
      </x:c>
      <x:c r="J147" s="16" t="n">
        <x:f>IF($X147="","",INDEX('sheet2-计算明细'!$Y$17:$Y$219,$X147))</x:f>
        <x:v>62.31</x:v>
      </x:c>
      <x:c r="K147" s="16" t="n">
        <x:f>IF($X147="","",INDEX('sheet2-计算明细'!$AC$17:$AC$219,$X147))</x:f>
        <x:v>16.34</x:v>
      </x:c>
      <x:c r="L147" s="16" t="n">
        <x:f>IF($X147="","",INDEX('sheet2-计算明细'!$AI$17:$AI$219,$X147))</x:f>
        <x:v>38.5</x:v>
      </x:c>
      <x:c r="M147" s="16" t="n">
        <x:f>IF($X147="","",INDEX('sheet2-计算明细'!$AK$17:$AK$219,$X147))</x:f>
        <x:v>80</x:v>
      </x:c>
      <x:c r="N147" s="17" t="n">
        <x:f t="shared" si="14">IF(ISNUMBER(INDEX('sheet2-计算明细'!$AL$17:$AL$219,$X147)),INDEX('sheet2-计算明细'!$AL$17:$AL$219,$X147),"")</x:f>
        <x:v>100</x:v>
      </x:c>
      <x:c r="O147" s="17" t="n">
        <x:f t="shared" si="15">IF(ISNUMBER(INDEX('sheet2-计算明细'!$AM$17:$AM$219,$X147)),INDEX('sheet2-计算明细'!$AM$17:$AM$219,$X147),"")</x:f>
        <x:v>64.95</x:v>
      </x:c>
      <x:c r="P147" s="17" t="n">
        <x:f t="shared" si="16">IF(ISNUMBER(INDEX('sheet2-计算明细'!$AN$17:$AN$219,$X147)),INDEX('sheet2-计算明细'!$AN$17:$AN$219,$X147),"")</x:f>
        <x:v>16.34</x:v>
      </x:c>
      <x:c r="Q147" s="17" t="n">
        <x:f t="shared" si="17">IF(ISNUMBER(INDEX('sheet2-计算明细'!$AO$17:$AO$219,$X147)),INDEX('sheet2-计算明细'!$AO$17:$AO$219,$X147),"")</x:f>
        <x:v>38.5</x:v>
      </x:c>
      <x:c r="R147" s="17" t="n">
        <x:f t="shared" si="18">IF(ISNUMBER(INDEX('sheet2-计算明细'!$AP$17:$AP$219,$X147)),INDEX('sheet2-计算明细'!$AP$17:$AP$219,$X147),"")</x:f>
        <x:v>80</x:v>
      </x:c>
      <x:c r="S147" s="18" t="n">
        <x:f>IF($X147="","",INDEX('sheet2-计算明细'!$AQ$17:$AQ$219,$X147))</x:f>
        <x:v>1</x:v>
      </x:c>
      <x:c r="T147" s="16" t="n">
        <x:f>IF($X147="","",INDEX('sheet2-计算明细'!$AR$17:$AR$219,$X147))</x:f>
        <x:v>51.62448</x:v>
      </x:c>
      <x:c r="U147" s="17" t="n">
        <x:f t="shared" si="19">IF(S147=0,"",ROUND(T147/S147,2))</x:f>
        <x:v>51.62</x:v>
      </x:c>
      <x:c r="V147" s="17" t="n">
        <x:f t="shared" si="20">IF(ABS(S147-1)&lt;0.00000001,T147,"")</x:f>
        <x:v>51.62448</x:v>
      </x:c>
      <x:c r="W147" s="19" t="str">
        <x:f>IF($X147="","",INDEX('sheet2-计算明细'!$AU$17:$AU$219,$X147))</x:f>
      </x:c>
      <x:c r="X147" s="15" t="n">
        <x:f>IF($A147&gt;COUNT('sheet2-计算明细'!$AT$17:$AT$219),"",MATCH($A147,'sheet2-计算明细'!$AT$17:$AT$219,0))</x:f>
        <x:v>90</x:v>
      </x:c>
    </x:row>
    <x:row r="148" ht="28" customHeight="1">
      <x:c r="A148" s="4" t="n">
        <x:v>143</x:v>
      </x:c>
      <x:c r="B148" s="15" t="str">
        <x:f>IF($X148="","",INDEX('sheet2-计算明细'!$B$17:$B$219,$X148))</x:f>
        <x:v>宏翼高频1号</x:v>
      </x:c>
      <x:c r="C148" s="15" t="str">
        <x:f>IF($X148="","",INDEX('sheet2-计算明细'!$C$17:$C$219,$X148))</x:f>
        <x:v>SQA623</x:v>
      </x:c>
      <x:c r="D148" s="15" t="str">
        <x:f>IF($X148="","",INDEX('sheet2-计算明细'!$D$17:$D$219,$X148))</x:f>
        <x:v>上海宏翼</x:v>
      </x:c>
      <x:c r="E148" s="15" t="str">
        <x:f>IF($X148="","",INDEX('sheet2-计算明细'!$G$17:$G$219,$X148))</x:f>
        <x:v>入池</x:v>
      </x:c>
      <x:c r="F148" s="16" t="n">
        <x:f>IF($X148="","",INDEX('sheet2-计算明细'!$I$17:$I$219,$X148))</x:f>
        <x:v>70</x:v>
      </x:c>
      <x:c r="G148" s="16" t="n">
        <x:f>IF($X148="","",INDEX('sheet2-计算明细'!$K$17:$K$219,$X148))</x:f>
        <x:v>100</x:v>
      </x:c>
      <x:c r="H148" s="16" t="n">
        <x:f>IF($X148="","",INDEX('sheet2-计算明细'!$L$17:$L$219,$X148))</x:f>
        <x:v>100</x:v>
      </x:c>
      <x:c r="I148" s="16" t="n">
        <x:f>IF($X148="","",INDEX('sheet2-计算明细'!$S$17:$S$219,$X148))</x:f>
        <x:v>81.19</x:v>
      </x:c>
      <x:c r="J148" s="16" t="n">
        <x:f>IF($X148="","",INDEX('sheet2-计算明细'!$Y$17:$Y$219,$X148))</x:f>
        <x:v>66.92</x:v>
      </x:c>
      <x:c r="K148" s="16" t="n">
        <x:f>IF($X148="","",INDEX('sheet2-计算明细'!$AC$17:$AC$219,$X148))</x:f>
        <x:v>12.38</x:v>
      </x:c>
      <x:c r="L148" s="16" t="n">
        <x:f>IF($X148="","",INDEX('sheet2-计算明细'!$AI$17:$AI$219,$X148))</x:f>
        <x:v>28.86</x:v>
      </x:c>
      <x:c r="M148" s="16" t="n">
        <x:f>IF($X148="","",INDEX('sheet2-计算明细'!$AK$17:$AK$219,$X148))</x:f>
        <x:v>80</x:v>
      </x:c>
      <x:c r="N148" s="17" t="n">
        <x:f t="shared" si="14">IF(ISNUMBER(INDEX('sheet2-计算明细'!$AL$17:$AL$219,$X148)),INDEX('sheet2-计算明细'!$AL$17:$AL$219,$X148),"")</x:f>
        <x:v>88</x:v>
      </x:c>
      <x:c r="O148" s="17" t="n">
        <x:f t="shared" si="15">IF(ISNUMBER(INDEX('sheet2-计算明细'!$AM$17:$AM$219,$X148)),INDEX('sheet2-计算明细'!$AM$17:$AM$219,$X148),"")</x:f>
        <x:v>76.91</x:v>
      </x:c>
      <x:c r="P148" s="17" t="n">
        <x:f t="shared" si="16">IF(ISNUMBER(INDEX('sheet2-计算明细'!$AN$17:$AN$219,$X148)),INDEX('sheet2-计算明细'!$AN$17:$AN$219,$X148),"")</x:f>
        <x:v>12.38</x:v>
      </x:c>
      <x:c r="Q148" s="17" t="n">
        <x:f t="shared" si="17">IF(ISNUMBER(INDEX('sheet2-计算明细'!$AO$17:$AO$219,$X148)),INDEX('sheet2-计算明细'!$AO$17:$AO$219,$X148),"")</x:f>
        <x:v>28.86</x:v>
      </x:c>
      <x:c r="R148" s="17" t="n">
        <x:f t="shared" si="18">IF(ISNUMBER(INDEX('sheet2-计算明细'!$AP$17:$AP$219,$X148)),INDEX('sheet2-计算明细'!$AP$17:$AP$219,$X148),"")</x:f>
        <x:v>80</x:v>
      </x:c>
      <x:c r="S148" s="18" t="n">
        <x:f>IF($X148="","",INDEX('sheet2-计算明细'!$AQ$17:$AQ$219,$X148))</x:f>
        <x:v>0.88</x:v>
      </x:c>
      <x:c r="T148" s="16" t="n">
        <x:f>IF($X148="","",INDEX('sheet2-计算明细'!$AR$17:$AR$219,$X148))</x:f>
        <x:v>44.871809999999996</x:v>
      </x:c>
      <x:c r="U148" s="17" t="n">
        <x:f t="shared" si="19">IF(S148=0,"",ROUND(T148/S148,2))</x:f>
        <x:v>50.99</x:v>
      </x:c>
      <x:c r="V148" s="17" t="str">
        <x:f t="shared" si="20">IF(ABS(S148-1)&lt;0.00000001,T148,"")</x:f>
      </x:c>
      <x:c r="W148" s="19" t="str">
        <x:f>IF($X148="","",INDEX('sheet2-计算明细'!$AU$17:$AU$219,$X148))</x:f>
        <x:v>DD_long不可识别；</x:v>
      </x:c>
      <x:c r="X148" s="15" t="n">
        <x:f>IF($A148&gt;COUNT('sheet2-计算明细'!$AT$17:$AT$219),"",MATCH($A148,'sheet2-计算明细'!$AT$17:$AT$219,0))</x:f>
        <x:v>94</x:v>
      </x:c>
    </x:row>
    <x:row r="149" ht="28" customHeight="1">
      <x:c r="A149" s="4" t="n">
        <x:v>144</x:v>
      </x:c>
      <x:c r="B149" s="15" t="str">
        <x:f>IF($X149="","",INDEX('sheet2-计算明细'!$B$17:$B$219,$X149))</x:f>
        <x:v>探融新视野智能量化1号</x:v>
      </x:c>
      <x:c r="C149" s="15" t="str">
        <x:f>IF($X149="","",INDEX('sheet2-计算明细'!$C$17:$C$219,$X149))</x:f>
        <x:v>SL8089</x:v>
      </x:c>
      <x:c r="D149" s="15" t="str">
        <x:f>IF($X149="","",INDEX('sheet2-计算明细'!$D$17:$D$219,$X149))</x:f>
        <x:v>杭州探融投资</x:v>
      </x:c>
      <x:c r="E149" s="15" t="str">
        <x:f>IF($X149="","",INDEX('sheet2-计算明细'!$G$17:$G$219,$X149))</x:f>
        <x:v>入池</x:v>
      </x:c>
      <x:c r="F149" s="16" t="n">
        <x:f>IF($X149="","",INDEX('sheet2-计算明细'!$I$17:$I$219,$X149))</x:f>
        <x:v>60</x:v>
      </x:c>
      <x:c r="G149" s="16" t="n">
        <x:f>IF($X149="","",INDEX('sheet2-计算明细'!$K$17:$K$219,$X149))</x:f>
        <x:v>100</x:v>
      </x:c>
      <x:c r="H149" s="16" t="n">
        <x:f>IF($X149="","",INDEX('sheet2-计算明细'!$L$17:$L$219,$X149))</x:f>
        <x:v>100</x:v>
      </x:c>
      <x:c r="I149" s="16" t="n">
        <x:f>IF($X149="","",INDEX('sheet2-计算明细'!$S$17:$S$219,$X149))</x:f>
        <x:v>14.06</x:v>
      </x:c>
      <x:c r="J149" s="16" t="n">
        <x:f>IF($X149="","",INDEX('sheet2-计算明细'!$Y$17:$Y$219,$X149))</x:f>
        <x:v>49.75</x:v>
      </x:c>
      <x:c r="K149" s="16" t="n">
        <x:f>IF($X149="","",INDEX('sheet2-计算明细'!$AC$17:$AC$219,$X149))</x:f>
        <x:v>66.83</x:v>
      </x:c>
      <x:c r="L149" s="16" t="n">
        <x:f>IF($X149="","",INDEX('sheet2-计算明细'!$AI$17:$AI$219,$X149))</x:f>
        <x:v>14.43</x:v>
      </x:c>
      <x:c r="M149" s="16" t="n">
        <x:f>IF($X149="","",INDEX('sheet2-计算明细'!$AK$17:$AK$219,$X149))</x:f>
        <x:v>80</x:v>
      </x:c>
      <x:c r="N149" s="17" t="n">
        <x:f t="shared" si="14">IF(ISNUMBER(INDEX('sheet2-计算明细'!$AL$17:$AL$219,$X149)),INDEX('sheet2-计算明细'!$AL$17:$AL$219,$X149),"")</x:f>
        <x:v>84</x:v>
      </x:c>
      <x:c r="O149" s="17" t="n">
        <x:f t="shared" si="15">IF(ISNUMBER(INDEX('sheet2-计算明细'!$AM$17:$AM$219,$X149)),INDEX('sheet2-计算明细'!$AM$17:$AM$219,$X149),"")</x:f>
        <x:v>24.76</x:v>
      </x:c>
      <x:c r="P149" s="17" t="n">
        <x:f t="shared" si="16">IF(ISNUMBER(INDEX('sheet2-计算明细'!$AN$17:$AN$219,$X149)),INDEX('sheet2-计算明细'!$AN$17:$AN$219,$X149),"")</x:f>
        <x:v>66.83</x:v>
      </x:c>
      <x:c r="Q149" s="17" t="n">
        <x:f t="shared" si="17">IF(ISNUMBER(INDEX('sheet2-计算明细'!$AO$17:$AO$219,$X149)),INDEX('sheet2-计算明细'!$AO$17:$AO$219,$X149),"")</x:f>
        <x:v>14.43</x:v>
      </x:c>
      <x:c r="R149" s="17" t="n">
        <x:f t="shared" si="18">IF(ISNUMBER(INDEX('sheet2-计算明细'!$AP$17:$AP$219,$X149)),INDEX('sheet2-计算明细'!$AP$17:$AP$219,$X149),"")</x:f>
        <x:v>80</x:v>
      </x:c>
      <x:c r="S149" s="18" t="n">
        <x:f>IF($X149="","",INDEX('sheet2-计算明细'!$AQ$17:$AQ$219,$X149))</x:f>
        <x:v>0.88</x:v>
      </x:c>
      <x:c r="T149" s="16" t="n">
        <x:f>IF($X149="","",INDEX('sheet2-计算明细'!$AR$17:$AR$219,$X149))</x:f>
        <x:v>44.85772</x:v>
      </x:c>
      <x:c r="U149" s="17" t="n">
        <x:f t="shared" si="19">IF(S149=0,"",ROUND(T149/S149,2))</x:f>
        <x:v>50.97</x:v>
      </x:c>
      <x:c r="V149" s="17" t="str">
        <x:f t="shared" si="20">IF(ABS(S149-1)&lt;0.00000001,T149,"")</x:f>
      </x:c>
      <x:c r="W149" s="19" t="str">
        <x:f>IF($X149="","",INDEX('sheet2-计算明细'!$AU$17:$AU$219,$X149))</x:f>
        <x:v>DD_long不可识别；</x:v>
      </x:c>
      <x:c r="X149" s="15" t="n">
        <x:f>IF($A149&gt;COUNT('sheet2-计算明细'!$AT$17:$AT$219),"",MATCH($A149,'sheet2-计算明细'!$AT$17:$AT$219,0))</x:f>
        <x:v>2</x:v>
      </x:c>
    </x:row>
    <x:row r="150" ht="28" customHeight="1">
      <x:c r="A150" s="4" t="n">
        <x:v>145</x:v>
      </x:c>
      <x:c r="B150" s="15" t="str">
        <x:f>IF($X150="","",INDEX('sheet2-计算明细'!$B$17:$B$219,$X150))</x:f>
        <x:v>金麦穗卓诚一号</x:v>
      </x:c>
      <x:c r="C150" s="15" t="str">
        <x:f>IF($X150="","",INDEX('sheet2-计算明细'!$C$17:$C$219,$X150))</x:f>
        <x:v>SXU186</x:v>
      </x:c>
      <x:c r="D150" s="15" t="str">
        <x:f>IF($X150="","",INDEX('sheet2-计算明细'!$D$17:$D$219,$X150))</x:f>
        <x:v>山东金麦穗</x:v>
      </x:c>
      <x:c r="E150" s="15" t="str">
        <x:f>IF($X150="","",INDEX('sheet2-计算明细'!$G$17:$G$219,$X150))</x:f>
        <x:v>入池</x:v>
      </x:c>
      <x:c r="F150" s="16" t="n">
        <x:f>IF($X150="","",INDEX('sheet2-计算明细'!$I$17:$I$219,$X150))</x:f>
        <x:v>60</x:v>
      </x:c>
      <x:c r="G150" s="16" t="n">
        <x:f>IF($X150="","",INDEX('sheet2-计算明细'!$K$17:$K$219,$X150))</x:f>
        <x:v>0</x:v>
      </x:c>
      <x:c r="H150" s="16" t="n">
        <x:f>IF($X150="","",INDEX('sheet2-计算明细'!$L$17:$L$219,$X150))</x:f>
        <x:v>100</x:v>
      </x:c>
      <x:c r="I150" s="16" t="n">
        <x:f>IF($X150="","",INDEX('sheet2-计算明细'!$S$17:$S$219,$X150))</x:f>
        <x:v>62.18</x:v>
      </x:c>
      <x:c r="J150" s="16" t="n">
        <x:f>IF($X150="","",INDEX('sheet2-计算明细'!$Y$17:$Y$219,$X150))</x:f>
        <x:v>57.69</x:v>
      </x:c>
      <x:c r="K150" s="16" t="n">
        <x:f>IF($X150="","",INDEX('sheet2-计算明细'!$AC$17:$AC$219,$X150))</x:f>
        <x:v>36.14</x:v>
      </x:c>
      <x:c r="L150" s="16" t="n">
        <x:f>IF($X150="","",INDEX('sheet2-计算明细'!$AI$17:$AI$219,$X150))</x:f>
        <x:v>43.71</x:v>
      </x:c>
      <x:c r="M150" s="16" t="n">
        <x:f>IF($X150="","",INDEX('sheet2-计算明细'!$AK$17:$AK$219,$X150))</x:f>
        <x:v>80</x:v>
      </x:c>
      <x:c r="N150" s="17" t="n">
        <x:f t="shared" si="14">IF(ISNUMBER(INDEX('sheet2-计算明细'!$AL$17:$AL$219,$X150)),INDEX('sheet2-计算明细'!$AL$17:$AL$219,$X150),"")</x:f>
        <x:v>54</x:v>
      </x:c>
      <x:c r="O150" s="17" t="n">
        <x:f t="shared" si="15">IF(ISNUMBER(INDEX('sheet2-计算明细'!$AM$17:$AM$219,$X150)),INDEX('sheet2-计算明细'!$AM$17:$AM$219,$X150),"")</x:f>
        <x:v>60.83</x:v>
      </x:c>
      <x:c r="P150" s="17" t="n">
        <x:f t="shared" si="16">IF(ISNUMBER(INDEX('sheet2-计算明细'!$AN$17:$AN$219,$X150)),INDEX('sheet2-计算明细'!$AN$17:$AN$219,$X150),"")</x:f>
        <x:v>36.14</x:v>
      </x:c>
      <x:c r="Q150" s="17" t="n">
        <x:f t="shared" si="17">IF(ISNUMBER(INDEX('sheet2-计算明细'!$AO$17:$AO$219,$X150)),INDEX('sheet2-计算明细'!$AO$17:$AO$219,$X150),"")</x:f>
        <x:v>43.71</x:v>
      </x:c>
      <x:c r="R150" s="17" t="n">
        <x:f t="shared" si="18">IF(ISNUMBER(INDEX('sheet2-计算明细'!$AP$17:$AP$219,$X150)),INDEX('sheet2-计算明细'!$AP$17:$AP$219,$X150),"")</x:f>
        <x:v>80</x:v>
      </x:c>
      <x:c r="S150" s="18" t="n">
        <x:f>IF($X150="","",INDEX('sheet2-计算明细'!$AQ$17:$AQ$219,$X150))</x:f>
        <x:v>1</x:v>
      </x:c>
      <x:c r="T150" s="16" t="n">
        <x:f>IF($X150="","",INDEX('sheet2-计算明细'!$AR$17:$AR$219,$X150))</x:f>
        <x:v>50.41595</x:v>
      </x:c>
      <x:c r="U150" s="17" t="n">
        <x:f t="shared" si="19">IF(S150=0,"",ROUND(T150/S150,2))</x:f>
        <x:v>50.42</x:v>
      </x:c>
      <x:c r="V150" s="17" t="n">
        <x:f t="shared" si="20">IF(ABS(S150-1)&lt;0.00000001,T150,"")</x:f>
        <x:v>50.41595</x:v>
      </x:c>
      <x:c r="W150" s="19" t="str">
        <x:f>IF($X150="","",INDEX('sheet2-计算明细'!$AU$17:$AU$219,$X150))</x:f>
      </x:c>
      <x:c r="X150" s="15" t="n">
        <x:f>IF($A150&gt;COUNT('sheet2-计算明细'!$AT$17:$AT$219),"",MATCH($A150,'sheet2-计算明细'!$AT$17:$AT$219,0))</x:f>
        <x:v>59</x:v>
      </x:c>
    </x:row>
    <x:row r="151" ht="28" customHeight="1">
      <x:c r="A151" s="4" t="n">
        <x:v>146</x:v>
      </x:c>
      <x:c r="B151" s="15" t="str">
        <x:f>IF($X151="","",INDEX('sheet2-计算明细'!$B$17:$B$219,$X151))</x:f>
        <x:v>汉盛浩远1号</x:v>
      </x:c>
      <x:c r="C151" s="15" t="str">
        <x:f>IF($X151="","",INDEX('sheet2-计算明细'!$C$17:$C$219,$X151))</x:f>
        <x:v>SXE156</x:v>
      </x:c>
      <x:c r="D151" s="15" t="str">
        <x:f>IF($X151="","",INDEX('sheet2-计算明细'!$D$17:$D$219,$X151))</x:f>
        <x:v>上海汉鸿</x:v>
      </x:c>
      <x:c r="E151" s="15" t="str">
        <x:f>IF($X151="","",INDEX('sheet2-计算明细'!$G$17:$G$219,$X151))</x:f>
        <x:v>入池</x:v>
      </x:c>
      <x:c r="F151" s="16" t="n">
        <x:f>IF($X151="","",INDEX('sheet2-计算明细'!$I$17:$I$219,$X151))</x:f>
        <x:v>80</x:v>
      </x:c>
      <x:c r="G151" s="16" t="n">
        <x:f>IF($X151="","",INDEX('sheet2-计算明细'!$K$17:$K$219,$X151))</x:f>
        <x:v>100</x:v>
      </x:c>
      <x:c r="H151" s="16" t="n">
        <x:f>IF($X151="","",INDEX('sheet2-计算明细'!$L$17:$L$219,$X151))</x:f>
        <x:v>100</x:v>
      </x:c>
      <x:c r="I151" s="16" t="n">
        <x:f>IF($X151="","",INDEX('sheet2-计算明细'!$S$17:$S$219,$X151))</x:f>
        <x:v>50.99</x:v>
      </x:c>
      <x:c r="J151" s="16" t="n">
        <x:f>IF($X151="","",INDEX('sheet2-计算明细'!$Y$17:$Y$219,$X151))</x:f>
        <x:v>68.59</x:v>
      </x:c>
      <x:c r="K151" s="16" t="n">
        <x:f>IF($X151="","",INDEX('sheet2-计算明细'!$AC$17:$AC$219,$X151))</x:f>
        <x:v>20.79</x:v>
      </x:c>
      <x:c r="L151" s="16" t="n">
        <x:f>IF($X151="","",INDEX('sheet2-计算明细'!$AI$17:$AI$219,$X151))</x:f>
        <x:v>39.11</x:v>
      </x:c>
      <x:c r="M151" s="16" t="n">
        <x:f>IF($X151="","",INDEX('sheet2-计算明细'!$AK$17:$AK$219,$X151))</x:f>
        <x:v>80</x:v>
      </x:c>
      <x:c r="N151" s="17" t="n">
        <x:f t="shared" si="14">IF(ISNUMBER(INDEX('sheet2-计算明细'!$AL$17:$AL$219,$X151)),INDEX('sheet2-计算明细'!$AL$17:$AL$219,$X151),"")</x:f>
        <x:v>92</x:v>
      </x:c>
      <x:c r="O151" s="17" t="n">
        <x:f t="shared" si="15">IF(ISNUMBER(INDEX('sheet2-计算明细'!$AM$17:$AM$219,$X151)),INDEX('sheet2-计算明细'!$AM$17:$AM$219,$X151),"")</x:f>
        <x:v>56.27</x:v>
      </x:c>
      <x:c r="P151" s="17" t="n">
        <x:f t="shared" si="16">IF(ISNUMBER(INDEX('sheet2-计算明细'!$AN$17:$AN$219,$X151)),INDEX('sheet2-计算明细'!$AN$17:$AN$219,$X151),"")</x:f>
        <x:v>20.79</x:v>
      </x:c>
      <x:c r="Q151" s="17" t="n">
        <x:f t="shared" si="17">IF(ISNUMBER(INDEX('sheet2-计算明细'!$AO$17:$AO$219,$X151)),INDEX('sheet2-计算明细'!$AO$17:$AO$219,$X151),"")</x:f>
        <x:v>39.11</x:v>
      </x:c>
      <x:c r="R151" s="17" t="n">
        <x:f t="shared" si="18">IF(ISNUMBER(INDEX('sheet2-计算明细'!$AP$17:$AP$219,$X151)),INDEX('sheet2-计算明细'!$AP$17:$AP$219,$X151),"")</x:f>
        <x:v>80</x:v>
      </x:c>
      <x:c r="S151" s="18" t="n">
        <x:f>IF($X151="","",INDEX('sheet2-计算明细'!$AQ$17:$AQ$219,$X151))</x:f>
        <x:v>1</x:v>
      </x:c>
      <x:c r="T151" s="16" t="n">
        <x:f>IF($X151="","",INDEX('sheet2-计算明细'!$AR$17:$AR$219,$X151))</x:f>
        <x:v>49.98381</x:v>
      </x:c>
      <x:c r="U151" s="17" t="n">
        <x:f t="shared" si="19">IF(S151=0,"",ROUND(T151/S151,2))</x:f>
        <x:v>49.98</x:v>
      </x:c>
      <x:c r="V151" s="17" t="n">
        <x:f t="shared" si="20">IF(ABS(S151-1)&lt;0.00000001,T151,"")</x:f>
        <x:v>49.98381</x:v>
      </x:c>
      <x:c r="W151" s="19" t="str">
        <x:f>IF($X151="","",INDEX('sheet2-计算明细'!$AU$17:$AU$219,$X151))</x:f>
      </x:c>
      <x:c r="X151" s="15" t="n">
        <x:f>IF($A151&gt;COUNT('sheet2-计算明细'!$AT$17:$AT$219),"",MATCH($A151,'sheet2-计算明细'!$AT$17:$AT$219,0))</x:f>
        <x:v>54</x:v>
      </x:c>
    </x:row>
    <x:row r="152" ht="28" customHeight="1">
      <x:c r="A152" s="4" t="n">
        <x:v>147</x:v>
      </x:c>
      <x:c r="B152" s="15" t="str">
        <x:f>IF($X152="","",INDEX('sheet2-计算明细'!$B$17:$B$219,$X152))</x:f>
        <x:v>砚博乘风量化14号</x:v>
      </x:c>
      <x:c r="C152" s="15" t="str">
        <x:f>IF($X152="","",INDEX('sheet2-计算明细'!$C$17:$C$219,$X152))</x:f>
        <x:v>SZN225</x:v>
      </x:c>
      <x:c r="D152" s="15" t="str">
        <x:f>IF($X152="","",INDEX('sheet2-计算明细'!$D$17:$D$219,$X152))</x:f>
        <x:v>深圳前海砚博乘风资管</x:v>
      </x:c>
      <x:c r="E152" s="15" t="str">
        <x:f>IF($X152="","",INDEX('sheet2-计算明细'!$G$17:$G$219,$X152))</x:f>
        <x:v>入池</x:v>
      </x:c>
      <x:c r="F152" s="16" t="n">
        <x:f>IF($X152="","",INDEX('sheet2-计算明细'!$I$17:$I$219,$X152))</x:f>
        <x:v>80</x:v>
      </x:c>
      <x:c r="G152" s="16" t="n">
        <x:f>IF($X152="","",INDEX('sheet2-计算明细'!$K$17:$K$219,$X152))</x:f>
        <x:v>100</x:v>
      </x:c>
      <x:c r="H152" s="16" t="n">
        <x:f>IF($X152="","",INDEX('sheet2-计算明细'!$L$17:$L$219,$X152))</x:f>
        <x:v>100</x:v>
      </x:c>
      <x:c r="I152" s="16" t="n">
        <x:f>IF($X152="","",INDEX('sheet2-计算明细'!$S$17:$S$219,$X152))</x:f>
        <x:v>22.08</x:v>
      </x:c>
      <x:c r="J152" s="16" t="n">
        <x:f>IF($X152="","",INDEX('sheet2-计算明细'!$Y$17:$Y$219,$X152))</x:f>
        <x:v>63.59</x:v>
      </x:c>
      <x:c r="K152" s="16" t="n">
        <x:f>IF($X152="","",INDEX('sheet2-计算明细'!$AC$17:$AC$219,$X152))</x:f>
        <x:v>43.56</x:v>
      </x:c>
      <x:c r="L152" s="16" t="n">
        <x:f>IF($X152="","",INDEX('sheet2-计算明细'!$AI$17:$AI$219,$X152))</x:f>
        <x:v>27.92</x:v>
      </x:c>
      <x:c r="M152" s="16" t="n">
        <x:f>IF($X152="","",INDEX('sheet2-计算明细'!$AK$17:$AK$219,$X152))</x:f>
        <x:v>100</x:v>
      </x:c>
      <x:c r="N152" s="17" t="n">
        <x:f t="shared" si="14">IF(ISNUMBER(INDEX('sheet2-计算明细'!$AL$17:$AL$219,$X152)),INDEX('sheet2-计算明细'!$AL$17:$AL$219,$X152),"")</x:f>
        <x:v>92</x:v>
      </x:c>
      <x:c r="O152" s="17" t="n">
        <x:f t="shared" si="15">IF(ISNUMBER(INDEX('sheet2-计算明细'!$AM$17:$AM$219,$X152)),INDEX('sheet2-计算明细'!$AM$17:$AM$219,$X152),"")</x:f>
        <x:v>34.53</x:v>
      </x:c>
      <x:c r="P152" s="17" t="n">
        <x:f t="shared" si="16">IF(ISNUMBER(INDEX('sheet2-计算明细'!$AN$17:$AN$219,$X152)),INDEX('sheet2-计算明细'!$AN$17:$AN$219,$X152),"")</x:f>
        <x:v>43.56</x:v>
      </x:c>
      <x:c r="Q152" s="17" t="n">
        <x:f t="shared" si="17">IF(ISNUMBER(INDEX('sheet2-计算明细'!$AO$17:$AO$219,$X152)),INDEX('sheet2-计算明细'!$AO$17:$AO$219,$X152),"")</x:f>
        <x:v>27.92</x:v>
      </x:c>
      <x:c r="R152" s="17" t="n">
        <x:f t="shared" si="18">IF(ISNUMBER(INDEX('sheet2-计算明细'!$AP$17:$AP$219,$X152)),INDEX('sheet2-计算明细'!$AP$17:$AP$219,$X152),"")</x:f>
        <x:v>100</x:v>
      </x:c>
      <x:c r="S152" s="18" t="n">
        <x:f>IF($X152="","",INDEX('sheet2-计算明细'!$AQ$17:$AQ$219,$X152))</x:f>
        <x:v>1</x:v>
      </x:c>
      <x:c r="T152" s="16" t="n">
        <x:f>IF($X152="","",INDEX('sheet2-计算明细'!$AR$17:$AR$219,$X152))</x:f>
        <x:v>49.97392</x:v>
      </x:c>
      <x:c r="U152" s="17" t="n">
        <x:f t="shared" si="19">IF(S152=0,"",ROUND(T152/S152,2))</x:f>
        <x:v>49.97</x:v>
      </x:c>
      <x:c r="V152" s="17" t="n">
        <x:f t="shared" si="20">IF(ABS(S152-1)&lt;0.00000001,T152,"")</x:f>
        <x:v>49.97392</x:v>
      </x:c>
      <x:c r="W152" s="19" t="str">
        <x:f>IF($X152="","",INDEX('sheet2-计算明细'!$AU$17:$AU$219,$X152))</x:f>
      </x:c>
      <x:c r="X152" s="15" t="n">
        <x:f>IF($A152&gt;COUNT('sheet2-计算明细'!$AT$17:$AT$219),"",MATCH($A152,'sheet2-计算明细'!$AT$17:$AT$219,0))</x:f>
        <x:v>64</x:v>
      </x:c>
    </x:row>
    <x:row r="153" ht="28" customHeight="1">
      <x:c r="A153" s="4" t="n">
        <x:v>148</x:v>
      </x:c>
      <x:c r="B153" s="15" t="str">
        <x:f>IF($X153="","",INDEX('sheet2-计算明细'!$B$17:$B$219,$X153))</x:f>
        <x:v>呈瑞复合策略1号</x:v>
      </x:c>
      <x:c r="C153" s="15" t="str">
        <x:f>IF($X153="","",INDEX('sheet2-计算明细'!$C$17:$C$219,$X153))</x:f>
        <x:v>STK755</x:v>
      </x:c>
      <x:c r="D153" s="15" t="str">
        <x:f>IF($X153="","",INDEX('sheet2-计算明细'!$D$17:$D$219,$X153))</x:f>
        <x:v>上海呈瑞投资</x:v>
      </x:c>
      <x:c r="E153" s="15" t="str">
        <x:f>IF($X153="","",INDEX('sheet2-计算明细'!$G$17:$G$219,$X153))</x:f>
        <x:v>入池</x:v>
      </x:c>
      <x:c r="F153" s="16" t="n">
        <x:f>IF($X153="","",INDEX('sheet2-计算明细'!$I$17:$I$219,$X153))</x:f>
        <x:v>90</x:v>
      </x:c>
      <x:c r="G153" s="16" t="n">
        <x:f>IF($X153="","",INDEX('sheet2-计算明细'!$K$17:$K$219,$X153))</x:f>
        <x:v>100</x:v>
      </x:c>
      <x:c r="H153" s="16" t="n">
        <x:f>IF($X153="","",INDEX('sheet2-计算明细'!$L$17:$L$219,$X153))</x:f>
        <x:v>100</x:v>
      </x:c>
      <x:c r="I153" s="16" t="n">
        <x:f>IF($X153="","",INDEX('sheet2-计算明细'!$S$17:$S$219,$X153))</x:f>
        <x:v>60.2</x:v>
      </x:c>
      <x:c r="J153" s="16" t="n">
        <x:f>IF($X153="","",INDEX('sheet2-计算明细'!$Y$17:$Y$219,$X153))</x:f>
        <x:v>61.92</x:v>
      </x:c>
      <x:c r="K153" s="16" t="n">
        <x:f>IF($X153="","",INDEX('sheet2-计算明细'!$AC$17:$AC$219,$X153))</x:f>
        <x:v>4.95</x:v>
      </x:c>
      <x:c r="L153" s="16" t="n">
        <x:f>IF($X153="","",INDEX('sheet2-计算明细'!$AI$17:$AI$219,$X153))</x:f>
        <x:v>39.99</x:v>
      </x:c>
      <x:c r="M153" s="16" t="n">
        <x:f>IF($X153="","",INDEX('sheet2-计算明细'!$AK$17:$AK$219,$X153))</x:f>
        <x:v>100</x:v>
      </x:c>
      <x:c r="N153" s="17" t="n">
        <x:f t="shared" si="14">IF(ISNUMBER(INDEX('sheet2-计算明细'!$AL$17:$AL$219,$X153)),INDEX('sheet2-计算明细'!$AL$17:$AL$219,$X153),"")</x:f>
        <x:v>96</x:v>
      </x:c>
      <x:c r="O153" s="17" t="n">
        <x:f t="shared" si="15">IF(ISNUMBER(INDEX('sheet2-计算明细'!$AM$17:$AM$219,$X153)),INDEX('sheet2-计算明细'!$AM$17:$AM$219,$X153),"")</x:f>
        <x:v>60.72</x:v>
      </x:c>
      <x:c r="P153" s="17" t="n">
        <x:f t="shared" si="16">IF(ISNUMBER(INDEX('sheet2-计算明细'!$AN$17:$AN$219,$X153)),INDEX('sheet2-计算明细'!$AN$17:$AN$219,$X153),"")</x:f>
        <x:v>4.95</x:v>
      </x:c>
      <x:c r="Q153" s="17" t="n">
        <x:f t="shared" si="17">IF(ISNUMBER(INDEX('sheet2-计算明细'!$AO$17:$AO$219,$X153)),INDEX('sheet2-计算明细'!$AO$17:$AO$219,$X153),"")</x:f>
        <x:v>39.99</x:v>
      </x:c>
      <x:c r="R153" s="17" t="n">
        <x:f t="shared" si="18">IF(ISNUMBER(INDEX('sheet2-计算明细'!$AP$17:$AP$219,$X153)),INDEX('sheet2-计算明细'!$AP$17:$AP$219,$X153),"")</x:f>
        <x:v>100</x:v>
      </x:c>
      <x:c r="S153" s="18" t="n">
        <x:f>IF($X153="","",INDEX('sheet2-计算明细'!$AQ$17:$AQ$219,$X153))</x:f>
        <x:v>1</x:v>
      </x:c>
      <x:c r="T153" s="16" t="n">
        <x:f>IF($X153="","",INDEX('sheet2-计算明细'!$AR$17:$AR$219,$X153))</x:f>
        <x:v>49.77904</x:v>
      </x:c>
      <x:c r="U153" s="17" t="n">
        <x:f t="shared" si="19">IF(S153=0,"",ROUND(T153/S153,2))</x:f>
        <x:v>49.78</x:v>
      </x:c>
      <x:c r="V153" s="17" t="n">
        <x:f t="shared" si="20">IF(ABS(S153-1)&lt;0.00000001,T153,"")</x:f>
        <x:v>49.77904</x:v>
      </x:c>
      <x:c r="W153" s="19" t="str">
        <x:f>IF($X153="","",INDEX('sheet2-计算明细'!$AU$17:$AU$219,$X153))</x:f>
      </x:c>
      <x:c r="X153" s="15" t="n">
        <x:f>IF($A153&gt;COUNT('sheet2-计算明细'!$AT$17:$AT$219),"",MATCH($A153,'sheet2-计算明细'!$AT$17:$AT$219,0))</x:f>
        <x:v>98</x:v>
      </x:c>
    </x:row>
    <x:row r="154" ht="28" customHeight="1">
      <x:c r="A154" s="4" t="n">
        <x:v>149</x:v>
      </x:c>
      <x:c r="B154" s="15" t="str">
        <x:f>IF($X154="","",INDEX('sheet2-计算明细'!$B$17:$B$219,$X154))</x:f>
        <x:v>福邑共赢一号</x:v>
      </x:c>
      <x:c r="C154" s="15" t="str">
        <x:f>IF($X154="","",INDEX('sheet2-计算明细'!$C$17:$C$219,$X154))</x:f>
        <x:v>SSB040</x:v>
      </x:c>
      <x:c r="D154" s="15" t="str">
        <x:f>IF($X154="","",INDEX('sheet2-计算明细'!$D$17:$D$219,$X154))</x:f>
        <x:v>上海福邑</x:v>
      </x:c>
      <x:c r="E154" s="15" t="str">
        <x:f>IF($X154="","",INDEX('sheet2-计算明细'!$G$17:$G$219,$X154))</x:f>
        <x:v>入池</x:v>
      </x:c>
      <x:c r="F154" s="16" t="n">
        <x:f>IF($X154="","",INDEX('sheet2-计算明细'!$I$17:$I$219,$X154))</x:f>
        <x:v>60</x:v>
      </x:c>
      <x:c r="G154" s="16" t="n">
        <x:f>IF($X154="","",INDEX('sheet2-计算明细'!$K$17:$K$219,$X154))</x:f>
        <x:v>100</x:v>
      </x:c>
      <x:c r="H154" s="16" t="n">
        <x:f>IF($X154="","",INDEX('sheet2-计算明细'!$L$17:$L$219,$X154))</x:f>
        <x:v>100</x:v>
      </x:c>
      <x:c r="I154" s="16" t="n">
        <x:f>IF($X154="","",INDEX('sheet2-计算明细'!$S$17:$S$219,$X154))</x:f>
        <x:v>63.86</x:v>
      </x:c>
      <x:c r="J154" s="16" t="n">
        <x:f>IF($X154="","",INDEX('sheet2-计算明细'!$Y$17:$Y$219,$X154))</x:f>
        <x:v>56.92</x:v>
      </x:c>
      <x:c r="K154" s="16" t="n">
        <x:f>IF($X154="","",INDEX('sheet2-计算明细'!$AC$17:$AC$219,$X154))</x:f>
        <x:v>8.91</x:v>
      </x:c>
      <x:c r="L154" s="16" t="n">
        <x:f>IF($X154="","",INDEX('sheet2-计算明细'!$AI$17:$AI$219,$X154))</x:f>
        <x:v>35.82</x:v>
      </x:c>
      <x:c r="M154" s="16" t="n">
        <x:f>IF($X154="","",INDEX('sheet2-计算明细'!$AK$17:$AK$219,$X154))</x:f>
        <x:v>100</x:v>
      </x:c>
      <x:c r="N154" s="17" t="n">
        <x:f t="shared" si="14">IF(ISNUMBER(INDEX('sheet2-计算明细'!$AL$17:$AL$219,$X154)),INDEX('sheet2-计算明细'!$AL$17:$AL$219,$X154),"")</x:f>
        <x:v>84</x:v>
      </x:c>
      <x:c r="O154" s="17" t="n">
        <x:f t="shared" si="15">IF(ISNUMBER(INDEX('sheet2-计算明细'!$AM$17:$AM$219,$X154)),INDEX('sheet2-计算明细'!$AM$17:$AM$219,$X154),"")</x:f>
        <x:v>61.78</x:v>
      </x:c>
      <x:c r="P154" s="17" t="n">
        <x:f t="shared" si="16">IF(ISNUMBER(INDEX('sheet2-计算明细'!$AN$17:$AN$219,$X154)),INDEX('sheet2-计算明细'!$AN$17:$AN$219,$X154),"")</x:f>
        <x:v>8.91</x:v>
      </x:c>
      <x:c r="Q154" s="17" t="n">
        <x:f t="shared" si="17">IF(ISNUMBER(INDEX('sheet2-计算明细'!$AO$17:$AO$219,$X154)),INDEX('sheet2-计算明细'!$AO$17:$AO$219,$X154),"")</x:f>
        <x:v>35.82</x:v>
      </x:c>
      <x:c r="R154" s="17" t="n">
        <x:f t="shared" si="18">IF(ISNUMBER(INDEX('sheet2-计算明细'!$AP$17:$AP$219,$X154)),INDEX('sheet2-计算明细'!$AP$17:$AP$219,$X154),"")</x:f>
        <x:v>100</x:v>
      </x:c>
      <x:c r="S154" s="18" t="n">
        <x:f>IF($X154="","",INDEX('sheet2-计算明细'!$AQ$17:$AQ$219,$X154))</x:f>
        <x:v>0.88</x:v>
      </x:c>
      <x:c r="T154" s="16" t="n">
        <x:f>IF($X154="","",INDEX('sheet2-计算明细'!$AR$17:$AR$219,$X154))</x:f>
        <x:v>43.63049</x:v>
      </x:c>
      <x:c r="U154" s="17" t="n">
        <x:f t="shared" si="19">IF(S154=0,"",ROUND(T154/S154,2))</x:f>
        <x:v>49.58</x:v>
      </x:c>
      <x:c r="V154" s="17" t="str">
        <x:f t="shared" si="20">IF(ABS(S154-1)&lt;0.00000001,T154,"")</x:f>
      </x:c>
      <x:c r="W154" s="19" t="str">
        <x:f>IF($X154="","",INDEX('sheet2-计算明细'!$AU$17:$AU$219,$X154))</x:f>
        <x:v>DD_long不可识别；</x:v>
      </x:c>
      <x:c r="X154" s="15" t="n">
        <x:f>IF($A154&gt;COUNT('sheet2-计算明细'!$AT$17:$AT$219),"",MATCH($A154,'sheet2-计算明细'!$AT$17:$AT$219,0))</x:f>
        <x:v>36</x:v>
      </x:c>
    </x:row>
    <x:row r="155" ht="28" customHeight="1">
      <x:c r="A155" s="4" t="n">
        <x:v>150</x:v>
      </x:c>
      <x:c r="B155" s="15" t="str">
        <x:f>IF($X155="","",INDEX('sheet2-计算明细'!$B$17:$B$219,$X155))</x:f>
        <x:v>岳皋泰山核心一号</x:v>
      </x:c>
      <x:c r="C155" s="15" t="str">
        <x:f>IF($X155="","",INDEX('sheet2-计算明细'!$C$17:$C$219,$X155))</x:f>
        <x:v>SSH674</x:v>
      </x:c>
      <x:c r="D155" s="15" t="str">
        <x:f>IF($X155="","",INDEX('sheet2-计算明细'!$D$17:$D$219,$X155))</x:f>
        <x:v>上海岳皋投资</x:v>
      </x:c>
      <x:c r="E155" s="15" t="str">
        <x:f>IF($X155="","",INDEX('sheet2-计算明细'!$G$17:$G$219,$X155))</x:f>
        <x:v>入池</x:v>
      </x:c>
      <x:c r="F155" s="16" t="n">
        <x:f>IF($X155="","",INDEX('sheet2-计算明细'!$I$17:$I$219,$X155))</x:f>
        <x:v>60</x:v>
      </x:c>
      <x:c r="G155" s="16" t="n">
        <x:f>IF($X155="","",INDEX('sheet2-计算明细'!$K$17:$K$219,$X155))</x:f>
        <x:v>100</x:v>
      </x:c>
      <x:c r="H155" s="16" t="n">
        <x:f>IF($X155="","",INDEX('sheet2-计算明细'!$L$17:$L$219,$X155))</x:f>
        <x:v>100</x:v>
      </x:c>
      <x:c r="I155" s="16" t="n">
        <x:f>IF($X155="","",INDEX('sheet2-计算明细'!$S$17:$S$219,$X155))</x:f>
        <x:v>24.16</x:v>
      </x:c>
      <x:c r="J155" s="16" t="n">
        <x:f>IF($X155="","",INDEX('sheet2-计算明细'!$Y$17:$Y$219,$X155))</x:f>
        <x:v>69.87</x:v>
      </x:c>
      <x:c r="K155" s="16" t="n">
        <x:f>IF($X155="","",INDEX('sheet2-计算明细'!$AC$17:$AC$219,$X155))</x:f>
        <x:v>47.52</x:v>
      </x:c>
      <x:c r="L155" s="16" t="n">
        <x:f>IF($X155="","",INDEX('sheet2-计算明细'!$AI$17:$AI$219,$X155))</x:f>
        <x:v>29.32</x:v>
      </x:c>
      <x:c r="M155" s="16" t="n">
        <x:f>IF($X155="","",INDEX('sheet2-计算明细'!$AK$17:$AK$219,$X155))</x:f>
        <x:v>80</x:v>
      </x:c>
      <x:c r="N155" s="17" t="n">
        <x:f t="shared" si="14">IF(ISNUMBER(INDEX('sheet2-计算明细'!$AL$17:$AL$219,$X155)),INDEX('sheet2-计算明细'!$AL$17:$AL$219,$X155),"")</x:f>
        <x:v>84</x:v>
      </x:c>
      <x:c r="O155" s="17" t="n">
        <x:f t="shared" si="15">IF(ISNUMBER(INDEX('sheet2-计算明细'!$AM$17:$AM$219,$X155)),INDEX('sheet2-计算明细'!$AM$17:$AM$219,$X155),"")</x:f>
        <x:v>37.87</x:v>
      </x:c>
      <x:c r="P155" s="17" t="n">
        <x:f t="shared" si="16">IF(ISNUMBER(INDEX('sheet2-计算明细'!$AN$17:$AN$219,$X155)),INDEX('sheet2-计算明细'!$AN$17:$AN$219,$X155),"")</x:f>
        <x:v>47.52</x:v>
      </x:c>
      <x:c r="Q155" s="17" t="n">
        <x:f t="shared" si="17">IF(ISNUMBER(INDEX('sheet2-计算明细'!$AO$17:$AO$219,$X155)),INDEX('sheet2-计算明细'!$AO$17:$AO$219,$X155),"")</x:f>
        <x:v>29.32</x:v>
      </x:c>
      <x:c r="R155" s="17" t="n">
        <x:f t="shared" si="18">IF(ISNUMBER(INDEX('sheet2-计算明细'!$AP$17:$AP$219,$X155)),INDEX('sheet2-计算明细'!$AP$17:$AP$219,$X155),"")</x:f>
        <x:v>80</x:v>
      </x:c>
      <x:c r="S155" s="18" t="n">
        <x:f>IF($X155="","",INDEX('sheet2-计算明细'!$AQ$17:$AQ$219,$X155))</x:f>
        <x:v>1</x:v>
      </x:c>
      <x:c r="T155" s="16" t="n">
        <x:f>IF($X155="","",INDEX('sheet2-计算明细'!$AR$17:$AR$219,$X155))</x:f>
        <x:v>48.849199999999996</x:v>
      </x:c>
      <x:c r="U155" s="17" t="n">
        <x:f t="shared" si="19">IF(S155=0,"",ROUND(T155/S155,2))</x:f>
        <x:v>48.85</x:v>
      </x:c>
      <x:c r="V155" s="17" t="n">
        <x:f t="shared" si="20">IF(ABS(S155-1)&lt;0.00000001,T155,"")</x:f>
        <x:v>48.849199999999996</x:v>
      </x:c>
      <x:c r="W155" s="19" t="str">
        <x:f>IF($X155="","",INDEX('sheet2-计算明细'!$AU$17:$AU$219,$X155))</x:f>
      </x:c>
      <x:c r="X155" s="15" t="n">
        <x:f>IF($A155&gt;COUNT('sheet2-计算明细'!$AT$17:$AT$219),"",MATCH($A155,'sheet2-计算明细'!$AT$17:$AT$219,0))</x:f>
        <x:v>38</x:v>
      </x:c>
    </x:row>
    <x:row r="156" ht="28" customHeight="1">
      <x:c r="A156" s="4" t="n">
        <x:v>151</x:v>
      </x:c>
      <x:c r="B156" s="15" t="str">
        <x:f>IF($X156="","",INDEX('sheet2-计算明细'!$B$17:$B$219,$X156))</x:f>
        <x:v>博牛转债策略2号</x:v>
      </x:c>
      <x:c r="C156" s="15" t="str">
        <x:f>IF($X156="","",INDEX('sheet2-计算明细'!$C$17:$C$219,$X156))</x:f>
        <x:v>SVY871</x:v>
      </x:c>
      <x:c r="D156" s="15" t="str">
        <x:f>IF($X156="","",INDEX('sheet2-计算明细'!$D$17:$D$219,$X156))</x:f>
        <x:v>广州博牛</x:v>
      </x:c>
      <x:c r="E156" s="15" t="str">
        <x:f>IF($X156="","",INDEX('sheet2-计算明细'!$G$17:$G$219,$X156))</x:f>
        <x:v>入池</x:v>
      </x:c>
      <x:c r="F156" s="16" t="n">
        <x:f>IF($X156="","",INDEX('sheet2-计算明细'!$I$17:$I$219,$X156))</x:f>
        <x:v>70</x:v>
      </x:c>
      <x:c r="G156" s="16" t="n">
        <x:f>IF($X156="","",INDEX('sheet2-计算明细'!$K$17:$K$219,$X156))</x:f>
        <x:v>100</x:v>
      </x:c>
      <x:c r="H156" s="16" t="n">
        <x:f>IF($X156="","",INDEX('sheet2-计算明细'!$L$17:$L$219,$X156))</x:f>
        <x:v>100</x:v>
      </x:c>
      <x:c r="I156" s="16" t="n">
        <x:f>IF($X156="","",INDEX('sheet2-计算明细'!$S$17:$S$219,$X156))</x:f>
        <x:v>31.88</x:v>
      </x:c>
      <x:c r="J156" s="16" t="n">
        <x:f>IF($X156="","",INDEX('sheet2-计算明细'!$Y$17:$Y$219,$X156))</x:f>
        <x:v>48.46</x:v>
      </x:c>
      <x:c r="K156" s="16" t="n">
        <x:f>IF($X156="","",INDEX('sheet2-计算明细'!$AC$17:$AC$219,$X156))</x:f>
        <x:v>48.51</x:v>
      </x:c>
      <x:c r="L156" s="16" t="n">
        <x:f>IF($X156="","",INDEX('sheet2-计算明细'!$AI$17:$AI$219,$X156))</x:f>
        <x:v>10.95</x:v>
      </x:c>
      <x:c r="M156" s="16" t="n">
        <x:f>IF($X156="","",INDEX('sheet2-计算明细'!$AK$17:$AK$219,$X156))</x:f>
        <x:v>80</x:v>
      </x:c>
      <x:c r="N156" s="17" t="n">
        <x:f t="shared" si="14">IF(ISNUMBER(INDEX('sheet2-计算明细'!$AL$17:$AL$219,$X156)),INDEX('sheet2-计算明细'!$AL$17:$AL$219,$X156),"")</x:f>
        <x:v>88</x:v>
      </x:c>
      <x:c r="O156" s="17" t="n">
        <x:f t="shared" si="15">IF(ISNUMBER(INDEX('sheet2-计算明细'!$AM$17:$AM$219,$X156)),INDEX('sheet2-计算明细'!$AM$17:$AM$219,$X156),"")</x:f>
        <x:v>36.85</x:v>
      </x:c>
      <x:c r="P156" s="17" t="n">
        <x:f t="shared" si="16">IF(ISNUMBER(INDEX('sheet2-计算明细'!$AN$17:$AN$219,$X156)),INDEX('sheet2-计算明细'!$AN$17:$AN$219,$X156),"")</x:f>
        <x:v>48.51</x:v>
      </x:c>
      <x:c r="Q156" s="17" t="n">
        <x:f t="shared" si="17">IF(ISNUMBER(INDEX('sheet2-计算明细'!$AO$17:$AO$219,$X156)),INDEX('sheet2-计算明细'!$AO$17:$AO$219,$X156),"")</x:f>
        <x:v>10.95</x:v>
      </x:c>
      <x:c r="R156" s="17" t="n">
        <x:f t="shared" si="18">IF(ISNUMBER(INDEX('sheet2-计算明细'!$AP$17:$AP$219,$X156)),INDEX('sheet2-计算明细'!$AP$17:$AP$219,$X156),"")</x:f>
        <x:v>80</x:v>
      </x:c>
      <x:c r="S156" s="18" t="n">
        <x:f>IF($X156="","",INDEX('sheet2-计算明细'!$AQ$17:$AQ$219,$X156))</x:f>
        <x:v>0.88</x:v>
      </x:c>
      <x:c r="T156" s="16" t="n">
        <x:f>IF($X156="","",INDEX('sheet2-计算明细'!$AR$17:$AR$219,$X156))</x:f>
        <x:v>42.66943</x:v>
      </x:c>
      <x:c r="U156" s="17" t="n">
        <x:f t="shared" si="19">IF(S156=0,"",ROUND(T156/S156,2))</x:f>
        <x:v>48.49</x:v>
      </x:c>
      <x:c r="V156" s="17" t="str">
        <x:f t="shared" si="20">IF(ABS(S156-1)&lt;0.00000001,T156,"")</x:f>
      </x:c>
      <x:c r="W156" s="19" t="str">
        <x:f>IF($X156="","",INDEX('sheet2-计算明细'!$AU$17:$AU$219,$X156))</x:f>
        <x:v>DD_long不可识别；</x:v>
      </x:c>
      <x:c r="X156" s="15" t="n">
        <x:f>IF($A156&gt;COUNT('sheet2-计算明细'!$AT$17:$AT$219),"",MATCH($A156,'sheet2-计算明细'!$AT$17:$AT$219,0))</x:f>
        <x:v>52</x:v>
      </x:c>
    </x:row>
    <x:row r="157" ht="28" customHeight="1">
      <x:c r="A157" s="4" t="n">
        <x:v>152</x:v>
      </x:c>
      <x:c r="B157" s="15" t="str">
        <x:f>IF($X157="","",INDEX('sheet2-计算明细'!$B$17:$B$219,$X157))</x:f>
        <x:v>融相慎远一号</x:v>
      </x:c>
      <x:c r="C157" s="15" t="str">
        <x:f>IF($X157="","",INDEX('sheet2-计算明细'!$C$17:$C$219,$X157))</x:f>
        <x:v>SVK536</x:v>
      </x:c>
      <x:c r="D157" s="15" t="str">
        <x:f>IF($X157="","",INDEX('sheet2-计算明细'!$D$17:$D$219,$X157))</x:f>
        <x:v>海南融相</x:v>
      </x:c>
      <x:c r="E157" s="15" t="str">
        <x:f>IF($X157="","",INDEX('sheet2-计算明细'!$G$17:$G$219,$X157))</x:f>
        <x:v>入池</x:v>
      </x:c>
      <x:c r="F157" s="16" t="n">
        <x:f>IF($X157="","",INDEX('sheet2-计算明细'!$I$17:$I$219,$X157))</x:f>
        <x:v>60</x:v>
      </x:c>
      <x:c r="G157" s="16" t="n">
        <x:f>IF($X157="","",INDEX('sheet2-计算明细'!$K$17:$K$219,$X157))</x:f>
        <x:v>100</x:v>
      </x:c>
      <x:c r="H157" s="16" t="n">
        <x:f>IF($X157="","",INDEX('sheet2-计算明细'!$L$17:$L$219,$X157))</x:f>
        <x:v>100</x:v>
      </x:c>
      <x:c r="I157" s="16" t="n">
        <x:f>IF($X157="","",INDEX('sheet2-计算明细'!$S$17:$S$219,$X157))</x:f>
        <x:v>33.71</x:v>
      </x:c>
      <x:c r="J157" s="16" t="n">
        <x:f>IF($X157="","",INDEX('sheet2-计算明细'!$Y$17:$Y$219,$X157))</x:f>
        <x:v>68.59</x:v>
      </x:c>
      <x:c r="K157" s="16" t="n">
        <x:f>IF($X157="","",INDEX('sheet2-计算明细'!$AC$17:$AC$219,$X157))</x:f>
        <x:v>38.61</x:v>
      </x:c>
      <x:c r="L157" s="16" t="n">
        <x:f>IF($X157="","",INDEX('sheet2-计算明细'!$AI$17:$AI$219,$X157))</x:f>
        <x:v>27.97</x:v>
      </x:c>
      <x:c r="M157" s="16" t="n">
        <x:f>IF($X157="","",INDEX('sheet2-计算明细'!$AK$17:$AK$219,$X157))</x:f>
        <x:v>80</x:v>
      </x:c>
      <x:c r="N157" s="17" t="n">
        <x:f t="shared" si="14">IF(ISNUMBER(INDEX('sheet2-计算明细'!$AL$17:$AL$219,$X157)),INDEX('sheet2-计算明细'!$AL$17:$AL$219,$X157),"")</x:f>
        <x:v>84</x:v>
      </x:c>
      <x:c r="O157" s="17" t="n">
        <x:f t="shared" si="15">IF(ISNUMBER(INDEX('sheet2-计算明细'!$AM$17:$AM$219,$X157)),INDEX('sheet2-计算明细'!$AM$17:$AM$219,$X157),"")</x:f>
        <x:v>44.17</x:v>
      </x:c>
      <x:c r="P157" s="17" t="n">
        <x:f t="shared" si="16">IF(ISNUMBER(INDEX('sheet2-计算明细'!$AN$17:$AN$219,$X157)),INDEX('sheet2-计算明细'!$AN$17:$AN$219,$X157),"")</x:f>
        <x:v>38.61</x:v>
      </x:c>
      <x:c r="Q157" s="17" t="n">
        <x:f t="shared" si="17">IF(ISNUMBER(INDEX('sheet2-计算明细'!$AO$17:$AO$219,$X157)),INDEX('sheet2-计算明细'!$AO$17:$AO$219,$X157),"")</x:f>
        <x:v>27.97</x:v>
      </x:c>
      <x:c r="R157" s="17" t="n">
        <x:f t="shared" si="18">IF(ISNUMBER(INDEX('sheet2-计算明细'!$AP$17:$AP$219,$X157)),INDEX('sheet2-计算明细'!$AP$17:$AP$219,$X157),"")</x:f>
        <x:v>80</x:v>
      </x:c>
      <x:c r="S157" s="18" t="n">
        <x:f>IF($X157="","",INDEX('sheet2-计算明细'!$AQ$17:$AQ$219,$X157))</x:f>
        <x:v>1</x:v>
      </x:c>
      <x:c r="T157" s="16" t="n">
        <x:f>IF($X157="","",INDEX('sheet2-计算明细'!$AR$17:$AR$219,$X157))</x:f>
        <x:v>47.47969</x:v>
      </x:c>
      <x:c r="U157" s="17" t="n">
        <x:f t="shared" si="19">IF(S157=0,"",ROUND(T157/S157,2))</x:f>
        <x:v>47.48</x:v>
      </x:c>
      <x:c r="V157" s="17" t="n">
        <x:f t="shared" si="20">IF(ABS(S157-1)&lt;0.00000001,T157,"")</x:f>
        <x:v>47.47969</x:v>
      </x:c>
      <x:c r="W157" s="19" t="str">
        <x:f>IF($X157="","",INDEX('sheet2-计算明细'!$AU$17:$AU$219,$X157))</x:f>
      </x:c>
      <x:c r="X157" s="15" t="n">
        <x:f>IF($A157&gt;COUNT('sheet2-计算明细'!$AT$17:$AT$219),"",MATCH($A157,'sheet2-计算明细'!$AT$17:$AT$219,0))</x:f>
        <x:v>49</x:v>
      </x:c>
    </x:row>
    <x:row r="158" ht="28" customHeight="1">
      <x:c r="A158" s="4" t="n">
        <x:v>153</x:v>
      </x:c>
      <x:c r="B158" s="15" t="str">
        <x:f>IF($X158="","",INDEX('sheet2-计算明细'!$B$17:$B$219,$X158))</x:f>
        <x:v>哈福尊享一号</x:v>
      </x:c>
      <x:c r="C158" s="15" t="str">
        <x:f>IF($X158="","",INDEX('sheet2-计算明细'!$C$17:$C$219,$X158))</x:f>
        <x:v>ST3922</x:v>
      </x:c>
      <x:c r="D158" s="15" t="str">
        <x:f>IF($X158="","",INDEX('sheet2-计算明细'!$D$17:$D$219,$X158))</x:f>
        <x:v>哈福基金</x:v>
      </x:c>
      <x:c r="E158" s="15" t="str">
        <x:f>IF($X158="","",INDEX('sheet2-计算明细'!$G$17:$G$219,$X158))</x:f>
        <x:v>入池</x:v>
      </x:c>
      <x:c r="F158" s="16" t="n">
        <x:f>IF($X158="","",INDEX('sheet2-计算明细'!$I$17:$I$219,$X158))</x:f>
        <x:v>60</x:v>
      </x:c>
      <x:c r="G158" s="16" t="n">
        <x:f>IF($X158="","",INDEX('sheet2-计算明细'!$K$17:$K$219,$X158))</x:f>
        <x:v>100</x:v>
      </x:c>
      <x:c r="H158" s="16" t="n">
        <x:f>IF($X158="","",INDEX('sheet2-计算明细'!$L$17:$L$219,$X158))</x:f>
        <x:v>100</x:v>
      </x:c>
      <x:c r="I158" s="16" t="n">
        <x:f>IF($X158="","",INDEX('sheet2-计算明细'!$S$17:$S$219,$X158))</x:f>
        <x:v>23.17</x:v>
      </x:c>
      <x:c r="J158" s="16" t="n">
        <x:f>IF($X158="","",INDEX('sheet2-计算明细'!$Y$17:$Y$219,$X158))</x:f>
        <x:v>71.54</x:v>
      </x:c>
      <x:c r="K158" s="16" t="n">
        <x:f>IF($X158="","",INDEX('sheet2-计算明细'!$AC$17:$AC$219,$X158))</x:f>
        <x:v>38.12</x:v>
      </x:c>
      <x:c r="L158" s="16" t="n">
        <x:f>IF($X158="","",INDEX('sheet2-计算明细'!$AI$17:$AI$219,$X158))</x:f>
        <x:v>25.85</x:v>
      </x:c>
      <x:c r="M158" s="16" t="n">
        <x:f>IF($X158="","",INDEX('sheet2-计算明细'!$AK$17:$AK$219,$X158))</x:f>
        <x:v>100</x:v>
      </x:c>
      <x:c r="N158" s="17" t="n">
        <x:f t="shared" si="14">IF(ISNUMBER(INDEX('sheet2-计算明细'!$AL$17:$AL$219,$X158)),INDEX('sheet2-计算明细'!$AL$17:$AL$219,$X158),"")</x:f>
        <x:v>84</x:v>
      </x:c>
      <x:c r="O158" s="17" t="n">
        <x:f t="shared" si="15">IF(ISNUMBER(INDEX('sheet2-计算明细'!$AM$17:$AM$219,$X158)),INDEX('sheet2-计算明细'!$AM$17:$AM$219,$X158),"")</x:f>
        <x:v>37.68</x:v>
      </x:c>
      <x:c r="P158" s="17" t="n">
        <x:f t="shared" si="16">IF(ISNUMBER(INDEX('sheet2-计算明细'!$AN$17:$AN$219,$X158)),INDEX('sheet2-计算明细'!$AN$17:$AN$219,$X158),"")</x:f>
        <x:v>38.12</x:v>
      </x:c>
      <x:c r="Q158" s="17" t="n">
        <x:f t="shared" si="17">IF(ISNUMBER(INDEX('sheet2-计算明细'!$AO$17:$AO$219,$X158)),INDEX('sheet2-计算明细'!$AO$17:$AO$219,$X158),"")</x:f>
        <x:v>25.85</x:v>
      </x:c>
      <x:c r="R158" s="17" t="n">
        <x:f t="shared" si="18">IF(ISNUMBER(INDEX('sheet2-计算明细'!$AP$17:$AP$219,$X158)),INDEX('sheet2-计算明细'!$AP$17:$AP$219,$X158),"")</x:f>
        <x:v>100</x:v>
      </x:c>
      <x:c r="S158" s="18" t="n">
        <x:f>IF($X158="","",INDEX('sheet2-计算明细'!$AQ$17:$AQ$219,$X158))</x:f>
        <x:v>1</x:v>
      </x:c>
      <x:c r="T158" s="16" t="n">
        <x:f>IF($X158="","",INDEX('sheet2-计算明细'!$AR$17:$AR$219,$X158))</x:f>
        <x:v>47.42162</x:v>
      </x:c>
      <x:c r="U158" s="17" t="n">
        <x:f t="shared" si="19">IF(S158=0,"",ROUND(T158/S158,2))</x:f>
        <x:v>47.42</x:v>
      </x:c>
      <x:c r="V158" s="17" t="n">
        <x:f t="shared" si="20">IF(ABS(S158-1)&lt;0.00000001,T158,"")</x:f>
        <x:v>47.42162</x:v>
      </x:c>
      <x:c r="W158" s="19" t="str">
        <x:f>IF($X158="","",INDEX('sheet2-计算明细'!$AU$17:$AU$219,$X158))</x:f>
      </x:c>
      <x:c r="X158" s="15" t="n">
        <x:f>IF($A158&gt;COUNT('sheet2-计算明细'!$AT$17:$AT$219),"",MATCH($A158,'sheet2-计算明细'!$AT$17:$AT$219,0))</x:f>
        <x:v>6</x:v>
      </x:c>
    </x:row>
    <x:row r="159" ht="28" customHeight="1">
      <x:c r="A159" s="4" t="n">
        <x:v>154</x:v>
      </x:c>
      <x:c r="B159" s="15" t="str">
        <x:f>IF($X159="","",INDEX('sheet2-计算明细'!$B$17:$B$219,$X159))</x:f>
        <x:v>唐龙量化对冲99号</x:v>
      </x:c>
      <x:c r="C159" s="15" t="str">
        <x:f>IF($X159="","",INDEX('sheet2-计算明细'!$C$17:$C$219,$X159))</x:f>
        <x:v>SJQ683</x:v>
      </x:c>
      <x:c r="D159" s="15" t="str">
        <x:f>IF($X159="","",INDEX('sheet2-计算明细'!$D$17:$D$219,$X159))</x:f>
        <x:v>福建平潭唐龙资管</x:v>
      </x:c>
      <x:c r="E159" s="15" t="str">
        <x:f>IF($X159="","",INDEX('sheet2-计算明细'!$G$17:$G$219,$X159))</x:f>
        <x:v>入池</x:v>
      </x:c>
      <x:c r="F159" s="16" t="n">
        <x:f>IF($X159="","",INDEX('sheet2-计算明细'!$I$17:$I$219,$X159))</x:f>
        <x:v>70</x:v>
      </x:c>
      <x:c r="G159" s="16" t="n">
        <x:f>IF($X159="","",INDEX('sheet2-计算明细'!$K$17:$K$219,$X159))</x:f>
        <x:v>100</x:v>
      </x:c>
      <x:c r="H159" s="16" t="n">
        <x:f>IF($X159="","",INDEX('sheet2-计算明细'!$L$17:$L$219,$X159))</x:f>
        <x:v>100</x:v>
      </x:c>
      <x:c r="I159" s="16" t="n">
        <x:f>IF($X159="","",INDEX('sheet2-计算明细'!$S$17:$S$219,$X159))</x:f>
        <x:v>33.26</x:v>
      </x:c>
      <x:c r="J159" s="16" t="n">
        <x:f>IF($X159="","",INDEX('sheet2-计算明细'!$Y$17:$Y$219,$X159))</x:f>
        <x:v>65.26</x:v>
      </x:c>
      <x:c r="K159" s="16" t="n">
        <x:f>IF($X159="","",INDEX('sheet2-计算明细'!$AC$17:$AC$219,$X159))</x:f>
        <x:v>14.36</x:v>
      </x:c>
      <x:c r="L159" s="16" t="n">
        <x:f>IF($X159="","",INDEX('sheet2-计算明细'!$AI$17:$AI$219,$X159))</x:f>
        <x:v>45.52</x:v>
      </x:c>
      <x:c r="M159" s="16" t="n">
        <x:f>IF($X159="","",INDEX('sheet2-计算明细'!$AK$17:$AK$219,$X159))</x:f>
        <x:v>80</x:v>
      </x:c>
      <x:c r="N159" s="17" t="n">
        <x:f t="shared" si="14">IF(ISNUMBER(INDEX('sheet2-计算明细'!$AL$17:$AL$219,$X159)),INDEX('sheet2-计算明细'!$AL$17:$AL$219,$X159),"")</x:f>
        <x:v>88</x:v>
      </x:c>
      <x:c r="O159" s="17" t="n">
        <x:f t="shared" si="15">IF(ISNUMBER(INDEX('sheet2-计算明细'!$AM$17:$AM$219,$X159)),INDEX('sheet2-计算明细'!$AM$17:$AM$219,$X159),"")</x:f>
        <x:v>42.86</x:v>
      </x:c>
      <x:c r="P159" s="17" t="n">
        <x:f t="shared" si="16">IF(ISNUMBER(INDEX('sheet2-计算明细'!$AN$17:$AN$219,$X159)),INDEX('sheet2-计算明细'!$AN$17:$AN$219,$X159),"")</x:f>
        <x:v>14.36</x:v>
      </x:c>
      <x:c r="Q159" s="17" t="n">
        <x:f t="shared" si="17">IF(ISNUMBER(INDEX('sheet2-计算明细'!$AO$17:$AO$219,$X159)),INDEX('sheet2-计算明细'!$AO$17:$AO$219,$X159),"")</x:f>
        <x:v>45.52</x:v>
      </x:c>
      <x:c r="R159" s="17" t="n">
        <x:f t="shared" si="18">IF(ISNUMBER(INDEX('sheet2-计算明细'!$AP$17:$AP$219,$X159)),INDEX('sheet2-计算明细'!$AP$17:$AP$219,$X159),"")</x:f>
        <x:v>80</x:v>
      </x:c>
      <x:c r="S159" s="18" t="n">
        <x:f>IF($X159="","",INDEX('sheet2-计算明细'!$AQ$17:$AQ$219,$X159))</x:f>
        <x:v>1</x:v>
      </x:c>
      <x:c r="T159" s="16" t="n">
        <x:f>IF($X159="","",INDEX('sheet2-计算明细'!$AR$17:$AR$219,$X159))</x:f>
        <x:v>47.019670000000005</x:v>
      </x:c>
      <x:c r="U159" s="17" t="n">
        <x:f t="shared" si="19">IF(S159=0,"",ROUND(T159/S159,2))</x:f>
        <x:v>47.02</x:v>
      </x:c>
      <x:c r="V159" s="17" t="n">
        <x:f t="shared" si="20">IF(ABS(S159-1)&lt;0.00000001,T159,"")</x:f>
        <x:v>47.019670000000005</x:v>
      </x:c>
      <x:c r="W159" s="19" t="str">
        <x:f>IF($X159="","",INDEX('sheet2-计算明细'!$AU$17:$AU$219,$X159))</x:f>
      </x:c>
      <x:c r="X159" s="15" t="n">
        <x:f>IF($A159&gt;COUNT('sheet2-计算明细'!$AT$17:$AT$219),"",MATCH($A159,'sheet2-计算明细'!$AT$17:$AT$219,0))</x:f>
        <x:v>17</x:v>
      </x:c>
    </x:row>
    <x:row r="160" ht="28" customHeight="1">
      <x:c r="A160" s="4" t="n">
        <x:v>155</x:v>
      </x:c>
      <x:c r="B160" s="15" t="str">
        <x:f>IF($X160="","",INDEX('sheet2-计算明细'!$B$17:$B$219,$X160))</x:f>
        <x:v>银瓴汇金6号</x:v>
      </x:c>
      <x:c r="C160" s="15" t="str">
        <x:f>IF($X160="","",INDEX('sheet2-计算明细'!$C$17:$C$219,$X160))</x:f>
        <x:v>SSN446</x:v>
      </x:c>
      <x:c r="D160" s="15" t="str">
        <x:f>IF($X160="","",INDEX('sheet2-计算明细'!$D$17:$D$219,$X160))</x:f>
        <x:v>广西银瓴资产</x:v>
      </x:c>
      <x:c r="E160" s="15" t="str">
        <x:f>IF($X160="","",INDEX('sheet2-计算明细'!$G$17:$G$219,$X160))</x:f>
        <x:v>入池</x:v>
      </x:c>
      <x:c r="F160" s="16" t="n">
        <x:f>IF($X160="","",INDEX('sheet2-计算明细'!$I$17:$I$219,$X160))</x:f>
        <x:v>60</x:v>
      </x:c>
      <x:c r="G160" s="16" t="n">
        <x:f>IF($X160="","",INDEX('sheet2-计算明细'!$K$17:$K$219,$X160))</x:f>
        <x:v>0</x:v>
      </x:c>
      <x:c r="H160" s="16" t="n">
        <x:f>IF($X160="","",INDEX('sheet2-计算明细'!$L$17:$L$219,$X160))</x:f>
        <x:v>100</x:v>
      </x:c>
      <x:c r="I160" s="16" t="n">
        <x:f>IF($X160="","",INDEX('sheet2-计算明细'!$S$17:$S$219,$X160))</x:f>
        <x:v>57.13</x:v>
      </x:c>
      <x:c r="J160" s="16" t="n">
        <x:f>IF($X160="","",INDEX('sheet2-计算明细'!$Y$17:$Y$219,$X160))</x:f>
        <x:v>38.08</x:v>
      </x:c>
      <x:c r="K160" s="16" t="n">
        <x:f>IF($X160="","",INDEX('sheet2-计算明细'!$AC$17:$AC$219,$X160))</x:f>
        <x:v>21.78</x:v>
      </x:c>
      <x:c r="L160" s="16" t="n">
        <x:f>IF($X160="","",INDEX('sheet2-计算明细'!$AI$17:$AI$219,$X160))</x:f>
        <x:v>41.79</x:v>
      </x:c>
      <x:c r="M160" s="16" t="n">
        <x:f>IF($X160="","",INDEX('sheet2-计算明细'!$AK$17:$AK$219,$X160))</x:f>
        <x:v>100</x:v>
      </x:c>
      <x:c r="N160" s="17" t="n">
        <x:f t="shared" si="14">IF(ISNUMBER(INDEX('sheet2-计算明细'!$AL$17:$AL$219,$X160)),INDEX('sheet2-计算明细'!$AL$17:$AL$219,$X160),"")</x:f>
        <x:v>54</x:v>
      </x:c>
      <x:c r="O160" s="17" t="n">
        <x:f t="shared" si="15">IF(ISNUMBER(INDEX('sheet2-计算明细'!$AM$17:$AM$219,$X160)),INDEX('sheet2-计算明细'!$AM$17:$AM$219,$X160),"")</x:f>
        <x:v>51.41</x:v>
      </x:c>
      <x:c r="P160" s="17" t="n">
        <x:f t="shared" si="16">IF(ISNUMBER(INDEX('sheet2-计算明细'!$AN$17:$AN$219,$X160)),INDEX('sheet2-计算明细'!$AN$17:$AN$219,$X160),"")</x:f>
        <x:v>21.78</x:v>
      </x:c>
      <x:c r="Q160" s="17" t="n">
        <x:f t="shared" si="17">IF(ISNUMBER(INDEX('sheet2-计算明细'!$AO$17:$AO$219,$X160)),INDEX('sheet2-计算明细'!$AO$17:$AO$219,$X160),"")</x:f>
        <x:v>41.79</x:v>
      </x:c>
      <x:c r="R160" s="17" t="n">
        <x:f t="shared" si="18">IF(ISNUMBER(INDEX('sheet2-计算明细'!$AP$17:$AP$219,$X160)),INDEX('sheet2-计算明细'!$AP$17:$AP$219,$X160),"")</x:f>
        <x:v>100</x:v>
      </x:c>
      <x:c r="S160" s="18" t="n">
        <x:f>IF($X160="","",INDEX('sheet2-计算明细'!$AQ$17:$AQ$219,$X160))</x:f>
        <x:v>0.88</x:v>
      </x:c>
      <x:c r="T160" s="16" t="n">
        <x:f>IF($X160="","",INDEX('sheet2-计算明细'!$AR$17:$AR$219,$X160))</x:f>
        <x:v>41.349779999999996</x:v>
      </x:c>
      <x:c r="U160" s="17" t="n">
        <x:f t="shared" si="19">IF(S160=0,"",ROUND(T160/S160,2))</x:f>
        <x:v>46.99</x:v>
      </x:c>
      <x:c r="V160" s="17" t="str">
        <x:f t="shared" si="20">IF(ABS(S160-1)&lt;0.00000001,T160,"")</x:f>
      </x:c>
      <x:c r="W160" s="19" t="str">
        <x:f>IF($X160="","",INDEX('sheet2-计算明细'!$AU$17:$AU$219,$X160))</x:f>
        <x:v>DD_long不可识别；</x:v>
      </x:c>
      <x:c r="X160" s="15" t="n">
        <x:f>IF($A160&gt;COUNT('sheet2-计算明细'!$AT$17:$AT$219),"",MATCH($A160,'sheet2-计算明细'!$AT$17:$AT$219,0))</x:f>
        <x:v>37</x:v>
      </x:c>
    </x:row>
    <x:row r="161" ht="28" customHeight="1">
      <x:c r="A161" s="4" t="n">
        <x:v>156</x:v>
      </x:c>
      <x:c r="B161" s="15" t="str">
        <x:f>IF($X161="","",INDEX('sheet2-计算明细'!$B$17:$B$219,$X161))</x:f>
        <x:v>乘舟紫荆1号</x:v>
      </x:c>
      <x:c r="C161" s="15" t="str">
        <x:f>IF($X161="","",INDEX('sheet2-计算明细'!$C$17:$C$219,$X161))</x:f>
        <x:v>SXW399</x:v>
      </x:c>
      <x:c r="D161" s="15" t="str">
        <x:f>IF($X161="","",INDEX('sheet2-计算明细'!$D$17:$D$219,$X161))</x:f>
        <x:v>上海乘舟投资</x:v>
      </x:c>
      <x:c r="E161" s="15" t="str">
        <x:f>IF($X161="","",INDEX('sheet2-计算明细'!$G$17:$G$219,$X161))</x:f>
        <x:v>入池</x:v>
      </x:c>
      <x:c r="F161" s="16" t="n">
        <x:f>IF($X161="","",INDEX('sheet2-计算明细'!$I$17:$I$219,$X161))</x:f>
        <x:v>70</x:v>
      </x:c>
      <x:c r="G161" s="16" t="n">
        <x:f>IF($X161="","",INDEX('sheet2-计算明细'!$K$17:$K$219,$X161))</x:f>
        <x:v>100</x:v>
      </x:c>
      <x:c r="H161" s="16" t="n">
        <x:f>IF($X161="","",INDEX('sheet2-计算明细'!$L$17:$L$219,$X161))</x:f>
        <x:v>100</x:v>
      </x:c>
      <x:c r="I161" s="16" t="n">
        <x:f>IF($X161="","",INDEX('sheet2-计算明细'!$S$17:$S$219,$X161))</x:f>
        <x:v>37.03</x:v>
      </x:c>
      <x:c r="J161" s="16" t="n">
        <x:f>IF($X161="","",INDEX('sheet2-计算明细'!$Y$17:$Y$219,$X161))</x:f>
        <x:v>81.15</x:v>
      </x:c>
      <x:c r="K161" s="16" t="n">
        <x:f>IF($X161="","",INDEX('sheet2-计算明细'!$AC$17:$AC$219,$X161))</x:f>
        <x:v>26.24</x:v>
      </x:c>
      <x:c r="L161" s="16" t="n">
        <x:f>IF($X161="","",INDEX('sheet2-计算明细'!$AI$17:$AI$219,$X161))</x:f>
        <x:v>13.93</x:v>
      </x:c>
      <x:c r="M161" s="16" t="n">
        <x:f>IF($X161="","",INDEX('sheet2-计算明细'!$AK$17:$AK$219,$X161))</x:f>
        <x:v>80</x:v>
      </x:c>
      <x:c r="N161" s="17" t="n">
        <x:f t="shared" si="14">IF(ISNUMBER(INDEX('sheet2-计算明细'!$AL$17:$AL$219,$X161)),INDEX('sheet2-计算明细'!$AL$17:$AL$219,$X161),"")</x:f>
        <x:v>88</x:v>
      </x:c>
      <x:c r="O161" s="17" t="n">
        <x:f t="shared" si="15">IF(ISNUMBER(INDEX('sheet2-计算明细'!$AM$17:$AM$219,$X161)),INDEX('sheet2-计算明细'!$AM$17:$AM$219,$X161),"")</x:f>
        <x:v>50.27</x:v>
      </x:c>
      <x:c r="P161" s="17" t="n">
        <x:f t="shared" si="16">IF(ISNUMBER(INDEX('sheet2-计算明细'!$AN$17:$AN$219,$X161)),INDEX('sheet2-计算明细'!$AN$17:$AN$219,$X161),"")</x:f>
        <x:v>26.24</x:v>
      </x:c>
      <x:c r="Q161" s="17" t="n">
        <x:f t="shared" si="17">IF(ISNUMBER(INDEX('sheet2-计算明细'!$AO$17:$AO$219,$X161)),INDEX('sheet2-计算明细'!$AO$17:$AO$219,$X161),"")</x:f>
        <x:v>13.93</x:v>
      </x:c>
      <x:c r="R161" s="17" t="n">
        <x:f t="shared" si="18">IF(ISNUMBER(INDEX('sheet2-计算明细'!$AP$17:$AP$219,$X161)),INDEX('sheet2-计算明细'!$AP$17:$AP$219,$X161),"")</x:f>
        <x:v>80</x:v>
      </x:c>
      <x:c r="S161" s="18" t="n">
        <x:f>IF($X161="","",INDEX('sheet2-计算明细'!$AQ$17:$AQ$219,$X161))</x:f>
        <x:v>0.88</x:v>
      </x:c>
      <x:c r="T161" s="16" t="n">
        <x:f>IF($X161="","",INDEX('sheet2-计算明细'!$AR$17:$AR$219,$X161))</x:f>
        <x:v>40.32062</x:v>
      </x:c>
      <x:c r="U161" s="17" t="n">
        <x:f t="shared" si="19">IF(S161=0,"",ROUND(T161/S161,2))</x:f>
        <x:v>45.82</x:v>
      </x:c>
      <x:c r="V161" s="17" t="str">
        <x:f t="shared" si="20">IF(ABS(S161-1)&lt;0.00000001,T161,"")</x:f>
      </x:c>
      <x:c r="W161" s="19" t="str">
        <x:f>IF($X161="","",INDEX('sheet2-计算明细'!$AU$17:$AU$219,$X161))</x:f>
        <x:v>DD_long不可识别；</x:v>
      </x:c>
      <x:c r="X161" s="15" t="n">
        <x:f>IF($A161&gt;COUNT('sheet2-计算明细'!$AT$17:$AT$219),"",MATCH($A161,'sheet2-计算明细'!$AT$17:$AT$219,0))</x:f>
        <x:v>168</x:v>
      </x:c>
    </x:row>
    <x:row r="162" ht="28" customHeight="1">
      <x:c r="A162" s="4" t="n">
        <x:v>157</x:v>
      </x:c>
      <x:c r="B162" s="15" t="str">
        <x:f>IF($X162="","",INDEX('sheet2-计算明细'!$B$17:$B$219,$X162))</x:f>
        <x:v>珺墀价值投资甄选系列</x:v>
      </x:c>
      <x:c r="C162" s="15" t="str">
        <x:f>IF($X162="","",INDEX('sheet2-计算明细'!$C$17:$C$219,$X162))</x:f>
        <x:v>SD8791</x:v>
      </x:c>
      <x:c r="D162" s="15" t="str">
        <x:f>IF($X162="","",INDEX('sheet2-计算明细'!$D$17:$D$219,$X162))</x:f>
        <x:v>上海珺墀资管</x:v>
      </x:c>
      <x:c r="E162" s="15" t="str">
        <x:f>IF($X162="","",INDEX('sheet2-计算明细'!$G$17:$G$219,$X162))</x:f>
        <x:v>入池</x:v>
      </x:c>
      <x:c r="F162" s="16" t="n">
        <x:f>IF($X162="","",INDEX('sheet2-计算明细'!$I$17:$I$219,$X162))</x:f>
        <x:v>60</x:v>
      </x:c>
      <x:c r="G162" s="16" t="n">
        <x:f>IF($X162="","",INDEX('sheet2-计算明细'!$K$17:$K$219,$X162))</x:f>
        <x:v>100</x:v>
      </x:c>
      <x:c r="H162" s="16" t="n">
        <x:f>IF($X162="","",INDEX('sheet2-计算明细'!$L$17:$L$219,$X162))</x:f>
        <x:v>100</x:v>
      </x:c>
      <x:c r="I162" s="16" t="n">
        <x:f>IF($X162="","",INDEX('sheet2-计算明细'!$S$17:$S$219,$X162))</x:f>
        <x:v>92.08</x:v>
      </x:c>
      <x:c r="J162" s="16" t="n">
        <x:f>IF($X162="","",INDEX('sheet2-计算明细'!$Y$17:$Y$219,$X162))</x:f>
        <x:v>53.97</x:v>
      </x:c>
      <x:c r="K162" s="16" t="n">
        <x:f>IF($X162="","",INDEX('sheet2-计算明细'!$AC$17:$AC$219,$X162))</x:f>
        <x:v>1.98</x:v>
      </x:c>
      <x:c r="L162" s="16" t="n">
        <x:f>IF($X162="","",INDEX('sheet2-计算明细'!$AI$17:$AI$219,$X162))</x:f>
        <x:v>28.14</x:v>
      </x:c>
      <x:c r="M162" s="16" t="n">
        <x:f>IF($X162="","",INDEX('sheet2-计算明细'!$AK$17:$AK$219,$X162))</x:f>
        <x:v>80</x:v>
      </x:c>
      <x:c r="N162" s="17" t="n">
        <x:f t="shared" si="14">IF(ISNUMBER(INDEX('sheet2-计算明细'!$AL$17:$AL$219,$X162)),INDEX('sheet2-计算明细'!$AL$17:$AL$219,$X162),"")</x:f>
        <x:v>84</x:v>
      </x:c>
      <x:c r="O162" s="17" t="n">
        <x:f t="shared" si="15">IF(ISNUMBER(INDEX('sheet2-计算明细'!$AM$17:$AM$219,$X162)),INDEX('sheet2-计算明细'!$AM$17:$AM$219,$X162),"")</x:f>
        <x:v>80.65</x:v>
      </x:c>
      <x:c r="P162" s="17" t="n">
        <x:f t="shared" si="16">IF(ISNUMBER(INDEX('sheet2-计算明细'!$AN$17:$AN$219,$X162)),INDEX('sheet2-计算明细'!$AN$17:$AN$219,$X162),"")</x:f>
        <x:v>1.98</x:v>
      </x:c>
      <x:c r="Q162" s="17" t="n">
        <x:f t="shared" si="17">IF(ISNUMBER(INDEX('sheet2-计算明细'!$AO$17:$AO$219,$X162)),INDEX('sheet2-计算明细'!$AO$17:$AO$219,$X162),"")</x:f>
        <x:v>28.14</x:v>
      </x:c>
      <x:c r="R162" s="17" t="n">
        <x:f t="shared" si="18">IF(ISNUMBER(INDEX('sheet2-计算明细'!$AP$17:$AP$219,$X162)),INDEX('sheet2-计算明细'!$AP$17:$AP$219,$X162),"")</x:f>
        <x:v>80</x:v>
      </x:c>
      <x:c r="S162" s="18" t="n">
        <x:f>IF($X162="","",INDEX('sheet2-计算明细'!$AQ$17:$AQ$219,$X162))</x:f>
        <x:v>1</x:v>
      </x:c>
      <x:c r="T162" s="16" t="n">
        <x:f>IF($X162="","",INDEX('sheet2-计算明细'!$AR$17:$AR$219,$X162))</x:f>
        <x:v>45.666000000000004</x:v>
      </x:c>
      <x:c r="U162" s="17" t="n">
        <x:f t="shared" si="19">IF(S162=0,"",ROUND(T162/S162,2))</x:f>
        <x:v>45.67</x:v>
      </x:c>
      <x:c r="V162" s="17" t="n">
        <x:f t="shared" si="20">IF(ABS(S162-1)&lt;0.00000001,T162,"")</x:f>
        <x:v>45.666000000000004</x:v>
      </x:c>
      <x:c r="W162" s="19" t="str">
        <x:f>IF($X162="","",INDEX('sheet2-计算明细'!$AU$17:$AU$219,$X162))</x:f>
      </x:c>
      <x:c r="X162" s="15" t="n">
        <x:f>IF($A162&gt;COUNT('sheet2-计算明细'!$AT$17:$AT$219),"",MATCH($A162,'sheet2-计算明细'!$AT$17:$AT$219,0))</x:f>
        <x:v>108</x:v>
      </x:c>
    </x:row>
    <x:row r="163" ht="28" customHeight="1">
      <x:c r="A163" s="4" t="n">
        <x:v>158</x:v>
      </x:c>
      <x:c r="B163" s="15" t="str">
        <x:f>IF($X163="","",INDEX('sheet2-计算明细'!$B$17:$B$219,$X163))</x:f>
        <x:v>尊嘉金润1号</x:v>
      </x:c>
      <x:c r="C163" s="15" t="str">
        <x:f>IF($X163="","",INDEX('sheet2-计算明细'!$C$17:$C$219,$X163))</x:f>
        <x:v>SXM526</x:v>
      </x:c>
      <x:c r="D163" s="15" t="str">
        <x:f>IF($X163="","",INDEX('sheet2-计算明细'!$D$17:$D$219,$X163))</x:f>
        <x:v>北京尊嘉资管</x:v>
      </x:c>
      <x:c r="E163" s="15" t="str">
        <x:f>IF($X163="","",INDEX('sheet2-计算明细'!$G$17:$G$219,$X163))</x:f>
        <x:v>入池</x:v>
      </x:c>
      <x:c r="F163" s="16" t="n">
        <x:f>IF($X163="","",INDEX('sheet2-计算明细'!$I$17:$I$219,$X163))</x:f>
        <x:v>60</x:v>
      </x:c>
      <x:c r="G163" s="16" t="n">
        <x:f>IF($X163="","",INDEX('sheet2-计算明细'!$K$17:$K$219,$X163))</x:f>
        <x:v>100</x:v>
      </x:c>
      <x:c r="H163" s="16" t="n">
        <x:f>IF($X163="","",INDEX('sheet2-计算明细'!$L$17:$L$219,$X163))</x:f>
        <x:v>100</x:v>
      </x:c>
      <x:c r="I163" s="16" t="n">
        <x:f>IF($X163="","",INDEX('sheet2-计算明细'!$S$17:$S$219,$X163))</x:f>
        <x:v>44.46</x:v>
      </x:c>
      <x:c r="J163" s="16" t="n">
        <x:f>IF($X163="","",INDEX('sheet2-计算明细'!$Y$17:$Y$219,$X163))</x:f>
        <x:v>68.59</x:v>
      </x:c>
      <x:c r="K163" s="16" t="n">
        <x:f>IF($X163="","",INDEX('sheet2-计算明细'!$AC$17:$AC$219,$X163))</x:f>
        <x:v>24.75</x:v>
      </x:c>
      <x:c r="L163" s="16" t="n">
        <x:f>IF($X163="","",INDEX('sheet2-计算明细'!$AI$17:$AI$219,$X163))</x:f>
        <x:v>27.21</x:v>
      </x:c>
      <x:c r="M163" s="16" t="n">
        <x:f>IF($X163="","",INDEX('sheet2-计算明细'!$AK$17:$AK$219,$X163))</x:f>
        <x:v>80</x:v>
      </x:c>
      <x:c r="N163" s="17" t="n">
        <x:f t="shared" si="14">IF(ISNUMBER(INDEX('sheet2-计算明细'!$AL$17:$AL$219,$X163)),INDEX('sheet2-计算明细'!$AL$17:$AL$219,$X163),"")</x:f>
        <x:v>84</x:v>
      </x:c>
      <x:c r="O163" s="17" t="n">
        <x:f t="shared" si="15">IF(ISNUMBER(INDEX('sheet2-计算明细'!$AM$17:$AM$219,$X163)),INDEX('sheet2-计算明细'!$AM$17:$AM$219,$X163),"")</x:f>
        <x:v>51.7</x:v>
      </x:c>
      <x:c r="P163" s="17" t="n">
        <x:f t="shared" si="16">IF(ISNUMBER(INDEX('sheet2-计算明细'!$AN$17:$AN$219,$X163)),INDEX('sheet2-计算明细'!$AN$17:$AN$219,$X163),"")</x:f>
        <x:v>24.75</x:v>
      </x:c>
      <x:c r="Q163" s="17" t="n">
        <x:f t="shared" si="17">IF(ISNUMBER(INDEX('sheet2-计算明细'!$AO$17:$AO$219,$X163)),INDEX('sheet2-计算明细'!$AO$17:$AO$219,$X163),"")</x:f>
        <x:v>27.21</x:v>
      </x:c>
      <x:c r="R163" s="17" t="n">
        <x:f t="shared" si="18">IF(ISNUMBER(INDEX('sheet2-计算明细'!$AP$17:$AP$219,$X163)),INDEX('sheet2-计算明细'!$AP$17:$AP$219,$X163),"")</x:f>
        <x:v>80</x:v>
      </x:c>
      <x:c r="S163" s="18" t="n">
        <x:f>IF($X163="","",INDEX('sheet2-计算明细'!$AQ$17:$AQ$219,$X163))</x:f>
        <x:v>1</x:v>
      </x:c>
      <x:c r="T163" s="16" t="n">
        <x:f>IF($X163="","",INDEX('sheet2-计算明细'!$AR$17:$AR$219,$X163))</x:f>
        <x:v>45.28965</x:v>
      </x:c>
      <x:c r="U163" s="17" t="n">
        <x:f t="shared" si="19">IF(S163=0,"",ROUND(T163/S163,2))</x:f>
        <x:v>45.29</x:v>
      </x:c>
      <x:c r="V163" s="17" t="n">
        <x:f t="shared" si="20">IF(ABS(S163-1)&lt;0.00000001,T163,"")</x:f>
        <x:v>45.28965</x:v>
      </x:c>
      <x:c r="W163" s="19" t="str">
        <x:f>IF($X163="","",INDEX('sheet2-计算明细'!$AU$17:$AU$219,$X163))</x:f>
      </x:c>
      <x:c r="X163" s="15" t="n">
        <x:f>IF($A163&gt;COUNT('sheet2-计算明细'!$AT$17:$AT$219),"",MATCH($A163,'sheet2-计算明细'!$AT$17:$AT$219,0))</x:f>
        <x:v>160</x:v>
      </x:c>
    </x:row>
    <x:row r="164" ht="28" customHeight="1">
      <x:c r="A164" s="4" t="n">
        <x:v>159</x:v>
      </x:c>
      <x:c r="B164" s="15" t="str">
        <x:f>IF($X164="","",INDEX('sheet2-计算明细'!$B$17:$B$219,$X164))</x:f>
        <x:v>悬铃君享CTA2号</x:v>
      </x:c>
      <x:c r="C164" s="15" t="str">
        <x:f>IF($X164="","",INDEX('sheet2-计算明细'!$C$17:$C$219,$X164))</x:f>
        <x:v>SZF199</x:v>
      </x:c>
      <x:c r="D164" s="15" t="str">
        <x:f>IF($X164="","",INDEX('sheet2-计算明细'!$D$17:$D$219,$X164))</x:f>
        <x:v>上海悬铃</x:v>
      </x:c>
      <x:c r="E164" s="15" t="str">
        <x:f>IF($X164="","",INDEX('sheet2-计算明细'!$G$17:$G$219,$X164))</x:f>
        <x:v>入池</x:v>
      </x:c>
      <x:c r="F164" s="16" t="n">
        <x:f>IF($X164="","",INDEX('sheet2-计算明细'!$I$17:$I$219,$X164))</x:f>
        <x:v>90</x:v>
      </x:c>
      <x:c r="G164" s="16" t="n">
        <x:f>IF($X164="","",INDEX('sheet2-计算明细'!$K$17:$K$219,$X164))</x:f>
        <x:v>100</x:v>
      </x:c>
      <x:c r="H164" s="16" t="n">
        <x:f>IF($X164="","",INDEX('sheet2-计算明细'!$L$17:$L$219,$X164))</x:f>
        <x:v>100</x:v>
      </x:c>
      <x:c r="I164" s="16" t="n">
        <x:f>IF($X164="","",INDEX('sheet2-计算明细'!$S$17:$S$219,$X164))</x:f>
        <x:v>44.16</x:v>
      </x:c>
      <x:c r="J164" s="16" t="n">
        <x:f>IF($X164="","",INDEX('sheet2-计算明细'!$Y$17:$Y$219,$X164))</x:f>
        <x:v>63.59</x:v>
      </x:c>
      <x:c r="K164" s="16" t="n">
        <x:f>IF($X164="","",INDEX('sheet2-计算明细'!$AC$17:$AC$219,$X164))</x:f>
        <x:v>15.35</x:v>
      </x:c>
      <x:c r="L164" s="16" t="n">
        <x:f>IF($X164="","",INDEX('sheet2-计算明细'!$AI$17:$AI$219,$X164))</x:f>
        <x:v>26.56</x:v>
      </x:c>
      <x:c r="M164" s="16" t="n">
        <x:f>IF($X164="","",INDEX('sheet2-计算明细'!$AK$17:$AK$219,$X164))</x:f>
        <x:v>80</x:v>
      </x:c>
      <x:c r="N164" s="17" t="n">
        <x:f t="shared" si="14">IF(ISNUMBER(INDEX('sheet2-计算明细'!$AL$17:$AL$219,$X164)),INDEX('sheet2-计算明细'!$AL$17:$AL$219,$X164),"")</x:f>
        <x:v>96</x:v>
      </x:c>
      <x:c r="O164" s="17" t="n">
        <x:f t="shared" si="15">IF(ISNUMBER(INDEX('sheet2-计算明细'!$AM$17:$AM$219,$X164)),INDEX('sheet2-计算明细'!$AM$17:$AM$219,$X164),"")</x:f>
        <x:v>49.99</x:v>
      </x:c>
      <x:c r="P164" s="17" t="n">
        <x:f t="shared" si="16">IF(ISNUMBER(INDEX('sheet2-计算明细'!$AN$17:$AN$219,$X164)),INDEX('sheet2-计算明细'!$AN$17:$AN$219,$X164),"")</x:f>
        <x:v>15.35</x:v>
      </x:c>
      <x:c r="Q164" s="17" t="n">
        <x:f t="shared" si="17">IF(ISNUMBER(INDEX('sheet2-计算明细'!$AO$17:$AO$219,$X164)),INDEX('sheet2-计算明细'!$AO$17:$AO$219,$X164),"")</x:f>
        <x:v>26.56</x:v>
      </x:c>
      <x:c r="R164" s="17" t="n">
        <x:f t="shared" si="18">IF(ISNUMBER(INDEX('sheet2-计算明细'!$AP$17:$AP$219,$X164)),INDEX('sheet2-计算明细'!$AP$17:$AP$219,$X164),"")</x:f>
        <x:v>80</x:v>
      </x:c>
      <x:c r="S164" s="18" t="n">
        <x:f>IF($X164="","",INDEX('sheet2-计算明细'!$AQ$17:$AQ$219,$X164))</x:f>
        <x:v>1</x:v>
      </x:c>
      <x:c r="T164" s="16" t="n">
        <x:f>IF($X164="","",INDEX('sheet2-计算明细'!$AR$17:$AR$219,$X164))</x:f>
        <x:v>44.202259999999995</x:v>
      </x:c>
      <x:c r="U164" s="17" t="n">
        <x:f t="shared" si="19">IF(S164=0,"",ROUND(T164/S164,2))</x:f>
        <x:v>44.2</x:v>
      </x:c>
      <x:c r="V164" s="17" t="n">
        <x:f t="shared" si="20">IF(ABS(S164-1)&lt;0.00000001,T164,"")</x:f>
        <x:v>44.202259999999995</x:v>
      </x:c>
      <x:c r="W164" s="19" t="str">
        <x:f>IF($X164="","",INDEX('sheet2-计算明细'!$AU$17:$AU$219,$X164))</x:f>
      </x:c>
      <x:c r="X164" s="15" t="n">
        <x:f>IF($A164&gt;COUNT('sheet2-计算明细'!$AT$17:$AT$219),"",MATCH($A164,'sheet2-计算明细'!$AT$17:$AT$219,0))</x:f>
        <x:v>182</x:v>
      </x:c>
    </x:row>
    <x:row r="165" ht="28" customHeight="1">
      <x:c r="A165" s="4" t="n">
        <x:v>160</x:v>
      </x:c>
      <x:c r="B165" s="15" t="str">
        <x:f>IF($X165="","",INDEX('sheet2-计算明细'!$B$17:$B$219,$X165))</x:f>
        <x:v>乘舟紫荆1号B类</x:v>
      </x:c>
      <x:c r="C165" s="15" t="str">
        <x:f>IF($X165="","",INDEX('sheet2-计算明细'!$C$17:$C$219,$X165))</x:f>
        <x:v>XW399B</x:v>
      </x:c>
      <x:c r="D165" s="15" t="str">
        <x:f>IF($X165="","",INDEX('sheet2-计算明细'!$D$17:$D$219,$X165))</x:f>
        <x:v>上海乘舟投资</x:v>
      </x:c>
      <x:c r="E165" s="15" t="str">
        <x:f>IF($X165="","",INDEX('sheet2-计算明细'!$G$17:$G$219,$X165))</x:f>
        <x:v>入池</x:v>
      </x:c>
      <x:c r="F165" s="16" t="n">
        <x:f>IF($X165="","",INDEX('sheet2-计算明细'!$I$17:$I$219,$X165))</x:f>
        <x:v>70</x:v>
      </x:c>
      <x:c r="G165" s="16" t="str">
        <x:f>IF($X165="","",INDEX('sheet2-计算明细'!$K$17:$K$219,$X165))</x:f>
      </x:c>
      <x:c r="H165" s="16" t="n">
        <x:f>IF($X165="","",INDEX('sheet2-计算明细'!$L$17:$L$219,$X165))</x:f>
        <x:v>100</x:v>
      </x:c>
      <x:c r="I165" s="16" t="n">
        <x:f>IF($X165="","",INDEX('sheet2-计算明细'!$S$17:$S$219,$X165))</x:f>
        <x:v>39.31</x:v>
      </x:c>
      <x:c r="J165" s="16" t="n">
        <x:f>IF($X165="","",INDEX('sheet2-计算明细'!$Y$17:$Y$219,$X165))</x:f>
        <x:v>82.82</x:v>
      </x:c>
      <x:c r="K165" s="16" t="n">
        <x:f>IF($X165="","",INDEX('sheet2-计算明细'!$AC$17:$AC$219,$X165))</x:f>
        <x:v>27.72</x:v>
      </x:c>
      <x:c r="L165" s="16" t="n">
        <x:f>IF($X165="","",INDEX('sheet2-计算明细'!$AI$17:$AI$219,$X165))</x:f>
        <x:v>15.42</x:v>
      </x:c>
      <x:c r="M165" s="16" t="n">
        <x:f>IF($X165="","",INDEX('sheet2-计算明细'!$AK$17:$AK$219,$X165))</x:f>
        <x:v>80</x:v>
      </x:c>
      <x:c r="N165" s="17" t="n">
        <x:f t="shared" si="14">IF(ISNUMBER(INDEX('sheet2-计算明细'!$AL$17:$AL$219,$X165)),INDEX('sheet2-计算明细'!$AL$17:$AL$219,$X165),"")</x:f>
        <x:v>82.86</x:v>
      </x:c>
      <x:c r="O165" s="17" t="n">
        <x:f t="shared" si="15">IF(ISNUMBER(INDEX('sheet2-计算明细'!$AM$17:$AM$219,$X165)),INDEX('sheet2-计算明细'!$AM$17:$AM$219,$X165),"")</x:f>
        <x:v>52.36</x:v>
      </x:c>
      <x:c r="P165" s="17" t="n">
        <x:f t="shared" si="16">IF(ISNUMBER(INDEX('sheet2-计算明细'!$AN$17:$AN$219,$X165)),INDEX('sheet2-计算明细'!$AN$17:$AN$219,$X165),"")</x:f>
        <x:v>27.72</x:v>
      </x:c>
      <x:c r="Q165" s="17" t="n">
        <x:f t="shared" si="17">IF(ISNUMBER(INDEX('sheet2-计算明细'!$AO$17:$AO$219,$X165)),INDEX('sheet2-计算明细'!$AO$17:$AO$219,$X165),"")</x:f>
        <x:v>15.42</x:v>
      </x:c>
      <x:c r="R165" s="17" t="n">
        <x:f t="shared" si="18">IF(ISNUMBER(INDEX('sheet2-计算明细'!$AP$17:$AP$219,$X165)),INDEX('sheet2-计算明细'!$AP$17:$AP$219,$X165),"")</x:f>
        <x:v>80</x:v>
      </x:c>
      <x:c r="S165" s="18" t="n">
        <x:f>IF($X165="","",INDEX('sheet2-计算明细'!$AQ$17:$AQ$219,$X165))</x:f>
        <x:v>0.8350000000000001</x:v>
      </x:c>
      <x:c r="T165" s="16" t="n">
        <x:f>IF($X165="","",INDEX('sheet2-计算明细'!$AR$17:$AR$219,$X165))</x:f>
        <x:v>36.87801</x:v>
      </x:c>
      <x:c r="U165" s="17" t="n">
        <x:f t="shared" si="19">IF(S165=0,"",ROUND(T165/S165,2))</x:f>
        <x:v>44.17</x:v>
      </x:c>
      <x:c r="V165" s="17" t="str">
        <x:f t="shared" si="20">IF(ABS(S165-1)&lt;0.00000001,T165,"")</x:f>
      </x:c>
      <x:c r="W165" s="19" t="str">
        <x:f>IF($X165="","",INDEX('sheet2-计算明细'!$AU$17:$AU$219,$X165))</x:f>
        <x:v>产品规模标识；DD_long不可识别；</x:v>
      </x:c>
      <x:c r="X165" s="15" t="n">
        <x:f>IF($A165&gt;COUNT('sheet2-计算明细'!$AT$17:$AT$219),"",MATCH($A165,'sheet2-计算明细'!$AT$17:$AT$219,0))</x:f>
        <x:v>197</x:v>
      </x:c>
    </x:row>
    <x:row r="166" ht="28" customHeight="1">
      <x:c r="A166" s="4" t="n">
        <x:v>161</x:v>
      </x:c>
      <x:c r="B166" s="15" t="str">
        <x:f>IF($X166="","",INDEX('sheet2-计算明细'!$B$17:$B$219,$X166))</x:f>
        <x:v>岳皋泰山核心一号B类</x:v>
      </x:c>
      <x:c r="C166" s="15" t="str">
        <x:f>IF($X166="","",INDEX('sheet2-计算明细'!$C$17:$C$219,$X166))</x:f>
        <x:v>SH674B</x:v>
      </x:c>
      <x:c r="D166" s="15" t="str">
        <x:f>IF($X166="","",INDEX('sheet2-计算明细'!$D$17:$D$219,$X166))</x:f>
        <x:v>上海岳皋投资</x:v>
      </x:c>
      <x:c r="E166" s="15" t="str">
        <x:f>IF($X166="","",INDEX('sheet2-计算明细'!$G$17:$G$219,$X166))</x:f>
        <x:v>入池</x:v>
      </x:c>
      <x:c r="F166" s="16" t="n">
        <x:f>IF($X166="","",INDEX('sheet2-计算明细'!$I$17:$I$219,$X166))</x:f>
        <x:v>60</x:v>
      </x:c>
      <x:c r="G166" s="16" t="str">
        <x:f>IF($X166="","",INDEX('sheet2-计算明细'!$K$17:$K$219,$X166))</x:f>
      </x:c>
      <x:c r="H166" s="16" t="n">
        <x:f>IF($X166="","",INDEX('sheet2-计算明细'!$L$17:$L$219,$X166))</x:f>
        <x:v>100</x:v>
      </x:c>
      <x:c r="I166" s="16" t="n">
        <x:f>IF($X166="","",INDEX('sheet2-计算明细'!$S$17:$S$219,$X166))</x:f>
        <x:v>20.1</x:v>
      </x:c>
      <x:c r="J166" s="16" t="n">
        <x:f>IF($X166="","",INDEX('sheet2-计算明细'!$Y$17:$Y$219,$X166))</x:f>
        <x:v>71.54</x:v>
      </x:c>
      <x:c r="K166" s="16" t="n">
        <x:f>IF($X166="","",INDEX('sheet2-计算明细'!$AC$17:$AC$219,$X166))</x:f>
        <x:v>47.03</x:v>
      </x:c>
      <x:c r="L166" s="16" t="n">
        <x:f>IF($X166="","",INDEX('sheet2-计算明细'!$AI$17:$AI$219,$X166))</x:f>
        <x:v>24.01</x:v>
      </x:c>
      <x:c r="M166" s="16" t="n">
        <x:f>IF($X166="","",INDEX('sheet2-计算明细'!$AK$17:$AK$219,$X166))</x:f>
        <x:v>80</x:v>
      </x:c>
      <x:c r="N166" s="17" t="n">
        <x:f t="shared" si="14">IF(ISNUMBER(INDEX('sheet2-计算明细'!$AL$17:$AL$219,$X166)),INDEX('sheet2-计算明细'!$AL$17:$AL$219,$X166),"")</x:f>
        <x:v>77.14</x:v>
      </x:c>
      <x:c r="O166" s="17" t="n">
        <x:f t="shared" si="15">IF(ISNUMBER(INDEX('sheet2-计算明细'!$AM$17:$AM$219,$X166)),INDEX('sheet2-计算明细'!$AM$17:$AM$219,$X166),"")</x:f>
        <x:v>35.53</x:v>
      </x:c>
      <x:c r="P166" s="17" t="n">
        <x:f t="shared" si="16">IF(ISNUMBER(INDEX('sheet2-计算明细'!$AN$17:$AN$219,$X166)),INDEX('sheet2-计算明细'!$AN$17:$AN$219,$X166),"")</x:f>
        <x:v>47.03</x:v>
      </x:c>
      <x:c r="Q166" s="17" t="n">
        <x:f t="shared" si="17">IF(ISNUMBER(INDEX('sheet2-计算明细'!$AO$17:$AO$219,$X166)),INDEX('sheet2-计算明细'!$AO$17:$AO$219,$X166),"")</x:f>
        <x:v>24.01</x:v>
      </x:c>
      <x:c r="R166" s="17" t="n">
        <x:f t="shared" si="18">IF(ISNUMBER(INDEX('sheet2-计算明细'!$AP$17:$AP$219,$X166)),INDEX('sheet2-计算明细'!$AP$17:$AP$219,$X166),"")</x:f>
        <x:v>80</x:v>
      </x:c>
      <x:c r="S166" s="18" t="n">
        <x:f>IF($X166="","",INDEX('sheet2-计算明细'!$AQ$17:$AQ$219,$X166))</x:f>
        <x:v>0.9550000000000001</x:v>
      </x:c>
      <x:c r="T166" s="16" t="n">
        <x:f>IF($X166="","",INDEX('sheet2-计算明细'!$AR$17:$AR$219,$X166))</x:f>
        <x:v>42.16636</x:v>
      </x:c>
      <x:c r="U166" s="17" t="n">
        <x:f t="shared" si="19">IF(S166=0,"",ROUND(T166/S166,2))</x:f>
        <x:v>44.15</x:v>
      </x:c>
      <x:c r="V166" s="17" t="str">
        <x:f t="shared" si="20">IF(ABS(S166-1)&lt;0.00000001,T166,"")</x:f>
      </x:c>
      <x:c r="W166" s="19" t="str">
        <x:f>IF($X166="","",INDEX('sheet2-计算明细'!$AU$17:$AU$219,$X166))</x:f>
        <x:v>产品规模标识；</x:v>
      </x:c>
      <x:c r="X166" s="15" t="n">
        <x:f>IF($A166&gt;COUNT('sheet2-计算明细'!$AT$17:$AT$219),"",MATCH($A166,'sheet2-计算明细'!$AT$17:$AT$219,0))</x:f>
        <x:v>70</x:v>
      </x:c>
    </x:row>
    <x:row r="167" ht="28" customHeight="1">
      <x:c r="A167" s="4" t="n">
        <x:v>162</x:v>
      </x:c>
      <x:c r="B167" s="15" t="str">
        <x:f>IF($X167="","",INDEX('sheet2-计算明细'!$B$17:$B$219,$X167))</x:f>
        <x:v>泓倍商品相对价值1号A类</x:v>
      </x:c>
      <x:c r="C167" s="15" t="str">
        <x:f>IF($X167="","",INDEX('sheet2-计算明细'!$C$17:$C$219,$X167))</x:f>
        <x:v>CU913A</x:v>
      </x:c>
      <x:c r="D167" s="15" t="str">
        <x:f>IF($X167="","",INDEX('sheet2-计算明细'!$D$17:$D$219,$X167))</x:f>
        <x:v>上海泓倍投资</x:v>
      </x:c>
      <x:c r="E167" s="15" t="str">
        <x:f>IF($X167="","",INDEX('sheet2-计算明细'!$G$17:$G$219,$X167))</x:f>
        <x:v>入池</x:v>
      </x:c>
      <x:c r="F167" s="16" t="n">
        <x:f>IF($X167="","",INDEX('sheet2-计算明细'!$I$17:$I$219,$X167))</x:f>
        <x:v>60</x:v>
      </x:c>
      <x:c r="G167" s="16" t="str">
        <x:f>IF($X167="","",INDEX('sheet2-计算明细'!$K$17:$K$219,$X167))</x:f>
      </x:c>
      <x:c r="H167" s="16" t="n">
        <x:f>IF($X167="","",INDEX('sheet2-计算明细'!$L$17:$L$219,$X167))</x:f>
        <x:v>100</x:v>
      </x:c>
      <x:c r="I167" s="16" t="n">
        <x:f>IF($X167="","",INDEX('sheet2-计算明细'!$S$17:$S$219,$X167))</x:f>
        <x:v>38.82</x:v>
      </x:c>
      <x:c r="J167" s="16" t="n">
        <x:f>IF($X167="","",INDEX('sheet2-计算明细'!$Y$17:$Y$219,$X167))</x:f>
        <x:v>56.02</x:v>
      </x:c>
      <x:c r="K167" s="16" t="n">
        <x:f>IF($X167="","",INDEX('sheet2-计算明细'!$AC$17:$AC$219,$X167))</x:f>
        <x:v>30.2</x:v>
      </x:c>
      <x:c r="L167" s="16" t="n">
        <x:f>IF($X167="","",INDEX('sheet2-计算明细'!$AI$17:$AI$219,$X167))</x:f>
        <x:v>25.25</x:v>
      </x:c>
      <x:c r="M167" s="16" t="n">
        <x:f>IF($X167="","",INDEX('sheet2-计算明细'!$AK$17:$AK$219,$X167))</x:f>
        <x:v>100</x:v>
      </x:c>
      <x:c r="N167" s="17" t="n">
        <x:f t="shared" si="14">IF(ISNUMBER(INDEX('sheet2-计算明细'!$AL$17:$AL$219,$X167)),INDEX('sheet2-计算明细'!$AL$17:$AL$219,$X167),"")</x:f>
        <x:v>77.14</x:v>
      </x:c>
      <x:c r="O167" s="17" t="n">
        <x:f t="shared" si="15">IF(ISNUMBER(INDEX('sheet2-计算明细'!$AM$17:$AM$219,$X167)),INDEX('sheet2-计算明细'!$AM$17:$AM$219,$X167),"")</x:f>
        <x:v>43.98</x:v>
      </x:c>
      <x:c r="P167" s="17" t="n">
        <x:f t="shared" si="16">IF(ISNUMBER(INDEX('sheet2-计算明细'!$AN$17:$AN$219,$X167)),INDEX('sheet2-计算明细'!$AN$17:$AN$219,$X167),"")</x:f>
        <x:v>30.2</x:v>
      </x:c>
      <x:c r="Q167" s="17" t="n">
        <x:f t="shared" si="17">IF(ISNUMBER(INDEX('sheet2-计算明细'!$AO$17:$AO$219,$X167)),INDEX('sheet2-计算明细'!$AO$17:$AO$219,$X167),"")</x:f>
        <x:v>25.25</x:v>
      </x:c>
      <x:c r="R167" s="17" t="n">
        <x:f t="shared" si="18">IF(ISNUMBER(INDEX('sheet2-计算明细'!$AP$17:$AP$219,$X167)),INDEX('sheet2-计算明细'!$AP$17:$AP$219,$X167),"")</x:f>
        <x:v>100</x:v>
      </x:c>
      <x:c r="S167" s="18" t="n">
        <x:f>IF($X167="","",INDEX('sheet2-计算明细'!$AQ$17:$AQ$219,$X167))</x:f>
        <x:v>0.9550000000000001</x:v>
      </x:c>
      <x:c r="T167" s="16" t="n">
        <x:f>IF($X167="","",INDEX('sheet2-计算明细'!$AR$17:$AR$219,$X167))</x:f>
        <x:v>42.02121</x:v>
      </x:c>
      <x:c r="U167" s="17" t="n">
        <x:f t="shared" si="19">IF(S167=0,"",ROUND(T167/S167,2))</x:f>
        <x:v>44</x:v>
      </x:c>
      <x:c r="V167" s="17" t="str">
        <x:f t="shared" si="20">IF(ABS(S167-1)&lt;0.00000001,T167,"")</x:f>
      </x:c>
      <x:c r="W167" s="19" t="str">
        <x:f>IF($X167="","",INDEX('sheet2-计算明细'!$AU$17:$AU$219,$X167))</x:f>
        <x:v>产品规模标识；</x:v>
      </x:c>
      <x:c r="X167" s="15" t="n">
        <x:f>IF($A167&gt;COUNT('sheet2-计算明细'!$AT$17:$AT$219),"",MATCH($A167,'sheet2-计算明细'!$AT$17:$AT$219,0))</x:f>
        <x:v>104</x:v>
      </x:c>
    </x:row>
    <x:row r="168" ht="28" customHeight="1">
      <x:c r="A168" s="4" t="n">
        <x:v>163</x:v>
      </x:c>
      <x:c r="B168" s="15" t="str">
        <x:f>IF($X168="","",INDEX('sheet2-计算明细'!$B$17:$B$219,$X168))</x:f>
        <x:v>博普量化对冲6号A类</x:v>
      </x:c>
      <x:c r="C168" s="15" t="str">
        <x:f>IF($X168="","",INDEX('sheet2-计算明细'!$C$17:$C$219,$X168))</x:f>
        <x:v>EE891A</x:v>
      </x:c>
      <x:c r="D168" s="15" t="str">
        <x:f>IF($X168="","",INDEX('sheet2-计算明细'!$D$17:$D$219,$X168))</x:f>
        <x:v>深圳前海博普资管</x:v>
      </x:c>
      <x:c r="E168" s="15" t="str">
        <x:f>IF($X168="","",INDEX('sheet2-计算明细'!$G$17:$G$219,$X168))</x:f>
        <x:v>入池</x:v>
      </x:c>
      <x:c r="F168" s="16" t="n">
        <x:f>IF($X168="","",INDEX('sheet2-计算明细'!$I$17:$I$219,$X168))</x:f>
        <x:v>90</x:v>
      </x:c>
      <x:c r="G168" s="16" t="str">
        <x:f>IF($X168="","",INDEX('sheet2-计算明细'!$K$17:$K$219,$X168))</x:f>
      </x:c>
      <x:c r="H168" s="16" t="n">
        <x:f>IF($X168="","",INDEX('sheet2-计算明细'!$L$17:$L$219,$X168))</x:f>
        <x:v>100</x:v>
      </x:c>
      <x:c r="I168" s="16" t="n">
        <x:f>IF($X168="","",INDEX('sheet2-计算明细'!$S$17:$S$219,$X168))</x:f>
        <x:v>24.55</x:v>
      </x:c>
      <x:c r="J168" s="16" t="n">
        <x:f>IF($X168="","",INDEX('sheet2-计算明细'!$Y$17:$Y$219,$X168))</x:f>
        <x:v>57.31</x:v>
      </x:c>
      <x:c r="K168" s="16" t="n">
        <x:f>IF($X168="","",INDEX('sheet2-计算明细'!$AC$17:$AC$219,$X168))</x:f>
        <x:v>28.22</x:v>
      </x:c>
      <x:c r="L168" s="16" t="n">
        <x:f>IF($X168="","",INDEX('sheet2-计算明细'!$AI$17:$AI$219,$X168))</x:f>
        <x:v>25.31</x:v>
      </x:c>
      <x:c r="M168" s="16" t="n">
        <x:f>IF($X168="","",INDEX('sheet2-计算明细'!$AK$17:$AK$219,$X168))</x:f>
        <x:v>100</x:v>
      </x:c>
      <x:c r="N168" s="17" t="n">
        <x:f t="shared" si="14">IF(ISNUMBER(INDEX('sheet2-计算明细'!$AL$17:$AL$219,$X168)),INDEX('sheet2-计算明细'!$AL$17:$AL$219,$X168),"")</x:f>
        <x:v>94.29</x:v>
      </x:c>
      <x:c r="O168" s="17" t="n">
        <x:f t="shared" si="15">IF(ISNUMBER(INDEX('sheet2-计算明细'!$AM$17:$AM$219,$X168)),INDEX('sheet2-计算明细'!$AM$17:$AM$219,$X168),"")</x:f>
        <x:v>34.38</x:v>
      </x:c>
      <x:c r="P168" s="17" t="n">
        <x:f t="shared" si="16">IF(ISNUMBER(INDEX('sheet2-计算明细'!$AN$17:$AN$219,$X168)),INDEX('sheet2-计算明细'!$AN$17:$AN$219,$X168),"")</x:f>
        <x:v>28.22</x:v>
      </x:c>
      <x:c r="Q168" s="17" t="n">
        <x:f t="shared" si="17">IF(ISNUMBER(INDEX('sheet2-计算明细'!$AO$17:$AO$219,$X168)),INDEX('sheet2-计算明细'!$AO$17:$AO$219,$X168),"")</x:f>
        <x:v>25.31</x:v>
      </x:c>
      <x:c r="R168" s="17" t="n">
        <x:f t="shared" si="18">IF(ISNUMBER(INDEX('sheet2-计算明细'!$AP$17:$AP$219,$X168)),INDEX('sheet2-计算明细'!$AP$17:$AP$219,$X168),"")</x:f>
        <x:v>100</x:v>
      </x:c>
      <x:c r="S168" s="18" t="n">
        <x:f>IF($X168="","",INDEX('sheet2-计算明细'!$AQ$17:$AQ$219,$X168))</x:f>
        <x:v>0.9550000000000001</x:v>
      </x:c>
      <x:c r="T168" s="16" t="n">
        <x:f>IF($X168="","",INDEX('sheet2-计算明细'!$AR$17:$AR$219,$X168))</x:f>
        <x:v>41.42505</x:v>
      </x:c>
      <x:c r="U168" s="17" t="n">
        <x:f t="shared" si="19">IF(S168=0,"",ROUND(T168/S168,2))</x:f>
        <x:v>43.38</x:v>
      </x:c>
      <x:c r="V168" s="17" t="str">
        <x:f t="shared" si="20">IF(ABS(S168-1)&lt;0.00000001,T168,"")</x:f>
      </x:c>
      <x:c r="W168" s="19" t="str">
        <x:f>IF($X168="","",INDEX('sheet2-计算明细'!$AU$17:$AU$219,$X168))</x:f>
        <x:v>产品规模标识；</x:v>
      </x:c>
      <x:c r="X168" s="15" t="n">
        <x:f>IF($A168&gt;COUNT('sheet2-计算明细'!$AT$17:$AT$219),"",MATCH($A168,'sheet2-计算明细'!$AT$17:$AT$219,0))</x:f>
        <x:v>100</x:v>
      </x:c>
    </x:row>
    <x:row r="169" ht="28" customHeight="1">
      <x:c r="A169" s="4" t="n">
        <x:v>164</x:v>
      </x:c>
      <x:c r="B169" s="15" t="str">
        <x:f>IF($X169="","",INDEX('sheet2-计算明细'!$B$17:$B$219,$X169))</x:f>
        <x:v>远澜翠柏1号</x:v>
      </x:c>
      <x:c r="C169" s="15" t="str">
        <x:f>IF($X169="","",INDEX('sheet2-计算明细'!$C$17:$C$219,$X169))</x:f>
        <x:v>SS9088</x:v>
      </x:c>
      <x:c r="D169" s="15" t="str">
        <x:f>IF($X169="","",INDEX('sheet2-计算明细'!$D$17:$D$219,$X169))</x:f>
        <x:v>上海远澜</x:v>
      </x:c>
      <x:c r="E169" s="15" t="str">
        <x:f>IF($X169="","",INDEX('sheet2-计算明细'!$G$17:$G$219,$X169))</x:f>
        <x:v>入池</x:v>
      </x:c>
      <x:c r="F169" s="16" t="n">
        <x:f>IF($X169="","",INDEX('sheet2-计算明细'!$I$17:$I$219,$X169))</x:f>
        <x:v>100</x:v>
      </x:c>
      <x:c r="G169" s="16" t="n">
        <x:f>IF($X169="","",INDEX('sheet2-计算明细'!$K$17:$K$219,$X169))</x:f>
        <x:v>100</x:v>
      </x:c>
      <x:c r="H169" s="16" t="n">
        <x:f>IF($X169="","",INDEX('sheet2-计算明细'!$L$17:$L$219,$X169))</x:f>
        <x:v>100</x:v>
      </x:c>
      <x:c r="I169" s="16" t="n">
        <x:f>IF($X169="","",INDEX('sheet2-计算明细'!$S$17:$S$219,$X169))</x:f>
        <x:v>42.38</x:v>
      </x:c>
      <x:c r="J169" s="16" t="n">
        <x:f>IF($X169="","",INDEX('sheet2-计算明细'!$Y$17:$Y$219,$X169))</x:f>
        <x:v>49.36</x:v>
      </x:c>
      <x:c r="K169" s="16" t="n">
        <x:f>IF($X169="","",INDEX('sheet2-计算明细'!$AC$17:$AC$219,$X169))</x:f>
        <x:v>13.37</x:v>
      </x:c>
      <x:c r="L169" s="16" t="n">
        <x:f>IF($X169="","",INDEX('sheet2-计算明细'!$AI$17:$AI$219,$X169))</x:f>
        <x:v>20.19</x:v>
      </x:c>
      <x:c r="M169" s="16" t="n">
        <x:f>IF($X169="","",INDEX('sheet2-计算明细'!$AK$17:$AK$219,$X169))</x:f>
        <x:v>100</x:v>
      </x:c>
      <x:c r="N169" s="17" t="n">
        <x:f t="shared" si="14">IF(ISNUMBER(INDEX('sheet2-计算明细'!$AL$17:$AL$219,$X169)),INDEX('sheet2-计算明细'!$AL$17:$AL$219,$X169),"")</x:f>
        <x:v>100</x:v>
      </x:c>
      <x:c r="O169" s="17" t="n">
        <x:f t="shared" si="15">IF(ISNUMBER(INDEX('sheet2-计算明细'!$AM$17:$AM$219,$X169)),INDEX('sheet2-计算明细'!$AM$17:$AM$219,$X169),"")</x:f>
        <x:v>44.47</x:v>
      </x:c>
      <x:c r="P169" s="17" t="n">
        <x:f t="shared" si="16">IF(ISNUMBER(INDEX('sheet2-计算明细'!$AN$17:$AN$219,$X169)),INDEX('sheet2-计算明细'!$AN$17:$AN$219,$X169),"")</x:f>
        <x:v>13.37</x:v>
      </x:c>
      <x:c r="Q169" s="17" t="n">
        <x:f t="shared" si="17">IF(ISNUMBER(INDEX('sheet2-计算明细'!$AO$17:$AO$219,$X169)),INDEX('sheet2-计算明细'!$AO$17:$AO$219,$X169),"")</x:f>
        <x:v>20.19</x:v>
      </x:c>
      <x:c r="R169" s="17" t="n">
        <x:f t="shared" si="18">IF(ISNUMBER(INDEX('sheet2-计算明细'!$AP$17:$AP$219,$X169)),INDEX('sheet2-计算明细'!$AP$17:$AP$219,$X169),"")</x:f>
        <x:v>100</x:v>
      </x:c>
      <x:c r="S169" s="18" t="n">
        <x:f>IF($X169="","",INDEX('sheet2-计算明细'!$AQ$17:$AQ$219,$X169))</x:f>
        <x:v>1</x:v>
      </x:c>
      <x:c r="T169" s="16" t="n">
        <x:f>IF($X169="","",INDEX('sheet2-计算明细'!$AR$17:$AR$219,$X169))</x:f>
        <x:v>43.29262</x:v>
      </x:c>
      <x:c r="U169" s="17" t="n">
        <x:f t="shared" si="19">IF(S169=0,"",ROUND(T169/S169,2))</x:f>
        <x:v>43.29</x:v>
      </x:c>
      <x:c r="V169" s="17" t="n">
        <x:f t="shared" si="20">IF(ABS(S169-1)&lt;0.00000001,T169,"")</x:f>
        <x:v>43.29262</x:v>
      </x:c>
      <x:c r="W169" s="19" t="str">
        <x:f>IF($X169="","",INDEX('sheet2-计算明细'!$AU$17:$AU$219,$X169))</x:f>
      </x:c>
      <x:c r="X169" s="15" t="n">
        <x:f>IF($A169&gt;COUNT('sheet2-计算明细'!$AT$17:$AT$219),"",MATCH($A169,'sheet2-计算明细'!$AT$17:$AT$219,0))</x:f>
        <x:v>7</x:v>
      </x:c>
    </x:row>
    <x:row r="170" ht="28" customHeight="1">
      <x:c r="A170" s="4" t="n">
        <x:v>165</x:v>
      </x:c>
      <x:c r="B170" s="15" t="str">
        <x:f>IF($X170="","",INDEX('sheet2-计算明细'!$B$17:$B$219,$X170))</x:f>
        <x:v>银瓴运通稳健1号五期</x:v>
      </x:c>
      <x:c r="C170" s="15" t="str">
        <x:f>IF($X170="","",INDEX('sheet2-计算明细'!$C$17:$C$219,$X170))</x:f>
        <x:v>SNW762</x:v>
      </x:c>
      <x:c r="D170" s="15" t="str">
        <x:f>IF($X170="","",INDEX('sheet2-计算明细'!$D$17:$D$219,$X170))</x:f>
        <x:v>广西银瓴资产</x:v>
      </x:c>
      <x:c r="E170" s="15" t="str">
        <x:f>IF($X170="","",INDEX('sheet2-计算明细'!$G$17:$G$219,$X170))</x:f>
        <x:v>入池</x:v>
      </x:c>
      <x:c r="F170" s="16" t="n">
        <x:f>IF($X170="","",INDEX('sheet2-计算明细'!$I$17:$I$219,$X170))</x:f>
        <x:v>60</x:v>
      </x:c>
      <x:c r="G170" s="16" t="n">
        <x:f>IF($X170="","",INDEX('sheet2-计算明细'!$K$17:$K$219,$X170))</x:f>
        <x:v>0</x:v>
      </x:c>
      <x:c r="H170" s="16" t="n">
        <x:f>IF($X170="","",INDEX('sheet2-计算明细'!$L$17:$L$219,$X170))</x:f>
        <x:v>100</x:v>
      </x:c>
      <x:c r="I170" s="16" t="n">
        <x:f>IF($X170="","",INDEX('sheet2-计算明细'!$S$17:$S$219,$X170))</x:f>
        <x:v>19.21</x:v>
      </x:c>
      <x:c r="J170" s="16" t="n">
        <x:f>IF($X170="","",INDEX('sheet2-计算明细'!$Y$17:$Y$219,$X170))</x:f>
        <x:v>58.59</x:v>
      </x:c>
      <x:c r="K170" s="16" t="n">
        <x:f>IF($X170="","",INDEX('sheet2-计算明细'!$AC$17:$AC$219,$X170))</x:f>
        <x:v>36.63</x:v>
      </x:c>
      <x:c r="L170" s="16" t="n">
        <x:f>IF($X170="","",INDEX('sheet2-计算明细'!$AI$17:$AI$219,$X170))</x:f>
        <x:v>22.89</x:v>
      </x:c>
      <x:c r="M170" s="16" t="n">
        <x:f>IF($X170="","",INDEX('sheet2-计算明细'!$AK$17:$AK$219,$X170))</x:f>
        <x:v>100</x:v>
      </x:c>
      <x:c r="N170" s="17" t="n">
        <x:f t="shared" si="14">IF(ISNUMBER(INDEX('sheet2-计算明细'!$AL$17:$AL$219,$X170)),INDEX('sheet2-计算明细'!$AL$17:$AL$219,$X170),"")</x:f>
        <x:v>54</x:v>
      </x:c>
      <x:c r="O170" s="17" t="n">
        <x:f t="shared" si="15">IF(ISNUMBER(INDEX('sheet2-计算明细'!$AM$17:$AM$219,$X170)),INDEX('sheet2-计算明细'!$AM$17:$AM$219,$X170),"")</x:f>
        <x:v>31.02</x:v>
      </x:c>
      <x:c r="P170" s="17" t="n">
        <x:f t="shared" si="16">IF(ISNUMBER(INDEX('sheet2-计算明细'!$AN$17:$AN$219,$X170)),INDEX('sheet2-计算明细'!$AN$17:$AN$219,$X170),"")</x:f>
        <x:v>36.63</x:v>
      </x:c>
      <x:c r="Q170" s="17" t="n">
        <x:f t="shared" si="17">IF(ISNUMBER(INDEX('sheet2-计算明细'!$AO$17:$AO$219,$X170)),INDEX('sheet2-计算明细'!$AO$17:$AO$219,$X170),"")</x:f>
        <x:v>22.89</x:v>
      </x:c>
      <x:c r="R170" s="17" t="n">
        <x:f t="shared" si="18">IF(ISNUMBER(INDEX('sheet2-计算明细'!$AP$17:$AP$219,$X170)),INDEX('sheet2-计算明细'!$AP$17:$AP$219,$X170),"")</x:f>
        <x:v>100</x:v>
      </x:c>
      <x:c r="S170" s="18" t="n">
        <x:f>IF($X170="","",INDEX('sheet2-计算明细'!$AQ$17:$AQ$219,$X170))</x:f>
        <x:v>0.88</x:v>
      </x:c>
      <x:c r="T170" s="16" t="n">
        <x:f>IF($X170="","",INDEX('sheet2-计算明细'!$AR$17:$AR$219,$X170))</x:f>
        <x:v>37.582080000000005</x:v>
      </x:c>
      <x:c r="U170" s="17" t="n">
        <x:f t="shared" si="19">IF(S170=0,"",ROUND(T170/S170,2))</x:f>
        <x:v>42.71</x:v>
      </x:c>
      <x:c r="V170" s="17" t="str">
        <x:f t="shared" si="20">IF(ABS(S170-1)&lt;0.00000001,T170,"")</x:f>
      </x:c>
      <x:c r="W170" s="19" t="str">
        <x:f>IF($X170="","",INDEX('sheet2-计算明细'!$AU$17:$AU$219,$X170))</x:f>
        <x:v>DD_long不可识别；</x:v>
      </x:c>
      <x:c r="X170" s="15" t="n">
        <x:f>IF($A170&gt;COUNT('sheet2-计算明细'!$AT$17:$AT$219),"",MATCH($A170,'sheet2-计算明细'!$AT$17:$AT$219,0))</x:f>
        <x:v>31</x:v>
      </x:c>
    </x:row>
    <x:row r="171" ht="28" customHeight="1">
      <x:c r="A171" s="4" t="n">
        <x:v>166</x:v>
      </x:c>
      <x:c r="B171" s="15" t="str">
        <x:f>IF($X171="","",INDEX('sheet2-计算明细'!$B$17:$B$219,$X171))</x:f>
        <x:v>和熙新月1号</x:v>
      </x:c>
      <x:c r="C171" s="15" t="str">
        <x:f>IF($X171="","",INDEX('sheet2-计算明细'!$C$17:$C$219,$X171))</x:f>
        <x:v>SJG287</x:v>
      </x:c>
      <x:c r="D171" s="15" t="str">
        <x:f>IF($X171="","",INDEX('sheet2-计算明细'!$D$17:$D$219,$X171))</x:f>
        <x:v>浙江和熙资管</x:v>
      </x:c>
      <x:c r="E171" s="15" t="str">
        <x:f>IF($X171="","",INDEX('sheet2-计算明细'!$G$17:$G$219,$X171))</x:f>
        <x:v>入池</x:v>
      </x:c>
      <x:c r="F171" s="16" t="n">
        <x:f>IF($X171="","",INDEX('sheet2-计算明细'!$I$17:$I$219,$X171))</x:f>
        <x:v>70</x:v>
      </x:c>
      <x:c r="G171" s="16" t="n">
        <x:f>IF($X171="","",INDEX('sheet2-计算明细'!$K$17:$K$219,$X171))</x:f>
        <x:v>100</x:v>
      </x:c>
      <x:c r="H171" s="16" t="n">
        <x:f>IF($X171="","",INDEX('sheet2-计算明细'!$L$17:$L$219,$X171))</x:f>
        <x:v>100</x:v>
      </x:c>
      <x:c r="I171" s="16" t="n">
        <x:f>IF($X171="","",INDEX('sheet2-计算明细'!$S$17:$S$219,$X171))</x:f>
        <x:v>17.73</x:v>
      </x:c>
      <x:c r="J171" s="16" t="n">
        <x:f>IF($X171="","",INDEX('sheet2-计算明细'!$Y$17:$Y$219,$X171))</x:f>
        <x:v>47.69</x:v>
      </x:c>
      <x:c r="K171" s="16" t="n">
        <x:f>IF($X171="","",INDEX('sheet2-计算明细'!$AC$17:$AC$219,$X171))</x:f>
        <x:v>30.69</x:v>
      </x:c>
      <x:c r="L171" s="16" t="n">
        <x:f>IF($X171="","",INDEX('sheet2-计算明细'!$AI$17:$AI$219,$X171))</x:f>
        <x:v>18.41</x:v>
      </x:c>
      <x:c r="M171" s="16" t="n">
        <x:f>IF($X171="","",INDEX('sheet2-计算明细'!$AK$17:$AK$219,$X171))</x:f>
        <x:v>80</x:v>
      </x:c>
      <x:c r="N171" s="17" t="n">
        <x:f t="shared" si="14">IF(ISNUMBER(INDEX('sheet2-计算明细'!$AL$17:$AL$219,$X171)),INDEX('sheet2-计算明细'!$AL$17:$AL$219,$X171),"")</x:f>
        <x:v>88</x:v>
      </x:c>
      <x:c r="O171" s="17" t="n">
        <x:f t="shared" si="15">IF(ISNUMBER(INDEX('sheet2-计算明细'!$AM$17:$AM$219,$X171)),INDEX('sheet2-计算明细'!$AM$17:$AM$219,$X171),"")</x:f>
        <x:v>26.72</x:v>
      </x:c>
      <x:c r="P171" s="17" t="n">
        <x:f t="shared" si="16">IF(ISNUMBER(INDEX('sheet2-计算明细'!$AN$17:$AN$219,$X171)),INDEX('sheet2-计算明细'!$AN$17:$AN$219,$X171),"")</x:f>
        <x:v>30.69</x:v>
      </x:c>
      <x:c r="Q171" s="17" t="n">
        <x:f t="shared" si="17">IF(ISNUMBER(INDEX('sheet2-计算明细'!$AO$17:$AO$219,$X171)),INDEX('sheet2-计算明细'!$AO$17:$AO$219,$X171),"")</x:f>
        <x:v>18.41</x:v>
      </x:c>
      <x:c r="R171" s="17" t="n">
        <x:f t="shared" si="18">IF(ISNUMBER(INDEX('sheet2-计算明细'!$AP$17:$AP$219,$X171)),INDEX('sheet2-计算明细'!$AP$17:$AP$219,$X171),"")</x:f>
        <x:v>80</x:v>
      </x:c>
      <x:c r="S171" s="18" t="n">
        <x:f>IF($X171="","",INDEX('sheet2-计算明细'!$AQ$17:$AQ$219,$X171))</x:f>
        <x:v>0.88</x:v>
      </x:c>
      <x:c r="T171" s="16" t="n">
        <x:f>IF($X171="","",INDEX('sheet2-计算明细'!$AR$17:$AR$219,$X171))</x:f>
        <x:v>37.529439999999994</x:v>
      </x:c>
      <x:c r="U171" s="17" t="n">
        <x:f t="shared" si="19">IF(S171=0,"",ROUND(T171/S171,2))</x:f>
        <x:v>42.65</x:v>
      </x:c>
      <x:c r="V171" s="17" t="str">
        <x:f t="shared" si="20">IF(ABS(S171-1)&lt;0.00000001,T171,"")</x:f>
      </x:c>
      <x:c r="W171" s="19" t="str">
        <x:f>IF($X171="","",INDEX('sheet2-计算明细'!$AU$17:$AU$219,$X171))</x:f>
        <x:v>DD_long不可识别；</x:v>
      </x:c>
      <x:c r="X171" s="15" t="n">
        <x:f>IF($A171&gt;COUNT('sheet2-计算明细'!$AT$17:$AT$219),"",MATCH($A171,'sheet2-计算明细'!$AT$17:$AT$219,0))</x:f>
        <x:v>15</x:v>
      </x:c>
    </x:row>
    <x:row r="172" ht="28" customHeight="1">
      <x:c r="A172" s="4" t="n">
        <x:v>167</x:v>
      </x:c>
      <x:c r="B172" s="15" t="str">
        <x:f>IF($X172="","",INDEX('sheet2-计算明细'!$B$17:$B$219,$X172))</x:f>
        <x:v>新视野智能量化2号</x:v>
      </x:c>
      <x:c r="C172" s="15" t="str">
        <x:f>IF($X172="","",INDEX('sheet2-计算明细'!$C$17:$C$219,$X172))</x:f>
        <x:v>SR2759</x:v>
      </x:c>
      <x:c r="D172" s="15" t="str">
        <x:f>IF($X172="","",INDEX('sheet2-计算明细'!$D$17:$D$219,$X172))</x:f>
        <x:v>杭州探融投资</x:v>
      </x:c>
      <x:c r="E172" s="15" t="str">
        <x:f>IF($X172="","",INDEX('sheet2-计算明细'!$G$17:$G$219,$X172))</x:f>
        <x:v>入池</x:v>
      </x:c>
      <x:c r="F172" s="16" t="n">
        <x:f>IF($X172="","",INDEX('sheet2-计算明细'!$I$17:$I$219,$X172))</x:f>
        <x:v>60</x:v>
      </x:c>
      <x:c r="G172" s="16" t="n">
        <x:f>IF($X172="","",INDEX('sheet2-计算明细'!$K$17:$K$219,$X172))</x:f>
        <x:v>100</x:v>
      </x:c>
      <x:c r="H172" s="16" t="n">
        <x:f>IF($X172="","",INDEX('sheet2-计算明细'!$L$17:$L$219,$X172))</x:f>
        <x:v>100</x:v>
      </x:c>
      <x:c r="I172" s="16" t="n">
        <x:f>IF($X172="","",INDEX('sheet2-计算明细'!$S$17:$S$219,$X172))</x:f>
        <x:v>19.11</x:v>
      </x:c>
      <x:c r="J172" s="16" t="n">
        <x:f>IF($X172="","",INDEX('sheet2-计算明细'!$Y$17:$Y$219,$X172))</x:f>
        <x:v>48.07</x:v>
      </x:c>
      <x:c r="K172" s="16" t="n">
        <x:f>IF($X172="","",INDEX('sheet2-计算明细'!$AC$17:$AC$219,$X172))</x:f>
        <x:v>42.08</x:v>
      </x:c>
      <x:c r="L172" s="16" t="n">
        <x:f>IF($X172="","",INDEX('sheet2-计算明细'!$AI$17:$AI$219,$X172))</x:f>
        <x:v>18.84</x:v>
      </x:c>
      <x:c r="M172" s="16" t="n">
        <x:f>IF($X172="","",INDEX('sheet2-计算明细'!$AK$17:$AK$219,$X172))</x:f>
        <x:v>80</x:v>
      </x:c>
      <x:c r="N172" s="17" t="n">
        <x:f t="shared" si="14">IF(ISNUMBER(INDEX('sheet2-计算明细'!$AL$17:$AL$219,$X172)),INDEX('sheet2-计算明细'!$AL$17:$AL$219,$X172),"")</x:f>
        <x:v>84</x:v>
      </x:c>
      <x:c r="O172" s="17" t="n">
        <x:f t="shared" si="15">IF(ISNUMBER(INDEX('sheet2-计算明细'!$AM$17:$AM$219,$X172)),INDEX('sheet2-计算明细'!$AM$17:$AM$219,$X172),"")</x:f>
        <x:v>27.8</x:v>
      </x:c>
      <x:c r="P172" s="17" t="n">
        <x:f t="shared" si="16">IF(ISNUMBER(INDEX('sheet2-计算明细'!$AN$17:$AN$219,$X172)),INDEX('sheet2-计算明细'!$AN$17:$AN$219,$X172),"")</x:f>
        <x:v>42.08</x:v>
      </x:c>
      <x:c r="Q172" s="17" t="n">
        <x:f t="shared" si="17">IF(ISNUMBER(INDEX('sheet2-计算明细'!$AO$17:$AO$219,$X172)),INDEX('sheet2-计算明细'!$AO$17:$AO$219,$X172),"")</x:f>
        <x:v>18.84</x:v>
      </x:c>
      <x:c r="R172" s="17" t="n">
        <x:f t="shared" si="18">IF(ISNUMBER(INDEX('sheet2-计算明细'!$AP$17:$AP$219,$X172)),INDEX('sheet2-计算明细'!$AP$17:$AP$219,$X172),"")</x:f>
        <x:v>80</x:v>
      </x:c>
      <x:c r="S172" s="18" t="n">
        <x:f>IF($X172="","",INDEX('sheet2-计算明细'!$AQ$17:$AQ$219,$X172))</x:f>
        <x:v>1</x:v>
      </x:c>
      <x:c r="T172" s="16" t="n">
        <x:f>IF($X172="","",INDEX('sheet2-计算明细'!$AR$17:$AR$219,$X172))</x:f>
        <x:v>42.33091</x:v>
      </x:c>
      <x:c r="U172" s="17" t="n">
        <x:f t="shared" si="19">IF(S172=0,"",ROUND(T172/S172,2))</x:f>
        <x:v>42.33</x:v>
      </x:c>
      <x:c r="V172" s="17" t="n">
        <x:f t="shared" si="20">IF(ABS(S172-1)&lt;0.00000001,T172,"")</x:f>
        <x:v>42.33091</x:v>
      </x:c>
      <x:c r="W172" s="19" t="str">
        <x:f>IF($X172="","",INDEX('sheet2-计算明细'!$AU$17:$AU$219,$X172))</x:f>
      </x:c>
      <x:c r="X172" s="15" t="n">
        <x:f>IF($A172&gt;COUNT('sheet2-计算明细'!$AT$17:$AT$219),"",MATCH($A172,'sheet2-计算明细'!$AT$17:$AT$219,0))</x:f>
        <x:v>1</x:v>
      </x:c>
    </x:row>
    <x:row r="173" ht="28" customHeight="1">
      <x:c r="A173" s="4" t="n">
        <x:v>168</x:v>
      </x:c>
      <x:c r="B173" s="15" t="str">
        <x:f>IF($X173="","",INDEX('sheet2-计算明细'!$B$17:$B$219,$X173))</x:f>
        <x:v>银瓴运通对冲套利进取2号二期</x:v>
      </x:c>
      <x:c r="C173" s="15" t="str">
        <x:f>IF($X173="","",INDEX('sheet2-计算明细'!$C$17:$C$219,$X173))</x:f>
        <x:v>SQZ278</x:v>
      </x:c>
      <x:c r="D173" s="15" t="str">
        <x:f>IF($X173="","",INDEX('sheet2-计算明细'!$D$17:$D$219,$X173))</x:f>
        <x:v>广西银瓴资产</x:v>
      </x:c>
      <x:c r="E173" s="15" t="str">
        <x:f>IF($X173="","",INDEX('sheet2-计算明细'!$G$17:$G$219,$X173))</x:f>
        <x:v>入池</x:v>
      </x:c>
      <x:c r="F173" s="16" t="n">
        <x:f>IF($X173="","",INDEX('sheet2-计算明细'!$I$17:$I$219,$X173))</x:f>
        <x:v>60</x:v>
      </x:c>
      <x:c r="G173" s="16" t="n">
        <x:f>IF($X173="","",INDEX('sheet2-计算明细'!$K$17:$K$219,$X173))</x:f>
        <x:v>0</x:v>
      </x:c>
      <x:c r="H173" s="16" t="n">
        <x:f>IF($X173="","",INDEX('sheet2-计算明细'!$L$17:$L$219,$X173))</x:f>
        <x:v>100</x:v>
      </x:c>
      <x:c r="I173" s="16" t="n">
        <x:f>IF($X173="","",INDEX('sheet2-计算明细'!$S$17:$S$219,$X173))</x:f>
        <x:v>39.11</x:v>
      </x:c>
      <x:c r="J173" s="16" t="n">
        <x:f>IF($X173="","",INDEX('sheet2-计算明细'!$Y$17:$Y$219,$X173))</x:f>
        <x:v>58.97</x:v>
      </x:c>
      <x:c r="K173" s="16" t="n">
        <x:f>IF($X173="","",INDEX('sheet2-计算明细'!$AC$17:$AC$219,$X173))</x:f>
        <x:v>35.15</x:v>
      </x:c>
      <x:c r="L173" s="16" t="n">
        <x:f>IF($X173="","",INDEX('sheet2-计算明细'!$AI$17:$AI$219,$X173))</x:f>
        <x:v>27.52</x:v>
      </x:c>
      <x:c r="M173" s="16" t="n">
        <x:f>IF($X173="","",INDEX('sheet2-计算明细'!$AK$17:$AK$219,$X173))</x:f>
        <x:v>80</x:v>
      </x:c>
      <x:c r="N173" s="17" t="n">
        <x:f t="shared" si="14">IF(ISNUMBER(INDEX('sheet2-计算明细'!$AL$17:$AL$219,$X173)),INDEX('sheet2-计算明细'!$AL$17:$AL$219,$X173),"")</x:f>
        <x:v>54</x:v>
      </x:c>
      <x:c r="O173" s="17" t="n">
        <x:f t="shared" si="15">IF(ISNUMBER(INDEX('sheet2-计算明细'!$AM$17:$AM$219,$X173)),INDEX('sheet2-计算明细'!$AM$17:$AM$219,$X173),"")</x:f>
        <x:v>45.07</x:v>
      </x:c>
      <x:c r="P173" s="17" t="n">
        <x:f t="shared" si="16">IF(ISNUMBER(INDEX('sheet2-计算明细'!$AN$17:$AN$219,$X173)),INDEX('sheet2-计算明细'!$AN$17:$AN$219,$X173),"")</x:f>
        <x:v>35.15</x:v>
      </x:c>
      <x:c r="Q173" s="17" t="n">
        <x:f t="shared" si="17">IF(ISNUMBER(INDEX('sheet2-计算明细'!$AO$17:$AO$219,$X173)),INDEX('sheet2-计算明细'!$AO$17:$AO$219,$X173),"")</x:f>
        <x:v>27.52</x:v>
      </x:c>
      <x:c r="R173" s="17" t="n">
        <x:f t="shared" si="18">IF(ISNUMBER(INDEX('sheet2-计算明细'!$AP$17:$AP$219,$X173)),INDEX('sheet2-计算明细'!$AP$17:$AP$219,$X173),"")</x:f>
        <x:v>80</x:v>
      </x:c>
      <x:c r="S173" s="18" t="n">
        <x:f>IF($X173="","",INDEX('sheet2-计算明细'!$AQ$17:$AQ$219,$X173))</x:f>
        <x:v>1</x:v>
      </x:c>
      <x:c r="T173" s="16" t="n">
        <x:f>IF($X173="","",INDEX('sheet2-计算明细'!$AR$17:$AR$219,$X173))</x:f>
        <x:v>42.15737</x:v>
      </x:c>
      <x:c r="U173" s="17" t="n">
        <x:f t="shared" si="19">IF(S173=0,"",ROUND(T173/S173,2))</x:f>
        <x:v>42.16</x:v>
      </x:c>
      <x:c r="V173" s="17" t="n">
        <x:f t="shared" si="20">IF(ABS(S173-1)&lt;0.00000001,T173,"")</x:f>
        <x:v>42.15737</x:v>
      </x:c>
      <x:c r="W173" s="19" t="str">
        <x:f>IF($X173="","",INDEX('sheet2-计算明细'!$AU$17:$AU$219,$X173))</x:f>
      </x:c>
      <x:c r="X173" s="15" t="n">
        <x:f>IF($A173&gt;COUNT('sheet2-计算明细'!$AT$17:$AT$219),"",MATCH($A173,'sheet2-计算明细'!$AT$17:$AT$219,0))</x:f>
        <x:v>35</x:v>
      </x:c>
    </x:row>
    <x:row r="174" ht="28" customHeight="1">
      <x:c r="A174" s="4" t="n">
        <x:v>169</x:v>
      </x:c>
      <x:c r="B174" s="15" t="str">
        <x:f>IF($X174="","",INDEX('sheet2-计算明细'!$B$17:$B$219,$X174))</x:f>
        <x:v>悬铃成长1号</x:v>
      </x:c>
      <x:c r="C174" s="15" t="str">
        <x:f>IF($X174="","",INDEX('sheet2-计算明细'!$C$17:$C$219,$X174))</x:f>
        <x:v>STP551</x:v>
      </x:c>
      <x:c r="D174" s="15" t="str">
        <x:f>IF($X174="","",INDEX('sheet2-计算明细'!$D$17:$D$219,$X174))</x:f>
        <x:v>上海悬铃</x:v>
      </x:c>
      <x:c r="E174" s="15" t="str">
        <x:f>IF($X174="","",INDEX('sheet2-计算明细'!$G$17:$G$219,$X174))</x:f>
        <x:v>入池</x:v>
      </x:c>
      <x:c r="F174" s="16" t="n">
        <x:f>IF($X174="","",INDEX('sheet2-计算明细'!$I$17:$I$219,$X174))</x:f>
        <x:v>90</x:v>
      </x:c>
      <x:c r="G174" s="16" t="n">
        <x:f>IF($X174="","",INDEX('sheet2-计算明细'!$K$17:$K$219,$X174))</x:f>
        <x:v>0</x:v>
      </x:c>
      <x:c r="H174" s="16" t="n">
        <x:f>IF($X174="","",INDEX('sheet2-计算明细'!$L$17:$L$219,$X174))</x:f>
        <x:v>100</x:v>
      </x:c>
      <x:c r="I174" s="16" t="n">
        <x:f>IF($X174="","",INDEX('sheet2-计算明细'!$S$17:$S$219,$X174))</x:f>
        <x:v>51.39</x:v>
      </x:c>
      <x:c r="J174" s="16" t="n">
        <x:f>IF($X174="","",INDEX('sheet2-计算明细'!$Y$17:$Y$219,$X174))</x:f>
        <x:v>58.97</x:v>
      </x:c>
      <x:c r="K174" s="16" t="n">
        <x:f>IF($X174="","",INDEX('sheet2-计算明细'!$AC$17:$AC$219,$X174))</x:f>
        <x:v>15.84</x:v>
      </x:c>
      <x:c r="L174" s="16" t="n">
        <x:f>IF($X174="","",INDEX('sheet2-计算明细'!$AI$17:$AI$219,$X174))</x:f>
        <x:v>30.68</x:v>
      </x:c>
      <x:c r="M174" s="16" t="n">
        <x:f>IF($X174="","",INDEX('sheet2-计算明细'!$AK$17:$AK$219,$X174))</x:f>
        <x:v>80</x:v>
      </x:c>
      <x:c r="N174" s="17" t="n">
        <x:f t="shared" si="14">IF(ISNUMBER(INDEX('sheet2-计算明细'!$AL$17:$AL$219,$X174)),INDEX('sheet2-计算明细'!$AL$17:$AL$219,$X174),"")</x:f>
        <x:v>66</x:v>
      </x:c>
      <x:c r="O174" s="17" t="n">
        <x:f t="shared" si="15">IF(ISNUMBER(INDEX('sheet2-计算明细'!$AM$17:$AM$219,$X174)),INDEX('sheet2-计算明细'!$AM$17:$AM$219,$X174),"")</x:f>
        <x:v>53.66</x:v>
      </x:c>
      <x:c r="P174" s="17" t="n">
        <x:f t="shared" si="16">IF(ISNUMBER(INDEX('sheet2-计算明细'!$AN$17:$AN$219,$X174)),INDEX('sheet2-计算明细'!$AN$17:$AN$219,$X174),"")</x:f>
        <x:v>15.84</x:v>
      </x:c>
      <x:c r="Q174" s="17" t="n">
        <x:f t="shared" si="17">IF(ISNUMBER(INDEX('sheet2-计算明细'!$AO$17:$AO$219,$X174)),INDEX('sheet2-计算明细'!$AO$17:$AO$219,$X174),"")</x:f>
        <x:v>30.68</x:v>
      </x:c>
      <x:c r="R174" s="17" t="n">
        <x:f t="shared" si="18">IF(ISNUMBER(INDEX('sheet2-计算明细'!$AP$17:$AP$219,$X174)),INDEX('sheet2-计算明细'!$AP$17:$AP$219,$X174),"")</x:f>
        <x:v>80</x:v>
      </x:c>
      <x:c r="S174" s="18" t="n">
        <x:f>IF($X174="","",INDEX('sheet2-计算明细'!$AQ$17:$AQ$219,$X174))</x:f>
        <x:v>1</x:v>
      </x:c>
      <x:c r="T174" s="16" t="n">
        <x:f>IF($X174="","",INDEX('sheet2-计算明细'!$AR$17:$AR$219,$X174))</x:f>
        <x:v>41.79651</x:v>
      </x:c>
      <x:c r="U174" s="17" t="n">
        <x:f t="shared" si="19">IF(S174=0,"",ROUND(T174/S174,2))</x:f>
        <x:v>41.8</x:v>
      </x:c>
      <x:c r="V174" s="17" t="n">
        <x:f t="shared" si="20">IF(ABS(S174-1)&lt;0.00000001,T174,"")</x:f>
        <x:v>41.79651</x:v>
      </x:c>
      <x:c r="W174" s="19" t="str">
        <x:f>IF($X174="","",INDEX('sheet2-计算明细'!$AU$17:$AU$219,$X174))</x:f>
      </x:c>
      <x:c r="X174" s="15" t="n">
        <x:f>IF($A174&gt;COUNT('sheet2-计算明细'!$AT$17:$AT$219),"",MATCH($A174,'sheet2-计算明细'!$AT$17:$AT$219,0))</x:f>
        <x:v>86</x:v>
      </x:c>
    </x:row>
    <x:row r="175" ht="28" customHeight="1">
      <x:c r="A175" s="4" t="n">
        <x:v>170</x:v>
      </x:c>
      <x:c r="B175" s="15" t="str">
        <x:f>IF($X175="","",INDEX('sheet2-计算明细'!$B$17:$B$219,$X175))</x:f>
        <x:v>凡德量化八号</x:v>
      </x:c>
      <x:c r="C175" s="15" t="str">
        <x:f>IF($X175="","",INDEX('sheet2-计算明细'!$C$17:$C$219,$X175))</x:f>
        <x:v>SJS811</x:v>
      </x:c>
      <x:c r="D175" s="15" t="str">
        <x:f>IF($X175="","",INDEX('sheet2-计算明细'!$D$17:$D$219,$X175))</x:f>
        <x:v>广东凡德投资</x:v>
      </x:c>
      <x:c r="E175" s="15" t="str">
        <x:f>IF($X175="","",INDEX('sheet2-计算明细'!$G$17:$G$219,$X175))</x:f>
        <x:v>入池</x:v>
      </x:c>
      <x:c r="F175" s="16" t="n">
        <x:f>IF($X175="","",INDEX('sheet2-计算明细'!$I$17:$I$219,$X175))</x:f>
        <x:v>70</x:v>
      </x:c>
      <x:c r="G175" s="16" t="n">
        <x:f>IF($X175="","",INDEX('sheet2-计算明细'!$K$17:$K$219,$X175))</x:f>
        <x:v>100</x:v>
      </x:c>
      <x:c r="H175" s="16" t="n">
        <x:f>IF($X175="","",INDEX('sheet2-计算明细'!$L$17:$L$219,$X175))</x:f>
        <x:v>100</x:v>
      </x:c>
      <x:c r="I175" s="16" t="n">
        <x:f>IF($X175="","",INDEX('sheet2-计算明细'!$S$17:$S$219,$X175))</x:f>
        <x:v>32.33</x:v>
      </x:c>
      <x:c r="J175" s="16" t="n">
        <x:f>IF($X175="","",INDEX('sheet2-计算明细'!$Y$17:$Y$219,$X175))</x:f>
        <x:v>55.64</x:v>
      </x:c>
      <x:c r="K175" s="16" t="n">
        <x:f>IF($X175="","",INDEX('sheet2-计算明细'!$AC$17:$AC$219,$X175))</x:f>
        <x:v>19.31</x:v>
      </x:c>
      <x:c r="L175" s="16" t="n">
        <x:f>IF($X175="","",INDEX('sheet2-计算明细'!$AI$17:$AI$219,$X175))</x:f>
        <x:v>15.92</x:v>
      </x:c>
      <x:c r="M175" s="16" t="n">
        <x:f>IF($X175="","",INDEX('sheet2-计算明细'!$AK$17:$AK$219,$X175))</x:f>
        <x:v>80</x:v>
      </x:c>
      <x:c r="N175" s="17" t="n">
        <x:f t="shared" si="14">IF(ISNUMBER(INDEX('sheet2-计算明细'!$AL$17:$AL$219,$X175)),INDEX('sheet2-计算明细'!$AL$17:$AL$219,$X175),"")</x:f>
        <x:v>88</x:v>
      </x:c>
      <x:c r="O175" s="17" t="n">
        <x:f t="shared" si="15">IF(ISNUMBER(INDEX('sheet2-计算明细'!$AM$17:$AM$219,$X175)),INDEX('sheet2-计算明细'!$AM$17:$AM$219,$X175),"")</x:f>
        <x:v>39.32</x:v>
      </x:c>
      <x:c r="P175" s="17" t="n">
        <x:f t="shared" si="16">IF(ISNUMBER(INDEX('sheet2-计算明细'!$AN$17:$AN$219,$X175)),INDEX('sheet2-计算明细'!$AN$17:$AN$219,$X175),"")</x:f>
        <x:v>19.31</x:v>
      </x:c>
      <x:c r="Q175" s="17" t="n">
        <x:f t="shared" si="17">IF(ISNUMBER(INDEX('sheet2-计算明细'!$AO$17:$AO$219,$X175)),INDEX('sheet2-计算明细'!$AO$17:$AO$219,$X175),"")</x:f>
        <x:v>15.92</x:v>
      </x:c>
      <x:c r="R175" s="17" t="n">
        <x:f t="shared" si="18">IF(ISNUMBER(INDEX('sheet2-计算明细'!$AP$17:$AP$219,$X175)),INDEX('sheet2-计算明细'!$AP$17:$AP$219,$X175),"")</x:f>
        <x:v>80</x:v>
      </x:c>
      <x:c r="S175" s="18" t="n">
        <x:f>IF($X175="","",INDEX('sheet2-计算明细'!$AQ$17:$AQ$219,$X175))</x:f>
        <x:v>0.88</x:v>
      </x:c>
      <x:c r="T175" s="16" t="n">
        <x:f>IF($X175="","",INDEX('sheet2-计算明细'!$AR$17:$AR$219,$X175))</x:f>
        <x:v>36.75741</x:v>
      </x:c>
      <x:c r="U175" s="17" t="n">
        <x:f t="shared" si="19">IF(S175=0,"",ROUND(T175/S175,2))</x:f>
        <x:v>41.77</x:v>
      </x:c>
      <x:c r="V175" s="17" t="str">
        <x:f t="shared" si="20">IF(ABS(S175-1)&lt;0.00000001,T175,"")</x:f>
      </x:c>
      <x:c r="W175" s="19" t="str">
        <x:f>IF($X175="","",INDEX('sheet2-计算明细'!$AU$17:$AU$219,$X175))</x:f>
        <x:v>DD_long不可识别；</x:v>
      </x:c>
      <x:c r="X175" s="15" t="n">
        <x:f>IF($A175&gt;COUNT('sheet2-计算明细'!$AT$17:$AT$219),"",MATCH($A175,'sheet2-计算明细'!$AT$17:$AT$219,0))</x:f>
        <x:v>18</x:v>
      </x:c>
    </x:row>
    <x:row r="176" ht="28" customHeight="1">
      <x:c r="A176" s="4" t="n">
        <x:v>171</x:v>
      </x:c>
      <x:c r="B176" s="15" t="str">
        <x:f>IF($X176="","",INDEX('sheet2-计算明细'!$B$17:$B$219,$X176))</x:f>
        <x:v>悬铃尊享CTA8号</x:v>
      </x:c>
      <x:c r="C176" s="15" t="str">
        <x:f>IF($X176="","",INDEX('sheet2-计算明细'!$C$17:$C$219,$X176))</x:f>
        <x:v>STW103</x:v>
      </x:c>
      <x:c r="D176" s="15" t="str">
        <x:f>IF($X176="","",INDEX('sheet2-计算明细'!$D$17:$D$219,$X176))</x:f>
        <x:v>上海悬铃</x:v>
      </x:c>
      <x:c r="E176" s="15" t="str">
        <x:f>IF($X176="","",INDEX('sheet2-计算明细'!$G$17:$G$219,$X176))</x:f>
        <x:v>入池</x:v>
      </x:c>
      <x:c r="F176" s="16" t="n">
        <x:f>IF($X176="","",INDEX('sheet2-计算明细'!$I$17:$I$219,$X176))</x:f>
        <x:v>90</x:v>
      </x:c>
      <x:c r="G176" s="16" t="n">
        <x:f>IF($X176="","",INDEX('sheet2-计算明细'!$K$17:$K$219,$X176))</x:f>
        <x:v>100</x:v>
      </x:c>
      <x:c r="H176" s="16" t="n">
        <x:f>IF($X176="","",INDEX('sheet2-计算明细'!$L$17:$L$219,$X176))</x:f>
        <x:v>100</x:v>
      </x:c>
      <x:c r="I176" s="16" t="n">
        <x:f>IF($X176="","",INDEX('sheet2-计算明细'!$S$17:$S$219,$X176))</x:f>
        <x:v>33.27</x:v>
      </x:c>
      <x:c r="J176" s="16" t="n">
        <x:f>IF($X176="","",INDEX('sheet2-计算明细'!$Y$17:$Y$219,$X176))</x:f>
        <x:v>54.74</x:v>
      </x:c>
      <x:c r="K176" s="16" t="n">
        <x:f>IF($X176="","",INDEX('sheet2-计算明细'!$AC$17:$AC$219,$X176))</x:f>
        <x:v>22.28</x:v>
      </x:c>
      <x:c r="L176" s="16" t="n">
        <x:f>IF($X176="","",INDEX('sheet2-计算明细'!$AI$17:$AI$219,$X176))</x:f>
        <x:v>17.88</x:v>
      </x:c>
      <x:c r="M176" s="16" t="n">
        <x:f>IF($X176="","",INDEX('sheet2-计算明细'!$AK$17:$AK$219,$X176))</x:f>
        <x:v>80</x:v>
      </x:c>
      <x:c r="N176" s="17" t="n">
        <x:f t="shared" si="14">IF(ISNUMBER(INDEX('sheet2-计算明细'!$AL$17:$AL$219,$X176)),INDEX('sheet2-计算明细'!$AL$17:$AL$219,$X176),"")</x:f>
        <x:v>96</x:v>
      </x:c>
      <x:c r="O176" s="17" t="n">
        <x:f t="shared" si="15">IF(ISNUMBER(INDEX('sheet2-计算明细'!$AM$17:$AM$219,$X176)),INDEX('sheet2-计算明细'!$AM$17:$AM$219,$X176),"")</x:f>
        <x:v>39.71</x:v>
      </x:c>
      <x:c r="P176" s="17" t="n">
        <x:f t="shared" si="16">IF(ISNUMBER(INDEX('sheet2-计算明细'!$AN$17:$AN$219,$X176)),INDEX('sheet2-计算明细'!$AN$17:$AN$219,$X176),"")</x:f>
        <x:v>22.28</x:v>
      </x:c>
      <x:c r="Q176" s="17" t="n">
        <x:f t="shared" si="17">IF(ISNUMBER(INDEX('sheet2-计算明细'!$AO$17:$AO$219,$X176)),INDEX('sheet2-计算明细'!$AO$17:$AO$219,$X176),"")</x:f>
        <x:v>17.88</x:v>
      </x:c>
      <x:c r="R176" s="17" t="n">
        <x:f t="shared" si="18">IF(ISNUMBER(INDEX('sheet2-计算明细'!$AP$17:$AP$219,$X176)),INDEX('sheet2-计算明细'!$AP$17:$AP$219,$X176),"")</x:f>
        <x:v>80</x:v>
      </x:c>
      <x:c r="S176" s="18" t="n">
        <x:f>IF($X176="","",INDEX('sheet2-计算明细'!$AQ$17:$AQ$219,$X176))</x:f>
        <x:v>1</x:v>
      </x:c>
      <x:c r="T176" s="16" t="n">
        <x:f>IF($X176="","",INDEX('sheet2-计算明细'!$AR$17:$AR$219,$X176))</x:f>
        <x:v>41.27624</x:v>
      </x:c>
      <x:c r="U176" s="17" t="n">
        <x:f t="shared" si="19">IF(S176=0,"",ROUND(T176/S176,2))</x:f>
        <x:v>41.28</x:v>
      </x:c>
      <x:c r="V176" s="17" t="n">
        <x:f t="shared" si="20">IF(ABS(S176-1)&lt;0.00000001,T176,"")</x:f>
        <x:v>41.27624</x:v>
      </x:c>
      <x:c r="W176" s="19" t="str">
        <x:f>IF($X176="","",INDEX('sheet2-计算明细'!$AU$17:$AU$219,$X176))</x:f>
      </x:c>
      <x:c r="X176" s="15" t="n">
        <x:f>IF($A176&gt;COUNT('sheet2-计算明细'!$AT$17:$AT$219),"",MATCH($A176,'sheet2-计算明细'!$AT$17:$AT$219,0))</x:f>
        <x:v>145</x:v>
      </x:c>
    </x:row>
    <x:row r="177" ht="28" customHeight="1">
      <x:c r="A177" s="4" t="n">
        <x:v>172</x:v>
      </x:c>
      <x:c r="B177" s="15" t="str">
        <x:f>IF($X177="","",INDEX('sheet2-计算明细'!$B$17:$B$219,$X177))</x:f>
        <x:v>冲和稳健增长一号</x:v>
      </x:c>
      <x:c r="C177" s="15" t="str">
        <x:f>IF($X177="","",INDEX('sheet2-计算明细'!$C$17:$C$219,$X177))</x:f>
        <x:v>SEW918</x:v>
      </x:c>
      <x:c r="D177" s="15" t="str">
        <x:f>IF($X177="","",INDEX('sheet2-计算明细'!$D$17:$D$219,$X177))</x:f>
        <x:v>北京冲和资管</x:v>
      </x:c>
      <x:c r="E177" s="15" t="str">
        <x:f>IF($X177="","",INDEX('sheet2-计算明细'!$G$17:$G$219,$X177))</x:f>
        <x:v>入池</x:v>
      </x:c>
      <x:c r="F177" s="16" t="n">
        <x:f>IF($X177="","",INDEX('sheet2-计算明细'!$I$17:$I$219,$X177))</x:f>
        <x:v>60</x:v>
      </x:c>
      <x:c r="G177" s="16" t="n">
        <x:f>IF($X177="","",INDEX('sheet2-计算明细'!$K$17:$K$219,$X177))</x:f>
        <x:v>100</x:v>
      </x:c>
      <x:c r="H177" s="16" t="n">
        <x:f>IF($X177="","",INDEX('sheet2-计算明细'!$L$17:$L$219,$X177))</x:f>
        <x:v>100</x:v>
      </x:c>
      <x:c r="I177" s="16" t="n">
        <x:f>IF($X177="","",INDEX('sheet2-计算明细'!$S$17:$S$219,$X177))</x:f>
        <x:v>32.08</x:v>
      </x:c>
      <x:c r="J177" s="16" t="n">
        <x:f>IF($X177="","",INDEX('sheet2-计算明细'!$Y$17:$Y$219,$X177))</x:f>
        <x:v>73.21</x:v>
      </x:c>
      <x:c r="K177" s="16" t="n">
        <x:f>IF($X177="","",INDEX('sheet2-计算明细'!$AC$17:$AC$219,$X177))</x:f>
        <x:v>7.43</x:v>
      </x:c>
      <x:c r="L177" s="16" t="n">
        <x:f>IF($X177="","",INDEX('sheet2-计算明细'!$AI$17:$AI$219,$X177))</x:f>
        <x:v>25.6</x:v>
      </x:c>
      <x:c r="M177" s="16" t="n">
        <x:f>IF($X177="","",INDEX('sheet2-计算明细'!$AK$17:$AK$219,$X177))</x:f>
        <x:v>100</x:v>
      </x:c>
      <x:c r="N177" s="17" t="n">
        <x:f t="shared" si="14">IF(ISNUMBER(INDEX('sheet2-计算明细'!$AL$17:$AL$219,$X177)),INDEX('sheet2-计算明细'!$AL$17:$AL$219,$X177),"")</x:f>
        <x:v>84</x:v>
      </x:c>
      <x:c r="O177" s="17" t="n">
        <x:f t="shared" si="15">IF(ISNUMBER(INDEX('sheet2-计算明细'!$AM$17:$AM$219,$X177)),INDEX('sheet2-计算明细'!$AM$17:$AM$219,$X177),"")</x:f>
        <x:v>44.42</x:v>
      </x:c>
      <x:c r="P177" s="17" t="n">
        <x:f t="shared" si="16">IF(ISNUMBER(INDEX('sheet2-计算明细'!$AN$17:$AN$219,$X177)),INDEX('sheet2-计算明细'!$AN$17:$AN$219,$X177),"")</x:f>
        <x:v>7.43</x:v>
      </x:c>
      <x:c r="Q177" s="17" t="n">
        <x:f t="shared" si="17">IF(ISNUMBER(INDEX('sheet2-计算明细'!$AO$17:$AO$219,$X177)),INDEX('sheet2-计算明细'!$AO$17:$AO$219,$X177),"")</x:f>
        <x:v>25.6</x:v>
      </x:c>
      <x:c r="R177" s="17" t="n">
        <x:f t="shared" si="18">IF(ISNUMBER(INDEX('sheet2-计算明细'!$AP$17:$AP$219,$X177)),INDEX('sheet2-计算明细'!$AP$17:$AP$219,$X177),"")</x:f>
        <x:v>100</x:v>
      </x:c>
      <x:c r="S177" s="18" t="n">
        <x:f>IF($X177="","",INDEX('sheet2-计算明细'!$AQ$17:$AQ$219,$X177))</x:f>
        <x:v>1</x:v>
      </x:c>
      <x:c r="T177" s="16" t="n">
        <x:f>IF($X177="","",INDEX('sheet2-计算明细'!$AR$17:$AR$219,$X177))</x:f>
        <x:v>41.020270000000004</x:v>
      </x:c>
      <x:c r="U177" s="17" t="n">
        <x:f t="shared" si="19">IF(S177=0,"",ROUND(T177/S177,2))</x:f>
        <x:v>41.02</x:v>
      </x:c>
      <x:c r="V177" s="17" t="n">
        <x:f t="shared" si="20">IF(ABS(S177-1)&lt;0.00000001,T177,"")</x:f>
        <x:v>41.020270000000004</x:v>
      </x:c>
      <x:c r="W177" s="19" t="str">
        <x:f>IF($X177="","",INDEX('sheet2-计算明细'!$AU$17:$AU$219,$X177))</x:f>
      </x:c>
      <x:c r="X177" s="15" t="n">
        <x:f>IF($A177&gt;COUNT('sheet2-计算明细'!$AT$17:$AT$219),"",MATCH($A177,'sheet2-计算明细'!$AT$17:$AT$219,0))</x:f>
        <x:v>116</x:v>
      </x:c>
    </x:row>
    <x:row r="178" ht="28" customHeight="1">
      <x:c r="A178" s="4" t="n">
        <x:v>173</x:v>
      </x:c>
      <x:c r="B178" s="15" t="str">
        <x:f>IF($X178="","",INDEX('sheet2-计算明细'!$B$17:$B$219,$X178))</x:f>
        <x:v>鹿秀呦呦1号</x:v>
      </x:c>
      <x:c r="C178" s="15" t="str">
        <x:f>IF($X178="","",INDEX('sheet2-计算明细'!$C$17:$C$219,$X178))</x:f>
        <x:v>SVY067</x:v>
      </x:c>
      <x:c r="D178" s="15" t="str">
        <x:f>IF($X178="","",INDEX('sheet2-计算明细'!$D$17:$D$219,$X178))</x:f>
        <x:v>青岛鹿秀投资</x:v>
      </x:c>
      <x:c r="E178" s="15" t="str">
        <x:f>IF($X178="","",INDEX('sheet2-计算明细'!$G$17:$G$219,$X178))</x:f>
        <x:v>入池</x:v>
      </x:c>
      <x:c r="F178" s="16" t="n">
        <x:f>IF($X178="","",INDEX('sheet2-计算明细'!$I$17:$I$219,$X178))</x:f>
        <x:v>90</x:v>
      </x:c>
      <x:c r="G178" s="16" t="n">
        <x:f>IF($X178="","",INDEX('sheet2-计算明细'!$K$17:$K$219,$X178))</x:f>
        <x:v>100</x:v>
      </x:c>
      <x:c r="H178" s="16" t="n">
        <x:f>IF($X178="","",INDEX('sheet2-计算明细'!$L$17:$L$219,$X178))</x:f>
        <x:v>100</x:v>
      </x:c>
      <x:c r="I178" s="16" t="n">
        <x:f>IF($X178="","",INDEX('sheet2-计算明细'!$S$17:$S$219,$X178))</x:f>
        <x:v>48.62</x:v>
      </x:c>
      <x:c r="J178" s="16" t="n">
        <x:f>IF($X178="","",INDEX('sheet2-计算明细'!$Y$17:$Y$219,$X178))</x:f>
        <x:v>63.21</x:v>
      </x:c>
      <x:c r="K178" s="16" t="n">
        <x:f>IF($X178="","",INDEX('sheet2-计算明细'!$AC$17:$AC$219,$X178))</x:f>
        <x:v>2.48</x:v>
      </x:c>
      <x:c r="L178" s="16" t="n">
        <x:f>IF($X178="","",INDEX('sheet2-计算明细'!$AI$17:$AI$219,$X178))</x:f>
        <x:v>30.01</x:v>
      </x:c>
      <x:c r="M178" s="16" t="n">
        <x:f>IF($X178="","",INDEX('sheet2-计算明细'!$AK$17:$AK$219,$X178))</x:f>
        <x:v>60</x:v>
      </x:c>
      <x:c r="N178" s="17" t="n">
        <x:f t="shared" si="14">IF(ISNUMBER(INDEX('sheet2-计算明细'!$AL$17:$AL$219,$X178)),INDEX('sheet2-计算明细'!$AL$17:$AL$219,$X178),"")</x:f>
        <x:v>96</x:v>
      </x:c>
      <x:c r="O178" s="17" t="n">
        <x:f t="shared" si="15">IF(ISNUMBER(INDEX('sheet2-计算明细'!$AM$17:$AM$219,$X178)),INDEX('sheet2-计算明细'!$AM$17:$AM$219,$X178),"")</x:f>
        <x:v>52.99</x:v>
      </x:c>
      <x:c r="P178" s="17" t="n">
        <x:f t="shared" si="16">IF(ISNUMBER(INDEX('sheet2-计算明细'!$AN$17:$AN$219,$X178)),INDEX('sheet2-计算明细'!$AN$17:$AN$219,$X178),"")</x:f>
        <x:v>2.48</x:v>
      </x:c>
      <x:c r="Q178" s="17" t="n">
        <x:f t="shared" si="17">IF(ISNUMBER(INDEX('sheet2-计算明细'!$AO$17:$AO$219,$X178)),INDEX('sheet2-计算明细'!$AO$17:$AO$219,$X178),"")</x:f>
        <x:v>30.01</x:v>
      </x:c>
      <x:c r="R178" s="17" t="n">
        <x:f t="shared" si="18">IF(ISNUMBER(INDEX('sheet2-计算明细'!$AP$17:$AP$219,$X178)),INDEX('sheet2-计算明细'!$AP$17:$AP$219,$X178),"")</x:f>
        <x:v>60</x:v>
      </x:c>
      <x:c r="S178" s="18" t="n">
        <x:f>IF($X178="","",INDEX('sheet2-计算明细'!$AQ$17:$AQ$219,$X178))</x:f>
        <x:v>1</x:v>
      </x:c>
      <x:c r="T178" s="16" t="n">
        <x:f>IF($X178="","",INDEX('sheet2-计算明细'!$AR$17:$AR$219,$X178))</x:f>
        <x:v>40.62155</x:v>
      </x:c>
      <x:c r="U178" s="17" t="n">
        <x:f t="shared" si="19">IF(S178=0,"",ROUND(T178/S178,2))</x:f>
        <x:v>40.62</x:v>
      </x:c>
      <x:c r="V178" s="17" t="n">
        <x:f t="shared" si="20">IF(ABS(S178-1)&lt;0.00000001,T178,"")</x:f>
        <x:v>40.62155</x:v>
      </x:c>
      <x:c r="W178" s="19" t="str">
        <x:f>IF($X178="","",INDEX('sheet2-计算明细'!$AU$17:$AU$219,$X178))</x:f>
      </x:c>
      <x:c r="X178" s="15" t="n">
        <x:f>IF($A178&gt;COUNT('sheet2-计算明细'!$AT$17:$AT$219),"",MATCH($A178,'sheet2-计算明细'!$AT$17:$AT$219,0))</x:f>
        <x:v>150</x:v>
      </x:c>
    </x:row>
    <x:row r="179" ht="28" customHeight="1">
      <x:c r="A179" s="4" t="n">
        <x:v>174</x:v>
      </x:c>
      <x:c r="B179" s="15" t="str">
        <x:f>IF($X179="","",INDEX('sheet2-计算明细'!$B$17:$B$219,$X179))</x:f>
        <x:v>和熙新月1号A类</x:v>
      </x:c>
      <x:c r="C179" s="15" t="str">
        <x:f>IF($X179="","",INDEX('sheet2-计算明细'!$C$17:$C$219,$X179))</x:f>
        <x:v>JG287A</x:v>
      </x:c>
      <x:c r="D179" s="15" t="str">
        <x:f>IF($X179="","",INDEX('sheet2-计算明细'!$D$17:$D$219,$X179))</x:f>
        <x:v>浙江和熙资管</x:v>
      </x:c>
      <x:c r="E179" s="15" t="str">
        <x:f>IF($X179="","",INDEX('sheet2-计算明细'!$G$17:$G$219,$X179))</x:f>
        <x:v>入池</x:v>
      </x:c>
      <x:c r="F179" s="16" t="n">
        <x:f>IF($X179="","",INDEX('sheet2-计算明细'!$I$17:$I$219,$X179))</x:f>
        <x:v>70</x:v>
      </x:c>
      <x:c r="G179" s="16" t="str">
        <x:f>IF($X179="","",INDEX('sheet2-计算明细'!$K$17:$K$219,$X179))</x:f>
      </x:c>
      <x:c r="H179" s="16" t="n">
        <x:f>IF($X179="","",INDEX('sheet2-计算明细'!$L$17:$L$219,$X179))</x:f>
        <x:v>100</x:v>
      </x:c>
      <x:c r="I179" s="16" t="n">
        <x:f>IF($X179="","",INDEX('sheet2-计算明细'!$S$17:$S$219,$X179))</x:f>
        <x:v>18.22</x:v>
      </x:c>
      <x:c r="J179" s="16" t="n">
        <x:f>IF($X179="","",INDEX('sheet2-计算明细'!$Y$17:$Y$219,$X179))</x:f>
        <x:v>49.36</x:v>
      </x:c>
      <x:c r="K179" s="16" t="n">
        <x:f>IF($X179="","",INDEX('sheet2-计算明细'!$AC$17:$AC$219,$X179))</x:f>
        <x:v>31.68</x:v>
      </x:c>
      <x:c r="L179" s="16" t="n">
        <x:f>IF($X179="","",INDEX('sheet2-计算明细'!$AI$17:$AI$219,$X179))</x:f>
        <x:v>18.91</x:v>
      </x:c>
      <x:c r="M179" s="16" t="n">
        <x:f>IF($X179="","",INDEX('sheet2-计算明细'!$AK$17:$AK$219,$X179))</x:f>
        <x:v>80</x:v>
      </x:c>
      <x:c r="N179" s="17" t="n">
        <x:f t="shared" si="14">IF(ISNUMBER(INDEX('sheet2-计算明细'!$AL$17:$AL$219,$X179)),INDEX('sheet2-计算明细'!$AL$17:$AL$219,$X179),"")</x:f>
        <x:v>82.86</x:v>
      </x:c>
      <x:c r="O179" s="17" t="n">
        <x:f t="shared" si="15">IF(ISNUMBER(INDEX('sheet2-计算明细'!$AM$17:$AM$219,$X179)),INDEX('sheet2-计算明细'!$AM$17:$AM$219,$X179),"")</x:f>
        <x:v>27.56</x:v>
      </x:c>
      <x:c r="P179" s="17" t="n">
        <x:f t="shared" si="16">IF(ISNUMBER(INDEX('sheet2-计算明细'!$AN$17:$AN$219,$X179)),INDEX('sheet2-计算明细'!$AN$17:$AN$219,$X179),"")</x:f>
        <x:v>31.68</x:v>
      </x:c>
      <x:c r="Q179" s="17" t="n">
        <x:f t="shared" si="17">IF(ISNUMBER(INDEX('sheet2-计算明细'!$AO$17:$AO$219,$X179)),INDEX('sheet2-计算明细'!$AO$17:$AO$219,$X179),"")</x:f>
        <x:v>18.91</x:v>
      </x:c>
      <x:c r="R179" s="17" t="n">
        <x:f t="shared" si="18">IF(ISNUMBER(INDEX('sheet2-计算明细'!$AP$17:$AP$219,$X179)),INDEX('sheet2-计算明细'!$AP$17:$AP$219,$X179),"")</x:f>
        <x:v>80</x:v>
      </x:c>
      <x:c r="S179" s="18" t="n">
        <x:f>IF($X179="","",INDEX('sheet2-计算明细'!$AQ$17:$AQ$219,$X179))</x:f>
        <x:v>0.8350000000000001</x:v>
      </x:c>
      <x:c r="T179" s="16" t="n">
        <x:f>IF($X179="","",INDEX('sheet2-计算明细'!$AR$17:$AR$219,$X179))</x:f>
        <x:v>33.53544</x:v>
      </x:c>
      <x:c r="U179" s="17" t="n">
        <x:f t="shared" si="19">IF(S179=0,"",ROUND(T179/S179,2))</x:f>
        <x:v>40.16</x:v>
      </x:c>
      <x:c r="V179" s="17" t="str">
        <x:f t="shared" si="20">IF(ABS(S179-1)&lt;0.00000001,T179,"")</x:f>
      </x:c>
      <x:c r="W179" s="19" t="str">
        <x:f>IF($X179="","",INDEX('sheet2-计算明细'!$AU$17:$AU$219,$X179))</x:f>
        <x:v>产品规模标识；DD_long不可识别；</x:v>
      </x:c>
      <x:c r="X179" s="15" t="n">
        <x:f>IF($A179&gt;COUNT('sheet2-计算明细'!$AT$17:$AT$219),"",MATCH($A179,'sheet2-计算明细'!$AT$17:$AT$219,0))</x:f>
        <x:v>200</x:v>
      </x:c>
    </x:row>
    <x:row r="180" ht="28" customHeight="1">
      <x:c r="A180" s="4" t="n">
        <x:v>175</x:v>
      </x:c>
      <x:c r="B180" s="15" t="str">
        <x:f>IF($X180="","",INDEX('sheet2-计算明细'!$B$17:$B$219,$X180))</x:f>
        <x:v>银杏善投1号</x:v>
      </x:c>
      <x:c r="C180" s="15" t="str">
        <x:f>IF($X180="","",INDEX('sheet2-计算明细'!$C$17:$C$219,$X180))</x:f>
        <x:v>STK219</x:v>
      </x:c>
      <x:c r="D180" s="15" t="str">
        <x:f>IF($X180="","",INDEX('sheet2-计算明细'!$D$17:$D$219,$X180))</x:f>
        <x:v>上海银杏</x:v>
      </x:c>
      <x:c r="E180" s="15" t="str">
        <x:f>IF($X180="","",INDEX('sheet2-计算明细'!$G$17:$G$219,$X180))</x:f>
        <x:v>入池</x:v>
      </x:c>
      <x:c r="F180" s="16" t="n">
        <x:f>IF($X180="","",INDEX('sheet2-计算明细'!$I$17:$I$219,$X180))</x:f>
        <x:v>60</x:v>
      </x:c>
      <x:c r="G180" s="16" t="n">
        <x:f>IF($X180="","",INDEX('sheet2-计算明细'!$K$17:$K$219,$X180))</x:f>
        <x:v>100</x:v>
      </x:c>
      <x:c r="H180" s="16" t="n">
        <x:f>IF($X180="","",INDEX('sheet2-计算明细'!$L$17:$L$219,$X180))</x:f>
        <x:v>100</x:v>
      </x:c>
      <x:c r="I180" s="16" t="n">
        <x:f>IF($X180="","",INDEX('sheet2-计算明细'!$S$17:$S$219,$X180))</x:f>
        <x:v>32.77</x:v>
      </x:c>
      <x:c r="J180" s="16" t="n">
        <x:f>IF($X180="","",INDEX('sheet2-计算明细'!$Y$17:$Y$219,$X180))</x:f>
        <x:v>66.92</x:v>
      </x:c>
      <x:c r="K180" s="16" t="n">
        <x:f>IF($X180="","",INDEX('sheet2-计算明细'!$AC$17:$AC$219,$X180))</x:f>
        <x:v>9.9</x:v>
      </x:c>
      <x:c r="L180" s="16" t="n">
        <x:f>IF($X180="","",INDEX('sheet2-计算明细'!$AI$17:$AI$219,$X180))</x:f>
        <x:v>19.9</x:v>
      </x:c>
      <x:c r="M180" s="16" t="n">
        <x:f>IF($X180="","",INDEX('sheet2-计算明细'!$AK$17:$AK$219,$X180))</x:f>
        <x:v>80</x:v>
      </x:c>
      <x:c r="N180" s="17" t="n">
        <x:f t="shared" si="14">IF(ISNUMBER(INDEX('sheet2-计算明细'!$AL$17:$AL$219,$X180)),INDEX('sheet2-计算明细'!$AL$17:$AL$219,$X180),"")</x:f>
        <x:v>84</x:v>
      </x:c>
      <x:c r="O180" s="17" t="n">
        <x:f t="shared" si="15">IF(ISNUMBER(INDEX('sheet2-计算明细'!$AM$17:$AM$219,$X180)),INDEX('sheet2-计算明细'!$AM$17:$AM$219,$X180),"")</x:f>
        <x:v>43.02</x:v>
      </x:c>
      <x:c r="P180" s="17" t="n">
        <x:f t="shared" si="16">IF(ISNUMBER(INDEX('sheet2-计算明细'!$AN$17:$AN$219,$X180)),INDEX('sheet2-计算明细'!$AN$17:$AN$219,$X180),"")</x:f>
        <x:v>9.9</x:v>
      </x:c>
      <x:c r="Q180" s="17" t="n">
        <x:f t="shared" si="17">IF(ISNUMBER(INDEX('sheet2-计算明细'!$AO$17:$AO$219,$X180)),INDEX('sheet2-计算明细'!$AO$17:$AO$219,$X180),"")</x:f>
        <x:v>19.9</x:v>
      </x:c>
      <x:c r="R180" s="17" t="n">
        <x:f t="shared" si="18">IF(ISNUMBER(INDEX('sheet2-计算明细'!$AP$17:$AP$219,$X180)),INDEX('sheet2-计算明细'!$AP$17:$AP$219,$X180),"")</x:f>
        <x:v>80</x:v>
      </x:c>
      <x:c r="S180" s="18" t="n">
        <x:f>IF($X180="","",INDEX('sheet2-计算明细'!$AQ$17:$AQ$219,$X180))</x:f>
        <x:v>0.88</x:v>
      </x:c>
      <x:c r="T180" s="16" t="n">
        <x:f>IF($X180="","",INDEX('sheet2-计算明细'!$AR$17:$AR$219,$X180))</x:f>
        <x:v>35.260490000000004</x:v>
      </x:c>
      <x:c r="U180" s="17" t="n">
        <x:f t="shared" si="19">IF(S180=0,"",ROUND(T180/S180,2))</x:f>
        <x:v>40.07</x:v>
      </x:c>
      <x:c r="V180" s="17" t="str">
        <x:f t="shared" si="20">IF(ABS(S180-1)&lt;0.00000001,T180,"")</x:f>
      </x:c>
      <x:c r="W180" s="19" t="str">
        <x:f>IF($X180="","",INDEX('sheet2-计算明细'!$AU$17:$AU$219,$X180))</x:f>
        <x:v>DD_long不可识别；</x:v>
      </x:c>
      <x:c r="X180" s="15" t="n">
        <x:f>IF($A180&gt;COUNT('sheet2-计算明细'!$AT$17:$AT$219),"",MATCH($A180,'sheet2-计算明细'!$AT$17:$AT$219,0))</x:f>
        <x:v>44</x:v>
      </x:c>
    </x:row>
    <x:row r="181" ht="28" customHeight="1">
      <x:c r="A181" s="4" t="n">
        <x:v>176</x:v>
      </x:c>
      <x:c r="B181" s="15" t="str">
        <x:f>IF($X181="","",INDEX('sheet2-计算明细'!$B$17:$B$219,$X181))</x:f>
        <x:v>恒立卓越1号</x:v>
      </x:c>
      <x:c r="C181" s="15" t="str">
        <x:f>IF($X181="","",INDEX('sheet2-计算明细'!$C$17:$C$219,$X181))</x:f>
        <x:v>SZF893</x:v>
      </x:c>
      <x:c r="D181" s="15" t="str">
        <x:f>IF($X181="","",INDEX('sheet2-计算明细'!$D$17:$D$219,$X181))</x:f>
        <x:v>海南恒立</x:v>
      </x:c>
      <x:c r="E181" s="15" t="str">
        <x:f>IF($X181="","",INDEX('sheet2-计算明细'!$G$17:$G$219,$X181))</x:f>
        <x:v>入池</x:v>
      </x:c>
      <x:c r="F181" s="16" t="n">
        <x:f>IF($X181="","",INDEX('sheet2-计算明细'!$I$17:$I$219,$X181))</x:f>
        <x:v>70</x:v>
      </x:c>
      <x:c r="G181" s="16" t="n">
        <x:f>IF($X181="","",INDEX('sheet2-计算明细'!$K$17:$K$219,$X181))</x:f>
        <x:v>100</x:v>
      </x:c>
      <x:c r="H181" s="16" t="n">
        <x:f>IF($X181="","",INDEX('sheet2-计算明细'!$L$17:$L$219,$X181))</x:f>
        <x:v>100</x:v>
      </x:c>
      <x:c r="I181" s="16" t="n">
        <x:f>IF($X181="","",INDEX('sheet2-计算明细'!$S$17:$S$219,$X181))</x:f>
        <x:v>44.75</x:v>
      </x:c>
      <x:c r="J181" s="16" t="n">
        <x:f>IF($X181="","",INDEX('sheet2-计算明细'!$Y$17:$Y$219,$X181))</x:f>
        <x:v>53.97</x:v>
      </x:c>
      <x:c r="K181" s="16" t="n">
        <x:f>IF($X181="","",INDEX('sheet2-计算明细'!$AC$17:$AC$219,$X181))</x:f>
        <x:v>18.32</x:v>
      </x:c>
      <x:c r="L181" s="16" t="n">
        <x:f>IF($X181="","",INDEX('sheet2-计算明细'!$AI$17:$AI$219,$X181))</x:f>
        <x:v>10.45</x:v>
      </x:c>
      <x:c r="M181" s="16" t="n">
        <x:f>IF($X181="","",INDEX('sheet2-计算明细'!$AK$17:$AK$219,$X181))</x:f>
        <x:v>60</x:v>
      </x:c>
      <x:c r="N181" s="17" t="n">
        <x:f t="shared" si="14">IF(ISNUMBER(INDEX('sheet2-计算明细'!$AL$17:$AL$219,$X181)),INDEX('sheet2-计算明细'!$AL$17:$AL$219,$X181),"")</x:f>
        <x:v>88</x:v>
      </x:c>
      <x:c r="O181" s="17" t="n">
        <x:f t="shared" si="15">IF(ISNUMBER(INDEX('sheet2-计算明细'!$AM$17:$AM$219,$X181)),INDEX('sheet2-计算明细'!$AM$17:$AM$219,$X181),"")</x:f>
        <x:v>47.52</x:v>
      </x:c>
      <x:c r="P181" s="17" t="n">
        <x:f t="shared" si="16">IF(ISNUMBER(INDEX('sheet2-计算明细'!$AN$17:$AN$219,$X181)),INDEX('sheet2-计算明细'!$AN$17:$AN$219,$X181),"")</x:f>
        <x:v>18.32</x:v>
      </x:c>
      <x:c r="Q181" s="17" t="n">
        <x:f t="shared" si="17">IF(ISNUMBER(INDEX('sheet2-计算明细'!$AO$17:$AO$219,$X181)),INDEX('sheet2-计算明细'!$AO$17:$AO$219,$X181),"")</x:f>
        <x:v>10.45</x:v>
      </x:c>
      <x:c r="R181" s="17" t="n">
        <x:f t="shared" si="18">IF(ISNUMBER(INDEX('sheet2-计算明细'!$AP$17:$AP$219,$X181)),INDEX('sheet2-计算明细'!$AP$17:$AP$219,$X181),"")</x:f>
        <x:v>60</x:v>
      </x:c>
      <x:c r="S181" s="18" t="n">
        <x:f>IF($X181="","",INDEX('sheet2-计算明细'!$AQ$17:$AQ$219,$X181))</x:f>
        <x:v>0.88</x:v>
      </x:c>
      <x:c r="T181" s="16" t="n">
        <x:f>IF($X181="","",INDEX('sheet2-计算明细'!$AR$17:$AR$219,$X181))</x:f>
        <x:v>35.1644</x:v>
      </x:c>
      <x:c r="U181" s="17" t="n">
        <x:f t="shared" si="19">IF(S181=0,"",ROUND(T181/S181,2))</x:f>
        <x:v>39.96</x:v>
      </x:c>
      <x:c r="V181" s="17" t="str">
        <x:f t="shared" si="20">IF(ABS(S181-1)&lt;0.00000001,T181,"")</x:f>
      </x:c>
      <x:c r="W181" s="19" t="str">
        <x:f>IF($X181="","",INDEX('sheet2-计算明细'!$AU$17:$AU$219,$X181))</x:f>
        <x:v>DD_long不可识别；</x:v>
      </x:c>
      <x:c r="X181" s="15" t="n">
        <x:f>IF($A181&gt;COUNT('sheet2-计算明细'!$AT$17:$AT$219),"",MATCH($A181,'sheet2-计算明细'!$AT$17:$AT$219,0))</x:f>
        <x:v>176</x:v>
      </x:c>
    </x:row>
    <x:row r="182" ht="28" customHeight="1">
      <x:c r="A182" s="4" t="n">
        <x:v>177</x:v>
      </x:c>
      <x:c r="B182" s="15" t="str">
        <x:f>IF($X182="","",INDEX('sheet2-计算明细'!$B$17:$B$219,$X182))</x:f>
        <x:v>悬铃稳健1号</x:v>
      </x:c>
      <x:c r="C182" s="15" t="str">
        <x:f>IF($X182="","",INDEX('sheet2-计算明细'!$C$17:$C$219,$X182))</x:f>
        <x:v>SVB806</x:v>
      </x:c>
      <x:c r="D182" s="15" t="str">
        <x:f>IF($X182="","",INDEX('sheet2-计算明细'!$D$17:$D$219,$X182))</x:f>
        <x:v>上海悬铃</x:v>
      </x:c>
      <x:c r="E182" s="15" t="str">
        <x:f>IF($X182="","",INDEX('sheet2-计算明细'!$G$17:$G$219,$X182))</x:f>
        <x:v>入池</x:v>
      </x:c>
      <x:c r="F182" s="16" t="n">
        <x:f>IF($X182="","",INDEX('sheet2-计算明细'!$I$17:$I$219,$X182))</x:f>
        <x:v>90</x:v>
      </x:c>
      <x:c r="G182" s="16" t="n">
        <x:f>IF($X182="","",INDEX('sheet2-计算明细'!$K$17:$K$219,$X182))</x:f>
        <x:v>0</x:v>
      </x:c>
      <x:c r="H182" s="16" t="n">
        <x:f>IF($X182="","",INDEX('sheet2-计算明细'!$L$17:$L$219,$X182))</x:f>
        <x:v>100</x:v>
      </x:c>
      <x:c r="I182" s="16" t="n">
        <x:f>IF($X182="","",INDEX('sheet2-计算明细'!$S$17:$S$219,$X182))</x:f>
        <x:v>31.29</x:v>
      </x:c>
      <x:c r="J182" s="16" t="n">
        <x:f>IF($X182="","",INDEX('sheet2-计算明细'!$Y$17:$Y$219,$X182))</x:f>
        <x:v>52.69</x:v>
      </x:c>
      <x:c r="K182" s="16" t="n">
        <x:f>IF($X182="","",INDEX('sheet2-计算明细'!$AC$17:$AC$219,$X182))</x:f>
        <x:v>32.67</x:v>
      </x:c>
      <x:c r="L182" s="16" t="n">
        <x:f>IF($X182="","",INDEX('sheet2-计算明细'!$AI$17:$AI$219,$X182))</x:f>
        <x:v>20.39</x:v>
      </x:c>
      <x:c r="M182" s="16" t="n">
        <x:f>IF($X182="","",INDEX('sheet2-计算明细'!$AK$17:$AK$219,$X182))</x:f>
        <x:v>80</x:v>
      </x:c>
      <x:c r="N182" s="17" t="n">
        <x:f t="shared" si="14">IF(ISNUMBER(INDEX('sheet2-计算明细'!$AL$17:$AL$219,$X182)),INDEX('sheet2-计算明细'!$AL$17:$AL$219,$X182),"")</x:f>
        <x:v>66</x:v>
      </x:c>
      <x:c r="O182" s="17" t="n">
        <x:f t="shared" si="15">IF(ISNUMBER(INDEX('sheet2-计算明细'!$AM$17:$AM$219,$X182)),INDEX('sheet2-计算明细'!$AM$17:$AM$219,$X182),"")</x:f>
        <x:v>37.71</x:v>
      </x:c>
      <x:c r="P182" s="17" t="n">
        <x:f t="shared" si="16">IF(ISNUMBER(INDEX('sheet2-计算明细'!$AN$17:$AN$219,$X182)),INDEX('sheet2-计算明细'!$AN$17:$AN$219,$X182),"")</x:f>
        <x:v>32.67</x:v>
      </x:c>
      <x:c r="Q182" s="17" t="n">
        <x:f t="shared" si="17">IF(ISNUMBER(INDEX('sheet2-计算明细'!$AO$17:$AO$219,$X182)),INDEX('sheet2-计算明细'!$AO$17:$AO$219,$X182),"")</x:f>
        <x:v>20.39</x:v>
      </x:c>
      <x:c r="R182" s="17" t="n">
        <x:f t="shared" si="18">IF(ISNUMBER(INDEX('sheet2-计算明细'!$AP$17:$AP$219,$X182)),INDEX('sheet2-计算明细'!$AP$17:$AP$219,$X182),"")</x:f>
        <x:v>80</x:v>
      </x:c>
      <x:c r="S182" s="18" t="n">
        <x:f>IF($X182="","",INDEX('sheet2-计算明细'!$AQ$17:$AQ$219,$X182))</x:f>
        <x:v>1</x:v>
      </x:c>
      <x:c r="T182" s="16" t="n">
        <x:f>IF($X182="","",INDEX('sheet2-计算明细'!$AR$17:$AR$219,$X182))</x:f>
        <x:v>39.727309999999996</x:v>
      </x:c>
      <x:c r="U182" s="17" t="n">
        <x:f t="shared" si="19">IF(S182=0,"",ROUND(T182/S182,2))</x:f>
        <x:v>39.73</x:v>
      </x:c>
      <x:c r="V182" s="17" t="n">
        <x:f t="shared" si="20">IF(ABS(S182-1)&lt;0.00000001,T182,"")</x:f>
        <x:v>39.727309999999996</x:v>
      </x:c>
      <x:c r="W182" s="19" t="str">
        <x:f>IF($X182="","",INDEX('sheet2-计算明细'!$AU$17:$AU$219,$X182))</x:f>
      </x:c>
      <x:c r="X182" s="15" t="n">
        <x:f>IF($A182&gt;COUNT('sheet2-计算明细'!$AT$17:$AT$219),"",MATCH($A182,'sheet2-计算明细'!$AT$17:$AT$219,0))</x:f>
        <x:v>81</x:v>
      </x:c>
    </x:row>
    <x:row r="183" ht="28" customHeight="1">
      <x:c r="A183" s="4" t="n">
        <x:v>178</x:v>
      </x:c>
      <x:c r="B183" s="15" t="str">
        <x:f>IF($X183="","",INDEX('sheet2-计算明细'!$B$17:$B$219,$X183))</x:f>
        <x:v>多打粮磬晟</x:v>
      </x:c>
      <x:c r="C183" s="15" t="str">
        <x:f>IF($X183="","",INDEX('sheet2-计算明细'!$C$17:$C$219,$X183))</x:f>
        <x:v>SNF235</x:v>
      </x:c>
      <x:c r="D183" s="15" t="str">
        <x:f>IF($X183="","",INDEX('sheet2-计算明细'!$D$17:$D$219,$X183))</x:f>
        <x:v>上海磬晟</x:v>
      </x:c>
      <x:c r="E183" s="15" t="str">
        <x:f>IF($X183="","",INDEX('sheet2-计算明细'!$G$17:$G$219,$X183))</x:f>
        <x:v>入池</x:v>
      </x:c>
      <x:c r="F183" s="16" t="n">
        <x:f>IF($X183="","",INDEX('sheet2-计算明细'!$I$17:$I$219,$X183))</x:f>
        <x:v>70</x:v>
      </x:c>
      <x:c r="G183" s="16" t="n">
        <x:f>IF($X183="","",INDEX('sheet2-计算明细'!$K$17:$K$219,$X183))</x:f>
        <x:v>100</x:v>
      </x:c>
      <x:c r="H183" s="16" t="n">
        <x:f>IF($X183="","",INDEX('sheet2-计算明细'!$L$17:$L$219,$X183))</x:f>
        <x:v>100</x:v>
      </x:c>
      <x:c r="I183" s="16" t="n">
        <x:f>IF($X183="","",INDEX('sheet2-计算明细'!$S$17:$S$219,$X183))</x:f>
        <x:v>12.97</x:v>
      </x:c>
      <x:c r="J183" s="16" t="n">
        <x:f>IF($X183="","",INDEX('sheet2-计算明细'!$Y$17:$Y$219,$X183))</x:f>
        <x:v>56.92</x:v>
      </x:c>
      <x:c r="K183" s="16" t="n">
        <x:f>IF($X183="","",INDEX('sheet2-计算明细'!$AC$17:$AC$219,$X183))</x:f>
        <x:v>22.77</x:v>
      </x:c>
      <x:c r="L183" s="16" t="n">
        <x:f>IF($X183="","",INDEX('sheet2-计算明细'!$AI$17:$AI$219,$X183))</x:f>
        <x:v>12.22</x:v>
      </x:c>
      <x:c r="M183" s="16" t="n">
        <x:f>IF($X183="","",INDEX('sheet2-计算明细'!$AK$17:$AK$219,$X183))</x:f>
        <x:v>100</x:v>
      </x:c>
      <x:c r="N183" s="17" t="n">
        <x:f t="shared" si="14">IF(ISNUMBER(INDEX('sheet2-计算明细'!$AL$17:$AL$219,$X183)),INDEX('sheet2-计算明细'!$AL$17:$AL$219,$X183),"")</x:f>
        <x:v>88</x:v>
      </x:c>
      <x:c r="O183" s="17" t="n">
        <x:f t="shared" si="15">IF(ISNUMBER(INDEX('sheet2-计算明细'!$AM$17:$AM$219,$X183)),INDEX('sheet2-计算明细'!$AM$17:$AM$219,$X183),"")</x:f>
        <x:v>26.16</x:v>
      </x:c>
      <x:c r="P183" s="17" t="n">
        <x:f t="shared" si="16">IF(ISNUMBER(INDEX('sheet2-计算明细'!$AN$17:$AN$219,$X183)),INDEX('sheet2-计算明细'!$AN$17:$AN$219,$X183),"")</x:f>
        <x:v>22.77</x:v>
      </x:c>
      <x:c r="Q183" s="17" t="n">
        <x:f t="shared" si="17">IF(ISNUMBER(INDEX('sheet2-计算明细'!$AO$17:$AO$219,$X183)),INDEX('sheet2-计算明细'!$AO$17:$AO$219,$X183),"")</x:f>
        <x:v>12.22</x:v>
      </x:c>
      <x:c r="R183" s="17" t="n">
        <x:f t="shared" si="18">IF(ISNUMBER(INDEX('sheet2-计算明细'!$AP$17:$AP$219,$X183)),INDEX('sheet2-计算明细'!$AP$17:$AP$219,$X183),"")</x:f>
        <x:v>100</x:v>
      </x:c>
      <x:c r="S183" s="18" t="n">
        <x:f>IF($X183="","",INDEX('sheet2-计算明细'!$AQ$17:$AQ$219,$X183))</x:f>
        <x:v>1</x:v>
      </x:c>
      <x:c r="T183" s="16" t="n">
        <x:f>IF($X183="","",INDEX('sheet2-计算明细'!$AR$17:$AR$219,$X183))</x:f>
        <x:v>37.79133</x:v>
      </x:c>
      <x:c r="U183" s="17" t="n">
        <x:f t="shared" si="19">IF(S183=0,"",ROUND(T183/S183,2))</x:f>
        <x:v>37.79</x:v>
      </x:c>
      <x:c r="V183" s="17" t="n">
        <x:f t="shared" si="20">IF(ABS(S183-1)&lt;0.00000001,T183,"")</x:f>
        <x:v>37.79133</x:v>
      </x:c>
      <x:c r="W183" s="19" t="str">
        <x:f>IF($X183="","",INDEX('sheet2-计算明细'!$AU$17:$AU$219,$X183))</x:f>
      </x:c>
      <x:c r="X183" s="15" t="n">
        <x:f>IF($A183&gt;COUNT('sheet2-计算明细'!$AT$17:$AT$219),"",MATCH($A183,'sheet2-计算明细'!$AT$17:$AT$219,0))</x:f>
        <x:v>134</x:v>
      </x:c>
    </x:row>
    <x:row r="184" ht="28" customHeight="1">
      <x:c r="A184" s="4" t="n">
        <x:v>179</x:v>
      </x:c>
      <x:c r="B184" s="15" t="str">
        <x:f>IF($X184="","",INDEX('sheet2-计算明细'!$B$17:$B$219,$X184))</x:f>
        <x:v>中安鼎盛善行可转债1号</x:v>
      </x:c>
      <x:c r="C184" s="15" t="str">
        <x:f>IF($X184="","",INDEX('sheet2-计算明细'!$C$17:$C$219,$X184))</x:f>
        <x:v>STH005</x:v>
      </x:c>
      <x:c r="D184" s="15" t="str">
        <x:f>IF($X184="","",INDEX('sheet2-计算明细'!$D$17:$D$219,$X184))</x:f>
        <x:v>深圳中安鼎盛</x:v>
      </x:c>
      <x:c r="E184" s="15" t="str">
        <x:f>IF($X184="","",INDEX('sheet2-计算明细'!$G$17:$G$219,$X184))</x:f>
        <x:v>入池</x:v>
      </x:c>
      <x:c r="F184" s="16" t="n">
        <x:f>IF($X184="","",INDEX('sheet2-计算明细'!$I$17:$I$219,$X184))</x:f>
        <x:v>60</x:v>
      </x:c>
      <x:c r="G184" s="16" t="n">
        <x:f>IF($X184="","",INDEX('sheet2-计算明细'!$K$17:$K$219,$X184))</x:f>
        <x:v>100</x:v>
      </x:c>
      <x:c r="H184" s="16" t="n">
        <x:f>IF($X184="","",INDEX('sheet2-计算明细'!$L$17:$L$219,$X184))</x:f>
        <x:v>100</x:v>
      </x:c>
      <x:c r="I184" s="16" t="n">
        <x:f>IF($X184="","",INDEX('sheet2-计算明细'!$S$17:$S$219,$X184))</x:f>
        <x:v>25.45</x:v>
      </x:c>
      <x:c r="J184" s="16" t="n">
        <x:f>IF($X184="","",INDEX('sheet2-计算明细'!$Y$17:$Y$219,$X184))</x:f>
        <x:v>41.8</x:v>
      </x:c>
      <x:c r="K184" s="16" t="n">
        <x:f>IF($X184="","",INDEX('sheet2-计算明细'!$AC$17:$AC$219,$X184))</x:f>
        <x:v>25.25</x:v>
      </x:c>
      <x:c r="L184" s="16" t="n">
        <x:f>IF($X184="","",INDEX('sheet2-计算明细'!$AI$17:$AI$219,$X184))</x:f>
        <x:v>10.56</x:v>
      </x:c>
      <x:c r="M184" s="16" t="n">
        <x:f>IF($X184="","",INDEX('sheet2-计算明细'!$AK$17:$AK$219,$X184))</x:f>
        <x:v>80</x:v>
      </x:c>
      <x:c r="N184" s="17" t="n">
        <x:f t="shared" si="14">IF(ISNUMBER(INDEX('sheet2-计算明细'!$AL$17:$AL$219,$X184)),INDEX('sheet2-计算明细'!$AL$17:$AL$219,$X184),"")</x:f>
        <x:v>84</x:v>
      </x:c>
      <x:c r="O184" s="17" t="n">
        <x:f t="shared" si="15">IF(ISNUMBER(INDEX('sheet2-计算明细'!$AM$17:$AM$219,$X184)),INDEX('sheet2-计算明细'!$AM$17:$AM$219,$X184),"")</x:f>
        <x:v>30.35</x:v>
      </x:c>
      <x:c r="P184" s="17" t="n">
        <x:f t="shared" si="16">IF(ISNUMBER(INDEX('sheet2-计算明细'!$AN$17:$AN$219,$X184)),INDEX('sheet2-计算明细'!$AN$17:$AN$219,$X184),"")</x:f>
        <x:v>25.25</x:v>
      </x:c>
      <x:c r="Q184" s="17" t="n">
        <x:f t="shared" si="17">IF(ISNUMBER(INDEX('sheet2-计算明细'!$AO$17:$AO$219,$X184)),INDEX('sheet2-计算明细'!$AO$17:$AO$219,$X184),"")</x:f>
        <x:v>10.56</x:v>
      </x:c>
      <x:c r="R184" s="17" t="n">
        <x:f t="shared" si="18">IF(ISNUMBER(INDEX('sheet2-计算明细'!$AP$17:$AP$219,$X184)),INDEX('sheet2-计算明细'!$AP$17:$AP$219,$X184),"")</x:f>
        <x:v>80</x:v>
      </x:c>
      <x:c r="S184" s="18" t="n">
        <x:f>IF($X184="","",INDEX('sheet2-计算明细'!$AQ$17:$AQ$219,$X184))</x:f>
        <x:v>1</x:v>
      </x:c>
      <x:c r="T184" s="16" t="n">
        <x:f>IF($X184="","",INDEX('sheet2-计算明细'!$AR$17:$AR$219,$X184))</x:f>
        <x:v>36.15006</x:v>
      </x:c>
      <x:c r="U184" s="17" t="n">
        <x:f t="shared" si="19">IF(S184=0,"",ROUND(T184/S184,2))</x:f>
        <x:v>36.15</x:v>
      </x:c>
      <x:c r="V184" s="17" t="n">
        <x:f t="shared" si="20">IF(ABS(S184-1)&lt;0.00000001,T184,"")</x:f>
        <x:v>36.15006</x:v>
      </x:c>
      <x:c r="W184" s="19" t="str">
        <x:f>IF($X184="","",INDEX('sheet2-计算明细'!$AU$17:$AU$219,$X184))</x:f>
      </x:c>
      <x:c r="X184" s="15" t="n">
        <x:f>IF($A184&gt;COUNT('sheet2-计算明细'!$AT$17:$AT$219),"",MATCH($A184,'sheet2-计算明细'!$AT$17:$AT$219,0))</x:f>
        <x:v>41</x:v>
      </x:c>
    </x:row>
    <x:row r="185" ht="28" customHeight="1">
      <x:c r="A185" s="4" t="n">
        <x:v>180</x:v>
      </x:c>
      <x:c r="B185" s="15" t="str">
        <x:f>IF($X185="","",INDEX('sheet2-计算明细'!$B$17:$B$219,$X185))</x:f>
        <x:v>悬铃C号2期</x:v>
      </x:c>
      <x:c r="C185" s="15" t="str">
        <x:f>IF($X185="","",INDEX('sheet2-计算明细'!$C$17:$C$219,$X185))</x:f>
        <x:v>SGH303</x:v>
      </x:c>
      <x:c r="D185" s="15" t="str">
        <x:f>IF($X185="","",INDEX('sheet2-计算明细'!$D$17:$D$219,$X185))</x:f>
        <x:v>上海悬铃</x:v>
      </x:c>
      <x:c r="E185" s="15" t="str">
        <x:f>IF($X185="","",INDEX('sheet2-计算明细'!$G$17:$G$219,$X185))</x:f>
        <x:v>入池</x:v>
      </x:c>
      <x:c r="F185" s="16" t="n">
        <x:f>IF($X185="","",INDEX('sheet2-计算明细'!$I$17:$I$219,$X185))</x:f>
        <x:v>90</x:v>
      </x:c>
      <x:c r="G185" s="16" t="n">
        <x:f>IF($X185="","",INDEX('sheet2-计算明细'!$K$17:$K$219,$X185))</x:f>
        <x:v>100</x:v>
      </x:c>
      <x:c r="H185" s="16" t="n">
        <x:f>IF($X185="","",INDEX('sheet2-计算明细'!$L$17:$L$219,$X185))</x:f>
        <x:v>100</x:v>
      </x:c>
      <x:c r="I185" s="16" t="n">
        <x:f>IF($X185="","",INDEX('sheet2-计算明细'!$S$17:$S$219,$X185))</x:f>
        <x:v>27.82</x:v>
      </x:c>
      <x:c r="J185" s="16" t="n">
        <x:f>IF($X185="","",INDEX('sheet2-计算明细'!$Y$17:$Y$219,$X185))</x:f>
        <x:v>46.8</x:v>
      </x:c>
      <x:c r="K185" s="16" t="n">
        <x:f>IF($X185="","",INDEX('sheet2-计算明细'!$AC$17:$AC$219,$X185))</x:f>
        <x:v>17.82</x:v>
      </x:c>
      <x:c r="L185" s="16" t="n">
        <x:f>IF($X185="","",INDEX('sheet2-计算明细'!$AI$17:$AI$219,$X185))</x:f>
        <x:v>8.18</x:v>
      </x:c>
      <x:c r="M185" s="16" t="n">
        <x:f>IF($X185="","",INDEX('sheet2-计算明细'!$AK$17:$AK$219,$X185))</x:f>
        <x:v>80</x:v>
      </x:c>
      <x:c r="N185" s="17" t="n">
        <x:f t="shared" si="14">IF(ISNUMBER(INDEX('sheet2-计算明细'!$AL$17:$AL$219,$X185)),INDEX('sheet2-计算明细'!$AL$17:$AL$219,$X185),"")</x:f>
        <x:v>96</x:v>
      </x:c>
      <x:c r="O185" s="17" t="n">
        <x:f t="shared" si="15">IF(ISNUMBER(INDEX('sheet2-计算明细'!$AM$17:$AM$219,$X185)),INDEX('sheet2-计算明细'!$AM$17:$AM$219,$X185),"")</x:f>
        <x:v>33.52</x:v>
      </x:c>
      <x:c r="P185" s="17" t="n">
        <x:f t="shared" si="16">IF(ISNUMBER(INDEX('sheet2-计算明细'!$AN$17:$AN$219,$X185)),INDEX('sheet2-计算明细'!$AN$17:$AN$219,$X185),"")</x:f>
        <x:v>17.82</x:v>
      </x:c>
      <x:c r="Q185" s="17" t="n">
        <x:f t="shared" si="17">IF(ISNUMBER(INDEX('sheet2-计算明细'!$AO$17:$AO$219,$X185)),INDEX('sheet2-计算明细'!$AO$17:$AO$219,$X185),"")</x:f>
        <x:v>8.18</x:v>
      </x:c>
      <x:c r="R185" s="17" t="n">
        <x:f t="shared" si="18">IF(ISNUMBER(INDEX('sheet2-计算明细'!$AP$17:$AP$219,$X185)),INDEX('sheet2-计算明细'!$AP$17:$AP$219,$X185),"")</x:f>
        <x:v>80</x:v>
      </x:c>
      <x:c r="S185" s="18" t="n">
        <x:f>IF($X185="","",INDEX('sheet2-计算明细'!$AQ$17:$AQ$219,$X185))</x:f>
        <x:v>1</x:v>
      </x:c>
      <x:c r="T185" s="16" t="n">
        <x:f>IF($X185="","",INDEX('sheet2-计算明细'!$AR$17:$AR$219,$X185))</x:f>
        <x:v>36.01098999999999</x:v>
      </x:c>
      <x:c r="U185" s="17" t="n">
        <x:f t="shared" si="19">IF(S185=0,"",ROUND(T185/S185,2))</x:f>
        <x:v>36.01</x:v>
      </x:c>
      <x:c r="V185" s="17" t="n">
        <x:f t="shared" si="20">IF(ABS(S185-1)&lt;0.00000001,T185,"")</x:f>
        <x:v>36.01098999999999</x:v>
      </x:c>
      <x:c r="W185" s="19" t="str">
        <x:f>IF($X185="","",INDEX('sheet2-计算明细'!$AU$17:$AU$219,$X185))</x:f>
      </x:c>
      <x:c r="X185" s="15" t="n">
        <x:f>IF($A185&gt;COUNT('sheet2-计算明细'!$AT$17:$AT$219),"",MATCH($A185,'sheet2-计算明细'!$AT$17:$AT$219,0))</x:f>
        <x:v>10</x:v>
      </x:c>
    </x:row>
    <x:row r="186" ht="28" customHeight="1">
      <x:c r="A186" s="4" t="n">
        <x:v>181</x:v>
      </x:c>
      <x:c r="B186" s="15" t="str">
        <x:f>IF($X186="","",INDEX('sheet2-计算明细'!$B$17:$B$219,$X186))</x:f>
        <x:v>东玛多策略稳健1号</x:v>
      </x:c>
      <x:c r="C186" s="15" t="str">
        <x:f>IF($X186="","",INDEX('sheet2-计算明细'!$C$17:$C$219,$X186))</x:f>
        <x:v>SVG441</x:v>
      </x:c>
      <x:c r="D186" s="15" t="str">
        <x:f>IF($X186="","",INDEX('sheet2-计算明细'!$D$17:$D$219,$X186))</x:f>
        <x:v>宁波东玛</x:v>
      </x:c>
      <x:c r="E186" s="15" t="str">
        <x:f>IF($X186="","",INDEX('sheet2-计算明细'!$G$17:$G$219,$X186))</x:f>
        <x:v>入池</x:v>
      </x:c>
      <x:c r="F186" s="16" t="n">
        <x:f>IF($X186="","",INDEX('sheet2-计算明细'!$I$17:$I$219,$X186))</x:f>
        <x:v>70</x:v>
      </x:c>
      <x:c r="G186" s="16" t="n">
        <x:f>IF($X186="","",INDEX('sheet2-计算明细'!$K$17:$K$219,$X186))</x:f>
        <x:v>100</x:v>
      </x:c>
      <x:c r="H186" s="16" t="n">
        <x:f>IF($X186="","",INDEX('sheet2-计算明细'!$L$17:$L$219,$X186))</x:f>
        <x:v>100</x:v>
      </x:c>
      <x:c r="I186" s="16" t="n">
        <x:f>IF($X186="","",INDEX('sheet2-计算明细'!$S$17:$S$219,$X186))</x:f>
        <x:v>33.17</x:v>
      </x:c>
      <x:c r="J186" s="16" t="n">
        <x:f>IF($X186="","",INDEX('sheet2-计算明细'!$Y$17:$Y$219,$X186))</x:f>
        <x:v>40.13</x:v>
      </x:c>
      <x:c r="K186" s="16" t="n">
        <x:f>IF($X186="","",INDEX('sheet2-计算明细'!$AC$17:$AC$219,$X186))</x:f>
        <x:v>11.39</x:v>
      </x:c>
      <x:c r="L186" s="16" t="n">
        <x:f>IF($X186="","",INDEX('sheet2-计算明细'!$AI$17:$AI$219,$X186))</x:f>
        <x:v>2.49</x:v>
      </x:c>
      <x:c r="M186" s="16" t="n">
        <x:f>IF($X186="","",INDEX('sheet2-计算明细'!$AK$17:$AK$219,$X186))</x:f>
        <x:v>80</x:v>
      </x:c>
      <x:c r="N186" s="17" t="n">
        <x:f t="shared" si="14">IF(ISNUMBER(INDEX('sheet2-计算明细'!$AL$17:$AL$219,$X186)),INDEX('sheet2-计算明细'!$AL$17:$AL$219,$X186),"")</x:f>
        <x:v>88</x:v>
      </x:c>
      <x:c r="O186" s="17" t="n">
        <x:f t="shared" si="15">IF(ISNUMBER(INDEX('sheet2-计算明细'!$AM$17:$AM$219,$X186)),INDEX('sheet2-计算明细'!$AM$17:$AM$219,$X186),"")</x:f>
        <x:v>35.26</x:v>
      </x:c>
      <x:c r="P186" s="17" t="n">
        <x:f t="shared" si="16">IF(ISNUMBER(INDEX('sheet2-计算明细'!$AN$17:$AN$219,$X186)),INDEX('sheet2-计算明细'!$AN$17:$AN$219,$X186),"")</x:f>
        <x:v>11.39</x:v>
      </x:c>
      <x:c r="Q186" s="17" t="n">
        <x:f t="shared" si="17">IF(ISNUMBER(INDEX('sheet2-计算明细'!$AO$17:$AO$219,$X186)),INDEX('sheet2-计算明细'!$AO$17:$AO$219,$X186),"")</x:f>
        <x:v>2.49</x:v>
      </x:c>
      <x:c r="R186" s="17" t="n">
        <x:f t="shared" si="18">IF(ISNUMBER(INDEX('sheet2-计算明细'!$AP$17:$AP$219,$X186)),INDEX('sheet2-计算明细'!$AP$17:$AP$219,$X186),"")</x:f>
        <x:v>80</x:v>
      </x:c>
      <x:c r="S186" s="18" t="n">
        <x:f>IF($X186="","",INDEX('sheet2-计算明细'!$AQ$17:$AQ$219,$X186))</x:f>
        <x:v>0.88</x:v>
      </x:c>
      <x:c r="T186" s="16" t="n">
        <x:f>IF($X186="","",INDEX('sheet2-计算明细'!$AR$17:$AR$219,$X186))</x:f>
        <x:v>31.547359999999998</x:v>
      </x:c>
      <x:c r="U186" s="17" t="n">
        <x:f t="shared" si="19">IF(S186=0,"",ROUND(T186/S186,2))</x:f>
        <x:v>35.85</x:v>
      </x:c>
      <x:c r="V186" s="17" t="str">
        <x:f t="shared" si="20">IF(ABS(S186-1)&lt;0.00000001,T186,"")</x:f>
      </x:c>
      <x:c r="W186" s="19" t="str">
        <x:f>IF($X186="","",INDEX('sheet2-计算明细'!$AU$17:$AU$219,$X186))</x:f>
        <x:v>DD_long不可识别；</x:v>
      </x:c>
      <x:c r="X186" s="15" t="n">
        <x:f>IF($A186&gt;COUNT('sheet2-计算明细'!$AT$17:$AT$219),"",MATCH($A186,'sheet2-计算明细'!$AT$17:$AT$219,0))</x:f>
        <x:v>147</x:v>
      </x:c>
    </x:row>
    <x:row r="187" ht="28" customHeight="1">
      <x:c r="A187" s="4" t="n">
        <x:v>182</x:v>
      </x:c>
      <x:c r="B187" s="15" t="str">
        <x:f>IF($X187="","",INDEX('sheet2-计算明细'!$B$17:$B$219,$X187))</x:f>
        <x:v>磬晟启晟1号</x:v>
      </x:c>
      <x:c r="C187" s="15" t="str">
        <x:f>IF($X187="","",INDEX('sheet2-计算明细'!$C$17:$C$219,$X187))</x:f>
        <x:v>SCB058</x:v>
      </x:c>
      <x:c r="D187" s="15" t="str">
        <x:f>IF($X187="","",INDEX('sheet2-计算明细'!$D$17:$D$219,$X187))</x:f>
        <x:v>上海磬晟</x:v>
      </x:c>
      <x:c r="E187" s="15" t="str">
        <x:f>IF($X187="","",INDEX('sheet2-计算明细'!$G$17:$G$219,$X187))</x:f>
        <x:v>入池</x:v>
      </x:c>
      <x:c r="F187" s="16" t="n">
        <x:f>IF($X187="","",INDEX('sheet2-计算明细'!$I$17:$I$219,$X187))</x:f>
        <x:v>70</x:v>
      </x:c>
      <x:c r="G187" s="16" t="n">
        <x:f>IF($X187="","",INDEX('sheet2-计算明细'!$K$17:$K$219,$X187))</x:f>
        <x:v>100</x:v>
      </x:c>
      <x:c r="H187" s="16" t="n">
        <x:f>IF($X187="","",INDEX('sheet2-计算明细'!$L$17:$L$219,$X187))</x:f>
        <x:v>100</x:v>
      </x:c>
      <x:c r="I187" s="16" t="n">
        <x:f>IF($X187="","",INDEX('sheet2-计算明细'!$S$17:$S$219,$X187))</x:f>
        <x:v>10.79</x:v>
      </x:c>
      <x:c r="J187" s="16" t="n">
        <x:f>IF($X187="","",INDEX('sheet2-计算明细'!$Y$17:$Y$219,$X187))</x:f>
        <x:v>51.93</x:v>
      </x:c>
      <x:c r="K187" s="16" t="n">
        <x:f>IF($X187="","",INDEX('sheet2-计算明细'!$AC$17:$AC$219,$X187))</x:f>
        <x:v>25.74</x:v>
      </x:c>
      <x:c r="L187" s="16" t="n">
        <x:f>IF($X187="","",INDEX('sheet2-计算明细'!$AI$17:$AI$219,$X187))</x:f>
        <x:v>11.27</x:v>
      </x:c>
      <x:c r="M187" s="16" t="n">
        <x:f>IF($X187="","",INDEX('sheet2-计算明细'!$AK$17:$AK$219,$X187))</x:f>
        <x:v>80</x:v>
      </x:c>
      <x:c r="N187" s="17" t="n">
        <x:f t="shared" si="14">IF(ISNUMBER(INDEX('sheet2-计算明细'!$AL$17:$AL$219,$X187)),INDEX('sheet2-计算明细'!$AL$17:$AL$219,$X187),"")</x:f>
        <x:v>88</x:v>
      </x:c>
      <x:c r="O187" s="17" t="n">
        <x:f t="shared" si="15">IF(ISNUMBER(INDEX('sheet2-计算明细'!$AM$17:$AM$219,$X187)),INDEX('sheet2-计算明细'!$AM$17:$AM$219,$X187),"")</x:f>
        <x:v>23.13</x:v>
      </x:c>
      <x:c r="P187" s="17" t="n">
        <x:f t="shared" si="16">IF(ISNUMBER(INDEX('sheet2-计算明细'!$AN$17:$AN$219,$X187)),INDEX('sheet2-计算明细'!$AN$17:$AN$219,$X187),"")</x:f>
        <x:v>25.74</x:v>
      </x:c>
      <x:c r="Q187" s="17" t="n">
        <x:f t="shared" si="17">IF(ISNUMBER(INDEX('sheet2-计算明细'!$AO$17:$AO$219,$X187)),INDEX('sheet2-计算明细'!$AO$17:$AO$219,$X187),"")</x:f>
        <x:v>11.27</x:v>
      </x:c>
      <x:c r="R187" s="17" t="n">
        <x:f t="shared" si="18">IF(ISNUMBER(INDEX('sheet2-计算明细'!$AP$17:$AP$219,$X187)),INDEX('sheet2-计算明细'!$AP$17:$AP$219,$X187),"")</x:f>
        <x:v>80</x:v>
      </x:c>
      <x:c r="S187" s="18" t="n">
        <x:f>IF($X187="","",INDEX('sheet2-计算明细'!$AQ$17:$AQ$219,$X187))</x:f>
        <x:v>1</x:v>
      </x:c>
      <x:c r="T187" s="16" t="n">
        <x:f>IF($X187="","",INDEX('sheet2-计算明细'!$AR$17:$AR$219,$X187))</x:f>
        <x:v>35.64213</x:v>
      </x:c>
      <x:c r="U187" s="17" t="n">
        <x:f t="shared" si="19">IF(S187=0,"",ROUND(T187/S187,2))</x:f>
        <x:v>35.64</x:v>
      </x:c>
      <x:c r="V187" s="17" t="n">
        <x:f t="shared" si="20">IF(ABS(S187-1)&lt;0.00000001,T187,"")</x:f>
        <x:v>35.64213</x:v>
      </x:c>
      <x:c r="W187" s="19" t="str">
        <x:f>IF($X187="","",INDEX('sheet2-计算明细'!$AU$17:$AU$219,$X187))</x:f>
      </x:c>
      <x:c r="X187" s="15" t="n">
        <x:f>IF($A187&gt;COUNT('sheet2-计算明细'!$AT$17:$AT$219),"",MATCH($A187,'sheet2-计算明细'!$AT$17:$AT$219,0))</x:f>
        <x:v>84</x:v>
      </x:c>
    </x:row>
    <x:row r="188" ht="28" customHeight="1">
      <x:c r="A188" s="4" t="n">
        <x:v>183</x:v>
      </x:c>
      <x:c r="B188" s="15" t="str">
        <x:f>IF($X188="","",INDEX('sheet2-计算明细'!$B$17:$B$219,$X188))</x:f>
        <x:v>岳鑫遥3号</x:v>
      </x:c>
      <x:c r="C188" s="15" t="str">
        <x:f>IF($X188="","",INDEX('sheet2-计算明细'!$C$17:$C$219,$X188))</x:f>
        <x:v>SXW818</x:v>
      </x:c>
      <x:c r="D188" s="15" t="str">
        <x:f>IF($X188="","",INDEX('sheet2-计算明细'!$D$17:$D$219,$X188))</x:f>
        <x:v>北京岳鑫遥</x:v>
      </x:c>
      <x:c r="E188" s="15" t="str">
        <x:f>IF($X188="","",INDEX('sheet2-计算明细'!$G$17:$G$219,$X188))</x:f>
        <x:v>入池</x:v>
      </x:c>
      <x:c r="F188" s="16" t="n">
        <x:f>IF($X188="","",INDEX('sheet2-计算明细'!$I$17:$I$219,$X188))</x:f>
        <x:v>70</x:v>
      </x:c>
      <x:c r="G188" s="16" t="n">
        <x:f>IF($X188="","",INDEX('sheet2-计算明细'!$K$17:$K$219,$X188))</x:f>
        <x:v>100</x:v>
      </x:c>
      <x:c r="H188" s="16" t="n">
        <x:f>IF($X188="","",INDEX('sheet2-计算明细'!$L$17:$L$219,$X188))</x:f>
        <x:v>100</x:v>
      </x:c>
      <x:c r="I188" s="16" t="n">
        <x:f>IF($X188="","",INDEX('sheet2-计算明细'!$S$17:$S$219,$X188))</x:f>
        <x:v>40.74</x:v>
      </x:c>
      <x:c r="J188" s="16" t="n">
        <x:f>IF($X188="","",INDEX('sheet2-计算明细'!$Y$17:$Y$219,$X188))</x:f>
        <x:v>65.64</x:v>
      </x:c>
      <x:c r="K188" s="16" t="n">
        <x:f>IF($X188="","",INDEX('sheet2-计算明细'!$AC$17:$AC$219,$X188))</x:f>
        <x:v>3.22</x:v>
      </x:c>
      <x:c r="L188" s="16" t="n">
        <x:f>IF($X188="","",INDEX('sheet2-计算明细'!$AI$17:$AI$219,$X188))</x:f>
        <x:v>9.2</x:v>
      </x:c>
      <x:c r="M188" s="16" t="n">
        <x:f>IF($X188="","",INDEX('sheet2-计算明细'!$AK$17:$AK$219,$X188))</x:f>
        <x:v>60</x:v>
      </x:c>
      <x:c r="N188" s="17" t="n">
        <x:f t="shared" si="14">IF(ISNUMBER(INDEX('sheet2-计算明细'!$AL$17:$AL$219,$X188)),INDEX('sheet2-计算明细'!$AL$17:$AL$219,$X188),"")</x:f>
        <x:v>88</x:v>
      </x:c>
      <x:c r="O188" s="17" t="n">
        <x:f t="shared" si="15">IF(ISNUMBER(INDEX('sheet2-计算明细'!$AM$17:$AM$219,$X188)),INDEX('sheet2-计算明细'!$AM$17:$AM$219,$X188),"")</x:f>
        <x:v>48.21</x:v>
      </x:c>
      <x:c r="P188" s="17" t="n">
        <x:f t="shared" si="16">IF(ISNUMBER(INDEX('sheet2-计算明细'!$AN$17:$AN$219,$X188)),INDEX('sheet2-计算明细'!$AN$17:$AN$219,$X188),"")</x:f>
        <x:v>3.22</x:v>
      </x:c>
      <x:c r="Q188" s="17" t="n">
        <x:f t="shared" si="17">IF(ISNUMBER(INDEX('sheet2-计算明细'!$AO$17:$AO$219,$X188)),INDEX('sheet2-计算明细'!$AO$17:$AO$219,$X188),"")</x:f>
        <x:v>9.2</x:v>
      </x:c>
      <x:c r="R188" s="17" t="n">
        <x:f t="shared" si="18">IF(ISNUMBER(INDEX('sheet2-计算明细'!$AP$17:$AP$219,$X188)),INDEX('sheet2-计算明细'!$AP$17:$AP$219,$X188),"")</x:f>
        <x:v>60</x:v>
      </x:c>
      <x:c r="S188" s="18" t="n">
        <x:f>IF($X188="","",INDEX('sheet2-计算明细'!$AQ$17:$AQ$219,$X188))</x:f>
        <x:v>0.88</x:v>
      </x:c>
      <x:c r="T188" s="16" t="n">
        <x:f>IF($X188="","",INDEX('sheet2-计算明细'!$AR$17:$AR$219,$X188))</x:f>
        <x:v>31.303039999999996</x:v>
      </x:c>
      <x:c r="U188" s="17" t="n">
        <x:f t="shared" si="19">IF(S188=0,"",ROUND(T188/S188,2))</x:f>
        <x:v>35.57</x:v>
      </x:c>
      <x:c r="V188" s="17" t="str">
        <x:f t="shared" si="20">IF(ABS(S188-1)&lt;0.00000001,T188,"")</x:f>
      </x:c>
      <x:c r="W188" s="19" t="str">
        <x:f>IF($X188="","",INDEX('sheet2-计算明细'!$AU$17:$AU$219,$X188))</x:f>
        <x:v>DD_long不可识别；</x:v>
      </x:c>
      <x:c r="X188" s="15" t="n">
        <x:f>IF($A188&gt;COUNT('sheet2-计算明细'!$AT$17:$AT$219),"",MATCH($A188,'sheet2-计算明细'!$AT$17:$AT$219,0))</x:f>
        <x:v>169</x:v>
      </x:c>
    </x:row>
    <x:row r="189" ht="28" customHeight="1">
      <x:c r="A189" s="4" t="n">
        <x:v>184</x:v>
      </x:c>
      <x:c r="B189" s="15" t="str">
        <x:f>IF($X189="","",INDEX('sheet2-计算明细'!$B$17:$B$219,$X189))</x:f>
        <x:v>鸿熵天然1号A类</x:v>
      </x:c>
      <x:c r="C189" s="15" t="str">
        <x:f>IF($X189="","",INDEX('sheet2-计算明细'!$C$17:$C$219,$X189))</x:f>
        <x:v>XU720A</x:v>
      </x:c>
      <x:c r="D189" s="15" t="str">
        <x:f>IF($X189="","",INDEX('sheet2-计算明细'!$D$17:$D$219,$X189))</x:f>
        <x:v>北京鸿熵</x:v>
      </x:c>
      <x:c r="E189" s="15" t="str">
        <x:f>IF($X189="","",INDEX('sheet2-计算明细'!$G$17:$G$219,$X189))</x:f>
        <x:v>入池</x:v>
      </x:c>
      <x:c r="F189" s="16" t="n">
        <x:f>IF($X189="","",INDEX('sheet2-计算明细'!$I$17:$I$219,$X189))</x:f>
        <x:v>60</x:v>
      </x:c>
      <x:c r="G189" s="16" t="str">
        <x:f>IF($X189="","",INDEX('sheet2-计算明细'!$K$17:$K$219,$X189))</x:f>
      </x:c>
      <x:c r="H189" s="16" t="n">
        <x:f>IF($X189="","",INDEX('sheet2-计算明细'!$L$17:$L$219,$X189))</x:f>
        <x:v>100</x:v>
      </x:c>
      <x:c r="I189" s="16" t="n">
        <x:f>IF($X189="","",INDEX('sheet2-计算明细'!$S$17:$S$219,$X189))</x:f>
        <x:v>39.7</x:v>
      </x:c>
      <x:c r="J189" s="16" t="n">
        <x:f>IF($X189="","",INDEX('sheet2-计算明细'!$Y$17:$Y$219,$X189))</x:f>
        <x:v>53.97</x:v>
      </x:c>
      <x:c r="K189" s="16" t="n">
        <x:f>IF($X189="","",INDEX('sheet2-计算明细'!$AC$17:$AC$219,$X189))</x:f>
        <x:v>12.87</x:v>
      </x:c>
      <x:c r="L189" s="16" t="n">
        <x:f>IF($X189="","",INDEX('sheet2-计算明细'!$AI$17:$AI$219,$X189))</x:f>
        <x:v>19.27</x:v>
      </x:c>
      <x:c r="M189" s="16" t="n">
        <x:f>IF($X189="","",INDEX('sheet2-计算明细'!$AK$17:$AK$219,$X189))</x:f>
        <x:v>80</x:v>
      </x:c>
      <x:c r="N189" s="17" t="n">
        <x:f t="shared" si="14">IF(ISNUMBER(INDEX('sheet2-计算明细'!$AL$17:$AL$219,$X189)),INDEX('sheet2-计算明细'!$AL$17:$AL$219,$X189),"")</x:f>
        <x:v>77.14</x:v>
      </x:c>
      <x:c r="O189" s="17" t="n">
        <x:f t="shared" si="15">IF(ISNUMBER(INDEX('sheet2-计算明细'!$AM$17:$AM$219,$X189)),INDEX('sheet2-计算明细'!$AM$17:$AM$219,$X189),"")</x:f>
        <x:v>43.98</x:v>
      </x:c>
      <x:c r="P189" s="17" t="n">
        <x:f t="shared" si="16">IF(ISNUMBER(INDEX('sheet2-计算明细'!$AN$17:$AN$219,$X189)),INDEX('sheet2-计算明细'!$AN$17:$AN$219,$X189),"")</x:f>
        <x:v>12.87</x:v>
      </x:c>
      <x:c r="Q189" s="17" t="n">
        <x:f t="shared" si="17">IF(ISNUMBER(INDEX('sheet2-计算明细'!$AO$17:$AO$219,$X189)),INDEX('sheet2-计算明细'!$AO$17:$AO$219,$X189),"")</x:f>
        <x:v>19.27</x:v>
      </x:c>
      <x:c r="R189" s="17" t="n">
        <x:f t="shared" si="18">IF(ISNUMBER(INDEX('sheet2-计算明细'!$AP$17:$AP$219,$X189)),INDEX('sheet2-计算明细'!$AP$17:$AP$219,$X189),"")</x:f>
        <x:v>80</x:v>
      </x:c>
      <x:c r="S189" s="18" t="n">
        <x:f>IF($X189="","",INDEX('sheet2-计算明细'!$AQ$17:$AQ$219,$X189))</x:f>
        <x:v>0.9550000000000001</x:v>
      </x:c>
      <x:c r="T189" s="16" t="n">
        <x:f>IF($X189="","",INDEX('sheet2-计算明细'!$AR$17:$AR$219,$X189))</x:f>
        <x:v>33.89638</x:v>
      </x:c>
      <x:c r="U189" s="17" t="n">
        <x:f t="shared" si="19">IF(S189=0,"",ROUND(T189/S189,2))</x:f>
        <x:v>35.49</x:v>
      </x:c>
      <x:c r="V189" s="17" t="str">
        <x:f t="shared" si="20">IF(ABS(S189-1)&lt;0.00000001,T189,"")</x:f>
      </x:c>
      <x:c r="W189" s="19" t="str">
        <x:f>IF($X189="","",INDEX('sheet2-计算明细'!$AU$17:$AU$219,$X189))</x:f>
        <x:v>产品规模标识；</x:v>
      </x:c>
      <x:c r="X189" s="15" t="n">
        <x:f>IF($A189&gt;COUNT('sheet2-计算明细'!$AT$17:$AT$219),"",MATCH($A189,'sheet2-计算明细'!$AT$17:$AT$219,0))</x:f>
        <x:v>196</x:v>
      </x:c>
    </x:row>
    <x:row r="190" ht="28" customHeight="1">
      <x:c r="A190" s="4" t="n">
        <x:v>185</x:v>
      </x:c>
      <x:c r="B190" s="15" t="str">
        <x:f>IF($X190="","",INDEX('sheet2-计算明细'!$B$17:$B$219,$X190))</x:f>
        <x:v>银瓴运通致远3号五期</x:v>
      </x:c>
      <x:c r="C190" s="15" t="str">
        <x:f>IF($X190="","",INDEX('sheet2-计算明细'!$C$17:$C$219,$X190))</x:f>
        <x:v>SXF666</x:v>
      </x:c>
      <x:c r="D190" s="15" t="str">
        <x:f>IF($X190="","",INDEX('sheet2-计算明细'!$D$17:$D$219,$X190))</x:f>
        <x:v>广西银瓴资产</x:v>
      </x:c>
      <x:c r="E190" s="15" t="str">
        <x:f>IF($X190="","",INDEX('sheet2-计算明细'!$G$17:$G$219,$X190))</x:f>
        <x:v>入池</x:v>
      </x:c>
      <x:c r="F190" s="16" t="n">
        <x:f>IF($X190="","",INDEX('sheet2-计算明细'!$I$17:$I$219,$X190))</x:f>
        <x:v>60</x:v>
      </x:c>
      <x:c r="G190" s="16" t="n">
        <x:f>IF($X190="","",INDEX('sheet2-计算明细'!$K$17:$K$219,$X190))</x:f>
        <x:v>0</x:v>
      </x:c>
      <x:c r="H190" s="16" t="n">
        <x:f>IF($X190="","",INDEX('sheet2-计算明细'!$L$17:$L$219,$X190))</x:f>
        <x:v>100</x:v>
      </x:c>
      <x:c r="I190" s="16" t="n">
        <x:f>IF($X190="","",INDEX('sheet2-计算明细'!$S$17:$S$219,$X190))</x:f>
        <x:v>26.04</x:v>
      </x:c>
      <x:c r="J190" s="16" t="n">
        <x:f>IF($X190="","",INDEX('sheet2-计算明细'!$Y$17:$Y$219,$X190))</x:f>
        <x:v>43.46</x:v>
      </x:c>
      <x:c r="K190" s="16" t="n">
        <x:f>IF($X190="","",INDEX('sheet2-计算明细'!$AC$17:$AC$219,$X190))</x:f>
        <x:v>31.19</x:v>
      </x:c>
      <x:c r="L190" s="16" t="n">
        <x:f>IF($X190="","",INDEX('sheet2-计算明细'!$AI$17:$AI$219,$X190))</x:f>
        <x:v>16.76</x:v>
      </x:c>
      <x:c r="M190" s="16" t="n">
        <x:f>IF($X190="","",INDEX('sheet2-计算明细'!$AK$17:$AK$219,$X190))</x:f>
        <x:v>80</x:v>
      </x:c>
      <x:c r="N190" s="17" t="n">
        <x:f t="shared" si="14">IF(ISNUMBER(INDEX('sheet2-计算明细'!$AL$17:$AL$219,$X190)),INDEX('sheet2-计算明细'!$AL$17:$AL$219,$X190),"")</x:f>
        <x:v>54</x:v>
      </x:c>
      <x:c r="O190" s="17" t="n">
        <x:f t="shared" si="15">IF(ISNUMBER(INDEX('sheet2-计算明细'!$AM$17:$AM$219,$X190)),INDEX('sheet2-计算明细'!$AM$17:$AM$219,$X190),"")</x:f>
        <x:v>31.27</x:v>
      </x:c>
      <x:c r="P190" s="17" t="n">
        <x:f t="shared" si="16">IF(ISNUMBER(INDEX('sheet2-计算明细'!$AN$17:$AN$219,$X190)),INDEX('sheet2-计算明细'!$AN$17:$AN$219,$X190),"")</x:f>
        <x:v>31.19</x:v>
      </x:c>
      <x:c r="Q190" s="17" t="n">
        <x:f t="shared" si="17">IF(ISNUMBER(INDEX('sheet2-计算明细'!$AO$17:$AO$219,$X190)),INDEX('sheet2-计算明细'!$AO$17:$AO$219,$X190),"")</x:f>
        <x:v>16.76</x:v>
      </x:c>
      <x:c r="R190" s="17" t="n">
        <x:f t="shared" si="18">IF(ISNUMBER(INDEX('sheet2-计算明细'!$AP$17:$AP$219,$X190)),INDEX('sheet2-计算明细'!$AP$17:$AP$219,$X190),"")</x:f>
        <x:v>80</x:v>
      </x:c>
      <x:c r="S190" s="18" t="n">
        <x:f>IF($X190="","",INDEX('sheet2-计算明细'!$AQ$17:$AQ$219,$X190))</x:f>
        <x:v>1</x:v>
      </x:c>
      <x:c r="T190" s="16" t="n">
        <x:f>IF($X190="","",INDEX('sheet2-计算明细'!$AR$17:$AR$219,$X190))</x:f>
        <x:v>35.17784</x:v>
      </x:c>
      <x:c r="U190" s="17" t="n">
        <x:f t="shared" si="19">IF(S190=0,"",ROUND(T190/S190,2))</x:f>
        <x:v>35.18</x:v>
      </x:c>
      <x:c r="V190" s="17" t="n">
        <x:f t="shared" si="20">IF(ABS(S190-1)&lt;0.00000001,T190,"")</x:f>
        <x:v>35.17784</x:v>
      </x:c>
      <x:c r="W190" s="19" t="str">
        <x:f>IF($X190="","",INDEX('sheet2-计算明细'!$AU$17:$AU$219,$X190))</x:f>
      </x:c>
      <x:c r="X190" s="15" t="n">
        <x:f>IF($A190&gt;COUNT('sheet2-计算明细'!$AT$17:$AT$219),"",MATCH($A190,'sheet2-计算明细'!$AT$17:$AT$219,0))</x:f>
        <x:v>53</x:v>
      </x:c>
    </x:row>
    <x:row r="191" ht="28" customHeight="1">
      <x:c r="A191" s="4" t="n">
        <x:v>186</x:v>
      </x:c>
      <x:c r="B191" s="15" t="str">
        <x:f>IF($X191="","",INDEX('sheet2-计算明细'!$B$17:$B$219,$X191))</x:f>
        <x:v>衍舟弄潮2号</x:v>
      </x:c>
      <x:c r="C191" s="15" t="str">
        <x:f>IF($X191="","",INDEX('sheet2-计算明细'!$C$17:$C$219,$X191))</x:f>
        <x:v>SZG044</x:v>
      </x:c>
      <x:c r="D191" s="15" t="str">
        <x:f>IF($X191="","",INDEX('sheet2-计算明细'!$D$17:$D$219,$X191))</x:f>
        <x:v>海南衍舟</x:v>
      </x:c>
      <x:c r="E191" s="15" t="str">
        <x:f>IF($X191="","",INDEX('sheet2-计算明细'!$G$17:$G$219,$X191))</x:f>
        <x:v>入池</x:v>
      </x:c>
      <x:c r="F191" s="16" t="n">
        <x:f>IF($X191="","",INDEX('sheet2-计算明细'!$I$17:$I$219,$X191))</x:f>
        <x:v>60</x:v>
      </x:c>
      <x:c r="G191" s="16" t="n">
        <x:f>IF($X191="","",INDEX('sheet2-计算明细'!$K$17:$K$219,$X191))</x:f>
        <x:v>0</x:v>
      </x:c>
      <x:c r="H191" s="16" t="n">
        <x:f>IF($X191="","",INDEX('sheet2-计算明细'!$L$17:$L$219,$X191))</x:f>
        <x:v>100</x:v>
      </x:c>
      <x:c r="I191" s="16" t="n">
        <x:f>IF($X191="","",INDEX('sheet2-计算明细'!$S$17:$S$219,$X191))</x:f>
        <x:v>25.84</x:v>
      </x:c>
      <x:c r="J191" s="16" t="n">
        <x:f>IF($X191="","",INDEX('sheet2-计算明细'!$Y$17:$Y$219,$X191))</x:f>
        <x:v>50.13</x:v>
      </x:c>
      <x:c r="K191" s="16" t="n">
        <x:f>IF($X191="","",INDEX('sheet2-计算明细'!$AC$17:$AC$219,$X191))</x:f>
        <x:v>28.71</x:v>
      </x:c>
      <x:c r="L191" s="16" t="n">
        <x:f>IF($X191="","",INDEX('sheet2-计算明细'!$AI$17:$AI$219,$X191))</x:f>
        <x:v>14.1</x:v>
      </x:c>
      <x:c r="M191" s="16" t="n">
        <x:f>IF($X191="","",INDEX('sheet2-计算明细'!$AK$17:$AK$219,$X191))</x:f>
        <x:v>80</x:v>
      </x:c>
      <x:c r="N191" s="17" t="n">
        <x:f t="shared" si="14">IF(ISNUMBER(INDEX('sheet2-计算明细'!$AL$17:$AL$219,$X191)),INDEX('sheet2-计算明细'!$AL$17:$AL$219,$X191),"")</x:f>
        <x:v>54</x:v>
      </x:c>
      <x:c r="O191" s="17" t="n">
        <x:f t="shared" si="15">IF(ISNUMBER(INDEX('sheet2-计算明细'!$AM$17:$AM$219,$X191)),INDEX('sheet2-计算明细'!$AM$17:$AM$219,$X191),"")</x:f>
        <x:v>33.13</x:v>
      </x:c>
      <x:c r="P191" s="17" t="n">
        <x:f t="shared" si="16">IF(ISNUMBER(INDEX('sheet2-计算明细'!$AN$17:$AN$219,$X191)),INDEX('sheet2-计算明细'!$AN$17:$AN$219,$X191),"")</x:f>
        <x:v>28.71</x:v>
      </x:c>
      <x:c r="Q191" s="17" t="n">
        <x:f t="shared" si="17">IF(ISNUMBER(INDEX('sheet2-计算明细'!$AO$17:$AO$219,$X191)),INDEX('sheet2-计算明细'!$AO$17:$AO$219,$X191),"")</x:f>
        <x:v>14.1</x:v>
      </x:c>
      <x:c r="R191" s="17" t="n">
        <x:f t="shared" si="18">IF(ISNUMBER(INDEX('sheet2-计算明细'!$AP$17:$AP$219,$X191)),INDEX('sheet2-计算明细'!$AP$17:$AP$219,$X191),"")</x:f>
        <x:v>80</x:v>
      </x:c>
      <x:c r="S191" s="18" t="n">
        <x:f>IF($X191="","",INDEX('sheet2-计算明细'!$AQ$17:$AQ$219,$X191))</x:f>
        <x:v>1</x:v>
      </x:c>
      <x:c r="T191" s="16" t="n">
        <x:f>IF($X191="","",INDEX('sheet2-计算明细'!$AR$17:$AR$219,$X191))</x:f>
        <x:v>34.13389</x:v>
      </x:c>
      <x:c r="U191" s="17" t="n">
        <x:f t="shared" si="19">IF(S191=0,"",ROUND(T191/S191,2))</x:f>
        <x:v>34.13</x:v>
      </x:c>
      <x:c r="V191" s="17" t="n">
        <x:f t="shared" si="20">IF(ABS(S191-1)&lt;0.00000001,T191,"")</x:f>
        <x:v>34.13389</x:v>
      </x:c>
      <x:c r="W191" s="19" t="str">
        <x:f>IF($X191="","",INDEX('sheet2-计算明细'!$AU$17:$AU$219,$X191))</x:f>
      </x:c>
      <x:c r="X191" s="15" t="n">
        <x:f>IF($A191&gt;COUNT('sheet2-计算明细'!$AT$17:$AT$219),"",MATCH($A191,'sheet2-计算明细'!$AT$17:$AT$219,0))</x:f>
        <x:v>62</x:v>
      </x:c>
    </x:row>
    <x:row r="192" ht="28" customHeight="1">
      <x:c r="A192" s="4" t="n">
        <x:v>187</x:v>
      </x:c>
      <x:c r="B192" s="15" t="str">
        <x:f>IF($X192="","",INDEX('sheet2-计算明细'!$B$17:$B$219,$X192))</x:f>
        <x:v>银瓴汇金1号</x:v>
      </x:c>
      <x:c r="C192" s="15" t="str">
        <x:f>IF($X192="","",INDEX('sheet2-计算明细'!$C$17:$C$219,$X192))</x:f>
        <x:v>SZP369</x:v>
      </x:c>
      <x:c r="D192" s="15" t="str">
        <x:f>IF($X192="","",INDEX('sheet2-计算明细'!$D$17:$D$219,$X192))</x:f>
        <x:v>广西银瓴资产</x:v>
      </x:c>
      <x:c r="E192" s="15" t="str">
        <x:f>IF($X192="","",INDEX('sheet2-计算明细'!$G$17:$G$219,$X192))</x:f>
        <x:v>入池</x:v>
      </x:c>
      <x:c r="F192" s="16" t="n">
        <x:f>IF($X192="","",INDEX('sheet2-计算明细'!$I$17:$I$219,$X192))</x:f>
        <x:v>60</x:v>
      </x:c>
      <x:c r="G192" s="16" t="n">
        <x:f>IF($X192="","",INDEX('sheet2-计算明细'!$K$17:$K$219,$X192))</x:f>
        <x:v>0</x:v>
      </x:c>
      <x:c r="H192" s="16" t="n">
        <x:f>IF($X192="","",INDEX('sheet2-计算明细'!$L$17:$L$219,$X192))</x:f>
        <x:v>100</x:v>
      </x:c>
      <x:c r="I192" s="16" t="n">
        <x:f>IF($X192="","",INDEX('sheet2-计算明细'!$S$17:$S$219,$X192))</x:f>
        <x:v>40.2</x:v>
      </x:c>
      <x:c r="J192" s="16" t="n">
        <x:f>IF($X192="","",INDEX('sheet2-计算明细'!$Y$17:$Y$219,$X192))</x:f>
        <x:v>58.59</x:v>
      </x:c>
      <x:c r="K192" s="16" t="n">
        <x:f>IF($X192="","",INDEX('sheet2-计算明细'!$AC$17:$AC$219,$X192))</x:f>
        <x:v>10.89</x:v>
      </x:c>
      <x:c r="L192" s="16" t="n">
        <x:f>IF($X192="","",INDEX('sheet2-计算明细'!$AI$17:$AI$219,$X192))</x:f>
        <x:v>20.01</x:v>
      </x:c>
      <x:c r="M192" s="16" t="n">
        <x:f>IF($X192="","",INDEX('sheet2-计算明细'!$AK$17:$AK$219,$X192))</x:f>
        <x:v>80</x:v>
      </x:c>
      <x:c r="N192" s="17" t="n">
        <x:f t="shared" si="14">IF(ISNUMBER(INDEX('sheet2-计算明细'!$AL$17:$AL$219,$X192)),INDEX('sheet2-计算明细'!$AL$17:$AL$219,$X192),"")</x:f>
        <x:v>54</x:v>
      </x:c>
      <x:c r="O192" s="17" t="n">
        <x:f t="shared" si="15">IF(ISNUMBER(INDEX('sheet2-计算明细'!$AM$17:$AM$219,$X192)),INDEX('sheet2-计算明细'!$AM$17:$AM$219,$X192),"")</x:f>
        <x:v>45.71</x:v>
      </x:c>
      <x:c r="P192" s="17" t="n">
        <x:f t="shared" si="16">IF(ISNUMBER(INDEX('sheet2-计算明细'!$AN$17:$AN$219,$X192)),INDEX('sheet2-计算明细'!$AN$17:$AN$219,$X192),"")</x:f>
        <x:v>10.89</x:v>
      </x:c>
      <x:c r="Q192" s="17" t="n">
        <x:f t="shared" si="17">IF(ISNUMBER(INDEX('sheet2-计算明细'!$AO$17:$AO$219,$X192)),INDEX('sheet2-计算明细'!$AO$17:$AO$219,$X192),"")</x:f>
        <x:v>20.01</x:v>
      </x:c>
      <x:c r="R192" s="17" t="n">
        <x:f t="shared" si="18">IF(ISNUMBER(INDEX('sheet2-计算明细'!$AP$17:$AP$219,$X192)),INDEX('sheet2-计算明细'!$AP$17:$AP$219,$X192),"")</x:f>
        <x:v>80</x:v>
      </x:c>
      <x:c r="S192" s="18" t="n">
        <x:f>IF($X192="","",INDEX('sheet2-计算明细'!$AQ$17:$AQ$219,$X192))</x:f>
        <x:v>1</x:v>
      </x:c>
      <x:c r="T192" s="16" t="n">
        <x:f>IF($X192="","",INDEX('sheet2-计算明细'!$AR$17:$AR$219,$X192))</x:f>
        <x:v>33.96908</x:v>
      </x:c>
      <x:c r="U192" s="17" t="n">
        <x:f t="shared" si="19">IF(S192=0,"",ROUND(T192/S192,2))</x:f>
        <x:v>33.97</x:v>
      </x:c>
      <x:c r="V192" s="17" t="n">
        <x:f t="shared" si="20">IF(ABS(S192-1)&lt;0.00000001,T192,"")</x:f>
        <x:v>33.96908</x:v>
      </x:c>
      <x:c r="W192" s="19" t="str">
        <x:f>IF($X192="","",INDEX('sheet2-计算明细'!$AU$17:$AU$219,$X192))</x:f>
      </x:c>
      <x:c r="X192" s="15" t="n">
        <x:f>IF($A192&gt;COUNT('sheet2-计算明细'!$AT$17:$AT$219),"",MATCH($A192,'sheet2-计算明细'!$AT$17:$AT$219,0))</x:f>
        <x:v>63</x:v>
      </x:c>
    </x:row>
    <x:row r="193" ht="28" customHeight="1">
      <x:c r="A193" s="4" t="n">
        <x:v>188</x:v>
      </x:c>
      <x:c r="B193" s="15" t="str">
        <x:f>IF($X193="","",INDEX('sheet2-计算明细'!$B$17:$B$219,$X193))</x:f>
        <x:v>岳鑫遥3号A类</x:v>
      </x:c>
      <x:c r="C193" s="15" t="str">
        <x:f>IF($X193="","",INDEX('sheet2-计算明细'!$C$17:$C$219,$X193))</x:f>
        <x:v>XW818A</x:v>
      </x:c>
      <x:c r="D193" s="15" t="str">
        <x:f>IF($X193="","",INDEX('sheet2-计算明细'!$D$17:$D$219,$X193))</x:f>
        <x:v>北京岳鑫遥</x:v>
      </x:c>
      <x:c r="E193" s="15" t="str">
        <x:f>IF($X193="","",INDEX('sheet2-计算明细'!$G$17:$G$219,$X193))</x:f>
        <x:v>入池</x:v>
      </x:c>
      <x:c r="F193" s="16" t="n">
        <x:f>IF($X193="","",INDEX('sheet2-计算明细'!$I$17:$I$219,$X193))</x:f>
        <x:v>70</x:v>
      </x:c>
      <x:c r="G193" s="16" t="str">
        <x:f>IF($X193="","",INDEX('sheet2-计算明细'!$K$17:$K$219,$X193))</x:f>
      </x:c>
      <x:c r="H193" s="16" t="n">
        <x:f>IF($X193="","",INDEX('sheet2-计算明细'!$L$17:$L$219,$X193))</x:f>
        <x:v>100</x:v>
      </x:c>
      <x:c r="I193" s="16" t="n">
        <x:f>IF($X193="","",INDEX('sheet2-计算明细'!$S$17:$S$219,$X193))</x:f>
        <x:v>40.74</x:v>
      </x:c>
      <x:c r="J193" s="16" t="n">
        <x:f>IF($X193="","",INDEX('sheet2-计算明细'!$Y$17:$Y$219,$X193))</x:f>
        <x:v>65.64</x:v>
      </x:c>
      <x:c r="K193" s="16" t="n">
        <x:f>IF($X193="","",INDEX('sheet2-计算明细'!$AC$17:$AC$219,$X193))</x:f>
        <x:v>3.22</x:v>
      </x:c>
      <x:c r="L193" s="16" t="n">
        <x:f>IF($X193="","",INDEX('sheet2-计算明细'!$AI$17:$AI$219,$X193))</x:f>
        <x:v>9.2</x:v>
      </x:c>
      <x:c r="M193" s="16" t="n">
        <x:f>IF($X193="","",INDEX('sheet2-计算明细'!$AK$17:$AK$219,$X193))</x:f>
        <x:v>60</x:v>
      </x:c>
      <x:c r="N193" s="17" t="n">
        <x:f t="shared" si="14">IF(ISNUMBER(INDEX('sheet2-计算明细'!$AL$17:$AL$219,$X193)),INDEX('sheet2-计算明细'!$AL$17:$AL$219,$X193),"")</x:f>
        <x:v>82.86</x:v>
      </x:c>
      <x:c r="O193" s="17" t="n">
        <x:f t="shared" si="15">IF(ISNUMBER(INDEX('sheet2-计算明细'!$AM$17:$AM$219,$X193)),INDEX('sheet2-计算明细'!$AM$17:$AM$219,$X193),"")</x:f>
        <x:v>48.21</x:v>
      </x:c>
      <x:c r="P193" s="17" t="n">
        <x:f t="shared" si="16">IF(ISNUMBER(INDEX('sheet2-计算明细'!$AN$17:$AN$219,$X193)),INDEX('sheet2-计算明细'!$AN$17:$AN$219,$X193),"")</x:f>
        <x:v>3.22</x:v>
      </x:c>
      <x:c r="Q193" s="17" t="n">
        <x:f t="shared" si="17">IF(ISNUMBER(INDEX('sheet2-计算明细'!$AO$17:$AO$219,$X193)),INDEX('sheet2-计算明细'!$AO$17:$AO$219,$X193),"")</x:f>
        <x:v>9.2</x:v>
      </x:c>
      <x:c r="R193" s="17" t="n">
        <x:f t="shared" si="18">IF(ISNUMBER(INDEX('sheet2-计算明细'!$AP$17:$AP$219,$X193)),INDEX('sheet2-计算明细'!$AP$17:$AP$219,$X193),"")</x:f>
        <x:v>60</x:v>
      </x:c>
      <x:c r="S193" s="18" t="n">
        <x:f>IF($X193="","",INDEX('sheet2-计算明细'!$AQ$17:$AQ$219,$X193))</x:f>
        <x:v>0.8350000000000001</x:v>
      </x:c>
      <x:c r="T193" s="16" t="n">
        <x:f>IF($X193="","",INDEX('sheet2-计算明细'!$AR$17:$AR$219,$X193))</x:f>
        <x:v>26.803039999999996</x:v>
      </x:c>
      <x:c r="U193" s="17" t="n">
        <x:f t="shared" si="19">IF(S193=0,"",ROUND(T193/S193,2))</x:f>
        <x:v>32.1</x:v>
      </x:c>
      <x:c r="V193" s="17" t="str">
        <x:f t="shared" si="20">IF(ABS(S193-1)&lt;0.00000001,T193,"")</x:f>
      </x:c>
      <x:c r="W193" s="19" t="str">
        <x:f>IF($X193="","",INDEX('sheet2-计算明细'!$AU$17:$AU$219,$X193))</x:f>
        <x:v>产品规模标识；DD_long不可识别；</x:v>
      </x:c>
      <x:c r="X193" s="15" t="n">
        <x:f>IF($A193&gt;COUNT('sheet2-计算明细'!$AT$17:$AT$219),"",MATCH($A193,'sheet2-计算明细'!$AT$17:$AT$219,0))</x:f>
        <x:v>192</x:v>
      </x:c>
    </x:row>
    <x:row r="194" ht="28" customHeight="1">
      <x:c r="A194" s="4" t="n">
        <x:v>189</x:v>
      </x:c>
      <x:c r="B194" s="15" t="str">
        <x:f>IF($X194="","",INDEX('sheet2-计算明细'!$B$17:$B$219,$X194))</x:f>
        <x:v>银瓴汇金3号</x:v>
      </x:c>
      <x:c r="C194" s="15" t="str">
        <x:f>IF($X194="","",INDEX('sheet2-计算明细'!$C$17:$C$219,$X194))</x:f>
        <x:v>S03979</x:v>
      </x:c>
      <x:c r="D194" s="15" t="str">
        <x:f>IF($X194="","",INDEX('sheet2-计算明细'!$D$17:$D$219,$X194))</x:f>
        <x:v>广西银瓴资产</x:v>
      </x:c>
      <x:c r="E194" s="15" t="str">
        <x:f>IF($X194="","",INDEX('sheet2-计算明细'!$G$17:$G$219,$X194))</x:f>
        <x:v>入池</x:v>
      </x:c>
      <x:c r="F194" s="16" t="n">
        <x:f>IF($X194="","",INDEX('sheet2-计算明细'!$I$17:$I$219,$X194))</x:f>
        <x:v>60</x:v>
      </x:c>
      <x:c r="G194" s="16" t="n">
        <x:f>IF($X194="","",INDEX('sheet2-计算明细'!$K$17:$K$219,$X194))</x:f>
        <x:v>0</x:v>
      </x:c>
      <x:c r="H194" s="16" t="n">
        <x:f>IF($X194="","",INDEX('sheet2-计算明细'!$L$17:$L$219,$X194))</x:f>
        <x:v>100</x:v>
      </x:c>
      <x:c r="I194" s="16" t="n">
        <x:f>IF($X194="","",INDEX('sheet2-计算明细'!$S$17:$S$219,$X194))</x:f>
        <x:v>16.74</x:v>
      </x:c>
      <x:c r="J194" s="16" t="n">
        <x:f>IF($X194="","",INDEX('sheet2-计算明细'!$Y$17:$Y$219,$X194))</x:f>
        <x:v>46.41</x:v>
      </x:c>
      <x:c r="K194" s="16" t="n">
        <x:f>IF($X194="","",INDEX('sheet2-计算明细'!$AC$17:$AC$219,$X194))</x:f>
        <x:v>18.81</x:v>
      </x:c>
      <x:c r="L194" s="16" t="n">
        <x:f>IF($X194="","",INDEX('sheet2-计算明细'!$AI$17:$AI$219,$X194))</x:f>
        <x:v>12.44</x:v>
      </x:c>
      <x:c r="M194" s="16" t="n">
        <x:f>IF($X194="","",INDEX('sheet2-计算明细'!$AK$17:$AK$219,$X194))</x:f>
        <x:v>80</x:v>
      </x:c>
      <x:c r="N194" s="17" t="n">
        <x:f t="shared" si="14">IF(ISNUMBER(INDEX('sheet2-计算明细'!$AL$17:$AL$219,$X194)),INDEX('sheet2-计算明细'!$AL$17:$AL$219,$X194),"")</x:f>
        <x:v>54</x:v>
      </x:c>
      <x:c r="O194" s="17" t="n">
        <x:f t="shared" si="15">IF(ISNUMBER(INDEX('sheet2-计算明细'!$AM$17:$AM$219,$X194)),INDEX('sheet2-计算明细'!$AM$17:$AM$219,$X194),"")</x:f>
        <x:v>25.64</x:v>
      </x:c>
      <x:c r="P194" s="17" t="n">
        <x:f t="shared" si="16">IF(ISNUMBER(INDEX('sheet2-计算明细'!$AN$17:$AN$219,$X194)),INDEX('sheet2-计算明细'!$AN$17:$AN$219,$X194),"")</x:f>
        <x:v>18.81</x:v>
      </x:c>
      <x:c r="Q194" s="17" t="n">
        <x:f t="shared" si="17">IF(ISNUMBER(INDEX('sheet2-计算明细'!$AO$17:$AO$219,$X194)),INDEX('sheet2-计算明细'!$AO$17:$AO$219,$X194),"")</x:f>
        <x:v>12.44</x:v>
      </x:c>
      <x:c r="R194" s="17" t="n">
        <x:f t="shared" si="18">IF(ISNUMBER(INDEX('sheet2-计算明细'!$AP$17:$AP$219,$X194)),INDEX('sheet2-计算明细'!$AP$17:$AP$219,$X194),"")</x:f>
        <x:v>80</x:v>
      </x:c>
      <x:c r="S194" s="18" t="n">
        <x:f>IF($X194="","",INDEX('sheet2-计算明细'!$AQ$17:$AQ$219,$X194))</x:f>
        <x:v>0.88</x:v>
      </x:c>
      <x:c r="T194" s="16" t="n">
        <x:f>IF($X194="","",INDEX('sheet2-计算明细'!$AR$17:$AR$219,$X194))</x:f>
        <x:v>28.16927</x:v>
      </x:c>
      <x:c r="U194" s="17" t="n">
        <x:f t="shared" si="19">IF(S194=0,"",ROUND(T194/S194,2))</x:f>
        <x:v>32.01</x:v>
      </x:c>
      <x:c r="V194" s="17" t="str">
        <x:f t="shared" si="20">IF(ABS(S194-1)&lt;0.00000001,T194,"")</x:f>
      </x:c>
      <x:c r="W194" s="19" t="str">
        <x:f>IF($X194="","",INDEX('sheet2-计算明细'!$AU$17:$AU$219,$X194))</x:f>
        <x:v>DD_long不可识别；</x:v>
      </x:c>
      <x:c r="X194" s="15" t="n">
        <x:f>IF($A194&gt;COUNT('sheet2-计算明细'!$AT$17:$AT$219),"",MATCH($A194,'sheet2-计算明细'!$AT$17:$AT$219,0))</x:f>
        <x:v>68</x:v>
      </x:c>
    </x:row>
    <x:row r="195" ht="28" customHeight="1">
      <x:c r="A195" s="4" t="n">
        <x:v>190</x:v>
      </x:c>
      <x:c r="B195" s="15" t="str">
        <x:f>IF($X195="","",INDEX('sheet2-计算明细'!$B$17:$B$219,$X195))</x:f>
        <x:v>银瓴运通对冲套利进取2号</x:v>
      </x:c>
      <x:c r="C195" s="15" t="str">
        <x:f>IF($X195="","",INDEX('sheet2-计算明细'!$C$17:$C$219,$X195))</x:f>
        <x:v>SLC022</x:v>
      </x:c>
      <x:c r="D195" s="15" t="str">
        <x:f>IF($X195="","",INDEX('sheet2-计算明细'!$D$17:$D$219,$X195))</x:f>
        <x:v>广西银瓴资产</x:v>
      </x:c>
      <x:c r="E195" s="15" t="str">
        <x:f>IF($X195="","",INDEX('sheet2-计算明细'!$G$17:$G$219,$X195))</x:f>
        <x:v>入池</x:v>
      </x:c>
      <x:c r="F195" s="16" t="n">
        <x:f>IF($X195="","",INDEX('sheet2-计算明细'!$I$17:$I$219,$X195))</x:f>
        <x:v>60</x:v>
      </x:c>
      <x:c r="G195" s="16" t="n">
        <x:f>IF($X195="","",INDEX('sheet2-计算明细'!$K$17:$K$219,$X195))</x:f>
        <x:v>100</x:v>
      </x:c>
      <x:c r="H195" s="16" t="n">
        <x:f>IF($X195="","",INDEX('sheet2-计算明细'!$L$17:$L$219,$X195))</x:f>
        <x:v>100</x:v>
      </x:c>
      <x:c r="I195" s="16" t="n">
        <x:f>IF($X195="","",INDEX('sheet2-计算明细'!$S$17:$S$219,$X195))</x:f>
        <x:v>10.49</x:v>
      </x:c>
      <x:c r="J195" s="16" t="n">
        <x:f>IF($X195="","",INDEX('sheet2-计算明细'!$Y$17:$Y$219,$X195))</x:f>
        <x:v>41.41</x:v>
      </x:c>
      <x:c r="K195" s="16" t="n">
        <x:f>IF($X195="","",INDEX('sheet2-计算明细'!$AC$17:$AC$219,$X195))</x:f>
        <x:v>11.88</x:v>
      </x:c>
      <x:c r="L195" s="16" t="n">
        <x:f>IF($X195="","",INDEX('sheet2-计算明细'!$AI$17:$AI$219,$X195))</x:f>
        <x:v>10.39</x:v>
      </x:c>
      <x:c r="M195" s="16" t="n">
        <x:f>IF($X195="","",INDEX('sheet2-计算明细'!$AK$17:$AK$219,$X195))</x:f>
        <x:v>80</x:v>
      </x:c>
      <x:c r="N195" s="17" t="n">
        <x:f t="shared" si="14">IF(ISNUMBER(INDEX('sheet2-计算明细'!$AL$17:$AL$219,$X195)),INDEX('sheet2-计算明细'!$AL$17:$AL$219,$X195),"")</x:f>
        <x:v>84</x:v>
      </x:c>
      <x:c r="O195" s="17" t="n">
        <x:f t="shared" si="15">IF(ISNUMBER(INDEX('sheet2-计算明细'!$AM$17:$AM$219,$X195)),INDEX('sheet2-计算明细'!$AM$17:$AM$219,$X195),"")</x:f>
        <x:v>19.77</x:v>
      </x:c>
      <x:c r="P195" s="17" t="n">
        <x:f t="shared" si="16">IF(ISNUMBER(INDEX('sheet2-计算明细'!$AN$17:$AN$219,$X195)),INDEX('sheet2-计算明细'!$AN$17:$AN$219,$X195),"")</x:f>
        <x:v>11.88</x:v>
      </x:c>
      <x:c r="Q195" s="17" t="n">
        <x:f t="shared" si="17">IF(ISNUMBER(INDEX('sheet2-计算明细'!$AO$17:$AO$219,$X195)),INDEX('sheet2-计算明细'!$AO$17:$AO$219,$X195),"")</x:f>
        <x:v>10.39</x:v>
      </x:c>
      <x:c r="R195" s="17" t="n">
        <x:f t="shared" si="18">IF(ISNUMBER(INDEX('sheet2-计算明细'!$AP$17:$AP$219,$X195)),INDEX('sheet2-计算明细'!$AP$17:$AP$219,$X195),"")</x:f>
        <x:v>80</x:v>
      </x:c>
      <x:c r="S195" s="18" t="n">
        <x:f>IF($X195="","",INDEX('sheet2-计算明细'!$AQ$17:$AQ$219,$X195))</x:f>
        <x:v>1</x:v>
      </x:c>
      <x:c r="T195" s="16" t="n">
        <x:f>IF($X195="","",INDEX('sheet2-计算明细'!$AR$17:$AR$219,$X195))</x:f>
        <x:v>30.641820000000003</x:v>
      </x:c>
      <x:c r="U195" s="17" t="n">
        <x:f t="shared" si="19">IF(S195=0,"",ROUND(T195/S195,2))</x:f>
        <x:v>30.64</x:v>
      </x:c>
      <x:c r="V195" s="17" t="n">
        <x:f t="shared" si="20">IF(ABS(S195-1)&lt;0.00000001,T195,"")</x:f>
        <x:v>30.641820000000003</x:v>
      </x:c>
      <x:c r="W195" s="19" t="str">
        <x:f>IF($X195="","",INDEX('sheet2-计算明细'!$AU$17:$AU$219,$X195))</x:f>
      </x:c>
      <x:c r="X195" s="15" t="n">
        <x:f>IF($A195&gt;COUNT('sheet2-计算明细'!$AT$17:$AT$219),"",MATCH($A195,'sheet2-计算明细'!$AT$17:$AT$219,0))</x:f>
        <x:v>22</x:v>
      </x:c>
    </x:row>
    <x:row r="196" ht="28" customHeight="1">
      <x:c r="A196" s="4" t="n">
        <x:v>191</x:v>
      </x:c>
      <x:c r="B196" s="15" t="str">
        <x:f>IF($X196="","",INDEX('sheet2-计算明细'!$B$17:$B$219,$X196))</x:f>
        <x:v>悬铃瑞享C号1期</x:v>
      </x:c>
      <x:c r="C196" s="15" t="str">
        <x:f>IF($X196="","",INDEX('sheet2-计算明细'!$C$17:$C$219,$X196))</x:f>
        <x:v>SZF187</x:v>
      </x:c>
      <x:c r="D196" s="15" t="str">
        <x:f>IF($X196="","",INDEX('sheet2-计算明细'!$D$17:$D$219,$X196))</x:f>
        <x:v>上海悬铃</x:v>
      </x:c>
      <x:c r="E196" s="15" t="str">
        <x:f>IF($X196="","",INDEX('sheet2-计算明细'!$G$17:$G$219,$X196))</x:f>
        <x:v>入池</x:v>
      </x:c>
      <x:c r="F196" s="16" t="n">
        <x:f>IF($X196="","",INDEX('sheet2-计算明细'!$I$17:$I$219,$X196))</x:f>
        <x:v>90</x:v>
      </x:c>
      <x:c r="G196" s="16" t="n">
        <x:f>IF($X196="","",INDEX('sheet2-计算明细'!$K$17:$K$219,$X196))</x:f>
        <x:v>0</x:v>
      </x:c>
      <x:c r="H196" s="16" t="n">
        <x:f>IF($X196="","",INDEX('sheet2-计算明细'!$L$17:$L$219,$X196))</x:f>
        <x:v>100</x:v>
      </x:c>
      <x:c r="I196" s="16" t="n">
        <x:f>IF($X196="","",INDEX('sheet2-计算明细'!$S$17:$S$219,$X196))</x:f>
        <x:v>16.34</x:v>
      </x:c>
      <x:c r="J196" s="16" t="n">
        <x:f>IF($X196="","",INDEX('sheet2-计算明细'!$Y$17:$Y$219,$X196))</x:f>
        <x:v>45.13</x:v>
      </x:c>
      <x:c r="K196" s="16" t="n">
        <x:f>IF($X196="","",INDEX('sheet2-计算明细'!$AC$17:$AC$219,$X196))</x:f>
        <x:v>21.29</x:v>
      </x:c>
      <x:c r="L196" s="16" t="n">
        <x:f>IF($X196="","",INDEX('sheet2-计算明细'!$AI$17:$AI$219,$X196))</x:f>
        <x:v>7.9</x:v>
      </x:c>
      <x:c r="M196" s="16" t="n">
        <x:f>IF($X196="","",INDEX('sheet2-计算明细'!$AK$17:$AK$219,$X196))</x:f>
        <x:v>80</x:v>
      </x:c>
      <x:c r="N196" s="17" t="n">
        <x:f t="shared" si="14">IF(ISNUMBER(INDEX('sheet2-计算明细'!$AL$17:$AL$219,$X196)),INDEX('sheet2-计算明细'!$AL$17:$AL$219,$X196),"")</x:f>
        <x:v>66</x:v>
      </x:c>
      <x:c r="O196" s="17" t="n">
        <x:f t="shared" si="15">IF(ISNUMBER(INDEX('sheet2-计算明细'!$AM$17:$AM$219,$X196)),INDEX('sheet2-计算明细'!$AM$17:$AM$219,$X196),"")</x:f>
        <x:v>24.98</x:v>
      </x:c>
      <x:c r="P196" s="17" t="n">
        <x:f t="shared" si="16">IF(ISNUMBER(INDEX('sheet2-计算明细'!$AN$17:$AN$219,$X196)),INDEX('sheet2-计算明细'!$AN$17:$AN$219,$X196),"")</x:f>
        <x:v>21.29</x:v>
      </x:c>
      <x:c r="Q196" s="17" t="n">
        <x:f t="shared" si="17">IF(ISNUMBER(INDEX('sheet2-计算明细'!$AO$17:$AO$219,$X196)),INDEX('sheet2-计算明细'!$AO$17:$AO$219,$X196),"")</x:f>
        <x:v>7.9</x:v>
      </x:c>
      <x:c r="R196" s="17" t="n">
        <x:f t="shared" si="18">IF(ISNUMBER(INDEX('sheet2-计算明细'!$AP$17:$AP$219,$X196)),INDEX('sheet2-计算明细'!$AP$17:$AP$219,$X196),"")</x:f>
        <x:v>80</x:v>
      </x:c>
      <x:c r="S196" s="18" t="n">
        <x:f>IF($X196="","",INDEX('sheet2-计算明细'!$AQ$17:$AQ$219,$X196))</x:f>
        <x:v>1</x:v>
      </x:c>
      <x:c r="T196" s="16" t="n">
        <x:f>IF($X196="","",INDEX('sheet2-计算明细'!$AR$17:$AR$219,$X196))</x:f>
        <x:v>30.58826</x:v>
      </x:c>
      <x:c r="U196" s="17" t="n">
        <x:f t="shared" si="19">IF(S196=0,"",ROUND(T196/S196,2))</x:f>
        <x:v>30.59</x:v>
      </x:c>
      <x:c r="V196" s="17" t="n">
        <x:f t="shared" si="20">IF(ABS(S196-1)&lt;0.00000001,T196,"")</x:f>
        <x:v>30.58826</x:v>
      </x:c>
      <x:c r="W196" s="19" t="str">
        <x:f>IF($X196="","",INDEX('sheet2-计算明细'!$AU$17:$AU$219,$X196))</x:f>
      </x:c>
      <x:c r="X196" s="15" t="n">
        <x:f>IF($A196&gt;COUNT('sheet2-计算明细'!$AT$17:$AT$219),"",MATCH($A196,'sheet2-计算明细'!$AT$17:$AT$219,0))</x:f>
        <x:v>85</x:v>
      </x:c>
    </x:row>
    <x:row r="197" ht="28" customHeight="1">
      <x:c r="A197" s="4" t="n">
        <x:v>192</x:v>
      </x:c>
      <x:c r="B197" s="15" t="str">
        <x:f>IF($X197="","",INDEX('sheet2-计算明细'!$B$17:$B$219,$X197))</x:f>
        <x:v>厦门言起博士一号</x:v>
      </x:c>
      <x:c r="C197" s="15" t="str">
        <x:f>IF($X197="","",INDEX('sheet2-计算明细'!$C$17:$C$219,$X197))</x:f>
        <x:v>SJR679</x:v>
      </x:c>
      <x:c r="D197" s="15" t="str">
        <x:f>IF($X197="","",INDEX('sheet2-计算明细'!$D$17:$D$219,$X197))</x:f>
        <x:v>厦门言起投资</x:v>
      </x:c>
      <x:c r="E197" s="15" t="str">
        <x:f>IF($X197="","",INDEX('sheet2-计算明细'!$G$17:$G$219,$X197))</x:f>
        <x:v>入池</x:v>
      </x:c>
      <x:c r="F197" s="16" t="n">
        <x:f>IF($X197="","",INDEX('sheet2-计算明细'!$I$17:$I$219,$X197))</x:f>
        <x:v>60</x:v>
      </x:c>
      <x:c r="G197" s="16" t="n">
        <x:f>IF($X197="","",INDEX('sheet2-计算明细'!$K$17:$K$219,$X197))</x:f>
        <x:v>0</x:v>
      </x:c>
      <x:c r="H197" s="16" t="n">
        <x:f>IF($X197="","",INDEX('sheet2-计算明细'!$L$17:$L$219,$X197))</x:f>
        <x:v>100</x:v>
      </x:c>
      <x:c r="I197" s="16" t="n">
        <x:f>IF($X197="","",INDEX('sheet2-计算明细'!$S$17:$S$219,$X197))</x:f>
        <x:v>14.85</x:v>
      </x:c>
      <x:c r="J197" s="16" t="n">
        <x:f>IF($X197="","",INDEX('sheet2-计算明细'!$Y$17:$Y$219,$X197))</x:f>
        <x:v>58.97</x:v>
      </x:c>
      <x:c r="K197" s="16" t="n">
        <x:f>IF($X197="","",INDEX('sheet2-计算明细'!$AC$17:$AC$219,$X197))</x:f>
        <x:v>16.83</x:v>
      </x:c>
      <x:c r="L197" s="16" t="n">
        <x:f>IF($X197="","",INDEX('sheet2-计算明细'!$AI$17:$AI$219,$X197))</x:f>
        <x:v>4.98</x:v>
      </x:c>
      <x:c r="M197" s="16" t="n">
        <x:f>IF($X197="","",INDEX('sheet2-计算明细'!$AK$17:$AK$219,$X197))</x:f>
        <x:v>80</x:v>
      </x:c>
      <x:c r="N197" s="17" t="n">
        <x:f t="shared" si="14">IF(ISNUMBER(INDEX('sheet2-计算明细'!$AL$17:$AL$219,$X197)),INDEX('sheet2-计算明细'!$AL$17:$AL$219,$X197),"")</x:f>
        <x:v>54</x:v>
      </x:c>
      <x:c r="O197" s="17" t="n">
        <x:f t="shared" si="15">IF(ISNUMBER(INDEX('sheet2-计算明细'!$AM$17:$AM$219,$X197)),INDEX('sheet2-计算明细'!$AM$17:$AM$219,$X197),"")</x:f>
        <x:v>28.09</x:v>
      </x:c>
      <x:c r="P197" s="17" t="n">
        <x:f t="shared" si="16">IF(ISNUMBER(INDEX('sheet2-计算明细'!$AN$17:$AN$219,$X197)),INDEX('sheet2-计算明细'!$AN$17:$AN$219,$X197),"")</x:f>
        <x:v>16.83</x:v>
      </x:c>
      <x:c r="Q197" s="17" t="n">
        <x:f t="shared" si="17">IF(ISNUMBER(INDEX('sheet2-计算明细'!$AO$17:$AO$219,$X197)),INDEX('sheet2-计算明细'!$AO$17:$AO$219,$X197),"")</x:f>
        <x:v>4.98</x:v>
      </x:c>
      <x:c r="R197" s="17" t="n">
        <x:f t="shared" si="18">IF(ISNUMBER(INDEX('sheet2-计算明细'!$AP$17:$AP$219,$X197)),INDEX('sheet2-计算明细'!$AP$17:$AP$219,$X197),"")</x:f>
        <x:v>80</x:v>
      </x:c>
      <x:c r="S197" s="18" t="n">
        <x:f>IF($X197="","",INDEX('sheet2-计算明细'!$AQ$17:$AQ$219,$X197))</x:f>
        <x:v>0.88</x:v>
      </x:c>
      <x:c r="T197" s="16" t="n">
        <x:f>IF($X197="","",INDEX('sheet2-计算明细'!$AR$17:$AR$219,$X197))</x:f>
        <x:v>26.821369999999998</x:v>
      </x:c>
      <x:c r="U197" s="17" t="n">
        <x:f t="shared" si="19">IF(S197=0,"",ROUND(T197/S197,2))</x:f>
        <x:v>30.48</x:v>
      </x:c>
      <x:c r="V197" s="17" t="str">
        <x:f t="shared" si="20">IF(ABS(S197-1)&lt;0.00000001,T197,"")</x:f>
      </x:c>
      <x:c r="W197" s="19" t="str">
        <x:f>IF($X197="","",INDEX('sheet2-计算明细'!$AU$17:$AU$219,$X197))</x:f>
        <x:v>DD_long不可识别；</x:v>
      </x:c>
      <x:c r="X197" s="15" t="n">
        <x:f>IF($A197&gt;COUNT('sheet2-计算明细'!$AT$17:$AT$219),"",MATCH($A197,'sheet2-计算明细'!$AT$17:$AT$219,0))</x:f>
        <x:v>123</x:v>
      </x:c>
    </x:row>
    <x:row r="198" ht="28" customHeight="1">
      <x:c r="A198" s="4" t="n">
        <x:v>193</x:v>
      </x:c>
      <x:c r="B198" s="15" t="str">
        <x:f>IF($X198="","",INDEX('sheet2-计算明细'!$B$17:$B$219,$X198))</x:f>
        <x:v>银瓴运通对冲套利致远3号</x:v>
      </x:c>
      <x:c r="C198" s="15" t="str">
        <x:f>IF($X198="","",INDEX('sheet2-计算明细'!$C$17:$C$219,$X198))</x:f>
        <x:v>SLC023</x:v>
      </x:c>
      <x:c r="D198" s="15" t="str">
        <x:f>IF($X198="","",INDEX('sheet2-计算明细'!$D$17:$D$219,$X198))</x:f>
        <x:v>广西银瓴资产</x:v>
      </x:c>
      <x:c r="E198" s="15" t="str">
        <x:f>IF($X198="","",INDEX('sheet2-计算明细'!$G$17:$G$219,$X198))</x:f>
        <x:v>入池</x:v>
      </x:c>
      <x:c r="F198" s="16" t="n">
        <x:f>IF($X198="","",INDEX('sheet2-计算明细'!$I$17:$I$219,$X198))</x:f>
        <x:v>60</x:v>
      </x:c>
      <x:c r="G198" s="16" t="n">
        <x:f>IF($X198="","",INDEX('sheet2-计算明细'!$K$17:$K$219,$X198))</x:f>
        <x:v>0</x:v>
      </x:c>
      <x:c r="H198" s="16" t="n">
        <x:f>IF($X198="","",INDEX('sheet2-计算明细'!$L$17:$L$219,$X198))</x:f>
        <x:v>100</x:v>
      </x:c>
      <x:c r="I198" s="16" t="n">
        <x:f>IF($X198="","",INDEX('sheet2-计算明细'!$S$17:$S$219,$X198))</x:f>
        <x:v>10.3</x:v>
      </x:c>
      <x:c r="J198" s="16" t="n">
        <x:f>IF($X198="","",INDEX('sheet2-计算明细'!$Y$17:$Y$219,$X198))</x:f>
        <x:v>56.92</x:v>
      </x:c>
      <x:c r="K198" s="16" t="n">
        <x:f>IF($X198="","",INDEX('sheet2-计算明细'!$AC$17:$AC$219,$X198))</x:f>
        <x:v>23.76</x:v>
      </x:c>
      <x:c r="L198" s="16" t="n">
        <x:f>IF($X198="","",INDEX('sheet2-计算明细'!$AI$17:$AI$219,$X198))</x:f>
        <x:v>10.06</x:v>
      </x:c>
      <x:c r="M198" s="16" t="n">
        <x:f>IF($X198="","",INDEX('sheet2-计算明细'!$AK$17:$AK$219,$X198))</x:f>
        <x:v>80</x:v>
      </x:c>
      <x:c r="N198" s="17" t="n">
        <x:f t="shared" ref="N198:N261" si="21">IF(ISNUMBER(INDEX('sheet2-计算明细'!$AL$17:$AL$219,$X198)),INDEX('sheet2-计算明细'!$AL$17:$AL$219,$X198),"")</x:f>
        <x:v>54</x:v>
      </x:c>
      <x:c r="O198" s="17" t="n">
        <x:f t="shared" ref="O198:O261" si="22">IF(ISNUMBER(INDEX('sheet2-计算明细'!$AM$17:$AM$219,$X198)),INDEX('sheet2-计算明细'!$AM$17:$AM$219,$X198),"")</x:f>
        <x:v>24.28</x:v>
      </x:c>
      <x:c r="P198" s="17" t="n">
        <x:f t="shared" ref="P198:P261" si="23">IF(ISNUMBER(INDEX('sheet2-计算明细'!$AN$17:$AN$219,$X198)),INDEX('sheet2-计算明细'!$AN$17:$AN$219,$X198),"")</x:f>
        <x:v>23.76</x:v>
      </x:c>
      <x:c r="Q198" s="17" t="n">
        <x:f t="shared" ref="Q198:Q261" si="24">IF(ISNUMBER(INDEX('sheet2-计算明细'!$AO$17:$AO$219,$X198)),INDEX('sheet2-计算明细'!$AO$17:$AO$219,$X198),"")</x:f>
        <x:v>10.06</x:v>
      </x:c>
      <x:c r="R198" s="17" t="n">
        <x:f t="shared" ref="R198:R261" si="25">IF(ISNUMBER(INDEX('sheet2-计算明细'!$AP$17:$AP$219,$X198)),INDEX('sheet2-计算明细'!$AP$17:$AP$219,$X198),"")</x:f>
        <x:v>80</x:v>
      </x:c>
      <x:c r="S198" s="18" t="n">
        <x:f>IF($X198="","",INDEX('sheet2-计算明细'!$AQ$17:$AQ$219,$X198))</x:f>
        <x:v>1</x:v>
      </x:c>
      <x:c r="T198" s="16" t="n">
        <x:f>IF($X198="","",INDEX('sheet2-计算明细'!$AR$17:$AR$219,$X198))</x:f>
        <x:v>29.91411</x:v>
      </x:c>
      <x:c r="U198" s="17" t="n">
        <x:f t="shared" ref="U198:U261" si="26">IF(S198=0,"",ROUND(T198/S198,2))</x:f>
        <x:v>29.91</x:v>
      </x:c>
      <x:c r="V198" s="17" t="n">
        <x:f t="shared" ref="V198:V261" si="27">IF(ABS(S198-1)&lt;0.00000001,T198,"")</x:f>
        <x:v>29.91411</x:v>
      </x:c>
      <x:c r="W198" s="19" t="str">
        <x:f>IF($X198="","",INDEX('sheet2-计算明细'!$AU$17:$AU$219,$X198))</x:f>
      </x:c>
      <x:c r="X198" s="15" t="n">
        <x:f>IF($A198&gt;COUNT('sheet2-计算明细'!$AT$17:$AT$219),"",MATCH($A198,'sheet2-计算明细'!$AT$17:$AT$219,0))</x:f>
        <x:v>21</x:v>
      </x:c>
    </x:row>
    <x:row r="199" ht="28" customHeight="1">
      <x:c r="A199" s="4" t="n">
        <x:v>194</x:v>
      </x:c>
      <x:c r="B199" s="15" t="str">
        <x:f>IF($X199="","",INDEX('sheet2-计算明细'!$B$17:$B$219,$X199))</x:f>
        <x:v>晟通京华宏观对冲</x:v>
      </x:c>
      <x:c r="C199" s="15" t="str">
        <x:f>IF($X199="","",INDEX('sheet2-计算明细'!$C$17:$C$219,$X199))</x:f>
        <x:v>SNG078</x:v>
      </x:c>
      <x:c r="D199" s="15" t="str">
        <x:f>IF($X199="","",INDEX('sheet2-计算明细'!$D$17:$D$219,$X199))</x:f>
        <x:v>深圳前海晟通资管</x:v>
      </x:c>
      <x:c r="E199" s="15" t="str">
        <x:f>IF($X199="","",INDEX('sheet2-计算明细'!$G$17:$G$219,$X199))</x:f>
        <x:v>入池</x:v>
      </x:c>
      <x:c r="F199" s="16" t="n">
        <x:f>IF($X199="","",INDEX('sheet2-计算明细'!$I$17:$I$219,$X199))</x:f>
        <x:v>60</x:v>
      </x:c>
      <x:c r="G199" s="16" t="n">
        <x:f>IF($X199="","",INDEX('sheet2-计算明细'!$K$17:$K$219,$X199))</x:f>
        <x:v>0</x:v>
      </x:c>
      <x:c r="H199" s="16" t="n">
        <x:f>IF($X199="","",INDEX('sheet2-计算明细'!$L$17:$L$219,$X199))</x:f>
        <x:v>100</x:v>
      </x:c>
      <x:c r="I199" s="16" t="n">
        <x:f>IF($X199="","",INDEX('sheet2-计算明细'!$S$17:$S$219,$X199))</x:f>
        <x:v>17.67</x:v>
      </x:c>
      <x:c r="J199" s="16" t="n">
        <x:f>IF($X199="","",INDEX('sheet2-计算明细'!$Y$17:$Y$219,$X199))</x:f>
        <x:v>43.08</x:v>
      </x:c>
      <x:c r="K199" s="16" t="n">
        <x:f>IF($X199="","",INDEX('sheet2-计算明细'!$AC$17:$AC$219,$X199))</x:f>
        <x:v>14.85</x:v>
      </x:c>
      <x:c r="L199" s="16" t="n">
        <x:f>IF($X199="","",INDEX('sheet2-计算明细'!$AI$17:$AI$219,$X199))</x:f>
        <x:v>14.82</x:v>
      </x:c>
      <x:c r="M199" s="16" t="n">
        <x:f>IF($X199="","",INDEX('sheet2-计算明细'!$AK$17:$AK$219,$X199))</x:f>
        <x:v>80</x:v>
      </x:c>
      <x:c r="N199" s="17" t="n">
        <x:f t="shared" si="21">IF(ISNUMBER(INDEX('sheet2-计算明细'!$AL$17:$AL$219,$X199)),INDEX('sheet2-计算明细'!$AL$17:$AL$219,$X199),"")</x:f>
        <x:v>54</x:v>
      </x:c>
      <x:c r="O199" s="17" t="n">
        <x:f t="shared" si="22">IF(ISNUMBER(INDEX('sheet2-计算明细'!$AM$17:$AM$219,$X199)),INDEX('sheet2-计算明细'!$AM$17:$AM$219,$X199),"")</x:f>
        <x:v>25.29</x:v>
      </x:c>
      <x:c r="P199" s="17" t="n">
        <x:f t="shared" si="23">IF(ISNUMBER(INDEX('sheet2-计算明细'!$AN$17:$AN$219,$X199)),INDEX('sheet2-计算明细'!$AN$17:$AN$219,$X199),"")</x:f>
        <x:v>14.85</x:v>
      </x:c>
      <x:c r="Q199" s="17" t="n">
        <x:f t="shared" si="24">IF(ISNUMBER(INDEX('sheet2-计算明细'!$AO$17:$AO$219,$X199)),INDEX('sheet2-计算明细'!$AO$17:$AO$219,$X199),"")</x:f>
        <x:v>14.82</x:v>
      </x:c>
      <x:c r="R199" s="17" t="n">
        <x:f t="shared" si="25">IF(ISNUMBER(INDEX('sheet2-计算明细'!$AP$17:$AP$219,$X199)),INDEX('sheet2-计算明细'!$AP$17:$AP$219,$X199),"")</x:f>
        <x:v>80</x:v>
      </x:c>
      <x:c r="S199" s="18" t="n">
        <x:f>IF($X199="","",INDEX('sheet2-计算明细'!$AQ$17:$AQ$219,$X199))</x:f>
        <x:v>1</x:v>
      </x:c>
      <x:c r="T199" s="16" t="n">
        <x:f>IF($X199="","",INDEX('sheet2-计算明细'!$AR$17:$AR$219,$X199))</x:f>
        <x:v>29.318229999999996</x:v>
      </x:c>
      <x:c r="U199" s="17" t="n">
        <x:f t="shared" si="26">IF(S199=0,"",ROUND(T199/S199,2))</x:f>
        <x:v>29.32</x:v>
      </x:c>
      <x:c r="V199" s="17" t="n">
        <x:f t="shared" si="27">IF(ABS(S199-1)&lt;0.00000001,T199,"")</x:f>
        <x:v>29.318229999999996</x:v>
      </x:c>
      <x:c r="W199" s="19" t="str">
        <x:f>IF($X199="","",INDEX('sheet2-计算明细'!$AU$17:$AU$219,$X199))</x:f>
      </x:c>
      <x:c r="X199" s="15" t="n">
        <x:f>IF($A199&gt;COUNT('sheet2-计算明细'!$AT$17:$AT$219),"",MATCH($A199,'sheet2-计算明细'!$AT$17:$AT$219,0))</x:f>
        <x:v>78</x:v>
      </x:c>
    </x:row>
    <x:row r="200" ht="28" customHeight="1">
      <x:c r="A200" s="4" t="n">
        <x:v>195</x:v>
      </x:c>
      <x:c r="B200" s="15" t="str">
        <x:f>IF($X200="","",INDEX('sheet2-计算明细'!$B$17:$B$219,$X200))</x:f>
        <x:v>泰创稳健二号</x:v>
      </x:c>
      <x:c r="C200" s="15" t="str">
        <x:f>IF($X200="","",INDEX('sheet2-计算明细'!$C$17:$C$219,$X200))</x:f>
        <x:v>SXP356</x:v>
      </x:c>
      <x:c r="D200" s="15" t="str">
        <x:f>IF($X200="","",INDEX('sheet2-计算明细'!$D$17:$D$219,$X200))</x:f>
        <x:v>北京泰创投资</x:v>
      </x:c>
      <x:c r="E200" s="15" t="str">
        <x:f>IF($X200="","",INDEX('sheet2-计算明细'!$G$17:$G$219,$X200))</x:f>
        <x:v>入池</x:v>
      </x:c>
      <x:c r="F200" s="16" t="n">
        <x:f>IF($X200="","",INDEX('sheet2-计算明细'!$I$17:$I$219,$X200))</x:f>
        <x:v>70</x:v>
      </x:c>
      <x:c r="G200" s="16" t="n">
        <x:f>IF($X200="","",INDEX('sheet2-计算明细'!$K$17:$K$219,$X200))</x:f>
        <x:v>100</x:v>
      </x:c>
      <x:c r="H200" s="16" t="n">
        <x:f>IF($X200="","",INDEX('sheet2-计算明细'!$L$17:$L$219,$X200))</x:f>
        <x:v>100</x:v>
      </x:c>
      <x:c r="I200" s="16" t="n">
        <x:f>IF($X200="","",INDEX('sheet2-计算明细'!$S$17:$S$219,$X200))</x:f>
        <x:v>5.35</x:v>
      </x:c>
      <x:c r="J200" s="16" t="n">
        <x:f>IF($X200="","",INDEX('sheet2-计算明细'!$Y$17:$Y$219,$X200))</x:f>
        <x:v>39.74</x:v>
      </x:c>
      <x:c r="K200" s="16" t="n">
        <x:f>IF($X200="","",INDEX('sheet2-计算明细'!$AC$17:$AC$219,$X200))</x:f>
        <x:v>13.86</x:v>
      </x:c>
      <x:c r="L200" s="16" t="n">
        <x:f>IF($X200="","",INDEX('sheet2-计算明细'!$AI$17:$AI$219,$X200))</x:f>
        <x:v>4.73</x:v>
      </x:c>
      <x:c r="M200" s="16" t="n">
        <x:f>IF($X200="","",INDEX('sheet2-计算明细'!$AK$17:$AK$219,$X200))</x:f>
        <x:v>80</x:v>
      </x:c>
      <x:c r="N200" s="17" t="n">
        <x:f t="shared" si="21">IF(ISNUMBER(INDEX('sheet2-计算明细'!$AL$17:$AL$219,$X200)),INDEX('sheet2-计算明细'!$AL$17:$AL$219,$X200),"")</x:f>
        <x:v>88</x:v>
      </x:c>
      <x:c r="O200" s="17" t="n">
        <x:f t="shared" si="22">IF(ISNUMBER(INDEX('sheet2-计算明细'!$AM$17:$AM$219,$X200)),INDEX('sheet2-计算明细'!$AM$17:$AM$219,$X200),"")</x:f>
        <x:v>15.67</x:v>
      </x:c>
      <x:c r="P200" s="17" t="n">
        <x:f t="shared" si="23">IF(ISNUMBER(INDEX('sheet2-计算明细'!$AN$17:$AN$219,$X200)),INDEX('sheet2-计算明细'!$AN$17:$AN$219,$X200),"")</x:f>
        <x:v>13.86</x:v>
      </x:c>
      <x:c r="Q200" s="17" t="n">
        <x:f t="shared" si="24">IF(ISNUMBER(INDEX('sheet2-计算明细'!$AO$17:$AO$219,$X200)),INDEX('sheet2-计算明细'!$AO$17:$AO$219,$X200),"")</x:f>
        <x:v>4.73</x:v>
      </x:c>
      <x:c r="R200" s="17" t="n">
        <x:f t="shared" si="25">IF(ISNUMBER(INDEX('sheet2-计算明细'!$AP$17:$AP$219,$X200)),INDEX('sheet2-计算明细'!$AP$17:$AP$219,$X200),"")</x:f>
        <x:v>80</x:v>
      </x:c>
      <x:c r="S200" s="18" t="n">
        <x:f>IF($X200="","",INDEX('sheet2-计算明细'!$AQ$17:$AQ$219,$X200))</x:f>
        <x:v>1</x:v>
      </x:c>
      <x:c r="T200" s="16" t="n">
        <x:f>IF($X200="","",INDEX('sheet2-计算明细'!$AR$17:$AR$219,$X200))</x:f>
        <x:v>29.21788</x:v>
      </x:c>
      <x:c r="U200" s="17" t="n">
        <x:f t="shared" si="26">IF(S200=0,"",ROUND(T200/S200,2))</x:f>
        <x:v>29.22</x:v>
      </x:c>
      <x:c r="V200" s="17" t="n">
        <x:f t="shared" si="27">IF(ABS(S200-1)&lt;0.00000001,T200,"")</x:f>
        <x:v>29.21788</x:v>
      </x:c>
      <x:c r="W200" s="19" t="str">
        <x:f>IF($X200="","",INDEX('sheet2-计算明细'!$AU$17:$AU$219,$X200))</x:f>
      </x:c>
      <x:c r="X200" s="15" t="n">
        <x:f>IF($A200&gt;COUNT('sheet2-计算明细'!$AT$17:$AT$219),"",MATCH($A200,'sheet2-计算明细'!$AT$17:$AT$219,0))</x:f>
        <x:v>165</x:v>
      </x:c>
    </x:row>
    <x:row r="201" ht="28" customHeight="1">
      <x:c r="A201" s="4" t="n">
        <x:v>196</x:v>
      </x:c>
      <x:c r="B201" s="15" t="str">
        <x:f>IF($X201="","",INDEX('sheet2-计算明细'!$B$17:$B$219,$X201))</x:f>
        <x:v>言起投资价值成长1号</x:v>
      </x:c>
      <x:c r="C201" s="15" t="str">
        <x:f>IF($X201="","",INDEX('sheet2-计算明细'!$C$17:$C$219,$X201))</x:f>
        <x:v>SZL583</x:v>
      </x:c>
      <x:c r="D201" s="15" t="str">
        <x:f>IF($X201="","",INDEX('sheet2-计算明细'!$D$17:$D$219,$X201))</x:f>
        <x:v>厦门言起投资</x:v>
      </x:c>
      <x:c r="E201" s="15" t="str">
        <x:f>IF($X201="","",INDEX('sheet2-计算明细'!$G$17:$G$219,$X201))</x:f>
        <x:v>入池</x:v>
      </x:c>
      <x:c r="F201" s="16" t="n">
        <x:f>IF($X201="","",INDEX('sheet2-计算明细'!$I$17:$I$219,$X201))</x:f>
        <x:v>60</x:v>
      </x:c>
      <x:c r="G201" s="16" t="n">
        <x:f>IF($X201="","",INDEX('sheet2-计算明细'!$K$17:$K$219,$X201))</x:f>
        <x:v>100</x:v>
      </x:c>
      <x:c r="H201" s="16" t="n">
        <x:f>IF($X201="","",INDEX('sheet2-计算明细'!$L$17:$L$219,$X201))</x:f>
        <x:v>100</x:v>
      </x:c>
      <x:c r="I201" s="16" t="n">
        <x:f>IF($X201="","",INDEX('sheet2-计算明细'!$S$17:$S$219,$X201))</x:f>
        <x:v>6.93</x:v>
      </x:c>
      <x:c r="J201" s="16" t="n">
        <x:f>IF($X201="","",INDEX('sheet2-计算明细'!$Y$17:$Y$219,$X201))</x:f>
        <x:v>30.52</x:v>
      </x:c>
      <x:c r="K201" s="16" t="n">
        <x:f>IF($X201="","",INDEX('sheet2-计算明细'!$AC$17:$AC$219,$X201))</x:f>
        <x:v>3.96</x:v>
      </x:c>
      <x:c r="L201" s="16" t="n">
        <x:f>IF($X201="","",INDEX('sheet2-计算明细'!$AI$17:$AI$219,$X201))</x:f>
        <x:v>5.97</x:v>
      </x:c>
      <x:c r="M201" s="16" t="n">
        <x:f>IF($X201="","",INDEX('sheet2-计算明细'!$AK$17:$AK$219,$X201))</x:f>
        <x:v>80</x:v>
      </x:c>
      <x:c r="N201" s="17" t="n">
        <x:f t="shared" si="21">IF(ISNUMBER(INDEX('sheet2-计算明细'!$AL$17:$AL$219,$X201)),INDEX('sheet2-计算明细'!$AL$17:$AL$219,$X201),"")</x:f>
        <x:v>84</x:v>
      </x:c>
      <x:c r="O201" s="17" t="n">
        <x:f t="shared" si="22">IF(ISNUMBER(INDEX('sheet2-计算明细'!$AM$17:$AM$219,$X201)),INDEX('sheet2-计算明细'!$AM$17:$AM$219,$X201),"")</x:f>
        <x:v>14.01</x:v>
      </x:c>
      <x:c r="P201" s="17" t="n">
        <x:f t="shared" si="23">IF(ISNUMBER(INDEX('sheet2-计算明细'!$AN$17:$AN$219,$X201)),INDEX('sheet2-计算明细'!$AN$17:$AN$219,$X201),"")</x:f>
        <x:v>3.96</x:v>
      </x:c>
      <x:c r="Q201" s="17" t="n">
        <x:f t="shared" si="24">IF(ISNUMBER(INDEX('sheet2-计算明细'!$AO$17:$AO$219,$X201)),INDEX('sheet2-计算明细'!$AO$17:$AO$219,$X201),"")</x:f>
        <x:v>5.97</x:v>
      </x:c>
      <x:c r="R201" s="17" t="n">
        <x:f t="shared" si="25">IF(ISNUMBER(INDEX('sheet2-计算明细'!$AP$17:$AP$219,$X201)),INDEX('sheet2-计算明细'!$AP$17:$AP$219,$X201),"")</x:f>
        <x:v>80</x:v>
      </x:c>
      <x:c r="S201" s="18" t="n">
        <x:f>IF($X201="","",INDEX('sheet2-计算明细'!$AQ$17:$AQ$219,$X201))</x:f>
        <x:v>0.88</x:v>
      </x:c>
      <x:c r="T201" s="16" t="n">
        <x:f>IF($X201="","",INDEX('sheet2-计算明细'!$AR$17:$AR$219,$X201))</x:f>
        <x:v>25.4661</x:v>
      </x:c>
      <x:c r="U201" s="17" t="n">
        <x:f t="shared" si="26">IF(S201=0,"",ROUND(T201/S201,2))</x:f>
        <x:v>28.94</x:v>
      </x:c>
      <x:c r="V201" s="17" t="str">
        <x:f t="shared" si="27">IF(ABS(S201-1)&lt;0.00000001,T201,"")</x:f>
      </x:c>
      <x:c r="W201" s="19" t="str">
        <x:f>IF($X201="","",INDEX('sheet2-计算明细'!$AU$17:$AU$219,$X201))</x:f>
        <x:v>DD_long不可识别；</x:v>
      </x:c>
      <x:c r="X201" s="15" t="n">
        <x:f>IF($A201&gt;COUNT('sheet2-计算明细'!$AT$17:$AT$219),"",MATCH($A201,'sheet2-计算明细'!$AT$17:$AT$219,0))</x:f>
        <x:v>180</x:v>
      </x:c>
    </x:row>
    <x:row r="202" ht="28" customHeight="1">
      <x:c r="A202" s="4" t="n">
        <x:v>197</x:v>
      </x:c>
      <x:c r="B202" s="15" t="str">
        <x:f>IF($X202="","",INDEX('sheet2-计算明细'!$B$17:$B$219,$X202))</x:f>
        <x:v>韵之嘉益</x:v>
      </x:c>
      <x:c r="C202" s="15" t="str">
        <x:f>IF($X202="","",INDEX('sheet2-计算明细'!$C$17:$C$219,$X202))</x:f>
        <x:v>SB1775</x:v>
      </x:c>
      <x:c r="D202" s="15" t="str">
        <x:f>IF($X202="","",INDEX('sheet2-计算明细'!$D$17:$D$219,$X202))</x:f>
        <x:v>北京韵之</x:v>
      </x:c>
      <x:c r="E202" s="15" t="str">
        <x:f>IF($X202="","",INDEX('sheet2-计算明细'!$G$17:$G$219,$X202))</x:f>
        <x:v>入池</x:v>
      </x:c>
      <x:c r="F202" s="16" t="n">
        <x:f>IF($X202="","",INDEX('sheet2-计算明细'!$I$17:$I$219,$X202))</x:f>
        <x:v>70</x:v>
      </x:c>
      <x:c r="G202" s="16" t="n">
        <x:f>IF($X202="","",INDEX('sheet2-计算明细'!$K$17:$K$219,$X202))</x:f>
        <x:v>100</x:v>
      </x:c>
      <x:c r="H202" s="16" t="n">
        <x:f>IF($X202="","",INDEX('sheet2-计算明细'!$L$17:$L$219,$X202))</x:f>
        <x:v>100</x:v>
      </x:c>
      <x:c r="I202" s="16" t="n">
        <x:f>IF($X202="","",INDEX('sheet2-计算明细'!$S$17:$S$219,$X202))</x:f>
        <x:v>3.17</x:v>
      </x:c>
      <x:c r="J202" s="16" t="n">
        <x:f>IF($X202="","",INDEX('sheet2-计算明细'!$Y$17:$Y$219,$X202))</x:f>
        <x:v>52.69</x:v>
      </x:c>
      <x:c r="K202" s="16" t="n">
        <x:f>IF($X202="","",INDEX('sheet2-计算明细'!$AC$17:$AC$219,$X202))</x:f>
        <x:v>10.4</x:v>
      </x:c>
      <x:c r="L202" s="16" t="n">
        <x:f>IF($X202="","",INDEX('sheet2-计算明细'!$AI$17:$AI$219,$X202))</x:f>
        <x:v>3.56</x:v>
      </x:c>
      <x:c r="M202" s="16" t="n">
        <x:f>IF($X202="","",INDEX('sheet2-计算明细'!$AK$17:$AK$219,$X202))</x:f>
        <x:v>80</x:v>
      </x:c>
      <x:c r="N202" s="17" t="n">
        <x:f t="shared" si="21">IF(ISNUMBER(INDEX('sheet2-计算明细'!$AL$17:$AL$219,$X202)),INDEX('sheet2-计算明细'!$AL$17:$AL$219,$X202),"")</x:f>
        <x:v>88</x:v>
      </x:c>
      <x:c r="O202" s="17" t="n">
        <x:f t="shared" si="22">IF(ISNUMBER(INDEX('sheet2-计算明细'!$AM$17:$AM$219,$X202)),INDEX('sheet2-计算明细'!$AM$17:$AM$219,$X202),"")</x:f>
        <x:v>18.03</x:v>
      </x:c>
      <x:c r="P202" s="17" t="n">
        <x:f t="shared" si="23">IF(ISNUMBER(INDEX('sheet2-计算明细'!$AN$17:$AN$219,$X202)),INDEX('sheet2-计算明细'!$AN$17:$AN$219,$X202),"")</x:f>
        <x:v>10.4</x:v>
      </x:c>
      <x:c r="Q202" s="17" t="n">
        <x:f t="shared" si="24">IF(ISNUMBER(INDEX('sheet2-计算明细'!$AO$17:$AO$219,$X202)),INDEX('sheet2-计算明细'!$AO$17:$AO$219,$X202),"")</x:f>
        <x:v>3.56</x:v>
      </x:c>
      <x:c r="R202" s="17" t="n">
        <x:f t="shared" si="25">IF(ISNUMBER(INDEX('sheet2-计算明细'!$AP$17:$AP$219,$X202)),INDEX('sheet2-计算明细'!$AP$17:$AP$219,$X202),"")</x:f>
        <x:v>80</x:v>
      </x:c>
      <x:c r="S202" s="18" t="n">
        <x:f>IF($X202="","",INDEX('sheet2-计算明细'!$AQ$17:$AQ$219,$X202))</x:f>
        <x:v>1</x:v>
      </x:c>
      <x:c r="T202" s="16" t="n">
        <x:f>IF($X202="","",INDEX('sheet2-计算明细'!$AR$17:$AR$219,$X202))</x:f>
        <x:v>28.471890000000002</x:v>
      </x:c>
      <x:c r="U202" s="17" t="n">
        <x:f t="shared" si="26">IF(S202=0,"",ROUND(T202/S202,2))</x:f>
        <x:v>28.47</x:v>
      </x:c>
      <x:c r="V202" s="17" t="n">
        <x:f t="shared" si="27">IF(ABS(S202-1)&lt;0.00000001,T202,"")</x:f>
        <x:v>28.471890000000002</x:v>
      </x:c>
      <x:c r="W202" s="19" t="str">
        <x:f>IF($X202="","",INDEX('sheet2-计算明细'!$AU$17:$AU$219,$X202))</x:f>
      </x:c>
      <x:c r="X202" s="15" t="n">
        <x:f>IF($A202&gt;COUNT('sheet2-计算明细'!$AT$17:$AT$219),"",MATCH($A202,'sheet2-计算明细'!$AT$17:$AT$219,0))</x:f>
        <x:v>71</x:v>
      </x:c>
    </x:row>
    <x:row r="203" ht="28" customHeight="1">
      <x:c r="A203" s="4" t="n">
        <x:v>198</x:v>
      </x:c>
      <x:c r="B203" s="15" t="str">
        <x:f>IF($X203="","",INDEX('sheet2-计算明细'!$B$17:$B$219,$X203))</x:f>
        <x:v>晨乐佳享3号</x:v>
      </x:c>
      <x:c r="C203" s="15" t="str">
        <x:f>IF($X203="","",INDEX('sheet2-计算明细'!$C$17:$C$219,$X203))</x:f>
        <x:v>SEX105</x:v>
      </x:c>
      <x:c r="D203" s="15" t="str">
        <x:f>IF($X203="","",INDEX('sheet2-计算明细'!$D$17:$D$219,$X203))</x:f>
        <x:v>北京晨乐资管</x:v>
      </x:c>
      <x:c r="E203" s="15" t="str">
        <x:f>IF($X203="","",INDEX('sheet2-计算明细'!$G$17:$G$219,$X203))</x:f>
        <x:v>入池</x:v>
      </x:c>
      <x:c r="F203" s="16" t="n">
        <x:f>IF($X203="","",INDEX('sheet2-计算明细'!$I$17:$I$219,$X203))</x:f>
        <x:v>70</x:v>
      </x:c>
      <x:c r="G203" s="16" t="n">
        <x:f>IF($X203="","",INDEX('sheet2-计算明细'!$K$17:$K$219,$X203))</x:f>
        <x:v>100</x:v>
      </x:c>
      <x:c r="H203" s="16" t="n">
        <x:f>IF($X203="","",INDEX('sheet2-计算明细'!$L$17:$L$219,$X203))</x:f>
        <x:v>100</x:v>
      </x:c>
      <x:c r="I203" s="16" t="n">
        <x:f>IF($X203="","",INDEX('sheet2-计算明细'!$S$17:$S$219,$X203))</x:f>
        <x:v>27.53</x:v>
      </x:c>
      <x:c r="J203" s="16" t="n">
        <x:f>IF($X203="","",INDEX('sheet2-计算明细'!$Y$17:$Y$219,$X203))</x:f>
        <x:v>46.41</x:v>
      </x:c>
      <x:c r="K203" s="16" t="n">
        <x:f>IF($X203="","",INDEX('sheet2-计算明细'!$AC$17:$AC$219,$X203))</x:f>
        <x:v>0</x:v>
      </x:c>
      <x:c r="L203" s="16" t="n">
        <x:f>IF($X203="","",INDEX('sheet2-计算明细'!$AI$17:$AI$219,$X203))</x:f>
        <x:v>5.59</x:v>
      </x:c>
      <x:c r="M203" s="16" t="n">
        <x:f>IF($X203="","",INDEX('sheet2-计算明细'!$AK$17:$AK$219,$X203))</x:f>
        <x:v>60</x:v>
      </x:c>
      <x:c r="N203" s="17" t="n">
        <x:f t="shared" si="21">IF(ISNUMBER(INDEX('sheet2-计算明细'!$AL$17:$AL$219,$X203)),INDEX('sheet2-计算明细'!$AL$17:$AL$219,$X203),"")</x:f>
        <x:v>88</x:v>
      </x:c>
      <x:c r="O203" s="17" t="n">
        <x:f t="shared" si="22">IF(ISNUMBER(INDEX('sheet2-计算明细'!$AM$17:$AM$219,$X203)),INDEX('sheet2-计算明细'!$AM$17:$AM$219,$X203),"")</x:f>
        <x:v>33.19</x:v>
      </x:c>
      <x:c r="P203" s="17" t="n">
        <x:f t="shared" si="23">IF(ISNUMBER(INDEX('sheet2-计算明细'!$AN$17:$AN$219,$X203)),INDEX('sheet2-计算明细'!$AN$17:$AN$219,$X203),"")</x:f>
        <x:v>0</x:v>
      </x:c>
      <x:c r="Q203" s="17" t="n">
        <x:f t="shared" si="24">IF(ISNUMBER(INDEX('sheet2-计算明细'!$AO$17:$AO$219,$X203)),INDEX('sheet2-计算明细'!$AO$17:$AO$219,$X203),"")</x:f>
        <x:v>5.59</x:v>
      </x:c>
      <x:c r="R203" s="17" t="n">
        <x:f t="shared" si="25">IF(ISNUMBER(INDEX('sheet2-计算明细'!$AP$17:$AP$219,$X203)),INDEX('sheet2-计算明细'!$AP$17:$AP$219,$X203),"")</x:f>
        <x:v>60</x:v>
      </x:c>
      <x:c r="S203" s="18" t="n">
        <x:f>IF($X203="","",INDEX('sheet2-计算明细'!$AQ$17:$AQ$219,$X203))</x:f>
        <x:v>1</x:v>
      </x:c>
      <x:c r="T203" s="16" t="n">
        <x:f>IF($X203="","",INDEX('sheet2-计算明细'!$AR$17:$AR$219,$X203))</x:f>
        <x:v>27.515169999999998</x:v>
      </x:c>
      <x:c r="U203" s="17" t="n">
        <x:f t="shared" si="26">IF(S203=0,"",ROUND(T203/S203,2))</x:f>
        <x:v>27.52</x:v>
      </x:c>
      <x:c r="V203" s="17" t="n">
        <x:f t="shared" si="27">IF(ABS(S203-1)&lt;0.00000001,T203,"")</x:f>
        <x:v>27.515169999999998</x:v>
      </x:c>
      <x:c r="W203" s="19" t="str">
        <x:f>IF($X203="","",INDEX('sheet2-计算明细'!$AU$17:$AU$219,$X203))</x:f>
      </x:c>
      <x:c r="X203" s="15" t="n">
        <x:f>IF($A203&gt;COUNT('sheet2-计算明细'!$AT$17:$AT$219),"",MATCH($A203,'sheet2-计算明细'!$AT$17:$AT$219,0))</x:f>
        <x:v>117</x:v>
      </x:c>
    </x:row>
    <x:row r="204" ht="28" customHeight="1">
      <x:c r="A204" s="4" t="n">
        <x:v>199</x:v>
      </x:c>
      <x:c r="B204" s="15" t="str">
        <x:f>IF($X204="","",INDEX('sheet2-计算明细'!$B$17:$B$219,$X204))</x:f>
        <x:v>银瓴多德价值投资1号</x:v>
      </x:c>
      <x:c r="C204" s="15" t="str">
        <x:f>IF($X204="","",INDEX('sheet2-计算明细'!$C$17:$C$219,$X204))</x:f>
        <x:v>SQV390</x:v>
      </x:c>
      <x:c r="D204" s="15" t="str">
        <x:f>IF($X204="","",INDEX('sheet2-计算明细'!$D$17:$D$219,$X204))</x:f>
        <x:v>广西银瓴资产</x:v>
      </x:c>
      <x:c r="E204" s="15" t="str">
        <x:f>IF($X204="","",INDEX('sheet2-计算明细'!$G$17:$G$219,$X204))</x:f>
        <x:v>入池</x:v>
      </x:c>
      <x:c r="F204" s="16" t="n">
        <x:f>IF($X204="","",INDEX('sheet2-计算明细'!$I$17:$I$219,$X204))</x:f>
        <x:v>60</x:v>
      </x:c>
      <x:c r="G204" s="16" t="n">
        <x:f>IF($X204="","",INDEX('sheet2-计算明细'!$K$17:$K$219,$X204))</x:f>
        <x:v>0</x:v>
      </x:c>
      <x:c r="H204" s="16" t="n">
        <x:f>IF($X204="","",INDEX('sheet2-计算明细'!$L$17:$L$219,$X204))</x:f>
        <x:v>100</x:v>
      </x:c>
      <x:c r="I204" s="16" t="n">
        <x:f>IF($X204="","",INDEX('sheet2-计算明细'!$S$17:$S$219,$X204))</x:f>
        <x:v>7.72</x:v>
      </x:c>
      <x:c r="J204" s="16" t="n">
        <x:f>IF($X204="","",INDEX('sheet2-计算明细'!$Y$17:$Y$219,$X204))</x:f>
        <x:v>46.03</x:v>
      </x:c>
      <x:c r="K204" s="16" t="n">
        <x:f>IF($X204="","",INDEX('sheet2-计算明细'!$AC$17:$AC$219,$X204))</x:f>
        <x:v>6.93</x:v>
      </x:c>
      <x:c r="L204" s="16" t="n">
        <x:f>IF($X204="","",INDEX('sheet2-计算明细'!$AI$17:$AI$219,$X204))</x:f>
        <x:v>9.83</x:v>
      </x:c>
      <x:c r="M204" s="16" t="n">
        <x:f>IF($X204="","",INDEX('sheet2-计算明细'!$AK$17:$AK$219,$X204))</x:f>
        <x:v>100</x:v>
      </x:c>
      <x:c r="N204" s="17" t="n">
        <x:f t="shared" si="21">IF(ISNUMBER(INDEX('sheet2-计算明细'!$AL$17:$AL$219,$X204)),INDEX('sheet2-计算明细'!$AL$17:$AL$219,$X204),"")</x:f>
        <x:v>54</x:v>
      </x:c>
      <x:c r="O204" s="17" t="n">
        <x:f t="shared" si="22">IF(ISNUMBER(INDEX('sheet2-计算明细'!$AM$17:$AM$219,$X204)),INDEX('sheet2-计算明细'!$AM$17:$AM$219,$X204),"")</x:f>
        <x:v>19.21</x:v>
      </x:c>
      <x:c r="P204" s="17" t="n">
        <x:f t="shared" si="23">IF(ISNUMBER(INDEX('sheet2-计算明细'!$AN$17:$AN$219,$X204)),INDEX('sheet2-计算明细'!$AN$17:$AN$219,$X204),"")</x:f>
        <x:v>6.93</x:v>
      </x:c>
      <x:c r="Q204" s="17" t="n">
        <x:f t="shared" si="24">IF(ISNUMBER(INDEX('sheet2-计算明细'!$AO$17:$AO$219,$X204)),INDEX('sheet2-计算明细'!$AO$17:$AO$219,$X204),"")</x:f>
        <x:v>9.83</x:v>
      </x:c>
      <x:c r="R204" s="17" t="n">
        <x:f t="shared" si="25">IF(ISNUMBER(INDEX('sheet2-计算明细'!$AP$17:$AP$219,$X204)),INDEX('sheet2-计算明细'!$AP$17:$AP$219,$X204),"")</x:f>
        <x:v>100</x:v>
      </x:c>
      <x:c r="S204" s="18" t="n">
        <x:f>IF($X204="","",INDEX('sheet2-计算明细'!$AQ$17:$AQ$219,$X204))</x:f>
        <x:v>1</x:v>
      </x:c>
      <x:c r="T204" s="16" t="n">
        <x:f>IF($X204="","",INDEX('sheet2-计算明细'!$AR$17:$AR$219,$X204))</x:f>
        <x:v>26.625659999999996</x:v>
      </x:c>
      <x:c r="U204" s="17" t="n">
        <x:f t="shared" si="26">IF(S204=0,"",ROUND(T204/S204,2))</x:f>
        <x:v>26.63</x:v>
      </x:c>
      <x:c r="V204" s="17" t="n">
        <x:f t="shared" si="27">IF(ABS(S204-1)&lt;0.00000001,T204,"")</x:f>
        <x:v>26.625659999999996</x:v>
      </x:c>
      <x:c r="W204" s="19" t="str">
        <x:f>IF($X204="","",INDEX('sheet2-计算明细'!$AU$17:$AU$219,$X204))</x:f>
      </x:c>
      <x:c r="X204" s="15" t="n">
        <x:f>IF($A204&gt;COUNT('sheet2-计算明细'!$AT$17:$AT$219),"",MATCH($A204,'sheet2-计算明细'!$AT$17:$AT$219,0))</x:f>
        <x:v>33</x:v>
      </x:c>
    </x:row>
    <x:row r="205" ht="28" customHeight="1">
      <x:c r="A205" s="4" t="n">
        <x:v>200</x:v>
      </x:c>
      <x:c r="B205" s="15" t="str">
        <x:f>IF($X205="","",INDEX('sheet2-计算明细'!$B$17:$B$219,$X205))</x:f>
        <x:v>鹿秀驯鹿5号</x:v>
      </x:c>
      <x:c r="C205" s="15" t="str">
        <x:f>IF($X205="","",INDEX('sheet2-计算明细'!$C$17:$C$219,$X205))</x:f>
        <x:v>SLN352</x:v>
      </x:c>
      <x:c r="D205" s="15" t="str">
        <x:f>IF($X205="","",INDEX('sheet2-计算明细'!$D$17:$D$219,$X205))</x:f>
        <x:v>青岛鹿秀投资</x:v>
      </x:c>
      <x:c r="E205" s="15" t="str">
        <x:f>IF($X205="","",INDEX('sheet2-计算明细'!$G$17:$G$219,$X205))</x:f>
        <x:v>入池</x:v>
      </x:c>
      <x:c r="F205" s="16" t="n">
        <x:f>IF($X205="","",INDEX('sheet2-计算明细'!$I$17:$I$219,$X205))</x:f>
        <x:v>90</x:v>
      </x:c>
      <x:c r="G205" s="16" t="n">
        <x:f>IF($X205="","",INDEX('sheet2-计算明细'!$K$17:$K$219,$X205))</x:f>
        <x:v>100</x:v>
      </x:c>
      <x:c r="H205" s="16" t="n">
        <x:f>IF($X205="","",INDEX('sheet2-计算明细'!$L$17:$L$219,$X205))</x:f>
        <x:v>100</x:v>
      </x:c>
      <x:c r="I205" s="16" t="n">
        <x:f>IF($X205="","",INDEX('sheet2-计算明细'!$S$17:$S$219,$X205))</x:f>
        <x:v>0.4</x:v>
      </x:c>
      <x:c r="J205" s="16" t="n">
        <x:f>IF($X205="","",INDEX('sheet2-计算明细'!$Y$17:$Y$219,$X205))</x:f>
        <x:v>41.03</x:v>
      </x:c>
      <x:c r="K205" s="16" t="n">
        <x:f>IF($X205="","",INDEX('sheet2-计算明细'!$AC$17:$AC$219,$X205))</x:f>
        <x:v>0.5</x:v>
      </x:c>
      <x:c r="L205" s="16" t="n">
        <x:f>IF($X205="","",INDEX('sheet2-计算明细'!$AI$17:$AI$219,$X205))</x:f>
        <x:v>2.95</x:v>
      </x:c>
      <x:c r="M205" s="16" t="n">
        <x:f>IF($X205="","",INDEX('sheet2-计算明细'!$AK$17:$AK$219,$X205))</x:f>
        <x:v>60</x:v>
      </x:c>
      <x:c r="N205" s="17" t="n">
        <x:f t="shared" si="21">IF(ISNUMBER(INDEX('sheet2-计算明细'!$AL$17:$AL$219,$X205)),INDEX('sheet2-计算明细'!$AL$17:$AL$219,$X205),"")</x:f>
        <x:v>96</x:v>
      </x:c>
      <x:c r="O205" s="17" t="n">
        <x:f t="shared" si="22">IF(ISNUMBER(INDEX('sheet2-计算明细'!$AM$17:$AM$219,$X205)),INDEX('sheet2-计算明细'!$AM$17:$AM$219,$X205),"")</x:f>
        <x:v>12.58</x:v>
      </x:c>
      <x:c r="P205" s="17" t="n">
        <x:f t="shared" si="23">IF(ISNUMBER(INDEX('sheet2-计算明细'!$AN$17:$AN$219,$X205)),INDEX('sheet2-计算明细'!$AN$17:$AN$219,$X205),"")</x:f>
        <x:v>0.5</x:v>
      </x:c>
      <x:c r="Q205" s="17" t="n">
        <x:f t="shared" si="24">IF(ISNUMBER(INDEX('sheet2-计算明细'!$AO$17:$AO$219,$X205)),INDEX('sheet2-计算明细'!$AO$17:$AO$219,$X205),"")</x:f>
        <x:v>2.95</x:v>
      </x:c>
      <x:c r="R205" s="17" t="n">
        <x:f t="shared" si="25">IF(ISNUMBER(INDEX('sheet2-计算明细'!$AP$17:$AP$219,$X205)),INDEX('sheet2-计算明细'!$AP$17:$AP$219,$X205),"")</x:f>
        <x:v>60</x:v>
      </x:c>
      <x:c r="S205" s="18" t="n">
        <x:f>IF($X205="","",INDEX('sheet2-计算明细'!$AQ$17:$AQ$219,$X205))</x:f>
        <x:v>1</x:v>
      </x:c>
      <x:c r="T205" s="16" t="n">
        <x:f>IF($X205="","",INDEX('sheet2-计算明细'!$AR$17:$AR$219,$X205))</x:f>
        <x:v>23.92577</x:v>
      </x:c>
      <x:c r="U205" s="17" t="n">
        <x:f t="shared" si="26">IF(S205=0,"",ROUND(T205/S205,2))</x:f>
        <x:v>23.93</x:v>
      </x:c>
      <x:c r="V205" s="17" t="n">
        <x:f t="shared" si="27">IF(ABS(S205-1)&lt;0.00000001,T205,"")</x:f>
        <x:v>23.92577</x:v>
      </x:c>
      <x:c r="W205" s="19" t="str">
        <x:f>IF($X205="","",INDEX('sheet2-计算明细'!$AU$17:$AU$219,$X205))</x:f>
      </x:c>
      <x:c r="X205" s="15" t="n">
        <x:f>IF($A205&gt;COUNT('sheet2-计算明细'!$AT$17:$AT$219),"",MATCH($A205,'sheet2-计算明细'!$AT$17:$AT$219,0))</x:f>
        <x:v>91</x:v>
      </x:c>
    </x:row>
    <x:row r="206" ht="28" customHeight="1">
      <x:c r="A206" s="4" t="n">
        <x:v>201</x:v>
      </x:c>
      <x:c r="B206" s="15" t="str">
        <x:f>IF($X206="","",INDEX('sheet2-计算明细'!$B$17:$B$219,$X206))</x:f>
        <x:v>银瓴运通对冲套利宝城6号</x:v>
      </x:c>
      <x:c r="C206" s="15" t="str">
        <x:f>IF($X206="","",INDEX('sheet2-计算明细'!$C$17:$C$219,$X206))</x:f>
        <x:v>SQU465</x:v>
      </x:c>
      <x:c r="D206" s="15" t="str">
        <x:f>IF($X206="","",INDEX('sheet2-计算明细'!$D$17:$D$219,$X206))</x:f>
        <x:v>广西银瓴资产</x:v>
      </x:c>
      <x:c r="E206" s="15" t="str">
        <x:f>IF($X206="","",INDEX('sheet2-计算明细'!$G$17:$G$219,$X206))</x:f>
        <x:v>入池</x:v>
      </x:c>
      <x:c r="F206" s="16" t="n">
        <x:f>IF($X206="","",INDEX('sheet2-计算明细'!$I$17:$I$219,$X206))</x:f>
        <x:v>60</x:v>
      </x:c>
      <x:c r="G206" s="16" t="n">
        <x:f>IF($X206="","",INDEX('sheet2-计算明细'!$K$17:$K$219,$X206))</x:f>
        <x:v>0</x:v>
      </x:c>
      <x:c r="H206" s="16" t="n">
        <x:f>IF($X206="","",INDEX('sheet2-计算明细'!$L$17:$L$219,$X206))</x:f>
        <x:v>100</x:v>
      </x:c>
      <x:c r="I206" s="16" t="n">
        <x:f>IF($X206="","",INDEX('sheet2-计算明细'!$S$17:$S$219,$X206))</x:f>
        <x:v>4.46</x:v>
      </x:c>
      <x:c r="J206" s="16" t="n">
        <x:f>IF($X206="","",INDEX('sheet2-计算明细'!$Y$17:$Y$219,$X206))</x:f>
        <x:v>46.03</x:v>
      </x:c>
      <x:c r="K206" s="16" t="n">
        <x:f>IF($X206="","",INDEX('sheet2-计算明细'!$AC$17:$AC$219,$X206))</x:f>
        <x:v>9.41</x:v>
      </x:c>
      <x:c r="L206" s="16" t="n">
        <x:f>IF($X206="","",INDEX('sheet2-计算明细'!$AI$17:$AI$219,$X206))</x:f>
        <x:v>6.09</x:v>
      </x:c>
      <x:c r="M206" s="16" t="n">
        <x:f>IF($X206="","",INDEX('sheet2-计算明细'!$AK$17:$AK$219,$X206))</x:f>
        <x:v>80</x:v>
      </x:c>
      <x:c r="N206" s="17" t="n">
        <x:f t="shared" si="21">IF(ISNUMBER(INDEX('sheet2-计算明细'!$AL$17:$AL$219,$X206)),INDEX('sheet2-计算明细'!$AL$17:$AL$219,$X206),"")</x:f>
        <x:v>54</x:v>
      </x:c>
      <x:c r="O206" s="17" t="n">
        <x:f t="shared" si="22">IF(ISNUMBER(INDEX('sheet2-计算明细'!$AM$17:$AM$219,$X206)),INDEX('sheet2-计算明细'!$AM$17:$AM$219,$X206),"")</x:f>
        <x:v>16.93</x:v>
      </x:c>
      <x:c r="P206" s="17" t="n">
        <x:f t="shared" si="23">IF(ISNUMBER(INDEX('sheet2-计算明细'!$AN$17:$AN$219,$X206)),INDEX('sheet2-计算明细'!$AN$17:$AN$219,$X206),"")</x:f>
        <x:v>9.41</x:v>
      </x:c>
      <x:c r="Q206" s="17" t="n">
        <x:f t="shared" si="24">IF(ISNUMBER(INDEX('sheet2-计算明细'!$AO$17:$AO$219,$X206)),INDEX('sheet2-计算明细'!$AO$17:$AO$219,$X206),"")</x:f>
        <x:v>6.09</x:v>
      </x:c>
      <x:c r="R206" s="17" t="n">
        <x:f t="shared" si="25">IF(ISNUMBER(INDEX('sheet2-计算明细'!$AP$17:$AP$219,$X206)),INDEX('sheet2-计算明细'!$AP$17:$AP$219,$X206),"")</x:f>
        <x:v>80</x:v>
      </x:c>
      <x:c r="S206" s="18" t="n">
        <x:f>IF($X206="","",INDEX('sheet2-计算明细'!$AQ$17:$AQ$219,$X206))</x:f>
        <x:v>1</x:v>
      </x:c>
      <x:c r="T206" s="16" t="n">
        <x:f>IF($X206="","",INDEX('sheet2-计算明细'!$AR$17:$AR$219,$X206))</x:f>
        <x:v>23.66402</x:v>
      </x:c>
      <x:c r="U206" s="17" t="n">
        <x:f t="shared" si="26">IF(S206=0,"",ROUND(T206/S206,2))</x:f>
        <x:v>23.66</x:v>
      </x:c>
      <x:c r="V206" s="17" t="n">
        <x:f t="shared" si="27">IF(ABS(S206-1)&lt;0.00000001,T206,"")</x:f>
        <x:v>23.66402</x:v>
      </x:c>
      <x:c r="W206" s="19" t="str">
        <x:f>IF($X206="","",INDEX('sheet2-计算明细'!$AU$17:$AU$219,$X206))</x:f>
      </x:c>
      <x:c r="X206" s="15" t="n">
        <x:f>IF($A206&gt;COUNT('sheet2-计算明细'!$AT$17:$AT$219),"",MATCH($A206,'sheet2-计算明细'!$AT$17:$AT$219,0))</x:f>
        <x:v>34</x:v>
      </x:c>
    </x:row>
    <x:row r="207" ht="28" customHeight="1">
      <x:c r="A207" s="4" t="n">
        <x:v>202</x:v>
      </x:c>
      <x:c r="B207" s="15" t="str">
        <x:f>IF($X207="","",INDEX('sheet2-计算明细'!$B$17:$B$219,$X207))</x:f>
        <x:v>洮利11号1期</x:v>
      </x:c>
      <x:c r="C207" s="15" t="str">
        <x:f>IF($X207="","",INDEX('sheet2-计算明细'!$C$17:$C$219,$X207))</x:f>
        <x:v>SNS371</x:v>
      </x:c>
      <x:c r="D207" s="15" t="str">
        <x:f>IF($X207="","",INDEX('sheet2-计算明细'!$D$17:$D$219,$X207))</x:f>
        <x:v>上海洮利</x:v>
      </x:c>
      <x:c r="E207" s="15" t="str">
        <x:f>IF($X207="","",INDEX('sheet2-计算明细'!$G$17:$G$219,$X207))</x:f>
        <x:v>入池</x:v>
      </x:c>
      <x:c r="F207" s="16" t="n">
        <x:f>IF($X207="","",INDEX('sheet2-计算明细'!$I$17:$I$219,$X207))</x:f>
        <x:v>70</x:v>
      </x:c>
      <x:c r="G207" s="16" t="n">
        <x:f>IF($X207="","",INDEX('sheet2-计算明细'!$K$17:$K$219,$X207))</x:f>
        <x:v>0</x:v>
      </x:c>
      <x:c r="H207" s="16" t="n">
        <x:f>IF($X207="","",INDEX('sheet2-计算明细'!$L$17:$L$219,$X207))</x:f>
        <x:v>100</x:v>
      </x:c>
      <x:c r="I207" s="16" t="n">
        <x:f>IF($X207="","",INDEX('sheet2-计算明细'!$S$17:$S$219,$X207))</x:f>
        <x:v>0.89</x:v>
      </x:c>
      <x:c r="J207" s="16" t="n">
        <x:f>IF($X207="","",INDEX('sheet2-计算明细'!$Y$17:$Y$219,$X207))</x:f>
        <x:v>50.64</x:v>
      </x:c>
      <x:c r="K207" s="16" t="n">
        <x:f>IF($X207="","",INDEX('sheet2-计算明细'!$AC$17:$AC$219,$X207))</x:f>
        <x:v>0.99</x:v>
      </x:c>
      <x:c r="L207" s="16" t="n">
        <x:f>IF($X207="","",INDEX('sheet2-计算明细'!$AI$17:$AI$219,$X207))</x:f>
        <x:v>4.18</x:v>
      </x:c>
      <x:c r="M207" s="16" t="n">
        <x:f>IF($X207="","",INDEX('sheet2-计算明细'!$AK$17:$AK$219,$X207))</x:f>
        <x:v>80</x:v>
      </x:c>
      <x:c r="N207" s="17" t="n">
        <x:f t="shared" si="21">IF(ISNUMBER(INDEX('sheet2-计算明细'!$AL$17:$AL$219,$X207)),INDEX('sheet2-计算明细'!$AL$17:$AL$219,$X207),"")</x:f>
        <x:v>58</x:v>
      </x:c>
      <x:c r="O207" s="17" t="n">
        <x:f t="shared" si="22">IF(ISNUMBER(INDEX('sheet2-计算明细'!$AM$17:$AM$219,$X207)),INDEX('sheet2-计算明细'!$AM$17:$AM$219,$X207),"")</x:f>
        <x:v>15.82</x:v>
      </x:c>
      <x:c r="P207" s="17" t="n">
        <x:f t="shared" si="23">IF(ISNUMBER(INDEX('sheet2-计算明细'!$AN$17:$AN$219,$X207)),INDEX('sheet2-计算明细'!$AN$17:$AN$219,$X207),"")</x:f>
        <x:v>0.99</x:v>
      </x:c>
      <x:c r="Q207" s="17" t="n">
        <x:f t="shared" si="24">IF(ISNUMBER(INDEX('sheet2-计算明细'!$AO$17:$AO$219,$X207)),INDEX('sheet2-计算明细'!$AO$17:$AO$219,$X207),"")</x:f>
        <x:v>4.18</x:v>
      </x:c>
      <x:c r="R207" s="17" t="n">
        <x:f t="shared" si="25">IF(ISNUMBER(INDEX('sheet2-计算明细'!$AP$17:$AP$219,$X207)),INDEX('sheet2-计算明细'!$AP$17:$AP$219,$X207),"")</x:f>
        <x:v>80</x:v>
      </x:c>
      <x:c r="S207" s="18" t="n">
        <x:f>IF($X207="","",INDEX('sheet2-计算明细'!$AQ$17:$AQ$219,$X207))</x:f>
        <x:v>1</x:v>
      </x:c>
      <x:c r="T207" s="16" t="n">
        <x:f>IF($X207="","",INDEX('sheet2-计算明细'!$AR$17:$AR$219,$X207))</x:f>
        <x:v>21.365859999999998</x:v>
      </x:c>
      <x:c r="U207" s="17" t="n">
        <x:f t="shared" si="26">IF(S207=0,"",ROUND(T207/S207,2))</x:f>
        <x:v>21.37</x:v>
      </x:c>
      <x:c r="V207" s="17" t="n">
        <x:f t="shared" si="27">IF(ABS(S207-1)&lt;0.00000001,T207,"")</x:f>
        <x:v>21.365859999999998</x:v>
      </x:c>
      <x:c r="W207" s="19" t="str">
        <x:f>IF($X207="","",INDEX('sheet2-计算明细'!$AU$17:$AU$219,$X207))</x:f>
      </x:c>
      <x:c r="X207" s="15" t="n">
        <x:f>IF($A207&gt;COUNT('sheet2-计算明细'!$AT$17:$AT$219),"",MATCH($A207,'sheet2-计算明细'!$AT$17:$AT$219,0))</x:f>
        <x:v>80</x:v>
      </x:c>
    </x:row>
    <x:row r="208" ht="28" customHeight="1">
      <x:c r="A208" s="4" t="n">
        <x:v>203</x:v>
      </x:c>
      <x:c r="B208" s="15" t="str">
        <x:f>IF($X208="","",INDEX('sheet2-计算明细'!$B$17:$B$219,$X208))</x:f>
        <x:v>数为道策套利一号</x:v>
      </x:c>
      <x:c r="C208" s="15" t="str">
        <x:f>IF($X208="","",INDEX('sheet2-计算明细'!$C$17:$C$219,$X208))</x:f>
        <x:v>SNA956</x:v>
      </x:c>
      <x:c r="D208" s="15" t="str">
        <x:f>IF($X208="","",INDEX('sheet2-计算明细'!$D$17:$D$219,$X208))</x:f>
        <x:v>福州数为</x:v>
      </x:c>
      <x:c r="E208" s="15" t="str">
        <x:f>IF($X208="","",INDEX('sheet2-计算明细'!$G$17:$G$219,$X208))</x:f>
        <x:v>入池</x:v>
      </x:c>
      <x:c r="F208" s="16" t="n">
        <x:f>IF($X208="","",INDEX('sheet2-计算明细'!$I$17:$I$219,$X208))</x:f>
        <x:v>60</x:v>
      </x:c>
      <x:c r="G208" s="16" t="n">
        <x:f>IF($X208="","",INDEX('sheet2-计算明细'!$K$17:$K$219,$X208))</x:f>
        <x:v>0</x:v>
      </x:c>
      <x:c r="H208" s="16" t="n">
        <x:f>IF($X208="","",INDEX('sheet2-计算明细'!$L$17:$L$219,$X208))</x:f>
        <x:v>100</x:v>
      </x:c>
      <x:c r="I208" s="16" t="n">
        <x:f>IF($X208="","",INDEX('sheet2-计算明细'!$S$17:$S$219,$X208))</x:f>
        <x:v>9.01</x:v>
      </x:c>
      <x:c r="J208" s="16" t="n">
        <x:f>IF($X208="","",INDEX('sheet2-计算明细'!$Y$17:$Y$219,$X208))</x:f>
        <x:v>33.85</x:v>
      </x:c>
      <x:c r="K208" s="16" t="n">
        <x:f>IF($X208="","",INDEX('sheet2-计算明细'!$AC$17:$AC$219,$X208))</x:f>
        <x:v>1.49</x:v>
      </x:c>
      <x:c r="L208" s="16" t="n">
        <x:f>IF($X208="","",INDEX('sheet2-计算明细'!$AI$17:$AI$219,$X208))</x:f>
        <x:v>1</x:v>
      </x:c>
      <x:c r="M208" s="16" t="n">
        <x:f>IF($X208="","",INDEX('sheet2-计算明细'!$AK$17:$AK$219,$X208))</x:f>
        <x:v>60</x:v>
      </x:c>
      <x:c r="N208" s="17" t="n">
        <x:f t="shared" si="21">IF(ISNUMBER(INDEX('sheet2-计算明细'!$AL$17:$AL$219,$X208)),INDEX('sheet2-计算明细'!$AL$17:$AL$219,$X208),"")</x:f>
        <x:v>54</x:v>
      </x:c>
      <x:c r="O208" s="17" t="n">
        <x:f t="shared" si="22">IF(ISNUMBER(INDEX('sheet2-计算明细'!$AM$17:$AM$219,$X208)),INDEX('sheet2-计算明细'!$AM$17:$AM$219,$X208),"")</x:f>
        <x:v>16.46</x:v>
      </x:c>
      <x:c r="P208" s="17" t="n">
        <x:f t="shared" si="23">IF(ISNUMBER(INDEX('sheet2-计算明细'!$AN$17:$AN$219,$X208)),INDEX('sheet2-计算明细'!$AN$17:$AN$219,$X208),"")</x:f>
        <x:v>1.49</x:v>
      </x:c>
      <x:c r="Q208" s="17" t="n">
        <x:f t="shared" si="24">IF(ISNUMBER(INDEX('sheet2-计算明细'!$AO$17:$AO$219,$X208)),INDEX('sheet2-计算明细'!$AO$17:$AO$219,$X208),"")</x:f>
        <x:v>1</x:v>
      </x:c>
      <x:c r="R208" s="17" t="n">
        <x:f t="shared" si="25">IF(ISNUMBER(INDEX('sheet2-计算明细'!$AP$17:$AP$219,$X208)),INDEX('sheet2-计算明细'!$AP$17:$AP$219,$X208),"")</x:f>
        <x:v>60</x:v>
      </x:c>
      <x:c r="S208" s="18" t="n">
        <x:f>IF($X208="","",INDEX('sheet2-计算明细'!$AQ$17:$AQ$219,$X208))</x:f>
        <x:v>0.88</x:v>
      </x:c>
      <x:c r="T208" s="16" t="n">
        <x:f>IF($X208="","",INDEX('sheet2-计算明细'!$AR$17:$AR$219,$X208))</x:f>
        <x:v>17.945</x:v>
      </x:c>
      <x:c r="U208" s="17" t="n">
        <x:f t="shared" si="26">IF(S208=0,"",ROUND(T208/S208,2))</x:f>
        <x:v>20.39</x:v>
      </x:c>
      <x:c r="V208" s="17" t="str">
        <x:f t="shared" si="27">IF(ABS(S208-1)&lt;0.00000001,T208,"")</x:f>
      </x:c>
      <x:c r="W208" s="19" t="str">
        <x:f>IF($X208="","",INDEX('sheet2-计算明细'!$AU$17:$AU$219,$X208))</x:f>
        <x:v>DD_long不可识别；</x:v>
      </x:c>
      <x:c r="X208" s="15" t="n">
        <x:f>IF($A208&gt;COUNT('sheet2-计算明细'!$AT$17:$AT$219),"",MATCH($A208,'sheet2-计算明细'!$AT$17:$AT$219,0))</x:f>
        <x:v>24</x:v>
      </x:c>
    </x:row>
    <x:row r="209" ht="28" customHeight="1">
      <x:c r="A209" s="4"/>
      <x:c r="B209" s="15"/>
      <x:c r="C209" s="15"/>
      <x:c r="D209" s="15"/>
      <x:c r="E209" s="15"/>
      <x:c r="F209" s="16"/>
      <x:c r="G209" s="16"/>
      <x:c r="H209" s="16"/>
      <x:c r="I209" s="16"/>
      <x:c r="J209" s="16"/>
      <x:c r="K209" s="16"/>
      <x:c r="L209" s="16"/>
      <x:c r="M209" s="16"/>
      <x:c r="N209" s="17">
        <x:f t="shared" si="21"/>
      </x:c>
      <x:c r="O209" s="17">
        <x:f t="shared" si="22"/>
      </x:c>
      <x:c r="P209" s="17">
        <x:f t="shared" si="23"/>
      </x:c>
      <x:c r="Q209" s="17">
        <x:f t="shared" si="24"/>
      </x:c>
      <x:c r="R209" s="17">
        <x:f t="shared" si="25"/>
      </x:c>
      <x:c r="S209" s="18"/>
      <x:c r="T209" s="16"/>
      <x:c r="U209" s="17">
        <x:f t="shared" si="26"/>
      </x:c>
      <x:c r="V209" s="17">
        <x:f t="shared" si="27"/>
      </x:c>
      <x:c r="W209" s="19"/>
      <x:c r="X209" s="15"/>
    </x:row>
    <x:row r="210" ht="28" customHeight="1">
      <x:c r="A210" s="4"/>
      <x:c r="B210" s="15"/>
      <x:c r="C210" s="15"/>
      <x:c r="D210" s="15"/>
      <x:c r="E210" s="15"/>
      <x:c r="F210" s="16"/>
      <x:c r="G210" s="16"/>
      <x:c r="H210" s="16"/>
      <x:c r="I210" s="16"/>
      <x:c r="J210" s="16"/>
      <x:c r="K210" s="16"/>
      <x:c r="L210" s="16"/>
      <x:c r="M210" s="16"/>
      <x:c r="N210" s="17">
        <x:f t="shared" si="21"/>
      </x:c>
      <x:c r="O210" s="17">
        <x:f t="shared" si="22"/>
      </x:c>
      <x:c r="P210" s="17">
        <x:f t="shared" si="23"/>
      </x:c>
      <x:c r="Q210" s="17">
        <x:f t="shared" si="24"/>
      </x:c>
      <x:c r="R210" s="17">
        <x:f t="shared" si="25"/>
      </x:c>
      <x:c r="S210" s="18"/>
      <x:c r="T210" s="16"/>
      <x:c r="U210" s="17">
        <x:f t="shared" si="26"/>
      </x:c>
      <x:c r="V210" s="17">
        <x:f t="shared" si="27"/>
      </x:c>
      <x:c r="W210" s="19"/>
      <x:c r="X210" s="15"/>
    </x:row>
    <x:row r="211" ht="28" customHeight="1">
      <x:c r="A211" s="4"/>
      <x:c r="B211" s="15"/>
      <x:c r="C211" s="15"/>
      <x:c r="D211" s="15"/>
      <x:c r="E211" s="15"/>
      <x:c r="F211" s="16"/>
      <x:c r="G211" s="16"/>
      <x:c r="H211" s="16"/>
      <x:c r="I211" s="16"/>
      <x:c r="J211" s="16"/>
      <x:c r="K211" s="16"/>
      <x:c r="L211" s="16"/>
      <x:c r="M211" s="16"/>
      <x:c r="N211" s="17">
        <x:f t="shared" si="21"/>
      </x:c>
      <x:c r="O211" s="17">
        <x:f t="shared" si="22"/>
      </x:c>
      <x:c r="P211" s="17">
        <x:f t="shared" si="23"/>
      </x:c>
      <x:c r="Q211" s="17">
        <x:f t="shared" si="24"/>
      </x:c>
      <x:c r="R211" s="17">
        <x:f t="shared" si="25"/>
      </x:c>
      <x:c r="S211" s="18"/>
      <x:c r="T211" s="16"/>
      <x:c r="U211" s="17">
        <x:f t="shared" si="26"/>
      </x:c>
      <x:c r="V211" s="17">
        <x:f t="shared" si="27"/>
      </x:c>
      <x:c r="W211" s="19"/>
      <x:c r="X211" s="15"/>
    </x:row>
    <x:row r="212" ht="28" customHeight="1">
      <x:c r="A212" s="4"/>
      <x:c r="B212" s="15"/>
      <x:c r="C212" s="15"/>
      <x:c r="D212" s="15"/>
      <x:c r="E212" s="15"/>
      <x:c r="F212" s="16"/>
      <x:c r="G212" s="16"/>
      <x:c r="H212" s="16"/>
      <x:c r="I212" s="16"/>
      <x:c r="J212" s="16"/>
      <x:c r="K212" s="16"/>
      <x:c r="L212" s="16"/>
      <x:c r="M212" s="16"/>
      <x:c r="N212" s="17">
        <x:f t="shared" si="21"/>
      </x:c>
      <x:c r="O212" s="17">
        <x:f t="shared" si="22"/>
      </x:c>
      <x:c r="P212" s="17">
        <x:f t="shared" si="23"/>
      </x:c>
      <x:c r="Q212" s="17">
        <x:f t="shared" si="24"/>
      </x:c>
      <x:c r="R212" s="17">
        <x:f t="shared" si="25"/>
      </x:c>
      <x:c r="S212" s="18"/>
      <x:c r="T212" s="16"/>
      <x:c r="U212" s="17">
        <x:f t="shared" si="26"/>
      </x:c>
      <x:c r="V212" s="17">
        <x:f t="shared" si="27"/>
      </x:c>
      <x:c r="W212" s="19"/>
      <x:c r="X212" s="15"/>
    </x:row>
    <x:row r="213" ht="28" customHeight="1">
      <x:c r="A213" s="4"/>
      <x:c r="B213" s="15"/>
      <x:c r="C213" s="15"/>
      <x:c r="D213" s="15"/>
      <x:c r="E213" s="15"/>
      <x:c r="F213" s="16"/>
      <x:c r="G213" s="16"/>
      <x:c r="H213" s="16"/>
      <x:c r="I213" s="16"/>
      <x:c r="J213" s="16"/>
      <x:c r="K213" s="16"/>
      <x:c r="L213" s="16"/>
      <x:c r="M213" s="16"/>
      <x:c r="N213" s="17">
        <x:f t="shared" si="21"/>
      </x:c>
      <x:c r="O213" s="17">
        <x:f t="shared" si="22"/>
      </x:c>
      <x:c r="P213" s="17">
        <x:f t="shared" si="23"/>
      </x:c>
      <x:c r="Q213" s="17">
        <x:f t="shared" si="24"/>
      </x:c>
      <x:c r="R213" s="17">
        <x:f t="shared" si="25"/>
      </x:c>
      <x:c r="S213" s="18"/>
      <x:c r="T213" s="16"/>
      <x:c r="U213" s="17">
        <x:f t="shared" si="26"/>
      </x:c>
      <x:c r="V213" s="17">
        <x:f t="shared" si="27"/>
      </x:c>
      <x:c r="W213" s="19"/>
      <x:c r="X213" s="15"/>
    </x:row>
    <x:row r="214" ht="28" customHeight="1">
      <x:c r="A214" s="4"/>
      <x:c r="B214" s="15"/>
      <x:c r="C214" s="15"/>
      <x:c r="D214" s="15"/>
      <x:c r="E214" s="15"/>
      <x:c r="F214" s="16"/>
      <x:c r="G214" s="16"/>
      <x:c r="H214" s="16"/>
      <x:c r="I214" s="16"/>
      <x:c r="J214" s="16"/>
      <x:c r="K214" s="16"/>
      <x:c r="L214" s="16"/>
      <x:c r="M214" s="16"/>
      <x:c r="N214" s="17">
        <x:f t="shared" si="21"/>
      </x:c>
      <x:c r="O214" s="17">
        <x:f t="shared" si="22"/>
      </x:c>
      <x:c r="P214" s="17">
        <x:f t="shared" si="23"/>
      </x:c>
      <x:c r="Q214" s="17">
        <x:f t="shared" si="24"/>
      </x:c>
      <x:c r="R214" s="17">
        <x:f t="shared" si="25"/>
      </x:c>
      <x:c r="S214" s="18"/>
      <x:c r="T214" s="16"/>
      <x:c r="U214" s="17">
        <x:f t="shared" si="26"/>
      </x:c>
      <x:c r="V214" s="17">
        <x:f t="shared" si="27"/>
      </x:c>
      <x:c r="W214" s="19"/>
      <x:c r="X214" s="15"/>
    </x:row>
    <x:row r="215" ht="28" customHeight="1">
      <x:c r="A215" s="4"/>
      <x:c r="B215" s="15"/>
      <x:c r="C215" s="15"/>
      <x:c r="D215" s="15"/>
      <x:c r="E215" s="15"/>
      <x:c r="F215" s="16"/>
      <x:c r="G215" s="16"/>
      <x:c r="H215" s="16"/>
      <x:c r="I215" s="16"/>
      <x:c r="J215" s="16"/>
      <x:c r="K215" s="16"/>
      <x:c r="L215" s="16"/>
      <x:c r="M215" s="16"/>
      <x:c r="N215" s="17">
        <x:f t="shared" si="21"/>
      </x:c>
      <x:c r="O215" s="17">
        <x:f t="shared" si="22"/>
      </x:c>
      <x:c r="P215" s="17">
        <x:f t="shared" si="23"/>
      </x:c>
      <x:c r="Q215" s="17">
        <x:f t="shared" si="24"/>
      </x:c>
      <x:c r="R215" s="17">
        <x:f t="shared" si="25"/>
      </x:c>
      <x:c r="S215" s="18"/>
      <x:c r="T215" s="16"/>
      <x:c r="U215" s="17">
        <x:f t="shared" si="26"/>
      </x:c>
      <x:c r="V215" s="17">
        <x:f t="shared" si="27"/>
      </x:c>
      <x:c r="W215" s="19"/>
      <x:c r="X215" s="15"/>
    </x:row>
    <x:row r="216" ht="28" customHeight="1">
      <x:c r="A216" s="4"/>
      <x:c r="B216" s="15"/>
      <x:c r="C216" s="15"/>
      <x:c r="D216" s="15"/>
      <x:c r="E216" s="15"/>
      <x:c r="F216" s="16"/>
      <x:c r="G216" s="16"/>
      <x:c r="H216" s="16"/>
      <x:c r="I216" s="16"/>
      <x:c r="J216" s="16"/>
      <x:c r="K216" s="16"/>
      <x:c r="L216" s="16"/>
      <x:c r="M216" s="16"/>
      <x:c r="N216" s="17">
        <x:f t="shared" si="21"/>
      </x:c>
      <x:c r="O216" s="17">
        <x:f t="shared" si="22"/>
      </x:c>
      <x:c r="P216" s="17">
        <x:f t="shared" si="23"/>
      </x:c>
      <x:c r="Q216" s="17">
        <x:f t="shared" si="24"/>
      </x:c>
      <x:c r="R216" s="17">
        <x:f t="shared" si="25"/>
      </x:c>
      <x:c r="S216" s="18"/>
      <x:c r="T216" s="16"/>
      <x:c r="U216" s="17">
        <x:f t="shared" si="26"/>
      </x:c>
      <x:c r="V216" s="17">
        <x:f t="shared" si="27"/>
      </x:c>
      <x:c r="W216" s="19"/>
      <x:c r="X216" s="15"/>
    </x:row>
    <x:row r="217" ht="28" customHeight="1">
      <x:c r="A217" s="4"/>
      <x:c r="B217" s="15"/>
      <x:c r="C217" s="15"/>
      <x:c r="D217" s="15"/>
      <x:c r="E217" s="15"/>
      <x:c r="F217" s="16"/>
      <x:c r="G217" s="16"/>
      <x:c r="H217" s="16"/>
      <x:c r="I217" s="16"/>
      <x:c r="J217" s="16"/>
      <x:c r="K217" s="16"/>
      <x:c r="L217" s="16"/>
      <x:c r="M217" s="16"/>
      <x:c r="N217" s="17">
        <x:f t="shared" si="21"/>
      </x:c>
      <x:c r="O217" s="17">
        <x:f t="shared" si="22"/>
      </x:c>
      <x:c r="P217" s="17">
        <x:f t="shared" si="23"/>
      </x:c>
      <x:c r="Q217" s="17">
        <x:f t="shared" si="24"/>
      </x:c>
      <x:c r="R217" s="17">
        <x:f t="shared" si="25"/>
      </x:c>
      <x:c r="S217" s="18"/>
      <x:c r="T217" s="16"/>
      <x:c r="U217" s="17">
        <x:f t="shared" si="26"/>
      </x:c>
      <x:c r="V217" s="17">
        <x:f t="shared" si="27"/>
      </x:c>
      <x:c r="W217" s="19"/>
      <x:c r="X217" s="15"/>
    </x:row>
    <x:row r="218" ht="28" customHeight="1">
      <x:c r="A218" s="4"/>
      <x:c r="B218" s="15"/>
      <x:c r="C218" s="15"/>
      <x:c r="D218" s="15"/>
      <x:c r="E218" s="15"/>
      <x:c r="F218" s="16"/>
      <x:c r="G218" s="16"/>
      <x:c r="H218" s="16"/>
      <x:c r="I218" s="16"/>
      <x:c r="J218" s="16"/>
      <x:c r="K218" s="16"/>
      <x:c r="L218" s="16"/>
      <x:c r="M218" s="16"/>
      <x:c r="N218" s="17">
        <x:f t="shared" si="21"/>
      </x:c>
      <x:c r="O218" s="17">
        <x:f t="shared" si="22"/>
      </x:c>
      <x:c r="P218" s="17">
        <x:f t="shared" si="23"/>
      </x:c>
      <x:c r="Q218" s="17">
        <x:f t="shared" si="24"/>
      </x:c>
      <x:c r="R218" s="17">
        <x:f t="shared" si="25"/>
      </x:c>
      <x:c r="S218" s="18"/>
      <x:c r="T218" s="16"/>
      <x:c r="U218" s="17">
        <x:f t="shared" si="26"/>
      </x:c>
      <x:c r="V218" s="17">
        <x:f t="shared" si="27"/>
      </x:c>
      <x:c r="W218" s="19"/>
      <x:c r="X218" s="15"/>
    </x:row>
    <x:row r="219" ht="28" customHeight="1">
      <x:c r="A219" s="4"/>
      <x:c r="B219" s="15"/>
      <x:c r="C219" s="15"/>
      <x:c r="D219" s="15"/>
      <x:c r="E219" s="15"/>
      <x:c r="F219" s="16"/>
      <x:c r="G219" s="16"/>
      <x:c r="H219" s="16"/>
      <x:c r="I219" s="16"/>
      <x:c r="J219" s="16"/>
      <x:c r="K219" s="16"/>
      <x:c r="L219" s="16"/>
      <x:c r="M219" s="16"/>
      <x:c r="N219" s="17">
        <x:f t="shared" si="21"/>
      </x:c>
      <x:c r="O219" s="17">
        <x:f t="shared" si="22"/>
      </x:c>
      <x:c r="P219" s="17">
        <x:f t="shared" si="23"/>
      </x:c>
      <x:c r="Q219" s="17">
        <x:f t="shared" si="24"/>
      </x:c>
      <x:c r="R219" s="17">
        <x:f t="shared" si="25"/>
      </x:c>
      <x:c r="S219" s="18"/>
      <x:c r="T219" s="16"/>
      <x:c r="U219" s="17">
        <x:f t="shared" si="26"/>
      </x:c>
      <x:c r="V219" s="17">
        <x:f t="shared" si="27"/>
      </x:c>
      <x:c r="W219" s="19"/>
      <x:c r="X219" s="15"/>
    </x:row>
    <x:row r="220" ht="28" customHeight="1">
      <x:c r="A220" s="4"/>
      <x:c r="B220" s="15"/>
      <x:c r="C220" s="15"/>
      <x:c r="D220" s="15"/>
      <x:c r="E220" s="15"/>
      <x:c r="F220" s="16"/>
      <x:c r="G220" s="16"/>
      <x:c r="H220" s="16"/>
      <x:c r="I220" s="16"/>
      <x:c r="J220" s="16"/>
      <x:c r="K220" s="16"/>
      <x:c r="L220" s="16"/>
      <x:c r="M220" s="16"/>
      <x:c r="N220" s="17">
        <x:f t="shared" si="21"/>
      </x:c>
      <x:c r="O220" s="17">
        <x:f t="shared" si="22"/>
      </x:c>
      <x:c r="P220" s="17">
        <x:f t="shared" si="23"/>
      </x:c>
      <x:c r="Q220" s="17">
        <x:f t="shared" si="24"/>
      </x:c>
      <x:c r="R220" s="17">
        <x:f t="shared" si="25"/>
      </x:c>
      <x:c r="S220" s="18"/>
      <x:c r="T220" s="16"/>
      <x:c r="U220" s="17">
        <x:f t="shared" si="26"/>
      </x:c>
      <x:c r="V220" s="17">
        <x:f t="shared" si="27"/>
      </x:c>
      <x:c r="W220" s="19"/>
      <x:c r="X220" s="15"/>
    </x:row>
    <x:row r="221" ht="28" customHeight="1">
      <x:c r="A221" s="4"/>
      <x:c r="B221" s="15"/>
      <x:c r="C221" s="15"/>
      <x:c r="D221" s="15"/>
      <x:c r="E221" s="15"/>
      <x:c r="F221" s="16"/>
      <x:c r="G221" s="16"/>
      <x:c r="H221" s="16"/>
      <x:c r="I221" s="16"/>
      <x:c r="J221" s="16"/>
      <x:c r="K221" s="16"/>
      <x:c r="L221" s="16"/>
      <x:c r="M221" s="16"/>
      <x:c r="N221" s="17">
        <x:f t="shared" si="21"/>
      </x:c>
      <x:c r="O221" s="17">
        <x:f t="shared" si="22"/>
      </x:c>
      <x:c r="P221" s="17">
        <x:f t="shared" si="23"/>
      </x:c>
      <x:c r="Q221" s="17">
        <x:f t="shared" si="24"/>
      </x:c>
      <x:c r="R221" s="17">
        <x:f t="shared" si="25"/>
      </x:c>
      <x:c r="S221" s="18"/>
      <x:c r="T221" s="16"/>
      <x:c r="U221" s="17">
        <x:f t="shared" si="26"/>
      </x:c>
      <x:c r="V221" s="17">
        <x:f t="shared" si="27"/>
      </x:c>
      <x:c r="W221" s="19"/>
      <x:c r="X221" s="15"/>
    </x:row>
    <x:row r="222" ht="28" customHeight="1">
      <x:c r="A222" s="4"/>
      <x:c r="B222" s="15"/>
      <x:c r="C222" s="15"/>
      <x:c r="D222" s="15"/>
      <x:c r="E222" s="15"/>
      <x:c r="F222" s="16"/>
      <x:c r="G222" s="16"/>
      <x:c r="H222" s="16"/>
      <x:c r="I222" s="16"/>
      <x:c r="J222" s="16"/>
      <x:c r="K222" s="16"/>
      <x:c r="L222" s="16"/>
      <x:c r="M222" s="16"/>
      <x:c r="N222" s="17">
        <x:f t="shared" si="21"/>
      </x:c>
      <x:c r="O222" s="17">
        <x:f t="shared" si="22"/>
      </x:c>
      <x:c r="P222" s="17">
        <x:f t="shared" si="23"/>
      </x:c>
      <x:c r="Q222" s="17">
        <x:f t="shared" si="24"/>
      </x:c>
      <x:c r="R222" s="17">
        <x:f t="shared" si="25"/>
      </x:c>
      <x:c r="S222" s="18"/>
      <x:c r="T222" s="16"/>
      <x:c r="U222" s="17">
        <x:f t="shared" si="26"/>
      </x:c>
      <x:c r="V222" s="17">
        <x:f t="shared" si="27"/>
      </x:c>
      <x:c r="W222" s="19"/>
      <x:c r="X222" s="15"/>
    </x:row>
    <x:row r="223" ht="28" customHeight="1">
      <x:c r="A223" s="4"/>
      <x:c r="B223" s="15"/>
      <x:c r="C223" s="15"/>
      <x:c r="D223" s="15"/>
      <x:c r="E223" s="15"/>
      <x:c r="F223" s="16"/>
      <x:c r="G223" s="16"/>
      <x:c r="H223" s="16"/>
      <x:c r="I223" s="16"/>
      <x:c r="J223" s="16"/>
      <x:c r="K223" s="16"/>
      <x:c r="L223" s="16"/>
      <x:c r="M223" s="16"/>
      <x:c r="N223" s="17">
        <x:f t="shared" si="21"/>
      </x:c>
      <x:c r="O223" s="17">
        <x:f t="shared" si="22"/>
      </x:c>
      <x:c r="P223" s="17">
        <x:f t="shared" si="23"/>
      </x:c>
      <x:c r="Q223" s="17">
        <x:f t="shared" si="24"/>
      </x:c>
      <x:c r="R223" s="17">
        <x:f t="shared" si="25"/>
      </x:c>
      <x:c r="S223" s="18"/>
      <x:c r="T223" s="16"/>
      <x:c r="U223" s="17">
        <x:f t="shared" si="26"/>
      </x:c>
      <x:c r="V223" s="17">
        <x:f t="shared" si="27"/>
      </x:c>
      <x:c r="W223" s="19"/>
      <x:c r="X223" s="15"/>
    </x:row>
    <x:row r="224" ht="28" customHeight="1">
      <x:c r="A224" s="4"/>
      <x:c r="B224" s="15"/>
      <x:c r="C224" s="15"/>
      <x:c r="D224" s="15"/>
      <x:c r="E224" s="15"/>
      <x:c r="F224" s="16"/>
      <x:c r="G224" s="16"/>
      <x:c r="H224" s="16"/>
      <x:c r="I224" s="16"/>
      <x:c r="J224" s="16"/>
      <x:c r="K224" s="16"/>
      <x:c r="L224" s="16"/>
      <x:c r="M224" s="16"/>
      <x:c r="N224" s="17">
        <x:f t="shared" si="21"/>
      </x:c>
      <x:c r="O224" s="17">
        <x:f t="shared" si="22"/>
      </x:c>
      <x:c r="P224" s="17">
        <x:f t="shared" si="23"/>
      </x:c>
      <x:c r="Q224" s="17">
        <x:f t="shared" si="24"/>
      </x:c>
      <x:c r="R224" s="17">
        <x:f t="shared" si="25"/>
      </x:c>
      <x:c r="S224" s="18"/>
      <x:c r="T224" s="16"/>
      <x:c r="U224" s="17">
        <x:f t="shared" si="26"/>
      </x:c>
      <x:c r="V224" s="17">
        <x:f t="shared" si="27"/>
      </x:c>
      <x:c r="W224" s="19"/>
      <x:c r="X224" s="15"/>
    </x:row>
    <x:row r="225" ht="28" customHeight="1">
      <x:c r="A225" s="4"/>
      <x:c r="B225" s="15"/>
      <x:c r="C225" s="15"/>
      <x:c r="D225" s="15"/>
      <x:c r="E225" s="15"/>
      <x:c r="F225" s="16"/>
      <x:c r="G225" s="16"/>
      <x:c r="H225" s="16"/>
      <x:c r="I225" s="16"/>
      <x:c r="J225" s="16"/>
      <x:c r="K225" s="16"/>
      <x:c r="L225" s="16"/>
      <x:c r="M225" s="16"/>
      <x:c r="N225" s="17">
        <x:f t="shared" si="21"/>
      </x:c>
      <x:c r="O225" s="17">
        <x:f t="shared" si="22"/>
      </x:c>
      <x:c r="P225" s="17">
        <x:f t="shared" si="23"/>
      </x:c>
      <x:c r="Q225" s="17">
        <x:f t="shared" si="24"/>
      </x:c>
      <x:c r="R225" s="17">
        <x:f t="shared" si="25"/>
      </x:c>
      <x:c r="S225" s="18"/>
      <x:c r="T225" s="16"/>
      <x:c r="U225" s="17">
        <x:f t="shared" si="26"/>
      </x:c>
      <x:c r="V225" s="17">
        <x:f t="shared" si="27"/>
      </x:c>
      <x:c r="W225" s="19"/>
      <x:c r="X225" s="15"/>
    </x:row>
    <x:row r="226" ht="28" customHeight="1">
      <x:c r="A226" s="4"/>
      <x:c r="B226" s="15"/>
      <x:c r="C226" s="15"/>
      <x:c r="D226" s="15"/>
      <x:c r="E226" s="15"/>
      <x:c r="F226" s="16"/>
      <x:c r="G226" s="16"/>
      <x:c r="H226" s="16"/>
      <x:c r="I226" s="16"/>
      <x:c r="J226" s="16"/>
      <x:c r="K226" s="16"/>
      <x:c r="L226" s="16"/>
      <x:c r="M226" s="16"/>
      <x:c r="N226" s="17">
        <x:f t="shared" si="21"/>
      </x:c>
      <x:c r="O226" s="17">
        <x:f t="shared" si="22"/>
      </x:c>
      <x:c r="P226" s="17">
        <x:f t="shared" si="23"/>
      </x:c>
      <x:c r="Q226" s="17">
        <x:f t="shared" si="24"/>
      </x:c>
      <x:c r="R226" s="17">
        <x:f t="shared" si="25"/>
      </x:c>
      <x:c r="S226" s="18"/>
      <x:c r="T226" s="16"/>
      <x:c r="U226" s="17">
        <x:f t="shared" si="26"/>
      </x:c>
      <x:c r="V226" s="17">
        <x:f t="shared" si="27"/>
      </x:c>
      <x:c r="W226" s="19"/>
      <x:c r="X226" s="15"/>
    </x:row>
    <x:row r="227" ht="28" customHeight="1">
      <x:c r="A227" s="4"/>
      <x:c r="B227" s="15"/>
      <x:c r="C227" s="15"/>
      <x:c r="D227" s="15"/>
      <x:c r="E227" s="15"/>
      <x:c r="F227" s="16"/>
      <x:c r="G227" s="16"/>
      <x:c r="H227" s="16"/>
      <x:c r="I227" s="16"/>
      <x:c r="J227" s="16"/>
      <x:c r="K227" s="16"/>
      <x:c r="L227" s="16"/>
      <x:c r="M227" s="16"/>
      <x:c r="N227" s="17">
        <x:f t="shared" si="21"/>
      </x:c>
      <x:c r="O227" s="17">
        <x:f t="shared" si="22"/>
      </x:c>
      <x:c r="P227" s="17">
        <x:f t="shared" si="23"/>
      </x:c>
      <x:c r="Q227" s="17">
        <x:f t="shared" si="24"/>
      </x:c>
      <x:c r="R227" s="17">
        <x:f t="shared" si="25"/>
      </x:c>
      <x:c r="S227" s="18"/>
      <x:c r="T227" s="16"/>
      <x:c r="U227" s="17">
        <x:f t="shared" si="26"/>
      </x:c>
      <x:c r="V227" s="17">
        <x:f t="shared" si="27"/>
      </x:c>
      <x:c r="W227" s="19"/>
      <x:c r="X227" s="15"/>
    </x:row>
    <x:row r="228" ht="28" customHeight="1">
      <x:c r="A228" s="4"/>
      <x:c r="B228" s="15"/>
      <x:c r="C228" s="15"/>
      <x:c r="D228" s="15"/>
      <x:c r="E228" s="15"/>
      <x:c r="F228" s="16"/>
      <x:c r="G228" s="16"/>
      <x:c r="H228" s="16"/>
      <x:c r="I228" s="16"/>
      <x:c r="J228" s="16"/>
      <x:c r="K228" s="16"/>
      <x:c r="L228" s="16"/>
      <x:c r="M228" s="16"/>
      <x:c r="N228" s="17">
        <x:f t="shared" si="21"/>
      </x:c>
      <x:c r="O228" s="17">
        <x:f t="shared" si="22"/>
      </x:c>
      <x:c r="P228" s="17">
        <x:f t="shared" si="23"/>
      </x:c>
      <x:c r="Q228" s="17">
        <x:f t="shared" si="24"/>
      </x:c>
      <x:c r="R228" s="17">
        <x:f t="shared" si="25"/>
      </x:c>
      <x:c r="S228" s="18"/>
      <x:c r="T228" s="16"/>
      <x:c r="U228" s="17">
        <x:f t="shared" si="26"/>
      </x:c>
      <x:c r="V228" s="17">
        <x:f t="shared" si="27"/>
      </x:c>
      <x:c r="W228" s="19"/>
      <x:c r="X228" s="15"/>
    </x:row>
    <x:row r="229" ht="28" customHeight="1">
      <x:c r="A229" s="4"/>
      <x:c r="B229" s="15"/>
      <x:c r="C229" s="15"/>
      <x:c r="D229" s="15"/>
      <x:c r="E229" s="15"/>
      <x:c r="F229" s="16"/>
      <x:c r="G229" s="16"/>
      <x:c r="H229" s="16"/>
      <x:c r="I229" s="16"/>
      <x:c r="J229" s="16"/>
      <x:c r="K229" s="16"/>
      <x:c r="L229" s="16"/>
      <x:c r="M229" s="16"/>
      <x:c r="N229" s="17">
        <x:f t="shared" si="21"/>
      </x:c>
      <x:c r="O229" s="17">
        <x:f t="shared" si="22"/>
      </x:c>
      <x:c r="P229" s="17">
        <x:f t="shared" si="23"/>
      </x:c>
      <x:c r="Q229" s="17">
        <x:f t="shared" si="24"/>
      </x:c>
      <x:c r="R229" s="17">
        <x:f t="shared" si="25"/>
      </x:c>
      <x:c r="S229" s="18"/>
      <x:c r="T229" s="16"/>
      <x:c r="U229" s="17">
        <x:f t="shared" si="26"/>
      </x:c>
      <x:c r="V229" s="17">
        <x:f t="shared" si="27"/>
      </x:c>
      <x:c r="W229" s="19"/>
      <x:c r="X229" s="15"/>
    </x:row>
    <x:row r="230" ht="28" customHeight="1">
      <x:c r="A230" s="4"/>
      <x:c r="B230" s="15"/>
      <x:c r="C230" s="15"/>
      <x:c r="D230" s="15"/>
      <x:c r="E230" s="15"/>
      <x:c r="F230" s="16"/>
      <x:c r="G230" s="16"/>
      <x:c r="H230" s="16"/>
      <x:c r="I230" s="16"/>
      <x:c r="J230" s="16"/>
      <x:c r="K230" s="16"/>
      <x:c r="L230" s="16"/>
      <x:c r="M230" s="16"/>
      <x:c r="N230" s="17">
        <x:f t="shared" si="21"/>
      </x:c>
      <x:c r="O230" s="17">
        <x:f t="shared" si="22"/>
      </x:c>
      <x:c r="P230" s="17">
        <x:f t="shared" si="23"/>
      </x:c>
      <x:c r="Q230" s="17">
        <x:f t="shared" si="24"/>
      </x:c>
      <x:c r="R230" s="17">
        <x:f t="shared" si="25"/>
      </x:c>
      <x:c r="S230" s="18"/>
      <x:c r="T230" s="16"/>
      <x:c r="U230" s="17">
        <x:f t="shared" si="26"/>
      </x:c>
      <x:c r="V230" s="17">
        <x:f t="shared" si="27"/>
      </x:c>
      <x:c r="W230" s="19"/>
      <x:c r="X230" s="15"/>
    </x:row>
    <x:row r="231" ht="28" customHeight="1">
      <x:c r="A231" s="4"/>
      <x:c r="B231" s="15"/>
      <x:c r="C231" s="15"/>
      <x:c r="D231" s="15"/>
      <x:c r="E231" s="15"/>
      <x:c r="F231" s="16"/>
      <x:c r="G231" s="16"/>
      <x:c r="H231" s="16"/>
      <x:c r="I231" s="16"/>
      <x:c r="J231" s="16"/>
      <x:c r="K231" s="16"/>
      <x:c r="L231" s="16"/>
      <x:c r="M231" s="16"/>
      <x:c r="N231" s="17">
        <x:f t="shared" si="21"/>
      </x:c>
      <x:c r="O231" s="17">
        <x:f t="shared" si="22"/>
      </x:c>
      <x:c r="P231" s="17">
        <x:f t="shared" si="23"/>
      </x:c>
      <x:c r="Q231" s="17">
        <x:f t="shared" si="24"/>
      </x:c>
      <x:c r="R231" s="17">
        <x:f t="shared" si="25"/>
      </x:c>
      <x:c r="S231" s="18"/>
      <x:c r="T231" s="16"/>
      <x:c r="U231" s="17">
        <x:f t="shared" si="26"/>
      </x:c>
      <x:c r="V231" s="17">
        <x:f t="shared" si="27"/>
      </x:c>
      <x:c r="W231" s="19"/>
      <x:c r="X231" s="15"/>
    </x:row>
    <x:row r="232" ht="28" customHeight="1">
      <x:c r="A232" s="4"/>
      <x:c r="B232" s="15"/>
      <x:c r="C232" s="15"/>
      <x:c r="D232" s="15"/>
      <x:c r="E232" s="15"/>
      <x:c r="F232" s="16"/>
      <x:c r="G232" s="16"/>
      <x:c r="H232" s="16"/>
      <x:c r="I232" s="16"/>
      <x:c r="J232" s="16"/>
      <x:c r="K232" s="16"/>
      <x:c r="L232" s="16"/>
      <x:c r="M232" s="16"/>
      <x:c r="N232" s="17">
        <x:f t="shared" si="21"/>
      </x:c>
      <x:c r="O232" s="17">
        <x:f t="shared" si="22"/>
      </x:c>
      <x:c r="P232" s="17">
        <x:f t="shared" si="23"/>
      </x:c>
      <x:c r="Q232" s="17">
        <x:f t="shared" si="24"/>
      </x:c>
      <x:c r="R232" s="17">
        <x:f t="shared" si="25"/>
      </x:c>
      <x:c r="S232" s="18"/>
      <x:c r="T232" s="16"/>
      <x:c r="U232" s="17">
        <x:f t="shared" si="26"/>
      </x:c>
      <x:c r="V232" s="17">
        <x:f t="shared" si="27"/>
      </x:c>
      <x:c r="W232" s="19"/>
      <x:c r="X232" s="15"/>
    </x:row>
    <x:row r="233" ht="28" customHeight="1">
      <x:c r="A233" s="4"/>
      <x:c r="B233" s="15"/>
      <x:c r="C233" s="15"/>
      <x:c r="D233" s="15"/>
      <x:c r="E233" s="15"/>
      <x:c r="F233" s="16"/>
      <x:c r="G233" s="16"/>
      <x:c r="H233" s="16"/>
      <x:c r="I233" s="16"/>
      <x:c r="J233" s="16"/>
      <x:c r="K233" s="16"/>
      <x:c r="L233" s="16"/>
      <x:c r="M233" s="16"/>
      <x:c r="N233" s="17">
        <x:f t="shared" si="21"/>
      </x:c>
      <x:c r="O233" s="17">
        <x:f t="shared" si="22"/>
      </x:c>
      <x:c r="P233" s="17">
        <x:f t="shared" si="23"/>
      </x:c>
      <x:c r="Q233" s="17">
        <x:f t="shared" si="24"/>
      </x:c>
      <x:c r="R233" s="17">
        <x:f t="shared" si="25"/>
      </x:c>
      <x:c r="S233" s="18"/>
      <x:c r="T233" s="16"/>
      <x:c r="U233" s="17">
        <x:f t="shared" si="26"/>
      </x:c>
      <x:c r="V233" s="17">
        <x:f t="shared" si="27"/>
      </x:c>
      <x:c r="W233" s="19"/>
      <x:c r="X233" s="15"/>
    </x:row>
    <x:row r="234" ht="28" customHeight="1">
      <x:c r="A234" s="4"/>
      <x:c r="B234" s="15"/>
      <x:c r="C234" s="15"/>
      <x:c r="D234" s="15"/>
      <x:c r="E234" s="15"/>
      <x:c r="F234" s="16"/>
      <x:c r="G234" s="16"/>
      <x:c r="H234" s="16"/>
      <x:c r="I234" s="16"/>
      <x:c r="J234" s="16"/>
      <x:c r="K234" s="16"/>
      <x:c r="L234" s="16"/>
      <x:c r="M234" s="16"/>
      <x:c r="N234" s="17">
        <x:f t="shared" si="21"/>
      </x:c>
      <x:c r="O234" s="17">
        <x:f t="shared" si="22"/>
      </x:c>
      <x:c r="P234" s="17">
        <x:f t="shared" si="23"/>
      </x:c>
      <x:c r="Q234" s="17">
        <x:f t="shared" si="24"/>
      </x:c>
      <x:c r="R234" s="17">
        <x:f t="shared" si="25"/>
      </x:c>
      <x:c r="S234" s="18"/>
      <x:c r="T234" s="16"/>
      <x:c r="U234" s="17">
        <x:f t="shared" si="26"/>
      </x:c>
      <x:c r="V234" s="17">
        <x:f t="shared" si="27"/>
      </x:c>
      <x:c r="W234" s="19"/>
      <x:c r="X234" s="15"/>
    </x:row>
    <x:row r="235" ht="28" customHeight="1">
      <x:c r="A235" s="4"/>
      <x:c r="B235" s="15"/>
      <x:c r="C235" s="15"/>
      <x:c r="D235" s="15"/>
      <x:c r="E235" s="15"/>
      <x:c r="F235" s="16"/>
      <x:c r="G235" s="16"/>
      <x:c r="H235" s="16"/>
      <x:c r="I235" s="16"/>
      <x:c r="J235" s="16"/>
      <x:c r="K235" s="16"/>
      <x:c r="L235" s="16"/>
      <x:c r="M235" s="16"/>
      <x:c r="N235" s="17">
        <x:f t="shared" si="21"/>
      </x:c>
      <x:c r="O235" s="17">
        <x:f t="shared" si="22"/>
      </x:c>
      <x:c r="P235" s="17">
        <x:f t="shared" si="23"/>
      </x:c>
      <x:c r="Q235" s="17">
        <x:f t="shared" si="24"/>
      </x:c>
      <x:c r="R235" s="17">
        <x:f t="shared" si="25"/>
      </x:c>
      <x:c r="S235" s="18"/>
      <x:c r="T235" s="16"/>
      <x:c r="U235" s="17">
        <x:f t="shared" si="26"/>
      </x:c>
      <x:c r="V235" s="17">
        <x:f t="shared" si="27"/>
      </x:c>
      <x:c r="W235" s="19"/>
      <x:c r="X235" s="15"/>
    </x:row>
    <x:row r="236" ht="28" customHeight="1">
      <x:c r="A236" s="4"/>
      <x:c r="B236" s="15"/>
      <x:c r="C236" s="15"/>
      <x:c r="D236" s="15"/>
      <x:c r="E236" s="15"/>
      <x:c r="F236" s="16"/>
      <x:c r="G236" s="16"/>
      <x:c r="H236" s="16"/>
      <x:c r="I236" s="16"/>
      <x:c r="J236" s="16"/>
      <x:c r="K236" s="16"/>
      <x:c r="L236" s="16"/>
      <x:c r="M236" s="16"/>
      <x:c r="N236" s="17">
        <x:f t="shared" si="21"/>
      </x:c>
      <x:c r="O236" s="17">
        <x:f t="shared" si="22"/>
      </x:c>
      <x:c r="P236" s="17">
        <x:f t="shared" si="23"/>
      </x:c>
      <x:c r="Q236" s="17">
        <x:f t="shared" si="24"/>
      </x:c>
      <x:c r="R236" s="17">
        <x:f t="shared" si="25"/>
      </x:c>
      <x:c r="S236" s="18"/>
      <x:c r="T236" s="16"/>
      <x:c r="U236" s="17">
        <x:f t="shared" si="26"/>
      </x:c>
      <x:c r="V236" s="17">
        <x:f t="shared" si="27"/>
      </x:c>
      <x:c r="W236" s="19"/>
      <x:c r="X236" s="15"/>
    </x:row>
    <x:row r="237" ht="28" customHeight="1">
      <x:c r="A237" s="4"/>
      <x:c r="B237" s="15"/>
      <x:c r="C237" s="15"/>
      <x:c r="D237" s="15"/>
      <x:c r="E237" s="15"/>
      <x:c r="F237" s="16"/>
      <x:c r="G237" s="16"/>
      <x:c r="H237" s="16"/>
      <x:c r="I237" s="16"/>
      <x:c r="J237" s="16"/>
      <x:c r="K237" s="16"/>
      <x:c r="L237" s="16"/>
      <x:c r="M237" s="16"/>
      <x:c r="N237" s="17">
        <x:f t="shared" si="21"/>
      </x:c>
      <x:c r="O237" s="17">
        <x:f t="shared" si="22"/>
      </x:c>
      <x:c r="P237" s="17">
        <x:f t="shared" si="23"/>
      </x:c>
      <x:c r="Q237" s="17">
        <x:f t="shared" si="24"/>
      </x:c>
      <x:c r="R237" s="17">
        <x:f t="shared" si="25"/>
      </x:c>
      <x:c r="S237" s="18"/>
      <x:c r="T237" s="16"/>
      <x:c r="U237" s="17">
        <x:f t="shared" si="26"/>
      </x:c>
      <x:c r="V237" s="17">
        <x:f t="shared" si="27"/>
      </x:c>
      <x:c r="W237" s="19"/>
      <x:c r="X237" s="15"/>
    </x:row>
    <x:row r="238" ht="28" customHeight="1">
      <x:c r="A238" s="4"/>
      <x:c r="B238" s="15"/>
      <x:c r="C238" s="15"/>
      <x:c r="D238" s="15"/>
      <x:c r="E238" s="15"/>
      <x:c r="F238" s="16"/>
      <x:c r="G238" s="16"/>
      <x:c r="H238" s="16"/>
      <x:c r="I238" s="16"/>
      <x:c r="J238" s="16"/>
      <x:c r="K238" s="16"/>
      <x:c r="L238" s="16"/>
      <x:c r="M238" s="16"/>
      <x:c r="N238" s="17">
        <x:f t="shared" si="21"/>
      </x:c>
      <x:c r="O238" s="17">
        <x:f t="shared" si="22"/>
      </x:c>
      <x:c r="P238" s="17">
        <x:f t="shared" si="23"/>
      </x:c>
      <x:c r="Q238" s="17">
        <x:f t="shared" si="24"/>
      </x:c>
      <x:c r="R238" s="17">
        <x:f t="shared" si="25"/>
      </x:c>
      <x:c r="S238" s="18"/>
      <x:c r="T238" s="16"/>
      <x:c r="U238" s="17">
        <x:f t="shared" si="26"/>
      </x:c>
      <x:c r="V238" s="17">
        <x:f t="shared" si="27"/>
      </x:c>
      <x:c r="W238" s="19"/>
      <x:c r="X238" s="15"/>
    </x:row>
    <x:row r="239" ht="28" customHeight="1">
      <x:c r="A239" s="4"/>
      <x:c r="B239" s="15"/>
      <x:c r="C239" s="15"/>
      <x:c r="D239" s="15"/>
      <x:c r="E239" s="15"/>
      <x:c r="F239" s="16"/>
      <x:c r="G239" s="16"/>
      <x:c r="H239" s="16"/>
      <x:c r="I239" s="16"/>
      <x:c r="J239" s="16"/>
      <x:c r="K239" s="16"/>
      <x:c r="L239" s="16"/>
      <x:c r="M239" s="16"/>
      <x:c r="N239" s="17">
        <x:f t="shared" si="21"/>
      </x:c>
      <x:c r="O239" s="17">
        <x:f t="shared" si="22"/>
      </x:c>
      <x:c r="P239" s="17">
        <x:f t="shared" si="23"/>
      </x:c>
      <x:c r="Q239" s="17">
        <x:f t="shared" si="24"/>
      </x:c>
      <x:c r="R239" s="17">
        <x:f t="shared" si="25"/>
      </x:c>
      <x:c r="S239" s="18"/>
      <x:c r="T239" s="16"/>
      <x:c r="U239" s="17">
        <x:f t="shared" si="26"/>
      </x:c>
      <x:c r="V239" s="17">
        <x:f t="shared" si="27"/>
      </x:c>
      <x:c r="W239" s="19"/>
      <x:c r="X239" s="15"/>
    </x:row>
    <x:row r="240" ht="28" customHeight="1">
      <x:c r="A240" s="4"/>
      <x:c r="B240" s="15"/>
      <x:c r="C240" s="15"/>
      <x:c r="D240" s="15"/>
      <x:c r="E240" s="15"/>
      <x:c r="F240" s="16"/>
      <x:c r="G240" s="16"/>
      <x:c r="H240" s="16"/>
      <x:c r="I240" s="16"/>
      <x:c r="J240" s="16"/>
      <x:c r="K240" s="16"/>
      <x:c r="L240" s="16"/>
      <x:c r="M240" s="16"/>
      <x:c r="N240" s="17">
        <x:f t="shared" si="21"/>
      </x:c>
      <x:c r="O240" s="17">
        <x:f t="shared" si="22"/>
      </x:c>
      <x:c r="P240" s="17">
        <x:f t="shared" si="23"/>
      </x:c>
      <x:c r="Q240" s="17">
        <x:f t="shared" si="24"/>
      </x:c>
      <x:c r="R240" s="17">
        <x:f t="shared" si="25"/>
      </x:c>
      <x:c r="S240" s="18"/>
      <x:c r="T240" s="16"/>
      <x:c r="U240" s="17">
        <x:f t="shared" si="26"/>
      </x:c>
      <x:c r="V240" s="17">
        <x:f t="shared" si="27"/>
      </x:c>
      <x:c r="W240" s="19"/>
      <x:c r="X240" s="15"/>
    </x:row>
    <x:row r="241" ht="28" customHeight="1">
      <x:c r="A241" s="4"/>
      <x:c r="B241" s="15"/>
      <x:c r="C241" s="15"/>
      <x:c r="D241" s="15"/>
      <x:c r="E241" s="15"/>
      <x:c r="F241" s="16"/>
      <x:c r="G241" s="16"/>
      <x:c r="H241" s="16"/>
      <x:c r="I241" s="16"/>
      <x:c r="J241" s="16"/>
      <x:c r="K241" s="16"/>
      <x:c r="L241" s="16"/>
      <x:c r="M241" s="16"/>
      <x:c r="N241" s="17">
        <x:f t="shared" si="21"/>
      </x:c>
      <x:c r="O241" s="17">
        <x:f t="shared" si="22"/>
      </x:c>
      <x:c r="P241" s="17">
        <x:f t="shared" si="23"/>
      </x:c>
      <x:c r="Q241" s="17">
        <x:f t="shared" si="24"/>
      </x:c>
      <x:c r="R241" s="17">
        <x:f t="shared" si="25"/>
      </x:c>
      <x:c r="S241" s="18"/>
      <x:c r="T241" s="16"/>
      <x:c r="U241" s="17">
        <x:f t="shared" si="26"/>
      </x:c>
      <x:c r="V241" s="17">
        <x:f t="shared" si="27"/>
      </x:c>
      <x:c r="W241" s="19"/>
      <x:c r="X241" s="15"/>
    </x:row>
    <x:row r="242" ht="28" customHeight="1">
      <x:c r="A242" s="4"/>
      <x:c r="B242" s="15"/>
      <x:c r="C242" s="15"/>
      <x:c r="D242" s="15"/>
      <x:c r="E242" s="15"/>
      <x:c r="F242" s="16"/>
      <x:c r="G242" s="16"/>
      <x:c r="H242" s="16"/>
      <x:c r="I242" s="16"/>
      <x:c r="J242" s="16"/>
      <x:c r="K242" s="16"/>
      <x:c r="L242" s="16"/>
      <x:c r="M242" s="16"/>
      <x:c r="N242" s="17">
        <x:f t="shared" si="21"/>
      </x:c>
      <x:c r="O242" s="17">
        <x:f t="shared" si="22"/>
      </x:c>
      <x:c r="P242" s="17">
        <x:f t="shared" si="23"/>
      </x:c>
      <x:c r="Q242" s="17">
        <x:f t="shared" si="24"/>
      </x:c>
      <x:c r="R242" s="17">
        <x:f t="shared" si="25"/>
      </x:c>
      <x:c r="S242" s="18"/>
      <x:c r="T242" s="16"/>
      <x:c r="U242" s="17">
        <x:f t="shared" si="26"/>
      </x:c>
      <x:c r="V242" s="17">
        <x:f t="shared" si="27"/>
      </x:c>
      <x:c r="W242" s="19"/>
      <x:c r="X242" s="15"/>
    </x:row>
    <x:row r="243" ht="28" customHeight="1">
      <x:c r="A243" s="4"/>
      <x:c r="B243" s="15"/>
      <x:c r="C243" s="15"/>
      <x:c r="D243" s="15"/>
      <x:c r="E243" s="15"/>
      <x:c r="F243" s="16"/>
      <x:c r="G243" s="16"/>
      <x:c r="H243" s="16"/>
      <x:c r="I243" s="16"/>
      <x:c r="J243" s="16"/>
      <x:c r="K243" s="16"/>
      <x:c r="L243" s="16"/>
      <x:c r="M243" s="16"/>
      <x:c r="N243" s="17">
        <x:f t="shared" si="21"/>
      </x:c>
      <x:c r="O243" s="17">
        <x:f t="shared" si="22"/>
      </x:c>
      <x:c r="P243" s="17">
        <x:f t="shared" si="23"/>
      </x:c>
      <x:c r="Q243" s="17">
        <x:f t="shared" si="24"/>
      </x:c>
      <x:c r="R243" s="17">
        <x:f t="shared" si="25"/>
      </x:c>
      <x:c r="S243" s="18"/>
      <x:c r="T243" s="16"/>
      <x:c r="U243" s="17">
        <x:f t="shared" si="26"/>
      </x:c>
      <x:c r="V243" s="17">
        <x:f t="shared" si="27"/>
      </x:c>
      <x:c r="W243" s="19"/>
      <x:c r="X243" s="15"/>
    </x:row>
    <x:row r="244" ht="28" customHeight="1">
      <x:c r="A244" s="4"/>
      <x:c r="B244" s="15"/>
      <x:c r="C244" s="15"/>
      <x:c r="D244" s="15"/>
      <x:c r="E244" s="15"/>
      <x:c r="F244" s="16"/>
      <x:c r="G244" s="16"/>
      <x:c r="H244" s="16"/>
      <x:c r="I244" s="16"/>
      <x:c r="J244" s="16"/>
      <x:c r="K244" s="16"/>
      <x:c r="L244" s="16"/>
      <x:c r="M244" s="16"/>
      <x:c r="N244" s="17">
        <x:f t="shared" si="21"/>
      </x:c>
      <x:c r="O244" s="17">
        <x:f t="shared" si="22"/>
      </x:c>
      <x:c r="P244" s="17">
        <x:f t="shared" si="23"/>
      </x:c>
      <x:c r="Q244" s="17">
        <x:f t="shared" si="24"/>
      </x:c>
      <x:c r="R244" s="17">
        <x:f t="shared" si="25"/>
      </x:c>
      <x:c r="S244" s="18"/>
      <x:c r="T244" s="16"/>
      <x:c r="U244" s="17">
        <x:f t="shared" si="26"/>
      </x:c>
      <x:c r="V244" s="17">
        <x:f t="shared" si="27"/>
      </x:c>
      <x:c r="W244" s="19"/>
      <x:c r="X244" s="15"/>
    </x:row>
    <x:row r="245" ht="28" customHeight="1">
      <x:c r="A245" s="4"/>
      <x:c r="B245" s="15"/>
      <x:c r="C245" s="15"/>
      <x:c r="D245" s="15"/>
      <x:c r="E245" s="15"/>
      <x:c r="F245" s="16"/>
      <x:c r="G245" s="16"/>
      <x:c r="H245" s="16"/>
      <x:c r="I245" s="16"/>
      <x:c r="J245" s="16"/>
      <x:c r="K245" s="16"/>
      <x:c r="L245" s="16"/>
      <x:c r="M245" s="16"/>
      <x:c r="N245" s="17">
        <x:f t="shared" si="21"/>
      </x:c>
      <x:c r="O245" s="17">
        <x:f t="shared" si="22"/>
      </x:c>
      <x:c r="P245" s="17">
        <x:f t="shared" si="23"/>
      </x:c>
      <x:c r="Q245" s="17">
        <x:f t="shared" si="24"/>
      </x:c>
      <x:c r="R245" s="17">
        <x:f t="shared" si="25"/>
      </x:c>
      <x:c r="S245" s="18"/>
      <x:c r="T245" s="16"/>
      <x:c r="U245" s="17">
        <x:f t="shared" si="26"/>
      </x:c>
      <x:c r="V245" s="17">
        <x:f t="shared" si="27"/>
      </x:c>
      <x:c r="W245" s="19"/>
      <x:c r="X245" s="15"/>
    </x:row>
    <x:row r="246" ht="28" customHeight="1">
      <x:c r="A246" s="4"/>
      <x:c r="B246" s="15"/>
      <x:c r="C246" s="15"/>
      <x:c r="D246" s="15"/>
      <x:c r="E246" s="15"/>
      <x:c r="F246" s="16"/>
      <x:c r="G246" s="16"/>
      <x:c r="H246" s="16"/>
      <x:c r="I246" s="16"/>
      <x:c r="J246" s="16"/>
      <x:c r="K246" s="16"/>
      <x:c r="L246" s="16"/>
      <x:c r="M246" s="16"/>
      <x:c r="N246" s="17">
        <x:f t="shared" si="21"/>
      </x:c>
      <x:c r="O246" s="17">
        <x:f t="shared" si="22"/>
      </x:c>
      <x:c r="P246" s="17">
        <x:f t="shared" si="23"/>
      </x:c>
      <x:c r="Q246" s="17">
        <x:f t="shared" si="24"/>
      </x:c>
      <x:c r="R246" s="17">
        <x:f t="shared" si="25"/>
      </x:c>
      <x:c r="S246" s="18"/>
      <x:c r="T246" s="16"/>
      <x:c r="U246" s="17">
        <x:f t="shared" si="26"/>
      </x:c>
      <x:c r="V246" s="17">
        <x:f t="shared" si="27"/>
      </x:c>
      <x:c r="W246" s="19"/>
      <x:c r="X246" s="15"/>
    </x:row>
    <x:row r="247" ht="28" customHeight="1">
      <x:c r="A247" s="4"/>
      <x:c r="B247" s="15"/>
      <x:c r="C247" s="15"/>
      <x:c r="D247" s="15"/>
      <x:c r="E247" s="15"/>
      <x:c r="F247" s="16"/>
      <x:c r="G247" s="16"/>
      <x:c r="H247" s="16"/>
      <x:c r="I247" s="16"/>
      <x:c r="J247" s="16"/>
      <x:c r="K247" s="16"/>
      <x:c r="L247" s="16"/>
      <x:c r="M247" s="16"/>
      <x:c r="N247" s="17">
        <x:f t="shared" si="21"/>
      </x:c>
      <x:c r="O247" s="17">
        <x:f t="shared" si="22"/>
      </x:c>
      <x:c r="P247" s="17">
        <x:f t="shared" si="23"/>
      </x:c>
      <x:c r="Q247" s="17">
        <x:f t="shared" si="24"/>
      </x:c>
      <x:c r="R247" s="17">
        <x:f t="shared" si="25"/>
      </x:c>
      <x:c r="S247" s="18"/>
      <x:c r="T247" s="16"/>
      <x:c r="U247" s="17">
        <x:f t="shared" si="26"/>
      </x:c>
      <x:c r="V247" s="17">
        <x:f t="shared" si="27"/>
      </x:c>
      <x:c r="W247" s="19"/>
      <x:c r="X247" s="15"/>
    </x:row>
    <x:row r="248" ht="28" customHeight="1">
      <x:c r="A248" s="4"/>
      <x:c r="B248" s="15"/>
      <x:c r="C248" s="15"/>
      <x:c r="D248" s="15"/>
      <x:c r="E248" s="15"/>
      <x:c r="F248" s="16"/>
      <x:c r="G248" s="16"/>
      <x:c r="H248" s="16"/>
      <x:c r="I248" s="16"/>
      <x:c r="J248" s="16"/>
      <x:c r="K248" s="16"/>
      <x:c r="L248" s="16"/>
      <x:c r="M248" s="16"/>
      <x:c r="N248" s="17">
        <x:f t="shared" si="21"/>
      </x:c>
      <x:c r="O248" s="17">
        <x:f t="shared" si="22"/>
      </x:c>
      <x:c r="P248" s="17">
        <x:f t="shared" si="23"/>
      </x:c>
      <x:c r="Q248" s="17">
        <x:f t="shared" si="24"/>
      </x:c>
      <x:c r="R248" s="17">
        <x:f t="shared" si="25"/>
      </x:c>
      <x:c r="S248" s="18"/>
      <x:c r="T248" s="16"/>
      <x:c r="U248" s="17">
        <x:f t="shared" si="26"/>
      </x:c>
      <x:c r="V248" s="17">
        <x:f t="shared" si="27"/>
      </x:c>
      <x:c r="W248" s="19"/>
      <x:c r="X248" s="15"/>
    </x:row>
    <x:row r="249" ht="28" customHeight="1">
      <x:c r="A249" s="4"/>
      <x:c r="B249" s="15"/>
      <x:c r="C249" s="15"/>
      <x:c r="D249" s="15"/>
      <x:c r="E249" s="15"/>
      <x:c r="F249" s="16"/>
      <x:c r="G249" s="16"/>
      <x:c r="H249" s="16"/>
      <x:c r="I249" s="16"/>
      <x:c r="J249" s="16"/>
      <x:c r="K249" s="16"/>
      <x:c r="L249" s="16"/>
      <x:c r="M249" s="16"/>
      <x:c r="N249" s="17">
        <x:f t="shared" si="21"/>
      </x:c>
      <x:c r="O249" s="17">
        <x:f t="shared" si="22"/>
      </x:c>
      <x:c r="P249" s="17">
        <x:f t="shared" si="23"/>
      </x:c>
      <x:c r="Q249" s="17">
        <x:f t="shared" si="24"/>
      </x:c>
      <x:c r="R249" s="17">
        <x:f t="shared" si="25"/>
      </x:c>
      <x:c r="S249" s="18"/>
      <x:c r="T249" s="16"/>
      <x:c r="U249" s="17">
        <x:f t="shared" si="26"/>
      </x:c>
      <x:c r="V249" s="17">
        <x:f t="shared" si="27"/>
      </x:c>
      <x:c r="W249" s="19"/>
      <x:c r="X249" s="15"/>
    </x:row>
    <x:row r="250" ht="28" customHeight="1">
      <x:c r="A250" s="4"/>
      <x:c r="B250" s="15"/>
      <x:c r="C250" s="15"/>
      <x:c r="D250" s="15"/>
      <x:c r="E250" s="15"/>
      <x:c r="F250" s="16"/>
      <x:c r="G250" s="16"/>
      <x:c r="H250" s="16"/>
      <x:c r="I250" s="16"/>
      <x:c r="J250" s="16"/>
      <x:c r="K250" s="16"/>
      <x:c r="L250" s="16"/>
      <x:c r="M250" s="16"/>
      <x:c r="N250" s="17">
        <x:f t="shared" si="21"/>
      </x:c>
      <x:c r="O250" s="17">
        <x:f t="shared" si="22"/>
      </x:c>
      <x:c r="P250" s="17">
        <x:f t="shared" si="23"/>
      </x:c>
      <x:c r="Q250" s="17">
        <x:f t="shared" si="24"/>
      </x:c>
      <x:c r="R250" s="17">
        <x:f t="shared" si="25"/>
      </x:c>
      <x:c r="S250" s="18"/>
      <x:c r="T250" s="16"/>
      <x:c r="U250" s="17">
        <x:f t="shared" si="26"/>
      </x:c>
      <x:c r="V250" s="17">
        <x:f t="shared" si="27"/>
      </x:c>
      <x:c r="W250" s="19"/>
      <x:c r="X250" s="15"/>
    </x:row>
    <x:row r="251" ht="28" customHeight="1">
      <x:c r="A251" s="4"/>
      <x:c r="B251" s="15"/>
      <x:c r="C251" s="15"/>
      <x:c r="D251" s="15"/>
      <x:c r="E251" s="15"/>
      <x:c r="F251" s="16"/>
      <x:c r="G251" s="16"/>
      <x:c r="H251" s="16"/>
      <x:c r="I251" s="16"/>
      <x:c r="J251" s="16"/>
      <x:c r="K251" s="16"/>
      <x:c r="L251" s="16"/>
      <x:c r="M251" s="16"/>
      <x:c r="N251" s="17">
        <x:f t="shared" si="21"/>
      </x:c>
      <x:c r="O251" s="17">
        <x:f t="shared" si="22"/>
      </x:c>
      <x:c r="P251" s="17">
        <x:f t="shared" si="23"/>
      </x:c>
      <x:c r="Q251" s="17">
        <x:f t="shared" si="24"/>
      </x:c>
      <x:c r="R251" s="17">
        <x:f t="shared" si="25"/>
      </x:c>
      <x:c r="S251" s="18"/>
      <x:c r="T251" s="16"/>
      <x:c r="U251" s="17">
        <x:f t="shared" si="26"/>
      </x:c>
      <x:c r="V251" s="17">
        <x:f t="shared" si="27"/>
      </x:c>
      <x:c r="W251" s="19"/>
      <x:c r="X251" s="15"/>
    </x:row>
    <x:row r="252" ht="28" customHeight="1">
      <x:c r="A252" s="4"/>
      <x:c r="B252" s="15"/>
      <x:c r="C252" s="15"/>
      <x:c r="D252" s="15"/>
      <x:c r="E252" s="15"/>
      <x:c r="F252" s="16"/>
      <x:c r="G252" s="16"/>
      <x:c r="H252" s="16"/>
      <x:c r="I252" s="16"/>
      <x:c r="J252" s="16"/>
      <x:c r="K252" s="16"/>
      <x:c r="L252" s="16"/>
      <x:c r="M252" s="16"/>
      <x:c r="N252" s="17">
        <x:f t="shared" si="21"/>
      </x:c>
      <x:c r="O252" s="17">
        <x:f t="shared" si="22"/>
      </x:c>
      <x:c r="P252" s="17">
        <x:f t="shared" si="23"/>
      </x:c>
      <x:c r="Q252" s="17">
        <x:f t="shared" si="24"/>
      </x:c>
      <x:c r="R252" s="17">
        <x:f t="shared" si="25"/>
      </x:c>
      <x:c r="S252" s="18"/>
      <x:c r="T252" s="16"/>
      <x:c r="U252" s="17">
        <x:f t="shared" si="26"/>
      </x:c>
      <x:c r="V252" s="17">
        <x:f t="shared" si="27"/>
      </x:c>
      <x:c r="W252" s="19"/>
      <x:c r="X252" s="15"/>
    </x:row>
    <x:row r="253" ht="28" customHeight="1">
      <x:c r="A253" s="4"/>
      <x:c r="B253" s="15"/>
      <x:c r="C253" s="15"/>
      <x:c r="D253" s="15"/>
      <x:c r="E253" s="15"/>
      <x:c r="F253" s="16"/>
      <x:c r="G253" s="16"/>
      <x:c r="H253" s="16"/>
      <x:c r="I253" s="16"/>
      <x:c r="J253" s="16"/>
      <x:c r="K253" s="16"/>
      <x:c r="L253" s="16"/>
      <x:c r="M253" s="16"/>
      <x:c r="N253" s="17">
        <x:f t="shared" si="21"/>
      </x:c>
      <x:c r="O253" s="17">
        <x:f t="shared" si="22"/>
      </x:c>
      <x:c r="P253" s="17">
        <x:f t="shared" si="23"/>
      </x:c>
      <x:c r="Q253" s="17">
        <x:f t="shared" si="24"/>
      </x:c>
      <x:c r="R253" s="17">
        <x:f t="shared" si="25"/>
      </x:c>
      <x:c r="S253" s="18"/>
      <x:c r="T253" s="16"/>
      <x:c r="U253" s="17">
        <x:f t="shared" si="26"/>
      </x:c>
      <x:c r="V253" s="17">
        <x:f t="shared" si="27"/>
      </x:c>
      <x:c r="W253" s="19"/>
      <x:c r="X253" s="15"/>
    </x:row>
    <x:row r="254" ht="28" customHeight="1">
      <x:c r="A254" s="4"/>
      <x:c r="B254" s="15"/>
      <x:c r="C254" s="15"/>
      <x:c r="D254" s="15"/>
      <x:c r="E254" s="15"/>
      <x:c r="F254" s="16"/>
      <x:c r="G254" s="16"/>
      <x:c r="H254" s="16"/>
      <x:c r="I254" s="16"/>
      <x:c r="J254" s="16"/>
      <x:c r="K254" s="16"/>
      <x:c r="L254" s="16"/>
      <x:c r="M254" s="16"/>
      <x:c r="N254" s="17">
        <x:f t="shared" si="21"/>
      </x:c>
      <x:c r="O254" s="17">
        <x:f t="shared" si="22"/>
      </x:c>
      <x:c r="P254" s="17">
        <x:f t="shared" si="23"/>
      </x:c>
      <x:c r="Q254" s="17">
        <x:f t="shared" si="24"/>
      </x:c>
      <x:c r="R254" s="17">
        <x:f t="shared" si="25"/>
      </x:c>
      <x:c r="S254" s="18"/>
      <x:c r="T254" s="16"/>
      <x:c r="U254" s="17">
        <x:f t="shared" si="26"/>
      </x:c>
      <x:c r="V254" s="17">
        <x:f t="shared" si="27"/>
      </x:c>
      <x:c r="W254" s="19"/>
      <x:c r="X254" s="15"/>
    </x:row>
    <x:row r="255" ht="28" customHeight="1">
      <x:c r="A255" s="4"/>
      <x:c r="B255" s="15"/>
      <x:c r="C255" s="15"/>
      <x:c r="D255" s="15"/>
      <x:c r="E255" s="15"/>
      <x:c r="F255" s="16"/>
      <x:c r="G255" s="16"/>
      <x:c r="H255" s="16"/>
      <x:c r="I255" s="16"/>
      <x:c r="J255" s="16"/>
      <x:c r="K255" s="16"/>
      <x:c r="L255" s="16"/>
      <x:c r="M255" s="16"/>
      <x:c r="N255" s="17">
        <x:f t="shared" si="21"/>
      </x:c>
      <x:c r="O255" s="17">
        <x:f t="shared" si="22"/>
      </x:c>
      <x:c r="P255" s="17">
        <x:f t="shared" si="23"/>
      </x:c>
      <x:c r="Q255" s="17">
        <x:f t="shared" si="24"/>
      </x:c>
      <x:c r="R255" s="17">
        <x:f t="shared" si="25"/>
      </x:c>
      <x:c r="S255" s="18"/>
      <x:c r="T255" s="16"/>
      <x:c r="U255" s="17">
        <x:f t="shared" si="26"/>
      </x:c>
      <x:c r="V255" s="17">
        <x:f t="shared" si="27"/>
      </x:c>
      <x:c r="W255" s="19"/>
      <x:c r="X255" s="15"/>
    </x:row>
    <x:row r="256" ht="28" customHeight="1">
      <x:c r="A256" s="4"/>
      <x:c r="B256" s="15"/>
      <x:c r="C256" s="15"/>
      <x:c r="D256" s="15"/>
      <x:c r="E256" s="15"/>
      <x:c r="F256" s="16"/>
      <x:c r="G256" s="16"/>
      <x:c r="H256" s="16"/>
      <x:c r="I256" s="16"/>
      <x:c r="J256" s="16"/>
      <x:c r="K256" s="16"/>
      <x:c r="L256" s="16"/>
      <x:c r="M256" s="16"/>
      <x:c r="N256" s="17">
        <x:f t="shared" si="21"/>
      </x:c>
      <x:c r="O256" s="17">
        <x:f t="shared" si="22"/>
      </x:c>
      <x:c r="P256" s="17">
        <x:f t="shared" si="23"/>
      </x:c>
      <x:c r="Q256" s="17">
        <x:f t="shared" si="24"/>
      </x:c>
      <x:c r="R256" s="17">
        <x:f t="shared" si="25"/>
      </x:c>
      <x:c r="S256" s="18"/>
      <x:c r="T256" s="16"/>
      <x:c r="U256" s="17">
        <x:f t="shared" si="26"/>
      </x:c>
      <x:c r="V256" s="17">
        <x:f t="shared" si="27"/>
      </x:c>
      <x:c r="W256" s="19"/>
      <x:c r="X256" s="15"/>
    </x:row>
    <x:row r="257" ht="28" customHeight="1">
      <x:c r="A257" s="4"/>
      <x:c r="B257" s="15"/>
      <x:c r="C257" s="15"/>
      <x:c r="D257" s="15"/>
      <x:c r="E257" s="15"/>
      <x:c r="F257" s="16"/>
      <x:c r="G257" s="16"/>
      <x:c r="H257" s="16"/>
      <x:c r="I257" s="16"/>
      <x:c r="J257" s="16"/>
      <x:c r="K257" s="16"/>
      <x:c r="L257" s="16"/>
      <x:c r="M257" s="16"/>
      <x:c r="N257" s="17">
        <x:f t="shared" si="21"/>
      </x:c>
      <x:c r="O257" s="17">
        <x:f t="shared" si="22"/>
      </x:c>
      <x:c r="P257" s="17">
        <x:f t="shared" si="23"/>
      </x:c>
      <x:c r="Q257" s="17">
        <x:f t="shared" si="24"/>
      </x:c>
      <x:c r="R257" s="17">
        <x:f t="shared" si="25"/>
      </x:c>
      <x:c r="S257" s="18"/>
      <x:c r="T257" s="16"/>
      <x:c r="U257" s="17">
        <x:f t="shared" si="26"/>
      </x:c>
      <x:c r="V257" s="17">
        <x:f t="shared" si="27"/>
      </x:c>
      <x:c r="W257" s="19"/>
      <x:c r="X257" s="15"/>
    </x:row>
    <x:row r="258" ht="28" customHeight="1">
      <x:c r="A258" s="4"/>
      <x:c r="B258" s="15"/>
      <x:c r="C258" s="15"/>
      <x:c r="D258" s="15"/>
      <x:c r="E258" s="15"/>
      <x:c r="F258" s="16"/>
      <x:c r="G258" s="16"/>
      <x:c r="H258" s="16"/>
      <x:c r="I258" s="16"/>
      <x:c r="J258" s="16"/>
      <x:c r="K258" s="16"/>
      <x:c r="L258" s="16"/>
      <x:c r="M258" s="16"/>
      <x:c r="N258" s="17">
        <x:f t="shared" si="21"/>
      </x:c>
      <x:c r="O258" s="17">
        <x:f t="shared" si="22"/>
      </x:c>
      <x:c r="P258" s="17">
        <x:f t="shared" si="23"/>
      </x:c>
      <x:c r="Q258" s="17">
        <x:f t="shared" si="24"/>
      </x:c>
      <x:c r="R258" s="17">
        <x:f t="shared" si="25"/>
      </x:c>
      <x:c r="S258" s="18"/>
      <x:c r="T258" s="16"/>
      <x:c r="U258" s="17">
        <x:f t="shared" si="26"/>
      </x:c>
      <x:c r="V258" s="17">
        <x:f t="shared" si="27"/>
      </x:c>
      <x:c r="W258" s="19"/>
      <x:c r="X258" s="15"/>
    </x:row>
    <x:row r="259" ht="28" customHeight="1">
      <x:c r="A259" s="4"/>
      <x:c r="B259" s="15"/>
      <x:c r="C259" s="15"/>
      <x:c r="D259" s="15"/>
      <x:c r="E259" s="15"/>
      <x:c r="F259" s="16"/>
      <x:c r="G259" s="16"/>
      <x:c r="H259" s="16"/>
      <x:c r="I259" s="16"/>
      <x:c r="J259" s="16"/>
      <x:c r="K259" s="16"/>
      <x:c r="L259" s="16"/>
      <x:c r="M259" s="16"/>
      <x:c r="N259" s="17">
        <x:f t="shared" si="21"/>
      </x:c>
      <x:c r="O259" s="17">
        <x:f t="shared" si="22"/>
      </x:c>
      <x:c r="P259" s="17">
        <x:f t="shared" si="23"/>
      </x:c>
      <x:c r="Q259" s="17">
        <x:f t="shared" si="24"/>
      </x:c>
      <x:c r="R259" s="17">
        <x:f t="shared" si="25"/>
      </x:c>
      <x:c r="S259" s="18"/>
      <x:c r="T259" s="16"/>
      <x:c r="U259" s="17">
        <x:f t="shared" si="26"/>
      </x:c>
      <x:c r="V259" s="17">
        <x:f t="shared" si="27"/>
      </x:c>
      <x:c r="W259" s="19"/>
      <x:c r="X259" s="15"/>
    </x:row>
    <x:row r="260" ht="28" customHeight="1">
      <x:c r="A260" s="4"/>
      <x:c r="B260" s="15"/>
      <x:c r="C260" s="15"/>
      <x:c r="D260" s="15"/>
      <x:c r="E260" s="15"/>
      <x:c r="F260" s="16"/>
      <x:c r="G260" s="16"/>
      <x:c r="H260" s="16"/>
      <x:c r="I260" s="16"/>
      <x:c r="J260" s="16"/>
      <x:c r="K260" s="16"/>
      <x:c r="L260" s="16"/>
      <x:c r="M260" s="16"/>
      <x:c r="N260" s="17">
        <x:f t="shared" si="21"/>
      </x:c>
      <x:c r="O260" s="17">
        <x:f t="shared" si="22"/>
      </x:c>
      <x:c r="P260" s="17">
        <x:f t="shared" si="23"/>
      </x:c>
      <x:c r="Q260" s="17">
        <x:f t="shared" si="24"/>
      </x:c>
      <x:c r="R260" s="17">
        <x:f t="shared" si="25"/>
      </x:c>
      <x:c r="S260" s="18"/>
      <x:c r="T260" s="16"/>
      <x:c r="U260" s="17">
        <x:f t="shared" si="26"/>
      </x:c>
      <x:c r="V260" s="17">
        <x:f t="shared" si="27"/>
      </x:c>
      <x:c r="W260" s="19"/>
      <x:c r="X260" s="15"/>
    </x:row>
    <x:row r="261" ht="28" customHeight="1">
      <x:c r="A261" s="4"/>
      <x:c r="B261" s="15"/>
      <x:c r="C261" s="15"/>
      <x:c r="D261" s="15"/>
      <x:c r="E261" s="15"/>
      <x:c r="F261" s="16"/>
      <x:c r="G261" s="16"/>
      <x:c r="H261" s="16"/>
      <x:c r="I261" s="16"/>
      <x:c r="J261" s="16"/>
      <x:c r="K261" s="16"/>
      <x:c r="L261" s="16"/>
      <x:c r="M261" s="16"/>
      <x:c r="N261" s="17">
        <x:f t="shared" si="21"/>
      </x:c>
      <x:c r="O261" s="17">
        <x:f t="shared" si="22"/>
      </x:c>
      <x:c r="P261" s="17">
        <x:f t="shared" si="23"/>
      </x:c>
      <x:c r="Q261" s="17">
        <x:f t="shared" si="24"/>
      </x:c>
      <x:c r="R261" s="17">
        <x:f t="shared" si="25"/>
      </x:c>
      <x:c r="S261" s="18"/>
      <x:c r="T261" s="16"/>
      <x:c r="U261" s="17">
        <x:f t="shared" si="26"/>
      </x:c>
      <x:c r="V261" s="17">
        <x:f t="shared" si="27"/>
      </x:c>
      <x:c r="W261" s="19"/>
      <x:c r="X261" s="15"/>
    </x:row>
    <x:row r="262" ht="28" customHeight="1">
      <x:c r="A262" s="4"/>
      <x:c r="B262" s="15"/>
      <x:c r="C262" s="15"/>
      <x:c r="D262" s="15"/>
      <x:c r="E262" s="15"/>
      <x:c r="F262" s="16"/>
      <x:c r="G262" s="16"/>
      <x:c r="H262" s="16"/>
      <x:c r="I262" s="16"/>
      <x:c r="J262" s="16"/>
      <x:c r="K262" s="16"/>
      <x:c r="L262" s="16"/>
      <x:c r="M262" s="16"/>
      <x:c r="N262" s="17">
        <x:f t="shared" ref="N262:N319" si="28">IF(COUNT(F262:H262)=0,"",ROUND((IF(ISNUMBER(F262),F262*40%,0)+IF(ISNUMBER(G262),G262*30%,0)+IF(ISNUMBER(H262),H262*30%,0))/(IF(ISNUMBER(F262),40%,0)+IF(ISNUMBER(G262),30%,0)+IF(ISNUMBER(H262),30%,0)),2))</x:f>
      </x:c>
      <x:c r="O262" s="17">
        <x:f t="shared" ref="O262:O319" si="29">IF(COUNT(I262:J262)=0,"",ROUND((IF(ISNUMBER(I262),I262*70%,0)+IF(ISNUMBER(J262),J262*30%,0))/(IF(ISNUMBER(I262),70%,0)+IF(ISNUMBER(J262),30%,0)),2))</x:f>
      </x:c>
      <x:c r="P262" s="17">
        <x:f t="shared" ref="P262:P319" si="30">K262</x:f>
      </x:c>
      <x:c r="Q262" s="17">
        <x:f t="shared" ref="Q262:Q319" si="31">L262</x:f>
      </x:c>
      <x:c r="R262" s="17">
        <x:f t="shared" ref="R262:R319" si="32">M262</x:f>
      </x:c>
      <x:c r="S262" s="18"/>
      <x:c r="T262" s="16"/>
      <x:c r="U262" s="17">
        <x:f t="shared" ref="U262:U319" si="33">IF(S262=0,"",ROUND(T262/S262,2))</x:f>
      </x:c>
      <x:c r="V262" s="17">
        <x:f t="shared" ref="V262:V319" si="34">IF(S262=100%,T262,"")</x:f>
      </x:c>
      <x:c r="W262" s="19"/>
      <x:c r="X262" s="15"/>
    </x:row>
    <x:row r="263" ht="28" customHeight="1">
      <x:c r="A263" s="4"/>
      <x:c r="B263" s="15"/>
      <x:c r="C263" s="15"/>
      <x:c r="D263" s="15"/>
      <x:c r="E263" s="15"/>
      <x:c r="F263" s="16"/>
      <x:c r="G263" s="16"/>
      <x:c r="H263" s="16"/>
      <x:c r="I263" s="16"/>
      <x:c r="J263" s="16"/>
      <x:c r="K263" s="16"/>
      <x:c r="L263" s="16"/>
      <x:c r="M263" s="16"/>
      <x:c r="N263" s="17">
        <x:f t="shared" si="28"/>
      </x:c>
      <x:c r="O263" s="17">
        <x:f t="shared" si="29"/>
      </x:c>
      <x:c r="P263" s="17">
        <x:f t="shared" si="30"/>
      </x:c>
      <x:c r="Q263" s="17">
        <x:f t="shared" si="31"/>
      </x:c>
      <x:c r="R263" s="17">
        <x:f t="shared" si="32"/>
      </x:c>
      <x:c r="S263" s="18"/>
      <x:c r="T263" s="16"/>
      <x:c r="U263" s="17">
        <x:f t="shared" si="33"/>
      </x:c>
      <x:c r="V263" s="17">
        <x:f t="shared" si="34"/>
      </x:c>
      <x:c r="W263" s="19"/>
      <x:c r="X263" s="15"/>
    </x:row>
    <x:row r="264" ht="28" customHeight="1">
      <x:c r="A264" s="4"/>
      <x:c r="B264" s="15"/>
      <x:c r="C264" s="15"/>
      <x:c r="D264" s="15"/>
      <x:c r="E264" s="15"/>
      <x:c r="F264" s="16"/>
      <x:c r="G264" s="16"/>
      <x:c r="H264" s="16"/>
      <x:c r="I264" s="16"/>
      <x:c r="J264" s="16"/>
      <x:c r="K264" s="16"/>
      <x:c r="L264" s="16"/>
      <x:c r="M264" s="16"/>
      <x:c r="N264" s="17">
        <x:f t="shared" si="28"/>
      </x:c>
      <x:c r="O264" s="17">
        <x:f t="shared" si="29"/>
      </x:c>
      <x:c r="P264" s="17">
        <x:f t="shared" si="30"/>
      </x:c>
      <x:c r="Q264" s="17">
        <x:f t="shared" si="31"/>
      </x:c>
      <x:c r="R264" s="17">
        <x:f t="shared" si="32"/>
      </x:c>
      <x:c r="S264" s="18"/>
      <x:c r="T264" s="16"/>
      <x:c r="U264" s="17">
        <x:f t="shared" si="33"/>
      </x:c>
      <x:c r="V264" s="17">
        <x:f t="shared" si="34"/>
      </x:c>
      <x:c r="W264" s="19"/>
      <x:c r="X264" s="15"/>
    </x:row>
    <x:row r="265" ht="28" customHeight="1">
      <x:c r="A265" s="4"/>
      <x:c r="B265" s="15"/>
      <x:c r="C265" s="15"/>
      <x:c r="D265" s="15"/>
      <x:c r="E265" s="15"/>
      <x:c r="F265" s="16"/>
      <x:c r="G265" s="16"/>
      <x:c r="H265" s="16"/>
      <x:c r="I265" s="16"/>
      <x:c r="J265" s="16"/>
      <x:c r="K265" s="16"/>
      <x:c r="L265" s="16"/>
      <x:c r="M265" s="16"/>
      <x:c r="N265" s="17">
        <x:f t="shared" si="28"/>
      </x:c>
      <x:c r="O265" s="17">
        <x:f t="shared" si="29"/>
      </x:c>
      <x:c r="P265" s="17">
        <x:f t="shared" si="30"/>
      </x:c>
      <x:c r="Q265" s="17">
        <x:f t="shared" si="31"/>
      </x:c>
      <x:c r="R265" s="17">
        <x:f t="shared" si="32"/>
      </x:c>
      <x:c r="S265" s="18"/>
      <x:c r="T265" s="16"/>
      <x:c r="U265" s="17">
        <x:f t="shared" si="33"/>
      </x:c>
      <x:c r="V265" s="17">
        <x:f t="shared" si="34"/>
      </x:c>
      <x:c r="W265" s="19"/>
      <x:c r="X265" s="15"/>
    </x:row>
    <x:row r="266" ht="28" customHeight="1">
      <x:c r="A266" s="4"/>
      <x:c r="B266" s="15"/>
      <x:c r="C266" s="15"/>
      <x:c r="D266" s="15"/>
      <x:c r="E266" s="15"/>
      <x:c r="F266" s="16"/>
      <x:c r="G266" s="16"/>
      <x:c r="H266" s="16"/>
      <x:c r="I266" s="16"/>
      <x:c r="J266" s="16"/>
      <x:c r="K266" s="16"/>
      <x:c r="L266" s="16"/>
      <x:c r="M266" s="16"/>
      <x:c r="N266" s="17">
        <x:f t="shared" si="28"/>
      </x:c>
      <x:c r="O266" s="17">
        <x:f t="shared" si="29"/>
      </x:c>
      <x:c r="P266" s="17">
        <x:f t="shared" si="30"/>
      </x:c>
      <x:c r="Q266" s="17">
        <x:f t="shared" si="31"/>
      </x:c>
      <x:c r="R266" s="17">
        <x:f t="shared" si="32"/>
      </x:c>
      <x:c r="S266" s="18"/>
      <x:c r="T266" s="16"/>
      <x:c r="U266" s="17">
        <x:f t="shared" si="33"/>
      </x:c>
      <x:c r="V266" s="17">
        <x:f t="shared" si="34"/>
      </x:c>
      <x:c r="W266" s="19"/>
      <x:c r="X266" s="15"/>
    </x:row>
    <x:row r="267" ht="28" customHeight="1">
      <x:c r="A267" s="4"/>
      <x:c r="B267" s="15"/>
      <x:c r="C267" s="15"/>
      <x:c r="D267" s="15"/>
      <x:c r="E267" s="15"/>
      <x:c r="F267" s="16"/>
      <x:c r="G267" s="16"/>
      <x:c r="H267" s="16"/>
      <x:c r="I267" s="16"/>
      <x:c r="J267" s="16"/>
      <x:c r="K267" s="16"/>
      <x:c r="L267" s="16"/>
      <x:c r="M267" s="16"/>
      <x:c r="N267" s="17">
        <x:f t="shared" si="28"/>
      </x:c>
      <x:c r="O267" s="17">
        <x:f t="shared" si="29"/>
      </x:c>
      <x:c r="P267" s="17">
        <x:f t="shared" si="30"/>
      </x:c>
      <x:c r="Q267" s="17">
        <x:f t="shared" si="31"/>
      </x:c>
      <x:c r="R267" s="17">
        <x:f t="shared" si="32"/>
      </x:c>
      <x:c r="S267" s="18"/>
      <x:c r="T267" s="16"/>
      <x:c r="U267" s="17">
        <x:f t="shared" si="33"/>
      </x:c>
      <x:c r="V267" s="17">
        <x:f t="shared" si="34"/>
      </x:c>
      <x:c r="W267" s="19"/>
      <x:c r="X267" s="15"/>
    </x:row>
    <x:row r="268" ht="28" customHeight="1">
      <x:c r="A268" s="4"/>
      <x:c r="B268" s="15"/>
      <x:c r="C268" s="15"/>
      <x:c r="D268" s="15"/>
      <x:c r="E268" s="15"/>
      <x:c r="F268" s="16"/>
      <x:c r="G268" s="16"/>
      <x:c r="H268" s="16"/>
      <x:c r="I268" s="16"/>
      <x:c r="J268" s="16"/>
      <x:c r="K268" s="16"/>
      <x:c r="L268" s="16"/>
      <x:c r="M268" s="16"/>
      <x:c r="N268" s="17">
        <x:f t="shared" si="28"/>
      </x:c>
      <x:c r="O268" s="17">
        <x:f t="shared" si="29"/>
      </x:c>
      <x:c r="P268" s="17">
        <x:f t="shared" si="30"/>
      </x:c>
      <x:c r="Q268" s="17">
        <x:f t="shared" si="31"/>
      </x:c>
      <x:c r="R268" s="17">
        <x:f t="shared" si="32"/>
      </x:c>
      <x:c r="S268" s="18"/>
      <x:c r="T268" s="16"/>
      <x:c r="U268" s="17">
        <x:f t="shared" si="33"/>
      </x:c>
      <x:c r="V268" s="17">
        <x:f t="shared" si="34"/>
      </x:c>
      <x:c r="W268" s="19"/>
      <x:c r="X268" s="15"/>
    </x:row>
    <x:row r="269" ht="28" customHeight="1">
      <x:c r="A269" s="4"/>
      <x:c r="B269" s="15"/>
      <x:c r="C269" s="15"/>
      <x:c r="D269" s="15"/>
      <x:c r="E269" s="15"/>
      <x:c r="F269" s="16"/>
      <x:c r="G269" s="16"/>
      <x:c r="H269" s="16"/>
      <x:c r="I269" s="16"/>
      <x:c r="J269" s="16"/>
      <x:c r="K269" s="16"/>
      <x:c r="L269" s="16"/>
      <x:c r="M269" s="16"/>
      <x:c r="N269" s="17">
        <x:f t="shared" si="28"/>
      </x:c>
      <x:c r="O269" s="17">
        <x:f t="shared" si="29"/>
      </x:c>
      <x:c r="P269" s="17">
        <x:f t="shared" si="30"/>
      </x:c>
      <x:c r="Q269" s="17">
        <x:f t="shared" si="31"/>
      </x:c>
      <x:c r="R269" s="17">
        <x:f t="shared" si="32"/>
      </x:c>
      <x:c r="S269" s="18"/>
      <x:c r="T269" s="16"/>
      <x:c r="U269" s="17">
        <x:f t="shared" si="33"/>
      </x:c>
      <x:c r="V269" s="17">
        <x:f t="shared" si="34"/>
      </x:c>
      <x:c r="W269" s="19"/>
      <x:c r="X269" s="15"/>
    </x:row>
    <x:row r="270" ht="28" customHeight="1">
      <x:c r="A270" s="4"/>
      <x:c r="B270" s="15"/>
      <x:c r="C270" s="15"/>
      <x:c r="D270" s="15"/>
      <x:c r="E270" s="15"/>
      <x:c r="F270" s="16"/>
      <x:c r="G270" s="16"/>
      <x:c r="H270" s="16"/>
      <x:c r="I270" s="16"/>
      <x:c r="J270" s="16"/>
      <x:c r="K270" s="16"/>
      <x:c r="L270" s="16"/>
      <x:c r="M270" s="16"/>
      <x:c r="N270" s="17">
        <x:f t="shared" si="28"/>
      </x:c>
      <x:c r="O270" s="17">
        <x:f t="shared" si="29"/>
      </x:c>
      <x:c r="P270" s="17">
        <x:f t="shared" si="30"/>
      </x:c>
      <x:c r="Q270" s="17">
        <x:f t="shared" si="31"/>
      </x:c>
      <x:c r="R270" s="17">
        <x:f t="shared" si="32"/>
      </x:c>
      <x:c r="S270" s="18"/>
      <x:c r="T270" s="16"/>
      <x:c r="U270" s="17">
        <x:f t="shared" si="33"/>
      </x:c>
      <x:c r="V270" s="17">
        <x:f t="shared" si="34"/>
      </x:c>
      <x:c r="W270" s="19"/>
      <x:c r="X270" s="15"/>
    </x:row>
    <x:row r="271" ht="28" customHeight="1">
      <x:c r="A271" s="4"/>
      <x:c r="B271" s="15"/>
      <x:c r="C271" s="15"/>
      <x:c r="D271" s="15"/>
      <x:c r="E271" s="15"/>
      <x:c r="F271" s="16"/>
      <x:c r="G271" s="16"/>
      <x:c r="H271" s="16"/>
      <x:c r="I271" s="16"/>
      <x:c r="J271" s="16"/>
      <x:c r="K271" s="16"/>
      <x:c r="L271" s="16"/>
      <x:c r="M271" s="16"/>
      <x:c r="N271" s="17">
        <x:f t="shared" si="28"/>
      </x:c>
      <x:c r="O271" s="17">
        <x:f t="shared" si="29"/>
      </x:c>
      <x:c r="P271" s="17">
        <x:f t="shared" si="30"/>
      </x:c>
      <x:c r="Q271" s="17">
        <x:f t="shared" si="31"/>
      </x:c>
      <x:c r="R271" s="17">
        <x:f t="shared" si="32"/>
      </x:c>
      <x:c r="S271" s="18"/>
      <x:c r="T271" s="16"/>
      <x:c r="U271" s="17">
        <x:f t="shared" si="33"/>
      </x:c>
      <x:c r="V271" s="17">
        <x:f t="shared" si="34"/>
      </x:c>
      <x:c r="W271" s="19"/>
      <x:c r="X271" s="15"/>
    </x:row>
    <x:row r="272" ht="28" customHeight="1">
      <x:c r="A272" s="4"/>
      <x:c r="B272" s="15"/>
      <x:c r="C272" s="15"/>
      <x:c r="D272" s="15"/>
      <x:c r="E272" s="15"/>
      <x:c r="F272" s="16"/>
      <x:c r="G272" s="16"/>
      <x:c r="H272" s="16"/>
      <x:c r="I272" s="16"/>
      <x:c r="J272" s="16"/>
      <x:c r="K272" s="16"/>
      <x:c r="L272" s="16"/>
      <x:c r="M272" s="16"/>
      <x:c r="N272" s="17">
        <x:f t="shared" si="28"/>
      </x:c>
      <x:c r="O272" s="17">
        <x:f t="shared" si="29"/>
      </x:c>
      <x:c r="P272" s="17">
        <x:f t="shared" si="30"/>
      </x:c>
      <x:c r="Q272" s="17">
        <x:f t="shared" si="31"/>
      </x:c>
      <x:c r="R272" s="17">
        <x:f t="shared" si="32"/>
      </x:c>
      <x:c r="S272" s="18"/>
      <x:c r="T272" s="16"/>
      <x:c r="U272" s="17">
        <x:f t="shared" si="33"/>
      </x:c>
      <x:c r="V272" s="17">
        <x:f t="shared" si="34"/>
      </x:c>
      <x:c r="W272" s="19"/>
      <x:c r="X272" s="15"/>
    </x:row>
    <x:row r="273" ht="28" customHeight="1">
      <x:c r="A273" s="4"/>
      <x:c r="B273" s="15"/>
      <x:c r="C273" s="15"/>
      <x:c r="D273" s="15"/>
      <x:c r="E273" s="15"/>
      <x:c r="F273" s="16"/>
      <x:c r="G273" s="16"/>
      <x:c r="H273" s="16"/>
      <x:c r="I273" s="16"/>
      <x:c r="J273" s="16"/>
      <x:c r="K273" s="16"/>
      <x:c r="L273" s="16"/>
      <x:c r="M273" s="16"/>
      <x:c r="N273" s="17">
        <x:f t="shared" si="28"/>
      </x:c>
      <x:c r="O273" s="17">
        <x:f t="shared" si="29"/>
      </x:c>
      <x:c r="P273" s="17">
        <x:f t="shared" si="30"/>
      </x:c>
      <x:c r="Q273" s="17">
        <x:f t="shared" si="31"/>
      </x:c>
      <x:c r="R273" s="17">
        <x:f t="shared" si="32"/>
      </x:c>
      <x:c r="S273" s="18"/>
      <x:c r="T273" s="16"/>
      <x:c r="U273" s="17">
        <x:f t="shared" si="33"/>
      </x:c>
      <x:c r="V273" s="17">
        <x:f t="shared" si="34"/>
      </x:c>
      <x:c r="W273" s="19"/>
      <x:c r="X273" s="15"/>
    </x:row>
    <x:row r="274" ht="28" customHeight="1">
      <x:c r="A274" s="4"/>
      <x:c r="B274" s="15"/>
      <x:c r="C274" s="15"/>
      <x:c r="D274" s="15"/>
      <x:c r="E274" s="15"/>
      <x:c r="F274" s="16"/>
      <x:c r="G274" s="16"/>
      <x:c r="H274" s="16"/>
      <x:c r="I274" s="16"/>
      <x:c r="J274" s="16"/>
      <x:c r="K274" s="16"/>
      <x:c r="L274" s="16"/>
      <x:c r="M274" s="16"/>
      <x:c r="N274" s="17">
        <x:f t="shared" si="28"/>
      </x:c>
      <x:c r="O274" s="17">
        <x:f t="shared" si="29"/>
      </x:c>
      <x:c r="P274" s="17">
        <x:f t="shared" si="30"/>
      </x:c>
      <x:c r="Q274" s="17">
        <x:f t="shared" si="31"/>
      </x:c>
      <x:c r="R274" s="17">
        <x:f t="shared" si="32"/>
      </x:c>
      <x:c r="S274" s="18"/>
      <x:c r="T274" s="16"/>
      <x:c r="U274" s="17">
        <x:f t="shared" si="33"/>
      </x:c>
      <x:c r="V274" s="17">
        <x:f t="shared" si="34"/>
      </x:c>
      <x:c r="W274" s="19"/>
      <x:c r="X274" s="15"/>
    </x:row>
    <x:row r="275" ht="28" customHeight="1">
      <x:c r="A275" s="4"/>
      <x:c r="B275" s="15"/>
      <x:c r="C275" s="15"/>
      <x:c r="D275" s="15"/>
      <x:c r="E275" s="15"/>
      <x:c r="F275" s="16"/>
      <x:c r="G275" s="16"/>
      <x:c r="H275" s="16"/>
      <x:c r="I275" s="16"/>
      <x:c r="J275" s="16"/>
      <x:c r="K275" s="16"/>
      <x:c r="L275" s="16"/>
      <x:c r="M275" s="16"/>
      <x:c r="N275" s="17">
        <x:f t="shared" si="28"/>
      </x:c>
      <x:c r="O275" s="17">
        <x:f t="shared" si="29"/>
      </x:c>
      <x:c r="P275" s="17">
        <x:f t="shared" si="30"/>
      </x:c>
      <x:c r="Q275" s="17">
        <x:f t="shared" si="31"/>
      </x:c>
      <x:c r="R275" s="17">
        <x:f t="shared" si="32"/>
      </x:c>
      <x:c r="S275" s="18"/>
      <x:c r="T275" s="16"/>
      <x:c r="U275" s="17">
        <x:f t="shared" si="33"/>
      </x:c>
      <x:c r="V275" s="17">
        <x:f t="shared" si="34"/>
      </x:c>
      <x:c r="W275" s="19"/>
      <x:c r="X275" s="15"/>
    </x:row>
    <x:row r="276" ht="28" customHeight="1">
      <x:c r="A276" s="4"/>
      <x:c r="B276" s="15"/>
      <x:c r="C276" s="15"/>
      <x:c r="D276" s="15"/>
      <x:c r="E276" s="15"/>
      <x:c r="F276" s="16"/>
      <x:c r="G276" s="16"/>
      <x:c r="H276" s="16"/>
      <x:c r="I276" s="16"/>
      <x:c r="J276" s="16"/>
      <x:c r="K276" s="16"/>
      <x:c r="L276" s="16"/>
      <x:c r="M276" s="16"/>
      <x:c r="N276" s="17">
        <x:f t="shared" si="28"/>
      </x:c>
      <x:c r="O276" s="17">
        <x:f t="shared" si="29"/>
      </x:c>
      <x:c r="P276" s="17">
        <x:f t="shared" si="30"/>
      </x:c>
      <x:c r="Q276" s="17">
        <x:f t="shared" si="31"/>
      </x:c>
      <x:c r="R276" s="17">
        <x:f t="shared" si="32"/>
      </x:c>
      <x:c r="S276" s="18"/>
      <x:c r="T276" s="16"/>
      <x:c r="U276" s="17">
        <x:f t="shared" si="33"/>
      </x:c>
      <x:c r="V276" s="17">
        <x:f t="shared" si="34"/>
      </x:c>
      <x:c r="W276" s="19"/>
      <x:c r="X276" s="15"/>
    </x:row>
    <x:row r="277" ht="28" customHeight="1">
      <x:c r="A277" s="4"/>
      <x:c r="B277" s="15"/>
      <x:c r="C277" s="15"/>
      <x:c r="D277" s="15"/>
      <x:c r="E277" s="15"/>
      <x:c r="F277" s="16"/>
      <x:c r="G277" s="16"/>
      <x:c r="H277" s="16"/>
      <x:c r="I277" s="16"/>
      <x:c r="J277" s="16"/>
      <x:c r="K277" s="16"/>
      <x:c r="L277" s="16"/>
      <x:c r="M277" s="16"/>
      <x:c r="N277" s="17">
        <x:f t="shared" si="28"/>
      </x:c>
      <x:c r="O277" s="17">
        <x:f t="shared" si="29"/>
      </x:c>
      <x:c r="P277" s="17">
        <x:f t="shared" si="30"/>
      </x:c>
      <x:c r="Q277" s="17">
        <x:f t="shared" si="31"/>
      </x:c>
      <x:c r="R277" s="17">
        <x:f t="shared" si="32"/>
      </x:c>
      <x:c r="S277" s="18"/>
      <x:c r="T277" s="16"/>
      <x:c r="U277" s="17">
        <x:f t="shared" si="33"/>
      </x:c>
      <x:c r="V277" s="17">
        <x:f t="shared" si="34"/>
      </x:c>
      <x:c r="W277" s="19"/>
      <x:c r="X277" s="15"/>
    </x:row>
    <x:row r="278" ht="28" customHeight="1">
      <x:c r="A278" s="4"/>
      <x:c r="B278" s="15"/>
      <x:c r="C278" s="15"/>
      <x:c r="D278" s="15"/>
      <x:c r="E278" s="15"/>
      <x:c r="F278" s="16"/>
      <x:c r="G278" s="16"/>
      <x:c r="H278" s="16"/>
      <x:c r="I278" s="16"/>
      <x:c r="J278" s="16"/>
      <x:c r="K278" s="16"/>
      <x:c r="L278" s="16"/>
      <x:c r="M278" s="16"/>
      <x:c r="N278" s="17">
        <x:f t="shared" si="28"/>
      </x:c>
      <x:c r="O278" s="17">
        <x:f t="shared" si="29"/>
      </x:c>
      <x:c r="P278" s="17">
        <x:f t="shared" si="30"/>
      </x:c>
      <x:c r="Q278" s="17">
        <x:f t="shared" si="31"/>
      </x:c>
      <x:c r="R278" s="17">
        <x:f t="shared" si="32"/>
      </x:c>
      <x:c r="S278" s="18"/>
      <x:c r="T278" s="16"/>
      <x:c r="U278" s="17">
        <x:f t="shared" si="33"/>
      </x:c>
      <x:c r="V278" s="17">
        <x:f t="shared" si="34"/>
      </x:c>
      <x:c r="W278" s="19"/>
      <x:c r="X278" s="15"/>
    </x:row>
    <x:row r="279" ht="28" customHeight="1">
      <x:c r="A279" s="4"/>
      <x:c r="B279" s="15"/>
      <x:c r="C279" s="15"/>
      <x:c r="D279" s="15"/>
      <x:c r="E279" s="15"/>
      <x:c r="F279" s="16"/>
      <x:c r="G279" s="16"/>
      <x:c r="H279" s="16"/>
      <x:c r="I279" s="16"/>
      <x:c r="J279" s="16"/>
      <x:c r="K279" s="16"/>
      <x:c r="L279" s="16"/>
      <x:c r="M279" s="16"/>
      <x:c r="N279" s="17">
        <x:f t="shared" si="28"/>
      </x:c>
      <x:c r="O279" s="17">
        <x:f t="shared" si="29"/>
      </x:c>
      <x:c r="P279" s="17">
        <x:f t="shared" si="30"/>
      </x:c>
      <x:c r="Q279" s="17">
        <x:f t="shared" si="31"/>
      </x:c>
      <x:c r="R279" s="17">
        <x:f t="shared" si="32"/>
      </x:c>
      <x:c r="S279" s="18"/>
      <x:c r="T279" s="16"/>
      <x:c r="U279" s="17">
        <x:f t="shared" si="33"/>
      </x:c>
      <x:c r="V279" s="17">
        <x:f t="shared" si="34"/>
      </x:c>
      <x:c r="W279" s="19"/>
      <x:c r="X279" s="15"/>
    </x:row>
    <x:row r="280" ht="28" customHeight="1">
      <x:c r="A280" s="4"/>
      <x:c r="B280" s="15"/>
      <x:c r="C280" s="15"/>
      <x:c r="D280" s="15"/>
      <x:c r="E280" s="15"/>
      <x:c r="F280" s="16"/>
      <x:c r="G280" s="16"/>
      <x:c r="H280" s="16"/>
      <x:c r="I280" s="16"/>
      <x:c r="J280" s="16"/>
      <x:c r="K280" s="16"/>
      <x:c r="L280" s="16"/>
      <x:c r="M280" s="16"/>
      <x:c r="N280" s="17">
        <x:f t="shared" si="28"/>
      </x:c>
      <x:c r="O280" s="17">
        <x:f t="shared" si="29"/>
      </x:c>
      <x:c r="P280" s="17">
        <x:f t="shared" si="30"/>
      </x:c>
      <x:c r="Q280" s="17">
        <x:f t="shared" si="31"/>
      </x:c>
      <x:c r="R280" s="17">
        <x:f t="shared" si="32"/>
      </x:c>
      <x:c r="S280" s="18"/>
      <x:c r="T280" s="16"/>
      <x:c r="U280" s="17">
        <x:f t="shared" si="33"/>
      </x:c>
      <x:c r="V280" s="17">
        <x:f t="shared" si="34"/>
      </x:c>
      <x:c r="W280" s="19"/>
      <x:c r="X280" s="15"/>
    </x:row>
    <x:row r="281" ht="28" customHeight="1">
      <x:c r="A281" s="4"/>
      <x:c r="B281" s="15"/>
      <x:c r="C281" s="15"/>
      <x:c r="D281" s="15"/>
      <x:c r="E281" s="15"/>
      <x:c r="F281" s="16"/>
      <x:c r="G281" s="16"/>
      <x:c r="H281" s="16"/>
      <x:c r="I281" s="16"/>
      <x:c r="J281" s="16"/>
      <x:c r="K281" s="16"/>
      <x:c r="L281" s="16"/>
      <x:c r="M281" s="16"/>
      <x:c r="N281" s="17">
        <x:f t="shared" si="28"/>
      </x:c>
      <x:c r="O281" s="17">
        <x:f t="shared" si="29"/>
      </x:c>
      <x:c r="P281" s="17">
        <x:f t="shared" si="30"/>
      </x:c>
      <x:c r="Q281" s="17">
        <x:f t="shared" si="31"/>
      </x:c>
      <x:c r="R281" s="17">
        <x:f t="shared" si="32"/>
      </x:c>
      <x:c r="S281" s="18"/>
      <x:c r="T281" s="16"/>
      <x:c r="U281" s="17">
        <x:f t="shared" si="33"/>
      </x:c>
      <x:c r="V281" s="17">
        <x:f t="shared" si="34"/>
      </x:c>
      <x:c r="W281" s="19"/>
      <x:c r="X281" s="15"/>
    </x:row>
    <x:row r="282" ht="28" customHeight="1">
      <x:c r="A282" s="4"/>
      <x:c r="B282" s="15"/>
      <x:c r="C282" s="15"/>
      <x:c r="D282" s="15"/>
      <x:c r="E282" s="15"/>
      <x:c r="F282" s="16"/>
      <x:c r="G282" s="16"/>
      <x:c r="H282" s="16"/>
      <x:c r="I282" s="16"/>
      <x:c r="J282" s="16"/>
      <x:c r="K282" s="16"/>
      <x:c r="L282" s="16"/>
      <x:c r="M282" s="16"/>
      <x:c r="N282" s="17">
        <x:f t="shared" si="28"/>
      </x:c>
      <x:c r="O282" s="17">
        <x:f t="shared" si="29"/>
      </x:c>
      <x:c r="P282" s="17">
        <x:f t="shared" si="30"/>
      </x:c>
      <x:c r="Q282" s="17">
        <x:f t="shared" si="31"/>
      </x:c>
      <x:c r="R282" s="17">
        <x:f t="shared" si="32"/>
      </x:c>
      <x:c r="S282" s="18"/>
      <x:c r="T282" s="16"/>
      <x:c r="U282" s="17">
        <x:f t="shared" si="33"/>
      </x:c>
      <x:c r="V282" s="17">
        <x:f t="shared" si="34"/>
      </x:c>
      <x:c r="W282" s="19"/>
      <x:c r="X282" s="15"/>
    </x:row>
    <x:row r="283" ht="28" customHeight="1">
      <x:c r="A283" s="4"/>
      <x:c r="B283" s="15"/>
      <x:c r="C283" s="15"/>
      <x:c r="D283" s="15"/>
      <x:c r="E283" s="15"/>
      <x:c r="F283" s="16"/>
      <x:c r="G283" s="16"/>
      <x:c r="H283" s="16"/>
      <x:c r="I283" s="16"/>
      <x:c r="J283" s="16"/>
      <x:c r="K283" s="16"/>
      <x:c r="L283" s="16"/>
      <x:c r="M283" s="16"/>
      <x:c r="N283" s="17">
        <x:f t="shared" si="28"/>
      </x:c>
      <x:c r="O283" s="17">
        <x:f t="shared" si="29"/>
      </x:c>
      <x:c r="P283" s="17">
        <x:f t="shared" si="30"/>
      </x:c>
      <x:c r="Q283" s="17">
        <x:f t="shared" si="31"/>
      </x:c>
      <x:c r="R283" s="17">
        <x:f t="shared" si="32"/>
      </x:c>
      <x:c r="S283" s="18"/>
      <x:c r="T283" s="16"/>
      <x:c r="U283" s="17">
        <x:f t="shared" si="33"/>
      </x:c>
      <x:c r="V283" s="17">
        <x:f t="shared" si="34"/>
      </x:c>
      <x:c r="W283" s="19"/>
      <x:c r="X283" s="15"/>
    </x:row>
    <x:row r="284" ht="28" customHeight="1">
      <x:c r="A284" s="4"/>
      <x:c r="B284" s="15"/>
      <x:c r="C284" s="15"/>
      <x:c r="D284" s="15"/>
      <x:c r="E284" s="15"/>
      <x:c r="F284" s="16"/>
      <x:c r="G284" s="16"/>
      <x:c r="H284" s="16"/>
      <x:c r="I284" s="16"/>
      <x:c r="J284" s="16"/>
      <x:c r="K284" s="16"/>
      <x:c r="L284" s="16"/>
      <x:c r="M284" s="16"/>
      <x:c r="N284" s="17">
        <x:f t="shared" si="28"/>
      </x:c>
      <x:c r="O284" s="17">
        <x:f t="shared" si="29"/>
      </x:c>
      <x:c r="P284" s="17">
        <x:f t="shared" si="30"/>
      </x:c>
      <x:c r="Q284" s="17">
        <x:f t="shared" si="31"/>
      </x:c>
      <x:c r="R284" s="17">
        <x:f t="shared" si="32"/>
      </x:c>
      <x:c r="S284" s="18"/>
      <x:c r="T284" s="16"/>
      <x:c r="U284" s="17">
        <x:f t="shared" si="33"/>
      </x:c>
      <x:c r="V284" s="17">
        <x:f t="shared" si="34"/>
      </x:c>
      <x:c r="W284" s="19"/>
      <x:c r="X284" s="15"/>
    </x:row>
    <x:row r="285" ht="28" customHeight="1">
      <x:c r="A285" s="4"/>
      <x:c r="B285" s="15"/>
      <x:c r="C285" s="15"/>
      <x:c r="D285" s="15"/>
      <x:c r="E285" s="15"/>
      <x:c r="F285" s="16"/>
      <x:c r="G285" s="16"/>
      <x:c r="H285" s="16"/>
      <x:c r="I285" s="16"/>
      <x:c r="J285" s="16"/>
      <x:c r="K285" s="16"/>
      <x:c r="L285" s="16"/>
      <x:c r="M285" s="16"/>
      <x:c r="N285" s="17">
        <x:f t="shared" si="28"/>
      </x:c>
      <x:c r="O285" s="17">
        <x:f t="shared" si="29"/>
      </x:c>
      <x:c r="P285" s="17">
        <x:f t="shared" si="30"/>
      </x:c>
      <x:c r="Q285" s="17">
        <x:f t="shared" si="31"/>
      </x:c>
      <x:c r="R285" s="17">
        <x:f t="shared" si="32"/>
      </x:c>
      <x:c r="S285" s="18"/>
      <x:c r="T285" s="16"/>
      <x:c r="U285" s="17">
        <x:f t="shared" si="33"/>
      </x:c>
      <x:c r="V285" s="17">
        <x:f t="shared" si="34"/>
      </x:c>
      <x:c r="W285" s="19"/>
      <x:c r="X285" s="15"/>
    </x:row>
    <x:row r="286" ht="28" customHeight="1">
      <x:c r="A286" s="4"/>
      <x:c r="B286" s="15"/>
      <x:c r="C286" s="15"/>
      <x:c r="D286" s="15"/>
      <x:c r="E286" s="15"/>
      <x:c r="F286" s="16"/>
      <x:c r="G286" s="16"/>
      <x:c r="H286" s="16"/>
      <x:c r="I286" s="16"/>
      <x:c r="J286" s="16"/>
      <x:c r="K286" s="16"/>
      <x:c r="L286" s="16"/>
      <x:c r="M286" s="16"/>
      <x:c r="N286" s="17">
        <x:f t="shared" si="28"/>
      </x:c>
      <x:c r="O286" s="17">
        <x:f t="shared" si="29"/>
      </x:c>
      <x:c r="P286" s="17">
        <x:f t="shared" si="30"/>
      </x:c>
      <x:c r="Q286" s="17">
        <x:f t="shared" si="31"/>
      </x:c>
      <x:c r="R286" s="17">
        <x:f t="shared" si="32"/>
      </x:c>
      <x:c r="S286" s="18"/>
      <x:c r="T286" s="16"/>
      <x:c r="U286" s="17">
        <x:f t="shared" si="33"/>
      </x:c>
      <x:c r="V286" s="17">
        <x:f t="shared" si="34"/>
      </x:c>
      <x:c r="W286" s="19"/>
      <x:c r="X286" s="15"/>
    </x:row>
    <x:row r="287" ht="28" customHeight="1">
      <x:c r="A287" s="4"/>
      <x:c r="B287" s="15"/>
      <x:c r="C287" s="15"/>
      <x:c r="D287" s="15"/>
      <x:c r="E287" s="15"/>
      <x:c r="F287" s="16"/>
      <x:c r="G287" s="16"/>
      <x:c r="H287" s="16"/>
      <x:c r="I287" s="16"/>
      <x:c r="J287" s="16"/>
      <x:c r="K287" s="16"/>
      <x:c r="L287" s="16"/>
      <x:c r="M287" s="16"/>
      <x:c r="N287" s="17">
        <x:f t="shared" si="28"/>
      </x:c>
      <x:c r="O287" s="17">
        <x:f t="shared" si="29"/>
      </x:c>
      <x:c r="P287" s="17">
        <x:f t="shared" si="30"/>
      </x:c>
      <x:c r="Q287" s="17">
        <x:f t="shared" si="31"/>
      </x:c>
      <x:c r="R287" s="17">
        <x:f t="shared" si="32"/>
      </x:c>
      <x:c r="S287" s="18"/>
      <x:c r="T287" s="16"/>
      <x:c r="U287" s="17">
        <x:f t="shared" si="33"/>
      </x:c>
      <x:c r="V287" s="17">
        <x:f t="shared" si="34"/>
      </x:c>
      <x:c r="W287" s="19"/>
      <x:c r="X287" s="15"/>
    </x:row>
    <x:row r="288" ht="28" customHeight="1">
      <x:c r="A288" s="4"/>
      <x:c r="B288" s="15"/>
      <x:c r="C288" s="15"/>
      <x:c r="D288" s="15"/>
      <x:c r="E288" s="15"/>
      <x:c r="F288" s="16"/>
      <x:c r="G288" s="16"/>
      <x:c r="H288" s="16"/>
      <x:c r="I288" s="16"/>
      <x:c r="J288" s="16"/>
      <x:c r="K288" s="16"/>
      <x:c r="L288" s="16"/>
      <x:c r="M288" s="16"/>
      <x:c r="N288" s="17">
        <x:f t="shared" si="28"/>
      </x:c>
      <x:c r="O288" s="17">
        <x:f t="shared" si="29"/>
      </x:c>
      <x:c r="P288" s="17">
        <x:f t="shared" si="30"/>
      </x:c>
      <x:c r="Q288" s="17">
        <x:f t="shared" si="31"/>
      </x:c>
      <x:c r="R288" s="17">
        <x:f t="shared" si="32"/>
      </x:c>
      <x:c r="S288" s="18"/>
      <x:c r="T288" s="16"/>
      <x:c r="U288" s="17">
        <x:f t="shared" si="33"/>
      </x:c>
      <x:c r="V288" s="17">
        <x:f t="shared" si="34"/>
      </x:c>
      <x:c r="W288" s="19"/>
      <x:c r="X288" s="15"/>
    </x:row>
    <x:row r="289" ht="28" customHeight="1">
      <x:c r="A289" s="4"/>
      <x:c r="B289" s="15"/>
      <x:c r="C289" s="15"/>
      <x:c r="D289" s="15"/>
      <x:c r="E289" s="15"/>
      <x:c r="F289" s="16"/>
      <x:c r="G289" s="16"/>
      <x:c r="H289" s="16"/>
      <x:c r="I289" s="16"/>
      <x:c r="J289" s="16"/>
      <x:c r="K289" s="16"/>
      <x:c r="L289" s="16"/>
      <x:c r="M289" s="16"/>
      <x:c r="N289" s="17">
        <x:f t="shared" si="28"/>
      </x:c>
      <x:c r="O289" s="17">
        <x:f t="shared" si="29"/>
      </x:c>
      <x:c r="P289" s="17">
        <x:f t="shared" si="30"/>
      </x:c>
      <x:c r="Q289" s="17">
        <x:f t="shared" si="31"/>
      </x:c>
      <x:c r="R289" s="17">
        <x:f t="shared" si="32"/>
      </x:c>
      <x:c r="S289" s="18"/>
      <x:c r="T289" s="16"/>
      <x:c r="U289" s="17">
        <x:f t="shared" si="33"/>
      </x:c>
      <x:c r="V289" s="17">
        <x:f t="shared" si="34"/>
      </x:c>
      <x:c r="W289" s="19"/>
      <x:c r="X289" s="15"/>
    </x:row>
    <x:row r="290" ht="28" customHeight="1">
      <x:c r="A290" s="4"/>
      <x:c r="B290" s="15"/>
      <x:c r="C290" s="15"/>
      <x:c r="D290" s="15"/>
      <x:c r="E290" s="15"/>
      <x:c r="F290" s="16"/>
      <x:c r="G290" s="16"/>
      <x:c r="H290" s="16"/>
      <x:c r="I290" s="16"/>
      <x:c r="J290" s="16"/>
      <x:c r="K290" s="16"/>
      <x:c r="L290" s="16"/>
      <x:c r="M290" s="16"/>
      <x:c r="N290" s="17">
        <x:f t="shared" si="28"/>
      </x:c>
      <x:c r="O290" s="17">
        <x:f t="shared" si="29"/>
      </x:c>
      <x:c r="P290" s="17">
        <x:f t="shared" si="30"/>
      </x:c>
      <x:c r="Q290" s="17">
        <x:f t="shared" si="31"/>
      </x:c>
      <x:c r="R290" s="17">
        <x:f t="shared" si="32"/>
      </x:c>
      <x:c r="S290" s="18"/>
      <x:c r="T290" s="16"/>
      <x:c r="U290" s="17">
        <x:f t="shared" si="33"/>
      </x:c>
      <x:c r="V290" s="17">
        <x:f t="shared" si="34"/>
      </x:c>
      <x:c r="W290" s="19"/>
      <x:c r="X290" s="15"/>
    </x:row>
    <x:row r="291" ht="28" customHeight="1">
      <x:c r="A291" s="4"/>
      <x:c r="B291" s="15"/>
      <x:c r="C291" s="15"/>
      <x:c r="D291" s="15"/>
      <x:c r="E291" s="15"/>
      <x:c r="F291" s="16"/>
      <x:c r="G291" s="16"/>
      <x:c r="H291" s="16"/>
      <x:c r="I291" s="16"/>
      <x:c r="J291" s="16"/>
      <x:c r="K291" s="16"/>
      <x:c r="L291" s="16"/>
      <x:c r="M291" s="16"/>
      <x:c r="N291" s="17">
        <x:f t="shared" si="28"/>
      </x:c>
      <x:c r="O291" s="17">
        <x:f t="shared" si="29"/>
      </x:c>
      <x:c r="P291" s="17">
        <x:f t="shared" si="30"/>
      </x:c>
      <x:c r="Q291" s="17">
        <x:f t="shared" si="31"/>
      </x:c>
      <x:c r="R291" s="17">
        <x:f t="shared" si="32"/>
      </x:c>
      <x:c r="S291" s="18"/>
      <x:c r="T291" s="16"/>
      <x:c r="U291" s="17">
        <x:f t="shared" si="33"/>
      </x:c>
      <x:c r="V291" s="17">
        <x:f t="shared" si="34"/>
      </x:c>
      <x:c r="W291" s="19"/>
      <x:c r="X291" s="15"/>
    </x:row>
    <x:row r="292" ht="28" customHeight="1">
      <x:c r="A292" s="4"/>
      <x:c r="B292" s="15"/>
      <x:c r="C292" s="15"/>
      <x:c r="D292" s="15"/>
      <x:c r="E292" s="15"/>
      <x:c r="F292" s="16"/>
      <x:c r="G292" s="16"/>
      <x:c r="H292" s="16"/>
      <x:c r="I292" s="16"/>
      <x:c r="J292" s="16"/>
      <x:c r="K292" s="16"/>
      <x:c r="L292" s="16"/>
      <x:c r="M292" s="16"/>
      <x:c r="N292" s="17">
        <x:f t="shared" si="28"/>
      </x:c>
      <x:c r="O292" s="17">
        <x:f t="shared" si="29"/>
      </x:c>
      <x:c r="P292" s="17">
        <x:f t="shared" si="30"/>
      </x:c>
      <x:c r="Q292" s="17">
        <x:f t="shared" si="31"/>
      </x:c>
      <x:c r="R292" s="17">
        <x:f t="shared" si="32"/>
      </x:c>
      <x:c r="S292" s="18"/>
      <x:c r="T292" s="16"/>
      <x:c r="U292" s="17">
        <x:f t="shared" si="33"/>
      </x:c>
      <x:c r="V292" s="17">
        <x:f t="shared" si="34"/>
      </x:c>
      <x:c r="W292" s="19"/>
      <x:c r="X292" s="15"/>
    </x:row>
    <x:row r="293" ht="28" customHeight="1">
      <x:c r="A293" s="4"/>
      <x:c r="B293" s="15"/>
      <x:c r="C293" s="15"/>
      <x:c r="D293" s="15"/>
      <x:c r="E293" s="15"/>
      <x:c r="F293" s="16"/>
      <x:c r="G293" s="16"/>
      <x:c r="H293" s="16"/>
      <x:c r="I293" s="16"/>
      <x:c r="J293" s="16"/>
      <x:c r="K293" s="16"/>
      <x:c r="L293" s="16"/>
      <x:c r="M293" s="16"/>
      <x:c r="N293" s="17">
        <x:f t="shared" si="28"/>
      </x:c>
      <x:c r="O293" s="17">
        <x:f t="shared" si="29"/>
      </x:c>
      <x:c r="P293" s="17">
        <x:f t="shared" si="30"/>
      </x:c>
      <x:c r="Q293" s="17">
        <x:f t="shared" si="31"/>
      </x:c>
      <x:c r="R293" s="17">
        <x:f t="shared" si="32"/>
      </x:c>
      <x:c r="S293" s="18"/>
      <x:c r="T293" s="16"/>
      <x:c r="U293" s="17">
        <x:f t="shared" si="33"/>
      </x:c>
      <x:c r="V293" s="17">
        <x:f t="shared" si="34"/>
      </x:c>
      <x:c r="W293" s="19"/>
      <x:c r="X293" s="15"/>
    </x:row>
    <x:row r="294" ht="28" customHeight="1">
      <x:c r="A294" s="4"/>
      <x:c r="B294" s="15"/>
      <x:c r="C294" s="15"/>
      <x:c r="D294" s="15"/>
      <x:c r="E294" s="15"/>
      <x:c r="F294" s="16"/>
      <x:c r="G294" s="16"/>
      <x:c r="H294" s="16"/>
      <x:c r="I294" s="16"/>
      <x:c r="J294" s="16"/>
      <x:c r="K294" s="16"/>
      <x:c r="L294" s="16"/>
      <x:c r="M294" s="16"/>
      <x:c r="N294" s="17">
        <x:f t="shared" si="28"/>
      </x:c>
      <x:c r="O294" s="17">
        <x:f t="shared" si="29"/>
      </x:c>
      <x:c r="P294" s="17">
        <x:f t="shared" si="30"/>
      </x:c>
      <x:c r="Q294" s="17">
        <x:f t="shared" si="31"/>
      </x:c>
      <x:c r="R294" s="17">
        <x:f t="shared" si="32"/>
      </x:c>
      <x:c r="S294" s="18"/>
      <x:c r="T294" s="16"/>
      <x:c r="U294" s="17">
        <x:f t="shared" si="33"/>
      </x:c>
      <x:c r="V294" s="17">
        <x:f t="shared" si="34"/>
      </x:c>
      <x:c r="W294" s="19"/>
      <x:c r="X294" s="15"/>
    </x:row>
    <x:row r="295" ht="28" customHeight="1">
      <x:c r="A295" s="4"/>
      <x:c r="B295" s="15"/>
      <x:c r="C295" s="15"/>
      <x:c r="D295" s="15"/>
      <x:c r="E295" s="15"/>
      <x:c r="F295" s="16"/>
      <x:c r="G295" s="16"/>
      <x:c r="H295" s="16"/>
      <x:c r="I295" s="16"/>
      <x:c r="J295" s="16"/>
      <x:c r="K295" s="16"/>
      <x:c r="L295" s="16"/>
      <x:c r="M295" s="16"/>
      <x:c r="N295" s="17">
        <x:f t="shared" si="28"/>
      </x:c>
      <x:c r="O295" s="17">
        <x:f t="shared" si="29"/>
      </x:c>
      <x:c r="P295" s="17">
        <x:f t="shared" si="30"/>
      </x:c>
      <x:c r="Q295" s="17">
        <x:f t="shared" si="31"/>
      </x:c>
      <x:c r="R295" s="17">
        <x:f t="shared" si="32"/>
      </x:c>
      <x:c r="S295" s="18"/>
      <x:c r="T295" s="16"/>
      <x:c r="U295" s="17">
        <x:f t="shared" si="33"/>
      </x:c>
      <x:c r="V295" s="17">
        <x:f t="shared" si="34"/>
      </x:c>
      <x:c r="W295" s="19"/>
      <x:c r="X295" s="15"/>
    </x:row>
    <x:row r="296" ht="28" customHeight="1">
      <x:c r="A296" s="4"/>
      <x:c r="B296" s="15"/>
      <x:c r="C296" s="15"/>
      <x:c r="D296" s="15"/>
      <x:c r="E296" s="15"/>
      <x:c r="F296" s="16"/>
      <x:c r="G296" s="16"/>
      <x:c r="H296" s="16"/>
      <x:c r="I296" s="16"/>
      <x:c r="J296" s="16"/>
      <x:c r="K296" s="16"/>
      <x:c r="L296" s="16"/>
      <x:c r="M296" s="16"/>
      <x:c r="N296" s="17">
        <x:f t="shared" si="28"/>
      </x:c>
      <x:c r="O296" s="17">
        <x:f t="shared" si="29"/>
      </x:c>
      <x:c r="P296" s="17">
        <x:f t="shared" si="30"/>
      </x:c>
      <x:c r="Q296" s="17">
        <x:f t="shared" si="31"/>
      </x:c>
      <x:c r="R296" s="17">
        <x:f t="shared" si="32"/>
      </x:c>
      <x:c r="S296" s="18"/>
      <x:c r="T296" s="16"/>
      <x:c r="U296" s="17">
        <x:f t="shared" si="33"/>
      </x:c>
      <x:c r="V296" s="17">
        <x:f t="shared" si="34"/>
      </x:c>
      <x:c r="W296" s="19"/>
      <x:c r="X296" s="15"/>
    </x:row>
    <x:row r="297" ht="28" customHeight="1">
      <x:c r="A297" s="4"/>
      <x:c r="B297" s="15"/>
      <x:c r="C297" s="15"/>
      <x:c r="D297" s="15"/>
      <x:c r="E297" s="15"/>
      <x:c r="F297" s="16"/>
      <x:c r="G297" s="16"/>
      <x:c r="H297" s="16"/>
      <x:c r="I297" s="16"/>
      <x:c r="J297" s="16"/>
      <x:c r="K297" s="16"/>
      <x:c r="L297" s="16"/>
      <x:c r="M297" s="16"/>
      <x:c r="N297" s="17">
        <x:f t="shared" si="28"/>
      </x:c>
      <x:c r="O297" s="17">
        <x:f t="shared" si="29"/>
      </x:c>
      <x:c r="P297" s="17">
        <x:f t="shared" si="30"/>
      </x:c>
      <x:c r="Q297" s="17">
        <x:f t="shared" si="31"/>
      </x:c>
      <x:c r="R297" s="17">
        <x:f t="shared" si="32"/>
      </x:c>
      <x:c r="S297" s="18"/>
      <x:c r="T297" s="16"/>
      <x:c r="U297" s="17">
        <x:f t="shared" si="33"/>
      </x:c>
      <x:c r="V297" s="17">
        <x:f t="shared" si="34"/>
      </x:c>
      <x:c r="W297" s="19"/>
      <x:c r="X297" s="15"/>
    </x:row>
    <x:row r="298" ht="28" customHeight="1">
      <x:c r="A298" s="4"/>
      <x:c r="B298" s="15"/>
      <x:c r="C298" s="15"/>
      <x:c r="D298" s="15"/>
      <x:c r="E298" s="15"/>
      <x:c r="F298" s="16"/>
      <x:c r="G298" s="16"/>
      <x:c r="H298" s="16"/>
      <x:c r="I298" s="16"/>
      <x:c r="J298" s="16"/>
      <x:c r="K298" s="16"/>
      <x:c r="L298" s="16"/>
      <x:c r="M298" s="16"/>
      <x:c r="N298" s="17">
        <x:f t="shared" si="28"/>
      </x:c>
      <x:c r="O298" s="17">
        <x:f t="shared" si="29"/>
      </x:c>
      <x:c r="P298" s="17">
        <x:f t="shared" si="30"/>
      </x:c>
      <x:c r="Q298" s="17">
        <x:f t="shared" si="31"/>
      </x:c>
      <x:c r="R298" s="17">
        <x:f t="shared" si="32"/>
      </x:c>
      <x:c r="S298" s="18"/>
      <x:c r="T298" s="16"/>
      <x:c r="U298" s="17">
        <x:f t="shared" si="33"/>
      </x:c>
      <x:c r="V298" s="17">
        <x:f t="shared" si="34"/>
      </x:c>
      <x:c r="W298" s="19"/>
      <x:c r="X298" s="15"/>
    </x:row>
    <x:row r="299" ht="28" customHeight="1">
      <x:c r="A299" s="4"/>
      <x:c r="B299" s="15"/>
      <x:c r="C299" s="15"/>
      <x:c r="D299" s="15"/>
      <x:c r="E299" s="15"/>
      <x:c r="F299" s="16"/>
      <x:c r="G299" s="16"/>
      <x:c r="H299" s="16"/>
      <x:c r="I299" s="16"/>
      <x:c r="J299" s="16"/>
      <x:c r="K299" s="16"/>
      <x:c r="L299" s="16"/>
      <x:c r="M299" s="16"/>
      <x:c r="N299" s="17">
        <x:f t="shared" si="28"/>
      </x:c>
      <x:c r="O299" s="17">
        <x:f t="shared" si="29"/>
      </x:c>
      <x:c r="P299" s="17">
        <x:f t="shared" si="30"/>
      </x:c>
      <x:c r="Q299" s="17">
        <x:f t="shared" si="31"/>
      </x:c>
      <x:c r="R299" s="17">
        <x:f t="shared" si="32"/>
      </x:c>
      <x:c r="S299" s="18"/>
      <x:c r="T299" s="16"/>
      <x:c r="U299" s="17">
        <x:f t="shared" si="33"/>
      </x:c>
      <x:c r="V299" s="17">
        <x:f t="shared" si="34"/>
      </x:c>
      <x:c r="W299" s="19"/>
      <x:c r="X299" s="15"/>
    </x:row>
    <x:row r="300" ht="28" customHeight="1">
      <x:c r="A300" s="4"/>
      <x:c r="B300" s="15"/>
      <x:c r="C300" s="15"/>
      <x:c r="D300" s="15"/>
      <x:c r="E300" s="15"/>
      <x:c r="F300" s="16"/>
      <x:c r="G300" s="16"/>
      <x:c r="H300" s="16"/>
      <x:c r="I300" s="16"/>
      <x:c r="J300" s="16"/>
      <x:c r="K300" s="16"/>
      <x:c r="L300" s="16"/>
      <x:c r="M300" s="16"/>
      <x:c r="N300" s="17">
        <x:f t="shared" si="28"/>
      </x:c>
      <x:c r="O300" s="17">
        <x:f t="shared" si="29"/>
      </x:c>
      <x:c r="P300" s="17">
        <x:f t="shared" si="30"/>
      </x:c>
      <x:c r="Q300" s="17">
        <x:f t="shared" si="31"/>
      </x:c>
      <x:c r="R300" s="17">
        <x:f t="shared" si="32"/>
      </x:c>
      <x:c r="S300" s="18"/>
      <x:c r="T300" s="16"/>
      <x:c r="U300" s="17">
        <x:f t="shared" si="33"/>
      </x:c>
      <x:c r="V300" s="17">
        <x:f t="shared" si="34"/>
      </x:c>
      <x:c r="W300" s="19"/>
      <x:c r="X300" s="15"/>
    </x:row>
    <x:row r="301" ht="28" customHeight="1">
      <x:c r="A301" s="4"/>
      <x:c r="B301" s="15"/>
      <x:c r="C301" s="15"/>
      <x:c r="D301" s="15"/>
      <x:c r="E301" s="15"/>
      <x:c r="F301" s="16"/>
      <x:c r="G301" s="16"/>
      <x:c r="H301" s="16"/>
      <x:c r="I301" s="16"/>
      <x:c r="J301" s="16"/>
      <x:c r="K301" s="16"/>
      <x:c r="L301" s="16"/>
      <x:c r="M301" s="16"/>
      <x:c r="N301" s="17">
        <x:f t="shared" si="28"/>
      </x:c>
      <x:c r="O301" s="17">
        <x:f t="shared" si="29"/>
      </x:c>
      <x:c r="P301" s="17">
        <x:f t="shared" si="30"/>
      </x:c>
      <x:c r="Q301" s="17">
        <x:f t="shared" si="31"/>
      </x:c>
      <x:c r="R301" s="17">
        <x:f t="shared" si="32"/>
      </x:c>
      <x:c r="S301" s="18"/>
      <x:c r="T301" s="16"/>
      <x:c r="U301" s="17">
        <x:f t="shared" si="33"/>
      </x:c>
      <x:c r="V301" s="17">
        <x:f t="shared" si="34"/>
      </x:c>
      <x:c r="W301" s="19"/>
      <x:c r="X301" s="15"/>
    </x:row>
    <x:row r="302" ht="28" customHeight="1">
      <x:c r="A302" s="4"/>
      <x:c r="B302" s="15"/>
      <x:c r="C302" s="15"/>
      <x:c r="D302" s="15"/>
      <x:c r="E302" s="15"/>
      <x:c r="F302" s="16"/>
      <x:c r="G302" s="16"/>
      <x:c r="H302" s="16"/>
      <x:c r="I302" s="16"/>
      <x:c r="J302" s="16"/>
      <x:c r="K302" s="16"/>
      <x:c r="L302" s="16"/>
      <x:c r="M302" s="16"/>
      <x:c r="N302" s="17">
        <x:f t="shared" si="28"/>
      </x:c>
      <x:c r="O302" s="17">
        <x:f t="shared" si="29"/>
      </x:c>
      <x:c r="P302" s="17">
        <x:f t="shared" si="30"/>
      </x:c>
      <x:c r="Q302" s="17">
        <x:f t="shared" si="31"/>
      </x:c>
      <x:c r="R302" s="17">
        <x:f t="shared" si="32"/>
      </x:c>
      <x:c r="S302" s="18"/>
      <x:c r="T302" s="16"/>
      <x:c r="U302" s="17">
        <x:f t="shared" si="33"/>
      </x:c>
      <x:c r="V302" s="17">
        <x:f t="shared" si="34"/>
      </x:c>
      <x:c r="W302" s="19"/>
      <x:c r="X302" s="15"/>
    </x:row>
    <x:row r="303" ht="28" customHeight="1">
      <x:c r="A303" s="4"/>
      <x:c r="B303" s="15"/>
      <x:c r="C303" s="15"/>
      <x:c r="D303" s="15"/>
      <x:c r="E303" s="15"/>
      <x:c r="F303" s="16"/>
      <x:c r="G303" s="16"/>
      <x:c r="H303" s="16"/>
      <x:c r="I303" s="16"/>
      <x:c r="J303" s="16"/>
      <x:c r="K303" s="16"/>
      <x:c r="L303" s="16"/>
      <x:c r="M303" s="16"/>
      <x:c r="N303" s="17">
        <x:f t="shared" si="28"/>
      </x:c>
      <x:c r="O303" s="17">
        <x:f t="shared" si="29"/>
      </x:c>
      <x:c r="P303" s="17">
        <x:f t="shared" si="30"/>
      </x:c>
      <x:c r="Q303" s="17">
        <x:f t="shared" si="31"/>
      </x:c>
      <x:c r="R303" s="17">
        <x:f t="shared" si="32"/>
      </x:c>
      <x:c r="S303" s="18"/>
      <x:c r="T303" s="16"/>
      <x:c r="U303" s="17">
        <x:f t="shared" si="33"/>
      </x:c>
      <x:c r="V303" s="17">
        <x:f t="shared" si="34"/>
      </x:c>
      <x:c r="W303" s="19"/>
      <x:c r="X303" s="15"/>
    </x:row>
    <x:row r="304" ht="28" customHeight="1">
      <x:c r="A304" s="4"/>
      <x:c r="B304" s="15"/>
      <x:c r="C304" s="15"/>
      <x:c r="D304" s="15"/>
      <x:c r="E304" s="15"/>
      <x:c r="F304" s="16"/>
      <x:c r="G304" s="16"/>
      <x:c r="H304" s="16"/>
      <x:c r="I304" s="16"/>
      <x:c r="J304" s="16"/>
      <x:c r="K304" s="16"/>
      <x:c r="L304" s="16"/>
      <x:c r="M304" s="16"/>
      <x:c r="N304" s="17">
        <x:f t="shared" si="28"/>
      </x:c>
      <x:c r="O304" s="17">
        <x:f t="shared" si="29"/>
      </x:c>
      <x:c r="P304" s="17">
        <x:f t="shared" si="30"/>
      </x:c>
      <x:c r="Q304" s="17">
        <x:f t="shared" si="31"/>
      </x:c>
      <x:c r="R304" s="17">
        <x:f t="shared" si="32"/>
      </x:c>
      <x:c r="S304" s="18"/>
      <x:c r="T304" s="16"/>
      <x:c r="U304" s="17">
        <x:f t="shared" si="33"/>
      </x:c>
      <x:c r="V304" s="17">
        <x:f t="shared" si="34"/>
      </x:c>
      <x:c r="W304" s="19"/>
      <x:c r="X304" s="15"/>
    </x:row>
    <x:row r="305" ht="28" customHeight="1">
      <x:c r="A305" s="4"/>
      <x:c r="B305" s="15"/>
      <x:c r="C305" s="15"/>
      <x:c r="D305" s="15"/>
      <x:c r="E305" s="15"/>
      <x:c r="F305" s="16"/>
      <x:c r="G305" s="16"/>
      <x:c r="H305" s="16"/>
      <x:c r="I305" s="16"/>
      <x:c r="J305" s="16"/>
      <x:c r="K305" s="16"/>
      <x:c r="L305" s="16"/>
      <x:c r="M305" s="16"/>
      <x:c r="N305" s="17">
        <x:f t="shared" si="28"/>
      </x:c>
      <x:c r="O305" s="17">
        <x:f t="shared" si="29"/>
      </x:c>
      <x:c r="P305" s="17">
        <x:f t="shared" si="30"/>
      </x:c>
      <x:c r="Q305" s="17">
        <x:f t="shared" si="31"/>
      </x:c>
      <x:c r="R305" s="17">
        <x:f t="shared" si="32"/>
      </x:c>
      <x:c r="S305" s="18"/>
      <x:c r="T305" s="16"/>
      <x:c r="U305" s="17">
        <x:f t="shared" si="33"/>
      </x:c>
      <x:c r="V305" s="17">
        <x:f t="shared" si="34"/>
      </x:c>
      <x:c r="W305" s="19"/>
      <x:c r="X305" s="15"/>
    </x:row>
    <x:row r="306" ht="28" customHeight="1">
      <x:c r="A306" s="4"/>
      <x:c r="B306" s="15"/>
      <x:c r="C306" s="15"/>
      <x:c r="D306" s="15"/>
      <x:c r="E306" s="15"/>
      <x:c r="F306" s="16"/>
      <x:c r="G306" s="16"/>
      <x:c r="H306" s="16"/>
      <x:c r="I306" s="16"/>
      <x:c r="J306" s="16"/>
      <x:c r="K306" s="16"/>
      <x:c r="L306" s="16"/>
      <x:c r="M306" s="16"/>
      <x:c r="N306" s="17">
        <x:f t="shared" si="28"/>
      </x:c>
      <x:c r="O306" s="17">
        <x:f t="shared" si="29"/>
      </x:c>
      <x:c r="P306" s="17">
        <x:f t="shared" si="30"/>
      </x:c>
      <x:c r="Q306" s="17">
        <x:f t="shared" si="31"/>
      </x:c>
      <x:c r="R306" s="17">
        <x:f t="shared" si="32"/>
      </x:c>
      <x:c r="S306" s="18"/>
      <x:c r="T306" s="16"/>
      <x:c r="U306" s="17">
        <x:f t="shared" si="33"/>
      </x:c>
      <x:c r="V306" s="17">
        <x:f t="shared" si="34"/>
      </x:c>
      <x:c r="W306" s="19"/>
      <x:c r="X306" s="15"/>
    </x:row>
    <x:row r="307" ht="28" customHeight="1">
      <x:c r="A307" s="4"/>
      <x:c r="B307" s="15"/>
      <x:c r="C307" s="15"/>
      <x:c r="D307" s="15"/>
      <x:c r="E307" s="15"/>
      <x:c r="F307" s="16"/>
      <x:c r="G307" s="16"/>
      <x:c r="H307" s="16"/>
      <x:c r="I307" s="16"/>
      <x:c r="J307" s="16"/>
      <x:c r="K307" s="16"/>
      <x:c r="L307" s="16"/>
      <x:c r="M307" s="16"/>
      <x:c r="N307" s="17">
        <x:f t="shared" si="28"/>
      </x:c>
      <x:c r="O307" s="17">
        <x:f t="shared" si="29"/>
      </x:c>
      <x:c r="P307" s="17">
        <x:f t="shared" si="30"/>
      </x:c>
      <x:c r="Q307" s="17">
        <x:f t="shared" si="31"/>
      </x:c>
      <x:c r="R307" s="17">
        <x:f t="shared" si="32"/>
      </x:c>
      <x:c r="S307" s="18"/>
      <x:c r="T307" s="16"/>
      <x:c r="U307" s="17">
        <x:f t="shared" si="33"/>
      </x:c>
      <x:c r="V307" s="17">
        <x:f t="shared" si="34"/>
      </x:c>
      <x:c r="W307" s="19"/>
      <x:c r="X307" s="15"/>
    </x:row>
    <x:row r="308" ht="28" customHeight="1">
      <x:c r="A308" s="4"/>
      <x:c r="B308" s="15"/>
      <x:c r="C308" s="15"/>
      <x:c r="D308" s="15"/>
      <x:c r="E308" s="15"/>
      <x:c r="F308" s="16"/>
      <x:c r="G308" s="16"/>
      <x:c r="H308" s="16"/>
      <x:c r="I308" s="16"/>
      <x:c r="J308" s="16"/>
      <x:c r="K308" s="16"/>
      <x:c r="L308" s="16"/>
      <x:c r="M308" s="16"/>
      <x:c r="N308" s="17">
        <x:f t="shared" si="28"/>
      </x:c>
      <x:c r="O308" s="17">
        <x:f t="shared" si="29"/>
      </x:c>
      <x:c r="P308" s="17">
        <x:f t="shared" si="30"/>
      </x:c>
      <x:c r="Q308" s="17">
        <x:f t="shared" si="31"/>
      </x:c>
      <x:c r="R308" s="17">
        <x:f t="shared" si="32"/>
      </x:c>
      <x:c r="S308" s="18"/>
      <x:c r="T308" s="16"/>
      <x:c r="U308" s="17">
        <x:f t="shared" si="33"/>
      </x:c>
      <x:c r="V308" s="17">
        <x:f t="shared" si="34"/>
      </x:c>
      <x:c r="W308" s="19"/>
      <x:c r="X308" s="15"/>
    </x:row>
    <x:row r="309" ht="28" customHeight="1">
      <x:c r="A309" s="4"/>
      <x:c r="B309" s="15"/>
      <x:c r="C309" s="15"/>
      <x:c r="D309" s="15"/>
      <x:c r="E309" s="15"/>
      <x:c r="F309" s="16"/>
      <x:c r="G309" s="16"/>
      <x:c r="H309" s="16"/>
      <x:c r="I309" s="16"/>
      <x:c r="J309" s="16"/>
      <x:c r="K309" s="16"/>
      <x:c r="L309" s="16"/>
      <x:c r="M309" s="16"/>
      <x:c r="N309" s="17">
        <x:f t="shared" si="28"/>
      </x:c>
      <x:c r="O309" s="17">
        <x:f t="shared" si="29"/>
      </x:c>
      <x:c r="P309" s="17">
        <x:f t="shared" si="30"/>
      </x:c>
      <x:c r="Q309" s="17">
        <x:f t="shared" si="31"/>
      </x:c>
      <x:c r="R309" s="17">
        <x:f t="shared" si="32"/>
      </x:c>
      <x:c r="S309" s="18"/>
      <x:c r="T309" s="16"/>
      <x:c r="U309" s="17">
        <x:f t="shared" si="33"/>
      </x:c>
      <x:c r="V309" s="17">
        <x:f t="shared" si="34"/>
      </x:c>
      <x:c r="W309" s="19"/>
      <x:c r="X309" s="15"/>
    </x:row>
    <x:row r="310" ht="28" customHeight="1">
      <x:c r="A310" s="4"/>
      <x:c r="B310" s="15"/>
      <x:c r="C310" s="15"/>
      <x:c r="D310" s="15"/>
      <x:c r="E310" s="15"/>
      <x:c r="F310" s="16"/>
      <x:c r="G310" s="16"/>
      <x:c r="H310" s="16"/>
      <x:c r="I310" s="16"/>
      <x:c r="J310" s="16"/>
      <x:c r="K310" s="16"/>
      <x:c r="L310" s="16"/>
      <x:c r="M310" s="16"/>
      <x:c r="N310" s="17">
        <x:f t="shared" si="28"/>
      </x:c>
      <x:c r="O310" s="17">
        <x:f t="shared" si="29"/>
      </x:c>
      <x:c r="P310" s="17">
        <x:f t="shared" si="30"/>
      </x:c>
      <x:c r="Q310" s="17">
        <x:f t="shared" si="31"/>
      </x:c>
      <x:c r="R310" s="17">
        <x:f t="shared" si="32"/>
      </x:c>
      <x:c r="S310" s="18"/>
      <x:c r="T310" s="16"/>
      <x:c r="U310" s="17">
        <x:f t="shared" si="33"/>
      </x:c>
      <x:c r="V310" s="17">
        <x:f t="shared" si="34"/>
      </x:c>
      <x:c r="W310" s="19"/>
      <x:c r="X310" s="15"/>
    </x:row>
    <x:row r="311" ht="28" customHeight="1">
      <x:c r="A311" s="4"/>
      <x:c r="B311" s="15"/>
      <x:c r="C311" s="15"/>
      <x:c r="D311" s="15"/>
      <x:c r="E311" s="15"/>
      <x:c r="F311" s="16"/>
      <x:c r="G311" s="16"/>
      <x:c r="H311" s="16"/>
      <x:c r="I311" s="16"/>
      <x:c r="J311" s="16"/>
      <x:c r="K311" s="16"/>
      <x:c r="L311" s="16"/>
      <x:c r="M311" s="16"/>
      <x:c r="N311" s="17">
        <x:f t="shared" si="28"/>
      </x:c>
      <x:c r="O311" s="17">
        <x:f t="shared" si="29"/>
      </x:c>
      <x:c r="P311" s="17">
        <x:f t="shared" si="30"/>
      </x:c>
      <x:c r="Q311" s="17">
        <x:f t="shared" si="31"/>
      </x:c>
      <x:c r="R311" s="17">
        <x:f t="shared" si="32"/>
      </x:c>
      <x:c r="S311" s="18"/>
      <x:c r="T311" s="16"/>
      <x:c r="U311" s="17">
        <x:f t="shared" si="33"/>
      </x:c>
      <x:c r="V311" s="17">
        <x:f t="shared" si="34"/>
      </x:c>
      <x:c r="W311" s="19"/>
      <x:c r="X311" s="15"/>
    </x:row>
    <x:row r="312" ht="28" customHeight="1">
      <x:c r="A312" s="4"/>
      <x:c r="B312" s="15"/>
      <x:c r="C312" s="15"/>
      <x:c r="D312" s="15"/>
      <x:c r="E312" s="15"/>
      <x:c r="F312" s="16"/>
      <x:c r="G312" s="16"/>
      <x:c r="H312" s="16"/>
      <x:c r="I312" s="16"/>
      <x:c r="J312" s="16"/>
      <x:c r="K312" s="16"/>
      <x:c r="L312" s="16"/>
      <x:c r="M312" s="16"/>
      <x:c r="N312" s="17">
        <x:f t="shared" si="28"/>
      </x:c>
      <x:c r="O312" s="17">
        <x:f t="shared" si="29"/>
      </x:c>
      <x:c r="P312" s="17">
        <x:f t="shared" si="30"/>
      </x:c>
      <x:c r="Q312" s="17">
        <x:f t="shared" si="31"/>
      </x:c>
      <x:c r="R312" s="17">
        <x:f t="shared" si="32"/>
      </x:c>
      <x:c r="S312" s="18"/>
      <x:c r="T312" s="16"/>
      <x:c r="U312" s="17">
        <x:f t="shared" si="33"/>
      </x:c>
      <x:c r="V312" s="17">
        <x:f t="shared" si="34"/>
      </x:c>
      <x:c r="W312" s="19"/>
      <x:c r="X312" s="15"/>
    </x:row>
    <x:row r="313" ht="28" customHeight="1">
      <x:c r="A313" s="4"/>
      <x:c r="B313" s="15"/>
      <x:c r="C313" s="15"/>
      <x:c r="D313" s="15"/>
      <x:c r="E313" s="15"/>
      <x:c r="F313" s="16"/>
      <x:c r="G313" s="16"/>
      <x:c r="H313" s="16"/>
      <x:c r="I313" s="16"/>
      <x:c r="J313" s="16"/>
      <x:c r="K313" s="16"/>
      <x:c r="L313" s="16"/>
      <x:c r="M313" s="16"/>
      <x:c r="N313" s="17">
        <x:f t="shared" si="28"/>
      </x:c>
      <x:c r="O313" s="17">
        <x:f t="shared" si="29"/>
      </x:c>
      <x:c r="P313" s="17">
        <x:f t="shared" si="30"/>
      </x:c>
      <x:c r="Q313" s="17">
        <x:f t="shared" si="31"/>
      </x:c>
      <x:c r="R313" s="17">
        <x:f t="shared" si="32"/>
      </x:c>
      <x:c r="S313" s="18"/>
      <x:c r="T313" s="16"/>
      <x:c r="U313" s="17">
        <x:f t="shared" si="33"/>
      </x:c>
      <x:c r="V313" s="17">
        <x:f t="shared" si="34"/>
      </x:c>
      <x:c r="W313" s="19"/>
      <x:c r="X313" s="15"/>
    </x:row>
    <x:row r="314" ht="28" customHeight="1">
      <x:c r="A314" s="4"/>
      <x:c r="B314" s="15"/>
      <x:c r="C314" s="15"/>
      <x:c r="D314" s="15"/>
      <x:c r="E314" s="15"/>
      <x:c r="F314" s="16"/>
      <x:c r="G314" s="16"/>
      <x:c r="H314" s="16"/>
      <x:c r="I314" s="16"/>
      <x:c r="J314" s="16"/>
      <x:c r="K314" s="16"/>
      <x:c r="L314" s="16"/>
      <x:c r="M314" s="16"/>
      <x:c r="N314" s="17">
        <x:f t="shared" si="28"/>
      </x:c>
      <x:c r="O314" s="17">
        <x:f t="shared" si="29"/>
      </x:c>
      <x:c r="P314" s="17">
        <x:f t="shared" si="30"/>
      </x:c>
      <x:c r="Q314" s="17">
        <x:f t="shared" si="31"/>
      </x:c>
      <x:c r="R314" s="17">
        <x:f t="shared" si="32"/>
      </x:c>
      <x:c r="S314" s="18"/>
      <x:c r="T314" s="16"/>
      <x:c r="U314" s="17">
        <x:f t="shared" si="33"/>
      </x:c>
      <x:c r="V314" s="17">
        <x:f t="shared" si="34"/>
      </x:c>
      <x:c r="W314" s="19"/>
      <x:c r="X314" s="15"/>
    </x:row>
    <x:row r="315" ht="28" customHeight="1">
      <x:c r="A315" s="4"/>
      <x:c r="B315" s="15"/>
      <x:c r="C315" s="15"/>
      <x:c r="D315" s="15"/>
      <x:c r="E315" s="15"/>
      <x:c r="F315" s="16"/>
      <x:c r="G315" s="16"/>
      <x:c r="H315" s="16"/>
      <x:c r="I315" s="16"/>
      <x:c r="J315" s="16"/>
      <x:c r="K315" s="16"/>
      <x:c r="L315" s="16"/>
      <x:c r="M315" s="16"/>
      <x:c r="N315" s="17">
        <x:f t="shared" si="28"/>
      </x:c>
      <x:c r="O315" s="17">
        <x:f t="shared" si="29"/>
      </x:c>
      <x:c r="P315" s="17">
        <x:f t="shared" si="30"/>
      </x:c>
      <x:c r="Q315" s="17">
        <x:f t="shared" si="31"/>
      </x:c>
      <x:c r="R315" s="17">
        <x:f t="shared" si="32"/>
      </x:c>
      <x:c r="S315" s="18"/>
      <x:c r="T315" s="16"/>
      <x:c r="U315" s="17">
        <x:f t="shared" si="33"/>
      </x:c>
      <x:c r="V315" s="17">
        <x:f t="shared" si="34"/>
      </x:c>
      <x:c r="W315" s="19"/>
      <x:c r="X315" s="15"/>
    </x:row>
    <x:row r="316" ht="28" customHeight="1">
      <x:c r="A316" s="4"/>
      <x:c r="B316" s="15"/>
      <x:c r="C316" s="15"/>
      <x:c r="D316" s="15"/>
      <x:c r="E316" s="15"/>
      <x:c r="F316" s="16"/>
      <x:c r="G316" s="16"/>
      <x:c r="H316" s="16"/>
      <x:c r="I316" s="16"/>
      <x:c r="J316" s="16"/>
      <x:c r="K316" s="16"/>
      <x:c r="L316" s="16"/>
      <x:c r="M316" s="16"/>
      <x:c r="N316" s="17">
        <x:f t="shared" si="28"/>
      </x:c>
      <x:c r="O316" s="17">
        <x:f t="shared" si="29"/>
      </x:c>
      <x:c r="P316" s="17">
        <x:f t="shared" si="30"/>
      </x:c>
      <x:c r="Q316" s="17">
        <x:f t="shared" si="31"/>
      </x:c>
      <x:c r="R316" s="17">
        <x:f t="shared" si="32"/>
      </x:c>
      <x:c r="S316" s="18"/>
      <x:c r="T316" s="16"/>
      <x:c r="U316" s="17">
        <x:f t="shared" si="33"/>
      </x:c>
      <x:c r="V316" s="17">
        <x:f t="shared" si="34"/>
      </x:c>
      <x:c r="W316" s="19"/>
      <x:c r="X316" s="15"/>
    </x:row>
    <x:row r="317" ht="28" customHeight="1">
      <x:c r="A317" s="4"/>
      <x:c r="B317" s="15"/>
      <x:c r="C317" s="15"/>
      <x:c r="D317" s="15"/>
      <x:c r="E317" s="15"/>
      <x:c r="F317" s="16"/>
      <x:c r="G317" s="16"/>
      <x:c r="H317" s="16"/>
      <x:c r="I317" s="16"/>
      <x:c r="J317" s="16"/>
      <x:c r="K317" s="16"/>
      <x:c r="L317" s="16"/>
      <x:c r="M317" s="16"/>
      <x:c r="N317" s="17">
        <x:f t="shared" si="28"/>
      </x:c>
      <x:c r="O317" s="17">
        <x:f t="shared" si="29"/>
      </x:c>
      <x:c r="P317" s="17">
        <x:f t="shared" si="30"/>
      </x:c>
      <x:c r="Q317" s="17">
        <x:f t="shared" si="31"/>
      </x:c>
      <x:c r="R317" s="17">
        <x:f t="shared" si="32"/>
      </x:c>
      <x:c r="S317" s="18"/>
      <x:c r="T317" s="16"/>
      <x:c r="U317" s="17">
        <x:f t="shared" si="33"/>
      </x:c>
      <x:c r="V317" s="17">
        <x:f t="shared" si="34"/>
      </x:c>
      <x:c r="W317" s="19"/>
      <x:c r="X317" s="15"/>
    </x:row>
    <x:row r="318" ht="28" customHeight="1">
      <x:c r="A318" s="4"/>
      <x:c r="B318" s="15"/>
      <x:c r="C318" s="15"/>
      <x:c r="D318" s="15"/>
      <x:c r="E318" s="15"/>
      <x:c r="F318" s="16"/>
      <x:c r="G318" s="16"/>
      <x:c r="H318" s="16"/>
      <x:c r="I318" s="16"/>
      <x:c r="J318" s="16"/>
      <x:c r="K318" s="16"/>
      <x:c r="L318" s="16"/>
      <x:c r="M318" s="16"/>
      <x:c r="N318" s="17">
        <x:f t="shared" si="28"/>
      </x:c>
      <x:c r="O318" s="17">
        <x:f t="shared" si="29"/>
      </x:c>
      <x:c r="P318" s="17">
        <x:f t="shared" si="30"/>
      </x:c>
      <x:c r="Q318" s="17">
        <x:f t="shared" si="31"/>
      </x:c>
      <x:c r="R318" s="17">
        <x:f t="shared" si="32"/>
      </x:c>
      <x:c r="S318" s="18"/>
      <x:c r="T318" s="16"/>
      <x:c r="U318" s="17">
        <x:f t="shared" si="33"/>
      </x:c>
      <x:c r="V318" s="17">
        <x:f t="shared" si="34"/>
      </x:c>
      <x:c r="W318" s="19"/>
      <x:c r="X318" s="15"/>
    </x:row>
    <x:row r="319" ht="28" customHeight="1">
      <x:c r="A319" s="4"/>
      <x:c r="B319" s="15"/>
      <x:c r="C319" s="15"/>
      <x:c r="D319" s="15"/>
      <x:c r="E319" s="15"/>
      <x:c r="F319" s="16"/>
      <x:c r="G319" s="16"/>
      <x:c r="H319" s="16"/>
      <x:c r="I319" s="16"/>
      <x:c r="J319" s="16"/>
      <x:c r="K319" s="16"/>
      <x:c r="L319" s="16"/>
      <x:c r="M319" s="16"/>
      <x:c r="N319" s="17">
        <x:f t="shared" si="28"/>
      </x:c>
      <x:c r="O319" s="17">
        <x:f t="shared" si="29"/>
      </x:c>
      <x:c r="P319" s="17">
        <x:f t="shared" si="30"/>
      </x:c>
      <x:c r="Q319" s="17">
        <x:f t="shared" si="31"/>
      </x:c>
      <x:c r="R319" s="17">
        <x:f t="shared" si="32"/>
      </x:c>
      <x:c r="S319" s="18"/>
      <x:c r="T319" s="16"/>
      <x:c r="U319" s="17">
        <x:f t="shared" si="33"/>
      </x:c>
      <x:c r="V319" s="17">
        <x:f t="shared" si="34"/>
      </x:c>
      <x:c r="W319" s="19"/>
      <x:c r="X319" s="15"/>
    </x:row>
  </x:sheetData>
  <x:mergeCells>
    <x:mergeCell ref="A4:E4"/>
    <x:mergeCell ref="F4:M4"/>
    <x:mergeCell ref="N4:R4"/>
    <x:mergeCell ref="S4:X4"/>
  </x:mergeCells>
  <x:conditionalFormatting sqref="U6:U319">
    <x:cfRule type="colorScale" priority="1">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d902de7c77fb43d1"/>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ColWidth="9" defaultRowHeight="14.25"/>
  <x:cols>
    <x:col min="1" max="1" width="28" style="1" customWidth="1"/>
    <x:col min="2" max="2" width="13" style="1" customWidth="1"/>
    <x:col min="3" max="3" width="14" style="1" customWidth="1"/>
    <x:col min="4" max="4" width="16" style="1" customWidth="1"/>
    <x:col min="5" max="5" width="22" style="1" customWidth="1"/>
    <x:col min="6" max="6" width="13" style="1" customWidth="1"/>
    <x:col min="7" max="8" width="16" style="1" customWidth="1"/>
    <x:col min="9" max="10" width="15" style="1" customWidth="1"/>
    <x:col min="11" max="14" width="16" style="1" customWidth="1"/>
    <x:col min="15" max="15" width="44" hidden="0" customWidth="1"/>
    <x:col min="16" max="16" width="25" hidden="0" customWidth="1"/>
    <x:col min="17" max="17" width="25" hidden="0" customWidth="1"/>
    <x:col min="18" max="18" width="25" hidden="0" customWidth="1"/>
    <x:col min="19" max="19" width="25" hidden="0" customWidth="1"/>
  </x:cols>
  <x:sheetData>
    <x:row r="1" ht="46" customHeight="1">
      <x:c r="A1" s="3" t="str">
        <x:v>产品名称</x:v>
      </x:c>
      <x:c r="B1" s="3" t="str">
        <x:v>备案号</x:v>
      </x:c>
      <x:c r="C1" s="3" t="str">
        <x:v>一级策略</x:v>
      </x:c>
      <x:c r="D1" s="3" t="str">
        <x:v>二级策略</x:v>
      </x:c>
      <x:c r="E1" s="3" t="str">
        <x:v>管理人</x:v>
      </x:c>
      <x:c r="F1" s="3" t="str">
        <x:v>成立日期</x:v>
      </x:c>
      <x:c r="G1" s="3" t="str">
        <x:v>近一年年化收益</x:v>
      </x:c>
      <x:c r="H1" s="3" t="str">
        <x:v>近三年年化收益</x:v>
      </x:c>
      <x:c r="I1" s="3" t="str">
        <x:v>近三年月胜率</x:v>
      </x:c>
      <x:c r="J1" s="3" t="str">
        <x:v>近一年月胜率</x:v>
      </x:c>
      <x:c r="K1" s="3" t="str">
        <x:v>近三年最大回撤</x:v>
      </x:c>
      <x:c r="L1" s="3" t="str">
        <x:v>近三年卡玛比率</x:v>
      </x:c>
      <x:c r="M1" s="3" t="str">
        <x:v>近一年卡玛比率</x:v>
      </x:c>
      <x:c r="N1" s="3" t="str">
        <x:v>基准指数</x:v>
      </x:c>
      <x:c r="O1" s="90" t="str">
        <x:v>数据时间口径</x:v>
      </x:c>
      <x:c r="P1" s="90" t="str">
        <x:v>协会核验日</x:v>
      </x:c>
      <x:c r="Q1" s="90" t="str">
        <x:v>成立以来年化收益（补算）</x:v>
      </x:c>
      <x:c r="R1" s="90" t="str">
        <x:v>压缩包实际截止日</x:v>
      </x:c>
      <x:c r="S1" s="90" t="str">
        <x:v>第二表近一年最大回撤</x:v>
      </x:c>
    </x:row>
    <x:row r="2">
      <x:c r="A2" s="4" t="str">
        <x:v>新视野智能量化2号</x:v>
      </x:c>
      <x:c r="B2" s="4" t="str">
        <x:v>SR2759</x:v>
      </x:c>
      <x:c r="C2" s="4" t="str">
        <x:v>套利策略</x:v>
      </x:c>
      <x:c r="D2" s="4" t="str">
        <x:v>可转债套利</x:v>
      </x:c>
      <x:c r="E2" s="5" t="str">
        <x:v>杭州探融投资</x:v>
      </x:c>
      <x:c r="F2" s="83" t="n">
        <x:v>42744</x:v>
      </x:c>
      <x:c r="G2" s="84" t="n">
        <x:v>-0.0204</x:v>
      </x:c>
      <x:c r="H2" s="84" t="n">
        <x:v>0.020499999999999997</x:v>
      </x:c>
      <x:c r="I2" s="84" t="n">
        <x:v>0.5405</x:v>
      </x:c>
      <x:c r="J2" s="84" t="n">
        <x:v>0.3846</x:v>
      </x:c>
      <x:c r="K2" s="84" t="n">
        <x:v>0.0554</x:v>
      </x:c>
      <x:c r="L2" s="85" t="n">
        <x:v>0.37</x:v>
      </x:c>
      <x:c r="M2" s="85" t="n">
        <x:v>-0.369</x:v>
      </x:c>
      <x:c r="N2" s="4" t="str">
        <x:v>沪深300</x:v>
      </x:c>
      <x:c r="O2" t="str">
        <x:v>第二表截止日未提供；净值补算截止日见R列</x:v>
      </x:c>
      <x:c r="P2" s="86" t="n">
        <x:v>46281</x:v>
      </x:c>
      <x:c r="Q2" s="87"/>
      <x:c r="R2" s="86"/>
      <x:c r="S2" s="87" t="n">
        <x:v>0.0554</x:v>
      </x:c>
    </x:row>
    <x:row r="3">
      <x:c r="A3" s="4" t="str">
        <x:v>探融新视野智能量化1号</x:v>
      </x:c>
      <x:c r="B3" s="4" t="str">
        <x:v>SL8089</x:v>
      </x:c>
      <x:c r="C3" s="4" t="str">
        <x:v>套利策略</x:v>
      </x:c>
      <x:c r="D3" s="4" t="str">
        <x:v>可转债套利</x:v>
      </x:c>
      <x:c r="E3" s="4" t="str">
        <x:v>杭州探融投资</x:v>
      </x:c>
      <x:c r="F3" s="83" t="n">
        <x:v>42635</x:v>
      </x:c>
      <x:c r="G3" s="84" t="n">
        <x:v>-0.0048</x:v>
      </x:c>
      <x:c r="H3" s="84" t="n">
        <x:v>0.0123</x:v>
      </x:c>
      <x:c r="I3" s="84" t="n">
        <x:v>0.5676</x:v>
      </x:c>
      <x:c r="J3" s="84" t="n">
        <x:v>0.3846</x:v>
      </x:c>
      <x:c r="K3" s="84" t="n">
        <x:v>0.025099999999999997</x:v>
      </x:c>
      <x:c r="L3" s="85" t="n">
        <x:v>0.4906</x:v>
      </x:c>
      <x:c r="M3" s="85" t="n">
        <x:v>-0.19</x:v>
      </x:c>
      <x:c r="N3" s="4" t="str">
        <x:v>沪深300</x:v>
      </x:c>
      <x:c r="O3" t="str">
        <x:v>第二表截止日未提供；净值补算截止日见R列</x:v>
      </x:c>
      <x:c r="P3" s="86" t="n">
        <x:v>46281</x:v>
      </x:c>
      <x:c r="Q3" s="87"/>
      <x:c r="R3" s="86"/>
      <x:c r="S3" s="87" t="n">
        <x:v>0.025099999999999997</x:v>
      </x:c>
    </x:row>
    <x:row r="4">
      <x:c r="A4" s="4" t="str">
        <x:v>辉毅4号</x:v>
      </x:c>
      <x:c r="B4" s="4" t="str">
        <x:v>SM4445</x:v>
      </x:c>
      <x:c r="C4" s="4" t="str">
        <x:v>套利策略</x:v>
      </x:c>
      <x:c r="D4" s="4" t="str">
        <x:v>期权套利</x:v>
      </x:c>
      <x:c r="E4" s="4" t="str">
        <x:v>上海申毅投资</x:v>
      </x:c>
      <x:c r="F4" s="83" t="n">
        <x:v>42627</x:v>
      </x:c>
      <x:c r="G4" s="84" t="n">
        <x:v>-0.0025</x:v>
      </x:c>
      <x:c r="H4" s="84" t="n">
        <x:v>0.048799999999999996</x:v>
      </x:c>
      <x:c r="I4" s="84" t="n">
        <x:v>0.7568</x:v>
      </x:c>
      <x:c r="J4" s="84" t="n">
        <x:v>0.46149999999999997</x:v>
      </x:c>
      <x:c r="K4" s="84" t="n">
        <x:v>0.0246</x:v>
      </x:c>
      <x:c r="L4" s="85" t="n">
        <x:v>1.9851</x:v>
      </x:c>
      <x:c r="M4" s="85" t="n">
        <x:v>-0.1026</x:v>
      </x:c>
      <x:c r="N4" s="4" t="str">
        <x:v>沪深300</x:v>
      </x:c>
      <x:c r="O4" t="str">
        <x:v>第二表截止日未提供；净值补算截止日见R列</x:v>
      </x:c>
      <x:c r="P4" s="86" t="n">
        <x:v>46281</x:v>
      </x:c>
      <x:c r="Q4" s="87"/>
      <x:c r="R4" s="86"/>
      <x:c r="S4" s="87" t="n">
        <x:v>0.0246</x:v>
      </x:c>
    </x:row>
    <x:row r="5">
      <x:c r="A5" s="4" t="str">
        <x:v>平凡悟鑫</x:v>
      </x:c>
      <x:c r="B5" s="4" t="str">
        <x:v>SJ2870</x:v>
      </x:c>
      <x:c r="C5" s="4" t="str">
        <x:v>套利策略</x:v>
      </x:c>
      <x:c r="D5" s="4" t="str">
        <x:v>基金套利</x:v>
      </x:c>
      <x:c r="E5" s="4" t="str">
        <x:v>北京平凡</x:v>
      </x:c>
      <x:c r="F5" s="83" t="n">
        <x:v>42479</x:v>
      </x:c>
      <x:c r="G5" s="84" t="n">
        <x:v>0.060700000000000004</x:v>
      </x:c>
      <x:c r="H5" s="84" t="n">
        <x:v>0.0649</x:v>
      </x:c>
      <x:c r="I5" s="84" t="n">
        <x:v>0.8919</x:v>
      </x:c>
      <x:c r="J5" s="84" t="n">
        <x:v>0.9231</x:v>
      </x:c>
      <x:c r="K5" s="84" t="n">
        <x:v>0.0097</x:v>
      </x:c>
      <x:c r="L5" s="85" t="n">
        <x:v>6.6754</x:v>
      </x:c>
      <x:c r="M5" s="85" t="n">
        <x:v>6.2497</x:v>
      </x:c>
      <x:c r="N5" s="4" t="str">
        <x:v>沪深300</x:v>
      </x:c>
      <x:c r="O5" t="str">
        <x:v>第二表截止日未提供；净值补算截止日见R列</x:v>
      </x:c>
      <x:c r="P5" s="86" t="n">
        <x:v>46281</x:v>
      </x:c>
      <x:c r="Q5" s="87"/>
      <x:c r="R5" s="86"/>
      <x:c r="S5" s="87" t="n">
        <x:v>0.0097</x:v>
      </x:c>
    </x:row>
    <x:row r="6">
      <x:c r="A6" s="4" t="str">
        <x:v>致同稳盈对冲</x:v>
      </x:c>
      <x:c r="B6" s="4" t="str">
        <x:v>SS8645</x:v>
      </x:c>
      <x:c r="C6" s="4" t="str">
        <x:v>套利策略</x:v>
      </x:c>
      <x:c r="D6" s="4" t="str">
        <x:v>期货套利</x:v>
      </x:c>
      <x:c r="E6" s="4" t="str">
        <x:v>上海致同投资</x:v>
      </x:c>
      <x:c r="F6" s="83" t="n">
        <x:v>42857</x:v>
      </x:c>
      <x:c r="G6" s="84" t="n">
        <x:v>0.0405</x:v>
      </x:c>
      <x:c r="H6" s="84" t="n">
        <x:v>0.0489</x:v>
      </x:c>
      <x:c r="I6" s="84" t="n">
        <x:v>0.7837999999999999</x:v>
      </x:c>
      <x:c r="J6" s="84" t="n">
        <x:v>0.7692</x:v>
      </x:c>
      <x:c r="K6" s="84" t="n">
        <x:v>0.0134</x:v>
      </x:c>
      <x:c r="L6" s="85" t="n">
        <x:v>3.6582</x:v>
      </x:c>
      <x:c r="M6" s="85" t="n">
        <x:v>3.0286</x:v>
      </x:c>
      <x:c r="N6" s="4" t="str">
        <x:v>沪深300</x:v>
      </x:c>
      <x:c r="O6" t="str">
        <x:v>第二表截止日未提供；净值补算截止日见R列</x:v>
      </x:c>
      <x:c r="P6" s="86" t="n">
        <x:v>46281</x:v>
      </x:c>
      <x:c r="Q6" s="87"/>
      <x:c r="R6" s="86"/>
      <x:c r="S6" s="87" t="n">
        <x:v>0.0134</x:v>
      </x:c>
    </x:row>
    <x:row r="7">
      <x:c r="A7" s="4" t="str">
        <x:v>哈福尊享一号</x:v>
      </x:c>
      <x:c r="B7" s="4" t="str">
        <x:v>ST3922</x:v>
      </x:c>
      <x:c r="C7" s="4" t="str">
        <x:v>套利策略</x:v>
      </x:c>
      <x:c r="D7" s="4" t="str">
        <x:v>混合套利</x:v>
      </x:c>
      <x:c r="E7" s="4" t="str">
        <x:v>哈福基金</x:v>
      </x:c>
      <x:c r="F7" s="83" t="n">
        <x:v>42865</x:v>
      </x:c>
      <x:c r="G7" s="84" t="n">
        <x:v>0.028900000000000002</x:v>
      </x:c>
      <x:c r="H7" s="84" t="n">
        <x:v>0.0225</x:v>
      </x:c>
      <x:c r="I7" s="84" t="n">
        <x:v>0.7297</x:v>
      </x:c>
      <x:c r="J7" s="84" t="n">
        <x:v>0.6923</x:v>
      </x:c>
      <x:c r="K7" s="84" t="n">
        <x:v>0.0658</x:v>
      </x:c>
      <x:c r="L7" s="85" t="n">
        <x:v>0.3413</x:v>
      </x:c>
      <x:c r="M7" s="85" t="n">
        <x:v>1.0175</x:v>
      </x:c>
      <x:c r="N7" s="4" t="str">
        <x:v>南华商品指数</x:v>
      </x:c>
      <x:c r="O7" t="str">
        <x:v>第二表截止日未提供；净值补算截止日见R列</x:v>
      </x:c>
      <x:c r="P7" s="86" t="n">
        <x:v>46281</x:v>
      </x:c>
      <x:c r="Q7" s="87"/>
      <x:c r="R7" s="86"/>
      <x:c r="S7" s="87" t="n">
        <x:v>0.028399999999999998</x:v>
      </x:c>
    </x:row>
    <x:row r="8">
      <x:c r="A8" s="4" t="str">
        <x:v>远澜翠柏1号</x:v>
      </x:c>
      <x:c r="B8" s="4" t="str">
        <x:v>SS9088</x:v>
      </x:c>
      <x:c r="C8" s="4" t="str">
        <x:v>套利策略</x:v>
      </x:c>
      <x:c r="D8" s="4" t="str">
        <x:v>期货套利</x:v>
      </x:c>
      <x:c r="E8" s="4" t="str">
        <x:v>上海远澜</x:v>
      </x:c>
      <x:c r="F8" s="83" t="n">
        <x:v>42867</x:v>
      </x:c>
      <x:c r="G8" s="84" t="n">
        <x:v>0.0546</x:v>
      </x:c>
      <x:c r="H8" s="84" t="n">
        <x:v>0.045700000000000005</x:v>
      </x:c>
      <x:c r="I8" s="84" t="n">
        <x:v>0.5135000000000001</x:v>
      </x:c>
      <x:c r="J8" s="84" t="n">
        <x:v>0.46149999999999997</x:v>
      </x:c>
      <x:c r="K8" s="84" t="n">
        <x:v>0.154</x:v>
      </x:c>
      <x:c r="L8" s="85" t="n">
        <x:v>0.297</x:v>
      </x:c>
      <x:c r="M8" s="85" t="n">
        <x:v>0.3548</x:v>
      </x:c>
      <x:c r="N8" s="4" t="str">
        <x:v>沪深300</x:v>
      </x:c>
      <x:c r="O8" t="str">
        <x:v>第二表截止日未提供；净值补算截止日见R列</x:v>
      </x:c>
      <x:c r="P8" s="86" t="n">
        <x:v>46281</x:v>
      </x:c>
      <x:c r="Q8" s="87"/>
      <x:c r="R8" s="86"/>
      <x:c r="S8" s="87" t="n">
        <x:v>0.154</x:v>
      </x:c>
    </x:row>
    <x:row r="9">
      <x:c r="A9" s="4" t="str">
        <x:v>擎丰1号</x:v>
      </x:c>
      <x:c r="B9" s="4" t="str">
        <x:v>SCS637</x:v>
      </x:c>
      <x:c r="C9" s="4" t="str">
        <x:v>套利策略</x:v>
      </x:c>
      <x:c r="D9" s="4" t="str">
        <x:v>-</x:v>
      </x:c>
      <x:c r="E9" s="4" t="str">
        <x:v>上海擎丰</x:v>
      </x:c>
      <x:c r="F9" s="83" t="n">
        <x:v>43257</x:v>
      </x:c>
      <x:c r="G9" s="84" t="n">
        <x:v>0.0786</x:v>
      </x:c>
      <x:c r="H9" s="84" t="n">
        <x:v>0.0506</x:v>
      </x:c>
      <x:c r="I9" s="84" t="n">
        <x:v>0.8378</x:v>
      </x:c>
      <x:c r="J9" s="84" t="n">
        <x:v>0.9231</x:v>
      </x:c>
      <x:c r="K9" s="84" t="n">
        <x:v>0.0069</x:v>
      </x:c>
      <x:c r="L9" s="85" t="n">
        <x:v>7.3302</x:v>
      </x:c>
      <x:c r="M9" s="85" t="n">
        <x:v>11.3908</x:v>
      </x:c>
      <x:c r="N9" s="4" t="str">
        <x:v>沪深300</x:v>
      </x:c>
      <x:c r="O9" t="str">
        <x:v>第二表截止日未提供；净值补算截止日见R列</x:v>
      </x:c>
      <x:c r="P9" s="86" t="n">
        <x:v>46281</x:v>
      </x:c>
      <x:c r="Q9" s="87"/>
      <x:c r="R9" s="86"/>
      <x:c r="S9" s="87" t="n">
        <x:v>0.0069</x:v>
      </x:c>
    </x:row>
    <x:row r="10">
      <x:c r="A10" s="4" t="str">
        <x:v>新时代智能量化3号</x:v>
      </x:c>
      <x:c r="B10" s="4" t="str">
        <x:v>SEM001</x:v>
      </x:c>
      <x:c r="C10" s="4" t="str">
        <x:v>套利策略</x:v>
      </x:c>
      <x:c r="D10" s="4" t="str">
        <x:v>可转债套利</x:v>
      </x:c>
      <x:c r="E10" s="4" t="str">
        <x:v>杭州探融投资</x:v>
      </x:c>
      <x:c r="F10" s="83" t="n">
        <x:v>43402</x:v>
      </x:c>
      <x:c r="G10" s="84" t="n">
        <x:v>0.012</x:v>
      </x:c>
      <x:c r="H10" s="84" t="n">
        <x:v>0.031200000000000002</x:v>
      </x:c>
      <x:c r="I10" s="84" t="n">
        <x:v>0.5676</x:v>
      </x:c>
      <x:c r="J10" s="84" t="n">
        <x:v>0.46149999999999997</x:v>
      </x:c>
      <x:c r="K10" s="84" t="n">
        <x:v>0.033</x:v>
      </x:c>
      <x:c r="L10" s="85" t="n">
        <x:v>0.9453</x:v>
      </x:c>
      <x:c r="M10" s="85" t="n">
        <x:v>0.3637</x:v>
      </x:c>
      <x:c r="N10" s="4" t="str">
        <x:v>沪深300</x:v>
      </x:c>
      <x:c r="O10" t="str">
        <x:v>第二表截止日未提供；净值补算截止日见R列</x:v>
      </x:c>
      <x:c r="P10" s="86" t="n">
        <x:v>46281</x:v>
      </x:c>
      <x:c r="Q10" s="87"/>
      <x:c r="R10" s="86"/>
      <x:c r="S10" s="87" t="n">
        <x:v>0.033</x:v>
      </x:c>
    </x:row>
    <x:row r="11">
      <x:c r="A11" s="4" t="str">
        <x:v>悬铃C号2期</x:v>
      </x:c>
      <x:c r="B11" s="4" t="str">
        <x:v>SGH303</x:v>
      </x:c>
      <x:c r="C11" s="4" t="str">
        <x:v>套利策略</x:v>
      </x:c>
      <x:c r="D11" s="4" t="str">
        <x:v>可转债套利</x:v>
      </x:c>
      <x:c r="E11" s="4" t="str">
        <x:v>上海悬铃</x:v>
      </x:c>
      <x:c r="F11" s="83" t="n">
        <x:v>43579</x:v>
      </x:c>
      <x:c r="G11" s="84" t="n">
        <x:v>-0.08650000000000001</x:v>
      </x:c>
      <x:c r="H11" s="84" t="n">
        <x:v>0.0183</x:v>
      </x:c>
      <x:c r="I11" s="84" t="n">
        <x:v>0.5676</x:v>
      </x:c>
      <x:c r="J11" s="84" t="n">
        <x:v>0.3077</x:v>
      </x:c>
      <x:c r="K11" s="84" t="n">
        <x:v>0.1306</x:v>
      </x:c>
      <x:c r="L11" s="85" t="n">
        <x:v>0.14</x:v>
      </x:c>
      <x:c r="M11" s="85" t="n">
        <x:v>-0.9845</x:v>
      </x:c>
      <x:c r="N11" s="4" t="str">
        <x:v>沪深300</x:v>
      </x:c>
      <x:c r="O11" t="str">
        <x:v>第二表截止日未提供；净值补算截止日见R列</x:v>
      </x:c>
      <x:c r="P11" s="86" t="n">
        <x:v>46281</x:v>
      </x:c>
      <x:c r="Q11" s="87"/>
      <x:c r="R11" s="86"/>
      <x:c r="S11" s="87" t="n">
        <x:v>0.08789999999999999</x:v>
      </x:c>
    </x:row>
    <x:row r="12">
      <x:c r="A12" s="4" t="str">
        <x:v>爱凡哲九号</x:v>
      </x:c>
      <x:c r="B12" s="4" t="str">
        <x:v>SJA112</x:v>
      </x:c>
      <x:c r="C12" s="4" t="str">
        <x:v>套利策略</x:v>
      </x:c>
      <x:c r="D12" s="4" t="str">
        <x:v>期货套利</x:v>
      </x:c>
      <x:c r="E12" s="4" t="str">
        <x:v>爱凡哲投资</x:v>
      </x:c>
      <x:c r="F12" s="83" t="n">
        <x:v>43710</x:v>
      </x:c>
      <x:c r="G12" s="84" t="n">
        <x:v>0.1158</x:v>
      </x:c>
      <x:c r="H12" s="84" t="n">
        <x:v>0.11779999999999999</x:v>
      </x:c>
      <x:c r="I12" s="84" t="n">
        <x:v>0.8919</x:v>
      </x:c>
      <x:c r="J12" s="84" t="n">
        <x:v>0.8462000000000001</x:v>
      </x:c>
      <x:c r="K12" s="84" t="n">
        <x:v>0.0129</x:v>
      </x:c>
      <x:c r="L12" s="85" t="n">
        <x:v>9.1289</x:v>
      </x:c>
      <x:c r="M12" s="85" t="n">
        <x:v>32.2942</x:v>
      </x:c>
      <x:c r="N12" s="4" t="str">
        <x:v>沪深300</x:v>
      </x:c>
      <x:c r="O12" t="str">
        <x:v>第二表截止日未提供；净值补算截止日见R列</x:v>
      </x:c>
      <x:c r="P12" s="86" t="n">
        <x:v>46281</x:v>
      </x:c>
      <x:c r="Q12" s="87"/>
      <x:c r="R12" s="86"/>
      <x:c r="S12" s="87" t="n">
        <x:v>0.0036</x:v>
      </x:c>
    </x:row>
    <x:row r="13">
      <x:c r="A13" s="4" t="str">
        <x:v>恒如套利三号</x:v>
      </x:c>
      <x:c r="B13" s="4" t="str">
        <x:v>SGQ731</x:v>
      </x:c>
      <x:c r="C13" s="4" t="str">
        <x:v>套利策略</x:v>
      </x:c>
      <x:c r="D13" s="4" t="str">
        <x:v>期货套利</x:v>
      </x:c>
      <x:c r="E13" s="4" t="str">
        <x:v>上海恒如投资</x:v>
      </x:c>
      <x:c r="F13" s="83" t="n">
        <x:v>43727</x:v>
      </x:c>
      <x:c r="G13" s="84" t="n">
        <x:v>0.0213</x:v>
      </x:c>
      <x:c r="H13" s="84" t="n">
        <x:v>0.057</x:v>
      </x:c>
      <x:c r="I13" s="84" t="n">
        <x:v>0.7297</x:v>
      </x:c>
      <x:c r="J13" s="84" t="n">
        <x:v>0.6154</x:v>
      </x:c>
      <x:c r="K13" s="84" t="n">
        <x:v>0.015</x:v>
      </x:c>
      <x:c r="L13" s="85" t="n">
        <x:v>3.8103</x:v>
      </x:c>
      <x:c r="M13" s="85" t="n">
        <x:v>2.6842</x:v>
      </x:c>
      <x:c r="N13" s="4" t="str">
        <x:v>沪深300</x:v>
      </x:c>
      <x:c r="O13" t="str">
        <x:v>第二表截止日未提供；净值补算截止日见R列</x:v>
      </x:c>
      <x:c r="P13" s="86" t="n">
        <x:v>46281</x:v>
      </x:c>
      <x:c r="Q13" s="87"/>
      <x:c r="R13" s="86"/>
      <x:c r="S13" s="87" t="n">
        <x:v>0.0079</x:v>
      </x:c>
    </x:row>
    <x:row r="14">
      <x:c r="A14" s="4" t="str">
        <x:v>鹿秀驯鹿二号</x:v>
      </x:c>
      <x:c r="B14" s="4" t="str">
        <x:v>SGF269</x:v>
      </x:c>
      <x:c r="C14" s="4" t="str">
        <x:v>套利策略</x:v>
      </x:c>
      <x:c r="D14" s="4" t="str">
        <x:v>-</x:v>
      </x:c>
      <x:c r="E14" s="4" t="str">
        <x:v>青岛鹿秀投资</x:v>
      </x:c>
      <x:c r="F14" s="83" t="n">
        <x:v>43755</x:v>
      </x:c>
      <x:c r="G14" s="84" t="n">
        <x:v>0.039900000000000005</x:v>
      </x:c>
      <x:c r="H14" s="84" t="n">
        <x:v>0.0246</x:v>
      </x:c>
      <x:c r="I14" s="84" t="n">
        <x:v>0.8108</x:v>
      </x:c>
      <x:c r="J14" s="84" t="n">
        <x:v>0.9231</x:v>
      </x:c>
      <x:c r="K14" s="84" t="n">
        <x:v>0.0463</x:v>
      </x:c>
      <x:c r="L14" s="85" t="n">
        <x:v>0.5323</x:v>
      </x:c>
      <x:c r="M14" s="85" t="n">
        <x:v>183.94</x:v>
      </x:c>
      <x:c r="N14" s="4" t="str">
        <x:v>沪深300</x:v>
      </x:c>
      <x:c r="O14" t="str">
        <x:v>第二表截止日未提供；净值补算截止日见R列</x:v>
      </x:c>
      <x:c r="P14" s="86" t="n">
        <x:v>46281</x:v>
      </x:c>
      <x:c r="Q14" s="87"/>
      <x:c r="R14" s="86"/>
      <x:c r="S14" s="87" t="n">
        <x:v>0.0002</x:v>
      </x:c>
    </x:row>
    <x:row r="15">
      <x:c r="A15" s="4" t="str">
        <x:v>本利达利磐一号</x:v>
      </x:c>
      <x:c r="B15" s="4" t="str">
        <x:v>SJF426</x:v>
      </x:c>
      <x:c r="C15" s="4" t="str">
        <x:v>套利策略</x:v>
      </x:c>
      <x:c r="D15" s="4" t="str">
        <x:v>混合套利</x:v>
      </x:c>
      <x:c r="E15" s="4" t="str">
        <x:v>深圳本利达资管</x:v>
      </x:c>
      <x:c r="F15" s="83" t="n">
        <x:v>43770</x:v>
      </x:c>
      <x:c r="G15" s="84" t="n">
        <x:v>0.11</x:v>
      </x:c>
      <x:c r="H15" s="84" t="n">
        <x:v>0.1208</x:v>
      </x:c>
      <x:c r="I15" s="84" t="n">
        <x:v>0.6757</x:v>
      </x:c>
      <x:c r="J15" s="84" t="n">
        <x:v>0.7692</x:v>
      </x:c>
      <x:c r="K15" s="84" t="n">
        <x:v>0.1144</x:v>
      </x:c>
      <x:c r="L15" s="85" t="n">
        <x:v>1.0562</x:v>
      </x:c>
      <x:c r="M15" s="85" t="n">
        <x:v>0.9691</x:v>
      </x:c>
      <x:c r="N15" s="4" t="str">
        <x:v>沪深300</x:v>
      </x:c>
      <x:c r="O15" t="str">
        <x:v>第二表截止日未提供；净值补算截止日见R列</x:v>
      </x:c>
      <x:c r="P15" s="86" t="n">
        <x:v>46281</x:v>
      </x:c>
      <x:c r="Q15" s="87"/>
      <x:c r="R15" s="86"/>
      <x:c r="S15" s="87" t="n">
        <x:v>0.11349999999999999</x:v>
      </x:c>
    </x:row>
    <x:row r="16">
      <x:c r="A16" s="4" t="str">
        <x:v>和熙新月1号</x:v>
      </x:c>
      <x:c r="B16" s="4" t="str">
        <x:v>SJG287</x:v>
      </x:c>
      <x:c r="C16" s="4" t="str">
        <x:v>套利策略</x:v>
      </x:c>
      <x:c r="D16" s="4" t="str">
        <x:v>期货套利</x:v>
      </x:c>
      <x:c r="E16" s="4" t="str">
        <x:v>浙江和熙资管</x:v>
      </x:c>
      <x:c r="F16" s="83" t="n">
        <x:v>43783</x:v>
      </x:c>
      <x:c r="G16" s="84" t="n">
        <x:v>-0.0029</x:v>
      </x:c>
      <x:c r="H16" s="84" t="n">
        <x:v>0.0207</x:v>
      </x:c>
      <x:c r="I16" s="84" t="n">
        <x:v>0.4865</x:v>
      </x:c>
      <x:c r="J16" s="84" t="n">
        <x:v>0.46149999999999997</x:v>
      </x:c>
      <x:c r="K16" s="84" t="n">
        <x:v>0.08529999999999999</x:v>
      </x:c>
      <x:c r="L16" s="85" t="n">
        <x:v>0.243</x:v>
      </x:c>
      <x:c r="M16" s="85" t="n">
        <x:v>-0.0337</x:v>
      </x:c>
      <x:c r="N16" s="4" t="str">
        <x:v>沪深300</x:v>
      </x:c>
      <x:c r="O16" t="str">
        <x:v>第二表截止日未提供；净值补算截止日见R列</x:v>
      </x:c>
      <x:c r="P16" s="86" t="n">
        <x:v>46281</x:v>
      </x:c>
      <x:c r="Q16" s="87"/>
      <x:c r="R16" s="86"/>
      <x:c r="S16" s="87" t="n">
        <x:v>0.08529999999999999</x:v>
      </x:c>
    </x:row>
    <x:row r="17">
      <x:c r="A17" s="4" t="str">
        <x:v>鹿秀统计套利1号</x:v>
      </x:c>
      <x:c r="B17" s="4" t="str">
        <x:v>SJJ138</x:v>
      </x:c>
      <x:c r="C17" s="4" t="str">
        <x:v>套利策略</x:v>
      </x:c>
      <x:c r="D17" s="4" t="str">
        <x:v>期货套利</x:v>
      </x:c>
      <x:c r="E17" s="4" t="str">
        <x:v>青岛鹿秀投资</x:v>
      </x:c>
      <x:c r="F17" s="83" t="n">
        <x:v>43801</x:v>
      </x:c>
      <x:c r="G17" s="84" t="n">
        <x:v>0.0304</x:v>
      </x:c>
      <x:c r="H17" s="84" t="n">
        <x:v>0.0355</x:v>
      </x:c>
      <x:c r="I17" s="84" t="n">
        <x:v>0.9189</x:v>
      </x:c>
      <x:c r="J17" s="84" t="n">
        <x:v>1</x:v>
      </x:c>
      <x:c r="K17" s="84" t="n">
        <x:v>0.0009</x:v>
      </x:c>
      <x:c r="L17" s="85" t="n">
        <x:v>38.6537</x:v>
      </x:c>
      <x:c r="M17" s="85" t="n">
        <x:v>38.3242</x:v>
      </x:c>
      <x:c r="N17" s="4" t="str">
        <x:v>沪深300</x:v>
      </x:c>
      <x:c r="O17" t="str">
        <x:v>第二表截止日未提供；净值补算截止日见R列</x:v>
      </x:c>
      <x:c r="P17" s="86" t="n">
        <x:v>46281</x:v>
      </x:c>
      <x:c r="Q17" s="87"/>
      <x:c r="R17" s="86"/>
      <x:c r="S17" s="87" t="n">
        <x:v>0.0008</x:v>
      </x:c>
    </x:row>
    <x:row r="18">
      <x:c r="A18" s="4" t="str">
        <x:v>唐龙量化对冲99号</x:v>
      </x:c>
      <x:c r="B18" s="4" t="str">
        <x:v>SJQ683</x:v>
      </x:c>
      <x:c r="C18" s="4" t="str">
        <x:v>套利策略</x:v>
      </x:c>
      <x:c r="D18" s="4" t="str">
        <x:v>可转债套利</x:v>
      </x:c>
      <x:c r="E18" s="4" t="str">
        <x:v>福建平潭唐龙资管</x:v>
      </x:c>
      <x:c r="F18" s="83" t="n">
        <x:v>43885</x:v>
      </x:c>
      <x:c r="G18" s="84" t="n">
        <x:v>0.0177</x:v>
      </x:c>
      <x:c r="H18" s="84" t="n">
        <x:v>0.0434</x:v>
      </x:c>
      <x:c r="I18" s="84" t="n">
        <x:v>0.6757</x:v>
      </x:c>
      <x:c r="J18" s="84" t="n">
        <x:v>0.6154</x:v>
      </x:c>
      <x:c r="K18" s="84" t="n">
        <x:v>0.1407</x:v>
      </x:c>
      <x:c r="L18" s="85" t="n">
        <x:v>0.3081</x:v>
      </x:c>
      <x:c r="M18" s="85" t="n">
        <x:v>5.3488</x:v>
      </x:c>
      <x:c r="N18" s="4" t="str">
        <x:v>沪深300</x:v>
      </x:c>
      <x:c r="O18" t="str">
        <x:v>第二表截止日未提供；净值补算截止日见R列</x:v>
      </x:c>
      <x:c r="P18" s="86" t="n">
        <x:v>46281</x:v>
      </x:c>
      <x:c r="Q18" s="87"/>
      <x:c r="R18" s="86"/>
      <x:c r="S18" s="87" t="n">
        <x:v>0.0033</x:v>
      </x:c>
    </x:row>
    <x:row r="19">
      <x:c r="A19" s="4" t="str">
        <x:v>凡德量化八号</x:v>
      </x:c>
      <x:c r="B19" s="4" t="str">
        <x:v>SJS811</x:v>
      </x:c>
      <x:c r="C19" s="4" t="str">
        <x:v>套利策略</x:v>
      </x:c>
      <x:c r="D19" s="4" t="str">
        <x:v>期货套利</x:v>
      </x:c>
      <x:c r="E19" s="4" t="str">
        <x:v>广东凡德投资</x:v>
      </x:c>
      <x:c r="F19" s="83" t="n">
        <x:v>43892</x:v>
      </x:c>
      <x:c r="G19" s="84" t="n">
        <x:v>-0.013600000000000001</x:v>
      </x:c>
      <x:c r="H19" s="84" t="n">
        <x:v>0.0421</x:v>
      </x:c>
      <x:c r="I19" s="84" t="n">
        <x:v>0.5676</x:v>
      </x:c>
      <x:c r="J19" s="84" t="n">
        <x:v>0.5385</x:v>
      </x:c>
      <x:c r="K19" s="84" t="n">
        <x:v>0.1226</x:v>
      </x:c>
      <x:c r="L19" s="85" t="n">
        <x:v>0.3434</x:v>
      </x:c>
      <x:c r="M19" s="85" t="n">
        <x:v>-0.1109</x:v>
      </x:c>
      <x:c r="N19" s="4" t="str">
        <x:v>沪深300</x:v>
      </x:c>
      <x:c r="O19" t="str">
        <x:v>第二表截止日未提供；净值补算截止日见R列</x:v>
      </x:c>
      <x:c r="P19" s="86" t="n">
        <x:v>46281</x:v>
      </x:c>
      <x:c r="Q19" s="87"/>
      <x:c r="R19" s="86"/>
      <x:c r="S19" s="87" t="n">
        <x:v>0.1226</x:v>
      </x:c>
    </x:row>
    <x:row r="20">
      <x:c r="A20" s="4" t="str">
        <x:v>百奕传家一号</x:v>
      </x:c>
      <x:c r="B20" s="4" t="str">
        <x:v>SJS027</x:v>
      </x:c>
      <x:c r="C20" s="4" t="str">
        <x:v>套利策略</x:v>
      </x:c>
      <x:c r="D20" s="4" t="str">
        <x:v>可转债套利</x:v>
      </x:c>
      <x:c r="E20" s="4" t="str">
        <x:v>上海百奕投资</x:v>
      </x:c>
      <x:c r="F20" s="83" t="n">
        <x:v>43913</x:v>
      </x:c>
      <x:c r="G20" s="84" t="n">
        <x:v>0.1386</x:v>
      </x:c>
      <x:c r="H20" s="84" t="n">
        <x:v>0.059800000000000006</x:v>
      </x:c>
      <x:c r="I20" s="84" t="n">
        <x:v>0.6215999999999999</x:v>
      </x:c>
      <x:c r="J20" s="84" t="n">
        <x:v>0.5385</x:v>
      </x:c>
      <x:c r="K20" s="84" t="n">
        <x:v>0.1117</x:v>
      </x:c>
      <x:c r="L20" s="85" t="n">
        <x:v>0.5355</x:v>
      </x:c>
      <x:c r="M20" s="85" t="n">
        <x:v>3.4603</x:v>
      </x:c>
      <x:c r="N20" s="4" t="str">
        <x:v>沪深300</x:v>
      </x:c>
      <x:c r="O20" t="str">
        <x:v>第二表截止日未提供；净值补算截止日见R列</x:v>
      </x:c>
      <x:c r="P20" s="86" t="n">
        <x:v>46281</x:v>
      </x:c>
      <x:c r="Q20" s="87"/>
      <x:c r="R20" s="86"/>
      <x:c r="S20" s="87" t="n">
        <x:v>0.0401</x:v>
      </x:c>
    </x:row>
    <x:row r="21">
      <x:c r="A21" s="4" t="str">
        <x:v>蒙森斯道特恒星三号</x:v>
      </x:c>
      <x:c r="B21" s="4" t="str">
        <x:v>SJM626</x:v>
      </x:c>
      <x:c r="C21" s="4" t="str">
        <x:v>套利策略</x:v>
      </x:c>
      <x:c r="D21" s="4" t="str">
        <x:v>期货套利</x:v>
      </x:c>
      <x:c r="E21" s="4" t="str">
        <x:v>上海蒙森投资</x:v>
      </x:c>
      <x:c r="F21" s="83" t="n">
        <x:v>43924</x:v>
      </x:c>
      <x:c r="G21" s="84" t="n">
        <x:v>0.07150000000000001</x:v>
      </x:c>
      <x:c r="H21" s="84" t="n">
        <x:v>0.0706</x:v>
      </x:c>
      <x:c r="I21" s="84" t="n">
        <x:v>0.4865</x:v>
      </x:c>
      <x:c r="J21" s="84" t="n">
        <x:v>0.3077</x:v>
      </x:c>
      <x:c r="K21" s="84" t="n">
        <x:v>0.0797</x:v>
      </x:c>
      <x:c r="L21" s="85" t="n">
        <x:v>0.8857</x:v>
      </x:c>
      <x:c r="M21" s="85" t="n">
        <x:v>2.14</x:v>
      </x:c>
      <x:c r="N21" s="4" t="str">
        <x:v>沪深300</x:v>
      </x:c>
      <x:c r="O21" t="str">
        <x:v>第二表截止日未提供；净值补算截止日见R列</x:v>
      </x:c>
      <x:c r="P21" s="86" t="n">
        <x:v>46281</x:v>
      </x:c>
      <x:c r="Q21" s="87"/>
      <x:c r="R21" s="86"/>
      <x:c r="S21" s="87" t="n">
        <x:v>0.0334</x:v>
      </x:c>
    </x:row>
    <x:row r="22">
      <x:c r="A22" s="4" t="str">
        <x:v>银瓴运通对冲套利致远3号</x:v>
      </x:c>
      <x:c r="B22" s="4" t="str">
        <x:v>SLC023</x:v>
      </x:c>
      <x:c r="C22" s="4" t="str">
        <x:v>套利策略</x:v>
      </x:c>
      <x:c r="D22" s="4" t="str">
        <x:v>期货套利</x:v>
      </x:c>
      <x:c r="E22" s="4" t="str">
        <x:v>广西银瓴资产</x:v>
      </x:c>
      <x:c r="F22" s="83" t="n">
        <x:v>43998</x:v>
      </x:c>
      <x:c r="G22" s="84" t="n">
        <x:v>-0.0415</x:v>
      </x:c>
      <x:c r="H22" s="84" t="n">
        <x:v>0.0004</x:v>
      </x:c>
      <x:c r="I22" s="84" t="n">
        <x:v>0.5405</x:v>
      </x:c>
      <x:c r="J22" s="84" t="n">
        <x:v>0.6154</x:v>
      </x:c>
      <x:c r="K22" s="84" t="n">
        <x:v>0.113</x:v>
      </x:c>
      <x:c r="L22" s="85" t="n">
        <x:v>0.0034</x:v>
      </x:c>
      <x:c r="M22" s="85" t="n">
        <x:v>-0.4031</x:v>
      </x:c>
      <x:c r="N22" s="4" t="str">
        <x:v>沪深300</x:v>
      </x:c>
      <x:c r="O22" t="str">
        <x:v>第二表截止日未提供；净值补算截止日见R列</x:v>
      </x:c>
      <x:c r="P22" s="86" t="n">
        <x:v>46281</x:v>
      </x:c>
      <x:c r="Q22" s="87"/>
      <x:c r="R22" s="86"/>
      <x:c r="S22" s="87" t="n">
        <x:v>0.10279999999999999</x:v>
      </x:c>
    </x:row>
    <x:row r="23">
      <x:c r="A23" s="4" t="str">
        <x:v>银瓴运通对冲套利进取2号</x:v>
      </x:c>
      <x:c r="B23" s="4" t="str">
        <x:v>SLC022</x:v>
      </x:c>
      <x:c r="C23" s="4" t="str">
        <x:v>套利策略</x:v>
      </x:c>
      <x:c r="D23" s="4" t="str">
        <x:v>期货套利</x:v>
      </x:c>
      <x:c r="E23" s="4" t="str">
        <x:v>广西银瓴资产</x:v>
      </x:c>
      <x:c r="F23" s="83" t="n">
        <x:v>43998</x:v>
      </x:c>
      <x:c r="G23" s="84" t="n">
        <x:v>-0.015</x:v>
      </x:c>
      <x:c r="H23" s="84" t="n">
        <x:v>-0.0118</x:v>
      </x:c>
      <x:c r="I23" s="84" t="n">
        <x:v>0.4324</x:v>
      </x:c>
      <x:c r="J23" s="84" t="n">
        <x:v>0.3846</x:v>
      </x:c>
      <x:c r="K23" s="84" t="n">
        <x:v>0.17379999999999998</x:v>
      </x:c>
      <x:c r="L23" s="85" t="n">
        <x:v>-0.068</x:v>
      </x:c>
      <x:c r="M23" s="85" t="n">
        <x:v>-0.197</x:v>
      </x:c>
      <x:c r="N23" s="4" t="str">
        <x:v>沪深300</x:v>
      </x:c>
      <x:c r="O23" t="str">
        <x:v>第二表截止日未提供；净值补算截止日见R列</x:v>
      </x:c>
      <x:c r="P23" s="86" t="n">
        <x:v>46281</x:v>
      </x:c>
      <x:c r="Q23" s="87"/>
      <x:c r="R23" s="86"/>
      <x:c r="S23" s="87" t="n">
        <x:v>0.076</x:v>
      </x:c>
    </x:row>
    <x:row r="24">
      <x:c r="A24" s="4" t="str">
        <x:v>铭杉量化稳健5号</x:v>
      </x:c>
      <x:c r="B24" s="4" t="str">
        <x:v>SLT573</x:v>
      </x:c>
      <x:c r="C24" s="4" t="str">
        <x:v>套利策略</x:v>
      </x:c>
      <x:c r="D24" s="4" t="str">
        <x:v>期货套利</x:v>
      </x:c>
      <x:c r="E24" s="4" t="str">
        <x:v>上海铭杉投资</x:v>
      </x:c>
      <x:c r="F24" s="83" t="n">
        <x:v>44088</x:v>
      </x:c>
      <x:c r="G24" s="84" t="n">
        <x:v>0.056299999999999996</x:v>
      </x:c>
      <x:c r="H24" s="84" t="n">
        <x:v>0.057800000000000004</x:v>
      </x:c>
      <x:c r="I24" s="84" t="n">
        <x:v>0.8649</x:v>
      </x:c>
      <x:c r="J24" s="84" t="n">
        <x:v>0.7692</x:v>
      </x:c>
      <x:c r="K24" s="84" t="n">
        <x:v>0.025099999999999997</x:v>
      </x:c>
      <x:c r="L24" s="85" t="n">
        <x:v>2.3046</x:v>
      </x:c>
      <x:c r="M24" s="85" t="n">
        <x:v>2.2427</x:v>
      </x:c>
      <x:c r="N24" s="4" t="str">
        <x:v>沪深300</x:v>
      </x:c>
      <x:c r="O24" t="str">
        <x:v>第二表截止日未提供；净值补算截止日见R列</x:v>
      </x:c>
      <x:c r="P24" s="86" t="n">
        <x:v>46281</x:v>
      </x:c>
      <x:c r="Q24" s="87"/>
      <x:c r="R24" s="86"/>
      <x:c r="S24" s="87" t="n">
        <x:v>0.025099999999999997</x:v>
      </x:c>
    </x:row>
    <x:row r="25">
      <x:c r="A25" s="4" t="str">
        <x:v>数为道策套利一号</x:v>
      </x:c>
      <x:c r="B25" s="4" t="str">
        <x:v>SNA956</x:v>
      </x:c>
      <x:c r="C25" s="4" t="str">
        <x:v>套利策略</x:v>
      </x:c>
      <x:c r="D25" s="4" t="str">
        <x:v>基金套利</x:v>
      </x:c>
      <x:c r="E25" s="4" t="str">
        <x:v>福州数为</x:v>
      </x:c>
      <x:c r="F25" s="83" t="n">
        <x:v>44123</x:v>
      </x:c>
      <x:c r="G25" s="84" t="n">
        <x:v>-0.3489</x:v>
      </x:c>
      <x:c r="H25" s="84" t="n">
        <x:v>-0.11220000000000001</x:v>
      </x:c>
      <x:c r="I25" s="84" t="n">
        <x:v>0.4054</x:v>
      </x:c>
      <x:c r="J25" s="84" t="n">
        <x:v>0.23079999999999998</x:v>
      </x:c>
      <x:c r="K25" s="84" t="n">
        <x:v>0.37020000000000003</x:v>
      </x:c>
      <x:c r="L25" s="85" t="n">
        <x:v>-0.3032</x:v>
      </x:c>
      <x:c r="M25" s="85" t="n">
        <x:v>-0.9425</x:v>
      </x:c>
      <x:c r="N25" s="4" t="str">
        <x:v>沪深300</x:v>
      </x:c>
      <x:c r="O25" t="str">
        <x:v>第二表截止日未提供；净值补算截止日见R列</x:v>
      </x:c>
      <x:c r="P25" s="86" t="n">
        <x:v>46281</x:v>
      </x:c>
      <x:c r="Q25" s="87"/>
      <x:c r="R25" s="86"/>
      <x:c r="S25" s="87" t="n">
        <x:v>0.37020000000000003</x:v>
      </x:c>
    </x:row>
    <x:row r="26">
      <x:c r="A26" s="4" t="str">
        <x:v>犇牛稳进3号</x:v>
      </x:c>
      <x:c r="B26" s="4" t="str">
        <x:v>SNE543</x:v>
      </x:c>
      <x:c r="C26" s="4" t="str">
        <x:v>套利策略</x:v>
      </x:c>
      <x:c r="D26" s="4" t="str">
        <x:v>期权套利</x:v>
      </x:c>
      <x:c r="E26" s="4" t="str">
        <x:v>上海犇牛</x:v>
      </x:c>
      <x:c r="F26" s="83" t="n">
        <x:v>44144</x:v>
      </x:c>
      <x:c r="G26" s="84" t="n">
        <x:v>0.0374</x:v>
      </x:c>
      <x:c r="H26" s="84" t="n">
        <x:v>0.0455</x:v>
      </x:c>
      <x:c r="I26" s="84" t="n">
        <x:v>0.5946</x:v>
      </x:c>
      <x:c r="J26" s="84" t="n">
        <x:v>0.7692</x:v>
      </x:c>
      <x:c r="K26" s="84" t="n">
        <x:v>0.0265</x:v>
      </x:c>
      <x:c r="L26" s="85" t="n">
        <x:v>1.715</x:v>
      </x:c>
      <x:c r="M26" s="85" t="n">
        <x:v>4.4377</x:v>
      </x:c>
      <x:c r="N26" s="4" t="str">
        <x:v>沪深300</x:v>
      </x:c>
      <x:c r="O26" t="str">
        <x:v>第二表截止日未提供；净值补算截止日见R列</x:v>
      </x:c>
      <x:c r="P26" s="86" t="n">
        <x:v>46281</x:v>
      </x:c>
      <x:c r="Q26" s="87"/>
      <x:c r="R26" s="86"/>
      <x:c r="S26" s="87" t="n">
        <x:v>0.0084</x:v>
      </x:c>
    </x:row>
    <x:row r="27">
      <x:c r="A27" s="4" t="str">
        <x:v>致同云峰A</x:v>
      </x:c>
      <x:c r="B27" s="4" t="str">
        <x:v>SNB380</x:v>
      </x:c>
      <x:c r="C27" s="4" t="str">
        <x:v>套利策略</x:v>
      </x:c>
      <x:c r="D27" s="4" t="str">
        <x:v>期货套利</x:v>
      </x:c>
      <x:c r="E27" s="4" t="str">
        <x:v>上海致同投资</x:v>
      </x:c>
      <x:c r="F27" s="83" t="n">
        <x:v>44145</x:v>
      </x:c>
      <x:c r="G27" s="84" t="n">
        <x:v>0.0408</x:v>
      </x:c>
      <x:c r="H27" s="84" t="n">
        <x:v>0.042199999999999994</x:v>
      </x:c>
      <x:c r="I27" s="84" t="n">
        <x:v>0.7297</x:v>
      </x:c>
      <x:c r="J27" s="84" t="n">
        <x:v>0.6923</x:v>
      </x:c>
      <x:c r="K27" s="84" t="n">
        <x:v>0.014499999999999999</x:v>
      </x:c>
      <x:c r="L27" s="85" t="n">
        <x:v>2.9089</x:v>
      </x:c>
      <x:c r="M27" s="85" t="n">
        <x:v>2.8094</x:v>
      </x:c>
      <x:c r="N27" s="4" t="str">
        <x:v>沪深300</x:v>
      </x:c>
      <x:c r="O27" t="str">
        <x:v>第二表截止日未提供；净值补算截止日见R列</x:v>
      </x:c>
      <x:c r="P27" s="86" t="n">
        <x:v>46281</x:v>
      </x:c>
      <x:c r="Q27" s="87"/>
      <x:c r="R27" s="86"/>
      <x:c r="S27" s="87" t="n">
        <x:v>0.014499999999999999</x:v>
      </x:c>
    </x:row>
    <x:row r="28">
      <x:c r="A28" s="4" t="str">
        <x:v>橡杉量化套利十号</x:v>
      </x:c>
      <x:c r="B28" s="4" t="str">
        <x:v>SLY435</x:v>
      </x:c>
      <x:c r="C28" s="4" t="str">
        <x:v>套利策略</x:v>
      </x:c>
      <x:c r="D28" s="4" t="str">
        <x:v>期货套利</x:v>
      </x:c>
      <x:c r="E28" s="4" t="str">
        <x:v>上海橡杉资管</x:v>
      </x:c>
      <x:c r="F28" s="83" t="n">
        <x:v>44159</x:v>
      </x:c>
      <x:c r="G28" s="84" t="n">
        <x:v>0.04650000000000001</x:v>
      </x:c>
      <x:c r="H28" s="84" t="n">
        <x:v>0.028999999999999998</x:v>
      </x:c>
      <x:c r="I28" s="84" t="n">
        <x:v>0.5946</x:v>
      </x:c>
      <x:c r="J28" s="84" t="n">
        <x:v>0.6154</x:v>
      </x:c>
      <x:c r="K28" s="84" t="n">
        <x:v>0.0088</x:v>
      </x:c>
      <x:c r="L28" s="85" t="n">
        <x:v>3.3085</x:v>
      </x:c>
      <x:c r="M28" s="85" t="n">
        <x:v>5.3118</x:v>
      </x:c>
      <x:c r="N28" s="4" t="str">
        <x:v>沪深300</x:v>
      </x:c>
      <x:c r="O28" t="str">
        <x:v>第二表截止日未提供；净值补算截止日见R列</x:v>
      </x:c>
      <x:c r="P28" s="86" t="n">
        <x:v>46281</x:v>
      </x:c>
      <x:c r="Q28" s="87"/>
      <x:c r="R28" s="86"/>
      <x:c r="S28" s="87" t="n">
        <x:v>0.0088</x:v>
      </x:c>
    </x:row>
    <x:row r="29">
      <x:c r="A29" s="4" t="str">
        <x:v>裕锦量化专享1号</x:v>
      </x:c>
      <x:c r="B29" s="4" t="str">
        <x:v>SNE165</x:v>
      </x:c>
      <x:c r="C29" s="4" t="str">
        <x:v>套利策略</x:v>
      </x:c>
      <x:c r="D29" s="4" t="str">
        <x:v>期货套利</x:v>
      </x:c>
      <x:c r="E29" s="4" t="str">
        <x:v>深圳裕锦</x:v>
      </x:c>
      <x:c r="F29" s="83" t="n">
        <x:v>44166</x:v>
      </x:c>
      <x:c r="G29" s="84" t="n">
        <x:v>0.17559999999999998</x:v>
      </x:c>
      <x:c r="H29" s="84" t="n">
        <x:v>0.172</x:v>
      </x:c>
      <x:c r="I29" s="84" t="n">
        <x:v>0.8378</x:v>
      </x:c>
      <x:c r="J29" s="84" t="n">
        <x:v>0.7692</x:v>
      </x:c>
      <x:c r="K29" s="84" t="n">
        <x:v>0.0105</x:v>
      </x:c>
      <x:c r="L29" s="85" t="n">
        <x:v>16.4367</x:v>
      </x:c>
      <x:c r="M29" s="85" t="n">
        <x:v>37.7886</x:v>
      </x:c>
      <x:c r="N29" s="4" t="str">
        <x:v>沪深300</x:v>
      </x:c>
      <x:c r="O29" t="str">
        <x:v>第二表截止日未提供；净值补算截止日见R列</x:v>
      </x:c>
      <x:c r="P29" s="86" t="n">
        <x:v>46281</x:v>
      </x:c>
      <x:c r="Q29" s="87"/>
      <x:c r="R29" s="86"/>
      <x:c r="S29" s="87" t="n">
        <x:v>0.0046</x:v>
      </x:c>
    </x:row>
    <x:row r="30">
      <x:c r="A30" s="4" t="str">
        <x:v>杭州探融-锦鲤智能量化3号</x:v>
      </x:c>
      <x:c r="B30" s="4" t="str">
        <x:v>SQC001</x:v>
      </x:c>
      <x:c r="C30" s="4" t="str">
        <x:v>套利策略</x:v>
      </x:c>
      <x:c r="D30" s="4" t="str">
        <x:v>可转债套利</x:v>
      </x:c>
      <x:c r="E30" s="4" t="str">
        <x:v>杭州探融投资</x:v>
      </x:c>
      <x:c r="F30" s="83" t="n">
        <x:v>44305</x:v>
      </x:c>
      <x:c r="G30" s="84" t="n">
        <x:v>0.0019</x:v>
      </x:c>
      <x:c r="H30" s="84" t="n">
        <x:v>0.0371</x:v>
      </x:c>
      <x:c r="I30" s="84" t="n">
        <x:v>0.5946</x:v>
      </x:c>
      <x:c r="J30" s="84" t="n">
        <x:v>0.46149999999999997</x:v>
      </x:c>
      <x:c r="K30" s="84" t="n">
        <x:v>0.024399999999999998</x:v>
      </x:c>
      <x:c r="L30" s="85" t="n">
        <x:v>1.5207</x:v>
      </x:c>
      <x:c r="M30" s="85" t="n">
        <x:v>0.0794</x:v>
      </x:c>
      <x:c r="N30" s="4" t="str">
        <x:v>沪深300</x:v>
      </x:c>
      <x:c r="O30" t="str">
        <x:v>第二表截止日未提供；净值补算截止日见R列</x:v>
      </x:c>
      <x:c r="P30" s="86" t="n">
        <x:v>46281</x:v>
      </x:c>
      <x:c r="Q30" s="87"/>
      <x:c r="R30" s="86"/>
      <x:c r="S30" s="87" t="n">
        <x:v>0.024399999999999998</x:v>
      </x:c>
    </x:row>
    <x:row r="31">
      <x:c r="A31" s="4" t="str">
        <x:v>平凡笃行君享</x:v>
      </x:c>
      <x:c r="B31" s="4" t="str">
        <x:v>SQD327</x:v>
      </x:c>
      <x:c r="C31" s="4" t="str">
        <x:v>套利策略</x:v>
      </x:c>
      <x:c r="D31" s="4" t="str">
        <x:v>-</x:v>
      </x:c>
      <x:c r="E31" s="4" t="str">
        <x:v>北京平凡</x:v>
      </x:c>
      <x:c r="F31" s="83" t="n">
        <x:v>44315</x:v>
      </x:c>
      <x:c r="G31" s="84" t="n">
        <x:v>0.0702</x:v>
      </x:c>
      <x:c r="H31" s="84" t="n">
        <x:v>0.0288</x:v>
      </x:c>
      <x:c r="I31" s="84" t="n">
        <x:v>0.5676</x:v>
      </x:c>
      <x:c r="J31" s="84" t="n">
        <x:v>0.6923</x:v>
      </x:c>
      <x:c r="K31" s="84" t="n">
        <x:v>0.0796</x:v>
      </x:c>
      <x:c r="L31" s="85" t="n">
        <x:v>0.3618</x:v>
      </x:c>
      <x:c r="M31" s="85" t="n">
        <x:v>0.8821</x:v>
      </x:c>
      <x:c r="N31" s="4" t="str">
        <x:v>沪深300</x:v>
      </x:c>
      <x:c r="O31" t="str">
        <x:v>第二表截止日未提供；净值补算截止日见R列</x:v>
      </x:c>
      <x:c r="P31" s="86" t="n">
        <x:v>46281</x:v>
      </x:c>
      <x:c r="Q31" s="87"/>
      <x:c r="R31" s="86"/>
      <x:c r="S31" s="87" t="n">
        <x:v>0.0796</x:v>
      </x:c>
    </x:row>
    <x:row r="32">
      <x:c r="A32" s="4" t="str">
        <x:v>银瓴运通稳健1号五期</x:v>
      </x:c>
      <x:c r="B32" s="4" t="str">
        <x:v>SNW762</x:v>
      </x:c>
      <x:c r="C32" s="4" t="str">
        <x:v>套利策略</x:v>
      </x:c>
      <x:c r="D32" s="4" t="str">
        <x:v>期货套利</x:v>
      </x:c>
      <x:c r="E32" s="4" t="str">
        <x:v>广西银瓴资产</x:v>
      </x:c>
      <x:c r="F32" s="83" t="n">
        <x:v>44329</x:v>
      </x:c>
      <x:c r="G32" s="84" t="n">
        <x:v>0.018500000000000003</x:v>
      </x:c>
      <x:c r="H32" s="84" t="n">
        <x:v>0.0181</x:v>
      </x:c>
      <x:c r="I32" s="84" t="n">
        <x:v>0.5676</x:v>
      </x:c>
      <x:c r="J32" s="84" t="n">
        <x:v>0.6154</x:v>
      </x:c>
      <x:c r="K32" s="84" t="n">
        <x:v>0.069</x:v>
      </x:c>
      <x:c r="L32" s="85" t="n">
        <x:v>0.2628</x:v>
      </x:c>
      <x:c r="M32" s="85" t="n">
        <x:v>0.2674</x:v>
      </x:c>
      <x:c r="N32" s="4" t="str">
        <x:v>沪深300</x:v>
      </x:c>
      <x:c r="O32" t="str">
        <x:v>第二表截止日未提供；净值补算截止日见R列</x:v>
      </x:c>
      <x:c r="P32" s="86" t="n">
        <x:v>46281</x:v>
      </x:c>
      <x:c r="Q32" s="87"/>
      <x:c r="R32" s="86"/>
      <x:c r="S32" s="87" t="n">
        <x:v>0.069</x:v>
      </x:c>
    </x:row>
    <x:row r="33">
      <x:c r="A33" s="4" t="str">
        <x:v>荣熙商品1号</x:v>
      </x:c>
      <x:c r="B33" s="4" t="str">
        <x:v>SQS292</x:v>
      </x:c>
      <x:c r="C33" s="4" t="str">
        <x:v>套利策略</x:v>
      </x:c>
      <x:c r="D33" s="4" t="str">
        <x:v>期货套利</x:v>
      </x:c>
      <x:c r="E33" s="4" t="str">
        <x:v>上海荣熙</x:v>
      </x:c>
      <x:c r="F33" s="83" t="n">
        <x:v>44357</x:v>
      </x:c>
      <x:c r="G33" s="84" t="n">
        <x:v>0.0144</x:v>
      </x:c>
      <x:c r="H33" s="84" t="n">
        <x:v>0.0688</x:v>
      </x:c>
      <x:c r="I33" s="84" t="n">
        <x:v>0.5405</x:v>
      </x:c>
      <x:c r="J33" s="84" t="n">
        <x:v>0.46149999999999997</x:v>
      </x:c>
      <x:c r="K33" s="84" t="n">
        <x:v>0.058600000000000006</x:v>
      </x:c>
      <x:c r="L33" s="85" t="n">
        <x:v>1.1729</x:v>
      </x:c>
      <x:c r="M33" s="85" t="n">
        <x:v>0.2711</x:v>
      </x:c>
      <x:c r="N33" s="4" t="str">
        <x:v>沪深300</x:v>
      </x:c>
      <x:c r="O33" t="str">
        <x:v>第二表截止日未提供；净值补算截止日见R列</x:v>
      </x:c>
      <x:c r="P33" s="86" t="n">
        <x:v>46281</x:v>
      </x:c>
      <x:c r="Q33" s="87"/>
      <x:c r="R33" s="86"/>
      <x:c r="S33" s="87" t="n">
        <x:v>0.053</x:v>
      </x:c>
    </x:row>
    <x:row r="34">
      <x:c r="A34" s="4" t="str">
        <x:v>银瓴多德价值投资1号</x:v>
      </x:c>
      <x:c r="B34" s="4" t="str">
        <x:v>SQV390</x:v>
      </x:c>
      <x:c r="C34" s="4" t="str">
        <x:v>套利策略</x:v>
      </x:c>
      <x:c r="D34" s="4" t="str">
        <x:v>期货套利</x:v>
      </x:c>
      <x:c r="E34" s="4" t="str">
        <x:v>广西银瓴资产</x:v>
      </x:c>
      <x:c r="F34" s="83" t="n">
        <x:v>44382</x:v>
      </x:c>
      <x:c r="G34" s="84" t="n">
        <x:v>-0.0258</x:v>
      </x:c>
      <x:c r="H34" s="84" t="n">
        <x:v>-0.0271</x:v>
      </x:c>
      <x:c r="I34" s="84" t="n">
        <x:v>0.4595</x:v>
      </x:c>
      <x:c r="J34" s="84" t="n">
        <x:v>0.46149999999999997</x:v>
      </x:c>
      <x:c r="K34" s="84" t="n">
        <x:v>0.2391</x:v>
      </x:c>
      <x:c r="L34" s="85" t="n">
        <x:v>-0.1133</x:v>
      </x:c>
      <x:c r="M34" s="85" t="n">
        <x:v>-0.1593</x:v>
      </x:c>
      <x:c r="N34" s="4" t="str">
        <x:v>沪深300</x:v>
      </x:c>
      <x:c r="O34" t="str">
        <x:v>第二表截止日未提供；净值补算截止日见R列</x:v>
      </x:c>
      <x:c r="P34" s="86" t="n">
        <x:v>46281</x:v>
      </x:c>
      <x:c r="Q34" s="87"/>
      <x:c r="R34" s="86"/>
      <x:c r="S34" s="87" t="n">
        <x:v>0.1617</x:v>
      </x:c>
    </x:row>
    <x:row r="35">
      <x:c r="A35" s="4" t="str">
        <x:v>银瓴运通对冲套利宝城6号</x:v>
      </x:c>
      <x:c r="B35" s="4" t="str">
        <x:v>SQU465</x:v>
      </x:c>
      <x:c r="C35" s="4" t="str">
        <x:v>套利策略</x:v>
      </x:c>
      <x:c r="D35" s="4" t="str">
        <x:v>期货套利</x:v>
      </x:c>
      <x:c r="E35" s="4" t="str">
        <x:v>广西银瓴资产</x:v>
      </x:c>
      <x:c r="F35" s="83" t="n">
        <x:v>44392</x:v>
      </x:c>
      <x:c r="G35" s="84" t="n">
        <x:v>-0.0915</x:v>
      </x:c>
      <x:c r="H35" s="84" t="n">
        <x:v>-0.0412</x:v>
      </x:c>
      <x:c r="I35" s="84" t="n">
        <x:v>0.4595</x:v>
      </x:c>
      <x:c r="J35" s="84" t="n">
        <x:v>0.46149999999999997</x:v>
      </x:c>
      <x:c r="K35" s="84" t="n">
        <x:v>0.1989</x:v>
      </x:c>
      <x:c r="L35" s="85" t="n">
        <x:v>-0.207</x:v>
      </x:c>
      <x:c r="M35" s="85" t="n">
        <x:v>-0.5723</x:v>
      </x:c>
      <x:c r="N35" s="4" t="str">
        <x:v>沪深300</x:v>
      </x:c>
      <x:c r="O35" t="str">
        <x:v>第二表截止日未提供；净值补算截止日见R列</x:v>
      </x:c>
      <x:c r="P35" s="86" t="n">
        <x:v>46281</x:v>
      </x:c>
      <x:c r="Q35" s="87"/>
      <x:c r="R35" s="86"/>
      <x:c r="S35" s="87" t="n">
        <x:v>0.15990000000000001</x:v>
      </x:c>
    </x:row>
    <x:row r="36">
      <x:c r="A36" s="4" t="str">
        <x:v>银瓴运通对冲套利进取2号二期</x:v>
      </x:c>
      <x:c r="B36" s="4" t="str">
        <x:v>SQZ278</x:v>
      </x:c>
      <x:c r="C36" s="4" t="str">
        <x:v>套利策略</x:v>
      </x:c>
      <x:c r="D36" s="4" t="str">
        <x:v>期货套利</x:v>
      </x:c>
      <x:c r="E36" s="4" t="str">
        <x:v>广西银瓴资产</x:v>
      </x:c>
      <x:c r="F36" s="83" t="n">
        <x:v>44392</x:v>
      </x:c>
      <x:c r="G36" s="84" t="n">
        <x:v>0.030899999999999997</x:v>
      </x:c>
      <x:c r="H36" s="84" t="n">
        <x:v>0.048</x:v>
      </x:c>
      <x:c r="I36" s="84" t="n">
        <x:v>0.6215999999999999</x:v>
      </x:c>
      <x:c r="J36" s="84" t="n">
        <x:v>0.5385</x:v>
      </x:c>
      <x:c r="K36" s="84" t="n">
        <x:v>0.0788</x:v>
      </x:c>
      <x:c r="L36" s="85" t="n">
        <x:v>0.6093</x:v>
      </x:c>
      <x:c r="M36" s="85" t="n">
        <x:v>0.5168</x:v>
      </x:c>
      <x:c r="N36" s="4" t="str">
        <x:v>沪深300</x:v>
      </x:c>
      <x:c r="O36" t="str">
        <x:v>第二表截止日未提供；净值补算截止日见R列</x:v>
      </x:c>
      <x:c r="P36" s="86" t="n">
        <x:v>46281</x:v>
      </x:c>
      <x:c r="Q36" s="87"/>
      <x:c r="R36" s="86"/>
      <x:c r="S36" s="87" t="n">
        <x:v>0.0599</x:v>
      </x:c>
    </x:row>
    <x:row r="37">
      <x:c r="A37" s="4" t="str">
        <x:v>福邑共赢一号</x:v>
      </x:c>
      <x:c r="B37" s="4" t="str">
        <x:v>SSB040</x:v>
      </x:c>
      <x:c r="C37" s="4" t="str">
        <x:v>套利策略</x:v>
      </x:c>
      <x:c r="D37" s="4" t="str">
        <x:v>期货套利</x:v>
      </x:c>
      <x:c r="E37" s="4" t="str">
        <x:v>上海福邑</x:v>
      </x:c>
      <x:c r="F37" s="83" t="n">
        <x:v>44432</x:v>
      </x:c>
      <x:c r="G37" s="84" t="n">
        <x:v>0.218</x:v>
      </x:c>
      <x:c r="H37" s="84" t="n">
        <x:v>0.0909</x:v>
      </x:c>
      <x:c r="I37" s="84" t="n">
        <x:v>0.5405</x:v>
      </x:c>
      <x:c r="J37" s="84" t="n">
        <x:v>0.6154</x:v>
      </x:c>
      <x:c r="K37" s="84" t="n">
        <x:v>0.2004</x:v>
      </x:c>
      <x:c r="L37" s="85" t="n">
        <x:v>0.4534</x:v>
      </x:c>
      <x:c r="M37" s="85" t="n">
        <x:v>1.0881</x:v>
      </x:c>
      <x:c r="N37" s="4" t="str">
        <x:v>沪深300</x:v>
      </x:c>
      <x:c r="O37" t="str">
        <x:v>第二表截止日未提供；净值补算截止日见R列</x:v>
      </x:c>
      <x:c r="P37" s="86" t="n">
        <x:v>46281</x:v>
      </x:c>
      <x:c r="Q37" s="87"/>
      <x:c r="R37" s="86"/>
      <x:c r="S37" s="87" t="n">
        <x:v>0.2004</x:v>
      </x:c>
    </x:row>
    <x:row r="38">
      <x:c r="A38" s="4" t="str">
        <x:v>银瓴汇金6号</x:v>
      </x:c>
      <x:c r="B38" s="4" t="str">
        <x:v>SSN446</x:v>
      </x:c>
      <x:c r="C38" s="4" t="str">
        <x:v>套利策略</x:v>
      </x:c>
      <x:c r="D38" s="4" t="str">
        <x:v>期货套利</x:v>
      </x:c>
      <x:c r="E38" s="4" t="str">
        <x:v>广西银瓴资产</x:v>
      </x:c>
      <x:c r="F38" s="83" t="n">
        <x:v>44440</x:v>
      </x:c>
      <x:c r="G38" s="84" t="n">
        <x:v>0.20440000000000003</x:v>
      </x:c>
      <x:c r="H38" s="84" t="n">
        <x:v>0.051100000000000007</x:v>
      </x:c>
      <x:c r="I38" s="84" t="n">
        <x:v>0.3784</x:v>
      </x:c>
      <x:c r="J38" s="84" t="n">
        <x:v>0.3846</x:v>
      </x:c>
      <x:c r="K38" s="84" t="n">
        <x:v>0.11689999999999999</x:v>
      </x:c>
      <x:c r="L38" s="85" t="n">
        <x:v>0.4368</x:v>
      </x:c>
      <x:c r="M38" s="85" t="n">
        <x:v>1.7482</x:v>
      </x:c>
      <x:c r="N38" s="4" t="str">
        <x:v>沪深300</x:v>
      </x:c>
      <x:c r="O38" t="str">
        <x:v>第二表截止日未提供；净值补算截止日见R列</x:v>
      </x:c>
      <x:c r="P38" s="86" t="n">
        <x:v>46281</x:v>
      </x:c>
      <x:c r="Q38" s="87"/>
      <x:c r="R38" s="86"/>
      <x:c r="S38" s="87" t="n">
        <x:v>0.11689999999999999</x:v>
      </x:c>
    </x:row>
    <x:row r="39">
      <x:c r="A39" s="4" t="str">
        <x:v>岳皋泰山核心一号</x:v>
      </x:c>
      <x:c r="B39" s="4" t="str">
        <x:v>SSH674</x:v>
      </x:c>
      <x:c r="C39" s="4" t="str">
        <x:v>套利策略</x:v>
      </x:c>
      <x:c r="D39" s="4" t="str">
        <x:v>-</x:v>
      </x:c>
      <x:c r="E39" s="4" t="str">
        <x:v>上海岳皋投资</x:v>
      </x:c>
      <x:c r="F39" s="83" t="n">
        <x:v>44447</x:v>
      </x:c>
      <x:c r="G39" s="84" t="n">
        <x:v>0.0252</x:v>
      </x:c>
      <x:c r="H39" s="84" t="n">
        <x:v>0.029900000000000003</x:v>
      </x:c>
      <x:c r="I39" s="84" t="n">
        <x:v>0.7027</x:v>
      </x:c>
      <x:c r="J39" s="84" t="n">
        <x:v>0.6923</x:v>
      </x:c>
      <x:c r="K39" s="84" t="n">
        <x:v>0.0464</x:v>
      </x:c>
      <x:c r="L39" s="85" t="n">
        <x:v>0.6443</x:v>
      </x:c>
      <x:c r="M39" s="85" t="n">
        <x:v>0.8719</x:v>
      </x:c>
      <x:c r="N39" s="4" t="str">
        <x:v>沪深300</x:v>
      </x:c>
      <x:c r="O39" t="str">
        <x:v>第二表截止日未提供；净值补算截止日见R列</x:v>
      </x:c>
      <x:c r="P39" s="86" t="n">
        <x:v>46281</x:v>
      </x:c>
      <x:c r="Q39" s="87"/>
      <x:c r="R39" s="86"/>
      <x:c r="S39" s="87" t="n">
        <x:v>0.028900000000000002</x:v>
      </x:c>
    </x:row>
    <x:row r="40">
      <x:c r="A40" s="4" t="str">
        <x:v>龙帆恒盛稳固8号</x:v>
      </x:c>
      <x:c r="B40" s="4" t="str">
        <x:v>SSU654</x:v>
      </x:c>
      <x:c r="C40" s="4" t="str">
        <x:v>套利策略</x:v>
      </x:c>
      <x:c r="D40" s="4" t="str">
        <x:v>期货套利</x:v>
      </x:c>
      <x:c r="E40" s="4" t="str">
        <x:v>厦门龙帆资管</x:v>
      </x:c>
      <x:c r="F40" s="83" t="n">
        <x:v>44462</x:v>
      </x:c>
      <x:c r="G40" s="84" t="n">
        <x:v>0.091</x:v>
      </x:c>
      <x:c r="H40" s="84" t="n">
        <x:v>0.0528</x:v>
      </x:c>
      <x:c r="I40" s="84" t="n">
        <x:v>0.7297</x:v>
      </x:c>
      <x:c r="J40" s="84" t="n">
        <x:v>0.8462000000000001</x:v>
      </x:c>
      <x:c r="K40" s="84" t="n">
        <x:v>0.054299999999999994</x:v>
      </x:c>
      <x:c r="L40" s="85" t="n">
        <x:v>0.9731</x:v>
      </x:c>
      <x:c r="M40" s="85" t="n">
        <x:v>6.362</x:v>
      </x:c>
      <x:c r="N40" s="4" t="str">
        <x:v>沪深300</x:v>
      </x:c>
      <x:c r="O40" t="str">
        <x:v>第二表截止日未提供；净值补算截止日见R列</x:v>
      </x:c>
      <x:c r="P40" s="86" t="n">
        <x:v>46281</x:v>
      </x:c>
      <x:c r="Q40" s="87"/>
      <x:c r="R40" s="86"/>
      <x:c r="S40" s="87" t="n">
        <x:v>0.0143</x:v>
      </x:c>
    </x:row>
    <x:row r="41">
      <x:c r="A41" s="4" t="str">
        <x:v>龙帆恒盛稳固9号</x:v>
      </x:c>
      <x:c r="B41" s="4" t="str">
        <x:v>SSX605</x:v>
      </x:c>
      <x:c r="C41" s="4" t="str">
        <x:v>套利策略</x:v>
      </x:c>
      <x:c r="D41" s="4" t="str">
        <x:v>期货套利</x:v>
      </x:c>
      <x:c r="E41" s="4" t="str">
        <x:v>厦门龙帆资管</x:v>
      </x:c>
      <x:c r="F41" s="83" t="n">
        <x:v>44489</x:v>
      </x:c>
      <x:c r="G41" s="84" t="n">
        <x:v>0.0868</x:v>
      </x:c>
      <x:c r="H41" s="84" t="n">
        <x:v>0.0501</x:v>
      </x:c>
      <x:c r="I41" s="84" t="n">
        <x:v>0.7297</x:v>
      </x:c>
      <x:c r="J41" s="84" t="n">
        <x:v>0.7692</x:v>
      </x:c>
      <x:c r="K41" s="84" t="n">
        <x:v>0.013000000000000001</x:v>
      </x:c>
      <x:c r="L41" s="85" t="n">
        <x:v>3.8514</x:v>
      </x:c>
      <x:c r="M41" s="85" t="n">
        <x:v>20.6426</x:v>
      </x:c>
      <x:c r="N41" s="4" t="str">
        <x:v>沪深300</x:v>
      </x:c>
      <x:c r="O41" t="str">
        <x:v>第二表截止日未提供；净值补算截止日见R列</x:v>
      </x:c>
      <x:c r="P41" s="86" t="n">
        <x:v>46281</x:v>
      </x:c>
      <x:c r="Q41" s="87"/>
      <x:c r="R41" s="86"/>
      <x:c r="S41" s="87" t="n">
        <x:v>0.0042</x:v>
      </x:c>
    </x:row>
    <x:row r="42">
      <x:c r="A42" s="4" t="str">
        <x:v>中安鼎盛善行可转债1号</x:v>
      </x:c>
      <x:c r="B42" s="4" t="str">
        <x:v>STH005</x:v>
      </x:c>
      <x:c r="C42" s="4" t="str">
        <x:v>套利策略</x:v>
      </x:c>
      <x:c r="D42" s="4" t="str">
        <x:v>可转债套利</x:v>
      </x:c>
      <x:c r="E42" s="4" t="str">
        <x:v>深圳中安鼎盛</x:v>
      </x:c>
      <x:c r="F42" s="83" t="n">
        <x:v>44526</x:v>
      </x:c>
      <x:c r="G42" s="84" t="n">
        <x:v>-0.0645</x:v>
      </x:c>
      <x:c r="H42" s="84" t="n">
        <x:v>0.0203</x:v>
      </x:c>
      <x:c r="I42" s="84" t="n">
        <x:v>0.4865</x:v>
      </x:c>
      <x:c r="J42" s="84" t="n">
        <x:v>0.3077</x:v>
      </x:c>
      <x:c r="K42" s="84" t="n">
        <x:v>0.1042</x:v>
      </x:c>
      <x:c r="L42" s="85" t="n">
        <x:v>0.1945</x:v>
      </x:c>
      <x:c r="M42" s="85" t="n">
        <x:v>-0.8042</x:v>
      </x:c>
      <x:c r="N42" s="4" t="str">
        <x:v>沪深300</x:v>
      </x:c>
      <x:c r="O42" t="str">
        <x:v>第二表截止日未提供；净值补算截止日见R列</x:v>
      </x:c>
      <x:c r="P42" s="86" t="n">
        <x:v>46281</x:v>
      </x:c>
      <x:c r="Q42" s="87"/>
      <x:c r="R42" s="86"/>
      <x:c r="S42" s="87" t="n">
        <x:v>0.0802</x:v>
      </x:c>
    </x:row>
    <x:row r="43">
      <x:c r="A43" s="4" t="str">
        <x:v>九招真格量化商品套利一号</x:v>
      </x:c>
      <x:c r="B43" s="4" t="str">
        <x:v>STK200</x:v>
      </x:c>
      <x:c r="C43" s="4" t="str">
        <x:v>套利策略</x:v>
      </x:c>
      <x:c r="D43" s="4" t="str">
        <x:v>期货套利</x:v>
      </x:c>
      <x:c r="E43" s="4" t="str">
        <x:v>武汉九招</x:v>
      </x:c>
      <x:c r="F43" s="83" t="n">
        <x:v>44543</x:v>
      </x:c>
      <x:c r="G43" s="84" t="n">
        <x:v>0.10890000000000001</x:v>
      </x:c>
      <x:c r="H43" s="84" t="n">
        <x:v>0.08439999999999999</x:v>
      </x:c>
      <x:c r="I43" s="84" t="n">
        <x:v>0.6486</x:v>
      </x:c>
      <x:c r="J43" s="84" t="n">
        <x:v>0.46149999999999997</x:v>
      </x:c>
      <x:c r="K43" s="84" t="n">
        <x:v>0.0322</x:v>
      </x:c>
      <x:c r="L43" s="85" t="n">
        <x:v>2.6184</x:v>
      </x:c>
      <x:c r="M43" s="85" t="n">
        <x:v>6.2862</x:v>
      </x:c>
      <x:c r="N43" s="4" t="str">
        <x:v>沪深300</x:v>
      </x:c>
      <x:c r="O43" t="str">
        <x:v>第二表截止日未提供；净值补算截止日见R列</x:v>
      </x:c>
      <x:c r="P43" s="86" t="n">
        <x:v>46281</x:v>
      </x:c>
      <x:c r="Q43" s="87"/>
      <x:c r="R43" s="86"/>
      <x:c r="S43" s="87" t="n">
        <x:v>0.0173</x:v>
      </x:c>
    </x:row>
    <x:row r="44">
      <x:c r="A44" s="4" t="str">
        <x:v>博润小牛3号</x:v>
      </x:c>
      <x:c r="B44" s="4" t="str">
        <x:v>STV728</x:v>
      </x:c>
      <x:c r="C44" s="4" t="str">
        <x:v>套利策略</x:v>
      </x:c>
      <x:c r="D44" s="4" t="str">
        <x:v>基金套利</x:v>
      </x:c>
      <x:c r="E44" s="4" t="str">
        <x:v>北京博润银泰投资</x:v>
      </x:c>
      <x:c r="F44" s="83" t="n">
        <x:v>44624</x:v>
      </x:c>
      <x:c r="G44" s="84" t="n">
        <x:v>0.1383</x:v>
      </x:c>
      <x:c r="H44" s="84" t="n">
        <x:v>0.16620000000000001</x:v>
      </x:c>
      <x:c r="I44" s="84" t="n">
        <x:v>0.8378</x:v>
      </x:c>
      <x:c r="J44" s="84" t="n">
        <x:v>0.7692</x:v>
      </x:c>
      <x:c r="K44" s="84" t="n">
        <x:v>0.0223</x:v>
      </x:c>
      <x:c r="L44" s="85" t="n">
        <x:v>7.4562</x:v>
      </x:c>
      <x:c r="M44" s="85" t="n">
        <x:v>6.4275</x:v>
      </x:c>
      <x:c r="N44" s="4" t="str">
        <x:v>沪深300</x:v>
      </x:c>
      <x:c r="O44" t="str">
        <x:v>第二表截止日未提供；净值补算截止日见R列</x:v>
      </x:c>
      <x:c r="P44" s="86" t="n">
        <x:v>46281</x:v>
      </x:c>
      <x:c r="Q44" s="87"/>
      <x:c r="R44" s="86"/>
      <x:c r="S44" s="87" t="n">
        <x:v>0.0215</x:v>
      </x:c>
    </x:row>
    <x:row r="45">
      <x:c r="A45" s="4" t="str">
        <x:v>银杏善投1号</x:v>
      </x:c>
      <x:c r="B45" s="4" t="str">
        <x:v>STK219</x:v>
      </x:c>
      <x:c r="C45" s="4" t="str">
        <x:v>套利策略</x:v>
      </x:c>
      <x:c r="D45" s="4" t="str">
        <x:v>期货套利</x:v>
      </x:c>
      <x:c r="E45" s="4" t="str">
        <x:v>上海银杏</x:v>
      </x:c>
      <x:c r="F45" s="83" t="n">
        <x:v>44617</x:v>
      </x:c>
      <x:c r="G45" s="84" t="n">
        <x:v>0.0103</x:v>
      </x:c>
      <x:c r="H45" s="84" t="n">
        <x:v>0.0424</x:v>
      </x:c>
      <x:c r="I45" s="84" t="n">
        <x:v>0.7027</x:v>
      </x:c>
      <x:c r="J45" s="84" t="n">
        <x:v>0.6154</x:v>
      </x:c>
      <x:c r="K45" s="84" t="n">
        <x:v>0.19039999999999999</x:v>
      </x:c>
      <x:c r="L45" s="85" t="n">
        <x:v>0.2229</x:v>
      </x:c>
      <x:c r="M45" s="85" t="n">
        <x:v>0.0539</x:v>
      </x:c>
      <x:c r="N45" s="4" t="str">
        <x:v>沪深300</x:v>
      </x:c>
      <x:c r="O45" t="str">
        <x:v>第二表截止日未提供；净值补算截止日见R列</x:v>
      </x:c>
      <x:c r="P45" s="86" t="n">
        <x:v>46281</x:v>
      </x:c>
      <x:c r="Q45" s="87"/>
      <x:c r="R45" s="86"/>
      <x:c r="S45" s="87" t="n">
        <x:v>0.19039999999999999</x:v>
      </x:c>
    </x:row>
    <x:row r="46">
      <x:c r="A46" s="4" t="str">
        <x:v>悬铃C号9期</x:v>
      </x:c>
      <x:c r="B46" s="4" t="str">
        <x:v>SVH343</x:v>
      </x:c>
      <x:c r="C46" s="4" t="str">
        <x:v>套利策略</x:v>
      </x:c>
      <x:c r="D46" s="4" t="str">
        <x:v>可转债套利</x:v>
      </x:c>
      <x:c r="E46" s="4" t="str">
        <x:v>上海悬铃</x:v>
      </x:c>
      <x:c r="F46" s="83" t="n">
        <x:v>44671</x:v>
      </x:c>
      <x:c r="G46" s="84" t="n">
        <x:v>0.0658</x:v>
      </x:c>
      <x:c r="H46" s="84" t="n">
        <x:v>0.10679999999999999</x:v>
      </x:c>
      <x:c r="I46" s="84" t="n">
        <x:v>0.7027</x:v>
      </x:c>
      <x:c r="J46" s="84" t="n">
        <x:v>0.6154</x:v>
      </x:c>
      <x:c r="K46" s="84" t="n">
        <x:v>0.083</x:v>
      </x:c>
      <x:c r="L46" s="85" t="n">
        <x:v>1.2867</x:v>
      </x:c>
      <x:c r="M46" s="85" t="n">
        <x:v>1.8469</x:v>
      </x:c>
      <x:c r="N46" s="4" t="str">
        <x:v>沪深300</x:v>
      </x:c>
      <x:c r="O46" t="str">
        <x:v>第二表截止日未提供；净值补算截止日见R列</x:v>
      </x:c>
      <x:c r="P46" s="86" t="n">
        <x:v>46281</x:v>
      </x:c>
      <x:c r="Q46" s="87"/>
      <x:c r="R46" s="86"/>
      <x:c r="S46" s="87" t="n">
        <x:v>0.0356</x:v>
      </x:c>
    </x:row>
    <x:row r="47">
      <x:c r="A47" s="4" t="str">
        <x:v>爱凡哲AH多空1号</x:v>
      </x:c>
      <x:c r="B47" s="4" t="str">
        <x:v>SVM785</x:v>
      </x:c>
      <x:c r="C47" s="4" t="str">
        <x:v>套利策略</x:v>
      </x:c>
      <x:c r="D47" s="4" t="str">
        <x:v>-</x:v>
      </x:c>
      <x:c r="E47" s="4" t="str">
        <x:v>爱凡哲投资</x:v>
      </x:c>
      <x:c r="F47" s="83" t="n">
        <x:v>44673</x:v>
      </x:c>
      <x:c r="G47" s="84" t="n">
        <x:v>0.0794</x:v>
      </x:c>
      <x:c r="H47" s="84" t="n">
        <x:v>0.1005</x:v>
      </x:c>
      <x:c r="I47" s="84" t="n">
        <x:v>0.8649</x:v>
      </x:c>
      <x:c r="J47" s="84" t="n">
        <x:v>0.9231</x:v>
      </x:c>
      <x:c r="K47" s="84" t="n">
        <x:v>0.0204</x:v>
      </x:c>
      <x:c r="L47" s="85" t="n">
        <x:v>4.9175</x:v>
      </x:c>
      <x:c r="M47" s="85" t="n">
        <x:v>6.2465</x:v>
      </x:c>
      <x:c r="N47" s="4" t="str">
        <x:v>沪深300</x:v>
      </x:c>
      <x:c r="O47" t="str">
        <x:v>第二表截止日未提供；净值补算截止日见R列</x:v>
      </x:c>
      <x:c r="P47" s="86" t="n">
        <x:v>46281</x:v>
      </x:c>
      <x:c r="Q47" s="87"/>
      <x:c r="R47" s="86"/>
      <x:c r="S47" s="87" t="n">
        <x:v>0.0127</x:v>
      </x:c>
    </x:row>
    <x:row r="48">
      <x:c r="A48" s="4" t="str">
        <x:v>钧誉酬勤量化3号</x:v>
      </x:c>
      <x:c r="B48" s="4" t="str">
        <x:v>SVP121</x:v>
      </x:c>
      <x:c r="C48" s="4" t="str">
        <x:v>套利策略</x:v>
      </x:c>
      <x:c r="D48" s="4" t="str">
        <x:v>期货套利</x:v>
      </x:c>
      <x:c r="E48" s="4" t="str">
        <x:v>珠海钧誉资管</x:v>
      </x:c>
      <x:c r="F48" s="83" t="n">
        <x:v>44686</x:v>
      </x:c>
      <x:c r="G48" s="84" t="n">
        <x:v>0.0632</x:v>
      </x:c>
      <x:c r="H48" s="84" t="n">
        <x:v>0.0521</x:v>
      </x:c>
      <x:c r="I48" s="84" t="n">
        <x:v>0.7297</x:v>
      </x:c>
      <x:c r="J48" s="84" t="n">
        <x:v>0.9231</x:v>
      </x:c>
      <x:c r="K48" s="84" t="n">
        <x:v>0.013600000000000001</x:v>
      </x:c>
      <x:c r="L48" s="85" t="n">
        <x:v>3.8345</x:v>
      </x:c>
      <x:c r="M48" s="85" t="n">
        <x:v>5.7719</x:v>
      </x:c>
      <x:c r="N48" s="4" t="str">
        <x:v>沪深300</x:v>
      </x:c>
      <x:c r="O48" t="str">
        <x:v>第二表截止日未提供；净值补算截止日见R列</x:v>
      </x:c>
      <x:c r="P48" s="86" t="n">
        <x:v>46281</x:v>
      </x:c>
      <x:c r="Q48" s="87"/>
      <x:c r="R48" s="86"/>
      <x:c r="S48" s="87" t="n">
        <x:v>0.0109</x:v>
      </x:c>
    </x:row>
    <x:row r="49">
      <x:c r="A49" s="4" t="str">
        <x:v>汇富联合日盈12号</x:v>
      </x:c>
      <x:c r="B49" s="4" t="str">
        <x:v>SVQ519</x:v>
      </x:c>
      <x:c r="C49" s="4" t="str">
        <x:v>套利策略</x:v>
      </x:c>
      <x:c r="D49" s="4" t="str">
        <x:v>期货套利</x:v>
      </x:c>
      <x:c r="E49" s="4" t="str">
        <x:v>深圳前海汇富联合</x:v>
      </x:c>
      <x:c r="F49" s="83" t="n">
        <x:v>44693</x:v>
      </x:c>
      <x:c r="G49" s="84" t="n">
        <x:v>0.2827</x:v>
      </x:c>
      <x:c r="H49" s="84" t="n">
        <x:v>0.08689999999999999</x:v>
      </x:c>
      <x:c r="I49" s="84" t="n">
        <x:v>0.7837999999999999</x:v>
      </x:c>
      <x:c r="J49" s="84" t="n">
        <x:v>0.8462000000000001</x:v>
      </x:c>
      <x:c r="K49" s="84" t="n">
        <x:v>0.0575</x:v>
      </x:c>
      <x:c r="L49" s="85" t="n">
        <x:v>1.5108</x:v>
      </x:c>
      <x:c r="M49" s="85" t="n">
        <x:v>15.5616</x:v>
      </x:c>
      <x:c r="N49" s="4" t="str">
        <x:v>沪深300</x:v>
      </x:c>
      <x:c r="O49" t="str">
        <x:v>第二表截止日未提供；净值补算截止日见R列</x:v>
      </x:c>
      <x:c r="P49" s="86" t="n">
        <x:v>46281</x:v>
      </x:c>
      <x:c r="Q49" s="87"/>
      <x:c r="R49" s="86"/>
      <x:c r="S49" s="87" t="n">
        <x:v>0.0182</x:v>
      </x:c>
    </x:row>
    <x:row r="50">
      <x:c r="A50" s="4" t="str">
        <x:v>融相慎远一号</x:v>
      </x:c>
      <x:c r="B50" s="4" t="str">
        <x:v>SVK536</x:v>
      </x:c>
      <x:c r="C50" s="4" t="str">
        <x:v>套利策略</x:v>
      </x:c>
      <x:c r="D50" s="4" t="str">
        <x:v>-</x:v>
      </x:c>
      <x:c r="E50" s="4" t="str">
        <x:v>海南融相</x:v>
      </x:c>
      <x:c r="F50" s="83" t="n">
        <x:v>44690</x:v>
      </x:c>
      <x:c r="G50" s="84" t="n">
        <x:v>-0.0025</x:v>
      </x:c>
      <x:c r="H50" s="84" t="n">
        <x:v>0.0449</x:v>
      </x:c>
      <x:c r="I50" s="84" t="n">
        <x:v>0.7297</x:v>
      </x:c>
      <x:c r="J50" s="84" t="n">
        <x:v>0.6154</x:v>
      </x:c>
      <x:c r="K50" s="84" t="n">
        <x:v>0.0653</x:v>
      </x:c>
      <x:c r="L50" s="85" t="n">
        <x:v>0.6883</x:v>
      </x:c>
      <x:c r="M50" s="85" t="n">
        <x:v>-0.0388</x:v>
      </x:c>
      <x:c r="N50" s="4" t="str">
        <x:v>沪深300</x:v>
      </x:c>
      <x:c r="O50" t="str">
        <x:v>第二表截止日未提供；净值补算截止日见R列</x:v>
      </x:c>
      <x:c r="P50" s="86" t="n">
        <x:v>46281</x:v>
      </x:c>
      <x:c r="Q50" s="87"/>
      <x:c r="R50" s="86"/>
      <x:c r="S50" s="87" t="n">
        <x:v>0.0653</x:v>
      </x:c>
    </x:row>
    <x:row r="51">
      <x:c r="A51" s="4" t="str">
        <x:v>晨翰11号</x:v>
      </x:c>
      <x:c r="B51" s="4" t="str">
        <x:v>SVT598</x:v>
      </x:c>
      <x:c r="C51" s="4" t="str">
        <x:v>套利策略</x:v>
      </x:c>
      <x:c r="D51" s="4" t="str">
        <x:v>期货套利</x:v>
      </x:c>
      <x:c r="E51" s="4" t="str">
        <x:v>晋江晨翰</x:v>
      </x:c>
      <x:c r="F51" s="83" t="n">
        <x:v>44722</x:v>
      </x:c>
      <x:c r="G51" s="84" t="n">
        <x:v>0.0347</x:v>
      </x:c>
      <x:c r="H51" s="84" t="n">
        <x:v>0.034300000000000004</x:v>
      </x:c>
      <x:c r="I51" s="84" t="n">
        <x:v>0.6486</x:v>
      </x:c>
      <x:c r="J51" s="84" t="n">
        <x:v>0.6154</x:v>
      </x:c>
      <x:c r="K51" s="84" t="n">
        <x:v>0.0239</x:v>
      </x:c>
      <x:c r="L51" s="85" t="n">
        <x:v>1.4362</x:v>
      </x:c>
      <x:c r="M51" s="85" t="n">
        <x:v>2.2803</x:v>
      </x:c>
      <x:c r="N51" s="4" t="str">
        <x:v>沪深300</x:v>
      </x:c>
      <x:c r="O51" t="str">
        <x:v>第二表截止日未提供；净值补算截止日见R列</x:v>
      </x:c>
      <x:c r="P51" s="86" t="n">
        <x:v>46281</x:v>
      </x:c>
      <x:c r="Q51" s="87"/>
      <x:c r="R51" s="86"/>
      <x:c r="S51" s="87" t="n">
        <x:v>0.0152</x:v>
      </x:c>
    </x:row>
    <x:row r="52">
      <x:c r="A52" s="4" t="str">
        <x:v>致同添利套利多策略三期</x:v>
      </x:c>
      <x:c r="B52" s="4" t="str">
        <x:v>STY632</x:v>
      </x:c>
      <x:c r="C52" s="4" t="str">
        <x:v>套利策略</x:v>
      </x:c>
      <x:c r="D52" s="4" t="str">
        <x:v>期货套利</x:v>
      </x:c>
      <x:c r="E52" s="4" t="str">
        <x:v>上海致同投资</x:v>
      </x:c>
      <x:c r="F52" s="83" t="n">
        <x:v>44770</x:v>
      </x:c>
      <x:c r="G52" s="84" t="n">
        <x:v>0.0294</x:v>
      </x:c>
      <x:c r="H52" s="84" t="n">
        <x:v>0.035699999999999996</x:v>
      </x:c>
      <x:c r="I52" s="84" t="n">
        <x:v>0.7568</x:v>
      </x:c>
      <x:c r="J52" s="84" t="n">
        <x:v>0.7692</x:v>
      </x:c>
      <x:c r="K52" s="84" t="n">
        <x:v>0.0085</x:v>
      </x:c>
      <x:c r="L52" s="85" t="n">
        <x:v>4.2133</x:v>
      </x:c>
      <x:c r="M52" s="85" t="n">
        <x:v>3.4659</x:v>
      </x:c>
      <x:c r="N52" s="4" t="str">
        <x:v>沪深300</x:v>
      </x:c>
      <x:c r="O52" t="str">
        <x:v>第二表截止日未提供；净值补算截止日见R列</x:v>
      </x:c>
      <x:c r="P52" s="86" t="n">
        <x:v>46281</x:v>
      </x:c>
      <x:c r="Q52" s="87"/>
      <x:c r="R52" s="86"/>
      <x:c r="S52" s="87" t="n">
        <x:v>0.0085</x:v>
      </x:c>
    </x:row>
    <x:row r="53">
      <x:c r="A53" s="4" t="str">
        <x:v>博牛转债策略2号</x:v>
      </x:c>
      <x:c r="B53" s="4" t="str">
        <x:v>SVY871</x:v>
      </x:c>
      <x:c r="C53" s="4" t="str">
        <x:v>套利策略</x:v>
      </x:c>
      <x:c r="D53" s="4" t="str">
        <x:v>可转债套利</x:v>
      </x:c>
      <x:c r="E53" s="4" t="str">
        <x:v>广州博牛</x:v>
      </x:c>
      <x:c r="F53" s="83" t="n">
        <x:v>44788</x:v>
      </x:c>
      <x:c r="G53" s="84" t="n">
        <x:v>-0.0167</x:v>
      </x:c>
      <x:c r="H53" s="84" t="n">
        <x:v>0.04190000000000001</x:v>
      </x:c>
      <x:c r="I53" s="84" t="n">
        <x:v>0.5946</x:v>
      </x:c>
      <x:c r="J53" s="84" t="n">
        <x:v>0.3077</x:v>
      </x:c>
      <x:c r="K53" s="84" t="n">
        <x:v>0.045</x:v>
      </x:c>
      <x:c r="L53" s="85" t="n">
        <x:v>0.9319</x:v>
      </x:c>
      <x:c r="M53" s="85" t="n">
        <x:v>-0.3713</x:v>
      </x:c>
      <x:c r="N53" s="4" t="str">
        <x:v>中证转债</x:v>
      </x:c>
      <x:c r="O53" t="str">
        <x:v>第二表截止日未提供；净值补算截止日见R列</x:v>
      </x:c>
      <x:c r="P53" s="86" t="n">
        <x:v>46281</x:v>
      </x:c>
      <x:c r="Q53" s="87"/>
      <x:c r="R53" s="86"/>
      <x:c r="S53" s="87" t="n">
        <x:v>0.045</x:v>
      </x:c>
    </x:row>
    <x:row r="54">
      <x:c r="A54" s="4" t="str">
        <x:v>银瓴运通致远3号五期</x:v>
      </x:c>
      <x:c r="B54" s="4" t="str">
        <x:v>SXF666</x:v>
      </x:c>
      <x:c r="C54" s="4" t="str">
        <x:v>套利策略</x:v>
      </x:c>
      <x:c r="D54" s="4" t="str">
        <x:v>混合套利</x:v>
      </x:c>
      <x:c r="E54" s="4" t="str">
        <x:v>广西银瓴资产</x:v>
      </x:c>
      <x:c r="F54" s="83" t="n">
        <x:v>44804</x:v>
      </x:c>
      <x:c r="G54" s="84" t="n">
        <x:v>-0.044800000000000006</x:v>
      </x:c>
      <x:c r="H54" s="84" t="n">
        <x:v>0.026600000000000002</x:v>
      </x:c>
      <x:c r="I54" s="84" t="n">
        <x:v>0.5135000000000001</x:v>
      </x:c>
      <x:c r="J54" s="84" t="n">
        <x:v>0.3077</x:v>
      </x:c>
      <x:c r="K54" s="84" t="n">
        <x:v>0.0858</x:v>
      </x:c>
      <x:c r="L54" s="85" t="n">
        <x:v>0.31</x:v>
      </x:c>
      <x:c r="M54" s="85" t="n">
        <x:v>-0.5652</x:v>
      </x:c>
      <x:c r="N54" s="4" t="str">
        <x:v>沪深300</x:v>
      </x:c>
      <x:c r="O54" t="str">
        <x:v>第二表截止日未提供；净值补算截止日见R列</x:v>
      </x:c>
      <x:c r="P54" s="86" t="n">
        <x:v>46281</x:v>
      </x:c>
      <x:c r="Q54" s="87"/>
      <x:c r="R54" s="86"/>
      <x:c r="S54" s="87" t="n">
        <x:v>0.0793</x:v>
      </x:c>
    </x:row>
    <x:row r="55">
      <x:c r="A55" s="4" t="str">
        <x:v>汉盛浩远1号</x:v>
      </x:c>
      <x:c r="B55" s="4" t="str">
        <x:v>SXE156</x:v>
      </x:c>
      <x:c r="C55" s="4" t="str">
        <x:v>套利策略</x:v>
      </x:c>
      <x:c r="D55" s="4" t="str">
        <x:v>可转债套利</x:v>
      </x:c>
      <x:c r="E55" s="4" t="str">
        <x:v>上海汉鸿</x:v>
      </x:c>
      <x:c r="F55" s="83" t="n">
        <x:v>44810</x:v>
      </x:c>
      <x:c r="G55" s="84" t="n">
        <x:v>0.0084</x:v>
      </x:c>
      <x:c r="H55" s="84" t="n">
        <x:v>0.1561</x:v>
      </x:c>
      <x:c r="I55" s="84" t="n">
        <x:v>0.7297</x:v>
      </x:c>
      <x:c r="J55" s="84" t="n">
        <x:v>0.6154</x:v>
      </x:c>
      <x:c r="K55" s="84" t="n">
        <x:v>0.11789999999999999</x:v>
      </x:c>
      <x:c r="L55" s="85" t="n">
        <x:v>1.3236</x:v>
      </x:c>
      <x:c r="M55" s="85" t="n">
        <x:v>0.092</x:v>
      </x:c>
      <x:c r="N55" s="4" t="str">
        <x:v>沪深300</x:v>
      </x:c>
      <x:c r="O55" t="str">
        <x:v>第二表截止日未提供；净值补算截止日见R列</x:v>
      </x:c>
      <x:c r="P55" s="86" t="n">
        <x:v>46281</x:v>
      </x:c>
      <x:c r="Q55" s="87"/>
      <x:c r="R55" s="86"/>
      <x:c r="S55" s="87" t="n">
        <x:v>0.09179999999999999</x:v>
      </x:c>
    </x:row>
    <x:row r="56">
      <x:c r="A56" s="4" t="str">
        <x:v>泽盈毅明1号</x:v>
      </x:c>
      <x:c r="B56" s="4" t="str">
        <x:v>STP012</x:v>
      </x:c>
      <x:c r="C56" s="4" t="str">
        <x:v>套利策略</x:v>
      </x:c>
      <x:c r="D56" s="4" t="str">
        <x:v>基金套利</x:v>
      </x:c>
      <x:c r="E56" s="4" t="str">
        <x:v>青岛泽盈资管</x:v>
      </x:c>
      <x:c r="F56" s="83" t="n">
        <x:v>44851</x:v>
      </x:c>
      <x:c r="G56" s="84" t="n">
        <x:v>0.0373</x:v>
      </x:c>
      <x:c r="H56" s="84" t="n">
        <x:v>0.2303</x:v>
      </x:c>
      <x:c r="I56" s="84" t="n">
        <x:v>0.8108</x:v>
      </x:c>
      <x:c r="J56" s="84" t="n">
        <x:v>0.7692</x:v>
      </x:c>
      <x:c r="K56" s="84" t="n">
        <x:v>0.0347</x:v>
      </x:c>
      <x:c r="L56" s="85" t="n">
        <x:v>6.6333</x:v>
      </x:c>
      <x:c r="M56" s="85" t="n">
        <x:v>10.1131</x:v>
      </x:c>
      <x:c r="N56" s="4" t="str">
        <x:v>沪深300</x:v>
      </x:c>
      <x:c r="O56" t="str">
        <x:v>第二表截止日未提供；净值补算截止日见R列</x:v>
      </x:c>
      <x:c r="P56" s="86" t="n">
        <x:v>46281</x:v>
      </x:c>
      <x:c r="Q56" s="87"/>
      <x:c r="R56" s="86"/>
      <x:c r="S56" s="87" t="n">
        <x:v>0.0037</x:v>
      </x:c>
    </x:row>
    <x:row r="57">
      <x:c r="A57" s="4" t="str">
        <x:v>银杏善利3号</x:v>
      </x:c>
      <x:c r="B57" s="4" t="str">
        <x:v>SXN943</x:v>
      </x:c>
      <x:c r="C57" s="4" t="str">
        <x:v>套利策略</x:v>
      </x:c>
      <x:c r="D57" s="4" t="str">
        <x:v>期货套利</x:v>
      </x:c>
      <x:c r="E57" s="4" t="str">
        <x:v>上海银杏</x:v>
      </x:c>
      <x:c r="F57" s="83" t="n">
        <x:v>44853</x:v>
      </x:c>
      <x:c r="G57" s="84" t="n">
        <x:v>0.0758</x:v>
      </x:c>
      <x:c r="H57" s="84" t="n">
        <x:v>0.0701</x:v>
      </x:c>
      <x:c r="I57" s="84" t="n">
        <x:v>0.7297</x:v>
      </x:c>
      <x:c r="J57" s="84" t="n">
        <x:v>0.6154</x:v>
      </x:c>
      <x:c r="K57" s="84" t="n">
        <x:v>0.0253</x:v>
      </x:c>
      <x:c r="L57" s="85" t="n">
        <x:v>2.7666</x:v>
      </x:c>
      <x:c r="M57" s="85" t="n">
        <x:v>3.367</x:v>
      </x:c>
      <x:c r="N57" s="4" t="str">
        <x:v>沪深300</x:v>
      </x:c>
      <x:c r="O57" t="str">
        <x:v>第二表截止日未提供；净值补算截止日见R列</x:v>
      </x:c>
      <x:c r="P57" s="86" t="n">
        <x:v>46281</x:v>
      </x:c>
      <x:c r="Q57" s="87"/>
      <x:c r="R57" s="86"/>
      <x:c r="S57" s="87" t="n">
        <x:v>0.0225</x:v>
      </x:c>
    </x:row>
    <x:row r="58">
      <x:c r="A58" s="4" t="str">
        <x:v>银杏善利6号</x:v>
      </x:c>
      <x:c r="B58" s="4" t="str">
        <x:v>SXS440</x:v>
      </x:c>
      <x:c r="C58" s="4" t="str">
        <x:v>套利策略</x:v>
      </x:c>
      <x:c r="D58" s="4" t="str">
        <x:v>期货套利</x:v>
      </x:c>
      <x:c r="E58" s="4" t="str">
        <x:v>上海银杏</x:v>
      </x:c>
      <x:c r="F58" s="83" t="n">
        <x:v>44875</x:v>
      </x:c>
      <x:c r="G58" s="84" t="n">
        <x:v>0.0137</x:v>
      </x:c>
      <x:c r="H58" s="84" t="n">
        <x:v>0.0599</x:v>
      </x:c>
      <x:c r="I58" s="84" t="n">
        <x:v>0.7027</x:v>
      </x:c>
      <x:c r="J58" s="84" t="n">
        <x:v>0.6154</x:v>
      </x:c>
      <x:c r="K58" s="84" t="n">
        <x:v>0.0424</x:v>
      </x:c>
      <x:c r="L58" s="85" t="n">
        <x:v>1.4129</x:v>
      </x:c>
      <x:c r="M58" s="85" t="n">
        <x:v>0.6343</x:v>
      </x:c>
      <x:c r="N58" s="4" t="str">
        <x:v>沪深300</x:v>
      </x:c>
      <x:c r="O58" t="str">
        <x:v>第二表截止日未提供；净值补算截止日见R列</x:v>
      </x:c>
      <x:c r="P58" s="86" t="n">
        <x:v>46281</x:v>
      </x:c>
      <x:c r="Q58" s="87"/>
      <x:c r="R58" s="86"/>
      <x:c r="S58" s="87" t="n">
        <x:v>0.0217</x:v>
      </x:c>
    </x:row>
    <x:row r="59">
      <x:c r="A59" s="4" t="str">
        <x:v>博润易量稳健1号</x:v>
      </x:c>
      <x:c r="B59" s="4" t="str">
        <x:v>SXL913</x:v>
      </x:c>
      <x:c r="C59" s="4" t="str">
        <x:v>套利策略</x:v>
      </x:c>
      <x:c r="D59" s="4" t="str">
        <x:v>期货套利</x:v>
      </x:c>
      <x:c r="E59" s="4" t="str">
        <x:v>北京博润银泰投资</x:v>
      </x:c>
      <x:c r="F59" s="83" t="n">
        <x:v>44895</x:v>
      </x:c>
      <x:c r="G59" s="84" t="n">
        <x:v>0.0783</x:v>
      </x:c>
      <x:c r="H59" s="84" t="n">
        <x:v>0.0519</x:v>
      </x:c>
      <x:c r="I59" s="84" t="n">
        <x:v>0.6215999999999999</x:v>
      </x:c>
      <x:c r="J59" s="84" t="n">
        <x:v>0.5385</x:v>
      </x:c>
      <x:c r="K59" s="84" t="n">
        <x:v>0.037000000000000005</x:v>
      </x:c>
      <x:c r="L59" s="85" t="n">
        <x:v>1.4043</x:v>
      </x:c>
      <x:c r="M59" s="85" t="n">
        <x:v>2.1177</x:v>
      </x:c>
      <x:c r="N59" s="4" t="str">
        <x:v>沪深300</x:v>
      </x:c>
      <x:c r="O59" t="str">
        <x:v>第二表截止日未提供；净值补算截止日见R列</x:v>
      </x:c>
      <x:c r="P59" s="86" t="n">
        <x:v>46281</x:v>
      </x:c>
      <x:c r="Q59" s="87"/>
      <x:c r="R59" s="86"/>
      <x:c r="S59" s="87" t="n">
        <x:v>0.037000000000000005</x:v>
      </x:c>
    </x:row>
    <x:row r="60">
      <x:c r="A60" s="4" t="str">
        <x:v>金麦穗卓诚一号</x:v>
      </x:c>
      <x:c r="B60" s="4" t="str">
        <x:v>SXU186</x:v>
      </x:c>
      <x:c r="C60" s="4" t="str">
        <x:v>套利策略</x:v>
      </x:c>
      <x:c r="D60" s="4" t="str">
        <x:v>期货套利</x:v>
      </x:c>
      <x:c r="E60" s="4" t="str">
        <x:v>山东金麦穗</x:v>
      </x:c>
      <x:c r="F60" s="83" t="n">
        <x:v>44896</x:v>
      </x:c>
      <x:c r="G60" s="84" t="n">
        <x:v>0.0608</x:v>
      </x:c>
      <x:c r="H60" s="84" t="n">
        <x:v>0.0883</x:v>
      </x:c>
      <x:c r="I60" s="84" t="n">
        <x:v>0.6486</x:v>
      </x:c>
      <x:c r="J60" s="84" t="n">
        <x:v>0.46149999999999997</x:v>
      </x:c>
      <x:c r="K60" s="84" t="n">
        <x:v>0.0739</x:v>
      </x:c>
      <x:c r="L60" s="85" t="n">
        <x:v>1.1958</x:v>
      </x:c>
      <x:c r="M60" s="85" t="n">
        <x:v>1.396</x:v>
      </x:c>
      <x:c r="N60" s="4" t="str">
        <x:v>沪深300</x:v>
      </x:c>
      <x:c r="O60" t="str">
        <x:v>第二表截止日未提供；净值补算截止日见R列</x:v>
      </x:c>
      <x:c r="P60" s="86" t="n">
        <x:v>46281</x:v>
      </x:c>
      <x:c r="Q60" s="87"/>
      <x:c r="R60" s="86"/>
      <x:c r="S60" s="87" t="n">
        <x:v>0.0436</x:v>
      </x:c>
    </x:row>
    <x:row r="61">
      <x:c r="A61" s="4" t="str">
        <x:v>慕途稳健2号</x:v>
      </x:c>
      <x:c r="B61" s="4" t="str">
        <x:v>SXW938</x:v>
      </x:c>
      <x:c r="C61" s="4" t="str">
        <x:v>套利策略</x:v>
      </x:c>
      <x:c r="D61" s="4" t="str">
        <x:v>期权套利</x:v>
      </x:c>
      <x:c r="E61" s="4" t="str">
        <x:v>慕途基金</x:v>
      </x:c>
      <x:c r="F61" s="83" t="n">
        <x:v>44908</x:v>
      </x:c>
      <x:c r="G61" s="84" t="n">
        <x:v>0.07629999999999999</x:v>
      </x:c>
      <x:c r="H61" s="84" t="n">
        <x:v>0.076</x:v>
      </x:c>
      <x:c r="I61" s="84" t="n">
        <x:v>0.973</x:v>
      </x:c>
      <x:c r="J61" s="84" t="n">
        <x:v>0.9231</x:v>
      </x:c>
      <x:c r="K61" s="84" t="n">
        <x:v>0.0077</x:v>
      </x:c>
      <x:c r="L61" s="85" t="n">
        <x:v>9.8502</x:v>
      </x:c>
      <x:c r="M61" s="85" t="n">
        <x:v>9.8866</x:v>
      </x:c>
      <x:c r="N61" s="4" t="str">
        <x:v>沪深300</x:v>
      </x:c>
      <x:c r="O61" t="str">
        <x:v>第二表截止日未提供；净值补算截止日见R列</x:v>
      </x:c>
      <x:c r="P61" s="86" t="n">
        <x:v>46281</x:v>
      </x:c>
      <x:c r="Q61" s="87"/>
      <x:c r="R61" s="86"/>
      <x:c r="S61" s="87" t="n">
        <x:v>0.0077</x:v>
      </x:c>
    </x:row>
    <x:row r="62">
      <x:c r="A62" s="4" t="str">
        <x:v>佳泽信享5号</x:v>
      </x:c>
      <x:c r="B62" s="4" t="str">
        <x:v>SZC395</x:v>
      </x:c>
      <x:c r="C62" s="4" t="str">
        <x:v>套利策略</x:v>
      </x:c>
      <x:c r="D62" s="4" t="str">
        <x:v>期货套利</x:v>
      </x:c>
      <x:c r="E62" s="4" t="str">
        <x:v>海南佳泽</x:v>
      </x:c>
      <x:c r="F62" s="83" t="n">
        <x:v>44936</x:v>
      </x:c>
      <x:c r="G62" s="84" t="n">
        <x:v>0.0629</x:v>
      </x:c>
      <x:c r="H62" s="84" t="n">
        <x:v>0.0478</x:v>
      </x:c>
      <x:c r="I62" s="84" t="n">
        <x:v>0.7027</x:v>
      </x:c>
      <x:c r="J62" s="84" t="n">
        <x:v>0.8462000000000001</x:v>
      </x:c>
      <x:c r="K62" s="84" t="n">
        <x:v>0.0248</x:v>
      </x:c>
      <x:c r="L62" s="85" t="n">
        <x:v>1.9252</x:v>
      </x:c>
      <x:c r="M62" s="85" t="n">
        <x:v>6.6879</x:v>
      </x:c>
      <x:c r="N62" s="4" t="str">
        <x:v>沪深300</x:v>
      </x:c>
      <x:c r="O62" t="str">
        <x:v>第二表截止日未提供；净值补算截止日见R列</x:v>
      </x:c>
      <x:c r="P62" s="86" t="n">
        <x:v>46281</x:v>
      </x:c>
      <x:c r="Q62" s="87"/>
      <x:c r="R62" s="86"/>
      <x:c r="S62" s="87" t="n">
        <x:v>0.009399999999999999</x:v>
      </x:c>
    </x:row>
    <x:row r="63">
      <x:c r="A63" s="4" t="str">
        <x:v>衍舟弄潮2号</x:v>
      </x:c>
      <x:c r="B63" s="4" t="str">
        <x:v>SZG044</x:v>
      </x:c>
      <x:c r="C63" s="4" t="str">
        <x:v>套利策略</x:v>
      </x:c>
      <x:c r="D63" s="4" t="str">
        <x:v>混合套利</x:v>
      </x:c>
      <x:c r="E63" s="4" t="str">
        <x:v>海南衍舟</x:v>
      </x:c>
      <x:c r="F63" s="83" t="n">
        <x:v>44959</x:v>
      </x:c>
      <x:c r="G63" s="84" t="n">
        <x:v>-0.0524</x:v>
      </x:c>
      <x:c r="H63" s="84" t="n">
        <x:v>0.0242</x:v>
      </x:c>
      <x:c r="I63" s="84" t="n">
        <x:v>0.6215999999999999</x:v>
      </x:c>
      <x:c r="J63" s="84" t="n">
        <x:v>0.3077</x:v>
      </x:c>
      <x:c r="K63" s="84" t="n">
        <x:v>0.0942</x:v>
      </x:c>
      <x:c r="L63" s="85" t="n">
        <x:v>0.2572</x:v>
      </x:c>
      <x:c r="M63" s="85" t="n">
        <x:v>-0.6306</x:v>
      </x:c>
      <x:c r="N63" s="4" t="str">
        <x:v>沪深300</x:v>
      </x:c>
      <x:c r="O63" t="str">
        <x:v>第二表截止日未提供；净值补算截止日见R列</x:v>
      </x:c>
      <x:c r="P63" s="86" t="n">
        <x:v>46281</x:v>
      </x:c>
      <x:c r="Q63" s="87"/>
      <x:c r="R63" s="86"/>
      <x:c r="S63" s="87" t="n">
        <x:v>0.08310000000000001</x:v>
      </x:c>
    </x:row>
    <x:row r="64">
      <x:c r="A64" s="4" t="str">
        <x:v>银瓴汇金1号</x:v>
      </x:c>
      <x:c r="B64" s="4" t="str">
        <x:v>SZP369</x:v>
      </x:c>
      <x:c r="C64" s="4" t="str">
        <x:v>套利策略</x:v>
      </x:c>
      <x:c r="D64" s="4" t="str">
        <x:v>混合套利</x:v>
      </x:c>
      <x:c r="E64" s="4" t="str">
        <x:v>广西银瓴资产</x:v>
      </x:c>
      <x:c r="F64" s="83" t="n">
        <x:v>45006</x:v>
      </x:c>
      <x:c r="G64" s="84" t="n">
        <x:v>-0.0535</x:v>
      </x:c>
      <x:c r="H64" s="84" t="n">
        <x:v>0.0785</x:v>
      </x:c>
      <x:c r="I64" s="84" t="n">
        <x:v>0.5676</x:v>
      </x:c>
      <x:c r="J64" s="84" t="n">
        <x:v>0.6154</x:v>
      </x:c>
      <x:c r="K64" s="84" t="n">
        <x:v>0.1832</x:v>
      </x:c>
      <x:c r="L64" s="85" t="n">
        <x:v>0.4286</x:v>
      </x:c>
      <x:c r="M64" s="85" t="n">
        <x:v>-0.3524</x:v>
      </x:c>
      <x:c r="N64" s="4" t="str">
        <x:v>沪深300</x:v>
      </x:c>
      <x:c r="O64" t="str">
        <x:v>第二表截止日未提供；净值补算截止日见R列</x:v>
      </x:c>
      <x:c r="P64" s="86" t="n">
        <x:v>46281</x:v>
      </x:c>
      <x:c r="Q64" s="87"/>
      <x:c r="R64" s="86"/>
      <x:c r="S64" s="87" t="n">
        <x:v>0.1518</x:v>
      </x:c>
    </x:row>
    <x:row r="65">
      <x:c r="A65" s="4" t="str">
        <x:v>砚博乘风量化14号</x:v>
      </x:c>
      <x:c r="B65" s="4" t="str">
        <x:v>SZN225</x:v>
      </x:c>
      <x:c r="C65" s="4" t="str">
        <x:v>套利策略</x:v>
      </x:c>
      <x:c r="D65" s="4" t="str">
        <x:v>基金套利</x:v>
      </x:c>
      <x:c r="E65" s="4" t="str">
        <x:v>深圳前海砚博乘风资管</x:v>
      </x:c>
      <x:c r="F65" s="83" t="n">
        <x:v>44992</x:v>
      </x:c>
      <x:c r="G65" s="84" t="n">
        <x:v>0.0277</x:v>
      </x:c>
      <x:c r="H65" s="84" t="n">
        <x:v>0.0219</x:v>
      </x:c>
      <x:c r="I65" s="84" t="n">
        <x:v>0.6486</x:v>
      </x:c>
      <x:c r="J65" s="84" t="n">
        <x:v>0.6154</x:v>
      </x:c>
      <x:c r="K65" s="84" t="n">
        <x:v>0.053899999999999997</x:v>
      </x:c>
      <x:c r="L65" s="85" t="n">
        <x:v>0.407</x:v>
      </x:c>
      <x:c r="M65" s="85" t="n">
        <x:v>1.2327</x:v>
      </x:c>
      <x:c r="N65" s="4" t="str">
        <x:v>沪深300</x:v>
      </x:c>
      <x:c r="O65" t="str">
        <x:v>第二表截止日未提供；净值补算截止日见R列</x:v>
      </x:c>
      <x:c r="P65" s="86" t="n">
        <x:v>46281</x:v>
      </x:c>
      <x:c r="Q65" s="87"/>
      <x:c r="R65" s="86"/>
      <x:c r="S65" s="87" t="n">
        <x:v>0.0225</x:v>
      </x:c>
    </x:row>
    <x:row r="66">
      <x:c r="A66" s="4" t="str">
        <x:v>平凡凡响二号</x:v>
      </x:c>
      <x:c r="B66" s="4" t="str">
        <x:v>SZU727</x:v>
      </x:c>
      <x:c r="C66" s="4" t="str">
        <x:v>套利策略</x:v>
      </x:c>
      <x:c r="D66" s="4" t="str">
        <x:v>基金套利</x:v>
      </x:c>
      <x:c r="E66" s="4" t="str">
        <x:v>北京平凡</x:v>
      </x:c>
      <x:c r="F66" s="83" t="n">
        <x:v>45023</x:v>
      </x:c>
      <x:c r="G66" s="84" t="n">
        <x:v>0.085</x:v>
      </x:c>
      <x:c r="H66" s="84" t="n">
        <x:v>0.049100000000000005</x:v>
      </x:c>
      <x:c r="I66" s="84" t="n">
        <x:v>0.8649</x:v>
      </x:c>
      <x:c r="J66" s="84" t="n">
        <x:v>1</x:v>
      </x:c>
      <x:c r="K66" s="84" t="n">
        <x:v>0.0068000000000000005</x:v>
      </x:c>
      <x:c r="L66" s="85" t="n">
        <x:v>7.1749</x:v>
      </x:c>
      <x:c r="M66" s="85" t="n">
        <x:v>65.2953</x:v>
      </x:c>
      <x:c r="N66" s="4" t="str">
        <x:v>沪深300</x:v>
      </x:c>
      <x:c r="O66" t="str">
        <x:v>第二表截止日未提供；净值补算截止日见R列</x:v>
      </x:c>
      <x:c r="P66" s="86" t="n">
        <x:v>46281</x:v>
      </x:c>
      <x:c r="Q66" s="87"/>
      <x:c r="R66" s="86"/>
      <x:c r="S66" s="87" t="n">
        <x:v>0.0013</x:v>
      </x:c>
    </x:row>
    <x:row r="67">
      <x:c r="A67" s="4" t="str">
        <x:v>鑫泰禾汇投1号</x:v>
      </x:c>
      <x:c r="B67" s="4" t="str">
        <x:v>SZP735</x:v>
      </x:c>
      <x:c r="C67" s="4" t="str">
        <x:v>套利策略</x:v>
      </x:c>
      <x:c r="D67" s="4" t="str">
        <x:v>基金套利</x:v>
      </x:c>
      <x:c r="E67" s="4" t="str">
        <x:v>深圳鑫泰禾</x:v>
      </x:c>
      <x:c r="F67" s="83" t="n">
        <x:v>44998</x:v>
      </x:c>
      <x:c r="G67" s="84" t="n">
        <x:v>0.0481</x:v>
      </x:c>
      <x:c r="H67" s="84" t="n">
        <x:v>0.1013</x:v>
      </x:c>
      <x:c r="I67" s="84" t="n">
        <x:v>0.6757</x:v>
      </x:c>
      <x:c r="J67" s="84" t="n">
        <x:v>0.6923</x:v>
      </x:c>
      <x:c r="K67" s="84" t="n">
        <x:v>0.0922</x:v>
      </x:c>
      <x:c r="L67" s="85" t="n">
        <x:v>1.0979</x:v>
      </x:c>
      <x:c r="M67" s="85" t="n">
        <x:v>6.1503</x:v>
      </x:c>
      <x:c r="N67" s="4" t="str">
        <x:v>沪深300</x:v>
      </x:c>
      <x:c r="O67" t="str">
        <x:v>第二表截止日未提供；净值补算截止日见R列</x:v>
      </x:c>
      <x:c r="P67" s="86" t="n">
        <x:v>46281</x:v>
      </x:c>
      <x:c r="Q67" s="87"/>
      <x:c r="R67" s="86"/>
      <x:c r="S67" s="87" t="n">
        <x:v>0.0078000000000000005</x:v>
      </x:c>
    </x:row>
    <x:row r="68">
      <x:c r="A68" s="4" t="str">
        <x:v>金和和善对冲5号</x:v>
      </x:c>
      <x:c r="B68" s="4" t="str">
        <x:v>SZX748</x:v>
      </x:c>
      <x:c r="C68" s="4" t="str">
        <x:v>套利策略</x:v>
      </x:c>
      <x:c r="D68" s="4" t="str">
        <x:v>基金套利</x:v>
      </x:c>
      <x:c r="E68" s="4" t="str">
        <x:v>上海金和晟</x:v>
      </x:c>
      <x:c r="F68" s="83" t="n">
        <x:v>45042</x:v>
      </x:c>
      <x:c r="G68" s="84" t="n">
        <x:v>0.046900000000000004</x:v>
      </x:c>
      <x:c r="H68" s="84" t="n">
        <x:v>0.1085</x:v>
      </x:c>
      <x:c r="I68" s="84" t="n">
        <x:v>0.8378</x:v>
      </x:c>
      <x:c r="J68" s="84" t="n">
        <x:v>0.7692</x:v>
      </x:c>
      <x:c r="K68" s="84" t="n">
        <x:v>0.0116</x:v>
      </x:c>
      <x:c r="L68" s="85" t="n">
        <x:v>9.3586</x:v>
      </x:c>
      <x:c r="M68" s="85" t="n">
        <x:v>4.0479</x:v>
      </x:c>
      <x:c r="N68" s="4" t="str">
        <x:v>沪深300</x:v>
      </x:c>
      <x:c r="O68" t="str">
        <x:v>第二表截止日未提供；净值补算截止日见R列</x:v>
      </x:c>
      <x:c r="P68" s="86" t="n">
        <x:v>46281</x:v>
      </x:c>
      <x:c r="Q68" s="87"/>
      <x:c r="R68" s="86"/>
      <x:c r="S68" s="87" t="n">
        <x:v>0.0116</x:v>
      </x:c>
    </x:row>
    <x:row r="69">
      <x:c r="A69" s="4" t="str">
        <x:v>银瓴汇金3号</x:v>
      </x:c>
      <x:c r="B69" s="4" t="str">
        <x:v>S03979</x:v>
      </x:c>
      <x:c r="C69" s="4" t="str">
        <x:v>套利策略</x:v>
      </x:c>
      <x:c r="D69" s="4" t="str">
        <x:v>期货套利</x:v>
      </x:c>
      <x:c r="E69" s="4" t="str">
        <x:v>广西银瓴资产</x:v>
      </x:c>
      <x:c r="F69" s="83" t="n">
        <x:v>45065</x:v>
      </x:c>
      <x:c r="G69" s="84" t="n">
        <x:v>-0.041299999999999996</x:v>
      </x:c>
      <x:c r="H69" s="84" t="n">
        <x:v>0.0116</x:v>
      </x:c>
      <x:c r="I69" s="84" t="n">
        <x:v>0.5135000000000001</x:v>
      </x:c>
      <x:c r="J69" s="84" t="n">
        <x:v>0.3846</x:v>
      </x:c>
      <x:c r="K69" s="84" t="n">
        <x:v>0.12269999999999999</x:v>
      </x:c>
      <x:c r="L69" s="85" t="n">
        <x:v>0.0946</x:v>
      </x:c>
      <x:c r="M69" s="85" t="n">
        <x:v>-0.3364</x:v>
      </x:c>
      <x:c r="N69" s="4" t="str">
        <x:v>沪深300</x:v>
      </x:c>
      <x:c r="O69" t="str">
        <x:v>第二表截止日未提供；净值补算截止日见R列</x:v>
      </x:c>
      <x:c r="P69" s="86" t="n">
        <x:v>46281</x:v>
      </x:c>
      <x:c r="Q69" s="87"/>
      <x:c r="R69" s="86"/>
      <x:c r="S69" s="87" t="n">
        <x:v>0.12269999999999999</x:v>
      </x:c>
    </x:row>
    <x:row r="70">
      <x:c r="A70" s="4" t="str">
        <x:v>奶酪鑫鑫宝二号</x:v>
      </x:c>
      <x:c r="B70" s="4" t="str">
        <x:v>SB2838</x:v>
      </x:c>
      <x:c r="C70" s="4" t="str">
        <x:v>套利策略</x:v>
      </x:c>
      <x:c r="D70" s="4" t="str">
        <x:v>期货套利</x:v>
      </x:c>
      <x:c r="E70" s="4" t="str">
        <x:v>广东奶酪</x:v>
      </x:c>
      <x:c r="F70" s="83" t="n">
        <x:v>45092</x:v>
      </x:c>
      <x:c r="G70" s="84" t="n">
        <x:v>0.0669</x:v>
      </x:c>
      <x:c r="H70" s="84" t="n">
        <x:v>0.047400000000000005</x:v>
      </x:c>
      <x:c r="I70" s="84" t="n">
        <x:v>1</x:v>
      </x:c>
      <x:c r="J70" s="84" t="n">
        <x:v>1</x:v>
      </x:c>
      <x:c r="K70" s="84" t="n">
        <x:v>0</x:v>
      </x:c>
      <x:c r="L70" s="85"/>
      <x:c r="M70" s="85"/>
      <x:c r="N70" s="4" t="str">
        <x:v>沪深300</x:v>
      </x:c>
      <x:c r="O70" t="str">
        <x:v>第二表截止日未提供；净值补算截止日见R列</x:v>
      </x:c>
      <x:c r="P70" s="86" t="n">
        <x:v>46281</x:v>
      </x:c>
      <x:c r="Q70" s="87"/>
      <x:c r="R70" s="86"/>
      <x:c r="S70" s="87" t="n">
        <x:v>0</x:v>
      </x:c>
    </x:row>
    <x:row r="71">
      <x:c r="A71" s="4" t="str">
        <x:v>岳皋泰山核心一号B类</x:v>
      </x:c>
      <x:c r="B71" s="4" t="str">
        <x:v>SH674B</x:v>
      </x:c>
      <x:c r="C71" s="4" t="str">
        <x:v>套利策略</x:v>
      </x:c>
      <x:c r="D71" s="4" t="str">
        <x:v>-</x:v>
      </x:c>
      <x:c r="E71" s="4" t="str">
        <x:v>上海岳皋投资</x:v>
      </x:c>
      <x:c r="F71" s="83" t="n">
        <x:v>44447</x:v>
      </x:c>
      <x:c r="G71" s="84" t="n">
        <x:v>0.0171</x:v>
      </x:c>
      <x:c r="H71" s="84" t="n">
        <x:v>0.0225</x:v>
      </x:c>
      <x:c r="I71" s="84" t="n">
        <x:v>0.7297</x:v>
      </x:c>
      <x:c r="J71" s="84" t="n">
        <x:v>0.6923</x:v>
      </x:c>
      <x:c r="K71" s="84" t="n">
        <x:v>0.0475</x:v>
      </x:c>
      <x:c r="L71" s="85" t="n">
        <x:v>0.4737</x:v>
      </x:c>
      <x:c r="M71" s="85" t="n">
        <x:v>0.5081</x:v>
      </x:c>
      <x:c r="N71" s="4" t="str">
        <x:v>沪深300</x:v>
      </x:c>
      <x:c r="O71" t="str">
        <x:v>第二表截止日未提供；净值补算截止日见R列</x:v>
      </x:c>
      <x:c r="P71" s="86" t="n">
        <x:v>46281</x:v>
      </x:c>
      <x:c r="Q71" s="87"/>
      <x:c r="R71" s="86"/>
      <x:c r="S71" s="87" t="n">
        <x:v>0.0336</x:v>
      </x:c>
    </x:row>
    <x:row r="72">
      <x:c r="A72" s="4" t="str">
        <x:v>韵之嘉益</x:v>
      </x:c>
      <x:c r="B72" s="4" t="str">
        <x:v>SB1775</x:v>
      </x:c>
      <x:c r="C72" s="4" t="str">
        <x:v>套利策略</x:v>
      </x:c>
      <x:c r="D72" s="4" t="str">
        <x:v>期权套利</x:v>
      </x:c>
      <x:c r="E72" s="4" t="str">
        <x:v>北京韵之</x:v>
      </x:c>
      <x:c r="F72" s="83" t="n">
        <x:v>45141</x:v>
      </x:c>
      <x:c r="G72" s="84" t="n">
        <x:v>-0.1209</x:v>
      </x:c>
      <x:c r="H72" s="84" t="n">
        <x:v>-0.055999999999999994</x:v>
      </x:c>
      <x:c r="I72" s="84" t="n">
        <x:v>0.5676</x:v>
      </x:c>
      <x:c r="J72" s="84" t="n">
        <x:v>0.46149999999999997</x:v>
      </x:c>
      <x:c r="K72" s="84" t="n">
        <x:v>0.19039999999999999</x:v>
      </x:c>
      <x:c r="L72" s="85" t="n">
        <x:v>-0.294</x:v>
      </x:c>
      <x:c r="M72" s="85" t="n">
        <x:v>-0.7939</x:v>
      </x:c>
      <x:c r="N72" s="4" t="str">
        <x:v>沪深300</x:v>
      </x:c>
      <x:c r="O72" t="str">
        <x:v>第二表截止日未提供；净值补算截止日见R列</x:v>
      </x:c>
      <x:c r="P72" s="86" t="n">
        <x:v>46281</x:v>
      </x:c>
      <x:c r="Q72" s="87"/>
      <x:c r="R72" s="86"/>
      <x:c r="S72" s="87" t="n">
        <x:v>0.1523</x:v>
      </x:c>
    </x:row>
    <x:row r="73">
      <x:c r="A73" s="4" t="str">
        <x:v>杨湜套利1号</x:v>
      </x:c>
      <x:c r="B73" s="4" t="str">
        <x:v>SB6565</x:v>
      </x:c>
      <x:c r="C73" s="4" t="str">
        <x:v>套利策略</x:v>
      </x:c>
      <x:c r="D73" s="4" t="str">
        <x:v>期货套利</x:v>
      </x:c>
      <x:c r="E73" s="4" t="str">
        <x:v>上海杨湜投资</x:v>
      </x:c>
      <x:c r="F73" s="83" t="n">
        <x:v>45156</x:v>
      </x:c>
      <x:c r="G73" s="84" t="n">
        <x:v>0.0729</x:v>
      </x:c>
      <x:c r="H73" s="84" t="n">
        <x:v>0.0802</x:v>
      </x:c>
      <x:c r="I73" s="84" t="n">
        <x:v>0.8378</x:v>
      </x:c>
      <x:c r="J73" s="84" t="n">
        <x:v>0.7692</x:v>
      </x:c>
      <x:c r="K73" s="84" t="n">
        <x:v>0.023</x:v>
      </x:c>
      <x:c r="L73" s="85" t="n">
        <x:v>3.4842</x:v>
      </x:c>
      <x:c r="M73" s="85" t="n">
        <x:v>3.3072</x:v>
      </x:c>
      <x:c r="N73" s="4" t="str">
        <x:v>沪深300</x:v>
      </x:c>
      <x:c r="O73" t="str">
        <x:v>第二表截止日未提供；净值补算截止日见R列</x:v>
      </x:c>
      <x:c r="P73" s="86" t="n">
        <x:v>46281</x:v>
      </x:c>
      <x:c r="Q73" s="87"/>
      <x:c r="R73" s="86"/>
      <x:c r="S73" s="87" t="n">
        <x:v>0.022000000000000002</x:v>
      </x:c>
    </x:row>
    <x:row r="74">
      <x:c r="A74" s="4" t="str">
        <x:v>奶酪平价套利稳健一号</x:v>
      </x:c>
      <x:c r="B74" s="4" t="str">
        <x:v>SAAS17</x:v>
      </x:c>
      <x:c r="C74" s="4" t="str">
        <x:v>套利策略</x:v>
      </x:c>
      <x:c r="D74" s="4" t="str">
        <x:v>期权套利</x:v>
      </x:c>
      <x:c r="E74" s="4" t="str">
        <x:v>广东奶酪</x:v>
      </x:c>
      <x:c r="F74" s="83" t="n">
        <x:v>45174</x:v>
      </x:c>
      <x:c r="G74" s="84" t="n">
        <x:v>0.0727</x:v>
      </x:c>
      <x:c r="H74" s="84" t="n">
        <x:v>0.0393</x:v>
      </x:c>
      <x:c r="I74" s="84" t="n">
        <x:v>0.8108</x:v>
      </x:c>
      <x:c r="J74" s="84" t="n">
        <x:v>1</x:v>
      </x:c>
      <x:c r="K74" s="84" t="n">
        <x:v>0.0073</x:v>
      </x:c>
      <x:c r="L74" s="85" t="n">
        <x:v>5.3477</x:v>
      </x:c>
      <x:c r="M74" s="85" t="n">
        <x:v>29.5035</x:v>
      </x:c>
      <x:c r="N74" s="4" t="str">
        <x:v>沪深300</x:v>
      </x:c>
      <x:c r="O74" t="str">
        <x:v>第二表截止日未提供；净值补算截止日见R列</x:v>
      </x:c>
      <x:c r="P74" s="86" t="n">
        <x:v>46281</x:v>
      </x:c>
      <x:c r="Q74" s="87"/>
      <x:c r="R74" s="86"/>
      <x:c r="S74" s="87" t="n">
        <x:v>0.0025</x:v>
      </x:c>
    </x:row>
    <x:row r="75">
      <x:c r="A75" s="4" t="str">
        <x:v>银万财派恒星套利1号</x:v>
      </x:c>
      <x:c r="B75" s="4" t="str">
        <x:v>SB7490</x:v>
      </x:c>
      <x:c r="C75" s="4" t="str">
        <x:v>套利策略</x:v>
      </x:c>
      <x:c r="D75" s="4" t="str">
        <x:v>-</x:v>
      </x:c>
      <x:c r="E75" s="4" t="str">
        <x:v>浙江银万</x:v>
      </x:c>
      <x:c r="F75" s="83" t="n">
        <x:v>45155</x:v>
      </x:c>
      <x:c r="G75" s="84" t="n">
        <x:v>0.1001</x:v>
      </x:c>
      <x:c r="H75" s="84" t="n">
        <x:v>0.06269999999999999</x:v>
      </x:c>
      <x:c r="I75" s="84" t="n">
        <x:v>0.5135000000000001</x:v>
      </x:c>
      <x:c r="J75" s="84" t="n">
        <x:v>0.46149999999999997</x:v>
      </x:c>
      <x:c r="K75" s="84" t="n">
        <x:v>0.0791</x:v>
      </x:c>
      <x:c r="L75" s="85" t="n">
        <x:v>0.7928</x:v>
      </x:c>
      <x:c r="M75" s="85" t="n">
        <x:v>1.6817</x:v>
      </x:c>
      <x:c r="N75" s="4" t="str">
        <x:v>沪深300</x:v>
      </x:c>
      <x:c r="O75" t="str">
        <x:v>第二表截止日未提供；净值补算截止日见R列</x:v>
      </x:c>
      <x:c r="P75" s="86" t="n">
        <x:v>46281</x:v>
      </x:c>
      <x:c r="Q75" s="87"/>
      <x:c r="R75" s="86"/>
      <x:c r="S75" s="87" t="n">
        <x:v>0.059500000000000004</x:v>
      </x:c>
    </x:row>
    <x:row r="76">
      <x:c r="A76" s="4" t="str">
        <x:v>佳泽信享5号A类</x:v>
      </x:c>
      <x:c r="B76" s="4" t="str">
        <x:v>ZC395A</x:v>
      </x:c>
      <x:c r="C76" s="4" t="str">
        <x:v>套利策略</x:v>
      </x:c>
      <x:c r="D76" s="4" t="str">
        <x:v>期货套利</x:v>
      </x:c>
      <x:c r="E76" s="4" t="str">
        <x:v>海南佳泽</x:v>
      </x:c>
      <x:c r="F76" s="83" t="n">
        <x:v>44936</x:v>
      </x:c>
      <x:c r="G76" s="84" t="n">
        <x:v>0.0733</x:v>
      </x:c>
      <x:c r="H76" s="84" t="n">
        <x:v>0.0581</x:v>
      </x:c>
      <x:c r="I76" s="84" t="n">
        <x:v>0.8108</x:v>
      </x:c>
      <x:c r="J76" s="84" t="n">
        <x:v>0.9231</x:v>
      </x:c>
      <x:c r="K76" s="84" t="n">
        <x:v>0.024399999999999998</x:v>
      </x:c>
      <x:c r="L76" s="85" t="n">
        <x:v>2.3816</x:v>
      </x:c>
      <x:c r="M76" s="85" t="n">
        <x:v>15.9709</x:v>
      </x:c>
      <x:c r="N76" s="4" t="str">
        <x:v>沪深300</x:v>
      </x:c>
      <x:c r="O76" t="str">
        <x:v>第二表截止日未提供；净值补算截止日见R列</x:v>
      </x:c>
      <x:c r="P76" s="86" t="n">
        <x:v>46281</x:v>
      </x:c>
      <x:c r="Q76" s="87"/>
      <x:c r="R76" s="86"/>
      <x:c r="S76" s="87" t="n">
        <x:v>0.0046</x:v>
      </x:c>
    </x:row>
    <x:row r="77">
      <x:c r="A77" s="4" t="str">
        <x:v>佳泽信享5号B类</x:v>
      </x:c>
      <x:c r="B77" s="4" t="str">
        <x:v>ZC395B</x:v>
      </x:c>
      <x:c r="C77" s="4" t="str">
        <x:v>套利策略</x:v>
      </x:c>
      <x:c r="D77" s="4" t="str">
        <x:v>期货套利</x:v>
      </x:c>
      <x:c r="E77" s="4" t="str">
        <x:v>海南佳泽</x:v>
      </x:c>
      <x:c r="F77" s="83" t="n">
        <x:v>44936</x:v>
      </x:c>
      <x:c r="G77" s="84" t="n">
        <x:v>0.06269999999999999</x:v>
      </x:c>
      <x:c r="H77" s="84" t="n">
        <x:v>0.04769999999999999</x:v>
      </x:c>
      <x:c r="I77" s="84" t="n">
        <x:v>0.7297</x:v>
      </x:c>
      <x:c r="J77" s="84" t="n">
        <x:v>0.8462000000000001</x:v>
      </x:c>
      <x:c r="K77" s="84" t="n">
        <x:v>0.0246</x:v>
      </x:c>
      <x:c r="L77" s="85" t="n">
        <x:v>1.9401</x:v>
      </x:c>
      <x:c r="M77" s="85" t="n">
        <x:v>12.8428</x:v>
      </x:c>
      <x:c r="N77" s="4" t="str">
        <x:v>沪深300</x:v>
      </x:c>
      <x:c r="O77" t="str">
        <x:v>第二表截止日未提供；净值补算截止日见R列</x:v>
      </x:c>
      <x:c r="P77" s="86" t="n">
        <x:v>46281</x:v>
      </x:c>
      <x:c r="Q77" s="87"/>
      <x:c r="R77" s="86"/>
      <x:c r="S77" s="87" t="n">
        <x:v>0.0049</x:v>
      </x:c>
    </x:row>
    <x:row r="78">
      <x:c r="A78" s="4" t="str">
        <x:v>鋆晟狮王套利</x:v>
      </x:c>
      <x:c r="B78" s="4" t="str">
        <x:v>SGS754</x:v>
      </x:c>
      <x:c r="C78" s="4" t="str">
        <x:v>套利策略</x:v>
      </x:c>
      <x:c r="D78" s="4" t="str">
        <x:v>期货套利</x:v>
      </x:c>
      <x:c r="E78" s="4" t="str">
        <x:v>上海鋆晟投资</x:v>
      </x:c>
      <x:c r="F78" s="83" t="n">
        <x:v>43664</x:v>
      </x:c>
      <x:c r="G78" s="84" t="n">
        <x:v>0.1328</x:v>
      </x:c>
      <x:c r="H78" s="84" t="n">
        <x:v>0.0704</x:v>
      </x:c>
      <x:c r="I78" s="84" t="n">
        <x:v>0.7837999999999999</x:v>
      </x:c>
      <x:c r="J78" s="84" t="n">
        <x:v>0.8462000000000001</x:v>
      </x:c>
      <x:c r="K78" s="84" t="n">
        <x:v>0.0147</x:v>
      </x:c>
      <x:c r="L78" s="85" t="n">
        <x:v>4.7863</x:v>
      </x:c>
      <x:c r="M78" s="85" t="n">
        <x:v>12.3634</x:v>
      </x:c>
      <x:c r="N78" s="4" t="str">
        <x:v>沪深300</x:v>
      </x:c>
      <x:c r="O78" t="str">
        <x:v>第二表截止日未提供；净值补算截止日见R列</x:v>
      </x:c>
      <x:c r="P78" s="86" t="n">
        <x:v>46281</x:v>
      </x:c>
      <x:c r="Q78" s="87"/>
      <x:c r="R78" s="86"/>
      <x:c r="S78" s="87" t="n">
        <x:v>0.010700000000000001</x:v>
      </x:c>
    </x:row>
    <x:row r="79">
      <x:c r="A79" s="4" t="str">
        <x:v>晟通京华宏观对冲</x:v>
      </x:c>
      <x:c r="B79" s="4" t="str">
        <x:v>SNG078</x:v>
      </x:c>
      <x:c r="C79" s="4" t="str">
        <x:v>套利策略</x:v>
      </x:c>
      <x:c r="D79" s="4" t="str">
        <x:v>期货套利</x:v>
      </x:c>
      <x:c r="E79" s="4" t="str">
        <x:v>深圳前海晟通资管</x:v>
      </x:c>
      <x:c r="F79" s="83" t="n">
        <x:v>44169</x:v>
      </x:c>
      <x:c r="G79" s="84" t="n">
        <x:v>-0.013600000000000001</x:v>
      </x:c>
      <x:c r="H79" s="84" t="n">
        <x:v>0.018600000000000002</x:v>
      </x:c>
      <x:c r="I79" s="84" t="n">
        <x:v>0.4595</x:v>
      </x:c>
      <x:c r="J79" s="84" t="n">
        <x:v>0.3846</x:v>
      </x:c>
      <x:c r="K79" s="84" t="n">
        <x:v>0.1396</x:v>
      </x:c>
      <x:c r="L79" s="85" t="n">
        <x:v>0.1332</x:v>
      </x:c>
      <x:c r="M79" s="85" t="n">
        <x:v>-0.0975</x:v>
      </x:c>
      <x:c r="N79" s="4" t="str">
        <x:v>沪深300</x:v>
      </x:c>
      <x:c r="O79" t="str">
        <x:v>第二表截止日未提供；净值补算截止日见R列</x:v>
      </x:c>
      <x:c r="P79" s="86" t="n">
        <x:v>46281</x:v>
      </x:c>
      <x:c r="Q79" s="87"/>
      <x:c r="R79" s="86"/>
      <x:c r="S79" s="87" t="n">
        <x:v>0.1396</x:v>
      </x:c>
    </x:row>
    <x:row r="80">
      <x:c r="A80" s="4" t="str">
        <x:v>量客投资金选套利1号</x:v>
      </x:c>
      <x:c r="B80" s="4" t="str">
        <x:v>SNH457</x:v>
      </x:c>
      <x:c r="C80" s="4" t="str">
        <x:v>套利策略</x:v>
      </x:c>
      <x:c r="D80" s="4" t="str">
        <x:v>期权套利</x:v>
      </x:c>
      <x:c r="E80" s="4" t="str">
        <x:v>上海量客</x:v>
      </x:c>
      <x:c r="F80" s="83" t="n">
        <x:v>44196</x:v>
      </x:c>
      <x:c r="G80" s="84" t="n">
        <x:f>'补数计算'!L20</x:f>
        <x:v>0.06489944933693947</x:v>
      </x:c>
      <x:c r="H80" s="84" t="n">
        <x:f>'补数计算'!L21</x:f>
        <x:v>0.08548404872759652</x:v>
      </x:c>
      <x:c r="I80" s="84" t="n">
        <x:f>'补数计算'!O21</x:f>
        <x:v>0.918918918918919</x:v>
      </x:c>
      <x:c r="J80" s="84" t="n">
        <x:f>'补数计算'!O20</x:f>
        <x:v>1</x:v>
      </x:c>
      <x:c r="K80" s="84" t="n">
        <x:f>'补数计算'!M21</x:f>
        <x:v>0.0033696371622840005</x:v>
      </x:c>
      <x:c r="L80" s="85" t="n">
        <x:f>'补数计算'!N21</x:f>
        <x:v>25.368917960785396</x:v>
      </x:c>
      <x:c r="M80" s="85" t="n">
        <x:f>'补数计算'!N20</x:f>
        <x:v>43.827988839717555</x:v>
      </x:c>
      <x:c r="N80" s="4" t="str">
        <x:v>沪深300</x:v>
      </x:c>
      <x:c r="O80" t="str">
        <x:v>第二表截止日未提供；净值补算截止日见R列</x:v>
      </x:c>
      <x:c r="P80" s="86" t="n">
        <x:v>46281</x:v>
      </x:c>
      <x:c r="Q80" s="87" t="n">
        <x:f>'补数计算'!L22</x:f>
        <x:v>0.12828817477818122</x:v>
      </x:c>
      <x:c r="R80" s="86" t="n">
        <x:v>46269</x:v>
      </x:c>
      <x:c r="S80" s="87" t="n">
        <x:v>0.0015</x:v>
      </x:c>
    </x:row>
    <x:row r="81">
      <x:c r="A81" s="4" t="str">
        <x:v>洮利11号1期</x:v>
      </x:c>
      <x:c r="B81" s="4" t="str">
        <x:v>SNS371</x:v>
      </x:c>
      <x:c r="C81" s="4" t="str">
        <x:v>套利策略</x:v>
      </x:c>
      <x:c r="D81" s="4" t="str">
        <x:v>期货套利</x:v>
      </x:c>
      <x:c r="E81" s="4" t="str">
        <x:v>上海洮利</x:v>
      </x:c>
      <x:c r="F81" s="83" t="n">
        <x:v>44211</x:v>
      </x:c>
      <x:c r="G81" s="84" t="n">
        <x:v>-0.22920000000000001</x:v>
      </x:c>
      <x:c r="H81" s="84" t="n">
        <x:v>-0.1373</x:v>
      </x:c>
      <x:c r="I81" s="84" t="n">
        <x:v>0.4865</x:v>
      </x:c>
      <x:c r="J81" s="84" t="n">
        <x:v>0.5385</x:v>
      </x:c>
      <x:c r="K81" s="84" t="n">
        <x:v>0.3909</x:v>
      </x:c>
      <x:c r="L81" s="85" t="n">
        <x:v>-0.3512</x:v>
      </x:c>
      <x:c r="M81" s="85" t="n">
        <x:v>-0.5883</x:v>
      </x:c>
      <x:c r="N81" s="4" t="str">
        <x:v>沪深300</x:v>
      </x:c>
      <x:c r="O81" t="str">
        <x:v>第二表截止日未提供；净值补算截止日见R列</x:v>
      </x:c>
      <x:c r="P81" s="86" t="n">
        <x:v>46281</x:v>
      </x:c>
      <x:c r="Q81" s="87"/>
      <x:c r="R81" s="86"/>
      <x:c r="S81" s="87" t="n">
        <x:v>0.3896</x:v>
      </x:c>
    </x:row>
    <x:row r="82">
      <x:c r="A82" s="4" t="str">
        <x:v>悬铃稳健1号</x:v>
      </x:c>
      <x:c r="B82" s="4" t="str">
        <x:v>SVB806</x:v>
      </x:c>
      <x:c r="C82" s="4" t="str">
        <x:v>套利策略</x:v>
      </x:c>
      <x:c r="D82" s="4" t="str">
        <x:v>-</x:v>
      </x:c>
      <x:c r="E82" s="4" t="str">
        <x:v>上海悬铃</x:v>
      </x:c>
      <x:c r="F82" s="83" t="n">
        <x:v>44608</x:v>
      </x:c>
      <x:c r="G82" s="84" t="n">
        <x:v>-0.0292</x:v>
      </x:c>
      <x:c r="H82" s="84" t="n">
        <x:v>0.0398</x:v>
      </x:c>
      <x:c r="I82" s="84" t="n">
        <x:v>0.5676</x:v>
      </x:c>
      <x:c r="J82" s="84" t="n">
        <x:v>0.46149999999999997</x:v>
      </x:c>
      <x:c r="K82" s="84" t="n">
        <x:v>0.0814</x:v>
      </x:c>
      <x:c r="L82" s="85" t="n">
        <x:v>0.4892</x:v>
      </x:c>
      <x:c r="M82" s="85" t="n">
        <x:v>-0.5723</x:v>
      </x:c>
      <x:c r="N82" s="4" t="str">
        <x:v>沪深300</x:v>
      </x:c>
      <x:c r="O82" t="str">
        <x:v>第二表截止日未提供；净值补算截止日见R列</x:v>
      </x:c>
      <x:c r="P82" s="86" t="n">
        <x:v>46281</x:v>
      </x:c>
      <x:c r="Q82" s="87"/>
      <x:c r="R82" s="86"/>
      <x:c r="S82" s="87" t="n">
        <x:v>0.051</x:v>
      </x:c>
    </x:row>
    <x:row r="83">
      <x:c r="A83" s="4" t="str">
        <x:v>时间稳健1号</x:v>
      </x:c>
      <x:c r="B83" s="4" t="str">
        <x:v>SZM840</x:v>
      </x:c>
      <x:c r="C83" s="4" t="str">
        <x:v>套利策略</x:v>
      </x:c>
      <x:c r="D83" s="4" t="str">
        <x:v>-</x:v>
      </x:c>
      <x:c r="E83" s="4" t="str">
        <x:v>青岛时间</x:v>
      </x:c>
      <x:c r="F83" s="83" t="n">
        <x:v>44986</x:v>
      </x:c>
      <x:c r="G83" s="84" t="n">
        <x:v>0.2527</x:v>
      </x:c>
      <x:c r="H83" s="84" t="n">
        <x:v>0.327</x:v>
      </x:c>
      <x:c r="I83" s="84" t="n">
        <x:v>0.6215999999999999</x:v>
      </x:c>
      <x:c r="J83" s="84" t="n">
        <x:v>0.8462000000000001</x:v>
      </x:c>
      <x:c r="K83" s="84" t="n">
        <x:v>0.2202</x:v>
      </x:c>
      <x:c r="L83" s="85" t="n">
        <x:v>1.485</x:v>
      </x:c>
      <x:c r="M83" s="85" t="n">
        <x:v>26.5849</x:v>
      </x:c>
      <x:c r="N83" s="4" t="str">
        <x:v>沪深300</x:v>
      </x:c>
      <x:c r="O83" t="str">
        <x:v>第二表截止日未提供；净值补算截止日见R列</x:v>
      </x:c>
      <x:c r="P83" s="86" t="n">
        <x:v>46281</x:v>
      </x:c>
      <x:c r="Q83" s="87"/>
      <x:c r="R83" s="86"/>
      <x:c r="S83" s="87" t="n">
        <x:v>0.0095</x:v>
      </x:c>
    </x:row>
    <x:row r="84">
      <x:c r="A84" s="4" t="str">
        <x:v>交叉智能-量化增强2号</x:v>
      </x:c>
      <x:c r="B84" s="4" t="str">
        <x:v>SZD351</x:v>
      </x:c>
      <x:c r="C84" s="4" t="str">
        <x:v>套利策略</x:v>
      </x:c>
      <x:c r="D84" s="4" t="str">
        <x:v>期货套利</x:v>
      </x:c>
      <x:c r="E84" s="4" t="str">
        <x:v>北京交叉智能</x:v>
      </x:c>
      <x:c r="F84" s="83" t="n">
        <x:v>45035</x:v>
      </x:c>
      <x:c r="G84" s="84" t="n">
        <x:v>0.011200000000000002</x:v>
      </x:c>
      <x:c r="H84" s="84" t="n">
        <x:v>0.08869999999999999</x:v>
      </x:c>
      <x:c r="I84" s="84" t="n">
        <x:v>0.8108</x:v>
      </x:c>
      <x:c r="J84" s="84" t="n">
        <x:v>0.6923</x:v>
      </x:c>
      <x:c r="K84" s="84" t="n">
        <x:v>0.0346</x:v>
      </x:c>
      <x:c r="L84" s="85" t="n">
        <x:v>2.5648</x:v>
      </x:c>
      <x:c r="M84" s="85" t="n">
        <x:v>0.3249</x:v>
      </x:c>
      <x:c r="N84" s="4" t="str">
        <x:v>沪深300</x:v>
      </x:c>
      <x:c r="O84" t="str">
        <x:v>第二表截止日未提供；净值补算截止日见R列</x:v>
      </x:c>
      <x:c r="P84" s="86" t="n">
        <x:v>46281</x:v>
      </x:c>
      <x:c r="Q84" s="87"/>
      <x:c r="R84" s="86"/>
      <x:c r="S84" s="87" t="n">
        <x:v>0.0346</x:v>
      </x:c>
    </x:row>
    <x:row r="85">
      <x:c r="A85" s="4" t="str">
        <x:v>磬晟启晟1号</x:v>
      </x:c>
      <x:c r="B85" s="4" t="str">
        <x:v>SCB058</x:v>
      </x:c>
      <x:c r="C85" s="4" t="str">
        <x:v>套利策略</x:v>
      </x:c>
      <x:c r="D85" s="4" t="str">
        <x:v>基金套利</x:v>
      </x:c>
      <x:c r="E85" s="4" t="str">
        <x:v>上海磬晟</x:v>
      </x:c>
      <x:c r="F85" s="83" t="n">
        <x:v>43131</x:v>
      </x:c>
      <x:c r="G85" s="84" t="n">
        <x:v>-0.018000000000000002</x:v>
      </x:c>
      <x:c r="H85" s="84" t="n">
        <x:v>0.0024</x:v>
      </x:c>
      <x:c r="I85" s="84" t="n">
        <x:v>0.4595</x:v>
      </x:c>
      <x:c r="J85" s="84" t="n">
        <x:v>0.6154</x:v>
      </x:c>
      <x:c r="K85" s="84" t="n">
        <x:v>0.10369999999999999</x:v>
      </x:c>
      <x:c r="L85" s="85" t="n">
        <x:v>0.0234</x:v>
      </x:c>
      <x:c r="M85" s="85" t="n">
        <x:v>-0.2132</x:v>
      </x:c>
      <x:c r="N85" s="4" t="str">
        <x:v>沪深300</x:v>
      </x:c>
      <x:c r="O85" t="str">
        <x:v>第二表截止日未提供；净值补算截止日见R列</x:v>
      </x:c>
      <x:c r="P85" s="86" t="n">
        <x:v>46281</x:v>
      </x:c>
      <x:c r="Q85" s="87"/>
      <x:c r="R85" s="86"/>
      <x:c r="S85" s="87" t="n">
        <x:v>0.0842</x:v>
      </x:c>
    </x:row>
    <x:row r="86">
      <x:c r="A86" s="4" t="str">
        <x:v>悬铃瑞享C号1期</x:v>
      </x:c>
      <x:c r="B86" s="4" t="str">
        <x:v>SZF187</x:v>
      </x:c>
      <x:c r="C86" s="4" t="str">
        <x:v>套利策略</x:v>
      </x:c>
      <x:c r="D86" s="4" t="str">
        <x:v>-</x:v>
      </x:c>
      <x:c r="E86" s="4" t="str">
        <x:v>上海悬铃</x:v>
      </x:c>
      <x:c r="F86" s="83" t="n">
        <x:v>45034</x:v>
      </x:c>
      <x:c r="G86" s="84" t="n">
        <x:v>-0.1002</x:v>
      </x:c>
      <x:c r="H86" s="84" t="n">
        <x:v>-0.0043</x:v>
      </x:c>
      <x:c r="I86" s="84" t="n">
        <x:v>0.5405</x:v>
      </x:c>
      <x:c r="J86" s="84" t="n">
        <x:v>0.3077</x:v>
      </x:c>
      <x:c r="K86" s="84" t="n">
        <x:v>0.1177</x:v>
      </x:c>
      <x:c r="L86" s="85" t="n">
        <x:v>-0.0365</x:v>
      </x:c>
      <x:c r="M86" s="85" t="n">
        <x:v>-0.881</x:v>
      </x:c>
      <x:c r="N86" s="4" t="str">
        <x:v>沪深300</x:v>
      </x:c>
      <x:c r="O86" t="str">
        <x:v>第二表截止日未提供；净值补算截止日见R列</x:v>
      </x:c>
      <x:c r="P86" s="86" t="n">
        <x:v>46281</x:v>
      </x:c>
      <x:c r="Q86" s="87"/>
      <x:c r="R86" s="86"/>
      <x:c r="S86" s="87" t="n">
        <x:v>0.11380000000000001</x:v>
      </x:c>
    </x:row>
    <x:row r="87">
      <x:c r="A87" s="4" t="str">
        <x:v>悬铃成长1号</x:v>
      </x:c>
      <x:c r="B87" s="4" t="str">
        <x:v>STP551</x:v>
      </x:c>
      <x:c r="C87" s="4" t="str">
        <x:v>套利策略</x:v>
      </x:c>
      <x:c r="D87" s="4" t="str">
        <x:v>可转债套利</x:v>
      </x:c>
      <x:c r="E87" s="4" t="str">
        <x:v>上海悬铃</x:v>
      </x:c>
      <x:c r="F87" s="83" t="n">
        <x:v>44559</x:v>
      </x:c>
      <x:c r="G87" s="84" t="n">
        <x:v>0.025699999999999997</x:v>
      </x:c>
      <x:c r="H87" s="84" t="n">
        <x:v>0.0951</x:v>
      </x:c>
      <x:c r="I87" s="84" t="n">
        <x:v>0.6215999999999999</x:v>
      </x:c>
      <x:c r="J87" s="84" t="n">
        <x:v>0.5385</x:v>
      </x:c>
      <x:c r="K87" s="84" t="n">
        <x:v>0.1362</x:v>
      </x:c>
      <x:c r="L87" s="85" t="n">
        <x:v>0.6979</x:v>
      </x:c>
      <x:c r="M87" s="85" t="n">
        <x:v>0.3125</x:v>
      </x:c>
      <x:c r="N87" s="4" t="str">
        <x:v>沪深300</x:v>
      </x:c>
      <x:c r="O87" t="str">
        <x:v>第二表截止日未提供；净值补算截止日见R列</x:v>
      </x:c>
      <x:c r="P87" s="86" t="n">
        <x:v>46281</x:v>
      </x:c>
      <x:c r="Q87" s="87"/>
      <x:c r="R87" s="86"/>
      <x:c r="S87" s="87" t="n">
        <x:v>0.08220000000000001</x:v>
      </x:c>
    </x:row>
    <x:row r="88">
      <x:c r="A88" s="4" t="str">
        <x:v>祁腾蜂赢1号</x:v>
      </x:c>
      <x:c r="B88" s="4" t="str">
        <x:v>SEV580</x:v>
      </x:c>
      <x:c r="C88" s="4" t="str">
        <x:v>套利策略</x:v>
      </x:c>
      <x:c r="D88" s="4" t="str">
        <x:v>期货套利</x:v>
      </x:c>
      <x:c r="E88" s="4" t="str">
        <x:v>宁波祁腾投资</x:v>
      </x:c>
      <x:c r="F88" s="83" t="n">
        <x:v>43490</x:v>
      </x:c>
      <x:c r="G88" s="84" t="n">
        <x:f>'补数计算'!L14</x:f>
        <x:v>0.13816034226190466</x:v>
      </x:c>
      <x:c r="H88" s="84" t="n">
        <x:f>'补数计算'!L15</x:f>
        <x:v>0.11954263952203115</x:v>
      </x:c>
      <x:c r="I88" s="84" t="n">
        <x:f>'补数计算'!O15</x:f>
        <x:v>0.7837837837837838</x:v>
      </x:c>
      <x:c r="J88" s="84" t="n">
        <x:f>'补数计算'!O14</x:f>
        <x:v>0.7692307692307693</x:v>
      </x:c>
      <x:c r="K88" s="84" t="n">
        <x:f>'补数计算'!M15</x:f>
        <x:v>0.00533091362785687</x:v>
      </x:c>
      <x:c r="L88" s="85" t="n">
        <x:f>'补数计算'!N15</x:f>
        <x:v>22.424418752042243</x:v>
      </x:c>
      <x:c r="M88" s="85" t="n">
        <x:f>'补数计算'!N14</x:f>
        <x:v>28.409513090193656</x:v>
      </x:c>
      <x:c r="N88" s="4" t="str">
        <x:v>沪深300</x:v>
      </x:c>
      <x:c r="O88" t="str">
        <x:v>第二表截止日未提供；净值补算截止日见R列</x:v>
      </x:c>
      <x:c r="P88" s="86" t="n">
        <x:v>46281</x:v>
      </x:c>
      <x:c r="Q88" s="87" t="n">
        <x:f>'补数计算'!L16</x:f>
        <x:v>0.12444964705592754</x:v>
      </x:c>
      <x:c r="R88" s="86" t="n">
        <x:v>46275</x:v>
      </x:c>
      <x:c r="S88" s="87"/>
    </x:row>
    <x:row r="89">
      <x:c r="A89" s="4" t="str">
        <x:v>殊馥馥源套利1号</x:v>
      </x:c>
      <x:c r="B89" s="4" t="str">
        <x:v>SGM512</x:v>
      </x:c>
      <x:c r="C89" s="4" t="str">
        <x:v>套利策略</x:v>
      </x:c>
      <x:c r="D89" s="4" t="str">
        <x:v>基金套利</x:v>
      </x:c>
      <x:c r="E89" s="4" t="str">
        <x:v>上海殊馥投资</x:v>
      </x:c>
      <x:c r="F89" s="83" t="n">
        <x:v>43585</x:v>
      </x:c>
      <x:c r="G89" s="84" t="n">
        <x:v>0.0922</x:v>
      </x:c>
      <x:c r="H89" s="84" t="n">
        <x:v>0.0677</x:v>
      </x:c>
      <x:c r="I89" s="84" t="n">
        <x:v>0.7837999999999999</x:v>
      </x:c>
      <x:c r="J89" s="84" t="n">
        <x:v>0.9231</x:v>
      </x:c>
      <x:c r="K89" s="84" t="n">
        <x:v>0.050199999999999995</x:v>
      </x:c>
      <x:c r="L89" s="85" t="n">
        <x:v>1.3488</x:v>
      </x:c>
      <x:c r="M89" s="85" t="n">
        <x:v>10.566</x:v>
      </x:c>
      <x:c r="N89" s="4" t="str">
        <x:v>沪深300</x:v>
      </x:c>
      <x:c r="O89" t="str">
        <x:v>第二表截止日未提供；净值补算截止日见R列</x:v>
      </x:c>
      <x:c r="P89" s="86" t="n">
        <x:v>46281</x:v>
      </x:c>
      <x:c r="Q89" s="87"/>
      <x:c r="R89" s="86"/>
      <x:c r="S89" s="87" t="n">
        <x:v>0.0087</x:v>
      </x:c>
    </x:row>
    <x:row r="90">
      <x:c r="A90" s="4" t="str">
        <x:v>杉阳云杉混合1号</x:v>
      </x:c>
      <x:c r="B90" s="4" t="str">
        <x:v>SLA063</x:v>
      </x:c>
      <x:c r="C90" s="4" t="str">
        <x:v>套利策略</x:v>
      </x:c>
      <x:c r="D90" s="4" t="str">
        <x:v>混合套利</x:v>
      </x:c>
      <x:c r="E90" s="4" t="str">
        <x:v>上海杉阳</x:v>
      </x:c>
      <x:c r="F90" s="83" t="n">
        <x:v>43980</x:v>
      </x:c>
      <x:c r="G90" s="84" t="n">
        <x:v>0.0797</x:v>
      </x:c>
      <x:c r="H90" s="84" t="n">
        <x:v>0.045599999999999995</x:v>
      </x:c>
      <x:c r="I90" s="84" t="n">
        <x:v>0.7297</x:v>
      </x:c>
      <x:c r="J90" s="84" t="n">
        <x:v>0.8462000000000001</x:v>
      </x:c>
      <x:c r="K90" s="84" t="n">
        <x:v>0.03</x:v>
      </x:c>
      <x:c r="L90" s="85" t="n">
        <x:v>1.5177</x:v>
      </x:c>
      <x:c r="M90" s="85" t="n">
        <x:v>16.426</x:v>
      </x:c>
      <x:c r="N90" s="4" t="str">
        <x:v>沪深300</x:v>
      </x:c>
      <x:c r="O90" t="str">
        <x:v>第二表截止日未提供；净值补算截止日见R列</x:v>
      </x:c>
      <x:c r="P90" s="86" t="n">
        <x:v>46281</x:v>
      </x:c>
      <x:c r="Q90" s="87"/>
      <x:c r="R90" s="86"/>
      <x:c r="S90" s="87" t="n">
        <x:v>0.0048</x:v>
      </x:c>
    </x:row>
    <x:row r="91">
      <x:c r="A91" s="4" t="str">
        <x:v>申毅格物22号</x:v>
      </x:c>
      <x:c r="B91" s="4" t="str">
        <x:v>SLD523</x:v>
      </x:c>
      <x:c r="C91" s="4" t="str">
        <x:v>套利策略</x:v>
      </x:c>
      <x:c r="D91" s="4" t="str">
        <x:v>-</x:v>
      </x:c>
      <x:c r="E91" s="4" t="str">
        <x:v>上海申毅投资</x:v>
      </x:c>
      <x:c r="F91" s="83" t="n">
        <x:v>44026</x:v>
      </x:c>
      <x:c r="G91" s="84" t="n">
        <x:v>0.0632</x:v>
      </x:c>
      <x:c r="H91" s="84" t="n">
        <x:v>0.0967</x:v>
      </x:c>
      <x:c r="I91" s="84" t="n">
        <x:v>0.6757</x:v>
      </x:c>
      <x:c r="J91" s="84" t="n">
        <x:v>0.5385</x:v>
      </x:c>
      <x:c r="K91" s="84" t="n">
        <x:v>0.1318</x:v>
      </x:c>
      <x:c r="L91" s="85" t="n">
        <x:v>0.7339</x:v>
      </x:c>
      <x:c r="M91" s="85" t="n">
        <x:v>1.7011</x:v>
      </x:c>
      <x:c r="N91" s="4" t="str">
        <x:v>沪深300</x:v>
      </x:c>
      <x:c r="O91" t="str">
        <x:v>第二表截止日未提供；净值补算截止日见R列</x:v>
      </x:c>
      <x:c r="P91" s="86" t="n">
        <x:v>46281</x:v>
      </x:c>
      <x:c r="Q91" s="87"/>
      <x:c r="R91" s="86"/>
      <x:c r="S91" s="87" t="n">
        <x:v>0.037200000000000004</x:v>
      </x:c>
    </x:row>
    <x:row r="92">
      <x:c r="A92" s="4" t="str">
        <x:v>鹿秀驯鹿5号</x:v>
      </x:c>
      <x:c r="B92" s="4" t="str">
        <x:v>SLN352</x:v>
      </x:c>
      <x:c r="C92" s="4" t="str">
        <x:v>套利策略</x:v>
      </x:c>
      <x:c r="D92" s="4" t="str">
        <x:v>-</x:v>
      </x:c>
      <x:c r="E92" s="4" t="str">
        <x:v>青岛鹿秀投资</x:v>
      </x:c>
      <x:c r="F92" s="83" t="n">
        <x:v>44074</x:v>
      </x:c>
      <x:c r="G92" s="84" t="n">
        <x:v>-0.4218</x:v>
      </x:c>
      <x:c r="H92" s="84" t="n">
        <x:v>-0.1882</x:v>
      </x:c>
      <x:c r="I92" s="84" t="n">
        <x:v>0.3784</x:v>
      </x:c>
      <x:c r="J92" s="84" t="n">
        <x:v>0.46149999999999997</x:v>
      </x:c>
      <x:c r="K92" s="84" t="n">
        <x:v>0.5484</x:v>
      </x:c>
      <x:c r="L92" s="85" t="n">
        <x:v>-0.3432</x:v>
      </x:c>
      <x:c r="M92" s="85" t="n">
        <x:v>-0.8451</x:v>
      </x:c>
      <x:c r="N92" s="4" t="str">
        <x:v>沪深300</x:v>
      </x:c>
      <x:c r="O92" t="str">
        <x:v>第二表截止日未提供；净值补算截止日见R列</x:v>
      </x:c>
      <x:c r="P92" s="86" t="n">
        <x:v>46281</x:v>
      </x:c>
      <x:c r="Q92" s="87"/>
      <x:c r="R92" s="86"/>
      <x:c r="S92" s="87" t="n">
        <x:v>0.4991</x:v>
      </x:c>
    </x:row>
    <x:row r="93">
      <x:c r="A93" s="4" t="str">
        <x:v>鹿秀驯鹿10号</x:v>
      </x:c>
      <x:c r="B93" s="4" t="str">
        <x:v>SNK594</x:v>
      </x:c>
      <x:c r="C93" s="4" t="str">
        <x:v>套利策略</x:v>
      </x:c>
      <x:c r="D93" s="4" t="str">
        <x:v>-</x:v>
      </x:c>
      <x:c r="E93" s="4" t="str">
        <x:v>青岛鹿秀投资</x:v>
      </x:c>
      <x:c r="F93" s="83" t="n">
        <x:v>44174</x:v>
      </x:c>
      <x:c r="G93" s="84" t="n">
        <x:v>0.5082</x:v>
      </x:c>
      <x:c r="H93" s="84" t="n">
        <x:v>0.3293</x:v>
      </x:c>
      <x:c r="I93" s="84" t="n">
        <x:v>0.6757</x:v>
      </x:c>
      <x:c r="J93" s="84" t="n">
        <x:v>0.6154</x:v>
      </x:c>
      <x:c r="K93" s="84" t="n">
        <x:v>0.2926</x:v>
      </x:c>
      <x:c r="L93" s="85" t="n">
        <x:v>1.1255</x:v>
      </x:c>
      <x:c r="M93" s="85" t="n">
        <x:v>1.7368</x:v>
      </x:c>
      <x:c r="N93" s="4" t="str">
        <x:v>沪深300</x:v>
      </x:c>
      <x:c r="O93" t="str">
        <x:v>第二表截止日未提供；净值补算截止日见R列</x:v>
      </x:c>
      <x:c r="P93" s="86" t="n">
        <x:v>46281</x:v>
      </x:c>
      <x:c r="Q93" s="87"/>
      <x:c r="R93" s="86"/>
      <x:c r="S93" s="87" t="n">
        <x:v>0.2926</x:v>
      </x:c>
    </x:row>
    <x:row r="94">
      <x:c r="A94" s="4" t="str">
        <x:v>九招真格量化套利一号</x:v>
      </x:c>
      <x:c r="B94" s="4" t="str">
        <x:v>SQD546</x:v>
      </x:c>
      <x:c r="C94" s="4" t="str">
        <x:v>套利策略</x:v>
      </x:c>
      <x:c r="D94" s="4" t="str">
        <x:v>期货套利</x:v>
      </x:c>
      <x:c r="E94" s="4" t="str">
        <x:v>武汉九招</x:v>
      </x:c>
      <x:c r="F94" s="83" t="n">
        <x:v>44271</x:v>
      </x:c>
      <x:c r="G94" s="84" t="n">
        <x:v>0.1466</x:v>
      </x:c>
      <x:c r="H94" s="84" t="n">
        <x:v>0.1381</x:v>
      </x:c>
      <x:c r="I94" s="84" t="n">
        <x:v>0.8919</x:v>
      </x:c>
      <x:c r="J94" s="84" t="n">
        <x:v>1</x:v>
      </x:c>
      <x:c r="K94" s="84" t="n">
        <x:v>0.024900000000000002</x:v>
      </x:c>
      <x:c r="L94" s="85" t="n">
        <x:v>5.5511</x:v>
      </x:c>
      <x:c r="M94" s="85" t="n">
        <x:v>30.8888</x:v>
      </x:c>
      <x:c r="N94" s="4" t="str">
        <x:v>中证全债</x:v>
      </x:c>
      <x:c r="O94" t="str">
        <x:v>第二表截止日未提供；净值补算截止日见R列</x:v>
      </x:c>
      <x:c r="P94" s="86" t="n">
        <x:v>46281</x:v>
      </x:c>
      <x:c r="Q94" s="87"/>
      <x:c r="R94" s="86"/>
      <x:c r="S94" s="87" t="n">
        <x:v>0.004699999999999999</x:v>
      </x:c>
    </x:row>
    <x:row r="95">
      <x:c r="A95" s="4" t="str">
        <x:v>宏翼高频1号</x:v>
      </x:c>
      <x:c r="B95" s="4" t="str">
        <x:v>SQA623</x:v>
      </x:c>
      <x:c r="C95" s="4" t="str">
        <x:v>套利策略</x:v>
      </x:c>
      <x:c r="D95" s="4" t="str">
        <x:v>期货套利</x:v>
      </x:c>
      <x:c r="E95" s="4" t="str">
        <x:v>上海宏翼</x:v>
      </x:c>
      <x:c r="F95" s="83" t="n">
        <x:v>44285</x:v>
      </x:c>
      <x:c r="G95" s="84" t="n">
        <x:v>0.1017</x:v>
      </x:c>
      <x:c r="H95" s="84" t="n">
        <x:v>0.114</x:v>
      </x:c>
      <x:c r="I95" s="84" t="n">
        <x:v>0.7027</x:v>
      </x:c>
      <x:c r="J95" s="84" t="n">
        <x:v>0.6154</x:v>
      </x:c>
      <x:c r="K95" s="84" t="n">
        <x:v>0.1734</x:v>
      </x:c>
      <x:c r="L95" s="85" t="n">
        <x:v>0.6575</x:v>
      </x:c>
      <x:c r="M95" s="85" t="n">
        <x:v>0.5867</x:v>
      </x:c>
      <x:c r="N95" s="4" t="str">
        <x:v>沪深300</x:v>
      </x:c>
      <x:c r="O95" t="str">
        <x:v>第二表截止日未提供；净值补算截止日见R列</x:v>
      </x:c>
      <x:c r="P95" s="86" t="n">
        <x:v>46281</x:v>
      </x:c>
      <x:c r="Q95" s="87"/>
      <x:c r="R95" s="86"/>
      <x:c r="S95" s="87" t="n">
        <x:v>0.1734</x:v>
      </x:c>
    </x:row>
    <x:row r="96">
      <x:c r="A96" s="4" t="str">
        <x:v>钧誉厚德量化对冲11号</x:v>
      </x:c>
      <x:c r="B96" s="4" t="str">
        <x:v>SQN453</x:v>
      </x:c>
      <x:c r="C96" s="4" t="str">
        <x:v>套利策略</x:v>
      </x:c>
      <x:c r="D96" s="4" t="str">
        <x:v>期货套利</x:v>
      </x:c>
      <x:c r="E96" s="4" t="str">
        <x:v>珠海钧誉资管</x:v>
      </x:c>
      <x:c r="F96" s="83" t="n">
        <x:v>44323</x:v>
      </x:c>
      <x:c r="G96" s="84" t="n">
        <x:f>'补数计算'!L23</x:f>
        <x:v>0.10903115230164317</x:v>
      </x:c>
      <x:c r="H96" s="84" t="n">
        <x:f>'补数计算'!L24</x:f>
        <x:v>0.08030601138775961</x:v>
      </x:c>
      <x:c r="I96" s="84" t="n">
        <x:f>'补数计算'!O24</x:f>
        <x:v>0.972972972972973</x:v>
      </x:c>
      <x:c r="J96" s="84" t="n">
        <x:f>'补数计算'!O23</x:f>
        <x:v>1</x:v>
      </x:c>
      <x:c r="K96" s="84" t="n">
        <x:f>'补数计算'!M24</x:f>
        <x:v>0.00826733361122689</x:v>
      </x:c>
      <x:c r="L96" s="85" t="n">
        <x:f>'补数计算'!N24</x:f>
        <x:v>9.713653175759775</x:v>
      </x:c>
      <x:c r="M96" s="85" t="n">
        <x:f>'补数计算'!N23</x:f>
        <x:v>13.18818828764583</x:v>
      </x:c>
      <x:c r="N96" s="4" t="str">
        <x:v>沪深300</x:v>
      </x:c>
      <x:c r="O96" t="str">
        <x:v>第二表截止日未提供；净值补算截止日见R列</x:v>
      </x:c>
      <x:c r="P96" s="86" t="n">
        <x:v>46281</x:v>
      </x:c>
      <x:c r="Q96" s="87" t="n">
        <x:f>'补数计算'!L25</x:f>
        <x:v>0.08985495565769552</x:v>
      </x:c>
      <x:c r="R96" s="86" t="n">
        <x:v>46265</x:v>
      </x:c>
      <x:c r="S96" s="87"/>
    </x:row>
    <x:row r="97">
      <x:c r="A97" s="4" t="str">
        <x:v>杉阳云杉混合1号A类</x:v>
      </x:c>
      <x:c r="B97" s="4" t="str">
        <x:v>LA063A</x:v>
      </x:c>
      <x:c r="C97" s="4" t="str">
        <x:v>套利策略</x:v>
      </x:c>
      <x:c r="D97" s="4" t="str">
        <x:v>期货套利</x:v>
      </x:c>
      <x:c r="E97" s="4" t="str">
        <x:v>上海杉阳</x:v>
      </x:c>
      <x:c r="F97" s="83" t="n">
        <x:v>43980</x:v>
      </x:c>
      <x:c r="G97" s="84" t="n">
        <x:v>0.073</x:v>
      </x:c>
      <x:c r="H97" s="84" t="n">
        <x:v>0.0412</x:v>
      </x:c>
      <x:c r="I97" s="84" t="n">
        <x:v>0.7027</x:v>
      </x:c>
      <x:c r="J97" s="84" t="n">
        <x:v>0.7692</x:v>
      </x:c>
      <x:c r="K97" s="84" t="n">
        <x:v>0.031</x:v>
      </x:c>
      <x:c r="L97" s="85" t="n">
        <x:v>1.3296</x:v>
      </x:c>
      <x:c r="M97" s="85" t="n">
        <x:v>12.4944</x:v>
      </x:c>
      <x:c r="N97" s="4" t="str">
        <x:v>沪深300</x:v>
      </x:c>
      <x:c r="O97" t="str">
        <x:v>第二表截止日未提供；净值补算截止日见R列</x:v>
      </x:c>
      <x:c r="P97" s="86" t="n">
        <x:v>46281</x:v>
      </x:c>
      <x:c r="Q97" s="87"/>
      <x:c r="R97" s="86"/>
      <x:c r="S97" s="87" t="n">
        <x:v>0.0058</x:v>
      </x:c>
    </x:row>
    <x:row r="98">
      <x:c r="A98" s="4" t="str">
        <x:v>嘉和传承精研二期</x:v>
      </x:c>
      <x:c r="B98" s="4" t="str">
        <x:v>STD929</x:v>
      </x:c>
      <x:c r="C98" s="4" t="str">
        <x:v>套利策略</x:v>
      </x:c>
      <x:c r="D98" s="4" t="str">
        <x:v>期货套利</x:v>
      </x:c>
      <x:c r="E98" s="4" t="str">
        <x:v>上海嘉和传承</x:v>
      </x:c>
      <x:c r="F98" s="83" t="n">
        <x:v>44537</x:v>
      </x:c>
      <x:c r="G98" s="84" t="n">
        <x:v>0.0694</x:v>
      </x:c>
      <x:c r="H98" s="84" t="n">
        <x:v>0.1189</x:v>
      </x:c>
      <x:c r="I98" s="84" t="n">
        <x:v>0.5946</x:v>
      </x:c>
      <x:c r="J98" s="84" t="n">
        <x:v>0.5385</x:v>
      </x:c>
      <x:c r="K98" s="84" t="n">
        <x:v>0.0894</x:v>
      </x:c>
      <x:c r="L98" s="85" t="n">
        <x:v>1.3293</x:v>
      </x:c>
      <x:c r="M98" s="85" t="n">
        <x:v>0.7759</x:v>
      </x:c>
      <x:c r="N98" s="4" t="str">
        <x:v>沪深300</x:v>
      </x:c>
      <x:c r="O98" t="str">
        <x:v>第二表截止日未提供；净值补算截止日见R列</x:v>
      </x:c>
      <x:c r="P98" s="86" t="n">
        <x:v>46281</x:v>
      </x:c>
      <x:c r="Q98" s="87"/>
      <x:c r="R98" s="86"/>
      <x:c r="S98" s="87" t="n">
        <x:v>0.0894</x:v>
      </x:c>
    </x:row>
    <x:row r="99">
      <x:c r="A99" s="4" t="str">
        <x:v>呈瑞复合策略1号</x:v>
      </x:c>
      <x:c r="B99" s="4" t="str">
        <x:v>STK755</x:v>
      </x:c>
      <x:c r="C99" s="4" t="str">
        <x:v>套利策略</x:v>
      </x:c>
      <x:c r="D99" s="4" t="str">
        <x:v>-</x:v>
      </x:c>
      <x:c r="E99" s="4" t="str">
        <x:v>上海呈瑞投资</x:v>
      </x:c>
      <x:c r="F99" s="83" t="n">
        <x:v>44547</x:v>
      </x:c>
      <x:c r="G99" s="84" t="n">
        <x:v>0.9287000000000001</x:v>
      </x:c>
      <x:c r="H99" s="84" t="n">
        <x:v>0.2027</x:v>
      </x:c>
      <x:c r="I99" s="84" t="n">
        <x:v>0.6215999999999999</x:v>
      </x:c>
      <x:c r="J99" s="84" t="n">
        <x:v>0.6154</x:v>
      </x:c>
      <x:c r="K99" s="84" t="n">
        <x:v>0.2943</x:v>
      </x:c>
      <x:c r="L99" s="85" t="n">
        <x:v>0.6889</x:v>
      </x:c>
      <x:c r="M99" s="85" t="n">
        <x:v>5.4499</x:v>
      </x:c>
      <x:c r="N99" s="4" t="str">
        <x:v>沪深300</x:v>
      </x:c>
      <x:c r="O99" t="str">
        <x:v>第二表截止日未提供；净值补算截止日见R列</x:v>
      </x:c>
      <x:c r="P99" s="86" t="n">
        <x:v>46281</x:v>
      </x:c>
      <x:c r="Q99" s="87"/>
      <x:c r="R99" s="86"/>
      <x:c r="S99" s="87" t="n">
        <x:v>0.1704</x:v>
      </x:c>
    </x:row>
    <x:row r="100">
      <x:c r="A100" s="4" t="str">
        <x:v>晨翰6号</x:v>
      </x:c>
      <x:c r="B100" s="4" t="str">
        <x:v>STS460</x:v>
      </x:c>
      <x:c r="C100" s="4" t="str">
        <x:v>套利策略</x:v>
      </x:c>
      <x:c r="D100" s="4" t="str">
        <x:v>期货套利</x:v>
      </x:c>
      <x:c r="E100" s="4" t="str">
        <x:v>晋江晨翰</x:v>
      </x:c>
      <x:c r="F100" s="83" t="n">
        <x:v>44575</x:v>
      </x:c>
      <x:c r="G100" s="84" t="n">
        <x:v>0.0883</x:v>
      </x:c>
      <x:c r="H100" s="84" t="n">
        <x:v>0.0542</x:v>
      </x:c>
      <x:c r="I100" s="84" t="n">
        <x:v>0.5405</x:v>
      </x:c>
      <x:c r="J100" s="84" t="n">
        <x:v>0.46149999999999997</x:v>
      </x:c>
      <x:c r="K100" s="84" t="n">
        <x:v>0.050300000000000004</x:v>
      </x:c>
      <x:c r="L100" s="85" t="n">
        <x:v>1.0765</x:v>
      </x:c>
      <x:c r="M100" s="85" t="n">
        <x:v>1.7546</x:v>
      </x:c>
      <x:c r="N100" s="4" t="str">
        <x:v>沪深300</x:v>
      </x:c>
      <x:c r="O100" t="str">
        <x:v>第二表截止日未提供；净值补算截止日见R列</x:v>
      </x:c>
      <x:c r="P100" s="86" t="n">
        <x:v>46281</x:v>
      </x:c>
      <x:c r="Q100" s="87"/>
      <x:c r="R100" s="86"/>
      <x:c r="S100" s="87" t="n">
        <x:v>0.050300000000000004</x:v>
      </x:c>
    </x:row>
    <x:row r="101">
      <x:c r="A101" s="4" t="str">
        <x:v>博普量化对冲6号A类</x:v>
      </x:c>
      <x:c r="B101" s="4" t="str">
        <x:v>EE891A</x:v>
      </x:c>
      <x:c r="C101" s="4" t="str">
        <x:v>套利策略</x:v>
      </x:c>
      <x:c r="D101" s="4" t="str">
        <x:v>期货套利</x:v>
      </x:c>
      <x:c r="E101" s="4" t="str">
        <x:v>深圳前海博普资管</x:v>
      </x:c>
      <x:c r="F101" s="83" t="n">
        <x:v>43430</x:v>
      </x:c>
      <x:c r="G101" s="84" t="n">
        <x:v>0.0383</x:v>
      </x:c>
      <x:c r="H101" s="84" t="n">
        <x:v>0.0098</x:v>
      </x:c>
      <x:c r="I101" s="84" t="n">
        <x:v>0.5946</x:v>
      </x:c>
      <x:c r="J101" s="84" t="n">
        <x:v>0.5385</x:v>
      </x:c>
      <x:c r="K101" s="84" t="n">
        <x:v>0.0983</x:v>
      </x:c>
      <x:c r="L101" s="85" t="n">
        <x:v>0.1001</x:v>
      </x:c>
      <x:c r="M101" s="85" t="n">
        <x:v>1.3858</x:v>
      </x:c>
      <x:c r="N101" s="4" t="str">
        <x:v>沪深300</x:v>
      </x:c>
      <x:c r="O101" t="str">
        <x:v>第二表截止日未提供；净值补算截止日见R列</x:v>
      </x:c>
      <x:c r="P101" s="86" t="n">
        <x:v>46281</x:v>
      </x:c>
      <x:c r="Q101" s="87"/>
      <x:c r="R101" s="86"/>
      <x:c r="S101" s="87" t="n">
        <x:v>0.0277</x:v>
      </x:c>
    </x:row>
    <x:row r="102">
      <x:c r="A102" s="4" t="str">
        <x:v>中益仁东染千顷</x:v>
      </x:c>
      <x:c r="B102" s="4" t="str">
        <x:v>SXK740</x:v>
      </x:c>
      <x:c r="C102" s="4" t="str">
        <x:v>套利策略</x:v>
      </x:c>
      <x:c r="D102" s="4" t="str">
        <x:v>期货套利</x:v>
      </x:c>
      <x:c r="E102" s="4" t="str">
        <x:v>日照中益仁</x:v>
      </x:c>
      <x:c r="F102" s="83" t="n">
        <x:v>44827</x:v>
      </x:c>
      <x:c r="G102" s="84" t="n">
        <x:v>0.0946</x:v>
      </x:c>
      <x:c r="H102" s="84" t="n">
        <x:v>0.0839</x:v>
      </x:c>
      <x:c r="I102" s="84" t="n">
        <x:v>0.8919</x:v>
      </x:c>
      <x:c r="J102" s="84" t="n">
        <x:v>0.7692</x:v>
      </x:c>
      <x:c r="K102" s="84" t="n">
        <x:v>0.0277</x:v>
      </x:c>
      <x:c r="L102" s="85" t="n">
        <x:v>3.034</x:v>
      </x:c>
      <x:c r="M102" s="85" t="n">
        <x:v>3.4194</x:v>
      </x:c>
      <x:c r="N102" s="4" t="str">
        <x:v>沪深300</x:v>
      </x:c>
      <x:c r="O102" t="str">
        <x:v>第二表截止日未提供；净值补算截止日见R列</x:v>
      </x:c>
      <x:c r="P102" s="86" t="n">
        <x:v>46281</x:v>
      </x:c>
      <x:c r="Q102" s="87"/>
      <x:c r="R102" s="86"/>
      <x:c r="S102" s="87" t="n">
        <x:v>0.0277</x:v>
      </x:c>
    </x:row>
    <x:row r="103">
      <x:c r="A103" s="4" t="str">
        <x:v>系数CTA套利五号</x:v>
      </x:c>
      <x:c r="B103" s="4" t="str">
        <x:v>SXT086</x:v>
      </x:c>
      <x:c r="C103" s="4" t="str">
        <x:v>套利策略</x:v>
      </x:c>
      <x:c r="D103" s="4" t="str">
        <x:v>期货套利</x:v>
      </x:c>
      <x:c r="E103" s="4" t="str">
        <x:v>上海系数投资</x:v>
      </x:c>
      <x:c r="F103" s="83" t="n">
        <x:v>44881</x:v>
      </x:c>
      <x:c r="G103" s="84" t="n">
        <x:f>'补数计算'!L17</x:f>
        <x:v>0.006522015825151994</x:v>
      </x:c>
      <x:c r="H103" s="84" t="n">
        <x:f>'补数计算'!L18</x:f>
        <x:v>0.09263842468154948</x:v>
      </x:c>
      <x:c r="I103" s="84" t="n">
        <x:f>'补数计算'!O18</x:f>
        <x:v>0.6486486486486487</x:v>
      </x:c>
      <x:c r="J103" s="84" t="n">
        <x:f>'补数计算'!O17</x:f>
        <x:v>0.46153846153846156</x:v>
      </x:c>
      <x:c r="K103" s="84" t="n">
        <x:f>'补数计算'!M18</x:f>
        <x:v>0.043114923827836105</x:v>
      </x:c>
      <x:c r="L103" s="85" t="n">
        <x:f>'补数计算'!N18</x:f>
        <x:v>2.1486394143120284</x:v>
      </x:c>
      <x:c r="M103" s="85" t="n">
        <x:f>'补数计算'!N17</x:f>
        <x:v>0.15127049397548079</x:v>
      </x:c>
      <x:c r="N103" s="4" t="str">
        <x:v>南华商品指数</x:v>
      </x:c>
      <x:c r="O103" t="str">
        <x:v>第二表截止日未提供；净值补算截止日见R列</x:v>
      </x:c>
      <x:c r="P103" s="86" t="n">
        <x:v>46281</x:v>
      </x:c>
      <x:c r="Q103" s="87"/>
      <x:c r="R103" s="86" t="n">
        <x:v>46269</x:v>
      </x:c>
      <x:c r="S103" s="87"/>
    </x:row>
    <x:row r="104">
      <x:c r="A104" s="4" t="str">
        <x:v>世宽若水尘心3号</x:v>
      </x:c>
      <x:c r="B104" s="4" t="str">
        <x:v>SXT730</x:v>
      </x:c>
      <x:c r="C104" s="4" t="str">
        <x:v>套利策略</x:v>
      </x:c>
      <x:c r="D104" s="4" t="str">
        <x:v>期货套利</x:v>
      </x:c>
      <x:c r="E104" s="4" t="str">
        <x:v>厦门世宽</x:v>
      </x:c>
      <x:c r="F104" s="83" t="n">
        <x:v>44883</x:v>
      </x:c>
      <x:c r="G104" s="84" t="n">
        <x:f>'补数计算'!L2</x:f>
        <x:v>0.20488471623722737</x:v>
      </x:c>
      <x:c r="H104" s="84" t="n">
        <x:f>'补数计算'!L3</x:f>
        <x:v>0.15322368386776763</x:v>
      </x:c>
      <x:c r="I104" s="84" t="n">
        <x:f>'补数计算'!O3</x:f>
        <x:v>0.7567567567567568</x:v>
      </x:c>
      <x:c r="J104" s="84" t="n">
        <x:f>'补数计算'!O2</x:f>
        <x:v>0.8461538461538461</x:v>
      </x:c>
      <x:c r="K104" s="84" t="n">
        <x:f>'补数计算'!M3</x:f>
        <x:v>0.010807624287679451</x:v>
      </x:c>
      <x:c r="L104" s="85" t="n">
        <x:f>'补数计算'!N3</x:f>
        <x:v>14.177369585510167</x:v>
      </x:c>
      <x:c r="M104" s="85" t="n">
        <x:f>'补数计算'!N2</x:f>
        <x:v>22.110604001149582</x:v>
      </x:c>
      <x:c r="N104" s="4" t="str">
        <x:v>沪深300</x:v>
      </x:c>
      <x:c r="O104" t="str">
        <x:v>第二表截止日未提供；净值补算截止日见R列</x:v>
      </x:c>
      <x:c r="P104" s="86" t="n">
        <x:v>46281</x:v>
      </x:c>
      <x:c r="Q104" s="87" t="n">
        <x:f>'补数计算'!L4</x:f>
        <x:v>0.11969763961265278</x:v>
      </x:c>
      <x:c r="R104" s="86" t="n">
        <x:v>46265</x:v>
      </x:c>
      <x:c r="S104" s="87"/>
    </x:row>
    <x:row r="105">
      <x:c r="A105" s="4" t="str">
        <x:v>泓倍商品相对价值1号A类</x:v>
      </x:c>
      <x:c r="B105" s="4" t="str">
        <x:v>CU913A</x:v>
      </x:c>
      <x:c r="C105" s="4" t="str">
        <x:v>套利策略</x:v>
      </x:c>
      <x:c r="D105" s="4" t="str">
        <x:v>期货套利</x:v>
      </x:c>
      <x:c r="E105" s="4" t="str">
        <x:v>上海泓倍投资</x:v>
      </x:c>
      <x:c r="F105" s="83" t="n">
        <x:v>43413</x:v>
      </x:c>
      <x:c r="G105" s="84" t="n">
        <x:v>0.0603</x:v>
      </x:c>
      <x:c r="H105" s="84" t="n">
        <x:v>0.0395</x:v>
      </x:c>
      <x:c r="I105" s="84" t="n">
        <x:v>0.6215999999999999</x:v>
      </x:c>
      <x:c r="J105" s="84" t="n">
        <x:v>0.46149999999999997</x:v>
      </x:c>
      <x:c r="K105" s="84" t="n">
        <x:v>0.0883</x:v>
      </x:c>
      <x:c r="L105" s="85" t="n">
        <x:v>0.4473</x:v>
      </x:c>
      <x:c r="M105" s="85" t="n">
        <x:v>0.9262</x:v>
      </x:c>
      <x:c r="N105" s="4" t="str">
        <x:v>沪深300</x:v>
      </x:c>
      <x:c r="O105" t="str">
        <x:v>第二表截止日未提供；净值补算截止日见R列</x:v>
      </x:c>
      <x:c r="P105" s="86" t="n">
        <x:v>46281</x:v>
      </x:c>
      <x:c r="Q105" s="87"/>
      <x:c r="R105" s="86"/>
      <x:c r="S105" s="87" t="n">
        <x:v>0.06509999999999999</x:v>
      </x:c>
    </x:row>
    <x:row r="106">
      <x:c r="A106" s="4" t="str">
        <x:v>博普日添月益A类</x:v>
      </x:c>
      <x:c r="B106" s="4" t="str">
        <x:v>JW903A</x:v>
      </x:c>
      <x:c r="C106" s="4" t="str">
        <x:v>套利策略</x:v>
      </x:c>
      <x:c r="D106" s="4" t="str">
        <x:v>基金套利</x:v>
      </x:c>
      <x:c r="E106" s="4" t="str">
        <x:v>深圳前海博普资管</x:v>
      </x:c>
      <x:c r="F106" s="83" t="n">
        <x:v>43917</x:v>
      </x:c>
      <x:c r="G106" s="84" t="n">
        <x:v>0.0711</x:v>
      </x:c>
      <x:c r="H106" s="84" t="n">
        <x:v>0.0603</x:v>
      </x:c>
      <x:c r="I106" s="84" t="n">
        <x:v>0.8649</x:v>
      </x:c>
      <x:c r="J106" s="84" t="n">
        <x:v>0.9231</x:v>
      </x:c>
      <x:c r="K106" s="84" t="n">
        <x:v>0.0282</x:v>
      </x:c>
      <x:c r="L106" s="85" t="n">
        <x:v>2.1397</x:v>
      </x:c>
      <x:c r="M106" s="85" t="n">
        <x:v>9.3847</x:v>
      </x:c>
      <x:c r="N106" s="4" t="str">
        <x:v>沪深300</x:v>
      </x:c>
      <x:c r="O106" t="str">
        <x:v>第二表截止日未提供；净值补算截止日见R列</x:v>
      </x:c>
      <x:c r="P106" s="86" t="n">
        <x:v>46281</x:v>
      </x:c>
      <x:c r="Q106" s="87"/>
      <x:c r="R106" s="86"/>
      <x:c r="S106" s="87" t="n">
        <x:v>0.0076</x:v>
      </x:c>
    </x:row>
    <x:row r="107">
      <x:c r="A107" s="4" t="str">
        <x:v>博普跨市场1号</x:v>
      </x:c>
      <x:c r="B107" s="4" t="str">
        <x:v>SN5169</x:v>
      </x:c>
      <x:c r="C107" s="4" t="str">
        <x:v>套利策略</x:v>
      </x:c>
      <x:c r="D107" s="4" t="str">
        <x:v>-</x:v>
      </x:c>
      <x:c r="E107" s="4" t="str">
        <x:v>深圳博普科技</x:v>
      </x:c>
      <x:c r="F107" s="83" t="n">
        <x:v>42695</x:v>
      </x:c>
      <x:c r="G107" s="84" t="n">
        <x:v>0.049400000000000006</x:v>
      </x:c>
      <x:c r="H107" s="84" t="n">
        <x:v>0.046900000000000004</x:v>
      </x:c>
      <x:c r="I107" s="84" t="n">
        <x:v>0.8378</x:v>
      </x:c>
      <x:c r="J107" s="84" t="n">
        <x:v>0.9231</x:v>
      </x:c>
      <x:c r="K107" s="84" t="n">
        <x:v>0.035699999999999996</x:v>
      </x:c>
      <x:c r="L107" s="85" t="n">
        <x:v>1.3136</x:v>
      </x:c>
      <x:c r="M107" s="85" t="n">
        <x:v>7.7364</x:v>
      </x:c>
      <x:c r="N107" s="4" t="str">
        <x:v>沪深300</x:v>
      </x:c>
      <x:c r="O107" t="str">
        <x:v>第二表截止日未提供；净值补算截止日见R列</x:v>
      </x:c>
      <x:c r="P107" s="86" t="n">
        <x:v>46281</x:v>
      </x:c>
      <x:c r="Q107" s="87"/>
      <x:c r="R107" s="86"/>
      <x:c r="S107" s="87" t="n">
        <x:v>0.0064</x:v>
      </x:c>
    </x:row>
    <x:row r="108">
      <x:c r="A108" s="4" t="str">
        <x:v>博益安盈精英1号</x:v>
      </x:c>
      <x:c r="B108" s="4" t="str">
        <x:v>SL9566</x:v>
      </x:c>
      <x:c r="C108" s="4" t="str">
        <x:v>套利策略</x:v>
      </x:c>
      <x:c r="D108" s="4" t="str">
        <x:v>混合套利</x:v>
      </x:c>
      <x:c r="E108" s="4" t="str">
        <x:v>深圳博益安盈</x:v>
      </x:c>
      <x:c r="F108" s="83" t="n">
        <x:v>42611</x:v>
      </x:c>
      <x:c r="G108" s="84" t="n">
        <x:v>0.1729</x:v>
      </x:c>
      <x:c r="H108" s="84" t="n">
        <x:v>0.0889</x:v>
      </x:c>
      <x:c r="I108" s="84" t="n">
        <x:v>0.5676</x:v>
      </x:c>
      <x:c r="J108" s="84" t="n">
        <x:v>0.6923</x:v>
      </x:c>
      <x:c r="K108" s="84" t="n">
        <x:v>0.030899999999999997</x:v>
      </x:c>
      <x:c r="L108" s="85" t="n">
        <x:v>2.876</x:v>
      </x:c>
      <x:c r="M108" s="85" t="n">
        <x:v>5.5935</x:v>
      </x:c>
      <x:c r="N108" s="4" t="str">
        <x:v>沪深300</x:v>
      </x:c>
      <x:c r="O108" t="str">
        <x:v>第二表截止日未提供；净值补算截止日见R列</x:v>
      </x:c>
      <x:c r="P108" s="86" t="n">
        <x:v>46281</x:v>
      </x:c>
      <x:c r="Q108" s="87"/>
      <x:c r="R108" s="86"/>
      <x:c r="S108" s="87" t="n">
        <x:v>0.030899999999999997</x:v>
      </x:c>
    </x:row>
    <x:row r="109">
      <x:c r="A109" s="4" t="str">
        <x:v>珺墀价值投资甄选系列</x:v>
      </x:c>
      <x:c r="B109" s="4" t="str">
        <x:v>SD8791</x:v>
      </x:c>
      <x:c r="C109" s="4" t="str">
        <x:v>套利策略</x:v>
      </x:c>
      <x:c r="D109" s="4" t="str">
        <x:v>-</x:v>
      </x:c>
      <x:c r="E109" s="4" t="str">
        <x:v>上海珺墀资管</x:v>
      </x:c>
      <x:c r="F109" s="83" t="n">
        <x:v>42347</x:v>
      </x:c>
      <x:c r="G109" s="84" t="n">
        <x:v>0.1425</x:v>
      </x:c>
      <x:c r="H109" s="84" t="n">
        <x:v>0.2036</x:v>
      </x:c>
      <x:c r="I109" s="84" t="n">
        <x:v>0.5405</x:v>
      </x:c>
      <x:c r="J109" s="84" t="n">
        <x:v>0.5385</x:v>
      </x:c>
      <x:c r="K109" s="84" t="n">
        <x:v>0.3506</x:v>
      </x:c>
      <x:c r="L109" s="85" t="n">
        <x:v>0.5807</x:v>
      </x:c>
      <x:c r="M109" s="85" t="n">
        <x:v>0.7689</x:v>
      </x:c>
      <x:c r="N109" s="4" t="str">
        <x:v>沪深300</x:v>
      </x:c>
      <x:c r="O109" t="str">
        <x:v>第二表截止日未提供；净值补算截止日见R列</x:v>
      </x:c>
      <x:c r="P109" s="86" t="n">
        <x:v>46281</x:v>
      </x:c>
      <x:c r="Q109" s="87"/>
      <x:c r="R109" s="86"/>
      <x:c r="S109" s="87" t="n">
        <x:v>0.18530000000000002</x:v>
      </x:c>
    </x:row>
    <x:row r="110">
      <x:c r="A110" s="4" t="str">
        <x:v>盛泉恒元多策略量化对冲2号基金</x:v>
      </x:c>
      <x:c r="B110" s="4" t="str">
        <x:v>S67533</x:v>
      </x:c>
      <x:c r="C110" s="4" t="str">
        <x:v>套利策略</x:v>
      </x:c>
      <x:c r="D110" s="4" t="str">
        <x:v>股票套利</x:v>
      </x:c>
      <x:c r="E110" s="4" t="str">
        <x:v>南京盛泉恒元投资</x:v>
      </x:c>
      <x:c r="F110" s="83" t="n">
        <x:v>42258</x:v>
      </x:c>
      <x:c r="G110" s="84" t="n">
        <x:v>0.1066</x:v>
      </x:c>
      <x:c r="H110" s="84" t="n">
        <x:v>0.0816</x:v>
      </x:c>
      <x:c r="I110" s="84" t="n">
        <x:v>0.7568</x:v>
      </x:c>
      <x:c r="J110" s="84" t="n">
        <x:v>0.8462000000000001</x:v>
      </x:c>
      <x:c r="K110" s="84" t="n">
        <x:v>0.0512</x:v>
      </x:c>
      <x:c r="L110" s="85" t="n">
        <x:v>1.5917</x:v>
      </x:c>
      <x:c r="M110" s="85" t="n">
        <x:v>2.0948</x:v>
      </x:c>
      <x:c r="N110" s="4" t="str">
        <x:v>沪深300</x:v>
      </x:c>
      <x:c r="O110" t="str">
        <x:v>第二表截止日未提供；净值补算截止日见R列</x:v>
      </x:c>
      <x:c r="P110" s="86" t="n">
        <x:v>46281</x:v>
      </x:c>
      <x:c r="Q110" s="87"/>
      <x:c r="R110" s="86"/>
      <x:c r="S110" s="87" t="n">
        <x:v>0.0509</x:v>
      </x:c>
    </x:row>
    <x:row r="111">
      <x:c r="A111" s="4" t="str">
        <x:v>申毅多策略量化7号</x:v>
      </x:c>
      <x:c r="B111" s="4" t="str">
        <x:v>S35707</x:v>
      </x:c>
      <x:c r="C111" s="4" t="str">
        <x:v>套利策略</x:v>
      </x:c>
      <x:c r="D111" s="4" t="str">
        <x:v>期权套利</x:v>
      </x:c>
      <x:c r="E111" s="4" t="str">
        <x:v>上海申毅投资</x:v>
      </x:c>
      <x:c r="F111" s="83" t="n">
        <x:v>42191</x:v>
      </x:c>
      <x:c r="G111" s="84" t="n">
        <x:v>0.0227</x:v>
      </x:c>
      <x:c r="H111" s="84" t="n">
        <x:v>0.09390000000000001</x:v>
      </x:c>
      <x:c r="I111" s="84" t="n">
        <x:v>0.7837999999999999</x:v>
      </x:c>
      <x:c r="J111" s="84" t="n">
        <x:v>0.6923</x:v>
      </x:c>
      <x:c r="K111" s="84" t="n">
        <x:v>0.0999</x:v>
      </x:c>
      <x:c r="L111" s="85" t="n">
        <x:v>0.9405</x:v>
      </x:c>
      <x:c r="M111" s="85" t="n">
        <x:v>0.6341</x:v>
      </x:c>
      <x:c r="N111" s="4" t="str">
        <x:v>沪深300</x:v>
      </x:c>
      <x:c r="O111" t="str">
        <x:v>第二表截止日未提供；净值补算截止日见R列</x:v>
      </x:c>
      <x:c r="P111" s="86" t="n">
        <x:v>46281</x:v>
      </x:c>
      <x:c r="Q111" s="87"/>
      <x:c r="R111" s="86"/>
      <x:c r="S111" s="87" t="n">
        <x:v>0.035699999999999996</x:v>
      </x:c>
    </x:row>
    <x:row r="112">
      <x:c r="A112" s="4" t="str">
        <x:v>汇艾稳健3号</x:v>
      </x:c>
      <x:c r="B112" s="4" t="str">
        <x:v>SR8584</x:v>
      </x:c>
      <x:c r="C112" s="4" t="str">
        <x:v>套利策略</x:v>
      </x:c>
      <x:c r="D112" s="4" t="str">
        <x:v>期货套利</x:v>
      </x:c>
      <x:c r="E112" s="4" t="str">
        <x:v>上海汇艾资管</x:v>
      </x:c>
      <x:c r="F112" s="83" t="n">
        <x:v>42772</x:v>
      </x:c>
      <x:c r="G112" s="84" t="n">
        <x:v>0.08070000000000001</x:v>
      </x:c>
      <x:c r="H112" s="84" t="n">
        <x:v>0.0444</x:v>
      </x:c>
      <x:c r="I112" s="84" t="n">
        <x:v>0.8108</x:v>
      </x:c>
      <x:c r="J112" s="84" t="n">
        <x:v>1</x:v>
      </x:c>
      <x:c r="K112" s="84" t="n">
        <x:v>0.0106</x:v>
      </x:c>
      <x:c r="L112" s="85" t="n">
        <x:v>4.1872</x:v>
      </x:c>
      <x:c r="M112" s="85" t="n">
        <x:v>10.32</x:v>
      </x:c>
      <x:c r="N112" s="4" t="str">
        <x:v>沪深300</x:v>
      </x:c>
      <x:c r="O112" t="str">
        <x:v>第二表截止日未提供；净值补算截止日见R列</x:v>
      </x:c>
      <x:c r="P112" s="86" t="n">
        <x:v>46281</x:v>
      </x:c>
      <x:c r="Q112" s="87"/>
      <x:c r="R112" s="86"/>
      <x:c r="S112" s="87" t="n">
        <x:v>0.0078000000000000005</x:v>
      </x:c>
    </x:row>
    <x:row r="113">
      <x:c r="A113" s="4" t="str">
        <x:v>博普稳增3号</x:v>
      </x:c>
      <x:c r="B113" s="4" t="str">
        <x:v>SW7191</x:v>
      </x:c>
      <x:c r="C113" s="4" t="str">
        <x:v>套利策略</x:v>
      </x:c>
      <x:c r="D113" s="4" t="str">
        <x:v>期货套利</x:v>
      </x:c>
      <x:c r="E113" s="4" t="str">
        <x:v>深圳博普科技</x:v>
      </x:c>
      <x:c r="F113" s="83" t="n">
        <x:v>43031</x:v>
      </x:c>
      <x:c r="G113" s="84" t="n">
        <x:v>0.056299999999999996</x:v>
      </x:c>
      <x:c r="H113" s="84" t="n">
        <x:v>0.0417</x:v>
      </x:c>
      <x:c r="I113" s="84" t="n">
        <x:v>0.7837999999999999</x:v>
      </x:c>
      <x:c r="J113" s="84" t="n">
        <x:v>0.8462000000000001</x:v>
      </x:c>
      <x:c r="K113" s="84" t="n">
        <x:v>0.021099999999999997</x:v>
      </x:c>
      <x:c r="L113" s="85" t="n">
        <x:v>1.9802</x:v>
      </x:c>
      <x:c r="M113" s="85" t="n">
        <x:v>9.5761</x:v>
      </x:c>
      <x:c r="N113" s="4" t="str">
        <x:v>沪深300</x:v>
      </x:c>
      <x:c r="O113" t="str">
        <x:v>第二表截止日未提供；净值补算截止日见R列</x:v>
      </x:c>
      <x:c r="P113" s="86" t="n">
        <x:v>46281</x:v>
      </x:c>
      <x:c r="Q113" s="87"/>
      <x:c r="R113" s="86"/>
      <x:c r="S113" s="87" t="n">
        <x:v>0.0059</x:v>
      </x:c>
    </x:row>
    <x:row r="114">
      <x:c r="A114" s="4" t="str">
        <x:v>盛冠达试金石3号</x:v>
      </x:c>
      <x:c r="B114" s="4" t="str">
        <x:v>SW1709</x:v>
      </x:c>
      <x:c r="C114" s="4" t="str">
        <x:v>套利策略</x:v>
      </x:c>
      <x:c r="D114" s="4" t="str">
        <x:v>期货套利</x:v>
      </x:c>
      <x:c r="E114" s="4" t="str">
        <x:v>海南盛冠达</x:v>
      </x:c>
      <x:c r="F114" s="83" t="n">
        <x:v>43041</x:v>
      </x:c>
      <x:c r="G114" s="84" t="n">
        <x:v>0.0271</x:v>
      </x:c>
      <x:c r="H114" s="84" t="n">
        <x:v>0.0475</x:v>
      </x:c>
      <x:c r="I114" s="84" t="n">
        <x:v>0.6757</x:v>
      </x:c>
      <x:c r="J114" s="84" t="n">
        <x:v>0.6923</x:v>
      </x:c>
      <x:c r="K114" s="84" t="n">
        <x:v>0.0393</x:v>
      </x:c>
      <x:c r="L114" s="85" t="n">
        <x:v>1.2084</x:v>
      </x:c>
      <x:c r="M114" s="85" t="n">
        <x:v>1.3063</x:v>
      </x:c>
      <x:c r="N114" s="4" t="str">
        <x:v>沪深300</x:v>
      </x:c>
      <x:c r="O114" t="str">
        <x:v>第二表截止日未提供；净值补算截止日见R列</x:v>
      </x:c>
      <x:c r="P114" s="86" t="n">
        <x:v>46281</x:v>
      </x:c>
      <x:c r="Q114" s="87"/>
      <x:c r="R114" s="86"/>
      <x:c r="S114" s="87" t="n">
        <x:v>0.0208</x:v>
      </x:c>
    </x:row>
    <x:row r="115">
      <x:c r="A115" s="4" t="str">
        <x:v>盛泉恒元量化套利12号专项</x:v>
      </x:c>
      <x:c r="B115" s="4" t="str">
        <x:v>SEE184</x:v>
      </x:c>
      <x:c r="C115" s="4" t="str">
        <x:v>套利策略</x:v>
      </x:c>
      <x:c r="D115" s="4" t="str">
        <x:v>股票套利</x:v>
      </x:c>
      <x:c r="E115" s="4" t="str">
        <x:v>南京盛泉恒元投资</x:v>
      </x:c>
      <x:c r="F115" s="83" t="n">
        <x:v>43340</x:v>
      </x:c>
      <x:c r="G115" s="84" t="n">
        <x:v>0.0978</x:v>
      </x:c>
      <x:c r="H115" s="84" t="n">
        <x:v>0.0682</x:v>
      </x:c>
      <x:c r="I115" s="84" t="n">
        <x:v>0.7297</x:v>
      </x:c>
      <x:c r="J115" s="84" t="n">
        <x:v>0.7692</x:v>
      </x:c>
      <x:c r="K115" s="84" t="n">
        <x:v>0.0641</x:v>
      </x:c>
      <x:c r="L115" s="85" t="n">
        <x:v>1.0651</x:v>
      </x:c>
      <x:c r="M115" s="85" t="n">
        <x:v>1.9112</x:v>
      </x:c>
      <x:c r="N115" s="4" t="str">
        <x:v>沪深300</x:v>
      </x:c>
      <x:c r="O115" t="str">
        <x:v>第二表截止日未提供；净值补算截止日见R列</x:v>
      </x:c>
      <x:c r="P115" s="86" t="n">
        <x:v>46281</x:v>
      </x:c>
      <x:c r="Q115" s="87"/>
      <x:c r="R115" s="86"/>
      <x:c r="S115" s="87" t="n">
        <x:v>0.0512</x:v>
      </x:c>
    </x:row>
    <x:row r="116">
      <x:c r="A116" s="4" t="str">
        <x:v>致同稳健成长1期</x:v>
      </x:c>
      <x:c r="B116" s="4" t="str">
        <x:v>SEP459</x:v>
      </x:c>
      <x:c r="C116" s="4" t="str">
        <x:v>套利策略</x:v>
      </x:c>
      <x:c r="D116" s="4" t="str">
        <x:v>期货套利</x:v>
      </x:c>
      <x:c r="E116" s="4" t="str">
        <x:v>上海致同投资</x:v>
      </x:c>
      <x:c r="F116" s="83" t="n">
        <x:v>43389</x:v>
      </x:c>
      <x:c r="G116" s="84" t="n">
        <x:v>0.048600000000000004</x:v>
      </x:c>
      <x:c r="H116" s="84" t="n">
        <x:v>0.061399999999999996</x:v>
      </x:c>
      <x:c r="I116" s="84" t="n">
        <x:v>0.8919</x:v>
      </x:c>
      <x:c r="J116" s="84" t="n">
        <x:v>0.9231</x:v>
      </x:c>
      <x:c r="K116" s="84" t="n">
        <x:v>0.0070999999999999995</x:v>
      </x:c>
      <x:c r="L116" s="85" t="n">
        <x:v>8.5906</x:v>
      </x:c>
      <x:c r="M116" s="85" t="n">
        <x:v>6.8107</x:v>
      </x:c>
      <x:c r="N116" s="4" t="str">
        <x:v>沪深300</x:v>
      </x:c>
      <x:c r="O116" t="str">
        <x:v>第二表截止日未提供；净值补算截止日见R列</x:v>
      </x:c>
      <x:c r="P116" s="86" t="n">
        <x:v>46281</x:v>
      </x:c>
      <x:c r="Q116" s="87"/>
      <x:c r="R116" s="86"/>
      <x:c r="S116" s="87" t="n">
        <x:v>0.0070999999999999995</x:v>
      </x:c>
    </x:row>
    <x:row r="117">
      <x:c r="A117" s="4" t="str">
        <x:v>冲和稳健增长一号</x:v>
      </x:c>
      <x:c r="B117" s="4" t="str">
        <x:v>SEW918</x:v>
      </x:c>
      <x:c r="C117" s="4" t="str">
        <x:v>套利策略</x:v>
      </x:c>
      <x:c r="D117" s="4" t="str">
        <x:v>期权套利</x:v>
      </x:c>
      <x:c r="E117" s="4" t="str">
        <x:v>北京冲和资管</x:v>
      </x:c>
      <x:c r="F117" s="83" t="n">
        <x:v>43461</x:v>
      </x:c>
      <x:c r="G117" s="84" t="n">
        <x:v>0.046</x:v>
      </x:c>
      <x:c r="H117" s="84" t="n">
        <x:v>0.029900000000000003</x:v>
      </x:c>
      <x:c r="I117" s="84" t="n">
        <x:v>0.7568</x:v>
      </x:c>
      <x:c r="J117" s="84" t="n">
        <x:v>0.6923</x:v>
      </x:c>
      <x:c r="K117" s="84" t="n">
        <x:v>0.2323</x:v>
      </x:c>
      <x:c r="L117" s="85" t="n">
        <x:v>0.1289</x:v>
      </x:c>
      <x:c r="M117" s="85" t="n">
        <x:v>1.3795</x:v>
      </x:c>
      <x:c r="N117" s="4" t="str">
        <x:v>沪深300</x:v>
      </x:c>
      <x:c r="O117" t="str">
        <x:v>第二表截止日未提供；净值补算截止日见R列</x:v>
      </x:c>
      <x:c r="P117" s="86" t="n">
        <x:v>46281</x:v>
      </x:c>
      <x:c r="Q117" s="87"/>
      <x:c r="R117" s="86"/>
      <x:c r="S117" s="87" t="n">
        <x:v>0.0333</x:v>
      </x:c>
    </x:row>
    <x:row r="118">
      <x:c r="A118" s="4" t="str">
        <x:v>晨乐佳享3号</x:v>
      </x:c>
      <x:c r="B118" s="4" t="str">
        <x:v>SEX105</x:v>
      </x:c>
      <x:c r="C118" s="4" t="str">
        <x:v>套利策略</x:v>
      </x:c>
      <x:c r="D118" s="4" t="str">
        <x:v>期货套利</x:v>
      </x:c>
      <x:c r="E118" s="4" t="str">
        <x:v>北京晨乐资管</x:v>
      </x:c>
      <x:c r="F118" s="83" t="n">
        <x:v>43468</x:v>
      </x:c>
      <x:c r="G118" s="84" t="n">
        <x:v>-0.33240000000000003</x:v>
      </x:c>
      <x:c r="H118" s="84" t="n">
        <x:v>-0.0786</x:v>
      </x:c>
      <x:c r="I118" s="84" t="n">
        <x:v>0.5135000000000001</x:v>
      </x:c>
      <x:c r="J118" s="84" t="n">
        <x:v>0.3846</x:v>
      </x:c>
      <x:c r="K118" s="84" t="n">
        <x:v>0.5534</x:v>
      </x:c>
      <x:c r="L118" s="85" t="n">
        <x:v>-0.142</x:v>
      </x:c>
      <x:c r="M118" s="85" t="n">
        <x:v>-0.8283</x:v>
      </x:c>
      <x:c r="N118" s="4" t="str">
        <x:v>沪深300</x:v>
      </x:c>
      <x:c r="O118" t="str">
        <x:v>第二表截止日未提供；净值补算截止日见R列</x:v>
      </x:c>
      <x:c r="P118" s="86" t="n">
        <x:v>46281</x:v>
      </x:c>
      <x:c r="Q118" s="87"/>
      <x:c r="R118" s="86"/>
      <x:c r="S118" s="87" t="n">
        <x:v>0.40130000000000005</x:v>
      </x:c>
    </x:row>
    <x:row r="119">
      <x:c r="A119" s="4" t="str">
        <x:v>盛泉恒元量化套利11号</x:v>
      </x:c>
      <x:c r="B119" s="4" t="str">
        <x:v>SEX315</x:v>
      </x:c>
      <x:c r="C119" s="4" t="str">
        <x:v>套利策略</x:v>
      </x:c>
      <x:c r="D119" s="4" t="str">
        <x:v>混合套利</x:v>
      </x:c>
      <x:c r="E119" s="4" t="str">
        <x:v>南京盛泉恒元投资</x:v>
      </x:c>
      <x:c r="F119" s="83" t="n">
        <x:v>43487</x:v>
      </x:c>
      <x:c r="G119" s="84" t="n">
        <x:v>0.09789999999999999</x:v>
      </x:c>
      <x:c r="H119" s="84" t="n">
        <x:v>0.0692</x:v>
      </x:c>
      <x:c r="I119" s="84" t="n">
        <x:v>0.7027</x:v>
      </x:c>
      <x:c r="J119" s="84" t="n">
        <x:v>0.7692</x:v>
      </x:c>
      <x:c r="K119" s="84" t="n">
        <x:v>0.0622</x:v>
      </x:c>
      <x:c r="L119" s="85" t="n">
        <x:v>1.1123</x:v>
      </x:c>
      <x:c r="M119" s="85" t="n">
        <x:v>1.9132</x:v>
      </x:c>
      <x:c r="N119" s="4" t="str">
        <x:v>沪深300</x:v>
      </x:c>
      <x:c r="O119" t="str">
        <x:v>第二表截止日未提供；净值补算截止日见R列</x:v>
      </x:c>
      <x:c r="P119" s="86" t="n">
        <x:v>46281</x:v>
      </x:c>
      <x:c r="Q119" s="87"/>
      <x:c r="R119" s="86"/>
      <x:c r="S119" s="87" t="n">
        <x:v>0.051100000000000007</x:v>
      </x:c>
    </x:row>
    <x:row r="120">
      <x:c r="A120" s="4" t="str">
        <x:v>殊馥兴义2号</x:v>
      </x:c>
      <x:c r="B120" s="4" t="str">
        <x:v>SGH592</x:v>
      </x:c>
      <x:c r="C120" s="4" t="str">
        <x:v>套利策略</x:v>
      </x:c>
      <x:c r="D120" s="4" t="str">
        <x:v>期货套利</x:v>
      </x:c>
      <x:c r="E120" s="4" t="str">
        <x:v>上海殊馥投资</x:v>
      </x:c>
      <x:c r="F120" s="83" t="n">
        <x:v>43549</x:v>
      </x:c>
      <x:c r="G120" s="84" t="n">
        <x:v>0.08310000000000001</x:v>
      </x:c>
      <x:c r="H120" s="84" t="n">
        <x:v>0.0707</x:v>
      </x:c>
      <x:c r="I120" s="84" t="n">
        <x:v>0.8108</x:v>
      </x:c>
      <x:c r="J120" s="84" t="n">
        <x:v>0.6923</x:v>
      </x:c>
      <x:c r="K120" s="84" t="n">
        <x:v>0.0216</x:v>
      </x:c>
      <x:c r="L120" s="85" t="n">
        <x:v>3.2729</x:v>
      </x:c>
      <x:c r="M120" s="85" t="n">
        <x:v>3.8492</x:v>
      </x:c>
      <x:c r="N120" s="4" t="str">
        <x:v>沪深300</x:v>
      </x:c>
      <x:c r="O120" t="str">
        <x:v>第二表截止日未提供；净值补算截止日见R列</x:v>
      </x:c>
      <x:c r="P120" s="86" t="n">
        <x:v>46281</x:v>
      </x:c>
      <x:c r="Q120" s="87"/>
      <x:c r="R120" s="86"/>
      <x:c r="S120" s="87" t="n">
        <x:v>0.0216</x:v>
      </x:c>
    </x:row>
    <x:row r="121">
      <x:c r="A121" s="4" t="str">
        <x:v>永泉奇点1号混合投资</x:v>
      </x:c>
      <x:c r="B121" s="4" t="str">
        <x:v>SGM299</x:v>
      </x:c>
      <x:c r="C121" s="4" t="str">
        <x:v>套利策略</x:v>
      </x:c>
      <x:c r="D121" s="4" t="str">
        <x:v>期货套利</x:v>
      </x:c>
      <x:c r="E121" s="4" t="str">
        <x:v>宁波永泉</x:v>
      </x:c>
      <x:c r="F121" s="83" t="n">
        <x:v>43585</x:v>
      </x:c>
      <x:c r="G121" s="84" t="n">
        <x:v>0.059000000000000004</x:v>
      </x:c>
      <x:c r="H121" s="84" t="n">
        <x:v>0.09140000000000001</x:v>
      </x:c>
      <x:c r="I121" s="84" t="n">
        <x:v>0.8649</x:v>
      </x:c>
      <x:c r="J121" s="84" t="n">
        <x:v>0.9231</x:v>
      </x:c>
      <x:c r="K121" s="84" t="n">
        <x:v>0.0144</x:v>
      </x:c>
      <x:c r="L121" s="85" t="n">
        <x:v>6.3414</x:v>
      </x:c>
      <x:c r="M121" s="85" t="n">
        <x:v>25.0412</x:v>
      </x:c>
      <x:c r="N121" s="4" t="str">
        <x:v>沪深300</x:v>
      </x:c>
      <x:c r="O121" t="str">
        <x:v>第二表截止日未提供；净值补算截止日见R列</x:v>
      </x:c>
      <x:c r="P121" s="86" t="n">
        <x:v>46281</x:v>
      </x:c>
      <x:c r="Q121" s="87"/>
      <x:c r="R121" s="86"/>
      <x:c r="S121" s="87" t="n">
        <x:v>0.0024</x:v>
      </x:c>
    </x:row>
    <x:row r="122">
      <x:c r="A122" s="4" t="str">
        <x:v>宏量鼎诚</x:v>
      </x:c>
      <x:c r="B122" s="4" t="str">
        <x:v>SGQ716</x:v>
      </x:c>
      <x:c r="C122" s="4" t="str">
        <x:v>套利策略</x:v>
      </x:c>
      <x:c r="D122" s="4" t="str">
        <x:v>基金套利</x:v>
      </x:c>
      <x:c r="E122" s="4" t="str">
        <x:v>北京宏量资管</x:v>
      </x:c>
      <x:c r="F122" s="83" t="n">
        <x:v>43613</x:v>
      </x:c>
      <x:c r="G122" s="84" t="n">
        <x:v>-0.0268</x:v>
      </x:c>
      <x:c r="H122" s="84" t="n">
        <x:v>0.14529999999999998</x:v>
      </x:c>
      <x:c r="I122" s="84" t="n">
        <x:v>0.5676</x:v>
      </x:c>
      <x:c r="J122" s="84" t="n">
        <x:v>0.3077</x:v>
      </x:c>
      <x:c r="K122" s="84" t="n">
        <x:v>0.0281</x:v>
      </x:c>
      <x:c r="L122" s="85" t="n">
        <x:v>5.1715</x:v>
      </x:c>
      <x:c r="M122" s="85" t="n">
        <x:v>-0.9537</x:v>
      </x:c>
      <x:c r="N122" s="4" t="str">
        <x:v>沪深300</x:v>
      </x:c>
      <x:c r="O122" t="str">
        <x:v>第二表截止日未提供；净值补算截止日见R列</x:v>
      </x:c>
      <x:c r="P122" s="86" t="n">
        <x:v>46281</x:v>
      </x:c>
      <x:c r="Q122" s="87"/>
      <x:c r="R122" s="86"/>
      <x:c r="S122" s="87" t="n">
        <x:v>0.0281</x:v>
      </x:c>
    </x:row>
    <x:row r="123">
      <x:c r="A123" s="4" t="str">
        <x:v>永泉奇点2号混合投资</x:v>
      </x:c>
      <x:c r="B123" s="4" t="str">
        <x:v>SJB356</x:v>
      </x:c>
      <x:c r="C123" s="4" t="str">
        <x:v>套利策略</x:v>
      </x:c>
      <x:c r="D123" s="4" t="str">
        <x:v>期货套利</x:v>
      </x:c>
      <x:c r="E123" s="4" t="str">
        <x:v>宁波永泉</x:v>
      </x:c>
      <x:c r="F123" s="83" t="n">
        <x:v>43728</x:v>
      </x:c>
      <x:c r="G123" s="84" t="n">
        <x:v>0.054299999999999994</x:v>
      </x:c>
      <x:c r="H123" s="84" t="n">
        <x:v>0.1206</x:v>
      </x:c>
      <x:c r="I123" s="84" t="n">
        <x:v>0.8649</x:v>
      </x:c>
      <x:c r="J123" s="84" t="n">
        <x:v>1</x:v>
      </x:c>
      <x:c r="K123" s="84" t="n">
        <x:v>0.0227</x:v>
      </x:c>
      <x:c r="L123" s="85" t="n">
        <x:v>5.3032</x:v>
      </x:c>
      <x:c r="M123" s="85" t="n">
        <x:v>17.0322</x:v>
      </x:c>
      <x:c r="N123" s="4" t="str">
        <x:v>沪深300</x:v>
      </x:c>
      <x:c r="O123" t="str">
        <x:v>第二表截止日未提供；净值补算截止日见R列</x:v>
      </x:c>
      <x:c r="P123" s="86" t="n">
        <x:v>46281</x:v>
      </x:c>
      <x:c r="Q123" s="87"/>
      <x:c r="R123" s="86"/>
      <x:c r="S123" s="87" t="n">
        <x:v>0.0032</x:v>
      </x:c>
    </x:row>
    <x:row r="124">
      <x:c r="A124" s="4" t="str">
        <x:v>厦门言起博士一号</x:v>
      </x:c>
      <x:c r="B124" s="4" t="str">
        <x:v>SJR679</x:v>
      </x:c>
      <x:c r="C124" s="4" t="str">
        <x:v>套利策略</x:v>
      </x:c>
      <x:c r="D124" s="4" t="str">
        <x:v>期权套利</x:v>
      </x:c>
      <x:c r="E124" s="4" t="str">
        <x:v>厦门言起投资</x:v>
      </x:c>
      <x:c r="F124" s="83" t="n">
        <x:v>43881</x:v>
      </x:c>
      <x:c r="G124" s="84" t="n">
        <x:v>-0.0984</x:v>
      </x:c>
      <x:c r="H124" s="84" t="n">
        <x:v>-0.0072</x:v>
      </x:c>
      <x:c r="I124" s="84" t="n">
        <x:v>0.6215999999999999</x:v>
      </x:c>
      <x:c r="J124" s="84" t="n">
        <x:v>0.5385</x:v>
      </x:c>
      <x:c r="K124" s="84" t="n">
        <x:v>0.13119999999999998</x:v>
      </x:c>
      <x:c r="L124" s="85" t="n">
        <x:v>-0.0546</x:v>
      </x:c>
      <x:c r="M124" s="85" t="n">
        <x:v>-0.75</x:v>
      </x:c>
      <x:c r="N124" s="4" t="str">
        <x:v>沪深300</x:v>
      </x:c>
      <x:c r="O124" t="str">
        <x:v>第二表截止日未提供；净值补算截止日见R列</x:v>
      </x:c>
      <x:c r="P124" s="86" t="n">
        <x:v>46281</x:v>
      </x:c>
      <x:c r="Q124" s="87"/>
      <x:c r="R124" s="86"/>
      <x:c r="S124" s="87" t="n">
        <x:v>0.13119999999999998</x:v>
      </x:c>
    </x:row>
    <x:row r="125">
      <x:c r="A125" s="4" t="str">
        <x:v>平凡浩睿</x:v>
      </x:c>
      <x:c r="B125" s="4" t="str">
        <x:v>SJS890</x:v>
      </x:c>
      <x:c r="C125" s="4" t="str">
        <x:v>套利策略</x:v>
      </x:c>
      <x:c r="D125" s="4" t="str">
        <x:v>基金套利</x:v>
      </x:c>
      <x:c r="E125" s="4" t="str">
        <x:v>北京平凡</x:v>
      </x:c>
      <x:c r="F125" s="83" t="n">
        <x:v>43894</x:v>
      </x:c>
      <x:c r="G125" s="84" t="n">
        <x:v>0.1923</x:v>
      </x:c>
      <x:c r="H125" s="84" t="n">
        <x:v>0.1378</x:v>
      </x:c>
      <x:c r="I125" s="84" t="n">
        <x:v>0.8649</x:v>
      </x:c>
      <x:c r="J125" s="84" t="n">
        <x:v>0.9231</x:v>
      </x:c>
      <x:c r="K125" s="84" t="n">
        <x:v>0.025699999999999997</x:v>
      </x:c>
      <x:c r="L125" s="85" t="n">
        <x:v>5.3568</x:v>
      </x:c>
      <x:c r="M125" s="85" t="n">
        <x:v>48.0868</x:v>
      </x:c>
      <x:c r="N125" s="4" t="str">
        <x:v>沪深300</x:v>
      </x:c>
      <x:c r="O125" t="str">
        <x:v>第二表截止日未提供；净值补算截止日见R列</x:v>
      </x:c>
      <x:c r="P125" s="86" t="n">
        <x:v>46281</x:v>
      </x:c>
      <x:c r="Q125" s="87"/>
      <x:c r="R125" s="86"/>
      <x:c r="S125" s="87" t="n">
        <x:v>0.004</x:v>
      </x:c>
    </x:row>
    <x:row r="126">
      <x:c r="A126" s="4" t="str">
        <x:v>博普日添月益</x:v>
      </x:c>
      <x:c r="B126" s="4" t="str">
        <x:v>SJW903</x:v>
      </x:c>
      <x:c r="C126" s="4" t="str">
        <x:v>套利策略</x:v>
      </x:c>
      <x:c r="D126" s="4" t="str">
        <x:v>基金套利</x:v>
      </x:c>
      <x:c r="E126" s="4" t="str">
        <x:v>深圳前海博普资管</x:v>
      </x:c>
      <x:c r="F126" s="83" t="n">
        <x:v>43917</x:v>
      </x:c>
      <x:c r="G126" s="84" t="n">
        <x:v>0.0704</x:v>
      </x:c>
      <x:c r="H126" s="84" t="n">
        <x:v>0.06</x:v>
      </x:c>
      <x:c r="I126" s="84" t="n">
        <x:v>0.8919</x:v>
      </x:c>
      <x:c r="J126" s="84" t="n">
        <x:v>1</x:v>
      </x:c>
      <x:c r="K126" s="84" t="n">
        <x:v>0.0282</x:v>
      </x:c>
      <x:c r="L126" s="85" t="n">
        <x:v>2.1266</x:v>
      </x:c>
      <x:c r="M126" s="85" t="n">
        <x:v>9.1796</x:v>
      </x:c>
      <x:c r="N126" s="4" t="str">
        <x:v>沪深300</x:v>
      </x:c>
      <x:c r="O126" t="str">
        <x:v>第二表截止日未提供；净值补算截止日见R列</x:v>
      </x:c>
      <x:c r="P126" s="86" t="n">
        <x:v>46281</x:v>
      </x:c>
      <x:c r="Q126" s="87"/>
      <x:c r="R126" s="86"/>
      <x:c r="S126" s="87" t="n">
        <x:v>0.0077</x:v>
      </x:c>
    </x:row>
    <x:row r="127">
      <x:c r="A127" s="4" t="str">
        <x:v>鸣熙资产-招享套利1号</x:v>
      </x:c>
      <x:c r="B127" s="4" t="str">
        <x:v>SJZ381</x:v>
      </x:c>
      <x:c r="C127" s="4" t="str">
        <x:v>套利策略</x:v>
      </x:c>
      <x:c r="D127" s="4" t="str">
        <x:v>期货套利</x:v>
      </x:c>
      <x:c r="E127" s="4" t="str">
        <x:v>鸣熙资本</x:v>
      </x:c>
      <x:c r="F127" s="83" t="n">
        <x:v>43937</x:v>
      </x:c>
      <x:c r="G127" s="84" t="n">
        <x:v>0.0424</x:v>
      </x:c>
      <x:c r="H127" s="84" t="n">
        <x:v>0.0737</x:v>
      </x:c>
      <x:c r="I127" s="84" t="n">
        <x:v>0.8919</x:v>
      </x:c>
      <x:c r="J127" s="84" t="n">
        <x:v>0.6923</x:v>
      </x:c>
      <x:c r="K127" s="84" t="n">
        <x:v>0.004699999999999999</x:v>
      </x:c>
      <x:c r="L127" s="85" t="n">
        <x:v>15.7244</x:v>
      </x:c>
      <x:c r="M127" s="85" t="n">
        <x:v>9.0449</x:v>
      </x:c>
      <x:c r="N127" s="4" t="str">
        <x:v>沪深300</x:v>
      </x:c>
      <x:c r="O127" t="str">
        <x:v>第二表截止日未提供；净值补算截止日见R列</x:v>
      </x:c>
      <x:c r="P127" s="86" t="n">
        <x:v>46281</x:v>
      </x:c>
      <x:c r="Q127" s="87"/>
      <x:c r="R127" s="86"/>
      <x:c r="S127" s="87" t="n">
        <x:v>0.004699999999999999</x:v>
      </x:c>
    </x:row>
    <x:row r="128">
      <x:c r="A128" s="4" t="str">
        <x:v>盛冠达量化套利6号</x:v>
      </x:c>
      <x:c r="B128" s="4" t="str">
        <x:v>SJZ209</x:v>
      </x:c>
      <x:c r="C128" s="4" t="str">
        <x:v>套利策略</x:v>
      </x:c>
      <x:c r="D128" s="4" t="str">
        <x:v>期货套利</x:v>
      </x:c>
      <x:c r="E128" s="4" t="str">
        <x:v>海南盛冠达</x:v>
      </x:c>
      <x:c r="F128" s="83" t="n">
        <x:v>43983</x:v>
      </x:c>
      <x:c r="G128" s="84" t="n">
        <x:v>0.038599999999999995</x:v>
      </x:c>
      <x:c r="H128" s="84" t="n">
        <x:v>0.0373</x:v>
      </x:c>
      <x:c r="I128" s="84" t="n">
        <x:v>0.6486</x:v>
      </x:c>
      <x:c r="J128" s="84" t="n">
        <x:v>0.6154</x:v>
      </x:c>
      <x:c r="K128" s="84" t="n">
        <x:v>0.042199999999999994</x:v>
      </x:c>
      <x:c r="L128" s="85" t="n">
        <x:v>0.8835</x:v>
      </x:c>
      <x:c r="M128" s="85" t="n">
        <x:v>1.8359</x:v>
      </x:c>
      <x:c r="N128" s="4" t="str">
        <x:v>沪深300</x:v>
      </x:c>
      <x:c r="O128" t="str">
        <x:v>第二表截止日未提供；净值补算截止日见R列</x:v>
      </x:c>
      <x:c r="P128" s="86" t="n">
        <x:v>46281</x:v>
      </x:c>
      <x:c r="Q128" s="87"/>
      <x:c r="R128" s="86"/>
      <x:c r="S128" s="87" t="n">
        <x:v>0.021</x:v>
      </x:c>
    </x:row>
    <x:row r="129">
      <x:c r="A129" s="4" t="str">
        <x:v>盛泉恒元量化套利27号</x:v>
      </x:c>
      <x:c r="B129" s="4" t="str">
        <x:v>SJY718</x:v>
      </x:c>
      <x:c r="C129" s="4" t="str">
        <x:v>套利策略</x:v>
      </x:c>
      <x:c r="D129" s="4" t="str">
        <x:v>混合套利</x:v>
      </x:c>
      <x:c r="E129" s="4" t="str">
        <x:v>南京盛泉恒元投资</x:v>
      </x:c>
      <x:c r="F129" s="83" t="n">
        <x:v>43998</x:v>
      </x:c>
      <x:c r="G129" s="84" t="n">
        <x:v>0.0902</x:v>
      </x:c>
      <x:c r="H129" s="84" t="n">
        <x:v>0.0664</x:v>
      </x:c>
      <x:c r="I129" s="84" t="n">
        <x:v>0.7027</x:v>
      </x:c>
      <x:c r="J129" s="84" t="n">
        <x:v>0.7692</x:v>
      </x:c>
      <x:c r="K129" s="84" t="n">
        <x:v>0.0605</x:v>
      </x:c>
      <x:c r="L129" s="85" t="n">
        <x:v>1.098</x:v>
      </x:c>
      <x:c r="M129" s="85" t="n">
        <x:v>1.6156</x:v>
      </x:c>
      <x:c r="N129" s="4" t="str">
        <x:v>沪深300</x:v>
      </x:c>
      <x:c r="O129" t="str">
        <x:v>第二表截止日未提供；净值补算截止日见R列</x:v>
      </x:c>
      <x:c r="P129" s="86" t="n">
        <x:v>46281</x:v>
      </x:c>
      <x:c r="Q129" s="87"/>
      <x:c r="R129" s="86"/>
      <x:c r="S129" s="87" t="n">
        <x:v>0.0559</x:v>
      </x:c>
    </x:row>
    <x:row r="130">
      <x:c r="A130" s="4" t="str">
        <x:v>杉阳云杉转债1号</x:v>
      </x:c>
      <x:c r="B130" s="4" t="str">
        <x:v>SLE395</x:v>
      </x:c>
      <x:c r="C130" s="4" t="str">
        <x:v>套利策略</x:v>
      </x:c>
      <x:c r="D130" s="4" t="str">
        <x:v>可转债套利</x:v>
      </x:c>
      <x:c r="E130" s="4" t="str">
        <x:v>上海杉阳</x:v>
      </x:c>
      <x:c r="F130" s="83" t="n">
        <x:v>43998</x:v>
      </x:c>
      <x:c r="G130" s="84" t="n">
        <x:v>0.0104</x:v>
      </x:c>
      <x:c r="H130" s="84" t="n">
        <x:v>0.054000000000000006</x:v>
      </x:c>
      <x:c r="I130" s="84" t="n">
        <x:v>0.6757</x:v>
      </x:c>
      <x:c r="J130" s="84" t="n">
        <x:v>0.5385</x:v>
      </x:c>
      <x:c r="K130" s="84" t="n">
        <x:v>0.0526</x:v>
      </x:c>
      <x:c r="L130" s="85" t="n">
        <x:v>1.0251</x:v>
      </x:c>
      <x:c r="M130" s="85" t="n">
        <x:v>0.3411</x:v>
      </x:c>
      <x:c r="N130" s="4" t="str">
        <x:v>沪深300</x:v>
      </x:c>
      <x:c r="O130" t="str">
        <x:v>第二表截止日未提供；净值补算截止日见R列</x:v>
      </x:c>
      <x:c r="P130" s="86" t="n">
        <x:v>46281</x:v>
      </x:c>
      <x:c r="Q130" s="87"/>
      <x:c r="R130" s="86"/>
      <x:c r="S130" s="87" t="n">
        <x:v>0.0305</x:v>
      </x:c>
    </x:row>
    <x:row r="131">
      <x:c r="A131" s="4" t="str">
        <x:v>聚亿具臻</x:v>
      </x:c>
      <x:c r="B131" s="4" t="str">
        <x:v>SLM995</x:v>
      </x:c>
      <x:c r="C131" s="4" t="str">
        <x:v>套利策略</x:v>
      </x:c>
      <x:c r="D131" s="4" t="str">
        <x:v>期货套利</x:v>
      </x:c>
      <x:c r="E131" s="4" t="str">
        <x:v>珠海聚亿基金</x:v>
      </x:c>
      <x:c r="F131" s="83" t="n">
        <x:v>44061</x:v>
      </x:c>
      <x:c r="G131" s="84" t="n">
        <x:v>0.3188</x:v>
      </x:c>
      <x:c r="H131" s="84" t="n">
        <x:v>0.2515</x:v>
      </x:c>
      <x:c r="I131" s="84" t="n">
        <x:v>0.6486</x:v>
      </x:c>
      <x:c r="J131" s="84" t="n">
        <x:v>0.7692</x:v>
      </x:c>
      <x:c r="K131" s="84" t="n">
        <x:v>0.078</x:v>
      </x:c>
      <x:c r="L131" s="85" t="n">
        <x:v>3.2239</x:v>
      </x:c>
      <x:c r="M131" s="85" t="n">
        <x:v>10.8666</x:v>
      </x:c>
      <x:c r="N131" s="4" t="str">
        <x:v>沪深300</x:v>
      </x:c>
      <x:c r="O131" t="str">
        <x:v>第二表截止日未提供；净值补算截止日见R列</x:v>
      </x:c>
      <x:c r="P131" s="86" t="n">
        <x:v>46281</x:v>
      </x:c>
      <x:c r="Q131" s="87"/>
      <x:c r="R131" s="86"/>
      <x:c r="S131" s="87" t="n">
        <x:v>0.029300000000000003</x:v>
      </x:c>
    </x:row>
    <x:row r="132">
      <x:c r="A132" s="4" t="str">
        <x:v>盛泉恒元量化套利31号</x:v>
      </x:c>
      <x:c r="B132" s="4" t="str">
        <x:v>SLM933</x:v>
      </x:c>
      <x:c r="C132" s="4" t="str">
        <x:v>套利策略</x:v>
      </x:c>
      <x:c r="D132" s="4" t="str">
        <x:v>混合套利</x:v>
      </x:c>
      <x:c r="E132" s="4" t="str">
        <x:v>南京盛泉恒元投资</x:v>
      </x:c>
      <x:c r="F132" s="83" t="n">
        <x:v>44069</x:v>
      </x:c>
      <x:c r="G132" s="84" t="n">
        <x:v>0.0913</x:v>
      </x:c>
      <x:c r="H132" s="84" t="n">
        <x:v>0.0626</x:v>
      </x:c>
      <x:c r="I132" s="84" t="n">
        <x:v>0.7297</x:v>
      </x:c>
      <x:c r="J132" s="84" t="n">
        <x:v>0.7692</x:v>
      </x:c>
      <x:c r="K132" s="84" t="n">
        <x:v>0.0662</x:v>
      </x:c>
      <x:c r="L132" s="85" t="n">
        <x:v>0.946</x:v>
      </x:c>
      <x:c r="M132" s="85" t="n">
        <x:v>1.6627</x:v>
      </x:c>
      <x:c r="N132" s="4" t="str">
        <x:v>沪深300</x:v>
      </x:c>
      <x:c r="O132" t="str">
        <x:v>第二表截止日未提供；净值补算截止日见R列</x:v>
      </x:c>
      <x:c r="P132" s="86" t="n">
        <x:v>46281</x:v>
      </x:c>
      <x:c r="Q132" s="87"/>
      <x:c r="R132" s="86"/>
      <x:c r="S132" s="87" t="n">
        <x:v>0.054900000000000004</x:v>
      </x:c>
    </x:row>
    <x:row r="133">
      <x:c r="A133" s="4" t="str">
        <x:v>俊丹湾谷二号</x:v>
      </x:c>
      <x:c r="B133" s="4" t="str">
        <x:v>SLQ627</x:v>
      </x:c>
      <x:c r="C133" s="4" t="str">
        <x:v>套利策略</x:v>
      </x:c>
      <x:c r="D133" s="4" t="str">
        <x:v>可转债套利</x:v>
      </x:c>
      <x:c r="E133" s="4" t="str">
        <x:v>上海俊丹</x:v>
      </x:c>
      <x:c r="F133" s="83" t="n">
        <x:v>44069</x:v>
      </x:c>
      <x:c r="G133" s="84" t="n">
        <x:v>0.0416</x:v>
      </x:c>
      <x:c r="H133" s="84" t="n">
        <x:v>0.0527</x:v>
      </x:c>
      <x:c r="I133" s="84" t="n">
        <x:v>0.7837999999999999</x:v>
      </x:c>
      <x:c r="J133" s="84" t="n">
        <x:v>0.7692</x:v>
      </x:c>
      <x:c r="K133" s="84" t="n">
        <x:v>0.0126</x:v>
      </x:c>
      <x:c r="L133" s="85" t="n">
        <x:v>4.1684</x:v>
      </x:c>
      <x:c r="M133" s="85" t="n">
        <x:v>3.2955</x:v>
      </x:c>
      <x:c r="N133" s="4" t="str">
        <x:v>沪深300</x:v>
      </x:c>
      <x:c r="O133" t="str">
        <x:v>第二表截止日未提供；净值补算截止日见R列</x:v>
      </x:c>
      <x:c r="P133" s="86" t="n">
        <x:v>46281</x:v>
      </x:c>
      <x:c r="Q133" s="87"/>
      <x:c r="R133" s="86"/>
      <x:c r="S133" s="87" t="n">
        <x:v>0.0126</x:v>
      </x:c>
    </x:row>
    <x:row r="134">
      <x:c r="A134" s="4" t="str">
        <x:v>永泉奇点17号混合投资</x:v>
      </x:c>
      <x:c r="B134" s="4" t="str">
        <x:v>SNG016</x:v>
      </x:c>
      <x:c r="C134" s="4" t="str">
        <x:v>套利策略</x:v>
      </x:c>
      <x:c r="D134" s="4" t="str">
        <x:v>期货套利</x:v>
      </x:c>
      <x:c r="E134" s="4" t="str">
        <x:v>宁波永泉</x:v>
      </x:c>
      <x:c r="F134" s="83" t="n">
        <x:v>44155</x:v>
      </x:c>
      <x:c r="G134" s="84" t="n">
        <x:v>0.052000000000000005</x:v>
      </x:c>
      <x:c r="H134" s="84" t="n">
        <x:v>0.1173</x:v>
      </x:c>
      <x:c r="I134" s="84" t="n">
        <x:v>0.8108</x:v>
      </x:c>
      <x:c r="J134" s="84" t="n">
        <x:v>0.8462000000000001</x:v>
      </x:c>
      <x:c r="K134" s="84" t="n">
        <x:v>0.0108</x:v>
      </x:c>
      <x:c r="L134" s="85" t="n">
        <x:v>10.9059</x:v>
      </x:c>
      <x:c r="M134" s="85" t="n">
        <x:v>14.2093</x:v>
      </x:c>
      <x:c r="N134" s="4" t="str">
        <x:v>沪深300</x:v>
      </x:c>
      <x:c r="O134" t="str">
        <x:v>第二表截止日未提供；净值补算截止日见R列</x:v>
      </x:c>
      <x:c r="P134" s="86" t="n">
        <x:v>46281</x:v>
      </x:c>
      <x:c r="Q134" s="87"/>
      <x:c r="R134" s="86"/>
      <x:c r="S134" s="87" t="n">
        <x:v>0.0037</x:v>
      </x:c>
    </x:row>
    <x:row r="135">
      <x:c r="A135" s="4" t="str">
        <x:v>多打粮磬晟</x:v>
      </x:c>
      <x:c r="B135" s="4" t="str">
        <x:v>SNF235</x:v>
      </x:c>
      <x:c r="C135" s="4" t="str">
        <x:v>套利策略</x:v>
      </x:c>
      <x:c r="D135" s="4" t="str">
        <x:v>股票套利</x:v>
      </x:c>
      <x:c r="E135" s="4" t="str">
        <x:v>上海磬晟</x:v>
      </x:c>
      <x:c r="F135" s="83" t="n">
        <x:v>44175</x:v>
      </x:c>
      <x:c r="G135" s="84" t="n">
        <x:v>0</x:v>
      </x:c>
      <x:c r="H135" s="84" t="n">
        <x:v>-0.01</x:v>
      </x:c>
      <x:c r="I135" s="84" t="n">
        <x:v>0.5405</x:v>
      </x:c>
      <x:c r="J135" s="84" t="n">
        <x:v>0.6154</x:v>
      </x:c>
      <x:c r="K135" s="84" t="n">
        <x:v>0.1151</x:v>
      </x:c>
      <x:c r="L135" s="85" t="n">
        <x:v>-0.087</x:v>
      </x:c>
      <x:c r="M135" s="85" t="n">
        <x:v>0.0001</x:v>
      </x:c>
      <x:c r="N135" s="4" t="str">
        <x:v>沪深300</x:v>
      </x:c>
      <x:c r="O135" t="str">
        <x:v>第二表截止日未提供；净值补算截止日见R列</x:v>
      </x:c>
      <x:c r="P135" s="86" t="n">
        <x:v>46281</x:v>
      </x:c>
      <x:c r="Q135" s="87"/>
      <x:c r="R135" s="86"/>
      <x:c r="S135" s="87" t="n">
        <x:v>0.07</x:v>
      </x:c>
    </x:row>
    <x:row r="136">
      <x:c r="A136" s="4" t="str">
        <x:v>元康投资-稳健添利1号</x:v>
      </x:c>
      <x:c r="B136" s="4" t="str">
        <x:v>SNF469</x:v>
      </x:c>
      <x:c r="C136" s="4" t="str">
        <x:v>套利策略</x:v>
      </x:c>
      <x:c r="D136" s="4" t="str">
        <x:v>-</x:v>
      </x:c>
      <x:c r="E136" s="4" t="str">
        <x:v>上海元康投资</x:v>
      </x:c>
      <x:c r="F136" s="83" t="n">
        <x:v>44195</x:v>
      </x:c>
      <x:c r="G136" s="84" t="n">
        <x:v>0.0096</x:v>
      </x:c>
      <x:c r="H136" s="84" t="n">
        <x:v>0.0417</x:v>
      </x:c>
      <x:c r="I136" s="84" t="n">
        <x:v>0.5135000000000001</x:v>
      </x:c>
      <x:c r="J136" s="84" t="n">
        <x:v>0.3846</x:v>
      </x:c>
      <x:c r="K136" s="84" t="n">
        <x:v>0.012199999999999999</x:v>
      </x:c>
      <x:c r="L136" s="85" t="n">
        <x:v>3.4249</x:v>
      </x:c>
      <x:c r="M136" s="85" t="n">
        <x:v>1.0795</x:v>
      </x:c>
      <x:c r="N136" s="4" t="str">
        <x:v>沪深300</x:v>
      </x:c>
      <x:c r="O136" t="str">
        <x:v>第二表截止日未提供；净值补算截止日见R列</x:v>
      </x:c>
      <x:c r="P136" s="86" t="n">
        <x:v>46281</x:v>
      </x:c>
      <x:c r="Q136" s="87"/>
      <x:c r="R136" s="86"/>
      <x:c r="S136" s="87" t="n">
        <x:v>0.0088</x:v>
      </x:c>
    </x:row>
    <x:row r="137">
      <x:c r="A137" s="4" t="str">
        <x:v>鹿秀驯鹿20号</x:v>
      </x:c>
      <x:c r="B137" s="4" t="str">
        <x:v>SNQ397</x:v>
      </x:c>
      <x:c r="C137" s="4" t="str">
        <x:v>套利策略</x:v>
      </x:c>
      <x:c r="D137" s="4" t="str">
        <x:v>-</x:v>
      </x:c>
      <x:c r="E137" s="4" t="str">
        <x:v>青岛鹿秀投资</x:v>
      </x:c>
      <x:c r="F137" s="83" t="n">
        <x:v>44223</x:v>
      </x:c>
      <x:c r="G137" s="84" t="n">
        <x:v>0.25489999999999996</x:v>
      </x:c>
      <x:c r="H137" s="84" t="n">
        <x:v>0.2298</x:v>
      </x:c>
      <x:c r="I137" s="84" t="n">
        <x:v>0.5405</x:v>
      </x:c>
      <x:c r="J137" s="84" t="n">
        <x:v>0.6154</x:v>
      </x:c>
      <x:c r="K137" s="84" t="n">
        <x:v>0.2735</x:v>
      </x:c>
      <x:c r="L137" s="85" t="n">
        <x:v>0.8404</x:v>
      </x:c>
      <x:c r="M137" s="85" t="n">
        <x:v>1.8915</x:v>
      </x:c>
      <x:c r="N137" s="4" t="str">
        <x:v>沪深300</x:v>
      </x:c>
      <x:c r="O137" t="str">
        <x:v>第二表截止日未提供；净值补算截止日见R列</x:v>
      </x:c>
      <x:c r="P137" s="86" t="n">
        <x:v>46281</x:v>
      </x:c>
      <x:c r="Q137" s="87"/>
      <x:c r="R137" s="86"/>
      <x:c r="S137" s="87" t="n">
        <x:v>0.1348</x:v>
      </x:c>
    </x:row>
    <x:row r="138">
      <x:c r="A138" s="4" t="str">
        <x:v>宣夜投资涓流二号</x:v>
      </x:c>
      <x:c r="B138" s="4" t="str">
        <x:v>SQL764</x:v>
      </x:c>
      <x:c r="C138" s="4" t="str">
        <x:v>套利策略</x:v>
      </x:c>
      <x:c r="D138" s="4" t="str">
        <x:v>期货套利</x:v>
      </x:c>
      <x:c r="E138" s="4" t="str">
        <x:v>上海宣夜投资</x:v>
      </x:c>
      <x:c r="F138" s="83" t="n">
        <x:v>44327</x:v>
      </x:c>
      <x:c r="G138" s="84" t="n">
        <x:v>0.028399999999999998</x:v>
      </x:c>
      <x:c r="H138" s="84" t="n">
        <x:v>0.0405</x:v>
      </x:c>
      <x:c r="I138" s="84" t="n">
        <x:v>0.6486</x:v>
      </x:c>
      <x:c r="J138" s="84" t="n">
        <x:v>0.46149999999999997</x:v>
      </x:c>
      <x:c r="K138" s="84" t="n">
        <x:v>0.028300000000000002</x:v>
      </x:c>
      <x:c r="L138" s="85" t="n">
        <x:v>1.4309</x:v>
      </x:c>
      <x:c r="M138" s="85" t="n">
        <x:v>1.0033</x:v>
      </x:c>
      <x:c r="N138" s="4" t="str">
        <x:v>沪深300</x:v>
      </x:c>
      <x:c r="O138" t="str">
        <x:v>第二表截止日未提供；净值补算截止日见R列</x:v>
      </x:c>
      <x:c r="P138" s="86" t="n">
        <x:v>46281</x:v>
      </x:c>
      <x:c r="Q138" s="87"/>
      <x:c r="R138" s="86"/>
      <x:c r="S138" s="87" t="n">
        <x:v>0.028300000000000002</x:v>
      </x:c>
    </x:row>
    <x:row r="139">
      <x:c r="A139" s="4" t="str">
        <x:v>永泉奇点18号混合投资</x:v>
      </x:c>
      <x:c r="B139" s="4" t="str">
        <x:v>SNK980</x:v>
      </x:c>
      <x:c r="C139" s="4" t="str">
        <x:v>套利策略</x:v>
      </x:c>
      <x:c r="D139" s="4" t="str">
        <x:v>混合套利</x:v>
      </x:c>
      <x:c r="E139" s="4" t="str">
        <x:v>宁波永泉</x:v>
      </x:c>
      <x:c r="F139" s="83" t="n">
        <x:v>44334</x:v>
      </x:c>
      <x:c r="G139" s="84" t="n">
        <x:v>0.0391</x:v>
      </x:c>
      <x:c r="H139" s="84" t="n">
        <x:v>0.0663</x:v>
      </x:c>
      <x:c r="I139" s="84" t="n">
        <x:v>0.7568</x:v>
      </x:c>
      <x:c r="J139" s="84" t="n">
        <x:v>0.7692</x:v>
      </x:c>
      <x:c r="K139" s="84" t="n">
        <x:v>0.0174</x:v>
      </x:c>
      <x:c r="L139" s="85" t="n">
        <x:v>3.815</x:v>
      </x:c>
      <x:c r="M139" s="85" t="n">
        <x:v>4.3304</x:v>
      </x:c>
      <x:c r="N139" s="4" t="str">
        <x:v>沪深300</x:v>
      </x:c>
      <x:c r="O139" t="str">
        <x:v>第二表截止日未提供；净值补算截止日见R列</x:v>
      </x:c>
      <x:c r="P139" s="86" t="n">
        <x:v>46281</x:v>
      </x:c>
      <x:c r="Q139" s="87"/>
      <x:c r="R139" s="86"/>
      <x:c r="S139" s="87" t="n">
        <x:v>0.009000000000000001</x:v>
      </x:c>
    </x:row>
    <x:row r="140">
      <x:c r="A140" s="4" t="str">
        <x:v>惠隆金选套利1号</x:v>
      </x:c>
      <x:c r="B140" s="4" t="str">
        <x:v>SQG026</x:v>
      </x:c>
      <x:c r="C140" s="4" t="str">
        <x:v>套利策略</x:v>
      </x:c>
      <x:c r="D140" s="4" t="str">
        <x:v>期货套利</x:v>
      </x:c>
      <x:c r="E140" s="4" t="str">
        <x:v>北京惠隆资管</x:v>
      </x:c>
      <x:c r="F140" s="83" t="n">
        <x:v>44462</x:v>
      </x:c>
      <x:c r="G140" s="84" t="n">
        <x:v>0.13369999999999999</x:v>
      </x:c>
      <x:c r="H140" s="84" t="n">
        <x:v>0.1664</x:v>
      </x:c>
      <x:c r="I140" s="84" t="n">
        <x:v>1</x:v>
      </x:c>
      <x:c r="J140" s="84" t="n">
        <x:v>1</x:v>
      </x:c>
      <x:c r="K140" s="84" t="n">
        <x:v>0.0027</x:v>
      </x:c>
      <x:c r="L140" s="85" t="n">
        <x:v>61.1162</x:v>
      </x:c>
      <x:c r="M140" s="85" t="n">
        <x:v>49.1192</x:v>
      </x:c>
      <x:c r="N140" s="4" t="str">
        <x:v>沪深300</x:v>
      </x:c>
      <x:c r="O140" t="str">
        <x:v>第二表截止日未提供；净值补算截止日见R列</x:v>
      </x:c>
      <x:c r="P140" s="86" t="n">
        <x:v>46281</x:v>
      </x:c>
      <x:c r="Q140" s="87"/>
      <x:c r="R140" s="86"/>
      <x:c r="S140" s="87" t="n">
        <x:v>0.0027</x:v>
      </x:c>
    </x:row>
    <x:row r="141">
      <x:c r="A141" s="4" t="str">
        <x:v>景鹏稳进1号</x:v>
      </x:c>
      <x:c r="B141" s="4" t="str">
        <x:v>SSX278</x:v>
      </x:c>
      <x:c r="C141" s="4" t="str">
        <x:v>套利策略</x:v>
      </x:c>
      <x:c r="D141" s="4" t="str">
        <x:v>期货套利</x:v>
      </x:c>
      <x:c r="E141" s="4" t="str">
        <x:v>上海景鹏</x:v>
      </x:c>
      <x:c r="F141" s="83" t="n">
        <x:v>44480</x:v>
      </x:c>
      <x:c r="G141" s="84" t="n">
        <x:v>0.0673</x:v>
      </x:c>
      <x:c r="H141" s="84" t="n">
        <x:v>0.061</x:v>
      </x:c>
      <x:c r="I141" s="84" t="n">
        <x:v>0.8919</x:v>
      </x:c>
      <x:c r="J141" s="84" t="n">
        <x:v>0.9231</x:v>
      </x:c>
      <x:c r="K141" s="84" t="n">
        <x:v>0.0161</x:v>
      </x:c>
      <x:c r="L141" s="85" t="n">
        <x:v>3.78</x:v>
      </x:c>
      <x:c r="M141" s="85" t="n">
        <x:v>10.6822</x:v>
      </x:c>
      <x:c r="N141" s="4" t="str">
        <x:v>沪深300</x:v>
      </x:c>
      <x:c r="O141" t="str">
        <x:v>第二表截止日未提供；净值补算截止日见R列</x:v>
      </x:c>
      <x:c r="P141" s="86" t="n">
        <x:v>46281</x:v>
      </x:c>
      <x:c r="Q141" s="87"/>
      <x:c r="R141" s="86"/>
      <x:c r="S141" s="87" t="n">
        <x:v>0.0063</x:v>
      </x:c>
    </x:row>
    <x:row r="142">
      <x:c r="A142" s="4" t="str">
        <x:v>久游投资4号</x:v>
      </x:c>
      <x:c r="B142" s="4" t="str">
        <x:v>STB214</x:v>
      </x:c>
      <x:c r="C142" s="4" t="str">
        <x:v>套利策略</x:v>
      </x:c>
      <x:c r="D142" s="4" t="str">
        <x:v>-</x:v>
      </x:c>
      <x:c r="E142" s="4" t="str">
        <x:v>深圳久游</x:v>
      </x:c>
      <x:c r="F142" s="83" t="n">
        <x:v>44505</x:v>
      </x:c>
      <x:c r="G142" s="84" t="n">
        <x:v>0.0708</x:v>
      </x:c>
      <x:c r="H142" s="84" t="n">
        <x:v>0.0783</x:v>
      </x:c>
      <x:c r="I142" s="84" t="n">
        <x:v>0.973</x:v>
      </x:c>
      <x:c r="J142" s="84" t="n">
        <x:v>1</x:v>
      </x:c>
      <x:c r="K142" s="84" t="n">
        <x:v>0.016399999999999998</x:v>
      </x:c>
      <x:c r="L142" s="85" t="n">
        <x:v>4.7854</x:v>
      </x:c>
      <x:c r="M142" s="85" t="n">
        <x:v>16.3845</x:v>
      </x:c>
      <x:c r="N142" s="4" t="str">
        <x:v>沪深300</x:v>
      </x:c>
      <x:c r="O142" t="str">
        <x:v>第二表截止日未提供；净值补算截止日见R列</x:v>
      </x:c>
      <x:c r="P142" s="86" t="n">
        <x:v>46281</x:v>
      </x:c>
      <x:c r="Q142" s="87"/>
      <x:c r="R142" s="86"/>
      <x:c r="S142" s="87" t="n">
        <x:v>0.0043</x:v>
      </x:c>
    </x:row>
    <x:row r="143">
      <x:c r="A143" s="4" t="str">
        <x:v>摩旗ETF套利1号</x:v>
      </x:c>
      <x:c r="B143" s="4" t="str">
        <x:v>STR466</x:v>
      </x:c>
      <x:c r="C143" s="4" t="str">
        <x:v>套利策略</x:v>
      </x:c>
      <x:c r="D143" s="4" t="str">
        <x:v>基金套利</x:v>
      </x:c>
      <x:c r="E143" s="4" t="str">
        <x:v>上海摩旗投资</x:v>
      </x:c>
      <x:c r="F143" s="83" t="n">
        <x:v>44571</x:v>
      </x:c>
      <x:c r="G143" s="84" t="n">
        <x:v>0.1133</x:v>
      </x:c>
      <x:c r="H143" s="84" t="n">
        <x:v>0.14529999999999998</x:v>
      </x:c>
      <x:c r="I143" s="84" t="n">
        <x:v>0.9459000000000001</x:v>
      </x:c>
      <x:c r="J143" s="84" t="n">
        <x:v>1</x:v>
      </x:c>
      <x:c r="K143" s="84" t="n">
        <x:v>0.005699999999999999</x:v>
      </x:c>
      <x:c r="L143" s="85" t="n">
        <x:v>25.4591</x:v>
      </x:c>
      <x:c r="M143" s="85" t="n">
        <x:v>19.8523</x:v>
      </x:c>
      <x:c r="N143" s="4" t="str">
        <x:v>沪深300</x:v>
      </x:c>
      <x:c r="O143" t="str">
        <x:v>第二表截止日未提供；净值补算截止日见R列</x:v>
      </x:c>
      <x:c r="P143" s="86" t="n">
        <x:v>46281</x:v>
      </x:c>
      <x:c r="Q143" s="87"/>
      <x:c r="R143" s="86"/>
      <x:c r="S143" s="87" t="n">
        <x:v>0.005699999999999999</x:v>
      </x:c>
    </x:row>
    <x:row r="144">
      <x:c r="A144" s="4" t="str">
        <x:v>兆信期权中性2号A类</x:v>
      </x:c>
      <x:c r="B144" s="4" t="str">
        <x:v>TB977A</x:v>
      </x:c>
      <x:c r="C144" s="4" t="str">
        <x:v>套利策略</x:v>
      </x:c>
      <x:c r="D144" s="4" t="str">
        <x:v>期权套利</x:v>
      </x:c>
      <x:c r="E144" s="4" t="str">
        <x:v>江苏兆信</x:v>
      </x:c>
      <x:c r="F144" s="83" t="n">
        <x:v>44511</x:v>
      </x:c>
      <x:c r="G144" s="84" t="n">
        <x:v>0.131</x:v>
      </x:c>
      <x:c r="H144" s="84" t="n">
        <x:v>0.07690000000000001</x:v>
      </x:c>
      <x:c r="I144" s="84" t="n">
        <x:v>0.8108</x:v>
      </x:c>
      <x:c r="J144" s="84" t="n">
        <x:v>0.9231</x:v>
      </x:c>
      <x:c r="K144" s="84" t="n">
        <x:v>0.0802</x:v>
      </x:c>
      <x:c r="L144" s="85" t="n">
        <x:v>0.9586</x:v>
      </x:c>
      <x:c r="M144" s="85" t="n">
        <x:v>8.9759</x:v>
      </x:c>
      <x:c r="N144" s="4" t="str">
        <x:v>沪深300</x:v>
      </x:c>
      <x:c r="O144" t="str">
        <x:v>第二表截止日未提供；净值补算截止日见R列</x:v>
      </x:c>
      <x:c r="P144" s="86" t="n">
        <x:v>46281</x:v>
      </x:c>
      <x:c r="Q144" s="87"/>
      <x:c r="R144" s="86"/>
      <x:c r="S144" s="87" t="n">
        <x:v>0.0146</x:v>
      </x:c>
    </x:row>
    <x:row r="145">
      <x:c r="A145" s="4" t="str">
        <x:v>庄贤亨贞期权对冲</x:v>
      </x:c>
      <x:c r="B145" s="4" t="str">
        <x:v>STW239</x:v>
      </x:c>
      <x:c r="C145" s="4" t="str">
        <x:v>套利策略</x:v>
      </x:c>
      <x:c r="D145" s="4" t="str">
        <x:v>期权套利</x:v>
      </x:c>
      <x:c r="E145" s="4" t="str">
        <x:v>杭州庄贤投资</x:v>
      </x:c>
      <x:c r="F145" s="83" t="n">
        <x:v>44589</x:v>
      </x:c>
      <x:c r="G145" s="84" t="n">
        <x:v>0.0405</x:v>
      </x:c>
      <x:c r="H145" s="84" t="n">
        <x:v>0.04650000000000001</x:v>
      </x:c>
      <x:c r="I145" s="84" t="n">
        <x:v>0.7568</x:v>
      </x:c>
      <x:c r="J145" s="84" t="n">
        <x:v>0.6923</x:v>
      </x:c>
      <x:c r="K145" s="84" t="n">
        <x:v>0.013000000000000001</x:v>
      </x:c>
      <x:c r="L145" s="85" t="n">
        <x:v>3.5867</x:v>
      </x:c>
      <x:c r="M145" s="85" t="n">
        <x:v>9.4542</x:v>
      </x:c>
      <x:c r="N145" s="4" t="str">
        <x:v>沪深300</x:v>
      </x:c>
      <x:c r="O145" t="str">
        <x:v>第二表截止日未提供；净值补算截止日见R列</x:v>
      </x:c>
      <x:c r="P145" s="86" t="n">
        <x:v>46281</x:v>
      </x:c>
      <x:c r="Q145" s="87"/>
      <x:c r="R145" s="86"/>
      <x:c r="S145" s="87" t="n">
        <x:v>0.0043</x:v>
      </x:c>
    </x:row>
    <x:row r="146">
      <x:c r="A146" s="4" t="str">
        <x:v>悬铃尊享CTA8号</x:v>
      </x:c>
      <x:c r="B146" s="4" t="str">
        <x:v>STW103</x:v>
      </x:c>
      <x:c r="C146" s="4" t="str">
        <x:v>套利策略</x:v>
      </x:c>
      <x:c r="D146" s="4" t="str">
        <x:v>-</x:v>
      </x:c>
      <x:c r="E146" s="4" t="str">
        <x:v>上海悬铃</x:v>
      </x:c>
      <x:c r="F146" s="83" t="n">
        <x:v>44631</x:v>
      </x:c>
      <x:c r="G146" s="84" t="n">
        <x:v>-0.071</x:v>
      </x:c>
      <x:c r="H146" s="84" t="n">
        <x:v>0.041299999999999996</x:v>
      </x:c>
      <x:c r="I146" s="84" t="n">
        <x:v>0.6486</x:v>
      </x:c>
      <x:c r="J146" s="84" t="n">
        <x:v>0.3846</x:v>
      </x:c>
      <x:c r="K146" s="84" t="n">
        <x:v>0.1167</x:v>
      </x:c>
      <x:c r="L146" s="85" t="n">
        <x:v>0.3538</x:v>
      </x:c>
      <x:c r="M146" s="85" t="n">
        <x:v>-0.6728</x:v>
      </x:c>
      <x:c r="N146" s="4" t="str">
        <x:v>沪深300</x:v>
      </x:c>
      <x:c r="O146" t="str">
        <x:v>第二表截止日未提供；净值补算截止日见R列</x:v>
      </x:c>
      <x:c r="P146" s="86" t="n">
        <x:v>46281</x:v>
      </x:c>
      <x:c r="Q146" s="87"/>
      <x:c r="R146" s="86"/>
      <x:c r="S146" s="87" t="n">
        <x:v>0.1056</x:v>
      </x:c>
    </x:row>
    <x:row r="147">
      <x:c r="A147" s="4" t="str">
        <x:v>起源天择稳健1号</x:v>
      </x:c>
      <x:c r="B147" s="4" t="str">
        <x:v>SVJ267</x:v>
      </x:c>
      <x:c r="C147" s="4" t="str">
        <x:v>套利策略</x:v>
      </x:c>
      <x:c r="D147" s="4" t="str">
        <x:v>-</x:v>
      </x:c>
      <x:c r="E147" s="4" t="str">
        <x:v>海南起源</x:v>
      </x:c>
      <x:c r="F147" s="83" t="n">
        <x:v>44643</x:v>
      </x:c>
      <x:c r="G147" s="84" t="n">
        <x:v>0.1231</x:v>
      </x:c>
      <x:c r="H147" s="84" t="n">
        <x:v>0.121</x:v>
      </x:c>
      <x:c r="I147" s="84" t="n">
        <x:v>0.7297</x:v>
      </x:c>
      <x:c r="J147" s="84" t="n">
        <x:v>0.7692</x:v>
      </x:c>
      <x:c r="K147" s="84" t="n">
        <x:v>0.0529</x:v>
      </x:c>
      <x:c r="L147" s="85" t="n">
        <x:v>2.2876</x:v>
      </x:c>
      <x:c r="M147" s="85" t="n">
        <x:v>2.3286</x:v>
      </x:c>
      <x:c r="N147" s="4" t="str">
        <x:v>沪深300</x:v>
      </x:c>
      <x:c r="O147" t="str">
        <x:v>第二表截止日未提供；净值补算截止日见R列</x:v>
      </x:c>
      <x:c r="P147" s="86" t="n">
        <x:v>46281</x:v>
      </x:c>
      <x:c r="Q147" s="87"/>
      <x:c r="R147" s="86"/>
      <x:c r="S147" s="87" t="n">
        <x:v>0.0529</x:v>
      </x:c>
    </x:row>
    <x:row r="148">
      <x:c r="A148" s="4" t="str">
        <x:v>东玛多策略稳健1号</x:v>
      </x:c>
      <x:c r="B148" s="4" t="str">
        <x:v>SVG441</x:v>
      </x:c>
      <x:c r="C148" s="4" t="str">
        <x:v>套利策略</x:v>
      </x:c>
      <x:c r="D148" s="4" t="str">
        <x:v>-</x:v>
      </x:c>
      <x:c r="E148" s="4" t="str">
        <x:v>宁波东玛</x:v>
      </x:c>
      <x:c r="F148" s="83" t="n">
        <x:v>44648</x:v>
      </x:c>
      <x:c r="G148" s="84" t="n">
        <x:v>-0.1452</x:v>
      </x:c>
      <x:c r="H148" s="84" t="n">
        <x:v>0.019</x:v>
      </x:c>
      <x:c r="I148" s="84" t="n">
        <x:v>0.4595</x:v>
      </x:c>
      <x:c r="J148" s="84" t="n">
        <x:v>0.3077</x:v>
      </x:c>
      <x:c r="K148" s="84" t="n">
        <x:v>0.1741</x:v>
      </x:c>
      <x:c r="L148" s="85" t="n">
        <x:v>0.1091</x:v>
      </x:c>
      <x:c r="M148" s="85" t="n">
        <x:v>-0.8339</x:v>
      </x:c>
      <x:c r="N148" s="4" t="str">
        <x:v>沪深300</x:v>
      </x:c>
      <x:c r="O148" t="str">
        <x:v>第二表截止日未提供；净值补算截止日见R列</x:v>
      </x:c>
      <x:c r="P148" s="86" t="n">
        <x:v>46281</x:v>
      </x:c>
      <x:c r="Q148" s="87"/>
      <x:c r="R148" s="86"/>
      <x:c r="S148" s="87" t="n">
        <x:v>0.1741</x:v>
      </x:c>
    </x:row>
    <x:row r="149">
      <x:c r="A149" s="4" t="str">
        <x:v>以利安得利混合1号</x:v>
      </x:c>
      <x:c r="B149" s="4" t="str">
        <x:v>SVJ912</x:v>
      </x:c>
      <x:c r="C149" s="4" t="str">
        <x:v>套利策略</x:v>
      </x:c>
      <x:c r="D149" s="4" t="str">
        <x:v>期货套利</x:v>
      </x:c>
      <x:c r="E149" s="4" t="str">
        <x:v>河南以利</x:v>
      </x:c>
      <x:c r="F149" s="83" t="n">
        <x:v>44664</x:v>
      </x:c>
      <x:c r="G149" s="84" t="n">
        <x:v>0.0393</x:v>
      </x:c>
      <x:c r="H149" s="84" t="n">
        <x:v>0.0867</x:v>
      </x:c>
      <x:c r="I149" s="84" t="n">
        <x:v>0.9189</x:v>
      </x:c>
      <x:c r="J149" s="84" t="n">
        <x:v>0.8462000000000001</x:v>
      </x:c>
      <x:c r="K149" s="84" t="n">
        <x:v>0.0070999999999999995</x:v>
      </x:c>
      <x:c r="L149" s="85" t="n">
        <x:v>12.127</x:v>
      </x:c>
      <x:c r="M149" s="85" t="n">
        <x:v>33.6477</x:v>
      </x:c>
      <x:c r="N149" s="4" t="str">
        <x:v>沪深300</x:v>
      </x:c>
      <x:c r="O149" t="str">
        <x:v>第二表截止日未提供；净值补算截止日见R列</x:v>
      </x:c>
      <x:c r="P149" s="86" t="n">
        <x:v>46281</x:v>
      </x:c>
      <x:c r="Q149" s="87"/>
      <x:c r="R149" s="86"/>
      <x:c r="S149" s="87" t="n">
        <x:v>0.0012</x:v>
      </x:c>
    </x:row>
    <x:row r="150">
      <x:c r="A150" s="4" t="str">
        <x:v>放牛人5号</x:v>
      </x:c>
      <x:c r="B150" s="4" t="str">
        <x:v>SVH487</x:v>
      </x:c>
      <x:c r="C150" s="4" t="str">
        <x:v>套利策略</x:v>
      </x:c>
      <x:c r="D150" s="4" t="str">
        <x:v>期货套利</x:v>
      </x:c>
      <x:c r="E150" s="4" t="str">
        <x:v>上海放牛人</x:v>
      </x:c>
      <x:c r="F150" s="83" t="n">
        <x:v>44729</x:v>
      </x:c>
      <x:c r="G150" s="84" t="n">
        <x:v>0.0946</x:v>
      </x:c>
      <x:c r="H150" s="84" t="n">
        <x:v>0.081</x:v>
      </x:c>
      <x:c r="I150" s="84" t="n">
        <x:v>0.9459000000000001</x:v>
      </x:c>
      <x:c r="J150" s="84" t="n">
        <x:v>1</x:v>
      </x:c>
      <x:c r="K150" s="84" t="n">
        <x:v>0.0033</x:v>
      </x:c>
      <x:c r="L150" s="85" t="n">
        <x:v>24.232</x:v>
      </x:c>
      <x:c r="M150" s="85" t="n">
        <x:v>89.7113</x:v>
      </x:c>
      <x:c r="N150" s="4" t="str">
        <x:v>沪深300</x:v>
      </x:c>
      <x:c r="O150" t="str">
        <x:v>第二表截止日未提供；净值补算截止日见R列</x:v>
      </x:c>
      <x:c r="P150" s="86" t="n">
        <x:v>46281</x:v>
      </x:c>
      <x:c r="Q150" s="87"/>
      <x:c r="R150" s="86"/>
      <x:c r="S150" s="87" t="n">
        <x:v>0.0011</x:v>
      </x:c>
    </x:row>
    <x:row r="151">
      <x:c r="A151" s="4" t="str">
        <x:v>鹿秀呦呦1号</x:v>
      </x:c>
      <x:c r="B151" s="4" t="str">
        <x:v>SVY067</x:v>
      </x:c>
      <x:c r="C151" s="4" t="str">
        <x:v>套利策略</x:v>
      </x:c>
      <x:c r="D151" s="4" t="str">
        <x:v>-</x:v>
      </x:c>
      <x:c r="E151" s="4" t="str">
        <x:v>青岛鹿秀投资</x:v>
      </x:c>
      <x:c r="F151" s="83" t="n">
        <x:v>44743</x:v>
      </x:c>
      <x:c r="G151" s="84" t="n">
        <x:v>-0.0152</x:v>
      </x:c>
      <x:c r="H151" s="84" t="n">
        <x:v>0.2566</x:v>
      </x:c>
      <x:c r="I151" s="84" t="n">
        <x:v>0.5946</x:v>
      </x:c>
      <x:c r="J151" s="84" t="n">
        <x:v>0.6923</x:v>
      </x:c>
      <x:c r="K151" s="84" t="n">
        <x:v>0.3414</x:v>
      </x:c>
      <x:c r="L151" s="85" t="n">
        <x:v>0.7517</x:v>
      </x:c>
      <x:c r="M151" s="85" t="n">
        <x:v>-0.0676</x:v>
      </x:c>
      <x:c r="N151" s="4" t="str">
        <x:v>沪深300</x:v>
      </x:c>
      <x:c r="O151" t="str">
        <x:v>第二表截止日未提供；净值补算截止日见R列</x:v>
      </x:c>
      <x:c r="P151" s="86" t="n">
        <x:v>46281</x:v>
      </x:c>
      <x:c r="Q151" s="87"/>
      <x:c r="R151" s="86"/>
      <x:c r="S151" s="87" t="n">
        <x:v>0.22469999999999998</x:v>
      </x:c>
    </x:row>
    <x:row r="152">
      <x:c r="A152" s="4" t="str">
        <x:v>慕途基本面量化1号</x:v>
      </x:c>
      <x:c r="B152" s="4" t="str">
        <x:v>SVW787</x:v>
      </x:c>
      <x:c r="C152" s="4" t="str">
        <x:v>套利策略</x:v>
      </x:c>
      <x:c r="D152" s="4" t="str">
        <x:v>期货套利</x:v>
      </x:c>
      <x:c r="E152" s="4" t="str">
        <x:v>慕途基金</x:v>
      </x:c>
      <x:c r="F152" s="83" t="n">
        <x:v>44750</x:v>
      </x:c>
      <x:c r="G152" s="84" t="n">
        <x:v>0.1066</x:v>
      </x:c>
      <x:c r="H152" s="84" t="n">
        <x:v>0.0931</x:v>
      </x:c>
      <x:c r="I152" s="84" t="n">
        <x:v>0.7297</x:v>
      </x:c>
      <x:c r="J152" s="84" t="n">
        <x:v>0.6923</x:v>
      </x:c>
      <x:c r="K152" s="84" t="n">
        <x:v>0.04019999999999999</x:v>
      </x:c>
      <x:c r="L152" s="85" t="n">
        <x:v>2.3152</x:v>
      </x:c>
      <x:c r="M152" s="85" t="n">
        <x:v>2.6508</x:v>
      </x:c>
      <x:c r="N152" s="4" t="str">
        <x:v>沪深300</x:v>
      </x:c>
      <x:c r="O152" t="str">
        <x:v>第二表截止日未提供；净值补算截止日见R列</x:v>
      </x:c>
      <x:c r="P152" s="86" t="n">
        <x:v>46281</x:v>
      </x:c>
      <x:c r="Q152" s="87"/>
      <x:c r="R152" s="86"/>
      <x:c r="S152" s="87" t="n">
        <x:v>0.04019999999999999</x:v>
      </x:c>
    </x:row>
    <x:row r="153">
      <x:c r="A153" s="4" t="str">
        <x:v>金和金诚5号</x:v>
      </x:c>
      <x:c r="B153" s="4" t="str">
        <x:v>SVZ035</x:v>
      </x:c>
      <x:c r="C153" s="4" t="str">
        <x:v>套利策略</x:v>
      </x:c>
      <x:c r="D153" s="4" t="str">
        <x:v>基金套利</x:v>
      </x:c>
      <x:c r="E153" s="4" t="str">
        <x:v>上海金和晟</x:v>
      </x:c>
      <x:c r="F153" s="83" t="n">
        <x:v>44749</x:v>
      </x:c>
      <x:c r="G153" s="84" t="n">
        <x:v>0.0843</x:v>
      </x:c>
      <x:c r="H153" s="84" t="n">
        <x:v>0.1232</x:v>
      </x:c>
      <x:c r="I153" s="84" t="n">
        <x:v>0.7059000000000001</x:v>
      </x:c>
      <x:c r="J153" s="84" t="n">
        <x:v>0.6923</x:v>
      </x:c>
      <x:c r="K153" s="84" t="n">
        <x:v>0.0187</x:v>
      </x:c>
      <x:c r="L153" s="85" t="n">
        <x:v>6.5953</x:v>
      </x:c>
      <x:c r="M153" s="85" t="n">
        <x:v>4.5121</x:v>
      </x:c>
      <x:c r="N153" s="4" t="str">
        <x:v>沪深300</x:v>
      </x:c>
      <x:c r="O153" t="str">
        <x:v>第二表截止日未提供；净值补算截止日见R列</x:v>
      </x:c>
      <x:c r="P153" s="86" t="n">
        <x:v>46281</x:v>
      </x:c>
      <x:c r="Q153" s="87"/>
      <x:c r="R153" s="86"/>
      <x:c r="S153" s="87" t="n">
        <x:v>0.0187</x:v>
      </x:c>
    </x:row>
    <x:row r="154">
      <x:c r="A154" s="4" t="str">
        <x:v>守正卓越一号</x:v>
      </x:c>
      <x:c r="B154" s="4" t="str">
        <x:v>SVY984</x:v>
      </x:c>
      <x:c r="C154" s="4" t="str">
        <x:v>套利策略</x:v>
      </x:c>
      <x:c r="D154" s="4" t="str">
        <x:v>-</x:v>
      </x:c>
      <x:c r="E154" s="4" t="str">
        <x:v>山东守正</x:v>
      </x:c>
      <x:c r="F154" s="83" t="n">
        <x:v>44769</x:v>
      </x:c>
      <x:c r="G154" s="84" t="n">
        <x:v>0.049800000000000004</x:v>
      </x:c>
      <x:c r="H154" s="84" t="n">
        <x:v>0.1057</x:v>
      </x:c>
      <x:c r="I154" s="84" t="n">
        <x:v>0.7837999999999999</x:v>
      </x:c>
      <x:c r="J154" s="84" t="n">
        <x:v>1</x:v>
      </x:c>
      <x:c r="K154" s="84" t="n">
        <x:v>0.1185</x:v>
      </x:c>
      <x:c r="L154" s="85" t="n">
        <x:v>0.892</x:v>
      </x:c>
      <x:c r="M154" s="85" t="n">
        <x:v>24.1653</x:v>
      </x:c>
      <x:c r="N154" s="4" t="str">
        <x:v>沪深300</x:v>
      </x:c>
      <x:c r="O154" t="str">
        <x:v>第二表截止日未提供；净值补算截止日见R列</x:v>
      </x:c>
      <x:c r="P154" s="86" t="n">
        <x:v>46281</x:v>
      </x:c>
      <x:c r="Q154" s="87"/>
      <x:c r="R154" s="86"/>
      <x:c r="S154" s="87" t="n">
        <x:v>0.0021</x:v>
      </x:c>
    </x:row>
    <x:row r="155">
      <x:c r="A155" s="4" t="str">
        <x:v>东方富银宏观量化1号</x:v>
      </x:c>
      <x:c r="B155" s="4" t="str">
        <x:v>SXA890</x:v>
      </x:c>
      <x:c r="C155" s="4" t="str">
        <x:v>套利策略</x:v>
      </x:c>
      <x:c r="D155" s="4" t="str">
        <x:v>-</x:v>
      </x:c>
      <x:c r="E155" s="4" t="str">
        <x:v>深圳东方富银投资</x:v>
      </x:c>
      <x:c r="F155" s="83" t="n">
        <x:v>44776</x:v>
      </x:c>
      <x:c r="G155" s="84" t="n">
        <x:v>0.0663</x:v>
      </x:c>
      <x:c r="H155" s="84" t="n">
        <x:v>0.0839</x:v>
      </x:c>
      <x:c r="I155" s="84" t="n">
        <x:v>0.7837999999999999</x:v>
      </x:c>
      <x:c r="J155" s="84" t="n">
        <x:v>0.9231</x:v>
      </x:c>
      <x:c r="K155" s="84" t="n">
        <x:v>0.0347</x:v>
      </x:c>
      <x:c r="L155" s="85" t="n">
        <x:v>2.4182</x:v>
      </x:c>
      <x:c r="M155" s="85" t="n">
        <x:v>9.4403</x:v>
      </x:c>
      <x:c r="N155" s="4" t="str">
        <x:v>沪深300</x:v>
      </x:c>
      <x:c r="O155" t="str">
        <x:v>第二表截止日未提供；净值补算截止日见R列</x:v>
      </x:c>
      <x:c r="P155" s="86" t="n">
        <x:v>46281</x:v>
      </x:c>
      <x:c r="Q155" s="87"/>
      <x:c r="R155" s="86"/>
      <x:c r="S155" s="87" t="n">
        <x:v>0.006999999999999999</x:v>
      </x:c>
    </x:row>
    <x:row r="156">
      <x:c r="A156" s="4" t="str">
        <x:v>致同添利套利多策略三期A类</x:v>
      </x:c>
      <x:c r="B156" s="4" t="str">
        <x:v>TY632A</x:v>
      </x:c>
      <x:c r="C156" s="4" t="str">
        <x:v>套利策略</x:v>
      </x:c>
      <x:c r="D156" s="4" t="str">
        <x:v>期货套利</x:v>
      </x:c>
      <x:c r="E156" s="4" t="str">
        <x:v>上海致同投资</x:v>
      </x:c>
      <x:c r="F156" s="83" t="n">
        <x:v>44770</x:v>
      </x:c>
      <x:c r="G156" s="84" t="n">
        <x:v>0.0304</x:v>
      </x:c>
      <x:c r="H156" s="84" t="n">
        <x:v>0.0355</x:v>
      </x:c>
      <x:c r="I156" s="84" t="n">
        <x:v>0.7837999999999999</x:v>
      </x:c>
      <x:c r="J156" s="84" t="n">
        <x:v>0.7692</x:v>
      </x:c>
      <x:c r="K156" s="84" t="n">
        <x:v>0.0086</x:v>
      </x:c>
      <x:c r="L156" s="85" t="n">
        <x:v>4.1471</x:v>
      </x:c>
      <x:c r="M156" s="85" t="n">
        <x:v>3.5482</x:v>
      </x:c>
      <x:c r="N156" s="4" t="str">
        <x:v>沪深300</x:v>
      </x:c>
      <x:c r="O156" t="str">
        <x:v>第二表截止日未提供；净值补算截止日见R列</x:v>
      </x:c>
      <x:c r="P156" s="86" t="n">
        <x:v>46281</x:v>
      </x:c>
      <x:c r="Q156" s="87"/>
      <x:c r="R156" s="86"/>
      <x:c r="S156" s="87" t="n">
        <x:v>0.0086</x:v>
      </x:c>
    </x:row>
    <x:row r="157">
      <x:c r="A157" s="4" t="str">
        <x:v>炽浪衍复9号</x:v>
      </x:c>
      <x:c r="B157" s="4" t="str">
        <x:v>SXH337</x:v>
      </x:c>
      <x:c r="C157" s="4" t="str">
        <x:v>套利策略</x:v>
      </x:c>
      <x:c r="D157" s="4" t="str">
        <x:v>-</x:v>
      </x:c>
      <x:c r="E157" s="4" t="str">
        <x:v>海南炽浪</x:v>
      </x:c>
      <x:c r="F157" s="83" t="n">
        <x:v>44819</x:v>
      </x:c>
      <x:c r="G157" s="84" t="n">
        <x:v>0.8868</x:v>
      </x:c>
      <x:c r="H157" s="84" t="n">
        <x:v>0.44409999999999994</x:v>
      </x:c>
      <x:c r="I157" s="84" t="n">
        <x:v>0.5676</x:v>
      </x:c>
      <x:c r="J157" s="84" t="n">
        <x:v>0.6154</x:v>
      </x:c>
      <x:c r="K157" s="84" t="n">
        <x:v>0.32049999999999995</x:v>
      </x:c>
      <x:c r="L157" s="85" t="n">
        <x:v>1.3856</x:v>
      </x:c>
      <x:c r="M157" s="85" t="n">
        <x:v>4.5843</x:v>
      </x:c>
      <x:c r="N157" s="4" t="str">
        <x:v>沪深300</x:v>
      </x:c>
      <x:c r="O157" t="str">
        <x:v>第二表截止日未提供；净值补算截止日见R列</x:v>
      </x:c>
      <x:c r="P157" s="86" t="n">
        <x:v>46281</x:v>
      </x:c>
      <x:c r="Q157" s="87"/>
      <x:c r="R157" s="86"/>
      <x:c r="S157" s="87" t="n">
        <x:v>0.1934</x:v>
      </x:c>
    </x:row>
    <x:row r="158">
      <x:c r="A158" s="4" t="str">
        <x:v>岳鑫遥1号</x:v>
      </x:c>
      <x:c r="B158" s="4" t="str">
        <x:v>SXJ331</x:v>
      </x:c>
      <x:c r="C158" s="4" t="str">
        <x:v>套利策略</x:v>
      </x:c>
      <x:c r="D158" s="4" t="str">
        <x:v>-</x:v>
      </x:c>
      <x:c r="E158" s="4" t="str">
        <x:v>北京岳鑫遥</x:v>
      </x:c>
      <x:c r="F158" s="83" t="n">
        <x:v>44830</x:v>
      </x:c>
      <x:c r="G158" s="84" t="n">
        <x:v>0.40369999999999995</x:v>
      </x:c>
      <x:c r="H158" s="84" t="n">
        <x:v>0.26789999999999997</x:v>
      </x:c>
      <x:c r="I158" s="84" t="n">
        <x:v>0.7568</x:v>
      </x:c>
      <x:c r="J158" s="84" t="n">
        <x:v>0.6923</x:v>
      </x:c>
      <x:c r="K158" s="84" t="n">
        <x:v>0.2754</x:v>
      </x:c>
      <x:c r="L158" s="85" t="n">
        <x:v>0.9726</x:v>
      </x:c>
      <x:c r="M158" s="85" t="n">
        <x:v>1.4656</x:v>
      </x:c>
      <x:c r="N158" s="4" t="str">
        <x:v>沪深300</x:v>
      </x:c>
      <x:c r="O158" t="str">
        <x:v>第二表截止日未提供；净值补算截止日见R列</x:v>
      </x:c>
      <x:c r="P158" s="86" t="n">
        <x:v>46281</x:v>
      </x:c>
      <x:c r="Q158" s="87"/>
      <x:c r="R158" s="86"/>
      <x:c r="S158" s="87" t="n">
        <x:v>0.2754</x:v>
      </x:c>
    </x:row>
    <x:row r="159">
      <x:c r="A159" s="4" t="str">
        <x:v>兆信股指期货期权套利1号</x:v>
      </x:c>
      <x:c r="B159" s="4" t="str">
        <x:v>SXN023</x:v>
      </x:c>
      <x:c r="C159" s="4" t="str">
        <x:v>套利策略</x:v>
      </x:c>
      <x:c r="D159" s="4" t="str">
        <x:v>期货套利</x:v>
      </x:c>
      <x:c r="E159" s="4" t="str">
        <x:v>江苏兆信</x:v>
      </x:c>
      <x:c r="F159" s="83" t="n">
        <x:v>44847</x:v>
      </x:c>
      <x:c r="G159" s="84" t="n">
        <x:v>0.0394</x:v>
      </x:c>
      <x:c r="H159" s="84" t="n">
        <x:v>0.0819</x:v>
      </x:c>
      <x:c r="I159" s="84" t="n">
        <x:v>0.7297</x:v>
      </x:c>
      <x:c r="J159" s="84" t="n">
        <x:v>0.46149999999999997</x:v>
      </x:c>
      <x:c r="K159" s="84" t="n">
        <x:v>0.042800000000000005</x:v>
      </x:c>
      <x:c r="L159" s="85" t="n">
        <x:v>1.911</x:v>
      </x:c>
      <x:c r="M159" s="85" t="n">
        <x:v>0.9191</x:v>
      </x:c>
      <x:c r="N159" s="4" t="str">
        <x:v>沪深300</x:v>
      </x:c>
      <x:c r="O159" t="str">
        <x:v>第二表截止日未提供；净值补算截止日见R列</x:v>
      </x:c>
      <x:c r="P159" s="86" t="n">
        <x:v>46281</x:v>
      </x:c>
      <x:c r="Q159" s="87"/>
      <x:c r="R159" s="86"/>
      <x:c r="S159" s="87" t="n">
        <x:v>0.042800000000000005</x:v>
      </x:c>
    </x:row>
    <x:row r="160">
      <x:c r="A160" s="4" t="str">
        <x:v>谊恒滴海一号</x:v>
      </x:c>
      <x:c r="B160" s="4" t="str">
        <x:v>SXL701</x:v>
      </x:c>
      <x:c r="C160" s="4" t="str">
        <x:v>套利策略</x:v>
      </x:c>
      <x:c r="D160" s="4" t="str">
        <x:v>基金套利</x:v>
      </x:c>
      <x:c r="E160" s="4" t="str">
        <x:v>上海滴海</x:v>
      </x:c>
      <x:c r="F160" s="83" t="n">
        <x:v>44855</x:v>
      </x:c>
      <x:c r="G160" s="84" t="n">
        <x:v>0.07780000000000001</x:v>
      </x:c>
      <x:c r="H160" s="84" t="n">
        <x:v>0.061200000000000004</x:v>
      </x:c>
      <x:c r="I160" s="84" t="n">
        <x:v>0.6215999999999999</x:v>
      </x:c>
      <x:c r="J160" s="84" t="n">
        <x:v>0.6154</x:v>
      </x:c>
      <x:c r="K160" s="84" t="n">
        <x:v>0.028900000000000002</x:v>
      </x:c>
      <x:c r="L160" s="85" t="n">
        <x:v>2.1214</x:v>
      </x:c>
      <x:c r="M160" s="85" t="n">
        <x:v>2.6954</x:v>
      </x:c>
      <x:c r="N160" s="4" t="str">
        <x:v>沪深300</x:v>
      </x:c>
      <x:c r="O160" t="str">
        <x:v>第二表截止日未提供；净值补算截止日见R列</x:v>
      </x:c>
      <x:c r="P160" s="86" t="n">
        <x:v>46281</x:v>
      </x:c>
      <x:c r="Q160" s="87"/>
      <x:c r="R160" s="86"/>
      <x:c r="S160" s="87" t="n">
        <x:v>0.028900000000000002</x:v>
      </x:c>
    </x:row>
    <x:row r="161">
      <x:c r="A161" s="4" t="str">
        <x:v>尊嘉金润1号</x:v>
      </x:c>
      <x:c r="B161" s="4" t="str">
        <x:v>SXM526</x:v>
      </x:c>
      <x:c r="C161" s="4" t="str">
        <x:v>套利策略</x:v>
      </x:c>
      <x:c r="D161" s="4" t="str">
        <x:v>期权套利</x:v>
      </x:c>
      <x:c r="E161" s="4" t="str">
        <x:v>北京尊嘉资管</x:v>
      </x:c>
      <x:c r="F161" s="83" t="n">
        <x:v>44860</x:v>
      </x:c>
      <x:c r="G161" s="84" t="n">
        <x:v>0.0268</x:v>
      </x:c>
      <x:c r="H161" s="84" t="n">
        <x:v>0.062400000000000004</x:v>
      </x:c>
      <x:c r="I161" s="84" t="n">
        <x:v>0.7297</x:v>
      </x:c>
      <x:c r="J161" s="84" t="n">
        <x:v>0.6154</x:v>
      </x:c>
      <x:c r="K161" s="84" t="n">
        <x:v>0.109</x:v>
      </x:c>
      <x:c r="L161" s="85" t="n">
        <x:v>0.5724</x:v>
      </x:c>
      <x:c r="M161" s="85" t="n">
        <x:v>0.4337</x:v>
      </x:c>
      <x:c r="N161" s="4" t="str">
        <x:v>沪深300</x:v>
      </x:c>
      <x:c r="O161" t="str">
        <x:v>第二表截止日未提供；净值补算截止日见R列</x:v>
      </x:c>
      <x:c r="P161" s="86" t="n">
        <x:v>46281</x:v>
      </x:c>
      <x:c r="Q161" s="87"/>
      <x:c r="R161" s="86"/>
      <x:c r="S161" s="87" t="n">
        <x:v>0.0617</x:v>
      </x:c>
    </x:row>
    <x:row r="162">
      <x:c r="A162" s="4" t="str">
        <x:v>殊馥兴义6号</x:v>
      </x:c>
      <x:c r="B162" s="4" t="str">
        <x:v>SXQ267</x:v>
      </x:c>
      <x:c r="C162" s="4" t="str">
        <x:v>套利策略</x:v>
      </x:c>
      <x:c r="D162" s="4" t="str">
        <x:v>期货套利</x:v>
      </x:c>
      <x:c r="E162" s="4" t="str">
        <x:v>上海殊馥投资</x:v>
      </x:c>
      <x:c r="F162" s="83" t="n">
        <x:v>44867</x:v>
      </x:c>
      <x:c r="G162" s="84" t="n">
        <x:v>0.075</x:v>
      </x:c>
      <x:c r="H162" s="84" t="n">
        <x:v>0.0666</x:v>
      </x:c>
      <x:c r="I162" s="84" t="n">
        <x:v>0.7837999999999999</x:v>
      </x:c>
      <x:c r="J162" s="84" t="n">
        <x:v>0.6923</x:v>
      </x:c>
      <x:c r="K162" s="84" t="n">
        <x:v>0.0169</x:v>
      </x:c>
      <x:c r="L162" s="85" t="n">
        <x:v>3.9301</x:v>
      </x:c>
      <x:c r="M162" s="85" t="n">
        <x:v>4.4255</x:v>
      </x:c>
      <x:c r="N162" s="4" t="str">
        <x:v>沪深300</x:v>
      </x:c>
      <x:c r="O162" t="str">
        <x:v>第二表截止日未提供；净值补算截止日见R列</x:v>
      </x:c>
      <x:c r="P162" s="86" t="n">
        <x:v>46281</x:v>
      </x:c>
      <x:c r="Q162" s="87"/>
      <x:c r="R162" s="86"/>
      <x:c r="S162" s="87" t="n">
        <x:v>0.0169</x:v>
      </x:c>
    </x:row>
    <x:row r="163">
      <x:c r="A163" s="4" t="str">
        <x:v>博弈树金选套利2号</x:v>
      </x:c>
      <x:c r="B163" s="4" t="str">
        <x:v>SXR086</x:v>
      </x:c>
      <x:c r="C163" s="4" t="str">
        <x:v>套利策略</x:v>
      </x:c>
      <x:c r="D163" s="4" t="str">
        <x:v>期货套利</x:v>
      </x:c>
      <x:c r="E163" s="4" t="str">
        <x:v>广东丰煜</x:v>
      </x:c>
      <x:c r="F163" s="83" t="n">
        <x:v>44867</x:v>
      </x:c>
      <x:c r="G163" s="84" t="n">
        <x:v>0.22329999999999997</x:v>
      </x:c>
      <x:c r="H163" s="84" t="n">
        <x:v>0.1272</x:v>
      </x:c>
      <x:c r="I163" s="84" t="n">
        <x:v>0.7297</x:v>
      </x:c>
      <x:c r="J163" s="84" t="n">
        <x:v>0.7692</x:v>
      </x:c>
      <x:c r="K163" s="84" t="n">
        <x:v>0.040999999999999995</x:v>
      </x:c>
      <x:c r="L163" s="85" t="n">
        <x:v>3.1035</x:v>
      </x:c>
      <x:c r="M163" s="85" t="n">
        <x:v>5.4472</x:v>
      </x:c>
      <x:c r="N163" s="4" t="str">
        <x:v>沪深300</x:v>
      </x:c>
      <x:c r="O163" t="str">
        <x:v>第二表截止日未提供；净值补算截止日见R列</x:v>
      </x:c>
      <x:c r="P163" s="86" t="n">
        <x:v>46281</x:v>
      </x:c>
      <x:c r="Q163" s="87"/>
      <x:c r="R163" s="86"/>
      <x:c r="S163" s="87" t="n">
        <x:v>0.040999999999999995</x:v>
      </x:c>
    </x:row>
    <x:row r="164">
      <x:c r="A164" s="4" t="str">
        <x:v>致同云峰AA类</x:v>
      </x:c>
      <x:c r="B164" s="4" t="str">
        <x:v>NB380A</x:v>
      </x:c>
      <x:c r="C164" s="4" t="str">
        <x:v>套利策略</x:v>
      </x:c>
      <x:c r="D164" s="4" t="str">
        <x:v>期货套利</x:v>
      </x:c>
      <x:c r="E164" s="4" t="str">
        <x:v>上海致同投资</x:v>
      </x:c>
      <x:c r="F164" s="83" t="n">
        <x:v>44145</x:v>
      </x:c>
      <x:c r="G164" s="84" t="n">
        <x:v>0.0416</x:v>
      </x:c>
      <x:c r="H164" s="84" t="n">
        <x:v>0.04190000000000001</x:v>
      </x:c>
      <x:c r="I164" s="84" t="n">
        <x:v>0.8108</x:v>
      </x:c>
      <x:c r="J164" s="84" t="n">
        <x:v>0.7692</x:v>
      </x:c>
      <x:c r="K164" s="84" t="n">
        <x:v>0.0137</x:v>
      </x:c>
      <x:c r="L164" s="85" t="n">
        <x:v>3.0506</x:v>
      </x:c>
      <x:c r="M164" s="85" t="n">
        <x:v>3.0308</x:v>
      </x:c>
      <x:c r="N164" s="4" t="str">
        <x:v>沪深300</x:v>
      </x:c>
      <x:c r="O164" t="str">
        <x:v>第二表截止日未提供；净值补算截止日见R列</x:v>
      </x:c>
      <x:c r="P164" s="86" t="n">
        <x:v>46281</x:v>
      </x:c>
      <x:c r="Q164" s="87"/>
      <x:c r="R164" s="86"/>
      <x:c r="S164" s="87" t="n">
        <x:v>0.0137</x:v>
      </x:c>
    </x:row>
    <x:row r="165">
      <x:c r="A165" s="4" t="str">
        <x:v>擎丰1号3期</x:v>
      </x:c>
      <x:c r="B165" s="4" t="str">
        <x:v>SXK911</x:v>
      </x:c>
      <x:c r="C165" s="4" t="str">
        <x:v>套利策略</x:v>
      </x:c>
      <x:c r="D165" s="4" t="str">
        <x:v>-</x:v>
      </x:c>
      <x:c r="E165" s="4" t="str">
        <x:v>上海擎丰</x:v>
      </x:c>
      <x:c r="F165" s="83" t="n">
        <x:v>44865</x:v>
      </x:c>
      <x:c r="G165" s="84" t="n">
        <x:v>0.0453</x:v>
      </x:c>
      <x:c r="H165" s="84" t="n">
        <x:v>0.04650000000000001</x:v>
      </x:c>
      <x:c r="I165" s="84" t="n">
        <x:v>0.8919</x:v>
      </x:c>
      <x:c r="J165" s="84" t="n">
        <x:v>0.9231</x:v>
      </x:c>
      <x:c r="K165" s="84" t="n">
        <x:v>0.0026</x:v>
      </x:c>
      <x:c r="L165" s="85" t="n">
        <x:v>18.2437</x:v>
      </x:c>
      <x:c r="M165" s="85" t="n">
        <x:v>23.0221</x:v>
      </x:c>
      <x:c r="N165" s="4" t="str">
        <x:v>沪深300</x:v>
      </x:c>
      <x:c r="O165" t="str">
        <x:v>第二表截止日未提供；净值补算截止日见R列</x:v>
      </x:c>
      <x:c r="P165" s="86" t="n">
        <x:v>46281</x:v>
      </x:c>
      <x:c r="Q165" s="87"/>
      <x:c r="R165" s="86"/>
      <x:c r="S165" s="87" t="n">
        <x:v>0.002</x:v>
      </x:c>
    </x:row>
    <x:row r="166">
      <x:c r="A166" s="4" t="str">
        <x:v>泰创稳健二号</x:v>
      </x:c>
      <x:c r="B166" s="4" t="str">
        <x:v>SXP356</x:v>
      </x:c>
      <x:c r="C166" s="4" t="str">
        <x:v>套利策略</x:v>
      </x:c>
      <x:c r="D166" s="4" t="str">
        <x:v>混合套利</x:v>
      </x:c>
      <x:c r="E166" s="4" t="str">
        <x:v>北京泰创投资</x:v>
      </x:c>
      <x:c r="F166" s="83" t="n">
        <x:v>44875</x:v>
      </x:c>
      <x:c r="G166" s="84" t="n">
        <x:v>-0.0868</x:v>
      </x:c>
      <x:c r="H166" s="84" t="n">
        <x:v>-0.0355</x:v>
      </x:c>
      <x:c r="I166" s="84" t="n">
        <x:v>0.4054</x:v>
      </x:c>
      <x:c r="J166" s="84" t="n">
        <x:v>0.3846</x:v>
      </x:c>
      <x:c r="K166" s="84" t="n">
        <x:v>0.14679999999999999</x:v>
      </x:c>
      <x:c r="L166" s="85" t="n">
        <x:v>-0.2421</x:v>
      </x:c>
      <x:c r="M166" s="85" t="n">
        <x:v>-0.7878</x:v>
      </x:c>
      <x:c r="N166" s="4" t="str">
        <x:v>沪深300</x:v>
      </x:c>
      <x:c r="O166" t="str">
        <x:v>第二表截止日未提供；净值补算截止日见R列</x:v>
      </x:c>
      <x:c r="P166" s="86" t="n">
        <x:v>46281</x:v>
      </x:c>
      <x:c r="Q166" s="87"/>
      <x:c r="R166" s="86"/>
      <x:c r="S166" s="87" t="n">
        <x:v>0.11019999999999999</x:v>
      </x:c>
    </x:row>
    <x:row r="167">
      <x:c r="A167" s="4" t="str">
        <x:v>殊馥兴义7号</x:v>
      </x:c>
      <x:c r="B167" s="4" t="str">
        <x:v>SXT610</x:v>
      </x:c>
      <x:c r="C167" s="4" t="str">
        <x:v>套利策略</x:v>
      </x:c>
      <x:c r="D167" s="4" t="str">
        <x:v>期货套利</x:v>
      </x:c>
      <x:c r="E167" s="4" t="str">
        <x:v>上海殊馥投资</x:v>
      </x:c>
      <x:c r="F167" s="83" t="n">
        <x:v>44894</x:v>
      </x:c>
      <x:c r="G167" s="84" t="n">
        <x:v>0.0724</x:v>
      </x:c>
      <x:c r="H167" s="84" t="n">
        <x:v>0.0758</x:v>
      </x:c>
      <x:c r="I167" s="84" t="n">
        <x:v>0.8378</x:v>
      </x:c>
      <x:c r="J167" s="84" t="n">
        <x:v>0.8462000000000001</x:v>
      </x:c>
      <x:c r="K167" s="84" t="n">
        <x:v>0.0079</x:v>
      </x:c>
      <x:c r="L167" s="85" t="n">
        <x:v>9.6398</x:v>
      </x:c>
      <x:c r="M167" s="85" t="n">
        <x:v>9.2022</x:v>
      </x:c>
      <x:c r="N167" s="4" t="str">
        <x:v>沪深300</x:v>
      </x:c>
      <x:c r="O167" t="str">
        <x:v>第二表截止日未提供；净值补算截止日见R列</x:v>
      </x:c>
      <x:c r="P167" s="86" t="n">
        <x:v>46281</x:v>
      </x:c>
      <x:c r="Q167" s="87"/>
      <x:c r="R167" s="86"/>
      <x:c r="S167" s="87" t="n">
        <x:v>0.0079</x:v>
      </x:c>
    </x:row>
    <x:row r="168">
      <x:c r="A168" s="4" t="str">
        <x:v>锐耐复利倍增2号</x:v>
      </x:c>
      <x:c r="B168" s="4" t="str">
        <x:v>SXV513</x:v>
      </x:c>
      <x:c r="C168" s="4" t="str">
        <x:v>套利策略</x:v>
      </x:c>
      <x:c r="D168" s="4" t="str">
        <x:v>期货套利</x:v>
      </x:c>
      <x:c r="E168" s="4" t="str">
        <x:v>上海锐耐</x:v>
      </x:c>
      <x:c r="F168" s="83" t="n">
        <x:v>44893</x:v>
      </x:c>
      <x:c r="G168" s="84" t="n">
        <x:v>0.0288</x:v>
      </x:c>
      <x:c r="H168" s="84" t="n">
        <x:v>0.084</x:v>
      </x:c>
      <x:c r="I168" s="84" t="n">
        <x:v>0.6757</x:v>
      </x:c>
      <x:c r="J168" s="84" t="n">
        <x:v>0.5385</x:v>
      </x:c>
      <x:c r="K168" s="84" t="n">
        <x:v>0.0492</x:v>
      </x:c>
      <x:c r="L168" s="85" t="n">
        <x:v>1.7067</x:v>
      </x:c>
      <x:c r="M168" s="85" t="n">
        <x:v>0.5852</x:v>
      </x:c>
      <x:c r="N168" s="4" t="str">
        <x:v>沪深300</x:v>
      </x:c>
      <x:c r="O168" t="str">
        <x:v>第二表截止日未提供；净值补算截止日见R列</x:v>
      </x:c>
      <x:c r="P168" s="86" t="n">
        <x:v>46281</x:v>
      </x:c>
      <x:c r="Q168" s="87"/>
      <x:c r="R168" s="86"/>
      <x:c r="S168" s="87" t="n">
        <x:v>0.0492</x:v>
      </x:c>
    </x:row>
    <x:row r="169">
      <x:c r="A169" s="4" t="str">
        <x:v>乘舟紫荆1号</x:v>
      </x:c>
      <x:c r="B169" s="4" t="str">
        <x:v>SXW399</x:v>
      </x:c>
      <x:c r="C169" s="4" t="str">
        <x:v>套利策略</x:v>
      </x:c>
      <x:c r="D169" s="4" t="str">
        <x:v>-</x:v>
      </x:c>
      <x:c r="E169" s="4" t="str">
        <x:v>上海乘舟投资</x:v>
      </x:c>
      <x:c r="F169" s="83" t="n">
        <x:v>44896</x:v>
      </x:c>
      <x:c r="G169" s="84" t="n">
        <x:v>-0.019299999999999998</x:v>
      </x:c>
      <x:c r="H169" s="84" t="n">
        <x:v>0.0603</x:v>
      </x:c>
      <x:c r="I169" s="84" t="n">
        <x:v>0.8378</x:v>
      </x:c>
      <x:c r="J169" s="84" t="n">
        <x:v>0.7692</x:v>
      </x:c>
      <x:c r="K169" s="84" t="n">
        <x:v>0.1</x:v>
      </x:c>
      <x:c r="L169" s="85" t="n">
        <x:v>0.6032</x:v>
      </x:c>
      <x:c r="M169" s="85" t="n">
        <x:v>-0.193</x:v>
      </x:c>
      <x:c r="N169" s="4" t="str">
        <x:v>沪深300</x:v>
      </x:c>
      <x:c r="O169" t="str">
        <x:v>第二表截止日未提供；净值补算截止日见R列</x:v>
      </x:c>
      <x:c r="P169" s="86" t="n">
        <x:v>46281</x:v>
      </x:c>
      <x:c r="Q169" s="87"/>
      <x:c r="R169" s="86"/>
      <x:c r="S169" s="87" t="n">
        <x:v>0.1</x:v>
      </x:c>
    </x:row>
    <x:row r="170">
      <x:c r="A170" s="4" t="str">
        <x:v>岳鑫遥3号</x:v>
      </x:c>
      <x:c r="B170" s="4" t="str">
        <x:v>SXW818</x:v>
      </x:c>
      <x:c r="C170" s="4" t="str">
        <x:v>套利策略</x:v>
      </x:c>
      <x:c r="D170" s="4" t="str">
        <x:v>-</x:v>
      </x:c>
      <x:c r="E170" s="4" t="str">
        <x:v>北京岳鑫遥</x:v>
      </x:c>
      <x:c r="F170" s="83" t="n">
        <x:v>44907</x:v>
      </x:c>
      <x:c r="G170" s="84" t="n">
        <x:v>-0.1536</x:v>
      </x:c>
      <x:c r="H170" s="84" t="n">
        <x:v>0.10679999999999999</x:v>
      </x:c>
      <x:c r="I170" s="84" t="n">
        <x:v>0.7297</x:v>
      </x:c>
      <x:c r="J170" s="84" t="n">
        <x:v>0.5385</x:v>
      </x:c>
      <x:c r="K170" s="84" t="n">
        <x:v>0.3236</x:v>
      </x:c>
      <x:c r="L170" s="85" t="n">
        <x:v>0.33</x:v>
      </x:c>
      <x:c r="M170" s="85" t="n">
        <x:v>-0.4747</x:v>
      </x:c>
      <x:c r="N170" s="4" t="str">
        <x:v>沪深300</x:v>
      </x:c>
      <x:c r="O170" t="str">
        <x:v>第二表截止日未提供；净值补算截止日见R列</x:v>
      </x:c>
      <x:c r="P170" s="86" t="n">
        <x:v>46281</x:v>
      </x:c>
      <x:c r="Q170" s="87"/>
      <x:c r="R170" s="86"/>
      <x:c r="S170" s="87" t="n">
        <x:v>0.3236</x:v>
      </x:c>
    </x:row>
    <x:row r="171">
      <x:c r="A171" s="4" t="str">
        <x:v>雁丰卓衍1号</x:v>
      </x:c>
      <x:c r="B171" s="4" t="str">
        <x:v>SXX404</x:v>
      </x:c>
      <x:c r="C171" s="4" t="str">
        <x:v>套利策略</x:v>
      </x:c>
      <x:c r="D171" s="4" t="str">
        <x:v>期货套利</x:v>
      </x:c>
      <x:c r="E171" s="4" t="str">
        <x:v>上海雁丰投资</x:v>
      </x:c>
      <x:c r="F171" s="83" t="n">
        <x:v>44930</x:v>
      </x:c>
      <x:c r="G171" s="84" t="n">
        <x:v>0.1925</x:v>
      </x:c>
      <x:c r="H171" s="84" t="n">
        <x:v>0.09960000000000001</x:v>
      </x:c>
      <x:c r="I171" s="84" t="n">
        <x:v>0.7027</x:v>
      </x:c>
      <x:c r="J171" s="84" t="n">
        <x:v>0.7692</x:v>
      </x:c>
      <x:c r="K171" s="84" t="n">
        <x:v>0.0559</x:v>
      </x:c>
      <x:c r="L171" s="85" t="n">
        <x:v>1.781</x:v>
      </x:c>
      <x:c r="M171" s="85" t="n">
        <x:v>8.8033</x:v>
      </x:c>
      <x:c r="N171" s="4" t="str">
        <x:v>沪深300</x:v>
      </x:c>
      <x:c r="O171" t="str">
        <x:v>第二表截止日未提供；净值补算截止日见R列</x:v>
      </x:c>
      <x:c r="P171" s="86" t="n">
        <x:v>46281</x:v>
      </x:c>
      <x:c r="Q171" s="87"/>
      <x:c r="R171" s="86"/>
      <x:c r="S171" s="87" t="n">
        <x:v>0.0219</x:v>
      </x:c>
    </x:row>
    <x:row r="172">
      <x:c r="A172" s="4" t="str">
        <x:v>殊馥兴义8号</x:v>
      </x:c>
      <x:c r="B172" s="4" t="str">
        <x:v>SZA394</x:v>
      </x:c>
      <x:c r="C172" s="4" t="str">
        <x:v>套利策略</x:v>
      </x:c>
      <x:c r="D172" s="4" t="str">
        <x:v>-</x:v>
      </x:c>
      <x:c r="E172" s="4" t="str">
        <x:v>上海殊馥投资</x:v>
      </x:c>
      <x:c r="F172" s="83" t="n">
        <x:v>44917</x:v>
      </x:c>
      <x:c r="G172" s="84" t="n">
        <x:v>0.2917</x:v>
      </x:c>
      <x:c r="H172" s="84" t="n">
        <x:v>0.2468</x:v>
      </x:c>
      <x:c r="I172" s="84" t="n">
        <x:v>0.6757</x:v>
      </x:c>
      <x:c r="J172" s="84" t="n">
        <x:v>0.6923</x:v>
      </x:c>
      <x:c r="K172" s="84" t="n">
        <x:v>0.2059</x:v>
      </x:c>
      <x:c r="L172" s="85" t="n">
        <x:v>1.1983</x:v>
      </x:c>
      <x:c r="M172" s="85" t="n">
        <x:v>3.9412</x:v>
      </x:c>
      <x:c r="N172" s="4" t="str">
        <x:v>沪深300</x:v>
      </x:c>
      <x:c r="O172" t="str">
        <x:v>第二表截止日未提供；净值补算截止日见R列</x:v>
      </x:c>
      <x:c r="P172" s="86" t="n">
        <x:v>46281</x:v>
      </x:c>
      <x:c r="Q172" s="87"/>
      <x:c r="R172" s="86"/>
      <x:c r="S172" s="87" t="n">
        <x:v>0.07400000000000001</x:v>
      </x:c>
    </x:row>
    <x:row r="173">
      <x:c r="A173" s="4" t="str">
        <x:v>烁菓量化复合套利2号</x:v>
      </x:c>
      <x:c r="B173" s="4" t="str">
        <x:v>SZB527</x:v>
      </x:c>
      <x:c r="C173" s="4" t="str">
        <x:v>套利策略</x:v>
      </x:c>
      <x:c r="D173" s="4" t="str">
        <x:v>-</x:v>
      </x:c>
      <x:c r="E173" s="4" t="str">
        <x:v>福州烁菓</x:v>
      </x:c>
      <x:c r="F173" s="83" t="n">
        <x:v>44931</x:v>
      </x:c>
      <x:c r="G173" s="84" t="n">
        <x:v>0.08810000000000001</x:v>
      </x:c>
      <x:c r="H173" s="84" t="n">
        <x:v>0.069</x:v>
      </x:c>
      <x:c r="I173" s="84" t="n">
        <x:v>0.9189</x:v>
      </x:c>
      <x:c r="J173" s="84" t="n">
        <x:v>1</x:v>
      </x:c>
      <x:c r="K173" s="84" t="n">
        <x:v>0.004699999999999999</x:v>
      </x:c>
      <x:c r="L173" s="85" t="n">
        <x:v>14.5387</x:v>
      </x:c>
      <x:c r="M173" s="85" t="n">
        <x:v>54.9387</x:v>
      </x:c>
      <x:c r="N173" s="4" t="str">
        <x:v>沪深300</x:v>
      </x:c>
      <x:c r="O173" t="str">
        <x:v>第二表截止日未提供；净值补算截止日见R列</x:v>
      </x:c>
      <x:c r="P173" s="86" t="n">
        <x:v>46281</x:v>
      </x:c>
      <x:c r="Q173" s="87"/>
      <x:c r="R173" s="86"/>
      <x:c r="S173" s="87" t="n">
        <x:v>0.0016</x:v>
      </x:c>
    </x:row>
    <x:row r="174">
      <x:c r="A174" s="4" t="str">
        <x:v>泰创稳健三号</x:v>
      </x:c>
      <x:c r="B174" s="4" t="str">
        <x:v>SZD744</x:v>
      </x:c>
      <x:c r="C174" s="4" t="str">
        <x:v>套利策略</x:v>
      </x:c>
      <x:c r="D174" s="4" t="str">
        <x:v>混合套利</x:v>
      </x:c>
      <x:c r="E174" s="4" t="str">
        <x:v>北京泰创投资</x:v>
      </x:c>
      <x:c r="F174" s="83" t="n">
        <x:v>44936</x:v>
      </x:c>
      <x:c r="G174" s="84" t="n">
        <x:v>0.0404</x:v>
      </x:c>
      <x:c r="H174" s="84" t="n">
        <x:v>0.0475</x:v>
      </x:c>
      <x:c r="I174" s="84" t="n">
        <x:v>0.7568</x:v>
      </x:c>
      <x:c r="J174" s="84" t="n">
        <x:v>0.6923</x:v>
      </x:c>
      <x:c r="K174" s="84" t="n">
        <x:v>0.028300000000000002</x:v>
      </x:c>
      <x:c r="L174" s="85" t="n">
        <x:v>1.6814</x:v>
      </x:c>
      <x:c r="M174" s="85" t="n">
        <x:v>2.0475</x:v>
      </x:c>
      <x:c r="N174" s="4" t="str">
        <x:v>沪深300</x:v>
      </x:c>
      <x:c r="O174" t="str">
        <x:v>第二表截止日未提供；净值补算截止日见R列</x:v>
      </x:c>
      <x:c r="P174" s="86" t="n">
        <x:v>46281</x:v>
      </x:c>
      <x:c r="Q174" s="87"/>
      <x:c r="R174" s="86"/>
      <x:c r="S174" s="87" t="n">
        <x:v>0.0197</x:v>
      </x:c>
    </x:row>
    <x:row r="175">
      <x:c r="A175" s="4" t="str">
        <x:v>赢起隆华1期</x:v>
      </x:c>
      <x:c r="B175" s="4" t="str">
        <x:v>SZC360</x:v>
      </x:c>
      <x:c r="C175" s="4" t="str">
        <x:v>套利策略</x:v>
      </x:c>
      <x:c r="D175" s="4" t="str">
        <x:v>期货套利</x:v>
      </x:c>
      <x:c r="E175" s="4" t="str">
        <x:v>上海赢起</x:v>
      </x:c>
      <x:c r="F175" s="83" t="n">
        <x:v>44938</x:v>
      </x:c>
      <x:c r="G175" s="84" t="n">
        <x:v>0.11720000000000001</x:v>
      </x:c>
      <x:c r="H175" s="84" t="n">
        <x:v>0.0916</x:v>
      </x:c>
      <x:c r="I175" s="84" t="n">
        <x:v>0.8649</x:v>
      </x:c>
      <x:c r="J175" s="84" t="n">
        <x:v>0.9231</x:v>
      </x:c>
      <x:c r="K175" s="84" t="n">
        <x:v>0.034300000000000004</x:v>
      </x:c>
      <x:c r="L175" s="85" t="n">
        <x:v>2.6731</x:v>
      </x:c>
      <x:c r="M175" s="85" t="n">
        <x:v>5.4079</x:v>
      </x:c>
      <x:c r="N175" s="4" t="str">
        <x:v>沪深300</x:v>
      </x:c>
      <x:c r="O175" t="str">
        <x:v>第二表截止日未提供；净值补算截止日见R列</x:v>
      </x:c>
      <x:c r="P175" s="86" t="n">
        <x:v>46281</x:v>
      </x:c>
      <x:c r="Q175" s="87"/>
      <x:c r="R175" s="86"/>
      <x:c r="S175" s="87" t="n">
        <x:v>0.0217</x:v>
      </x:c>
    </x:row>
    <x:row r="176">
      <x:c r="A176" s="4" t="str">
        <x:v>思益行稳致远1号</x:v>
      </x:c>
      <x:c r="B176" s="4" t="str">
        <x:v>SZC556</x:v>
      </x:c>
      <x:c r="C176" s="4" t="str">
        <x:v>套利策略</x:v>
      </x:c>
      <x:c r="D176" s="4" t="str">
        <x:v>期权套利</x:v>
      </x:c>
      <x:c r="E176" s="4" t="str">
        <x:v>海南思益</x:v>
      </x:c>
      <x:c r="F176" s="83" t="n">
        <x:v>44942</x:v>
      </x:c>
      <x:c r="G176" s="84" t="n">
        <x:v>0.0695</x:v>
      </x:c>
      <x:c r="H176" s="84" t="n">
        <x:v>0.0706</x:v>
      </x:c>
      <x:c r="I176" s="84" t="n">
        <x:v>0.7568</x:v>
      </x:c>
      <x:c r="J176" s="84" t="n">
        <x:v>0.8462000000000001</x:v>
      </x:c>
      <x:c r="K176" s="84" t="n">
        <x:v>0.0384</x:v>
      </x:c>
      <x:c r="L176" s="85" t="n">
        <x:v>1.8382</x:v>
      </x:c>
      <x:c r="M176" s="85" t="n">
        <x:v>3.1612</x:v>
      </x:c>
      <x:c r="N176" s="4" t="str">
        <x:v>沪深300</x:v>
      </x:c>
      <x:c r="O176" t="str">
        <x:v>第二表截止日未提供；净值补算截止日见R列</x:v>
      </x:c>
      <x:c r="P176" s="86" t="n">
        <x:v>46281</x:v>
      </x:c>
      <x:c r="Q176" s="87"/>
      <x:c r="R176" s="86"/>
      <x:c r="S176" s="87" t="n">
        <x:v>0.022000000000000002</x:v>
      </x:c>
    </x:row>
    <x:row r="177">
      <x:c r="A177" s="4" t="str">
        <x:v>恒立卓越1号</x:v>
      </x:c>
      <x:c r="B177" s="4" t="str">
        <x:v>SZF893</x:v>
      </x:c>
      <x:c r="C177" s="4" t="str">
        <x:v>套利策略</x:v>
      </x:c>
      <x:c r="D177" s="4" t="str">
        <x:v>-</x:v>
      </x:c>
      <x:c r="E177" s="4" t="str">
        <x:v>海南恒立</x:v>
      </x:c>
      <x:c r="F177" s="83" t="n">
        <x:v>44945</x:v>
      </x:c>
      <x:c r="G177" s="84" t="n">
        <x:v>-0.046799999999999994</x:v>
      </x:c>
      <x:c r="H177" s="84" t="n">
        <x:v>0.15439999999999998</x:v>
      </x:c>
      <x:c r="I177" s="84" t="n">
        <x:v>0.5405</x:v>
      </x:c>
      <x:c r="J177" s="84" t="n">
        <x:v>0.5385</x:v>
      </x:c>
      <x:c r="K177" s="84" t="n">
        <x:v>0.12279999999999999</x:v>
      </x:c>
      <x:c r="L177" s="85" t="n">
        <x:v>1.2575</x:v>
      </x:c>
      <x:c r="M177" s="85" t="n">
        <x:v>-0.3811</x:v>
      </x:c>
      <x:c r="N177" s="4" t="str">
        <x:v>沪深300</x:v>
      </x:c>
      <x:c r="O177" t="str">
        <x:v>第二表截止日未提供；净值补算截止日见R列</x:v>
      </x:c>
      <x:c r="P177" s="86" t="n">
        <x:v>46281</x:v>
      </x:c>
      <x:c r="Q177" s="87"/>
      <x:c r="R177" s="86"/>
      <x:c r="S177" s="87" t="n">
        <x:v>0.12279999999999999</x:v>
      </x:c>
    </x:row>
    <x:row r="178">
      <x:c r="A178" s="4" t="str">
        <x:v>辰元优选稳健</x:v>
      </x:c>
      <x:c r="B178" s="4" t="str">
        <x:v>SZH690</x:v>
      </x:c>
      <x:c r="C178" s="4" t="str">
        <x:v>套利策略</x:v>
      </x:c>
      <x:c r="D178" s="4" t="str">
        <x:v>混合套利</x:v>
      </x:c>
      <x:c r="E178" s="4" t="str">
        <x:v>广东辰元</x:v>
      </x:c>
      <x:c r="F178" s="83" t="n">
        <x:v>44966</x:v>
      </x:c>
      <x:c r="G178" s="84" t="n">
        <x:v>0.0264</x:v>
      </x:c>
      <x:c r="H178" s="84" t="n">
        <x:v>0.0635</x:v>
      </x:c>
      <x:c r="I178" s="84" t="n">
        <x:v>0.8378</x:v>
      </x:c>
      <x:c r="J178" s="84" t="n">
        <x:v>0.6154</x:v>
      </x:c>
      <x:c r="K178" s="84" t="n">
        <x:v>0.0042</x:v>
      </x:c>
      <x:c r="L178" s="85" t="n">
        <x:v>15.0594</x:v>
      </x:c>
      <x:c r="M178" s="85" t="n">
        <x:v>6.2703</x:v>
      </x:c>
      <x:c r="N178" s="4" t="str">
        <x:v>沪深300</x:v>
      </x:c>
      <x:c r="O178" t="str">
        <x:v>第二表截止日未提供；净值补算截止日见R列</x:v>
      </x:c>
      <x:c r="P178" s="86" t="n">
        <x:v>46281</x:v>
      </x:c>
      <x:c r="Q178" s="87"/>
      <x:c r="R178" s="86"/>
      <x:c r="S178" s="87" t="n">
        <x:v>0.0042</x:v>
      </x:c>
    </x:row>
    <x:row r="179">
      <x:c r="A179" s="4" t="str">
        <x:v>辰元稳健2号</x:v>
      </x:c>
      <x:c r="B179" s="4" t="str">
        <x:v>SZJ724</x:v>
      </x:c>
      <x:c r="C179" s="4" t="str">
        <x:v>套利策略</x:v>
      </x:c>
      <x:c r="D179" s="4" t="str">
        <x:v>混合套利</x:v>
      </x:c>
      <x:c r="E179" s="4" t="str">
        <x:v>广东辰元</x:v>
      </x:c>
      <x:c r="F179" s="83" t="n">
        <x:v>44967</x:v>
      </x:c>
      <x:c r="G179" s="84" t="n">
        <x:v>0.023799999999999998</x:v>
      </x:c>
      <x:c r="H179" s="84" t="n">
        <x:v>0.0613</x:v>
      </x:c>
      <x:c r="I179" s="84" t="n">
        <x:v>0.8378</x:v>
      </x:c>
      <x:c r="J179" s="84" t="n">
        <x:v>0.6154</x:v>
      </x:c>
      <x:c r="K179" s="84" t="n">
        <x:v>0.0062</x:v>
      </x:c>
      <x:c r="L179" s="85" t="n">
        <x:v>9.8437</x:v>
      </x:c>
      <x:c r="M179" s="85" t="n">
        <x:v>4.8178</x:v>
      </x:c>
      <x:c r="N179" s="4" t="str">
        <x:v>沪深300</x:v>
      </x:c>
      <x:c r="O179" t="str">
        <x:v>第二表截止日未提供；净值补算截止日见R列</x:v>
      </x:c>
      <x:c r="P179" s="86" t="n">
        <x:v>46281</x:v>
      </x:c>
      <x:c r="Q179" s="87"/>
      <x:c r="R179" s="86"/>
      <x:c r="S179" s="87" t="n">
        <x:v>0.0049</x:v>
      </x:c>
    </x:row>
    <x:row r="180">
      <x:c r="A180" s="4" t="str">
        <x:v>江岳联接54期</x:v>
      </x:c>
      <x:c r="B180" s="4" t="str">
        <x:v>SZJ846</x:v>
      </x:c>
      <x:c r="C180" s="4" t="str">
        <x:v>套利策略</x:v>
      </x:c>
      <x:c r="D180" s="4" t="str">
        <x:v>-</x:v>
      </x:c>
      <x:c r="E180" s="4" t="str">
        <x:v>西安江岳</x:v>
      </x:c>
      <x:c r="F180" s="83" t="n">
        <x:v>44978</x:v>
      </x:c>
      <x:c r="G180" s="84" t="n">
        <x:v>0.057699999999999994</x:v>
      </x:c>
      <x:c r="H180" s="84" t="n">
        <x:v>0.0983</x:v>
      </x:c>
      <x:c r="I180" s="84" t="n">
        <x:v>0.9459000000000001</x:v>
      </x:c>
      <x:c r="J180" s="84" t="n">
        <x:v>0.9231</x:v>
      </x:c>
      <x:c r="K180" s="84" t="n">
        <x:v>0.0066</x:v>
      </x:c>
      <x:c r="L180" s="85" t="n">
        <x:v>14.8805</x:v>
      </x:c>
      <x:c r="M180" s="85" t="n">
        <x:v>10.7022</x:v>
      </x:c>
      <x:c r="N180" s="4" t="str">
        <x:v>沪深300</x:v>
      </x:c>
      <x:c r="O180" t="str">
        <x:v>第二表截止日未提供；净值补算截止日见R列</x:v>
      </x:c>
      <x:c r="P180" s="86" t="n">
        <x:v>46281</x:v>
      </x:c>
      <x:c r="Q180" s="87"/>
      <x:c r="R180" s="86"/>
      <x:c r="S180" s="87" t="n">
        <x:v>0.0054</x:v>
      </x:c>
    </x:row>
    <x:row r="181">
      <x:c r="A181" s="4" t="str">
        <x:v>言起投资价值成长1号</x:v>
      </x:c>
      <x:c r="B181" s="4" t="str">
        <x:v>SZL583</x:v>
      </x:c>
      <x:c r="C181" s="4" t="str">
        <x:v>套利策略</x:v>
      </x:c>
      <x:c r="D181" s="4" t="str">
        <x:v>-</x:v>
      </x:c>
      <x:c r="E181" s="4" t="str">
        <x:v>厦门言起投资</x:v>
      </x:c>
      <x:c r="F181" s="83" t="n">
        <x:v>44979</x:v>
      </x:c>
      <x:c r="G181" s="84" t="n">
        <x:v>-0.2116</x:v>
      </x:c>
      <x:c r="H181" s="84" t="n">
        <x:v>-0.059000000000000004</x:v>
      </x:c>
      <x:c r="I181" s="84" t="n">
        <x:v>0.3514</x:v>
      </x:c>
      <x:c r="J181" s="84" t="n">
        <x:v>0.23079999999999998</x:v>
      </x:c>
      <x:c r="K181" s="84" t="n">
        <x:v>0.3232</x:v>
      </x:c>
      <x:c r="L181" s="85" t="n">
        <x:v>-0.1824</x:v>
      </x:c>
      <x:c r="M181" s="85" t="n">
        <x:v>-0.6547</x:v>
      </x:c>
      <x:c r="N181" s="4" t="str">
        <x:v>沪深300</x:v>
      </x:c>
      <x:c r="O181" t="str">
        <x:v>第二表截止日未提供；净值补算截止日见R列</x:v>
      </x:c>
      <x:c r="P181" s="86" t="n">
        <x:v>46281</x:v>
      </x:c>
      <x:c r="Q181" s="87"/>
      <x:c r="R181" s="86"/>
      <x:c r="S181" s="87" t="n">
        <x:v>0.3232</x:v>
      </x:c>
    </x:row>
    <x:row r="182">
      <x:c r="A182" s="4" t="str">
        <x:v>泰创稳增1号</x:v>
      </x:c>
      <x:c r="B182" s="4" t="str">
        <x:v>SZV527</x:v>
      </x:c>
      <x:c r="C182" s="4" t="str">
        <x:v>套利策略</x:v>
      </x:c>
      <x:c r="D182" s="4" t="str">
        <x:v>期货套利</x:v>
      </x:c>
      <x:c r="E182" s="4" t="str">
        <x:v>北京泰创投资</x:v>
      </x:c>
      <x:c r="F182" s="83" t="n">
        <x:v>45026</x:v>
      </x:c>
      <x:c r="G182" s="84" t="n">
        <x:v>0.049</x:v>
      </x:c>
      <x:c r="H182" s="84" t="n">
        <x:v>0.0583</x:v>
      </x:c>
      <x:c r="I182" s="84" t="n">
        <x:v>0.7837999999999999</x:v>
      </x:c>
      <x:c r="J182" s="84" t="n">
        <x:v>0.6154</x:v>
      </x:c>
      <x:c r="K182" s="84" t="n">
        <x:v>0.023799999999999998</x:v>
      </x:c>
      <x:c r="L182" s="85" t="n">
        <x:v>2.4501</x:v>
      </x:c>
      <x:c r="M182" s="85" t="n">
        <x:v>3.0502</x:v>
      </x:c>
      <x:c r="N182" s="4" t="str">
        <x:v>沪深300</x:v>
      </x:c>
      <x:c r="O182" t="str">
        <x:v>第二表截止日未提供；净值补算截止日见R列</x:v>
      </x:c>
      <x:c r="P182" s="86" t="n">
        <x:v>46281</x:v>
      </x:c>
      <x:c r="Q182" s="87"/>
      <x:c r="R182" s="86"/>
      <x:c r="S182" s="87" t="n">
        <x:v>0.0161</x:v>
      </x:c>
    </x:row>
    <x:row r="183">
      <x:c r="A183" s="4" t="str">
        <x:v>悬铃君享CTA2号</x:v>
      </x:c>
      <x:c r="B183" s="4" t="str">
        <x:v>SZF199</x:v>
      </x:c>
      <x:c r="C183" s="4" t="str">
        <x:v>套利策略</x:v>
      </x:c>
      <x:c r="D183" s="4" t="str">
        <x:v>-</x:v>
      </x:c>
      <x:c r="E183" s="4" t="str">
        <x:v>上海悬铃</x:v>
      </x:c>
      <x:c r="F183" s="83" t="n">
        <x:v>45034</x:v>
      </x:c>
      <x:c r="G183" s="84" t="n">
        <x:v>0.008</x:v>
      </x:c>
      <x:c r="H183" s="84" t="n">
        <x:v>0.079</x:v>
      </x:c>
      <x:c r="I183" s="84" t="n">
        <x:v>0.6486</x:v>
      </x:c>
      <x:c r="J183" s="84" t="n">
        <x:v>0.6154</x:v>
      </x:c>
      <x:c r="K183" s="84" t="n">
        <x:v>0.1376</x:v>
      </x:c>
      <x:c r="L183" s="85" t="n">
        <x:v>0.5738</x:v>
      </x:c>
      <x:c r="M183" s="85" t="n">
        <x:v>0.1215</x:v>
      </x:c>
      <x:c r="N183" s="4" t="str">
        <x:v>沪深300</x:v>
      </x:c>
      <x:c r="O183" t="str">
        <x:v>第二表截止日未提供；净值补算截止日见R列</x:v>
      </x:c>
      <x:c r="P183" s="86" t="n">
        <x:v>46281</x:v>
      </x:c>
      <x:c r="Q183" s="87"/>
      <x:c r="R183" s="86"/>
      <x:c r="S183" s="87" t="n">
        <x:v>0.06570000000000001</x:v>
      </x:c>
    </x:row>
    <x:row r="184">
      <x:c r="A184" s="4" t="str">
        <x:v>溋沣鸿运来星选1号</x:v>
      </x:c>
      <x:c r="B184" s="4" t="str">
        <x:v>S09408</x:v>
      </x:c>
      <x:c r="C184" s="4" t="str">
        <x:v>套利策略</x:v>
      </x:c>
      <x:c r="D184" s="4" t="str">
        <x:v>-</x:v>
      </x:c>
      <x:c r="E184" s="4" t="str">
        <x:v>深圳前海溋沣资管</x:v>
      </x:c>
      <x:c r="F184" s="83" t="n">
        <x:v>45061</x:v>
      </x:c>
      <x:c r="G184" s="84" t="n">
        <x:v>0.08800000000000001</x:v>
      </x:c>
      <x:c r="H184" s="84" t="n">
        <x:v>0.048799999999999996</x:v>
      </x:c>
      <x:c r="I184" s="84" t="n">
        <x:v>0.8378</x:v>
      </x:c>
      <x:c r="J184" s="84" t="n">
        <x:v>0.8462000000000001</x:v>
      </x:c>
      <x:c r="K184" s="84" t="n">
        <x:v>0.0269</x:v>
      </x:c>
      <x:c r="L184" s="85" t="n">
        <x:v>1.8133</x:v>
      </x:c>
      <x:c r="M184" s="85" t="n">
        <x:v>3.7777</x:v>
      </x:c>
      <x:c r="N184" s="4" t="str">
        <x:v>沪深300</x:v>
      </x:c>
      <x:c r="O184" t="str">
        <x:v>第二表截止日未提供；净值补算截止日见R列</x:v>
      </x:c>
      <x:c r="P184" s="86" t="n">
        <x:v>46281</x:v>
      </x:c>
      <x:c r="Q184" s="87"/>
      <x:c r="R184" s="86"/>
      <x:c r="S184" s="87" t="n">
        <x:v>0.0233</x:v>
      </x:c>
    </x:row>
    <x:row r="185">
      <x:c r="A185" s="4" t="str">
        <x:v>鑫翰启明复合策略三期</x:v>
      </x:c>
      <x:c r="B185" s="4" t="str">
        <x:v>SZR346</x:v>
      </x:c>
      <x:c r="C185" s="4" t="str">
        <x:v>套利策略</x:v>
      </x:c>
      <x:c r="D185" s="4" t="str">
        <x:v>-</x:v>
      </x:c>
      <x:c r="E185" s="4" t="str">
        <x:v>北京鑫翰资管</x:v>
      </x:c>
      <x:c r="F185" s="83" t="n">
        <x:v>45068</x:v>
      </x:c>
      <x:c r="G185" s="84" t="n">
        <x:v>0.0181</x:v>
      </x:c>
      <x:c r="H185" s="84" t="n">
        <x:v>0.051699999999999996</x:v>
      </x:c>
      <x:c r="I185" s="84" t="n">
        <x:v>0.6757</x:v>
      </x:c>
      <x:c r="J185" s="84" t="n">
        <x:v>0.6154</x:v>
      </x:c>
      <x:c r="K185" s="84" t="n">
        <x:v>0.0383</x:v>
      </x:c>
      <x:c r="L185" s="85" t="n">
        <x:v>1.3508</x:v>
      </x:c>
      <x:c r="M185" s="85" t="n">
        <x:v>0.5039</x:v>
      </x:c>
      <x:c r="N185" s="4" t="str">
        <x:v>沪深300</x:v>
      </x:c>
      <x:c r="O185" t="str">
        <x:v>第二表截止日未提供；净值补算截止日见R列</x:v>
      </x:c>
      <x:c r="P185" s="86" t="n">
        <x:v>46281</x:v>
      </x:c>
      <x:c r="Q185" s="87"/>
      <x:c r="R185" s="86"/>
      <x:c r="S185" s="87" t="n">
        <x:v>0.036000000000000004</x:v>
      </x:c>
    </x:row>
    <x:row r="186">
      <x:c r="A186" s="4" t="str">
        <x:v>金和至信稳健12号</x:v>
      </x:c>
      <x:c r="B186" s="4" t="str">
        <x:v>SB5534</x:v>
      </x:c>
      <x:c r="C186" s="4" t="str">
        <x:v>套利策略</x:v>
      </x:c>
      <x:c r="D186" s="4" t="str">
        <x:v>基金套利</x:v>
      </x:c>
      <x:c r="E186" s="4" t="str">
        <x:v>上海金和晟</x:v>
      </x:c>
      <x:c r="F186" s="83" t="n">
        <x:v>45127</x:v>
      </x:c>
      <x:c r="G186" s="84" t="n">
        <x:v>0.032400000000000005</x:v>
      </x:c>
      <x:c r="H186" s="84" t="n">
        <x:v>0.054400000000000004</x:v>
      </x:c>
      <x:c r="I186" s="84" t="n">
        <x:v>0.8649</x:v>
      </x:c>
      <x:c r="J186" s="84" t="n">
        <x:v>0.8462000000000001</x:v>
      </x:c>
      <x:c r="K186" s="84" t="n">
        <x:v>0.09960000000000001</x:v>
      </x:c>
      <x:c r="L186" s="85" t="n">
        <x:v>0.5467</x:v>
      </x:c>
      <x:c r="M186" s="85" t="n">
        <x:v>4.6278</x:v>
      </x:c>
      <x:c r="N186" s="4" t="str">
        <x:v>沪深300</x:v>
      </x:c>
      <x:c r="O186" t="str">
        <x:v>第二表截止日未提供；净值补算截止日见R列</x:v>
      </x:c>
      <x:c r="P186" s="86" t="n">
        <x:v>46281</x:v>
      </x:c>
      <x:c r="Q186" s="87"/>
      <x:c r="R186" s="86"/>
      <x:c r="S186" s="87" t="n">
        <x:v>0.006999999999999999</x:v>
      </x:c>
    </x:row>
    <x:row r="187">
      <x:c r="A187" s="4" t="str">
        <x:v>鸿儒灵活配置2期</x:v>
      </x:c>
      <x:c r="B187" s="4" t="str">
        <x:v>SB5918</x:v>
      </x:c>
      <x:c r="C187" s="4" t="str">
        <x:v>套利策略</x:v>
      </x:c>
      <x:c r="D187" s="4" t="str">
        <x:v>基金套利</x:v>
      </x:c>
      <x:c r="E187" s="4" t="str">
        <x:v>上海鸿儒投资</x:v>
      </x:c>
      <x:c r="F187" s="83" t="n">
        <x:v>45127</x:v>
      </x:c>
      <x:c r="G187" s="84" t="n">
        <x:v>0.0621</x:v>
      </x:c>
      <x:c r="H187" s="84" t="n">
        <x:v>0.0265</x:v>
      </x:c>
      <x:c r="I187" s="84" t="n">
        <x:v>0.8649</x:v>
      </x:c>
      <x:c r="J187" s="84" t="n">
        <x:v>0.7692</x:v>
      </x:c>
      <x:c r="K187" s="84" t="n">
        <x:v>0.0225</x:v>
      </x:c>
      <x:c r="L187" s="85" t="n">
        <x:v>1.1792</x:v>
      </x:c>
      <x:c r="M187" s="85" t="n">
        <x:v>16.2635</x:v>
      </x:c>
      <x:c r="N187" s="4" t="str">
        <x:v>沪深300</x:v>
      </x:c>
      <x:c r="O187" t="str">
        <x:v>第二表截止日未提供；净值补算截止日见R列</x:v>
      </x:c>
      <x:c r="P187" s="86" t="n">
        <x:v>46281</x:v>
      </x:c>
      <x:c r="Q187" s="87"/>
      <x:c r="R187" s="86"/>
      <x:c r="S187" s="87" t="n">
        <x:v>0.0038</x:v>
      </x:c>
    </x:row>
    <x:row r="188">
      <x:c r="A188" s="4" t="str">
        <x:v>博普跨市场1号A类</x:v>
      </x:c>
      <x:c r="B188" s="4" t="str">
        <x:v>N5169A</x:v>
      </x:c>
      <x:c r="C188" s="4" t="str">
        <x:v>套利策略</x:v>
      </x:c>
      <x:c r="D188" s="4" t="str">
        <x:v>-</x:v>
      </x:c>
      <x:c r="E188" s="4" t="str">
        <x:v>深圳博普科技</x:v>
      </x:c>
      <x:c r="F188" s="83" t="n">
        <x:v>42695</x:v>
      </x:c>
      <x:c r="G188" s="84" t="n">
        <x:v>0.06</x:v>
      </x:c>
      <x:c r="H188" s="84" t="n">
        <x:v>0.0557</x:v>
      </x:c>
      <x:c r="I188" s="84" t="n">
        <x:v>0.8649</x:v>
      </x:c>
      <x:c r="J188" s="84" t="n">
        <x:v>0.9231</x:v>
      </x:c>
      <x:c r="K188" s="84" t="n">
        <x:v>0.0355</x:v>
      </x:c>
      <x:c r="L188" s="85" t="n">
        <x:v>1.5699</x:v>
      </x:c>
      <x:c r="M188" s="85" t="n">
        <x:v>9.7127</x:v>
      </x:c>
      <x:c r="N188" s="4" t="str">
        <x:v>沪深300</x:v>
      </x:c>
      <x:c r="O188" t="str">
        <x:v>第二表截止日未提供；净值补算截止日见R列</x:v>
      </x:c>
      <x:c r="P188" s="86" t="n">
        <x:v>46281</x:v>
      </x:c>
      <x:c r="Q188" s="87"/>
      <x:c r="R188" s="86"/>
      <x:c r="S188" s="87" t="n">
        <x:v>0.0062</x:v>
      </x:c>
    </x:row>
    <x:row r="189">
      <x:c r="A189" s="4" t="str">
        <x:v>东宏启航稳健1号</x:v>
      </x:c>
      <x:c r="B189" s="4" t="str">
        <x:v>SAAE31</x:v>
      </x:c>
      <x:c r="C189" s="4" t="str">
        <x:v>套利策略</x:v>
      </x:c>
      <x:c r="D189" s="4" t="str">
        <x:v>期权套利</x:v>
      </x:c>
      <x:c r="E189" s="4" t="str">
        <x:v>北京东宏世家资管</x:v>
      </x:c>
      <x:c r="F189" s="83" t="n">
        <x:v>45159</x:v>
      </x:c>
      <x:c r="G189" s="84" t="n">
        <x:v>0.174</x:v>
      </x:c>
      <x:c r="H189" s="84" t="n">
        <x:v>0.08539999999999999</x:v>
      </x:c>
      <x:c r="I189" s="84" t="n">
        <x:v>0.7568</x:v>
      </x:c>
      <x:c r="J189" s="84" t="n">
        <x:v>0.8462000000000001</x:v>
      </x:c>
      <x:c r="K189" s="84" t="n">
        <x:v>0.067</x:v>
      </x:c>
      <x:c r="L189" s="85" t="n">
        <x:v>1.2735</x:v>
      </x:c>
      <x:c r="M189" s="85" t="n">
        <x:v>15.1329</x:v>
      </x:c>
      <x:c r="N189" s="4" t="str">
        <x:v>沪深300</x:v>
      </x:c>
      <x:c r="O189" t="str">
        <x:v>第二表截止日未提供；净值补算截止日见R列</x:v>
      </x:c>
      <x:c r="P189" s="86" t="n">
        <x:v>46281</x:v>
      </x:c>
      <x:c r="Q189" s="87"/>
      <x:c r="R189" s="86"/>
      <x:c r="S189" s="87" t="n">
        <x:v>0.0115</x:v>
      </x:c>
    </x:row>
    <x:row r="190">
      <x:c r="A190" s="4" t="str">
        <x:v>慕途基本面量化2号</x:v>
      </x:c>
      <x:c r="B190" s="4" t="str">
        <x:v>SB9576</x:v>
      </x:c>
      <x:c r="C190" s="4" t="str">
        <x:v>套利策略</x:v>
      </x:c>
      <x:c r="D190" s="4" t="str">
        <x:v>期货套利</x:v>
      </x:c>
      <x:c r="E190" s="4" t="str">
        <x:v>慕途基金</x:v>
      </x:c>
      <x:c r="F190" s="83" t="n">
        <x:v>45166</x:v>
      </x:c>
      <x:c r="G190" s="84" t="n">
        <x:v>0.11259999999999999</x:v>
      </x:c>
      <x:c r="H190" s="84" t="n">
        <x:v>0.0953</x:v>
      </x:c>
      <x:c r="I190" s="84" t="n">
        <x:v>0.7837999999999999</x:v>
      </x:c>
      <x:c r="J190" s="84" t="n">
        <x:v>0.6923</x:v>
      </x:c>
      <x:c r="K190" s="84" t="n">
        <x:v>0.0375</x:v>
      </x:c>
      <x:c r="L190" s="85" t="n">
        <x:v>2.5435</x:v>
      </x:c>
      <x:c r="M190" s="85" t="n">
        <x:v>3.0056</x:v>
      </x:c>
      <x:c r="N190" s="4" t="str">
        <x:v>沪深300</x:v>
      </x:c>
      <x:c r="O190" t="str">
        <x:v>第二表截止日未提供；净值补算截止日见R列</x:v>
      </x:c>
      <x:c r="P190" s="86" t="n">
        <x:v>46281</x:v>
      </x:c>
      <x:c r="Q190" s="87"/>
      <x:c r="R190" s="86"/>
      <x:c r="S190" s="87" t="n">
        <x:v>0.0375</x:v>
      </x:c>
    </x:row>
    <x:row r="191">
      <x:c r="A191" s="4" t="str">
        <x:v>兆信股指期货期权套利1号A类</x:v>
      </x:c>
      <x:c r="B191" s="4" t="str">
        <x:v>XN023A</x:v>
      </x:c>
      <x:c r="C191" s="4" t="str">
        <x:v>套利策略</x:v>
      </x:c>
      <x:c r="D191" s="4" t="str">
        <x:v>期货套利</x:v>
      </x:c>
      <x:c r="E191" s="4" t="str">
        <x:v>江苏兆信</x:v>
      </x:c>
      <x:c r="F191" s="83" t="n">
        <x:v>44847</x:v>
      </x:c>
      <x:c r="G191" s="84" t="n">
        <x:v>0.04019999999999999</x:v>
      </x:c>
      <x:c r="H191" s="84" t="n">
        <x:v>0.08259999999999999</x:v>
      </x:c>
      <x:c r="I191" s="84" t="n">
        <x:v>0.7027</x:v>
      </x:c>
      <x:c r="J191" s="84" t="n">
        <x:v>0.3846</x:v>
      </x:c>
      <x:c r="K191" s="84" t="n">
        <x:v>0.0405</x:v>
      </x:c>
      <x:c r="L191" s="85" t="n">
        <x:v>2.0407</x:v>
      </x:c>
      <x:c r="M191" s="85" t="n">
        <x:v>1.0819</x:v>
      </x:c>
      <x:c r="N191" s="4" t="str">
        <x:v>沪深300</x:v>
      </x:c>
      <x:c r="O191" t="str">
        <x:v>第二表截止日未提供；净值补算截止日见R列</x:v>
      </x:c>
      <x:c r="P191" s="86" t="n">
        <x:v>46281</x:v>
      </x:c>
      <x:c r="Q191" s="87"/>
      <x:c r="R191" s="86"/>
      <x:c r="S191" s="87" t="n">
        <x:v>0.0371</x:v>
      </x:c>
    </x:row>
    <x:row r="192">
      <x:c r="A192" s="4" t="str">
        <x:v>溋沣鸿运来星选1号B类</x:v>
      </x:c>
      <x:c r="B192" s="4" t="str">
        <x:v>09408B</x:v>
      </x:c>
      <x:c r="C192" s="4" t="str">
        <x:v>套利策略</x:v>
      </x:c>
      <x:c r="D192" s="4" t="str">
        <x:v>-</x:v>
      </x:c>
      <x:c r="E192" s="4" t="str">
        <x:v>深圳前海溋沣资管</x:v>
      </x:c>
      <x:c r="F192" s="83" t="n">
        <x:v>45061</x:v>
      </x:c>
      <x:c r="G192" s="84" t="n">
        <x:v>0.0785</x:v>
      </x:c>
      <x:c r="H192" s="84" t="n">
        <x:v>0.0441</x:v>
      </x:c>
      <x:c r="I192" s="84" t="n">
        <x:v>0.8108</x:v>
      </x:c>
      <x:c r="J192" s="84" t="n">
        <x:v>0.7692</x:v>
      </x:c>
      <x:c r="K192" s="84" t="n">
        <x:v>0.0258</x:v>
      </x:c>
      <x:c r="L192" s="85" t="n">
        <x:v>1.707</x:v>
      </x:c>
      <x:c r="M192" s="85" t="n">
        <x:v>3.3271</x:v>
      </x:c>
      <x:c r="N192" s="4" t="str">
        <x:v>沪深300</x:v>
      </x:c>
      <x:c r="O192" t="str">
        <x:v>第二表截止日未提供；净值补算截止日见R列</x:v>
      </x:c>
      <x:c r="P192" s="86" t="n">
        <x:v>46281</x:v>
      </x:c>
      <x:c r="Q192" s="87"/>
      <x:c r="R192" s="86"/>
      <x:c r="S192" s="87" t="n">
        <x:v>0.0236</x:v>
      </x:c>
    </x:row>
    <x:row r="193">
      <x:c r="A193" s="4" t="str">
        <x:v>岳鑫遥3号A类</x:v>
      </x:c>
      <x:c r="B193" s="4" t="str">
        <x:v>XW818A</x:v>
      </x:c>
      <x:c r="C193" s="4" t="str">
        <x:v>套利策略</x:v>
      </x:c>
      <x:c r="D193" s="4" t="str">
        <x:v>-</x:v>
      </x:c>
      <x:c r="E193" s="4" t="str">
        <x:v>北京岳鑫遥</x:v>
      </x:c>
      <x:c r="F193" s="83" t="n">
        <x:v>44907</x:v>
      </x:c>
      <x:c r="G193" s="84" t="n">
        <x:v>-0.1536</x:v>
      </x:c>
      <x:c r="H193" s="84" t="n">
        <x:v>0.10679999999999999</x:v>
      </x:c>
      <x:c r="I193" s="84" t="n">
        <x:v>0.7297</x:v>
      </x:c>
      <x:c r="J193" s="84" t="n">
        <x:v>0.5385</x:v>
      </x:c>
      <x:c r="K193" s="84" t="n">
        <x:v>0.3236</x:v>
      </x:c>
      <x:c r="L193" s="85" t="n">
        <x:v>0.33</x:v>
      </x:c>
      <x:c r="M193" s="85" t="n">
        <x:v>-0.4747</x:v>
      </x:c>
      <x:c r="N193" s="4" t="str">
        <x:v>沪深300</x:v>
      </x:c>
      <x:c r="O193" t="str">
        <x:v>第二表截止日未提供；净值补算截止日见R列</x:v>
      </x:c>
      <x:c r="P193" s="86" t="n">
        <x:v>46281</x:v>
      </x:c>
      <x:c r="Q193" s="87"/>
      <x:c r="R193" s="86"/>
      <x:c r="S193" s="87" t="n">
        <x:v>0.3236</x:v>
      </x:c>
    </x:row>
    <x:row r="194">
      <x:c r="A194" s="4" t="str">
        <x:v>惠隆金选套利1号B类</x:v>
      </x:c>
      <x:c r="B194" s="4" t="str">
        <x:v>QG026B</x:v>
      </x:c>
      <x:c r="C194" s="4" t="str">
        <x:v>套利策略</x:v>
      </x:c>
      <x:c r="D194" s="4" t="str">
        <x:v>期货套利</x:v>
      </x:c>
      <x:c r="E194" s="4" t="str">
        <x:v>北京惠隆资管</x:v>
      </x:c>
      <x:c r="F194" s="83" t="n">
        <x:v>44462</x:v>
      </x:c>
      <x:c r="G194" s="84" t="n">
        <x:v>0.13369999999999999</x:v>
      </x:c>
      <x:c r="H194" s="84" t="n">
        <x:v>0.1664</x:v>
      </x:c>
      <x:c r="I194" s="84" t="n">
        <x:v>1</x:v>
      </x:c>
      <x:c r="J194" s="84" t="n">
        <x:v>1</x:v>
      </x:c>
      <x:c r="K194" s="84" t="n">
        <x:v>0.0027</x:v>
      </x:c>
      <x:c r="L194" s="85" t="n">
        <x:v>61.1162</x:v>
      </x:c>
      <x:c r="M194" s="85" t="n">
        <x:v>49.1192</x:v>
      </x:c>
      <x:c r="N194" s="4" t="str">
        <x:v>沪深300</x:v>
      </x:c>
      <x:c r="O194" t="str">
        <x:v>第二表截止日未提供；净值补算截止日见R列</x:v>
      </x:c>
      <x:c r="P194" s="86" t="n">
        <x:v>46281</x:v>
      </x:c>
      <x:c r="Q194" s="87"/>
      <x:c r="R194" s="86"/>
      <x:c r="S194" s="87" t="n">
        <x:v>0.0027</x:v>
      </x:c>
    </x:row>
    <x:row r="195">
      <x:c r="A195" s="4" t="str">
        <x:v>庄贤亨贞期权对冲A类</x:v>
      </x:c>
      <x:c r="B195" s="4" t="str">
        <x:v>TW239A</x:v>
      </x:c>
      <x:c r="C195" s="4" t="str">
        <x:v>套利策略</x:v>
      </x:c>
      <x:c r="D195" s="4" t="str">
        <x:v>期权套利</x:v>
      </x:c>
      <x:c r="E195" s="4" t="str">
        <x:v>杭州庄贤投资</x:v>
      </x:c>
      <x:c r="F195" s="83" t="n">
        <x:v>44589</x:v>
      </x:c>
      <x:c r="G195" s="84" t="n">
        <x:v>0.0405</x:v>
      </x:c>
      <x:c r="H195" s="84" t="n">
        <x:v>0.04650000000000001</x:v>
      </x:c>
      <x:c r="I195" s="84" t="n">
        <x:v>0.7568</x:v>
      </x:c>
      <x:c r="J195" s="84" t="n">
        <x:v>0.6923</x:v>
      </x:c>
      <x:c r="K195" s="84" t="n">
        <x:v>0.013000000000000001</x:v>
      </x:c>
      <x:c r="L195" s="85" t="n">
        <x:v>3.5867</x:v>
      </x:c>
      <x:c r="M195" s="85" t="n">
        <x:v>9.4542</x:v>
      </x:c>
      <x:c r="N195" s="4" t="str">
        <x:v>沪深300</x:v>
      </x:c>
      <x:c r="O195" t="str">
        <x:v>第二表截止日未提供；净值补算截止日见R列</x:v>
      </x:c>
      <x:c r="P195" s="86" t="n">
        <x:v>46281</x:v>
      </x:c>
      <x:c r="Q195" s="87"/>
      <x:c r="R195" s="86"/>
      <x:c r="S195" s="87" t="n">
        <x:v>0.0043</x:v>
      </x:c>
    </x:row>
    <x:row r="196">
      <x:c r="A196" s="4" t="str">
        <x:v>展弘优选套利运作1号A类</x:v>
      </x:c>
      <x:c r="B196" s="4" t="str">
        <x:v>B2690A</x:v>
      </x:c>
      <x:c r="C196" s="4" t="str">
        <x:v>套利策略</x:v>
      </x:c>
      <x:c r="D196" s="4" t="str">
        <x:v>-</x:v>
      </x:c>
      <x:c r="E196" s="4" t="str">
        <x:v>上海展弘投资</x:v>
      </x:c>
      <x:c r="F196" s="83" t="n">
        <x:v>45119</x:v>
      </x:c>
      <x:c r="G196" s="84" t="n">
        <x:v>0.0298</x:v>
      </x:c>
      <x:c r="H196" s="84" t="n">
        <x:v>0.0525</x:v>
      </x:c>
      <x:c r="I196" s="84" t="n">
        <x:v>0.6757</x:v>
      </x:c>
      <x:c r="J196" s="84" t="n">
        <x:v>0.46149999999999997</x:v>
      </x:c>
      <x:c r="K196" s="84" t="n">
        <x:v>0.054299999999999994</x:v>
      </x:c>
      <x:c r="L196" s="85" t="n">
        <x:v>0.9676</x:v>
      </x:c>
      <x:c r="M196" s="85" t="n">
        <x:v>1.9376</x:v>
      </x:c>
      <x:c r="N196" s="4" t="str">
        <x:v>沪深300</x:v>
      </x:c>
      <x:c r="O196" t="str">
        <x:v>第二表截止日未提供；净值补算截止日见R列</x:v>
      </x:c>
      <x:c r="P196" s="86" t="n">
        <x:v>46281</x:v>
      </x:c>
      <x:c r="Q196" s="87"/>
      <x:c r="R196" s="86"/>
      <x:c r="S196" s="87" t="n">
        <x:v>0.0154</x:v>
      </x:c>
    </x:row>
    <x:row r="197">
      <x:c r="A197" s="4" t="str">
        <x:v>鸿熵天然1号A类</x:v>
      </x:c>
      <x:c r="B197" s="4" t="str">
        <x:v>XU720A</x:v>
      </x:c>
      <x:c r="C197" s="4" t="str">
        <x:v>套利策略</x:v>
      </x:c>
      <x:c r="D197" s="4" t="str">
        <x:v>期货套利</x:v>
      </x:c>
      <x:c r="E197" s="4" t="str">
        <x:v>北京鸿熵</x:v>
      </x:c>
      <x:c r="F197" s="83" t="n">
        <x:v>44883</x:v>
      </x:c>
      <x:c r="G197" s="84" t="n">
        <x:v>0.038900000000000004</x:v>
      </x:c>
      <x:c r="H197" s="84" t="n">
        <x:v>0.049400000000000006</x:v>
      </x:c>
      <x:c r="I197" s="84" t="n">
        <x:v>0.5405</x:v>
      </x:c>
      <x:c r="J197" s="84" t="n">
        <x:v>0.5385</x:v>
      </x:c>
      <x:c r="K197" s="84" t="n">
        <x:v>0.1551</x:v>
      </x:c>
      <x:c r="L197" s="85" t="n">
        <x:v>0.3187</x:v>
      </x:c>
      <x:c r="M197" s="85" t="n">
        <x:v>0.251</x:v>
      </x:c>
      <x:c r="N197" s="4" t="str">
        <x:v>沪深300</x:v>
      </x:c>
      <x:c r="O197" t="str">
        <x:v>第二表截止日未提供；净值补算截止日见R列</x:v>
      </x:c>
      <x:c r="P197" s="86" t="n">
        <x:v>46281</x:v>
      </x:c>
      <x:c r="Q197" s="87"/>
      <x:c r="R197" s="86"/>
      <x:c r="S197" s="87" t="n">
        <x:v>0.1551</x:v>
      </x:c>
    </x:row>
    <x:row r="198">
      <x:c r="A198" s="4" t="str">
        <x:v>乘舟紫荆1号B类</x:v>
      </x:c>
      <x:c r="B198" s="4" t="str">
        <x:v>XW399B</x:v>
      </x:c>
      <x:c r="C198" s="4" t="str">
        <x:v>套利策略</x:v>
      </x:c>
      <x:c r="D198" s="4" t="str">
        <x:v>-</x:v>
      </x:c>
      <x:c r="E198" s="4" t="str">
        <x:v>上海乘舟投资</x:v>
      </x:c>
      <x:c r="F198" s="83" t="n">
        <x:v>44896</x:v>
      </x:c>
      <x:c r="G198" s="84" t="n">
        <x:v>-0.0127</x:v>
      </x:c>
      <x:c r="H198" s="84" t="n">
        <x:v>0.06280000000000001</x:v>
      </x:c>
      <x:c r="I198" s="84" t="n">
        <x:v>0.8649</x:v>
      </x:c>
      <x:c r="J198" s="84" t="n">
        <x:v>0.7692</x:v>
      </x:c>
      <x:c r="K198" s="84" t="n">
        <x:v>0.09910000000000001</x:v>
      </x:c>
      <x:c r="L198" s="85" t="n">
        <x:v>0.633</x:v>
      </x:c>
      <x:c r="M198" s="85" t="n">
        <x:v>-0.1282</x:v>
      </x:c>
      <x:c r="N198" s="4" t="str">
        <x:v>沪深300</x:v>
      </x:c>
      <x:c r="O198" t="str">
        <x:v>第二表截止日未提供；净值补算截止日见R列</x:v>
      </x:c>
      <x:c r="P198" s="86" t="n">
        <x:v>46281</x:v>
      </x:c>
      <x:c r="Q198" s="87"/>
      <x:c r="R198" s="86"/>
      <x:c r="S198" s="87" t="n">
        <x:v>0.09910000000000001</x:v>
      </x:c>
    </x:row>
    <x:row r="199">
      <x:c r="A199" s="4" t="str">
        <x:v>博普稳增3号A类</x:v>
      </x:c>
      <x:c r="B199" s="4" t="str">
        <x:v>W7191A</x:v>
      </x:c>
      <x:c r="C199" s="4" t="str">
        <x:v>套利策略</x:v>
      </x:c>
      <x:c r="D199" s="4" t="str">
        <x:v>期货套利</x:v>
      </x:c>
      <x:c r="E199" s="4" t="str">
        <x:v>深圳博普科技</x:v>
      </x:c>
      <x:c r="F199" s="83" t="n">
        <x:v>42950</x:v>
      </x:c>
      <x:c r="G199" s="84" t="n">
        <x:v>0.0634</x:v>
      </x:c>
      <x:c r="H199" s="84" t="n">
        <x:v>0.046900000000000004</x:v>
      </x:c>
      <x:c r="I199" s="84" t="n">
        <x:v>0.8378</x:v>
      </x:c>
      <x:c r="J199" s="84" t="n">
        <x:v>0.9231</x:v>
      </x:c>
      <x:c r="K199" s="84" t="n">
        <x:v>0.021099999999999997</x:v>
      </x:c>
      <x:c r="L199" s="85" t="n">
        <x:v>2.2231</x:v>
      </x:c>
      <x:c r="M199" s="85" t="n">
        <x:v>10.2614</x:v>
      </x:c>
      <x:c r="N199" s="4" t="str">
        <x:v>沪深300</x:v>
      </x:c>
      <x:c r="O199" t="str">
        <x:v>第二表截止日未提供；净值补算截止日见R列</x:v>
      </x:c>
      <x:c r="P199" s="86" t="n">
        <x:v>46281</x:v>
      </x:c>
      <x:c r="Q199" s="87"/>
      <x:c r="R199" s="86"/>
      <x:c r="S199" s="87" t="n">
        <x:v>0.0062</x:v>
      </x:c>
    </x:row>
    <x:row r="200">
      <x:c r="A200" s="4" t="str">
        <x:v>守正卓越一号A类</x:v>
      </x:c>
      <x:c r="B200" s="4" t="str">
        <x:v>VY984A</x:v>
      </x:c>
      <x:c r="C200" s="4" t="str">
        <x:v>套利策略</x:v>
      </x:c>
      <x:c r="D200" s="4" t="str">
        <x:v>-</x:v>
      </x:c>
      <x:c r="E200" s="4" t="str">
        <x:v>山东守正</x:v>
      </x:c>
      <x:c r="F200" s="83" t="n">
        <x:v>44769</x:v>
      </x:c>
      <x:c r="G200" s="84" t="n">
        <x:v>0.038599999999999995</x:v>
      </x:c>
      <x:c r="H200" s="84" t="n">
        <x:v>0.1011</x:v>
      </x:c>
      <x:c r="I200" s="84" t="n">
        <x:v>0.7568</x:v>
      </x:c>
      <x:c r="J200" s="84" t="n">
        <x:v>1</x:v>
      </x:c>
      <x:c r="K200" s="84" t="n">
        <x:v>0.1183</x:v>
      </x:c>
      <x:c r="L200" s="85" t="n">
        <x:v>0.8549</x:v>
      </x:c>
      <x:c r="M200" s="85" t="n">
        <x:v>57.0443</x:v>
      </x:c>
      <x:c r="N200" s="4" t="str">
        <x:v>沪深300</x:v>
      </x:c>
      <x:c r="O200" t="str">
        <x:v>第二表截止日未提供；净值补算截止日见R列</x:v>
      </x:c>
      <x:c r="P200" s="86" t="n">
        <x:v>46281</x:v>
      </x:c>
      <x:c r="Q200" s="87"/>
      <x:c r="R200" s="86"/>
      <x:c r="S200" s="87" t="n">
        <x:v>0.0007000000000000001</x:v>
      </x:c>
    </x:row>
    <x:row r="201">
      <x:c r="A201" s="4" t="str">
        <x:v>和熙新月1号A类</x:v>
      </x:c>
      <x:c r="B201" s="4" t="str">
        <x:v>JG287A</x:v>
      </x:c>
      <x:c r="C201" s="4" t="str">
        <x:v>套利策略</x:v>
      </x:c>
      <x:c r="D201" s="4" t="str">
        <x:v>期货套利</x:v>
      </x:c>
      <x:c r="E201" s="4" t="str">
        <x:v>浙江和熙资管</x:v>
      </x:c>
      <x:c r="F201" s="83" t="n">
        <x:v>43783</x:v>
      </x:c>
      <x:c r="G201" s="84" t="n">
        <x:v>-0.0027</x:v>
      </x:c>
      <x:c r="H201" s="84" t="n">
        <x:v>0.0208</x:v>
      </x:c>
      <x:c r="I201" s="84" t="n">
        <x:v>0.5135000000000001</x:v>
      </x:c>
      <x:c r="J201" s="84" t="n">
        <x:v>0.46149999999999997</x:v>
      </x:c>
      <x:c r="K201" s="84" t="n">
        <x:v>0.08449999999999999</x:v>
      </x:c>
      <x:c r="L201" s="85" t="n">
        <x:v>0.2457</x:v>
      </x:c>
      <x:c r="M201" s="85" t="n">
        <x:v>-0.0318</x:v>
      </x:c>
      <x:c r="N201" s="4" t="str">
        <x:v>沪深300</x:v>
      </x:c>
      <x:c r="O201" t="str">
        <x:v>第二表截止日未提供；净值补算截止日见R列</x:v>
      </x:c>
      <x:c r="P201" s="86" t="n">
        <x:v>46281</x:v>
      </x:c>
      <x:c r="Q201" s="87"/>
      <x:c r="R201" s="86"/>
      <x:c r="S201" s="87" t="n">
        <x:v>0.08449999999999999</x:v>
      </x:c>
    </x:row>
    <x:row r="202">
      <x:c r="A202" s="4" t="str">
        <x:v>常行7号</x:v>
      </x:c>
      <x:c r="B202" s="4" t="str">
        <x:v>SQH214</x:v>
      </x:c>
      <x:c r="C202" s="4" t="str">
        <x:v>套利策略</x:v>
      </x:c>
      <x:c r="D202" s="4" t="str">
        <x:v>期货套利</x:v>
      </x:c>
      <x:c r="E202" s="4" t="str">
        <x:v>江苏常行投资</x:v>
      </x:c>
      <x:c r="F202" s="83" t="n">
        <x:v>44288</x:v>
      </x:c>
      <x:c r="G202" s="84" t="n">
        <x:f>'补数计算'!L5</x:f>
        <x:v>0.07295652170906353</x:v>
      </x:c>
      <x:c r="H202" s="84" t="n">
        <x:f>'补数计算'!L6</x:f>
        <x:v>0.062095741394736725</x:v>
      </x:c>
      <x:c r="I202" s="84" t="n">
        <x:f>'补数计算'!O6</x:f>
        <x:v>0.8918918918918919</x:v>
      </x:c>
      <x:c r="J202" s="84" t="n">
        <x:f>'补数计算'!O5</x:f>
        <x:v>1</x:v>
      </x:c>
      <x:c r="K202" s="84" t="n">
        <x:f>'补数计算'!M6</x:f>
        <x:v>0.011487355336476712</x:v>
      </x:c>
      <x:c r="L202" s="85" t="n">
        <x:f>'补数计算'!N6</x:f>
        <x:v>5.4055733087283535</x:v>
      </x:c>
      <x:c r="M202" s="85" t="n">
        <x:f>'补数计算'!N5</x:f>
        <x:v>44.19175492249807</x:v>
      </x:c>
      <x:c r="N202" s="4" t="str">
        <x:v>沪深300</x:v>
      </x:c>
      <x:c r="O202" t="str">
        <x:v>第二表截止日未提供；净值补算截止日见R列</x:v>
      </x:c>
      <x:c r="P202" s="86" t="n">
        <x:v>46281</x:v>
      </x:c>
      <x:c r="Q202" s="87" t="n">
        <x:f>'补数计算'!L7</x:f>
        <x:v>0.06374704185130686</x:v>
      </x:c>
      <x:c r="R202" s="86" t="n">
        <x:v>46269</x:v>
      </x:c>
      <x:c r="S202" s="87"/>
    </x:row>
    <x:row r="203">
      <x:c r="A203" s="4" t="str">
        <x:v>深度梦扬量化套利0号</x:v>
      </x:c>
      <x:c r="B203" s="4" t="str">
        <x:v>SQD620</x:v>
      </x:c>
      <x:c r="C203" s="4" t="str">
        <x:v>期权策略</x:v>
      </x:c>
      <x:c r="D203" s="4" t="str">
        <x:v>场内期权</x:v>
      </x:c>
      <x:c r="E203" s="4" t="str">
        <x:v>杭州深度资管</x:v>
      </x:c>
      <x:c r="F203" s="83" t="n">
        <x:v>44305</x:v>
      </x:c>
      <x:c r="G203" s="84" t="n">
        <x:f>'补数计算'!L8</x:f>
        <x:v>0.09961373147029673</x:v>
      </x:c>
      <x:c r="H203" s="84" t="n">
        <x:f>'补数计算'!L9</x:f>
        <x:v>0.0845476235035083</x:v>
      </x:c>
      <x:c r="I203" s="84" t="n">
        <x:f>'补数计算'!O9</x:f>
        <x:v>0.7567567567567568</x:v>
      </x:c>
      <x:c r="J203" s="84" t="n">
        <x:f>'补数计算'!O8</x:f>
        <x:v>0.6923076923076923</x:v>
      </x:c>
      <x:c r="K203" s="84" t="n">
        <x:f>'补数计算'!M9</x:f>
        <x:v>0.040228725193407255</x:v>
      </x:c>
      <x:c r="L203" s="85" t="n">
        <x:f>'补数计算'!N9</x:f>
        <x:v>2.101672948795407</x:v>
      </x:c>
      <x:c r="M203" s="85" t="n">
        <x:f>'补数计算'!N8</x:f>
        <x:v>2.476184144324354</x:v>
      </x:c>
      <x:c r="N203" s="4" t="str">
        <x:v>沪深300</x:v>
      </x:c>
      <x:c r="O203" t="str">
        <x:v>第二表截止日未提供；净值补算截止日见R列</x:v>
      </x:c>
      <x:c r="P203" s="86" t="n">
        <x:v>46281</x:v>
      </x:c>
      <x:c r="Q203" s="87" t="n">
        <x:f>'补数计算'!L10</x:f>
        <x:v>0.07761167704291072</x:v>
      </x:c>
      <x:c r="R203" s="86" t="n">
        <x:v>46267</x:v>
      </x:c>
      <x:c r="S203" s="87"/>
    </x:row>
    <x:row r="204">
      <x:c r="A204" s="4" t="str">
        <x:v>滨风风云瑞丰1号</x:v>
      </x:c>
      <x:c r="B204" s="4" t="str">
        <x:v>SXL267</x:v>
      </x:c>
      <x:c r="C204" s="4" t="str">
        <x:v>期货策略</x:v>
      </x:c>
      <x:c r="D204" s="4" t="str">
        <x:v>量化期货</x:v>
      </x:c>
      <x:c r="E204" s="4" t="str">
        <x:v>鹰潭滨风投资</x:v>
      </x:c>
      <x:c r="F204" s="83" t="n">
        <x:v>44897</x:v>
      </x:c>
      <x:c r="G204" s="84" t="n">
        <x:f>'补数计算'!L11</x:f>
        <x:v>0.45675607986970457</x:v>
      </x:c>
      <x:c r="H204" s="84" t="n">
        <x:f>'补数计算'!L12</x:f>
        <x:v>0.24545794227734263</x:v>
      </x:c>
      <x:c r="I204" s="84" t="n">
        <x:f>'补数计算'!O12</x:f>
        <x:v>0.6486486486486487</x:v>
      </x:c>
      <x:c r="J204" s="84" t="n">
        <x:f>'补数计算'!O11</x:f>
        <x:v>0.6923076923076923</x:v>
      </x:c>
      <x:c r="K204" s="84" t="n">
        <x:f>'补数计算'!M12</x:f>
        <x:v>0.1306153585353449</x:v>
      </x:c>
      <x:c r="L204" s="85" t="n">
        <x:f>'补数计算'!N12</x:f>
        <x:v>1.8792425716989554</x:v>
      </x:c>
      <x:c r="M204" s="85" t="n">
        <x:f>'补数计算'!N11</x:f>
        <x:v>3.4969553733308096</x:v>
      </x:c>
      <x:c r="N204" s="4" t="str">
        <x:v>南华商品指数</x:v>
      </x:c>
      <x:c r="O204" t="str">
        <x:v>第二表截止日未提供；净值补算截止日见R列</x:v>
      </x:c>
      <x:c r="P204" s="86" t="n">
        <x:v>46281</x:v>
      </x:c>
      <x:c r="Q204" s="87" t="n">
        <x:f>'补数计算'!L13</x:f>
        <x:v>0.24541579582863648</x:v>
      </x:c>
      <x:c r="R204" s="86" t="n">
        <x:v>46269</x:v>
      </x:c>
      <x:c r="S204" s="87"/>
    </x:row>
    <x:row r="205">
      <x:c r="A205" s="4"/>
      <x:c r="B205" s="4"/>
      <x:c r="C205" s="4"/>
      <x:c r="D205" s="4"/>
      <x:c r="E205" s="4"/>
      <x:c r="F205" s="4"/>
      <x:c r="G205" s="4"/>
      <x:c r="H205" s="4"/>
      <x:c r="I205" s="4"/>
      <x:c r="J205" s="4"/>
      <x:c r="K205" s="4"/>
      <x:c r="L205" s="4"/>
      <x:c r="M205" s="4"/>
      <x:c r="N205" s="4"/>
      <x:c r="O205"/>
      <x:c r="P205"/>
    </x:row>
    <x:row r="206">
      <x:c r="A206" s="4"/>
      <x:c r="B206" s="4"/>
      <x:c r="C206" s="4"/>
      <x:c r="D206" s="4"/>
      <x:c r="E206" s="4"/>
      <x:c r="F206" s="4"/>
      <x:c r="G206" s="4"/>
      <x:c r="H206" s="4"/>
      <x:c r="I206" s="4"/>
      <x:c r="J206" s="4"/>
      <x:c r="K206" s="4"/>
      <x:c r="L206" s="4"/>
      <x:c r="M206" s="4"/>
      <x:c r="N206" s="4"/>
      <x:c r="O206"/>
      <x:c r="P206"/>
    </x:row>
    <x:row r="207">
      <x:c r="A207" s="4"/>
      <x:c r="B207" s="4"/>
      <x:c r="C207" s="4"/>
      <x:c r="D207" s="4"/>
      <x:c r="E207" s="4"/>
      <x:c r="F207" s="4"/>
      <x:c r="G207" s="4"/>
      <x:c r="H207" s="4"/>
      <x:c r="I207" s="4"/>
      <x:c r="J207" s="4"/>
      <x:c r="K207" s="4"/>
      <x:c r="L207" s="4"/>
      <x:c r="M207" s="4"/>
      <x:c r="N207" s="4"/>
      <x:c r="O207"/>
      <x:c r="P207"/>
    </x:row>
    <x:row r="208">
      <x:c r="A208" s="4"/>
      <x:c r="B208" s="4"/>
      <x:c r="C208" s="4"/>
      <x:c r="D208" s="4"/>
      <x:c r="E208" s="4"/>
      <x:c r="F208" s="4"/>
      <x:c r="G208" s="4"/>
      <x:c r="H208" s="4"/>
      <x:c r="I208" s="4"/>
      <x:c r="J208" s="4"/>
      <x:c r="K208" s="4"/>
      <x:c r="L208" s="4"/>
      <x:c r="M208" s="4"/>
      <x:c r="N208" s="4"/>
      <x:c r="O208"/>
      <x:c r="P208"/>
    </x:row>
    <x:row r="209">
      <x:c r="A209" s="4"/>
      <x:c r="B209" s="4"/>
      <x:c r="C209" s="4"/>
      <x:c r="D209" s="4"/>
      <x:c r="E209" s="4"/>
      <x:c r="F209" s="4"/>
      <x:c r="G209" s="4"/>
      <x:c r="H209" s="4"/>
      <x:c r="I209" s="4"/>
      <x:c r="J209" s="4"/>
      <x:c r="K209" s="4"/>
      <x:c r="L209" s="4"/>
      <x:c r="M209" s="4"/>
      <x:c r="N209" s="4"/>
      <x:c r="O209"/>
      <x:c r="P209"/>
    </x:row>
    <x:row r="210">
      <x:c r="A210" s="4"/>
      <x:c r="B210" s="4"/>
      <x:c r="C210" s="4"/>
      <x:c r="D210" s="4"/>
      <x:c r="E210" s="4"/>
      <x:c r="F210" s="4"/>
      <x:c r="G210" s="4"/>
      <x:c r="H210" s="4"/>
      <x:c r="I210" s="4"/>
      <x:c r="J210" s="4"/>
      <x:c r="K210" s="4"/>
      <x:c r="L210" s="4"/>
      <x:c r="M210" s="4"/>
      <x:c r="N210" s="4"/>
      <x:c r="O210"/>
      <x:c r="P210"/>
    </x:row>
    <x:row r="211">
      <x:c r="A211" s="4"/>
      <x:c r="B211" s="4"/>
      <x:c r="C211" s="4"/>
      <x:c r="D211" s="4"/>
      <x:c r="E211" s="4"/>
      <x:c r="F211" s="4"/>
      <x:c r="G211" s="4"/>
      <x:c r="H211" s="4"/>
      <x:c r="I211" s="4"/>
      <x:c r="J211" s="4"/>
      <x:c r="K211" s="4"/>
      <x:c r="L211" s="4"/>
      <x:c r="M211" s="4"/>
      <x:c r="N211" s="4"/>
      <x:c r="O211"/>
      <x:c r="P211"/>
    </x:row>
    <x:row r="212">
      <x:c r="A212" s="4"/>
      <x:c r="B212" s="4"/>
      <x:c r="C212" s="4"/>
      <x:c r="D212" s="4"/>
      <x:c r="E212" s="4"/>
      <x:c r="F212" s="4"/>
      <x:c r="G212" s="4"/>
      <x:c r="H212" s="4"/>
      <x:c r="I212" s="4"/>
      <x:c r="J212" s="4"/>
      <x:c r="K212" s="4"/>
      <x:c r="L212" s="4"/>
      <x:c r="M212" s="4"/>
      <x:c r="N212" s="4"/>
      <x:c r="O212"/>
      <x:c r="P212"/>
    </x:row>
    <x:row r="213">
      <x:c r="A213" s="4"/>
      <x:c r="B213" s="4"/>
      <x:c r="C213" s="4"/>
      <x:c r="D213" s="4"/>
      <x:c r="E213" s="4"/>
      <x:c r="F213" s="4"/>
      <x:c r="G213" s="4"/>
      <x:c r="H213" s="4"/>
      <x:c r="I213" s="4"/>
      <x:c r="J213" s="4"/>
      <x:c r="K213" s="4"/>
      <x:c r="L213" s="4"/>
      <x:c r="M213" s="4"/>
      <x:c r="N213" s="4"/>
      <x:c r="O213"/>
      <x:c r="P213"/>
    </x:row>
    <x:row r="214">
      <x:c r="A214" s="4"/>
      <x:c r="B214" s="4"/>
      <x:c r="C214" s="4"/>
      <x:c r="D214" s="4"/>
      <x:c r="E214" s="4"/>
      <x:c r="F214" s="4"/>
      <x:c r="G214" s="4"/>
      <x:c r="H214" s="4"/>
      <x:c r="I214" s="4"/>
      <x:c r="J214" s="4"/>
      <x:c r="K214" s="4"/>
      <x:c r="L214" s="4"/>
      <x:c r="M214" s="4"/>
      <x:c r="N214" s="4"/>
      <x:c r="O214"/>
      <x:c r="P214"/>
    </x:row>
    <x:row r="215">
      <x:c r="A215" s="4"/>
      <x:c r="B215" s="4"/>
      <x:c r="C215" s="4"/>
      <x:c r="D215" s="4"/>
      <x:c r="E215" s="4"/>
      <x:c r="F215" s="4"/>
      <x:c r="G215" s="4"/>
      <x:c r="H215" s="4"/>
      <x:c r="I215" s="4"/>
      <x:c r="J215" s="4"/>
      <x:c r="K215" s="4"/>
      <x:c r="L215" s="4"/>
      <x:c r="M215" s="4"/>
      <x:c r="N215" s="4"/>
      <x:c r="O215"/>
      <x:c r="P215"/>
    </x:row>
    <x:row r="216">
      <x:c r="A216" s="4"/>
      <x:c r="B216" s="4"/>
      <x:c r="C216" s="4"/>
      <x:c r="D216" s="4"/>
      <x:c r="E216" s="4"/>
      <x:c r="F216" s="4"/>
      <x:c r="G216" s="4"/>
      <x:c r="H216" s="4"/>
      <x:c r="I216" s="4"/>
      <x:c r="J216" s="4"/>
      <x:c r="K216" s="4"/>
      <x:c r="L216" s="4"/>
      <x:c r="M216" s="4"/>
      <x:c r="N216" s="4"/>
    </x:row>
    <x:row r="217">
      <x:c r="A217" s="4"/>
      <x:c r="B217" s="4"/>
      <x:c r="C217" s="4"/>
      <x:c r="D217" s="4"/>
      <x:c r="E217" s="4"/>
      <x:c r="F217" s="4"/>
      <x:c r="G217" s="4"/>
      <x:c r="H217" s="4"/>
      <x:c r="I217" s="4"/>
      <x:c r="J217" s="4"/>
      <x:c r="K217" s="4"/>
      <x:c r="L217" s="4"/>
      <x:c r="M217" s="4"/>
      <x:c r="N217" s="4"/>
    </x:row>
    <x:row r="218">
      <x:c r="A218" s="4"/>
      <x:c r="B218" s="4"/>
      <x:c r="C218" s="4"/>
      <x:c r="D218" s="4"/>
      <x:c r="E218" s="4"/>
      <x:c r="F218" s="4"/>
      <x:c r="G218" s="4"/>
      <x:c r="H218" s="4"/>
      <x:c r="I218" s="4"/>
      <x:c r="J218" s="4"/>
      <x:c r="K218" s="4"/>
      <x:c r="L218" s="4"/>
      <x:c r="M218" s="4"/>
      <x:c r="N218" s="4"/>
    </x:row>
    <x:row r="219">
      <x:c r="A219" s="4"/>
      <x:c r="B219" s="4"/>
      <x:c r="C219" s="4"/>
      <x:c r="D219" s="4"/>
      <x:c r="E219" s="4"/>
      <x:c r="F219" s="4"/>
      <x:c r="G219" s="4"/>
      <x:c r="H219" s="4"/>
      <x:c r="I219" s="4"/>
      <x:c r="J219" s="4"/>
      <x:c r="K219" s="4"/>
      <x:c r="L219" s="4"/>
      <x:c r="M219" s="4"/>
      <x:c r="N219" s="4"/>
    </x:row>
    <x:row r="220">
      <x:c r="A220" s="4"/>
      <x:c r="B220" s="4"/>
      <x:c r="C220" s="4"/>
      <x:c r="D220" s="4"/>
      <x:c r="E220" s="4"/>
      <x:c r="F220" s="4"/>
      <x:c r="G220" s="4"/>
      <x:c r="H220" s="4"/>
      <x:c r="I220" s="4"/>
      <x:c r="J220" s="4"/>
      <x:c r="K220" s="4"/>
      <x:c r="L220" s="4"/>
      <x:c r="M220" s="4"/>
      <x:c r="N220" s="4"/>
    </x:row>
    <x:row r="221">
      <x:c r="A221" s="4"/>
      <x:c r="B221" s="4"/>
      <x:c r="C221" s="4"/>
      <x:c r="D221" s="4"/>
      <x:c r="E221" s="4"/>
      <x:c r="F221" s="4"/>
      <x:c r="G221" s="4"/>
      <x:c r="H221" s="4"/>
      <x:c r="I221" s="4"/>
      <x:c r="J221" s="4"/>
      <x:c r="K221" s="4"/>
      <x:c r="L221" s="4"/>
      <x:c r="M221" s="4"/>
      <x:c r="N221" s="4"/>
    </x:row>
    <x:row r="222">
      <x:c r="A222" s="4"/>
      <x:c r="B222" s="4"/>
      <x:c r="C222" s="4"/>
      <x:c r="D222" s="4"/>
      <x:c r="E222" s="4"/>
      <x:c r="F222" s="4"/>
      <x:c r="G222" s="4"/>
      <x:c r="H222" s="4"/>
      <x:c r="I222" s="4"/>
      <x:c r="J222" s="4"/>
      <x:c r="K222" s="4"/>
      <x:c r="L222" s="4"/>
      <x:c r="M222" s="4"/>
      <x:c r="N222" s="4"/>
    </x:row>
    <x:row r="223">
      <x:c r="A223" s="4"/>
      <x:c r="B223" s="4"/>
      <x:c r="C223" s="4"/>
      <x:c r="D223" s="4"/>
      <x:c r="E223" s="4"/>
      <x:c r="F223" s="4"/>
      <x:c r="G223" s="4"/>
      <x:c r="H223" s="4"/>
      <x:c r="I223" s="4"/>
      <x:c r="J223" s="4"/>
      <x:c r="K223" s="4"/>
      <x:c r="L223" s="4"/>
      <x:c r="M223" s="4"/>
      <x:c r="N223" s="4"/>
    </x:row>
    <x:row r="224">
      <x:c r="A224" s="4"/>
      <x:c r="B224" s="4"/>
      <x:c r="C224" s="4"/>
      <x:c r="D224" s="4"/>
      <x:c r="E224" s="4"/>
      <x:c r="F224" s="4"/>
      <x:c r="G224" s="4"/>
      <x:c r="H224" s="4"/>
      <x:c r="I224" s="4"/>
      <x:c r="J224" s="4"/>
      <x:c r="K224" s="4"/>
      <x:c r="L224" s="4"/>
      <x:c r="M224" s="4"/>
      <x:c r="N224" s="4"/>
    </x:row>
    <x:row r="225">
      <x:c r="A225" s="4"/>
      <x:c r="B225" s="4"/>
      <x:c r="C225" s="4"/>
      <x:c r="D225" s="4"/>
      <x:c r="E225" s="4"/>
      <x:c r="F225" s="4"/>
      <x:c r="G225" s="4"/>
      <x:c r="H225" s="4"/>
      <x:c r="I225" s="4"/>
      <x:c r="J225" s="4"/>
      <x:c r="K225" s="4"/>
      <x:c r="L225" s="4"/>
      <x:c r="M225" s="4"/>
      <x:c r="N225" s="4"/>
    </x:row>
    <x:row r="226">
      <x:c r="A226" s="4"/>
      <x:c r="B226" s="4"/>
      <x:c r="C226" s="4"/>
      <x:c r="D226" s="4"/>
      <x:c r="E226" s="4"/>
      <x:c r="F226" s="4"/>
      <x:c r="G226" s="4"/>
      <x:c r="H226" s="4"/>
      <x:c r="I226" s="4"/>
      <x:c r="J226" s="4"/>
      <x:c r="K226" s="4"/>
      <x:c r="L226" s="4"/>
      <x:c r="M226" s="4"/>
      <x:c r="N226" s="4"/>
    </x:row>
    <x:row r="227">
      <x:c r="A227" s="4"/>
      <x:c r="B227" s="4"/>
      <x:c r="C227" s="4"/>
      <x:c r="D227" s="4"/>
      <x:c r="E227" s="4"/>
      <x:c r="F227" s="4"/>
      <x:c r="G227" s="4"/>
      <x:c r="H227" s="4"/>
      <x:c r="I227" s="4"/>
      <x:c r="J227" s="4"/>
      <x:c r="K227" s="4"/>
      <x:c r="L227" s="4"/>
      <x:c r="M227" s="4"/>
      <x:c r="N227" s="4"/>
    </x:row>
    <x:row r="228">
      <x:c r="A228" s="4"/>
      <x:c r="B228" s="4"/>
      <x:c r="C228" s="4"/>
      <x:c r="D228" s="4"/>
      <x:c r="E228" s="4"/>
      <x:c r="F228" s="4"/>
      <x:c r="G228" s="4"/>
      <x:c r="H228" s="4"/>
      <x:c r="I228" s="4"/>
      <x:c r="J228" s="4"/>
      <x:c r="K228" s="4"/>
      <x:c r="L228" s="4"/>
      <x:c r="M228" s="4"/>
      <x:c r="N228" s="4"/>
    </x:row>
    <x:row r="229">
      <x:c r="A229" s="4"/>
      <x:c r="B229" s="4"/>
      <x:c r="C229" s="4"/>
      <x:c r="D229" s="4"/>
      <x:c r="E229" s="4"/>
      <x:c r="F229" s="4"/>
      <x:c r="G229" s="4"/>
      <x:c r="H229" s="4"/>
      <x:c r="I229" s="4"/>
      <x:c r="J229" s="4"/>
      <x:c r="K229" s="4"/>
      <x:c r="L229" s="4"/>
      <x:c r="M229" s="4"/>
      <x:c r="N229" s="4"/>
    </x:row>
    <x:row r="230">
      <x:c r="A230" s="4"/>
      <x:c r="B230" s="4"/>
      <x:c r="C230" s="4"/>
      <x:c r="D230" s="4"/>
      <x:c r="E230" s="4"/>
      <x:c r="F230" s="4"/>
      <x:c r="G230" s="4"/>
      <x:c r="H230" s="4"/>
      <x:c r="I230" s="4"/>
      <x:c r="J230" s="4"/>
      <x:c r="K230" s="4"/>
      <x:c r="L230" s="4"/>
      <x:c r="M230" s="4"/>
      <x:c r="N230" s="4"/>
    </x:row>
    <x:row r="231">
      <x:c r="A231" s="4"/>
      <x:c r="B231" s="4"/>
      <x:c r="C231" s="4"/>
      <x:c r="D231" s="4"/>
      <x:c r="E231" s="4"/>
      <x:c r="F231" s="4"/>
      <x:c r="G231" s="4"/>
      <x:c r="H231" s="4"/>
      <x:c r="I231" s="4"/>
      <x:c r="J231" s="4"/>
      <x:c r="K231" s="4"/>
      <x:c r="L231" s="4"/>
      <x:c r="M231" s="4"/>
      <x:c r="N231" s="4"/>
    </x:row>
    <x:row r="232">
      <x:c r="A232" s="4"/>
      <x:c r="B232" s="4"/>
      <x:c r="C232" s="4"/>
      <x:c r="D232" s="4"/>
      <x:c r="E232" s="4"/>
      <x:c r="F232" s="4"/>
      <x:c r="G232" s="4"/>
      <x:c r="H232" s="4"/>
      <x:c r="I232" s="4"/>
      <x:c r="J232" s="4"/>
      <x:c r="K232" s="4"/>
      <x:c r="L232" s="4"/>
      <x:c r="M232" s="4"/>
      <x:c r="N232" s="4"/>
    </x:row>
    <x:row r="233">
      <x:c r="A233" s="4"/>
      <x:c r="B233" s="4"/>
      <x:c r="C233" s="4"/>
      <x:c r="D233" s="4"/>
      <x:c r="E233" s="4"/>
      <x:c r="F233" s="4"/>
      <x:c r="G233" s="4"/>
      <x:c r="H233" s="4"/>
      <x:c r="I233" s="4"/>
      <x:c r="J233" s="4"/>
      <x:c r="K233" s="4"/>
      <x:c r="L233" s="4"/>
      <x:c r="M233" s="4"/>
      <x:c r="N233" s="4"/>
    </x:row>
    <x:row r="234">
      <x:c r="A234" s="4"/>
      <x:c r="B234" s="4"/>
      <x:c r="C234" s="4"/>
      <x:c r="D234" s="4"/>
      <x:c r="E234" s="4"/>
      <x:c r="F234" s="4"/>
      <x:c r="G234" s="4"/>
      <x:c r="H234" s="4"/>
      <x:c r="I234" s="4"/>
      <x:c r="J234" s="4"/>
      <x:c r="K234" s="4"/>
      <x:c r="L234" s="4"/>
      <x:c r="M234" s="4"/>
      <x:c r="N234" s="4"/>
    </x:row>
    <x:row r="235">
      <x:c r="A235" s="4"/>
      <x:c r="B235" s="4"/>
      <x:c r="C235" s="4"/>
      <x:c r="D235" s="4"/>
      <x:c r="E235" s="4"/>
      <x:c r="F235" s="4"/>
      <x:c r="G235" s="4"/>
      <x:c r="H235" s="4"/>
      <x:c r="I235" s="4"/>
      <x:c r="J235" s="4"/>
      <x:c r="K235" s="4"/>
      <x:c r="L235" s="4"/>
      <x:c r="M235" s="4"/>
      <x:c r="N235" s="4"/>
    </x:row>
    <x:row r="236">
      <x:c r="A236" s="4"/>
      <x:c r="B236" s="4"/>
      <x:c r="C236" s="4"/>
      <x:c r="D236" s="4"/>
      <x:c r="E236" s="4"/>
      <x:c r="F236" s="4"/>
      <x:c r="G236" s="4"/>
      <x:c r="H236" s="4"/>
      <x:c r="I236" s="4"/>
      <x:c r="J236" s="4"/>
      <x:c r="K236" s="4"/>
      <x:c r="L236" s="4"/>
      <x:c r="M236" s="4"/>
      <x:c r="N236" s="4"/>
    </x:row>
    <x:row r="237">
      <x:c r="A237" s="4"/>
      <x:c r="B237" s="4"/>
      <x:c r="C237" s="4"/>
      <x:c r="D237" s="4"/>
      <x:c r="E237" s="4"/>
      <x:c r="F237" s="4"/>
      <x:c r="G237" s="4"/>
      <x:c r="H237" s="4"/>
      <x:c r="I237" s="4"/>
      <x:c r="J237" s="4"/>
      <x:c r="K237" s="4"/>
      <x:c r="L237" s="4"/>
      <x:c r="M237" s="4"/>
      <x:c r="N237" s="4"/>
    </x:row>
    <x:row r="238">
      <x:c r="A238" s="4"/>
      <x:c r="B238" s="4"/>
      <x:c r="C238" s="4"/>
      <x:c r="D238" s="4"/>
      <x:c r="E238" s="4"/>
      <x:c r="F238" s="4"/>
      <x:c r="G238" s="4"/>
      <x:c r="H238" s="4"/>
      <x:c r="I238" s="4"/>
      <x:c r="J238" s="4"/>
      <x:c r="K238" s="4"/>
      <x:c r="L238" s="4"/>
      <x:c r="M238" s="4"/>
      <x:c r="N238" s="4"/>
    </x:row>
    <x:row r="239">
      <x:c r="A239" s="4"/>
      <x:c r="B239" s="4"/>
      <x:c r="C239" s="4"/>
      <x:c r="D239" s="4"/>
      <x:c r="E239" s="4"/>
      <x:c r="F239" s="4"/>
      <x:c r="G239" s="4"/>
      <x:c r="H239" s="4"/>
      <x:c r="I239" s="4"/>
      <x:c r="J239" s="4"/>
      <x:c r="K239" s="4"/>
      <x:c r="L239" s="4"/>
      <x:c r="M239" s="4"/>
      <x:c r="N239" s="4"/>
    </x:row>
    <x:row r="240">
      <x:c r="A240" s="4"/>
      <x:c r="B240" s="4"/>
      <x:c r="C240" s="4"/>
      <x:c r="D240" s="4"/>
      <x:c r="E240" s="4"/>
      <x:c r="F240" s="4"/>
      <x:c r="G240" s="4"/>
      <x:c r="H240" s="4"/>
      <x:c r="I240" s="4"/>
      <x:c r="J240" s="4"/>
      <x:c r="K240" s="4"/>
      <x:c r="L240" s="4"/>
      <x:c r="M240" s="4"/>
      <x:c r="N240" s="4"/>
    </x:row>
    <x:row r="241">
      <x:c r="A241" s="4"/>
      <x:c r="B241" s="4"/>
      <x:c r="C241" s="4"/>
      <x:c r="D241" s="4"/>
      <x:c r="E241" s="4"/>
      <x:c r="F241" s="4"/>
      <x:c r="G241" s="4"/>
      <x:c r="H241" s="4"/>
      <x:c r="I241" s="4"/>
      <x:c r="J241" s="4"/>
      <x:c r="K241" s="4"/>
      <x:c r="L241" s="4"/>
      <x:c r="M241" s="4"/>
      <x:c r="N241" s="4"/>
    </x:row>
    <x:row r="242">
      <x:c r="A242" s="4"/>
      <x:c r="B242" s="4"/>
      <x:c r="C242" s="4"/>
      <x:c r="D242" s="4"/>
      <x:c r="E242" s="4"/>
      <x:c r="F242" s="4"/>
      <x:c r="G242" s="4"/>
      <x:c r="H242" s="4"/>
      <x:c r="I242" s="4"/>
      <x:c r="J242" s="4"/>
      <x:c r="K242" s="4"/>
      <x:c r="L242" s="4"/>
      <x:c r="M242" s="4"/>
      <x:c r="N242" s="4"/>
    </x:row>
    <x:row r="243">
      <x:c r="A243" s="4"/>
      <x:c r="B243" s="4"/>
      <x:c r="C243" s="4"/>
      <x:c r="D243" s="4"/>
      <x:c r="E243" s="4"/>
      <x:c r="F243" s="4"/>
      <x:c r="G243" s="4"/>
      <x:c r="H243" s="4"/>
      <x:c r="I243" s="4"/>
      <x:c r="J243" s="4"/>
      <x:c r="K243" s="4"/>
      <x:c r="L243" s="4"/>
      <x:c r="M243" s="4"/>
      <x:c r="N243" s="4"/>
      <x:c r="O243"/>
      <x:c r="P243"/>
    </x:row>
    <x:row r="244">
      <x:c r="A244" s="4"/>
      <x:c r="B244" s="4"/>
      <x:c r="C244" s="4"/>
      <x:c r="D244" s="4"/>
      <x:c r="E244" s="4"/>
      <x:c r="F244" s="4"/>
      <x:c r="G244" s="4"/>
      <x:c r="H244" s="4"/>
      <x:c r="I244" s="4"/>
      <x:c r="J244" s="4"/>
      <x:c r="K244" s="4"/>
      <x:c r="L244" s="4"/>
      <x:c r="M244" s="4"/>
      <x:c r="N244" s="4"/>
      <x:c r="O244"/>
      <x:c r="P244"/>
    </x:row>
    <x:row r="245">
      <x:c r="A245" s="4"/>
      <x:c r="B245" s="4"/>
      <x:c r="C245" s="4"/>
      <x:c r="D245" s="4"/>
      <x:c r="E245" s="4"/>
      <x:c r="F245" s="4"/>
      <x:c r="G245" s="4"/>
      <x:c r="H245" s="4"/>
      <x:c r="I245" s="4"/>
      <x:c r="J245" s="4"/>
      <x:c r="K245" s="4"/>
      <x:c r="L245" s="4"/>
      <x:c r="M245" s="4"/>
      <x:c r="N245" s="4"/>
      <x:c r="O245"/>
      <x:c r="P245"/>
    </x:row>
    <x:row r="246">
      <x:c r="A246" s="4"/>
      <x:c r="B246" s="4"/>
      <x:c r="C246" s="4"/>
      <x:c r="D246" s="4"/>
      <x:c r="E246" s="4"/>
      <x:c r="F246" s="4"/>
      <x:c r="G246" s="4"/>
      <x:c r="H246" s="4"/>
      <x:c r="I246" s="4"/>
      <x:c r="J246" s="4"/>
      <x:c r="K246" s="4"/>
      <x:c r="L246" s="4"/>
      <x:c r="M246" s="4"/>
      <x:c r="N246" s="4"/>
      <x:c r="O246"/>
      <x:c r="P246"/>
    </x:row>
    <x:row r="247">
      <x:c r="A247" s="4"/>
      <x:c r="B247" s="4"/>
      <x:c r="C247" s="4"/>
      <x:c r="D247" s="4"/>
      <x:c r="E247" s="4"/>
      <x:c r="F247" s="4"/>
      <x:c r="G247" s="4"/>
      <x:c r="H247" s="4"/>
      <x:c r="I247" s="4"/>
      <x:c r="J247" s="4"/>
      <x:c r="K247" s="4"/>
      <x:c r="L247" s="4"/>
      <x:c r="M247" s="4"/>
      <x:c r="N247" s="4"/>
      <x:c r="O247"/>
      <x:c r="P247"/>
    </x:row>
    <x:row r="248">
      <x:c r="A248" s="4"/>
      <x:c r="B248" s="4"/>
      <x:c r="C248" s="4"/>
      <x:c r="D248" s="4"/>
      <x:c r="E248" s="4"/>
      <x:c r="F248" s="4"/>
      <x:c r="G248" s="4"/>
      <x:c r="H248" s="4"/>
      <x:c r="I248" s="4"/>
      <x:c r="J248" s="4"/>
      <x:c r="K248" s="4"/>
      <x:c r="L248" s="4"/>
      <x:c r="M248" s="4"/>
      <x:c r="N248" s="4"/>
      <x:c r="O248"/>
      <x:c r="P248"/>
    </x:row>
    <x:row r="249">
      <x:c r="A249" s="4"/>
      <x:c r="B249" s="4"/>
      <x:c r="C249" s="4"/>
      <x:c r="D249" s="4"/>
      <x:c r="E249" s="4"/>
      <x:c r="F249" s="4"/>
      <x:c r="G249" s="4"/>
      <x:c r="H249" s="4"/>
      <x:c r="I249" s="4"/>
      <x:c r="J249" s="4"/>
      <x:c r="K249" s="4"/>
      <x:c r="L249" s="4"/>
      <x:c r="M249" s="4"/>
      <x:c r="N249" s="4"/>
      <x:c r="O249"/>
      <x:c r="P249"/>
    </x:row>
    <x:row r="250">
      <x:c r="A250" s="4"/>
      <x:c r="B250" s="4"/>
      <x:c r="C250" s="4"/>
      <x:c r="D250" s="4"/>
      <x:c r="E250" s="4"/>
      <x:c r="F250" s="4"/>
      <x:c r="G250" s="4"/>
      <x:c r="H250" s="4"/>
      <x:c r="I250" s="4"/>
      <x:c r="J250" s="4"/>
      <x:c r="K250" s="4"/>
      <x:c r="L250" s="4"/>
      <x:c r="M250" s="4"/>
      <x:c r="N250" s="4"/>
      <x:c r="O250"/>
      <x:c r="P250"/>
    </x:row>
    <x:row r="251">
      <x:c r="A251" s="4"/>
      <x:c r="B251" s="4"/>
      <x:c r="C251" s="4"/>
      <x:c r="D251" s="4"/>
      <x:c r="E251" s="4"/>
      <x:c r="F251" s="4"/>
      <x:c r="G251" s="4"/>
      <x:c r="H251" s="4"/>
      <x:c r="I251" s="4"/>
      <x:c r="J251" s="4"/>
      <x:c r="K251" s="4"/>
      <x:c r="L251" s="4"/>
      <x:c r="M251" s="4"/>
      <x:c r="N251" s="4"/>
      <x:c r="O251"/>
      <x:c r="P251"/>
    </x:row>
    <x:row r="252">
      <x:c r="A252" s="4"/>
      <x:c r="B252" s="4"/>
      <x:c r="C252" s="4"/>
      <x:c r="D252" s="4"/>
      <x:c r="E252" s="4"/>
      <x:c r="F252" s="4"/>
      <x:c r="G252" s="4"/>
      <x:c r="H252" s="4"/>
      <x:c r="I252" s="4"/>
      <x:c r="J252" s="4"/>
      <x:c r="K252" s="4"/>
      <x:c r="L252" s="4"/>
      <x:c r="M252" s="4"/>
      <x:c r="N252" s="4"/>
      <x:c r="O252"/>
      <x:c r="P252"/>
    </x:row>
    <x:row r="253">
      <x:c r="A253" s="4"/>
      <x:c r="B253" s="4"/>
      <x:c r="C253" s="4"/>
      <x:c r="D253" s="4"/>
      <x:c r="E253" s="4"/>
      <x:c r="F253" s="4"/>
      <x:c r="G253" s="4"/>
      <x:c r="H253" s="4"/>
      <x:c r="I253" s="4"/>
      <x:c r="J253" s="4"/>
      <x:c r="K253" s="4"/>
      <x:c r="L253" s="4"/>
      <x:c r="M253" s="4"/>
      <x:c r="N253" s="4"/>
      <x:c r="O253"/>
      <x:c r="P253"/>
    </x:row>
    <x:row r="254">
      <x:c r="A254" s="4"/>
      <x:c r="B254" s="4"/>
      <x:c r="C254" s="4"/>
      <x:c r="D254" s="4"/>
      <x:c r="E254" s="4"/>
      <x:c r="F254" s="4"/>
      <x:c r="G254" s="4"/>
      <x:c r="H254" s="4"/>
      <x:c r="I254" s="4"/>
      <x:c r="J254" s="4"/>
      <x:c r="K254" s="4"/>
      <x:c r="L254" s="4"/>
      <x:c r="M254" s="4"/>
      <x:c r="N254" s="4"/>
      <x:c r="O254"/>
      <x:c r="P254"/>
    </x:row>
    <x:row r="255">
      <x:c r="A255" s="4"/>
      <x:c r="B255" s="4"/>
      <x:c r="C255" s="4"/>
      <x:c r="D255" s="4"/>
      <x:c r="E255" s="4"/>
      <x:c r="F255" s="4"/>
      <x:c r="G255" s="4"/>
      <x:c r="H255" s="4"/>
      <x:c r="I255" s="4"/>
      <x:c r="J255" s="4"/>
      <x:c r="K255" s="4"/>
      <x:c r="L255" s="4"/>
      <x:c r="M255" s="4"/>
      <x:c r="N255" s="4"/>
      <x:c r="O255"/>
      <x:c r="P255"/>
    </x:row>
    <x:row r="256">
      <x:c r="A256" s="4"/>
      <x:c r="B256" s="4"/>
      <x:c r="C256" s="4"/>
      <x:c r="D256" s="4"/>
      <x:c r="E256" s="4"/>
      <x:c r="F256" s="4"/>
      <x:c r="G256" s="4"/>
      <x:c r="H256" s="4"/>
      <x:c r="I256" s="4"/>
      <x:c r="J256" s="4"/>
      <x:c r="K256" s="4"/>
      <x:c r="L256" s="4"/>
      <x:c r="M256" s="4"/>
      <x:c r="N256" s="4"/>
      <x:c r="O256"/>
      <x:c r="P256"/>
    </x:row>
    <x:row r="257">
      <x:c r="A257" s="4"/>
      <x:c r="B257" s="4"/>
      <x:c r="C257" s="4"/>
      <x:c r="D257" s="4"/>
      <x:c r="E257" s="4"/>
      <x:c r="F257" s="4"/>
      <x:c r="G257" s="4"/>
      <x:c r="H257" s="4"/>
      <x:c r="I257" s="4"/>
      <x:c r="J257" s="4"/>
      <x:c r="K257" s="4"/>
      <x:c r="L257" s="4"/>
      <x:c r="M257" s="4"/>
      <x:c r="N257" s="4"/>
      <x:c r="O257"/>
      <x:c r="P257"/>
    </x:row>
    <x:row r="258">
      <x:c r="A258" s="4"/>
      <x:c r="B258" s="4"/>
      <x:c r="C258" s="4"/>
      <x:c r="D258" s="4"/>
      <x:c r="E258" s="4"/>
      <x:c r="F258" s="4"/>
      <x:c r="G258" s="4"/>
      <x:c r="H258" s="4"/>
      <x:c r="I258" s="4"/>
      <x:c r="J258" s="4"/>
      <x:c r="K258" s="4"/>
      <x:c r="L258" s="4"/>
      <x:c r="M258" s="4"/>
      <x:c r="N258" s="4"/>
      <x:c r="O258"/>
      <x:c r="P258"/>
    </x:row>
    <x:row r="259">
      <x:c r="A259" s="4"/>
      <x:c r="B259" s="4"/>
      <x:c r="C259" s="4"/>
      <x:c r="D259" s="4"/>
      <x:c r="E259" s="4"/>
      <x:c r="F259" s="4"/>
      <x:c r="G259" s="4"/>
      <x:c r="H259" s="4"/>
      <x:c r="I259" s="4"/>
      <x:c r="J259" s="4"/>
      <x:c r="K259" s="4"/>
      <x:c r="L259" s="4"/>
      <x:c r="M259" s="4"/>
      <x:c r="N259" s="4"/>
      <x:c r="O259"/>
      <x:c r="P259"/>
    </x:row>
    <x:row r="260">
      <x:c r="A260" s="4"/>
      <x:c r="B260" s="4"/>
      <x:c r="C260" s="4"/>
      <x:c r="D260" s="4"/>
      <x:c r="E260" s="4"/>
      <x:c r="F260" s="4"/>
      <x:c r="G260" s="4"/>
      <x:c r="H260" s="4"/>
      <x:c r="I260" s="4"/>
      <x:c r="J260" s="4"/>
      <x:c r="K260" s="4"/>
      <x:c r="L260" s="4"/>
      <x:c r="M260" s="4"/>
      <x:c r="N260" s="4"/>
      <x:c r="O260"/>
      <x:c r="P260"/>
    </x:row>
    <x:row r="261">
      <x:c r="A261" s="4"/>
      <x:c r="B261" s="4"/>
      <x:c r="C261" s="4"/>
      <x:c r="D261" s="4"/>
      <x:c r="E261" s="4"/>
      <x:c r="F261" s="4"/>
      <x:c r="G261" s="4"/>
      <x:c r="H261" s="4"/>
      <x:c r="I261" s="4"/>
      <x:c r="J261" s="4"/>
      <x:c r="K261" s="4"/>
      <x:c r="L261" s="4"/>
      <x:c r="M261" s="4"/>
      <x:c r="N261" s="4"/>
      <x:c r="O261"/>
      <x:c r="P261"/>
    </x:row>
    <x:row r="262">
      <x:c r="A262" s="4"/>
      <x:c r="B262" s="4"/>
      <x:c r="C262" s="4"/>
      <x:c r="D262" s="4"/>
      <x:c r="E262" s="4"/>
      <x:c r="F262" s="4"/>
      <x:c r="G262" s="4"/>
      <x:c r="H262" s="4"/>
      <x:c r="I262" s="4"/>
      <x:c r="J262" s="4"/>
      <x:c r="K262" s="4"/>
      <x:c r="L262" s="4"/>
      <x:c r="M262" s="4"/>
      <x:c r="N262" s="4"/>
      <x:c r="O262"/>
      <x:c r="P262"/>
    </x:row>
    <x:row r="263">
      <x:c r="A263" s="4"/>
      <x:c r="B263" s="4"/>
      <x:c r="C263" s="4"/>
      <x:c r="D263" s="4"/>
      <x:c r="E263" s="4"/>
      <x:c r="F263" s="4"/>
      <x:c r="G263" s="4"/>
      <x:c r="H263" s="4"/>
      <x:c r="I263" s="4"/>
      <x:c r="J263" s="4"/>
      <x:c r="K263" s="4"/>
      <x:c r="L263" s="4"/>
      <x:c r="M263" s="4"/>
      <x:c r="N263" s="4"/>
      <x:c r="O263"/>
      <x:c r="P263"/>
    </x:row>
    <x:row r="264">
      <x:c r="A264" s="4"/>
      <x:c r="B264" s="4"/>
      <x:c r="C264" s="4"/>
      <x:c r="D264" s="4"/>
      <x:c r="E264" s="4"/>
      <x:c r="F264" s="4"/>
      <x:c r="G264" s="4"/>
      <x:c r="H264" s="4"/>
      <x:c r="I264" s="4"/>
      <x:c r="J264" s="4"/>
      <x:c r="K264" s="4"/>
      <x:c r="L264" s="4"/>
      <x:c r="M264" s="4"/>
      <x:c r="N264" s="4"/>
      <x:c r="O264"/>
      <x:c r="P264"/>
    </x:row>
    <x:row r="265">
      <x:c r="A265" s="4"/>
      <x:c r="B265" s="4"/>
      <x:c r="C265" s="4"/>
      <x:c r="D265" s="4"/>
      <x:c r="E265" s="4"/>
      <x:c r="F265" s="4"/>
      <x:c r="G265" s="4"/>
      <x:c r="H265" s="4"/>
      <x:c r="I265" s="4"/>
      <x:c r="J265" s="4"/>
      <x:c r="K265" s="4"/>
      <x:c r="L265" s="4"/>
      <x:c r="M265" s="4"/>
      <x:c r="N265" s="4"/>
    </x:row>
    <x:row r="266">
      <x:c r="A266" s="4"/>
      <x:c r="B266" s="4"/>
      <x:c r="C266" s="4"/>
      <x:c r="D266" s="4"/>
      <x:c r="E266" s="4"/>
      <x:c r="F266" s="4"/>
      <x:c r="G266" s="4"/>
      <x:c r="H266" s="4"/>
      <x:c r="I266" s="4"/>
      <x:c r="J266" s="4"/>
      <x:c r="K266" s="4"/>
      <x:c r="L266" s="4"/>
      <x:c r="M266" s="4"/>
      <x:c r="N266" s="4"/>
      <x:c r="O266"/>
      <x:c r="P266"/>
    </x:row>
    <x:row r="267">
      <x:c r="A267" s="4"/>
      <x:c r="B267" s="4"/>
      <x:c r="C267" s="4"/>
      <x:c r="D267" s="4"/>
      <x:c r="E267" s="4"/>
      <x:c r="F267" s="4"/>
      <x:c r="G267" s="4"/>
      <x:c r="H267" s="4"/>
      <x:c r="I267" s="4"/>
      <x:c r="J267" s="4"/>
      <x:c r="K267" s="4"/>
      <x:c r="L267" s="4"/>
      <x:c r="M267" s="4"/>
      <x:c r="N267" s="4"/>
      <x:c r="O267"/>
      <x:c r="P267"/>
    </x:row>
    <x:row r="268">
      <x:c r="A268" s="4"/>
      <x:c r="B268" s="4"/>
      <x:c r="C268" s="4"/>
      <x:c r="D268" s="4"/>
      <x:c r="E268" s="4"/>
      <x:c r="F268" s="4"/>
      <x:c r="G268" s="4"/>
      <x:c r="H268" s="4"/>
      <x:c r="I268" s="4"/>
      <x:c r="J268" s="4"/>
      <x:c r="K268" s="4"/>
      <x:c r="L268" s="4"/>
      <x:c r="M268" s="4"/>
      <x:c r="N268" s="4"/>
      <x:c r="O268"/>
      <x:c r="P268"/>
    </x:row>
    <x:row r="269">
      <x:c r="A269" s="4"/>
      <x:c r="B269" s="4"/>
      <x:c r="C269" s="4"/>
      <x:c r="D269" s="4"/>
      <x:c r="E269" s="4"/>
      <x:c r="F269" s="4"/>
      <x:c r="G269" s="4"/>
      <x:c r="H269" s="4"/>
      <x:c r="I269" s="4"/>
      <x:c r="J269" s="4"/>
      <x:c r="K269" s="4"/>
      <x:c r="L269" s="4"/>
      <x:c r="M269" s="4"/>
      <x:c r="N269" s="4"/>
      <x:c r="O269"/>
      <x:c r="P269"/>
    </x:row>
    <x:row r="270">
      <x:c r="A270" s="4"/>
      <x:c r="B270" s="4"/>
      <x:c r="C270" s="4"/>
      <x:c r="D270" s="4"/>
      <x:c r="E270" s="4"/>
      <x:c r="F270" s="4"/>
      <x:c r="G270" s="4"/>
      <x:c r="H270" s="4"/>
      <x:c r="I270" s="4"/>
      <x:c r="J270" s="4"/>
      <x:c r="K270" s="4"/>
      <x:c r="L270" s="4"/>
      <x:c r="M270" s="4"/>
      <x:c r="N270" s="4"/>
      <x:c r="O270"/>
      <x:c r="P270"/>
    </x:row>
    <x:row r="271">
      <x:c r="A271" s="4"/>
      <x:c r="B271" s="4"/>
      <x:c r="C271" s="4"/>
      <x:c r="D271" s="4"/>
      <x:c r="E271" s="4"/>
      <x:c r="F271" s="4"/>
      <x:c r="G271" s="4"/>
      <x:c r="H271" s="4"/>
      <x:c r="I271" s="4"/>
      <x:c r="J271" s="4"/>
      <x:c r="K271" s="4"/>
      <x:c r="L271" s="4"/>
      <x:c r="M271" s="4"/>
      <x:c r="N271" s="4"/>
      <x:c r="O271"/>
      <x:c r="P271"/>
    </x:row>
    <x:row r="272">
      <x:c r="A272" s="4"/>
      <x:c r="B272" s="4"/>
      <x:c r="C272" s="4"/>
      <x:c r="D272" s="4"/>
      <x:c r="E272" s="4"/>
      <x:c r="F272" s="4"/>
      <x:c r="G272" s="4"/>
      <x:c r="H272" s="4"/>
      <x:c r="I272" s="4"/>
      <x:c r="J272" s="4"/>
      <x:c r="K272" s="4"/>
      <x:c r="L272" s="4"/>
      <x:c r="M272" s="4"/>
      <x:c r="N272" s="4"/>
      <x:c r="O272"/>
      <x:c r="P272"/>
    </x:row>
    <x:row r="273">
      <x:c r="A273" s="4"/>
      <x:c r="B273" s="4"/>
      <x:c r="C273" s="4"/>
      <x:c r="D273" s="4"/>
      <x:c r="E273" s="4"/>
      <x:c r="F273" s="4"/>
      <x:c r="G273" s="4"/>
      <x:c r="H273" s="4"/>
      <x:c r="I273" s="4"/>
      <x:c r="J273" s="4"/>
      <x:c r="K273" s="4"/>
      <x:c r="L273" s="4"/>
      <x:c r="M273" s="4"/>
      <x:c r="N273" s="4"/>
      <x:c r="O273"/>
      <x:c r="P273"/>
    </x:row>
    <x:row r="274">
      <x:c r="A274" s="4"/>
      <x:c r="B274" s="4"/>
      <x:c r="C274" s="4"/>
      <x:c r="D274" s="4"/>
      <x:c r="E274" s="4"/>
      <x:c r="F274" s="4"/>
      <x:c r="G274" s="4"/>
      <x:c r="H274" s="4"/>
      <x:c r="I274" s="4"/>
      <x:c r="J274" s="4"/>
      <x:c r="K274" s="4"/>
      <x:c r="L274" s="4"/>
      <x:c r="M274" s="4"/>
      <x:c r="N274" s="4"/>
      <x:c r="O274"/>
      <x:c r="P274"/>
    </x:row>
    <x:row r="275">
      <x:c r="A275" s="4"/>
      <x:c r="B275" s="4"/>
      <x:c r="C275" s="4"/>
      <x:c r="D275" s="4"/>
      <x:c r="E275" s="4"/>
      <x:c r="F275" s="4"/>
      <x:c r="G275" s="4"/>
      <x:c r="H275" s="4"/>
      <x:c r="I275" s="4"/>
      <x:c r="J275" s="4"/>
      <x:c r="K275" s="4"/>
      <x:c r="L275" s="4"/>
      <x:c r="M275" s="4"/>
      <x:c r="N275" s="4"/>
      <x:c r="O275"/>
      <x:c r="P275"/>
    </x:row>
    <x:row r="276">
      <x:c r="A276" s="4"/>
      <x:c r="B276" s="4"/>
      <x:c r="C276" s="4"/>
      <x:c r="D276" s="4"/>
      <x:c r="E276" s="4"/>
      <x:c r="F276" s="4"/>
      <x:c r="G276" s="4"/>
      <x:c r="H276" s="4"/>
      <x:c r="I276" s="4"/>
      <x:c r="J276" s="4"/>
      <x:c r="K276" s="4"/>
      <x:c r="L276" s="4"/>
      <x:c r="M276" s="4"/>
      <x:c r="N276" s="4"/>
      <x:c r="O276"/>
      <x:c r="P276"/>
    </x:row>
    <x:row r="277">
      <x:c r="A277" s="4"/>
      <x:c r="B277" s="4"/>
      <x:c r="C277" s="4"/>
      <x:c r="D277" s="4"/>
      <x:c r="E277" s="4"/>
      <x:c r="F277" s="4"/>
      <x:c r="G277" s="4"/>
      <x:c r="H277" s="4"/>
      <x:c r="I277" s="4"/>
      <x:c r="J277" s="4"/>
      <x:c r="K277" s="4"/>
      <x:c r="L277" s="4"/>
      <x:c r="M277" s="4"/>
      <x:c r="N277" s="4"/>
      <x:c r="O277"/>
      <x:c r="P277"/>
    </x:row>
    <x:row r="278">
      <x:c r="A278" s="4"/>
      <x:c r="B278" s="4"/>
      <x:c r="C278" s="4"/>
      <x:c r="D278" s="4"/>
      <x:c r="E278" s="4"/>
      <x:c r="F278" s="4"/>
      <x:c r="G278" s="4"/>
      <x:c r="H278" s="4"/>
      <x:c r="I278" s="4"/>
      <x:c r="J278" s="4"/>
      <x:c r="K278" s="4"/>
      <x:c r="L278" s="4"/>
      <x:c r="M278" s="4"/>
      <x:c r="N278" s="4"/>
      <x:c r="O278"/>
      <x:c r="P278"/>
    </x:row>
    <x:row r="279">
      <x:c r="A279" s="4"/>
      <x:c r="B279" s="4"/>
      <x:c r="C279" s="4"/>
      <x:c r="D279" s="4"/>
      <x:c r="E279" s="4"/>
      <x:c r="F279" s="4"/>
      <x:c r="G279" s="4"/>
      <x:c r="H279" s="4"/>
      <x:c r="I279" s="4"/>
      <x:c r="J279" s="4"/>
      <x:c r="K279" s="4"/>
      <x:c r="L279" s="4"/>
      <x:c r="M279" s="4"/>
      <x:c r="N279" s="4"/>
      <x:c r="O279"/>
      <x:c r="P279"/>
    </x:row>
    <x:row r="280">
      <x:c r="A280" s="4"/>
      <x:c r="B280" s="4"/>
      <x:c r="C280" s="4"/>
      <x:c r="D280" s="4"/>
      <x:c r="E280" s="4"/>
      <x:c r="F280" s="4"/>
      <x:c r="G280" s="4"/>
      <x:c r="H280" s="4"/>
      <x:c r="I280" s="4"/>
      <x:c r="J280" s="4"/>
      <x:c r="K280" s="4"/>
      <x:c r="L280" s="4"/>
      <x:c r="M280" s="4"/>
      <x:c r="N280" s="4"/>
      <x:c r="O280"/>
      <x:c r="P280"/>
    </x:row>
    <x:row r="281">
      <x:c r="A281" s="4"/>
      <x:c r="B281" s="4"/>
      <x:c r="C281" s="4"/>
      <x:c r="D281" s="4"/>
      <x:c r="E281" s="4"/>
      <x:c r="F281" s="4"/>
      <x:c r="G281" s="4"/>
      <x:c r="H281" s="4"/>
      <x:c r="I281" s="4"/>
      <x:c r="J281" s="4"/>
      <x:c r="K281" s="4"/>
      <x:c r="L281" s="4"/>
      <x:c r="M281" s="4"/>
      <x:c r="N281" s="4"/>
      <x:c r="O281"/>
      <x:c r="P281"/>
    </x:row>
    <x:row r="282">
      <x:c r="A282" s="4"/>
      <x:c r="B282" s="4"/>
      <x:c r="C282" s="4"/>
      <x:c r="D282" s="4"/>
      <x:c r="E282" s="4"/>
      <x:c r="F282" s="4"/>
      <x:c r="G282" s="4"/>
      <x:c r="H282" s="4"/>
      <x:c r="I282" s="4"/>
      <x:c r="J282" s="4"/>
      <x:c r="K282" s="4"/>
      <x:c r="L282" s="4"/>
      <x:c r="M282" s="4"/>
      <x:c r="N282" s="4"/>
      <x:c r="O282"/>
      <x:c r="P282"/>
    </x:row>
    <x:row r="283">
      <x:c r="A283" s="4"/>
      <x:c r="B283" s="4"/>
      <x:c r="C283" s="4"/>
      <x:c r="D283" s="4"/>
      <x:c r="E283" s="4"/>
      <x:c r="F283" s="4"/>
      <x:c r="G283" s="4"/>
      <x:c r="H283" s="4"/>
      <x:c r="I283" s="4"/>
      <x:c r="J283" s="4"/>
      <x:c r="K283" s="4"/>
      <x:c r="L283" s="4"/>
      <x:c r="M283" s="4"/>
      <x:c r="N283" s="4"/>
      <x:c r="O283"/>
      <x:c r="P283"/>
    </x:row>
    <x:row r="284">
      <x:c r="A284" s="4"/>
      <x:c r="B284" s="4"/>
      <x:c r="C284" s="4"/>
      <x:c r="D284" s="4"/>
      <x:c r="E284" s="4"/>
      <x:c r="F284" s="4"/>
      <x:c r="G284" s="4"/>
      <x:c r="H284" s="4"/>
      <x:c r="I284" s="4"/>
      <x:c r="J284" s="4"/>
      <x:c r="K284" s="4"/>
      <x:c r="L284" s="4"/>
      <x:c r="M284" s="4"/>
      <x:c r="N284" s="4"/>
      <x:c r="O284"/>
      <x:c r="P284"/>
    </x:row>
    <x:row r="285">
      <x:c r="A285" s="4"/>
      <x:c r="B285" s="4"/>
      <x:c r="C285" s="4"/>
      <x:c r="D285" s="4"/>
      <x:c r="E285" s="4"/>
      <x:c r="F285" s="4"/>
      <x:c r="G285" s="4"/>
      <x:c r="H285" s="4"/>
      <x:c r="I285" s="4"/>
      <x:c r="J285" s="4"/>
      <x:c r="K285" s="4"/>
      <x:c r="L285" s="4"/>
      <x:c r="M285" s="4"/>
      <x:c r="N285" s="4"/>
      <x:c r="O285"/>
      <x:c r="P285"/>
    </x:row>
    <x:row r="286">
      <x:c r="A286" s="4"/>
      <x:c r="B286" s="4"/>
      <x:c r="C286" s="4"/>
      <x:c r="D286" s="4"/>
      <x:c r="E286" s="4"/>
      <x:c r="F286" s="4"/>
      <x:c r="G286" s="4"/>
      <x:c r="H286" s="4"/>
      <x:c r="I286" s="4"/>
      <x:c r="J286" s="4"/>
      <x:c r="K286" s="4"/>
      <x:c r="L286" s="4"/>
      <x:c r="M286" s="4"/>
      <x:c r="N286" s="4"/>
      <x:c r="O286"/>
      <x:c r="P286"/>
    </x:row>
    <x:row r="287">
      <x:c r="A287" s="4"/>
      <x:c r="B287" s="4"/>
      <x:c r="C287" s="4"/>
      <x:c r="D287" s="4"/>
      <x:c r="E287" s="4"/>
      <x:c r="F287" s="4"/>
      <x:c r="G287" s="4"/>
      <x:c r="H287" s="4"/>
      <x:c r="I287" s="4"/>
      <x:c r="J287" s="4"/>
      <x:c r="K287" s="4"/>
      <x:c r="L287" s="4"/>
      <x:c r="M287" s="4"/>
      <x:c r="N287" s="4"/>
      <x:c r="O287"/>
      <x:c r="P287"/>
    </x:row>
    <x:row r="288">
      <x:c r="A288" s="4"/>
      <x:c r="B288" s="4"/>
      <x:c r="C288" s="4"/>
      <x:c r="D288" s="4"/>
      <x:c r="E288" s="4"/>
      <x:c r="F288" s="4"/>
      <x:c r="G288" s="4"/>
      <x:c r="H288" s="4"/>
      <x:c r="I288" s="4"/>
      <x:c r="J288" s="4"/>
      <x:c r="K288" s="4"/>
      <x:c r="L288" s="4"/>
      <x:c r="M288" s="4"/>
      <x:c r="N288" s="4"/>
      <x:c r="O288"/>
      <x:c r="P288"/>
    </x:row>
    <x:row r="289">
      <x:c r="A289" s="4"/>
      <x:c r="B289" s="4"/>
      <x:c r="C289" s="4"/>
      <x:c r="D289" s="4"/>
      <x:c r="E289" s="4"/>
      <x:c r="F289" s="4"/>
      <x:c r="G289" s="4"/>
      <x:c r="H289" s="4"/>
      <x:c r="I289" s="4"/>
      <x:c r="J289" s="4"/>
      <x:c r="K289" s="4"/>
      <x:c r="L289" s="4"/>
      <x:c r="M289" s="4"/>
      <x:c r="N289" s="4"/>
      <x:c r="O289"/>
      <x:c r="P289"/>
    </x:row>
    <x:row r="290">
      <x:c r="A290" s="4"/>
      <x:c r="B290" s="4"/>
      <x:c r="C290" s="4"/>
      <x:c r="D290" s="4"/>
      <x:c r="E290" s="4"/>
      <x:c r="F290" s="4"/>
      <x:c r="G290" s="4"/>
      <x:c r="H290" s="4"/>
      <x:c r="I290" s="4"/>
      <x:c r="J290" s="4"/>
      <x:c r="K290" s="4"/>
      <x:c r="L290" s="4"/>
      <x:c r="M290" s="4"/>
      <x:c r="N290" s="4"/>
      <x:c r="O290"/>
      <x:c r="P290"/>
    </x:row>
    <x:row r="291">
      <x:c r="A291" s="4"/>
      <x:c r="B291" s="4"/>
      <x:c r="C291" s="4"/>
      <x:c r="D291" s="4"/>
      <x:c r="E291" s="4"/>
      <x:c r="F291" s="4"/>
      <x:c r="G291" s="4"/>
      <x:c r="H291" s="4"/>
      <x:c r="I291" s="4"/>
      <x:c r="J291" s="4"/>
      <x:c r="K291" s="4"/>
      <x:c r="L291" s="4"/>
      <x:c r="M291" s="4"/>
      <x:c r="N291" s="4"/>
      <x:c r="O291"/>
      <x:c r="P291"/>
    </x:row>
    <x:row r="292">
      <x:c r="A292" s="4"/>
      <x:c r="B292" s="4"/>
      <x:c r="C292" s="4"/>
      <x:c r="D292" s="4"/>
      <x:c r="E292" s="4"/>
      <x:c r="F292" s="4"/>
      <x:c r="G292" s="4"/>
      <x:c r="H292" s="4"/>
      <x:c r="I292" s="4"/>
      <x:c r="J292" s="4"/>
      <x:c r="K292" s="4"/>
      <x:c r="L292" s="4"/>
      <x:c r="M292" s="4"/>
      <x:c r="N292" s="4"/>
      <x:c r="O292"/>
      <x:c r="P292"/>
    </x:row>
    <x:row r="293">
      <x:c r="A293" s="4"/>
      <x:c r="B293" s="4"/>
      <x:c r="C293" s="4"/>
      <x:c r="D293" s="4"/>
      <x:c r="E293" s="4"/>
      <x:c r="F293" s="4"/>
      <x:c r="G293" s="4"/>
      <x:c r="H293" s="4"/>
      <x:c r="I293" s="4"/>
      <x:c r="J293" s="4"/>
      <x:c r="K293" s="4"/>
      <x:c r="L293" s="4"/>
      <x:c r="M293" s="4"/>
      <x:c r="N293" s="4"/>
      <x:c r="O293"/>
      <x:c r="P293"/>
    </x:row>
    <x:row r="294">
      <x:c r="A294" s="4"/>
      <x:c r="B294" s="4"/>
      <x:c r="C294" s="4"/>
      <x:c r="D294" s="4"/>
      <x:c r="E294" s="4"/>
      <x:c r="F294" s="4"/>
      <x:c r="G294" s="4"/>
      <x:c r="H294" s="4"/>
      <x:c r="I294" s="4"/>
      <x:c r="J294" s="4"/>
      <x:c r="K294" s="4"/>
      <x:c r="L294" s="4"/>
      <x:c r="M294" s="4"/>
      <x:c r="N294" s="4"/>
      <x:c r="O294"/>
      <x:c r="P294"/>
    </x:row>
    <x:row r="295">
      <x:c r="A295" s="4"/>
      <x:c r="B295" s="4"/>
      <x:c r="C295" s="4"/>
      <x:c r="D295" s="4"/>
      <x:c r="E295" s="4"/>
      <x:c r="F295" s="4"/>
      <x:c r="G295" s="4"/>
      <x:c r="H295" s="4"/>
      <x:c r="I295" s="4"/>
      <x:c r="J295" s="4"/>
      <x:c r="K295" s="4"/>
      <x:c r="L295" s="4"/>
      <x:c r="M295" s="4"/>
      <x:c r="N295" s="4"/>
      <x:c r="O295"/>
      <x:c r="P295"/>
    </x:row>
    <x:row r="296">
      <x:c r="A296" s="4"/>
      <x:c r="B296" s="4"/>
      <x:c r="C296" s="4"/>
      <x:c r="D296" s="4"/>
      <x:c r="E296" s="4"/>
      <x:c r="F296" s="4"/>
      <x:c r="G296" s="4"/>
      <x:c r="H296" s="4"/>
      <x:c r="I296" s="4"/>
      <x:c r="J296" s="4"/>
      <x:c r="K296" s="4"/>
      <x:c r="L296" s="4"/>
      <x:c r="M296" s="4"/>
      <x:c r="N296" s="4"/>
      <x:c r="O296"/>
      <x:c r="P296"/>
    </x:row>
    <x:row r="297">
      <x:c r="A297" s="4"/>
      <x:c r="B297" s="4"/>
      <x:c r="C297" s="4"/>
      <x:c r="D297" s="4"/>
      <x:c r="E297" s="4"/>
      <x:c r="F297" s="4"/>
      <x:c r="G297" s="4"/>
      <x:c r="H297" s="4"/>
      <x:c r="I297" s="4"/>
      <x:c r="J297" s="4"/>
      <x:c r="K297" s="4"/>
      <x:c r="L297" s="4"/>
      <x:c r="M297" s="4"/>
      <x:c r="N297" s="4"/>
      <x:c r="O297"/>
      <x:c r="P297"/>
    </x:row>
    <x:row r="298">
      <x:c r="A298" s="4"/>
      <x:c r="B298" s="4"/>
      <x:c r="C298" s="4"/>
      <x:c r="D298" s="4"/>
      <x:c r="E298" s="4"/>
      <x:c r="F298" s="4"/>
      <x:c r="G298" s="4"/>
      <x:c r="H298" s="4"/>
      <x:c r="I298" s="4"/>
      <x:c r="J298" s="4"/>
      <x:c r="K298" s="4"/>
      <x:c r="L298" s="4"/>
      <x:c r="M298" s="4"/>
      <x:c r="N298" s="4"/>
      <x:c r="O298"/>
      <x:c r="P298"/>
    </x:row>
    <x:row r="299">
      <x:c r="A299" s="4"/>
      <x:c r="B299" s="4"/>
      <x:c r="C299" s="4"/>
      <x:c r="D299" s="4"/>
      <x:c r="E299" s="4"/>
      <x:c r="F299" s="4"/>
      <x:c r="G299" s="4"/>
      <x:c r="H299" s="4"/>
      <x:c r="I299" s="4"/>
      <x:c r="J299" s="4"/>
      <x:c r="K299" s="4"/>
      <x:c r="L299" s="4"/>
      <x:c r="M299" s="4"/>
      <x:c r="N299" s="4"/>
      <x:c r="O299"/>
      <x:c r="P299"/>
    </x:row>
    <x:row r="300">
      <x:c r="A300" s="4"/>
      <x:c r="B300" s="4"/>
      <x:c r="C300" s="4"/>
      <x:c r="D300" s="4"/>
      <x:c r="E300" s="4"/>
      <x:c r="F300" s="4"/>
      <x:c r="G300" s="4"/>
      <x:c r="H300" s="4"/>
      <x:c r="I300" s="4"/>
      <x:c r="J300" s="4"/>
      <x:c r="K300" s="4"/>
      <x:c r="L300" s="4"/>
      <x:c r="M300" s="4"/>
      <x:c r="N300" s="4"/>
      <x:c r="O300"/>
      <x:c r="P300"/>
    </x:row>
    <x:row r="301">
      <x:c r="A301" s="4"/>
      <x:c r="B301" s="4"/>
      <x:c r="C301" s="4"/>
      <x:c r="D301" s="4"/>
      <x:c r="E301" s="4"/>
      <x:c r="F301" s="4"/>
      <x:c r="G301" s="4"/>
      <x:c r="H301" s="4"/>
      <x:c r="I301" s="4"/>
      <x:c r="J301" s="4"/>
      <x:c r="K301" s="4"/>
      <x:c r="L301" s="4"/>
      <x:c r="M301" s="4"/>
      <x:c r="N301" s="4"/>
      <x:c r="O301"/>
      <x:c r="P301"/>
    </x:row>
    <x:row r="302">
      <x:c r="A302" s="4"/>
      <x:c r="B302" s="4"/>
      <x:c r="C302" s="4"/>
      <x:c r="D302" s="4"/>
      <x:c r="E302" s="4"/>
      <x:c r="F302" s="4"/>
      <x:c r="G302" s="4"/>
      <x:c r="H302" s="4"/>
      <x:c r="I302" s="4"/>
      <x:c r="J302" s="4"/>
      <x:c r="K302" s="4"/>
      <x:c r="L302" s="4"/>
      <x:c r="M302" s="4"/>
      <x:c r="N302" s="4"/>
      <x:c r="O302"/>
      <x:c r="P302"/>
    </x:row>
    <x:row r="303">
      <x:c r="A303" s="4"/>
      <x:c r="B303" s="4"/>
      <x:c r="C303" s="4"/>
      <x:c r="D303" s="4"/>
      <x:c r="E303" s="4"/>
      <x:c r="F303" s="4"/>
      <x:c r="G303" s="4"/>
      <x:c r="H303" s="4"/>
      <x:c r="I303" s="4"/>
      <x:c r="J303" s="4"/>
      <x:c r="K303" s="4"/>
      <x:c r="L303" s="4"/>
      <x:c r="M303" s="4"/>
      <x:c r="N303" s="4"/>
      <x:c r="O303"/>
      <x:c r="P303"/>
    </x:row>
    <x:row r="304">
      <x:c r="A304" s="4"/>
      <x:c r="B304" s="4"/>
      <x:c r="C304" s="4"/>
      <x:c r="D304" s="4"/>
      <x:c r="E304" s="4"/>
      <x:c r="F304" s="4"/>
      <x:c r="G304" s="4"/>
      <x:c r="H304" s="4"/>
      <x:c r="I304" s="4"/>
      <x:c r="J304" s="4"/>
      <x:c r="K304" s="4"/>
      <x:c r="L304" s="4"/>
      <x:c r="M304" s="4"/>
      <x:c r="N304" s="4"/>
      <x:c r="O304"/>
      <x:c r="P304"/>
    </x:row>
    <x:row r="305">
      <x:c r="A305" s="4"/>
      <x:c r="B305" s="4"/>
      <x:c r="C305" s="4"/>
      <x:c r="D305" s="4"/>
      <x:c r="E305" s="4"/>
      <x:c r="F305" s="4"/>
      <x:c r="G305" s="4"/>
      <x:c r="H305" s="4"/>
      <x:c r="I305" s="4"/>
      <x:c r="J305" s="4"/>
      <x:c r="K305" s="4"/>
      <x:c r="L305" s="4"/>
      <x:c r="M305" s="4"/>
      <x:c r="N305" s="4"/>
      <x:c r="O305"/>
      <x:c r="P305"/>
    </x:row>
    <x:row r="306">
      <x:c r="A306" s="4"/>
      <x:c r="B306" s="4"/>
      <x:c r="C306" s="4"/>
      <x:c r="D306" s="4"/>
      <x:c r="E306" s="4"/>
      <x:c r="F306" s="4"/>
      <x:c r="G306" s="4"/>
      <x:c r="H306" s="4"/>
      <x:c r="I306" s="4"/>
      <x:c r="J306" s="4"/>
      <x:c r="K306" s="4"/>
      <x:c r="L306" s="4"/>
      <x:c r="M306" s="4"/>
      <x:c r="N306" s="4"/>
      <x:c r="O306"/>
      <x:c r="P306"/>
    </x:row>
    <x:row r="307">
      <x:c r="A307" s="4"/>
      <x:c r="B307" s="4"/>
      <x:c r="C307" s="4"/>
      <x:c r="D307" s="4"/>
      <x:c r="E307" s="4"/>
      <x:c r="F307" s="4"/>
      <x:c r="G307" s="4"/>
      <x:c r="H307" s="4"/>
      <x:c r="I307" s="4"/>
      <x:c r="J307" s="4"/>
      <x:c r="K307" s="4"/>
      <x:c r="L307" s="4"/>
      <x:c r="M307" s="4"/>
      <x:c r="N307" s="4"/>
      <x:c r="O307"/>
      <x:c r="P307"/>
    </x:row>
    <x:row r="308">
      <x:c r="A308" s="4"/>
      <x:c r="B308" s="4"/>
      <x:c r="C308" s="4"/>
      <x:c r="D308" s="4"/>
      <x:c r="E308" s="4"/>
      <x:c r="F308" s="4"/>
      <x:c r="G308" s="4"/>
      <x:c r="H308" s="4"/>
      <x:c r="I308" s="4"/>
      <x:c r="J308" s="4"/>
      <x:c r="K308" s="4"/>
      <x:c r="L308" s="4"/>
      <x:c r="M308" s="4"/>
      <x:c r="N308" s="4"/>
      <x:c r="O308"/>
      <x:c r="P308"/>
    </x:row>
    <x:row r="309">
      <x:c r="A309" s="4"/>
      <x:c r="B309" s="4"/>
      <x:c r="C309" s="4"/>
      <x:c r="D309" s="4"/>
      <x:c r="E309" s="4"/>
      <x:c r="F309" s="4"/>
      <x:c r="G309" s="4"/>
      <x:c r="H309" s="4"/>
      <x:c r="I309" s="4"/>
      <x:c r="J309" s="4"/>
      <x:c r="K309" s="4"/>
      <x:c r="L309" s="4"/>
      <x:c r="M309" s="4"/>
      <x:c r="N309" s="4"/>
      <x:c r="O309"/>
      <x:c r="P309"/>
    </x:row>
    <x:row r="310">
      <x:c r="A310" s="4"/>
      <x:c r="B310" s="4"/>
      <x:c r="C310" s="4"/>
      <x:c r="D310" s="4"/>
      <x:c r="E310" s="4"/>
      <x:c r="F310" s="4"/>
      <x:c r="G310" s="4"/>
      <x:c r="H310" s="4"/>
      <x:c r="I310" s="4"/>
      <x:c r="J310" s="4"/>
      <x:c r="K310" s="4"/>
      <x:c r="L310" s="4"/>
      <x:c r="M310" s="4"/>
      <x:c r="N310" s="4"/>
      <x:c r="O310"/>
      <x:c r="P310"/>
    </x:row>
    <x:row r="311">
      <x:c r="A311" s="4"/>
      <x:c r="B311" s="4"/>
      <x:c r="C311" s="4"/>
      <x:c r="D311" s="4"/>
      <x:c r="E311" s="4"/>
      <x:c r="F311" s="4"/>
      <x:c r="G311" s="4"/>
      <x:c r="H311" s="4"/>
      <x:c r="I311" s="4"/>
      <x:c r="J311" s="4"/>
      <x:c r="K311" s="4"/>
      <x:c r="L311" s="4"/>
      <x:c r="M311" s="4"/>
      <x:c r="N311" s="4"/>
      <x:c r="O311"/>
      <x:c r="P311"/>
    </x:row>
    <x:row r="312">
      <x:c r="A312" s="4"/>
      <x:c r="B312" s="4"/>
      <x:c r="C312" s="4"/>
      <x:c r="D312" s="4"/>
      <x:c r="E312" s="4"/>
      <x:c r="F312" s="4"/>
      <x:c r="G312" s="4"/>
      <x:c r="H312" s="4"/>
      <x:c r="I312" s="4"/>
      <x:c r="J312" s="4"/>
      <x:c r="K312" s="4"/>
      <x:c r="L312" s="4"/>
      <x:c r="M312" s="4"/>
      <x:c r="N312" s="4"/>
      <x:c r="O312"/>
      <x:c r="P312"/>
    </x:row>
    <x:row r="313">
      <x:c r="A313" s="4"/>
      <x:c r="B313" s="4"/>
      <x:c r="C313" s="4"/>
      <x:c r="D313" s="4"/>
      <x:c r="E313" s="4"/>
      <x:c r="F313" s="4"/>
      <x:c r="G313" s="4"/>
      <x:c r="H313" s="4"/>
      <x:c r="I313" s="4"/>
      <x:c r="J313" s="4"/>
      <x:c r="K313" s="4"/>
      <x:c r="L313" s="4"/>
      <x:c r="M313" s="4"/>
      <x:c r="N313" s="4"/>
      <x:c r="O313"/>
      <x:c r="P313"/>
    </x:row>
    <x:row r="314">
      <x:c r="A314" s="4"/>
      <x:c r="B314" s="4"/>
      <x:c r="C314" s="4"/>
      <x:c r="D314" s="4"/>
      <x:c r="E314" s="4"/>
      <x:c r="F314" s="4"/>
      <x:c r="G314" s="4"/>
      <x:c r="H314" s="4"/>
      <x:c r="I314" s="4"/>
      <x:c r="J314" s="4"/>
      <x:c r="K314" s="4"/>
      <x:c r="L314" s="4"/>
      <x:c r="M314" s="4"/>
      <x:c r="N314" s="4"/>
      <x:c r="O314"/>
      <x:c r="P314"/>
    </x:row>
    <x:row r="315">
      <x:c r="A315" s="4"/>
      <x:c r="B315" s="4"/>
      <x:c r="C315" s="4"/>
      <x:c r="D315" s="4"/>
      <x:c r="E315" s="4"/>
      <x:c r="F315" s="4"/>
      <x:c r="G315" s="4"/>
      <x:c r="H315" s="4"/>
      <x:c r="I315" s="4"/>
      <x:c r="J315" s="4"/>
      <x:c r="K315" s="4"/>
      <x:c r="L315" s="4"/>
      <x:c r="M315" s="4"/>
      <x:c r="N315" s="4"/>
      <x:c r="O315"/>
      <x:c r="P315"/>
    </x:row>
    <x:row r="316">
      <x:c r="A316" s="4"/>
      <x:c r="B316" s="4"/>
      <x:c r="C316" s="4"/>
      <x:c r="D316" s="4"/>
      <x:c r="E316" s="4"/>
      <x:c r="F316" s="4"/>
      <x:c r="G316" s="4"/>
      <x:c r="H316" s="4"/>
      <x:c r="I316" s="4"/>
      <x:c r="J316" s="4"/>
      <x:c r="K316" s="4"/>
      <x:c r="L316" s="4"/>
      <x:c r="M316" s="4"/>
      <x:c r="N316" s="4"/>
      <x:c r="O316"/>
      <x:c r="P316"/>
    </x:row>
    <x:row r="317">
      <x:c r="A317" s="4"/>
      <x:c r="B317" s="4"/>
      <x:c r="C317" s="4"/>
      <x:c r="D317" s="4"/>
      <x:c r="E317" s="4"/>
      <x:c r="F317" s="4"/>
      <x:c r="G317" s="4"/>
      <x:c r="H317" s="4"/>
      <x:c r="I317" s="4"/>
      <x:c r="J317" s="4"/>
      <x:c r="K317" s="4"/>
      <x:c r="L317" s="4"/>
      <x:c r="M317" s="4"/>
      <x:c r="N317" s="4"/>
      <x:c r="O317"/>
      <x:c r="P317"/>
    </x:row>
    <x:row r="318">
      <x:c r="A318" s="4"/>
      <x:c r="B318" s="4"/>
      <x:c r="C318" s="4"/>
      <x:c r="D318" s="4"/>
      <x:c r="E318" s="4"/>
      <x:c r="F318" s="4"/>
      <x:c r="G318" s="4"/>
      <x:c r="H318" s="4"/>
      <x:c r="I318" s="4"/>
      <x:c r="J318" s="4"/>
      <x:c r="K318" s="4"/>
      <x:c r="L318" s="4"/>
      <x:c r="M318" s="4"/>
      <x:c r="N318" s="4"/>
      <x:c r="O318"/>
      <x:c r="P318"/>
    </x:row>
    <x:row r="319">
      <x:c r="A319" s="4"/>
      <x:c r="B319" s="4"/>
      <x:c r="C319" s="4"/>
      <x:c r="D319" s="4"/>
      <x:c r="E319" s="4"/>
      <x:c r="F319" s="4"/>
      <x:c r="G319" s="4"/>
      <x:c r="H319" s="4"/>
      <x:c r="I319" s="4"/>
      <x:c r="J319" s="4"/>
      <x:c r="K319" s="4"/>
      <x:c r="L319" s="4"/>
      <x:c r="M319" s="4"/>
      <x:c r="N319" s="4"/>
      <x:c r="O319"/>
      <x:c r="P319"/>
    </x:row>
    <x:row r="320">
      <x:c r="A320" s="4"/>
      <x:c r="B320" s="4"/>
      <x:c r="C320" s="4"/>
      <x:c r="D320" s="4"/>
      <x:c r="E320" s="4"/>
      <x:c r="F320" s="4"/>
      <x:c r="G320" s="4"/>
      <x:c r="H320" s="4"/>
      <x:c r="I320" s="4"/>
      <x:c r="J320" s="4"/>
      <x:c r="K320" s="4"/>
      <x:c r="L320" s="4"/>
      <x:c r="M320" s="4"/>
      <x:c r="N320" s="4"/>
      <x:c r="O320"/>
      <x:c r="P320"/>
    </x:row>
    <x:row r="321">
      <x:c r="A321" s="4"/>
      <x:c r="B321" s="4"/>
      <x:c r="C321" s="4"/>
      <x:c r="D321" s="4"/>
      <x:c r="E321" s="4"/>
      <x:c r="F321" s="4"/>
      <x:c r="G321" s="4"/>
      <x:c r="H321" s="4"/>
      <x:c r="I321" s="4"/>
      <x:c r="J321" s="4"/>
      <x:c r="K321" s="4"/>
      <x:c r="L321" s="4"/>
      <x:c r="M321" s="4"/>
      <x:c r="N321" s="4"/>
      <x:c r="O321"/>
      <x:c r="P321"/>
    </x:row>
    <x:row r="322">
      <x:c r="A322" s="4"/>
      <x:c r="B322" s="4"/>
      <x:c r="C322" s="4"/>
      <x:c r="D322" s="4"/>
      <x:c r="E322" s="4"/>
      <x:c r="F322" s="4"/>
      <x:c r="G322" s="4"/>
      <x:c r="H322" s="4"/>
      <x:c r="I322" s="4"/>
      <x:c r="J322" s="4"/>
      <x:c r="K322" s="4"/>
      <x:c r="L322" s="4"/>
      <x:c r="M322" s="4"/>
      <x:c r="N322" s="4"/>
      <x:c r="O322"/>
      <x:c r="P322"/>
    </x:row>
    <x:row r="323">
      <x:c r="A323" s="4"/>
      <x:c r="B323" s="4"/>
      <x:c r="C323" s="4"/>
      <x:c r="D323" s="4"/>
      <x:c r="E323" s="4"/>
      <x:c r="F323" s="4"/>
      <x:c r="G323" s="4"/>
      <x:c r="H323" s="4"/>
      <x:c r="I323" s="4"/>
      <x:c r="J323" s="4"/>
      <x:c r="K323" s="4"/>
      <x:c r="L323" s="4"/>
      <x:c r="M323" s="4"/>
      <x:c r="N323" s="4"/>
      <x:c r="O323"/>
      <x:c r="P323"/>
    </x:row>
    <x:row r="324">
      <x:c r="A324" s="4"/>
      <x:c r="B324" s="4"/>
      <x:c r="C324" s="4"/>
      <x:c r="D324" s="4"/>
      <x:c r="E324" s="4"/>
      <x:c r="F324" s="4"/>
      <x:c r="G324" s="4"/>
      <x:c r="H324" s="4"/>
      <x:c r="I324" s="4"/>
      <x:c r="J324" s="4"/>
      <x:c r="K324" s="4"/>
      <x:c r="L324" s="4"/>
      <x:c r="M324" s="4"/>
      <x:c r="N324" s="4"/>
      <x:c r="O324"/>
      <x:c r="P324"/>
    </x:row>
    <x:row r="325">
      <x:c r="A325" s="4"/>
      <x:c r="B325" s="4"/>
      <x:c r="C325" s="4"/>
      <x:c r="D325" s="4"/>
      <x:c r="E325" s="4"/>
      <x:c r="F325" s="4"/>
      <x:c r="G325" s="4"/>
      <x:c r="H325" s="4"/>
      <x:c r="I325" s="4"/>
      <x:c r="J325" s="4"/>
      <x:c r="K325" s="4"/>
      <x:c r="L325" s="4"/>
      <x:c r="M325" s="4"/>
      <x:c r="N325" s="4"/>
      <x:c r="O325"/>
      <x:c r="P325"/>
    </x:row>
    <x:row r="326">
      <x:c r="A326" s="4"/>
      <x:c r="B326" s="4"/>
      <x:c r="C326" s="4"/>
      <x:c r="D326" s="4"/>
      <x:c r="E326" s="4"/>
      <x:c r="F326" s="4"/>
      <x:c r="G326" s="4"/>
      <x:c r="H326" s="4"/>
      <x:c r="I326" s="4"/>
      <x:c r="J326" s="4"/>
      <x:c r="K326" s="4"/>
      <x:c r="L326" s="4"/>
      <x:c r="M326" s="4"/>
      <x:c r="N326" s="4"/>
      <x:c r="O326"/>
      <x:c r="P326"/>
    </x:row>
    <x:row r="327">
      <x:c r="A327" s="4"/>
      <x:c r="B327" s="4"/>
      <x:c r="C327" s="4"/>
      <x:c r="D327" s="4"/>
      <x:c r="E327" s="4"/>
      <x:c r="F327" s="4"/>
      <x:c r="G327" s="4"/>
      <x:c r="H327" s="4"/>
      <x:c r="I327" s="4"/>
      <x:c r="J327" s="4"/>
      <x:c r="K327" s="4"/>
      <x:c r="L327" s="4"/>
      <x:c r="M327" s="4"/>
      <x:c r="N327" s="4"/>
      <x:c r="O327"/>
      <x:c r="P327"/>
    </x:row>
    <x:row r="328">
      <x:c r="A328" s="4"/>
      <x:c r="B328" s="4"/>
      <x:c r="C328" s="4"/>
      <x:c r="D328" s="4"/>
      <x:c r="E328" s="4"/>
      <x:c r="F328" s="4"/>
      <x:c r="G328" s="4"/>
      <x:c r="H328" s="4"/>
      <x:c r="I328" s="4"/>
      <x:c r="J328" s="4"/>
      <x:c r="K328" s="4"/>
      <x:c r="L328" s="4"/>
      <x:c r="M328" s="4"/>
      <x:c r="N328" s="4"/>
      <x:c r="O328"/>
      <x:c r="P328"/>
    </x:row>
    <x:row r="329">
      <x:c r="A329" s="4"/>
      <x:c r="B329" s="4"/>
      <x:c r="C329" s="4"/>
      <x:c r="D329" s="4"/>
      <x:c r="E329" s="4"/>
      <x:c r="F329" s="4"/>
      <x:c r="G329" s="4"/>
      <x:c r="H329" s="4"/>
      <x:c r="I329" s="4"/>
      <x:c r="J329" s="4"/>
      <x:c r="K329" s="4"/>
      <x:c r="L329" s="4"/>
      <x:c r="M329" s="4"/>
      <x:c r="N329" s="4"/>
      <x:c r="O329"/>
      <x:c r="P329"/>
    </x:row>
    <x:row r="330">
      <x:c r="A330" s="4"/>
      <x:c r="B330" s="4"/>
      <x:c r="C330" s="4"/>
      <x:c r="D330" s="4"/>
      <x:c r="E330" s="4"/>
      <x:c r="F330" s="4"/>
      <x:c r="G330" s="4"/>
      <x:c r="H330" s="4"/>
      <x:c r="I330" s="4"/>
      <x:c r="J330" s="4"/>
      <x:c r="K330" s="4"/>
      <x:c r="L330" s="4"/>
      <x:c r="M330" s="4"/>
      <x:c r="N330" s="4"/>
      <x:c r="O330"/>
      <x:c r="P330"/>
    </x:row>
    <x:row r="331">
      <x:c r="A331" s="4"/>
      <x:c r="B331" s="4"/>
      <x:c r="C331" s="4"/>
      <x:c r="D331" s="4"/>
      <x:c r="E331" s="4"/>
      <x:c r="F331" s="4"/>
      <x:c r="G331" s="4"/>
      <x:c r="H331" s="4"/>
      <x:c r="I331" s="4"/>
      <x:c r="J331" s="4"/>
      <x:c r="K331" s="4"/>
      <x:c r="L331" s="4"/>
      <x:c r="M331" s="4"/>
      <x:c r="N331" s="4"/>
      <x:c r="O331"/>
      <x:c r="P331"/>
    </x:row>
    <x:row r="332">
      <x:c r="A332" s="4"/>
      <x:c r="B332" s="4"/>
      <x:c r="C332" s="4"/>
      <x:c r="D332" s="4"/>
      <x:c r="E332" s="4"/>
      <x:c r="F332" s="4"/>
      <x:c r="G332" s="4"/>
      <x:c r="H332" s="4"/>
      <x:c r="I332" s="4"/>
      <x:c r="J332" s="4"/>
      <x:c r="K332" s="4"/>
      <x:c r="L332" s="4"/>
      <x:c r="M332" s="4"/>
      <x:c r="N332" s="4"/>
      <x:c r="O332"/>
      <x:c r="P332"/>
    </x:row>
    <x:row r="333">
      <x:c r="A333" s="4"/>
      <x:c r="B333" s="4"/>
      <x:c r="C333" s="4"/>
      <x:c r="D333" s="4"/>
      <x:c r="E333" s="4"/>
      <x:c r="F333" s="4"/>
      <x:c r="G333" s="4"/>
      <x:c r="H333" s="4"/>
      <x:c r="I333" s="4"/>
      <x:c r="J333" s="4"/>
      <x:c r="K333" s="4"/>
      <x:c r="L333" s="4"/>
      <x:c r="M333" s="4"/>
      <x:c r="N333" s="4"/>
      <x:c r="O333"/>
      <x:c r="P333"/>
    </x:row>
    <x:row r="334">
      <x:c r="A334" s="4"/>
      <x:c r="B334" s="4"/>
      <x:c r="C334" s="4"/>
      <x:c r="D334" s="4"/>
      <x:c r="E334" s="4"/>
      <x:c r="F334" s="4"/>
      <x:c r="G334" s="4"/>
      <x:c r="H334" s="4"/>
      <x:c r="I334" s="4"/>
      <x:c r="J334" s="4"/>
      <x:c r="K334" s="4"/>
      <x:c r="L334" s="4"/>
      <x:c r="M334" s="4"/>
      <x:c r="N334" s="4"/>
      <x:c r="O334"/>
      <x:c r="P334"/>
    </x:row>
    <x:row r="335">
      <x:c r="A335" s="4"/>
      <x:c r="B335" s="4"/>
      <x:c r="C335" s="4"/>
      <x:c r="D335" s="4"/>
      <x:c r="E335" s="4"/>
      <x:c r="F335" s="4"/>
      <x:c r="G335" s="4"/>
      <x:c r="H335" s="4"/>
      <x:c r="I335" s="4"/>
      <x:c r="J335" s="4"/>
      <x:c r="K335" s="4"/>
      <x:c r="L335" s="4"/>
      <x:c r="M335" s="4"/>
      <x:c r="N335" s="4"/>
      <x:c r="O335"/>
      <x:c r="P335"/>
    </x:row>
    <x:row r="336">
      <x:c r="A336" s="4"/>
      <x:c r="B336" s="4"/>
      <x:c r="C336" s="4"/>
      <x:c r="D336" s="4"/>
      <x:c r="E336" s="4"/>
      <x:c r="F336" s="4"/>
      <x:c r="G336" s="4"/>
      <x:c r="H336" s="4"/>
      <x:c r="I336" s="4"/>
      <x:c r="J336" s="4"/>
      <x:c r="K336" s="4"/>
      <x:c r="L336" s="4"/>
      <x:c r="M336" s="4"/>
      <x:c r="N336" s="4"/>
      <x:c r="O336"/>
      <x:c r="P336"/>
    </x:row>
    <x:row r="337">
      <x:c r="A337" s="4"/>
      <x:c r="B337" s="4"/>
      <x:c r="C337" s="4"/>
      <x:c r="D337" s="4"/>
      <x:c r="E337" s="4"/>
      <x:c r="F337" s="4"/>
      <x:c r="G337" s="4"/>
      <x:c r="H337" s="4"/>
      <x:c r="I337" s="4"/>
      <x:c r="J337" s="4"/>
      <x:c r="K337" s="4"/>
      <x:c r="L337" s="4"/>
      <x:c r="M337" s="4"/>
      <x:c r="N337" s="4"/>
      <x:c r="O337"/>
      <x:c r="P337"/>
    </x:row>
    <x:row r="338">
      <x:c r="A338" s="4"/>
      <x:c r="B338" s="4"/>
      <x:c r="C338" s="4"/>
      <x:c r="D338" s="4"/>
      <x:c r="E338" s="4"/>
      <x:c r="F338" s="4"/>
      <x:c r="G338" s="4"/>
      <x:c r="H338" s="4"/>
      <x:c r="I338" s="4"/>
      <x:c r="J338" s="4"/>
      <x:c r="K338" s="4"/>
      <x:c r="L338" s="4"/>
      <x:c r="M338" s="4"/>
      <x:c r="N338" s="4"/>
      <x:c r="O338"/>
      <x:c r="P338"/>
    </x:row>
    <x:row r="339">
      <x:c r="A339" s="4"/>
      <x:c r="B339" s="4"/>
      <x:c r="C339" s="4"/>
      <x:c r="D339" s="4"/>
      <x:c r="E339" s="4"/>
      <x:c r="F339" s="4"/>
      <x:c r="G339" s="4"/>
      <x:c r="H339" s="4"/>
      <x:c r="I339" s="4"/>
      <x:c r="J339" s="4"/>
      <x:c r="K339" s="4"/>
      <x:c r="L339" s="4"/>
      <x:c r="M339" s="4"/>
      <x:c r="N339" s="4"/>
      <x:c r="O339"/>
      <x:c r="P339"/>
    </x:row>
    <x:row r="340">
      <x:c r="A340" s="4"/>
      <x:c r="B340" s="4"/>
      <x:c r="C340" s="4"/>
      <x:c r="D340" s="4"/>
      <x:c r="E340" s="4"/>
      <x:c r="F340" s="4"/>
      <x:c r="G340" s="4"/>
      <x:c r="H340" s="4"/>
      <x:c r="I340" s="4"/>
      <x:c r="J340" s="4"/>
      <x:c r="K340" s="4"/>
      <x:c r="L340" s="4"/>
      <x:c r="M340" s="4"/>
      <x:c r="N340" s="4"/>
      <x:c r="O340"/>
      <x:c r="P340"/>
    </x:row>
    <x:row r="341">
      <x:c r="A341" s="4"/>
      <x:c r="B341" s="4"/>
      <x:c r="C341" s="4"/>
      <x:c r="D341" s="4"/>
      <x:c r="E341" s="4"/>
      <x:c r="F341" s="4"/>
      <x:c r="G341" s="4"/>
      <x:c r="H341" s="4"/>
      <x:c r="I341" s="4"/>
      <x:c r="J341" s="4"/>
      <x:c r="K341" s="4"/>
      <x:c r="L341" s="4"/>
      <x:c r="M341" s="4"/>
      <x:c r="N341" s="4"/>
      <x:c r="O341"/>
      <x:c r="P341"/>
    </x:row>
    <x:row r="342">
      <x:c r="A342" s="4"/>
      <x:c r="B342" s="4"/>
      <x:c r="C342" s="4"/>
      <x:c r="D342" s="4"/>
      <x:c r="E342" s="4"/>
      <x:c r="F342" s="4"/>
      <x:c r="G342" s="4"/>
      <x:c r="H342" s="4"/>
      <x:c r="I342" s="4"/>
      <x:c r="J342" s="4"/>
      <x:c r="K342" s="4"/>
      <x:c r="L342" s="4"/>
      <x:c r="M342" s="4"/>
      <x:c r="N342" s="4"/>
      <x:c r="O342"/>
      <x:c r="P342"/>
    </x:row>
    <x:row r="343">
      <x:c r="A343" s="4"/>
      <x:c r="B343" s="4"/>
      <x:c r="C343" s="4"/>
      <x:c r="D343" s="4"/>
      <x:c r="E343" s="4"/>
      <x:c r="F343" s="4"/>
      <x:c r="G343" s="4"/>
      <x:c r="H343" s="4"/>
      <x:c r="I343" s="4"/>
      <x:c r="J343" s="4"/>
      <x:c r="K343" s="4"/>
      <x:c r="L343" s="4"/>
      <x:c r="M343" s="4"/>
      <x:c r="N343" s="4"/>
      <x:c r="O343"/>
      <x:c r="P343"/>
    </x:row>
  </x:sheetData>
  <x:pageMargins left="0.7" right="0.7" top="0.75" bottom="0.75" header="0.3" footer="0.3"/>
  <x:tableParts count="1">
    <x:tablePart xmlns:r="http://schemas.openxmlformats.org/officeDocument/2006/relationships" r:id="Rcf364a561c0f4557"/>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ColWidth="9" defaultRowHeight="14.25"/>
  <x:cols>
    <x:col min="1" max="1" width="18" style="1" hidden="0" customWidth="1"/>
    <x:col min="2" max="2" width="32" style="1" hidden="0" customWidth="1"/>
    <x:col min="3" max="7" width="12" style="1" customWidth="1"/>
    <x:col min="3" max="3" width="18" hidden="0" customWidth="1"/>
    <x:col min="4" max="4" width="18" hidden="0" customWidth="1"/>
    <x:col min="5" max="5" width="18" hidden="0" customWidth="1"/>
    <x:col min="6" max="6" width="18" hidden="0" customWidth="1"/>
    <x:col min="7" max="7" width="18" hidden="0" customWidth="1"/>
    <x:col min="8" max="8" width="4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46" customHeight="1">
      <x:c r="A1" s="70" t="str">
        <x:v>备案号</x:v>
      </x:c>
      <x:c r="B1" s="70" t="str">
        <x:v>产品名称</x:v>
      </x:c>
      <x:c r="C1" s="70" t="str">
        <x:v>日期</x:v>
      </x:c>
      <x:c r="D1" s="70" t="str">
        <x:v>单位净值</x:v>
      </x:c>
      <x:c r="E1" s="70" t="str">
        <x:v>累计净值</x:v>
      </x:c>
      <x:c r="F1" s="70" t="str">
        <x:v>复权净值</x:v>
      </x:c>
      <x:c r="G1" s="70" t="str">
        <x:v>涨跌幅</x:v>
      </x:c>
      <x:c r="H1" s="71" t="str">
        <x:v>来源文件</x:v>
      </x:c>
      <x:c r="I1" s="71" t="str">
        <x:v>近一年区间峰值</x:v>
      </x:c>
      <x:c r="J1" s="71" t="str">
        <x:v>近一年回撤</x:v>
      </x:c>
      <x:c r="K1" s="71" t="str">
        <x:v>近三年区间峰值</x:v>
      </x:c>
      <x:c r="L1" s="71" t="str">
        <x:v>近三年回撤</x:v>
      </x:c>
      <x:c r="M1" s="71" t="str">
        <x:v>成立以来区间峰值</x:v>
      </x:c>
      <x:c r="N1" s="71" t="str">
        <x:v>成立以来回撤</x:v>
      </x:c>
    </x:row>
    <x:row r="2" ht="27" customHeight="1">
      <x:c r="A2" s="66" t="str">
        <x:v>SXT730</x:v>
      </x:c>
      <x:c r="B2" s="66" t="str">
        <x:v>世宽若水尘心3号</x:v>
      </x:c>
      <x:c r="C2" s="72" t="n">
        <x:v>44883</x:v>
      </x:c>
      <x:c r="D2" s="73" t="n">
        <x:v>1</x:v>
      </x:c>
      <x:c r="E2" s="73" t="n">
        <x:v>1</x:v>
      </x:c>
      <x:c r="F2" s="73" t="n">
        <x:v>1</x:v>
      </x:c>
      <x:c r="G2" s="74"/>
      <x:c r="H2" s="66" t="str">
        <x:v>世宽若水尘心3号净值20260911.xlsx</x:v>
      </x:c>
      <x:c r="I2" s="73" t="str">
        <x:f>""</x:f>
      </x:c>
      <x:c r="J2" s="74" t="str">
        <x:f>""</x:f>
      </x:c>
      <x:c r="K2" s="73" t="str">
        <x:f>""</x:f>
      </x:c>
      <x:c r="L2" s="74" t="str">
        <x:f>""</x:f>
      </x:c>
      <x:c r="M2" s="73" t="n">
        <x:f>F2</x:f>
        <x:v>1</x:v>
      </x:c>
      <x:c r="N2" s="74" t="n">
        <x:f>1-F2/M2</x:f>
        <x:v>0</x:v>
      </x:c>
    </x:row>
    <x:row r="3" ht="27" customHeight="1">
      <x:c r="A3" s="66" t="str">
        <x:v>SXT730</x:v>
      </x:c>
      <x:c r="B3" s="66" t="str">
        <x:v>世宽若水尘心3号</x:v>
      </x:c>
      <x:c r="C3" s="72" t="n">
        <x:v>44890</x:v>
      </x:c>
      <x:c r="D3" s="73" t="n">
        <x:v>1.0002</x:v>
      </x:c>
      <x:c r="E3" s="73" t="n">
        <x:v>1.0002</x:v>
      </x:c>
      <x:c r="F3" s="73" t="n">
        <x:v>1.0002</x:v>
      </x:c>
      <x:c r="G3" s="74" t="n">
        <x:v>0.0002</x:v>
      </x:c>
      <x:c r="H3" s="66" t="str">
        <x:v>世宽若水尘心3号净值20260911.xlsx</x:v>
      </x:c>
      <x:c r="I3" s="73" t="str">
        <x:f>""</x:f>
      </x:c>
      <x:c r="J3" s="74" t="str">
        <x:f>""</x:f>
      </x:c>
      <x:c r="K3" s="73" t="str">
        <x:f>""</x:f>
      </x:c>
      <x:c r="L3" s="74" t="str">
        <x:f>""</x:f>
      </x:c>
      <x:c r="M3" s="73" t="n">
        <x:f>MAX(M2,F3)</x:f>
        <x:v>1.0002</x:v>
      </x:c>
      <x:c r="N3" s="74" t="n">
        <x:f>1-F3/M3</x:f>
        <x:v>0</x:v>
      </x:c>
    </x:row>
    <x:row r="4" ht="27" customHeight="1">
      <x:c r="A4" s="66" t="str">
        <x:v>SXT730</x:v>
      </x:c>
      <x:c r="B4" s="66" t="str">
        <x:v>世宽若水尘心3号</x:v>
      </x:c>
      <x:c r="C4" s="72" t="n">
        <x:v>44895</x:v>
      </x:c>
      <x:c r="D4" s="73" t="n">
        <x:v>1.0002</x:v>
      </x:c>
      <x:c r="E4" s="73" t="n">
        <x:v>1.0002</x:v>
      </x:c>
      <x:c r="F4" s="73" t="n">
        <x:v>1.0002</x:v>
      </x:c>
      <x:c r="G4" s="74" t="n">
        <x:v>0</x:v>
      </x:c>
      <x:c r="H4" s="66" t="str">
        <x:v>世宽若水尘心3号净值20260911.xlsx</x:v>
      </x:c>
      <x:c r="I4" s="73" t="str">
        <x:f>""</x:f>
      </x:c>
      <x:c r="J4" s="74" t="str">
        <x:f>""</x:f>
      </x:c>
      <x:c r="K4" s="73" t="str">
        <x:f>""</x:f>
      </x:c>
      <x:c r="L4" s="74" t="str">
        <x:f>""</x:f>
      </x:c>
      <x:c r="M4" s="73" t="n">
        <x:f>MAX(M3,F4)</x:f>
        <x:v>1.0002</x:v>
      </x:c>
      <x:c r="N4" s="74" t="n">
        <x:f>1-F4/M4</x:f>
        <x:v>0</x:v>
      </x:c>
    </x:row>
    <x:row r="5" ht="27" customHeight="1">
      <x:c r="A5" s="66" t="str">
        <x:v>SXT730</x:v>
      </x:c>
      <x:c r="B5" s="66" t="str">
        <x:v>世宽若水尘心3号</x:v>
      </x:c>
      <x:c r="C5" s="72" t="n">
        <x:v>44897</x:v>
      </x:c>
      <x:c r="D5" s="73" t="n">
        <x:v>1.0004</x:v>
      </x:c>
      <x:c r="E5" s="73" t="n">
        <x:v>1.0004</x:v>
      </x:c>
      <x:c r="F5" s="73" t="n">
        <x:v>1.0004</x:v>
      </x:c>
      <x:c r="G5" s="74" t="n">
        <x:v>0.0002</x:v>
      </x:c>
      <x:c r="H5" s="66" t="str">
        <x:v>世宽若水尘心3号净值20260911.xlsx</x:v>
      </x:c>
      <x:c r="I5" s="73" t="str">
        <x:f>""</x:f>
      </x:c>
      <x:c r="J5" s="74" t="str">
        <x:f>""</x:f>
      </x:c>
      <x:c r="K5" s="73" t="str">
        <x:f>""</x:f>
      </x:c>
      <x:c r="L5" s="74" t="str">
        <x:f>""</x:f>
      </x:c>
      <x:c r="M5" s="73" t="n">
        <x:f>MAX(M4,F5)</x:f>
        <x:v>1.0004</x:v>
      </x:c>
      <x:c r="N5" s="74" t="n">
        <x:f>1-F5/M5</x:f>
        <x:v>0</x:v>
      </x:c>
    </x:row>
    <x:row r="6" ht="27" customHeight="1">
      <x:c r="A6" s="66" t="str">
        <x:v>SXT730</x:v>
      </x:c>
      <x:c r="B6" s="66" t="str">
        <x:v>世宽若水尘心3号</x:v>
      </x:c>
      <x:c r="C6" s="72" t="n">
        <x:v>44904</x:v>
      </x:c>
      <x:c r="D6" s="73" t="n">
        <x:v>1</x:v>
      </x:c>
      <x:c r="E6" s="73" t="n">
        <x:v>1</x:v>
      </x:c>
      <x:c r="F6" s="73" t="n">
        <x:v>1</x:v>
      </x:c>
      <x:c r="G6" s="74" t="n">
        <x:v>-0.0004</x:v>
      </x:c>
      <x:c r="H6" s="66" t="str">
        <x:v>世宽若水尘心3号净值20260911.xlsx</x:v>
      </x:c>
      <x:c r="I6" s="73" t="str">
        <x:f>""</x:f>
      </x:c>
      <x:c r="J6" s="74" t="str">
        <x:f>""</x:f>
      </x:c>
      <x:c r="K6" s="73" t="str">
        <x:f>""</x:f>
      </x:c>
      <x:c r="L6" s="74" t="str">
        <x:f>""</x:f>
      </x:c>
      <x:c r="M6" s="73" t="n">
        <x:f>MAX(M5,F6)</x:f>
        <x:v>1.0004</x:v>
      </x:c>
      <x:c r="N6" s="74" t="n">
        <x:f>1-F6/M6</x:f>
        <x:v>0.0003998400639744215</x:v>
      </x:c>
    </x:row>
    <x:row r="7" ht="27" customHeight="1">
      <x:c r="A7" s="66" t="str">
        <x:v>SXT730</x:v>
      </x:c>
      <x:c r="B7" s="66" t="str">
        <x:v>世宽若水尘心3号</x:v>
      </x:c>
      <x:c r="C7" s="72" t="n">
        <x:v>44911</x:v>
      </x:c>
      <x:c r="D7" s="73" t="n">
        <x:v>0.9986</x:v>
      </x:c>
      <x:c r="E7" s="73" t="n">
        <x:v>0.9986</x:v>
      </x:c>
      <x:c r="F7" s="73" t="n">
        <x:v>0.9986</x:v>
      </x:c>
      <x:c r="G7" s="74" t="n">
        <x:v>-0.0014000000000000002</x:v>
      </x:c>
      <x:c r="H7" s="66" t="str">
        <x:v>世宽若水尘心3号净值20260911.xlsx</x:v>
      </x:c>
      <x:c r="I7" s="73" t="str">
        <x:f>""</x:f>
      </x:c>
      <x:c r="J7" s="74" t="str">
        <x:f>""</x:f>
      </x:c>
      <x:c r="K7" s="73" t="str">
        <x:f>""</x:f>
      </x:c>
      <x:c r="L7" s="74" t="str">
        <x:f>""</x:f>
      </x:c>
      <x:c r="M7" s="73" t="n">
        <x:f>MAX(M6,F7)</x:f>
        <x:v>1.0004</x:v>
      </x:c>
      <x:c r="N7" s="74" t="n">
        <x:f>1-F7/M7</x:f>
        <x:v>0.0017992802878847858</x:v>
      </x:c>
    </x:row>
    <x:row r="8" ht="27" customHeight="1">
      <x:c r="A8" s="66" t="str">
        <x:v>SXT730</x:v>
      </x:c>
      <x:c r="B8" s="66" t="str">
        <x:v>世宽若水尘心3号</x:v>
      </x:c>
      <x:c r="C8" s="72" t="n">
        <x:v>44918</x:v>
      </x:c>
      <x:c r="D8" s="73" t="n">
        <x:v>0.9983</x:v>
      </x:c>
      <x:c r="E8" s="73" t="n">
        <x:v>0.9983</x:v>
      </x:c>
      <x:c r="F8" s="73" t="n">
        <x:v>0.9983</x:v>
      </x:c>
      <x:c r="G8" s="74" t="n">
        <x:v>-0.0003</x:v>
      </x:c>
      <x:c r="H8" s="66" t="str">
        <x:v>世宽若水尘心3号净值20260911.xlsx</x:v>
      </x:c>
      <x:c r="I8" s="73" t="str">
        <x:f>""</x:f>
      </x:c>
      <x:c r="J8" s="74" t="str">
        <x:f>""</x:f>
      </x:c>
      <x:c r="K8" s="73" t="str">
        <x:f>""</x:f>
      </x:c>
      <x:c r="L8" s="74" t="str">
        <x:f>""</x:f>
      </x:c>
      <x:c r="M8" s="73" t="n">
        <x:f>MAX(M7,F8)</x:f>
        <x:v>1.0004</x:v>
      </x:c>
      <x:c r="N8" s="74" t="n">
        <x:f>1-F8/M8</x:f>
        <x:v>0.0020991603358656574</x:v>
      </x:c>
    </x:row>
    <x:row r="9" ht="27" customHeight="1">
      <x:c r="A9" s="66" t="str">
        <x:v>SXT730</x:v>
      </x:c>
      <x:c r="B9" s="66" t="str">
        <x:v>世宽若水尘心3号</x:v>
      </x:c>
      <x:c r="C9" s="72" t="n">
        <x:v>44925</x:v>
      </x:c>
      <x:c r="D9" s="73" t="n">
        <x:v>0.9996</x:v>
      </x:c>
      <x:c r="E9" s="73" t="n">
        <x:v>0.9996</x:v>
      </x:c>
      <x:c r="F9" s="73" t="n">
        <x:v>0.9996</x:v>
      </x:c>
      <x:c r="G9" s="74" t="n">
        <x:v>0.0013</x:v>
      </x:c>
      <x:c r="H9" s="66" t="str">
        <x:v>世宽若水尘心3号净值20260911.xlsx</x:v>
      </x:c>
      <x:c r="I9" s="73" t="str">
        <x:f>""</x:f>
      </x:c>
      <x:c r="J9" s="74" t="str">
        <x:f>""</x:f>
      </x:c>
      <x:c r="K9" s="73" t="str">
        <x:f>""</x:f>
      </x:c>
      <x:c r="L9" s="74" t="str">
        <x:f>""</x:f>
      </x:c>
      <x:c r="M9" s="73" t="n">
        <x:f>MAX(M8,F9)</x:f>
        <x:v>1.0004</x:v>
      </x:c>
      <x:c r="N9" s="74" t="n">
        <x:f>1-F9/M9</x:f>
        <x:v>0.000799680127948732</x:v>
      </x:c>
    </x:row>
    <x:row r="10" ht="27" customHeight="1">
      <x:c r="A10" s="66" t="str">
        <x:v>SXT730</x:v>
      </x:c>
      <x:c r="B10" s="66" t="str">
        <x:v>世宽若水尘心3号</x:v>
      </x:c>
      <x:c r="C10" s="72" t="n">
        <x:v>44929</x:v>
      </x:c>
      <x:c r="D10" s="73" t="n">
        <x:v>0.9996</x:v>
      </x:c>
      <x:c r="E10" s="73" t="n">
        <x:v>0.9996</x:v>
      </x:c>
      <x:c r="F10" s="73" t="n">
        <x:v>0.9996</x:v>
      </x:c>
      <x:c r="G10" s="74" t="n">
        <x:v>0</x:v>
      </x:c>
      <x:c r="H10" s="66" t="str">
        <x:v>世宽若水尘心3号净值20260911.xlsx</x:v>
      </x:c>
      <x:c r="I10" s="73" t="str">
        <x:f>""</x:f>
      </x:c>
      <x:c r="J10" s="74" t="str">
        <x:f>""</x:f>
      </x:c>
      <x:c r="K10" s="73" t="str">
        <x:f>""</x:f>
      </x:c>
      <x:c r="L10" s="74" t="str">
        <x:f>""</x:f>
      </x:c>
      <x:c r="M10" s="73" t="n">
        <x:f>MAX(M9,F10)</x:f>
        <x:v>1.0004</x:v>
      </x:c>
      <x:c r="N10" s="74" t="n">
        <x:f>1-F10/M10</x:f>
        <x:v>0.000799680127948732</x:v>
      </x:c>
    </x:row>
    <x:row r="11" ht="27" customHeight="1">
      <x:c r="A11" s="66" t="str">
        <x:v>SXT730</x:v>
      </x:c>
      <x:c r="B11" s="66" t="str">
        <x:v>世宽若水尘心3号</x:v>
      </x:c>
      <x:c r="C11" s="72" t="n">
        <x:v>44930</x:v>
      </x:c>
      <x:c r="D11" s="73" t="n">
        <x:v>0.9999</x:v>
      </x:c>
      <x:c r="E11" s="73" t="n">
        <x:v>0.9999</x:v>
      </x:c>
      <x:c r="F11" s="73" t="n">
        <x:v>0.9999</x:v>
      </x:c>
      <x:c r="G11" s="74" t="n">
        <x:v>0.0003</x:v>
      </x:c>
      <x:c r="H11" s="66" t="str">
        <x:v>世宽若水尘心3号净值20260911.xlsx</x:v>
      </x:c>
      <x:c r="I11" s="73" t="str">
        <x:f>""</x:f>
      </x:c>
      <x:c r="J11" s="74" t="str">
        <x:f>""</x:f>
      </x:c>
      <x:c r="K11" s="73" t="str">
        <x:f>""</x:f>
      </x:c>
      <x:c r="L11" s="74" t="str">
        <x:f>""</x:f>
      </x:c>
      <x:c r="M11" s="73" t="n">
        <x:f>MAX(M10,F11)</x:f>
        <x:v>1.0004</x:v>
      </x:c>
      <x:c r="N11" s="74" t="n">
        <x:f>1-F11/M11</x:f>
        <x:v>0.0004998000799679714</x:v>
      </x:c>
    </x:row>
    <x:row r="12" ht="27" customHeight="1">
      <x:c r="A12" s="66" t="str">
        <x:v>SXT730</x:v>
      </x:c>
      <x:c r="B12" s="66" t="str">
        <x:v>世宽若水尘心3号</x:v>
      </x:c>
      <x:c r="C12" s="72" t="n">
        <x:v>44932</x:v>
      </x:c>
      <x:c r="D12" s="73" t="n">
        <x:v>0.9998</x:v>
      </x:c>
      <x:c r="E12" s="73" t="n">
        <x:v>0.9998</x:v>
      </x:c>
      <x:c r="F12" s="73" t="n">
        <x:v>0.9998</x:v>
      </x:c>
      <x:c r="G12" s="74" t="n">
        <x:v>-0.0001</x:v>
      </x:c>
      <x:c r="H12" s="66" t="str">
        <x:v>世宽若水尘心3号净值20260911.xlsx</x:v>
      </x:c>
      <x:c r="I12" s="73" t="str">
        <x:f>""</x:f>
      </x:c>
      <x:c r="J12" s="74" t="str">
        <x:f>""</x:f>
      </x:c>
      <x:c r="K12" s="73" t="str">
        <x:f>""</x:f>
      </x:c>
      <x:c r="L12" s="74" t="str">
        <x:f>""</x:f>
      </x:c>
      <x:c r="M12" s="73" t="n">
        <x:f>MAX(M11,F12)</x:f>
        <x:v>1.0004</x:v>
      </x:c>
      <x:c r="N12" s="74" t="n">
        <x:f>1-F12/M12</x:f>
        <x:v>0.0005997600959615212</x:v>
      </x:c>
    </x:row>
    <x:row r="13" ht="27" customHeight="1">
      <x:c r="A13" s="66" t="str">
        <x:v>SXT730</x:v>
      </x:c>
      <x:c r="B13" s="66" t="str">
        <x:v>世宽若水尘心3号</x:v>
      </x:c>
      <x:c r="C13" s="72" t="n">
        <x:v>44939</x:v>
      </x:c>
      <x:c r="D13" s="73" t="n">
        <x:v>1.0001</x:v>
      </x:c>
      <x:c r="E13" s="73" t="n">
        <x:v>1.0001</x:v>
      </x:c>
      <x:c r="F13" s="73" t="n">
        <x:v>1.0001</x:v>
      </x:c>
      <x:c r="G13" s="74" t="n">
        <x:v>0.0003</x:v>
      </x:c>
      <x:c r="H13" s="66" t="str">
        <x:v>世宽若水尘心3号净值20260911.xlsx</x:v>
      </x:c>
      <x:c r="I13" s="73" t="str">
        <x:f>""</x:f>
      </x:c>
      <x:c r="J13" s="74" t="str">
        <x:f>""</x:f>
      </x:c>
      <x:c r="K13" s="73" t="str">
        <x:f>""</x:f>
      </x:c>
      <x:c r="L13" s="74" t="str">
        <x:f>""</x:f>
      </x:c>
      <x:c r="M13" s="73" t="n">
        <x:f>MAX(M12,F13)</x:f>
        <x:v>1.0004</x:v>
      </x:c>
      <x:c r="N13" s="74" t="n">
        <x:f>1-F13/M13</x:f>
        <x:v>0.0002998800479807606</x:v>
      </x:c>
    </x:row>
    <x:row r="14" ht="27" customHeight="1">
      <x:c r="A14" s="66" t="str">
        <x:v>SXT730</x:v>
      </x:c>
      <x:c r="B14" s="66" t="str">
        <x:v>世宽若水尘心3号</x:v>
      </x:c>
      <x:c r="C14" s="72" t="n">
        <x:v>44946</x:v>
      </x:c>
      <x:c r="D14" s="73" t="n">
        <x:v>1.0001</x:v>
      </x:c>
      <x:c r="E14" s="73" t="n">
        <x:v>1.0001</x:v>
      </x:c>
      <x:c r="F14" s="73" t="n">
        <x:v>1.0001</x:v>
      </x:c>
      <x:c r="G14" s="74" t="n">
        <x:v>0</x:v>
      </x:c>
      <x:c r="H14" s="66" t="str">
        <x:v>世宽若水尘心3号净值20260911.xlsx</x:v>
      </x:c>
      <x:c r="I14" s="73" t="str">
        <x:f>""</x:f>
      </x:c>
      <x:c r="J14" s="74" t="str">
        <x:f>""</x:f>
      </x:c>
      <x:c r="K14" s="73" t="str">
        <x:f>""</x:f>
      </x:c>
      <x:c r="L14" s="74" t="str">
        <x:f>""</x:f>
      </x:c>
      <x:c r="M14" s="73" t="n">
        <x:f>MAX(M13,F14)</x:f>
        <x:v>1.0004</x:v>
      </x:c>
      <x:c r="N14" s="74" t="n">
        <x:f>1-F14/M14</x:f>
        <x:v>0.0002998800479807606</x:v>
      </x:c>
    </x:row>
    <x:row r="15" ht="27" customHeight="1">
      <x:c r="A15" s="66" t="str">
        <x:v>SXT730</x:v>
      </x:c>
      <x:c r="B15" s="66" t="str">
        <x:v>世宽若水尘心3号</x:v>
      </x:c>
      <x:c r="C15" s="72" t="n">
        <x:v>44957</x:v>
      </x:c>
      <x:c r="D15" s="73" t="n">
        <x:v>1.0001</x:v>
      </x:c>
      <x:c r="E15" s="73" t="n">
        <x:v>1.0001</x:v>
      </x:c>
      <x:c r="F15" s="73" t="n">
        <x:v>1.0001</x:v>
      </x:c>
      <x:c r="G15" s="74" t="n">
        <x:v>0</x:v>
      </x:c>
      <x:c r="H15" s="66" t="str">
        <x:v>世宽若水尘心3号净值20260911.xlsx</x:v>
      </x:c>
      <x:c r="I15" s="73" t="str">
        <x:f>""</x:f>
      </x:c>
      <x:c r="J15" s="74" t="str">
        <x:f>""</x:f>
      </x:c>
      <x:c r="K15" s="73" t="str">
        <x:f>""</x:f>
      </x:c>
      <x:c r="L15" s="74" t="str">
        <x:f>""</x:f>
      </x:c>
      <x:c r="M15" s="73" t="n">
        <x:f>MAX(M14,F15)</x:f>
        <x:v>1.0004</x:v>
      </x:c>
      <x:c r="N15" s="74" t="n">
        <x:f>1-F15/M15</x:f>
        <x:v>0.0002998800479807606</x:v>
      </x:c>
    </x:row>
    <x:row r="16" ht="27" customHeight="1">
      <x:c r="A16" s="66" t="str">
        <x:v>SXT730</x:v>
      </x:c>
      <x:c r="B16" s="66" t="str">
        <x:v>世宽若水尘心3号</x:v>
      </x:c>
      <x:c r="C16" s="72" t="n">
        <x:v>44960</x:v>
      </x:c>
      <x:c r="D16" s="73" t="n">
        <x:v>1.0031</x:v>
      </x:c>
      <x:c r="E16" s="73" t="n">
        <x:v>1.0031</x:v>
      </x:c>
      <x:c r="F16" s="73" t="n">
        <x:v>1.0031</x:v>
      </x:c>
      <x:c r="G16" s="74" t="n">
        <x:v>0.003</x:v>
      </x:c>
      <x:c r="H16" s="66" t="str">
        <x:v>世宽若水尘心3号净值20260911.xlsx</x:v>
      </x:c>
      <x:c r="I16" s="73" t="str">
        <x:f>""</x:f>
      </x:c>
      <x:c r="J16" s="74" t="str">
        <x:f>""</x:f>
      </x:c>
      <x:c r="K16" s="73" t="str">
        <x:f>""</x:f>
      </x:c>
      <x:c r="L16" s="74" t="str">
        <x:f>""</x:f>
      </x:c>
      <x:c r="M16" s="73" t="n">
        <x:f>MAX(M15,F16)</x:f>
        <x:v>1.0031</x:v>
      </x:c>
      <x:c r="N16" s="74" t="n">
        <x:f>1-F16/M16</x:f>
        <x:v>0</x:v>
      </x:c>
    </x:row>
    <x:row r="17" ht="27" customHeight="1">
      <x:c r="A17" s="66" t="str">
        <x:v>SXT730</x:v>
      </x:c>
      <x:c r="B17" s="66" t="str">
        <x:v>世宽若水尘心3号</x:v>
      </x:c>
      <x:c r="C17" s="72" t="n">
        <x:v>44967</x:v>
      </x:c>
      <x:c r="D17" s="73" t="n">
        <x:v>1.0039</x:v>
      </x:c>
      <x:c r="E17" s="73" t="n">
        <x:v>1.0039</x:v>
      </x:c>
      <x:c r="F17" s="73" t="n">
        <x:v>1.0039</x:v>
      </x:c>
      <x:c r="G17" s="74" t="n">
        <x:v>0.0008</x:v>
      </x:c>
      <x:c r="H17" s="66" t="str">
        <x:v>世宽若水尘心3号净值20260911.xlsx</x:v>
      </x:c>
      <x:c r="I17" s="73" t="str">
        <x:f>""</x:f>
      </x:c>
      <x:c r="J17" s="74" t="str">
        <x:f>""</x:f>
      </x:c>
      <x:c r="K17" s="73" t="str">
        <x:f>""</x:f>
      </x:c>
      <x:c r="L17" s="74" t="str">
        <x:f>""</x:f>
      </x:c>
      <x:c r="M17" s="73" t="n">
        <x:f>MAX(M16,F17)</x:f>
        <x:v>1.0039</x:v>
      </x:c>
      <x:c r="N17" s="74" t="n">
        <x:f>1-F17/M17</x:f>
        <x:v>0</x:v>
      </x:c>
    </x:row>
    <x:row r="18" ht="27" customHeight="1">
      <x:c r="A18" s="66" t="str">
        <x:v>SXT730</x:v>
      </x:c>
      <x:c r="B18" s="66" t="str">
        <x:v>世宽若水尘心3号</x:v>
      </x:c>
      <x:c r="C18" s="72" t="n">
        <x:v>44974</x:v>
      </x:c>
      <x:c r="D18" s="73" t="n">
        <x:v>0.9995</x:v>
      </x:c>
      <x:c r="E18" s="73" t="n">
        <x:v>0.9995</x:v>
      </x:c>
      <x:c r="F18" s="73" t="n">
        <x:v>0.9995</x:v>
      </x:c>
      <x:c r="G18" s="74" t="n">
        <x:v>-0.0044</x:v>
      </x:c>
      <x:c r="H18" s="66" t="str">
        <x:v>世宽若水尘心3号净值20260911.xlsx</x:v>
      </x:c>
      <x:c r="I18" s="73" t="str">
        <x:f>""</x:f>
      </x:c>
      <x:c r="J18" s="74" t="str">
        <x:f>""</x:f>
      </x:c>
      <x:c r="K18" s="73" t="str">
        <x:f>""</x:f>
      </x:c>
      <x:c r="L18" s="74" t="str">
        <x:f>""</x:f>
      </x:c>
      <x:c r="M18" s="73" t="n">
        <x:f>MAX(M17,F18)</x:f>
        <x:v>1.0039</x:v>
      </x:c>
      <x:c r="N18" s="74" t="n">
        <x:f>1-F18/M18</x:f>
        <x:v>0.004382906664010311</x:v>
      </x:c>
    </x:row>
    <x:row r="19" ht="27" customHeight="1">
      <x:c r="A19" s="66" t="str">
        <x:v>SXT730</x:v>
      </x:c>
      <x:c r="B19" s="66" t="str">
        <x:v>世宽若水尘心3号</x:v>
      </x:c>
      <x:c r="C19" s="72" t="n">
        <x:v>44981</x:v>
      </x:c>
      <x:c r="D19" s="73" t="n">
        <x:v>0.9975</x:v>
      </x:c>
      <x:c r="E19" s="73" t="n">
        <x:v>0.9975</x:v>
      </x:c>
      <x:c r="F19" s="73" t="n">
        <x:v>0.9975</x:v>
      </x:c>
      <x:c r="G19" s="74" t="n">
        <x:v>-0.002</x:v>
      </x:c>
      <x:c r="H19" s="66" t="str">
        <x:v>世宽若水尘心3号净值20260911.xlsx</x:v>
      </x:c>
      <x:c r="I19" s="73" t="str">
        <x:f>""</x:f>
      </x:c>
      <x:c r="J19" s="74" t="str">
        <x:f>""</x:f>
      </x:c>
      <x:c r="K19" s="73" t="str">
        <x:f>""</x:f>
      </x:c>
      <x:c r="L19" s="74" t="str">
        <x:f>""</x:f>
      </x:c>
      <x:c r="M19" s="73" t="n">
        <x:f>MAX(M18,F19)</x:f>
        <x:v>1.0039</x:v>
      </x:c>
      <x:c r="N19" s="74" t="n">
        <x:f>1-F19/M19</x:f>
        <x:v>0.00637513696583325</x:v>
      </x:c>
    </x:row>
    <x:row r="20" ht="27" customHeight="1">
      <x:c r="A20" s="66" t="str">
        <x:v>SXT730</x:v>
      </x:c>
      <x:c r="B20" s="66" t="str">
        <x:v>世宽若水尘心3号</x:v>
      </x:c>
      <x:c r="C20" s="72" t="n">
        <x:v>44985</x:v>
      </x:c>
      <x:c r="D20" s="73" t="n">
        <x:v>0.9975</x:v>
      </x:c>
      <x:c r="E20" s="73" t="n">
        <x:v>0.9975</x:v>
      </x:c>
      <x:c r="F20" s="73" t="n">
        <x:v>0.9975</x:v>
      </x:c>
      <x:c r="G20" s="74" t="n">
        <x:v>0</x:v>
      </x:c>
      <x:c r="H20" s="66" t="str">
        <x:v>世宽若水尘心3号净值20260911.xlsx</x:v>
      </x:c>
      <x:c r="I20" s="73" t="str">
        <x:f>""</x:f>
      </x:c>
      <x:c r="J20" s="74" t="str">
        <x:f>""</x:f>
      </x:c>
      <x:c r="K20" s="73" t="str">
        <x:f>""</x:f>
      </x:c>
      <x:c r="L20" s="74" t="str">
        <x:f>""</x:f>
      </x:c>
      <x:c r="M20" s="73" t="n">
        <x:f>MAX(M19,F20)</x:f>
        <x:v>1.0039</x:v>
      </x:c>
      <x:c r="N20" s="74" t="n">
        <x:f>1-F20/M20</x:f>
        <x:v>0.00637513696583325</x:v>
      </x:c>
    </x:row>
    <x:row r="21" ht="27" customHeight="1">
      <x:c r="A21" s="66" t="str">
        <x:v>SXT730</x:v>
      </x:c>
      <x:c r="B21" s="66" t="str">
        <x:v>世宽若水尘心3号</x:v>
      </x:c>
      <x:c r="C21" s="72" t="n">
        <x:v>44988</x:v>
      </x:c>
      <x:c r="D21" s="73" t="n">
        <x:v>0.9962</x:v>
      </x:c>
      <x:c r="E21" s="73" t="n">
        <x:v>0.9962</x:v>
      </x:c>
      <x:c r="F21" s="73" t="n">
        <x:v>0.9962</x:v>
      </x:c>
      <x:c r="G21" s="74" t="n">
        <x:v>-0.0013</x:v>
      </x:c>
      <x:c r="H21" s="66" t="str">
        <x:v>世宽若水尘心3号净值20260911.xlsx</x:v>
      </x:c>
      <x:c r="I21" s="73" t="str">
        <x:f>""</x:f>
      </x:c>
      <x:c r="J21" s="74" t="str">
        <x:f>""</x:f>
      </x:c>
      <x:c r="K21" s="73" t="str">
        <x:f>""</x:f>
      </x:c>
      <x:c r="L21" s="74" t="str">
        <x:f>""</x:f>
      </x:c>
      <x:c r="M21" s="73" t="n">
        <x:f>MAX(M20,F21)</x:f>
        <x:v>1.0039</x:v>
      </x:c>
      <x:c r="N21" s="74" t="n">
        <x:f>1-F21/M21</x:f>
        <x:v>0.007670086662018183</x:v>
      </x:c>
    </x:row>
    <x:row r="22" ht="27" customHeight="1">
      <x:c r="A22" s="66" t="str">
        <x:v>SXT730</x:v>
      </x:c>
      <x:c r="B22" s="66" t="str">
        <x:v>世宽若水尘心3号</x:v>
      </x:c>
      <x:c r="C22" s="72" t="n">
        <x:v>44995</x:v>
      </x:c>
      <x:c r="D22" s="73" t="n">
        <x:v>0.996</x:v>
      </x:c>
      <x:c r="E22" s="73" t="n">
        <x:v>0.996</x:v>
      </x:c>
      <x:c r="F22" s="73" t="n">
        <x:v>0.996</x:v>
      </x:c>
      <x:c r="G22" s="74" t="n">
        <x:v>-0.0002</x:v>
      </x:c>
      <x:c r="H22" s="66" t="str">
        <x:v>世宽若水尘心3号净值20260911.xlsx</x:v>
      </x:c>
      <x:c r="I22" s="73" t="str">
        <x:f>""</x:f>
      </x:c>
      <x:c r="J22" s="74" t="str">
        <x:f>""</x:f>
      </x:c>
      <x:c r="K22" s="73" t="str">
        <x:f>""</x:f>
      </x:c>
      <x:c r="L22" s="74" t="str">
        <x:f>""</x:f>
      </x:c>
      <x:c r="M22" s="73" t="n">
        <x:f>MAX(M21,F22)</x:f>
        <x:v>1.0039</x:v>
      </x:c>
      <x:c r="N22" s="74" t="n">
        <x:f>1-F22/M22</x:f>
        <x:v>0.007869309692200455</x:v>
      </x:c>
    </x:row>
    <x:row r="23" ht="27" customHeight="1">
      <x:c r="A23" s="66" t="str">
        <x:v>SXT730</x:v>
      </x:c>
      <x:c r="B23" s="66" t="str">
        <x:v>世宽若水尘心3号</x:v>
      </x:c>
      <x:c r="C23" s="72" t="n">
        <x:v>45002</x:v>
      </x:c>
      <x:c r="D23" s="73" t="n">
        <x:v>0.9935</x:v>
      </x:c>
      <x:c r="E23" s="73" t="n">
        <x:v>0.9935</x:v>
      </x:c>
      <x:c r="F23" s="73" t="n">
        <x:v>0.9935</x:v>
      </x:c>
      <x:c r="G23" s="74" t="n">
        <x:v>-0.0025</x:v>
      </x:c>
      <x:c r="H23" s="66" t="str">
        <x:v>世宽若水尘心3号净值20260911.xlsx</x:v>
      </x:c>
      <x:c r="I23" s="73" t="str">
        <x:f>""</x:f>
      </x:c>
      <x:c r="J23" s="74" t="str">
        <x:f>""</x:f>
      </x:c>
      <x:c r="K23" s="73" t="str">
        <x:f>""</x:f>
      </x:c>
      <x:c r="L23" s="74" t="str">
        <x:f>""</x:f>
      </x:c>
      <x:c r="M23" s="73" t="n">
        <x:f>MAX(M22,F23)</x:f>
        <x:v>1.0039</x:v>
      </x:c>
      <x:c r="N23" s="74" t="n">
        <x:f>1-F23/M23</x:f>
        <x:v>0.010359597569479018</x:v>
      </x:c>
    </x:row>
    <x:row r="24" ht="27" customHeight="1">
      <x:c r="A24" s="66" t="str">
        <x:v>SXT730</x:v>
      </x:c>
      <x:c r="B24" s="66" t="str">
        <x:v>世宽若水尘心3号</x:v>
      </x:c>
      <x:c r="C24" s="72" t="n">
        <x:v>45009</x:v>
      </x:c>
      <x:c r="D24" s="73" t="n">
        <x:v>0.9955</x:v>
      </x:c>
      <x:c r="E24" s="73" t="n">
        <x:v>0.9955</x:v>
      </x:c>
      <x:c r="F24" s="73" t="n">
        <x:v>0.9955</x:v>
      </x:c>
      <x:c r="G24" s="74" t="n">
        <x:v>0.002</x:v>
      </x:c>
      <x:c r="H24" s="66" t="str">
        <x:v>世宽若水尘心3号净值20260911.xlsx</x:v>
      </x:c>
      <x:c r="I24" s="73" t="str">
        <x:f>""</x:f>
      </x:c>
      <x:c r="J24" s="74" t="str">
        <x:f>""</x:f>
      </x:c>
      <x:c r="K24" s="73" t="str">
        <x:f>""</x:f>
      </x:c>
      <x:c r="L24" s="74" t="str">
        <x:f>""</x:f>
      </x:c>
      <x:c r="M24" s="73" t="n">
        <x:f>MAX(M23,F24)</x:f>
        <x:v>1.0039</x:v>
      </x:c>
      <x:c r="N24" s="74" t="n">
        <x:f>1-F24/M24</x:f>
        <x:v>0.008367367267656078</x:v>
      </x:c>
    </x:row>
    <x:row r="25" ht="27" customHeight="1">
      <x:c r="A25" s="66" t="str">
        <x:v>SXT730</x:v>
      </x:c>
      <x:c r="B25" s="66" t="str">
        <x:v>世宽若水尘心3号</x:v>
      </x:c>
      <x:c r="C25" s="72" t="n">
        <x:v>45016</x:v>
      </x:c>
      <x:c r="D25" s="73" t="n">
        <x:v>0.9913</x:v>
      </x:c>
      <x:c r="E25" s="73" t="n">
        <x:v>0.9913</x:v>
      </x:c>
      <x:c r="F25" s="73" t="n">
        <x:v>0.9913</x:v>
      </x:c>
      <x:c r="G25" s="74" t="n">
        <x:v>-0.0042</x:v>
      </x:c>
      <x:c r="H25" s="66" t="str">
        <x:v>世宽若水尘心3号净值20260911.xlsx</x:v>
      </x:c>
      <x:c r="I25" s="73" t="str">
        <x:f>""</x:f>
      </x:c>
      <x:c r="J25" s="74" t="str">
        <x:f>""</x:f>
      </x:c>
      <x:c r="K25" s="73" t="str">
        <x:f>""</x:f>
      </x:c>
      <x:c r="L25" s="74" t="str">
        <x:f>""</x:f>
      </x:c>
      <x:c r="M25" s="73" t="n">
        <x:f>MAX(M24,F25)</x:f>
        <x:v>1.0039</x:v>
      </x:c>
      <x:c r="N25" s="74" t="n">
        <x:f>1-F25/M25</x:f>
        <x:v>0.012551050901484229</x:v>
      </x:c>
    </x:row>
    <x:row r="26" ht="27" customHeight="1">
      <x:c r="A26" s="66" t="str">
        <x:v>SXT730</x:v>
      </x:c>
      <x:c r="B26" s="66" t="str">
        <x:v>世宽若水尘心3号</x:v>
      </x:c>
      <x:c r="C26" s="72" t="n">
        <x:v>45023</x:v>
      </x:c>
      <x:c r="D26" s="73" t="n">
        <x:v>0.9912</x:v>
      </x:c>
      <x:c r="E26" s="73" t="n">
        <x:v>0.9912</x:v>
      </x:c>
      <x:c r="F26" s="73" t="n">
        <x:v>0.9912</x:v>
      </x:c>
      <x:c r="G26" s="74" t="n">
        <x:v>-0.0001</x:v>
      </x:c>
      <x:c r="H26" s="66" t="str">
        <x:v>世宽若水尘心3号净值20260911.xlsx</x:v>
      </x:c>
      <x:c r="I26" s="73" t="str">
        <x:f>""</x:f>
      </x:c>
      <x:c r="J26" s="74" t="str">
        <x:f>""</x:f>
      </x:c>
      <x:c r="K26" s="73" t="str">
        <x:f>""</x:f>
      </x:c>
      <x:c r="L26" s="74" t="str">
        <x:f>""</x:f>
      </x:c>
      <x:c r="M26" s="73" t="n">
        <x:f>MAX(M25,F26)</x:f>
        <x:v>1.0039</x:v>
      </x:c>
      <x:c r="N26" s="74" t="n">
        <x:f>1-F26/M26</x:f>
        <x:v>0.01265066241657542</x:v>
      </x:c>
    </x:row>
    <x:row r="27" ht="27" customHeight="1">
      <x:c r="A27" s="66" t="str">
        <x:v>SXT730</x:v>
      </x:c>
      <x:c r="B27" s="66" t="str">
        <x:v>世宽若水尘心3号</x:v>
      </x:c>
      <x:c r="C27" s="72" t="n">
        <x:v>45030</x:v>
      </x:c>
      <x:c r="D27" s="73" t="n">
        <x:v>0.9904</x:v>
      </x:c>
      <x:c r="E27" s="73" t="n">
        <x:v>0.9904</x:v>
      </x:c>
      <x:c r="F27" s="73" t="n">
        <x:v>0.9904</x:v>
      </x:c>
      <x:c r="G27" s="74" t="n">
        <x:v>-0.0008</x:v>
      </x:c>
      <x:c r="H27" s="66" t="str">
        <x:v>世宽若水尘心3号净值20260911.xlsx</x:v>
      </x:c>
      <x:c r="I27" s="73" t="str">
        <x:f>""</x:f>
      </x:c>
      <x:c r="J27" s="74" t="str">
        <x:f>""</x:f>
      </x:c>
      <x:c r="K27" s="73" t="str">
        <x:f>""</x:f>
      </x:c>
      <x:c r="L27" s="74" t="str">
        <x:f>""</x:f>
      </x:c>
      <x:c r="M27" s="73" t="n">
        <x:f>MAX(M26,F27)</x:f>
        <x:v>1.0039</x:v>
      </x:c>
      <x:c r="N27" s="74" t="n">
        <x:f>1-F27/M27</x:f>
        <x:v>0.013447554537304618</x:v>
      </x:c>
    </x:row>
    <x:row r="28" ht="27" customHeight="1">
      <x:c r="A28" s="66" t="str">
        <x:v>SXT730</x:v>
      </x:c>
      <x:c r="B28" s="66" t="str">
        <x:v>世宽若水尘心3号</x:v>
      </x:c>
      <x:c r="C28" s="72" t="n">
        <x:v>45037</x:v>
      </x:c>
      <x:c r="D28" s="73" t="n">
        <x:v>0.9907</x:v>
      </x:c>
      <x:c r="E28" s="73" t="n">
        <x:v>0.9907</x:v>
      </x:c>
      <x:c r="F28" s="73" t="n">
        <x:v>0.9907</x:v>
      </x:c>
      <x:c r="G28" s="74" t="n">
        <x:v>0.0003</x:v>
      </x:c>
      <x:c r="H28" s="66" t="str">
        <x:v>世宽若水尘心3号净值20260911.xlsx</x:v>
      </x:c>
      <x:c r="I28" s="73" t="str">
        <x:f>""</x:f>
      </x:c>
      <x:c r="J28" s="74" t="str">
        <x:f>""</x:f>
      </x:c>
      <x:c r="K28" s="73" t="str">
        <x:f>""</x:f>
      </x:c>
      <x:c r="L28" s="74" t="str">
        <x:f>""</x:f>
      </x:c>
      <x:c r="M28" s="73" t="n">
        <x:f>MAX(M27,F28)</x:f>
        <x:v>1.0039</x:v>
      </x:c>
      <x:c r="N28" s="74" t="n">
        <x:f>1-F28/M28</x:f>
        <x:v>0.013148719992031044</x:v>
      </x:c>
    </x:row>
    <x:row r="29" ht="27" customHeight="1">
      <x:c r="A29" s="66" t="str">
        <x:v>SXT730</x:v>
      </x:c>
      <x:c r="B29" s="66" t="str">
        <x:v>世宽若水尘心3号</x:v>
      </x:c>
      <x:c r="C29" s="72" t="n">
        <x:v>45044</x:v>
      </x:c>
      <x:c r="D29" s="73" t="n">
        <x:v>0.9907</x:v>
      </x:c>
      <x:c r="E29" s="73" t="n">
        <x:v>0.9907</x:v>
      </x:c>
      <x:c r="F29" s="73" t="n">
        <x:v>0.9907</x:v>
      </x:c>
      <x:c r="G29" s="74" t="n">
        <x:v>0</x:v>
      </x:c>
      <x:c r="H29" s="66" t="str">
        <x:v>世宽若水尘心3号净值20260911.xlsx</x:v>
      </x:c>
      <x:c r="I29" s="73" t="str">
        <x:f>""</x:f>
      </x:c>
      <x:c r="J29" s="74" t="str">
        <x:f>""</x:f>
      </x:c>
      <x:c r="K29" s="73" t="str">
        <x:f>""</x:f>
      </x:c>
      <x:c r="L29" s="74" t="str">
        <x:f>""</x:f>
      </x:c>
      <x:c r="M29" s="73" t="n">
        <x:f>MAX(M28,F29)</x:f>
        <x:v>1.0039</x:v>
      </x:c>
      <x:c r="N29" s="74" t="n">
        <x:f>1-F29/M29</x:f>
        <x:v>0.013148719992031044</x:v>
      </x:c>
    </x:row>
    <x:row r="30" ht="27" customHeight="1">
      <x:c r="A30" s="66" t="str">
        <x:v>SXT730</x:v>
      </x:c>
      <x:c r="B30" s="66" t="str">
        <x:v>世宽若水尘心3号</x:v>
      </x:c>
      <x:c r="C30" s="72" t="n">
        <x:v>45051</x:v>
      </x:c>
      <x:c r="D30" s="73" t="n">
        <x:v>0.9911</x:v>
      </x:c>
      <x:c r="E30" s="73" t="n">
        <x:v>0.9911</x:v>
      </x:c>
      <x:c r="F30" s="73" t="n">
        <x:v>0.9911</x:v>
      </x:c>
      <x:c r="G30" s="74" t="n">
        <x:v>0.0004</x:v>
      </x:c>
      <x:c r="H30" s="66" t="str">
        <x:v>世宽若水尘心3号净值20260911.xlsx</x:v>
      </x:c>
      <x:c r="I30" s="73" t="str">
        <x:f>""</x:f>
      </x:c>
      <x:c r="J30" s="74" t="str">
        <x:f>""</x:f>
      </x:c>
      <x:c r="K30" s="73" t="str">
        <x:f>""</x:f>
      </x:c>
      <x:c r="L30" s="74" t="str">
        <x:f>""</x:f>
      </x:c>
      <x:c r="M30" s="73" t="n">
        <x:f>MAX(M29,F30)</x:f>
        <x:v>1.0039</x:v>
      </x:c>
      <x:c r="N30" s="74" t="n">
        <x:f>1-F30/M30</x:f>
        <x:v>0.0127502739316665</x:v>
      </x:c>
    </x:row>
    <x:row r="31" ht="27" customHeight="1">
      <x:c r="A31" s="66" t="str">
        <x:v>SXT730</x:v>
      </x:c>
      <x:c r="B31" s="66" t="str">
        <x:v>世宽若水尘心3号</x:v>
      </x:c>
      <x:c r="C31" s="72" t="n">
        <x:v>45058</x:v>
      </x:c>
      <x:c r="D31" s="73" t="n">
        <x:v>0.9907</x:v>
      </x:c>
      <x:c r="E31" s="73" t="n">
        <x:v>0.9907</x:v>
      </x:c>
      <x:c r="F31" s="73" t="n">
        <x:v>0.9907</x:v>
      </x:c>
      <x:c r="G31" s="74" t="n">
        <x:v>-0.0004</x:v>
      </x:c>
      <x:c r="H31" s="66" t="str">
        <x:v>世宽若水尘心3号净值20260911.xlsx</x:v>
      </x:c>
      <x:c r="I31" s="73" t="str">
        <x:f>""</x:f>
      </x:c>
      <x:c r="J31" s="74" t="str">
        <x:f>""</x:f>
      </x:c>
      <x:c r="K31" s="73" t="str">
        <x:f>""</x:f>
      </x:c>
      <x:c r="L31" s="74" t="str">
        <x:f>""</x:f>
      </x:c>
      <x:c r="M31" s="73" t="n">
        <x:f>MAX(M30,F31)</x:f>
        <x:v>1.0039</x:v>
      </x:c>
      <x:c r="N31" s="74" t="n">
        <x:f>1-F31/M31</x:f>
        <x:v>0.013148719992031044</x:v>
      </x:c>
    </x:row>
    <x:row r="32" ht="27" customHeight="1">
      <x:c r="A32" s="66" t="str">
        <x:v>SXT730</x:v>
      </x:c>
      <x:c r="B32" s="66" t="str">
        <x:v>世宽若水尘心3号</x:v>
      </x:c>
      <x:c r="C32" s="72" t="n">
        <x:v>45065</x:v>
      </x:c>
      <x:c r="D32" s="73" t="n">
        <x:v>0.9911</x:v>
      </x:c>
      <x:c r="E32" s="73" t="n">
        <x:v>0.9911</x:v>
      </x:c>
      <x:c r="F32" s="73" t="n">
        <x:v>0.9911</x:v>
      </x:c>
      <x:c r="G32" s="74" t="n">
        <x:v>0.0004</x:v>
      </x:c>
      <x:c r="H32" s="66" t="str">
        <x:v>世宽若水尘心3号净值20260911.xlsx</x:v>
      </x:c>
      <x:c r="I32" s="73" t="str">
        <x:f>""</x:f>
      </x:c>
      <x:c r="J32" s="74" t="str">
        <x:f>""</x:f>
      </x:c>
      <x:c r="K32" s="73" t="str">
        <x:f>""</x:f>
      </x:c>
      <x:c r="L32" s="74" t="str">
        <x:f>""</x:f>
      </x:c>
      <x:c r="M32" s="73" t="n">
        <x:f>MAX(M31,F32)</x:f>
        <x:v>1.0039</x:v>
      </x:c>
      <x:c r="N32" s="74" t="n">
        <x:f>1-F32/M32</x:f>
        <x:v>0.0127502739316665</x:v>
      </x:c>
    </x:row>
    <x:row r="33" ht="27" customHeight="1">
      <x:c r="A33" s="66" t="str">
        <x:v>SXT730</x:v>
      </x:c>
      <x:c r="B33" s="66" t="str">
        <x:v>世宽若水尘心3号</x:v>
      </x:c>
      <x:c r="C33" s="72" t="n">
        <x:v>45072</x:v>
      </x:c>
      <x:c r="D33" s="73" t="n">
        <x:v>0.9911</x:v>
      </x:c>
      <x:c r="E33" s="73" t="n">
        <x:v>0.9911</x:v>
      </x:c>
      <x:c r="F33" s="73" t="n">
        <x:v>0.9911</x:v>
      </x:c>
      <x:c r="G33" s="74" t="n">
        <x:v>0</x:v>
      </x:c>
      <x:c r="H33" s="66" t="str">
        <x:v>世宽若水尘心3号净值20260911.xlsx</x:v>
      </x:c>
      <x:c r="I33" s="73" t="str">
        <x:f>""</x:f>
      </x:c>
      <x:c r="J33" s="74" t="str">
        <x:f>""</x:f>
      </x:c>
      <x:c r="K33" s="73" t="str">
        <x:f>""</x:f>
      </x:c>
      <x:c r="L33" s="74" t="str">
        <x:f>""</x:f>
      </x:c>
      <x:c r="M33" s="73" t="n">
        <x:f>MAX(M32,F33)</x:f>
        <x:v>1.0039</x:v>
      </x:c>
      <x:c r="N33" s="74" t="n">
        <x:f>1-F33/M33</x:f>
        <x:v>0.0127502739316665</x:v>
      </x:c>
    </x:row>
    <x:row r="34" ht="27" customHeight="1">
      <x:c r="A34" s="66" t="str">
        <x:v>SXT730</x:v>
      </x:c>
      <x:c r="B34" s="66" t="str">
        <x:v>世宽若水尘心3号</x:v>
      </x:c>
      <x:c r="C34" s="72" t="n">
        <x:v>45077</x:v>
      </x:c>
      <x:c r="D34" s="73" t="n">
        <x:v>0.991</x:v>
      </x:c>
      <x:c r="E34" s="73" t="n">
        <x:v>0.991</x:v>
      </x:c>
      <x:c r="F34" s="73" t="n">
        <x:v>0.991</x:v>
      </x:c>
      <x:c r="G34" s="74" t="n">
        <x:v>-0.0001</x:v>
      </x:c>
      <x:c r="H34" s="66" t="str">
        <x:v>世宽若水尘心3号净值20260911.xlsx</x:v>
      </x:c>
      <x:c r="I34" s="73" t="str">
        <x:f>""</x:f>
      </x:c>
      <x:c r="J34" s="74" t="str">
        <x:f>""</x:f>
      </x:c>
      <x:c r="K34" s="73" t="str">
        <x:f>""</x:f>
      </x:c>
      <x:c r="L34" s="74" t="str">
        <x:f>""</x:f>
      </x:c>
      <x:c r="M34" s="73" t="n">
        <x:f>MAX(M33,F34)</x:f>
        <x:v>1.0039</x:v>
      </x:c>
      <x:c r="N34" s="74" t="n">
        <x:f>1-F34/M34</x:f>
        <x:v>0.012849885446757692</x:v>
      </x:c>
    </x:row>
    <x:row r="35" ht="27" customHeight="1">
      <x:c r="A35" s="66" t="str">
        <x:v>SXT730</x:v>
      </x:c>
      <x:c r="B35" s="66" t="str">
        <x:v>世宽若水尘心3号</x:v>
      </x:c>
      <x:c r="C35" s="72" t="n">
        <x:v>45079</x:v>
      </x:c>
      <x:c r="D35" s="73" t="n">
        <x:v>0.9912</x:v>
      </x:c>
      <x:c r="E35" s="73" t="n">
        <x:v>0.9912</x:v>
      </x:c>
      <x:c r="F35" s="73" t="n">
        <x:v>0.9912</x:v>
      </x:c>
      <x:c r="G35" s="74" t="n">
        <x:v>0.0002</x:v>
      </x:c>
      <x:c r="H35" s="66" t="str">
        <x:v>世宽若水尘心3号净值20260911.xlsx</x:v>
      </x:c>
      <x:c r="I35" s="73" t="str">
        <x:f>""</x:f>
      </x:c>
      <x:c r="J35" s="74" t="str">
        <x:f>""</x:f>
      </x:c>
      <x:c r="K35" s="73" t="str">
        <x:f>""</x:f>
      </x:c>
      <x:c r="L35" s="74" t="str">
        <x:f>""</x:f>
      </x:c>
      <x:c r="M35" s="73" t="n">
        <x:f>MAX(M34,F35)</x:f>
        <x:v>1.0039</x:v>
      </x:c>
      <x:c r="N35" s="74" t="n">
        <x:f>1-F35/M35</x:f>
        <x:v>0.01265066241657542</x:v>
      </x:c>
    </x:row>
    <x:row r="36" ht="27" customHeight="1">
      <x:c r="A36" s="66" t="str">
        <x:v>SXT730</x:v>
      </x:c>
      <x:c r="B36" s="66" t="str">
        <x:v>世宽若水尘心3号</x:v>
      </x:c>
      <x:c r="C36" s="72" t="n">
        <x:v>45086</x:v>
      </x:c>
      <x:c r="D36" s="73" t="n">
        <x:v>0.9906</x:v>
      </x:c>
      <x:c r="E36" s="73" t="n">
        <x:v>0.9906</x:v>
      </x:c>
      <x:c r="F36" s="73" t="n">
        <x:v>0.9906</x:v>
      </x:c>
      <x:c r="G36" s="74" t="n">
        <x:v>-0.0006</x:v>
      </x:c>
      <x:c r="H36" s="66" t="str">
        <x:v>世宽若水尘心3号净值20260911.xlsx</x:v>
      </x:c>
      <x:c r="I36" s="73" t="str">
        <x:f>""</x:f>
      </x:c>
      <x:c r="J36" s="74" t="str">
        <x:f>""</x:f>
      </x:c>
      <x:c r="K36" s="73" t="str">
        <x:f>""</x:f>
      </x:c>
      <x:c r="L36" s="74" t="str">
        <x:f>""</x:f>
      </x:c>
      <x:c r="M36" s="73" t="n">
        <x:f>MAX(M35,F36)</x:f>
        <x:v>1.0039</x:v>
      </x:c>
      <x:c r="N36" s="74" t="n">
        <x:f>1-F36/M36</x:f>
        <x:v>0.013248331507122235</x:v>
      </x:c>
    </x:row>
    <x:row r="37" ht="27" customHeight="1">
      <x:c r="A37" s="66" t="str">
        <x:v>SXT730</x:v>
      </x:c>
      <x:c r="B37" s="66" t="str">
        <x:v>世宽若水尘心3号</x:v>
      </x:c>
      <x:c r="C37" s="72" t="n">
        <x:v>45093</x:v>
      </x:c>
      <x:c r="D37" s="73" t="n">
        <x:v>0.9923</x:v>
      </x:c>
      <x:c r="E37" s="73" t="n">
        <x:v>0.9923</x:v>
      </x:c>
      <x:c r="F37" s="73" t="n">
        <x:v>0.9923</x:v>
      </x:c>
      <x:c r="G37" s="74" t="n">
        <x:v>0.0017000000000000001</x:v>
      </x:c>
      <x:c r="H37" s="66" t="str">
        <x:v>世宽若水尘心3号净值20260911.xlsx</x:v>
      </x:c>
      <x:c r="I37" s="73" t="str">
        <x:f>""</x:f>
      </x:c>
      <x:c r="J37" s="74" t="str">
        <x:f>""</x:f>
      </x:c>
      <x:c r="K37" s="73" t="str">
        <x:f>""</x:f>
      </x:c>
      <x:c r="L37" s="74" t="str">
        <x:f>""</x:f>
      </x:c>
      <x:c r="M37" s="73" t="n">
        <x:f>MAX(M36,F37)</x:f>
        <x:v>1.0039</x:v>
      </x:c>
      <x:c r="N37" s="74" t="n">
        <x:f>1-F37/M37</x:f>
        <x:v>0.01155493575057287</x:v>
      </x:c>
    </x:row>
    <x:row r="38" ht="27" customHeight="1">
      <x:c r="A38" s="66" t="str">
        <x:v>SXT730</x:v>
      </x:c>
      <x:c r="B38" s="66" t="str">
        <x:v>世宽若水尘心3号</x:v>
      </x:c>
      <x:c r="C38" s="72" t="n">
        <x:v>45098</x:v>
      </x:c>
      <x:c r="D38" s="73" t="n">
        <x:v>0.9925</x:v>
      </x:c>
      <x:c r="E38" s="73" t="n">
        <x:v>0.9925</x:v>
      </x:c>
      <x:c r="F38" s="73" t="n">
        <x:v>0.9925</x:v>
      </x:c>
      <x:c r="G38" s="74" t="n">
        <x:v>0.0002</x:v>
      </x:c>
      <x:c r="H38" s="66" t="str">
        <x:v>世宽若水尘心3号净值20260911.xlsx</x:v>
      </x:c>
      <x:c r="I38" s="73" t="str">
        <x:f>""</x:f>
      </x:c>
      <x:c r="J38" s="74" t="str">
        <x:f>""</x:f>
      </x:c>
      <x:c r="K38" s="73" t="str">
        <x:f>""</x:f>
      </x:c>
      <x:c r="L38" s="74" t="str">
        <x:f>""</x:f>
      </x:c>
      <x:c r="M38" s="73" t="n">
        <x:f>MAX(M37,F38)</x:f>
        <x:v>1.0039</x:v>
      </x:c>
      <x:c r="N38" s="74" t="n">
        <x:f>1-F38/M38</x:f>
        <x:v>0.011355712720390487</x:v>
      </x:c>
    </x:row>
    <x:row r="39" ht="27" customHeight="1">
      <x:c r="A39" s="66" t="str">
        <x:v>SXT730</x:v>
      </x:c>
      <x:c r="B39" s="66" t="str">
        <x:v>世宽若水尘心3号</x:v>
      </x:c>
      <x:c r="C39" s="72" t="n">
        <x:v>45107</x:v>
      </x:c>
      <x:c r="D39" s="73" t="n">
        <x:v>0.9928</x:v>
      </x:c>
      <x:c r="E39" s="73" t="n">
        <x:v>0.9928</x:v>
      </x:c>
      <x:c r="F39" s="73" t="n">
        <x:v>0.9928</x:v>
      </x:c>
      <x:c r="G39" s="74" t="n">
        <x:v>0.0003</x:v>
      </x:c>
      <x:c r="H39" s="66" t="str">
        <x:v>世宽若水尘心3号净值20260911.xlsx</x:v>
      </x:c>
      <x:c r="I39" s="73" t="str">
        <x:f>""</x:f>
      </x:c>
      <x:c r="J39" s="74" t="str">
        <x:f>""</x:f>
      </x:c>
      <x:c r="K39" s="73" t="str">
        <x:f>""</x:f>
      </x:c>
      <x:c r="L39" s="74" t="str">
        <x:f>""</x:f>
      </x:c>
      <x:c r="M39" s="73" t="n">
        <x:f>MAX(M38,F39)</x:f>
        <x:v>1.0039</x:v>
      </x:c>
      <x:c r="N39" s="74" t="n">
        <x:f>1-F39/M39</x:f>
        <x:v>0.011056878175117024</x:v>
      </x:c>
    </x:row>
    <x:row r="40" ht="27" customHeight="1">
      <x:c r="A40" s="66" t="str">
        <x:v>SXT730</x:v>
      </x:c>
      <x:c r="B40" s="66" t="str">
        <x:v>世宽若水尘心3号</x:v>
      </x:c>
      <x:c r="C40" s="72" t="n">
        <x:v>45114</x:v>
      </x:c>
      <x:c r="D40" s="73" t="n">
        <x:v>0.9935</x:v>
      </x:c>
      <x:c r="E40" s="73" t="n">
        <x:v>0.9935</x:v>
      </x:c>
      <x:c r="F40" s="73" t="n">
        <x:v>0.9935</x:v>
      </x:c>
      <x:c r="G40" s="74" t="n">
        <x:v>0.0007000000000000001</x:v>
      </x:c>
      <x:c r="H40" s="66" t="str">
        <x:v>世宽若水尘心3号净值20260911.xlsx</x:v>
      </x:c>
      <x:c r="I40" s="73" t="str">
        <x:f>""</x:f>
      </x:c>
      <x:c r="J40" s="74" t="str">
        <x:f>""</x:f>
      </x:c>
      <x:c r="K40" s="73" t="str">
        <x:f>""</x:f>
      </x:c>
      <x:c r="L40" s="74" t="str">
        <x:f>""</x:f>
      </x:c>
      <x:c r="M40" s="73" t="n">
        <x:f>MAX(M39,F40)</x:f>
        <x:v>1.0039</x:v>
      </x:c>
      <x:c r="N40" s="74" t="n">
        <x:f>1-F40/M40</x:f>
        <x:v>0.010359597569479018</x:v>
      </x:c>
    </x:row>
    <x:row r="41" ht="27" customHeight="1">
      <x:c r="A41" s="66" t="str">
        <x:v>SXT730</x:v>
      </x:c>
      <x:c r="B41" s="66" t="str">
        <x:v>世宽若水尘心3号</x:v>
      </x:c>
      <x:c r="C41" s="72" t="n">
        <x:v>45121</x:v>
      </x:c>
      <x:c r="D41" s="73" t="n">
        <x:v>0.9943</x:v>
      </x:c>
      <x:c r="E41" s="73" t="n">
        <x:v>0.9943</x:v>
      </x:c>
      <x:c r="F41" s="73" t="n">
        <x:v>0.9943</x:v>
      </x:c>
      <x:c r="G41" s="74" t="n">
        <x:v>0.0008</x:v>
      </x:c>
      <x:c r="H41" s="66" t="str">
        <x:v>世宽若水尘心3号净值20260911.xlsx</x:v>
      </x:c>
      <x:c r="I41" s="73" t="str">
        <x:f>""</x:f>
      </x:c>
      <x:c r="J41" s="74" t="str">
        <x:f>""</x:f>
      </x:c>
      <x:c r="K41" s="73" t="str">
        <x:f>""</x:f>
      </x:c>
      <x:c r="L41" s="74" t="str">
        <x:f>""</x:f>
      </x:c>
      <x:c r="M41" s="73" t="n">
        <x:f>MAX(M40,F41)</x:f>
        <x:v>1.0039</x:v>
      </x:c>
      <x:c r="N41" s="74" t="n">
        <x:f>1-F41/M41</x:f>
        <x:v>0.00956270544874993</x:v>
      </x:c>
    </x:row>
    <x:row r="42" ht="27" customHeight="1">
      <x:c r="A42" s="66" t="str">
        <x:v>SXT730</x:v>
      </x:c>
      <x:c r="B42" s="66" t="str">
        <x:v>世宽若水尘心3号</x:v>
      </x:c>
      <x:c r="C42" s="72" t="n">
        <x:v>45128</x:v>
      </x:c>
      <x:c r="D42" s="73" t="n">
        <x:v>0.9929</x:v>
      </x:c>
      <x:c r="E42" s="73" t="n">
        <x:v>0.9929</x:v>
      </x:c>
      <x:c r="F42" s="73" t="n">
        <x:v>0.9929</x:v>
      </x:c>
      <x:c r="G42" s="74" t="n">
        <x:v>-0.0014000000000000002</x:v>
      </x:c>
      <x:c r="H42" s="66" t="str">
        <x:v>世宽若水尘心3号净值20260911.xlsx</x:v>
      </x:c>
      <x:c r="I42" s="73" t="str">
        <x:f>""</x:f>
      </x:c>
      <x:c r="J42" s="74" t="str">
        <x:f>""</x:f>
      </x:c>
      <x:c r="K42" s="73" t="str">
        <x:f>""</x:f>
      </x:c>
      <x:c r="L42" s="74" t="str">
        <x:f>""</x:f>
      </x:c>
      <x:c r="M42" s="73" t="n">
        <x:f>MAX(M41,F42)</x:f>
        <x:v>1.0039</x:v>
      </x:c>
      <x:c r="N42" s="74" t="n">
        <x:f>1-F42/M42</x:f>
        <x:v>0.010957266660025944</x:v>
      </x:c>
    </x:row>
    <x:row r="43" ht="27" customHeight="1">
      <x:c r="A43" s="66" t="str">
        <x:v>SXT730</x:v>
      </x:c>
      <x:c r="B43" s="66" t="str">
        <x:v>世宽若水尘心3号</x:v>
      </x:c>
      <x:c r="C43" s="72" t="n">
        <x:v>45135</x:v>
      </x:c>
      <x:c r="D43" s="73" t="n">
        <x:v>0.9937</x:v>
      </x:c>
      <x:c r="E43" s="73" t="n">
        <x:v>0.9937</x:v>
      </x:c>
      <x:c r="F43" s="73" t="n">
        <x:v>0.9937</x:v>
      </x:c>
      <x:c r="G43" s="74" t="n">
        <x:v>0.0008</x:v>
      </x:c>
      <x:c r="H43" s="66" t="str">
        <x:v>世宽若水尘心3号净值20260911.xlsx</x:v>
      </x:c>
      <x:c r="I43" s="73" t="str">
        <x:f>""</x:f>
      </x:c>
      <x:c r="J43" s="74" t="str">
        <x:f>""</x:f>
      </x:c>
      <x:c r="K43" s="73" t="str">
        <x:f>""</x:f>
      </x:c>
      <x:c r="L43" s="74" t="str">
        <x:f>""</x:f>
      </x:c>
      <x:c r="M43" s="73" t="n">
        <x:f>MAX(M42,F43)</x:f>
        <x:v>1.0039</x:v>
      </x:c>
      <x:c r="N43" s="74" t="n">
        <x:f>1-F43/M43</x:f>
        <x:v>0.010160374539296746</x:v>
      </x:c>
    </x:row>
    <x:row r="44" ht="27" customHeight="1">
      <x:c r="A44" s="66" t="str">
        <x:v>SXT730</x:v>
      </x:c>
      <x:c r="B44" s="66" t="str">
        <x:v>世宽若水尘心3号</x:v>
      </x:c>
      <x:c r="C44" s="72" t="n">
        <x:v>45138</x:v>
      </x:c>
      <x:c r="D44" s="73" t="n">
        <x:v>0.9938</x:v>
      </x:c>
      <x:c r="E44" s="73" t="n">
        <x:v>0.9938</x:v>
      </x:c>
      <x:c r="F44" s="73" t="n">
        <x:v>0.9938</x:v>
      </x:c>
      <x:c r="G44" s="74" t="n">
        <x:v>0.0001</x:v>
      </x:c>
      <x:c r="H44" s="66" t="str">
        <x:v>世宽若水尘心3号净值20260911.xlsx</x:v>
      </x:c>
      <x:c r="I44" s="73" t="str">
        <x:f>""</x:f>
      </x:c>
      <x:c r="J44" s="74" t="str">
        <x:f>""</x:f>
      </x:c>
      <x:c r="K44" s="73" t="str">
        <x:f>""</x:f>
      </x:c>
      <x:c r="L44" s="74" t="str">
        <x:f>""</x:f>
      </x:c>
      <x:c r="M44" s="73" t="n">
        <x:f>MAX(M43,F44)</x:f>
        <x:v>1.0039</x:v>
      </x:c>
      <x:c r="N44" s="74" t="n">
        <x:f>1-F44/M44</x:f>
        <x:v>0.010060763024205555</x:v>
      </x:c>
    </x:row>
    <x:row r="45" ht="27" customHeight="1">
      <x:c r="A45" s="66" t="str">
        <x:v>SXT730</x:v>
      </x:c>
      <x:c r="B45" s="66" t="str">
        <x:v>世宽若水尘心3号</x:v>
      </x:c>
      <x:c r="C45" s="72" t="n">
        <x:v>45142</x:v>
      </x:c>
      <x:c r="D45" s="73" t="n">
        <x:v>0.9932</x:v>
      </x:c>
      <x:c r="E45" s="73" t="n">
        <x:v>0.9932</x:v>
      </x:c>
      <x:c r="F45" s="73" t="n">
        <x:v>0.9932</x:v>
      </x:c>
      <x:c r="G45" s="74" t="n">
        <x:v>-0.0006</x:v>
      </x:c>
      <x:c r="H45" s="66" t="str">
        <x:v>世宽若水尘心3号净值20260911.xlsx</x:v>
      </x:c>
      <x:c r="I45" s="73" t="str">
        <x:f>""</x:f>
      </x:c>
      <x:c r="J45" s="74" t="str">
        <x:f>""</x:f>
      </x:c>
      <x:c r="K45" s="73" t="str">
        <x:f>""</x:f>
      </x:c>
      <x:c r="L45" s="74" t="str">
        <x:f>""</x:f>
      </x:c>
      <x:c r="M45" s="73" t="n">
        <x:f>MAX(M44,F45)</x:f>
        <x:v>1.0039</x:v>
      </x:c>
      <x:c r="N45" s="74" t="n">
        <x:f>1-F45/M45</x:f>
        <x:v>0.01065843211475248</x:v>
      </x:c>
    </x:row>
    <x:row r="46" ht="27" customHeight="1">
      <x:c r="A46" s="66" t="str">
        <x:v>SXT730</x:v>
      </x:c>
      <x:c r="B46" s="66" t="str">
        <x:v>世宽若水尘心3号</x:v>
      </x:c>
      <x:c r="C46" s="72" t="n">
        <x:v>45149</x:v>
      </x:c>
      <x:c r="D46" s="73" t="n">
        <x:v>0.9932</x:v>
      </x:c>
      <x:c r="E46" s="73" t="n">
        <x:v>0.9932</x:v>
      </x:c>
      <x:c r="F46" s="73" t="n">
        <x:v>0.9932</x:v>
      </x:c>
      <x:c r="G46" s="74" t="n">
        <x:v>0</x:v>
      </x:c>
      <x:c r="H46" s="66" t="str">
        <x:v>世宽若水尘心3号净值20260911.xlsx</x:v>
      </x:c>
      <x:c r="I46" s="73" t="str">
        <x:f>""</x:f>
      </x:c>
      <x:c r="J46" s="74" t="str">
        <x:f>""</x:f>
      </x:c>
      <x:c r="K46" s="73" t="str">
        <x:f>""</x:f>
      </x:c>
      <x:c r="L46" s="74" t="str">
        <x:f>""</x:f>
      </x:c>
      <x:c r="M46" s="73" t="n">
        <x:f>MAX(M45,F46)</x:f>
        <x:v>1.0039</x:v>
      </x:c>
      <x:c r="N46" s="74" t="n">
        <x:f>1-F46/M46</x:f>
        <x:v>0.01065843211475248</x:v>
      </x:c>
    </x:row>
    <x:row r="47" ht="27" customHeight="1">
      <x:c r="A47" s="66" t="str">
        <x:v>SXT730</x:v>
      </x:c>
      <x:c r="B47" s="66" t="str">
        <x:v>世宽若水尘心3号</x:v>
      </x:c>
      <x:c r="C47" s="72" t="n">
        <x:v>45156</x:v>
      </x:c>
      <x:c r="D47" s="73" t="n">
        <x:v>0.9902</x:v>
      </x:c>
      <x:c r="E47" s="73" t="n">
        <x:v>0.9902</x:v>
      </x:c>
      <x:c r="F47" s="73" t="n">
        <x:v>0.9902</x:v>
      </x:c>
      <x:c r="G47" s="74" t="n">
        <x:v>-0.003</x:v>
      </x:c>
      <x:c r="H47" s="66" t="str">
        <x:v>世宽若水尘心3号净值20260911.xlsx</x:v>
      </x:c>
      <x:c r="I47" s="73" t="str">
        <x:f>""</x:f>
      </x:c>
      <x:c r="J47" s="74" t="str">
        <x:f>""</x:f>
      </x:c>
      <x:c r="K47" s="73" t="str">
        <x:f>""</x:f>
      </x:c>
      <x:c r="L47" s="74" t="str">
        <x:f>""</x:f>
      </x:c>
      <x:c r="M47" s="73" t="n">
        <x:f>MAX(M46,F47)</x:f>
        <x:v>1.0039</x:v>
      </x:c>
      <x:c r="N47" s="74" t="n">
        <x:f>1-F47/M47</x:f>
        <x:v>0.01364677756748689</x:v>
      </x:c>
    </x:row>
    <x:row r="48" ht="27" customHeight="1">
      <x:c r="A48" s="66" t="str">
        <x:v>SXT730</x:v>
      </x:c>
      <x:c r="B48" s="66" t="str">
        <x:v>世宽若水尘心3号</x:v>
      </x:c>
      <x:c r="C48" s="72" t="n">
        <x:v>45163</x:v>
      </x:c>
      <x:c r="D48" s="73" t="n">
        <x:v>1.002</x:v>
      </x:c>
      <x:c r="E48" s="73" t="n">
        <x:v>1.002</x:v>
      </x:c>
      <x:c r="F48" s="73" t="n">
        <x:v>1.002</x:v>
      </x:c>
      <x:c r="G48" s="74" t="n">
        <x:v>0.011899999999999999</x:v>
      </x:c>
      <x:c r="H48" s="66" t="str">
        <x:v>世宽若水尘心3号净值20260911.xlsx</x:v>
      </x:c>
      <x:c r="I48" s="73" t="str">
        <x:f>""</x:f>
      </x:c>
      <x:c r="J48" s="74" t="str">
        <x:f>""</x:f>
      </x:c>
      <x:c r="K48" s="73" t="str">
        <x:f>""</x:f>
      </x:c>
      <x:c r="L48" s="74" t="str">
        <x:f>""</x:f>
      </x:c>
      <x:c r="M48" s="73" t="n">
        <x:f>MAX(M47,F48)</x:f>
        <x:v>1.0039</x:v>
      </x:c>
      <x:c r="N48" s="74" t="n">
        <x:f>1-F48/M48</x:f>
        <x:v>0.0018926187867317479</x:v>
      </x:c>
    </x:row>
    <x:row r="49" ht="27" customHeight="1">
      <x:c r="A49" s="66" t="str">
        <x:v>SXT730</x:v>
      </x:c>
      <x:c r="B49" s="66" t="str">
        <x:v>世宽若水尘心3号</x:v>
      </x:c>
      <x:c r="C49" s="72" t="n">
        <x:v>45169</x:v>
      </x:c>
      <x:c r="D49" s="73" t="n">
        <x:v>1</x:v>
      </x:c>
      <x:c r="E49" s="73" t="n">
        <x:v>1</x:v>
      </x:c>
      <x:c r="F49" s="73" t="n">
        <x:v>1</x:v>
      </x:c>
      <x:c r="G49" s="74" t="n">
        <x:v>-0.002</x:v>
      </x:c>
      <x:c r="H49" s="66" t="str">
        <x:v>世宽若水尘心3号净值20260911.xlsx</x:v>
      </x:c>
      <x:c r="I49" s="73" t="str">
        <x:f>""</x:f>
      </x:c>
      <x:c r="J49" s="74" t="str">
        <x:f>""</x:f>
      </x:c>
      <x:c r="K49" s="73" t="n">
        <x:f>F49</x:f>
        <x:v>1</x:v>
      </x:c>
      <x:c r="L49" s="74" t="n">
        <x:f>1-F49/K49</x:f>
        <x:v>0</x:v>
      </x:c>
      <x:c r="M49" s="73" t="n">
        <x:f>MAX(M48,F49)</x:f>
        <x:v>1.0039</x:v>
      </x:c>
      <x:c r="N49" s="74" t="n">
        <x:f>1-F49/M49</x:f>
        <x:v>0.003884849088554687</x:v>
      </x:c>
    </x:row>
    <x:row r="50" ht="27" customHeight="1">
      <x:c r="A50" s="66" t="str">
        <x:v>SXT730</x:v>
      </x:c>
      <x:c r="B50" s="66" t="str">
        <x:v>世宽若水尘心3号</x:v>
      </x:c>
      <x:c r="C50" s="72" t="n">
        <x:v>45170</x:v>
      </x:c>
      <x:c r="D50" s="73" t="n">
        <x:v>1.0003</x:v>
      </x:c>
      <x:c r="E50" s="73" t="n">
        <x:v>1.0003</x:v>
      </x:c>
      <x:c r="F50" s="73" t="n">
        <x:v>1.0003</x:v>
      </x:c>
      <x:c r="G50" s="74" t="n">
        <x:v>0.0003</x:v>
      </x:c>
      <x:c r="H50" s="66" t="str">
        <x:v>世宽若水尘心3号净值20260911.xlsx</x:v>
      </x:c>
      <x:c r="I50" s="73" t="str">
        <x:f>""</x:f>
      </x:c>
      <x:c r="J50" s="74" t="str">
        <x:f>""</x:f>
      </x:c>
      <x:c r="K50" s="73" t="n">
        <x:f>MAX(K49,F50)</x:f>
        <x:v>1.0003</x:v>
      </x:c>
      <x:c r="L50" s="74" t="n">
        <x:f>1-F50/K50</x:f>
        <x:v>0</x:v>
      </x:c>
      <x:c r="M50" s="73" t="n">
        <x:f>MAX(M49,F50)</x:f>
        <x:v>1.0039</x:v>
      </x:c>
      <x:c r="N50" s="74" t="n">
        <x:f>1-F50/M50</x:f>
        <x:v>0.003586014543281224</x:v>
      </x:c>
    </x:row>
    <x:row r="51" ht="27" customHeight="1">
      <x:c r="A51" s="66" t="str">
        <x:v>SXT730</x:v>
      </x:c>
      <x:c r="B51" s="66" t="str">
        <x:v>世宽若水尘心3号</x:v>
      </x:c>
      <x:c r="C51" s="72" t="n">
        <x:v>45177</x:v>
      </x:c>
      <x:c r="D51" s="73" t="n">
        <x:v>0.9998</x:v>
      </x:c>
      <x:c r="E51" s="73" t="n">
        <x:v>0.9998</x:v>
      </x:c>
      <x:c r="F51" s="73" t="n">
        <x:v>0.9998</x:v>
      </x:c>
      <x:c r="G51" s="74" t="n">
        <x:v>-0.0005</x:v>
      </x:c>
      <x:c r="H51" s="66" t="str">
        <x:v>世宽若水尘心3号净值20260911.xlsx</x:v>
      </x:c>
      <x:c r="I51" s="73" t="str">
        <x:f>""</x:f>
      </x:c>
      <x:c r="J51" s="74" t="str">
        <x:f>""</x:f>
      </x:c>
      <x:c r="K51" s="73" t="n">
        <x:f>MAX(K50,F51)</x:f>
        <x:v>1.0003</x:v>
      </x:c>
      <x:c r="L51" s="74" t="n">
        <x:f>1-F51/K51</x:f>
        <x:v>0.0004998500449864274</x:v>
      </x:c>
      <x:c r="M51" s="73" t="n">
        <x:f>MAX(M50,F51)</x:f>
        <x:v>1.0039</x:v>
      </x:c>
      <x:c r="N51" s="74" t="n">
        <x:f>1-F51/M51</x:f>
        <x:v>0.004084072118736959</x:v>
      </x:c>
    </x:row>
    <x:row r="52" ht="27" customHeight="1">
      <x:c r="A52" s="66" t="str">
        <x:v>SXT730</x:v>
      </x:c>
      <x:c r="B52" s="66" t="str">
        <x:v>世宽若水尘心3号</x:v>
      </x:c>
      <x:c r="C52" s="72" t="n">
        <x:v>45184</x:v>
      </x:c>
      <x:c r="D52" s="73" t="n">
        <x:v>1.0015</x:v>
      </x:c>
      <x:c r="E52" s="73" t="n">
        <x:v>1.0015</x:v>
      </x:c>
      <x:c r="F52" s="73" t="n">
        <x:v>1.0015</x:v>
      </x:c>
      <x:c r="G52" s="74" t="n">
        <x:v>0.0017000000000000001</x:v>
      </x:c>
      <x:c r="H52" s="66" t="str">
        <x:v>世宽若水尘心3号净值20260911.xlsx</x:v>
      </x:c>
      <x:c r="I52" s="73" t="str">
        <x:f>""</x:f>
      </x:c>
      <x:c r="J52" s="74" t="str">
        <x:f>""</x:f>
      </x:c>
      <x:c r="K52" s="73" t="n">
        <x:f>MAX(K51,F52)</x:f>
        <x:v>1.0015</x:v>
      </x:c>
      <x:c r="L52" s="74" t="n">
        <x:f>1-F52/K52</x:f>
        <x:v>0</x:v>
      </x:c>
      <x:c r="M52" s="73" t="n">
        <x:f>MAX(M51,F52)</x:f>
        <x:v>1.0039</x:v>
      </x:c>
      <x:c r="N52" s="74" t="n">
        <x:f>1-F52/M52</x:f>
        <x:v>0.0023906763621873717</x:v>
      </x:c>
    </x:row>
    <x:row r="53" ht="27" customHeight="1">
      <x:c r="A53" s="66" t="str">
        <x:v>SXT730</x:v>
      </x:c>
      <x:c r="B53" s="66" t="str">
        <x:v>世宽若水尘心3号</x:v>
      </x:c>
      <x:c r="C53" s="72" t="n">
        <x:v>45191</x:v>
      </x:c>
      <x:c r="D53" s="73" t="n">
        <x:v>1.0046</x:v>
      </x:c>
      <x:c r="E53" s="73" t="n">
        <x:v>1.0046</x:v>
      </x:c>
      <x:c r="F53" s="73" t="n">
        <x:v>1.0046</x:v>
      </x:c>
      <x:c r="G53" s="74" t="n">
        <x:v>0.0031</x:v>
      </x:c>
      <x:c r="H53" s="66" t="str">
        <x:v>世宽若水尘心3号净值20260911.xlsx</x:v>
      </x:c>
      <x:c r="I53" s="73" t="str">
        <x:f>""</x:f>
      </x:c>
      <x:c r="J53" s="74" t="str">
        <x:f>""</x:f>
      </x:c>
      <x:c r="K53" s="73" t="n">
        <x:f>MAX(K52,F53)</x:f>
        <x:v>1.0046</x:v>
      </x:c>
      <x:c r="L53" s="74" t="n">
        <x:f>1-F53/K53</x:f>
        <x:v>0</x:v>
      </x:c>
      <x:c r="M53" s="73" t="n">
        <x:f>MAX(M52,F53)</x:f>
        <x:v>1.0046</x:v>
      </x:c>
      <x:c r="N53" s="74" t="n">
        <x:f>1-F53/M53</x:f>
        <x:v>0</x:v>
      </x:c>
    </x:row>
    <x:row r="54" ht="27" customHeight="1">
      <x:c r="A54" s="66" t="str">
        <x:v>SXT730</x:v>
      </x:c>
      <x:c r="B54" s="66" t="str">
        <x:v>世宽若水尘心3号</x:v>
      </x:c>
      <x:c r="C54" s="72" t="n">
        <x:v>45197</x:v>
      </x:c>
      <x:c r="D54" s="73" t="n">
        <x:v>1.0055</x:v>
      </x:c>
      <x:c r="E54" s="73" t="n">
        <x:v>1.0055</x:v>
      </x:c>
      <x:c r="F54" s="73" t="n">
        <x:v>1.0055</x:v>
      </x:c>
      <x:c r="G54" s="74" t="n">
        <x:v>0.0009</x:v>
      </x:c>
      <x:c r="H54" s="66" t="str">
        <x:v>世宽若水尘心3号净值20260911.xlsx</x:v>
      </x:c>
      <x:c r="I54" s="73" t="str">
        <x:f>""</x:f>
      </x:c>
      <x:c r="J54" s="74" t="str">
        <x:f>""</x:f>
      </x:c>
      <x:c r="K54" s="73" t="n">
        <x:f>MAX(K53,F54)</x:f>
        <x:v>1.0055</x:v>
      </x:c>
      <x:c r="L54" s="74" t="n">
        <x:f>1-F54/K54</x:f>
        <x:v>0</x:v>
      </x:c>
      <x:c r="M54" s="73" t="n">
        <x:f>MAX(M53,F54)</x:f>
        <x:v>1.0055</x:v>
      </x:c>
      <x:c r="N54" s="74" t="n">
        <x:f>1-F54/M54</x:f>
        <x:v>0</x:v>
      </x:c>
    </x:row>
    <x:row r="55" ht="27" customHeight="1">
      <x:c r="A55" s="66" t="str">
        <x:v>SXT730</x:v>
      </x:c>
      <x:c r="B55" s="66" t="str">
        <x:v>世宽若水尘心3号</x:v>
      </x:c>
      <x:c r="C55" s="72" t="n">
        <x:v>45212</x:v>
      </x:c>
      <x:c r="D55" s="73" t="n">
        <x:v>1.0054</x:v>
      </x:c>
      <x:c r="E55" s="73" t="n">
        <x:v>1.0054</x:v>
      </x:c>
      <x:c r="F55" s="73" t="n">
        <x:v>1.0054</x:v>
      </x:c>
      <x:c r="G55" s="74" t="n">
        <x:v>-0.0001</x:v>
      </x:c>
      <x:c r="H55" s="66" t="str">
        <x:v>世宽若水尘心3号净值20260911.xlsx</x:v>
      </x:c>
      <x:c r="I55" s="73" t="str">
        <x:f>""</x:f>
      </x:c>
      <x:c r="J55" s="74" t="str">
        <x:f>""</x:f>
      </x:c>
      <x:c r="K55" s="73" t="n">
        <x:f>MAX(K54,F55)</x:f>
        <x:v>1.0055</x:v>
      </x:c>
      <x:c r="L55" s="74" t="n">
        <x:f>1-F55/K55</x:f>
        <x:v>0.00009945300845348726</x:v>
      </x:c>
      <x:c r="M55" s="73" t="n">
        <x:f>MAX(M54,F55)</x:f>
        <x:v>1.0055</x:v>
      </x:c>
      <x:c r="N55" s="74" t="n">
        <x:f>1-F55/M55</x:f>
        <x:v>0.00009945300845348726</x:v>
      </x:c>
    </x:row>
    <x:row r="56" ht="27" customHeight="1">
      <x:c r="A56" s="66" t="str">
        <x:v>SXT730</x:v>
      </x:c>
      <x:c r="B56" s="66" t="str">
        <x:v>世宽若水尘心3号</x:v>
      </x:c>
      <x:c r="C56" s="72" t="n">
        <x:v>45219</x:v>
      </x:c>
      <x:c r="D56" s="73" t="n">
        <x:v>1.0018</x:v>
      </x:c>
      <x:c r="E56" s="73" t="n">
        <x:v>1.0018</x:v>
      </x:c>
      <x:c r="F56" s="73" t="n">
        <x:v>1.0018</x:v>
      </x:c>
      <x:c r="G56" s="74" t="n">
        <x:v>-0.0036</x:v>
      </x:c>
      <x:c r="H56" s="66" t="str">
        <x:v>世宽若水尘心3号净值20260911.xlsx</x:v>
      </x:c>
      <x:c r="I56" s="73" t="str">
        <x:f>""</x:f>
      </x:c>
      <x:c r="J56" s="74" t="str">
        <x:f>""</x:f>
      </x:c>
      <x:c r="K56" s="73" t="n">
        <x:f>MAX(K55,F56)</x:f>
        <x:v>1.0055</x:v>
      </x:c>
      <x:c r="L56" s="74" t="n">
        <x:f>1-F56/K56</x:f>
        <x:v>0.0036797613127796946</x:v>
      </x:c>
      <x:c r="M56" s="73" t="n">
        <x:f>MAX(M55,F56)</x:f>
        <x:v>1.0055</x:v>
      </x:c>
      <x:c r="N56" s="74" t="n">
        <x:f>1-F56/M56</x:f>
        <x:v>0.0036797613127796946</x:v>
      </x:c>
    </x:row>
    <x:row r="57" ht="27" customHeight="1">
      <x:c r="A57" s="66" t="str">
        <x:v>SXT730</x:v>
      </x:c>
      <x:c r="B57" s="66" t="str">
        <x:v>世宽若水尘心3号</x:v>
      </x:c>
      <x:c r="C57" s="72" t="n">
        <x:v>45226</x:v>
      </x:c>
      <x:c r="D57" s="73" t="n">
        <x:v>1.0042</x:v>
      </x:c>
      <x:c r="E57" s="73" t="n">
        <x:v>1.0042</x:v>
      </x:c>
      <x:c r="F57" s="73" t="n">
        <x:v>1.0042</x:v>
      </x:c>
      <x:c r="G57" s="74" t="n">
        <x:v>0.0024</x:v>
      </x:c>
      <x:c r="H57" s="66" t="str">
        <x:v>世宽若水尘心3号净值20260911.xlsx</x:v>
      </x:c>
      <x:c r="I57" s="73" t="str">
        <x:f>""</x:f>
      </x:c>
      <x:c r="J57" s="74" t="str">
        <x:f>""</x:f>
      </x:c>
      <x:c r="K57" s="73" t="n">
        <x:f>MAX(K56,F57)</x:f>
        <x:v>1.0055</x:v>
      </x:c>
      <x:c r="L57" s="74" t="n">
        <x:f>1-F57/K57</x:f>
        <x:v>0.0012928891098956674</x:v>
      </x:c>
      <x:c r="M57" s="73" t="n">
        <x:f>MAX(M56,F57)</x:f>
        <x:v>1.0055</x:v>
      </x:c>
      <x:c r="N57" s="74" t="n">
        <x:f>1-F57/M57</x:f>
        <x:v>0.0012928891098956674</x:v>
      </x:c>
    </x:row>
    <x:row r="58" ht="27" customHeight="1">
      <x:c r="A58" s="66" t="str">
        <x:v>SXT730</x:v>
      </x:c>
      <x:c r="B58" s="66" t="str">
        <x:v>世宽若水尘心3号</x:v>
      </x:c>
      <x:c r="C58" s="72" t="n">
        <x:v>45230</x:v>
      </x:c>
      <x:c r="D58" s="73" t="n">
        <x:v>1.003</x:v>
      </x:c>
      <x:c r="E58" s="73" t="n">
        <x:v>1.003</x:v>
      </x:c>
      <x:c r="F58" s="73" t="n">
        <x:v>1.003</x:v>
      </x:c>
      <x:c r="G58" s="74" t="n">
        <x:v>-0.0012</x:v>
      </x:c>
      <x:c r="H58" s="66" t="str">
        <x:v>世宽若水尘心3号净值20260911.xlsx</x:v>
      </x:c>
      <x:c r="I58" s="73" t="str">
        <x:f>""</x:f>
      </x:c>
      <x:c r="J58" s="74" t="str">
        <x:f>""</x:f>
      </x:c>
      <x:c r="K58" s="73" t="n">
        <x:f>MAX(K57,F58)</x:f>
        <x:v>1.0055</x:v>
      </x:c>
      <x:c r="L58" s="74" t="n">
        <x:f>1-F58/K58</x:f>
        <x:v>0.0024863252113378476</x:v>
      </x:c>
      <x:c r="M58" s="73" t="n">
        <x:f>MAX(M57,F58)</x:f>
        <x:v>1.0055</x:v>
      </x:c>
      <x:c r="N58" s="74" t="n">
        <x:f>1-F58/M58</x:f>
        <x:v>0.0024863252113378476</x:v>
      </x:c>
    </x:row>
    <x:row r="59" ht="27" customHeight="1">
      <x:c r="A59" s="66" t="str">
        <x:v>SXT730</x:v>
      </x:c>
      <x:c r="B59" s="66" t="str">
        <x:v>世宽若水尘心3号</x:v>
      </x:c>
      <x:c r="C59" s="72" t="n">
        <x:v>45233</x:v>
      </x:c>
      <x:c r="D59" s="73" t="n">
        <x:v>1.0056</x:v>
      </x:c>
      <x:c r="E59" s="73" t="n">
        <x:v>1.0056</x:v>
      </x:c>
      <x:c r="F59" s="73" t="n">
        <x:v>1.0056</x:v>
      </x:c>
      <x:c r="G59" s="74" t="n">
        <x:v>0.0026</x:v>
      </x:c>
      <x:c r="H59" s="66" t="str">
        <x:v>世宽若水尘心3号净值20260911.xlsx</x:v>
      </x:c>
      <x:c r="I59" s="73" t="str">
        <x:f>""</x:f>
      </x:c>
      <x:c r="J59" s="74" t="str">
        <x:f>""</x:f>
      </x:c>
      <x:c r="K59" s="73" t="n">
        <x:f>MAX(K58,F59)</x:f>
        <x:v>1.0056</x:v>
      </x:c>
      <x:c r="L59" s="74" t="n">
        <x:f>1-F59/K59</x:f>
        <x:v>0</x:v>
      </x:c>
      <x:c r="M59" s="73" t="n">
        <x:f>MAX(M58,F59)</x:f>
        <x:v>1.0056</x:v>
      </x:c>
      <x:c r="N59" s="74" t="n">
        <x:f>1-F59/M59</x:f>
        <x:v>0</x:v>
      </x:c>
    </x:row>
    <x:row r="60" ht="27" customHeight="1">
      <x:c r="A60" s="66" t="str">
        <x:v>SXT730</x:v>
      </x:c>
      <x:c r="B60" s="66" t="str">
        <x:v>世宽若水尘心3号</x:v>
      </x:c>
      <x:c r="C60" s="72" t="n">
        <x:v>45240</x:v>
      </x:c>
      <x:c r="D60" s="73" t="n">
        <x:v>1.0077</x:v>
      </x:c>
      <x:c r="E60" s="73" t="n">
        <x:v>1.0077</x:v>
      </x:c>
      <x:c r="F60" s="73" t="n">
        <x:v>1.0077</x:v>
      </x:c>
      <x:c r="G60" s="74" t="n">
        <x:v>0.0021</x:v>
      </x:c>
      <x:c r="H60" s="66" t="str">
        <x:v>世宽若水尘心3号净值20260911.xlsx</x:v>
      </x:c>
      <x:c r="I60" s="73" t="str">
        <x:f>""</x:f>
      </x:c>
      <x:c r="J60" s="74" t="str">
        <x:f>""</x:f>
      </x:c>
      <x:c r="K60" s="73" t="n">
        <x:f>MAX(K59,F60)</x:f>
        <x:v>1.0077</x:v>
      </x:c>
      <x:c r="L60" s="74" t="n">
        <x:f>1-F60/K60</x:f>
        <x:v>0</x:v>
      </x:c>
      <x:c r="M60" s="73" t="n">
        <x:f>MAX(M59,F60)</x:f>
        <x:v>1.0077</x:v>
      </x:c>
      <x:c r="N60" s="74" t="n">
        <x:f>1-F60/M60</x:f>
        <x:v>0</x:v>
      </x:c>
    </x:row>
    <x:row r="61" ht="27" customHeight="1">
      <x:c r="A61" s="66" t="str">
        <x:v>SXT730</x:v>
      </x:c>
      <x:c r="B61" s="66" t="str">
        <x:v>世宽若水尘心3号</x:v>
      </x:c>
      <x:c r="C61" s="72" t="n">
        <x:v>45247</x:v>
      </x:c>
      <x:c r="D61" s="73" t="n">
        <x:v>1.0069</x:v>
      </x:c>
      <x:c r="E61" s="73" t="n">
        <x:v>1.0069</x:v>
      </x:c>
      <x:c r="F61" s="73" t="n">
        <x:v>1.0069</x:v>
      </x:c>
      <x:c r="G61" s="74" t="n">
        <x:v>-0.0008</x:v>
      </x:c>
      <x:c r="H61" s="66" t="str">
        <x:v>世宽若水尘心3号净值20260911.xlsx</x:v>
      </x:c>
      <x:c r="I61" s="73" t="str">
        <x:f>""</x:f>
      </x:c>
      <x:c r="J61" s="74" t="str">
        <x:f>""</x:f>
      </x:c>
      <x:c r="K61" s="73" t="n">
        <x:f>MAX(K60,F61)</x:f>
        <x:v>1.0077</x:v>
      </x:c>
      <x:c r="L61" s="74" t="n">
        <x:f>1-F61/K61</x:f>
        <x:v>0.0007938870695645139</x:v>
      </x:c>
      <x:c r="M61" s="73" t="n">
        <x:f>MAX(M60,F61)</x:f>
        <x:v>1.0077</x:v>
      </x:c>
      <x:c r="N61" s="74" t="n">
        <x:f>1-F61/M61</x:f>
        <x:v>0.0007938870695645139</x:v>
      </x:c>
    </x:row>
    <x:row r="62" ht="27" customHeight="1">
      <x:c r="A62" s="66" t="str">
        <x:v>SXT730</x:v>
      </x:c>
      <x:c r="B62" s="66" t="str">
        <x:v>世宽若水尘心3号</x:v>
      </x:c>
      <x:c r="C62" s="72" t="n">
        <x:v>45254</x:v>
      </x:c>
      <x:c r="D62" s="73" t="n">
        <x:v>1.0099</x:v>
      </x:c>
      <x:c r="E62" s="73" t="n">
        <x:v>1.0099</x:v>
      </x:c>
      <x:c r="F62" s="73" t="n">
        <x:v>1.0099</x:v>
      </x:c>
      <x:c r="G62" s="74" t="n">
        <x:v>0.003</x:v>
      </x:c>
      <x:c r="H62" s="66" t="str">
        <x:v>世宽若水尘心3号净值20260911.xlsx</x:v>
      </x:c>
      <x:c r="I62" s="73" t="str">
        <x:f>""</x:f>
      </x:c>
      <x:c r="J62" s="74" t="str">
        <x:f>""</x:f>
      </x:c>
      <x:c r="K62" s="73" t="n">
        <x:f>MAX(K61,F62)</x:f>
        <x:v>1.0099</x:v>
      </x:c>
      <x:c r="L62" s="74" t="n">
        <x:f>1-F62/K62</x:f>
        <x:v>0</x:v>
      </x:c>
      <x:c r="M62" s="73" t="n">
        <x:f>MAX(M61,F62)</x:f>
        <x:v>1.0099</x:v>
      </x:c>
      <x:c r="N62" s="74" t="n">
        <x:f>1-F62/M62</x:f>
        <x:v>0</x:v>
      </x:c>
    </x:row>
    <x:row r="63" ht="27" customHeight="1">
      <x:c r="A63" s="66" t="str">
        <x:v>SXT730</x:v>
      </x:c>
      <x:c r="B63" s="66" t="str">
        <x:v>世宽若水尘心3号</x:v>
      </x:c>
      <x:c r="C63" s="72" t="n">
        <x:v>45260</x:v>
      </x:c>
      <x:c r="D63" s="73" t="n">
        <x:v>1.013</x:v>
      </x:c>
      <x:c r="E63" s="73" t="n">
        <x:v>1.013</x:v>
      </x:c>
      <x:c r="F63" s="73" t="n">
        <x:v>1.013</x:v>
      </x:c>
      <x:c r="G63" s="74" t="n">
        <x:v>0.0031</x:v>
      </x:c>
      <x:c r="H63" s="66" t="str">
        <x:v>世宽若水尘心3号净值20260911.xlsx</x:v>
      </x:c>
      <x:c r="I63" s="73" t="str">
        <x:f>""</x:f>
      </x:c>
      <x:c r="J63" s="74" t="str">
        <x:f>""</x:f>
      </x:c>
      <x:c r="K63" s="73" t="n">
        <x:f>MAX(K62,F63)</x:f>
        <x:v>1.013</x:v>
      </x:c>
      <x:c r="L63" s="74" t="n">
        <x:f>1-F63/K63</x:f>
        <x:v>0</x:v>
      </x:c>
      <x:c r="M63" s="73" t="n">
        <x:f>MAX(M62,F63)</x:f>
        <x:v>1.013</x:v>
      </x:c>
      <x:c r="N63" s="74" t="n">
        <x:f>1-F63/M63</x:f>
        <x:v>0</x:v>
      </x:c>
    </x:row>
    <x:row r="64" ht="27" customHeight="1">
      <x:c r="A64" s="66" t="str">
        <x:v>SXT730</x:v>
      </x:c>
      <x:c r="B64" s="66" t="str">
        <x:v>世宽若水尘心3号</x:v>
      </x:c>
      <x:c r="C64" s="72" t="n">
        <x:v>45261</x:v>
      </x:c>
      <x:c r="D64" s="73" t="n">
        <x:v>1.0137</x:v>
      </x:c>
      <x:c r="E64" s="73" t="n">
        <x:v>1.0137</x:v>
      </x:c>
      <x:c r="F64" s="73" t="n">
        <x:v>1.0137</x:v>
      </x:c>
      <x:c r="G64" s="74" t="n">
        <x:v>0.0007000000000000001</x:v>
      </x:c>
      <x:c r="H64" s="66" t="str">
        <x:v>世宽若水尘心3号净值20260911.xlsx</x:v>
      </x:c>
      <x:c r="I64" s="73" t="str">
        <x:f>""</x:f>
      </x:c>
      <x:c r="J64" s="74" t="str">
        <x:f>""</x:f>
      </x:c>
      <x:c r="K64" s="73" t="n">
        <x:f>MAX(K63,F64)</x:f>
        <x:v>1.0137</x:v>
      </x:c>
      <x:c r="L64" s="74" t="n">
        <x:f>1-F64/K64</x:f>
        <x:v>0</x:v>
      </x:c>
      <x:c r="M64" s="73" t="n">
        <x:f>MAX(M63,F64)</x:f>
        <x:v>1.0137</x:v>
      </x:c>
      <x:c r="N64" s="74" t="n">
        <x:f>1-F64/M64</x:f>
        <x:v>0</x:v>
      </x:c>
    </x:row>
    <x:row r="65" ht="27" customHeight="1">
      <x:c r="A65" s="66" t="str">
        <x:v>SXT730</x:v>
      </x:c>
      <x:c r="B65" s="66" t="str">
        <x:v>世宽若水尘心3号</x:v>
      </x:c>
      <x:c r="C65" s="72" t="n">
        <x:v>45268</x:v>
      </x:c>
      <x:c r="D65" s="73" t="n">
        <x:v>1.0114</x:v>
      </x:c>
      <x:c r="E65" s="73" t="n">
        <x:v>1.0114</x:v>
      </x:c>
      <x:c r="F65" s="73" t="n">
        <x:v>1.0114</x:v>
      </x:c>
      <x:c r="G65" s="74" t="n">
        <x:v>-0.0023</x:v>
      </x:c>
      <x:c r="H65" s="66" t="str">
        <x:v>世宽若水尘心3号净值20260911.xlsx</x:v>
      </x:c>
      <x:c r="I65" s="73" t="str">
        <x:f>""</x:f>
      </x:c>
      <x:c r="J65" s="74" t="str">
        <x:f>""</x:f>
      </x:c>
      <x:c r="K65" s="73" t="n">
        <x:f>MAX(K64,F65)</x:f>
        <x:v>1.0137</x:v>
      </x:c>
      <x:c r="L65" s="74" t="n">
        <x:f>1-F65/K65</x:f>
        <x:v>0.002268915852816411</x:v>
      </x:c>
      <x:c r="M65" s="73" t="n">
        <x:f>MAX(M64,F65)</x:f>
        <x:v>1.0137</x:v>
      </x:c>
      <x:c r="N65" s="74" t="n">
        <x:f>1-F65/M65</x:f>
        <x:v>0.002268915852816411</x:v>
      </x:c>
    </x:row>
    <x:row r="66" ht="27" customHeight="1">
      <x:c r="A66" s="66" t="str">
        <x:v>SXT730</x:v>
      </x:c>
      <x:c r="B66" s="66" t="str">
        <x:v>世宽若水尘心3号</x:v>
      </x:c>
      <x:c r="C66" s="72" t="n">
        <x:v>45275</x:v>
      </x:c>
      <x:c r="D66" s="73" t="n">
        <x:v>1.0105</x:v>
      </x:c>
      <x:c r="E66" s="73" t="n">
        <x:v>1.0105</x:v>
      </x:c>
      <x:c r="F66" s="73" t="n">
        <x:v>1.0105</x:v>
      </x:c>
      <x:c r="G66" s="74" t="n">
        <x:v>-0.0009</x:v>
      </x:c>
      <x:c r="H66" s="66" t="str">
        <x:v>世宽若水尘心3号净值20260911.xlsx</x:v>
      </x:c>
      <x:c r="I66" s="73" t="str">
        <x:f>""</x:f>
      </x:c>
      <x:c r="J66" s="74" t="str">
        <x:f>""</x:f>
      </x:c>
      <x:c r="K66" s="73" t="n">
        <x:f>MAX(K65,F66)</x:f>
        <x:v>1.0137</x:v>
      </x:c>
      <x:c r="L66" s="74" t="n">
        <x:f>1-F66/K66</x:f>
        <x:v>0.0031567524908751032</x:v>
      </x:c>
      <x:c r="M66" s="73" t="n">
        <x:f>MAX(M65,F66)</x:f>
        <x:v>1.0137</x:v>
      </x:c>
      <x:c r="N66" s="74" t="n">
        <x:f>1-F66/M66</x:f>
        <x:v>0.0031567524908751032</x:v>
      </x:c>
    </x:row>
    <x:row r="67" ht="27" customHeight="1">
      <x:c r="A67" s="66" t="str">
        <x:v>SXT730</x:v>
      </x:c>
      <x:c r="B67" s="66" t="str">
        <x:v>世宽若水尘心3号</x:v>
      </x:c>
      <x:c r="C67" s="72" t="n">
        <x:v>45282</x:v>
      </x:c>
      <x:c r="D67" s="73" t="n">
        <x:v>1.0178</x:v>
      </x:c>
      <x:c r="E67" s="73" t="n">
        <x:v>1.0178</x:v>
      </x:c>
      <x:c r="F67" s="73" t="n">
        <x:v>1.0178</x:v>
      </x:c>
      <x:c r="G67" s="74" t="n">
        <x:v>0.0072</x:v>
      </x:c>
      <x:c r="H67" s="66" t="str">
        <x:v>世宽若水尘心3号净值20260911.xlsx</x:v>
      </x:c>
      <x:c r="I67" s="73" t="str">
        <x:f>""</x:f>
      </x:c>
      <x:c r="J67" s="74" t="str">
        <x:f>""</x:f>
      </x:c>
      <x:c r="K67" s="73" t="n">
        <x:f>MAX(K66,F67)</x:f>
        <x:v>1.0178</x:v>
      </x:c>
      <x:c r="L67" s="74" t="n">
        <x:f>1-F67/K67</x:f>
        <x:v>0</x:v>
      </x:c>
      <x:c r="M67" s="73" t="n">
        <x:f>MAX(M66,F67)</x:f>
        <x:v>1.0178</x:v>
      </x:c>
      <x:c r="N67" s="74" t="n">
        <x:f>1-F67/M67</x:f>
        <x:v>0</x:v>
      </x:c>
    </x:row>
    <x:row r="68" ht="27" customHeight="1">
      <x:c r="A68" s="66" t="str">
        <x:v>SXT730</x:v>
      </x:c>
      <x:c r="B68" s="66" t="str">
        <x:v>世宽若水尘心3号</x:v>
      </x:c>
      <x:c r="C68" s="72" t="n">
        <x:v>45289</x:v>
      </x:c>
      <x:c r="D68" s="73" t="n">
        <x:v>1.0165</x:v>
      </x:c>
      <x:c r="E68" s="73" t="n">
        <x:v>1.0165</x:v>
      </x:c>
      <x:c r="F68" s="73" t="n">
        <x:v>1.0165</x:v>
      </x:c>
      <x:c r="G68" s="74" t="n">
        <x:v>-0.0013</x:v>
      </x:c>
      <x:c r="H68" s="66" t="str">
        <x:v>世宽若水尘心3号净值20260911.xlsx</x:v>
      </x:c>
      <x:c r="I68" s="73" t="str">
        <x:f>""</x:f>
      </x:c>
      <x:c r="J68" s="74" t="str">
        <x:f>""</x:f>
      </x:c>
      <x:c r="K68" s="73" t="n">
        <x:f>MAX(K67,F68)</x:f>
        <x:v>1.0178</x:v>
      </x:c>
      <x:c r="L68" s="74" t="n">
        <x:f>1-F68/K68</x:f>
        <x:v>0.0012772646885439443</x:v>
      </x:c>
      <x:c r="M68" s="73" t="n">
        <x:f>MAX(M67,F68)</x:f>
        <x:v>1.0178</x:v>
      </x:c>
      <x:c r="N68" s="74" t="n">
        <x:f>1-F68/M68</x:f>
        <x:v>0.0012772646885439443</x:v>
      </x:c>
    </x:row>
    <x:row r="69" ht="27" customHeight="1">
      <x:c r="A69" s="66" t="str">
        <x:v>SXT730</x:v>
      </x:c>
      <x:c r="B69" s="66" t="str">
        <x:v>世宽若水尘心3号</x:v>
      </x:c>
      <x:c r="C69" s="72" t="n">
        <x:v>45296</x:v>
      </x:c>
      <x:c r="D69" s="73" t="n">
        <x:v>1.0136</x:v>
      </x:c>
      <x:c r="E69" s="73" t="n">
        <x:v>1.0136</x:v>
      </x:c>
      <x:c r="F69" s="73" t="n">
        <x:v>1.0136</x:v>
      </x:c>
      <x:c r="G69" s="74" t="n">
        <x:v>-0.0029</x:v>
      </x:c>
      <x:c r="H69" s="66" t="str">
        <x:v>世宽若水尘心3号净值20260911.xlsx</x:v>
      </x:c>
      <x:c r="I69" s="73" t="str">
        <x:f>""</x:f>
      </x:c>
      <x:c r="J69" s="74" t="str">
        <x:f>""</x:f>
      </x:c>
      <x:c r="K69" s="73" t="n">
        <x:f>MAX(K68,F69)</x:f>
        <x:v>1.0178</x:v>
      </x:c>
      <x:c r="L69" s="74" t="n">
        <x:f>1-F69/K69</x:f>
        <x:v>0.004126547455295726</x:v>
      </x:c>
      <x:c r="M69" s="73" t="n">
        <x:f>MAX(M68,F69)</x:f>
        <x:v>1.0178</x:v>
      </x:c>
      <x:c r="N69" s="74" t="n">
        <x:f>1-F69/M69</x:f>
        <x:v>0.004126547455295726</x:v>
      </x:c>
    </x:row>
    <x:row r="70" ht="27" customHeight="1">
      <x:c r="A70" s="66" t="str">
        <x:v>SXT730</x:v>
      </x:c>
      <x:c r="B70" s="66" t="str">
        <x:v>世宽若水尘心3号</x:v>
      </x:c>
      <x:c r="C70" s="72" t="n">
        <x:v>45303</x:v>
      </x:c>
      <x:c r="D70" s="73" t="n">
        <x:v>1.0068</x:v>
      </x:c>
      <x:c r="E70" s="73" t="n">
        <x:v>1.0068</x:v>
      </x:c>
      <x:c r="F70" s="73" t="n">
        <x:v>1.0068</x:v>
      </x:c>
      <x:c r="G70" s="74" t="n">
        <x:v>-0.0067</x:v>
      </x:c>
      <x:c r="H70" s="66" t="str">
        <x:v>世宽若水尘心3号净值20260911.xlsx</x:v>
      </x:c>
      <x:c r="I70" s="73" t="str">
        <x:f>""</x:f>
      </x:c>
      <x:c r="J70" s="74" t="str">
        <x:f>""</x:f>
      </x:c>
      <x:c r="K70" s="73" t="n">
        <x:f>MAX(K69,F70)</x:f>
        <x:v>1.0178</x:v>
      </x:c>
      <x:c r="L70" s="74" t="n">
        <x:f>1-F70/K70</x:f>
        <x:v>0.010807624287679451</x:v>
      </x:c>
      <x:c r="M70" s="73" t="n">
        <x:f>MAX(M69,F70)</x:f>
        <x:v>1.0178</x:v>
      </x:c>
      <x:c r="N70" s="74" t="n">
        <x:f>1-F70/M70</x:f>
        <x:v>0.010807624287679451</x:v>
      </x:c>
    </x:row>
    <x:row r="71" ht="27" customHeight="1">
      <x:c r="A71" s="66" t="str">
        <x:v>SXT730</x:v>
      </x:c>
      <x:c r="B71" s="66" t="str">
        <x:v>世宽若水尘心3号</x:v>
      </x:c>
      <x:c r="C71" s="72" t="n">
        <x:v>45310</x:v>
      </x:c>
      <x:c r="D71" s="73" t="n">
        <x:v>1.0092</x:v>
      </x:c>
      <x:c r="E71" s="73" t="n">
        <x:v>1.0092</x:v>
      </x:c>
      <x:c r="F71" s="73" t="n">
        <x:v>1.0092</x:v>
      </x:c>
      <x:c r="G71" s="74" t="n">
        <x:v>0.0024</x:v>
      </x:c>
      <x:c r="H71" s="66" t="str">
        <x:v>世宽若水尘心3号净值20260911.xlsx</x:v>
      </x:c>
      <x:c r="I71" s="73" t="str">
        <x:f>""</x:f>
      </x:c>
      <x:c r="J71" s="74" t="str">
        <x:f>""</x:f>
      </x:c>
      <x:c r="K71" s="73" t="n">
        <x:f>MAX(K70,F71)</x:f>
        <x:v>1.0178</x:v>
      </x:c>
      <x:c r="L71" s="74" t="n">
        <x:f>1-F71/K71</x:f>
        <x:v>0.008449597170367418</x:v>
      </x:c>
      <x:c r="M71" s="73" t="n">
        <x:f>MAX(M70,F71)</x:f>
        <x:v>1.0178</x:v>
      </x:c>
      <x:c r="N71" s="74" t="n">
        <x:f>1-F71/M71</x:f>
        <x:v>0.008449597170367418</x:v>
      </x:c>
    </x:row>
    <x:row r="72" ht="27" customHeight="1">
      <x:c r="A72" s="66" t="str">
        <x:v>SXT730</x:v>
      </x:c>
      <x:c r="B72" s="66" t="str">
        <x:v>世宽若水尘心3号</x:v>
      </x:c>
      <x:c r="C72" s="72" t="n">
        <x:v>45317</x:v>
      </x:c>
      <x:c r="D72" s="73" t="n">
        <x:v>1.0105</x:v>
      </x:c>
      <x:c r="E72" s="73" t="n">
        <x:v>1.0105</x:v>
      </x:c>
      <x:c r="F72" s="73" t="n">
        <x:v>1.0105</x:v>
      </x:c>
      <x:c r="G72" s="74" t="n">
        <x:v>0.0013</x:v>
      </x:c>
      <x:c r="H72" s="66" t="str">
        <x:v>世宽若水尘心3号净值20260911.xlsx</x:v>
      </x:c>
      <x:c r="I72" s="73" t="str">
        <x:f>""</x:f>
      </x:c>
      <x:c r="J72" s="74" t="str">
        <x:f>""</x:f>
      </x:c>
      <x:c r="K72" s="73" t="n">
        <x:f>MAX(K71,F72)</x:f>
        <x:v>1.0178</x:v>
      </x:c>
      <x:c r="L72" s="74" t="n">
        <x:f>1-F72/K72</x:f>
        <x:v>0.0071723324818235845</x:v>
      </x:c>
      <x:c r="M72" s="73" t="n">
        <x:f>MAX(M71,F72)</x:f>
        <x:v>1.0178</x:v>
      </x:c>
      <x:c r="N72" s="74" t="n">
        <x:f>1-F72/M72</x:f>
        <x:v>0.0071723324818235845</x:v>
      </x:c>
    </x:row>
    <x:row r="73" ht="27" customHeight="1">
      <x:c r="A73" s="66" t="str">
        <x:v>SXT730</x:v>
      </x:c>
      <x:c r="B73" s="66" t="str">
        <x:v>世宽若水尘心3号</x:v>
      </x:c>
      <x:c r="C73" s="72" t="n">
        <x:v>45322</x:v>
      </x:c>
      <x:c r="D73" s="73" t="n">
        <x:v>1.0152</x:v>
      </x:c>
      <x:c r="E73" s="73" t="n">
        <x:v>1.0152</x:v>
      </x:c>
      <x:c r="F73" s="73" t="n">
        <x:v>1.0152</x:v>
      </x:c>
      <x:c r="G73" s="74" t="n">
        <x:v>0.004699999999999999</x:v>
      </x:c>
      <x:c r="H73" s="66" t="str">
        <x:v>世宽若水尘心3号净值20260911.xlsx</x:v>
      </x:c>
      <x:c r="I73" s="73" t="str">
        <x:f>""</x:f>
      </x:c>
      <x:c r="J73" s="74" t="str">
        <x:f>""</x:f>
      </x:c>
      <x:c r="K73" s="73" t="n">
        <x:f>MAX(K72,F73)</x:f>
        <x:v>1.0178</x:v>
      </x:c>
      <x:c r="L73" s="74" t="n">
        <x:f>1-F73/K73</x:f>
        <x:v>0.0025545293770877775</x:v>
      </x:c>
      <x:c r="M73" s="73" t="n">
        <x:f>MAX(M72,F73)</x:f>
        <x:v>1.0178</x:v>
      </x:c>
      <x:c r="N73" s="74" t="n">
        <x:f>1-F73/M73</x:f>
        <x:v>0.0025545293770877775</x:v>
      </x:c>
    </x:row>
    <x:row r="74" ht="27" customHeight="1">
      <x:c r="A74" s="66" t="str">
        <x:v>SXT730</x:v>
      </x:c>
      <x:c r="B74" s="66" t="str">
        <x:v>世宽若水尘心3号</x:v>
      </x:c>
      <x:c r="C74" s="72" t="n">
        <x:v>45324</x:v>
      </x:c>
      <x:c r="D74" s="73" t="n">
        <x:v>1.0196</x:v>
      </x:c>
      <x:c r="E74" s="73" t="n">
        <x:v>1.0196</x:v>
      </x:c>
      <x:c r="F74" s="73" t="n">
        <x:v>1.0196</x:v>
      </x:c>
      <x:c r="G74" s="74" t="n">
        <x:v>0.0043</x:v>
      </x:c>
      <x:c r="H74" s="66" t="str">
        <x:v>世宽若水尘心3号净值20260911.xlsx</x:v>
      </x:c>
      <x:c r="I74" s="73" t="str">
        <x:f>""</x:f>
      </x:c>
      <x:c r="J74" s="74" t="str">
        <x:f>""</x:f>
      </x:c>
      <x:c r="K74" s="73" t="n">
        <x:f>MAX(K73,F74)</x:f>
        <x:v>1.0196</x:v>
      </x:c>
      <x:c r="L74" s="74" t="n">
        <x:f>1-F74/K74</x:f>
        <x:v>0</x:v>
      </x:c>
      <x:c r="M74" s="73" t="n">
        <x:f>MAX(M73,F74)</x:f>
        <x:v>1.0196</x:v>
      </x:c>
      <x:c r="N74" s="74" t="n">
        <x:f>1-F74/M74</x:f>
        <x:v>0</x:v>
      </x:c>
    </x:row>
    <x:row r="75" ht="27" customHeight="1">
      <x:c r="A75" s="66" t="str">
        <x:v>SXT730</x:v>
      </x:c>
      <x:c r="B75" s="66" t="str">
        <x:v>世宽若水尘心3号</x:v>
      </x:c>
      <x:c r="C75" s="72" t="n">
        <x:v>45330</x:v>
      </x:c>
      <x:c r="D75" s="73" t="n">
        <x:v>1.0574</x:v>
      </x:c>
      <x:c r="E75" s="73" t="n">
        <x:v>1.0574</x:v>
      </x:c>
      <x:c r="F75" s="73" t="n">
        <x:v>1.0574</x:v>
      </x:c>
      <x:c r="G75" s="74" t="n">
        <x:v>0.0371</x:v>
      </x:c>
      <x:c r="H75" s="66" t="str">
        <x:v>世宽若水尘心3号净值20260911.xlsx</x:v>
      </x:c>
      <x:c r="I75" s="73" t="str">
        <x:f>""</x:f>
      </x:c>
      <x:c r="J75" s="74" t="str">
        <x:f>""</x:f>
      </x:c>
      <x:c r="K75" s="73" t="n">
        <x:f>MAX(K74,F75)</x:f>
        <x:v>1.0574</x:v>
      </x:c>
      <x:c r="L75" s="74" t="n">
        <x:f>1-F75/K75</x:f>
        <x:v>0</x:v>
      </x:c>
      <x:c r="M75" s="73" t="n">
        <x:f>MAX(M74,F75)</x:f>
        <x:v>1.0574</x:v>
      </x:c>
      <x:c r="N75" s="74" t="n">
        <x:f>1-F75/M75</x:f>
        <x:v>0</x:v>
      </x:c>
    </x:row>
    <x:row r="76" ht="27" customHeight="1">
      <x:c r="A76" s="66" t="str">
        <x:v>SXT730</x:v>
      </x:c>
      <x:c r="B76" s="66" t="str">
        <x:v>世宽若水尘心3号</x:v>
      </x:c>
      <x:c r="C76" s="72" t="n">
        <x:v>45342</x:v>
      </x:c>
      <x:c r="D76" s="73" t="n">
        <x:v>1.001</x:v>
      </x:c>
      <x:c r="E76" s="73" t="n">
        <x:v>1.0603</x:v>
      </x:c>
      <x:c r="F76" s="73" t="n">
        <x:v>1.0603</x:v>
      </x:c>
      <x:c r="G76" s="74" t="n">
        <x:v>0.0027</x:v>
      </x:c>
      <x:c r="H76" s="66" t="str">
        <x:v>世宽若水尘心3号净值20260911.xlsx</x:v>
      </x:c>
      <x:c r="I76" s="73" t="str">
        <x:f>""</x:f>
      </x:c>
      <x:c r="J76" s="74" t="str">
        <x:f>""</x:f>
      </x:c>
      <x:c r="K76" s="73" t="n">
        <x:f>MAX(K75,F76)</x:f>
        <x:v>1.0603</x:v>
      </x:c>
      <x:c r="L76" s="74" t="n">
        <x:f>1-F76/K76</x:f>
        <x:v>0</x:v>
      </x:c>
      <x:c r="M76" s="73" t="n">
        <x:f>MAX(M75,F76)</x:f>
        <x:v>1.0603</x:v>
      </x:c>
      <x:c r="N76" s="74" t="n">
        <x:f>1-F76/M76</x:f>
        <x:v>0</x:v>
      </x:c>
    </x:row>
    <x:row r="77" ht="27" customHeight="1">
      <x:c r="A77" s="66" t="str">
        <x:v>SXT730</x:v>
      </x:c>
      <x:c r="B77" s="66" t="str">
        <x:v>世宽若水尘心3号</x:v>
      </x:c>
      <x:c r="C77" s="72" t="n">
        <x:v>45345</x:v>
      </x:c>
      <x:c r="D77" s="73" t="n">
        <x:v>1.0035</x:v>
      </x:c>
      <x:c r="E77" s="73" t="n">
        <x:v>1.0628</x:v>
      </x:c>
      <x:c r="F77" s="73" t="n">
        <x:v>1.0629</x:v>
      </x:c>
      <x:c r="G77" s="74" t="n">
        <x:v>0.0025</x:v>
      </x:c>
      <x:c r="H77" s="66" t="str">
        <x:v>世宽若水尘心3号净值20260911.xlsx</x:v>
      </x:c>
      <x:c r="I77" s="73" t="str">
        <x:f>""</x:f>
      </x:c>
      <x:c r="J77" s="74" t="str">
        <x:f>""</x:f>
      </x:c>
      <x:c r="K77" s="73" t="n">
        <x:f>MAX(K76,F77)</x:f>
        <x:v>1.0629</x:v>
      </x:c>
      <x:c r="L77" s="74" t="n">
        <x:f>1-F77/K77</x:f>
        <x:v>0</x:v>
      </x:c>
      <x:c r="M77" s="73" t="n">
        <x:f>MAX(M76,F77)</x:f>
        <x:v>1.0629</x:v>
      </x:c>
      <x:c r="N77" s="74" t="n">
        <x:f>1-F77/M77</x:f>
        <x:v>0</x:v>
      </x:c>
    </x:row>
    <x:row r="78" ht="27" customHeight="1">
      <x:c r="A78" s="66" t="str">
        <x:v>SXT730</x:v>
      </x:c>
      <x:c r="B78" s="66" t="str">
        <x:v>世宽若水尘心3号</x:v>
      </x:c>
      <x:c r="C78" s="72" t="n">
        <x:v>45351</x:v>
      </x:c>
      <x:c r="D78" s="73" t="n">
        <x:v>1.0047</x:v>
      </x:c>
      <x:c r="E78" s="73" t="n">
        <x:v>1.064</x:v>
      </x:c>
      <x:c r="F78" s="73" t="n">
        <x:v>1.0642</x:v>
      </x:c>
      <x:c r="G78" s="74" t="n">
        <x:v>0.0012</x:v>
      </x:c>
      <x:c r="H78" s="66" t="str">
        <x:v>世宽若水尘心3号净值20260911.xlsx</x:v>
      </x:c>
      <x:c r="I78" s="73" t="str">
        <x:f>""</x:f>
      </x:c>
      <x:c r="J78" s="74" t="str">
        <x:f>""</x:f>
      </x:c>
      <x:c r="K78" s="73" t="n">
        <x:f>MAX(K77,F78)</x:f>
        <x:v>1.0642</x:v>
      </x:c>
      <x:c r="L78" s="74" t="n">
        <x:f>1-F78/K78</x:f>
        <x:v>0</x:v>
      </x:c>
      <x:c r="M78" s="73" t="n">
        <x:f>MAX(M77,F78)</x:f>
        <x:v>1.0642</x:v>
      </x:c>
      <x:c r="N78" s="74" t="n">
        <x:f>1-F78/M78</x:f>
        <x:v>0</x:v>
      </x:c>
    </x:row>
    <x:row r="79" ht="27" customHeight="1">
      <x:c r="A79" s="66" t="str">
        <x:v>SXT730</x:v>
      </x:c>
      <x:c r="B79" s="66" t="str">
        <x:v>世宽若水尘心3号</x:v>
      </x:c>
      <x:c r="C79" s="72" t="n">
        <x:v>45352</x:v>
      </x:c>
      <x:c r="D79" s="73" t="n">
        <x:v>1.0071</x:v>
      </x:c>
      <x:c r="E79" s="73" t="n">
        <x:v>1.0664</x:v>
      </x:c>
      <x:c r="F79" s="73" t="n">
        <x:v>1.0668</x:v>
      </x:c>
      <x:c r="G79" s="74" t="n">
        <x:v>0.0024</x:v>
      </x:c>
      <x:c r="H79" s="66" t="str">
        <x:v>世宽若水尘心3号净值20260911.xlsx</x:v>
      </x:c>
      <x:c r="I79" s="73" t="str">
        <x:f>""</x:f>
      </x:c>
      <x:c r="J79" s="74" t="str">
        <x:f>""</x:f>
      </x:c>
      <x:c r="K79" s="73" t="n">
        <x:f>MAX(K78,F79)</x:f>
        <x:v>1.0668</x:v>
      </x:c>
      <x:c r="L79" s="74" t="n">
        <x:f>1-F79/K79</x:f>
        <x:v>0</x:v>
      </x:c>
      <x:c r="M79" s="73" t="n">
        <x:f>MAX(M78,F79)</x:f>
        <x:v>1.0668</x:v>
      </x:c>
      <x:c r="N79" s="74" t="n">
        <x:f>1-F79/M79</x:f>
        <x:v>0</x:v>
      </x:c>
    </x:row>
    <x:row r="80" ht="27" customHeight="1">
      <x:c r="A80" s="66" t="str">
        <x:v>SXT730</x:v>
      </x:c>
      <x:c r="B80" s="66" t="str">
        <x:v>世宽若水尘心3号</x:v>
      </x:c>
      <x:c r="C80" s="72" t="n">
        <x:v>45359</x:v>
      </x:c>
      <x:c r="D80" s="73" t="n">
        <x:v>1.0069</x:v>
      </x:c>
      <x:c r="E80" s="73" t="n">
        <x:v>1.0662</x:v>
      </x:c>
      <x:c r="F80" s="73" t="n">
        <x:v>1.0665</x:v>
      </x:c>
      <x:c r="G80" s="74" t="n">
        <x:v>-0.0002</x:v>
      </x:c>
      <x:c r="H80" s="66" t="str">
        <x:v>世宽若水尘心3号净值20260911.xlsx</x:v>
      </x:c>
      <x:c r="I80" s="73" t="str">
        <x:f>""</x:f>
      </x:c>
      <x:c r="J80" s="74" t="str">
        <x:f>""</x:f>
      </x:c>
      <x:c r="K80" s="73" t="n">
        <x:f>MAX(K79,F80)</x:f>
        <x:v>1.0668</x:v>
      </x:c>
      <x:c r="L80" s="74" t="n">
        <x:f>1-F80/K80</x:f>
        <x:v>0.00028121484814391806</x:v>
      </x:c>
      <x:c r="M80" s="73" t="n">
        <x:f>MAX(M79,F80)</x:f>
        <x:v>1.0668</x:v>
      </x:c>
      <x:c r="N80" s="74" t="n">
        <x:f>1-F80/M80</x:f>
        <x:v>0.00028121484814391806</x:v>
      </x:c>
    </x:row>
    <x:row r="81" ht="27" customHeight="1">
      <x:c r="A81" s="66" t="str">
        <x:v>SXT730</x:v>
      </x:c>
      <x:c r="B81" s="66" t="str">
        <x:v>世宽若水尘心3号</x:v>
      </x:c>
      <x:c r="C81" s="72" t="n">
        <x:v>45366</x:v>
      </x:c>
      <x:c r="D81" s="73" t="n">
        <x:v>1.0156</x:v>
      </x:c>
      <x:c r="E81" s="73" t="n">
        <x:v>1.0749</x:v>
      </x:c>
      <x:c r="F81" s="73" t="n">
        <x:v>1.0758</x:v>
      </x:c>
      <x:c r="G81" s="74" t="n">
        <x:v>0.0086</x:v>
      </x:c>
      <x:c r="H81" s="66" t="str">
        <x:v>世宽若水尘心3号净值20260911.xlsx</x:v>
      </x:c>
      <x:c r="I81" s="73" t="str">
        <x:f>""</x:f>
      </x:c>
      <x:c r="J81" s="74" t="str">
        <x:f>""</x:f>
      </x:c>
      <x:c r="K81" s="73" t="n">
        <x:f>MAX(K80,F81)</x:f>
        <x:v>1.0758</x:v>
      </x:c>
      <x:c r="L81" s="74" t="n">
        <x:f>1-F81/K81</x:f>
        <x:v>0</x:v>
      </x:c>
      <x:c r="M81" s="73" t="n">
        <x:f>MAX(M80,F81)</x:f>
        <x:v>1.0758</x:v>
      </x:c>
      <x:c r="N81" s="74" t="n">
        <x:f>1-F81/M81</x:f>
        <x:v>0</x:v>
      </x:c>
    </x:row>
    <x:row r="82" ht="27" customHeight="1">
      <x:c r="A82" s="66" t="str">
        <x:v>SXT730</x:v>
      </x:c>
      <x:c r="B82" s="66" t="str">
        <x:v>世宽若水尘心3号</x:v>
      </x:c>
      <x:c r="C82" s="72" t="n">
        <x:v>45373</x:v>
      </x:c>
      <x:c r="D82" s="73" t="n">
        <x:v>1.0142</x:v>
      </x:c>
      <x:c r="E82" s="73" t="n">
        <x:v>1.0735</x:v>
      </x:c>
      <x:c r="F82" s="73" t="n">
        <x:v>1.0743</x:v>
      </x:c>
      <x:c r="G82" s="74" t="n">
        <x:v>-0.0014000000000000002</x:v>
      </x:c>
      <x:c r="H82" s="66" t="str">
        <x:v>世宽若水尘心3号净值20260911.xlsx</x:v>
      </x:c>
      <x:c r="I82" s="73" t="str">
        <x:f>""</x:f>
      </x:c>
      <x:c r="J82" s="74" t="str">
        <x:f>""</x:f>
      </x:c>
      <x:c r="K82" s="73" t="n">
        <x:f>MAX(K81,F82)</x:f>
        <x:v>1.0758</x:v>
      </x:c>
      <x:c r="L82" s="74" t="n">
        <x:f>1-F82/K82</x:f>
        <x:v>0.0013943112102622335</x:v>
      </x:c>
      <x:c r="M82" s="73" t="n">
        <x:f>MAX(M81,F82)</x:f>
        <x:v>1.0758</x:v>
      </x:c>
      <x:c r="N82" s="74" t="n">
        <x:f>1-F82/M82</x:f>
        <x:v>0.0013943112102622335</x:v>
      </x:c>
    </x:row>
    <x:row r="83" ht="27" customHeight="1">
      <x:c r="A83" s="66" t="str">
        <x:v>SXT730</x:v>
      </x:c>
      <x:c r="B83" s="66" t="str">
        <x:v>世宽若水尘心3号</x:v>
      </x:c>
      <x:c r="C83" s="72" t="n">
        <x:v>45380</x:v>
      </x:c>
      <x:c r="D83" s="73" t="n">
        <x:v>1.0131</x:v>
      </x:c>
      <x:c r="E83" s="73" t="n">
        <x:v>1.0724</x:v>
      </x:c>
      <x:c r="F83" s="73" t="n">
        <x:v>1.0731</x:v>
      </x:c>
      <x:c r="G83" s="74" t="n">
        <x:v>-0.0011</x:v>
      </x:c>
      <x:c r="H83" s="66" t="str">
        <x:v>世宽若水尘心3号净值20260911.xlsx</x:v>
      </x:c>
      <x:c r="I83" s="73" t="str">
        <x:f>""</x:f>
      </x:c>
      <x:c r="J83" s="74" t="str">
        <x:f>""</x:f>
      </x:c>
      <x:c r="K83" s="73" t="n">
        <x:f>MAX(K82,F83)</x:f>
        <x:v>1.0758</x:v>
      </x:c>
      <x:c r="L83" s="74" t="n">
        <x:f>1-F83/K83</x:f>
        <x:v>0.0025097601784719314</x:v>
      </x:c>
      <x:c r="M83" s="73" t="n">
        <x:f>MAX(M82,F83)</x:f>
        <x:v>1.0758</x:v>
      </x:c>
      <x:c r="N83" s="74" t="n">
        <x:f>1-F83/M83</x:f>
        <x:v>0.0025097601784719314</x:v>
      </x:c>
    </x:row>
    <x:row r="84" ht="27" customHeight="1">
      <x:c r="A84" s="66" t="str">
        <x:v>SXT730</x:v>
      </x:c>
      <x:c r="B84" s="66" t="str">
        <x:v>世宽若水尘心3号</x:v>
      </x:c>
      <x:c r="C84" s="72" t="n">
        <x:v>45385</x:v>
      </x:c>
      <x:c r="D84" s="73" t="n">
        <x:v>1.0103</x:v>
      </x:c>
      <x:c r="E84" s="73" t="n">
        <x:v>1.0696</x:v>
      </x:c>
      <x:c r="F84" s="73" t="n">
        <x:v>1.0702</x:v>
      </x:c>
      <x:c r="G84" s="74" t="n">
        <x:v>-0.0028000000000000004</x:v>
      </x:c>
      <x:c r="H84" s="66" t="str">
        <x:v>世宽若水尘心3号净值20260911.xlsx</x:v>
      </x:c>
      <x:c r="I84" s="73" t="str">
        <x:f>""</x:f>
      </x:c>
      <x:c r="J84" s="74" t="str">
        <x:f>""</x:f>
      </x:c>
      <x:c r="K84" s="73" t="n">
        <x:f>MAX(K83,F84)</x:f>
        <x:v>1.0758</x:v>
      </x:c>
      <x:c r="L84" s="74" t="n">
        <x:f>1-F84/K84</x:f>
        <x:v>0.005205428518311961</x:v>
      </x:c>
      <x:c r="M84" s="73" t="n">
        <x:f>MAX(M83,F84)</x:f>
        <x:v>1.0758</x:v>
      </x:c>
      <x:c r="N84" s="74" t="n">
        <x:f>1-F84/M84</x:f>
        <x:v>0.005205428518311961</x:v>
      </x:c>
    </x:row>
    <x:row r="85" ht="27" customHeight="1">
      <x:c r="A85" s="66" t="str">
        <x:v>SXT730</x:v>
      </x:c>
      <x:c r="B85" s="66" t="str">
        <x:v>世宽若水尘心3号</x:v>
      </x:c>
      <x:c r="C85" s="72" t="n">
        <x:v>45394</x:v>
      </x:c>
      <x:c r="D85" s="73" t="n">
        <x:v>1.0121</x:v>
      </x:c>
      <x:c r="E85" s="73" t="n">
        <x:v>1.0714</x:v>
      </x:c>
      <x:c r="F85" s="73" t="n">
        <x:v>1.0721</x:v>
      </x:c>
      <x:c r="G85" s="74" t="n">
        <x:v>0.0018</x:v>
      </x:c>
      <x:c r="H85" s="66" t="str">
        <x:v>世宽若水尘心3号净值20260911.xlsx</x:v>
      </x:c>
      <x:c r="I85" s="73" t="str">
        <x:f>""</x:f>
      </x:c>
      <x:c r="J85" s="74" t="str">
        <x:f>""</x:f>
      </x:c>
      <x:c r="K85" s="73" t="n">
        <x:f>MAX(K84,F85)</x:f>
        <x:v>1.0758</x:v>
      </x:c>
      <x:c r="L85" s="74" t="n">
        <x:f>1-F85/K85</x:f>
        <x:v>0.0034393009853133094</x:v>
      </x:c>
      <x:c r="M85" s="73" t="n">
        <x:f>MAX(M84,F85)</x:f>
        <x:v>1.0758</x:v>
      </x:c>
      <x:c r="N85" s="74" t="n">
        <x:f>1-F85/M85</x:f>
        <x:v>0.0034393009853133094</x:v>
      </x:c>
    </x:row>
    <x:row r="86" ht="27" customHeight="1">
      <x:c r="A86" s="66" t="str">
        <x:v>SXT730</x:v>
      </x:c>
      <x:c r="B86" s="66" t="str">
        <x:v>世宽若水尘心3号</x:v>
      </x:c>
      <x:c r="C86" s="72" t="n">
        <x:v>45401</x:v>
      </x:c>
      <x:c r="D86" s="73" t="n">
        <x:v>1.0257</x:v>
      </x:c>
      <x:c r="E86" s="73" t="n">
        <x:v>1.085</x:v>
      </x:c>
      <x:c r="F86" s="73" t="n">
        <x:v>1.0865</x:v>
      </x:c>
      <x:c r="G86" s="74" t="n">
        <x:v>0.0134</x:v>
      </x:c>
      <x:c r="H86" s="66" t="str">
        <x:v>世宽若水尘心3号净值20260911.xlsx</x:v>
      </x:c>
      <x:c r="I86" s="73" t="str">
        <x:f>""</x:f>
      </x:c>
      <x:c r="J86" s="74" t="str">
        <x:f>""</x:f>
      </x:c>
      <x:c r="K86" s="73" t="n">
        <x:f>MAX(K85,F86)</x:f>
        <x:v>1.0865</x:v>
      </x:c>
      <x:c r="L86" s="74" t="n">
        <x:f>1-F86/K86</x:f>
        <x:v>0</x:v>
      </x:c>
      <x:c r="M86" s="73" t="n">
        <x:f>MAX(M85,F86)</x:f>
        <x:v>1.0865</x:v>
      </x:c>
      <x:c r="N86" s="74" t="n">
        <x:f>1-F86/M86</x:f>
        <x:v>0</x:v>
      </x:c>
    </x:row>
    <x:row r="87" ht="27" customHeight="1">
      <x:c r="A87" s="66" t="str">
        <x:v>SXT730</x:v>
      </x:c>
      <x:c r="B87" s="66" t="str">
        <x:v>世宽若水尘心3号</x:v>
      </x:c>
      <x:c r="C87" s="72" t="n">
        <x:v>45408</x:v>
      </x:c>
      <x:c r="D87" s="73" t="n">
        <x:v>1.0258</x:v>
      </x:c>
      <x:c r="E87" s="73" t="n">
        <x:v>1.0851</x:v>
      </x:c>
      <x:c r="F87" s="73" t="n">
        <x:v>1.0866</x:v>
      </x:c>
      <x:c r="G87" s="74" t="n">
        <x:v>0.0001</x:v>
      </x:c>
      <x:c r="H87" s="66" t="str">
        <x:v>世宽若水尘心3号净值20260911.xlsx</x:v>
      </x:c>
      <x:c r="I87" s="73" t="str">
        <x:f>""</x:f>
      </x:c>
      <x:c r="J87" s="74" t="str">
        <x:f>""</x:f>
      </x:c>
      <x:c r="K87" s="73" t="n">
        <x:f>MAX(K86,F87)</x:f>
        <x:v>1.0866</x:v>
      </x:c>
      <x:c r="L87" s="74" t="n">
        <x:f>1-F87/K87</x:f>
        <x:v>0</x:v>
      </x:c>
      <x:c r="M87" s="73" t="n">
        <x:f>MAX(M86,F87)</x:f>
        <x:v>1.0866</x:v>
      </x:c>
      <x:c r="N87" s="74" t="n">
        <x:f>1-F87/M87</x:f>
        <x:v>0</x:v>
      </x:c>
    </x:row>
    <x:row r="88" ht="27" customHeight="1">
      <x:c r="A88" s="66" t="str">
        <x:v>SXT730</x:v>
      </x:c>
      <x:c r="B88" s="66" t="str">
        <x:v>世宽若水尘心3号</x:v>
      </x:c>
      <x:c r="C88" s="72" t="n">
        <x:v>45412</x:v>
      </x:c>
      <x:c r="D88" s="73" t="n">
        <x:v>1.0253</x:v>
      </x:c>
      <x:c r="E88" s="73" t="n">
        <x:v>1.0846</x:v>
      </x:c>
      <x:c r="F88" s="73" t="n">
        <x:v>1.086</x:v>
      </x:c>
      <x:c r="G88" s="74" t="n">
        <x:v>-0.0005</x:v>
      </x:c>
      <x:c r="H88" s="66" t="str">
        <x:v>世宽若水尘心3号净值20260911.xlsx</x:v>
      </x:c>
      <x:c r="I88" s="73" t="str">
        <x:f>""</x:f>
      </x:c>
      <x:c r="J88" s="74" t="str">
        <x:f>""</x:f>
      </x:c>
      <x:c r="K88" s="73" t="n">
        <x:f>MAX(K87,F88)</x:f>
        <x:v>1.0866</x:v>
      </x:c>
      <x:c r="L88" s="74" t="n">
        <x:f>1-F88/K88</x:f>
        <x:v>0.000552181115405781</x:v>
      </x:c>
      <x:c r="M88" s="73" t="n">
        <x:f>MAX(M87,F88)</x:f>
        <x:v>1.0866</x:v>
      </x:c>
      <x:c r="N88" s="74" t="n">
        <x:f>1-F88/M88</x:f>
        <x:v>0.000552181115405781</x:v>
      </x:c>
    </x:row>
    <x:row r="89" ht="27" customHeight="1">
      <x:c r="A89" s="66" t="str">
        <x:v>SXT730</x:v>
      </x:c>
      <x:c r="B89" s="66" t="str">
        <x:v>世宽若水尘心3号</x:v>
      </x:c>
      <x:c r="C89" s="72" t="n">
        <x:v>45422</x:v>
      </x:c>
      <x:c r="D89" s="73" t="n">
        <x:v>1.0246</x:v>
      </x:c>
      <x:c r="E89" s="73" t="n">
        <x:v>1.0839</x:v>
      </x:c>
      <x:c r="F89" s="73" t="n">
        <x:v>1.0853</x:v>
      </x:c>
      <x:c r="G89" s="74" t="n">
        <x:v>-0.0007000000000000001</x:v>
      </x:c>
      <x:c r="H89" s="66" t="str">
        <x:v>世宽若水尘心3号净值20260911.xlsx</x:v>
      </x:c>
      <x:c r="I89" s="73" t="str">
        <x:f>""</x:f>
      </x:c>
      <x:c r="J89" s="74" t="str">
        <x:f>""</x:f>
      </x:c>
      <x:c r="K89" s="73" t="n">
        <x:f>MAX(K88,F89)</x:f>
        <x:v>1.0866</x:v>
      </x:c>
      <x:c r="L89" s="74" t="n">
        <x:f>1-F89/K89</x:f>
        <x:v>0.001196392416712766</x:v>
      </x:c>
      <x:c r="M89" s="73" t="n">
        <x:f>MAX(M88,F89)</x:f>
        <x:v>1.0866</x:v>
      </x:c>
      <x:c r="N89" s="74" t="n">
        <x:f>1-F89/M89</x:f>
        <x:v>0.001196392416712766</x:v>
      </x:c>
    </x:row>
    <x:row r="90" ht="27" customHeight="1">
      <x:c r="A90" s="66" t="str">
        <x:v>SXT730</x:v>
      </x:c>
      <x:c r="B90" s="66" t="str">
        <x:v>世宽若水尘心3号</x:v>
      </x:c>
      <x:c r="C90" s="72" t="n">
        <x:v>45429</x:v>
      </x:c>
      <x:c r="D90" s="73" t="n">
        <x:v>1.0256</x:v>
      </x:c>
      <x:c r="E90" s="73" t="n">
        <x:v>1.0849</x:v>
      </x:c>
      <x:c r="F90" s="73" t="n">
        <x:v>1.0864</x:v>
      </x:c>
      <x:c r="G90" s="74" t="n">
        <x:v>0.001</x:v>
      </x:c>
      <x:c r="H90" s="66" t="str">
        <x:v>世宽若水尘心3号净值20260911.xlsx</x:v>
      </x:c>
      <x:c r="I90" s="73" t="str">
        <x:f>""</x:f>
      </x:c>
      <x:c r="J90" s="74" t="str">
        <x:f>""</x:f>
      </x:c>
      <x:c r="K90" s="73" t="n">
        <x:f>MAX(K89,F90)</x:f>
        <x:v>1.0866</x:v>
      </x:c>
      <x:c r="L90" s="74" t="n">
        <x:f>1-F90/K90</x:f>
        <x:v>0.000184060371801964</x:v>
      </x:c>
      <x:c r="M90" s="73" t="n">
        <x:f>MAX(M89,F90)</x:f>
        <x:v>1.0866</x:v>
      </x:c>
      <x:c r="N90" s="74" t="n">
        <x:f>1-F90/M90</x:f>
        <x:v>0.000184060371801964</x:v>
      </x:c>
    </x:row>
    <x:row r="91" ht="27" customHeight="1">
      <x:c r="A91" s="66" t="str">
        <x:v>SXT730</x:v>
      </x:c>
      <x:c r="B91" s="66" t="str">
        <x:v>世宽若水尘心3号</x:v>
      </x:c>
      <x:c r="C91" s="72" t="n">
        <x:v>45436</x:v>
      </x:c>
      <x:c r="D91" s="73" t="n">
        <x:v>1.0213</x:v>
      </x:c>
      <x:c r="E91" s="73" t="n">
        <x:v>1.0806</x:v>
      </x:c>
      <x:c r="F91" s="73" t="n">
        <x:v>1.0818</x:v>
      </x:c>
      <x:c r="G91" s="74" t="n">
        <x:v>-0.0042</x:v>
      </x:c>
      <x:c r="H91" s="66" t="str">
        <x:v>世宽若水尘心3号净值20260911.xlsx</x:v>
      </x:c>
      <x:c r="I91" s="73" t="str">
        <x:f>""</x:f>
      </x:c>
      <x:c r="J91" s="74" t="str">
        <x:f>""</x:f>
      </x:c>
      <x:c r="K91" s="73" t="n">
        <x:f>MAX(K90,F91)</x:f>
        <x:v>1.0866</x:v>
      </x:c>
      <x:c r="L91" s="74" t="n">
        <x:f>1-F91/K91</x:f>
        <x:v>0.004417448923246692</x:v>
      </x:c>
      <x:c r="M91" s="73" t="n">
        <x:f>MAX(M90,F91)</x:f>
        <x:v>1.0866</x:v>
      </x:c>
      <x:c r="N91" s="74" t="n">
        <x:f>1-F91/M91</x:f>
        <x:v>0.004417448923246692</x:v>
      </x:c>
    </x:row>
    <x:row r="92" ht="27" customHeight="1">
      <x:c r="A92" s="66" t="str">
        <x:v>SXT730</x:v>
      </x:c>
      <x:c r="B92" s="66" t="str">
        <x:v>世宽若水尘心3号</x:v>
      </x:c>
      <x:c r="C92" s="72" t="n">
        <x:v>45443</x:v>
      </x:c>
      <x:c r="D92" s="73" t="n">
        <x:v>1.0211</x:v>
      </x:c>
      <x:c r="E92" s="73" t="n">
        <x:v>1.0804</x:v>
      </x:c>
      <x:c r="F92" s="73" t="n">
        <x:v>1.0816</x:v>
      </x:c>
      <x:c r="G92" s="74" t="n">
        <x:v>-0.0002</x:v>
      </x:c>
      <x:c r="H92" s="66" t="str">
        <x:v>世宽若水尘心3号净值20260911.xlsx</x:v>
      </x:c>
      <x:c r="I92" s="73" t="str">
        <x:f>""</x:f>
      </x:c>
      <x:c r="J92" s="74" t="str">
        <x:f>""</x:f>
      </x:c>
      <x:c r="K92" s="73" t="n">
        <x:f>MAX(K91,F92)</x:f>
        <x:v>1.0866</x:v>
      </x:c>
      <x:c r="L92" s="74" t="n">
        <x:f>1-F92/K92</x:f>
        <x:v>0.004601509295048878</x:v>
      </x:c>
      <x:c r="M92" s="73" t="n">
        <x:f>MAX(M91,F92)</x:f>
        <x:v>1.0866</x:v>
      </x:c>
      <x:c r="N92" s="74" t="n">
        <x:f>1-F92/M92</x:f>
        <x:v>0.004601509295048878</x:v>
      </x:c>
    </x:row>
    <x:row r="93" ht="27" customHeight="1">
      <x:c r="A93" s="66" t="str">
        <x:v>SXT730</x:v>
      </x:c>
      <x:c r="B93" s="66" t="str">
        <x:v>世宽若水尘心3号</x:v>
      </x:c>
      <x:c r="C93" s="72" t="n">
        <x:v>45450</x:v>
      </x:c>
      <x:c r="D93" s="73" t="n">
        <x:v>1.0263</x:v>
      </x:c>
      <x:c r="E93" s="73" t="n">
        <x:v>1.0856</x:v>
      </x:c>
      <x:c r="F93" s="73" t="n">
        <x:v>1.0871</x:v>
      </x:c>
      <x:c r="G93" s="74" t="n">
        <x:v>0.0051</x:v>
      </x:c>
      <x:c r="H93" s="66" t="str">
        <x:v>世宽若水尘心3号净值20260911.xlsx</x:v>
      </x:c>
      <x:c r="I93" s="73" t="str">
        <x:f>""</x:f>
      </x:c>
      <x:c r="J93" s="74" t="str">
        <x:f>""</x:f>
      </x:c>
      <x:c r="K93" s="73" t="n">
        <x:f>MAX(K92,F93)</x:f>
        <x:v>1.0871</x:v>
      </x:c>
      <x:c r="L93" s="74" t="n">
        <x:f>1-F93/K93</x:f>
        <x:v>0</x:v>
      </x:c>
      <x:c r="M93" s="73" t="n">
        <x:f>MAX(M92,F93)</x:f>
        <x:v>1.0871</x:v>
      </x:c>
      <x:c r="N93" s="74" t="n">
        <x:f>1-F93/M93</x:f>
        <x:v>0</x:v>
      </x:c>
    </x:row>
    <x:row r="94" ht="27" customHeight="1">
      <x:c r="A94" s="66" t="str">
        <x:v>SXT730</x:v>
      </x:c>
      <x:c r="B94" s="66" t="str">
        <x:v>世宽若水尘心3号</x:v>
      </x:c>
      <x:c r="C94" s="72" t="n">
        <x:v>45457</x:v>
      </x:c>
      <x:c r="D94" s="73" t="n">
        <x:v>1.0244</x:v>
      </x:c>
      <x:c r="E94" s="73" t="n">
        <x:v>1.0837</x:v>
      </x:c>
      <x:c r="F94" s="73" t="n">
        <x:v>1.0851</x:v>
      </x:c>
      <x:c r="G94" s="74" t="n">
        <x:v>-0.0019</x:v>
      </x:c>
      <x:c r="H94" s="66" t="str">
        <x:v>世宽若水尘心3号净值20260911.xlsx</x:v>
      </x:c>
      <x:c r="I94" s="73" t="str">
        <x:f>""</x:f>
      </x:c>
      <x:c r="J94" s="74" t="str">
        <x:f>""</x:f>
      </x:c>
      <x:c r="K94" s="73" t="n">
        <x:f>MAX(K93,F94)</x:f>
        <x:v>1.0871</x:v>
      </x:c>
      <x:c r="L94" s="74" t="n">
        <x:f>1-F94/K94</x:f>
        <x:v>0.0018397571520559763</x:v>
      </x:c>
      <x:c r="M94" s="73" t="n">
        <x:f>MAX(M93,F94)</x:f>
        <x:v>1.0871</x:v>
      </x:c>
      <x:c r="N94" s="74" t="n">
        <x:f>1-F94/M94</x:f>
        <x:v>0.0018397571520559763</x:v>
      </x:c>
    </x:row>
    <x:row r="95" ht="27" customHeight="1">
      <x:c r="A95" s="66" t="str">
        <x:v>SXT730</x:v>
      </x:c>
      <x:c r="B95" s="66" t="str">
        <x:v>世宽若水尘心3号</x:v>
      </x:c>
      <x:c r="C95" s="72" t="n">
        <x:v>45464</x:v>
      </x:c>
      <x:c r="D95" s="73" t="n">
        <x:v>1.0285</x:v>
      </x:c>
      <x:c r="E95" s="73" t="n">
        <x:v>1.0878</x:v>
      </x:c>
      <x:c r="F95" s="73" t="n">
        <x:v>1.0894</x:v>
      </x:c>
      <x:c r="G95" s="74" t="n">
        <x:v>0.004</x:v>
      </x:c>
      <x:c r="H95" s="66" t="str">
        <x:v>世宽若水尘心3号净值20260911.xlsx</x:v>
      </x:c>
      <x:c r="I95" s="73" t="str">
        <x:f>""</x:f>
      </x:c>
      <x:c r="J95" s="74" t="str">
        <x:f>""</x:f>
      </x:c>
      <x:c r="K95" s="73" t="n">
        <x:f>MAX(K94,F95)</x:f>
        <x:v>1.0894</x:v>
      </x:c>
      <x:c r="L95" s="74" t="n">
        <x:f>1-F95/K95</x:f>
        <x:v>0</x:v>
      </x:c>
      <x:c r="M95" s="73" t="n">
        <x:f>MAX(M94,F95)</x:f>
        <x:v>1.0894</x:v>
      </x:c>
      <x:c r="N95" s="74" t="n">
        <x:f>1-F95/M95</x:f>
        <x:v>0</x:v>
      </x:c>
    </x:row>
    <x:row r="96" ht="27" customHeight="1">
      <x:c r="A96" s="66" t="str">
        <x:v>SXT730</x:v>
      </x:c>
      <x:c r="B96" s="66" t="str">
        <x:v>世宽若水尘心3号</x:v>
      </x:c>
      <x:c r="C96" s="72" t="n">
        <x:v>45471</x:v>
      </x:c>
      <x:c r="D96" s="73" t="n">
        <x:v>1.0316</x:v>
      </x:c>
      <x:c r="E96" s="73" t="n">
        <x:v>1.0909</x:v>
      </x:c>
      <x:c r="F96" s="73" t="n">
        <x:v>1.0927</x:v>
      </x:c>
      <x:c r="G96" s="74" t="n">
        <x:v>0.003</x:v>
      </x:c>
      <x:c r="H96" s="66" t="str">
        <x:v>世宽若水尘心3号净值20260911.xlsx</x:v>
      </x:c>
      <x:c r="I96" s="73" t="str">
        <x:f>""</x:f>
      </x:c>
      <x:c r="J96" s="74" t="str">
        <x:f>""</x:f>
      </x:c>
      <x:c r="K96" s="73" t="n">
        <x:f>MAX(K95,F96)</x:f>
        <x:v>1.0927</x:v>
      </x:c>
      <x:c r="L96" s="74" t="n">
        <x:f>1-F96/K96</x:f>
        <x:v>0</x:v>
      </x:c>
      <x:c r="M96" s="73" t="n">
        <x:f>MAX(M95,F96)</x:f>
        <x:v>1.0927</x:v>
      </x:c>
      <x:c r="N96" s="74" t="n">
        <x:f>1-F96/M96</x:f>
        <x:v>0</x:v>
      </x:c>
    </x:row>
    <x:row r="97" ht="27" customHeight="1">
      <x:c r="A97" s="66" t="str">
        <x:v>SXT730</x:v>
      </x:c>
      <x:c r="B97" s="66" t="str">
        <x:v>世宽若水尘心3号</x:v>
      </x:c>
      <x:c r="C97" s="72" t="n">
        <x:v>45478</x:v>
      </x:c>
      <x:c r="D97" s="73" t="n">
        <x:v>1.0363</x:v>
      </x:c>
      <x:c r="E97" s="73" t="n">
        <x:v>1.0956</x:v>
      </x:c>
      <x:c r="F97" s="73" t="n">
        <x:v>1.0977</x:v>
      </x:c>
      <x:c r="G97" s="74" t="n">
        <x:v>0.0046</x:v>
      </x:c>
      <x:c r="H97" s="66" t="str">
        <x:v>世宽若水尘心3号净值20260911.xlsx</x:v>
      </x:c>
      <x:c r="I97" s="73" t="str">
        <x:f>""</x:f>
      </x:c>
      <x:c r="J97" s="74" t="str">
        <x:f>""</x:f>
      </x:c>
      <x:c r="K97" s="73" t="n">
        <x:f>MAX(K96,F97)</x:f>
        <x:v>1.0977</x:v>
      </x:c>
      <x:c r="L97" s="74" t="n">
        <x:f>1-F97/K97</x:f>
        <x:v>0</x:v>
      </x:c>
      <x:c r="M97" s="73" t="n">
        <x:f>MAX(M96,F97)</x:f>
        <x:v>1.0977</x:v>
      </x:c>
      <x:c r="N97" s="74" t="n">
        <x:f>1-F97/M97</x:f>
        <x:v>0</x:v>
      </x:c>
    </x:row>
    <x:row r="98" ht="27" customHeight="1">
      <x:c r="A98" s="66" t="str">
        <x:v>SXT730</x:v>
      </x:c>
      <x:c r="B98" s="66" t="str">
        <x:v>世宽若水尘心3号</x:v>
      </x:c>
      <x:c r="C98" s="72" t="n">
        <x:v>45485</x:v>
      </x:c>
      <x:c r="D98" s="73" t="n">
        <x:v>1.036</x:v>
      </x:c>
      <x:c r="E98" s="73" t="n">
        <x:v>1.0953</x:v>
      </x:c>
      <x:c r="F98" s="73" t="n">
        <x:v>1.0974</x:v>
      </x:c>
      <x:c r="G98" s="74" t="n">
        <x:v>-0.0003</x:v>
      </x:c>
      <x:c r="H98" s="66" t="str">
        <x:v>世宽若水尘心3号净值20260911.xlsx</x:v>
      </x:c>
      <x:c r="I98" s="73" t="str">
        <x:f>""</x:f>
      </x:c>
      <x:c r="J98" s="74" t="str">
        <x:f>""</x:f>
      </x:c>
      <x:c r="K98" s="73" t="n">
        <x:f>MAX(K97,F98)</x:f>
        <x:v>1.0977</x:v>
      </x:c>
      <x:c r="L98" s="74" t="n">
        <x:f>1-F98/K98</x:f>
        <x:v>0.0002732987154959732</x:v>
      </x:c>
      <x:c r="M98" s="73" t="n">
        <x:f>MAX(M97,F98)</x:f>
        <x:v>1.0977</x:v>
      </x:c>
      <x:c r="N98" s="74" t="n">
        <x:f>1-F98/M98</x:f>
        <x:v>0.0002732987154959732</x:v>
      </x:c>
    </x:row>
    <x:row r="99" ht="27" customHeight="1">
      <x:c r="A99" s="66" t="str">
        <x:v>SXT730</x:v>
      </x:c>
      <x:c r="B99" s="66" t="str">
        <x:v>世宽若水尘心3号</x:v>
      </x:c>
      <x:c r="C99" s="72" t="n">
        <x:v>45492</x:v>
      </x:c>
      <x:c r="D99" s="73" t="n">
        <x:v>1.0366</x:v>
      </x:c>
      <x:c r="E99" s="73" t="n">
        <x:v>1.0959</x:v>
      </x:c>
      <x:c r="F99" s="73" t="n">
        <x:v>1.098</x:v>
      </x:c>
      <x:c r="G99" s="74" t="n">
        <x:v>0.0006</x:v>
      </x:c>
      <x:c r="H99" s="66" t="str">
        <x:v>世宽若水尘心3号净值20260911.xlsx</x:v>
      </x:c>
      <x:c r="I99" s="73" t="str">
        <x:f>""</x:f>
      </x:c>
      <x:c r="J99" s="74" t="str">
        <x:f>""</x:f>
      </x:c>
      <x:c r="K99" s="73" t="n">
        <x:f>MAX(K98,F99)</x:f>
        <x:v>1.098</x:v>
      </x:c>
      <x:c r="L99" s="74" t="n">
        <x:f>1-F99/K99</x:f>
        <x:v>0</x:v>
      </x:c>
      <x:c r="M99" s="73" t="n">
        <x:f>MAX(M98,F99)</x:f>
        <x:v>1.098</x:v>
      </x:c>
      <x:c r="N99" s="74" t="n">
        <x:f>1-F99/M99</x:f>
        <x:v>0</x:v>
      </x:c>
    </x:row>
    <x:row r="100" ht="27" customHeight="1">
      <x:c r="A100" s="66" t="str">
        <x:v>SXT730</x:v>
      </x:c>
      <x:c r="B100" s="66" t="str">
        <x:v>世宽若水尘心3号</x:v>
      </x:c>
      <x:c r="C100" s="72" t="n">
        <x:v>45499</x:v>
      </x:c>
      <x:c r="D100" s="73" t="n">
        <x:v>1.0383</x:v>
      </x:c>
      <x:c r="E100" s="73" t="n">
        <x:v>1.0976</x:v>
      </x:c>
      <x:c r="F100" s="73" t="n">
        <x:v>1.0998</x:v>
      </x:c>
      <x:c r="G100" s="74" t="n">
        <x:v>0.0016</x:v>
      </x:c>
      <x:c r="H100" s="66" t="str">
        <x:v>世宽若水尘心3号净值20260911.xlsx</x:v>
      </x:c>
      <x:c r="I100" s="73" t="str">
        <x:f>""</x:f>
      </x:c>
      <x:c r="J100" s="74" t="str">
        <x:f>""</x:f>
      </x:c>
      <x:c r="K100" s="73" t="n">
        <x:f>MAX(K99,F100)</x:f>
        <x:v>1.0998</x:v>
      </x:c>
      <x:c r="L100" s="74" t="n">
        <x:f>1-F100/K100</x:f>
        <x:v>0</x:v>
      </x:c>
      <x:c r="M100" s="73" t="n">
        <x:f>MAX(M99,F100)</x:f>
        <x:v>1.0998</x:v>
      </x:c>
      <x:c r="N100" s="74" t="n">
        <x:f>1-F100/M100</x:f>
        <x:v>0</x:v>
      </x:c>
    </x:row>
    <x:row r="101" ht="27" customHeight="1">
      <x:c r="A101" s="66" t="str">
        <x:v>SXT730</x:v>
      </x:c>
      <x:c r="B101" s="66" t="str">
        <x:v>世宽若水尘心3号</x:v>
      </x:c>
      <x:c r="C101" s="72" t="n">
        <x:v>45504</x:v>
      </x:c>
      <x:c r="D101" s="73" t="n">
        <x:v>1.0368</x:v>
      </x:c>
      <x:c r="E101" s="73" t="n">
        <x:v>1.0961</x:v>
      </x:c>
      <x:c r="F101" s="73" t="n">
        <x:v>1.0982</x:v>
      </x:c>
      <x:c r="G101" s="74" t="n">
        <x:v>-0.0014000000000000002</x:v>
      </x:c>
      <x:c r="H101" s="66" t="str">
        <x:v>世宽若水尘心3号净值20260911.xlsx</x:v>
      </x:c>
      <x:c r="I101" s="73" t="str">
        <x:f>""</x:f>
      </x:c>
      <x:c r="J101" s="74" t="str">
        <x:f>""</x:f>
      </x:c>
      <x:c r="K101" s="73" t="n">
        <x:f>MAX(K100,F101)</x:f>
        <x:v>1.0998</x:v>
      </x:c>
      <x:c r="L101" s="74" t="n">
        <x:f>1-F101/K101</x:f>
        <x:v>0.0014548099654483337</x:v>
      </x:c>
      <x:c r="M101" s="73" t="n">
        <x:f>MAX(M100,F101)</x:f>
        <x:v>1.0998</x:v>
      </x:c>
      <x:c r="N101" s="74" t="n">
        <x:f>1-F101/M101</x:f>
        <x:v>0.0014548099654483337</x:v>
      </x:c>
    </x:row>
    <x:row r="102" ht="27" customHeight="1">
      <x:c r="A102" s="66" t="str">
        <x:v>SXT730</x:v>
      </x:c>
      <x:c r="B102" s="66" t="str">
        <x:v>世宽若水尘心3号</x:v>
      </x:c>
      <x:c r="C102" s="72" t="n">
        <x:v>45506</x:v>
      </x:c>
      <x:c r="D102" s="73" t="n">
        <x:v>1.0365</x:v>
      </x:c>
      <x:c r="E102" s="73" t="n">
        <x:v>1.0958</x:v>
      </x:c>
      <x:c r="F102" s="73" t="n">
        <x:v>1.0979</x:v>
      </x:c>
      <x:c r="G102" s="74" t="n">
        <x:v>-0.0003</x:v>
      </x:c>
      <x:c r="H102" s="66" t="str">
        <x:v>世宽若水尘心3号净值20260911.xlsx</x:v>
      </x:c>
      <x:c r="I102" s="73" t="str">
        <x:f>""</x:f>
      </x:c>
      <x:c r="J102" s="74" t="str">
        <x:f>""</x:f>
      </x:c>
      <x:c r="K102" s="73" t="n">
        <x:f>MAX(K101,F102)</x:f>
        <x:v>1.0998</x:v>
      </x:c>
      <x:c r="L102" s="74" t="n">
        <x:f>1-F102/K102</x:f>
        <x:v>0.0017275868339697853</x:v>
      </x:c>
      <x:c r="M102" s="73" t="n">
        <x:f>MAX(M101,F102)</x:f>
        <x:v>1.0998</x:v>
      </x:c>
      <x:c r="N102" s="74" t="n">
        <x:f>1-F102/M102</x:f>
        <x:v>0.0017275868339697853</x:v>
      </x:c>
    </x:row>
    <x:row r="103" ht="27" customHeight="1">
      <x:c r="A103" s="66" t="str">
        <x:v>SXT730</x:v>
      </x:c>
      <x:c r="B103" s="66" t="str">
        <x:v>世宽若水尘心3号</x:v>
      </x:c>
      <x:c r="C103" s="72" t="n">
        <x:v>45513</x:v>
      </x:c>
      <x:c r="D103" s="73" t="n">
        <x:v>1.0431</x:v>
      </x:c>
      <x:c r="E103" s="73" t="n">
        <x:v>1.1024</x:v>
      </x:c>
      <x:c r="F103" s="73" t="n">
        <x:v>1.1049</x:v>
      </x:c>
      <x:c r="G103" s="74" t="n">
        <x:v>0.0064</x:v>
      </x:c>
      <x:c r="H103" s="66" t="str">
        <x:v>世宽若水尘心3号净值20260911.xlsx</x:v>
      </x:c>
      <x:c r="I103" s="73" t="str">
        <x:f>""</x:f>
      </x:c>
      <x:c r="J103" s="74" t="str">
        <x:f>""</x:f>
      </x:c>
      <x:c r="K103" s="73" t="n">
        <x:f>MAX(K102,F103)</x:f>
        <x:v>1.1049</x:v>
      </x:c>
      <x:c r="L103" s="74" t="n">
        <x:f>1-F103/K103</x:f>
        <x:v>0</x:v>
      </x:c>
      <x:c r="M103" s="73" t="n">
        <x:f>MAX(M102,F103)</x:f>
        <x:v>1.1049</x:v>
      </x:c>
      <x:c r="N103" s="74" t="n">
        <x:f>1-F103/M103</x:f>
        <x:v>0</x:v>
      </x:c>
    </x:row>
    <x:row r="104" ht="27" customHeight="1">
      <x:c r="A104" s="66" t="str">
        <x:v>SXT730</x:v>
      </x:c>
      <x:c r="B104" s="66" t="str">
        <x:v>世宽若水尘心3号</x:v>
      </x:c>
      <x:c r="C104" s="72" t="n">
        <x:v>45520</x:v>
      </x:c>
      <x:c r="D104" s="73" t="n">
        <x:v>1.0432</x:v>
      </x:c>
      <x:c r="E104" s="73" t="n">
        <x:v>1.1025</x:v>
      </x:c>
      <x:c r="F104" s="73" t="n">
        <x:v>1.105</x:v>
      </x:c>
      <x:c r="G104" s="74" t="n">
        <x:v>0.0001</x:v>
      </x:c>
      <x:c r="H104" s="66" t="str">
        <x:v>世宽若水尘心3号净值20260911.xlsx</x:v>
      </x:c>
      <x:c r="I104" s="73" t="str">
        <x:f>""</x:f>
      </x:c>
      <x:c r="J104" s="74" t="str">
        <x:f>""</x:f>
      </x:c>
      <x:c r="K104" s="73" t="n">
        <x:f>MAX(K103,F104)</x:f>
        <x:v>1.105</x:v>
      </x:c>
      <x:c r="L104" s="74" t="n">
        <x:f>1-F104/K104</x:f>
        <x:v>0</x:v>
      </x:c>
      <x:c r="M104" s="73" t="n">
        <x:f>MAX(M103,F104)</x:f>
        <x:v>1.105</x:v>
      </x:c>
      <x:c r="N104" s="74" t="n">
        <x:f>1-F104/M104</x:f>
        <x:v>0</x:v>
      </x:c>
    </x:row>
    <x:row r="105" ht="27" customHeight="1">
      <x:c r="A105" s="66" t="str">
        <x:v>SXT730</x:v>
      </x:c>
      <x:c r="B105" s="66" t="str">
        <x:v>世宽若水尘心3号</x:v>
      </x:c>
      <x:c r="C105" s="72" t="n">
        <x:v>45527</x:v>
      </x:c>
      <x:c r="D105" s="73" t="n">
        <x:v>1.0489</x:v>
      </x:c>
      <x:c r="E105" s="73" t="n">
        <x:v>1.1082</x:v>
      </x:c>
      <x:c r="F105" s="73" t="n">
        <x:v>1.111</x:v>
      </x:c>
      <x:c r="G105" s="74" t="n">
        <x:v>0.0055000000000000005</x:v>
      </x:c>
      <x:c r="H105" s="66" t="str">
        <x:v>世宽若水尘心3号净值20260911.xlsx</x:v>
      </x:c>
      <x:c r="I105" s="73" t="str">
        <x:f>""</x:f>
      </x:c>
      <x:c r="J105" s="74" t="str">
        <x:f>""</x:f>
      </x:c>
      <x:c r="K105" s="73" t="n">
        <x:f>MAX(K104,F105)</x:f>
        <x:v>1.111</x:v>
      </x:c>
      <x:c r="L105" s="74" t="n">
        <x:f>1-F105/K105</x:f>
        <x:v>0</x:v>
      </x:c>
      <x:c r="M105" s="73" t="n">
        <x:f>MAX(M104,F105)</x:f>
        <x:v>1.111</x:v>
      </x:c>
      <x:c r="N105" s="74" t="n">
        <x:f>1-F105/M105</x:f>
        <x:v>0</x:v>
      </x:c>
    </x:row>
    <x:row r="106" ht="27" customHeight="1">
      <x:c r="A106" s="66" t="str">
        <x:v>SXT730</x:v>
      </x:c>
      <x:c r="B106" s="66" t="str">
        <x:v>世宽若水尘心3号</x:v>
      </x:c>
      <x:c r="C106" s="72" t="n">
        <x:v>45534</x:v>
      </x:c>
      <x:c r="D106" s="73" t="n">
        <x:v>1.0523</x:v>
      </x:c>
      <x:c r="E106" s="73" t="n">
        <x:v>1.1116</x:v>
      </x:c>
      <x:c r="F106" s="73" t="n">
        <x:v>1.1146</x:v>
      </x:c>
      <x:c r="G106" s="74" t="n">
        <x:v>0.0032</x:v>
      </x:c>
      <x:c r="H106" s="66" t="str">
        <x:v>世宽若水尘心3号净值20260911.xlsx</x:v>
      </x:c>
      <x:c r="I106" s="73" t="str">
        <x:f>""</x:f>
      </x:c>
      <x:c r="J106" s="74" t="str">
        <x:f>""</x:f>
      </x:c>
      <x:c r="K106" s="73" t="n">
        <x:f>MAX(K105,F106)</x:f>
        <x:v>1.1146</x:v>
      </x:c>
      <x:c r="L106" s="74" t="n">
        <x:f>1-F106/K106</x:f>
        <x:v>0</x:v>
      </x:c>
      <x:c r="M106" s="73" t="n">
        <x:f>MAX(M105,F106)</x:f>
        <x:v>1.1146</x:v>
      </x:c>
      <x:c r="N106" s="74" t="n">
        <x:f>1-F106/M106</x:f>
        <x:v>0</x:v>
      </x:c>
    </x:row>
    <x:row r="107" ht="27" customHeight="1">
      <x:c r="A107" s="66" t="str">
        <x:v>SXT730</x:v>
      </x:c>
      <x:c r="B107" s="66" t="str">
        <x:v>世宽若水尘心3号</x:v>
      </x:c>
      <x:c r="C107" s="72" t="n">
        <x:v>45541</x:v>
      </x:c>
      <x:c r="D107" s="73" t="n">
        <x:v>1.0559</x:v>
      </x:c>
      <x:c r="E107" s="73" t="n">
        <x:v>1.1152</x:v>
      </x:c>
      <x:c r="F107" s="73" t="n">
        <x:v>1.1185</x:v>
      </x:c>
      <x:c r="G107" s="74" t="n">
        <x:v>0.0034000000000000002</x:v>
      </x:c>
      <x:c r="H107" s="66" t="str">
        <x:v>世宽若水尘心3号净值20260911.xlsx</x:v>
      </x:c>
      <x:c r="I107" s="73" t="str">
        <x:f>""</x:f>
      </x:c>
      <x:c r="J107" s="74" t="str">
        <x:f>""</x:f>
      </x:c>
      <x:c r="K107" s="73" t="n">
        <x:f>MAX(K106,F107)</x:f>
        <x:v>1.1185</x:v>
      </x:c>
      <x:c r="L107" s="74" t="n">
        <x:f>1-F107/K107</x:f>
        <x:v>0</x:v>
      </x:c>
      <x:c r="M107" s="73" t="n">
        <x:f>MAX(M106,F107)</x:f>
        <x:v>1.1185</x:v>
      </x:c>
      <x:c r="N107" s="74" t="n">
        <x:f>1-F107/M107</x:f>
        <x:v>0</x:v>
      </x:c>
    </x:row>
    <x:row r="108" ht="27" customHeight="1">
      <x:c r="A108" s="66" t="str">
        <x:v>SXT730</x:v>
      </x:c>
      <x:c r="B108" s="66" t="str">
        <x:v>世宽若水尘心3号</x:v>
      </x:c>
      <x:c r="C108" s="72" t="n">
        <x:v>45548</x:v>
      </x:c>
      <x:c r="D108" s="73" t="n">
        <x:v>1.0594</x:v>
      </x:c>
      <x:c r="E108" s="73" t="n">
        <x:v>1.1187</x:v>
      </x:c>
      <x:c r="F108" s="73" t="n">
        <x:v>1.1222</x:v>
      </x:c>
      <x:c r="G108" s="74" t="n">
        <x:v>0.0033</x:v>
      </x:c>
      <x:c r="H108" s="66" t="str">
        <x:v>世宽若水尘心3号净值20260911.xlsx</x:v>
      </x:c>
      <x:c r="I108" s="73" t="str">
        <x:f>""</x:f>
      </x:c>
      <x:c r="J108" s="74" t="str">
        <x:f>""</x:f>
      </x:c>
      <x:c r="K108" s="73" t="n">
        <x:f>MAX(K107,F108)</x:f>
        <x:v>1.1222</x:v>
      </x:c>
      <x:c r="L108" s="74" t="n">
        <x:f>1-F108/K108</x:f>
        <x:v>0</x:v>
      </x:c>
      <x:c r="M108" s="73" t="n">
        <x:f>MAX(M107,F108)</x:f>
        <x:v>1.1222</x:v>
      </x:c>
      <x:c r="N108" s="74" t="n">
        <x:f>1-F108/M108</x:f>
        <x:v>0</x:v>
      </x:c>
    </x:row>
    <x:row r="109" ht="27" customHeight="1">
      <x:c r="A109" s="66" t="str">
        <x:v>SXT730</x:v>
      </x:c>
      <x:c r="B109" s="66" t="str">
        <x:v>世宽若水尘心3号</x:v>
      </x:c>
      <x:c r="C109" s="72" t="n">
        <x:v>45555</x:v>
      </x:c>
      <x:c r="D109" s="73" t="n">
        <x:v>1.0614</x:v>
      </x:c>
      <x:c r="E109" s="73" t="n">
        <x:v>1.1207</x:v>
      </x:c>
      <x:c r="F109" s="73" t="n">
        <x:v>1.1243</x:v>
      </x:c>
      <x:c r="G109" s="74" t="n">
        <x:v>0.0019</x:v>
      </x:c>
      <x:c r="H109" s="66" t="str">
        <x:v>世宽若水尘心3号净值20260911.xlsx</x:v>
      </x:c>
      <x:c r="I109" s="73" t="str">
        <x:f>""</x:f>
      </x:c>
      <x:c r="J109" s="74" t="str">
        <x:f>""</x:f>
      </x:c>
      <x:c r="K109" s="73" t="n">
        <x:f>MAX(K108,F109)</x:f>
        <x:v>1.1243</x:v>
      </x:c>
      <x:c r="L109" s="74" t="n">
        <x:f>1-F109/K109</x:f>
        <x:v>0</x:v>
      </x:c>
      <x:c r="M109" s="73" t="n">
        <x:f>MAX(M108,F109)</x:f>
        <x:v>1.1243</x:v>
      </x:c>
      <x:c r="N109" s="74" t="n">
        <x:f>1-F109/M109</x:f>
        <x:v>0</x:v>
      </x:c>
    </x:row>
    <x:row r="110" ht="27" customHeight="1">
      <x:c r="A110" s="66" t="str">
        <x:v>SXT730</x:v>
      </x:c>
      <x:c r="B110" s="66" t="str">
        <x:v>世宽若水尘心3号</x:v>
      </x:c>
      <x:c r="C110" s="72" t="n">
        <x:v>45562</x:v>
      </x:c>
      <x:c r="D110" s="73" t="n">
        <x:v>1.0689</x:v>
      </x:c>
      <x:c r="E110" s="73" t="n">
        <x:v>1.1282</x:v>
      </x:c>
      <x:c r="F110" s="73" t="n">
        <x:v>1.1322</x:v>
      </x:c>
      <x:c r="G110" s="74" t="n">
        <x:v>0.0070999999999999995</x:v>
      </x:c>
      <x:c r="H110" s="66" t="str">
        <x:v>世宽若水尘心3号净值20260911.xlsx</x:v>
      </x:c>
      <x:c r="I110" s="73" t="str">
        <x:f>""</x:f>
      </x:c>
      <x:c r="J110" s="74" t="str">
        <x:f>""</x:f>
      </x:c>
      <x:c r="K110" s="73" t="n">
        <x:f>MAX(K109,F110)</x:f>
        <x:v>1.1322</x:v>
      </x:c>
      <x:c r="L110" s="74" t="n">
        <x:f>1-F110/K110</x:f>
        <x:v>0</x:v>
      </x:c>
      <x:c r="M110" s="73" t="n">
        <x:f>MAX(M109,F110)</x:f>
        <x:v>1.1322</x:v>
      </x:c>
      <x:c r="N110" s="74" t="n">
        <x:f>1-F110/M110</x:f>
        <x:v>0</x:v>
      </x:c>
    </x:row>
    <x:row r="111" ht="27" customHeight="1">
      <x:c r="A111" s="66" t="str">
        <x:v>SXT730</x:v>
      </x:c>
      <x:c r="B111" s="66" t="str">
        <x:v>世宽若水尘心3号</x:v>
      </x:c>
      <x:c r="C111" s="72" t="n">
        <x:v>45565</x:v>
      </x:c>
      <x:c r="D111" s="73" t="n">
        <x:v>1.0669</x:v>
      </x:c>
      <x:c r="E111" s="73" t="n">
        <x:v>1.1262</x:v>
      </x:c>
      <x:c r="F111" s="73" t="n">
        <x:v>1.1301</x:v>
      </x:c>
      <x:c r="G111" s="74" t="n">
        <x:v>-0.0019</x:v>
      </x:c>
      <x:c r="H111" s="66" t="str">
        <x:v>世宽若水尘心3号净值20260911.xlsx</x:v>
      </x:c>
      <x:c r="I111" s="73" t="str">
        <x:f>""</x:f>
      </x:c>
      <x:c r="J111" s="74" t="str">
        <x:f>""</x:f>
      </x:c>
      <x:c r="K111" s="73" t="n">
        <x:f>MAX(K110,F111)</x:f>
        <x:v>1.1322</x:v>
      </x:c>
      <x:c r="L111" s="74" t="n">
        <x:f>1-F111/K111</x:f>
        <x:v>0.0018547959724429797</x:v>
      </x:c>
      <x:c r="M111" s="73" t="n">
        <x:f>MAX(M110,F111)</x:f>
        <x:v>1.1322</x:v>
      </x:c>
      <x:c r="N111" s="74" t="n">
        <x:f>1-F111/M111</x:f>
        <x:v>0.0018547959724429797</x:v>
      </x:c>
    </x:row>
    <x:row r="112" ht="27" customHeight="1">
      <x:c r="A112" s="66" t="str">
        <x:v>SXT730</x:v>
      </x:c>
      <x:c r="B112" s="66" t="str">
        <x:v>世宽若水尘心3号</x:v>
      </x:c>
      <x:c r="C112" s="72" t="n">
        <x:v>45576</x:v>
      </x:c>
      <x:c r="D112" s="73" t="n">
        <x:v>1.0928</x:v>
      </x:c>
      <x:c r="E112" s="73" t="n">
        <x:v>1.1521</x:v>
      </x:c>
      <x:c r="F112" s="73" t="n">
        <x:v>1.1575</x:v>
      </x:c>
      <x:c r="G112" s="74" t="n">
        <x:v>0.024300000000000002</x:v>
      </x:c>
      <x:c r="H112" s="66" t="str">
        <x:v>世宽若水尘心3号净值20260911.xlsx</x:v>
      </x:c>
      <x:c r="I112" s="73" t="str">
        <x:f>""</x:f>
      </x:c>
      <x:c r="J112" s="74" t="str">
        <x:f>""</x:f>
      </x:c>
      <x:c r="K112" s="73" t="n">
        <x:f>MAX(K111,F112)</x:f>
        <x:v>1.1575</x:v>
      </x:c>
      <x:c r="L112" s="74" t="n">
        <x:f>1-F112/K112</x:f>
        <x:v>0</x:v>
      </x:c>
      <x:c r="M112" s="73" t="n">
        <x:f>MAX(M111,F112)</x:f>
        <x:v>1.1575</x:v>
      </x:c>
      <x:c r="N112" s="74" t="n">
        <x:f>1-F112/M112</x:f>
        <x:v>0</x:v>
      </x:c>
    </x:row>
    <x:row r="113" ht="27" customHeight="1">
      <x:c r="A113" s="66" t="str">
        <x:v>SXT730</x:v>
      </x:c>
      <x:c r="B113" s="66" t="str">
        <x:v>世宽若水尘心3号</x:v>
      </x:c>
      <x:c r="C113" s="72" t="n">
        <x:v>45583</x:v>
      </x:c>
      <x:c r="D113" s="73" t="n">
        <x:v>1.1062</x:v>
      </x:c>
      <x:c r="E113" s="73" t="n">
        <x:v>1.1655</x:v>
      </x:c>
      <x:c r="F113" s="73" t="n">
        <x:v>1.1717</x:v>
      </x:c>
      <x:c r="G113" s="74" t="n">
        <x:v>0.0123</x:v>
      </x:c>
      <x:c r="H113" s="66" t="str">
        <x:v>世宽若水尘心3号净值20260911.xlsx</x:v>
      </x:c>
      <x:c r="I113" s="73" t="str">
        <x:f>""</x:f>
      </x:c>
      <x:c r="J113" s="74" t="str">
        <x:f>""</x:f>
      </x:c>
      <x:c r="K113" s="73" t="n">
        <x:f>MAX(K112,F113)</x:f>
        <x:v>1.1717</x:v>
      </x:c>
      <x:c r="L113" s="74" t="n">
        <x:f>1-F113/K113</x:f>
        <x:v>0</x:v>
      </x:c>
      <x:c r="M113" s="73" t="n">
        <x:f>MAX(M112,F113)</x:f>
        <x:v>1.1717</x:v>
      </x:c>
      <x:c r="N113" s="74" t="n">
        <x:f>1-F113/M113</x:f>
        <x:v>0</x:v>
      </x:c>
    </x:row>
    <x:row r="114" ht="27" customHeight="1">
      <x:c r="A114" s="66" t="str">
        <x:v>SXT730</x:v>
      </x:c>
      <x:c r="B114" s="66" t="str">
        <x:v>世宽若水尘心3号</x:v>
      </x:c>
      <x:c r="C114" s="72" t="n">
        <x:v>45590</x:v>
      </x:c>
      <x:c r="D114" s="73" t="n">
        <x:v>1.1129</x:v>
      </x:c>
      <x:c r="E114" s="73" t="n">
        <x:v>1.1722</x:v>
      </x:c>
      <x:c r="F114" s="73" t="n">
        <x:v>1.1788</x:v>
      </x:c>
      <x:c r="G114" s="74" t="n">
        <x:v>0.0060999999999999995</x:v>
      </x:c>
      <x:c r="H114" s="66" t="str">
        <x:v>世宽若水尘心3号净值20260911.xlsx</x:v>
      </x:c>
      <x:c r="I114" s="73" t="str">
        <x:f>""</x:f>
      </x:c>
      <x:c r="J114" s="74" t="str">
        <x:f>""</x:f>
      </x:c>
      <x:c r="K114" s="73" t="n">
        <x:f>MAX(K113,F114)</x:f>
        <x:v>1.1788</x:v>
      </x:c>
      <x:c r="L114" s="74" t="n">
        <x:f>1-F114/K114</x:f>
        <x:v>0</x:v>
      </x:c>
      <x:c r="M114" s="73" t="n">
        <x:f>MAX(M113,F114)</x:f>
        <x:v>1.1788</x:v>
      </x:c>
      <x:c r="N114" s="74" t="n">
        <x:f>1-F114/M114</x:f>
        <x:v>0</x:v>
      </x:c>
    </x:row>
    <x:row r="115" ht="27" customHeight="1">
      <x:c r="A115" s="66" t="str">
        <x:v>SXT730</x:v>
      </x:c>
      <x:c r="B115" s="66" t="str">
        <x:v>世宽若水尘心3号</x:v>
      </x:c>
      <x:c r="C115" s="72" t="n">
        <x:v>45596</x:v>
      </x:c>
      <x:c r="D115" s="73" t="n">
        <x:v>1.1213</x:v>
      </x:c>
      <x:c r="E115" s="73" t="n">
        <x:v>1.1806</x:v>
      </x:c>
      <x:c r="F115" s="73" t="n">
        <x:v>1.1877</x:v>
      </x:c>
      <x:c r="G115" s="74" t="n">
        <x:v>0.0075</x:v>
      </x:c>
      <x:c r="H115" s="66" t="str">
        <x:v>世宽若水尘心3号净值20260911.xlsx</x:v>
      </x:c>
      <x:c r="I115" s="73" t="str">
        <x:f>""</x:f>
      </x:c>
      <x:c r="J115" s="74" t="str">
        <x:f>""</x:f>
      </x:c>
      <x:c r="K115" s="73" t="n">
        <x:f>MAX(K114,F115)</x:f>
        <x:v>1.1877</x:v>
      </x:c>
      <x:c r="L115" s="74" t="n">
        <x:f>1-F115/K115</x:f>
        <x:v>0</x:v>
      </x:c>
      <x:c r="M115" s="73" t="n">
        <x:f>MAX(M114,F115)</x:f>
        <x:v>1.1877</x:v>
      </x:c>
      <x:c r="N115" s="74" t="n">
        <x:f>1-F115/M115</x:f>
        <x:v>0</x:v>
      </x:c>
    </x:row>
    <x:row r="116" ht="27" customHeight="1">
      <x:c r="A116" s="66" t="str">
        <x:v>SXT730</x:v>
      </x:c>
      <x:c r="B116" s="66" t="str">
        <x:v>世宽若水尘心3号</x:v>
      </x:c>
      <x:c r="C116" s="72" t="n">
        <x:v>45597</x:v>
      </x:c>
      <x:c r="D116" s="73" t="n">
        <x:v>1.1247</x:v>
      </x:c>
      <x:c r="E116" s="73" t="n">
        <x:v>1.184</x:v>
      </x:c>
      <x:c r="F116" s="73" t="n">
        <x:v>1.1913</x:v>
      </x:c>
      <x:c r="G116" s="74" t="n">
        <x:v>0.003</x:v>
      </x:c>
      <x:c r="H116" s="66" t="str">
        <x:v>世宽若水尘心3号净值20260911.xlsx</x:v>
      </x:c>
      <x:c r="I116" s="73" t="str">
        <x:f>""</x:f>
      </x:c>
      <x:c r="J116" s="74" t="str">
        <x:f>""</x:f>
      </x:c>
      <x:c r="K116" s="73" t="n">
        <x:f>MAX(K115,F116)</x:f>
        <x:v>1.1913</x:v>
      </x:c>
      <x:c r="L116" s="74" t="n">
        <x:f>1-F116/K116</x:f>
        <x:v>0</x:v>
      </x:c>
      <x:c r="M116" s="73" t="n">
        <x:f>MAX(M115,F116)</x:f>
        <x:v>1.1913</x:v>
      </x:c>
      <x:c r="N116" s="74" t="n">
        <x:f>1-F116/M116</x:f>
        <x:v>0</x:v>
      </x:c>
    </x:row>
    <x:row r="117" ht="27" customHeight="1">
      <x:c r="A117" s="66" t="str">
        <x:v>SXT730</x:v>
      </x:c>
      <x:c r="B117" s="66" t="str">
        <x:v>世宽若水尘心3号</x:v>
      </x:c>
      <x:c r="C117" s="72" t="n">
        <x:v>45604</x:v>
      </x:c>
      <x:c r="D117" s="73" t="n">
        <x:v>1.1408</x:v>
      </x:c>
      <x:c r="E117" s="73" t="n">
        <x:v>1.2001</x:v>
      </x:c>
      <x:c r="F117" s="73" t="n">
        <x:v>1.2084</x:v>
      </x:c>
      <x:c r="G117" s="74" t="n">
        <x:v>0.0143</x:v>
      </x:c>
      <x:c r="H117" s="66" t="str">
        <x:v>世宽若水尘心3号净值20260911.xlsx</x:v>
      </x:c>
      <x:c r="I117" s="73" t="str">
        <x:f>""</x:f>
      </x:c>
      <x:c r="J117" s="74" t="str">
        <x:f>""</x:f>
      </x:c>
      <x:c r="K117" s="73" t="n">
        <x:f>MAX(K116,F117)</x:f>
        <x:v>1.2084</x:v>
      </x:c>
      <x:c r="L117" s="74" t="n">
        <x:f>1-F117/K117</x:f>
        <x:v>0</x:v>
      </x:c>
      <x:c r="M117" s="73" t="n">
        <x:f>MAX(M116,F117)</x:f>
        <x:v>1.2084</x:v>
      </x:c>
      <x:c r="N117" s="74" t="n">
        <x:f>1-F117/M117</x:f>
        <x:v>0</x:v>
      </x:c>
    </x:row>
    <x:row r="118" ht="27" customHeight="1">
      <x:c r="A118" s="66" t="str">
        <x:v>SXT730</x:v>
      </x:c>
      <x:c r="B118" s="66" t="str">
        <x:v>世宽若水尘心3号</x:v>
      </x:c>
      <x:c r="C118" s="72" t="n">
        <x:v>45611</x:v>
      </x:c>
      <x:c r="D118" s="73" t="n">
        <x:v>1.1485</x:v>
      </x:c>
      <x:c r="E118" s="73" t="n">
        <x:v>1.2078</x:v>
      </x:c>
      <x:c r="F118" s="73" t="n">
        <x:v>1.2165</x:v>
      </x:c>
      <x:c r="G118" s="74" t="n">
        <x:v>0.0067</x:v>
      </x:c>
      <x:c r="H118" s="66" t="str">
        <x:v>世宽若水尘心3号净值20260911.xlsx</x:v>
      </x:c>
      <x:c r="I118" s="73" t="str">
        <x:f>""</x:f>
      </x:c>
      <x:c r="J118" s="74" t="str">
        <x:f>""</x:f>
      </x:c>
      <x:c r="K118" s="73" t="n">
        <x:f>MAX(K117,F118)</x:f>
        <x:v>1.2165</x:v>
      </x:c>
      <x:c r="L118" s="74" t="n">
        <x:f>1-F118/K118</x:f>
        <x:v>0</x:v>
      </x:c>
      <x:c r="M118" s="73" t="n">
        <x:f>MAX(M117,F118)</x:f>
        <x:v>1.2165</x:v>
      </x:c>
      <x:c r="N118" s="74" t="n">
        <x:f>1-F118/M118</x:f>
        <x:v>0</x:v>
      </x:c>
    </x:row>
    <x:row r="119" ht="27" customHeight="1">
      <x:c r="A119" s="66" t="str">
        <x:v>SXT730</x:v>
      </x:c>
      <x:c r="B119" s="66" t="str">
        <x:v>世宽若水尘心3号</x:v>
      </x:c>
      <x:c r="C119" s="72" t="n">
        <x:v>45618</x:v>
      </x:c>
      <x:c r="D119" s="73" t="n">
        <x:v>1.1534</x:v>
      </x:c>
      <x:c r="E119" s="73" t="n">
        <x:v>1.2127</x:v>
      </x:c>
      <x:c r="F119" s="73" t="n">
        <x:v>1.2217</x:v>
      </x:c>
      <x:c r="G119" s="74" t="n">
        <x:v>0.0043</x:v>
      </x:c>
      <x:c r="H119" s="66" t="str">
        <x:v>世宽若水尘心3号净值20260911.xlsx</x:v>
      </x:c>
      <x:c r="I119" s="73" t="str">
        <x:f>""</x:f>
      </x:c>
      <x:c r="J119" s="74" t="str">
        <x:f>""</x:f>
      </x:c>
      <x:c r="K119" s="73" t="n">
        <x:f>MAX(K118,F119)</x:f>
        <x:v>1.2217</x:v>
      </x:c>
      <x:c r="L119" s="74" t="n">
        <x:f>1-F119/K119</x:f>
        <x:v>0</x:v>
      </x:c>
      <x:c r="M119" s="73" t="n">
        <x:f>MAX(M118,F119)</x:f>
        <x:v>1.2217</x:v>
      </x:c>
      <x:c r="N119" s="74" t="n">
        <x:f>1-F119/M119</x:f>
        <x:v>0</x:v>
      </x:c>
    </x:row>
    <x:row r="120" ht="27" customHeight="1">
      <x:c r="A120" s="66" t="str">
        <x:v>SXT730</x:v>
      </x:c>
      <x:c r="B120" s="66" t="str">
        <x:v>世宽若水尘心3号</x:v>
      </x:c>
      <x:c r="C120" s="72" t="n">
        <x:v>45625</x:v>
      </x:c>
      <x:c r="D120" s="73" t="n">
        <x:v>1.1635</x:v>
      </x:c>
      <x:c r="E120" s="73" t="n">
        <x:v>1.2228</x:v>
      </x:c>
      <x:c r="F120" s="73" t="n">
        <x:v>1.2324</x:v>
      </x:c>
      <x:c r="G120" s="74" t="n">
        <x:v>0.0088</x:v>
      </x:c>
      <x:c r="H120" s="66" t="str">
        <x:v>世宽若水尘心3号净值20260911.xlsx</x:v>
      </x:c>
      <x:c r="I120" s="73" t="str">
        <x:f>""</x:f>
      </x:c>
      <x:c r="J120" s="74" t="str">
        <x:f>""</x:f>
      </x:c>
      <x:c r="K120" s="73" t="n">
        <x:f>MAX(K119,F120)</x:f>
        <x:v>1.2324</x:v>
      </x:c>
      <x:c r="L120" s="74" t="n">
        <x:f>1-F120/K120</x:f>
        <x:v>0</x:v>
      </x:c>
      <x:c r="M120" s="73" t="n">
        <x:f>MAX(M119,F120)</x:f>
        <x:v>1.2324</x:v>
      </x:c>
      <x:c r="N120" s="74" t="n">
        <x:f>1-F120/M120</x:f>
        <x:v>0</x:v>
      </x:c>
    </x:row>
    <x:row r="121" ht="27" customHeight="1">
      <x:c r="A121" s="66" t="str">
        <x:v>SXT730</x:v>
      </x:c>
      <x:c r="B121" s="66" t="str">
        <x:v>世宽若水尘心3号</x:v>
      </x:c>
      <x:c r="C121" s="72" t="n">
        <x:v>45632</x:v>
      </x:c>
      <x:c r="D121" s="73" t="n">
        <x:v>1.1667</x:v>
      </x:c>
      <x:c r="E121" s="73" t="n">
        <x:v>1.226</x:v>
      </x:c>
      <x:c r="F121" s="73" t="n">
        <x:v>1.2358</x:v>
      </x:c>
      <x:c r="G121" s="74" t="n">
        <x:v>0.0028000000000000004</x:v>
      </x:c>
      <x:c r="H121" s="66" t="str">
        <x:v>世宽若水尘心3号净值20260911.xlsx</x:v>
      </x:c>
      <x:c r="I121" s="73" t="str">
        <x:f>""</x:f>
      </x:c>
      <x:c r="J121" s="74" t="str">
        <x:f>""</x:f>
      </x:c>
      <x:c r="K121" s="73" t="n">
        <x:f>MAX(K120,F121)</x:f>
        <x:v>1.2358</x:v>
      </x:c>
      <x:c r="L121" s="74" t="n">
        <x:f>1-F121/K121</x:f>
        <x:v>0</x:v>
      </x:c>
      <x:c r="M121" s="73" t="n">
        <x:f>MAX(M120,F121)</x:f>
        <x:v>1.2358</x:v>
      </x:c>
      <x:c r="N121" s="74" t="n">
        <x:f>1-F121/M121</x:f>
        <x:v>0</x:v>
      </x:c>
    </x:row>
    <x:row r="122" ht="27" customHeight="1">
      <x:c r="A122" s="66" t="str">
        <x:v>SXT730</x:v>
      </x:c>
      <x:c r="B122" s="66" t="str">
        <x:v>世宽若水尘心3号</x:v>
      </x:c>
      <x:c r="C122" s="72" t="n">
        <x:v>45639</x:v>
      </x:c>
      <x:c r="D122" s="73" t="n">
        <x:v>1.1719</x:v>
      </x:c>
      <x:c r="E122" s="73" t="n">
        <x:v>1.2312</x:v>
      </x:c>
      <x:c r="F122" s="73" t="n">
        <x:v>1.2413</x:v>
      </x:c>
      <x:c r="G122" s="74" t="n">
        <x:v>0.0045000000000000005</x:v>
      </x:c>
      <x:c r="H122" s="66" t="str">
        <x:v>世宽若水尘心3号净值20260911.xlsx</x:v>
      </x:c>
      <x:c r="I122" s="73" t="str">
        <x:f>""</x:f>
      </x:c>
      <x:c r="J122" s="74" t="str">
        <x:f>""</x:f>
      </x:c>
      <x:c r="K122" s="73" t="n">
        <x:f>MAX(K121,F122)</x:f>
        <x:v>1.2413</x:v>
      </x:c>
      <x:c r="L122" s="74" t="n">
        <x:f>1-F122/K122</x:f>
        <x:v>0</x:v>
      </x:c>
      <x:c r="M122" s="73" t="n">
        <x:f>MAX(M121,F122)</x:f>
        <x:v>1.2413</x:v>
      </x:c>
      <x:c r="N122" s="74" t="n">
        <x:f>1-F122/M122</x:f>
        <x:v>0</x:v>
      </x:c>
    </x:row>
    <x:row r="123" ht="27" customHeight="1">
      <x:c r="A123" s="66" t="str">
        <x:v>SXT730</x:v>
      </x:c>
      <x:c r="B123" s="66" t="str">
        <x:v>世宽若水尘心3号</x:v>
      </x:c>
      <x:c r="C123" s="72" t="n">
        <x:v>45646</x:v>
      </x:c>
      <x:c r="D123" s="73" t="n">
        <x:v>1.1754</x:v>
      </x:c>
      <x:c r="E123" s="73" t="n">
        <x:v>1.2347</x:v>
      </x:c>
      <x:c r="F123" s="73" t="n">
        <x:v>1.245</x:v>
      </x:c>
      <x:c r="G123" s="74" t="n">
        <x:v>0.003</x:v>
      </x:c>
      <x:c r="H123" s="66" t="str">
        <x:v>世宽若水尘心3号净值20260911.xlsx</x:v>
      </x:c>
      <x:c r="I123" s="73" t="str">
        <x:f>""</x:f>
      </x:c>
      <x:c r="J123" s="74" t="str">
        <x:f>""</x:f>
      </x:c>
      <x:c r="K123" s="73" t="n">
        <x:f>MAX(K122,F123)</x:f>
        <x:v>1.245</x:v>
      </x:c>
      <x:c r="L123" s="74" t="n">
        <x:f>1-F123/K123</x:f>
        <x:v>0</x:v>
      </x:c>
      <x:c r="M123" s="73" t="n">
        <x:f>MAX(M122,F123)</x:f>
        <x:v>1.245</x:v>
      </x:c>
      <x:c r="N123" s="74" t="n">
        <x:f>1-F123/M123</x:f>
        <x:v>0</x:v>
      </x:c>
    </x:row>
    <x:row r="124" ht="27" customHeight="1">
      <x:c r="A124" s="66" t="str">
        <x:v>SXT730</x:v>
      </x:c>
      <x:c r="B124" s="66" t="str">
        <x:v>世宽若水尘心3号</x:v>
      </x:c>
      <x:c r="C124" s="72" t="n">
        <x:v>45653</x:v>
      </x:c>
      <x:c r="D124" s="73" t="n">
        <x:v>1.1732</x:v>
      </x:c>
      <x:c r="E124" s="73" t="n">
        <x:v>1.2325</x:v>
      </x:c>
      <x:c r="F124" s="73" t="n">
        <x:v>1.2427</x:v>
      </x:c>
      <x:c r="G124" s="74" t="n">
        <x:v>-0.0019</x:v>
      </x:c>
      <x:c r="H124" s="66" t="str">
        <x:v>世宽若水尘心3号净值20260911.xlsx</x:v>
      </x:c>
      <x:c r="I124" s="73" t="str">
        <x:f>""</x:f>
      </x:c>
      <x:c r="J124" s="74" t="str">
        <x:f>""</x:f>
      </x:c>
      <x:c r="K124" s="73" t="n">
        <x:f>MAX(K123,F124)</x:f>
        <x:v>1.245</x:v>
      </x:c>
      <x:c r="L124" s="74" t="n">
        <x:f>1-F124/K124</x:f>
        <x:v>0.001847389558233048</x:v>
      </x:c>
      <x:c r="M124" s="73" t="n">
        <x:f>MAX(M123,F124)</x:f>
        <x:v>1.245</x:v>
      </x:c>
      <x:c r="N124" s="74" t="n">
        <x:f>1-F124/M124</x:f>
        <x:v>0.001847389558233048</x:v>
      </x:c>
    </x:row>
    <x:row r="125" ht="27" customHeight="1">
      <x:c r="A125" s="66" t="str">
        <x:v>SXT730</x:v>
      </x:c>
      <x:c r="B125" s="66" t="str">
        <x:v>世宽若水尘心3号</x:v>
      </x:c>
      <x:c r="C125" s="72" t="n">
        <x:v>45657</x:v>
      </x:c>
      <x:c r="D125" s="73" t="n">
        <x:v>1.1734</x:v>
      </x:c>
      <x:c r="E125" s="73" t="n">
        <x:v>1.2327</x:v>
      </x:c>
      <x:c r="F125" s="73" t="n">
        <x:v>1.2429</x:v>
      </x:c>
      <x:c r="G125" s="74" t="n">
        <x:v>0.0002</x:v>
      </x:c>
      <x:c r="H125" s="66" t="str">
        <x:v>世宽若水尘心3号净值20260911.xlsx</x:v>
      </x:c>
      <x:c r="I125" s="73" t="str">
        <x:f>""</x:f>
      </x:c>
      <x:c r="J125" s="74" t="str">
        <x:f>""</x:f>
      </x:c>
      <x:c r="K125" s="73" t="n">
        <x:f>MAX(K124,F125)</x:f>
        <x:v>1.245</x:v>
      </x:c>
      <x:c r="L125" s="74" t="n">
        <x:f>1-F125/K125</x:f>
        <x:v>0.0016867469879520147</x:v>
      </x:c>
      <x:c r="M125" s="73" t="n">
        <x:f>MAX(M124,F125)</x:f>
        <x:v>1.245</x:v>
      </x:c>
      <x:c r="N125" s="74" t="n">
        <x:f>1-F125/M125</x:f>
        <x:v>0.0016867469879520147</x:v>
      </x:c>
    </x:row>
    <x:row r="126" ht="27" customHeight="1">
      <x:c r="A126" s="66" t="str">
        <x:v>SXT730</x:v>
      </x:c>
      <x:c r="B126" s="66" t="str">
        <x:v>世宽若水尘心3号</x:v>
      </x:c>
      <x:c r="C126" s="72" t="n">
        <x:v>45660</x:v>
      </x:c>
      <x:c r="D126" s="73" t="n">
        <x:v>1.1689</x:v>
      </x:c>
      <x:c r="E126" s="73" t="n">
        <x:v>1.2282</x:v>
      </x:c>
      <x:c r="F126" s="73" t="n">
        <x:v>1.2381</x:v>
      </x:c>
      <x:c r="G126" s="74" t="n">
        <x:v>-0.0038</x:v>
      </x:c>
      <x:c r="H126" s="66" t="str">
        <x:v>世宽若水尘心3号净值20260911.xlsx</x:v>
      </x:c>
      <x:c r="I126" s="73" t="str">
        <x:f>""</x:f>
      </x:c>
      <x:c r="J126" s="74" t="str">
        <x:f>""</x:f>
      </x:c>
      <x:c r="K126" s="73" t="n">
        <x:f>MAX(K125,F126)</x:f>
        <x:v>1.245</x:v>
      </x:c>
      <x:c r="L126" s="74" t="n">
        <x:f>1-F126/K126</x:f>
        <x:v>0.005542168674698922</x:v>
      </x:c>
      <x:c r="M126" s="73" t="n">
        <x:f>MAX(M125,F126)</x:f>
        <x:v>1.245</x:v>
      </x:c>
      <x:c r="N126" s="74" t="n">
        <x:f>1-F126/M126</x:f>
        <x:v>0.005542168674698922</x:v>
      </x:c>
    </x:row>
    <x:row r="127" ht="27" customHeight="1">
      <x:c r="A127" s="66" t="str">
        <x:v>SXT730</x:v>
      </x:c>
      <x:c r="B127" s="66" t="str">
        <x:v>世宽若水尘心3号</x:v>
      </x:c>
      <x:c r="C127" s="72" t="n">
        <x:v>45667</x:v>
      </x:c>
      <x:c r="D127" s="73" t="n">
        <x:v>1.1691</x:v>
      </x:c>
      <x:c r="E127" s="73" t="n">
        <x:v>1.2284</x:v>
      </x:c>
      <x:c r="F127" s="73" t="n">
        <x:v>1.2384</x:v>
      </x:c>
      <x:c r="G127" s="74" t="n">
        <x:v>0.0002</x:v>
      </x:c>
      <x:c r="H127" s="66" t="str">
        <x:v>世宽若水尘心3号净值20260911.xlsx</x:v>
      </x:c>
      <x:c r="I127" s="73" t="str">
        <x:f>""</x:f>
      </x:c>
      <x:c r="J127" s="74" t="str">
        <x:f>""</x:f>
      </x:c>
      <x:c r="K127" s="73" t="n">
        <x:f>MAX(K126,F127)</x:f>
        <x:v>1.245</x:v>
      </x:c>
      <x:c r="L127" s="74" t="n">
        <x:f>1-F127/K127</x:f>
        <x:v>0.0053012048192772054</x:v>
      </x:c>
      <x:c r="M127" s="73" t="n">
        <x:f>MAX(M126,F127)</x:f>
        <x:v>1.245</x:v>
      </x:c>
      <x:c r="N127" s="74" t="n">
        <x:f>1-F127/M127</x:f>
        <x:v>0.0053012048192772054</x:v>
      </x:c>
    </x:row>
    <x:row r="128" ht="27" customHeight="1">
      <x:c r="A128" s="66" t="str">
        <x:v>SXT730</x:v>
      </x:c>
      <x:c r="B128" s="66" t="str">
        <x:v>世宽若水尘心3号</x:v>
      </x:c>
      <x:c r="C128" s="72" t="n">
        <x:v>45674</x:v>
      </x:c>
      <x:c r="D128" s="73" t="n">
        <x:v>1.1695</x:v>
      </x:c>
      <x:c r="E128" s="73" t="n">
        <x:v>1.2288</x:v>
      </x:c>
      <x:c r="F128" s="73" t="n">
        <x:v>1.2388</x:v>
      </x:c>
      <x:c r="G128" s="74" t="n">
        <x:v>0.0003</x:v>
      </x:c>
      <x:c r="H128" s="66" t="str">
        <x:v>世宽若水尘心3号净值20260911.xlsx</x:v>
      </x:c>
      <x:c r="I128" s="73" t="str">
        <x:f>""</x:f>
      </x:c>
      <x:c r="J128" s="74" t="str">
        <x:f>""</x:f>
      </x:c>
      <x:c r="K128" s="73" t="n">
        <x:f>MAX(K127,F128)</x:f>
        <x:v>1.245</x:v>
      </x:c>
      <x:c r="L128" s="74" t="n">
        <x:f>1-F128/K128</x:f>
        <x:v>0.004979919678715028</x:v>
      </x:c>
      <x:c r="M128" s="73" t="n">
        <x:f>MAX(M127,F128)</x:f>
        <x:v>1.245</x:v>
      </x:c>
      <x:c r="N128" s="74" t="n">
        <x:f>1-F128/M128</x:f>
        <x:v>0.004979919678715028</x:v>
      </x:c>
    </x:row>
    <x:row r="129" ht="27" customHeight="1">
      <x:c r="A129" s="66" t="str">
        <x:v>SXT730</x:v>
      </x:c>
      <x:c r="B129" s="66" t="str">
        <x:v>世宽若水尘心3号</x:v>
      </x:c>
      <x:c r="C129" s="72" t="n">
        <x:v>45681</x:v>
      </x:c>
      <x:c r="D129" s="73" t="n">
        <x:v>1.1701</x:v>
      </x:c>
      <x:c r="E129" s="73" t="n">
        <x:v>1.2294</x:v>
      </x:c>
      <x:c r="F129" s="73" t="n">
        <x:v>1.2394</x:v>
      </x:c>
      <x:c r="G129" s="74" t="n">
        <x:v>0.0005</x:v>
      </x:c>
      <x:c r="H129" s="66" t="str">
        <x:v>世宽若水尘心3号净值20260911.xlsx</x:v>
      </x:c>
      <x:c r="I129" s="73" t="str">
        <x:f>""</x:f>
      </x:c>
      <x:c r="J129" s="74" t="str">
        <x:f>""</x:f>
      </x:c>
      <x:c r="K129" s="73" t="n">
        <x:f>MAX(K128,F129)</x:f>
        <x:v>1.245</x:v>
      </x:c>
      <x:c r="L129" s="74" t="n">
        <x:f>1-F129/K129</x:f>
        <x:v>0.004497991967871484</x:v>
      </x:c>
      <x:c r="M129" s="73" t="n">
        <x:f>MAX(M128,F129)</x:f>
        <x:v>1.245</x:v>
      </x:c>
      <x:c r="N129" s="74" t="n">
        <x:f>1-F129/M129</x:f>
        <x:v>0.004497991967871484</x:v>
      </x:c>
    </x:row>
    <x:row r="130" ht="27" customHeight="1">
      <x:c r="A130" s="66" t="str">
        <x:v>SXT730</x:v>
      </x:c>
      <x:c r="B130" s="66" t="str">
        <x:v>世宽若水尘心3号</x:v>
      </x:c>
      <x:c r="C130" s="72" t="n">
        <x:v>45684</x:v>
      </x:c>
      <x:c r="D130" s="73" t="n">
        <x:v>1.1679</x:v>
      </x:c>
      <x:c r="E130" s="73" t="n">
        <x:v>1.2272</x:v>
      </x:c>
      <x:c r="F130" s="73" t="n">
        <x:v>1.2371</x:v>
      </x:c>
      <x:c r="G130" s="74" t="n">
        <x:v>-0.0019</x:v>
      </x:c>
      <x:c r="H130" s="66" t="str">
        <x:v>世宽若水尘心3号净值20260911.xlsx</x:v>
      </x:c>
      <x:c r="I130" s="73" t="str">
        <x:f>""</x:f>
      </x:c>
      <x:c r="J130" s="74" t="str">
        <x:f>""</x:f>
      </x:c>
      <x:c r="K130" s="73" t="n">
        <x:f>MAX(K129,F130)</x:f>
        <x:v>1.245</x:v>
      </x:c>
      <x:c r="L130" s="74" t="n">
        <x:f>1-F130/K130</x:f>
        <x:v>0.006345381526104421</x:v>
      </x:c>
      <x:c r="M130" s="73" t="n">
        <x:f>MAX(M129,F130)</x:f>
        <x:v>1.245</x:v>
      </x:c>
      <x:c r="N130" s="74" t="n">
        <x:f>1-F130/M130</x:f>
        <x:v>0.006345381526104421</x:v>
      </x:c>
    </x:row>
    <x:row r="131" ht="27" customHeight="1">
      <x:c r="A131" s="66" t="str">
        <x:v>SXT730</x:v>
      </x:c>
      <x:c r="B131" s="66" t="str">
        <x:v>世宽若水尘心3号</x:v>
      </x:c>
      <x:c r="C131" s="72" t="n">
        <x:v>45695</x:v>
      </x:c>
      <x:c r="D131" s="73" t="n">
        <x:v>1.1628</x:v>
      </x:c>
      <x:c r="E131" s="73" t="n">
        <x:v>1.2221</x:v>
      </x:c>
      <x:c r="F131" s="73" t="n">
        <x:v>1.2317</x:v>
      </x:c>
      <x:c r="G131" s="74" t="n">
        <x:v>-0.0044</x:v>
      </x:c>
      <x:c r="H131" s="66" t="str">
        <x:v>世宽若水尘心3号净值20260911.xlsx</x:v>
      </x:c>
      <x:c r="I131" s="73" t="str">
        <x:f>""</x:f>
      </x:c>
      <x:c r="J131" s="74" t="str">
        <x:f>""</x:f>
      </x:c>
      <x:c r="K131" s="73" t="n">
        <x:f>MAX(K130,F131)</x:f>
        <x:v>1.245</x:v>
      </x:c>
      <x:c r="L131" s="74" t="n">
        <x:f>1-F131/K131</x:f>
        <x:v>0.010682730923694872</x:v>
      </x:c>
      <x:c r="M131" s="73" t="n">
        <x:f>MAX(M130,F131)</x:f>
        <x:v>1.245</x:v>
      </x:c>
      <x:c r="N131" s="74" t="n">
        <x:f>1-F131/M131</x:f>
        <x:v>0.010682730923694872</x:v>
      </x:c>
    </x:row>
    <x:row r="132" ht="27" customHeight="1">
      <x:c r="A132" s="66" t="str">
        <x:v>SXT730</x:v>
      </x:c>
      <x:c r="B132" s="66" t="str">
        <x:v>世宽若水尘心3号</x:v>
      </x:c>
      <x:c r="C132" s="72" t="n">
        <x:v>45702</x:v>
      </x:c>
      <x:c r="D132" s="73" t="n">
        <x:v>1.1655</x:v>
      </x:c>
      <x:c r="E132" s="73" t="n">
        <x:v>1.2248</x:v>
      </x:c>
      <x:c r="F132" s="73" t="n">
        <x:v>1.2345</x:v>
      </x:c>
      <x:c r="G132" s="74" t="n">
        <x:v>0.0023</x:v>
      </x:c>
      <x:c r="H132" s="66" t="str">
        <x:v>世宽若水尘心3号净值20260911.xlsx</x:v>
      </x:c>
      <x:c r="I132" s="73" t="str">
        <x:f>""</x:f>
      </x:c>
      <x:c r="J132" s="74" t="str">
        <x:f>""</x:f>
      </x:c>
      <x:c r="K132" s="73" t="n">
        <x:f>MAX(K131,F132)</x:f>
        <x:v>1.245</x:v>
      </x:c>
      <x:c r="L132" s="74" t="n">
        <x:f>1-F132/K132</x:f>
        <x:v>0.008433734939759185</x:v>
      </x:c>
      <x:c r="M132" s="73" t="n">
        <x:f>MAX(M131,F132)</x:f>
        <x:v>1.245</x:v>
      </x:c>
      <x:c r="N132" s="74" t="n">
        <x:f>1-F132/M132</x:f>
        <x:v>0.008433734939759185</x:v>
      </x:c>
    </x:row>
    <x:row r="133" ht="27" customHeight="1">
      <x:c r="A133" s="66" t="str">
        <x:v>SXT730</x:v>
      </x:c>
      <x:c r="B133" s="66" t="str">
        <x:v>世宽若水尘心3号</x:v>
      </x:c>
      <x:c r="C133" s="72" t="n">
        <x:v>45709</x:v>
      </x:c>
      <x:c r="D133" s="73" t="n">
        <x:v>1.1738</x:v>
      </x:c>
      <x:c r="E133" s="73" t="n">
        <x:v>1.2331</x:v>
      </x:c>
      <x:c r="F133" s="73" t="n">
        <x:v>1.2433</x:v>
      </x:c>
      <x:c r="G133" s="74" t="n">
        <x:v>0.0070999999999999995</x:v>
      </x:c>
      <x:c r="H133" s="66" t="str">
        <x:v>世宽若水尘心3号净值20260911.xlsx</x:v>
      </x:c>
      <x:c r="I133" s="73" t="str">
        <x:f>""</x:f>
      </x:c>
      <x:c r="J133" s="74" t="str">
        <x:f>""</x:f>
      </x:c>
      <x:c r="K133" s="73" t="n">
        <x:f>MAX(K132,F133)</x:f>
        <x:v>1.245</x:v>
      </x:c>
      <x:c r="L133" s="74" t="n">
        <x:f>1-F133/K133</x:f>
        <x:v>0.0013654618473896152</x:v>
      </x:c>
      <x:c r="M133" s="73" t="n">
        <x:f>MAX(M132,F133)</x:f>
        <x:v>1.245</x:v>
      </x:c>
      <x:c r="N133" s="74" t="n">
        <x:f>1-F133/M133</x:f>
        <x:v>0.0013654618473896152</x:v>
      </x:c>
    </x:row>
    <x:row r="134" ht="27" customHeight="1">
      <x:c r="A134" s="66" t="str">
        <x:v>SXT730</x:v>
      </x:c>
      <x:c r="B134" s="66" t="str">
        <x:v>世宽若水尘心3号</x:v>
      </x:c>
      <x:c r="C134" s="72" t="n">
        <x:v>45715</x:v>
      </x:c>
      <x:c r="D134" s="73" t="n">
        <x:v>1</x:v>
      </x:c>
      <x:c r="E134" s="73" t="n">
        <x:v>1.2358</x:v>
      </x:c>
      <x:c r="F134" s="73" t="n">
        <x:v>1.2462</x:v>
      </x:c>
      <x:c r="G134" s="74" t="n">
        <x:v>0.0023</x:v>
      </x:c>
      <x:c r="H134" s="66" t="str">
        <x:v>世宽若水尘心3号净值20260911.xlsx</x:v>
      </x:c>
      <x:c r="I134" s="73" t="str">
        <x:f>""</x:f>
      </x:c>
      <x:c r="J134" s="74" t="str">
        <x:f>""</x:f>
      </x:c>
      <x:c r="K134" s="73" t="n">
        <x:f>MAX(K133,F134)</x:f>
        <x:v>1.2462</x:v>
      </x:c>
      <x:c r="L134" s="74" t="n">
        <x:f>1-F134/K134</x:f>
        <x:v>0</x:v>
      </x:c>
      <x:c r="M134" s="73" t="n">
        <x:f>MAX(M133,F134)</x:f>
        <x:v>1.2462</x:v>
      </x:c>
      <x:c r="N134" s="74" t="n">
        <x:f>1-F134/M134</x:f>
        <x:v>0</x:v>
      </x:c>
    </x:row>
    <x:row r="135" ht="27" customHeight="1">
      <x:c r="A135" s="66" t="str">
        <x:v>SXT730</x:v>
      </x:c>
      <x:c r="B135" s="66" t="str">
        <x:v>世宽若水尘心3号</x:v>
      </x:c>
      <x:c r="C135" s="72" t="n">
        <x:v>45716</x:v>
      </x:c>
      <x:c r="D135" s="73" t="n">
        <x:v>0.9988</x:v>
      </x:c>
      <x:c r="E135" s="73" t="n">
        <x:v>1.2346</x:v>
      </x:c>
      <x:c r="F135" s="73" t="n">
        <x:v>1.2447</x:v>
      </x:c>
      <x:c r="G135" s="74" t="n">
        <x:v>-0.0012</x:v>
      </x:c>
      <x:c r="H135" s="66" t="str">
        <x:v>世宽若水尘心3号净值20260911.xlsx</x:v>
      </x:c>
      <x:c r="I135" s="73" t="str">
        <x:f>""</x:f>
      </x:c>
      <x:c r="J135" s="74" t="str">
        <x:f>""</x:f>
      </x:c>
      <x:c r="K135" s="73" t="n">
        <x:f>MAX(K134,F135)</x:f>
        <x:v>1.2462</x:v>
      </x:c>
      <x:c r="L135" s="74" t="n">
        <x:f>1-F135/K135</x:f>
        <x:v>0.0012036591237362115</x:v>
      </x:c>
      <x:c r="M135" s="73" t="n">
        <x:f>MAX(M134,F135)</x:f>
        <x:v>1.2462</x:v>
      </x:c>
      <x:c r="N135" s="74" t="n">
        <x:f>1-F135/M135</x:f>
        <x:v>0.0012036591237362115</x:v>
      </x:c>
    </x:row>
    <x:row r="136" ht="27" customHeight="1">
      <x:c r="A136" s="66" t="str">
        <x:v>SXT730</x:v>
      </x:c>
      <x:c r="B136" s="66" t="str">
        <x:v>世宽若水尘心3号</x:v>
      </x:c>
      <x:c r="C136" s="72" t="n">
        <x:v>45723</x:v>
      </x:c>
      <x:c r="D136" s="73" t="n">
        <x:v>0.999</x:v>
      </x:c>
      <x:c r="E136" s="73" t="n">
        <x:v>1.2348</x:v>
      </x:c>
      <x:c r="F136" s="73" t="n">
        <x:v>1.245</x:v>
      </x:c>
      <x:c r="G136" s="74" t="n">
        <x:v>0.0002</x:v>
      </x:c>
      <x:c r="H136" s="66" t="str">
        <x:v>世宽若水尘心3号净值20260911.xlsx</x:v>
      </x:c>
      <x:c r="I136" s="73" t="str">
        <x:f>""</x:f>
      </x:c>
      <x:c r="J136" s="74" t="str">
        <x:f>""</x:f>
      </x:c>
      <x:c r="K136" s="73" t="n">
        <x:f>MAX(K135,F136)</x:f>
        <x:v>1.2462</x:v>
      </x:c>
      <x:c r="L136" s="74" t="n">
        <x:f>1-F136/K136</x:f>
        <x:v>0.000962927298988836</x:v>
      </x:c>
      <x:c r="M136" s="73" t="n">
        <x:f>MAX(M135,F136)</x:f>
        <x:v>1.2462</x:v>
      </x:c>
      <x:c r="N136" s="74" t="n">
        <x:f>1-F136/M136</x:f>
        <x:v>0.000962927298988836</x:v>
      </x:c>
    </x:row>
    <x:row r="137" ht="27" customHeight="1">
      <x:c r="A137" s="66" t="str">
        <x:v>SXT730</x:v>
      </x:c>
      <x:c r="B137" s="66" t="str">
        <x:v>世宽若水尘心3号</x:v>
      </x:c>
      <x:c r="C137" s="72" t="n">
        <x:v>45730</x:v>
      </x:c>
      <x:c r="D137" s="73" t="n">
        <x:v>0.9959</x:v>
      </x:c>
      <x:c r="E137" s="73" t="n">
        <x:v>1.2317</x:v>
      </x:c>
      <x:c r="F137" s="73" t="n">
        <x:v>1.2411</x:v>
      </x:c>
      <x:c r="G137" s="74" t="n">
        <x:v>-0.0031</x:v>
      </x:c>
      <x:c r="H137" s="66" t="str">
        <x:v>世宽若水尘心3号净值20260911.xlsx</x:v>
      </x:c>
      <x:c r="I137" s="73" t="str">
        <x:f>""</x:f>
      </x:c>
      <x:c r="J137" s="74" t="str">
        <x:f>""</x:f>
      </x:c>
      <x:c r="K137" s="73" t="n">
        <x:f>MAX(K136,F137)</x:f>
        <x:v>1.2462</x:v>
      </x:c>
      <x:c r="L137" s="74" t="n">
        <x:f>1-F137/K137</x:f>
        <x:v>0.0040924410207028306</x:v>
      </x:c>
      <x:c r="M137" s="73" t="n">
        <x:f>MAX(M136,F137)</x:f>
        <x:v>1.2462</x:v>
      </x:c>
      <x:c r="N137" s="74" t="n">
        <x:f>1-F137/M137</x:f>
        <x:v>0.0040924410207028306</x:v>
      </x:c>
    </x:row>
    <x:row r="138" ht="27" customHeight="1">
      <x:c r="A138" s="66" t="str">
        <x:v>SXT730</x:v>
      </x:c>
      <x:c r="B138" s="66" t="str">
        <x:v>世宽若水尘心3号</x:v>
      </x:c>
      <x:c r="C138" s="72" t="n">
        <x:v>45737</x:v>
      </x:c>
      <x:c r="D138" s="73" t="n">
        <x:v>1.0014</x:v>
      </x:c>
      <x:c r="E138" s="73" t="n">
        <x:v>1.2372</x:v>
      </x:c>
      <x:c r="F138" s="73" t="n">
        <x:v>1.2479</x:v>
      </x:c>
      <x:c r="G138" s="74" t="n">
        <x:v>0.0055000000000000005</x:v>
      </x:c>
      <x:c r="H138" s="66" t="str">
        <x:v>世宽若水尘心3号净值20260911.xlsx</x:v>
      </x:c>
      <x:c r="I138" s="73" t="str">
        <x:f>""</x:f>
      </x:c>
      <x:c r="J138" s="74" t="str">
        <x:f>""</x:f>
      </x:c>
      <x:c r="K138" s="73" t="n">
        <x:f>MAX(K137,F138)</x:f>
        <x:v>1.2479</x:v>
      </x:c>
      <x:c r="L138" s="74" t="n">
        <x:f>1-F138/K138</x:f>
        <x:v>0</x:v>
      </x:c>
      <x:c r="M138" s="73" t="n">
        <x:f>MAX(M137,F138)</x:f>
        <x:v>1.2479</x:v>
      </x:c>
      <x:c r="N138" s="74" t="n">
        <x:f>1-F138/M138</x:f>
        <x:v>0</x:v>
      </x:c>
    </x:row>
    <x:row r="139" ht="27" customHeight="1">
      <x:c r="A139" s="66" t="str">
        <x:v>SXT730</x:v>
      </x:c>
      <x:c r="B139" s="66" t="str">
        <x:v>世宽若水尘心3号</x:v>
      </x:c>
      <x:c r="C139" s="72" t="n">
        <x:v>45744</x:v>
      </x:c>
      <x:c r="D139" s="73" t="n">
        <x:v>1.0006</x:v>
      </x:c>
      <x:c r="E139" s="73" t="n">
        <x:v>1.2364</x:v>
      </x:c>
      <x:c r="F139" s="73" t="n">
        <x:v>1.2469</x:v>
      </x:c>
      <x:c r="G139" s="74" t="n">
        <x:v>-0.0008</x:v>
      </x:c>
      <x:c r="H139" s="66" t="str">
        <x:v>世宽若水尘心3号净值20260911.xlsx</x:v>
      </x:c>
      <x:c r="I139" s="73" t="str">
        <x:f>""</x:f>
      </x:c>
      <x:c r="J139" s="74" t="str">
        <x:f>""</x:f>
      </x:c>
      <x:c r="K139" s="73" t="n">
        <x:f>MAX(K138,F139)</x:f>
        <x:v>1.2479</x:v>
      </x:c>
      <x:c r="L139" s="74" t="n">
        <x:f>1-F139/K139</x:f>
        <x:v>0.0008013462617197931</x:v>
      </x:c>
      <x:c r="M139" s="73" t="n">
        <x:f>MAX(M138,F139)</x:f>
        <x:v>1.2479</x:v>
      </x:c>
      <x:c r="N139" s="74" t="n">
        <x:f>1-F139/M139</x:f>
        <x:v>0.0008013462617197931</x:v>
      </x:c>
    </x:row>
    <x:row r="140" ht="27" customHeight="1">
      <x:c r="A140" s="66" t="str">
        <x:v>SXT730</x:v>
      </x:c>
      <x:c r="B140" s="66" t="str">
        <x:v>世宽若水尘心3号</x:v>
      </x:c>
      <x:c r="C140" s="72" t="n">
        <x:v>45747</x:v>
      </x:c>
      <x:c r="D140" s="73" t="n">
        <x:v>1.0019</x:v>
      </x:c>
      <x:c r="E140" s="73" t="n">
        <x:v>1.2377</x:v>
      </x:c>
      <x:c r="F140" s="73" t="n">
        <x:v>1.2486</x:v>
      </x:c>
      <x:c r="G140" s="74" t="n">
        <x:v>0.0013</x:v>
      </x:c>
      <x:c r="H140" s="66" t="str">
        <x:v>世宽若水尘心3号净值20260911.xlsx</x:v>
      </x:c>
      <x:c r="I140" s="73" t="str">
        <x:f>""</x:f>
      </x:c>
      <x:c r="J140" s="74" t="str">
        <x:f>""</x:f>
      </x:c>
      <x:c r="K140" s="73" t="n">
        <x:f>MAX(K139,F140)</x:f>
        <x:v>1.2486</x:v>
      </x:c>
      <x:c r="L140" s="74" t="n">
        <x:f>1-F140/K140</x:f>
        <x:v>0</x:v>
      </x:c>
      <x:c r="M140" s="73" t="n">
        <x:f>MAX(M139,F140)</x:f>
        <x:v>1.2486</x:v>
      </x:c>
      <x:c r="N140" s="74" t="n">
        <x:f>1-F140/M140</x:f>
        <x:v>0</x:v>
      </x:c>
    </x:row>
    <x:row r="141" ht="27" customHeight="1">
      <x:c r="A141" s="66" t="str">
        <x:v>SXT730</x:v>
      </x:c>
      <x:c r="B141" s="66" t="str">
        <x:v>世宽若水尘心3号</x:v>
      </x:c>
      <x:c r="C141" s="72" t="n">
        <x:v>45750</x:v>
      </x:c>
      <x:c r="D141" s="73" t="n">
        <x:v>1.0004</x:v>
      </x:c>
      <x:c r="E141" s="73" t="n">
        <x:v>1.2362</x:v>
      </x:c>
      <x:c r="F141" s="73" t="n">
        <x:v>1.2467</x:v>
      </x:c>
      <x:c r="G141" s="74" t="n">
        <x:v>-0.0015</x:v>
      </x:c>
      <x:c r="H141" s="66" t="str">
        <x:v>世宽若水尘心3号净值20260911.xlsx</x:v>
      </x:c>
      <x:c r="I141" s="73" t="str">
        <x:f>""</x:f>
      </x:c>
      <x:c r="J141" s="74" t="str">
        <x:f>""</x:f>
      </x:c>
      <x:c r="K141" s="73" t="n">
        <x:f>MAX(K140,F141)</x:f>
        <x:v>1.2486</x:v>
      </x:c>
      <x:c r="L141" s="74" t="n">
        <x:f>1-F141/K141</x:f>
        <x:v>0.001521704308825922</x:v>
      </x:c>
      <x:c r="M141" s="73" t="n">
        <x:f>MAX(M140,F141)</x:f>
        <x:v>1.2486</x:v>
      </x:c>
      <x:c r="N141" s="74" t="n">
        <x:f>1-F141/M141</x:f>
        <x:v>0.001521704308825922</x:v>
      </x:c>
    </x:row>
    <x:row r="142" ht="27" customHeight="1">
      <x:c r="A142" s="66" t="str">
        <x:v>SXT730</x:v>
      </x:c>
      <x:c r="B142" s="66" t="str">
        <x:v>世宽若水尘心3号</x:v>
      </x:c>
      <x:c r="C142" s="72" t="n">
        <x:v>45758</x:v>
      </x:c>
      <x:c r="D142" s="73" t="n">
        <x:v>1.0006</x:v>
      </x:c>
      <x:c r="E142" s="73" t="n">
        <x:v>1.2364</x:v>
      </x:c>
      <x:c r="F142" s="73" t="n">
        <x:v>1.2469</x:v>
      </x:c>
      <x:c r="G142" s="74" t="n">
        <x:v>0.0002</x:v>
      </x:c>
      <x:c r="H142" s="66" t="str">
        <x:v>世宽若水尘心3号净值20260911.xlsx</x:v>
      </x:c>
      <x:c r="I142" s="73" t="str">
        <x:f>""</x:f>
      </x:c>
      <x:c r="J142" s="74" t="str">
        <x:f>""</x:f>
      </x:c>
      <x:c r="K142" s="73" t="n">
        <x:f>MAX(K141,F142)</x:f>
        <x:v>1.2486</x:v>
      </x:c>
      <x:c r="L142" s="74" t="n">
        <x:f>1-F142/K142</x:f>
        <x:v>0.0013615249078968716</x:v>
      </x:c>
      <x:c r="M142" s="73" t="n">
        <x:f>MAX(M141,F142)</x:f>
        <x:v>1.2486</x:v>
      </x:c>
      <x:c r="N142" s="74" t="n">
        <x:f>1-F142/M142</x:f>
        <x:v>0.0013615249078968716</x:v>
      </x:c>
    </x:row>
    <x:row r="143" ht="27" customHeight="1">
      <x:c r="A143" s="66" t="str">
        <x:v>SXT730</x:v>
      </x:c>
      <x:c r="B143" s="66" t="str">
        <x:v>世宽若水尘心3号</x:v>
      </x:c>
      <x:c r="C143" s="72" t="n">
        <x:v>45765</x:v>
      </x:c>
      <x:c r="D143" s="73" t="n">
        <x:v>1.0019</x:v>
      </x:c>
      <x:c r="E143" s="73" t="n">
        <x:v>1.2377</x:v>
      </x:c>
      <x:c r="F143" s="73" t="n">
        <x:v>1.2486</x:v>
      </x:c>
      <x:c r="G143" s="74" t="n">
        <x:v>0.0013</x:v>
      </x:c>
      <x:c r="H143" s="66" t="str">
        <x:v>世宽若水尘心3号净值20260911.xlsx</x:v>
      </x:c>
      <x:c r="I143" s="73" t="str">
        <x:f>""</x:f>
      </x:c>
      <x:c r="J143" s="74" t="str">
        <x:f>""</x:f>
      </x:c>
      <x:c r="K143" s="73" t="n">
        <x:f>MAX(K142,F143)</x:f>
        <x:v>1.2486</x:v>
      </x:c>
      <x:c r="L143" s="74" t="n">
        <x:f>1-F143/K143</x:f>
        <x:v>0</x:v>
      </x:c>
      <x:c r="M143" s="73" t="n">
        <x:f>MAX(M142,F143)</x:f>
        <x:v>1.2486</x:v>
      </x:c>
      <x:c r="N143" s="74" t="n">
        <x:f>1-F143/M143</x:f>
        <x:v>0</x:v>
      </x:c>
    </x:row>
    <x:row r="144" ht="27" customHeight="1">
      <x:c r="A144" s="66" t="str">
        <x:v>SXT730</x:v>
      </x:c>
      <x:c r="B144" s="66" t="str">
        <x:v>世宽若水尘心3号</x:v>
      </x:c>
      <x:c r="C144" s="72" t="n">
        <x:v>45772</x:v>
      </x:c>
      <x:c r="D144" s="73" t="n">
        <x:v>1.0011</x:v>
      </x:c>
      <x:c r="E144" s="73" t="n">
        <x:v>1.2369</x:v>
      </x:c>
      <x:c r="F144" s="73" t="n">
        <x:v>1.2476</x:v>
      </x:c>
      <x:c r="G144" s="74" t="n">
        <x:v>-0.0008</x:v>
      </x:c>
      <x:c r="H144" s="66" t="str">
        <x:v>世宽若水尘心3号净值20260911.xlsx</x:v>
      </x:c>
      <x:c r="I144" s="73" t="str">
        <x:f>""</x:f>
      </x:c>
      <x:c r="J144" s="74" t="str">
        <x:f>""</x:f>
      </x:c>
      <x:c r="K144" s="73" t="n">
        <x:f>MAX(K143,F144)</x:f>
        <x:v>1.2486</x:v>
      </x:c>
      <x:c r="L144" s="74" t="n">
        <x:f>1-F144/K144</x:f>
        <x:v>0.0008008970046451402</x:v>
      </x:c>
      <x:c r="M144" s="73" t="n">
        <x:f>MAX(M143,F144)</x:f>
        <x:v>1.2486</x:v>
      </x:c>
      <x:c r="N144" s="74" t="n">
        <x:f>1-F144/M144</x:f>
        <x:v>0.0008008970046451402</x:v>
      </x:c>
    </x:row>
    <x:row r="145" ht="27" customHeight="1">
      <x:c r="A145" s="66" t="str">
        <x:v>SXT730</x:v>
      </x:c>
      <x:c r="B145" s="66" t="str">
        <x:v>世宽若水尘心3号</x:v>
      </x:c>
      <x:c r="C145" s="72" t="n">
        <x:v>45777</x:v>
      </x:c>
      <x:c r="D145" s="73" t="n">
        <x:v>1.0001</x:v>
      </x:c>
      <x:c r="E145" s="73" t="n">
        <x:v>1.2359</x:v>
      </x:c>
      <x:c r="F145" s="73" t="n">
        <x:v>1.2463</x:v>
      </x:c>
      <x:c r="G145" s="74" t="n">
        <x:v>-0.001</x:v>
      </x:c>
      <x:c r="H145" s="66" t="str">
        <x:v>世宽若水尘心3号净值20260911.xlsx</x:v>
      </x:c>
      <x:c r="I145" s="73" t="str">
        <x:f>""</x:f>
      </x:c>
      <x:c r="J145" s="74" t="str">
        <x:f>""</x:f>
      </x:c>
      <x:c r="K145" s="73" t="n">
        <x:f>MAX(K144,F145)</x:f>
        <x:v>1.2486</x:v>
      </x:c>
      <x:c r="L145" s="74" t="n">
        <x:f>1-F145/K145</x:f>
        <x:v>0.0018420631106839114</x:v>
      </x:c>
      <x:c r="M145" s="73" t="n">
        <x:f>MAX(M144,F145)</x:f>
        <x:v>1.2486</x:v>
      </x:c>
      <x:c r="N145" s="74" t="n">
        <x:f>1-F145/M145</x:f>
        <x:v>0.0018420631106839114</x:v>
      </x:c>
    </x:row>
    <x:row r="146" ht="27" customHeight="1">
      <x:c r="A146" s="66" t="str">
        <x:v>SXT730</x:v>
      </x:c>
      <x:c r="B146" s="66" t="str">
        <x:v>世宽若水尘心3号</x:v>
      </x:c>
      <x:c r="C146" s="72" t="n">
        <x:v>45786</x:v>
      </x:c>
      <x:c r="D146" s="73" t="n">
        <x:v>0.9995</x:v>
      </x:c>
      <x:c r="E146" s="73" t="n">
        <x:v>1.2353</x:v>
      </x:c>
      <x:c r="F146" s="73" t="n">
        <x:v>1.2456</x:v>
      </x:c>
      <x:c r="G146" s="74" t="n">
        <x:v>-0.0006</x:v>
      </x:c>
      <x:c r="H146" s="66" t="str">
        <x:v>世宽若水尘心3号净值20260911.xlsx</x:v>
      </x:c>
      <x:c r="I146" s="73" t="str">
        <x:f>""</x:f>
      </x:c>
      <x:c r="J146" s="74" t="str">
        <x:f>""</x:f>
      </x:c>
      <x:c r="K146" s="73" t="n">
        <x:f>MAX(K145,F146)</x:f>
        <x:v>1.2486</x:v>
      </x:c>
      <x:c r="L146" s="74" t="n">
        <x:f>1-F146/K146</x:f>
        <x:v>0.0024026910139355317</x:v>
      </x:c>
      <x:c r="M146" s="73" t="n">
        <x:f>MAX(M145,F146)</x:f>
        <x:v>1.2486</x:v>
      </x:c>
      <x:c r="N146" s="74" t="n">
        <x:f>1-F146/M146</x:f>
        <x:v>0.0024026910139355317</x:v>
      </x:c>
    </x:row>
    <x:row r="147" ht="27" customHeight="1">
      <x:c r="A147" s="66" t="str">
        <x:v>SXT730</x:v>
      </x:c>
      <x:c r="B147" s="66" t="str">
        <x:v>世宽若水尘心3号</x:v>
      </x:c>
      <x:c r="C147" s="72" t="n">
        <x:v>45793</x:v>
      </x:c>
      <x:c r="D147" s="73" t="n">
        <x:v>0.9971</x:v>
      </x:c>
      <x:c r="E147" s="73" t="n">
        <x:v>1.2329</x:v>
      </x:c>
      <x:c r="F147" s="73" t="n">
        <x:v>1.2426</x:v>
      </x:c>
      <x:c r="G147" s="74" t="n">
        <x:v>-0.0024</x:v>
      </x:c>
      <x:c r="H147" s="66" t="str">
        <x:v>世宽若水尘心3号净值20260911.xlsx</x:v>
      </x:c>
      <x:c r="I147" s="73" t="str">
        <x:f>""</x:f>
      </x:c>
      <x:c r="J147" s="74" t="str">
        <x:f>""</x:f>
      </x:c>
      <x:c r="K147" s="73" t="n">
        <x:f>MAX(K146,F147)</x:f>
        <x:v>1.2486</x:v>
      </x:c>
      <x:c r="L147" s="74" t="n">
        <x:f>1-F147/K147</x:f>
        <x:v>0.0048053820278711745</x:v>
      </x:c>
      <x:c r="M147" s="73" t="n">
        <x:f>MAX(M146,F147)</x:f>
        <x:v>1.2486</x:v>
      </x:c>
      <x:c r="N147" s="74" t="n">
        <x:f>1-F147/M147</x:f>
        <x:v>0.0048053820278711745</x:v>
      </x:c>
    </x:row>
    <x:row r="148" ht="27" customHeight="1">
      <x:c r="A148" s="66" t="str">
        <x:v>SXT730</x:v>
      </x:c>
      <x:c r="B148" s="66" t="str">
        <x:v>世宽若水尘心3号</x:v>
      </x:c>
      <x:c r="C148" s="72" t="n">
        <x:v>45800</x:v>
      </x:c>
      <x:c r="D148" s="73" t="n">
        <x:v>0.9963</x:v>
      </x:c>
      <x:c r="E148" s="73" t="n">
        <x:v>1.2321</x:v>
      </x:c>
      <x:c r="F148" s="73" t="n">
        <x:v>1.2416</x:v>
      </x:c>
      <x:c r="G148" s="74" t="n">
        <x:v>-0.0008</x:v>
      </x:c>
      <x:c r="H148" s="66" t="str">
        <x:v>世宽若水尘心3号净值20260911.xlsx</x:v>
      </x:c>
      <x:c r="I148" s="73" t="str">
        <x:f>""</x:f>
      </x:c>
      <x:c r="J148" s="74" t="str">
        <x:f>""</x:f>
      </x:c>
      <x:c r="K148" s="73" t="n">
        <x:f>MAX(K147,F148)</x:f>
        <x:v>1.2486</x:v>
      </x:c>
      <x:c r="L148" s="74" t="n">
        <x:f>1-F148/K148</x:f>
        <x:v>0.005606279032516315</x:v>
      </x:c>
      <x:c r="M148" s="73" t="n">
        <x:f>MAX(M147,F148)</x:f>
        <x:v>1.2486</x:v>
      </x:c>
      <x:c r="N148" s="74" t="n">
        <x:f>1-F148/M148</x:f>
        <x:v>0.005606279032516315</x:v>
      </x:c>
    </x:row>
    <x:row r="149" ht="27" customHeight="1">
      <x:c r="A149" s="66" t="str">
        <x:v>SXT730</x:v>
      </x:c>
      <x:c r="B149" s="66" t="str">
        <x:v>世宽若水尘心3号</x:v>
      </x:c>
      <x:c r="C149" s="72" t="n">
        <x:v>45807</x:v>
      </x:c>
      <x:c r="D149" s="73" t="n">
        <x:v>0.9976</x:v>
      </x:c>
      <x:c r="E149" s="73" t="n">
        <x:v>1.2334</x:v>
      </x:c>
      <x:c r="F149" s="73" t="n">
        <x:v>1.2432</x:v>
      </x:c>
      <x:c r="G149" s="74" t="n">
        <x:v>0.0013</x:v>
      </x:c>
      <x:c r="H149" s="66" t="str">
        <x:v>世宽若水尘心3号净值20260911.xlsx</x:v>
      </x:c>
      <x:c r="I149" s="73" t="str">
        <x:f>""</x:f>
      </x:c>
      <x:c r="J149" s="74" t="str">
        <x:f>""</x:f>
      </x:c>
      <x:c r="K149" s="73" t="n">
        <x:f>MAX(K148,F149)</x:f>
        <x:v>1.2486</x:v>
      </x:c>
      <x:c r="L149" s="74" t="n">
        <x:f>1-F149/K149</x:f>
        <x:v>0.004324843825084024</x:v>
      </x:c>
      <x:c r="M149" s="73" t="n">
        <x:f>MAX(M148,F149)</x:f>
        <x:v>1.2486</x:v>
      </x:c>
      <x:c r="N149" s="74" t="n">
        <x:f>1-F149/M149</x:f>
        <x:v>0.004324843825084024</x:v>
      </x:c>
    </x:row>
    <x:row r="150" ht="27" customHeight="1">
      <x:c r="A150" s="66" t="str">
        <x:v>SXT730</x:v>
      </x:c>
      <x:c r="B150" s="66" t="str">
        <x:v>世宽若水尘心3号</x:v>
      </x:c>
      <x:c r="C150" s="72" t="n">
        <x:v>45814</x:v>
      </x:c>
      <x:c r="D150" s="73" t="n">
        <x:v>0.9987</x:v>
      </x:c>
      <x:c r="E150" s="73" t="n">
        <x:v>1.2345</x:v>
      </x:c>
      <x:c r="F150" s="73" t="n">
        <x:v>1.2446</x:v>
      </x:c>
      <x:c r="G150" s="74" t="n">
        <x:v>0.0011</x:v>
      </x:c>
      <x:c r="H150" s="66" t="str">
        <x:v>世宽若水尘心3号净值20260911.xlsx</x:v>
      </x:c>
      <x:c r="I150" s="73" t="str">
        <x:f>""</x:f>
      </x:c>
      <x:c r="J150" s="74" t="str">
        <x:f>""</x:f>
      </x:c>
      <x:c r="K150" s="73" t="n">
        <x:f>MAX(K149,F150)</x:f>
        <x:v>1.2486</x:v>
      </x:c>
      <x:c r="L150" s="74" t="n">
        <x:f>1-F150/K150</x:f>
        <x:v>0.003203588018580783</x:v>
      </x:c>
      <x:c r="M150" s="73" t="n">
        <x:f>MAX(M149,F150)</x:f>
        <x:v>1.2486</x:v>
      </x:c>
      <x:c r="N150" s="74" t="n">
        <x:f>1-F150/M150</x:f>
        <x:v>0.003203588018580783</x:v>
      </x:c>
    </x:row>
    <x:row r="151" ht="27" customHeight="1">
      <x:c r="A151" s="66" t="str">
        <x:v>SXT730</x:v>
      </x:c>
      <x:c r="B151" s="66" t="str">
        <x:v>世宽若水尘心3号</x:v>
      </x:c>
      <x:c r="C151" s="72" t="n">
        <x:v>45821</x:v>
      </x:c>
      <x:c r="D151" s="73" t="n">
        <x:v>0.999</x:v>
      </x:c>
      <x:c r="E151" s="73" t="n">
        <x:v>1.2348</x:v>
      </x:c>
      <x:c r="F151" s="73" t="n">
        <x:v>1.245</x:v>
      </x:c>
      <x:c r="G151" s="74" t="n">
        <x:v>0.0003</x:v>
      </x:c>
      <x:c r="H151" s="66" t="str">
        <x:v>世宽若水尘心3号净值20260911.xlsx</x:v>
      </x:c>
      <x:c r="I151" s="73" t="str">
        <x:f>""</x:f>
      </x:c>
      <x:c r="J151" s="74" t="str">
        <x:f>""</x:f>
      </x:c>
      <x:c r="K151" s="73" t="n">
        <x:f>MAX(K150,F151)</x:f>
        <x:v>1.2486</x:v>
      </x:c>
      <x:c r="L151" s="74" t="n">
        <x:f>1-F151/K151</x:f>
        <x:v>0.0028832292167225715</x:v>
      </x:c>
      <x:c r="M151" s="73" t="n">
        <x:f>MAX(M150,F151)</x:f>
        <x:v>1.2486</x:v>
      </x:c>
      <x:c r="N151" s="74" t="n">
        <x:f>1-F151/M151</x:f>
        <x:v>0.0028832292167225715</x:v>
      </x:c>
    </x:row>
    <x:row r="152" ht="27" customHeight="1">
      <x:c r="A152" s="66" t="str">
        <x:v>SXT730</x:v>
      </x:c>
      <x:c r="B152" s="66" t="str">
        <x:v>世宽若水尘心3号</x:v>
      </x:c>
      <x:c r="C152" s="72" t="n">
        <x:v>45828</x:v>
      </x:c>
      <x:c r="D152" s="73" t="n">
        <x:v>0.9984</x:v>
      </x:c>
      <x:c r="E152" s="73" t="n">
        <x:v>1.2342</x:v>
      </x:c>
      <x:c r="F152" s="73" t="n">
        <x:v>1.2442</x:v>
      </x:c>
      <x:c r="G152" s="74" t="n">
        <x:v>-0.0006</x:v>
      </x:c>
      <x:c r="H152" s="66" t="str">
        <x:v>世宽若水尘心3号净值20260911.xlsx</x:v>
      </x:c>
      <x:c r="I152" s="73" t="str">
        <x:f>""</x:f>
      </x:c>
      <x:c r="J152" s="74" t="str">
        <x:f>""</x:f>
      </x:c>
      <x:c r="K152" s="73" t="n">
        <x:f>MAX(K151,F152)</x:f>
        <x:v>1.2486</x:v>
      </x:c>
      <x:c r="L152" s="74" t="n">
        <x:f>1-F152/K152</x:f>
        <x:v>0.0035239468204388835</x:v>
      </x:c>
      <x:c r="M152" s="73" t="n">
        <x:f>MAX(M151,F152)</x:f>
        <x:v>1.2486</x:v>
      </x:c>
      <x:c r="N152" s="74" t="n">
        <x:f>1-F152/M152</x:f>
        <x:v>0.0035239468204388835</x:v>
      </x:c>
    </x:row>
    <x:row r="153" ht="27" customHeight="1">
      <x:c r="A153" s="66" t="str">
        <x:v>SXT730</x:v>
      </x:c>
      <x:c r="B153" s="66" t="str">
        <x:v>世宽若水尘心3号</x:v>
      </x:c>
      <x:c r="C153" s="72" t="n">
        <x:v>45835</x:v>
      </x:c>
      <x:c r="D153" s="73" t="n">
        <x:v>1.0015</x:v>
      </x:c>
      <x:c r="E153" s="73" t="n">
        <x:v>1.2373</x:v>
      </x:c>
      <x:c r="F153" s="73" t="n">
        <x:v>1.2481</x:v>
      </x:c>
      <x:c r="G153" s="74" t="n">
        <x:v>0.0031</x:v>
      </x:c>
      <x:c r="H153" s="66" t="str">
        <x:v>世宽若水尘心3号净值20260911.xlsx</x:v>
      </x:c>
      <x:c r="I153" s="73" t="str">
        <x:f>""</x:f>
      </x:c>
      <x:c r="J153" s="74" t="str">
        <x:f>""</x:f>
      </x:c>
      <x:c r="K153" s="73" t="n">
        <x:f>MAX(K152,F153)</x:f>
        <x:v>1.2486</x:v>
      </x:c>
      <x:c r="L153" s="74" t="n">
        <x:f>1-F153/K153</x:f>
        <x:v>0.0004004485023225701</x:v>
      </x:c>
      <x:c r="M153" s="73" t="n">
        <x:f>MAX(M152,F153)</x:f>
        <x:v>1.2486</x:v>
      </x:c>
      <x:c r="N153" s="74" t="n">
        <x:f>1-F153/M153</x:f>
        <x:v>0.0004004485023225701</x:v>
      </x:c>
    </x:row>
    <x:row r="154" ht="27" customHeight="1">
      <x:c r="A154" s="66" t="str">
        <x:v>SXT730</x:v>
      </x:c>
      <x:c r="B154" s="66" t="str">
        <x:v>世宽若水尘心3号</x:v>
      </x:c>
      <x:c r="C154" s="72" t="n">
        <x:v>45838</x:v>
      </x:c>
      <x:c r="D154" s="73" t="n">
        <x:v>1.0026</x:v>
      </x:c>
      <x:c r="E154" s="73" t="n">
        <x:v>1.2384</x:v>
      </x:c>
      <x:c r="F154" s="73" t="n">
        <x:v>1.2494</x:v>
      </x:c>
      <x:c r="G154" s="74" t="n">
        <x:v>0.0011</x:v>
      </x:c>
      <x:c r="H154" s="66" t="str">
        <x:v>世宽若水尘心3号净值20260911.xlsx</x:v>
      </x:c>
      <x:c r="I154" s="73" t="str">
        <x:f>""</x:f>
      </x:c>
      <x:c r="J154" s="74" t="str">
        <x:f>""</x:f>
      </x:c>
      <x:c r="K154" s="73" t="n">
        <x:f>MAX(K153,F154)</x:f>
        <x:v>1.2494</x:v>
      </x:c>
      <x:c r="L154" s="74" t="n">
        <x:f>1-F154/K154</x:f>
        <x:v>0</x:v>
      </x:c>
      <x:c r="M154" s="73" t="n">
        <x:f>MAX(M153,F154)</x:f>
        <x:v>1.2494</x:v>
      </x:c>
      <x:c r="N154" s="74" t="n">
        <x:f>1-F154/M154</x:f>
        <x:v>0</x:v>
      </x:c>
    </x:row>
    <x:row r="155" ht="27" customHeight="1">
      <x:c r="A155" s="66" t="str">
        <x:v>SXT730</x:v>
      </x:c>
      <x:c r="B155" s="66" t="str">
        <x:v>世宽若水尘心3号</x:v>
      </x:c>
      <x:c r="C155" s="72" t="n">
        <x:v>45842</x:v>
      </x:c>
      <x:c r="D155" s="73" t="n">
        <x:v>1.0044</x:v>
      </x:c>
      <x:c r="E155" s="73" t="n">
        <x:v>1.2402</x:v>
      </x:c>
      <x:c r="F155" s="73" t="n">
        <x:v>1.2517</x:v>
      </x:c>
      <x:c r="G155" s="74" t="n">
        <x:v>0.0018</x:v>
      </x:c>
      <x:c r="H155" s="66" t="str">
        <x:v>世宽若水尘心3号净值20260911.xlsx</x:v>
      </x:c>
      <x:c r="I155" s="73" t="str">
        <x:f>""</x:f>
      </x:c>
      <x:c r="J155" s="74" t="str">
        <x:f>""</x:f>
      </x:c>
      <x:c r="K155" s="73" t="n">
        <x:f>MAX(K154,F155)</x:f>
        <x:v>1.2517</x:v>
      </x:c>
      <x:c r="L155" s="74" t="n">
        <x:f>1-F155/K155</x:f>
        <x:v>0</x:v>
      </x:c>
      <x:c r="M155" s="73" t="n">
        <x:f>MAX(M154,F155)</x:f>
        <x:v>1.2517</x:v>
      </x:c>
      <x:c r="N155" s="74" t="n">
        <x:f>1-F155/M155</x:f>
        <x:v>0</x:v>
      </x:c>
    </x:row>
    <x:row r="156" ht="27" customHeight="1">
      <x:c r="A156" s="66" t="str">
        <x:v>SXT730</x:v>
      </x:c>
      <x:c r="B156" s="66" t="str">
        <x:v>世宽若水尘心3号</x:v>
      </x:c>
      <x:c r="C156" s="72" t="n">
        <x:v>45849</x:v>
      </x:c>
      <x:c r="D156" s="73" t="n">
        <x:v>1.007</x:v>
      </x:c>
      <x:c r="E156" s="73" t="n">
        <x:v>1.2428</x:v>
      </x:c>
      <x:c r="F156" s="73" t="n">
        <x:v>1.2549</x:v>
      </x:c>
      <x:c r="G156" s="74" t="n">
        <x:v>0.0026</x:v>
      </x:c>
      <x:c r="H156" s="66" t="str">
        <x:v>世宽若水尘心3号净值20260911.xlsx</x:v>
      </x:c>
      <x:c r="I156" s="73" t="str">
        <x:f>""</x:f>
      </x:c>
      <x:c r="J156" s="74" t="str">
        <x:f>""</x:f>
      </x:c>
      <x:c r="K156" s="73" t="n">
        <x:f>MAX(K155,F156)</x:f>
        <x:v>1.2549</x:v>
      </x:c>
      <x:c r="L156" s="74" t="n">
        <x:f>1-F156/K156</x:f>
        <x:v>0</x:v>
      </x:c>
      <x:c r="M156" s="73" t="n">
        <x:f>MAX(M155,F156)</x:f>
        <x:v>1.2549</x:v>
      </x:c>
      <x:c r="N156" s="74" t="n">
        <x:f>1-F156/M156</x:f>
        <x:v>0</x:v>
      </x:c>
    </x:row>
    <x:row r="157" ht="27" customHeight="1">
      <x:c r="A157" s="66" t="str">
        <x:v>SXT730</x:v>
      </x:c>
      <x:c r="B157" s="66" t="str">
        <x:v>世宽若水尘心3号</x:v>
      </x:c>
      <x:c r="C157" s="72" t="n">
        <x:v>45856</x:v>
      </x:c>
      <x:c r="D157" s="73" t="n">
        <x:v>1.0048</x:v>
      </x:c>
      <x:c r="E157" s="73" t="n">
        <x:v>1.2406</x:v>
      </x:c>
      <x:c r="F157" s="73" t="n">
        <x:v>1.2522</x:v>
      </x:c>
      <x:c r="G157" s="74" t="n">
        <x:v>-0.0022</x:v>
      </x:c>
      <x:c r="H157" s="66" t="str">
        <x:v>世宽若水尘心3号净值20260911.xlsx</x:v>
      </x:c>
      <x:c r="I157" s="73" t="str">
        <x:f>""</x:f>
      </x:c>
      <x:c r="J157" s="74" t="str">
        <x:f>""</x:f>
      </x:c>
      <x:c r="K157" s="73" t="n">
        <x:f>MAX(K156,F157)</x:f>
        <x:v>1.2549</x:v>
      </x:c>
      <x:c r="L157" s="74" t="n">
        <x:f>1-F157/K157</x:f>
        <x:v>0.002151565861821636</x:v>
      </x:c>
      <x:c r="M157" s="73" t="n">
        <x:f>MAX(M156,F157)</x:f>
        <x:v>1.2549</x:v>
      </x:c>
      <x:c r="N157" s="74" t="n">
        <x:f>1-F157/M157</x:f>
        <x:v>0.002151565861821636</x:v>
      </x:c>
    </x:row>
    <x:row r="158" ht="27" customHeight="1">
      <x:c r="A158" s="66" t="str">
        <x:v>SXT730</x:v>
      </x:c>
      <x:c r="B158" s="66" t="str">
        <x:v>世宽若水尘心3号</x:v>
      </x:c>
      <x:c r="C158" s="72" t="n">
        <x:v>45863</x:v>
      </x:c>
      <x:c r="D158" s="73" t="n">
        <x:v>1.0022</x:v>
      </x:c>
      <x:c r="E158" s="73" t="n">
        <x:v>1.238</x:v>
      </x:c>
      <x:c r="F158" s="73" t="n">
        <x:v>1.2489</x:v>
      </x:c>
      <x:c r="G158" s="74" t="n">
        <x:v>-0.0026</x:v>
      </x:c>
      <x:c r="H158" s="66" t="str">
        <x:v>世宽若水尘心3号净值20260911.xlsx</x:v>
      </x:c>
      <x:c r="I158" s="73" t="str">
        <x:f>""</x:f>
      </x:c>
      <x:c r="J158" s="74" t="str">
        <x:f>""</x:f>
      </x:c>
      <x:c r="K158" s="73" t="n">
        <x:f>MAX(K157,F158)</x:f>
        <x:v>1.2549</x:v>
      </x:c>
      <x:c r="L158" s="74" t="n">
        <x:f>1-F158/K158</x:f>
        <x:v>0.004781257470714784</x:v>
      </x:c>
      <x:c r="M158" s="73" t="n">
        <x:f>MAX(M157,F158)</x:f>
        <x:v>1.2549</x:v>
      </x:c>
      <x:c r="N158" s="74" t="n">
        <x:f>1-F158/M158</x:f>
        <x:v>0.004781257470714784</x:v>
      </x:c>
    </x:row>
    <x:row r="159" ht="27" customHeight="1">
      <x:c r="A159" s="66" t="str">
        <x:v>SXT730</x:v>
      </x:c>
      <x:c r="B159" s="66" t="str">
        <x:v>世宽若水尘心3号</x:v>
      </x:c>
      <x:c r="C159" s="72" t="n">
        <x:v>45869</x:v>
      </x:c>
      <x:c r="D159" s="73" t="n">
        <x:v>0.9985</x:v>
      </x:c>
      <x:c r="E159" s="73" t="n">
        <x:v>1.2343</x:v>
      </x:c>
      <x:c r="F159" s="73" t="n">
        <x:v>1.2443</x:v>
      </x:c>
      <x:c r="G159" s="74" t="n">
        <x:v>-0.0037</x:v>
      </x:c>
      <x:c r="H159" s="66" t="str">
        <x:v>世宽若水尘心3号净值20260911.xlsx</x:v>
      </x:c>
      <x:c r="I159" s="73" t="str">
        <x:f>""</x:f>
      </x:c>
      <x:c r="J159" s="74" t="str">
        <x:f>""</x:f>
      </x:c>
      <x:c r="K159" s="73" t="n">
        <x:f>MAX(K158,F159)</x:f>
        <x:v>1.2549</x:v>
      </x:c>
      <x:c r="L159" s="74" t="n">
        <x:f>1-F159/K159</x:f>
        <x:v>0.00844688819826278</x:v>
      </x:c>
      <x:c r="M159" s="73" t="n">
        <x:f>MAX(M158,F159)</x:f>
        <x:v>1.2549</x:v>
      </x:c>
      <x:c r="N159" s="74" t="n">
        <x:f>1-F159/M159</x:f>
        <x:v>0.00844688819826278</x:v>
      </x:c>
    </x:row>
    <x:row r="160" ht="27" customHeight="1">
      <x:c r="A160" s="66" t="str">
        <x:v>SXT730</x:v>
      </x:c>
      <x:c r="B160" s="66" t="str">
        <x:v>世宽若水尘心3号</x:v>
      </x:c>
      <x:c r="C160" s="72" t="n">
        <x:v>45870</x:v>
      </x:c>
      <x:c r="D160" s="73" t="n">
        <x:v>0.9997</x:v>
      </x:c>
      <x:c r="E160" s="73" t="n">
        <x:v>1.2355</x:v>
      </x:c>
      <x:c r="F160" s="73" t="n">
        <x:v>1.2458</x:v>
      </x:c>
      <x:c r="G160" s="74" t="n">
        <x:v>0.0012</x:v>
      </x:c>
      <x:c r="H160" s="66" t="str">
        <x:v>世宽若水尘心3号净值20260911.xlsx</x:v>
      </x:c>
      <x:c r="I160" s="73" t="str">
        <x:f>""</x:f>
      </x:c>
      <x:c r="J160" s="74" t="str">
        <x:f>""</x:f>
      </x:c>
      <x:c r="K160" s="73" t="n">
        <x:f>MAX(K159,F160)</x:f>
        <x:v>1.2549</x:v>
      </x:c>
      <x:c r="L160" s="74" t="n">
        <x:f>1-F160/K160</x:f>
        <x:v>0.007251573830584057</x:v>
      </x:c>
      <x:c r="M160" s="73" t="n">
        <x:f>MAX(M159,F160)</x:f>
        <x:v>1.2549</x:v>
      </x:c>
      <x:c r="N160" s="74" t="n">
        <x:f>1-F160/M160</x:f>
        <x:v>0.007251573830584057</x:v>
      </x:c>
    </x:row>
    <x:row r="161" ht="27" customHeight="1">
      <x:c r="A161" s="66" t="str">
        <x:v>SXT730</x:v>
      </x:c>
      <x:c r="B161" s="66" t="str">
        <x:v>世宽若水尘心3号</x:v>
      </x:c>
      <x:c r="C161" s="72" t="n">
        <x:v>45877</x:v>
      </x:c>
      <x:c r="D161" s="73" t="n">
        <x:v>0.998</x:v>
      </x:c>
      <x:c r="E161" s="73" t="n">
        <x:v>1.2338</x:v>
      </x:c>
      <x:c r="F161" s="73" t="n">
        <x:v>1.2437</x:v>
      </x:c>
      <x:c r="G161" s="74" t="n">
        <x:v>-0.0017000000000000001</x:v>
      </x:c>
      <x:c r="H161" s="66" t="str">
        <x:v>世宽若水尘心3号净值20260911.xlsx</x:v>
      </x:c>
      <x:c r="I161" s="73" t="str">
        <x:f>""</x:f>
      </x:c>
      <x:c r="J161" s="74" t="str">
        <x:f>""</x:f>
      </x:c>
      <x:c r="K161" s="73" t="n">
        <x:f>MAX(K160,F161)</x:f>
        <x:v>1.2549</x:v>
      </x:c>
      <x:c r="L161" s="74" t="n">
        <x:f>1-F161/K161</x:f>
        <x:v>0.008925013945334181</x:v>
      </x:c>
      <x:c r="M161" s="73" t="n">
        <x:f>MAX(M160,F161)</x:f>
        <x:v>1.2549</x:v>
      </x:c>
      <x:c r="N161" s="74" t="n">
        <x:f>1-F161/M161</x:f>
        <x:v>0.008925013945334181</x:v>
      </x:c>
    </x:row>
    <x:row r="162" ht="27" customHeight="1">
      <x:c r="A162" s="66" t="str">
        <x:v>SXT730</x:v>
      </x:c>
      <x:c r="B162" s="66" t="str">
        <x:v>世宽若水尘心3号</x:v>
      </x:c>
      <x:c r="C162" s="72" t="n">
        <x:v>45884</x:v>
      </x:c>
      <x:c r="D162" s="73" t="n">
        <x:v>1.0046</x:v>
      </x:c>
      <x:c r="E162" s="73" t="n">
        <x:v>1.2404</x:v>
      </x:c>
      <x:c r="F162" s="73" t="n">
        <x:v>1.2519</x:v>
      </x:c>
      <x:c r="G162" s="74" t="n">
        <x:v>0.0066</x:v>
      </x:c>
      <x:c r="H162" s="66" t="str">
        <x:v>世宽若水尘心3号净值20260911.xlsx</x:v>
      </x:c>
      <x:c r="I162" s="73" t="str">
        <x:f>""</x:f>
      </x:c>
      <x:c r="J162" s="74" t="str">
        <x:f>""</x:f>
      </x:c>
      <x:c r="K162" s="73" t="n">
        <x:f>MAX(K161,F162)</x:f>
        <x:v>1.2549</x:v>
      </x:c>
      <x:c r="L162" s="74" t="n">
        <x:f>1-F162/K162</x:f>
        <x:v>0.0023906287353573363</x:v>
      </x:c>
      <x:c r="M162" s="73" t="n">
        <x:f>MAX(M161,F162)</x:f>
        <x:v>1.2549</x:v>
      </x:c>
      <x:c r="N162" s="74" t="n">
        <x:f>1-F162/M162</x:f>
        <x:v>0.0023906287353573363</x:v>
      </x:c>
    </x:row>
    <x:row r="163" ht="27" customHeight="1">
      <x:c r="A163" s="66" t="str">
        <x:v>SXT730</x:v>
      </x:c>
      <x:c r="B163" s="66" t="str">
        <x:v>世宽若水尘心3号</x:v>
      </x:c>
      <x:c r="C163" s="72" t="n">
        <x:v>45891</x:v>
      </x:c>
      <x:c r="D163" s="73" t="n">
        <x:v>1.0068</x:v>
      </x:c>
      <x:c r="E163" s="73" t="n">
        <x:v>1.2426</x:v>
      </x:c>
      <x:c r="F163" s="73" t="n">
        <x:v>1.2547</x:v>
      </x:c>
      <x:c r="G163" s="74" t="n">
        <x:v>0.0022</x:v>
      </x:c>
      <x:c r="H163" s="66" t="str">
        <x:v>世宽若水尘心3号净值20260911.xlsx</x:v>
      </x:c>
      <x:c r="I163" s="73" t="str">
        <x:f>""</x:f>
      </x:c>
      <x:c r="J163" s="74" t="str">
        <x:f>""</x:f>
      </x:c>
      <x:c r="K163" s="73" t="n">
        <x:f>MAX(K162,F163)</x:f>
        <x:v>1.2549</x:v>
      </x:c>
      <x:c r="L163" s="74" t="n">
        <x:f>1-F163/K163</x:f>
        <x:v>0.0001593752490237632</x:v>
      </x:c>
      <x:c r="M163" s="73" t="n">
        <x:f>MAX(M162,F163)</x:f>
        <x:v>1.2549</x:v>
      </x:c>
      <x:c r="N163" s="74" t="n">
        <x:f>1-F163/M163</x:f>
        <x:v>0.0001593752490237632</x:v>
      </x:c>
    </x:row>
    <x:row r="164" ht="27" customHeight="1">
      <x:c r="A164" s="66" t="str">
        <x:v>SXT730</x:v>
      </x:c>
      <x:c r="B164" s="66" t="str">
        <x:v>世宽若水尘心3号</x:v>
      </x:c>
      <x:c r="C164" s="72" t="n">
        <x:v>45898</x:v>
      </x:c>
      <x:c r="D164" s="73" t="n">
        <x:v>1.0208</x:v>
      </x:c>
      <x:c r="E164" s="73" t="n">
        <x:v>1.2566</x:v>
      </x:c>
      <x:c r="F164" s="73" t="n">
        <x:v>1.2721</x:v>
      </x:c>
      <x:c r="G164" s="74" t="n">
        <x:v>0.0139</x:v>
      </x:c>
      <x:c r="H164" s="66" t="str">
        <x:v>世宽若水尘心3号净值20260911.xlsx</x:v>
      </x:c>
      <x:c r="I164" s="73" t="n">
        <x:f>F164</x:f>
        <x:v>1.2721</x:v>
      </x:c>
      <x:c r="J164" s="74" t="n">
        <x:f>1-F164/I164</x:f>
        <x:v>0</x:v>
      </x:c>
      <x:c r="K164" s="73" t="n">
        <x:f>MAX(K163,F164)</x:f>
        <x:v>1.2721</x:v>
      </x:c>
      <x:c r="L164" s="74" t="n">
        <x:f>1-F164/K164</x:f>
        <x:v>0</x:v>
      </x:c>
      <x:c r="M164" s="73" t="n">
        <x:f>MAX(M163,F164)</x:f>
        <x:v>1.2721</x:v>
      </x:c>
      <x:c r="N164" s="74" t="n">
        <x:f>1-F164/M164</x:f>
        <x:v>0</x:v>
      </x:c>
    </x:row>
    <x:row r="165" ht="27" customHeight="1">
      <x:c r="A165" s="66" t="str">
        <x:v>SXT730</x:v>
      </x:c>
      <x:c r="B165" s="66" t="str">
        <x:v>世宽若水尘心3号</x:v>
      </x:c>
      <x:c r="C165" s="72" t="n">
        <x:v>45905</x:v>
      </x:c>
      <x:c r="D165" s="73" t="n">
        <x:v>1.0337</x:v>
      </x:c>
      <x:c r="E165" s="73" t="n">
        <x:v>1.2695</x:v>
      </x:c>
      <x:c r="F165" s="73" t="n">
        <x:v>1.2882</x:v>
      </x:c>
      <x:c r="G165" s="74" t="n">
        <x:v>0.0126</x:v>
      </x:c>
      <x:c r="H165" s="66" t="str">
        <x:v>世宽若水尘心3号净值20260911.xlsx</x:v>
      </x:c>
      <x:c r="I165" s="73" t="n">
        <x:f>MAX(I164,F165)</x:f>
        <x:v>1.2882</x:v>
      </x:c>
      <x:c r="J165" s="74" t="n">
        <x:f>1-F165/I165</x:f>
        <x:v>0</x:v>
      </x:c>
      <x:c r="K165" s="73" t="n">
        <x:f>MAX(K164,F165)</x:f>
        <x:v>1.2882</x:v>
      </x:c>
      <x:c r="L165" s="74" t="n">
        <x:f>1-F165/K165</x:f>
        <x:v>0</x:v>
      </x:c>
      <x:c r="M165" s="73" t="n">
        <x:f>MAX(M164,F165)</x:f>
        <x:v>1.2882</x:v>
      </x:c>
      <x:c r="N165" s="74" t="n">
        <x:f>1-F165/M165</x:f>
        <x:v>0</x:v>
      </x:c>
    </x:row>
    <x:row r="166" ht="27" customHeight="1">
      <x:c r="A166" s="66" t="str">
        <x:v>SXT730</x:v>
      </x:c>
      <x:c r="B166" s="66" t="str">
        <x:v>世宽若水尘心3号</x:v>
      </x:c>
      <x:c r="C166" s="72" t="n">
        <x:v>45912</x:v>
      </x:c>
      <x:c r="D166" s="73" t="n">
        <x:v>1.0407</x:v>
      </x:c>
      <x:c r="E166" s="73" t="n">
        <x:v>1.2765</x:v>
      </x:c>
      <x:c r="F166" s="73" t="n">
        <x:v>1.2969</x:v>
      </x:c>
      <x:c r="G166" s="74" t="n">
        <x:v>0.0068000000000000005</x:v>
      </x:c>
      <x:c r="H166" s="66" t="str">
        <x:v>世宽若水尘心3号净值20260911.xlsx</x:v>
      </x:c>
      <x:c r="I166" s="73" t="n">
        <x:f>MAX(I165,F166)</x:f>
        <x:v>1.2969</x:v>
      </x:c>
      <x:c r="J166" s="74" t="n">
        <x:f>1-F166/I166</x:f>
        <x:v>0</x:v>
      </x:c>
      <x:c r="K166" s="73" t="n">
        <x:f>MAX(K165,F166)</x:f>
        <x:v>1.2969</x:v>
      </x:c>
      <x:c r="L166" s="74" t="n">
        <x:f>1-F166/K166</x:f>
        <x:v>0</x:v>
      </x:c>
      <x:c r="M166" s="73" t="n">
        <x:f>MAX(M165,F166)</x:f>
        <x:v>1.2969</x:v>
      </x:c>
      <x:c r="N166" s="74" t="n">
        <x:f>1-F166/M166</x:f>
        <x:v>0</x:v>
      </x:c>
    </x:row>
    <x:row r="167" ht="27" customHeight="1">
      <x:c r="A167" s="66" t="str">
        <x:v>SXT730</x:v>
      </x:c>
      <x:c r="B167" s="66" t="str">
        <x:v>世宽若水尘心3号</x:v>
      </x:c>
      <x:c r="C167" s="72" t="n">
        <x:v>45919</x:v>
      </x:c>
      <x:c r="D167" s="73" t="n">
        <x:v>1.0525</x:v>
      </x:c>
      <x:c r="E167" s="73" t="n">
        <x:v>1.2883</x:v>
      </x:c>
      <x:c r="F167" s="73" t="n">
        <x:v>1.3116</x:v>
      </x:c>
      <x:c r="G167" s="74" t="n">
        <x:v>0.0113</x:v>
      </x:c>
      <x:c r="H167" s="66" t="str">
        <x:v>世宽若水尘心3号净值20260911.xlsx</x:v>
      </x:c>
      <x:c r="I167" s="73" t="n">
        <x:f>MAX(I166,F167)</x:f>
        <x:v>1.3116</x:v>
      </x:c>
      <x:c r="J167" s="74" t="n">
        <x:f>1-F167/I167</x:f>
        <x:v>0</x:v>
      </x:c>
      <x:c r="K167" s="73" t="n">
        <x:f>MAX(K166,F167)</x:f>
        <x:v>1.3116</x:v>
      </x:c>
      <x:c r="L167" s="74" t="n">
        <x:f>1-F167/K167</x:f>
        <x:v>0</x:v>
      </x:c>
      <x:c r="M167" s="73" t="n">
        <x:f>MAX(M166,F167)</x:f>
        <x:v>1.3116</x:v>
      </x:c>
      <x:c r="N167" s="74" t="n">
        <x:f>1-F167/M167</x:f>
        <x:v>0</x:v>
      </x:c>
    </x:row>
    <x:row r="168" ht="27" customHeight="1">
      <x:c r="A168" s="66" t="str">
        <x:v>SXT730</x:v>
      </x:c>
      <x:c r="B168" s="66" t="str">
        <x:v>世宽若水尘心3号</x:v>
      </x:c>
      <x:c r="C168" s="72" t="n">
        <x:v>45926</x:v>
      </x:c>
      <x:c r="D168" s="73" t="n">
        <x:v>1.0504</x:v>
      </x:c>
      <x:c r="E168" s="73" t="n">
        <x:v>1.2862</x:v>
      </x:c>
      <x:c r="F168" s="73" t="n">
        <x:v>1.309</x:v>
      </x:c>
      <x:c r="G168" s="74" t="n">
        <x:v>-0.002</x:v>
      </x:c>
      <x:c r="H168" s="66" t="str">
        <x:v>世宽若水尘心3号净值20260911.xlsx</x:v>
      </x:c>
      <x:c r="I168" s="73" t="n">
        <x:f>MAX(I167,F168)</x:f>
        <x:v>1.3116</x:v>
      </x:c>
      <x:c r="J168" s="74" t="n">
        <x:f>1-F168/I168</x:f>
        <x:v>0.001982311680390536</x:v>
      </x:c>
      <x:c r="K168" s="73" t="n">
        <x:f>MAX(K167,F168)</x:f>
        <x:v>1.3116</x:v>
      </x:c>
      <x:c r="L168" s="74" t="n">
        <x:f>1-F168/K168</x:f>
        <x:v>0.001982311680390536</x:v>
      </x:c>
      <x:c r="M168" s="73" t="n">
        <x:f>MAX(M167,F168)</x:f>
        <x:v>1.3116</x:v>
      </x:c>
      <x:c r="N168" s="74" t="n">
        <x:f>1-F168/M168</x:f>
        <x:v>0.001982311680390536</x:v>
      </x:c>
    </x:row>
    <x:row r="169" ht="27" customHeight="1">
      <x:c r="A169" s="66" t="str">
        <x:v>SXT730</x:v>
      </x:c>
      <x:c r="B169" s="66" t="str">
        <x:v>世宽若水尘心3号</x:v>
      </x:c>
      <x:c r="C169" s="72" t="n">
        <x:v>45930</x:v>
      </x:c>
      <x:c r="D169" s="73" t="n">
        <x:v>1.0537</x:v>
      </x:c>
      <x:c r="E169" s="73" t="n">
        <x:v>1.2895</x:v>
      </x:c>
      <x:c r="F169" s="73" t="n">
        <x:v>1.3131</x:v>
      </x:c>
      <x:c r="G169" s="74" t="n">
        <x:v>0.0031</x:v>
      </x:c>
      <x:c r="H169" s="66" t="str">
        <x:v>世宽若水尘心3号净值20260911.xlsx</x:v>
      </x:c>
      <x:c r="I169" s="73" t="n">
        <x:f>MAX(I168,F169)</x:f>
        <x:v>1.3131</x:v>
      </x:c>
      <x:c r="J169" s="74" t="n">
        <x:f>1-F169/I169</x:f>
        <x:v>0</x:v>
      </x:c>
      <x:c r="K169" s="73" t="n">
        <x:f>MAX(K168,F169)</x:f>
        <x:v>1.3131</x:v>
      </x:c>
      <x:c r="L169" s="74" t="n">
        <x:f>1-F169/K169</x:f>
        <x:v>0</x:v>
      </x:c>
      <x:c r="M169" s="73" t="n">
        <x:f>MAX(M168,F169)</x:f>
        <x:v>1.3131</x:v>
      </x:c>
      <x:c r="N169" s="74" t="n">
        <x:f>1-F169/M169</x:f>
        <x:v>0</x:v>
      </x:c>
    </x:row>
    <x:row r="170" ht="27" customHeight="1">
      <x:c r="A170" s="66" t="str">
        <x:v>SXT730</x:v>
      </x:c>
      <x:c r="B170" s="66" t="str">
        <x:v>世宽若水尘心3号</x:v>
      </x:c>
      <x:c r="C170" s="72" t="n">
        <x:v>45940</x:v>
      </x:c>
      <x:c r="D170" s="73" t="n">
        <x:v>1.0523</x:v>
      </x:c>
      <x:c r="E170" s="73" t="n">
        <x:v>1.2881</x:v>
      </x:c>
      <x:c r="F170" s="73" t="n">
        <x:v>1.3114</x:v>
      </x:c>
      <x:c r="G170" s="74" t="n">
        <x:v>-0.0013</x:v>
      </x:c>
      <x:c r="H170" s="66" t="str">
        <x:v>世宽若水尘心3号净值20260911.xlsx</x:v>
      </x:c>
      <x:c r="I170" s="73" t="n">
        <x:f>MAX(I169,F170)</x:f>
        <x:v>1.3131</x:v>
      </x:c>
      <x:c r="J170" s="74" t="n">
        <x:f>1-F170/I170</x:f>
        <x:v>0.0012946462569491946</x:v>
      </x:c>
      <x:c r="K170" s="73" t="n">
        <x:f>MAX(K169,F170)</x:f>
        <x:v>1.3131</x:v>
      </x:c>
      <x:c r="L170" s="74" t="n">
        <x:f>1-F170/K170</x:f>
        <x:v>0.0012946462569491946</x:v>
      </x:c>
      <x:c r="M170" s="73" t="n">
        <x:f>MAX(M169,F170)</x:f>
        <x:v>1.3131</x:v>
      </x:c>
      <x:c r="N170" s="74" t="n">
        <x:f>1-F170/M170</x:f>
        <x:v>0.0012946462569491946</x:v>
      </x:c>
    </x:row>
    <x:row r="171" ht="27" customHeight="1">
      <x:c r="A171" s="66" t="str">
        <x:v>SXT730</x:v>
      </x:c>
      <x:c r="B171" s="66" t="str">
        <x:v>世宽若水尘心3号</x:v>
      </x:c>
      <x:c r="C171" s="72" t="n">
        <x:v>45947</x:v>
      </x:c>
      <x:c r="D171" s="73" t="n">
        <x:v>1.0633</x:v>
      </x:c>
      <x:c r="E171" s="73" t="n">
        <x:v>1.2991</x:v>
      </x:c>
      <x:c r="F171" s="73" t="n">
        <x:v>1.3251</x:v>
      </x:c>
      <x:c r="G171" s="74" t="n">
        <x:v>0.0105</x:v>
      </x:c>
      <x:c r="H171" s="66" t="str">
        <x:v>世宽若水尘心3号净值20260911.xlsx</x:v>
      </x:c>
      <x:c r="I171" s="73" t="n">
        <x:f>MAX(I170,F171)</x:f>
        <x:v>1.3251</x:v>
      </x:c>
      <x:c r="J171" s="74" t="n">
        <x:f>1-F171/I171</x:f>
        <x:v>0</x:v>
      </x:c>
      <x:c r="K171" s="73" t="n">
        <x:f>MAX(K170,F171)</x:f>
        <x:v>1.3251</x:v>
      </x:c>
      <x:c r="L171" s="74" t="n">
        <x:f>1-F171/K171</x:f>
        <x:v>0</x:v>
      </x:c>
      <x:c r="M171" s="73" t="n">
        <x:f>MAX(M170,F171)</x:f>
        <x:v>1.3251</x:v>
      </x:c>
      <x:c r="N171" s="74" t="n">
        <x:f>1-F171/M171</x:f>
        <x:v>0</x:v>
      </x:c>
    </x:row>
    <x:row r="172" ht="27" customHeight="1">
      <x:c r="A172" s="66" t="str">
        <x:v>SXT730</x:v>
      </x:c>
      <x:c r="B172" s="66" t="str">
        <x:v>世宽若水尘心3号</x:v>
      </x:c>
      <x:c r="C172" s="72" t="n">
        <x:v>45954</x:v>
      </x:c>
      <x:c r="D172" s="73" t="n">
        <x:v>1</x:v>
      </x:c>
      <x:c r="E172" s="73" t="n">
        <x:v>1.302</x:v>
      </x:c>
      <x:c r="F172" s="73" t="n">
        <x:v>1.3287</x:v>
      </x:c>
      <x:c r="G172" s="74" t="n">
        <x:v>0.0027</x:v>
      </x:c>
      <x:c r="H172" s="66" t="str">
        <x:v>世宽若水尘心3号净值20260911.xlsx</x:v>
      </x:c>
      <x:c r="I172" s="73" t="n">
        <x:f>MAX(I171,F172)</x:f>
        <x:v>1.3287</x:v>
      </x:c>
      <x:c r="J172" s="74" t="n">
        <x:f>1-F172/I172</x:f>
        <x:v>0</x:v>
      </x:c>
      <x:c r="K172" s="73" t="n">
        <x:f>MAX(K171,F172)</x:f>
        <x:v>1.3287</x:v>
      </x:c>
      <x:c r="L172" s="74" t="n">
        <x:f>1-F172/K172</x:f>
        <x:v>0</x:v>
      </x:c>
      <x:c r="M172" s="73" t="n">
        <x:f>MAX(M171,F172)</x:f>
        <x:v>1.3287</x:v>
      </x:c>
      <x:c r="N172" s="74" t="n">
        <x:f>1-F172/M172</x:f>
        <x:v>0</x:v>
      </x:c>
    </x:row>
    <x:row r="173" ht="27" customHeight="1">
      <x:c r="A173" s="66" t="str">
        <x:v>SXT730</x:v>
      </x:c>
      <x:c r="B173" s="66" t="str">
        <x:v>世宽若水尘心3号</x:v>
      </x:c>
      <x:c r="C173" s="72" t="n">
        <x:v>45961</x:v>
      </x:c>
      <x:c r="D173" s="73" t="n">
        <x:v>1.0079</x:v>
      </x:c>
      <x:c r="E173" s="73" t="n">
        <x:v>1.3099</x:v>
      </x:c>
      <x:c r="F173" s="73" t="n">
        <x:v>1.3392</x:v>
      </x:c>
      <x:c r="G173" s="74" t="n">
        <x:v>0.0079</x:v>
      </x:c>
      <x:c r="H173" s="66" t="str">
        <x:v>世宽若水尘心3号净值20260911.xlsx</x:v>
      </x:c>
      <x:c r="I173" s="73" t="n">
        <x:f>MAX(I172,F173)</x:f>
        <x:v>1.3392</x:v>
      </x:c>
      <x:c r="J173" s="74" t="n">
        <x:f>1-F173/I173</x:f>
        <x:v>0</x:v>
      </x:c>
      <x:c r="K173" s="73" t="n">
        <x:f>MAX(K172,F173)</x:f>
        <x:v>1.3392</x:v>
      </x:c>
      <x:c r="L173" s="74" t="n">
        <x:f>1-F173/K173</x:f>
        <x:v>0</x:v>
      </x:c>
      <x:c r="M173" s="73" t="n">
        <x:f>MAX(M172,F173)</x:f>
        <x:v>1.3392</x:v>
      </x:c>
      <x:c r="N173" s="74" t="n">
        <x:f>1-F173/M173</x:f>
        <x:v>0</x:v>
      </x:c>
    </x:row>
    <x:row r="174" ht="27" customHeight="1">
      <x:c r="A174" s="66" t="str">
        <x:v>SXT730</x:v>
      </x:c>
      <x:c r="B174" s="66" t="str">
        <x:v>世宽若水尘心3号</x:v>
      </x:c>
      <x:c r="C174" s="72" t="n">
        <x:v>45968</x:v>
      </x:c>
      <x:c r="D174" s="73" t="n">
        <x:v>1.0076</x:v>
      </x:c>
      <x:c r="E174" s="73" t="n">
        <x:v>1.3096</x:v>
      </x:c>
      <x:c r="F174" s="73" t="n">
        <x:v>1.3388</x:v>
      </x:c>
      <x:c r="G174" s="74" t="n">
        <x:v>-0.0003</x:v>
      </x:c>
      <x:c r="H174" s="66" t="str">
        <x:v>世宽若水尘心3号净值20260911.xlsx</x:v>
      </x:c>
      <x:c r="I174" s="73" t="n">
        <x:f>MAX(I173,F174)</x:f>
        <x:v>1.3392</x:v>
      </x:c>
      <x:c r="J174" s="74" t="n">
        <x:f>1-F174/I174</x:f>
        <x:v>0.00029868578255676237</x:v>
      </x:c>
      <x:c r="K174" s="73" t="n">
        <x:f>MAX(K173,F174)</x:f>
        <x:v>1.3392</x:v>
      </x:c>
      <x:c r="L174" s="74" t="n">
        <x:f>1-F174/K174</x:f>
        <x:v>0.00029868578255676237</x:v>
      </x:c>
      <x:c r="M174" s="73" t="n">
        <x:f>MAX(M173,F174)</x:f>
        <x:v>1.3392</x:v>
      </x:c>
      <x:c r="N174" s="74" t="n">
        <x:f>1-F174/M174</x:f>
        <x:v>0.00029868578255676237</x:v>
      </x:c>
    </x:row>
    <x:row r="175" ht="27" customHeight="1">
      <x:c r="A175" s="66" t="str">
        <x:v>SXT730</x:v>
      </x:c>
      <x:c r="B175" s="66" t="str">
        <x:v>世宽若水尘心3号</x:v>
      </x:c>
      <x:c r="C175" s="72" t="n">
        <x:v>45975</x:v>
      </x:c>
      <x:c r="D175" s="73" t="n">
        <x:v>1.0134</x:v>
      </x:c>
      <x:c r="E175" s="73" t="n">
        <x:v>1.3154</x:v>
      </x:c>
      <x:c r="F175" s="73" t="n">
        <x:v>1.3465</x:v>
      </x:c>
      <x:c r="G175" s="74" t="n">
        <x:v>0.0058</x:v>
      </x:c>
      <x:c r="H175" s="66" t="str">
        <x:v>世宽若水尘心3号净值20260911.xlsx</x:v>
      </x:c>
      <x:c r="I175" s="73" t="n">
        <x:f>MAX(I174,F175)</x:f>
        <x:v>1.3465</x:v>
      </x:c>
      <x:c r="J175" s="74" t="n">
        <x:f>1-F175/I175</x:f>
        <x:v>0</x:v>
      </x:c>
      <x:c r="K175" s="73" t="n">
        <x:f>MAX(K174,F175)</x:f>
        <x:v>1.3465</x:v>
      </x:c>
      <x:c r="L175" s="74" t="n">
        <x:f>1-F175/K175</x:f>
        <x:v>0</x:v>
      </x:c>
      <x:c r="M175" s="73" t="n">
        <x:f>MAX(M174,F175)</x:f>
        <x:v>1.3465</x:v>
      </x:c>
      <x:c r="N175" s="74" t="n">
        <x:f>1-F175/M175</x:f>
        <x:v>0</x:v>
      </x:c>
    </x:row>
    <x:row r="176" ht="27" customHeight="1">
      <x:c r="A176" s="66" t="str">
        <x:v>SXT730</x:v>
      </x:c>
      <x:c r="B176" s="66" t="str">
        <x:v>世宽若水尘心3号</x:v>
      </x:c>
      <x:c r="C176" s="72" t="n">
        <x:v>45982</x:v>
      </x:c>
      <x:c r="D176" s="73" t="n">
        <x:v>1.0188</x:v>
      </x:c>
      <x:c r="E176" s="73" t="n">
        <x:v>1.3208</x:v>
      </x:c>
      <x:c r="F176" s="73" t="n">
        <x:v>1.3537</x:v>
      </x:c>
      <x:c r="G176" s="74" t="n">
        <x:v>0.0053</x:v>
      </x:c>
      <x:c r="H176" s="66" t="str">
        <x:v>世宽若水尘心3号净值20260911.xlsx</x:v>
      </x:c>
      <x:c r="I176" s="73" t="n">
        <x:f>MAX(I175,F176)</x:f>
        <x:v>1.3537</x:v>
      </x:c>
      <x:c r="J176" s="74" t="n">
        <x:f>1-F176/I176</x:f>
        <x:v>0</x:v>
      </x:c>
      <x:c r="K176" s="73" t="n">
        <x:f>MAX(K175,F176)</x:f>
        <x:v>1.3537</x:v>
      </x:c>
      <x:c r="L176" s="74" t="n">
        <x:f>1-F176/K176</x:f>
        <x:v>0</x:v>
      </x:c>
      <x:c r="M176" s="73" t="n">
        <x:f>MAX(M175,F176)</x:f>
        <x:v>1.3537</x:v>
      </x:c>
      <x:c r="N176" s="74" t="n">
        <x:f>1-F176/M176</x:f>
        <x:v>0</x:v>
      </x:c>
    </x:row>
    <x:row r="177" ht="27" customHeight="1">
      <x:c r="A177" s="66" t="str">
        <x:v>SXT730</x:v>
      </x:c>
      <x:c r="B177" s="66" t="str">
        <x:v>世宽若水尘心3号</x:v>
      </x:c>
      <x:c r="C177" s="72" t="n">
        <x:v>45989</x:v>
      </x:c>
      <x:c r="D177" s="73" t="n">
        <x:v>1.0275</x:v>
      </x:c>
      <x:c r="E177" s="73" t="n">
        <x:v>1.3295</x:v>
      </x:c>
      <x:c r="F177" s="73" t="n">
        <x:v>1.3652</x:v>
      </x:c>
      <x:c r="G177" s="74" t="n">
        <x:v>0.0085</x:v>
      </x:c>
      <x:c r="H177" s="66" t="str">
        <x:v>世宽若水尘心3号净值20260911.xlsx</x:v>
      </x:c>
      <x:c r="I177" s="73" t="n">
        <x:f>MAX(I176,F177)</x:f>
        <x:v>1.3652</x:v>
      </x:c>
      <x:c r="J177" s="74" t="n">
        <x:f>1-F177/I177</x:f>
        <x:v>0</x:v>
      </x:c>
      <x:c r="K177" s="73" t="n">
        <x:f>MAX(K176,F177)</x:f>
        <x:v>1.3652</x:v>
      </x:c>
      <x:c r="L177" s="74" t="n">
        <x:f>1-F177/K177</x:f>
        <x:v>0</x:v>
      </x:c>
      <x:c r="M177" s="73" t="n">
        <x:f>MAX(M176,F177)</x:f>
        <x:v>1.3652</x:v>
      </x:c>
      <x:c r="N177" s="74" t="n">
        <x:f>1-F177/M177</x:f>
        <x:v>0</x:v>
      </x:c>
    </x:row>
    <x:row r="178" ht="27" customHeight="1">
      <x:c r="A178" s="66" t="str">
        <x:v>SXT730</x:v>
      </x:c>
      <x:c r="B178" s="66" t="str">
        <x:v>世宽若水尘心3号</x:v>
      </x:c>
      <x:c r="C178" s="72" t="n">
        <x:v>45996</x:v>
      </x:c>
      <x:c r="D178" s="73" t="n">
        <x:v>1.0295</x:v>
      </x:c>
      <x:c r="E178" s="73" t="n">
        <x:v>1.3315</x:v>
      </x:c>
      <x:c r="F178" s="73" t="n">
        <x:v>1.3679</x:v>
      </x:c>
      <x:c r="G178" s="74" t="n">
        <x:v>0.0019</x:v>
      </x:c>
      <x:c r="H178" s="66" t="str">
        <x:v>世宽若水尘心3号净值20260911.xlsx</x:v>
      </x:c>
      <x:c r="I178" s="73" t="n">
        <x:f>MAX(I177,F178)</x:f>
        <x:v>1.3679</x:v>
      </x:c>
      <x:c r="J178" s="74" t="n">
        <x:f>1-F178/I178</x:f>
        <x:v>0</x:v>
      </x:c>
      <x:c r="K178" s="73" t="n">
        <x:f>MAX(K177,F178)</x:f>
        <x:v>1.3679</x:v>
      </x:c>
      <x:c r="L178" s="74" t="n">
        <x:f>1-F178/K178</x:f>
        <x:v>0</x:v>
      </x:c>
      <x:c r="M178" s="73" t="n">
        <x:f>MAX(M177,F178)</x:f>
        <x:v>1.3679</x:v>
      </x:c>
      <x:c r="N178" s="74" t="n">
        <x:f>1-F178/M178</x:f>
        <x:v>0</x:v>
      </x:c>
    </x:row>
    <x:row r="179" ht="27" customHeight="1">
      <x:c r="A179" s="66" t="str">
        <x:v>SXT730</x:v>
      </x:c>
      <x:c r="B179" s="66" t="str">
        <x:v>世宽若水尘心3号</x:v>
      </x:c>
      <x:c r="C179" s="72" t="n">
        <x:v>46003</x:v>
      </x:c>
      <x:c r="D179" s="73" t="n">
        <x:v>1.0317</x:v>
      </x:c>
      <x:c r="E179" s="73" t="n">
        <x:v>1.3337</x:v>
      </x:c>
      <x:c r="F179" s="73" t="n">
        <x:v>1.3708</x:v>
      </x:c>
      <x:c r="G179" s="74" t="n">
        <x:v>0.0021</x:v>
      </x:c>
      <x:c r="H179" s="66" t="str">
        <x:v>世宽若水尘心3号净值20260911.xlsx</x:v>
      </x:c>
      <x:c r="I179" s="73" t="n">
        <x:f>MAX(I178,F179)</x:f>
        <x:v>1.3708</x:v>
      </x:c>
      <x:c r="J179" s="74" t="n">
        <x:f>1-F179/I179</x:f>
        <x:v>0</x:v>
      </x:c>
      <x:c r="K179" s="73" t="n">
        <x:f>MAX(K178,F179)</x:f>
        <x:v>1.3708</x:v>
      </x:c>
      <x:c r="L179" s="74" t="n">
        <x:f>1-F179/K179</x:f>
        <x:v>0</x:v>
      </x:c>
      <x:c r="M179" s="73" t="n">
        <x:f>MAX(M178,F179)</x:f>
        <x:v>1.3708</x:v>
      </x:c>
      <x:c r="N179" s="74" t="n">
        <x:f>1-F179/M179</x:f>
        <x:v>0</x:v>
      </x:c>
    </x:row>
    <x:row r="180" ht="27" customHeight="1">
      <x:c r="A180" s="66" t="str">
        <x:v>SXT730</x:v>
      </x:c>
      <x:c r="B180" s="66" t="str">
        <x:v>世宽若水尘心3号</x:v>
      </x:c>
      <x:c r="C180" s="72" t="n">
        <x:v>46010</x:v>
      </x:c>
      <x:c r="D180" s="73" t="n">
        <x:v>1.0315</x:v>
      </x:c>
      <x:c r="E180" s="73" t="n">
        <x:v>1.3335</x:v>
      </x:c>
      <x:c r="F180" s="73" t="n">
        <x:v>1.3705</x:v>
      </x:c>
      <x:c r="G180" s="74" t="n">
        <x:v>-0.0002</x:v>
      </x:c>
      <x:c r="H180" s="66" t="str">
        <x:v>世宽若水尘心3号净值20260911.xlsx</x:v>
      </x:c>
      <x:c r="I180" s="73" t="n">
        <x:f>MAX(I179,F180)</x:f>
        <x:v>1.3708</x:v>
      </x:c>
      <x:c r="J180" s="74" t="n">
        <x:f>1-F180/I180</x:f>
        <x:v>0.0002188503063903502</x:v>
      </x:c>
      <x:c r="K180" s="73" t="n">
        <x:f>MAX(K179,F180)</x:f>
        <x:v>1.3708</x:v>
      </x:c>
      <x:c r="L180" s="74" t="n">
        <x:f>1-F180/K180</x:f>
        <x:v>0.0002188503063903502</x:v>
      </x:c>
      <x:c r="M180" s="73" t="n">
        <x:f>MAX(M179,F180)</x:f>
        <x:v>1.3708</x:v>
      </x:c>
      <x:c r="N180" s="74" t="n">
        <x:f>1-F180/M180</x:f>
        <x:v>0.0002188503063903502</x:v>
      </x:c>
    </x:row>
    <x:row r="181" ht="27" customHeight="1">
      <x:c r="A181" s="66" t="str">
        <x:v>SXT730</x:v>
      </x:c>
      <x:c r="B181" s="66" t="str">
        <x:v>世宽若水尘心3号</x:v>
      </x:c>
      <x:c r="C181" s="72" t="n">
        <x:v>46017</x:v>
      </x:c>
      <x:c r="D181" s="73" t="n">
        <x:v>1.0385</x:v>
      </x:c>
      <x:c r="E181" s="73" t="n">
        <x:v>1.3405</x:v>
      </x:c>
      <x:c r="F181" s="73" t="n">
        <x:v>1.3798</x:v>
      </x:c>
      <x:c r="G181" s="74" t="n">
        <x:v>0.0068000000000000005</x:v>
      </x:c>
      <x:c r="H181" s="66" t="str">
        <x:v>世宽若水尘心3号净值20260911.xlsx</x:v>
      </x:c>
      <x:c r="I181" s="73" t="n">
        <x:f>MAX(I180,F181)</x:f>
        <x:v>1.3798</x:v>
      </x:c>
      <x:c r="J181" s="74" t="n">
        <x:f>1-F181/I181</x:f>
        <x:v>0</x:v>
      </x:c>
      <x:c r="K181" s="73" t="n">
        <x:f>MAX(K180,F181)</x:f>
        <x:v>1.3798</x:v>
      </x:c>
      <x:c r="L181" s="74" t="n">
        <x:f>1-F181/K181</x:f>
        <x:v>0</x:v>
      </x:c>
      <x:c r="M181" s="73" t="n">
        <x:f>MAX(M180,F181)</x:f>
        <x:v>1.3798</x:v>
      </x:c>
      <x:c r="N181" s="74" t="n">
        <x:f>1-F181/M181</x:f>
        <x:v>0</x:v>
      </x:c>
    </x:row>
    <x:row r="182" ht="27" customHeight="1">
      <x:c r="A182" s="66" t="str">
        <x:v>SXT730</x:v>
      </x:c>
      <x:c r="B182" s="66" t="str">
        <x:v>世宽若水尘心3号</x:v>
      </x:c>
      <x:c r="C182" s="72" t="n">
        <x:v>46022</x:v>
      </x:c>
      <x:c r="D182" s="73" t="n">
        <x:v>1.042</x:v>
      </x:c>
      <x:c r="E182" s="73" t="n">
        <x:v>1.344</x:v>
      </x:c>
      <x:c r="F182" s="73" t="n">
        <x:v>1.3845</x:v>
      </x:c>
      <x:c r="G182" s="74" t="n">
        <x:v>0.0034000000000000002</x:v>
      </x:c>
      <x:c r="H182" s="66" t="str">
        <x:v>世宽若水尘心3号净值20260911.xlsx</x:v>
      </x:c>
      <x:c r="I182" s="73" t="n">
        <x:f>MAX(I181,F182)</x:f>
        <x:v>1.3845</x:v>
      </x:c>
      <x:c r="J182" s="74" t="n">
        <x:f>1-F182/I182</x:f>
        <x:v>0</x:v>
      </x:c>
      <x:c r="K182" s="73" t="n">
        <x:f>MAX(K181,F182)</x:f>
        <x:v>1.3845</x:v>
      </x:c>
      <x:c r="L182" s="74" t="n">
        <x:f>1-F182/K182</x:f>
        <x:v>0</x:v>
      </x:c>
      <x:c r="M182" s="73" t="n">
        <x:f>MAX(M181,F182)</x:f>
        <x:v>1.3845</x:v>
      </x:c>
      <x:c r="N182" s="74" t="n">
        <x:f>1-F182/M182</x:f>
        <x:v>0</x:v>
      </x:c>
    </x:row>
    <x:row r="183" ht="27" customHeight="1">
      <x:c r="A183" s="66" t="str">
        <x:v>SXT730</x:v>
      </x:c>
      <x:c r="B183" s="66" t="str">
        <x:v>世宽若水尘心3号</x:v>
      </x:c>
      <x:c r="C183" s="72" t="n">
        <x:v>46031</x:v>
      </x:c>
      <x:c r="D183" s="73" t="n">
        <x:v>1.0534</x:v>
      </x:c>
      <x:c r="E183" s="73" t="n">
        <x:v>1.3554</x:v>
      </x:c>
      <x:c r="F183" s="73" t="n">
        <x:v>1.3996</x:v>
      </x:c>
      <x:c r="G183" s="74" t="n">
        <x:v>0.0109</x:v>
      </x:c>
      <x:c r="H183" s="66" t="str">
        <x:v>世宽若水尘心3号净值20260911.xlsx</x:v>
      </x:c>
      <x:c r="I183" s="73" t="n">
        <x:f>MAX(I182,F183)</x:f>
        <x:v>1.3996</x:v>
      </x:c>
      <x:c r="J183" s="74" t="n">
        <x:f>1-F183/I183</x:f>
        <x:v>0</x:v>
      </x:c>
      <x:c r="K183" s="73" t="n">
        <x:f>MAX(K182,F183)</x:f>
        <x:v>1.3996</x:v>
      </x:c>
      <x:c r="L183" s="74" t="n">
        <x:f>1-F183/K183</x:f>
        <x:v>0</x:v>
      </x:c>
      <x:c r="M183" s="73" t="n">
        <x:f>MAX(M182,F183)</x:f>
        <x:v>1.3996</x:v>
      </x:c>
      <x:c r="N183" s="74" t="n">
        <x:f>1-F183/M183</x:f>
        <x:v>0</x:v>
      </x:c>
    </x:row>
    <x:row r="184" ht="27" customHeight="1">
      <x:c r="A184" s="66" t="str">
        <x:v>SXT730</x:v>
      </x:c>
      <x:c r="B184" s="66" t="str">
        <x:v>世宽若水尘心3号</x:v>
      </x:c>
      <x:c r="C184" s="72" t="n">
        <x:v>46038</x:v>
      </x:c>
      <x:c r="D184" s="73" t="n">
        <x:v>1.0527</x:v>
      </x:c>
      <x:c r="E184" s="73" t="n">
        <x:v>1.3547</x:v>
      </x:c>
      <x:c r="F184" s="73" t="n">
        <x:v>1.3987</x:v>
      </x:c>
      <x:c r="G184" s="74" t="n">
        <x:v>-0.0007000000000000001</x:v>
      </x:c>
      <x:c r="H184" s="66" t="str">
        <x:v>世宽若水尘心3号净值20260911.xlsx</x:v>
      </x:c>
      <x:c r="I184" s="73" t="n">
        <x:f>MAX(I183,F184)</x:f>
        <x:v>1.3996</x:v>
      </x:c>
      <x:c r="J184" s="74" t="n">
        <x:f>1-F184/I184</x:f>
        <x:v>0.000643040868819611</x:v>
      </x:c>
      <x:c r="K184" s="73" t="n">
        <x:f>MAX(K183,F184)</x:f>
        <x:v>1.3996</x:v>
      </x:c>
      <x:c r="L184" s="74" t="n">
        <x:f>1-F184/K184</x:f>
        <x:v>0.000643040868819611</x:v>
      </x:c>
      <x:c r="M184" s="73" t="n">
        <x:f>MAX(M183,F184)</x:f>
        <x:v>1.3996</x:v>
      </x:c>
      <x:c r="N184" s="74" t="n">
        <x:f>1-F184/M184</x:f>
        <x:v>0.000643040868819611</x:v>
      </x:c>
    </x:row>
    <x:row r="185" ht="27" customHeight="1">
      <x:c r="A185" s="66" t="str">
        <x:v>SXT730</x:v>
      </x:c>
      <x:c r="B185" s="66" t="str">
        <x:v>世宽若水尘心3号</x:v>
      </x:c>
      <x:c r="C185" s="72" t="n">
        <x:v>46045</x:v>
      </x:c>
      <x:c r="D185" s="73" t="n">
        <x:v>1.0519</x:v>
      </x:c>
      <x:c r="E185" s="73" t="n">
        <x:v>1.3539</x:v>
      </x:c>
      <x:c r="F185" s="73" t="n">
        <x:v>1.3977</x:v>
      </x:c>
      <x:c r="G185" s="74" t="n">
        <x:v>-0.0008</x:v>
      </x:c>
      <x:c r="H185" s="66" t="str">
        <x:v>世宽若水尘心3号净值20260911.xlsx</x:v>
      </x:c>
      <x:c r="I185" s="73" t="n">
        <x:f>MAX(I184,F185)</x:f>
        <x:v>1.3996</x:v>
      </x:c>
      <x:c r="J185" s="74" t="n">
        <x:f>1-F185/I185</x:f>
        <x:v>0.0013575307230637712</x:v>
      </x:c>
      <x:c r="K185" s="73" t="n">
        <x:f>MAX(K184,F185)</x:f>
        <x:v>1.3996</x:v>
      </x:c>
      <x:c r="L185" s="74" t="n">
        <x:f>1-F185/K185</x:f>
        <x:v>0.0013575307230637712</x:v>
      </x:c>
      <x:c r="M185" s="73" t="n">
        <x:f>MAX(M184,F185)</x:f>
        <x:v>1.3996</x:v>
      </x:c>
      <x:c r="N185" s="74" t="n">
        <x:f>1-F185/M185</x:f>
        <x:v>0.0013575307230637712</x:v>
      </x:c>
    </x:row>
    <x:row r="186" ht="27" customHeight="1">
      <x:c r="A186" s="66" t="str">
        <x:v>SXT730</x:v>
      </x:c>
      <x:c r="B186" s="66" t="str">
        <x:v>世宽若水尘心3号</x:v>
      </x:c>
      <x:c r="C186" s="72" t="n">
        <x:v>46052</x:v>
      </x:c>
      <x:c r="D186" s="73" t="n">
        <x:v>1.0703</x:v>
      </x:c>
      <x:c r="E186" s="73" t="n">
        <x:v>1.3723</x:v>
      </x:c>
      <x:c r="F186" s="73" t="n">
        <x:v>1.4221</x:v>
      </x:c>
      <x:c r="G186" s="74" t="n">
        <x:v>0.0175</x:v>
      </x:c>
      <x:c r="H186" s="66" t="str">
        <x:v>世宽若水尘心3号净值20260911.xlsx</x:v>
      </x:c>
      <x:c r="I186" s="73" t="n">
        <x:f>MAX(I185,F186)</x:f>
        <x:v>1.4221</x:v>
      </x:c>
      <x:c r="J186" s="74" t="n">
        <x:f>1-F186/I186</x:f>
        <x:v>0</x:v>
      </x:c>
      <x:c r="K186" s="73" t="n">
        <x:f>MAX(K185,F186)</x:f>
        <x:v>1.4221</x:v>
      </x:c>
      <x:c r="L186" s="74" t="n">
        <x:f>1-F186/K186</x:f>
        <x:v>0</x:v>
      </x:c>
      <x:c r="M186" s="73" t="n">
        <x:f>MAX(M185,F186)</x:f>
        <x:v>1.4221</x:v>
      </x:c>
      <x:c r="N186" s="74" t="n">
        <x:f>1-F186/M186</x:f>
        <x:v>0</x:v>
      </x:c>
    </x:row>
    <x:row r="187" ht="27" customHeight="1">
      <x:c r="A187" s="66" t="str">
        <x:v>SXT730</x:v>
      </x:c>
      <x:c r="B187" s="66" t="str">
        <x:v>世宽若水尘心3号</x:v>
      </x:c>
      <x:c r="C187" s="72" t="n">
        <x:v>46059</x:v>
      </x:c>
      <x:c r="D187" s="73" t="n">
        <x:v>1.0709</x:v>
      </x:c>
      <x:c r="E187" s="73" t="n">
        <x:v>1.3729</x:v>
      </x:c>
      <x:c r="F187" s="73" t="n">
        <x:v>1.4229</x:v>
      </x:c>
      <x:c r="G187" s="74" t="n">
        <x:v>0.0006</x:v>
      </x:c>
      <x:c r="H187" s="66" t="str">
        <x:v>世宽若水尘心3号净值20260911.xlsx</x:v>
      </x:c>
      <x:c r="I187" s="73" t="n">
        <x:f>MAX(I186,F187)</x:f>
        <x:v>1.4229</x:v>
      </x:c>
      <x:c r="J187" s="74" t="n">
        <x:f>1-F187/I187</x:f>
        <x:v>0</x:v>
      </x:c>
      <x:c r="K187" s="73" t="n">
        <x:f>MAX(K186,F187)</x:f>
        <x:v>1.4229</x:v>
      </x:c>
      <x:c r="L187" s="74" t="n">
        <x:f>1-F187/K187</x:f>
        <x:v>0</x:v>
      </x:c>
      <x:c r="M187" s="73" t="n">
        <x:f>MAX(M186,F187)</x:f>
        <x:v>1.4229</x:v>
      </x:c>
      <x:c r="N187" s="74" t="n">
        <x:f>1-F187/M187</x:f>
        <x:v>0</x:v>
      </x:c>
    </x:row>
    <x:row r="188" ht="27" customHeight="1">
      <x:c r="A188" s="66" t="str">
        <x:v>SXT730</x:v>
      </x:c>
      <x:c r="B188" s="66" t="str">
        <x:v>世宽若水尘心3号</x:v>
      </x:c>
      <x:c r="C188" s="72" t="n">
        <x:v>46066</x:v>
      </x:c>
      <x:c r="D188" s="73" t="n">
        <x:v>1.0752</x:v>
      </x:c>
      <x:c r="E188" s="73" t="n">
        <x:v>1.3772</x:v>
      </x:c>
      <x:c r="F188" s="73" t="n">
        <x:v>1.4286</x:v>
      </x:c>
      <x:c r="G188" s="74" t="n">
        <x:v>0.004</x:v>
      </x:c>
      <x:c r="H188" s="66" t="str">
        <x:v>世宽若水尘心3号净值20260911.xlsx</x:v>
      </x:c>
      <x:c r="I188" s="73" t="n">
        <x:f>MAX(I187,F188)</x:f>
        <x:v>1.4286</x:v>
      </x:c>
      <x:c r="J188" s="74" t="n">
        <x:f>1-F188/I188</x:f>
        <x:v>0</x:v>
      </x:c>
      <x:c r="K188" s="73" t="n">
        <x:f>MAX(K187,F188)</x:f>
        <x:v>1.4286</x:v>
      </x:c>
      <x:c r="L188" s="74" t="n">
        <x:f>1-F188/K188</x:f>
        <x:v>0</x:v>
      </x:c>
      <x:c r="M188" s="73" t="n">
        <x:f>MAX(M187,F188)</x:f>
        <x:v>1.4286</x:v>
      </x:c>
      <x:c r="N188" s="74" t="n">
        <x:f>1-F188/M188</x:f>
        <x:v>0</x:v>
      </x:c>
    </x:row>
    <x:row r="189" ht="27" customHeight="1">
      <x:c r="A189" s="66" t="str">
        <x:v>SXT730</x:v>
      </x:c>
      <x:c r="B189" s="66" t="str">
        <x:v>世宽若水尘心3号</x:v>
      </x:c>
      <x:c r="C189" s="72" t="n">
        <x:v>46080</x:v>
      </x:c>
      <x:c r="D189" s="73" t="n">
        <x:v>1.0786</x:v>
      </x:c>
      <x:c r="E189" s="73" t="n">
        <x:v>1.3806</x:v>
      </x:c>
      <x:c r="F189" s="73" t="n">
        <x:v>1.4331</x:v>
      </x:c>
      <x:c r="G189" s="74" t="n">
        <x:v>0.0032</x:v>
      </x:c>
      <x:c r="H189" s="66" t="str">
        <x:v>世宽若水尘心3号净值20260911.xlsx</x:v>
      </x:c>
      <x:c r="I189" s="73" t="n">
        <x:f>MAX(I188,F189)</x:f>
        <x:v>1.4331</x:v>
      </x:c>
      <x:c r="J189" s="74" t="n">
        <x:f>1-F189/I189</x:f>
        <x:v>0</x:v>
      </x:c>
      <x:c r="K189" s="73" t="n">
        <x:f>MAX(K188,F189)</x:f>
        <x:v>1.4331</x:v>
      </x:c>
      <x:c r="L189" s="74" t="n">
        <x:f>1-F189/K189</x:f>
        <x:v>0</x:v>
      </x:c>
      <x:c r="M189" s="73" t="n">
        <x:f>MAX(M188,F189)</x:f>
        <x:v>1.4331</x:v>
      </x:c>
      <x:c r="N189" s="74" t="n">
        <x:f>1-F189/M189</x:f>
        <x:v>0</x:v>
      </x:c>
    </x:row>
    <x:row r="190" ht="27" customHeight="1">
      <x:c r="A190" s="66" t="str">
        <x:v>SXT730</x:v>
      </x:c>
      <x:c r="B190" s="66" t="str">
        <x:v>世宽若水尘心3号</x:v>
      </x:c>
      <x:c r="C190" s="72" t="n">
        <x:v>46087</x:v>
      </x:c>
      <x:c r="D190" s="73" t="n">
        <x:v>1.0767</x:v>
      </x:c>
      <x:c r="E190" s="73" t="n">
        <x:v>1.3787</x:v>
      </x:c>
      <x:c r="F190" s="73" t="n">
        <x:v>1.4306</x:v>
      </x:c>
      <x:c r="G190" s="74" t="n">
        <x:v>-0.0018</x:v>
      </x:c>
      <x:c r="H190" s="66" t="str">
        <x:v>世宽若水尘心3号净值20260911.xlsx</x:v>
      </x:c>
      <x:c r="I190" s="73" t="n">
        <x:f>MAX(I189,F190)</x:f>
        <x:v>1.4331</x:v>
      </x:c>
      <x:c r="J190" s="74" t="n">
        <x:f>1-F190/I190</x:f>
        <x:v>0.0017444700300048854</x:v>
      </x:c>
      <x:c r="K190" s="73" t="n">
        <x:f>MAX(K189,F190)</x:f>
        <x:v>1.4331</x:v>
      </x:c>
      <x:c r="L190" s="74" t="n">
        <x:f>1-F190/K190</x:f>
        <x:v>0.0017444700300048854</x:v>
      </x:c>
      <x:c r="M190" s="73" t="n">
        <x:f>MAX(M189,F190)</x:f>
        <x:v>1.4331</x:v>
      </x:c>
      <x:c r="N190" s="74" t="n">
        <x:f>1-F190/M190</x:f>
        <x:v>0.0017444700300048854</x:v>
      </x:c>
    </x:row>
    <x:row r="191" ht="27" customHeight="1">
      <x:c r="A191" s="66" t="str">
        <x:v>SXT730</x:v>
      </x:c>
      <x:c r="B191" s="66" t="str">
        <x:v>世宽若水尘心3号</x:v>
      </x:c>
      <x:c r="C191" s="72" t="n">
        <x:v>46094</x:v>
      </x:c>
      <x:c r="D191" s="73" t="n">
        <x:v>1.0802</x:v>
      </x:c>
      <x:c r="E191" s="73" t="n">
        <x:v>1.3822</x:v>
      </x:c>
      <x:c r="F191" s="73" t="n">
        <x:v>1.4353</x:v>
      </x:c>
      <x:c r="G191" s="74" t="n">
        <x:v>0.0033</x:v>
      </x:c>
      <x:c r="H191" s="66" t="str">
        <x:v>世宽若水尘心3号净值20260911.xlsx</x:v>
      </x:c>
      <x:c r="I191" s="73" t="n">
        <x:f>MAX(I190,F191)</x:f>
        <x:v>1.4353</x:v>
      </x:c>
      <x:c r="J191" s="74" t="n">
        <x:f>1-F191/I191</x:f>
        <x:v>0</x:v>
      </x:c>
      <x:c r="K191" s="73" t="n">
        <x:f>MAX(K190,F191)</x:f>
        <x:v>1.4353</x:v>
      </x:c>
      <x:c r="L191" s="74" t="n">
        <x:f>1-F191/K191</x:f>
        <x:v>0</x:v>
      </x:c>
      <x:c r="M191" s="73" t="n">
        <x:f>MAX(M190,F191)</x:f>
        <x:v>1.4353</x:v>
      </x:c>
      <x:c r="N191" s="74" t="n">
        <x:f>1-F191/M191</x:f>
        <x:v>0</x:v>
      </x:c>
    </x:row>
    <x:row r="192" ht="27" customHeight="1">
      <x:c r="A192" s="66" t="str">
        <x:v>SXT730</x:v>
      </x:c>
      <x:c r="B192" s="66" t="str">
        <x:v>世宽若水尘心3号</x:v>
      </x:c>
      <x:c r="C192" s="72" t="n">
        <x:v>46101</x:v>
      </x:c>
      <x:c r="D192" s="73" t="n">
        <x:v>1.0759</x:v>
      </x:c>
      <x:c r="E192" s="73" t="n">
        <x:v>1.3779</x:v>
      </x:c>
      <x:c r="F192" s="73" t="n">
        <x:v>1.4295</x:v>
      </x:c>
      <x:c r="G192" s="74" t="n">
        <x:v>-0.004</x:v>
      </x:c>
      <x:c r="H192" s="66" t="str">
        <x:v>世宽若水尘心3号净值20260911.xlsx</x:v>
      </x:c>
      <x:c r="I192" s="73" t="n">
        <x:f>MAX(I191,F192)</x:f>
        <x:v>1.4353</x:v>
      </x:c>
      <x:c r="J192" s="74" t="n">
        <x:f>1-F192/I192</x:f>
        <x:v>0.004040967045217059</x:v>
      </x:c>
      <x:c r="K192" s="73" t="n">
        <x:f>MAX(K191,F192)</x:f>
        <x:v>1.4353</x:v>
      </x:c>
      <x:c r="L192" s="74" t="n">
        <x:f>1-F192/K192</x:f>
        <x:v>0.004040967045217059</x:v>
      </x:c>
      <x:c r="M192" s="73" t="n">
        <x:f>MAX(M191,F192)</x:f>
        <x:v>1.4353</x:v>
      </x:c>
      <x:c r="N192" s="74" t="n">
        <x:f>1-F192/M192</x:f>
        <x:v>0.004040967045217059</x:v>
      </x:c>
    </x:row>
    <x:row r="193" ht="27" customHeight="1">
      <x:c r="A193" s="66" t="str">
        <x:v>SXT730</x:v>
      </x:c>
      <x:c r="B193" s="66" t="str">
        <x:v>世宽若水尘心3号</x:v>
      </x:c>
      <x:c r="C193" s="72" t="n">
        <x:v>46108</x:v>
      </x:c>
      <x:c r="D193" s="73" t="n">
        <x:v>1.0702</x:v>
      </x:c>
      <x:c r="E193" s="73" t="n">
        <x:v>1.3722</x:v>
      </x:c>
      <x:c r="F193" s="73" t="n">
        <x:v>1.422</x:v>
      </x:c>
      <x:c r="G193" s="74" t="n">
        <x:v>-0.0053</x:v>
      </x:c>
      <x:c r="H193" s="66" t="str">
        <x:v>世宽若水尘心3号净值20260911.xlsx</x:v>
      </x:c>
      <x:c r="I193" s="73" t="n">
        <x:f>MAX(I192,F193)</x:f>
        <x:v>1.4353</x:v>
      </x:c>
      <x:c r="J193" s="74" t="n">
        <x:f>1-F193/I193</x:f>
        <x:v>0.009266355465756382</x:v>
      </x:c>
      <x:c r="K193" s="73" t="n">
        <x:f>MAX(K192,F193)</x:f>
        <x:v>1.4353</x:v>
      </x:c>
      <x:c r="L193" s="74" t="n">
        <x:f>1-F193/K193</x:f>
        <x:v>0.009266355465756382</x:v>
      </x:c>
      <x:c r="M193" s="73" t="n">
        <x:f>MAX(M192,F193)</x:f>
        <x:v>1.4353</x:v>
      </x:c>
      <x:c r="N193" s="74" t="n">
        <x:f>1-F193/M193</x:f>
        <x:v>0.009266355465756382</x:v>
      </x:c>
    </x:row>
    <x:row r="194" ht="27" customHeight="1">
      <x:c r="A194" s="66" t="str">
        <x:v>SXT730</x:v>
      </x:c>
      <x:c r="B194" s="66" t="str">
        <x:v>世宽若水尘心3号</x:v>
      </x:c>
      <x:c r="C194" s="72" t="n">
        <x:v>46115</x:v>
      </x:c>
      <x:c r="D194" s="73" t="n">
        <x:v>1.0739</x:v>
      </x:c>
      <x:c r="E194" s="73" t="n">
        <x:v>1.3759</x:v>
      </x:c>
      <x:c r="F194" s="73" t="n">
        <x:v>1.4269</x:v>
      </x:c>
      <x:c r="G194" s="74" t="n">
        <x:v>0.0034999999999999996</x:v>
      </x:c>
      <x:c r="H194" s="66" t="str">
        <x:v>世宽若水尘心3号净值20260911.xlsx</x:v>
      </x:c>
      <x:c r="I194" s="73" t="n">
        <x:f>MAX(I193,F194)</x:f>
        <x:v>1.4353</x:v>
      </x:c>
      <x:c r="J194" s="74" t="n">
        <x:f>1-F194/I194</x:f>
        <x:v>0.005852435031003966</x:v>
      </x:c>
      <x:c r="K194" s="73" t="n">
        <x:f>MAX(K193,F194)</x:f>
        <x:v>1.4353</x:v>
      </x:c>
      <x:c r="L194" s="74" t="n">
        <x:f>1-F194/K194</x:f>
        <x:v>0.005852435031003966</x:v>
      </x:c>
      <x:c r="M194" s="73" t="n">
        <x:f>MAX(M193,F194)</x:f>
        <x:v>1.4353</x:v>
      </x:c>
      <x:c r="N194" s="74" t="n">
        <x:f>1-F194/M194</x:f>
        <x:v>0.005852435031003966</x:v>
      </x:c>
    </x:row>
    <x:row r="195" ht="27" customHeight="1">
      <x:c r="A195" s="66" t="str">
        <x:v>SXT730</x:v>
      </x:c>
      <x:c r="B195" s="66" t="str">
        <x:v>世宽若水尘心3号</x:v>
      </x:c>
      <x:c r="C195" s="72" t="n">
        <x:v>46122</x:v>
      </x:c>
      <x:c r="D195" s="73" t="n">
        <x:v>1.0798</x:v>
      </x:c>
      <x:c r="E195" s="73" t="n">
        <x:v>1.3818</x:v>
      </x:c>
      <x:c r="F195" s="73" t="n">
        <x:v>1.4347</x:v>
      </x:c>
      <x:c r="G195" s="74" t="n">
        <x:v>0.0055000000000000005</x:v>
      </x:c>
      <x:c r="H195" s="66" t="str">
        <x:v>世宽若水尘心3号净值20260911.xlsx</x:v>
      </x:c>
      <x:c r="I195" s="73" t="n">
        <x:f>MAX(I194,F195)</x:f>
        <x:v>1.4353</x:v>
      </x:c>
      <x:c r="J195" s="74" t="n">
        <x:f>1-F195/I195</x:f>
        <x:v>0.0004180310736431325</x:v>
      </x:c>
      <x:c r="K195" s="73" t="n">
        <x:f>MAX(K194,F195)</x:f>
        <x:v>1.4353</x:v>
      </x:c>
      <x:c r="L195" s="74" t="n">
        <x:f>1-F195/K195</x:f>
        <x:v>0.0004180310736431325</x:v>
      </x:c>
      <x:c r="M195" s="73" t="n">
        <x:f>MAX(M194,F195)</x:f>
        <x:v>1.4353</x:v>
      </x:c>
      <x:c r="N195" s="74" t="n">
        <x:f>1-F195/M195</x:f>
        <x:v>0.0004180310736431325</x:v>
      </x:c>
    </x:row>
    <x:row r="196" ht="27" customHeight="1">
      <x:c r="A196" s="66" t="str">
        <x:v>SXT730</x:v>
      </x:c>
      <x:c r="B196" s="66" t="str">
        <x:v>世宽若水尘心3号</x:v>
      </x:c>
      <x:c r="C196" s="72" t="n">
        <x:v>46129</x:v>
      </x:c>
      <x:c r="D196" s="73" t="n">
        <x:v>1.0824</x:v>
      </x:c>
      <x:c r="E196" s="73" t="n">
        <x:v>1.3844</x:v>
      </x:c>
      <x:c r="F196" s="73" t="n">
        <x:v>1.4382</x:v>
      </x:c>
      <x:c r="G196" s="74" t="n">
        <x:v>0.0024</x:v>
      </x:c>
      <x:c r="H196" s="66" t="str">
        <x:v>世宽若水尘心3号净值20260911.xlsx</x:v>
      </x:c>
      <x:c r="I196" s="73" t="n">
        <x:f>MAX(I195,F196)</x:f>
        <x:v>1.4382</x:v>
      </x:c>
      <x:c r="J196" s="74" t="n">
        <x:f>1-F196/I196</x:f>
        <x:v>0</x:v>
      </x:c>
      <x:c r="K196" s="73" t="n">
        <x:f>MAX(K195,F196)</x:f>
        <x:v>1.4382</x:v>
      </x:c>
      <x:c r="L196" s="74" t="n">
        <x:f>1-F196/K196</x:f>
        <x:v>0</x:v>
      </x:c>
      <x:c r="M196" s="73" t="n">
        <x:f>MAX(M195,F196)</x:f>
        <x:v>1.4382</x:v>
      </x:c>
      <x:c r="N196" s="74" t="n">
        <x:f>1-F196/M196</x:f>
        <x:v>0</x:v>
      </x:c>
    </x:row>
    <x:row r="197" ht="27" customHeight="1">
      <x:c r="A197" s="66" t="str">
        <x:v>SXT730</x:v>
      </x:c>
      <x:c r="B197" s="66" t="str">
        <x:v>世宽若水尘心3号</x:v>
      </x:c>
      <x:c r="C197" s="72" t="n">
        <x:v>46136</x:v>
      </x:c>
      <x:c r="D197" s="73" t="n">
        <x:v>1.0943</x:v>
      </x:c>
      <x:c r="E197" s="73" t="n">
        <x:v>1.3963</x:v>
      </x:c>
      <x:c r="F197" s="73" t="n">
        <x:v>1.454</x:v>
      </x:c>
      <x:c r="G197" s="74" t="n">
        <x:v>0.011000000000000001</x:v>
      </x:c>
      <x:c r="H197" s="66" t="str">
        <x:v>世宽若水尘心3号净值20260911.xlsx</x:v>
      </x:c>
      <x:c r="I197" s="73" t="n">
        <x:f>MAX(I196,F197)</x:f>
        <x:v>1.454</x:v>
      </x:c>
      <x:c r="J197" s="74" t="n">
        <x:f>1-F197/I197</x:f>
        <x:v>0</x:v>
      </x:c>
      <x:c r="K197" s="73" t="n">
        <x:f>MAX(K196,F197)</x:f>
        <x:v>1.454</x:v>
      </x:c>
      <x:c r="L197" s="74" t="n">
        <x:f>1-F197/K197</x:f>
        <x:v>0</x:v>
      </x:c>
      <x:c r="M197" s="73" t="n">
        <x:f>MAX(M196,F197)</x:f>
        <x:v>1.454</x:v>
      </x:c>
      <x:c r="N197" s="74" t="n">
        <x:f>1-F197/M197</x:f>
        <x:v>0</x:v>
      </x:c>
    </x:row>
    <x:row r="198" ht="27" customHeight="1">
      <x:c r="A198" s="66" t="str">
        <x:v>SXT730</x:v>
      </x:c>
      <x:c r="B198" s="66" t="str">
        <x:v>世宽若水尘心3号</x:v>
      </x:c>
      <x:c r="C198" s="72" t="n">
        <x:v>46142</x:v>
      </x:c>
      <x:c r="D198" s="73" t="n">
        <x:v>1.0979</x:v>
      </x:c>
      <x:c r="E198" s="73" t="n">
        <x:v>1.3999</x:v>
      </x:c>
      <x:c r="F198" s="73" t="n">
        <x:v>1.4588</x:v>
      </x:c>
      <x:c r="G198" s="74" t="n">
        <x:v>0.0033</x:v>
      </x:c>
      <x:c r="H198" s="66" t="str">
        <x:v>世宽若水尘心3号净值20260911.xlsx</x:v>
      </x:c>
      <x:c r="I198" s="73" t="n">
        <x:f>MAX(I197,F198)</x:f>
        <x:v>1.4588</x:v>
      </x:c>
      <x:c r="J198" s="74" t="n">
        <x:f>1-F198/I198</x:f>
        <x:v>0</x:v>
      </x:c>
      <x:c r="K198" s="73" t="n">
        <x:f>MAX(K197,F198)</x:f>
        <x:v>1.4588</x:v>
      </x:c>
      <x:c r="L198" s="74" t="n">
        <x:f>1-F198/K198</x:f>
        <x:v>0</x:v>
      </x:c>
      <x:c r="M198" s="73" t="n">
        <x:f>MAX(M197,F198)</x:f>
        <x:v>1.4588</x:v>
      </x:c>
      <x:c r="N198" s="74" t="n">
        <x:f>1-F198/M198</x:f>
        <x:v>0</x:v>
      </x:c>
    </x:row>
    <x:row r="199" ht="27" customHeight="1">
      <x:c r="A199" s="66" t="str">
        <x:v>SXT730</x:v>
      </x:c>
      <x:c r="B199" s="66" t="str">
        <x:v>世宽若水尘心3号</x:v>
      </x:c>
      <x:c r="C199" s="72" t="n">
        <x:v>46150</x:v>
      </x:c>
      <x:c r="D199" s="73" t="n">
        <x:v>1.0981</x:v>
      </x:c>
      <x:c r="E199" s="73" t="n">
        <x:v>1.4001</x:v>
      </x:c>
      <x:c r="F199" s="73" t="n">
        <x:v>1.459</x:v>
      </x:c>
      <x:c r="G199" s="74" t="n">
        <x:v>0.0002</x:v>
      </x:c>
      <x:c r="H199" s="66" t="str">
        <x:v>世宽若水尘心3号净值20260911.xlsx</x:v>
      </x:c>
      <x:c r="I199" s="73" t="n">
        <x:f>MAX(I198,F199)</x:f>
        <x:v>1.459</x:v>
      </x:c>
      <x:c r="J199" s="74" t="n">
        <x:f>1-F199/I199</x:f>
        <x:v>0</x:v>
      </x:c>
      <x:c r="K199" s="73" t="n">
        <x:f>MAX(K198,F199)</x:f>
        <x:v>1.459</x:v>
      </x:c>
      <x:c r="L199" s="74" t="n">
        <x:f>1-F199/K199</x:f>
        <x:v>0</x:v>
      </x:c>
      <x:c r="M199" s="73" t="n">
        <x:f>MAX(M198,F199)</x:f>
        <x:v>1.459</x:v>
      </x:c>
      <x:c r="N199" s="74" t="n">
        <x:f>1-F199/M199</x:f>
        <x:v>0</x:v>
      </x:c>
    </x:row>
    <x:row r="200" ht="27" customHeight="1">
      <x:c r="A200" s="66" t="str">
        <x:v>SXT730</x:v>
      </x:c>
      <x:c r="B200" s="66" t="str">
        <x:v>世宽若水尘心3号</x:v>
      </x:c>
      <x:c r="C200" s="72" t="n">
        <x:v>46157</x:v>
      </x:c>
      <x:c r="D200" s="73" t="n">
        <x:v>1</x:v>
      </x:c>
      <x:c r="E200" s="73" t="n">
        <x:v>1.4011</x:v>
      </x:c>
      <x:c r="F200" s="73" t="n">
        <x:v>1.4604</x:v>
      </x:c>
      <x:c r="G200" s="74" t="n">
        <x:v>0.0009</x:v>
      </x:c>
      <x:c r="H200" s="66" t="str">
        <x:v>世宽若水尘心3号净值20260911.xlsx</x:v>
      </x:c>
      <x:c r="I200" s="73" t="n">
        <x:f>MAX(I199,F200)</x:f>
        <x:v>1.4604</x:v>
      </x:c>
      <x:c r="J200" s="74" t="n">
        <x:f>1-F200/I200</x:f>
        <x:v>0</x:v>
      </x:c>
      <x:c r="K200" s="73" t="n">
        <x:f>MAX(K199,F200)</x:f>
        <x:v>1.4604</x:v>
      </x:c>
      <x:c r="L200" s="74" t="n">
        <x:f>1-F200/K200</x:f>
        <x:v>0</x:v>
      </x:c>
      <x:c r="M200" s="73" t="n">
        <x:f>MAX(M199,F200)</x:f>
        <x:v>1.4604</x:v>
      </x:c>
      <x:c r="N200" s="74" t="n">
        <x:f>1-F200/M200</x:f>
        <x:v>0</x:v>
      </x:c>
    </x:row>
    <x:row r="201" ht="27" customHeight="1">
      <x:c r="A201" s="66" t="str">
        <x:v>SXT730</x:v>
      </x:c>
      <x:c r="B201" s="66" t="str">
        <x:v>世宽若水尘心3号</x:v>
      </x:c>
      <x:c r="C201" s="72" t="n">
        <x:v>46164</x:v>
      </x:c>
      <x:c r="D201" s="73" t="n">
        <x:v>1.0033</x:v>
      </x:c>
      <x:c r="E201" s="73" t="n">
        <x:v>1.4044</x:v>
      </x:c>
      <x:c r="F201" s="73" t="n">
        <x:v>1.4652</x:v>
      </x:c>
      <x:c r="G201" s="74" t="n">
        <x:v>0.0033</x:v>
      </x:c>
      <x:c r="H201" s="66" t="str">
        <x:v>世宽若水尘心3号净值20260911.xlsx</x:v>
      </x:c>
      <x:c r="I201" s="73" t="n">
        <x:f>MAX(I200,F201)</x:f>
        <x:v>1.4652</x:v>
      </x:c>
      <x:c r="J201" s="74" t="n">
        <x:f>1-F201/I201</x:f>
        <x:v>0</x:v>
      </x:c>
      <x:c r="K201" s="73" t="n">
        <x:f>MAX(K200,F201)</x:f>
        <x:v>1.4652</x:v>
      </x:c>
      <x:c r="L201" s="74" t="n">
        <x:f>1-F201/K201</x:f>
        <x:v>0</x:v>
      </x:c>
      <x:c r="M201" s="73" t="n">
        <x:f>MAX(M200,F201)</x:f>
        <x:v>1.4652</x:v>
      </x:c>
      <x:c r="N201" s="74" t="n">
        <x:f>1-F201/M201</x:f>
        <x:v>0</x:v>
      </x:c>
    </x:row>
    <x:row r="202" ht="27" customHeight="1">
      <x:c r="A202" s="66" t="str">
        <x:v>SXT730</x:v>
      </x:c>
      <x:c r="B202" s="66" t="str">
        <x:v>世宽若水尘心3号</x:v>
      </x:c>
      <x:c r="C202" s="72" t="n">
        <x:v>46171</x:v>
      </x:c>
      <x:c r="D202" s="73" t="n">
        <x:v>1.0057</x:v>
      </x:c>
      <x:c r="E202" s="73" t="n">
        <x:v>1.4068</x:v>
      </x:c>
      <x:c r="F202" s="73" t="n">
        <x:v>1.4687</x:v>
      </x:c>
      <x:c r="G202" s="74" t="n">
        <x:v>0.0024</x:v>
      </x:c>
      <x:c r="H202" s="66" t="str">
        <x:v>世宽若水尘心3号净值20260911.xlsx</x:v>
      </x:c>
      <x:c r="I202" s="73" t="n">
        <x:f>MAX(I201,F202)</x:f>
        <x:v>1.4687</x:v>
      </x:c>
      <x:c r="J202" s="74" t="n">
        <x:f>1-F202/I202</x:f>
        <x:v>0</x:v>
      </x:c>
      <x:c r="K202" s="73" t="n">
        <x:f>MAX(K201,F202)</x:f>
        <x:v>1.4687</x:v>
      </x:c>
      <x:c r="L202" s="74" t="n">
        <x:f>1-F202/K202</x:f>
        <x:v>0</x:v>
      </x:c>
      <x:c r="M202" s="73" t="n">
        <x:f>MAX(M201,F202)</x:f>
        <x:v>1.4687</x:v>
      </x:c>
      <x:c r="N202" s="74" t="n">
        <x:f>1-F202/M202</x:f>
        <x:v>0</x:v>
      </x:c>
    </x:row>
    <x:row r="203" ht="27" customHeight="1">
      <x:c r="A203" s="66" t="str">
        <x:v>SXT730</x:v>
      </x:c>
      <x:c r="B203" s="66" t="str">
        <x:v>世宽若水尘心3号</x:v>
      </x:c>
      <x:c r="C203" s="72" t="n">
        <x:v>46178</x:v>
      </x:c>
      <x:c r="D203" s="73" t="n">
        <x:v>1.0137</x:v>
      </x:c>
      <x:c r="E203" s="73" t="n">
        <x:v>1.4148</x:v>
      </x:c>
      <x:c r="F203" s="73" t="n">
        <x:v>1.4804</x:v>
      </x:c>
      <x:c r="G203" s="74" t="n">
        <x:v>0.008</x:v>
      </x:c>
      <x:c r="H203" s="66" t="str">
        <x:v>世宽若水尘心3号净值20260911.xlsx</x:v>
      </x:c>
      <x:c r="I203" s="73" t="n">
        <x:f>MAX(I202,F203)</x:f>
        <x:v>1.4804</x:v>
      </x:c>
      <x:c r="J203" s="74" t="n">
        <x:f>1-F203/I203</x:f>
        <x:v>0</x:v>
      </x:c>
      <x:c r="K203" s="73" t="n">
        <x:f>MAX(K202,F203)</x:f>
        <x:v>1.4804</x:v>
      </x:c>
      <x:c r="L203" s="74" t="n">
        <x:f>1-F203/K203</x:f>
        <x:v>0</x:v>
      </x:c>
      <x:c r="M203" s="73" t="n">
        <x:f>MAX(M202,F203)</x:f>
        <x:v>1.4804</x:v>
      </x:c>
      <x:c r="N203" s="74" t="n">
        <x:f>1-F203/M203</x:f>
        <x:v>0</x:v>
      </x:c>
    </x:row>
    <x:row r="204" ht="27" customHeight="1">
      <x:c r="A204" s="66" t="str">
        <x:v>SXT730</x:v>
      </x:c>
      <x:c r="B204" s="66" t="str">
        <x:v>世宽若水尘心3号</x:v>
      </x:c>
      <x:c r="C204" s="72" t="n">
        <x:v>46185</x:v>
      </x:c>
      <x:c r="D204" s="73" t="n">
        <x:v>1.0193</x:v>
      </x:c>
      <x:c r="E204" s="73" t="n">
        <x:v>1.4204</x:v>
      </x:c>
      <x:c r="F204" s="73" t="n">
        <x:v>1.4886</x:v>
      </x:c>
      <x:c r="G204" s="74" t="n">
        <x:v>0.0055000000000000005</x:v>
      </x:c>
      <x:c r="H204" s="66" t="str">
        <x:v>世宽若水尘心3号净值20260911.xlsx</x:v>
      </x:c>
      <x:c r="I204" s="73" t="n">
        <x:f>MAX(I203,F204)</x:f>
        <x:v>1.4886</x:v>
      </x:c>
      <x:c r="J204" s="74" t="n">
        <x:f>1-F204/I204</x:f>
        <x:v>0</x:v>
      </x:c>
      <x:c r="K204" s="73" t="n">
        <x:f>MAX(K203,F204)</x:f>
        <x:v>1.4886</x:v>
      </x:c>
      <x:c r="L204" s="74" t="n">
        <x:f>1-F204/K204</x:f>
        <x:v>0</x:v>
      </x:c>
      <x:c r="M204" s="73" t="n">
        <x:f>MAX(M203,F204)</x:f>
        <x:v>1.4886</x:v>
      </x:c>
      <x:c r="N204" s="74" t="n">
        <x:f>1-F204/M204</x:f>
        <x:v>0</x:v>
      </x:c>
    </x:row>
    <x:row r="205" ht="27" customHeight="1">
      <x:c r="A205" s="66" t="str">
        <x:v>SXT730</x:v>
      </x:c>
      <x:c r="B205" s="66" t="str">
        <x:v>世宽若水尘心3号</x:v>
      </x:c>
      <x:c r="C205" s="72" t="n">
        <x:v>46191</x:v>
      </x:c>
      <x:c r="D205" s="73" t="n">
        <x:v>1.0241</x:v>
      </x:c>
      <x:c r="E205" s="73" t="n">
        <x:v>1.4252</x:v>
      </x:c>
      <x:c r="F205" s="73" t="n">
        <x:v>1.4956</x:v>
      </x:c>
      <x:c r="G205" s="74" t="n">
        <x:v>0.004699999999999999</x:v>
      </x:c>
      <x:c r="H205" s="66" t="str">
        <x:v>世宽若水尘心3号净值20260911.xlsx</x:v>
      </x:c>
      <x:c r="I205" s="73" t="n">
        <x:f>MAX(I204,F205)</x:f>
        <x:v>1.4956</x:v>
      </x:c>
      <x:c r="J205" s="74" t="n">
        <x:f>1-F205/I205</x:f>
        <x:v>0</x:v>
      </x:c>
      <x:c r="K205" s="73" t="n">
        <x:f>MAX(K204,F205)</x:f>
        <x:v>1.4956</x:v>
      </x:c>
      <x:c r="L205" s="74" t="n">
        <x:f>1-F205/K205</x:f>
        <x:v>0</x:v>
      </x:c>
      <x:c r="M205" s="73" t="n">
        <x:f>MAX(M204,F205)</x:f>
        <x:v>1.4956</x:v>
      </x:c>
      <x:c r="N205" s="74" t="n">
        <x:f>1-F205/M205</x:f>
        <x:v>0</x:v>
      </x:c>
    </x:row>
    <x:row r="206" ht="27" customHeight="1">
      <x:c r="A206" s="66" t="str">
        <x:v>SXT730</x:v>
      </x:c>
      <x:c r="B206" s="66" t="str">
        <x:v>世宽若水尘心3号</x:v>
      </x:c>
      <x:c r="C206" s="72" t="n">
        <x:v>46199</x:v>
      </x:c>
      <x:c r="D206" s="73" t="n">
        <x:v>1.0324</x:v>
      </x:c>
      <x:c r="E206" s="73" t="n">
        <x:v>1.4335</x:v>
      </x:c>
      <x:c r="F206" s="73" t="n">
        <x:v>1.5077</x:v>
      </x:c>
      <x:c r="G206" s="74" t="n">
        <x:v>0.008100000000000001</x:v>
      </x:c>
      <x:c r="H206" s="66" t="str">
        <x:v>世宽若水尘心3号净值20260911.xlsx</x:v>
      </x:c>
      <x:c r="I206" s="73" t="n">
        <x:f>MAX(I205,F206)</x:f>
        <x:v>1.5077</x:v>
      </x:c>
      <x:c r="J206" s="74" t="n">
        <x:f>1-F206/I206</x:f>
        <x:v>0</x:v>
      </x:c>
      <x:c r="K206" s="73" t="n">
        <x:f>MAX(K205,F206)</x:f>
        <x:v>1.5077</x:v>
      </x:c>
      <x:c r="L206" s="74" t="n">
        <x:f>1-F206/K206</x:f>
        <x:v>0</x:v>
      </x:c>
      <x:c r="M206" s="73" t="n">
        <x:f>MAX(M205,F206)</x:f>
        <x:v>1.5077</x:v>
      </x:c>
      <x:c r="N206" s="74" t="n">
        <x:f>1-F206/M206</x:f>
        <x:v>0</x:v>
      </x:c>
    </x:row>
    <x:row r="207" ht="27" customHeight="1">
      <x:c r="A207" s="66" t="str">
        <x:v>SXT730</x:v>
      </x:c>
      <x:c r="B207" s="66" t="str">
        <x:v>世宽若水尘心3号</x:v>
      </x:c>
      <x:c r="C207" s="72" t="n">
        <x:v>46203</x:v>
      </x:c>
      <x:c r="D207" s="73" t="n">
        <x:v>1.0309</x:v>
      </x:c>
      <x:c r="E207" s="73" t="n">
        <x:v>1.432</x:v>
      </x:c>
      <x:c r="F207" s="73" t="n">
        <x:v>1.5055</x:v>
      </x:c>
      <x:c r="G207" s="74" t="n">
        <x:v>-0.0015</x:v>
      </x:c>
      <x:c r="H207" s="66" t="str">
        <x:v>世宽若水尘心3号净值20260911.xlsx</x:v>
      </x:c>
      <x:c r="I207" s="73" t="n">
        <x:f>MAX(I206,F207)</x:f>
        <x:v>1.5077</x:v>
      </x:c>
      <x:c r="J207" s="74" t="n">
        <x:f>1-F207/I207</x:f>
        <x:v>0.0014591762286927379</x:v>
      </x:c>
      <x:c r="K207" s="73" t="n">
        <x:f>MAX(K206,F207)</x:f>
        <x:v>1.5077</x:v>
      </x:c>
      <x:c r="L207" s="74" t="n">
        <x:f>1-F207/K207</x:f>
        <x:v>0.0014591762286927379</x:v>
      </x:c>
      <x:c r="M207" s="73" t="n">
        <x:f>MAX(M206,F207)</x:f>
        <x:v>1.5077</x:v>
      </x:c>
      <x:c r="N207" s="74" t="n">
        <x:f>1-F207/M207</x:f>
        <x:v>0.0014591762286927379</x:v>
      </x:c>
    </x:row>
    <x:row r="208" ht="27" customHeight="1">
      <x:c r="A208" s="66" t="str">
        <x:v>SXT730</x:v>
      </x:c>
      <x:c r="B208" s="66" t="str">
        <x:v>世宽若水尘心3号</x:v>
      </x:c>
      <x:c r="C208" s="72" t="n">
        <x:v>46206</x:v>
      </x:c>
      <x:c r="D208" s="73" t="n">
        <x:v>1.0334</x:v>
      </x:c>
      <x:c r="E208" s="73" t="n">
        <x:v>1.4345</x:v>
      </x:c>
      <x:c r="F208" s="73" t="n">
        <x:v>1.5091</x:v>
      </x:c>
      <x:c r="G208" s="74" t="n">
        <x:v>0.0024</x:v>
      </x:c>
      <x:c r="H208" s="66" t="str">
        <x:v>世宽若水尘心3号净值20260911.xlsx</x:v>
      </x:c>
      <x:c r="I208" s="73" t="n">
        <x:f>MAX(I207,F208)</x:f>
        <x:v>1.5091</x:v>
      </x:c>
      <x:c r="J208" s="74" t="n">
        <x:f>1-F208/I208</x:f>
        <x:v>0</x:v>
      </x:c>
      <x:c r="K208" s="73" t="n">
        <x:f>MAX(K207,F208)</x:f>
        <x:v>1.5091</x:v>
      </x:c>
      <x:c r="L208" s="74" t="n">
        <x:f>1-F208/K208</x:f>
        <x:v>0</x:v>
      </x:c>
      <x:c r="M208" s="73" t="n">
        <x:f>MAX(M207,F208)</x:f>
        <x:v>1.5091</x:v>
      </x:c>
      <x:c r="N208" s="74" t="n">
        <x:f>1-F208/M208</x:f>
        <x:v>0</x:v>
      </x:c>
    </x:row>
    <x:row r="209" ht="27" customHeight="1">
      <x:c r="A209" s="66" t="str">
        <x:v>SXT730</x:v>
      </x:c>
      <x:c r="B209" s="66" t="str">
        <x:v>世宽若水尘心3号</x:v>
      </x:c>
      <x:c r="C209" s="72" t="n">
        <x:v>46213</x:v>
      </x:c>
      <x:c r="D209" s="73" t="n">
        <x:v>1.0372</x:v>
      </x:c>
      <x:c r="E209" s="73" t="n">
        <x:v>1.4383</x:v>
      </x:c>
      <x:c r="F209" s="73" t="n">
        <x:v>1.5147</x:v>
      </x:c>
      <x:c r="G209" s="74" t="n">
        <x:v>0.0037</x:v>
      </x:c>
      <x:c r="H209" s="66" t="str">
        <x:v>世宽若水尘心3号净值20260911.xlsx</x:v>
      </x:c>
      <x:c r="I209" s="73" t="n">
        <x:f>MAX(I208,F209)</x:f>
        <x:v>1.5147</x:v>
      </x:c>
      <x:c r="J209" s="74" t="n">
        <x:f>1-F209/I209</x:f>
        <x:v>0</x:v>
      </x:c>
      <x:c r="K209" s="73" t="n">
        <x:f>MAX(K208,F209)</x:f>
        <x:v>1.5147</x:v>
      </x:c>
      <x:c r="L209" s="74" t="n">
        <x:f>1-F209/K209</x:f>
        <x:v>0</x:v>
      </x:c>
      <x:c r="M209" s="73" t="n">
        <x:f>MAX(M208,F209)</x:f>
        <x:v>1.5147</x:v>
      </x:c>
      <x:c r="N209" s="74" t="n">
        <x:f>1-F209/M209</x:f>
        <x:v>0</x:v>
      </x:c>
    </x:row>
    <x:row r="210" ht="27" customHeight="1">
      <x:c r="A210" s="66" t="str">
        <x:v>SXT730</x:v>
      </x:c>
      <x:c r="B210" s="66" t="str">
        <x:v>世宽若水尘心3号</x:v>
      </x:c>
      <x:c r="C210" s="72" t="n">
        <x:v>46220</x:v>
      </x:c>
      <x:c r="D210" s="73" t="n">
        <x:v>1.0416</x:v>
      </x:c>
      <x:c r="E210" s="73" t="n">
        <x:v>1.4427</x:v>
      </x:c>
      <x:c r="F210" s="73" t="n">
        <x:v>1.5211</x:v>
      </x:c>
      <x:c r="G210" s="74" t="n">
        <x:v>0.0042</x:v>
      </x:c>
      <x:c r="H210" s="66" t="str">
        <x:v>世宽若水尘心3号净值20260911.xlsx</x:v>
      </x:c>
      <x:c r="I210" s="73" t="n">
        <x:f>MAX(I209,F210)</x:f>
        <x:v>1.5211</x:v>
      </x:c>
      <x:c r="J210" s="74" t="n">
        <x:f>1-F210/I210</x:f>
        <x:v>0</x:v>
      </x:c>
      <x:c r="K210" s="73" t="n">
        <x:f>MAX(K209,F210)</x:f>
        <x:v>1.5211</x:v>
      </x:c>
      <x:c r="L210" s="74" t="n">
        <x:f>1-F210/K210</x:f>
        <x:v>0</x:v>
      </x:c>
      <x:c r="M210" s="73" t="n">
        <x:f>MAX(M209,F210)</x:f>
        <x:v>1.5211</x:v>
      </x:c>
      <x:c r="N210" s="74" t="n">
        <x:f>1-F210/M210</x:f>
        <x:v>0</x:v>
      </x:c>
    </x:row>
    <x:row r="211" ht="27" customHeight="1">
      <x:c r="A211" s="66" t="str">
        <x:v>SXT730</x:v>
      </x:c>
      <x:c r="B211" s="66" t="str">
        <x:v>世宽若水尘心3号</x:v>
      </x:c>
      <x:c r="C211" s="72" t="n">
        <x:v>46223</x:v>
      </x:c>
      <x:c r="D211" s="73" t="n">
        <x:v>1.0498</x:v>
      </x:c>
      <x:c r="E211" s="73" t="n">
        <x:v>1.4509</x:v>
      </x:c>
      <x:c r="F211" s="73" t="n">
        <x:v>1.5331</x:v>
      </x:c>
      <x:c r="G211" s="74" t="n">
        <x:v>0.0079</x:v>
      </x:c>
      <x:c r="H211" s="66" t="str">
        <x:v>世宽若水尘心3号净值20260911.xlsx</x:v>
      </x:c>
      <x:c r="I211" s="73" t="n">
        <x:f>MAX(I210,F211)</x:f>
        <x:v>1.5331</x:v>
      </x:c>
      <x:c r="J211" s="74" t="n">
        <x:f>1-F211/I211</x:f>
        <x:v>0</x:v>
      </x:c>
      <x:c r="K211" s="73" t="n">
        <x:f>MAX(K210,F211)</x:f>
        <x:v>1.5331</x:v>
      </x:c>
      <x:c r="L211" s="74" t="n">
        <x:f>1-F211/K211</x:f>
        <x:v>0</x:v>
      </x:c>
      <x:c r="M211" s="73" t="n">
        <x:f>MAX(M210,F211)</x:f>
        <x:v>1.5331</x:v>
      </x:c>
      <x:c r="N211" s="74" t="n">
        <x:f>1-F211/M211</x:f>
        <x:v>0</x:v>
      </x:c>
    </x:row>
    <x:row r="212" ht="27" customHeight="1">
      <x:c r="A212" s="66" t="str">
        <x:v>SXT730</x:v>
      </x:c>
      <x:c r="B212" s="66" t="str">
        <x:v>世宽若水尘心3号</x:v>
      </x:c>
      <x:c r="C212" s="72" t="n">
        <x:v>46224</x:v>
      </x:c>
      <x:c r="D212" s="73" t="n">
        <x:v>1.048</x:v>
      </x:c>
      <x:c r="E212" s="73" t="n">
        <x:v>1.4491</x:v>
      </x:c>
      <x:c r="F212" s="73" t="n">
        <x:v>1.5305</x:v>
      </x:c>
      <x:c r="G212" s="74" t="n">
        <x:v>-0.0017000000000000001</x:v>
      </x:c>
      <x:c r="H212" s="66" t="str">
        <x:v>世宽若水尘心3号净值20260911.xlsx</x:v>
      </x:c>
      <x:c r="I212" s="73" t="n">
        <x:f>MAX(I211,F212)</x:f>
        <x:v>1.5331</x:v>
      </x:c>
      <x:c r="J212" s="74" t="n">
        <x:f>1-F212/I212</x:f>
        <x:v>0.0016959102472114962</x:v>
      </x:c>
      <x:c r="K212" s="73" t="n">
        <x:f>MAX(K211,F212)</x:f>
        <x:v>1.5331</x:v>
      </x:c>
      <x:c r="L212" s="74" t="n">
        <x:f>1-F212/K212</x:f>
        <x:v>0.0016959102472114962</x:v>
      </x:c>
      <x:c r="M212" s="73" t="n">
        <x:f>MAX(M211,F212)</x:f>
        <x:v>1.5331</x:v>
      </x:c>
      <x:c r="N212" s="74" t="n">
        <x:f>1-F212/M212</x:f>
        <x:v>0.0016959102472114962</x:v>
      </x:c>
    </x:row>
    <x:row r="213" ht="27" customHeight="1">
      <x:c r="A213" s="66" t="str">
        <x:v>SXT730</x:v>
      </x:c>
      <x:c r="B213" s="66" t="str">
        <x:v>世宽若水尘心3号</x:v>
      </x:c>
      <x:c r="C213" s="72" t="n">
        <x:v>46225</x:v>
      </x:c>
      <x:c r="D213" s="73" t="n">
        <x:v>1.047</x:v>
      </x:c>
      <x:c r="E213" s="73" t="n">
        <x:v>1.4481</x:v>
      </x:c>
      <x:c r="F213" s="73" t="n">
        <x:v>1.529</x:v>
      </x:c>
      <x:c r="G213" s="74" t="n">
        <x:v>-0.001</x:v>
      </x:c>
      <x:c r="H213" s="66" t="str">
        <x:v>世宽若水尘心3号净值20260911.xlsx</x:v>
      </x:c>
      <x:c r="I213" s="73" t="n">
        <x:f>MAX(I212,F213)</x:f>
        <x:v>1.5331</x:v>
      </x:c>
      <x:c r="J213" s="74" t="n">
        <x:f>1-F213/I213</x:f>
        <x:v>0.002674320005218167</x:v>
      </x:c>
      <x:c r="K213" s="73" t="n">
        <x:f>MAX(K212,F213)</x:f>
        <x:v>1.5331</x:v>
      </x:c>
      <x:c r="L213" s="74" t="n">
        <x:f>1-F213/K213</x:f>
        <x:v>0.002674320005218167</x:v>
      </x:c>
      <x:c r="M213" s="73" t="n">
        <x:f>MAX(M212,F213)</x:f>
        <x:v>1.5331</x:v>
      </x:c>
      <x:c r="N213" s="74" t="n">
        <x:f>1-F213/M213</x:f>
        <x:v>0.002674320005218167</x:v>
      </x:c>
    </x:row>
    <x:row r="214" ht="27" customHeight="1">
      <x:c r="A214" s="66" t="str">
        <x:v>SXT730</x:v>
      </x:c>
      <x:c r="B214" s="66" t="str">
        <x:v>世宽若水尘心3号</x:v>
      </x:c>
      <x:c r="C214" s="72" t="n">
        <x:v>46226</x:v>
      </x:c>
      <x:c r="D214" s="73" t="n">
        <x:v>1.048</x:v>
      </x:c>
      <x:c r="E214" s="73" t="n">
        <x:v>1.4491</x:v>
      </x:c>
      <x:c r="F214" s="73" t="n">
        <x:v>1.5305</x:v>
      </x:c>
      <x:c r="G214" s="74" t="n">
        <x:v>0.001</x:v>
      </x:c>
      <x:c r="H214" s="66" t="str">
        <x:v>世宽若水尘心3号净值20260911.xlsx</x:v>
      </x:c>
      <x:c r="I214" s="73" t="n">
        <x:f>MAX(I213,F214)</x:f>
        <x:v>1.5331</x:v>
      </x:c>
      <x:c r="J214" s="74" t="n">
        <x:f>1-F214/I214</x:f>
        <x:v>0.0016959102472114962</x:v>
      </x:c>
      <x:c r="K214" s="73" t="n">
        <x:f>MAX(K213,F214)</x:f>
        <x:v>1.5331</x:v>
      </x:c>
      <x:c r="L214" s="74" t="n">
        <x:f>1-F214/K214</x:f>
        <x:v>0.0016959102472114962</x:v>
      </x:c>
      <x:c r="M214" s="73" t="n">
        <x:f>MAX(M213,F214)</x:f>
        <x:v>1.5331</x:v>
      </x:c>
      <x:c r="N214" s="74" t="n">
        <x:f>1-F214/M214</x:f>
        <x:v>0.0016959102472114962</x:v>
      </x:c>
    </x:row>
    <x:row r="215" ht="27" customHeight="1">
      <x:c r="A215" s="66" t="str">
        <x:v>SXT730</x:v>
      </x:c>
      <x:c r="B215" s="66" t="str">
        <x:v>世宽若水尘心3号</x:v>
      </x:c>
      <x:c r="C215" s="72" t="n">
        <x:v>46227</x:v>
      </x:c>
      <x:c r="D215" s="73" t="n">
        <x:v>1.0516</x:v>
      </x:c>
      <x:c r="E215" s="73" t="n">
        <x:v>1.4527</x:v>
      </x:c>
      <x:c r="F215" s="73" t="n">
        <x:v>1.5357</x:v>
      </x:c>
      <x:c r="G215" s="74" t="n">
        <x:v>0.0034000000000000002</x:v>
      </x:c>
      <x:c r="H215" s="66" t="str">
        <x:v>世宽若水尘心3号净值20260911.xlsx</x:v>
      </x:c>
      <x:c r="I215" s="73" t="n">
        <x:f>MAX(I214,F215)</x:f>
        <x:v>1.5357</x:v>
      </x:c>
      <x:c r="J215" s="74" t="n">
        <x:f>1-F215/I215</x:f>
        <x:v>0</x:v>
      </x:c>
      <x:c r="K215" s="73" t="n">
        <x:f>MAX(K214,F215)</x:f>
        <x:v>1.5357</x:v>
      </x:c>
      <x:c r="L215" s="74" t="n">
        <x:f>1-F215/K215</x:f>
        <x:v>0</x:v>
      </x:c>
      <x:c r="M215" s="73" t="n">
        <x:f>MAX(M214,F215)</x:f>
        <x:v>1.5357</x:v>
      </x:c>
      <x:c r="N215" s="74" t="n">
        <x:f>1-F215/M215</x:f>
        <x:v>0</x:v>
      </x:c>
    </x:row>
    <x:row r="216" ht="27" customHeight="1">
      <x:c r="A216" s="66" t="str">
        <x:v>SXT730</x:v>
      </x:c>
      <x:c r="B216" s="66" t="str">
        <x:v>世宽若水尘心3号</x:v>
      </x:c>
      <x:c r="C216" s="72" t="n">
        <x:v>46230</x:v>
      </x:c>
      <x:c r="D216" s="73" t="n">
        <x:v>1.0525</x:v>
      </x:c>
      <x:c r="E216" s="73" t="n">
        <x:v>1.4536</x:v>
      </x:c>
      <x:c r="F216" s="73" t="n">
        <x:v>1.537</x:v>
      </x:c>
      <x:c r="G216" s="74" t="n">
        <x:v>0.0009</x:v>
      </x:c>
      <x:c r="H216" s="66" t="str">
        <x:v>世宽若水尘心3号净值20260911.xlsx</x:v>
      </x:c>
      <x:c r="I216" s="73" t="n">
        <x:f>MAX(I215,F216)</x:f>
        <x:v>1.537</x:v>
      </x:c>
      <x:c r="J216" s="74" t="n">
        <x:f>1-F216/I216</x:f>
        <x:v>0</x:v>
      </x:c>
      <x:c r="K216" s="73" t="n">
        <x:f>MAX(K215,F216)</x:f>
        <x:v>1.537</x:v>
      </x:c>
      <x:c r="L216" s="74" t="n">
        <x:f>1-F216/K216</x:f>
        <x:v>0</x:v>
      </x:c>
      <x:c r="M216" s="73" t="n">
        <x:f>MAX(M215,F216)</x:f>
        <x:v>1.537</x:v>
      </x:c>
      <x:c r="N216" s="74" t="n">
        <x:f>1-F216/M216</x:f>
        <x:v>0</x:v>
      </x:c>
    </x:row>
    <x:row r="217" ht="27" customHeight="1">
      <x:c r="A217" s="66" t="str">
        <x:v>SXT730</x:v>
      </x:c>
      <x:c r="B217" s="66" t="str">
        <x:v>世宽若水尘心3号</x:v>
      </x:c>
      <x:c r="C217" s="72" t="n">
        <x:v>46231</x:v>
      </x:c>
      <x:c r="D217" s="73" t="n">
        <x:v>1.0504</x:v>
      </x:c>
      <x:c r="E217" s="73" t="n">
        <x:v>1.4515</x:v>
      </x:c>
      <x:c r="F217" s="73" t="n">
        <x:v>1.534</x:v>
      </x:c>
      <x:c r="G217" s="74" t="n">
        <x:v>-0.002</x:v>
      </x:c>
      <x:c r="H217" s="66" t="str">
        <x:v>世宽若水尘心3号净值20260911.xlsx</x:v>
      </x:c>
      <x:c r="I217" s="73" t="n">
        <x:f>MAX(I216,F217)</x:f>
        <x:v>1.537</x:v>
      </x:c>
      <x:c r="J217" s="74" t="n">
        <x:f>1-F217/I217</x:f>
        <x:v>0.0019518542615484247</x:v>
      </x:c>
      <x:c r="K217" s="73" t="n">
        <x:f>MAX(K216,F217)</x:f>
        <x:v>1.537</x:v>
      </x:c>
      <x:c r="L217" s="74" t="n">
        <x:f>1-F217/K217</x:f>
        <x:v>0.0019518542615484247</x:v>
      </x:c>
      <x:c r="M217" s="73" t="n">
        <x:f>MAX(M216,F217)</x:f>
        <x:v>1.537</x:v>
      </x:c>
      <x:c r="N217" s="74" t="n">
        <x:f>1-F217/M217</x:f>
        <x:v>0.0019518542615484247</x:v>
      </x:c>
    </x:row>
    <x:row r="218" ht="27" customHeight="1">
      <x:c r="A218" s="66" t="str">
        <x:v>SXT730</x:v>
      </x:c>
      <x:c r="B218" s="66" t="str">
        <x:v>世宽若水尘心3号</x:v>
      </x:c>
      <x:c r="C218" s="72" t="n">
        <x:v>46232</x:v>
      </x:c>
      <x:c r="D218" s="73" t="n">
        <x:v>1.0504</x:v>
      </x:c>
      <x:c r="E218" s="73" t="n">
        <x:v>1.4515</x:v>
      </x:c>
      <x:c r="F218" s="73" t="n">
        <x:v>1.534</x:v>
      </x:c>
      <x:c r="G218" s="74" t="n">
        <x:v>0</x:v>
      </x:c>
      <x:c r="H218" s="66" t="str">
        <x:v>世宽若水尘心3号净值20260911.xlsx</x:v>
      </x:c>
      <x:c r="I218" s="73" t="n">
        <x:f>MAX(I217,F218)</x:f>
        <x:v>1.537</x:v>
      </x:c>
      <x:c r="J218" s="74" t="n">
        <x:f>1-F218/I218</x:f>
        <x:v>0.0019518542615484247</x:v>
      </x:c>
      <x:c r="K218" s="73" t="n">
        <x:f>MAX(K217,F218)</x:f>
        <x:v>1.537</x:v>
      </x:c>
      <x:c r="L218" s="74" t="n">
        <x:f>1-F218/K218</x:f>
        <x:v>0.0019518542615484247</x:v>
      </x:c>
      <x:c r="M218" s="73" t="n">
        <x:f>MAX(M217,F218)</x:f>
        <x:v>1.537</x:v>
      </x:c>
      <x:c r="N218" s="74" t="n">
        <x:f>1-F218/M218</x:f>
        <x:v>0.0019518542615484247</x:v>
      </x:c>
    </x:row>
    <x:row r="219" ht="27" customHeight="1">
      <x:c r="A219" s="66" t="str">
        <x:v>SXT730</x:v>
      </x:c>
      <x:c r="B219" s="66" t="str">
        <x:v>世宽若水尘心3号</x:v>
      </x:c>
      <x:c r="C219" s="72" t="n">
        <x:v>46233</x:v>
      </x:c>
      <x:c r="D219" s="73" t="n">
        <x:v>1.0544</x:v>
      </x:c>
      <x:c r="E219" s="73" t="n">
        <x:v>1.4555</x:v>
      </x:c>
      <x:c r="F219" s="73" t="n">
        <x:v>1.5398</x:v>
      </x:c>
      <x:c r="G219" s="74" t="n">
        <x:v>0.0038</x:v>
      </x:c>
      <x:c r="H219" s="66" t="str">
        <x:v>世宽若水尘心3号净值20260911.xlsx</x:v>
      </x:c>
      <x:c r="I219" s="73" t="n">
        <x:f>MAX(I218,F219)</x:f>
        <x:v>1.5398</x:v>
      </x:c>
      <x:c r="J219" s="74" t="n">
        <x:f>1-F219/I219</x:f>
        <x:v>0</x:v>
      </x:c>
      <x:c r="K219" s="73" t="n">
        <x:f>MAX(K218,F219)</x:f>
        <x:v>1.5398</x:v>
      </x:c>
      <x:c r="L219" s="74" t="n">
        <x:f>1-F219/K219</x:f>
        <x:v>0</x:v>
      </x:c>
      <x:c r="M219" s="73" t="n">
        <x:f>MAX(M218,F219)</x:f>
        <x:v>1.5398</x:v>
      </x:c>
      <x:c r="N219" s="74" t="n">
        <x:f>1-F219/M219</x:f>
        <x:v>0</x:v>
      </x:c>
    </x:row>
    <x:row r="220" ht="27" customHeight="1">
      <x:c r="A220" s="66" t="str">
        <x:v>SXT730</x:v>
      </x:c>
      <x:c r="B220" s="66" t="str">
        <x:v>世宽若水尘心3号</x:v>
      </x:c>
      <x:c r="C220" s="72" t="n">
        <x:v>46234</x:v>
      </x:c>
      <x:c r="D220" s="73" t="n">
        <x:v>1.0578</x:v>
      </x:c>
      <x:c r="E220" s="73" t="n">
        <x:v>1.4589</x:v>
      </x:c>
      <x:c r="F220" s="73" t="n">
        <x:v>1.5448</x:v>
      </x:c>
      <x:c r="G220" s="74" t="n">
        <x:v>0.0032</x:v>
      </x:c>
      <x:c r="H220" s="66" t="str">
        <x:v>世宽若水尘心3号净值20260911.xlsx</x:v>
      </x:c>
      <x:c r="I220" s="73" t="n">
        <x:f>MAX(I219,F220)</x:f>
        <x:v>1.5448</x:v>
      </x:c>
      <x:c r="J220" s="74" t="n">
        <x:f>1-F220/I220</x:f>
        <x:v>0</x:v>
      </x:c>
      <x:c r="K220" s="73" t="n">
        <x:f>MAX(K219,F220)</x:f>
        <x:v>1.5448</x:v>
      </x:c>
      <x:c r="L220" s="74" t="n">
        <x:f>1-F220/K220</x:f>
        <x:v>0</x:v>
      </x:c>
      <x:c r="M220" s="73" t="n">
        <x:f>MAX(M219,F220)</x:f>
        <x:v>1.5448</x:v>
      </x:c>
      <x:c r="N220" s="74" t="n">
        <x:f>1-F220/M220</x:f>
        <x:v>0</x:v>
      </x:c>
    </x:row>
    <x:row r="221" ht="27" customHeight="1">
      <x:c r="A221" s="66" t="str">
        <x:v>SXT730</x:v>
      </x:c>
      <x:c r="B221" s="66" t="str">
        <x:v>世宽若水尘心3号</x:v>
      </x:c>
      <x:c r="C221" s="72" t="n">
        <x:v>46237</x:v>
      </x:c>
      <x:c r="D221" s="73" t="n">
        <x:v>1.0572</x:v>
      </x:c>
      <x:c r="E221" s="73" t="n">
        <x:v>1.4583</x:v>
      </x:c>
      <x:c r="F221" s="73" t="n">
        <x:v>1.5439</x:v>
      </x:c>
      <x:c r="G221" s="74" t="n">
        <x:v>-0.0006</x:v>
      </x:c>
      <x:c r="H221" s="66" t="str">
        <x:v>世宽若水尘心3号净值20260911.xlsx</x:v>
      </x:c>
      <x:c r="I221" s="73" t="n">
        <x:f>MAX(I220,F221)</x:f>
        <x:v>1.5448</x:v>
      </x:c>
      <x:c r="J221" s="74" t="n">
        <x:f>1-F221/I221</x:f>
        <x:v>0.0005825996892800944</x:v>
      </x:c>
      <x:c r="K221" s="73" t="n">
        <x:f>MAX(K220,F221)</x:f>
        <x:v>1.5448</x:v>
      </x:c>
      <x:c r="L221" s="74" t="n">
        <x:f>1-F221/K221</x:f>
        <x:v>0.0005825996892800944</x:v>
      </x:c>
      <x:c r="M221" s="73" t="n">
        <x:f>MAX(M220,F221)</x:f>
        <x:v>1.5448</x:v>
      </x:c>
      <x:c r="N221" s="74" t="n">
        <x:f>1-F221/M221</x:f>
        <x:v>0.0005825996892800944</x:v>
      </x:c>
    </x:row>
    <x:row r="222" ht="27" customHeight="1">
      <x:c r="A222" s="66" t="str">
        <x:v>SXT730</x:v>
      </x:c>
      <x:c r="B222" s="66" t="str">
        <x:v>世宽若水尘心3号</x:v>
      </x:c>
      <x:c r="C222" s="72" t="n">
        <x:v>46238</x:v>
      </x:c>
      <x:c r="D222" s="73" t="n">
        <x:v>1.0577</x:v>
      </x:c>
      <x:c r="E222" s="73" t="n">
        <x:v>1.4588</x:v>
      </x:c>
      <x:c r="F222" s="73" t="n">
        <x:v>1.5446</x:v>
      </x:c>
      <x:c r="G222" s="74" t="n">
        <x:v>0.0005</x:v>
      </x:c>
      <x:c r="H222" s="66" t="str">
        <x:v>世宽若水尘心3号净值20260911.xlsx</x:v>
      </x:c>
      <x:c r="I222" s="73" t="n">
        <x:f>MAX(I221,F222)</x:f>
        <x:v>1.5448</x:v>
      </x:c>
      <x:c r="J222" s="74" t="n">
        <x:f>1-F222/I222</x:f>
        <x:v>0.0001294665976178111</x:v>
      </x:c>
      <x:c r="K222" s="73" t="n">
        <x:f>MAX(K221,F222)</x:f>
        <x:v>1.5448</x:v>
      </x:c>
      <x:c r="L222" s="74" t="n">
        <x:f>1-F222/K222</x:f>
        <x:v>0.0001294665976178111</x:v>
      </x:c>
      <x:c r="M222" s="73" t="n">
        <x:f>MAX(M221,F222)</x:f>
        <x:v>1.5448</x:v>
      </x:c>
      <x:c r="N222" s="74" t="n">
        <x:f>1-F222/M222</x:f>
        <x:v>0.0001294665976178111</x:v>
      </x:c>
    </x:row>
    <x:row r="223" ht="27" customHeight="1">
      <x:c r="A223" s="66" t="str">
        <x:v>SXT730</x:v>
      </x:c>
      <x:c r="B223" s="66" t="str">
        <x:v>世宽若水尘心3号</x:v>
      </x:c>
      <x:c r="C223" s="72" t="n">
        <x:v>46239</x:v>
      </x:c>
      <x:c r="D223" s="73" t="n">
        <x:v>1.0536</x:v>
      </x:c>
      <x:c r="E223" s="73" t="n">
        <x:v>1.4547</x:v>
      </x:c>
      <x:c r="F223" s="73" t="n">
        <x:v>1.5386</x:v>
      </x:c>
      <x:c r="G223" s="74" t="n">
        <x:v>-0.0039000000000000003</x:v>
      </x:c>
      <x:c r="H223" s="66" t="str">
        <x:v>世宽若水尘心3号净值20260911.xlsx</x:v>
      </x:c>
      <x:c r="I223" s="73" t="n">
        <x:f>MAX(I222,F223)</x:f>
        <x:v>1.5448</x:v>
      </x:c>
      <x:c r="J223" s="74" t="n">
        <x:f>1-F223/I223</x:f>
        <x:v>0.004013464526152255</x:v>
      </x:c>
      <x:c r="K223" s="73" t="n">
        <x:f>MAX(K222,F223)</x:f>
        <x:v>1.5448</x:v>
      </x:c>
      <x:c r="L223" s="74" t="n">
        <x:f>1-F223/K223</x:f>
        <x:v>0.004013464526152255</x:v>
      </x:c>
      <x:c r="M223" s="73" t="n">
        <x:f>MAX(M222,F223)</x:f>
        <x:v>1.5448</x:v>
      </x:c>
      <x:c r="N223" s="74" t="n">
        <x:f>1-F223/M223</x:f>
        <x:v>0.004013464526152255</x:v>
      </x:c>
    </x:row>
    <x:row r="224" ht="27" customHeight="1">
      <x:c r="A224" s="66" t="str">
        <x:v>SXT730</x:v>
      </x:c>
      <x:c r="B224" s="66" t="str">
        <x:v>世宽若水尘心3号</x:v>
      </x:c>
      <x:c r="C224" s="72" t="n">
        <x:v>46240</x:v>
      </x:c>
      <x:c r="D224" s="73" t="n">
        <x:v>1.0572</x:v>
      </x:c>
      <x:c r="E224" s="73" t="n">
        <x:v>1.4583</x:v>
      </x:c>
      <x:c r="F224" s="73" t="n">
        <x:v>1.5439</x:v>
      </x:c>
      <x:c r="G224" s="74" t="n">
        <x:v>0.0034000000000000002</x:v>
      </x:c>
      <x:c r="H224" s="66" t="str">
        <x:v>世宽若水尘心3号净值20260911.xlsx</x:v>
      </x:c>
      <x:c r="I224" s="73" t="n">
        <x:f>MAX(I223,F224)</x:f>
        <x:v>1.5448</x:v>
      </x:c>
      <x:c r="J224" s="74" t="n">
        <x:f>1-F224/I224</x:f>
        <x:v>0.0005825996892800944</x:v>
      </x:c>
      <x:c r="K224" s="73" t="n">
        <x:f>MAX(K223,F224)</x:f>
        <x:v>1.5448</x:v>
      </x:c>
      <x:c r="L224" s="74" t="n">
        <x:f>1-F224/K224</x:f>
        <x:v>0.0005825996892800944</x:v>
      </x:c>
      <x:c r="M224" s="73" t="n">
        <x:f>MAX(M223,F224)</x:f>
        <x:v>1.5448</x:v>
      </x:c>
      <x:c r="N224" s="74" t="n">
        <x:f>1-F224/M224</x:f>
        <x:v>0.0005825996892800944</x:v>
      </x:c>
    </x:row>
    <x:row r="225" ht="27" customHeight="1">
      <x:c r="A225" s="66" t="str">
        <x:v>SXT730</x:v>
      </x:c>
      <x:c r="B225" s="66" t="str">
        <x:v>世宽若水尘心3号</x:v>
      </x:c>
      <x:c r="C225" s="72" t="n">
        <x:v>46241</x:v>
      </x:c>
      <x:c r="D225" s="73" t="n">
        <x:v>1.0538</x:v>
      </x:c>
      <x:c r="E225" s="73" t="n">
        <x:v>1.4549</x:v>
      </x:c>
      <x:c r="F225" s="73" t="n">
        <x:v>1.5389</x:v>
      </x:c>
      <x:c r="G225" s="74" t="n">
        <x:v>-0.0032</x:v>
      </x:c>
      <x:c r="H225" s="66" t="str">
        <x:v>世宽若水尘心3号净值20260911.xlsx</x:v>
      </x:c>
      <x:c r="I225" s="73" t="n">
        <x:f>MAX(I224,F225)</x:f>
        <x:v>1.5448</x:v>
      </x:c>
      <x:c r="J225" s="74" t="n">
        <x:f>1-F225/I225</x:f>
        <x:v>0.003819264629725594</x:v>
      </x:c>
      <x:c r="K225" s="73" t="n">
        <x:f>MAX(K224,F225)</x:f>
        <x:v>1.5448</x:v>
      </x:c>
      <x:c r="L225" s="74" t="n">
        <x:f>1-F225/K225</x:f>
        <x:v>0.003819264629725594</x:v>
      </x:c>
      <x:c r="M225" s="73" t="n">
        <x:f>MAX(M224,F225)</x:f>
        <x:v>1.5448</x:v>
      </x:c>
      <x:c r="N225" s="74" t="n">
        <x:f>1-F225/M225</x:f>
        <x:v>0.003819264629725594</x:v>
      </x:c>
    </x:row>
    <x:row r="226" ht="27" customHeight="1">
      <x:c r="A226" s="66" t="str">
        <x:v>SXT730</x:v>
      </x:c>
      <x:c r="B226" s="66" t="str">
        <x:v>世宽若水尘心3号</x:v>
      </x:c>
      <x:c r="C226" s="72" t="n">
        <x:v>46244</x:v>
      </x:c>
      <x:c r="D226" s="73" t="n">
        <x:v>1.0513</x:v>
      </x:c>
      <x:c r="E226" s="73" t="n">
        <x:v>1.4524</x:v>
      </x:c>
      <x:c r="F226" s="73" t="n">
        <x:v>1.5353</x:v>
      </x:c>
      <x:c r="G226" s="74" t="n">
        <x:v>-0.0024</x:v>
      </x:c>
      <x:c r="H226" s="66" t="str">
        <x:v>世宽若水尘心3号净值20260911.xlsx</x:v>
      </x:c>
      <x:c r="I226" s="73" t="n">
        <x:f>MAX(I225,F226)</x:f>
        <x:v>1.5448</x:v>
      </x:c>
      <x:c r="J226" s="74" t="n">
        <x:f>1-F226/I226</x:f>
        <x:v>0.006149663386846083</x:v>
      </x:c>
      <x:c r="K226" s="73" t="n">
        <x:f>MAX(K225,F226)</x:f>
        <x:v>1.5448</x:v>
      </x:c>
      <x:c r="L226" s="74" t="n">
        <x:f>1-F226/K226</x:f>
        <x:v>0.006149663386846083</x:v>
      </x:c>
      <x:c r="M226" s="73" t="n">
        <x:f>MAX(M225,F226)</x:f>
        <x:v>1.5448</x:v>
      </x:c>
      <x:c r="N226" s="74" t="n">
        <x:f>1-F226/M226</x:f>
        <x:v>0.006149663386846083</x:v>
      </x:c>
    </x:row>
    <x:row r="227" ht="27" customHeight="1">
      <x:c r="A227" s="66" t="str">
        <x:v>SXT730</x:v>
      </x:c>
      <x:c r="B227" s="66" t="str">
        <x:v>世宽若水尘心3号</x:v>
      </x:c>
      <x:c r="C227" s="72" t="n">
        <x:v>46245</x:v>
      </x:c>
      <x:c r="D227" s="73" t="n">
        <x:v>1.0529</x:v>
      </x:c>
      <x:c r="E227" s="73" t="n">
        <x:v>1.454</x:v>
      </x:c>
      <x:c r="F227" s="73" t="n">
        <x:v>1.5376</x:v>
      </x:c>
      <x:c r="G227" s="74" t="n">
        <x:v>0.0015</x:v>
      </x:c>
      <x:c r="H227" s="66" t="str">
        <x:v>世宽若水尘心3号净值20260911.xlsx</x:v>
      </x:c>
      <x:c r="I227" s="73" t="n">
        <x:f>MAX(I226,F227)</x:f>
        <x:v>1.5448</x:v>
      </x:c>
      <x:c r="J227" s="74" t="n">
        <x:f>1-F227/I227</x:f>
        <x:v>0.0046607975142411995</x:v>
      </x:c>
      <x:c r="K227" s="73" t="n">
        <x:f>MAX(K226,F227)</x:f>
        <x:v>1.5448</x:v>
      </x:c>
      <x:c r="L227" s="74" t="n">
        <x:f>1-F227/K227</x:f>
        <x:v>0.0046607975142411995</x:v>
      </x:c>
      <x:c r="M227" s="73" t="n">
        <x:f>MAX(M226,F227)</x:f>
        <x:v>1.5448</x:v>
      </x:c>
      <x:c r="N227" s="74" t="n">
        <x:f>1-F227/M227</x:f>
        <x:v>0.0046607975142411995</x:v>
      </x:c>
    </x:row>
    <x:row r="228" ht="27" customHeight="1">
      <x:c r="A228" s="66" t="str">
        <x:v>SXT730</x:v>
      </x:c>
      <x:c r="B228" s="66" t="str">
        <x:v>世宽若水尘心3号</x:v>
      </x:c>
      <x:c r="C228" s="72" t="n">
        <x:v>46246</x:v>
      </x:c>
      <x:c r="D228" s="73" t="n">
        <x:v>1.0527</x:v>
      </x:c>
      <x:c r="E228" s="73" t="n">
        <x:v>1.4538</x:v>
      </x:c>
      <x:c r="F228" s="73" t="n">
        <x:v>1.5373</x:v>
      </x:c>
      <x:c r="G228" s="74" t="n">
        <x:v>-0.0002</x:v>
      </x:c>
      <x:c r="H228" s="66" t="str">
        <x:v>世宽若水尘心3号净值20260911.xlsx</x:v>
      </x:c>
      <x:c r="I228" s="73" t="n">
        <x:f>MAX(I227,F228)</x:f>
        <x:v>1.5448</x:v>
      </x:c>
      <x:c r="J228" s="74" t="n">
        <x:f>1-F228/I228</x:f>
        <x:v>0.004854997410667972</x:v>
      </x:c>
      <x:c r="K228" s="73" t="n">
        <x:f>MAX(K227,F228)</x:f>
        <x:v>1.5448</x:v>
      </x:c>
      <x:c r="L228" s="74" t="n">
        <x:f>1-F228/K228</x:f>
        <x:v>0.004854997410667972</x:v>
      </x:c>
      <x:c r="M228" s="73" t="n">
        <x:f>MAX(M227,F228)</x:f>
        <x:v>1.5448</x:v>
      </x:c>
      <x:c r="N228" s="74" t="n">
        <x:f>1-F228/M228</x:f>
        <x:v>0.004854997410667972</x:v>
      </x:c>
    </x:row>
    <x:row r="229" ht="27" customHeight="1">
      <x:c r="A229" s="66" t="str">
        <x:v>SXT730</x:v>
      </x:c>
      <x:c r="B229" s="66" t="str">
        <x:v>世宽若水尘心3号</x:v>
      </x:c>
      <x:c r="C229" s="72" t="n">
        <x:v>46247</x:v>
      </x:c>
      <x:c r="D229" s="73" t="n">
        <x:v>1.0544</x:v>
      </x:c>
      <x:c r="E229" s="73" t="n">
        <x:v>1.4555</x:v>
      </x:c>
      <x:c r="F229" s="73" t="n">
        <x:v>1.5398</x:v>
      </x:c>
      <x:c r="G229" s="74" t="n">
        <x:v>0.0016</x:v>
      </x:c>
      <x:c r="H229" s="66" t="str">
        <x:v>世宽若水尘心3号净值20260911.xlsx</x:v>
      </x:c>
      <x:c r="I229" s="73" t="n">
        <x:f>MAX(I228,F229)</x:f>
        <x:v>1.5448</x:v>
      </x:c>
      <x:c r="J229" s="74" t="n">
        <x:f>1-F229/I229</x:f>
        <x:v>0.0032366649404452774</x:v>
      </x:c>
      <x:c r="K229" s="73" t="n">
        <x:f>MAX(K228,F229)</x:f>
        <x:v>1.5448</x:v>
      </x:c>
      <x:c r="L229" s="74" t="n">
        <x:f>1-F229/K229</x:f>
        <x:v>0.0032366649404452774</x:v>
      </x:c>
      <x:c r="M229" s="73" t="n">
        <x:f>MAX(M228,F229)</x:f>
        <x:v>1.5448</x:v>
      </x:c>
      <x:c r="N229" s="74" t="n">
        <x:f>1-F229/M229</x:f>
        <x:v>0.0032366649404452774</x:v>
      </x:c>
    </x:row>
    <x:row r="230" ht="27" customHeight="1">
      <x:c r="A230" s="66" t="str">
        <x:v>SXT730</x:v>
      </x:c>
      <x:c r="B230" s="66" t="str">
        <x:v>世宽若水尘心3号</x:v>
      </x:c>
      <x:c r="C230" s="72" t="n">
        <x:v>46248</x:v>
      </x:c>
      <x:c r="D230" s="73" t="n">
        <x:v>1.0563</x:v>
      </x:c>
      <x:c r="E230" s="73" t="n">
        <x:v>1.4574</x:v>
      </x:c>
      <x:c r="F230" s="73" t="n">
        <x:v>1.5426</x:v>
      </x:c>
      <x:c r="G230" s="74" t="n">
        <x:v>0.0018</x:v>
      </x:c>
      <x:c r="H230" s="66" t="str">
        <x:v>世宽若水尘心3号净值20260911.xlsx</x:v>
      </x:c>
      <x:c r="I230" s="73" t="n">
        <x:f>MAX(I229,F230)</x:f>
        <x:v>1.5448</x:v>
      </x:c>
      <x:c r="J230" s="74" t="n">
        <x:f>1-F230/I230</x:f>
        <x:v>0.001424132573795922</x:v>
      </x:c>
      <x:c r="K230" s="73" t="n">
        <x:f>MAX(K229,F230)</x:f>
        <x:v>1.5448</x:v>
      </x:c>
      <x:c r="L230" s="74" t="n">
        <x:f>1-F230/K230</x:f>
        <x:v>0.001424132573795922</x:v>
      </x:c>
      <x:c r="M230" s="73" t="n">
        <x:f>MAX(M229,F230)</x:f>
        <x:v>1.5448</x:v>
      </x:c>
      <x:c r="N230" s="74" t="n">
        <x:f>1-F230/M230</x:f>
        <x:v>0.001424132573795922</x:v>
      </x:c>
    </x:row>
    <x:row r="231" ht="27" customHeight="1">
      <x:c r="A231" s="66" t="str">
        <x:v>SXT730</x:v>
      </x:c>
      <x:c r="B231" s="66" t="str">
        <x:v>世宽若水尘心3号</x:v>
      </x:c>
      <x:c r="C231" s="72" t="n">
        <x:v>46251</x:v>
      </x:c>
      <x:c r="D231" s="73" t="n">
        <x:v>1.0583</x:v>
      </x:c>
      <x:c r="E231" s="73" t="n">
        <x:v>1.4594</x:v>
      </x:c>
      <x:c r="F231" s="73" t="n">
        <x:v>1.5455</x:v>
      </x:c>
      <x:c r="G231" s="74" t="n">
        <x:v>0.0019</x:v>
      </x:c>
      <x:c r="H231" s="66" t="str">
        <x:v>世宽若水尘心3号净值20260911.xlsx</x:v>
      </x:c>
      <x:c r="I231" s="73" t="n">
        <x:f>MAX(I230,F231)</x:f>
        <x:v>1.5455</x:v>
      </x:c>
      <x:c r="J231" s="74" t="n">
        <x:f>1-F231/I231</x:f>
        <x:v>0</x:v>
      </x:c>
      <x:c r="K231" s="73" t="n">
        <x:f>MAX(K230,F231)</x:f>
        <x:v>1.5455</x:v>
      </x:c>
      <x:c r="L231" s="74" t="n">
        <x:f>1-F231/K231</x:f>
        <x:v>0</x:v>
      </x:c>
      <x:c r="M231" s="73" t="n">
        <x:f>MAX(M230,F231)</x:f>
        <x:v>1.5455</x:v>
      </x:c>
      <x:c r="N231" s="74" t="n">
        <x:f>1-F231/M231</x:f>
        <x:v>0</x:v>
      </x:c>
    </x:row>
    <x:row r="232" ht="27" customHeight="1">
      <x:c r="A232" s="66" t="str">
        <x:v>SXT730</x:v>
      </x:c>
      <x:c r="B232" s="66" t="str">
        <x:v>世宽若水尘心3号</x:v>
      </x:c>
      <x:c r="C232" s="72" t="n">
        <x:v>46252</x:v>
      </x:c>
      <x:c r="D232" s="73" t="n">
        <x:v>1.0571</x:v>
      </x:c>
      <x:c r="E232" s="73" t="n">
        <x:v>1.4582</x:v>
      </x:c>
      <x:c r="F232" s="73" t="n">
        <x:v>1.5438</x:v>
      </x:c>
      <x:c r="G232" s="74" t="n">
        <x:v>-0.0011</x:v>
      </x:c>
      <x:c r="H232" s="66" t="str">
        <x:v>世宽若水尘心3号净值20260911.xlsx</x:v>
      </x:c>
      <x:c r="I232" s="73" t="n">
        <x:f>MAX(I231,F232)</x:f>
        <x:v>1.5455</x:v>
      </x:c>
      <x:c r="J232" s="74" t="n">
        <x:f>1-F232/I232</x:f>
        <x:v>0.001099967648010347</x:v>
      </x:c>
      <x:c r="K232" s="73" t="n">
        <x:f>MAX(K231,F232)</x:f>
        <x:v>1.5455</x:v>
      </x:c>
      <x:c r="L232" s="74" t="n">
        <x:f>1-F232/K232</x:f>
        <x:v>0.001099967648010347</x:v>
      </x:c>
      <x:c r="M232" s="73" t="n">
        <x:f>MAX(M231,F232)</x:f>
        <x:v>1.5455</x:v>
      </x:c>
      <x:c r="N232" s="74" t="n">
        <x:f>1-F232/M232</x:f>
        <x:v>0.001099967648010347</x:v>
      </x:c>
    </x:row>
    <x:row r="233" ht="27" customHeight="1">
      <x:c r="A233" s="66" t="str">
        <x:v>SXT730</x:v>
      </x:c>
      <x:c r="B233" s="66" t="str">
        <x:v>世宽若水尘心3号</x:v>
      </x:c>
      <x:c r="C233" s="72" t="n">
        <x:v>46253</x:v>
      </x:c>
      <x:c r="D233" s="73" t="n">
        <x:v>1.06</x:v>
      </x:c>
      <x:c r="E233" s="73" t="n">
        <x:v>1.4611</x:v>
      </x:c>
      <x:c r="F233" s="73" t="n">
        <x:v>1.548</x:v>
      </x:c>
      <x:c r="G233" s="74" t="n">
        <x:v>0.0027</x:v>
      </x:c>
      <x:c r="H233" s="66" t="str">
        <x:v>世宽若水尘心3号净值20260911.xlsx</x:v>
      </x:c>
      <x:c r="I233" s="73" t="n">
        <x:f>MAX(I232,F233)</x:f>
        <x:v>1.548</x:v>
      </x:c>
      <x:c r="J233" s="74" t="n">
        <x:f>1-F233/I233</x:f>
        <x:v>0</x:v>
      </x:c>
      <x:c r="K233" s="73" t="n">
        <x:f>MAX(K232,F233)</x:f>
        <x:v>1.548</x:v>
      </x:c>
      <x:c r="L233" s="74" t="n">
        <x:f>1-F233/K233</x:f>
        <x:v>0</x:v>
      </x:c>
      <x:c r="M233" s="73" t="n">
        <x:f>MAX(M232,F233)</x:f>
        <x:v>1.548</x:v>
      </x:c>
      <x:c r="N233" s="74" t="n">
        <x:f>1-F233/M233</x:f>
        <x:v>0</x:v>
      </x:c>
    </x:row>
    <x:row r="234" ht="27" customHeight="1">
      <x:c r="A234" s="66" t="str">
        <x:v>SXT730</x:v>
      </x:c>
      <x:c r="B234" s="66" t="str">
        <x:v>世宽若水尘心3号</x:v>
      </x:c>
      <x:c r="C234" s="72" t="n">
        <x:v>46254</x:v>
      </x:c>
      <x:c r="D234" s="73" t="n">
        <x:v>1.0585</x:v>
      </x:c>
      <x:c r="E234" s="73" t="n">
        <x:v>1.4596</x:v>
      </x:c>
      <x:c r="F234" s="73" t="n">
        <x:v>1.5458</x:v>
      </x:c>
      <x:c r="G234" s="74" t="n">
        <x:v>-0.0014000000000000002</x:v>
      </x:c>
      <x:c r="H234" s="66" t="str">
        <x:v>世宽若水尘心3号净值20260911.xlsx</x:v>
      </x:c>
      <x:c r="I234" s="73" t="n">
        <x:f>MAX(I233,F234)</x:f>
        <x:v>1.548</x:v>
      </x:c>
      <x:c r="J234" s="74" t="n">
        <x:f>1-F234/I234</x:f>
        <x:v>0.0014211886304908994</x:v>
      </x:c>
      <x:c r="K234" s="73" t="n">
        <x:f>MAX(K233,F234)</x:f>
        <x:v>1.548</x:v>
      </x:c>
      <x:c r="L234" s="74" t="n">
        <x:f>1-F234/K234</x:f>
        <x:v>0.0014211886304908994</x:v>
      </x:c>
      <x:c r="M234" s="73" t="n">
        <x:f>MAX(M233,F234)</x:f>
        <x:v>1.548</x:v>
      </x:c>
      <x:c r="N234" s="74" t="n">
        <x:f>1-F234/M234</x:f>
        <x:v>0.0014211886304908994</x:v>
      </x:c>
    </x:row>
    <x:row r="235" ht="27" customHeight="1">
      <x:c r="A235" s="66" t="str">
        <x:v>SXT730</x:v>
      </x:c>
      <x:c r="B235" s="66" t="str">
        <x:v>世宽若水尘心3号</x:v>
      </x:c>
      <x:c r="C235" s="72" t="n">
        <x:v>46255</x:v>
      </x:c>
      <x:c r="D235" s="73" t="n">
        <x:v>1.0567</x:v>
      </x:c>
      <x:c r="E235" s="73" t="n">
        <x:v>1.4578</x:v>
      </x:c>
      <x:c r="F235" s="73" t="n">
        <x:v>1.5432</x:v>
      </x:c>
      <x:c r="G235" s="74" t="n">
        <x:v>-0.0017000000000000001</x:v>
      </x:c>
      <x:c r="H235" s="66" t="str">
        <x:v>世宽若水尘心3号净值20260911.xlsx</x:v>
      </x:c>
      <x:c r="I235" s="73" t="n">
        <x:f>MAX(I234,F235)</x:f>
        <x:v>1.548</x:v>
      </x:c>
      <x:c r="J235" s="74" t="n">
        <x:f>1-F235/I235</x:f>
        <x:v>0.0031007751937985883</x:v>
      </x:c>
      <x:c r="K235" s="73" t="n">
        <x:f>MAX(K234,F235)</x:f>
        <x:v>1.548</x:v>
      </x:c>
      <x:c r="L235" s="74" t="n">
        <x:f>1-F235/K235</x:f>
        <x:v>0.0031007751937985883</x:v>
      </x:c>
      <x:c r="M235" s="73" t="n">
        <x:f>MAX(M234,F235)</x:f>
        <x:v>1.548</x:v>
      </x:c>
      <x:c r="N235" s="74" t="n">
        <x:f>1-F235/M235</x:f>
        <x:v>0.0031007751937985883</x:v>
      </x:c>
    </x:row>
    <x:row r="236" ht="27" customHeight="1">
      <x:c r="A236" s="66" t="str">
        <x:v>SXT730</x:v>
      </x:c>
      <x:c r="B236" s="66" t="str">
        <x:v>世宽若水尘心3号</x:v>
      </x:c>
      <x:c r="C236" s="72" t="n">
        <x:v>46258</x:v>
      </x:c>
      <x:c r="D236" s="73" t="n">
        <x:v>1.0575</x:v>
      </x:c>
      <x:c r="E236" s="73" t="n">
        <x:v>1.4586</x:v>
      </x:c>
      <x:c r="F236" s="73" t="n">
        <x:v>1.5443</x:v>
      </x:c>
      <x:c r="G236" s="74" t="n">
        <x:v>0.0008</x:v>
      </x:c>
      <x:c r="H236" s="66" t="str">
        <x:v>世宽若水尘心3号净值20260911.xlsx</x:v>
      </x:c>
      <x:c r="I236" s="73" t="n">
        <x:f>MAX(I235,F236)</x:f>
        <x:v>1.548</x:v>
      </x:c>
      <x:c r="J236" s="74" t="n">
        <x:f>1-F236/I236</x:f>
        <x:v>0.0023901808785530276</x:v>
      </x:c>
      <x:c r="K236" s="73" t="n">
        <x:f>MAX(K235,F236)</x:f>
        <x:v>1.548</x:v>
      </x:c>
      <x:c r="L236" s="74" t="n">
        <x:f>1-F236/K236</x:f>
        <x:v>0.0023901808785530276</x:v>
      </x:c>
      <x:c r="M236" s="73" t="n">
        <x:f>MAX(M235,F236)</x:f>
        <x:v>1.548</x:v>
      </x:c>
      <x:c r="N236" s="74" t="n">
        <x:f>1-F236/M236</x:f>
        <x:v>0.0023901808785530276</x:v>
      </x:c>
    </x:row>
    <x:row r="237" ht="27" customHeight="1">
      <x:c r="A237" s="66" t="str">
        <x:v>SXT730</x:v>
      </x:c>
      <x:c r="B237" s="66" t="str">
        <x:v>世宽若水尘心3号</x:v>
      </x:c>
      <x:c r="C237" s="72" t="n">
        <x:v>46259</x:v>
      </x:c>
      <x:c r="D237" s="73" t="n">
        <x:v>1.0557</x:v>
      </x:c>
      <x:c r="E237" s="73" t="n">
        <x:v>1.4568</x:v>
      </x:c>
      <x:c r="F237" s="73" t="n">
        <x:v>1.5417</x:v>
      </x:c>
      <x:c r="G237" s="74" t="n">
        <x:v>-0.0017000000000000001</x:v>
      </x:c>
      <x:c r="H237" s="66" t="str">
        <x:v>世宽若水尘心3号净值20260911.xlsx</x:v>
      </x:c>
      <x:c r="I237" s="73" t="n">
        <x:f>MAX(I236,F237)</x:f>
        <x:v>1.548</x:v>
      </x:c>
      <x:c r="J237" s="74" t="n">
        <x:f>1-F237/I237</x:f>
        <x:v>0.0040697674418604946</x:v>
      </x:c>
      <x:c r="K237" s="73" t="n">
        <x:f>MAX(K236,F237)</x:f>
        <x:v>1.548</x:v>
      </x:c>
      <x:c r="L237" s="74" t="n">
        <x:f>1-F237/K237</x:f>
        <x:v>0.0040697674418604946</x:v>
      </x:c>
      <x:c r="M237" s="73" t="n">
        <x:f>MAX(M236,F237)</x:f>
        <x:v>1.548</x:v>
      </x:c>
      <x:c r="N237" s="74" t="n">
        <x:f>1-F237/M237</x:f>
        <x:v>0.0040697674418604946</x:v>
      </x:c>
    </x:row>
    <x:row r="238" ht="27" customHeight="1">
      <x:c r="A238" s="66" t="str">
        <x:v>SXT730</x:v>
      </x:c>
      <x:c r="B238" s="66" t="str">
        <x:v>世宽若水尘心3号</x:v>
      </x:c>
      <x:c r="C238" s="72" t="n">
        <x:v>46260</x:v>
      </x:c>
      <x:c r="D238" s="73" t="n">
        <x:v>1.0531</x:v>
      </x:c>
      <x:c r="E238" s="73" t="n">
        <x:v>1.4542</x:v>
      </x:c>
      <x:c r="F238" s="73" t="n">
        <x:v>1.5379</x:v>
      </x:c>
      <x:c r="G238" s="74" t="n">
        <x:v>-0.0025</x:v>
      </x:c>
      <x:c r="H238" s="66" t="str">
        <x:v>世宽若水尘心3号净值20260911.xlsx</x:v>
      </x:c>
      <x:c r="I238" s="73" t="n">
        <x:f>MAX(I237,F238)</x:f>
        <x:v>1.548</x:v>
      </x:c>
      <x:c r="J238" s="74" t="n">
        <x:f>1-F238/I238</x:f>
        <x:v>0.006524547803617553</x:v>
      </x:c>
      <x:c r="K238" s="73" t="n">
        <x:f>MAX(K237,F238)</x:f>
        <x:v>1.548</x:v>
      </x:c>
      <x:c r="L238" s="74" t="n">
        <x:f>1-F238/K238</x:f>
        <x:v>0.006524547803617553</x:v>
      </x:c>
      <x:c r="M238" s="73" t="n">
        <x:f>MAX(M237,F238)</x:f>
        <x:v>1.548</x:v>
      </x:c>
      <x:c r="N238" s="74" t="n">
        <x:f>1-F238/M238</x:f>
        <x:v>0.006524547803617553</x:v>
      </x:c>
    </x:row>
    <x:row r="239" ht="27" customHeight="1">
      <x:c r="A239" s="66" t="str">
        <x:v>SXT730</x:v>
      </x:c>
      <x:c r="B239" s="66" t="str">
        <x:v>世宽若水尘心3号</x:v>
      </x:c>
      <x:c r="C239" s="72" t="n">
        <x:v>46261</x:v>
      </x:c>
      <x:c r="D239" s="73" t="n">
        <x:v>1.0515</x:v>
      </x:c>
      <x:c r="E239" s="73" t="n">
        <x:v>1.4526</x:v>
      </x:c>
      <x:c r="F239" s="73" t="n">
        <x:v>1.5356</x:v>
      </x:c>
      <x:c r="G239" s="74" t="n">
        <x:v>-0.0015</x:v>
      </x:c>
      <x:c r="H239" s="66" t="str">
        <x:v>世宽若水尘心3号净值20260911.xlsx</x:v>
      </x:c>
      <x:c r="I239" s="73" t="n">
        <x:f>MAX(I238,F239)</x:f>
        <x:v>1.548</x:v>
      </x:c>
      <x:c r="J239" s="74" t="n">
        <x:f>1-F239/I239</x:f>
        <x:v>0.008010335917312594</x:v>
      </x:c>
      <x:c r="K239" s="73" t="n">
        <x:f>MAX(K238,F239)</x:f>
        <x:v>1.548</x:v>
      </x:c>
      <x:c r="L239" s="74" t="n">
        <x:f>1-F239/K239</x:f>
        <x:v>0.008010335917312594</x:v>
      </x:c>
      <x:c r="M239" s="73" t="n">
        <x:f>MAX(M238,F239)</x:f>
        <x:v>1.548</x:v>
      </x:c>
      <x:c r="N239" s="74" t="n">
        <x:f>1-F239/M239</x:f>
        <x:v>0.008010335917312594</x:v>
      </x:c>
    </x:row>
    <x:row r="240" ht="27" customHeight="1">
      <x:c r="A240" s="66" t="str">
        <x:v>SXT730</x:v>
      </x:c>
      <x:c r="B240" s="66" t="str">
        <x:v>世宽若水尘心3号</x:v>
      </x:c>
      <x:c r="C240" s="72" t="n">
        <x:v>46262</x:v>
      </x:c>
      <x:c r="D240" s="73" t="n">
        <x:v>1.0509</x:v>
      </x:c>
      <x:c r="E240" s="73" t="n">
        <x:v>1.452</x:v>
      </x:c>
      <x:c r="F240" s="73" t="n">
        <x:v>1.5347</x:v>
      </x:c>
      <x:c r="G240" s="74" t="n">
        <x:v>-0.0006</x:v>
      </x:c>
      <x:c r="H240" s="66" t="str">
        <x:v>世宽若水尘心3号净值20260911.xlsx</x:v>
      </x:c>
      <x:c r="I240" s="73" t="n">
        <x:f>MAX(I239,F240)</x:f>
        <x:v>1.548</x:v>
      </x:c>
      <x:c r="J240" s="74" t="n">
        <x:f>1-F240/I240</x:f>
        <x:v>0.008591731266149982</x:v>
      </x:c>
      <x:c r="K240" s="73" t="n">
        <x:f>MAX(K239,F240)</x:f>
        <x:v>1.548</x:v>
      </x:c>
      <x:c r="L240" s="74" t="n">
        <x:f>1-F240/K240</x:f>
        <x:v>0.008591731266149982</x:v>
      </x:c>
      <x:c r="M240" s="73" t="n">
        <x:f>MAX(M239,F240)</x:f>
        <x:v>1.548</x:v>
      </x:c>
      <x:c r="N240" s="74" t="n">
        <x:f>1-F240/M240</x:f>
        <x:v>0.008591731266149982</x:v>
      </x:c>
    </x:row>
    <x:row r="241" ht="27" customHeight="1">
      <x:c r="A241" s="66" t="str">
        <x:v>SXT730</x:v>
      </x:c>
      <x:c r="B241" s="66" t="str">
        <x:v>世宽若水尘心3号</x:v>
      </x:c>
      <x:c r="C241" s="72" t="n">
        <x:v>46265</x:v>
      </x:c>
      <x:c r="D241" s="73" t="n">
        <x:v>1.0506</x:v>
      </x:c>
      <x:c r="E241" s="73" t="n">
        <x:v>1.4517</x:v>
      </x:c>
      <x:c r="F241" s="73" t="n">
        <x:v>1.5343</x:v>
      </x:c>
      <x:c r="G241" s="74" t="n">
        <x:v>-0.0003</x:v>
      </x:c>
      <x:c r="H241" s="66" t="str">
        <x:v>世宽若水尘心3号净值20260911.xlsx</x:v>
      </x:c>
      <x:c r="I241" s="73" t="n">
        <x:f>MAX(I240,F241)</x:f>
        <x:v>1.548</x:v>
      </x:c>
      <x:c r="J241" s="74" t="n">
        <x:f>1-F241/I241</x:f>
        <x:v>0.008850129198966439</x:v>
      </x:c>
      <x:c r="K241" s="73" t="n">
        <x:f>MAX(K240,F241)</x:f>
        <x:v>1.548</x:v>
      </x:c>
      <x:c r="L241" s="74" t="n">
        <x:f>1-F241/K241</x:f>
        <x:v>0.008850129198966439</x:v>
      </x:c>
      <x:c r="M241" s="73" t="n">
        <x:f>MAX(M240,F241)</x:f>
        <x:v>1.548</x:v>
      </x:c>
      <x:c r="N241" s="74" t="n">
        <x:f>1-F241/M241</x:f>
        <x:v>0.008850129198966439</x:v>
      </x:c>
    </x:row>
    <x:row r="242" ht="27" customHeight="1">
      <x:c r="A242" s="66" t="str">
        <x:v>SQH214</x:v>
      </x:c>
      <x:c r="B242" s="66" t="str">
        <x:v>常行7号</x:v>
      </x:c>
      <x:c r="C242" s="72" t="n">
        <x:v>44288</x:v>
      </x:c>
      <x:c r="D242" s="73" t="n">
        <x:v>1</x:v>
      </x:c>
      <x:c r="E242" s="73" t="n">
        <x:v>1</x:v>
      </x:c>
      <x:c r="F242" s="73" t="n">
        <x:v>1</x:v>
      </x:c>
      <x:c r="G242" s="74"/>
      <x:c r="H242" s="66" t="str">
        <x:v>常行7号净值20260911.xlsx</x:v>
      </x:c>
      <x:c r="I242" s="73" t="str">
        <x:f>""</x:f>
      </x:c>
      <x:c r="J242" s="74" t="str">
        <x:f>""</x:f>
      </x:c>
      <x:c r="K242" s="73" t="str">
        <x:f>""</x:f>
      </x:c>
      <x:c r="L242" s="74" t="str">
        <x:f>""</x:f>
      </x:c>
      <x:c r="M242" s="73" t="n">
        <x:f>F242</x:f>
        <x:v>1</x:v>
      </x:c>
      <x:c r="N242" s="74" t="n">
        <x:f>1-F242/M242</x:f>
        <x:v>0</x:v>
      </x:c>
    </x:row>
    <x:row r="243" ht="27" customHeight="1">
      <x:c r="A243" s="66" t="str">
        <x:v>SQH214</x:v>
      </x:c>
      <x:c r="B243" s="66" t="str">
        <x:v>常行7号</x:v>
      </x:c>
      <x:c r="C243" s="72" t="n">
        <x:v>44295</x:v>
      </x:c>
      <x:c r="D243" s="73" t="n">
        <x:v>0.9999</x:v>
      </x:c>
      <x:c r="E243" s="73" t="n">
        <x:v>0.9999</x:v>
      </x:c>
      <x:c r="F243" s="73" t="n">
        <x:v>0.9999</x:v>
      </x:c>
      <x:c r="G243" s="74" t="n">
        <x:v>-0.0001</x:v>
      </x:c>
      <x:c r="H243" s="66" t="str">
        <x:v>常行7号净值20260911.xlsx</x:v>
      </x:c>
      <x:c r="I243" s="73" t="str">
        <x:f>""</x:f>
      </x:c>
      <x:c r="J243" s="74" t="str">
        <x:f>""</x:f>
      </x:c>
      <x:c r="K243" s="73" t="str">
        <x:f>""</x:f>
      </x:c>
      <x:c r="L243" s="74" t="str">
        <x:f>""</x:f>
      </x:c>
      <x:c r="M243" s="73" t="n">
        <x:f>MAX(M242,F243)</x:f>
        <x:v>1</x:v>
      </x:c>
      <x:c r="N243" s="74" t="n">
        <x:f>1-F243/M243</x:f>
        <x:v>0.00009999999999998899</x:v>
      </x:c>
    </x:row>
    <x:row r="244" ht="27" customHeight="1">
      <x:c r="A244" s="66" t="str">
        <x:v>SQH214</x:v>
      </x:c>
      <x:c r="B244" s="66" t="str">
        <x:v>常行7号</x:v>
      </x:c>
      <x:c r="C244" s="72" t="n">
        <x:v>44302</x:v>
      </x:c>
      <x:c r="D244" s="73" t="n">
        <x:v>0.9997</x:v>
      </x:c>
      <x:c r="E244" s="73" t="n">
        <x:v>0.9997</x:v>
      </x:c>
      <x:c r="F244" s="73" t="n">
        <x:v>0.9997</x:v>
      </x:c>
      <x:c r="G244" s="74" t="n">
        <x:v>-0.0002</x:v>
      </x:c>
      <x:c r="H244" s="66" t="str">
        <x:v>常行7号净值20260911.xlsx</x:v>
      </x:c>
      <x:c r="I244" s="73" t="str">
        <x:f>""</x:f>
      </x:c>
      <x:c r="J244" s="74" t="str">
        <x:f>""</x:f>
      </x:c>
      <x:c r="K244" s="73" t="str">
        <x:f>""</x:f>
      </x:c>
      <x:c r="L244" s="74" t="str">
        <x:f>""</x:f>
      </x:c>
      <x:c r="M244" s="73" t="n">
        <x:f>MAX(M243,F244)</x:f>
        <x:v>1</x:v>
      </x:c>
      <x:c r="N244" s="74" t="n">
        <x:f>1-F244/M244</x:f>
        <x:v>0.00029999999999996696</x:v>
      </x:c>
    </x:row>
    <x:row r="245" ht="27" customHeight="1">
      <x:c r="A245" s="66" t="str">
        <x:v>SQH214</x:v>
      </x:c>
      <x:c r="B245" s="66" t="str">
        <x:v>常行7号</x:v>
      </x:c>
      <x:c r="C245" s="72" t="n">
        <x:v>44309</x:v>
      </x:c>
      <x:c r="D245" s="73" t="n">
        <x:v>0.9996</x:v>
      </x:c>
      <x:c r="E245" s="73" t="n">
        <x:v>0.9996</x:v>
      </x:c>
      <x:c r="F245" s="73" t="n">
        <x:v>0.9996</x:v>
      </x:c>
      <x:c r="G245" s="74" t="n">
        <x:v>-0.0001</x:v>
      </x:c>
      <x:c r="H245" s="66" t="str">
        <x:v>常行7号净值20260911.xlsx</x:v>
      </x:c>
      <x:c r="I245" s="73" t="str">
        <x:f>""</x:f>
      </x:c>
      <x:c r="J245" s="74" t="str">
        <x:f>""</x:f>
      </x:c>
      <x:c r="K245" s="73" t="str">
        <x:f>""</x:f>
      </x:c>
      <x:c r="L245" s="74" t="str">
        <x:f>""</x:f>
      </x:c>
      <x:c r="M245" s="73" t="n">
        <x:f>MAX(M244,F245)</x:f>
        <x:v>1</x:v>
      </x:c>
      <x:c r="N245" s="74" t="n">
        <x:f>1-F245/M245</x:f>
        <x:v>0.00039999999999995595</x:v>
      </x:c>
    </x:row>
    <x:row r="246" ht="27" customHeight="1">
      <x:c r="A246" s="66" t="str">
        <x:v>SQH214</x:v>
      </x:c>
      <x:c r="B246" s="66" t="str">
        <x:v>常行7号</x:v>
      </x:c>
      <x:c r="C246" s="72" t="n">
        <x:v>44316</x:v>
      </x:c>
      <x:c r="D246" s="73" t="n">
        <x:v>1.0008</x:v>
      </x:c>
      <x:c r="E246" s="73" t="n">
        <x:v>1.0008</x:v>
      </x:c>
      <x:c r="F246" s="73" t="n">
        <x:v>1.0008</x:v>
      </x:c>
      <x:c r="G246" s="74" t="n">
        <x:v>0.0012</x:v>
      </x:c>
      <x:c r="H246" s="66" t="str">
        <x:v>常行7号净值20260911.xlsx</x:v>
      </x:c>
      <x:c r="I246" s="73" t="str">
        <x:f>""</x:f>
      </x:c>
      <x:c r="J246" s="74" t="str">
        <x:f>""</x:f>
      </x:c>
      <x:c r="K246" s="73" t="str">
        <x:f>""</x:f>
      </x:c>
      <x:c r="L246" s="74" t="str">
        <x:f>""</x:f>
      </x:c>
      <x:c r="M246" s="73" t="n">
        <x:f>MAX(M245,F246)</x:f>
        <x:v>1.0008</x:v>
      </x:c>
      <x:c r="N246" s="74" t="n">
        <x:f>1-F246/M246</x:f>
        <x:v>0</x:v>
      </x:c>
    </x:row>
    <x:row r="247" ht="27" customHeight="1">
      <x:c r="A247" s="66" t="str">
        <x:v>SQH214</x:v>
      </x:c>
      <x:c r="B247" s="66" t="str">
        <x:v>常行7号</x:v>
      </x:c>
      <x:c r="C247" s="72" t="n">
        <x:v>44323</x:v>
      </x:c>
      <x:c r="D247" s="73" t="n">
        <x:v>1.0006</x:v>
      </x:c>
      <x:c r="E247" s="73" t="n">
        <x:v>1.0006</x:v>
      </x:c>
      <x:c r="F247" s="73" t="n">
        <x:v>1.0006</x:v>
      </x:c>
      <x:c r="G247" s="74" t="n">
        <x:v>-0.0002</x:v>
      </x:c>
      <x:c r="H247" s="66" t="str">
        <x:v>常行7号净值20260911.xlsx</x:v>
      </x:c>
      <x:c r="I247" s="73" t="str">
        <x:f>""</x:f>
      </x:c>
      <x:c r="J247" s="74" t="str">
        <x:f>""</x:f>
      </x:c>
      <x:c r="K247" s="73" t="str">
        <x:f>""</x:f>
      </x:c>
      <x:c r="L247" s="74" t="str">
        <x:f>""</x:f>
      </x:c>
      <x:c r="M247" s="73" t="n">
        <x:f>MAX(M246,F247)</x:f>
        <x:v>1.0008</x:v>
      </x:c>
      <x:c r="N247" s="74" t="n">
        <x:f>1-F247/M247</x:f>
        <x:v>0.0001998401278976436</x:v>
      </x:c>
    </x:row>
    <x:row r="248" ht="27" customHeight="1">
      <x:c r="A248" s="66" t="str">
        <x:v>SQH214</x:v>
      </x:c>
      <x:c r="B248" s="66" t="str">
        <x:v>常行7号</x:v>
      </x:c>
      <x:c r="C248" s="72" t="n">
        <x:v>44330</x:v>
      </x:c>
      <x:c r="D248" s="73" t="n">
        <x:v>1.0027</x:v>
      </x:c>
      <x:c r="E248" s="73" t="n">
        <x:v>1.0027</x:v>
      </x:c>
      <x:c r="F248" s="73" t="n">
        <x:v>1.0027</x:v>
      </x:c>
      <x:c r="G248" s="74" t="n">
        <x:v>0.0021</x:v>
      </x:c>
      <x:c r="H248" s="66" t="str">
        <x:v>常行7号净值20260911.xlsx</x:v>
      </x:c>
      <x:c r="I248" s="73" t="str">
        <x:f>""</x:f>
      </x:c>
      <x:c r="J248" s="74" t="str">
        <x:f>""</x:f>
      </x:c>
      <x:c r="K248" s="73" t="str">
        <x:f>""</x:f>
      </x:c>
      <x:c r="L248" s="74" t="str">
        <x:f>""</x:f>
      </x:c>
      <x:c r="M248" s="73" t="n">
        <x:f>MAX(M247,F248)</x:f>
        <x:v>1.0027</x:v>
      </x:c>
      <x:c r="N248" s="74" t="n">
        <x:f>1-F248/M248</x:f>
        <x:v>0</x:v>
      </x:c>
    </x:row>
    <x:row r="249" ht="27" customHeight="1">
      <x:c r="A249" s="66" t="str">
        <x:v>SQH214</x:v>
      </x:c>
      <x:c r="B249" s="66" t="str">
        <x:v>常行7号</x:v>
      </x:c>
      <x:c r="C249" s="72" t="n">
        <x:v>44337</x:v>
      </x:c>
      <x:c r="D249" s="73" t="n">
        <x:v>1.004</x:v>
      </x:c>
      <x:c r="E249" s="73" t="n">
        <x:v>1.004</x:v>
      </x:c>
      <x:c r="F249" s="73" t="n">
        <x:v>1.004</x:v>
      </x:c>
      <x:c r="G249" s="74" t="n">
        <x:v>0.0013</x:v>
      </x:c>
      <x:c r="H249" s="66" t="str">
        <x:v>常行7号净值20260911.xlsx</x:v>
      </x:c>
      <x:c r="I249" s="73" t="str">
        <x:f>""</x:f>
      </x:c>
      <x:c r="J249" s="74" t="str">
        <x:f>""</x:f>
      </x:c>
      <x:c r="K249" s="73" t="str">
        <x:f>""</x:f>
      </x:c>
      <x:c r="L249" s="74" t="str">
        <x:f>""</x:f>
      </x:c>
      <x:c r="M249" s="73" t="n">
        <x:f>MAX(M248,F249)</x:f>
        <x:v>1.004</x:v>
      </x:c>
      <x:c r="N249" s="74" t="n">
        <x:f>1-F249/M249</x:f>
        <x:v>0</x:v>
      </x:c>
    </x:row>
    <x:row r="250" ht="27" customHeight="1">
      <x:c r="A250" s="66" t="str">
        <x:v>SQH214</x:v>
      </x:c>
      <x:c r="B250" s="66" t="str">
        <x:v>常行7号</x:v>
      </x:c>
      <x:c r="C250" s="72" t="n">
        <x:v>44344</x:v>
      </x:c>
      <x:c r="D250" s="73" t="n">
        <x:v>1.0045</x:v>
      </x:c>
      <x:c r="E250" s="73" t="n">
        <x:v>1.0045</x:v>
      </x:c>
      <x:c r="F250" s="73" t="n">
        <x:v>1.0045</x:v>
      </x:c>
      <x:c r="G250" s="74" t="n">
        <x:v>0.0005</x:v>
      </x:c>
      <x:c r="H250" s="66" t="str">
        <x:v>常行7号净值20260911.xlsx</x:v>
      </x:c>
      <x:c r="I250" s="73" t="str">
        <x:f>""</x:f>
      </x:c>
      <x:c r="J250" s="74" t="str">
        <x:f>""</x:f>
      </x:c>
      <x:c r="K250" s="73" t="str">
        <x:f>""</x:f>
      </x:c>
      <x:c r="L250" s="74" t="str">
        <x:f>""</x:f>
      </x:c>
      <x:c r="M250" s="73" t="n">
        <x:f>MAX(M249,F250)</x:f>
        <x:v>1.0045</x:v>
      </x:c>
      <x:c r="N250" s="74" t="n">
        <x:f>1-F250/M250</x:f>
        <x:v>0</x:v>
      </x:c>
    </x:row>
    <x:row r="251" ht="27" customHeight="1">
      <x:c r="A251" s="66" t="str">
        <x:v>SQH214</x:v>
      </x:c>
      <x:c r="B251" s="66" t="str">
        <x:v>常行7号</x:v>
      </x:c>
      <x:c r="C251" s="72" t="n">
        <x:v>44351</x:v>
      </x:c>
      <x:c r="D251" s="73" t="n">
        <x:v>1.0067</x:v>
      </x:c>
      <x:c r="E251" s="73" t="n">
        <x:v>1.0067</x:v>
      </x:c>
      <x:c r="F251" s="73" t="n">
        <x:v>1.0067</x:v>
      </x:c>
      <x:c r="G251" s="74" t="n">
        <x:v>0.0022</x:v>
      </x:c>
      <x:c r="H251" s="66" t="str">
        <x:v>常行7号净值20260911.xlsx</x:v>
      </x:c>
      <x:c r="I251" s="73" t="str">
        <x:f>""</x:f>
      </x:c>
      <x:c r="J251" s="74" t="str">
        <x:f>""</x:f>
      </x:c>
      <x:c r="K251" s="73" t="str">
        <x:f>""</x:f>
      </x:c>
      <x:c r="L251" s="74" t="str">
        <x:f>""</x:f>
      </x:c>
      <x:c r="M251" s="73" t="n">
        <x:f>MAX(M250,F251)</x:f>
        <x:v>1.0067</x:v>
      </x:c>
      <x:c r="N251" s="74" t="n">
        <x:f>1-F251/M251</x:f>
        <x:v>0</x:v>
      </x:c>
    </x:row>
    <x:row r="252" ht="27" customHeight="1">
      <x:c r="A252" s="66" t="str">
        <x:v>SQH214</x:v>
      </x:c>
      <x:c r="B252" s="66" t="str">
        <x:v>常行7号</x:v>
      </x:c>
      <x:c r="C252" s="72" t="n">
        <x:v>44358</x:v>
      </x:c>
      <x:c r="D252" s="73" t="n">
        <x:v>1.0084</x:v>
      </x:c>
      <x:c r="E252" s="73" t="n">
        <x:v>1.0084</x:v>
      </x:c>
      <x:c r="F252" s="73" t="n">
        <x:v>1.0084</x:v>
      </x:c>
      <x:c r="G252" s="74" t="n">
        <x:v>0.0017000000000000001</x:v>
      </x:c>
      <x:c r="H252" s="66" t="str">
        <x:v>常行7号净值20260911.xlsx</x:v>
      </x:c>
      <x:c r="I252" s="73" t="str">
        <x:f>""</x:f>
      </x:c>
      <x:c r="J252" s="74" t="str">
        <x:f>""</x:f>
      </x:c>
      <x:c r="K252" s="73" t="str">
        <x:f>""</x:f>
      </x:c>
      <x:c r="L252" s="74" t="str">
        <x:f>""</x:f>
      </x:c>
      <x:c r="M252" s="73" t="n">
        <x:f>MAX(M251,F252)</x:f>
        <x:v>1.0084</x:v>
      </x:c>
      <x:c r="N252" s="74" t="n">
        <x:f>1-F252/M252</x:f>
        <x:v>0</x:v>
      </x:c>
    </x:row>
    <x:row r="253" ht="27" customHeight="1">
      <x:c r="A253" s="66" t="str">
        <x:v>SQH214</x:v>
      </x:c>
      <x:c r="B253" s="66" t="str">
        <x:v>常行7号</x:v>
      </x:c>
      <x:c r="C253" s="72" t="n">
        <x:v>44365</x:v>
      </x:c>
      <x:c r="D253" s="73" t="n">
        <x:v>1.0095</x:v>
      </x:c>
      <x:c r="E253" s="73" t="n">
        <x:v>1.0095</x:v>
      </x:c>
      <x:c r="F253" s="73" t="n">
        <x:v>1.0095</x:v>
      </x:c>
      <x:c r="G253" s="74" t="n">
        <x:v>0.0011</x:v>
      </x:c>
      <x:c r="H253" s="66" t="str">
        <x:v>常行7号净值20260911.xlsx</x:v>
      </x:c>
      <x:c r="I253" s="73" t="str">
        <x:f>""</x:f>
      </x:c>
      <x:c r="J253" s="74" t="str">
        <x:f>""</x:f>
      </x:c>
      <x:c r="K253" s="73" t="str">
        <x:f>""</x:f>
      </x:c>
      <x:c r="L253" s="74" t="str">
        <x:f>""</x:f>
      </x:c>
      <x:c r="M253" s="73" t="n">
        <x:f>MAX(M252,F253)</x:f>
        <x:v>1.0095</x:v>
      </x:c>
      <x:c r="N253" s="74" t="n">
        <x:f>1-F253/M253</x:f>
        <x:v>0</x:v>
      </x:c>
    </x:row>
    <x:row r="254" ht="27" customHeight="1">
      <x:c r="A254" s="66" t="str">
        <x:v>SQH214</x:v>
      </x:c>
      <x:c r="B254" s="66" t="str">
        <x:v>常行7号</x:v>
      </x:c>
      <x:c r="C254" s="72" t="n">
        <x:v>44372</x:v>
      </x:c>
      <x:c r="D254" s="73" t="n">
        <x:v>1.0091</x:v>
      </x:c>
      <x:c r="E254" s="73" t="n">
        <x:v>1.0091</x:v>
      </x:c>
      <x:c r="F254" s="73" t="n">
        <x:v>1.0091</x:v>
      </x:c>
      <x:c r="G254" s="74" t="n">
        <x:v>-0.0004</x:v>
      </x:c>
      <x:c r="H254" s="66" t="str">
        <x:v>常行7号净值20260911.xlsx</x:v>
      </x:c>
      <x:c r="I254" s="73" t="str">
        <x:f>""</x:f>
      </x:c>
      <x:c r="J254" s="74" t="str">
        <x:f>""</x:f>
      </x:c>
      <x:c r="K254" s="73" t="str">
        <x:f>""</x:f>
      </x:c>
      <x:c r="L254" s="74" t="str">
        <x:f>""</x:f>
      </x:c>
      <x:c r="M254" s="73" t="n">
        <x:f>MAX(M253,F254)</x:f>
        <x:v>1.0095</x:v>
      </x:c>
      <x:c r="N254" s="74" t="n">
        <x:f>1-F254/M254</x:f>
        <x:v>0.0003962357602773636</x:v>
      </x:c>
    </x:row>
    <x:row r="255" ht="27" customHeight="1">
      <x:c r="A255" s="66" t="str">
        <x:v>SQH214</x:v>
      </x:c>
      <x:c r="B255" s="66" t="str">
        <x:v>常行7号</x:v>
      </x:c>
      <x:c r="C255" s="72" t="n">
        <x:v>44379</x:v>
      </x:c>
      <x:c r="D255" s="73" t="n">
        <x:v>1.009</x:v>
      </x:c>
      <x:c r="E255" s="73" t="n">
        <x:v>1.009</x:v>
      </x:c>
      <x:c r="F255" s="73" t="n">
        <x:v>1.009</x:v>
      </x:c>
      <x:c r="G255" s="74" t="n">
        <x:v>-0.0001</x:v>
      </x:c>
      <x:c r="H255" s="66" t="str">
        <x:v>常行7号净值20260911.xlsx</x:v>
      </x:c>
      <x:c r="I255" s="73" t="str">
        <x:f>""</x:f>
      </x:c>
      <x:c r="J255" s="74" t="str">
        <x:f>""</x:f>
      </x:c>
      <x:c r="K255" s="73" t="str">
        <x:f>""</x:f>
      </x:c>
      <x:c r="L255" s="74" t="str">
        <x:f>""</x:f>
      </x:c>
      <x:c r="M255" s="73" t="n">
        <x:f>MAX(M254,F255)</x:f>
        <x:v>1.0095</x:v>
      </x:c>
      <x:c r="N255" s="74" t="n">
        <x:f>1-F255/M255</x:f>
        <x:v>0.0004952947003469266</x:v>
      </x:c>
    </x:row>
    <x:row r="256" ht="27" customHeight="1">
      <x:c r="A256" s="66" t="str">
        <x:v>SQH214</x:v>
      </x:c>
      <x:c r="B256" s="66" t="str">
        <x:v>常行7号</x:v>
      </x:c>
      <x:c r="C256" s="72" t="n">
        <x:v>44386</x:v>
      </x:c>
      <x:c r="D256" s="73" t="n">
        <x:v>1.0114</x:v>
      </x:c>
      <x:c r="E256" s="73" t="n">
        <x:v>1.0114</x:v>
      </x:c>
      <x:c r="F256" s="73" t="n">
        <x:v>1.0114</x:v>
      </x:c>
      <x:c r="G256" s="74" t="n">
        <x:v>0.0024</x:v>
      </x:c>
      <x:c r="H256" s="66" t="str">
        <x:v>常行7号净值20260911.xlsx</x:v>
      </x:c>
      <x:c r="I256" s="73" t="str">
        <x:f>""</x:f>
      </x:c>
      <x:c r="J256" s="74" t="str">
        <x:f>""</x:f>
      </x:c>
      <x:c r="K256" s="73" t="str">
        <x:f>""</x:f>
      </x:c>
      <x:c r="L256" s="74" t="str">
        <x:f>""</x:f>
      </x:c>
      <x:c r="M256" s="73" t="n">
        <x:f>MAX(M255,F256)</x:f>
        <x:v>1.0114</x:v>
      </x:c>
      <x:c r="N256" s="74" t="n">
        <x:f>1-F256/M256</x:f>
        <x:v>0</x:v>
      </x:c>
    </x:row>
    <x:row r="257" ht="27" customHeight="1">
      <x:c r="A257" s="66" t="str">
        <x:v>SQH214</x:v>
      </x:c>
      <x:c r="B257" s="66" t="str">
        <x:v>常行7号</x:v>
      </x:c>
      <x:c r="C257" s="72" t="n">
        <x:v>44393</x:v>
      </x:c>
      <x:c r="D257" s="73" t="n">
        <x:v>1.0165</x:v>
      </x:c>
      <x:c r="E257" s="73" t="n">
        <x:v>1.0165</x:v>
      </x:c>
      <x:c r="F257" s="73" t="n">
        <x:v>1.0165</x:v>
      </x:c>
      <x:c r="G257" s="74" t="n">
        <x:v>0.005</x:v>
      </x:c>
      <x:c r="H257" s="66" t="str">
        <x:v>常行7号净值20260911.xlsx</x:v>
      </x:c>
      <x:c r="I257" s="73" t="str">
        <x:f>""</x:f>
      </x:c>
      <x:c r="J257" s="74" t="str">
        <x:f>""</x:f>
      </x:c>
      <x:c r="K257" s="73" t="str">
        <x:f>""</x:f>
      </x:c>
      <x:c r="L257" s="74" t="str">
        <x:f>""</x:f>
      </x:c>
      <x:c r="M257" s="73" t="n">
        <x:f>MAX(M256,F257)</x:f>
        <x:v>1.0165</x:v>
      </x:c>
      <x:c r="N257" s="74" t="n">
        <x:f>1-F257/M257</x:f>
        <x:v>0</x:v>
      </x:c>
    </x:row>
    <x:row r="258" ht="27" customHeight="1">
      <x:c r="A258" s="66" t="str">
        <x:v>SQH214</x:v>
      </x:c>
      <x:c r="B258" s="66" t="str">
        <x:v>常行7号</x:v>
      </x:c>
      <x:c r="C258" s="72" t="n">
        <x:v>44400</x:v>
      </x:c>
      <x:c r="D258" s="73" t="n">
        <x:v>1.0187</x:v>
      </x:c>
      <x:c r="E258" s="73" t="n">
        <x:v>1.0187</x:v>
      </x:c>
      <x:c r="F258" s="73" t="n">
        <x:v>1.0187</x:v>
      </x:c>
      <x:c r="G258" s="74" t="n">
        <x:v>0.0022</x:v>
      </x:c>
      <x:c r="H258" s="66" t="str">
        <x:v>常行7号净值20260911.xlsx</x:v>
      </x:c>
      <x:c r="I258" s="73" t="str">
        <x:f>""</x:f>
      </x:c>
      <x:c r="J258" s="74" t="str">
        <x:f>""</x:f>
      </x:c>
      <x:c r="K258" s="73" t="str">
        <x:f>""</x:f>
      </x:c>
      <x:c r="L258" s="74" t="str">
        <x:f>""</x:f>
      </x:c>
      <x:c r="M258" s="73" t="n">
        <x:f>MAX(M257,F258)</x:f>
        <x:v>1.0187</x:v>
      </x:c>
      <x:c r="N258" s="74" t="n">
        <x:f>1-F258/M258</x:f>
        <x:v>0</x:v>
      </x:c>
    </x:row>
    <x:row r="259" ht="27" customHeight="1">
      <x:c r="A259" s="66" t="str">
        <x:v>SQH214</x:v>
      </x:c>
      <x:c r="B259" s="66" t="str">
        <x:v>常行7号</x:v>
      </x:c>
      <x:c r="C259" s="72" t="n">
        <x:v>44407</x:v>
      </x:c>
      <x:c r="D259" s="73" t="n">
        <x:v>1.0209</x:v>
      </x:c>
      <x:c r="E259" s="73" t="n">
        <x:v>1.0209</x:v>
      </x:c>
      <x:c r="F259" s="73" t="n">
        <x:v>1.0209</x:v>
      </x:c>
      <x:c r="G259" s="74" t="n">
        <x:v>0.0022</x:v>
      </x:c>
      <x:c r="H259" s="66" t="str">
        <x:v>常行7号净值20260911.xlsx</x:v>
      </x:c>
      <x:c r="I259" s="73" t="str">
        <x:f>""</x:f>
      </x:c>
      <x:c r="J259" s="74" t="str">
        <x:f>""</x:f>
      </x:c>
      <x:c r="K259" s="73" t="str">
        <x:f>""</x:f>
      </x:c>
      <x:c r="L259" s="74" t="str">
        <x:f>""</x:f>
      </x:c>
      <x:c r="M259" s="73" t="n">
        <x:f>MAX(M258,F259)</x:f>
        <x:v>1.0209</x:v>
      </x:c>
      <x:c r="N259" s="74" t="n">
        <x:f>1-F259/M259</x:f>
        <x:v>0</x:v>
      </x:c>
    </x:row>
    <x:row r="260" ht="27" customHeight="1">
      <x:c r="A260" s="66" t="str">
        <x:v>SQH214</x:v>
      </x:c>
      <x:c r="B260" s="66" t="str">
        <x:v>常行7号</x:v>
      </x:c>
      <x:c r="C260" s="72" t="n">
        <x:v>44414</x:v>
      </x:c>
      <x:c r="D260" s="73" t="n">
        <x:v>1.0239</x:v>
      </x:c>
      <x:c r="E260" s="73" t="n">
        <x:v>1.0239</x:v>
      </x:c>
      <x:c r="F260" s="73" t="n">
        <x:v>1.0239</x:v>
      </x:c>
      <x:c r="G260" s="74" t="n">
        <x:v>0.0029</x:v>
      </x:c>
      <x:c r="H260" s="66" t="str">
        <x:v>常行7号净值20260911.xlsx</x:v>
      </x:c>
      <x:c r="I260" s="73" t="str">
        <x:f>""</x:f>
      </x:c>
      <x:c r="J260" s="74" t="str">
        <x:f>""</x:f>
      </x:c>
      <x:c r="K260" s="73" t="str">
        <x:f>""</x:f>
      </x:c>
      <x:c r="L260" s="74" t="str">
        <x:f>""</x:f>
      </x:c>
      <x:c r="M260" s="73" t="n">
        <x:f>MAX(M259,F260)</x:f>
        <x:v>1.0239</x:v>
      </x:c>
      <x:c r="N260" s="74" t="n">
        <x:f>1-F260/M260</x:f>
        <x:v>0</x:v>
      </x:c>
    </x:row>
    <x:row r="261" ht="27" customHeight="1">
      <x:c r="A261" s="66" t="str">
        <x:v>SQH214</x:v>
      </x:c>
      <x:c r="B261" s="66" t="str">
        <x:v>常行7号</x:v>
      </x:c>
      <x:c r="C261" s="72" t="n">
        <x:v>44421</x:v>
      </x:c>
      <x:c r="D261" s="73" t="n">
        <x:v>1.0229</x:v>
      </x:c>
      <x:c r="E261" s="73" t="n">
        <x:v>1.0229</x:v>
      </x:c>
      <x:c r="F261" s="73" t="n">
        <x:v>1.0229</x:v>
      </x:c>
      <x:c r="G261" s="74" t="n">
        <x:v>-0.001</x:v>
      </x:c>
      <x:c r="H261" s="66" t="str">
        <x:v>常行7号净值20260911.xlsx</x:v>
      </x:c>
      <x:c r="I261" s="73" t="str">
        <x:f>""</x:f>
      </x:c>
      <x:c r="J261" s="74" t="str">
        <x:f>""</x:f>
      </x:c>
      <x:c r="K261" s="73" t="str">
        <x:f>""</x:f>
      </x:c>
      <x:c r="L261" s="74" t="str">
        <x:f>""</x:f>
      </x:c>
      <x:c r="M261" s="73" t="n">
        <x:f>MAX(M260,F261)</x:f>
        <x:v>1.0239</x:v>
      </x:c>
      <x:c r="N261" s="74" t="n">
        <x:f>1-F261/M261</x:f>
        <x:v>0.0009766578767458345</x:v>
      </x:c>
    </x:row>
    <x:row r="262" ht="27" customHeight="1">
      <x:c r="A262" s="66" t="str">
        <x:v>SQH214</x:v>
      </x:c>
      <x:c r="B262" s="66" t="str">
        <x:v>常行7号</x:v>
      </x:c>
      <x:c r="C262" s="72" t="n">
        <x:v>44428</x:v>
      </x:c>
      <x:c r="D262" s="73" t="n">
        <x:v>1.0244</x:v>
      </x:c>
      <x:c r="E262" s="73" t="n">
        <x:v>1.0244</x:v>
      </x:c>
      <x:c r="F262" s="73" t="n">
        <x:v>1.0244</x:v>
      </x:c>
      <x:c r="G262" s="74" t="n">
        <x:v>0.0015</x:v>
      </x:c>
      <x:c r="H262" s="66" t="str">
        <x:v>常行7号净值20260911.xlsx</x:v>
      </x:c>
      <x:c r="I262" s="73" t="str">
        <x:f>""</x:f>
      </x:c>
      <x:c r="J262" s="74" t="str">
        <x:f>""</x:f>
      </x:c>
      <x:c r="K262" s="73" t="str">
        <x:f>""</x:f>
      </x:c>
      <x:c r="L262" s="74" t="str">
        <x:f>""</x:f>
      </x:c>
      <x:c r="M262" s="73" t="n">
        <x:f>MAX(M261,F262)</x:f>
        <x:v>1.0244</x:v>
      </x:c>
      <x:c r="N262" s="74" t="n">
        <x:f>1-F262/M262</x:f>
        <x:v>0</x:v>
      </x:c>
    </x:row>
    <x:row r="263" ht="27" customHeight="1">
      <x:c r="A263" s="66" t="str">
        <x:v>SQH214</x:v>
      </x:c>
      <x:c r="B263" s="66" t="str">
        <x:v>常行7号</x:v>
      </x:c>
      <x:c r="C263" s="72" t="n">
        <x:v>44435</x:v>
      </x:c>
      <x:c r="D263" s="73" t="n">
        <x:v>1.0239</x:v>
      </x:c>
      <x:c r="E263" s="73" t="n">
        <x:v>1.0239</x:v>
      </x:c>
      <x:c r="F263" s="73" t="n">
        <x:v>1.0239</x:v>
      </x:c>
      <x:c r="G263" s="74" t="n">
        <x:v>-0.0005</x:v>
      </x:c>
      <x:c r="H263" s="66" t="str">
        <x:v>常行7号净值20260911.xlsx</x:v>
      </x:c>
      <x:c r="I263" s="73" t="str">
        <x:f>""</x:f>
      </x:c>
      <x:c r="J263" s="74" t="str">
        <x:f>""</x:f>
      </x:c>
      <x:c r="K263" s="73" t="str">
        <x:f>""</x:f>
      </x:c>
      <x:c r="L263" s="74" t="str">
        <x:f>""</x:f>
      </x:c>
      <x:c r="M263" s="73" t="n">
        <x:f>MAX(M262,F263)</x:f>
        <x:v>1.0244</x:v>
      </x:c>
      <x:c r="N263" s="74" t="n">
        <x:f>1-F263/M263</x:f>
        <x:v>0.00048809058961341023</x:v>
      </x:c>
    </x:row>
    <x:row r="264" ht="27" customHeight="1">
      <x:c r="A264" s="66" t="str">
        <x:v>SQH214</x:v>
      </x:c>
      <x:c r="B264" s="66" t="str">
        <x:v>常行7号</x:v>
      </x:c>
      <x:c r="C264" s="72" t="n">
        <x:v>44442</x:v>
      </x:c>
      <x:c r="D264" s="73" t="n">
        <x:v>1.0238</x:v>
      </x:c>
      <x:c r="E264" s="73" t="n">
        <x:v>1.0238</x:v>
      </x:c>
      <x:c r="F264" s="73" t="n">
        <x:v>1.0238</x:v>
      </x:c>
      <x:c r="G264" s="74" t="n">
        <x:v>-0.0001</x:v>
      </x:c>
      <x:c r="H264" s="66" t="str">
        <x:v>常行7号净值20260911.xlsx</x:v>
      </x:c>
      <x:c r="I264" s="73" t="str">
        <x:f>""</x:f>
      </x:c>
      <x:c r="J264" s="74" t="str">
        <x:f>""</x:f>
      </x:c>
      <x:c r="K264" s="73" t="str">
        <x:f>""</x:f>
      </x:c>
      <x:c r="L264" s="74" t="str">
        <x:f>""</x:f>
      </x:c>
      <x:c r="M264" s="73" t="n">
        <x:f>MAX(M263,F264)</x:f>
        <x:v>1.0244</x:v>
      </x:c>
      <x:c r="N264" s="74" t="n">
        <x:f>1-F264/M264</x:f>
        <x:v>0.0005857087075360479</x:v>
      </x:c>
    </x:row>
    <x:row r="265" ht="27" customHeight="1">
      <x:c r="A265" s="66" t="str">
        <x:v>SQH214</x:v>
      </x:c>
      <x:c r="B265" s="66" t="str">
        <x:v>常行7号</x:v>
      </x:c>
      <x:c r="C265" s="72" t="n">
        <x:v>44449</x:v>
      </x:c>
      <x:c r="D265" s="73" t="n">
        <x:v>1.0211</x:v>
      </x:c>
      <x:c r="E265" s="73" t="n">
        <x:v>1.0211</x:v>
      </x:c>
      <x:c r="F265" s="73" t="n">
        <x:v>1.0211</x:v>
      </x:c>
      <x:c r="G265" s="74" t="n">
        <x:v>-0.0026</x:v>
      </x:c>
      <x:c r="H265" s="66" t="str">
        <x:v>常行7号净值20260911.xlsx</x:v>
      </x:c>
      <x:c r="I265" s="73" t="str">
        <x:f>""</x:f>
      </x:c>
      <x:c r="J265" s="74" t="str">
        <x:f>""</x:f>
      </x:c>
      <x:c r="K265" s="73" t="str">
        <x:f>""</x:f>
      </x:c>
      <x:c r="L265" s="74" t="str">
        <x:f>""</x:f>
      </x:c>
      <x:c r="M265" s="73" t="n">
        <x:f>MAX(M264,F265)</x:f>
        <x:v>1.0244</x:v>
      </x:c>
      <x:c r="N265" s="74" t="n">
        <x:f>1-F265/M265</x:f>
        <x:v>0.0032213978914487074</x:v>
      </x:c>
    </x:row>
    <x:row r="266" ht="27" customHeight="1">
      <x:c r="A266" s="66" t="str">
        <x:v>SQH214</x:v>
      </x:c>
      <x:c r="B266" s="66" t="str">
        <x:v>常行7号</x:v>
      </x:c>
      <x:c r="C266" s="72" t="n">
        <x:v>44456</x:v>
      </x:c>
      <x:c r="D266" s="73" t="n">
        <x:v>1.0281</x:v>
      </x:c>
      <x:c r="E266" s="73" t="n">
        <x:v>1.0281</x:v>
      </x:c>
      <x:c r="F266" s="73" t="n">
        <x:v>1.0281</x:v>
      </x:c>
      <x:c r="G266" s="74" t="n">
        <x:v>0.0069</x:v>
      </x:c>
      <x:c r="H266" s="66" t="str">
        <x:v>常行7号净值20260911.xlsx</x:v>
      </x:c>
      <x:c r="I266" s="73" t="str">
        <x:f>""</x:f>
      </x:c>
      <x:c r="J266" s="74" t="str">
        <x:f>""</x:f>
      </x:c>
      <x:c r="K266" s="73" t="str">
        <x:f>""</x:f>
      </x:c>
      <x:c r="L266" s="74" t="str">
        <x:f>""</x:f>
      </x:c>
      <x:c r="M266" s="73" t="n">
        <x:f>MAX(M265,F266)</x:f>
        <x:v>1.0281</x:v>
      </x:c>
      <x:c r="N266" s="74" t="n">
        <x:f>1-F266/M266</x:f>
        <x:v>0</x:v>
      </x:c>
    </x:row>
    <x:row r="267" ht="27" customHeight="1">
      <x:c r="A267" s="66" t="str">
        <x:v>SQH214</x:v>
      </x:c>
      <x:c r="B267" s="66" t="str">
        <x:v>常行7号</x:v>
      </x:c>
      <x:c r="C267" s="72" t="n">
        <x:v>44463</x:v>
      </x:c>
      <x:c r="D267" s="73" t="n">
        <x:v>1.0294</x:v>
      </x:c>
      <x:c r="E267" s="73" t="n">
        <x:v>1.0294</x:v>
      </x:c>
      <x:c r="F267" s="73" t="n">
        <x:v>1.0294</x:v>
      </x:c>
      <x:c r="G267" s="74" t="n">
        <x:v>0.0013</x:v>
      </x:c>
      <x:c r="H267" s="66" t="str">
        <x:v>常行7号净值20260911.xlsx</x:v>
      </x:c>
      <x:c r="I267" s="73" t="str">
        <x:f>""</x:f>
      </x:c>
      <x:c r="J267" s="74" t="str">
        <x:f>""</x:f>
      </x:c>
      <x:c r="K267" s="73" t="str">
        <x:f>""</x:f>
      </x:c>
      <x:c r="L267" s="74" t="str">
        <x:f>""</x:f>
      </x:c>
      <x:c r="M267" s="73" t="n">
        <x:f>MAX(M266,F267)</x:f>
        <x:v>1.0294</x:v>
      </x:c>
      <x:c r="N267" s="74" t="n">
        <x:f>1-F267/M267</x:f>
        <x:v>0</x:v>
      </x:c>
    </x:row>
    <x:row r="268" ht="27" customHeight="1">
      <x:c r="A268" s="66" t="str">
        <x:v>SQH214</x:v>
      </x:c>
      <x:c r="B268" s="66" t="str">
        <x:v>常行7号</x:v>
      </x:c>
      <x:c r="C268" s="72" t="n">
        <x:v>44469</x:v>
      </x:c>
      <x:c r="D268" s="73" t="n">
        <x:v>1.0275</x:v>
      </x:c>
      <x:c r="E268" s="73" t="n">
        <x:v>1.0275</x:v>
      </x:c>
      <x:c r="F268" s="73" t="n">
        <x:v>1.0275</x:v>
      </x:c>
      <x:c r="G268" s="74" t="n">
        <x:v>-0.0018</x:v>
      </x:c>
      <x:c r="H268" s="66" t="str">
        <x:v>常行7号净值20260911.xlsx</x:v>
      </x:c>
      <x:c r="I268" s="73" t="str">
        <x:f>""</x:f>
      </x:c>
      <x:c r="J268" s="74" t="str">
        <x:f>""</x:f>
      </x:c>
      <x:c r="K268" s="73" t="str">
        <x:f>""</x:f>
      </x:c>
      <x:c r="L268" s="74" t="str">
        <x:f>""</x:f>
      </x:c>
      <x:c r="M268" s="73" t="n">
        <x:f>MAX(M267,F268)</x:f>
        <x:v>1.0294</x:v>
      </x:c>
      <x:c r="N268" s="74" t="n">
        <x:f>1-F268/M268</x:f>
        <x:v>0.0018457353798329024</x:v>
      </x:c>
    </x:row>
    <x:row r="269" ht="27" customHeight="1">
      <x:c r="A269" s="66" t="str">
        <x:v>SQH214</x:v>
      </x:c>
      <x:c r="B269" s="66" t="str">
        <x:v>常行7号</x:v>
      </x:c>
      <x:c r="C269" s="72" t="n">
        <x:v>44477</x:v>
      </x:c>
      <x:c r="D269" s="73" t="n">
        <x:v>1.0283</x:v>
      </x:c>
      <x:c r="E269" s="73" t="n">
        <x:v>1.0283</x:v>
      </x:c>
      <x:c r="F269" s="73" t="n">
        <x:v>1.0283</x:v>
      </x:c>
      <x:c r="G269" s="74" t="n">
        <x:v>0.0008</x:v>
      </x:c>
      <x:c r="H269" s="66" t="str">
        <x:v>常行7号净值20260911.xlsx</x:v>
      </x:c>
      <x:c r="I269" s="73" t="str">
        <x:f>""</x:f>
      </x:c>
      <x:c r="J269" s="74" t="str">
        <x:f>""</x:f>
      </x:c>
      <x:c r="K269" s="73" t="str">
        <x:f>""</x:f>
      </x:c>
      <x:c r="L269" s="74" t="str">
        <x:f>""</x:f>
      </x:c>
      <x:c r="M269" s="73" t="n">
        <x:f>MAX(M268,F269)</x:f>
        <x:v>1.0294</x:v>
      </x:c>
      <x:c r="N269" s="74" t="n">
        <x:f>1-F269/M269</x:f>
        <x:v>0.0010685836409559668</x:v>
      </x:c>
    </x:row>
    <x:row r="270" ht="27" customHeight="1">
      <x:c r="A270" s="66" t="str">
        <x:v>SQH214</x:v>
      </x:c>
      <x:c r="B270" s="66" t="str">
        <x:v>常行7号</x:v>
      </x:c>
      <x:c r="C270" s="72" t="n">
        <x:v>44484</x:v>
      </x:c>
      <x:c r="D270" s="73" t="n">
        <x:v>1.0323</x:v>
      </x:c>
      <x:c r="E270" s="73" t="n">
        <x:v>1.0323</x:v>
      </x:c>
      <x:c r="F270" s="73" t="n">
        <x:v>1.0323</x:v>
      </x:c>
      <x:c r="G270" s="74" t="n">
        <x:v>0.0039000000000000003</x:v>
      </x:c>
      <x:c r="H270" s="66" t="str">
        <x:v>常行7号净值20260911.xlsx</x:v>
      </x:c>
      <x:c r="I270" s="73" t="str">
        <x:f>""</x:f>
      </x:c>
      <x:c r="J270" s="74" t="str">
        <x:f>""</x:f>
      </x:c>
      <x:c r="K270" s="73" t="str">
        <x:f>""</x:f>
      </x:c>
      <x:c r="L270" s="74" t="str">
        <x:f>""</x:f>
      </x:c>
      <x:c r="M270" s="73" t="n">
        <x:f>MAX(M269,F270)</x:f>
        <x:v>1.0323</x:v>
      </x:c>
      <x:c r="N270" s="74" t="n">
        <x:f>1-F270/M270</x:f>
        <x:v>0</x:v>
      </x:c>
    </x:row>
    <x:row r="271" ht="27" customHeight="1">
      <x:c r="A271" s="66" t="str">
        <x:v>SQH214</x:v>
      </x:c>
      <x:c r="B271" s="66" t="str">
        <x:v>常行7号</x:v>
      </x:c>
      <x:c r="C271" s="72" t="n">
        <x:v>44491</x:v>
      </x:c>
      <x:c r="D271" s="73" t="n">
        <x:v>1.0363</x:v>
      </x:c>
      <x:c r="E271" s="73" t="n">
        <x:v>1.0363</x:v>
      </x:c>
      <x:c r="F271" s="73" t="n">
        <x:v>1.0363</x:v>
      </x:c>
      <x:c r="G271" s="74" t="n">
        <x:v>0.0039000000000000003</x:v>
      </x:c>
      <x:c r="H271" s="66" t="str">
        <x:v>常行7号净值20260911.xlsx</x:v>
      </x:c>
      <x:c r="I271" s="73" t="str">
        <x:f>""</x:f>
      </x:c>
      <x:c r="J271" s="74" t="str">
        <x:f>""</x:f>
      </x:c>
      <x:c r="K271" s="73" t="str">
        <x:f>""</x:f>
      </x:c>
      <x:c r="L271" s="74" t="str">
        <x:f>""</x:f>
      </x:c>
      <x:c r="M271" s="73" t="n">
        <x:f>MAX(M270,F271)</x:f>
        <x:v>1.0363</x:v>
      </x:c>
      <x:c r="N271" s="74" t="n">
        <x:f>1-F271/M271</x:f>
        <x:v>0</x:v>
      </x:c>
    </x:row>
    <x:row r="272" ht="27" customHeight="1">
      <x:c r="A272" s="66" t="str">
        <x:v>SQH214</x:v>
      </x:c>
      <x:c r="B272" s="66" t="str">
        <x:v>常行7号</x:v>
      </x:c>
      <x:c r="C272" s="72" t="n">
        <x:v>44498</x:v>
      </x:c>
      <x:c r="D272" s="73" t="n">
        <x:v>1.0375</x:v>
      </x:c>
      <x:c r="E272" s="73" t="n">
        <x:v>1.0375</x:v>
      </x:c>
      <x:c r="F272" s="73" t="n">
        <x:v>1.0375</x:v>
      </x:c>
      <x:c r="G272" s="74" t="n">
        <x:v>0.0012</x:v>
      </x:c>
      <x:c r="H272" s="66" t="str">
        <x:v>常行7号净值20260911.xlsx</x:v>
      </x:c>
      <x:c r="I272" s="73" t="str">
        <x:f>""</x:f>
      </x:c>
      <x:c r="J272" s="74" t="str">
        <x:f>""</x:f>
      </x:c>
      <x:c r="K272" s="73" t="str">
        <x:f>""</x:f>
      </x:c>
      <x:c r="L272" s="74" t="str">
        <x:f>""</x:f>
      </x:c>
      <x:c r="M272" s="73" t="n">
        <x:f>MAX(M271,F272)</x:f>
        <x:v>1.0375</x:v>
      </x:c>
      <x:c r="N272" s="74" t="n">
        <x:f>1-F272/M272</x:f>
        <x:v>0</x:v>
      </x:c>
    </x:row>
    <x:row r="273" ht="27" customHeight="1">
      <x:c r="A273" s="66" t="str">
        <x:v>SQH214</x:v>
      </x:c>
      <x:c r="B273" s="66" t="str">
        <x:v>常行7号</x:v>
      </x:c>
      <x:c r="C273" s="72" t="n">
        <x:v>44505</x:v>
      </x:c>
      <x:c r="D273" s="73" t="n">
        <x:v>1.0404</x:v>
      </x:c>
      <x:c r="E273" s="73" t="n">
        <x:v>1.0404</x:v>
      </x:c>
      <x:c r="F273" s="73" t="n">
        <x:v>1.0404</x:v>
      </x:c>
      <x:c r="G273" s="74" t="n">
        <x:v>0.0028000000000000004</x:v>
      </x:c>
      <x:c r="H273" s="66" t="str">
        <x:v>常行7号净值20260911.xlsx</x:v>
      </x:c>
      <x:c r="I273" s="73" t="str">
        <x:f>""</x:f>
      </x:c>
      <x:c r="J273" s="74" t="str">
        <x:f>""</x:f>
      </x:c>
      <x:c r="K273" s="73" t="str">
        <x:f>""</x:f>
      </x:c>
      <x:c r="L273" s="74" t="str">
        <x:f>""</x:f>
      </x:c>
      <x:c r="M273" s="73" t="n">
        <x:f>MAX(M272,F273)</x:f>
        <x:v>1.0404</x:v>
      </x:c>
      <x:c r="N273" s="74" t="n">
        <x:f>1-F273/M273</x:f>
        <x:v>0</x:v>
      </x:c>
    </x:row>
    <x:row r="274" ht="27" customHeight="1">
      <x:c r="A274" s="66" t="str">
        <x:v>SQH214</x:v>
      </x:c>
      <x:c r="B274" s="66" t="str">
        <x:v>常行7号</x:v>
      </x:c>
      <x:c r="C274" s="72" t="n">
        <x:v>44512</x:v>
      </x:c>
      <x:c r="D274" s="73" t="n">
        <x:v>1.0426</x:v>
      </x:c>
      <x:c r="E274" s="73" t="n">
        <x:v>1.0426</x:v>
      </x:c>
      <x:c r="F274" s="73" t="n">
        <x:v>1.0426</x:v>
      </x:c>
      <x:c r="G274" s="74" t="n">
        <x:v>0.0021</x:v>
      </x:c>
      <x:c r="H274" s="66" t="str">
        <x:v>常行7号净值20260911.xlsx</x:v>
      </x:c>
      <x:c r="I274" s="73" t="str">
        <x:f>""</x:f>
      </x:c>
      <x:c r="J274" s="74" t="str">
        <x:f>""</x:f>
      </x:c>
      <x:c r="K274" s="73" t="str">
        <x:f>""</x:f>
      </x:c>
      <x:c r="L274" s="74" t="str">
        <x:f>""</x:f>
      </x:c>
      <x:c r="M274" s="73" t="n">
        <x:f>MAX(M273,F274)</x:f>
        <x:v>1.0426</x:v>
      </x:c>
      <x:c r="N274" s="74" t="n">
        <x:f>1-F274/M274</x:f>
        <x:v>0</x:v>
      </x:c>
    </x:row>
    <x:row r="275" ht="27" customHeight="1">
      <x:c r="A275" s="66" t="str">
        <x:v>SQH214</x:v>
      </x:c>
      <x:c r="B275" s="66" t="str">
        <x:v>常行7号</x:v>
      </x:c>
      <x:c r="C275" s="72" t="n">
        <x:v>44519</x:v>
      </x:c>
      <x:c r="D275" s="73" t="n">
        <x:v>1.0456</x:v>
      </x:c>
      <x:c r="E275" s="73" t="n">
        <x:v>1.0456</x:v>
      </x:c>
      <x:c r="F275" s="73" t="n">
        <x:v>1.0456</x:v>
      </x:c>
      <x:c r="G275" s="74" t="n">
        <x:v>0.0029</x:v>
      </x:c>
      <x:c r="H275" s="66" t="str">
        <x:v>常行7号净值20260911.xlsx</x:v>
      </x:c>
      <x:c r="I275" s="73" t="str">
        <x:f>""</x:f>
      </x:c>
      <x:c r="J275" s="74" t="str">
        <x:f>""</x:f>
      </x:c>
      <x:c r="K275" s="73" t="str">
        <x:f>""</x:f>
      </x:c>
      <x:c r="L275" s="74" t="str">
        <x:f>""</x:f>
      </x:c>
      <x:c r="M275" s="73" t="n">
        <x:f>MAX(M274,F275)</x:f>
        <x:v>1.0456</x:v>
      </x:c>
      <x:c r="N275" s="74" t="n">
        <x:f>1-F275/M275</x:f>
        <x:v>0</x:v>
      </x:c>
    </x:row>
    <x:row r="276" ht="27" customHeight="1">
      <x:c r="A276" s="66" t="str">
        <x:v>SQH214</x:v>
      </x:c>
      <x:c r="B276" s="66" t="str">
        <x:v>常行7号</x:v>
      </x:c>
      <x:c r="C276" s="72" t="n">
        <x:v>44526</x:v>
      </x:c>
      <x:c r="D276" s="73" t="n">
        <x:v>1.0469</x:v>
      </x:c>
      <x:c r="E276" s="73" t="n">
        <x:v>1.0469</x:v>
      </x:c>
      <x:c r="F276" s="73" t="n">
        <x:v>1.0469</x:v>
      </x:c>
      <x:c r="G276" s="74" t="n">
        <x:v>0.0012</x:v>
      </x:c>
      <x:c r="H276" s="66" t="str">
        <x:v>常行7号净值20260911.xlsx</x:v>
      </x:c>
      <x:c r="I276" s="73" t="str">
        <x:f>""</x:f>
      </x:c>
      <x:c r="J276" s="74" t="str">
        <x:f>""</x:f>
      </x:c>
      <x:c r="K276" s="73" t="str">
        <x:f>""</x:f>
      </x:c>
      <x:c r="L276" s="74" t="str">
        <x:f>""</x:f>
      </x:c>
      <x:c r="M276" s="73" t="n">
        <x:f>MAX(M275,F276)</x:f>
        <x:v>1.0469</x:v>
      </x:c>
      <x:c r="N276" s="74" t="n">
        <x:f>1-F276/M276</x:f>
        <x:v>0</x:v>
      </x:c>
    </x:row>
    <x:row r="277" ht="27" customHeight="1">
      <x:c r="A277" s="66" t="str">
        <x:v>SQH214</x:v>
      </x:c>
      <x:c r="B277" s="66" t="str">
        <x:v>常行7号</x:v>
      </x:c>
      <x:c r="C277" s="72" t="n">
        <x:v>44533</x:v>
      </x:c>
      <x:c r="D277" s="73" t="n">
        <x:v>1.0484</x:v>
      </x:c>
      <x:c r="E277" s="73" t="n">
        <x:v>1.0484</x:v>
      </x:c>
      <x:c r="F277" s="73" t="n">
        <x:v>1.0484</x:v>
      </x:c>
      <x:c r="G277" s="74" t="n">
        <x:v>0.0014000000000000002</x:v>
      </x:c>
      <x:c r="H277" s="66" t="str">
        <x:v>常行7号净值20260911.xlsx</x:v>
      </x:c>
      <x:c r="I277" s="73" t="str">
        <x:f>""</x:f>
      </x:c>
      <x:c r="J277" s="74" t="str">
        <x:f>""</x:f>
      </x:c>
      <x:c r="K277" s="73" t="str">
        <x:f>""</x:f>
      </x:c>
      <x:c r="L277" s="74" t="str">
        <x:f>""</x:f>
      </x:c>
      <x:c r="M277" s="73" t="n">
        <x:f>MAX(M276,F277)</x:f>
        <x:v>1.0484</x:v>
      </x:c>
      <x:c r="N277" s="74" t="n">
        <x:f>1-F277/M277</x:f>
        <x:v>0</x:v>
      </x:c>
    </x:row>
    <x:row r="278" ht="27" customHeight="1">
      <x:c r="A278" s="66" t="str">
        <x:v>SQH214</x:v>
      </x:c>
      <x:c r="B278" s="66" t="str">
        <x:v>常行7号</x:v>
      </x:c>
      <x:c r="C278" s="72" t="n">
        <x:v>44540</x:v>
      </x:c>
      <x:c r="D278" s="73" t="n">
        <x:v>1.051</x:v>
      </x:c>
      <x:c r="E278" s="73" t="n">
        <x:v>1.051</x:v>
      </x:c>
      <x:c r="F278" s="73" t="n">
        <x:v>1.051</x:v>
      </x:c>
      <x:c r="G278" s="74" t="n">
        <x:v>0.0025</x:v>
      </x:c>
      <x:c r="H278" s="66" t="str">
        <x:v>常行7号净值20260911.xlsx</x:v>
      </x:c>
      <x:c r="I278" s="73" t="str">
        <x:f>""</x:f>
      </x:c>
      <x:c r="J278" s="74" t="str">
        <x:f>""</x:f>
      </x:c>
      <x:c r="K278" s="73" t="str">
        <x:f>""</x:f>
      </x:c>
      <x:c r="L278" s="74" t="str">
        <x:f>""</x:f>
      </x:c>
      <x:c r="M278" s="73" t="n">
        <x:f>MAX(M277,F278)</x:f>
        <x:v>1.051</x:v>
      </x:c>
      <x:c r="N278" s="74" t="n">
        <x:f>1-F278/M278</x:f>
        <x:v>0</x:v>
      </x:c>
    </x:row>
    <x:row r="279" ht="27" customHeight="1">
      <x:c r="A279" s="66" t="str">
        <x:v>SQH214</x:v>
      </x:c>
      <x:c r="B279" s="66" t="str">
        <x:v>常行7号</x:v>
      </x:c>
      <x:c r="C279" s="72" t="n">
        <x:v>44547</x:v>
      </x:c>
      <x:c r="D279" s="73" t="n">
        <x:v>1.0539</x:v>
      </x:c>
      <x:c r="E279" s="73" t="n">
        <x:v>1.0539</x:v>
      </x:c>
      <x:c r="F279" s="73" t="n">
        <x:v>1.0539</x:v>
      </x:c>
      <x:c r="G279" s="74" t="n">
        <x:v>0.0028000000000000004</x:v>
      </x:c>
      <x:c r="H279" s="66" t="str">
        <x:v>常行7号净值20260911.xlsx</x:v>
      </x:c>
      <x:c r="I279" s="73" t="str">
        <x:f>""</x:f>
      </x:c>
      <x:c r="J279" s="74" t="str">
        <x:f>""</x:f>
      </x:c>
      <x:c r="K279" s="73" t="str">
        <x:f>""</x:f>
      </x:c>
      <x:c r="L279" s="74" t="str">
        <x:f>""</x:f>
      </x:c>
      <x:c r="M279" s="73" t="n">
        <x:f>MAX(M278,F279)</x:f>
        <x:v>1.0539</x:v>
      </x:c>
      <x:c r="N279" s="74" t="n">
        <x:f>1-F279/M279</x:f>
        <x:v>0</x:v>
      </x:c>
    </x:row>
    <x:row r="280" ht="27" customHeight="1">
      <x:c r="A280" s="66" t="str">
        <x:v>SQH214</x:v>
      </x:c>
      <x:c r="B280" s="66" t="str">
        <x:v>常行7号</x:v>
      </x:c>
      <x:c r="C280" s="72" t="n">
        <x:v>44554</x:v>
      </x:c>
      <x:c r="D280" s="73" t="n">
        <x:v>1.0553</x:v>
      </x:c>
      <x:c r="E280" s="73" t="n">
        <x:v>1.0553</x:v>
      </x:c>
      <x:c r="F280" s="73" t="n">
        <x:v>1.0553</x:v>
      </x:c>
      <x:c r="G280" s="74" t="n">
        <x:v>0.0013</x:v>
      </x:c>
      <x:c r="H280" s="66" t="str">
        <x:v>常行7号净值20260911.xlsx</x:v>
      </x:c>
      <x:c r="I280" s="73" t="str">
        <x:f>""</x:f>
      </x:c>
      <x:c r="J280" s="74" t="str">
        <x:f>""</x:f>
      </x:c>
      <x:c r="K280" s="73" t="str">
        <x:f>""</x:f>
      </x:c>
      <x:c r="L280" s="74" t="str">
        <x:f>""</x:f>
      </x:c>
      <x:c r="M280" s="73" t="n">
        <x:f>MAX(M279,F280)</x:f>
        <x:v>1.0553</x:v>
      </x:c>
      <x:c r="N280" s="74" t="n">
        <x:f>1-F280/M280</x:f>
        <x:v>0</x:v>
      </x:c>
    </x:row>
    <x:row r="281" ht="27" customHeight="1">
      <x:c r="A281" s="66" t="str">
        <x:v>SQH214</x:v>
      </x:c>
      <x:c r="B281" s="66" t="str">
        <x:v>常行7号</x:v>
      </x:c>
      <x:c r="C281" s="72" t="n">
        <x:v>44561</x:v>
      </x:c>
      <x:c r="D281" s="73" t="n">
        <x:v>1.0568</x:v>
      </x:c>
      <x:c r="E281" s="73" t="n">
        <x:v>1.0568</x:v>
      </x:c>
      <x:c r="F281" s="73" t="n">
        <x:v>1.0568</x:v>
      </x:c>
      <x:c r="G281" s="74" t="n">
        <x:v>0.0014000000000000002</x:v>
      </x:c>
      <x:c r="H281" s="66" t="str">
        <x:v>常行7号净值20260911.xlsx</x:v>
      </x:c>
      <x:c r="I281" s="73" t="str">
        <x:f>""</x:f>
      </x:c>
      <x:c r="J281" s="74" t="str">
        <x:f>""</x:f>
      </x:c>
      <x:c r="K281" s="73" t="str">
        <x:f>""</x:f>
      </x:c>
      <x:c r="L281" s="74" t="str">
        <x:f>""</x:f>
      </x:c>
      <x:c r="M281" s="73" t="n">
        <x:f>MAX(M280,F281)</x:f>
        <x:v>1.0568</x:v>
      </x:c>
      <x:c r="N281" s="74" t="n">
        <x:f>1-F281/M281</x:f>
        <x:v>0</x:v>
      </x:c>
    </x:row>
    <x:row r="282" ht="27" customHeight="1">
      <x:c r="A282" s="66" t="str">
        <x:v>SQH214</x:v>
      </x:c>
      <x:c r="B282" s="66" t="str">
        <x:v>常行7号</x:v>
      </x:c>
      <x:c r="C282" s="72" t="n">
        <x:v>44568</x:v>
      </x:c>
      <x:c r="D282" s="73" t="n">
        <x:v>1.0601</x:v>
      </x:c>
      <x:c r="E282" s="73" t="n">
        <x:v>1.0601</x:v>
      </x:c>
      <x:c r="F282" s="73" t="n">
        <x:v>1.0601</x:v>
      </x:c>
      <x:c r="G282" s="74" t="n">
        <x:v>0.0031</x:v>
      </x:c>
      <x:c r="H282" s="66" t="str">
        <x:v>常行7号净值20260911.xlsx</x:v>
      </x:c>
      <x:c r="I282" s="73" t="str">
        <x:f>""</x:f>
      </x:c>
      <x:c r="J282" s="74" t="str">
        <x:f>""</x:f>
      </x:c>
      <x:c r="K282" s="73" t="str">
        <x:f>""</x:f>
      </x:c>
      <x:c r="L282" s="74" t="str">
        <x:f>""</x:f>
      </x:c>
      <x:c r="M282" s="73" t="n">
        <x:f>MAX(M281,F282)</x:f>
        <x:v>1.0601</x:v>
      </x:c>
      <x:c r="N282" s="74" t="n">
        <x:f>1-F282/M282</x:f>
        <x:v>0</x:v>
      </x:c>
    </x:row>
    <x:row r="283" ht="27" customHeight="1">
      <x:c r="A283" s="66" t="str">
        <x:v>SQH214</x:v>
      </x:c>
      <x:c r="B283" s="66" t="str">
        <x:v>常行7号</x:v>
      </x:c>
      <x:c r="C283" s="72" t="n">
        <x:v>44575</x:v>
      </x:c>
      <x:c r="D283" s="73" t="n">
        <x:v>1.0606</x:v>
      </x:c>
      <x:c r="E283" s="73" t="n">
        <x:v>1.0606</x:v>
      </x:c>
      <x:c r="F283" s="73" t="n">
        <x:v>1.0606</x:v>
      </x:c>
      <x:c r="G283" s="74" t="n">
        <x:v>0.0005</x:v>
      </x:c>
      <x:c r="H283" s="66" t="str">
        <x:v>常行7号净值20260911.xlsx</x:v>
      </x:c>
      <x:c r="I283" s="73" t="str">
        <x:f>""</x:f>
      </x:c>
      <x:c r="J283" s="74" t="str">
        <x:f>""</x:f>
      </x:c>
      <x:c r="K283" s="73" t="str">
        <x:f>""</x:f>
      </x:c>
      <x:c r="L283" s="74" t="str">
        <x:f>""</x:f>
      </x:c>
      <x:c r="M283" s="73" t="n">
        <x:f>MAX(M282,F283)</x:f>
        <x:v>1.0606</x:v>
      </x:c>
      <x:c r="N283" s="74" t="n">
        <x:f>1-F283/M283</x:f>
        <x:v>0</x:v>
      </x:c>
    </x:row>
    <x:row r="284" ht="27" customHeight="1">
      <x:c r="A284" s="66" t="str">
        <x:v>SQH214</x:v>
      </x:c>
      <x:c r="B284" s="66" t="str">
        <x:v>常行7号</x:v>
      </x:c>
      <x:c r="C284" s="72" t="n">
        <x:v>44582</x:v>
      </x:c>
      <x:c r="D284" s="73" t="n">
        <x:v>1.0626</x:v>
      </x:c>
      <x:c r="E284" s="73" t="n">
        <x:v>1.0626</x:v>
      </x:c>
      <x:c r="F284" s="73" t="n">
        <x:v>1.0626</x:v>
      </x:c>
      <x:c r="G284" s="74" t="n">
        <x:v>0.0019</x:v>
      </x:c>
      <x:c r="H284" s="66" t="str">
        <x:v>常行7号净值20260911.xlsx</x:v>
      </x:c>
      <x:c r="I284" s="73" t="str">
        <x:f>""</x:f>
      </x:c>
      <x:c r="J284" s="74" t="str">
        <x:f>""</x:f>
      </x:c>
      <x:c r="K284" s="73" t="str">
        <x:f>""</x:f>
      </x:c>
      <x:c r="L284" s="74" t="str">
        <x:f>""</x:f>
      </x:c>
      <x:c r="M284" s="73" t="n">
        <x:f>MAX(M283,F284)</x:f>
        <x:v>1.0626</x:v>
      </x:c>
      <x:c r="N284" s="74" t="n">
        <x:f>1-F284/M284</x:f>
        <x:v>0</x:v>
      </x:c>
    </x:row>
    <x:row r="285" ht="27" customHeight="1">
      <x:c r="A285" s="66" t="str">
        <x:v>SQH214</x:v>
      </x:c>
      <x:c r="B285" s="66" t="str">
        <x:v>常行7号</x:v>
      </x:c>
      <x:c r="C285" s="72" t="n">
        <x:v>44589</x:v>
      </x:c>
      <x:c r="D285" s="73" t="n">
        <x:v>1.0653</x:v>
      </x:c>
      <x:c r="E285" s="73" t="n">
        <x:v>1.0653</x:v>
      </x:c>
      <x:c r="F285" s="73" t="n">
        <x:v>1.0653</x:v>
      </x:c>
      <x:c r="G285" s="74" t="n">
        <x:v>0.0025</x:v>
      </x:c>
      <x:c r="H285" s="66" t="str">
        <x:v>常行7号净值20260911.xlsx</x:v>
      </x:c>
      <x:c r="I285" s="73" t="str">
        <x:f>""</x:f>
      </x:c>
      <x:c r="J285" s="74" t="str">
        <x:f>""</x:f>
      </x:c>
      <x:c r="K285" s="73" t="str">
        <x:f>""</x:f>
      </x:c>
      <x:c r="L285" s="74" t="str">
        <x:f>""</x:f>
      </x:c>
      <x:c r="M285" s="73" t="n">
        <x:f>MAX(M284,F285)</x:f>
        <x:v>1.0653</x:v>
      </x:c>
      <x:c r="N285" s="74" t="n">
        <x:f>1-F285/M285</x:f>
        <x:v>0</x:v>
      </x:c>
    </x:row>
    <x:row r="286" ht="27" customHeight="1">
      <x:c r="A286" s="66" t="str">
        <x:v>SQH214</x:v>
      </x:c>
      <x:c r="B286" s="66" t="str">
        <x:v>常行7号</x:v>
      </x:c>
      <x:c r="C286" s="72" t="n">
        <x:v>44603</x:v>
      </x:c>
      <x:c r="D286" s="73" t="n">
        <x:v>1.071</x:v>
      </x:c>
      <x:c r="E286" s="73" t="n">
        <x:v>1.071</x:v>
      </x:c>
      <x:c r="F286" s="73" t="n">
        <x:v>1.071</x:v>
      </x:c>
      <x:c r="G286" s="74" t="n">
        <x:v>0.0054</x:v>
      </x:c>
      <x:c r="H286" s="66" t="str">
        <x:v>常行7号净值20260911.xlsx</x:v>
      </x:c>
      <x:c r="I286" s="73" t="str">
        <x:f>""</x:f>
      </x:c>
      <x:c r="J286" s="74" t="str">
        <x:f>""</x:f>
      </x:c>
      <x:c r="K286" s="73" t="str">
        <x:f>""</x:f>
      </x:c>
      <x:c r="L286" s="74" t="str">
        <x:f>""</x:f>
      </x:c>
      <x:c r="M286" s="73" t="n">
        <x:f>MAX(M285,F286)</x:f>
        <x:v>1.071</x:v>
      </x:c>
      <x:c r="N286" s="74" t="n">
        <x:f>1-F286/M286</x:f>
        <x:v>0</x:v>
      </x:c>
    </x:row>
    <x:row r="287" ht="27" customHeight="1">
      <x:c r="A287" s="66" t="str">
        <x:v>SQH214</x:v>
      </x:c>
      <x:c r="B287" s="66" t="str">
        <x:v>常行7号</x:v>
      </x:c>
      <x:c r="C287" s="72" t="n">
        <x:v>44610</x:v>
      </x:c>
      <x:c r="D287" s="73" t="n">
        <x:v>1.0741</x:v>
      </x:c>
      <x:c r="E287" s="73" t="n">
        <x:v>1.0741</x:v>
      </x:c>
      <x:c r="F287" s="73" t="n">
        <x:v>1.0741</x:v>
      </x:c>
      <x:c r="G287" s="74" t="n">
        <x:v>0.0029</x:v>
      </x:c>
      <x:c r="H287" s="66" t="str">
        <x:v>常行7号净值20260911.xlsx</x:v>
      </x:c>
      <x:c r="I287" s="73" t="str">
        <x:f>""</x:f>
      </x:c>
      <x:c r="J287" s="74" t="str">
        <x:f>""</x:f>
      </x:c>
      <x:c r="K287" s="73" t="str">
        <x:f>""</x:f>
      </x:c>
      <x:c r="L287" s="74" t="str">
        <x:f>""</x:f>
      </x:c>
      <x:c r="M287" s="73" t="n">
        <x:f>MAX(M286,F287)</x:f>
        <x:v>1.0741</x:v>
      </x:c>
      <x:c r="N287" s="74" t="n">
        <x:f>1-F287/M287</x:f>
        <x:v>0</x:v>
      </x:c>
    </x:row>
    <x:row r="288" ht="27" customHeight="1">
      <x:c r="A288" s="66" t="str">
        <x:v>SQH214</x:v>
      </x:c>
      <x:c r="B288" s="66" t="str">
        <x:v>常行7号</x:v>
      </x:c>
      <x:c r="C288" s="72" t="n">
        <x:v>44617</x:v>
      </x:c>
      <x:c r="D288" s="73" t="n">
        <x:v>1.0752</x:v>
      </x:c>
      <x:c r="E288" s="73" t="n">
        <x:v>1.0752</x:v>
      </x:c>
      <x:c r="F288" s="73" t="n">
        <x:v>1.0752</x:v>
      </x:c>
      <x:c r="G288" s="74" t="n">
        <x:v>0.001</x:v>
      </x:c>
      <x:c r="H288" s="66" t="str">
        <x:v>常行7号净值20260911.xlsx</x:v>
      </x:c>
      <x:c r="I288" s="73" t="str">
        <x:f>""</x:f>
      </x:c>
      <x:c r="J288" s="74" t="str">
        <x:f>""</x:f>
      </x:c>
      <x:c r="K288" s="73" t="str">
        <x:f>""</x:f>
      </x:c>
      <x:c r="L288" s="74" t="str">
        <x:f>""</x:f>
      </x:c>
      <x:c r="M288" s="73" t="n">
        <x:f>MAX(M287,F288)</x:f>
        <x:v>1.0752</x:v>
      </x:c>
      <x:c r="N288" s="74" t="n">
        <x:f>1-F288/M288</x:f>
        <x:v>0</x:v>
      </x:c>
    </x:row>
    <x:row r="289" ht="27" customHeight="1">
      <x:c r="A289" s="66" t="str">
        <x:v>SQH214</x:v>
      </x:c>
      <x:c r="B289" s="66" t="str">
        <x:v>常行7号</x:v>
      </x:c>
      <x:c r="C289" s="72" t="n">
        <x:v>44624</x:v>
      </x:c>
      <x:c r="D289" s="73" t="n">
        <x:v>1.0772</x:v>
      </x:c>
      <x:c r="E289" s="73" t="n">
        <x:v>1.0772</x:v>
      </x:c>
      <x:c r="F289" s="73" t="n">
        <x:v>1.0772</x:v>
      </x:c>
      <x:c r="G289" s="74" t="n">
        <x:v>0.0019</x:v>
      </x:c>
      <x:c r="H289" s="66" t="str">
        <x:v>常行7号净值20260911.xlsx</x:v>
      </x:c>
      <x:c r="I289" s="73" t="str">
        <x:f>""</x:f>
      </x:c>
      <x:c r="J289" s="74" t="str">
        <x:f>""</x:f>
      </x:c>
      <x:c r="K289" s="73" t="str">
        <x:f>""</x:f>
      </x:c>
      <x:c r="L289" s="74" t="str">
        <x:f>""</x:f>
      </x:c>
      <x:c r="M289" s="73" t="n">
        <x:f>MAX(M288,F289)</x:f>
        <x:v>1.0772</x:v>
      </x:c>
      <x:c r="N289" s="74" t="n">
        <x:f>1-F289/M289</x:f>
        <x:v>0</x:v>
      </x:c>
    </x:row>
    <x:row r="290" ht="27" customHeight="1">
      <x:c r="A290" s="66" t="str">
        <x:v>SQH214</x:v>
      </x:c>
      <x:c r="B290" s="66" t="str">
        <x:v>常行7号</x:v>
      </x:c>
      <x:c r="C290" s="72" t="n">
        <x:v>44631</x:v>
      </x:c>
      <x:c r="D290" s="73" t="n">
        <x:v>1.0898</x:v>
      </x:c>
      <x:c r="E290" s="73" t="n">
        <x:v>1.0898</x:v>
      </x:c>
      <x:c r="F290" s="73" t="n">
        <x:v>1.0898</x:v>
      </x:c>
      <x:c r="G290" s="74" t="n">
        <x:v>0.011699999999999999</x:v>
      </x:c>
      <x:c r="H290" s="66" t="str">
        <x:v>常行7号净值20260911.xlsx</x:v>
      </x:c>
      <x:c r="I290" s="73" t="str">
        <x:f>""</x:f>
      </x:c>
      <x:c r="J290" s="74" t="str">
        <x:f>""</x:f>
      </x:c>
      <x:c r="K290" s="73" t="str">
        <x:f>""</x:f>
      </x:c>
      <x:c r="L290" s="74" t="str">
        <x:f>""</x:f>
      </x:c>
      <x:c r="M290" s="73" t="n">
        <x:f>MAX(M289,F290)</x:f>
        <x:v>1.0898</x:v>
      </x:c>
      <x:c r="N290" s="74" t="n">
        <x:f>1-F290/M290</x:f>
        <x:v>0</x:v>
      </x:c>
    </x:row>
    <x:row r="291" ht="27" customHeight="1">
      <x:c r="A291" s="66" t="str">
        <x:v>SQH214</x:v>
      </x:c>
      <x:c r="B291" s="66" t="str">
        <x:v>常行7号</x:v>
      </x:c>
      <x:c r="C291" s="72" t="n">
        <x:v>44638</x:v>
      </x:c>
      <x:c r="D291" s="73" t="n">
        <x:v>1.105</x:v>
      </x:c>
      <x:c r="E291" s="73" t="n">
        <x:v>1.105</x:v>
      </x:c>
      <x:c r="F291" s="73" t="n">
        <x:v>1.105</x:v>
      </x:c>
      <x:c r="G291" s="74" t="n">
        <x:v>0.0139</x:v>
      </x:c>
      <x:c r="H291" s="66" t="str">
        <x:v>常行7号净值20260911.xlsx</x:v>
      </x:c>
      <x:c r="I291" s="73" t="str">
        <x:f>""</x:f>
      </x:c>
      <x:c r="J291" s="74" t="str">
        <x:f>""</x:f>
      </x:c>
      <x:c r="K291" s="73" t="str">
        <x:f>""</x:f>
      </x:c>
      <x:c r="L291" s="74" t="str">
        <x:f>""</x:f>
      </x:c>
      <x:c r="M291" s="73" t="n">
        <x:f>MAX(M290,F291)</x:f>
        <x:v>1.105</x:v>
      </x:c>
      <x:c r="N291" s="74" t="n">
        <x:f>1-F291/M291</x:f>
        <x:v>0</x:v>
      </x:c>
    </x:row>
    <x:row r="292" ht="27" customHeight="1">
      <x:c r="A292" s="66" t="str">
        <x:v>SQH214</x:v>
      </x:c>
      <x:c r="B292" s="66" t="str">
        <x:v>常行7号</x:v>
      </x:c>
      <x:c r="C292" s="72" t="n">
        <x:v>44645</x:v>
      </x:c>
      <x:c r="D292" s="73" t="n">
        <x:v>1.1064</x:v>
      </x:c>
      <x:c r="E292" s="73" t="n">
        <x:v>1.1064</x:v>
      </x:c>
      <x:c r="F292" s="73" t="n">
        <x:v>1.1064</x:v>
      </x:c>
      <x:c r="G292" s="74" t="n">
        <x:v>0.0013</x:v>
      </x:c>
      <x:c r="H292" s="66" t="str">
        <x:v>常行7号净值20260911.xlsx</x:v>
      </x:c>
      <x:c r="I292" s="73" t="str">
        <x:f>""</x:f>
      </x:c>
      <x:c r="J292" s="74" t="str">
        <x:f>""</x:f>
      </x:c>
      <x:c r="K292" s="73" t="str">
        <x:f>""</x:f>
      </x:c>
      <x:c r="L292" s="74" t="str">
        <x:f>""</x:f>
      </x:c>
      <x:c r="M292" s="73" t="n">
        <x:f>MAX(M291,F292)</x:f>
        <x:v>1.1064</x:v>
      </x:c>
      <x:c r="N292" s="74" t="n">
        <x:f>1-F292/M292</x:f>
        <x:v>0</x:v>
      </x:c>
    </x:row>
    <x:row r="293" ht="27" customHeight="1">
      <x:c r="A293" s="66" t="str">
        <x:v>SQH214</x:v>
      </x:c>
      <x:c r="B293" s="66" t="str">
        <x:v>常行7号</x:v>
      </x:c>
      <x:c r="C293" s="72" t="n">
        <x:v>44652</x:v>
      </x:c>
      <x:c r="D293" s="73" t="n">
        <x:v>1.1107</x:v>
      </x:c>
      <x:c r="E293" s="73" t="n">
        <x:v>1.1107</x:v>
      </x:c>
      <x:c r="F293" s="73" t="n">
        <x:v>1.1107</x:v>
      </x:c>
      <x:c r="G293" s="74" t="n">
        <x:v>0.0039000000000000003</x:v>
      </x:c>
      <x:c r="H293" s="66" t="str">
        <x:v>常行7号净值20260911.xlsx</x:v>
      </x:c>
      <x:c r="I293" s="73" t="str">
        <x:f>""</x:f>
      </x:c>
      <x:c r="J293" s="74" t="str">
        <x:f>""</x:f>
      </x:c>
      <x:c r="K293" s="73" t="str">
        <x:f>""</x:f>
      </x:c>
      <x:c r="L293" s="74" t="str">
        <x:f>""</x:f>
      </x:c>
      <x:c r="M293" s="73" t="n">
        <x:f>MAX(M292,F293)</x:f>
        <x:v>1.1107</x:v>
      </x:c>
      <x:c r="N293" s="74" t="n">
        <x:f>1-F293/M293</x:f>
        <x:v>0</x:v>
      </x:c>
    </x:row>
    <x:row r="294" ht="27" customHeight="1">
      <x:c r="A294" s="66" t="str">
        <x:v>SQH214</x:v>
      </x:c>
      <x:c r="B294" s="66" t="str">
        <x:v>常行7号</x:v>
      </x:c>
      <x:c r="C294" s="72" t="n">
        <x:v>44659</x:v>
      </x:c>
      <x:c r="D294" s="73" t="n">
        <x:v>1.1117</x:v>
      </x:c>
      <x:c r="E294" s="73" t="n">
        <x:v>1.1117</x:v>
      </x:c>
      <x:c r="F294" s="73" t="n">
        <x:v>1.1117</x:v>
      </x:c>
      <x:c r="G294" s="74" t="n">
        <x:v>0.0009</x:v>
      </x:c>
      <x:c r="H294" s="66" t="str">
        <x:v>常行7号净值20260911.xlsx</x:v>
      </x:c>
      <x:c r="I294" s="73" t="str">
        <x:f>""</x:f>
      </x:c>
      <x:c r="J294" s="74" t="str">
        <x:f>""</x:f>
      </x:c>
      <x:c r="K294" s="73" t="str">
        <x:f>""</x:f>
      </x:c>
      <x:c r="L294" s="74" t="str">
        <x:f>""</x:f>
      </x:c>
      <x:c r="M294" s="73" t="n">
        <x:f>MAX(M293,F294)</x:f>
        <x:v>1.1117</x:v>
      </x:c>
      <x:c r="N294" s="74" t="n">
        <x:f>1-F294/M294</x:f>
        <x:v>0</x:v>
      </x:c>
    </x:row>
    <x:row r="295" ht="27" customHeight="1">
      <x:c r="A295" s="66" t="str">
        <x:v>SQH214</x:v>
      </x:c>
      <x:c r="B295" s="66" t="str">
        <x:v>常行7号</x:v>
      </x:c>
      <x:c r="C295" s="72" t="n">
        <x:v>44666</x:v>
      </x:c>
      <x:c r="D295" s="73" t="n">
        <x:v>1.012</x:v>
      </x:c>
      <x:c r="E295" s="73" t="n">
        <x:v>1.112</x:v>
      </x:c>
      <x:c r="F295" s="73" t="n">
        <x:v>1.112</x:v>
      </x:c>
      <x:c r="G295" s="74" t="n">
        <x:v>0.0003</x:v>
      </x:c>
      <x:c r="H295" s="66" t="str">
        <x:v>常行7号净值20260911.xlsx</x:v>
      </x:c>
      <x:c r="I295" s="73" t="str">
        <x:f>""</x:f>
      </x:c>
      <x:c r="J295" s="74" t="str">
        <x:f>""</x:f>
      </x:c>
      <x:c r="K295" s="73" t="str">
        <x:f>""</x:f>
      </x:c>
      <x:c r="L295" s="74" t="str">
        <x:f>""</x:f>
      </x:c>
      <x:c r="M295" s="73" t="n">
        <x:f>MAX(M294,F295)</x:f>
        <x:v>1.112</x:v>
      </x:c>
      <x:c r="N295" s="74" t="n">
        <x:f>1-F295/M295</x:f>
        <x:v>0</x:v>
      </x:c>
    </x:row>
    <x:row r="296" ht="27" customHeight="1">
      <x:c r="A296" s="66" t="str">
        <x:v>SQH214</x:v>
      </x:c>
      <x:c r="B296" s="66" t="str">
        <x:v>常行7号</x:v>
      </x:c>
      <x:c r="C296" s="72" t="n">
        <x:v>44673</x:v>
      </x:c>
      <x:c r="D296" s="73" t="n">
        <x:v>1.0125</x:v>
      </x:c>
      <x:c r="E296" s="73" t="n">
        <x:v>1.1125</x:v>
      </x:c>
      <x:c r="F296" s="73" t="n">
        <x:v>1.1125</x:v>
      </x:c>
      <x:c r="G296" s="74" t="n">
        <x:v>0.0005</x:v>
      </x:c>
      <x:c r="H296" s="66" t="str">
        <x:v>常行7号净值20260911.xlsx</x:v>
      </x:c>
      <x:c r="I296" s="73" t="str">
        <x:f>""</x:f>
      </x:c>
      <x:c r="J296" s="74" t="str">
        <x:f>""</x:f>
      </x:c>
      <x:c r="K296" s="73" t="str">
        <x:f>""</x:f>
      </x:c>
      <x:c r="L296" s="74" t="str">
        <x:f>""</x:f>
      </x:c>
      <x:c r="M296" s="73" t="n">
        <x:f>MAX(M295,F296)</x:f>
        <x:v>1.1125</x:v>
      </x:c>
      <x:c r="N296" s="74" t="n">
        <x:f>1-F296/M296</x:f>
        <x:v>0</x:v>
      </x:c>
    </x:row>
    <x:row r="297" ht="27" customHeight="1">
      <x:c r="A297" s="66" t="str">
        <x:v>SQH214</x:v>
      </x:c>
      <x:c r="B297" s="66" t="str">
        <x:v>常行7号</x:v>
      </x:c>
      <x:c r="C297" s="72" t="n">
        <x:v>44680</x:v>
      </x:c>
      <x:c r="D297" s="73" t="n">
        <x:v>1.0159</x:v>
      </x:c>
      <x:c r="E297" s="73" t="n">
        <x:v>1.1159</x:v>
      </x:c>
      <x:c r="F297" s="73" t="n">
        <x:v>1.1163</x:v>
      </x:c>
      <x:c r="G297" s="74" t="n">
        <x:v>0.0034000000000000002</x:v>
      </x:c>
      <x:c r="H297" s="66" t="str">
        <x:v>常行7号净值20260911.xlsx</x:v>
      </x:c>
      <x:c r="I297" s="73" t="str">
        <x:f>""</x:f>
      </x:c>
      <x:c r="J297" s="74" t="str">
        <x:f>""</x:f>
      </x:c>
      <x:c r="K297" s="73" t="str">
        <x:f>""</x:f>
      </x:c>
      <x:c r="L297" s="74" t="str">
        <x:f>""</x:f>
      </x:c>
      <x:c r="M297" s="73" t="n">
        <x:f>MAX(M296,F297)</x:f>
        <x:v>1.1163</x:v>
      </x:c>
      <x:c r="N297" s="74" t="n">
        <x:f>1-F297/M297</x:f>
        <x:v>0</x:v>
      </x:c>
    </x:row>
    <x:row r="298" ht="27" customHeight="1">
      <x:c r="A298" s="66" t="str">
        <x:v>SQH214</x:v>
      </x:c>
      <x:c r="B298" s="66" t="str">
        <x:v>常行7号</x:v>
      </x:c>
      <x:c r="C298" s="72" t="n">
        <x:v>44687</x:v>
      </x:c>
      <x:c r="D298" s="73" t="n">
        <x:v>1.0175</x:v>
      </x:c>
      <x:c r="E298" s="73" t="n">
        <x:v>1.1175</x:v>
      </x:c>
      <x:c r="F298" s="73" t="n">
        <x:v>1.118</x:v>
      </x:c>
      <x:c r="G298" s="74" t="n">
        <x:v>0.0016</x:v>
      </x:c>
      <x:c r="H298" s="66" t="str">
        <x:v>常行7号净值20260911.xlsx</x:v>
      </x:c>
      <x:c r="I298" s="73" t="str">
        <x:f>""</x:f>
      </x:c>
      <x:c r="J298" s="74" t="str">
        <x:f>""</x:f>
      </x:c>
      <x:c r="K298" s="73" t="str">
        <x:f>""</x:f>
      </x:c>
      <x:c r="L298" s="74" t="str">
        <x:f>""</x:f>
      </x:c>
      <x:c r="M298" s="73" t="n">
        <x:f>MAX(M297,F298)</x:f>
        <x:v>1.118</x:v>
      </x:c>
      <x:c r="N298" s="74" t="n">
        <x:f>1-F298/M298</x:f>
        <x:v>0</x:v>
      </x:c>
    </x:row>
    <x:row r="299" ht="27" customHeight="1">
      <x:c r="A299" s="66" t="str">
        <x:v>SQH214</x:v>
      </x:c>
      <x:c r="B299" s="66" t="str">
        <x:v>常行7号</x:v>
      </x:c>
      <x:c r="C299" s="72" t="n">
        <x:v>44694</x:v>
      </x:c>
      <x:c r="D299" s="73" t="n">
        <x:v>1.0173</x:v>
      </x:c>
      <x:c r="E299" s="73" t="n">
        <x:v>1.1173</x:v>
      </x:c>
      <x:c r="F299" s="73" t="n">
        <x:v>1.1178</x:v>
      </x:c>
      <x:c r="G299" s="74" t="n">
        <x:v>-0.0002</x:v>
      </x:c>
      <x:c r="H299" s="66" t="str">
        <x:v>常行7号净值20260911.xlsx</x:v>
      </x:c>
      <x:c r="I299" s="73" t="str">
        <x:f>""</x:f>
      </x:c>
      <x:c r="J299" s="74" t="str">
        <x:f>""</x:f>
      </x:c>
      <x:c r="K299" s="73" t="str">
        <x:f>""</x:f>
      </x:c>
      <x:c r="L299" s="74" t="str">
        <x:f>""</x:f>
      </x:c>
      <x:c r="M299" s="73" t="n">
        <x:f>MAX(M298,F299)</x:f>
        <x:v>1.118</x:v>
      </x:c>
      <x:c r="N299" s="74" t="n">
        <x:f>1-F299/M299</x:f>
        <x:v>0.0001788908765655295</x:v>
      </x:c>
    </x:row>
    <x:row r="300" ht="27" customHeight="1">
      <x:c r="A300" s="66" t="str">
        <x:v>SQH214</x:v>
      </x:c>
      <x:c r="B300" s="66" t="str">
        <x:v>常行7号</x:v>
      </x:c>
      <x:c r="C300" s="72" t="n">
        <x:v>44701</x:v>
      </x:c>
      <x:c r="D300" s="73" t="n">
        <x:v>1.0174</x:v>
      </x:c>
      <x:c r="E300" s="73" t="n">
        <x:v>1.1174</x:v>
      </x:c>
      <x:c r="F300" s="73" t="n">
        <x:v>1.1179</x:v>
      </x:c>
      <x:c r="G300" s="74" t="n">
        <x:v>0.0001</x:v>
      </x:c>
      <x:c r="H300" s="66" t="str">
        <x:v>常行7号净值20260911.xlsx</x:v>
      </x:c>
      <x:c r="I300" s="73" t="str">
        <x:f>""</x:f>
      </x:c>
      <x:c r="J300" s="74" t="str">
        <x:f>""</x:f>
      </x:c>
      <x:c r="K300" s="73" t="str">
        <x:f>""</x:f>
      </x:c>
      <x:c r="L300" s="74" t="str">
        <x:f>""</x:f>
      </x:c>
      <x:c r="M300" s="73" t="n">
        <x:f>MAX(M299,F300)</x:f>
        <x:v>1.118</x:v>
      </x:c>
      <x:c r="N300" s="74" t="n">
        <x:f>1-F300/M300</x:f>
        <x:v>0.00008944543828282026</x:v>
      </x:c>
    </x:row>
    <x:row r="301" ht="27" customHeight="1">
      <x:c r="A301" s="66" t="str">
        <x:v>SQH214</x:v>
      </x:c>
      <x:c r="B301" s="66" t="str">
        <x:v>常行7号</x:v>
      </x:c>
      <x:c r="C301" s="72" t="n">
        <x:v>44708</x:v>
      </x:c>
      <x:c r="D301" s="73" t="n">
        <x:v>1.017</x:v>
      </x:c>
      <x:c r="E301" s="73" t="n">
        <x:v>1.117</x:v>
      </x:c>
      <x:c r="F301" s="73" t="n">
        <x:v>1.1175</x:v>
      </x:c>
      <x:c r="G301" s="74" t="n">
        <x:v>-0.0004</x:v>
      </x:c>
      <x:c r="H301" s="66" t="str">
        <x:v>常行7号净值20260911.xlsx</x:v>
      </x:c>
      <x:c r="I301" s="73" t="str">
        <x:f>""</x:f>
      </x:c>
      <x:c r="J301" s="74" t="str">
        <x:f>""</x:f>
      </x:c>
      <x:c r="K301" s="73" t="str">
        <x:f>""</x:f>
      </x:c>
      <x:c r="L301" s="74" t="str">
        <x:f>""</x:f>
      </x:c>
      <x:c r="M301" s="73" t="n">
        <x:f>MAX(M300,F301)</x:f>
        <x:v>1.118</x:v>
      </x:c>
      <x:c r="N301" s="74" t="n">
        <x:f>1-F301/M301</x:f>
        <x:v>0.00044722719141343514</x:v>
      </x:c>
    </x:row>
    <x:row r="302" ht="27" customHeight="1">
      <x:c r="A302" s="66" t="str">
        <x:v>SQH214</x:v>
      </x:c>
      <x:c r="B302" s="66" t="str">
        <x:v>常行7号</x:v>
      </x:c>
      <x:c r="C302" s="72" t="n">
        <x:v>44714</x:v>
      </x:c>
      <x:c r="D302" s="73" t="n">
        <x:v>1.0184</x:v>
      </x:c>
      <x:c r="E302" s="73" t="n">
        <x:v>1.1184</x:v>
      </x:c>
      <x:c r="F302" s="73" t="n">
        <x:v>1.119</x:v>
      </x:c>
      <x:c r="G302" s="74" t="n">
        <x:v>0.0014000000000000002</x:v>
      </x:c>
      <x:c r="H302" s="66" t="str">
        <x:v>常行7号净值20260911.xlsx</x:v>
      </x:c>
      <x:c r="I302" s="73" t="str">
        <x:f>""</x:f>
      </x:c>
      <x:c r="J302" s="74" t="str">
        <x:f>""</x:f>
      </x:c>
      <x:c r="K302" s="73" t="str">
        <x:f>""</x:f>
      </x:c>
      <x:c r="L302" s="74" t="str">
        <x:f>""</x:f>
      </x:c>
      <x:c r="M302" s="73" t="n">
        <x:f>MAX(M301,F302)</x:f>
        <x:v>1.119</x:v>
      </x:c>
      <x:c r="N302" s="74" t="n">
        <x:f>1-F302/M302</x:f>
        <x:v>0</x:v>
      </x:c>
    </x:row>
    <x:row r="303" ht="27" customHeight="1">
      <x:c r="A303" s="66" t="str">
        <x:v>SQH214</x:v>
      </x:c>
      <x:c r="B303" s="66" t="str">
        <x:v>常行7号</x:v>
      </x:c>
      <x:c r="C303" s="72" t="n">
        <x:v>44722</x:v>
      </x:c>
      <x:c r="D303" s="73" t="n">
        <x:v>1.0198</x:v>
      </x:c>
      <x:c r="E303" s="73" t="n">
        <x:v>1.1198</x:v>
      </x:c>
      <x:c r="F303" s="73" t="n">
        <x:v>1.1206</x:v>
      </x:c>
      <x:c r="G303" s="74" t="n">
        <x:v>0.0014000000000000002</x:v>
      </x:c>
      <x:c r="H303" s="66" t="str">
        <x:v>常行7号净值20260911.xlsx</x:v>
      </x:c>
      <x:c r="I303" s="73" t="str">
        <x:f>""</x:f>
      </x:c>
      <x:c r="J303" s="74" t="str">
        <x:f>""</x:f>
      </x:c>
      <x:c r="K303" s="73" t="str">
        <x:f>""</x:f>
      </x:c>
      <x:c r="L303" s="74" t="str">
        <x:f>""</x:f>
      </x:c>
      <x:c r="M303" s="73" t="n">
        <x:f>MAX(M302,F303)</x:f>
        <x:v>1.1206</x:v>
      </x:c>
      <x:c r="N303" s="74" t="n">
        <x:f>1-F303/M303</x:f>
        <x:v>0</x:v>
      </x:c>
    </x:row>
    <x:row r="304" ht="27" customHeight="1">
      <x:c r="A304" s="66" t="str">
        <x:v>SQH214</x:v>
      </x:c>
      <x:c r="B304" s="66" t="str">
        <x:v>常行7号</x:v>
      </x:c>
      <x:c r="C304" s="72" t="n">
        <x:v>44729</x:v>
      </x:c>
      <x:c r="D304" s="73" t="n">
        <x:v>1.0233</x:v>
      </x:c>
      <x:c r="E304" s="73" t="n">
        <x:v>1.1233</x:v>
      </x:c>
      <x:c r="F304" s="73" t="n">
        <x:v>1.1244</x:v>
      </x:c>
      <x:c r="G304" s="74" t="n">
        <x:v>0.0034000000000000002</x:v>
      </x:c>
      <x:c r="H304" s="66" t="str">
        <x:v>常行7号净值20260911.xlsx</x:v>
      </x:c>
      <x:c r="I304" s="73" t="str">
        <x:f>""</x:f>
      </x:c>
      <x:c r="J304" s="74" t="str">
        <x:f>""</x:f>
      </x:c>
      <x:c r="K304" s="73" t="str">
        <x:f>""</x:f>
      </x:c>
      <x:c r="L304" s="74" t="str">
        <x:f>""</x:f>
      </x:c>
      <x:c r="M304" s="73" t="n">
        <x:f>MAX(M303,F304)</x:f>
        <x:v>1.1244</x:v>
      </x:c>
      <x:c r="N304" s="74" t="n">
        <x:f>1-F304/M304</x:f>
        <x:v>0</x:v>
      </x:c>
    </x:row>
    <x:row r="305" ht="27" customHeight="1">
      <x:c r="A305" s="66" t="str">
        <x:v>SQH214</x:v>
      </x:c>
      <x:c r="B305" s="66" t="str">
        <x:v>常行7号</x:v>
      </x:c>
      <x:c r="C305" s="72" t="n">
        <x:v>44736</x:v>
      </x:c>
      <x:c r="D305" s="73" t="n">
        <x:v>1.024</x:v>
      </x:c>
      <x:c r="E305" s="73" t="n">
        <x:v>1.124</x:v>
      </x:c>
      <x:c r="F305" s="73" t="n">
        <x:v>1.1252</x:v>
      </x:c>
      <x:c r="G305" s="74" t="n">
        <x:v>0.0007000000000000001</x:v>
      </x:c>
      <x:c r="H305" s="66" t="str">
        <x:v>常行7号净值20260911.xlsx</x:v>
      </x:c>
      <x:c r="I305" s="73" t="str">
        <x:f>""</x:f>
      </x:c>
      <x:c r="J305" s="74" t="str">
        <x:f>""</x:f>
      </x:c>
      <x:c r="K305" s="73" t="str">
        <x:f>""</x:f>
      </x:c>
      <x:c r="L305" s="74" t="str">
        <x:f>""</x:f>
      </x:c>
      <x:c r="M305" s="73" t="n">
        <x:f>MAX(M304,F305)</x:f>
        <x:v>1.1252</x:v>
      </x:c>
      <x:c r="N305" s="74" t="n">
        <x:f>1-F305/M305</x:f>
        <x:v>0</x:v>
      </x:c>
    </x:row>
    <x:row r="306" ht="27" customHeight="1">
      <x:c r="A306" s="66" t="str">
        <x:v>SQH214</x:v>
      </x:c>
      <x:c r="B306" s="66" t="str">
        <x:v>常行7号</x:v>
      </x:c>
      <x:c r="C306" s="72" t="n">
        <x:v>44743</x:v>
      </x:c>
      <x:c r="D306" s="73" t="n">
        <x:v>1.0245</x:v>
      </x:c>
      <x:c r="E306" s="73" t="n">
        <x:v>1.1245</x:v>
      </x:c>
      <x:c r="F306" s="73" t="n">
        <x:v>1.1257</x:v>
      </x:c>
      <x:c r="G306" s="74" t="n">
        <x:v>0.0005</x:v>
      </x:c>
      <x:c r="H306" s="66" t="str">
        <x:v>常行7号净值20260911.xlsx</x:v>
      </x:c>
      <x:c r="I306" s="73" t="str">
        <x:f>""</x:f>
      </x:c>
      <x:c r="J306" s="74" t="str">
        <x:f>""</x:f>
      </x:c>
      <x:c r="K306" s="73" t="str">
        <x:f>""</x:f>
      </x:c>
      <x:c r="L306" s="74" t="str">
        <x:f>""</x:f>
      </x:c>
      <x:c r="M306" s="73" t="n">
        <x:f>MAX(M305,F306)</x:f>
        <x:v>1.1257</x:v>
      </x:c>
      <x:c r="N306" s="74" t="n">
        <x:f>1-F306/M306</x:f>
        <x:v>0</x:v>
      </x:c>
    </x:row>
    <x:row r="307" ht="27" customHeight="1">
      <x:c r="A307" s="66" t="str">
        <x:v>SQH214</x:v>
      </x:c>
      <x:c r="B307" s="66" t="str">
        <x:v>常行7号</x:v>
      </x:c>
      <x:c r="C307" s="72" t="n">
        <x:v>44750</x:v>
      </x:c>
      <x:c r="D307" s="73" t="n">
        <x:v>1.0251</x:v>
      </x:c>
      <x:c r="E307" s="73" t="n">
        <x:v>1.1251</x:v>
      </x:c>
      <x:c r="F307" s="73" t="n">
        <x:v>1.1264</x:v>
      </x:c>
      <x:c r="G307" s="74" t="n">
        <x:v>0.0006</x:v>
      </x:c>
      <x:c r="H307" s="66" t="str">
        <x:v>常行7号净值20260911.xlsx</x:v>
      </x:c>
      <x:c r="I307" s="73" t="str">
        <x:f>""</x:f>
      </x:c>
      <x:c r="J307" s="74" t="str">
        <x:f>""</x:f>
      </x:c>
      <x:c r="K307" s="73" t="str">
        <x:f>""</x:f>
      </x:c>
      <x:c r="L307" s="74" t="str">
        <x:f>""</x:f>
      </x:c>
      <x:c r="M307" s="73" t="n">
        <x:f>MAX(M306,F307)</x:f>
        <x:v>1.1264</x:v>
      </x:c>
      <x:c r="N307" s="74" t="n">
        <x:f>1-F307/M307</x:f>
        <x:v>0</x:v>
      </x:c>
    </x:row>
    <x:row r="308" ht="27" customHeight="1">
      <x:c r="A308" s="66" t="str">
        <x:v>SQH214</x:v>
      </x:c>
      <x:c r="B308" s="66" t="str">
        <x:v>常行7号</x:v>
      </x:c>
      <x:c r="C308" s="72" t="n">
        <x:v>44757</x:v>
      </x:c>
      <x:c r="D308" s="73" t="n">
        <x:v>1.0261</x:v>
      </x:c>
      <x:c r="E308" s="73" t="n">
        <x:v>1.1261</x:v>
      </x:c>
      <x:c r="F308" s="73" t="n">
        <x:v>1.1275</x:v>
      </x:c>
      <x:c r="G308" s="74" t="n">
        <x:v>0.001</x:v>
      </x:c>
      <x:c r="H308" s="66" t="str">
        <x:v>常行7号净值20260911.xlsx</x:v>
      </x:c>
      <x:c r="I308" s="73" t="str">
        <x:f>""</x:f>
      </x:c>
      <x:c r="J308" s="74" t="str">
        <x:f>""</x:f>
      </x:c>
      <x:c r="K308" s="73" t="str">
        <x:f>""</x:f>
      </x:c>
      <x:c r="L308" s="74" t="str">
        <x:f>""</x:f>
      </x:c>
      <x:c r="M308" s="73" t="n">
        <x:f>MAX(M307,F308)</x:f>
        <x:v>1.1275</x:v>
      </x:c>
      <x:c r="N308" s="74" t="n">
        <x:f>1-F308/M308</x:f>
        <x:v>0</x:v>
      </x:c>
    </x:row>
    <x:row r="309" ht="27" customHeight="1">
      <x:c r="A309" s="66" t="str">
        <x:v>SQH214</x:v>
      </x:c>
      <x:c r="B309" s="66" t="str">
        <x:v>常行7号</x:v>
      </x:c>
      <x:c r="C309" s="72" t="n">
        <x:v>44764</x:v>
      </x:c>
      <x:c r="D309" s="73" t="n">
        <x:v>1.026</x:v>
      </x:c>
      <x:c r="E309" s="73" t="n">
        <x:v>1.126</x:v>
      </x:c>
      <x:c r="F309" s="73" t="n">
        <x:v>1.1274</x:v>
      </x:c>
      <x:c r="G309" s="74" t="n">
        <x:v>-0.0001</x:v>
      </x:c>
      <x:c r="H309" s="66" t="str">
        <x:v>常行7号净值20260911.xlsx</x:v>
      </x:c>
      <x:c r="I309" s="73" t="str">
        <x:f>""</x:f>
      </x:c>
      <x:c r="J309" s="74" t="str">
        <x:f>""</x:f>
      </x:c>
      <x:c r="K309" s="73" t="str">
        <x:f>""</x:f>
      </x:c>
      <x:c r="L309" s="74" t="str">
        <x:f>""</x:f>
      </x:c>
      <x:c r="M309" s="73" t="n">
        <x:f>MAX(M308,F309)</x:f>
        <x:v>1.1275</x:v>
      </x:c>
      <x:c r="N309" s="74" t="n">
        <x:f>1-F309/M309</x:f>
        <x:v>0.00008869179600889954</x:v>
      </x:c>
    </x:row>
    <x:row r="310" ht="27" customHeight="1">
      <x:c r="A310" s="66" t="str">
        <x:v>SQH214</x:v>
      </x:c>
      <x:c r="B310" s="66" t="str">
        <x:v>常行7号</x:v>
      </x:c>
      <x:c r="C310" s="72" t="n">
        <x:v>44771</x:v>
      </x:c>
      <x:c r="D310" s="73" t="n">
        <x:v>1.0275</x:v>
      </x:c>
      <x:c r="E310" s="73" t="n">
        <x:v>1.1275</x:v>
      </x:c>
      <x:c r="F310" s="73" t="n">
        <x:v>1.129</x:v>
      </x:c>
      <x:c r="G310" s="74" t="n">
        <x:v>0.0015</x:v>
      </x:c>
      <x:c r="H310" s="66" t="str">
        <x:v>常行7号净值20260911.xlsx</x:v>
      </x:c>
      <x:c r="I310" s="73" t="str">
        <x:f>""</x:f>
      </x:c>
      <x:c r="J310" s="74" t="str">
        <x:f>""</x:f>
      </x:c>
      <x:c r="K310" s="73" t="str">
        <x:f>""</x:f>
      </x:c>
      <x:c r="L310" s="74" t="str">
        <x:f>""</x:f>
      </x:c>
      <x:c r="M310" s="73" t="n">
        <x:f>MAX(M309,F310)</x:f>
        <x:v>1.129</x:v>
      </x:c>
      <x:c r="N310" s="74" t="n">
        <x:f>1-F310/M310</x:f>
        <x:v>0</x:v>
      </x:c>
    </x:row>
    <x:row r="311" ht="27" customHeight="1">
      <x:c r="A311" s="66" t="str">
        <x:v>SQH214</x:v>
      </x:c>
      <x:c r="B311" s="66" t="str">
        <x:v>常行7号</x:v>
      </x:c>
      <x:c r="C311" s="72" t="n">
        <x:v>44778</x:v>
      </x:c>
      <x:c r="D311" s="73" t="n">
        <x:v>1.0298</x:v>
      </x:c>
      <x:c r="E311" s="73" t="n">
        <x:v>1.1298</x:v>
      </x:c>
      <x:c r="F311" s="73" t="n">
        <x:v>1.1316</x:v>
      </x:c>
      <x:c r="G311" s="74" t="n">
        <x:v>0.0022</x:v>
      </x:c>
      <x:c r="H311" s="66" t="str">
        <x:v>常行7号净值20260911.xlsx</x:v>
      </x:c>
      <x:c r="I311" s="73" t="str">
        <x:f>""</x:f>
      </x:c>
      <x:c r="J311" s="74" t="str">
        <x:f>""</x:f>
      </x:c>
      <x:c r="K311" s="73" t="str">
        <x:f>""</x:f>
      </x:c>
      <x:c r="L311" s="74" t="str">
        <x:f>""</x:f>
      </x:c>
      <x:c r="M311" s="73" t="n">
        <x:f>MAX(M310,F311)</x:f>
        <x:v>1.1316</x:v>
      </x:c>
      <x:c r="N311" s="74" t="n">
        <x:f>1-F311/M311</x:f>
        <x:v>0</x:v>
      </x:c>
    </x:row>
    <x:row r="312" ht="27" customHeight="1">
      <x:c r="A312" s="66" t="str">
        <x:v>SQH214</x:v>
      </x:c>
      <x:c r="B312" s="66" t="str">
        <x:v>常行7号</x:v>
      </x:c>
      <x:c r="C312" s="72" t="n">
        <x:v>44785</x:v>
      </x:c>
      <x:c r="D312" s="73" t="n">
        <x:v>1.0285</x:v>
      </x:c>
      <x:c r="E312" s="73" t="n">
        <x:v>1.1285</x:v>
      </x:c>
      <x:c r="F312" s="73" t="n">
        <x:v>1.1301</x:v>
      </x:c>
      <x:c r="G312" s="74" t="n">
        <x:v>-0.0013</x:v>
      </x:c>
      <x:c r="H312" s="66" t="str">
        <x:v>常行7号净值20260911.xlsx</x:v>
      </x:c>
      <x:c r="I312" s="73" t="str">
        <x:f>""</x:f>
      </x:c>
      <x:c r="J312" s="74" t="str">
        <x:f>""</x:f>
      </x:c>
      <x:c r="K312" s="73" t="str">
        <x:f>""</x:f>
      </x:c>
      <x:c r="L312" s="74" t="str">
        <x:f>""</x:f>
      </x:c>
      <x:c r="M312" s="73" t="n">
        <x:f>MAX(M311,F312)</x:f>
        <x:v>1.1316</x:v>
      </x:c>
      <x:c r="N312" s="74" t="n">
        <x:f>1-F312/M312</x:f>
        <x:v>0.0013255567338280594</x:v>
      </x:c>
    </x:row>
    <x:row r="313" ht="27" customHeight="1">
      <x:c r="A313" s="66" t="str">
        <x:v>SQH214</x:v>
      </x:c>
      <x:c r="B313" s="66" t="str">
        <x:v>常行7号</x:v>
      </x:c>
      <x:c r="C313" s="72" t="n">
        <x:v>44792</x:v>
      </x:c>
      <x:c r="D313" s="73" t="n">
        <x:v>1.0294</x:v>
      </x:c>
      <x:c r="E313" s="73" t="n">
        <x:v>1.1294</x:v>
      </x:c>
      <x:c r="F313" s="73" t="n">
        <x:v>1.1311</x:v>
      </x:c>
      <x:c r="G313" s="74" t="n">
        <x:v>0.0009</x:v>
      </x:c>
      <x:c r="H313" s="66" t="str">
        <x:v>常行7号净值20260911.xlsx</x:v>
      </x:c>
      <x:c r="I313" s="73" t="str">
        <x:f>""</x:f>
      </x:c>
      <x:c r="J313" s="74" t="str">
        <x:f>""</x:f>
      </x:c>
      <x:c r="K313" s="73" t="str">
        <x:f>""</x:f>
      </x:c>
      <x:c r="L313" s="74" t="str">
        <x:f>""</x:f>
      </x:c>
      <x:c r="M313" s="73" t="n">
        <x:f>MAX(M312,F313)</x:f>
        <x:v>1.1316</x:v>
      </x:c>
      <x:c r="N313" s="74" t="n">
        <x:f>1-F313/M313</x:f>
        <x:v>0.00044185224460935313</x:v>
      </x:c>
    </x:row>
    <x:row r="314" ht="27" customHeight="1">
      <x:c r="A314" s="66" t="str">
        <x:v>SQH214</x:v>
      </x:c>
      <x:c r="B314" s="66" t="str">
        <x:v>常行7号</x:v>
      </x:c>
      <x:c r="C314" s="72" t="n">
        <x:v>44799</x:v>
      </x:c>
      <x:c r="D314" s="73" t="n">
        <x:v>1.0298</x:v>
      </x:c>
      <x:c r="E314" s="73" t="n">
        <x:v>1.1298</x:v>
      </x:c>
      <x:c r="F314" s="73" t="n">
        <x:v>1.1316</x:v>
      </x:c>
      <x:c r="G314" s="74" t="n">
        <x:v>0.0004</x:v>
      </x:c>
      <x:c r="H314" s="66" t="str">
        <x:v>常行7号净值20260911.xlsx</x:v>
      </x:c>
      <x:c r="I314" s="73" t="str">
        <x:f>""</x:f>
      </x:c>
      <x:c r="J314" s="74" t="str">
        <x:f>""</x:f>
      </x:c>
      <x:c r="K314" s="73" t="str">
        <x:f>""</x:f>
      </x:c>
      <x:c r="L314" s="74" t="str">
        <x:f>""</x:f>
      </x:c>
      <x:c r="M314" s="73" t="n">
        <x:f>MAX(M313,F314)</x:f>
        <x:v>1.1316</x:v>
      </x:c>
      <x:c r="N314" s="74" t="n">
        <x:f>1-F314/M314</x:f>
        <x:v>0</x:v>
      </x:c>
    </x:row>
    <x:row r="315" ht="27" customHeight="1">
      <x:c r="A315" s="66" t="str">
        <x:v>SQH214</x:v>
      </x:c>
      <x:c r="B315" s="66" t="str">
        <x:v>常行7号</x:v>
      </x:c>
      <x:c r="C315" s="72" t="n">
        <x:v>44806</x:v>
      </x:c>
      <x:c r="D315" s="73" t="n">
        <x:v>1.031</x:v>
      </x:c>
      <x:c r="E315" s="73" t="n">
        <x:v>1.131</x:v>
      </x:c>
      <x:c r="F315" s="73" t="n">
        <x:v>1.1329</x:v>
      </x:c>
      <x:c r="G315" s="74" t="n">
        <x:v>0.0012</x:v>
      </x:c>
      <x:c r="H315" s="66" t="str">
        <x:v>常行7号净值20260911.xlsx</x:v>
      </x:c>
      <x:c r="I315" s="73" t="str">
        <x:f>""</x:f>
      </x:c>
      <x:c r="J315" s="74" t="str">
        <x:f>""</x:f>
      </x:c>
      <x:c r="K315" s="73" t="str">
        <x:f>""</x:f>
      </x:c>
      <x:c r="L315" s="74" t="str">
        <x:f>""</x:f>
      </x:c>
      <x:c r="M315" s="73" t="n">
        <x:f>MAX(M314,F315)</x:f>
        <x:v>1.1329</x:v>
      </x:c>
      <x:c r="N315" s="74" t="n">
        <x:f>1-F315/M315</x:f>
        <x:v>0</x:v>
      </x:c>
    </x:row>
    <x:row r="316" ht="27" customHeight="1">
      <x:c r="A316" s="66" t="str">
        <x:v>SQH214</x:v>
      </x:c>
      <x:c r="B316" s="66" t="str">
        <x:v>常行7号</x:v>
      </x:c>
      <x:c r="C316" s="72" t="n">
        <x:v>44813</x:v>
      </x:c>
      <x:c r="D316" s="73" t="n">
        <x:v>1.0337</x:v>
      </x:c>
      <x:c r="E316" s="73" t="n">
        <x:v>1.1337</x:v>
      </x:c>
      <x:c r="F316" s="73" t="n">
        <x:v>1.1358</x:v>
      </x:c>
      <x:c r="G316" s="74" t="n">
        <x:v>0.0026</x:v>
      </x:c>
      <x:c r="H316" s="66" t="str">
        <x:v>常行7号净值20260911.xlsx</x:v>
      </x:c>
      <x:c r="I316" s="73" t="str">
        <x:f>""</x:f>
      </x:c>
      <x:c r="J316" s="74" t="str">
        <x:f>""</x:f>
      </x:c>
      <x:c r="K316" s="73" t="str">
        <x:f>""</x:f>
      </x:c>
      <x:c r="L316" s="74" t="str">
        <x:f>""</x:f>
      </x:c>
      <x:c r="M316" s="73" t="n">
        <x:f>MAX(M315,F316)</x:f>
        <x:v>1.1358</x:v>
      </x:c>
      <x:c r="N316" s="74" t="n">
        <x:f>1-F316/M316</x:f>
        <x:v>0</x:v>
      </x:c>
    </x:row>
    <x:row r="317" ht="27" customHeight="1">
      <x:c r="A317" s="66" t="str">
        <x:v>SQH214</x:v>
      </x:c>
      <x:c r="B317" s="66" t="str">
        <x:v>常行7号</x:v>
      </x:c>
      <x:c r="C317" s="72" t="n">
        <x:v>44820</x:v>
      </x:c>
      <x:c r="D317" s="73" t="n">
        <x:v>1.036</x:v>
      </x:c>
      <x:c r="E317" s="73" t="n">
        <x:v>1.136</x:v>
      </x:c>
      <x:c r="F317" s="73" t="n">
        <x:v>1.1384</x:v>
      </x:c>
      <x:c r="G317" s="74" t="n">
        <x:v>0.0022</x:v>
      </x:c>
      <x:c r="H317" s="66" t="str">
        <x:v>常行7号净值20260911.xlsx</x:v>
      </x:c>
      <x:c r="I317" s="73" t="str">
        <x:f>""</x:f>
      </x:c>
      <x:c r="J317" s="74" t="str">
        <x:f>""</x:f>
      </x:c>
      <x:c r="K317" s="73" t="str">
        <x:f>""</x:f>
      </x:c>
      <x:c r="L317" s="74" t="str">
        <x:f>""</x:f>
      </x:c>
      <x:c r="M317" s="73" t="n">
        <x:f>MAX(M316,F317)</x:f>
        <x:v>1.1384</x:v>
      </x:c>
      <x:c r="N317" s="74" t="n">
        <x:f>1-F317/M317</x:f>
        <x:v>0</x:v>
      </x:c>
    </x:row>
    <x:row r="318" ht="27" customHeight="1">
      <x:c r="A318" s="66" t="str">
        <x:v>SQH214</x:v>
      </x:c>
      <x:c r="B318" s="66" t="str">
        <x:v>常行7号</x:v>
      </x:c>
      <x:c r="C318" s="72" t="n">
        <x:v>44827</x:v>
      </x:c>
      <x:c r="D318" s="73" t="n">
        <x:v>1.0352</x:v>
      </x:c>
      <x:c r="E318" s="73" t="n">
        <x:v>1.1352</x:v>
      </x:c>
      <x:c r="F318" s="73" t="n">
        <x:v>1.1375</x:v>
      </x:c>
      <x:c r="G318" s="74" t="n">
        <x:v>-0.0008</x:v>
      </x:c>
      <x:c r="H318" s="66" t="str">
        <x:v>常行7号净值20260911.xlsx</x:v>
      </x:c>
      <x:c r="I318" s="73" t="str">
        <x:f>""</x:f>
      </x:c>
      <x:c r="J318" s="74" t="str">
        <x:f>""</x:f>
      </x:c>
      <x:c r="K318" s="73" t="str">
        <x:f>""</x:f>
      </x:c>
      <x:c r="L318" s="74" t="str">
        <x:f>""</x:f>
      </x:c>
      <x:c r="M318" s="73" t="n">
        <x:f>MAX(M317,F318)</x:f>
        <x:v>1.1384</x:v>
      </x:c>
      <x:c r="N318" s="74" t="n">
        <x:f>1-F318/M318</x:f>
        <x:v>0.0007905832747717723</x:v>
      </x:c>
    </x:row>
    <x:row r="319" ht="27" customHeight="1">
      <x:c r="A319" s="66" t="str">
        <x:v>SQH214</x:v>
      </x:c>
      <x:c r="B319" s="66" t="str">
        <x:v>常行7号</x:v>
      </x:c>
      <x:c r="C319" s="72" t="n">
        <x:v>44834</x:v>
      </x:c>
      <x:c r="D319" s="73" t="n">
        <x:v>1.0349</x:v>
      </x:c>
      <x:c r="E319" s="73" t="n">
        <x:v>1.1349</x:v>
      </x:c>
      <x:c r="F319" s="73" t="n">
        <x:v>1.1372</x:v>
      </x:c>
      <x:c r="G319" s="74" t="n">
        <x:v>-0.0003</x:v>
      </x:c>
      <x:c r="H319" s="66" t="str">
        <x:v>常行7号净值20260911.xlsx</x:v>
      </x:c>
      <x:c r="I319" s="73" t="str">
        <x:f>""</x:f>
      </x:c>
      <x:c r="J319" s="74" t="str">
        <x:f>""</x:f>
      </x:c>
      <x:c r="K319" s="73" t="str">
        <x:f>""</x:f>
      </x:c>
      <x:c r="L319" s="74" t="str">
        <x:f>""</x:f>
      </x:c>
      <x:c r="M319" s="73" t="n">
        <x:f>MAX(M318,F319)</x:f>
        <x:v>1.1384</x:v>
      </x:c>
      <x:c r="N319" s="74" t="n">
        <x:f>1-F319/M319</x:f>
        <x:v>0.0010541110330288816</x:v>
      </x:c>
    </x:row>
    <x:row r="320" ht="27" customHeight="1">
      <x:c r="A320" s="66" t="str">
        <x:v>SQH214</x:v>
      </x:c>
      <x:c r="B320" s="66" t="str">
        <x:v>常行7号</x:v>
      </x:c>
      <x:c r="C320" s="72" t="n">
        <x:v>44848</x:v>
      </x:c>
      <x:c r="D320" s="73" t="n">
        <x:v>1.0395</x:v>
      </x:c>
      <x:c r="E320" s="73" t="n">
        <x:v>1.1395</x:v>
      </x:c>
      <x:c r="F320" s="73" t="n">
        <x:v>1.1422</x:v>
      </x:c>
      <x:c r="G320" s="74" t="n">
        <x:v>0.0044</x:v>
      </x:c>
      <x:c r="H320" s="66" t="str">
        <x:v>常行7号净值20260911.xlsx</x:v>
      </x:c>
      <x:c r="I320" s="73" t="str">
        <x:f>""</x:f>
      </x:c>
      <x:c r="J320" s="74" t="str">
        <x:f>""</x:f>
      </x:c>
      <x:c r="K320" s="73" t="str">
        <x:f>""</x:f>
      </x:c>
      <x:c r="L320" s="74" t="str">
        <x:f>""</x:f>
      </x:c>
      <x:c r="M320" s="73" t="n">
        <x:f>MAX(M319,F320)</x:f>
        <x:v>1.1422</x:v>
      </x:c>
      <x:c r="N320" s="74" t="n">
        <x:f>1-F320/M320</x:f>
        <x:v>0</x:v>
      </x:c>
    </x:row>
    <x:row r="321" ht="27" customHeight="1">
      <x:c r="A321" s="66" t="str">
        <x:v>SQH214</x:v>
      </x:c>
      <x:c r="B321" s="66" t="str">
        <x:v>常行7号</x:v>
      </x:c>
      <x:c r="C321" s="72" t="n">
        <x:v>44855</x:v>
      </x:c>
      <x:c r="D321" s="73" t="n">
        <x:v>1.0404</x:v>
      </x:c>
      <x:c r="E321" s="73" t="n">
        <x:v>1.1404</x:v>
      </x:c>
      <x:c r="F321" s="73" t="n">
        <x:v>1.1432</x:v>
      </x:c>
      <x:c r="G321" s="74" t="n">
        <x:v>0.0009</x:v>
      </x:c>
      <x:c r="H321" s="66" t="str">
        <x:v>常行7号净值20260911.xlsx</x:v>
      </x:c>
      <x:c r="I321" s="73" t="str">
        <x:f>""</x:f>
      </x:c>
      <x:c r="J321" s="74" t="str">
        <x:f>""</x:f>
      </x:c>
      <x:c r="K321" s="73" t="str">
        <x:f>""</x:f>
      </x:c>
      <x:c r="L321" s="74" t="str">
        <x:f>""</x:f>
      </x:c>
      <x:c r="M321" s="73" t="n">
        <x:f>MAX(M320,F321)</x:f>
        <x:v>1.1432</x:v>
      </x:c>
      <x:c r="N321" s="74" t="n">
        <x:f>1-F321/M321</x:f>
        <x:v>0</x:v>
      </x:c>
    </x:row>
    <x:row r="322" ht="27" customHeight="1">
      <x:c r="A322" s="66" t="str">
        <x:v>SQH214</x:v>
      </x:c>
      <x:c r="B322" s="66" t="str">
        <x:v>常行7号</x:v>
      </x:c>
      <x:c r="C322" s="72" t="n">
        <x:v>44862</x:v>
      </x:c>
      <x:c r="D322" s="73" t="n">
        <x:v>1.0423</x:v>
      </x:c>
      <x:c r="E322" s="73" t="n">
        <x:v>1.1423</x:v>
      </x:c>
      <x:c r="F322" s="73" t="n">
        <x:v>1.1453</x:v>
      </x:c>
      <x:c r="G322" s="74" t="n">
        <x:v>0.0018</x:v>
      </x:c>
      <x:c r="H322" s="66" t="str">
        <x:v>常行7号净值20260911.xlsx</x:v>
      </x:c>
      <x:c r="I322" s="73" t="str">
        <x:f>""</x:f>
      </x:c>
      <x:c r="J322" s="74" t="str">
        <x:f>""</x:f>
      </x:c>
      <x:c r="K322" s="73" t="str">
        <x:f>""</x:f>
      </x:c>
      <x:c r="L322" s="74" t="str">
        <x:f>""</x:f>
      </x:c>
      <x:c r="M322" s="73" t="n">
        <x:f>MAX(M321,F322)</x:f>
        <x:v>1.1453</x:v>
      </x:c>
      <x:c r="N322" s="74" t="n">
        <x:f>1-F322/M322</x:f>
        <x:v>0</x:v>
      </x:c>
    </x:row>
    <x:row r="323" ht="27" customHeight="1">
      <x:c r="A323" s="66" t="str">
        <x:v>SQH214</x:v>
      </x:c>
      <x:c r="B323" s="66" t="str">
        <x:v>常行7号</x:v>
      </x:c>
      <x:c r="C323" s="72" t="n">
        <x:v>44869</x:v>
      </x:c>
      <x:c r="D323" s="73" t="n">
        <x:v>1.0451</x:v>
      </x:c>
      <x:c r="E323" s="73" t="n">
        <x:v>1.1451</x:v>
      </x:c>
      <x:c r="F323" s="73" t="n">
        <x:v>1.1484</x:v>
      </x:c>
      <x:c r="G323" s="74" t="n">
        <x:v>0.0027</x:v>
      </x:c>
      <x:c r="H323" s="66" t="str">
        <x:v>常行7号净值20260911.xlsx</x:v>
      </x:c>
      <x:c r="I323" s="73" t="str">
        <x:f>""</x:f>
      </x:c>
      <x:c r="J323" s="74" t="str">
        <x:f>""</x:f>
      </x:c>
      <x:c r="K323" s="73" t="str">
        <x:f>""</x:f>
      </x:c>
      <x:c r="L323" s="74" t="str">
        <x:f>""</x:f>
      </x:c>
      <x:c r="M323" s="73" t="n">
        <x:f>MAX(M322,F323)</x:f>
        <x:v>1.1484</x:v>
      </x:c>
      <x:c r="N323" s="74" t="n">
        <x:f>1-F323/M323</x:f>
        <x:v>0</x:v>
      </x:c>
    </x:row>
    <x:row r="324" ht="27" customHeight="1">
      <x:c r="A324" s="66" t="str">
        <x:v>SQH214</x:v>
      </x:c>
      <x:c r="B324" s="66" t="str">
        <x:v>常行7号</x:v>
      </x:c>
      <x:c r="C324" s="72" t="n">
        <x:v>44876</x:v>
      </x:c>
      <x:c r="D324" s="73" t="n">
        <x:v>1.0468</x:v>
      </x:c>
      <x:c r="E324" s="73" t="n">
        <x:v>1.1468</x:v>
      </x:c>
      <x:c r="F324" s="73" t="n">
        <x:v>1.1502</x:v>
      </x:c>
      <x:c r="G324" s="74" t="n">
        <x:v>0.0016</x:v>
      </x:c>
      <x:c r="H324" s="66" t="str">
        <x:v>常行7号净值20260911.xlsx</x:v>
      </x:c>
      <x:c r="I324" s="73" t="str">
        <x:f>""</x:f>
      </x:c>
      <x:c r="J324" s="74" t="str">
        <x:f>""</x:f>
      </x:c>
      <x:c r="K324" s="73" t="str">
        <x:f>""</x:f>
      </x:c>
      <x:c r="L324" s="74" t="str">
        <x:f>""</x:f>
      </x:c>
      <x:c r="M324" s="73" t="n">
        <x:f>MAX(M323,F324)</x:f>
        <x:v>1.1502</x:v>
      </x:c>
      <x:c r="N324" s="74" t="n">
        <x:f>1-F324/M324</x:f>
        <x:v>0</x:v>
      </x:c>
    </x:row>
    <x:row r="325" ht="27" customHeight="1">
      <x:c r="A325" s="66" t="str">
        <x:v>SQH214</x:v>
      </x:c>
      <x:c r="B325" s="66" t="str">
        <x:v>常行7号</x:v>
      </x:c>
      <x:c r="C325" s="72" t="n">
        <x:v>44883</x:v>
      </x:c>
      <x:c r="D325" s="73" t="n">
        <x:v>1.0477</x:v>
      </x:c>
      <x:c r="E325" s="73" t="n">
        <x:v>1.1477</x:v>
      </x:c>
      <x:c r="F325" s="73" t="n">
        <x:v>1.1512</x:v>
      </x:c>
      <x:c r="G325" s="74" t="n">
        <x:v>0.0009</x:v>
      </x:c>
      <x:c r="H325" s="66" t="str">
        <x:v>常行7号净值20260911.xlsx</x:v>
      </x:c>
      <x:c r="I325" s="73" t="str">
        <x:f>""</x:f>
      </x:c>
      <x:c r="J325" s="74" t="str">
        <x:f>""</x:f>
      </x:c>
      <x:c r="K325" s="73" t="str">
        <x:f>""</x:f>
      </x:c>
      <x:c r="L325" s="74" t="str">
        <x:f>""</x:f>
      </x:c>
      <x:c r="M325" s="73" t="n">
        <x:f>MAX(M324,F325)</x:f>
        <x:v>1.1512</x:v>
      </x:c>
      <x:c r="N325" s="74" t="n">
        <x:f>1-F325/M325</x:f>
        <x:v>0</x:v>
      </x:c>
    </x:row>
    <x:row r="326" ht="27" customHeight="1">
      <x:c r="A326" s="66" t="str">
        <x:v>SQH214</x:v>
      </x:c>
      <x:c r="B326" s="66" t="str">
        <x:v>常行7号</x:v>
      </x:c>
      <x:c r="C326" s="72" t="n">
        <x:v>44890</x:v>
      </x:c>
      <x:c r="D326" s="73" t="n">
        <x:v>1.0475</x:v>
      </x:c>
      <x:c r="E326" s="73" t="n">
        <x:v>1.1475</x:v>
      </x:c>
      <x:c r="F326" s="73" t="n">
        <x:v>1.151</x:v>
      </x:c>
      <x:c r="G326" s="74" t="n">
        <x:v>-0.0002</x:v>
      </x:c>
      <x:c r="H326" s="66" t="str">
        <x:v>常行7号净值20260911.xlsx</x:v>
      </x:c>
      <x:c r="I326" s="73" t="str">
        <x:f>""</x:f>
      </x:c>
      <x:c r="J326" s="74" t="str">
        <x:f>""</x:f>
      </x:c>
      <x:c r="K326" s="73" t="str">
        <x:f>""</x:f>
      </x:c>
      <x:c r="L326" s="74" t="str">
        <x:f>""</x:f>
      </x:c>
      <x:c r="M326" s="73" t="n">
        <x:f>MAX(M325,F326)</x:f>
        <x:v>1.1512</x:v>
      </x:c>
      <x:c r="N326" s="74" t="n">
        <x:f>1-F326/M326</x:f>
        <x:v>0.00017373175816537412</x:v>
      </x:c>
    </x:row>
    <x:row r="327" ht="27" customHeight="1">
      <x:c r="A327" s="66" t="str">
        <x:v>SQH214</x:v>
      </x:c>
      <x:c r="B327" s="66" t="str">
        <x:v>常行7号</x:v>
      </x:c>
      <x:c r="C327" s="72" t="n">
        <x:v>44897</x:v>
      </x:c>
      <x:c r="D327" s="73" t="n">
        <x:v>1.0494</x:v>
      </x:c>
      <x:c r="E327" s="73" t="n">
        <x:v>1.1494</x:v>
      </x:c>
      <x:c r="F327" s="73" t="n">
        <x:v>1.1531</x:v>
      </x:c>
      <x:c r="G327" s="74" t="n">
        <x:v>0.0018</x:v>
      </x:c>
      <x:c r="H327" s="66" t="str">
        <x:v>常行7号净值20260911.xlsx</x:v>
      </x:c>
      <x:c r="I327" s="73" t="str">
        <x:f>""</x:f>
      </x:c>
      <x:c r="J327" s="74" t="str">
        <x:f>""</x:f>
      </x:c>
      <x:c r="K327" s="73" t="str">
        <x:f>""</x:f>
      </x:c>
      <x:c r="L327" s="74" t="str">
        <x:f>""</x:f>
      </x:c>
      <x:c r="M327" s="73" t="n">
        <x:f>MAX(M326,F327)</x:f>
        <x:v>1.1531</x:v>
      </x:c>
      <x:c r="N327" s="74" t="n">
        <x:f>1-F327/M327</x:f>
        <x:v>0</x:v>
      </x:c>
    </x:row>
    <x:row r="328" ht="27" customHeight="1">
      <x:c r="A328" s="66" t="str">
        <x:v>SQH214</x:v>
      </x:c>
      <x:c r="B328" s="66" t="str">
        <x:v>常行7号</x:v>
      </x:c>
      <x:c r="C328" s="72" t="n">
        <x:v>44904</x:v>
      </x:c>
      <x:c r="D328" s="73" t="n">
        <x:v>1.0502</x:v>
      </x:c>
      <x:c r="E328" s="73" t="n">
        <x:v>1.1502</x:v>
      </x:c>
      <x:c r="F328" s="73" t="n">
        <x:v>1.154</x:v>
      </x:c>
      <x:c r="G328" s="74" t="n">
        <x:v>0.0008</x:v>
      </x:c>
      <x:c r="H328" s="66" t="str">
        <x:v>常行7号净值20260911.xlsx</x:v>
      </x:c>
      <x:c r="I328" s="73" t="str">
        <x:f>""</x:f>
      </x:c>
      <x:c r="J328" s="74" t="str">
        <x:f>""</x:f>
      </x:c>
      <x:c r="K328" s="73" t="str">
        <x:f>""</x:f>
      </x:c>
      <x:c r="L328" s="74" t="str">
        <x:f>""</x:f>
      </x:c>
      <x:c r="M328" s="73" t="n">
        <x:f>MAX(M327,F328)</x:f>
        <x:v>1.154</x:v>
      </x:c>
      <x:c r="N328" s="74" t="n">
        <x:f>1-F328/M328</x:f>
        <x:v>0</x:v>
      </x:c>
    </x:row>
    <x:row r="329" ht="27" customHeight="1">
      <x:c r="A329" s="66" t="str">
        <x:v>SQH214</x:v>
      </x:c>
      <x:c r="B329" s="66" t="str">
        <x:v>常行7号</x:v>
      </x:c>
      <x:c r="C329" s="72" t="n">
        <x:v>44911</x:v>
      </x:c>
      <x:c r="D329" s="73" t="n">
        <x:v>1.049</x:v>
      </x:c>
      <x:c r="E329" s="73" t="n">
        <x:v>1.149</x:v>
      </x:c>
      <x:c r="F329" s="73" t="n">
        <x:v>1.1527</x:v>
      </x:c>
      <x:c r="G329" s="74" t="n">
        <x:v>-0.0011</x:v>
      </x:c>
      <x:c r="H329" s="66" t="str">
        <x:v>常行7号净值20260911.xlsx</x:v>
      </x:c>
      <x:c r="I329" s="73" t="str">
        <x:f>""</x:f>
      </x:c>
      <x:c r="J329" s="74" t="str">
        <x:f>""</x:f>
      </x:c>
      <x:c r="K329" s="73" t="str">
        <x:f>""</x:f>
      </x:c>
      <x:c r="L329" s="74" t="str">
        <x:f>""</x:f>
      </x:c>
      <x:c r="M329" s="73" t="n">
        <x:f>MAX(M328,F329)</x:f>
        <x:v>1.154</x:v>
      </x:c>
      <x:c r="N329" s="74" t="n">
        <x:f>1-F329/M329</x:f>
        <x:v>0.001126516464471261</x:v>
      </x:c>
    </x:row>
    <x:row r="330" ht="27" customHeight="1">
      <x:c r="A330" s="66" t="str">
        <x:v>SQH214</x:v>
      </x:c>
      <x:c r="B330" s="66" t="str">
        <x:v>常行7号</x:v>
      </x:c>
      <x:c r="C330" s="72" t="n">
        <x:v>44918</x:v>
      </x:c>
      <x:c r="D330" s="73" t="n">
        <x:v>1.0482</x:v>
      </x:c>
      <x:c r="E330" s="73" t="n">
        <x:v>1.1482</x:v>
      </x:c>
      <x:c r="F330" s="73" t="n">
        <x:v>1.1518</x:v>
      </x:c>
      <x:c r="G330" s="74" t="n">
        <x:v>-0.0008</x:v>
      </x:c>
      <x:c r="H330" s="66" t="str">
        <x:v>常行7号净值20260911.xlsx</x:v>
      </x:c>
      <x:c r="I330" s="73" t="str">
        <x:f>""</x:f>
      </x:c>
      <x:c r="J330" s="74" t="str">
        <x:f>""</x:f>
      </x:c>
      <x:c r="K330" s="73" t="str">
        <x:f>""</x:f>
      </x:c>
      <x:c r="L330" s="74" t="str">
        <x:f>""</x:f>
      </x:c>
      <x:c r="M330" s="73" t="n">
        <x:f>MAX(M329,F330)</x:f>
        <x:v>1.154</x:v>
      </x:c>
      <x:c r="N330" s="74" t="n">
        <x:f>1-F330/M330</x:f>
        <x:v>0.001906412478336228</x:v>
      </x:c>
    </x:row>
    <x:row r="331" ht="27" customHeight="1">
      <x:c r="A331" s="66" t="str">
        <x:v>SQH214</x:v>
      </x:c>
      <x:c r="B331" s="66" t="str">
        <x:v>常行7号</x:v>
      </x:c>
      <x:c r="C331" s="72" t="n">
        <x:v>44925</x:v>
      </x:c>
      <x:c r="D331" s="73" t="n">
        <x:v>1.0486</x:v>
      </x:c>
      <x:c r="E331" s="73" t="n">
        <x:v>1.1486</x:v>
      </x:c>
      <x:c r="F331" s="73" t="n">
        <x:v>1.1522</x:v>
      </x:c>
      <x:c r="G331" s="74" t="n">
        <x:v>0.0004</x:v>
      </x:c>
      <x:c r="H331" s="66" t="str">
        <x:v>常行7号净值20260911.xlsx</x:v>
      </x:c>
      <x:c r="I331" s="73" t="str">
        <x:f>""</x:f>
      </x:c>
      <x:c r="J331" s="74" t="str">
        <x:f>""</x:f>
      </x:c>
      <x:c r="K331" s="73" t="str">
        <x:f>""</x:f>
      </x:c>
      <x:c r="L331" s="74" t="str">
        <x:f>""</x:f>
      </x:c>
      <x:c r="M331" s="73" t="n">
        <x:f>MAX(M330,F331)</x:f>
        <x:v>1.154</x:v>
      </x:c>
      <x:c r="N331" s="74" t="n">
        <x:f>1-F331/M331</x:f>
        <x:v>0.0015597920277297117</x:v>
      </x:c>
    </x:row>
    <x:row r="332" ht="27" customHeight="1">
      <x:c r="A332" s="66" t="str">
        <x:v>SQH214</x:v>
      </x:c>
      <x:c r="B332" s="66" t="str">
        <x:v>常行7号</x:v>
      </x:c>
      <x:c r="C332" s="72" t="n">
        <x:v>44932</x:v>
      </x:c>
      <x:c r="D332" s="73" t="n">
        <x:v>1.0503</x:v>
      </x:c>
      <x:c r="E332" s="73" t="n">
        <x:v>1.1503</x:v>
      </x:c>
      <x:c r="F332" s="73" t="n">
        <x:v>1.1541</x:v>
      </x:c>
      <x:c r="G332" s="74" t="n">
        <x:v>0.0016</x:v>
      </x:c>
      <x:c r="H332" s="66" t="str">
        <x:v>常行7号净值20260911.xlsx</x:v>
      </x:c>
      <x:c r="I332" s="73" t="str">
        <x:f>""</x:f>
      </x:c>
      <x:c r="J332" s="74" t="str">
        <x:f>""</x:f>
      </x:c>
      <x:c r="K332" s="73" t="str">
        <x:f>""</x:f>
      </x:c>
      <x:c r="L332" s="74" t="str">
        <x:f>""</x:f>
      </x:c>
      <x:c r="M332" s="73" t="n">
        <x:f>MAX(M331,F332)</x:f>
        <x:v>1.1541</x:v>
      </x:c>
      <x:c r="N332" s="74" t="n">
        <x:f>1-F332/M332</x:f>
        <x:v>0</x:v>
      </x:c>
    </x:row>
    <x:row r="333" ht="27" customHeight="1">
      <x:c r="A333" s="66" t="str">
        <x:v>SQH214</x:v>
      </x:c>
      <x:c r="B333" s="66" t="str">
        <x:v>常行7号</x:v>
      </x:c>
      <x:c r="C333" s="72" t="n">
        <x:v>44939</x:v>
      </x:c>
      <x:c r="D333" s="73" t="n">
        <x:v>1.0499</x:v>
      </x:c>
      <x:c r="E333" s="73" t="n">
        <x:v>1.1499</x:v>
      </x:c>
      <x:c r="F333" s="73" t="n">
        <x:v>1.1536</x:v>
      </x:c>
      <x:c r="G333" s="74" t="n">
        <x:v>-0.0004</x:v>
      </x:c>
      <x:c r="H333" s="66" t="str">
        <x:v>常行7号净值20260911.xlsx</x:v>
      </x:c>
      <x:c r="I333" s="73" t="str">
        <x:f>""</x:f>
      </x:c>
      <x:c r="J333" s="74" t="str">
        <x:f>""</x:f>
      </x:c>
      <x:c r="K333" s="73" t="str">
        <x:f>""</x:f>
      </x:c>
      <x:c r="L333" s="74" t="str">
        <x:f>""</x:f>
      </x:c>
      <x:c r="M333" s="73" t="n">
        <x:f>MAX(M332,F333)</x:f>
        <x:v>1.1541</x:v>
      </x:c>
      <x:c r="N333" s="74" t="n">
        <x:f>1-F333/M333</x:f>
        <x:v>0.0004332380209686182</x:v>
      </x:c>
    </x:row>
    <x:row r="334" ht="27" customHeight="1">
      <x:c r="A334" s="66" t="str">
        <x:v>SQH214</x:v>
      </x:c>
      <x:c r="B334" s="66" t="str">
        <x:v>常行7号</x:v>
      </x:c>
      <x:c r="C334" s="72" t="n">
        <x:v>44946</x:v>
      </x:c>
      <x:c r="D334" s="73" t="n">
        <x:v>1.0504</x:v>
      </x:c>
      <x:c r="E334" s="73" t="n">
        <x:v>1.1504</x:v>
      </x:c>
      <x:c r="F334" s="73" t="n">
        <x:v>1.1542</x:v>
      </x:c>
      <x:c r="G334" s="74" t="n">
        <x:v>0.0005</x:v>
      </x:c>
      <x:c r="H334" s="66" t="str">
        <x:v>常行7号净值20260911.xlsx</x:v>
      </x:c>
      <x:c r="I334" s="73" t="str">
        <x:f>""</x:f>
      </x:c>
      <x:c r="J334" s="74" t="str">
        <x:f>""</x:f>
      </x:c>
      <x:c r="K334" s="73" t="str">
        <x:f>""</x:f>
      </x:c>
      <x:c r="L334" s="74" t="str">
        <x:f>""</x:f>
      </x:c>
      <x:c r="M334" s="73" t="n">
        <x:f>MAX(M333,F334)</x:f>
        <x:v>1.1542</x:v>
      </x:c>
      <x:c r="N334" s="74" t="n">
        <x:f>1-F334/M334</x:f>
        <x:v>0</x:v>
      </x:c>
    </x:row>
    <x:row r="335" ht="27" customHeight="1">
      <x:c r="A335" s="66" t="str">
        <x:v>SQH214</x:v>
      </x:c>
      <x:c r="B335" s="66" t="str">
        <x:v>常行7号</x:v>
      </x:c>
      <x:c r="C335" s="72" t="n">
        <x:v>44960</x:v>
      </x:c>
      <x:c r="D335" s="73" t="n">
        <x:v>1.051</x:v>
      </x:c>
      <x:c r="E335" s="73" t="n">
        <x:v>1.151</x:v>
      </x:c>
      <x:c r="F335" s="73" t="n">
        <x:v>1.1549</x:v>
      </x:c>
      <x:c r="G335" s="74" t="n">
        <x:v>0.0006</x:v>
      </x:c>
      <x:c r="H335" s="66" t="str">
        <x:v>常行7号净值20260911.xlsx</x:v>
      </x:c>
      <x:c r="I335" s="73" t="str">
        <x:f>""</x:f>
      </x:c>
      <x:c r="J335" s="74" t="str">
        <x:f>""</x:f>
      </x:c>
      <x:c r="K335" s="73" t="str">
        <x:f>""</x:f>
      </x:c>
      <x:c r="L335" s="74" t="str">
        <x:f>""</x:f>
      </x:c>
      <x:c r="M335" s="73" t="n">
        <x:f>MAX(M334,F335)</x:f>
        <x:v>1.1549</x:v>
      </x:c>
      <x:c r="N335" s="74" t="n">
        <x:f>1-F335/M335</x:f>
        <x:v>0</x:v>
      </x:c>
    </x:row>
    <x:row r="336" ht="27" customHeight="1">
      <x:c r="A336" s="66" t="str">
        <x:v>SQH214</x:v>
      </x:c>
      <x:c r="B336" s="66" t="str">
        <x:v>常行7号</x:v>
      </x:c>
      <x:c r="C336" s="72" t="n">
        <x:v>44967</x:v>
      </x:c>
      <x:c r="D336" s="73" t="n">
        <x:v>1.0496</x:v>
      </x:c>
      <x:c r="E336" s="73" t="n">
        <x:v>1.1496</x:v>
      </x:c>
      <x:c r="F336" s="73" t="n">
        <x:v>1.1533</x:v>
      </x:c>
      <x:c r="G336" s="74" t="n">
        <x:v>-0.0013</x:v>
      </x:c>
      <x:c r="H336" s="66" t="str">
        <x:v>常行7号净值20260911.xlsx</x:v>
      </x:c>
      <x:c r="I336" s="73" t="str">
        <x:f>""</x:f>
      </x:c>
      <x:c r="J336" s="74" t="str">
        <x:f>""</x:f>
      </x:c>
      <x:c r="K336" s="73" t="str">
        <x:f>""</x:f>
      </x:c>
      <x:c r="L336" s="74" t="str">
        <x:f>""</x:f>
      </x:c>
      <x:c r="M336" s="73" t="n">
        <x:f>MAX(M335,F336)</x:f>
        <x:v>1.1549</x:v>
      </x:c>
      <x:c r="N336" s="74" t="n">
        <x:f>1-F336/M336</x:f>
        <x:v>0.001385401333448777</x:v>
      </x:c>
    </x:row>
    <x:row r="337" ht="27" customHeight="1">
      <x:c r="A337" s="66" t="str">
        <x:v>SQH214</x:v>
      </x:c>
      <x:c r="B337" s="66" t="str">
        <x:v>常行7号</x:v>
      </x:c>
      <x:c r="C337" s="72" t="n">
        <x:v>44974</x:v>
      </x:c>
      <x:c r="D337" s="73" t="n">
        <x:v>1.0503</x:v>
      </x:c>
      <x:c r="E337" s="73" t="n">
        <x:v>1.1503</x:v>
      </x:c>
      <x:c r="F337" s="73" t="n">
        <x:v>1.1541</x:v>
      </x:c>
      <x:c r="G337" s="74" t="n">
        <x:v>0.0007000000000000001</x:v>
      </x:c>
      <x:c r="H337" s="66" t="str">
        <x:v>常行7号净值20260911.xlsx</x:v>
      </x:c>
      <x:c r="I337" s="73" t="str">
        <x:f>""</x:f>
      </x:c>
      <x:c r="J337" s="74" t="str">
        <x:f>""</x:f>
      </x:c>
      <x:c r="K337" s="73" t="str">
        <x:f>""</x:f>
      </x:c>
      <x:c r="L337" s="74" t="str">
        <x:f>""</x:f>
      </x:c>
      <x:c r="M337" s="73" t="n">
        <x:f>MAX(M336,F337)</x:f>
        <x:v>1.1549</x:v>
      </x:c>
      <x:c r="N337" s="74" t="n">
        <x:f>1-F337/M337</x:f>
        <x:v>0.000692700666724555</x:v>
      </x:c>
    </x:row>
    <x:row r="338" ht="27" customHeight="1">
      <x:c r="A338" s="66" t="str">
        <x:v>SQH214</x:v>
      </x:c>
      <x:c r="B338" s="66" t="str">
        <x:v>常行7号</x:v>
      </x:c>
      <x:c r="C338" s="72" t="n">
        <x:v>44981</x:v>
      </x:c>
      <x:c r="D338" s="73" t="n">
        <x:v>1.0496</x:v>
      </x:c>
      <x:c r="E338" s="73" t="n">
        <x:v>1.1496</x:v>
      </x:c>
      <x:c r="F338" s="73" t="n">
        <x:v>1.1533</x:v>
      </x:c>
      <x:c r="G338" s="74" t="n">
        <x:v>-0.0007000000000000001</x:v>
      </x:c>
      <x:c r="H338" s="66" t="str">
        <x:v>常行7号净值20260911.xlsx</x:v>
      </x:c>
      <x:c r="I338" s="73" t="str">
        <x:f>""</x:f>
      </x:c>
      <x:c r="J338" s="74" t="str">
        <x:f>""</x:f>
      </x:c>
      <x:c r="K338" s="73" t="str">
        <x:f>""</x:f>
      </x:c>
      <x:c r="L338" s="74" t="str">
        <x:f>""</x:f>
      </x:c>
      <x:c r="M338" s="73" t="n">
        <x:f>MAX(M337,F338)</x:f>
        <x:v>1.1549</x:v>
      </x:c>
      <x:c r="N338" s="74" t="n">
        <x:f>1-F338/M338</x:f>
        <x:v>0.001385401333448777</x:v>
      </x:c>
    </x:row>
    <x:row r="339" ht="27" customHeight="1">
      <x:c r="A339" s="66" t="str">
        <x:v>SQH214</x:v>
      </x:c>
      <x:c r="B339" s="66" t="str">
        <x:v>常行7号</x:v>
      </x:c>
      <x:c r="C339" s="72" t="n">
        <x:v>44988</x:v>
      </x:c>
      <x:c r="D339" s="73" t="n">
        <x:v>1.0491</x:v>
      </x:c>
      <x:c r="E339" s="73" t="n">
        <x:v>1.1491</x:v>
      </x:c>
      <x:c r="F339" s="73" t="n">
        <x:v>1.1528</x:v>
      </x:c>
      <x:c r="G339" s="74" t="n">
        <x:v>-0.0005</x:v>
      </x:c>
      <x:c r="H339" s="66" t="str">
        <x:v>常行7号净值20260911.xlsx</x:v>
      </x:c>
      <x:c r="I339" s="73" t="str">
        <x:f>""</x:f>
      </x:c>
      <x:c r="J339" s="74" t="str">
        <x:f>""</x:f>
      </x:c>
      <x:c r="K339" s="73" t="str">
        <x:f>""</x:f>
      </x:c>
      <x:c r="L339" s="74" t="str">
        <x:f>""</x:f>
      </x:c>
      <x:c r="M339" s="73" t="n">
        <x:f>MAX(M338,F339)</x:f>
        <x:v>1.1549</x:v>
      </x:c>
      <x:c r="N339" s="74" t="n">
        <x:f>1-F339/M339</x:f>
        <x:v>0.0018183392501515128</x:v>
      </x:c>
    </x:row>
    <x:row r="340" ht="27" customHeight="1">
      <x:c r="A340" s="66" t="str">
        <x:v>SQH214</x:v>
      </x:c>
      <x:c r="B340" s="66" t="str">
        <x:v>常行7号</x:v>
      </x:c>
      <x:c r="C340" s="72" t="n">
        <x:v>44995</x:v>
      </x:c>
      <x:c r="D340" s="73" t="n">
        <x:v>1.0493</x:v>
      </x:c>
      <x:c r="E340" s="73" t="n">
        <x:v>1.1493</x:v>
      </x:c>
      <x:c r="F340" s="73" t="n">
        <x:v>1.153</x:v>
      </x:c>
      <x:c r="G340" s="74" t="n">
        <x:v>0.0002</x:v>
      </x:c>
      <x:c r="H340" s="66" t="str">
        <x:v>常行7号净值20260911.xlsx</x:v>
      </x:c>
      <x:c r="I340" s="73" t="str">
        <x:f>""</x:f>
      </x:c>
      <x:c r="J340" s="74" t="str">
        <x:f>""</x:f>
      </x:c>
      <x:c r="K340" s="73" t="str">
        <x:f>""</x:f>
      </x:c>
      <x:c r="L340" s="74" t="str">
        <x:f>""</x:f>
      </x:c>
      <x:c r="M340" s="73" t="n">
        <x:f>MAX(M339,F340)</x:f>
        <x:v>1.1549</x:v>
      </x:c>
      <x:c r="N340" s="74" t="n">
        <x:f>1-F340/M340</x:f>
        <x:v>0.001645164083470485</x:v>
      </x:c>
    </x:row>
    <x:row r="341" ht="27" customHeight="1">
      <x:c r="A341" s="66" t="str">
        <x:v>SQH214</x:v>
      </x:c>
      <x:c r="B341" s="66" t="str">
        <x:v>常行7号</x:v>
      </x:c>
      <x:c r="C341" s="72" t="n">
        <x:v>45002</x:v>
      </x:c>
      <x:c r="D341" s="73" t="n">
        <x:v>1.0488</x:v>
      </x:c>
      <x:c r="E341" s="73" t="n">
        <x:v>1.1488</x:v>
      </x:c>
      <x:c r="F341" s="73" t="n">
        <x:v>1.1524</x:v>
      </x:c>
      <x:c r="G341" s="74" t="n">
        <x:v>-0.0005</x:v>
      </x:c>
      <x:c r="H341" s="66" t="str">
        <x:v>常行7号净值20260911.xlsx</x:v>
      </x:c>
      <x:c r="I341" s="73" t="str">
        <x:f>""</x:f>
      </x:c>
      <x:c r="J341" s="74" t="str">
        <x:f>""</x:f>
      </x:c>
      <x:c r="K341" s="73" t="str">
        <x:f>""</x:f>
      </x:c>
      <x:c r="L341" s="74" t="str">
        <x:f>""</x:f>
      </x:c>
      <x:c r="M341" s="73" t="n">
        <x:f>MAX(M340,F341)</x:f>
        <x:v>1.1549</x:v>
      </x:c>
      <x:c r="N341" s="74" t="n">
        <x:f>1-F341/M341</x:f>
        <x:v>0.0021646895835136792</x:v>
      </x:c>
    </x:row>
    <x:row r="342" ht="27" customHeight="1">
      <x:c r="A342" s="66" t="str">
        <x:v>SQH214</x:v>
      </x:c>
      <x:c r="B342" s="66" t="str">
        <x:v>常行7号</x:v>
      </x:c>
      <x:c r="C342" s="72" t="n">
        <x:v>45009</x:v>
      </x:c>
      <x:c r="D342" s="73" t="n">
        <x:v>1.049</x:v>
      </x:c>
      <x:c r="E342" s="73" t="n">
        <x:v>1.149</x:v>
      </x:c>
      <x:c r="F342" s="73" t="n">
        <x:v>1.1527</x:v>
      </x:c>
      <x:c r="G342" s="74" t="n">
        <x:v>0.0002</x:v>
      </x:c>
      <x:c r="H342" s="66" t="str">
        <x:v>常行7号净值20260911.xlsx</x:v>
      </x:c>
      <x:c r="I342" s="73" t="str">
        <x:f>""</x:f>
      </x:c>
      <x:c r="J342" s="74" t="str">
        <x:f>""</x:f>
      </x:c>
      <x:c r="K342" s="73" t="str">
        <x:f>""</x:f>
      </x:c>
      <x:c r="L342" s="74" t="str">
        <x:f>""</x:f>
      </x:c>
      <x:c r="M342" s="73" t="n">
        <x:f>MAX(M341,F342)</x:f>
        <x:v>1.1549</x:v>
      </x:c>
      <x:c r="N342" s="74" t="n">
        <x:f>1-F342/M342</x:f>
        <x:v>0.0019049268334920821</x:v>
      </x:c>
    </x:row>
    <x:row r="343" ht="27" customHeight="1">
      <x:c r="A343" s="66" t="str">
        <x:v>SQH214</x:v>
      </x:c>
      <x:c r="B343" s="66" t="str">
        <x:v>常行7号</x:v>
      </x:c>
      <x:c r="C343" s="72" t="n">
        <x:v>45016</x:v>
      </x:c>
      <x:c r="D343" s="73" t="n">
        <x:v>1.0476</x:v>
      </x:c>
      <x:c r="E343" s="73" t="n">
        <x:v>1.1476</x:v>
      </x:c>
      <x:c r="F343" s="73" t="n">
        <x:v>1.1511</x:v>
      </x:c>
      <x:c r="G343" s="74" t="n">
        <x:v>-0.0013</x:v>
      </x:c>
      <x:c r="H343" s="66" t="str">
        <x:v>常行7号净值20260911.xlsx</x:v>
      </x:c>
      <x:c r="I343" s="73" t="str">
        <x:f>""</x:f>
      </x:c>
      <x:c r="J343" s="74" t="str">
        <x:f>""</x:f>
      </x:c>
      <x:c r="K343" s="73" t="str">
        <x:f>""</x:f>
      </x:c>
      <x:c r="L343" s="74" t="str">
        <x:f>""</x:f>
      </x:c>
      <x:c r="M343" s="73" t="n">
        <x:f>MAX(M342,F343)</x:f>
        <x:v>1.1549</x:v>
      </x:c>
      <x:c r="N343" s="74" t="n">
        <x:f>1-F343/M343</x:f>
        <x:v>0.003290328166940859</x:v>
      </x:c>
    </x:row>
    <x:row r="344" ht="27" customHeight="1">
      <x:c r="A344" s="66" t="str">
        <x:v>SQH214</x:v>
      </x:c>
      <x:c r="B344" s="66" t="str">
        <x:v>常行7号</x:v>
      </x:c>
      <x:c r="C344" s="72" t="n">
        <x:v>45023</x:v>
      </x:c>
      <x:c r="D344" s="73" t="n">
        <x:v>1.0474</x:v>
      </x:c>
      <x:c r="E344" s="73" t="n">
        <x:v>1.1474</x:v>
      </x:c>
      <x:c r="F344" s="73" t="n">
        <x:v>1.1509</x:v>
      </x:c>
      <x:c r="G344" s="74" t="n">
        <x:v>-0.0002</x:v>
      </x:c>
      <x:c r="H344" s="66" t="str">
        <x:v>常行7号净值20260911.xlsx</x:v>
      </x:c>
      <x:c r="I344" s="73" t="str">
        <x:f>""</x:f>
      </x:c>
      <x:c r="J344" s="74" t="str">
        <x:f>""</x:f>
      </x:c>
      <x:c r="K344" s="73" t="str">
        <x:f>""</x:f>
      </x:c>
      <x:c r="L344" s="74" t="str">
        <x:f>""</x:f>
      </x:c>
      <x:c r="M344" s="73" t="n">
        <x:f>MAX(M343,F344)</x:f>
        <x:v>1.1549</x:v>
      </x:c>
      <x:c r="N344" s="74" t="n">
        <x:f>1-F344/M344</x:f>
        <x:v>0.003463503333621998</x:v>
      </x:c>
    </x:row>
    <x:row r="345" ht="27" customHeight="1">
      <x:c r="A345" s="66" t="str">
        <x:v>SQH214</x:v>
      </x:c>
      <x:c r="B345" s="66" t="str">
        <x:v>常行7号</x:v>
      </x:c>
      <x:c r="C345" s="72" t="n">
        <x:v>45030</x:v>
      </x:c>
      <x:c r="D345" s="73" t="n">
        <x:v>1.0475</x:v>
      </x:c>
      <x:c r="E345" s="73" t="n">
        <x:v>1.1475</x:v>
      </x:c>
      <x:c r="F345" s="73" t="n">
        <x:v>1.151</x:v>
      </x:c>
      <x:c r="G345" s="74" t="n">
        <x:v>0.0001</x:v>
      </x:c>
      <x:c r="H345" s="66" t="str">
        <x:v>常行7号净值20260911.xlsx</x:v>
      </x:c>
      <x:c r="I345" s="73" t="str">
        <x:f>""</x:f>
      </x:c>
      <x:c r="J345" s="74" t="str">
        <x:f>""</x:f>
      </x:c>
      <x:c r="K345" s="73" t="str">
        <x:f>""</x:f>
      </x:c>
      <x:c r="L345" s="74" t="str">
        <x:f>""</x:f>
      </x:c>
      <x:c r="M345" s="73" t="n">
        <x:f>MAX(M344,F345)</x:f>
        <x:v>1.1549</x:v>
      </x:c>
      <x:c r="N345" s="74" t="n">
        <x:f>1-F345/M345</x:f>
        <x:v>0.0033769157502814284</x:v>
      </x:c>
    </x:row>
    <x:row r="346" ht="27" customHeight="1">
      <x:c r="A346" s="66" t="str">
        <x:v>SQH214</x:v>
      </x:c>
      <x:c r="B346" s="66" t="str">
        <x:v>常行7号</x:v>
      </x:c>
      <x:c r="C346" s="72" t="n">
        <x:v>45037</x:v>
      </x:c>
      <x:c r="D346" s="73" t="n">
        <x:v>1.0484</x:v>
      </x:c>
      <x:c r="E346" s="73" t="n">
        <x:v>1.1484</x:v>
      </x:c>
      <x:c r="F346" s="73" t="n">
        <x:v>1.152</x:v>
      </x:c>
      <x:c r="G346" s="74" t="n">
        <x:v>0.0009</x:v>
      </x:c>
      <x:c r="H346" s="66" t="str">
        <x:v>常行7号净值20260911.xlsx</x:v>
      </x:c>
      <x:c r="I346" s="73" t="str">
        <x:f>""</x:f>
      </x:c>
      <x:c r="J346" s="74" t="str">
        <x:f>""</x:f>
      </x:c>
      <x:c r="K346" s="73" t="str">
        <x:f>""</x:f>
      </x:c>
      <x:c r="L346" s="74" t="str">
        <x:f>""</x:f>
      </x:c>
      <x:c r="M346" s="73" t="n">
        <x:f>MAX(M345,F346)</x:f>
        <x:v>1.1549</x:v>
      </x:c>
      <x:c r="N346" s="74" t="n">
        <x:f>1-F346/M346</x:f>
        <x:v>0.0025110399168760678</x:v>
      </x:c>
    </x:row>
    <x:row r="347" ht="27" customHeight="1">
      <x:c r="A347" s="66" t="str">
        <x:v>SQH214</x:v>
      </x:c>
      <x:c r="B347" s="66" t="str">
        <x:v>常行7号</x:v>
      </x:c>
      <x:c r="C347" s="72" t="n">
        <x:v>45044</x:v>
      </x:c>
      <x:c r="D347" s="73" t="n">
        <x:v>1.0482</x:v>
      </x:c>
      <x:c r="E347" s="73" t="n">
        <x:v>1.1482</x:v>
      </x:c>
      <x:c r="F347" s="73" t="n">
        <x:v>1.1518</x:v>
      </x:c>
      <x:c r="G347" s="74" t="n">
        <x:v>-0.0002</x:v>
      </x:c>
      <x:c r="H347" s="66" t="str">
        <x:v>常行7号净值20260911.xlsx</x:v>
      </x:c>
      <x:c r="I347" s="73" t="str">
        <x:f>""</x:f>
      </x:c>
      <x:c r="J347" s="74" t="str">
        <x:f>""</x:f>
      </x:c>
      <x:c r="K347" s="73" t="str">
        <x:f>""</x:f>
      </x:c>
      <x:c r="L347" s="74" t="str">
        <x:f>""</x:f>
      </x:c>
      <x:c r="M347" s="73" t="n">
        <x:f>MAX(M346,F347)</x:f>
        <x:v>1.1549</x:v>
      </x:c>
      <x:c r="N347" s="74" t="n">
        <x:f>1-F347/M347</x:f>
        <x:v>0.0026842150835570955</x:v>
      </x:c>
    </x:row>
    <x:row r="348" ht="27" customHeight="1">
      <x:c r="A348" s="66" t="str">
        <x:v>SQH214</x:v>
      </x:c>
      <x:c r="B348" s="66" t="str">
        <x:v>常行7号</x:v>
      </x:c>
      <x:c r="C348" s="72" t="n">
        <x:v>45051</x:v>
      </x:c>
      <x:c r="D348" s="73" t="n">
        <x:v>1.049</x:v>
      </x:c>
      <x:c r="E348" s="73" t="n">
        <x:v>1.149</x:v>
      </x:c>
      <x:c r="F348" s="73" t="n">
        <x:v>1.1527</x:v>
      </x:c>
      <x:c r="G348" s="74" t="n">
        <x:v>0.0008</x:v>
      </x:c>
      <x:c r="H348" s="66" t="str">
        <x:v>常行7号净值20260911.xlsx</x:v>
      </x:c>
      <x:c r="I348" s="73" t="str">
        <x:f>""</x:f>
      </x:c>
      <x:c r="J348" s="74" t="str">
        <x:f>""</x:f>
      </x:c>
      <x:c r="K348" s="73" t="str">
        <x:f>""</x:f>
      </x:c>
      <x:c r="L348" s="74" t="str">
        <x:f>""</x:f>
      </x:c>
      <x:c r="M348" s="73" t="n">
        <x:f>MAX(M347,F348)</x:f>
        <x:v>1.1549</x:v>
      </x:c>
      <x:c r="N348" s="74" t="n">
        <x:f>1-F348/M348</x:f>
        <x:v>0.0019049268334920821</x:v>
      </x:c>
    </x:row>
    <x:row r="349" ht="27" customHeight="1">
      <x:c r="A349" s="66" t="str">
        <x:v>SQH214</x:v>
      </x:c>
      <x:c r="B349" s="66" t="str">
        <x:v>常行7号</x:v>
      </x:c>
      <x:c r="C349" s="72" t="n">
        <x:v>45058</x:v>
      </x:c>
      <x:c r="D349" s="73" t="n">
        <x:v>1.0515</x:v>
      </x:c>
      <x:c r="E349" s="73" t="n">
        <x:v>1.1515</x:v>
      </x:c>
      <x:c r="F349" s="73" t="n">
        <x:v>1.1554</x:v>
      </x:c>
      <x:c r="G349" s="74" t="n">
        <x:v>0.0024</x:v>
      </x:c>
      <x:c r="H349" s="66" t="str">
        <x:v>常行7号净值20260911.xlsx</x:v>
      </x:c>
      <x:c r="I349" s="73" t="str">
        <x:f>""</x:f>
      </x:c>
      <x:c r="J349" s="74" t="str">
        <x:f>""</x:f>
      </x:c>
      <x:c r="K349" s="73" t="str">
        <x:f>""</x:f>
      </x:c>
      <x:c r="L349" s="74" t="str">
        <x:f>""</x:f>
      </x:c>
      <x:c r="M349" s="73" t="n">
        <x:f>MAX(M348,F349)</x:f>
        <x:v>1.1554</x:v>
      </x:c>
      <x:c r="N349" s="74" t="n">
        <x:f>1-F349/M349</x:f>
        <x:v>0</x:v>
      </x:c>
    </x:row>
    <x:row r="350" ht="27" customHeight="1">
      <x:c r="A350" s="66" t="str">
        <x:v>SQH214</x:v>
      </x:c>
      <x:c r="B350" s="66" t="str">
        <x:v>常行7号</x:v>
      </x:c>
      <x:c r="C350" s="72" t="n">
        <x:v>45065</x:v>
      </x:c>
      <x:c r="D350" s="73" t="n">
        <x:v>1.0522</x:v>
      </x:c>
      <x:c r="E350" s="73" t="n">
        <x:v>1.1522</x:v>
      </x:c>
      <x:c r="F350" s="73" t="n">
        <x:v>1.1562</x:v>
      </x:c>
      <x:c r="G350" s="74" t="n">
        <x:v>0.0007000000000000001</x:v>
      </x:c>
      <x:c r="H350" s="66" t="str">
        <x:v>常行7号净值20260911.xlsx</x:v>
      </x:c>
      <x:c r="I350" s="73" t="str">
        <x:f>""</x:f>
      </x:c>
      <x:c r="J350" s="74" t="str">
        <x:f>""</x:f>
      </x:c>
      <x:c r="K350" s="73" t="str">
        <x:f>""</x:f>
      </x:c>
      <x:c r="L350" s="74" t="str">
        <x:f>""</x:f>
      </x:c>
      <x:c r="M350" s="73" t="n">
        <x:f>MAX(M349,F350)</x:f>
        <x:v>1.1562</x:v>
      </x:c>
      <x:c r="N350" s="74" t="n">
        <x:f>1-F350/M350</x:f>
        <x:v>0</x:v>
      </x:c>
    </x:row>
    <x:row r="351" ht="27" customHeight="1">
      <x:c r="A351" s="66" t="str">
        <x:v>SQH214</x:v>
      </x:c>
      <x:c r="B351" s="66" t="str">
        <x:v>常行7号</x:v>
      </x:c>
      <x:c r="C351" s="72" t="n">
        <x:v>45072</x:v>
      </x:c>
      <x:c r="D351" s="73" t="n">
        <x:v>1.053</x:v>
      </x:c>
      <x:c r="E351" s="73" t="n">
        <x:v>1.153</x:v>
      </x:c>
      <x:c r="F351" s="73" t="n">
        <x:v>1.1571</x:v>
      </x:c>
      <x:c r="G351" s="74" t="n">
        <x:v>0.0008</x:v>
      </x:c>
      <x:c r="H351" s="66" t="str">
        <x:v>常行7号净值20260911.xlsx</x:v>
      </x:c>
      <x:c r="I351" s="73" t="str">
        <x:f>""</x:f>
      </x:c>
      <x:c r="J351" s="74" t="str">
        <x:f>""</x:f>
      </x:c>
      <x:c r="K351" s="73" t="str">
        <x:f>""</x:f>
      </x:c>
      <x:c r="L351" s="74" t="str">
        <x:f>""</x:f>
      </x:c>
      <x:c r="M351" s="73" t="n">
        <x:f>MAX(M350,F351)</x:f>
        <x:v>1.1571</x:v>
      </x:c>
      <x:c r="N351" s="74" t="n">
        <x:f>1-F351/M351</x:f>
        <x:v>0</x:v>
      </x:c>
    </x:row>
    <x:row r="352" ht="27" customHeight="1">
      <x:c r="A352" s="66" t="str">
        <x:v>SQH214</x:v>
      </x:c>
      <x:c r="B352" s="66" t="str">
        <x:v>常行7号</x:v>
      </x:c>
      <x:c r="C352" s="72" t="n">
        <x:v>45079</x:v>
      </x:c>
      <x:c r="D352" s="73" t="n">
        <x:v>1.053</x:v>
      </x:c>
      <x:c r="E352" s="73" t="n">
        <x:v>1.153</x:v>
      </x:c>
      <x:c r="F352" s="73" t="n">
        <x:v>1.1571</x:v>
      </x:c>
      <x:c r="G352" s="74" t="n">
        <x:v>0</x:v>
      </x:c>
      <x:c r="H352" s="66" t="str">
        <x:v>常行7号净值20260911.xlsx</x:v>
      </x:c>
      <x:c r="I352" s="73" t="str">
        <x:f>""</x:f>
      </x:c>
      <x:c r="J352" s="74" t="str">
        <x:f>""</x:f>
      </x:c>
      <x:c r="K352" s="73" t="str">
        <x:f>""</x:f>
      </x:c>
      <x:c r="L352" s="74" t="str">
        <x:f>""</x:f>
      </x:c>
      <x:c r="M352" s="73" t="n">
        <x:f>MAX(M351,F352)</x:f>
        <x:v>1.1571</x:v>
      </x:c>
      <x:c r="N352" s="74" t="n">
        <x:f>1-F352/M352</x:f>
        <x:v>0</x:v>
      </x:c>
    </x:row>
    <x:row r="353" ht="27" customHeight="1">
      <x:c r="A353" s="66" t="str">
        <x:v>SQH214</x:v>
      </x:c>
      <x:c r="B353" s="66" t="str">
        <x:v>常行7号</x:v>
      </x:c>
      <x:c r="C353" s="72" t="n">
        <x:v>45086</x:v>
      </x:c>
      <x:c r="D353" s="73" t="n">
        <x:v>1.0548</x:v>
      </x:c>
      <x:c r="E353" s="73" t="n">
        <x:v>1.1548</x:v>
      </x:c>
      <x:c r="F353" s="73" t="n">
        <x:v>1.159</x:v>
      </x:c>
      <x:c r="G353" s="74" t="n">
        <x:v>0.0017000000000000001</x:v>
      </x:c>
      <x:c r="H353" s="66" t="str">
        <x:v>常行7号净值20260911.xlsx</x:v>
      </x:c>
      <x:c r="I353" s="73" t="str">
        <x:f>""</x:f>
      </x:c>
      <x:c r="J353" s="74" t="str">
        <x:f>""</x:f>
      </x:c>
      <x:c r="K353" s="73" t="str">
        <x:f>""</x:f>
      </x:c>
      <x:c r="L353" s="74" t="str">
        <x:f>""</x:f>
      </x:c>
      <x:c r="M353" s="73" t="n">
        <x:f>MAX(M352,F353)</x:f>
        <x:v>1.159</x:v>
      </x:c>
      <x:c r="N353" s="74" t="n">
        <x:f>1-F353/M353</x:f>
        <x:v>0</x:v>
      </x:c>
    </x:row>
    <x:row r="354" ht="27" customHeight="1">
      <x:c r="A354" s="66" t="str">
        <x:v>SQH214</x:v>
      </x:c>
      <x:c r="B354" s="66" t="str">
        <x:v>常行7号</x:v>
      </x:c>
      <x:c r="C354" s="72" t="n">
        <x:v>45093</x:v>
      </x:c>
      <x:c r="D354" s="73" t="n">
        <x:v>1.057</x:v>
      </x:c>
      <x:c r="E354" s="73" t="n">
        <x:v>1.157</x:v>
      </x:c>
      <x:c r="F354" s="73" t="n">
        <x:v>1.1614</x:v>
      </x:c>
      <x:c r="G354" s="74" t="n">
        <x:v>0.0021</x:v>
      </x:c>
      <x:c r="H354" s="66" t="str">
        <x:v>常行7号净值20260911.xlsx</x:v>
      </x:c>
      <x:c r="I354" s="73" t="str">
        <x:f>""</x:f>
      </x:c>
      <x:c r="J354" s="74" t="str">
        <x:f>""</x:f>
      </x:c>
      <x:c r="K354" s="73" t="str">
        <x:f>""</x:f>
      </x:c>
      <x:c r="L354" s="74" t="str">
        <x:f>""</x:f>
      </x:c>
      <x:c r="M354" s="73" t="n">
        <x:f>MAX(M353,F354)</x:f>
        <x:v>1.1614</x:v>
      </x:c>
      <x:c r="N354" s="74" t="n">
        <x:f>1-F354/M354</x:f>
        <x:v>0</x:v>
      </x:c>
    </x:row>
    <x:row r="355" ht="27" customHeight="1">
      <x:c r="A355" s="66" t="str">
        <x:v>SQH214</x:v>
      </x:c>
      <x:c r="B355" s="66" t="str">
        <x:v>常行7号</x:v>
      </x:c>
      <x:c r="C355" s="72" t="n">
        <x:v>45098</x:v>
      </x:c>
      <x:c r="D355" s="73" t="n">
        <x:v>1.057</x:v>
      </x:c>
      <x:c r="E355" s="73" t="n">
        <x:v>1.157</x:v>
      </x:c>
      <x:c r="F355" s="73" t="n">
        <x:v>1.1614</x:v>
      </x:c>
      <x:c r="G355" s="74" t="n">
        <x:v>0</x:v>
      </x:c>
      <x:c r="H355" s="66" t="str">
        <x:v>常行7号净值20260911.xlsx</x:v>
      </x:c>
      <x:c r="I355" s="73" t="str">
        <x:f>""</x:f>
      </x:c>
      <x:c r="J355" s="74" t="str">
        <x:f>""</x:f>
      </x:c>
      <x:c r="K355" s="73" t="str">
        <x:f>""</x:f>
      </x:c>
      <x:c r="L355" s="74" t="str">
        <x:f>""</x:f>
      </x:c>
      <x:c r="M355" s="73" t="n">
        <x:f>MAX(M354,F355)</x:f>
        <x:v>1.1614</x:v>
      </x:c>
      <x:c r="N355" s="74" t="n">
        <x:f>1-F355/M355</x:f>
        <x:v>0</x:v>
      </x:c>
    </x:row>
    <x:row r="356" ht="27" customHeight="1">
      <x:c r="A356" s="66" t="str">
        <x:v>SQH214</x:v>
      </x:c>
      <x:c r="B356" s="66" t="str">
        <x:v>常行7号</x:v>
      </x:c>
      <x:c r="C356" s="72" t="n">
        <x:v>45107</x:v>
      </x:c>
      <x:c r="D356" s="73" t="n">
        <x:v>1.0571</x:v>
      </x:c>
      <x:c r="E356" s="73" t="n">
        <x:v>1.1571</x:v>
      </x:c>
      <x:c r="F356" s="73" t="n">
        <x:v>1.1616</x:v>
      </x:c>
      <x:c r="G356" s="74" t="n">
        <x:v>0.0001</x:v>
      </x:c>
      <x:c r="H356" s="66" t="str">
        <x:v>常行7号净值20260911.xlsx</x:v>
      </x:c>
      <x:c r="I356" s="73" t="str">
        <x:f>""</x:f>
      </x:c>
      <x:c r="J356" s="74" t="str">
        <x:f>""</x:f>
      </x:c>
      <x:c r="K356" s="73" t="str">
        <x:f>""</x:f>
      </x:c>
      <x:c r="L356" s="74" t="str">
        <x:f>""</x:f>
      </x:c>
      <x:c r="M356" s="73" t="n">
        <x:f>MAX(M355,F356)</x:f>
        <x:v>1.1616</x:v>
      </x:c>
      <x:c r="N356" s="74" t="n">
        <x:f>1-F356/M356</x:f>
        <x:v>0</x:v>
      </x:c>
    </x:row>
    <x:row r="357" ht="27" customHeight="1">
      <x:c r="A357" s="66" t="str">
        <x:v>SQH214</x:v>
      </x:c>
      <x:c r="B357" s="66" t="str">
        <x:v>常行7号</x:v>
      </x:c>
      <x:c r="C357" s="72" t="n">
        <x:v>45114</x:v>
      </x:c>
      <x:c r="D357" s="73" t="n">
        <x:v>1.0576</x:v>
      </x:c>
      <x:c r="E357" s="73" t="n">
        <x:v>1.1576</x:v>
      </x:c>
      <x:c r="F357" s="73" t="n">
        <x:v>1.1621</x:v>
      </x:c>
      <x:c r="G357" s="74" t="n">
        <x:v>0.0005</x:v>
      </x:c>
      <x:c r="H357" s="66" t="str">
        <x:v>常行7号净值20260911.xlsx</x:v>
      </x:c>
      <x:c r="I357" s="73" t="str">
        <x:f>""</x:f>
      </x:c>
      <x:c r="J357" s="74" t="str">
        <x:f>""</x:f>
      </x:c>
      <x:c r="K357" s="73" t="str">
        <x:f>""</x:f>
      </x:c>
      <x:c r="L357" s="74" t="str">
        <x:f>""</x:f>
      </x:c>
      <x:c r="M357" s="73" t="n">
        <x:f>MAX(M356,F357)</x:f>
        <x:v>1.1621</x:v>
      </x:c>
      <x:c r="N357" s="74" t="n">
        <x:f>1-F357/M357</x:f>
        <x:v>0</x:v>
      </x:c>
    </x:row>
    <x:row r="358" ht="27" customHeight="1">
      <x:c r="A358" s="66" t="str">
        <x:v>SQH214</x:v>
      </x:c>
      <x:c r="B358" s="66" t="str">
        <x:v>常行7号</x:v>
      </x:c>
      <x:c r="C358" s="72" t="n">
        <x:v>45121</x:v>
      </x:c>
      <x:c r="D358" s="73" t="n">
        <x:v>1.0587</x:v>
      </x:c>
      <x:c r="E358" s="73" t="n">
        <x:v>1.1587</x:v>
      </x:c>
      <x:c r="F358" s="73" t="n">
        <x:v>1.1633</x:v>
      </x:c>
      <x:c r="G358" s="74" t="n">
        <x:v>0.001</x:v>
      </x:c>
      <x:c r="H358" s="66" t="str">
        <x:v>常行7号净值20260911.xlsx</x:v>
      </x:c>
      <x:c r="I358" s="73" t="str">
        <x:f>""</x:f>
      </x:c>
      <x:c r="J358" s="74" t="str">
        <x:f>""</x:f>
      </x:c>
      <x:c r="K358" s="73" t="str">
        <x:f>""</x:f>
      </x:c>
      <x:c r="L358" s="74" t="str">
        <x:f>""</x:f>
      </x:c>
      <x:c r="M358" s="73" t="n">
        <x:f>MAX(M357,F358)</x:f>
        <x:v>1.1633</x:v>
      </x:c>
      <x:c r="N358" s="74" t="n">
        <x:f>1-F358/M358</x:f>
        <x:v>0</x:v>
      </x:c>
    </x:row>
    <x:row r="359" ht="27" customHeight="1">
      <x:c r="A359" s="66" t="str">
        <x:v>SQH214</x:v>
      </x:c>
      <x:c r="B359" s="66" t="str">
        <x:v>常行7号</x:v>
      </x:c>
      <x:c r="C359" s="72" t="n">
        <x:v>45128</x:v>
      </x:c>
      <x:c r="D359" s="73" t="n">
        <x:v>1.0582</x:v>
      </x:c>
      <x:c r="E359" s="73" t="n">
        <x:v>1.1582</x:v>
      </x:c>
      <x:c r="F359" s="73" t="n">
        <x:v>1.1628</x:v>
      </x:c>
      <x:c r="G359" s="74" t="n">
        <x:v>-0.0005</x:v>
      </x:c>
      <x:c r="H359" s="66" t="str">
        <x:v>常行7号净值20260911.xlsx</x:v>
      </x:c>
      <x:c r="I359" s="73" t="str">
        <x:f>""</x:f>
      </x:c>
      <x:c r="J359" s="74" t="str">
        <x:f>""</x:f>
      </x:c>
      <x:c r="K359" s="73" t="str">
        <x:f>""</x:f>
      </x:c>
      <x:c r="L359" s="74" t="str">
        <x:f>""</x:f>
      </x:c>
      <x:c r="M359" s="73" t="n">
        <x:f>MAX(M358,F359)</x:f>
        <x:v>1.1633</x:v>
      </x:c>
      <x:c r="N359" s="74" t="n">
        <x:f>1-F359/M359</x:f>
        <x:v>0.0004298117424567094</x:v>
      </x:c>
    </x:row>
    <x:row r="360" ht="27" customHeight="1">
      <x:c r="A360" s="66" t="str">
        <x:v>SQH214</x:v>
      </x:c>
      <x:c r="B360" s="66" t="str">
        <x:v>常行7号</x:v>
      </x:c>
      <x:c r="C360" s="72" t="n">
        <x:v>45135</x:v>
      </x:c>
      <x:c r="D360" s="73" t="n">
        <x:v>1.0584</x:v>
      </x:c>
      <x:c r="E360" s="73" t="n">
        <x:v>1.1584</x:v>
      </x:c>
      <x:c r="F360" s="73" t="n">
        <x:v>1.163</x:v>
      </x:c>
      <x:c r="G360" s="74" t="n">
        <x:v>0.0002</x:v>
      </x:c>
      <x:c r="H360" s="66" t="str">
        <x:v>常行7号净值20260911.xlsx</x:v>
      </x:c>
      <x:c r="I360" s="73" t="str">
        <x:f>""</x:f>
      </x:c>
      <x:c r="J360" s="74" t="str">
        <x:f>""</x:f>
      </x:c>
      <x:c r="K360" s="73" t="str">
        <x:f>""</x:f>
      </x:c>
      <x:c r="L360" s="74" t="str">
        <x:f>""</x:f>
      </x:c>
      <x:c r="M360" s="73" t="n">
        <x:f>MAX(M359,F360)</x:f>
        <x:v>1.1633</x:v>
      </x:c>
      <x:c r="N360" s="74" t="n">
        <x:f>1-F360/M360</x:f>
        <x:v>0.00025788704547402563</x:v>
      </x:c>
    </x:row>
    <x:row r="361" ht="27" customHeight="1">
      <x:c r="A361" s="66" t="str">
        <x:v>SQH214</x:v>
      </x:c>
      <x:c r="B361" s="66" t="str">
        <x:v>常行7号</x:v>
      </x:c>
      <x:c r="C361" s="72" t="n">
        <x:v>45142</x:v>
      </x:c>
      <x:c r="D361" s="73" t="n">
        <x:v>1.059</x:v>
      </x:c>
      <x:c r="E361" s="73" t="n">
        <x:v>1.159</x:v>
      </x:c>
      <x:c r="F361" s="73" t="n">
        <x:v>1.1636</x:v>
      </x:c>
      <x:c r="G361" s="74" t="n">
        <x:v>0.0006</x:v>
      </x:c>
      <x:c r="H361" s="66" t="str">
        <x:v>常行7号净值20260911.xlsx</x:v>
      </x:c>
      <x:c r="I361" s="73" t="str">
        <x:f>""</x:f>
      </x:c>
      <x:c r="J361" s="74" t="str">
        <x:f>""</x:f>
      </x:c>
      <x:c r="K361" s="73" t="str">
        <x:f>""</x:f>
      </x:c>
      <x:c r="L361" s="74" t="str">
        <x:f>""</x:f>
      </x:c>
      <x:c r="M361" s="73" t="n">
        <x:f>MAX(M360,F361)</x:f>
        <x:v>1.1636</x:v>
      </x:c>
      <x:c r="N361" s="74" t="n">
        <x:f>1-F361/M361</x:f>
        <x:v>0</x:v>
      </x:c>
    </x:row>
    <x:row r="362" ht="27" customHeight="1">
      <x:c r="A362" s="66" t="str">
        <x:v>SQH214</x:v>
      </x:c>
      <x:c r="B362" s="66" t="str">
        <x:v>常行7号</x:v>
      </x:c>
      <x:c r="C362" s="72" t="n">
        <x:v>45149</x:v>
      </x:c>
      <x:c r="D362" s="73" t="n">
        <x:v>1.0591</x:v>
      </x:c>
      <x:c r="E362" s="73" t="n">
        <x:v>1.1591</x:v>
      </x:c>
      <x:c r="F362" s="73" t="n">
        <x:v>1.1638</x:v>
      </x:c>
      <x:c r="G362" s="74" t="n">
        <x:v>0.0001</x:v>
      </x:c>
      <x:c r="H362" s="66" t="str">
        <x:v>常行7号净值20260911.xlsx</x:v>
      </x:c>
      <x:c r="I362" s="73" t="str">
        <x:f>""</x:f>
      </x:c>
      <x:c r="J362" s="74" t="str">
        <x:f>""</x:f>
      </x:c>
      <x:c r="K362" s="73" t="str">
        <x:f>""</x:f>
      </x:c>
      <x:c r="L362" s="74" t="str">
        <x:f>""</x:f>
      </x:c>
      <x:c r="M362" s="73" t="n">
        <x:f>MAX(M361,F362)</x:f>
        <x:v>1.1638</x:v>
      </x:c>
      <x:c r="N362" s="74" t="n">
        <x:f>1-F362/M362</x:f>
        <x:v>0</x:v>
      </x:c>
    </x:row>
    <x:row r="363" ht="27" customHeight="1">
      <x:c r="A363" s="66" t="str">
        <x:v>SQH214</x:v>
      </x:c>
      <x:c r="B363" s="66" t="str">
        <x:v>常行7号</x:v>
      </x:c>
      <x:c r="C363" s="72" t="n">
        <x:v>45156</x:v>
      </x:c>
      <x:c r="D363" s="73" t="n">
        <x:v>1.0603</x:v>
      </x:c>
      <x:c r="E363" s="73" t="n">
        <x:v>1.1603</x:v>
      </x:c>
      <x:c r="F363" s="73" t="n">
        <x:v>1.1651</x:v>
      </x:c>
      <x:c r="G363" s="74" t="n">
        <x:v>0.0011</x:v>
      </x:c>
      <x:c r="H363" s="66" t="str">
        <x:v>常行7号净值20260911.xlsx</x:v>
      </x:c>
      <x:c r="I363" s="73" t="str">
        <x:f>""</x:f>
      </x:c>
      <x:c r="J363" s="74" t="str">
        <x:f>""</x:f>
      </x:c>
      <x:c r="K363" s="73" t="str">
        <x:f>""</x:f>
      </x:c>
      <x:c r="L363" s="74" t="str">
        <x:f>""</x:f>
      </x:c>
      <x:c r="M363" s="73" t="n">
        <x:f>MAX(M362,F363)</x:f>
        <x:v>1.1651</x:v>
      </x:c>
      <x:c r="N363" s="74" t="n">
        <x:f>1-F363/M363</x:f>
        <x:v>0</x:v>
      </x:c>
    </x:row>
    <x:row r="364" ht="27" customHeight="1">
      <x:c r="A364" s="66" t="str">
        <x:v>SQH214</x:v>
      </x:c>
      <x:c r="B364" s="66" t="str">
        <x:v>常行7号</x:v>
      </x:c>
      <x:c r="C364" s="72" t="n">
        <x:v>45163</x:v>
      </x:c>
      <x:c r="D364" s="73" t="n">
        <x:v>1.0597</x:v>
      </x:c>
      <x:c r="E364" s="73" t="n">
        <x:v>1.1597</x:v>
      </x:c>
      <x:c r="F364" s="73" t="n">
        <x:v>1.1644</x:v>
      </x:c>
      <x:c r="G364" s="74" t="n">
        <x:v>-0.0006</x:v>
      </x:c>
      <x:c r="H364" s="66" t="str">
        <x:v>常行7号净值20260911.xlsx</x:v>
      </x:c>
      <x:c r="I364" s="73" t="str">
        <x:f>""</x:f>
      </x:c>
      <x:c r="J364" s="74" t="str">
        <x:f>""</x:f>
      </x:c>
      <x:c r="K364" s="73" t="str">
        <x:f>""</x:f>
      </x:c>
      <x:c r="L364" s="74" t="str">
        <x:f>""</x:f>
      </x:c>
      <x:c r="M364" s="73" t="n">
        <x:f>MAX(M363,F364)</x:f>
        <x:v>1.1651</x:v>
      </x:c>
      <x:c r="N364" s="74" t="n">
        <x:f>1-F364/M364</x:f>
        <x:v>0.0006008067976996934</x:v>
      </x:c>
    </x:row>
    <x:row r="365" ht="27" customHeight="1">
      <x:c r="A365" s="66" t="str">
        <x:v>SQH214</x:v>
      </x:c>
      <x:c r="B365" s="66" t="str">
        <x:v>常行7号</x:v>
      </x:c>
      <x:c r="C365" s="72" t="n">
        <x:v>45170</x:v>
      </x:c>
      <x:c r="D365" s="73" t="n">
        <x:v>1.0616</x:v>
      </x:c>
      <x:c r="E365" s="73" t="n">
        <x:v>1.1616</x:v>
      </x:c>
      <x:c r="F365" s="73" t="n">
        <x:v>1.1665</x:v>
      </x:c>
      <x:c r="G365" s="74" t="n">
        <x:v>0.0018</x:v>
      </x:c>
      <x:c r="H365" s="66" t="str">
        <x:v>常行7号净值20260911.xlsx</x:v>
      </x:c>
      <x:c r="I365" s="73" t="str">
        <x:f>""</x:f>
      </x:c>
      <x:c r="J365" s="74" t="str">
        <x:f>""</x:f>
      </x:c>
      <x:c r="K365" s="73" t="n">
        <x:f>F365</x:f>
        <x:v>1.1665</x:v>
      </x:c>
      <x:c r="L365" s="74" t="n">
        <x:f>1-F365/K365</x:f>
        <x:v>0</x:v>
      </x:c>
      <x:c r="M365" s="73" t="n">
        <x:f>MAX(M364,F365)</x:f>
        <x:v>1.1665</x:v>
      </x:c>
      <x:c r="N365" s="74" t="n">
        <x:f>1-F365/M365</x:f>
        <x:v>0</x:v>
      </x:c>
    </x:row>
    <x:row r="366" ht="27" customHeight="1">
      <x:c r="A366" s="66" t="str">
        <x:v>SQH214</x:v>
      </x:c>
      <x:c r="B366" s="66" t="str">
        <x:v>常行7号</x:v>
      </x:c>
      <x:c r="C366" s="72" t="n">
        <x:v>45177</x:v>
      </x:c>
      <x:c r="D366" s="73" t="n">
        <x:v>1.0608</x:v>
      </x:c>
      <x:c r="E366" s="73" t="n">
        <x:v>1.1608</x:v>
      </x:c>
      <x:c r="F366" s="73" t="n">
        <x:v>1.1656</x:v>
      </x:c>
      <x:c r="G366" s="74" t="n">
        <x:v>-0.0008</x:v>
      </x:c>
      <x:c r="H366" s="66" t="str">
        <x:v>常行7号净值20260911.xlsx</x:v>
      </x:c>
      <x:c r="I366" s="73" t="str">
        <x:f>""</x:f>
      </x:c>
      <x:c r="J366" s="74" t="str">
        <x:f>""</x:f>
      </x:c>
      <x:c r="K366" s="73" t="n">
        <x:f>MAX(K365,F366)</x:f>
        <x:v>1.1665</x:v>
      </x:c>
      <x:c r="L366" s="74" t="n">
        <x:f>1-F366/K366</x:f>
        <x:v>0.0007715387912560212</x:v>
      </x:c>
      <x:c r="M366" s="73" t="n">
        <x:f>MAX(M365,F366)</x:f>
        <x:v>1.1665</x:v>
      </x:c>
      <x:c r="N366" s="74" t="n">
        <x:f>1-F366/M366</x:f>
        <x:v>0.0007715387912560212</x:v>
      </x:c>
    </x:row>
    <x:row r="367" ht="27" customHeight="1">
      <x:c r="A367" s="66" t="str">
        <x:v>SQH214</x:v>
      </x:c>
      <x:c r="B367" s="66" t="str">
        <x:v>常行7号</x:v>
      </x:c>
      <x:c r="C367" s="72" t="n">
        <x:v>45184</x:v>
      </x:c>
      <x:c r="D367" s="73" t="n">
        <x:v>1.0603</x:v>
      </x:c>
      <x:c r="E367" s="73" t="n">
        <x:v>1.1603</x:v>
      </x:c>
      <x:c r="F367" s="73" t="n">
        <x:v>1.1651</x:v>
      </x:c>
      <x:c r="G367" s="74" t="n">
        <x:v>-0.0005</x:v>
      </x:c>
      <x:c r="H367" s="66" t="str">
        <x:v>常行7号净值20260911.xlsx</x:v>
      </x:c>
      <x:c r="I367" s="73" t="str">
        <x:f>""</x:f>
      </x:c>
      <x:c r="J367" s="74" t="str">
        <x:f>""</x:f>
      </x:c>
      <x:c r="K367" s="73" t="n">
        <x:f>MAX(K366,F367)</x:f>
        <x:v>1.1665</x:v>
      </x:c>
      <x:c r="L367" s="74" t="n">
        <x:f>1-F367/K367</x:f>
        <x:v>0.0012001714530648355</x:v>
      </x:c>
      <x:c r="M367" s="73" t="n">
        <x:f>MAX(M366,F367)</x:f>
        <x:v>1.1665</x:v>
      </x:c>
      <x:c r="N367" s="74" t="n">
        <x:f>1-F367/M367</x:f>
        <x:v>0.0012001714530648355</x:v>
      </x:c>
    </x:row>
    <x:row r="368" ht="27" customHeight="1">
      <x:c r="A368" s="66" t="str">
        <x:v>SQH214</x:v>
      </x:c>
      <x:c r="B368" s="66" t="str">
        <x:v>常行7号</x:v>
      </x:c>
      <x:c r="C368" s="72" t="n">
        <x:v>45191</x:v>
      </x:c>
      <x:c r="D368" s="73" t="n">
        <x:v>1.0595</x:v>
      </x:c>
      <x:c r="E368" s="73" t="n">
        <x:v>1.1595</x:v>
      </x:c>
      <x:c r="F368" s="73" t="n">
        <x:v>1.1642</x:v>
      </x:c>
      <x:c r="G368" s="74" t="n">
        <x:v>-0.0008</x:v>
      </x:c>
      <x:c r="H368" s="66" t="str">
        <x:v>常行7号净值20260911.xlsx</x:v>
      </x:c>
      <x:c r="I368" s="73" t="str">
        <x:f>""</x:f>
      </x:c>
      <x:c r="J368" s="74" t="str">
        <x:f>""</x:f>
      </x:c>
      <x:c r="K368" s="73" t="n">
        <x:f>MAX(K367,F368)</x:f>
        <x:v>1.1665</x:v>
      </x:c>
      <x:c r="L368" s="74" t="n">
        <x:f>1-F368/K368</x:f>
        <x:v>0.0019717102443207457</x:v>
      </x:c>
      <x:c r="M368" s="73" t="n">
        <x:f>MAX(M367,F368)</x:f>
        <x:v>1.1665</x:v>
      </x:c>
      <x:c r="N368" s="74" t="n">
        <x:f>1-F368/M368</x:f>
        <x:v>0.0019717102443207457</x:v>
      </x:c>
    </x:row>
    <x:row r="369" ht="27" customHeight="1">
      <x:c r="A369" s="66" t="str">
        <x:v>SQH214</x:v>
      </x:c>
      <x:c r="B369" s="66" t="str">
        <x:v>常行7号</x:v>
      </x:c>
      <x:c r="C369" s="72" t="n">
        <x:v>45197</x:v>
      </x:c>
      <x:c r="D369" s="73" t="n">
        <x:v>1.0597</x:v>
      </x:c>
      <x:c r="E369" s="73" t="n">
        <x:v>1.1597</x:v>
      </x:c>
      <x:c r="F369" s="73" t="n">
        <x:v>1.1644</x:v>
      </x:c>
      <x:c r="G369" s="74" t="n">
        <x:v>0.0002</x:v>
      </x:c>
      <x:c r="H369" s="66" t="str">
        <x:v>常行7号净值20260911.xlsx</x:v>
      </x:c>
      <x:c r="I369" s="73" t="str">
        <x:f>""</x:f>
      </x:c>
      <x:c r="J369" s="74" t="str">
        <x:f>""</x:f>
      </x:c>
      <x:c r="K369" s="73" t="n">
        <x:f>MAX(K368,F369)</x:f>
        <x:v>1.1665</x:v>
      </x:c>
      <x:c r="L369" s="74" t="n">
        <x:f>1-F369/K369</x:f>
        <x:v>0.0018002571795970868</x:v>
      </x:c>
      <x:c r="M369" s="73" t="n">
        <x:f>MAX(M368,F369)</x:f>
        <x:v>1.1665</x:v>
      </x:c>
      <x:c r="N369" s="74" t="n">
        <x:f>1-F369/M369</x:f>
        <x:v>0.0018002571795970868</x:v>
      </x:c>
    </x:row>
    <x:row r="370" ht="27" customHeight="1">
      <x:c r="A370" s="66" t="str">
        <x:v>SQH214</x:v>
      </x:c>
      <x:c r="B370" s="66" t="str">
        <x:v>常行7号</x:v>
      </x:c>
      <x:c r="C370" s="72" t="n">
        <x:v>45212</x:v>
      </x:c>
      <x:c r="D370" s="73" t="n">
        <x:v>1.06</x:v>
      </x:c>
      <x:c r="E370" s="73" t="n">
        <x:v>1.16</x:v>
      </x:c>
      <x:c r="F370" s="73" t="n">
        <x:v>1.1647</x:v>
      </x:c>
      <x:c r="G370" s="74" t="n">
        <x:v>0.0003</x:v>
      </x:c>
      <x:c r="H370" s="66" t="str">
        <x:v>常行7号净值20260911.xlsx</x:v>
      </x:c>
      <x:c r="I370" s="73" t="str">
        <x:f>""</x:f>
      </x:c>
      <x:c r="J370" s="74" t="str">
        <x:f>""</x:f>
      </x:c>
      <x:c r="K370" s="73" t="n">
        <x:f>MAX(K369,F370)</x:f>
        <x:v>1.1665</x:v>
      </x:c>
      <x:c r="L370" s="74" t="n">
        <x:f>1-F370/K370</x:f>
        <x:v>0.0015430775825118204</x:v>
      </x:c>
      <x:c r="M370" s="73" t="n">
        <x:f>MAX(M369,F370)</x:f>
        <x:v>1.1665</x:v>
      </x:c>
      <x:c r="N370" s="74" t="n">
        <x:f>1-F370/M370</x:f>
        <x:v>0.0015430775825118204</x:v>
      </x:c>
    </x:row>
    <x:row r="371" ht="27" customHeight="1">
      <x:c r="A371" s="66" t="str">
        <x:v>SQH214</x:v>
      </x:c>
      <x:c r="B371" s="66" t="str">
        <x:v>常行7号</x:v>
      </x:c>
      <x:c r="C371" s="72" t="n">
        <x:v>45219</x:v>
      </x:c>
      <x:c r="D371" s="73" t="n">
        <x:v>1.0587</x:v>
      </x:c>
      <x:c r="E371" s="73" t="n">
        <x:v>1.1587</x:v>
      </x:c>
      <x:c r="F371" s="73" t="n">
        <x:v>1.1633</x:v>
      </x:c>
      <x:c r="G371" s="74" t="n">
        <x:v>-0.0012</x:v>
      </x:c>
      <x:c r="H371" s="66" t="str">
        <x:v>常行7号净值20260911.xlsx</x:v>
      </x:c>
      <x:c r="I371" s="73" t="str">
        <x:f>""</x:f>
      </x:c>
      <x:c r="J371" s="74" t="str">
        <x:f>""</x:f>
      </x:c>
      <x:c r="K371" s="73" t="n">
        <x:f>MAX(K370,F371)</x:f>
        <x:v>1.1665</x:v>
      </x:c>
      <x:c r="L371" s="74" t="n">
        <x:f>1-F371/K371</x:f>
        <x:v>0.002743249035576545</x:v>
      </x:c>
      <x:c r="M371" s="73" t="n">
        <x:f>MAX(M370,F371)</x:f>
        <x:v>1.1665</x:v>
      </x:c>
      <x:c r="N371" s="74" t="n">
        <x:f>1-F371/M371</x:f>
        <x:v>0.002743249035576545</x:v>
      </x:c>
    </x:row>
    <x:row r="372" ht="27" customHeight="1">
      <x:c r="A372" s="66" t="str">
        <x:v>SQH214</x:v>
      </x:c>
      <x:c r="B372" s="66" t="str">
        <x:v>常行7号</x:v>
      </x:c>
      <x:c r="C372" s="72" t="n">
        <x:v>45226</x:v>
      </x:c>
      <x:c r="D372" s="73" t="n">
        <x:v>1.0575</x:v>
      </x:c>
      <x:c r="E372" s="73" t="n">
        <x:v>1.1575</x:v>
      </x:c>
      <x:c r="F372" s="73" t="n">
        <x:v>1.162</x:v>
      </x:c>
      <x:c r="G372" s="74" t="n">
        <x:v>-0.0011</x:v>
      </x:c>
      <x:c r="H372" s="66" t="str">
        <x:v>常行7号净值20260911.xlsx</x:v>
      </x:c>
      <x:c r="I372" s="73" t="str">
        <x:f>""</x:f>
      </x:c>
      <x:c r="J372" s="74" t="str">
        <x:f>""</x:f>
      </x:c>
      <x:c r="K372" s="73" t="n">
        <x:f>MAX(K371,F372)</x:f>
        <x:v>1.1665</x:v>
      </x:c>
      <x:c r="L372" s="74" t="n">
        <x:f>1-F372/K372</x:f>
        <x:v>0.003857693956279662</x:v>
      </x:c>
      <x:c r="M372" s="73" t="n">
        <x:f>MAX(M371,F372)</x:f>
        <x:v>1.1665</x:v>
      </x:c>
      <x:c r="N372" s="74" t="n">
        <x:f>1-F372/M372</x:f>
        <x:v>0.003857693956279662</x:v>
      </x:c>
    </x:row>
    <x:row r="373" ht="27" customHeight="1">
      <x:c r="A373" s="66" t="str">
        <x:v>SQH214</x:v>
      </x:c>
      <x:c r="B373" s="66" t="str">
        <x:v>常行7号</x:v>
      </x:c>
      <x:c r="C373" s="72" t="n">
        <x:v>45233</x:v>
      </x:c>
      <x:c r="D373" s="73" t="n">
        <x:v>1.0575</x:v>
      </x:c>
      <x:c r="E373" s="73" t="n">
        <x:v>1.1575</x:v>
      </x:c>
      <x:c r="F373" s="73" t="n">
        <x:v>1.162</x:v>
      </x:c>
      <x:c r="G373" s="74" t="n">
        <x:v>0</x:v>
      </x:c>
      <x:c r="H373" s="66" t="str">
        <x:v>常行7号净值20260911.xlsx</x:v>
      </x:c>
      <x:c r="I373" s="73" t="str">
        <x:f>""</x:f>
      </x:c>
      <x:c r="J373" s="74" t="str">
        <x:f>""</x:f>
      </x:c>
      <x:c r="K373" s="73" t="n">
        <x:f>MAX(K372,F373)</x:f>
        <x:v>1.1665</x:v>
      </x:c>
      <x:c r="L373" s="74" t="n">
        <x:f>1-F373/K373</x:f>
        <x:v>0.003857693956279662</x:v>
      </x:c>
      <x:c r="M373" s="73" t="n">
        <x:f>MAX(M372,F373)</x:f>
        <x:v>1.1665</x:v>
      </x:c>
      <x:c r="N373" s="74" t="n">
        <x:f>1-F373/M373</x:f>
        <x:v>0.003857693956279662</x:v>
      </x:c>
    </x:row>
    <x:row r="374" ht="27" customHeight="1">
      <x:c r="A374" s="66" t="str">
        <x:v>SQH214</x:v>
      </x:c>
      <x:c r="B374" s="66" t="str">
        <x:v>常行7号</x:v>
      </x:c>
      <x:c r="C374" s="72" t="n">
        <x:v>45240</x:v>
      </x:c>
      <x:c r="D374" s="73" t="n">
        <x:v>1.0563</x:v>
      </x:c>
      <x:c r="E374" s="73" t="n">
        <x:v>1.1563</x:v>
      </x:c>
      <x:c r="F374" s="73" t="n">
        <x:v>1.1607</x:v>
      </x:c>
      <x:c r="G374" s="74" t="n">
        <x:v>-0.0011</x:v>
      </x:c>
      <x:c r="H374" s="66" t="str">
        <x:v>常行7号净值20260911.xlsx</x:v>
      </x:c>
      <x:c r="I374" s="73" t="str">
        <x:f>""</x:f>
      </x:c>
      <x:c r="J374" s="74" t="str">
        <x:f>""</x:f>
      </x:c>
      <x:c r="K374" s="73" t="n">
        <x:f>MAX(K373,F374)</x:f>
        <x:v>1.1665</x:v>
      </x:c>
      <x:c r="L374" s="74" t="n">
        <x:f>1-F374/K374</x:f>
        <x:v>0.004972138876982446</x:v>
      </x:c>
      <x:c r="M374" s="73" t="n">
        <x:f>MAX(M373,F374)</x:f>
        <x:v>1.1665</x:v>
      </x:c>
      <x:c r="N374" s="74" t="n">
        <x:f>1-F374/M374</x:f>
        <x:v>0.004972138876982446</x:v>
      </x:c>
    </x:row>
    <x:row r="375" ht="27" customHeight="1">
      <x:c r="A375" s="66" t="str">
        <x:v>SQH214</x:v>
      </x:c>
      <x:c r="B375" s="66" t="str">
        <x:v>常行7号</x:v>
      </x:c>
      <x:c r="C375" s="72" t="n">
        <x:v>45247</x:v>
      </x:c>
      <x:c r="D375" s="73" t="n">
        <x:v>1.0541</x:v>
      </x:c>
      <x:c r="E375" s="73" t="n">
        <x:v>1.1541</x:v>
      </x:c>
      <x:c r="F375" s="73" t="n">
        <x:v>1.1583</x:v>
      </x:c>
      <x:c r="G375" s="74" t="n">
        <x:v>-0.0021</x:v>
      </x:c>
      <x:c r="H375" s="66" t="str">
        <x:v>常行7号净值20260911.xlsx</x:v>
      </x:c>
      <x:c r="I375" s="73" t="str">
        <x:f>""</x:f>
      </x:c>
      <x:c r="J375" s="74" t="str">
        <x:f>""</x:f>
      </x:c>
      <x:c r="K375" s="73" t="n">
        <x:f>MAX(K374,F375)</x:f>
        <x:v>1.1665</x:v>
      </x:c>
      <x:c r="L375" s="74" t="n">
        <x:f>1-F375/K375</x:f>
        <x:v>0.007029575653664799</x:v>
      </x:c>
      <x:c r="M375" s="73" t="n">
        <x:f>MAX(M374,F375)</x:f>
        <x:v>1.1665</x:v>
      </x:c>
      <x:c r="N375" s="74" t="n">
        <x:f>1-F375/M375</x:f>
        <x:v>0.007029575653664799</x:v>
      </x:c>
    </x:row>
    <x:row r="376" ht="27" customHeight="1">
      <x:c r="A376" s="66" t="str">
        <x:v>SQH214</x:v>
      </x:c>
      <x:c r="B376" s="66" t="str">
        <x:v>常行7号</x:v>
      </x:c>
      <x:c r="C376" s="72" t="n">
        <x:v>45254</x:v>
      </x:c>
      <x:c r="D376" s="73" t="n">
        <x:v>1.053</x:v>
      </x:c>
      <x:c r="E376" s="73" t="n">
        <x:v>1.153</x:v>
      </x:c>
      <x:c r="F376" s="73" t="n">
        <x:v>1.1571</x:v>
      </x:c>
      <x:c r="G376" s="74" t="n">
        <x:v>-0.001</x:v>
      </x:c>
      <x:c r="H376" s="66" t="str">
        <x:v>常行7号净值20260911.xlsx</x:v>
      </x:c>
      <x:c r="I376" s="73" t="str">
        <x:f>""</x:f>
      </x:c>
      <x:c r="J376" s="74" t="str">
        <x:f>""</x:f>
      </x:c>
      <x:c r="K376" s="73" t="n">
        <x:f>MAX(K375,F376)</x:f>
        <x:v>1.1665</x:v>
      </x:c>
      <x:c r="L376" s="74" t="n">
        <x:f>1-F376/K376</x:f>
        <x:v>0.008058294042006087</x:v>
      </x:c>
      <x:c r="M376" s="73" t="n">
        <x:f>MAX(M375,F376)</x:f>
        <x:v>1.1665</x:v>
      </x:c>
      <x:c r="N376" s="74" t="n">
        <x:f>1-F376/M376</x:f>
        <x:v>0.008058294042006087</x:v>
      </x:c>
    </x:row>
    <x:row r="377" ht="27" customHeight="1">
      <x:c r="A377" s="66" t="str">
        <x:v>SQH214</x:v>
      </x:c>
      <x:c r="B377" s="66" t="str">
        <x:v>常行7号</x:v>
      </x:c>
      <x:c r="C377" s="72" t="n">
        <x:v>45261</x:v>
      </x:c>
      <x:c r="D377" s="73" t="n">
        <x:v>1.0519</x:v>
      </x:c>
      <x:c r="E377" s="73" t="n">
        <x:v>1.1519</x:v>
      </x:c>
      <x:c r="F377" s="73" t="n">
        <x:v>1.1558</x:v>
      </x:c>
      <x:c r="G377" s="74" t="n">
        <x:v>-0.001</x:v>
      </x:c>
      <x:c r="H377" s="66" t="str">
        <x:v>常行7号净值20260911.xlsx</x:v>
      </x:c>
      <x:c r="I377" s="73" t="str">
        <x:f>""</x:f>
      </x:c>
      <x:c r="J377" s="74" t="str">
        <x:f>""</x:f>
      </x:c>
      <x:c r="K377" s="73" t="n">
        <x:f>MAX(K376,F377)</x:f>
        <x:v>1.1665</x:v>
      </x:c>
      <x:c r="L377" s="74" t="n">
        <x:f>1-F377/K377</x:f>
        <x:v>0.009172738962709093</x:v>
      </x:c>
      <x:c r="M377" s="73" t="n">
        <x:f>MAX(M376,F377)</x:f>
        <x:v>1.1665</x:v>
      </x:c>
      <x:c r="N377" s="74" t="n">
        <x:f>1-F377/M377</x:f>
        <x:v>0.009172738962709093</x:v>
      </x:c>
    </x:row>
    <x:row r="378" ht="27" customHeight="1">
      <x:c r="A378" s="66" t="str">
        <x:v>SQH214</x:v>
      </x:c>
      <x:c r="B378" s="66" t="str">
        <x:v>常行7号</x:v>
      </x:c>
      <x:c r="C378" s="72" t="n">
        <x:v>45268</x:v>
      </x:c>
      <x:c r="D378" s="73" t="n">
        <x:v>1.05</x:v>
      </x:c>
      <x:c r="E378" s="73" t="n">
        <x:v>1.15</x:v>
      </x:c>
      <x:c r="F378" s="73" t="n">
        <x:v>1.1538</x:v>
      </x:c>
      <x:c r="G378" s="74" t="n">
        <x:v>-0.0018</x:v>
      </x:c>
      <x:c r="H378" s="66" t="str">
        <x:v>常行7号净值20260911.xlsx</x:v>
      </x:c>
      <x:c r="I378" s="73" t="str">
        <x:f>""</x:f>
      </x:c>
      <x:c r="J378" s="74" t="str">
        <x:f>""</x:f>
      </x:c>
      <x:c r="K378" s="73" t="n">
        <x:f>MAX(K377,F378)</x:f>
        <x:v>1.1665</x:v>
      </x:c>
      <x:c r="L378" s="74" t="n">
        <x:f>1-F378/K378</x:f>
        <x:v>0.010887269609944461</x:v>
      </x:c>
      <x:c r="M378" s="73" t="n">
        <x:f>MAX(M377,F378)</x:f>
        <x:v>1.1665</x:v>
      </x:c>
      <x:c r="N378" s="74" t="n">
        <x:f>1-F378/M378</x:f>
        <x:v>0.010887269609944461</x:v>
      </x:c>
    </x:row>
    <x:row r="379" ht="27" customHeight="1">
      <x:c r="A379" s="66" t="str">
        <x:v>SQH214</x:v>
      </x:c>
      <x:c r="B379" s="66" t="str">
        <x:v>常行7号</x:v>
      </x:c>
      <x:c r="C379" s="72" t="n">
        <x:v>45275</x:v>
      </x:c>
      <x:c r="D379" s="73" t="n">
        <x:v>1.0501</x:v>
      </x:c>
      <x:c r="E379" s="73" t="n">
        <x:v>1.1501</x:v>
      </x:c>
      <x:c r="F379" s="73" t="n">
        <x:v>1.1539</x:v>
      </x:c>
      <x:c r="G379" s="74" t="n">
        <x:v>0.0001</x:v>
      </x:c>
      <x:c r="H379" s="66" t="str">
        <x:v>常行7号净值20260911.xlsx</x:v>
      </x:c>
      <x:c r="I379" s="73" t="str">
        <x:f>""</x:f>
      </x:c>
      <x:c r="J379" s="74" t="str">
        <x:f>""</x:f>
      </x:c>
      <x:c r="K379" s="73" t="n">
        <x:f>MAX(K378,F379)</x:f>
        <x:v>1.1665</x:v>
      </x:c>
      <x:c r="L379" s="74" t="n">
        <x:f>1-F379/K379</x:f>
        <x:v>0.010801543077582632</x:v>
      </x:c>
      <x:c r="M379" s="73" t="n">
        <x:f>MAX(M378,F379)</x:f>
        <x:v>1.1665</x:v>
      </x:c>
      <x:c r="N379" s="74" t="n">
        <x:f>1-F379/M379</x:f>
        <x:v>0.010801543077582632</x:v>
      </x:c>
    </x:row>
    <x:row r="380" ht="27" customHeight="1">
      <x:c r="A380" s="66" t="str">
        <x:v>SQH214</x:v>
      </x:c>
      <x:c r="B380" s="66" t="str">
        <x:v>常行7号</x:v>
      </x:c>
      <x:c r="C380" s="72" t="n">
        <x:v>45282</x:v>
      </x:c>
      <x:c r="D380" s="73" t="n">
        <x:v>1.0494</x:v>
      </x:c>
      <x:c r="E380" s="73" t="n">
        <x:v>1.1494</x:v>
      </x:c>
      <x:c r="F380" s="73" t="n">
        <x:v>1.1531</x:v>
      </x:c>
      <x:c r="G380" s="74" t="n">
        <x:v>-0.0007000000000000001</x:v>
      </x:c>
      <x:c r="H380" s="66" t="str">
        <x:v>常行7号净值20260911.xlsx</x:v>
      </x:c>
      <x:c r="I380" s="73" t="str">
        <x:f>""</x:f>
      </x:c>
      <x:c r="J380" s="74" t="str">
        <x:f>""</x:f>
      </x:c>
      <x:c r="K380" s="73" t="n">
        <x:f>MAX(K379,F380)</x:f>
        <x:v>1.1665</x:v>
      </x:c>
      <x:c r="L380" s="74" t="n">
        <x:f>1-F380/K380</x:f>
        <x:v>0.011487355336476712</x:v>
      </x:c>
      <x:c r="M380" s="73" t="n">
        <x:f>MAX(M379,F380)</x:f>
        <x:v>1.1665</x:v>
      </x:c>
      <x:c r="N380" s="74" t="n">
        <x:f>1-F380/M380</x:f>
        <x:v>0.011487355336476712</x:v>
      </x:c>
    </x:row>
    <x:row r="381" ht="27" customHeight="1">
      <x:c r="A381" s="66" t="str">
        <x:v>SQH214</x:v>
      </x:c>
      <x:c r="B381" s="66" t="str">
        <x:v>常行7号</x:v>
      </x:c>
      <x:c r="C381" s="72" t="n">
        <x:v>45289</x:v>
      </x:c>
      <x:c r="D381" s="73" t="n">
        <x:v>1.0546</x:v>
      </x:c>
      <x:c r="E381" s="73" t="n">
        <x:v>1.1546</x:v>
      </x:c>
      <x:c r="F381" s="73" t="n">
        <x:v>1.1588</x:v>
      </x:c>
      <x:c r="G381" s="74" t="n">
        <x:v>0.005</x:v>
      </x:c>
      <x:c r="H381" s="66" t="str">
        <x:v>常行7号净值20260911.xlsx</x:v>
      </x:c>
      <x:c r="I381" s="73" t="str">
        <x:f>""</x:f>
      </x:c>
      <x:c r="J381" s="74" t="str">
        <x:f>""</x:f>
      </x:c>
      <x:c r="K381" s="73" t="n">
        <x:f>MAX(K380,F381)</x:f>
        <x:v>1.1665</x:v>
      </x:c>
      <x:c r="L381" s="74" t="n">
        <x:f>1-F381/K381</x:f>
        <x:v>0.006600942991855985</x:v>
      </x:c>
      <x:c r="M381" s="73" t="n">
        <x:f>MAX(M380,F381)</x:f>
        <x:v>1.1665</x:v>
      </x:c>
      <x:c r="N381" s="74" t="n">
        <x:f>1-F381/M381</x:f>
        <x:v>0.006600942991855985</x:v>
      </x:c>
    </x:row>
    <x:row r="382" ht="27" customHeight="1">
      <x:c r="A382" s="66" t="str">
        <x:v>SQH214</x:v>
      </x:c>
      <x:c r="B382" s="66" t="str">
        <x:v>常行7号</x:v>
      </x:c>
      <x:c r="C382" s="72" t="n">
        <x:v>45296</x:v>
      </x:c>
      <x:c r="D382" s="73" t="n">
        <x:v>1.0565</x:v>
      </x:c>
      <x:c r="E382" s="73" t="n">
        <x:v>1.1565</x:v>
      </x:c>
      <x:c r="F382" s="73" t="n">
        <x:v>1.1609</x:v>
      </x:c>
      <x:c r="G382" s="74" t="n">
        <x:v>0.0018</x:v>
      </x:c>
      <x:c r="H382" s="66" t="str">
        <x:v>常行7号净值20260911.xlsx</x:v>
      </x:c>
      <x:c r="I382" s="73" t="str">
        <x:f>""</x:f>
      </x:c>
      <x:c r="J382" s="74" t="str">
        <x:f>""</x:f>
      </x:c>
      <x:c r="K382" s="73" t="n">
        <x:f>MAX(K381,F382)</x:f>
        <x:v>1.1665</x:v>
      </x:c>
      <x:c r="L382" s="74" t="n">
        <x:f>1-F382/K382</x:f>
        <x:v>0.004800685812258898</x:v>
      </x:c>
      <x:c r="M382" s="73" t="n">
        <x:f>MAX(M381,F382)</x:f>
        <x:v>1.1665</x:v>
      </x:c>
      <x:c r="N382" s="74" t="n">
        <x:f>1-F382/M382</x:f>
        <x:v>0.004800685812258898</x:v>
      </x:c>
    </x:row>
    <x:row r="383" ht="27" customHeight="1">
      <x:c r="A383" s="66" t="str">
        <x:v>SQH214</x:v>
      </x:c>
      <x:c r="B383" s="66" t="str">
        <x:v>常行7号</x:v>
      </x:c>
      <x:c r="C383" s="72" t="n">
        <x:v>45303</x:v>
      </x:c>
      <x:c r="D383" s="73" t="n">
        <x:v>1.0596</x:v>
      </x:c>
      <x:c r="E383" s="73" t="n">
        <x:v>1.1596</x:v>
      </x:c>
      <x:c r="F383" s="73" t="n">
        <x:v>1.1643</x:v>
      </x:c>
      <x:c r="G383" s="74" t="n">
        <x:v>0.0029</x:v>
      </x:c>
      <x:c r="H383" s="66" t="str">
        <x:v>常行7号净值20260911.xlsx</x:v>
      </x:c>
      <x:c r="I383" s="73" t="str">
        <x:f>""</x:f>
      </x:c>
      <x:c r="J383" s="74" t="str">
        <x:f>""</x:f>
      </x:c>
      <x:c r="K383" s="73" t="n">
        <x:f>MAX(K382,F383)</x:f>
        <x:v>1.1665</x:v>
      </x:c>
      <x:c r="L383" s="74" t="n">
        <x:f>1-F383/K383</x:f>
        <x:v>0.0018859837119590273</x:v>
      </x:c>
      <x:c r="M383" s="73" t="n">
        <x:f>MAX(M382,F383)</x:f>
        <x:v>1.1665</x:v>
      </x:c>
      <x:c r="N383" s="74" t="n">
        <x:f>1-F383/M383</x:f>
        <x:v>0.0018859837119590273</x:v>
      </x:c>
    </x:row>
    <x:row r="384" ht="27" customHeight="1">
      <x:c r="A384" s="66" t="str">
        <x:v>SQH214</x:v>
      </x:c>
      <x:c r="B384" s="66" t="str">
        <x:v>常行7号</x:v>
      </x:c>
      <x:c r="C384" s="72" t="n">
        <x:v>45310</x:v>
      </x:c>
      <x:c r="D384" s="73" t="n">
        <x:v>1.0596</x:v>
      </x:c>
      <x:c r="E384" s="73" t="n">
        <x:v>1.1596</x:v>
      </x:c>
      <x:c r="F384" s="73" t="n">
        <x:v>1.1643</x:v>
      </x:c>
      <x:c r="G384" s="74" t="n">
        <x:v>0</x:v>
      </x:c>
      <x:c r="H384" s="66" t="str">
        <x:v>常行7号净值20260911.xlsx</x:v>
      </x:c>
      <x:c r="I384" s="73" t="str">
        <x:f>""</x:f>
      </x:c>
      <x:c r="J384" s="74" t="str">
        <x:f>""</x:f>
      </x:c>
      <x:c r="K384" s="73" t="n">
        <x:f>MAX(K383,F384)</x:f>
        <x:v>1.1665</x:v>
      </x:c>
      <x:c r="L384" s="74" t="n">
        <x:f>1-F384/K384</x:f>
        <x:v>0.0018859837119590273</x:v>
      </x:c>
      <x:c r="M384" s="73" t="n">
        <x:f>MAX(M383,F384)</x:f>
        <x:v>1.1665</x:v>
      </x:c>
      <x:c r="N384" s="74" t="n">
        <x:f>1-F384/M384</x:f>
        <x:v>0.0018859837119590273</x:v>
      </x:c>
    </x:row>
    <x:row r="385" ht="27" customHeight="1">
      <x:c r="A385" s="66" t="str">
        <x:v>SQH214</x:v>
      </x:c>
      <x:c r="B385" s="66" t="str">
        <x:v>常行7号</x:v>
      </x:c>
      <x:c r="C385" s="72" t="n">
        <x:v>45317</x:v>
      </x:c>
      <x:c r="D385" s="73" t="n">
        <x:v>1.0687</x:v>
      </x:c>
      <x:c r="E385" s="73" t="n">
        <x:v>1.1687</x:v>
      </x:c>
      <x:c r="F385" s="73" t="n">
        <x:v>1.1743</x:v>
      </x:c>
      <x:c r="G385" s="74" t="n">
        <x:v>0.0086</x:v>
      </x:c>
      <x:c r="H385" s="66" t="str">
        <x:v>常行7号净值20260911.xlsx</x:v>
      </x:c>
      <x:c r="I385" s="73" t="str">
        <x:f>""</x:f>
      </x:c>
      <x:c r="J385" s="74" t="str">
        <x:f>""</x:f>
      </x:c>
      <x:c r="K385" s="73" t="n">
        <x:f>MAX(K384,F385)</x:f>
        <x:v>1.1743</x:v>
      </x:c>
      <x:c r="L385" s="74" t="n">
        <x:f>1-F385/K385</x:f>
        <x:v>0</x:v>
      </x:c>
      <x:c r="M385" s="73" t="n">
        <x:f>MAX(M384,F385)</x:f>
        <x:v>1.1743</x:v>
      </x:c>
      <x:c r="N385" s="74" t="n">
        <x:f>1-F385/M385</x:f>
        <x:v>0</x:v>
      </x:c>
    </x:row>
    <x:row r="386" ht="27" customHeight="1">
      <x:c r="A386" s="66" t="str">
        <x:v>SQH214</x:v>
      </x:c>
      <x:c r="B386" s="66" t="str">
        <x:v>常行7号</x:v>
      </x:c>
      <x:c r="C386" s="72" t="n">
        <x:v>45324</x:v>
      </x:c>
      <x:c r="D386" s="73" t="n">
        <x:v>1.0801</x:v>
      </x:c>
      <x:c r="E386" s="73" t="n">
        <x:v>1.1801</x:v>
      </x:c>
      <x:c r="F386" s="73" t="n">
        <x:v>1.1868</x:v>
      </x:c>
      <x:c r="G386" s="74" t="n">
        <x:v>0.010700000000000001</x:v>
      </x:c>
      <x:c r="H386" s="66" t="str">
        <x:v>常行7号净值20260911.xlsx</x:v>
      </x:c>
      <x:c r="I386" s="73" t="str">
        <x:f>""</x:f>
      </x:c>
      <x:c r="J386" s="74" t="str">
        <x:f>""</x:f>
      </x:c>
      <x:c r="K386" s="73" t="n">
        <x:f>MAX(K385,F386)</x:f>
        <x:v>1.1868</x:v>
      </x:c>
      <x:c r="L386" s="74" t="n">
        <x:f>1-F386/K386</x:f>
        <x:v>0</x:v>
      </x:c>
      <x:c r="M386" s="73" t="n">
        <x:f>MAX(M385,F386)</x:f>
        <x:v>1.1868</x:v>
      </x:c>
      <x:c r="N386" s="74" t="n">
        <x:f>1-F386/M386</x:f>
        <x:v>0</x:v>
      </x:c>
    </x:row>
    <x:row r="387" ht="27" customHeight="1">
      <x:c r="A387" s="66" t="str">
        <x:v>SQH214</x:v>
      </x:c>
      <x:c r="B387" s="66" t="str">
        <x:v>常行7号</x:v>
      </x:c>
      <x:c r="C387" s="72" t="n">
        <x:v>45330</x:v>
      </x:c>
      <x:c r="D387" s="73" t="n">
        <x:v>1.0872</x:v>
      </x:c>
      <x:c r="E387" s="73" t="n">
        <x:v>1.1872</x:v>
      </x:c>
      <x:c r="F387" s="73" t="n">
        <x:v>1.1946</x:v>
      </x:c>
      <x:c r="G387" s="74" t="n">
        <x:v>0.0066</x:v>
      </x:c>
      <x:c r="H387" s="66" t="str">
        <x:v>常行7号净值20260911.xlsx</x:v>
      </x:c>
      <x:c r="I387" s="73" t="str">
        <x:f>""</x:f>
      </x:c>
      <x:c r="J387" s="74" t="str">
        <x:f>""</x:f>
      </x:c>
      <x:c r="K387" s="73" t="n">
        <x:f>MAX(K386,F387)</x:f>
        <x:v>1.1946</x:v>
      </x:c>
      <x:c r="L387" s="74" t="n">
        <x:f>1-F387/K387</x:f>
        <x:v>0</x:v>
      </x:c>
      <x:c r="M387" s="73" t="n">
        <x:f>MAX(M386,F387)</x:f>
        <x:v>1.1946</x:v>
      </x:c>
      <x:c r="N387" s="74" t="n">
        <x:f>1-F387/M387</x:f>
        <x:v>0</x:v>
      </x:c>
    </x:row>
    <x:row r="388" ht="27" customHeight="1">
      <x:c r="A388" s="66" t="str">
        <x:v>SQH214</x:v>
      </x:c>
      <x:c r="B388" s="66" t="str">
        <x:v>常行7号</x:v>
      </x:c>
      <x:c r="C388" s="72" t="n">
        <x:v>45345</x:v>
      </x:c>
      <x:c r="D388" s="73" t="n">
        <x:v>1.0882</x:v>
      </x:c>
      <x:c r="E388" s="73" t="n">
        <x:v>1.1882</x:v>
      </x:c>
      <x:c r="F388" s="73" t="n">
        <x:v>1.1957</x:v>
      </x:c>
      <x:c r="G388" s="74" t="n">
        <x:v>0.0009</x:v>
      </x:c>
      <x:c r="H388" s="66" t="str">
        <x:v>常行7号净值20260911.xlsx</x:v>
      </x:c>
      <x:c r="I388" s="73" t="str">
        <x:f>""</x:f>
      </x:c>
      <x:c r="J388" s="74" t="str">
        <x:f>""</x:f>
      </x:c>
      <x:c r="K388" s="73" t="n">
        <x:f>MAX(K387,F388)</x:f>
        <x:v>1.1957</x:v>
      </x:c>
      <x:c r="L388" s="74" t="n">
        <x:f>1-F388/K388</x:f>
        <x:v>0</x:v>
      </x:c>
      <x:c r="M388" s="73" t="n">
        <x:f>MAX(M387,F388)</x:f>
        <x:v>1.1957</x:v>
      </x:c>
      <x:c r="N388" s="74" t="n">
        <x:f>1-F388/M388</x:f>
        <x:v>0</x:v>
      </x:c>
    </x:row>
    <x:row r="389" ht="27" customHeight="1">
      <x:c r="A389" s="66" t="str">
        <x:v>SQH214</x:v>
      </x:c>
      <x:c r="B389" s="66" t="str">
        <x:v>常行7号</x:v>
      </x:c>
      <x:c r="C389" s="72" t="n">
        <x:v>45352</x:v>
      </x:c>
      <x:c r="D389" s="73" t="n">
        <x:v>1.0918</x:v>
      </x:c>
      <x:c r="E389" s="73" t="n">
        <x:v>1.1918</x:v>
      </x:c>
      <x:c r="F389" s="73" t="n">
        <x:v>1.1997</x:v>
      </x:c>
      <x:c r="G389" s="74" t="n">
        <x:v>0.0033</x:v>
      </x:c>
      <x:c r="H389" s="66" t="str">
        <x:v>常行7号净值20260911.xlsx</x:v>
      </x:c>
      <x:c r="I389" s="73" t="str">
        <x:f>""</x:f>
      </x:c>
      <x:c r="J389" s="74" t="str">
        <x:f>""</x:f>
      </x:c>
      <x:c r="K389" s="73" t="n">
        <x:f>MAX(K388,F389)</x:f>
        <x:v>1.1997</x:v>
      </x:c>
      <x:c r="L389" s="74" t="n">
        <x:f>1-F389/K389</x:f>
        <x:v>0</x:v>
      </x:c>
      <x:c r="M389" s="73" t="n">
        <x:f>MAX(M388,F389)</x:f>
        <x:v>1.1997</x:v>
      </x:c>
      <x:c r="N389" s="74" t="n">
        <x:f>1-F389/M389</x:f>
        <x:v>0</x:v>
      </x:c>
    </x:row>
    <x:row r="390" ht="27" customHeight="1">
      <x:c r="A390" s="66" t="str">
        <x:v>SQH214</x:v>
      </x:c>
      <x:c r="B390" s="66" t="str">
        <x:v>常行7号</x:v>
      </x:c>
      <x:c r="C390" s="72" t="n">
        <x:v>45359</x:v>
      </x:c>
      <x:c r="D390" s="73" t="n">
        <x:v>1.0923</x:v>
      </x:c>
      <x:c r="E390" s="73" t="n">
        <x:v>1.1923</x:v>
      </x:c>
      <x:c r="F390" s="73" t="n">
        <x:v>1.2002</x:v>
      </x:c>
      <x:c r="G390" s="74" t="n">
        <x:v>0.0005</x:v>
      </x:c>
      <x:c r="H390" s="66" t="str">
        <x:v>常行7号净值20260911.xlsx</x:v>
      </x:c>
      <x:c r="I390" s="73" t="str">
        <x:f>""</x:f>
      </x:c>
      <x:c r="J390" s="74" t="str">
        <x:f>""</x:f>
      </x:c>
      <x:c r="K390" s="73" t="n">
        <x:f>MAX(K389,F390)</x:f>
        <x:v>1.2002</x:v>
      </x:c>
      <x:c r="L390" s="74" t="n">
        <x:f>1-F390/K390</x:f>
        <x:v>0</x:v>
      </x:c>
      <x:c r="M390" s="73" t="n">
        <x:f>MAX(M389,F390)</x:f>
        <x:v>1.2002</x:v>
      </x:c>
      <x:c r="N390" s="74" t="n">
        <x:f>1-F390/M390</x:f>
        <x:v>0</x:v>
      </x:c>
    </x:row>
    <x:row r="391" ht="27" customHeight="1">
      <x:c r="A391" s="66" t="str">
        <x:v>SQH214</x:v>
      </x:c>
      <x:c r="B391" s="66" t="str">
        <x:v>常行7号</x:v>
      </x:c>
      <x:c r="C391" s="72" t="n">
        <x:v>45366</x:v>
      </x:c>
      <x:c r="D391" s="73" t="n">
        <x:v>1.0931</x:v>
      </x:c>
      <x:c r="E391" s="73" t="n">
        <x:v>1.1931</x:v>
      </x:c>
      <x:c r="F391" s="73" t="n">
        <x:v>1.2011</x:v>
      </x:c>
      <x:c r="G391" s="74" t="n">
        <x:v>0.0007000000000000001</x:v>
      </x:c>
      <x:c r="H391" s="66" t="str">
        <x:v>常行7号净值20260911.xlsx</x:v>
      </x:c>
      <x:c r="I391" s="73" t="str">
        <x:f>""</x:f>
      </x:c>
      <x:c r="J391" s="74" t="str">
        <x:f>""</x:f>
      </x:c>
      <x:c r="K391" s="73" t="n">
        <x:f>MAX(K390,F391)</x:f>
        <x:v>1.2011</x:v>
      </x:c>
      <x:c r="L391" s="74" t="n">
        <x:f>1-F391/K391</x:f>
        <x:v>0</x:v>
      </x:c>
      <x:c r="M391" s="73" t="n">
        <x:f>MAX(M390,F391)</x:f>
        <x:v>1.2011</x:v>
      </x:c>
      <x:c r="N391" s="74" t="n">
        <x:f>1-F391/M391</x:f>
        <x:v>0</x:v>
      </x:c>
    </x:row>
    <x:row r="392" ht="27" customHeight="1">
      <x:c r="A392" s="66" t="str">
        <x:v>SQH214</x:v>
      </x:c>
      <x:c r="B392" s="66" t="str">
        <x:v>常行7号</x:v>
      </x:c>
      <x:c r="C392" s="72" t="n">
        <x:v>45373</x:v>
      </x:c>
      <x:c r="D392" s="73" t="n">
        <x:v>1.094</x:v>
      </x:c>
      <x:c r="E392" s="73" t="n">
        <x:v>1.194</x:v>
      </x:c>
      <x:c r="F392" s="73" t="n">
        <x:v>1.2021</x:v>
      </x:c>
      <x:c r="G392" s="74" t="n">
        <x:v>0.0008</x:v>
      </x:c>
      <x:c r="H392" s="66" t="str">
        <x:v>常行7号净值20260911.xlsx</x:v>
      </x:c>
      <x:c r="I392" s="73" t="str">
        <x:f>""</x:f>
      </x:c>
      <x:c r="J392" s="74" t="str">
        <x:f>""</x:f>
      </x:c>
      <x:c r="K392" s="73" t="n">
        <x:f>MAX(K391,F392)</x:f>
        <x:v>1.2021</x:v>
      </x:c>
      <x:c r="L392" s="74" t="n">
        <x:f>1-F392/K392</x:f>
        <x:v>0</x:v>
      </x:c>
      <x:c r="M392" s="73" t="n">
        <x:f>MAX(M391,F392)</x:f>
        <x:v>1.2021</x:v>
      </x:c>
      <x:c r="N392" s="74" t="n">
        <x:f>1-F392/M392</x:f>
        <x:v>0</x:v>
      </x:c>
    </x:row>
    <x:row r="393" ht="27" customHeight="1">
      <x:c r="A393" s="66" t="str">
        <x:v>SQH214</x:v>
      </x:c>
      <x:c r="B393" s="66" t="str">
        <x:v>常行7号</x:v>
      </x:c>
      <x:c r="C393" s="72" t="n">
        <x:v>45380</x:v>
      </x:c>
      <x:c r="D393" s="73" t="n">
        <x:v>1.0957</x:v>
      </x:c>
      <x:c r="E393" s="73" t="n">
        <x:v>1.1957</x:v>
      </x:c>
      <x:c r="F393" s="73" t="n">
        <x:v>1.204</x:v>
      </x:c>
      <x:c r="G393" s="74" t="n">
        <x:v>0.0016</x:v>
      </x:c>
      <x:c r="H393" s="66" t="str">
        <x:v>常行7号净值20260911.xlsx</x:v>
      </x:c>
      <x:c r="I393" s="73" t="str">
        <x:f>""</x:f>
      </x:c>
      <x:c r="J393" s="74" t="str">
        <x:f>""</x:f>
      </x:c>
      <x:c r="K393" s="73" t="n">
        <x:f>MAX(K392,F393)</x:f>
        <x:v>1.204</x:v>
      </x:c>
      <x:c r="L393" s="74" t="n">
        <x:f>1-F393/K393</x:f>
        <x:v>0</x:v>
      </x:c>
      <x:c r="M393" s="73" t="n">
        <x:f>MAX(M392,F393)</x:f>
        <x:v>1.204</x:v>
      </x:c>
      <x:c r="N393" s="74" t="n">
        <x:f>1-F393/M393</x:f>
        <x:v>0</x:v>
      </x:c>
    </x:row>
    <x:row r="394" ht="27" customHeight="1">
      <x:c r="A394" s="66" t="str">
        <x:v>SQH214</x:v>
      </x:c>
      <x:c r="B394" s="66" t="str">
        <x:v>常行7号</x:v>
      </x:c>
      <x:c r="C394" s="72" t="n">
        <x:v>45385</x:v>
      </x:c>
      <x:c r="D394" s="73" t="n">
        <x:v>1.0958</x:v>
      </x:c>
      <x:c r="E394" s="73" t="n">
        <x:v>1.1958</x:v>
      </x:c>
      <x:c r="F394" s="73" t="n">
        <x:v>1.2041</x:v>
      </x:c>
      <x:c r="G394" s="74" t="n">
        <x:v>0.0001</x:v>
      </x:c>
      <x:c r="H394" s="66" t="str">
        <x:v>常行7号净值20260911.xlsx</x:v>
      </x:c>
      <x:c r="I394" s="73" t="str">
        <x:f>""</x:f>
      </x:c>
      <x:c r="J394" s="74" t="str">
        <x:f>""</x:f>
      </x:c>
      <x:c r="K394" s="73" t="n">
        <x:f>MAX(K393,F394)</x:f>
        <x:v>1.2041</x:v>
      </x:c>
      <x:c r="L394" s="74" t="n">
        <x:f>1-F394/K394</x:f>
        <x:v>0</x:v>
      </x:c>
      <x:c r="M394" s="73" t="n">
        <x:f>MAX(M393,F394)</x:f>
        <x:v>1.2041</x:v>
      </x:c>
      <x:c r="N394" s="74" t="n">
        <x:f>1-F394/M394</x:f>
        <x:v>0</x:v>
      </x:c>
    </x:row>
    <x:row r="395" ht="27" customHeight="1">
      <x:c r="A395" s="66" t="str">
        <x:v>SQH214</x:v>
      </x:c>
      <x:c r="B395" s="66" t="str">
        <x:v>常行7号</x:v>
      </x:c>
      <x:c r="C395" s="72" t="n">
        <x:v>45394</x:v>
      </x:c>
      <x:c r="D395" s="73" t="n">
        <x:v>1.0963</x:v>
      </x:c>
      <x:c r="E395" s="73" t="n">
        <x:v>1.1963</x:v>
      </x:c>
      <x:c r="F395" s="73" t="n">
        <x:v>1.2046</x:v>
      </x:c>
      <x:c r="G395" s="74" t="n">
        <x:v>0.0005</x:v>
      </x:c>
      <x:c r="H395" s="66" t="str">
        <x:v>常行7号净值20260911.xlsx</x:v>
      </x:c>
      <x:c r="I395" s="73" t="str">
        <x:f>""</x:f>
      </x:c>
      <x:c r="J395" s="74" t="str">
        <x:f>""</x:f>
      </x:c>
      <x:c r="K395" s="73" t="n">
        <x:f>MAX(K394,F395)</x:f>
        <x:v>1.2046</x:v>
      </x:c>
      <x:c r="L395" s="74" t="n">
        <x:f>1-F395/K395</x:f>
        <x:v>0</x:v>
      </x:c>
      <x:c r="M395" s="73" t="n">
        <x:f>MAX(M394,F395)</x:f>
        <x:v>1.2046</x:v>
      </x:c>
      <x:c r="N395" s="74" t="n">
        <x:f>1-F395/M395</x:f>
        <x:v>0</x:v>
      </x:c>
    </x:row>
    <x:row r="396" ht="27" customHeight="1">
      <x:c r="A396" s="66" t="str">
        <x:v>SQH214</x:v>
      </x:c>
      <x:c r="B396" s="66" t="str">
        <x:v>常行7号</x:v>
      </x:c>
      <x:c r="C396" s="72" t="n">
        <x:v>45401</x:v>
      </x:c>
      <x:c r="D396" s="73" t="n">
        <x:v>1.0973</x:v>
      </x:c>
      <x:c r="E396" s="73" t="n">
        <x:v>1.1973</x:v>
      </x:c>
      <x:c r="F396" s="73" t="n">
        <x:v>1.2057</x:v>
      </x:c>
      <x:c r="G396" s="74" t="n">
        <x:v>0.0009</x:v>
      </x:c>
      <x:c r="H396" s="66" t="str">
        <x:v>常行7号净值20260911.xlsx</x:v>
      </x:c>
      <x:c r="I396" s="73" t="str">
        <x:f>""</x:f>
      </x:c>
      <x:c r="J396" s="74" t="str">
        <x:f>""</x:f>
      </x:c>
      <x:c r="K396" s="73" t="n">
        <x:f>MAX(K395,F396)</x:f>
        <x:v>1.2057</x:v>
      </x:c>
      <x:c r="L396" s="74" t="n">
        <x:f>1-F396/K396</x:f>
        <x:v>0</x:v>
      </x:c>
      <x:c r="M396" s="73" t="n">
        <x:f>MAX(M395,F396)</x:f>
        <x:v>1.2057</x:v>
      </x:c>
      <x:c r="N396" s="74" t="n">
        <x:f>1-F396/M396</x:f>
        <x:v>0</x:v>
      </x:c>
    </x:row>
    <x:row r="397" ht="27" customHeight="1">
      <x:c r="A397" s="66" t="str">
        <x:v>SQH214</x:v>
      </x:c>
      <x:c r="B397" s="66" t="str">
        <x:v>常行7号</x:v>
      </x:c>
      <x:c r="C397" s="72" t="n">
        <x:v>45408</x:v>
      </x:c>
      <x:c r="D397" s="73" t="n">
        <x:v>1.0988</x:v>
      </x:c>
      <x:c r="E397" s="73" t="n">
        <x:v>1.1988</x:v>
      </x:c>
      <x:c r="F397" s="73" t="n">
        <x:v>1.2074</x:v>
      </x:c>
      <x:c r="G397" s="74" t="n">
        <x:v>0.0014000000000000002</x:v>
      </x:c>
      <x:c r="H397" s="66" t="str">
        <x:v>常行7号净值20260911.xlsx</x:v>
      </x:c>
      <x:c r="I397" s="73" t="str">
        <x:f>""</x:f>
      </x:c>
      <x:c r="J397" s="74" t="str">
        <x:f>""</x:f>
      </x:c>
      <x:c r="K397" s="73" t="n">
        <x:f>MAX(K396,F397)</x:f>
        <x:v>1.2074</x:v>
      </x:c>
      <x:c r="L397" s="74" t="n">
        <x:f>1-F397/K397</x:f>
        <x:v>0</x:v>
      </x:c>
      <x:c r="M397" s="73" t="n">
        <x:f>MAX(M396,F397)</x:f>
        <x:v>1.2074</x:v>
      </x:c>
      <x:c r="N397" s="74" t="n">
        <x:f>1-F397/M397</x:f>
        <x:v>0</x:v>
      </x:c>
    </x:row>
    <x:row r="398" ht="27" customHeight="1">
      <x:c r="A398" s="66" t="str">
        <x:v>SQH214</x:v>
      </x:c>
      <x:c r="B398" s="66" t="str">
        <x:v>常行7号</x:v>
      </x:c>
      <x:c r="C398" s="72" t="n">
        <x:v>45412</x:v>
      </x:c>
      <x:c r="D398" s="73" t="n">
        <x:v>1.0985</x:v>
      </x:c>
      <x:c r="E398" s="73" t="n">
        <x:v>1.1985</x:v>
      </x:c>
      <x:c r="F398" s="73" t="n">
        <x:v>1.207</x:v>
      </x:c>
      <x:c r="G398" s="74" t="n">
        <x:v>-0.0003</x:v>
      </x:c>
      <x:c r="H398" s="66" t="str">
        <x:v>常行7号净值20260911.xlsx</x:v>
      </x:c>
      <x:c r="I398" s="73" t="str">
        <x:f>""</x:f>
      </x:c>
      <x:c r="J398" s="74" t="str">
        <x:f>""</x:f>
      </x:c>
      <x:c r="K398" s="73" t="n">
        <x:f>MAX(K397,F398)</x:f>
        <x:v>1.2074</x:v>
      </x:c>
      <x:c r="L398" s="74" t="n">
        <x:f>1-F398/K398</x:f>
        <x:v>0.0003312903760145369</x:v>
      </x:c>
      <x:c r="M398" s="73" t="n">
        <x:f>MAX(M397,F398)</x:f>
        <x:v>1.2074</x:v>
      </x:c>
      <x:c r="N398" s="74" t="n">
        <x:f>1-F398/M398</x:f>
        <x:v>0.0003312903760145369</x:v>
      </x:c>
    </x:row>
    <x:row r="399" ht="27" customHeight="1">
      <x:c r="A399" s="66" t="str">
        <x:v>SQH214</x:v>
      </x:c>
      <x:c r="B399" s="66" t="str">
        <x:v>常行7号</x:v>
      </x:c>
      <x:c r="C399" s="72" t="n">
        <x:v>45422</x:v>
      </x:c>
      <x:c r="D399" s="73" t="n">
        <x:v>1.0986</x:v>
      </x:c>
      <x:c r="E399" s="73" t="n">
        <x:v>1.1986</x:v>
      </x:c>
      <x:c r="F399" s="73" t="n">
        <x:v>1.2072</x:v>
      </x:c>
      <x:c r="G399" s="74" t="n">
        <x:v>0.0001</x:v>
      </x:c>
      <x:c r="H399" s="66" t="str">
        <x:v>常行7号净值20260911.xlsx</x:v>
      </x:c>
      <x:c r="I399" s="73" t="str">
        <x:f>""</x:f>
      </x:c>
      <x:c r="J399" s="74" t="str">
        <x:f>""</x:f>
      </x:c>
      <x:c r="K399" s="73" t="n">
        <x:f>MAX(K398,F399)</x:f>
        <x:v>1.2074</x:v>
      </x:c>
      <x:c r="L399" s="74" t="n">
        <x:f>1-F399/K399</x:f>
        <x:v>0.00016564518800732397</x:v>
      </x:c>
      <x:c r="M399" s="73" t="n">
        <x:f>MAX(M398,F399)</x:f>
        <x:v>1.2074</x:v>
      </x:c>
      <x:c r="N399" s="74" t="n">
        <x:f>1-F399/M399</x:f>
        <x:v>0.00016564518800732397</x:v>
      </x:c>
    </x:row>
    <x:row r="400" ht="27" customHeight="1">
      <x:c r="A400" s="66" t="str">
        <x:v>SQH214</x:v>
      </x:c>
      <x:c r="B400" s="66" t="str">
        <x:v>常行7号</x:v>
      </x:c>
      <x:c r="C400" s="72" t="n">
        <x:v>45429</x:v>
      </x:c>
      <x:c r="D400" s="73" t="n">
        <x:v>1.1004</x:v>
      </x:c>
      <x:c r="E400" s="73" t="n">
        <x:v>1.2004</x:v>
      </x:c>
      <x:c r="F400" s="73" t="n">
        <x:v>1.2091</x:v>
      </x:c>
      <x:c r="G400" s="74" t="n">
        <x:v>0.0016</x:v>
      </x:c>
      <x:c r="H400" s="66" t="str">
        <x:v>常行7号净值20260911.xlsx</x:v>
      </x:c>
      <x:c r="I400" s="73" t="str">
        <x:f>""</x:f>
      </x:c>
      <x:c r="J400" s="74" t="str">
        <x:f>""</x:f>
      </x:c>
      <x:c r="K400" s="73" t="n">
        <x:f>MAX(K399,F400)</x:f>
        <x:v>1.2091</x:v>
      </x:c>
      <x:c r="L400" s="74" t="n">
        <x:f>1-F400/K400</x:f>
        <x:v>0</x:v>
      </x:c>
      <x:c r="M400" s="73" t="n">
        <x:f>MAX(M399,F400)</x:f>
        <x:v>1.2091</x:v>
      </x:c>
      <x:c r="N400" s="74" t="n">
        <x:f>1-F400/M400</x:f>
        <x:v>0</x:v>
      </x:c>
    </x:row>
    <x:row r="401" ht="27" customHeight="1">
      <x:c r="A401" s="66" t="str">
        <x:v>SQH214</x:v>
      </x:c>
      <x:c r="B401" s="66" t="str">
        <x:v>常行7号</x:v>
      </x:c>
      <x:c r="C401" s="72" t="n">
        <x:v>45436</x:v>
      </x:c>
      <x:c r="D401" s="73" t="n">
        <x:v>1.1015</x:v>
      </x:c>
      <x:c r="E401" s="73" t="n">
        <x:v>1.2015</x:v>
      </x:c>
      <x:c r="F401" s="73" t="n">
        <x:v>1.2103</x:v>
      </x:c>
      <x:c r="G401" s="74" t="n">
        <x:v>0.001</x:v>
      </x:c>
      <x:c r="H401" s="66" t="str">
        <x:v>常行7号净值20260911.xlsx</x:v>
      </x:c>
      <x:c r="I401" s="73" t="str">
        <x:f>""</x:f>
      </x:c>
      <x:c r="J401" s="74" t="str">
        <x:f>""</x:f>
      </x:c>
      <x:c r="K401" s="73" t="n">
        <x:f>MAX(K400,F401)</x:f>
        <x:v>1.2103</x:v>
      </x:c>
      <x:c r="L401" s="74" t="n">
        <x:f>1-F401/K401</x:f>
        <x:v>0</x:v>
      </x:c>
      <x:c r="M401" s="73" t="n">
        <x:f>MAX(M400,F401)</x:f>
        <x:v>1.2103</x:v>
      </x:c>
      <x:c r="N401" s="74" t="n">
        <x:f>1-F401/M401</x:f>
        <x:v>0</x:v>
      </x:c>
    </x:row>
    <x:row r="402" ht="27" customHeight="1">
      <x:c r="A402" s="66" t="str">
        <x:v>SQH214</x:v>
      </x:c>
      <x:c r="B402" s="66" t="str">
        <x:v>常行7号</x:v>
      </x:c>
      <x:c r="C402" s="72" t="n">
        <x:v>45443</x:v>
      </x:c>
      <x:c r="D402" s="73" t="n">
        <x:v>1.1017</x:v>
      </x:c>
      <x:c r="E402" s="73" t="n">
        <x:v>1.2017</x:v>
      </x:c>
      <x:c r="F402" s="73" t="n">
        <x:v>1.2106</x:v>
      </x:c>
      <x:c r="G402" s="74" t="n">
        <x:v>0.0002</x:v>
      </x:c>
      <x:c r="H402" s="66" t="str">
        <x:v>常行7号净值20260911.xlsx</x:v>
      </x:c>
      <x:c r="I402" s="73" t="str">
        <x:f>""</x:f>
      </x:c>
      <x:c r="J402" s="74" t="str">
        <x:f>""</x:f>
      </x:c>
      <x:c r="K402" s="73" t="n">
        <x:f>MAX(K401,F402)</x:f>
        <x:v>1.2106</x:v>
      </x:c>
      <x:c r="L402" s="74" t="n">
        <x:f>1-F402/K402</x:f>
        <x:v>0</x:v>
      </x:c>
      <x:c r="M402" s="73" t="n">
        <x:f>MAX(M401,F402)</x:f>
        <x:v>1.2106</x:v>
      </x:c>
      <x:c r="N402" s="74" t="n">
        <x:f>1-F402/M402</x:f>
        <x:v>0</x:v>
      </x:c>
    </x:row>
    <x:row r="403" ht="27" customHeight="1">
      <x:c r="A403" s="66" t="str">
        <x:v>SQH214</x:v>
      </x:c>
      <x:c r="B403" s="66" t="str">
        <x:v>常行7号</x:v>
      </x:c>
      <x:c r="C403" s="72" t="n">
        <x:v>45450</x:v>
      </x:c>
      <x:c r="D403" s="73" t="n">
        <x:v>1.1022</x:v>
      </x:c>
      <x:c r="E403" s="73" t="n">
        <x:v>1.2022</x:v>
      </x:c>
      <x:c r="F403" s="73" t="n">
        <x:v>1.2111</x:v>
      </x:c>
      <x:c r="G403" s="74" t="n">
        <x:v>0.0005</x:v>
      </x:c>
      <x:c r="H403" s="66" t="str">
        <x:v>常行7号净值20260911.xlsx</x:v>
      </x:c>
      <x:c r="I403" s="73" t="str">
        <x:f>""</x:f>
      </x:c>
      <x:c r="J403" s="74" t="str">
        <x:f>""</x:f>
      </x:c>
      <x:c r="K403" s="73" t="n">
        <x:f>MAX(K402,F403)</x:f>
        <x:v>1.2111</x:v>
      </x:c>
      <x:c r="L403" s="74" t="n">
        <x:f>1-F403/K403</x:f>
        <x:v>0</x:v>
      </x:c>
      <x:c r="M403" s="73" t="n">
        <x:f>MAX(M402,F403)</x:f>
        <x:v>1.2111</x:v>
      </x:c>
      <x:c r="N403" s="74" t="n">
        <x:f>1-F403/M403</x:f>
        <x:v>0</x:v>
      </x:c>
    </x:row>
    <x:row r="404" ht="27" customHeight="1">
      <x:c r="A404" s="66" t="str">
        <x:v>SQH214</x:v>
      </x:c>
      <x:c r="B404" s="66" t="str">
        <x:v>常行7号</x:v>
      </x:c>
      <x:c r="C404" s="72" t="n">
        <x:v>45457</x:v>
      </x:c>
      <x:c r="D404" s="73" t="n">
        <x:v>1.1015</x:v>
      </x:c>
      <x:c r="E404" s="73" t="n">
        <x:v>1.2015</x:v>
      </x:c>
      <x:c r="F404" s="73" t="n">
        <x:v>1.2103</x:v>
      </x:c>
      <x:c r="G404" s="74" t="n">
        <x:v>-0.0006</x:v>
      </x:c>
      <x:c r="H404" s="66" t="str">
        <x:v>常行7号净值20260911.xlsx</x:v>
      </x:c>
      <x:c r="I404" s="73" t="str">
        <x:f>""</x:f>
      </x:c>
      <x:c r="J404" s="74" t="str">
        <x:f>""</x:f>
      </x:c>
      <x:c r="K404" s="73" t="n">
        <x:f>MAX(K403,F404)</x:f>
        <x:v>1.2111</x:v>
      </x:c>
      <x:c r="L404" s="74" t="n">
        <x:f>1-F404/K404</x:f>
        <x:v>0.0006605565188672058</x:v>
      </x:c>
      <x:c r="M404" s="73" t="n">
        <x:f>MAX(M403,F404)</x:f>
        <x:v>1.2111</x:v>
      </x:c>
      <x:c r="N404" s="74" t="n">
        <x:f>1-F404/M404</x:f>
        <x:v>0.0006605565188672058</x:v>
      </x:c>
    </x:row>
    <x:row r="405" ht="27" customHeight="1">
      <x:c r="A405" s="66" t="str">
        <x:v>SQH214</x:v>
      </x:c>
      <x:c r="B405" s="66" t="str">
        <x:v>常行7号</x:v>
      </x:c>
      <x:c r="C405" s="72" t="n">
        <x:v>45464</x:v>
      </x:c>
      <x:c r="D405" s="73" t="n">
        <x:v>1.1024</x:v>
      </x:c>
      <x:c r="E405" s="73" t="n">
        <x:v>1.2024</x:v>
      </x:c>
      <x:c r="F405" s="73" t="n">
        <x:v>1.2113</x:v>
      </x:c>
      <x:c r="G405" s="74" t="n">
        <x:v>0.0008</x:v>
      </x:c>
      <x:c r="H405" s="66" t="str">
        <x:v>常行7号净值20260911.xlsx</x:v>
      </x:c>
      <x:c r="I405" s="73" t="str">
        <x:f>""</x:f>
      </x:c>
      <x:c r="J405" s="74" t="str">
        <x:f>""</x:f>
      </x:c>
      <x:c r="K405" s="73" t="n">
        <x:f>MAX(K404,F405)</x:f>
        <x:v>1.2113</x:v>
      </x:c>
      <x:c r="L405" s="74" t="n">
        <x:f>1-F405/K405</x:f>
        <x:v>0</x:v>
      </x:c>
      <x:c r="M405" s="73" t="n">
        <x:f>MAX(M404,F405)</x:f>
        <x:v>1.2113</x:v>
      </x:c>
      <x:c r="N405" s="74" t="n">
        <x:f>1-F405/M405</x:f>
        <x:v>0</x:v>
      </x:c>
    </x:row>
    <x:row r="406" ht="27" customHeight="1">
      <x:c r="A406" s="66" t="str">
        <x:v>SQH214</x:v>
      </x:c>
      <x:c r="B406" s="66" t="str">
        <x:v>常行7号</x:v>
      </x:c>
      <x:c r="C406" s="72" t="n">
        <x:v>45471</x:v>
      </x:c>
      <x:c r="D406" s="73" t="n">
        <x:v>1.1062</x:v>
      </x:c>
      <x:c r="E406" s="73" t="n">
        <x:v>1.2062</x:v>
      </x:c>
      <x:c r="F406" s="73" t="n">
        <x:v>1.2155</x:v>
      </x:c>
      <x:c r="G406" s="74" t="n">
        <x:v>0.0034000000000000002</x:v>
      </x:c>
      <x:c r="H406" s="66" t="str">
        <x:v>常行7号净值20260911.xlsx</x:v>
      </x:c>
      <x:c r="I406" s="73" t="str">
        <x:f>""</x:f>
      </x:c>
      <x:c r="J406" s="74" t="str">
        <x:f>""</x:f>
      </x:c>
      <x:c r="K406" s="73" t="n">
        <x:f>MAX(K405,F406)</x:f>
        <x:v>1.2155</x:v>
      </x:c>
      <x:c r="L406" s="74" t="n">
        <x:f>1-F406/K406</x:f>
        <x:v>0</x:v>
      </x:c>
      <x:c r="M406" s="73" t="n">
        <x:f>MAX(M405,F406)</x:f>
        <x:v>1.2155</x:v>
      </x:c>
      <x:c r="N406" s="74" t="n">
        <x:f>1-F406/M406</x:f>
        <x:v>0</x:v>
      </x:c>
    </x:row>
    <x:row r="407" ht="27" customHeight="1">
      <x:c r="A407" s="66" t="str">
        <x:v>SQH214</x:v>
      </x:c>
      <x:c r="B407" s="66" t="str">
        <x:v>常行7号</x:v>
      </x:c>
      <x:c r="C407" s="72" t="n">
        <x:v>45478</x:v>
      </x:c>
      <x:c r="D407" s="73" t="n">
        <x:v>1.1071</x:v>
      </x:c>
      <x:c r="E407" s="73" t="n">
        <x:v>1.2071</x:v>
      </x:c>
      <x:c r="F407" s="73" t="n">
        <x:v>1.2165</x:v>
      </x:c>
      <x:c r="G407" s="74" t="n">
        <x:v>0.0008</x:v>
      </x:c>
      <x:c r="H407" s="66" t="str">
        <x:v>常行7号净值20260911.xlsx</x:v>
      </x:c>
      <x:c r="I407" s="73" t="str">
        <x:f>""</x:f>
      </x:c>
      <x:c r="J407" s="74" t="str">
        <x:f>""</x:f>
      </x:c>
      <x:c r="K407" s="73" t="n">
        <x:f>MAX(K406,F407)</x:f>
        <x:v>1.2165</x:v>
      </x:c>
      <x:c r="L407" s="74" t="n">
        <x:f>1-F407/K407</x:f>
        <x:v>0</x:v>
      </x:c>
      <x:c r="M407" s="73" t="n">
        <x:f>MAX(M406,F407)</x:f>
        <x:v>1.2165</x:v>
      </x:c>
      <x:c r="N407" s="74" t="n">
        <x:f>1-F407/M407</x:f>
        <x:v>0</x:v>
      </x:c>
    </x:row>
    <x:row r="408" ht="27" customHeight="1">
      <x:c r="A408" s="66" t="str">
        <x:v>SQH214</x:v>
      </x:c>
      <x:c r="B408" s="66" t="str">
        <x:v>常行7号</x:v>
      </x:c>
      <x:c r="C408" s="72" t="n">
        <x:v>45485</x:v>
      </x:c>
      <x:c r="D408" s="73" t="n">
        <x:v>1.1144</x:v>
      </x:c>
      <x:c r="E408" s="73" t="n">
        <x:v>1.2144</x:v>
      </x:c>
      <x:c r="F408" s="73" t="n">
        <x:v>1.2245</x:v>
      </x:c>
      <x:c r="G408" s="74" t="n">
        <x:v>0.0066</x:v>
      </x:c>
      <x:c r="H408" s="66" t="str">
        <x:v>常行7号净值20260911.xlsx</x:v>
      </x:c>
      <x:c r="I408" s="73" t="str">
        <x:f>""</x:f>
      </x:c>
      <x:c r="J408" s="74" t="str">
        <x:f>""</x:f>
      </x:c>
      <x:c r="K408" s="73" t="n">
        <x:f>MAX(K407,F408)</x:f>
        <x:v>1.2245</x:v>
      </x:c>
      <x:c r="L408" s="74" t="n">
        <x:f>1-F408/K408</x:f>
        <x:v>0</x:v>
      </x:c>
      <x:c r="M408" s="73" t="n">
        <x:f>MAX(M407,F408)</x:f>
        <x:v>1.2245</x:v>
      </x:c>
      <x:c r="N408" s="74" t="n">
        <x:f>1-F408/M408</x:f>
        <x:v>0</x:v>
      </x:c>
    </x:row>
    <x:row r="409" ht="27" customHeight="1">
      <x:c r="A409" s="66" t="str">
        <x:v>SQH214</x:v>
      </x:c>
      <x:c r="B409" s="66" t="str">
        <x:v>常行7号</x:v>
      </x:c>
      <x:c r="C409" s="72" t="n">
        <x:v>45492</x:v>
      </x:c>
      <x:c r="D409" s="73" t="n">
        <x:v>1.1141</x:v>
      </x:c>
      <x:c r="E409" s="73" t="n">
        <x:v>1.2141</x:v>
      </x:c>
      <x:c r="F409" s="73" t="n">
        <x:v>1.2242</x:v>
      </x:c>
      <x:c r="G409" s="74" t="n">
        <x:v>-0.0003</x:v>
      </x:c>
      <x:c r="H409" s="66" t="str">
        <x:v>常行7号净值20260911.xlsx</x:v>
      </x:c>
      <x:c r="I409" s="73" t="str">
        <x:f>""</x:f>
      </x:c>
      <x:c r="J409" s="74" t="str">
        <x:f>""</x:f>
      </x:c>
      <x:c r="K409" s="73" t="n">
        <x:f>MAX(K408,F409)</x:f>
        <x:v>1.2245</x:v>
      </x:c>
      <x:c r="L409" s="74" t="n">
        <x:f>1-F409/K409</x:f>
        <x:v>0.00024499795835031257</x:v>
      </x:c>
      <x:c r="M409" s="73" t="n">
        <x:f>MAX(M408,F409)</x:f>
        <x:v>1.2245</x:v>
      </x:c>
      <x:c r="N409" s="74" t="n">
        <x:f>1-F409/M409</x:f>
        <x:v>0.00024499795835031257</x:v>
      </x:c>
    </x:row>
    <x:row r="410" ht="27" customHeight="1">
      <x:c r="A410" s="66" t="str">
        <x:v>SQH214</x:v>
      </x:c>
      <x:c r="B410" s="66" t="str">
        <x:v>常行7号</x:v>
      </x:c>
      <x:c r="C410" s="72" t="n">
        <x:v>45499</x:v>
      </x:c>
      <x:c r="D410" s="73" t="n">
        <x:v>1.113</x:v>
      </x:c>
      <x:c r="E410" s="73" t="n">
        <x:v>1.213</x:v>
      </x:c>
      <x:c r="F410" s="73" t="n">
        <x:v>1.223</x:v>
      </x:c>
      <x:c r="G410" s="74" t="n">
        <x:v>-0.001</x:v>
      </x:c>
      <x:c r="H410" s="66" t="str">
        <x:v>常行7号净值20260911.xlsx</x:v>
      </x:c>
      <x:c r="I410" s="73" t="str">
        <x:f>""</x:f>
      </x:c>
      <x:c r="J410" s="74" t="str">
        <x:f>""</x:f>
      </x:c>
      <x:c r="K410" s="73" t="n">
        <x:f>MAX(K409,F410)</x:f>
        <x:v>1.2245</x:v>
      </x:c>
      <x:c r="L410" s="74" t="n">
        <x:f>1-F410/K410</x:f>
        <x:v>0.0012249897917515629</x:v>
      </x:c>
      <x:c r="M410" s="73" t="n">
        <x:f>MAX(M409,F410)</x:f>
        <x:v>1.2245</x:v>
      </x:c>
      <x:c r="N410" s="74" t="n">
        <x:f>1-F410/M410</x:f>
        <x:v>0.0012249897917515629</x:v>
      </x:c>
    </x:row>
    <x:row r="411" ht="27" customHeight="1">
      <x:c r="A411" s="66" t="str">
        <x:v>SQH214</x:v>
      </x:c>
      <x:c r="B411" s="66" t="str">
        <x:v>常行7号</x:v>
      </x:c>
      <x:c r="C411" s="72" t="n">
        <x:v>45506</x:v>
      </x:c>
      <x:c r="D411" s="73" t="n">
        <x:v>1.1124</x:v>
      </x:c>
      <x:c r="E411" s="73" t="n">
        <x:v>1.2124</x:v>
      </x:c>
      <x:c r="F411" s="73" t="n">
        <x:v>1.2223</x:v>
      </x:c>
      <x:c r="G411" s="74" t="n">
        <x:v>-0.0005</x:v>
      </x:c>
      <x:c r="H411" s="66" t="str">
        <x:v>常行7号净值20260911.xlsx</x:v>
      </x:c>
      <x:c r="I411" s="73" t="str">
        <x:f>""</x:f>
      </x:c>
      <x:c r="J411" s="74" t="str">
        <x:f>""</x:f>
      </x:c>
      <x:c r="K411" s="73" t="n">
        <x:f>MAX(K410,F411)</x:f>
        <x:v>1.2245</x:v>
      </x:c>
      <x:c r="L411" s="74" t="n">
        <x:f>1-F411/K411</x:f>
        <x:v>0.001796651694569218</x:v>
      </x:c>
      <x:c r="M411" s="73" t="n">
        <x:f>MAX(M410,F411)</x:f>
        <x:v>1.2245</x:v>
      </x:c>
      <x:c r="N411" s="74" t="n">
        <x:f>1-F411/M411</x:f>
        <x:v>0.001796651694569218</x:v>
      </x:c>
    </x:row>
    <x:row r="412" ht="27" customHeight="1">
      <x:c r="A412" s="66" t="str">
        <x:v>SQH214</x:v>
      </x:c>
      <x:c r="B412" s="66" t="str">
        <x:v>常行7号</x:v>
      </x:c>
      <x:c r="C412" s="72" t="n">
        <x:v>45513</x:v>
      </x:c>
      <x:c r="D412" s="73" t="n">
        <x:v>1.1112</x:v>
      </x:c>
      <x:c r="E412" s="73" t="n">
        <x:v>1.2112</x:v>
      </x:c>
      <x:c r="F412" s="73" t="n">
        <x:v>1.221</x:v>
      </x:c>
      <x:c r="G412" s="74" t="n">
        <x:v>-0.0011</x:v>
      </x:c>
      <x:c r="H412" s="66" t="str">
        <x:v>常行7号净值20260911.xlsx</x:v>
      </x:c>
      <x:c r="I412" s="73" t="str">
        <x:f>""</x:f>
      </x:c>
      <x:c r="J412" s="74" t="str">
        <x:f>""</x:f>
      </x:c>
      <x:c r="K412" s="73" t="n">
        <x:f>MAX(K411,F412)</x:f>
        <x:v>1.2245</x:v>
      </x:c>
      <x:c r="L412" s="74" t="n">
        <x:f>1-F412/K412</x:f>
        <x:v>0.002858309514087276</x:v>
      </x:c>
      <x:c r="M412" s="73" t="n">
        <x:f>MAX(M411,F412)</x:f>
        <x:v>1.2245</x:v>
      </x:c>
      <x:c r="N412" s="74" t="n">
        <x:f>1-F412/M412</x:f>
        <x:v>0.002858309514087276</x:v>
      </x:c>
    </x:row>
    <x:row r="413" ht="27" customHeight="1">
      <x:c r="A413" s="66" t="str">
        <x:v>SQH214</x:v>
      </x:c>
      <x:c r="B413" s="66" t="str">
        <x:v>常行7号</x:v>
      </x:c>
      <x:c r="C413" s="72" t="n">
        <x:v>45520</x:v>
      </x:c>
      <x:c r="D413" s="73" t="n">
        <x:v>1.1128</x:v>
      </x:c>
      <x:c r="E413" s="73" t="n">
        <x:v>1.2128</x:v>
      </x:c>
      <x:c r="F413" s="73" t="n">
        <x:v>1.2228</x:v>
      </x:c>
      <x:c r="G413" s="74" t="n">
        <x:v>0.0014000000000000002</x:v>
      </x:c>
      <x:c r="H413" s="66" t="str">
        <x:v>常行7号净值20260911.xlsx</x:v>
      </x:c>
      <x:c r="I413" s="73" t="str">
        <x:f>""</x:f>
      </x:c>
      <x:c r="J413" s="74" t="str">
        <x:f>""</x:f>
      </x:c>
      <x:c r="K413" s="73" t="n">
        <x:f>MAX(K412,F413)</x:f>
        <x:v>1.2245</x:v>
      </x:c>
      <x:c r="L413" s="74" t="n">
        <x:f>1-F413/K413</x:f>
        <x:v>0.0013883217639851786</x:v>
      </x:c>
      <x:c r="M413" s="73" t="n">
        <x:f>MAX(M412,F413)</x:f>
        <x:v>1.2245</x:v>
      </x:c>
      <x:c r="N413" s="74" t="n">
        <x:f>1-F413/M413</x:f>
        <x:v>0.0013883217639851786</x:v>
      </x:c>
    </x:row>
    <x:row r="414" ht="27" customHeight="1">
      <x:c r="A414" s="66" t="str">
        <x:v>SQH214</x:v>
      </x:c>
      <x:c r="B414" s="66" t="str">
        <x:v>常行7号</x:v>
      </x:c>
      <x:c r="C414" s="72" t="n">
        <x:v>45527</x:v>
      </x:c>
      <x:c r="D414" s="73" t="n">
        <x:v>1.1138</x:v>
      </x:c>
      <x:c r="E414" s="73" t="n">
        <x:v>1.2138</x:v>
      </x:c>
      <x:c r="F414" s="73" t="n">
        <x:v>1.2239</x:v>
      </x:c>
      <x:c r="G414" s="74" t="n">
        <x:v>0.0009</x:v>
      </x:c>
      <x:c r="H414" s="66" t="str">
        <x:v>常行7号净值20260911.xlsx</x:v>
      </x:c>
      <x:c r="I414" s="73" t="str">
        <x:f>""</x:f>
      </x:c>
      <x:c r="J414" s="74" t="str">
        <x:f>""</x:f>
      </x:c>
      <x:c r="K414" s="73" t="n">
        <x:f>MAX(K413,F414)</x:f>
        <x:v>1.2245</x:v>
      </x:c>
      <x:c r="L414" s="74" t="n">
        <x:f>1-F414/K414</x:f>
        <x:v>0.0004899959167006251</x:v>
      </x:c>
      <x:c r="M414" s="73" t="n">
        <x:f>MAX(M413,F414)</x:f>
        <x:v>1.2245</x:v>
      </x:c>
      <x:c r="N414" s="74" t="n">
        <x:f>1-F414/M414</x:f>
        <x:v>0.0004899959167006251</x:v>
      </x:c>
    </x:row>
    <x:row r="415" ht="27" customHeight="1">
      <x:c r="A415" s="66" t="str">
        <x:v>SQH214</x:v>
      </x:c>
      <x:c r="B415" s="66" t="str">
        <x:v>常行7号</x:v>
      </x:c>
      <x:c r="C415" s="72" t="n">
        <x:v>45534</x:v>
      </x:c>
      <x:c r="D415" s="73" t="n">
        <x:v>1.1158</x:v>
      </x:c>
      <x:c r="E415" s="73" t="n">
        <x:v>1.2158</x:v>
      </x:c>
      <x:c r="F415" s="73" t="n">
        <x:v>1.2261</x:v>
      </x:c>
      <x:c r="G415" s="74" t="n">
        <x:v>0.0018</x:v>
      </x:c>
      <x:c r="H415" s="66" t="str">
        <x:v>常行7号净值20260911.xlsx</x:v>
      </x:c>
      <x:c r="I415" s="73" t="str">
        <x:f>""</x:f>
      </x:c>
      <x:c r="J415" s="74" t="str">
        <x:f>""</x:f>
      </x:c>
      <x:c r="K415" s="73" t="n">
        <x:f>MAX(K414,F415)</x:f>
        <x:v>1.2261</x:v>
      </x:c>
      <x:c r="L415" s="74" t="n">
        <x:f>1-F415/K415</x:f>
        <x:v>0</x:v>
      </x:c>
      <x:c r="M415" s="73" t="n">
        <x:f>MAX(M414,F415)</x:f>
        <x:v>1.2261</x:v>
      </x:c>
      <x:c r="N415" s="74" t="n">
        <x:f>1-F415/M415</x:f>
        <x:v>0</x:v>
      </x:c>
    </x:row>
    <x:row r="416" ht="27" customHeight="1">
      <x:c r="A416" s="66" t="str">
        <x:v>SQH214</x:v>
      </x:c>
      <x:c r="B416" s="66" t="str">
        <x:v>常行7号</x:v>
      </x:c>
      <x:c r="C416" s="72" t="n">
        <x:v>45541</x:v>
      </x:c>
      <x:c r="D416" s="73" t="n">
        <x:v>1.1153</x:v>
      </x:c>
      <x:c r="E416" s="73" t="n">
        <x:v>1.2153</x:v>
      </x:c>
      <x:c r="F416" s="73" t="n">
        <x:v>1.2255</x:v>
      </x:c>
      <x:c r="G416" s="74" t="n">
        <x:v>-0.0004</x:v>
      </x:c>
      <x:c r="H416" s="66" t="str">
        <x:v>常行7号净值20260911.xlsx</x:v>
      </x:c>
      <x:c r="I416" s="73" t="str">
        <x:f>""</x:f>
      </x:c>
      <x:c r="J416" s="74" t="str">
        <x:f>""</x:f>
      </x:c>
      <x:c r="K416" s="73" t="n">
        <x:f>MAX(K415,F416)</x:f>
        <x:v>1.2261</x:v>
      </x:c>
      <x:c r="L416" s="74" t="n">
        <x:f>1-F416/K416</x:f>
        <x:v>0.0004893564962074048</x:v>
      </x:c>
      <x:c r="M416" s="73" t="n">
        <x:f>MAX(M415,F416)</x:f>
        <x:v>1.2261</x:v>
      </x:c>
      <x:c r="N416" s="74" t="n">
        <x:f>1-F416/M416</x:f>
        <x:v>0.0004893564962074048</x:v>
      </x:c>
    </x:row>
    <x:row r="417" ht="27" customHeight="1">
      <x:c r="A417" s="66" t="str">
        <x:v>SQH214</x:v>
      </x:c>
      <x:c r="B417" s="66" t="str">
        <x:v>常行7号</x:v>
      </x:c>
      <x:c r="C417" s="72" t="n">
        <x:v>45548</x:v>
      </x:c>
      <x:c r="D417" s="73" t="n">
        <x:v>1.1158</x:v>
      </x:c>
      <x:c r="E417" s="73" t="n">
        <x:v>1.2158</x:v>
      </x:c>
      <x:c r="F417" s="73" t="n">
        <x:v>1.2261</x:v>
      </x:c>
      <x:c r="G417" s="74" t="n">
        <x:v>0.0004</x:v>
      </x:c>
      <x:c r="H417" s="66" t="str">
        <x:v>常行7号净值20260911.xlsx</x:v>
      </x:c>
      <x:c r="I417" s="73" t="str">
        <x:f>""</x:f>
      </x:c>
      <x:c r="J417" s="74" t="str">
        <x:f>""</x:f>
      </x:c>
      <x:c r="K417" s="73" t="n">
        <x:f>MAX(K416,F417)</x:f>
        <x:v>1.2261</x:v>
      </x:c>
      <x:c r="L417" s="74" t="n">
        <x:f>1-F417/K417</x:f>
        <x:v>0</x:v>
      </x:c>
      <x:c r="M417" s="73" t="n">
        <x:f>MAX(M416,F417)</x:f>
        <x:v>1.2261</x:v>
      </x:c>
      <x:c r="N417" s="74" t="n">
        <x:f>1-F417/M417</x:f>
        <x:v>0</x:v>
      </x:c>
    </x:row>
    <x:row r="418" ht="27" customHeight="1">
      <x:c r="A418" s="66" t="str">
        <x:v>SQH214</x:v>
      </x:c>
      <x:c r="B418" s="66" t="str">
        <x:v>常行7号</x:v>
      </x:c>
      <x:c r="C418" s="72" t="n">
        <x:v>45555</x:v>
      </x:c>
      <x:c r="D418" s="73" t="n">
        <x:v>1.1171</x:v>
      </x:c>
      <x:c r="E418" s="73" t="n">
        <x:v>1.2171</x:v>
      </x:c>
      <x:c r="F418" s="73" t="n">
        <x:v>1.2275</x:v>
      </x:c>
      <x:c r="G418" s="74" t="n">
        <x:v>0.0012</x:v>
      </x:c>
      <x:c r="H418" s="66" t="str">
        <x:v>常行7号净值20260911.xlsx</x:v>
      </x:c>
      <x:c r="I418" s="73" t="str">
        <x:f>""</x:f>
      </x:c>
      <x:c r="J418" s="74" t="str">
        <x:f>""</x:f>
      </x:c>
      <x:c r="K418" s="73" t="n">
        <x:f>MAX(K417,F418)</x:f>
        <x:v>1.2275</x:v>
      </x:c>
      <x:c r="L418" s="74" t="n">
        <x:f>1-F418/K418</x:f>
        <x:v>0</x:v>
      </x:c>
      <x:c r="M418" s="73" t="n">
        <x:f>MAX(M417,F418)</x:f>
        <x:v>1.2275</x:v>
      </x:c>
      <x:c r="N418" s="74" t="n">
        <x:f>1-F418/M418</x:f>
        <x:v>0</x:v>
      </x:c>
    </x:row>
    <x:row r="419" ht="27" customHeight="1">
      <x:c r="A419" s="66" t="str">
        <x:v>SQH214</x:v>
      </x:c>
      <x:c r="B419" s="66" t="str">
        <x:v>常行7号</x:v>
      </x:c>
      <x:c r="C419" s="72" t="n">
        <x:v>45562</x:v>
      </x:c>
      <x:c r="D419" s="73" t="n">
        <x:v>1.1223</x:v>
      </x:c>
      <x:c r="E419" s="73" t="n">
        <x:v>1.2223</x:v>
      </x:c>
      <x:c r="F419" s="73" t="n">
        <x:v>1.2332</x:v>
      </x:c>
      <x:c r="G419" s="74" t="n">
        <x:v>0.004699999999999999</x:v>
      </x:c>
      <x:c r="H419" s="66" t="str">
        <x:v>常行7号净值20260911.xlsx</x:v>
      </x:c>
      <x:c r="I419" s="73" t="str">
        <x:f>""</x:f>
      </x:c>
      <x:c r="J419" s="74" t="str">
        <x:f>""</x:f>
      </x:c>
      <x:c r="K419" s="73" t="n">
        <x:f>MAX(K418,F419)</x:f>
        <x:v>1.2332</x:v>
      </x:c>
      <x:c r="L419" s="74" t="n">
        <x:f>1-F419/K419</x:f>
        <x:v>0</x:v>
      </x:c>
      <x:c r="M419" s="73" t="n">
        <x:f>MAX(M418,F419)</x:f>
        <x:v>1.2332</x:v>
      </x:c>
      <x:c r="N419" s="74" t="n">
        <x:f>1-F419/M419</x:f>
        <x:v>0</x:v>
      </x:c>
    </x:row>
    <x:row r="420" ht="27" customHeight="1">
      <x:c r="A420" s="66" t="str">
        <x:v>SQH214</x:v>
      </x:c>
      <x:c r="B420" s="66" t="str">
        <x:v>常行7号</x:v>
      </x:c>
      <x:c r="C420" s="72" t="n">
        <x:v>45565</x:v>
      </x:c>
      <x:c r="D420" s="73" t="n">
        <x:v>1.1325</x:v>
      </x:c>
      <x:c r="E420" s="73" t="n">
        <x:v>1.2325</x:v>
      </x:c>
      <x:c r="F420" s="73" t="n">
        <x:v>1.2444</x:v>
      </x:c>
      <x:c r="G420" s="74" t="n">
        <x:v>0.0091</x:v>
      </x:c>
      <x:c r="H420" s="66" t="str">
        <x:v>常行7号净值20260911.xlsx</x:v>
      </x:c>
      <x:c r="I420" s="73" t="str">
        <x:f>""</x:f>
      </x:c>
      <x:c r="J420" s="74" t="str">
        <x:f>""</x:f>
      </x:c>
      <x:c r="K420" s="73" t="n">
        <x:f>MAX(K419,F420)</x:f>
        <x:v>1.2444</x:v>
      </x:c>
      <x:c r="L420" s="74" t="n">
        <x:f>1-F420/K420</x:f>
        <x:v>0</x:v>
      </x:c>
      <x:c r="M420" s="73" t="n">
        <x:f>MAX(M419,F420)</x:f>
        <x:v>1.2444</x:v>
      </x:c>
      <x:c r="N420" s="74" t="n">
        <x:f>1-F420/M420</x:f>
        <x:v>0</x:v>
      </x:c>
    </x:row>
    <x:row r="421" ht="27" customHeight="1">
      <x:c r="A421" s="66" t="str">
        <x:v>SQH214</x:v>
      </x:c>
      <x:c r="B421" s="66" t="str">
        <x:v>常行7号</x:v>
      </x:c>
      <x:c r="C421" s="72" t="n">
        <x:v>45576</x:v>
      </x:c>
      <x:c r="D421" s="73" t="n">
        <x:v>1.1546</x:v>
      </x:c>
      <x:c r="E421" s="73" t="n">
        <x:v>1.2546</x:v>
      </x:c>
      <x:c r="F421" s="73" t="n">
        <x:v>1.2687</x:v>
      </x:c>
      <x:c r="G421" s="74" t="n">
        <x:v>0.0195</x:v>
      </x:c>
      <x:c r="H421" s="66" t="str">
        <x:v>常行7号净值20260911.xlsx</x:v>
      </x:c>
      <x:c r="I421" s="73" t="str">
        <x:f>""</x:f>
      </x:c>
      <x:c r="J421" s="74" t="str">
        <x:f>""</x:f>
      </x:c>
      <x:c r="K421" s="73" t="n">
        <x:f>MAX(K420,F421)</x:f>
        <x:v>1.2687</x:v>
      </x:c>
      <x:c r="L421" s="74" t="n">
        <x:f>1-F421/K421</x:f>
        <x:v>0</x:v>
      </x:c>
      <x:c r="M421" s="73" t="n">
        <x:f>MAX(M420,F421)</x:f>
        <x:v>1.2687</x:v>
      </x:c>
      <x:c r="N421" s="74" t="n">
        <x:f>1-F421/M421</x:f>
        <x:v>0</x:v>
      </x:c>
    </x:row>
    <x:row r="422" ht="27" customHeight="1">
      <x:c r="A422" s="66" t="str">
        <x:v>SQH214</x:v>
      </x:c>
      <x:c r="B422" s="66" t="str">
        <x:v>常行7号</x:v>
      </x:c>
      <x:c r="C422" s="72" t="n">
        <x:v>45583</x:v>
      </x:c>
      <x:c r="D422" s="73" t="n">
        <x:v>1.1584</x:v>
      </x:c>
      <x:c r="E422" s="73" t="n">
        <x:v>1.2584</x:v>
      </x:c>
      <x:c r="F422" s="73" t="n">
        <x:v>1.2729</x:v>
      </x:c>
      <x:c r="G422" s="74" t="n">
        <x:v>0.0033</x:v>
      </x:c>
      <x:c r="H422" s="66" t="str">
        <x:v>常行7号净值20260911.xlsx</x:v>
      </x:c>
      <x:c r="I422" s="73" t="str">
        <x:f>""</x:f>
      </x:c>
      <x:c r="J422" s="74" t="str">
        <x:f>""</x:f>
      </x:c>
      <x:c r="K422" s="73" t="n">
        <x:f>MAX(K421,F422)</x:f>
        <x:v>1.2729</x:v>
      </x:c>
      <x:c r="L422" s="74" t="n">
        <x:f>1-F422/K422</x:f>
        <x:v>0</x:v>
      </x:c>
      <x:c r="M422" s="73" t="n">
        <x:f>MAX(M421,F422)</x:f>
        <x:v>1.2729</x:v>
      </x:c>
      <x:c r="N422" s="74" t="n">
        <x:f>1-F422/M422</x:f>
        <x:v>0</x:v>
      </x:c>
    </x:row>
    <x:row r="423" ht="27" customHeight="1">
      <x:c r="A423" s="66" t="str">
        <x:v>SQH214</x:v>
      </x:c>
      <x:c r="B423" s="66" t="str">
        <x:v>常行7号</x:v>
      </x:c>
      <x:c r="C423" s="72" t="n">
        <x:v>45590</x:v>
      </x:c>
      <x:c r="D423" s="73" t="n">
        <x:v>1.1612</x:v>
      </x:c>
      <x:c r="E423" s="73" t="n">
        <x:v>1.2612</x:v>
      </x:c>
      <x:c r="F423" s="73" t="n">
        <x:v>1.2759</x:v>
      </x:c>
      <x:c r="G423" s="74" t="n">
        <x:v>0.0024</x:v>
      </x:c>
      <x:c r="H423" s="66" t="str">
        <x:v>常行7号净值20260911.xlsx</x:v>
      </x:c>
      <x:c r="I423" s="73" t="str">
        <x:f>""</x:f>
      </x:c>
      <x:c r="J423" s="74" t="str">
        <x:f>""</x:f>
      </x:c>
      <x:c r="K423" s="73" t="n">
        <x:f>MAX(K422,F423)</x:f>
        <x:v>1.2759</x:v>
      </x:c>
      <x:c r="L423" s="74" t="n">
        <x:f>1-F423/K423</x:f>
        <x:v>0</x:v>
      </x:c>
      <x:c r="M423" s="73" t="n">
        <x:f>MAX(M422,F423)</x:f>
        <x:v>1.2759</x:v>
      </x:c>
      <x:c r="N423" s="74" t="n">
        <x:f>1-F423/M423</x:f>
        <x:v>0</x:v>
      </x:c>
    </x:row>
    <x:row r="424" ht="27" customHeight="1">
      <x:c r="A424" s="66" t="str">
        <x:v>SQH214</x:v>
      </x:c>
      <x:c r="B424" s="66" t="str">
        <x:v>常行7号</x:v>
      </x:c>
      <x:c r="C424" s="72" t="n">
        <x:v>45597</x:v>
      </x:c>
      <x:c r="D424" s="73" t="n">
        <x:v>1.1634</x:v>
      </x:c>
      <x:c r="E424" s="73" t="n">
        <x:v>1.2634</x:v>
      </x:c>
      <x:c r="F424" s="73" t="n">
        <x:v>1.2784</x:v>
      </x:c>
      <x:c r="G424" s="74" t="n">
        <x:v>0.0019</x:v>
      </x:c>
      <x:c r="H424" s="66" t="str">
        <x:v>常行7号净值20260911.xlsx</x:v>
      </x:c>
      <x:c r="I424" s="73" t="str">
        <x:f>""</x:f>
      </x:c>
      <x:c r="J424" s="74" t="str">
        <x:f>""</x:f>
      </x:c>
      <x:c r="K424" s="73" t="n">
        <x:f>MAX(K423,F424)</x:f>
        <x:v>1.2784</x:v>
      </x:c>
      <x:c r="L424" s="74" t="n">
        <x:f>1-F424/K424</x:f>
        <x:v>0</x:v>
      </x:c>
      <x:c r="M424" s="73" t="n">
        <x:f>MAX(M423,F424)</x:f>
        <x:v>1.2784</x:v>
      </x:c>
      <x:c r="N424" s="74" t="n">
        <x:f>1-F424/M424</x:f>
        <x:v>0</x:v>
      </x:c>
    </x:row>
    <x:row r="425" ht="27" customHeight="1">
      <x:c r="A425" s="66" t="str">
        <x:v>SQH214</x:v>
      </x:c>
      <x:c r="B425" s="66" t="str">
        <x:v>常行7号</x:v>
      </x:c>
      <x:c r="C425" s="72" t="n">
        <x:v>45604</x:v>
      </x:c>
      <x:c r="D425" s="73" t="n">
        <x:v>1.1648</x:v>
      </x:c>
      <x:c r="E425" s="73" t="n">
        <x:v>1.2648</x:v>
      </x:c>
      <x:c r="F425" s="73" t="n">
        <x:v>1.2799</x:v>
      </x:c>
      <x:c r="G425" s="74" t="n">
        <x:v>0.0012</x:v>
      </x:c>
      <x:c r="H425" s="66" t="str">
        <x:v>常行7号净值20260911.xlsx</x:v>
      </x:c>
      <x:c r="I425" s="73" t="str">
        <x:f>""</x:f>
      </x:c>
      <x:c r="J425" s="74" t="str">
        <x:f>""</x:f>
      </x:c>
      <x:c r="K425" s="73" t="n">
        <x:f>MAX(K424,F425)</x:f>
        <x:v>1.2799</x:v>
      </x:c>
      <x:c r="L425" s="74" t="n">
        <x:f>1-F425/K425</x:f>
        <x:v>0</x:v>
      </x:c>
      <x:c r="M425" s="73" t="n">
        <x:f>MAX(M424,F425)</x:f>
        <x:v>1.2799</x:v>
      </x:c>
      <x:c r="N425" s="74" t="n">
        <x:f>1-F425/M425</x:f>
        <x:v>0</x:v>
      </x:c>
    </x:row>
    <x:row r="426" ht="27" customHeight="1">
      <x:c r="A426" s="66" t="str">
        <x:v>SQH214</x:v>
      </x:c>
      <x:c r="B426" s="66" t="str">
        <x:v>常行7号</x:v>
      </x:c>
      <x:c r="C426" s="72" t="n">
        <x:v>45611</x:v>
      </x:c>
      <x:c r="D426" s="73" t="n">
        <x:v>1.1629</x:v>
      </x:c>
      <x:c r="E426" s="73" t="n">
        <x:v>1.2629</x:v>
      </x:c>
      <x:c r="F426" s="73" t="n">
        <x:v>1.2778</x:v>
      </x:c>
      <x:c r="G426" s="74" t="n">
        <x:v>-0.0016</x:v>
      </x:c>
      <x:c r="H426" s="66" t="str">
        <x:v>常行7号净值20260911.xlsx</x:v>
      </x:c>
      <x:c r="I426" s="73" t="str">
        <x:f>""</x:f>
      </x:c>
      <x:c r="J426" s="74" t="str">
        <x:f>""</x:f>
      </x:c>
      <x:c r="K426" s="73" t="n">
        <x:f>MAX(K425,F426)</x:f>
        <x:v>1.2799</x:v>
      </x:c>
      <x:c r="L426" s="74" t="n">
        <x:f>1-F426/K426</x:f>
        <x:v>0.0016407531838424916</x:v>
      </x:c>
      <x:c r="M426" s="73" t="n">
        <x:f>MAX(M425,F426)</x:f>
        <x:v>1.2799</x:v>
      </x:c>
      <x:c r="N426" s="74" t="n">
        <x:f>1-F426/M426</x:f>
        <x:v>0.0016407531838424916</x:v>
      </x:c>
    </x:row>
    <x:row r="427" ht="27" customHeight="1">
      <x:c r="A427" s="66" t="str">
        <x:v>SQH214</x:v>
      </x:c>
      <x:c r="B427" s="66" t="str">
        <x:v>常行7号</x:v>
      </x:c>
      <x:c r="C427" s="72" t="n">
        <x:v>45618</x:v>
      </x:c>
      <x:c r="D427" s="73" t="n">
        <x:v>1.1633</x:v>
      </x:c>
      <x:c r="E427" s="73" t="n">
        <x:v>1.2633</x:v>
      </x:c>
      <x:c r="F427" s="73" t="n">
        <x:v>1.2783</x:v>
      </x:c>
      <x:c r="G427" s="74" t="n">
        <x:v>0.0003</x:v>
      </x:c>
      <x:c r="H427" s="66" t="str">
        <x:v>常行7号净值20260911.xlsx</x:v>
      </x:c>
      <x:c r="I427" s="73" t="str">
        <x:f>""</x:f>
      </x:c>
      <x:c r="J427" s="74" t="str">
        <x:f>""</x:f>
      </x:c>
      <x:c r="K427" s="73" t="n">
        <x:f>MAX(K426,F427)</x:f>
        <x:v>1.2799</x:v>
      </x:c>
      <x:c r="L427" s="74" t="n">
        <x:f>1-F427/K427</x:f>
        <x:v>0.0012500976638800676</x:v>
      </x:c>
      <x:c r="M427" s="73" t="n">
        <x:f>MAX(M426,F427)</x:f>
        <x:v>1.2799</x:v>
      </x:c>
      <x:c r="N427" s="74" t="n">
        <x:f>1-F427/M427</x:f>
        <x:v>0.0012500976638800676</x:v>
      </x:c>
    </x:row>
    <x:row r="428" ht="27" customHeight="1">
      <x:c r="A428" s="66" t="str">
        <x:v>SQH214</x:v>
      </x:c>
      <x:c r="B428" s="66" t="str">
        <x:v>常行7号</x:v>
      </x:c>
      <x:c r="C428" s="72" t="n">
        <x:v>45625</x:v>
      </x:c>
      <x:c r="D428" s="73" t="n">
        <x:v>1.1647</x:v>
      </x:c>
      <x:c r="E428" s="73" t="n">
        <x:v>1.2647</x:v>
      </x:c>
      <x:c r="F428" s="73" t="n">
        <x:v>1.2798</x:v>
      </x:c>
      <x:c r="G428" s="74" t="n">
        <x:v>0.0012</x:v>
      </x:c>
      <x:c r="H428" s="66" t="str">
        <x:v>常行7号净值20260911.xlsx</x:v>
      </x:c>
      <x:c r="I428" s="73" t="str">
        <x:f>""</x:f>
      </x:c>
      <x:c r="J428" s="74" t="str">
        <x:f>""</x:f>
      </x:c>
      <x:c r="K428" s="73" t="n">
        <x:f>MAX(K427,F428)</x:f>
        <x:v>1.2799</x:v>
      </x:c>
      <x:c r="L428" s="74" t="n">
        <x:f>1-F428/K428</x:f>
        <x:v>0.00007813110399246259</x:v>
      </x:c>
      <x:c r="M428" s="73" t="n">
        <x:f>MAX(M427,F428)</x:f>
        <x:v>1.2799</x:v>
      </x:c>
      <x:c r="N428" s="74" t="n">
        <x:f>1-F428/M428</x:f>
        <x:v>0.00007813110399246259</x:v>
      </x:c>
    </x:row>
    <x:row r="429" ht="27" customHeight="1">
      <x:c r="A429" s="66" t="str">
        <x:v>SQH214</x:v>
      </x:c>
      <x:c r="B429" s="66" t="str">
        <x:v>常行7号</x:v>
      </x:c>
      <x:c r="C429" s="72" t="n">
        <x:v>45632</x:v>
      </x:c>
      <x:c r="D429" s="73" t="n">
        <x:v>1.1652</x:v>
      </x:c>
      <x:c r="E429" s="73" t="n">
        <x:v>1.2652</x:v>
      </x:c>
      <x:c r="F429" s="73" t="n">
        <x:v>1.2803</x:v>
      </x:c>
      <x:c r="G429" s="74" t="n">
        <x:v>0.0004</x:v>
      </x:c>
      <x:c r="H429" s="66" t="str">
        <x:v>常行7号净值20260911.xlsx</x:v>
      </x:c>
      <x:c r="I429" s="73" t="str">
        <x:f>""</x:f>
      </x:c>
      <x:c r="J429" s="74" t="str">
        <x:f>""</x:f>
      </x:c>
      <x:c r="K429" s="73" t="n">
        <x:f>MAX(K428,F429)</x:f>
        <x:v>1.2803</x:v>
      </x:c>
      <x:c r="L429" s="74" t="n">
        <x:f>1-F429/K429</x:f>
        <x:v>0</x:v>
      </x:c>
      <x:c r="M429" s="73" t="n">
        <x:f>MAX(M428,F429)</x:f>
        <x:v>1.2803</x:v>
      </x:c>
      <x:c r="N429" s="74" t="n">
        <x:f>1-F429/M429</x:f>
        <x:v>0</x:v>
      </x:c>
    </x:row>
    <x:row r="430" ht="27" customHeight="1">
      <x:c r="A430" s="66" t="str">
        <x:v>SQH214</x:v>
      </x:c>
      <x:c r="B430" s="66" t="str">
        <x:v>常行7号</x:v>
      </x:c>
      <x:c r="C430" s="72" t="n">
        <x:v>45639</x:v>
      </x:c>
      <x:c r="D430" s="73" t="n">
        <x:v>1.167</x:v>
      </x:c>
      <x:c r="E430" s="73" t="n">
        <x:v>1.267</x:v>
      </x:c>
      <x:c r="F430" s="73" t="n">
        <x:v>1.2823</x:v>
      </x:c>
      <x:c r="G430" s="74" t="n">
        <x:v>0.0015</x:v>
      </x:c>
      <x:c r="H430" s="66" t="str">
        <x:v>常行7号净值20260911.xlsx</x:v>
      </x:c>
      <x:c r="I430" s="73" t="str">
        <x:f>""</x:f>
      </x:c>
      <x:c r="J430" s="74" t="str">
        <x:f>""</x:f>
      </x:c>
      <x:c r="K430" s="73" t="n">
        <x:f>MAX(K429,F430)</x:f>
        <x:v>1.2823</x:v>
      </x:c>
      <x:c r="L430" s="74" t="n">
        <x:f>1-F430/K430</x:f>
        <x:v>0</x:v>
      </x:c>
      <x:c r="M430" s="73" t="n">
        <x:f>MAX(M429,F430)</x:f>
        <x:v>1.2823</x:v>
      </x:c>
      <x:c r="N430" s="74" t="n">
        <x:f>1-F430/M430</x:f>
        <x:v>0</x:v>
      </x:c>
    </x:row>
    <x:row r="431" ht="27" customHeight="1">
      <x:c r="A431" s="66" t="str">
        <x:v>SQH214</x:v>
      </x:c>
      <x:c r="B431" s="66" t="str">
        <x:v>常行7号</x:v>
      </x:c>
      <x:c r="C431" s="72" t="n">
        <x:v>45646</x:v>
      </x:c>
      <x:c r="D431" s="73" t="n">
        <x:v>1.1676</x:v>
      </x:c>
      <x:c r="E431" s="73" t="n">
        <x:v>1.2676</x:v>
      </x:c>
      <x:c r="F431" s="73" t="n">
        <x:v>1.283</x:v>
      </x:c>
      <x:c r="G431" s="74" t="n">
        <x:v>0.0005</x:v>
      </x:c>
      <x:c r="H431" s="66" t="str">
        <x:v>常行7号净值20260911.xlsx</x:v>
      </x:c>
      <x:c r="I431" s="73" t="str">
        <x:f>""</x:f>
      </x:c>
      <x:c r="J431" s="74" t="str">
        <x:f>""</x:f>
      </x:c>
      <x:c r="K431" s="73" t="n">
        <x:f>MAX(K430,F431)</x:f>
        <x:v>1.283</x:v>
      </x:c>
      <x:c r="L431" s="74" t="n">
        <x:f>1-F431/K431</x:f>
        <x:v>0</x:v>
      </x:c>
      <x:c r="M431" s="73" t="n">
        <x:f>MAX(M430,F431)</x:f>
        <x:v>1.283</x:v>
      </x:c>
      <x:c r="N431" s="74" t="n">
        <x:f>1-F431/M431</x:f>
        <x:v>0</x:v>
      </x:c>
    </x:row>
    <x:row r="432" ht="27" customHeight="1">
      <x:c r="A432" s="66" t="str">
        <x:v>SQH214</x:v>
      </x:c>
      <x:c r="B432" s="66" t="str">
        <x:v>常行7号</x:v>
      </x:c>
      <x:c r="C432" s="72" t="n">
        <x:v>45653</x:v>
      </x:c>
      <x:c r="D432" s="73" t="n">
        <x:v>1.1715</x:v>
      </x:c>
      <x:c r="E432" s="73" t="n">
        <x:v>1.2715</x:v>
      </x:c>
      <x:c r="F432" s="73" t="n">
        <x:v>1.2873</x:v>
      </x:c>
      <x:c r="G432" s="74" t="n">
        <x:v>0.0033</x:v>
      </x:c>
      <x:c r="H432" s="66" t="str">
        <x:v>常行7号净值20260911.xlsx</x:v>
      </x:c>
      <x:c r="I432" s="73" t="str">
        <x:f>""</x:f>
      </x:c>
      <x:c r="J432" s="74" t="str">
        <x:f>""</x:f>
      </x:c>
      <x:c r="K432" s="73" t="n">
        <x:f>MAX(K431,F432)</x:f>
        <x:v>1.2873</x:v>
      </x:c>
      <x:c r="L432" s="74" t="n">
        <x:f>1-F432/K432</x:f>
        <x:v>0</x:v>
      </x:c>
      <x:c r="M432" s="73" t="n">
        <x:f>MAX(M431,F432)</x:f>
        <x:v>1.2873</x:v>
      </x:c>
      <x:c r="N432" s="74" t="n">
        <x:f>1-F432/M432</x:f>
        <x:v>0</x:v>
      </x:c>
    </x:row>
    <x:row r="433" ht="27" customHeight="1">
      <x:c r="A433" s="66" t="str">
        <x:v>SQH214</x:v>
      </x:c>
      <x:c r="B433" s="66" t="str">
        <x:v>常行7号</x:v>
      </x:c>
      <x:c r="C433" s="72" t="n">
        <x:v>45660</x:v>
      </x:c>
      <x:c r="D433" s="73" t="n">
        <x:v>1.172</x:v>
      </x:c>
      <x:c r="E433" s="73" t="n">
        <x:v>1.272</x:v>
      </x:c>
      <x:c r="F433" s="73" t="n">
        <x:v>1.2878</x:v>
      </x:c>
      <x:c r="G433" s="74" t="n">
        <x:v>0.0004</x:v>
      </x:c>
      <x:c r="H433" s="66" t="str">
        <x:v>常行7号净值20260911.xlsx</x:v>
      </x:c>
      <x:c r="I433" s="73" t="str">
        <x:f>""</x:f>
      </x:c>
      <x:c r="J433" s="74" t="str">
        <x:f>""</x:f>
      </x:c>
      <x:c r="K433" s="73" t="n">
        <x:f>MAX(K432,F433)</x:f>
        <x:v>1.2878</x:v>
      </x:c>
      <x:c r="L433" s="74" t="n">
        <x:f>1-F433/K433</x:f>
        <x:v>0</x:v>
      </x:c>
      <x:c r="M433" s="73" t="n">
        <x:f>MAX(M432,F433)</x:f>
        <x:v>1.2878</x:v>
      </x:c>
      <x:c r="N433" s="74" t="n">
        <x:f>1-F433/M433</x:f>
        <x:v>0</x:v>
      </x:c>
    </x:row>
    <x:row r="434" ht="27" customHeight="1">
      <x:c r="A434" s="66" t="str">
        <x:v>SQH214</x:v>
      </x:c>
      <x:c r="B434" s="66" t="str">
        <x:v>常行7号</x:v>
      </x:c>
      <x:c r="C434" s="72" t="n">
        <x:v>45667</x:v>
      </x:c>
      <x:c r="D434" s="73" t="n">
        <x:v>1.172</x:v>
      </x:c>
      <x:c r="E434" s="73" t="n">
        <x:v>1.272</x:v>
      </x:c>
      <x:c r="F434" s="73" t="n">
        <x:v>1.2878</x:v>
      </x:c>
      <x:c r="G434" s="74" t="n">
        <x:v>0</x:v>
      </x:c>
      <x:c r="H434" s="66" t="str">
        <x:v>常行7号净值20260911.xlsx</x:v>
      </x:c>
      <x:c r="I434" s="73" t="str">
        <x:f>""</x:f>
      </x:c>
      <x:c r="J434" s="74" t="str">
        <x:f>""</x:f>
      </x:c>
      <x:c r="K434" s="73" t="n">
        <x:f>MAX(K433,F434)</x:f>
        <x:v>1.2878</x:v>
      </x:c>
      <x:c r="L434" s="74" t="n">
        <x:f>1-F434/K434</x:f>
        <x:v>0</x:v>
      </x:c>
      <x:c r="M434" s="73" t="n">
        <x:f>MAX(M433,F434)</x:f>
        <x:v>1.2878</x:v>
      </x:c>
      <x:c r="N434" s="74" t="n">
        <x:f>1-F434/M434</x:f>
        <x:v>0</x:v>
      </x:c>
    </x:row>
    <x:row r="435" ht="27" customHeight="1">
      <x:c r="A435" s="66" t="str">
        <x:v>SQH214</x:v>
      </x:c>
      <x:c r="B435" s="66" t="str">
        <x:v>常行7号</x:v>
      </x:c>
      <x:c r="C435" s="72" t="n">
        <x:v>45674</x:v>
      </x:c>
      <x:c r="D435" s="73" t="n">
        <x:v>1.1734</x:v>
      </x:c>
      <x:c r="E435" s="73" t="n">
        <x:v>1.2734</x:v>
      </x:c>
      <x:c r="F435" s="73" t="n">
        <x:v>1.2893</x:v>
      </x:c>
      <x:c r="G435" s="74" t="n">
        <x:v>0.0012</x:v>
      </x:c>
      <x:c r="H435" s="66" t="str">
        <x:v>常行7号净值20260911.xlsx</x:v>
      </x:c>
      <x:c r="I435" s="73" t="str">
        <x:f>""</x:f>
      </x:c>
      <x:c r="J435" s="74" t="str">
        <x:f>""</x:f>
      </x:c>
      <x:c r="K435" s="73" t="n">
        <x:f>MAX(K434,F435)</x:f>
        <x:v>1.2893</x:v>
      </x:c>
      <x:c r="L435" s="74" t="n">
        <x:f>1-F435/K435</x:f>
        <x:v>0</x:v>
      </x:c>
      <x:c r="M435" s="73" t="n">
        <x:f>MAX(M434,F435)</x:f>
        <x:v>1.2893</x:v>
      </x:c>
      <x:c r="N435" s="74" t="n">
        <x:f>1-F435/M435</x:f>
        <x:v>0</x:v>
      </x:c>
    </x:row>
    <x:row r="436" ht="27" customHeight="1">
      <x:c r="A436" s="66" t="str">
        <x:v>SQH214</x:v>
      </x:c>
      <x:c r="B436" s="66" t="str">
        <x:v>常行7号</x:v>
      </x:c>
      <x:c r="C436" s="72" t="n">
        <x:v>45681</x:v>
      </x:c>
      <x:c r="D436" s="73" t="n">
        <x:v>1.175</x:v>
      </x:c>
      <x:c r="E436" s="73" t="n">
        <x:v>1.275</x:v>
      </x:c>
      <x:c r="F436" s="73" t="n">
        <x:v>1.2911</x:v>
      </x:c>
      <x:c r="G436" s="74" t="n">
        <x:v>0.0014000000000000002</x:v>
      </x:c>
      <x:c r="H436" s="66" t="str">
        <x:v>常行7号净值20260911.xlsx</x:v>
      </x:c>
      <x:c r="I436" s="73" t="str">
        <x:f>""</x:f>
      </x:c>
      <x:c r="J436" s="74" t="str">
        <x:f>""</x:f>
      </x:c>
      <x:c r="K436" s="73" t="n">
        <x:f>MAX(K435,F436)</x:f>
        <x:v>1.2911</x:v>
      </x:c>
      <x:c r="L436" s="74" t="n">
        <x:f>1-F436/K436</x:f>
        <x:v>0</x:v>
      </x:c>
      <x:c r="M436" s="73" t="n">
        <x:f>MAX(M435,F436)</x:f>
        <x:v>1.2911</x:v>
      </x:c>
      <x:c r="N436" s="74" t="n">
        <x:f>1-F436/M436</x:f>
        <x:v>0</x:v>
      </x:c>
    </x:row>
    <x:row r="437" ht="27" customHeight="1">
      <x:c r="A437" s="66" t="str">
        <x:v>SQH214</x:v>
      </x:c>
      <x:c r="B437" s="66" t="str">
        <x:v>常行7号</x:v>
      </x:c>
      <x:c r="C437" s="72" t="n">
        <x:v>45684</x:v>
      </x:c>
      <x:c r="D437" s="73" t="n">
        <x:v>1.1745</x:v>
      </x:c>
      <x:c r="E437" s="73" t="n">
        <x:v>1.2745</x:v>
      </x:c>
      <x:c r="F437" s="73" t="n">
        <x:v>1.2906</x:v>
      </x:c>
      <x:c r="G437" s="74" t="n">
        <x:v>-0.0004</x:v>
      </x:c>
      <x:c r="H437" s="66" t="str">
        <x:v>常行7号净值20260911.xlsx</x:v>
      </x:c>
      <x:c r="I437" s="73" t="str">
        <x:f>""</x:f>
      </x:c>
      <x:c r="J437" s="74" t="str">
        <x:f>""</x:f>
      </x:c>
      <x:c r="K437" s="73" t="n">
        <x:f>MAX(K436,F437)</x:f>
        <x:v>1.2911</x:v>
      </x:c>
      <x:c r="L437" s="74" t="n">
        <x:f>1-F437/K437</x:f>
        <x:v>0.0003872666718301998</x:v>
      </x:c>
      <x:c r="M437" s="73" t="n">
        <x:f>MAX(M436,F437)</x:f>
        <x:v>1.2911</x:v>
      </x:c>
      <x:c r="N437" s="74" t="n">
        <x:f>1-F437/M437</x:f>
        <x:v>0.0003872666718301998</x:v>
      </x:c>
    </x:row>
    <x:row r="438" ht="27" customHeight="1">
      <x:c r="A438" s="66" t="str">
        <x:v>SQH214</x:v>
      </x:c>
      <x:c r="B438" s="66" t="str">
        <x:v>常行7号</x:v>
      </x:c>
      <x:c r="C438" s="72" t="n">
        <x:v>45695</x:v>
      </x:c>
      <x:c r="D438" s="73" t="n">
        <x:v>1.1743</x:v>
      </x:c>
      <x:c r="E438" s="73" t="n">
        <x:v>1.2743</x:v>
      </x:c>
      <x:c r="F438" s="73" t="n">
        <x:v>1.2903</x:v>
      </x:c>
      <x:c r="G438" s="74" t="n">
        <x:v>-0.0002</x:v>
      </x:c>
      <x:c r="H438" s="66" t="str">
        <x:v>常行7号净值20260911.xlsx</x:v>
      </x:c>
      <x:c r="I438" s="73" t="str">
        <x:f>""</x:f>
      </x:c>
      <x:c r="J438" s="74" t="str">
        <x:f>""</x:f>
      </x:c>
      <x:c r="K438" s="73" t="n">
        <x:f>MAX(K437,F438)</x:f>
        <x:v>1.2911</x:v>
      </x:c>
      <x:c r="L438" s="74" t="n">
        <x:f>1-F438/K438</x:f>
        <x:v>0.0006196266749283197</x:v>
      </x:c>
      <x:c r="M438" s="73" t="n">
        <x:f>MAX(M437,F438)</x:f>
        <x:v>1.2911</x:v>
      </x:c>
      <x:c r="N438" s="74" t="n">
        <x:f>1-F438/M438</x:f>
        <x:v>0.0006196266749283197</x:v>
      </x:c>
    </x:row>
    <x:row r="439" ht="27" customHeight="1">
      <x:c r="A439" s="66" t="str">
        <x:v>SQH214</x:v>
      </x:c>
      <x:c r="B439" s="66" t="str">
        <x:v>常行7号</x:v>
      </x:c>
      <x:c r="C439" s="72" t="n">
        <x:v>45702</x:v>
      </x:c>
      <x:c r="D439" s="73" t="n">
        <x:v>1.1746</x:v>
      </x:c>
      <x:c r="E439" s="73" t="n">
        <x:v>1.2746</x:v>
      </x:c>
      <x:c r="F439" s="73" t="n">
        <x:v>1.2907</x:v>
      </x:c>
      <x:c r="G439" s="74" t="n">
        <x:v>0.0003</x:v>
      </x:c>
      <x:c r="H439" s="66" t="str">
        <x:v>常行7号净值20260911.xlsx</x:v>
      </x:c>
      <x:c r="I439" s="73" t="str">
        <x:f>""</x:f>
      </x:c>
      <x:c r="J439" s="74" t="str">
        <x:f>""</x:f>
      </x:c>
      <x:c r="K439" s="73" t="n">
        <x:f>MAX(K438,F439)</x:f>
        <x:v>1.2911</x:v>
      </x:c>
      <x:c r="L439" s="74" t="n">
        <x:f>1-F439/K439</x:f>
        <x:v>0.00030981333746415984</x:v>
      </x:c>
      <x:c r="M439" s="73" t="n">
        <x:f>MAX(M438,F439)</x:f>
        <x:v>1.2911</x:v>
      </x:c>
      <x:c r="N439" s="74" t="n">
        <x:f>1-F439/M439</x:f>
        <x:v>0.00030981333746415984</x:v>
      </x:c>
    </x:row>
    <x:row r="440" ht="27" customHeight="1">
      <x:c r="A440" s="66" t="str">
        <x:v>SQH214</x:v>
      </x:c>
      <x:c r="B440" s="66" t="str">
        <x:v>常行7号</x:v>
      </x:c>
      <x:c r="C440" s="72" t="n">
        <x:v>45709</x:v>
      </x:c>
      <x:c r="D440" s="73" t="n">
        <x:v>1.1752</x:v>
      </x:c>
      <x:c r="E440" s="73" t="n">
        <x:v>1.2752</x:v>
      </x:c>
      <x:c r="F440" s="73" t="n">
        <x:v>1.2913</x:v>
      </x:c>
      <x:c r="G440" s="74" t="n">
        <x:v>0.0005</x:v>
      </x:c>
      <x:c r="H440" s="66" t="str">
        <x:v>常行7号净值20260911.xlsx</x:v>
      </x:c>
      <x:c r="I440" s="73" t="str">
        <x:f>""</x:f>
      </x:c>
      <x:c r="J440" s="74" t="str">
        <x:f>""</x:f>
      </x:c>
      <x:c r="K440" s="73" t="n">
        <x:f>MAX(K439,F440)</x:f>
        <x:v>1.2913</x:v>
      </x:c>
      <x:c r="L440" s="74" t="n">
        <x:f>1-F440/K440</x:f>
        <x:v>0</x:v>
      </x:c>
      <x:c r="M440" s="73" t="n">
        <x:f>MAX(M439,F440)</x:f>
        <x:v>1.2913</x:v>
      </x:c>
      <x:c r="N440" s="74" t="n">
        <x:f>1-F440/M440</x:f>
        <x:v>0</x:v>
      </x:c>
    </x:row>
    <x:row r="441" ht="27" customHeight="1">
      <x:c r="A441" s="66" t="str">
        <x:v>SQH214</x:v>
      </x:c>
      <x:c r="B441" s="66" t="str">
        <x:v>常行7号</x:v>
      </x:c>
      <x:c r="C441" s="72" t="n">
        <x:v>45716</x:v>
      </x:c>
      <x:c r="D441" s="73" t="n">
        <x:v>1.1749</x:v>
      </x:c>
      <x:c r="E441" s="73" t="n">
        <x:v>1.2749</x:v>
      </x:c>
      <x:c r="F441" s="73" t="n">
        <x:v>1.291</x:v>
      </x:c>
      <x:c r="G441" s="74" t="n">
        <x:v>-0.0003</x:v>
      </x:c>
      <x:c r="H441" s="66" t="str">
        <x:v>常行7号净值20260911.xlsx</x:v>
      </x:c>
      <x:c r="I441" s="73" t="str">
        <x:f>""</x:f>
      </x:c>
      <x:c r="J441" s="74" t="str">
        <x:f>""</x:f>
      </x:c>
      <x:c r="K441" s="73" t="n">
        <x:f>MAX(K440,F441)</x:f>
        <x:v>1.2913</x:v>
      </x:c>
      <x:c r="L441" s="74" t="n">
        <x:f>1-F441/K441</x:f>
        <x:v>0.00023232401455897111</x:v>
      </x:c>
      <x:c r="M441" s="73" t="n">
        <x:f>MAX(M440,F441)</x:f>
        <x:v>1.2913</x:v>
      </x:c>
      <x:c r="N441" s="74" t="n">
        <x:f>1-F441/M441</x:f>
        <x:v>0.00023232401455897111</x:v>
      </x:c>
    </x:row>
    <x:row r="442" ht="27" customHeight="1">
      <x:c r="A442" s="66" t="str">
        <x:v>SQH214</x:v>
      </x:c>
      <x:c r="B442" s="66" t="str">
        <x:v>常行7号</x:v>
      </x:c>
      <x:c r="C442" s="72" t="n">
        <x:v>45723</x:v>
      </x:c>
      <x:c r="D442" s="73" t="n">
        <x:v>1.1749</x:v>
      </x:c>
      <x:c r="E442" s="73" t="n">
        <x:v>1.2749</x:v>
      </x:c>
      <x:c r="F442" s="73" t="n">
        <x:v>1.291</x:v>
      </x:c>
      <x:c r="G442" s="74" t="n">
        <x:v>0</x:v>
      </x:c>
      <x:c r="H442" s="66" t="str">
        <x:v>常行7号净值20260911.xlsx</x:v>
      </x:c>
      <x:c r="I442" s="73" t="str">
        <x:f>""</x:f>
      </x:c>
      <x:c r="J442" s="74" t="str">
        <x:f>""</x:f>
      </x:c>
      <x:c r="K442" s="73" t="n">
        <x:f>MAX(K441,F442)</x:f>
        <x:v>1.2913</x:v>
      </x:c>
      <x:c r="L442" s="74" t="n">
        <x:f>1-F442/K442</x:f>
        <x:v>0.00023232401455897111</x:v>
      </x:c>
      <x:c r="M442" s="73" t="n">
        <x:f>MAX(M441,F442)</x:f>
        <x:v>1.2913</x:v>
      </x:c>
      <x:c r="N442" s="74" t="n">
        <x:f>1-F442/M442</x:f>
        <x:v>0.00023232401455897111</x:v>
      </x:c>
    </x:row>
    <x:row r="443" ht="27" customHeight="1">
      <x:c r="A443" s="66" t="str">
        <x:v>SQH214</x:v>
      </x:c>
      <x:c r="B443" s="66" t="str">
        <x:v>常行7号</x:v>
      </x:c>
      <x:c r="C443" s="72" t="n">
        <x:v>45730</x:v>
      </x:c>
      <x:c r="D443" s="73" t="n">
        <x:v>1.1739</x:v>
      </x:c>
      <x:c r="E443" s="73" t="n">
        <x:v>1.2739</x:v>
      </x:c>
      <x:c r="F443" s="73" t="n">
        <x:v>1.2899</x:v>
      </x:c>
      <x:c r="G443" s="74" t="n">
        <x:v>-0.0009</x:v>
      </x:c>
      <x:c r="H443" s="66" t="str">
        <x:v>常行7号净值20260911.xlsx</x:v>
      </x:c>
      <x:c r="I443" s="73" t="str">
        <x:f>""</x:f>
      </x:c>
      <x:c r="J443" s="74" t="str">
        <x:f>""</x:f>
      </x:c>
      <x:c r="K443" s="73" t="n">
        <x:f>MAX(K442,F443)</x:f>
        <x:v>1.2913</x:v>
      </x:c>
      <x:c r="L443" s="74" t="n">
        <x:f>1-F443/K443</x:f>
        <x:v>0.0010841787346084208</x:v>
      </x:c>
      <x:c r="M443" s="73" t="n">
        <x:f>MAX(M442,F443)</x:f>
        <x:v>1.2913</x:v>
      </x:c>
      <x:c r="N443" s="74" t="n">
        <x:f>1-F443/M443</x:f>
        <x:v>0.0010841787346084208</x:v>
      </x:c>
    </x:row>
    <x:row r="444" ht="27" customHeight="1">
      <x:c r="A444" s="66" t="str">
        <x:v>SQH214</x:v>
      </x:c>
      <x:c r="B444" s="66" t="str">
        <x:v>常行7号</x:v>
      </x:c>
      <x:c r="C444" s="72" t="n">
        <x:v>45737</x:v>
      </x:c>
      <x:c r="D444" s="73" t="n">
        <x:v>1.1742</x:v>
      </x:c>
      <x:c r="E444" s="73" t="n">
        <x:v>1.2742</x:v>
      </x:c>
      <x:c r="F444" s="73" t="n">
        <x:v>1.2902</x:v>
      </x:c>
      <x:c r="G444" s="74" t="n">
        <x:v>0.0003</x:v>
      </x:c>
      <x:c r="H444" s="66" t="str">
        <x:v>常行7号净值20260911.xlsx</x:v>
      </x:c>
      <x:c r="I444" s="73" t="str">
        <x:f>""</x:f>
      </x:c>
      <x:c r="J444" s="74" t="str">
        <x:f>""</x:f>
      </x:c>
      <x:c r="K444" s="73" t="n">
        <x:f>MAX(K443,F444)</x:f>
        <x:v>1.2913</x:v>
      </x:c>
      <x:c r="L444" s="74" t="n">
        <x:f>1-F444/K444</x:f>
        <x:v>0.0008518547200494497</x:v>
      </x:c>
      <x:c r="M444" s="73" t="n">
        <x:f>MAX(M443,F444)</x:f>
        <x:v>1.2913</x:v>
      </x:c>
      <x:c r="N444" s="74" t="n">
        <x:f>1-F444/M444</x:f>
        <x:v>0.0008518547200494497</x:v>
      </x:c>
    </x:row>
    <x:row r="445" ht="27" customHeight="1">
      <x:c r="A445" s="66" t="str">
        <x:v>SQH214</x:v>
      </x:c>
      <x:c r="B445" s="66" t="str">
        <x:v>常行7号</x:v>
      </x:c>
      <x:c r="C445" s="72" t="n">
        <x:v>45744</x:v>
      </x:c>
      <x:c r="D445" s="73" t="n">
        <x:v>1.1762</x:v>
      </x:c>
      <x:c r="E445" s="73" t="n">
        <x:v>1.2762</x:v>
      </x:c>
      <x:c r="F445" s="73" t="n">
        <x:v>1.2924</x:v>
      </x:c>
      <x:c r="G445" s="74" t="n">
        <x:v>0.0017000000000000001</x:v>
      </x:c>
      <x:c r="H445" s="66" t="str">
        <x:v>常行7号净值20260911.xlsx</x:v>
      </x:c>
      <x:c r="I445" s="73" t="str">
        <x:f>""</x:f>
      </x:c>
      <x:c r="J445" s="74" t="str">
        <x:f>""</x:f>
      </x:c>
      <x:c r="K445" s="73" t="n">
        <x:f>MAX(K444,F445)</x:f>
        <x:v>1.2924</x:v>
      </x:c>
      <x:c r="L445" s="74" t="n">
        <x:f>1-F445/K445</x:f>
        <x:v>0</x:v>
      </x:c>
      <x:c r="M445" s="73" t="n">
        <x:f>MAX(M444,F445)</x:f>
        <x:v>1.2924</x:v>
      </x:c>
      <x:c r="N445" s="74" t="n">
        <x:f>1-F445/M445</x:f>
        <x:v>0</x:v>
      </x:c>
    </x:row>
    <x:row r="446" ht="27" customHeight="1">
      <x:c r="A446" s="66" t="str">
        <x:v>SQH214</x:v>
      </x:c>
      <x:c r="B446" s="66" t="str">
        <x:v>常行7号</x:v>
      </x:c>
      <x:c r="C446" s="72" t="n">
        <x:v>45750</x:v>
      </x:c>
      <x:c r="D446" s="73" t="n">
        <x:v>1.1759</x:v>
      </x:c>
      <x:c r="E446" s="73" t="n">
        <x:v>1.2759</x:v>
      </x:c>
      <x:c r="F446" s="73" t="n">
        <x:v>1.2921</x:v>
      </x:c>
      <x:c r="G446" s="74" t="n">
        <x:v>-0.0003</x:v>
      </x:c>
      <x:c r="H446" s="66" t="str">
        <x:v>常行7号净值20260911.xlsx</x:v>
      </x:c>
      <x:c r="I446" s="73" t="str">
        <x:f>""</x:f>
      </x:c>
      <x:c r="J446" s="74" t="str">
        <x:f>""</x:f>
      </x:c>
      <x:c r="K446" s="73" t="n">
        <x:f>MAX(K445,F446)</x:f>
        <x:v>1.2924</x:v>
      </x:c>
      <x:c r="L446" s="74" t="n">
        <x:f>1-F446/K446</x:f>
        <x:v>0.0002321262766944443</x:v>
      </x:c>
      <x:c r="M446" s="73" t="n">
        <x:f>MAX(M445,F446)</x:f>
        <x:v>1.2924</x:v>
      </x:c>
      <x:c r="N446" s="74" t="n">
        <x:f>1-F446/M446</x:f>
        <x:v>0.0002321262766944443</x:v>
      </x:c>
    </x:row>
    <x:row r="447" ht="27" customHeight="1">
      <x:c r="A447" s="66" t="str">
        <x:v>SQH214</x:v>
      </x:c>
      <x:c r="B447" s="66" t="str">
        <x:v>常行7号</x:v>
      </x:c>
      <x:c r="C447" s="72" t="n">
        <x:v>45758</x:v>
      </x:c>
      <x:c r="D447" s="73" t="n">
        <x:v>1.1771</x:v>
      </x:c>
      <x:c r="E447" s="73" t="n">
        <x:v>1.2771</x:v>
      </x:c>
      <x:c r="F447" s="73" t="n">
        <x:v>1.2934</x:v>
      </x:c>
      <x:c r="G447" s="74" t="n">
        <x:v>0.001</x:v>
      </x:c>
      <x:c r="H447" s="66" t="str">
        <x:v>常行7号净值20260911.xlsx</x:v>
      </x:c>
      <x:c r="I447" s="73" t="str">
        <x:f>""</x:f>
      </x:c>
      <x:c r="J447" s="74" t="str">
        <x:f>""</x:f>
      </x:c>
      <x:c r="K447" s="73" t="n">
        <x:f>MAX(K446,F447)</x:f>
        <x:v>1.2934</x:v>
      </x:c>
      <x:c r="L447" s="74" t="n">
        <x:f>1-F447/K447</x:f>
        <x:v>0</x:v>
      </x:c>
      <x:c r="M447" s="73" t="n">
        <x:f>MAX(M446,F447)</x:f>
        <x:v>1.2934</x:v>
      </x:c>
      <x:c r="N447" s="74" t="n">
        <x:f>1-F447/M447</x:f>
        <x:v>0</x:v>
      </x:c>
    </x:row>
    <x:row r="448" ht="27" customHeight="1">
      <x:c r="A448" s="66" t="str">
        <x:v>SQH214</x:v>
      </x:c>
      <x:c r="B448" s="66" t="str">
        <x:v>常行7号</x:v>
      </x:c>
      <x:c r="C448" s="72" t="n">
        <x:v>45765</x:v>
      </x:c>
      <x:c r="D448" s="73" t="n">
        <x:v>1.1743</x:v>
      </x:c>
      <x:c r="E448" s="73" t="n">
        <x:v>1.2743</x:v>
      </x:c>
      <x:c r="F448" s="73" t="n">
        <x:v>1.2903</x:v>
      </x:c>
      <x:c r="G448" s="74" t="n">
        <x:v>-0.0024</x:v>
      </x:c>
      <x:c r="H448" s="66" t="str">
        <x:v>常行7号净值20260911.xlsx</x:v>
      </x:c>
      <x:c r="I448" s="73" t="str">
        <x:f>""</x:f>
      </x:c>
      <x:c r="J448" s="74" t="str">
        <x:f>""</x:f>
      </x:c>
      <x:c r="K448" s="73" t="n">
        <x:f>MAX(K447,F448)</x:f>
        <x:v>1.2934</x:v>
      </x:c>
      <x:c r="L448" s="74" t="n">
        <x:f>1-F448/K448</x:f>
        <x:v>0.0023967836709448687</x:v>
      </x:c>
      <x:c r="M448" s="73" t="n">
        <x:f>MAX(M447,F448)</x:f>
        <x:v>1.2934</x:v>
      </x:c>
      <x:c r="N448" s="74" t="n">
        <x:f>1-F448/M448</x:f>
        <x:v>0.0023967836709448687</x:v>
      </x:c>
    </x:row>
    <x:row r="449" ht="27" customHeight="1">
      <x:c r="A449" s="66" t="str">
        <x:v>SQH214</x:v>
      </x:c>
      <x:c r="B449" s="66" t="str">
        <x:v>常行7号</x:v>
      </x:c>
      <x:c r="C449" s="72" t="n">
        <x:v>45772</x:v>
      </x:c>
      <x:c r="D449" s="73" t="n">
        <x:v>1.1755</x:v>
      </x:c>
      <x:c r="E449" s="73" t="n">
        <x:v>1.2755</x:v>
      </x:c>
      <x:c r="F449" s="73" t="n">
        <x:v>1.2917</x:v>
      </x:c>
      <x:c r="G449" s="74" t="n">
        <x:v>0.001</x:v>
      </x:c>
      <x:c r="H449" s="66" t="str">
        <x:v>常行7号净值20260911.xlsx</x:v>
      </x:c>
      <x:c r="I449" s="73" t="str">
        <x:f>""</x:f>
      </x:c>
      <x:c r="J449" s="74" t="str">
        <x:f>""</x:f>
      </x:c>
      <x:c r="K449" s="73" t="n">
        <x:f>MAX(K448,F449)</x:f>
        <x:v>1.2934</x:v>
      </x:c>
      <x:c r="L449" s="74" t="n">
        <x:f>1-F449/K449</x:f>
        <x:v>0.0013143652389052685</x:v>
      </x:c>
      <x:c r="M449" s="73" t="n">
        <x:f>MAX(M448,F449)</x:f>
        <x:v>1.2934</x:v>
      </x:c>
      <x:c r="N449" s="74" t="n">
        <x:f>1-F449/M449</x:f>
        <x:v>0.0013143652389052685</x:v>
      </x:c>
    </x:row>
    <x:row r="450" ht="27" customHeight="1">
      <x:c r="A450" s="66" t="str">
        <x:v>SQH214</x:v>
      </x:c>
      <x:c r="B450" s="66" t="str">
        <x:v>常行7号</x:v>
      </x:c>
      <x:c r="C450" s="72" t="n">
        <x:v>45777</x:v>
      </x:c>
      <x:c r="D450" s="73" t="n">
        <x:v>1.1771</x:v>
      </x:c>
      <x:c r="E450" s="73" t="n">
        <x:v>1.2771</x:v>
      </x:c>
      <x:c r="F450" s="73" t="n">
        <x:v>1.2934</x:v>
      </x:c>
      <x:c r="G450" s="74" t="n">
        <x:v>0.0014000000000000002</x:v>
      </x:c>
      <x:c r="H450" s="66" t="str">
        <x:v>常行7号净值20260911.xlsx</x:v>
      </x:c>
      <x:c r="I450" s="73" t="str">
        <x:f>""</x:f>
      </x:c>
      <x:c r="J450" s="74" t="str">
        <x:f>""</x:f>
      </x:c>
      <x:c r="K450" s="73" t="n">
        <x:f>MAX(K449,F450)</x:f>
        <x:v>1.2934</x:v>
      </x:c>
      <x:c r="L450" s="74" t="n">
        <x:f>1-F450/K450</x:f>
        <x:v>0</x:v>
      </x:c>
      <x:c r="M450" s="73" t="n">
        <x:f>MAX(M449,F450)</x:f>
        <x:v>1.2934</x:v>
      </x:c>
      <x:c r="N450" s="74" t="n">
        <x:f>1-F450/M450</x:f>
        <x:v>0</x:v>
      </x:c>
    </x:row>
    <x:row r="451" ht="27" customHeight="1">
      <x:c r="A451" s="66" t="str">
        <x:v>SQH214</x:v>
      </x:c>
      <x:c r="B451" s="66" t="str">
        <x:v>常行7号</x:v>
      </x:c>
      <x:c r="C451" s="72" t="n">
        <x:v>45786</x:v>
      </x:c>
      <x:c r="D451" s="73" t="n">
        <x:v>1.177</x:v>
      </x:c>
      <x:c r="E451" s="73" t="n">
        <x:v>1.277</x:v>
      </x:c>
      <x:c r="F451" s="73" t="n">
        <x:v>1.2933</x:v>
      </x:c>
      <x:c r="G451" s="74" t="n">
        <x:v>-0.0001</x:v>
      </x:c>
      <x:c r="H451" s="66" t="str">
        <x:v>常行7号净值20260911.xlsx</x:v>
      </x:c>
      <x:c r="I451" s="73" t="str">
        <x:f>""</x:f>
      </x:c>
      <x:c r="J451" s="74" t="str">
        <x:f>""</x:f>
      </x:c>
      <x:c r="K451" s="73" t="n">
        <x:f>MAX(K450,F451)</x:f>
        <x:v>1.2934</x:v>
      </x:c>
      <x:c r="L451" s="74" t="n">
        <x:f>1-F451/K451</x:f>
        <x:v>0.00007731560228874113</x:v>
      </x:c>
      <x:c r="M451" s="73" t="n">
        <x:f>MAX(M450,F451)</x:f>
        <x:v>1.2934</x:v>
      </x:c>
      <x:c r="N451" s="74" t="n">
        <x:f>1-F451/M451</x:f>
        <x:v>0.00007731560228874113</x:v>
      </x:c>
    </x:row>
    <x:row r="452" ht="27" customHeight="1">
      <x:c r="A452" s="66" t="str">
        <x:v>SQH214</x:v>
      </x:c>
      <x:c r="B452" s="66" t="str">
        <x:v>常行7号</x:v>
      </x:c>
      <x:c r="C452" s="72" t="n">
        <x:v>45793</x:v>
      </x:c>
      <x:c r="D452" s="73" t="n">
        <x:v>1.1786</x:v>
      </x:c>
      <x:c r="E452" s="73" t="n">
        <x:v>1.2786</x:v>
      </x:c>
      <x:c r="F452" s="73" t="n">
        <x:v>1.2951</x:v>
      </x:c>
      <x:c r="G452" s="74" t="n">
        <x:v>0.0014000000000000002</x:v>
      </x:c>
      <x:c r="H452" s="66" t="str">
        <x:v>常行7号净值20260911.xlsx</x:v>
      </x:c>
      <x:c r="I452" s="73" t="str">
        <x:f>""</x:f>
      </x:c>
      <x:c r="J452" s="74" t="str">
        <x:f>""</x:f>
      </x:c>
      <x:c r="K452" s="73" t="n">
        <x:f>MAX(K451,F452)</x:f>
        <x:v>1.2951</x:v>
      </x:c>
      <x:c r="L452" s="74" t="n">
        <x:f>1-F452/K452</x:f>
        <x:v>0</x:v>
      </x:c>
      <x:c r="M452" s="73" t="n">
        <x:f>MAX(M451,F452)</x:f>
        <x:v>1.2951</x:v>
      </x:c>
      <x:c r="N452" s="74" t="n">
        <x:f>1-F452/M452</x:f>
        <x:v>0</x:v>
      </x:c>
    </x:row>
    <x:row r="453" ht="27" customHeight="1">
      <x:c r="A453" s="66" t="str">
        <x:v>SQH214</x:v>
      </x:c>
      <x:c r="B453" s="66" t="str">
        <x:v>常行7号</x:v>
      </x:c>
      <x:c r="C453" s="72" t="n">
        <x:v>45800</x:v>
      </x:c>
      <x:c r="D453" s="73" t="n">
        <x:v>1.1769</x:v>
      </x:c>
      <x:c r="E453" s="73" t="n">
        <x:v>1.2769</x:v>
      </x:c>
      <x:c r="F453" s="73" t="n">
        <x:v>1.2932</x:v>
      </x:c>
      <x:c r="G453" s="74" t="n">
        <x:v>-0.0014000000000000002</x:v>
      </x:c>
      <x:c r="H453" s="66" t="str">
        <x:v>常行7号净值20260911.xlsx</x:v>
      </x:c>
      <x:c r="I453" s="73" t="str">
        <x:f>""</x:f>
      </x:c>
      <x:c r="J453" s="74" t="str">
        <x:f>""</x:f>
      </x:c>
      <x:c r="K453" s="73" t="n">
        <x:f>MAX(K452,F453)</x:f>
        <x:v>1.2951</x:v>
      </x:c>
      <x:c r="L453" s="74" t="n">
        <x:f>1-F453/K453</x:f>
        <x:v>0.001467068180063369</x:v>
      </x:c>
      <x:c r="M453" s="73" t="n">
        <x:f>MAX(M452,F453)</x:f>
        <x:v>1.2951</x:v>
      </x:c>
      <x:c r="N453" s="74" t="n">
        <x:f>1-F453/M453</x:f>
        <x:v>0.001467068180063369</x:v>
      </x:c>
    </x:row>
    <x:row r="454" ht="27" customHeight="1">
      <x:c r="A454" s="66" t="str">
        <x:v>SQH214</x:v>
      </x:c>
      <x:c r="B454" s="66" t="str">
        <x:v>常行7号</x:v>
      </x:c>
      <x:c r="C454" s="72" t="n">
        <x:v>45807</x:v>
      </x:c>
      <x:c r="D454" s="73" t="n">
        <x:v>1.1786</x:v>
      </x:c>
      <x:c r="E454" s="73" t="n">
        <x:v>1.2786</x:v>
      </x:c>
      <x:c r="F454" s="73" t="n">
        <x:v>1.2951</x:v>
      </x:c>
      <x:c r="G454" s="74" t="n">
        <x:v>0.0014000000000000002</x:v>
      </x:c>
      <x:c r="H454" s="66" t="str">
        <x:v>常行7号净值20260911.xlsx</x:v>
      </x:c>
      <x:c r="I454" s="73" t="str">
        <x:f>""</x:f>
      </x:c>
      <x:c r="J454" s="74" t="str">
        <x:f>""</x:f>
      </x:c>
      <x:c r="K454" s="73" t="n">
        <x:f>MAX(K453,F454)</x:f>
        <x:v>1.2951</x:v>
      </x:c>
      <x:c r="L454" s="74" t="n">
        <x:f>1-F454/K454</x:f>
        <x:v>0</x:v>
      </x:c>
      <x:c r="M454" s="73" t="n">
        <x:f>MAX(M453,F454)</x:f>
        <x:v>1.2951</x:v>
      </x:c>
      <x:c r="N454" s="74" t="n">
        <x:f>1-F454/M454</x:f>
        <x:v>0</x:v>
      </x:c>
    </x:row>
    <x:row r="455" ht="27" customHeight="1">
      <x:c r="A455" s="66" t="str">
        <x:v>SQH214</x:v>
      </x:c>
      <x:c r="B455" s="66" t="str">
        <x:v>常行7号</x:v>
      </x:c>
      <x:c r="C455" s="72" t="n">
        <x:v>45814</x:v>
      </x:c>
      <x:c r="D455" s="73" t="n">
        <x:v>1.1791</x:v>
      </x:c>
      <x:c r="E455" s="73" t="n">
        <x:v>1.2791</x:v>
      </x:c>
      <x:c r="F455" s="73" t="n">
        <x:v>1.2956</x:v>
      </x:c>
      <x:c r="G455" s="74" t="n">
        <x:v>0.0004</x:v>
      </x:c>
      <x:c r="H455" s="66" t="str">
        <x:v>常行7号净值20260911.xlsx</x:v>
      </x:c>
      <x:c r="I455" s="73" t="str">
        <x:f>""</x:f>
      </x:c>
      <x:c r="J455" s="74" t="str">
        <x:f>""</x:f>
      </x:c>
      <x:c r="K455" s="73" t="n">
        <x:f>MAX(K454,F455)</x:f>
        <x:v>1.2956</x:v>
      </x:c>
      <x:c r="L455" s="74" t="n">
        <x:f>1-F455/K455</x:f>
        <x:v>0</x:v>
      </x:c>
      <x:c r="M455" s="73" t="n">
        <x:f>MAX(M454,F455)</x:f>
        <x:v>1.2956</x:v>
      </x:c>
      <x:c r="N455" s="74" t="n">
        <x:f>1-F455/M455</x:f>
        <x:v>0</x:v>
      </x:c>
    </x:row>
    <x:row r="456" ht="27" customHeight="1">
      <x:c r="A456" s="66" t="str">
        <x:v>SQH214</x:v>
      </x:c>
      <x:c r="B456" s="66" t="str">
        <x:v>常行7号</x:v>
      </x:c>
      <x:c r="C456" s="72" t="n">
        <x:v>45821</x:v>
      </x:c>
      <x:c r="D456" s="73" t="n">
        <x:v>1.178</x:v>
      </x:c>
      <x:c r="E456" s="73" t="n">
        <x:v>1.278</x:v>
      </x:c>
      <x:c r="F456" s="73" t="n">
        <x:v>1.2944</x:v>
      </x:c>
      <x:c r="G456" s="74" t="n">
        <x:v>-0.0009</x:v>
      </x:c>
      <x:c r="H456" s="66" t="str">
        <x:v>常行7号净值20260911.xlsx</x:v>
      </x:c>
      <x:c r="I456" s="73" t="str">
        <x:f>""</x:f>
      </x:c>
      <x:c r="J456" s="74" t="str">
        <x:f>""</x:f>
      </x:c>
      <x:c r="K456" s="73" t="n">
        <x:f>MAX(K455,F456)</x:f>
        <x:v>1.2956</x:v>
      </x:c>
      <x:c r="L456" s="74" t="n">
        <x:f>1-F456/K456</x:f>
        <x:v>0.0009262117937636205</x:v>
      </x:c>
      <x:c r="M456" s="73" t="n">
        <x:f>MAX(M455,F456)</x:f>
        <x:v>1.2956</x:v>
      </x:c>
      <x:c r="N456" s="74" t="n">
        <x:f>1-F456/M456</x:f>
        <x:v>0.0009262117937636205</x:v>
      </x:c>
    </x:row>
    <x:row r="457" ht="27" customHeight="1">
      <x:c r="A457" s="66" t="str">
        <x:v>SQH214</x:v>
      </x:c>
      <x:c r="B457" s="66" t="str">
        <x:v>常行7号</x:v>
      </x:c>
      <x:c r="C457" s="72" t="n">
        <x:v>45828</x:v>
      </x:c>
      <x:c r="D457" s="73" t="n">
        <x:v>1.1785</x:v>
      </x:c>
      <x:c r="E457" s="73" t="n">
        <x:v>1.2785</x:v>
      </x:c>
      <x:c r="F457" s="73" t="n">
        <x:v>1.295</x:v>
      </x:c>
      <x:c r="G457" s="74" t="n">
        <x:v>0.0004</x:v>
      </x:c>
      <x:c r="H457" s="66" t="str">
        <x:v>常行7号净值20260911.xlsx</x:v>
      </x:c>
      <x:c r="I457" s="73" t="str">
        <x:f>""</x:f>
      </x:c>
      <x:c r="J457" s="74" t="str">
        <x:f>""</x:f>
      </x:c>
      <x:c r="K457" s="73" t="n">
        <x:f>MAX(K456,F457)</x:f>
        <x:v>1.2956</x:v>
      </x:c>
      <x:c r="L457" s="74" t="n">
        <x:f>1-F457/K457</x:f>
        <x:v>0.0004631058968819213</x:v>
      </x:c>
      <x:c r="M457" s="73" t="n">
        <x:f>MAX(M456,F457)</x:f>
        <x:v>1.2956</x:v>
      </x:c>
      <x:c r="N457" s="74" t="n">
        <x:f>1-F457/M457</x:f>
        <x:v>0.0004631058968819213</x:v>
      </x:c>
    </x:row>
    <x:row r="458" ht="27" customHeight="1">
      <x:c r="A458" s="66" t="str">
        <x:v>SQH214</x:v>
      </x:c>
      <x:c r="B458" s="66" t="str">
        <x:v>常行7号</x:v>
      </x:c>
      <x:c r="C458" s="72" t="n">
        <x:v>45835</x:v>
      </x:c>
      <x:c r="D458" s="73" t="n">
        <x:v>1.1813</x:v>
      </x:c>
      <x:c r="E458" s="73" t="n">
        <x:v>1.2813</x:v>
      </x:c>
      <x:c r="F458" s="73" t="n">
        <x:v>1.298</x:v>
      </x:c>
      <x:c r="G458" s="74" t="n">
        <x:v>0.0024</x:v>
      </x:c>
      <x:c r="H458" s="66" t="str">
        <x:v>常行7号净值20260911.xlsx</x:v>
      </x:c>
      <x:c r="I458" s="73" t="str">
        <x:f>""</x:f>
      </x:c>
      <x:c r="J458" s="74" t="str">
        <x:f>""</x:f>
      </x:c>
      <x:c r="K458" s="73" t="n">
        <x:f>MAX(K457,F458)</x:f>
        <x:v>1.298</x:v>
      </x:c>
      <x:c r="L458" s="74" t="n">
        <x:f>1-F458/K458</x:f>
        <x:v>0</x:v>
      </x:c>
      <x:c r="M458" s="73" t="n">
        <x:f>MAX(M457,F458)</x:f>
        <x:v>1.298</x:v>
      </x:c>
      <x:c r="N458" s="74" t="n">
        <x:f>1-F458/M458</x:f>
        <x:v>0</x:v>
      </x:c>
    </x:row>
    <x:row r="459" ht="27" customHeight="1">
      <x:c r="A459" s="66" t="str">
        <x:v>SQH214</x:v>
      </x:c>
      <x:c r="B459" s="66" t="str">
        <x:v>常行7号</x:v>
      </x:c>
      <x:c r="C459" s="72" t="n">
        <x:v>45842</x:v>
      </x:c>
      <x:c r="D459" s="73" t="n">
        <x:v>1.1799</x:v>
      </x:c>
      <x:c r="E459" s="73" t="n">
        <x:v>1.2799</x:v>
      </x:c>
      <x:c r="F459" s="73" t="n">
        <x:v>1.2965</x:v>
      </x:c>
      <x:c r="G459" s="74" t="n">
        <x:v>-0.0012</x:v>
      </x:c>
      <x:c r="H459" s="66" t="str">
        <x:v>常行7号净值20260911.xlsx</x:v>
      </x:c>
      <x:c r="I459" s="73" t="str">
        <x:f>""</x:f>
      </x:c>
      <x:c r="J459" s="74" t="str">
        <x:f>""</x:f>
      </x:c>
      <x:c r="K459" s="73" t="n">
        <x:f>MAX(K458,F459)</x:f>
        <x:v>1.298</x:v>
      </x:c>
      <x:c r="L459" s="74" t="n">
        <x:f>1-F459/K459</x:f>
        <x:v>0.0011556240369799964</x:v>
      </x:c>
      <x:c r="M459" s="73" t="n">
        <x:f>MAX(M458,F459)</x:f>
        <x:v>1.298</x:v>
      </x:c>
      <x:c r="N459" s="74" t="n">
        <x:f>1-F459/M459</x:f>
        <x:v>0.0011556240369799964</x:v>
      </x:c>
    </x:row>
    <x:row r="460" ht="27" customHeight="1">
      <x:c r="A460" s="66" t="str">
        <x:v>SQH214</x:v>
      </x:c>
      <x:c r="B460" s="66" t="str">
        <x:v>常行7号</x:v>
      </x:c>
      <x:c r="C460" s="72" t="n">
        <x:v>45849</x:v>
      </x:c>
      <x:c r="D460" s="73" t="n">
        <x:v>1.1796</x:v>
      </x:c>
      <x:c r="E460" s="73" t="n">
        <x:v>1.2796</x:v>
      </x:c>
      <x:c r="F460" s="73" t="n">
        <x:v>1.2962</x:v>
      </x:c>
      <x:c r="G460" s="74" t="n">
        <x:v>-0.0003</x:v>
      </x:c>
      <x:c r="H460" s="66" t="str">
        <x:v>常行7号净值20260911.xlsx</x:v>
      </x:c>
      <x:c r="I460" s="73" t="str">
        <x:f>""</x:f>
      </x:c>
      <x:c r="J460" s="74" t="str">
        <x:f>""</x:f>
      </x:c>
      <x:c r="K460" s="73" t="n">
        <x:f>MAX(K459,F460)</x:f>
        <x:v>1.298</x:v>
      </x:c>
      <x:c r="L460" s="74" t="n">
        <x:f>1-F460/K460</x:f>
        <x:v>0.0013867488443759513</x:v>
      </x:c>
      <x:c r="M460" s="73" t="n">
        <x:f>MAX(M459,F460)</x:f>
        <x:v>1.298</x:v>
      </x:c>
      <x:c r="N460" s="74" t="n">
        <x:f>1-F460/M460</x:f>
        <x:v>0.0013867488443759513</x:v>
      </x:c>
    </x:row>
    <x:row r="461" ht="27" customHeight="1">
      <x:c r="A461" s="66" t="str">
        <x:v>SQH214</x:v>
      </x:c>
      <x:c r="B461" s="66" t="str">
        <x:v>常行7号</x:v>
      </x:c>
      <x:c r="C461" s="72" t="n">
        <x:v>45856</x:v>
      </x:c>
      <x:c r="D461" s="73" t="n">
        <x:v>1.1795</x:v>
      </x:c>
      <x:c r="E461" s="73" t="n">
        <x:v>1.2795</x:v>
      </x:c>
      <x:c r="F461" s="73" t="n">
        <x:v>1.2961</x:v>
      </x:c>
      <x:c r="G461" s="74" t="n">
        <x:v>-0.0001</x:v>
      </x:c>
      <x:c r="H461" s="66" t="str">
        <x:v>常行7号净值20260911.xlsx</x:v>
      </x:c>
      <x:c r="I461" s="73" t="str">
        <x:f>""</x:f>
      </x:c>
      <x:c r="J461" s="74" t="str">
        <x:f>""</x:f>
      </x:c>
      <x:c r="K461" s="73" t="n">
        <x:f>MAX(K460,F461)</x:f>
        <x:v>1.298</x:v>
      </x:c>
      <x:c r="L461" s="74" t="n">
        <x:f>1-F461/K461</x:f>
        <x:v>0.0014637904468413065</x:v>
      </x:c>
      <x:c r="M461" s="73" t="n">
        <x:f>MAX(M460,F461)</x:f>
        <x:v>1.298</x:v>
      </x:c>
      <x:c r="N461" s="74" t="n">
        <x:f>1-F461/M461</x:f>
        <x:v>0.0014637904468413065</x:v>
      </x:c>
    </x:row>
    <x:row r="462" ht="27" customHeight="1">
      <x:c r="A462" s="66" t="str">
        <x:v>SQH214</x:v>
      </x:c>
      <x:c r="B462" s="66" t="str">
        <x:v>常行7号</x:v>
      </x:c>
      <x:c r="C462" s="72" t="n">
        <x:v>45863</x:v>
      </x:c>
      <x:c r="D462" s="73" t="n">
        <x:v>1.1798</x:v>
      </x:c>
      <x:c r="E462" s="73" t="n">
        <x:v>1.2798</x:v>
      </x:c>
      <x:c r="F462" s="73" t="n">
        <x:v>1.2964</x:v>
      </x:c>
      <x:c r="G462" s="74" t="n">
        <x:v>0.0003</x:v>
      </x:c>
      <x:c r="H462" s="66" t="str">
        <x:v>常行7号净值20260911.xlsx</x:v>
      </x:c>
      <x:c r="I462" s="73" t="str">
        <x:f>""</x:f>
      </x:c>
      <x:c r="J462" s="74" t="str">
        <x:f>""</x:f>
      </x:c>
      <x:c r="K462" s="73" t="n">
        <x:f>MAX(K461,F462)</x:f>
        <x:v>1.298</x:v>
      </x:c>
      <x:c r="L462" s="74" t="n">
        <x:f>1-F462/K462</x:f>
        <x:v>0.0012326656394453517</x:v>
      </x:c>
      <x:c r="M462" s="73" t="n">
        <x:f>MAX(M461,F462)</x:f>
        <x:v>1.298</x:v>
      </x:c>
      <x:c r="N462" s="74" t="n">
        <x:f>1-F462/M462</x:f>
        <x:v>0.0012326656394453517</x:v>
      </x:c>
    </x:row>
    <x:row r="463" ht="27" customHeight="1">
      <x:c r="A463" s="66" t="str">
        <x:v>SQH214</x:v>
      </x:c>
      <x:c r="B463" s="66" t="str">
        <x:v>常行7号</x:v>
      </x:c>
      <x:c r="C463" s="72" t="n">
        <x:v>45870</x:v>
      </x:c>
      <x:c r="D463" s="73" t="n">
        <x:v>1.1807</x:v>
      </x:c>
      <x:c r="E463" s="73" t="n">
        <x:v>1.2807</x:v>
      </x:c>
      <x:c r="F463" s="73" t="n">
        <x:v>1.2974</x:v>
      </x:c>
      <x:c r="G463" s="74" t="n">
        <x:v>0.0008</x:v>
      </x:c>
      <x:c r="H463" s="66" t="str">
        <x:v>常行7号净值20260911.xlsx</x:v>
      </x:c>
      <x:c r="I463" s="73" t="str">
        <x:f>""</x:f>
      </x:c>
      <x:c r="J463" s="74" t="str">
        <x:f>""</x:f>
      </x:c>
      <x:c r="K463" s="73" t="n">
        <x:f>MAX(K462,F463)</x:f>
        <x:v>1.298</x:v>
      </x:c>
      <x:c r="L463" s="74" t="n">
        <x:f>1-F463/K463</x:f>
        <x:v>0.00046224961479190974</x:v>
      </x:c>
      <x:c r="M463" s="73" t="n">
        <x:f>MAX(M462,F463)</x:f>
        <x:v>1.298</x:v>
      </x:c>
      <x:c r="N463" s="74" t="n">
        <x:f>1-F463/M463</x:f>
        <x:v>0.00046224961479190974</x:v>
      </x:c>
    </x:row>
    <x:row r="464" ht="27" customHeight="1">
      <x:c r="A464" s="66" t="str">
        <x:v>SQH214</x:v>
      </x:c>
      <x:c r="B464" s="66" t="str">
        <x:v>常行7号</x:v>
      </x:c>
      <x:c r="C464" s="72" t="n">
        <x:v>45877</x:v>
      </x:c>
      <x:c r="D464" s="73" t="n">
        <x:v>1.1821</x:v>
      </x:c>
      <x:c r="E464" s="73" t="n">
        <x:v>1.2821</x:v>
      </x:c>
      <x:c r="F464" s="73" t="n">
        <x:v>1.2989</x:v>
      </x:c>
      <x:c r="G464" s="74" t="n">
        <x:v>0.0012</x:v>
      </x:c>
      <x:c r="H464" s="66" t="str">
        <x:v>常行7号净值20260911.xlsx</x:v>
      </x:c>
      <x:c r="I464" s="73" t="str">
        <x:f>""</x:f>
      </x:c>
      <x:c r="J464" s="74" t="str">
        <x:f>""</x:f>
      </x:c>
      <x:c r="K464" s="73" t="n">
        <x:f>MAX(K463,F464)</x:f>
        <x:v>1.2989</x:v>
      </x:c>
      <x:c r="L464" s="74" t="n">
        <x:f>1-F464/K464</x:f>
        <x:v>0</x:v>
      </x:c>
      <x:c r="M464" s="73" t="n">
        <x:f>MAX(M463,F464)</x:f>
        <x:v>1.2989</x:v>
      </x:c>
      <x:c r="N464" s="74" t="n">
        <x:f>1-F464/M464</x:f>
        <x:v>0</x:v>
      </x:c>
    </x:row>
    <x:row r="465" ht="27" customHeight="1">
      <x:c r="A465" s="66" t="str">
        <x:v>SQH214</x:v>
      </x:c>
      <x:c r="B465" s="66" t="str">
        <x:v>常行7号</x:v>
      </x:c>
      <x:c r="C465" s="72" t="n">
        <x:v>45884</x:v>
      </x:c>
      <x:c r="D465" s="73" t="n">
        <x:v>1.1822</x:v>
      </x:c>
      <x:c r="E465" s="73" t="n">
        <x:v>1.2822</x:v>
      </x:c>
      <x:c r="F465" s="73" t="n">
        <x:v>1.299</x:v>
      </x:c>
      <x:c r="G465" s="74" t="n">
        <x:v>0.0001</x:v>
      </x:c>
      <x:c r="H465" s="66" t="str">
        <x:v>常行7号净值20260911.xlsx</x:v>
      </x:c>
      <x:c r="I465" s="73" t="str">
        <x:f>""</x:f>
      </x:c>
      <x:c r="J465" s="74" t="str">
        <x:f>""</x:f>
      </x:c>
      <x:c r="K465" s="73" t="n">
        <x:f>MAX(K464,F465)</x:f>
        <x:v>1.299</x:v>
      </x:c>
      <x:c r="L465" s="74" t="n">
        <x:f>1-F465/K465</x:f>
        <x:v>0</x:v>
      </x:c>
      <x:c r="M465" s="73" t="n">
        <x:f>MAX(M464,F465)</x:f>
        <x:v>1.299</x:v>
      </x:c>
      <x:c r="N465" s="74" t="n">
        <x:f>1-F465/M465</x:f>
        <x:v>0</x:v>
      </x:c>
    </x:row>
    <x:row r="466" ht="27" customHeight="1">
      <x:c r="A466" s="66" t="str">
        <x:v>SQH214</x:v>
      </x:c>
      <x:c r="B466" s="66" t="str">
        <x:v>常行7号</x:v>
      </x:c>
      <x:c r="C466" s="72" t="n">
        <x:v>45891</x:v>
      </x:c>
      <x:c r="D466" s="73" t="n">
        <x:v>1.1807</x:v>
      </x:c>
      <x:c r="E466" s="73" t="n">
        <x:v>1.2807</x:v>
      </x:c>
      <x:c r="F466" s="73" t="n">
        <x:v>1.2974</x:v>
      </x:c>
      <x:c r="G466" s="74" t="n">
        <x:v>-0.0013</x:v>
      </x:c>
      <x:c r="H466" s="66" t="str">
        <x:v>常行7号净值20260911.xlsx</x:v>
      </x:c>
      <x:c r="I466" s="73" t="str">
        <x:f>""</x:f>
      </x:c>
      <x:c r="J466" s="74" t="str">
        <x:f>""</x:f>
      </x:c>
      <x:c r="K466" s="73" t="n">
        <x:f>MAX(K465,F466)</x:f>
        <x:v>1.299</x:v>
      </x:c>
      <x:c r="L466" s="74" t="n">
        <x:f>1-F466/K466</x:f>
        <x:v>0.0012317167051576483</x:v>
      </x:c>
      <x:c r="M466" s="73" t="n">
        <x:f>MAX(M465,F466)</x:f>
        <x:v>1.299</x:v>
      </x:c>
      <x:c r="N466" s="74" t="n">
        <x:f>1-F466/M466</x:f>
        <x:v>0.0012317167051576483</x:v>
      </x:c>
    </x:row>
    <x:row r="467" ht="27" customHeight="1">
      <x:c r="A467" s="66" t="str">
        <x:v>SQH214</x:v>
      </x:c>
      <x:c r="B467" s="66" t="str">
        <x:v>常行7号</x:v>
      </x:c>
      <x:c r="C467" s="72" t="n">
        <x:v>45898</x:v>
      </x:c>
      <x:c r="D467" s="73" t="n">
        <x:v>1.1848</x:v>
      </x:c>
      <x:c r="E467" s="73" t="n">
        <x:v>1.2848</x:v>
      </x:c>
      <x:c r="F467" s="73" t="n">
        <x:v>1.3019</x:v>
      </x:c>
      <x:c r="G467" s="74" t="n">
        <x:v>0.0034999999999999996</x:v>
      </x:c>
      <x:c r="H467" s="66" t="str">
        <x:v>常行7号净值20260911.xlsx</x:v>
      </x:c>
      <x:c r="I467" s="73" t="n">
        <x:f>F467</x:f>
        <x:v>1.3019</x:v>
      </x:c>
      <x:c r="J467" s="74" t="n">
        <x:f>1-F467/I467</x:f>
        <x:v>0</x:v>
      </x:c>
      <x:c r="K467" s="73" t="n">
        <x:f>MAX(K466,F467)</x:f>
        <x:v>1.3019</x:v>
      </x:c>
      <x:c r="L467" s="74" t="n">
        <x:f>1-F467/K467</x:f>
        <x:v>0</x:v>
      </x:c>
      <x:c r="M467" s="73" t="n">
        <x:f>MAX(M466,F467)</x:f>
        <x:v>1.3019</x:v>
      </x:c>
      <x:c r="N467" s="74" t="n">
        <x:f>1-F467/M467</x:f>
        <x:v>0</x:v>
      </x:c>
    </x:row>
    <x:row r="468" ht="27" customHeight="1">
      <x:c r="A468" s="66" t="str">
        <x:v>SQH214</x:v>
      </x:c>
      <x:c r="B468" s="66" t="str">
        <x:v>常行7号</x:v>
      </x:c>
      <x:c r="C468" s="72" t="n">
        <x:v>45905</x:v>
      </x:c>
      <x:c r="D468" s="73" t="n">
        <x:v>1.1877</x:v>
      </x:c>
      <x:c r="E468" s="73" t="n">
        <x:v>1.2877</x:v>
      </x:c>
      <x:c r="F468" s="73" t="n">
        <x:v>1.3051</x:v>
      </x:c>
      <x:c r="G468" s="74" t="n">
        <x:v>0.0024</x:v>
      </x:c>
      <x:c r="H468" s="66" t="str">
        <x:v>常行7号净值20260911.xlsx</x:v>
      </x:c>
      <x:c r="I468" s="73" t="n">
        <x:f>MAX(I467,F468)</x:f>
        <x:v>1.3051</x:v>
      </x:c>
      <x:c r="J468" s="74" t="n">
        <x:f>1-F468/I468</x:f>
        <x:v>0</x:v>
      </x:c>
      <x:c r="K468" s="73" t="n">
        <x:f>MAX(K467,F468)</x:f>
        <x:v>1.3051</x:v>
      </x:c>
      <x:c r="L468" s="74" t="n">
        <x:f>1-F468/K468</x:f>
        <x:v>0</x:v>
      </x:c>
      <x:c r="M468" s="73" t="n">
        <x:f>MAX(M467,F468)</x:f>
        <x:v>1.3051</x:v>
      </x:c>
      <x:c r="N468" s="74" t="n">
        <x:f>1-F468/M468</x:f>
        <x:v>0</x:v>
      </x:c>
    </x:row>
    <x:row r="469" ht="27" customHeight="1">
      <x:c r="A469" s="66" t="str">
        <x:v>SQH214</x:v>
      </x:c>
      <x:c r="B469" s="66" t="str">
        <x:v>常行7号</x:v>
      </x:c>
      <x:c r="C469" s="72" t="n">
        <x:v>45912</x:v>
      </x:c>
      <x:c r="D469" s="73" t="n">
        <x:v>1.1881</x:v>
      </x:c>
      <x:c r="E469" s="73" t="n">
        <x:v>1.2881</x:v>
      </x:c>
      <x:c r="F469" s="73" t="n">
        <x:v>1.3055</x:v>
      </x:c>
      <x:c r="G469" s="74" t="n">
        <x:v>0.0003</x:v>
      </x:c>
      <x:c r="H469" s="66" t="str">
        <x:v>常行7号净值20260911.xlsx</x:v>
      </x:c>
      <x:c r="I469" s="73" t="n">
        <x:f>MAX(I468,F469)</x:f>
        <x:v>1.3055</x:v>
      </x:c>
      <x:c r="J469" s="74" t="n">
        <x:f>1-F469/I469</x:f>
        <x:v>0</x:v>
      </x:c>
      <x:c r="K469" s="73" t="n">
        <x:f>MAX(K468,F469)</x:f>
        <x:v>1.3055</x:v>
      </x:c>
      <x:c r="L469" s="74" t="n">
        <x:f>1-F469/K469</x:f>
        <x:v>0</x:v>
      </x:c>
      <x:c r="M469" s="73" t="n">
        <x:f>MAX(M468,F469)</x:f>
        <x:v>1.3055</x:v>
      </x:c>
      <x:c r="N469" s="74" t="n">
        <x:f>1-F469/M469</x:f>
        <x:v>0</x:v>
      </x:c>
    </x:row>
    <x:row r="470" ht="27" customHeight="1">
      <x:c r="A470" s="66" t="str">
        <x:v>SQH214</x:v>
      </x:c>
      <x:c r="B470" s="66" t="str">
        <x:v>常行7号</x:v>
      </x:c>
      <x:c r="C470" s="72" t="n">
        <x:v>45919</x:v>
      </x:c>
      <x:c r="D470" s="73" t="n">
        <x:v>1.1917</x:v>
      </x:c>
      <x:c r="E470" s="73" t="n">
        <x:v>1.2917</x:v>
      </x:c>
      <x:c r="F470" s="73" t="n">
        <x:v>1.3095</x:v>
      </x:c>
      <x:c r="G470" s="74" t="n">
        <x:v>0.003</x:v>
      </x:c>
      <x:c r="H470" s="66" t="str">
        <x:v>常行7号净值20260911.xlsx</x:v>
      </x:c>
      <x:c r="I470" s="73" t="n">
        <x:f>MAX(I469,F470)</x:f>
        <x:v>1.3095</x:v>
      </x:c>
      <x:c r="J470" s="74" t="n">
        <x:f>1-F470/I470</x:f>
        <x:v>0</x:v>
      </x:c>
      <x:c r="K470" s="73" t="n">
        <x:f>MAX(K469,F470)</x:f>
        <x:v>1.3095</x:v>
      </x:c>
      <x:c r="L470" s="74" t="n">
        <x:f>1-F470/K470</x:f>
        <x:v>0</x:v>
      </x:c>
      <x:c r="M470" s="73" t="n">
        <x:f>MAX(M469,F470)</x:f>
        <x:v>1.3095</x:v>
      </x:c>
      <x:c r="N470" s="74" t="n">
        <x:f>1-F470/M470</x:f>
        <x:v>0</x:v>
      </x:c>
    </x:row>
    <x:row r="471" ht="27" customHeight="1">
      <x:c r="A471" s="66" t="str">
        <x:v>SQH214</x:v>
      </x:c>
      <x:c r="B471" s="66" t="str">
        <x:v>常行7号</x:v>
      </x:c>
      <x:c r="C471" s="72" t="n">
        <x:v>45926</x:v>
      </x:c>
      <x:c r="D471" s="73" t="n">
        <x:v>1.1985</x:v>
      </x:c>
      <x:c r="E471" s="73" t="n">
        <x:v>1.2985</x:v>
      </x:c>
      <x:c r="F471" s="73" t="n">
        <x:v>1.3169</x:v>
      </x:c>
      <x:c r="G471" s="74" t="n">
        <x:v>0.005699999999999999</x:v>
      </x:c>
      <x:c r="H471" s="66" t="str">
        <x:v>常行7号净值20260911.xlsx</x:v>
      </x:c>
      <x:c r="I471" s="73" t="n">
        <x:f>MAX(I470,F471)</x:f>
        <x:v>1.3169</x:v>
      </x:c>
      <x:c r="J471" s="74" t="n">
        <x:f>1-F471/I471</x:f>
        <x:v>0</x:v>
      </x:c>
      <x:c r="K471" s="73" t="n">
        <x:f>MAX(K470,F471)</x:f>
        <x:v>1.3169</x:v>
      </x:c>
      <x:c r="L471" s="74" t="n">
        <x:f>1-F471/K471</x:f>
        <x:v>0</x:v>
      </x:c>
      <x:c r="M471" s="73" t="n">
        <x:f>MAX(M470,F471)</x:f>
        <x:v>1.3169</x:v>
      </x:c>
      <x:c r="N471" s="74" t="n">
        <x:f>1-F471/M471</x:f>
        <x:v>0</x:v>
      </x:c>
    </x:row>
    <x:row r="472" ht="27" customHeight="1">
      <x:c r="A472" s="66" t="str">
        <x:v>SQH214</x:v>
      </x:c>
      <x:c r="B472" s="66" t="str">
        <x:v>常行7号</x:v>
      </x:c>
      <x:c r="C472" s="72" t="n">
        <x:v>45930</x:v>
      </x:c>
      <x:c r="D472" s="73" t="n">
        <x:v>1.1983</x:v>
      </x:c>
      <x:c r="E472" s="73" t="n">
        <x:v>1.2983</x:v>
      </x:c>
      <x:c r="F472" s="73" t="n">
        <x:v>1.3167</x:v>
      </x:c>
      <x:c r="G472" s="74" t="n">
        <x:v>-0.0002</x:v>
      </x:c>
      <x:c r="H472" s="66" t="str">
        <x:v>常行7号净值20260911.xlsx</x:v>
      </x:c>
      <x:c r="I472" s="73" t="n">
        <x:f>MAX(I471,F472)</x:f>
        <x:v>1.3169</x:v>
      </x:c>
      <x:c r="J472" s="74" t="n">
        <x:f>1-F472/I472</x:f>
        <x:v>0.00015187182018372436</x:v>
      </x:c>
      <x:c r="K472" s="73" t="n">
        <x:f>MAX(K471,F472)</x:f>
        <x:v>1.3169</x:v>
      </x:c>
      <x:c r="L472" s="74" t="n">
        <x:f>1-F472/K472</x:f>
        <x:v>0.00015187182018372436</x:v>
      </x:c>
      <x:c r="M472" s="73" t="n">
        <x:f>MAX(M471,F472)</x:f>
        <x:v>1.3169</x:v>
      </x:c>
      <x:c r="N472" s="74" t="n">
        <x:f>1-F472/M472</x:f>
        <x:v>0.00015187182018372436</x:v>
      </x:c>
    </x:row>
    <x:row r="473" ht="27" customHeight="1">
      <x:c r="A473" s="66" t="str">
        <x:v>SQH214</x:v>
      </x:c>
      <x:c r="B473" s="66" t="str">
        <x:v>常行7号</x:v>
      </x:c>
      <x:c r="C473" s="72" t="n">
        <x:v>45940</x:v>
      </x:c>
      <x:c r="D473" s="73" t="n">
        <x:v>1.1991</x:v>
      </x:c>
      <x:c r="E473" s="73" t="n">
        <x:v>1.2991</x:v>
      </x:c>
      <x:c r="F473" s="73" t="n">
        <x:v>1.3176</x:v>
      </x:c>
      <x:c r="G473" s="74" t="n">
        <x:v>0.0007000000000000001</x:v>
      </x:c>
      <x:c r="H473" s="66" t="str">
        <x:v>常行7号净值20260911.xlsx</x:v>
      </x:c>
      <x:c r="I473" s="73" t="n">
        <x:f>MAX(I472,F473)</x:f>
        <x:v>1.3176</x:v>
      </x:c>
      <x:c r="J473" s="74" t="n">
        <x:f>1-F473/I473</x:f>
        <x:v>0</x:v>
      </x:c>
      <x:c r="K473" s="73" t="n">
        <x:f>MAX(K472,F473)</x:f>
        <x:v>1.3176</x:v>
      </x:c>
      <x:c r="L473" s="74" t="n">
        <x:f>1-F473/K473</x:f>
        <x:v>0</x:v>
      </x:c>
      <x:c r="M473" s="73" t="n">
        <x:f>MAX(M472,F473)</x:f>
        <x:v>1.3176</x:v>
      </x:c>
      <x:c r="N473" s="74" t="n">
        <x:f>1-F473/M473</x:f>
        <x:v>0</x:v>
      </x:c>
    </x:row>
    <x:row r="474" ht="27" customHeight="1">
      <x:c r="A474" s="66" t="str">
        <x:v>SQH214</x:v>
      </x:c>
      <x:c r="B474" s="66" t="str">
        <x:v>常行7号</x:v>
      </x:c>
      <x:c r="C474" s="72" t="n">
        <x:v>45947</x:v>
      </x:c>
      <x:c r="D474" s="73" t="n">
        <x:v>1.2021</x:v>
      </x:c>
      <x:c r="E474" s="73" t="n">
        <x:v>1.3021</x:v>
      </x:c>
      <x:c r="F474" s="73" t="n">
        <x:v>1.3209</x:v>
      </x:c>
      <x:c r="G474" s="74" t="n">
        <x:v>0.0025</x:v>
      </x:c>
      <x:c r="H474" s="66" t="str">
        <x:v>常行7号净值20260911.xlsx</x:v>
      </x:c>
      <x:c r="I474" s="73" t="n">
        <x:f>MAX(I473,F474)</x:f>
        <x:v>1.3209</x:v>
      </x:c>
      <x:c r="J474" s="74" t="n">
        <x:f>1-F474/I474</x:f>
        <x:v>0</x:v>
      </x:c>
      <x:c r="K474" s="73" t="n">
        <x:f>MAX(K473,F474)</x:f>
        <x:v>1.3209</x:v>
      </x:c>
      <x:c r="L474" s="74" t="n">
        <x:f>1-F474/K474</x:f>
        <x:v>0</x:v>
      </x:c>
      <x:c r="M474" s="73" t="n">
        <x:f>MAX(M473,F474)</x:f>
        <x:v>1.3209</x:v>
      </x:c>
      <x:c r="N474" s="74" t="n">
        <x:f>1-F474/M474</x:f>
        <x:v>0</x:v>
      </x:c>
    </x:row>
    <x:row r="475" ht="27" customHeight="1">
      <x:c r="A475" s="66" t="str">
        <x:v>SQH214</x:v>
      </x:c>
      <x:c r="B475" s="66" t="str">
        <x:v>常行7号</x:v>
      </x:c>
      <x:c r="C475" s="72" t="n">
        <x:v>45954</x:v>
      </x:c>
      <x:c r="D475" s="73" t="n">
        <x:v>1.2034</x:v>
      </x:c>
      <x:c r="E475" s="73" t="n">
        <x:v>1.3034</x:v>
      </x:c>
      <x:c r="F475" s="73" t="n">
        <x:v>1.3223</x:v>
      </x:c>
      <x:c r="G475" s="74" t="n">
        <x:v>0.0011</x:v>
      </x:c>
      <x:c r="H475" s="66" t="str">
        <x:v>常行7号净值20260911.xlsx</x:v>
      </x:c>
      <x:c r="I475" s="73" t="n">
        <x:f>MAX(I474,F475)</x:f>
        <x:v>1.3223</x:v>
      </x:c>
      <x:c r="J475" s="74" t="n">
        <x:f>1-F475/I475</x:f>
        <x:v>0</x:v>
      </x:c>
      <x:c r="K475" s="73" t="n">
        <x:f>MAX(K474,F475)</x:f>
        <x:v>1.3223</x:v>
      </x:c>
      <x:c r="L475" s="74" t="n">
        <x:f>1-F475/K475</x:f>
        <x:v>0</x:v>
      </x:c>
      <x:c r="M475" s="73" t="n">
        <x:f>MAX(M474,F475)</x:f>
        <x:v>1.3223</x:v>
      </x:c>
      <x:c r="N475" s="74" t="n">
        <x:f>1-F475/M475</x:f>
        <x:v>0</x:v>
      </x:c>
    </x:row>
    <x:row r="476" ht="27" customHeight="1">
      <x:c r="A476" s="66" t="str">
        <x:v>SQH214</x:v>
      </x:c>
      <x:c r="B476" s="66" t="str">
        <x:v>常行7号</x:v>
      </x:c>
      <x:c r="C476" s="72" t="n">
        <x:v>45961</x:v>
      </x:c>
      <x:c r="D476" s="73" t="n">
        <x:v>1.2046</x:v>
      </x:c>
      <x:c r="E476" s="73" t="n">
        <x:v>1.3046</x:v>
      </x:c>
      <x:c r="F476" s="73" t="n">
        <x:v>1.3236</x:v>
      </x:c>
      <x:c r="G476" s="74" t="n">
        <x:v>0.001</x:v>
      </x:c>
      <x:c r="H476" s="66" t="str">
        <x:v>常行7号净值20260911.xlsx</x:v>
      </x:c>
      <x:c r="I476" s="73" t="n">
        <x:f>MAX(I475,F476)</x:f>
        <x:v>1.3236</x:v>
      </x:c>
      <x:c r="J476" s="74" t="n">
        <x:f>1-F476/I476</x:f>
        <x:v>0</x:v>
      </x:c>
      <x:c r="K476" s="73" t="n">
        <x:f>MAX(K475,F476)</x:f>
        <x:v>1.3236</x:v>
      </x:c>
      <x:c r="L476" s="74" t="n">
        <x:f>1-F476/K476</x:f>
        <x:v>0</x:v>
      </x:c>
      <x:c r="M476" s="73" t="n">
        <x:f>MAX(M475,F476)</x:f>
        <x:v>1.3236</x:v>
      </x:c>
      <x:c r="N476" s="74" t="n">
        <x:f>1-F476/M476</x:f>
        <x:v>0</x:v>
      </x:c>
    </x:row>
    <x:row r="477" ht="27" customHeight="1">
      <x:c r="A477" s="66" t="str">
        <x:v>SQH214</x:v>
      </x:c>
      <x:c r="B477" s="66" t="str">
        <x:v>常行7号</x:v>
      </x:c>
      <x:c r="C477" s="72" t="n">
        <x:v>45968</x:v>
      </x:c>
      <x:c r="D477" s="73" t="n">
        <x:v>1.2069</x:v>
      </x:c>
      <x:c r="E477" s="73" t="n">
        <x:v>1.3069</x:v>
      </x:c>
      <x:c r="F477" s="73" t="n">
        <x:v>1.3262</x:v>
      </x:c>
      <x:c r="G477" s="74" t="n">
        <x:v>0.0019</x:v>
      </x:c>
      <x:c r="H477" s="66" t="str">
        <x:v>常行7号净值20260911.xlsx</x:v>
      </x:c>
      <x:c r="I477" s="73" t="n">
        <x:f>MAX(I476,F477)</x:f>
        <x:v>1.3262</x:v>
      </x:c>
      <x:c r="J477" s="74" t="n">
        <x:f>1-F477/I477</x:f>
        <x:v>0</x:v>
      </x:c>
      <x:c r="K477" s="73" t="n">
        <x:f>MAX(K476,F477)</x:f>
        <x:v>1.3262</x:v>
      </x:c>
      <x:c r="L477" s="74" t="n">
        <x:f>1-F477/K477</x:f>
        <x:v>0</x:v>
      </x:c>
      <x:c r="M477" s="73" t="n">
        <x:f>MAX(M476,F477)</x:f>
        <x:v>1.3262</x:v>
      </x:c>
      <x:c r="N477" s="74" t="n">
        <x:f>1-F477/M477</x:f>
        <x:v>0</x:v>
      </x:c>
    </x:row>
    <x:row r="478" ht="27" customHeight="1">
      <x:c r="A478" s="66" t="str">
        <x:v>SQH214</x:v>
      </x:c>
      <x:c r="B478" s="66" t="str">
        <x:v>常行7号</x:v>
      </x:c>
      <x:c r="C478" s="72" t="n">
        <x:v>45975</x:v>
      </x:c>
      <x:c r="D478" s="73" t="n">
        <x:v>1.2106</x:v>
      </x:c>
      <x:c r="E478" s="73" t="n">
        <x:v>1.3106</x:v>
      </x:c>
      <x:c r="F478" s="73" t="n">
        <x:v>1.3302</x:v>
      </x:c>
      <x:c r="G478" s="74" t="n">
        <x:v>0.0031</x:v>
      </x:c>
      <x:c r="H478" s="66" t="str">
        <x:v>常行7号净值20260911.xlsx</x:v>
      </x:c>
      <x:c r="I478" s="73" t="n">
        <x:f>MAX(I477,F478)</x:f>
        <x:v>1.3302</x:v>
      </x:c>
      <x:c r="J478" s="74" t="n">
        <x:f>1-F478/I478</x:f>
        <x:v>0</x:v>
      </x:c>
      <x:c r="K478" s="73" t="n">
        <x:f>MAX(K477,F478)</x:f>
        <x:v>1.3302</x:v>
      </x:c>
      <x:c r="L478" s="74" t="n">
        <x:f>1-F478/K478</x:f>
        <x:v>0</x:v>
      </x:c>
      <x:c r="M478" s="73" t="n">
        <x:f>MAX(M477,F478)</x:f>
        <x:v>1.3302</x:v>
      </x:c>
      <x:c r="N478" s="74" t="n">
        <x:f>1-F478/M478</x:f>
        <x:v>0</x:v>
      </x:c>
    </x:row>
    <x:row r="479" ht="27" customHeight="1">
      <x:c r="A479" s="66" t="str">
        <x:v>SQH214</x:v>
      </x:c>
      <x:c r="B479" s="66" t="str">
        <x:v>常行7号</x:v>
      </x:c>
      <x:c r="C479" s="72" t="n">
        <x:v>45982</x:v>
      </x:c>
      <x:c r="D479" s="73" t="n">
        <x:v>1.2112</x:v>
      </x:c>
      <x:c r="E479" s="73" t="n">
        <x:v>1.3112</x:v>
      </x:c>
      <x:c r="F479" s="73" t="n">
        <x:v>1.3309</x:v>
      </x:c>
      <x:c r="G479" s="74" t="n">
        <x:v>0.0005</x:v>
      </x:c>
      <x:c r="H479" s="66" t="str">
        <x:v>常行7号净值20260911.xlsx</x:v>
      </x:c>
      <x:c r="I479" s="73" t="n">
        <x:f>MAX(I478,F479)</x:f>
        <x:v>1.3309</x:v>
      </x:c>
      <x:c r="J479" s="74" t="n">
        <x:f>1-F479/I479</x:f>
        <x:v>0</x:v>
      </x:c>
      <x:c r="K479" s="73" t="n">
        <x:f>MAX(K478,F479)</x:f>
        <x:v>1.3309</x:v>
      </x:c>
      <x:c r="L479" s="74" t="n">
        <x:f>1-F479/K479</x:f>
        <x:v>0</x:v>
      </x:c>
      <x:c r="M479" s="73" t="n">
        <x:f>MAX(M478,F479)</x:f>
        <x:v>1.3309</x:v>
      </x:c>
      <x:c r="N479" s="74" t="n">
        <x:f>1-F479/M479</x:f>
        <x:v>0</x:v>
      </x:c>
    </x:row>
    <x:row r="480" ht="27" customHeight="1">
      <x:c r="A480" s="66" t="str">
        <x:v>SQH214</x:v>
      </x:c>
      <x:c r="B480" s="66" t="str">
        <x:v>常行7号</x:v>
      </x:c>
      <x:c r="C480" s="72" t="n">
        <x:v>45989</x:v>
      </x:c>
      <x:c r="D480" s="73" t="n">
        <x:v>1.2118</x:v>
      </x:c>
      <x:c r="E480" s="73" t="n">
        <x:v>1.3118</x:v>
      </x:c>
      <x:c r="F480" s="73" t="n">
        <x:v>1.3315</x:v>
      </x:c>
      <x:c r="G480" s="74" t="n">
        <x:v>0.0005</x:v>
      </x:c>
      <x:c r="H480" s="66" t="str">
        <x:v>常行7号净值20260911.xlsx</x:v>
      </x:c>
      <x:c r="I480" s="73" t="n">
        <x:f>MAX(I479,F480)</x:f>
        <x:v>1.3315</x:v>
      </x:c>
      <x:c r="J480" s="74" t="n">
        <x:f>1-F480/I480</x:f>
        <x:v>0</x:v>
      </x:c>
      <x:c r="K480" s="73" t="n">
        <x:f>MAX(K479,F480)</x:f>
        <x:v>1.3315</x:v>
      </x:c>
      <x:c r="L480" s="74" t="n">
        <x:f>1-F480/K480</x:f>
        <x:v>0</x:v>
      </x:c>
      <x:c r="M480" s="73" t="n">
        <x:f>MAX(M479,F480)</x:f>
        <x:v>1.3315</x:v>
      </x:c>
      <x:c r="N480" s="74" t="n">
        <x:f>1-F480/M480</x:f>
        <x:v>0</x:v>
      </x:c>
    </x:row>
    <x:row r="481" ht="27" customHeight="1">
      <x:c r="A481" s="66" t="str">
        <x:v>SQH214</x:v>
      </x:c>
      <x:c r="B481" s="66" t="str">
        <x:v>常行7号</x:v>
      </x:c>
      <x:c r="C481" s="72" t="n">
        <x:v>45996</x:v>
      </x:c>
      <x:c r="D481" s="73" t="n">
        <x:v>1.2122</x:v>
      </x:c>
      <x:c r="E481" s="73" t="n">
        <x:v>1.3122</x:v>
      </x:c>
      <x:c r="F481" s="73" t="n">
        <x:v>1.332</x:v>
      </x:c>
      <x:c r="G481" s="74" t="n">
        <x:v>0.0003</x:v>
      </x:c>
      <x:c r="H481" s="66" t="str">
        <x:v>常行7号净值20260911.xlsx</x:v>
      </x:c>
      <x:c r="I481" s="73" t="n">
        <x:f>MAX(I480,F481)</x:f>
        <x:v>1.332</x:v>
      </x:c>
      <x:c r="J481" s="74" t="n">
        <x:f>1-F481/I481</x:f>
        <x:v>0</x:v>
      </x:c>
      <x:c r="K481" s="73" t="n">
        <x:f>MAX(K480,F481)</x:f>
        <x:v>1.332</x:v>
      </x:c>
      <x:c r="L481" s="74" t="n">
        <x:f>1-F481/K481</x:f>
        <x:v>0</x:v>
      </x:c>
      <x:c r="M481" s="73" t="n">
        <x:f>MAX(M480,F481)</x:f>
        <x:v>1.332</x:v>
      </x:c>
      <x:c r="N481" s="74" t="n">
        <x:f>1-F481/M481</x:f>
        <x:v>0</x:v>
      </x:c>
    </x:row>
    <x:row r="482" ht="27" customHeight="1">
      <x:c r="A482" s="66" t="str">
        <x:v>SQH214</x:v>
      </x:c>
      <x:c r="B482" s="66" t="str">
        <x:v>常行7号</x:v>
      </x:c>
      <x:c r="C482" s="72" t="n">
        <x:v>46003</x:v>
      </x:c>
      <x:c r="D482" s="73" t="n">
        <x:v>1.2128</x:v>
      </x:c>
      <x:c r="E482" s="73" t="n">
        <x:v>1.3128</x:v>
      </x:c>
      <x:c r="F482" s="73" t="n">
        <x:v>1.3326</x:v>
      </x:c>
      <x:c r="G482" s="74" t="n">
        <x:v>0.0005</x:v>
      </x:c>
      <x:c r="H482" s="66" t="str">
        <x:v>常行7号净值20260911.xlsx</x:v>
      </x:c>
      <x:c r="I482" s="73" t="n">
        <x:f>MAX(I481,F482)</x:f>
        <x:v>1.3326</x:v>
      </x:c>
      <x:c r="J482" s="74" t="n">
        <x:f>1-F482/I482</x:f>
        <x:v>0</x:v>
      </x:c>
      <x:c r="K482" s="73" t="n">
        <x:f>MAX(K481,F482)</x:f>
        <x:v>1.3326</x:v>
      </x:c>
      <x:c r="L482" s="74" t="n">
        <x:f>1-F482/K482</x:f>
        <x:v>0</x:v>
      </x:c>
      <x:c r="M482" s="73" t="n">
        <x:f>MAX(M481,F482)</x:f>
        <x:v>1.3326</x:v>
      </x:c>
      <x:c r="N482" s="74" t="n">
        <x:f>1-F482/M482</x:f>
        <x:v>0</x:v>
      </x:c>
    </x:row>
    <x:row r="483" ht="27" customHeight="1">
      <x:c r="A483" s="66" t="str">
        <x:v>SQH214</x:v>
      </x:c>
      <x:c r="B483" s="66" t="str">
        <x:v>常行7号</x:v>
      </x:c>
      <x:c r="C483" s="72" t="n">
        <x:v>46010</x:v>
      </x:c>
      <x:c r="D483" s="73" t="n">
        <x:v>1.2108</x:v>
      </x:c>
      <x:c r="E483" s="73" t="n">
        <x:v>1.3108</x:v>
      </x:c>
      <x:c r="F483" s="73" t="n">
        <x:v>1.3304</x:v>
      </x:c>
      <x:c r="G483" s="74" t="n">
        <x:v>-0.0016</x:v>
      </x:c>
      <x:c r="H483" s="66" t="str">
        <x:v>常行7号净值20260911.xlsx</x:v>
      </x:c>
      <x:c r="I483" s="73" t="n">
        <x:f>MAX(I482,F483)</x:f>
        <x:v>1.3326</x:v>
      </x:c>
      <x:c r="J483" s="74" t="n">
        <x:f>1-F483/I483</x:f>
        <x:v>0.001650907999399709</x:v>
      </x:c>
      <x:c r="K483" s="73" t="n">
        <x:f>MAX(K482,F483)</x:f>
        <x:v>1.3326</x:v>
      </x:c>
      <x:c r="L483" s="74" t="n">
        <x:f>1-F483/K483</x:f>
        <x:v>0.001650907999399709</x:v>
      </x:c>
      <x:c r="M483" s="73" t="n">
        <x:f>MAX(M482,F483)</x:f>
        <x:v>1.3326</x:v>
      </x:c>
      <x:c r="N483" s="74" t="n">
        <x:f>1-F483/M483</x:f>
        <x:v>0.001650907999399709</x:v>
      </x:c>
    </x:row>
    <x:row r="484" ht="27" customHeight="1">
      <x:c r="A484" s="66" t="str">
        <x:v>SQH214</x:v>
      </x:c>
      <x:c r="B484" s="66" t="str">
        <x:v>常行7号</x:v>
      </x:c>
      <x:c r="C484" s="72" t="n">
        <x:v>46017</x:v>
      </x:c>
      <x:c r="D484" s="73" t="n">
        <x:v>1.2111</x:v>
      </x:c>
      <x:c r="E484" s="73" t="n">
        <x:v>1.3111</x:v>
      </x:c>
      <x:c r="F484" s="73" t="n">
        <x:v>1.3308</x:v>
      </x:c>
      <x:c r="G484" s="74" t="n">
        <x:v>0.0002</x:v>
      </x:c>
      <x:c r="H484" s="66" t="str">
        <x:v>常行7号净值20260911.xlsx</x:v>
      </x:c>
      <x:c r="I484" s="73" t="n">
        <x:f>MAX(I483,F484)</x:f>
        <x:v>1.3326</x:v>
      </x:c>
      <x:c r="J484" s="74" t="n">
        <x:f>1-F484/I484</x:f>
        <x:v>0.0013507429085997114</x:v>
      </x:c>
      <x:c r="K484" s="73" t="n">
        <x:f>MAX(K483,F484)</x:f>
        <x:v>1.3326</x:v>
      </x:c>
      <x:c r="L484" s="74" t="n">
        <x:f>1-F484/K484</x:f>
        <x:v>0.0013507429085997114</x:v>
      </x:c>
      <x:c r="M484" s="73" t="n">
        <x:f>MAX(M483,F484)</x:f>
        <x:v>1.3326</x:v>
      </x:c>
      <x:c r="N484" s="74" t="n">
        <x:f>1-F484/M484</x:f>
        <x:v>0.0013507429085997114</x:v>
      </x:c>
    </x:row>
    <x:row r="485" ht="27" customHeight="1">
      <x:c r="A485" s="66" t="str">
        <x:v>SQH214</x:v>
      </x:c>
      <x:c r="B485" s="66" t="str">
        <x:v>常行7号</x:v>
      </x:c>
      <x:c r="C485" s="72" t="n">
        <x:v>46022</x:v>
      </x:c>
      <x:c r="D485" s="73" t="n">
        <x:v>1.2139</x:v>
      </x:c>
      <x:c r="E485" s="73" t="n">
        <x:v>1.3139</x:v>
      </x:c>
      <x:c r="F485" s="73" t="n">
        <x:v>1.3339</x:v>
      </x:c>
      <x:c r="G485" s="74" t="n">
        <x:v>0.0023</x:v>
      </x:c>
      <x:c r="H485" s="66" t="str">
        <x:v>常行7号净值20260911.xlsx</x:v>
      </x:c>
      <x:c r="I485" s="73" t="n">
        <x:f>MAX(I484,F485)</x:f>
        <x:v>1.3339</x:v>
      </x:c>
      <x:c r="J485" s="74" t="n">
        <x:f>1-F485/I485</x:f>
        <x:v>0</x:v>
      </x:c>
      <x:c r="K485" s="73" t="n">
        <x:f>MAX(K484,F485)</x:f>
        <x:v>1.3339</x:v>
      </x:c>
      <x:c r="L485" s="74" t="n">
        <x:f>1-F485/K485</x:f>
        <x:v>0</x:v>
      </x:c>
      <x:c r="M485" s="73" t="n">
        <x:f>MAX(M484,F485)</x:f>
        <x:v>1.3339</x:v>
      </x:c>
      <x:c r="N485" s="74" t="n">
        <x:f>1-F485/M485</x:f>
        <x:v>0</x:v>
      </x:c>
    </x:row>
    <x:row r="486" ht="27" customHeight="1">
      <x:c r="A486" s="66" t="str">
        <x:v>SQH214</x:v>
      </x:c>
      <x:c r="B486" s="66" t="str">
        <x:v>常行7号</x:v>
      </x:c>
      <x:c r="C486" s="72" t="n">
        <x:v>46031</x:v>
      </x:c>
      <x:c r="D486" s="73" t="n">
        <x:v>1.2138</x:v>
      </x:c>
      <x:c r="E486" s="73" t="n">
        <x:v>1.3138</x:v>
      </x:c>
      <x:c r="F486" s="73" t="n">
        <x:v>1.3337</x:v>
      </x:c>
      <x:c r="G486" s="74" t="n">
        <x:v>-0.0001</x:v>
      </x:c>
      <x:c r="H486" s="66" t="str">
        <x:v>常行7号净值20260911.xlsx</x:v>
      </x:c>
      <x:c r="I486" s="73" t="n">
        <x:f>MAX(I485,F486)</x:f>
        <x:v>1.3339</x:v>
      </x:c>
      <x:c r="J486" s="74" t="n">
        <x:f>1-F486/I486</x:f>
        <x:v>0.0001499362770822632</x:v>
      </x:c>
      <x:c r="K486" s="73" t="n">
        <x:f>MAX(K485,F486)</x:f>
        <x:v>1.3339</x:v>
      </x:c>
      <x:c r="L486" s="74" t="n">
        <x:f>1-F486/K486</x:f>
        <x:v>0.0001499362770822632</x:v>
      </x:c>
      <x:c r="M486" s="73" t="n">
        <x:f>MAX(M485,F486)</x:f>
        <x:v>1.3339</x:v>
      </x:c>
      <x:c r="N486" s="74" t="n">
        <x:f>1-F486/M486</x:f>
        <x:v>0.0001499362770822632</x:v>
      </x:c>
    </x:row>
    <x:row r="487" ht="27" customHeight="1">
      <x:c r="A487" s="66" t="str">
        <x:v>SQH214</x:v>
      </x:c>
      <x:c r="B487" s="66" t="str">
        <x:v>常行7号</x:v>
      </x:c>
      <x:c r="C487" s="72" t="n">
        <x:v>46038</x:v>
      </x:c>
      <x:c r="D487" s="73" t="n">
        <x:v>1.2169</x:v>
      </x:c>
      <x:c r="E487" s="73" t="n">
        <x:v>1.3169</x:v>
      </x:c>
      <x:c r="F487" s="73" t="n">
        <x:v>1.3371</x:v>
      </x:c>
      <x:c r="G487" s="74" t="n">
        <x:v>0.0026</x:v>
      </x:c>
      <x:c r="H487" s="66" t="str">
        <x:v>常行7号净值20260911.xlsx</x:v>
      </x:c>
      <x:c r="I487" s="73" t="n">
        <x:f>MAX(I486,F487)</x:f>
        <x:v>1.3371</x:v>
      </x:c>
      <x:c r="J487" s="74" t="n">
        <x:f>1-F487/I487</x:f>
        <x:v>0</x:v>
      </x:c>
      <x:c r="K487" s="73" t="n">
        <x:f>MAX(K486,F487)</x:f>
        <x:v>1.3371</x:v>
      </x:c>
      <x:c r="L487" s="74" t="n">
        <x:f>1-F487/K487</x:f>
        <x:v>0</x:v>
      </x:c>
      <x:c r="M487" s="73" t="n">
        <x:f>MAX(M486,F487)</x:f>
        <x:v>1.3371</x:v>
      </x:c>
      <x:c r="N487" s="74" t="n">
        <x:f>1-F487/M487</x:f>
        <x:v>0</x:v>
      </x:c>
    </x:row>
    <x:row r="488" ht="27" customHeight="1">
      <x:c r="A488" s="66" t="str">
        <x:v>SQH214</x:v>
      </x:c>
      <x:c r="B488" s="66" t="str">
        <x:v>常行7号</x:v>
      </x:c>
      <x:c r="C488" s="72" t="n">
        <x:v>46045</x:v>
      </x:c>
      <x:c r="D488" s="73" t="n">
        <x:v>1.2173</x:v>
      </x:c>
      <x:c r="E488" s="73" t="n">
        <x:v>1.3173</x:v>
      </x:c>
      <x:c r="F488" s="73" t="n">
        <x:v>1.3376</x:v>
      </x:c>
      <x:c r="G488" s="74" t="n">
        <x:v>0.0003</x:v>
      </x:c>
      <x:c r="H488" s="66" t="str">
        <x:v>常行7号净值20260911.xlsx</x:v>
      </x:c>
      <x:c r="I488" s="73" t="n">
        <x:f>MAX(I487,F488)</x:f>
        <x:v>1.3376</x:v>
      </x:c>
      <x:c r="J488" s="74" t="n">
        <x:f>1-F488/I488</x:f>
        <x:v>0</x:v>
      </x:c>
      <x:c r="K488" s="73" t="n">
        <x:f>MAX(K487,F488)</x:f>
        <x:v>1.3376</x:v>
      </x:c>
      <x:c r="L488" s="74" t="n">
        <x:f>1-F488/K488</x:f>
        <x:v>0</x:v>
      </x:c>
      <x:c r="M488" s="73" t="n">
        <x:f>MAX(M487,F488)</x:f>
        <x:v>1.3376</x:v>
      </x:c>
      <x:c r="N488" s="74" t="n">
        <x:f>1-F488/M488</x:f>
        <x:v>0</x:v>
      </x:c>
    </x:row>
    <x:row r="489" ht="27" customHeight="1">
      <x:c r="A489" s="66" t="str">
        <x:v>SQH214</x:v>
      </x:c>
      <x:c r="B489" s="66" t="str">
        <x:v>常行7号</x:v>
      </x:c>
      <x:c r="C489" s="72" t="n">
        <x:v>46052</x:v>
      </x:c>
      <x:c r="D489" s="73" t="n">
        <x:v>1.2224</x:v>
      </x:c>
      <x:c r="E489" s="73" t="n">
        <x:v>1.3224</x:v>
      </x:c>
      <x:c r="F489" s="73" t="n">
        <x:v>1.3432</x:v>
      </x:c>
      <x:c r="G489" s="74" t="n">
        <x:v>0.0042</x:v>
      </x:c>
      <x:c r="H489" s="66" t="str">
        <x:v>常行7号净值20260911.xlsx</x:v>
      </x:c>
      <x:c r="I489" s="73" t="n">
        <x:f>MAX(I488,F489)</x:f>
        <x:v>1.3432</x:v>
      </x:c>
      <x:c r="J489" s="74" t="n">
        <x:f>1-F489/I489</x:f>
        <x:v>0</x:v>
      </x:c>
      <x:c r="K489" s="73" t="n">
        <x:f>MAX(K488,F489)</x:f>
        <x:v>1.3432</x:v>
      </x:c>
      <x:c r="L489" s="74" t="n">
        <x:f>1-F489/K489</x:f>
        <x:v>0</x:v>
      </x:c>
      <x:c r="M489" s="73" t="n">
        <x:f>MAX(M488,F489)</x:f>
        <x:v>1.3432</x:v>
      </x:c>
      <x:c r="N489" s="74" t="n">
        <x:f>1-F489/M489</x:f>
        <x:v>0</x:v>
      </x:c>
    </x:row>
    <x:row r="490" ht="27" customHeight="1">
      <x:c r="A490" s="66" t="str">
        <x:v>SQH214</x:v>
      </x:c>
      <x:c r="B490" s="66" t="str">
        <x:v>常行7号</x:v>
      </x:c>
      <x:c r="C490" s="72" t="n">
        <x:v>46059</x:v>
      </x:c>
      <x:c r="D490" s="73" t="n">
        <x:v>1.2312</x:v>
      </x:c>
      <x:c r="E490" s="73" t="n">
        <x:v>1.3312</x:v>
      </x:c>
      <x:c r="F490" s="73" t="n">
        <x:v>1.3529</x:v>
      </x:c>
      <x:c r="G490" s="74" t="n">
        <x:v>0.0072</x:v>
      </x:c>
      <x:c r="H490" s="66" t="str">
        <x:v>常行7号净值20260911.xlsx</x:v>
      </x:c>
      <x:c r="I490" s="73" t="n">
        <x:f>MAX(I489,F490)</x:f>
        <x:v>1.3529</x:v>
      </x:c>
      <x:c r="J490" s="74" t="n">
        <x:f>1-F490/I490</x:f>
        <x:v>0</x:v>
      </x:c>
      <x:c r="K490" s="73" t="n">
        <x:f>MAX(K489,F490)</x:f>
        <x:v>1.3529</x:v>
      </x:c>
      <x:c r="L490" s="74" t="n">
        <x:f>1-F490/K490</x:f>
        <x:v>0</x:v>
      </x:c>
      <x:c r="M490" s="73" t="n">
        <x:f>MAX(M489,F490)</x:f>
        <x:v>1.3529</x:v>
      </x:c>
      <x:c r="N490" s="74" t="n">
        <x:f>1-F490/M490</x:f>
        <x:v>0</x:v>
      </x:c>
    </x:row>
    <x:row r="491" ht="27" customHeight="1">
      <x:c r="A491" s="66" t="str">
        <x:v>SQH214</x:v>
      </x:c>
      <x:c r="B491" s="66" t="str">
        <x:v>常行7号</x:v>
      </x:c>
      <x:c r="C491" s="72" t="n">
        <x:v>46066</x:v>
      </x:c>
      <x:c r="D491" s="73" t="n">
        <x:v>1.2332</x:v>
      </x:c>
      <x:c r="E491" s="73" t="n">
        <x:v>1.3332</x:v>
      </x:c>
      <x:c r="F491" s="73" t="n">
        <x:v>1.3551</x:v>
      </x:c>
      <x:c r="G491" s="74" t="n">
        <x:v>0.0016</x:v>
      </x:c>
      <x:c r="H491" s="66" t="str">
        <x:v>常行7号净值20260911.xlsx</x:v>
      </x:c>
      <x:c r="I491" s="73" t="n">
        <x:f>MAX(I490,F491)</x:f>
        <x:v>1.3551</x:v>
      </x:c>
      <x:c r="J491" s="74" t="n">
        <x:f>1-F491/I491</x:f>
        <x:v>0</x:v>
      </x:c>
      <x:c r="K491" s="73" t="n">
        <x:f>MAX(K490,F491)</x:f>
        <x:v>1.3551</x:v>
      </x:c>
      <x:c r="L491" s="74" t="n">
        <x:f>1-F491/K491</x:f>
        <x:v>0</x:v>
      </x:c>
      <x:c r="M491" s="73" t="n">
        <x:f>MAX(M490,F491)</x:f>
        <x:v>1.3551</x:v>
      </x:c>
      <x:c r="N491" s="74" t="n">
        <x:f>1-F491/M491</x:f>
        <x:v>0</x:v>
      </x:c>
    </x:row>
    <x:row r="492" ht="27" customHeight="1">
      <x:c r="A492" s="66" t="str">
        <x:v>SQH214</x:v>
      </x:c>
      <x:c r="B492" s="66" t="str">
        <x:v>常行7号</x:v>
      </x:c>
      <x:c r="C492" s="72" t="n">
        <x:v>46080</x:v>
      </x:c>
      <x:c r="D492" s="73" t="n">
        <x:v>1.2339</x:v>
      </x:c>
      <x:c r="E492" s="73" t="n">
        <x:v>1.3339</x:v>
      </x:c>
      <x:c r="F492" s="73" t="n">
        <x:v>1.3558</x:v>
      </x:c>
      <x:c r="G492" s="74" t="n">
        <x:v>0.0006</x:v>
      </x:c>
      <x:c r="H492" s="66" t="str">
        <x:v>常行7号净值20260911.xlsx</x:v>
      </x:c>
      <x:c r="I492" s="73" t="n">
        <x:f>MAX(I491,F492)</x:f>
        <x:v>1.3558</x:v>
      </x:c>
      <x:c r="J492" s="74" t="n">
        <x:f>1-F492/I492</x:f>
        <x:v>0</x:v>
      </x:c>
      <x:c r="K492" s="73" t="n">
        <x:f>MAX(K491,F492)</x:f>
        <x:v>1.3558</x:v>
      </x:c>
      <x:c r="L492" s="74" t="n">
        <x:f>1-F492/K492</x:f>
        <x:v>0</x:v>
      </x:c>
      <x:c r="M492" s="73" t="n">
        <x:f>MAX(M491,F492)</x:f>
        <x:v>1.3558</x:v>
      </x:c>
      <x:c r="N492" s="74" t="n">
        <x:f>1-F492/M492</x:f>
        <x:v>0</x:v>
      </x:c>
    </x:row>
    <x:row r="493" ht="27" customHeight="1">
      <x:c r="A493" s="66" t="str">
        <x:v>SQH214</x:v>
      </x:c>
      <x:c r="B493" s="66" t="str">
        <x:v>常行7号</x:v>
      </x:c>
      <x:c r="C493" s="72" t="n">
        <x:v>46087</x:v>
      </x:c>
      <x:c r="D493" s="73" t="n">
        <x:v>1.237</x:v>
      </x:c>
      <x:c r="E493" s="73" t="n">
        <x:v>1.337</x:v>
      </x:c>
      <x:c r="F493" s="73" t="n">
        <x:v>1.3592</x:v>
      </x:c>
      <x:c r="G493" s="74" t="n">
        <x:v>0.0025</x:v>
      </x:c>
      <x:c r="H493" s="66" t="str">
        <x:v>常行7号净值20260911.xlsx</x:v>
      </x:c>
      <x:c r="I493" s="73" t="n">
        <x:f>MAX(I492,F493)</x:f>
        <x:v>1.3592</x:v>
      </x:c>
      <x:c r="J493" s="74" t="n">
        <x:f>1-F493/I493</x:f>
        <x:v>0</x:v>
      </x:c>
      <x:c r="K493" s="73" t="n">
        <x:f>MAX(K492,F493)</x:f>
        <x:v>1.3592</x:v>
      </x:c>
      <x:c r="L493" s="74" t="n">
        <x:f>1-F493/K493</x:f>
        <x:v>0</x:v>
      </x:c>
      <x:c r="M493" s="73" t="n">
        <x:f>MAX(M492,F493)</x:f>
        <x:v>1.3592</x:v>
      </x:c>
      <x:c r="N493" s="74" t="n">
        <x:f>1-F493/M493</x:f>
        <x:v>0</x:v>
      </x:c>
    </x:row>
    <x:row r="494" ht="27" customHeight="1">
      <x:c r="A494" s="66" t="str">
        <x:v>SQH214</x:v>
      </x:c>
      <x:c r="B494" s="66" t="str">
        <x:v>常行7号</x:v>
      </x:c>
      <x:c r="C494" s="72" t="n">
        <x:v>46094</x:v>
      </x:c>
      <x:c r="D494" s="73" t="n">
        <x:v>1.2392</x:v>
      </x:c>
      <x:c r="E494" s="73" t="n">
        <x:v>1.3392</x:v>
      </x:c>
      <x:c r="F494" s="73" t="n">
        <x:v>1.3617</x:v>
      </x:c>
      <x:c r="G494" s="74" t="n">
        <x:v>0.0018</x:v>
      </x:c>
      <x:c r="H494" s="66" t="str">
        <x:v>常行7号净值20260911.xlsx</x:v>
      </x:c>
      <x:c r="I494" s="73" t="n">
        <x:f>MAX(I493,F494)</x:f>
        <x:v>1.3617</x:v>
      </x:c>
      <x:c r="J494" s="74" t="n">
        <x:f>1-F494/I494</x:f>
        <x:v>0</x:v>
      </x:c>
      <x:c r="K494" s="73" t="n">
        <x:f>MAX(K493,F494)</x:f>
        <x:v>1.3617</x:v>
      </x:c>
      <x:c r="L494" s="74" t="n">
        <x:f>1-F494/K494</x:f>
        <x:v>0</x:v>
      </x:c>
      <x:c r="M494" s="73" t="n">
        <x:f>MAX(M493,F494)</x:f>
        <x:v>1.3617</x:v>
      </x:c>
      <x:c r="N494" s="74" t="n">
        <x:f>1-F494/M494</x:f>
        <x:v>0</x:v>
      </x:c>
    </x:row>
    <x:row r="495" ht="27" customHeight="1">
      <x:c r="A495" s="66" t="str">
        <x:v>SQH214</x:v>
      </x:c>
      <x:c r="B495" s="66" t="str">
        <x:v>常行7号</x:v>
      </x:c>
      <x:c r="C495" s="72" t="n">
        <x:v>46101</x:v>
      </x:c>
      <x:c r="D495" s="73" t="n">
        <x:v>1.2417</x:v>
      </x:c>
      <x:c r="E495" s="73" t="n">
        <x:v>1.3417</x:v>
      </x:c>
      <x:c r="F495" s="73" t="n">
        <x:v>1.3644</x:v>
      </x:c>
      <x:c r="G495" s="74" t="n">
        <x:v>0.002</x:v>
      </x:c>
      <x:c r="H495" s="66" t="str">
        <x:v>常行7号净值20260911.xlsx</x:v>
      </x:c>
      <x:c r="I495" s="73" t="n">
        <x:f>MAX(I494,F495)</x:f>
        <x:v>1.3644</x:v>
      </x:c>
      <x:c r="J495" s="74" t="n">
        <x:f>1-F495/I495</x:f>
        <x:v>0</x:v>
      </x:c>
      <x:c r="K495" s="73" t="n">
        <x:f>MAX(K494,F495)</x:f>
        <x:v>1.3644</x:v>
      </x:c>
      <x:c r="L495" s="74" t="n">
        <x:f>1-F495/K495</x:f>
        <x:v>0</x:v>
      </x:c>
      <x:c r="M495" s="73" t="n">
        <x:f>MAX(M494,F495)</x:f>
        <x:v>1.3644</x:v>
      </x:c>
      <x:c r="N495" s="74" t="n">
        <x:f>1-F495/M495</x:f>
        <x:v>0</x:v>
      </x:c>
    </x:row>
    <x:row r="496" ht="27" customHeight="1">
      <x:c r="A496" s="66" t="str">
        <x:v>SQH214</x:v>
      </x:c>
      <x:c r="B496" s="66" t="str">
        <x:v>常行7号</x:v>
      </x:c>
      <x:c r="C496" s="72" t="n">
        <x:v>46108</x:v>
      </x:c>
      <x:c r="D496" s="73" t="n">
        <x:v>1.2459</x:v>
      </x:c>
      <x:c r="E496" s="73" t="n">
        <x:v>1.3459</x:v>
      </x:c>
      <x:c r="F496" s="73" t="n">
        <x:v>1.369</x:v>
      </x:c>
      <x:c r="G496" s="74" t="n">
        <x:v>0.0034000000000000002</x:v>
      </x:c>
      <x:c r="H496" s="66" t="str">
        <x:v>常行7号净值20260911.xlsx</x:v>
      </x:c>
      <x:c r="I496" s="73" t="n">
        <x:f>MAX(I495,F496)</x:f>
        <x:v>1.369</x:v>
      </x:c>
      <x:c r="J496" s="74" t="n">
        <x:f>1-F496/I496</x:f>
        <x:v>0</x:v>
      </x:c>
      <x:c r="K496" s="73" t="n">
        <x:f>MAX(K495,F496)</x:f>
        <x:v>1.369</x:v>
      </x:c>
      <x:c r="L496" s="74" t="n">
        <x:f>1-F496/K496</x:f>
        <x:v>0</x:v>
      </x:c>
      <x:c r="M496" s="73" t="n">
        <x:f>MAX(M495,F496)</x:f>
        <x:v>1.369</x:v>
      </x:c>
      <x:c r="N496" s="74" t="n">
        <x:f>1-F496/M496</x:f>
        <x:v>0</x:v>
      </x:c>
    </x:row>
    <x:row r="497" ht="27" customHeight="1">
      <x:c r="A497" s="66" t="str">
        <x:v>SQH214</x:v>
      </x:c>
      <x:c r="B497" s="66" t="str">
        <x:v>常行7号</x:v>
      </x:c>
      <x:c r="C497" s="72" t="n">
        <x:v>46115</x:v>
      </x:c>
      <x:c r="D497" s="73" t="n">
        <x:v>1.2475</x:v>
      </x:c>
      <x:c r="E497" s="73" t="n">
        <x:v>1.3475</x:v>
      </x:c>
      <x:c r="F497" s="73" t="n">
        <x:v>1.3708</x:v>
      </x:c>
      <x:c r="G497" s="74" t="n">
        <x:v>0.0013</x:v>
      </x:c>
      <x:c r="H497" s="66" t="str">
        <x:v>常行7号净值20260911.xlsx</x:v>
      </x:c>
      <x:c r="I497" s="73" t="n">
        <x:f>MAX(I496,F497)</x:f>
        <x:v>1.3708</x:v>
      </x:c>
      <x:c r="J497" s="74" t="n">
        <x:f>1-F497/I497</x:f>
        <x:v>0</x:v>
      </x:c>
      <x:c r="K497" s="73" t="n">
        <x:f>MAX(K496,F497)</x:f>
        <x:v>1.3708</x:v>
      </x:c>
      <x:c r="L497" s="74" t="n">
        <x:f>1-F497/K497</x:f>
        <x:v>0</x:v>
      </x:c>
      <x:c r="M497" s="73" t="n">
        <x:f>MAX(M496,F497)</x:f>
        <x:v>1.3708</x:v>
      </x:c>
      <x:c r="N497" s="74" t="n">
        <x:f>1-F497/M497</x:f>
        <x:v>0</x:v>
      </x:c>
    </x:row>
    <x:row r="498" ht="27" customHeight="1">
      <x:c r="A498" s="66" t="str">
        <x:v>SQH214</x:v>
      </x:c>
      <x:c r="B498" s="66" t="str">
        <x:v>常行7号</x:v>
      </x:c>
      <x:c r="C498" s="72" t="n">
        <x:v>46122</x:v>
      </x:c>
      <x:c r="D498" s="73" t="n">
        <x:v>1.2489</x:v>
      </x:c>
      <x:c r="E498" s="73" t="n">
        <x:v>1.3489</x:v>
      </x:c>
      <x:c r="F498" s="73" t="n">
        <x:v>1.3723</x:v>
      </x:c>
      <x:c r="G498" s="74" t="n">
        <x:v>0.0011</x:v>
      </x:c>
      <x:c r="H498" s="66" t="str">
        <x:v>常行7号净值20260911.xlsx</x:v>
      </x:c>
      <x:c r="I498" s="73" t="n">
        <x:f>MAX(I497,F498)</x:f>
        <x:v>1.3723</x:v>
      </x:c>
      <x:c r="J498" s="74" t="n">
        <x:f>1-F498/I498</x:f>
        <x:v>0</x:v>
      </x:c>
      <x:c r="K498" s="73" t="n">
        <x:f>MAX(K497,F498)</x:f>
        <x:v>1.3723</x:v>
      </x:c>
      <x:c r="L498" s="74" t="n">
        <x:f>1-F498/K498</x:f>
        <x:v>0</x:v>
      </x:c>
      <x:c r="M498" s="73" t="n">
        <x:f>MAX(M497,F498)</x:f>
        <x:v>1.3723</x:v>
      </x:c>
      <x:c r="N498" s="74" t="n">
        <x:f>1-F498/M498</x:f>
        <x:v>0</x:v>
      </x:c>
    </x:row>
    <x:row r="499" ht="27" customHeight="1">
      <x:c r="A499" s="66" t="str">
        <x:v>SQH214</x:v>
      </x:c>
      <x:c r="B499" s="66" t="str">
        <x:v>常行7号</x:v>
      </x:c>
      <x:c r="C499" s="72" t="n">
        <x:v>46129</x:v>
      </x:c>
      <x:c r="D499" s="73" t="n">
        <x:v>1.25</x:v>
      </x:c>
      <x:c r="E499" s="73" t="n">
        <x:v>1.35</x:v>
      </x:c>
      <x:c r="F499" s="73" t="n">
        <x:v>1.3735</x:v>
      </x:c>
      <x:c r="G499" s="74" t="n">
        <x:v>0.0009</x:v>
      </x:c>
      <x:c r="H499" s="66" t="str">
        <x:v>常行7号净值20260911.xlsx</x:v>
      </x:c>
      <x:c r="I499" s="73" t="n">
        <x:f>MAX(I498,F499)</x:f>
        <x:v>1.3735</x:v>
      </x:c>
      <x:c r="J499" s="74" t="n">
        <x:f>1-F499/I499</x:f>
        <x:v>0</x:v>
      </x:c>
      <x:c r="K499" s="73" t="n">
        <x:f>MAX(K498,F499)</x:f>
        <x:v>1.3735</x:v>
      </x:c>
      <x:c r="L499" s="74" t="n">
        <x:f>1-F499/K499</x:f>
        <x:v>0</x:v>
      </x:c>
      <x:c r="M499" s="73" t="n">
        <x:f>MAX(M498,F499)</x:f>
        <x:v>1.3735</x:v>
      </x:c>
      <x:c r="N499" s="74" t="n">
        <x:f>1-F499/M499</x:f>
        <x:v>0</x:v>
      </x:c>
    </x:row>
    <x:row r="500" ht="27" customHeight="1">
      <x:c r="A500" s="66" t="str">
        <x:v>SQH214</x:v>
      </x:c>
      <x:c r="B500" s="66" t="str">
        <x:v>常行7号</x:v>
      </x:c>
      <x:c r="C500" s="72" t="n">
        <x:v>46136</x:v>
      </x:c>
      <x:c r="D500" s="73" t="n">
        <x:v>1.2532</x:v>
      </x:c>
      <x:c r="E500" s="73" t="n">
        <x:v>1.3532</x:v>
      </x:c>
      <x:c r="F500" s="73" t="n">
        <x:v>1.377</x:v>
      </x:c>
      <x:c r="G500" s="74" t="n">
        <x:v>0.0026</x:v>
      </x:c>
      <x:c r="H500" s="66" t="str">
        <x:v>常行7号净值20260911.xlsx</x:v>
      </x:c>
      <x:c r="I500" s="73" t="n">
        <x:f>MAX(I499,F500)</x:f>
        <x:v>1.377</x:v>
      </x:c>
      <x:c r="J500" s="74" t="n">
        <x:f>1-F500/I500</x:f>
        <x:v>0</x:v>
      </x:c>
      <x:c r="K500" s="73" t="n">
        <x:f>MAX(K499,F500)</x:f>
        <x:v>1.377</x:v>
      </x:c>
      <x:c r="L500" s="74" t="n">
        <x:f>1-F500/K500</x:f>
        <x:v>0</x:v>
      </x:c>
      <x:c r="M500" s="73" t="n">
        <x:f>MAX(M499,F500)</x:f>
        <x:v>1.377</x:v>
      </x:c>
      <x:c r="N500" s="74" t="n">
        <x:f>1-F500/M500</x:f>
        <x:v>0</x:v>
      </x:c>
    </x:row>
    <x:row r="501" ht="27" customHeight="1">
      <x:c r="A501" s="66" t="str">
        <x:v>SQH214</x:v>
      </x:c>
      <x:c r="B501" s="66" t="str">
        <x:v>常行7号</x:v>
      </x:c>
      <x:c r="C501" s="72" t="n">
        <x:v>46142</x:v>
      </x:c>
      <x:c r="D501" s="73" t="n">
        <x:v>1.2532</x:v>
      </x:c>
      <x:c r="E501" s="73" t="n">
        <x:v>1.3532</x:v>
      </x:c>
      <x:c r="F501" s="73" t="n">
        <x:v>1.377</x:v>
      </x:c>
      <x:c r="G501" s="74" t="n">
        <x:v>0</x:v>
      </x:c>
      <x:c r="H501" s="66" t="str">
        <x:v>常行7号净值20260911.xlsx</x:v>
      </x:c>
      <x:c r="I501" s="73" t="n">
        <x:f>MAX(I500,F501)</x:f>
        <x:v>1.377</x:v>
      </x:c>
      <x:c r="J501" s="74" t="n">
        <x:f>1-F501/I501</x:f>
        <x:v>0</x:v>
      </x:c>
      <x:c r="K501" s="73" t="n">
        <x:f>MAX(K500,F501)</x:f>
        <x:v>1.377</x:v>
      </x:c>
      <x:c r="L501" s="74" t="n">
        <x:f>1-F501/K501</x:f>
        <x:v>0</x:v>
      </x:c>
      <x:c r="M501" s="73" t="n">
        <x:f>MAX(M500,F501)</x:f>
        <x:v>1.377</x:v>
      </x:c>
      <x:c r="N501" s="74" t="n">
        <x:f>1-F501/M501</x:f>
        <x:v>0</x:v>
      </x:c>
    </x:row>
    <x:row r="502" ht="27" customHeight="1">
      <x:c r="A502" s="66" t="str">
        <x:v>SQH214</x:v>
      </x:c>
      <x:c r="B502" s="66" t="str">
        <x:v>常行7号</x:v>
      </x:c>
      <x:c r="C502" s="72" t="n">
        <x:v>46150</x:v>
      </x:c>
      <x:c r="D502" s="73" t="n">
        <x:v>1.2519</x:v>
      </x:c>
      <x:c r="E502" s="73" t="n">
        <x:v>1.3519</x:v>
      </x:c>
      <x:c r="F502" s="73" t="n">
        <x:v>1.3756</x:v>
      </x:c>
      <x:c r="G502" s="74" t="n">
        <x:v>-0.001</x:v>
      </x:c>
      <x:c r="H502" s="66" t="str">
        <x:v>常行7号净值20260911.xlsx</x:v>
      </x:c>
      <x:c r="I502" s="73" t="n">
        <x:f>MAX(I501,F502)</x:f>
        <x:v>1.377</x:v>
      </x:c>
      <x:c r="J502" s="74" t="n">
        <x:f>1-F502/I502</x:f>
        <x:v>0.0010167029774873493</x:v>
      </x:c>
      <x:c r="K502" s="73" t="n">
        <x:f>MAX(K501,F502)</x:f>
        <x:v>1.377</x:v>
      </x:c>
      <x:c r="L502" s="74" t="n">
        <x:f>1-F502/K502</x:f>
        <x:v>0.0010167029774873493</x:v>
      </x:c>
      <x:c r="M502" s="73" t="n">
        <x:f>MAX(M501,F502)</x:f>
        <x:v>1.377</x:v>
      </x:c>
      <x:c r="N502" s="74" t="n">
        <x:f>1-F502/M502</x:f>
        <x:v>0.0010167029774873493</x:v>
      </x:c>
    </x:row>
    <x:row r="503" ht="27" customHeight="1">
      <x:c r="A503" s="66" t="str">
        <x:v>SQH214</x:v>
      </x:c>
      <x:c r="B503" s="66" t="str">
        <x:v>常行7号</x:v>
      </x:c>
      <x:c r="C503" s="72" t="n">
        <x:v>46157</x:v>
      </x:c>
      <x:c r="D503" s="73" t="n">
        <x:v>1.253</x:v>
      </x:c>
      <x:c r="E503" s="73" t="n">
        <x:v>1.353</x:v>
      </x:c>
      <x:c r="F503" s="73" t="n">
        <x:v>1.3768</x:v>
      </x:c>
      <x:c r="G503" s="74" t="n">
        <x:v>0.0009</x:v>
      </x:c>
      <x:c r="H503" s="66" t="str">
        <x:v>常行7号净值20260911.xlsx</x:v>
      </x:c>
      <x:c r="I503" s="73" t="n">
        <x:f>MAX(I502,F503)</x:f>
        <x:v>1.377</x:v>
      </x:c>
      <x:c r="J503" s="74" t="n">
        <x:f>1-F503/I503</x:f>
        <x:v>0.00014524328249820861</x:v>
      </x:c>
      <x:c r="K503" s="73" t="n">
        <x:f>MAX(K502,F503)</x:f>
        <x:v>1.377</x:v>
      </x:c>
      <x:c r="L503" s="74" t="n">
        <x:f>1-F503/K503</x:f>
        <x:v>0.00014524328249820861</x:v>
      </x:c>
      <x:c r="M503" s="73" t="n">
        <x:f>MAX(M502,F503)</x:f>
        <x:v>1.377</x:v>
      </x:c>
      <x:c r="N503" s="74" t="n">
        <x:f>1-F503/M503</x:f>
        <x:v>0.00014524328249820861</x:v>
      </x:c>
    </x:row>
    <x:row r="504" ht="27" customHeight="1">
      <x:c r="A504" s="66" t="str">
        <x:v>SQH214</x:v>
      </x:c>
      <x:c r="B504" s="66" t="str">
        <x:v>常行7号</x:v>
      </x:c>
      <x:c r="C504" s="72" t="n">
        <x:v>46164</x:v>
      </x:c>
      <x:c r="D504" s="73" t="n">
        <x:v>1.254</x:v>
      </x:c>
      <x:c r="E504" s="73" t="n">
        <x:v>1.354</x:v>
      </x:c>
      <x:c r="F504" s="73" t="n">
        <x:v>1.3779</x:v>
      </x:c>
      <x:c r="G504" s="74" t="n">
        <x:v>0.0008</x:v>
      </x:c>
      <x:c r="H504" s="66" t="str">
        <x:v>常行7号净值20260911.xlsx</x:v>
      </x:c>
      <x:c r="I504" s="73" t="n">
        <x:f>MAX(I503,F504)</x:f>
        <x:v>1.3779</x:v>
      </x:c>
      <x:c r="J504" s="74" t="n">
        <x:f>1-F504/I504</x:f>
        <x:v>0</x:v>
      </x:c>
      <x:c r="K504" s="73" t="n">
        <x:f>MAX(K503,F504)</x:f>
        <x:v>1.3779</x:v>
      </x:c>
      <x:c r="L504" s="74" t="n">
        <x:f>1-F504/K504</x:f>
        <x:v>0</x:v>
      </x:c>
      <x:c r="M504" s="73" t="n">
        <x:f>MAX(M503,F504)</x:f>
        <x:v>1.3779</x:v>
      </x:c>
      <x:c r="N504" s="74" t="n">
        <x:f>1-F504/M504</x:f>
        <x:v>0</x:v>
      </x:c>
    </x:row>
    <x:row r="505" ht="27" customHeight="1">
      <x:c r="A505" s="66" t="str">
        <x:v>SQH214</x:v>
      </x:c>
      <x:c r="B505" s="66" t="str">
        <x:v>常行7号</x:v>
      </x:c>
      <x:c r="C505" s="72" t="n">
        <x:v>46171</x:v>
      </x:c>
      <x:c r="D505" s="73" t="n">
        <x:v>1.2572</x:v>
      </x:c>
      <x:c r="E505" s="73" t="n">
        <x:v>1.3572</x:v>
      </x:c>
      <x:c r="F505" s="73" t="n">
        <x:v>1.3814</x:v>
      </x:c>
      <x:c r="G505" s="74" t="n">
        <x:v>0.0026</x:v>
      </x:c>
      <x:c r="H505" s="66" t="str">
        <x:v>常行7号净值20260911.xlsx</x:v>
      </x:c>
      <x:c r="I505" s="73" t="n">
        <x:f>MAX(I504,F505)</x:f>
        <x:v>1.3814</x:v>
      </x:c>
      <x:c r="J505" s="74" t="n">
        <x:f>1-F505/I505</x:f>
        <x:v>0</x:v>
      </x:c>
      <x:c r="K505" s="73" t="n">
        <x:f>MAX(K504,F505)</x:f>
        <x:v>1.3814</x:v>
      </x:c>
      <x:c r="L505" s="74" t="n">
        <x:f>1-F505/K505</x:f>
        <x:v>0</x:v>
      </x:c>
      <x:c r="M505" s="73" t="n">
        <x:f>MAX(M504,F505)</x:f>
        <x:v>1.3814</x:v>
      </x:c>
      <x:c r="N505" s="74" t="n">
        <x:f>1-F505/M505</x:f>
        <x:v>0</x:v>
      </x:c>
    </x:row>
    <x:row r="506" ht="27" customHeight="1">
      <x:c r="A506" s="66" t="str">
        <x:v>SQH214</x:v>
      </x:c>
      <x:c r="B506" s="66" t="str">
        <x:v>常行7号</x:v>
      </x:c>
      <x:c r="C506" s="72" t="n">
        <x:v>46178</x:v>
      </x:c>
      <x:c r="D506" s="73" t="n">
        <x:v>1.2578</x:v>
      </x:c>
      <x:c r="E506" s="73" t="n">
        <x:v>1.3578</x:v>
      </x:c>
      <x:c r="F506" s="73" t="n">
        <x:v>1.3821</x:v>
      </x:c>
      <x:c r="G506" s="74" t="n">
        <x:v>0.0005</x:v>
      </x:c>
      <x:c r="H506" s="66" t="str">
        <x:v>常行7号净值20260911.xlsx</x:v>
      </x:c>
      <x:c r="I506" s="73" t="n">
        <x:f>MAX(I505,F506)</x:f>
        <x:v>1.3821</x:v>
      </x:c>
      <x:c r="J506" s="74" t="n">
        <x:f>1-F506/I506</x:f>
        <x:v>0</x:v>
      </x:c>
      <x:c r="K506" s="73" t="n">
        <x:f>MAX(K505,F506)</x:f>
        <x:v>1.3821</x:v>
      </x:c>
      <x:c r="L506" s="74" t="n">
        <x:f>1-F506/K506</x:f>
        <x:v>0</x:v>
      </x:c>
      <x:c r="M506" s="73" t="n">
        <x:f>MAX(M505,F506)</x:f>
        <x:v>1.3821</x:v>
      </x:c>
      <x:c r="N506" s="74" t="n">
        <x:f>1-F506/M506</x:f>
        <x:v>0</x:v>
      </x:c>
    </x:row>
    <x:row r="507" ht="27" customHeight="1">
      <x:c r="A507" s="66" t="str">
        <x:v>SQH214</x:v>
      </x:c>
      <x:c r="B507" s="66" t="str">
        <x:v>常行7号</x:v>
      </x:c>
      <x:c r="C507" s="72" t="n">
        <x:v>46185</x:v>
      </x:c>
      <x:c r="D507" s="73" t="n">
        <x:v>1.2596</x:v>
      </x:c>
      <x:c r="E507" s="73" t="n">
        <x:v>1.3596</x:v>
      </x:c>
      <x:c r="F507" s="73" t="n">
        <x:v>1.3841</x:v>
      </x:c>
      <x:c r="G507" s="74" t="n">
        <x:v>0.0014000000000000002</x:v>
      </x:c>
      <x:c r="H507" s="66" t="str">
        <x:v>常行7号净值20260911.xlsx</x:v>
      </x:c>
      <x:c r="I507" s="73" t="n">
        <x:f>MAX(I506,F507)</x:f>
        <x:v>1.3841</x:v>
      </x:c>
      <x:c r="J507" s="74" t="n">
        <x:f>1-F507/I507</x:f>
        <x:v>0</x:v>
      </x:c>
      <x:c r="K507" s="73" t="n">
        <x:f>MAX(K506,F507)</x:f>
        <x:v>1.3841</x:v>
      </x:c>
      <x:c r="L507" s="74" t="n">
        <x:f>1-F507/K507</x:f>
        <x:v>0</x:v>
      </x:c>
      <x:c r="M507" s="73" t="n">
        <x:f>MAX(M506,F507)</x:f>
        <x:v>1.3841</x:v>
      </x:c>
      <x:c r="N507" s="74" t="n">
        <x:f>1-F507/M507</x:f>
        <x:v>0</x:v>
      </x:c>
    </x:row>
    <x:row r="508" ht="27" customHeight="1">
      <x:c r="A508" s="66" t="str">
        <x:v>SQH214</x:v>
      </x:c>
      <x:c r="B508" s="66" t="str">
        <x:v>常行7号</x:v>
      </x:c>
      <x:c r="C508" s="72" t="n">
        <x:v>46191</x:v>
      </x:c>
      <x:c r="D508" s="73" t="n">
        <x:v>1.2595</x:v>
      </x:c>
      <x:c r="E508" s="73" t="n">
        <x:v>1.3595</x:v>
      </x:c>
      <x:c r="F508" s="73" t="n">
        <x:v>1.384</x:v>
      </x:c>
      <x:c r="G508" s="74" t="n">
        <x:v>-0.0001</x:v>
      </x:c>
      <x:c r="H508" s="66" t="str">
        <x:v>常行7号净值20260911.xlsx</x:v>
      </x:c>
      <x:c r="I508" s="73" t="n">
        <x:f>MAX(I507,F508)</x:f>
        <x:v>1.3841</x:v>
      </x:c>
      <x:c r="J508" s="74" t="n">
        <x:f>1-F508/I508</x:f>
        <x:v>0.00007224911494851938</x:v>
      </x:c>
      <x:c r="K508" s="73" t="n">
        <x:f>MAX(K507,F508)</x:f>
        <x:v>1.3841</x:v>
      </x:c>
      <x:c r="L508" s="74" t="n">
        <x:f>1-F508/K508</x:f>
        <x:v>0.00007224911494851938</x:v>
      </x:c>
      <x:c r="M508" s="73" t="n">
        <x:f>MAX(M507,F508)</x:f>
        <x:v>1.3841</x:v>
      </x:c>
      <x:c r="N508" s="74" t="n">
        <x:f>1-F508/M508</x:f>
        <x:v>0.00007224911494851938</x:v>
      </x:c>
    </x:row>
    <x:row r="509" ht="27" customHeight="1">
      <x:c r="A509" s="66" t="str">
        <x:v>SQH214</x:v>
      </x:c>
      <x:c r="B509" s="66" t="str">
        <x:v>常行7号</x:v>
      </x:c>
      <x:c r="C509" s="72" t="n">
        <x:v>46199</x:v>
      </x:c>
      <x:c r="D509" s="73" t="n">
        <x:v>1.2633</x:v>
      </x:c>
      <x:c r="E509" s="73" t="n">
        <x:v>1.3633</x:v>
      </x:c>
      <x:c r="F509" s="73" t="n">
        <x:v>1.3881</x:v>
      </x:c>
      <x:c r="G509" s="74" t="n">
        <x:v>0.003</x:v>
      </x:c>
      <x:c r="H509" s="66" t="str">
        <x:v>常行7号净值20260911.xlsx</x:v>
      </x:c>
      <x:c r="I509" s="73" t="n">
        <x:f>MAX(I508,F509)</x:f>
        <x:v>1.3881</x:v>
      </x:c>
      <x:c r="J509" s="74" t="n">
        <x:f>1-F509/I509</x:f>
        <x:v>0</x:v>
      </x:c>
      <x:c r="K509" s="73" t="n">
        <x:f>MAX(K508,F509)</x:f>
        <x:v>1.3881</x:v>
      </x:c>
      <x:c r="L509" s="74" t="n">
        <x:f>1-F509/K509</x:f>
        <x:v>0</x:v>
      </x:c>
      <x:c r="M509" s="73" t="n">
        <x:f>MAX(M508,F509)</x:f>
        <x:v>1.3881</x:v>
      </x:c>
      <x:c r="N509" s="74" t="n">
        <x:f>1-F509/M509</x:f>
        <x:v>0</x:v>
      </x:c>
    </x:row>
    <x:row r="510" ht="27" customHeight="1">
      <x:c r="A510" s="66" t="str">
        <x:v>SQH214</x:v>
      </x:c>
      <x:c r="B510" s="66" t="str">
        <x:v>常行7号</x:v>
      </x:c>
      <x:c r="C510" s="72" t="n">
        <x:v>46206</x:v>
      </x:c>
      <x:c r="D510" s="73" t="n">
        <x:v>1.266</x:v>
      </x:c>
      <x:c r="E510" s="73" t="n">
        <x:v>1.366</x:v>
      </x:c>
      <x:c r="F510" s="73" t="n">
        <x:v>1.3911</x:v>
      </x:c>
      <x:c r="G510" s="74" t="n">
        <x:v>0.0021</x:v>
      </x:c>
      <x:c r="H510" s="66" t="str">
        <x:v>常行7号净值20260911.xlsx</x:v>
      </x:c>
      <x:c r="I510" s="73" t="n">
        <x:f>MAX(I509,F510)</x:f>
        <x:v>1.3911</x:v>
      </x:c>
      <x:c r="J510" s="74" t="n">
        <x:f>1-F510/I510</x:f>
        <x:v>0</x:v>
      </x:c>
      <x:c r="K510" s="73" t="n">
        <x:f>MAX(K509,F510)</x:f>
        <x:v>1.3911</x:v>
      </x:c>
      <x:c r="L510" s="74" t="n">
        <x:f>1-F510/K510</x:f>
        <x:v>0</x:v>
      </x:c>
      <x:c r="M510" s="73" t="n">
        <x:f>MAX(M509,F510)</x:f>
        <x:v>1.3911</x:v>
      </x:c>
      <x:c r="N510" s="74" t="n">
        <x:f>1-F510/M510</x:f>
        <x:v>0</x:v>
      </x:c>
    </x:row>
    <x:row r="511" ht="27" customHeight="1">
      <x:c r="A511" s="66" t="str">
        <x:v>SQH214</x:v>
      </x:c>
      <x:c r="B511" s="66" t="str">
        <x:v>常行7号</x:v>
      </x:c>
      <x:c r="C511" s="72" t="n">
        <x:v>46213</x:v>
      </x:c>
      <x:c r="D511" s="73" t="n">
        <x:v>1.2663</x:v>
      </x:c>
      <x:c r="E511" s="73" t="n">
        <x:v>1.3663</x:v>
      </x:c>
      <x:c r="F511" s="73" t="n">
        <x:v>1.3914</x:v>
      </x:c>
      <x:c r="G511" s="74" t="n">
        <x:v>0.0002</x:v>
      </x:c>
      <x:c r="H511" s="66" t="str">
        <x:v>常行7号净值20260911.xlsx</x:v>
      </x:c>
      <x:c r="I511" s="73" t="n">
        <x:f>MAX(I510,F511)</x:f>
        <x:v>1.3914</x:v>
      </x:c>
      <x:c r="J511" s="74" t="n">
        <x:f>1-F511/I511</x:f>
        <x:v>0</x:v>
      </x:c>
      <x:c r="K511" s="73" t="n">
        <x:f>MAX(K510,F511)</x:f>
        <x:v>1.3914</x:v>
      </x:c>
      <x:c r="L511" s="74" t="n">
        <x:f>1-F511/K511</x:f>
        <x:v>0</x:v>
      </x:c>
      <x:c r="M511" s="73" t="n">
        <x:f>MAX(M510,F511)</x:f>
        <x:v>1.3914</x:v>
      </x:c>
      <x:c r="N511" s="74" t="n">
        <x:f>1-F511/M511</x:f>
        <x:v>0</x:v>
      </x:c>
    </x:row>
    <x:row r="512" ht="27" customHeight="1">
      <x:c r="A512" s="66" t="str">
        <x:v>SQH214</x:v>
      </x:c>
      <x:c r="B512" s="66" t="str">
        <x:v>常行7号</x:v>
      </x:c>
      <x:c r="C512" s="72" t="n">
        <x:v>46220</x:v>
      </x:c>
      <x:c r="D512" s="73" t="n">
        <x:v>1.2655</x:v>
      </x:c>
      <x:c r="E512" s="73" t="n">
        <x:v>1.3655</x:v>
      </x:c>
      <x:c r="F512" s="73" t="n">
        <x:v>1.3905</x:v>
      </x:c>
      <x:c r="G512" s="74" t="n">
        <x:v>-0.0006</x:v>
      </x:c>
      <x:c r="H512" s="66" t="str">
        <x:v>常行7号净值20260911.xlsx</x:v>
      </x:c>
      <x:c r="I512" s="73" t="n">
        <x:f>MAX(I511,F512)</x:f>
        <x:v>1.3914</x:v>
      </x:c>
      <x:c r="J512" s="74" t="n">
        <x:f>1-F512/I512</x:f>
        <x:v>0.0006468305304009325</x:v>
      </x:c>
      <x:c r="K512" s="73" t="n">
        <x:f>MAX(K511,F512)</x:f>
        <x:v>1.3914</x:v>
      </x:c>
      <x:c r="L512" s="74" t="n">
        <x:f>1-F512/K512</x:f>
        <x:v>0.0006468305304009325</x:v>
      </x:c>
      <x:c r="M512" s="73" t="n">
        <x:f>MAX(M511,F512)</x:f>
        <x:v>1.3914</x:v>
      </x:c>
      <x:c r="N512" s="74" t="n">
        <x:f>1-F512/M512</x:f>
        <x:v>0.0006468305304009325</x:v>
      </x:c>
    </x:row>
    <x:row r="513" ht="27" customHeight="1">
      <x:c r="A513" s="66" t="str">
        <x:v>SQH214</x:v>
      </x:c>
      <x:c r="B513" s="66" t="str">
        <x:v>常行7号</x:v>
      </x:c>
      <x:c r="C513" s="72" t="n">
        <x:v>46227</x:v>
      </x:c>
      <x:c r="D513" s="73" t="n">
        <x:v>1.2677</x:v>
      </x:c>
      <x:c r="E513" s="73" t="n">
        <x:v>1.3677</x:v>
      </x:c>
      <x:c r="F513" s="73" t="n">
        <x:v>1.393</x:v>
      </x:c>
      <x:c r="G513" s="74" t="n">
        <x:v>0.0017000000000000001</x:v>
      </x:c>
      <x:c r="H513" s="66" t="str">
        <x:v>常行7号净值20260911.xlsx</x:v>
      </x:c>
      <x:c r="I513" s="73" t="n">
        <x:f>MAX(I512,F513)</x:f>
        <x:v>1.393</x:v>
      </x:c>
      <x:c r="J513" s="74" t="n">
        <x:f>1-F513/I513</x:f>
        <x:v>0</x:v>
      </x:c>
      <x:c r="K513" s="73" t="n">
        <x:f>MAX(K512,F513)</x:f>
        <x:v>1.393</x:v>
      </x:c>
      <x:c r="L513" s="74" t="n">
        <x:f>1-F513/K513</x:f>
        <x:v>0</x:v>
      </x:c>
      <x:c r="M513" s="73" t="n">
        <x:f>MAX(M512,F513)</x:f>
        <x:v>1.393</x:v>
      </x:c>
      <x:c r="N513" s="74" t="n">
        <x:f>1-F513/M513</x:f>
        <x:v>0</x:v>
      </x:c>
    </x:row>
    <x:row r="514" ht="27" customHeight="1">
      <x:c r="A514" s="66" t="str">
        <x:v>SQH214</x:v>
      </x:c>
      <x:c r="B514" s="66" t="str">
        <x:v>常行7号</x:v>
      </x:c>
      <x:c r="C514" s="72" t="n">
        <x:v>46234</x:v>
      </x:c>
      <x:c r="D514" s="73" t="n">
        <x:v>1.2689</x:v>
      </x:c>
      <x:c r="E514" s="73" t="n">
        <x:v>1.3689</x:v>
      </x:c>
      <x:c r="F514" s="73" t="n">
        <x:v>1.3943</x:v>
      </x:c>
      <x:c r="G514" s="74" t="n">
        <x:v>0.0009</x:v>
      </x:c>
      <x:c r="H514" s="66" t="str">
        <x:v>常行7号净值20260911.xlsx</x:v>
      </x:c>
      <x:c r="I514" s="73" t="n">
        <x:f>MAX(I513,F514)</x:f>
        <x:v>1.3943</x:v>
      </x:c>
      <x:c r="J514" s="74" t="n">
        <x:f>1-F514/I514</x:f>
        <x:v>0</x:v>
      </x:c>
      <x:c r="K514" s="73" t="n">
        <x:f>MAX(K513,F514)</x:f>
        <x:v>1.3943</x:v>
      </x:c>
      <x:c r="L514" s="74" t="n">
        <x:f>1-F514/K514</x:f>
        <x:v>0</x:v>
      </x:c>
      <x:c r="M514" s="73" t="n">
        <x:f>MAX(M513,F514)</x:f>
        <x:v>1.3943</x:v>
      </x:c>
      <x:c r="N514" s="74" t="n">
        <x:f>1-F514/M514</x:f>
        <x:v>0</x:v>
      </x:c>
    </x:row>
    <x:row r="515" ht="27" customHeight="1">
      <x:c r="A515" s="66" t="str">
        <x:v>SQH214</x:v>
      </x:c>
      <x:c r="B515" s="66" t="str">
        <x:v>常行7号</x:v>
      </x:c>
      <x:c r="C515" s="72" t="n">
        <x:v>46241</x:v>
      </x:c>
      <x:c r="D515" s="73" t="n">
        <x:v>1.2697</x:v>
      </x:c>
      <x:c r="E515" s="73" t="n">
        <x:v>1.3697</x:v>
      </x:c>
      <x:c r="F515" s="73" t="n">
        <x:v>1.3952</x:v>
      </x:c>
      <x:c r="G515" s="74" t="n">
        <x:v>0.0006</x:v>
      </x:c>
      <x:c r="H515" s="66" t="str">
        <x:v>常行7号净值20260911.xlsx</x:v>
      </x:c>
      <x:c r="I515" s="73" t="n">
        <x:f>MAX(I514,F515)</x:f>
        <x:v>1.3952</x:v>
      </x:c>
      <x:c r="J515" s="74" t="n">
        <x:f>1-F515/I515</x:f>
        <x:v>0</x:v>
      </x:c>
      <x:c r="K515" s="73" t="n">
        <x:f>MAX(K514,F515)</x:f>
        <x:v>1.3952</x:v>
      </x:c>
      <x:c r="L515" s="74" t="n">
        <x:f>1-F515/K515</x:f>
        <x:v>0</x:v>
      </x:c>
      <x:c r="M515" s="73" t="n">
        <x:f>MAX(M514,F515)</x:f>
        <x:v>1.3952</x:v>
      </x:c>
      <x:c r="N515" s="74" t="n">
        <x:f>1-F515/M515</x:f>
        <x:v>0</x:v>
      </x:c>
    </x:row>
    <x:row r="516" ht="27" customHeight="1">
      <x:c r="A516" s="66" t="str">
        <x:v>SQH214</x:v>
      </x:c>
      <x:c r="B516" s="66" t="str">
        <x:v>常行7号</x:v>
      </x:c>
      <x:c r="C516" s="72" t="n">
        <x:v>46248</x:v>
      </x:c>
      <x:c r="D516" s="73" t="n">
        <x:v>1.27</x:v>
      </x:c>
      <x:c r="E516" s="73" t="n">
        <x:v>1.37</x:v>
      </x:c>
      <x:c r="F516" s="73" t="n">
        <x:v>1.3955</x:v>
      </x:c>
      <x:c r="G516" s="74" t="n">
        <x:v>0.0002</x:v>
      </x:c>
      <x:c r="H516" s="66" t="str">
        <x:v>常行7号净值20260911.xlsx</x:v>
      </x:c>
      <x:c r="I516" s="73" t="n">
        <x:f>MAX(I515,F516)</x:f>
        <x:v>1.3955</x:v>
      </x:c>
      <x:c r="J516" s="74" t="n">
        <x:f>1-F516/I516</x:f>
        <x:v>0</x:v>
      </x:c>
      <x:c r="K516" s="73" t="n">
        <x:f>MAX(K515,F516)</x:f>
        <x:v>1.3955</x:v>
      </x:c>
      <x:c r="L516" s="74" t="n">
        <x:f>1-F516/K516</x:f>
        <x:v>0</x:v>
      </x:c>
      <x:c r="M516" s="73" t="n">
        <x:f>MAX(M515,F516)</x:f>
        <x:v>1.3955</x:v>
      </x:c>
      <x:c r="N516" s="74" t="n">
        <x:f>1-F516/M516</x:f>
        <x:v>0</x:v>
      </x:c>
    </x:row>
    <x:row r="517" ht="27" customHeight="1">
      <x:c r="A517" s="66" t="str">
        <x:v>SQH214</x:v>
      </x:c>
      <x:c r="B517" s="66" t="str">
        <x:v>常行7号</x:v>
      </x:c>
      <x:c r="C517" s="72" t="n">
        <x:v>46255</x:v>
      </x:c>
      <x:c r="D517" s="73" t="n">
        <x:v>1.2701</x:v>
      </x:c>
      <x:c r="E517" s="73" t="n">
        <x:v>1.3701</x:v>
      </x:c>
      <x:c r="F517" s="73" t="n">
        <x:v>1.3956</x:v>
      </x:c>
      <x:c r="G517" s="74" t="n">
        <x:v>0.0001</x:v>
      </x:c>
      <x:c r="H517" s="66" t="str">
        <x:v>常行7号净值20260911.xlsx</x:v>
      </x:c>
      <x:c r="I517" s="73" t="n">
        <x:f>MAX(I516,F517)</x:f>
        <x:v>1.3956</x:v>
      </x:c>
      <x:c r="J517" s="74" t="n">
        <x:f>1-F517/I517</x:f>
        <x:v>0</x:v>
      </x:c>
      <x:c r="K517" s="73" t="n">
        <x:f>MAX(K516,F517)</x:f>
        <x:v>1.3956</x:v>
      </x:c>
      <x:c r="L517" s="74" t="n">
        <x:f>1-F517/K517</x:f>
        <x:v>0</x:v>
      </x:c>
      <x:c r="M517" s="73" t="n">
        <x:f>MAX(M516,F517)</x:f>
        <x:v>1.3956</x:v>
      </x:c>
      <x:c r="N517" s="74" t="n">
        <x:f>1-F517/M517</x:f>
        <x:v>0</x:v>
      </x:c>
    </x:row>
    <x:row r="518" ht="27" customHeight="1">
      <x:c r="A518" s="66" t="str">
        <x:v>SQH214</x:v>
      </x:c>
      <x:c r="B518" s="66" t="str">
        <x:v>常行7号</x:v>
      </x:c>
      <x:c r="C518" s="72" t="n">
        <x:v>46262</x:v>
      </x:c>
      <x:c r="D518" s="73" t="n">
        <x:v>1.2709</x:v>
      </x:c>
      <x:c r="E518" s="73" t="n">
        <x:v>1.3709</x:v>
      </x:c>
      <x:c r="F518" s="73" t="n">
        <x:v>1.3965</x:v>
      </x:c>
      <x:c r="G518" s="74" t="n">
        <x:v>0.0006</x:v>
      </x:c>
      <x:c r="H518" s="66" t="str">
        <x:v>常行7号净值20260911.xlsx</x:v>
      </x:c>
      <x:c r="I518" s="73" t="n">
        <x:f>MAX(I517,F518)</x:f>
        <x:v>1.3965</x:v>
      </x:c>
      <x:c r="J518" s="74" t="n">
        <x:f>1-F518/I518</x:f>
        <x:v>0</x:v>
      </x:c>
      <x:c r="K518" s="73" t="n">
        <x:f>MAX(K517,F518)</x:f>
        <x:v>1.3965</x:v>
      </x:c>
      <x:c r="L518" s="74" t="n">
        <x:f>1-F518/K518</x:f>
        <x:v>0</x:v>
      </x:c>
      <x:c r="M518" s="73" t="n">
        <x:f>MAX(M517,F518)</x:f>
        <x:v>1.3965</x:v>
      </x:c>
      <x:c r="N518" s="74" t="n">
        <x:f>1-F518/M518</x:f>
        <x:v>0</x:v>
      </x:c>
    </x:row>
    <x:row r="519" ht="27" customHeight="1">
      <x:c r="A519" s="66" t="str">
        <x:v>SQH214</x:v>
      </x:c>
      <x:c r="B519" s="66" t="str">
        <x:v>常行7号</x:v>
      </x:c>
      <x:c r="C519" s="72" t="n">
        <x:v>46269</x:v>
      </x:c>
      <x:c r="D519" s="73" t="n">
        <x:v>1.2727</x:v>
      </x:c>
      <x:c r="E519" s="73" t="n">
        <x:v>1.3727</x:v>
      </x:c>
      <x:c r="F519" s="73" t="n">
        <x:v>1.3985</x:v>
      </x:c>
      <x:c r="G519" s="74" t="n">
        <x:v>0.0014000000000000002</x:v>
      </x:c>
      <x:c r="H519" s="66" t="str">
        <x:v>常行7号净值20260911.xlsx</x:v>
      </x:c>
      <x:c r="I519" s="73" t="n">
        <x:f>MAX(I518,F519)</x:f>
        <x:v>1.3985</x:v>
      </x:c>
      <x:c r="J519" s="74" t="n">
        <x:f>1-F519/I519</x:f>
        <x:v>0</x:v>
      </x:c>
      <x:c r="K519" s="73" t="n">
        <x:f>MAX(K518,F519)</x:f>
        <x:v>1.3985</x:v>
      </x:c>
      <x:c r="L519" s="74" t="n">
        <x:f>1-F519/K519</x:f>
        <x:v>0</x:v>
      </x:c>
      <x:c r="M519" s="73" t="n">
        <x:f>MAX(M518,F519)</x:f>
        <x:v>1.3985</x:v>
      </x:c>
      <x:c r="N519" s="74" t="n">
        <x:f>1-F519/M519</x:f>
        <x:v>0</x:v>
      </x:c>
    </x:row>
    <x:row r="520" ht="27" customHeight="1">
      <x:c r="A520" s="66" t="str">
        <x:v>SQD620</x:v>
      </x:c>
      <x:c r="B520" s="66" t="str">
        <x:v>深度梦扬量化套利0号</x:v>
      </x:c>
      <x:c r="C520" s="72" t="n">
        <x:v>44305</x:v>
      </x:c>
      <x:c r="D520" s="73" t="n">
        <x:v>1</x:v>
      </x:c>
      <x:c r="E520" s="73" t="n">
        <x:v>1</x:v>
      </x:c>
      <x:c r="F520" s="73" t="n">
        <x:v>1</x:v>
      </x:c>
      <x:c r="G520" s="74"/>
      <x:c r="H520" s="66" t="str">
        <x:v>深度梦扬量化套利0号净值20260911.xlsx</x:v>
      </x:c>
      <x:c r="I520" s="73" t="str">
        <x:f>""</x:f>
      </x:c>
      <x:c r="J520" s="74" t="str">
        <x:f>""</x:f>
      </x:c>
      <x:c r="K520" s="73" t="str">
        <x:f>""</x:f>
      </x:c>
      <x:c r="L520" s="74" t="str">
        <x:f>""</x:f>
      </x:c>
      <x:c r="M520" s="73" t="n">
        <x:f>F520</x:f>
        <x:v>1</x:v>
      </x:c>
      <x:c r="N520" s="74" t="n">
        <x:f>1-F520/M520</x:f>
        <x:v>0</x:v>
      </x:c>
    </x:row>
    <x:row r="521" ht="27" customHeight="1">
      <x:c r="A521" s="66" t="str">
        <x:v>SQD620</x:v>
      </x:c>
      <x:c r="B521" s="66" t="str">
        <x:v>深度梦扬量化套利0号</x:v>
      </x:c>
      <x:c r="C521" s="72" t="n">
        <x:v>44306</x:v>
      </x:c>
      <x:c r="D521" s="73" t="n">
        <x:v>1</x:v>
      </x:c>
      <x:c r="E521" s="73" t="n">
        <x:v>1</x:v>
      </x:c>
      <x:c r="F521" s="73" t="n">
        <x:v>1</x:v>
      </x:c>
      <x:c r="G521" s="74" t="n">
        <x:v>0</x:v>
      </x:c>
      <x:c r="H521" s="66" t="str">
        <x:v>深度梦扬量化套利0号净值20260911.xlsx</x:v>
      </x:c>
      <x:c r="I521" s="73" t="str">
        <x:f>""</x:f>
      </x:c>
      <x:c r="J521" s="74" t="str">
        <x:f>""</x:f>
      </x:c>
      <x:c r="K521" s="73" t="str">
        <x:f>""</x:f>
      </x:c>
      <x:c r="L521" s="74" t="str">
        <x:f>""</x:f>
      </x:c>
      <x:c r="M521" s="73" t="n">
        <x:f>MAX(M520,F521)</x:f>
        <x:v>1</x:v>
      </x:c>
      <x:c r="N521" s="74" t="n">
        <x:f>1-F521/M521</x:f>
        <x:v>0</x:v>
      </x:c>
    </x:row>
    <x:row r="522" ht="27" customHeight="1">
      <x:c r="A522" s="66" t="str">
        <x:v>SQD620</x:v>
      </x:c>
      <x:c r="B522" s="66" t="str">
        <x:v>深度梦扬量化套利0号</x:v>
      </x:c>
      <x:c r="C522" s="72" t="n">
        <x:v>44307</x:v>
      </x:c>
      <x:c r="D522" s="73" t="n">
        <x:v>1</x:v>
      </x:c>
      <x:c r="E522" s="73" t="n">
        <x:v>1</x:v>
      </x:c>
      <x:c r="F522" s="73" t="n">
        <x:v>1</x:v>
      </x:c>
      <x:c r="G522" s="74" t="n">
        <x:v>0</x:v>
      </x:c>
      <x:c r="H522" s="66" t="str">
        <x:v>深度梦扬量化套利0号净值20260911.xlsx</x:v>
      </x:c>
      <x:c r="I522" s="73" t="str">
        <x:f>""</x:f>
      </x:c>
      <x:c r="J522" s="74" t="str">
        <x:f>""</x:f>
      </x:c>
      <x:c r="K522" s="73" t="str">
        <x:f>""</x:f>
      </x:c>
      <x:c r="L522" s="74" t="str">
        <x:f>""</x:f>
      </x:c>
      <x:c r="M522" s="73" t="n">
        <x:f>MAX(M521,F522)</x:f>
        <x:v>1</x:v>
      </x:c>
      <x:c r="N522" s="74" t="n">
        <x:f>1-F522/M522</x:f>
        <x:v>0</x:v>
      </x:c>
    </x:row>
    <x:row r="523" ht="27" customHeight="1">
      <x:c r="A523" s="66" t="str">
        <x:v>SQD620</x:v>
      </x:c>
      <x:c r="B523" s="66" t="str">
        <x:v>深度梦扬量化套利0号</x:v>
      </x:c>
      <x:c r="C523" s="72" t="n">
        <x:v>44308</x:v>
      </x:c>
      <x:c r="D523" s="73" t="n">
        <x:v>1</x:v>
      </x:c>
      <x:c r="E523" s="73" t="n">
        <x:v>1</x:v>
      </x:c>
      <x:c r="F523" s="73" t="n">
        <x:v>1</x:v>
      </x:c>
      <x:c r="G523" s="74" t="n">
        <x:v>0</x:v>
      </x:c>
      <x:c r="H523" s="66" t="str">
        <x:v>深度梦扬量化套利0号净值20260911.xlsx</x:v>
      </x:c>
      <x:c r="I523" s="73" t="str">
        <x:f>""</x:f>
      </x:c>
      <x:c r="J523" s="74" t="str">
        <x:f>""</x:f>
      </x:c>
      <x:c r="K523" s="73" t="str">
        <x:f>""</x:f>
      </x:c>
      <x:c r="L523" s="74" t="str">
        <x:f>""</x:f>
      </x:c>
      <x:c r="M523" s="73" t="n">
        <x:f>MAX(M522,F523)</x:f>
        <x:v>1</x:v>
      </x:c>
      <x:c r="N523" s="74" t="n">
        <x:f>1-F523/M523</x:f>
        <x:v>0</x:v>
      </x:c>
    </x:row>
    <x:row r="524" ht="27" customHeight="1">
      <x:c r="A524" s="66" t="str">
        <x:v>SQD620</x:v>
      </x:c>
      <x:c r="B524" s="66" t="str">
        <x:v>深度梦扬量化套利0号</x:v>
      </x:c>
      <x:c r="C524" s="72" t="n">
        <x:v>44309</x:v>
      </x:c>
      <x:c r="D524" s="73" t="n">
        <x:v>1</x:v>
      </x:c>
      <x:c r="E524" s="73" t="n">
        <x:v>1</x:v>
      </x:c>
      <x:c r="F524" s="73" t="n">
        <x:v>1</x:v>
      </x:c>
      <x:c r="G524" s="74" t="n">
        <x:v>0</x:v>
      </x:c>
      <x:c r="H524" s="66" t="str">
        <x:v>深度梦扬量化套利0号净值20260911.xlsx</x:v>
      </x:c>
      <x:c r="I524" s="73" t="str">
        <x:f>""</x:f>
      </x:c>
      <x:c r="J524" s="74" t="str">
        <x:f>""</x:f>
      </x:c>
      <x:c r="K524" s="73" t="str">
        <x:f>""</x:f>
      </x:c>
      <x:c r="L524" s="74" t="str">
        <x:f>""</x:f>
      </x:c>
      <x:c r="M524" s="73" t="n">
        <x:f>MAX(M523,F524)</x:f>
        <x:v>1</x:v>
      </x:c>
      <x:c r="N524" s="74" t="n">
        <x:f>1-F524/M524</x:f>
        <x:v>0</x:v>
      </x:c>
    </x:row>
    <x:row r="525" ht="27" customHeight="1">
      <x:c r="A525" s="66" t="str">
        <x:v>SQD620</x:v>
      </x:c>
      <x:c r="B525" s="66" t="str">
        <x:v>深度梦扬量化套利0号</x:v>
      </x:c>
      <x:c r="C525" s="72" t="n">
        <x:v>44312</x:v>
      </x:c>
      <x:c r="D525" s="73" t="n">
        <x:v>1</x:v>
      </x:c>
      <x:c r="E525" s="73" t="n">
        <x:v>1</x:v>
      </x:c>
      <x:c r="F525" s="73" t="n">
        <x:v>1</x:v>
      </x:c>
      <x:c r="G525" s="74" t="n">
        <x:v>0</x:v>
      </x:c>
      <x:c r="H525" s="66" t="str">
        <x:v>深度梦扬量化套利0号净值20260911.xlsx</x:v>
      </x:c>
      <x:c r="I525" s="73" t="str">
        <x:f>""</x:f>
      </x:c>
      <x:c r="J525" s="74" t="str">
        <x:f>""</x:f>
      </x:c>
      <x:c r="K525" s="73" t="str">
        <x:f>""</x:f>
      </x:c>
      <x:c r="L525" s="74" t="str">
        <x:f>""</x:f>
      </x:c>
      <x:c r="M525" s="73" t="n">
        <x:f>MAX(M524,F525)</x:f>
        <x:v>1</x:v>
      </x:c>
      <x:c r="N525" s="74" t="n">
        <x:f>1-F525/M525</x:f>
        <x:v>0</x:v>
      </x:c>
    </x:row>
    <x:row r="526" ht="27" customHeight="1">
      <x:c r="A526" s="66" t="str">
        <x:v>SQD620</x:v>
      </x:c>
      <x:c r="B526" s="66" t="str">
        <x:v>深度梦扬量化套利0号</x:v>
      </x:c>
      <x:c r="C526" s="72" t="n">
        <x:v>44313</x:v>
      </x:c>
      <x:c r="D526" s="73" t="n">
        <x:v>1</x:v>
      </x:c>
      <x:c r="E526" s="73" t="n">
        <x:v>1</x:v>
      </x:c>
      <x:c r="F526" s="73" t="n">
        <x:v>1</x:v>
      </x:c>
      <x:c r="G526" s="74" t="n">
        <x:v>0</x:v>
      </x:c>
      <x:c r="H526" s="66" t="str">
        <x:v>深度梦扬量化套利0号净值20260911.xlsx</x:v>
      </x:c>
      <x:c r="I526" s="73" t="str">
        <x:f>""</x:f>
      </x:c>
      <x:c r="J526" s="74" t="str">
        <x:f>""</x:f>
      </x:c>
      <x:c r="K526" s="73" t="str">
        <x:f>""</x:f>
      </x:c>
      <x:c r="L526" s="74" t="str">
        <x:f>""</x:f>
      </x:c>
      <x:c r="M526" s="73" t="n">
        <x:f>MAX(M525,F526)</x:f>
        <x:v>1</x:v>
      </x:c>
      <x:c r="N526" s="74" t="n">
        <x:f>1-F526/M526</x:f>
        <x:v>0</x:v>
      </x:c>
    </x:row>
    <x:row r="527" ht="27" customHeight="1">
      <x:c r="A527" s="66" t="str">
        <x:v>SQD620</x:v>
      </x:c>
      <x:c r="B527" s="66" t="str">
        <x:v>深度梦扬量化套利0号</x:v>
      </x:c>
      <x:c r="C527" s="72" t="n">
        <x:v>44314</x:v>
      </x:c>
      <x:c r="D527" s="73" t="n">
        <x:v>1</x:v>
      </x:c>
      <x:c r="E527" s="73" t="n">
        <x:v>1</x:v>
      </x:c>
      <x:c r="F527" s="73" t="n">
        <x:v>1</x:v>
      </x:c>
      <x:c r="G527" s="74" t="n">
        <x:v>0</x:v>
      </x:c>
      <x:c r="H527" s="66" t="str">
        <x:v>深度梦扬量化套利0号净值20260911.xlsx</x:v>
      </x:c>
      <x:c r="I527" s="73" t="str">
        <x:f>""</x:f>
      </x:c>
      <x:c r="J527" s="74" t="str">
        <x:f>""</x:f>
      </x:c>
      <x:c r="K527" s="73" t="str">
        <x:f>""</x:f>
      </x:c>
      <x:c r="L527" s="74" t="str">
        <x:f>""</x:f>
      </x:c>
      <x:c r="M527" s="73" t="n">
        <x:f>MAX(M526,F527)</x:f>
        <x:v>1</x:v>
      </x:c>
      <x:c r="N527" s="74" t="n">
        <x:f>1-F527/M527</x:f>
        <x:v>0</x:v>
      </x:c>
    </x:row>
    <x:row r="528" ht="27" customHeight="1">
      <x:c r="A528" s="66" t="str">
        <x:v>SQD620</x:v>
      </x:c>
      <x:c r="B528" s="66" t="str">
        <x:v>深度梦扬量化套利0号</x:v>
      </x:c>
      <x:c r="C528" s="72" t="n">
        <x:v>44315</x:v>
      </x:c>
      <x:c r="D528" s="73" t="n">
        <x:v>1</x:v>
      </x:c>
      <x:c r="E528" s="73" t="n">
        <x:v>1</x:v>
      </x:c>
      <x:c r="F528" s="73" t="n">
        <x:v>1</x:v>
      </x:c>
      <x:c r="G528" s="74" t="n">
        <x:v>0</x:v>
      </x:c>
      <x:c r="H528" s="66" t="str">
        <x:v>深度梦扬量化套利0号净值20260911.xlsx</x:v>
      </x:c>
      <x:c r="I528" s="73" t="str">
        <x:f>""</x:f>
      </x:c>
      <x:c r="J528" s="74" t="str">
        <x:f>""</x:f>
      </x:c>
      <x:c r="K528" s="73" t="str">
        <x:f>""</x:f>
      </x:c>
      <x:c r="L528" s="74" t="str">
        <x:f>""</x:f>
      </x:c>
      <x:c r="M528" s="73" t="n">
        <x:f>MAX(M527,F528)</x:f>
        <x:v>1</x:v>
      </x:c>
      <x:c r="N528" s="74" t="n">
        <x:f>1-F528/M528</x:f>
        <x:v>0</x:v>
      </x:c>
    </x:row>
    <x:row r="529" ht="27" customHeight="1">
      <x:c r="A529" s="66" t="str">
        <x:v>SQD620</x:v>
      </x:c>
      <x:c r="B529" s="66" t="str">
        <x:v>深度梦扬量化套利0号</x:v>
      </x:c>
      <x:c r="C529" s="72" t="n">
        <x:v>44316</x:v>
      </x:c>
      <x:c r="D529" s="73" t="n">
        <x:v>1</x:v>
      </x:c>
      <x:c r="E529" s="73" t="n">
        <x:v>1</x:v>
      </x:c>
      <x:c r="F529" s="73" t="n">
        <x:v>1</x:v>
      </x:c>
      <x:c r="G529" s="74" t="n">
        <x:v>0</x:v>
      </x:c>
      <x:c r="H529" s="66" t="str">
        <x:v>深度梦扬量化套利0号净值20260911.xlsx</x:v>
      </x:c>
      <x:c r="I529" s="73" t="str">
        <x:f>""</x:f>
      </x:c>
      <x:c r="J529" s="74" t="str">
        <x:f>""</x:f>
      </x:c>
      <x:c r="K529" s="73" t="str">
        <x:f>""</x:f>
      </x:c>
      <x:c r="L529" s="74" t="str">
        <x:f>""</x:f>
      </x:c>
      <x:c r="M529" s="73" t="n">
        <x:f>MAX(M528,F529)</x:f>
        <x:v>1</x:v>
      </x:c>
      <x:c r="N529" s="74" t="n">
        <x:f>1-F529/M529</x:f>
        <x:v>0</x:v>
      </x:c>
    </x:row>
    <x:row r="530" ht="27" customHeight="1">
      <x:c r="A530" s="66" t="str">
        <x:v>SQD620</x:v>
      </x:c>
      <x:c r="B530" s="66" t="str">
        <x:v>深度梦扬量化套利0号</x:v>
      </x:c>
      <x:c r="C530" s="72" t="n">
        <x:v>44322</x:v>
      </x:c>
      <x:c r="D530" s="73" t="n">
        <x:v>1</x:v>
      </x:c>
      <x:c r="E530" s="73" t="n">
        <x:v>1</x:v>
      </x:c>
      <x:c r="F530" s="73" t="n">
        <x:v>1</x:v>
      </x:c>
      <x:c r="G530" s="74" t="n">
        <x:v>0</x:v>
      </x:c>
      <x:c r="H530" s="66" t="str">
        <x:v>深度梦扬量化套利0号净值20260911.xlsx</x:v>
      </x:c>
      <x:c r="I530" s="73" t="str">
        <x:f>""</x:f>
      </x:c>
      <x:c r="J530" s="74" t="str">
        <x:f>""</x:f>
      </x:c>
      <x:c r="K530" s="73" t="str">
        <x:f>""</x:f>
      </x:c>
      <x:c r="L530" s="74" t="str">
        <x:f>""</x:f>
      </x:c>
      <x:c r="M530" s="73" t="n">
        <x:f>MAX(M529,F530)</x:f>
        <x:v>1</x:v>
      </x:c>
      <x:c r="N530" s="74" t="n">
        <x:f>1-F530/M530</x:f>
        <x:v>0</x:v>
      </x:c>
    </x:row>
    <x:row r="531" ht="27" customHeight="1">
      <x:c r="A531" s="66" t="str">
        <x:v>SQD620</x:v>
      </x:c>
      <x:c r="B531" s="66" t="str">
        <x:v>深度梦扬量化套利0号</x:v>
      </x:c>
      <x:c r="C531" s="72" t="n">
        <x:v>44323</x:v>
      </x:c>
      <x:c r="D531" s="73" t="n">
        <x:v>1</x:v>
      </x:c>
      <x:c r="E531" s="73" t="n">
        <x:v>1</x:v>
      </x:c>
      <x:c r="F531" s="73" t="n">
        <x:v>1</x:v>
      </x:c>
      <x:c r="G531" s="74" t="n">
        <x:v>0</x:v>
      </x:c>
      <x:c r="H531" s="66" t="str">
        <x:v>深度梦扬量化套利0号净值20260911.xlsx</x:v>
      </x:c>
      <x:c r="I531" s="73" t="str">
        <x:f>""</x:f>
      </x:c>
      <x:c r="J531" s="74" t="str">
        <x:f>""</x:f>
      </x:c>
      <x:c r="K531" s="73" t="str">
        <x:f>""</x:f>
      </x:c>
      <x:c r="L531" s="74" t="str">
        <x:f>""</x:f>
      </x:c>
      <x:c r="M531" s="73" t="n">
        <x:f>MAX(M530,F531)</x:f>
        <x:v>1</x:v>
      </x:c>
      <x:c r="N531" s="74" t="n">
        <x:f>1-F531/M531</x:f>
        <x:v>0</x:v>
      </x:c>
    </x:row>
    <x:row r="532" ht="27" customHeight="1">
      <x:c r="A532" s="66" t="str">
        <x:v>SQD620</x:v>
      </x:c>
      <x:c r="B532" s="66" t="str">
        <x:v>深度梦扬量化套利0号</x:v>
      </x:c>
      <x:c r="C532" s="72" t="n">
        <x:v>44326</x:v>
      </x:c>
      <x:c r="D532" s="73" t="n">
        <x:v>1.001</x:v>
      </x:c>
      <x:c r="E532" s="73" t="n">
        <x:v>1.001</x:v>
      </x:c>
      <x:c r="F532" s="73" t="n">
        <x:v>1.001</x:v>
      </x:c>
      <x:c r="G532" s="74" t="n">
        <x:v>0.001</x:v>
      </x:c>
      <x:c r="H532" s="66" t="str">
        <x:v>深度梦扬量化套利0号净值20260911.xlsx</x:v>
      </x:c>
      <x:c r="I532" s="73" t="str">
        <x:f>""</x:f>
      </x:c>
      <x:c r="J532" s="74" t="str">
        <x:f>""</x:f>
      </x:c>
      <x:c r="K532" s="73" t="str">
        <x:f>""</x:f>
      </x:c>
      <x:c r="L532" s="74" t="str">
        <x:f>""</x:f>
      </x:c>
      <x:c r="M532" s="73" t="n">
        <x:f>MAX(M531,F532)</x:f>
        <x:v>1.001</x:v>
      </x:c>
      <x:c r="N532" s="74" t="n">
        <x:f>1-F532/M532</x:f>
        <x:v>0</x:v>
      </x:c>
    </x:row>
    <x:row r="533" ht="27" customHeight="1">
      <x:c r="A533" s="66" t="str">
        <x:v>SQD620</x:v>
      </x:c>
      <x:c r="B533" s="66" t="str">
        <x:v>深度梦扬量化套利0号</x:v>
      </x:c>
      <x:c r="C533" s="72" t="n">
        <x:v>44327</x:v>
      </x:c>
      <x:c r="D533" s="73" t="n">
        <x:v>1.001</x:v>
      </x:c>
      <x:c r="E533" s="73" t="n">
        <x:v>1.001</x:v>
      </x:c>
      <x:c r="F533" s="73" t="n">
        <x:v>1.001</x:v>
      </x:c>
      <x:c r="G533" s="74" t="n">
        <x:v>0</x:v>
      </x:c>
      <x:c r="H533" s="66" t="str">
        <x:v>深度梦扬量化套利0号净值20260911.xlsx</x:v>
      </x:c>
      <x:c r="I533" s="73" t="str">
        <x:f>""</x:f>
      </x:c>
      <x:c r="J533" s="74" t="str">
        <x:f>""</x:f>
      </x:c>
      <x:c r="K533" s="73" t="str">
        <x:f>""</x:f>
      </x:c>
      <x:c r="L533" s="74" t="str">
        <x:f>""</x:f>
      </x:c>
      <x:c r="M533" s="73" t="n">
        <x:f>MAX(M532,F533)</x:f>
        <x:v>1.001</x:v>
      </x:c>
      <x:c r="N533" s="74" t="n">
        <x:f>1-F533/M533</x:f>
        <x:v>0</x:v>
      </x:c>
    </x:row>
    <x:row r="534" ht="27" customHeight="1">
      <x:c r="A534" s="66" t="str">
        <x:v>SQD620</x:v>
      </x:c>
      <x:c r="B534" s="66" t="str">
        <x:v>深度梦扬量化套利0号</x:v>
      </x:c>
      <x:c r="C534" s="72" t="n">
        <x:v>44328</x:v>
      </x:c>
      <x:c r="D534" s="73" t="n">
        <x:v>1.001</x:v>
      </x:c>
      <x:c r="E534" s="73" t="n">
        <x:v>1.001</x:v>
      </x:c>
      <x:c r="F534" s="73" t="n">
        <x:v>1.001</x:v>
      </x:c>
      <x:c r="G534" s="74" t="n">
        <x:v>0</x:v>
      </x:c>
      <x:c r="H534" s="66" t="str">
        <x:v>深度梦扬量化套利0号净值20260911.xlsx</x:v>
      </x:c>
      <x:c r="I534" s="73" t="str">
        <x:f>""</x:f>
      </x:c>
      <x:c r="J534" s="74" t="str">
        <x:f>""</x:f>
      </x:c>
      <x:c r="K534" s="73" t="str">
        <x:f>""</x:f>
      </x:c>
      <x:c r="L534" s="74" t="str">
        <x:f>""</x:f>
      </x:c>
      <x:c r="M534" s="73" t="n">
        <x:f>MAX(M533,F534)</x:f>
        <x:v>1.001</x:v>
      </x:c>
      <x:c r="N534" s="74" t="n">
        <x:f>1-F534/M534</x:f>
        <x:v>0</x:v>
      </x:c>
    </x:row>
    <x:row r="535" ht="27" customHeight="1">
      <x:c r="A535" s="66" t="str">
        <x:v>SQD620</x:v>
      </x:c>
      <x:c r="B535" s="66" t="str">
        <x:v>深度梦扬量化套利0号</x:v>
      </x:c>
      <x:c r="C535" s="72" t="n">
        <x:v>44329</x:v>
      </x:c>
      <x:c r="D535" s="73" t="n">
        <x:v>1.001</x:v>
      </x:c>
      <x:c r="E535" s="73" t="n">
        <x:v>1.001</x:v>
      </x:c>
      <x:c r="F535" s="73" t="n">
        <x:v>1.001</x:v>
      </x:c>
      <x:c r="G535" s="74" t="n">
        <x:v>0</x:v>
      </x:c>
      <x:c r="H535" s="66" t="str">
        <x:v>深度梦扬量化套利0号净值20260911.xlsx</x:v>
      </x:c>
      <x:c r="I535" s="73" t="str">
        <x:f>""</x:f>
      </x:c>
      <x:c r="J535" s="74" t="str">
        <x:f>""</x:f>
      </x:c>
      <x:c r="K535" s="73" t="str">
        <x:f>""</x:f>
      </x:c>
      <x:c r="L535" s="74" t="str">
        <x:f>""</x:f>
      </x:c>
      <x:c r="M535" s="73" t="n">
        <x:f>MAX(M534,F535)</x:f>
        <x:v>1.001</x:v>
      </x:c>
      <x:c r="N535" s="74" t="n">
        <x:f>1-F535/M535</x:f>
        <x:v>0</x:v>
      </x:c>
    </x:row>
    <x:row r="536" ht="27" customHeight="1">
      <x:c r="A536" s="66" t="str">
        <x:v>SQD620</x:v>
      </x:c>
      <x:c r="B536" s="66" t="str">
        <x:v>深度梦扬量化套利0号</x:v>
      </x:c>
      <x:c r="C536" s="72" t="n">
        <x:v>44330</x:v>
      </x:c>
      <x:c r="D536" s="73" t="n">
        <x:v>1.001</x:v>
      </x:c>
      <x:c r="E536" s="73" t="n">
        <x:v>1.001</x:v>
      </x:c>
      <x:c r="F536" s="73" t="n">
        <x:v>1.001</x:v>
      </x:c>
      <x:c r="G536" s="74" t="n">
        <x:v>0</x:v>
      </x:c>
      <x:c r="H536" s="66" t="str">
        <x:v>深度梦扬量化套利0号净值20260911.xlsx</x:v>
      </x:c>
      <x:c r="I536" s="73" t="str">
        <x:f>""</x:f>
      </x:c>
      <x:c r="J536" s="74" t="str">
        <x:f>""</x:f>
      </x:c>
      <x:c r="K536" s="73" t="str">
        <x:f>""</x:f>
      </x:c>
      <x:c r="L536" s="74" t="str">
        <x:f>""</x:f>
      </x:c>
      <x:c r="M536" s="73" t="n">
        <x:f>MAX(M535,F536)</x:f>
        <x:v>1.001</x:v>
      </x:c>
      <x:c r="N536" s="74" t="n">
        <x:f>1-F536/M536</x:f>
        <x:v>0</x:v>
      </x:c>
    </x:row>
    <x:row r="537" ht="27" customHeight="1">
      <x:c r="A537" s="66" t="str">
        <x:v>SQD620</x:v>
      </x:c>
      <x:c r="B537" s="66" t="str">
        <x:v>深度梦扬量化套利0号</x:v>
      </x:c>
      <x:c r="C537" s="72" t="n">
        <x:v>44333</x:v>
      </x:c>
      <x:c r="D537" s="73" t="n">
        <x:v>1.001</x:v>
      </x:c>
      <x:c r="E537" s="73" t="n">
        <x:v>1.001</x:v>
      </x:c>
      <x:c r="F537" s="73" t="n">
        <x:v>1.001</x:v>
      </x:c>
      <x:c r="G537" s="74" t="n">
        <x:v>0</x:v>
      </x:c>
      <x:c r="H537" s="66" t="str">
        <x:v>深度梦扬量化套利0号净值20260911.xlsx</x:v>
      </x:c>
      <x:c r="I537" s="73" t="str">
        <x:f>""</x:f>
      </x:c>
      <x:c r="J537" s="74" t="str">
        <x:f>""</x:f>
      </x:c>
      <x:c r="K537" s="73" t="str">
        <x:f>""</x:f>
      </x:c>
      <x:c r="L537" s="74" t="str">
        <x:f>""</x:f>
      </x:c>
      <x:c r="M537" s="73" t="n">
        <x:f>MAX(M536,F537)</x:f>
        <x:v>1.001</x:v>
      </x:c>
      <x:c r="N537" s="74" t="n">
        <x:f>1-F537/M537</x:f>
        <x:v>0</x:v>
      </x:c>
    </x:row>
    <x:row r="538" ht="27" customHeight="1">
      <x:c r="A538" s="66" t="str">
        <x:v>SQD620</x:v>
      </x:c>
      <x:c r="B538" s="66" t="str">
        <x:v>深度梦扬量化套利0号</x:v>
      </x:c>
      <x:c r="C538" s="72" t="n">
        <x:v>44334</x:v>
      </x:c>
      <x:c r="D538" s="73" t="n">
        <x:v>1.001</x:v>
      </x:c>
      <x:c r="E538" s="73" t="n">
        <x:v>1.001</x:v>
      </x:c>
      <x:c r="F538" s="73" t="n">
        <x:v>1.001</x:v>
      </x:c>
      <x:c r="G538" s="74" t="n">
        <x:v>0</x:v>
      </x:c>
      <x:c r="H538" s="66" t="str">
        <x:v>深度梦扬量化套利0号净值20260911.xlsx</x:v>
      </x:c>
      <x:c r="I538" s="73" t="str">
        <x:f>""</x:f>
      </x:c>
      <x:c r="J538" s="74" t="str">
        <x:f>""</x:f>
      </x:c>
      <x:c r="K538" s="73" t="str">
        <x:f>""</x:f>
      </x:c>
      <x:c r="L538" s="74" t="str">
        <x:f>""</x:f>
      </x:c>
      <x:c r="M538" s="73" t="n">
        <x:f>MAX(M537,F538)</x:f>
        <x:v>1.001</x:v>
      </x:c>
      <x:c r="N538" s="74" t="n">
        <x:f>1-F538/M538</x:f>
        <x:v>0</x:v>
      </x:c>
    </x:row>
    <x:row r="539" ht="27" customHeight="1">
      <x:c r="A539" s="66" t="str">
        <x:v>SQD620</x:v>
      </x:c>
      <x:c r="B539" s="66" t="str">
        <x:v>深度梦扬量化套利0号</x:v>
      </x:c>
      <x:c r="C539" s="72" t="n">
        <x:v>44335</x:v>
      </x:c>
      <x:c r="D539" s="73" t="n">
        <x:v>1.001</x:v>
      </x:c>
      <x:c r="E539" s="73" t="n">
        <x:v>1.001</x:v>
      </x:c>
      <x:c r="F539" s="73" t="n">
        <x:v>1.001</x:v>
      </x:c>
      <x:c r="G539" s="74" t="n">
        <x:v>0</x:v>
      </x:c>
      <x:c r="H539" s="66" t="str">
        <x:v>深度梦扬量化套利0号净值20260911.xlsx</x:v>
      </x:c>
      <x:c r="I539" s="73" t="str">
        <x:f>""</x:f>
      </x:c>
      <x:c r="J539" s="74" t="str">
        <x:f>""</x:f>
      </x:c>
      <x:c r="K539" s="73" t="str">
        <x:f>""</x:f>
      </x:c>
      <x:c r="L539" s="74" t="str">
        <x:f>""</x:f>
      </x:c>
      <x:c r="M539" s="73" t="n">
        <x:f>MAX(M538,F539)</x:f>
        <x:v>1.001</x:v>
      </x:c>
      <x:c r="N539" s="74" t="n">
        <x:f>1-F539/M539</x:f>
        <x:v>0</x:v>
      </x:c>
    </x:row>
    <x:row r="540" ht="27" customHeight="1">
      <x:c r="A540" s="66" t="str">
        <x:v>SQD620</x:v>
      </x:c>
      <x:c r="B540" s="66" t="str">
        <x:v>深度梦扬量化套利0号</x:v>
      </x:c>
      <x:c r="C540" s="72" t="n">
        <x:v>44336</x:v>
      </x:c>
      <x:c r="D540" s="73" t="n">
        <x:v>1.001</x:v>
      </x:c>
      <x:c r="E540" s="73" t="n">
        <x:v>1.001</x:v>
      </x:c>
      <x:c r="F540" s="73" t="n">
        <x:v>1.001</x:v>
      </x:c>
      <x:c r="G540" s="74" t="n">
        <x:v>0</x:v>
      </x:c>
      <x:c r="H540" s="66" t="str">
        <x:v>深度梦扬量化套利0号净值20260911.xlsx</x:v>
      </x:c>
      <x:c r="I540" s="73" t="str">
        <x:f>""</x:f>
      </x:c>
      <x:c r="J540" s="74" t="str">
        <x:f>""</x:f>
      </x:c>
      <x:c r="K540" s="73" t="str">
        <x:f>""</x:f>
      </x:c>
      <x:c r="L540" s="74" t="str">
        <x:f>""</x:f>
      </x:c>
      <x:c r="M540" s="73" t="n">
        <x:f>MAX(M539,F540)</x:f>
        <x:v>1.001</x:v>
      </x:c>
      <x:c r="N540" s="74" t="n">
        <x:f>1-F540/M540</x:f>
        <x:v>0</x:v>
      </x:c>
    </x:row>
    <x:row r="541" ht="27" customHeight="1">
      <x:c r="A541" s="66" t="str">
        <x:v>SQD620</x:v>
      </x:c>
      <x:c r="B541" s="66" t="str">
        <x:v>深度梦扬量化套利0号</x:v>
      </x:c>
      <x:c r="C541" s="72" t="n">
        <x:v>44337</x:v>
      </x:c>
      <x:c r="D541" s="73" t="n">
        <x:v>1.001</x:v>
      </x:c>
      <x:c r="E541" s="73" t="n">
        <x:v>1.001</x:v>
      </x:c>
      <x:c r="F541" s="73" t="n">
        <x:v>1.001</x:v>
      </x:c>
      <x:c r="G541" s="74" t="n">
        <x:v>0</x:v>
      </x:c>
      <x:c r="H541" s="66" t="str">
        <x:v>深度梦扬量化套利0号净值20260911.xlsx</x:v>
      </x:c>
      <x:c r="I541" s="73" t="str">
        <x:f>""</x:f>
      </x:c>
      <x:c r="J541" s="74" t="str">
        <x:f>""</x:f>
      </x:c>
      <x:c r="K541" s="73" t="str">
        <x:f>""</x:f>
      </x:c>
      <x:c r="L541" s="74" t="str">
        <x:f>""</x:f>
      </x:c>
      <x:c r="M541" s="73" t="n">
        <x:f>MAX(M540,F541)</x:f>
        <x:v>1.001</x:v>
      </x:c>
      <x:c r="N541" s="74" t="n">
        <x:f>1-F541/M541</x:f>
        <x:v>0</x:v>
      </x:c>
    </x:row>
    <x:row r="542" ht="27" customHeight="1">
      <x:c r="A542" s="66" t="str">
        <x:v>SQD620</x:v>
      </x:c>
      <x:c r="B542" s="66" t="str">
        <x:v>深度梦扬量化套利0号</x:v>
      </x:c>
      <x:c r="C542" s="72" t="n">
        <x:v>44340</x:v>
      </x:c>
      <x:c r="D542" s="73" t="n">
        <x:v>1.001</x:v>
      </x:c>
      <x:c r="E542" s="73" t="n">
        <x:v>1.001</x:v>
      </x:c>
      <x:c r="F542" s="73" t="n">
        <x:v>1.001</x:v>
      </x:c>
      <x:c r="G542" s="74" t="n">
        <x:v>0</x:v>
      </x:c>
      <x:c r="H542" s="66" t="str">
        <x:v>深度梦扬量化套利0号净值20260911.xlsx</x:v>
      </x:c>
      <x:c r="I542" s="73" t="str">
        <x:f>""</x:f>
      </x:c>
      <x:c r="J542" s="74" t="str">
        <x:f>""</x:f>
      </x:c>
      <x:c r="K542" s="73" t="str">
        <x:f>""</x:f>
      </x:c>
      <x:c r="L542" s="74" t="str">
        <x:f>""</x:f>
      </x:c>
      <x:c r="M542" s="73" t="n">
        <x:f>MAX(M541,F542)</x:f>
        <x:v>1.001</x:v>
      </x:c>
      <x:c r="N542" s="74" t="n">
        <x:f>1-F542/M542</x:f>
        <x:v>0</x:v>
      </x:c>
    </x:row>
    <x:row r="543" ht="27" customHeight="1">
      <x:c r="A543" s="66" t="str">
        <x:v>SQD620</x:v>
      </x:c>
      <x:c r="B543" s="66" t="str">
        <x:v>深度梦扬量化套利0号</x:v>
      </x:c>
      <x:c r="C543" s="72" t="n">
        <x:v>44341</x:v>
      </x:c>
      <x:c r="D543" s="73" t="n">
        <x:v>1.001</x:v>
      </x:c>
      <x:c r="E543" s="73" t="n">
        <x:v>1.001</x:v>
      </x:c>
      <x:c r="F543" s="73" t="n">
        <x:v>1.001</x:v>
      </x:c>
      <x:c r="G543" s="74" t="n">
        <x:v>0</x:v>
      </x:c>
      <x:c r="H543" s="66" t="str">
        <x:v>深度梦扬量化套利0号净值20260911.xlsx</x:v>
      </x:c>
      <x:c r="I543" s="73" t="str">
        <x:f>""</x:f>
      </x:c>
      <x:c r="J543" s="74" t="str">
        <x:f>""</x:f>
      </x:c>
      <x:c r="K543" s="73" t="str">
        <x:f>""</x:f>
      </x:c>
      <x:c r="L543" s="74" t="str">
        <x:f>""</x:f>
      </x:c>
      <x:c r="M543" s="73" t="n">
        <x:f>MAX(M542,F543)</x:f>
        <x:v>1.001</x:v>
      </x:c>
      <x:c r="N543" s="74" t="n">
        <x:f>1-F543/M543</x:f>
        <x:v>0</x:v>
      </x:c>
    </x:row>
    <x:row r="544" ht="27" customHeight="1">
      <x:c r="A544" s="66" t="str">
        <x:v>SQD620</x:v>
      </x:c>
      <x:c r="B544" s="66" t="str">
        <x:v>深度梦扬量化套利0号</x:v>
      </x:c>
      <x:c r="C544" s="72" t="n">
        <x:v>44342</x:v>
      </x:c>
      <x:c r="D544" s="73" t="n">
        <x:v>1.001</x:v>
      </x:c>
      <x:c r="E544" s="73" t="n">
        <x:v>1.001</x:v>
      </x:c>
      <x:c r="F544" s="73" t="n">
        <x:v>1.001</x:v>
      </x:c>
      <x:c r="G544" s="74" t="n">
        <x:v>0</x:v>
      </x:c>
      <x:c r="H544" s="66" t="str">
        <x:v>深度梦扬量化套利0号净值20260911.xlsx</x:v>
      </x:c>
      <x:c r="I544" s="73" t="str">
        <x:f>""</x:f>
      </x:c>
      <x:c r="J544" s="74" t="str">
        <x:f>""</x:f>
      </x:c>
      <x:c r="K544" s="73" t="str">
        <x:f>""</x:f>
      </x:c>
      <x:c r="L544" s="74" t="str">
        <x:f>""</x:f>
      </x:c>
      <x:c r="M544" s="73" t="n">
        <x:f>MAX(M543,F544)</x:f>
        <x:v>1.001</x:v>
      </x:c>
      <x:c r="N544" s="74" t="n">
        <x:f>1-F544/M544</x:f>
        <x:v>0</x:v>
      </x:c>
    </x:row>
    <x:row r="545" ht="27" customHeight="1">
      <x:c r="A545" s="66" t="str">
        <x:v>SQD620</x:v>
      </x:c>
      <x:c r="B545" s="66" t="str">
        <x:v>深度梦扬量化套利0号</x:v>
      </x:c>
      <x:c r="C545" s="72" t="n">
        <x:v>44343</x:v>
      </x:c>
      <x:c r="D545" s="73" t="n">
        <x:v>1.001</x:v>
      </x:c>
      <x:c r="E545" s="73" t="n">
        <x:v>1.001</x:v>
      </x:c>
      <x:c r="F545" s="73" t="n">
        <x:v>1.001</x:v>
      </x:c>
      <x:c r="G545" s="74" t="n">
        <x:v>0</x:v>
      </x:c>
      <x:c r="H545" s="66" t="str">
        <x:v>深度梦扬量化套利0号净值20260911.xlsx</x:v>
      </x:c>
      <x:c r="I545" s="73" t="str">
        <x:f>""</x:f>
      </x:c>
      <x:c r="J545" s="74" t="str">
        <x:f>""</x:f>
      </x:c>
      <x:c r="K545" s="73" t="str">
        <x:f>""</x:f>
      </x:c>
      <x:c r="L545" s="74" t="str">
        <x:f>""</x:f>
      </x:c>
      <x:c r="M545" s="73" t="n">
        <x:f>MAX(M544,F545)</x:f>
        <x:v>1.001</x:v>
      </x:c>
      <x:c r="N545" s="74" t="n">
        <x:f>1-F545/M545</x:f>
        <x:v>0</x:v>
      </x:c>
    </x:row>
    <x:row r="546" ht="27" customHeight="1">
      <x:c r="A546" s="66" t="str">
        <x:v>SQD620</x:v>
      </x:c>
      <x:c r="B546" s="66" t="str">
        <x:v>深度梦扬量化套利0号</x:v>
      </x:c>
      <x:c r="C546" s="72" t="n">
        <x:v>44344</x:v>
      </x:c>
      <x:c r="D546" s="73" t="n">
        <x:v>1.001</x:v>
      </x:c>
      <x:c r="E546" s="73" t="n">
        <x:v>1.001</x:v>
      </x:c>
      <x:c r="F546" s="73" t="n">
        <x:v>1.001</x:v>
      </x:c>
      <x:c r="G546" s="74" t="n">
        <x:v>0</x:v>
      </x:c>
      <x:c r="H546" s="66" t="str">
        <x:v>深度梦扬量化套利0号净值20260911.xlsx</x:v>
      </x:c>
      <x:c r="I546" s="73" t="str">
        <x:f>""</x:f>
      </x:c>
      <x:c r="J546" s="74" t="str">
        <x:f>""</x:f>
      </x:c>
      <x:c r="K546" s="73" t="str">
        <x:f>""</x:f>
      </x:c>
      <x:c r="L546" s="74" t="str">
        <x:f>""</x:f>
      </x:c>
      <x:c r="M546" s="73" t="n">
        <x:f>MAX(M545,F546)</x:f>
        <x:v>1.001</x:v>
      </x:c>
      <x:c r="N546" s="74" t="n">
        <x:f>1-F546/M546</x:f>
        <x:v>0</x:v>
      </x:c>
    </x:row>
    <x:row r="547" ht="27" customHeight="1">
      <x:c r="A547" s="66" t="str">
        <x:v>SQD620</x:v>
      </x:c>
      <x:c r="B547" s="66" t="str">
        <x:v>深度梦扬量化套利0号</x:v>
      </x:c>
      <x:c r="C547" s="72" t="n">
        <x:v>44347</x:v>
      </x:c>
      <x:c r="D547" s="73" t="n">
        <x:v>1.001</x:v>
      </x:c>
      <x:c r="E547" s="73" t="n">
        <x:v>1.001</x:v>
      </x:c>
      <x:c r="F547" s="73" t="n">
        <x:v>1.001</x:v>
      </x:c>
      <x:c r="G547" s="74" t="n">
        <x:v>0</x:v>
      </x:c>
      <x:c r="H547" s="66" t="str">
        <x:v>深度梦扬量化套利0号净值20260911.xlsx</x:v>
      </x:c>
      <x:c r="I547" s="73" t="str">
        <x:f>""</x:f>
      </x:c>
      <x:c r="J547" s="74" t="str">
        <x:f>""</x:f>
      </x:c>
      <x:c r="K547" s="73" t="str">
        <x:f>""</x:f>
      </x:c>
      <x:c r="L547" s="74" t="str">
        <x:f>""</x:f>
      </x:c>
      <x:c r="M547" s="73" t="n">
        <x:f>MAX(M546,F547)</x:f>
        <x:v>1.001</x:v>
      </x:c>
      <x:c r="N547" s="74" t="n">
        <x:f>1-F547/M547</x:f>
        <x:v>0</x:v>
      </x:c>
    </x:row>
    <x:row r="548" ht="27" customHeight="1">
      <x:c r="A548" s="66" t="str">
        <x:v>SQD620</x:v>
      </x:c>
      <x:c r="B548" s="66" t="str">
        <x:v>深度梦扬量化套利0号</x:v>
      </x:c>
      <x:c r="C548" s="72" t="n">
        <x:v>44348</x:v>
      </x:c>
      <x:c r="D548" s="73" t="n">
        <x:v>1.001</x:v>
      </x:c>
      <x:c r="E548" s="73" t="n">
        <x:v>1.001</x:v>
      </x:c>
      <x:c r="F548" s="73" t="n">
        <x:v>1.001</x:v>
      </x:c>
      <x:c r="G548" s="74" t="n">
        <x:v>0</x:v>
      </x:c>
      <x:c r="H548" s="66" t="str">
        <x:v>深度梦扬量化套利0号净值20260911.xlsx</x:v>
      </x:c>
      <x:c r="I548" s="73" t="str">
        <x:f>""</x:f>
      </x:c>
      <x:c r="J548" s="74" t="str">
        <x:f>""</x:f>
      </x:c>
      <x:c r="K548" s="73" t="str">
        <x:f>""</x:f>
      </x:c>
      <x:c r="L548" s="74" t="str">
        <x:f>""</x:f>
      </x:c>
      <x:c r="M548" s="73" t="n">
        <x:f>MAX(M547,F548)</x:f>
        <x:v>1.001</x:v>
      </x:c>
      <x:c r="N548" s="74" t="n">
        <x:f>1-F548/M548</x:f>
        <x:v>0</x:v>
      </x:c>
    </x:row>
    <x:row r="549" ht="27" customHeight="1">
      <x:c r="A549" s="66" t="str">
        <x:v>SQD620</x:v>
      </x:c>
      <x:c r="B549" s="66" t="str">
        <x:v>深度梦扬量化套利0号</x:v>
      </x:c>
      <x:c r="C549" s="72" t="n">
        <x:v>44349</x:v>
      </x:c>
      <x:c r="D549" s="73" t="n">
        <x:v>1.001</x:v>
      </x:c>
      <x:c r="E549" s="73" t="n">
        <x:v>1.001</x:v>
      </x:c>
      <x:c r="F549" s="73" t="n">
        <x:v>1.001</x:v>
      </x:c>
      <x:c r="G549" s="74" t="n">
        <x:v>0</x:v>
      </x:c>
      <x:c r="H549" s="66" t="str">
        <x:v>深度梦扬量化套利0号净值20260911.xlsx</x:v>
      </x:c>
      <x:c r="I549" s="73" t="str">
        <x:f>""</x:f>
      </x:c>
      <x:c r="J549" s="74" t="str">
        <x:f>""</x:f>
      </x:c>
      <x:c r="K549" s="73" t="str">
        <x:f>""</x:f>
      </x:c>
      <x:c r="L549" s="74" t="str">
        <x:f>""</x:f>
      </x:c>
      <x:c r="M549" s="73" t="n">
        <x:f>MAX(M548,F549)</x:f>
        <x:v>1.001</x:v>
      </x:c>
      <x:c r="N549" s="74" t="n">
        <x:f>1-F549/M549</x:f>
        <x:v>0</x:v>
      </x:c>
    </x:row>
    <x:row r="550" ht="27" customHeight="1">
      <x:c r="A550" s="66" t="str">
        <x:v>SQD620</x:v>
      </x:c>
      <x:c r="B550" s="66" t="str">
        <x:v>深度梦扬量化套利0号</x:v>
      </x:c>
      <x:c r="C550" s="72" t="n">
        <x:v>44350</x:v>
      </x:c>
      <x:c r="D550" s="73" t="n">
        <x:v>1.002</x:v>
      </x:c>
      <x:c r="E550" s="73" t="n">
        <x:v>1.002</x:v>
      </x:c>
      <x:c r="F550" s="73" t="n">
        <x:v>1.002</x:v>
      </x:c>
      <x:c r="G550" s="74" t="n">
        <x:v>0.001</x:v>
      </x:c>
      <x:c r="H550" s="66" t="str">
        <x:v>深度梦扬量化套利0号净值20260911.xlsx</x:v>
      </x:c>
      <x:c r="I550" s="73" t="str">
        <x:f>""</x:f>
      </x:c>
      <x:c r="J550" s="74" t="str">
        <x:f>""</x:f>
      </x:c>
      <x:c r="K550" s="73" t="str">
        <x:f>""</x:f>
      </x:c>
      <x:c r="L550" s="74" t="str">
        <x:f>""</x:f>
      </x:c>
      <x:c r="M550" s="73" t="n">
        <x:f>MAX(M549,F550)</x:f>
        <x:v>1.002</x:v>
      </x:c>
      <x:c r="N550" s="74" t="n">
        <x:f>1-F550/M550</x:f>
        <x:v>0</x:v>
      </x:c>
    </x:row>
    <x:row r="551" ht="27" customHeight="1">
      <x:c r="A551" s="66" t="str">
        <x:v>SQD620</x:v>
      </x:c>
      <x:c r="B551" s="66" t="str">
        <x:v>深度梦扬量化套利0号</x:v>
      </x:c>
      <x:c r="C551" s="72" t="n">
        <x:v>44351</x:v>
      </x:c>
      <x:c r="D551" s="73" t="n">
        <x:v>1.002</x:v>
      </x:c>
      <x:c r="E551" s="73" t="n">
        <x:v>1.002</x:v>
      </x:c>
      <x:c r="F551" s="73" t="n">
        <x:v>1.002</x:v>
      </x:c>
      <x:c r="G551" s="74" t="n">
        <x:v>0</x:v>
      </x:c>
      <x:c r="H551" s="66" t="str">
        <x:v>深度梦扬量化套利0号净值20260911.xlsx</x:v>
      </x:c>
      <x:c r="I551" s="73" t="str">
        <x:f>""</x:f>
      </x:c>
      <x:c r="J551" s="74" t="str">
        <x:f>""</x:f>
      </x:c>
      <x:c r="K551" s="73" t="str">
        <x:f>""</x:f>
      </x:c>
      <x:c r="L551" s="74" t="str">
        <x:f>""</x:f>
      </x:c>
      <x:c r="M551" s="73" t="n">
        <x:f>MAX(M550,F551)</x:f>
        <x:v>1.002</x:v>
      </x:c>
      <x:c r="N551" s="74" t="n">
        <x:f>1-F551/M551</x:f>
        <x:v>0</x:v>
      </x:c>
    </x:row>
    <x:row r="552" ht="27" customHeight="1">
      <x:c r="A552" s="66" t="str">
        <x:v>SQD620</x:v>
      </x:c>
      <x:c r="B552" s="66" t="str">
        <x:v>深度梦扬量化套利0号</x:v>
      </x:c>
      <x:c r="C552" s="72" t="n">
        <x:v>44354</x:v>
      </x:c>
      <x:c r="D552" s="73" t="n">
        <x:v>1.002</x:v>
      </x:c>
      <x:c r="E552" s="73" t="n">
        <x:v>1.002</x:v>
      </x:c>
      <x:c r="F552" s="73" t="n">
        <x:v>1.002</x:v>
      </x:c>
      <x:c r="G552" s="74" t="n">
        <x:v>0</x:v>
      </x:c>
      <x:c r="H552" s="66" t="str">
        <x:v>深度梦扬量化套利0号净值20260911.xlsx</x:v>
      </x:c>
      <x:c r="I552" s="73" t="str">
        <x:f>""</x:f>
      </x:c>
      <x:c r="J552" s="74" t="str">
        <x:f>""</x:f>
      </x:c>
      <x:c r="K552" s="73" t="str">
        <x:f>""</x:f>
      </x:c>
      <x:c r="L552" s="74" t="str">
        <x:f>""</x:f>
      </x:c>
      <x:c r="M552" s="73" t="n">
        <x:f>MAX(M551,F552)</x:f>
        <x:v>1.002</x:v>
      </x:c>
      <x:c r="N552" s="74" t="n">
        <x:f>1-F552/M552</x:f>
        <x:v>0</x:v>
      </x:c>
    </x:row>
    <x:row r="553" ht="27" customHeight="1">
      <x:c r="A553" s="66" t="str">
        <x:v>SQD620</x:v>
      </x:c>
      <x:c r="B553" s="66" t="str">
        <x:v>深度梦扬量化套利0号</x:v>
      </x:c>
      <x:c r="C553" s="72" t="n">
        <x:v>44355</x:v>
      </x:c>
      <x:c r="D553" s="73" t="n">
        <x:v>1.002</x:v>
      </x:c>
      <x:c r="E553" s="73" t="n">
        <x:v>1.002</x:v>
      </x:c>
      <x:c r="F553" s="73" t="n">
        <x:v>1.002</x:v>
      </x:c>
      <x:c r="G553" s="74" t="n">
        <x:v>0</x:v>
      </x:c>
      <x:c r="H553" s="66" t="str">
        <x:v>深度梦扬量化套利0号净值20260911.xlsx</x:v>
      </x:c>
      <x:c r="I553" s="73" t="str">
        <x:f>""</x:f>
      </x:c>
      <x:c r="J553" s="74" t="str">
        <x:f>""</x:f>
      </x:c>
      <x:c r="K553" s="73" t="str">
        <x:f>""</x:f>
      </x:c>
      <x:c r="L553" s="74" t="str">
        <x:f>""</x:f>
      </x:c>
      <x:c r="M553" s="73" t="n">
        <x:f>MAX(M552,F553)</x:f>
        <x:v>1.002</x:v>
      </x:c>
      <x:c r="N553" s="74" t="n">
        <x:f>1-F553/M553</x:f>
        <x:v>0</x:v>
      </x:c>
    </x:row>
    <x:row r="554" ht="27" customHeight="1">
      <x:c r="A554" s="66" t="str">
        <x:v>SQD620</x:v>
      </x:c>
      <x:c r="B554" s="66" t="str">
        <x:v>深度梦扬量化套利0号</x:v>
      </x:c>
      <x:c r="C554" s="72" t="n">
        <x:v>44356</x:v>
      </x:c>
      <x:c r="D554" s="73" t="n">
        <x:v>1.002</x:v>
      </x:c>
      <x:c r="E554" s="73" t="n">
        <x:v>1.002</x:v>
      </x:c>
      <x:c r="F554" s="73" t="n">
        <x:v>1.002</x:v>
      </x:c>
      <x:c r="G554" s="74" t="n">
        <x:v>0</x:v>
      </x:c>
      <x:c r="H554" s="66" t="str">
        <x:v>深度梦扬量化套利0号净值20260911.xlsx</x:v>
      </x:c>
      <x:c r="I554" s="73" t="str">
        <x:f>""</x:f>
      </x:c>
      <x:c r="J554" s="74" t="str">
        <x:f>""</x:f>
      </x:c>
      <x:c r="K554" s="73" t="str">
        <x:f>""</x:f>
      </x:c>
      <x:c r="L554" s="74" t="str">
        <x:f>""</x:f>
      </x:c>
      <x:c r="M554" s="73" t="n">
        <x:f>MAX(M553,F554)</x:f>
        <x:v>1.002</x:v>
      </x:c>
      <x:c r="N554" s="74" t="n">
        <x:f>1-F554/M554</x:f>
        <x:v>0</x:v>
      </x:c>
    </x:row>
    <x:row r="555" ht="27" customHeight="1">
      <x:c r="A555" s="66" t="str">
        <x:v>SQD620</x:v>
      </x:c>
      <x:c r="B555" s="66" t="str">
        <x:v>深度梦扬量化套利0号</x:v>
      </x:c>
      <x:c r="C555" s="72" t="n">
        <x:v>44357</x:v>
      </x:c>
      <x:c r="D555" s="73" t="n">
        <x:v>1.002</x:v>
      </x:c>
      <x:c r="E555" s="73" t="n">
        <x:v>1.002</x:v>
      </x:c>
      <x:c r="F555" s="73" t="n">
        <x:v>1.002</x:v>
      </x:c>
      <x:c r="G555" s="74" t="n">
        <x:v>0</x:v>
      </x:c>
      <x:c r="H555" s="66" t="str">
        <x:v>深度梦扬量化套利0号净值20260911.xlsx</x:v>
      </x:c>
      <x:c r="I555" s="73" t="str">
        <x:f>""</x:f>
      </x:c>
      <x:c r="J555" s="74" t="str">
        <x:f>""</x:f>
      </x:c>
      <x:c r="K555" s="73" t="str">
        <x:f>""</x:f>
      </x:c>
      <x:c r="L555" s="74" t="str">
        <x:f>""</x:f>
      </x:c>
      <x:c r="M555" s="73" t="n">
        <x:f>MAX(M554,F555)</x:f>
        <x:v>1.002</x:v>
      </x:c>
      <x:c r="N555" s="74" t="n">
        <x:f>1-F555/M555</x:f>
        <x:v>0</x:v>
      </x:c>
    </x:row>
    <x:row r="556" ht="27" customHeight="1">
      <x:c r="A556" s="66" t="str">
        <x:v>SQD620</x:v>
      </x:c>
      <x:c r="B556" s="66" t="str">
        <x:v>深度梦扬量化套利0号</x:v>
      </x:c>
      <x:c r="C556" s="72" t="n">
        <x:v>44358</x:v>
      </x:c>
      <x:c r="D556" s="73" t="n">
        <x:v>1.002</x:v>
      </x:c>
      <x:c r="E556" s="73" t="n">
        <x:v>1.002</x:v>
      </x:c>
      <x:c r="F556" s="73" t="n">
        <x:v>1.002</x:v>
      </x:c>
      <x:c r="G556" s="74" t="n">
        <x:v>0</x:v>
      </x:c>
      <x:c r="H556" s="66" t="str">
        <x:v>深度梦扬量化套利0号净值20260911.xlsx</x:v>
      </x:c>
      <x:c r="I556" s="73" t="str">
        <x:f>""</x:f>
      </x:c>
      <x:c r="J556" s="74" t="str">
        <x:f>""</x:f>
      </x:c>
      <x:c r="K556" s="73" t="str">
        <x:f>""</x:f>
      </x:c>
      <x:c r="L556" s="74" t="str">
        <x:f>""</x:f>
      </x:c>
      <x:c r="M556" s="73" t="n">
        <x:f>MAX(M555,F556)</x:f>
        <x:v>1.002</x:v>
      </x:c>
      <x:c r="N556" s="74" t="n">
        <x:f>1-F556/M556</x:f>
        <x:v>0</x:v>
      </x:c>
    </x:row>
    <x:row r="557" ht="27" customHeight="1">
      <x:c r="A557" s="66" t="str">
        <x:v>SQD620</x:v>
      </x:c>
      <x:c r="B557" s="66" t="str">
        <x:v>深度梦扬量化套利0号</x:v>
      </x:c>
      <x:c r="C557" s="72" t="n">
        <x:v>44362</x:v>
      </x:c>
      <x:c r="D557" s="73" t="n">
        <x:v>1.002</x:v>
      </x:c>
      <x:c r="E557" s="73" t="n">
        <x:v>1.002</x:v>
      </x:c>
      <x:c r="F557" s="73" t="n">
        <x:v>1.002</x:v>
      </x:c>
      <x:c r="G557" s="74" t="n">
        <x:v>0</x:v>
      </x:c>
      <x:c r="H557" s="66" t="str">
        <x:v>深度梦扬量化套利0号净值20260911.xlsx</x:v>
      </x:c>
      <x:c r="I557" s="73" t="str">
        <x:f>""</x:f>
      </x:c>
      <x:c r="J557" s="74" t="str">
        <x:f>""</x:f>
      </x:c>
      <x:c r="K557" s="73" t="str">
        <x:f>""</x:f>
      </x:c>
      <x:c r="L557" s="74" t="str">
        <x:f>""</x:f>
      </x:c>
      <x:c r="M557" s="73" t="n">
        <x:f>MAX(M556,F557)</x:f>
        <x:v>1.002</x:v>
      </x:c>
      <x:c r="N557" s="74" t="n">
        <x:f>1-F557/M557</x:f>
        <x:v>0</x:v>
      </x:c>
    </x:row>
    <x:row r="558" ht="27" customHeight="1">
      <x:c r="A558" s="66" t="str">
        <x:v>SQD620</x:v>
      </x:c>
      <x:c r="B558" s="66" t="str">
        <x:v>深度梦扬量化套利0号</x:v>
      </x:c>
      <x:c r="C558" s="72" t="n">
        <x:v>44363</x:v>
      </x:c>
      <x:c r="D558" s="73" t="n">
        <x:v>1.002</x:v>
      </x:c>
      <x:c r="E558" s="73" t="n">
        <x:v>1.002</x:v>
      </x:c>
      <x:c r="F558" s="73" t="n">
        <x:v>1.002</x:v>
      </x:c>
      <x:c r="G558" s="74" t="n">
        <x:v>0</x:v>
      </x:c>
      <x:c r="H558" s="66" t="str">
        <x:v>深度梦扬量化套利0号净值20260911.xlsx</x:v>
      </x:c>
      <x:c r="I558" s="73" t="str">
        <x:f>""</x:f>
      </x:c>
      <x:c r="J558" s="74" t="str">
        <x:f>""</x:f>
      </x:c>
      <x:c r="K558" s="73" t="str">
        <x:f>""</x:f>
      </x:c>
      <x:c r="L558" s="74" t="str">
        <x:f>""</x:f>
      </x:c>
      <x:c r="M558" s="73" t="n">
        <x:f>MAX(M557,F558)</x:f>
        <x:v>1.002</x:v>
      </x:c>
      <x:c r="N558" s="74" t="n">
        <x:f>1-F558/M558</x:f>
        <x:v>0</x:v>
      </x:c>
    </x:row>
    <x:row r="559" ht="27" customHeight="1">
      <x:c r="A559" s="66" t="str">
        <x:v>SQD620</x:v>
      </x:c>
      <x:c r="B559" s="66" t="str">
        <x:v>深度梦扬量化套利0号</x:v>
      </x:c>
      <x:c r="C559" s="72" t="n">
        <x:v>44364</x:v>
      </x:c>
      <x:c r="D559" s="73" t="n">
        <x:v>1.002</x:v>
      </x:c>
      <x:c r="E559" s="73" t="n">
        <x:v>1.002</x:v>
      </x:c>
      <x:c r="F559" s="73" t="n">
        <x:v>1.002</x:v>
      </x:c>
      <x:c r="G559" s="74" t="n">
        <x:v>0</x:v>
      </x:c>
      <x:c r="H559" s="66" t="str">
        <x:v>深度梦扬量化套利0号净值20260911.xlsx</x:v>
      </x:c>
      <x:c r="I559" s="73" t="str">
        <x:f>""</x:f>
      </x:c>
      <x:c r="J559" s="74" t="str">
        <x:f>""</x:f>
      </x:c>
      <x:c r="K559" s="73" t="str">
        <x:f>""</x:f>
      </x:c>
      <x:c r="L559" s="74" t="str">
        <x:f>""</x:f>
      </x:c>
      <x:c r="M559" s="73" t="n">
        <x:f>MAX(M558,F559)</x:f>
        <x:v>1.002</x:v>
      </x:c>
      <x:c r="N559" s="74" t="n">
        <x:f>1-F559/M559</x:f>
        <x:v>0</x:v>
      </x:c>
    </x:row>
    <x:row r="560" ht="27" customHeight="1">
      <x:c r="A560" s="66" t="str">
        <x:v>SQD620</x:v>
      </x:c>
      <x:c r="B560" s="66" t="str">
        <x:v>深度梦扬量化套利0号</x:v>
      </x:c>
      <x:c r="C560" s="72" t="n">
        <x:v>44365</x:v>
      </x:c>
      <x:c r="D560" s="73" t="n">
        <x:v>1.002</x:v>
      </x:c>
      <x:c r="E560" s="73" t="n">
        <x:v>1.002</x:v>
      </x:c>
      <x:c r="F560" s="73" t="n">
        <x:v>1.002</x:v>
      </x:c>
      <x:c r="G560" s="74" t="n">
        <x:v>0</x:v>
      </x:c>
      <x:c r="H560" s="66" t="str">
        <x:v>深度梦扬量化套利0号净值20260911.xlsx</x:v>
      </x:c>
      <x:c r="I560" s="73" t="str">
        <x:f>""</x:f>
      </x:c>
      <x:c r="J560" s="74" t="str">
        <x:f>""</x:f>
      </x:c>
      <x:c r="K560" s="73" t="str">
        <x:f>""</x:f>
      </x:c>
      <x:c r="L560" s="74" t="str">
        <x:f>""</x:f>
      </x:c>
      <x:c r="M560" s="73" t="n">
        <x:f>MAX(M559,F560)</x:f>
        <x:v>1.002</x:v>
      </x:c>
      <x:c r="N560" s="74" t="n">
        <x:f>1-F560/M560</x:f>
        <x:v>0</x:v>
      </x:c>
    </x:row>
    <x:row r="561" ht="27" customHeight="1">
      <x:c r="A561" s="66" t="str">
        <x:v>SQD620</x:v>
      </x:c>
      <x:c r="B561" s="66" t="str">
        <x:v>深度梦扬量化套利0号</x:v>
      </x:c>
      <x:c r="C561" s="72" t="n">
        <x:v>44368</x:v>
      </x:c>
      <x:c r="D561" s="73" t="n">
        <x:v>1.002</x:v>
      </x:c>
      <x:c r="E561" s="73" t="n">
        <x:v>1.002</x:v>
      </x:c>
      <x:c r="F561" s="73" t="n">
        <x:v>1.002</x:v>
      </x:c>
      <x:c r="G561" s="74" t="n">
        <x:v>0</x:v>
      </x:c>
      <x:c r="H561" s="66" t="str">
        <x:v>深度梦扬量化套利0号净值20260911.xlsx</x:v>
      </x:c>
      <x:c r="I561" s="73" t="str">
        <x:f>""</x:f>
      </x:c>
      <x:c r="J561" s="74" t="str">
        <x:f>""</x:f>
      </x:c>
      <x:c r="K561" s="73" t="str">
        <x:f>""</x:f>
      </x:c>
      <x:c r="L561" s="74" t="str">
        <x:f>""</x:f>
      </x:c>
      <x:c r="M561" s="73" t="n">
        <x:f>MAX(M560,F561)</x:f>
        <x:v>1.002</x:v>
      </x:c>
      <x:c r="N561" s="74" t="n">
        <x:f>1-F561/M561</x:f>
        <x:v>0</x:v>
      </x:c>
    </x:row>
    <x:row r="562" ht="27" customHeight="1">
      <x:c r="A562" s="66" t="str">
        <x:v>SQD620</x:v>
      </x:c>
      <x:c r="B562" s="66" t="str">
        <x:v>深度梦扬量化套利0号</x:v>
      </x:c>
      <x:c r="C562" s="72" t="n">
        <x:v>44369</x:v>
      </x:c>
      <x:c r="D562" s="73" t="n">
        <x:v>1.002</x:v>
      </x:c>
      <x:c r="E562" s="73" t="n">
        <x:v>1.002</x:v>
      </x:c>
      <x:c r="F562" s="73" t="n">
        <x:v>1.002</x:v>
      </x:c>
      <x:c r="G562" s="74" t="n">
        <x:v>0</x:v>
      </x:c>
      <x:c r="H562" s="66" t="str">
        <x:v>深度梦扬量化套利0号净值20260911.xlsx</x:v>
      </x:c>
      <x:c r="I562" s="73" t="str">
        <x:f>""</x:f>
      </x:c>
      <x:c r="J562" s="74" t="str">
        <x:f>""</x:f>
      </x:c>
      <x:c r="K562" s="73" t="str">
        <x:f>""</x:f>
      </x:c>
      <x:c r="L562" s="74" t="str">
        <x:f>""</x:f>
      </x:c>
      <x:c r="M562" s="73" t="n">
        <x:f>MAX(M561,F562)</x:f>
        <x:v>1.002</x:v>
      </x:c>
      <x:c r="N562" s="74" t="n">
        <x:f>1-F562/M562</x:f>
        <x:v>0</x:v>
      </x:c>
    </x:row>
    <x:row r="563" ht="27" customHeight="1">
      <x:c r="A563" s="66" t="str">
        <x:v>SQD620</x:v>
      </x:c>
      <x:c r="B563" s="66" t="str">
        <x:v>深度梦扬量化套利0号</x:v>
      </x:c>
      <x:c r="C563" s="72" t="n">
        <x:v>44370</x:v>
      </x:c>
      <x:c r="D563" s="73" t="n">
        <x:v>1.002</x:v>
      </x:c>
      <x:c r="E563" s="73" t="n">
        <x:v>1.002</x:v>
      </x:c>
      <x:c r="F563" s="73" t="n">
        <x:v>1.002</x:v>
      </x:c>
      <x:c r="G563" s="74" t="n">
        <x:v>0</x:v>
      </x:c>
      <x:c r="H563" s="66" t="str">
        <x:v>深度梦扬量化套利0号净值20260911.xlsx</x:v>
      </x:c>
      <x:c r="I563" s="73" t="str">
        <x:f>""</x:f>
      </x:c>
      <x:c r="J563" s="74" t="str">
        <x:f>""</x:f>
      </x:c>
      <x:c r="K563" s="73" t="str">
        <x:f>""</x:f>
      </x:c>
      <x:c r="L563" s="74" t="str">
        <x:f>""</x:f>
      </x:c>
      <x:c r="M563" s="73" t="n">
        <x:f>MAX(M562,F563)</x:f>
        <x:v>1.002</x:v>
      </x:c>
      <x:c r="N563" s="74" t="n">
        <x:f>1-F563/M563</x:f>
        <x:v>0</x:v>
      </x:c>
    </x:row>
    <x:row r="564" ht="27" customHeight="1">
      <x:c r="A564" s="66" t="str">
        <x:v>SQD620</x:v>
      </x:c>
      <x:c r="B564" s="66" t="str">
        <x:v>深度梦扬量化套利0号</x:v>
      </x:c>
      <x:c r="C564" s="72" t="n">
        <x:v>44371</x:v>
      </x:c>
      <x:c r="D564" s="73" t="n">
        <x:v>1.002</x:v>
      </x:c>
      <x:c r="E564" s="73" t="n">
        <x:v>1.002</x:v>
      </x:c>
      <x:c r="F564" s="73" t="n">
        <x:v>1.002</x:v>
      </x:c>
      <x:c r="G564" s="74" t="n">
        <x:v>0</x:v>
      </x:c>
      <x:c r="H564" s="66" t="str">
        <x:v>深度梦扬量化套利0号净值20260911.xlsx</x:v>
      </x:c>
      <x:c r="I564" s="73" t="str">
        <x:f>""</x:f>
      </x:c>
      <x:c r="J564" s="74" t="str">
        <x:f>""</x:f>
      </x:c>
      <x:c r="K564" s="73" t="str">
        <x:f>""</x:f>
      </x:c>
      <x:c r="L564" s="74" t="str">
        <x:f>""</x:f>
      </x:c>
      <x:c r="M564" s="73" t="n">
        <x:f>MAX(M563,F564)</x:f>
        <x:v>1.002</x:v>
      </x:c>
      <x:c r="N564" s="74" t="n">
        <x:f>1-F564/M564</x:f>
        <x:v>0</x:v>
      </x:c>
    </x:row>
    <x:row r="565" ht="27" customHeight="1">
      <x:c r="A565" s="66" t="str">
        <x:v>SQD620</x:v>
      </x:c>
      <x:c r="B565" s="66" t="str">
        <x:v>深度梦扬量化套利0号</x:v>
      </x:c>
      <x:c r="C565" s="72" t="n">
        <x:v>44372</x:v>
      </x:c>
      <x:c r="D565" s="73" t="n">
        <x:v>1.002</x:v>
      </x:c>
      <x:c r="E565" s="73" t="n">
        <x:v>1.002</x:v>
      </x:c>
      <x:c r="F565" s="73" t="n">
        <x:v>1.002</x:v>
      </x:c>
      <x:c r="G565" s="74" t="n">
        <x:v>0</x:v>
      </x:c>
      <x:c r="H565" s="66" t="str">
        <x:v>深度梦扬量化套利0号净值20260911.xlsx</x:v>
      </x:c>
      <x:c r="I565" s="73" t="str">
        <x:f>""</x:f>
      </x:c>
      <x:c r="J565" s="74" t="str">
        <x:f>""</x:f>
      </x:c>
      <x:c r="K565" s="73" t="str">
        <x:f>""</x:f>
      </x:c>
      <x:c r="L565" s="74" t="str">
        <x:f>""</x:f>
      </x:c>
      <x:c r="M565" s="73" t="n">
        <x:f>MAX(M564,F565)</x:f>
        <x:v>1.002</x:v>
      </x:c>
      <x:c r="N565" s="74" t="n">
        <x:f>1-F565/M565</x:f>
        <x:v>0</x:v>
      </x:c>
    </x:row>
    <x:row r="566" ht="27" customHeight="1">
      <x:c r="A566" s="66" t="str">
        <x:v>SQD620</x:v>
      </x:c>
      <x:c r="B566" s="66" t="str">
        <x:v>深度梦扬量化套利0号</x:v>
      </x:c>
      <x:c r="C566" s="72" t="n">
        <x:v>44375</x:v>
      </x:c>
      <x:c r="D566" s="73" t="n">
        <x:v>1.003</x:v>
      </x:c>
      <x:c r="E566" s="73" t="n">
        <x:v>1.003</x:v>
      </x:c>
      <x:c r="F566" s="73" t="n">
        <x:v>1.003</x:v>
      </x:c>
      <x:c r="G566" s="74" t="n">
        <x:v>0.001</x:v>
      </x:c>
      <x:c r="H566" s="66" t="str">
        <x:v>深度梦扬量化套利0号净值20260911.xlsx</x:v>
      </x:c>
      <x:c r="I566" s="73" t="str">
        <x:f>""</x:f>
      </x:c>
      <x:c r="J566" s="74" t="str">
        <x:f>""</x:f>
      </x:c>
      <x:c r="K566" s="73" t="str">
        <x:f>""</x:f>
      </x:c>
      <x:c r="L566" s="74" t="str">
        <x:f>""</x:f>
      </x:c>
      <x:c r="M566" s="73" t="n">
        <x:f>MAX(M565,F566)</x:f>
        <x:v>1.003</x:v>
      </x:c>
      <x:c r="N566" s="74" t="n">
        <x:f>1-F566/M566</x:f>
        <x:v>0</x:v>
      </x:c>
    </x:row>
    <x:row r="567" ht="27" customHeight="1">
      <x:c r="A567" s="66" t="str">
        <x:v>SQD620</x:v>
      </x:c>
      <x:c r="B567" s="66" t="str">
        <x:v>深度梦扬量化套利0号</x:v>
      </x:c>
      <x:c r="C567" s="72" t="n">
        <x:v>44376</x:v>
      </x:c>
      <x:c r="D567" s="73" t="n">
        <x:v>1.003</x:v>
      </x:c>
      <x:c r="E567" s="73" t="n">
        <x:v>1.003</x:v>
      </x:c>
      <x:c r="F567" s="73" t="n">
        <x:v>1.003</x:v>
      </x:c>
      <x:c r="G567" s="74" t="n">
        <x:v>0</x:v>
      </x:c>
      <x:c r="H567" s="66" t="str">
        <x:v>深度梦扬量化套利0号净值20260911.xlsx</x:v>
      </x:c>
      <x:c r="I567" s="73" t="str">
        <x:f>""</x:f>
      </x:c>
      <x:c r="J567" s="74" t="str">
        <x:f>""</x:f>
      </x:c>
      <x:c r="K567" s="73" t="str">
        <x:f>""</x:f>
      </x:c>
      <x:c r="L567" s="74" t="str">
        <x:f>""</x:f>
      </x:c>
      <x:c r="M567" s="73" t="n">
        <x:f>MAX(M566,F567)</x:f>
        <x:v>1.003</x:v>
      </x:c>
      <x:c r="N567" s="74" t="n">
        <x:f>1-F567/M567</x:f>
        <x:v>0</x:v>
      </x:c>
    </x:row>
    <x:row r="568" ht="27" customHeight="1">
      <x:c r="A568" s="66" t="str">
        <x:v>SQD620</x:v>
      </x:c>
      <x:c r="B568" s="66" t="str">
        <x:v>深度梦扬量化套利0号</x:v>
      </x:c>
      <x:c r="C568" s="72" t="n">
        <x:v>44377</x:v>
      </x:c>
      <x:c r="D568" s="73" t="n">
        <x:v>1.003</x:v>
      </x:c>
      <x:c r="E568" s="73" t="n">
        <x:v>1.003</x:v>
      </x:c>
      <x:c r="F568" s="73" t="n">
        <x:v>1.003</x:v>
      </x:c>
      <x:c r="G568" s="74" t="n">
        <x:v>0</x:v>
      </x:c>
      <x:c r="H568" s="66" t="str">
        <x:v>深度梦扬量化套利0号净值20260911.xlsx</x:v>
      </x:c>
      <x:c r="I568" s="73" t="str">
        <x:f>""</x:f>
      </x:c>
      <x:c r="J568" s="74" t="str">
        <x:f>""</x:f>
      </x:c>
      <x:c r="K568" s="73" t="str">
        <x:f>""</x:f>
      </x:c>
      <x:c r="L568" s="74" t="str">
        <x:f>""</x:f>
      </x:c>
      <x:c r="M568" s="73" t="n">
        <x:f>MAX(M567,F568)</x:f>
        <x:v>1.003</x:v>
      </x:c>
      <x:c r="N568" s="74" t="n">
        <x:f>1-F568/M568</x:f>
        <x:v>0</x:v>
      </x:c>
    </x:row>
    <x:row r="569" ht="27" customHeight="1">
      <x:c r="A569" s="66" t="str">
        <x:v>SQD620</x:v>
      </x:c>
      <x:c r="B569" s="66" t="str">
        <x:v>深度梦扬量化套利0号</x:v>
      </x:c>
      <x:c r="C569" s="72" t="n">
        <x:v>44378</x:v>
      </x:c>
      <x:c r="D569" s="73" t="n">
        <x:v>1.003</x:v>
      </x:c>
      <x:c r="E569" s="73" t="n">
        <x:v>1.003</x:v>
      </x:c>
      <x:c r="F569" s="73" t="n">
        <x:v>1.003</x:v>
      </x:c>
      <x:c r="G569" s="74" t="n">
        <x:v>0</x:v>
      </x:c>
      <x:c r="H569" s="66" t="str">
        <x:v>深度梦扬量化套利0号净值20260911.xlsx</x:v>
      </x:c>
      <x:c r="I569" s="73" t="str">
        <x:f>""</x:f>
      </x:c>
      <x:c r="J569" s="74" t="str">
        <x:f>""</x:f>
      </x:c>
      <x:c r="K569" s="73" t="str">
        <x:f>""</x:f>
      </x:c>
      <x:c r="L569" s="74" t="str">
        <x:f>""</x:f>
      </x:c>
      <x:c r="M569" s="73" t="n">
        <x:f>MAX(M568,F569)</x:f>
        <x:v>1.003</x:v>
      </x:c>
      <x:c r="N569" s="74" t="n">
        <x:f>1-F569/M569</x:f>
        <x:v>0</x:v>
      </x:c>
    </x:row>
    <x:row r="570" ht="27" customHeight="1">
      <x:c r="A570" s="66" t="str">
        <x:v>SQD620</x:v>
      </x:c>
      <x:c r="B570" s="66" t="str">
        <x:v>深度梦扬量化套利0号</x:v>
      </x:c>
      <x:c r="C570" s="72" t="n">
        <x:v>44379</x:v>
      </x:c>
      <x:c r="D570" s="73" t="n">
        <x:v>1.003</x:v>
      </x:c>
      <x:c r="E570" s="73" t="n">
        <x:v>1.003</x:v>
      </x:c>
      <x:c r="F570" s="73" t="n">
        <x:v>1.003</x:v>
      </x:c>
      <x:c r="G570" s="74" t="n">
        <x:v>0</x:v>
      </x:c>
      <x:c r="H570" s="66" t="str">
        <x:v>深度梦扬量化套利0号净值20260911.xlsx</x:v>
      </x:c>
      <x:c r="I570" s="73" t="str">
        <x:f>""</x:f>
      </x:c>
      <x:c r="J570" s="74" t="str">
        <x:f>""</x:f>
      </x:c>
      <x:c r="K570" s="73" t="str">
        <x:f>""</x:f>
      </x:c>
      <x:c r="L570" s="74" t="str">
        <x:f>""</x:f>
      </x:c>
      <x:c r="M570" s="73" t="n">
        <x:f>MAX(M569,F570)</x:f>
        <x:v>1.003</x:v>
      </x:c>
      <x:c r="N570" s="74" t="n">
        <x:f>1-F570/M570</x:f>
        <x:v>0</x:v>
      </x:c>
    </x:row>
    <x:row r="571" ht="27" customHeight="1">
      <x:c r="A571" s="66" t="str">
        <x:v>SQD620</x:v>
      </x:c>
      <x:c r="B571" s="66" t="str">
        <x:v>深度梦扬量化套利0号</x:v>
      </x:c>
      <x:c r="C571" s="72" t="n">
        <x:v>44382</x:v>
      </x:c>
      <x:c r="D571" s="73" t="n">
        <x:v>1.003</x:v>
      </x:c>
      <x:c r="E571" s="73" t="n">
        <x:v>1.003</x:v>
      </x:c>
      <x:c r="F571" s="73" t="n">
        <x:v>1.003</x:v>
      </x:c>
      <x:c r="G571" s="74" t="n">
        <x:v>0</x:v>
      </x:c>
      <x:c r="H571" s="66" t="str">
        <x:v>深度梦扬量化套利0号净值20260911.xlsx</x:v>
      </x:c>
      <x:c r="I571" s="73" t="str">
        <x:f>""</x:f>
      </x:c>
      <x:c r="J571" s="74" t="str">
        <x:f>""</x:f>
      </x:c>
      <x:c r="K571" s="73" t="str">
        <x:f>""</x:f>
      </x:c>
      <x:c r="L571" s="74" t="str">
        <x:f>""</x:f>
      </x:c>
      <x:c r="M571" s="73" t="n">
        <x:f>MAX(M570,F571)</x:f>
        <x:v>1.003</x:v>
      </x:c>
      <x:c r="N571" s="74" t="n">
        <x:f>1-F571/M571</x:f>
        <x:v>0</x:v>
      </x:c>
    </x:row>
    <x:row r="572" ht="27" customHeight="1">
      <x:c r="A572" s="66" t="str">
        <x:v>SQD620</x:v>
      </x:c>
      <x:c r="B572" s="66" t="str">
        <x:v>深度梦扬量化套利0号</x:v>
      </x:c>
      <x:c r="C572" s="72" t="n">
        <x:v>44383</x:v>
      </x:c>
      <x:c r="D572" s="73" t="n">
        <x:v>1.003</x:v>
      </x:c>
      <x:c r="E572" s="73" t="n">
        <x:v>1.003</x:v>
      </x:c>
      <x:c r="F572" s="73" t="n">
        <x:v>1.003</x:v>
      </x:c>
      <x:c r="G572" s="74" t="n">
        <x:v>0</x:v>
      </x:c>
      <x:c r="H572" s="66" t="str">
        <x:v>深度梦扬量化套利0号净值20260911.xlsx</x:v>
      </x:c>
      <x:c r="I572" s="73" t="str">
        <x:f>""</x:f>
      </x:c>
      <x:c r="J572" s="74" t="str">
        <x:f>""</x:f>
      </x:c>
      <x:c r="K572" s="73" t="str">
        <x:f>""</x:f>
      </x:c>
      <x:c r="L572" s="74" t="str">
        <x:f>""</x:f>
      </x:c>
      <x:c r="M572" s="73" t="n">
        <x:f>MAX(M571,F572)</x:f>
        <x:v>1.003</x:v>
      </x:c>
      <x:c r="N572" s="74" t="n">
        <x:f>1-F572/M572</x:f>
        <x:v>0</x:v>
      </x:c>
    </x:row>
    <x:row r="573" ht="27" customHeight="1">
      <x:c r="A573" s="66" t="str">
        <x:v>SQD620</x:v>
      </x:c>
      <x:c r="B573" s="66" t="str">
        <x:v>深度梦扬量化套利0号</x:v>
      </x:c>
      <x:c r="C573" s="72" t="n">
        <x:v>44384</x:v>
      </x:c>
      <x:c r="D573" s="73" t="n">
        <x:v>1.003</x:v>
      </x:c>
      <x:c r="E573" s="73" t="n">
        <x:v>1.003</x:v>
      </x:c>
      <x:c r="F573" s="73" t="n">
        <x:v>1.003</x:v>
      </x:c>
      <x:c r="G573" s="74" t="n">
        <x:v>0</x:v>
      </x:c>
      <x:c r="H573" s="66" t="str">
        <x:v>深度梦扬量化套利0号净值20260911.xlsx</x:v>
      </x:c>
      <x:c r="I573" s="73" t="str">
        <x:f>""</x:f>
      </x:c>
      <x:c r="J573" s="74" t="str">
        <x:f>""</x:f>
      </x:c>
      <x:c r="K573" s="73" t="str">
        <x:f>""</x:f>
      </x:c>
      <x:c r="L573" s="74" t="str">
        <x:f>""</x:f>
      </x:c>
      <x:c r="M573" s="73" t="n">
        <x:f>MAX(M572,F573)</x:f>
        <x:v>1.003</x:v>
      </x:c>
      <x:c r="N573" s="74" t="n">
        <x:f>1-F573/M573</x:f>
        <x:v>0</x:v>
      </x:c>
    </x:row>
    <x:row r="574" ht="27" customHeight="1">
      <x:c r="A574" s="66" t="str">
        <x:v>SQD620</x:v>
      </x:c>
      <x:c r="B574" s="66" t="str">
        <x:v>深度梦扬量化套利0号</x:v>
      </x:c>
      <x:c r="C574" s="72" t="n">
        <x:v>44385</x:v>
      </x:c>
      <x:c r="D574" s="73" t="n">
        <x:v>1.003</x:v>
      </x:c>
      <x:c r="E574" s="73" t="n">
        <x:v>1.003</x:v>
      </x:c>
      <x:c r="F574" s="73" t="n">
        <x:v>1.003</x:v>
      </x:c>
      <x:c r="G574" s="74" t="n">
        <x:v>0</x:v>
      </x:c>
      <x:c r="H574" s="66" t="str">
        <x:v>深度梦扬量化套利0号净值20260911.xlsx</x:v>
      </x:c>
      <x:c r="I574" s="73" t="str">
        <x:f>""</x:f>
      </x:c>
      <x:c r="J574" s="74" t="str">
        <x:f>""</x:f>
      </x:c>
      <x:c r="K574" s="73" t="str">
        <x:f>""</x:f>
      </x:c>
      <x:c r="L574" s="74" t="str">
        <x:f>""</x:f>
      </x:c>
      <x:c r="M574" s="73" t="n">
        <x:f>MAX(M573,F574)</x:f>
        <x:v>1.003</x:v>
      </x:c>
      <x:c r="N574" s="74" t="n">
        <x:f>1-F574/M574</x:f>
        <x:v>0</x:v>
      </x:c>
    </x:row>
    <x:row r="575" ht="27" customHeight="1">
      <x:c r="A575" s="66" t="str">
        <x:v>SQD620</x:v>
      </x:c>
      <x:c r="B575" s="66" t="str">
        <x:v>深度梦扬量化套利0号</x:v>
      </x:c>
      <x:c r="C575" s="72" t="n">
        <x:v>44386</x:v>
      </x:c>
      <x:c r="D575" s="73" t="n">
        <x:v>1.003</x:v>
      </x:c>
      <x:c r="E575" s="73" t="n">
        <x:v>1.003</x:v>
      </x:c>
      <x:c r="F575" s="73" t="n">
        <x:v>1.003</x:v>
      </x:c>
      <x:c r="G575" s="74" t="n">
        <x:v>0</x:v>
      </x:c>
      <x:c r="H575" s="66" t="str">
        <x:v>深度梦扬量化套利0号净值20260911.xlsx</x:v>
      </x:c>
      <x:c r="I575" s="73" t="str">
        <x:f>""</x:f>
      </x:c>
      <x:c r="J575" s="74" t="str">
        <x:f>""</x:f>
      </x:c>
      <x:c r="K575" s="73" t="str">
        <x:f>""</x:f>
      </x:c>
      <x:c r="L575" s="74" t="str">
        <x:f>""</x:f>
      </x:c>
      <x:c r="M575" s="73" t="n">
        <x:f>MAX(M574,F575)</x:f>
        <x:v>1.003</x:v>
      </x:c>
      <x:c r="N575" s="74" t="n">
        <x:f>1-F575/M575</x:f>
        <x:v>0</x:v>
      </x:c>
    </x:row>
    <x:row r="576" ht="27" customHeight="1">
      <x:c r="A576" s="66" t="str">
        <x:v>SQD620</x:v>
      </x:c>
      <x:c r="B576" s="66" t="str">
        <x:v>深度梦扬量化套利0号</x:v>
      </x:c>
      <x:c r="C576" s="72" t="n">
        <x:v>44389</x:v>
      </x:c>
      <x:c r="D576" s="73" t="n">
        <x:v>1.003</x:v>
      </x:c>
      <x:c r="E576" s="73" t="n">
        <x:v>1.003</x:v>
      </x:c>
      <x:c r="F576" s="73" t="n">
        <x:v>1.003</x:v>
      </x:c>
      <x:c r="G576" s="74" t="n">
        <x:v>0</x:v>
      </x:c>
      <x:c r="H576" s="66" t="str">
        <x:v>深度梦扬量化套利0号净值20260911.xlsx</x:v>
      </x:c>
      <x:c r="I576" s="73" t="str">
        <x:f>""</x:f>
      </x:c>
      <x:c r="J576" s="74" t="str">
        <x:f>""</x:f>
      </x:c>
      <x:c r="K576" s="73" t="str">
        <x:f>""</x:f>
      </x:c>
      <x:c r="L576" s="74" t="str">
        <x:f>""</x:f>
      </x:c>
      <x:c r="M576" s="73" t="n">
        <x:f>MAX(M575,F576)</x:f>
        <x:v>1.003</x:v>
      </x:c>
      <x:c r="N576" s="74" t="n">
        <x:f>1-F576/M576</x:f>
        <x:v>0</x:v>
      </x:c>
    </x:row>
    <x:row r="577" ht="27" customHeight="1">
      <x:c r="A577" s="66" t="str">
        <x:v>SQD620</x:v>
      </x:c>
      <x:c r="B577" s="66" t="str">
        <x:v>深度梦扬量化套利0号</x:v>
      </x:c>
      <x:c r="C577" s="72" t="n">
        <x:v>44390</x:v>
      </x:c>
      <x:c r="D577" s="73" t="n">
        <x:v>1.003</x:v>
      </x:c>
      <x:c r="E577" s="73" t="n">
        <x:v>1.003</x:v>
      </x:c>
      <x:c r="F577" s="73" t="n">
        <x:v>1.003</x:v>
      </x:c>
      <x:c r="G577" s="74" t="n">
        <x:v>0</x:v>
      </x:c>
      <x:c r="H577" s="66" t="str">
        <x:v>深度梦扬量化套利0号净值20260911.xlsx</x:v>
      </x:c>
      <x:c r="I577" s="73" t="str">
        <x:f>""</x:f>
      </x:c>
      <x:c r="J577" s="74" t="str">
        <x:f>""</x:f>
      </x:c>
      <x:c r="K577" s="73" t="str">
        <x:f>""</x:f>
      </x:c>
      <x:c r="L577" s="74" t="str">
        <x:f>""</x:f>
      </x:c>
      <x:c r="M577" s="73" t="n">
        <x:f>MAX(M576,F577)</x:f>
        <x:v>1.003</x:v>
      </x:c>
      <x:c r="N577" s="74" t="n">
        <x:f>1-F577/M577</x:f>
        <x:v>0</x:v>
      </x:c>
    </x:row>
    <x:row r="578" ht="27" customHeight="1">
      <x:c r="A578" s="66" t="str">
        <x:v>SQD620</x:v>
      </x:c>
      <x:c r="B578" s="66" t="str">
        <x:v>深度梦扬量化套利0号</x:v>
      </x:c>
      <x:c r="C578" s="72" t="n">
        <x:v>44391</x:v>
      </x:c>
      <x:c r="D578" s="73" t="n">
        <x:v>1.003</x:v>
      </x:c>
      <x:c r="E578" s="73" t="n">
        <x:v>1.003</x:v>
      </x:c>
      <x:c r="F578" s="73" t="n">
        <x:v>1.003</x:v>
      </x:c>
      <x:c r="G578" s="74" t="n">
        <x:v>0</x:v>
      </x:c>
      <x:c r="H578" s="66" t="str">
        <x:v>深度梦扬量化套利0号净值20260911.xlsx</x:v>
      </x:c>
      <x:c r="I578" s="73" t="str">
        <x:f>""</x:f>
      </x:c>
      <x:c r="J578" s="74" t="str">
        <x:f>""</x:f>
      </x:c>
      <x:c r="K578" s="73" t="str">
        <x:f>""</x:f>
      </x:c>
      <x:c r="L578" s="74" t="str">
        <x:f>""</x:f>
      </x:c>
      <x:c r="M578" s="73" t="n">
        <x:f>MAX(M577,F578)</x:f>
        <x:v>1.003</x:v>
      </x:c>
      <x:c r="N578" s="74" t="n">
        <x:f>1-F578/M578</x:f>
        <x:v>0</x:v>
      </x:c>
    </x:row>
    <x:row r="579" ht="27" customHeight="1">
      <x:c r="A579" s="66" t="str">
        <x:v>SQD620</x:v>
      </x:c>
      <x:c r="B579" s="66" t="str">
        <x:v>深度梦扬量化套利0号</x:v>
      </x:c>
      <x:c r="C579" s="72" t="n">
        <x:v>44392</x:v>
      </x:c>
      <x:c r="D579" s="73" t="n">
        <x:v>1.003</x:v>
      </x:c>
      <x:c r="E579" s="73" t="n">
        <x:v>1.003</x:v>
      </x:c>
      <x:c r="F579" s="73" t="n">
        <x:v>1.003</x:v>
      </x:c>
      <x:c r="G579" s="74" t="n">
        <x:v>0</x:v>
      </x:c>
      <x:c r="H579" s="66" t="str">
        <x:v>深度梦扬量化套利0号净值20260911.xlsx</x:v>
      </x:c>
      <x:c r="I579" s="73" t="str">
        <x:f>""</x:f>
      </x:c>
      <x:c r="J579" s="74" t="str">
        <x:f>""</x:f>
      </x:c>
      <x:c r="K579" s="73" t="str">
        <x:f>""</x:f>
      </x:c>
      <x:c r="L579" s="74" t="str">
        <x:f>""</x:f>
      </x:c>
      <x:c r="M579" s="73" t="n">
        <x:f>MAX(M578,F579)</x:f>
        <x:v>1.003</x:v>
      </x:c>
      <x:c r="N579" s="74" t="n">
        <x:f>1-F579/M579</x:f>
        <x:v>0</x:v>
      </x:c>
    </x:row>
    <x:row r="580" ht="27" customHeight="1">
      <x:c r="A580" s="66" t="str">
        <x:v>SQD620</x:v>
      </x:c>
      <x:c r="B580" s="66" t="str">
        <x:v>深度梦扬量化套利0号</x:v>
      </x:c>
      <x:c r="C580" s="72" t="n">
        <x:v>44393</x:v>
      </x:c>
      <x:c r="D580" s="73" t="n">
        <x:v>1.003</x:v>
      </x:c>
      <x:c r="E580" s="73" t="n">
        <x:v>1.003</x:v>
      </x:c>
      <x:c r="F580" s="73" t="n">
        <x:v>1.003</x:v>
      </x:c>
      <x:c r="G580" s="74" t="n">
        <x:v>0</x:v>
      </x:c>
      <x:c r="H580" s="66" t="str">
        <x:v>深度梦扬量化套利0号净值20260911.xlsx</x:v>
      </x:c>
      <x:c r="I580" s="73" t="str">
        <x:f>""</x:f>
      </x:c>
      <x:c r="J580" s="74" t="str">
        <x:f>""</x:f>
      </x:c>
      <x:c r="K580" s="73" t="str">
        <x:f>""</x:f>
      </x:c>
      <x:c r="L580" s="74" t="str">
        <x:f>""</x:f>
      </x:c>
      <x:c r="M580" s="73" t="n">
        <x:f>MAX(M579,F580)</x:f>
        <x:v>1.003</x:v>
      </x:c>
      <x:c r="N580" s="74" t="n">
        <x:f>1-F580/M580</x:f>
        <x:v>0</x:v>
      </x:c>
    </x:row>
    <x:row r="581" ht="27" customHeight="1">
      <x:c r="A581" s="66" t="str">
        <x:v>SQD620</x:v>
      </x:c>
      <x:c r="B581" s="66" t="str">
        <x:v>深度梦扬量化套利0号</x:v>
      </x:c>
      <x:c r="C581" s="72" t="n">
        <x:v>44396</x:v>
      </x:c>
      <x:c r="D581" s="73" t="n">
        <x:v>1.004</x:v>
      </x:c>
      <x:c r="E581" s="73" t="n">
        <x:v>1.004</x:v>
      </x:c>
      <x:c r="F581" s="73" t="n">
        <x:v>1.004</x:v>
      </x:c>
      <x:c r="G581" s="74" t="n">
        <x:v>0.001</x:v>
      </x:c>
      <x:c r="H581" s="66" t="str">
        <x:v>深度梦扬量化套利0号净值20260911.xlsx</x:v>
      </x:c>
      <x:c r="I581" s="73" t="str">
        <x:f>""</x:f>
      </x:c>
      <x:c r="J581" s="74" t="str">
        <x:f>""</x:f>
      </x:c>
      <x:c r="K581" s="73" t="str">
        <x:f>""</x:f>
      </x:c>
      <x:c r="L581" s="74" t="str">
        <x:f>""</x:f>
      </x:c>
      <x:c r="M581" s="73" t="n">
        <x:f>MAX(M580,F581)</x:f>
        <x:v>1.004</x:v>
      </x:c>
      <x:c r="N581" s="74" t="n">
        <x:f>1-F581/M581</x:f>
        <x:v>0</x:v>
      </x:c>
    </x:row>
    <x:row r="582" ht="27" customHeight="1">
      <x:c r="A582" s="66" t="str">
        <x:v>SQD620</x:v>
      </x:c>
      <x:c r="B582" s="66" t="str">
        <x:v>深度梦扬量化套利0号</x:v>
      </x:c>
      <x:c r="C582" s="72" t="n">
        <x:v>44397</x:v>
      </x:c>
      <x:c r="D582" s="73" t="n">
        <x:v>1.004</x:v>
      </x:c>
      <x:c r="E582" s="73" t="n">
        <x:v>1.004</x:v>
      </x:c>
      <x:c r="F582" s="73" t="n">
        <x:v>1.004</x:v>
      </x:c>
      <x:c r="G582" s="74" t="n">
        <x:v>0</x:v>
      </x:c>
      <x:c r="H582" s="66" t="str">
        <x:v>深度梦扬量化套利0号净值20260911.xlsx</x:v>
      </x:c>
      <x:c r="I582" s="73" t="str">
        <x:f>""</x:f>
      </x:c>
      <x:c r="J582" s="74" t="str">
        <x:f>""</x:f>
      </x:c>
      <x:c r="K582" s="73" t="str">
        <x:f>""</x:f>
      </x:c>
      <x:c r="L582" s="74" t="str">
        <x:f>""</x:f>
      </x:c>
      <x:c r="M582" s="73" t="n">
        <x:f>MAX(M581,F582)</x:f>
        <x:v>1.004</x:v>
      </x:c>
      <x:c r="N582" s="74" t="n">
        <x:f>1-F582/M582</x:f>
        <x:v>0</x:v>
      </x:c>
    </x:row>
    <x:row r="583" ht="27" customHeight="1">
      <x:c r="A583" s="66" t="str">
        <x:v>SQD620</x:v>
      </x:c>
      <x:c r="B583" s="66" t="str">
        <x:v>深度梦扬量化套利0号</x:v>
      </x:c>
      <x:c r="C583" s="72" t="n">
        <x:v>44398</x:v>
      </x:c>
      <x:c r="D583" s="73" t="n">
        <x:v>1.004</x:v>
      </x:c>
      <x:c r="E583" s="73" t="n">
        <x:v>1.004</x:v>
      </x:c>
      <x:c r="F583" s="73" t="n">
        <x:v>1.004</x:v>
      </x:c>
      <x:c r="G583" s="74" t="n">
        <x:v>0</x:v>
      </x:c>
      <x:c r="H583" s="66" t="str">
        <x:v>深度梦扬量化套利0号净值20260911.xlsx</x:v>
      </x:c>
      <x:c r="I583" s="73" t="str">
        <x:f>""</x:f>
      </x:c>
      <x:c r="J583" s="74" t="str">
        <x:f>""</x:f>
      </x:c>
      <x:c r="K583" s="73" t="str">
        <x:f>""</x:f>
      </x:c>
      <x:c r="L583" s="74" t="str">
        <x:f>""</x:f>
      </x:c>
      <x:c r="M583" s="73" t="n">
        <x:f>MAX(M582,F583)</x:f>
        <x:v>1.004</x:v>
      </x:c>
      <x:c r="N583" s="74" t="n">
        <x:f>1-F583/M583</x:f>
        <x:v>0</x:v>
      </x:c>
    </x:row>
    <x:row r="584" ht="27" customHeight="1">
      <x:c r="A584" s="66" t="str">
        <x:v>SQD620</x:v>
      </x:c>
      <x:c r="B584" s="66" t="str">
        <x:v>深度梦扬量化套利0号</x:v>
      </x:c>
      <x:c r="C584" s="72" t="n">
        <x:v>44399</x:v>
      </x:c>
      <x:c r="D584" s="73" t="n">
        <x:v>1.004</x:v>
      </x:c>
      <x:c r="E584" s="73" t="n">
        <x:v>1.004</x:v>
      </x:c>
      <x:c r="F584" s="73" t="n">
        <x:v>1.004</x:v>
      </x:c>
      <x:c r="G584" s="74" t="n">
        <x:v>0</x:v>
      </x:c>
      <x:c r="H584" s="66" t="str">
        <x:v>深度梦扬量化套利0号净值20260911.xlsx</x:v>
      </x:c>
      <x:c r="I584" s="73" t="str">
        <x:f>""</x:f>
      </x:c>
      <x:c r="J584" s="74" t="str">
        <x:f>""</x:f>
      </x:c>
      <x:c r="K584" s="73" t="str">
        <x:f>""</x:f>
      </x:c>
      <x:c r="L584" s="74" t="str">
        <x:f>""</x:f>
      </x:c>
      <x:c r="M584" s="73" t="n">
        <x:f>MAX(M583,F584)</x:f>
        <x:v>1.004</x:v>
      </x:c>
      <x:c r="N584" s="74" t="n">
        <x:f>1-F584/M584</x:f>
        <x:v>0</x:v>
      </x:c>
    </x:row>
    <x:row r="585" ht="27" customHeight="1">
      <x:c r="A585" s="66" t="str">
        <x:v>SQD620</x:v>
      </x:c>
      <x:c r="B585" s="66" t="str">
        <x:v>深度梦扬量化套利0号</x:v>
      </x:c>
      <x:c r="C585" s="72" t="n">
        <x:v>44400</x:v>
      </x:c>
      <x:c r="D585" s="73" t="n">
        <x:v>1.004</x:v>
      </x:c>
      <x:c r="E585" s="73" t="n">
        <x:v>1.004</x:v>
      </x:c>
      <x:c r="F585" s="73" t="n">
        <x:v>1.004</x:v>
      </x:c>
      <x:c r="G585" s="74" t="n">
        <x:v>0</x:v>
      </x:c>
      <x:c r="H585" s="66" t="str">
        <x:v>深度梦扬量化套利0号净值20260911.xlsx</x:v>
      </x:c>
      <x:c r="I585" s="73" t="str">
        <x:f>""</x:f>
      </x:c>
      <x:c r="J585" s="74" t="str">
        <x:f>""</x:f>
      </x:c>
      <x:c r="K585" s="73" t="str">
        <x:f>""</x:f>
      </x:c>
      <x:c r="L585" s="74" t="str">
        <x:f>""</x:f>
      </x:c>
      <x:c r="M585" s="73" t="n">
        <x:f>MAX(M584,F585)</x:f>
        <x:v>1.004</x:v>
      </x:c>
      <x:c r="N585" s="74" t="n">
        <x:f>1-F585/M585</x:f>
        <x:v>0</x:v>
      </x:c>
    </x:row>
    <x:row r="586" ht="27" customHeight="1">
      <x:c r="A586" s="66" t="str">
        <x:v>SQD620</x:v>
      </x:c>
      <x:c r="B586" s="66" t="str">
        <x:v>深度梦扬量化套利0号</x:v>
      </x:c>
      <x:c r="C586" s="72" t="n">
        <x:v>44403</x:v>
      </x:c>
      <x:c r="D586" s="73" t="n">
        <x:v>1.004</x:v>
      </x:c>
      <x:c r="E586" s="73" t="n">
        <x:v>1.004</x:v>
      </x:c>
      <x:c r="F586" s="73" t="n">
        <x:v>1.004</x:v>
      </x:c>
      <x:c r="G586" s="74" t="n">
        <x:v>0</x:v>
      </x:c>
      <x:c r="H586" s="66" t="str">
        <x:v>深度梦扬量化套利0号净值20260911.xlsx</x:v>
      </x:c>
      <x:c r="I586" s="73" t="str">
        <x:f>""</x:f>
      </x:c>
      <x:c r="J586" s="74" t="str">
        <x:f>""</x:f>
      </x:c>
      <x:c r="K586" s="73" t="str">
        <x:f>""</x:f>
      </x:c>
      <x:c r="L586" s="74" t="str">
        <x:f>""</x:f>
      </x:c>
      <x:c r="M586" s="73" t="n">
        <x:f>MAX(M585,F586)</x:f>
        <x:v>1.004</x:v>
      </x:c>
      <x:c r="N586" s="74" t="n">
        <x:f>1-F586/M586</x:f>
        <x:v>0</x:v>
      </x:c>
    </x:row>
    <x:row r="587" ht="27" customHeight="1">
      <x:c r="A587" s="66" t="str">
        <x:v>SQD620</x:v>
      </x:c>
      <x:c r="B587" s="66" t="str">
        <x:v>深度梦扬量化套利0号</x:v>
      </x:c>
      <x:c r="C587" s="72" t="n">
        <x:v>44404</x:v>
      </x:c>
      <x:c r="D587" s="73" t="n">
        <x:v>1.004</x:v>
      </x:c>
      <x:c r="E587" s="73" t="n">
        <x:v>1.004</x:v>
      </x:c>
      <x:c r="F587" s="73" t="n">
        <x:v>1.004</x:v>
      </x:c>
      <x:c r="G587" s="74" t="n">
        <x:v>0</x:v>
      </x:c>
      <x:c r="H587" s="66" t="str">
        <x:v>深度梦扬量化套利0号净值20260911.xlsx</x:v>
      </x:c>
      <x:c r="I587" s="73" t="str">
        <x:f>""</x:f>
      </x:c>
      <x:c r="J587" s="74" t="str">
        <x:f>""</x:f>
      </x:c>
      <x:c r="K587" s="73" t="str">
        <x:f>""</x:f>
      </x:c>
      <x:c r="L587" s="74" t="str">
        <x:f>""</x:f>
      </x:c>
      <x:c r="M587" s="73" t="n">
        <x:f>MAX(M586,F587)</x:f>
        <x:v>1.004</x:v>
      </x:c>
      <x:c r="N587" s="74" t="n">
        <x:f>1-F587/M587</x:f>
        <x:v>0</x:v>
      </x:c>
    </x:row>
    <x:row r="588" ht="27" customHeight="1">
      <x:c r="A588" s="66" t="str">
        <x:v>SQD620</x:v>
      </x:c>
      <x:c r="B588" s="66" t="str">
        <x:v>深度梦扬量化套利0号</x:v>
      </x:c>
      <x:c r="C588" s="72" t="n">
        <x:v>44405</x:v>
      </x:c>
      <x:c r="D588" s="73" t="n">
        <x:v>1.004</x:v>
      </x:c>
      <x:c r="E588" s="73" t="n">
        <x:v>1.004</x:v>
      </x:c>
      <x:c r="F588" s="73" t="n">
        <x:v>1.004</x:v>
      </x:c>
      <x:c r="G588" s="74" t="n">
        <x:v>0</x:v>
      </x:c>
      <x:c r="H588" s="66" t="str">
        <x:v>深度梦扬量化套利0号净值20260911.xlsx</x:v>
      </x:c>
      <x:c r="I588" s="73" t="str">
        <x:f>""</x:f>
      </x:c>
      <x:c r="J588" s="74" t="str">
        <x:f>""</x:f>
      </x:c>
      <x:c r="K588" s="73" t="str">
        <x:f>""</x:f>
      </x:c>
      <x:c r="L588" s="74" t="str">
        <x:f>""</x:f>
      </x:c>
      <x:c r="M588" s="73" t="n">
        <x:f>MAX(M587,F588)</x:f>
        <x:v>1.004</x:v>
      </x:c>
      <x:c r="N588" s="74" t="n">
        <x:f>1-F588/M588</x:f>
        <x:v>0</x:v>
      </x:c>
    </x:row>
    <x:row r="589" ht="27" customHeight="1">
      <x:c r="A589" s="66" t="str">
        <x:v>SQD620</x:v>
      </x:c>
      <x:c r="B589" s="66" t="str">
        <x:v>深度梦扬量化套利0号</x:v>
      </x:c>
      <x:c r="C589" s="72" t="n">
        <x:v>44406</x:v>
      </x:c>
      <x:c r="D589" s="73" t="n">
        <x:v>1.004</x:v>
      </x:c>
      <x:c r="E589" s="73" t="n">
        <x:v>1.004</x:v>
      </x:c>
      <x:c r="F589" s="73" t="n">
        <x:v>1.004</x:v>
      </x:c>
      <x:c r="G589" s="74" t="n">
        <x:v>0</x:v>
      </x:c>
      <x:c r="H589" s="66" t="str">
        <x:v>深度梦扬量化套利0号净值20260911.xlsx</x:v>
      </x:c>
      <x:c r="I589" s="73" t="str">
        <x:f>""</x:f>
      </x:c>
      <x:c r="J589" s="74" t="str">
        <x:f>""</x:f>
      </x:c>
      <x:c r="K589" s="73" t="str">
        <x:f>""</x:f>
      </x:c>
      <x:c r="L589" s="74" t="str">
        <x:f>""</x:f>
      </x:c>
      <x:c r="M589" s="73" t="n">
        <x:f>MAX(M588,F589)</x:f>
        <x:v>1.004</x:v>
      </x:c>
      <x:c r="N589" s="74" t="n">
        <x:f>1-F589/M589</x:f>
        <x:v>0</x:v>
      </x:c>
    </x:row>
    <x:row r="590" ht="27" customHeight="1">
      <x:c r="A590" s="66" t="str">
        <x:v>SQD620</x:v>
      </x:c>
      <x:c r="B590" s="66" t="str">
        <x:v>深度梦扬量化套利0号</x:v>
      </x:c>
      <x:c r="C590" s="72" t="n">
        <x:v>44407</x:v>
      </x:c>
      <x:c r="D590" s="73" t="n">
        <x:v>1.004</x:v>
      </x:c>
      <x:c r="E590" s="73" t="n">
        <x:v>1.004</x:v>
      </x:c>
      <x:c r="F590" s="73" t="n">
        <x:v>1.004</x:v>
      </x:c>
      <x:c r="G590" s="74" t="n">
        <x:v>0</x:v>
      </x:c>
      <x:c r="H590" s="66" t="str">
        <x:v>深度梦扬量化套利0号净值20260911.xlsx</x:v>
      </x:c>
      <x:c r="I590" s="73" t="str">
        <x:f>""</x:f>
      </x:c>
      <x:c r="J590" s="74" t="str">
        <x:f>""</x:f>
      </x:c>
      <x:c r="K590" s="73" t="str">
        <x:f>""</x:f>
      </x:c>
      <x:c r="L590" s="74" t="str">
        <x:f>""</x:f>
      </x:c>
      <x:c r="M590" s="73" t="n">
        <x:f>MAX(M589,F590)</x:f>
        <x:v>1.004</x:v>
      </x:c>
      <x:c r="N590" s="74" t="n">
        <x:f>1-F590/M590</x:f>
        <x:v>0</x:v>
      </x:c>
    </x:row>
    <x:row r="591" ht="27" customHeight="1">
      <x:c r="A591" s="66" t="str">
        <x:v>SQD620</x:v>
      </x:c>
      <x:c r="B591" s="66" t="str">
        <x:v>深度梦扬量化套利0号</x:v>
      </x:c>
      <x:c r="C591" s="72" t="n">
        <x:v>44410</x:v>
      </x:c>
      <x:c r="D591" s="73" t="n">
        <x:v>1.004</x:v>
      </x:c>
      <x:c r="E591" s="73" t="n">
        <x:v>1.004</x:v>
      </x:c>
      <x:c r="F591" s="73" t="n">
        <x:v>1.004</x:v>
      </x:c>
      <x:c r="G591" s="74" t="n">
        <x:v>0</x:v>
      </x:c>
      <x:c r="H591" s="66" t="str">
        <x:v>深度梦扬量化套利0号净值20260911.xlsx</x:v>
      </x:c>
      <x:c r="I591" s="73" t="str">
        <x:f>""</x:f>
      </x:c>
      <x:c r="J591" s="74" t="str">
        <x:f>""</x:f>
      </x:c>
      <x:c r="K591" s="73" t="str">
        <x:f>""</x:f>
      </x:c>
      <x:c r="L591" s="74" t="str">
        <x:f>""</x:f>
      </x:c>
      <x:c r="M591" s="73" t="n">
        <x:f>MAX(M590,F591)</x:f>
        <x:v>1.004</x:v>
      </x:c>
      <x:c r="N591" s="74" t="n">
        <x:f>1-F591/M591</x:f>
        <x:v>0</x:v>
      </x:c>
    </x:row>
    <x:row r="592" ht="27" customHeight="1">
      <x:c r="A592" s="66" t="str">
        <x:v>SQD620</x:v>
      </x:c>
      <x:c r="B592" s="66" t="str">
        <x:v>深度梦扬量化套利0号</x:v>
      </x:c>
      <x:c r="C592" s="72" t="n">
        <x:v>44411</x:v>
      </x:c>
      <x:c r="D592" s="73" t="n">
        <x:v>1.004</x:v>
      </x:c>
      <x:c r="E592" s="73" t="n">
        <x:v>1.004</x:v>
      </x:c>
      <x:c r="F592" s="73" t="n">
        <x:v>1.004</x:v>
      </x:c>
      <x:c r="G592" s="74" t="n">
        <x:v>0</x:v>
      </x:c>
      <x:c r="H592" s="66" t="str">
        <x:v>深度梦扬量化套利0号净值20260911.xlsx</x:v>
      </x:c>
      <x:c r="I592" s="73" t="str">
        <x:f>""</x:f>
      </x:c>
      <x:c r="J592" s="74" t="str">
        <x:f>""</x:f>
      </x:c>
      <x:c r="K592" s="73" t="str">
        <x:f>""</x:f>
      </x:c>
      <x:c r="L592" s="74" t="str">
        <x:f>""</x:f>
      </x:c>
      <x:c r="M592" s="73" t="n">
        <x:f>MAX(M591,F592)</x:f>
        <x:v>1.004</x:v>
      </x:c>
      <x:c r="N592" s="74" t="n">
        <x:f>1-F592/M592</x:f>
        <x:v>0</x:v>
      </x:c>
    </x:row>
    <x:row r="593" ht="27" customHeight="1">
      <x:c r="A593" s="66" t="str">
        <x:v>SQD620</x:v>
      </x:c>
      <x:c r="B593" s="66" t="str">
        <x:v>深度梦扬量化套利0号</x:v>
      </x:c>
      <x:c r="C593" s="72" t="n">
        <x:v>44412</x:v>
      </x:c>
      <x:c r="D593" s="73" t="n">
        <x:v>1.004</x:v>
      </x:c>
      <x:c r="E593" s="73" t="n">
        <x:v>1.004</x:v>
      </x:c>
      <x:c r="F593" s="73" t="n">
        <x:v>1.004</x:v>
      </x:c>
      <x:c r="G593" s="74" t="n">
        <x:v>0</x:v>
      </x:c>
      <x:c r="H593" s="66" t="str">
        <x:v>深度梦扬量化套利0号净值20260911.xlsx</x:v>
      </x:c>
      <x:c r="I593" s="73" t="str">
        <x:f>""</x:f>
      </x:c>
      <x:c r="J593" s="74" t="str">
        <x:f>""</x:f>
      </x:c>
      <x:c r="K593" s="73" t="str">
        <x:f>""</x:f>
      </x:c>
      <x:c r="L593" s="74" t="str">
        <x:f>""</x:f>
      </x:c>
      <x:c r="M593" s="73" t="n">
        <x:f>MAX(M592,F593)</x:f>
        <x:v>1.004</x:v>
      </x:c>
      <x:c r="N593" s="74" t="n">
        <x:f>1-F593/M593</x:f>
        <x:v>0</x:v>
      </x:c>
    </x:row>
    <x:row r="594" ht="27" customHeight="1">
      <x:c r="A594" s="66" t="str">
        <x:v>SQD620</x:v>
      </x:c>
      <x:c r="B594" s="66" t="str">
        <x:v>深度梦扬量化套利0号</x:v>
      </x:c>
      <x:c r="C594" s="72" t="n">
        <x:v>44413</x:v>
      </x:c>
      <x:c r="D594" s="73" t="n">
        <x:v>1.004</x:v>
      </x:c>
      <x:c r="E594" s="73" t="n">
        <x:v>1.004</x:v>
      </x:c>
      <x:c r="F594" s="73" t="n">
        <x:v>1.004</x:v>
      </x:c>
      <x:c r="G594" s="74" t="n">
        <x:v>0</x:v>
      </x:c>
      <x:c r="H594" s="66" t="str">
        <x:v>深度梦扬量化套利0号净值20260911.xlsx</x:v>
      </x:c>
      <x:c r="I594" s="73" t="str">
        <x:f>""</x:f>
      </x:c>
      <x:c r="J594" s="74" t="str">
        <x:f>""</x:f>
      </x:c>
      <x:c r="K594" s="73" t="str">
        <x:f>""</x:f>
      </x:c>
      <x:c r="L594" s="74" t="str">
        <x:f>""</x:f>
      </x:c>
      <x:c r="M594" s="73" t="n">
        <x:f>MAX(M593,F594)</x:f>
        <x:v>1.004</x:v>
      </x:c>
      <x:c r="N594" s="74" t="n">
        <x:f>1-F594/M594</x:f>
        <x:v>0</x:v>
      </x:c>
    </x:row>
    <x:row r="595" ht="27" customHeight="1">
      <x:c r="A595" s="66" t="str">
        <x:v>SQD620</x:v>
      </x:c>
      <x:c r="B595" s="66" t="str">
        <x:v>深度梦扬量化套利0号</x:v>
      </x:c>
      <x:c r="C595" s="72" t="n">
        <x:v>44414</x:v>
      </x:c>
      <x:c r="D595" s="73" t="n">
        <x:v>1.004</x:v>
      </x:c>
      <x:c r="E595" s="73" t="n">
        <x:v>1.004</x:v>
      </x:c>
      <x:c r="F595" s="73" t="n">
        <x:v>1.004</x:v>
      </x:c>
      <x:c r="G595" s="74" t="n">
        <x:v>0</x:v>
      </x:c>
      <x:c r="H595" s="66" t="str">
        <x:v>深度梦扬量化套利0号净值20260911.xlsx</x:v>
      </x:c>
      <x:c r="I595" s="73" t="str">
        <x:f>""</x:f>
      </x:c>
      <x:c r="J595" s="74" t="str">
        <x:f>""</x:f>
      </x:c>
      <x:c r="K595" s="73" t="str">
        <x:f>""</x:f>
      </x:c>
      <x:c r="L595" s="74" t="str">
        <x:f>""</x:f>
      </x:c>
      <x:c r="M595" s="73" t="n">
        <x:f>MAX(M594,F595)</x:f>
        <x:v>1.004</x:v>
      </x:c>
      <x:c r="N595" s="74" t="n">
        <x:f>1-F595/M595</x:f>
        <x:v>0</x:v>
      </x:c>
    </x:row>
    <x:row r="596" ht="27" customHeight="1">
      <x:c r="A596" s="66" t="str">
        <x:v>SQD620</x:v>
      </x:c>
      <x:c r="B596" s="66" t="str">
        <x:v>深度梦扬量化套利0号</x:v>
      </x:c>
      <x:c r="C596" s="72" t="n">
        <x:v>44417</x:v>
      </x:c>
      <x:c r="D596" s="73" t="n">
        <x:v>1.004</x:v>
      </x:c>
      <x:c r="E596" s="73" t="n">
        <x:v>1.004</x:v>
      </x:c>
      <x:c r="F596" s="73" t="n">
        <x:v>1.004</x:v>
      </x:c>
      <x:c r="G596" s="74" t="n">
        <x:v>0</x:v>
      </x:c>
      <x:c r="H596" s="66" t="str">
        <x:v>深度梦扬量化套利0号净值20260911.xlsx</x:v>
      </x:c>
      <x:c r="I596" s="73" t="str">
        <x:f>""</x:f>
      </x:c>
      <x:c r="J596" s="74" t="str">
        <x:f>""</x:f>
      </x:c>
      <x:c r="K596" s="73" t="str">
        <x:f>""</x:f>
      </x:c>
      <x:c r="L596" s="74" t="str">
        <x:f>""</x:f>
      </x:c>
      <x:c r="M596" s="73" t="n">
        <x:f>MAX(M595,F596)</x:f>
        <x:v>1.004</x:v>
      </x:c>
      <x:c r="N596" s="74" t="n">
        <x:f>1-F596/M596</x:f>
        <x:v>0</x:v>
      </x:c>
    </x:row>
    <x:row r="597" ht="27" customHeight="1">
      <x:c r="A597" s="66" t="str">
        <x:v>SQD620</x:v>
      </x:c>
      <x:c r="B597" s="66" t="str">
        <x:v>深度梦扬量化套利0号</x:v>
      </x:c>
      <x:c r="C597" s="72" t="n">
        <x:v>44418</x:v>
      </x:c>
      <x:c r="D597" s="73" t="n">
        <x:v>1.004</x:v>
      </x:c>
      <x:c r="E597" s="73" t="n">
        <x:v>1.004</x:v>
      </x:c>
      <x:c r="F597" s="73" t="n">
        <x:v>1.004</x:v>
      </x:c>
      <x:c r="G597" s="74" t="n">
        <x:v>0</x:v>
      </x:c>
      <x:c r="H597" s="66" t="str">
        <x:v>深度梦扬量化套利0号净值20260911.xlsx</x:v>
      </x:c>
      <x:c r="I597" s="73" t="str">
        <x:f>""</x:f>
      </x:c>
      <x:c r="J597" s="74" t="str">
        <x:f>""</x:f>
      </x:c>
      <x:c r="K597" s="73" t="str">
        <x:f>""</x:f>
      </x:c>
      <x:c r="L597" s="74" t="str">
        <x:f>""</x:f>
      </x:c>
      <x:c r="M597" s="73" t="n">
        <x:f>MAX(M596,F597)</x:f>
        <x:v>1.004</x:v>
      </x:c>
      <x:c r="N597" s="74" t="n">
        <x:f>1-F597/M597</x:f>
        <x:v>0</x:v>
      </x:c>
    </x:row>
    <x:row r="598" ht="27" customHeight="1">
      <x:c r="A598" s="66" t="str">
        <x:v>SQD620</x:v>
      </x:c>
      <x:c r="B598" s="66" t="str">
        <x:v>深度梦扬量化套利0号</x:v>
      </x:c>
      <x:c r="C598" s="72" t="n">
        <x:v>44419</x:v>
      </x:c>
      <x:c r="D598" s="73" t="n">
        <x:v>1.004</x:v>
      </x:c>
      <x:c r="E598" s="73" t="n">
        <x:v>1.004</x:v>
      </x:c>
      <x:c r="F598" s="73" t="n">
        <x:v>1.004</x:v>
      </x:c>
      <x:c r="G598" s="74" t="n">
        <x:v>0</x:v>
      </x:c>
      <x:c r="H598" s="66" t="str">
        <x:v>深度梦扬量化套利0号净值20260911.xlsx</x:v>
      </x:c>
      <x:c r="I598" s="73" t="str">
        <x:f>""</x:f>
      </x:c>
      <x:c r="J598" s="74" t="str">
        <x:f>""</x:f>
      </x:c>
      <x:c r="K598" s="73" t="str">
        <x:f>""</x:f>
      </x:c>
      <x:c r="L598" s="74" t="str">
        <x:f>""</x:f>
      </x:c>
      <x:c r="M598" s="73" t="n">
        <x:f>MAX(M597,F598)</x:f>
        <x:v>1.004</x:v>
      </x:c>
      <x:c r="N598" s="74" t="n">
        <x:f>1-F598/M598</x:f>
        <x:v>0</x:v>
      </x:c>
    </x:row>
    <x:row r="599" ht="27" customHeight="1">
      <x:c r="A599" s="66" t="str">
        <x:v>SQD620</x:v>
      </x:c>
      <x:c r="B599" s="66" t="str">
        <x:v>深度梦扬量化套利0号</x:v>
      </x:c>
      <x:c r="C599" s="72" t="n">
        <x:v>44420</x:v>
      </x:c>
      <x:c r="D599" s="73" t="n">
        <x:v>1.004</x:v>
      </x:c>
      <x:c r="E599" s="73" t="n">
        <x:v>1.004</x:v>
      </x:c>
      <x:c r="F599" s="73" t="n">
        <x:v>1.004</x:v>
      </x:c>
      <x:c r="G599" s="74" t="n">
        <x:v>0</x:v>
      </x:c>
      <x:c r="H599" s="66" t="str">
        <x:v>深度梦扬量化套利0号净值20260911.xlsx</x:v>
      </x:c>
      <x:c r="I599" s="73" t="str">
        <x:f>""</x:f>
      </x:c>
      <x:c r="J599" s="74" t="str">
        <x:f>""</x:f>
      </x:c>
      <x:c r="K599" s="73" t="str">
        <x:f>""</x:f>
      </x:c>
      <x:c r="L599" s="74" t="str">
        <x:f>""</x:f>
      </x:c>
      <x:c r="M599" s="73" t="n">
        <x:f>MAX(M598,F599)</x:f>
        <x:v>1.004</x:v>
      </x:c>
      <x:c r="N599" s="74" t="n">
        <x:f>1-F599/M599</x:f>
        <x:v>0</x:v>
      </x:c>
    </x:row>
    <x:row r="600" ht="27" customHeight="1">
      <x:c r="A600" s="66" t="str">
        <x:v>SQD620</x:v>
      </x:c>
      <x:c r="B600" s="66" t="str">
        <x:v>深度梦扬量化套利0号</x:v>
      </x:c>
      <x:c r="C600" s="72" t="n">
        <x:v>44421</x:v>
      </x:c>
      <x:c r="D600" s="73" t="n">
        <x:v>1.003</x:v>
      </x:c>
      <x:c r="E600" s="73" t="n">
        <x:v>1.003</x:v>
      </x:c>
      <x:c r="F600" s="73" t="n">
        <x:v>1.003</x:v>
      </x:c>
      <x:c r="G600" s="74" t="n">
        <x:v>-0.001</x:v>
      </x:c>
      <x:c r="H600" s="66" t="str">
        <x:v>深度梦扬量化套利0号净值20260911.xlsx</x:v>
      </x:c>
      <x:c r="I600" s="73" t="str">
        <x:f>""</x:f>
      </x:c>
      <x:c r="J600" s="74" t="str">
        <x:f>""</x:f>
      </x:c>
      <x:c r="K600" s="73" t="str">
        <x:f>""</x:f>
      </x:c>
      <x:c r="L600" s="74" t="str">
        <x:f>""</x:f>
      </x:c>
      <x:c r="M600" s="73" t="n">
        <x:f>MAX(M599,F600)</x:f>
        <x:v>1.004</x:v>
      </x:c>
      <x:c r="N600" s="74" t="n">
        <x:f>1-F600/M600</x:f>
        <x:v>0.0009960159362550902</x:v>
      </x:c>
    </x:row>
    <x:row r="601" ht="27" customHeight="1">
      <x:c r="A601" s="66" t="str">
        <x:v>SQD620</x:v>
      </x:c>
      <x:c r="B601" s="66" t="str">
        <x:v>深度梦扬量化套利0号</x:v>
      </x:c>
      <x:c r="C601" s="72" t="n">
        <x:v>44424</x:v>
      </x:c>
      <x:c r="D601" s="73" t="n">
        <x:v>1.004</x:v>
      </x:c>
      <x:c r="E601" s="73" t="n">
        <x:v>1.004</x:v>
      </x:c>
      <x:c r="F601" s="73" t="n">
        <x:v>1.004</x:v>
      </x:c>
      <x:c r="G601" s="74" t="n">
        <x:v>0.001</x:v>
      </x:c>
      <x:c r="H601" s="66" t="str">
        <x:v>深度梦扬量化套利0号净值20260911.xlsx</x:v>
      </x:c>
      <x:c r="I601" s="73" t="str">
        <x:f>""</x:f>
      </x:c>
      <x:c r="J601" s="74" t="str">
        <x:f>""</x:f>
      </x:c>
      <x:c r="K601" s="73" t="str">
        <x:f>""</x:f>
      </x:c>
      <x:c r="L601" s="74" t="str">
        <x:f>""</x:f>
      </x:c>
      <x:c r="M601" s="73" t="n">
        <x:f>MAX(M600,F601)</x:f>
        <x:v>1.004</x:v>
      </x:c>
      <x:c r="N601" s="74" t="n">
        <x:f>1-F601/M601</x:f>
        <x:v>0</x:v>
      </x:c>
    </x:row>
    <x:row r="602" ht="27" customHeight="1">
      <x:c r="A602" s="66" t="str">
        <x:v>SQD620</x:v>
      </x:c>
      <x:c r="B602" s="66" t="str">
        <x:v>深度梦扬量化套利0号</x:v>
      </x:c>
      <x:c r="C602" s="72" t="n">
        <x:v>44425</x:v>
      </x:c>
      <x:c r="D602" s="73" t="n">
        <x:v>1.005</x:v>
      </x:c>
      <x:c r="E602" s="73" t="n">
        <x:v>1.005</x:v>
      </x:c>
      <x:c r="F602" s="73" t="n">
        <x:v>1.005</x:v>
      </x:c>
      <x:c r="G602" s="74" t="n">
        <x:v>0.001</x:v>
      </x:c>
      <x:c r="H602" s="66" t="str">
        <x:v>深度梦扬量化套利0号净值20260911.xlsx</x:v>
      </x:c>
      <x:c r="I602" s="73" t="str">
        <x:f>""</x:f>
      </x:c>
      <x:c r="J602" s="74" t="str">
        <x:f>""</x:f>
      </x:c>
      <x:c r="K602" s="73" t="str">
        <x:f>""</x:f>
      </x:c>
      <x:c r="L602" s="74" t="str">
        <x:f>""</x:f>
      </x:c>
      <x:c r="M602" s="73" t="n">
        <x:f>MAX(M601,F602)</x:f>
        <x:v>1.005</x:v>
      </x:c>
      <x:c r="N602" s="74" t="n">
        <x:f>1-F602/M602</x:f>
        <x:v>0</x:v>
      </x:c>
    </x:row>
    <x:row r="603" ht="27" customHeight="1">
      <x:c r="A603" s="66" t="str">
        <x:v>SQD620</x:v>
      </x:c>
      <x:c r="B603" s="66" t="str">
        <x:v>深度梦扬量化套利0号</x:v>
      </x:c>
      <x:c r="C603" s="72" t="n">
        <x:v>44426</x:v>
      </x:c>
      <x:c r="D603" s="73" t="n">
        <x:v>1.005</x:v>
      </x:c>
      <x:c r="E603" s="73" t="n">
        <x:v>1.005</x:v>
      </x:c>
      <x:c r="F603" s="73" t="n">
        <x:v>1.005</x:v>
      </x:c>
      <x:c r="G603" s="74" t="n">
        <x:v>0</x:v>
      </x:c>
      <x:c r="H603" s="66" t="str">
        <x:v>深度梦扬量化套利0号净值20260911.xlsx</x:v>
      </x:c>
      <x:c r="I603" s="73" t="str">
        <x:f>""</x:f>
      </x:c>
      <x:c r="J603" s="74" t="str">
        <x:f>""</x:f>
      </x:c>
      <x:c r="K603" s="73" t="str">
        <x:f>""</x:f>
      </x:c>
      <x:c r="L603" s="74" t="str">
        <x:f>""</x:f>
      </x:c>
      <x:c r="M603" s="73" t="n">
        <x:f>MAX(M602,F603)</x:f>
        <x:v>1.005</x:v>
      </x:c>
      <x:c r="N603" s="74" t="n">
        <x:f>1-F603/M603</x:f>
        <x:v>0</x:v>
      </x:c>
    </x:row>
    <x:row r="604" ht="27" customHeight="1">
      <x:c r="A604" s="66" t="str">
        <x:v>SQD620</x:v>
      </x:c>
      <x:c r="B604" s="66" t="str">
        <x:v>深度梦扬量化套利0号</x:v>
      </x:c>
      <x:c r="C604" s="72" t="n">
        <x:v>44427</x:v>
      </x:c>
      <x:c r="D604" s="73" t="n">
        <x:v>1.005</x:v>
      </x:c>
      <x:c r="E604" s="73" t="n">
        <x:v>1.005</x:v>
      </x:c>
      <x:c r="F604" s="73" t="n">
        <x:v>1.005</x:v>
      </x:c>
      <x:c r="G604" s="74" t="n">
        <x:v>0</x:v>
      </x:c>
      <x:c r="H604" s="66" t="str">
        <x:v>深度梦扬量化套利0号净值20260911.xlsx</x:v>
      </x:c>
      <x:c r="I604" s="73" t="str">
        <x:f>""</x:f>
      </x:c>
      <x:c r="J604" s="74" t="str">
        <x:f>""</x:f>
      </x:c>
      <x:c r="K604" s="73" t="str">
        <x:f>""</x:f>
      </x:c>
      <x:c r="L604" s="74" t="str">
        <x:f>""</x:f>
      </x:c>
      <x:c r="M604" s="73" t="n">
        <x:f>MAX(M603,F604)</x:f>
        <x:v>1.005</x:v>
      </x:c>
      <x:c r="N604" s="74" t="n">
        <x:f>1-F604/M604</x:f>
        <x:v>0</x:v>
      </x:c>
    </x:row>
    <x:row r="605" ht="27" customHeight="1">
      <x:c r="A605" s="66" t="str">
        <x:v>SQD620</x:v>
      </x:c>
      <x:c r="B605" s="66" t="str">
        <x:v>深度梦扬量化套利0号</x:v>
      </x:c>
      <x:c r="C605" s="72" t="n">
        <x:v>44428</x:v>
      </x:c>
      <x:c r="D605" s="73" t="n">
        <x:v>1.003</x:v>
      </x:c>
      <x:c r="E605" s="73" t="n">
        <x:v>1.003</x:v>
      </x:c>
      <x:c r="F605" s="73" t="n">
        <x:v>1.003</x:v>
      </x:c>
      <x:c r="G605" s="74" t="n">
        <x:v>-0.002</x:v>
      </x:c>
      <x:c r="H605" s="66" t="str">
        <x:v>深度梦扬量化套利0号净值20260911.xlsx</x:v>
      </x:c>
      <x:c r="I605" s="73" t="str">
        <x:f>""</x:f>
      </x:c>
      <x:c r="J605" s="74" t="str">
        <x:f>""</x:f>
      </x:c>
      <x:c r="K605" s="73" t="str">
        <x:f>""</x:f>
      </x:c>
      <x:c r="L605" s="74" t="str">
        <x:f>""</x:f>
      </x:c>
      <x:c r="M605" s="73" t="n">
        <x:f>MAX(M604,F605)</x:f>
        <x:v>1.005</x:v>
      </x:c>
      <x:c r="N605" s="74" t="n">
        <x:f>1-F605/M605</x:f>
        <x:v>0.0019900497512437276</x:v>
      </x:c>
    </x:row>
    <x:row r="606" ht="27" customHeight="1">
      <x:c r="A606" s="66" t="str">
        <x:v>SQD620</x:v>
      </x:c>
      <x:c r="B606" s="66" t="str">
        <x:v>深度梦扬量化套利0号</x:v>
      </x:c>
      <x:c r="C606" s="72" t="n">
        <x:v>44431</x:v>
      </x:c>
      <x:c r="D606" s="73" t="n">
        <x:v>1.006</x:v>
      </x:c>
      <x:c r="E606" s="73" t="n">
        <x:v>1.006</x:v>
      </x:c>
      <x:c r="F606" s="73" t="n">
        <x:v>1.006</x:v>
      </x:c>
      <x:c r="G606" s="74" t="n">
        <x:v>0.003</x:v>
      </x:c>
      <x:c r="H606" s="66" t="str">
        <x:v>深度梦扬量化套利0号净值20260911.xlsx</x:v>
      </x:c>
      <x:c r="I606" s="73" t="str">
        <x:f>""</x:f>
      </x:c>
      <x:c r="J606" s="74" t="str">
        <x:f>""</x:f>
      </x:c>
      <x:c r="K606" s="73" t="str">
        <x:f>""</x:f>
      </x:c>
      <x:c r="L606" s="74" t="str">
        <x:f>""</x:f>
      </x:c>
      <x:c r="M606" s="73" t="n">
        <x:f>MAX(M605,F606)</x:f>
        <x:v>1.006</x:v>
      </x:c>
      <x:c r="N606" s="74" t="n">
        <x:f>1-F606/M606</x:f>
        <x:v>0</x:v>
      </x:c>
    </x:row>
    <x:row r="607" ht="27" customHeight="1">
      <x:c r="A607" s="66" t="str">
        <x:v>SQD620</x:v>
      </x:c>
      <x:c r="B607" s="66" t="str">
        <x:v>深度梦扬量化套利0号</x:v>
      </x:c>
      <x:c r="C607" s="72" t="n">
        <x:v>44432</x:v>
      </x:c>
      <x:c r="D607" s="73" t="n">
        <x:v>1.007</x:v>
      </x:c>
      <x:c r="E607" s="73" t="n">
        <x:v>1.007</x:v>
      </x:c>
      <x:c r="F607" s="73" t="n">
        <x:v>1.007</x:v>
      </x:c>
      <x:c r="G607" s="74" t="n">
        <x:v>0.001</x:v>
      </x:c>
      <x:c r="H607" s="66" t="str">
        <x:v>深度梦扬量化套利0号净值20260911.xlsx</x:v>
      </x:c>
      <x:c r="I607" s="73" t="str">
        <x:f>""</x:f>
      </x:c>
      <x:c r="J607" s="74" t="str">
        <x:f>""</x:f>
      </x:c>
      <x:c r="K607" s="73" t="str">
        <x:f>""</x:f>
      </x:c>
      <x:c r="L607" s="74" t="str">
        <x:f>""</x:f>
      </x:c>
      <x:c r="M607" s="73" t="n">
        <x:f>MAX(M606,F607)</x:f>
        <x:v>1.007</x:v>
      </x:c>
      <x:c r="N607" s="74" t="n">
        <x:f>1-F607/M607</x:f>
        <x:v>0</x:v>
      </x:c>
    </x:row>
    <x:row r="608" ht="27" customHeight="1">
      <x:c r="A608" s="66" t="str">
        <x:v>SQD620</x:v>
      </x:c>
      <x:c r="B608" s="66" t="str">
        <x:v>深度梦扬量化套利0号</x:v>
      </x:c>
      <x:c r="C608" s="72" t="n">
        <x:v>44433</x:v>
      </x:c>
      <x:c r="D608" s="73" t="n">
        <x:v>1.007</x:v>
      </x:c>
      <x:c r="E608" s="73" t="n">
        <x:v>1.007</x:v>
      </x:c>
      <x:c r="F608" s="73" t="n">
        <x:v>1.007</x:v>
      </x:c>
      <x:c r="G608" s="74" t="n">
        <x:v>0</x:v>
      </x:c>
      <x:c r="H608" s="66" t="str">
        <x:v>深度梦扬量化套利0号净值20260911.xlsx</x:v>
      </x:c>
      <x:c r="I608" s="73" t="str">
        <x:f>""</x:f>
      </x:c>
      <x:c r="J608" s="74" t="str">
        <x:f>""</x:f>
      </x:c>
      <x:c r="K608" s="73" t="str">
        <x:f>""</x:f>
      </x:c>
      <x:c r="L608" s="74" t="str">
        <x:f>""</x:f>
      </x:c>
      <x:c r="M608" s="73" t="n">
        <x:f>MAX(M607,F608)</x:f>
        <x:v>1.007</x:v>
      </x:c>
      <x:c r="N608" s="74" t="n">
        <x:f>1-F608/M608</x:f>
        <x:v>0</x:v>
      </x:c>
    </x:row>
    <x:row r="609" ht="27" customHeight="1">
      <x:c r="A609" s="66" t="str">
        <x:v>SQD620</x:v>
      </x:c>
      <x:c r="B609" s="66" t="str">
        <x:v>深度梦扬量化套利0号</x:v>
      </x:c>
      <x:c r="C609" s="72" t="n">
        <x:v>44434</x:v>
      </x:c>
      <x:c r="D609" s="73" t="n">
        <x:v>1.008</x:v>
      </x:c>
      <x:c r="E609" s="73" t="n">
        <x:v>1.008</x:v>
      </x:c>
      <x:c r="F609" s="73" t="n">
        <x:v>1.008</x:v>
      </x:c>
      <x:c r="G609" s="74" t="n">
        <x:v>0.001</x:v>
      </x:c>
      <x:c r="H609" s="66" t="str">
        <x:v>深度梦扬量化套利0号净值20260911.xlsx</x:v>
      </x:c>
      <x:c r="I609" s="73" t="str">
        <x:f>""</x:f>
      </x:c>
      <x:c r="J609" s="74" t="str">
        <x:f>""</x:f>
      </x:c>
      <x:c r="K609" s="73" t="str">
        <x:f>""</x:f>
      </x:c>
      <x:c r="L609" s="74" t="str">
        <x:f>""</x:f>
      </x:c>
      <x:c r="M609" s="73" t="n">
        <x:f>MAX(M608,F609)</x:f>
        <x:v>1.008</x:v>
      </x:c>
      <x:c r="N609" s="74" t="n">
        <x:f>1-F609/M609</x:f>
        <x:v>0</x:v>
      </x:c>
    </x:row>
    <x:row r="610" ht="27" customHeight="1">
      <x:c r="A610" s="66" t="str">
        <x:v>SQD620</x:v>
      </x:c>
      <x:c r="B610" s="66" t="str">
        <x:v>深度梦扬量化套利0号</x:v>
      </x:c>
      <x:c r="C610" s="72" t="n">
        <x:v>44435</x:v>
      </x:c>
      <x:c r="D610" s="73" t="n">
        <x:v>1.008</x:v>
      </x:c>
      <x:c r="E610" s="73" t="n">
        <x:v>1.008</x:v>
      </x:c>
      <x:c r="F610" s="73" t="n">
        <x:v>1.008</x:v>
      </x:c>
      <x:c r="G610" s="74" t="n">
        <x:v>0</x:v>
      </x:c>
      <x:c r="H610" s="66" t="str">
        <x:v>深度梦扬量化套利0号净值20260911.xlsx</x:v>
      </x:c>
      <x:c r="I610" s="73" t="str">
        <x:f>""</x:f>
      </x:c>
      <x:c r="J610" s="74" t="str">
        <x:f>""</x:f>
      </x:c>
      <x:c r="K610" s="73" t="str">
        <x:f>""</x:f>
      </x:c>
      <x:c r="L610" s="74" t="str">
        <x:f>""</x:f>
      </x:c>
      <x:c r="M610" s="73" t="n">
        <x:f>MAX(M609,F610)</x:f>
        <x:v>1.008</x:v>
      </x:c>
      <x:c r="N610" s="74" t="n">
        <x:f>1-F610/M610</x:f>
        <x:v>0</x:v>
      </x:c>
    </x:row>
    <x:row r="611" ht="27" customHeight="1">
      <x:c r="A611" s="66" t="str">
        <x:v>SQD620</x:v>
      </x:c>
      <x:c r="B611" s="66" t="str">
        <x:v>深度梦扬量化套利0号</x:v>
      </x:c>
      <x:c r="C611" s="72" t="n">
        <x:v>44438</x:v>
      </x:c>
      <x:c r="D611" s="73" t="n">
        <x:v>1.011</x:v>
      </x:c>
      <x:c r="E611" s="73" t="n">
        <x:v>1.011</x:v>
      </x:c>
      <x:c r="F611" s="73" t="n">
        <x:v>1.011</x:v>
      </x:c>
      <x:c r="G611" s="74" t="n">
        <x:v>0.003</x:v>
      </x:c>
      <x:c r="H611" s="66" t="str">
        <x:v>深度梦扬量化套利0号净值20260911.xlsx</x:v>
      </x:c>
      <x:c r="I611" s="73" t="str">
        <x:f>""</x:f>
      </x:c>
      <x:c r="J611" s="74" t="str">
        <x:f>""</x:f>
      </x:c>
      <x:c r="K611" s="73" t="str">
        <x:f>""</x:f>
      </x:c>
      <x:c r="L611" s="74" t="str">
        <x:f>""</x:f>
      </x:c>
      <x:c r="M611" s="73" t="n">
        <x:f>MAX(M610,F611)</x:f>
        <x:v>1.011</x:v>
      </x:c>
      <x:c r="N611" s="74" t="n">
        <x:f>1-F611/M611</x:f>
        <x:v>0</x:v>
      </x:c>
    </x:row>
    <x:row r="612" ht="27" customHeight="1">
      <x:c r="A612" s="66" t="str">
        <x:v>SQD620</x:v>
      </x:c>
      <x:c r="B612" s="66" t="str">
        <x:v>深度梦扬量化套利0号</x:v>
      </x:c>
      <x:c r="C612" s="72" t="n">
        <x:v>44439</x:v>
      </x:c>
      <x:c r="D612" s="73" t="n">
        <x:v>1.008</x:v>
      </x:c>
      <x:c r="E612" s="73" t="n">
        <x:v>1.008</x:v>
      </x:c>
      <x:c r="F612" s="73" t="n">
        <x:v>1.008</x:v>
      </x:c>
      <x:c r="G612" s="74" t="n">
        <x:v>-0.003</x:v>
      </x:c>
      <x:c r="H612" s="66" t="str">
        <x:v>深度梦扬量化套利0号净值20260911.xlsx</x:v>
      </x:c>
      <x:c r="I612" s="73" t="str">
        <x:f>""</x:f>
      </x:c>
      <x:c r="J612" s="74" t="str">
        <x:f>""</x:f>
      </x:c>
      <x:c r="K612" s="73" t="str">
        <x:f>""</x:f>
      </x:c>
      <x:c r="L612" s="74" t="str">
        <x:f>""</x:f>
      </x:c>
      <x:c r="M612" s="73" t="n">
        <x:f>MAX(M611,F612)</x:f>
        <x:v>1.011</x:v>
      </x:c>
      <x:c r="N612" s="74" t="n">
        <x:f>1-F612/M612</x:f>
        <x:v>0.0029673590504449843</x:v>
      </x:c>
    </x:row>
    <x:row r="613" ht="27" customHeight="1">
      <x:c r="A613" s="66" t="str">
        <x:v>SQD620</x:v>
      </x:c>
      <x:c r="B613" s="66" t="str">
        <x:v>深度梦扬量化套利0号</x:v>
      </x:c>
      <x:c r="C613" s="72" t="n">
        <x:v>44440</x:v>
      </x:c>
      <x:c r="D613" s="73" t="n">
        <x:v>1.011</x:v>
      </x:c>
      <x:c r="E613" s="73" t="n">
        <x:v>1.011</x:v>
      </x:c>
      <x:c r="F613" s="73" t="n">
        <x:v>1.011</x:v>
      </x:c>
      <x:c r="G613" s="74" t="n">
        <x:v>0.003</x:v>
      </x:c>
      <x:c r="H613" s="66" t="str">
        <x:v>深度梦扬量化套利0号净值20260911.xlsx</x:v>
      </x:c>
      <x:c r="I613" s="73" t="str">
        <x:f>""</x:f>
      </x:c>
      <x:c r="J613" s="74" t="str">
        <x:f>""</x:f>
      </x:c>
      <x:c r="K613" s="73" t="str">
        <x:f>""</x:f>
      </x:c>
      <x:c r="L613" s="74" t="str">
        <x:f>""</x:f>
      </x:c>
      <x:c r="M613" s="73" t="n">
        <x:f>MAX(M612,F613)</x:f>
        <x:v>1.011</x:v>
      </x:c>
      <x:c r="N613" s="74" t="n">
        <x:f>1-F613/M613</x:f>
        <x:v>0</x:v>
      </x:c>
    </x:row>
    <x:row r="614" ht="27" customHeight="1">
      <x:c r="A614" s="66" t="str">
        <x:v>SQD620</x:v>
      </x:c>
      <x:c r="B614" s="66" t="str">
        <x:v>深度梦扬量化套利0号</x:v>
      </x:c>
      <x:c r="C614" s="72" t="n">
        <x:v>44441</x:v>
      </x:c>
      <x:c r="D614" s="73" t="n">
        <x:v>1.011</x:v>
      </x:c>
      <x:c r="E614" s="73" t="n">
        <x:v>1.011</x:v>
      </x:c>
      <x:c r="F614" s="73" t="n">
        <x:v>1.011</x:v>
      </x:c>
      <x:c r="G614" s="74" t="n">
        <x:v>0</x:v>
      </x:c>
      <x:c r="H614" s="66" t="str">
        <x:v>深度梦扬量化套利0号净值20260911.xlsx</x:v>
      </x:c>
      <x:c r="I614" s="73" t="str">
        <x:f>""</x:f>
      </x:c>
      <x:c r="J614" s="74" t="str">
        <x:f>""</x:f>
      </x:c>
      <x:c r="K614" s="73" t="str">
        <x:f>""</x:f>
      </x:c>
      <x:c r="L614" s="74" t="str">
        <x:f>""</x:f>
      </x:c>
      <x:c r="M614" s="73" t="n">
        <x:f>MAX(M613,F614)</x:f>
        <x:v>1.011</x:v>
      </x:c>
      <x:c r="N614" s="74" t="n">
        <x:f>1-F614/M614</x:f>
        <x:v>0</x:v>
      </x:c>
    </x:row>
    <x:row r="615" ht="27" customHeight="1">
      <x:c r="A615" s="66" t="str">
        <x:v>SQD620</x:v>
      </x:c>
      <x:c r="B615" s="66" t="str">
        <x:v>深度梦扬量化套利0号</x:v>
      </x:c>
      <x:c r="C615" s="72" t="n">
        <x:v>44442</x:v>
      </x:c>
      <x:c r="D615" s="73" t="n">
        <x:v>1.01</x:v>
      </x:c>
      <x:c r="E615" s="73" t="n">
        <x:v>1.01</x:v>
      </x:c>
      <x:c r="F615" s="73" t="n">
        <x:v>1.01</x:v>
      </x:c>
      <x:c r="G615" s="74" t="n">
        <x:v>-0.001</x:v>
      </x:c>
      <x:c r="H615" s="66" t="str">
        <x:v>深度梦扬量化套利0号净值20260911.xlsx</x:v>
      </x:c>
      <x:c r="I615" s="73" t="str">
        <x:f>""</x:f>
      </x:c>
      <x:c r="J615" s="74" t="str">
        <x:f>""</x:f>
      </x:c>
      <x:c r="K615" s="73" t="str">
        <x:f>""</x:f>
      </x:c>
      <x:c r="L615" s="74" t="str">
        <x:f>""</x:f>
      </x:c>
      <x:c r="M615" s="73" t="n">
        <x:f>MAX(M614,F615)</x:f>
        <x:v>1.011</x:v>
      </x:c>
      <x:c r="N615" s="74" t="n">
        <x:f>1-F615/M615</x:f>
        <x:v>0.0009891196834815874</x:v>
      </x:c>
    </x:row>
    <x:row r="616" ht="27" customHeight="1">
      <x:c r="A616" s="66" t="str">
        <x:v>SQD620</x:v>
      </x:c>
      <x:c r="B616" s="66" t="str">
        <x:v>深度梦扬量化套利0号</x:v>
      </x:c>
      <x:c r="C616" s="72" t="n">
        <x:v>44445</x:v>
      </x:c>
      <x:c r="D616" s="73" t="n">
        <x:v>1.01</x:v>
      </x:c>
      <x:c r="E616" s="73" t="n">
        <x:v>1.01</x:v>
      </x:c>
      <x:c r="F616" s="73" t="n">
        <x:v>1.01</x:v>
      </x:c>
      <x:c r="G616" s="74" t="n">
        <x:v>0</x:v>
      </x:c>
      <x:c r="H616" s="66" t="str">
        <x:v>深度梦扬量化套利0号净值20260911.xlsx</x:v>
      </x:c>
      <x:c r="I616" s="73" t="str">
        <x:f>""</x:f>
      </x:c>
      <x:c r="J616" s="74" t="str">
        <x:f>""</x:f>
      </x:c>
      <x:c r="K616" s="73" t="str">
        <x:f>""</x:f>
      </x:c>
      <x:c r="L616" s="74" t="str">
        <x:f>""</x:f>
      </x:c>
      <x:c r="M616" s="73" t="n">
        <x:f>MAX(M615,F616)</x:f>
        <x:v>1.011</x:v>
      </x:c>
      <x:c r="N616" s="74" t="n">
        <x:f>1-F616/M616</x:f>
        <x:v>0.0009891196834815874</x:v>
      </x:c>
    </x:row>
    <x:row r="617" ht="27" customHeight="1">
      <x:c r="A617" s="66" t="str">
        <x:v>SQD620</x:v>
      </x:c>
      <x:c r="B617" s="66" t="str">
        <x:v>深度梦扬量化套利0号</x:v>
      </x:c>
      <x:c r="C617" s="72" t="n">
        <x:v>44446</x:v>
      </x:c>
      <x:c r="D617" s="73" t="n">
        <x:v>1.01</x:v>
      </x:c>
      <x:c r="E617" s="73" t="n">
        <x:v>1.01</x:v>
      </x:c>
      <x:c r="F617" s="73" t="n">
        <x:v>1.01</x:v>
      </x:c>
      <x:c r="G617" s="74" t="n">
        <x:v>0</x:v>
      </x:c>
      <x:c r="H617" s="66" t="str">
        <x:v>深度梦扬量化套利0号净值20260911.xlsx</x:v>
      </x:c>
      <x:c r="I617" s="73" t="str">
        <x:f>""</x:f>
      </x:c>
      <x:c r="J617" s="74" t="str">
        <x:f>""</x:f>
      </x:c>
      <x:c r="K617" s="73" t="str">
        <x:f>""</x:f>
      </x:c>
      <x:c r="L617" s="74" t="str">
        <x:f>""</x:f>
      </x:c>
      <x:c r="M617" s="73" t="n">
        <x:f>MAX(M616,F617)</x:f>
        <x:v>1.011</x:v>
      </x:c>
      <x:c r="N617" s="74" t="n">
        <x:f>1-F617/M617</x:f>
        <x:v>0.0009891196834815874</x:v>
      </x:c>
    </x:row>
    <x:row r="618" ht="27" customHeight="1">
      <x:c r="A618" s="66" t="str">
        <x:v>SQD620</x:v>
      </x:c>
      <x:c r="B618" s="66" t="str">
        <x:v>深度梦扬量化套利0号</x:v>
      </x:c>
      <x:c r="C618" s="72" t="n">
        <x:v>44447</x:v>
      </x:c>
      <x:c r="D618" s="73" t="n">
        <x:v>1.013</x:v>
      </x:c>
      <x:c r="E618" s="73" t="n">
        <x:v>1.013</x:v>
      </x:c>
      <x:c r="F618" s="73" t="n">
        <x:v>1.013</x:v>
      </x:c>
      <x:c r="G618" s="74" t="n">
        <x:v>0.003</x:v>
      </x:c>
      <x:c r="H618" s="66" t="str">
        <x:v>深度梦扬量化套利0号净值20260911.xlsx</x:v>
      </x:c>
      <x:c r="I618" s="73" t="str">
        <x:f>""</x:f>
      </x:c>
      <x:c r="J618" s="74" t="str">
        <x:f>""</x:f>
      </x:c>
      <x:c r="K618" s="73" t="str">
        <x:f>""</x:f>
      </x:c>
      <x:c r="L618" s="74" t="str">
        <x:f>""</x:f>
      </x:c>
      <x:c r="M618" s="73" t="n">
        <x:f>MAX(M617,F618)</x:f>
        <x:v>1.013</x:v>
      </x:c>
      <x:c r="N618" s="74" t="n">
        <x:f>1-F618/M618</x:f>
        <x:v>0</x:v>
      </x:c>
    </x:row>
    <x:row r="619" ht="27" customHeight="1">
      <x:c r="A619" s="66" t="str">
        <x:v>SQD620</x:v>
      </x:c>
      <x:c r="B619" s="66" t="str">
        <x:v>深度梦扬量化套利0号</x:v>
      </x:c>
      <x:c r="C619" s="72" t="n">
        <x:v>44448</x:v>
      </x:c>
      <x:c r="D619" s="73" t="n">
        <x:v>1.015</x:v>
      </x:c>
      <x:c r="E619" s="73" t="n">
        <x:v>1.015</x:v>
      </x:c>
      <x:c r="F619" s="73" t="n">
        <x:v>1.015</x:v>
      </x:c>
      <x:c r="G619" s="74" t="n">
        <x:v>0.002</x:v>
      </x:c>
      <x:c r="H619" s="66" t="str">
        <x:v>深度梦扬量化套利0号净值20260911.xlsx</x:v>
      </x:c>
      <x:c r="I619" s="73" t="str">
        <x:f>""</x:f>
      </x:c>
      <x:c r="J619" s="74" t="str">
        <x:f>""</x:f>
      </x:c>
      <x:c r="K619" s="73" t="str">
        <x:f>""</x:f>
      </x:c>
      <x:c r="L619" s="74" t="str">
        <x:f>""</x:f>
      </x:c>
      <x:c r="M619" s="73" t="n">
        <x:f>MAX(M618,F619)</x:f>
        <x:v>1.015</x:v>
      </x:c>
      <x:c r="N619" s="74" t="n">
        <x:f>1-F619/M619</x:f>
        <x:v>0</x:v>
      </x:c>
    </x:row>
    <x:row r="620" ht="27" customHeight="1">
      <x:c r="A620" s="66" t="str">
        <x:v>SQD620</x:v>
      </x:c>
      <x:c r="B620" s="66" t="str">
        <x:v>深度梦扬量化套利0号</x:v>
      </x:c>
      <x:c r="C620" s="72" t="n">
        <x:v>44449</x:v>
      </x:c>
      <x:c r="D620" s="73" t="n">
        <x:v>1.012</x:v>
      </x:c>
      <x:c r="E620" s="73" t="n">
        <x:v>1.012</x:v>
      </x:c>
      <x:c r="F620" s="73" t="n">
        <x:v>1.012</x:v>
      </x:c>
      <x:c r="G620" s="74" t="n">
        <x:v>-0.003</x:v>
      </x:c>
      <x:c r="H620" s="66" t="str">
        <x:v>深度梦扬量化套利0号净值20260911.xlsx</x:v>
      </x:c>
      <x:c r="I620" s="73" t="str">
        <x:f>""</x:f>
      </x:c>
      <x:c r="J620" s="74" t="str">
        <x:f>""</x:f>
      </x:c>
      <x:c r="K620" s="73" t="str">
        <x:f>""</x:f>
      </x:c>
      <x:c r="L620" s="74" t="str">
        <x:f>""</x:f>
      </x:c>
      <x:c r="M620" s="73" t="n">
        <x:f>MAX(M619,F620)</x:f>
        <x:v>1.015</x:v>
      </x:c>
      <x:c r="N620" s="74" t="n">
        <x:f>1-F620/M620</x:f>
        <x:v>0.002955665024630405</x:v>
      </x:c>
    </x:row>
    <x:row r="621" ht="27" customHeight="1">
      <x:c r="A621" s="66" t="str">
        <x:v>SQD620</x:v>
      </x:c>
      <x:c r="B621" s="66" t="str">
        <x:v>深度梦扬量化套利0号</x:v>
      </x:c>
      <x:c r="C621" s="72" t="n">
        <x:v>44452</x:v>
      </x:c>
      <x:c r="D621" s="73" t="n">
        <x:v>1.014</x:v>
      </x:c>
      <x:c r="E621" s="73" t="n">
        <x:v>1.014</x:v>
      </x:c>
      <x:c r="F621" s="73" t="n">
        <x:v>1.014</x:v>
      </x:c>
      <x:c r="G621" s="74" t="n">
        <x:v>0.002</x:v>
      </x:c>
      <x:c r="H621" s="66" t="str">
        <x:v>深度梦扬量化套利0号净值20260911.xlsx</x:v>
      </x:c>
      <x:c r="I621" s="73" t="str">
        <x:f>""</x:f>
      </x:c>
      <x:c r="J621" s="74" t="str">
        <x:f>""</x:f>
      </x:c>
      <x:c r="K621" s="73" t="str">
        <x:f>""</x:f>
      </x:c>
      <x:c r="L621" s="74" t="str">
        <x:f>""</x:f>
      </x:c>
      <x:c r="M621" s="73" t="n">
        <x:f>MAX(M620,F621)</x:f>
        <x:v>1.015</x:v>
      </x:c>
      <x:c r="N621" s="74" t="n">
        <x:f>1-F621/M621</x:f>
        <x:v>0.0009852216748766907</x:v>
      </x:c>
    </x:row>
    <x:row r="622" ht="27" customHeight="1">
      <x:c r="A622" s="66" t="str">
        <x:v>SQD620</x:v>
      </x:c>
      <x:c r="B622" s="66" t="str">
        <x:v>深度梦扬量化套利0号</x:v>
      </x:c>
      <x:c r="C622" s="72" t="n">
        <x:v>44453</x:v>
      </x:c>
      <x:c r="D622" s="73" t="n">
        <x:v>1.014</x:v>
      </x:c>
      <x:c r="E622" s="73" t="n">
        <x:v>1.014</x:v>
      </x:c>
      <x:c r="F622" s="73" t="n">
        <x:v>1.014</x:v>
      </x:c>
      <x:c r="G622" s="74" t="n">
        <x:v>0</x:v>
      </x:c>
      <x:c r="H622" s="66" t="str">
        <x:v>深度梦扬量化套利0号净值20260911.xlsx</x:v>
      </x:c>
      <x:c r="I622" s="73" t="str">
        <x:f>""</x:f>
      </x:c>
      <x:c r="J622" s="74" t="str">
        <x:f>""</x:f>
      </x:c>
      <x:c r="K622" s="73" t="str">
        <x:f>""</x:f>
      </x:c>
      <x:c r="L622" s="74" t="str">
        <x:f>""</x:f>
      </x:c>
      <x:c r="M622" s="73" t="n">
        <x:f>MAX(M621,F622)</x:f>
        <x:v>1.015</x:v>
      </x:c>
      <x:c r="N622" s="74" t="n">
        <x:f>1-F622/M622</x:f>
        <x:v>0.0009852216748766907</x:v>
      </x:c>
    </x:row>
    <x:row r="623" ht="27" customHeight="1">
      <x:c r="A623" s="66" t="str">
        <x:v>SQD620</x:v>
      </x:c>
      <x:c r="B623" s="66" t="str">
        <x:v>深度梦扬量化套利0号</x:v>
      </x:c>
      <x:c r="C623" s="72" t="n">
        <x:v>44454</x:v>
      </x:c>
      <x:c r="D623" s="73" t="n">
        <x:v>1.013</x:v>
      </x:c>
      <x:c r="E623" s="73" t="n">
        <x:v>1.013</x:v>
      </x:c>
      <x:c r="F623" s="73" t="n">
        <x:v>1.013</x:v>
      </x:c>
      <x:c r="G623" s="74" t="n">
        <x:v>-0.001</x:v>
      </x:c>
      <x:c r="H623" s="66" t="str">
        <x:v>深度梦扬量化套利0号净值20260911.xlsx</x:v>
      </x:c>
      <x:c r="I623" s="73" t="str">
        <x:f>""</x:f>
      </x:c>
      <x:c r="J623" s="74" t="str">
        <x:f>""</x:f>
      </x:c>
      <x:c r="K623" s="73" t="str">
        <x:f>""</x:f>
      </x:c>
      <x:c r="L623" s="74" t="str">
        <x:f>""</x:f>
      </x:c>
      <x:c r="M623" s="73" t="n">
        <x:f>MAX(M622,F623)</x:f>
        <x:v>1.015</x:v>
      </x:c>
      <x:c r="N623" s="74" t="n">
        <x:f>1-F623/M623</x:f>
        <x:v>0.0019704433497537144</x:v>
      </x:c>
    </x:row>
    <x:row r="624" ht="27" customHeight="1">
      <x:c r="A624" s="66" t="str">
        <x:v>SQD620</x:v>
      </x:c>
      <x:c r="B624" s="66" t="str">
        <x:v>深度梦扬量化套利0号</x:v>
      </x:c>
      <x:c r="C624" s="72" t="n">
        <x:v>44455</x:v>
      </x:c>
      <x:c r="D624" s="73" t="n">
        <x:v>1.016</x:v>
      </x:c>
      <x:c r="E624" s="73" t="n">
        <x:v>1.016</x:v>
      </x:c>
      <x:c r="F624" s="73" t="n">
        <x:v>1.016</x:v>
      </x:c>
      <x:c r="G624" s="74" t="n">
        <x:v>0.003</x:v>
      </x:c>
      <x:c r="H624" s="66" t="str">
        <x:v>深度梦扬量化套利0号净值20260911.xlsx</x:v>
      </x:c>
      <x:c r="I624" s="73" t="str">
        <x:f>""</x:f>
      </x:c>
      <x:c r="J624" s="74" t="str">
        <x:f>""</x:f>
      </x:c>
      <x:c r="K624" s="73" t="str">
        <x:f>""</x:f>
      </x:c>
      <x:c r="L624" s="74" t="str">
        <x:f>""</x:f>
      </x:c>
      <x:c r="M624" s="73" t="n">
        <x:f>MAX(M623,F624)</x:f>
        <x:v>1.016</x:v>
      </x:c>
      <x:c r="N624" s="74" t="n">
        <x:f>1-F624/M624</x:f>
        <x:v>0</x:v>
      </x:c>
    </x:row>
    <x:row r="625" ht="27" customHeight="1">
      <x:c r="A625" s="66" t="str">
        <x:v>SQD620</x:v>
      </x:c>
      <x:c r="B625" s="66" t="str">
        <x:v>深度梦扬量化套利0号</x:v>
      </x:c>
      <x:c r="C625" s="72" t="n">
        <x:v>44456</x:v>
      </x:c>
      <x:c r="D625" s="73" t="n">
        <x:v>1.018</x:v>
      </x:c>
      <x:c r="E625" s="73" t="n">
        <x:v>1.018</x:v>
      </x:c>
      <x:c r="F625" s="73" t="n">
        <x:v>1.018</x:v>
      </x:c>
      <x:c r="G625" s="74" t="n">
        <x:v>0.002</x:v>
      </x:c>
      <x:c r="H625" s="66" t="str">
        <x:v>深度梦扬量化套利0号净值20260911.xlsx</x:v>
      </x:c>
      <x:c r="I625" s="73" t="str">
        <x:f>""</x:f>
      </x:c>
      <x:c r="J625" s="74" t="str">
        <x:f>""</x:f>
      </x:c>
      <x:c r="K625" s="73" t="str">
        <x:f>""</x:f>
      </x:c>
      <x:c r="L625" s="74" t="str">
        <x:f>""</x:f>
      </x:c>
      <x:c r="M625" s="73" t="n">
        <x:f>MAX(M624,F625)</x:f>
        <x:v>1.018</x:v>
      </x:c>
      <x:c r="N625" s="74" t="n">
        <x:f>1-F625/M625</x:f>
        <x:v>0</x:v>
      </x:c>
    </x:row>
    <x:row r="626" ht="27" customHeight="1">
      <x:c r="A626" s="66" t="str">
        <x:v>SQD620</x:v>
      </x:c>
      <x:c r="B626" s="66" t="str">
        <x:v>深度梦扬量化套利0号</x:v>
      </x:c>
      <x:c r="C626" s="72" t="n">
        <x:v>44461</x:v>
      </x:c>
      <x:c r="D626" s="73" t="n">
        <x:v>1.021</x:v>
      </x:c>
      <x:c r="E626" s="73" t="n">
        <x:v>1.021</x:v>
      </x:c>
      <x:c r="F626" s="73" t="n">
        <x:v>1.021</x:v>
      </x:c>
      <x:c r="G626" s="74" t="n">
        <x:v>0.0029</x:v>
      </x:c>
      <x:c r="H626" s="66" t="str">
        <x:v>深度梦扬量化套利0号净值20260911.xlsx</x:v>
      </x:c>
      <x:c r="I626" s="73" t="str">
        <x:f>""</x:f>
      </x:c>
      <x:c r="J626" s="74" t="str">
        <x:f>""</x:f>
      </x:c>
      <x:c r="K626" s="73" t="str">
        <x:f>""</x:f>
      </x:c>
      <x:c r="L626" s="74" t="str">
        <x:f>""</x:f>
      </x:c>
      <x:c r="M626" s="73" t="n">
        <x:f>MAX(M625,F626)</x:f>
        <x:v>1.021</x:v>
      </x:c>
      <x:c r="N626" s="74" t="n">
        <x:f>1-F626/M626</x:f>
        <x:v>0</x:v>
      </x:c>
    </x:row>
    <x:row r="627" ht="27" customHeight="1">
      <x:c r="A627" s="66" t="str">
        <x:v>SQD620</x:v>
      </x:c>
      <x:c r="B627" s="66" t="str">
        <x:v>深度梦扬量化套利0号</x:v>
      </x:c>
      <x:c r="C627" s="72" t="n">
        <x:v>44462</x:v>
      </x:c>
      <x:c r="D627" s="73" t="n">
        <x:v>1.021</x:v>
      </x:c>
      <x:c r="E627" s="73" t="n">
        <x:v>1.021</x:v>
      </x:c>
      <x:c r="F627" s="73" t="n">
        <x:v>1.021</x:v>
      </x:c>
      <x:c r="G627" s="74" t="n">
        <x:v>0</x:v>
      </x:c>
      <x:c r="H627" s="66" t="str">
        <x:v>深度梦扬量化套利0号净值20260911.xlsx</x:v>
      </x:c>
      <x:c r="I627" s="73" t="str">
        <x:f>""</x:f>
      </x:c>
      <x:c r="J627" s="74" t="str">
        <x:f>""</x:f>
      </x:c>
      <x:c r="K627" s="73" t="str">
        <x:f>""</x:f>
      </x:c>
      <x:c r="L627" s="74" t="str">
        <x:f>""</x:f>
      </x:c>
      <x:c r="M627" s="73" t="n">
        <x:f>MAX(M626,F627)</x:f>
        <x:v>1.021</x:v>
      </x:c>
      <x:c r="N627" s="74" t="n">
        <x:f>1-F627/M627</x:f>
        <x:v>0</x:v>
      </x:c>
    </x:row>
    <x:row r="628" ht="27" customHeight="1">
      <x:c r="A628" s="66" t="str">
        <x:v>SQD620</x:v>
      </x:c>
      <x:c r="B628" s="66" t="str">
        <x:v>深度梦扬量化套利0号</x:v>
      </x:c>
      <x:c r="C628" s="72" t="n">
        <x:v>44463</x:v>
      </x:c>
      <x:c r="D628" s="73" t="n">
        <x:v>1.02</x:v>
      </x:c>
      <x:c r="E628" s="73" t="n">
        <x:v>1.02</x:v>
      </x:c>
      <x:c r="F628" s="73" t="n">
        <x:v>1.02</x:v>
      </x:c>
      <x:c r="G628" s="74" t="n">
        <x:v>-0.001</x:v>
      </x:c>
      <x:c r="H628" s="66" t="str">
        <x:v>深度梦扬量化套利0号净值20260911.xlsx</x:v>
      </x:c>
      <x:c r="I628" s="73" t="str">
        <x:f>""</x:f>
      </x:c>
      <x:c r="J628" s="74" t="str">
        <x:f>""</x:f>
      </x:c>
      <x:c r="K628" s="73" t="str">
        <x:f>""</x:f>
      </x:c>
      <x:c r="L628" s="74" t="str">
        <x:f>""</x:f>
      </x:c>
      <x:c r="M628" s="73" t="n">
        <x:f>MAX(M627,F628)</x:f>
        <x:v>1.021</x:v>
      </x:c>
      <x:c r="N628" s="74" t="n">
        <x:f>1-F628/M628</x:f>
        <x:v>0.0009794319294808007</x:v>
      </x:c>
    </x:row>
    <x:row r="629" ht="27" customHeight="1">
      <x:c r="A629" s="66" t="str">
        <x:v>SQD620</x:v>
      </x:c>
      <x:c r="B629" s="66" t="str">
        <x:v>深度梦扬量化套利0号</x:v>
      </x:c>
      <x:c r="C629" s="72" t="n">
        <x:v>44466</x:v>
      </x:c>
      <x:c r="D629" s="73" t="n">
        <x:v>1.023</x:v>
      </x:c>
      <x:c r="E629" s="73" t="n">
        <x:v>1.023</x:v>
      </x:c>
      <x:c r="F629" s="73" t="n">
        <x:v>1.023</x:v>
      </x:c>
      <x:c r="G629" s="74" t="n">
        <x:v>0.0029</x:v>
      </x:c>
      <x:c r="H629" s="66" t="str">
        <x:v>深度梦扬量化套利0号净值20260911.xlsx</x:v>
      </x:c>
      <x:c r="I629" s="73" t="str">
        <x:f>""</x:f>
      </x:c>
      <x:c r="J629" s="74" t="str">
        <x:f>""</x:f>
      </x:c>
      <x:c r="K629" s="73" t="str">
        <x:f>""</x:f>
      </x:c>
      <x:c r="L629" s="74" t="str">
        <x:f>""</x:f>
      </x:c>
      <x:c r="M629" s="73" t="n">
        <x:f>MAX(M628,F629)</x:f>
        <x:v>1.023</x:v>
      </x:c>
      <x:c r="N629" s="74" t="n">
        <x:f>1-F629/M629</x:f>
        <x:v>0</x:v>
      </x:c>
    </x:row>
    <x:row r="630" ht="27" customHeight="1">
      <x:c r="A630" s="66" t="str">
        <x:v>SQD620</x:v>
      </x:c>
      <x:c r="B630" s="66" t="str">
        <x:v>深度梦扬量化套利0号</x:v>
      </x:c>
      <x:c r="C630" s="72" t="n">
        <x:v>44467</x:v>
      </x:c>
      <x:c r="D630" s="73" t="n">
        <x:v>1.022</x:v>
      </x:c>
      <x:c r="E630" s="73" t="n">
        <x:v>1.022</x:v>
      </x:c>
      <x:c r="F630" s="73" t="n">
        <x:v>1.022</x:v>
      </x:c>
      <x:c r="G630" s="74" t="n">
        <x:v>-0.001</x:v>
      </x:c>
      <x:c r="H630" s="66" t="str">
        <x:v>深度梦扬量化套利0号净值20260911.xlsx</x:v>
      </x:c>
      <x:c r="I630" s="73" t="str">
        <x:f>""</x:f>
      </x:c>
      <x:c r="J630" s="74" t="str">
        <x:f>""</x:f>
      </x:c>
      <x:c r="K630" s="73" t="str">
        <x:f>""</x:f>
      </x:c>
      <x:c r="L630" s="74" t="str">
        <x:f>""</x:f>
      </x:c>
      <x:c r="M630" s="73" t="n">
        <x:f>MAX(M629,F630)</x:f>
        <x:v>1.023</x:v>
      </x:c>
      <x:c r="N630" s="74" t="n">
        <x:f>1-F630/M630</x:f>
        <x:v>0.0009775171065492527</x:v>
      </x:c>
    </x:row>
    <x:row r="631" ht="27" customHeight="1">
      <x:c r="A631" s="66" t="str">
        <x:v>SQD620</x:v>
      </x:c>
      <x:c r="B631" s="66" t="str">
        <x:v>深度梦扬量化套利0号</x:v>
      </x:c>
      <x:c r="C631" s="72" t="n">
        <x:v>44468</x:v>
      </x:c>
      <x:c r="D631" s="73" t="n">
        <x:v>1.023</x:v>
      </x:c>
      <x:c r="E631" s="73" t="n">
        <x:v>1.023</x:v>
      </x:c>
      <x:c r="F631" s="73" t="n">
        <x:v>1.023</x:v>
      </x:c>
      <x:c r="G631" s="74" t="n">
        <x:v>0.001</x:v>
      </x:c>
      <x:c r="H631" s="66" t="str">
        <x:v>深度梦扬量化套利0号净值20260911.xlsx</x:v>
      </x:c>
      <x:c r="I631" s="73" t="str">
        <x:f>""</x:f>
      </x:c>
      <x:c r="J631" s="74" t="str">
        <x:f>""</x:f>
      </x:c>
      <x:c r="K631" s="73" t="str">
        <x:f>""</x:f>
      </x:c>
      <x:c r="L631" s="74" t="str">
        <x:f>""</x:f>
      </x:c>
      <x:c r="M631" s="73" t="n">
        <x:f>MAX(M630,F631)</x:f>
        <x:v>1.023</x:v>
      </x:c>
      <x:c r="N631" s="74" t="n">
        <x:f>1-F631/M631</x:f>
        <x:v>0</x:v>
      </x:c>
    </x:row>
    <x:row r="632" ht="27" customHeight="1">
      <x:c r="A632" s="66" t="str">
        <x:v>SQD620</x:v>
      </x:c>
      <x:c r="B632" s="66" t="str">
        <x:v>深度梦扬量化套利0号</x:v>
      </x:c>
      <x:c r="C632" s="72" t="n">
        <x:v>44469</x:v>
      </x:c>
      <x:c r="D632" s="73" t="n">
        <x:v>1.025</x:v>
      </x:c>
      <x:c r="E632" s="73" t="n">
        <x:v>1.025</x:v>
      </x:c>
      <x:c r="F632" s="73" t="n">
        <x:v>1.025</x:v>
      </x:c>
      <x:c r="G632" s="74" t="n">
        <x:v>0.002</x:v>
      </x:c>
      <x:c r="H632" s="66" t="str">
        <x:v>深度梦扬量化套利0号净值20260911.xlsx</x:v>
      </x:c>
      <x:c r="I632" s="73" t="str">
        <x:f>""</x:f>
      </x:c>
      <x:c r="J632" s="74" t="str">
        <x:f>""</x:f>
      </x:c>
      <x:c r="K632" s="73" t="str">
        <x:f>""</x:f>
      </x:c>
      <x:c r="L632" s="74" t="str">
        <x:f>""</x:f>
      </x:c>
      <x:c r="M632" s="73" t="n">
        <x:f>MAX(M631,F632)</x:f>
        <x:v>1.025</x:v>
      </x:c>
      <x:c r="N632" s="74" t="n">
        <x:f>1-F632/M632</x:f>
        <x:v>0</x:v>
      </x:c>
    </x:row>
    <x:row r="633" ht="27" customHeight="1">
      <x:c r="A633" s="66" t="str">
        <x:v>SQD620</x:v>
      </x:c>
      <x:c r="B633" s="66" t="str">
        <x:v>深度梦扬量化套利0号</x:v>
      </x:c>
      <x:c r="C633" s="72" t="n">
        <x:v>44477</x:v>
      </x:c>
      <x:c r="D633" s="73" t="n">
        <x:v>1.026</x:v>
      </x:c>
      <x:c r="E633" s="73" t="n">
        <x:v>1.026</x:v>
      </x:c>
      <x:c r="F633" s="73" t="n">
        <x:v>1.026</x:v>
      </x:c>
      <x:c r="G633" s="74" t="n">
        <x:v>0.001</x:v>
      </x:c>
      <x:c r="H633" s="66" t="str">
        <x:v>深度梦扬量化套利0号净值20260911.xlsx</x:v>
      </x:c>
      <x:c r="I633" s="73" t="str">
        <x:f>""</x:f>
      </x:c>
      <x:c r="J633" s="74" t="str">
        <x:f>""</x:f>
      </x:c>
      <x:c r="K633" s="73" t="str">
        <x:f>""</x:f>
      </x:c>
      <x:c r="L633" s="74" t="str">
        <x:f>""</x:f>
      </x:c>
      <x:c r="M633" s="73" t="n">
        <x:f>MAX(M632,F633)</x:f>
        <x:v>1.026</x:v>
      </x:c>
      <x:c r="N633" s="74" t="n">
        <x:f>1-F633/M633</x:f>
        <x:v>0</x:v>
      </x:c>
    </x:row>
    <x:row r="634" ht="27" customHeight="1">
      <x:c r="A634" s="66" t="str">
        <x:v>SQD620</x:v>
      </x:c>
      <x:c r="B634" s="66" t="str">
        <x:v>深度梦扬量化套利0号</x:v>
      </x:c>
      <x:c r="C634" s="72" t="n">
        <x:v>44483</x:v>
      </x:c>
      <x:c r="D634" s="73" t="n">
        <x:v>1.031</x:v>
      </x:c>
      <x:c r="E634" s="73" t="n">
        <x:v>1.031</x:v>
      </x:c>
      <x:c r="F634" s="73" t="n">
        <x:v>1.031</x:v>
      </x:c>
      <x:c r="G634" s="74" t="n">
        <x:v>0.0049</x:v>
      </x:c>
      <x:c r="H634" s="66" t="str">
        <x:v>深度梦扬量化套利0号净值20260911.xlsx</x:v>
      </x:c>
      <x:c r="I634" s="73" t="str">
        <x:f>""</x:f>
      </x:c>
      <x:c r="J634" s="74" t="str">
        <x:f>""</x:f>
      </x:c>
      <x:c r="K634" s="73" t="str">
        <x:f>""</x:f>
      </x:c>
      <x:c r="L634" s="74" t="str">
        <x:f>""</x:f>
      </x:c>
      <x:c r="M634" s="73" t="n">
        <x:f>MAX(M633,F634)</x:f>
        <x:v>1.031</x:v>
      </x:c>
      <x:c r="N634" s="74" t="n">
        <x:f>1-F634/M634</x:f>
        <x:v>0</x:v>
      </x:c>
    </x:row>
    <x:row r="635" ht="27" customHeight="1">
      <x:c r="A635" s="66" t="str">
        <x:v>SQD620</x:v>
      </x:c>
      <x:c r="B635" s="66" t="str">
        <x:v>深度梦扬量化套利0号</x:v>
      </x:c>
      <x:c r="C635" s="72" t="n">
        <x:v>44484</x:v>
      </x:c>
      <x:c r="D635" s="73" t="n">
        <x:v>1.031</x:v>
      </x:c>
      <x:c r="E635" s="73" t="n">
        <x:v>1.031</x:v>
      </x:c>
      <x:c r="F635" s="73" t="n">
        <x:v>1.031</x:v>
      </x:c>
      <x:c r="G635" s="74" t="n">
        <x:v>0</x:v>
      </x:c>
      <x:c r="H635" s="66" t="str">
        <x:v>深度梦扬量化套利0号净值20260911.xlsx</x:v>
      </x:c>
      <x:c r="I635" s="73" t="str">
        <x:f>""</x:f>
      </x:c>
      <x:c r="J635" s="74" t="str">
        <x:f>""</x:f>
      </x:c>
      <x:c r="K635" s="73" t="str">
        <x:f>""</x:f>
      </x:c>
      <x:c r="L635" s="74" t="str">
        <x:f>""</x:f>
      </x:c>
      <x:c r="M635" s="73" t="n">
        <x:f>MAX(M634,F635)</x:f>
        <x:v>1.031</x:v>
      </x:c>
      <x:c r="N635" s="74" t="n">
        <x:f>1-F635/M635</x:f>
        <x:v>0</x:v>
      </x:c>
    </x:row>
    <x:row r="636" ht="27" customHeight="1">
      <x:c r="A636" s="66" t="str">
        <x:v>SQD620</x:v>
      </x:c>
      <x:c r="B636" s="66" t="str">
        <x:v>深度梦扬量化套利0号</x:v>
      </x:c>
      <x:c r="C636" s="72" t="n">
        <x:v>44490</x:v>
      </x:c>
      <x:c r="D636" s="73" t="n">
        <x:v>1.035</x:v>
      </x:c>
      <x:c r="E636" s="73" t="n">
        <x:v>1.035</x:v>
      </x:c>
      <x:c r="F636" s="73" t="n">
        <x:v>1.035</x:v>
      </x:c>
      <x:c r="G636" s="74" t="n">
        <x:v>0.0039000000000000003</x:v>
      </x:c>
      <x:c r="H636" s="66" t="str">
        <x:v>深度梦扬量化套利0号净值20260911.xlsx</x:v>
      </x:c>
      <x:c r="I636" s="73" t="str">
        <x:f>""</x:f>
      </x:c>
      <x:c r="J636" s="74" t="str">
        <x:f>""</x:f>
      </x:c>
      <x:c r="K636" s="73" t="str">
        <x:f>""</x:f>
      </x:c>
      <x:c r="L636" s="74" t="str">
        <x:f>""</x:f>
      </x:c>
      <x:c r="M636" s="73" t="n">
        <x:f>MAX(M635,F636)</x:f>
        <x:v>1.035</x:v>
      </x:c>
      <x:c r="N636" s="74" t="n">
        <x:f>1-F636/M636</x:f>
        <x:v>0</x:v>
      </x:c>
    </x:row>
    <x:row r="637" ht="27" customHeight="1">
      <x:c r="A637" s="66" t="str">
        <x:v>SQD620</x:v>
      </x:c>
      <x:c r="B637" s="66" t="str">
        <x:v>深度梦扬量化套利0号</x:v>
      </x:c>
      <x:c r="C637" s="72" t="n">
        <x:v>44491</x:v>
      </x:c>
      <x:c r="D637" s="73" t="n">
        <x:v>1.034</x:v>
      </x:c>
      <x:c r="E637" s="73" t="n">
        <x:v>1.034</x:v>
      </x:c>
      <x:c r="F637" s="73" t="n">
        <x:v>1.034</x:v>
      </x:c>
      <x:c r="G637" s="74" t="n">
        <x:v>-0.001</x:v>
      </x:c>
      <x:c r="H637" s="66" t="str">
        <x:v>深度梦扬量化套利0号净值20260911.xlsx</x:v>
      </x:c>
      <x:c r="I637" s="73" t="str">
        <x:f>""</x:f>
      </x:c>
      <x:c r="J637" s="74" t="str">
        <x:f>""</x:f>
      </x:c>
      <x:c r="K637" s="73" t="str">
        <x:f>""</x:f>
      </x:c>
      <x:c r="L637" s="74" t="str">
        <x:f>""</x:f>
      </x:c>
      <x:c r="M637" s="73" t="n">
        <x:f>MAX(M636,F637)</x:f>
        <x:v>1.035</x:v>
      </x:c>
      <x:c r="N637" s="74" t="n">
        <x:f>1-F637/M637</x:f>
        <x:v>0.0009661835748790981</x:v>
      </x:c>
    </x:row>
    <x:row r="638" ht="27" customHeight="1">
      <x:c r="A638" s="66" t="str">
        <x:v>SQD620</x:v>
      </x:c>
      <x:c r="B638" s="66" t="str">
        <x:v>深度梦扬量化套利0号</x:v>
      </x:c>
      <x:c r="C638" s="72" t="n">
        <x:v>44497</x:v>
      </x:c>
      <x:c r="D638" s="73" t="n">
        <x:v>1.034</x:v>
      </x:c>
      <x:c r="E638" s="73" t="n">
        <x:v>1.034</x:v>
      </x:c>
      <x:c r="F638" s="73" t="n">
        <x:v>1.034</x:v>
      </x:c>
      <x:c r="G638" s="74" t="n">
        <x:v>0</x:v>
      </x:c>
      <x:c r="H638" s="66" t="str">
        <x:v>深度梦扬量化套利0号净值20260911.xlsx</x:v>
      </x:c>
      <x:c r="I638" s="73" t="str">
        <x:f>""</x:f>
      </x:c>
      <x:c r="J638" s="74" t="str">
        <x:f>""</x:f>
      </x:c>
      <x:c r="K638" s="73" t="str">
        <x:f>""</x:f>
      </x:c>
      <x:c r="L638" s="74" t="str">
        <x:f>""</x:f>
      </x:c>
      <x:c r="M638" s="73" t="n">
        <x:f>MAX(M637,F638)</x:f>
        <x:v>1.035</x:v>
      </x:c>
      <x:c r="N638" s="74" t="n">
        <x:f>1-F638/M638</x:f>
        <x:v>0.0009661835748790981</x:v>
      </x:c>
    </x:row>
    <x:row r="639" ht="27" customHeight="1">
      <x:c r="A639" s="66" t="str">
        <x:v>SQD620</x:v>
      </x:c>
      <x:c r="B639" s="66" t="str">
        <x:v>深度梦扬量化套利0号</x:v>
      </x:c>
      <x:c r="C639" s="72" t="n">
        <x:v>44498</x:v>
      </x:c>
      <x:c r="D639" s="73" t="n">
        <x:v>1.037</x:v>
      </x:c>
      <x:c r="E639" s="73" t="n">
        <x:v>1.037</x:v>
      </x:c>
      <x:c r="F639" s="73" t="n">
        <x:v>1.037</x:v>
      </x:c>
      <x:c r="G639" s="74" t="n">
        <x:v>0.0029</x:v>
      </x:c>
      <x:c r="H639" s="66" t="str">
        <x:v>深度梦扬量化套利0号净值20260911.xlsx</x:v>
      </x:c>
      <x:c r="I639" s="73" t="str">
        <x:f>""</x:f>
      </x:c>
      <x:c r="J639" s="74" t="str">
        <x:f>""</x:f>
      </x:c>
      <x:c r="K639" s="73" t="str">
        <x:f>""</x:f>
      </x:c>
      <x:c r="L639" s="74" t="str">
        <x:f>""</x:f>
      </x:c>
      <x:c r="M639" s="73" t="n">
        <x:f>MAX(M638,F639)</x:f>
        <x:v>1.037</x:v>
      </x:c>
      <x:c r="N639" s="74" t="n">
        <x:f>1-F639/M639</x:f>
        <x:v>0</x:v>
      </x:c>
    </x:row>
    <x:row r="640" ht="27" customHeight="1">
      <x:c r="A640" s="66" t="str">
        <x:v>SQD620</x:v>
      </x:c>
      <x:c r="B640" s="66" t="str">
        <x:v>深度梦扬量化套利0号</x:v>
      </x:c>
      <x:c r="C640" s="72" t="n">
        <x:v>44504</x:v>
      </x:c>
      <x:c r="D640" s="73" t="n">
        <x:v>1.039</x:v>
      </x:c>
      <x:c r="E640" s="73" t="n">
        <x:v>1.039</x:v>
      </x:c>
      <x:c r="F640" s="73" t="n">
        <x:v>1.039</x:v>
      </x:c>
      <x:c r="G640" s="74" t="n">
        <x:v>0.0019</x:v>
      </x:c>
      <x:c r="H640" s="66" t="str">
        <x:v>深度梦扬量化套利0号净值20260911.xlsx</x:v>
      </x:c>
      <x:c r="I640" s="73" t="str">
        <x:f>""</x:f>
      </x:c>
      <x:c r="J640" s="74" t="str">
        <x:f>""</x:f>
      </x:c>
      <x:c r="K640" s="73" t="str">
        <x:f>""</x:f>
      </x:c>
      <x:c r="L640" s="74" t="str">
        <x:f>""</x:f>
      </x:c>
      <x:c r="M640" s="73" t="n">
        <x:f>MAX(M639,F640)</x:f>
        <x:v>1.039</x:v>
      </x:c>
      <x:c r="N640" s="74" t="n">
        <x:f>1-F640/M640</x:f>
        <x:v>0</x:v>
      </x:c>
    </x:row>
    <x:row r="641" ht="27" customHeight="1">
      <x:c r="A641" s="66" t="str">
        <x:v>SQD620</x:v>
      </x:c>
      <x:c r="B641" s="66" t="str">
        <x:v>深度梦扬量化套利0号</x:v>
      </x:c>
      <x:c r="C641" s="72" t="n">
        <x:v>44505</x:v>
      </x:c>
      <x:c r="D641" s="73" t="n">
        <x:v>1.04</x:v>
      </x:c>
      <x:c r="E641" s="73" t="n">
        <x:v>1.04</x:v>
      </x:c>
      <x:c r="F641" s="73" t="n">
        <x:v>1.04</x:v>
      </x:c>
      <x:c r="G641" s="74" t="n">
        <x:v>0.001</x:v>
      </x:c>
      <x:c r="H641" s="66" t="str">
        <x:v>深度梦扬量化套利0号净值20260911.xlsx</x:v>
      </x:c>
      <x:c r="I641" s="73" t="str">
        <x:f>""</x:f>
      </x:c>
      <x:c r="J641" s="74" t="str">
        <x:f>""</x:f>
      </x:c>
      <x:c r="K641" s="73" t="str">
        <x:f>""</x:f>
      </x:c>
      <x:c r="L641" s="74" t="str">
        <x:f>""</x:f>
      </x:c>
      <x:c r="M641" s="73" t="n">
        <x:f>MAX(M640,F641)</x:f>
        <x:v>1.04</x:v>
      </x:c>
      <x:c r="N641" s="74" t="n">
        <x:f>1-F641/M641</x:f>
        <x:v>0</x:v>
      </x:c>
    </x:row>
    <x:row r="642" ht="27" customHeight="1">
      <x:c r="A642" s="66" t="str">
        <x:v>SQD620</x:v>
      </x:c>
      <x:c r="B642" s="66" t="str">
        <x:v>深度梦扬量化套利0号</x:v>
      </x:c>
      <x:c r="C642" s="72" t="n">
        <x:v>44511</x:v>
      </x:c>
      <x:c r="D642" s="73" t="n">
        <x:v>1.044</x:v>
      </x:c>
      <x:c r="E642" s="73" t="n">
        <x:v>1.044</x:v>
      </x:c>
      <x:c r="F642" s="73" t="n">
        <x:v>1.044</x:v>
      </x:c>
      <x:c r="G642" s="74" t="n">
        <x:v>0.0038</x:v>
      </x:c>
      <x:c r="H642" s="66" t="str">
        <x:v>深度梦扬量化套利0号净值20260911.xlsx</x:v>
      </x:c>
      <x:c r="I642" s="73" t="str">
        <x:f>""</x:f>
      </x:c>
      <x:c r="J642" s="74" t="str">
        <x:f>""</x:f>
      </x:c>
      <x:c r="K642" s="73" t="str">
        <x:f>""</x:f>
      </x:c>
      <x:c r="L642" s="74" t="str">
        <x:f>""</x:f>
      </x:c>
      <x:c r="M642" s="73" t="n">
        <x:f>MAX(M641,F642)</x:f>
        <x:v>1.044</x:v>
      </x:c>
      <x:c r="N642" s="74" t="n">
        <x:f>1-F642/M642</x:f>
        <x:v>0</x:v>
      </x:c>
    </x:row>
    <x:row r="643" ht="27" customHeight="1">
      <x:c r="A643" s="66" t="str">
        <x:v>SQD620</x:v>
      </x:c>
      <x:c r="B643" s="66" t="str">
        <x:v>深度梦扬量化套利0号</x:v>
      </x:c>
      <x:c r="C643" s="72" t="n">
        <x:v>44512</x:v>
      </x:c>
      <x:c r="D643" s="73" t="n">
        <x:v>1.043</x:v>
      </x:c>
      <x:c r="E643" s="73" t="n">
        <x:v>1.043</x:v>
      </x:c>
      <x:c r="F643" s="73" t="n">
        <x:v>1.043</x:v>
      </x:c>
      <x:c r="G643" s="74" t="n">
        <x:v>-0.001</x:v>
      </x:c>
      <x:c r="H643" s="66" t="str">
        <x:v>深度梦扬量化套利0号净值20260911.xlsx</x:v>
      </x:c>
      <x:c r="I643" s="73" t="str">
        <x:f>""</x:f>
      </x:c>
      <x:c r="J643" s="74" t="str">
        <x:f>""</x:f>
      </x:c>
      <x:c r="K643" s="73" t="str">
        <x:f>""</x:f>
      </x:c>
      <x:c r="L643" s="74" t="str">
        <x:f>""</x:f>
      </x:c>
      <x:c r="M643" s="73" t="n">
        <x:f>MAX(M642,F643)</x:f>
        <x:v>1.044</x:v>
      </x:c>
      <x:c r="N643" s="74" t="n">
        <x:f>1-F643/M643</x:f>
        <x:v>0.0009578544061303873</x:v>
      </x:c>
    </x:row>
    <x:row r="644" ht="27" customHeight="1">
      <x:c r="A644" s="66" t="str">
        <x:v>SQD620</x:v>
      </x:c>
      <x:c r="B644" s="66" t="str">
        <x:v>深度梦扬量化套利0号</x:v>
      </x:c>
      <x:c r="C644" s="72" t="n">
        <x:v>44518</x:v>
      </x:c>
      <x:c r="D644" s="73" t="n">
        <x:v>1.045</x:v>
      </x:c>
      <x:c r="E644" s="73" t="n">
        <x:v>1.045</x:v>
      </x:c>
      <x:c r="F644" s="73" t="n">
        <x:v>1.045</x:v>
      </x:c>
      <x:c r="G644" s="74" t="n">
        <x:v>0.0019</x:v>
      </x:c>
      <x:c r="H644" s="66" t="str">
        <x:v>深度梦扬量化套利0号净值20260911.xlsx</x:v>
      </x:c>
      <x:c r="I644" s="73" t="str">
        <x:f>""</x:f>
      </x:c>
      <x:c r="J644" s="74" t="str">
        <x:f>""</x:f>
      </x:c>
      <x:c r="K644" s="73" t="str">
        <x:f>""</x:f>
      </x:c>
      <x:c r="L644" s="74" t="str">
        <x:f>""</x:f>
      </x:c>
      <x:c r="M644" s="73" t="n">
        <x:f>MAX(M643,F644)</x:f>
        <x:v>1.045</x:v>
      </x:c>
      <x:c r="N644" s="74" t="n">
        <x:f>1-F644/M644</x:f>
        <x:v>0</x:v>
      </x:c>
    </x:row>
    <x:row r="645" ht="27" customHeight="1">
      <x:c r="A645" s="66" t="str">
        <x:v>SQD620</x:v>
      </x:c>
      <x:c r="B645" s="66" t="str">
        <x:v>深度梦扬量化套利0号</x:v>
      </x:c>
      <x:c r="C645" s="72" t="n">
        <x:v>44519</x:v>
      </x:c>
      <x:c r="D645" s="73" t="n">
        <x:v>1.046</x:v>
      </x:c>
      <x:c r="E645" s="73" t="n">
        <x:v>1.046</x:v>
      </x:c>
      <x:c r="F645" s="73" t="n">
        <x:v>1.046</x:v>
      </x:c>
      <x:c r="G645" s="74" t="n">
        <x:v>0.001</x:v>
      </x:c>
      <x:c r="H645" s="66" t="str">
        <x:v>深度梦扬量化套利0号净值20260911.xlsx</x:v>
      </x:c>
      <x:c r="I645" s="73" t="str">
        <x:f>""</x:f>
      </x:c>
      <x:c r="J645" s="74" t="str">
        <x:f>""</x:f>
      </x:c>
      <x:c r="K645" s="73" t="str">
        <x:f>""</x:f>
      </x:c>
      <x:c r="L645" s="74" t="str">
        <x:f>""</x:f>
      </x:c>
      <x:c r="M645" s="73" t="n">
        <x:f>MAX(M644,F645)</x:f>
        <x:v>1.046</x:v>
      </x:c>
      <x:c r="N645" s="74" t="n">
        <x:f>1-F645/M645</x:f>
        <x:v>0</x:v>
      </x:c>
    </x:row>
    <x:row r="646" ht="27" customHeight="1">
      <x:c r="A646" s="66" t="str">
        <x:v>SQD620</x:v>
      </x:c>
      <x:c r="B646" s="66" t="str">
        <x:v>深度梦扬量化套利0号</x:v>
      </x:c>
      <x:c r="C646" s="72" t="n">
        <x:v>44525</x:v>
      </x:c>
      <x:c r="D646" s="73" t="n">
        <x:v>1.046</x:v>
      </x:c>
      <x:c r="E646" s="73" t="n">
        <x:v>1.046</x:v>
      </x:c>
      <x:c r="F646" s="73" t="n">
        <x:v>1.046</x:v>
      </x:c>
      <x:c r="G646" s="74" t="n">
        <x:v>0</x:v>
      </x:c>
      <x:c r="H646" s="66" t="str">
        <x:v>深度梦扬量化套利0号净值20260911.xlsx</x:v>
      </x:c>
      <x:c r="I646" s="73" t="str">
        <x:f>""</x:f>
      </x:c>
      <x:c r="J646" s="74" t="str">
        <x:f>""</x:f>
      </x:c>
      <x:c r="K646" s="73" t="str">
        <x:f>""</x:f>
      </x:c>
      <x:c r="L646" s="74" t="str">
        <x:f>""</x:f>
      </x:c>
      <x:c r="M646" s="73" t="n">
        <x:f>MAX(M645,F646)</x:f>
        <x:v>1.046</x:v>
      </x:c>
      <x:c r="N646" s="74" t="n">
        <x:f>1-F646/M646</x:f>
        <x:v>0</x:v>
      </x:c>
    </x:row>
    <x:row r="647" ht="27" customHeight="1">
      <x:c r="A647" s="66" t="str">
        <x:v>SQD620</x:v>
      </x:c>
      <x:c r="B647" s="66" t="str">
        <x:v>深度梦扬量化套利0号</x:v>
      </x:c>
      <x:c r="C647" s="72" t="n">
        <x:v>44526</x:v>
      </x:c>
      <x:c r="D647" s="73" t="n">
        <x:v>1.047</x:v>
      </x:c>
      <x:c r="E647" s="73" t="n">
        <x:v>1.047</x:v>
      </x:c>
      <x:c r="F647" s="73" t="n">
        <x:v>1.047</x:v>
      </x:c>
      <x:c r="G647" s="74" t="n">
        <x:v>0.001</x:v>
      </x:c>
      <x:c r="H647" s="66" t="str">
        <x:v>深度梦扬量化套利0号净值20260911.xlsx</x:v>
      </x:c>
      <x:c r="I647" s="73" t="str">
        <x:f>""</x:f>
      </x:c>
      <x:c r="J647" s="74" t="str">
        <x:f>""</x:f>
      </x:c>
      <x:c r="K647" s="73" t="str">
        <x:f>""</x:f>
      </x:c>
      <x:c r="L647" s="74" t="str">
        <x:f>""</x:f>
      </x:c>
      <x:c r="M647" s="73" t="n">
        <x:f>MAX(M646,F647)</x:f>
        <x:v>1.047</x:v>
      </x:c>
      <x:c r="N647" s="74" t="n">
        <x:f>1-F647/M647</x:f>
        <x:v>0</x:v>
      </x:c>
    </x:row>
    <x:row r="648" ht="27" customHeight="1">
      <x:c r="A648" s="66" t="str">
        <x:v>SQD620</x:v>
      </x:c>
      <x:c r="B648" s="66" t="str">
        <x:v>深度梦扬量化套利0号</x:v>
      </x:c>
      <x:c r="C648" s="72" t="n">
        <x:v>44530</x:v>
      </x:c>
      <x:c r="D648" s="73" t="n">
        <x:v>1.043</x:v>
      </x:c>
      <x:c r="E648" s="73" t="n">
        <x:v>1.043</x:v>
      </x:c>
      <x:c r="F648" s="73" t="n">
        <x:v>1.043</x:v>
      </x:c>
      <x:c r="G648" s="74" t="n">
        <x:v>-0.0038</x:v>
      </x:c>
      <x:c r="H648" s="66" t="str">
        <x:v>深度梦扬量化套利0号净值20260911.xlsx</x:v>
      </x:c>
      <x:c r="I648" s="73" t="str">
        <x:f>""</x:f>
      </x:c>
      <x:c r="J648" s="74" t="str">
        <x:f>""</x:f>
      </x:c>
      <x:c r="K648" s="73" t="str">
        <x:f>""</x:f>
      </x:c>
      <x:c r="L648" s="74" t="str">
        <x:f>""</x:f>
      </x:c>
      <x:c r="M648" s="73" t="n">
        <x:f>MAX(M647,F648)</x:f>
        <x:v>1.047</x:v>
      </x:c>
      <x:c r="N648" s="74" t="n">
        <x:f>1-F648/M648</x:f>
        <x:v>0.00382043935052534</x:v>
      </x:c>
    </x:row>
    <x:row r="649" ht="27" customHeight="1">
      <x:c r="A649" s="66" t="str">
        <x:v>SQD620</x:v>
      </x:c>
      <x:c r="B649" s="66" t="str">
        <x:v>深度梦扬量化套利0号</x:v>
      </x:c>
      <x:c r="C649" s="72" t="n">
        <x:v>44532</x:v>
      </x:c>
      <x:c r="D649" s="73" t="n">
        <x:v>1.048</x:v>
      </x:c>
      <x:c r="E649" s="73" t="n">
        <x:v>1.048</x:v>
      </x:c>
      <x:c r="F649" s="73" t="n">
        <x:v>1.048</x:v>
      </x:c>
      <x:c r="G649" s="74" t="n">
        <x:v>0.0048</x:v>
      </x:c>
      <x:c r="H649" s="66" t="str">
        <x:v>深度梦扬量化套利0号净值20260911.xlsx</x:v>
      </x:c>
      <x:c r="I649" s="73" t="str">
        <x:f>""</x:f>
      </x:c>
      <x:c r="J649" s="74" t="str">
        <x:f>""</x:f>
      </x:c>
      <x:c r="K649" s="73" t="str">
        <x:f>""</x:f>
      </x:c>
      <x:c r="L649" s="74" t="str">
        <x:f>""</x:f>
      </x:c>
      <x:c r="M649" s="73" t="n">
        <x:f>MAX(M648,F649)</x:f>
        <x:v>1.048</x:v>
      </x:c>
      <x:c r="N649" s="74" t="n">
        <x:f>1-F649/M649</x:f>
        <x:v>0</x:v>
      </x:c>
    </x:row>
    <x:row r="650" ht="27" customHeight="1">
      <x:c r="A650" s="66" t="str">
        <x:v>SQD620</x:v>
      </x:c>
      <x:c r="B650" s="66" t="str">
        <x:v>深度梦扬量化套利0号</x:v>
      </x:c>
      <x:c r="C650" s="72" t="n">
        <x:v>44533</x:v>
      </x:c>
      <x:c r="D650" s="73" t="n">
        <x:v>1.05</x:v>
      </x:c>
      <x:c r="E650" s="73" t="n">
        <x:v>1.05</x:v>
      </x:c>
      <x:c r="F650" s="73" t="n">
        <x:v>1.05</x:v>
      </x:c>
      <x:c r="G650" s="74" t="n">
        <x:v>0.0019</x:v>
      </x:c>
      <x:c r="H650" s="66" t="str">
        <x:v>深度梦扬量化套利0号净值20260911.xlsx</x:v>
      </x:c>
      <x:c r="I650" s="73" t="str">
        <x:f>""</x:f>
      </x:c>
      <x:c r="J650" s="74" t="str">
        <x:f>""</x:f>
      </x:c>
      <x:c r="K650" s="73" t="str">
        <x:f>""</x:f>
      </x:c>
      <x:c r="L650" s="74" t="str">
        <x:f>""</x:f>
      </x:c>
      <x:c r="M650" s="73" t="n">
        <x:f>MAX(M649,F650)</x:f>
        <x:v>1.05</x:v>
      </x:c>
      <x:c r="N650" s="74" t="n">
        <x:f>1-F650/M650</x:f>
        <x:v>0</x:v>
      </x:c>
    </x:row>
    <x:row r="651" ht="27" customHeight="1">
      <x:c r="A651" s="66" t="str">
        <x:v>SQD620</x:v>
      </x:c>
      <x:c r="B651" s="66" t="str">
        <x:v>深度梦扬量化套利0号</x:v>
      </x:c>
      <x:c r="C651" s="72" t="n">
        <x:v>44539</x:v>
      </x:c>
      <x:c r="D651" s="73" t="n">
        <x:v>1.047</x:v>
      </x:c>
      <x:c r="E651" s="73" t="n">
        <x:v>1.047</x:v>
      </x:c>
      <x:c r="F651" s="73" t="n">
        <x:v>1.047</x:v>
      </x:c>
      <x:c r="G651" s="74" t="n">
        <x:v>-0.0029</x:v>
      </x:c>
      <x:c r="H651" s="66" t="str">
        <x:v>深度梦扬量化套利0号净值20260911.xlsx</x:v>
      </x:c>
      <x:c r="I651" s="73" t="str">
        <x:f>""</x:f>
      </x:c>
      <x:c r="J651" s="74" t="str">
        <x:f>""</x:f>
      </x:c>
      <x:c r="K651" s="73" t="str">
        <x:f>""</x:f>
      </x:c>
      <x:c r="L651" s="74" t="str">
        <x:f>""</x:f>
      </x:c>
      <x:c r="M651" s="73" t="n">
        <x:f>MAX(M650,F651)</x:f>
        <x:v>1.05</x:v>
      </x:c>
      <x:c r="N651" s="74" t="n">
        <x:f>1-F651/M651</x:f>
        <x:v>0.0028571428571430024</x:v>
      </x:c>
    </x:row>
    <x:row r="652" ht="27" customHeight="1">
      <x:c r="A652" s="66" t="str">
        <x:v>SQD620</x:v>
      </x:c>
      <x:c r="B652" s="66" t="str">
        <x:v>深度梦扬量化套利0号</x:v>
      </x:c>
      <x:c r="C652" s="72" t="n">
        <x:v>44540</x:v>
      </x:c>
      <x:c r="D652" s="73" t="n">
        <x:v>1.05</x:v>
      </x:c>
      <x:c r="E652" s="73" t="n">
        <x:v>1.05</x:v>
      </x:c>
      <x:c r="F652" s="73" t="n">
        <x:v>1.05</x:v>
      </x:c>
      <x:c r="G652" s="74" t="n">
        <x:v>0.0029</x:v>
      </x:c>
      <x:c r="H652" s="66" t="str">
        <x:v>深度梦扬量化套利0号净值20260911.xlsx</x:v>
      </x:c>
      <x:c r="I652" s="73" t="str">
        <x:f>""</x:f>
      </x:c>
      <x:c r="J652" s="74" t="str">
        <x:f>""</x:f>
      </x:c>
      <x:c r="K652" s="73" t="str">
        <x:f>""</x:f>
      </x:c>
      <x:c r="L652" s="74" t="str">
        <x:f>""</x:f>
      </x:c>
      <x:c r="M652" s="73" t="n">
        <x:f>MAX(M651,F652)</x:f>
        <x:v>1.05</x:v>
      </x:c>
      <x:c r="N652" s="74" t="n">
        <x:f>1-F652/M652</x:f>
        <x:v>0</x:v>
      </x:c>
    </x:row>
    <x:row r="653" ht="27" customHeight="1">
      <x:c r="A653" s="66" t="str">
        <x:v>SQD620</x:v>
      </x:c>
      <x:c r="B653" s="66" t="str">
        <x:v>深度梦扬量化套利0号</x:v>
      </x:c>
      <x:c r="C653" s="72" t="n">
        <x:v>44546</x:v>
      </x:c>
      <x:c r="D653" s="73" t="n">
        <x:v>1.051</x:v>
      </x:c>
      <x:c r="E653" s="73" t="n">
        <x:v>1.051</x:v>
      </x:c>
      <x:c r="F653" s="73" t="n">
        <x:v>1.051</x:v>
      </x:c>
      <x:c r="G653" s="74" t="n">
        <x:v>0.001</x:v>
      </x:c>
      <x:c r="H653" s="66" t="str">
        <x:v>深度梦扬量化套利0号净值20260911.xlsx</x:v>
      </x:c>
      <x:c r="I653" s="73" t="str">
        <x:f>""</x:f>
      </x:c>
      <x:c r="J653" s="74" t="str">
        <x:f>""</x:f>
      </x:c>
      <x:c r="K653" s="73" t="str">
        <x:f>""</x:f>
      </x:c>
      <x:c r="L653" s="74" t="str">
        <x:f>""</x:f>
      </x:c>
      <x:c r="M653" s="73" t="n">
        <x:f>MAX(M652,F653)</x:f>
        <x:v>1.051</x:v>
      </x:c>
      <x:c r="N653" s="74" t="n">
        <x:f>1-F653/M653</x:f>
        <x:v>0</x:v>
      </x:c>
    </x:row>
    <x:row r="654" ht="27" customHeight="1">
      <x:c r="A654" s="66" t="str">
        <x:v>SQD620</x:v>
      </x:c>
      <x:c r="B654" s="66" t="str">
        <x:v>深度梦扬量化套利0号</x:v>
      </x:c>
      <x:c r="C654" s="72" t="n">
        <x:v>44547</x:v>
      </x:c>
      <x:c r="D654" s="73" t="n">
        <x:v>1.051</x:v>
      </x:c>
      <x:c r="E654" s="73" t="n">
        <x:v>1.051</x:v>
      </x:c>
      <x:c r="F654" s="73" t="n">
        <x:v>1.051</x:v>
      </x:c>
      <x:c r="G654" s="74" t="n">
        <x:v>0</x:v>
      </x:c>
      <x:c r="H654" s="66" t="str">
        <x:v>深度梦扬量化套利0号净值20260911.xlsx</x:v>
      </x:c>
      <x:c r="I654" s="73" t="str">
        <x:f>""</x:f>
      </x:c>
      <x:c r="J654" s="74" t="str">
        <x:f>""</x:f>
      </x:c>
      <x:c r="K654" s="73" t="str">
        <x:f>""</x:f>
      </x:c>
      <x:c r="L654" s="74" t="str">
        <x:f>""</x:f>
      </x:c>
      <x:c r="M654" s="73" t="n">
        <x:f>MAX(M653,F654)</x:f>
        <x:v>1.051</x:v>
      </x:c>
      <x:c r="N654" s="74" t="n">
        <x:f>1-F654/M654</x:f>
        <x:v>0</x:v>
      </x:c>
    </x:row>
    <x:row r="655" ht="27" customHeight="1">
      <x:c r="A655" s="66" t="str">
        <x:v>SQD620</x:v>
      </x:c>
      <x:c r="B655" s="66" t="str">
        <x:v>深度梦扬量化套利0号</x:v>
      </x:c>
      <x:c r="C655" s="72" t="n">
        <x:v>44553</x:v>
      </x:c>
      <x:c r="D655" s="73" t="n">
        <x:v>1.055</x:v>
      </x:c>
      <x:c r="E655" s="73" t="n">
        <x:v>1.055</x:v>
      </x:c>
      <x:c r="F655" s="73" t="n">
        <x:v>1.055</x:v>
      </x:c>
      <x:c r="G655" s="74" t="n">
        <x:v>0.0038</x:v>
      </x:c>
      <x:c r="H655" s="66" t="str">
        <x:v>深度梦扬量化套利0号净值20260911.xlsx</x:v>
      </x:c>
      <x:c r="I655" s="73" t="str">
        <x:f>""</x:f>
      </x:c>
      <x:c r="J655" s="74" t="str">
        <x:f>""</x:f>
      </x:c>
      <x:c r="K655" s="73" t="str">
        <x:f>""</x:f>
      </x:c>
      <x:c r="L655" s="74" t="str">
        <x:f>""</x:f>
      </x:c>
      <x:c r="M655" s="73" t="n">
        <x:f>MAX(M654,F655)</x:f>
        <x:v>1.055</x:v>
      </x:c>
      <x:c r="N655" s="74" t="n">
        <x:f>1-F655/M655</x:f>
        <x:v>0</x:v>
      </x:c>
    </x:row>
    <x:row r="656" ht="27" customHeight="1">
      <x:c r="A656" s="66" t="str">
        <x:v>SQD620</x:v>
      </x:c>
      <x:c r="B656" s="66" t="str">
        <x:v>深度梦扬量化套利0号</x:v>
      </x:c>
      <x:c r="C656" s="72" t="n">
        <x:v>44554</x:v>
      </x:c>
      <x:c r="D656" s="73" t="n">
        <x:v>1.051</x:v>
      </x:c>
      <x:c r="E656" s="73" t="n">
        <x:v>1.051</x:v>
      </x:c>
      <x:c r="F656" s="73" t="n">
        <x:v>1.051</x:v>
      </x:c>
      <x:c r="G656" s="74" t="n">
        <x:v>-0.0038</x:v>
      </x:c>
      <x:c r="H656" s="66" t="str">
        <x:v>深度梦扬量化套利0号净值20260911.xlsx</x:v>
      </x:c>
      <x:c r="I656" s="73" t="str">
        <x:f>""</x:f>
      </x:c>
      <x:c r="J656" s="74" t="str">
        <x:f>""</x:f>
      </x:c>
      <x:c r="K656" s="73" t="str">
        <x:f>""</x:f>
      </x:c>
      <x:c r="L656" s="74" t="str">
        <x:f>""</x:f>
      </x:c>
      <x:c r="M656" s="73" t="n">
        <x:f>MAX(M655,F656)</x:f>
        <x:v>1.055</x:v>
      </x:c>
      <x:c r="N656" s="74" t="n">
        <x:f>1-F656/M656</x:f>
        <x:v>0.0037914691943128354</x:v>
      </x:c>
    </x:row>
    <x:row r="657" ht="27" customHeight="1">
      <x:c r="A657" s="66" t="str">
        <x:v>SQD620</x:v>
      </x:c>
      <x:c r="B657" s="66" t="str">
        <x:v>深度梦扬量化套利0号</x:v>
      </x:c>
      <x:c r="C657" s="72" t="n">
        <x:v>44560</x:v>
      </x:c>
      <x:c r="D657" s="73" t="n">
        <x:v>1.054</x:v>
      </x:c>
      <x:c r="E657" s="73" t="n">
        <x:v>1.054</x:v>
      </x:c>
      <x:c r="F657" s="73" t="n">
        <x:v>1.054</x:v>
      </x:c>
      <x:c r="G657" s="74" t="n">
        <x:v>0.0029</x:v>
      </x:c>
      <x:c r="H657" s="66" t="str">
        <x:v>深度梦扬量化套利0号净值20260911.xlsx</x:v>
      </x:c>
      <x:c r="I657" s="73" t="str">
        <x:f>""</x:f>
      </x:c>
      <x:c r="J657" s="74" t="str">
        <x:f>""</x:f>
      </x:c>
      <x:c r="K657" s="73" t="str">
        <x:f>""</x:f>
      </x:c>
      <x:c r="L657" s="74" t="str">
        <x:f>""</x:f>
      </x:c>
      <x:c r="M657" s="73" t="n">
        <x:f>MAX(M656,F657)</x:f>
        <x:v>1.055</x:v>
      </x:c>
      <x:c r="N657" s="74" t="n">
        <x:f>1-F657/M657</x:f>
        <x:v>0.0009478672985780978</x:v>
      </x:c>
    </x:row>
    <x:row r="658" ht="27" customHeight="1">
      <x:c r="A658" s="66" t="str">
        <x:v>SQD620</x:v>
      </x:c>
      <x:c r="B658" s="66" t="str">
        <x:v>深度梦扬量化套利0号</x:v>
      </x:c>
      <x:c r="C658" s="72" t="n">
        <x:v>44561</x:v>
      </x:c>
      <x:c r="D658" s="73" t="n">
        <x:v>1.052</x:v>
      </x:c>
      <x:c r="E658" s="73" t="n">
        <x:v>1.052</x:v>
      </x:c>
      <x:c r="F658" s="73" t="n">
        <x:v>1.052</x:v>
      </x:c>
      <x:c r="G658" s="74" t="n">
        <x:v>-0.0019</x:v>
      </x:c>
      <x:c r="H658" s="66" t="str">
        <x:v>深度梦扬量化套利0号净值20260911.xlsx</x:v>
      </x:c>
      <x:c r="I658" s="73" t="str">
        <x:f>""</x:f>
      </x:c>
      <x:c r="J658" s="74" t="str">
        <x:f>""</x:f>
      </x:c>
      <x:c r="K658" s="73" t="str">
        <x:f>""</x:f>
      </x:c>
      <x:c r="L658" s="74" t="str">
        <x:f>""</x:f>
      </x:c>
      <x:c r="M658" s="73" t="n">
        <x:f>MAX(M657,F658)</x:f>
        <x:v>1.055</x:v>
      </x:c>
      <x:c r="N658" s="74" t="n">
        <x:f>1-F658/M658</x:f>
        <x:v>0.0028436018957345155</x:v>
      </x:c>
    </x:row>
    <x:row r="659" ht="27" customHeight="1">
      <x:c r="A659" s="66" t="str">
        <x:v>SQD620</x:v>
      </x:c>
      <x:c r="B659" s="66" t="str">
        <x:v>深度梦扬量化套利0号</x:v>
      </x:c>
      <x:c r="C659" s="72" t="n">
        <x:v>44567</x:v>
      </x:c>
      <x:c r="D659" s="73" t="n">
        <x:v>1.055</x:v>
      </x:c>
      <x:c r="E659" s="73" t="n">
        <x:v>1.055</x:v>
      </x:c>
      <x:c r="F659" s="73" t="n">
        <x:v>1.055</x:v>
      </x:c>
      <x:c r="G659" s="74" t="n">
        <x:v>0.0029</x:v>
      </x:c>
      <x:c r="H659" s="66" t="str">
        <x:v>深度梦扬量化套利0号净值20260911.xlsx</x:v>
      </x:c>
      <x:c r="I659" s="73" t="str">
        <x:f>""</x:f>
      </x:c>
      <x:c r="J659" s="74" t="str">
        <x:f>""</x:f>
      </x:c>
      <x:c r="K659" s="73" t="str">
        <x:f>""</x:f>
      </x:c>
      <x:c r="L659" s="74" t="str">
        <x:f>""</x:f>
      </x:c>
      <x:c r="M659" s="73" t="n">
        <x:f>MAX(M658,F659)</x:f>
        <x:v>1.055</x:v>
      </x:c>
      <x:c r="N659" s="74" t="n">
        <x:f>1-F659/M659</x:f>
        <x:v>0</x:v>
      </x:c>
    </x:row>
    <x:row r="660" ht="27" customHeight="1">
      <x:c r="A660" s="66" t="str">
        <x:v>SQD620</x:v>
      </x:c>
      <x:c r="B660" s="66" t="str">
        <x:v>深度梦扬量化套利0号</x:v>
      </x:c>
      <x:c r="C660" s="72" t="n">
        <x:v>44568</x:v>
      </x:c>
      <x:c r="D660" s="73" t="n">
        <x:v>1.055</x:v>
      </x:c>
      <x:c r="E660" s="73" t="n">
        <x:v>1.055</x:v>
      </x:c>
      <x:c r="F660" s="73" t="n">
        <x:v>1.055</x:v>
      </x:c>
      <x:c r="G660" s="74" t="n">
        <x:v>0</x:v>
      </x:c>
      <x:c r="H660" s="66" t="str">
        <x:v>深度梦扬量化套利0号净值20260911.xlsx</x:v>
      </x:c>
      <x:c r="I660" s="73" t="str">
        <x:f>""</x:f>
      </x:c>
      <x:c r="J660" s="74" t="str">
        <x:f>""</x:f>
      </x:c>
      <x:c r="K660" s="73" t="str">
        <x:f>""</x:f>
      </x:c>
      <x:c r="L660" s="74" t="str">
        <x:f>""</x:f>
      </x:c>
      <x:c r="M660" s="73" t="n">
        <x:f>MAX(M659,F660)</x:f>
        <x:v>1.055</x:v>
      </x:c>
      <x:c r="N660" s="74" t="n">
        <x:f>1-F660/M660</x:f>
        <x:v>0</x:v>
      </x:c>
    </x:row>
    <x:row r="661" ht="27" customHeight="1">
      <x:c r="A661" s="66" t="str">
        <x:v>SQD620</x:v>
      </x:c>
      <x:c r="B661" s="66" t="str">
        <x:v>深度梦扬量化套利0号</x:v>
      </x:c>
      <x:c r="C661" s="72" t="n">
        <x:v>44574</x:v>
      </x:c>
      <x:c r="D661" s="73" t="n">
        <x:v>1.061</x:v>
      </x:c>
      <x:c r="E661" s="73" t="n">
        <x:v>1.061</x:v>
      </x:c>
      <x:c r="F661" s="73" t="n">
        <x:v>1.061</x:v>
      </x:c>
      <x:c r="G661" s="74" t="n">
        <x:v>0.005699999999999999</x:v>
      </x:c>
      <x:c r="H661" s="66" t="str">
        <x:v>深度梦扬量化套利0号净值20260911.xlsx</x:v>
      </x:c>
      <x:c r="I661" s="73" t="str">
        <x:f>""</x:f>
      </x:c>
      <x:c r="J661" s="74" t="str">
        <x:f>""</x:f>
      </x:c>
      <x:c r="K661" s="73" t="str">
        <x:f>""</x:f>
      </x:c>
      <x:c r="L661" s="74" t="str">
        <x:f>""</x:f>
      </x:c>
      <x:c r="M661" s="73" t="n">
        <x:f>MAX(M660,F661)</x:f>
        <x:v>1.061</x:v>
      </x:c>
      <x:c r="N661" s="74" t="n">
        <x:f>1-F661/M661</x:f>
        <x:v>0</x:v>
      </x:c>
    </x:row>
    <x:row r="662" ht="27" customHeight="1">
      <x:c r="A662" s="66" t="str">
        <x:v>SQD620</x:v>
      </x:c>
      <x:c r="B662" s="66" t="str">
        <x:v>深度梦扬量化套利0号</x:v>
      </x:c>
      <x:c r="C662" s="72" t="n">
        <x:v>44575</x:v>
      </x:c>
      <x:c r="D662" s="73" t="n">
        <x:v>1.059</x:v>
      </x:c>
      <x:c r="E662" s="73" t="n">
        <x:v>1.059</x:v>
      </x:c>
      <x:c r="F662" s="73" t="n">
        <x:v>1.059</x:v>
      </x:c>
      <x:c r="G662" s="74" t="n">
        <x:v>-0.0019</x:v>
      </x:c>
      <x:c r="H662" s="66" t="str">
        <x:v>深度梦扬量化套利0号净值20260911.xlsx</x:v>
      </x:c>
      <x:c r="I662" s="73" t="str">
        <x:f>""</x:f>
      </x:c>
      <x:c r="J662" s="74" t="str">
        <x:f>""</x:f>
      </x:c>
      <x:c r="K662" s="73" t="str">
        <x:f>""</x:f>
      </x:c>
      <x:c r="L662" s="74" t="str">
        <x:f>""</x:f>
      </x:c>
      <x:c r="M662" s="73" t="n">
        <x:f>MAX(M661,F662)</x:f>
        <x:v>1.061</x:v>
      </x:c>
      <x:c r="N662" s="74" t="n">
        <x:f>1-F662/M662</x:f>
        <x:v>0.0018850141376060003</x:v>
      </x:c>
    </x:row>
    <x:row r="663" ht="27" customHeight="1">
      <x:c r="A663" s="66" t="str">
        <x:v>SQD620</x:v>
      </x:c>
      <x:c r="B663" s="66" t="str">
        <x:v>深度梦扬量化套利0号</x:v>
      </x:c>
      <x:c r="C663" s="72" t="n">
        <x:v>44581</x:v>
      </x:c>
      <x:c r="D663" s="73" t="n">
        <x:v>1.057</x:v>
      </x:c>
      <x:c r="E663" s="73" t="n">
        <x:v>1.057</x:v>
      </x:c>
      <x:c r="F663" s="73" t="n">
        <x:v>1.057</x:v>
      </x:c>
      <x:c r="G663" s="74" t="n">
        <x:v>-0.0019</x:v>
      </x:c>
      <x:c r="H663" s="66" t="str">
        <x:v>深度梦扬量化套利0号净值20260911.xlsx</x:v>
      </x:c>
      <x:c r="I663" s="73" t="str">
        <x:f>""</x:f>
      </x:c>
      <x:c r="J663" s="74" t="str">
        <x:f>""</x:f>
      </x:c>
      <x:c r="K663" s="73" t="str">
        <x:f>""</x:f>
      </x:c>
      <x:c r="L663" s="74" t="str">
        <x:f>""</x:f>
      </x:c>
      <x:c r="M663" s="73" t="n">
        <x:f>MAX(M662,F663)</x:f>
        <x:v>1.061</x:v>
      </x:c>
      <x:c r="N663" s="74" t="n">
        <x:f>1-F663/M663</x:f>
        <x:v>0.0037700282752121117</x:v>
      </x:c>
    </x:row>
    <x:row r="664" ht="27" customHeight="1">
      <x:c r="A664" s="66" t="str">
        <x:v>SQD620</x:v>
      </x:c>
      <x:c r="B664" s="66" t="str">
        <x:v>深度梦扬量化套利0号</x:v>
      </x:c>
      <x:c r="C664" s="72" t="n">
        <x:v>44582</x:v>
      </x:c>
      <x:c r="D664" s="73" t="n">
        <x:v>1.059</x:v>
      </x:c>
      <x:c r="E664" s="73" t="n">
        <x:v>1.059</x:v>
      </x:c>
      <x:c r="F664" s="73" t="n">
        <x:v>1.059</x:v>
      </x:c>
      <x:c r="G664" s="74" t="n">
        <x:v>0.0019</x:v>
      </x:c>
      <x:c r="H664" s="66" t="str">
        <x:v>深度梦扬量化套利0号净值20260911.xlsx</x:v>
      </x:c>
      <x:c r="I664" s="73" t="str">
        <x:f>""</x:f>
      </x:c>
      <x:c r="J664" s="74" t="str">
        <x:f>""</x:f>
      </x:c>
      <x:c r="K664" s="73" t="str">
        <x:f>""</x:f>
      </x:c>
      <x:c r="L664" s="74" t="str">
        <x:f>""</x:f>
      </x:c>
      <x:c r="M664" s="73" t="n">
        <x:f>MAX(M663,F664)</x:f>
        <x:v>1.061</x:v>
      </x:c>
      <x:c r="N664" s="74" t="n">
        <x:f>1-F664/M664</x:f>
        <x:v>0.0018850141376060003</x:v>
      </x:c>
    </x:row>
    <x:row r="665" ht="27" customHeight="1">
      <x:c r="A665" s="66" t="str">
        <x:v>SQD620</x:v>
      </x:c>
      <x:c r="B665" s="66" t="str">
        <x:v>深度梦扬量化套利0号</x:v>
      </x:c>
      <x:c r="C665" s="72" t="n">
        <x:v>44588</x:v>
      </x:c>
      <x:c r="D665" s="73" t="n">
        <x:v>1.063</x:v>
      </x:c>
      <x:c r="E665" s="73" t="n">
        <x:v>1.063</x:v>
      </x:c>
      <x:c r="F665" s="73" t="n">
        <x:v>1.063</x:v>
      </x:c>
      <x:c r="G665" s="74" t="n">
        <x:v>0.0038</x:v>
      </x:c>
      <x:c r="H665" s="66" t="str">
        <x:v>深度梦扬量化套利0号净值20260911.xlsx</x:v>
      </x:c>
      <x:c r="I665" s="73" t="str">
        <x:f>""</x:f>
      </x:c>
      <x:c r="J665" s="74" t="str">
        <x:f>""</x:f>
      </x:c>
      <x:c r="K665" s="73" t="str">
        <x:f>""</x:f>
      </x:c>
      <x:c r="L665" s="74" t="str">
        <x:f>""</x:f>
      </x:c>
      <x:c r="M665" s="73" t="n">
        <x:f>MAX(M664,F665)</x:f>
        <x:v>1.063</x:v>
      </x:c>
      <x:c r="N665" s="74" t="n">
        <x:f>1-F665/M665</x:f>
        <x:v>0</x:v>
      </x:c>
    </x:row>
    <x:row r="666" ht="27" customHeight="1">
      <x:c r="A666" s="66" t="str">
        <x:v>SQD620</x:v>
      </x:c>
      <x:c r="B666" s="66" t="str">
        <x:v>深度梦扬量化套利0号</x:v>
      </x:c>
      <x:c r="C666" s="72" t="n">
        <x:v>44589</x:v>
      </x:c>
      <x:c r="D666" s="73" t="n">
        <x:v>1.064</x:v>
      </x:c>
      <x:c r="E666" s="73" t="n">
        <x:v>1.064</x:v>
      </x:c>
      <x:c r="F666" s="73" t="n">
        <x:v>1.064</x:v>
      </x:c>
      <x:c r="G666" s="74" t="n">
        <x:v>0.0009</x:v>
      </x:c>
      <x:c r="H666" s="66" t="str">
        <x:v>深度梦扬量化套利0号净值20260911.xlsx</x:v>
      </x:c>
      <x:c r="I666" s="73" t="str">
        <x:f>""</x:f>
      </x:c>
      <x:c r="J666" s="74" t="str">
        <x:f>""</x:f>
      </x:c>
      <x:c r="K666" s="73" t="str">
        <x:f>""</x:f>
      </x:c>
      <x:c r="L666" s="74" t="str">
        <x:f>""</x:f>
      </x:c>
      <x:c r="M666" s="73" t="n">
        <x:f>MAX(M665,F666)</x:f>
        <x:v>1.064</x:v>
      </x:c>
      <x:c r="N666" s="74" t="n">
        <x:f>1-F666/M666</x:f>
        <x:v>0</x:v>
      </x:c>
    </x:row>
    <x:row r="667" ht="27" customHeight="1">
      <x:c r="A667" s="66" t="str">
        <x:v>SQD620</x:v>
      </x:c>
      <x:c r="B667" s="66" t="str">
        <x:v>深度梦扬量化套利0号</x:v>
      </x:c>
      <x:c r="C667" s="72" t="n">
        <x:v>44599</x:v>
      </x:c>
      <x:c r="D667" s="73" t="n">
        <x:v>1.063</x:v>
      </x:c>
      <x:c r="E667" s="73" t="n">
        <x:v>1.063</x:v>
      </x:c>
      <x:c r="F667" s="73" t="n">
        <x:v>1.063</x:v>
      </x:c>
      <x:c r="G667" s="74" t="n">
        <x:v>-0.0009</x:v>
      </x:c>
      <x:c r="H667" s="66" t="str">
        <x:v>深度梦扬量化套利0号净值20260911.xlsx</x:v>
      </x:c>
      <x:c r="I667" s="73" t="str">
        <x:f>""</x:f>
      </x:c>
      <x:c r="J667" s="74" t="str">
        <x:f>""</x:f>
      </x:c>
      <x:c r="K667" s="73" t="str">
        <x:f>""</x:f>
      </x:c>
      <x:c r="L667" s="74" t="str">
        <x:f>""</x:f>
      </x:c>
      <x:c r="M667" s="73" t="n">
        <x:f>MAX(M666,F667)</x:f>
        <x:v>1.064</x:v>
      </x:c>
      <x:c r="N667" s="74" t="n">
        <x:f>1-F667/M667</x:f>
        <x:v>0.0009398496240602405</x:v>
      </x:c>
    </x:row>
    <x:row r="668" ht="27" customHeight="1">
      <x:c r="A668" s="66" t="str">
        <x:v>SQD620</x:v>
      </x:c>
      <x:c r="B668" s="66" t="str">
        <x:v>深度梦扬量化套利0号</x:v>
      </x:c>
      <x:c r="C668" s="72" t="n">
        <x:v>44602</x:v>
      </x:c>
      <x:c r="D668" s="73" t="n">
        <x:v>1.064</x:v>
      </x:c>
      <x:c r="E668" s="73" t="n">
        <x:v>1.064</x:v>
      </x:c>
      <x:c r="F668" s="73" t="n">
        <x:v>1.064</x:v>
      </x:c>
      <x:c r="G668" s="74" t="n">
        <x:v>0.0009</x:v>
      </x:c>
      <x:c r="H668" s="66" t="str">
        <x:v>深度梦扬量化套利0号净值20260911.xlsx</x:v>
      </x:c>
      <x:c r="I668" s="73" t="str">
        <x:f>""</x:f>
      </x:c>
      <x:c r="J668" s="74" t="str">
        <x:f>""</x:f>
      </x:c>
      <x:c r="K668" s="73" t="str">
        <x:f>""</x:f>
      </x:c>
      <x:c r="L668" s="74" t="str">
        <x:f>""</x:f>
      </x:c>
      <x:c r="M668" s="73" t="n">
        <x:f>MAX(M667,F668)</x:f>
        <x:v>1.064</x:v>
      </x:c>
      <x:c r="N668" s="74" t="n">
        <x:f>1-F668/M668</x:f>
        <x:v>0</x:v>
      </x:c>
    </x:row>
    <x:row r="669" ht="27" customHeight="1">
      <x:c r="A669" s="66" t="str">
        <x:v>SQD620</x:v>
      </x:c>
      <x:c r="B669" s="66" t="str">
        <x:v>深度梦扬量化套利0号</x:v>
      </x:c>
      <x:c r="C669" s="72" t="n">
        <x:v>44603</x:v>
      </x:c>
      <x:c r="D669" s="73" t="n">
        <x:v>1.064</x:v>
      </x:c>
      <x:c r="E669" s="73" t="n">
        <x:v>1.064</x:v>
      </x:c>
      <x:c r="F669" s="73" t="n">
        <x:v>1.064</x:v>
      </x:c>
      <x:c r="G669" s="74" t="n">
        <x:v>0</x:v>
      </x:c>
      <x:c r="H669" s="66" t="str">
        <x:v>深度梦扬量化套利0号净值20260911.xlsx</x:v>
      </x:c>
      <x:c r="I669" s="73" t="str">
        <x:f>""</x:f>
      </x:c>
      <x:c r="J669" s="74" t="str">
        <x:f>""</x:f>
      </x:c>
      <x:c r="K669" s="73" t="str">
        <x:f>""</x:f>
      </x:c>
      <x:c r="L669" s="74" t="str">
        <x:f>""</x:f>
      </x:c>
      <x:c r="M669" s="73" t="n">
        <x:f>MAX(M668,F669)</x:f>
        <x:v>1.064</x:v>
      </x:c>
      <x:c r="N669" s="74" t="n">
        <x:f>1-F669/M669</x:f>
        <x:v>0</x:v>
      </x:c>
    </x:row>
    <x:row r="670" ht="27" customHeight="1">
      <x:c r="A670" s="66" t="str">
        <x:v>SQD620</x:v>
      </x:c>
      <x:c r="B670" s="66" t="str">
        <x:v>深度梦扬量化套利0号</x:v>
      </x:c>
      <x:c r="C670" s="72" t="n">
        <x:v>44609</x:v>
      </x:c>
      <x:c r="D670" s="73" t="n">
        <x:v>1.065</x:v>
      </x:c>
      <x:c r="E670" s="73" t="n">
        <x:v>1.065</x:v>
      </x:c>
      <x:c r="F670" s="73" t="n">
        <x:v>1.065</x:v>
      </x:c>
      <x:c r="G670" s="74" t="n">
        <x:v>0.0009</x:v>
      </x:c>
      <x:c r="H670" s="66" t="str">
        <x:v>深度梦扬量化套利0号净值20260911.xlsx</x:v>
      </x:c>
      <x:c r="I670" s="73" t="str">
        <x:f>""</x:f>
      </x:c>
      <x:c r="J670" s="74" t="str">
        <x:f>""</x:f>
      </x:c>
      <x:c r="K670" s="73" t="str">
        <x:f>""</x:f>
      </x:c>
      <x:c r="L670" s="74" t="str">
        <x:f>""</x:f>
      </x:c>
      <x:c r="M670" s="73" t="n">
        <x:f>MAX(M669,F670)</x:f>
        <x:v>1.065</x:v>
      </x:c>
      <x:c r="N670" s="74" t="n">
        <x:f>1-F670/M670</x:f>
        <x:v>0</x:v>
      </x:c>
    </x:row>
    <x:row r="671" ht="27" customHeight="1">
      <x:c r="A671" s="66" t="str">
        <x:v>SQD620</x:v>
      </x:c>
      <x:c r="B671" s="66" t="str">
        <x:v>深度梦扬量化套利0号</x:v>
      </x:c>
      <x:c r="C671" s="72" t="n">
        <x:v>44610</x:v>
      </x:c>
      <x:c r="D671" s="73" t="n">
        <x:v>1.067</x:v>
      </x:c>
      <x:c r="E671" s="73" t="n">
        <x:v>1.067</x:v>
      </x:c>
      <x:c r="F671" s="73" t="n">
        <x:v>1.067</x:v>
      </x:c>
      <x:c r="G671" s="74" t="n">
        <x:v>0.0019</x:v>
      </x:c>
      <x:c r="H671" s="66" t="str">
        <x:v>深度梦扬量化套利0号净值20260911.xlsx</x:v>
      </x:c>
      <x:c r="I671" s="73" t="str">
        <x:f>""</x:f>
      </x:c>
      <x:c r="J671" s="74" t="str">
        <x:f>""</x:f>
      </x:c>
      <x:c r="K671" s="73" t="str">
        <x:f>""</x:f>
      </x:c>
      <x:c r="L671" s="74" t="str">
        <x:f>""</x:f>
      </x:c>
      <x:c r="M671" s="73" t="n">
        <x:f>MAX(M670,F671)</x:f>
        <x:v>1.067</x:v>
      </x:c>
      <x:c r="N671" s="74" t="n">
        <x:f>1-F671/M671</x:f>
        <x:v>0</x:v>
      </x:c>
    </x:row>
    <x:row r="672" ht="27" customHeight="1">
      <x:c r="A672" s="66" t="str">
        <x:v>SQD620</x:v>
      </x:c>
      <x:c r="B672" s="66" t="str">
        <x:v>深度梦扬量化套利0号</x:v>
      </x:c>
      <x:c r="C672" s="72" t="n">
        <x:v>44616</x:v>
      </x:c>
      <x:c r="D672" s="73" t="n">
        <x:v>1.068</x:v>
      </x:c>
      <x:c r="E672" s="73" t="n">
        <x:v>1.068</x:v>
      </x:c>
      <x:c r="F672" s="73" t="n">
        <x:v>1.068</x:v>
      </x:c>
      <x:c r="G672" s="74" t="n">
        <x:v>0.0009</x:v>
      </x:c>
      <x:c r="H672" s="66" t="str">
        <x:v>深度梦扬量化套利0号净值20260911.xlsx</x:v>
      </x:c>
      <x:c r="I672" s="73" t="str">
        <x:f>""</x:f>
      </x:c>
      <x:c r="J672" s="74" t="str">
        <x:f>""</x:f>
      </x:c>
      <x:c r="K672" s="73" t="str">
        <x:f>""</x:f>
      </x:c>
      <x:c r="L672" s="74" t="str">
        <x:f>""</x:f>
      </x:c>
      <x:c r="M672" s="73" t="n">
        <x:f>MAX(M671,F672)</x:f>
        <x:v>1.068</x:v>
      </x:c>
      <x:c r="N672" s="74" t="n">
        <x:f>1-F672/M672</x:f>
        <x:v>0</x:v>
      </x:c>
    </x:row>
    <x:row r="673" ht="27" customHeight="1">
      <x:c r="A673" s="66" t="str">
        <x:v>SQD620</x:v>
      </x:c>
      <x:c r="B673" s="66" t="str">
        <x:v>深度梦扬量化套利0号</x:v>
      </x:c>
      <x:c r="C673" s="72" t="n">
        <x:v>44617</x:v>
      </x:c>
      <x:c r="D673" s="73" t="n">
        <x:v>1.068</x:v>
      </x:c>
      <x:c r="E673" s="73" t="n">
        <x:v>1.068</x:v>
      </x:c>
      <x:c r="F673" s="73" t="n">
        <x:v>1.068</x:v>
      </x:c>
      <x:c r="G673" s="74" t="n">
        <x:v>0</x:v>
      </x:c>
      <x:c r="H673" s="66" t="str">
        <x:v>深度梦扬量化套利0号净值20260911.xlsx</x:v>
      </x:c>
      <x:c r="I673" s="73" t="str">
        <x:f>""</x:f>
      </x:c>
      <x:c r="J673" s="74" t="str">
        <x:f>""</x:f>
      </x:c>
      <x:c r="K673" s="73" t="str">
        <x:f>""</x:f>
      </x:c>
      <x:c r="L673" s="74" t="str">
        <x:f>""</x:f>
      </x:c>
      <x:c r="M673" s="73" t="n">
        <x:f>MAX(M672,F673)</x:f>
        <x:v>1.068</x:v>
      </x:c>
      <x:c r="N673" s="74" t="n">
        <x:f>1-F673/M673</x:f>
        <x:v>0</x:v>
      </x:c>
    </x:row>
    <x:row r="674" ht="27" customHeight="1">
      <x:c r="A674" s="66" t="str">
        <x:v>SQD620</x:v>
      </x:c>
      <x:c r="B674" s="66" t="str">
        <x:v>深度梦扬量化套利0号</x:v>
      </x:c>
      <x:c r="C674" s="72" t="n">
        <x:v>44620</x:v>
      </x:c>
      <x:c r="D674" s="73" t="n">
        <x:v>1.068</x:v>
      </x:c>
      <x:c r="E674" s="73" t="n">
        <x:v>1.068</x:v>
      </x:c>
      <x:c r="F674" s="73" t="n">
        <x:v>1.068</x:v>
      </x:c>
      <x:c r="G674" s="74" t="n">
        <x:v>0</x:v>
      </x:c>
      <x:c r="H674" s="66" t="str">
        <x:v>深度梦扬量化套利0号净值20260911.xlsx</x:v>
      </x:c>
      <x:c r="I674" s="73" t="str">
        <x:f>""</x:f>
      </x:c>
      <x:c r="J674" s="74" t="str">
        <x:f>""</x:f>
      </x:c>
      <x:c r="K674" s="73" t="str">
        <x:f>""</x:f>
      </x:c>
      <x:c r="L674" s="74" t="str">
        <x:f>""</x:f>
      </x:c>
      <x:c r="M674" s="73" t="n">
        <x:f>MAX(M673,F674)</x:f>
        <x:v>1.068</x:v>
      </x:c>
      <x:c r="N674" s="74" t="n">
        <x:f>1-F674/M674</x:f>
        <x:v>0</x:v>
      </x:c>
    </x:row>
    <x:row r="675" ht="27" customHeight="1">
      <x:c r="A675" s="66" t="str">
        <x:v>SQD620</x:v>
      </x:c>
      <x:c r="B675" s="66" t="str">
        <x:v>深度梦扬量化套利0号</x:v>
      </x:c>
      <x:c r="C675" s="72" t="n">
        <x:v>44623</x:v>
      </x:c>
      <x:c r="D675" s="73" t="n">
        <x:v>1.068</x:v>
      </x:c>
      <x:c r="E675" s="73" t="n">
        <x:v>1.068</x:v>
      </x:c>
      <x:c r="F675" s="73" t="n">
        <x:v>1.068</x:v>
      </x:c>
      <x:c r="G675" s="74" t="n">
        <x:v>0</x:v>
      </x:c>
      <x:c r="H675" s="66" t="str">
        <x:v>深度梦扬量化套利0号净值20260911.xlsx</x:v>
      </x:c>
      <x:c r="I675" s="73" t="str">
        <x:f>""</x:f>
      </x:c>
      <x:c r="J675" s="74" t="str">
        <x:f>""</x:f>
      </x:c>
      <x:c r="K675" s="73" t="str">
        <x:f>""</x:f>
      </x:c>
      <x:c r="L675" s="74" t="str">
        <x:f>""</x:f>
      </x:c>
      <x:c r="M675" s="73" t="n">
        <x:f>MAX(M674,F675)</x:f>
        <x:v>1.068</x:v>
      </x:c>
      <x:c r="N675" s="74" t="n">
        <x:f>1-F675/M675</x:f>
        <x:v>0</x:v>
      </x:c>
    </x:row>
    <x:row r="676" ht="27" customHeight="1">
      <x:c r="A676" s="66" t="str">
        <x:v>SQD620</x:v>
      </x:c>
      <x:c r="B676" s="66" t="str">
        <x:v>深度梦扬量化套利0号</x:v>
      </x:c>
      <x:c r="C676" s="72" t="n">
        <x:v>44624</x:v>
      </x:c>
      <x:c r="D676" s="73" t="n">
        <x:v>1.069</x:v>
      </x:c>
      <x:c r="E676" s="73" t="n">
        <x:v>1.069</x:v>
      </x:c>
      <x:c r="F676" s="73" t="n">
        <x:v>1.069</x:v>
      </x:c>
      <x:c r="G676" s="74" t="n">
        <x:v>0.0009</x:v>
      </x:c>
      <x:c r="H676" s="66" t="str">
        <x:v>深度梦扬量化套利0号净值20260911.xlsx</x:v>
      </x:c>
      <x:c r="I676" s="73" t="str">
        <x:f>""</x:f>
      </x:c>
      <x:c r="J676" s="74" t="str">
        <x:f>""</x:f>
      </x:c>
      <x:c r="K676" s="73" t="str">
        <x:f>""</x:f>
      </x:c>
      <x:c r="L676" s="74" t="str">
        <x:f>""</x:f>
      </x:c>
      <x:c r="M676" s="73" t="n">
        <x:f>MAX(M675,F676)</x:f>
        <x:v>1.069</x:v>
      </x:c>
      <x:c r="N676" s="74" t="n">
        <x:f>1-F676/M676</x:f>
        <x:v>0</x:v>
      </x:c>
    </x:row>
    <x:row r="677" ht="27" customHeight="1">
      <x:c r="A677" s="66" t="str">
        <x:v>SQD620</x:v>
      </x:c>
      <x:c r="B677" s="66" t="str">
        <x:v>深度梦扬量化套利0号</x:v>
      </x:c>
      <x:c r="C677" s="72" t="n">
        <x:v>44630</x:v>
      </x:c>
      <x:c r="D677" s="73" t="n">
        <x:v>1.074</x:v>
      </x:c>
      <x:c r="E677" s="73" t="n">
        <x:v>1.074</x:v>
      </x:c>
      <x:c r="F677" s="73" t="n">
        <x:v>1.074</x:v>
      </x:c>
      <x:c r="G677" s="74" t="n">
        <x:v>0.004699999999999999</x:v>
      </x:c>
      <x:c r="H677" s="66" t="str">
        <x:v>深度梦扬量化套利0号净值20260911.xlsx</x:v>
      </x:c>
      <x:c r="I677" s="73" t="str">
        <x:f>""</x:f>
      </x:c>
      <x:c r="J677" s="74" t="str">
        <x:f>""</x:f>
      </x:c>
      <x:c r="K677" s="73" t="str">
        <x:f>""</x:f>
      </x:c>
      <x:c r="L677" s="74" t="str">
        <x:f>""</x:f>
      </x:c>
      <x:c r="M677" s="73" t="n">
        <x:f>MAX(M676,F677)</x:f>
        <x:v>1.074</x:v>
      </x:c>
      <x:c r="N677" s="74" t="n">
        <x:f>1-F677/M677</x:f>
        <x:v>0</x:v>
      </x:c>
    </x:row>
    <x:row r="678" ht="27" customHeight="1">
      <x:c r="A678" s="66" t="str">
        <x:v>SQD620</x:v>
      </x:c>
      <x:c r="B678" s="66" t="str">
        <x:v>深度梦扬量化套利0号</x:v>
      </x:c>
      <x:c r="C678" s="72" t="n">
        <x:v>44631</x:v>
      </x:c>
      <x:c r="D678" s="73" t="n">
        <x:v>1.078</x:v>
      </x:c>
      <x:c r="E678" s="73" t="n">
        <x:v>1.078</x:v>
      </x:c>
      <x:c r="F678" s="73" t="n">
        <x:v>1.078</x:v>
      </x:c>
      <x:c r="G678" s="74" t="n">
        <x:v>0.0037</x:v>
      </x:c>
      <x:c r="H678" s="66" t="str">
        <x:v>深度梦扬量化套利0号净值20260911.xlsx</x:v>
      </x:c>
      <x:c r="I678" s="73" t="str">
        <x:f>""</x:f>
      </x:c>
      <x:c r="J678" s="74" t="str">
        <x:f>""</x:f>
      </x:c>
      <x:c r="K678" s="73" t="str">
        <x:f>""</x:f>
      </x:c>
      <x:c r="L678" s="74" t="str">
        <x:f>""</x:f>
      </x:c>
      <x:c r="M678" s="73" t="n">
        <x:f>MAX(M677,F678)</x:f>
        <x:v>1.078</x:v>
      </x:c>
      <x:c r="N678" s="74" t="n">
        <x:f>1-F678/M678</x:f>
        <x:v>0</x:v>
      </x:c>
    </x:row>
    <x:row r="679" ht="27" customHeight="1">
      <x:c r="A679" s="66" t="str">
        <x:v>SQD620</x:v>
      </x:c>
      <x:c r="B679" s="66" t="str">
        <x:v>深度梦扬量化套利0号</x:v>
      </x:c>
      <x:c r="C679" s="72" t="n">
        <x:v>44637</x:v>
      </x:c>
      <x:c r="D679" s="73" t="n">
        <x:v>1.084</x:v>
      </x:c>
      <x:c r="E679" s="73" t="n">
        <x:v>1.084</x:v>
      </x:c>
      <x:c r="F679" s="73" t="n">
        <x:v>1.084</x:v>
      </x:c>
      <x:c r="G679" s="74" t="n">
        <x:v>0.005600000000000001</x:v>
      </x:c>
      <x:c r="H679" s="66" t="str">
        <x:v>深度梦扬量化套利0号净值20260911.xlsx</x:v>
      </x:c>
      <x:c r="I679" s="73" t="str">
        <x:f>""</x:f>
      </x:c>
      <x:c r="J679" s="74" t="str">
        <x:f>""</x:f>
      </x:c>
      <x:c r="K679" s="73" t="str">
        <x:f>""</x:f>
      </x:c>
      <x:c r="L679" s="74" t="str">
        <x:f>""</x:f>
      </x:c>
      <x:c r="M679" s="73" t="n">
        <x:f>MAX(M678,F679)</x:f>
        <x:v>1.084</x:v>
      </x:c>
      <x:c r="N679" s="74" t="n">
        <x:f>1-F679/M679</x:f>
        <x:v>0</x:v>
      </x:c>
    </x:row>
    <x:row r="680" ht="27" customHeight="1">
      <x:c r="A680" s="66" t="str">
        <x:v>SQD620</x:v>
      </x:c>
      <x:c r="B680" s="66" t="str">
        <x:v>深度梦扬量化套利0号</x:v>
      </x:c>
      <x:c r="C680" s="72" t="n">
        <x:v>44638</x:v>
      </x:c>
      <x:c r="D680" s="73" t="n">
        <x:v>1.085</x:v>
      </x:c>
      <x:c r="E680" s="73" t="n">
        <x:v>1.085</x:v>
      </x:c>
      <x:c r="F680" s="73" t="n">
        <x:v>1.085</x:v>
      </x:c>
      <x:c r="G680" s="74" t="n">
        <x:v>0.0009</x:v>
      </x:c>
      <x:c r="H680" s="66" t="str">
        <x:v>深度梦扬量化套利0号净值20260911.xlsx</x:v>
      </x:c>
      <x:c r="I680" s="73" t="str">
        <x:f>""</x:f>
      </x:c>
      <x:c r="J680" s="74" t="str">
        <x:f>""</x:f>
      </x:c>
      <x:c r="K680" s="73" t="str">
        <x:f>""</x:f>
      </x:c>
      <x:c r="L680" s="74" t="str">
        <x:f>""</x:f>
      </x:c>
      <x:c r="M680" s="73" t="n">
        <x:f>MAX(M679,F680)</x:f>
        <x:v>1.085</x:v>
      </x:c>
      <x:c r="N680" s="74" t="n">
        <x:f>1-F680/M680</x:f>
        <x:v>0</x:v>
      </x:c>
    </x:row>
    <x:row r="681" ht="27" customHeight="1">
      <x:c r="A681" s="66" t="str">
        <x:v>SQD620</x:v>
      </x:c>
      <x:c r="B681" s="66" t="str">
        <x:v>深度梦扬量化套利0号</x:v>
      </x:c>
      <x:c r="C681" s="72" t="n">
        <x:v>44644</x:v>
      </x:c>
      <x:c r="D681" s="73" t="n">
        <x:v>1.086</x:v>
      </x:c>
      <x:c r="E681" s="73" t="n">
        <x:v>1.086</x:v>
      </x:c>
      <x:c r="F681" s="73" t="n">
        <x:v>1.086</x:v>
      </x:c>
      <x:c r="G681" s="74" t="n">
        <x:v>0.0009</x:v>
      </x:c>
      <x:c r="H681" s="66" t="str">
        <x:v>深度梦扬量化套利0号净值20260911.xlsx</x:v>
      </x:c>
      <x:c r="I681" s="73" t="str">
        <x:f>""</x:f>
      </x:c>
      <x:c r="J681" s="74" t="str">
        <x:f>""</x:f>
      </x:c>
      <x:c r="K681" s="73" t="str">
        <x:f>""</x:f>
      </x:c>
      <x:c r="L681" s="74" t="str">
        <x:f>""</x:f>
      </x:c>
      <x:c r="M681" s="73" t="n">
        <x:f>MAX(M680,F681)</x:f>
        <x:v>1.086</x:v>
      </x:c>
      <x:c r="N681" s="74" t="n">
        <x:f>1-F681/M681</x:f>
        <x:v>0</x:v>
      </x:c>
    </x:row>
    <x:row r="682" ht="27" customHeight="1">
      <x:c r="A682" s="66" t="str">
        <x:v>SQD620</x:v>
      </x:c>
      <x:c r="B682" s="66" t="str">
        <x:v>深度梦扬量化套利0号</x:v>
      </x:c>
      <x:c r="C682" s="72" t="n">
        <x:v>44645</x:v>
      </x:c>
      <x:c r="D682" s="73" t="n">
        <x:v>1.086</x:v>
      </x:c>
      <x:c r="E682" s="73" t="n">
        <x:v>1.086</x:v>
      </x:c>
      <x:c r="F682" s="73" t="n">
        <x:v>1.086</x:v>
      </x:c>
      <x:c r="G682" s="74" t="n">
        <x:v>0</x:v>
      </x:c>
      <x:c r="H682" s="66" t="str">
        <x:v>深度梦扬量化套利0号净值20260911.xlsx</x:v>
      </x:c>
      <x:c r="I682" s="73" t="str">
        <x:f>""</x:f>
      </x:c>
      <x:c r="J682" s="74" t="str">
        <x:f>""</x:f>
      </x:c>
      <x:c r="K682" s="73" t="str">
        <x:f>""</x:f>
      </x:c>
      <x:c r="L682" s="74" t="str">
        <x:f>""</x:f>
      </x:c>
      <x:c r="M682" s="73" t="n">
        <x:f>MAX(M681,F682)</x:f>
        <x:v>1.086</x:v>
      </x:c>
      <x:c r="N682" s="74" t="n">
        <x:f>1-F682/M682</x:f>
        <x:v>0</x:v>
      </x:c>
    </x:row>
    <x:row r="683" ht="27" customHeight="1">
      <x:c r="A683" s="66" t="str">
        <x:v>SQD620</x:v>
      </x:c>
      <x:c r="B683" s="66" t="str">
        <x:v>深度梦扬量化套利0号</x:v>
      </x:c>
      <x:c r="C683" s="72" t="n">
        <x:v>44651</x:v>
      </x:c>
      <x:c r="D683" s="73" t="n">
        <x:v>1.09</x:v>
      </x:c>
      <x:c r="E683" s="73" t="n">
        <x:v>1.09</x:v>
      </x:c>
      <x:c r="F683" s="73" t="n">
        <x:v>1.09</x:v>
      </x:c>
      <x:c r="G683" s="74" t="n">
        <x:v>0.0037</x:v>
      </x:c>
      <x:c r="H683" s="66" t="str">
        <x:v>深度梦扬量化套利0号净值20260911.xlsx</x:v>
      </x:c>
      <x:c r="I683" s="73" t="str">
        <x:f>""</x:f>
      </x:c>
      <x:c r="J683" s="74" t="str">
        <x:f>""</x:f>
      </x:c>
      <x:c r="K683" s="73" t="str">
        <x:f>""</x:f>
      </x:c>
      <x:c r="L683" s="74" t="str">
        <x:f>""</x:f>
      </x:c>
      <x:c r="M683" s="73" t="n">
        <x:f>MAX(M682,F683)</x:f>
        <x:v>1.09</x:v>
      </x:c>
      <x:c r="N683" s="74" t="n">
        <x:f>1-F683/M683</x:f>
        <x:v>0</x:v>
      </x:c>
    </x:row>
    <x:row r="684" ht="27" customHeight="1">
      <x:c r="A684" s="66" t="str">
        <x:v>SQD620</x:v>
      </x:c>
      <x:c r="B684" s="66" t="str">
        <x:v>深度梦扬量化套利0号</x:v>
      </x:c>
      <x:c r="C684" s="72" t="n">
        <x:v>44652</x:v>
      </x:c>
      <x:c r="D684" s="73" t="n">
        <x:v>1.091</x:v>
      </x:c>
      <x:c r="E684" s="73" t="n">
        <x:v>1.091</x:v>
      </x:c>
      <x:c r="F684" s="73" t="n">
        <x:v>1.091</x:v>
      </x:c>
      <x:c r="G684" s="74" t="n">
        <x:v>0.0009</x:v>
      </x:c>
      <x:c r="H684" s="66" t="str">
        <x:v>深度梦扬量化套利0号净值20260911.xlsx</x:v>
      </x:c>
      <x:c r="I684" s="73" t="str">
        <x:f>""</x:f>
      </x:c>
      <x:c r="J684" s="74" t="str">
        <x:f>""</x:f>
      </x:c>
      <x:c r="K684" s="73" t="str">
        <x:f>""</x:f>
      </x:c>
      <x:c r="L684" s="74" t="str">
        <x:f>""</x:f>
      </x:c>
      <x:c r="M684" s="73" t="n">
        <x:f>MAX(M683,F684)</x:f>
        <x:v>1.091</x:v>
      </x:c>
      <x:c r="N684" s="74" t="n">
        <x:f>1-F684/M684</x:f>
        <x:v>0</x:v>
      </x:c>
    </x:row>
    <x:row r="685" ht="27" customHeight="1">
      <x:c r="A685" s="66" t="str">
        <x:v>SQD620</x:v>
      </x:c>
      <x:c r="B685" s="66" t="str">
        <x:v>深度梦扬量化套利0号</x:v>
      </x:c>
      <x:c r="C685" s="72" t="n">
        <x:v>44658</x:v>
      </x:c>
      <x:c r="D685" s="73" t="n">
        <x:v>1.092</x:v>
      </x:c>
      <x:c r="E685" s="73" t="n">
        <x:v>1.092</x:v>
      </x:c>
      <x:c r="F685" s="73" t="n">
        <x:v>1.092</x:v>
      </x:c>
      <x:c r="G685" s="74" t="n">
        <x:v>0.0009</x:v>
      </x:c>
      <x:c r="H685" s="66" t="str">
        <x:v>深度梦扬量化套利0号净值20260911.xlsx</x:v>
      </x:c>
      <x:c r="I685" s="73" t="str">
        <x:f>""</x:f>
      </x:c>
      <x:c r="J685" s="74" t="str">
        <x:f>""</x:f>
      </x:c>
      <x:c r="K685" s="73" t="str">
        <x:f>""</x:f>
      </x:c>
      <x:c r="L685" s="74" t="str">
        <x:f>""</x:f>
      </x:c>
      <x:c r="M685" s="73" t="n">
        <x:f>MAX(M684,F685)</x:f>
        <x:v>1.092</x:v>
      </x:c>
      <x:c r="N685" s="74" t="n">
        <x:f>1-F685/M685</x:f>
        <x:v>0</x:v>
      </x:c>
    </x:row>
    <x:row r="686" ht="27" customHeight="1">
      <x:c r="A686" s="66" t="str">
        <x:v>SQD620</x:v>
      </x:c>
      <x:c r="B686" s="66" t="str">
        <x:v>深度梦扬量化套利0号</x:v>
      </x:c>
      <x:c r="C686" s="72" t="n">
        <x:v>44659</x:v>
      </x:c>
      <x:c r="D686" s="73" t="n">
        <x:v>1.093</x:v>
      </x:c>
      <x:c r="E686" s="73" t="n">
        <x:v>1.093</x:v>
      </x:c>
      <x:c r="F686" s="73" t="n">
        <x:v>1.093</x:v>
      </x:c>
      <x:c r="G686" s="74" t="n">
        <x:v>0.0009</x:v>
      </x:c>
      <x:c r="H686" s="66" t="str">
        <x:v>深度梦扬量化套利0号净值20260911.xlsx</x:v>
      </x:c>
      <x:c r="I686" s="73" t="str">
        <x:f>""</x:f>
      </x:c>
      <x:c r="J686" s="74" t="str">
        <x:f>""</x:f>
      </x:c>
      <x:c r="K686" s="73" t="str">
        <x:f>""</x:f>
      </x:c>
      <x:c r="L686" s="74" t="str">
        <x:f>""</x:f>
      </x:c>
      <x:c r="M686" s="73" t="n">
        <x:f>MAX(M685,F686)</x:f>
        <x:v>1.093</x:v>
      </x:c>
      <x:c r="N686" s="74" t="n">
        <x:f>1-F686/M686</x:f>
        <x:v>0</x:v>
      </x:c>
    </x:row>
    <x:row r="687" ht="27" customHeight="1">
      <x:c r="A687" s="66" t="str">
        <x:v>SQD620</x:v>
      </x:c>
      <x:c r="B687" s="66" t="str">
        <x:v>深度梦扬量化套利0号</x:v>
      </x:c>
      <x:c r="C687" s="72" t="n">
        <x:v>44665</x:v>
      </x:c>
      <x:c r="D687" s="73" t="n">
        <x:v>1.091</x:v>
      </x:c>
      <x:c r="E687" s="73" t="n">
        <x:v>1.091</x:v>
      </x:c>
      <x:c r="F687" s="73" t="n">
        <x:v>1.091</x:v>
      </x:c>
      <x:c r="G687" s="74" t="n">
        <x:v>-0.0018</x:v>
      </x:c>
      <x:c r="H687" s="66" t="str">
        <x:v>深度梦扬量化套利0号净值20260911.xlsx</x:v>
      </x:c>
      <x:c r="I687" s="73" t="str">
        <x:f>""</x:f>
      </x:c>
      <x:c r="J687" s="74" t="str">
        <x:f>""</x:f>
      </x:c>
      <x:c r="K687" s="73" t="str">
        <x:f>""</x:f>
      </x:c>
      <x:c r="L687" s="74" t="str">
        <x:f>""</x:f>
      </x:c>
      <x:c r="M687" s="73" t="n">
        <x:f>MAX(M686,F687)</x:f>
        <x:v>1.093</x:v>
      </x:c>
      <x:c r="N687" s="74" t="n">
        <x:f>1-F687/M687</x:f>
        <x:v>0.0018298261665141702</x:v>
      </x:c>
    </x:row>
    <x:row r="688" ht="27" customHeight="1">
      <x:c r="A688" s="66" t="str">
        <x:v>SQD620</x:v>
      </x:c>
      <x:c r="B688" s="66" t="str">
        <x:v>深度梦扬量化套利0号</x:v>
      </x:c>
      <x:c r="C688" s="72" t="n">
        <x:v>44666</x:v>
      </x:c>
      <x:c r="D688" s="73" t="n">
        <x:v>1.095</x:v>
      </x:c>
      <x:c r="E688" s="73" t="n">
        <x:v>1.095</x:v>
      </x:c>
      <x:c r="F688" s="73" t="n">
        <x:v>1.095</x:v>
      </x:c>
      <x:c r="G688" s="74" t="n">
        <x:v>0.0037</x:v>
      </x:c>
      <x:c r="H688" s="66" t="str">
        <x:v>深度梦扬量化套利0号净值20260911.xlsx</x:v>
      </x:c>
      <x:c r="I688" s="73" t="str">
        <x:f>""</x:f>
      </x:c>
      <x:c r="J688" s="74" t="str">
        <x:f>""</x:f>
      </x:c>
      <x:c r="K688" s="73" t="str">
        <x:f>""</x:f>
      </x:c>
      <x:c r="L688" s="74" t="str">
        <x:f>""</x:f>
      </x:c>
      <x:c r="M688" s="73" t="n">
        <x:f>MAX(M687,F688)</x:f>
        <x:v>1.095</x:v>
      </x:c>
      <x:c r="N688" s="74" t="n">
        <x:f>1-F688/M688</x:f>
        <x:v>0</x:v>
      </x:c>
    </x:row>
    <x:row r="689" ht="27" customHeight="1">
      <x:c r="A689" s="66" t="str">
        <x:v>SQD620</x:v>
      </x:c>
      <x:c r="B689" s="66" t="str">
        <x:v>深度梦扬量化套利0号</x:v>
      </x:c>
      <x:c r="C689" s="72" t="n">
        <x:v>44672</x:v>
      </x:c>
      <x:c r="D689" s="73" t="n">
        <x:v>1.095</x:v>
      </x:c>
      <x:c r="E689" s="73" t="n">
        <x:v>1.095</x:v>
      </x:c>
      <x:c r="F689" s="73" t="n">
        <x:v>1.095</x:v>
      </x:c>
      <x:c r="G689" s="74" t="n">
        <x:v>0</x:v>
      </x:c>
      <x:c r="H689" s="66" t="str">
        <x:v>深度梦扬量化套利0号净值20260911.xlsx</x:v>
      </x:c>
      <x:c r="I689" s="73" t="str">
        <x:f>""</x:f>
      </x:c>
      <x:c r="J689" s="74" t="str">
        <x:f>""</x:f>
      </x:c>
      <x:c r="K689" s="73" t="str">
        <x:f>""</x:f>
      </x:c>
      <x:c r="L689" s="74" t="str">
        <x:f>""</x:f>
      </x:c>
      <x:c r="M689" s="73" t="n">
        <x:f>MAX(M688,F689)</x:f>
        <x:v>1.095</x:v>
      </x:c>
      <x:c r="N689" s="74" t="n">
        <x:f>1-F689/M689</x:f>
        <x:v>0</x:v>
      </x:c>
    </x:row>
    <x:row r="690" ht="27" customHeight="1">
      <x:c r="A690" s="66" t="str">
        <x:v>SQD620</x:v>
      </x:c>
      <x:c r="B690" s="66" t="str">
        <x:v>深度梦扬量化套利0号</x:v>
      </x:c>
      <x:c r="C690" s="72" t="n">
        <x:v>44673</x:v>
      </x:c>
      <x:c r="D690" s="73" t="n">
        <x:v>1.099</x:v>
      </x:c>
      <x:c r="E690" s="73" t="n">
        <x:v>1.099</x:v>
      </x:c>
      <x:c r="F690" s="73" t="n">
        <x:v>1.099</x:v>
      </x:c>
      <x:c r="G690" s="74" t="n">
        <x:v>0.0037</x:v>
      </x:c>
      <x:c r="H690" s="66" t="str">
        <x:v>深度梦扬量化套利0号净值20260911.xlsx</x:v>
      </x:c>
      <x:c r="I690" s="73" t="str">
        <x:f>""</x:f>
      </x:c>
      <x:c r="J690" s="74" t="str">
        <x:f>""</x:f>
      </x:c>
      <x:c r="K690" s="73" t="str">
        <x:f>""</x:f>
      </x:c>
      <x:c r="L690" s="74" t="str">
        <x:f>""</x:f>
      </x:c>
      <x:c r="M690" s="73" t="n">
        <x:f>MAX(M689,F690)</x:f>
        <x:v>1.099</x:v>
      </x:c>
      <x:c r="N690" s="74" t="n">
        <x:f>1-F690/M690</x:f>
        <x:v>0</x:v>
      </x:c>
    </x:row>
    <x:row r="691" ht="27" customHeight="1">
      <x:c r="A691" s="66" t="str">
        <x:v>SQD620</x:v>
      </x:c>
      <x:c r="B691" s="66" t="str">
        <x:v>深度梦扬量化套利0号</x:v>
      </x:c>
      <x:c r="C691" s="72" t="n">
        <x:v>44679</x:v>
      </x:c>
      <x:c r="D691" s="73" t="n">
        <x:v>1.105</x:v>
      </x:c>
      <x:c r="E691" s="73" t="n">
        <x:v>1.105</x:v>
      </x:c>
      <x:c r="F691" s="73" t="n">
        <x:v>1.105</x:v>
      </x:c>
      <x:c r="G691" s="74" t="n">
        <x:v>0.0055000000000000005</x:v>
      </x:c>
      <x:c r="H691" s="66" t="str">
        <x:v>深度梦扬量化套利0号净值20260911.xlsx</x:v>
      </x:c>
      <x:c r="I691" s="73" t="str">
        <x:f>""</x:f>
      </x:c>
      <x:c r="J691" s="74" t="str">
        <x:f>""</x:f>
      </x:c>
      <x:c r="K691" s="73" t="str">
        <x:f>""</x:f>
      </x:c>
      <x:c r="L691" s="74" t="str">
        <x:f>""</x:f>
      </x:c>
      <x:c r="M691" s="73" t="n">
        <x:f>MAX(M690,F691)</x:f>
        <x:v>1.105</x:v>
      </x:c>
      <x:c r="N691" s="74" t="n">
        <x:f>1-F691/M691</x:f>
        <x:v>0</x:v>
      </x:c>
    </x:row>
    <x:row r="692" ht="27" customHeight="1">
      <x:c r="A692" s="66" t="str">
        <x:v>SQD620</x:v>
      </x:c>
      <x:c r="B692" s="66" t="str">
        <x:v>深度梦扬量化套利0号</x:v>
      </x:c>
      <x:c r="C692" s="72" t="n">
        <x:v>44680</x:v>
      </x:c>
      <x:c r="D692" s="73" t="n">
        <x:v>1.104</x:v>
      </x:c>
      <x:c r="E692" s="73" t="n">
        <x:v>1.104</x:v>
      </x:c>
      <x:c r="F692" s="73" t="n">
        <x:v>1.104</x:v>
      </x:c>
      <x:c r="G692" s="74" t="n">
        <x:v>-0.0009</x:v>
      </x:c>
      <x:c r="H692" s="66" t="str">
        <x:v>深度梦扬量化套利0号净值20260911.xlsx</x:v>
      </x:c>
      <x:c r="I692" s="73" t="str">
        <x:f>""</x:f>
      </x:c>
      <x:c r="J692" s="74" t="str">
        <x:f>""</x:f>
      </x:c>
      <x:c r="K692" s="73" t="str">
        <x:f>""</x:f>
      </x:c>
      <x:c r="L692" s="74" t="str">
        <x:f>""</x:f>
      </x:c>
      <x:c r="M692" s="73" t="n">
        <x:f>MAX(M691,F692)</x:f>
        <x:v>1.105</x:v>
      </x:c>
      <x:c r="N692" s="74" t="n">
        <x:f>1-F692/M692</x:f>
        <x:v>0.0009049773755654966</x:v>
      </x:c>
    </x:row>
    <x:row r="693" ht="27" customHeight="1">
      <x:c r="A693" s="66" t="str">
        <x:v>SQD620</x:v>
      </x:c>
      <x:c r="B693" s="66" t="str">
        <x:v>深度梦扬量化套利0号</x:v>
      </x:c>
      <x:c r="C693" s="72" t="n">
        <x:v>44686</x:v>
      </x:c>
      <x:c r="D693" s="73" t="n">
        <x:v>1.105</x:v>
      </x:c>
      <x:c r="E693" s="73" t="n">
        <x:v>1.105</x:v>
      </x:c>
      <x:c r="F693" s="73" t="n">
        <x:v>1.105</x:v>
      </x:c>
      <x:c r="G693" s="74" t="n">
        <x:v>0.0009</x:v>
      </x:c>
      <x:c r="H693" s="66" t="str">
        <x:v>深度梦扬量化套利0号净值20260911.xlsx</x:v>
      </x:c>
      <x:c r="I693" s="73" t="str">
        <x:f>""</x:f>
      </x:c>
      <x:c r="J693" s="74" t="str">
        <x:f>""</x:f>
      </x:c>
      <x:c r="K693" s="73" t="str">
        <x:f>""</x:f>
      </x:c>
      <x:c r="L693" s="74" t="str">
        <x:f>""</x:f>
      </x:c>
      <x:c r="M693" s="73" t="n">
        <x:f>MAX(M692,F693)</x:f>
        <x:v>1.105</x:v>
      </x:c>
      <x:c r="N693" s="74" t="n">
        <x:f>1-F693/M693</x:f>
        <x:v>0</x:v>
      </x:c>
    </x:row>
    <x:row r="694" ht="27" customHeight="1">
      <x:c r="A694" s="66" t="str">
        <x:v>SQD620</x:v>
      </x:c>
      <x:c r="B694" s="66" t="str">
        <x:v>深度梦扬量化套利0号</x:v>
      </x:c>
      <x:c r="C694" s="72" t="n">
        <x:v>44687</x:v>
      </x:c>
      <x:c r="D694" s="73" t="n">
        <x:v>1.105</x:v>
      </x:c>
      <x:c r="E694" s="73" t="n">
        <x:v>1.105</x:v>
      </x:c>
      <x:c r="F694" s="73" t="n">
        <x:v>1.105</x:v>
      </x:c>
      <x:c r="G694" s="74" t="n">
        <x:v>0</x:v>
      </x:c>
      <x:c r="H694" s="66" t="str">
        <x:v>深度梦扬量化套利0号净值20260911.xlsx</x:v>
      </x:c>
      <x:c r="I694" s="73" t="str">
        <x:f>""</x:f>
      </x:c>
      <x:c r="J694" s="74" t="str">
        <x:f>""</x:f>
      </x:c>
      <x:c r="K694" s="73" t="str">
        <x:f>""</x:f>
      </x:c>
      <x:c r="L694" s="74" t="str">
        <x:f>""</x:f>
      </x:c>
      <x:c r="M694" s="73" t="n">
        <x:f>MAX(M693,F694)</x:f>
        <x:v>1.105</x:v>
      </x:c>
      <x:c r="N694" s="74" t="n">
        <x:f>1-F694/M694</x:f>
        <x:v>0</x:v>
      </x:c>
    </x:row>
    <x:row r="695" ht="27" customHeight="1">
      <x:c r="A695" s="66" t="str">
        <x:v>SQD620</x:v>
      </x:c>
      <x:c r="B695" s="66" t="str">
        <x:v>深度梦扬量化套利0号</x:v>
      </x:c>
      <x:c r="C695" s="72" t="n">
        <x:v>44693</x:v>
      </x:c>
      <x:c r="D695" s="73" t="n">
        <x:v>1.106</x:v>
      </x:c>
      <x:c r="E695" s="73" t="n">
        <x:v>1.106</x:v>
      </x:c>
      <x:c r="F695" s="73" t="n">
        <x:v>1.106</x:v>
      </x:c>
      <x:c r="G695" s="74" t="n">
        <x:v>0.0009</x:v>
      </x:c>
      <x:c r="H695" s="66" t="str">
        <x:v>深度梦扬量化套利0号净值20260911.xlsx</x:v>
      </x:c>
      <x:c r="I695" s="73" t="str">
        <x:f>""</x:f>
      </x:c>
      <x:c r="J695" s="74" t="str">
        <x:f>""</x:f>
      </x:c>
      <x:c r="K695" s="73" t="str">
        <x:f>""</x:f>
      </x:c>
      <x:c r="L695" s="74" t="str">
        <x:f>""</x:f>
      </x:c>
      <x:c r="M695" s="73" t="n">
        <x:f>MAX(M694,F695)</x:f>
        <x:v>1.106</x:v>
      </x:c>
      <x:c r="N695" s="74" t="n">
        <x:f>1-F695/M695</x:f>
        <x:v>0</x:v>
      </x:c>
    </x:row>
    <x:row r="696" ht="27" customHeight="1">
      <x:c r="A696" s="66" t="str">
        <x:v>SQD620</x:v>
      </x:c>
      <x:c r="B696" s="66" t="str">
        <x:v>深度梦扬量化套利0号</x:v>
      </x:c>
      <x:c r="C696" s="72" t="n">
        <x:v>44694</x:v>
      </x:c>
      <x:c r="D696" s="73" t="n">
        <x:v>1.107</x:v>
      </x:c>
      <x:c r="E696" s="73" t="n">
        <x:v>1.107</x:v>
      </x:c>
      <x:c r="F696" s="73" t="n">
        <x:v>1.107</x:v>
      </x:c>
      <x:c r="G696" s="74" t="n">
        <x:v>0.0009</x:v>
      </x:c>
      <x:c r="H696" s="66" t="str">
        <x:v>深度梦扬量化套利0号净值20260911.xlsx</x:v>
      </x:c>
      <x:c r="I696" s="73" t="str">
        <x:f>""</x:f>
      </x:c>
      <x:c r="J696" s="74" t="str">
        <x:f>""</x:f>
      </x:c>
      <x:c r="K696" s="73" t="str">
        <x:f>""</x:f>
      </x:c>
      <x:c r="L696" s="74" t="str">
        <x:f>""</x:f>
      </x:c>
      <x:c r="M696" s="73" t="n">
        <x:f>MAX(M695,F696)</x:f>
        <x:v>1.107</x:v>
      </x:c>
      <x:c r="N696" s="74" t="n">
        <x:f>1-F696/M696</x:f>
        <x:v>0</x:v>
      </x:c>
    </x:row>
    <x:row r="697" ht="27" customHeight="1">
      <x:c r="A697" s="66" t="str">
        <x:v>SQD620</x:v>
      </x:c>
      <x:c r="B697" s="66" t="str">
        <x:v>深度梦扬量化套利0号</x:v>
      </x:c>
      <x:c r="C697" s="72" t="n">
        <x:v>44700</x:v>
      </x:c>
      <x:c r="D697" s="73" t="n">
        <x:v>1.11</x:v>
      </x:c>
      <x:c r="E697" s="73" t="n">
        <x:v>1.11</x:v>
      </x:c>
      <x:c r="F697" s="73" t="n">
        <x:v>1.11</x:v>
      </x:c>
      <x:c r="G697" s="74" t="n">
        <x:v>0.0027</x:v>
      </x:c>
      <x:c r="H697" s="66" t="str">
        <x:v>深度梦扬量化套利0号净值20260911.xlsx</x:v>
      </x:c>
      <x:c r="I697" s="73" t="str">
        <x:f>""</x:f>
      </x:c>
      <x:c r="J697" s="74" t="str">
        <x:f>""</x:f>
      </x:c>
      <x:c r="K697" s="73" t="str">
        <x:f>""</x:f>
      </x:c>
      <x:c r="L697" s="74" t="str">
        <x:f>""</x:f>
      </x:c>
      <x:c r="M697" s="73" t="n">
        <x:f>MAX(M696,F697)</x:f>
        <x:v>1.11</x:v>
      </x:c>
      <x:c r="N697" s="74" t="n">
        <x:f>1-F697/M697</x:f>
        <x:v>0</x:v>
      </x:c>
    </x:row>
    <x:row r="698" ht="27" customHeight="1">
      <x:c r="A698" s="66" t="str">
        <x:v>SQD620</x:v>
      </x:c>
      <x:c r="B698" s="66" t="str">
        <x:v>深度梦扬量化套利0号</x:v>
      </x:c>
      <x:c r="C698" s="72" t="n">
        <x:v>44701</x:v>
      </x:c>
      <x:c r="D698" s="73" t="n">
        <x:v>1.11</x:v>
      </x:c>
      <x:c r="E698" s="73" t="n">
        <x:v>1.11</x:v>
      </x:c>
      <x:c r="F698" s="73" t="n">
        <x:v>1.11</x:v>
      </x:c>
      <x:c r="G698" s="74" t="n">
        <x:v>0</x:v>
      </x:c>
      <x:c r="H698" s="66" t="str">
        <x:v>深度梦扬量化套利0号净值20260911.xlsx</x:v>
      </x:c>
      <x:c r="I698" s="73" t="str">
        <x:f>""</x:f>
      </x:c>
      <x:c r="J698" s="74" t="str">
        <x:f>""</x:f>
      </x:c>
      <x:c r="K698" s="73" t="str">
        <x:f>""</x:f>
      </x:c>
      <x:c r="L698" s="74" t="str">
        <x:f>""</x:f>
      </x:c>
      <x:c r="M698" s="73" t="n">
        <x:f>MAX(M697,F698)</x:f>
        <x:v>1.11</x:v>
      </x:c>
      <x:c r="N698" s="74" t="n">
        <x:f>1-F698/M698</x:f>
        <x:v>0</x:v>
      </x:c>
    </x:row>
    <x:row r="699" ht="27" customHeight="1">
      <x:c r="A699" s="66" t="str">
        <x:v>SQD620</x:v>
      </x:c>
      <x:c r="B699" s="66" t="str">
        <x:v>深度梦扬量化套利0号</x:v>
      </x:c>
      <x:c r="C699" s="72" t="n">
        <x:v>44707</x:v>
      </x:c>
      <x:c r="D699" s="73" t="n">
        <x:v>1.109</x:v>
      </x:c>
      <x:c r="E699" s="73" t="n">
        <x:v>1.109</x:v>
      </x:c>
      <x:c r="F699" s="73" t="n">
        <x:v>1.109</x:v>
      </x:c>
      <x:c r="G699" s="74" t="n">
        <x:v>-0.0009</x:v>
      </x:c>
      <x:c r="H699" s="66" t="str">
        <x:v>深度梦扬量化套利0号净值20260911.xlsx</x:v>
      </x:c>
      <x:c r="I699" s="73" t="str">
        <x:f>""</x:f>
      </x:c>
      <x:c r="J699" s="74" t="str">
        <x:f>""</x:f>
      </x:c>
      <x:c r="K699" s="73" t="str">
        <x:f>""</x:f>
      </x:c>
      <x:c r="L699" s="74" t="str">
        <x:f>""</x:f>
      </x:c>
      <x:c r="M699" s="73" t="n">
        <x:f>MAX(M698,F699)</x:f>
        <x:v>1.11</x:v>
      </x:c>
      <x:c r="N699" s="74" t="n">
        <x:f>1-F699/M699</x:f>
        <x:v>0.0009009009009010027</x:v>
      </x:c>
    </x:row>
    <x:row r="700" ht="27" customHeight="1">
      <x:c r="A700" s="66" t="str">
        <x:v>SQD620</x:v>
      </x:c>
      <x:c r="B700" s="66" t="str">
        <x:v>深度梦扬量化套利0号</x:v>
      </x:c>
      <x:c r="C700" s="72" t="n">
        <x:v>44708</x:v>
      </x:c>
      <x:c r="D700" s="73" t="n">
        <x:v>1.11</x:v>
      </x:c>
      <x:c r="E700" s="73" t="n">
        <x:v>1.11</x:v>
      </x:c>
      <x:c r="F700" s="73" t="n">
        <x:v>1.11</x:v>
      </x:c>
      <x:c r="G700" s="74" t="n">
        <x:v>0.0009</x:v>
      </x:c>
      <x:c r="H700" s="66" t="str">
        <x:v>深度梦扬量化套利0号净值20260911.xlsx</x:v>
      </x:c>
      <x:c r="I700" s="73" t="str">
        <x:f>""</x:f>
      </x:c>
      <x:c r="J700" s="74" t="str">
        <x:f>""</x:f>
      </x:c>
      <x:c r="K700" s="73" t="str">
        <x:f>""</x:f>
      </x:c>
      <x:c r="L700" s="74" t="str">
        <x:f>""</x:f>
      </x:c>
      <x:c r="M700" s="73" t="n">
        <x:f>MAX(M699,F700)</x:f>
        <x:v>1.11</x:v>
      </x:c>
      <x:c r="N700" s="74" t="n">
        <x:f>1-F700/M700</x:f>
        <x:v>0</x:v>
      </x:c>
    </x:row>
    <x:row r="701" ht="27" customHeight="1">
      <x:c r="A701" s="66" t="str">
        <x:v>SQD620</x:v>
      </x:c>
      <x:c r="B701" s="66" t="str">
        <x:v>深度梦扬量化套利0号</x:v>
      </x:c>
      <x:c r="C701" s="72" t="n">
        <x:v>44712</x:v>
      </x:c>
      <x:c r="D701" s="73" t="n">
        <x:v>1.109</x:v>
      </x:c>
      <x:c r="E701" s="73" t="n">
        <x:v>1.109</x:v>
      </x:c>
      <x:c r="F701" s="73" t="n">
        <x:v>1.109</x:v>
      </x:c>
      <x:c r="G701" s="74" t="n">
        <x:v>-0.0009</x:v>
      </x:c>
      <x:c r="H701" s="66" t="str">
        <x:v>深度梦扬量化套利0号净值20260911.xlsx</x:v>
      </x:c>
      <x:c r="I701" s="73" t="str">
        <x:f>""</x:f>
      </x:c>
      <x:c r="J701" s="74" t="str">
        <x:f>""</x:f>
      </x:c>
      <x:c r="K701" s="73" t="str">
        <x:f>""</x:f>
      </x:c>
      <x:c r="L701" s="74" t="str">
        <x:f>""</x:f>
      </x:c>
      <x:c r="M701" s="73" t="n">
        <x:f>MAX(M700,F701)</x:f>
        <x:v>1.11</x:v>
      </x:c>
      <x:c r="N701" s="74" t="n">
        <x:f>1-F701/M701</x:f>
        <x:v>0.0009009009009010027</x:v>
      </x:c>
    </x:row>
    <x:row r="702" ht="27" customHeight="1">
      <x:c r="A702" s="66" t="str">
        <x:v>SQD620</x:v>
      </x:c>
      <x:c r="B702" s="66" t="str">
        <x:v>深度梦扬量化套利0号</x:v>
      </x:c>
      <x:c r="C702" s="72" t="n">
        <x:v>44714</x:v>
      </x:c>
      <x:c r="D702" s="73" t="n">
        <x:v>1.111</x:v>
      </x:c>
      <x:c r="E702" s="73" t="n">
        <x:v>1.111</x:v>
      </x:c>
      <x:c r="F702" s="73" t="n">
        <x:v>1.111</x:v>
      </x:c>
      <x:c r="G702" s="74" t="n">
        <x:v>0.0018</x:v>
      </x:c>
      <x:c r="H702" s="66" t="str">
        <x:v>深度梦扬量化套利0号净值20260911.xlsx</x:v>
      </x:c>
      <x:c r="I702" s="73" t="str">
        <x:f>""</x:f>
      </x:c>
      <x:c r="J702" s="74" t="str">
        <x:f>""</x:f>
      </x:c>
      <x:c r="K702" s="73" t="str">
        <x:f>""</x:f>
      </x:c>
      <x:c r="L702" s="74" t="str">
        <x:f>""</x:f>
      </x:c>
      <x:c r="M702" s="73" t="n">
        <x:f>MAX(M701,F702)</x:f>
        <x:v>1.111</x:v>
      </x:c>
      <x:c r="N702" s="74" t="n">
        <x:f>1-F702/M702</x:f>
        <x:v>0</x:v>
      </x:c>
    </x:row>
    <x:row r="703" ht="27" customHeight="1">
      <x:c r="A703" s="66" t="str">
        <x:v>SQD620</x:v>
      </x:c>
      <x:c r="B703" s="66" t="str">
        <x:v>深度梦扬量化套利0号</x:v>
      </x:c>
      <x:c r="C703" s="72" t="n">
        <x:v>44721</x:v>
      </x:c>
      <x:c r="D703" s="73" t="n">
        <x:v>1.112</x:v>
      </x:c>
      <x:c r="E703" s="73" t="n">
        <x:v>1.112</x:v>
      </x:c>
      <x:c r="F703" s="73" t="n">
        <x:v>1.112</x:v>
      </x:c>
      <x:c r="G703" s="74" t="n">
        <x:v>0.0009</x:v>
      </x:c>
      <x:c r="H703" s="66" t="str">
        <x:v>深度梦扬量化套利0号净值20260911.xlsx</x:v>
      </x:c>
      <x:c r="I703" s="73" t="str">
        <x:f>""</x:f>
      </x:c>
      <x:c r="J703" s="74" t="str">
        <x:f>""</x:f>
      </x:c>
      <x:c r="K703" s="73" t="str">
        <x:f>""</x:f>
      </x:c>
      <x:c r="L703" s="74" t="str">
        <x:f>""</x:f>
      </x:c>
      <x:c r="M703" s="73" t="n">
        <x:f>MAX(M702,F703)</x:f>
        <x:v>1.112</x:v>
      </x:c>
      <x:c r="N703" s="74" t="n">
        <x:f>1-F703/M703</x:f>
        <x:v>0</x:v>
      </x:c>
    </x:row>
    <x:row r="704" ht="27" customHeight="1">
      <x:c r="A704" s="66" t="str">
        <x:v>SQD620</x:v>
      </x:c>
      <x:c r="B704" s="66" t="str">
        <x:v>深度梦扬量化套利0号</x:v>
      </x:c>
      <x:c r="C704" s="72" t="n">
        <x:v>44722</x:v>
      </x:c>
      <x:c r="D704" s="73" t="n">
        <x:v>1.113</x:v>
      </x:c>
      <x:c r="E704" s="73" t="n">
        <x:v>1.113</x:v>
      </x:c>
      <x:c r="F704" s="73" t="n">
        <x:v>1.113</x:v>
      </x:c>
      <x:c r="G704" s="74" t="n">
        <x:v>0.0009</x:v>
      </x:c>
      <x:c r="H704" s="66" t="str">
        <x:v>深度梦扬量化套利0号净值20260911.xlsx</x:v>
      </x:c>
      <x:c r="I704" s="73" t="str">
        <x:f>""</x:f>
      </x:c>
      <x:c r="J704" s="74" t="str">
        <x:f>""</x:f>
      </x:c>
      <x:c r="K704" s="73" t="str">
        <x:f>""</x:f>
      </x:c>
      <x:c r="L704" s="74" t="str">
        <x:f>""</x:f>
      </x:c>
      <x:c r="M704" s="73" t="n">
        <x:f>MAX(M703,F704)</x:f>
        <x:v>1.113</x:v>
      </x:c>
      <x:c r="N704" s="74" t="n">
        <x:f>1-F704/M704</x:f>
        <x:v>0</x:v>
      </x:c>
    </x:row>
    <x:row r="705" ht="27" customHeight="1">
      <x:c r="A705" s="66" t="str">
        <x:v>SQD620</x:v>
      </x:c>
      <x:c r="B705" s="66" t="str">
        <x:v>深度梦扬量化套利0号</x:v>
      </x:c>
      <x:c r="C705" s="72" t="n">
        <x:v>44728</x:v>
      </x:c>
      <x:c r="D705" s="73" t="n">
        <x:v>1.118</x:v>
      </x:c>
      <x:c r="E705" s="73" t="n">
        <x:v>1.118</x:v>
      </x:c>
      <x:c r="F705" s="73" t="n">
        <x:v>1.118</x:v>
      </x:c>
      <x:c r="G705" s="74" t="n">
        <x:v>0.0045000000000000005</x:v>
      </x:c>
      <x:c r="H705" s="66" t="str">
        <x:v>深度梦扬量化套利0号净值20260911.xlsx</x:v>
      </x:c>
      <x:c r="I705" s="73" t="str">
        <x:f>""</x:f>
      </x:c>
      <x:c r="J705" s="74" t="str">
        <x:f>""</x:f>
      </x:c>
      <x:c r="K705" s="73" t="str">
        <x:f>""</x:f>
      </x:c>
      <x:c r="L705" s="74" t="str">
        <x:f>""</x:f>
      </x:c>
      <x:c r="M705" s="73" t="n">
        <x:f>MAX(M704,F705)</x:f>
        <x:v>1.118</x:v>
      </x:c>
      <x:c r="N705" s="74" t="n">
        <x:f>1-F705/M705</x:f>
        <x:v>0</x:v>
      </x:c>
    </x:row>
    <x:row r="706" ht="27" customHeight="1">
      <x:c r="A706" s="66" t="str">
        <x:v>SQD620</x:v>
      </x:c>
      <x:c r="B706" s="66" t="str">
        <x:v>深度梦扬量化套利0号</x:v>
      </x:c>
      <x:c r="C706" s="72" t="n">
        <x:v>44729</x:v>
      </x:c>
      <x:c r="D706" s="73" t="n">
        <x:v>1.118</x:v>
      </x:c>
      <x:c r="E706" s="73" t="n">
        <x:v>1.118</x:v>
      </x:c>
      <x:c r="F706" s="73" t="n">
        <x:v>1.118</x:v>
      </x:c>
      <x:c r="G706" s="74" t="n">
        <x:v>0</x:v>
      </x:c>
      <x:c r="H706" s="66" t="str">
        <x:v>深度梦扬量化套利0号净值20260911.xlsx</x:v>
      </x:c>
      <x:c r="I706" s="73" t="str">
        <x:f>""</x:f>
      </x:c>
      <x:c r="J706" s="74" t="str">
        <x:f>""</x:f>
      </x:c>
      <x:c r="K706" s="73" t="str">
        <x:f>""</x:f>
      </x:c>
      <x:c r="L706" s="74" t="str">
        <x:f>""</x:f>
      </x:c>
      <x:c r="M706" s="73" t="n">
        <x:f>MAX(M705,F706)</x:f>
        <x:v>1.118</x:v>
      </x:c>
      <x:c r="N706" s="74" t="n">
        <x:f>1-F706/M706</x:f>
        <x:v>0</x:v>
      </x:c>
    </x:row>
    <x:row r="707" ht="27" customHeight="1">
      <x:c r="A707" s="66" t="str">
        <x:v>SQD620</x:v>
      </x:c>
      <x:c r="B707" s="66" t="str">
        <x:v>深度梦扬量化套利0号</x:v>
      </x:c>
      <x:c r="C707" s="72" t="n">
        <x:v>44735</x:v>
      </x:c>
      <x:c r="D707" s="73" t="n">
        <x:v>1.119</x:v>
      </x:c>
      <x:c r="E707" s="73" t="n">
        <x:v>1.119</x:v>
      </x:c>
      <x:c r="F707" s="73" t="n">
        <x:v>1.119</x:v>
      </x:c>
      <x:c r="G707" s="74" t="n">
        <x:v>0.0009</x:v>
      </x:c>
      <x:c r="H707" s="66" t="str">
        <x:v>深度梦扬量化套利0号净值20260911.xlsx</x:v>
      </x:c>
      <x:c r="I707" s="73" t="str">
        <x:f>""</x:f>
      </x:c>
      <x:c r="J707" s="74" t="str">
        <x:f>""</x:f>
      </x:c>
      <x:c r="K707" s="73" t="str">
        <x:f>""</x:f>
      </x:c>
      <x:c r="L707" s="74" t="str">
        <x:f>""</x:f>
      </x:c>
      <x:c r="M707" s="73" t="n">
        <x:f>MAX(M706,F707)</x:f>
        <x:v>1.119</x:v>
      </x:c>
      <x:c r="N707" s="74" t="n">
        <x:f>1-F707/M707</x:f>
        <x:v>0</x:v>
      </x:c>
    </x:row>
    <x:row r="708" ht="27" customHeight="1">
      <x:c r="A708" s="66" t="str">
        <x:v>SQD620</x:v>
      </x:c>
      <x:c r="B708" s="66" t="str">
        <x:v>深度梦扬量化套利0号</x:v>
      </x:c>
      <x:c r="C708" s="72" t="n">
        <x:v>44736</x:v>
      </x:c>
      <x:c r="D708" s="73" t="n">
        <x:v>1.118</x:v>
      </x:c>
      <x:c r="E708" s="73" t="n">
        <x:v>1.118</x:v>
      </x:c>
      <x:c r="F708" s="73" t="n">
        <x:v>1.118</x:v>
      </x:c>
      <x:c r="G708" s="74" t="n">
        <x:v>-0.0009</x:v>
      </x:c>
      <x:c r="H708" s="66" t="str">
        <x:v>深度梦扬量化套利0号净值20260911.xlsx</x:v>
      </x:c>
      <x:c r="I708" s="73" t="str">
        <x:f>""</x:f>
      </x:c>
      <x:c r="J708" s="74" t="str">
        <x:f>""</x:f>
      </x:c>
      <x:c r="K708" s="73" t="str">
        <x:f>""</x:f>
      </x:c>
      <x:c r="L708" s="74" t="str">
        <x:f>""</x:f>
      </x:c>
      <x:c r="M708" s="73" t="n">
        <x:f>MAX(M707,F708)</x:f>
        <x:v>1.119</x:v>
      </x:c>
      <x:c r="N708" s="74" t="n">
        <x:f>1-F708/M708</x:f>
        <x:v>0.0008936550491509543</x:v>
      </x:c>
    </x:row>
    <x:row r="709" ht="27" customHeight="1">
      <x:c r="A709" s="66" t="str">
        <x:v>SQD620</x:v>
      </x:c>
      <x:c r="B709" s="66" t="str">
        <x:v>深度梦扬量化套利0号</x:v>
      </x:c>
      <x:c r="C709" s="72" t="n">
        <x:v>44742</x:v>
      </x:c>
      <x:c r="D709" s="73" t="n">
        <x:v>1.123</x:v>
      </x:c>
      <x:c r="E709" s="73" t="n">
        <x:v>1.123</x:v>
      </x:c>
      <x:c r="F709" s="73" t="n">
        <x:v>1.123</x:v>
      </x:c>
      <x:c r="G709" s="74" t="n">
        <x:v>0.0045000000000000005</x:v>
      </x:c>
      <x:c r="H709" s="66" t="str">
        <x:v>深度梦扬量化套利0号净值20260911.xlsx</x:v>
      </x:c>
      <x:c r="I709" s="73" t="str">
        <x:f>""</x:f>
      </x:c>
      <x:c r="J709" s="74" t="str">
        <x:f>""</x:f>
      </x:c>
      <x:c r="K709" s="73" t="str">
        <x:f>""</x:f>
      </x:c>
      <x:c r="L709" s="74" t="str">
        <x:f>""</x:f>
      </x:c>
      <x:c r="M709" s="73" t="n">
        <x:f>MAX(M708,F709)</x:f>
        <x:v>1.123</x:v>
      </x:c>
      <x:c r="N709" s="74" t="n">
        <x:f>1-F709/M709</x:f>
        <x:v>0</x:v>
      </x:c>
    </x:row>
    <x:row r="710" ht="27" customHeight="1">
      <x:c r="A710" s="66" t="str">
        <x:v>SQD620</x:v>
      </x:c>
      <x:c r="B710" s="66" t="str">
        <x:v>深度梦扬量化套利0号</x:v>
      </x:c>
      <x:c r="C710" s="72" t="n">
        <x:v>44743</x:v>
      </x:c>
      <x:c r="D710" s="73" t="n">
        <x:v>1.119</x:v>
      </x:c>
      <x:c r="E710" s="73" t="n">
        <x:v>1.119</x:v>
      </x:c>
      <x:c r="F710" s="73" t="n">
        <x:v>1.119</x:v>
      </x:c>
      <x:c r="G710" s="74" t="n">
        <x:v>-0.0036</x:v>
      </x:c>
      <x:c r="H710" s="66" t="str">
        <x:v>深度梦扬量化套利0号净值20260911.xlsx</x:v>
      </x:c>
      <x:c r="I710" s="73" t="str">
        <x:f>""</x:f>
      </x:c>
      <x:c r="J710" s="74" t="str">
        <x:f>""</x:f>
      </x:c>
      <x:c r="K710" s="73" t="str">
        <x:f>""</x:f>
      </x:c>
      <x:c r="L710" s="74" t="str">
        <x:f>""</x:f>
      </x:c>
      <x:c r="M710" s="73" t="n">
        <x:f>MAX(M709,F710)</x:f>
        <x:v>1.123</x:v>
      </x:c>
      <x:c r="N710" s="74" t="n">
        <x:f>1-F710/M710</x:f>
        <x:v>0.003561887800534236</x:v>
      </x:c>
    </x:row>
    <x:row r="711" ht="27" customHeight="1">
      <x:c r="A711" s="66" t="str">
        <x:v>SQD620</x:v>
      </x:c>
      <x:c r="B711" s="66" t="str">
        <x:v>深度梦扬量化套利0号</x:v>
      </x:c>
      <x:c r="C711" s="72" t="n">
        <x:v>44749</x:v>
      </x:c>
      <x:c r="D711" s="73" t="n">
        <x:v>1.122</x:v>
      </x:c>
      <x:c r="E711" s="73" t="n">
        <x:v>1.122</x:v>
      </x:c>
      <x:c r="F711" s="73" t="n">
        <x:v>1.122</x:v>
      </x:c>
      <x:c r="G711" s="74" t="n">
        <x:v>0.0027</x:v>
      </x:c>
      <x:c r="H711" s="66" t="str">
        <x:v>深度梦扬量化套利0号净值20260911.xlsx</x:v>
      </x:c>
      <x:c r="I711" s="73" t="str">
        <x:f>""</x:f>
      </x:c>
      <x:c r="J711" s="74" t="str">
        <x:f>""</x:f>
      </x:c>
      <x:c r="K711" s="73" t="str">
        <x:f>""</x:f>
      </x:c>
      <x:c r="L711" s="74" t="str">
        <x:f>""</x:f>
      </x:c>
      <x:c r="M711" s="73" t="n">
        <x:f>MAX(M710,F711)</x:f>
        <x:v>1.123</x:v>
      </x:c>
      <x:c r="N711" s="74" t="n">
        <x:f>1-F711/M711</x:f>
        <x:v>0.0008904719501334757</x:v>
      </x:c>
    </x:row>
    <x:row r="712" ht="27" customHeight="1">
      <x:c r="A712" s="66" t="str">
        <x:v>SQD620</x:v>
      </x:c>
      <x:c r="B712" s="66" t="str">
        <x:v>深度梦扬量化套利0号</x:v>
      </x:c>
      <x:c r="C712" s="72" t="n">
        <x:v>44750</x:v>
      </x:c>
      <x:c r="D712" s="73" t="n">
        <x:v>1.123</x:v>
      </x:c>
      <x:c r="E712" s="73" t="n">
        <x:v>1.123</x:v>
      </x:c>
      <x:c r="F712" s="73" t="n">
        <x:v>1.123</x:v>
      </x:c>
      <x:c r="G712" s="74" t="n">
        <x:v>0.0009</x:v>
      </x:c>
      <x:c r="H712" s="66" t="str">
        <x:v>深度梦扬量化套利0号净值20260911.xlsx</x:v>
      </x:c>
      <x:c r="I712" s="73" t="str">
        <x:f>""</x:f>
      </x:c>
      <x:c r="J712" s="74" t="str">
        <x:f>""</x:f>
      </x:c>
      <x:c r="K712" s="73" t="str">
        <x:f>""</x:f>
      </x:c>
      <x:c r="L712" s="74" t="str">
        <x:f>""</x:f>
      </x:c>
      <x:c r="M712" s="73" t="n">
        <x:f>MAX(M711,F712)</x:f>
        <x:v>1.123</x:v>
      </x:c>
      <x:c r="N712" s="74" t="n">
        <x:f>1-F712/M712</x:f>
        <x:v>0</x:v>
      </x:c>
    </x:row>
    <x:row r="713" ht="27" customHeight="1">
      <x:c r="A713" s="66" t="str">
        <x:v>SQD620</x:v>
      </x:c>
      <x:c r="B713" s="66" t="str">
        <x:v>深度梦扬量化套利0号</x:v>
      </x:c>
      <x:c r="C713" s="72" t="n">
        <x:v>44756</x:v>
      </x:c>
      <x:c r="D713" s="73" t="n">
        <x:v>1.12</x:v>
      </x:c>
      <x:c r="E713" s="73" t="n">
        <x:v>1.12</x:v>
      </x:c>
      <x:c r="F713" s="73" t="n">
        <x:v>1.12</x:v>
      </x:c>
      <x:c r="G713" s="74" t="n">
        <x:v>-0.0027</x:v>
      </x:c>
      <x:c r="H713" s="66" t="str">
        <x:v>深度梦扬量化套利0号净值20260911.xlsx</x:v>
      </x:c>
      <x:c r="I713" s="73" t="str">
        <x:f>""</x:f>
      </x:c>
      <x:c r="J713" s="74" t="str">
        <x:f>""</x:f>
      </x:c>
      <x:c r="K713" s="73" t="str">
        <x:f>""</x:f>
      </x:c>
      <x:c r="L713" s="74" t="str">
        <x:f>""</x:f>
      </x:c>
      <x:c r="M713" s="73" t="n">
        <x:f>MAX(M712,F713)</x:f>
        <x:v>1.123</x:v>
      </x:c>
      <x:c r="N713" s="74" t="n">
        <x:f>1-F713/M713</x:f>
        <x:v>0.002671415850400649</x:v>
      </x:c>
    </x:row>
    <x:row r="714" ht="27" customHeight="1">
      <x:c r="A714" s="66" t="str">
        <x:v>SQD620</x:v>
      </x:c>
      <x:c r="B714" s="66" t="str">
        <x:v>深度梦扬量化套利0号</x:v>
      </x:c>
      <x:c r="C714" s="72" t="n">
        <x:v>44757</x:v>
      </x:c>
      <x:c r="D714" s="73" t="n">
        <x:v>1.133</x:v>
      </x:c>
      <x:c r="E714" s="73" t="n">
        <x:v>1.133</x:v>
      </x:c>
      <x:c r="F714" s="73" t="n">
        <x:v>1.133</x:v>
      </x:c>
      <x:c r="G714" s="74" t="n">
        <x:v>0.0116</x:v>
      </x:c>
      <x:c r="H714" s="66" t="str">
        <x:v>深度梦扬量化套利0号净值20260911.xlsx</x:v>
      </x:c>
      <x:c r="I714" s="73" t="str">
        <x:f>""</x:f>
      </x:c>
      <x:c r="J714" s="74" t="str">
        <x:f>""</x:f>
      </x:c>
      <x:c r="K714" s="73" t="str">
        <x:f>""</x:f>
      </x:c>
      <x:c r="L714" s="74" t="str">
        <x:f>""</x:f>
      </x:c>
      <x:c r="M714" s="73" t="n">
        <x:f>MAX(M713,F714)</x:f>
        <x:v>1.133</x:v>
      </x:c>
      <x:c r="N714" s="74" t="n">
        <x:f>1-F714/M714</x:f>
        <x:v>0</x:v>
      </x:c>
    </x:row>
    <x:row r="715" ht="27" customHeight="1">
      <x:c r="A715" s="66" t="str">
        <x:v>SQD620</x:v>
      </x:c>
      <x:c r="B715" s="66" t="str">
        <x:v>深度梦扬量化套利0号</x:v>
      </x:c>
      <x:c r="C715" s="72" t="n">
        <x:v>44763</x:v>
      </x:c>
      <x:c r="D715" s="73" t="n">
        <x:v>1.128</x:v>
      </x:c>
      <x:c r="E715" s="73" t="n">
        <x:v>1.128</x:v>
      </x:c>
      <x:c r="F715" s="73" t="n">
        <x:v>1.128</x:v>
      </x:c>
      <x:c r="G715" s="74" t="n">
        <x:v>-0.0044</x:v>
      </x:c>
      <x:c r="H715" s="66" t="str">
        <x:v>深度梦扬量化套利0号净值20260911.xlsx</x:v>
      </x:c>
      <x:c r="I715" s="73" t="str">
        <x:f>""</x:f>
      </x:c>
      <x:c r="J715" s="74" t="str">
        <x:f>""</x:f>
      </x:c>
      <x:c r="K715" s="73" t="str">
        <x:f>""</x:f>
      </x:c>
      <x:c r="L715" s="74" t="str">
        <x:f>""</x:f>
      </x:c>
      <x:c r="M715" s="73" t="n">
        <x:f>MAX(M714,F715)</x:f>
        <x:v>1.133</x:v>
      </x:c>
      <x:c r="N715" s="74" t="n">
        <x:f>1-F715/M715</x:f>
        <x:v>0.0044130626654899086</x:v>
      </x:c>
    </x:row>
    <x:row r="716" ht="27" customHeight="1">
      <x:c r="A716" s="66" t="str">
        <x:v>SQD620</x:v>
      </x:c>
      <x:c r="B716" s="66" t="str">
        <x:v>深度梦扬量化套利0号</x:v>
      </x:c>
      <x:c r="C716" s="72" t="n">
        <x:v>44764</x:v>
      </x:c>
      <x:c r="D716" s="73" t="n">
        <x:v>1.123</x:v>
      </x:c>
      <x:c r="E716" s="73" t="n">
        <x:v>1.123</x:v>
      </x:c>
      <x:c r="F716" s="73" t="n">
        <x:v>1.123</x:v>
      </x:c>
      <x:c r="G716" s="74" t="n">
        <x:v>-0.0044</x:v>
      </x:c>
      <x:c r="H716" s="66" t="str">
        <x:v>深度梦扬量化套利0号净值20260911.xlsx</x:v>
      </x:c>
      <x:c r="I716" s="73" t="str">
        <x:f>""</x:f>
      </x:c>
      <x:c r="J716" s="74" t="str">
        <x:f>""</x:f>
      </x:c>
      <x:c r="K716" s="73" t="str">
        <x:f>""</x:f>
      </x:c>
      <x:c r="L716" s="74" t="str">
        <x:f>""</x:f>
      </x:c>
      <x:c r="M716" s="73" t="n">
        <x:f>MAX(M715,F716)</x:f>
        <x:v>1.133</x:v>
      </x:c>
      <x:c r="N716" s="74" t="n">
        <x:f>1-F716/M716</x:f>
        <x:v>0.008826125330979706</x:v>
      </x:c>
    </x:row>
    <x:row r="717" ht="27" customHeight="1">
      <x:c r="A717" s="66" t="str">
        <x:v>SQD620</x:v>
      </x:c>
      <x:c r="B717" s="66" t="str">
        <x:v>深度梦扬量化套利0号</x:v>
      </x:c>
      <x:c r="C717" s="72" t="n">
        <x:v>44770</x:v>
      </x:c>
      <x:c r="D717" s="73" t="n">
        <x:v>1.126</x:v>
      </x:c>
      <x:c r="E717" s="73" t="n">
        <x:v>1.126</x:v>
      </x:c>
      <x:c r="F717" s="73" t="n">
        <x:v>1.126</x:v>
      </x:c>
      <x:c r="G717" s="74" t="n">
        <x:v>0.0027</x:v>
      </x:c>
      <x:c r="H717" s="66" t="str">
        <x:v>深度梦扬量化套利0号净值20260911.xlsx</x:v>
      </x:c>
      <x:c r="I717" s="73" t="str">
        <x:f>""</x:f>
      </x:c>
      <x:c r="J717" s="74" t="str">
        <x:f>""</x:f>
      </x:c>
      <x:c r="K717" s="73" t="str">
        <x:f>""</x:f>
      </x:c>
      <x:c r="L717" s="74" t="str">
        <x:f>""</x:f>
      </x:c>
      <x:c r="M717" s="73" t="n">
        <x:f>MAX(M716,F717)</x:f>
        <x:v>1.133</x:v>
      </x:c>
      <x:c r="N717" s="74" t="n">
        <x:f>1-F717/M717</x:f>
        <x:v>0.006178287731685939</x:v>
      </x:c>
    </x:row>
    <x:row r="718" ht="27" customHeight="1">
      <x:c r="A718" s="66" t="str">
        <x:v>SQD620</x:v>
      </x:c>
      <x:c r="B718" s="66" t="str">
        <x:v>深度梦扬量化套利0号</x:v>
      </x:c>
      <x:c r="C718" s="72" t="n">
        <x:v>44771</x:v>
      </x:c>
      <x:c r="D718" s="73" t="n">
        <x:v>1.126</x:v>
      </x:c>
      <x:c r="E718" s="73" t="n">
        <x:v>1.126</x:v>
      </x:c>
      <x:c r="F718" s="73" t="n">
        <x:v>1.126</x:v>
      </x:c>
      <x:c r="G718" s="74" t="n">
        <x:v>0</x:v>
      </x:c>
      <x:c r="H718" s="66" t="str">
        <x:v>深度梦扬量化套利0号净值20260911.xlsx</x:v>
      </x:c>
      <x:c r="I718" s="73" t="str">
        <x:f>""</x:f>
      </x:c>
      <x:c r="J718" s="74" t="str">
        <x:f>""</x:f>
      </x:c>
      <x:c r="K718" s="73" t="str">
        <x:f>""</x:f>
      </x:c>
      <x:c r="L718" s="74" t="str">
        <x:f>""</x:f>
      </x:c>
      <x:c r="M718" s="73" t="n">
        <x:f>MAX(M717,F718)</x:f>
        <x:v>1.133</x:v>
      </x:c>
      <x:c r="N718" s="74" t="n">
        <x:f>1-F718/M718</x:f>
        <x:v>0.006178287731685939</x:v>
      </x:c>
    </x:row>
    <x:row r="719" ht="27" customHeight="1">
      <x:c r="A719" s="66" t="str">
        <x:v>SQD620</x:v>
      </x:c>
      <x:c r="B719" s="66" t="str">
        <x:v>深度梦扬量化套利0号</x:v>
      </x:c>
      <x:c r="C719" s="72" t="n">
        <x:v>44777</x:v>
      </x:c>
      <x:c r="D719" s="73" t="n">
        <x:v>1.125</x:v>
      </x:c>
      <x:c r="E719" s="73" t="n">
        <x:v>1.125</x:v>
      </x:c>
      <x:c r="F719" s="73" t="n">
        <x:v>1.125</x:v>
      </x:c>
      <x:c r="G719" s="74" t="n">
        <x:v>-0.0009</x:v>
      </x:c>
      <x:c r="H719" s="66" t="str">
        <x:v>深度梦扬量化套利0号净值20260911.xlsx</x:v>
      </x:c>
      <x:c r="I719" s="73" t="str">
        <x:f>""</x:f>
      </x:c>
      <x:c r="J719" s="74" t="str">
        <x:f>""</x:f>
      </x:c>
      <x:c r="K719" s="73" t="str">
        <x:f>""</x:f>
      </x:c>
      <x:c r="L719" s="74" t="str">
        <x:f>""</x:f>
      </x:c>
      <x:c r="M719" s="73" t="n">
        <x:f>MAX(M718,F719)</x:f>
        <x:v>1.133</x:v>
      </x:c>
      <x:c r="N719" s="74" t="n">
        <x:f>1-F719/M719</x:f>
        <x:v>0.007060900264783787</x:v>
      </x:c>
    </x:row>
    <x:row r="720" ht="27" customHeight="1">
      <x:c r="A720" s="66" t="str">
        <x:v>SQD620</x:v>
      </x:c>
      <x:c r="B720" s="66" t="str">
        <x:v>深度梦扬量化套利0号</x:v>
      </x:c>
      <x:c r="C720" s="72" t="n">
        <x:v>44778</x:v>
      </x:c>
      <x:c r="D720" s="73" t="n">
        <x:v>1.125</x:v>
      </x:c>
      <x:c r="E720" s="73" t="n">
        <x:v>1.125</x:v>
      </x:c>
      <x:c r="F720" s="73" t="n">
        <x:v>1.125</x:v>
      </x:c>
      <x:c r="G720" s="74" t="n">
        <x:v>0</x:v>
      </x:c>
      <x:c r="H720" s="66" t="str">
        <x:v>深度梦扬量化套利0号净值20260911.xlsx</x:v>
      </x:c>
      <x:c r="I720" s="73" t="str">
        <x:f>""</x:f>
      </x:c>
      <x:c r="J720" s="74" t="str">
        <x:f>""</x:f>
      </x:c>
      <x:c r="K720" s="73" t="str">
        <x:f>""</x:f>
      </x:c>
      <x:c r="L720" s="74" t="str">
        <x:f>""</x:f>
      </x:c>
      <x:c r="M720" s="73" t="n">
        <x:f>MAX(M719,F720)</x:f>
        <x:v>1.133</x:v>
      </x:c>
      <x:c r="N720" s="74" t="n">
        <x:f>1-F720/M720</x:f>
        <x:v>0.007060900264783787</x:v>
      </x:c>
    </x:row>
    <x:row r="721" ht="27" customHeight="1">
      <x:c r="A721" s="66" t="str">
        <x:v>SQD620</x:v>
      </x:c>
      <x:c r="B721" s="66" t="str">
        <x:v>深度梦扬量化套利0号</x:v>
      </x:c>
      <x:c r="C721" s="72" t="n">
        <x:v>44784</x:v>
      </x:c>
      <x:c r="D721" s="73" t="n">
        <x:v>1.127</x:v>
      </x:c>
      <x:c r="E721" s="73" t="n">
        <x:v>1.127</x:v>
      </x:c>
      <x:c r="F721" s="73" t="n">
        <x:v>1.127</x:v>
      </x:c>
      <x:c r="G721" s="74" t="n">
        <x:v>0.0018</x:v>
      </x:c>
      <x:c r="H721" s="66" t="str">
        <x:v>深度梦扬量化套利0号净值20260911.xlsx</x:v>
      </x:c>
      <x:c r="I721" s="73" t="str">
        <x:f>""</x:f>
      </x:c>
      <x:c r="J721" s="74" t="str">
        <x:f>""</x:f>
      </x:c>
      <x:c r="K721" s="73" t="str">
        <x:f>""</x:f>
      </x:c>
      <x:c r="L721" s="74" t="str">
        <x:f>""</x:f>
      </x:c>
      <x:c r="M721" s="73" t="n">
        <x:f>MAX(M720,F721)</x:f>
        <x:v>1.133</x:v>
      </x:c>
      <x:c r="N721" s="74" t="n">
        <x:f>1-F721/M721</x:f>
        <x:v>0.005295675198587868</x:v>
      </x:c>
    </x:row>
    <x:row r="722" ht="27" customHeight="1">
      <x:c r="A722" s="66" t="str">
        <x:v>SQD620</x:v>
      </x:c>
      <x:c r="B722" s="66" t="str">
        <x:v>深度梦扬量化套利0号</x:v>
      </x:c>
      <x:c r="C722" s="72" t="n">
        <x:v>44785</x:v>
      </x:c>
      <x:c r="D722" s="73" t="n">
        <x:v>1.127</x:v>
      </x:c>
      <x:c r="E722" s="73" t="n">
        <x:v>1.127</x:v>
      </x:c>
      <x:c r="F722" s="73" t="n">
        <x:v>1.127</x:v>
      </x:c>
      <x:c r="G722" s="74" t="n">
        <x:v>0</x:v>
      </x:c>
      <x:c r="H722" s="66" t="str">
        <x:v>深度梦扬量化套利0号净值20260911.xlsx</x:v>
      </x:c>
      <x:c r="I722" s="73" t="str">
        <x:f>""</x:f>
      </x:c>
      <x:c r="J722" s="74" t="str">
        <x:f>""</x:f>
      </x:c>
      <x:c r="K722" s="73" t="str">
        <x:f>""</x:f>
      </x:c>
      <x:c r="L722" s="74" t="str">
        <x:f>""</x:f>
      </x:c>
      <x:c r="M722" s="73" t="n">
        <x:f>MAX(M721,F722)</x:f>
        <x:v>1.133</x:v>
      </x:c>
      <x:c r="N722" s="74" t="n">
        <x:f>1-F722/M722</x:f>
        <x:v>0.005295675198587868</x:v>
      </x:c>
    </x:row>
    <x:row r="723" ht="27" customHeight="1">
      <x:c r="A723" s="66" t="str">
        <x:v>SQD620</x:v>
      </x:c>
      <x:c r="B723" s="66" t="str">
        <x:v>深度梦扬量化套利0号</x:v>
      </x:c>
      <x:c r="C723" s="72" t="n">
        <x:v>44791</x:v>
      </x:c>
      <x:c r="D723" s="73" t="n">
        <x:v>1.128</x:v>
      </x:c>
      <x:c r="E723" s="73" t="n">
        <x:v>1.128</x:v>
      </x:c>
      <x:c r="F723" s="73" t="n">
        <x:v>1.128</x:v>
      </x:c>
      <x:c r="G723" s="74" t="n">
        <x:v>0.0009</x:v>
      </x:c>
      <x:c r="H723" s="66" t="str">
        <x:v>深度梦扬量化套利0号净值20260911.xlsx</x:v>
      </x:c>
      <x:c r="I723" s="73" t="str">
        <x:f>""</x:f>
      </x:c>
      <x:c r="J723" s="74" t="str">
        <x:f>""</x:f>
      </x:c>
      <x:c r="K723" s="73" t="str">
        <x:f>""</x:f>
      </x:c>
      <x:c r="L723" s="74" t="str">
        <x:f>""</x:f>
      </x:c>
      <x:c r="M723" s="73" t="n">
        <x:f>MAX(M722,F723)</x:f>
        <x:v>1.133</x:v>
      </x:c>
      <x:c r="N723" s="74" t="n">
        <x:f>1-F723/M723</x:f>
        <x:v>0.0044130626654899086</x:v>
      </x:c>
    </x:row>
    <x:row r="724" ht="27" customHeight="1">
      <x:c r="A724" s="66" t="str">
        <x:v>SQD620</x:v>
      </x:c>
      <x:c r="B724" s="66" t="str">
        <x:v>深度梦扬量化套利0号</x:v>
      </x:c>
      <x:c r="C724" s="72" t="n">
        <x:v>44792</x:v>
      </x:c>
      <x:c r="D724" s="73" t="n">
        <x:v>1.128</x:v>
      </x:c>
      <x:c r="E724" s="73" t="n">
        <x:v>1.128</x:v>
      </x:c>
      <x:c r="F724" s="73" t="n">
        <x:v>1.128</x:v>
      </x:c>
      <x:c r="G724" s="74" t="n">
        <x:v>0</x:v>
      </x:c>
      <x:c r="H724" s="66" t="str">
        <x:v>深度梦扬量化套利0号净值20260911.xlsx</x:v>
      </x:c>
      <x:c r="I724" s="73" t="str">
        <x:f>""</x:f>
      </x:c>
      <x:c r="J724" s="74" t="str">
        <x:f>""</x:f>
      </x:c>
      <x:c r="K724" s="73" t="str">
        <x:f>""</x:f>
      </x:c>
      <x:c r="L724" s="74" t="str">
        <x:f>""</x:f>
      </x:c>
      <x:c r="M724" s="73" t="n">
        <x:f>MAX(M723,F724)</x:f>
        <x:v>1.133</x:v>
      </x:c>
      <x:c r="N724" s="74" t="n">
        <x:f>1-F724/M724</x:f>
        <x:v>0.0044130626654899086</x:v>
      </x:c>
    </x:row>
    <x:row r="725" ht="27" customHeight="1">
      <x:c r="A725" s="66" t="str">
        <x:v>SQD620</x:v>
      </x:c>
      <x:c r="B725" s="66" t="str">
        <x:v>深度梦扬量化套利0号</x:v>
      </x:c>
      <x:c r="C725" s="72" t="n">
        <x:v>44798</x:v>
      </x:c>
      <x:c r="D725" s="73" t="n">
        <x:v>1.13</x:v>
      </x:c>
      <x:c r="E725" s="73" t="n">
        <x:v>1.13</x:v>
      </x:c>
      <x:c r="F725" s="73" t="n">
        <x:v>1.13</x:v>
      </x:c>
      <x:c r="G725" s="74" t="n">
        <x:v>0.0018</x:v>
      </x:c>
      <x:c r="H725" s="66" t="str">
        <x:v>深度梦扬量化套利0号净值20260911.xlsx</x:v>
      </x:c>
      <x:c r="I725" s="73" t="str">
        <x:f>""</x:f>
      </x:c>
      <x:c r="J725" s="74" t="str">
        <x:f>""</x:f>
      </x:c>
      <x:c r="K725" s="73" t="str">
        <x:f>""</x:f>
      </x:c>
      <x:c r="L725" s="74" t="str">
        <x:f>""</x:f>
      </x:c>
      <x:c r="M725" s="73" t="n">
        <x:f>MAX(M724,F725)</x:f>
        <x:v>1.133</x:v>
      </x:c>
      <x:c r="N725" s="74" t="n">
        <x:f>1-F725/M725</x:f>
        <x:v>0.0026478375992939895</x:v>
      </x:c>
    </x:row>
    <x:row r="726" ht="27" customHeight="1">
      <x:c r="A726" s="66" t="str">
        <x:v>SQD620</x:v>
      </x:c>
      <x:c r="B726" s="66" t="str">
        <x:v>深度梦扬量化套利0号</x:v>
      </x:c>
      <x:c r="C726" s="72" t="n">
        <x:v>44799</x:v>
      </x:c>
      <x:c r="D726" s="73" t="n">
        <x:v>1.129</x:v>
      </x:c>
      <x:c r="E726" s="73" t="n">
        <x:v>1.129</x:v>
      </x:c>
      <x:c r="F726" s="73" t="n">
        <x:v>1.129</x:v>
      </x:c>
      <x:c r="G726" s="74" t="n">
        <x:v>-0.0009</x:v>
      </x:c>
      <x:c r="H726" s="66" t="str">
        <x:v>深度梦扬量化套利0号净值20260911.xlsx</x:v>
      </x:c>
      <x:c r="I726" s="73" t="str">
        <x:f>""</x:f>
      </x:c>
      <x:c r="J726" s="74" t="str">
        <x:f>""</x:f>
      </x:c>
      <x:c r="K726" s="73" t="str">
        <x:f>""</x:f>
      </x:c>
      <x:c r="L726" s="74" t="str">
        <x:f>""</x:f>
      </x:c>
      <x:c r="M726" s="73" t="n">
        <x:f>MAX(M725,F726)</x:f>
        <x:v>1.133</x:v>
      </x:c>
      <x:c r="N726" s="74" t="n">
        <x:f>1-F726/M726</x:f>
        <x:v>0.003530450132391838</x:v>
      </x:c>
    </x:row>
    <x:row r="727" ht="27" customHeight="1">
      <x:c r="A727" s="66" t="str">
        <x:v>SQD620</x:v>
      </x:c>
      <x:c r="B727" s="66" t="str">
        <x:v>深度梦扬量化套利0号</x:v>
      </x:c>
      <x:c r="C727" s="72" t="n">
        <x:v>44804</x:v>
      </x:c>
      <x:c r="D727" s="73" t="n">
        <x:v>1.13</x:v>
      </x:c>
      <x:c r="E727" s="73" t="n">
        <x:v>1.13</x:v>
      </x:c>
      <x:c r="F727" s="73" t="n">
        <x:v>1.13</x:v>
      </x:c>
      <x:c r="G727" s="74" t="n">
        <x:v>0.0009</x:v>
      </x:c>
      <x:c r="H727" s="66" t="str">
        <x:v>深度梦扬量化套利0号净值20260911.xlsx</x:v>
      </x:c>
      <x:c r="I727" s="73" t="str">
        <x:f>""</x:f>
      </x:c>
      <x:c r="J727" s="74" t="str">
        <x:f>""</x:f>
      </x:c>
      <x:c r="K727" s="73" t="str">
        <x:f>""</x:f>
      </x:c>
      <x:c r="L727" s="74" t="str">
        <x:f>""</x:f>
      </x:c>
      <x:c r="M727" s="73" t="n">
        <x:f>MAX(M726,F727)</x:f>
        <x:v>1.133</x:v>
      </x:c>
      <x:c r="N727" s="74" t="n">
        <x:f>1-F727/M727</x:f>
        <x:v>0.0026478375992939895</x:v>
      </x:c>
    </x:row>
    <x:row r="728" ht="27" customHeight="1">
      <x:c r="A728" s="66" t="str">
        <x:v>SQD620</x:v>
      </x:c>
      <x:c r="B728" s="66" t="str">
        <x:v>深度梦扬量化套利0号</x:v>
      </x:c>
      <x:c r="C728" s="72" t="n">
        <x:v>44805</x:v>
      </x:c>
      <x:c r="D728" s="73" t="n">
        <x:v>1.133</x:v>
      </x:c>
      <x:c r="E728" s="73" t="n">
        <x:v>1.133</x:v>
      </x:c>
      <x:c r="F728" s="73" t="n">
        <x:v>1.133</x:v>
      </x:c>
      <x:c r="G728" s="74" t="n">
        <x:v>0.0027</x:v>
      </x:c>
      <x:c r="H728" s="66" t="str">
        <x:v>深度梦扬量化套利0号净值20260911.xlsx</x:v>
      </x:c>
      <x:c r="I728" s="73" t="str">
        <x:f>""</x:f>
      </x:c>
      <x:c r="J728" s="74" t="str">
        <x:f>""</x:f>
      </x:c>
      <x:c r="K728" s="73" t="str">
        <x:f>""</x:f>
      </x:c>
      <x:c r="L728" s="74" t="str">
        <x:f>""</x:f>
      </x:c>
      <x:c r="M728" s="73" t="n">
        <x:f>MAX(M727,F728)</x:f>
        <x:v>1.133</x:v>
      </x:c>
      <x:c r="N728" s="74" t="n">
        <x:f>1-F728/M728</x:f>
        <x:v>0</x:v>
      </x:c>
    </x:row>
    <x:row r="729" ht="27" customHeight="1">
      <x:c r="A729" s="66" t="str">
        <x:v>SQD620</x:v>
      </x:c>
      <x:c r="B729" s="66" t="str">
        <x:v>深度梦扬量化套利0号</x:v>
      </x:c>
      <x:c r="C729" s="72" t="n">
        <x:v>44806</x:v>
      </x:c>
      <x:c r="D729" s="73" t="n">
        <x:v>1.124</x:v>
      </x:c>
      <x:c r="E729" s="73" t="n">
        <x:v>1.124</x:v>
      </x:c>
      <x:c r="F729" s="73" t="n">
        <x:v>1.124</x:v>
      </x:c>
      <x:c r="G729" s="74" t="n">
        <x:v>-0.0079</x:v>
      </x:c>
      <x:c r="H729" s="66" t="str">
        <x:v>深度梦扬量化套利0号净值20260911.xlsx</x:v>
      </x:c>
      <x:c r="I729" s="73" t="str">
        <x:f>""</x:f>
      </x:c>
      <x:c r="J729" s="74" t="str">
        <x:f>""</x:f>
      </x:c>
      <x:c r="K729" s="73" t="str">
        <x:f>""</x:f>
      </x:c>
      <x:c r="L729" s="74" t="str">
        <x:f>""</x:f>
      </x:c>
      <x:c r="M729" s="73" t="n">
        <x:f>MAX(M728,F729)</x:f>
        <x:v>1.133</x:v>
      </x:c>
      <x:c r="N729" s="74" t="n">
        <x:f>1-F729/M729</x:f>
        <x:v>0.007943512797881636</x:v>
      </x:c>
    </x:row>
    <x:row r="730" ht="27" customHeight="1">
      <x:c r="A730" s="66" t="str">
        <x:v>SQD620</x:v>
      </x:c>
      <x:c r="B730" s="66" t="str">
        <x:v>深度梦扬量化套利0号</x:v>
      </x:c>
      <x:c r="C730" s="72" t="n">
        <x:v>44812</x:v>
      </x:c>
      <x:c r="D730" s="73" t="n">
        <x:v>1.131</x:v>
      </x:c>
      <x:c r="E730" s="73" t="n">
        <x:v>1.131</x:v>
      </x:c>
      <x:c r="F730" s="73" t="n">
        <x:v>1.131</x:v>
      </x:c>
      <x:c r="G730" s="74" t="n">
        <x:v>0.0062</x:v>
      </x:c>
      <x:c r="H730" s="66" t="str">
        <x:v>深度梦扬量化套利0号净值20260911.xlsx</x:v>
      </x:c>
      <x:c r="I730" s="73" t="str">
        <x:f>""</x:f>
      </x:c>
      <x:c r="J730" s="74" t="str">
        <x:f>""</x:f>
      </x:c>
      <x:c r="K730" s="73" t="str">
        <x:f>""</x:f>
      </x:c>
      <x:c r="L730" s="74" t="str">
        <x:f>""</x:f>
      </x:c>
      <x:c r="M730" s="73" t="n">
        <x:f>MAX(M729,F730)</x:f>
        <x:v>1.133</x:v>
      </x:c>
      <x:c r="N730" s="74" t="n">
        <x:f>1-F730/M730</x:f>
        <x:v>0.001765225066195919</x:v>
      </x:c>
    </x:row>
    <x:row r="731" ht="27" customHeight="1">
      <x:c r="A731" s="66" t="str">
        <x:v>SQD620</x:v>
      </x:c>
      <x:c r="B731" s="66" t="str">
        <x:v>深度梦扬量化套利0号</x:v>
      </x:c>
      <x:c r="C731" s="72" t="n">
        <x:v>44813</x:v>
      </x:c>
      <x:c r="D731" s="73" t="n">
        <x:v>1.131</x:v>
      </x:c>
      <x:c r="E731" s="73" t="n">
        <x:v>1.131</x:v>
      </x:c>
      <x:c r="F731" s="73" t="n">
        <x:v>1.131</x:v>
      </x:c>
      <x:c r="G731" s="74" t="n">
        <x:v>0</x:v>
      </x:c>
      <x:c r="H731" s="66" t="str">
        <x:v>深度梦扬量化套利0号净值20260911.xlsx</x:v>
      </x:c>
      <x:c r="I731" s="73" t="str">
        <x:f>""</x:f>
      </x:c>
      <x:c r="J731" s="74" t="str">
        <x:f>""</x:f>
      </x:c>
      <x:c r="K731" s="73" t="str">
        <x:f>""</x:f>
      </x:c>
      <x:c r="L731" s="74" t="str">
        <x:f>""</x:f>
      </x:c>
      <x:c r="M731" s="73" t="n">
        <x:f>MAX(M730,F731)</x:f>
        <x:v>1.133</x:v>
      </x:c>
      <x:c r="N731" s="74" t="n">
        <x:f>1-F731/M731</x:f>
        <x:v>0.001765225066195919</x:v>
      </x:c>
    </x:row>
    <x:row r="732" ht="27" customHeight="1">
      <x:c r="A732" s="66" t="str">
        <x:v>SQD620</x:v>
      </x:c>
      <x:c r="B732" s="66" t="str">
        <x:v>深度梦扬量化套利0号</x:v>
      </x:c>
      <x:c r="C732" s="72" t="n">
        <x:v>44819</x:v>
      </x:c>
      <x:c r="D732" s="73" t="n">
        <x:v>1.13</x:v>
      </x:c>
      <x:c r="E732" s="73" t="n">
        <x:v>1.13</x:v>
      </x:c>
      <x:c r="F732" s="73" t="n">
        <x:v>1.13</x:v>
      </x:c>
      <x:c r="G732" s="74" t="n">
        <x:v>-0.0009</x:v>
      </x:c>
      <x:c r="H732" s="66" t="str">
        <x:v>深度梦扬量化套利0号净值20260911.xlsx</x:v>
      </x:c>
      <x:c r="I732" s="73" t="str">
        <x:f>""</x:f>
      </x:c>
      <x:c r="J732" s="74" t="str">
        <x:f>""</x:f>
      </x:c>
      <x:c r="K732" s="73" t="str">
        <x:f>""</x:f>
      </x:c>
      <x:c r="L732" s="74" t="str">
        <x:f>""</x:f>
      </x:c>
      <x:c r="M732" s="73" t="n">
        <x:f>MAX(M731,F732)</x:f>
        <x:v>1.133</x:v>
      </x:c>
      <x:c r="N732" s="74" t="n">
        <x:f>1-F732/M732</x:f>
        <x:v>0.0026478375992939895</x:v>
      </x:c>
    </x:row>
    <x:row r="733" ht="27" customHeight="1">
      <x:c r="A733" s="66" t="str">
        <x:v>SQD620</x:v>
      </x:c>
      <x:c r="B733" s="66" t="str">
        <x:v>深度梦扬量化套利0号</x:v>
      </x:c>
      <x:c r="C733" s="72" t="n">
        <x:v>44820</x:v>
      </x:c>
      <x:c r="D733" s="73" t="n">
        <x:v>1.134</x:v>
      </x:c>
      <x:c r="E733" s="73" t="n">
        <x:v>1.134</x:v>
      </x:c>
      <x:c r="F733" s="73" t="n">
        <x:v>1.134</x:v>
      </x:c>
      <x:c r="G733" s="74" t="n">
        <x:v>0.0034999999999999996</x:v>
      </x:c>
      <x:c r="H733" s="66" t="str">
        <x:v>深度梦扬量化套利0号净值20260911.xlsx</x:v>
      </x:c>
      <x:c r="I733" s="73" t="str">
        <x:f>""</x:f>
      </x:c>
      <x:c r="J733" s="74" t="str">
        <x:f>""</x:f>
      </x:c>
      <x:c r="K733" s="73" t="str">
        <x:f>""</x:f>
      </x:c>
      <x:c r="L733" s="74" t="str">
        <x:f>""</x:f>
      </x:c>
      <x:c r="M733" s="73" t="n">
        <x:f>MAX(M732,F733)</x:f>
        <x:v>1.134</x:v>
      </x:c>
      <x:c r="N733" s="74" t="n">
        <x:f>1-F733/M733</x:f>
        <x:v>0</x:v>
      </x:c>
    </x:row>
    <x:row r="734" ht="27" customHeight="1">
      <x:c r="A734" s="66" t="str">
        <x:v>SQD620</x:v>
      </x:c>
      <x:c r="B734" s="66" t="str">
        <x:v>深度梦扬量化套利0号</x:v>
      </x:c>
      <x:c r="C734" s="72" t="n">
        <x:v>44826</x:v>
      </x:c>
      <x:c r="D734" s="73" t="n">
        <x:v>1.132</x:v>
      </x:c>
      <x:c r="E734" s="73" t="n">
        <x:v>1.132</x:v>
      </x:c>
      <x:c r="F734" s="73" t="n">
        <x:v>1.132</x:v>
      </x:c>
      <x:c r="G734" s="74" t="n">
        <x:v>-0.0018</x:v>
      </x:c>
      <x:c r="H734" s="66" t="str">
        <x:v>深度梦扬量化套利0号净值20260911.xlsx</x:v>
      </x:c>
      <x:c r="I734" s="73" t="str">
        <x:f>""</x:f>
      </x:c>
      <x:c r="J734" s="74" t="str">
        <x:f>""</x:f>
      </x:c>
      <x:c r="K734" s="73" t="str">
        <x:f>""</x:f>
      </x:c>
      <x:c r="L734" s="74" t="str">
        <x:f>""</x:f>
      </x:c>
      <x:c r="M734" s="73" t="n">
        <x:f>MAX(M733,F734)</x:f>
        <x:v>1.134</x:v>
      </x:c>
      <x:c r="N734" s="74" t="n">
        <x:f>1-F734/M734</x:f>
        <x:v>0.0017636684303351524</x:v>
      </x:c>
    </x:row>
    <x:row r="735" ht="27" customHeight="1">
      <x:c r="A735" s="66" t="str">
        <x:v>SQD620</x:v>
      </x:c>
      <x:c r="B735" s="66" t="str">
        <x:v>深度梦扬量化套利0号</x:v>
      </x:c>
      <x:c r="C735" s="72" t="n">
        <x:v>44827</x:v>
      </x:c>
      <x:c r="D735" s="73" t="n">
        <x:v>1.133</x:v>
      </x:c>
      <x:c r="E735" s="73" t="n">
        <x:v>1.133</x:v>
      </x:c>
      <x:c r="F735" s="73" t="n">
        <x:v>1.133</x:v>
      </x:c>
      <x:c r="G735" s="74" t="n">
        <x:v>0.0009</x:v>
      </x:c>
      <x:c r="H735" s="66" t="str">
        <x:v>深度梦扬量化套利0号净值20260911.xlsx</x:v>
      </x:c>
      <x:c r="I735" s="73" t="str">
        <x:f>""</x:f>
      </x:c>
      <x:c r="J735" s="74" t="str">
        <x:f>""</x:f>
      </x:c>
      <x:c r="K735" s="73" t="str">
        <x:f>""</x:f>
      </x:c>
      <x:c r="L735" s="74" t="str">
        <x:f>""</x:f>
      </x:c>
      <x:c r="M735" s="73" t="n">
        <x:f>MAX(M734,F735)</x:f>
        <x:v>1.134</x:v>
      </x:c>
      <x:c r="N735" s="74" t="n">
        <x:f>1-F735/M735</x:f>
        <x:v>0.0008818342151674097</x:v>
      </x:c>
    </x:row>
    <x:row r="736" ht="27" customHeight="1">
      <x:c r="A736" s="66" t="str">
        <x:v>SQD620</x:v>
      </x:c>
      <x:c r="B736" s="66" t="str">
        <x:v>深度梦扬量化套利0号</x:v>
      </x:c>
      <x:c r="C736" s="72" t="n">
        <x:v>44833</x:v>
      </x:c>
      <x:c r="D736" s="73" t="n">
        <x:v>1.134</x:v>
      </x:c>
      <x:c r="E736" s="73" t="n">
        <x:v>1.134</x:v>
      </x:c>
      <x:c r="F736" s="73" t="n">
        <x:v>1.134</x:v>
      </x:c>
      <x:c r="G736" s="74" t="n">
        <x:v>0.0009</x:v>
      </x:c>
      <x:c r="H736" s="66" t="str">
        <x:v>深度梦扬量化套利0号净值20260911.xlsx</x:v>
      </x:c>
      <x:c r="I736" s="73" t="str">
        <x:f>""</x:f>
      </x:c>
      <x:c r="J736" s="74" t="str">
        <x:f>""</x:f>
      </x:c>
      <x:c r="K736" s="73" t="str">
        <x:f>""</x:f>
      </x:c>
      <x:c r="L736" s="74" t="str">
        <x:f>""</x:f>
      </x:c>
      <x:c r="M736" s="73" t="n">
        <x:f>MAX(M735,F736)</x:f>
        <x:v>1.134</x:v>
      </x:c>
      <x:c r="N736" s="74" t="n">
        <x:f>1-F736/M736</x:f>
        <x:v>0</x:v>
      </x:c>
    </x:row>
    <x:row r="737" ht="27" customHeight="1">
      <x:c r="A737" s="66" t="str">
        <x:v>SQD620</x:v>
      </x:c>
      <x:c r="B737" s="66" t="str">
        <x:v>深度梦扬量化套利0号</x:v>
      </x:c>
      <x:c r="C737" s="72" t="n">
        <x:v>44834</x:v>
      </x:c>
      <x:c r="D737" s="73" t="n">
        <x:v>1.137</x:v>
      </x:c>
      <x:c r="E737" s="73" t="n">
        <x:v>1.137</x:v>
      </x:c>
      <x:c r="F737" s="73" t="n">
        <x:v>1.137</x:v>
      </x:c>
      <x:c r="G737" s="74" t="n">
        <x:v>0.0026</x:v>
      </x:c>
      <x:c r="H737" s="66" t="str">
        <x:v>深度梦扬量化套利0号净值20260911.xlsx</x:v>
      </x:c>
      <x:c r="I737" s="73" t="str">
        <x:f>""</x:f>
      </x:c>
      <x:c r="J737" s="74" t="str">
        <x:f>""</x:f>
      </x:c>
      <x:c r="K737" s="73" t="str">
        <x:f>""</x:f>
      </x:c>
      <x:c r="L737" s="74" t="str">
        <x:f>""</x:f>
      </x:c>
      <x:c r="M737" s="73" t="n">
        <x:f>MAX(M736,F737)</x:f>
        <x:v>1.137</x:v>
      </x:c>
      <x:c r="N737" s="74" t="n">
        <x:f>1-F737/M737</x:f>
        <x:v>0</x:v>
      </x:c>
    </x:row>
    <x:row r="738" ht="27" customHeight="1">
      <x:c r="A738" s="66" t="str">
        <x:v>SQD620</x:v>
      </x:c>
      <x:c r="B738" s="66" t="str">
        <x:v>深度梦扬量化套利0号</x:v>
      </x:c>
      <x:c r="C738" s="72" t="n">
        <x:v>44847</x:v>
      </x:c>
      <x:c r="D738" s="73" t="n">
        <x:v>1.137</x:v>
      </x:c>
      <x:c r="E738" s="73" t="n">
        <x:v>1.137</x:v>
      </x:c>
      <x:c r="F738" s="73" t="n">
        <x:v>1.137</x:v>
      </x:c>
      <x:c r="G738" s="74" t="n">
        <x:v>0</x:v>
      </x:c>
      <x:c r="H738" s="66" t="str">
        <x:v>深度梦扬量化套利0号净值20260911.xlsx</x:v>
      </x:c>
      <x:c r="I738" s="73" t="str">
        <x:f>""</x:f>
      </x:c>
      <x:c r="J738" s="74" t="str">
        <x:f>""</x:f>
      </x:c>
      <x:c r="K738" s="73" t="str">
        <x:f>""</x:f>
      </x:c>
      <x:c r="L738" s="74" t="str">
        <x:f>""</x:f>
      </x:c>
      <x:c r="M738" s="73" t="n">
        <x:f>MAX(M737,F738)</x:f>
        <x:v>1.137</x:v>
      </x:c>
      <x:c r="N738" s="74" t="n">
        <x:f>1-F738/M738</x:f>
        <x:v>0</x:v>
      </x:c>
    </x:row>
    <x:row r="739" ht="27" customHeight="1">
      <x:c r="A739" s="66" t="str">
        <x:v>SQD620</x:v>
      </x:c>
      <x:c r="B739" s="66" t="str">
        <x:v>深度梦扬量化套利0号</x:v>
      </x:c>
      <x:c r="C739" s="72" t="n">
        <x:v>44848</x:v>
      </x:c>
      <x:c r="D739" s="73" t="n">
        <x:v>1.135</x:v>
      </x:c>
      <x:c r="E739" s="73" t="n">
        <x:v>1.135</x:v>
      </x:c>
      <x:c r="F739" s="73" t="n">
        <x:v>1.135</x:v>
      </x:c>
      <x:c r="G739" s="74" t="n">
        <x:v>-0.0018</x:v>
      </x:c>
      <x:c r="H739" s="66" t="str">
        <x:v>深度梦扬量化套利0号净值20260911.xlsx</x:v>
      </x:c>
      <x:c r="I739" s="73" t="str">
        <x:f>""</x:f>
      </x:c>
      <x:c r="J739" s="74" t="str">
        <x:f>""</x:f>
      </x:c>
      <x:c r="K739" s="73" t="str">
        <x:f>""</x:f>
      </x:c>
      <x:c r="L739" s="74" t="str">
        <x:f>""</x:f>
      </x:c>
      <x:c r="M739" s="73" t="n">
        <x:f>MAX(M738,F739)</x:f>
        <x:v>1.137</x:v>
      </x:c>
      <x:c r="N739" s="74" t="n">
        <x:f>1-F739/M739</x:f>
        <x:v>0.0017590149516271136</x:v>
      </x:c>
    </x:row>
    <x:row r="740" ht="27" customHeight="1">
      <x:c r="A740" s="66" t="str">
        <x:v>SQD620</x:v>
      </x:c>
      <x:c r="B740" s="66" t="str">
        <x:v>深度梦扬量化套利0号</x:v>
      </x:c>
      <x:c r="C740" s="72" t="n">
        <x:v>44854</x:v>
      </x:c>
      <x:c r="D740" s="73" t="n">
        <x:v>1.139</x:v>
      </x:c>
      <x:c r="E740" s="73" t="n">
        <x:v>1.139</x:v>
      </x:c>
      <x:c r="F740" s="73" t="n">
        <x:v>1.139</x:v>
      </x:c>
      <x:c r="G740" s="74" t="n">
        <x:v>0.0034999999999999996</x:v>
      </x:c>
      <x:c r="H740" s="66" t="str">
        <x:v>深度梦扬量化套利0号净值20260911.xlsx</x:v>
      </x:c>
      <x:c r="I740" s="73" t="str">
        <x:f>""</x:f>
      </x:c>
      <x:c r="J740" s="74" t="str">
        <x:f>""</x:f>
      </x:c>
      <x:c r="K740" s="73" t="str">
        <x:f>""</x:f>
      </x:c>
      <x:c r="L740" s="74" t="str">
        <x:f>""</x:f>
      </x:c>
      <x:c r="M740" s="73" t="n">
        <x:f>MAX(M739,F740)</x:f>
        <x:v>1.139</x:v>
      </x:c>
      <x:c r="N740" s="74" t="n">
        <x:f>1-F740/M740</x:f>
        <x:v>0</x:v>
      </x:c>
    </x:row>
    <x:row r="741" ht="27" customHeight="1">
      <x:c r="A741" s="66" t="str">
        <x:v>SQD620</x:v>
      </x:c>
      <x:c r="B741" s="66" t="str">
        <x:v>深度梦扬量化套利0号</x:v>
      </x:c>
      <x:c r="C741" s="72" t="n">
        <x:v>44855</x:v>
      </x:c>
      <x:c r="D741" s="73" t="n">
        <x:v>1.137</x:v>
      </x:c>
      <x:c r="E741" s="73" t="n">
        <x:v>1.137</x:v>
      </x:c>
      <x:c r="F741" s="73" t="n">
        <x:v>1.137</x:v>
      </x:c>
      <x:c r="G741" s="74" t="n">
        <x:v>-0.0018</x:v>
      </x:c>
      <x:c r="H741" s="66" t="str">
        <x:v>深度梦扬量化套利0号净值20260911.xlsx</x:v>
      </x:c>
      <x:c r="I741" s="73" t="str">
        <x:f>""</x:f>
      </x:c>
      <x:c r="J741" s="74" t="str">
        <x:f>""</x:f>
      </x:c>
      <x:c r="K741" s="73" t="str">
        <x:f>""</x:f>
      </x:c>
      <x:c r="L741" s="74" t="str">
        <x:f>""</x:f>
      </x:c>
      <x:c r="M741" s="73" t="n">
        <x:f>MAX(M740,F741)</x:f>
        <x:v>1.139</x:v>
      </x:c>
      <x:c r="N741" s="74" t="n">
        <x:f>1-F741/M741</x:f>
        <x:v>0.0017559262510974394</x:v>
      </x:c>
    </x:row>
    <x:row r="742" ht="27" customHeight="1">
      <x:c r="A742" s="66" t="str">
        <x:v>SQD620</x:v>
      </x:c>
      <x:c r="B742" s="66" t="str">
        <x:v>深度梦扬量化套利0号</x:v>
      </x:c>
      <x:c r="C742" s="72" t="n">
        <x:v>44861</x:v>
      </x:c>
      <x:c r="D742" s="73" t="n">
        <x:v>1.14</x:v>
      </x:c>
      <x:c r="E742" s="73" t="n">
        <x:v>1.14</x:v>
      </x:c>
      <x:c r="F742" s="73" t="n">
        <x:v>1.14</x:v>
      </x:c>
      <x:c r="G742" s="74" t="n">
        <x:v>0.0026</x:v>
      </x:c>
      <x:c r="H742" s="66" t="str">
        <x:v>深度梦扬量化套利0号净值20260911.xlsx</x:v>
      </x:c>
      <x:c r="I742" s="73" t="str">
        <x:f>""</x:f>
      </x:c>
      <x:c r="J742" s="74" t="str">
        <x:f>""</x:f>
      </x:c>
      <x:c r="K742" s="73" t="str">
        <x:f>""</x:f>
      </x:c>
      <x:c r="L742" s="74" t="str">
        <x:f>""</x:f>
      </x:c>
      <x:c r="M742" s="73" t="n">
        <x:f>MAX(M741,F742)</x:f>
        <x:v>1.14</x:v>
      </x:c>
      <x:c r="N742" s="74" t="n">
        <x:f>1-F742/M742</x:f>
        <x:v>0</x:v>
      </x:c>
    </x:row>
    <x:row r="743" ht="27" customHeight="1">
      <x:c r="A743" s="66" t="str">
        <x:v>SQD620</x:v>
      </x:c>
      <x:c r="B743" s="66" t="str">
        <x:v>深度梦扬量化套利0号</x:v>
      </x:c>
      <x:c r="C743" s="72" t="n">
        <x:v>44862</x:v>
      </x:c>
      <x:c r="D743" s="73" t="n">
        <x:v>1.141</x:v>
      </x:c>
      <x:c r="E743" s="73" t="n">
        <x:v>1.141</x:v>
      </x:c>
      <x:c r="F743" s="73" t="n">
        <x:v>1.141</x:v>
      </x:c>
      <x:c r="G743" s="74" t="n">
        <x:v>0.0009</x:v>
      </x:c>
      <x:c r="H743" s="66" t="str">
        <x:v>深度梦扬量化套利0号净值20260911.xlsx</x:v>
      </x:c>
      <x:c r="I743" s="73" t="str">
        <x:f>""</x:f>
      </x:c>
      <x:c r="J743" s="74" t="str">
        <x:f>""</x:f>
      </x:c>
      <x:c r="K743" s="73" t="str">
        <x:f>""</x:f>
      </x:c>
      <x:c r="L743" s="74" t="str">
        <x:f>""</x:f>
      </x:c>
      <x:c r="M743" s="73" t="n">
        <x:f>MAX(M742,F743)</x:f>
        <x:v>1.141</x:v>
      </x:c>
      <x:c r="N743" s="74" t="n">
        <x:f>1-F743/M743</x:f>
        <x:v>0</x:v>
      </x:c>
    </x:row>
    <x:row r="744" ht="27" customHeight="1">
      <x:c r="A744" s="66" t="str">
        <x:v>SQD620</x:v>
      </x:c>
      <x:c r="B744" s="66" t="str">
        <x:v>深度梦扬量化套利0号</x:v>
      </x:c>
      <x:c r="C744" s="72" t="n">
        <x:v>44865</x:v>
      </x:c>
      <x:c r="D744" s="73" t="n">
        <x:v>1.14</x:v>
      </x:c>
      <x:c r="E744" s="73" t="n">
        <x:v>1.14</x:v>
      </x:c>
      <x:c r="F744" s="73" t="n">
        <x:v>1.14</x:v>
      </x:c>
      <x:c r="G744" s="74" t="n">
        <x:v>-0.0009</x:v>
      </x:c>
      <x:c r="H744" s="66" t="str">
        <x:v>深度梦扬量化套利0号净值20260911.xlsx</x:v>
      </x:c>
      <x:c r="I744" s="73" t="str">
        <x:f>""</x:f>
      </x:c>
      <x:c r="J744" s="74" t="str">
        <x:f>""</x:f>
      </x:c>
      <x:c r="K744" s="73" t="str">
        <x:f>""</x:f>
      </x:c>
      <x:c r="L744" s="74" t="str">
        <x:f>""</x:f>
      </x:c>
      <x:c r="M744" s="73" t="n">
        <x:f>MAX(M743,F744)</x:f>
        <x:v>1.141</x:v>
      </x:c>
      <x:c r="N744" s="74" t="n">
        <x:f>1-F744/M744</x:f>
        <x:v>0.0008764241893077784</x:v>
      </x:c>
    </x:row>
    <x:row r="745" ht="27" customHeight="1">
      <x:c r="A745" s="66" t="str">
        <x:v>SQD620</x:v>
      </x:c>
      <x:c r="B745" s="66" t="str">
        <x:v>深度梦扬量化套利0号</x:v>
      </x:c>
      <x:c r="C745" s="72" t="n">
        <x:v>44868</x:v>
      </x:c>
      <x:c r="D745" s="73" t="n">
        <x:v>1.14</x:v>
      </x:c>
      <x:c r="E745" s="73" t="n">
        <x:v>1.14</x:v>
      </x:c>
      <x:c r="F745" s="73" t="n">
        <x:v>1.14</x:v>
      </x:c>
      <x:c r="G745" s="74" t="n">
        <x:v>0</x:v>
      </x:c>
      <x:c r="H745" s="66" t="str">
        <x:v>深度梦扬量化套利0号净值20260911.xlsx</x:v>
      </x:c>
      <x:c r="I745" s="73" t="str">
        <x:f>""</x:f>
      </x:c>
      <x:c r="J745" s="74" t="str">
        <x:f>""</x:f>
      </x:c>
      <x:c r="K745" s="73" t="str">
        <x:f>""</x:f>
      </x:c>
      <x:c r="L745" s="74" t="str">
        <x:f>""</x:f>
      </x:c>
      <x:c r="M745" s="73" t="n">
        <x:f>MAX(M744,F745)</x:f>
        <x:v>1.141</x:v>
      </x:c>
      <x:c r="N745" s="74" t="n">
        <x:f>1-F745/M745</x:f>
        <x:v>0.0008764241893077784</x:v>
      </x:c>
    </x:row>
    <x:row r="746" ht="27" customHeight="1">
      <x:c r="A746" s="66" t="str">
        <x:v>SQD620</x:v>
      </x:c>
      <x:c r="B746" s="66" t="str">
        <x:v>深度梦扬量化套利0号</x:v>
      </x:c>
      <x:c r="C746" s="72" t="n">
        <x:v>44869</x:v>
      </x:c>
      <x:c r="D746" s="73" t="n">
        <x:v>1.14</x:v>
      </x:c>
      <x:c r="E746" s="73" t="n">
        <x:v>1.14</x:v>
      </x:c>
      <x:c r="F746" s="73" t="n">
        <x:v>1.14</x:v>
      </x:c>
      <x:c r="G746" s="74" t="n">
        <x:v>0</x:v>
      </x:c>
      <x:c r="H746" s="66" t="str">
        <x:v>深度梦扬量化套利0号净值20260911.xlsx</x:v>
      </x:c>
      <x:c r="I746" s="73" t="str">
        <x:f>""</x:f>
      </x:c>
      <x:c r="J746" s="74" t="str">
        <x:f>""</x:f>
      </x:c>
      <x:c r="K746" s="73" t="str">
        <x:f>""</x:f>
      </x:c>
      <x:c r="L746" s="74" t="str">
        <x:f>""</x:f>
      </x:c>
      <x:c r="M746" s="73" t="n">
        <x:f>MAX(M745,F746)</x:f>
        <x:v>1.141</x:v>
      </x:c>
      <x:c r="N746" s="74" t="n">
        <x:f>1-F746/M746</x:f>
        <x:v>0.0008764241893077784</x:v>
      </x:c>
    </x:row>
    <x:row r="747" ht="27" customHeight="1">
      <x:c r="A747" s="66" t="str">
        <x:v>SQD620</x:v>
      </x:c>
      <x:c r="B747" s="66" t="str">
        <x:v>深度梦扬量化套利0号</x:v>
      </x:c>
      <x:c r="C747" s="72" t="n">
        <x:v>44875</x:v>
      </x:c>
      <x:c r="D747" s="73" t="n">
        <x:v>1.141</x:v>
      </x:c>
      <x:c r="E747" s="73" t="n">
        <x:v>1.141</x:v>
      </x:c>
      <x:c r="F747" s="73" t="n">
        <x:v>1.141</x:v>
      </x:c>
      <x:c r="G747" s="74" t="n">
        <x:v>0.0009</x:v>
      </x:c>
      <x:c r="H747" s="66" t="str">
        <x:v>深度梦扬量化套利0号净值20260911.xlsx</x:v>
      </x:c>
      <x:c r="I747" s="73" t="str">
        <x:f>""</x:f>
      </x:c>
      <x:c r="J747" s="74" t="str">
        <x:f>""</x:f>
      </x:c>
      <x:c r="K747" s="73" t="str">
        <x:f>""</x:f>
      </x:c>
      <x:c r="L747" s="74" t="str">
        <x:f>""</x:f>
      </x:c>
      <x:c r="M747" s="73" t="n">
        <x:f>MAX(M746,F747)</x:f>
        <x:v>1.141</x:v>
      </x:c>
      <x:c r="N747" s="74" t="n">
        <x:f>1-F747/M747</x:f>
        <x:v>0</x:v>
      </x:c>
    </x:row>
    <x:row r="748" ht="27" customHeight="1">
      <x:c r="A748" s="66" t="str">
        <x:v>SQD620</x:v>
      </x:c>
      <x:c r="B748" s="66" t="str">
        <x:v>深度梦扬量化套利0号</x:v>
      </x:c>
      <x:c r="C748" s="72" t="n">
        <x:v>44876</x:v>
      </x:c>
      <x:c r="D748" s="73" t="n">
        <x:v>1.139</x:v>
      </x:c>
      <x:c r="E748" s="73" t="n">
        <x:v>1.139</x:v>
      </x:c>
      <x:c r="F748" s="73" t="n">
        <x:v>1.139</x:v>
      </x:c>
      <x:c r="G748" s="74" t="n">
        <x:v>-0.0018</x:v>
      </x:c>
      <x:c r="H748" s="66" t="str">
        <x:v>深度梦扬量化套利0号净值20260911.xlsx</x:v>
      </x:c>
      <x:c r="I748" s="73" t="str">
        <x:f>""</x:f>
      </x:c>
      <x:c r="J748" s="74" t="str">
        <x:f>""</x:f>
      </x:c>
      <x:c r="K748" s="73" t="str">
        <x:f>""</x:f>
      </x:c>
      <x:c r="L748" s="74" t="str">
        <x:f>""</x:f>
      </x:c>
      <x:c r="M748" s="73" t="n">
        <x:f>MAX(M747,F748)</x:f>
        <x:v>1.141</x:v>
      </x:c>
      <x:c r="N748" s="74" t="n">
        <x:f>1-F748/M748</x:f>
        <x:v>0.0017528483786152238</x:v>
      </x:c>
    </x:row>
    <x:row r="749" ht="27" customHeight="1">
      <x:c r="A749" s="66" t="str">
        <x:v>SQD620</x:v>
      </x:c>
      <x:c r="B749" s="66" t="str">
        <x:v>深度梦扬量化套利0号</x:v>
      </x:c>
      <x:c r="C749" s="72" t="n">
        <x:v>44882</x:v>
      </x:c>
      <x:c r="D749" s="73" t="n">
        <x:v>1.142</x:v>
      </x:c>
      <x:c r="E749" s="73" t="n">
        <x:v>1.142</x:v>
      </x:c>
      <x:c r="F749" s="73" t="n">
        <x:v>1.142</x:v>
      </x:c>
      <x:c r="G749" s="74" t="n">
        <x:v>0.0026</x:v>
      </x:c>
      <x:c r="H749" s="66" t="str">
        <x:v>深度梦扬量化套利0号净值20260911.xlsx</x:v>
      </x:c>
      <x:c r="I749" s="73" t="str">
        <x:f>""</x:f>
      </x:c>
      <x:c r="J749" s="74" t="str">
        <x:f>""</x:f>
      </x:c>
      <x:c r="K749" s="73" t="str">
        <x:f>""</x:f>
      </x:c>
      <x:c r="L749" s="74" t="str">
        <x:f>""</x:f>
      </x:c>
      <x:c r="M749" s="73" t="n">
        <x:f>MAX(M748,F749)</x:f>
        <x:v>1.142</x:v>
      </x:c>
      <x:c r="N749" s="74" t="n">
        <x:f>1-F749/M749</x:f>
        <x:v>0</x:v>
      </x:c>
    </x:row>
    <x:row r="750" ht="27" customHeight="1">
      <x:c r="A750" s="66" t="str">
        <x:v>SQD620</x:v>
      </x:c>
      <x:c r="B750" s="66" t="str">
        <x:v>深度梦扬量化套利0号</x:v>
      </x:c>
      <x:c r="C750" s="72" t="n">
        <x:v>44883</x:v>
      </x:c>
      <x:c r="D750" s="73" t="n">
        <x:v>1.143</x:v>
      </x:c>
      <x:c r="E750" s="73" t="n">
        <x:v>1.143</x:v>
      </x:c>
      <x:c r="F750" s="73" t="n">
        <x:v>1.143</x:v>
      </x:c>
      <x:c r="G750" s="74" t="n">
        <x:v>0.0009</x:v>
      </x:c>
      <x:c r="H750" s="66" t="str">
        <x:v>深度梦扬量化套利0号净值20260911.xlsx</x:v>
      </x:c>
      <x:c r="I750" s="73" t="str">
        <x:f>""</x:f>
      </x:c>
      <x:c r="J750" s="74" t="str">
        <x:f>""</x:f>
      </x:c>
      <x:c r="K750" s="73" t="str">
        <x:f>""</x:f>
      </x:c>
      <x:c r="L750" s="74" t="str">
        <x:f>""</x:f>
      </x:c>
      <x:c r="M750" s="73" t="n">
        <x:f>MAX(M749,F750)</x:f>
        <x:v>1.143</x:v>
      </x:c>
      <x:c r="N750" s="74" t="n">
        <x:f>1-F750/M750</x:f>
        <x:v>0</x:v>
      </x:c>
    </x:row>
    <x:row r="751" ht="27" customHeight="1">
      <x:c r="A751" s="66" t="str">
        <x:v>SQD620</x:v>
      </x:c>
      <x:c r="B751" s="66" t="str">
        <x:v>深度梦扬量化套利0号</x:v>
      </x:c>
      <x:c r="C751" s="72" t="n">
        <x:v>44889</x:v>
      </x:c>
      <x:c r="D751" s="73" t="n">
        <x:v>1.144</x:v>
      </x:c>
      <x:c r="E751" s="73" t="n">
        <x:v>1.144</x:v>
      </x:c>
      <x:c r="F751" s="73" t="n">
        <x:v>1.144</x:v>
      </x:c>
      <x:c r="G751" s="74" t="n">
        <x:v>0.0009</x:v>
      </x:c>
      <x:c r="H751" s="66" t="str">
        <x:v>深度梦扬量化套利0号净值20260911.xlsx</x:v>
      </x:c>
      <x:c r="I751" s="73" t="str">
        <x:f>""</x:f>
      </x:c>
      <x:c r="J751" s="74" t="str">
        <x:f>""</x:f>
      </x:c>
      <x:c r="K751" s="73" t="str">
        <x:f>""</x:f>
      </x:c>
      <x:c r="L751" s="74" t="str">
        <x:f>""</x:f>
      </x:c>
      <x:c r="M751" s="73" t="n">
        <x:f>MAX(M750,F751)</x:f>
        <x:v>1.144</x:v>
      </x:c>
      <x:c r="N751" s="74" t="n">
        <x:f>1-F751/M751</x:f>
        <x:v>0</x:v>
      </x:c>
    </x:row>
    <x:row r="752" ht="27" customHeight="1">
      <x:c r="A752" s="66" t="str">
        <x:v>SQD620</x:v>
      </x:c>
      <x:c r="B752" s="66" t="str">
        <x:v>深度梦扬量化套利0号</x:v>
      </x:c>
      <x:c r="C752" s="72" t="n">
        <x:v>44890</x:v>
      </x:c>
      <x:c r="D752" s="73" t="n">
        <x:v>1.144</x:v>
      </x:c>
      <x:c r="E752" s="73" t="n">
        <x:v>1.144</x:v>
      </x:c>
      <x:c r="F752" s="73" t="n">
        <x:v>1.144</x:v>
      </x:c>
      <x:c r="G752" s="74" t="n">
        <x:v>0</x:v>
      </x:c>
      <x:c r="H752" s="66" t="str">
        <x:v>深度梦扬量化套利0号净值20260911.xlsx</x:v>
      </x:c>
      <x:c r="I752" s="73" t="str">
        <x:f>""</x:f>
      </x:c>
      <x:c r="J752" s="74" t="str">
        <x:f>""</x:f>
      </x:c>
      <x:c r="K752" s="73" t="str">
        <x:f>""</x:f>
      </x:c>
      <x:c r="L752" s="74" t="str">
        <x:f>""</x:f>
      </x:c>
      <x:c r="M752" s="73" t="n">
        <x:f>MAX(M751,F752)</x:f>
        <x:v>1.144</x:v>
      </x:c>
      <x:c r="N752" s="74" t="n">
        <x:f>1-F752/M752</x:f>
        <x:v>0</x:v>
      </x:c>
    </x:row>
    <x:row r="753" ht="27" customHeight="1">
      <x:c r="A753" s="66" t="str">
        <x:v>SQD620</x:v>
      </x:c>
      <x:c r="B753" s="66" t="str">
        <x:v>深度梦扬量化套利0号</x:v>
      </x:c>
      <x:c r="C753" s="72" t="n">
        <x:v>44895</x:v>
      </x:c>
      <x:c r="D753" s="73" t="n">
        <x:v>1.145</x:v>
      </x:c>
      <x:c r="E753" s="73" t="n">
        <x:v>1.145</x:v>
      </x:c>
      <x:c r="F753" s="73" t="n">
        <x:v>1.145</x:v>
      </x:c>
      <x:c r="G753" s="74" t="n">
        <x:v>0.0009</x:v>
      </x:c>
      <x:c r="H753" s="66" t="str">
        <x:v>深度梦扬量化套利0号净值20260911.xlsx</x:v>
      </x:c>
      <x:c r="I753" s="73" t="str">
        <x:f>""</x:f>
      </x:c>
      <x:c r="J753" s="74" t="str">
        <x:f>""</x:f>
      </x:c>
      <x:c r="K753" s="73" t="str">
        <x:f>""</x:f>
      </x:c>
      <x:c r="L753" s="74" t="str">
        <x:f>""</x:f>
      </x:c>
      <x:c r="M753" s="73" t="n">
        <x:f>MAX(M752,F753)</x:f>
        <x:v>1.145</x:v>
      </x:c>
      <x:c r="N753" s="74" t="n">
        <x:f>1-F753/M753</x:f>
        <x:v>0</x:v>
      </x:c>
    </x:row>
    <x:row r="754" ht="27" customHeight="1">
      <x:c r="A754" s="66" t="str">
        <x:v>SQD620</x:v>
      </x:c>
      <x:c r="B754" s="66" t="str">
        <x:v>深度梦扬量化套利0号</x:v>
      </x:c>
      <x:c r="C754" s="72" t="n">
        <x:v>44896</x:v>
      </x:c>
      <x:c r="D754" s="73" t="n">
        <x:v>1.145</x:v>
      </x:c>
      <x:c r="E754" s="73" t="n">
        <x:v>1.145</x:v>
      </x:c>
      <x:c r="F754" s="73" t="n">
        <x:v>1.145</x:v>
      </x:c>
      <x:c r="G754" s="74" t="n">
        <x:v>0</x:v>
      </x:c>
      <x:c r="H754" s="66" t="str">
        <x:v>深度梦扬量化套利0号净值20260911.xlsx</x:v>
      </x:c>
      <x:c r="I754" s="73" t="str">
        <x:f>""</x:f>
      </x:c>
      <x:c r="J754" s="74" t="str">
        <x:f>""</x:f>
      </x:c>
      <x:c r="K754" s="73" t="str">
        <x:f>""</x:f>
      </x:c>
      <x:c r="L754" s="74" t="str">
        <x:f>""</x:f>
      </x:c>
      <x:c r="M754" s="73" t="n">
        <x:f>MAX(M753,F754)</x:f>
        <x:v>1.145</x:v>
      </x:c>
      <x:c r="N754" s="74" t="n">
        <x:f>1-F754/M754</x:f>
        <x:v>0</x:v>
      </x:c>
    </x:row>
    <x:row r="755" ht="27" customHeight="1">
      <x:c r="A755" s="66" t="str">
        <x:v>SQD620</x:v>
      </x:c>
      <x:c r="B755" s="66" t="str">
        <x:v>深度梦扬量化套利0号</x:v>
      </x:c>
      <x:c r="C755" s="72" t="n">
        <x:v>44897</x:v>
      </x:c>
      <x:c r="D755" s="73" t="n">
        <x:v>1.145</x:v>
      </x:c>
      <x:c r="E755" s="73" t="n">
        <x:v>1.145</x:v>
      </x:c>
      <x:c r="F755" s="73" t="n">
        <x:v>1.145</x:v>
      </x:c>
      <x:c r="G755" s="74" t="n">
        <x:v>0</x:v>
      </x:c>
      <x:c r="H755" s="66" t="str">
        <x:v>深度梦扬量化套利0号净值20260911.xlsx</x:v>
      </x:c>
      <x:c r="I755" s="73" t="str">
        <x:f>""</x:f>
      </x:c>
      <x:c r="J755" s="74" t="str">
        <x:f>""</x:f>
      </x:c>
      <x:c r="K755" s="73" t="str">
        <x:f>""</x:f>
      </x:c>
      <x:c r="L755" s="74" t="str">
        <x:f>""</x:f>
      </x:c>
      <x:c r="M755" s="73" t="n">
        <x:f>MAX(M754,F755)</x:f>
        <x:v>1.145</x:v>
      </x:c>
      <x:c r="N755" s="74" t="n">
        <x:f>1-F755/M755</x:f>
        <x:v>0</x:v>
      </x:c>
    </x:row>
    <x:row r="756" ht="27" customHeight="1">
      <x:c r="A756" s="66" t="str">
        <x:v>SQD620</x:v>
      </x:c>
      <x:c r="B756" s="66" t="str">
        <x:v>深度梦扬量化套利0号</x:v>
      </x:c>
      <x:c r="C756" s="72" t="n">
        <x:v>44903</x:v>
      </x:c>
      <x:c r="D756" s="73" t="n">
        <x:v>1.146</x:v>
      </x:c>
      <x:c r="E756" s="73" t="n">
        <x:v>1.146</x:v>
      </x:c>
      <x:c r="F756" s="73" t="n">
        <x:v>1.146</x:v>
      </x:c>
      <x:c r="G756" s="74" t="n">
        <x:v>0.0009</x:v>
      </x:c>
      <x:c r="H756" s="66" t="str">
        <x:v>深度梦扬量化套利0号净值20260911.xlsx</x:v>
      </x:c>
      <x:c r="I756" s="73" t="str">
        <x:f>""</x:f>
      </x:c>
      <x:c r="J756" s="74" t="str">
        <x:f>""</x:f>
      </x:c>
      <x:c r="K756" s="73" t="str">
        <x:f>""</x:f>
      </x:c>
      <x:c r="L756" s="74" t="str">
        <x:f>""</x:f>
      </x:c>
      <x:c r="M756" s="73" t="n">
        <x:f>MAX(M755,F756)</x:f>
        <x:v>1.146</x:v>
      </x:c>
      <x:c r="N756" s="74" t="n">
        <x:f>1-F756/M756</x:f>
        <x:v>0</x:v>
      </x:c>
    </x:row>
    <x:row r="757" ht="27" customHeight="1">
      <x:c r="A757" s="66" t="str">
        <x:v>SQD620</x:v>
      </x:c>
      <x:c r="B757" s="66" t="str">
        <x:v>深度梦扬量化套利0号</x:v>
      </x:c>
      <x:c r="C757" s="72" t="n">
        <x:v>44904</x:v>
      </x:c>
      <x:c r="D757" s="73" t="n">
        <x:v>1.147</x:v>
      </x:c>
      <x:c r="E757" s="73" t="n">
        <x:v>1.147</x:v>
      </x:c>
      <x:c r="F757" s="73" t="n">
        <x:v>1.147</x:v>
      </x:c>
      <x:c r="G757" s="74" t="n">
        <x:v>0.0009</x:v>
      </x:c>
      <x:c r="H757" s="66" t="str">
        <x:v>深度梦扬量化套利0号净值20260911.xlsx</x:v>
      </x:c>
      <x:c r="I757" s="73" t="str">
        <x:f>""</x:f>
      </x:c>
      <x:c r="J757" s="74" t="str">
        <x:f>""</x:f>
      </x:c>
      <x:c r="K757" s="73" t="str">
        <x:f>""</x:f>
      </x:c>
      <x:c r="L757" s="74" t="str">
        <x:f>""</x:f>
      </x:c>
      <x:c r="M757" s="73" t="n">
        <x:f>MAX(M756,F757)</x:f>
        <x:v>1.147</x:v>
      </x:c>
      <x:c r="N757" s="74" t="n">
        <x:f>1-F757/M757</x:f>
        <x:v>0</x:v>
      </x:c>
    </x:row>
    <x:row r="758" ht="27" customHeight="1">
      <x:c r="A758" s="66" t="str">
        <x:v>SQD620</x:v>
      </x:c>
      <x:c r="B758" s="66" t="str">
        <x:v>深度梦扬量化套利0号</x:v>
      </x:c>
      <x:c r="C758" s="72" t="n">
        <x:v>44910</x:v>
      </x:c>
      <x:c r="D758" s="73" t="n">
        <x:v>1.144</x:v>
      </x:c>
      <x:c r="E758" s="73" t="n">
        <x:v>1.144</x:v>
      </x:c>
      <x:c r="F758" s="73" t="n">
        <x:v>1.144</x:v>
      </x:c>
      <x:c r="G758" s="74" t="n">
        <x:v>-0.0026</x:v>
      </x:c>
      <x:c r="H758" s="66" t="str">
        <x:v>深度梦扬量化套利0号净值20260911.xlsx</x:v>
      </x:c>
      <x:c r="I758" s="73" t="str">
        <x:f>""</x:f>
      </x:c>
      <x:c r="J758" s="74" t="str">
        <x:f>""</x:f>
      </x:c>
      <x:c r="K758" s="73" t="str">
        <x:f>""</x:f>
      </x:c>
      <x:c r="L758" s="74" t="str">
        <x:f>""</x:f>
      </x:c>
      <x:c r="M758" s="73" t="n">
        <x:f>MAX(M757,F758)</x:f>
        <x:v>1.147</x:v>
      </x:c>
      <x:c r="N758" s="74" t="n">
        <x:f>1-F758/M758</x:f>
        <x:v>0.0026155187445511263</x:v>
      </x:c>
    </x:row>
    <x:row r="759" ht="27" customHeight="1">
      <x:c r="A759" s="66" t="str">
        <x:v>SQD620</x:v>
      </x:c>
      <x:c r="B759" s="66" t="str">
        <x:v>深度梦扬量化套利0号</x:v>
      </x:c>
      <x:c r="C759" s="72" t="n">
        <x:v>44911</x:v>
      </x:c>
      <x:c r="D759" s="73" t="n">
        <x:v>1.142</x:v>
      </x:c>
      <x:c r="E759" s="73" t="n">
        <x:v>1.142</x:v>
      </x:c>
      <x:c r="F759" s="73" t="n">
        <x:v>1.142</x:v>
      </x:c>
      <x:c r="G759" s="74" t="n">
        <x:v>-0.0017000000000000001</x:v>
      </x:c>
      <x:c r="H759" s="66" t="str">
        <x:v>深度梦扬量化套利0号净值20260911.xlsx</x:v>
      </x:c>
      <x:c r="I759" s="73" t="str">
        <x:f>""</x:f>
      </x:c>
      <x:c r="J759" s="74" t="str">
        <x:f>""</x:f>
      </x:c>
      <x:c r="K759" s="73" t="str">
        <x:f>""</x:f>
      </x:c>
      <x:c r="L759" s="74" t="str">
        <x:f>""</x:f>
      </x:c>
      <x:c r="M759" s="73" t="n">
        <x:f>MAX(M758,F759)</x:f>
        <x:v>1.147</x:v>
      </x:c>
      <x:c r="N759" s="74" t="n">
        <x:f>1-F759/M759</x:f>
        <x:v>0.0043591979075850995</x:v>
      </x:c>
    </x:row>
    <x:row r="760" ht="27" customHeight="1">
      <x:c r="A760" s="66" t="str">
        <x:v>SQD620</x:v>
      </x:c>
      <x:c r="B760" s="66" t="str">
        <x:v>深度梦扬量化套利0号</x:v>
      </x:c>
      <x:c r="C760" s="72" t="n">
        <x:v>44917</x:v>
      </x:c>
      <x:c r="D760" s="73" t="n">
        <x:v>1.141</x:v>
      </x:c>
      <x:c r="E760" s="73" t="n">
        <x:v>1.141</x:v>
      </x:c>
      <x:c r="F760" s="73" t="n">
        <x:v>1.141</x:v>
      </x:c>
      <x:c r="G760" s="74" t="n">
        <x:v>-0.0009</x:v>
      </x:c>
      <x:c r="H760" s="66" t="str">
        <x:v>深度梦扬量化套利0号净值20260911.xlsx</x:v>
      </x:c>
      <x:c r="I760" s="73" t="str">
        <x:f>""</x:f>
      </x:c>
      <x:c r="J760" s="74" t="str">
        <x:f>""</x:f>
      </x:c>
      <x:c r="K760" s="73" t="str">
        <x:f>""</x:f>
      </x:c>
      <x:c r="L760" s="74" t="str">
        <x:f>""</x:f>
      </x:c>
      <x:c r="M760" s="73" t="n">
        <x:f>MAX(M759,F760)</x:f>
        <x:v>1.147</x:v>
      </x:c>
      <x:c r="N760" s="74" t="n">
        <x:f>1-F760/M760</x:f>
        <x:v>0.005231037489102031</x:v>
      </x:c>
    </x:row>
    <x:row r="761" ht="27" customHeight="1">
      <x:c r="A761" s="66" t="str">
        <x:v>SQD620</x:v>
      </x:c>
      <x:c r="B761" s="66" t="str">
        <x:v>深度梦扬量化套利0号</x:v>
      </x:c>
      <x:c r="C761" s="72" t="n">
        <x:v>44918</x:v>
      </x:c>
      <x:c r="D761" s="73" t="n">
        <x:v>1.142</x:v>
      </x:c>
      <x:c r="E761" s="73" t="n">
        <x:v>1.142</x:v>
      </x:c>
      <x:c r="F761" s="73" t="n">
        <x:v>1.142</x:v>
      </x:c>
      <x:c r="G761" s="74" t="n">
        <x:v>0.0009</x:v>
      </x:c>
      <x:c r="H761" s="66" t="str">
        <x:v>深度梦扬量化套利0号净值20260911.xlsx</x:v>
      </x:c>
      <x:c r="I761" s="73" t="str">
        <x:f>""</x:f>
      </x:c>
      <x:c r="J761" s="74" t="str">
        <x:f>""</x:f>
      </x:c>
      <x:c r="K761" s="73" t="str">
        <x:f>""</x:f>
      </x:c>
      <x:c r="L761" s="74" t="str">
        <x:f>""</x:f>
      </x:c>
      <x:c r="M761" s="73" t="n">
        <x:f>MAX(M760,F761)</x:f>
        <x:v>1.147</x:v>
      </x:c>
      <x:c r="N761" s="74" t="n">
        <x:f>1-F761/M761</x:f>
        <x:v>0.0043591979075850995</x:v>
      </x:c>
    </x:row>
    <x:row r="762" ht="27" customHeight="1">
      <x:c r="A762" s="66" t="str">
        <x:v>SQD620</x:v>
      </x:c>
      <x:c r="B762" s="66" t="str">
        <x:v>深度梦扬量化套利0号</x:v>
      </x:c>
      <x:c r="C762" s="72" t="n">
        <x:v>44924</x:v>
      </x:c>
      <x:c r="D762" s="73" t="n">
        <x:v>1.142</x:v>
      </x:c>
      <x:c r="E762" s="73" t="n">
        <x:v>1.142</x:v>
      </x:c>
      <x:c r="F762" s="73" t="n">
        <x:v>1.142</x:v>
      </x:c>
      <x:c r="G762" s="74" t="n">
        <x:v>0</x:v>
      </x:c>
      <x:c r="H762" s="66" t="str">
        <x:v>深度梦扬量化套利0号净值20260911.xlsx</x:v>
      </x:c>
      <x:c r="I762" s="73" t="str">
        <x:f>""</x:f>
      </x:c>
      <x:c r="J762" s="74" t="str">
        <x:f>""</x:f>
      </x:c>
      <x:c r="K762" s="73" t="str">
        <x:f>""</x:f>
      </x:c>
      <x:c r="L762" s="74" t="str">
        <x:f>""</x:f>
      </x:c>
      <x:c r="M762" s="73" t="n">
        <x:f>MAX(M761,F762)</x:f>
        <x:v>1.147</x:v>
      </x:c>
      <x:c r="N762" s="74" t="n">
        <x:f>1-F762/M762</x:f>
        <x:v>0.0043591979075850995</x:v>
      </x:c>
    </x:row>
    <x:row r="763" ht="27" customHeight="1">
      <x:c r="A763" s="66" t="str">
        <x:v>SQD620</x:v>
      </x:c>
      <x:c r="B763" s="66" t="str">
        <x:v>深度梦扬量化套利0号</x:v>
      </x:c>
      <x:c r="C763" s="72" t="n">
        <x:v>44925</x:v>
      </x:c>
      <x:c r="D763" s="73" t="n">
        <x:v>1.143</x:v>
      </x:c>
      <x:c r="E763" s="73" t="n">
        <x:v>1.143</x:v>
      </x:c>
      <x:c r="F763" s="73" t="n">
        <x:v>1.143</x:v>
      </x:c>
      <x:c r="G763" s="74" t="n">
        <x:v>0.0009</x:v>
      </x:c>
      <x:c r="H763" s="66" t="str">
        <x:v>深度梦扬量化套利0号净值20260911.xlsx</x:v>
      </x:c>
      <x:c r="I763" s="73" t="str">
        <x:f>""</x:f>
      </x:c>
      <x:c r="J763" s="74" t="str">
        <x:f>""</x:f>
      </x:c>
      <x:c r="K763" s="73" t="str">
        <x:f>""</x:f>
      </x:c>
      <x:c r="L763" s="74" t="str">
        <x:f>""</x:f>
      </x:c>
      <x:c r="M763" s="73" t="n">
        <x:f>MAX(M762,F763)</x:f>
        <x:v>1.147</x:v>
      </x:c>
      <x:c r="N763" s="74" t="n">
        <x:f>1-F763/M763</x:f>
        <x:v>0.0034873583260680574</x:v>
      </x:c>
    </x:row>
    <x:row r="764" ht="27" customHeight="1">
      <x:c r="A764" s="66" t="str">
        <x:v>SQD620</x:v>
      </x:c>
      <x:c r="B764" s="66" t="str">
        <x:v>深度梦扬量化套利0号</x:v>
      </x:c>
      <x:c r="C764" s="72" t="n">
        <x:v>44931</x:v>
      </x:c>
      <x:c r="D764" s="73" t="n">
        <x:v>1.142</x:v>
      </x:c>
      <x:c r="E764" s="73" t="n">
        <x:v>1.142</x:v>
      </x:c>
      <x:c r="F764" s="73" t="n">
        <x:v>1.142</x:v>
      </x:c>
      <x:c r="G764" s="74" t="n">
        <x:v>-0.0009</x:v>
      </x:c>
      <x:c r="H764" s="66" t="str">
        <x:v>深度梦扬量化套利0号净值20260911.xlsx</x:v>
      </x:c>
      <x:c r="I764" s="73" t="str">
        <x:f>""</x:f>
      </x:c>
      <x:c r="J764" s="74" t="str">
        <x:f>""</x:f>
      </x:c>
      <x:c r="K764" s="73" t="str">
        <x:f>""</x:f>
      </x:c>
      <x:c r="L764" s="74" t="str">
        <x:f>""</x:f>
      </x:c>
      <x:c r="M764" s="73" t="n">
        <x:f>MAX(M763,F764)</x:f>
        <x:v>1.147</x:v>
      </x:c>
      <x:c r="N764" s="74" t="n">
        <x:f>1-F764/M764</x:f>
        <x:v>0.0043591979075850995</x:v>
      </x:c>
    </x:row>
    <x:row r="765" ht="27" customHeight="1">
      <x:c r="A765" s="66" t="str">
        <x:v>SQD620</x:v>
      </x:c>
      <x:c r="B765" s="66" t="str">
        <x:v>深度梦扬量化套利0号</x:v>
      </x:c>
      <x:c r="C765" s="72" t="n">
        <x:v>44932</x:v>
      </x:c>
      <x:c r="D765" s="73" t="n">
        <x:v>1.143</x:v>
      </x:c>
      <x:c r="E765" s="73" t="n">
        <x:v>1.143</x:v>
      </x:c>
      <x:c r="F765" s="73" t="n">
        <x:v>1.143</x:v>
      </x:c>
      <x:c r="G765" s="74" t="n">
        <x:v>0.0009</x:v>
      </x:c>
      <x:c r="H765" s="66" t="str">
        <x:v>深度梦扬量化套利0号净值20260911.xlsx</x:v>
      </x:c>
      <x:c r="I765" s="73" t="str">
        <x:f>""</x:f>
      </x:c>
      <x:c r="J765" s="74" t="str">
        <x:f>""</x:f>
      </x:c>
      <x:c r="K765" s="73" t="str">
        <x:f>""</x:f>
      </x:c>
      <x:c r="L765" s="74" t="str">
        <x:f>""</x:f>
      </x:c>
      <x:c r="M765" s="73" t="n">
        <x:f>MAX(M764,F765)</x:f>
        <x:v>1.147</x:v>
      </x:c>
      <x:c r="N765" s="74" t="n">
        <x:f>1-F765/M765</x:f>
        <x:v>0.0034873583260680574</x:v>
      </x:c>
    </x:row>
    <x:row r="766" ht="27" customHeight="1">
      <x:c r="A766" s="66" t="str">
        <x:v>SQD620</x:v>
      </x:c>
      <x:c r="B766" s="66" t="str">
        <x:v>深度梦扬量化套利0号</x:v>
      </x:c>
      <x:c r="C766" s="72" t="n">
        <x:v>44938</x:v>
      </x:c>
      <x:c r="D766" s="73" t="n">
        <x:v>1.141</x:v>
      </x:c>
      <x:c r="E766" s="73" t="n">
        <x:v>1.141</x:v>
      </x:c>
      <x:c r="F766" s="73" t="n">
        <x:v>1.141</x:v>
      </x:c>
      <x:c r="G766" s="74" t="n">
        <x:v>-0.0017000000000000001</x:v>
      </x:c>
      <x:c r="H766" s="66" t="str">
        <x:v>深度梦扬量化套利0号净值20260911.xlsx</x:v>
      </x:c>
      <x:c r="I766" s="73" t="str">
        <x:f>""</x:f>
      </x:c>
      <x:c r="J766" s="74" t="str">
        <x:f>""</x:f>
      </x:c>
      <x:c r="K766" s="73" t="str">
        <x:f>""</x:f>
      </x:c>
      <x:c r="L766" s="74" t="str">
        <x:f>""</x:f>
      </x:c>
      <x:c r="M766" s="73" t="n">
        <x:f>MAX(M765,F766)</x:f>
        <x:v>1.147</x:v>
      </x:c>
      <x:c r="N766" s="74" t="n">
        <x:f>1-F766/M766</x:f>
        <x:v>0.005231037489102031</x:v>
      </x:c>
    </x:row>
    <x:row r="767" ht="27" customHeight="1">
      <x:c r="A767" s="66" t="str">
        <x:v>SQD620</x:v>
      </x:c>
      <x:c r="B767" s="66" t="str">
        <x:v>深度梦扬量化套利0号</x:v>
      </x:c>
      <x:c r="C767" s="72" t="n">
        <x:v>44939</x:v>
      </x:c>
      <x:c r="D767" s="73" t="n">
        <x:v>1.148</x:v>
      </x:c>
      <x:c r="E767" s="73" t="n">
        <x:v>1.148</x:v>
      </x:c>
      <x:c r="F767" s="73" t="n">
        <x:v>1.148</x:v>
      </x:c>
      <x:c r="G767" s="74" t="n">
        <x:v>0.0060999999999999995</x:v>
      </x:c>
      <x:c r="H767" s="66" t="str">
        <x:v>深度梦扬量化套利0号净值20260911.xlsx</x:v>
      </x:c>
      <x:c r="I767" s="73" t="str">
        <x:f>""</x:f>
      </x:c>
      <x:c r="J767" s="74" t="str">
        <x:f>""</x:f>
      </x:c>
      <x:c r="K767" s="73" t="str">
        <x:f>""</x:f>
      </x:c>
      <x:c r="L767" s="74" t="str">
        <x:f>""</x:f>
      </x:c>
      <x:c r="M767" s="73" t="n">
        <x:f>MAX(M766,F767)</x:f>
        <x:v>1.148</x:v>
      </x:c>
      <x:c r="N767" s="74" t="n">
        <x:f>1-F767/M767</x:f>
        <x:v>0</x:v>
      </x:c>
    </x:row>
    <x:row r="768" ht="27" customHeight="1">
      <x:c r="A768" s="66" t="str">
        <x:v>SQD620</x:v>
      </x:c>
      <x:c r="B768" s="66" t="str">
        <x:v>深度梦扬量化套利0号</x:v>
      </x:c>
      <x:c r="C768" s="72" t="n">
        <x:v>44945</x:v>
      </x:c>
      <x:c r="D768" s="73" t="n">
        <x:v>1.146</x:v>
      </x:c>
      <x:c r="E768" s="73" t="n">
        <x:v>1.146</x:v>
      </x:c>
      <x:c r="F768" s="73" t="n">
        <x:v>1.146</x:v>
      </x:c>
      <x:c r="G768" s="74" t="n">
        <x:v>-0.0017000000000000001</x:v>
      </x:c>
      <x:c r="H768" s="66" t="str">
        <x:v>深度梦扬量化套利0号净值20260911.xlsx</x:v>
      </x:c>
      <x:c r="I768" s="73" t="str">
        <x:f>""</x:f>
      </x:c>
      <x:c r="J768" s="74" t="str">
        <x:f>""</x:f>
      </x:c>
      <x:c r="K768" s="73" t="str">
        <x:f>""</x:f>
      </x:c>
      <x:c r="L768" s="74" t="str">
        <x:f>""</x:f>
      </x:c>
      <x:c r="M768" s="73" t="n">
        <x:f>MAX(M767,F768)</x:f>
        <x:v>1.148</x:v>
      </x:c>
      <x:c r="N768" s="74" t="n">
        <x:f>1-F768/M768</x:f>
        <x:v>0.0017421602787456303</x:v>
      </x:c>
    </x:row>
    <x:row r="769" ht="27" customHeight="1">
      <x:c r="A769" s="66" t="str">
        <x:v>SQD620</x:v>
      </x:c>
      <x:c r="B769" s="66" t="str">
        <x:v>深度梦扬量化套利0号</x:v>
      </x:c>
      <x:c r="C769" s="72" t="n">
        <x:v>44946</x:v>
      </x:c>
      <x:c r="D769" s="73" t="n">
        <x:v>1.141</x:v>
      </x:c>
      <x:c r="E769" s="73" t="n">
        <x:v>1.141</x:v>
      </x:c>
      <x:c r="F769" s="73" t="n">
        <x:v>1.141</x:v>
      </x:c>
      <x:c r="G769" s="74" t="n">
        <x:v>-0.0044</x:v>
      </x:c>
      <x:c r="H769" s="66" t="str">
        <x:v>深度梦扬量化套利0号净值20260911.xlsx</x:v>
      </x:c>
      <x:c r="I769" s="73" t="str">
        <x:f>""</x:f>
      </x:c>
      <x:c r="J769" s="74" t="str">
        <x:f>""</x:f>
      </x:c>
      <x:c r="K769" s="73" t="str">
        <x:f>""</x:f>
      </x:c>
      <x:c r="L769" s="74" t="str">
        <x:f>""</x:f>
      </x:c>
      <x:c r="M769" s="73" t="n">
        <x:f>MAX(M768,F769)</x:f>
        <x:v>1.148</x:v>
      </x:c>
      <x:c r="N769" s="74" t="n">
        <x:f>1-F769/M769</x:f>
        <x:v>0.0060975609756096505</x:v>
      </x:c>
    </x:row>
    <x:row r="770" ht="27" customHeight="1">
      <x:c r="A770" s="66" t="str">
        <x:v>SQD620</x:v>
      </x:c>
      <x:c r="B770" s="66" t="str">
        <x:v>深度梦扬量化套利0号</x:v>
      </x:c>
      <x:c r="C770" s="72" t="n">
        <x:v>44957</x:v>
      </x:c>
      <x:c r="D770" s="73" t="n">
        <x:v>1.142</x:v>
      </x:c>
      <x:c r="E770" s="73" t="n">
        <x:v>1.142</x:v>
      </x:c>
      <x:c r="F770" s="73" t="n">
        <x:v>1.142</x:v>
      </x:c>
      <x:c r="G770" s="74" t="n">
        <x:v>0.0009</x:v>
      </x:c>
      <x:c r="H770" s="66" t="str">
        <x:v>深度梦扬量化套利0号净值20260911.xlsx</x:v>
      </x:c>
      <x:c r="I770" s="73" t="str">
        <x:f>""</x:f>
      </x:c>
      <x:c r="J770" s="74" t="str">
        <x:f>""</x:f>
      </x:c>
      <x:c r="K770" s="73" t="str">
        <x:f>""</x:f>
      </x:c>
      <x:c r="L770" s="74" t="str">
        <x:f>""</x:f>
      </x:c>
      <x:c r="M770" s="73" t="n">
        <x:f>MAX(M769,F770)</x:f>
        <x:v>1.148</x:v>
      </x:c>
      <x:c r="N770" s="74" t="n">
        <x:f>1-F770/M770</x:f>
        <x:v>0.005226480836236891</x:v>
      </x:c>
    </x:row>
    <x:row r="771" ht="27" customHeight="1">
      <x:c r="A771" s="66" t="str">
        <x:v>SQD620</x:v>
      </x:c>
      <x:c r="B771" s="66" t="str">
        <x:v>深度梦扬量化套利0号</x:v>
      </x:c>
      <x:c r="C771" s="72" t="n">
        <x:v>44959</x:v>
      </x:c>
      <x:c r="D771" s="73" t="n">
        <x:v>1.144</x:v>
      </x:c>
      <x:c r="E771" s="73" t="n">
        <x:v>1.144</x:v>
      </x:c>
      <x:c r="F771" s="73" t="n">
        <x:v>1.144</x:v>
      </x:c>
      <x:c r="G771" s="74" t="n">
        <x:v>0.0018</x:v>
      </x:c>
      <x:c r="H771" s="66" t="str">
        <x:v>深度梦扬量化套利0号净值20260911.xlsx</x:v>
      </x:c>
      <x:c r="I771" s="73" t="str">
        <x:f>""</x:f>
      </x:c>
      <x:c r="J771" s="74" t="str">
        <x:f>""</x:f>
      </x:c>
      <x:c r="K771" s="73" t="str">
        <x:f>""</x:f>
      </x:c>
      <x:c r="L771" s="74" t="str">
        <x:f>""</x:f>
      </x:c>
      <x:c r="M771" s="73" t="n">
        <x:f>MAX(M770,F771)</x:f>
        <x:v>1.148</x:v>
      </x:c>
      <x:c r="N771" s="74" t="n">
        <x:f>1-F771/M771</x:f>
        <x:v>0.0034843205574912606</x:v>
      </x:c>
    </x:row>
    <x:row r="772" ht="27" customHeight="1">
      <x:c r="A772" s="66" t="str">
        <x:v>SQD620</x:v>
      </x:c>
      <x:c r="B772" s="66" t="str">
        <x:v>深度梦扬量化套利0号</x:v>
      </x:c>
      <x:c r="C772" s="72" t="n">
        <x:v>44960</x:v>
      </x:c>
      <x:c r="D772" s="73" t="n">
        <x:v>1.144</x:v>
      </x:c>
      <x:c r="E772" s="73" t="n">
        <x:v>1.144</x:v>
      </x:c>
      <x:c r="F772" s="73" t="n">
        <x:v>1.144</x:v>
      </x:c>
      <x:c r="G772" s="74" t="n">
        <x:v>0</x:v>
      </x:c>
      <x:c r="H772" s="66" t="str">
        <x:v>深度梦扬量化套利0号净值20260911.xlsx</x:v>
      </x:c>
      <x:c r="I772" s="73" t="str">
        <x:f>""</x:f>
      </x:c>
      <x:c r="J772" s="74" t="str">
        <x:f>""</x:f>
      </x:c>
      <x:c r="K772" s="73" t="str">
        <x:f>""</x:f>
      </x:c>
      <x:c r="L772" s="74" t="str">
        <x:f>""</x:f>
      </x:c>
      <x:c r="M772" s="73" t="n">
        <x:f>MAX(M771,F772)</x:f>
        <x:v>1.148</x:v>
      </x:c>
      <x:c r="N772" s="74" t="n">
        <x:f>1-F772/M772</x:f>
        <x:v>0.0034843205574912606</x:v>
      </x:c>
    </x:row>
    <x:row r="773" ht="27" customHeight="1">
      <x:c r="A773" s="66" t="str">
        <x:v>SQD620</x:v>
      </x:c>
      <x:c r="B773" s="66" t="str">
        <x:v>深度梦扬量化套利0号</x:v>
      </x:c>
      <x:c r="C773" s="72" t="n">
        <x:v>44966</x:v>
      </x:c>
      <x:c r="D773" s="73" t="n">
        <x:v>1.145</x:v>
      </x:c>
      <x:c r="E773" s="73" t="n">
        <x:v>1.145</x:v>
      </x:c>
      <x:c r="F773" s="73" t="n">
        <x:v>1.145</x:v>
      </x:c>
      <x:c r="G773" s="74" t="n">
        <x:v>0.0009</x:v>
      </x:c>
      <x:c r="H773" s="66" t="str">
        <x:v>深度梦扬量化套利0号净值20260911.xlsx</x:v>
      </x:c>
      <x:c r="I773" s="73" t="str">
        <x:f>""</x:f>
      </x:c>
      <x:c r="J773" s="74" t="str">
        <x:f>""</x:f>
      </x:c>
      <x:c r="K773" s="73" t="str">
        <x:f>""</x:f>
      </x:c>
      <x:c r="L773" s="74" t="str">
        <x:f>""</x:f>
      </x:c>
      <x:c r="M773" s="73" t="n">
        <x:f>MAX(M772,F773)</x:f>
        <x:v>1.148</x:v>
      </x:c>
      <x:c r="N773" s="74" t="n">
        <x:f>1-F773/M773</x:f>
        <x:v>0.00261324041811839</x:v>
      </x:c>
    </x:row>
    <x:row r="774" ht="27" customHeight="1">
      <x:c r="A774" s="66" t="str">
        <x:v>SQD620</x:v>
      </x:c>
      <x:c r="B774" s="66" t="str">
        <x:v>深度梦扬量化套利0号</x:v>
      </x:c>
      <x:c r="C774" s="72" t="n">
        <x:v>44967</x:v>
      </x:c>
      <x:c r="D774" s="73" t="n">
        <x:v>1.146</x:v>
      </x:c>
      <x:c r="E774" s="73" t="n">
        <x:v>1.146</x:v>
      </x:c>
      <x:c r="F774" s="73" t="n">
        <x:v>1.146</x:v>
      </x:c>
      <x:c r="G774" s="74" t="n">
        <x:v>0.0009</x:v>
      </x:c>
      <x:c r="H774" s="66" t="str">
        <x:v>深度梦扬量化套利0号净值20260911.xlsx</x:v>
      </x:c>
      <x:c r="I774" s="73" t="str">
        <x:f>""</x:f>
      </x:c>
      <x:c r="J774" s="74" t="str">
        <x:f>""</x:f>
      </x:c>
      <x:c r="K774" s="73" t="str">
        <x:f>""</x:f>
      </x:c>
      <x:c r="L774" s="74" t="str">
        <x:f>""</x:f>
      </x:c>
      <x:c r="M774" s="73" t="n">
        <x:f>MAX(M773,F774)</x:f>
        <x:v>1.148</x:v>
      </x:c>
      <x:c r="N774" s="74" t="n">
        <x:f>1-F774/M774</x:f>
        <x:v>0.0017421602787456303</x:v>
      </x:c>
    </x:row>
    <x:row r="775" ht="27" customHeight="1">
      <x:c r="A775" s="66" t="str">
        <x:v>SQD620</x:v>
      </x:c>
      <x:c r="B775" s="66" t="str">
        <x:v>深度梦扬量化套利0号</x:v>
      </x:c>
      <x:c r="C775" s="72" t="n">
        <x:v>44973</x:v>
      </x:c>
      <x:c r="D775" s="73" t="n">
        <x:v>1.142</x:v>
      </x:c>
      <x:c r="E775" s="73" t="n">
        <x:v>1.142</x:v>
      </x:c>
      <x:c r="F775" s="73" t="n">
        <x:v>1.142</x:v>
      </x:c>
      <x:c r="G775" s="74" t="n">
        <x:v>-0.0034999999999999996</x:v>
      </x:c>
      <x:c r="H775" s="66" t="str">
        <x:v>深度梦扬量化套利0号净值20260911.xlsx</x:v>
      </x:c>
      <x:c r="I775" s="73" t="str">
        <x:f>""</x:f>
      </x:c>
      <x:c r="J775" s="74" t="str">
        <x:f>""</x:f>
      </x:c>
      <x:c r="K775" s="73" t="str">
        <x:f>""</x:f>
      </x:c>
      <x:c r="L775" s="74" t="str">
        <x:f>""</x:f>
      </x:c>
      <x:c r="M775" s="73" t="n">
        <x:f>MAX(M774,F775)</x:f>
        <x:v>1.148</x:v>
      </x:c>
      <x:c r="N775" s="74" t="n">
        <x:f>1-F775/M775</x:f>
        <x:v>0.005226480836236891</x:v>
      </x:c>
    </x:row>
    <x:row r="776" ht="27" customHeight="1">
      <x:c r="A776" s="66" t="str">
        <x:v>SQD620</x:v>
      </x:c>
      <x:c r="B776" s="66" t="str">
        <x:v>深度梦扬量化套利0号</x:v>
      </x:c>
      <x:c r="C776" s="72" t="n">
        <x:v>44974</x:v>
      </x:c>
      <x:c r="D776" s="73" t="n">
        <x:v>1.143</x:v>
      </x:c>
      <x:c r="E776" s="73" t="n">
        <x:v>1.143</x:v>
      </x:c>
      <x:c r="F776" s="73" t="n">
        <x:v>1.143</x:v>
      </x:c>
      <x:c r="G776" s="74" t="n">
        <x:v>0.0009</x:v>
      </x:c>
      <x:c r="H776" s="66" t="str">
        <x:v>深度梦扬量化套利0号净值20260911.xlsx</x:v>
      </x:c>
      <x:c r="I776" s="73" t="str">
        <x:f>""</x:f>
      </x:c>
      <x:c r="J776" s="74" t="str">
        <x:f>""</x:f>
      </x:c>
      <x:c r="K776" s="73" t="str">
        <x:f>""</x:f>
      </x:c>
      <x:c r="L776" s="74" t="str">
        <x:f>""</x:f>
      </x:c>
      <x:c r="M776" s="73" t="n">
        <x:f>MAX(M775,F776)</x:f>
        <x:v>1.148</x:v>
      </x:c>
      <x:c r="N776" s="74" t="n">
        <x:f>1-F776/M776</x:f>
        <x:v>0.00435540069686402</x:v>
      </x:c>
    </x:row>
    <x:row r="777" ht="27" customHeight="1">
      <x:c r="A777" s="66" t="str">
        <x:v>SQD620</x:v>
      </x:c>
      <x:c r="B777" s="66" t="str">
        <x:v>深度梦扬量化套利0号</x:v>
      </x:c>
      <x:c r="C777" s="72" t="n">
        <x:v>44980</x:v>
      </x:c>
      <x:c r="D777" s="73" t="n">
        <x:v>1.149</x:v>
      </x:c>
      <x:c r="E777" s="73" t="n">
        <x:v>1.149</x:v>
      </x:c>
      <x:c r="F777" s="73" t="n">
        <x:v>1.149</x:v>
      </x:c>
      <x:c r="G777" s="74" t="n">
        <x:v>0.0052</x:v>
      </x:c>
      <x:c r="H777" s="66" t="str">
        <x:v>深度梦扬量化套利0号净值20260911.xlsx</x:v>
      </x:c>
      <x:c r="I777" s="73" t="str">
        <x:f>""</x:f>
      </x:c>
      <x:c r="J777" s="74" t="str">
        <x:f>""</x:f>
      </x:c>
      <x:c r="K777" s="73" t="str">
        <x:f>""</x:f>
      </x:c>
      <x:c r="L777" s="74" t="str">
        <x:f>""</x:f>
      </x:c>
      <x:c r="M777" s="73" t="n">
        <x:f>MAX(M776,F777)</x:f>
        <x:v>1.149</x:v>
      </x:c>
      <x:c r="N777" s="74" t="n">
        <x:f>1-F777/M777</x:f>
        <x:v>0</x:v>
      </x:c>
    </x:row>
    <x:row r="778" ht="27" customHeight="1">
      <x:c r="A778" s="66" t="str">
        <x:v>SQD620</x:v>
      </x:c>
      <x:c r="B778" s="66" t="str">
        <x:v>深度梦扬量化套利0号</x:v>
      </x:c>
      <x:c r="C778" s="72" t="n">
        <x:v>44981</x:v>
      </x:c>
      <x:c r="D778" s="73" t="n">
        <x:v>1.147</x:v>
      </x:c>
      <x:c r="E778" s="73" t="n">
        <x:v>1.147</x:v>
      </x:c>
      <x:c r="F778" s="73" t="n">
        <x:v>1.147</x:v>
      </x:c>
      <x:c r="G778" s="74" t="n">
        <x:v>-0.0017000000000000001</x:v>
      </x:c>
      <x:c r="H778" s="66" t="str">
        <x:v>深度梦扬量化套利0号净值20260911.xlsx</x:v>
      </x:c>
      <x:c r="I778" s="73" t="str">
        <x:f>""</x:f>
      </x:c>
      <x:c r="J778" s="74" t="str">
        <x:f>""</x:f>
      </x:c>
      <x:c r="K778" s="73" t="str">
        <x:f>""</x:f>
      </x:c>
      <x:c r="L778" s="74" t="str">
        <x:f>""</x:f>
      </x:c>
      <x:c r="M778" s="73" t="n">
        <x:f>MAX(M777,F778)</x:f>
        <x:v>1.149</x:v>
      </x:c>
      <x:c r="N778" s="74" t="n">
        <x:f>1-F778/M778</x:f>
        <x:v>0.0017406440382942145</x:v>
      </x:c>
    </x:row>
    <x:row r="779" ht="27" customHeight="1">
      <x:c r="A779" s="66" t="str">
        <x:v>SQD620</x:v>
      </x:c>
      <x:c r="B779" s="66" t="str">
        <x:v>深度梦扬量化套利0号</x:v>
      </x:c>
      <x:c r="C779" s="72" t="n">
        <x:v>44985</x:v>
      </x:c>
      <x:c r="D779" s="73" t="n">
        <x:v>1.149</x:v>
      </x:c>
      <x:c r="E779" s="73" t="n">
        <x:v>1.149</x:v>
      </x:c>
      <x:c r="F779" s="73" t="n">
        <x:v>1.149</x:v>
      </x:c>
      <x:c r="G779" s="74" t="n">
        <x:v>0.0017000000000000001</x:v>
      </x:c>
      <x:c r="H779" s="66" t="str">
        <x:v>深度梦扬量化套利0号净值20260911.xlsx</x:v>
      </x:c>
      <x:c r="I779" s="73" t="str">
        <x:f>""</x:f>
      </x:c>
      <x:c r="J779" s="74" t="str">
        <x:f>""</x:f>
      </x:c>
      <x:c r="K779" s="73" t="str">
        <x:f>""</x:f>
      </x:c>
      <x:c r="L779" s="74" t="str">
        <x:f>""</x:f>
      </x:c>
      <x:c r="M779" s="73" t="n">
        <x:f>MAX(M778,F779)</x:f>
        <x:v>1.149</x:v>
      </x:c>
      <x:c r="N779" s="74" t="n">
        <x:f>1-F779/M779</x:f>
        <x:v>0</x:v>
      </x:c>
    </x:row>
    <x:row r="780" ht="27" customHeight="1">
      <x:c r="A780" s="66" t="str">
        <x:v>SQD620</x:v>
      </x:c>
      <x:c r="B780" s="66" t="str">
        <x:v>深度梦扬量化套利0号</x:v>
      </x:c>
      <x:c r="C780" s="72" t="n">
        <x:v>44987</x:v>
      </x:c>
      <x:c r="D780" s="73" t="n">
        <x:v>1.146</x:v>
      </x:c>
      <x:c r="E780" s="73" t="n">
        <x:v>1.146</x:v>
      </x:c>
      <x:c r="F780" s="73" t="n">
        <x:v>1.146</x:v>
      </x:c>
      <x:c r="G780" s="74" t="n">
        <x:v>-0.0026</x:v>
      </x:c>
      <x:c r="H780" s="66" t="str">
        <x:v>深度梦扬量化套利0号净值20260911.xlsx</x:v>
      </x:c>
      <x:c r="I780" s="73" t="str">
        <x:f>""</x:f>
      </x:c>
      <x:c r="J780" s="74" t="str">
        <x:f>""</x:f>
      </x:c>
      <x:c r="K780" s="73" t="str">
        <x:f>""</x:f>
      </x:c>
      <x:c r="L780" s="74" t="str">
        <x:f>""</x:f>
      </x:c>
      <x:c r="M780" s="73" t="n">
        <x:f>MAX(M779,F780)</x:f>
        <x:v>1.149</x:v>
      </x:c>
      <x:c r="N780" s="74" t="n">
        <x:f>1-F780/M780</x:f>
        <x:v>0.0026109660574413773</x:v>
      </x:c>
    </x:row>
    <x:row r="781" ht="27" customHeight="1">
      <x:c r="A781" s="66" t="str">
        <x:v>SQD620</x:v>
      </x:c>
      <x:c r="B781" s="66" t="str">
        <x:v>深度梦扬量化套利0号</x:v>
      </x:c>
      <x:c r="C781" s="72" t="n">
        <x:v>44988</x:v>
      </x:c>
      <x:c r="D781" s="73" t="n">
        <x:v>1.144</x:v>
      </x:c>
      <x:c r="E781" s="73" t="n">
        <x:v>1.144</x:v>
      </x:c>
      <x:c r="F781" s="73" t="n">
        <x:v>1.144</x:v>
      </x:c>
      <x:c r="G781" s="74" t="n">
        <x:v>-0.0017000000000000001</x:v>
      </x:c>
      <x:c r="H781" s="66" t="str">
        <x:v>深度梦扬量化套利0号净值20260911.xlsx</x:v>
      </x:c>
      <x:c r="I781" s="73" t="str">
        <x:f>""</x:f>
      </x:c>
      <x:c r="J781" s="74" t="str">
        <x:f>""</x:f>
      </x:c>
      <x:c r="K781" s="73" t="str">
        <x:f>""</x:f>
      </x:c>
      <x:c r="L781" s="74" t="str">
        <x:f>""</x:f>
      </x:c>
      <x:c r="M781" s="73" t="n">
        <x:f>MAX(M780,F781)</x:f>
        <x:v>1.149</x:v>
      </x:c>
      <x:c r="N781" s="74" t="n">
        <x:f>1-F781/M781</x:f>
        <x:v>0.004351610095735481</x:v>
      </x:c>
    </x:row>
    <x:row r="782" ht="27" customHeight="1">
      <x:c r="A782" s="66" t="str">
        <x:v>SQD620</x:v>
      </x:c>
      <x:c r="B782" s="66" t="str">
        <x:v>深度梦扬量化套利0号</x:v>
      </x:c>
      <x:c r="C782" s="72" t="n">
        <x:v>44994</x:v>
      </x:c>
      <x:c r="D782" s="73" t="n">
        <x:v>1.145</x:v>
      </x:c>
      <x:c r="E782" s="73" t="n">
        <x:v>1.145</x:v>
      </x:c>
      <x:c r="F782" s="73" t="n">
        <x:v>1.145</x:v>
      </x:c>
      <x:c r="G782" s="74" t="n">
        <x:v>0.0009</x:v>
      </x:c>
      <x:c r="H782" s="66" t="str">
        <x:v>深度梦扬量化套利0号净值20260911.xlsx</x:v>
      </x:c>
      <x:c r="I782" s="73" t="str">
        <x:f>""</x:f>
      </x:c>
      <x:c r="J782" s="74" t="str">
        <x:f>""</x:f>
      </x:c>
      <x:c r="K782" s="73" t="str">
        <x:f>""</x:f>
      </x:c>
      <x:c r="L782" s="74" t="str">
        <x:f>""</x:f>
      </x:c>
      <x:c r="M782" s="73" t="n">
        <x:f>MAX(M781,F782)</x:f>
        <x:v>1.149</x:v>
      </x:c>
      <x:c r="N782" s="74" t="n">
        <x:f>1-F782/M782</x:f>
        <x:v>0.003481288076588318</x:v>
      </x:c>
    </x:row>
    <x:row r="783" ht="27" customHeight="1">
      <x:c r="A783" s="66" t="str">
        <x:v>SQD620</x:v>
      </x:c>
      <x:c r="B783" s="66" t="str">
        <x:v>深度梦扬量化套利0号</x:v>
      </x:c>
      <x:c r="C783" s="72" t="n">
        <x:v>44995</x:v>
      </x:c>
      <x:c r="D783" s="73" t="n">
        <x:v>1.145</x:v>
      </x:c>
      <x:c r="E783" s="73" t="n">
        <x:v>1.145</x:v>
      </x:c>
      <x:c r="F783" s="73" t="n">
        <x:v>1.145</x:v>
      </x:c>
      <x:c r="G783" s="74" t="n">
        <x:v>0</x:v>
      </x:c>
      <x:c r="H783" s="66" t="str">
        <x:v>深度梦扬量化套利0号净值20260911.xlsx</x:v>
      </x:c>
      <x:c r="I783" s="73" t="str">
        <x:f>""</x:f>
      </x:c>
      <x:c r="J783" s="74" t="str">
        <x:f>""</x:f>
      </x:c>
      <x:c r="K783" s="73" t="str">
        <x:f>""</x:f>
      </x:c>
      <x:c r="L783" s="74" t="str">
        <x:f>""</x:f>
      </x:c>
      <x:c r="M783" s="73" t="n">
        <x:f>MAX(M782,F783)</x:f>
        <x:v>1.149</x:v>
      </x:c>
      <x:c r="N783" s="74" t="n">
        <x:f>1-F783/M783</x:f>
        <x:v>0.003481288076588318</x:v>
      </x:c>
    </x:row>
    <x:row r="784" ht="27" customHeight="1">
      <x:c r="A784" s="66" t="str">
        <x:v>SQD620</x:v>
      </x:c>
      <x:c r="B784" s="66" t="str">
        <x:v>深度梦扬量化套利0号</x:v>
      </x:c>
      <x:c r="C784" s="72" t="n">
        <x:v>45001</x:v>
      </x:c>
      <x:c r="D784" s="73" t="n">
        <x:v>1.144</x:v>
      </x:c>
      <x:c r="E784" s="73" t="n">
        <x:v>1.144</x:v>
      </x:c>
      <x:c r="F784" s="73" t="n">
        <x:v>1.144</x:v>
      </x:c>
      <x:c r="G784" s="74" t="n">
        <x:v>-0.0009</x:v>
      </x:c>
      <x:c r="H784" s="66" t="str">
        <x:v>深度梦扬量化套利0号净值20260911.xlsx</x:v>
      </x:c>
      <x:c r="I784" s="73" t="str">
        <x:f>""</x:f>
      </x:c>
      <x:c r="J784" s="74" t="str">
        <x:f>""</x:f>
      </x:c>
      <x:c r="K784" s="73" t="str">
        <x:f>""</x:f>
      </x:c>
      <x:c r="L784" s="74" t="str">
        <x:f>""</x:f>
      </x:c>
      <x:c r="M784" s="73" t="n">
        <x:f>MAX(M783,F784)</x:f>
        <x:v>1.149</x:v>
      </x:c>
      <x:c r="N784" s="74" t="n">
        <x:f>1-F784/M784</x:f>
        <x:v>0.004351610095735481</x:v>
      </x:c>
    </x:row>
    <x:row r="785" ht="27" customHeight="1">
      <x:c r="A785" s="66" t="str">
        <x:v>SQD620</x:v>
      </x:c>
      <x:c r="B785" s="66" t="str">
        <x:v>深度梦扬量化套利0号</x:v>
      </x:c>
      <x:c r="C785" s="72" t="n">
        <x:v>45002</x:v>
      </x:c>
      <x:c r="D785" s="73" t="n">
        <x:v>1.147</x:v>
      </x:c>
      <x:c r="E785" s="73" t="n">
        <x:v>1.147</x:v>
      </x:c>
      <x:c r="F785" s="73" t="n">
        <x:v>1.147</x:v>
      </x:c>
      <x:c r="G785" s="74" t="n">
        <x:v>0.0026</x:v>
      </x:c>
      <x:c r="H785" s="66" t="str">
        <x:v>深度梦扬量化套利0号净值20260911.xlsx</x:v>
      </x:c>
      <x:c r="I785" s="73" t="str">
        <x:f>""</x:f>
      </x:c>
      <x:c r="J785" s="74" t="str">
        <x:f>""</x:f>
      </x:c>
      <x:c r="K785" s="73" t="str">
        <x:f>""</x:f>
      </x:c>
      <x:c r="L785" s="74" t="str">
        <x:f>""</x:f>
      </x:c>
      <x:c r="M785" s="73" t="n">
        <x:f>MAX(M784,F785)</x:f>
        <x:v>1.149</x:v>
      </x:c>
      <x:c r="N785" s="74" t="n">
        <x:f>1-F785/M785</x:f>
        <x:v>0.0017406440382942145</x:v>
      </x:c>
    </x:row>
    <x:row r="786" ht="27" customHeight="1">
      <x:c r="A786" s="66" t="str">
        <x:v>SQD620</x:v>
      </x:c>
      <x:c r="B786" s="66" t="str">
        <x:v>深度梦扬量化套利0号</x:v>
      </x:c>
      <x:c r="C786" s="72" t="n">
        <x:v>45008</x:v>
      </x:c>
      <x:c r="D786" s="73" t="n">
        <x:v>1.147</x:v>
      </x:c>
      <x:c r="E786" s="73" t="n">
        <x:v>1.147</x:v>
      </x:c>
      <x:c r="F786" s="73" t="n">
        <x:v>1.147</x:v>
      </x:c>
      <x:c r="G786" s="74" t="n">
        <x:v>0</x:v>
      </x:c>
      <x:c r="H786" s="66" t="str">
        <x:v>深度梦扬量化套利0号净值20260911.xlsx</x:v>
      </x:c>
      <x:c r="I786" s="73" t="str">
        <x:f>""</x:f>
      </x:c>
      <x:c r="J786" s="74" t="str">
        <x:f>""</x:f>
      </x:c>
      <x:c r="K786" s="73" t="str">
        <x:f>""</x:f>
      </x:c>
      <x:c r="L786" s="74" t="str">
        <x:f>""</x:f>
      </x:c>
      <x:c r="M786" s="73" t="n">
        <x:f>MAX(M785,F786)</x:f>
        <x:v>1.149</x:v>
      </x:c>
      <x:c r="N786" s="74" t="n">
        <x:f>1-F786/M786</x:f>
        <x:v>0.0017406440382942145</x:v>
      </x:c>
    </x:row>
    <x:row r="787" ht="27" customHeight="1">
      <x:c r="A787" s="66" t="str">
        <x:v>SQD620</x:v>
      </x:c>
      <x:c r="B787" s="66" t="str">
        <x:v>深度梦扬量化套利0号</x:v>
      </x:c>
      <x:c r="C787" s="72" t="n">
        <x:v>45009</x:v>
      </x:c>
      <x:c r="D787" s="73" t="n">
        <x:v>1.146</x:v>
      </x:c>
      <x:c r="E787" s="73" t="n">
        <x:v>1.146</x:v>
      </x:c>
      <x:c r="F787" s="73" t="n">
        <x:v>1.146</x:v>
      </x:c>
      <x:c r="G787" s="74" t="n">
        <x:v>-0.0009</x:v>
      </x:c>
      <x:c r="H787" s="66" t="str">
        <x:v>深度梦扬量化套利0号净值20260911.xlsx</x:v>
      </x:c>
      <x:c r="I787" s="73" t="str">
        <x:f>""</x:f>
      </x:c>
      <x:c r="J787" s="74" t="str">
        <x:f>""</x:f>
      </x:c>
      <x:c r="K787" s="73" t="str">
        <x:f>""</x:f>
      </x:c>
      <x:c r="L787" s="74" t="str">
        <x:f>""</x:f>
      </x:c>
      <x:c r="M787" s="73" t="n">
        <x:f>MAX(M786,F787)</x:f>
        <x:v>1.149</x:v>
      </x:c>
      <x:c r="N787" s="74" t="n">
        <x:f>1-F787/M787</x:f>
        <x:v>0.0026109660574413773</x:v>
      </x:c>
    </x:row>
    <x:row r="788" ht="27" customHeight="1">
      <x:c r="A788" s="66" t="str">
        <x:v>SQD620</x:v>
      </x:c>
      <x:c r="B788" s="66" t="str">
        <x:v>深度梦扬量化套利0号</x:v>
      </x:c>
      <x:c r="C788" s="72" t="n">
        <x:v>45015</x:v>
      </x:c>
      <x:c r="D788" s="73" t="n">
        <x:v>1.151</x:v>
      </x:c>
      <x:c r="E788" s="73" t="n">
        <x:v>1.151</x:v>
      </x:c>
      <x:c r="F788" s="73" t="n">
        <x:v>1.151</x:v>
      </x:c>
      <x:c r="G788" s="74" t="n">
        <x:v>0.0044</x:v>
      </x:c>
      <x:c r="H788" s="66" t="str">
        <x:v>深度梦扬量化套利0号净值20260911.xlsx</x:v>
      </x:c>
      <x:c r="I788" s="73" t="str">
        <x:f>""</x:f>
      </x:c>
      <x:c r="J788" s="74" t="str">
        <x:f>""</x:f>
      </x:c>
      <x:c r="K788" s="73" t="str">
        <x:f>""</x:f>
      </x:c>
      <x:c r="L788" s="74" t="str">
        <x:f>""</x:f>
      </x:c>
      <x:c r="M788" s="73" t="n">
        <x:f>MAX(M787,F788)</x:f>
        <x:v>1.151</x:v>
      </x:c>
      <x:c r="N788" s="74" t="n">
        <x:f>1-F788/M788</x:f>
        <x:v>0</x:v>
      </x:c>
    </x:row>
    <x:row r="789" ht="27" customHeight="1">
      <x:c r="A789" s="66" t="str">
        <x:v>SQD620</x:v>
      </x:c>
      <x:c r="B789" s="66" t="str">
        <x:v>深度梦扬量化套利0号</x:v>
      </x:c>
      <x:c r="C789" s="72" t="n">
        <x:v>45016</x:v>
      </x:c>
      <x:c r="D789" s="73" t="n">
        <x:v>1.148</x:v>
      </x:c>
      <x:c r="E789" s="73" t="n">
        <x:v>1.148</x:v>
      </x:c>
      <x:c r="F789" s="73" t="n">
        <x:v>1.148</x:v>
      </x:c>
      <x:c r="G789" s="74" t="n">
        <x:v>-0.0026</x:v>
      </x:c>
      <x:c r="H789" s="66" t="str">
        <x:v>深度梦扬量化套利0号净值20260911.xlsx</x:v>
      </x:c>
      <x:c r="I789" s="73" t="str">
        <x:f>""</x:f>
      </x:c>
      <x:c r="J789" s="74" t="str">
        <x:f>""</x:f>
      </x:c>
      <x:c r="K789" s="73" t="str">
        <x:f>""</x:f>
      </x:c>
      <x:c r="L789" s="74" t="str">
        <x:f>""</x:f>
      </x:c>
      <x:c r="M789" s="73" t="n">
        <x:f>MAX(M788,F789)</x:f>
        <x:v>1.151</x:v>
      </x:c>
      <x:c r="N789" s="74" t="n">
        <x:f>1-F789/M789</x:f>
        <x:v>0.0026064291920070426</x:v>
      </x:c>
    </x:row>
    <x:row r="790" ht="27" customHeight="1">
      <x:c r="A790" s="66" t="str">
        <x:v>SQD620</x:v>
      </x:c>
      <x:c r="B790" s="66" t="str">
        <x:v>深度梦扬量化套利0号</x:v>
      </x:c>
      <x:c r="C790" s="72" t="n">
        <x:v>45022</x:v>
      </x:c>
      <x:c r="D790" s="73" t="n">
        <x:v>1.146</x:v>
      </x:c>
      <x:c r="E790" s="73" t="n">
        <x:v>1.146</x:v>
      </x:c>
      <x:c r="F790" s="73" t="n">
        <x:v>1.146</x:v>
      </x:c>
      <x:c r="G790" s="74" t="n">
        <x:v>-0.0017000000000000001</x:v>
      </x:c>
      <x:c r="H790" s="66" t="str">
        <x:v>深度梦扬量化套利0号净值20260911.xlsx</x:v>
      </x:c>
      <x:c r="I790" s="73" t="str">
        <x:f>""</x:f>
      </x:c>
      <x:c r="J790" s="74" t="str">
        <x:f>""</x:f>
      </x:c>
      <x:c r="K790" s="73" t="str">
        <x:f>""</x:f>
      </x:c>
      <x:c r="L790" s="74" t="str">
        <x:f>""</x:f>
      </x:c>
      <x:c r="M790" s="73" t="n">
        <x:f>MAX(M789,F790)</x:f>
        <x:v>1.151</x:v>
      </x:c>
      <x:c r="N790" s="74" t="n">
        <x:f>1-F790/M790</x:f>
        <x:v>0.004344048653345034</x:v>
      </x:c>
    </x:row>
    <x:row r="791" ht="27" customHeight="1">
      <x:c r="A791" s="66" t="str">
        <x:v>SQD620</x:v>
      </x:c>
      <x:c r="B791" s="66" t="str">
        <x:v>深度梦扬量化套利0号</x:v>
      </x:c>
      <x:c r="C791" s="72" t="n">
        <x:v>45023</x:v>
      </x:c>
      <x:c r="D791" s="73" t="n">
        <x:v>1.146</x:v>
      </x:c>
      <x:c r="E791" s="73" t="n">
        <x:v>1.146</x:v>
      </x:c>
      <x:c r="F791" s="73" t="n">
        <x:v>1.146</x:v>
      </x:c>
      <x:c r="G791" s="74" t="n">
        <x:v>0</x:v>
      </x:c>
      <x:c r="H791" s="66" t="str">
        <x:v>深度梦扬量化套利0号净值20260911.xlsx</x:v>
      </x:c>
      <x:c r="I791" s="73" t="str">
        <x:f>""</x:f>
      </x:c>
      <x:c r="J791" s="74" t="str">
        <x:f>""</x:f>
      </x:c>
      <x:c r="K791" s="73" t="str">
        <x:f>""</x:f>
      </x:c>
      <x:c r="L791" s="74" t="str">
        <x:f>""</x:f>
      </x:c>
      <x:c r="M791" s="73" t="n">
        <x:f>MAX(M790,F791)</x:f>
        <x:v>1.151</x:v>
      </x:c>
      <x:c r="N791" s="74" t="n">
        <x:f>1-F791/M791</x:f>
        <x:v>0.004344048653345034</x:v>
      </x:c>
    </x:row>
    <x:row r="792" ht="27" customHeight="1">
      <x:c r="A792" s="66" t="str">
        <x:v>SQD620</x:v>
      </x:c>
      <x:c r="B792" s="66" t="str">
        <x:v>深度梦扬量化套利0号</x:v>
      </x:c>
      <x:c r="C792" s="72" t="n">
        <x:v>45029</x:v>
      </x:c>
      <x:c r="D792" s="73" t="n">
        <x:v>1.147</x:v>
      </x:c>
      <x:c r="E792" s="73" t="n">
        <x:v>1.147</x:v>
      </x:c>
      <x:c r="F792" s="73" t="n">
        <x:v>1.147</x:v>
      </x:c>
      <x:c r="G792" s="74" t="n">
        <x:v>0.0009</x:v>
      </x:c>
      <x:c r="H792" s="66" t="str">
        <x:v>深度梦扬量化套利0号净值20260911.xlsx</x:v>
      </x:c>
      <x:c r="I792" s="73" t="str">
        <x:f>""</x:f>
      </x:c>
      <x:c r="J792" s="74" t="str">
        <x:f>""</x:f>
      </x:c>
      <x:c r="K792" s="73" t="str">
        <x:f>""</x:f>
      </x:c>
      <x:c r="L792" s="74" t="str">
        <x:f>""</x:f>
      </x:c>
      <x:c r="M792" s="73" t="n">
        <x:f>MAX(M791,F792)</x:f>
        <x:v>1.151</x:v>
      </x:c>
      <x:c r="N792" s="74" t="n">
        <x:f>1-F792/M792</x:f>
        <x:v>0.0034752389226759828</x:v>
      </x:c>
    </x:row>
    <x:row r="793" ht="27" customHeight="1">
      <x:c r="A793" s="66" t="str">
        <x:v>SQD620</x:v>
      </x:c>
      <x:c r="B793" s="66" t="str">
        <x:v>深度梦扬量化套利0号</x:v>
      </x:c>
      <x:c r="C793" s="72" t="n">
        <x:v>45030</x:v>
      </x:c>
      <x:c r="D793" s="73" t="n">
        <x:v>1.146</x:v>
      </x:c>
      <x:c r="E793" s="73" t="n">
        <x:v>1.146</x:v>
      </x:c>
      <x:c r="F793" s="73" t="n">
        <x:v>1.146</x:v>
      </x:c>
      <x:c r="G793" s="74" t="n">
        <x:v>-0.0009</x:v>
      </x:c>
      <x:c r="H793" s="66" t="str">
        <x:v>深度梦扬量化套利0号净值20260911.xlsx</x:v>
      </x:c>
      <x:c r="I793" s="73" t="str">
        <x:f>""</x:f>
      </x:c>
      <x:c r="J793" s="74" t="str">
        <x:f>""</x:f>
      </x:c>
      <x:c r="K793" s="73" t="str">
        <x:f>""</x:f>
      </x:c>
      <x:c r="L793" s="74" t="str">
        <x:f>""</x:f>
      </x:c>
      <x:c r="M793" s="73" t="n">
        <x:f>MAX(M792,F793)</x:f>
        <x:v>1.151</x:v>
      </x:c>
      <x:c r="N793" s="74" t="n">
        <x:f>1-F793/M793</x:f>
        <x:v>0.004344048653345034</x:v>
      </x:c>
    </x:row>
    <x:row r="794" ht="27" customHeight="1">
      <x:c r="A794" s="66" t="str">
        <x:v>SQD620</x:v>
      </x:c>
      <x:c r="B794" s="66" t="str">
        <x:v>深度梦扬量化套利0号</x:v>
      </x:c>
      <x:c r="C794" s="72" t="n">
        <x:v>45036</x:v>
      </x:c>
      <x:c r="D794" s="73" t="n">
        <x:v>1.146</x:v>
      </x:c>
      <x:c r="E794" s="73" t="n">
        <x:v>1.146</x:v>
      </x:c>
      <x:c r="F794" s="73" t="n">
        <x:v>1.146</x:v>
      </x:c>
      <x:c r="G794" s="74" t="n">
        <x:v>0</x:v>
      </x:c>
      <x:c r="H794" s="66" t="str">
        <x:v>深度梦扬量化套利0号净值20260911.xlsx</x:v>
      </x:c>
      <x:c r="I794" s="73" t="str">
        <x:f>""</x:f>
      </x:c>
      <x:c r="J794" s="74" t="str">
        <x:f>""</x:f>
      </x:c>
      <x:c r="K794" s="73" t="str">
        <x:f>""</x:f>
      </x:c>
      <x:c r="L794" s="74" t="str">
        <x:f>""</x:f>
      </x:c>
      <x:c r="M794" s="73" t="n">
        <x:f>MAX(M793,F794)</x:f>
        <x:v>1.151</x:v>
      </x:c>
      <x:c r="N794" s="74" t="n">
        <x:f>1-F794/M794</x:f>
        <x:v>0.004344048653345034</x:v>
      </x:c>
    </x:row>
    <x:row r="795" ht="27" customHeight="1">
      <x:c r="A795" s="66" t="str">
        <x:v>SQD620</x:v>
      </x:c>
      <x:c r="B795" s="66" t="str">
        <x:v>深度梦扬量化套利0号</x:v>
      </x:c>
      <x:c r="C795" s="72" t="n">
        <x:v>45037</x:v>
      </x:c>
      <x:c r="D795" s="73" t="n">
        <x:v>1.144</x:v>
      </x:c>
      <x:c r="E795" s="73" t="n">
        <x:v>1.144</x:v>
      </x:c>
      <x:c r="F795" s="73" t="n">
        <x:v>1.144</x:v>
      </x:c>
      <x:c r="G795" s="74" t="n">
        <x:v>-0.0017000000000000001</x:v>
      </x:c>
      <x:c r="H795" s="66" t="str">
        <x:v>深度梦扬量化套利0号净值20260911.xlsx</x:v>
      </x:c>
      <x:c r="I795" s="73" t="str">
        <x:f>""</x:f>
      </x:c>
      <x:c r="J795" s="74" t="str">
        <x:f>""</x:f>
      </x:c>
      <x:c r="K795" s="73" t="str">
        <x:f>""</x:f>
      </x:c>
      <x:c r="L795" s="74" t="str">
        <x:f>""</x:f>
      </x:c>
      <x:c r="M795" s="73" t="n">
        <x:f>MAX(M794,F795)</x:f>
        <x:v>1.151</x:v>
      </x:c>
      <x:c r="N795" s="74" t="n">
        <x:f>1-F795/M795</x:f>
        <x:v>0.006081668114683025</x:v>
      </x:c>
    </x:row>
    <x:row r="796" ht="27" customHeight="1">
      <x:c r="A796" s="66" t="str">
        <x:v>SQD620</x:v>
      </x:c>
      <x:c r="B796" s="66" t="str">
        <x:v>深度梦扬量化套利0号</x:v>
      </x:c>
      <x:c r="C796" s="72" t="n">
        <x:v>45043</x:v>
      </x:c>
      <x:c r="D796" s="73" t="n">
        <x:v>1.149</x:v>
      </x:c>
      <x:c r="E796" s="73" t="n">
        <x:v>1.149</x:v>
      </x:c>
      <x:c r="F796" s="73" t="n">
        <x:v>1.149</x:v>
      </x:c>
      <x:c r="G796" s="74" t="n">
        <x:v>0.0044</x:v>
      </x:c>
      <x:c r="H796" s="66" t="str">
        <x:v>深度梦扬量化套利0号净值20260911.xlsx</x:v>
      </x:c>
      <x:c r="I796" s="73" t="str">
        <x:f>""</x:f>
      </x:c>
      <x:c r="J796" s="74" t="str">
        <x:f>""</x:f>
      </x:c>
      <x:c r="K796" s="73" t="str">
        <x:f>""</x:f>
      </x:c>
      <x:c r="L796" s="74" t="str">
        <x:f>""</x:f>
      </x:c>
      <x:c r="M796" s="73" t="n">
        <x:f>MAX(M795,F796)</x:f>
        <x:v>1.151</x:v>
      </x:c>
      <x:c r="N796" s="74" t="n">
        <x:f>1-F796/M796</x:f>
        <x:v>0.0017376194613379914</x:v>
      </x:c>
    </x:row>
    <x:row r="797" ht="27" customHeight="1">
      <x:c r="A797" s="66" t="str">
        <x:v>SQD620</x:v>
      </x:c>
      <x:c r="B797" s="66" t="str">
        <x:v>深度梦扬量化套利0号</x:v>
      </x:c>
      <x:c r="C797" s="72" t="n">
        <x:v>45044</x:v>
      </x:c>
      <x:c r="D797" s="73" t="n">
        <x:v>1.148</x:v>
      </x:c>
      <x:c r="E797" s="73" t="n">
        <x:v>1.148</x:v>
      </x:c>
      <x:c r="F797" s="73" t="n">
        <x:v>1.148</x:v>
      </x:c>
      <x:c r="G797" s="74" t="n">
        <x:v>-0.0009</x:v>
      </x:c>
      <x:c r="H797" s="66" t="str">
        <x:v>深度梦扬量化套利0号净值20260911.xlsx</x:v>
      </x:c>
      <x:c r="I797" s="73" t="str">
        <x:f>""</x:f>
      </x:c>
      <x:c r="J797" s="74" t="str">
        <x:f>""</x:f>
      </x:c>
      <x:c r="K797" s="73" t="str">
        <x:f>""</x:f>
      </x:c>
      <x:c r="L797" s="74" t="str">
        <x:f>""</x:f>
      </x:c>
      <x:c r="M797" s="73" t="n">
        <x:f>MAX(M796,F797)</x:f>
        <x:v>1.151</x:v>
      </x:c>
      <x:c r="N797" s="74" t="n">
        <x:f>1-F797/M797</x:f>
        <x:v>0.0026064291920070426</x:v>
      </x:c>
    </x:row>
    <x:row r="798" ht="27" customHeight="1">
      <x:c r="A798" s="66" t="str">
        <x:v>SQD620</x:v>
      </x:c>
      <x:c r="B798" s="66" t="str">
        <x:v>深度梦扬量化套利0号</x:v>
      </x:c>
      <x:c r="C798" s="72" t="n">
        <x:v>45050</x:v>
      </x:c>
      <x:c r="D798" s="73" t="n">
        <x:v>1.148</x:v>
      </x:c>
      <x:c r="E798" s="73" t="n">
        <x:v>1.148</x:v>
      </x:c>
      <x:c r="F798" s="73" t="n">
        <x:v>1.148</x:v>
      </x:c>
      <x:c r="G798" s="74" t="n">
        <x:v>0</x:v>
      </x:c>
      <x:c r="H798" s="66" t="str">
        <x:v>深度梦扬量化套利0号净值20260911.xlsx</x:v>
      </x:c>
      <x:c r="I798" s="73" t="str">
        <x:f>""</x:f>
      </x:c>
      <x:c r="J798" s="74" t="str">
        <x:f>""</x:f>
      </x:c>
      <x:c r="K798" s="73" t="str">
        <x:f>""</x:f>
      </x:c>
      <x:c r="L798" s="74" t="str">
        <x:f>""</x:f>
      </x:c>
      <x:c r="M798" s="73" t="n">
        <x:f>MAX(M797,F798)</x:f>
        <x:v>1.151</x:v>
      </x:c>
      <x:c r="N798" s="74" t="n">
        <x:f>1-F798/M798</x:f>
        <x:v>0.0026064291920070426</x:v>
      </x:c>
    </x:row>
    <x:row r="799" ht="27" customHeight="1">
      <x:c r="A799" s="66" t="str">
        <x:v>SQD620</x:v>
      </x:c>
      <x:c r="B799" s="66" t="str">
        <x:v>深度梦扬量化套利0号</x:v>
      </x:c>
      <x:c r="C799" s="72" t="n">
        <x:v>45051</x:v>
      </x:c>
      <x:c r="D799" s="73" t="n">
        <x:v>1.147</x:v>
      </x:c>
      <x:c r="E799" s="73" t="n">
        <x:v>1.147</x:v>
      </x:c>
      <x:c r="F799" s="73" t="n">
        <x:v>1.147</x:v>
      </x:c>
      <x:c r="G799" s="74" t="n">
        <x:v>-0.0009</x:v>
      </x:c>
      <x:c r="H799" s="66" t="str">
        <x:v>深度梦扬量化套利0号净值20260911.xlsx</x:v>
      </x:c>
      <x:c r="I799" s="73" t="str">
        <x:f>""</x:f>
      </x:c>
      <x:c r="J799" s="74" t="str">
        <x:f>""</x:f>
      </x:c>
      <x:c r="K799" s="73" t="str">
        <x:f>""</x:f>
      </x:c>
      <x:c r="L799" s="74" t="str">
        <x:f>""</x:f>
      </x:c>
      <x:c r="M799" s="73" t="n">
        <x:f>MAX(M798,F799)</x:f>
        <x:v>1.151</x:v>
      </x:c>
      <x:c r="N799" s="74" t="n">
        <x:f>1-F799/M799</x:f>
        <x:v>0.0034752389226759828</x:v>
      </x:c>
    </x:row>
    <x:row r="800" ht="27" customHeight="1">
      <x:c r="A800" s="66" t="str">
        <x:v>SQD620</x:v>
      </x:c>
      <x:c r="B800" s="66" t="str">
        <x:v>深度梦扬量化套利0号</x:v>
      </x:c>
      <x:c r="C800" s="72" t="n">
        <x:v>45057</x:v>
      </x:c>
      <x:c r="D800" s="73" t="n">
        <x:v>1.149</x:v>
      </x:c>
      <x:c r="E800" s="73" t="n">
        <x:v>1.149</x:v>
      </x:c>
      <x:c r="F800" s="73" t="n">
        <x:v>1.149</x:v>
      </x:c>
      <x:c r="G800" s="74" t="n">
        <x:v>0.0017000000000000001</x:v>
      </x:c>
      <x:c r="H800" s="66" t="str">
        <x:v>深度梦扬量化套利0号净值20260911.xlsx</x:v>
      </x:c>
      <x:c r="I800" s="73" t="str">
        <x:f>""</x:f>
      </x:c>
      <x:c r="J800" s="74" t="str">
        <x:f>""</x:f>
      </x:c>
      <x:c r="K800" s="73" t="str">
        <x:f>""</x:f>
      </x:c>
      <x:c r="L800" s="74" t="str">
        <x:f>""</x:f>
      </x:c>
      <x:c r="M800" s="73" t="n">
        <x:f>MAX(M799,F800)</x:f>
        <x:v>1.151</x:v>
      </x:c>
      <x:c r="N800" s="74" t="n">
        <x:f>1-F800/M800</x:f>
        <x:v>0.0017376194613379914</x:v>
      </x:c>
    </x:row>
    <x:row r="801" ht="27" customHeight="1">
      <x:c r="A801" s="66" t="str">
        <x:v>SQD620</x:v>
      </x:c>
      <x:c r="B801" s="66" t="str">
        <x:v>深度梦扬量化套利0号</x:v>
      </x:c>
      <x:c r="C801" s="72" t="n">
        <x:v>45058</x:v>
      </x:c>
      <x:c r="D801" s="73" t="n">
        <x:v>1.149</x:v>
      </x:c>
      <x:c r="E801" s="73" t="n">
        <x:v>1.149</x:v>
      </x:c>
      <x:c r="F801" s="73" t="n">
        <x:v>1.149</x:v>
      </x:c>
      <x:c r="G801" s="74" t="n">
        <x:v>0</x:v>
      </x:c>
      <x:c r="H801" s="66" t="str">
        <x:v>深度梦扬量化套利0号净值20260911.xlsx</x:v>
      </x:c>
      <x:c r="I801" s="73" t="str">
        <x:f>""</x:f>
      </x:c>
      <x:c r="J801" s="74" t="str">
        <x:f>""</x:f>
      </x:c>
      <x:c r="K801" s="73" t="str">
        <x:f>""</x:f>
      </x:c>
      <x:c r="L801" s="74" t="str">
        <x:f>""</x:f>
      </x:c>
      <x:c r="M801" s="73" t="n">
        <x:f>MAX(M800,F801)</x:f>
        <x:v>1.151</x:v>
      </x:c>
      <x:c r="N801" s="74" t="n">
        <x:f>1-F801/M801</x:f>
        <x:v>0.0017376194613379914</x:v>
      </x:c>
    </x:row>
    <x:row r="802" ht="27" customHeight="1">
      <x:c r="A802" s="66" t="str">
        <x:v>SQD620</x:v>
      </x:c>
      <x:c r="B802" s="66" t="str">
        <x:v>深度梦扬量化套利0号</x:v>
      </x:c>
      <x:c r="C802" s="72" t="n">
        <x:v>45064</x:v>
      </x:c>
      <x:c r="D802" s="73" t="n">
        <x:v>1.149</x:v>
      </x:c>
      <x:c r="E802" s="73" t="n">
        <x:v>1.149</x:v>
      </x:c>
      <x:c r="F802" s="73" t="n">
        <x:v>1.149</x:v>
      </x:c>
      <x:c r="G802" s="74" t="n">
        <x:v>0</x:v>
      </x:c>
      <x:c r="H802" s="66" t="str">
        <x:v>深度梦扬量化套利0号净值20260911.xlsx</x:v>
      </x:c>
      <x:c r="I802" s="73" t="str">
        <x:f>""</x:f>
      </x:c>
      <x:c r="J802" s="74" t="str">
        <x:f>""</x:f>
      </x:c>
      <x:c r="K802" s="73" t="str">
        <x:f>""</x:f>
      </x:c>
      <x:c r="L802" s="74" t="str">
        <x:f>""</x:f>
      </x:c>
      <x:c r="M802" s="73" t="n">
        <x:f>MAX(M801,F802)</x:f>
        <x:v>1.151</x:v>
      </x:c>
      <x:c r="N802" s="74" t="n">
        <x:f>1-F802/M802</x:f>
        <x:v>0.0017376194613379914</x:v>
      </x:c>
    </x:row>
    <x:row r="803" ht="27" customHeight="1">
      <x:c r="A803" s="66" t="str">
        <x:v>SQD620</x:v>
      </x:c>
      <x:c r="B803" s="66" t="str">
        <x:v>深度梦扬量化套利0号</x:v>
      </x:c>
      <x:c r="C803" s="72" t="n">
        <x:v>45065</x:v>
      </x:c>
      <x:c r="D803" s="73" t="n">
        <x:v>1.149</x:v>
      </x:c>
      <x:c r="E803" s="73" t="n">
        <x:v>1.149</x:v>
      </x:c>
      <x:c r="F803" s="73" t="n">
        <x:v>1.149</x:v>
      </x:c>
      <x:c r="G803" s="74" t="n">
        <x:v>0</x:v>
      </x:c>
      <x:c r="H803" s="66" t="str">
        <x:v>深度梦扬量化套利0号净值20260911.xlsx</x:v>
      </x:c>
      <x:c r="I803" s="73" t="str">
        <x:f>""</x:f>
      </x:c>
      <x:c r="J803" s="74" t="str">
        <x:f>""</x:f>
      </x:c>
      <x:c r="K803" s="73" t="str">
        <x:f>""</x:f>
      </x:c>
      <x:c r="L803" s="74" t="str">
        <x:f>""</x:f>
      </x:c>
      <x:c r="M803" s="73" t="n">
        <x:f>MAX(M802,F803)</x:f>
        <x:v>1.151</x:v>
      </x:c>
      <x:c r="N803" s="74" t="n">
        <x:f>1-F803/M803</x:f>
        <x:v>0.0017376194613379914</x:v>
      </x:c>
    </x:row>
    <x:row r="804" ht="27" customHeight="1">
      <x:c r="A804" s="66" t="str">
        <x:v>SQD620</x:v>
      </x:c>
      <x:c r="B804" s="66" t="str">
        <x:v>深度梦扬量化套利0号</x:v>
      </x:c>
      <x:c r="C804" s="72" t="n">
        <x:v>45071</x:v>
      </x:c>
      <x:c r="D804" s="73" t="n">
        <x:v>1.151</x:v>
      </x:c>
      <x:c r="E804" s="73" t="n">
        <x:v>1.151</x:v>
      </x:c>
      <x:c r="F804" s="73" t="n">
        <x:v>1.151</x:v>
      </x:c>
      <x:c r="G804" s="74" t="n">
        <x:v>0.0017000000000000001</x:v>
      </x:c>
      <x:c r="H804" s="66" t="str">
        <x:v>深度梦扬量化套利0号净值20260911.xlsx</x:v>
      </x:c>
      <x:c r="I804" s="73" t="str">
        <x:f>""</x:f>
      </x:c>
      <x:c r="J804" s="74" t="str">
        <x:f>""</x:f>
      </x:c>
      <x:c r="K804" s="73" t="str">
        <x:f>""</x:f>
      </x:c>
      <x:c r="L804" s="74" t="str">
        <x:f>""</x:f>
      </x:c>
      <x:c r="M804" s="73" t="n">
        <x:f>MAX(M803,F804)</x:f>
        <x:v>1.151</x:v>
      </x:c>
      <x:c r="N804" s="74" t="n">
        <x:f>1-F804/M804</x:f>
        <x:v>0</x:v>
      </x:c>
    </x:row>
    <x:row r="805" ht="27" customHeight="1">
      <x:c r="A805" s="66" t="str">
        <x:v>SQD620</x:v>
      </x:c>
      <x:c r="B805" s="66" t="str">
        <x:v>深度梦扬量化套利0号</x:v>
      </x:c>
      <x:c r="C805" s="72" t="n">
        <x:v>45072</x:v>
      </x:c>
      <x:c r="D805" s="73" t="n">
        <x:v>1.151</x:v>
      </x:c>
      <x:c r="E805" s="73" t="n">
        <x:v>1.151</x:v>
      </x:c>
      <x:c r="F805" s="73" t="n">
        <x:v>1.151</x:v>
      </x:c>
      <x:c r="G805" s="74" t="n">
        <x:v>0</x:v>
      </x:c>
      <x:c r="H805" s="66" t="str">
        <x:v>深度梦扬量化套利0号净值20260911.xlsx</x:v>
      </x:c>
      <x:c r="I805" s="73" t="str">
        <x:f>""</x:f>
      </x:c>
      <x:c r="J805" s="74" t="str">
        <x:f>""</x:f>
      </x:c>
      <x:c r="K805" s="73" t="str">
        <x:f>""</x:f>
      </x:c>
      <x:c r="L805" s="74" t="str">
        <x:f>""</x:f>
      </x:c>
      <x:c r="M805" s="73" t="n">
        <x:f>MAX(M804,F805)</x:f>
        <x:v>1.151</x:v>
      </x:c>
      <x:c r="N805" s="74" t="n">
        <x:f>1-F805/M805</x:f>
        <x:v>0</x:v>
      </x:c>
    </x:row>
    <x:row r="806" ht="27" customHeight="1">
      <x:c r="A806" s="66" t="str">
        <x:v>SQD620</x:v>
      </x:c>
      <x:c r="B806" s="66" t="str">
        <x:v>深度梦扬量化套利0号</x:v>
      </x:c>
      <x:c r="C806" s="72" t="n">
        <x:v>45077</x:v>
      </x:c>
      <x:c r="D806" s="73" t="n">
        <x:v>1.152</x:v>
      </x:c>
      <x:c r="E806" s="73" t="n">
        <x:v>1.152</x:v>
      </x:c>
      <x:c r="F806" s="73" t="n">
        <x:v>1.152</x:v>
      </x:c>
      <x:c r="G806" s="74" t="n">
        <x:v>0.0009</x:v>
      </x:c>
      <x:c r="H806" s="66" t="str">
        <x:v>深度梦扬量化套利0号净值20260911.xlsx</x:v>
      </x:c>
      <x:c r="I806" s="73" t="str">
        <x:f>""</x:f>
      </x:c>
      <x:c r="J806" s="74" t="str">
        <x:f>""</x:f>
      </x:c>
      <x:c r="K806" s="73" t="str">
        <x:f>""</x:f>
      </x:c>
      <x:c r="L806" s="74" t="str">
        <x:f>""</x:f>
      </x:c>
      <x:c r="M806" s="73" t="n">
        <x:f>MAX(M805,F806)</x:f>
        <x:v>1.152</x:v>
      </x:c>
      <x:c r="N806" s="74" t="n">
        <x:f>1-F806/M806</x:f>
        <x:v>0</x:v>
      </x:c>
    </x:row>
    <x:row r="807" ht="27" customHeight="1">
      <x:c r="A807" s="66" t="str">
        <x:v>SQD620</x:v>
      </x:c>
      <x:c r="B807" s="66" t="str">
        <x:v>深度梦扬量化套利0号</x:v>
      </x:c>
      <x:c r="C807" s="72" t="n">
        <x:v>45078</x:v>
      </x:c>
      <x:c r="D807" s="73" t="n">
        <x:v>1.151</x:v>
      </x:c>
      <x:c r="E807" s="73" t="n">
        <x:v>1.151</x:v>
      </x:c>
      <x:c r="F807" s="73" t="n">
        <x:v>1.151</x:v>
      </x:c>
      <x:c r="G807" s="74" t="n">
        <x:v>-0.0009</x:v>
      </x:c>
      <x:c r="H807" s="66" t="str">
        <x:v>深度梦扬量化套利0号净值20260911.xlsx</x:v>
      </x:c>
      <x:c r="I807" s="73" t="str">
        <x:f>""</x:f>
      </x:c>
      <x:c r="J807" s="74" t="str">
        <x:f>""</x:f>
      </x:c>
      <x:c r="K807" s="73" t="str">
        <x:f>""</x:f>
      </x:c>
      <x:c r="L807" s="74" t="str">
        <x:f>""</x:f>
      </x:c>
      <x:c r="M807" s="73" t="n">
        <x:f>MAX(M806,F807)</x:f>
        <x:v>1.152</x:v>
      </x:c>
      <x:c r="N807" s="74" t="n">
        <x:f>1-F807/M807</x:f>
        <x:v>0.0008680555555554692</x:v>
      </x:c>
    </x:row>
    <x:row r="808" ht="27" customHeight="1">
      <x:c r="A808" s="66" t="str">
        <x:v>SQD620</x:v>
      </x:c>
      <x:c r="B808" s="66" t="str">
        <x:v>深度梦扬量化套利0号</x:v>
      </x:c>
      <x:c r="C808" s="72" t="n">
        <x:v>45079</x:v>
      </x:c>
      <x:c r="D808" s="73" t="n">
        <x:v>1.149</x:v>
      </x:c>
      <x:c r="E808" s="73" t="n">
        <x:v>1.149</x:v>
      </x:c>
      <x:c r="F808" s="73" t="n">
        <x:v>1.149</x:v>
      </x:c>
      <x:c r="G808" s="74" t="n">
        <x:v>-0.0017000000000000001</x:v>
      </x:c>
      <x:c r="H808" s="66" t="str">
        <x:v>深度梦扬量化套利0号净值20260911.xlsx</x:v>
      </x:c>
      <x:c r="I808" s="73" t="str">
        <x:f>""</x:f>
      </x:c>
      <x:c r="J808" s="74" t="str">
        <x:f>""</x:f>
      </x:c>
      <x:c r="K808" s="73" t="str">
        <x:f>""</x:f>
      </x:c>
      <x:c r="L808" s="74" t="str">
        <x:f>""</x:f>
      </x:c>
      <x:c r="M808" s="73" t="n">
        <x:f>MAX(M807,F808)</x:f>
        <x:v>1.152</x:v>
      </x:c>
      <x:c r="N808" s="74" t="n">
        <x:f>1-F808/M808</x:f>
        <x:v>0.0026041666666665186</x:v>
      </x:c>
    </x:row>
    <x:row r="809" ht="27" customHeight="1">
      <x:c r="A809" s="66" t="str">
        <x:v>SQD620</x:v>
      </x:c>
      <x:c r="B809" s="66" t="str">
        <x:v>深度梦扬量化套利0号</x:v>
      </x:c>
      <x:c r="C809" s="72" t="n">
        <x:v>45085</x:v>
      </x:c>
      <x:c r="D809" s="73" t="n">
        <x:v>1.153</x:v>
      </x:c>
      <x:c r="E809" s="73" t="n">
        <x:v>1.153</x:v>
      </x:c>
      <x:c r="F809" s="73" t="n">
        <x:v>1.153</x:v>
      </x:c>
      <x:c r="G809" s="74" t="n">
        <x:v>0.0034999999999999996</x:v>
      </x:c>
      <x:c r="H809" s="66" t="str">
        <x:v>深度梦扬量化套利0号净值20260911.xlsx</x:v>
      </x:c>
      <x:c r="I809" s="73" t="str">
        <x:f>""</x:f>
      </x:c>
      <x:c r="J809" s="74" t="str">
        <x:f>""</x:f>
      </x:c>
      <x:c r="K809" s="73" t="str">
        <x:f>""</x:f>
      </x:c>
      <x:c r="L809" s="74" t="str">
        <x:f>""</x:f>
      </x:c>
      <x:c r="M809" s="73" t="n">
        <x:f>MAX(M808,F809)</x:f>
        <x:v>1.153</x:v>
      </x:c>
      <x:c r="N809" s="74" t="n">
        <x:f>1-F809/M809</x:f>
        <x:v>0</x:v>
      </x:c>
    </x:row>
    <x:row r="810" ht="27" customHeight="1">
      <x:c r="A810" s="66" t="str">
        <x:v>SQD620</x:v>
      </x:c>
      <x:c r="B810" s="66" t="str">
        <x:v>深度梦扬量化套利0号</x:v>
      </x:c>
      <x:c r="C810" s="72" t="n">
        <x:v>45086</x:v>
      </x:c>
      <x:c r="D810" s="73" t="n">
        <x:v>1.154</x:v>
      </x:c>
      <x:c r="E810" s="73" t="n">
        <x:v>1.154</x:v>
      </x:c>
      <x:c r="F810" s="73" t="n">
        <x:v>1.154</x:v>
      </x:c>
      <x:c r="G810" s="74" t="n">
        <x:v>0.0009</x:v>
      </x:c>
      <x:c r="H810" s="66" t="str">
        <x:v>深度梦扬量化套利0号净值20260911.xlsx</x:v>
      </x:c>
      <x:c r="I810" s="73" t="str">
        <x:f>""</x:f>
      </x:c>
      <x:c r="J810" s="74" t="str">
        <x:f>""</x:f>
      </x:c>
      <x:c r="K810" s="73" t="str">
        <x:f>""</x:f>
      </x:c>
      <x:c r="L810" s="74" t="str">
        <x:f>""</x:f>
      </x:c>
      <x:c r="M810" s="73" t="n">
        <x:f>MAX(M809,F810)</x:f>
        <x:v>1.154</x:v>
      </x:c>
      <x:c r="N810" s="74" t="n">
        <x:f>1-F810/M810</x:f>
        <x:v>0</x:v>
      </x:c>
    </x:row>
    <x:row r="811" ht="27" customHeight="1">
      <x:c r="A811" s="66" t="str">
        <x:v>SQD620</x:v>
      </x:c>
      <x:c r="B811" s="66" t="str">
        <x:v>深度梦扬量化套利0号</x:v>
      </x:c>
      <x:c r="C811" s="72" t="n">
        <x:v>45092</x:v>
      </x:c>
      <x:c r="D811" s="73" t="n">
        <x:v>1.154</x:v>
      </x:c>
      <x:c r="E811" s="73" t="n">
        <x:v>1.154</x:v>
      </x:c>
      <x:c r="F811" s="73" t="n">
        <x:v>1.154</x:v>
      </x:c>
      <x:c r="G811" s="74" t="n">
        <x:v>0</x:v>
      </x:c>
      <x:c r="H811" s="66" t="str">
        <x:v>深度梦扬量化套利0号净值20260911.xlsx</x:v>
      </x:c>
      <x:c r="I811" s="73" t="str">
        <x:f>""</x:f>
      </x:c>
      <x:c r="J811" s="74" t="str">
        <x:f>""</x:f>
      </x:c>
      <x:c r="K811" s="73" t="str">
        <x:f>""</x:f>
      </x:c>
      <x:c r="L811" s="74" t="str">
        <x:f>""</x:f>
      </x:c>
      <x:c r="M811" s="73" t="n">
        <x:f>MAX(M810,F811)</x:f>
        <x:v>1.154</x:v>
      </x:c>
      <x:c r="N811" s="74" t="n">
        <x:f>1-F811/M811</x:f>
        <x:v>0</x:v>
      </x:c>
    </x:row>
    <x:row r="812" ht="27" customHeight="1">
      <x:c r="A812" s="66" t="str">
        <x:v>SQD620</x:v>
      </x:c>
      <x:c r="B812" s="66" t="str">
        <x:v>深度梦扬量化套利0号</x:v>
      </x:c>
      <x:c r="C812" s="72" t="n">
        <x:v>45093</x:v>
      </x:c>
      <x:c r="D812" s="73" t="n">
        <x:v>1.152</x:v>
      </x:c>
      <x:c r="E812" s="73" t="n">
        <x:v>1.152</x:v>
      </x:c>
      <x:c r="F812" s="73" t="n">
        <x:v>1.152</x:v>
      </x:c>
      <x:c r="G812" s="74" t="n">
        <x:v>-0.0017000000000000001</x:v>
      </x:c>
      <x:c r="H812" s="66" t="str">
        <x:v>深度梦扬量化套利0号净值20260911.xlsx</x:v>
      </x:c>
      <x:c r="I812" s="73" t="str">
        <x:f>""</x:f>
      </x:c>
      <x:c r="J812" s="74" t="str">
        <x:f>""</x:f>
      </x:c>
      <x:c r="K812" s="73" t="str">
        <x:f>""</x:f>
      </x:c>
      <x:c r="L812" s="74" t="str">
        <x:f>""</x:f>
      </x:c>
      <x:c r="M812" s="73" t="n">
        <x:f>MAX(M811,F812)</x:f>
        <x:v>1.154</x:v>
      </x:c>
      <x:c r="N812" s="74" t="n">
        <x:f>1-F812/M812</x:f>
        <x:v>0.0017331022530329143</x:v>
      </x:c>
    </x:row>
    <x:row r="813" ht="27" customHeight="1">
      <x:c r="A813" s="66" t="str">
        <x:v>SQD620</x:v>
      </x:c>
      <x:c r="B813" s="66" t="str">
        <x:v>深度梦扬量化套利0号</x:v>
      </x:c>
      <x:c r="C813" s="72" t="n">
        <x:v>45098</x:v>
      </x:c>
      <x:c r="D813" s="73" t="n">
        <x:v>1.156</x:v>
      </x:c>
      <x:c r="E813" s="73" t="n">
        <x:v>1.156</x:v>
      </x:c>
      <x:c r="F813" s="73" t="n">
        <x:v>1.156</x:v>
      </x:c>
      <x:c r="G813" s="74" t="n">
        <x:v>0.0034999999999999996</x:v>
      </x:c>
      <x:c r="H813" s="66" t="str">
        <x:v>深度梦扬量化套利0号净值20260911.xlsx</x:v>
      </x:c>
      <x:c r="I813" s="73" t="str">
        <x:f>""</x:f>
      </x:c>
      <x:c r="J813" s="74" t="str">
        <x:f>""</x:f>
      </x:c>
      <x:c r="K813" s="73" t="str">
        <x:f>""</x:f>
      </x:c>
      <x:c r="L813" s="74" t="str">
        <x:f>""</x:f>
      </x:c>
      <x:c r="M813" s="73" t="n">
        <x:f>MAX(M812,F813)</x:f>
        <x:v>1.156</x:v>
      </x:c>
      <x:c r="N813" s="74" t="n">
        <x:f>1-F813/M813</x:f>
        <x:v>0</x:v>
      </x:c>
    </x:row>
    <x:row r="814" ht="27" customHeight="1">
      <x:c r="A814" s="66" t="str">
        <x:v>SQD620</x:v>
      </x:c>
      <x:c r="B814" s="66" t="str">
        <x:v>深度梦扬量化套利0号</x:v>
      </x:c>
      <x:c r="C814" s="72" t="n">
        <x:v>45103</x:v>
      </x:c>
      <x:c r="D814" s="73" t="n">
        <x:v>1.155</x:v>
      </x:c>
      <x:c r="E814" s="73" t="n">
        <x:v>1.155</x:v>
      </x:c>
      <x:c r="F814" s="73" t="n">
        <x:v>1.155</x:v>
      </x:c>
      <x:c r="G814" s="74" t="n">
        <x:v>-0.0009</x:v>
      </x:c>
      <x:c r="H814" s="66" t="str">
        <x:v>深度梦扬量化套利0号净值20260911.xlsx</x:v>
      </x:c>
      <x:c r="I814" s="73" t="str">
        <x:f>""</x:f>
      </x:c>
      <x:c r="J814" s="74" t="str">
        <x:f>""</x:f>
      </x:c>
      <x:c r="K814" s="73" t="str">
        <x:f>""</x:f>
      </x:c>
      <x:c r="L814" s="74" t="str">
        <x:f>""</x:f>
      </x:c>
      <x:c r="M814" s="73" t="n">
        <x:f>MAX(M813,F814)</x:f>
        <x:v>1.156</x:v>
      </x:c>
      <x:c r="N814" s="74" t="n">
        <x:f>1-F814/M814</x:f>
        <x:v>0.0008650519031141446</x:v>
      </x:c>
    </x:row>
    <x:row r="815" ht="27" customHeight="1">
      <x:c r="A815" s="66" t="str">
        <x:v>SQD620</x:v>
      </x:c>
      <x:c r="B815" s="66" t="str">
        <x:v>深度梦扬量化套利0号</x:v>
      </x:c>
      <x:c r="C815" s="72" t="n">
        <x:v>45106</x:v>
      </x:c>
      <x:c r="D815" s="73" t="n">
        <x:v>1.155</x:v>
      </x:c>
      <x:c r="E815" s="73" t="n">
        <x:v>1.155</x:v>
      </x:c>
      <x:c r="F815" s="73" t="n">
        <x:v>1.155</x:v>
      </x:c>
      <x:c r="G815" s="74" t="n">
        <x:v>0</x:v>
      </x:c>
      <x:c r="H815" s="66" t="str">
        <x:v>深度梦扬量化套利0号净值20260911.xlsx</x:v>
      </x:c>
      <x:c r="I815" s="73" t="str">
        <x:f>""</x:f>
      </x:c>
      <x:c r="J815" s="74" t="str">
        <x:f>""</x:f>
      </x:c>
      <x:c r="K815" s="73" t="str">
        <x:f>""</x:f>
      </x:c>
      <x:c r="L815" s="74" t="str">
        <x:f>""</x:f>
      </x:c>
      <x:c r="M815" s="73" t="n">
        <x:f>MAX(M814,F815)</x:f>
        <x:v>1.156</x:v>
      </x:c>
      <x:c r="N815" s="74" t="n">
        <x:f>1-F815/M815</x:f>
        <x:v>0.0008650519031141446</x:v>
      </x:c>
    </x:row>
    <x:row r="816" ht="27" customHeight="1">
      <x:c r="A816" s="66" t="str">
        <x:v>SQD620</x:v>
      </x:c>
      <x:c r="B816" s="66" t="str">
        <x:v>深度梦扬量化套利0号</x:v>
      </x:c>
      <x:c r="C816" s="72" t="n">
        <x:v>45107</x:v>
      </x:c>
      <x:c r="D816" s="73" t="n">
        <x:v>1.156</x:v>
      </x:c>
      <x:c r="E816" s="73" t="n">
        <x:v>1.156</x:v>
      </x:c>
      <x:c r="F816" s="73" t="n">
        <x:v>1.156</x:v>
      </x:c>
      <x:c r="G816" s="74" t="n">
        <x:v>0.0009</x:v>
      </x:c>
      <x:c r="H816" s="66" t="str">
        <x:v>深度梦扬量化套利0号净值20260911.xlsx</x:v>
      </x:c>
      <x:c r="I816" s="73" t="str">
        <x:f>""</x:f>
      </x:c>
      <x:c r="J816" s="74" t="str">
        <x:f>""</x:f>
      </x:c>
      <x:c r="K816" s="73" t="str">
        <x:f>""</x:f>
      </x:c>
      <x:c r="L816" s="74" t="str">
        <x:f>""</x:f>
      </x:c>
      <x:c r="M816" s="73" t="n">
        <x:f>MAX(M815,F816)</x:f>
        <x:v>1.156</x:v>
      </x:c>
      <x:c r="N816" s="74" t="n">
        <x:f>1-F816/M816</x:f>
        <x:v>0</x:v>
      </x:c>
    </x:row>
    <x:row r="817" ht="27" customHeight="1">
      <x:c r="A817" s="66" t="str">
        <x:v>SQD620</x:v>
      </x:c>
      <x:c r="B817" s="66" t="str">
        <x:v>深度梦扬量化套利0号</x:v>
      </x:c>
      <x:c r="C817" s="72" t="n">
        <x:v>45113</x:v>
      </x:c>
      <x:c r="D817" s="73" t="n">
        <x:v>1.155</x:v>
      </x:c>
      <x:c r="E817" s="73" t="n">
        <x:v>1.155</x:v>
      </x:c>
      <x:c r="F817" s="73" t="n">
        <x:v>1.155</x:v>
      </x:c>
      <x:c r="G817" s="74" t="n">
        <x:v>-0.0009</x:v>
      </x:c>
      <x:c r="H817" s="66" t="str">
        <x:v>深度梦扬量化套利0号净值20260911.xlsx</x:v>
      </x:c>
      <x:c r="I817" s="73" t="str">
        <x:f>""</x:f>
      </x:c>
      <x:c r="J817" s="74" t="str">
        <x:f>""</x:f>
      </x:c>
      <x:c r="K817" s="73" t="str">
        <x:f>""</x:f>
      </x:c>
      <x:c r="L817" s="74" t="str">
        <x:f>""</x:f>
      </x:c>
      <x:c r="M817" s="73" t="n">
        <x:f>MAX(M816,F817)</x:f>
        <x:v>1.156</x:v>
      </x:c>
      <x:c r="N817" s="74" t="n">
        <x:f>1-F817/M817</x:f>
        <x:v>0.0008650519031141446</x:v>
      </x:c>
    </x:row>
    <x:row r="818" ht="27" customHeight="1">
      <x:c r="A818" s="66" t="str">
        <x:v>SQD620</x:v>
      </x:c>
      <x:c r="B818" s="66" t="str">
        <x:v>深度梦扬量化套利0号</x:v>
      </x:c>
      <x:c r="C818" s="72" t="n">
        <x:v>45114</x:v>
      </x:c>
      <x:c r="D818" s="73" t="n">
        <x:v>1.156</x:v>
      </x:c>
      <x:c r="E818" s="73" t="n">
        <x:v>1.156</x:v>
      </x:c>
      <x:c r="F818" s="73" t="n">
        <x:v>1.156</x:v>
      </x:c>
      <x:c r="G818" s="74" t="n">
        <x:v>0.0009</x:v>
      </x:c>
      <x:c r="H818" s="66" t="str">
        <x:v>深度梦扬量化套利0号净值20260911.xlsx</x:v>
      </x:c>
      <x:c r="I818" s="73" t="str">
        <x:f>""</x:f>
      </x:c>
      <x:c r="J818" s="74" t="str">
        <x:f>""</x:f>
      </x:c>
      <x:c r="K818" s="73" t="str">
        <x:f>""</x:f>
      </x:c>
      <x:c r="L818" s="74" t="str">
        <x:f>""</x:f>
      </x:c>
      <x:c r="M818" s="73" t="n">
        <x:f>MAX(M817,F818)</x:f>
        <x:v>1.156</x:v>
      </x:c>
      <x:c r="N818" s="74" t="n">
        <x:f>1-F818/M818</x:f>
        <x:v>0</x:v>
      </x:c>
    </x:row>
    <x:row r="819" ht="27" customHeight="1">
      <x:c r="A819" s="66" t="str">
        <x:v>SQD620</x:v>
      </x:c>
      <x:c r="B819" s="66" t="str">
        <x:v>深度梦扬量化套利0号</x:v>
      </x:c>
      <x:c r="C819" s="72" t="n">
        <x:v>45120</x:v>
      </x:c>
      <x:c r="D819" s="73" t="n">
        <x:v>1.155</x:v>
      </x:c>
      <x:c r="E819" s="73" t="n">
        <x:v>1.155</x:v>
      </x:c>
      <x:c r="F819" s="73" t="n">
        <x:v>1.155</x:v>
      </x:c>
      <x:c r="G819" s="74" t="n">
        <x:v>-0.0009</x:v>
      </x:c>
      <x:c r="H819" s="66" t="str">
        <x:v>深度梦扬量化套利0号净值20260911.xlsx</x:v>
      </x:c>
      <x:c r="I819" s="73" t="str">
        <x:f>""</x:f>
      </x:c>
      <x:c r="J819" s="74" t="str">
        <x:f>""</x:f>
      </x:c>
      <x:c r="K819" s="73" t="str">
        <x:f>""</x:f>
      </x:c>
      <x:c r="L819" s="74" t="str">
        <x:f>""</x:f>
      </x:c>
      <x:c r="M819" s="73" t="n">
        <x:f>MAX(M818,F819)</x:f>
        <x:v>1.156</x:v>
      </x:c>
      <x:c r="N819" s="74" t="n">
        <x:f>1-F819/M819</x:f>
        <x:v>0.0008650519031141446</x:v>
      </x:c>
    </x:row>
    <x:row r="820" ht="27" customHeight="1">
      <x:c r="A820" s="66" t="str">
        <x:v>SQD620</x:v>
      </x:c>
      <x:c r="B820" s="66" t="str">
        <x:v>深度梦扬量化套利0号</x:v>
      </x:c>
      <x:c r="C820" s="72" t="n">
        <x:v>45121</x:v>
      </x:c>
      <x:c r="D820" s="73" t="n">
        <x:v>1.155</x:v>
      </x:c>
      <x:c r="E820" s="73" t="n">
        <x:v>1.155</x:v>
      </x:c>
      <x:c r="F820" s="73" t="n">
        <x:v>1.155</x:v>
      </x:c>
      <x:c r="G820" s="74" t="n">
        <x:v>0</x:v>
      </x:c>
      <x:c r="H820" s="66" t="str">
        <x:v>深度梦扬量化套利0号净值20260911.xlsx</x:v>
      </x:c>
      <x:c r="I820" s="73" t="str">
        <x:f>""</x:f>
      </x:c>
      <x:c r="J820" s="74" t="str">
        <x:f>""</x:f>
      </x:c>
      <x:c r="K820" s="73" t="str">
        <x:f>""</x:f>
      </x:c>
      <x:c r="L820" s="74" t="str">
        <x:f>""</x:f>
      </x:c>
      <x:c r="M820" s="73" t="n">
        <x:f>MAX(M819,F820)</x:f>
        <x:v>1.156</x:v>
      </x:c>
      <x:c r="N820" s="74" t="n">
        <x:f>1-F820/M820</x:f>
        <x:v>0.0008650519031141446</x:v>
      </x:c>
    </x:row>
    <x:row r="821" ht="27" customHeight="1">
      <x:c r="A821" s="66" t="str">
        <x:v>SQD620</x:v>
      </x:c>
      <x:c r="B821" s="66" t="str">
        <x:v>深度梦扬量化套利0号</x:v>
      </x:c>
      <x:c r="C821" s="72" t="n">
        <x:v>45127</x:v>
      </x:c>
      <x:c r="D821" s="73" t="n">
        <x:v>1.151</x:v>
      </x:c>
      <x:c r="E821" s="73" t="n">
        <x:v>1.151</x:v>
      </x:c>
      <x:c r="F821" s="73" t="n">
        <x:v>1.151</x:v>
      </x:c>
      <x:c r="G821" s="74" t="n">
        <x:v>-0.0034999999999999996</x:v>
      </x:c>
      <x:c r="H821" s="66" t="str">
        <x:v>深度梦扬量化套利0号净值20260911.xlsx</x:v>
      </x:c>
      <x:c r="I821" s="73" t="str">
        <x:f>""</x:f>
      </x:c>
      <x:c r="J821" s="74" t="str">
        <x:f>""</x:f>
      </x:c>
      <x:c r="K821" s="73" t="str">
        <x:f>""</x:f>
      </x:c>
      <x:c r="L821" s="74" t="str">
        <x:f>""</x:f>
      </x:c>
      <x:c r="M821" s="73" t="n">
        <x:f>MAX(M820,F821)</x:f>
        <x:v>1.156</x:v>
      </x:c>
      <x:c r="N821" s="74" t="n">
        <x:f>1-F821/M821</x:f>
        <x:v>0.004325259515570834</x:v>
      </x:c>
    </x:row>
    <x:row r="822" ht="27" customHeight="1">
      <x:c r="A822" s="66" t="str">
        <x:v>SQD620</x:v>
      </x:c>
      <x:c r="B822" s="66" t="str">
        <x:v>深度梦扬量化套利0号</x:v>
      </x:c>
      <x:c r="C822" s="72" t="n">
        <x:v>45128</x:v>
      </x:c>
      <x:c r="D822" s="73" t="n">
        <x:v>1.157</x:v>
      </x:c>
      <x:c r="E822" s="73" t="n">
        <x:v>1.157</x:v>
      </x:c>
      <x:c r="F822" s="73" t="n">
        <x:v>1.157</x:v>
      </x:c>
      <x:c r="G822" s="74" t="n">
        <x:v>0.0052</x:v>
      </x:c>
      <x:c r="H822" s="66" t="str">
        <x:v>深度梦扬量化套利0号净值20260911.xlsx</x:v>
      </x:c>
      <x:c r="I822" s="73" t="str">
        <x:f>""</x:f>
      </x:c>
      <x:c r="J822" s="74" t="str">
        <x:f>""</x:f>
      </x:c>
      <x:c r="K822" s="73" t="str">
        <x:f>""</x:f>
      </x:c>
      <x:c r="L822" s="74" t="str">
        <x:f>""</x:f>
      </x:c>
      <x:c r="M822" s="73" t="n">
        <x:f>MAX(M821,F822)</x:f>
        <x:v>1.157</x:v>
      </x:c>
      <x:c r="N822" s="74" t="n">
        <x:f>1-F822/M822</x:f>
        <x:v>0</x:v>
      </x:c>
    </x:row>
    <x:row r="823" ht="27" customHeight="1">
      <x:c r="A823" s="66" t="str">
        <x:v>SQD620</x:v>
      </x:c>
      <x:c r="B823" s="66" t="str">
        <x:v>深度梦扬量化套利0号</x:v>
      </x:c>
      <x:c r="C823" s="72" t="n">
        <x:v>45134</x:v>
      </x:c>
      <x:c r="D823" s="73" t="n">
        <x:v>1.158</x:v>
      </x:c>
      <x:c r="E823" s="73" t="n">
        <x:v>1.158</x:v>
      </x:c>
      <x:c r="F823" s="73" t="n">
        <x:v>1.158</x:v>
      </x:c>
      <x:c r="G823" s="74" t="n">
        <x:v>0.0009</x:v>
      </x:c>
      <x:c r="H823" s="66" t="str">
        <x:v>深度梦扬量化套利0号净值20260911.xlsx</x:v>
      </x:c>
      <x:c r="I823" s="73" t="str">
        <x:f>""</x:f>
      </x:c>
      <x:c r="J823" s="74" t="str">
        <x:f>""</x:f>
      </x:c>
      <x:c r="K823" s="73" t="str">
        <x:f>""</x:f>
      </x:c>
      <x:c r="L823" s="74" t="str">
        <x:f>""</x:f>
      </x:c>
      <x:c r="M823" s="73" t="n">
        <x:f>MAX(M822,F823)</x:f>
        <x:v>1.158</x:v>
      </x:c>
      <x:c r="N823" s="74" t="n">
        <x:f>1-F823/M823</x:f>
        <x:v>0</x:v>
      </x:c>
    </x:row>
    <x:row r="824" ht="27" customHeight="1">
      <x:c r="A824" s="66" t="str">
        <x:v>SQD620</x:v>
      </x:c>
      <x:c r="B824" s="66" t="str">
        <x:v>深度梦扬量化套利0号</x:v>
      </x:c>
      <x:c r="C824" s="72" t="n">
        <x:v>45135</x:v>
      </x:c>
      <x:c r="D824" s="73" t="n">
        <x:v>1.159</x:v>
      </x:c>
      <x:c r="E824" s="73" t="n">
        <x:v>1.159</x:v>
      </x:c>
      <x:c r="F824" s="73" t="n">
        <x:v>1.159</x:v>
      </x:c>
      <x:c r="G824" s="74" t="n">
        <x:v>0.0009</x:v>
      </x:c>
      <x:c r="H824" s="66" t="str">
        <x:v>深度梦扬量化套利0号净值20260911.xlsx</x:v>
      </x:c>
      <x:c r="I824" s="73" t="str">
        <x:f>""</x:f>
      </x:c>
      <x:c r="J824" s="74" t="str">
        <x:f>""</x:f>
      </x:c>
      <x:c r="K824" s="73" t="str">
        <x:f>""</x:f>
      </x:c>
      <x:c r="L824" s="74" t="str">
        <x:f>""</x:f>
      </x:c>
      <x:c r="M824" s="73" t="n">
        <x:f>MAX(M823,F824)</x:f>
        <x:v>1.159</x:v>
      </x:c>
      <x:c r="N824" s="74" t="n">
        <x:f>1-F824/M824</x:f>
        <x:v>0</x:v>
      </x:c>
    </x:row>
    <x:row r="825" ht="27" customHeight="1">
      <x:c r="A825" s="66" t="str">
        <x:v>SQD620</x:v>
      </x:c>
      <x:c r="B825" s="66" t="str">
        <x:v>深度梦扬量化套利0号</x:v>
      </x:c>
      <x:c r="C825" s="72" t="n">
        <x:v>45138</x:v>
      </x:c>
      <x:c r="D825" s="73" t="n">
        <x:v>1.159</x:v>
      </x:c>
      <x:c r="E825" s="73" t="n">
        <x:v>1.159</x:v>
      </x:c>
      <x:c r="F825" s="73" t="n">
        <x:v>1.159</x:v>
      </x:c>
      <x:c r="G825" s="74" t="n">
        <x:v>0</x:v>
      </x:c>
      <x:c r="H825" s="66" t="str">
        <x:v>深度梦扬量化套利0号净值20260911.xlsx</x:v>
      </x:c>
      <x:c r="I825" s="73" t="str">
        <x:f>""</x:f>
      </x:c>
      <x:c r="J825" s="74" t="str">
        <x:f>""</x:f>
      </x:c>
      <x:c r="K825" s="73" t="str">
        <x:f>""</x:f>
      </x:c>
      <x:c r="L825" s="74" t="str">
        <x:f>""</x:f>
      </x:c>
      <x:c r="M825" s="73" t="n">
        <x:f>MAX(M824,F825)</x:f>
        <x:v>1.159</x:v>
      </x:c>
      <x:c r="N825" s="74" t="n">
        <x:f>1-F825/M825</x:f>
        <x:v>0</x:v>
      </x:c>
    </x:row>
    <x:row r="826" ht="27" customHeight="1">
      <x:c r="A826" s="66" t="str">
        <x:v>SQD620</x:v>
      </x:c>
      <x:c r="B826" s="66" t="str">
        <x:v>深度梦扬量化套利0号</x:v>
      </x:c>
      <x:c r="C826" s="72" t="n">
        <x:v>45141</x:v>
      </x:c>
      <x:c r="D826" s="73" t="n">
        <x:v>1.159</x:v>
      </x:c>
      <x:c r="E826" s="73" t="n">
        <x:v>1.159</x:v>
      </x:c>
      <x:c r="F826" s="73" t="n">
        <x:v>1.159</x:v>
      </x:c>
      <x:c r="G826" s="74" t="n">
        <x:v>0</x:v>
      </x:c>
      <x:c r="H826" s="66" t="str">
        <x:v>深度梦扬量化套利0号净值20260911.xlsx</x:v>
      </x:c>
      <x:c r="I826" s="73" t="str">
        <x:f>""</x:f>
      </x:c>
      <x:c r="J826" s="74" t="str">
        <x:f>""</x:f>
      </x:c>
      <x:c r="K826" s="73" t="str">
        <x:f>""</x:f>
      </x:c>
      <x:c r="L826" s="74" t="str">
        <x:f>""</x:f>
      </x:c>
      <x:c r="M826" s="73" t="n">
        <x:f>MAX(M825,F826)</x:f>
        <x:v>1.159</x:v>
      </x:c>
      <x:c r="N826" s="74" t="n">
        <x:f>1-F826/M826</x:f>
        <x:v>0</x:v>
      </x:c>
    </x:row>
    <x:row r="827" ht="27" customHeight="1">
      <x:c r="A827" s="66" t="str">
        <x:v>SQD620</x:v>
      </x:c>
      <x:c r="B827" s="66" t="str">
        <x:v>深度梦扬量化套利0号</x:v>
      </x:c>
      <x:c r="C827" s="72" t="n">
        <x:v>45142</x:v>
      </x:c>
      <x:c r="D827" s="73" t="n">
        <x:v>1.161</x:v>
      </x:c>
      <x:c r="E827" s="73" t="n">
        <x:v>1.161</x:v>
      </x:c>
      <x:c r="F827" s="73" t="n">
        <x:v>1.161</x:v>
      </x:c>
      <x:c r="G827" s="74" t="n">
        <x:v>0.0017000000000000001</x:v>
      </x:c>
      <x:c r="H827" s="66" t="str">
        <x:v>深度梦扬量化套利0号净值20260911.xlsx</x:v>
      </x:c>
      <x:c r="I827" s="73" t="str">
        <x:f>""</x:f>
      </x:c>
      <x:c r="J827" s="74" t="str">
        <x:f>""</x:f>
      </x:c>
      <x:c r="K827" s="73" t="str">
        <x:f>""</x:f>
      </x:c>
      <x:c r="L827" s="74" t="str">
        <x:f>""</x:f>
      </x:c>
      <x:c r="M827" s="73" t="n">
        <x:f>MAX(M826,F827)</x:f>
        <x:v>1.161</x:v>
      </x:c>
      <x:c r="N827" s="74" t="n">
        <x:f>1-F827/M827</x:f>
        <x:v>0</x:v>
      </x:c>
    </x:row>
    <x:row r="828" ht="27" customHeight="1">
      <x:c r="A828" s="66" t="str">
        <x:v>SQD620</x:v>
      </x:c>
      <x:c r="B828" s="66" t="str">
        <x:v>深度梦扬量化套利0号</x:v>
      </x:c>
      <x:c r="C828" s="72" t="n">
        <x:v>45148</x:v>
      </x:c>
      <x:c r="D828" s="73" t="n">
        <x:v>1.158</x:v>
      </x:c>
      <x:c r="E828" s="73" t="n">
        <x:v>1.158</x:v>
      </x:c>
      <x:c r="F828" s="73" t="n">
        <x:v>1.158</x:v>
      </x:c>
      <x:c r="G828" s="74" t="n">
        <x:v>-0.0026</x:v>
      </x:c>
      <x:c r="H828" s="66" t="str">
        <x:v>深度梦扬量化套利0号净值20260911.xlsx</x:v>
      </x:c>
      <x:c r="I828" s="73" t="str">
        <x:f>""</x:f>
      </x:c>
      <x:c r="J828" s="74" t="str">
        <x:f>""</x:f>
      </x:c>
      <x:c r="K828" s="73" t="str">
        <x:f>""</x:f>
      </x:c>
      <x:c r="L828" s="74" t="str">
        <x:f>""</x:f>
      </x:c>
      <x:c r="M828" s="73" t="n">
        <x:f>MAX(M827,F828)</x:f>
        <x:v>1.161</x:v>
      </x:c>
      <x:c r="N828" s="74" t="n">
        <x:f>1-F828/M828</x:f>
        <x:v>0.0025839793281654533</x:v>
      </x:c>
    </x:row>
    <x:row r="829" ht="27" customHeight="1">
      <x:c r="A829" s="66" t="str">
        <x:v>SQD620</x:v>
      </x:c>
      <x:c r="B829" s="66" t="str">
        <x:v>深度梦扬量化套利0号</x:v>
      </x:c>
      <x:c r="C829" s="72" t="n">
        <x:v>45149</x:v>
      </x:c>
      <x:c r="D829" s="73" t="n">
        <x:v>1.164</x:v>
      </x:c>
      <x:c r="E829" s="73" t="n">
        <x:v>1.164</x:v>
      </x:c>
      <x:c r="F829" s="73" t="n">
        <x:v>1.164</x:v>
      </x:c>
      <x:c r="G829" s="74" t="n">
        <x:v>0.0052</x:v>
      </x:c>
      <x:c r="H829" s="66" t="str">
        <x:v>深度梦扬量化套利0号净值20260911.xlsx</x:v>
      </x:c>
      <x:c r="I829" s="73" t="str">
        <x:f>""</x:f>
      </x:c>
      <x:c r="J829" s="74" t="str">
        <x:f>""</x:f>
      </x:c>
      <x:c r="K829" s="73" t="str">
        <x:f>""</x:f>
      </x:c>
      <x:c r="L829" s="74" t="str">
        <x:f>""</x:f>
      </x:c>
      <x:c r="M829" s="73" t="n">
        <x:f>MAX(M828,F829)</x:f>
        <x:v>1.164</x:v>
      </x:c>
      <x:c r="N829" s="74" t="n">
        <x:f>1-F829/M829</x:f>
        <x:v>0</x:v>
      </x:c>
    </x:row>
    <x:row r="830" ht="27" customHeight="1">
      <x:c r="A830" s="66" t="str">
        <x:v>SQD620</x:v>
      </x:c>
      <x:c r="B830" s="66" t="str">
        <x:v>深度梦扬量化套利0号</x:v>
      </x:c>
      <x:c r="C830" s="72" t="n">
        <x:v>45155</x:v>
      </x:c>
      <x:c r="D830" s="73" t="n">
        <x:v>1.163</x:v>
      </x:c>
      <x:c r="E830" s="73" t="n">
        <x:v>1.163</x:v>
      </x:c>
      <x:c r="F830" s="73" t="n">
        <x:v>1.163</x:v>
      </x:c>
      <x:c r="G830" s="74" t="n">
        <x:v>-0.0009</x:v>
      </x:c>
      <x:c r="H830" s="66" t="str">
        <x:v>深度梦扬量化套利0号净值20260911.xlsx</x:v>
      </x:c>
      <x:c r="I830" s="73" t="str">
        <x:f>""</x:f>
      </x:c>
      <x:c r="J830" s="74" t="str">
        <x:f>""</x:f>
      </x:c>
      <x:c r="K830" s="73" t="str">
        <x:f>""</x:f>
      </x:c>
      <x:c r="L830" s="74" t="str">
        <x:f>""</x:f>
      </x:c>
      <x:c r="M830" s="73" t="n">
        <x:f>MAX(M829,F830)</x:f>
        <x:v>1.164</x:v>
      </x:c>
      <x:c r="N830" s="74" t="n">
        <x:f>1-F830/M830</x:f>
        <x:v>0.0008591065292095079</x:v>
      </x:c>
    </x:row>
    <x:row r="831" ht="27" customHeight="1">
      <x:c r="A831" s="66" t="str">
        <x:v>SQD620</x:v>
      </x:c>
      <x:c r="B831" s="66" t="str">
        <x:v>深度梦扬量化套利0号</x:v>
      </x:c>
      <x:c r="C831" s="72" t="n">
        <x:v>45156</x:v>
      </x:c>
      <x:c r="D831" s="73" t="n">
        <x:v>1.163</x:v>
      </x:c>
      <x:c r="E831" s="73" t="n">
        <x:v>1.163</x:v>
      </x:c>
      <x:c r="F831" s="73" t="n">
        <x:v>1.163</x:v>
      </x:c>
      <x:c r="G831" s="74" t="n">
        <x:v>0</x:v>
      </x:c>
      <x:c r="H831" s="66" t="str">
        <x:v>深度梦扬量化套利0号净值20260911.xlsx</x:v>
      </x:c>
      <x:c r="I831" s="73" t="str">
        <x:f>""</x:f>
      </x:c>
      <x:c r="J831" s="74" t="str">
        <x:f>""</x:f>
      </x:c>
      <x:c r="K831" s="73" t="str">
        <x:f>""</x:f>
      </x:c>
      <x:c r="L831" s="74" t="str">
        <x:f>""</x:f>
      </x:c>
      <x:c r="M831" s="73" t="n">
        <x:f>MAX(M830,F831)</x:f>
        <x:v>1.164</x:v>
      </x:c>
      <x:c r="N831" s="74" t="n">
        <x:f>1-F831/M831</x:f>
        <x:v>0.0008591065292095079</x:v>
      </x:c>
    </x:row>
    <x:row r="832" ht="27" customHeight="1">
      <x:c r="A832" s="66" t="str">
        <x:v>SQD620</x:v>
      </x:c>
      <x:c r="B832" s="66" t="str">
        <x:v>深度梦扬量化套利0号</x:v>
      </x:c>
      <x:c r="C832" s="72" t="n">
        <x:v>45162</x:v>
      </x:c>
      <x:c r="D832" s="73" t="n">
        <x:v>1.163</x:v>
      </x:c>
      <x:c r="E832" s="73" t="n">
        <x:v>1.163</x:v>
      </x:c>
      <x:c r="F832" s="73" t="n">
        <x:v>1.163</x:v>
      </x:c>
      <x:c r="G832" s="74" t="n">
        <x:v>0</x:v>
      </x:c>
      <x:c r="H832" s="66" t="str">
        <x:v>深度梦扬量化套利0号净值20260911.xlsx</x:v>
      </x:c>
      <x:c r="I832" s="73" t="str">
        <x:f>""</x:f>
      </x:c>
      <x:c r="J832" s="74" t="str">
        <x:f>""</x:f>
      </x:c>
      <x:c r="K832" s="73" t="str">
        <x:f>""</x:f>
      </x:c>
      <x:c r="L832" s="74" t="str">
        <x:f>""</x:f>
      </x:c>
      <x:c r="M832" s="73" t="n">
        <x:f>MAX(M831,F832)</x:f>
        <x:v>1.164</x:v>
      </x:c>
      <x:c r="N832" s="74" t="n">
        <x:f>1-F832/M832</x:f>
        <x:v>0.0008591065292095079</x:v>
      </x:c>
    </x:row>
    <x:row r="833" ht="27" customHeight="1">
      <x:c r="A833" s="66" t="str">
        <x:v>SQD620</x:v>
      </x:c>
      <x:c r="B833" s="66" t="str">
        <x:v>深度梦扬量化套利0号</x:v>
      </x:c>
      <x:c r="C833" s="72" t="n">
        <x:v>45163</x:v>
      </x:c>
      <x:c r="D833" s="73" t="n">
        <x:v>1.165</x:v>
      </x:c>
      <x:c r="E833" s="73" t="n">
        <x:v>1.165</x:v>
      </x:c>
      <x:c r="F833" s="73" t="n">
        <x:v>1.165</x:v>
      </x:c>
      <x:c r="G833" s="74" t="n">
        <x:v>0.0017000000000000001</x:v>
      </x:c>
      <x:c r="H833" s="66" t="str">
        <x:v>深度梦扬量化套利0号净值20260911.xlsx</x:v>
      </x:c>
      <x:c r="I833" s="73" t="str">
        <x:f>""</x:f>
      </x:c>
      <x:c r="J833" s="74" t="str">
        <x:f>""</x:f>
      </x:c>
      <x:c r="K833" s="73" t="str">
        <x:f>""</x:f>
      </x:c>
      <x:c r="L833" s="74" t="str">
        <x:f>""</x:f>
      </x:c>
      <x:c r="M833" s="73" t="n">
        <x:f>MAX(M832,F833)</x:f>
        <x:v>1.165</x:v>
      </x:c>
      <x:c r="N833" s="74" t="n">
        <x:f>1-F833/M833</x:f>
        <x:v>0</x:v>
      </x:c>
    </x:row>
    <x:row r="834" ht="27" customHeight="1">
      <x:c r="A834" s="66" t="str">
        <x:v>SQD620</x:v>
      </x:c>
      <x:c r="B834" s="66" t="str">
        <x:v>深度梦扬量化套利0号</x:v>
      </x:c>
      <x:c r="C834" s="72" t="n">
        <x:v>45169</x:v>
      </x:c>
      <x:c r="D834" s="73" t="n">
        <x:v>1.171</x:v>
      </x:c>
      <x:c r="E834" s="73" t="n">
        <x:v>1.171</x:v>
      </x:c>
      <x:c r="F834" s="73" t="n">
        <x:v>1.171</x:v>
      </x:c>
      <x:c r="G834" s="74" t="n">
        <x:v>0.0052</x:v>
      </x:c>
      <x:c r="H834" s="66" t="str">
        <x:v>深度梦扬量化套利0号净值20260911.xlsx</x:v>
      </x:c>
      <x:c r="I834" s="73" t="str">
        <x:f>""</x:f>
      </x:c>
      <x:c r="J834" s="74" t="str">
        <x:f>""</x:f>
      </x:c>
      <x:c r="K834" s="73" t="str">
        <x:f>""</x:f>
      </x:c>
      <x:c r="L834" s="74" t="str">
        <x:f>""</x:f>
      </x:c>
      <x:c r="M834" s="73" t="n">
        <x:f>MAX(M833,F834)</x:f>
        <x:v>1.171</x:v>
      </x:c>
      <x:c r="N834" s="74" t="n">
        <x:f>1-F834/M834</x:f>
        <x:v>0</x:v>
      </x:c>
    </x:row>
    <x:row r="835" ht="27" customHeight="1">
      <x:c r="A835" s="66" t="str">
        <x:v>SQD620</x:v>
      </x:c>
      <x:c r="B835" s="66" t="str">
        <x:v>深度梦扬量化套利0号</x:v>
      </x:c>
      <x:c r="C835" s="72" t="n">
        <x:v>45170</x:v>
      </x:c>
      <x:c r="D835" s="73" t="n">
        <x:v>1.171</x:v>
      </x:c>
      <x:c r="E835" s="73" t="n">
        <x:v>1.171</x:v>
      </x:c>
      <x:c r="F835" s="73" t="n">
        <x:v>1.171</x:v>
      </x:c>
      <x:c r="G835" s="74" t="n">
        <x:v>0</x:v>
      </x:c>
      <x:c r="H835" s="66" t="str">
        <x:v>深度梦扬量化套利0号净值20260911.xlsx</x:v>
      </x:c>
      <x:c r="I835" s="73" t="str">
        <x:f>""</x:f>
      </x:c>
      <x:c r="J835" s="74" t="str">
        <x:f>""</x:f>
      </x:c>
      <x:c r="K835" s="73" t="n">
        <x:f>F835</x:f>
        <x:v>1.171</x:v>
      </x:c>
      <x:c r="L835" s="74" t="n">
        <x:f>1-F835/K835</x:f>
        <x:v>0</x:v>
      </x:c>
      <x:c r="M835" s="73" t="n">
        <x:f>MAX(M834,F835)</x:f>
        <x:v>1.171</x:v>
      </x:c>
      <x:c r="N835" s="74" t="n">
        <x:f>1-F835/M835</x:f>
        <x:v>0</x:v>
      </x:c>
    </x:row>
    <x:row r="836" ht="27" customHeight="1">
      <x:c r="A836" s="66" t="str">
        <x:v>SQD620</x:v>
      </x:c>
      <x:c r="B836" s="66" t="str">
        <x:v>深度梦扬量化套利0号</x:v>
      </x:c>
      <x:c r="C836" s="72" t="n">
        <x:v>45176</x:v>
      </x:c>
      <x:c r="D836" s="73" t="n">
        <x:v>1.173</x:v>
      </x:c>
      <x:c r="E836" s="73" t="n">
        <x:v>1.173</x:v>
      </x:c>
      <x:c r="F836" s="73" t="n">
        <x:v>1.173</x:v>
      </x:c>
      <x:c r="G836" s="74" t="n">
        <x:v>0.0017000000000000001</x:v>
      </x:c>
      <x:c r="H836" s="66" t="str">
        <x:v>深度梦扬量化套利0号净值20260911.xlsx</x:v>
      </x:c>
      <x:c r="I836" s="73" t="str">
        <x:f>""</x:f>
      </x:c>
      <x:c r="J836" s="74" t="str">
        <x:f>""</x:f>
      </x:c>
      <x:c r="K836" s="73" t="n">
        <x:f>MAX(K835,F836)</x:f>
        <x:v>1.173</x:v>
      </x:c>
      <x:c r="L836" s="74" t="n">
        <x:f>1-F836/K836</x:f>
        <x:v>0</x:v>
      </x:c>
      <x:c r="M836" s="73" t="n">
        <x:f>MAX(M835,F836)</x:f>
        <x:v>1.173</x:v>
      </x:c>
      <x:c r="N836" s="74" t="n">
        <x:f>1-F836/M836</x:f>
        <x:v>0</x:v>
      </x:c>
    </x:row>
    <x:row r="837" ht="27" customHeight="1">
      <x:c r="A837" s="66" t="str">
        <x:v>SQD620</x:v>
      </x:c>
      <x:c r="B837" s="66" t="str">
        <x:v>深度梦扬量化套利0号</x:v>
      </x:c>
      <x:c r="C837" s="72" t="n">
        <x:v>45177</x:v>
      </x:c>
      <x:c r="D837" s="73" t="n">
        <x:v>1.172</x:v>
      </x:c>
      <x:c r="E837" s="73" t="n">
        <x:v>1.172</x:v>
      </x:c>
      <x:c r="F837" s="73" t="n">
        <x:v>1.172</x:v>
      </x:c>
      <x:c r="G837" s="74" t="n">
        <x:v>-0.0009</x:v>
      </x:c>
      <x:c r="H837" s="66" t="str">
        <x:v>深度梦扬量化套利0号净值20260911.xlsx</x:v>
      </x:c>
      <x:c r="I837" s="73" t="str">
        <x:f>""</x:f>
      </x:c>
      <x:c r="J837" s="74" t="str">
        <x:f>""</x:f>
      </x:c>
      <x:c r="K837" s="73" t="n">
        <x:f>MAX(K836,F837)</x:f>
        <x:v>1.173</x:v>
      </x:c>
      <x:c r="L837" s="74" t="n">
        <x:f>1-F837/K837</x:f>
        <x:v>0.0008525149190111714</x:v>
      </x:c>
      <x:c r="M837" s="73" t="n">
        <x:f>MAX(M836,F837)</x:f>
        <x:v>1.173</x:v>
      </x:c>
      <x:c r="N837" s="74" t="n">
        <x:f>1-F837/M837</x:f>
        <x:v>0.0008525149190111714</x:v>
      </x:c>
    </x:row>
    <x:row r="838" ht="27" customHeight="1">
      <x:c r="A838" s="66" t="str">
        <x:v>SQD620</x:v>
      </x:c>
      <x:c r="B838" s="66" t="str">
        <x:v>深度梦扬量化套利0号</x:v>
      </x:c>
      <x:c r="C838" s="72" t="n">
        <x:v>45183</x:v>
      </x:c>
      <x:c r="D838" s="73" t="n">
        <x:v>1.172</x:v>
      </x:c>
      <x:c r="E838" s="73" t="n">
        <x:v>1.172</x:v>
      </x:c>
      <x:c r="F838" s="73" t="n">
        <x:v>1.172</x:v>
      </x:c>
      <x:c r="G838" s="74" t="n">
        <x:v>0</x:v>
      </x:c>
      <x:c r="H838" s="66" t="str">
        <x:v>深度梦扬量化套利0号净值20260911.xlsx</x:v>
      </x:c>
      <x:c r="I838" s="73" t="str">
        <x:f>""</x:f>
      </x:c>
      <x:c r="J838" s="74" t="str">
        <x:f>""</x:f>
      </x:c>
      <x:c r="K838" s="73" t="n">
        <x:f>MAX(K837,F838)</x:f>
        <x:v>1.173</x:v>
      </x:c>
      <x:c r="L838" s="74" t="n">
        <x:f>1-F838/K838</x:f>
        <x:v>0.0008525149190111714</x:v>
      </x:c>
      <x:c r="M838" s="73" t="n">
        <x:f>MAX(M837,F838)</x:f>
        <x:v>1.173</x:v>
      </x:c>
      <x:c r="N838" s="74" t="n">
        <x:f>1-F838/M838</x:f>
        <x:v>0.0008525149190111714</x:v>
      </x:c>
    </x:row>
    <x:row r="839" ht="27" customHeight="1">
      <x:c r="A839" s="66" t="str">
        <x:v>SQD620</x:v>
      </x:c>
      <x:c r="B839" s="66" t="str">
        <x:v>深度梦扬量化套利0号</x:v>
      </x:c>
      <x:c r="C839" s="72" t="n">
        <x:v>45184</x:v>
      </x:c>
      <x:c r="D839" s="73" t="n">
        <x:v>1.175</x:v>
      </x:c>
      <x:c r="E839" s="73" t="n">
        <x:v>1.175</x:v>
      </x:c>
      <x:c r="F839" s="73" t="n">
        <x:v>1.175</x:v>
      </x:c>
      <x:c r="G839" s="74" t="n">
        <x:v>0.0026</x:v>
      </x:c>
      <x:c r="H839" s="66" t="str">
        <x:v>深度梦扬量化套利0号净值20260911.xlsx</x:v>
      </x:c>
      <x:c r="I839" s="73" t="str">
        <x:f>""</x:f>
      </x:c>
      <x:c r="J839" s="74" t="str">
        <x:f>""</x:f>
      </x:c>
      <x:c r="K839" s="73" t="n">
        <x:f>MAX(K838,F839)</x:f>
        <x:v>1.175</x:v>
      </x:c>
      <x:c r="L839" s="74" t="n">
        <x:f>1-F839/K839</x:f>
        <x:v>0</x:v>
      </x:c>
      <x:c r="M839" s="73" t="n">
        <x:f>MAX(M838,F839)</x:f>
        <x:v>1.175</x:v>
      </x:c>
      <x:c r="N839" s="74" t="n">
        <x:f>1-F839/M839</x:f>
        <x:v>0</x:v>
      </x:c>
    </x:row>
    <x:row r="840" ht="27" customHeight="1">
      <x:c r="A840" s="66" t="str">
        <x:v>SQD620</x:v>
      </x:c>
      <x:c r="B840" s="66" t="str">
        <x:v>深度梦扬量化套利0号</x:v>
      </x:c>
      <x:c r="C840" s="72" t="n">
        <x:v>45190</x:v>
      </x:c>
      <x:c r="D840" s="73" t="n">
        <x:v>1.17</x:v>
      </x:c>
      <x:c r="E840" s="73" t="n">
        <x:v>1.17</x:v>
      </x:c>
      <x:c r="F840" s="73" t="n">
        <x:v>1.17</x:v>
      </x:c>
      <x:c r="G840" s="74" t="n">
        <x:v>-0.0043</x:v>
      </x:c>
      <x:c r="H840" s="66" t="str">
        <x:v>深度梦扬量化套利0号净值20260911.xlsx</x:v>
      </x:c>
      <x:c r="I840" s="73" t="str">
        <x:f>""</x:f>
      </x:c>
      <x:c r="J840" s="74" t="str">
        <x:f>""</x:f>
      </x:c>
      <x:c r="K840" s="73" t="n">
        <x:f>MAX(K839,F840)</x:f>
        <x:v>1.175</x:v>
      </x:c>
      <x:c r="L840" s="74" t="n">
        <x:f>1-F840/K840</x:f>
        <x:v>0.004255319148936287</x:v>
      </x:c>
      <x:c r="M840" s="73" t="n">
        <x:f>MAX(M839,F840)</x:f>
        <x:v>1.175</x:v>
      </x:c>
      <x:c r="N840" s="74" t="n">
        <x:f>1-F840/M840</x:f>
        <x:v>0.004255319148936287</x:v>
      </x:c>
    </x:row>
    <x:row r="841" ht="27" customHeight="1">
      <x:c r="A841" s="66" t="str">
        <x:v>SQD620</x:v>
      </x:c>
      <x:c r="B841" s="66" t="str">
        <x:v>深度梦扬量化套利0号</x:v>
      </x:c>
      <x:c r="C841" s="72" t="n">
        <x:v>45191</x:v>
      </x:c>
      <x:c r="D841" s="73" t="n">
        <x:v>1.178</x:v>
      </x:c>
      <x:c r="E841" s="73" t="n">
        <x:v>1.178</x:v>
      </x:c>
      <x:c r="F841" s="73" t="n">
        <x:v>1.178</x:v>
      </x:c>
      <x:c r="G841" s="74" t="n">
        <x:v>0.0068000000000000005</x:v>
      </x:c>
      <x:c r="H841" s="66" t="str">
        <x:v>深度梦扬量化套利0号净值20260911.xlsx</x:v>
      </x:c>
      <x:c r="I841" s="73" t="str">
        <x:f>""</x:f>
      </x:c>
      <x:c r="J841" s="74" t="str">
        <x:f>""</x:f>
      </x:c>
      <x:c r="K841" s="73" t="n">
        <x:f>MAX(K840,F841)</x:f>
        <x:v>1.178</x:v>
      </x:c>
      <x:c r="L841" s="74" t="n">
        <x:f>1-F841/K841</x:f>
        <x:v>0</x:v>
      </x:c>
      <x:c r="M841" s="73" t="n">
        <x:f>MAX(M840,F841)</x:f>
        <x:v>1.178</x:v>
      </x:c>
      <x:c r="N841" s="74" t="n">
        <x:f>1-F841/M841</x:f>
        <x:v>0</x:v>
      </x:c>
    </x:row>
    <x:row r="842" ht="27" customHeight="1">
      <x:c r="A842" s="66" t="str">
        <x:v>SQD620</x:v>
      </x:c>
      <x:c r="B842" s="66" t="str">
        <x:v>深度梦扬量化套利0号</x:v>
      </x:c>
      <x:c r="C842" s="72" t="n">
        <x:v>45197</x:v>
      </x:c>
      <x:c r="D842" s="73" t="n">
        <x:v>1.173</x:v>
      </x:c>
      <x:c r="E842" s="73" t="n">
        <x:v>1.173</x:v>
      </x:c>
      <x:c r="F842" s="73" t="n">
        <x:v>1.173</x:v>
      </x:c>
      <x:c r="G842" s="74" t="n">
        <x:v>-0.0042</x:v>
      </x:c>
      <x:c r="H842" s="66" t="str">
        <x:v>深度梦扬量化套利0号净值20260911.xlsx</x:v>
      </x:c>
      <x:c r="I842" s="73" t="str">
        <x:f>""</x:f>
      </x:c>
      <x:c r="J842" s="74" t="str">
        <x:f>""</x:f>
      </x:c>
      <x:c r="K842" s="73" t="n">
        <x:f>MAX(K841,F842)</x:f>
        <x:v>1.178</x:v>
      </x:c>
      <x:c r="L842" s="74" t="n">
        <x:f>1-F842/K842</x:f>
        <x:v>0.004244482173174746</x:v>
      </x:c>
      <x:c r="M842" s="73" t="n">
        <x:f>MAX(M841,F842)</x:f>
        <x:v>1.178</x:v>
      </x:c>
      <x:c r="N842" s="74" t="n">
        <x:f>1-F842/M842</x:f>
        <x:v>0.004244482173174746</x:v>
      </x:c>
    </x:row>
    <x:row r="843" ht="27" customHeight="1">
      <x:c r="A843" s="66" t="str">
        <x:v>SQD620</x:v>
      </x:c>
      <x:c r="B843" s="66" t="str">
        <x:v>深度梦扬量化套利0号</x:v>
      </x:c>
      <x:c r="C843" s="72" t="n">
        <x:v>45211</x:v>
      </x:c>
      <x:c r="D843" s="73" t="n">
        <x:v>1.174</x:v>
      </x:c>
      <x:c r="E843" s="73" t="n">
        <x:v>1.174</x:v>
      </x:c>
      <x:c r="F843" s="73" t="n">
        <x:v>1.174</x:v>
      </x:c>
      <x:c r="G843" s="74" t="n">
        <x:v>0.0009</x:v>
      </x:c>
      <x:c r="H843" s="66" t="str">
        <x:v>深度梦扬量化套利0号净值20260911.xlsx</x:v>
      </x:c>
      <x:c r="I843" s="73" t="str">
        <x:f>""</x:f>
      </x:c>
      <x:c r="J843" s="74" t="str">
        <x:f>""</x:f>
      </x:c>
      <x:c r="K843" s="73" t="n">
        <x:f>MAX(K842,F843)</x:f>
        <x:v>1.178</x:v>
      </x:c>
      <x:c r="L843" s="74" t="n">
        <x:f>1-F843/K843</x:f>
        <x:v>0.00339558573853993</x:v>
      </x:c>
      <x:c r="M843" s="73" t="n">
        <x:f>MAX(M842,F843)</x:f>
        <x:v>1.178</x:v>
      </x:c>
      <x:c r="N843" s="74" t="n">
        <x:f>1-F843/M843</x:f>
        <x:v>0.00339558573853993</x:v>
      </x:c>
    </x:row>
    <x:row r="844" ht="27" customHeight="1">
      <x:c r="A844" s="66" t="str">
        <x:v>SQD620</x:v>
      </x:c>
      <x:c r="B844" s="66" t="str">
        <x:v>深度梦扬量化套利0号</x:v>
      </x:c>
      <x:c r="C844" s="72" t="n">
        <x:v>45212</x:v>
      </x:c>
      <x:c r="D844" s="73" t="n">
        <x:v>1.175</x:v>
      </x:c>
      <x:c r="E844" s="73" t="n">
        <x:v>1.175</x:v>
      </x:c>
      <x:c r="F844" s="73" t="n">
        <x:v>1.175</x:v>
      </x:c>
      <x:c r="G844" s="74" t="n">
        <x:v>0.0009</x:v>
      </x:c>
      <x:c r="H844" s="66" t="str">
        <x:v>深度梦扬量化套利0号净值20260911.xlsx</x:v>
      </x:c>
      <x:c r="I844" s="73" t="str">
        <x:f>""</x:f>
      </x:c>
      <x:c r="J844" s="74" t="str">
        <x:f>""</x:f>
      </x:c>
      <x:c r="K844" s="73" t="n">
        <x:f>MAX(K843,F844)</x:f>
        <x:v>1.178</x:v>
      </x:c>
      <x:c r="L844" s="74" t="n">
        <x:f>1-F844/K844</x:f>
        <x:v>0.002546689303904781</x:v>
      </x:c>
      <x:c r="M844" s="73" t="n">
        <x:f>MAX(M843,F844)</x:f>
        <x:v>1.178</x:v>
      </x:c>
      <x:c r="N844" s="74" t="n">
        <x:f>1-F844/M844</x:f>
        <x:v>0.002546689303904781</x:v>
      </x:c>
    </x:row>
    <x:row r="845" ht="27" customHeight="1">
      <x:c r="A845" s="66" t="str">
        <x:v>SQD620</x:v>
      </x:c>
      <x:c r="B845" s="66" t="str">
        <x:v>深度梦扬量化套利0号</x:v>
      </x:c>
      <x:c r="C845" s="72" t="n">
        <x:v>45218</x:v>
      </x:c>
      <x:c r="D845" s="73" t="n">
        <x:v>1.171</x:v>
      </x:c>
      <x:c r="E845" s="73" t="n">
        <x:v>1.171</x:v>
      </x:c>
      <x:c r="F845" s="73" t="n">
        <x:v>1.171</x:v>
      </x:c>
      <x:c r="G845" s="74" t="n">
        <x:v>-0.0034000000000000002</x:v>
      </x:c>
      <x:c r="H845" s="66" t="str">
        <x:v>深度梦扬量化套利0号净值20260911.xlsx</x:v>
      </x:c>
      <x:c r="I845" s="73" t="str">
        <x:f>""</x:f>
      </x:c>
      <x:c r="J845" s="74" t="str">
        <x:f>""</x:f>
      </x:c>
      <x:c r="K845" s="73" t="n">
        <x:f>MAX(K844,F845)</x:f>
        <x:v>1.178</x:v>
      </x:c>
      <x:c r="L845" s="74" t="n">
        <x:f>1-F845/K845</x:f>
        <x:v>0.005942275042444711</x:v>
      </x:c>
      <x:c r="M845" s="73" t="n">
        <x:f>MAX(M844,F845)</x:f>
        <x:v>1.178</x:v>
      </x:c>
      <x:c r="N845" s="74" t="n">
        <x:f>1-F845/M845</x:f>
        <x:v>0.005942275042444711</x:v>
      </x:c>
    </x:row>
    <x:row r="846" ht="27" customHeight="1">
      <x:c r="A846" s="66" t="str">
        <x:v>SQD620</x:v>
      </x:c>
      <x:c r="B846" s="66" t="str">
        <x:v>深度梦扬量化套利0号</x:v>
      </x:c>
      <x:c r="C846" s="72" t="n">
        <x:v>45219</x:v>
      </x:c>
      <x:c r="D846" s="73" t="n">
        <x:v>1.177</x:v>
      </x:c>
      <x:c r="E846" s="73" t="n">
        <x:v>1.177</x:v>
      </x:c>
      <x:c r="F846" s="73" t="n">
        <x:v>1.177</x:v>
      </x:c>
      <x:c r="G846" s="74" t="n">
        <x:v>0.0051</x:v>
      </x:c>
      <x:c r="H846" s="66" t="str">
        <x:v>深度梦扬量化套利0号净值20260911.xlsx</x:v>
      </x:c>
      <x:c r="I846" s="73" t="str">
        <x:f>""</x:f>
      </x:c>
      <x:c r="J846" s="74" t="str">
        <x:f>""</x:f>
      </x:c>
      <x:c r="K846" s="73" t="n">
        <x:f>MAX(K845,F846)</x:f>
        <x:v>1.178</x:v>
      </x:c>
      <x:c r="L846" s="74" t="n">
        <x:f>1-F846/K846</x:f>
        <x:v>0.000848896434634927</x:v>
      </x:c>
      <x:c r="M846" s="73" t="n">
        <x:f>MAX(M845,F846)</x:f>
        <x:v>1.178</x:v>
      </x:c>
      <x:c r="N846" s="74" t="n">
        <x:f>1-F846/M846</x:f>
        <x:v>0.000848896434634927</x:v>
      </x:c>
    </x:row>
    <x:row r="847" ht="27" customHeight="1">
      <x:c r="A847" s="66" t="str">
        <x:v>SQD620</x:v>
      </x:c>
      <x:c r="B847" s="66" t="str">
        <x:v>深度梦扬量化套利0号</x:v>
      </x:c>
      <x:c r="C847" s="72" t="n">
        <x:v>45225</x:v>
      </x:c>
      <x:c r="D847" s="73" t="n">
        <x:v>1.178</x:v>
      </x:c>
      <x:c r="E847" s="73" t="n">
        <x:v>1.178</x:v>
      </x:c>
      <x:c r="F847" s="73" t="n">
        <x:v>1.178</x:v>
      </x:c>
      <x:c r="G847" s="74" t="n">
        <x:v>0.0008</x:v>
      </x:c>
      <x:c r="H847" s="66" t="str">
        <x:v>深度梦扬量化套利0号净值20260911.xlsx</x:v>
      </x:c>
      <x:c r="I847" s="73" t="str">
        <x:f>""</x:f>
      </x:c>
      <x:c r="J847" s="74" t="str">
        <x:f>""</x:f>
      </x:c>
      <x:c r="K847" s="73" t="n">
        <x:f>MAX(K846,F847)</x:f>
        <x:v>1.178</x:v>
      </x:c>
      <x:c r="L847" s="74" t="n">
        <x:f>1-F847/K847</x:f>
        <x:v>0</x:v>
      </x:c>
      <x:c r="M847" s="73" t="n">
        <x:f>MAX(M846,F847)</x:f>
        <x:v>1.178</x:v>
      </x:c>
      <x:c r="N847" s="74" t="n">
        <x:f>1-F847/M847</x:f>
        <x:v>0</x:v>
      </x:c>
    </x:row>
    <x:row r="848" ht="27" customHeight="1">
      <x:c r="A848" s="66" t="str">
        <x:v>SQD620</x:v>
      </x:c>
      <x:c r="B848" s="66" t="str">
        <x:v>深度梦扬量化套利0号</x:v>
      </x:c>
      <x:c r="C848" s="72" t="n">
        <x:v>45226</x:v>
      </x:c>
      <x:c r="D848" s="73" t="n">
        <x:v>1.175</x:v>
      </x:c>
      <x:c r="E848" s="73" t="n">
        <x:v>1.175</x:v>
      </x:c>
      <x:c r="F848" s="73" t="n">
        <x:v>1.175</x:v>
      </x:c>
      <x:c r="G848" s="74" t="n">
        <x:v>-0.0025</x:v>
      </x:c>
      <x:c r="H848" s="66" t="str">
        <x:v>深度梦扬量化套利0号净值20260911.xlsx</x:v>
      </x:c>
      <x:c r="I848" s="73" t="str">
        <x:f>""</x:f>
      </x:c>
      <x:c r="J848" s="74" t="str">
        <x:f>""</x:f>
      </x:c>
      <x:c r="K848" s="73" t="n">
        <x:f>MAX(K847,F848)</x:f>
        <x:v>1.178</x:v>
      </x:c>
      <x:c r="L848" s="74" t="n">
        <x:f>1-F848/K848</x:f>
        <x:v>0.002546689303904781</x:v>
      </x:c>
      <x:c r="M848" s="73" t="n">
        <x:f>MAX(M847,F848)</x:f>
        <x:v>1.178</x:v>
      </x:c>
      <x:c r="N848" s="74" t="n">
        <x:f>1-F848/M848</x:f>
        <x:v>0.002546689303904781</x:v>
      </x:c>
    </x:row>
    <x:row r="849" ht="27" customHeight="1">
      <x:c r="A849" s="66" t="str">
        <x:v>SQD620</x:v>
      </x:c>
      <x:c r="B849" s="66" t="str">
        <x:v>深度梦扬量化套利0号</x:v>
      </x:c>
      <x:c r="C849" s="72" t="n">
        <x:v>45230</x:v>
      </x:c>
      <x:c r="D849" s="73" t="n">
        <x:v>1.178</x:v>
      </x:c>
      <x:c r="E849" s="73" t="n">
        <x:v>1.178</x:v>
      </x:c>
      <x:c r="F849" s="73" t="n">
        <x:v>1.178</x:v>
      </x:c>
      <x:c r="G849" s="74" t="n">
        <x:v>0.0026</x:v>
      </x:c>
      <x:c r="H849" s="66" t="str">
        <x:v>深度梦扬量化套利0号净值20260911.xlsx</x:v>
      </x:c>
      <x:c r="I849" s="73" t="str">
        <x:f>""</x:f>
      </x:c>
      <x:c r="J849" s="74" t="str">
        <x:f>""</x:f>
      </x:c>
      <x:c r="K849" s="73" t="n">
        <x:f>MAX(K848,F849)</x:f>
        <x:v>1.178</x:v>
      </x:c>
      <x:c r="L849" s="74" t="n">
        <x:f>1-F849/K849</x:f>
        <x:v>0</x:v>
      </x:c>
      <x:c r="M849" s="73" t="n">
        <x:f>MAX(M848,F849)</x:f>
        <x:v>1.178</x:v>
      </x:c>
      <x:c r="N849" s="74" t="n">
        <x:f>1-F849/M849</x:f>
        <x:v>0</x:v>
      </x:c>
    </x:row>
    <x:row r="850" ht="27" customHeight="1">
      <x:c r="A850" s="66" t="str">
        <x:v>SQD620</x:v>
      </x:c>
      <x:c r="B850" s="66" t="str">
        <x:v>深度梦扬量化套利0号</x:v>
      </x:c>
      <x:c r="C850" s="72" t="n">
        <x:v>45232</x:v>
      </x:c>
      <x:c r="D850" s="73" t="n">
        <x:v>1.178</x:v>
      </x:c>
      <x:c r="E850" s="73" t="n">
        <x:v>1.178</x:v>
      </x:c>
      <x:c r="F850" s="73" t="n">
        <x:v>1.178</x:v>
      </x:c>
      <x:c r="G850" s="74" t="n">
        <x:v>0</x:v>
      </x:c>
      <x:c r="H850" s="66" t="str">
        <x:v>深度梦扬量化套利0号净值20260911.xlsx</x:v>
      </x:c>
      <x:c r="I850" s="73" t="str">
        <x:f>""</x:f>
      </x:c>
      <x:c r="J850" s="74" t="str">
        <x:f>""</x:f>
      </x:c>
      <x:c r="K850" s="73" t="n">
        <x:f>MAX(K849,F850)</x:f>
        <x:v>1.178</x:v>
      </x:c>
      <x:c r="L850" s="74" t="n">
        <x:f>1-F850/K850</x:f>
        <x:v>0</x:v>
      </x:c>
      <x:c r="M850" s="73" t="n">
        <x:f>MAX(M849,F850)</x:f>
        <x:v>1.178</x:v>
      </x:c>
      <x:c r="N850" s="74" t="n">
        <x:f>1-F850/M850</x:f>
        <x:v>0</x:v>
      </x:c>
    </x:row>
    <x:row r="851" ht="27" customHeight="1">
      <x:c r="A851" s="66" t="str">
        <x:v>SQD620</x:v>
      </x:c>
      <x:c r="B851" s="66" t="str">
        <x:v>深度梦扬量化套利0号</x:v>
      </x:c>
      <x:c r="C851" s="72" t="n">
        <x:v>45233</x:v>
      </x:c>
      <x:c r="D851" s="73" t="n">
        <x:v>1.177</x:v>
      </x:c>
      <x:c r="E851" s="73" t="n">
        <x:v>1.177</x:v>
      </x:c>
      <x:c r="F851" s="73" t="n">
        <x:v>1.177</x:v>
      </x:c>
      <x:c r="G851" s="74" t="n">
        <x:v>-0.0008</x:v>
      </x:c>
      <x:c r="H851" s="66" t="str">
        <x:v>深度梦扬量化套利0号净值20260911.xlsx</x:v>
      </x:c>
      <x:c r="I851" s="73" t="str">
        <x:f>""</x:f>
      </x:c>
      <x:c r="J851" s="74" t="str">
        <x:f>""</x:f>
      </x:c>
      <x:c r="K851" s="73" t="n">
        <x:f>MAX(K850,F851)</x:f>
        <x:v>1.178</x:v>
      </x:c>
      <x:c r="L851" s="74" t="n">
        <x:f>1-F851/K851</x:f>
        <x:v>0.000848896434634927</x:v>
      </x:c>
      <x:c r="M851" s="73" t="n">
        <x:f>MAX(M850,F851)</x:f>
        <x:v>1.178</x:v>
      </x:c>
      <x:c r="N851" s="74" t="n">
        <x:f>1-F851/M851</x:f>
        <x:v>0.000848896434634927</x:v>
      </x:c>
    </x:row>
    <x:row r="852" ht="27" customHeight="1">
      <x:c r="A852" s="66" t="str">
        <x:v>SQD620</x:v>
      </x:c>
      <x:c r="B852" s="66" t="str">
        <x:v>深度梦扬量化套利0号</x:v>
      </x:c>
      <x:c r="C852" s="72" t="n">
        <x:v>45239</x:v>
      </x:c>
      <x:c r="D852" s="73" t="n">
        <x:v>1.178</x:v>
      </x:c>
      <x:c r="E852" s="73" t="n">
        <x:v>1.178</x:v>
      </x:c>
      <x:c r="F852" s="73" t="n">
        <x:v>1.178</x:v>
      </x:c>
      <x:c r="G852" s="74" t="n">
        <x:v>0.0008</x:v>
      </x:c>
      <x:c r="H852" s="66" t="str">
        <x:v>深度梦扬量化套利0号净值20260911.xlsx</x:v>
      </x:c>
      <x:c r="I852" s="73" t="str">
        <x:f>""</x:f>
      </x:c>
      <x:c r="J852" s="74" t="str">
        <x:f>""</x:f>
      </x:c>
      <x:c r="K852" s="73" t="n">
        <x:f>MAX(K851,F852)</x:f>
        <x:v>1.178</x:v>
      </x:c>
      <x:c r="L852" s="74" t="n">
        <x:f>1-F852/K852</x:f>
        <x:v>0</x:v>
      </x:c>
      <x:c r="M852" s="73" t="n">
        <x:f>MAX(M851,F852)</x:f>
        <x:v>1.178</x:v>
      </x:c>
      <x:c r="N852" s="74" t="n">
        <x:f>1-F852/M852</x:f>
        <x:v>0</x:v>
      </x:c>
    </x:row>
    <x:row r="853" ht="27" customHeight="1">
      <x:c r="A853" s="66" t="str">
        <x:v>SQD620</x:v>
      </x:c>
      <x:c r="B853" s="66" t="str">
        <x:v>深度梦扬量化套利0号</x:v>
      </x:c>
      <x:c r="C853" s="72" t="n">
        <x:v>45240</x:v>
      </x:c>
      <x:c r="D853" s="73" t="n">
        <x:v>1.18</x:v>
      </x:c>
      <x:c r="E853" s="73" t="n">
        <x:v>1.18</x:v>
      </x:c>
      <x:c r="F853" s="73" t="n">
        <x:v>1.18</x:v>
      </x:c>
      <x:c r="G853" s="74" t="n">
        <x:v>0.0017000000000000001</x:v>
      </x:c>
      <x:c r="H853" s="66" t="str">
        <x:v>深度梦扬量化套利0号净值20260911.xlsx</x:v>
      </x:c>
      <x:c r="I853" s="73" t="str">
        <x:f>""</x:f>
      </x:c>
      <x:c r="J853" s="74" t="str">
        <x:f>""</x:f>
      </x:c>
      <x:c r="K853" s="73" t="n">
        <x:f>MAX(K852,F853)</x:f>
        <x:v>1.18</x:v>
      </x:c>
      <x:c r="L853" s="74" t="n">
        <x:f>1-F853/K853</x:f>
        <x:v>0</x:v>
      </x:c>
      <x:c r="M853" s="73" t="n">
        <x:f>MAX(M852,F853)</x:f>
        <x:v>1.18</x:v>
      </x:c>
      <x:c r="N853" s="74" t="n">
        <x:f>1-F853/M853</x:f>
        <x:v>0</x:v>
      </x:c>
    </x:row>
    <x:row r="854" ht="27" customHeight="1">
      <x:c r="A854" s="66" t="str">
        <x:v>SQD620</x:v>
      </x:c>
      <x:c r="B854" s="66" t="str">
        <x:v>深度梦扬量化套利0号</x:v>
      </x:c>
      <x:c r="C854" s="72" t="n">
        <x:v>45246</x:v>
      </x:c>
      <x:c r="D854" s="73" t="n">
        <x:v>1.178</x:v>
      </x:c>
      <x:c r="E854" s="73" t="n">
        <x:v>1.178</x:v>
      </x:c>
      <x:c r="F854" s="73" t="n">
        <x:v>1.178</x:v>
      </x:c>
      <x:c r="G854" s="74" t="n">
        <x:v>-0.0017000000000000001</x:v>
      </x:c>
      <x:c r="H854" s="66" t="str">
        <x:v>深度梦扬量化套利0号净值20260911.xlsx</x:v>
      </x:c>
      <x:c r="I854" s="73" t="str">
        <x:f>""</x:f>
      </x:c>
      <x:c r="J854" s="74" t="str">
        <x:f>""</x:f>
      </x:c>
      <x:c r="K854" s="73" t="n">
        <x:f>MAX(K853,F854)</x:f>
        <x:v>1.18</x:v>
      </x:c>
      <x:c r="L854" s="74" t="n">
        <x:f>1-F854/K854</x:f>
        <x:v>0.0016949152542372614</x:v>
      </x:c>
      <x:c r="M854" s="73" t="n">
        <x:f>MAX(M853,F854)</x:f>
        <x:v>1.18</x:v>
      </x:c>
      <x:c r="N854" s="74" t="n">
        <x:f>1-F854/M854</x:f>
        <x:v>0.0016949152542372614</x:v>
      </x:c>
    </x:row>
    <x:row r="855" ht="27" customHeight="1">
      <x:c r="A855" s="66" t="str">
        <x:v>SQD620</x:v>
      </x:c>
      <x:c r="B855" s="66" t="str">
        <x:v>深度梦扬量化套利0号</x:v>
      </x:c>
      <x:c r="C855" s="72" t="n">
        <x:v>45247</x:v>
      </x:c>
      <x:c r="D855" s="73" t="n">
        <x:v>1.181</x:v>
      </x:c>
      <x:c r="E855" s="73" t="n">
        <x:v>1.181</x:v>
      </x:c>
      <x:c r="F855" s="73" t="n">
        <x:v>1.181</x:v>
      </x:c>
      <x:c r="G855" s="74" t="n">
        <x:v>0.0025</x:v>
      </x:c>
      <x:c r="H855" s="66" t="str">
        <x:v>深度梦扬量化套利0号净值20260911.xlsx</x:v>
      </x:c>
      <x:c r="I855" s="73" t="str">
        <x:f>""</x:f>
      </x:c>
      <x:c r="J855" s="74" t="str">
        <x:f>""</x:f>
      </x:c>
      <x:c r="K855" s="73" t="n">
        <x:f>MAX(K854,F855)</x:f>
        <x:v>1.181</x:v>
      </x:c>
      <x:c r="L855" s="74" t="n">
        <x:f>1-F855/K855</x:f>
        <x:v>0</x:v>
      </x:c>
      <x:c r="M855" s="73" t="n">
        <x:f>MAX(M854,F855)</x:f>
        <x:v>1.181</x:v>
      </x:c>
      <x:c r="N855" s="74" t="n">
        <x:f>1-F855/M855</x:f>
        <x:v>0</x:v>
      </x:c>
    </x:row>
    <x:row r="856" ht="27" customHeight="1">
      <x:c r="A856" s="66" t="str">
        <x:v>SQD620</x:v>
      </x:c>
      <x:c r="B856" s="66" t="str">
        <x:v>深度梦扬量化套利0号</x:v>
      </x:c>
      <x:c r="C856" s="72" t="n">
        <x:v>45253</x:v>
      </x:c>
      <x:c r="D856" s="73" t="n">
        <x:v>1.179</x:v>
      </x:c>
      <x:c r="E856" s="73" t="n">
        <x:v>1.179</x:v>
      </x:c>
      <x:c r="F856" s="73" t="n">
        <x:v>1.179</x:v>
      </x:c>
      <x:c r="G856" s="74" t="n">
        <x:v>-0.0017000000000000001</x:v>
      </x:c>
      <x:c r="H856" s="66" t="str">
        <x:v>深度梦扬量化套利0号净值20260911.xlsx</x:v>
      </x:c>
      <x:c r="I856" s="73" t="str">
        <x:f>""</x:f>
      </x:c>
      <x:c r="J856" s="74" t="str">
        <x:f>""</x:f>
      </x:c>
      <x:c r="K856" s="73" t="n">
        <x:f>MAX(K855,F856)</x:f>
        <x:v>1.181</x:v>
      </x:c>
      <x:c r="L856" s="74" t="n">
        <x:f>1-F856/K856</x:f>
        <x:v>0.0016934801016088574</x:v>
      </x:c>
      <x:c r="M856" s="73" t="n">
        <x:f>MAX(M855,F856)</x:f>
        <x:v>1.181</x:v>
      </x:c>
      <x:c r="N856" s="74" t="n">
        <x:f>1-F856/M856</x:f>
        <x:v>0.0016934801016088574</x:v>
      </x:c>
    </x:row>
    <x:row r="857" ht="27" customHeight="1">
      <x:c r="A857" s="66" t="str">
        <x:v>SQD620</x:v>
      </x:c>
      <x:c r="B857" s="66" t="str">
        <x:v>深度梦扬量化套利0号</x:v>
      </x:c>
      <x:c r="C857" s="72" t="n">
        <x:v>45254</x:v>
      </x:c>
      <x:c r="D857" s="73" t="n">
        <x:v>1.18</x:v>
      </x:c>
      <x:c r="E857" s="73" t="n">
        <x:v>1.18</x:v>
      </x:c>
      <x:c r="F857" s="73" t="n">
        <x:v>1.18</x:v>
      </x:c>
      <x:c r="G857" s="74" t="n">
        <x:v>0.0008</x:v>
      </x:c>
      <x:c r="H857" s="66" t="str">
        <x:v>深度梦扬量化套利0号净值20260911.xlsx</x:v>
      </x:c>
      <x:c r="I857" s="73" t="str">
        <x:f>""</x:f>
      </x:c>
      <x:c r="J857" s="74" t="str">
        <x:f>""</x:f>
      </x:c>
      <x:c r="K857" s="73" t="n">
        <x:f>MAX(K856,F857)</x:f>
        <x:v>1.181</x:v>
      </x:c>
      <x:c r="L857" s="74" t="n">
        <x:f>1-F857/K857</x:f>
        <x:v>0.0008467400508045397</x:v>
      </x:c>
      <x:c r="M857" s="73" t="n">
        <x:f>MAX(M856,F857)</x:f>
        <x:v>1.181</x:v>
      </x:c>
      <x:c r="N857" s="74" t="n">
        <x:f>1-F857/M857</x:f>
        <x:v>0.0008467400508045397</x:v>
      </x:c>
    </x:row>
    <x:row r="858" ht="27" customHeight="1">
      <x:c r="A858" s="66" t="str">
        <x:v>SQD620</x:v>
      </x:c>
      <x:c r="B858" s="66" t="str">
        <x:v>深度梦扬量化套利0号</x:v>
      </x:c>
      <x:c r="C858" s="72" t="n">
        <x:v>45260</x:v>
      </x:c>
      <x:c r="D858" s="73" t="n">
        <x:v>1.179</x:v>
      </x:c>
      <x:c r="E858" s="73" t="n">
        <x:v>1.179</x:v>
      </x:c>
      <x:c r="F858" s="73" t="n">
        <x:v>1.179</x:v>
      </x:c>
      <x:c r="G858" s="74" t="n">
        <x:v>-0.0008</x:v>
      </x:c>
      <x:c r="H858" s="66" t="str">
        <x:v>深度梦扬量化套利0号净值20260911.xlsx</x:v>
      </x:c>
      <x:c r="I858" s="73" t="str">
        <x:f>""</x:f>
      </x:c>
      <x:c r="J858" s="74" t="str">
        <x:f>""</x:f>
      </x:c>
      <x:c r="K858" s="73" t="n">
        <x:f>MAX(K857,F858)</x:f>
        <x:v>1.181</x:v>
      </x:c>
      <x:c r="L858" s="74" t="n">
        <x:f>1-F858/K858</x:f>
        <x:v>0.0016934801016088574</x:v>
      </x:c>
      <x:c r="M858" s="73" t="n">
        <x:f>MAX(M857,F858)</x:f>
        <x:v>1.181</x:v>
      </x:c>
      <x:c r="N858" s="74" t="n">
        <x:f>1-F858/M858</x:f>
        <x:v>0.0016934801016088574</x:v>
      </x:c>
    </x:row>
    <x:row r="859" ht="27" customHeight="1">
      <x:c r="A859" s="66" t="str">
        <x:v>SQD620</x:v>
      </x:c>
      <x:c r="B859" s="66" t="str">
        <x:v>深度梦扬量化套利0号</x:v>
      </x:c>
      <x:c r="C859" s="72" t="n">
        <x:v>45261</x:v>
      </x:c>
      <x:c r="D859" s="73" t="n">
        <x:v>1.179</x:v>
      </x:c>
      <x:c r="E859" s="73" t="n">
        <x:v>1.179</x:v>
      </x:c>
      <x:c r="F859" s="73" t="n">
        <x:v>1.179</x:v>
      </x:c>
      <x:c r="G859" s="74" t="n">
        <x:v>0</x:v>
      </x:c>
      <x:c r="H859" s="66" t="str">
        <x:v>深度梦扬量化套利0号净值20260911.xlsx</x:v>
      </x:c>
      <x:c r="I859" s="73" t="str">
        <x:f>""</x:f>
      </x:c>
      <x:c r="J859" s="74" t="str">
        <x:f>""</x:f>
      </x:c>
      <x:c r="K859" s="73" t="n">
        <x:f>MAX(K858,F859)</x:f>
        <x:v>1.181</x:v>
      </x:c>
      <x:c r="L859" s="74" t="n">
        <x:f>1-F859/K859</x:f>
        <x:v>0.0016934801016088574</x:v>
      </x:c>
      <x:c r="M859" s="73" t="n">
        <x:f>MAX(M858,F859)</x:f>
        <x:v>1.181</x:v>
      </x:c>
      <x:c r="N859" s="74" t="n">
        <x:f>1-F859/M859</x:f>
        <x:v>0.0016934801016088574</x:v>
      </x:c>
    </x:row>
    <x:row r="860" ht="27" customHeight="1">
      <x:c r="A860" s="66" t="str">
        <x:v>SQD620</x:v>
      </x:c>
      <x:c r="B860" s="66" t="str">
        <x:v>深度梦扬量化套利0号</x:v>
      </x:c>
      <x:c r="C860" s="72" t="n">
        <x:v>45267</x:v>
      </x:c>
      <x:c r="D860" s="73" t="n">
        <x:v>1.178</x:v>
      </x:c>
      <x:c r="E860" s="73" t="n">
        <x:v>1.178</x:v>
      </x:c>
      <x:c r="F860" s="73" t="n">
        <x:v>1.178</x:v>
      </x:c>
      <x:c r="G860" s="74" t="n">
        <x:v>-0.0008</x:v>
      </x:c>
      <x:c r="H860" s="66" t="str">
        <x:v>深度梦扬量化套利0号净值20260911.xlsx</x:v>
      </x:c>
      <x:c r="I860" s="73" t="str">
        <x:f>""</x:f>
      </x:c>
      <x:c r="J860" s="74" t="str">
        <x:f>""</x:f>
      </x:c>
      <x:c r="K860" s="73" t="n">
        <x:f>MAX(K859,F860)</x:f>
        <x:v>1.181</x:v>
      </x:c>
      <x:c r="L860" s="74" t="n">
        <x:f>1-F860/K860</x:f>
        <x:v>0.002540220152413286</x:v>
      </x:c>
      <x:c r="M860" s="73" t="n">
        <x:f>MAX(M859,F860)</x:f>
        <x:v>1.181</x:v>
      </x:c>
      <x:c r="N860" s="74" t="n">
        <x:f>1-F860/M860</x:f>
        <x:v>0.002540220152413286</x:v>
      </x:c>
    </x:row>
    <x:row r="861" ht="27" customHeight="1">
      <x:c r="A861" s="66" t="str">
        <x:v>SQD620</x:v>
      </x:c>
      <x:c r="B861" s="66" t="str">
        <x:v>深度梦扬量化套利0号</x:v>
      </x:c>
      <x:c r="C861" s="72" t="n">
        <x:v>45268</x:v>
      </x:c>
      <x:c r="D861" s="73" t="n">
        <x:v>1.18</x:v>
      </x:c>
      <x:c r="E861" s="73" t="n">
        <x:v>1.18</x:v>
      </x:c>
      <x:c r="F861" s="73" t="n">
        <x:v>1.18</x:v>
      </x:c>
      <x:c r="G861" s="74" t="n">
        <x:v>0.0017000000000000001</x:v>
      </x:c>
      <x:c r="H861" s="66" t="str">
        <x:v>深度梦扬量化套利0号净值20260911.xlsx</x:v>
      </x:c>
      <x:c r="I861" s="73" t="str">
        <x:f>""</x:f>
      </x:c>
      <x:c r="J861" s="74" t="str">
        <x:f>""</x:f>
      </x:c>
      <x:c r="K861" s="73" t="n">
        <x:f>MAX(K860,F861)</x:f>
        <x:v>1.181</x:v>
      </x:c>
      <x:c r="L861" s="74" t="n">
        <x:f>1-F861/K861</x:f>
        <x:v>0.0008467400508045397</x:v>
      </x:c>
      <x:c r="M861" s="73" t="n">
        <x:f>MAX(M860,F861)</x:f>
        <x:v>1.181</x:v>
      </x:c>
      <x:c r="N861" s="74" t="n">
        <x:f>1-F861/M861</x:f>
        <x:v>0.0008467400508045397</x:v>
      </x:c>
    </x:row>
    <x:row r="862" ht="27" customHeight="1">
      <x:c r="A862" s="66" t="str">
        <x:v>SQD620</x:v>
      </x:c>
      <x:c r="B862" s="66" t="str">
        <x:v>深度梦扬量化套利0号</x:v>
      </x:c>
      <x:c r="C862" s="72" t="n">
        <x:v>45274</x:v>
      </x:c>
      <x:c r="D862" s="73" t="n">
        <x:v>1.182</x:v>
      </x:c>
      <x:c r="E862" s="73" t="n">
        <x:v>1.182</x:v>
      </x:c>
      <x:c r="F862" s="73" t="n">
        <x:v>1.182</x:v>
      </x:c>
      <x:c r="G862" s="74" t="n">
        <x:v>0.0017000000000000001</x:v>
      </x:c>
      <x:c r="H862" s="66" t="str">
        <x:v>深度梦扬量化套利0号净值20260911.xlsx</x:v>
      </x:c>
      <x:c r="I862" s="73" t="str">
        <x:f>""</x:f>
      </x:c>
      <x:c r="J862" s="74" t="str">
        <x:f>""</x:f>
      </x:c>
      <x:c r="K862" s="73" t="n">
        <x:f>MAX(K861,F862)</x:f>
        <x:v>1.182</x:v>
      </x:c>
      <x:c r="L862" s="74" t="n">
        <x:f>1-F862/K862</x:f>
        <x:v>0</x:v>
      </x:c>
      <x:c r="M862" s="73" t="n">
        <x:f>MAX(M861,F862)</x:f>
        <x:v>1.182</x:v>
      </x:c>
      <x:c r="N862" s="74" t="n">
        <x:f>1-F862/M862</x:f>
        <x:v>0</x:v>
      </x:c>
    </x:row>
    <x:row r="863" ht="27" customHeight="1">
      <x:c r="A863" s="66" t="str">
        <x:v>SQD620</x:v>
      </x:c>
      <x:c r="B863" s="66" t="str">
        <x:v>深度梦扬量化套利0号</x:v>
      </x:c>
      <x:c r="C863" s="72" t="n">
        <x:v>45275</x:v>
      </x:c>
      <x:c r="D863" s="73" t="n">
        <x:v>1.184</x:v>
      </x:c>
      <x:c r="E863" s="73" t="n">
        <x:v>1.184</x:v>
      </x:c>
      <x:c r="F863" s="73" t="n">
        <x:v>1.184</x:v>
      </x:c>
      <x:c r="G863" s="74" t="n">
        <x:v>0.0017000000000000001</x:v>
      </x:c>
      <x:c r="H863" s="66" t="str">
        <x:v>深度梦扬量化套利0号净值20260911.xlsx</x:v>
      </x:c>
      <x:c r="I863" s="73" t="str">
        <x:f>""</x:f>
      </x:c>
      <x:c r="J863" s="74" t="str">
        <x:f>""</x:f>
      </x:c>
      <x:c r="K863" s="73" t="n">
        <x:f>MAX(K862,F863)</x:f>
        <x:v>1.184</x:v>
      </x:c>
      <x:c r="L863" s="74" t="n">
        <x:f>1-F863/K863</x:f>
        <x:v>0</x:v>
      </x:c>
      <x:c r="M863" s="73" t="n">
        <x:f>MAX(M862,F863)</x:f>
        <x:v>1.184</x:v>
      </x:c>
      <x:c r="N863" s="74" t="n">
        <x:f>1-F863/M863</x:f>
        <x:v>0</x:v>
      </x:c>
    </x:row>
    <x:row r="864" ht="27" customHeight="1">
      <x:c r="A864" s="66" t="str">
        <x:v>SQD620</x:v>
      </x:c>
      <x:c r="B864" s="66" t="str">
        <x:v>深度梦扬量化套利0号</x:v>
      </x:c>
      <x:c r="C864" s="72" t="n">
        <x:v>45281</x:v>
      </x:c>
      <x:c r="D864" s="73" t="n">
        <x:v>1.183</x:v>
      </x:c>
      <x:c r="E864" s="73" t="n">
        <x:v>1.183</x:v>
      </x:c>
      <x:c r="F864" s="73" t="n">
        <x:v>1.183</x:v>
      </x:c>
      <x:c r="G864" s="74" t="n">
        <x:v>-0.0008</x:v>
      </x:c>
      <x:c r="H864" s="66" t="str">
        <x:v>深度梦扬量化套利0号净值20260911.xlsx</x:v>
      </x:c>
      <x:c r="I864" s="73" t="str">
        <x:f>""</x:f>
      </x:c>
      <x:c r="J864" s="74" t="str">
        <x:f>""</x:f>
      </x:c>
      <x:c r="K864" s="73" t="n">
        <x:f>MAX(K863,F864)</x:f>
        <x:v>1.184</x:v>
      </x:c>
      <x:c r="L864" s="74" t="n">
        <x:f>1-F864/K864</x:f>
        <x:v>0.0008445945945945166</x:v>
      </x:c>
      <x:c r="M864" s="73" t="n">
        <x:f>MAX(M863,F864)</x:f>
        <x:v>1.184</x:v>
      </x:c>
      <x:c r="N864" s="74" t="n">
        <x:f>1-F864/M864</x:f>
        <x:v>0.0008445945945945166</x:v>
      </x:c>
    </x:row>
    <x:row r="865" ht="27" customHeight="1">
      <x:c r="A865" s="66" t="str">
        <x:v>SQD620</x:v>
      </x:c>
      <x:c r="B865" s="66" t="str">
        <x:v>深度梦扬量化套利0号</x:v>
      </x:c>
      <x:c r="C865" s="72" t="n">
        <x:v>45282</x:v>
      </x:c>
      <x:c r="D865" s="73" t="n">
        <x:v>1.184</x:v>
      </x:c>
      <x:c r="E865" s="73" t="n">
        <x:v>1.184</x:v>
      </x:c>
      <x:c r="F865" s="73" t="n">
        <x:v>1.184</x:v>
      </x:c>
      <x:c r="G865" s="74" t="n">
        <x:v>0.0008</x:v>
      </x:c>
      <x:c r="H865" s="66" t="str">
        <x:v>深度梦扬量化套利0号净值20260911.xlsx</x:v>
      </x:c>
      <x:c r="I865" s="73" t="str">
        <x:f>""</x:f>
      </x:c>
      <x:c r="J865" s="74" t="str">
        <x:f>""</x:f>
      </x:c>
      <x:c r="K865" s="73" t="n">
        <x:f>MAX(K864,F865)</x:f>
        <x:v>1.184</x:v>
      </x:c>
      <x:c r="L865" s="74" t="n">
        <x:f>1-F865/K865</x:f>
        <x:v>0</x:v>
      </x:c>
      <x:c r="M865" s="73" t="n">
        <x:f>MAX(M864,F865)</x:f>
        <x:v>1.184</x:v>
      </x:c>
      <x:c r="N865" s="74" t="n">
        <x:f>1-F865/M865</x:f>
        <x:v>0</x:v>
      </x:c>
    </x:row>
    <x:row r="866" ht="27" customHeight="1">
      <x:c r="A866" s="66" t="str">
        <x:v>SQD620</x:v>
      </x:c>
      <x:c r="B866" s="66" t="str">
        <x:v>深度梦扬量化套利0号</x:v>
      </x:c>
      <x:c r="C866" s="72" t="n">
        <x:v>45288</x:v>
      </x:c>
      <x:c r="D866" s="73" t="n">
        <x:v>1.185</x:v>
      </x:c>
      <x:c r="E866" s="73" t="n">
        <x:v>1.185</x:v>
      </x:c>
      <x:c r="F866" s="73" t="n">
        <x:v>1.185</x:v>
      </x:c>
      <x:c r="G866" s="74" t="n">
        <x:v>0.0008</x:v>
      </x:c>
      <x:c r="H866" s="66" t="str">
        <x:v>深度梦扬量化套利0号净值20260911.xlsx</x:v>
      </x:c>
      <x:c r="I866" s="73" t="str">
        <x:f>""</x:f>
      </x:c>
      <x:c r="J866" s="74" t="str">
        <x:f>""</x:f>
      </x:c>
      <x:c r="K866" s="73" t="n">
        <x:f>MAX(K865,F866)</x:f>
        <x:v>1.185</x:v>
      </x:c>
      <x:c r="L866" s="74" t="n">
        <x:f>1-F866/K866</x:f>
        <x:v>0</x:v>
      </x:c>
      <x:c r="M866" s="73" t="n">
        <x:f>MAX(M865,F866)</x:f>
        <x:v>1.185</x:v>
      </x:c>
      <x:c r="N866" s="74" t="n">
        <x:f>1-F866/M866</x:f>
        <x:v>0</x:v>
      </x:c>
    </x:row>
    <x:row r="867" ht="27" customHeight="1">
      <x:c r="A867" s="66" t="str">
        <x:v>SQD620</x:v>
      </x:c>
      <x:c r="B867" s="66" t="str">
        <x:v>深度梦扬量化套利0号</x:v>
      </x:c>
      <x:c r="C867" s="72" t="n">
        <x:v>45289</x:v>
      </x:c>
      <x:c r="D867" s="73" t="n">
        <x:v>1.185</x:v>
      </x:c>
      <x:c r="E867" s="73" t="n">
        <x:v>1.185</x:v>
      </x:c>
      <x:c r="F867" s="73" t="n">
        <x:v>1.185</x:v>
      </x:c>
      <x:c r="G867" s="74" t="n">
        <x:v>0</x:v>
      </x:c>
      <x:c r="H867" s="66" t="str">
        <x:v>深度梦扬量化套利0号净值20260911.xlsx</x:v>
      </x:c>
      <x:c r="I867" s="73" t="str">
        <x:f>""</x:f>
      </x:c>
      <x:c r="J867" s="74" t="str">
        <x:f>""</x:f>
      </x:c>
      <x:c r="K867" s="73" t="n">
        <x:f>MAX(K866,F867)</x:f>
        <x:v>1.185</x:v>
      </x:c>
      <x:c r="L867" s="74" t="n">
        <x:f>1-F867/K867</x:f>
        <x:v>0</x:v>
      </x:c>
      <x:c r="M867" s="73" t="n">
        <x:f>MAX(M866,F867)</x:f>
        <x:v>1.185</x:v>
      </x:c>
      <x:c r="N867" s="74" t="n">
        <x:f>1-F867/M867</x:f>
        <x:v>0</x:v>
      </x:c>
    </x:row>
    <x:row r="868" ht="27" customHeight="1">
      <x:c r="A868" s="66" t="str">
        <x:v>SQD620</x:v>
      </x:c>
      <x:c r="B868" s="66" t="str">
        <x:v>深度梦扬量化套利0号</x:v>
      </x:c>
      <x:c r="C868" s="72" t="n">
        <x:v>45295</x:v>
      </x:c>
      <x:c r="D868" s="73" t="n">
        <x:v>1.185</x:v>
      </x:c>
      <x:c r="E868" s="73" t="n">
        <x:v>1.185</x:v>
      </x:c>
      <x:c r="F868" s="73" t="n">
        <x:v>1.185</x:v>
      </x:c>
      <x:c r="G868" s="74" t="n">
        <x:v>0</x:v>
      </x:c>
      <x:c r="H868" s="66" t="str">
        <x:v>深度梦扬量化套利0号净值20260911.xlsx</x:v>
      </x:c>
      <x:c r="I868" s="73" t="str">
        <x:f>""</x:f>
      </x:c>
      <x:c r="J868" s="74" t="str">
        <x:f>""</x:f>
      </x:c>
      <x:c r="K868" s="73" t="n">
        <x:f>MAX(K867,F868)</x:f>
        <x:v>1.185</x:v>
      </x:c>
      <x:c r="L868" s="74" t="n">
        <x:f>1-F868/K868</x:f>
        <x:v>0</x:v>
      </x:c>
      <x:c r="M868" s="73" t="n">
        <x:f>MAX(M867,F868)</x:f>
        <x:v>1.185</x:v>
      </x:c>
      <x:c r="N868" s="74" t="n">
        <x:f>1-F868/M868</x:f>
        <x:v>0</x:v>
      </x:c>
    </x:row>
    <x:row r="869" ht="27" customHeight="1">
      <x:c r="A869" s="66" t="str">
        <x:v>SQD620</x:v>
      </x:c>
      <x:c r="B869" s="66" t="str">
        <x:v>深度梦扬量化套利0号</x:v>
      </x:c>
      <x:c r="C869" s="72" t="n">
        <x:v>45296</x:v>
      </x:c>
      <x:c r="D869" s="73" t="n">
        <x:v>1.186</x:v>
      </x:c>
      <x:c r="E869" s="73" t="n">
        <x:v>1.186</x:v>
      </x:c>
      <x:c r="F869" s="73" t="n">
        <x:v>1.186</x:v>
      </x:c>
      <x:c r="G869" s="74" t="n">
        <x:v>0.0008</x:v>
      </x:c>
      <x:c r="H869" s="66" t="str">
        <x:v>深度梦扬量化套利0号净值20260911.xlsx</x:v>
      </x:c>
      <x:c r="I869" s="73" t="str">
        <x:f>""</x:f>
      </x:c>
      <x:c r="J869" s="74" t="str">
        <x:f>""</x:f>
      </x:c>
      <x:c r="K869" s="73" t="n">
        <x:f>MAX(K868,F869)</x:f>
        <x:v>1.186</x:v>
      </x:c>
      <x:c r="L869" s="74" t="n">
        <x:f>1-F869/K869</x:f>
        <x:v>0</x:v>
      </x:c>
      <x:c r="M869" s="73" t="n">
        <x:f>MAX(M868,F869)</x:f>
        <x:v>1.186</x:v>
      </x:c>
      <x:c r="N869" s="74" t="n">
        <x:f>1-F869/M869</x:f>
        <x:v>0</x:v>
      </x:c>
    </x:row>
    <x:row r="870" ht="27" customHeight="1">
      <x:c r="A870" s="66" t="str">
        <x:v>SQD620</x:v>
      </x:c>
      <x:c r="B870" s="66" t="str">
        <x:v>深度梦扬量化套利0号</x:v>
      </x:c>
      <x:c r="C870" s="72" t="n">
        <x:v>45302</x:v>
      </x:c>
      <x:c r="D870" s="73" t="n">
        <x:v>1.19</x:v>
      </x:c>
      <x:c r="E870" s="73" t="n">
        <x:v>1.19</x:v>
      </x:c>
      <x:c r="F870" s="73" t="n">
        <x:v>1.19</x:v>
      </x:c>
      <x:c r="G870" s="74" t="n">
        <x:v>0.0034000000000000002</x:v>
      </x:c>
      <x:c r="H870" s="66" t="str">
        <x:v>深度梦扬量化套利0号净值20260911.xlsx</x:v>
      </x:c>
      <x:c r="I870" s="73" t="str">
        <x:f>""</x:f>
      </x:c>
      <x:c r="J870" s="74" t="str">
        <x:f>""</x:f>
      </x:c>
      <x:c r="K870" s="73" t="n">
        <x:f>MAX(K869,F870)</x:f>
        <x:v>1.19</x:v>
      </x:c>
      <x:c r="L870" s="74" t="n">
        <x:f>1-F870/K870</x:f>
        <x:v>0</x:v>
      </x:c>
      <x:c r="M870" s="73" t="n">
        <x:f>MAX(M869,F870)</x:f>
        <x:v>1.19</x:v>
      </x:c>
      <x:c r="N870" s="74" t="n">
        <x:f>1-F870/M870</x:f>
        <x:v>0</x:v>
      </x:c>
    </x:row>
    <x:row r="871" ht="27" customHeight="1">
      <x:c r="A871" s="66" t="str">
        <x:v>SQD620</x:v>
      </x:c>
      <x:c r="B871" s="66" t="str">
        <x:v>深度梦扬量化套利0号</x:v>
      </x:c>
      <x:c r="C871" s="72" t="n">
        <x:v>45303</x:v>
      </x:c>
      <x:c r="D871" s="73" t="n">
        <x:v>1.189</x:v>
      </x:c>
      <x:c r="E871" s="73" t="n">
        <x:v>1.189</x:v>
      </x:c>
      <x:c r="F871" s="73" t="n">
        <x:v>1.189</x:v>
      </x:c>
      <x:c r="G871" s="74" t="n">
        <x:v>-0.0008</x:v>
      </x:c>
      <x:c r="H871" s="66" t="str">
        <x:v>深度梦扬量化套利0号净值20260911.xlsx</x:v>
      </x:c>
      <x:c r="I871" s="73" t="str">
        <x:f>""</x:f>
      </x:c>
      <x:c r="J871" s="74" t="str">
        <x:f>""</x:f>
      </x:c>
      <x:c r="K871" s="73" t="n">
        <x:f>MAX(K870,F871)</x:f>
        <x:v>1.19</x:v>
      </x:c>
      <x:c r="L871" s="74" t="n">
        <x:f>1-F871/K871</x:f>
        <x:v>0.0008403361344536675</x:v>
      </x:c>
      <x:c r="M871" s="73" t="n">
        <x:f>MAX(M870,F871)</x:f>
        <x:v>1.19</x:v>
      </x:c>
      <x:c r="N871" s="74" t="n">
        <x:f>1-F871/M871</x:f>
        <x:v>0.0008403361344536675</x:v>
      </x:c>
    </x:row>
    <x:row r="872" ht="27" customHeight="1">
      <x:c r="A872" s="66" t="str">
        <x:v>SQD620</x:v>
      </x:c>
      <x:c r="B872" s="66" t="str">
        <x:v>深度梦扬量化套利0号</x:v>
      </x:c>
      <x:c r="C872" s="72" t="n">
        <x:v>45309</x:v>
      </x:c>
      <x:c r="D872" s="73" t="n">
        <x:v>1.188</x:v>
      </x:c>
      <x:c r="E872" s="73" t="n">
        <x:v>1.188</x:v>
      </x:c>
      <x:c r="F872" s="73" t="n">
        <x:v>1.188</x:v>
      </x:c>
      <x:c r="G872" s="74" t="n">
        <x:v>-0.0008</x:v>
      </x:c>
      <x:c r="H872" s="66" t="str">
        <x:v>深度梦扬量化套利0号净值20260911.xlsx</x:v>
      </x:c>
      <x:c r="I872" s="73" t="str">
        <x:f>""</x:f>
      </x:c>
      <x:c r="J872" s="74" t="str">
        <x:f>""</x:f>
      </x:c>
      <x:c r="K872" s="73" t="n">
        <x:f>MAX(K871,F872)</x:f>
        <x:v>1.19</x:v>
      </x:c>
      <x:c r="L872" s="74" t="n">
        <x:f>1-F872/K872</x:f>
        <x:v>0.001680672268907557</x:v>
      </x:c>
      <x:c r="M872" s="73" t="n">
        <x:f>MAX(M871,F872)</x:f>
        <x:v>1.19</x:v>
      </x:c>
      <x:c r="N872" s="74" t="n">
        <x:f>1-F872/M872</x:f>
        <x:v>0.001680672268907557</x:v>
      </x:c>
    </x:row>
    <x:row r="873" ht="27" customHeight="1">
      <x:c r="A873" s="66" t="str">
        <x:v>SQD620</x:v>
      </x:c>
      <x:c r="B873" s="66" t="str">
        <x:v>深度梦扬量化套利0号</x:v>
      </x:c>
      <x:c r="C873" s="72" t="n">
        <x:v>45310</x:v>
      </x:c>
      <x:c r="D873" s="73" t="n">
        <x:v>1.185</x:v>
      </x:c>
      <x:c r="E873" s="73" t="n">
        <x:v>1.185</x:v>
      </x:c>
      <x:c r="F873" s="73" t="n">
        <x:v>1.185</x:v>
      </x:c>
      <x:c r="G873" s="74" t="n">
        <x:v>-0.0025</x:v>
      </x:c>
      <x:c r="H873" s="66" t="str">
        <x:v>深度梦扬量化套利0号净值20260911.xlsx</x:v>
      </x:c>
      <x:c r="I873" s="73" t="str">
        <x:f>""</x:f>
      </x:c>
      <x:c r="J873" s="74" t="str">
        <x:f>""</x:f>
      </x:c>
      <x:c r="K873" s="73" t="n">
        <x:f>MAX(K872,F873)</x:f>
        <x:v>1.19</x:v>
      </x:c>
      <x:c r="L873" s="74" t="n">
        <x:f>1-F873/K873</x:f>
        <x:v>0.004201680672268782</x:v>
      </x:c>
      <x:c r="M873" s="73" t="n">
        <x:f>MAX(M872,F873)</x:f>
        <x:v>1.19</x:v>
      </x:c>
      <x:c r="N873" s="74" t="n">
        <x:f>1-F873/M873</x:f>
        <x:v>0.004201680672268782</x:v>
      </x:c>
    </x:row>
    <x:row r="874" ht="27" customHeight="1">
      <x:c r="A874" s="66" t="str">
        <x:v>SQD620</x:v>
      </x:c>
      <x:c r="B874" s="66" t="str">
        <x:v>深度梦扬量化套利0号</x:v>
      </x:c>
      <x:c r="C874" s="72" t="n">
        <x:v>45316</x:v>
      </x:c>
      <x:c r="D874" s="73" t="n">
        <x:v>1.199</x:v>
      </x:c>
      <x:c r="E874" s="73" t="n">
        <x:v>1.199</x:v>
      </x:c>
      <x:c r="F874" s="73" t="n">
        <x:v>1.199</x:v>
      </x:c>
      <x:c r="G874" s="74" t="n">
        <x:v>0.0118</x:v>
      </x:c>
      <x:c r="H874" s="66" t="str">
        <x:v>深度梦扬量化套利0号净值20260911.xlsx</x:v>
      </x:c>
      <x:c r="I874" s="73" t="str">
        <x:f>""</x:f>
      </x:c>
      <x:c r="J874" s="74" t="str">
        <x:f>""</x:f>
      </x:c>
      <x:c r="K874" s="73" t="n">
        <x:f>MAX(K873,F874)</x:f>
        <x:v>1.199</x:v>
      </x:c>
      <x:c r="L874" s="74" t="n">
        <x:f>1-F874/K874</x:f>
        <x:v>0</x:v>
      </x:c>
      <x:c r="M874" s="73" t="n">
        <x:f>MAX(M873,F874)</x:f>
        <x:v>1.199</x:v>
      </x:c>
      <x:c r="N874" s="74" t="n">
        <x:f>1-F874/M874</x:f>
        <x:v>0</x:v>
      </x:c>
    </x:row>
    <x:row r="875" ht="27" customHeight="1">
      <x:c r="A875" s="66" t="str">
        <x:v>SQD620</x:v>
      </x:c>
      <x:c r="B875" s="66" t="str">
        <x:v>深度梦扬量化套利0号</x:v>
      </x:c>
      <x:c r="C875" s="72" t="n">
        <x:v>45317</x:v>
      </x:c>
      <x:c r="D875" s="73" t="n">
        <x:v>1.197</x:v>
      </x:c>
      <x:c r="E875" s="73" t="n">
        <x:v>1.197</x:v>
      </x:c>
      <x:c r="F875" s="73" t="n">
        <x:v>1.197</x:v>
      </x:c>
      <x:c r="G875" s="74" t="n">
        <x:v>-0.0017000000000000001</x:v>
      </x:c>
      <x:c r="H875" s="66" t="str">
        <x:v>深度梦扬量化套利0号净值20260911.xlsx</x:v>
      </x:c>
      <x:c r="I875" s="73" t="str">
        <x:f>""</x:f>
      </x:c>
      <x:c r="J875" s="74" t="str">
        <x:f>""</x:f>
      </x:c>
      <x:c r="K875" s="73" t="n">
        <x:f>MAX(K874,F875)</x:f>
        <x:v>1.199</x:v>
      </x:c>
      <x:c r="L875" s="74" t="n">
        <x:f>1-F875/K875</x:f>
        <x:v>0.0016680567139282232</x:v>
      </x:c>
      <x:c r="M875" s="73" t="n">
        <x:f>MAX(M874,F875)</x:f>
        <x:v>1.199</x:v>
      </x:c>
      <x:c r="N875" s="74" t="n">
        <x:f>1-F875/M875</x:f>
        <x:v>0.0016680567139282232</x:v>
      </x:c>
    </x:row>
    <x:row r="876" ht="27" customHeight="1">
      <x:c r="A876" s="66" t="str">
        <x:v>SQD620</x:v>
      </x:c>
      <x:c r="B876" s="66" t="str">
        <x:v>深度梦扬量化套利0号</x:v>
      </x:c>
      <x:c r="C876" s="72" t="n">
        <x:v>45322</x:v>
      </x:c>
      <x:c r="D876" s="73" t="n">
        <x:v>1.201</x:v>
      </x:c>
      <x:c r="E876" s="73" t="n">
        <x:v>1.201</x:v>
      </x:c>
      <x:c r="F876" s="73" t="n">
        <x:v>1.201</x:v>
      </x:c>
      <x:c r="G876" s="74" t="n">
        <x:v>0.0033</x:v>
      </x:c>
      <x:c r="H876" s="66" t="str">
        <x:v>深度梦扬量化套利0号净值20260911.xlsx</x:v>
      </x:c>
      <x:c r="I876" s="73" t="str">
        <x:f>""</x:f>
      </x:c>
      <x:c r="J876" s="74" t="str">
        <x:f>""</x:f>
      </x:c>
      <x:c r="K876" s="73" t="n">
        <x:f>MAX(K875,F876)</x:f>
        <x:v>1.201</x:v>
      </x:c>
      <x:c r="L876" s="74" t="n">
        <x:f>1-F876/K876</x:f>
        <x:v>0</x:v>
      </x:c>
      <x:c r="M876" s="73" t="n">
        <x:f>MAX(M875,F876)</x:f>
        <x:v>1.201</x:v>
      </x:c>
      <x:c r="N876" s="74" t="n">
        <x:f>1-F876/M876</x:f>
        <x:v>0</x:v>
      </x:c>
    </x:row>
    <x:row r="877" ht="27" customHeight="1">
      <x:c r="A877" s="66" t="str">
        <x:v>SQD620</x:v>
      </x:c>
      <x:c r="B877" s="66" t="str">
        <x:v>深度梦扬量化套利0号</x:v>
      </x:c>
      <x:c r="C877" s="72" t="n">
        <x:v>45323</x:v>
      </x:c>
      <x:c r="D877" s="73" t="n">
        <x:v>1.2</x:v>
      </x:c>
      <x:c r="E877" s="73" t="n">
        <x:v>1.2</x:v>
      </x:c>
      <x:c r="F877" s="73" t="n">
        <x:v>1.2</x:v>
      </x:c>
      <x:c r="G877" s="74" t="n">
        <x:v>-0.0008</x:v>
      </x:c>
      <x:c r="H877" s="66" t="str">
        <x:v>深度梦扬量化套利0号净值20260911.xlsx</x:v>
      </x:c>
      <x:c r="I877" s="73" t="str">
        <x:f>""</x:f>
      </x:c>
      <x:c r="J877" s="74" t="str">
        <x:f>""</x:f>
      </x:c>
      <x:c r="K877" s="73" t="n">
        <x:f>MAX(K876,F877)</x:f>
        <x:v>1.201</x:v>
      </x:c>
      <x:c r="L877" s="74" t="n">
        <x:f>1-F877/K877</x:f>
        <x:v>0.0008326394671108739</x:v>
      </x:c>
      <x:c r="M877" s="73" t="n">
        <x:f>MAX(M876,F877)</x:f>
        <x:v>1.201</x:v>
      </x:c>
      <x:c r="N877" s="74" t="n">
        <x:f>1-F877/M877</x:f>
        <x:v>0.0008326394671108739</x:v>
      </x:c>
    </x:row>
    <x:row r="878" ht="27" customHeight="1">
      <x:c r="A878" s="66" t="str">
        <x:v>SQD620</x:v>
      </x:c>
      <x:c r="B878" s="66" t="str">
        <x:v>深度梦扬量化套利0号</x:v>
      </x:c>
      <x:c r="C878" s="72" t="n">
        <x:v>45324</x:v>
      </x:c>
      <x:c r="D878" s="73" t="n">
        <x:v>1.193</x:v>
      </x:c>
      <x:c r="E878" s="73" t="n">
        <x:v>1.193</x:v>
      </x:c>
      <x:c r="F878" s="73" t="n">
        <x:v>1.193</x:v>
      </x:c>
      <x:c r="G878" s="74" t="n">
        <x:v>-0.0058</x:v>
      </x:c>
      <x:c r="H878" s="66" t="str">
        <x:v>深度梦扬量化套利0号净值20260911.xlsx</x:v>
      </x:c>
      <x:c r="I878" s="73" t="str">
        <x:f>""</x:f>
      </x:c>
      <x:c r="J878" s="74" t="str">
        <x:f>""</x:f>
      </x:c>
      <x:c r="K878" s="73" t="n">
        <x:f>MAX(K877,F878)</x:f>
        <x:v>1.201</x:v>
      </x:c>
      <x:c r="L878" s="74" t="n">
        <x:f>1-F878/K878</x:f>
        <x:v>0.006661115736885881</x:v>
      </x:c>
      <x:c r="M878" s="73" t="n">
        <x:f>MAX(M877,F878)</x:f>
        <x:v>1.201</x:v>
      </x:c>
      <x:c r="N878" s="74" t="n">
        <x:f>1-F878/M878</x:f>
        <x:v>0.006661115736885881</x:v>
      </x:c>
    </x:row>
    <x:row r="879" ht="27" customHeight="1">
      <x:c r="A879" s="66" t="str">
        <x:v>SQD620</x:v>
      </x:c>
      <x:c r="B879" s="66" t="str">
        <x:v>深度梦扬量化套利0号</x:v>
      </x:c>
      <x:c r="C879" s="72" t="n">
        <x:v>45330</x:v>
      </x:c>
      <x:c r="D879" s="73" t="n">
        <x:v>1.204</x:v>
      </x:c>
      <x:c r="E879" s="73" t="n">
        <x:v>1.204</x:v>
      </x:c>
      <x:c r="F879" s="73" t="n">
        <x:v>1.204</x:v>
      </x:c>
      <x:c r="G879" s="74" t="n">
        <x:v>0.0092</x:v>
      </x:c>
      <x:c r="H879" s="66" t="str">
        <x:v>深度梦扬量化套利0号净值20260911.xlsx</x:v>
      </x:c>
      <x:c r="I879" s="73" t="str">
        <x:f>""</x:f>
      </x:c>
      <x:c r="J879" s="74" t="str">
        <x:f>""</x:f>
      </x:c>
      <x:c r="K879" s="73" t="n">
        <x:f>MAX(K878,F879)</x:f>
        <x:v>1.204</x:v>
      </x:c>
      <x:c r="L879" s="74" t="n">
        <x:f>1-F879/K879</x:f>
        <x:v>0</x:v>
      </x:c>
      <x:c r="M879" s="73" t="n">
        <x:f>MAX(M878,F879)</x:f>
        <x:v>1.204</x:v>
      </x:c>
      <x:c r="N879" s="74" t="n">
        <x:f>1-F879/M879</x:f>
        <x:v>0</x:v>
      </x:c>
    </x:row>
    <x:row r="880" ht="27" customHeight="1">
      <x:c r="A880" s="66" t="str">
        <x:v>SQD620</x:v>
      </x:c>
      <x:c r="B880" s="66" t="str">
        <x:v>深度梦扬量化套利0号</x:v>
      </x:c>
      <x:c r="C880" s="72" t="n">
        <x:v>45344</x:v>
      </x:c>
      <x:c r="D880" s="73" t="n">
        <x:v>1.213</x:v>
      </x:c>
      <x:c r="E880" s="73" t="n">
        <x:v>1.213</x:v>
      </x:c>
      <x:c r="F880" s="73" t="n">
        <x:v>1.213</x:v>
      </x:c>
      <x:c r="G880" s="74" t="n">
        <x:v>0.0075</x:v>
      </x:c>
      <x:c r="H880" s="66" t="str">
        <x:v>深度梦扬量化套利0号净值20260911.xlsx</x:v>
      </x:c>
      <x:c r="I880" s="73" t="str">
        <x:f>""</x:f>
      </x:c>
      <x:c r="J880" s="74" t="str">
        <x:f>""</x:f>
      </x:c>
      <x:c r="K880" s="73" t="n">
        <x:f>MAX(K879,F880)</x:f>
        <x:v>1.213</x:v>
      </x:c>
      <x:c r="L880" s="74" t="n">
        <x:f>1-F880/K880</x:f>
        <x:v>0</x:v>
      </x:c>
      <x:c r="M880" s="73" t="n">
        <x:f>MAX(M879,F880)</x:f>
        <x:v>1.213</x:v>
      </x:c>
      <x:c r="N880" s="74" t="n">
        <x:f>1-F880/M880</x:f>
        <x:v>0</x:v>
      </x:c>
    </x:row>
    <x:row r="881" ht="27" customHeight="1">
      <x:c r="A881" s="66" t="str">
        <x:v>SQD620</x:v>
      </x:c>
      <x:c r="B881" s="66" t="str">
        <x:v>深度梦扬量化套利0号</x:v>
      </x:c>
      <x:c r="C881" s="72" t="n">
        <x:v>45345</x:v>
      </x:c>
      <x:c r="D881" s="73" t="n">
        <x:v>1.21</x:v>
      </x:c>
      <x:c r="E881" s="73" t="n">
        <x:v>1.21</x:v>
      </x:c>
      <x:c r="F881" s="73" t="n">
        <x:v>1.21</x:v>
      </x:c>
      <x:c r="G881" s="74" t="n">
        <x:v>-0.0025</x:v>
      </x:c>
      <x:c r="H881" s="66" t="str">
        <x:v>深度梦扬量化套利0号净值20260911.xlsx</x:v>
      </x:c>
      <x:c r="I881" s="73" t="str">
        <x:f>""</x:f>
      </x:c>
      <x:c r="J881" s="74" t="str">
        <x:f>""</x:f>
      </x:c>
      <x:c r="K881" s="73" t="n">
        <x:f>MAX(K880,F881)</x:f>
        <x:v>1.213</x:v>
      </x:c>
      <x:c r="L881" s="74" t="n">
        <x:f>1-F881/K881</x:f>
        <x:v>0.002473206924979432</x:v>
      </x:c>
      <x:c r="M881" s="73" t="n">
        <x:f>MAX(M880,F881)</x:f>
        <x:v>1.213</x:v>
      </x:c>
      <x:c r="N881" s="74" t="n">
        <x:f>1-F881/M881</x:f>
        <x:v>0.002473206924979432</x:v>
      </x:c>
    </x:row>
    <x:row r="882" ht="27" customHeight="1">
      <x:c r="A882" s="66" t="str">
        <x:v>SQD620</x:v>
      </x:c>
      <x:c r="B882" s="66" t="str">
        <x:v>深度梦扬量化套利0号</x:v>
      </x:c>
      <x:c r="C882" s="72" t="n">
        <x:v>45351</x:v>
      </x:c>
      <x:c r="D882" s="73" t="n">
        <x:v>1.219</x:v>
      </x:c>
      <x:c r="E882" s="73" t="n">
        <x:v>1.219</x:v>
      </x:c>
      <x:c r="F882" s="73" t="n">
        <x:v>1.219</x:v>
      </x:c>
      <x:c r="G882" s="74" t="n">
        <x:v>0.0074</x:v>
      </x:c>
      <x:c r="H882" s="66" t="str">
        <x:v>深度梦扬量化套利0号净值20260911.xlsx</x:v>
      </x:c>
      <x:c r="I882" s="73" t="str">
        <x:f>""</x:f>
      </x:c>
      <x:c r="J882" s="74" t="str">
        <x:f>""</x:f>
      </x:c>
      <x:c r="K882" s="73" t="n">
        <x:f>MAX(K881,F882)</x:f>
        <x:v>1.219</x:v>
      </x:c>
      <x:c r="L882" s="74" t="n">
        <x:f>1-F882/K882</x:f>
        <x:v>0</x:v>
      </x:c>
      <x:c r="M882" s="73" t="n">
        <x:f>MAX(M881,F882)</x:f>
        <x:v>1.219</x:v>
      </x:c>
      <x:c r="N882" s="74" t="n">
        <x:f>1-F882/M882</x:f>
        <x:v>0</x:v>
      </x:c>
    </x:row>
    <x:row r="883" ht="27" customHeight="1">
      <x:c r="A883" s="66" t="str">
        <x:v>SQD620</x:v>
      </x:c>
      <x:c r="B883" s="66" t="str">
        <x:v>深度梦扬量化套利0号</x:v>
      </x:c>
      <x:c r="C883" s="72" t="n">
        <x:v>45352</x:v>
      </x:c>
      <x:c r="D883" s="73" t="n">
        <x:v>1.218</x:v>
      </x:c>
      <x:c r="E883" s="73" t="n">
        <x:v>1.218</x:v>
      </x:c>
      <x:c r="F883" s="73" t="n">
        <x:v>1.218</x:v>
      </x:c>
      <x:c r="G883" s="74" t="n">
        <x:v>-0.0008</x:v>
      </x:c>
      <x:c r="H883" s="66" t="str">
        <x:v>深度梦扬量化套利0号净值20260911.xlsx</x:v>
      </x:c>
      <x:c r="I883" s="73" t="str">
        <x:f>""</x:f>
      </x:c>
      <x:c r="J883" s="74" t="str">
        <x:f>""</x:f>
      </x:c>
      <x:c r="K883" s="73" t="n">
        <x:f>MAX(K882,F883)</x:f>
        <x:v>1.219</x:v>
      </x:c>
      <x:c r="L883" s="74" t="n">
        <x:f>1-F883/K883</x:f>
        <x:v>0.0008203445447089175</x:v>
      </x:c>
      <x:c r="M883" s="73" t="n">
        <x:f>MAX(M882,F883)</x:f>
        <x:v>1.219</x:v>
      </x:c>
      <x:c r="N883" s="74" t="n">
        <x:f>1-F883/M883</x:f>
        <x:v>0.0008203445447089175</x:v>
      </x:c>
    </x:row>
    <x:row r="884" ht="27" customHeight="1">
      <x:c r="A884" s="66" t="str">
        <x:v>SQD620</x:v>
      </x:c>
      <x:c r="B884" s="66" t="str">
        <x:v>深度梦扬量化套利0号</x:v>
      </x:c>
      <x:c r="C884" s="72" t="n">
        <x:v>45358</x:v>
      </x:c>
      <x:c r="D884" s="73" t="n">
        <x:v>1.216</x:v>
      </x:c>
      <x:c r="E884" s="73" t="n">
        <x:v>1.216</x:v>
      </x:c>
      <x:c r="F884" s="73" t="n">
        <x:v>1.216</x:v>
      </x:c>
      <x:c r="G884" s="74" t="n">
        <x:v>-0.0016</x:v>
      </x:c>
      <x:c r="H884" s="66" t="str">
        <x:v>深度梦扬量化套利0号净值20260911.xlsx</x:v>
      </x:c>
      <x:c r="I884" s="73" t="str">
        <x:f>""</x:f>
      </x:c>
      <x:c r="J884" s="74" t="str">
        <x:f>""</x:f>
      </x:c>
      <x:c r="K884" s="73" t="n">
        <x:f>MAX(K883,F884)</x:f>
        <x:v>1.219</x:v>
      </x:c>
      <x:c r="L884" s="74" t="n">
        <x:f>1-F884/K884</x:f>
        <x:v>0.0024610336341264194</x:v>
      </x:c>
      <x:c r="M884" s="73" t="n">
        <x:f>MAX(M883,F884)</x:f>
        <x:v>1.219</x:v>
      </x:c>
      <x:c r="N884" s="74" t="n">
        <x:f>1-F884/M884</x:f>
        <x:v>0.0024610336341264194</x:v>
      </x:c>
    </x:row>
    <x:row r="885" ht="27" customHeight="1">
      <x:c r="A885" s="66" t="str">
        <x:v>SQD620</x:v>
      </x:c>
      <x:c r="B885" s="66" t="str">
        <x:v>深度梦扬量化套利0号</x:v>
      </x:c>
      <x:c r="C885" s="72" t="n">
        <x:v>45359</x:v>
      </x:c>
      <x:c r="D885" s="73" t="n">
        <x:v>1.215</x:v>
      </x:c>
      <x:c r="E885" s="73" t="n">
        <x:v>1.215</x:v>
      </x:c>
      <x:c r="F885" s="73" t="n">
        <x:v>1.215</x:v>
      </x:c>
      <x:c r="G885" s="74" t="n">
        <x:v>-0.0008</x:v>
      </x:c>
      <x:c r="H885" s="66" t="str">
        <x:v>深度梦扬量化套利0号净值20260911.xlsx</x:v>
      </x:c>
      <x:c r="I885" s="73" t="str">
        <x:f>""</x:f>
      </x:c>
      <x:c r="J885" s="74" t="str">
        <x:f>""</x:f>
      </x:c>
      <x:c r="K885" s="73" t="n">
        <x:f>MAX(K884,F885)</x:f>
        <x:v>1.219</x:v>
      </x:c>
      <x:c r="L885" s="74" t="n">
        <x:f>1-F885/K885</x:f>
        <x:v>0.003281378178835115</x:v>
      </x:c>
      <x:c r="M885" s="73" t="n">
        <x:f>MAX(M884,F885)</x:f>
        <x:v>1.219</x:v>
      </x:c>
      <x:c r="N885" s="74" t="n">
        <x:f>1-F885/M885</x:f>
        <x:v>0.003281378178835115</x:v>
      </x:c>
    </x:row>
    <x:row r="886" ht="27" customHeight="1">
      <x:c r="A886" s="66" t="str">
        <x:v>SQD620</x:v>
      </x:c>
      <x:c r="B886" s="66" t="str">
        <x:v>深度梦扬量化套利0号</x:v>
      </x:c>
      <x:c r="C886" s="72" t="n">
        <x:v>45365</x:v>
      </x:c>
      <x:c r="D886" s="73" t="n">
        <x:v>1.216</x:v>
      </x:c>
      <x:c r="E886" s="73" t="n">
        <x:v>1.216</x:v>
      </x:c>
      <x:c r="F886" s="73" t="n">
        <x:v>1.216</x:v>
      </x:c>
      <x:c r="G886" s="74" t="n">
        <x:v>0.0008</x:v>
      </x:c>
      <x:c r="H886" s="66" t="str">
        <x:v>深度梦扬量化套利0号净值20260911.xlsx</x:v>
      </x:c>
      <x:c r="I886" s="73" t="str">
        <x:f>""</x:f>
      </x:c>
      <x:c r="J886" s="74" t="str">
        <x:f>""</x:f>
      </x:c>
      <x:c r="K886" s="73" t="n">
        <x:f>MAX(K885,F886)</x:f>
        <x:v>1.219</x:v>
      </x:c>
      <x:c r="L886" s="74" t="n">
        <x:f>1-F886/K886</x:f>
        <x:v>0.0024610336341264194</x:v>
      </x:c>
      <x:c r="M886" s="73" t="n">
        <x:f>MAX(M885,F886)</x:f>
        <x:v>1.219</x:v>
      </x:c>
      <x:c r="N886" s="74" t="n">
        <x:f>1-F886/M886</x:f>
        <x:v>0.0024610336341264194</x:v>
      </x:c>
    </x:row>
    <x:row r="887" ht="27" customHeight="1">
      <x:c r="A887" s="66" t="str">
        <x:v>SQD620</x:v>
      </x:c>
      <x:c r="B887" s="66" t="str">
        <x:v>深度梦扬量化套利0号</x:v>
      </x:c>
      <x:c r="C887" s="72" t="n">
        <x:v>45366</x:v>
      </x:c>
      <x:c r="D887" s="73" t="n">
        <x:v>1.216</x:v>
      </x:c>
      <x:c r="E887" s="73" t="n">
        <x:v>1.216</x:v>
      </x:c>
      <x:c r="F887" s="73" t="n">
        <x:v>1.216</x:v>
      </x:c>
      <x:c r="G887" s="74" t="n">
        <x:v>0</x:v>
      </x:c>
      <x:c r="H887" s="66" t="str">
        <x:v>深度梦扬量化套利0号净值20260911.xlsx</x:v>
      </x:c>
      <x:c r="I887" s="73" t="str">
        <x:f>""</x:f>
      </x:c>
      <x:c r="J887" s="74" t="str">
        <x:f>""</x:f>
      </x:c>
      <x:c r="K887" s="73" t="n">
        <x:f>MAX(K886,F887)</x:f>
        <x:v>1.219</x:v>
      </x:c>
      <x:c r="L887" s="74" t="n">
        <x:f>1-F887/K887</x:f>
        <x:v>0.0024610336341264194</x:v>
      </x:c>
      <x:c r="M887" s="73" t="n">
        <x:f>MAX(M886,F887)</x:f>
        <x:v>1.219</x:v>
      </x:c>
      <x:c r="N887" s="74" t="n">
        <x:f>1-F887/M887</x:f>
        <x:v>0.0024610336341264194</x:v>
      </x:c>
    </x:row>
    <x:row r="888" ht="27" customHeight="1">
      <x:c r="A888" s="66" t="str">
        <x:v>SQD620</x:v>
      </x:c>
      <x:c r="B888" s="66" t="str">
        <x:v>深度梦扬量化套利0号</x:v>
      </x:c>
      <x:c r="C888" s="72" t="n">
        <x:v>45372</x:v>
      </x:c>
      <x:c r="D888" s="73" t="n">
        <x:v>1.212</x:v>
      </x:c>
      <x:c r="E888" s="73" t="n">
        <x:v>1.212</x:v>
      </x:c>
      <x:c r="F888" s="73" t="n">
        <x:v>1.212</x:v>
      </x:c>
      <x:c r="G888" s="74" t="n">
        <x:v>-0.0033</x:v>
      </x:c>
      <x:c r="H888" s="66" t="str">
        <x:v>深度梦扬量化套利0号净值20260911.xlsx</x:v>
      </x:c>
      <x:c r="I888" s="73" t="str">
        <x:f>""</x:f>
      </x:c>
      <x:c r="J888" s="74" t="str">
        <x:f>""</x:f>
      </x:c>
      <x:c r="K888" s="73" t="n">
        <x:f>MAX(K887,F888)</x:f>
        <x:v>1.219</x:v>
      </x:c>
      <x:c r="L888" s="74" t="n">
        <x:f>1-F888/K888</x:f>
        <x:v>0.005742411812961534</x:v>
      </x:c>
      <x:c r="M888" s="73" t="n">
        <x:f>MAX(M887,F888)</x:f>
        <x:v>1.219</x:v>
      </x:c>
      <x:c r="N888" s="74" t="n">
        <x:f>1-F888/M888</x:f>
        <x:v>0.005742411812961534</x:v>
      </x:c>
    </x:row>
    <x:row r="889" ht="27" customHeight="1">
      <x:c r="A889" s="66" t="str">
        <x:v>SQD620</x:v>
      </x:c>
      <x:c r="B889" s="66" t="str">
        <x:v>深度梦扬量化套利0号</x:v>
      </x:c>
      <x:c r="C889" s="72" t="n">
        <x:v>45373</x:v>
      </x:c>
      <x:c r="D889" s="73" t="n">
        <x:v>1.214</x:v>
      </x:c>
      <x:c r="E889" s="73" t="n">
        <x:v>1.214</x:v>
      </x:c>
      <x:c r="F889" s="73" t="n">
        <x:v>1.214</x:v>
      </x:c>
      <x:c r="G889" s="74" t="n">
        <x:v>0.0017000000000000001</x:v>
      </x:c>
      <x:c r="H889" s="66" t="str">
        <x:v>深度梦扬量化套利0号净值20260911.xlsx</x:v>
      </x:c>
      <x:c r="I889" s="73" t="str">
        <x:f>""</x:f>
      </x:c>
      <x:c r="J889" s="74" t="str">
        <x:f>""</x:f>
      </x:c>
      <x:c r="K889" s="73" t="n">
        <x:f>MAX(K888,F889)</x:f>
        <x:v>1.219</x:v>
      </x:c>
      <x:c r="L889" s="74" t="n">
        <x:f>1-F889/K889</x:f>
        <x:v>0.004101722723544032</x:v>
      </x:c>
      <x:c r="M889" s="73" t="n">
        <x:f>MAX(M888,F889)</x:f>
        <x:v>1.219</x:v>
      </x:c>
      <x:c r="N889" s="74" t="n">
        <x:f>1-F889/M889</x:f>
        <x:v>0.004101722723544032</x:v>
      </x:c>
    </x:row>
    <x:row r="890" ht="27" customHeight="1">
      <x:c r="A890" s="66" t="str">
        <x:v>SQD620</x:v>
      </x:c>
      <x:c r="B890" s="66" t="str">
        <x:v>深度梦扬量化套利0号</x:v>
      </x:c>
      <x:c r="C890" s="72" t="n">
        <x:v>45379</x:v>
      </x:c>
      <x:c r="D890" s="73" t="n">
        <x:v>1.213</x:v>
      </x:c>
      <x:c r="E890" s="73" t="n">
        <x:v>1.213</x:v>
      </x:c>
      <x:c r="F890" s="73" t="n">
        <x:v>1.213</x:v>
      </x:c>
      <x:c r="G890" s="74" t="n">
        <x:v>-0.0008</x:v>
      </x:c>
      <x:c r="H890" s="66" t="str">
        <x:v>深度梦扬量化套利0号净值20260911.xlsx</x:v>
      </x:c>
      <x:c r="I890" s="73" t="str">
        <x:f>""</x:f>
      </x:c>
      <x:c r="J890" s="74" t="str">
        <x:f>""</x:f>
      </x:c>
      <x:c r="K890" s="73" t="n">
        <x:f>MAX(K889,F890)</x:f>
        <x:v>1.219</x:v>
      </x:c>
      <x:c r="L890" s="74" t="n">
        <x:f>1-F890/K890</x:f>
        <x:v>0.004922067268252617</x:v>
      </x:c>
      <x:c r="M890" s="73" t="n">
        <x:f>MAX(M889,F890)</x:f>
        <x:v>1.219</x:v>
      </x:c>
      <x:c r="N890" s="74" t="n">
        <x:f>1-F890/M890</x:f>
        <x:v>0.004922067268252617</x:v>
      </x:c>
    </x:row>
    <x:row r="891" ht="27" customHeight="1">
      <x:c r="A891" s="66" t="str">
        <x:v>SQD620</x:v>
      </x:c>
      <x:c r="B891" s="66" t="str">
        <x:v>深度梦扬量化套利0号</x:v>
      </x:c>
      <x:c r="C891" s="72" t="n">
        <x:v>45380</x:v>
      </x:c>
      <x:c r="D891" s="73" t="n">
        <x:v>1.213</x:v>
      </x:c>
      <x:c r="E891" s="73" t="n">
        <x:v>1.213</x:v>
      </x:c>
      <x:c r="F891" s="73" t="n">
        <x:v>1.213</x:v>
      </x:c>
      <x:c r="G891" s="74" t="n">
        <x:v>0</x:v>
      </x:c>
      <x:c r="H891" s="66" t="str">
        <x:v>深度梦扬量化套利0号净值20260911.xlsx</x:v>
      </x:c>
      <x:c r="I891" s="73" t="str">
        <x:f>""</x:f>
      </x:c>
      <x:c r="J891" s="74" t="str">
        <x:f>""</x:f>
      </x:c>
      <x:c r="K891" s="73" t="n">
        <x:f>MAX(K890,F891)</x:f>
        <x:v>1.219</x:v>
      </x:c>
      <x:c r="L891" s="74" t="n">
        <x:f>1-F891/K891</x:f>
        <x:v>0.004922067268252617</x:v>
      </x:c>
      <x:c r="M891" s="73" t="n">
        <x:f>MAX(M890,F891)</x:f>
        <x:v>1.219</x:v>
      </x:c>
      <x:c r="N891" s="74" t="n">
        <x:f>1-F891/M891</x:f>
        <x:v>0.004922067268252617</x:v>
      </x:c>
    </x:row>
    <x:row r="892" ht="27" customHeight="1">
      <x:c r="A892" s="66" t="str">
        <x:v>SQD620</x:v>
      </x:c>
      <x:c r="B892" s="66" t="str">
        <x:v>深度梦扬量化套利0号</x:v>
      </x:c>
      <x:c r="C892" s="72" t="n">
        <x:v>45385</x:v>
      </x:c>
      <x:c r="D892" s="73" t="n">
        <x:v>1.212</x:v>
      </x:c>
      <x:c r="E892" s="73" t="n">
        <x:v>1.212</x:v>
      </x:c>
      <x:c r="F892" s="73" t="n">
        <x:v>1.212</x:v>
      </x:c>
      <x:c r="G892" s="74" t="n">
        <x:v>-0.0008</x:v>
      </x:c>
      <x:c r="H892" s="66" t="str">
        <x:v>深度梦扬量化套利0号净值20260911.xlsx</x:v>
      </x:c>
      <x:c r="I892" s="73" t="str">
        <x:f>""</x:f>
      </x:c>
      <x:c r="J892" s="74" t="str">
        <x:f>""</x:f>
      </x:c>
      <x:c r="K892" s="73" t="n">
        <x:f>MAX(K891,F892)</x:f>
        <x:v>1.219</x:v>
      </x:c>
      <x:c r="L892" s="74" t="n">
        <x:f>1-F892/K892</x:f>
        <x:v>0.005742411812961534</x:v>
      </x:c>
      <x:c r="M892" s="73" t="n">
        <x:f>MAX(M891,F892)</x:f>
        <x:v>1.219</x:v>
      </x:c>
      <x:c r="N892" s="74" t="n">
        <x:f>1-F892/M892</x:f>
        <x:v>0.005742411812961534</x:v>
      </x:c>
    </x:row>
    <x:row r="893" ht="27" customHeight="1">
      <x:c r="A893" s="66" t="str">
        <x:v>SQD620</x:v>
      </x:c>
      <x:c r="B893" s="66" t="str">
        <x:v>深度梦扬量化套利0号</x:v>
      </x:c>
      <x:c r="C893" s="72" t="n">
        <x:v>45390</x:v>
      </x:c>
      <x:c r="D893" s="73" t="n">
        <x:v>1.213</x:v>
      </x:c>
      <x:c r="E893" s="73" t="n">
        <x:v>1.213</x:v>
      </x:c>
      <x:c r="F893" s="73" t="n">
        <x:v>1.213</x:v>
      </x:c>
      <x:c r="G893" s="74" t="n">
        <x:v>0.0008</x:v>
      </x:c>
      <x:c r="H893" s="66" t="str">
        <x:v>深度梦扬量化套利0号净值20260911.xlsx</x:v>
      </x:c>
      <x:c r="I893" s="73" t="str">
        <x:f>""</x:f>
      </x:c>
      <x:c r="J893" s="74" t="str">
        <x:f>""</x:f>
      </x:c>
      <x:c r="K893" s="73" t="n">
        <x:f>MAX(K892,F893)</x:f>
        <x:v>1.219</x:v>
      </x:c>
      <x:c r="L893" s="74" t="n">
        <x:f>1-F893/K893</x:f>
        <x:v>0.004922067268252617</x:v>
      </x:c>
      <x:c r="M893" s="73" t="n">
        <x:f>MAX(M892,F893)</x:f>
        <x:v>1.219</x:v>
      </x:c>
      <x:c r="N893" s="74" t="n">
        <x:f>1-F893/M893</x:f>
        <x:v>0.004922067268252617</x:v>
      </x:c>
    </x:row>
    <x:row r="894" ht="27" customHeight="1">
      <x:c r="A894" s="66" t="str">
        <x:v>SQD620</x:v>
      </x:c>
      <x:c r="B894" s="66" t="str">
        <x:v>深度梦扬量化套利0号</x:v>
      </x:c>
      <x:c r="C894" s="72" t="n">
        <x:v>45393</x:v>
      </x:c>
      <x:c r="D894" s="73" t="n">
        <x:v>1.212</x:v>
      </x:c>
      <x:c r="E894" s="73" t="n">
        <x:v>1.212</x:v>
      </x:c>
      <x:c r="F894" s="73" t="n">
        <x:v>1.212</x:v>
      </x:c>
      <x:c r="G894" s="74" t="n">
        <x:v>-0.0008</x:v>
      </x:c>
      <x:c r="H894" s="66" t="str">
        <x:v>深度梦扬量化套利0号净值20260911.xlsx</x:v>
      </x:c>
      <x:c r="I894" s="73" t="str">
        <x:f>""</x:f>
      </x:c>
      <x:c r="J894" s="74" t="str">
        <x:f>""</x:f>
      </x:c>
      <x:c r="K894" s="73" t="n">
        <x:f>MAX(K893,F894)</x:f>
        <x:v>1.219</x:v>
      </x:c>
      <x:c r="L894" s="74" t="n">
        <x:f>1-F894/K894</x:f>
        <x:v>0.005742411812961534</x:v>
      </x:c>
      <x:c r="M894" s="73" t="n">
        <x:f>MAX(M893,F894)</x:f>
        <x:v>1.219</x:v>
      </x:c>
      <x:c r="N894" s="74" t="n">
        <x:f>1-F894/M894</x:f>
        <x:v>0.005742411812961534</x:v>
      </x:c>
    </x:row>
    <x:row r="895" ht="27" customHeight="1">
      <x:c r="A895" s="66" t="str">
        <x:v>SQD620</x:v>
      </x:c>
      <x:c r="B895" s="66" t="str">
        <x:v>深度梦扬量化套利0号</x:v>
      </x:c>
      <x:c r="C895" s="72" t="n">
        <x:v>45394</x:v>
      </x:c>
      <x:c r="D895" s="73" t="n">
        <x:v>1.214</x:v>
      </x:c>
      <x:c r="E895" s="73" t="n">
        <x:v>1.214</x:v>
      </x:c>
      <x:c r="F895" s="73" t="n">
        <x:v>1.214</x:v>
      </x:c>
      <x:c r="G895" s="74" t="n">
        <x:v>0.0017000000000000001</x:v>
      </x:c>
      <x:c r="H895" s="66" t="str">
        <x:v>深度梦扬量化套利0号净值20260911.xlsx</x:v>
      </x:c>
      <x:c r="I895" s="73" t="str">
        <x:f>""</x:f>
      </x:c>
      <x:c r="J895" s="74" t="str">
        <x:f>""</x:f>
      </x:c>
      <x:c r="K895" s="73" t="n">
        <x:f>MAX(K894,F895)</x:f>
        <x:v>1.219</x:v>
      </x:c>
      <x:c r="L895" s="74" t="n">
        <x:f>1-F895/K895</x:f>
        <x:v>0.004101722723544032</x:v>
      </x:c>
      <x:c r="M895" s="73" t="n">
        <x:f>MAX(M894,F895)</x:f>
        <x:v>1.219</x:v>
      </x:c>
      <x:c r="N895" s="74" t="n">
        <x:f>1-F895/M895</x:f>
        <x:v>0.004101722723544032</x:v>
      </x:c>
    </x:row>
    <x:row r="896" ht="27" customHeight="1">
      <x:c r="A896" s="66" t="str">
        <x:v>SQD620</x:v>
      </x:c>
      <x:c r="B896" s="66" t="str">
        <x:v>深度梦扬量化套利0号</x:v>
      </x:c>
      <x:c r="C896" s="72" t="n">
        <x:v>45400</x:v>
      </x:c>
      <x:c r="D896" s="73" t="n">
        <x:v>1.213</x:v>
      </x:c>
      <x:c r="E896" s="73" t="n">
        <x:v>1.213</x:v>
      </x:c>
      <x:c r="F896" s="73" t="n">
        <x:v>1.213</x:v>
      </x:c>
      <x:c r="G896" s="74" t="n">
        <x:v>-0.0008</x:v>
      </x:c>
      <x:c r="H896" s="66" t="str">
        <x:v>深度梦扬量化套利0号净值20260911.xlsx</x:v>
      </x:c>
      <x:c r="I896" s="73" t="str">
        <x:f>""</x:f>
      </x:c>
      <x:c r="J896" s="74" t="str">
        <x:f>""</x:f>
      </x:c>
      <x:c r="K896" s="73" t="n">
        <x:f>MAX(K895,F896)</x:f>
        <x:v>1.219</x:v>
      </x:c>
      <x:c r="L896" s="74" t="n">
        <x:f>1-F896/K896</x:f>
        <x:v>0.004922067268252617</x:v>
      </x:c>
      <x:c r="M896" s="73" t="n">
        <x:f>MAX(M895,F896)</x:f>
        <x:v>1.219</x:v>
      </x:c>
      <x:c r="N896" s="74" t="n">
        <x:f>1-F896/M896</x:f>
        <x:v>0.004922067268252617</x:v>
      </x:c>
    </x:row>
    <x:row r="897" ht="27" customHeight="1">
      <x:c r="A897" s="66" t="str">
        <x:v>SQD620</x:v>
      </x:c>
      <x:c r="B897" s="66" t="str">
        <x:v>深度梦扬量化套利0号</x:v>
      </x:c>
      <x:c r="C897" s="72" t="n">
        <x:v>45401</x:v>
      </x:c>
      <x:c r="D897" s="73" t="n">
        <x:v>1.217</x:v>
      </x:c>
      <x:c r="E897" s="73" t="n">
        <x:v>1.217</x:v>
      </x:c>
      <x:c r="F897" s="73" t="n">
        <x:v>1.217</x:v>
      </x:c>
      <x:c r="G897" s="74" t="n">
        <x:v>0.0033</x:v>
      </x:c>
      <x:c r="H897" s="66" t="str">
        <x:v>深度梦扬量化套利0号净值20260911.xlsx</x:v>
      </x:c>
      <x:c r="I897" s="73" t="str">
        <x:f>""</x:f>
      </x:c>
      <x:c r="J897" s="74" t="str">
        <x:f>""</x:f>
      </x:c>
      <x:c r="K897" s="73" t="n">
        <x:f>MAX(K896,F897)</x:f>
        <x:v>1.219</x:v>
      </x:c>
      <x:c r="L897" s="74" t="n">
        <x:f>1-F897/K897</x:f>
        <x:v>0.001640689089417502</x:v>
      </x:c>
      <x:c r="M897" s="73" t="n">
        <x:f>MAX(M896,F897)</x:f>
        <x:v>1.219</x:v>
      </x:c>
      <x:c r="N897" s="74" t="n">
        <x:f>1-F897/M897</x:f>
        <x:v>0.001640689089417502</x:v>
      </x:c>
    </x:row>
    <x:row r="898" ht="27" customHeight="1">
      <x:c r="A898" s="66" t="str">
        <x:v>SQD620</x:v>
      </x:c>
      <x:c r="B898" s="66" t="str">
        <x:v>深度梦扬量化套利0号</x:v>
      </x:c>
      <x:c r="C898" s="72" t="n">
        <x:v>45407</x:v>
      </x:c>
      <x:c r="D898" s="73" t="n">
        <x:v>1.216</x:v>
      </x:c>
      <x:c r="E898" s="73" t="n">
        <x:v>1.216</x:v>
      </x:c>
      <x:c r="F898" s="73" t="n">
        <x:v>1.216</x:v>
      </x:c>
      <x:c r="G898" s="74" t="n">
        <x:v>-0.0008</x:v>
      </x:c>
      <x:c r="H898" s="66" t="str">
        <x:v>深度梦扬量化套利0号净值20260911.xlsx</x:v>
      </x:c>
      <x:c r="I898" s="73" t="str">
        <x:f>""</x:f>
      </x:c>
      <x:c r="J898" s="74" t="str">
        <x:f>""</x:f>
      </x:c>
      <x:c r="K898" s="73" t="n">
        <x:f>MAX(K897,F898)</x:f>
        <x:v>1.219</x:v>
      </x:c>
      <x:c r="L898" s="74" t="n">
        <x:f>1-F898/K898</x:f>
        <x:v>0.0024610336341264194</x:v>
      </x:c>
      <x:c r="M898" s="73" t="n">
        <x:f>MAX(M897,F898)</x:f>
        <x:v>1.219</x:v>
      </x:c>
      <x:c r="N898" s="74" t="n">
        <x:f>1-F898/M898</x:f>
        <x:v>0.0024610336341264194</x:v>
      </x:c>
    </x:row>
    <x:row r="899" ht="27" customHeight="1">
      <x:c r="A899" s="66" t="str">
        <x:v>SQD620</x:v>
      </x:c>
      <x:c r="B899" s="66" t="str">
        <x:v>深度梦扬量化套利0号</x:v>
      </x:c>
      <x:c r="C899" s="72" t="n">
        <x:v>45408</x:v>
      </x:c>
      <x:c r="D899" s="73" t="n">
        <x:v>1.218</x:v>
      </x:c>
      <x:c r="E899" s="73" t="n">
        <x:v>1.218</x:v>
      </x:c>
      <x:c r="F899" s="73" t="n">
        <x:v>1.218</x:v>
      </x:c>
      <x:c r="G899" s="74" t="n">
        <x:v>0.0016</x:v>
      </x:c>
      <x:c r="H899" s="66" t="str">
        <x:v>深度梦扬量化套利0号净值20260911.xlsx</x:v>
      </x:c>
      <x:c r="I899" s="73" t="str">
        <x:f>""</x:f>
      </x:c>
      <x:c r="J899" s="74" t="str">
        <x:f>""</x:f>
      </x:c>
      <x:c r="K899" s="73" t="n">
        <x:f>MAX(K898,F899)</x:f>
        <x:v>1.219</x:v>
      </x:c>
      <x:c r="L899" s="74" t="n">
        <x:f>1-F899/K899</x:f>
        <x:v>0.0008203445447089175</x:v>
      </x:c>
      <x:c r="M899" s="73" t="n">
        <x:f>MAX(M898,F899)</x:f>
        <x:v>1.219</x:v>
      </x:c>
      <x:c r="N899" s="74" t="n">
        <x:f>1-F899/M899</x:f>
        <x:v>0.0008203445447089175</x:v>
      </x:c>
    </x:row>
    <x:row r="900" ht="27" customHeight="1">
      <x:c r="A900" s="66" t="str">
        <x:v>SQD620</x:v>
      </x:c>
      <x:c r="B900" s="66" t="str">
        <x:v>深度梦扬量化套利0号</x:v>
      </x:c>
      <x:c r="C900" s="72" t="n">
        <x:v>45412</x:v>
      </x:c>
      <x:c r="D900" s="73" t="n">
        <x:v>1.22</x:v>
      </x:c>
      <x:c r="E900" s="73" t="n">
        <x:v>1.22</x:v>
      </x:c>
      <x:c r="F900" s="73" t="n">
        <x:v>1.22</x:v>
      </x:c>
      <x:c r="G900" s="74" t="n">
        <x:v>0.0016</x:v>
      </x:c>
      <x:c r="H900" s="66" t="str">
        <x:v>深度梦扬量化套利0号净值20260911.xlsx</x:v>
      </x:c>
      <x:c r="I900" s="73" t="str">
        <x:f>""</x:f>
      </x:c>
      <x:c r="J900" s="74" t="str">
        <x:f>""</x:f>
      </x:c>
      <x:c r="K900" s="73" t="n">
        <x:f>MAX(K899,F900)</x:f>
        <x:v>1.22</x:v>
      </x:c>
      <x:c r="L900" s="74" t="n">
        <x:f>1-F900/K900</x:f>
        <x:v>0</x:v>
      </x:c>
      <x:c r="M900" s="73" t="n">
        <x:f>MAX(M899,F900)</x:f>
        <x:v>1.22</x:v>
      </x:c>
      <x:c r="N900" s="74" t="n">
        <x:f>1-F900/M900</x:f>
        <x:v>0</x:v>
      </x:c>
    </x:row>
    <x:row r="901" ht="27" customHeight="1">
      <x:c r="A901" s="66" t="str">
        <x:v>SQD620</x:v>
      </x:c>
      <x:c r="B901" s="66" t="str">
        <x:v>深度梦扬量化套利0号</x:v>
      </x:c>
      <x:c r="C901" s="72" t="n">
        <x:v>45418</x:v>
      </x:c>
      <x:c r="D901" s="73" t="n">
        <x:v>1.221</x:v>
      </x:c>
      <x:c r="E901" s="73" t="n">
        <x:v>1.221</x:v>
      </x:c>
      <x:c r="F901" s="73" t="n">
        <x:v>1.221</x:v>
      </x:c>
      <x:c r="G901" s="74" t="n">
        <x:v>0.0008</x:v>
      </x:c>
      <x:c r="H901" s="66" t="str">
        <x:v>深度梦扬量化套利0号净值20260911.xlsx</x:v>
      </x:c>
      <x:c r="I901" s="73" t="str">
        <x:f>""</x:f>
      </x:c>
      <x:c r="J901" s="74" t="str">
        <x:f>""</x:f>
      </x:c>
      <x:c r="K901" s="73" t="n">
        <x:f>MAX(K900,F901)</x:f>
        <x:v>1.221</x:v>
      </x:c>
      <x:c r="L901" s="74" t="n">
        <x:f>1-F901/K901</x:f>
        <x:v>0</x:v>
      </x:c>
      <x:c r="M901" s="73" t="n">
        <x:f>MAX(M900,F901)</x:f>
        <x:v>1.221</x:v>
      </x:c>
      <x:c r="N901" s="74" t="n">
        <x:f>1-F901/M901</x:f>
        <x:v>0</x:v>
      </x:c>
    </x:row>
    <x:row r="902" ht="27" customHeight="1">
      <x:c r="A902" s="66" t="str">
        <x:v>SQD620</x:v>
      </x:c>
      <x:c r="B902" s="66" t="str">
        <x:v>深度梦扬量化套利0号</x:v>
      </x:c>
      <x:c r="C902" s="72" t="n">
        <x:v>45421</x:v>
      </x:c>
      <x:c r="D902" s="73" t="n">
        <x:v>1.224</x:v>
      </x:c>
      <x:c r="E902" s="73" t="n">
        <x:v>1.224</x:v>
      </x:c>
      <x:c r="F902" s="73" t="n">
        <x:v>1.224</x:v>
      </x:c>
      <x:c r="G902" s="74" t="n">
        <x:v>0.0025</x:v>
      </x:c>
      <x:c r="H902" s="66" t="str">
        <x:v>深度梦扬量化套利0号净值20260911.xlsx</x:v>
      </x:c>
      <x:c r="I902" s="73" t="str">
        <x:f>""</x:f>
      </x:c>
      <x:c r="J902" s="74" t="str">
        <x:f>""</x:f>
      </x:c>
      <x:c r="K902" s="73" t="n">
        <x:f>MAX(K901,F902)</x:f>
        <x:v>1.224</x:v>
      </x:c>
      <x:c r="L902" s="74" t="n">
        <x:f>1-F902/K902</x:f>
        <x:v>0</x:v>
      </x:c>
      <x:c r="M902" s="73" t="n">
        <x:f>MAX(M901,F902)</x:f>
        <x:v>1.224</x:v>
      </x:c>
      <x:c r="N902" s="74" t="n">
        <x:f>1-F902/M902</x:f>
        <x:v>0</x:v>
      </x:c>
    </x:row>
    <x:row r="903" ht="27" customHeight="1">
      <x:c r="A903" s="66" t="str">
        <x:v>SQD620</x:v>
      </x:c>
      <x:c r="B903" s="66" t="str">
        <x:v>深度梦扬量化套利0号</x:v>
      </x:c>
      <x:c r="C903" s="72" t="n">
        <x:v>45422</x:v>
      </x:c>
      <x:c r="D903" s="73" t="n">
        <x:v>1.223</x:v>
      </x:c>
      <x:c r="E903" s="73" t="n">
        <x:v>1.223</x:v>
      </x:c>
      <x:c r="F903" s="73" t="n">
        <x:v>1.223</x:v>
      </x:c>
      <x:c r="G903" s="74" t="n">
        <x:v>-0.0008</x:v>
      </x:c>
      <x:c r="H903" s="66" t="str">
        <x:v>深度梦扬量化套利0号净值20260911.xlsx</x:v>
      </x:c>
      <x:c r="I903" s="73" t="str">
        <x:f>""</x:f>
      </x:c>
      <x:c r="J903" s="74" t="str">
        <x:f>""</x:f>
      </x:c>
      <x:c r="K903" s="73" t="n">
        <x:f>MAX(K902,F903)</x:f>
        <x:v>1.224</x:v>
      </x:c>
      <x:c r="L903" s="74" t="n">
        <x:f>1-F903/K903</x:f>
        <x:v>0.0008169934640521737</x:v>
      </x:c>
      <x:c r="M903" s="73" t="n">
        <x:f>MAX(M902,F903)</x:f>
        <x:v>1.224</x:v>
      </x:c>
      <x:c r="N903" s="74" t="n">
        <x:f>1-F903/M903</x:f>
        <x:v>0.0008169934640521737</x:v>
      </x:c>
    </x:row>
    <x:row r="904" ht="27" customHeight="1">
      <x:c r="A904" s="66" t="str">
        <x:v>SQD620</x:v>
      </x:c>
      <x:c r="B904" s="66" t="str">
        <x:v>深度梦扬量化套利0号</x:v>
      </x:c>
      <x:c r="C904" s="72" t="n">
        <x:v>45428</x:v>
      </x:c>
      <x:c r="D904" s="73" t="n">
        <x:v>1.224</x:v>
      </x:c>
      <x:c r="E904" s="73" t="n">
        <x:v>1.224</x:v>
      </x:c>
      <x:c r="F904" s="73" t="n">
        <x:v>1.224</x:v>
      </x:c>
      <x:c r="G904" s="74" t="n">
        <x:v>0.0008</x:v>
      </x:c>
      <x:c r="H904" s="66" t="str">
        <x:v>深度梦扬量化套利0号净值20260911.xlsx</x:v>
      </x:c>
      <x:c r="I904" s="73" t="str">
        <x:f>""</x:f>
      </x:c>
      <x:c r="J904" s="74" t="str">
        <x:f>""</x:f>
      </x:c>
      <x:c r="K904" s="73" t="n">
        <x:f>MAX(K903,F904)</x:f>
        <x:v>1.224</x:v>
      </x:c>
      <x:c r="L904" s="74" t="n">
        <x:f>1-F904/K904</x:f>
        <x:v>0</x:v>
      </x:c>
      <x:c r="M904" s="73" t="n">
        <x:f>MAX(M903,F904)</x:f>
        <x:v>1.224</x:v>
      </x:c>
      <x:c r="N904" s="74" t="n">
        <x:f>1-F904/M904</x:f>
        <x:v>0</x:v>
      </x:c>
    </x:row>
    <x:row r="905" ht="27" customHeight="1">
      <x:c r="A905" s="66" t="str">
        <x:v>SQD620</x:v>
      </x:c>
      <x:c r="B905" s="66" t="str">
        <x:v>深度梦扬量化套利0号</x:v>
      </x:c>
      <x:c r="C905" s="72" t="n">
        <x:v>45429</x:v>
      </x:c>
      <x:c r="D905" s="73" t="n">
        <x:v>1.22</x:v>
      </x:c>
      <x:c r="E905" s="73" t="n">
        <x:v>1.22</x:v>
      </x:c>
      <x:c r="F905" s="73" t="n">
        <x:v>1.22</x:v>
      </x:c>
      <x:c r="G905" s="74" t="n">
        <x:v>-0.0033</x:v>
      </x:c>
      <x:c r="H905" s="66" t="str">
        <x:v>深度梦扬量化套利0号净值20260911.xlsx</x:v>
      </x:c>
      <x:c r="I905" s="73" t="str">
        <x:f>""</x:f>
      </x:c>
      <x:c r="J905" s="74" t="str">
        <x:f>""</x:f>
      </x:c>
      <x:c r="K905" s="73" t="n">
        <x:f>MAX(K904,F905)</x:f>
        <x:v>1.224</x:v>
      </x:c>
      <x:c r="L905" s="74" t="n">
        <x:f>1-F905/K905</x:f>
        <x:v>0.0032679738562091387</x:v>
      </x:c>
      <x:c r="M905" s="73" t="n">
        <x:f>MAX(M904,F905)</x:f>
        <x:v>1.224</x:v>
      </x:c>
      <x:c r="N905" s="74" t="n">
        <x:f>1-F905/M905</x:f>
        <x:v>0.0032679738562091387</x:v>
      </x:c>
    </x:row>
    <x:row r="906" ht="27" customHeight="1">
      <x:c r="A906" s="66" t="str">
        <x:v>SQD620</x:v>
      </x:c>
      <x:c r="B906" s="66" t="str">
        <x:v>深度梦扬量化套利0号</x:v>
      </x:c>
      <x:c r="C906" s="72" t="n">
        <x:v>45435</x:v>
      </x:c>
      <x:c r="D906" s="73" t="n">
        <x:v>1.221</x:v>
      </x:c>
      <x:c r="E906" s="73" t="n">
        <x:v>1.221</x:v>
      </x:c>
      <x:c r="F906" s="73" t="n">
        <x:v>1.221</x:v>
      </x:c>
      <x:c r="G906" s="74" t="n">
        <x:v>0.0008</x:v>
      </x:c>
      <x:c r="H906" s="66" t="str">
        <x:v>深度梦扬量化套利0号净值20260911.xlsx</x:v>
      </x:c>
      <x:c r="I906" s="73" t="str">
        <x:f>""</x:f>
      </x:c>
      <x:c r="J906" s="74" t="str">
        <x:f>""</x:f>
      </x:c>
      <x:c r="K906" s="73" t="n">
        <x:f>MAX(K905,F906)</x:f>
        <x:v>1.224</x:v>
      </x:c>
      <x:c r="L906" s="74" t="n">
        <x:f>1-F906/K906</x:f>
        <x:v>0.002450980392156743</x:v>
      </x:c>
      <x:c r="M906" s="73" t="n">
        <x:f>MAX(M905,F906)</x:f>
        <x:v>1.224</x:v>
      </x:c>
      <x:c r="N906" s="74" t="n">
        <x:f>1-F906/M906</x:f>
        <x:v>0.002450980392156743</x:v>
      </x:c>
    </x:row>
    <x:row r="907" ht="27" customHeight="1">
      <x:c r="A907" s="66" t="str">
        <x:v>SQD620</x:v>
      </x:c>
      <x:c r="B907" s="66" t="str">
        <x:v>深度梦扬量化套利0号</x:v>
      </x:c>
      <x:c r="C907" s="72" t="n">
        <x:v>45436</x:v>
      </x:c>
      <x:c r="D907" s="73" t="n">
        <x:v>1.229</x:v>
      </x:c>
      <x:c r="E907" s="73" t="n">
        <x:v>1.229</x:v>
      </x:c>
      <x:c r="F907" s="73" t="n">
        <x:v>1.229</x:v>
      </x:c>
      <x:c r="G907" s="74" t="n">
        <x:v>0.0066</x:v>
      </x:c>
      <x:c r="H907" s="66" t="str">
        <x:v>深度梦扬量化套利0号净值20260911.xlsx</x:v>
      </x:c>
      <x:c r="I907" s="73" t="str">
        <x:f>""</x:f>
      </x:c>
      <x:c r="J907" s="74" t="str">
        <x:f>""</x:f>
      </x:c>
      <x:c r="K907" s="73" t="n">
        <x:f>MAX(K906,F907)</x:f>
        <x:v>1.229</x:v>
      </x:c>
      <x:c r="L907" s="74" t="n">
        <x:f>1-F907/K907</x:f>
        <x:v>0</x:v>
      </x:c>
      <x:c r="M907" s="73" t="n">
        <x:f>MAX(M906,F907)</x:f>
        <x:v>1.229</x:v>
      </x:c>
      <x:c r="N907" s="74" t="n">
        <x:f>1-F907/M907</x:f>
        <x:v>0</x:v>
      </x:c>
    </x:row>
    <x:row r="908" ht="27" customHeight="1">
      <x:c r="A908" s="66" t="str">
        <x:v>SQD620</x:v>
      </x:c>
      <x:c r="B908" s="66" t="str">
        <x:v>深度梦扬量化套利0号</x:v>
      </x:c>
      <x:c r="C908" s="72" t="n">
        <x:v>45442</x:v>
      </x:c>
      <x:c r="D908" s="73" t="n">
        <x:v>1.222</x:v>
      </x:c>
      <x:c r="E908" s="73" t="n">
        <x:v>1.222</x:v>
      </x:c>
      <x:c r="F908" s="73" t="n">
        <x:v>1.222</x:v>
      </x:c>
      <x:c r="G908" s="74" t="n">
        <x:v>-0.005699999999999999</x:v>
      </x:c>
      <x:c r="H908" s="66" t="str">
        <x:v>深度梦扬量化套利0号净值20260911.xlsx</x:v>
      </x:c>
      <x:c r="I908" s="73" t="str">
        <x:f>""</x:f>
      </x:c>
      <x:c r="J908" s="74" t="str">
        <x:f>""</x:f>
      </x:c>
      <x:c r="K908" s="73" t="n">
        <x:f>MAX(K907,F908)</x:f>
        <x:v>1.229</x:v>
      </x:c>
      <x:c r="L908" s="74" t="n">
        <x:f>1-F908/K908</x:f>
        <x:v>0.005695687550854478</x:v>
      </x:c>
      <x:c r="M908" s="73" t="n">
        <x:f>MAX(M907,F908)</x:f>
        <x:v>1.229</x:v>
      </x:c>
      <x:c r="N908" s="74" t="n">
        <x:f>1-F908/M908</x:f>
        <x:v>0.005695687550854478</x:v>
      </x:c>
    </x:row>
    <x:row r="909" ht="27" customHeight="1">
      <x:c r="A909" s="66" t="str">
        <x:v>SQD620</x:v>
      </x:c>
      <x:c r="B909" s="66" t="str">
        <x:v>深度梦扬量化套利0号</x:v>
      </x:c>
      <x:c r="C909" s="72" t="n">
        <x:v>45443</x:v>
      </x:c>
      <x:c r="D909" s="73" t="n">
        <x:v>1.224</x:v>
      </x:c>
      <x:c r="E909" s="73" t="n">
        <x:v>1.224</x:v>
      </x:c>
      <x:c r="F909" s="73" t="n">
        <x:v>1.224</x:v>
      </x:c>
      <x:c r="G909" s="74" t="n">
        <x:v>0.0016</x:v>
      </x:c>
      <x:c r="H909" s="66" t="str">
        <x:v>深度梦扬量化套利0号净值20260911.xlsx</x:v>
      </x:c>
      <x:c r="I909" s="73" t="str">
        <x:f>""</x:f>
      </x:c>
      <x:c r="J909" s="74" t="str">
        <x:f>""</x:f>
      </x:c>
      <x:c r="K909" s="73" t="n">
        <x:f>MAX(K908,F909)</x:f>
        <x:v>1.229</x:v>
      </x:c>
      <x:c r="L909" s="74" t="n">
        <x:f>1-F909/K909</x:f>
        <x:v>0.00406834825061031</x:v>
      </x:c>
      <x:c r="M909" s="73" t="n">
        <x:f>MAX(M908,F909)</x:f>
        <x:v>1.229</x:v>
      </x:c>
      <x:c r="N909" s="74" t="n">
        <x:f>1-F909/M909</x:f>
        <x:v>0.00406834825061031</x:v>
      </x:c>
    </x:row>
    <x:row r="910" ht="27" customHeight="1">
      <x:c r="A910" s="66" t="str">
        <x:v>SQD620</x:v>
      </x:c>
      <x:c r="B910" s="66" t="str">
        <x:v>深度梦扬量化套利0号</x:v>
      </x:c>
      <x:c r="C910" s="72" t="n">
        <x:v>45449</x:v>
      </x:c>
      <x:c r="D910" s="73" t="n">
        <x:v>1.223</x:v>
      </x:c>
      <x:c r="E910" s="73" t="n">
        <x:v>1.223</x:v>
      </x:c>
      <x:c r="F910" s="73" t="n">
        <x:v>1.223</x:v>
      </x:c>
      <x:c r="G910" s="74" t="n">
        <x:v>-0.0008</x:v>
      </x:c>
      <x:c r="H910" s="66" t="str">
        <x:v>深度梦扬量化套利0号净值20260911.xlsx</x:v>
      </x:c>
      <x:c r="I910" s="73" t="str">
        <x:f>""</x:f>
      </x:c>
      <x:c r="J910" s="74" t="str">
        <x:f>""</x:f>
      </x:c>
      <x:c r="K910" s="73" t="n">
        <x:f>MAX(K909,F910)</x:f>
        <x:v>1.229</x:v>
      </x:c>
      <x:c r="L910" s="74" t="n">
        <x:f>1-F910/K910</x:f>
        <x:v>0.004882017900732283</x:v>
      </x:c>
      <x:c r="M910" s="73" t="n">
        <x:f>MAX(M909,F910)</x:f>
        <x:v>1.229</x:v>
      </x:c>
      <x:c r="N910" s="74" t="n">
        <x:f>1-F910/M910</x:f>
        <x:v>0.004882017900732283</x:v>
      </x:c>
    </x:row>
    <x:row r="911" ht="27" customHeight="1">
      <x:c r="A911" s="66" t="str">
        <x:v>SQD620</x:v>
      </x:c>
      <x:c r="B911" s="66" t="str">
        <x:v>深度梦扬量化套利0号</x:v>
      </x:c>
      <x:c r="C911" s="72" t="n">
        <x:v>45450</x:v>
      </x:c>
      <x:c r="D911" s="73" t="n">
        <x:v>1.224</x:v>
      </x:c>
      <x:c r="E911" s="73" t="n">
        <x:v>1.224</x:v>
      </x:c>
      <x:c r="F911" s="73" t="n">
        <x:v>1.224</x:v>
      </x:c>
      <x:c r="G911" s="74" t="n">
        <x:v>0.0008</x:v>
      </x:c>
      <x:c r="H911" s="66" t="str">
        <x:v>深度梦扬量化套利0号净值20260911.xlsx</x:v>
      </x:c>
      <x:c r="I911" s="73" t="str">
        <x:f>""</x:f>
      </x:c>
      <x:c r="J911" s="74" t="str">
        <x:f>""</x:f>
      </x:c>
      <x:c r="K911" s="73" t="n">
        <x:f>MAX(K910,F911)</x:f>
        <x:v>1.229</x:v>
      </x:c>
      <x:c r="L911" s="74" t="n">
        <x:f>1-F911/K911</x:f>
        <x:v>0.00406834825061031</x:v>
      </x:c>
      <x:c r="M911" s="73" t="n">
        <x:f>MAX(M910,F911)</x:f>
        <x:v>1.229</x:v>
      </x:c>
      <x:c r="N911" s="74" t="n">
        <x:f>1-F911/M911</x:f>
        <x:v>0.00406834825061031</x:v>
      </x:c>
    </x:row>
    <x:row r="912" ht="27" customHeight="1">
      <x:c r="A912" s="66" t="str">
        <x:v>SQD620</x:v>
      </x:c>
      <x:c r="B912" s="66" t="str">
        <x:v>深度梦扬量化套利0号</x:v>
      </x:c>
      <x:c r="C912" s="72" t="n">
        <x:v>45456</x:v>
      </x:c>
      <x:c r="D912" s="73" t="n">
        <x:v>1.219</x:v>
      </x:c>
      <x:c r="E912" s="73" t="n">
        <x:v>1.219</x:v>
      </x:c>
      <x:c r="F912" s="73" t="n">
        <x:v>1.219</x:v>
      </x:c>
      <x:c r="G912" s="74" t="n">
        <x:v>-0.0040999999999999995</x:v>
      </x:c>
      <x:c r="H912" s="66" t="str">
        <x:v>深度梦扬量化套利0号净值20260911.xlsx</x:v>
      </x:c>
      <x:c r="I912" s="73" t="str">
        <x:f>""</x:f>
      </x:c>
      <x:c r="J912" s="74" t="str">
        <x:f>""</x:f>
      </x:c>
      <x:c r="K912" s="73" t="n">
        <x:f>MAX(K911,F912)</x:f>
        <x:v>1.229</x:v>
      </x:c>
      <x:c r="L912" s="74" t="n">
        <x:f>1-F912/K912</x:f>
        <x:v>0.008136696501220508</x:v>
      </x:c>
      <x:c r="M912" s="73" t="n">
        <x:f>MAX(M911,F912)</x:f>
        <x:v>1.229</x:v>
      </x:c>
      <x:c r="N912" s="74" t="n">
        <x:f>1-F912/M912</x:f>
        <x:v>0.008136696501220508</x:v>
      </x:c>
    </x:row>
    <x:row r="913" ht="27" customHeight="1">
      <x:c r="A913" s="66" t="str">
        <x:v>SQD620</x:v>
      </x:c>
      <x:c r="B913" s="66" t="str">
        <x:v>深度梦扬量化套利0号</x:v>
      </x:c>
      <x:c r="C913" s="72" t="n">
        <x:v>45457</x:v>
      </x:c>
      <x:c r="D913" s="73" t="n">
        <x:v>1.221</x:v>
      </x:c>
      <x:c r="E913" s="73" t="n">
        <x:v>1.221</x:v>
      </x:c>
      <x:c r="F913" s="73" t="n">
        <x:v>1.221</x:v>
      </x:c>
      <x:c r="G913" s="74" t="n">
        <x:v>0.0016</x:v>
      </x:c>
      <x:c r="H913" s="66" t="str">
        <x:v>深度梦扬量化套利0号净值20260911.xlsx</x:v>
      </x:c>
      <x:c r="I913" s="73" t="str">
        <x:f>""</x:f>
      </x:c>
      <x:c r="J913" s="74" t="str">
        <x:f>""</x:f>
      </x:c>
      <x:c r="K913" s="73" t="n">
        <x:f>MAX(K912,F913)</x:f>
        <x:v>1.229</x:v>
      </x:c>
      <x:c r="L913" s="74" t="n">
        <x:f>1-F913/K913</x:f>
        <x:v>0.006509357200976451</x:v>
      </x:c>
      <x:c r="M913" s="73" t="n">
        <x:f>MAX(M912,F913)</x:f>
        <x:v>1.229</x:v>
      </x:c>
      <x:c r="N913" s="74" t="n">
        <x:f>1-F913/M913</x:f>
        <x:v>0.006509357200976451</x:v>
      </x:c>
    </x:row>
    <x:row r="914" ht="27" customHeight="1">
      <x:c r="A914" s="66" t="str">
        <x:v>SQD620</x:v>
      </x:c>
      <x:c r="B914" s="66" t="str">
        <x:v>深度梦扬量化套利0号</x:v>
      </x:c>
      <x:c r="C914" s="72" t="n">
        <x:v>45463</x:v>
      </x:c>
      <x:c r="D914" s="73" t="n">
        <x:v>1.222</x:v>
      </x:c>
      <x:c r="E914" s="73" t="n">
        <x:v>1.222</x:v>
      </x:c>
      <x:c r="F914" s="73" t="n">
        <x:v>1.222</x:v>
      </x:c>
      <x:c r="G914" s="74" t="n">
        <x:v>0.0008</x:v>
      </x:c>
      <x:c r="H914" s="66" t="str">
        <x:v>深度梦扬量化套利0号净值20260911.xlsx</x:v>
      </x:c>
      <x:c r="I914" s="73" t="str">
        <x:f>""</x:f>
      </x:c>
      <x:c r="J914" s="74" t="str">
        <x:f>""</x:f>
      </x:c>
      <x:c r="K914" s="73" t="n">
        <x:f>MAX(K913,F914)</x:f>
        <x:v>1.229</x:v>
      </x:c>
      <x:c r="L914" s="74" t="n">
        <x:f>1-F914/K914</x:f>
        <x:v>0.005695687550854478</x:v>
      </x:c>
      <x:c r="M914" s="73" t="n">
        <x:f>MAX(M913,F914)</x:f>
        <x:v>1.229</x:v>
      </x:c>
      <x:c r="N914" s="74" t="n">
        <x:f>1-F914/M914</x:f>
        <x:v>0.005695687550854478</x:v>
      </x:c>
    </x:row>
    <x:row r="915" ht="27" customHeight="1">
      <x:c r="A915" s="66" t="str">
        <x:v>SQD620</x:v>
      </x:c>
      <x:c r="B915" s="66" t="str">
        <x:v>深度梦扬量化套利0号</x:v>
      </x:c>
      <x:c r="C915" s="72" t="n">
        <x:v>45464</x:v>
      </x:c>
      <x:c r="D915" s="73" t="n">
        <x:v>1.222</x:v>
      </x:c>
      <x:c r="E915" s="73" t="n">
        <x:v>1.222</x:v>
      </x:c>
      <x:c r="F915" s="73" t="n">
        <x:v>1.222</x:v>
      </x:c>
      <x:c r="G915" s="74" t="n">
        <x:v>0</x:v>
      </x:c>
      <x:c r="H915" s="66" t="str">
        <x:v>深度梦扬量化套利0号净值20260911.xlsx</x:v>
      </x:c>
      <x:c r="I915" s="73" t="str">
        <x:f>""</x:f>
      </x:c>
      <x:c r="J915" s="74" t="str">
        <x:f>""</x:f>
      </x:c>
      <x:c r="K915" s="73" t="n">
        <x:f>MAX(K914,F915)</x:f>
        <x:v>1.229</x:v>
      </x:c>
      <x:c r="L915" s="74" t="n">
        <x:f>1-F915/K915</x:f>
        <x:v>0.005695687550854478</x:v>
      </x:c>
      <x:c r="M915" s="73" t="n">
        <x:f>MAX(M914,F915)</x:f>
        <x:v>1.229</x:v>
      </x:c>
      <x:c r="N915" s="74" t="n">
        <x:f>1-F915/M915</x:f>
        <x:v>0.005695687550854478</x:v>
      </x:c>
    </x:row>
    <x:row r="916" ht="27" customHeight="1">
      <x:c r="A916" s="66" t="str">
        <x:v>SQD620</x:v>
      </x:c>
      <x:c r="B916" s="66" t="str">
        <x:v>深度梦扬量化套利0号</x:v>
      </x:c>
      <x:c r="C916" s="72" t="n">
        <x:v>45470</x:v>
      </x:c>
      <x:c r="D916" s="73" t="n">
        <x:v>1.227</x:v>
      </x:c>
      <x:c r="E916" s="73" t="n">
        <x:v>1.227</x:v>
      </x:c>
      <x:c r="F916" s="73" t="n">
        <x:v>1.227</x:v>
      </x:c>
      <x:c r="G916" s="74" t="n">
        <x:v>0.0040999999999999995</x:v>
      </x:c>
      <x:c r="H916" s="66" t="str">
        <x:v>深度梦扬量化套利0号净值20260911.xlsx</x:v>
      </x:c>
      <x:c r="I916" s="73" t="str">
        <x:f>""</x:f>
      </x:c>
      <x:c r="J916" s="74" t="str">
        <x:f>""</x:f>
      </x:c>
      <x:c r="K916" s="73" t="n">
        <x:f>MAX(K915,F916)</x:f>
        <x:v>1.229</x:v>
      </x:c>
      <x:c r="L916" s="74" t="n">
        <x:f>1-F916/K916</x:f>
        <x:v>0.0016273393002440573</x:v>
      </x:c>
      <x:c r="M916" s="73" t="n">
        <x:f>MAX(M915,F916)</x:f>
        <x:v>1.229</x:v>
      </x:c>
      <x:c r="N916" s="74" t="n">
        <x:f>1-F916/M916</x:f>
        <x:v>0.0016273393002440573</x:v>
      </x:c>
    </x:row>
    <x:row r="917" ht="27" customHeight="1">
      <x:c r="A917" s="66" t="str">
        <x:v>SQD620</x:v>
      </x:c>
      <x:c r="B917" s="66" t="str">
        <x:v>深度梦扬量化套利0号</x:v>
      </x:c>
      <x:c r="C917" s="72" t="n">
        <x:v>45471</x:v>
      </x:c>
      <x:c r="D917" s="73" t="n">
        <x:v>1.226</x:v>
      </x:c>
      <x:c r="E917" s="73" t="n">
        <x:v>1.226</x:v>
      </x:c>
      <x:c r="F917" s="73" t="n">
        <x:v>1.226</x:v>
      </x:c>
      <x:c r="G917" s="74" t="n">
        <x:v>-0.0008</x:v>
      </x:c>
      <x:c r="H917" s="66" t="str">
        <x:v>深度梦扬量化套利0号净值20260911.xlsx</x:v>
      </x:c>
      <x:c r="I917" s="73" t="str">
        <x:f>""</x:f>
      </x:c>
      <x:c r="J917" s="74" t="str">
        <x:f>""</x:f>
      </x:c>
      <x:c r="K917" s="73" t="n">
        <x:f>MAX(K916,F917)</x:f>
        <x:v>1.229</x:v>
      </x:c>
      <x:c r="L917" s="74" t="n">
        <x:f>1-F917/K917</x:f>
        <x:v>0.0024410089503662524</x:v>
      </x:c>
      <x:c r="M917" s="73" t="n">
        <x:f>MAX(M916,F917)</x:f>
        <x:v>1.229</x:v>
      </x:c>
      <x:c r="N917" s="74" t="n">
        <x:f>1-F917/M917</x:f>
        <x:v>0.0024410089503662524</x:v>
      </x:c>
    </x:row>
    <x:row r="918" ht="27" customHeight="1">
      <x:c r="A918" s="66" t="str">
        <x:v>SQD620</x:v>
      </x:c>
      <x:c r="B918" s="66" t="str">
        <x:v>深度梦扬量化套利0号</x:v>
      </x:c>
      <x:c r="C918" s="72" t="n">
        <x:v>45477</x:v>
      </x:c>
      <x:c r="D918" s="73" t="n">
        <x:v>1.229</x:v>
      </x:c>
      <x:c r="E918" s="73" t="n">
        <x:v>1.229</x:v>
      </x:c>
      <x:c r="F918" s="73" t="n">
        <x:v>1.229</x:v>
      </x:c>
      <x:c r="G918" s="74" t="n">
        <x:v>0.0024</x:v>
      </x:c>
      <x:c r="H918" s="66" t="str">
        <x:v>深度梦扬量化套利0号净值20260911.xlsx</x:v>
      </x:c>
      <x:c r="I918" s="73" t="str">
        <x:f>""</x:f>
      </x:c>
      <x:c r="J918" s="74" t="str">
        <x:f>""</x:f>
      </x:c>
      <x:c r="K918" s="73" t="n">
        <x:f>MAX(K917,F918)</x:f>
        <x:v>1.229</x:v>
      </x:c>
      <x:c r="L918" s="74" t="n">
        <x:f>1-F918/K918</x:f>
        <x:v>0</x:v>
      </x:c>
      <x:c r="M918" s="73" t="n">
        <x:f>MAX(M917,F918)</x:f>
        <x:v>1.229</x:v>
      </x:c>
      <x:c r="N918" s="74" t="n">
        <x:f>1-F918/M918</x:f>
        <x:v>0</x:v>
      </x:c>
    </x:row>
    <x:row r="919" ht="27" customHeight="1">
      <x:c r="A919" s="66" t="str">
        <x:v>SQD620</x:v>
      </x:c>
      <x:c r="B919" s="66" t="str">
        <x:v>深度梦扬量化套利0号</x:v>
      </x:c>
      <x:c r="C919" s="72" t="n">
        <x:v>45478</x:v>
      </x:c>
      <x:c r="D919" s="73" t="n">
        <x:v>1.229</x:v>
      </x:c>
      <x:c r="E919" s="73" t="n">
        <x:v>1.229</x:v>
      </x:c>
      <x:c r="F919" s="73" t="n">
        <x:v>1.229</x:v>
      </x:c>
      <x:c r="G919" s="74" t="n">
        <x:v>0</x:v>
      </x:c>
      <x:c r="H919" s="66" t="str">
        <x:v>深度梦扬量化套利0号净值20260911.xlsx</x:v>
      </x:c>
      <x:c r="I919" s="73" t="str">
        <x:f>""</x:f>
      </x:c>
      <x:c r="J919" s="74" t="str">
        <x:f>""</x:f>
      </x:c>
      <x:c r="K919" s="73" t="n">
        <x:f>MAX(K918,F919)</x:f>
        <x:v>1.229</x:v>
      </x:c>
      <x:c r="L919" s="74" t="n">
        <x:f>1-F919/K919</x:f>
        <x:v>0</x:v>
      </x:c>
      <x:c r="M919" s="73" t="n">
        <x:f>MAX(M918,F919)</x:f>
        <x:v>1.229</x:v>
      </x:c>
      <x:c r="N919" s="74" t="n">
        <x:f>1-F919/M919</x:f>
        <x:v>0</x:v>
      </x:c>
    </x:row>
    <x:row r="920" ht="27" customHeight="1">
      <x:c r="A920" s="66" t="str">
        <x:v>SQD620</x:v>
      </x:c>
      <x:c r="B920" s="66" t="str">
        <x:v>深度梦扬量化套利0号</x:v>
      </x:c>
      <x:c r="C920" s="72" t="n">
        <x:v>45484</x:v>
      </x:c>
      <x:c r="D920" s="73" t="n">
        <x:v>1.231</x:v>
      </x:c>
      <x:c r="E920" s="73" t="n">
        <x:v>1.231</x:v>
      </x:c>
      <x:c r="F920" s="73" t="n">
        <x:v>1.231</x:v>
      </x:c>
      <x:c r="G920" s="74" t="n">
        <x:v>0.0016</x:v>
      </x:c>
      <x:c r="H920" s="66" t="str">
        <x:v>深度梦扬量化套利0号净值20260911.xlsx</x:v>
      </x:c>
      <x:c r="I920" s="73" t="str">
        <x:f>""</x:f>
      </x:c>
      <x:c r="J920" s="74" t="str">
        <x:f>""</x:f>
      </x:c>
      <x:c r="K920" s="73" t="n">
        <x:f>MAX(K919,F920)</x:f>
        <x:v>1.231</x:v>
      </x:c>
      <x:c r="L920" s="74" t="n">
        <x:f>1-F920/K920</x:f>
        <x:v>0</x:v>
      </x:c>
      <x:c r="M920" s="73" t="n">
        <x:f>MAX(M919,F920)</x:f>
        <x:v>1.231</x:v>
      </x:c>
      <x:c r="N920" s="74" t="n">
        <x:f>1-F920/M920</x:f>
        <x:v>0</x:v>
      </x:c>
    </x:row>
    <x:row r="921" ht="27" customHeight="1">
      <x:c r="A921" s="66" t="str">
        <x:v>SQD620</x:v>
      </x:c>
      <x:c r="B921" s="66" t="str">
        <x:v>深度梦扬量化套利0号</x:v>
      </x:c>
      <x:c r="C921" s="72" t="n">
        <x:v>45485</x:v>
      </x:c>
      <x:c r="D921" s="73" t="n">
        <x:v>1.229</x:v>
      </x:c>
      <x:c r="E921" s="73" t="n">
        <x:v>1.229</x:v>
      </x:c>
      <x:c r="F921" s="73" t="n">
        <x:v>1.229</x:v>
      </x:c>
      <x:c r="G921" s="74" t="n">
        <x:v>-0.0016</x:v>
      </x:c>
      <x:c r="H921" s="66" t="str">
        <x:v>深度梦扬量化套利0号净值20260911.xlsx</x:v>
      </x:c>
      <x:c r="I921" s="73" t="str">
        <x:f>""</x:f>
      </x:c>
      <x:c r="J921" s="74" t="str">
        <x:f>""</x:f>
      </x:c>
      <x:c r="K921" s="73" t="n">
        <x:f>MAX(K920,F921)</x:f>
        <x:v>1.231</x:v>
      </x:c>
      <x:c r="L921" s="74" t="n">
        <x:f>1-F921/K921</x:f>
        <x:v>0.0016246953696181787</x:v>
      </x:c>
      <x:c r="M921" s="73" t="n">
        <x:f>MAX(M920,F921)</x:f>
        <x:v>1.231</x:v>
      </x:c>
      <x:c r="N921" s="74" t="n">
        <x:f>1-F921/M921</x:f>
        <x:v>0.0016246953696181787</x:v>
      </x:c>
    </x:row>
    <x:row r="922" ht="27" customHeight="1">
      <x:c r="A922" s="66" t="str">
        <x:v>SQD620</x:v>
      </x:c>
      <x:c r="B922" s="66" t="str">
        <x:v>深度梦扬量化套利0号</x:v>
      </x:c>
      <x:c r="C922" s="72" t="n">
        <x:v>45491</x:v>
      </x:c>
      <x:c r="D922" s="73" t="n">
        <x:v>1.233</x:v>
      </x:c>
      <x:c r="E922" s="73" t="n">
        <x:v>1.233</x:v>
      </x:c>
      <x:c r="F922" s="73" t="n">
        <x:v>1.233</x:v>
      </x:c>
      <x:c r="G922" s="74" t="n">
        <x:v>0.0033</x:v>
      </x:c>
      <x:c r="H922" s="66" t="str">
        <x:v>深度梦扬量化套利0号净值20260911.xlsx</x:v>
      </x:c>
      <x:c r="I922" s="73" t="str">
        <x:f>""</x:f>
      </x:c>
      <x:c r="J922" s="74" t="str">
        <x:f>""</x:f>
      </x:c>
      <x:c r="K922" s="73" t="n">
        <x:f>MAX(K921,F922)</x:f>
        <x:v>1.233</x:v>
      </x:c>
      <x:c r="L922" s="74" t="n">
        <x:f>1-F922/K922</x:f>
        <x:v>0</x:v>
      </x:c>
      <x:c r="M922" s="73" t="n">
        <x:f>MAX(M921,F922)</x:f>
        <x:v>1.233</x:v>
      </x:c>
      <x:c r="N922" s="74" t="n">
        <x:f>1-F922/M922</x:f>
        <x:v>0</x:v>
      </x:c>
    </x:row>
    <x:row r="923" ht="27" customHeight="1">
      <x:c r="A923" s="66" t="str">
        <x:v>SQD620</x:v>
      </x:c>
      <x:c r="B923" s="66" t="str">
        <x:v>深度梦扬量化套利0号</x:v>
      </x:c>
      <x:c r="C923" s="72" t="n">
        <x:v>45492</x:v>
      </x:c>
      <x:c r="D923" s="73" t="n">
        <x:v>1.233</x:v>
      </x:c>
      <x:c r="E923" s="73" t="n">
        <x:v>1.233</x:v>
      </x:c>
      <x:c r="F923" s="73" t="n">
        <x:v>1.233</x:v>
      </x:c>
      <x:c r="G923" s="74" t="n">
        <x:v>0</x:v>
      </x:c>
      <x:c r="H923" s="66" t="str">
        <x:v>深度梦扬量化套利0号净值20260911.xlsx</x:v>
      </x:c>
      <x:c r="I923" s="73" t="str">
        <x:f>""</x:f>
      </x:c>
      <x:c r="J923" s="74" t="str">
        <x:f>""</x:f>
      </x:c>
      <x:c r="K923" s="73" t="n">
        <x:f>MAX(K922,F923)</x:f>
        <x:v>1.233</x:v>
      </x:c>
      <x:c r="L923" s="74" t="n">
        <x:f>1-F923/K923</x:f>
        <x:v>0</x:v>
      </x:c>
      <x:c r="M923" s="73" t="n">
        <x:f>MAX(M922,F923)</x:f>
        <x:v>1.233</x:v>
      </x:c>
      <x:c r="N923" s="74" t="n">
        <x:f>1-F923/M923</x:f>
        <x:v>0</x:v>
      </x:c>
    </x:row>
    <x:row r="924" ht="27" customHeight="1">
      <x:c r="A924" s="66" t="str">
        <x:v>SQD620</x:v>
      </x:c>
      <x:c r="B924" s="66" t="str">
        <x:v>深度梦扬量化套利0号</x:v>
      </x:c>
      <x:c r="C924" s="72" t="n">
        <x:v>45498</x:v>
      </x:c>
      <x:c r="D924" s="73" t="n">
        <x:v>1.235</x:v>
      </x:c>
      <x:c r="E924" s="73" t="n">
        <x:v>1.235</x:v>
      </x:c>
      <x:c r="F924" s="73" t="n">
        <x:v>1.235</x:v>
      </x:c>
      <x:c r="G924" s="74" t="n">
        <x:v>0.0016</x:v>
      </x:c>
      <x:c r="H924" s="66" t="str">
        <x:v>深度梦扬量化套利0号净值20260911.xlsx</x:v>
      </x:c>
      <x:c r="I924" s="73" t="str">
        <x:f>""</x:f>
      </x:c>
      <x:c r="J924" s="74" t="str">
        <x:f>""</x:f>
      </x:c>
      <x:c r="K924" s="73" t="n">
        <x:f>MAX(K923,F924)</x:f>
        <x:v>1.235</x:v>
      </x:c>
      <x:c r="L924" s="74" t="n">
        <x:f>1-F924/K924</x:f>
        <x:v>0</x:v>
      </x:c>
      <x:c r="M924" s="73" t="n">
        <x:f>MAX(M923,F924)</x:f>
        <x:v>1.235</x:v>
      </x:c>
      <x:c r="N924" s="74" t="n">
        <x:f>1-F924/M924</x:f>
        <x:v>0</x:v>
      </x:c>
    </x:row>
    <x:row r="925" ht="27" customHeight="1">
      <x:c r="A925" s="66" t="str">
        <x:v>SQD620</x:v>
      </x:c>
      <x:c r="B925" s="66" t="str">
        <x:v>深度梦扬量化套利0号</x:v>
      </x:c>
      <x:c r="C925" s="72" t="n">
        <x:v>45499</x:v>
      </x:c>
      <x:c r="D925" s="73" t="n">
        <x:v>1.233</x:v>
      </x:c>
      <x:c r="E925" s="73" t="n">
        <x:v>1.233</x:v>
      </x:c>
      <x:c r="F925" s="73" t="n">
        <x:v>1.233</x:v>
      </x:c>
      <x:c r="G925" s="74" t="n">
        <x:v>-0.0016</x:v>
      </x:c>
      <x:c r="H925" s="66" t="str">
        <x:v>深度梦扬量化套利0号净值20260911.xlsx</x:v>
      </x:c>
      <x:c r="I925" s="73" t="str">
        <x:f>""</x:f>
      </x:c>
      <x:c r="J925" s="74" t="str">
        <x:f>""</x:f>
      </x:c>
      <x:c r="K925" s="73" t="n">
        <x:f>MAX(K924,F925)</x:f>
        <x:v>1.235</x:v>
      </x:c>
      <x:c r="L925" s="74" t="n">
        <x:f>1-F925/K925</x:f>
        <x:v>0.0016194331983805377</x:v>
      </x:c>
      <x:c r="M925" s="73" t="n">
        <x:f>MAX(M924,F925)</x:f>
        <x:v>1.235</x:v>
      </x:c>
      <x:c r="N925" s="74" t="n">
        <x:f>1-F925/M925</x:f>
        <x:v>0.0016194331983805377</x:v>
      </x:c>
    </x:row>
    <x:row r="926" ht="27" customHeight="1">
      <x:c r="A926" s="66" t="str">
        <x:v>SQD620</x:v>
      </x:c>
      <x:c r="B926" s="66" t="str">
        <x:v>深度梦扬量化套利0号</x:v>
      </x:c>
      <x:c r="C926" s="72" t="n">
        <x:v>45504</x:v>
      </x:c>
      <x:c r="D926" s="73" t="n">
        <x:v>1.241</x:v>
      </x:c>
      <x:c r="E926" s="73" t="n">
        <x:v>1.241</x:v>
      </x:c>
      <x:c r="F926" s="73" t="n">
        <x:v>1.241</x:v>
      </x:c>
      <x:c r="G926" s="74" t="n">
        <x:v>0.006500000000000001</x:v>
      </x:c>
      <x:c r="H926" s="66" t="str">
        <x:v>深度梦扬量化套利0号净值20260911.xlsx</x:v>
      </x:c>
      <x:c r="I926" s="73" t="str">
        <x:f>""</x:f>
      </x:c>
      <x:c r="J926" s="74" t="str">
        <x:f>""</x:f>
      </x:c>
      <x:c r="K926" s="73" t="n">
        <x:f>MAX(K925,F926)</x:f>
        <x:v>1.241</x:v>
      </x:c>
      <x:c r="L926" s="74" t="n">
        <x:f>1-F926/K926</x:f>
        <x:v>0</x:v>
      </x:c>
      <x:c r="M926" s="73" t="n">
        <x:f>MAX(M925,F926)</x:f>
        <x:v>1.241</x:v>
      </x:c>
      <x:c r="N926" s="74" t="n">
        <x:f>1-F926/M926</x:f>
        <x:v>0</x:v>
      </x:c>
    </x:row>
    <x:row r="927" ht="27" customHeight="1">
      <x:c r="A927" s="66" t="str">
        <x:v>SQD620</x:v>
      </x:c>
      <x:c r="B927" s="66" t="str">
        <x:v>深度梦扬量化套利0号</x:v>
      </x:c>
      <x:c r="C927" s="72" t="n">
        <x:v>45506</x:v>
      </x:c>
      <x:c r="D927" s="73" t="n">
        <x:v>1.244</x:v>
      </x:c>
      <x:c r="E927" s="73" t="n">
        <x:v>1.244</x:v>
      </x:c>
      <x:c r="F927" s="73" t="n">
        <x:v>1.244</x:v>
      </x:c>
      <x:c r="G927" s="74" t="n">
        <x:v>0.0024</x:v>
      </x:c>
      <x:c r="H927" s="66" t="str">
        <x:v>深度梦扬量化套利0号净值20260911.xlsx</x:v>
      </x:c>
      <x:c r="I927" s="73" t="str">
        <x:f>""</x:f>
      </x:c>
      <x:c r="J927" s="74" t="str">
        <x:f>""</x:f>
      </x:c>
      <x:c r="K927" s="73" t="n">
        <x:f>MAX(K926,F927)</x:f>
        <x:v>1.244</x:v>
      </x:c>
      <x:c r="L927" s="74" t="n">
        <x:f>1-F927/K927</x:f>
        <x:v>0</x:v>
      </x:c>
      <x:c r="M927" s="73" t="n">
        <x:f>MAX(M926,F927)</x:f>
        <x:v>1.244</x:v>
      </x:c>
      <x:c r="N927" s="74" t="n">
        <x:f>1-F927/M927</x:f>
        <x:v>0</x:v>
      </x:c>
    </x:row>
    <x:row r="928" ht="27" customHeight="1">
      <x:c r="A928" s="66" t="str">
        <x:v>SQD620</x:v>
      </x:c>
      <x:c r="B928" s="66" t="str">
        <x:v>深度梦扬量化套利0号</x:v>
      </x:c>
      <x:c r="C928" s="72" t="n">
        <x:v>45513</x:v>
      </x:c>
      <x:c r="D928" s="73" t="n">
        <x:v>1.243</x:v>
      </x:c>
      <x:c r="E928" s="73" t="n">
        <x:v>1.243</x:v>
      </x:c>
      <x:c r="F928" s="73" t="n">
        <x:v>1.243</x:v>
      </x:c>
      <x:c r="G928" s="74" t="n">
        <x:v>-0.0008</x:v>
      </x:c>
      <x:c r="H928" s="66" t="str">
        <x:v>深度梦扬量化套利0号净值20260911.xlsx</x:v>
      </x:c>
      <x:c r="I928" s="73" t="str">
        <x:f>""</x:f>
      </x:c>
      <x:c r="J928" s="74" t="str">
        <x:f>""</x:f>
      </x:c>
      <x:c r="K928" s="73" t="n">
        <x:f>MAX(K927,F928)</x:f>
        <x:v>1.244</x:v>
      </x:c>
      <x:c r="L928" s="74" t="n">
        <x:f>1-F928/K928</x:f>
        <x:v>0.000803858520900258</x:v>
      </x:c>
      <x:c r="M928" s="73" t="n">
        <x:f>MAX(M927,F928)</x:f>
        <x:v>1.244</x:v>
      </x:c>
      <x:c r="N928" s="74" t="n">
        <x:f>1-F928/M928</x:f>
        <x:v>0.000803858520900258</x:v>
      </x:c>
    </x:row>
    <x:row r="929" ht="27" customHeight="1">
      <x:c r="A929" s="66" t="str">
        <x:v>SQD620</x:v>
      </x:c>
      <x:c r="B929" s="66" t="str">
        <x:v>深度梦扬量化套利0号</x:v>
      </x:c>
      <x:c r="C929" s="72" t="n">
        <x:v>45520</x:v>
      </x:c>
      <x:c r="D929" s="73" t="n">
        <x:v>1.242</x:v>
      </x:c>
      <x:c r="E929" s="73" t="n">
        <x:v>1.242</x:v>
      </x:c>
      <x:c r="F929" s="73" t="n">
        <x:v>1.242</x:v>
      </x:c>
      <x:c r="G929" s="74" t="n">
        <x:v>-0.0008</x:v>
      </x:c>
      <x:c r="H929" s="66" t="str">
        <x:v>深度梦扬量化套利0号净值20260911.xlsx</x:v>
      </x:c>
      <x:c r="I929" s="73" t="str">
        <x:f>""</x:f>
      </x:c>
      <x:c r="J929" s="74" t="str">
        <x:f>""</x:f>
      </x:c>
      <x:c r="K929" s="73" t="n">
        <x:f>MAX(K928,F929)</x:f>
        <x:v>1.244</x:v>
      </x:c>
      <x:c r="L929" s="74" t="n">
        <x:f>1-F929/K929</x:f>
        <x:v>0.001607717041800627</x:v>
      </x:c>
      <x:c r="M929" s="73" t="n">
        <x:f>MAX(M928,F929)</x:f>
        <x:v>1.244</x:v>
      </x:c>
      <x:c r="N929" s="74" t="n">
        <x:f>1-F929/M929</x:f>
        <x:v>0.001607717041800627</x:v>
      </x:c>
    </x:row>
    <x:row r="930" ht="27" customHeight="1">
      <x:c r="A930" s="66" t="str">
        <x:v>SQD620</x:v>
      </x:c>
      <x:c r="B930" s="66" t="str">
        <x:v>深度梦扬量化套利0号</x:v>
      </x:c>
      <x:c r="C930" s="72" t="n">
        <x:v>45527</x:v>
      </x:c>
      <x:c r="D930" s="73" t="n">
        <x:v>1.244</x:v>
      </x:c>
      <x:c r="E930" s="73" t="n">
        <x:v>1.244</x:v>
      </x:c>
      <x:c r="F930" s="73" t="n">
        <x:v>1.244</x:v>
      </x:c>
      <x:c r="G930" s="74" t="n">
        <x:v>0.0016</x:v>
      </x:c>
      <x:c r="H930" s="66" t="str">
        <x:v>深度梦扬量化套利0号净值20260911.xlsx</x:v>
      </x:c>
      <x:c r="I930" s="73" t="str">
        <x:f>""</x:f>
      </x:c>
      <x:c r="J930" s="74" t="str">
        <x:f>""</x:f>
      </x:c>
      <x:c r="K930" s="73" t="n">
        <x:f>MAX(K929,F930)</x:f>
        <x:v>1.244</x:v>
      </x:c>
      <x:c r="L930" s="74" t="n">
        <x:f>1-F930/K930</x:f>
        <x:v>0</x:v>
      </x:c>
      <x:c r="M930" s="73" t="n">
        <x:f>MAX(M929,F930)</x:f>
        <x:v>1.244</x:v>
      </x:c>
      <x:c r="N930" s="74" t="n">
        <x:f>1-F930/M930</x:f>
        <x:v>0</x:v>
      </x:c>
    </x:row>
    <x:row r="931" ht="27" customHeight="1">
      <x:c r="A931" s="66" t="str">
        <x:v>SQD620</x:v>
      </x:c>
      <x:c r="B931" s="66" t="str">
        <x:v>深度梦扬量化套利0号</x:v>
      </x:c>
      <x:c r="C931" s="72" t="n">
        <x:v>45534</x:v>
      </x:c>
      <x:c r="D931" s="73" t="n">
        <x:v>1.246</x:v>
      </x:c>
      <x:c r="E931" s="73" t="n">
        <x:v>1.246</x:v>
      </x:c>
      <x:c r="F931" s="73" t="n">
        <x:v>1.246</x:v>
      </x:c>
      <x:c r="G931" s="74" t="n">
        <x:v>0.0016</x:v>
      </x:c>
      <x:c r="H931" s="66" t="str">
        <x:v>深度梦扬量化套利0号净值20260911.xlsx</x:v>
      </x:c>
      <x:c r="I931" s="73" t="str">
        <x:f>""</x:f>
      </x:c>
      <x:c r="J931" s="74" t="str">
        <x:f>""</x:f>
      </x:c>
      <x:c r="K931" s="73" t="n">
        <x:f>MAX(K930,F931)</x:f>
        <x:v>1.246</x:v>
      </x:c>
      <x:c r="L931" s="74" t="n">
        <x:f>1-F931/K931</x:f>
        <x:v>0</x:v>
      </x:c>
      <x:c r="M931" s="73" t="n">
        <x:f>MAX(M930,F931)</x:f>
        <x:v>1.246</x:v>
      </x:c>
      <x:c r="N931" s="74" t="n">
        <x:f>1-F931/M931</x:f>
        <x:v>0</x:v>
      </x:c>
    </x:row>
    <x:row r="932" ht="27" customHeight="1">
      <x:c r="A932" s="66" t="str">
        <x:v>SQD620</x:v>
      </x:c>
      <x:c r="B932" s="66" t="str">
        <x:v>深度梦扬量化套利0号</x:v>
      </x:c>
      <x:c r="C932" s="72" t="n">
        <x:v>45541</x:v>
      </x:c>
      <x:c r="D932" s="73" t="n">
        <x:v>1.248</x:v>
      </x:c>
      <x:c r="E932" s="73" t="n">
        <x:v>1.248</x:v>
      </x:c>
      <x:c r="F932" s="73" t="n">
        <x:v>1.248</x:v>
      </x:c>
      <x:c r="G932" s="74" t="n">
        <x:v>0.0016</x:v>
      </x:c>
      <x:c r="H932" s="66" t="str">
        <x:v>深度梦扬量化套利0号净值20260911.xlsx</x:v>
      </x:c>
      <x:c r="I932" s="73" t="str">
        <x:f>""</x:f>
      </x:c>
      <x:c r="J932" s="74" t="str">
        <x:f>""</x:f>
      </x:c>
      <x:c r="K932" s="73" t="n">
        <x:f>MAX(K931,F932)</x:f>
        <x:v>1.248</x:v>
      </x:c>
      <x:c r="L932" s="74" t="n">
        <x:f>1-F932/K932</x:f>
        <x:v>0</x:v>
      </x:c>
      <x:c r="M932" s="73" t="n">
        <x:f>MAX(M931,F932)</x:f>
        <x:v>1.248</x:v>
      </x:c>
      <x:c r="N932" s="74" t="n">
        <x:f>1-F932/M932</x:f>
        <x:v>0</x:v>
      </x:c>
    </x:row>
    <x:row r="933" ht="27" customHeight="1">
      <x:c r="A933" s="66" t="str">
        <x:v>SQD620</x:v>
      </x:c>
      <x:c r="B933" s="66" t="str">
        <x:v>深度梦扬量化套利0号</x:v>
      </x:c>
      <x:c r="C933" s="72" t="n">
        <x:v>45548</x:v>
      </x:c>
      <x:c r="D933" s="73" t="n">
        <x:v>1.243</x:v>
      </x:c>
      <x:c r="E933" s="73" t="n">
        <x:v>1.243</x:v>
      </x:c>
      <x:c r="F933" s="73" t="n">
        <x:v>1.243</x:v>
      </x:c>
      <x:c r="G933" s="74" t="n">
        <x:v>-0.004</x:v>
      </x:c>
      <x:c r="H933" s="66" t="str">
        <x:v>深度梦扬量化套利0号净值20260911.xlsx</x:v>
      </x:c>
      <x:c r="I933" s="73" t="str">
        <x:f>""</x:f>
      </x:c>
      <x:c r="J933" s="74" t="str">
        <x:f>""</x:f>
      </x:c>
      <x:c r="K933" s="73" t="n">
        <x:f>MAX(K932,F933)</x:f>
        <x:v>1.248</x:v>
      </x:c>
      <x:c r="L933" s="74" t="n">
        <x:f>1-F933/K933</x:f>
        <x:v>0.004006410256410131</x:v>
      </x:c>
      <x:c r="M933" s="73" t="n">
        <x:f>MAX(M932,F933)</x:f>
        <x:v>1.248</x:v>
      </x:c>
      <x:c r="N933" s="74" t="n">
        <x:f>1-F933/M933</x:f>
        <x:v>0.004006410256410131</x:v>
      </x:c>
    </x:row>
    <x:row r="934" ht="27" customHeight="1">
      <x:c r="A934" s="66" t="str">
        <x:v>SQD620</x:v>
      </x:c>
      <x:c r="B934" s="66" t="str">
        <x:v>深度梦扬量化套利0号</x:v>
      </x:c>
      <x:c r="C934" s="72" t="n">
        <x:v>45555</x:v>
      </x:c>
      <x:c r="D934" s="73" t="n">
        <x:v>1.239</x:v>
      </x:c>
      <x:c r="E934" s="73" t="n">
        <x:v>1.239</x:v>
      </x:c>
      <x:c r="F934" s="73" t="n">
        <x:v>1.239</x:v>
      </x:c>
      <x:c r="G934" s="74" t="n">
        <x:v>-0.0032</x:v>
      </x:c>
      <x:c r="H934" s="66" t="str">
        <x:v>深度梦扬量化套利0号净值20260911.xlsx</x:v>
      </x:c>
      <x:c r="I934" s="73" t="str">
        <x:f>""</x:f>
      </x:c>
      <x:c r="J934" s="74" t="str">
        <x:f>""</x:f>
      </x:c>
      <x:c r="K934" s="73" t="n">
        <x:f>MAX(K933,F934)</x:f>
        <x:v>1.248</x:v>
      </x:c>
      <x:c r="L934" s="74" t="n">
        <x:f>1-F934/K934</x:f>
        <x:v>0.007211538461538325</x:v>
      </x:c>
      <x:c r="M934" s="73" t="n">
        <x:f>MAX(M933,F934)</x:f>
        <x:v>1.248</x:v>
      </x:c>
      <x:c r="N934" s="74" t="n">
        <x:f>1-F934/M934</x:f>
        <x:v>0.007211538461538325</x:v>
      </x:c>
    </x:row>
    <x:row r="935" ht="27" customHeight="1">
      <x:c r="A935" s="66" t="str">
        <x:v>SQD620</x:v>
      </x:c>
      <x:c r="B935" s="66" t="str">
        <x:v>深度梦扬量化套利0号</x:v>
      </x:c>
      <x:c r="C935" s="72" t="n">
        <x:v>45562</x:v>
      </x:c>
      <x:c r="D935" s="73" t="n">
        <x:v>1.265</x:v>
      </x:c>
      <x:c r="E935" s="73" t="n">
        <x:v>1.265</x:v>
      </x:c>
      <x:c r="F935" s="73" t="n">
        <x:v>1.265</x:v>
      </x:c>
      <x:c r="G935" s="74" t="n">
        <x:v>0.021</x:v>
      </x:c>
      <x:c r="H935" s="66" t="str">
        <x:v>深度梦扬量化套利0号净值20260911.xlsx</x:v>
      </x:c>
      <x:c r="I935" s="73" t="str">
        <x:f>""</x:f>
      </x:c>
      <x:c r="J935" s="74" t="str">
        <x:f>""</x:f>
      </x:c>
      <x:c r="K935" s="73" t="n">
        <x:f>MAX(K934,F935)</x:f>
        <x:v>1.265</x:v>
      </x:c>
      <x:c r="L935" s="74" t="n">
        <x:f>1-F935/K935</x:f>
        <x:v>0</x:v>
      </x:c>
      <x:c r="M935" s="73" t="n">
        <x:f>MAX(M934,F935)</x:f>
        <x:v>1.265</x:v>
      </x:c>
      <x:c r="N935" s="74" t="n">
        <x:f>1-F935/M935</x:f>
        <x:v>0</x:v>
      </x:c>
    </x:row>
    <x:row r="936" ht="27" customHeight="1">
      <x:c r="A936" s="66" t="str">
        <x:v>SQD620</x:v>
      </x:c>
      <x:c r="B936" s="66" t="str">
        <x:v>深度梦扬量化套利0号</x:v>
      </x:c>
      <x:c r="C936" s="72" t="n">
        <x:v>45565</x:v>
      </x:c>
      <x:c r="D936" s="73" t="n">
        <x:v>1.276</x:v>
      </x:c>
      <x:c r="E936" s="73" t="n">
        <x:v>1.276</x:v>
      </x:c>
      <x:c r="F936" s="73" t="n">
        <x:v>1.276</x:v>
      </x:c>
      <x:c r="G936" s="74" t="n">
        <x:v>0.0087</x:v>
      </x:c>
      <x:c r="H936" s="66" t="str">
        <x:v>深度梦扬量化套利0号净值20260911.xlsx</x:v>
      </x:c>
      <x:c r="I936" s="73" t="str">
        <x:f>""</x:f>
      </x:c>
      <x:c r="J936" s="74" t="str">
        <x:f>""</x:f>
      </x:c>
      <x:c r="K936" s="73" t="n">
        <x:f>MAX(K935,F936)</x:f>
        <x:v>1.276</x:v>
      </x:c>
      <x:c r="L936" s="74" t="n">
        <x:f>1-F936/K936</x:f>
        <x:v>0</x:v>
      </x:c>
      <x:c r="M936" s="73" t="n">
        <x:f>MAX(M935,F936)</x:f>
        <x:v>1.276</x:v>
      </x:c>
      <x:c r="N936" s="74" t="n">
        <x:f>1-F936/M936</x:f>
        <x:v>0</x:v>
      </x:c>
    </x:row>
    <x:row r="937" ht="27" customHeight="1">
      <x:c r="A937" s="66" t="str">
        <x:v>SQD620</x:v>
      </x:c>
      <x:c r="B937" s="66" t="str">
        <x:v>深度梦扬量化套利0号</x:v>
      </x:c>
      <x:c r="C937" s="72" t="n">
        <x:v>45576</x:v>
      </x:c>
      <x:c r="D937" s="73" t="n">
        <x:v>1.286</x:v>
      </x:c>
      <x:c r="E937" s="73" t="n">
        <x:v>1.286</x:v>
      </x:c>
      <x:c r="F937" s="73" t="n">
        <x:v>1.286</x:v>
      </x:c>
      <x:c r="G937" s="74" t="n">
        <x:v>0.0078000000000000005</x:v>
      </x:c>
      <x:c r="H937" s="66" t="str">
        <x:v>深度梦扬量化套利0号净值20260911.xlsx</x:v>
      </x:c>
      <x:c r="I937" s="73" t="str">
        <x:f>""</x:f>
      </x:c>
      <x:c r="J937" s="74" t="str">
        <x:f>""</x:f>
      </x:c>
      <x:c r="K937" s="73" t="n">
        <x:f>MAX(K936,F937)</x:f>
        <x:v>1.286</x:v>
      </x:c>
      <x:c r="L937" s="74" t="n">
        <x:f>1-F937/K937</x:f>
        <x:v>0</x:v>
      </x:c>
      <x:c r="M937" s="73" t="n">
        <x:f>MAX(M936,F937)</x:f>
        <x:v>1.286</x:v>
      </x:c>
      <x:c r="N937" s="74" t="n">
        <x:f>1-F937/M937</x:f>
        <x:v>0</x:v>
      </x:c>
    </x:row>
    <x:row r="938" ht="27" customHeight="1">
      <x:c r="A938" s="66" t="str">
        <x:v>SQD620</x:v>
      </x:c>
      <x:c r="B938" s="66" t="str">
        <x:v>深度梦扬量化套利0号</x:v>
      </x:c>
      <x:c r="C938" s="72" t="n">
        <x:v>45583</x:v>
      </x:c>
      <x:c r="D938" s="73" t="n">
        <x:v>1.305</x:v>
      </x:c>
      <x:c r="E938" s="73" t="n">
        <x:v>1.305</x:v>
      </x:c>
      <x:c r="F938" s="73" t="n">
        <x:v>1.305</x:v>
      </x:c>
      <x:c r="G938" s="74" t="n">
        <x:v>0.0148</x:v>
      </x:c>
      <x:c r="H938" s="66" t="str">
        <x:v>深度梦扬量化套利0号净值20260911.xlsx</x:v>
      </x:c>
      <x:c r="I938" s="73" t="str">
        <x:f>""</x:f>
      </x:c>
      <x:c r="J938" s="74" t="str">
        <x:f>""</x:f>
      </x:c>
      <x:c r="K938" s="73" t="n">
        <x:f>MAX(K937,F938)</x:f>
        <x:v>1.305</x:v>
      </x:c>
      <x:c r="L938" s="74" t="n">
        <x:f>1-F938/K938</x:f>
        <x:v>0</x:v>
      </x:c>
      <x:c r="M938" s="73" t="n">
        <x:f>MAX(M937,F938)</x:f>
        <x:v>1.305</x:v>
      </x:c>
      <x:c r="N938" s="74" t="n">
        <x:f>1-F938/M938</x:f>
        <x:v>0</x:v>
      </x:c>
    </x:row>
    <x:row r="939" ht="27" customHeight="1">
      <x:c r="A939" s="66" t="str">
        <x:v>SQD620</x:v>
      </x:c>
      <x:c r="B939" s="66" t="str">
        <x:v>深度梦扬量化套利0号</x:v>
      </x:c>
      <x:c r="C939" s="72" t="n">
        <x:v>45590</x:v>
      </x:c>
      <x:c r="D939" s="73" t="n">
        <x:v>1.304</x:v>
      </x:c>
      <x:c r="E939" s="73" t="n">
        <x:v>1.304</x:v>
      </x:c>
      <x:c r="F939" s="73" t="n">
        <x:v>1.304</x:v>
      </x:c>
      <x:c r="G939" s="74" t="n">
        <x:v>-0.0008</x:v>
      </x:c>
      <x:c r="H939" s="66" t="str">
        <x:v>深度梦扬量化套利0号净值20260911.xlsx</x:v>
      </x:c>
      <x:c r="I939" s="73" t="str">
        <x:f>""</x:f>
      </x:c>
      <x:c r="J939" s="74" t="str">
        <x:f>""</x:f>
      </x:c>
      <x:c r="K939" s="73" t="n">
        <x:f>MAX(K938,F939)</x:f>
        <x:v>1.305</x:v>
      </x:c>
      <x:c r="L939" s="74" t="n">
        <x:f>1-F939/K939</x:f>
        <x:v>0.0007662835249041544</x:v>
      </x:c>
      <x:c r="M939" s="73" t="n">
        <x:f>MAX(M938,F939)</x:f>
        <x:v>1.305</x:v>
      </x:c>
      <x:c r="N939" s="74" t="n">
        <x:f>1-F939/M939</x:f>
        <x:v>0.0007662835249041544</x:v>
      </x:c>
    </x:row>
    <x:row r="940" ht="27" customHeight="1">
      <x:c r="A940" s="66" t="str">
        <x:v>SQD620</x:v>
      </x:c>
      <x:c r="B940" s="66" t="str">
        <x:v>深度梦扬量化套利0号</x:v>
      </x:c>
      <x:c r="C940" s="72" t="n">
        <x:v>45596</x:v>
      </x:c>
      <x:c r="D940" s="73" t="n">
        <x:v>1.307</x:v>
      </x:c>
      <x:c r="E940" s="73" t="n">
        <x:v>1.307</x:v>
      </x:c>
      <x:c r="F940" s="73" t="n">
        <x:v>1.307</x:v>
      </x:c>
      <x:c r="G940" s="74" t="n">
        <x:v>0.0023</x:v>
      </x:c>
      <x:c r="H940" s="66" t="str">
        <x:v>深度梦扬量化套利0号净值20260911.xlsx</x:v>
      </x:c>
      <x:c r="I940" s="73" t="str">
        <x:f>""</x:f>
      </x:c>
      <x:c r="J940" s="74" t="str">
        <x:f>""</x:f>
      </x:c>
      <x:c r="K940" s="73" t="n">
        <x:f>MAX(K939,F940)</x:f>
        <x:v>1.307</x:v>
      </x:c>
      <x:c r="L940" s="74" t="n">
        <x:f>1-F940/K940</x:f>
        <x:v>0</x:v>
      </x:c>
      <x:c r="M940" s="73" t="n">
        <x:f>MAX(M939,F940)</x:f>
        <x:v>1.307</x:v>
      </x:c>
      <x:c r="N940" s="74" t="n">
        <x:f>1-F940/M940</x:f>
        <x:v>0</x:v>
      </x:c>
    </x:row>
    <x:row r="941" ht="27" customHeight="1">
      <x:c r="A941" s="66" t="str">
        <x:v>SQD620</x:v>
      </x:c>
      <x:c r="B941" s="66" t="str">
        <x:v>深度梦扬量化套利0号</x:v>
      </x:c>
      <x:c r="C941" s="72" t="n">
        <x:v>45597</x:v>
      </x:c>
      <x:c r="D941" s="73" t="n">
        <x:v>1.304</x:v>
      </x:c>
      <x:c r="E941" s="73" t="n">
        <x:v>1.304</x:v>
      </x:c>
      <x:c r="F941" s="73" t="n">
        <x:v>1.304</x:v>
      </x:c>
      <x:c r="G941" s="74" t="n">
        <x:v>-0.0023</x:v>
      </x:c>
      <x:c r="H941" s="66" t="str">
        <x:v>深度梦扬量化套利0号净值20260911.xlsx</x:v>
      </x:c>
      <x:c r="I941" s="73" t="str">
        <x:f>""</x:f>
      </x:c>
      <x:c r="J941" s="74" t="str">
        <x:f>""</x:f>
      </x:c>
      <x:c r="K941" s="73" t="n">
        <x:f>MAX(K940,F941)</x:f>
        <x:v>1.307</x:v>
      </x:c>
      <x:c r="L941" s="74" t="n">
        <x:f>1-F941/K941</x:f>
        <x:v>0.002295332823259333</x:v>
      </x:c>
      <x:c r="M941" s="73" t="n">
        <x:f>MAX(M940,F941)</x:f>
        <x:v>1.307</x:v>
      </x:c>
      <x:c r="N941" s="74" t="n">
        <x:f>1-F941/M941</x:f>
        <x:v>0.002295332823259333</x:v>
      </x:c>
    </x:row>
    <x:row r="942" ht="27" customHeight="1">
      <x:c r="A942" s="66" t="str">
        <x:v>SQD620</x:v>
      </x:c>
      <x:c r="B942" s="66" t="str">
        <x:v>深度梦扬量化套利0号</x:v>
      </x:c>
      <x:c r="C942" s="72" t="n">
        <x:v>45604</x:v>
      </x:c>
      <x:c r="D942" s="73" t="n">
        <x:v>1.321</x:v>
      </x:c>
      <x:c r="E942" s="73" t="n">
        <x:v>1.321</x:v>
      </x:c>
      <x:c r="F942" s="73" t="n">
        <x:v>1.321</x:v>
      </x:c>
      <x:c r="G942" s="74" t="n">
        <x:v>0.013000000000000001</x:v>
      </x:c>
      <x:c r="H942" s="66" t="str">
        <x:v>深度梦扬量化套利0号净值20260911.xlsx</x:v>
      </x:c>
      <x:c r="I942" s="73" t="str">
        <x:f>""</x:f>
      </x:c>
      <x:c r="J942" s="74" t="str">
        <x:f>""</x:f>
      </x:c>
      <x:c r="K942" s="73" t="n">
        <x:f>MAX(K941,F942)</x:f>
        <x:v>1.321</x:v>
      </x:c>
      <x:c r="L942" s="74" t="n">
        <x:f>1-F942/K942</x:f>
        <x:v>0</x:v>
      </x:c>
      <x:c r="M942" s="73" t="n">
        <x:f>MAX(M941,F942)</x:f>
        <x:v>1.321</x:v>
      </x:c>
      <x:c r="N942" s="74" t="n">
        <x:f>1-F942/M942</x:f>
        <x:v>0</x:v>
      </x:c>
    </x:row>
    <x:row r="943" ht="27" customHeight="1">
      <x:c r="A943" s="66" t="str">
        <x:v>SQD620</x:v>
      </x:c>
      <x:c r="B943" s="66" t="str">
        <x:v>深度梦扬量化套利0号</x:v>
      </x:c>
      <x:c r="C943" s="72" t="n">
        <x:v>45611</x:v>
      </x:c>
      <x:c r="D943" s="73" t="n">
        <x:v>1.323</x:v>
      </x:c>
      <x:c r="E943" s="73" t="n">
        <x:v>1.323</x:v>
      </x:c>
      <x:c r="F943" s="73" t="n">
        <x:v>1.323</x:v>
      </x:c>
      <x:c r="G943" s="74" t="n">
        <x:v>0.0015</x:v>
      </x:c>
      <x:c r="H943" s="66" t="str">
        <x:v>深度梦扬量化套利0号净值20260911.xlsx</x:v>
      </x:c>
      <x:c r="I943" s="73" t="str">
        <x:f>""</x:f>
      </x:c>
      <x:c r="J943" s="74" t="str">
        <x:f>""</x:f>
      </x:c>
      <x:c r="K943" s="73" t="n">
        <x:f>MAX(K942,F943)</x:f>
        <x:v>1.323</x:v>
      </x:c>
      <x:c r="L943" s="74" t="n">
        <x:f>1-F943/K943</x:f>
        <x:v>0</x:v>
      </x:c>
      <x:c r="M943" s="73" t="n">
        <x:f>MAX(M942,F943)</x:f>
        <x:v>1.323</x:v>
      </x:c>
      <x:c r="N943" s="74" t="n">
        <x:f>1-F943/M943</x:f>
        <x:v>0</x:v>
      </x:c>
    </x:row>
    <x:row r="944" ht="27" customHeight="1">
      <x:c r="A944" s="66" t="str">
        <x:v>SQD620</x:v>
      </x:c>
      <x:c r="B944" s="66" t="str">
        <x:v>深度梦扬量化套利0号</x:v>
      </x:c>
      <x:c r="C944" s="72" t="n">
        <x:v>45618</x:v>
      </x:c>
      <x:c r="D944" s="73" t="n">
        <x:v>1.338</x:v>
      </x:c>
      <x:c r="E944" s="73" t="n">
        <x:v>1.338</x:v>
      </x:c>
      <x:c r="F944" s="73" t="n">
        <x:v>1.338</x:v>
      </x:c>
      <x:c r="G944" s="74" t="n">
        <x:v>0.0113</x:v>
      </x:c>
      <x:c r="H944" s="66" t="str">
        <x:v>深度梦扬量化套利0号净值20260911.xlsx</x:v>
      </x:c>
      <x:c r="I944" s="73" t="str">
        <x:f>""</x:f>
      </x:c>
      <x:c r="J944" s="74" t="str">
        <x:f>""</x:f>
      </x:c>
      <x:c r="K944" s="73" t="n">
        <x:f>MAX(K943,F944)</x:f>
        <x:v>1.338</x:v>
      </x:c>
      <x:c r="L944" s="74" t="n">
        <x:f>1-F944/K944</x:f>
        <x:v>0</x:v>
      </x:c>
      <x:c r="M944" s="73" t="n">
        <x:f>MAX(M943,F944)</x:f>
        <x:v>1.338</x:v>
      </x:c>
      <x:c r="N944" s="74" t="n">
        <x:f>1-F944/M944</x:f>
        <x:v>0</x:v>
      </x:c>
    </x:row>
    <x:row r="945" ht="27" customHeight="1">
      <x:c r="A945" s="66" t="str">
        <x:v>SQD620</x:v>
      </x:c>
      <x:c r="B945" s="66" t="str">
        <x:v>深度梦扬量化套利0号</x:v>
      </x:c>
      <x:c r="C945" s="72" t="n">
        <x:v>45625</x:v>
      </x:c>
      <x:c r="D945" s="73" t="n">
        <x:v>1.339</x:v>
      </x:c>
      <x:c r="E945" s="73" t="n">
        <x:v>1.339</x:v>
      </x:c>
      <x:c r="F945" s="73" t="n">
        <x:v>1.339</x:v>
      </x:c>
      <x:c r="G945" s="74" t="n">
        <x:v>0.0007000000000000001</x:v>
      </x:c>
      <x:c r="H945" s="66" t="str">
        <x:v>深度梦扬量化套利0号净值20260911.xlsx</x:v>
      </x:c>
      <x:c r="I945" s="73" t="str">
        <x:f>""</x:f>
      </x:c>
      <x:c r="J945" s="74" t="str">
        <x:f>""</x:f>
      </x:c>
      <x:c r="K945" s="73" t="n">
        <x:f>MAX(K944,F945)</x:f>
        <x:v>1.339</x:v>
      </x:c>
      <x:c r="L945" s="74" t="n">
        <x:f>1-F945/K945</x:f>
        <x:v>0</x:v>
      </x:c>
      <x:c r="M945" s="73" t="n">
        <x:f>MAX(M944,F945)</x:f>
        <x:v>1.339</x:v>
      </x:c>
      <x:c r="N945" s="74" t="n">
        <x:f>1-F945/M945</x:f>
        <x:v>0</x:v>
      </x:c>
    </x:row>
    <x:row r="946" ht="27" customHeight="1">
      <x:c r="A946" s="66" t="str">
        <x:v>SQD620</x:v>
      </x:c>
      <x:c r="B946" s="66" t="str">
        <x:v>深度梦扬量化套利0号</x:v>
      </x:c>
      <x:c r="C946" s="72" t="n">
        <x:v>45632</x:v>
      </x:c>
      <x:c r="D946" s="73" t="n">
        <x:v>1.337</x:v>
      </x:c>
      <x:c r="E946" s="73" t="n">
        <x:v>1.337</x:v>
      </x:c>
      <x:c r="F946" s="73" t="n">
        <x:v>1.337</x:v>
      </x:c>
      <x:c r="G946" s="74" t="n">
        <x:v>-0.0015</x:v>
      </x:c>
      <x:c r="H946" s="66" t="str">
        <x:v>深度梦扬量化套利0号净值20260911.xlsx</x:v>
      </x:c>
      <x:c r="I946" s="73" t="str">
        <x:f>""</x:f>
      </x:c>
      <x:c r="J946" s="74" t="str">
        <x:f>""</x:f>
      </x:c>
      <x:c r="K946" s="73" t="n">
        <x:f>MAX(K945,F946)</x:f>
        <x:v>1.339</x:v>
      </x:c>
      <x:c r="L946" s="74" t="n">
        <x:f>1-F946/K946</x:f>
        <x:v>0.0014936519790889058</x:v>
      </x:c>
      <x:c r="M946" s="73" t="n">
        <x:f>MAX(M945,F946)</x:f>
        <x:v>1.339</x:v>
      </x:c>
      <x:c r="N946" s="74" t="n">
        <x:f>1-F946/M946</x:f>
        <x:v>0.0014936519790889058</x:v>
      </x:c>
    </x:row>
    <x:row r="947" ht="27" customHeight="1">
      <x:c r="A947" s="66" t="str">
        <x:v>SQD620</x:v>
      </x:c>
      <x:c r="B947" s="66" t="str">
        <x:v>深度梦扬量化套利0号</x:v>
      </x:c>
      <x:c r="C947" s="72" t="n">
        <x:v>45639</x:v>
      </x:c>
      <x:c r="D947" s="73" t="n">
        <x:v>1.341</x:v>
      </x:c>
      <x:c r="E947" s="73" t="n">
        <x:v>1.341</x:v>
      </x:c>
      <x:c r="F947" s="73" t="n">
        <x:v>1.341</x:v>
      </x:c>
      <x:c r="G947" s="74" t="n">
        <x:v>0.003</x:v>
      </x:c>
      <x:c r="H947" s="66" t="str">
        <x:v>深度梦扬量化套利0号净值20260911.xlsx</x:v>
      </x:c>
      <x:c r="I947" s="73" t="str">
        <x:f>""</x:f>
      </x:c>
      <x:c r="J947" s="74" t="str">
        <x:f>""</x:f>
      </x:c>
      <x:c r="K947" s="73" t="n">
        <x:f>MAX(K946,F947)</x:f>
        <x:v>1.341</x:v>
      </x:c>
      <x:c r="L947" s="74" t="n">
        <x:f>1-F947/K947</x:f>
        <x:v>0</x:v>
      </x:c>
      <x:c r="M947" s="73" t="n">
        <x:f>MAX(M946,F947)</x:f>
        <x:v>1.341</x:v>
      </x:c>
      <x:c r="N947" s="74" t="n">
        <x:f>1-F947/M947</x:f>
        <x:v>0</x:v>
      </x:c>
    </x:row>
    <x:row r="948" ht="27" customHeight="1">
      <x:c r="A948" s="66" t="str">
        <x:v>SQD620</x:v>
      </x:c>
      <x:c r="B948" s="66" t="str">
        <x:v>深度梦扬量化套利0号</x:v>
      </x:c>
      <x:c r="C948" s="72" t="n">
        <x:v>45646</x:v>
      </x:c>
      <x:c r="D948" s="73" t="n">
        <x:v>1.336</x:v>
      </x:c>
      <x:c r="E948" s="73" t="n">
        <x:v>1.336</x:v>
      </x:c>
      <x:c r="F948" s="73" t="n">
        <x:v>1.336</x:v>
      </x:c>
      <x:c r="G948" s="74" t="n">
        <x:v>-0.0037</x:v>
      </x:c>
      <x:c r="H948" s="66" t="str">
        <x:v>深度梦扬量化套利0号净值20260911.xlsx</x:v>
      </x:c>
      <x:c r="I948" s="73" t="str">
        <x:f>""</x:f>
      </x:c>
      <x:c r="J948" s="74" t="str">
        <x:f>""</x:f>
      </x:c>
      <x:c r="K948" s="73" t="n">
        <x:f>MAX(K947,F948)</x:f>
        <x:v>1.341</x:v>
      </x:c>
      <x:c r="L948" s="74" t="n">
        <x:f>1-F948/K948</x:f>
        <x:v>0.0037285607755405126</x:v>
      </x:c>
      <x:c r="M948" s="73" t="n">
        <x:f>MAX(M947,F948)</x:f>
        <x:v>1.341</x:v>
      </x:c>
      <x:c r="N948" s="74" t="n">
        <x:f>1-F948/M948</x:f>
        <x:v>0.0037285607755405126</x:v>
      </x:c>
    </x:row>
    <x:row r="949" ht="27" customHeight="1">
      <x:c r="A949" s="66" t="str">
        <x:v>SQD620</x:v>
      </x:c>
      <x:c r="B949" s="66" t="str">
        <x:v>深度梦扬量化套利0号</x:v>
      </x:c>
      <x:c r="C949" s="72" t="n">
        <x:v>45653</x:v>
      </x:c>
      <x:c r="D949" s="73" t="n">
        <x:v>1.334</x:v>
      </x:c>
      <x:c r="E949" s="73" t="n">
        <x:v>1.334</x:v>
      </x:c>
      <x:c r="F949" s="73" t="n">
        <x:v>1.334</x:v>
      </x:c>
      <x:c r="G949" s="74" t="n">
        <x:v>-0.0015</x:v>
      </x:c>
      <x:c r="H949" s="66" t="str">
        <x:v>深度梦扬量化套利0号净值20260911.xlsx</x:v>
      </x:c>
      <x:c r="I949" s="73" t="str">
        <x:f>""</x:f>
      </x:c>
      <x:c r="J949" s="74" t="str">
        <x:f>""</x:f>
      </x:c>
      <x:c r="K949" s="73" t="n">
        <x:f>MAX(K948,F949)</x:f>
        <x:v>1.341</x:v>
      </x:c>
      <x:c r="L949" s="74" t="n">
        <x:f>1-F949/K949</x:f>
        <x:v>0.005219985085756829</x:v>
      </x:c>
      <x:c r="M949" s="73" t="n">
        <x:f>MAX(M948,F949)</x:f>
        <x:v>1.341</x:v>
      </x:c>
      <x:c r="N949" s="74" t="n">
        <x:f>1-F949/M949</x:f>
        <x:v>0.005219985085756829</x:v>
      </x:c>
    </x:row>
    <x:row r="950" ht="27" customHeight="1">
      <x:c r="A950" s="66" t="str">
        <x:v>SQD620</x:v>
      </x:c>
      <x:c r="B950" s="66" t="str">
        <x:v>深度梦扬量化套利0号</x:v>
      </x:c>
      <x:c r="C950" s="72" t="n">
        <x:v>45657</x:v>
      </x:c>
      <x:c r="D950" s="73" t="n">
        <x:v>1.341</x:v>
      </x:c>
      <x:c r="E950" s="73" t="n">
        <x:v>1.341</x:v>
      </x:c>
      <x:c r="F950" s="73" t="n">
        <x:v>1.341</x:v>
      </x:c>
      <x:c r="G950" s="74" t="n">
        <x:v>0.0052</x:v>
      </x:c>
      <x:c r="H950" s="66" t="str">
        <x:v>深度梦扬量化套利0号净值20260911.xlsx</x:v>
      </x:c>
      <x:c r="I950" s="73" t="str">
        <x:f>""</x:f>
      </x:c>
      <x:c r="J950" s="74" t="str">
        <x:f>""</x:f>
      </x:c>
      <x:c r="K950" s="73" t="n">
        <x:f>MAX(K949,F950)</x:f>
        <x:v>1.341</x:v>
      </x:c>
      <x:c r="L950" s="74" t="n">
        <x:f>1-F950/K950</x:f>
        <x:v>0</x:v>
      </x:c>
      <x:c r="M950" s="73" t="n">
        <x:f>MAX(M949,F950)</x:f>
        <x:v>1.341</x:v>
      </x:c>
      <x:c r="N950" s="74" t="n">
        <x:f>1-F950/M950</x:f>
        <x:v>0</x:v>
      </x:c>
    </x:row>
    <x:row r="951" ht="27" customHeight="1">
      <x:c r="A951" s="66" t="str">
        <x:v>SQD620</x:v>
      </x:c>
      <x:c r="B951" s="66" t="str">
        <x:v>深度梦扬量化套利0号</x:v>
      </x:c>
      <x:c r="C951" s="72" t="n">
        <x:v>45660</x:v>
      </x:c>
      <x:c r="D951" s="73" t="n">
        <x:v>1.347</x:v>
      </x:c>
      <x:c r="E951" s="73" t="n">
        <x:v>1.347</x:v>
      </x:c>
      <x:c r="F951" s="73" t="n">
        <x:v>1.347</x:v>
      </x:c>
      <x:c r="G951" s="74" t="n">
        <x:v>0.0045000000000000005</x:v>
      </x:c>
      <x:c r="H951" s="66" t="str">
        <x:v>深度梦扬量化套利0号净值20260911.xlsx</x:v>
      </x:c>
      <x:c r="I951" s="73" t="str">
        <x:f>""</x:f>
      </x:c>
      <x:c r="J951" s="74" t="str">
        <x:f>""</x:f>
      </x:c>
      <x:c r="K951" s="73" t="n">
        <x:f>MAX(K950,F951)</x:f>
        <x:v>1.347</x:v>
      </x:c>
      <x:c r="L951" s="74" t="n">
        <x:f>1-F951/K951</x:f>
        <x:v>0</x:v>
      </x:c>
      <x:c r="M951" s="73" t="n">
        <x:f>MAX(M950,F951)</x:f>
        <x:v>1.347</x:v>
      </x:c>
      <x:c r="N951" s="74" t="n">
        <x:f>1-F951/M951</x:f>
        <x:v>0</x:v>
      </x:c>
    </x:row>
    <x:row r="952" ht="27" customHeight="1">
      <x:c r="A952" s="66" t="str">
        <x:v>SQD620</x:v>
      </x:c>
      <x:c r="B952" s="66" t="str">
        <x:v>深度梦扬量化套利0号</x:v>
      </x:c>
      <x:c r="C952" s="72" t="n">
        <x:v>45667</x:v>
      </x:c>
      <x:c r="D952" s="73" t="n">
        <x:v>1.341</x:v>
      </x:c>
      <x:c r="E952" s="73" t="n">
        <x:v>1.341</x:v>
      </x:c>
      <x:c r="F952" s="73" t="n">
        <x:v>1.341</x:v>
      </x:c>
      <x:c r="G952" s="74" t="n">
        <x:v>-0.0045000000000000005</x:v>
      </x:c>
      <x:c r="H952" s="66" t="str">
        <x:v>深度梦扬量化套利0号净值20260911.xlsx</x:v>
      </x:c>
      <x:c r="I952" s="73" t="str">
        <x:f>""</x:f>
      </x:c>
      <x:c r="J952" s="74" t="str">
        <x:f>""</x:f>
      </x:c>
      <x:c r="K952" s="73" t="n">
        <x:f>MAX(K951,F952)</x:f>
        <x:v>1.347</x:v>
      </x:c>
      <x:c r="L952" s="74" t="n">
        <x:f>1-F952/K952</x:f>
        <x:v>0.0044543429844098315</x:v>
      </x:c>
      <x:c r="M952" s="73" t="n">
        <x:f>MAX(M951,F952)</x:f>
        <x:v>1.347</x:v>
      </x:c>
      <x:c r="N952" s="74" t="n">
        <x:f>1-F952/M952</x:f>
        <x:v>0.0044543429844098315</x:v>
      </x:c>
    </x:row>
    <x:row r="953" ht="27" customHeight="1">
      <x:c r="A953" s="66" t="str">
        <x:v>SQD620</x:v>
      </x:c>
      <x:c r="B953" s="66" t="str">
        <x:v>深度梦扬量化套利0号</x:v>
      </x:c>
      <x:c r="C953" s="72" t="n">
        <x:v>45674</x:v>
      </x:c>
      <x:c r="D953" s="73" t="n">
        <x:v>1.347</x:v>
      </x:c>
      <x:c r="E953" s="73" t="n">
        <x:v>1.347</x:v>
      </x:c>
      <x:c r="F953" s="73" t="n">
        <x:v>1.347</x:v>
      </x:c>
      <x:c r="G953" s="74" t="n">
        <x:v>0.0045000000000000005</x:v>
      </x:c>
      <x:c r="H953" s="66" t="str">
        <x:v>深度梦扬量化套利0号净值20260911.xlsx</x:v>
      </x:c>
      <x:c r="I953" s="73" t="str">
        <x:f>""</x:f>
      </x:c>
      <x:c r="J953" s="74" t="str">
        <x:f>""</x:f>
      </x:c>
      <x:c r="K953" s="73" t="n">
        <x:f>MAX(K952,F953)</x:f>
        <x:v>1.347</x:v>
      </x:c>
      <x:c r="L953" s="74" t="n">
        <x:f>1-F953/K953</x:f>
        <x:v>0</x:v>
      </x:c>
      <x:c r="M953" s="73" t="n">
        <x:f>MAX(M952,F953)</x:f>
        <x:v>1.347</x:v>
      </x:c>
      <x:c r="N953" s="74" t="n">
        <x:f>1-F953/M953</x:f>
        <x:v>0</x:v>
      </x:c>
    </x:row>
    <x:row r="954" ht="27" customHeight="1">
      <x:c r="A954" s="66" t="str">
        <x:v>SQD620</x:v>
      </x:c>
      <x:c r="B954" s="66" t="str">
        <x:v>深度梦扬量化套利0号</x:v>
      </x:c>
      <x:c r="C954" s="72" t="n">
        <x:v>45681</x:v>
      </x:c>
      <x:c r="D954" s="73" t="n">
        <x:v>1.343</x:v>
      </x:c>
      <x:c r="E954" s="73" t="n">
        <x:v>1.343</x:v>
      </x:c>
      <x:c r="F954" s="73" t="n">
        <x:v>1.343</x:v>
      </x:c>
      <x:c r="G954" s="74" t="n">
        <x:v>-0.003</x:v>
      </x:c>
      <x:c r="H954" s="66" t="str">
        <x:v>深度梦扬量化套利0号净值20260911.xlsx</x:v>
      </x:c>
      <x:c r="I954" s="73" t="str">
        <x:f>""</x:f>
      </x:c>
      <x:c r="J954" s="74" t="str">
        <x:f>""</x:f>
      </x:c>
      <x:c r="K954" s="73" t="n">
        <x:f>MAX(K953,F954)</x:f>
        <x:v>1.347</x:v>
      </x:c>
      <x:c r="L954" s="74" t="n">
        <x:f>1-F954/K954</x:f>
        <x:v>0.0029695619896065173</x:v>
      </x:c>
      <x:c r="M954" s="73" t="n">
        <x:f>MAX(M953,F954)</x:f>
        <x:v>1.347</x:v>
      </x:c>
      <x:c r="N954" s="74" t="n">
        <x:f>1-F954/M954</x:f>
        <x:v>0.0029695619896065173</x:v>
      </x:c>
    </x:row>
    <x:row r="955" ht="27" customHeight="1">
      <x:c r="A955" s="66" t="str">
        <x:v>SQD620</x:v>
      </x:c>
      <x:c r="B955" s="66" t="str">
        <x:v>深度梦扬量化套利0号</x:v>
      </x:c>
      <x:c r="C955" s="72" t="n">
        <x:v>45684</x:v>
      </x:c>
      <x:c r="D955" s="73" t="n">
        <x:v>1.351</x:v>
      </x:c>
      <x:c r="E955" s="73" t="n">
        <x:v>1.351</x:v>
      </x:c>
      <x:c r="F955" s="73" t="n">
        <x:v>1.351</x:v>
      </x:c>
      <x:c r="G955" s="74" t="n">
        <x:v>0.006</x:v>
      </x:c>
      <x:c r="H955" s="66" t="str">
        <x:v>深度梦扬量化套利0号净值20260911.xlsx</x:v>
      </x:c>
      <x:c r="I955" s="73" t="str">
        <x:f>""</x:f>
      </x:c>
      <x:c r="J955" s="74" t="str">
        <x:f>""</x:f>
      </x:c>
      <x:c r="K955" s="73" t="n">
        <x:f>MAX(K954,F955)</x:f>
        <x:v>1.351</x:v>
      </x:c>
      <x:c r="L955" s="74" t="n">
        <x:f>1-F955/K955</x:f>
        <x:v>0</x:v>
      </x:c>
      <x:c r="M955" s="73" t="n">
        <x:f>MAX(M954,F955)</x:f>
        <x:v>1.351</x:v>
      </x:c>
      <x:c r="N955" s="74" t="n">
        <x:f>1-F955/M955</x:f>
        <x:v>0</x:v>
      </x:c>
    </x:row>
    <x:row r="956" ht="27" customHeight="1">
      <x:c r="A956" s="66" t="str">
        <x:v>SQD620</x:v>
      </x:c>
      <x:c r="B956" s="66" t="str">
        <x:v>深度梦扬量化套利0号</x:v>
      </x:c>
      <x:c r="C956" s="72" t="n">
        <x:v>45695</x:v>
      </x:c>
      <x:c r="D956" s="73" t="n">
        <x:v>1.35</x:v>
      </x:c>
      <x:c r="E956" s="73" t="n">
        <x:v>1.35</x:v>
      </x:c>
      <x:c r="F956" s="73" t="n">
        <x:v>1.35</x:v>
      </x:c>
      <x:c r="G956" s="74" t="n">
        <x:v>-0.0007000000000000001</x:v>
      </x:c>
      <x:c r="H956" s="66" t="str">
        <x:v>深度梦扬量化套利0号净值20260911.xlsx</x:v>
      </x:c>
      <x:c r="I956" s="73" t="str">
        <x:f>""</x:f>
      </x:c>
      <x:c r="J956" s="74" t="str">
        <x:f>""</x:f>
      </x:c>
      <x:c r="K956" s="73" t="n">
        <x:f>MAX(K955,F956)</x:f>
        <x:v>1.351</x:v>
      </x:c>
      <x:c r="L956" s="74" t="n">
        <x:f>1-F956/K956</x:f>
        <x:v>0.0007401924500369805</x:v>
      </x:c>
      <x:c r="M956" s="73" t="n">
        <x:f>MAX(M955,F956)</x:f>
        <x:v>1.351</x:v>
      </x:c>
      <x:c r="N956" s="74" t="n">
        <x:f>1-F956/M956</x:f>
        <x:v>0.0007401924500369805</x:v>
      </x:c>
    </x:row>
    <x:row r="957" ht="27" customHeight="1">
      <x:c r="A957" s="66" t="str">
        <x:v>SQD620</x:v>
      </x:c>
      <x:c r="B957" s="66" t="str">
        <x:v>深度梦扬量化套利0号</x:v>
      </x:c>
      <x:c r="C957" s="72" t="n">
        <x:v>45702</x:v>
      </x:c>
      <x:c r="D957" s="73" t="n">
        <x:v>1.355</x:v>
      </x:c>
      <x:c r="E957" s="73" t="n">
        <x:v>1.355</x:v>
      </x:c>
      <x:c r="F957" s="73" t="n">
        <x:v>1.355</x:v>
      </x:c>
      <x:c r="G957" s="74" t="n">
        <x:v>0.0037</x:v>
      </x:c>
      <x:c r="H957" s="66" t="str">
        <x:v>深度梦扬量化套利0号净值20260911.xlsx</x:v>
      </x:c>
      <x:c r="I957" s="73" t="str">
        <x:f>""</x:f>
      </x:c>
      <x:c r="J957" s="74" t="str">
        <x:f>""</x:f>
      </x:c>
      <x:c r="K957" s="73" t="n">
        <x:f>MAX(K956,F957)</x:f>
        <x:v>1.355</x:v>
      </x:c>
      <x:c r="L957" s="74" t="n">
        <x:f>1-F957/K957</x:f>
        <x:v>0</x:v>
      </x:c>
      <x:c r="M957" s="73" t="n">
        <x:f>MAX(M956,F957)</x:f>
        <x:v>1.355</x:v>
      </x:c>
      <x:c r="N957" s="74" t="n">
        <x:f>1-F957/M957</x:f>
        <x:v>0</x:v>
      </x:c>
    </x:row>
    <x:row r="958" ht="27" customHeight="1">
      <x:c r="A958" s="66" t="str">
        <x:v>SQD620</x:v>
      </x:c>
      <x:c r="B958" s="66" t="str">
        <x:v>深度梦扬量化套利0号</x:v>
      </x:c>
      <x:c r="C958" s="72" t="n">
        <x:v>45709</x:v>
      </x:c>
      <x:c r="D958" s="73" t="n">
        <x:v>1.36</x:v>
      </x:c>
      <x:c r="E958" s="73" t="n">
        <x:v>1.36</x:v>
      </x:c>
      <x:c r="F958" s="73" t="n">
        <x:v>1.36</x:v>
      </x:c>
      <x:c r="G958" s="74" t="n">
        <x:v>0.0037</x:v>
      </x:c>
      <x:c r="H958" s="66" t="str">
        <x:v>深度梦扬量化套利0号净值20260911.xlsx</x:v>
      </x:c>
      <x:c r="I958" s="73" t="str">
        <x:f>""</x:f>
      </x:c>
      <x:c r="J958" s="74" t="str">
        <x:f>""</x:f>
      </x:c>
      <x:c r="K958" s="73" t="n">
        <x:f>MAX(K957,F958)</x:f>
        <x:v>1.36</x:v>
      </x:c>
      <x:c r="L958" s="74" t="n">
        <x:f>1-F958/K958</x:f>
        <x:v>0</x:v>
      </x:c>
      <x:c r="M958" s="73" t="n">
        <x:f>MAX(M957,F958)</x:f>
        <x:v>1.36</x:v>
      </x:c>
      <x:c r="N958" s="74" t="n">
        <x:f>1-F958/M958</x:f>
        <x:v>0</x:v>
      </x:c>
    </x:row>
    <x:row r="959" ht="27" customHeight="1">
      <x:c r="A959" s="66" t="str">
        <x:v>SQD620</x:v>
      </x:c>
      <x:c r="B959" s="66" t="str">
        <x:v>深度梦扬量化套利0号</x:v>
      </x:c>
      <x:c r="C959" s="72" t="n">
        <x:v>45714</x:v>
      </x:c>
      <x:c r="D959" s="73" t="n">
        <x:v>1.02</x:v>
      </x:c>
      <x:c r="E959" s="73" t="n">
        <x:v>1.355</x:v>
      </x:c>
      <x:c r="F959" s="73" t="n">
        <x:v>1.355</x:v>
      </x:c>
      <x:c r="G959" s="74" t="n">
        <x:v>-0.0037</x:v>
      </x:c>
      <x:c r="H959" s="66" t="str">
        <x:v>深度梦扬量化套利0号净值20260911.xlsx</x:v>
      </x:c>
      <x:c r="I959" s="73" t="str">
        <x:f>""</x:f>
      </x:c>
      <x:c r="J959" s="74" t="str">
        <x:f>""</x:f>
      </x:c>
      <x:c r="K959" s="73" t="n">
        <x:f>MAX(K958,F959)</x:f>
        <x:v>1.36</x:v>
      </x:c>
      <x:c r="L959" s="74" t="n">
        <x:f>1-F959/K959</x:f>
        <x:v>0.003676470588235392</x:v>
      </x:c>
      <x:c r="M959" s="73" t="n">
        <x:f>MAX(M958,F959)</x:f>
        <x:v>1.36</x:v>
      </x:c>
      <x:c r="N959" s="74" t="n">
        <x:f>1-F959/M959</x:f>
        <x:v>0.003676470588235392</x:v>
      </x:c>
    </x:row>
    <x:row r="960" ht="27" customHeight="1">
      <x:c r="A960" s="66" t="str">
        <x:v>SQD620</x:v>
      </x:c>
      <x:c r="B960" s="66" t="str">
        <x:v>深度梦扬量化套利0号</x:v>
      </x:c>
      <x:c r="C960" s="72" t="n">
        <x:v>45716</x:v>
      </x:c>
      <x:c r="D960" s="73" t="n">
        <x:v>1.024</x:v>
      </x:c>
      <x:c r="E960" s="73" t="n">
        <x:v>1.359</x:v>
      </x:c>
      <x:c r="F960" s="73" t="n">
        <x:v>1.3603</x:v>
      </x:c>
      <x:c r="G960" s="74" t="n">
        <x:v>0.0039000000000000003</x:v>
      </x:c>
      <x:c r="H960" s="66" t="str">
        <x:v>深度梦扬量化套利0号净值20260911.xlsx</x:v>
      </x:c>
      <x:c r="I960" s="73" t="str">
        <x:f>""</x:f>
      </x:c>
      <x:c r="J960" s="74" t="str">
        <x:f>""</x:f>
      </x:c>
      <x:c r="K960" s="73" t="n">
        <x:f>MAX(K959,F960)</x:f>
        <x:v>1.3603</x:v>
      </x:c>
      <x:c r="L960" s="74" t="n">
        <x:f>1-F960/K960</x:f>
        <x:v>0</x:v>
      </x:c>
      <x:c r="M960" s="73" t="n">
        <x:f>MAX(M959,F960)</x:f>
        <x:v>1.3603</x:v>
      </x:c>
      <x:c r="N960" s="74" t="n">
        <x:f>1-F960/M960</x:f>
        <x:v>0</x:v>
      </x:c>
    </x:row>
    <x:row r="961" ht="27" customHeight="1">
      <x:c r="A961" s="66" t="str">
        <x:v>SQD620</x:v>
      </x:c>
      <x:c r="B961" s="66" t="str">
        <x:v>深度梦扬量化套利0号</x:v>
      </x:c>
      <x:c r="C961" s="72" t="n">
        <x:v>45723</x:v>
      </x:c>
      <x:c r="D961" s="73" t="n">
        <x:v>1.027</x:v>
      </x:c>
      <x:c r="E961" s="73" t="n">
        <x:v>1.362</x:v>
      </x:c>
      <x:c r="F961" s="73" t="n">
        <x:v>1.3643</x:v>
      </x:c>
      <x:c r="G961" s="74" t="n">
        <x:v>0.0029</x:v>
      </x:c>
      <x:c r="H961" s="66" t="str">
        <x:v>深度梦扬量化套利0号净值20260911.xlsx</x:v>
      </x:c>
      <x:c r="I961" s="73" t="str">
        <x:f>""</x:f>
      </x:c>
      <x:c r="J961" s="74" t="str">
        <x:f>""</x:f>
      </x:c>
      <x:c r="K961" s="73" t="n">
        <x:f>MAX(K960,F961)</x:f>
        <x:v>1.3643</x:v>
      </x:c>
      <x:c r="L961" s="74" t="n">
        <x:f>1-F961/K961</x:f>
        <x:v>0</x:v>
      </x:c>
      <x:c r="M961" s="73" t="n">
        <x:f>MAX(M960,F961)</x:f>
        <x:v>1.3643</x:v>
      </x:c>
      <x:c r="N961" s="74" t="n">
        <x:f>1-F961/M961</x:f>
        <x:v>0</x:v>
      </x:c>
    </x:row>
    <x:row r="962" ht="27" customHeight="1">
      <x:c r="A962" s="66" t="str">
        <x:v>SQD620</x:v>
      </x:c>
      <x:c r="B962" s="66" t="str">
        <x:v>深度梦扬量化套利0号</x:v>
      </x:c>
      <x:c r="C962" s="72" t="n">
        <x:v>45730</x:v>
      </x:c>
      <x:c r="D962" s="73" t="n">
        <x:v>1.026</x:v>
      </x:c>
      <x:c r="E962" s="73" t="n">
        <x:v>1.361</x:v>
      </x:c>
      <x:c r="F962" s="73" t="n">
        <x:v>1.363</x:v>
      </x:c>
      <x:c r="G962" s="74" t="n">
        <x:v>-0.001</x:v>
      </x:c>
      <x:c r="H962" s="66" t="str">
        <x:v>深度梦扬量化套利0号净值20260911.xlsx</x:v>
      </x:c>
      <x:c r="I962" s="73" t="str">
        <x:f>""</x:f>
      </x:c>
      <x:c r="J962" s="74" t="str">
        <x:f>""</x:f>
      </x:c>
      <x:c r="K962" s="73" t="n">
        <x:f>MAX(K961,F962)</x:f>
        <x:v>1.3643</x:v>
      </x:c>
      <x:c r="L962" s="74" t="n">
        <x:f>1-F962/K962</x:f>
        <x:v>0.0009528696034597495</x:v>
      </x:c>
      <x:c r="M962" s="73" t="n">
        <x:f>MAX(M961,F962)</x:f>
        <x:v>1.3643</x:v>
      </x:c>
      <x:c r="N962" s="74" t="n">
        <x:f>1-F962/M962</x:f>
        <x:v>0.0009528696034597495</x:v>
      </x:c>
    </x:row>
    <x:row r="963" ht="27" customHeight="1">
      <x:c r="A963" s="66" t="str">
        <x:v>SQD620</x:v>
      </x:c>
      <x:c r="B963" s="66" t="str">
        <x:v>深度梦扬量化套利0号</x:v>
      </x:c>
      <x:c r="C963" s="72" t="n">
        <x:v>45737</x:v>
      </x:c>
      <x:c r="D963" s="73" t="n">
        <x:v>1.029</x:v>
      </x:c>
      <x:c r="E963" s="73" t="n">
        <x:v>1.364</x:v>
      </x:c>
      <x:c r="F963" s="73" t="n">
        <x:v>1.367</x:v>
      </x:c>
      <x:c r="G963" s="74" t="n">
        <x:v>0.0029</x:v>
      </x:c>
      <x:c r="H963" s="66" t="str">
        <x:v>深度梦扬量化套利0号净值20260911.xlsx</x:v>
      </x:c>
      <x:c r="I963" s="73" t="str">
        <x:f>""</x:f>
      </x:c>
      <x:c r="J963" s="74" t="str">
        <x:f>""</x:f>
      </x:c>
      <x:c r="K963" s="73" t="n">
        <x:f>MAX(K962,F963)</x:f>
        <x:v>1.367</x:v>
      </x:c>
      <x:c r="L963" s="74" t="n">
        <x:f>1-F963/K963</x:f>
        <x:v>0</x:v>
      </x:c>
      <x:c r="M963" s="73" t="n">
        <x:f>MAX(M962,F963)</x:f>
        <x:v>1.367</x:v>
      </x:c>
      <x:c r="N963" s="74" t="n">
        <x:f>1-F963/M963</x:f>
        <x:v>0</x:v>
      </x:c>
    </x:row>
    <x:row r="964" ht="27" customHeight="1">
      <x:c r="A964" s="66" t="str">
        <x:v>SQD620</x:v>
      </x:c>
      <x:c r="B964" s="66" t="str">
        <x:v>深度梦扬量化套利0号</x:v>
      </x:c>
      <x:c r="C964" s="72" t="n">
        <x:v>45744</x:v>
      </x:c>
      <x:c r="D964" s="73" t="n">
        <x:v>1.026</x:v>
      </x:c>
      <x:c r="E964" s="73" t="n">
        <x:v>1.361</x:v>
      </x:c>
      <x:c r="F964" s="73" t="n">
        <x:v>1.363</x:v>
      </x:c>
      <x:c r="G964" s="74" t="n">
        <x:v>-0.0029</x:v>
      </x:c>
      <x:c r="H964" s="66" t="str">
        <x:v>深度梦扬量化套利0号净值20260911.xlsx</x:v>
      </x:c>
      <x:c r="I964" s="73" t="str">
        <x:f>""</x:f>
      </x:c>
      <x:c r="J964" s="74" t="str">
        <x:f>""</x:f>
      </x:c>
      <x:c r="K964" s="73" t="n">
        <x:f>MAX(K963,F964)</x:f>
        <x:v>1.367</x:v>
      </x:c>
      <x:c r="L964" s="74" t="n">
        <x:f>1-F964/K964</x:f>
        <x:v>0.002926115581565525</x:v>
      </x:c>
      <x:c r="M964" s="73" t="n">
        <x:f>MAX(M963,F964)</x:f>
        <x:v>1.367</x:v>
      </x:c>
      <x:c r="N964" s="74" t="n">
        <x:f>1-F964/M964</x:f>
        <x:v>0.002926115581565525</x:v>
      </x:c>
    </x:row>
    <x:row r="965" ht="27" customHeight="1">
      <x:c r="A965" s="66" t="str">
        <x:v>SQD620</x:v>
      </x:c>
      <x:c r="B965" s="66" t="str">
        <x:v>深度梦扬量化套利0号</x:v>
      </x:c>
      <x:c r="C965" s="72" t="n">
        <x:v>45747</x:v>
      </x:c>
      <x:c r="D965" s="73" t="n">
        <x:v>1.024</x:v>
      </x:c>
      <x:c r="E965" s="73" t="n">
        <x:v>1.359</x:v>
      </x:c>
      <x:c r="F965" s="73" t="n">
        <x:v>1.3603</x:v>
      </x:c>
      <x:c r="G965" s="74" t="n">
        <x:v>-0.0019</x:v>
      </x:c>
      <x:c r="H965" s="66" t="str">
        <x:v>深度梦扬量化套利0号净值20260911.xlsx</x:v>
      </x:c>
      <x:c r="I965" s="73" t="str">
        <x:f>""</x:f>
      </x:c>
      <x:c r="J965" s="74" t="str">
        <x:f>""</x:f>
      </x:c>
      <x:c r="K965" s="73" t="n">
        <x:f>MAX(K964,F965)</x:f>
        <x:v>1.367</x:v>
      </x:c>
      <x:c r="L965" s="74" t="n">
        <x:f>1-F965/K965</x:f>
        <x:v>0.00490124359912214</x:v>
      </x:c>
      <x:c r="M965" s="73" t="n">
        <x:f>MAX(M964,F965)</x:f>
        <x:v>1.367</x:v>
      </x:c>
      <x:c r="N965" s="74" t="n">
        <x:f>1-F965/M965</x:f>
        <x:v>0.00490124359912214</x:v>
      </x:c>
    </x:row>
    <x:row r="966" ht="27" customHeight="1">
      <x:c r="A966" s="66" t="str">
        <x:v>SQD620</x:v>
      </x:c>
      <x:c r="B966" s="66" t="str">
        <x:v>深度梦扬量化套利0号</x:v>
      </x:c>
      <x:c r="C966" s="72" t="n">
        <x:v>45750</x:v>
      </x:c>
      <x:c r="D966" s="73" t="n">
        <x:v>1.021</x:v>
      </x:c>
      <x:c r="E966" s="73" t="n">
        <x:v>1.356</x:v>
      </x:c>
      <x:c r="F966" s="73" t="n">
        <x:v>1.3563</x:v>
      </x:c>
      <x:c r="G966" s="74" t="n">
        <x:v>-0.0029</x:v>
      </x:c>
      <x:c r="H966" s="66" t="str">
        <x:v>深度梦扬量化套利0号净值20260911.xlsx</x:v>
      </x:c>
      <x:c r="I966" s="73" t="str">
        <x:f>""</x:f>
      </x:c>
      <x:c r="J966" s="74" t="str">
        <x:f>""</x:f>
      </x:c>
      <x:c r="K966" s="73" t="n">
        <x:f>MAX(K965,F966)</x:f>
        <x:v>1.367</x:v>
      </x:c>
      <x:c r="L966" s="74" t="n">
        <x:f>1-F966/K966</x:f>
        <x:v>0.007827359180687554</x:v>
      </x:c>
      <x:c r="M966" s="73" t="n">
        <x:f>MAX(M965,F966)</x:f>
        <x:v>1.367</x:v>
      </x:c>
      <x:c r="N966" s="74" t="n">
        <x:f>1-F966/M966</x:f>
        <x:v>0.007827359180687554</x:v>
      </x:c>
    </x:row>
    <x:row r="967" ht="27" customHeight="1">
      <x:c r="A967" s="66" t="str">
        <x:v>SQD620</x:v>
      </x:c>
      <x:c r="B967" s="66" t="str">
        <x:v>深度梦扬量化套利0号</x:v>
      </x:c>
      <x:c r="C967" s="72" t="n">
        <x:v>45758</x:v>
      </x:c>
      <x:c r="D967" s="73" t="n">
        <x:v>1.021</x:v>
      </x:c>
      <x:c r="E967" s="73" t="n">
        <x:v>1.356</x:v>
      </x:c>
      <x:c r="F967" s="73" t="n">
        <x:v>1.3563</x:v>
      </x:c>
      <x:c r="G967" s="74" t="n">
        <x:v>0</x:v>
      </x:c>
      <x:c r="H967" s="66" t="str">
        <x:v>深度梦扬量化套利0号净值20260911.xlsx</x:v>
      </x:c>
      <x:c r="I967" s="73" t="str">
        <x:f>""</x:f>
      </x:c>
      <x:c r="J967" s="74" t="str">
        <x:f>""</x:f>
      </x:c>
      <x:c r="K967" s="73" t="n">
        <x:f>MAX(K966,F967)</x:f>
        <x:v>1.367</x:v>
      </x:c>
      <x:c r="L967" s="74" t="n">
        <x:f>1-F967/K967</x:f>
        <x:v>0.007827359180687554</x:v>
      </x:c>
      <x:c r="M967" s="73" t="n">
        <x:f>MAX(M966,F967)</x:f>
        <x:v>1.367</x:v>
      </x:c>
      <x:c r="N967" s="74" t="n">
        <x:f>1-F967/M967</x:f>
        <x:v>0.007827359180687554</x:v>
      </x:c>
    </x:row>
    <x:row r="968" ht="27" customHeight="1">
      <x:c r="A968" s="66" t="str">
        <x:v>SQD620</x:v>
      </x:c>
      <x:c r="B968" s="66" t="str">
        <x:v>深度梦扬量化套利0号</x:v>
      </x:c>
      <x:c r="C968" s="72" t="n">
        <x:v>45765</x:v>
      </x:c>
      <x:c r="D968" s="73" t="n">
        <x:v>1.02</x:v>
      </x:c>
      <x:c r="E968" s="73" t="n">
        <x:v>1.355</x:v>
      </x:c>
      <x:c r="F968" s="73" t="n">
        <x:v>1.355</x:v>
      </x:c>
      <x:c r="G968" s="74" t="n">
        <x:v>-0.001</x:v>
      </x:c>
      <x:c r="H968" s="66" t="str">
        <x:v>深度梦扬量化套利0号净值20260911.xlsx</x:v>
      </x:c>
      <x:c r="I968" s="73" t="str">
        <x:f>""</x:f>
      </x:c>
      <x:c r="J968" s="74" t="str">
        <x:f>""</x:f>
      </x:c>
      <x:c r="K968" s="73" t="n">
        <x:f>MAX(K967,F968)</x:f>
        <x:v>1.367</x:v>
      </x:c>
      <x:c r="L968" s="74" t="n">
        <x:f>1-F968/K968</x:f>
        <x:v>0.008778346744696464</x:v>
      </x:c>
      <x:c r="M968" s="73" t="n">
        <x:f>MAX(M967,F968)</x:f>
        <x:v>1.367</x:v>
      </x:c>
      <x:c r="N968" s="74" t="n">
        <x:f>1-F968/M968</x:f>
        <x:v>0.008778346744696464</x:v>
      </x:c>
    </x:row>
    <x:row r="969" ht="27" customHeight="1">
      <x:c r="A969" s="66" t="str">
        <x:v>SQD620</x:v>
      </x:c>
      <x:c r="B969" s="66" t="str">
        <x:v>深度梦扬量化套利0号</x:v>
      </x:c>
      <x:c r="C969" s="72" t="n">
        <x:v>45772</x:v>
      </x:c>
      <x:c r="D969" s="73" t="n">
        <x:v>1.019</x:v>
      </x:c>
      <x:c r="E969" s="73" t="n">
        <x:v>1.354</x:v>
      </x:c>
      <x:c r="F969" s="73" t="n">
        <x:v>1.3537</x:v>
      </x:c>
      <x:c r="G969" s="74" t="n">
        <x:v>-0.001</x:v>
      </x:c>
      <x:c r="H969" s="66" t="str">
        <x:v>深度梦扬量化套利0号净值20260911.xlsx</x:v>
      </x:c>
      <x:c r="I969" s="73" t="str">
        <x:f>""</x:f>
      </x:c>
      <x:c r="J969" s="74" t="str">
        <x:f>""</x:f>
      </x:c>
      <x:c r="K969" s="73" t="n">
        <x:f>MAX(K968,F969)</x:f>
        <x:v>1.367</x:v>
      </x:c>
      <x:c r="L969" s="74" t="n">
        <x:f>1-F969/K969</x:f>
        <x:v>0.009729334308705262</x:v>
      </x:c>
      <x:c r="M969" s="73" t="n">
        <x:f>MAX(M968,F969)</x:f>
        <x:v>1.367</x:v>
      </x:c>
      <x:c r="N969" s="74" t="n">
        <x:f>1-F969/M969</x:f>
        <x:v>0.009729334308705262</x:v>
      </x:c>
    </x:row>
    <x:row r="970" ht="27" customHeight="1">
      <x:c r="A970" s="66" t="str">
        <x:v>SQD620</x:v>
      </x:c>
      <x:c r="B970" s="66" t="str">
        <x:v>深度梦扬量化套利0号</x:v>
      </x:c>
      <x:c r="C970" s="72" t="n">
        <x:v>45777</x:v>
      </x:c>
      <x:c r="D970" s="73" t="n">
        <x:v>1.017</x:v>
      </x:c>
      <x:c r="E970" s="73" t="n">
        <x:v>1.352</x:v>
      </x:c>
      <x:c r="F970" s="73" t="n">
        <x:v>1.351</x:v>
      </x:c>
      <x:c r="G970" s="74" t="n">
        <x:v>-0.002</x:v>
      </x:c>
      <x:c r="H970" s="66" t="str">
        <x:v>深度梦扬量化套利0号净值20260911.xlsx</x:v>
      </x:c>
      <x:c r="I970" s="73" t="str">
        <x:f>""</x:f>
      </x:c>
      <x:c r="J970" s="74" t="str">
        <x:f>""</x:f>
      </x:c>
      <x:c r="K970" s="73" t="n">
        <x:f>MAX(K969,F970)</x:f>
        <x:v>1.367</x:v>
      </x:c>
      <x:c r="L970" s="74" t="n">
        <x:f>1-F970/K970</x:f>
        <x:v>0.011704462326261877</x:v>
      </x:c>
      <x:c r="M970" s="73" t="n">
        <x:f>MAX(M969,F970)</x:f>
        <x:v>1.367</x:v>
      </x:c>
      <x:c r="N970" s="74" t="n">
        <x:f>1-F970/M970</x:f>
        <x:v>0.011704462326261877</x:v>
      </x:c>
    </x:row>
    <x:row r="971" ht="27" customHeight="1">
      <x:c r="A971" s="66" t="str">
        <x:v>SQD620</x:v>
      </x:c>
      <x:c r="B971" s="66" t="str">
        <x:v>深度梦扬量化套利0号</x:v>
      </x:c>
      <x:c r="C971" s="72" t="n">
        <x:v>45786</x:v>
      </x:c>
      <x:c r="D971" s="73" t="n">
        <x:v>1.021</x:v>
      </x:c>
      <x:c r="E971" s="73" t="n">
        <x:v>1.356</x:v>
      </x:c>
      <x:c r="F971" s="73" t="n">
        <x:v>1.3563</x:v>
      </x:c>
      <x:c r="G971" s="74" t="n">
        <x:v>0.0039000000000000003</x:v>
      </x:c>
      <x:c r="H971" s="66" t="str">
        <x:v>深度梦扬量化套利0号净值20260911.xlsx</x:v>
      </x:c>
      <x:c r="I971" s="73" t="str">
        <x:f>""</x:f>
      </x:c>
      <x:c r="J971" s="74" t="str">
        <x:f>""</x:f>
      </x:c>
      <x:c r="K971" s="73" t="n">
        <x:f>MAX(K970,F971)</x:f>
        <x:v>1.367</x:v>
      </x:c>
      <x:c r="L971" s="74" t="n">
        <x:f>1-F971/K971</x:f>
        <x:v>0.007827359180687554</x:v>
      </x:c>
      <x:c r="M971" s="73" t="n">
        <x:f>MAX(M970,F971)</x:f>
        <x:v>1.367</x:v>
      </x:c>
      <x:c r="N971" s="74" t="n">
        <x:f>1-F971/M971</x:f>
        <x:v>0.007827359180687554</x:v>
      </x:c>
    </x:row>
    <x:row r="972" ht="27" customHeight="1">
      <x:c r="A972" s="66" t="str">
        <x:v>SQD620</x:v>
      </x:c>
      <x:c r="B972" s="66" t="str">
        <x:v>深度梦扬量化套利0号</x:v>
      </x:c>
      <x:c r="C972" s="72" t="n">
        <x:v>45793</x:v>
      </x:c>
      <x:c r="D972" s="73" t="n">
        <x:v>1.02</x:v>
      </x:c>
      <x:c r="E972" s="73" t="n">
        <x:v>1.355</x:v>
      </x:c>
      <x:c r="F972" s="73" t="n">
        <x:v>1.355</x:v>
      </x:c>
      <x:c r="G972" s="74" t="n">
        <x:v>-0.001</x:v>
      </x:c>
      <x:c r="H972" s="66" t="str">
        <x:v>深度梦扬量化套利0号净值20260911.xlsx</x:v>
      </x:c>
      <x:c r="I972" s="73" t="str">
        <x:f>""</x:f>
      </x:c>
      <x:c r="J972" s="74" t="str">
        <x:f>""</x:f>
      </x:c>
      <x:c r="K972" s="73" t="n">
        <x:f>MAX(K971,F972)</x:f>
        <x:v>1.367</x:v>
      </x:c>
      <x:c r="L972" s="74" t="n">
        <x:f>1-F972/K972</x:f>
        <x:v>0.008778346744696464</x:v>
      </x:c>
      <x:c r="M972" s="73" t="n">
        <x:f>MAX(M971,F972)</x:f>
        <x:v>1.367</x:v>
      </x:c>
      <x:c r="N972" s="74" t="n">
        <x:f>1-F972/M972</x:f>
        <x:v>0.008778346744696464</x:v>
      </x:c>
    </x:row>
    <x:row r="973" ht="27" customHeight="1">
      <x:c r="A973" s="66" t="str">
        <x:v>SQD620</x:v>
      </x:c>
      <x:c r="B973" s="66" t="str">
        <x:v>深度梦扬量化套利0号</x:v>
      </x:c>
      <x:c r="C973" s="72" t="n">
        <x:v>45800</x:v>
      </x:c>
      <x:c r="D973" s="73" t="n">
        <x:v>1.021</x:v>
      </x:c>
      <x:c r="E973" s="73" t="n">
        <x:v>1.356</x:v>
      </x:c>
      <x:c r="F973" s="73" t="n">
        <x:v>1.3563</x:v>
      </x:c>
      <x:c r="G973" s="74" t="n">
        <x:v>0.001</x:v>
      </x:c>
      <x:c r="H973" s="66" t="str">
        <x:v>深度梦扬量化套利0号净值20260911.xlsx</x:v>
      </x:c>
      <x:c r="I973" s="73" t="str">
        <x:f>""</x:f>
      </x:c>
      <x:c r="J973" s="74" t="str">
        <x:f>""</x:f>
      </x:c>
      <x:c r="K973" s="73" t="n">
        <x:f>MAX(K972,F973)</x:f>
        <x:v>1.367</x:v>
      </x:c>
      <x:c r="L973" s="74" t="n">
        <x:f>1-F973/K973</x:f>
        <x:v>0.007827359180687554</x:v>
      </x:c>
      <x:c r="M973" s="73" t="n">
        <x:f>MAX(M972,F973)</x:f>
        <x:v>1.367</x:v>
      </x:c>
      <x:c r="N973" s="74" t="n">
        <x:f>1-F973/M973</x:f>
        <x:v>0.007827359180687554</x:v>
      </x:c>
    </x:row>
    <x:row r="974" ht="27" customHeight="1">
      <x:c r="A974" s="66" t="str">
        <x:v>SQD620</x:v>
      </x:c>
      <x:c r="B974" s="66" t="str">
        <x:v>深度梦扬量化套利0号</x:v>
      </x:c>
      <x:c r="C974" s="72" t="n">
        <x:v>45807</x:v>
      </x:c>
      <x:c r="D974" s="73" t="n">
        <x:v>1.019</x:v>
      </x:c>
      <x:c r="E974" s="73" t="n">
        <x:v>1.354</x:v>
      </x:c>
      <x:c r="F974" s="73" t="n">
        <x:v>1.3537</x:v>
      </x:c>
      <x:c r="G974" s="74" t="n">
        <x:v>-0.002</x:v>
      </x:c>
      <x:c r="H974" s="66" t="str">
        <x:v>深度梦扬量化套利0号净值20260911.xlsx</x:v>
      </x:c>
      <x:c r="I974" s="73" t="str">
        <x:f>""</x:f>
      </x:c>
      <x:c r="J974" s="74" t="str">
        <x:f>""</x:f>
      </x:c>
      <x:c r="K974" s="73" t="n">
        <x:f>MAX(K973,F974)</x:f>
        <x:v>1.367</x:v>
      </x:c>
      <x:c r="L974" s="74" t="n">
        <x:f>1-F974/K974</x:f>
        <x:v>0.009729334308705262</x:v>
      </x:c>
      <x:c r="M974" s="73" t="n">
        <x:f>MAX(M973,F974)</x:f>
        <x:v>1.367</x:v>
      </x:c>
      <x:c r="N974" s="74" t="n">
        <x:f>1-F974/M974</x:f>
        <x:v>0.009729334308705262</x:v>
      </x:c>
    </x:row>
    <x:row r="975" ht="27" customHeight="1">
      <x:c r="A975" s="66" t="str">
        <x:v>SQD620</x:v>
      </x:c>
      <x:c r="B975" s="66" t="str">
        <x:v>深度梦扬量化套利0号</x:v>
      </x:c>
      <x:c r="C975" s="72" t="n">
        <x:v>45814</x:v>
      </x:c>
      <x:c r="D975" s="73" t="n">
        <x:v>1.021</x:v>
      </x:c>
      <x:c r="E975" s="73" t="n">
        <x:v>1.356</x:v>
      </x:c>
      <x:c r="F975" s="73" t="n">
        <x:v>1.3563</x:v>
      </x:c>
      <x:c r="G975" s="74" t="n">
        <x:v>0.002</x:v>
      </x:c>
      <x:c r="H975" s="66" t="str">
        <x:v>深度梦扬量化套利0号净值20260911.xlsx</x:v>
      </x:c>
      <x:c r="I975" s="73" t="str">
        <x:f>""</x:f>
      </x:c>
      <x:c r="J975" s="74" t="str">
        <x:f>""</x:f>
      </x:c>
      <x:c r="K975" s="73" t="n">
        <x:f>MAX(K974,F975)</x:f>
        <x:v>1.367</x:v>
      </x:c>
      <x:c r="L975" s="74" t="n">
        <x:f>1-F975/K975</x:f>
        <x:v>0.007827359180687554</x:v>
      </x:c>
      <x:c r="M975" s="73" t="n">
        <x:f>MAX(M974,F975)</x:f>
        <x:v>1.367</x:v>
      </x:c>
      <x:c r="N975" s="74" t="n">
        <x:f>1-F975/M975</x:f>
        <x:v>0.007827359180687554</x:v>
      </x:c>
    </x:row>
    <x:row r="976" ht="27" customHeight="1">
      <x:c r="A976" s="66" t="str">
        <x:v>SQD620</x:v>
      </x:c>
      <x:c r="B976" s="66" t="str">
        <x:v>深度梦扬量化套利0号</x:v>
      </x:c>
      <x:c r="C976" s="72" t="n">
        <x:v>45821</x:v>
      </x:c>
      <x:c r="D976" s="73" t="n">
        <x:v>1.02</x:v>
      </x:c>
      <x:c r="E976" s="73" t="n">
        <x:v>1.355</x:v>
      </x:c>
      <x:c r="F976" s="73" t="n">
        <x:v>1.355</x:v>
      </x:c>
      <x:c r="G976" s="74" t="n">
        <x:v>-0.001</x:v>
      </x:c>
      <x:c r="H976" s="66" t="str">
        <x:v>深度梦扬量化套利0号净值20260911.xlsx</x:v>
      </x:c>
      <x:c r="I976" s="73" t="str">
        <x:f>""</x:f>
      </x:c>
      <x:c r="J976" s="74" t="str">
        <x:f>""</x:f>
      </x:c>
      <x:c r="K976" s="73" t="n">
        <x:f>MAX(K975,F976)</x:f>
        <x:v>1.367</x:v>
      </x:c>
      <x:c r="L976" s="74" t="n">
        <x:f>1-F976/K976</x:f>
        <x:v>0.008778346744696464</x:v>
      </x:c>
      <x:c r="M976" s="73" t="n">
        <x:f>MAX(M975,F976)</x:f>
        <x:v>1.367</x:v>
      </x:c>
      <x:c r="N976" s="74" t="n">
        <x:f>1-F976/M976</x:f>
        <x:v>0.008778346744696464</x:v>
      </x:c>
    </x:row>
    <x:row r="977" ht="27" customHeight="1">
      <x:c r="A977" s="66" t="str">
        <x:v>SQD620</x:v>
      </x:c>
      <x:c r="B977" s="66" t="str">
        <x:v>深度梦扬量化套利0号</x:v>
      </x:c>
      <x:c r="C977" s="72" t="n">
        <x:v>45828</x:v>
      </x:c>
      <x:c r="D977" s="73" t="n">
        <x:v>1.022</x:v>
      </x:c>
      <x:c r="E977" s="73" t="n">
        <x:v>1.357</x:v>
      </x:c>
      <x:c r="F977" s="73" t="n">
        <x:v>1.3577</x:v>
      </x:c>
      <x:c r="G977" s="74" t="n">
        <x:v>0.002</x:v>
      </x:c>
      <x:c r="H977" s="66" t="str">
        <x:v>深度梦扬量化套利0号净值20260911.xlsx</x:v>
      </x:c>
      <x:c r="I977" s="73" t="str">
        <x:f>""</x:f>
      </x:c>
      <x:c r="J977" s="74" t="str">
        <x:f>""</x:f>
      </x:c>
      <x:c r="K977" s="73" t="n">
        <x:f>MAX(K976,F977)</x:f>
        <x:v>1.367</x:v>
      </x:c>
      <x:c r="L977" s="74" t="n">
        <x:f>1-F977/K977</x:f>
        <x:v>0.006803218727139737</x:v>
      </x:c>
      <x:c r="M977" s="73" t="n">
        <x:f>MAX(M976,F977)</x:f>
        <x:v>1.367</x:v>
      </x:c>
      <x:c r="N977" s="74" t="n">
        <x:f>1-F977/M977</x:f>
        <x:v>0.006803218727139737</x:v>
      </x:c>
    </x:row>
    <x:row r="978" ht="27" customHeight="1">
      <x:c r="A978" s="66" t="str">
        <x:v>SQD620</x:v>
      </x:c>
      <x:c r="B978" s="66" t="str">
        <x:v>深度梦扬量化套利0号</x:v>
      </x:c>
      <x:c r="C978" s="72" t="n">
        <x:v>45835</x:v>
      </x:c>
      <x:c r="D978" s="73" t="n">
        <x:v>1.026</x:v>
      </x:c>
      <x:c r="E978" s="73" t="n">
        <x:v>1.361</x:v>
      </x:c>
      <x:c r="F978" s="73" t="n">
        <x:v>1.363</x:v>
      </x:c>
      <x:c r="G978" s="74" t="n">
        <x:v>0.0039000000000000003</x:v>
      </x:c>
      <x:c r="H978" s="66" t="str">
        <x:v>深度梦扬量化套利0号净值20260911.xlsx</x:v>
      </x:c>
      <x:c r="I978" s="73" t="str">
        <x:f>""</x:f>
      </x:c>
      <x:c r="J978" s="74" t="str">
        <x:f>""</x:f>
      </x:c>
      <x:c r="K978" s="73" t="n">
        <x:f>MAX(K977,F978)</x:f>
        <x:v>1.367</x:v>
      </x:c>
      <x:c r="L978" s="74" t="n">
        <x:f>1-F978/K978</x:f>
        <x:v>0.002926115581565525</x:v>
      </x:c>
      <x:c r="M978" s="73" t="n">
        <x:f>MAX(M977,F978)</x:f>
        <x:v>1.367</x:v>
      </x:c>
      <x:c r="N978" s="74" t="n">
        <x:f>1-F978/M978</x:f>
        <x:v>0.002926115581565525</x:v>
      </x:c>
    </x:row>
    <x:row r="979" ht="27" customHeight="1">
      <x:c r="A979" s="66" t="str">
        <x:v>SQD620</x:v>
      </x:c>
      <x:c r="B979" s="66" t="str">
        <x:v>深度梦扬量化套利0号</x:v>
      </x:c>
      <x:c r="C979" s="72" t="n">
        <x:v>45838</x:v>
      </x:c>
      <x:c r="D979" s="73" t="n">
        <x:v>1.028</x:v>
      </x:c>
      <x:c r="E979" s="73" t="n">
        <x:v>1.363</x:v>
      </x:c>
      <x:c r="F979" s="73" t="n">
        <x:v>1.3656</x:v>
      </x:c>
      <x:c r="G979" s="74" t="n">
        <x:v>0.0019</x:v>
      </x:c>
      <x:c r="H979" s="66" t="str">
        <x:v>深度梦扬量化套利0号净值20260911.xlsx</x:v>
      </x:c>
      <x:c r="I979" s="73" t="str">
        <x:f>""</x:f>
      </x:c>
      <x:c r="J979" s="74" t="str">
        <x:f>""</x:f>
      </x:c>
      <x:c r="K979" s="73" t="n">
        <x:f>MAX(K978,F979)</x:f>
        <x:v>1.367</x:v>
      </x:c>
      <x:c r="L979" s="74" t="n">
        <x:f>1-F979/K979</x:f>
        <x:v>0.0010241404535479282</x:v>
      </x:c>
      <x:c r="M979" s="73" t="n">
        <x:f>MAX(M978,F979)</x:f>
        <x:v>1.367</x:v>
      </x:c>
      <x:c r="N979" s="74" t="n">
        <x:f>1-F979/M979</x:f>
        <x:v>0.0010241404535479282</x:v>
      </x:c>
    </x:row>
    <x:row r="980" ht="27" customHeight="1">
      <x:c r="A980" s="66" t="str">
        <x:v>SQD620</x:v>
      </x:c>
      <x:c r="B980" s="66" t="str">
        <x:v>深度梦扬量化套利0号</x:v>
      </x:c>
      <x:c r="C980" s="72" t="n">
        <x:v>45842</x:v>
      </x:c>
      <x:c r="D980" s="73" t="n">
        <x:v>1.026</x:v>
      </x:c>
      <x:c r="E980" s="73" t="n">
        <x:v>1.361</x:v>
      </x:c>
      <x:c r="F980" s="73" t="n">
        <x:v>1.363</x:v>
      </x:c>
      <x:c r="G980" s="74" t="n">
        <x:v>-0.0019</x:v>
      </x:c>
      <x:c r="H980" s="66" t="str">
        <x:v>深度梦扬量化套利0号净值20260911.xlsx</x:v>
      </x:c>
      <x:c r="I980" s="73" t="str">
        <x:f>""</x:f>
      </x:c>
      <x:c r="J980" s="74" t="str">
        <x:f>""</x:f>
      </x:c>
      <x:c r="K980" s="73" t="n">
        <x:f>MAX(K979,F980)</x:f>
        <x:v>1.367</x:v>
      </x:c>
      <x:c r="L980" s="74" t="n">
        <x:f>1-F980/K980</x:f>
        <x:v>0.002926115581565525</x:v>
      </x:c>
      <x:c r="M980" s="73" t="n">
        <x:f>MAX(M979,F980)</x:f>
        <x:v>1.367</x:v>
      </x:c>
      <x:c r="N980" s="74" t="n">
        <x:f>1-F980/M980</x:f>
        <x:v>0.002926115581565525</x:v>
      </x:c>
    </x:row>
    <x:row r="981" ht="27" customHeight="1">
      <x:c r="A981" s="66" t="str">
        <x:v>SQD620</x:v>
      </x:c>
      <x:c r="B981" s="66" t="str">
        <x:v>深度梦扬量化套利0号</x:v>
      </x:c>
      <x:c r="C981" s="72" t="n">
        <x:v>45849</x:v>
      </x:c>
      <x:c r="D981" s="73" t="n">
        <x:v>1.027</x:v>
      </x:c>
      <x:c r="E981" s="73" t="n">
        <x:v>1.362</x:v>
      </x:c>
      <x:c r="F981" s="73" t="n">
        <x:v>1.3643</x:v>
      </x:c>
      <x:c r="G981" s="74" t="n">
        <x:v>0.001</x:v>
      </x:c>
      <x:c r="H981" s="66" t="str">
        <x:v>深度梦扬量化套利0号净值20260911.xlsx</x:v>
      </x:c>
      <x:c r="I981" s="73" t="str">
        <x:f>""</x:f>
      </x:c>
      <x:c r="J981" s="74" t="str">
        <x:f>""</x:f>
      </x:c>
      <x:c r="K981" s="73" t="n">
        <x:f>MAX(K980,F981)</x:f>
        <x:v>1.367</x:v>
      </x:c>
      <x:c r="L981" s="74" t="n">
        <x:f>1-F981/K981</x:f>
        <x:v>0.0019751280175566155</x:v>
      </x:c>
      <x:c r="M981" s="73" t="n">
        <x:f>MAX(M980,F981)</x:f>
        <x:v>1.367</x:v>
      </x:c>
      <x:c r="N981" s="74" t="n">
        <x:f>1-F981/M981</x:f>
        <x:v>0.0019751280175566155</x:v>
      </x:c>
    </x:row>
    <x:row r="982" ht="27" customHeight="1">
      <x:c r="A982" s="66" t="str">
        <x:v>SQD620</x:v>
      </x:c>
      <x:c r="B982" s="66" t="str">
        <x:v>深度梦扬量化套利0号</x:v>
      </x:c>
      <x:c r="C982" s="72" t="n">
        <x:v>45856</x:v>
      </x:c>
      <x:c r="D982" s="73" t="n">
        <x:v>1.028</x:v>
      </x:c>
      <x:c r="E982" s="73" t="n">
        <x:v>1.363</x:v>
      </x:c>
      <x:c r="F982" s="73" t="n">
        <x:v>1.3656</x:v>
      </x:c>
      <x:c r="G982" s="74" t="n">
        <x:v>0.001</x:v>
      </x:c>
      <x:c r="H982" s="66" t="str">
        <x:v>深度梦扬量化套利0号净值20260911.xlsx</x:v>
      </x:c>
      <x:c r="I982" s="73" t="str">
        <x:f>""</x:f>
      </x:c>
      <x:c r="J982" s="74" t="str">
        <x:f>""</x:f>
      </x:c>
      <x:c r="K982" s="73" t="n">
        <x:f>MAX(K981,F982)</x:f>
        <x:v>1.367</x:v>
      </x:c>
      <x:c r="L982" s="74" t="n">
        <x:f>1-F982/K982</x:f>
        <x:v>0.0010241404535479282</x:v>
      </x:c>
      <x:c r="M982" s="73" t="n">
        <x:f>MAX(M981,F982)</x:f>
        <x:v>1.367</x:v>
      </x:c>
      <x:c r="N982" s="74" t="n">
        <x:f>1-F982/M982</x:f>
        <x:v>0.0010241404535479282</x:v>
      </x:c>
    </x:row>
    <x:row r="983" ht="27" customHeight="1">
      <x:c r="A983" s="66" t="str">
        <x:v>SQD620</x:v>
      </x:c>
      <x:c r="B983" s="66" t="str">
        <x:v>深度梦扬量化套利0号</x:v>
      </x:c>
      <x:c r="C983" s="72" t="n">
        <x:v>45863</x:v>
      </x:c>
      <x:c r="D983" s="73" t="n">
        <x:v>1.024</x:v>
      </x:c>
      <x:c r="E983" s="73" t="n">
        <x:v>1.359</x:v>
      </x:c>
      <x:c r="F983" s="73" t="n">
        <x:v>1.3603</x:v>
      </x:c>
      <x:c r="G983" s="74" t="n">
        <x:v>-0.0039000000000000003</x:v>
      </x:c>
      <x:c r="H983" s="66" t="str">
        <x:v>深度梦扬量化套利0号净值20260911.xlsx</x:v>
      </x:c>
      <x:c r="I983" s="73" t="str">
        <x:f>""</x:f>
      </x:c>
      <x:c r="J983" s="74" t="str">
        <x:f>""</x:f>
      </x:c>
      <x:c r="K983" s="73" t="n">
        <x:f>MAX(K982,F983)</x:f>
        <x:v>1.367</x:v>
      </x:c>
      <x:c r="L983" s="74" t="n">
        <x:f>1-F983/K983</x:f>
        <x:v>0.00490124359912214</x:v>
      </x:c>
      <x:c r="M983" s="73" t="n">
        <x:f>MAX(M982,F983)</x:f>
        <x:v>1.367</x:v>
      </x:c>
      <x:c r="N983" s="74" t="n">
        <x:f>1-F983/M983</x:f>
        <x:v>0.00490124359912214</x:v>
      </x:c>
    </x:row>
    <x:row r="984" ht="27" customHeight="1">
      <x:c r="A984" s="66" t="str">
        <x:v>SQD620</x:v>
      </x:c>
      <x:c r="B984" s="66" t="str">
        <x:v>深度梦扬量化套利0号</x:v>
      </x:c>
      <x:c r="C984" s="72" t="n">
        <x:v>45869</x:v>
      </x:c>
      <x:c r="D984" s="73" t="n">
        <x:v>1.022</x:v>
      </x:c>
      <x:c r="E984" s="73" t="n">
        <x:v>1.357</x:v>
      </x:c>
      <x:c r="F984" s="73" t="n">
        <x:v>1.3577</x:v>
      </x:c>
      <x:c r="G984" s="74" t="n">
        <x:v>-0.002</x:v>
      </x:c>
      <x:c r="H984" s="66" t="str">
        <x:v>深度梦扬量化套利0号净值20260911.xlsx</x:v>
      </x:c>
      <x:c r="I984" s="73" t="str">
        <x:f>""</x:f>
      </x:c>
      <x:c r="J984" s="74" t="str">
        <x:f>""</x:f>
      </x:c>
      <x:c r="K984" s="73" t="n">
        <x:f>MAX(K983,F984)</x:f>
        <x:v>1.367</x:v>
      </x:c>
      <x:c r="L984" s="74" t="n">
        <x:f>1-F984/K984</x:f>
        <x:v>0.006803218727139737</x:v>
      </x:c>
      <x:c r="M984" s="73" t="n">
        <x:f>MAX(M983,F984)</x:f>
        <x:v>1.367</x:v>
      </x:c>
      <x:c r="N984" s="74" t="n">
        <x:f>1-F984/M984</x:f>
        <x:v>0.006803218727139737</x:v>
      </x:c>
    </x:row>
    <x:row r="985" ht="27" customHeight="1">
      <x:c r="A985" s="66" t="str">
        <x:v>SQD620</x:v>
      </x:c>
      <x:c r="B985" s="66" t="str">
        <x:v>深度梦扬量化套利0号</x:v>
      </x:c>
      <x:c r="C985" s="72" t="n">
        <x:v>45870</x:v>
      </x:c>
      <x:c r="D985" s="73" t="n">
        <x:v>1.024</x:v>
      </x:c>
      <x:c r="E985" s="73" t="n">
        <x:v>1.359</x:v>
      </x:c>
      <x:c r="F985" s="73" t="n">
        <x:v>1.3603</x:v>
      </x:c>
      <x:c r="G985" s="74" t="n">
        <x:v>0.002</x:v>
      </x:c>
      <x:c r="H985" s="66" t="str">
        <x:v>深度梦扬量化套利0号净值20260911.xlsx</x:v>
      </x:c>
      <x:c r="I985" s="73" t="str">
        <x:f>""</x:f>
      </x:c>
      <x:c r="J985" s="74" t="str">
        <x:f>""</x:f>
      </x:c>
      <x:c r="K985" s="73" t="n">
        <x:f>MAX(K984,F985)</x:f>
        <x:v>1.367</x:v>
      </x:c>
      <x:c r="L985" s="74" t="n">
        <x:f>1-F985/K985</x:f>
        <x:v>0.00490124359912214</x:v>
      </x:c>
      <x:c r="M985" s="73" t="n">
        <x:f>MAX(M984,F985)</x:f>
        <x:v>1.367</x:v>
      </x:c>
      <x:c r="N985" s="74" t="n">
        <x:f>1-F985/M985</x:f>
        <x:v>0.00490124359912214</x:v>
      </x:c>
    </x:row>
    <x:row r="986" ht="27" customHeight="1">
      <x:c r="A986" s="66" t="str">
        <x:v>SQD620</x:v>
      </x:c>
      <x:c r="B986" s="66" t="str">
        <x:v>深度梦扬量化套利0号</x:v>
      </x:c>
      <x:c r="C986" s="72" t="n">
        <x:v>45877</x:v>
      </x:c>
      <x:c r="D986" s="73" t="n">
        <x:v>1.031</x:v>
      </x:c>
      <x:c r="E986" s="73" t="n">
        <x:v>1.366</x:v>
      </x:c>
      <x:c r="F986" s="73" t="n">
        <x:v>1.3696</x:v>
      </x:c>
      <x:c r="G986" s="74" t="n">
        <x:v>0.0068000000000000005</x:v>
      </x:c>
      <x:c r="H986" s="66" t="str">
        <x:v>深度梦扬量化套利0号净值20260911.xlsx</x:v>
      </x:c>
      <x:c r="I986" s="73" t="str">
        <x:f>""</x:f>
      </x:c>
      <x:c r="J986" s="74" t="str">
        <x:f>""</x:f>
      </x:c>
      <x:c r="K986" s="73" t="n">
        <x:f>MAX(K985,F986)</x:f>
        <x:v>1.3696</x:v>
      </x:c>
      <x:c r="L986" s="74" t="n">
        <x:f>1-F986/K986</x:f>
        <x:v>0</x:v>
      </x:c>
      <x:c r="M986" s="73" t="n">
        <x:f>MAX(M985,F986)</x:f>
        <x:v>1.3696</x:v>
      </x:c>
      <x:c r="N986" s="74" t="n">
        <x:f>1-F986/M986</x:f>
        <x:v>0</x:v>
      </x:c>
    </x:row>
    <x:row r="987" ht="27" customHeight="1">
      <x:c r="A987" s="66" t="str">
        <x:v>SQD620</x:v>
      </x:c>
      <x:c r="B987" s="66" t="str">
        <x:v>深度梦扬量化套利0号</x:v>
      </x:c>
      <x:c r="C987" s="72" t="n">
        <x:v>45884</x:v>
      </x:c>
      <x:c r="D987" s="73" t="n">
        <x:v>1.028</x:v>
      </x:c>
      <x:c r="E987" s="73" t="n">
        <x:v>1.363</x:v>
      </x:c>
      <x:c r="F987" s="73" t="n">
        <x:v>1.3656</x:v>
      </x:c>
      <x:c r="G987" s="74" t="n">
        <x:v>-0.0029</x:v>
      </x:c>
      <x:c r="H987" s="66" t="str">
        <x:v>深度梦扬量化套利0号净值20260911.xlsx</x:v>
      </x:c>
      <x:c r="I987" s="73" t="str">
        <x:f>""</x:f>
      </x:c>
      <x:c r="J987" s="74" t="str">
        <x:f>""</x:f>
      </x:c>
      <x:c r="K987" s="73" t="n">
        <x:f>MAX(K986,F987)</x:f>
        <x:v>1.3696</x:v>
      </x:c>
      <x:c r="L987" s="74" t="n">
        <x:f>1-F987/K987</x:f>
        <x:v>0.0029205607476635587</x:v>
      </x:c>
      <x:c r="M987" s="73" t="n">
        <x:f>MAX(M986,F987)</x:f>
        <x:v>1.3696</x:v>
      </x:c>
      <x:c r="N987" s="74" t="n">
        <x:f>1-F987/M987</x:f>
        <x:v>0.0029205607476635587</x:v>
      </x:c>
    </x:row>
    <x:row r="988" ht="27" customHeight="1">
      <x:c r="A988" s="66" t="str">
        <x:v>SQD620</x:v>
      </x:c>
      <x:c r="B988" s="66" t="str">
        <x:v>深度梦扬量化套利0号</x:v>
      </x:c>
      <x:c r="C988" s="72" t="n">
        <x:v>45891</x:v>
      </x:c>
      <x:c r="D988" s="73" t="n">
        <x:v>1.029</x:v>
      </x:c>
      <x:c r="E988" s="73" t="n">
        <x:v>1.364</x:v>
      </x:c>
      <x:c r="F988" s="73" t="n">
        <x:v>1.367</x:v>
      </x:c>
      <x:c r="G988" s="74" t="n">
        <x:v>0.001</x:v>
      </x:c>
      <x:c r="H988" s="66" t="str">
        <x:v>深度梦扬量化套利0号净值20260911.xlsx</x:v>
      </x:c>
      <x:c r="I988" s="73" t="str">
        <x:f>""</x:f>
      </x:c>
      <x:c r="J988" s="74" t="str">
        <x:f>""</x:f>
      </x:c>
      <x:c r="K988" s="73" t="n">
        <x:f>MAX(K987,F988)</x:f>
        <x:v>1.3696</x:v>
      </x:c>
      <x:c r="L988" s="74" t="n">
        <x:f>1-F988/K988</x:f>
        <x:v>0.001898364485981241</x:v>
      </x:c>
      <x:c r="M988" s="73" t="n">
        <x:f>MAX(M987,F988)</x:f>
        <x:v>1.3696</x:v>
      </x:c>
      <x:c r="N988" s="74" t="n">
        <x:f>1-F988/M988</x:f>
        <x:v>0.001898364485981241</x:v>
      </x:c>
    </x:row>
    <x:row r="989" ht="27" customHeight="1">
      <x:c r="A989" s="66" t="str">
        <x:v>SQD620</x:v>
      </x:c>
      <x:c r="B989" s="66" t="str">
        <x:v>深度梦扬量化套利0号</x:v>
      </x:c>
      <x:c r="C989" s="72" t="n">
        <x:v>45898</x:v>
      </x:c>
      <x:c r="D989" s="73" t="n">
        <x:v>1.022</x:v>
      </x:c>
      <x:c r="E989" s="73" t="n">
        <x:v>1.357</x:v>
      </x:c>
      <x:c r="F989" s="73" t="n">
        <x:v>1.3577</x:v>
      </x:c>
      <x:c r="G989" s="74" t="n">
        <x:v>-0.0068000000000000005</x:v>
      </x:c>
      <x:c r="H989" s="66" t="str">
        <x:v>深度梦扬量化套利0号净值20260911.xlsx</x:v>
      </x:c>
      <x:c r="I989" s="73" t="n">
        <x:f>F989</x:f>
        <x:v>1.3577</x:v>
      </x:c>
      <x:c r="J989" s="74" t="n">
        <x:f>1-F989/I989</x:f>
        <x:v>0</x:v>
      </x:c>
      <x:c r="K989" s="73" t="n">
        <x:f>MAX(K988,F989)</x:f>
        <x:v>1.3696</x:v>
      </x:c>
      <x:c r="L989" s="74" t="n">
        <x:f>1-F989/K989</x:f>
        <x:v>0.008688668224299034</x:v>
      </x:c>
      <x:c r="M989" s="73" t="n">
        <x:f>MAX(M988,F989)</x:f>
        <x:v>1.3696</x:v>
      </x:c>
      <x:c r="N989" s="74" t="n">
        <x:f>1-F989/M989</x:f>
        <x:v>0.008688668224299034</x:v>
      </x:c>
    </x:row>
    <x:row r="990" ht="27" customHeight="1">
      <x:c r="A990" s="66" t="str">
        <x:v>SQD620</x:v>
      </x:c>
      <x:c r="B990" s="66" t="str">
        <x:v>深度梦扬量化套利0号</x:v>
      </x:c>
      <x:c r="C990" s="72" t="n">
        <x:v>45905</x:v>
      </x:c>
      <x:c r="D990" s="73" t="n">
        <x:v>1.035</x:v>
      </x:c>
      <x:c r="E990" s="73" t="n">
        <x:v>1.37</x:v>
      </x:c>
      <x:c r="F990" s="73" t="n">
        <x:v>1.3749</x:v>
      </x:c>
      <x:c r="G990" s="74" t="n">
        <x:v>0.0127</x:v>
      </x:c>
      <x:c r="H990" s="66" t="str">
        <x:v>深度梦扬量化套利0号净值20260911.xlsx</x:v>
      </x:c>
      <x:c r="I990" s="73" t="n">
        <x:f>MAX(I989,F990)</x:f>
        <x:v>1.3749</x:v>
      </x:c>
      <x:c r="J990" s="74" t="n">
        <x:f>1-F990/I990</x:f>
        <x:v>0</x:v>
      </x:c>
      <x:c r="K990" s="73" t="n">
        <x:f>MAX(K989,F990)</x:f>
        <x:v>1.3749</x:v>
      </x:c>
      <x:c r="L990" s="74" t="n">
        <x:f>1-F990/K990</x:f>
        <x:v>0</x:v>
      </x:c>
      <x:c r="M990" s="73" t="n">
        <x:f>MAX(M989,F990)</x:f>
        <x:v>1.3749</x:v>
      </x:c>
      <x:c r="N990" s="74" t="n">
        <x:f>1-F990/M990</x:f>
        <x:v>0</x:v>
      </x:c>
    </x:row>
    <x:row r="991" ht="27" customHeight="1">
      <x:c r="A991" s="66" t="str">
        <x:v>SQD620</x:v>
      </x:c>
      <x:c r="B991" s="66" t="str">
        <x:v>深度梦扬量化套利0号</x:v>
      </x:c>
      <x:c r="C991" s="72" t="n">
        <x:v>45912</x:v>
      </x:c>
      <x:c r="D991" s="73" t="n">
        <x:v>1.047</x:v>
      </x:c>
      <x:c r="E991" s="73" t="n">
        <x:v>1.382</x:v>
      </x:c>
      <x:c r="F991" s="73" t="n">
        <x:v>1.3909</x:v>
      </x:c>
      <x:c r="G991" s="74" t="n">
        <x:v>0.0116</x:v>
      </x:c>
      <x:c r="H991" s="66" t="str">
        <x:v>深度梦扬量化套利0号净值20260911.xlsx</x:v>
      </x:c>
      <x:c r="I991" s="73" t="n">
        <x:f>MAX(I990,F991)</x:f>
        <x:v>1.3909</x:v>
      </x:c>
      <x:c r="J991" s="74" t="n">
        <x:f>1-F991/I991</x:f>
        <x:v>0</x:v>
      </x:c>
      <x:c r="K991" s="73" t="n">
        <x:f>MAX(K990,F991)</x:f>
        <x:v>1.3909</x:v>
      </x:c>
      <x:c r="L991" s="74" t="n">
        <x:f>1-F991/K991</x:f>
        <x:v>0</x:v>
      </x:c>
      <x:c r="M991" s="73" t="n">
        <x:f>MAX(M990,F991)</x:f>
        <x:v>1.3909</x:v>
      </x:c>
      <x:c r="N991" s="74" t="n">
        <x:f>1-F991/M991</x:f>
        <x:v>0</x:v>
      </x:c>
    </x:row>
    <x:row r="992" ht="27" customHeight="1">
      <x:c r="A992" s="66" t="str">
        <x:v>SQD620</x:v>
      </x:c>
      <x:c r="B992" s="66" t="str">
        <x:v>深度梦扬量化套利0号</x:v>
      </x:c>
      <x:c r="C992" s="72" t="n">
        <x:v>45919</x:v>
      </x:c>
      <x:c r="D992" s="73" t="n">
        <x:v>1.043</x:v>
      </x:c>
      <x:c r="E992" s="73" t="n">
        <x:v>1.378</x:v>
      </x:c>
      <x:c r="F992" s="73" t="n">
        <x:v>1.3856</x:v>
      </x:c>
      <x:c r="G992" s="74" t="n">
        <x:v>-0.0038</x:v>
      </x:c>
      <x:c r="H992" s="66" t="str">
        <x:v>深度梦扬量化套利0号净值20260911.xlsx</x:v>
      </x:c>
      <x:c r="I992" s="73" t="n">
        <x:f>MAX(I991,F992)</x:f>
        <x:v>1.3909</x:v>
      </x:c>
      <x:c r="J992" s="74" t="n">
        <x:f>1-F992/I992</x:f>
        <x:v>0.0038104824214537647</x:v>
      </x:c>
      <x:c r="K992" s="73" t="n">
        <x:f>MAX(K991,F992)</x:f>
        <x:v>1.3909</x:v>
      </x:c>
      <x:c r="L992" s="74" t="n">
        <x:f>1-F992/K992</x:f>
        <x:v>0.0038104824214537647</x:v>
      </x:c>
      <x:c r="M992" s="73" t="n">
        <x:f>MAX(M991,F992)</x:f>
        <x:v>1.3909</x:v>
      </x:c>
      <x:c r="N992" s="74" t="n">
        <x:f>1-F992/M992</x:f>
        <x:v>0.0038104824214537647</x:v>
      </x:c>
    </x:row>
    <x:row r="993" ht="27" customHeight="1">
      <x:c r="A993" s="66" t="str">
        <x:v>SQD620</x:v>
      </x:c>
      <x:c r="B993" s="66" t="str">
        <x:v>深度梦扬量化套利0号</x:v>
      </x:c>
      <x:c r="C993" s="72" t="n">
        <x:v>45926</x:v>
      </x:c>
      <x:c r="D993" s="73" t="n">
        <x:v>1.046</x:v>
      </x:c>
      <x:c r="E993" s="73" t="n">
        <x:v>1.381</x:v>
      </x:c>
      <x:c r="F993" s="73" t="n">
        <x:v>1.3895</x:v>
      </x:c>
      <x:c r="G993" s="74" t="n">
        <x:v>0.0029</x:v>
      </x:c>
      <x:c r="H993" s="66" t="str">
        <x:v>深度梦扬量化套利0号净值20260911.xlsx</x:v>
      </x:c>
      <x:c r="I993" s="73" t="n">
        <x:f>MAX(I992,F993)</x:f>
        <x:v>1.3909</x:v>
      </x:c>
      <x:c r="J993" s="74" t="n">
        <x:f>1-F993/I993</x:f>
        <x:v>0.0010065425264217387</x:v>
      </x:c>
      <x:c r="K993" s="73" t="n">
        <x:f>MAX(K992,F993)</x:f>
        <x:v>1.3909</x:v>
      </x:c>
      <x:c r="L993" s="74" t="n">
        <x:f>1-F993/K993</x:f>
        <x:v>0.0010065425264217387</x:v>
      </x:c>
      <x:c r="M993" s="73" t="n">
        <x:f>MAX(M992,F993)</x:f>
        <x:v>1.3909</x:v>
      </x:c>
      <x:c r="N993" s="74" t="n">
        <x:f>1-F993/M993</x:f>
        <x:v>0.0010065425264217387</x:v>
      </x:c>
    </x:row>
    <x:row r="994" ht="27" customHeight="1">
      <x:c r="A994" s="66" t="str">
        <x:v>SQD620</x:v>
      </x:c>
      <x:c r="B994" s="66" t="str">
        <x:v>深度梦扬量化套利0号</x:v>
      </x:c>
      <x:c r="C994" s="72" t="n">
        <x:v>45930</x:v>
      </x:c>
      <x:c r="D994" s="73" t="n">
        <x:v>1.052</x:v>
      </x:c>
      <x:c r="E994" s="73" t="n">
        <x:v>1.387</x:v>
      </x:c>
      <x:c r="F994" s="73" t="n">
        <x:v>1.3975</x:v>
      </x:c>
      <x:c r="G994" s="74" t="n">
        <x:v>0.005699999999999999</x:v>
      </x:c>
      <x:c r="H994" s="66" t="str">
        <x:v>深度梦扬量化套利0号净值20260911.xlsx</x:v>
      </x:c>
      <x:c r="I994" s="73" t="n">
        <x:f>MAX(I993,F994)</x:f>
        <x:v>1.3975</x:v>
      </x:c>
      <x:c r="J994" s="74" t="n">
        <x:f>1-F994/I994</x:f>
        <x:v>0</x:v>
      </x:c>
      <x:c r="K994" s="73" t="n">
        <x:f>MAX(K993,F994)</x:f>
        <x:v>1.3975</x:v>
      </x:c>
      <x:c r="L994" s="74" t="n">
        <x:f>1-F994/K994</x:f>
        <x:v>0</x:v>
      </x:c>
      <x:c r="M994" s="73" t="n">
        <x:f>MAX(M993,F994)</x:f>
        <x:v>1.3975</x:v>
      </x:c>
      <x:c r="N994" s="74" t="n">
        <x:f>1-F994/M994</x:f>
        <x:v>0</x:v>
      </x:c>
    </x:row>
    <x:row r="995" ht="27" customHeight="1">
      <x:c r="A995" s="66" t="str">
        <x:v>SQD620</x:v>
      </x:c>
      <x:c r="B995" s="66" t="str">
        <x:v>深度梦扬量化套利0号</x:v>
      </x:c>
      <x:c r="C995" s="72" t="n">
        <x:v>45940</x:v>
      </x:c>
      <x:c r="D995" s="73" t="n">
        <x:v>1.056</x:v>
      </x:c>
      <x:c r="E995" s="73" t="n">
        <x:v>1.391</x:v>
      </x:c>
      <x:c r="F995" s="73" t="n">
        <x:v>1.4028</x:v>
      </x:c>
      <x:c r="G995" s="74" t="n">
        <x:v>0.0038</x:v>
      </x:c>
      <x:c r="H995" s="66" t="str">
        <x:v>深度梦扬量化套利0号净值20260911.xlsx</x:v>
      </x:c>
      <x:c r="I995" s="73" t="n">
        <x:f>MAX(I994,F995)</x:f>
        <x:v>1.4028</x:v>
      </x:c>
      <x:c r="J995" s="74" t="n">
        <x:f>1-F995/I995</x:f>
        <x:v>0</x:v>
      </x:c>
      <x:c r="K995" s="73" t="n">
        <x:f>MAX(K994,F995)</x:f>
        <x:v>1.4028</x:v>
      </x:c>
      <x:c r="L995" s="74" t="n">
        <x:f>1-F995/K995</x:f>
        <x:v>0</x:v>
      </x:c>
      <x:c r="M995" s="73" t="n">
        <x:f>MAX(M994,F995)</x:f>
        <x:v>1.4028</x:v>
      </x:c>
      <x:c r="N995" s="74" t="n">
        <x:f>1-F995/M995</x:f>
        <x:v>0</x:v>
      </x:c>
    </x:row>
    <x:row r="996" ht="27" customHeight="1">
      <x:c r="A996" s="66" t="str">
        <x:v>SQD620</x:v>
      </x:c>
      <x:c r="B996" s="66" t="str">
        <x:v>深度梦扬量化套利0号</x:v>
      </x:c>
      <x:c r="C996" s="72" t="n">
        <x:v>45947</x:v>
      </x:c>
      <x:c r="D996" s="73" t="n">
        <x:v>1.059</x:v>
      </x:c>
      <x:c r="E996" s="73" t="n">
        <x:v>1.394</x:v>
      </x:c>
      <x:c r="F996" s="73" t="n">
        <x:v>1.4068</x:v>
      </x:c>
      <x:c r="G996" s="74" t="n">
        <x:v>0.0028000000000000004</x:v>
      </x:c>
      <x:c r="H996" s="66" t="str">
        <x:v>深度梦扬量化套利0号净值20260911.xlsx</x:v>
      </x:c>
      <x:c r="I996" s="73" t="n">
        <x:f>MAX(I995,F996)</x:f>
        <x:v>1.4068</x:v>
      </x:c>
      <x:c r="J996" s="74" t="n">
        <x:f>1-F996/I996</x:f>
        <x:v>0</x:v>
      </x:c>
      <x:c r="K996" s="73" t="n">
        <x:f>MAX(K995,F996)</x:f>
        <x:v>1.4068</x:v>
      </x:c>
      <x:c r="L996" s="74" t="n">
        <x:f>1-F996/K996</x:f>
        <x:v>0</x:v>
      </x:c>
      <x:c r="M996" s="73" t="n">
        <x:f>MAX(M995,F996)</x:f>
        <x:v>1.4068</x:v>
      </x:c>
      <x:c r="N996" s="74" t="n">
        <x:f>1-F996/M996</x:f>
        <x:v>0</x:v>
      </x:c>
    </x:row>
    <x:row r="997" ht="27" customHeight="1">
      <x:c r="A997" s="66" t="str">
        <x:v>SQD620</x:v>
      </x:c>
      <x:c r="B997" s="66" t="str">
        <x:v>深度梦扬量化套利0号</x:v>
      </x:c>
      <x:c r="C997" s="72" t="n">
        <x:v>45954</x:v>
      </x:c>
      <x:c r="D997" s="73" t="n">
        <x:v>1.056</x:v>
      </x:c>
      <x:c r="E997" s="73" t="n">
        <x:v>1.391</x:v>
      </x:c>
      <x:c r="F997" s="73" t="n">
        <x:v>1.4028</x:v>
      </x:c>
      <x:c r="G997" s="74" t="n">
        <x:v>-0.0028000000000000004</x:v>
      </x:c>
      <x:c r="H997" s="66" t="str">
        <x:v>深度梦扬量化套利0号净值20260911.xlsx</x:v>
      </x:c>
      <x:c r="I997" s="73" t="n">
        <x:f>MAX(I996,F997)</x:f>
        <x:v>1.4068</x:v>
      </x:c>
      <x:c r="J997" s="74" t="n">
        <x:f>1-F997/I997</x:f>
        <x:v>0.0028433323855558967</x:v>
      </x:c>
      <x:c r="K997" s="73" t="n">
        <x:f>MAX(K996,F997)</x:f>
        <x:v>1.4068</x:v>
      </x:c>
      <x:c r="L997" s="74" t="n">
        <x:f>1-F997/K997</x:f>
        <x:v>0.0028433323855558967</x:v>
      </x:c>
      <x:c r="M997" s="73" t="n">
        <x:f>MAX(M996,F997)</x:f>
        <x:v>1.4068</x:v>
      </x:c>
      <x:c r="N997" s="74" t="n">
        <x:f>1-F997/M997</x:f>
        <x:v>0.0028433323855558967</x:v>
      </x:c>
    </x:row>
    <x:row r="998" ht="27" customHeight="1">
      <x:c r="A998" s="66" t="str">
        <x:v>SQD620</x:v>
      </x:c>
      <x:c r="B998" s="66" t="str">
        <x:v>深度梦扬量化套利0号</x:v>
      </x:c>
      <x:c r="C998" s="72" t="n">
        <x:v>45961</x:v>
      </x:c>
      <x:c r="D998" s="73" t="n">
        <x:v>1.053</x:v>
      </x:c>
      <x:c r="E998" s="73" t="n">
        <x:v>1.388</x:v>
      </x:c>
      <x:c r="F998" s="73" t="n">
        <x:v>1.3988</x:v>
      </x:c>
      <x:c r="G998" s="74" t="n">
        <x:v>-0.0028000000000000004</x:v>
      </x:c>
      <x:c r="H998" s="66" t="str">
        <x:v>深度梦扬量化套利0号净值20260911.xlsx</x:v>
      </x:c>
      <x:c r="I998" s="73" t="n">
        <x:f>MAX(I997,F998)</x:f>
        <x:v>1.4068</x:v>
      </x:c>
      <x:c r="J998" s="74" t="n">
        <x:f>1-F998/I998</x:f>
        <x:v>0.0056866647711117935</x:v>
      </x:c>
      <x:c r="K998" s="73" t="n">
        <x:f>MAX(K997,F998)</x:f>
        <x:v>1.4068</x:v>
      </x:c>
      <x:c r="L998" s="74" t="n">
        <x:f>1-F998/K998</x:f>
        <x:v>0.0056866647711117935</x:v>
      </x:c>
      <x:c r="M998" s="73" t="n">
        <x:f>MAX(M997,F998)</x:f>
        <x:v>1.4068</x:v>
      </x:c>
      <x:c r="N998" s="74" t="n">
        <x:f>1-F998/M998</x:f>
        <x:v>0.0056866647711117935</x:v>
      </x:c>
    </x:row>
    <x:row r="999" ht="27" customHeight="1">
      <x:c r="A999" s="66" t="str">
        <x:v>SQD620</x:v>
      </x:c>
      <x:c r="B999" s="66" t="str">
        <x:v>深度梦扬量化套利0号</x:v>
      </x:c>
      <x:c r="C999" s="72" t="n">
        <x:v>45968</x:v>
      </x:c>
      <x:c r="D999" s="73" t="n">
        <x:v>1.057</x:v>
      </x:c>
      <x:c r="E999" s="73" t="n">
        <x:v>1.392</x:v>
      </x:c>
      <x:c r="F999" s="73" t="n">
        <x:v>1.4042</x:v>
      </x:c>
      <x:c r="G999" s="74" t="n">
        <x:v>0.0038</x:v>
      </x:c>
      <x:c r="H999" s="66" t="str">
        <x:v>深度梦扬量化套利0号净值20260911.xlsx</x:v>
      </x:c>
      <x:c r="I999" s="73" t="n">
        <x:f>MAX(I998,F999)</x:f>
        <x:v>1.4068</x:v>
      </x:c>
      <x:c r="J999" s="74" t="n">
        <x:f>1-F999/I999</x:f>
        <x:v>0.001848166050611444</x:v>
      </x:c>
      <x:c r="K999" s="73" t="n">
        <x:f>MAX(K998,F999)</x:f>
        <x:v>1.4068</x:v>
      </x:c>
      <x:c r="L999" s="74" t="n">
        <x:f>1-F999/K999</x:f>
        <x:v>0.001848166050611444</x:v>
      </x:c>
      <x:c r="M999" s="73" t="n">
        <x:f>MAX(M998,F999)</x:f>
        <x:v>1.4068</x:v>
      </x:c>
      <x:c r="N999" s="74" t="n">
        <x:f>1-F999/M999</x:f>
        <x:v>0.001848166050611444</x:v>
      </x:c>
    </x:row>
    <x:row r="1000" ht="27" customHeight="1">
      <x:c r="A1000" s="66" t="str">
        <x:v>SQD620</x:v>
      </x:c>
      <x:c r="B1000" s="66" t="str">
        <x:v>深度梦扬量化套利0号</x:v>
      </x:c>
      <x:c r="C1000" s="72" t="n">
        <x:v>45975</x:v>
      </x:c>
      <x:c r="D1000" s="73" t="n">
        <x:v>1.06</x:v>
      </x:c>
      <x:c r="E1000" s="73" t="n">
        <x:v>1.395</x:v>
      </x:c>
      <x:c r="F1000" s="73" t="n">
        <x:v>1.4081</x:v>
      </x:c>
      <x:c r="G1000" s="74" t="n">
        <x:v>0.0028000000000000004</x:v>
      </x:c>
      <x:c r="H1000" s="66" t="str">
        <x:v>深度梦扬量化套利0号净值20260911.xlsx</x:v>
      </x:c>
      <x:c r="I1000" s="73" t="n">
        <x:f>MAX(I999,F1000)</x:f>
        <x:v>1.4081</x:v>
      </x:c>
      <x:c r="J1000" s="74" t="n">
        <x:f>1-F1000/I1000</x:f>
        <x:v>0</x:v>
      </x:c>
      <x:c r="K1000" s="73" t="n">
        <x:f>MAX(K999,F1000)</x:f>
        <x:v>1.4081</x:v>
      </x:c>
      <x:c r="L1000" s="74" t="n">
        <x:f>1-F1000/K1000</x:f>
        <x:v>0</x:v>
      </x:c>
      <x:c r="M1000" s="73" t="n">
        <x:f>MAX(M999,F1000)</x:f>
        <x:v>1.4081</x:v>
      </x:c>
      <x:c r="N1000" s="74" t="n">
        <x:f>1-F1000/M1000</x:f>
        <x:v>0</x:v>
      </x:c>
    </x:row>
    <x:row r="1001" ht="27" customHeight="1">
      <x:c r="A1001" s="66" t="str">
        <x:v>SQD620</x:v>
      </x:c>
      <x:c r="B1001" s="66" t="str">
        <x:v>深度梦扬量化套利0号</x:v>
      </x:c>
      <x:c r="C1001" s="72" t="n">
        <x:v>45982</x:v>
      </x:c>
      <x:c r="D1001" s="73" t="n">
        <x:v>1.058</x:v>
      </x:c>
      <x:c r="E1001" s="73" t="n">
        <x:v>1.393</x:v>
      </x:c>
      <x:c r="F1001" s="73" t="n">
        <x:v>1.4055</x:v>
      </x:c>
      <x:c r="G1001" s="74" t="n">
        <x:v>-0.0019</x:v>
      </x:c>
      <x:c r="H1001" s="66" t="str">
        <x:v>深度梦扬量化套利0号净值20260911.xlsx</x:v>
      </x:c>
      <x:c r="I1001" s="73" t="n">
        <x:f>MAX(I1000,F1001)</x:f>
        <x:v>1.4081</x:v>
      </x:c>
      <x:c r="J1001" s="74" t="n">
        <x:f>1-F1001/I1001</x:f>
        <x:v>0.0018464597684823003</x:v>
      </x:c>
      <x:c r="K1001" s="73" t="n">
        <x:f>MAX(K1000,F1001)</x:f>
        <x:v>1.4081</x:v>
      </x:c>
      <x:c r="L1001" s="74" t="n">
        <x:f>1-F1001/K1001</x:f>
        <x:v>0.0018464597684823003</x:v>
      </x:c>
      <x:c r="M1001" s="73" t="n">
        <x:f>MAX(M1000,F1001)</x:f>
        <x:v>1.4081</x:v>
      </x:c>
      <x:c r="N1001" s="74" t="n">
        <x:f>1-F1001/M1001</x:f>
        <x:v>0.0018464597684823003</x:v>
      </x:c>
    </x:row>
    <x:row r="1002" ht="27" customHeight="1">
      <x:c r="A1002" s="66" t="str">
        <x:v>SQD620</x:v>
      </x:c>
      <x:c r="B1002" s="66" t="str">
        <x:v>深度梦扬量化套利0号</x:v>
      </x:c>
      <x:c r="C1002" s="72" t="n">
        <x:v>45989</x:v>
      </x:c>
      <x:c r="D1002" s="73" t="n">
        <x:v>1.057</x:v>
      </x:c>
      <x:c r="E1002" s="73" t="n">
        <x:v>1.392</x:v>
      </x:c>
      <x:c r="F1002" s="73" t="n">
        <x:v>1.4042</x:v>
      </x:c>
      <x:c r="G1002" s="74" t="n">
        <x:v>-0.0009</x:v>
      </x:c>
      <x:c r="H1002" s="66" t="str">
        <x:v>深度梦扬量化套利0号净值20260911.xlsx</x:v>
      </x:c>
      <x:c r="I1002" s="73" t="n">
        <x:f>MAX(I1001,F1002)</x:f>
        <x:v>1.4081</x:v>
      </x:c>
      <x:c r="J1002" s="74" t="n">
        <x:f>1-F1002/I1002</x:f>
        <x:v>0.002769689652723506</x:v>
      </x:c>
      <x:c r="K1002" s="73" t="n">
        <x:f>MAX(K1001,F1002)</x:f>
        <x:v>1.4081</x:v>
      </x:c>
      <x:c r="L1002" s="74" t="n">
        <x:f>1-F1002/K1002</x:f>
        <x:v>0.002769689652723506</x:v>
      </x:c>
      <x:c r="M1002" s="73" t="n">
        <x:f>MAX(M1001,F1002)</x:f>
        <x:v>1.4081</x:v>
      </x:c>
      <x:c r="N1002" s="74" t="n">
        <x:f>1-F1002/M1002</x:f>
        <x:v>0.002769689652723506</x:v>
      </x:c>
    </x:row>
    <x:row r="1003" ht="27" customHeight="1">
      <x:c r="A1003" s="66" t="str">
        <x:v>SQD620</x:v>
      </x:c>
      <x:c r="B1003" s="66" t="str">
        <x:v>深度梦扬量化套利0号</x:v>
      </x:c>
      <x:c r="C1003" s="72" t="n">
        <x:v>45996</x:v>
      </x:c>
      <x:c r="D1003" s="73" t="n">
        <x:v>1.062</x:v>
      </x:c>
      <x:c r="E1003" s="73" t="n">
        <x:v>1.397</x:v>
      </x:c>
      <x:c r="F1003" s="73" t="n">
        <x:v>1.4108</x:v>
      </x:c>
      <x:c r="G1003" s="74" t="n">
        <x:v>0.004699999999999999</x:v>
      </x:c>
      <x:c r="H1003" s="66" t="str">
        <x:v>深度梦扬量化套利0号净值20260911.xlsx</x:v>
      </x:c>
      <x:c r="I1003" s="73" t="n">
        <x:f>MAX(I1002,F1003)</x:f>
        <x:v>1.4108</x:v>
      </x:c>
      <x:c r="J1003" s="74" t="n">
        <x:f>1-F1003/I1003</x:f>
        <x:v>0</x:v>
      </x:c>
      <x:c r="K1003" s="73" t="n">
        <x:f>MAX(K1002,F1003)</x:f>
        <x:v>1.4108</x:v>
      </x:c>
      <x:c r="L1003" s="74" t="n">
        <x:f>1-F1003/K1003</x:f>
        <x:v>0</x:v>
      </x:c>
      <x:c r="M1003" s="73" t="n">
        <x:f>MAX(M1002,F1003)</x:f>
        <x:v>1.4108</x:v>
      </x:c>
      <x:c r="N1003" s="74" t="n">
        <x:f>1-F1003/M1003</x:f>
        <x:v>0</x:v>
      </x:c>
    </x:row>
    <x:row r="1004" ht="27" customHeight="1">
      <x:c r="A1004" s="66" t="str">
        <x:v>SQD620</x:v>
      </x:c>
      <x:c r="B1004" s="66" t="str">
        <x:v>深度梦扬量化套利0号</x:v>
      </x:c>
      <x:c r="C1004" s="72" t="n">
        <x:v>46003</x:v>
      </x:c>
      <x:c r="D1004" s="73" t="n">
        <x:v>1.063</x:v>
      </x:c>
      <x:c r="E1004" s="73" t="n">
        <x:v>1.398</x:v>
      </x:c>
      <x:c r="F1004" s="73" t="n">
        <x:v>1.4121</x:v>
      </x:c>
      <x:c r="G1004" s="74" t="n">
        <x:v>0.0009</x:v>
      </x:c>
      <x:c r="H1004" s="66" t="str">
        <x:v>深度梦扬量化套利0号净值20260911.xlsx</x:v>
      </x:c>
      <x:c r="I1004" s="73" t="n">
        <x:f>MAX(I1003,F1004)</x:f>
        <x:v>1.4121</x:v>
      </x:c>
      <x:c r="J1004" s="74" t="n">
        <x:f>1-F1004/I1004</x:f>
        <x:v>0</x:v>
      </x:c>
      <x:c r="K1004" s="73" t="n">
        <x:f>MAX(K1003,F1004)</x:f>
        <x:v>1.4121</x:v>
      </x:c>
      <x:c r="L1004" s="74" t="n">
        <x:f>1-F1004/K1004</x:f>
        <x:v>0</x:v>
      </x:c>
      <x:c r="M1004" s="73" t="n">
        <x:f>MAX(M1003,F1004)</x:f>
        <x:v>1.4121</x:v>
      </x:c>
      <x:c r="N1004" s="74" t="n">
        <x:f>1-F1004/M1004</x:f>
        <x:v>0</x:v>
      </x:c>
    </x:row>
    <x:row r="1005" ht="27" customHeight="1">
      <x:c r="A1005" s="66" t="str">
        <x:v>SQD620</x:v>
      </x:c>
      <x:c r="B1005" s="66" t="str">
        <x:v>深度梦扬量化套利0号</x:v>
      </x:c>
      <x:c r="C1005" s="72" t="n">
        <x:v>46010</x:v>
      </x:c>
      <x:c r="D1005" s="73" t="n">
        <x:v>1.061</x:v>
      </x:c>
      <x:c r="E1005" s="73" t="n">
        <x:v>1.396</x:v>
      </x:c>
      <x:c r="F1005" s="73" t="n">
        <x:v>1.4095</x:v>
      </x:c>
      <x:c r="G1005" s="74" t="n">
        <x:v>-0.0019</x:v>
      </x:c>
      <x:c r="H1005" s="66" t="str">
        <x:v>深度梦扬量化套利0号净值20260911.xlsx</x:v>
      </x:c>
      <x:c r="I1005" s="73" t="n">
        <x:f>MAX(I1004,F1005)</x:f>
        <x:v>1.4121</x:v>
      </x:c>
      <x:c r="J1005" s="74" t="n">
        <x:f>1-F1005/I1005</x:f>
        <x:v>0.001841229374690112</x:v>
      </x:c>
      <x:c r="K1005" s="73" t="n">
        <x:f>MAX(K1004,F1005)</x:f>
        <x:v>1.4121</x:v>
      </x:c>
      <x:c r="L1005" s="74" t="n">
        <x:f>1-F1005/K1005</x:f>
        <x:v>0.001841229374690112</x:v>
      </x:c>
      <x:c r="M1005" s="73" t="n">
        <x:f>MAX(M1004,F1005)</x:f>
        <x:v>1.4121</x:v>
      </x:c>
      <x:c r="N1005" s="74" t="n">
        <x:f>1-F1005/M1005</x:f>
        <x:v>0.001841229374690112</x:v>
      </x:c>
    </x:row>
    <x:row r="1006" ht="27" customHeight="1">
      <x:c r="A1006" s="66" t="str">
        <x:v>SQD620</x:v>
      </x:c>
      <x:c r="B1006" s="66" t="str">
        <x:v>深度梦扬量化套利0号</x:v>
      </x:c>
      <x:c r="C1006" s="72" t="n">
        <x:v>46017</x:v>
      </x:c>
      <x:c r="D1006" s="73" t="n">
        <x:v>1.071</x:v>
      </x:c>
      <x:c r="E1006" s="73" t="n">
        <x:v>1.406</x:v>
      </x:c>
      <x:c r="F1006" s="73" t="n">
        <x:v>1.4227</x:v>
      </x:c>
      <x:c r="G1006" s="74" t="n">
        <x:v>0.009399999999999999</x:v>
      </x:c>
      <x:c r="H1006" s="66" t="str">
        <x:v>深度梦扬量化套利0号净值20260911.xlsx</x:v>
      </x:c>
      <x:c r="I1006" s="73" t="n">
        <x:f>MAX(I1005,F1006)</x:f>
        <x:v>1.4227</x:v>
      </x:c>
      <x:c r="J1006" s="74" t="n">
        <x:f>1-F1006/I1006</x:f>
        <x:v>0</x:v>
      </x:c>
      <x:c r="K1006" s="73" t="n">
        <x:f>MAX(K1005,F1006)</x:f>
        <x:v>1.4227</x:v>
      </x:c>
      <x:c r="L1006" s="74" t="n">
        <x:f>1-F1006/K1006</x:f>
        <x:v>0</x:v>
      </x:c>
      <x:c r="M1006" s="73" t="n">
        <x:f>MAX(M1005,F1006)</x:f>
        <x:v>1.4227</x:v>
      </x:c>
      <x:c r="N1006" s="74" t="n">
        <x:f>1-F1006/M1006</x:f>
        <x:v>0</x:v>
      </x:c>
    </x:row>
    <x:row r="1007" ht="27" customHeight="1">
      <x:c r="A1007" s="66" t="str">
        <x:v>SQD620</x:v>
      </x:c>
      <x:c r="B1007" s="66" t="str">
        <x:v>深度梦扬量化套利0号</x:v>
      </x:c>
      <x:c r="C1007" s="72" t="n">
        <x:v>46022</x:v>
      </x:c>
      <x:c r="D1007" s="73" t="n">
        <x:v>1.067</x:v>
      </x:c>
      <x:c r="E1007" s="73" t="n">
        <x:v>1.402</x:v>
      </x:c>
      <x:c r="F1007" s="73" t="n">
        <x:v>1.4174</x:v>
      </x:c>
      <x:c r="G1007" s="74" t="n">
        <x:v>-0.0037</x:v>
      </x:c>
      <x:c r="H1007" s="66" t="str">
        <x:v>深度梦扬量化套利0号净值20260911.xlsx</x:v>
      </x:c>
      <x:c r="I1007" s="73" t="n">
        <x:f>MAX(I1006,F1007)</x:f>
        <x:v>1.4227</x:v>
      </x:c>
      <x:c r="J1007" s="74" t="n">
        <x:f>1-F1007/I1007</x:f>
        <x:v>0.0037253110283265167</x:v>
      </x:c>
      <x:c r="K1007" s="73" t="n">
        <x:f>MAX(K1006,F1007)</x:f>
        <x:v>1.4227</x:v>
      </x:c>
      <x:c r="L1007" s="74" t="n">
        <x:f>1-F1007/K1007</x:f>
        <x:v>0.0037253110283265167</x:v>
      </x:c>
      <x:c r="M1007" s="73" t="n">
        <x:f>MAX(M1006,F1007)</x:f>
        <x:v>1.4227</x:v>
      </x:c>
      <x:c r="N1007" s="74" t="n">
        <x:f>1-F1007/M1007</x:f>
        <x:v>0.0037253110283265167</x:v>
      </x:c>
    </x:row>
    <x:row r="1008" ht="27" customHeight="1">
      <x:c r="A1008" s="66" t="str">
        <x:v>SQD620</x:v>
      </x:c>
      <x:c r="B1008" s="66" t="str">
        <x:v>深度梦扬量化套利0号</x:v>
      </x:c>
      <x:c r="C1008" s="72" t="n">
        <x:v>46031</x:v>
      </x:c>
      <x:c r="D1008" s="73" t="n">
        <x:v>1.067</x:v>
      </x:c>
      <x:c r="E1008" s="73" t="n">
        <x:v>1.402</x:v>
      </x:c>
      <x:c r="F1008" s="73" t="n">
        <x:v>1.4174</x:v>
      </x:c>
      <x:c r="G1008" s="74" t="n">
        <x:v>0</x:v>
      </x:c>
      <x:c r="H1008" s="66" t="str">
        <x:v>深度梦扬量化套利0号净值20260911.xlsx</x:v>
      </x:c>
      <x:c r="I1008" s="73" t="n">
        <x:f>MAX(I1007,F1008)</x:f>
        <x:v>1.4227</x:v>
      </x:c>
      <x:c r="J1008" s="74" t="n">
        <x:f>1-F1008/I1008</x:f>
        <x:v>0.0037253110283265167</x:v>
      </x:c>
      <x:c r="K1008" s="73" t="n">
        <x:f>MAX(K1007,F1008)</x:f>
        <x:v>1.4227</x:v>
      </x:c>
      <x:c r="L1008" s="74" t="n">
        <x:f>1-F1008/K1008</x:f>
        <x:v>0.0037253110283265167</x:v>
      </x:c>
      <x:c r="M1008" s="73" t="n">
        <x:f>MAX(M1007,F1008)</x:f>
        <x:v>1.4227</x:v>
      </x:c>
      <x:c r="N1008" s="74" t="n">
        <x:f>1-F1008/M1008</x:f>
        <x:v>0.0037253110283265167</x:v>
      </x:c>
    </x:row>
    <x:row r="1009" ht="27" customHeight="1">
      <x:c r="A1009" s="66" t="str">
        <x:v>SQD620</x:v>
      </x:c>
      <x:c r="B1009" s="66" t="str">
        <x:v>深度梦扬量化套利0号</x:v>
      </x:c>
      <x:c r="C1009" s="72" t="n">
        <x:v>46038</x:v>
      </x:c>
      <x:c r="D1009" s="73" t="n">
        <x:v>1.07</x:v>
      </x:c>
      <x:c r="E1009" s="73" t="n">
        <x:v>1.405</x:v>
      </x:c>
      <x:c r="F1009" s="73" t="n">
        <x:v>1.4214</x:v>
      </x:c>
      <x:c r="G1009" s="74" t="n">
        <x:v>0.0028000000000000004</x:v>
      </x:c>
      <x:c r="H1009" s="66" t="str">
        <x:v>深度梦扬量化套利0号净值20260911.xlsx</x:v>
      </x:c>
      <x:c r="I1009" s="73" t="n">
        <x:f>MAX(I1008,F1009)</x:f>
        <x:v>1.4227</x:v>
      </x:c>
      <x:c r="J1009" s="74" t="n">
        <x:f>1-F1009/I1009</x:f>
        <x:v>0.0009137555352499716</x:v>
      </x:c>
      <x:c r="K1009" s="73" t="n">
        <x:f>MAX(K1008,F1009)</x:f>
        <x:v>1.4227</x:v>
      </x:c>
      <x:c r="L1009" s="74" t="n">
        <x:f>1-F1009/K1009</x:f>
        <x:v>0.0009137555352499716</x:v>
      </x:c>
      <x:c r="M1009" s="73" t="n">
        <x:f>MAX(M1008,F1009)</x:f>
        <x:v>1.4227</x:v>
      </x:c>
      <x:c r="N1009" s="74" t="n">
        <x:f>1-F1009/M1009</x:f>
        <x:v>0.0009137555352499716</x:v>
      </x:c>
    </x:row>
    <x:row r="1010" ht="27" customHeight="1">
      <x:c r="A1010" s="66" t="str">
        <x:v>SQD620</x:v>
      </x:c>
      <x:c r="B1010" s="66" t="str">
        <x:v>深度梦扬量化套利0号</x:v>
      </x:c>
      <x:c r="C1010" s="72" t="n">
        <x:v>46045</x:v>
      </x:c>
      <x:c r="D1010" s="73" t="n">
        <x:v>1.077</x:v>
      </x:c>
      <x:c r="E1010" s="73" t="n">
        <x:v>1.412</x:v>
      </x:c>
      <x:c r="F1010" s="73" t="n">
        <x:v>1.4307</x:v>
      </x:c>
      <x:c r="G1010" s="74" t="n">
        <x:v>0.006500000000000001</x:v>
      </x:c>
      <x:c r="H1010" s="66" t="str">
        <x:v>深度梦扬量化套利0号净值20260911.xlsx</x:v>
      </x:c>
      <x:c r="I1010" s="73" t="n">
        <x:f>MAX(I1009,F1010)</x:f>
        <x:v>1.4307</x:v>
      </x:c>
      <x:c r="J1010" s="74" t="n">
        <x:f>1-F1010/I1010</x:f>
        <x:v>0</x:v>
      </x:c>
      <x:c r="K1010" s="73" t="n">
        <x:f>MAX(K1009,F1010)</x:f>
        <x:v>1.4307</x:v>
      </x:c>
      <x:c r="L1010" s="74" t="n">
        <x:f>1-F1010/K1010</x:f>
        <x:v>0</x:v>
      </x:c>
      <x:c r="M1010" s="73" t="n">
        <x:f>MAX(M1009,F1010)</x:f>
        <x:v>1.4307</x:v>
      </x:c>
      <x:c r="N1010" s="74" t="n">
        <x:f>1-F1010/M1010</x:f>
        <x:v>0</x:v>
      </x:c>
    </x:row>
    <x:row r="1011" ht="27" customHeight="1">
      <x:c r="A1011" s="66" t="str">
        <x:v>SQD620</x:v>
      </x:c>
      <x:c r="B1011" s="66" t="str">
        <x:v>深度梦扬量化套利0号</x:v>
      </x:c>
      <x:c r="C1011" s="72" t="n">
        <x:v>46052</x:v>
      </x:c>
      <x:c r="D1011" s="73" t="n">
        <x:v>1.093</x:v>
      </x:c>
      <x:c r="E1011" s="73" t="n">
        <x:v>1.428</x:v>
      </x:c>
      <x:c r="F1011" s="73" t="n">
        <x:v>1.452</x:v>
      </x:c>
      <x:c r="G1011" s="74" t="n">
        <x:v>0.0149</x:v>
      </x:c>
      <x:c r="H1011" s="66" t="str">
        <x:v>深度梦扬量化套利0号净值20260911.xlsx</x:v>
      </x:c>
      <x:c r="I1011" s="73" t="n">
        <x:f>MAX(I1010,F1011)</x:f>
        <x:v>1.452</x:v>
      </x:c>
      <x:c r="J1011" s="74" t="n">
        <x:f>1-F1011/I1011</x:f>
        <x:v>0</x:v>
      </x:c>
      <x:c r="K1011" s="73" t="n">
        <x:f>MAX(K1010,F1011)</x:f>
        <x:v>1.452</x:v>
      </x:c>
      <x:c r="L1011" s="74" t="n">
        <x:f>1-F1011/K1011</x:f>
        <x:v>0</x:v>
      </x:c>
      <x:c r="M1011" s="73" t="n">
        <x:f>MAX(M1010,F1011)</x:f>
        <x:v>1.452</x:v>
      </x:c>
      <x:c r="N1011" s="74" t="n">
        <x:f>1-F1011/M1011</x:f>
        <x:v>0</x:v>
      </x:c>
    </x:row>
    <x:row r="1012" ht="27" customHeight="1">
      <x:c r="A1012" s="66" t="str">
        <x:v>SQD620</x:v>
      </x:c>
      <x:c r="B1012" s="66" t="str">
        <x:v>深度梦扬量化套利0号</x:v>
      </x:c>
      <x:c r="C1012" s="72" t="n">
        <x:v>46059</x:v>
      </x:c>
      <x:c r="D1012" s="73" t="n">
        <x:v>1.07</x:v>
      </x:c>
      <x:c r="E1012" s="73" t="n">
        <x:v>1.405</x:v>
      </x:c>
      <x:c r="F1012" s="73" t="n">
        <x:v>1.4214</x:v>
      </x:c>
      <x:c r="G1012" s="74" t="n">
        <x:v>-0.021</x:v>
      </x:c>
      <x:c r="H1012" s="66" t="str">
        <x:v>深度梦扬量化套利0号净值20260911.xlsx</x:v>
      </x:c>
      <x:c r="I1012" s="73" t="n">
        <x:f>MAX(I1011,F1012)</x:f>
        <x:v>1.452</x:v>
      </x:c>
      <x:c r="J1012" s="74" t="n">
        <x:f>1-F1012/I1012</x:f>
        <x:v>0.021074380165289175</x:v>
      </x:c>
      <x:c r="K1012" s="73" t="n">
        <x:f>MAX(K1011,F1012)</x:f>
        <x:v>1.452</x:v>
      </x:c>
      <x:c r="L1012" s="74" t="n">
        <x:f>1-F1012/K1012</x:f>
        <x:v>0.021074380165289175</x:v>
      </x:c>
      <x:c r="M1012" s="73" t="n">
        <x:f>MAX(M1011,F1012)</x:f>
        <x:v>1.452</x:v>
      </x:c>
      <x:c r="N1012" s="74" t="n">
        <x:f>1-F1012/M1012</x:f>
        <x:v>0.021074380165289175</x:v>
      </x:c>
    </x:row>
    <x:row r="1013" ht="27" customHeight="1">
      <x:c r="A1013" s="66" t="str">
        <x:v>SQD620</x:v>
      </x:c>
      <x:c r="B1013" s="66" t="str">
        <x:v>深度梦扬量化套利0号</x:v>
      </x:c>
      <x:c r="C1013" s="72" t="n">
        <x:v>46066</x:v>
      </x:c>
      <x:c r="D1013" s="73" t="n">
        <x:v>1.08</x:v>
      </x:c>
      <x:c r="E1013" s="73" t="n">
        <x:v>1.415</x:v>
      </x:c>
      <x:c r="F1013" s="73" t="n">
        <x:v>1.4347</x:v>
      </x:c>
      <x:c r="G1013" s="74" t="n">
        <x:v>0.009300000000000001</x:v>
      </x:c>
      <x:c r="H1013" s="66" t="str">
        <x:v>深度梦扬量化套利0号净值20260911.xlsx</x:v>
      </x:c>
      <x:c r="I1013" s="73" t="n">
        <x:f>MAX(I1012,F1013)</x:f>
        <x:v>1.452</x:v>
      </x:c>
      <x:c r="J1013" s="74" t="n">
        <x:f>1-F1013/I1013</x:f>
        <x:v>0.01191460055096405</x:v>
      </x:c>
      <x:c r="K1013" s="73" t="n">
        <x:f>MAX(K1012,F1013)</x:f>
        <x:v>1.452</x:v>
      </x:c>
      <x:c r="L1013" s="74" t="n">
        <x:f>1-F1013/K1013</x:f>
        <x:v>0.01191460055096405</x:v>
      </x:c>
      <x:c r="M1013" s="73" t="n">
        <x:f>MAX(M1012,F1013)</x:f>
        <x:v>1.452</x:v>
      </x:c>
      <x:c r="N1013" s="74" t="n">
        <x:f>1-F1013/M1013</x:f>
        <x:v>0.01191460055096405</x:v>
      </x:c>
    </x:row>
    <x:row r="1014" ht="27" customHeight="1">
      <x:c r="A1014" s="66" t="str">
        <x:v>SQD620</x:v>
      </x:c>
      <x:c r="B1014" s="66" t="str">
        <x:v>深度梦扬量化套利0号</x:v>
      </x:c>
      <x:c r="C1014" s="72" t="n">
        <x:v>46080</x:v>
      </x:c>
      <x:c r="D1014" s="73" t="n">
        <x:v>1.097</x:v>
      </x:c>
      <x:c r="E1014" s="73" t="n">
        <x:v>1.432</x:v>
      </x:c>
      <x:c r="F1014" s="73" t="n">
        <x:v>1.4573</x:v>
      </x:c>
      <x:c r="G1014" s="74" t="n">
        <x:v>0.015700000000000002</x:v>
      </x:c>
      <x:c r="H1014" s="66" t="str">
        <x:v>深度梦扬量化套利0号净值20260911.xlsx</x:v>
      </x:c>
      <x:c r="I1014" s="73" t="n">
        <x:f>MAX(I1013,F1014)</x:f>
        <x:v>1.4573</x:v>
      </x:c>
      <x:c r="J1014" s="74" t="n">
        <x:f>1-F1014/I1014</x:f>
        <x:v>0</x:v>
      </x:c>
      <x:c r="K1014" s="73" t="n">
        <x:f>MAX(K1013,F1014)</x:f>
        <x:v>1.4573</x:v>
      </x:c>
      <x:c r="L1014" s="74" t="n">
        <x:f>1-F1014/K1014</x:f>
        <x:v>0</x:v>
      </x:c>
      <x:c r="M1014" s="73" t="n">
        <x:f>MAX(M1013,F1014)</x:f>
        <x:v>1.4573</x:v>
      </x:c>
      <x:c r="N1014" s="74" t="n">
        <x:f>1-F1014/M1014</x:f>
        <x:v>0</x:v>
      </x:c>
    </x:row>
    <x:row r="1015" ht="27" customHeight="1">
      <x:c r="A1015" s="66" t="str">
        <x:v>SQD620</x:v>
      </x:c>
      <x:c r="B1015" s="66" t="str">
        <x:v>深度梦扬量化套利0号</x:v>
      </x:c>
      <x:c r="C1015" s="72" t="n">
        <x:v>46087</x:v>
      </x:c>
      <x:c r="D1015" s="73" t="n">
        <x:v>1.111</x:v>
      </x:c>
      <x:c r="E1015" s="73" t="n">
        <x:v>1.446</x:v>
      </x:c>
      <x:c r="F1015" s="73" t="n">
        <x:v>1.4759</x:v>
      </x:c>
      <x:c r="G1015" s="74" t="n">
        <x:v>0.0128</x:v>
      </x:c>
      <x:c r="H1015" s="66" t="str">
        <x:v>深度梦扬量化套利0号净值20260911.xlsx</x:v>
      </x:c>
      <x:c r="I1015" s="73" t="n">
        <x:f>MAX(I1014,F1015)</x:f>
        <x:v>1.4759</x:v>
      </x:c>
      <x:c r="J1015" s="74" t="n">
        <x:f>1-F1015/I1015</x:f>
        <x:v>0</x:v>
      </x:c>
      <x:c r="K1015" s="73" t="n">
        <x:f>MAX(K1014,F1015)</x:f>
        <x:v>1.4759</x:v>
      </x:c>
      <x:c r="L1015" s="74" t="n">
        <x:f>1-F1015/K1015</x:f>
        <x:v>0</x:v>
      </x:c>
      <x:c r="M1015" s="73" t="n">
        <x:f>MAX(M1014,F1015)</x:f>
        <x:v>1.4759</x:v>
      </x:c>
      <x:c r="N1015" s="74" t="n">
        <x:f>1-F1015/M1015</x:f>
        <x:v>0</x:v>
      </x:c>
    </x:row>
    <x:row r="1016" ht="27" customHeight="1">
      <x:c r="A1016" s="66" t="str">
        <x:v>SQD620</x:v>
      </x:c>
      <x:c r="B1016" s="66" t="str">
        <x:v>深度梦扬量化套利0号</x:v>
      </x:c>
      <x:c r="C1016" s="72" t="n">
        <x:v>46094</x:v>
      </x:c>
      <x:c r="D1016" s="73" t="n">
        <x:v>1.119</x:v>
      </x:c>
      <x:c r="E1016" s="73" t="n">
        <x:v>1.454</x:v>
      </x:c>
      <x:c r="F1016" s="73" t="n">
        <x:v>1.4865</x:v>
      </x:c>
      <x:c r="G1016" s="74" t="n">
        <x:v>0.0072</x:v>
      </x:c>
      <x:c r="H1016" s="66" t="str">
        <x:v>深度梦扬量化套利0号净值20260911.xlsx</x:v>
      </x:c>
      <x:c r="I1016" s="73" t="n">
        <x:f>MAX(I1015,F1016)</x:f>
        <x:v>1.4865</x:v>
      </x:c>
      <x:c r="J1016" s="74" t="n">
        <x:f>1-F1016/I1016</x:f>
        <x:v>0</x:v>
      </x:c>
      <x:c r="K1016" s="73" t="n">
        <x:f>MAX(K1015,F1016)</x:f>
        <x:v>1.4865</x:v>
      </x:c>
      <x:c r="L1016" s="74" t="n">
        <x:f>1-F1016/K1016</x:f>
        <x:v>0</x:v>
      </x:c>
      <x:c r="M1016" s="73" t="n">
        <x:f>MAX(M1015,F1016)</x:f>
        <x:v>1.4865</x:v>
      </x:c>
      <x:c r="N1016" s="74" t="n">
        <x:f>1-F1016/M1016</x:f>
        <x:v>0</x:v>
      </x:c>
    </x:row>
    <x:row r="1017" ht="27" customHeight="1">
      <x:c r="A1017" s="66" t="str">
        <x:v>SQD620</x:v>
      </x:c>
      <x:c r="B1017" s="66" t="str">
        <x:v>深度梦扬量化套利0号</x:v>
      </x:c>
      <x:c r="C1017" s="72" t="n">
        <x:v>46101</x:v>
      </x:c>
      <x:c r="D1017" s="73" t="n">
        <x:v>1.094</x:v>
      </x:c>
      <x:c r="E1017" s="73" t="n">
        <x:v>1.429</x:v>
      </x:c>
      <x:c r="F1017" s="73" t="n">
        <x:v>1.4533</x:v>
      </x:c>
      <x:c r="G1017" s="74" t="n">
        <x:v>-0.0223</x:v>
      </x:c>
      <x:c r="H1017" s="66" t="str">
        <x:v>深度梦扬量化套利0号净值20260911.xlsx</x:v>
      </x:c>
      <x:c r="I1017" s="73" t="n">
        <x:f>MAX(I1016,F1017)</x:f>
        <x:v>1.4865</x:v>
      </x:c>
      <x:c r="J1017" s="74" t="n">
        <x:f>1-F1017/I1017</x:f>
        <x:v>0.02233434241506893</x:v>
      </x:c>
      <x:c r="K1017" s="73" t="n">
        <x:f>MAX(K1016,F1017)</x:f>
        <x:v>1.4865</x:v>
      </x:c>
      <x:c r="L1017" s="74" t="n">
        <x:f>1-F1017/K1017</x:f>
        <x:v>0.02233434241506893</x:v>
      </x:c>
      <x:c r="M1017" s="73" t="n">
        <x:f>MAX(M1016,F1017)</x:f>
        <x:v>1.4865</x:v>
      </x:c>
      <x:c r="N1017" s="74" t="n">
        <x:f>1-F1017/M1017</x:f>
        <x:v>0.02233434241506893</x:v>
      </x:c>
    </x:row>
    <x:row r="1018" ht="27" customHeight="1">
      <x:c r="A1018" s="66" t="str">
        <x:v>SQD620</x:v>
      </x:c>
      <x:c r="B1018" s="66" t="str">
        <x:v>深度梦扬量化套利0号</x:v>
      </x:c>
      <x:c r="C1018" s="72" t="n">
        <x:v>46108</x:v>
      </x:c>
      <x:c r="D1018" s="73" t="n">
        <x:v>1.097</x:v>
      </x:c>
      <x:c r="E1018" s="73" t="n">
        <x:v>1.432</x:v>
      </x:c>
      <x:c r="F1018" s="73" t="n">
        <x:v>1.4573</x:v>
      </x:c>
      <x:c r="G1018" s="74" t="n">
        <x:v>0.0027</x:v>
      </x:c>
      <x:c r="H1018" s="66" t="str">
        <x:v>深度梦扬量化套利0号净值20260911.xlsx</x:v>
      </x:c>
      <x:c r="I1018" s="73" t="n">
        <x:f>MAX(I1017,F1018)</x:f>
        <x:v>1.4865</x:v>
      </x:c>
      <x:c r="J1018" s="74" t="n">
        <x:f>1-F1018/I1018</x:f>
        <x:v>0.019643457786747365</x:v>
      </x:c>
      <x:c r="K1018" s="73" t="n">
        <x:f>MAX(K1017,F1018)</x:f>
        <x:v>1.4865</x:v>
      </x:c>
      <x:c r="L1018" s="74" t="n">
        <x:f>1-F1018/K1018</x:f>
        <x:v>0.019643457786747365</x:v>
      </x:c>
      <x:c r="M1018" s="73" t="n">
        <x:f>MAX(M1017,F1018)</x:f>
        <x:v>1.4865</x:v>
      </x:c>
      <x:c r="N1018" s="74" t="n">
        <x:f>1-F1018/M1018</x:f>
        <x:v>0.019643457786747365</x:v>
      </x:c>
    </x:row>
    <x:row r="1019" ht="27" customHeight="1">
      <x:c r="A1019" s="66" t="str">
        <x:v>SQD620</x:v>
      </x:c>
      <x:c r="B1019" s="66" t="str">
        <x:v>深度梦扬量化套利0号</x:v>
      </x:c>
      <x:c r="C1019" s="72" t="n">
        <x:v>46112</x:v>
      </x:c>
      <x:c r="D1019" s="73" t="n">
        <x:v>1.099</x:v>
      </x:c>
      <x:c r="E1019" s="73" t="n">
        <x:v>1.434</x:v>
      </x:c>
      <x:c r="F1019" s="73" t="n">
        <x:v>1.4599</x:v>
      </x:c>
      <x:c r="G1019" s="74" t="n">
        <x:v>0.0018</x:v>
      </x:c>
      <x:c r="H1019" s="66" t="str">
        <x:v>深度梦扬量化套利0号净值20260911.xlsx</x:v>
      </x:c>
      <x:c r="I1019" s="73" t="n">
        <x:f>MAX(I1018,F1019)</x:f>
        <x:v>1.4865</x:v>
      </x:c>
      <x:c r="J1019" s="74" t="n">
        <x:f>1-F1019/I1019</x:f>
        <x:v>0.017894382778338325</x:v>
      </x:c>
      <x:c r="K1019" s="73" t="n">
        <x:f>MAX(K1018,F1019)</x:f>
        <x:v>1.4865</x:v>
      </x:c>
      <x:c r="L1019" s="74" t="n">
        <x:f>1-F1019/K1019</x:f>
        <x:v>0.017894382778338325</x:v>
      </x:c>
      <x:c r="M1019" s="73" t="n">
        <x:f>MAX(M1018,F1019)</x:f>
        <x:v>1.4865</x:v>
      </x:c>
      <x:c r="N1019" s="74" t="n">
        <x:f>1-F1019/M1019</x:f>
        <x:v>0.017894382778338325</x:v>
      </x:c>
    </x:row>
    <x:row r="1020" ht="27" customHeight="1">
      <x:c r="A1020" s="66" t="str">
        <x:v>SQD620</x:v>
      </x:c>
      <x:c r="B1020" s="66" t="str">
        <x:v>深度梦扬量化套利0号</x:v>
      </x:c>
      <x:c r="C1020" s="72" t="n">
        <x:v>46115</x:v>
      </x:c>
      <x:c r="D1020" s="73" t="n">
        <x:v>1.101</x:v>
      </x:c>
      <x:c r="E1020" s="73" t="n">
        <x:v>1.436</x:v>
      </x:c>
      <x:c r="F1020" s="73" t="n">
        <x:v>1.4626</x:v>
      </x:c>
      <x:c r="G1020" s="74" t="n">
        <x:v>0.0018</x:v>
      </x:c>
      <x:c r="H1020" s="66" t="str">
        <x:v>深度梦扬量化套利0号净值20260911.xlsx</x:v>
      </x:c>
      <x:c r="I1020" s="73" t="n">
        <x:f>MAX(I1019,F1020)</x:f>
        <x:v>1.4865</x:v>
      </x:c>
      <x:c r="J1020" s="74" t="n">
        <x:f>1-F1020/I1020</x:f>
        <x:v>0.01607803565422139</x:v>
      </x:c>
      <x:c r="K1020" s="73" t="n">
        <x:f>MAX(K1019,F1020)</x:f>
        <x:v>1.4865</x:v>
      </x:c>
      <x:c r="L1020" s="74" t="n">
        <x:f>1-F1020/K1020</x:f>
        <x:v>0.01607803565422139</x:v>
      </x:c>
      <x:c r="M1020" s="73" t="n">
        <x:f>MAX(M1019,F1020)</x:f>
        <x:v>1.4865</x:v>
      </x:c>
      <x:c r="N1020" s="74" t="n">
        <x:f>1-F1020/M1020</x:f>
        <x:v>0.01607803565422139</x:v>
      </x:c>
    </x:row>
    <x:row r="1021" ht="27" customHeight="1">
      <x:c r="A1021" s="66" t="str">
        <x:v>SQD620</x:v>
      </x:c>
      <x:c r="B1021" s="66" t="str">
        <x:v>深度梦扬量化套利0号</x:v>
      </x:c>
      <x:c r="C1021" s="72" t="n">
        <x:v>46122</x:v>
      </x:c>
      <x:c r="D1021" s="73" t="n">
        <x:v>1.095</x:v>
      </x:c>
      <x:c r="E1021" s="73" t="n">
        <x:v>1.43</x:v>
      </x:c>
      <x:c r="F1021" s="73" t="n">
        <x:v>1.4546</x:v>
      </x:c>
      <x:c r="G1021" s="74" t="n">
        <x:v>-0.0054</x:v>
      </x:c>
      <x:c r="H1021" s="66" t="str">
        <x:v>深度梦扬量化套利0号净值20260911.xlsx</x:v>
      </x:c>
      <x:c r="I1021" s="73" t="n">
        <x:f>MAX(I1020,F1021)</x:f>
        <x:v>1.4865</x:v>
      </x:c>
      <x:c r="J1021" s="74" t="n">
        <x:f>1-F1021/I1021</x:f>
        <x:v>0.02145980491086452</x:v>
      </x:c>
      <x:c r="K1021" s="73" t="n">
        <x:f>MAX(K1020,F1021)</x:f>
        <x:v>1.4865</x:v>
      </x:c>
      <x:c r="L1021" s="74" t="n">
        <x:f>1-F1021/K1021</x:f>
        <x:v>0.02145980491086452</x:v>
      </x:c>
      <x:c r="M1021" s="73" t="n">
        <x:f>MAX(M1020,F1021)</x:f>
        <x:v>1.4865</x:v>
      </x:c>
      <x:c r="N1021" s="74" t="n">
        <x:f>1-F1021/M1021</x:f>
        <x:v>0.02145980491086452</x:v>
      </x:c>
    </x:row>
    <x:row r="1022" ht="27" customHeight="1">
      <x:c r="A1022" s="66" t="str">
        <x:v>SQD620</x:v>
      </x:c>
      <x:c r="B1022" s="66" t="str">
        <x:v>深度梦扬量化套利0号</x:v>
      </x:c>
      <x:c r="C1022" s="72" t="n">
        <x:v>46129</x:v>
      </x:c>
      <x:c r="D1022" s="73" t="n">
        <x:v>1.095</x:v>
      </x:c>
      <x:c r="E1022" s="73" t="n">
        <x:v>1.43</x:v>
      </x:c>
      <x:c r="F1022" s="73" t="n">
        <x:v>1.4546</x:v>
      </x:c>
      <x:c r="G1022" s="74" t="n">
        <x:v>0</x:v>
      </x:c>
      <x:c r="H1022" s="66" t="str">
        <x:v>深度梦扬量化套利0号净值20260911.xlsx</x:v>
      </x:c>
      <x:c r="I1022" s="73" t="n">
        <x:f>MAX(I1021,F1022)</x:f>
        <x:v>1.4865</x:v>
      </x:c>
      <x:c r="J1022" s="74" t="n">
        <x:f>1-F1022/I1022</x:f>
        <x:v>0.02145980491086452</x:v>
      </x:c>
      <x:c r="K1022" s="73" t="n">
        <x:f>MAX(K1021,F1022)</x:f>
        <x:v>1.4865</x:v>
      </x:c>
      <x:c r="L1022" s="74" t="n">
        <x:f>1-F1022/K1022</x:f>
        <x:v>0.02145980491086452</x:v>
      </x:c>
      <x:c r="M1022" s="73" t="n">
        <x:f>MAX(M1021,F1022)</x:f>
        <x:v>1.4865</x:v>
      </x:c>
      <x:c r="N1022" s="74" t="n">
        <x:f>1-F1022/M1022</x:f>
        <x:v>0.02145980491086452</x:v>
      </x:c>
    </x:row>
    <x:row r="1023" ht="27" customHeight="1">
      <x:c r="A1023" s="66" t="str">
        <x:v>SQD620</x:v>
      </x:c>
      <x:c r="B1023" s="66" t="str">
        <x:v>深度梦扬量化套利0号</x:v>
      </x:c>
      <x:c r="C1023" s="72" t="n">
        <x:v>46136</x:v>
      </x:c>
      <x:c r="D1023" s="73" t="n">
        <x:v>1.094</x:v>
      </x:c>
      <x:c r="E1023" s="73" t="n">
        <x:v>1.429</x:v>
      </x:c>
      <x:c r="F1023" s="73" t="n">
        <x:v>1.4533</x:v>
      </x:c>
      <x:c r="G1023" s="74" t="n">
        <x:v>-0.0009</x:v>
      </x:c>
      <x:c r="H1023" s="66" t="str">
        <x:v>深度梦扬量化套利0号净值20260911.xlsx</x:v>
      </x:c>
      <x:c r="I1023" s="73" t="n">
        <x:f>MAX(I1022,F1023)</x:f>
        <x:v>1.4865</x:v>
      </x:c>
      <x:c r="J1023" s="74" t="n">
        <x:f>1-F1023/I1023</x:f>
        <x:v>0.02233434241506893</x:v>
      </x:c>
      <x:c r="K1023" s="73" t="n">
        <x:f>MAX(K1022,F1023)</x:f>
        <x:v>1.4865</x:v>
      </x:c>
      <x:c r="L1023" s="74" t="n">
        <x:f>1-F1023/K1023</x:f>
        <x:v>0.02233434241506893</x:v>
      </x:c>
      <x:c r="M1023" s="73" t="n">
        <x:f>MAX(M1022,F1023)</x:f>
        <x:v>1.4865</x:v>
      </x:c>
      <x:c r="N1023" s="74" t="n">
        <x:f>1-F1023/M1023</x:f>
        <x:v>0.02233434241506893</x:v>
      </x:c>
    </x:row>
    <x:row r="1024" ht="27" customHeight="1">
      <x:c r="A1024" s="66" t="str">
        <x:v>SQD620</x:v>
      </x:c>
      <x:c r="B1024" s="66" t="str">
        <x:v>深度梦扬量化套利0号</x:v>
      </x:c>
      <x:c r="C1024" s="72" t="n">
        <x:v>46142</x:v>
      </x:c>
      <x:c r="D1024" s="73" t="n">
        <x:v>1.093</x:v>
      </x:c>
      <x:c r="E1024" s="73" t="n">
        <x:v>1.428</x:v>
      </x:c>
      <x:c r="F1024" s="73" t="n">
        <x:v>1.452</x:v>
      </x:c>
      <x:c r="G1024" s="74" t="n">
        <x:v>-0.0009</x:v>
      </x:c>
      <x:c r="H1024" s="66" t="str">
        <x:v>深度梦扬量化套利0号净值20260911.xlsx</x:v>
      </x:c>
      <x:c r="I1024" s="73" t="n">
        <x:f>MAX(I1023,F1024)</x:f>
        <x:v>1.4865</x:v>
      </x:c>
      <x:c r="J1024" s="74" t="n">
        <x:f>1-F1024/I1024</x:f>
        <x:v>0.02320887991927345</x:v>
      </x:c>
      <x:c r="K1024" s="73" t="n">
        <x:f>MAX(K1023,F1024)</x:f>
        <x:v>1.4865</x:v>
      </x:c>
      <x:c r="L1024" s="74" t="n">
        <x:f>1-F1024/K1024</x:f>
        <x:v>0.02320887991927345</x:v>
      </x:c>
      <x:c r="M1024" s="73" t="n">
        <x:f>MAX(M1023,F1024)</x:f>
        <x:v>1.4865</x:v>
      </x:c>
      <x:c r="N1024" s="74" t="n">
        <x:f>1-F1024/M1024</x:f>
        <x:v>0.02320887991927345</x:v>
      </x:c>
    </x:row>
    <x:row r="1025" ht="27" customHeight="1">
      <x:c r="A1025" s="66" t="str">
        <x:v>SQD620</x:v>
      </x:c>
      <x:c r="B1025" s="66" t="str">
        <x:v>深度梦扬量化套利0号</x:v>
      </x:c>
      <x:c r="C1025" s="72" t="n">
        <x:v>46150</x:v>
      </x:c>
      <x:c r="D1025" s="73" t="n">
        <x:v>1.088</x:v>
      </x:c>
      <x:c r="E1025" s="73" t="n">
        <x:v>1.423</x:v>
      </x:c>
      <x:c r="F1025" s="73" t="n">
        <x:v>1.4453</x:v>
      </x:c>
      <x:c r="G1025" s="74" t="n">
        <x:v>-0.0046</x:v>
      </x:c>
      <x:c r="H1025" s="66" t="str">
        <x:v>深度梦扬量化套利0号净值20260911.xlsx</x:v>
      </x:c>
      <x:c r="I1025" s="73" t="n">
        <x:f>MAX(I1024,F1025)</x:f>
        <x:v>1.4865</x:v>
      </x:c>
      <x:c r="J1025" s="74" t="n">
        <x:f>1-F1025/I1025</x:f>
        <x:v>0.027716111671712063</x:v>
      </x:c>
      <x:c r="K1025" s="73" t="n">
        <x:f>MAX(K1024,F1025)</x:f>
        <x:v>1.4865</x:v>
      </x:c>
      <x:c r="L1025" s="74" t="n">
        <x:f>1-F1025/K1025</x:f>
        <x:v>0.027716111671712063</x:v>
      </x:c>
      <x:c r="M1025" s="73" t="n">
        <x:f>MAX(M1024,F1025)</x:f>
        <x:v>1.4865</x:v>
      </x:c>
      <x:c r="N1025" s="74" t="n">
        <x:f>1-F1025/M1025</x:f>
        <x:v>0.027716111671712063</x:v>
      </x:c>
    </x:row>
    <x:row r="1026" ht="27" customHeight="1">
      <x:c r="A1026" s="66" t="str">
        <x:v>SQD620</x:v>
      </x:c>
      <x:c r="B1026" s="66" t="str">
        <x:v>深度梦扬量化套利0号</x:v>
      </x:c>
      <x:c r="C1026" s="72" t="n">
        <x:v>46157</x:v>
      </x:c>
      <x:c r="D1026" s="73" t="n">
        <x:v>1.089</x:v>
      </x:c>
      <x:c r="E1026" s="73" t="n">
        <x:v>1.424</x:v>
      </x:c>
      <x:c r="F1026" s="73" t="n">
        <x:v>1.4467</x:v>
      </x:c>
      <x:c r="G1026" s="74" t="n">
        <x:v>0.0009</x:v>
      </x:c>
      <x:c r="H1026" s="66" t="str">
        <x:v>深度梦扬量化套利0号净值20260911.xlsx</x:v>
      </x:c>
      <x:c r="I1026" s="73" t="n">
        <x:f>MAX(I1025,F1026)</x:f>
        <x:v>1.4865</x:v>
      </x:c>
      <x:c r="J1026" s="74" t="n">
        <x:f>1-F1026/I1026</x:f>
        <x:v>0.026774302051799426</x:v>
      </x:c>
      <x:c r="K1026" s="73" t="n">
        <x:f>MAX(K1025,F1026)</x:f>
        <x:v>1.4865</x:v>
      </x:c>
      <x:c r="L1026" s="74" t="n">
        <x:f>1-F1026/K1026</x:f>
        <x:v>0.026774302051799426</x:v>
      </x:c>
      <x:c r="M1026" s="73" t="n">
        <x:f>MAX(M1025,F1026)</x:f>
        <x:v>1.4865</x:v>
      </x:c>
      <x:c r="N1026" s="74" t="n">
        <x:f>1-F1026/M1026</x:f>
        <x:v>0.026774302051799426</x:v>
      </x:c>
    </x:row>
    <x:row r="1027" ht="27" customHeight="1">
      <x:c r="A1027" s="66" t="str">
        <x:v>SQD620</x:v>
      </x:c>
      <x:c r="B1027" s="66" t="str">
        <x:v>深度梦扬量化套利0号</x:v>
      </x:c>
      <x:c r="C1027" s="72" t="n">
        <x:v>46164</x:v>
      </x:c>
      <x:c r="D1027" s="73" t="n">
        <x:v>1.088</x:v>
      </x:c>
      <x:c r="E1027" s="73" t="n">
        <x:v>1.423</x:v>
      </x:c>
      <x:c r="F1027" s="73" t="n">
        <x:v>1.4453</x:v>
      </x:c>
      <x:c r="G1027" s="74" t="n">
        <x:v>-0.0009</x:v>
      </x:c>
      <x:c r="H1027" s="66" t="str">
        <x:v>深度梦扬量化套利0号净值20260911.xlsx</x:v>
      </x:c>
      <x:c r="I1027" s="73" t="n">
        <x:f>MAX(I1026,F1027)</x:f>
        <x:v>1.4865</x:v>
      </x:c>
      <x:c r="J1027" s="74" t="n">
        <x:f>1-F1027/I1027</x:f>
        <x:v>0.027716111671712063</x:v>
      </x:c>
      <x:c r="K1027" s="73" t="n">
        <x:f>MAX(K1026,F1027)</x:f>
        <x:v>1.4865</x:v>
      </x:c>
      <x:c r="L1027" s="74" t="n">
        <x:f>1-F1027/K1027</x:f>
        <x:v>0.027716111671712063</x:v>
      </x:c>
      <x:c r="M1027" s="73" t="n">
        <x:f>MAX(M1026,F1027)</x:f>
        <x:v>1.4865</x:v>
      </x:c>
      <x:c r="N1027" s="74" t="n">
        <x:f>1-F1027/M1027</x:f>
        <x:v>0.027716111671712063</x:v>
      </x:c>
    </x:row>
    <x:row r="1028" ht="27" customHeight="1">
      <x:c r="A1028" s="66" t="str">
        <x:v>SQD620</x:v>
      </x:c>
      <x:c r="B1028" s="66" t="str">
        <x:v>深度梦扬量化套利0号</x:v>
      </x:c>
      <x:c r="C1028" s="72" t="n">
        <x:v>46171</x:v>
      </x:c>
      <x:c r="D1028" s="73" t="n">
        <x:v>1.084</x:v>
      </x:c>
      <x:c r="E1028" s="73" t="n">
        <x:v>1.419</x:v>
      </x:c>
      <x:c r="F1028" s="73" t="n">
        <x:v>1.44</x:v>
      </x:c>
      <x:c r="G1028" s="74" t="n">
        <x:v>-0.0037</x:v>
      </x:c>
      <x:c r="H1028" s="66" t="str">
        <x:v>深度梦扬量化套利0号净值20260911.xlsx</x:v>
      </x:c>
      <x:c r="I1028" s="73" t="n">
        <x:f>MAX(I1027,F1028)</x:f>
        <x:v>1.4865</x:v>
      </x:c>
      <x:c r="J1028" s="74" t="n">
        <x:f>1-F1028/I1028</x:f>
        <x:v>0.03128153380423815</x:v>
      </x:c>
      <x:c r="K1028" s="73" t="n">
        <x:f>MAX(K1027,F1028)</x:f>
        <x:v>1.4865</x:v>
      </x:c>
      <x:c r="L1028" s="74" t="n">
        <x:f>1-F1028/K1028</x:f>
        <x:v>0.03128153380423815</x:v>
      </x:c>
      <x:c r="M1028" s="73" t="n">
        <x:f>MAX(M1027,F1028)</x:f>
        <x:v>1.4865</x:v>
      </x:c>
      <x:c r="N1028" s="74" t="n">
        <x:f>1-F1028/M1028</x:f>
        <x:v>0.03128153380423815</x:v>
      </x:c>
    </x:row>
    <x:row r="1029" ht="27" customHeight="1">
      <x:c r="A1029" s="66" t="str">
        <x:v>SQD620</x:v>
      </x:c>
      <x:c r="B1029" s="66" t="str">
        <x:v>深度梦扬量化套利0号</x:v>
      </x:c>
      <x:c r="C1029" s="72" t="n">
        <x:v>46178</x:v>
      </x:c>
      <x:c r="D1029" s="73" t="n">
        <x:v>1.082</x:v>
      </x:c>
      <x:c r="E1029" s="73" t="n">
        <x:v>1.417</x:v>
      </x:c>
      <x:c r="F1029" s="73" t="n">
        <x:v>1.4374</x:v>
      </x:c>
      <x:c r="G1029" s="74" t="n">
        <x:v>-0.0018</x:v>
      </x:c>
      <x:c r="H1029" s="66" t="str">
        <x:v>深度梦扬量化套利0号净值20260911.xlsx</x:v>
      </x:c>
      <x:c r="I1029" s="73" t="n">
        <x:f>MAX(I1028,F1029)</x:f>
        <x:v>1.4865</x:v>
      </x:c>
      <x:c r="J1029" s="74" t="n">
        <x:f>1-F1029/I1029</x:f>
        <x:v>0.03303060881264708</x:v>
      </x:c>
      <x:c r="K1029" s="73" t="n">
        <x:f>MAX(K1028,F1029)</x:f>
        <x:v>1.4865</x:v>
      </x:c>
      <x:c r="L1029" s="74" t="n">
        <x:f>1-F1029/K1029</x:f>
        <x:v>0.03303060881264708</x:v>
      </x:c>
      <x:c r="M1029" s="73" t="n">
        <x:f>MAX(M1028,F1029)</x:f>
        <x:v>1.4865</x:v>
      </x:c>
      <x:c r="N1029" s="74" t="n">
        <x:f>1-F1029/M1029</x:f>
        <x:v>0.03303060881264708</x:v>
      </x:c>
    </x:row>
    <x:row r="1030" ht="27" customHeight="1">
      <x:c r="A1030" s="66" t="str">
        <x:v>SQD620</x:v>
      </x:c>
      <x:c r="B1030" s="66" t="str">
        <x:v>深度梦扬量化套利0号</x:v>
      </x:c>
      <x:c r="C1030" s="72" t="n">
        <x:v>46185</x:v>
      </x:c>
      <x:c r="D1030" s="73" t="n">
        <x:v>1.076</x:v>
      </x:c>
      <x:c r="E1030" s="73" t="n">
        <x:v>1.411</x:v>
      </x:c>
      <x:c r="F1030" s="73" t="n">
        <x:v>1.4294</x:v>
      </x:c>
      <x:c r="G1030" s="74" t="n">
        <x:v>-0.0055000000000000005</x:v>
      </x:c>
      <x:c r="H1030" s="66" t="str">
        <x:v>深度梦扬量化套利0号净值20260911.xlsx</x:v>
      </x:c>
      <x:c r="I1030" s="73" t="n">
        <x:f>MAX(I1029,F1030)</x:f>
        <x:v>1.4865</x:v>
      </x:c>
      <x:c r="J1030" s="74" t="n">
        <x:f>1-F1030/I1030</x:f>
        <x:v>0.03841237806929021</x:v>
      </x:c>
      <x:c r="K1030" s="73" t="n">
        <x:f>MAX(K1029,F1030)</x:f>
        <x:v>1.4865</x:v>
      </x:c>
      <x:c r="L1030" s="74" t="n">
        <x:f>1-F1030/K1030</x:f>
        <x:v>0.03841237806929021</x:v>
      </x:c>
      <x:c r="M1030" s="73" t="n">
        <x:f>MAX(M1029,F1030)</x:f>
        <x:v>1.4865</x:v>
      </x:c>
      <x:c r="N1030" s="74" t="n">
        <x:f>1-F1030/M1030</x:f>
        <x:v>0.03841237806929021</x:v>
      </x:c>
    </x:row>
    <x:row r="1031" ht="27" customHeight="1">
      <x:c r="A1031" s="66" t="str">
        <x:v>SQD620</x:v>
      </x:c>
      <x:c r="B1031" s="66" t="str">
        <x:v>深度梦扬量化套利0号</x:v>
      </x:c>
      <x:c r="C1031" s="72" t="n">
        <x:v>46191</x:v>
      </x:c>
      <x:c r="D1031" s="73" t="n">
        <x:v>1.076</x:v>
      </x:c>
      <x:c r="E1031" s="73" t="n">
        <x:v>1.411</x:v>
      </x:c>
      <x:c r="F1031" s="73" t="n">
        <x:v>1.4294</x:v>
      </x:c>
      <x:c r="G1031" s="74" t="n">
        <x:v>0</x:v>
      </x:c>
      <x:c r="H1031" s="66" t="str">
        <x:v>深度梦扬量化套利0号净值20260911.xlsx</x:v>
      </x:c>
      <x:c r="I1031" s="73" t="n">
        <x:f>MAX(I1030,F1031)</x:f>
        <x:v>1.4865</x:v>
      </x:c>
      <x:c r="J1031" s="74" t="n">
        <x:f>1-F1031/I1031</x:f>
        <x:v>0.03841237806929021</x:v>
      </x:c>
      <x:c r="K1031" s="73" t="n">
        <x:f>MAX(K1030,F1031)</x:f>
        <x:v>1.4865</x:v>
      </x:c>
      <x:c r="L1031" s="74" t="n">
        <x:f>1-F1031/K1031</x:f>
        <x:v>0.03841237806929021</x:v>
      </x:c>
      <x:c r="M1031" s="73" t="n">
        <x:f>MAX(M1030,F1031)</x:f>
        <x:v>1.4865</x:v>
      </x:c>
      <x:c r="N1031" s="74" t="n">
        <x:f>1-F1031/M1031</x:f>
        <x:v>0.03841237806929021</x:v>
      </x:c>
    </x:row>
    <x:row r="1032" ht="27" customHeight="1">
      <x:c r="A1032" s="66" t="str">
        <x:v>SQD620</x:v>
      </x:c>
      <x:c r="B1032" s="66" t="str">
        <x:v>深度梦扬量化套利0号</x:v>
      </x:c>
      <x:c r="C1032" s="72" t="n">
        <x:v>46199</x:v>
      </x:c>
      <x:c r="D1032" s="73" t="n">
        <x:v>1.075</x:v>
      </x:c>
      <x:c r="E1032" s="73" t="n">
        <x:v>1.41</x:v>
      </x:c>
      <x:c r="F1032" s="73" t="n">
        <x:v>1.4281</x:v>
      </x:c>
      <x:c r="G1032" s="74" t="n">
        <x:v>-0.0009</x:v>
      </x:c>
      <x:c r="H1032" s="66" t="str">
        <x:v>深度梦扬量化套利0号净值20260911.xlsx</x:v>
      </x:c>
      <x:c r="I1032" s="73" t="n">
        <x:f>MAX(I1031,F1032)</x:f>
        <x:v>1.4865</x:v>
      </x:c>
      <x:c r="J1032" s="74" t="n">
        <x:f>1-F1032/I1032</x:f>
        <x:v>0.03928691557349484</x:v>
      </x:c>
      <x:c r="K1032" s="73" t="n">
        <x:f>MAX(K1031,F1032)</x:f>
        <x:v>1.4865</x:v>
      </x:c>
      <x:c r="L1032" s="74" t="n">
        <x:f>1-F1032/K1032</x:f>
        <x:v>0.03928691557349484</x:v>
      </x:c>
      <x:c r="M1032" s="73" t="n">
        <x:f>MAX(M1031,F1032)</x:f>
        <x:v>1.4865</x:v>
      </x:c>
      <x:c r="N1032" s="74" t="n">
        <x:f>1-F1032/M1032</x:f>
        <x:v>0.03928691557349484</x:v>
      </x:c>
    </x:row>
    <x:row r="1033" ht="27" customHeight="1">
      <x:c r="A1033" s="66" t="str">
        <x:v>SQD620</x:v>
      </x:c>
      <x:c r="B1033" s="66" t="str">
        <x:v>深度梦扬量化套利0号</x:v>
      </x:c>
      <x:c r="C1033" s="72" t="n">
        <x:v>46206</x:v>
      </x:c>
      <x:c r="D1033" s="73" t="n">
        <x:v>1.074</x:v>
      </x:c>
      <x:c r="E1033" s="73" t="n">
        <x:v>1.409</x:v>
      </x:c>
      <x:c r="F1033" s="73" t="n">
        <x:v>1.4267</x:v>
      </x:c>
      <x:c r="G1033" s="74" t="n">
        <x:v>-0.0009</x:v>
      </x:c>
      <x:c r="H1033" s="66" t="str">
        <x:v>深度梦扬量化套利0号净值20260911.xlsx</x:v>
      </x:c>
      <x:c r="I1033" s="73" t="n">
        <x:f>MAX(I1032,F1033)</x:f>
        <x:v>1.4865</x:v>
      </x:c>
      <x:c r="J1033" s="74" t="n">
        <x:f>1-F1033/I1033</x:f>
        <x:v>0.040228725193407255</x:v>
      </x:c>
      <x:c r="K1033" s="73" t="n">
        <x:f>MAX(K1032,F1033)</x:f>
        <x:v>1.4865</x:v>
      </x:c>
      <x:c r="L1033" s="74" t="n">
        <x:f>1-F1033/K1033</x:f>
        <x:v>0.040228725193407255</x:v>
      </x:c>
      <x:c r="M1033" s="73" t="n">
        <x:f>MAX(M1032,F1033)</x:f>
        <x:v>1.4865</x:v>
      </x:c>
      <x:c r="N1033" s="74" t="n">
        <x:f>1-F1033/M1033</x:f>
        <x:v>0.040228725193407255</x:v>
      </x:c>
    </x:row>
    <x:row r="1034" ht="27" customHeight="1">
      <x:c r="A1034" s="66" t="str">
        <x:v>SQD620</x:v>
      </x:c>
      <x:c r="B1034" s="66" t="str">
        <x:v>深度梦扬量化套利0号</x:v>
      </x:c>
      <x:c r="C1034" s="72" t="n">
        <x:v>46213</x:v>
      </x:c>
      <x:c r="D1034" s="73" t="n">
        <x:v>1.075</x:v>
      </x:c>
      <x:c r="E1034" s="73" t="n">
        <x:v>1.41</x:v>
      </x:c>
      <x:c r="F1034" s="73" t="n">
        <x:v>1.4281</x:v>
      </x:c>
      <x:c r="G1034" s="74" t="n">
        <x:v>0.0009</x:v>
      </x:c>
      <x:c r="H1034" s="66" t="str">
        <x:v>深度梦扬量化套利0号净值20260911.xlsx</x:v>
      </x:c>
      <x:c r="I1034" s="73" t="n">
        <x:f>MAX(I1033,F1034)</x:f>
        <x:v>1.4865</x:v>
      </x:c>
      <x:c r="J1034" s="74" t="n">
        <x:f>1-F1034/I1034</x:f>
        <x:v>0.03928691557349484</x:v>
      </x:c>
      <x:c r="K1034" s="73" t="n">
        <x:f>MAX(K1033,F1034)</x:f>
        <x:v>1.4865</x:v>
      </x:c>
      <x:c r="L1034" s="74" t="n">
        <x:f>1-F1034/K1034</x:f>
        <x:v>0.03928691557349484</x:v>
      </x:c>
      <x:c r="M1034" s="73" t="n">
        <x:f>MAX(M1033,F1034)</x:f>
        <x:v>1.4865</x:v>
      </x:c>
      <x:c r="N1034" s="74" t="n">
        <x:f>1-F1034/M1034</x:f>
        <x:v>0.03928691557349484</x:v>
      </x:c>
    </x:row>
    <x:row r="1035" ht="27" customHeight="1">
      <x:c r="A1035" s="66" t="str">
        <x:v>SQD620</x:v>
      </x:c>
      <x:c r="B1035" s="66" t="str">
        <x:v>深度梦扬量化套利0号</x:v>
      </x:c>
      <x:c r="C1035" s="72" t="n">
        <x:v>46220</x:v>
      </x:c>
      <x:c r="D1035" s="73" t="n">
        <x:v>1.084</x:v>
      </x:c>
      <x:c r="E1035" s="73" t="n">
        <x:v>1.419</x:v>
      </x:c>
      <x:c r="F1035" s="73" t="n">
        <x:v>1.44</x:v>
      </x:c>
      <x:c r="G1035" s="74" t="n">
        <x:v>0.0084</x:v>
      </x:c>
      <x:c r="H1035" s="66" t="str">
        <x:v>深度梦扬量化套利0号净值20260911.xlsx</x:v>
      </x:c>
      <x:c r="I1035" s="73" t="n">
        <x:f>MAX(I1034,F1035)</x:f>
        <x:v>1.4865</x:v>
      </x:c>
      <x:c r="J1035" s="74" t="n">
        <x:f>1-F1035/I1035</x:f>
        <x:v>0.03128153380423815</x:v>
      </x:c>
      <x:c r="K1035" s="73" t="n">
        <x:f>MAX(K1034,F1035)</x:f>
        <x:v>1.4865</x:v>
      </x:c>
      <x:c r="L1035" s="74" t="n">
        <x:f>1-F1035/K1035</x:f>
        <x:v>0.03128153380423815</x:v>
      </x:c>
      <x:c r="M1035" s="73" t="n">
        <x:f>MAX(M1034,F1035)</x:f>
        <x:v>1.4865</x:v>
      </x:c>
      <x:c r="N1035" s="74" t="n">
        <x:f>1-F1035/M1035</x:f>
        <x:v>0.03128153380423815</x:v>
      </x:c>
    </x:row>
    <x:row r="1036" ht="27" customHeight="1">
      <x:c r="A1036" s="66" t="str">
        <x:v>SQD620</x:v>
      </x:c>
      <x:c r="B1036" s="66" t="str">
        <x:v>深度梦扬量化套利0号</x:v>
      </x:c>
      <x:c r="C1036" s="72" t="n">
        <x:v>46225</x:v>
      </x:c>
      <x:c r="D1036" s="73" t="n">
        <x:v>1.087</x:v>
      </x:c>
      <x:c r="E1036" s="73" t="n">
        <x:v>1.422</x:v>
      </x:c>
      <x:c r="F1036" s="73" t="n">
        <x:v>1.444</x:v>
      </x:c>
      <x:c r="G1036" s="74" t="n">
        <x:v>0.0028000000000000004</x:v>
      </x:c>
      <x:c r="H1036" s="66" t="str">
        <x:v>深度梦扬量化套利0号净值20260911.xlsx</x:v>
      </x:c>
      <x:c r="I1036" s="73" t="n">
        <x:f>MAX(I1035,F1036)</x:f>
        <x:v>1.4865</x:v>
      </x:c>
      <x:c r="J1036" s="74" t="n">
        <x:f>1-F1036/I1036</x:f>
        <x:v>0.028590649175916583</x:v>
      </x:c>
      <x:c r="K1036" s="73" t="n">
        <x:f>MAX(K1035,F1036)</x:f>
        <x:v>1.4865</x:v>
      </x:c>
      <x:c r="L1036" s="74" t="n">
        <x:f>1-F1036/K1036</x:f>
        <x:v>0.028590649175916583</x:v>
      </x:c>
      <x:c r="M1036" s="73" t="n">
        <x:f>MAX(M1035,F1036)</x:f>
        <x:v>1.4865</x:v>
      </x:c>
      <x:c r="N1036" s="74" t="n">
        <x:f>1-F1036/M1036</x:f>
        <x:v>0.028590649175916583</x:v>
      </x:c>
    </x:row>
    <x:row r="1037" ht="27" customHeight="1">
      <x:c r="A1037" s="66" t="str">
        <x:v>SQD620</x:v>
      </x:c>
      <x:c r="B1037" s="66" t="str">
        <x:v>深度梦扬量化套利0号</x:v>
      </x:c>
      <x:c r="C1037" s="72" t="n">
        <x:v>46227</x:v>
      </x:c>
      <x:c r="D1037" s="73" t="n">
        <x:v>1.083</x:v>
      </x:c>
      <x:c r="E1037" s="73" t="n">
        <x:v>1.418</x:v>
      </x:c>
      <x:c r="F1037" s="73" t="n">
        <x:v>1.4387</x:v>
      </x:c>
      <x:c r="G1037" s="74" t="n">
        <x:v>-0.0037</x:v>
      </x:c>
      <x:c r="H1037" s="66" t="str">
        <x:v>深度梦扬量化套利0号净值20260911.xlsx</x:v>
      </x:c>
      <x:c r="I1037" s="73" t="n">
        <x:f>MAX(I1036,F1037)</x:f>
        <x:v>1.4865</x:v>
      </x:c>
      <x:c r="J1037" s="74" t="n">
        <x:f>1-F1037/I1037</x:f>
        <x:v>0.03215607130844256</x:v>
      </x:c>
      <x:c r="K1037" s="73" t="n">
        <x:f>MAX(K1036,F1037)</x:f>
        <x:v>1.4865</x:v>
      </x:c>
      <x:c r="L1037" s="74" t="n">
        <x:f>1-F1037/K1037</x:f>
        <x:v>0.03215607130844256</x:v>
      </x:c>
      <x:c r="M1037" s="73" t="n">
        <x:f>MAX(M1036,F1037)</x:f>
        <x:v>1.4865</x:v>
      </x:c>
      <x:c r="N1037" s="74" t="n">
        <x:f>1-F1037/M1037</x:f>
        <x:v>0.03215607130844256</x:v>
      </x:c>
    </x:row>
    <x:row r="1038" ht="27" customHeight="1">
      <x:c r="A1038" s="66" t="str">
        <x:v>SQD620</x:v>
      </x:c>
      <x:c r="B1038" s="66" t="str">
        <x:v>深度梦扬量化套利0号</x:v>
      </x:c>
      <x:c r="C1038" s="72" t="n">
        <x:v>46232</x:v>
      </x:c>
      <x:c r="D1038" s="73" t="n">
        <x:v>1.079</x:v>
      </x:c>
      <x:c r="E1038" s="73" t="n">
        <x:v>1.414</x:v>
      </x:c>
      <x:c r="F1038" s="73" t="n">
        <x:v>1.4334</x:v>
      </x:c>
      <x:c r="G1038" s="74" t="n">
        <x:v>-0.0037</x:v>
      </x:c>
      <x:c r="H1038" s="66" t="str">
        <x:v>深度梦扬量化套利0号净值20260911.xlsx</x:v>
      </x:c>
      <x:c r="I1038" s="73" t="n">
        <x:f>MAX(I1037,F1038)</x:f>
        <x:v>1.4865</x:v>
      </x:c>
      <x:c r="J1038" s="74" t="n">
        <x:f>1-F1038/I1038</x:f>
        <x:v>0.035721493440968644</x:v>
      </x:c>
      <x:c r="K1038" s="73" t="n">
        <x:f>MAX(K1037,F1038)</x:f>
        <x:v>1.4865</x:v>
      </x:c>
      <x:c r="L1038" s="74" t="n">
        <x:f>1-F1038/K1038</x:f>
        <x:v>0.035721493440968644</x:v>
      </x:c>
      <x:c r="M1038" s="73" t="n">
        <x:f>MAX(M1037,F1038)</x:f>
        <x:v>1.4865</x:v>
      </x:c>
      <x:c r="N1038" s="74" t="n">
        <x:f>1-F1038/M1038</x:f>
        <x:v>0.035721493440968644</x:v>
      </x:c>
    </x:row>
    <x:row r="1039" ht="27" customHeight="1">
      <x:c r="A1039" s="66" t="str">
        <x:v>SQD620</x:v>
      </x:c>
      <x:c r="B1039" s="66" t="str">
        <x:v>深度梦扬量化套利0号</x:v>
      </x:c>
      <x:c r="C1039" s="72" t="n">
        <x:v>46234</x:v>
      </x:c>
      <x:c r="D1039" s="73" t="n">
        <x:v>1.082</x:v>
      </x:c>
      <x:c r="E1039" s="73" t="n">
        <x:v>1.417</x:v>
      </x:c>
      <x:c r="F1039" s="73" t="n">
        <x:v>1.4374</x:v>
      </x:c>
      <x:c r="G1039" s="74" t="n">
        <x:v>0.0028000000000000004</x:v>
      </x:c>
      <x:c r="H1039" s="66" t="str">
        <x:v>深度梦扬量化套利0号净值20260911.xlsx</x:v>
      </x:c>
      <x:c r="I1039" s="73" t="n">
        <x:f>MAX(I1038,F1039)</x:f>
        <x:v>1.4865</x:v>
      </x:c>
      <x:c r="J1039" s="74" t="n">
        <x:f>1-F1039/I1039</x:f>
        <x:v>0.03303060881264708</x:v>
      </x:c>
      <x:c r="K1039" s="73" t="n">
        <x:f>MAX(K1038,F1039)</x:f>
        <x:v>1.4865</x:v>
      </x:c>
      <x:c r="L1039" s="74" t="n">
        <x:f>1-F1039/K1039</x:f>
        <x:v>0.03303060881264708</x:v>
      </x:c>
      <x:c r="M1039" s="73" t="n">
        <x:f>MAX(M1038,F1039)</x:f>
        <x:v>1.4865</x:v>
      </x:c>
      <x:c r="N1039" s="74" t="n">
        <x:f>1-F1039/M1039</x:f>
        <x:v>0.03303060881264708</x:v>
      </x:c>
    </x:row>
    <x:row r="1040" ht="27" customHeight="1">
      <x:c r="A1040" s="66" t="str">
        <x:v>SQD620</x:v>
      </x:c>
      <x:c r="B1040" s="66" t="str">
        <x:v>深度梦扬量化套利0号</x:v>
      </x:c>
      <x:c r="C1040" s="72" t="n">
        <x:v>46239</x:v>
      </x:c>
      <x:c r="D1040" s="73" t="n">
        <x:v>1.098</x:v>
      </x:c>
      <x:c r="E1040" s="73" t="n">
        <x:v>1.433</x:v>
      </x:c>
      <x:c r="F1040" s="73" t="n">
        <x:v>1.4586</x:v>
      </x:c>
      <x:c r="G1040" s="74" t="n">
        <x:v>0.0148</x:v>
      </x:c>
      <x:c r="H1040" s="66" t="str">
        <x:v>深度梦扬量化套利0号净值20260911.xlsx</x:v>
      </x:c>
      <x:c r="I1040" s="73" t="n">
        <x:f>MAX(I1039,F1040)</x:f>
        <x:v>1.4865</x:v>
      </x:c>
      <x:c r="J1040" s="74" t="n">
        <x:f>1-F1040/I1040</x:f>
        <x:v>0.018768920282542956</x:v>
      </x:c>
      <x:c r="K1040" s="73" t="n">
        <x:f>MAX(K1039,F1040)</x:f>
        <x:v>1.4865</x:v>
      </x:c>
      <x:c r="L1040" s="74" t="n">
        <x:f>1-F1040/K1040</x:f>
        <x:v>0.018768920282542956</x:v>
      </x:c>
      <x:c r="M1040" s="73" t="n">
        <x:f>MAX(M1039,F1040)</x:f>
        <x:v>1.4865</x:v>
      </x:c>
      <x:c r="N1040" s="74" t="n">
        <x:f>1-F1040/M1040</x:f>
        <x:v>0.018768920282542956</x:v>
      </x:c>
    </x:row>
    <x:row r="1041" ht="27" customHeight="1">
      <x:c r="A1041" s="66" t="str">
        <x:v>SQD620</x:v>
      </x:c>
      <x:c r="B1041" s="66" t="str">
        <x:v>深度梦扬量化套利0号</x:v>
      </x:c>
      <x:c r="C1041" s="72" t="n">
        <x:v>46241</x:v>
      </x:c>
      <x:c r="D1041" s="73" t="n">
        <x:v>1.106</x:v>
      </x:c>
      <x:c r="E1041" s="73" t="n">
        <x:v>1.441</x:v>
      </x:c>
      <x:c r="F1041" s="73" t="n">
        <x:v>1.4692</x:v>
      </x:c>
      <x:c r="G1041" s="74" t="n">
        <x:v>0.0073</x:v>
      </x:c>
      <x:c r="H1041" s="66" t="str">
        <x:v>深度梦扬量化套利0号净值20260911.xlsx</x:v>
      </x:c>
      <x:c r="I1041" s="73" t="n">
        <x:f>MAX(I1040,F1041)</x:f>
        <x:v>1.4865</x:v>
      </x:c>
      <x:c r="J1041" s="74" t="n">
        <x:f>1-F1041/I1041</x:f>
        <x:v>0.011638076017490673</x:v>
      </x:c>
      <x:c r="K1041" s="73" t="n">
        <x:f>MAX(K1040,F1041)</x:f>
        <x:v>1.4865</x:v>
      </x:c>
      <x:c r="L1041" s="74" t="n">
        <x:f>1-F1041/K1041</x:f>
        <x:v>0.011638076017490673</x:v>
      </x:c>
      <x:c r="M1041" s="73" t="n">
        <x:f>MAX(M1040,F1041)</x:f>
        <x:v>1.4865</x:v>
      </x:c>
      <x:c r="N1041" s="74" t="n">
        <x:f>1-F1041/M1041</x:f>
        <x:v>0.011638076017490673</x:v>
      </x:c>
    </x:row>
    <x:row r="1042" ht="27" customHeight="1">
      <x:c r="A1042" s="66" t="str">
        <x:v>SQD620</x:v>
      </x:c>
      <x:c r="B1042" s="66" t="str">
        <x:v>深度梦扬量化套利0号</x:v>
      </x:c>
      <x:c r="C1042" s="72" t="n">
        <x:v>46246</x:v>
      </x:c>
      <x:c r="D1042" s="73" t="n">
        <x:v>1.115</x:v>
      </x:c>
      <x:c r="E1042" s="73" t="n">
        <x:v>1.45</x:v>
      </x:c>
      <x:c r="F1042" s="73" t="n">
        <x:v>1.4812</x:v>
      </x:c>
      <x:c r="G1042" s="74" t="n">
        <x:v>0.008100000000000001</x:v>
      </x:c>
      <x:c r="H1042" s="66" t="str">
        <x:v>深度梦扬量化套利0号净值20260911.xlsx</x:v>
      </x:c>
      <x:c r="I1042" s="73" t="n">
        <x:f>MAX(I1041,F1042)</x:f>
        <x:v>1.4865</x:v>
      </x:c>
      <x:c r="J1042" s="74" t="n">
        <x:f>1-F1042/I1042</x:f>
        <x:v>0.003565422132525975</x:v>
      </x:c>
      <x:c r="K1042" s="73" t="n">
        <x:f>MAX(K1041,F1042)</x:f>
        <x:v>1.4865</x:v>
      </x:c>
      <x:c r="L1042" s="74" t="n">
        <x:f>1-F1042/K1042</x:f>
        <x:v>0.003565422132525975</x:v>
      </x:c>
      <x:c r="M1042" s="73" t="n">
        <x:f>MAX(M1041,F1042)</x:f>
        <x:v>1.4865</x:v>
      </x:c>
      <x:c r="N1042" s="74" t="n">
        <x:f>1-F1042/M1042</x:f>
        <x:v>0.003565422132525975</x:v>
      </x:c>
    </x:row>
    <x:row r="1043" ht="27" customHeight="1">
      <x:c r="A1043" s="66" t="str">
        <x:v>SQD620</x:v>
      </x:c>
      <x:c r="B1043" s="66" t="str">
        <x:v>深度梦扬量化套利0号</x:v>
      </x:c>
      <x:c r="C1043" s="72" t="n">
        <x:v>46248</x:v>
      </x:c>
      <x:c r="D1043" s="73" t="n">
        <x:v>1.115</x:v>
      </x:c>
      <x:c r="E1043" s="73" t="n">
        <x:v>1.45</x:v>
      </x:c>
      <x:c r="F1043" s="73" t="n">
        <x:v>1.4812</x:v>
      </x:c>
      <x:c r="G1043" s="74" t="n">
        <x:v>0</x:v>
      </x:c>
      <x:c r="H1043" s="66" t="str">
        <x:v>深度梦扬量化套利0号净值20260911.xlsx</x:v>
      </x:c>
      <x:c r="I1043" s="73" t="n">
        <x:f>MAX(I1042,F1043)</x:f>
        <x:v>1.4865</x:v>
      </x:c>
      <x:c r="J1043" s="74" t="n">
        <x:f>1-F1043/I1043</x:f>
        <x:v>0.003565422132525975</x:v>
      </x:c>
      <x:c r="K1043" s="73" t="n">
        <x:f>MAX(K1042,F1043)</x:f>
        <x:v>1.4865</x:v>
      </x:c>
      <x:c r="L1043" s="74" t="n">
        <x:f>1-F1043/K1043</x:f>
        <x:v>0.003565422132525975</x:v>
      </x:c>
      <x:c r="M1043" s="73" t="n">
        <x:f>MAX(M1042,F1043)</x:f>
        <x:v>1.4865</x:v>
      </x:c>
      <x:c r="N1043" s="74" t="n">
        <x:f>1-F1043/M1043</x:f>
        <x:v>0.003565422132525975</x:v>
      </x:c>
    </x:row>
    <x:row r="1044" ht="27" customHeight="1">
      <x:c r="A1044" s="66" t="str">
        <x:v>SQD620</x:v>
      </x:c>
      <x:c r="B1044" s="66" t="str">
        <x:v>深度梦扬量化套利0号</x:v>
      </x:c>
      <x:c r="C1044" s="72" t="n">
        <x:v>46253</x:v>
      </x:c>
      <x:c r="D1044" s="73" t="n">
        <x:v>1.118</x:v>
      </x:c>
      <x:c r="E1044" s="73" t="n">
        <x:v>1.453</x:v>
      </x:c>
      <x:c r="F1044" s="73" t="n">
        <x:v>1.4852</x:v>
      </x:c>
      <x:c r="G1044" s="74" t="n">
        <x:v>0.0027</x:v>
      </x:c>
      <x:c r="H1044" s="66" t="str">
        <x:v>深度梦扬量化套利0号净值20260911.xlsx</x:v>
      </x:c>
      <x:c r="I1044" s="73" t="n">
        <x:f>MAX(I1043,F1044)</x:f>
        <x:v>1.4865</x:v>
      </x:c>
      <x:c r="J1044" s="74" t="n">
        <x:f>1-F1044/I1044</x:f>
        <x:v>0.000874537504204409</x:v>
      </x:c>
      <x:c r="K1044" s="73" t="n">
        <x:f>MAX(K1043,F1044)</x:f>
        <x:v>1.4865</x:v>
      </x:c>
      <x:c r="L1044" s="74" t="n">
        <x:f>1-F1044/K1044</x:f>
        <x:v>0.000874537504204409</x:v>
      </x:c>
      <x:c r="M1044" s="73" t="n">
        <x:f>MAX(M1043,F1044)</x:f>
        <x:v>1.4865</x:v>
      </x:c>
      <x:c r="N1044" s="74" t="n">
        <x:f>1-F1044/M1044</x:f>
        <x:v>0.000874537504204409</x:v>
      </x:c>
    </x:row>
    <x:row r="1045" ht="27" customHeight="1">
      <x:c r="A1045" s="66" t="str">
        <x:v>SQD620</x:v>
      </x:c>
      <x:c r="B1045" s="66" t="str">
        <x:v>深度梦扬量化套利0号</x:v>
      </x:c>
      <x:c r="C1045" s="72" t="n">
        <x:v>46255</x:v>
      </x:c>
      <x:c r="D1045" s="73" t="n">
        <x:v>1.122</x:v>
      </x:c>
      <x:c r="E1045" s="73" t="n">
        <x:v>1.457</x:v>
      </x:c>
      <x:c r="F1045" s="73" t="n">
        <x:v>1.4905</x:v>
      </x:c>
      <x:c r="G1045" s="74" t="n">
        <x:v>0.0036</x:v>
      </x:c>
      <x:c r="H1045" s="66" t="str">
        <x:v>深度梦扬量化套利0号净值20260911.xlsx</x:v>
      </x:c>
      <x:c r="I1045" s="73" t="n">
        <x:f>MAX(I1044,F1045)</x:f>
        <x:v>1.4905</x:v>
      </x:c>
      <x:c r="J1045" s="74" t="n">
        <x:f>1-F1045/I1045</x:f>
        <x:v>0</x:v>
      </x:c>
      <x:c r="K1045" s="73" t="n">
        <x:f>MAX(K1044,F1045)</x:f>
        <x:v>1.4905</x:v>
      </x:c>
      <x:c r="L1045" s="74" t="n">
        <x:f>1-F1045/K1045</x:f>
        <x:v>0</x:v>
      </x:c>
      <x:c r="M1045" s="73" t="n">
        <x:f>MAX(M1044,F1045)</x:f>
        <x:v>1.4905</x:v>
      </x:c>
      <x:c r="N1045" s="74" t="n">
        <x:f>1-F1045/M1045</x:f>
        <x:v>0</x:v>
      </x:c>
    </x:row>
    <x:row r="1046" ht="27" customHeight="1">
      <x:c r="A1046" s="66" t="str">
        <x:v>SQD620</x:v>
      </x:c>
      <x:c r="B1046" s="66" t="str">
        <x:v>深度梦扬量化套利0号</x:v>
      </x:c>
      <x:c r="C1046" s="72" t="n">
        <x:v>46260</x:v>
      </x:c>
      <x:c r="D1046" s="73" t="n">
        <x:v>1.121</x:v>
      </x:c>
      <x:c r="E1046" s="73" t="n">
        <x:v>1.456</x:v>
      </x:c>
      <x:c r="F1046" s="73" t="n">
        <x:v>1.4892</x:v>
      </x:c>
      <x:c r="G1046" s="74" t="n">
        <x:v>-0.0009</x:v>
      </x:c>
      <x:c r="H1046" s="66" t="str">
        <x:v>深度梦扬量化套利0号净值20260911.xlsx</x:v>
      </x:c>
      <x:c r="I1046" s="73" t="n">
        <x:f>MAX(I1045,F1046)</x:f>
        <x:v>1.4905</x:v>
      </x:c>
      <x:c r="J1046" s="74" t="n">
        <x:f>1-F1046/I1046</x:f>
        <x:v>0.0008721905400871366</x:v>
      </x:c>
      <x:c r="K1046" s="73" t="n">
        <x:f>MAX(K1045,F1046)</x:f>
        <x:v>1.4905</x:v>
      </x:c>
      <x:c r="L1046" s="74" t="n">
        <x:f>1-F1046/K1046</x:f>
        <x:v>0.0008721905400871366</x:v>
      </x:c>
      <x:c r="M1046" s="73" t="n">
        <x:f>MAX(M1045,F1046)</x:f>
        <x:v>1.4905</x:v>
      </x:c>
      <x:c r="N1046" s="74" t="n">
        <x:f>1-F1046/M1046</x:f>
        <x:v>0.0008721905400871366</x:v>
      </x:c>
    </x:row>
    <x:row r="1047" ht="27" customHeight="1">
      <x:c r="A1047" s="66" t="str">
        <x:v>SQD620</x:v>
      </x:c>
      <x:c r="B1047" s="66" t="str">
        <x:v>深度梦扬量化套利0号</x:v>
      </x:c>
      <x:c r="C1047" s="72" t="n">
        <x:v>46262</x:v>
      </x:c>
      <x:c r="D1047" s="73" t="n">
        <x:v>1.124</x:v>
      </x:c>
      <x:c r="E1047" s="73" t="n">
        <x:v>1.459</x:v>
      </x:c>
      <x:c r="F1047" s="73" t="n">
        <x:v>1.4932</x:v>
      </x:c>
      <x:c r="G1047" s="74" t="n">
        <x:v>0.0027</x:v>
      </x:c>
      <x:c r="H1047" s="66" t="str">
        <x:v>深度梦扬量化套利0号净值20260911.xlsx</x:v>
      </x:c>
      <x:c r="I1047" s="73" t="n">
        <x:f>MAX(I1046,F1047)</x:f>
        <x:v>1.4932</x:v>
      </x:c>
      <x:c r="J1047" s="74" t="n">
        <x:f>1-F1047/I1047</x:f>
        <x:v>0</x:v>
      </x:c>
      <x:c r="K1047" s="73" t="n">
        <x:f>MAX(K1046,F1047)</x:f>
        <x:v>1.4932</x:v>
      </x:c>
      <x:c r="L1047" s="74" t="n">
        <x:f>1-F1047/K1047</x:f>
        <x:v>0</x:v>
      </x:c>
      <x:c r="M1047" s="73" t="n">
        <x:f>MAX(M1046,F1047)</x:f>
        <x:v>1.4932</x:v>
      </x:c>
      <x:c r="N1047" s="74" t="n">
        <x:f>1-F1047/M1047</x:f>
        <x:v>0</x:v>
      </x:c>
    </x:row>
    <x:row r="1048" ht="27" customHeight="1">
      <x:c r="A1048" s="66" t="str">
        <x:v>SQD620</x:v>
      </x:c>
      <x:c r="B1048" s="66" t="str">
        <x:v>深度梦扬量化套利0号</x:v>
      </x:c>
      <x:c r="C1048" s="72" t="n">
        <x:v>46265</x:v>
      </x:c>
      <x:c r="D1048" s="73" t="n">
        <x:v>1.127</x:v>
      </x:c>
      <x:c r="E1048" s="73" t="n">
        <x:v>1.462</x:v>
      </x:c>
      <x:c r="F1048" s="73" t="n">
        <x:v>1.4971</x:v>
      </x:c>
      <x:c r="G1048" s="74" t="n">
        <x:v>0.0027</x:v>
      </x:c>
      <x:c r="H1048" s="66" t="str">
        <x:v>深度梦扬量化套利0号净值20260911.xlsx</x:v>
      </x:c>
      <x:c r="I1048" s="73" t="n">
        <x:f>MAX(I1047,F1048)</x:f>
        <x:v>1.4971</x:v>
      </x:c>
      <x:c r="J1048" s="74" t="n">
        <x:f>1-F1048/I1048</x:f>
        <x:v>0</x:v>
      </x:c>
      <x:c r="K1048" s="73" t="n">
        <x:f>MAX(K1047,F1048)</x:f>
        <x:v>1.4971</x:v>
      </x:c>
      <x:c r="L1048" s="74" t="n">
        <x:f>1-F1048/K1048</x:f>
        <x:v>0</x:v>
      </x:c>
      <x:c r="M1048" s="73" t="n">
        <x:f>MAX(M1047,F1048)</x:f>
        <x:v>1.4971</x:v>
      </x:c>
      <x:c r="N1048" s="74" t="n">
        <x:f>1-F1048/M1048</x:f>
        <x:v>0</x:v>
      </x:c>
    </x:row>
    <x:row r="1049" ht="27" customHeight="1">
      <x:c r="A1049" s="66" t="str">
        <x:v>SQD620</x:v>
      </x:c>
      <x:c r="B1049" s="66" t="str">
        <x:v>深度梦扬量化套利0号</x:v>
      </x:c>
      <x:c r="C1049" s="72" t="n">
        <x:v>46267</x:v>
      </x:c>
      <x:c r="D1049" s="73" t="n">
        <x:v>1.125</x:v>
      </x:c>
      <x:c r="E1049" s="73" t="n">
        <x:v>1.46</x:v>
      </x:c>
      <x:c r="F1049" s="73" t="n">
        <x:v>1.4945</x:v>
      </x:c>
      <x:c r="G1049" s="74" t="n">
        <x:v>-0.0018</x:v>
      </x:c>
      <x:c r="H1049" s="66" t="str">
        <x:v>深度梦扬量化套利0号净值20260911.xlsx</x:v>
      </x:c>
      <x:c r="I1049" s="73" t="n">
        <x:f>MAX(I1048,F1049)</x:f>
        <x:v>1.4971</x:v>
      </x:c>
      <x:c r="J1049" s="74" t="n">
        <x:f>1-F1049/I1049</x:f>
        <x:v>0.0017366909358093041</x:v>
      </x:c>
      <x:c r="K1049" s="73" t="n">
        <x:f>MAX(K1048,F1049)</x:f>
        <x:v>1.4971</x:v>
      </x:c>
      <x:c r="L1049" s="74" t="n">
        <x:f>1-F1049/K1049</x:f>
        <x:v>0.0017366909358093041</x:v>
      </x:c>
      <x:c r="M1049" s="73" t="n">
        <x:f>MAX(M1048,F1049)</x:f>
        <x:v>1.4971</x:v>
      </x:c>
      <x:c r="N1049" s="74" t="n">
        <x:f>1-F1049/M1049</x:f>
        <x:v>0.0017366909358093041</x:v>
      </x:c>
    </x:row>
    <x:row r="1050" ht="27" customHeight="1">
      <x:c r="A1050" s="66" t="str">
        <x:v>SXL267</x:v>
      </x:c>
      <x:c r="B1050" s="66" t="str">
        <x:v>滨风风云瑞丰1号</x:v>
      </x:c>
      <x:c r="C1050" s="72" t="n">
        <x:v>44897</x:v>
      </x:c>
      <x:c r="D1050" s="73" t="n">
        <x:v>1</x:v>
      </x:c>
      <x:c r="E1050" s="73" t="n">
        <x:v>1</x:v>
      </x:c>
      <x:c r="F1050" s="73" t="n">
        <x:v>1</x:v>
      </x:c>
      <x:c r="G1050" s="74"/>
      <x:c r="H1050" s="66" t="str">
        <x:v>滨风风云瑞丰1号净值20260911.xlsx</x:v>
      </x:c>
      <x:c r="I1050" s="73" t="str">
        <x:f>""</x:f>
      </x:c>
      <x:c r="J1050" s="74" t="str">
        <x:f>""</x:f>
      </x:c>
      <x:c r="K1050" s="73" t="str">
        <x:f>""</x:f>
      </x:c>
      <x:c r="L1050" s="74" t="str">
        <x:f>""</x:f>
      </x:c>
      <x:c r="M1050" s="73" t="n">
        <x:f>F1050</x:f>
        <x:v>1</x:v>
      </x:c>
      <x:c r="N1050" s="74" t="n">
        <x:f>1-F1050/M1050</x:f>
        <x:v>0</x:v>
      </x:c>
    </x:row>
    <x:row r="1051" ht="27" customHeight="1">
      <x:c r="A1051" s="66" t="str">
        <x:v>SXL267</x:v>
      </x:c>
      <x:c r="B1051" s="66" t="str">
        <x:v>滨风风云瑞丰1号</x:v>
      </x:c>
      <x:c r="C1051" s="72" t="n">
        <x:v>44900</x:v>
      </x:c>
      <x:c r="D1051" s="73" t="n">
        <x:v>0.9999</x:v>
      </x:c>
      <x:c r="E1051" s="73" t="n">
        <x:v>0.9999</x:v>
      </x:c>
      <x:c r="F1051" s="73" t="n">
        <x:v>0.9999</x:v>
      </x:c>
      <x:c r="G1051" s="74" t="n">
        <x:v>-0.0001</x:v>
      </x:c>
      <x:c r="H1051" s="66" t="str">
        <x:v>滨风风云瑞丰1号净值20260911.xlsx</x:v>
      </x:c>
      <x:c r="I1051" s="73" t="str">
        <x:f>""</x:f>
      </x:c>
      <x:c r="J1051" s="74" t="str">
        <x:f>""</x:f>
      </x:c>
      <x:c r="K1051" s="73" t="str">
        <x:f>""</x:f>
      </x:c>
      <x:c r="L1051" s="74" t="str">
        <x:f>""</x:f>
      </x:c>
      <x:c r="M1051" s="73" t="n">
        <x:f>MAX(M1050,F1051)</x:f>
        <x:v>1</x:v>
      </x:c>
      <x:c r="N1051" s="74" t="n">
        <x:f>1-F1051/M1051</x:f>
        <x:v>0.00009999999999998899</x:v>
      </x:c>
    </x:row>
    <x:row r="1052" ht="27" customHeight="1">
      <x:c r="A1052" s="66" t="str">
        <x:v>SXL267</x:v>
      </x:c>
      <x:c r="B1052" s="66" t="str">
        <x:v>滨风风云瑞丰1号</x:v>
      </x:c>
      <x:c r="C1052" s="72" t="n">
        <x:v>44901</x:v>
      </x:c>
      <x:c r="D1052" s="73" t="n">
        <x:v>0.9998</x:v>
      </x:c>
      <x:c r="E1052" s="73" t="n">
        <x:v>0.9998</x:v>
      </x:c>
      <x:c r="F1052" s="73" t="n">
        <x:v>0.9998</x:v>
      </x:c>
      <x:c r="G1052" s="74" t="n">
        <x:v>-0.0001</x:v>
      </x:c>
      <x:c r="H1052" s="66" t="str">
        <x:v>滨风风云瑞丰1号净值20260911.xlsx</x:v>
      </x:c>
      <x:c r="I1052" s="73" t="str">
        <x:f>""</x:f>
      </x:c>
      <x:c r="J1052" s="74" t="str">
        <x:f>""</x:f>
      </x:c>
      <x:c r="K1052" s="73" t="str">
        <x:f>""</x:f>
      </x:c>
      <x:c r="L1052" s="74" t="str">
        <x:f>""</x:f>
      </x:c>
      <x:c r="M1052" s="73" t="n">
        <x:f>MAX(M1051,F1052)</x:f>
        <x:v>1</x:v>
      </x:c>
      <x:c r="N1052" s="74" t="n">
        <x:f>1-F1052/M1052</x:f>
        <x:v>0.00019999999999997797</x:v>
      </x:c>
    </x:row>
    <x:row r="1053" ht="27" customHeight="1">
      <x:c r="A1053" s="66" t="str">
        <x:v>SXL267</x:v>
      </x:c>
      <x:c r="B1053" s="66" t="str">
        <x:v>滨风风云瑞丰1号</x:v>
      </x:c>
      <x:c r="C1053" s="72" t="n">
        <x:v>44902</x:v>
      </x:c>
      <x:c r="D1053" s="73" t="n">
        <x:v>0.9998</x:v>
      </x:c>
      <x:c r="E1053" s="73" t="n">
        <x:v>0.9998</x:v>
      </x:c>
      <x:c r="F1053" s="73" t="n">
        <x:v>0.9998</x:v>
      </x:c>
      <x:c r="G1053" s="74" t="n">
        <x:v>0</x:v>
      </x:c>
      <x:c r="H1053" s="66" t="str">
        <x:v>滨风风云瑞丰1号净值20260911.xlsx</x:v>
      </x:c>
      <x:c r="I1053" s="73" t="str">
        <x:f>""</x:f>
      </x:c>
      <x:c r="J1053" s="74" t="str">
        <x:f>""</x:f>
      </x:c>
      <x:c r="K1053" s="73" t="str">
        <x:f>""</x:f>
      </x:c>
      <x:c r="L1053" s="74" t="str">
        <x:f>""</x:f>
      </x:c>
      <x:c r="M1053" s="73" t="n">
        <x:f>MAX(M1052,F1053)</x:f>
        <x:v>1</x:v>
      </x:c>
      <x:c r="N1053" s="74" t="n">
        <x:f>1-F1053/M1053</x:f>
        <x:v>0.00019999999999997797</x:v>
      </x:c>
    </x:row>
    <x:row r="1054" ht="27" customHeight="1">
      <x:c r="A1054" s="66" t="str">
        <x:v>SXL267</x:v>
      </x:c>
      <x:c r="B1054" s="66" t="str">
        <x:v>滨风风云瑞丰1号</x:v>
      </x:c>
      <x:c r="C1054" s="72" t="n">
        <x:v>44903</x:v>
      </x:c>
      <x:c r="D1054" s="73" t="n">
        <x:v>0.9997</x:v>
      </x:c>
      <x:c r="E1054" s="73" t="n">
        <x:v>0.9997</x:v>
      </x:c>
      <x:c r="F1054" s="73" t="n">
        <x:v>0.9997</x:v>
      </x:c>
      <x:c r="G1054" s="74" t="n">
        <x:v>-0.0001</x:v>
      </x:c>
      <x:c r="H1054" s="66" t="str">
        <x:v>滨风风云瑞丰1号净值20260911.xlsx</x:v>
      </x:c>
      <x:c r="I1054" s="73" t="str">
        <x:f>""</x:f>
      </x:c>
      <x:c r="J1054" s="74" t="str">
        <x:f>""</x:f>
      </x:c>
      <x:c r="K1054" s="73" t="str">
        <x:f>""</x:f>
      </x:c>
      <x:c r="L1054" s="74" t="str">
        <x:f>""</x:f>
      </x:c>
      <x:c r="M1054" s="73" t="n">
        <x:f>MAX(M1053,F1054)</x:f>
        <x:v>1</x:v>
      </x:c>
      <x:c r="N1054" s="74" t="n">
        <x:f>1-F1054/M1054</x:f>
        <x:v>0.00029999999999996696</x:v>
      </x:c>
    </x:row>
    <x:row r="1055" ht="27" customHeight="1">
      <x:c r="A1055" s="66" t="str">
        <x:v>SXL267</x:v>
      </x:c>
      <x:c r="B1055" s="66" t="str">
        <x:v>滨风风云瑞丰1号</x:v>
      </x:c>
      <x:c r="C1055" s="72" t="n">
        <x:v>44904</x:v>
      </x:c>
      <x:c r="D1055" s="73" t="n">
        <x:v>0.9997</x:v>
      </x:c>
      <x:c r="E1055" s="73" t="n">
        <x:v>0.9997</x:v>
      </x:c>
      <x:c r="F1055" s="73" t="n">
        <x:v>0.9997</x:v>
      </x:c>
      <x:c r="G1055" s="74" t="n">
        <x:v>0</x:v>
      </x:c>
      <x:c r="H1055" s="66" t="str">
        <x:v>滨风风云瑞丰1号净值20260911.xlsx</x:v>
      </x:c>
      <x:c r="I1055" s="73" t="str">
        <x:f>""</x:f>
      </x:c>
      <x:c r="J1055" s="74" t="str">
        <x:f>""</x:f>
      </x:c>
      <x:c r="K1055" s="73" t="str">
        <x:f>""</x:f>
      </x:c>
      <x:c r="L1055" s="74" t="str">
        <x:f>""</x:f>
      </x:c>
      <x:c r="M1055" s="73" t="n">
        <x:f>MAX(M1054,F1055)</x:f>
        <x:v>1</x:v>
      </x:c>
      <x:c r="N1055" s="74" t="n">
        <x:f>1-F1055/M1055</x:f>
        <x:v>0.00029999999999996696</x:v>
      </x:c>
    </x:row>
    <x:row r="1056" ht="27" customHeight="1">
      <x:c r="A1056" s="66" t="str">
        <x:v>SXL267</x:v>
      </x:c>
      <x:c r="B1056" s="66" t="str">
        <x:v>滨风风云瑞丰1号</x:v>
      </x:c>
      <x:c r="C1056" s="72" t="n">
        <x:v>44907</x:v>
      </x:c>
      <x:c r="D1056" s="73" t="n">
        <x:v>0.9981</x:v>
      </x:c>
      <x:c r="E1056" s="73" t="n">
        <x:v>0.9981</x:v>
      </x:c>
      <x:c r="F1056" s="73" t="n">
        <x:v>0.9981</x:v>
      </x:c>
      <x:c r="G1056" s="74" t="n">
        <x:v>-0.0016</x:v>
      </x:c>
      <x:c r="H1056" s="66" t="str">
        <x:v>滨风风云瑞丰1号净值20260911.xlsx</x:v>
      </x:c>
      <x:c r="I1056" s="73" t="str">
        <x:f>""</x:f>
      </x:c>
      <x:c r="J1056" s="74" t="str">
        <x:f>""</x:f>
      </x:c>
      <x:c r="K1056" s="73" t="str">
        <x:f>""</x:f>
      </x:c>
      <x:c r="L1056" s="74" t="str">
        <x:f>""</x:f>
      </x:c>
      <x:c r="M1056" s="73" t="n">
        <x:f>MAX(M1055,F1056)</x:f>
        <x:v>1</x:v>
      </x:c>
      <x:c r="N1056" s="74" t="n">
        <x:f>1-F1056/M1056</x:f>
        <x:v>0.0019000000000000128</x:v>
      </x:c>
    </x:row>
    <x:row r="1057" ht="27" customHeight="1">
      <x:c r="A1057" s="66" t="str">
        <x:v>SXL267</x:v>
      </x:c>
      <x:c r="B1057" s="66" t="str">
        <x:v>滨风风云瑞丰1号</x:v>
      </x:c>
      <x:c r="C1057" s="72" t="n">
        <x:v>44908</x:v>
      </x:c>
      <x:c r="D1057" s="73" t="n">
        <x:v>0.9981</x:v>
      </x:c>
      <x:c r="E1057" s="73" t="n">
        <x:v>0.9981</x:v>
      </x:c>
      <x:c r="F1057" s="73" t="n">
        <x:v>0.9981</x:v>
      </x:c>
      <x:c r="G1057" s="74" t="n">
        <x:v>0</x:v>
      </x:c>
      <x:c r="H1057" s="66" t="str">
        <x:v>滨风风云瑞丰1号净值20260911.xlsx</x:v>
      </x:c>
      <x:c r="I1057" s="73" t="str">
        <x:f>""</x:f>
      </x:c>
      <x:c r="J1057" s="74" t="str">
        <x:f>""</x:f>
      </x:c>
      <x:c r="K1057" s="73" t="str">
        <x:f>""</x:f>
      </x:c>
      <x:c r="L1057" s="74" t="str">
        <x:f>""</x:f>
      </x:c>
      <x:c r="M1057" s="73" t="n">
        <x:f>MAX(M1056,F1057)</x:f>
        <x:v>1</x:v>
      </x:c>
      <x:c r="N1057" s="74" t="n">
        <x:f>1-F1057/M1057</x:f>
        <x:v>0.0019000000000000128</x:v>
      </x:c>
    </x:row>
    <x:row r="1058" ht="27" customHeight="1">
      <x:c r="A1058" s="66" t="str">
        <x:v>SXL267</x:v>
      </x:c>
      <x:c r="B1058" s="66" t="str">
        <x:v>滨风风云瑞丰1号</x:v>
      </x:c>
      <x:c r="C1058" s="72" t="n">
        <x:v>44909</x:v>
      </x:c>
      <x:c r="D1058" s="73" t="n">
        <x:v>0.9981</x:v>
      </x:c>
      <x:c r="E1058" s="73" t="n">
        <x:v>0.9981</x:v>
      </x:c>
      <x:c r="F1058" s="73" t="n">
        <x:v>0.9981</x:v>
      </x:c>
      <x:c r="G1058" s="74" t="n">
        <x:v>0</x:v>
      </x:c>
      <x:c r="H1058" s="66" t="str">
        <x:v>滨风风云瑞丰1号净值20260911.xlsx</x:v>
      </x:c>
      <x:c r="I1058" s="73" t="str">
        <x:f>""</x:f>
      </x:c>
      <x:c r="J1058" s="74" t="str">
        <x:f>""</x:f>
      </x:c>
      <x:c r="K1058" s="73" t="str">
        <x:f>""</x:f>
      </x:c>
      <x:c r="L1058" s="74" t="str">
        <x:f>""</x:f>
      </x:c>
      <x:c r="M1058" s="73" t="n">
        <x:f>MAX(M1057,F1058)</x:f>
        <x:v>1</x:v>
      </x:c>
      <x:c r="N1058" s="74" t="n">
        <x:f>1-F1058/M1058</x:f>
        <x:v>0.0019000000000000128</x:v>
      </x:c>
    </x:row>
    <x:row r="1059" ht="27" customHeight="1">
      <x:c r="A1059" s="66" t="str">
        <x:v>SXL267</x:v>
      </x:c>
      <x:c r="B1059" s="66" t="str">
        <x:v>滨风风云瑞丰1号</x:v>
      </x:c>
      <x:c r="C1059" s="72" t="n">
        <x:v>44910</x:v>
      </x:c>
      <x:c r="D1059" s="73" t="n">
        <x:v>0.998</x:v>
      </x:c>
      <x:c r="E1059" s="73" t="n">
        <x:v>0.998</x:v>
      </x:c>
      <x:c r="F1059" s="73" t="n">
        <x:v>0.998</x:v>
      </x:c>
      <x:c r="G1059" s="74" t="n">
        <x:v>-0.0001</x:v>
      </x:c>
      <x:c r="H1059" s="66" t="str">
        <x:v>滨风风云瑞丰1号净值20260911.xlsx</x:v>
      </x:c>
      <x:c r="I1059" s="73" t="str">
        <x:f>""</x:f>
      </x:c>
      <x:c r="J1059" s="74" t="str">
        <x:f>""</x:f>
      </x:c>
      <x:c r="K1059" s="73" t="str">
        <x:f>""</x:f>
      </x:c>
      <x:c r="L1059" s="74" t="str">
        <x:f>""</x:f>
      </x:c>
      <x:c r="M1059" s="73" t="n">
        <x:f>MAX(M1058,F1059)</x:f>
        <x:v>1</x:v>
      </x:c>
      <x:c r="N1059" s="74" t="n">
        <x:f>1-F1059/M1059</x:f>
        <x:v>0.0020000000000000018</x:v>
      </x:c>
    </x:row>
    <x:row r="1060" ht="27" customHeight="1">
      <x:c r="A1060" s="66" t="str">
        <x:v>SXL267</x:v>
      </x:c>
      <x:c r="B1060" s="66" t="str">
        <x:v>滨风风云瑞丰1号</x:v>
      </x:c>
      <x:c r="C1060" s="72" t="n">
        <x:v>44911</x:v>
      </x:c>
      <x:c r="D1060" s="73" t="n">
        <x:v>0.998</x:v>
      </x:c>
      <x:c r="E1060" s="73" t="n">
        <x:v>0.998</x:v>
      </x:c>
      <x:c r="F1060" s="73" t="n">
        <x:v>0.998</x:v>
      </x:c>
      <x:c r="G1060" s="74" t="n">
        <x:v>0</x:v>
      </x:c>
      <x:c r="H1060" s="66" t="str">
        <x:v>滨风风云瑞丰1号净值20260911.xlsx</x:v>
      </x:c>
      <x:c r="I1060" s="73" t="str">
        <x:f>""</x:f>
      </x:c>
      <x:c r="J1060" s="74" t="str">
        <x:f>""</x:f>
      </x:c>
      <x:c r="K1060" s="73" t="str">
        <x:f>""</x:f>
      </x:c>
      <x:c r="L1060" s="74" t="str">
        <x:f>""</x:f>
      </x:c>
      <x:c r="M1060" s="73" t="n">
        <x:f>MAX(M1059,F1060)</x:f>
        <x:v>1</x:v>
      </x:c>
      <x:c r="N1060" s="74" t="n">
        <x:f>1-F1060/M1060</x:f>
        <x:v>0.0020000000000000018</x:v>
      </x:c>
    </x:row>
    <x:row r="1061" ht="27" customHeight="1">
      <x:c r="A1061" s="66" t="str">
        <x:v>SXL267</x:v>
      </x:c>
      <x:c r="B1061" s="66" t="str">
        <x:v>滨风风云瑞丰1号</x:v>
      </x:c>
      <x:c r="C1061" s="72" t="n">
        <x:v>44914</x:v>
      </x:c>
      <x:c r="D1061" s="73" t="n">
        <x:v>0.9978</x:v>
      </x:c>
      <x:c r="E1061" s="73" t="n">
        <x:v>0.9978</x:v>
      </x:c>
      <x:c r="F1061" s="73" t="n">
        <x:v>0.9978</x:v>
      </x:c>
      <x:c r="G1061" s="74" t="n">
        <x:v>-0.0002</x:v>
      </x:c>
      <x:c r="H1061" s="66" t="str">
        <x:v>滨风风云瑞丰1号净值20260911.xlsx</x:v>
      </x:c>
      <x:c r="I1061" s="73" t="str">
        <x:f>""</x:f>
      </x:c>
      <x:c r="J1061" s="74" t="str">
        <x:f>""</x:f>
      </x:c>
      <x:c r="K1061" s="73" t="str">
        <x:f>""</x:f>
      </x:c>
      <x:c r="L1061" s="74" t="str">
        <x:f>""</x:f>
      </x:c>
      <x:c r="M1061" s="73" t="n">
        <x:f>MAX(M1060,F1061)</x:f>
        <x:v>1</x:v>
      </x:c>
      <x:c r="N1061" s="74" t="n">
        <x:f>1-F1061/M1061</x:f>
        <x:v>0.0021999999999999797</x:v>
      </x:c>
    </x:row>
    <x:row r="1062" ht="27" customHeight="1">
      <x:c r="A1062" s="66" t="str">
        <x:v>SXL267</x:v>
      </x:c>
      <x:c r="B1062" s="66" t="str">
        <x:v>滨风风云瑞丰1号</x:v>
      </x:c>
      <x:c r="C1062" s="72" t="n">
        <x:v>44915</x:v>
      </x:c>
      <x:c r="D1062" s="73" t="n">
        <x:v>0.9978</x:v>
      </x:c>
      <x:c r="E1062" s="73" t="n">
        <x:v>0.9978</x:v>
      </x:c>
      <x:c r="F1062" s="73" t="n">
        <x:v>0.9978</x:v>
      </x:c>
      <x:c r="G1062" s="74" t="n">
        <x:v>0</x:v>
      </x:c>
      <x:c r="H1062" s="66" t="str">
        <x:v>滨风风云瑞丰1号净值20260911.xlsx</x:v>
      </x:c>
      <x:c r="I1062" s="73" t="str">
        <x:f>""</x:f>
      </x:c>
      <x:c r="J1062" s="74" t="str">
        <x:f>""</x:f>
      </x:c>
      <x:c r="K1062" s="73" t="str">
        <x:f>""</x:f>
      </x:c>
      <x:c r="L1062" s="74" t="str">
        <x:f>""</x:f>
      </x:c>
      <x:c r="M1062" s="73" t="n">
        <x:f>MAX(M1061,F1062)</x:f>
        <x:v>1</x:v>
      </x:c>
      <x:c r="N1062" s="74" t="n">
        <x:f>1-F1062/M1062</x:f>
        <x:v>0.0021999999999999797</x:v>
      </x:c>
    </x:row>
    <x:row r="1063" ht="27" customHeight="1">
      <x:c r="A1063" s="66" t="str">
        <x:v>SXL267</x:v>
      </x:c>
      <x:c r="B1063" s="66" t="str">
        <x:v>滨风风云瑞丰1号</x:v>
      </x:c>
      <x:c r="C1063" s="72" t="n">
        <x:v>44916</x:v>
      </x:c>
      <x:c r="D1063" s="73" t="n">
        <x:v>0.9977</x:v>
      </x:c>
      <x:c r="E1063" s="73" t="n">
        <x:v>0.9977</x:v>
      </x:c>
      <x:c r="F1063" s="73" t="n">
        <x:v>0.9977</x:v>
      </x:c>
      <x:c r="G1063" s="74" t="n">
        <x:v>-0.0001</x:v>
      </x:c>
      <x:c r="H1063" s="66" t="str">
        <x:v>滨风风云瑞丰1号净值20260911.xlsx</x:v>
      </x:c>
      <x:c r="I1063" s="73" t="str">
        <x:f>""</x:f>
      </x:c>
      <x:c r="J1063" s="74" t="str">
        <x:f>""</x:f>
      </x:c>
      <x:c r="K1063" s="73" t="str">
        <x:f>""</x:f>
      </x:c>
      <x:c r="L1063" s="74" t="str">
        <x:f>""</x:f>
      </x:c>
      <x:c r="M1063" s="73" t="n">
        <x:f>MAX(M1062,F1063)</x:f>
        <x:v>1</x:v>
      </x:c>
      <x:c r="N1063" s="74" t="n">
        <x:f>1-F1063/M1063</x:f>
        <x:v>0.0022999999999999687</x:v>
      </x:c>
    </x:row>
    <x:row r="1064" ht="27" customHeight="1">
      <x:c r="A1064" s="66" t="str">
        <x:v>SXL267</x:v>
      </x:c>
      <x:c r="B1064" s="66" t="str">
        <x:v>滨风风云瑞丰1号</x:v>
      </x:c>
      <x:c r="C1064" s="72" t="n">
        <x:v>44917</x:v>
      </x:c>
      <x:c r="D1064" s="73" t="n">
        <x:v>0.9977</x:v>
      </x:c>
      <x:c r="E1064" s="73" t="n">
        <x:v>0.9977</x:v>
      </x:c>
      <x:c r="F1064" s="73" t="n">
        <x:v>0.9977</x:v>
      </x:c>
      <x:c r="G1064" s="74" t="n">
        <x:v>0</x:v>
      </x:c>
      <x:c r="H1064" s="66" t="str">
        <x:v>滨风风云瑞丰1号净值20260911.xlsx</x:v>
      </x:c>
      <x:c r="I1064" s="73" t="str">
        <x:f>""</x:f>
      </x:c>
      <x:c r="J1064" s="74" t="str">
        <x:f>""</x:f>
      </x:c>
      <x:c r="K1064" s="73" t="str">
        <x:f>""</x:f>
      </x:c>
      <x:c r="L1064" s="74" t="str">
        <x:f>""</x:f>
      </x:c>
      <x:c r="M1064" s="73" t="n">
        <x:f>MAX(M1063,F1064)</x:f>
        <x:v>1</x:v>
      </x:c>
      <x:c r="N1064" s="74" t="n">
        <x:f>1-F1064/M1064</x:f>
        <x:v>0.0022999999999999687</x:v>
      </x:c>
    </x:row>
    <x:row r="1065" ht="27" customHeight="1">
      <x:c r="A1065" s="66" t="str">
        <x:v>SXL267</x:v>
      </x:c>
      <x:c r="B1065" s="66" t="str">
        <x:v>滨风风云瑞丰1号</x:v>
      </x:c>
      <x:c r="C1065" s="72" t="n">
        <x:v>44918</x:v>
      </x:c>
      <x:c r="D1065" s="73" t="n">
        <x:v>0.9968</x:v>
      </x:c>
      <x:c r="E1065" s="73" t="n">
        <x:v>0.9968</x:v>
      </x:c>
      <x:c r="F1065" s="73" t="n">
        <x:v>0.9968</x:v>
      </x:c>
      <x:c r="G1065" s="74" t="n">
        <x:v>-0.0009</x:v>
      </x:c>
      <x:c r="H1065" s="66" t="str">
        <x:v>滨风风云瑞丰1号净值20260911.xlsx</x:v>
      </x:c>
      <x:c r="I1065" s="73" t="str">
        <x:f>""</x:f>
      </x:c>
      <x:c r="J1065" s="74" t="str">
        <x:f>""</x:f>
      </x:c>
      <x:c r="K1065" s="73" t="str">
        <x:f>""</x:f>
      </x:c>
      <x:c r="L1065" s="74" t="str">
        <x:f>""</x:f>
      </x:c>
      <x:c r="M1065" s="73" t="n">
        <x:f>MAX(M1064,F1065)</x:f>
        <x:v>1</x:v>
      </x:c>
      <x:c r="N1065" s="74" t="n">
        <x:f>1-F1065/M1065</x:f>
        <x:v>0.0031999999999999806</x:v>
      </x:c>
    </x:row>
    <x:row r="1066" ht="27" customHeight="1">
      <x:c r="A1066" s="66" t="str">
        <x:v>SXL267</x:v>
      </x:c>
      <x:c r="B1066" s="66" t="str">
        <x:v>滨风风云瑞丰1号</x:v>
      </x:c>
      <x:c r="C1066" s="72" t="n">
        <x:v>44921</x:v>
      </x:c>
      <x:c r="D1066" s="73" t="n">
        <x:v>0.9967</x:v>
      </x:c>
      <x:c r="E1066" s="73" t="n">
        <x:v>0.9967</x:v>
      </x:c>
      <x:c r="F1066" s="73" t="n">
        <x:v>0.9967</x:v>
      </x:c>
      <x:c r="G1066" s="74" t="n">
        <x:v>-0.0001</x:v>
      </x:c>
      <x:c r="H1066" s="66" t="str">
        <x:v>滨风风云瑞丰1号净值20260911.xlsx</x:v>
      </x:c>
      <x:c r="I1066" s="73" t="str">
        <x:f>""</x:f>
      </x:c>
      <x:c r="J1066" s="74" t="str">
        <x:f>""</x:f>
      </x:c>
      <x:c r="K1066" s="73" t="str">
        <x:f>""</x:f>
      </x:c>
      <x:c r="L1066" s="74" t="str">
        <x:f>""</x:f>
      </x:c>
      <x:c r="M1066" s="73" t="n">
        <x:f>MAX(M1065,F1066)</x:f>
        <x:v>1</x:v>
      </x:c>
      <x:c r="N1066" s="74" t="n">
        <x:f>1-F1066/M1066</x:f>
        <x:v>0.0032999999999999696</x:v>
      </x:c>
    </x:row>
    <x:row r="1067" ht="27" customHeight="1">
      <x:c r="A1067" s="66" t="str">
        <x:v>SXL267</x:v>
      </x:c>
      <x:c r="B1067" s="66" t="str">
        <x:v>滨风风云瑞丰1号</x:v>
      </x:c>
      <x:c r="C1067" s="72" t="n">
        <x:v>44922</x:v>
      </x:c>
      <x:c r="D1067" s="73" t="n">
        <x:v>0.9966</x:v>
      </x:c>
      <x:c r="E1067" s="73" t="n">
        <x:v>0.9966</x:v>
      </x:c>
      <x:c r="F1067" s="73" t="n">
        <x:v>0.9966</x:v>
      </x:c>
      <x:c r="G1067" s="74" t="n">
        <x:v>-0.0001</x:v>
      </x:c>
      <x:c r="H1067" s="66" t="str">
        <x:v>滨风风云瑞丰1号净值20260911.xlsx</x:v>
      </x:c>
      <x:c r="I1067" s="73" t="str">
        <x:f>""</x:f>
      </x:c>
      <x:c r="J1067" s="74" t="str">
        <x:f>""</x:f>
      </x:c>
      <x:c r="K1067" s="73" t="str">
        <x:f>""</x:f>
      </x:c>
      <x:c r="L1067" s="74" t="str">
        <x:f>""</x:f>
      </x:c>
      <x:c r="M1067" s="73" t="n">
        <x:f>MAX(M1066,F1067)</x:f>
        <x:v>1</x:v>
      </x:c>
      <x:c r="N1067" s="74" t="n">
        <x:f>1-F1067/M1067</x:f>
        <x:v>0.0033999999999999586</x:v>
      </x:c>
    </x:row>
    <x:row r="1068" ht="27" customHeight="1">
      <x:c r="A1068" s="66" t="str">
        <x:v>SXL267</x:v>
      </x:c>
      <x:c r="B1068" s="66" t="str">
        <x:v>滨风风云瑞丰1号</x:v>
      </x:c>
      <x:c r="C1068" s="72" t="n">
        <x:v>44923</x:v>
      </x:c>
      <x:c r="D1068" s="73" t="n">
        <x:v>0.9966</x:v>
      </x:c>
      <x:c r="E1068" s="73" t="n">
        <x:v>0.9966</x:v>
      </x:c>
      <x:c r="F1068" s="73" t="n">
        <x:v>0.9966</x:v>
      </x:c>
      <x:c r="G1068" s="74" t="n">
        <x:v>0</x:v>
      </x:c>
      <x:c r="H1068" s="66" t="str">
        <x:v>滨风风云瑞丰1号净值20260911.xlsx</x:v>
      </x:c>
      <x:c r="I1068" s="73" t="str">
        <x:f>""</x:f>
      </x:c>
      <x:c r="J1068" s="74" t="str">
        <x:f>""</x:f>
      </x:c>
      <x:c r="K1068" s="73" t="str">
        <x:f>""</x:f>
      </x:c>
      <x:c r="L1068" s="74" t="str">
        <x:f>""</x:f>
      </x:c>
      <x:c r="M1068" s="73" t="n">
        <x:f>MAX(M1067,F1068)</x:f>
        <x:v>1</x:v>
      </x:c>
      <x:c r="N1068" s="74" t="n">
        <x:f>1-F1068/M1068</x:f>
        <x:v>0.0033999999999999586</x:v>
      </x:c>
    </x:row>
    <x:row r="1069" ht="27" customHeight="1">
      <x:c r="A1069" s="66" t="str">
        <x:v>SXL267</x:v>
      </x:c>
      <x:c r="B1069" s="66" t="str">
        <x:v>滨风风云瑞丰1号</x:v>
      </x:c>
      <x:c r="C1069" s="72" t="n">
        <x:v>44924</x:v>
      </x:c>
      <x:c r="D1069" s="73" t="n">
        <x:v>0.9965</x:v>
      </x:c>
      <x:c r="E1069" s="73" t="n">
        <x:v>0.9965</x:v>
      </x:c>
      <x:c r="F1069" s="73" t="n">
        <x:v>0.9965</x:v>
      </x:c>
      <x:c r="G1069" s="74" t="n">
        <x:v>-0.0001</x:v>
      </x:c>
      <x:c r="H1069" s="66" t="str">
        <x:v>滨风风云瑞丰1号净值20260911.xlsx</x:v>
      </x:c>
      <x:c r="I1069" s="73" t="str">
        <x:f>""</x:f>
      </x:c>
      <x:c r="J1069" s="74" t="str">
        <x:f>""</x:f>
      </x:c>
      <x:c r="K1069" s="73" t="str">
        <x:f>""</x:f>
      </x:c>
      <x:c r="L1069" s="74" t="str">
        <x:f>""</x:f>
      </x:c>
      <x:c r="M1069" s="73" t="n">
        <x:f>MAX(M1068,F1069)</x:f>
        <x:v>1</x:v>
      </x:c>
      <x:c r="N1069" s="74" t="n">
        <x:f>1-F1069/M1069</x:f>
        <x:v>0.0034999999999999476</x:v>
      </x:c>
    </x:row>
    <x:row r="1070" ht="27" customHeight="1">
      <x:c r="A1070" s="66" t="str">
        <x:v>SXL267</x:v>
      </x:c>
      <x:c r="B1070" s="66" t="str">
        <x:v>滨风风云瑞丰1号</x:v>
      </x:c>
      <x:c r="C1070" s="72" t="n">
        <x:v>44925</x:v>
      </x:c>
      <x:c r="D1070" s="73" t="n">
        <x:v>0.9965</x:v>
      </x:c>
      <x:c r="E1070" s="73" t="n">
        <x:v>0.9965</x:v>
      </x:c>
      <x:c r="F1070" s="73" t="n">
        <x:v>0.9965</x:v>
      </x:c>
      <x:c r="G1070" s="74" t="n">
        <x:v>0</x:v>
      </x:c>
      <x:c r="H1070" s="66" t="str">
        <x:v>滨风风云瑞丰1号净值20260911.xlsx</x:v>
      </x:c>
      <x:c r="I1070" s="73" t="str">
        <x:f>""</x:f>
      </x:c>
      <x:c r="J1070" s="74" t="str">
        <x:f>""</x:f>
      </x:c>
      <x:c r="K1070" s="73" t="str">
        <x:f>""</x:f>
      </x:c>
      <x:c r="L1070" s="74" t="str">
        <x:f>""</x:f>
      </x:c>
      <x:c r="M1070" s="73" t="n">
        <x:f>MAX(M1069,F1070)</x:f>
        <x:v>1</x:v>
      </x:c>
      <x:c r="N1070" s="74" t="n">
        <x:f>1-F1070/M1070</x:f>
        <x:v>0.0034999999999999476</x:v>
      </x:c>
    </x:row>
    <x:row r="1071" ht="27" customHeight="1">
      <x:c r="A1071" s="66" t="str">
        <x:v>SXL267</x:v>
      </x:c>
      <x:c r="B1071" s="66" t="str">
        <x:v>滨风风云瑞丰1号</x:v>
      </x:c>
      <x:c r="C1071" s="72" t="n">
        <x:v>44929</x:v>
      </x:c>
      <x:c r="D1071" s="73" t="n">
        <x:v>0.9963</x:v>
      </x:c>
      <x:c r="E1071" s="73" t="n">
        <x:v>0.9963</x:v>
      </x:c>
      <x:c r="F1071" s="73" t="n">
        <x:v>0.9963</x:v>
      </x:c>
      <x:c r="G1071" s="74" t="n">
        <x:v>-0.0002</x:v>
      </x:c>
      <x:c r="H1071" s="66" t="str">
        <x:v>滨风风云瑞丰1号净值20260911.xlsx</x:v>
      </x:c>
      <x:c r="I1071" s="73" t="str">
        <x:f>""</x:f>
      </x:c>
      <x:c r="J1071" s="74" t="str">
        <x:f>""</x:f>
      </x:c>
      <x:c r="K1071" s="73" t="str">
        <x:f>""</x:f>
      </x:c>
      <x:c r="L1071" s="74" t="str">
        <x:f>""</x:f>
      </x:c>
      <x:c r="M1071" s="73" t="n">
        <x:f>MAX(M1070,F1071)</x:f>
        <x:v>1</x:v>
      </x:c>
      <x:c r="N1071" s="74" t="n">
        <x:f>1-F1071/M1071</x:f>
        <x:v>0.0037000000000000366</x:v>
      </x:c>
    </x:row>
    <x:row r="1072" ht="27" customHeight="1">
      <x:c r="A1072" s="66" t="str">
        <x:v>SXL267</x:v>
      </x:c>
      <x:c r="B1072" s="66" t="str">
        <x:v>滨风风云瑞丰1号</x:v>
      </x:c>
      <x:c r="C1072" s="72" t="n">
        <x:v>44930</x:v>
      </x:c>
      <x:c r="D1072" s="73" t="n">
        <x:v>0.9962</x:v>
      </x:c>
      <x:c r="E1072" s="73" t="n">
        <x:v>0.9962</x:v>
      </x:c>
      <x:c r="F1072" s="73" t="n">
        <x:v>0.9962</x:v>
      </x:c>
      <x:c r="G1072" s="74" t="n">
        <x:v>-0.0001</x:v>
      </x:c>
      <x:c r="H1072" s="66" t="str">
        <x:v>滨风风云瑞丰1号净值20260911.xlsx</x:v>
      </x:c>
      <x:c r="I1072" s="73" t="str">
        <x:f>""</x:f>
      </x:c>
      <x:c r="J1072" s="74" t="str">
        <x:f>""</x:f>
      </x:c>
      <x:c r="K1072" s="73" t="str">
        <x:f>""</x:f>
      </x:c>
      <x:c r="L1072" s="74" t="str">
        <x:f>""</x:f>
      </x:c>
      <x:c r="M1072" s="73" t="n">
        <x:f>MAX(M1071,F1072)</x:f>
        <x:v>1</x:v>
      </x:c>
      <x:c r="N1072" s="74" t="n">
        <x:f>1-F1072/M1072</x:f>
        <x:v>0.0038000000000000256</x:v>
      </x:c>
    </x:row>
    <x:row r="1073" ht="27" customHeight="1">
      <x:c r="A1073" s="66" t="str">
        <x:v>SXL267</x:v>
      </x:c>
      <x:c r="B1073" s="66" t="str">
        <x:v>滨风风云瑞丰1号</x:v>
      </x:c>
      <x:c r="C1073" s="72" t="n">
        <x:v>44931</x:v>
      </x:c>
      <x:c r="D1073" s="73" t="n">
        <x:v>0.9962</x:v>
      </x:c>
      <x:c r="E1073" s="73" t="n">
        <x:v>0.9962</x:v>
      </x:c>
      <x:c r="F1073" s="73" t="n">
        <x:v>0.9962</x:v>
      </x:c>
      <x:c r="G1073" s="74" t="n">
        <x:v>0</x:v>
      </x:c>
      <x:c r="H1073" s="66" t="str">
        <x:v>滨风风云瑞丰1号净值20260911.xlsx</x:v>
      </x:c>
      <x:c r="I1073" s="73" t="str">
        <x:f>""</x:f>
      </x:c>
      <x:c r="J1073" s="74" t="str">
        <x:f>""</x:f>
      </x:c>
      <x:c r="K1073" s="73" t="str">
        <x:f>""</x:f>
      </x:c>
      <x:c r="L1073" s="74" t="str">
        <x:f>""</x:f>
      </x:c>
      <x:c r="M1073" s="73" t="n">
        <x:f>MAX(M1072,F1073)</x:f>
        <x:v>1</x:v>
      </x:c>
      <x:c r="N1073" s="74" t="n">
        <x:f>1-F1073/M1073</x:f>
        <x:v>0.0038000000000000256</x:v>
      </x:c>
    </x:row>
    <x:row r="1074" ht="27" customHeight="1">
      <x:c r="A1074" s="66" t="str">
        <x:v>SXL267</x:v>
      </x:c>
      <x:c r="B1074" s="66" t="str">
        <x:v>滨风风云瑞丰1号</x:v>
      </x:c>
      <x:c r="C1074" s="72" t="n">
        <x:v>44932</x:v>
      </x:c>
      <x:c r="D1074" s="73" t="n">
        <x:v>0.9962</x:v>
      </x:c>
      <x:c r="E1074" s="73" t="n">
        <x:v>0.9962</x:v>
      </x:c>
      <x:c r="F1074" s="73" t="n">
        <x:v>0.9962</x:v>
      </x:c>
      <x:c r="G1074" s="74" t="n">
        <x:v>0</x:v>
      </x:c>
      <x:c r="H1074" s="66" t="str">
        <x:v>滨风风云瑞丰1号净值20260911.xlsx</x:v>
      </x:c>
      <x:c r="I1074" s="73" t="str">
        <x:f>""</x:f>
      </x:c>
      <x:c r="J1074" s="74" t="str">
        <x:f>""</x:f>
      </x:c>
      <x:c r="K1074" s="73" t="str">
        <x:f>""</x:f>
      </x:c>
      <x:c r="L1074" s="74" t="str">
        <x:f>""</x:f>
      </x:c>
      <x:c r="M1074" s="73" t="n">
        <x:f>MAX(M1073,F1074)</x:f>
        <x:v>1</x:v>
      </x:c>
      <x:c r="N1074" s="74" t="n">
        <x:f>1-F1074/M1074</x:f>
        <x:v>0.0038000000000000256</x:v>
      </x:c>
    </x:row>
    <x:row r="1075" ht="27" customHeight="1">
      <x:c r="A1075" s="66" t="str">
        <x:v>SXL267</x:v>
      </x:c>
      <x:c r="B1075" s="66" t="str">
        <x:v>滨风风云瑞丰1号</x:v>
      </x:c>
      <x:c r="C1075" s="72" t="n">
        <x:v>44935</x:v>
      </x:c>
      <x:c r="D1075" s="73" t="n">
        <x:v>0.9953</x:v>
      </x:c>
      <x:c r="E1075" s="73" t="n">
        <x:v>0.9953</x:v>
      </x:c>
      <x:c r="F1075" s="73" t="n">
        <x:v>0.9953</x:v>
      </x:c>
      <x:c r="G1075" s="74" t="n">
        <x:v>-0.0009</x:v>
      </x:c>
      <x:c r="H1075" s="66" t="str">
        <x:v>滨风风云瑞丰1号净值20260911.xlsx</x:v>
      </x:c>
      <x:c r="I1075" s="73" t="str">
        <x:f>""</x:f>
      </x:c>
      <x:c r="J1075" s="74" t="str">
        <x:f>""</x:f>
      </x:c>
      <x:c r="K1075" s="73" t="str">
        <x:f>""</x:f>
      </x:c>
      <x:c r="L1075" s="74" t="str">
        <x:f>""</x:f>
      </x:c>
      <x:c r="M1075" s="73" t="n">
        <x:f>MAX(M1074,F1075)</x:f>
        <x:v>1</x:v>
      </x:c>
      <x:c r="N1075" s="74" t="n">
        <x:f>1-F1075/M1075</x:f>
        <x:v>0.0047000000000000375</x:v>
      </x:c>
    </x:row>
    <x:row r="1076" ht="27" customHeight="1">
      <x:c r="A1076" s="66" t="str">
        <x:v>SXL267</x:v>
      </x:c>
      <x:c r="B1076" s="66" t="str">
        <x:v>滨风风云瑞丰1号</x:v>
      </x:c>
      <x:c r="C1076" s="72" t="n">
        <x:v>44936</x:v>
      </x:c>
      <x:c r="D1076" s="73" t="n">
        <x:v>0.9953</x:v>
      </x:c>
      <x:c r="E1076" s="73" t="n">
        <x:v>0.9953</x:v>
      </x:c>
      <x:c r="F1076" s="73" t="n">
        <x:v>0.9953</x:v>
      </x:c>
      <x:c r="G1076" s="74" t="n">
        <x:v>0</x:v>
      </x:c>
      <x:c r="H1076" s="66" t="str">
        <x:v>滨风风云瑞丰1号净值20260911.xlsx</x:v>
      </x:c>
      <x:c r="I1076" s="73" t="str">
        <x:f>""</x:f>
      </x:c>
      <x:c r="J1076" s="74" t="str">
        <x:f>""</x:f>
      </x:c>
      <x:c r="K1076" s="73" t="str">
        <x:f>""</x:f>
      </x:c>
      <x:c r="L1076" s="74" t="str">
        <x:f>""</x:f>
      </x:c>
      <x:c r="M1076" s="73" t="n">
        <x:f>MAX(M1075,F1076)</x:f>
        <x:v>1</x:v>
      </x:c>
      <x:c r="N1076" s="74" t="n">
        <x:f>1-F1076/M1076</x:f>
        <x:v>0.0047000000000000375</x:v>
      </x:c>
    </x:row>
    <x:row r="1077" ht="27" customHeight="1">
      <x:c r="A1077" s="66" t="str">
        <x:v>SXL267</x:v>
      </x:c>
      <x:c r="B1077" s="66" t="str">
        <x:v>滨风风云瑞丰1号</x:v>
      </x:c>
      <x:c r="C1077" s="72" t="n">
        <x:v>44937</x:v>
      </x:c>
      <x:c r="D1077" s="73" t="n">
        <x:v>0.9952</x:v>
      </x:c>
      <x:c r="E1077" s="73" t="n">
        <x:v>0.9952</x:v>
      </x:c>
      <x:c r="F1077" s="73" t="n">
        <x:v>0.9952</x:v>
      </x:c>
      <x:c r="G1077" s="74" t="n">
        <x:v>-0.0001</x:v>
      </x:c>
      <x:c r="H1077" s="66" t="str">
        <x:v>滨风风云瑞丰1号净值20260911.xlsx</x:v>
      </x:c>
      <x:c r="I1077" s="73" t="str">
        <x:f>""</x:f>
      </x:c>
      <x:c r="J1077" s="74" t="str">
        <x:f>""</x:f>
      </x:c>
      <x:c r="K1077" s="73" t="str">
        <x:f>""</x:f>
      </x:c>
      <x:c r="L1077" s="74" t="str">
        <x:f>""</x:f>
      </x:c>
      <x:c r="M1077" s="73" t="n">
        <x:f>MAX(M1076,F1077)</x:f>
        <x:v>1</x:v>
      </x:c>
      <x:c r="N1077" s="74" t="n">
        <x:f>1-F1077/M1077</x:f>
        <x:v>0.0048000000000000265</x:v>
      </x:c>
    </x:row>
    <x:row r="1078" ht="27" customHeight="1">
      <x:c r="A1078" s="66" t="str">
        <x:v>SXL267</x:v>
      </x:c>
      <x:c r="B1078" s="66" t="str">
        <x:v>滨风风云瑞丰1号</x:v>
      </x:c>
      <x:c r="C1078" s="72" t="n">
        <x:v>44938</x:v>
      </x:c>
      <x:c r="D1078" s="73" t="n">
        <x:v>0.9952</x:v>
      </x:c>
      <x:c r="E1078" s="73" t="n">
        <x:v>0.9952</x:v>
      </x:c>
      <x:c r="F1078" s="73" t="n">
        <x:v>0.9952</x:v>
      </x:c>
      <x:c r="G1078" s="74" t="n">
        <x:v>0</x:v>
      </x:c>
      <x:c r="H1078" s="66" t="str">
        <x:v>滨风风云瑞丰1号净值20260911.xlsx</x:v>
      </x:c>
      <x:c r="I1078" s="73" t="str">
        <x:f>""</x:f>
      </x:c>
      <x:c r="J1078" s="74" t="str">
        <x:f>""</x:f>
      </x:c>
      <x:c r="K1078" s="73" t="str">
        <x:f>""</x:f>
      </x:c>
      <x:c r="L1078" s="74" t="str">
        <x:f>""</x:f>
      </x:c>
      <x:c r="M1078" s="73" t="n">
        <x:f>MAX(M1077,F1078)</x:f>
        <x:v>1</x:v>
      </x:c>
      <x:c r="N1078" s="74" t="n">
        <x:f>1-F1078/M1078</x:f>
        <x:v>0.0048000000000000265</x:v>
      </x:c>
    </x:row>
    <x:row r="1079" ht="27" customHeight="1">
      <x:c r="A1079" s="66" t="str">
        <x:v>SXL267</x:v>
      </x:c>
      <x:c r="B1079" s="66" t="str">
        <x:v>滨风风云瑞丰1号</x:v>
      </x:c>
      <x:c r="C1079" s="72" t="n">
        <x:v>44939</x:v>
      </x:c>
      <x:c r="D1079" s="73" t="n">
        <x:v>0.9951</x:v>
      </x:c>
      <x:c r="E1079" s="73" t="n">
        <x:v>0.9951</x:v>
      </x:c>
      <x:c r="F1079" s="73" t="n">
        <x:v>0.9951</x:v>
      </x:c>
      <x:c r="G1079" s="74" t="n">
        <x:v>-0.0001</x:v>
      </x:c>
      <x:c r="H1079" s="66" t="str">
        <x:v>滨风风云瑞丰1号净值20260911.xlsx</x:v>
      </x:c>
      <x:c r="I1079" s="73" t="str">
        <x:f>""</x:f>
      </x:c>
      <x:c r="J1079" s="74" t="str">
        <x:f>""</x:f>
      </x:c>
      <x:c r="K1079" s="73" t="str">
        <x:f>""</x:f>
      </x:c>
      <x:c r="L1079" s="74" t="str">
        <x:f>""</x:f>
      </x:c>
      <x:c r="M1079" s="73" t="n">
        <x:f>MAX(M1078,F1079)</x:f>
        <x:v>1</x:v>
      </x:c>
      <x:c r="N1079" s="74" t="n">
        <x:f>1-F1079/M1079</x:f>
        <x:v>0.0049000000000000155</x:v>
      </x:c>
    </x:row>
    <x:row r="1080" ht="27" customHeight="1">
      <x:c r="A1080" s="66" t="str">
        <x:v>SXL267</x:v>
      </x:c>
      <x:c r="B1080" s="66" t="str">
        <x:v>滨风风云瑞丰1号</x:v>
      </x:c>
      <x:c r="C1080" s="72" t="n">
        <x:v>44942</x:v>
      </x:c>
      <x:c r="D1080" s="73" t="n">
        <x:v>0.995</x:v>
      </x:c>
      <x:c r="E1080" s="73" t="n">
        <x:v>0.995</x:v>
      </x:c>
      <x:c r="F1080" s="73" t="n">
        <x:v>0.995</x:v>
      </x:c>
      <x:c r="G1080" s="74" t="n">
        <x:v>-0.0001</x:v>
      </x:c>
      <x:c r="H1080" s="66" t="str">
        <x:v>滨风风云瑞丰1号净值20260911.xlsx</x:v>
      </x:c>
      <x:c r="I1080" s="73" t="str">
        <x:f>""</x:f>
      </x:c>
      <x:c r="J1080" s="74" t="str">
        <x:f>""</x:f>
      </x:c>
      <x:c r="K1080" s="73" t="str">
        <x:f>""</x:f>
      </x:c>
      <x:c r="L1080" s="74" t="str">
        <x:f>""</x:f>
      </x:c>
      <x:c r="M1080" s="73" t="n">
        <x:f>MAX(M1079,F1080)</x:f>
        <x:v>1</x:v>
      </x:c>
      <x:c r="N1080" s="74" t="n">
        <x:f>1-F1080/M1080</x:f>
        <x:v>0.0050000000000000044</x:v>
      </x:c>
    </x:row>
    <x:row r="1081" ht="27" customHeight="1">
      <x:c r="A1081" s="66" t="str">
        <x:v>SXL267</x:v>
      </x:c>
      <x:c r="B1081" s="66" t="str">
        <x:v>滨风风云瑞丰1号</x:v>
      </x:c>
      <x:c r="C1081" s="72" t="n">
        <x:v>44943</x:v>
      </x:c>
      <x:c r="D1081" s="73" t="n">
        <x:v>0.9949</x:v>
      </x:c>
      <x:c r="E1081" s="73" t="n">
        <x:v>0.9949</x:v>
      </x:c>
      <x:c r="F1081" s="73" t="n">
        <x:v>0.9949</x:v>
      </x:c>
      <x:c r="G1081" s="74" t="n">
        <x:v>-0.0001</x:v>
      </x:c>
      <x:c r="H1081" s="66" t="str">
        <x:v>滨风风云瑞丰1号净值20260911.xlsx</x:v>
      </x:c>
      <x:c r="I1081" s="73" t="str">
        <x:f>""</x:f>
      </x:c>
      <x:c r="J1081" s="74" t="str">
        <x:f>""</x:f>
      </x:c>
      <x:c r="K1081" s="73" t="str">
        <x:f>""</x:f>
      </x:c>
      <x:c r="L1081" s="74" t="str">
        <x:f>""</x:f>
      </x:c>
      <x:c r="M1081" s="73" t="n">
        <x:f>MAX(M1080,F1081)</x:f>
        <x:v>1</x:v>
      </x:c>
      <x:c r="N1081" s="74" t="n">
        <x:f>1-F1081/M1081</x:f>
        <x:v>0.005099999999999993</x:v>
      </x:c>
    </x:row>
    <x:row r="1082" ht="27" customHeight="1">
      <x:c r="A1082" s="66" t="str">
        <x:v>SXL267</x:v>
      </x:c>
      <x:c r="B1082" s="66" t="str">
        <x:v>滨风风云瑞丰1号</x:v>
      </x:c>
      <x:c r="C1082" s="72" t="n">
        <x:v>44944</x:v>
      </x:c>
      <x:c r="D1082" s="73" t="n">
        <x:v>0.9949</x:v>
      </x:c>
      <x:c r="E1082" s="73" t="n">
        <x:v>0.9949</x:v>
      </x:c>
      <x:c r="F1082" s="73" t="n">
        <x:v>0.9949</x:v>
      </x:c>
      <x:c r="G1082" s="74" t="n">
        <x:v>0</x:v>
      </x:c>
      <x:c r="H1082" s="66" t="str">
        <x:v>滨风风云瑞丰1号净值20260911.xlsx</x:v>
      </x:c>
      <x:c r="I1082" s="73" t="str">
        <x:f>""</x:f>
      </x:c>
      <x:c r="J1082" s="74" t="str">
        <x:f>""</x:f>
      </x:c>
      <x:c r="K1082" s="73" t="str">
        <x:f>""</x:f>
      </x:c>
      <x:c r="L1082" s="74" t="str">
        <x:f>""</x:f>
      </x:c>
      <x:c r="M1082" s="73" t="n">
        <x:f>MAX(M1081,F1082)</x:f>
        <x:v>1</x:v>
      </x:c>
      <x:c r="N1082" s="74" t="n">
        <x:f>1-F1082/M1082</x:f>
        <x:v>0.005099999999999993</x:v>
      </x:c>
    </x:row>
    <x:row r="1083" ht="27" customHeight="1">
      <x:c r="A1083" s="66" t="str">
        <x:v>SXL267</x:v>
      </x:c>
      <x:c r="B1083" s="66" t="str">
        <x:v>滨风风云瑞丰1号</x:v>
      </x:c>
      <x:c r="C1083" s="72" t="n">
        <x:v>44945</x:v>
      </x:c>
      <x:c r="D1083" s="73" t="n">
        <x:v>0.9949</x:v>
      </x:c>
      <x:c r="E1083" s="73" t="n">
        <x:v>0.9949</x:v>
      </x:c>
      <x:c r="F1083" s="73" t="n">
        <x:v>0.9949</x:v>
      </x:c>
      <x:c r="G1083" s="74" t="n">
        <x:v>0</x:v>
      </x:c>
      <x:c r="H1083" s="66" t="str">
        <x:v>滨风风云瑞丰1号净值20260911.xlsx</x:v>
      </x:c>
      <x:c r="I1083" s="73" t="str">
        <x:f>""</x:f>
      </x:c>
      <x:c r="J1083" s="74" t="str">
        <x:f>""</x:f>
      </x:c>
      <x:c r="K1083" s="73" t="str">
        <x:f>""</x:f>
      </x:c>
      <x:c r="L1083" s="74" t="str">
        <x:f>""</x:f>
      </x:c>
      <x:c r="M1083" s="73" t="n">
        <x:f>MAX(M1082,F1083)</x:f>
        <x:v>1</x:v>
      </x:c>
      <x:c r="N1083" s="74" t="n">
        <x:f>1-F1083/M1083</x:f>
        <x:v>0.005099999999999993</x:v>
      </x:c>
    </x:row>
    <x:row r="1084" ht="27" customHeight="1">
      <x:c r="A1084" s="66" t="str">
        <x:v>SXL267</x:v>
      </x:c>
      <x:c r="B1084" s="66" t="str">
        <x:v>滨风风云瑞丰1号</x:v>
      </x:c>
      <x:c r="C1084" s="72" t="n">
        <x:v>44946</x:v>
      </x:c>
      <x:c r="D1084" s="73" t="n">
        <x:v>0.9948</x:v>
      </x:c>
      <x:c r="E1084" s="73" t="n">
        <x:v>0.9948</x:v>
      </x:c>
      <x:c r="F1084" s="73" t="n">
        <x:v>0.9948</x:v>
      </x:c>
      <x:c r="G1084" s="74" t="n">
        <x:v>-0.0001</x:v>
      </x:c>
      <x:c r="H1084" s="66" t="str">
        <x:v>滨风风云瑞丰1号净值20260911.xlsx</x:v>
      </x:c>
      <x:c r="I1084" s="73" t="str">
        <x:f>""</x:f>
      </x:c>
      <x:c r="J1084" s="74" t="str">
        <x:f>""</x:f>
      </x:c>
      <x:c r="K1084" s="73" t="str">
        <x:f>""</x:f>
      </x:c>
      <x:c r="L1084" s="74" t="str">
        <x:f>""</x:f>
      </x:c>
      <x:c r="M1084" s="73" t="n">
        <x:f>MAX(M1083,F1084)</x:f>
        <x:v>1</x:v>
      </x:c>
      <x:c r="N1084" s="74" t="n">
        <x:f>1-F1084/M1084</x:f>
        <x:v>0.005199999999999982</x:v>
      </x:c>
    </x:row>
    <x:row r="1085" ht="27" customHeight="1">
      <x:c r="A1085" s="66" t="str">
        <x:v>SXL267</x:v>
      </x:c>
      <x:c r="B1085" s="66" t="str">
        <x:v>滨风风云瑞丰1号</x:v>
      </x:c>
      <x:c r="C1085" s="72" t="n">
        <x:v>44956</x:v>
      </x:c>
      <x:c r="D1085" s="73" t="n">
        <x:v>0.9943</x:v>
      </x:c>
      <x:c r="E1085" s="73" t="n">
        <x:v>0.9943</x:v>
      </x:c>
      <x:c r="F1085" s="73" t="n">
        <x:v>0.9943</x:v>
      </x:c>
      <x:c r="G1085" s="74" t="n">
        <x:v>-0.0005</x:v>
      </x:c>
      <x:c r="H1085" s="66" t="str">
        <x:v>滨风风云瑞丰1号净值20260911.xlsx</x:v>
      </x:c>
      <x:c r="I1085" s="73" t="str">
        <x:f>""</x:f>
      </x:c>
      <x:c r="J1085" s="74" t="str">
        <x:f>""</x:f>
      </x:c>
      <x:c r="K1085" s="73" t="str">
        <x:f>""</x:f>
      </x:c>
      <x:c r="L1085" s="74" t="str">
        <x:f>""</x:f>
      </x:c>
      <x:c r="M1085" s="73" t="n">
        <x:f>MAX(M1084,F1085)</x:f>
        <x:v>1</x:v>
      </x:c>
      <x:c r="N1085" s="74" t="n">
        <x:f>1-F1085/M1085</x:f>
        <x:v>0.005700000000000038</x:v>
      </x:c>
    </x:row>
    <x:row r="1086" ht="27" customHeight="1">
      <x:c r="A1086" s="66" t="str">
        <x:v>SXL267</x:v>
      </x:c>
      <x:c r="B1086" s="66" t="str">
        <x:v>滨风风云瑞丰1号</x:v>
      </x:c>
      <x:c r="C1086" s="72" t="n">
        <x:v>44957</x:v>
      </x:c>
      <x:c r="D1086" s="73" t="n">
        <x:v>0.9943</x:v>
      </x:c>
      <x:c r="E1086" s="73" t="n">
        <x:v>0.9943</x:v>
      </x:c>
      <x:c r="F1086" s="73" t="n">
        <x:v>0.9943</x:v>
      </x:c>
      <x:c r="G1086" s="74" t="n">
        <x:v>0</x:v>
      </x:c>
      <x:c r="H1086" s="66" t="str">
        <x:v>滨风风云瑞丰1号净值20260911.xlsx</x:v>
      </x:c>
      <x:c r="I1086" s="73" t="str">
        <x:f>""</x:f>
      </x:c>
      <x:c r="J1086" s="74" t="str">
        <x:f>""</x:f>
      </x:c>
      <x:c r="K1086" s="73" t="str">
        <x:f>""</x:f>
      </x:c>
      <x:c r="L1086" s="74" t="str">
        <x:f>""</x:f>
      </x:c>
      <x:c r="M1086" s="73" t="n">
        <x:f>MAX(M1085,F1086)</x:f>
        <x:v>1</x:v>
      </x:c>
      <x:c r="N1086" s="74" t="n">
        <x:f>1-F1086/M1086</x:f>
        <x:v>0.005700000000000038</x:v>
      </x:c>
    </x:row>
    <x:row r="1087" ht="27" customHeight="1">
      <x:c r="A1087" s="66" t="str">
        <x:v>SXL267</x:v>
      </x:c>
      <x:c r="B1087" s="66" t="str">
        <x:v>滨风风云瑞丰1号</x:v>
      </x:c>
      <x:c r="C1087" s="72" t="n">
        <x:v>44958</x:v>
      </x:c>
      <x:c r="D1087" s="73" t="n">
        <x:v>0.9943</x:v>
      </x:c>
      <x:c r="E1087" s="73" t="n">
        <x:v>0.9943</x:v>
      </x:c>
      <x:c r="F1087" s="73" t="n">
        <x:v>0.9943</x:v>
      </x:c>
      <x:c r="G1087" s="74" t="n">
        <x:v>0</x:v>
      </x:c>
      <x:c r="H1087" s="66" t="str">
        <x:v>滨风风云瑞丰1号净值20260911.xlsx</x:v>
      </x:c>
      <x:c r="I1087" s="73" t="str">
        <x:f>""</x:f>
      </x:c>
      <x:c r="J1087" s="74" t="str">
        <x:f>""</x:f>
      </x:c>
      <x:c r="K1087" s="73" t="str">
        <x:f>""</x:f>
      </x:c>
      <x:c r="L1087" s="74" t="str">
        <x:f>""</x:f>
      </x:c>
      <x:c r="M1087" s="73" t="n">
        <x:f>MAX(M1086,F1087)</x:f>
        <x:v>1</x:v>
      </x:c>
      <x:c r="N1087" s="74" t="n">
        <x:f>1-F1087/M1087</x:f>
        <x:v>0.005700000000000038</x:v>
      </x:c>
    </x:row>
    <x:row r="1088" ht="27" customHeight="1">
      <x:c r="A1088" s="66" t="str">
        <x:v>SXL267</x:v>
      </x:c>
      <x:c r="B1088" s="66" t="str">
        <x:v>滨风风云瑞丰1号</x:v>
      </x:c>
      <x:c r="C1088" s="72" t="n">
        <x:v>44959</x:v>
      </x:c>
      <x:c r="D1088" s="73" t="n">
        <x:v>0.9942</x:v>
      </x:c>
      <x:c r="E1088" s="73" t="n">
        <x:v>0.9942</x:v>
      </x:c>
      <x:c r="F1088" s="73" t="n">
        <x:v>0.9942</x:v>
      </x:c>
      <x:c r="G1088" s="74" t="n">
        <x:v>-0.0001</x:v>
      </x:c>
      <x:c r="H1088" s="66" t="str">
        <x:v>滨风风云瑞丰1号净值20260911.xlsx</x:v>
      </x:c>
      <x:c r="I1088" s="73" t="str">
        <x:f>""</x:f>
      </x:c>
      <x:c r="J1088" s="74" t="str">
        <x:f>""</x:f>
      </x:c>
      <x:c r="K1088" s="73" t="str">
        <x:f>""</x:f>
      </x:c>
      <x:c r="L1088" s="74" t="str">
        <x:f>""</x:f>
      </x:c>
      <x:c r="M1088" s="73" t="n">
        <x:f>MAX(M1087,F1088)</x:f>
        <x:v>1</x:v>
      </x:c>
      <x:c r="N1088" s="74" t="n">
        <x:f>1-F1088/M1088</x:f>
        <x:v>0.005800000000000027</x:v>
      </x:c>
    </x:row>
    <x:row r="1089" ht="27" customHeight="1">
      <x:c r="A1089" s="66" t="str">
        <x:v>SXL267</x:v>
      </x:c>
      <x:c r="B1089" s="66" t="str">
        <x:v>滨风风云瑞丰1号</x:v>
      </x:c>
      <x:c r="C1089" s="72" t="n">
        <x:v>44960</x:v>
      </x:c>
      <x:c r="D1089" s="73" t="n">
        <x:v>0.9942</x:v>
      </x:c>
      <x:c r="E1089" s="73" t="n">
        <x:v>0.9942</x:v>
      </x:c>
      <x:c r="F1089" s="73" t="n">
        <x:v>0.9942</x:v>
      </x:c>
      <x:c r="G1089" s="74" t="n">
        <x:v>0</x:v>
      </x:c>
      <x:c r="H1089" s="66" t="str">
        <x:v>滨风风云瑞丰1号净值20260911.xlsx</x:v>
      </x:c>
      <x:c r="I1089" s="73" t="str">
        <x:f>""</x:f>
      </x:c>
      <x:c r="J1089" s="74" t="str">
        <x:f>""</x:f>
      </x:c>
      <x:c r="K1089" s="73" t="str">
        <x:f>""</x:f>
      </x:c>
      <x:c r="L1089" s="74" t="str">
        <x:f>""</x:f>
      </x:c>
      <x:c r="M1089" s="73" t="n">
        <x:f>MAX(M1088,F1089)</x:f>
        <x:v>1</x:v>
      </x:c>
      <x:c r="N1089" s="74" t="n">
        <x:f>1-F1089/M1089</x:f>
        <x:v>0.005800000000000027</x:v>
      </x:c>
    </x:row>
    <x:row r="1090" ht="27" customHeight="1">
      <x:c r="A1090" s="66" t="str">
        <x:v>SXL267</x:v>
      </x:c>
      <x:c r="B1090" s="66" t="str">
        <x:v>滨风风云瑞丰1号</x:v>
      </x:c>
      <x:c r="C1090" s="72" t="n">
        <x:v>44963</x:v>
      </x:c>
      <x:c r="D1090" s="73" t="n">
        <x:v>0.994</x:v>
      </x:c>
      <x:c r="E1090" s="73" t="n">
        <x:v>0.994</x:v>
      </x:c>
      <x:c r="F1090" s="73" t="n">
        <x:v>0.994</x:v>
      </x:c>
      <x:c r="G1090" s="74" t="n">
        <x:v>-0.0002</x:v>
      </x:c>
      <x:c r="H1090" s="66" t="str">
        <x:v>滨风风云瑞丰1号净值20260911.xlsx</x:v>
      </x:c>
      <x:c r="I1090" s="73" t="str">
        <x:f>""</x:f>
      </x:c>
      <x:c r="J1090" s="74" t="str">
        <x:f>""</x:f>
      </x:c>
      <x:c r="K1090" s="73" t="str">
        <x:f>""</x:f>
      </x:c>
      <x:c r="L1090" s="74" t="str">
        <x:f>""</x:f>
      </x:c>
      <x:c r="M1090" s="73" t="n">
        <x:f>MAX(M1089,F1090)</x:f>
        <x:v>1</x:v>
      </x:c>
      <x:c r="N1090" s="74" t="n">
        <x:f>1-F1090/M1090</x:f>
        <x:v>0.006000000000000005</x:v>
      </x:c>
    </x:row>
    <x:row r="1091" ht="27" customHeight="1">
      <x:c r="A1091" s="66" t="str">
        <x:v>SXL267</x:v>
      </x:c>
      <x:c r="B1091" s="66" t="str">
        <x:v>滨风风云瑞丰1号</x:v>
      </x:c>
      <x:c r="C1091" s="72" t="n">
        <x:v>44964</x:v>
      </x:c>
      <x:c r="D1091" s="73" t="n">
        <x:v>0.994</x:v>
      </x:c>
      <x:c r="E1091" s="73" t="n">
        <x:v>0.994</x:v>
      </x:c>
      <x:c r="F1091" s="73" t="n">
        <x:v>0.994</x:v>
      </x:c>
      <x:c r="G1091" s="74" t="n">
        <x:v>0</x:v>
      </x:c>
      <x:c r="H1091" s="66" t="str">
        <x:v>滨风风云瑞丰1号净值20260911.xlsx</x:v>
      </x:c>
      <x:c r="I1091" s="73" t="str">
        <x:f>""</x:f>
      </x:c>
      <x:c r="J1091" s="74" t="str">
        <x:f>""</x:f>
      </x:c>
      <x:c r="K1091" s="73" t="str">
        <x:f>""</x:f>
      </x:c>
      <x:c r="L1091" s="74" t="str">
        <x:f>""</x:f>
      </x:c>
      <x:c r="M1091" s="73" t="n">
        <x:f>MAX(M1090,F1091)</x:f>
        <x:v>1</x:v>
      </x:c>
      <x:c r="N1091" s="74" t="n">
        <x:f>1-F1091/M1091</x:f>
        <x:v>0.006000000000000005</x:v>
      </x:c>
    </x:row>
    <x:row r="1092" ht="27" customHeight="1">
      <x:c r="A1092" s="66" t="str">
        <x:v>SXL267</x:v>
      </x:c>
      <x:c r="B1092" s="66" t="str">
        <x:v>滨风风云瑞丰1号</x:v>
      </x:c>
      <x:c r="C1092" s="72" t="n">
        <x:v>44965</x:v>
      </x:c>
      <x:c r="D1092" s="73" t="n">
        <x:v>0.9939</x:v>
      </x:c>
      <x:c r="E1092" s="73" t="n">
        <x:v>0.9939</x:v>
      </x:c>
      <x:c r="F1092" s="73" t="n">
        <x:v>0.9939</x:v>
      </x:c>
      <x:c r="G1092" s="74" t="n">
        <x:v>-0.0001</x:v>
      </x:c>
      <x:c r="H1092" s="66" t="str">
        <x:v>滨风风云瑞丰1号净值20260911.xlsx</x:v>
      </x:c>
      <x:c r="I1092" s="73" t="str">
        <x:f>""</x:f>
      </x:c>
      <x:c r="J1092" s="74" t="str">
        <x:f>""</x:f>
      </x:c>
      <x:c r="K1092" s="73" t="str">
        <x:f>""</x:f>
      </x:c>
      <x:c r="L1092" s="74" t="str">
        <x:f>""</x:f>
      </x:c>
      <x:c r="M1092" s="73" t="n">
        <x:f>MAX(M1091,F1092)</x:f>
        <x:v>1</x:v>
      </x:c>
      <x:c r="N1092" s="74" t="n">
        <x:f>1-F1092/M1092</x:f>
        <x:v>0.006099999999999994</x:v>
      </x:c>
    </x:row>
    <x:row r="1093" ht="27" customHeight="1">
      <x:c r="A1093" s="66" t="str">
        <x:v>SXL267</x:v>
      </x:c>
      <x:c r="B1093" s="66" t="str">
        <x:v>滨风风云瑞丰1号</x:v>
      </x:c>
      <x:c r="C1093" s="72" t="n">
        <x:v>44966</x:v>
      </x:c>
      <x:c r="D1093" s="73" t="n">
        <x:v>0.9939</x:v>
      </x:c>
      <x:c r="E1093" s="73" t="n">
        <x:v>0.9939</x:v>
      </x:c>
      <x:c r="F1093" s="73" t="n">
        <x:v>0.9939</x:v>
      </x:c>
      <x:c r="G1093" s="74" t="n">
        <x:v>0</x:v>
      </x:c>
      <x:c r="H1093" s="66" t="str">
        <x:v>滨风风云瑞丰1号净值20260911.xlsx</x:v>
      </x:c>
      <x:c r="I1093" s="73" t="str">
        <x:f>""</x:f>
      </x:c>
      <x:c r="J1093" s="74" t="str">
        <x:f>""</x:f>
      </x:c>
      <x:c r="K1093" s="73" t="str">
        <x:f>""</x:f>
      </x:c>
      <x:c r="L1093" s="74" t="str">
        <x:f>""</x:f>
      </x:c>
      <x:c r="M1093" s="73" t="n">
        <x:f>MAX(M1092,F1093)</x:f>
        <x:v>1</x:v>
      </x:c>
      <x:c r="N1093" s="74" t="n">
        <x:f>1-F1093/M1093</x:f>
        <x:v>0.006099999999999994</x:v>
      </x:c>
    </x:row>
    <x:row r="1094" ht="27" customHeight="1">
      <x:c r="A1094" s="66" t="str">
        <x:v>SXL267</x:v>
      </x:c>
      <x:c r="B1094" s="66" t="str">
        <x:v>滨风风云瑞丰1号</x:v>
      </x:c>
      <x:c r="C1094" s="72" t="n">
        <x:v>44967</x:v>
      </x:c>
      <x:c r="D1094" s="73" t="n">
        <x:v>0.9937</x:v>
      </x:c>
      <x:c r="E1094" s="73" t="n">
        <x:v>0.9937</x:v>
      </x:c>
      <x:c r="F1094" s="73" t="n">
        <x:v>0.9937</x:v>
      </x:c>
      <x:c r="G1094" s="74" t="n">
        <x:v>-0.0002</x:v>
      </x:c>
      <x:c r="H1094" s="66" t="str">
        <x:v>滨风风云瑞丰1号净值20260911.xlsx</x:v>
      </x:c>
      <x:c r="I1094" s="73" t="str">
        <x:f>""</x:f>
      </x:c>
      <x:c r="J1094" s="74" t="str">
        <x:f>""</x:f>
      </x:c>
      <x:c r="K1094" s="73" t="str">
        <x:f>""</x:f>
      </x:c>
      <x:c r="L1094" s="74" t="str">
        <x:f>""</x:f>
      </x:c>
      <x:c r="M1094" s="73" t="n">
        <x:f>MAX(M1093,F1094)</x:f>
        <x:v>1</x:v>
      </x:c>
      <x:c r="N1094" s="74" t="n">
        <x:f>1-F1094/M1094</x:f>
        <x:v>0.006299999999999972</x:v>
      </x:c>
    </x:row>
    <x:row r="1095" ht="27" customHeight="1">
      <x:c r="A1095" s="66" t="str">
        <x:v>SXL267</x:v>
      </x:c>
      <x:c r="B1095" s="66" t="str">
        <x:v>滨风风云瑞丰1号</x:v>
      </x:c>
      <x:c r="C1095" s="72" t="n">
        <x:v>44970</x:v>
      </x:c>
      <x:c r="D1095" s="73" t="n">
        <x:v>0.9935</x:v>
      </x:c>
      <x:c r="E1095" s="73" t="n">
        <x:v>0.9935</x:v>
      </x:c>
      <x:c r="F1095" s="73" t="n">
        <x:v>0.9935</x:v>
      </x:c>
      <x:c r="G1095" s="74" t="n">
        <x:v>-0.0002</x:v>
      </x:c>
      <x:c r="H1095" s="66" t="str">
        <x:v>滨风风云瑞丰1号净值20260911.xlsx</x:v>
      </x:c>
      <x:c r="I1095" s="73" t="str">
        <x:f>""</x:f>
      </x:c>
      <x:c r="J1095" s="74" t="str">
        <x:f>""</x:f>
      </x:c>
      <x:c r="K1095" s="73" t="str">
        <x:f>""</x:f>
      </x:c>
      <x:c r="L1095" s="74" t="str">
        <x:f>""</x:f>
      </x:c>
      <x:c r="M1095" s="73" t="n">
        <x:f>MAX(M1094,F1095)</x:f>
        <x:v>1</x:v>
      </x:c>
      <x:c r="N1095" s="74" t="n">
        <x:f>1-F1095/M1095</x:f>
        <x:v>0.00649999999999995</x:v>
      </x:c>
    </x:row>
    <x:row r="1096" ht="27" customHeight="1">
      <x:c r="A1096" s="66" t="str">
        <x:v>SXL267</x:v>
      </x:c>
      <x:c r="B1096" s="66" t="str">
        <x:v>滨风风云瑞丰1号</x:v>
      </x:c>
      <x:c r="C1096" s="72" t="n">
        <x:v>44971</x:v>
      </x:c>
      <x:c r="D1096" s="73" t="n">
        <x:v>0.9935</x:v>
      </x:c>
      <x:c r="E1096" s="73" t="n">
        <x:v>0.9935</x:v>
      </x:c>
      <x:c r="F1096" s="73" t="n">
        <x:v>0.9935</x:v>
      </x:c>
      <x:c r="G1096" s="74" t="n">
        <x:v>0</x:v>
      </x:c>
      <x:c r="H1096" s="66" t="str">
        <x:v>滨风风云瑞丰1号净值20260911.xlsx</x:v>
      </x:c>
      <x:c r="I1096" s="73" t="str">
        <x:f>""</x:f>
      </x:c>
      <x:c r="J1096" s="74" t="str">
        <x:f>""</x:f>
      </x:c>
      <x:c r="K1096" s="73" t="str">
        <x:f>""</x:f>
      </x:c>
      <x:c r="L1096" s="74" t="str">
        <x:f>""</x:f>
      </x:c>
      <x:c r="M1096" s="73" t="n">
        <x:f>MAX(M1095,F1096)</x:f>
        <x:v>1</x:v>
      </x:c>
      <x:c r="N1096" s="74" t="n">
        <x:f>1-F1096/M1096</x:f>
        <x:v>0.00649999999999995</x:v>
      </x:c>
    </x:row>
    <x:row r="1097" ht="27" customHeight="1">
      <x:c r="A1097" s="66" t="str">
        <x:v>SXL267</x:v>
      </x:c>
      <x:c r="B1097" s="66" t="str">
        <x:v>滨风风云瑞丰1号</x:v>
      </x:c>
      <x:c r="C1097" s="72" t="n">
        <x:v>44972</x:v>
      </x:c>
      <x:c r="D1097" s="73" t="n">
        <x:v>0.9934</x:v>
      </x:c>
      <x:c r="E1097" s="73" t="n">
        <x:v>0.9934</x:v>
      </x:c>
      <x:c r="F1097" s="73" t="n">
        <x:v>0.9934</x:v>
      </x:c>
      <x:c r="G1097" s="74" t="n">
        <x:v>-0.0001</x:v>
      </x:c>
      <x:c r="H1097" s="66" t="str">
        <x:v>滨风风云瑞丰1号净值20260911.xlsx</x:v>
      </x:c>
      <x:c r="I1097" s="73" t="str">
        <x:f>""</x:f>
      </x:c>
      <x:c r="J1097" s="74" t="str">
        <x:f>""</x:f>
      </x:c>
      <x:c r="K1097" s="73" t="str">
        <x:f>""</x:f>
      </x:c>
      <x:c r="L1097" s="74" t="str">
        <x:f>""</x:f>
      </x:c>
      <x:c r="M1097" s="73" t="n">
        <x:f>MAX(M1096,F1097)</x:f>
        <x:v>1</x:v>
      </x:c>
      <x:c r="N1097" s="74" t="n">
        <x:f>1-F1097/M1097</x:f>
        <x:v>0.00660000000000005</x:v>
      </x:c>
    </x:row>
    <x:row r="1098" ht="27" customHeight="1">
      <x:c r="A1098" s="66" t="str">
        <x:v>SXL267</x:v>
      </x:c>
      <x:c r="B1098" s="66" t="str">
        <x:v>滨风风云瑞丰1号</x:v>
      </x:c>
      <x:c r="C1098" s="72" t="n">
        <x:v>44973</x:v>
      </x:c>
      <x:c r="D1098" s="73" t="n">
        <x:v>0.9934</x:v>
      </x:c>
      <x:c r="E1098" s="73" t="n">
        <x:v>0.9934</x:v>
      </x:c>
      <x:c r="F1098" s="73" t="n">
        <x:v>0.9934</x:v>
      </x:c>
      <x:c r="G1098" s="74" t="n">
        <x:v>0</x:v>
      </x:c>
      <x:c r="H1098" s="66" t="str">
        <x:v>滨风风云瑞丰1号净值20260911.xlsx</x:v>
      </x:c>
      <x:c r="I1098" s="73" t="str">
        <x:f>""</x:f>
      </x:c>
      <x:c r="J1098" s="74" t="str">
        <x:f>""</x:f>
      </x:c>
      <x:c r="K1098" s="73" t="str">
        <x:f>""</x:f>
      </x:c>
      <x:c r="L1098" s="74" t="str">
        <x:f>""</x:f>
      </x:c>
      <x:c r="M1098" s="73" t="n">
        <x:f>MAX(M1097,F1098)</x:f>
        <x:v>1</x:v>
      </x:c>
      <x:c r="N1098" s="74" t="n">
        <x:f>1-F1098/M1098</x:f>
        <x:v>0.00660000000000005</x:v>
      </x:c>
    </x:row>
    <x:row r="1099" ht="27" customHeight="1">
      <x:c r="A1099" s="66" t="str">
        <x:v>SXL267</x:v>
      </x:c>
      <x:c r="B1099" s="66" t="str">
        <x:v>滨风风云瑞丰1号</x:v>
      </x:c>
      <x:c r="C1099" s="72" t="n">
        <x:v>44974</x:v>
      </x:c>
      <x:c r="D1099" s="73" t="n">
        <x:v>0.9933</x:v>
      </x:c>
      <x:c r="E1099" s="73" t="n">
        <x:v>0.9933</x:v>
      </x:c>
      <x:c r="F1099" s="73" t="n">
        <x:v>0.9933</x:v>
      </x:c>
      <x:c r="G1099" s="74" t="n">
        <x:v>-0.0001</x:v>
      </x:c>
      <x:c r="H1099" s="66" t="str">
        <x:v>滨风风云瑞丰1号净值20260911.xlsx</x:v>
      </x:c>
      <x:c r="I1099" s="73" t="str">
        <x:f>""</x:f>
      </x:c>
      <x:c r="J1099" s="74" t="str">
        <x:f>""</x:f>
      </x:c>
      <x:c r="K1099" s="73" t="str">
        <x:f>""</x:f>
      </x:c>
      <x:c r="L1099" s="74" t="str">
        <x:f>""</x:f>
      </x:c>
      <x:c r="M1099" s="73" t="n">
        <x:f>MAX(M1098,F1099)</x:f>
        <x:v>1</x:v>
      </x:c>
      <x:c r="N1099" s="74" t="n">
        <x:f>1-F1099/M1099</x:f>
        <x:v>0.006700000000000039</x:v>
      </x:c>
    </x:row>
    <x:row r="1100" ht="27" customHeight="1">
      <x:c r="A1100" s="66" t="str">
        <x:v>SXL267</x:v>
      </x:c>
      <x:c r="B1100" s="66" t="str">
        <x:v>滨风风云瑞丰1号</x:v>
      </x:c>
      <x:c r="C1100" s="72" t="n">
        <x:v>44977</x:v>
      </x:c>
      <x:c r="D1100" s="73" t="n">
        <x:v>0.9932</x:v>
      </x:c>
      <x:c r="E1100" s="73" t="n">
        <x:v>0.9932</x:v>
      </x:c>
      <x:c r="F1100" s="73" t="n">
        <x:v>0.9932</x:v>
      </x:c>
      <x:c r="G1100" s="74" t="n">
        <x:v>-0.0001</x:v>
      </x:c>
      <x:c r="H1100" s="66" t="str">
        <x:v>滨风风云瑞丰1号净值20260911.xlsx</x:v>
      </x:c>
      <x:c r="I1100" s="73" t="str">
        <x:f>""</x:f>
      </x:c>
      <x:c r="J1100" s="74" t="str">
        <x:f>""</x:f>
      </x:c>
      <x:c r="K1100" s="73" t="str">
        <x:f>""</x:f>
      </x:c>
      <x:c r="L1100" s="74" t="str">
        <x:f>""</x:f>
      </x:c>
      <x:c r="M1100" s="73" t="n">
        <x:f>MAX(M1099,F1100)</x:f>
        <x:v>1</x:v>
      </x:c>
      <x:c r="N1100" s="74" t="n">
        <x:f>1-F1100/M1100</x:f>
        <x:v>0.006800000000000028</x:v>
      </x:c>
    </x:row>
    <x:row r="1101" ht="27" customHeight="1">
      <x:c r="A1101" s="66" t="str">
        <x:v>SXL267</x:v>
      </x:c>
      <x:c r="B1101" s="66" t="str">
        <x:v>滨风风云瑞丰1号</x:v>
      </x:c>
      <x:c r="C1101" s="72" t="n">
        <x:v>44978</x:v>
      </x:c>
      <x:c r="D1101" s="73" t="n">
        <x:v>0.9932</x:v>
      </x:c>
      <x:c r="E1101" s="73" t="n">
        <x:v>0.9932</x:v>
      </x:c>
      <x:c r="F1101" s="73" t="n">
        <x:v>0.9932</x:v>
      </x:c>
      <x:c r="G1101" s="74" t="n">
        <x:v>0</x:v>
      </x:c>
      <x:c r="H1101" s="66" t="str">
        <x:v>滨风风云瑞丰1号净值20260911.xlsx</x:v>
      </x:c>
      <x:c r="I1101" s="73" t="str">
        <x:f>""</x:f>
      </x:c>
      <x:c r="J1101" s="74" t="str">
        <x:f>""</x:f>
      </x:c>
      <x:c r="K1101" s="73" t="str">
        <x:f>""</x:f>
      </x:c>
      <x:c r="L1101" s="74" t="str">
        <x:f>""</x:f>
      </x:c>
      <x:c r="M1101" s="73" t="n">
        <x:f>MAX(M1100,F1101)</x:f>
        <x:v>1</x:v>
      </x:c>
      <x:c r="N1101" s="74" t="n">
        <x:f>1-F1101/M1101</x:f>
        <x:v>0.006800000000000028</x:v>
      </x:c>
    </x:row>
    <x:row r="1102" ht="27" customHeight="1">
      <x:c r="A1102" s="66" t="str">
        <x:v>SXL267</x:v>
      </x:c>
      <x:c r="B1102" s="66" t="str">
        <x:v>滨风风云瑞丰1号</x:v>
      </x:c>
      <x:c r="C1102" s="72" t="n">
        <x:v>44979</x:v>
      </x:c>
      <x:c r="D1102" s="73" t="n">
        <x:v>0.9931</x:v>
      </x:c>
      <x:c r="E1102" s="73" t="n">
        <x:v>0.9931</x:v>
      </x:c>
      <x:c r="F1102" s="73" t="n">
        <x:v>0.9931</x:v>
      </x:c>
      <x:c r="G1102" s="74" t="n">
        <x:v>-0.0001</x:v>
      </x:c>
      <x:c r="H1102" s="66" t="str">
        <x:v>滨风风云瑞丰1号净值20260911.xlsx</x:v>
      </x:c>
      <x:c r="I1102" s="73" t="str">
        <x:f>""</x:f>
      </x:c>
      <x:c r="J1102" s="74" t="str">
        <x:f>""</x:f>
      </x:c>
      <x:c r="K1102" s="73" t="str">
        <x:f>""</x:f>
      </x:c>
      <x:c r="L1102" s="74" t="str">
        <x:f>""</x:f>
      </x:c>
      <x:c r="M1102" s="73" t="n">
        <x:f>MAX(M1101,F1102)</x:f>
        <x:v>1</x:v>
      </x:c>
      <x:c r="N1102" s="74" t="n">
        <x:f>1-F1102/M1102</x:f>
        <x:v>0.006900000000000017</x:v>
      </x:c>
    </x:row>
    <x:row r="1103" ht="27" customHeight="1">
      <x:c r="A1103" s="66" t="str">
        <x:v>SXL267</x:v>
      </x:c>
      <x:c r="B1103" s="66" t="str">
        <x:v>滨风风云瑞丰1号</x:v>
      </x:c>
      <x:c r="C1103" s="72" t="n">
        <x:v>44980</x:v>
      </x:c>
      <x:c r="D1103" s="73" t="n">
        <x:v>0.9931</x:v>
      </x:c>
      <x:c r="E1103" s="73" t="n">
        <x:v>0.9931</x:v>
      </x:c>
      <x:c r="F1103" s="73" t="n">
        <x:v>0.9931</x:v>
      </x:c>
      <x:c r="G1103" s="74" t="n">
        <x:v>0</x:v>
      </x:c>
      <x:c r="H1103" s="66" t="str">
        <x:v>滨风风云瑞丰1号净值20260911.xlsx</x:v>
      </x:c>
      <x:c r="I1103" s="73" t="str">
        <x:f>""</x:f>
      </x:c>
      <x:c r="J1103" s="74" t="str">
        <x:f>""</x:f>
      </x:c>
      <x:c r="K1103" s="73" t="str">
        <x:f>""</x:f>
      </x:c>
      <x:c r="L1103" s="74" t="str">
        <x:f>""</x:f>
      </x:c>
      <x:c r="M1103" s="73" t="n">
        <x:f>MAX(M1102,F1103)</x:f>
        <x:v>1</x:v>
      </x:c>
      <x:c r="N1103" s="74" t="n">
        <x:f>1-F1103/M1103</x:f>
        <x:v>0.006900000000000017</x:v>
      </x:c>
    </x:row>
    <x:row r="1104" ht="27" customHeight="1">
      <x:c r="A1104" s="66" t="str">
        <x:v>SXL267</x:v>
      </x:c>
      <x:c r="B1104" s="66" t="str">
        <x:v>滨风风云瑞丰1号</x:v>
      </x:c>
      <x:c r="C1104" s="72" t="n">
        <x:v>44981</x:v>
      </x:c>
      <x:c r="D1104" s="73" t="n">
        <x:v>0.993</x:v>
      </x:c>
      <x:c r="E1104" s="73" t="n">
        <x:v>0.993</x:v>
      </x:c>
      <x:c r="F1104" s="73" t="n">
        <x:v>0.993</x:v>
      </x:c>
      <x:c r="G1104" s="74" t="n">
        <x:v>-0.0001</x:v>
      </x:c>
      <x:c r="H1104" s="66" t="str">
        <x:v>滨风风云瑞丰1号净值20260911.xlsx</x:v>
      </x:c>
      <x:c r="I1104" s="73" t="str">
        <x:f>""</x:f>
      </x:c>
      <x:c r="J1104" s="74" t="str">
        <x:f>""</x:f>
      </x:c>
      <x:c r="K1104" s="73" t="str">
        <x:f>""</x:f>
      </x:c>
      <x:c r="L1104" s="74" t="str">
        <x:f>""</x:f>
      </x:c>
      <x:c r="M1104" s="73" t="n">
        <x:f>MAX(M1103,F1104)</x:f>
        <x:v>1</x:v>
      </x:c>
      <x:c r="N1104" s="74" t="n">
        <x:f>1-F1104/M1104</x:f>
        <x:v>0.007000000000000006</x:v>
      </x:c>
    </x:row>
    <x:row r="1105" ht="27" customHeight="1">
      <x:c r="A1105" s="66" t="str">
        <x:v>SXL267</x:v>
      </x:c>
      <x:c r="B1105" s="66" t="str">
        <x:v>滨风风云瑞丰1号</x:v>
      </x:c>
      <x:c r="C1105" s="72" t="n">
        <x:v>44984</x:v>
      </x:c>
      <x:c r="D1105" s="73" t="n">
        <x:v>0.9928</x:v>
      </x:c>
      <x:c r="E1105" s="73" t="n">
        <x:v>0.9928</x:v>
      </x:c>
      <x:c r="F1105" s="73" t="n">
        <x:v>0.9928</x:v>
      </x:c>
      <x:c r="G1105" s="74" t="n">
        <x:v>-0.0002</x:v>
      </x:c>
      <x:c r="H1105" s="66" t="str">
        <x:v>滨风风云瑞丰1号净值20260911.xlsx</x:v>
      </x:c>
      <x:c r="I1105" s="73" t="str">
        <x:f>""</x:f>
      </x:c>
      <x:c r="J1105" s="74" t="str">
        <x:f>""</x:f>
      </x:c>
      <x:c r="K1105" s="73" t="str">
        <x:f>""</x:f>
      </x:c>
      <x:c r="L1105" s="74" t="str">
        <x:f>""</x:f>
      </x:c>
      <x:c r="M1105" s="73" t="n">
        <x:f>MAX(M1104,F1105)</x:f>
        <x:v>1</x:v>
      </x:c>
      <x:c r="N1105" s="74" t="n">
        <x:f>1-F1105/M1105</x:f>
        <x:v>0.007199999999999984</x:v>
      </x:c>
    </x:row>
    <x:row r="1106" ht="27" customHeight="1">
      <x:c r="A1106" s="66" t="str">
        <x:v>SXL267</x:v>
      </x:c>
      <x:c r="B1106" s="66" t="str">
        <x:v>滨风风云瑞丰1号</x:v>
      </x:c>
      <x:c r="C1106" s="72" t="n">
        <x:v>44985</x:v>
      </x:c>
      <x:c r="D1106" s="73" t="n">
        <x:v>0.9938</x:v>
      </x:c>
      <x:c r="E1106" s="73" t="n">
        <x:v>0.9938</x:v>
      </x:c>
      <x:c r="F1106" s="73" t="n">
        <x:v>0.9938</x:v>
      </x:c>
      <x:c r="G1106" s="74" t="n">
        <x:v>0.001</x:v>
      </x:c>
      <x:c r="H1106" s="66" t="str">
        <x:v>滨风风云瑞丰1号净值20260911.xlsx</x:v>
      </x:c>
      <x:c r="I1106" s="73" t="str">
        <x:f>""</x:f>
      </x:c>
      <x:c r="J1106" s="74" t="str">
        <x:f>""</x:f>
      </x:c>
      <x:c r="K1106" s="73" t="str">
        <x:f>""</x:f>
      </x:c>
      <x:c r="L1106" s="74" t="str">
        <x:f>""</x:f>
      </x:c>
      <x:c r="M1106" s="73" t="n">
        <x:f>MAX(M1105,F1106)</x:f>
        <x:v>1</x:v>
      </x:c>
      <x:c r="N1106" s="74" t="n">
        <x:f>1-F1106/M1106</x:f>
        <x:v>0.006199999999999983</x:v>
      </x:c>
    </x:row>
    <x:row r="1107" ht="27" customHeight="1">
      <x:c r="A1107" s="66" t="str">
        <x:v>SXL267</x:v>
      </x:c>
      <x:c r="B1107" s="66" t="str">
        <x:v>滨风风云瑞丰1号</x:v>
      </x:c>
      <x:c r="C1107" s="72" t="n">
        <x:v>44986</x:v>
      </x:c>
      <x:c r="D1107" s="73" t="n">
        <x:v>0.9977</x:v>
      </x:c>
      <x:c r="E1107" s="73" t="n">
        <x:v>0.9977</x:v>
      </x:c>
      <x:c r="F1107" s="73" t="n">
        <x:v>0.9977</x:v>
      </x:c>
      <x:c r="G1107" s="74" t="n">
        <x:v>0.0039000000000000003</x:v>
      </x:c>
      <x:c r="H1107" s="66" t="str">
        <x:v>滨风风云瑞丰1号净值20260911.xlsx</x:v>
      </x:c>
      <x:c r="I1107" s="73" t="str">
        <x:f>""</x:f>
      </x:c>
      <x:c r="J1107" s="74" t="str">
        <x:f>""</x:f>
      </x:c>
      <x:c r="K1107" s="73" t="str">
        <x:f>""</x:f>
      </x:c>
      <x:c r="L1107" s="74" t="str">
        <x:f>""</x:f>
      </x:c>
      <x:c r="M1107" s="73" t="n">
        <x:f>MAX(M1106,F1107)</x:f>
        <x:v>1</x:v>
      </x:c>
      <x:c r="N1107" s="74" t="n">
        <x:f>1-F1107/M1107</x:f>
        <x:v>0.0022999999999999687</x:v>
      </x:c>
    </x:row>
    <x:row r="1108" ht="27" customHeight="1">
      <x:c r="A1108" s="66" t="str">
        <x:v>SXL267</x:v>
      </x:c>
      <x:c r="B1108" s="66" t="str">
        <x:v>滨风风云瑞丰1号</x:v>
      </x:c>
      <x:c r="C1108" s="72" t="n">
        <x:v>44987</x:v>
      </x:c>
      <x:c r="D1108" s="73" t="n">
        <x:v>0.9943</x:v>
      </x:c>
      <x:c r="E1108" s="73" t="n">
        <x:v>0.9943</x:v>
      </x:c>
      <x:c r="F1108" s="73" t="n">
        <x:v>0.9943</x:v>
      </x:c>
      <x:c r="G1108" s="74" t="n">
        <x:v>-0.0034000000000000002</x:v>
      </x:c>
      <x:c r="H1108" s="66" t="str">
        <x:v>滨风风云瑞丰1号净值20260911.xlsx</x:v>
      </x:c>
      <x:c r="I1108" s="73" t="str">
        <x:f>""</x:f>
      </x:c>
      <x:c r="J1108" s="74" t="str">
        <x:f>""</x:f>
      </x:c>
      <x:c r="K1108" s="73" t="str">
        <x:f>""</x:f>
      </x:c>
      <x:c r="L1108" s="74" t="str">
        <x:f>""</x:f>
      </x:c>
      <x:c r="M1108" s="73" t="n">
        <x:f>MAX(M1107,F1108)</x:f>
        <x:v>1</x:v>
      </x:c>
      <x:c r="N1108" s="74" t="n">
        <x:f>1-F1108/M1108</x:f>
        <x:v>0.005700000000000038</x:v>
      </x:c>
    </x:row>
    <x:row r="1109" ht="27" customHeight="1">
      <x:c r="A1109" s="66" t="str">
        <x:v>SXL267</x:v>
      </x:c>
      <x:c r="B1109" s="66" t="str">
        <x:v>滨风风云瑞丰1号</x:v>
      </x:c>
      <x:c r="C1109" s="72" t="n">
        <x:v>44988</x:v>
      </x:c>
      <x:c r="D1109" s="73" t="n">
        <x:v>0.9966</x:v>
      </x:c>
      <x:c r="E1109" s="73" t="n">
        <x:v>0.9966</x:v>
      </x:c>
      <x:c r="F1109" s="73" t="n">
        <x:v>0.9966</x:v>
      </x:c>
      <x:c r="G1109" s="74" t="n">
        <x:v>0.0023</x:v>
      </x:c>
      <x:c r="H1109" s="66" t="str">
        <x:v>滨风风云瑞丰1号净值20260911.xlsx</x:v>
      </x:c>
      <x:c r="I1109" s="73" t="str">
        <x:f>""</x:f>
      </x:c>
      <x:c r="J1109" s="74" t="str">
        <x:f>""</x:f>
      </x:c>
      <x:c r="K1109" s="73" t="str">
        <x:f>""</x:f>
      </x:c>
      <x:c r="L1109" s="74" t="str">
        <x:f>""</x:f>
      </x:c>
      <x:c r="M1109" s="73" t="n">
        <x:f>MAX(M1108,F1109)</x:f>
        <x:v>1</x:v>
      </x:c>
      <x:c r="N1109" s="74" t="n">
        <x:f>1-F1109/M1109</x:f>
        <x:v>0.0033999999999999586</x:v>
      </x:c>
    </x:row>
    <x:row r="1110" ht="27" customHeight="1">
      <x:c r="A1110" s="66" t="str">
        <x:v>SXL267</x:v>
      </x:c>
      <x:c r="B1110" s="66" t="str">
        <x:v>滨风风云瑞丰1号</x:v>
      </x:c>
      <x:c r="C1110" s="72" t="n">
        <x:v>44991</x:v>
      </x:c>
      <x:c r="D1110" s="73" t="n">
        <x:v>0.9983</x:v>
      </x:c>
      <x:c r="E1110" s="73" t="n">
        <x:v>0.9983</x:v>
      </x:c>
      <x:c r="F1110" s="73" t="n">
        <x:v>0.9983</x:v>
      </x:c>
      <x:c r="G1110" s="74" t="n">
        <x:v>0.0017000000000000001</x:v>
      </x:c>
      <x:c r="H1110" s="66" t="str">
        <x:v>滨风风云瑞丰1号净值20260911.xlsx</x:v>
      </x:c>
      <x:c r="I1110" s="73" t="str">
        <x:f>""</x:f>
      </x:c>
      <x:c r="J1110" s="74" t="str">
        <x:f>""</x:f>
      </x:c>
      <x:c r="K1110" s="73" t="str">
        <x:f>""</x:f>
      </x:c>
      <x:c r="L1110" s="74" t="str">
        <x:f>""</x:f>
      </x:c>
      <x:c r="M1110" s="73" t="n">
        <x:f>MAX(M1109,F1110)</x:f>
        <x:v>1</x:v>
      </x:c>
      <x:c r="N1110" s="74" t="n">
        <x:f>1-F1110/M1110</x:f>
        <x:v>0.0017000000000000348</x:v>
      </x:c>
    </x:row>
    <x:row r="1111" ht="27" customHeight="1">
      <x:c r="A1111" s="66" t="str">
        <x:v>SXL267</x:v>
      </x:c>
      <x:c r="B1111" s="66" t="str">
        <x:v>滨风风云瑞丰1号</x:v>
      </x:c>
      <x:c r="C1111" s="72" t="n">
        <x:v>44992</x:v>
      </x:c>
      <x:c r="D1111" s="73" t="n">
        <x:v>0.9948</x:v>
      </x:c>
      <x:c r="E1111" s="73" t="n">
        <x:v>0.9948</x:v>
      </x:c>
      <x:c r="F1111" s="73" t="n">
        <x:v>0.9948</x:v>
      </x:c>
      <x:c r="G1111" s="74" t="n">
        <x:v>-0.0034999999999999996</x:v>
      </x:c>
      <x:c r="H1111" s="66" t="str">
        <x:v>滨风风云瑞丰1号净值20260911.xlsx</x:v>
      </x:c>
      <x:c r="I1111" s="73" t="str">
        <x:f>""</x:f>
      </x:c>
      <x:c r="J1111" s="74" t="str">
        <x:f>""</x:f>
      </x:c>
      <x:c r="K1111" s="73" t="str">
        <x:f>""</x:f>
      </x:c>
      <x:c r="L1111" s="74" t="str">
        <x:f>""</x:f>
      </x:c>
      <x:c r="M1111" s="73" t="n">
        <x:f>MAX(M1110,F1111)</x:f>
        <x:v>1</x:v>
      </x:c>
      <x:c r="N1111" s="74" t="n">
        <x:f>1-F1111/M1111</x:f>
        <x:v>0.005199999999999982</x:v>
      </x:c>
    </x:row>
    <x:row r="1112" ht="27" customHeight="1">
      <x:c r="A1112" s="66" t="str">
        <x:v>SXL267</x:v>
      </x:c>
      <x:c r="B1112" s="66" t="str">
        <x:v>滨风风云瑞丰1号</x:v>
      </x:c>
      <x:c r="C1112" s="72" t="n">
        <x:v>44993</x:v>
      </x:c>
      <x:c r="D1112" s="73" t="n">
        <x:v>0.9938</x:v>
      </x:c>
      <x:c r="E1112" s="73" t="n">
        <x:v>0.9938</x:v>
      </x:c>
      <x:c r="F1112" s="73" t="n">
        <x:v>0.9938</x:v>
      </x:c>
      <x:c r="G1112" s="74" t="n">
        <x:v>-0.001</x:v>
      </x:c>
      <x:c r="H1112" s="66" t="str">
        <x:v>滨风风云瑞丰1号净值20260911.xlsx</x:v>
      </x:c>
      <x:c r="I1112" s="73" t="str">
        <x:f>""</x:f>
      </x:c>
      <x:c r="J1112" s="74" t="str">
        <x:f>""</x:f>
      </x:c>
      <x:c r="K1112" s="73" t="str">
        <x:f>""</x:f>
      </x:c>
      <x:c r="L1112" s="74" t="str">
        <x:f>""</x:f>
      </x:c>
      <x:c r="M1112" s="73" t="n">
        <x:f>MAX(M1111,F1112)</x:f>
        <x:v>1</x:v>
      </x:c>
      <x:c r="N1112" s="74" t="n">
        <x:f>1-F1112/M1112</x:f>
        <x:v>0.006199999999999983</x:v>
      </x:c>
    </x:row>
    <x:row r="1113" ht="27" customHeight="1">
      <x:c r="A1113" s="66" t="str">
        <x:v>SXL267</x:v>
      </x:c>
      <x:c r="B1113" s="66" t="str">
        <x:v>滨风风云瑞丰1号</x:v>
      </x:c>
      <x:c r="C1113" s="72" t="n">
        <x:v>44994</x:v>
      </x:c>
      <x:c r="D1113" s="73" t="n">
        <x:v>0.994</x:v>
      </x:c>
      <x:c r="E1113" s="73" t="n">
        <x:v>0.994</x:v>
      </x:c>
      <x:c r="F1113" s="73" t="n">
        <x:v>0.994</x:v>
      </x:c>
      <x:c r="G1113" s="74" t="n">
        <x:v>0.0002</x:v>
      </x:c>
      <x:c r="H1113" s="66" t="str">
        <x:v>滨风风云瑞丰1号净值20260911.xlsx</x:v>
      </x:c>
      <x:c r="I1113" s="73" t="str">
        <x:f>""</x:f>
      </x:c>
      <x:c r="J1113" s="74" t="str">
        <x:f>""</x:f>
      </x:c>
      <x:c r="K1113" s="73" t="str">
        <x:f>""</x:f>
      </x:c>
      <x:c r="L1113" s="74" t="str">
        <x:f>""</x:f>
      </x:c>
      <x:c r="M1113" s="73" t="n">
        <x:f>MAX(M1112,F1113)</x:f>
        <x:v>1</x:v>
      </x:c>
      <x:c r="N1113" s="74" t="n">
        <x:f>1-F1113/M1113</x:f>
        <x:v>0.006000000000000005</x:v>
      </x:c>
    </x:row>
    <x:row r="1114" ht="27" customHeight="1">
      <x:c r="A1114" s="66" t="str">
        <x:v>SXL267</x:v>
      </x:c>
      <x:c r="B1114" s="66" t="str">
        <x:v>滨风风云瑞丰1号</x:v>
      </x:c>
      <x:c r="C1114" s="72" t="n">
        <x:v>44995</x:v>
      </x:c>
      <x:c r="D1114" s="73" t="n">
        <x:v>1.0013</x:v>
      </x:c>
      <x:c r="E1114" s="73" t="n">
        <x:v>1.0013</x:v>
      </x:c>
      <x:c r="F1114" s="73" t="n">
        <x:v>1.0013</x:v>
      </x:c>
      <x:c r="G1114" s="74" t="n">
        <x:v>0.0073</x:v>
      </x:c>
      <x:c r="H1114" s="66" t="str">
        <x:v>滨风风云瑞丰1号净值20260911.xlsx</x:v>
      </x:c>
      <x:c r="I1114" s="73" t="str">
        <x:f>""</x:f>
      </x:c>
      <x:c r="J1114" s="74" t="str">
        <x:f>""</x:f>
      </x:c>
      <x:c r="K1114" s="73" t="str">
        <x:f>""</x:f>
      </x:c>
      <x:c r="L1114" s="74" t="str">
        <x:f>""</x:f>
      </x:c>
      <x:c r="M1114" s="73" t="n">
        <x:f>MAX(M1113,F1114)</x:f>
        <x:v>1.0013</x:v>
      </x:c>
      <x:c r="N1114" s="74" t="n">
        <x:f>1-F1114/M1114</x:f>
        <x:v>0</x:v>
      </x:c>
    </x:row>
    <x:row r="1115" ht="27" customHeight="1">
      <x:c r="A1115" s="66" t="str">
        <x:v>SXL267</x:v>
      </x:c>
      <x:c r="B1115" s="66" t="str">
        <x:v>滨风风云瑞丰1号</x:v>
      </x:c>
      <x:c r="C1115" s="72" t="n">
        <x:v>44998</x:v>
      </x:c>
      <x:c r="D1115" s="73" t="n">
        <x:v>0.9985</x:v>
      </x:c>
      <x:c r="E1115" s="73" t="n">
        <x:v>0.9985</x:v>
      </x:c>
      <x:c r="F1115" s="73" t="n">
        <x:v>0.9985</x:v>
      </x:c>
      <x:c r="G1115" s="74" t="n">
        <x:v>-0.0028000000000000004</x:v>
      </x:c>
      <x:c r="H1115" s="66" t="str">
        <x:v>滨风风云瑞丰1号净值20260911.xlsx</x:v>
      </x:c>
      <x:c r="I1115" s="73" t="str">
        <x:f>""</x:f>
      </x:c>
      <x:c r="J1115" s="74" t="str">
        <x:f>""</x:f>
      </x:c>
      <x:c r="K1115" s="73" t="str">
        <x:f>""</x:f>
      </x:c>
      <x:c r="L1115" s="74" t="str">
        <x:f>""</x:f>
      </x:c>
      <x:c r="M1115" s="73" t="n">
        <x:f>MAX(M1114,F1115)</x:f>
        <x:v>1.0013</x:v>
      </x:c>
      <x:c r="N1115" s="74" t="n">
        <x:f>1-F1115/M1115</x:f>
        <x:v>0.002796364725856426</x:v>
      </x:c>
    </x:row>
    <x:row r="1116" ht="27" customHeight="1">
      <x:c r="A1116" s="66" t="str">
        <x:v>SXL267</x:v>
      </x:c>
      <x:c r="B1116" s="66" t="str">
        <x:v>滨风风云瑞丰1号</x:v>
      </x:c>
      <x:c r="C1116" s="72" t="n">
        <x:v>44999</x:v>
      </x:c>
      <x:c r="D1116" s="73" t="n">
        <x:v>0.9911</x:v>
      </x:c>
      <x:c r="E1116" s="73" t="n">
        <x:v>0.9911</x:v>
      </x:c>
      <x:c r="F1116" s="73" t="n">
        <x:v>0.9911</x:v>
      </x:c>
      <x:c r="G1116" s="74" t="n">
        <x:v>-0.0074</x:v>
      </x:c>
      <x:c r="H1116" s="66" t="str">
        <x:v>滨风风云瑞丰1号净值20260911.xlsx</x:v>
      </x:c>
      <x:c r="I1116" s="73" t="str">
        <x:f>""</x:f>
      </x:c>
      <x:c r="J1116" s="74" t="str">
        <x:f>""</x:f>
      </x:c>
      <x:c r="K1116" s="73" t="str">
        <x:f>""</x:f>
      </x:c>
      <x:c r="L1116" s="74" t="str">
        <x:f>""</x:f>
      </x:c>
      <x:c r="M1116" s="73" t="n">
        <x:f>MAX(M1115,F1116)</x:f>
        <x:v>1.0013</x:v>
      </x:c>
      <x:c r="N1116" s="74" t="n">
        <x:f>1-F1116/M1116</x:f>
        <x:v>0.01018675721561979</x:v>
      </x:c>
    </x:row>
    <x:row r="1117" ht="27" customHeight="1">
      <x:c r="A1117" s="66" t="str">
        <x:v>SXL267</x:v>
      </x:c>
      <x:c r="B1117" s="66" t="str">
        <x:v>滨风风云瑞丰1号</x:v>
      </x:c>
      <x:c r="C1117" s="72" t="n">
        <x:v>45000</x:v>
      </x:c>
      <x:c r="D1117" s="73" t="n">
        <x:v>0.9895</x:v>
      </x:c>
      <x:c r="E1117" s="73" t="n">
        <x:v>0.9895</x:v>
      </x:c>
      <x:c r="F1117" s="73" t="n">
        <x:v>0.9895</x:v>
      </x:c>
      <x:c r="G1117" s="74" t="n">
        <x:v>-0.0016</x:v>
      </x:c>
      <x:c r="H1117" s="66" t="str">
        <x:v>滨风风云瑞丰1号净值20260911.xlsx</x:v>
      </x:c>
      <x:c r="I1117" s="73" t="str">
        <x:f>""</x:f>
      </x:c>
      <x:c r="J1117" s="74" t="str">
        <x:f>""</x:f>
      </x:c>
      <x:c r="K1117" s="73" t="str">
        <x:f>""</x:f>
      </x:c>
      <x:c r="L1117" s="74" t="str">
        <x:f>""</x:f>
      </x:c>
      <x:c r="M1117" s="73" t="n">
        <x:f>MAX(M1116,F1117)</x:f>
        <x:v>1.0013</x:v>
      </x:c>
      <x:c r="N1117" s="74" t="n">
        <x:f>1-F1117/M1117</x:f>
        <x:v>0.011784679916109098</x:v>
      </x:c>
    </x:row>
    <x:row r="1118" ht="27" customHeight="1">
      <x:c r="A1118" s="66" t="str">
        <x:v>SXL267</x:v>
      </x:c>
      <x:c r="B1118" s="66" t="str">
        <x:v>滨风风云瑞丰1号</x:v>
      </x:c>
      <x:c r="C1118" s="72" t="n">
        <x:v>45001</x:v>
      </x:c>
      <x:c r="D1118" s="73" t="n">
        <x:v>0.9747</x:v>
      </x:c>
      <x:c r="E1118" s="73" t="n">
        <x:v>0.9747</x:v>
      </x:c>
      <x:c r="F1118" s="73" t="n">
        <x:v>0.9747</x:v>
      </x:c>
      <x:c r="G1118" s="74" t="n">
        <x:v>-0.015</x:v>
      </x:c>
      <x:c r="H1118" s="66" t="str">
        <x:v>滨风风云瑞丰1号净值20260911.xlsx</x:v>
      </x:c>
      <x:c r="I1118" s="73" t="str">
        <x:f>""</x:f>
      </x:c>
      <x:c r="J1118" s="74" t="str">
        <x:f>""</x:f>
      </x:c>
      <x:c r="K1118" s="73" t="str">
        <x:f>""</x:f>
      </x:c>
      <x:c r="L1118" s="74" t="str">
        <x:f>""</x:f>
      </x:c>
      <x:c r="M1118" s="73" t="n">
        <x:f>MAX(M1117,F1118)</x:f>
        <x:v>1.0013</x:v>
      </x:c>
      <x:c r="N1118" s="74" t="n">
        <x:f>1-F1118/M1118</x:f>
        <x:v>0.026565464895635715</x:v>
      </x:c>
    </x:row>
    <x:row r="1119" ht="27" customHeight="1">
      <x:c r="A1119" s="66" t="str">
        <x:v>SXL267</x:v>
      </x:c>
      <x:c r="B1119" s="66" t="str">
        <x:v>滨风风云瑞丰1号</x:v>
      </x:c>
      <x:c r="C1119" s="72" t="n">
        <x:v>45002</x:v>
      </x:c>
      <x:c r="D1119" s="73" t="n">
        <x:v>0.9666</x:v>
      </x:c>
      <x:c r="E1119" s="73" t="n">
        <x:v>0.9666</x:v>
      </x:c>
      <x:c r="F1119" s="73" t="n">
        <x:v>0.9666</x:v>
      </x:c>
      <x:c r="G1119" s="74" t="n">
        <x:v>-0.0083</x:v>
      </x:c>
      <x:c r="H1119" s="66" t="str">
        <x:v>滨风风云瑞丰1号净值20260911.xlsx</x:v>
      </x:c>
      <x:c r="I1119" s="73" t="str">
        <x:f>""</x:f>
      </x:c>
      <x:c r="J1119" s="74" t="str">
        <x:f>""</x:f>
      </x:c>
      <x:c r="K1119" s="73" t="str">
        <x:f>""</x:f>
      </x:c>
      <x:c r="L1119" s="74" t="str">
        <x:f>""</x:f>
      </x:c>
      <x:c r="M1119" s="73" t="n">
        <x:f>MAX(M1118,F1119)</x:f>
        <x:v>1.0013</x:v>
      </x:c>
      <x:c r="N1119" s="74" t="n">
        <x:f>1-F1119/M1119</x:f>
        <x:v>0.03465494856686313</x:v>
      </x:c>
    </x:row>
    <x:row r="1120" ht="27" customHeight="1">
      <x:c r="A1120" s="66" t="str">
        <x:v>SXL267</x:v>
      </x:c>
      <x:c r="B1120" s="66" t="str">
        <x:v>滨风风云瑞丰1号</x:v>
      </x:c>
      <x:c r="C1120" s="72" t="n">
        <x:v>45005</x:v>
      </x:c>
      <x:c r="D1120" s="73" t="n">
        <x:v>0.9548</x:v>
      </x:c>
      <x:c r="E1120" s="73" t="n">
        <x:v>0.9548</x:v>
      </x:c>
      <x:c r="F1120" s="73" t="n">
        <x:v>0.9548</x:v>
      </x:c>
      <x:c r="G1120" s="74" t="n">
        <x:v>-0.012199999999999999</x:v>
      </x:c>
      <x:c r="H1120" s="66" t="str">
        <x:v>滨风风云瑞丰1号净值20260911.xlsx</x:v>
      </x:c>
      <x:c r="I1120" s="73" t="str">
        <x:f>""</x:f>
      </x:c>
      <x:c r="J1120" s="74" t="str">
        <x:f>""</x:f>
      </x:c>
      <x:c r="K1120" s="73" t="str">
        <x:f>""</x:f>
      </x:c>
      <x:c r="L1120" s="74" t="str">
        <x:f>""</x:f>
      </x:c>
      <x:c r="M1120" s="73" t="n">
        <x:f>MAX(M1119,F1120)</x:f>
        <x:v>1.0013</x:v>
      </x:c>
      <x:c r="N1120" s="74" t="n">
        <x:f>1-F1120/M1120</x:f>
        <x:v>0.04643962848297223</x:v>
      </x:c>
    </x:row>
    <x:row r="1121" ht="27" customHeight="1">
      <x:c r="A1121" s="66" t="str">
        <x:v>SXL267</x:v>
      </x:c>
      <x:c r="B1121" s="66" t="str">
        <x:v>滨风风云瑞丰1号</x:v>
      </x:c>
      <x:c r="C1121" s="72" t="n">
        <x:v>45006</x:v>
      </x:c>
      <x:c r="D1121" s="73" t="n">
        <x:v>0.9547</x:v>
      </x:c>
      <x:c r="E1121" s="73" t="n">
        <x:v>0.9547</x:v>
      </x:c>
      <x:c r="F1121" s="73" t="n">
        <x:v>0.9547</x:v>
      </x:c>
      <x:c r="G1121" s="74" t="n">
        <x:v>-0.0001</x:v>
      </x:c>
      <x:c r="H1121" s="66" t="str">
        <x:v>滨风风云瑞丰1号净值20260911.xlsx</x:v>
      </x:c>
      <x:c r="I1121" s="73" t="str">
        <x:f>""</x:f>
      </x:c>
      <x:c r="J1121" s="74" t="str">
        <x:f>""</x:f>
      </x:c>
      <x:c r="K1121" s="73" t="str">
        <x:f>""</x:f>
      </x:c>
      <x:c r="L1121" s="74" t="str">
        <x:f>""</x:f>
      </x:c>
      <x:c r="M1121" s="73" t="n">
        <x:f>MAX(M1120,F1121)</x:f>
        <x:v>1.0013</x:v>
      </x:c>
      <x:c r="N1121" s="74" t="n">
        <x:f>1-F1121/M1121</x:f>
        <x:v>0.046539498651752775</x:v>
      </x:c>
    </x:row>
    <x:row r="1122" ht="27" customHeight="1">
      <x:c r="A1122" s="66" t="str">
        <x:v>SXL267</x:v>
      </x:c>
      <x:c r="B1122" s="66" t="str">
        <x:v>滨风风云瑞丰1号</x:v>
      </x:c>
      <x:c r="C1122" s="72" t="n">
        <x:v>45007</x:v>
      </x:c>
      <x:c r="D1122" s="73" t="n">
        <x:v>0.9534</x:v>
      </x:c>
      <x:c r="E1122" s="73" t="n">
        <x:v>0.9534</x:v>
      </x:c>
      <x:c r="F1122" s="73" t="n">
        <x:v>0.9534</x:v>
      </x:c>
      <x:c r="G1122" s="74" t="n">
        <x:v>-0.0014000000000000002</x:v>
      </x:c>
      <x:c r="H1122" s="66" t="str">
        <x:v>滨风风云瑞丰1号净值20260911.xlsx</x:v>
      </x:c>
      <x:c r="I1122" s="73" t="str">
        <x:f>""</x:f>
      </x:c>
      <x:c r="J1122" s="74" t="str">
        <x:f>""</x:f>
      </x:c>
      <x:c r="K1122" s="73" t="str">
        <x:f>""</x:f>
      </x:c>
      <x:c r="L1122" s="74" t="str">
        <x:f>""</x:f>
      </x:c>
      <x:c r="M1122" s="73" t="n">
        <x:f>MAX(M1121,F1122)</x:f>
        <x:v>1.0013</x:v>
      </x:c>
      <x:c r="N1122" s="74" t="n">
        <x:f>1-F1122/M1122</x:f>
        <x:v>0.04783781084590033</x:v>
      </x:c>
    </x:row>
    <x:row r="1123" ht="27" customHeight="1">
      <x:c r="A1123" s="66" t="str">
        <x:v>SXL267</x:v>
      </x:c>
      <x:c r="B1123" s="66" t="str">
        <x:v>滨风风云瑞丰1号</x:v>
      </x:c>
      <x:c r="C1123" s="72" t="n">
        <x:v>45008</x:v>
      </x:c>
      <x:c r="D1123" s="73" t="n">
        <x:v>0.9528</x:v>
      </x:c>
      <x:c r="E1123" s="73" t="n">
        <x:v>0.9528</x:v>
      </x:c>
      <x:c r="F1123" s="73" t="n">
        <x:v>0.9528</x:v>
      </x:c>
      <x:c r="G1123" s="74" t="n">
        <x:v>-0.0006</x:v>
      </x:c>
      <x:c r="H1123" s="66" t="str">
        <x:v>滨风风云瑞丰1号净值20260911.xlsx</x:v>
      </x:c>
      <x:c r="I1123" s="73" t="str">
        <x:f>""</x:f>
      </x:c>
      <x:c r="J1123" s="74" t="str">
        <x:f>""</x:f>
      </x:c>
      <x:c r="K1123" s="73" t="str">
        <x:f>""</x:f>
      </x:c>
      <x:c r="L1123" s="74" t="str">
        <x:f>""</x:f>
      </x:c>
      <x:c r="M1123" s="73" t="n">
        <x:f>MAX(M1122,F1123)</x:f>
        <x:v>1.0013</x:v>
      </x:c>
      <x:c r="N1123" s="74" t="n">
        <x:f>1-F1123/M1123</x:f>
        <x:v>0.048437031858583945</x:v>
      </x:c>
    </x:row>
    <x:row r="1124" ht="27" customHeight="1">
      <x:c r="A1124" s="66" t="str">
        <x:v>SXL267</x:v>
      </x:c>
      <x:c r="B1124" s="66" t="str">
        <x:v>滨风风云瑞丰1号</x:v>
      </x:c>
      <x:c r="C1124" s="72" t="n">
        <x:v>45009</x:v>
      </x:c>
      <x:c r="D1124" s="73" t="n">
        <x:v>0.9573</x:v>
      </x:c>
      <x:c r="E1124" s="73" t="n">
        <x:v>0.9573</x:v>
      </x:c>
      <x:c r="F1124" s="73" t="n">
        <x:v>0.9573</x:v>
      </x:c>
      <x:c r="G1124" s="74" t="n">
        <x:v>0.004699999999999999</x:v>
      </x:c>
      <x:c r="H1124" s="66" t="str">
        <x:v>滨风风云瑞丰1号净值20260911.xlsx</x:v>
      </x:c>
      <x:c r="I1124" s="73" t="str">
        <x:f>""</x:f>
      </x:c>
      <x:c r="J1124" s="74" t="str">
        <x:f>""</x:f>
      </x:c>
      <x:c r="K1124" s="73" t="str">
        <x:f>""</x:f>
      </x:c>
      <x:c r="L1124" s="74" t="str">
        <x:f>""</x:f>
      </x:c>
      <x:c r="M1124" s="73" t="n">
        <x:f>MAX(M1123,F1124)</x:f>
        <x:v>1.0013</x:v>
      </x:c>
      <x:c r="N1124" s="74" t="n">
        <x:f>1-F1124/M1124</x:f>
        <x:v>0.043942874263457554</x:v>
      </x:c>
    </x:row>
    <x:row r="1125" ht="27" customHeight="1">
      <x:c r="A1125" s="66" t="str">
        <x:v>SXL267</x:v>
      </x:c>
      <x:c r="B1125" s="66" t="str">
        <x:v>滨风风云瑞丰1号</x:v>
      </x:c>
      <x:c r="C1125" s="72" t="n">
        <x:v>45012</x:v>
      </x:c>
      <x:c r="D1125" s="73" t="n">
        <x:v>0.9649</x:v>
      </x:c>
      <x:c r="E1125" s="73" t="n">
        <x:v>0.9649</x:v>
      </x:c>
      <x:c r="F1125" s="73" t="n">
        <x:v>0.9649</x:v>
      </x:c>
      <x:c r="G1125" s="74" t="n">
        <x:v>0.0079</x:v>
      </x:c>
      <x:c r="H1125" s="66" t="str">
        <x:v>滨风风云瑞丰1号净值20260911.xlsx</x:v>
      </x:c>
      <x:c r="I1125" s="73" t="str">
        <x:f>""</x:f>
      </x:c>
      <x:c r="J1125" s="74" t="str">
        <x:f>""</x:f>
      </x:c>
      <x:c r="K1125" s="73" t="str">
        <x:f>""</x:f>
      </x:c>
      <x:c r="L1125" s="74" t="str">
        <x:f>""</x:f>
      </x:c>
      <x:c r="M1125" s="73" t="n">
        <x:f>MAX(M1124,F1125)</x:f>
        <x:v>1.0013</x:v>
      </x:c>
      <x:c r="N1125" s="74" t="n">
        <x:f>1-F1125/M1125</x:f>
        <x:v>0.036352741436133096</x:v>
      </x:c>
    </x:row>
    <x:row r="1126" ht="27" customHeight="1">
      <x:c r="A1126" s="66" t="str">
        <x:v>SXL267</x:v>
      </x:c>
      <x:c r="B1126" s="66" t="str">
        <x:v>滨风风云瑞丰1号</x:v>
      </x:c>
      <x:c r="C1126" s="72" t="n">
        <x:v>45013</x:v>
      </x:c>
      <x:c r="D1126" s="73" t="n">
        <x:v>0.9647</x:v>
      </x:c>
      <x:c r="E1126" s="73" t="n">
        <x:v>0.9647</x:v>
      </x:c>
      <x:c r="F1126" s="73" t="n">
        <x:v>0.9647</x:v>
      </x:c>
      <x:c r="G1126" s="74" t="n">
        <x:v>-0.0002</x:v>
      </x:c>
      <x:c r="H1126" s="66" t="str">
        <x:v>滨风风云瑞丰1号净值20260911.xlsx</x:v>
      </x:c>
      <x:c r="I1126" s="73" t="str">
        <x:f>""</x:f>
      </x:c>
      <x:c r="J1126" s="74" t="str">
        <x:f>""</x:f>
      </x:c>
      <x:c r="K1126" s="73" t="str">
        <x:f>""</x:f>
      </x:c>
      <x:c r="L1126" s="74" t="str">
        <x:f>""</x:f>
      </x:c>
      <x:c r="M1126" s="73" t="n">
        <x:f>MAX(M1125,F1126)</x:f>
        <x:v>1.0013</x:v>
      </x:c>
      <x:c r="N1126" s="74" t="n">
        <x:f>1-F1126/M1126</x:f>
        <x:v>0.0365524817736943</x:v>
      </x:c>
    </x:row>
    <x:row r="1127" ht="27" customHeight="1">
      <x:c r="A1127" s="66" t="str">
        <x:v>SXL267</x:v>
      </x:c>
      <x:c r="B1127" s="66" t="str">
        <x:v>滨风风云瑞丰1号</x:v>
      </x:c>
      <x:c r="C1127" s="72" t="n">
        <x:v>45014</x:v>
      </x:c>
      <x:c r="D1127" s="73" t="n">
        <x:v>0.9688</x:v>
      </x:c>
      <x:c r="E1127" s="73" t="n">
        <x:v>0.9688</x:v>
      </x:c>
      <x:c r="F1127" s="73" t="n">
        <x:v>0.9688</x:v>
      </x:c>
      <x:c r="G1127" s="74" t="n">
        <x:v>0.0043</x:v>
      </x:c>
      <x:c r="H1127" s="66" t="str">
        <x:v>滨风风云瑞丰1号净值20260911.xlsx</x:v>
      </x:c>
      <x:c r="I1127" s="73" t="str">
        <x:f>""</x:f>
      </x:c>
      <x:c r="J1127" s="74" t="str">
        <x:f>""</x:f>
      </x:c>
      <x:c r="K1127" s="73" t="str">
        <x:f>""</x:f>
      </x:c>
      <x:c r="L1127" s="74" t="str">
        <x:f>""</x:f>
      </x:c>
      <x:c r="M1127" s="73" t="n">
        <x:f>MAX(M1126,F1127)</x:f>
        <x:v>1.0013</x:v>
      </x:c>
      <x:c r="N1127" s="74" t="n">
        <x:f>1-F1127/M1127</x:f>
        <x:v>0.03245780485369032</x:v>
      </x:c>
    </x:row>
    <x:row r="1128" ht="27" customHeight="1">
      <x:c r="A1128" s="66" t="str">
        <x:v>SXL267</x:v>
      </x:c>
      <x:c r="B1128" s="66" t="str">
        <x:v>滨风风云瑞丰1号</x:v>
      </x:c>
      <x:c r="C1128" s="72" t="n">
        <x:v>45015</x:v>
      </x:c>
      <x:c r="D1128" s="73" t="n">
        <x:v>0.9741</x:v>
      </x:c>
      <x:c r="E1128" s="73" t="n">
        <x:v>0.9741</x:v>
      </x:c>
      <x:c r="F1128" s="73" t="n">
        <x:v>0.9741</x:v>
      </x:c>
      <x:c r="G1128" s="74" t="n">
        <x:v>0.0055000000000000005</x:v>
      </x:c>
      <x:c r="H1128" s="66" t="str">
        <x:v>滨风风云瑞丰1号净值20260911.xlsx</x:v>
      </x:c>
      <x:c r="I1128" s="73" t="str">
        <x:f>""</x:f>
      </x:c>
      <x:c r="J1128" s="74" t="str">
        <x:f>""</x:f>
      </x:c>
      <x:c r="K1128" s="73" t="str">
        <x:f>""</x:f>
      </x:c>
      <x:c r="L1128" s="74" t="str">
        <x:f>""</x:f>
      </x:c>
      <x:c r="M1128" s="73" t="n">
        <x:f>MAX(M1127,F1128)</x:f>
        <x:v>1.0013</x:v>
      </x:c>
      <x:c r="N1128" s="74" t="n">
        <x:f>1-F1128/M1128</x:f>
        <x:v>0.02716468590831933</x:v>
      </x:c>
    </x:row>
    <x:row r="1129" ht="27" customHeight="1">
      <x:c r="A1129" s="66" t="str">
        <x:v>SXL267</x:v>
      </x:c>
      <x:c r="B1129" s="66" t="str">
        <x:v>滨风风云瑞丰1号</x:v>
      </x:c>
      <x:c r="C1129" s="72" t="n">
        <x:v>45016</x:v>
      </x:c>
      <x:c r="D1129" s="73" t="n">
        <x:v>0.9785</x:v>
      </x:c>
      <x:c r="E1129" s="73" t="n">
        <x:v>0.9785</x:v>
      </x:c>
      <x:c r="F1129" s="73" t="n">
        <x:v>0.9785</x:v>
      </x:c>
      <x:c r="G1129" s="74" t="n">
        <x:v>0.0045000000000000005</x:v>
      </x:c>
      <x:c r="H1129" s="66" t="str">
        <x:v>滨风风云瑞丰1号净值20260911.xlsx</x:v>
      </x:c>
      <x:c r="I1129" s="73" t="str">
        <x:f>""</x:f>
      </x:c>
      <x:c r="J1129" s="74" t="str">
        <x:f>""</x:f>
      </x:c>
      <x:c r="K1129" s="73" t="str">
        <x:f>""</x:f>
      </x:c>
      <x:c r="L1129" s="74" t="str">
        <x:f>""</x:f>
      </x:c>
      <x:c r="M1129" s="73" t="n">
        <x:f>MAX(M1128,F1129)</x:f>
        <x:v>1.0013</x:v>
      </x:c>
      <x:c r="N1129" s="74" t="n">
        <x:f>1-F1129/M1129</x:f>
        <x:v>0.022770398481973486</x:v>
      </x:c>
    </x:row>
    <x:row r="1130" ht="27" customHeight="1">
      <x:c r="A1130" s="66" t="str">
        <x:v>SXL267</x:v>
      </x:c>
      <x:c r="B1130" s="66" t="str">
        <x:v>滨风风云瑞丰1号</x:v>
      </x:c>
      <x:c r="C1130" s="72" t="n">
        <x:v>45019</x:v>
      </x:c>
      <x:c r="D1130" s="73" t="n">
        <x:v>0.9773</x:v>
      </x:c>
      <x:c r="E1130" s="73" t="n">
        <x:v>0.9773</x:v>
      </x:c>
      <x:c r="F1130" s="73" t="n">
        <x:v>0.9773</x:v>
      </x:c>
      <x:c r="G1130" s="74" t="n">
        <x:v>-0.0012</x:v>
      </x:c>
      <x:c r="H1130" s="66" t="str">
        <x:v>滨风风云瑞丰1号净值20260911.xlsx</x:v>
      </x:c>
      <x:c r="I1130" s="73" t="str">
        <x:f>""</x:f>
      </x:c>
      <x:c r="J1130" s="74" t="str">
        <x:f>""</x:f>
      </x:c>
      <x:c r="K1130" s="73" t="str">
        <x:f>""</x:f>
      </x:c>
      <x:c r="L1130" s="74" t="str">
        <x:f>""</x:f>
      </x:c>
      <x:c r="M1130" s="73" t="n">
        <x:f>MAX(M1129,F1130)</x:f>
        <x:v>1.0013</x:v>
      </x:c>
      <x:c r="N1130" s="74" t="n">
        <x:f>1-F1130/M1130</x:f>
        <x:v>0.023968840507340605</x:v>
      </x:c>
    </x:row>
    <x:row r="1131" ht="27" customHeight="1">
      <x:c r="A1131" s="66" t="str">
        <x:v>SXL267</x:v>
      </x:c>
      <x:c r="B1131" s="66" t="str">
        <x:v>滨风风云瑞丰1号</x:v>
      </x:c>
      <x:c r="C1131" s="72" t="n">
        <x:v>45020</x:v>
      </x:c>
      <x:c r="D1131" s="73" t="n">
        <x:v>0.9866</x:v>
      </x:c>
      <x:c r="E1131" s="73" t="n">
        <x:v>0.9866</x:v>
      </x:c>
      <x:c r="F1131" s="73" t="n">
        <x:v>0.9866</x:v>
      </x:c>
      <x:c r="G1131" s="74" t="n">
        <x:v>0.0095</x:v>
      </x:c>
      <x:c r="H1131" s="66" t="str">
        <x:v>滨风风云瑞丰1号净值20260911.xlsx</x:v>
      </x:c>
      <x:c r="I1131" s="73" t="str">
        <x:f>""</x:f>
      </x:c>
      <x:c r="J1131" s="74" t="str">
        <x:f>""</x:f>
      </x:c>
      <x:c r="K1131" s="73" t="str">
        <x:f>""</x:f>
      </x:c>
      <x:c r="L1131" s="74" t="str">
        <x:f>""</x:f>
      </x:c>
      <x:c r="M1131" s="73" t="n">
        <x:f>MAX(M1130,F1131)</x:f>
        <x:v>1.0013</x:v>
      </x:c>
      <x:c r="N1131" s="74" t="n">
        <x:f>1-F1131/M1131</x:f>
        <x:v>0.01468091481074607</x:v>
      </x:c>
    </x:row>
    <x:row r="1132" ht="27" customHeight="1">
      <x:c r="A1132" s="66" t="str">
        <x:v>SXL267</x:v>
      </x:c>
      <x:c r="B1132" s="66" t="str">
        <x:v>滨风风云瑞丰1号</x:v>
      </x:c>
      <x:c r="C1132" s="72" t="n">
        <x:v>45022</x:v>
      </x:c>
      <x:c r="D1132" s="73" t="n">
        <x:v>0.9984</x:v>
      </x:c>
      <x:c r="E1132" s="73" t="n">
        <x:v>0.9984</x:v>
      </x:c>
      <x:c r="F1132" s="73" t="n">
        <x:v>0.9984</x:v>
      </x:c>
      <x:c r="G1132" s="74" t="n">
        <x:v>0.012</x:v>
      </x:c>
      <x:c r="H1132" s="66" t="str">
        <x:v>滨风风云瑞丰1号净值20260911.xlsx</x:v>
      </x:c>
      <x:c r="I1132" s="73" t="str">
        <x:f>""</x:f>
      </x:c>
      <x:c r="J1132" s="74" t="str">
        <x:f>""</x:f>
      </x:c>
      <x:c r="K1132" s="73" t="str">
        <x:f>""</x:f>
      </x:c>
      <x:c r="L1132" s="74" t="str">
        <x:f>""</x:f>
      </x:c>
      <x:c r="M1132" s="73" t="n">
        <x:f>MAX(M1131,F1132)</x:f>
        <x:v>1.0013</x:v>
      </x:c>
      <x:c r="N1132" s="74" t="n">
        <x:f>1-F1132/M1132</x:f>
        <x:v>0.002896234894637084</x:v>
      </x:c>
    </x:row>
    <x:row r="1133" ht="27" customHeight="1">
      <x:c r="A1133" s="66" t="str">
        <x:v>SXL267</x:v>
      </x:c>
      <x:c r="B1133" s="66" t="str">
        <x:v>滨风风云瑞丰1号</x:v>
      </x:c>
      <x:c r="C1133" s="72" t="n">
        <x:v>45023</x:v>
      </x:c>
      <x:c r="D1133" s="73" t="n">
        <x:v>1.0042</x:v>
      </x:c>
      <x:c r="E1133" s="73" t="n">
        <x:v>1.0042</x:v>
      </x:c>
      <x:c r="F1133" s="73" t="n">
        <x:v>1.0042</x:v>
      </x:c>
      <x:c r="G1133" s="74" t="n">
        <x:v>0.0058</x:v>
      </x:c>
      <x:c r="H1133" s="66" t="str">
        <x:v>滨风风云瑞丰1号净值20260911.xlsx</x:v>
      </x:c>
      <x:c r="I1133" s="73" t="str">
        <x:f>""</x:f>
      </x:c>
      <x:c r="J1133" s="74" t="str">
        <x:f>""</x:f>
      </x:c>
      <x:c r="K1133" s="73" t="str">
        <x:f>""</x:f>
      </x:c>
      <x:c r="L1133" s="74" t="str">
        <x:f>""</x:f>
      </x:c>
      <x:c r="M1133" s="73" t="n">
        <x:f>MAX(M1132,F1133)</x:f>
        <x:v>1.0042</x:v>
      </x:c>
      <x:c r="N1133" s="74" t="n">
        <x:f>1-F1133/M1133</x:f>
        <x:v>0</x:v>
      </x:c>
    </x:row>
    <x:row r="1134" ht="27" customHeight="1">
      <x:c r="A1134" s="66" t="str">
        <x:v>SXL267</x:v>
      </x:c>
      <x:c r="B1134" s="66" t="str">
        <x:v>滨风风云瑞丰1号</x:v>
      </x:c>
      <x:c r="C1134" s="72" t="n">
        <x:v>45026</x:v>
      </x:c>
      <x:c r="D1134" s="73" t="n">
        <x:v>1.0081</x:v>
      </x:c>
      <x:c r="E1134" s="73" t="n">
        <x:v>1.0081</x:v>
      </x:c>
      <x:c r="F1134" s="73" t="n">
        <x:v>1.0081</x:v>
      </x:c>
      <x:c r="G1134" s="74" t="n">
        <x:v>0.0039000000000000003</x:v>
      </x:c>
      <x:c r="H1134" s="66" t="str">
        <x:v>滨风风云瑞丰1号净值20260911.xlsx</x:v>
      </x:c>
      <x:c r="I1134" s="73" t="str">
        <x:f>""</x:f>
      </x:c>
      <x:c r="J1134" s="74" t="str">
        <x:f>""</x:f>
      </x:c>
      <x:c r="K1134" s="73" t="str">
        <x:f>""</x:f>
      </x:c>
      <x:c r="L1134" s="74" t="str">
        <x:f>""</x:f>
      </x:c>
      <x:c r="M1134" s="73" t="n">
        <x:f>MAX(M1133,F1134)</x:f>
        <x:v>1.0081</x:v>
      </x:c>
      <x:c r="N1134" s="74" t="n">
        <x:f>1-F1134/M1134</x:f>
        <x:v>0</x:v>
      </x:c>
    </x:row>
    <x:row r="1135" ht="27" customHeight="1">
      <x:c r="A1135" s="66" t="str">
        <x:v>SXL267</x:v>
      </x:c>
      <x:c r="B1135" s="66" t="str">
        <x:v>滨风风云瑞丰1号</x:v>
      </x:c>
      <x:c r="C1135" s="72" t="n">
        <x:v>45027</x:v>
      </x:c>
      <x:c r="D1135" s="73" t="n">
        <x:v>1.004</x:v>
      </x:c>
      <x:c r="E1135" s="73" t="n">
        <x:v>1.004</x:v>
      </x:c>
      <x:c r="F1135" s="73" t="n">
        <x:v>1.004</x:v>
      </x:c>
      <x:c r="G1135" s="74" t="n">
        <x:v>-0.0040999999999999995</x:v>
      </x:c>
      <x:c r="H1135" s="66" t="str">
        <x:v>滨风风云瑞丰1号净值20260911.xlsx</x:v>
      </x:c>
      <x:c r="I1135" s="73" t="str">
        <x:f>""</x:f>
      </x:c>
      <x:c r="J1135" s="74" t="str">
        <x:f>""</x:f>
      </x:c>
      <x:c r="K1135" s="73" t="str">
        <x:f>""</x:f>
      </x:c>
      <x:c r="L1135" s="74" t="str">
        <x:f>""</x:f>
      </x:c>
      <x:c r="M1135" s="73" t="n">
        <x:f>MAX(M1134,F1135)</x:f>
        <x:v>1.0081</x:v>
      </x:c>
      <x:c r="N1135" s="74" t="n">
        <x:f>1-F1135/M1135</x:f>
        <x:v>0.004067056839599292</x:v>
      </x:c>
    </x:row>
    <x:row r="1136" ht="27" customHeight="1">
      <x:c r="A1136" s="66" t="str">
        <x:v>SXL267</x:v>
      </x:c>
      <x:c r="B1136" s="66" t="str">
        <x:v>滨风风云瑞丰1号</x:v>
      </x:c>
      <x:c r="C1136" s="72" t="n">
        <x:v>45028</x:v>
      </x:c>
      <x:c r="D1136" s="73" t="n">
        <x:v>1.0032</x:v>
      </x:c>
      <x:c r="E1136" s="73" t="n">
        <x:v>1.0032</x:v>
      </x:c>
      <x:c r="F1136" s="73" t="n">
        <x:v>1.0032</x:v>
      </x:c>
      <x:c r="G1136" s="74" t="n">
        <x:v>-0.0008</x:v>
      </x:c>
      <x:c r="H1136" s="66" t="str">
        <x:v>滨风风云瑞丰1号净值20260911.xlsx</x:v>
      </x:c>
      <x:c r="I1136" s="73" t="str">
        <x:f>""</x:f>
      </x:c>
      <x:c r="J1136" s="74" t="str">
        <x:f>""</x:f>
      </x:c>
      <x:c r="K1136" s="73" t="str">
        <x:f>""</x:f>
      </x:c>
      <x:c r="L1136" s="74" t="str">
        <x:f>""</x:f>
      </x:c>
      <x:c r="M1136" s="73" t="n">
        <x:f>MAX(M1135,F1136)</x:f>
        <x:v>1.0081</x:v>
      </x:c>
      <x:c r="N1136" s="74" t="n">
        <x:f>1-F1136/M1136</x:f>
        <x:v>0.004860628905862474</x:v>
      </x:c>
    </x:row>
    <x:row r="1137" ht="27" customHeight="1">
      <x:c r="A1137" s="66" t="str">
        <x:v>SXL267</x:v>
      </x:c>
      <x:c r="B1137" s="66" t="str">
        <x:v>滨风风云瑞丰1号</x:v>
      </x:c>
      <x:c r="C1137" s="72" t="n">
        <x:v>45029</x:v>
      </x:c>
      <x:c r="D1137" s="73" t="n">
        <x:v>1.0077</x:v>
      </x:c>
      <x:c r="E1137" s="73" t="n">
        <x:v>1.0077</x:v>
      </x:c>
      <x:c r="F1137" s="73" t="n">
        <x:v>1.0077</x:v>
      </x:c>
      <x:c r="G1137" s="74" t="n">
        <x:v>0.0045000000000000005</x:v>
      </x:c>
      <x:c r="H1137" s="66" t="str">
        <x:v>滨风风云瑞丰1号净值20260911.xlsx</x:v>
      </x:c>
      <x:c r="I1137" s="73" t="str">
        <x:f>""</x:f>
      </x:c>
      <x:c r="J1137" s="74" t="str">
        <x:f>""</x:f>
      </x:c>
      <x:c r="K1137" s="73" t="str">
        <x:f>""</x:f>
      </x:c>
      <x:c r="L1137" s="74" t="str">
        <x:f>""</x:f>
      </x:c>
      <x:c r="M1137" s="73" t="n">
        <x:f>MAX(M1136,F1137)</x:f>
        <x:v>1.0081</x:v>
      </x:c>
      <x:c r="N1137" s="74" t="n">
        <x:f>1-F1137/M1137</x:f>
        <x:v>0.0003967860331315354</x:v>
      </x:c>
    </x:row>
    <x:row r="1138" ht="27" customHeight="1">
      <x:c r="A1138" s="66" t="str">
        <x:v>SXL267</x:v>
      </x:c>
      <x:c r="B1138" s="66" t="str">
        <x:v>滨风风云瑞丰1号</x:v>
      </x:c>
      <x:c r="C1138" s="72" t="n">
        <x:v>45030</x:v>
      </x:c>
      <x:c r="D1138" s="73" t="n">
        <x:v>1.0182</x:v>
      </x:c>
      <x:c r="E1138" s="73" t="n">
        <x:v>1.0182</x:v>
      </x:c>
      <x:c r="F1138" s="73" t="n">
        <x:v>1.0182</x:v>
      </x:c>
      <x:c r="G1138" s="74" t="n">
        <x:v>0.0104</x:v>
      </x:c>
      <x:c r="H1138" s="66" t="str">
        <x:v>滨风风云瑞丰1号净值20260911.xlsx</x:v>
      </x:c>
      <x:c r="I1138" s="73" t="str">
        <x:f>""</x:f>
      </x:c>
      <x:c r="J1138" s="74" t="str">
        <x:f>""</x:f>
      </x:c>
      <x:c r="K1138" s="73" t="str">
        <x:f>""</x:f>
      </x:c>
      <x:c r="L1138" s="74" t="str">
        <x:f>""</x:f>
      </x:c>
      <x:c r="M1138" s="73" t="n">
        <x:f>MAX(M1137,F1138)</x:f>
        <x:v>1.0182</x:v>
      </x:c>
      <x:c r="N1138" s="74" t="n">
        <x:f>1-F1138/M1138</x:f>
        <x:v>0</x:v>
      </x:c>
    </x:row>
    <x:row r="1139" ht="27" customHeight="1">
      <x:c r="A1139" s="66" t="str">
        <x:v>SXL267</x:v>
      </x:c>
      <x:c r="B1139" s="66" t="str">
        <x:v>滨风风云瑞丰1号</x:v>
      </x:c>
      <x:c r="C1139" s="72" t="n">
        <x:v>45033</x:v>
      </x:c>
      <x:c r="D1139" s="73" t="n">
        <x:v>1.0189</x:v>
      </x:c>
      <x:c r="E1139" s="73" t="n">
        <x:v>1.0189</x:v>
      </x:c>
      <x:c r="F1139" s="73" t="n">
        <x:v>1.0189</x:v>
      </x:c>
      <x:c r="G1139" s="74" t="n">
        <x:v>0.0007000000000000001</x:v>
      </x:c>
      <x:c r="H1139" s="66" t="str">
        <x:v>滨风风云瑞丰1号净值20260911.xlsx</x:v>
      </x:c>
      <x:c r="I1139" s="73" t="str">
        <x:f>""</x:f>
      </x:c>
      <x:c r="J1139" s="74" t="str">
        <x:f>""</x:f>
      </x:c>
      <x:c r="K1139" s="73" t="str">
        <x:f>""</x:f>
      </x:c>
      <x:c r="L1139" s="74" t="str">
        <x:f>""</x:f>
      </x:c>
      <x:c r="M1139" s="73" t="n">
        <x:f>MAX(M1138,F1139)</x:f>
        <x:v>1.0189</x:v>
      </x:c>
      <x:c r="N1139" s="74" t="n">
        <x:f>1-F1139/M1139</x:f>
        <x:v>0</x:v>
      </x:c>
    </x:row>
    <x:row r="1140" ht="27" customHeight="1">
      <x:c r="A1140" s="66" t="str">
        <x:v>SXL267</x:v>
      </x:c>
      <x:c r="B1140" s="66" t="str">
        <x:v>滨风风云瑞丰1号</x:v>
      </x:c>
      <x:c r="C1140" s="72" t="n">
        <x:v>45034</x:v>
      </x:c>
      <x:c r="D1140" s="73" t="n">
        <x:v>1.0168</x:v>
      </x:c>
      <x:c r="E1140" s="73" t="n">
        <x:v>1.0168</x:v>
      </x:c>
      <x:c r="F1140" s="73" t="n">
        <x:v>1.0168</x:v>
      </x:c>
      <x:c r="G1140" s="74" t="n">
        <x:v>-0.0021</x:v>
      </x:c>
      <x:c r="H1140" s="66" t="str">
        <x:v>滨风风云瑞丰1号净值20260911.xlsx</x:v>
      </x:c>
      <x:c r="I1140" s="73" t="str">
        <x:f>""</x:f>
      </x:c>
      <x:c r="J1140" s="74" t="str">
        <x:f>""</x:f>
      </x:c>
      <x:c r="K1140" s="73" t="str">
        <x:f>""</x:f>
      </x:c>
      <x:c r="L1140" s="74" t="str">
        <x:f>""</x:f>
      </x:c>
      <x:c r="M1140" s="73" t="n">
        <x:f>MAX(M1139,F1140)</x:f>
        <x:v>1.0189</x:v>
      </x:c>
      <x:c r="N1140" s="74" t="n">
        <x:f>1-F1140/M1140</x:f>
        <x:v>0.002061046226322527</x:v>
      </x:c>
    </x:row>
    <x:row r="1141" ht="27" customHeight="1">
      <x:c r="A1141" s="66" t="str">
        <x:v>SXL267</x:v>
      </x:c>
      <x:c r="B1141" s="66" t="str">
        <x:v>滨风风云瑞丰1号</x:v>
      </x:c>
      <x:c r="C1141" s="72" t="n">
        <x:v>45035</x:v>
      </x:c>
      <x:c r="D1141" s="73" t="n">
        <x:v>1.0154</x:v>
      </x:c>
      <x:c r="E1141" s="73" t="n">
        <x:v>1.0154</x:v>
      </x:c>
      <x:c r="F1141" s="73" t="n">
        <x:v>1.0154</x:v>
      </x:c>
      <x:c r="G1141" s="74" t="n">
        <x:v>-0.0014000000000000002</x:v>
      </x:c>
      <x:c r="H1141" s="66" t="str">
        <x:v>滨风风云瑞丰1号净值20260911.xlsx</x:v>
      </x:c>
      <x:c r="I1141" s="73" t="str">
        <x:f>""</x:f>
      </x:c>
      <x:c r="J1141" s="74" t="str">
        <x:f>""</x:f>
      </x:c>
      <x:c r="K1141" s="73" t="str">
        <x:f>""</x:f>
      </x:c>
      <x:c r="L1141" s="74" t="str">
        <x:f>""</x:f>
      </x:c>
      <x:c r="M1141" s="73" t="n">
        <x:f>MAX(M1140,F1141)</x:f>
        <x:v>1.0189</x:v>
      </x:c>
      <x:c r="N1141" s="74" t="n">
        <x:f>1-F1141/M1141</x:f>
        <x:v>0.0034350770438706935</x:v>
      </x:c>
    </x:row>
    <x:row r="1142" ht="27" customHeight="1">
      <x:c r="A1142" s="66" t="str">
        <x:v>SXL267</x:v>
      </x:c>
      <x:c r="B1142" s="66" t="str">
        <x:v>滨风风云瑞丰1号</x:v>
      </x:c>
      <x:c r="C1142" s="72" t="n">
        <x:v>45036</x:v>
      </x:c>
      <x:c r="D1142" s="73" t="n">
        <x:v>1.0179</x:v>
      </x:c>
      <x:c r="E1142" s="73" t="n">
        <x:v>1.0179</x:v>
      </x:c>
      <x:c r="F1142" s="73" t="n">
        <x:v>1.0179</x:v>
      </x:c>
      <x:c r="G1142" s="74" t="n">
        <x:v>0.0025</x:v>
      </x:c>
      <x:c r="H1142" s="66" t="str">
        <x:v>滨风风云瑞丰1号净值20260911.xlsx</x:v>
      </x:c>
      <x:c r="I1142" s="73" t="str">
        <x:f>""</x:f>
      </x:c>
      <x:c r="J1142" s="74" t="str">
        <x:f>""</x:f>
      </x:c>
      <x:c r="K1142" s="73" t="str">
        <x:f>""</x:f>
      </x:c>
      <x:c r="L1142" s="74" t="str">
        <x:f>""</x:f>
      </x:c>
      <x:c r="M1142" s="73" t="n">
        <x:f>MAX(M1141,F1142)</x:f>
        <x:v>1.0189</x:v>
      </x:c>
      <x:c r="N1142" s="74" t="n">
        <x:f>1-F1142/M1142</x:f>
        <x:v>0.0009814505839630394</x:v>
      </x:c>
    </x:row>
    <x:row r="1143" ht="27" customHeight="1">
      <x:c r="A1143" s="66" t="str">
        <x:v>SXL267</x:v>
      </x:c>
      <x:c r="B1143" s="66" t="str">
        <x:v>滨风风云瑞丰1号</x:v>
      </x:c>
      <x:c r="C1143" s="72" t="n">
        <x:v>45037</x:v>
      </x:c>
      <x:c r="D1143" s="73" t="n">
        <x:v>1.0346</x:v>
      </x:c>
      <x:c r="E1143" s="73" t="n">
        <x:v>1.0346</x:v>
      </x:c>
      <x:c r="F1143" s="73" t="n">
        <x:v>1.0346</x:v>
      </x:c>
      <x:c r="G1143" s="74" t="n">
        <x:v>0.016399999999999998</x:v>
      </x:c>
      <x:c r="H1143" s="66" t="str">
        <x:v>滨风风云瑞丰1号净值20260911.xlsx</x:v>
      </x:c>
      <x:c r="I1143" s="73" t="str">
        <x:f>""</x:f>
      </x:c>
      <x:c r="J1143" s="74" t="str">
        <x:f>""</x:f>
      </x:c>
      <x:c r="K1143" s="73" t="str">
        <x:f>""</x:f>
      </x:c>
      <x:c r="L1143" s="74" t="str">
        <x:f>""</x:f>
      </x:c>
      <x:c r="M1143" s="73" t="n">
        <x:f>MAX(M1142,F1143)</x:f>
        <x:v>1.0346</x:v>
      </x:c>
      <x:c r="N1143" s="74" t="n">
        <x:f>1-F1143/M1143</x:f>
        <x:v>0</x:v>
      </x:c>
    </x:row>
    <x:row r="1144" ht="27" customHeight="1">
      <x:c r="A1144" s="66" t="str">
        <x:v>SXL267</x:v>
      </x:c>
      <x:c r="B1144" s="66" t="str">
        <x:v>滨风风云瑞丰1号</x:v>
      </x:c>
      <x:c r="C1144" s="72" t="n">
        <x:v>45040</x:v>
      </x:c>
      <x:c r="D1144" s="73" t="n">
        <x:v>1.0243</x:v>
      </x:c>
      <x:c r="E1144" s="73" t="n">
        <x:v>1.0243</x:v>
      </x:c>
      <x:c r="F1144" s="73" t="n">
        <x:v>1.0243</x:v>
      </x:c>
      <x:c r="G1144" s="74" t="n">
        <x:v>-0.01</x:v>
      </x:c>
      <x:c r="H1144" s="66" t="str">
        <x:v>滨风风云瑞丰1号净值20260911.xlsx</x:v>
      </x:c>
      <x:c r="I1144" s="73" t="str">
        <x:f>""</x:f>
      </x:c>
      <x:c r="J1144" s="74" t="str">
        <x:f>""</x:f>
      </x:c>
      <x:c r="K1144" s="73" t="str">
        <x:f>""</x:f>
      </x:c>
      <x:c r="L1144" s="74" t="str">
        <x:f>""</x:f>
      </x:c>
      <x:c r="M1144" s="73" t="n">
        <x:f>MAX(M1143,F1144)</x:f>
        <x:v>1.0346</x:v>
      </x:c>
      <x:c r="N1144" s="74" t="n">
        <x:f>1-F1144/M1144</x:f>
        <x:v>0.009955538372317774</x:v>
      </x:c>
    </x:row>
    <x:row r="1145" ht="27" customHeight="1">
      <x:c r="A1145" s="66" t="str">
        <x:v>SXL267</x:v>
      </x:c>
      <x:c r="B1145" s="66" t="str">
        <x:v>滨风风云瑞丰1号</x:v>
      </x:c>
      <x:c r="C1145" s="72" t="n">
        <x:v>45041</x:v>
      </x:c>
      <x:c r="D1145" s="73" t="n">
        <x:v>1.0113</x:v>
      </x:c>
      <x:c r="E1145" s="73" t="n">
        <x:v>1.0113</x:v>
      </x:c>
      <x:c r="F1145" s="73" t="n">
        <x:v>1.0113</x:v>
      </x:c>
      <x:c r="G1145" s="74" t="n">
        <x:v>-0.0127</x:v>
      </x:c>
      <x:c r="H1145" s="66" t="str">
        <x:v>滨风风云瑞丰1号净值20260911.xlsx</x:v>
      </x:c>
      <x:c r="I1145" s="73" t="str">
        <x:f>""</x:f>
      </x:c>
      <x:c r="J1145" s="74" t="str">
        <x:f>""</x:f>
      </x:c>
      <x:c r="K1145" s="73" t="str">
        <x:f>""</x:f>
      </x:c>
      <x:c r="L1145" s="74" t="str">
        <x:f>""</x:f>
      </x:c>
      <x:c r="M1145" s="73" t="n">
        <x:f>MAX(M1144,F1145)</x:f>
        <x:v>1.0346</x:v>
      </x:c>
      <x:c r="N1145" s="74" t="n">
        <x:f>1-F1145/M1145</x:f>
        <x:v>0.022520780978155686</x:v>
      </x:c>
    </x:row>
    <x:row r="1146" ht="27" customHeight="1">
      <x:c r="A1146" s="66" t="str">
        <x:v>SXL267</x:v>
      </x:c>
      <x:c r="B1146" s="66" t="str">
        <x:v>滨风风云瑞丰1号</x:v>
      </x:c>
      <x:c r="C1146" s="72" t="n">
        <x:v>45042</x:v>
      </x:c>
      <x:c r="D1146" s="73" t="n">
        <x:v>1.0065</x:v>
      </x:c>
      <x:c r="E1146" s="73" t="n">
        <x:v>1.0065</x:v>
      </x:c>
      <x:c r="F1146" s="73" t="n">
        <x:v>1.0065</x:v>
      </x:c>
      <x:c r="G1146" s="74" t="n">
        <x:v>-0.004699999999999999</x:v>
      </x:c>
      <x:c r="H1146" s="66" t="str">
        <x:v>滨风风云瑞丰1号净值20260911.xlsx</x:v>
      </x:c>
      <x:c r="I1146" s="73" t="str">
        <x:f>""</x:f>
      </x:c>
      <x:c r="J1146" s="74" t="str">
        <x:f>""</x:f>
      </x:c>
      <x:c r="K1146" s="73" t="str">
        <x:f>""</x:f>
      </x:c>
      <x:c r="L1146" s="74" t="str">
        <x:f>""</x:f>
      </x:c>
      <x:c r="M1146" s="73" t="n">
        <x:f>MAX(M1145,F1146)</x:f>
        <x:v>1.0346</x:v>
      </x:c>
      <x:c r="N1146" s="74" t="n">
        <x:f>1-F1146/M1146</x:f>
        <x:v>0.02716025517108067</x:v>
      </x:c>
    </x:row>
    <x:row r="1147" ht="27" customHeight="1">
      <x:c r="A1147" s="66" t="str">
        <x:v>SXL267</x:v>
      </x:c>
      <x:c r="B1147" s="66" t="str">
        <x:v>滨风风云瑞丰1号</x:v>
      </x:c>
      <x:c r="C1147" s="72" t="n">
        <x:v>45043</x:v>
      </x:c>
      <x:c r="D1147" s="73" t="n">
        <x:v>1.0094</x:v>
      </x:c>
      <x:c r="E1147" s="73" t="n">
        <x:v>1.0094</x:v>
      </x:c>
      <x:c r="F1147" s="73" t="n">
        <x:v>1.0094</x:v>
      </x:c>
      <x:c r="G1147" s="74" t="n">
        <x:v>0.0029</x:v>
      </x:c>
      <x:c r="H1147" s="66" t="str">
        <x:v>滨风风云瑞丰1号净值20260911.xlsx</x:v>
      </x:c>
      <x:c r="I1147" s="73" t="str">
        <x:f>""</x:f>
      </x:c>
      <x:c r="J1147" s="74" t="str">
        <x:f>""</x:f>
      </x:c>
      <x:c r="K1147" s="73" t="str">
        <x:f>""</x:f>
      </x:c>
      <x:c r="L1147" s="74" t="str">
        <x:f>""</x:f>
      </x:c>
      <x:c r="M1147" s="73" t="n">
        <x:f>MAX(M1146,F1147)</x:f>
        <x:v>1.0346</x:v>
      </x:c>
      <x:c r="N1147" s="74" t="n">
        <x:f>1-F1147/M1147</x:f>
        <x:v>0.024357239512855067</x:v>
      </x:c>
    </x:row>
    <x:row r="1148" ht="27" customHeight="1">
      <x:c r="A1148" s="66" t="str">
        <x:v>SXL267</x:v>
      </x:c>
      <x:c r="B1148" s="66" t="str">
        <x:v>滨风风云瑞丰1号</x:v>
      </x:c>
      <x:c r="C1148" s="72" t="n">
        <x:v>45044</x:v>
      </x:c>
      <x:c r="D1148" s="73" t="n">
        <x:v>1.0077</x:v>
      </x:c>
      <x:c r="E1148" s="73" t="n">
        <x:v>1.0077</x:v>
      </x:c>
      <x:c r="F1148" s="73" t="n">
        <x:v>1.0077</x:v>
      </x:c>
      <x:c r="G1148" s="74" t="n">
        <x:v>-0.0017000000000000001</x:v>
      </x:c>
      <x:c r="H1148" s="66" t="str">
        <x:v>滨风风云瑞丰1号净值20260911.xlsx</x:v>
      </x:c>
      <x:c r="I1148" s="73" t="str">
        <x:f>""</x:f>
      </x:c>
      <x:c r="J1148" s="74" t="str">
        <x:f>""</x:f>
      </x:c>
      <x:c r="K1148" s="73" t="str">
        <x:f>""</x:f>
      </x:c>
      <x:c r="L1148" s="74" t="str">
        <x:f>""</x:f>
      </x:c>
      <x:c r="M1148" s="73" t="n">
        <x:f>MAX(M1147,F1148)</x:f>
        <x:v>1.0346</x:v>
      </x:c>
      <x:c r="N1148" s="74" t="n">
        <x:f>1-F1148/M1148</x:f>
        <x:v>0.026000386622849314</x:v>
      </x:c>
    </x:row>
    <x:row r="1149" ht="27" customHeight="1">
      <x:c r="A1149" s="66" t="str">
        <x:v>SXL267</x:v>
      </x:c>
      <x:c r="B1149" s="66" t="str">
        <x:v>滨风风云瑞丰1号</x:v>
      </x:c>
      <x:c r="C1149" s="72" t="n">
        <x:v>45050</x:v>
      </x:c>
      <x:c r="D1149" s="73" t="n">
        <x:v>1.0104</x:v>
      </x:c>
      <x:c r="E1149" s="73" t="n">
        <x:v>1.0104</x:v>
      </x:c>
      <x:c r="F1149" s="73" t="n">
        <x:v>1.0104</x:v>
      </x:c>
      <x:c r="G1149" s="74" t="n">
        <x:v>0.0027</x:v>
      </x:c>
      <x:c r="H1149" s="66" t="str">
        <x:v>滨风风云瑞丰1号净值20260911.xlsx</x:v>
      </x:c>
      <x:c r="I1149" s="73" t="str">
        <x:f>""</x:f>
      </x:c>
      <x:c r="J1149" s="74" t="str">
        <x:f>""</x:f>
      </x:c>
      <x:c r="K1149" s="73" t="str">
        <x:f>""</x:f>
      </x:c>
      <x:c r="L1149" s="74" t="str">
        <x:f>""</x:f>
      </x:c>
      <x:c r="M1149" s="73" t="n">
        <x:f>MAX(M1148,F1149)</x:f>
        <x:v>1.0346</x:v>
      </x:c>
      <x:c r="N1149" s="74" t="n">
        <x:f>1-F1149/M1149</x:f>
        <x:v>0.023390682389329176</x:v>
      </x:c>
    </x:row>
    <x:row r="1150" ht="27" customHeight="1">
      <x:c r="A1150" s="66" t="str">
        <x:v>SXL267</x:v>
      </x:c>
      <x:c r="B1150" s="66" t="str">
        <x:v>滨风风云瑞丰1号</x:v>
      </x:c>
      <x:c r="C1150" s="72" t="n">
        <x:v>45051</x:v>
      </x:c>
      <x:c r="D1150" s="73" t="n">
        <x:v>1.0045</x:v>
      </x:c>
      <x:c r="E1150" s="73" t="n">
        <x:v>1.0045</x:v>
      </x:c>
      <x:c r="F1150" s="73" t="n">
        <x:v>1.0045</x:v>
      </x:c>
      <x:c r="G1150" s="74" t="n">
        <x:v>-0.0058</x:v>
      </x:c>
      <x:c r="H1150" s="66" t="str">
        <x:v>滨风风云瑞丰1号净值20260911.xlsx</x:v>
      </x:c>
      <x:c r="I1150" s="73" t="str">
        <x:f>""</x:f>
      </x:c>
      <x:c r="J1150" s="74" t="str">
        <x:f>""</x:f>
      </x:c>
      <x:c r="K1150" s="73" t="str">
        <x:f>""</x:f>
      </x:c>
      <x:c r="L1150" s="74" t="str">
        <x:f>""</x:f>
      </x:c>
      <x:c r="M1150" s="73" t="n">
        <x:f>MAX(M1149,F1150)</x:f>
        <x:v>1.0346</x:v>
      </x:c>
      <x:c r="N1150" s="74" t="n">
        <x:f>1-F1150/M1150</x:f>
        <x:v>0.029093369418132675</x:v>
      </x:c>
    </x:row>
    <x:row r="1151" ht="27" customHeight="1">
      <x:c r="A1151" s="66" t="str">
        <x:v>SXL267</x:v>
      </x:c>
      <x:c r="B1151" s="66" t="str">
        <x:v>滨风风云瑞丰1号</x:v>
      </x:c>
      <x:c r="C1151" s="72" t="n">
        <x:v>45054</x:v>
      </x:c>
      <x:c r="D1151" s="73" t="n">
        <x:v>1.0087</x:v>
      </x:c>
      <x:c r="E1151" s="73" t="n">
        <x:v>1.0087</x:v>
      </x:c>
      <x:c r="F1151" s="73" t="n">
        <x:v>1.0087</x:v>
      </x:c>
      <x:c r="G1151" s="74" t="n">
        <x:v>0.0042</x:v>
      </x:c>
      <x:c r="H1151" s="66" t="str">
        <x:v>滨风风云瑞丰1号净值20260911.xlsx</x:v>
      </x:c>
      <x:c r="I1151" s="73" t="str">
        <x:f>""</x:f>
      </x:c>
      <x:c r="J1151" s="74" t="str">
        <x:f>""</x:f>
      </x:c>
      <x:c r="K1151" s="73" t="str">
        <x:f>""</x:f>
      </x:c>
      <x:c r="L1151" s="74" t="str">
        <x:f>""</x:f>
      </x:c>
      <x:c r="M1151" s="73" t="n">
        <x:f>MAX(M1150,F1151)</x:f>
        <x:v>1.0346</x:v>
      </x:c>
      <x:c r="N1151" s="74" t="n">
        <x:f>1-F1151/M1151</x:f>
        <x:v>0.025033829499323423</x:v>
      </x:c>
    </x:row>
    <x:row r="1152" ht="27" customHeight="1">
      <x:c r="A1152" s="66" t="str">
        <x:v>SXL267</x:v>
      </x:c>
      <x:c r="B1152" s="66" t="str">
        <x:v>滨风风云瑞丰1号</x:v>
      </x:c>
      <x:c r="C1152" s="72" t="n">
        <x:v>45055</x:v>
      </x:c>
      <x:c r="D1152" s="73" t="n">
        <x:v>1.0285</x:v>
      </x:c>
      <x:c r="E1152" s="73" t="n">
        <x:v>1.0285</x:v>
      </x:c>
      <x:c r="F1152" s="73" t="n">
        <x:v>1.0285</x:v>
      </x:c>
      <x:c r="G1152" s="74" t="n">
        <x:v>0.0196</x:v>
      </x:c>
      <x:c r="H1152" s="66" t="str">
        <x:v>滨风风云瑞丰1号净值20260911.xlsx</x:v>
      </x:c>
      <x:c r="I1152" s="73" t="str">
        <x:f>""</x:f>
      </x:c>
      <x:c r="J1152" s="74" t="str">
        <x:f>""</x:f>
      </x:c>
      <x:c r="K1152" s="73" t="str">
        <x:f>""</x:f>
      </x:c>
      <x:c r="L1152" s="74" t="str">
        <x:f>""</x:f>
      </x:c>
      <x:c r="M1152" s="73" t="n">
        <x:f>MAX(M1151,F1152)</x:f>
        <x:v>1.0346</x:v>
      </x:c>
      <x:c r="N1152" s="74" t="n">
        <x:f>1-F1152/M1152</x:f>
        <x:v>0.005895998453508633</x:v>
      </x:c>
    </x:row>
    <x:row r="1153" ht="27" customHeight="1">
      <x:c r="A1153" s="66" t="str">
        <x:v>SXL267</x:v>
      </x:c>
      <x:c r="B1153" s="66" t="str">
        <x:v>滨风风云瑞丰1号</x:v>
      </x:c>
      <x:c r="C1153" s="72" t="n">
        <x:v>45056</x:v>
      </x:c>
      <x:c r="D1153" s="73" t="n">
        <x:v>1.0277</x:v>
      </x:c>
      <x:c r="E1153" s="73" t="n">
        <x:v>1.0277</x:v>
      </x:c>
      <x:c r="F1153" s="73" t="n">
        <x:v>1.0277</x:v>
      </x:c>
      <x:c r="G1153" s="74" t="n">
        <x:v>-0.0008</x:v>
      </x:c>
      <x:c r="H1153" s="66" t="str">
        <x:v>滨风风云瑞丰1号净值20260911.xlsx</x:v>
      </x:c>
      <x:c r="I1153" s="73" t="str">
        <x:f>""</x:f>
      </x:c>
      <x:c r="J1153" s="74" t="str">
        <x:f>""</x:f>
      </x:c>
      <x:c r="K1153" s="73" t="str">
        <x:f>""</x:f>
      </x:c>
      <x:c r="L1153" s="74" t="str">
        <x:f>""</x:f>
      </x:c>
      <x:c r="M1153" s="73" t="n">
        <x:f>MAX(M1152,F1153)</x:f>
        <x:v>1.0346</x:v>
      </x:c>
      <x:c r="N1153" s="74" t="n">
        <x:f>1-F1153/M1153</x:f>
        <x:v>0.006669244152329279</x:v>
      </x:c>
    </x:row>
    <x:row r="1154" ht="27" customHeight="1">
      <x:c r="A1154" s="66" t="str">
        <x:v>SXL267</x:v>
      </x:c>
      <x:c r="B1154" s="66" t="str">
        <x:v>滨风风云瑞丰1号</x:v>
      </x:c>
      <x:c r="C1154" s="72" t="n">
        <x:v>45057</x:v>
      </x:c>
      <x:c r="D1154" s="73" t="n">
        <x:v>1.0211</x:v>
      </x:c>
      <x:c r="E1154" s="73" t="n">
        <x:v>1.0211</x:v>
      </x:c>
      <x:c r="F1154" s="73" t="n">
        <x:v>1.0211</x:v>
      </x:c>
      <x:c r="G1154" s="74" t="n">
        <x:v>-0.0064</x:v>
      </x:c>
      <x:c r="H1154" s="66" t="str">
        <x:v>滨风风云瑞丰1号净值20260911.xlsx</x:v>
      </x:c>
      <x:c r="I1154" s="73" t="str">
        <x:f>""</x:f>
      </x:c>
      <x:c r="J1154" s="74" t="str">
        <x:f>""</x:f>
      </x:c>
      <x:c r="K1154" s="73" t="str">
        <x:f>""</x:f>
      </x:c>
      <x:c r="L1154" s="74" t="str">
        <x:f>""</x:f>
      </x:c>
      <x:c r="M1154" s="73" t="n">
        <x:f>MAX(M1153,F1154)</x:f>
        <x:v>1.0346</x:v>
      </x:c>
      <x:c r="N1154" s="74" t="n">
        <x:f>1-F1154/M1154</x:f>
        <x:v>0.013048521167601024</x:v>
      </x:c>
    </x:row>
    <x:row r="1155" ht="27" customHeight="1">
      <x:c r="A1155" s="66" t="str">
        <x:v>SXL267</x:v>
      </x:c>
      <x:c r="B1155" s="66" t="str">
        <x:v>滨风风云瑞丰1号</x:v>
      </x:c>
      <x:c r="C1155" s="72" t="n">
        <x:v>45058</x:v>
      </x:c>
      <x:c r="D1155" s="73" t="n">
        <x:v>1.0153</x:v>
      </x:c>
      <x:c r="E1155" s="73" t="n">
        <x:v>1.0153</x:v>
      </x:c>
      <x:c r="F1155" s="73" t="n">
        <x:v>1.0153</x:v>
      </x:c>
      <x:c r="G1155" s="74" t="n">
        <x:v>-0.005699999999999999</x:v>
      </x:c>
      <x:c r="H1155" s="66" t="str">
        <x:v>滨风风云瑞丰1号净值20260911.xlsx</x:v>
      </x:c>
      <x:c r="I1155" s="73" t="str">
        <x:f>""</x:f>
      </x:c>
      <x:c r="J1155" s="74" t="str">
        <x:f>""</x:f>
      </x:c>
      <x:c r="K1155" s="73" t="str">
        <x:f>""</x:f>
      </x:c>
      <x:c r="L1155" s="74" t="str">
        <x:f>""</x:f>
      </x:c>
      <x:c r="M1155" s="73" t="n">
        <x:f>MAX(M1154,F1155)</x:f>
        <x:v>1.0346</x:v>
      </x:c>
      <x:c r="N1155" s="74" t="n">
        <x:f>1-F1155/M1155</x:f>
        <x:v>0.01865455248405168</x:v>
      </x:c>
    </x:row>
    <x:row r="1156" ht="27" customHeight="1">
      <x:c r="A1156" s="66" t="str">
        <x:v>SXL267</x:v>
      </x:c>
      <x:c r="B1156" s="66" t="str">
        <x:v>滨风风云瑞丰1号</x:v>
      </x:c>
      <x:c r="C1156" s="72" t="n">
        <x:v>45061</x:v>
      </x:c>
      <x:c r="D1156" s="73" t="n">
        <x:v>1.0229</x:v>
      </x:c>
      <x:c r="E1156" s="73" t="n">
        <x:v>1.0229</x:v>
      </x:c>
      <x:c r="F1156" s="73" t="n">
        <x:v>1.0229</x:v>
      </x:c>
      <x:c r="G1156" s="74" t="n">
        <x:v>0.0075</x:v>
      </x:c>
      <x:c r="H1156" s="66" t="str">
        <x:v>滨风风云瑞丰1号净值20260911.xlsx</x:v>
      </x:c>
      <x:c r="I1156" s="73" t="str">
        <x:f>""</x:f>
      </x:c>
      <x:c r="J1156" s="74" t="str">
        <x:f>""</x:f>
      </x:c>
      <x:c r="K1156" s="73" t="str">
        <x:f>""</x:f>
      </x:c>
      <x:c r="L1156" s="74" t="str">
        <x:f>""</x:f>
      </x:c>
      <x:c r="M1156" s="73" t="n">
        <x:f>MAX(M1155,F1156)</x:f>
        <x:v>1.0346</x:v>
      </x:c>
      <x:c r="N1156" s="74" t="n">
        <x:f>1-F1156/M1156</x:f>
        <x:v>0.011308718345254265</x:v>
      </x:c>
    </x:row>
    <x:row r="1157" ht="27" customHeight="1">
      <x:c r="A1157" s="66" t="str">
        <x:v>SXL267</x:v>
      </x:c>
      <x:c r="B1157" s="66" t="str">
        <x:v>滨风风云瑞丰1号</x:v>
      </x:c>
      <x:c r="C1157" s="72" t="n">
        <x:v>45062</x:v>
      </x:c>
      <x:c r="D1157" s="73" t="n">
        <x:v>1.0269</x:v>
      </x:c>
      <x:c r="E1157" s="73" t="n">
        <x:v>1.0269</x:v>
      </x:c>
      <x:c r="F1157" s="73" t="n">
        <x:v>1.0269</x:v>
      </x:c>
      <x:c r="G1157" s="74" t="n">
        <x:v>0.0039000000000000003</x:v>
      </x:c>
      <x:c r="H1157" s="66" t="str">
        <x:v>滨风风云瑞丰1号净值20260911.xlsx</x:v>
      </x:c>
      <x:c r="I1157" s="73" t="str">
        <x:f>""</x:f>
      </x:c>
      <x:c r="J1157" s="74" t="str">
        <x:f>""</x:f>
      </x:c>
      <x:c r="K1157" s="73" t="str">
        <x:f>""</x:f>
      </x:c>
      <x:c r="L1157" s="74" t="str">
        <x:f>""</x:f>
      </x:c>
      <x:c r="M1157" s="73" t="n">
        <x:f>MAX(M1156,F1157)</x:f>
        <x:v>1.0346</x:v>
      </x:c>
      <x:c r="N1157" s="74" t="n">
        <x:f>1-F1157/M1157</x:f>
        <x:v>0.007442489851150258</x:v>
      </x:c>
    </x:row>
    <x:row r="1158" ht="27" customHeight="1">
      <x:c r="A1158" s="66" t="str">
        <x:v>SXL267</x:v>
      </x:c>
      <x:c r="B1158" s="66" t="str">
        <x:v>滨风风云瑞丰1号</x:v>
      </x:c>
      <x:c r="C1158" s="72" t="n">
        <x:v>45063</x:v>
      </x:c>
      <x:c r="D1158" s="73" t="n">
        <x:v>1.0389</x:v>
      </x:c>
      <x:c r="E1158" s="73" t="n">
        <x:v>1.0389</x:v>
      </x:c>
      <x:c r="F1158" s="73" t="n">
        <x:v>1.0389</x:v>
      </x:c>
      <x:c r="G1158" s="74" t="n">
        <x:v>0.011699999999999999</x:v>
      </x:c>
      <x:c r="H1158" s="66" t="str">
        <x:v>滨风风云瑞丰1号净值20260911.xlsx</x:v>
      </x:c>
      <x:c r="I1158" s="73" t="str">
        <x:f>""</x:f>
      </x:c>
      <x:c r="J1158" s="74" t="str">
        <x:f>""</x:f>
      </x:c>
      <x:c r="K1158" s="73" t="str">
        <x:f>""</x:f>
      </x:c>
      <x:c r="L1158" s="74" t="str">
        <x:f>""</x:f>
      </x:c>
      <x:c r="M1158" s="73" t="n">
        <x:f>MAX(M1157,F1158)</x:f>
        <x:v>1.0389</x:v>
      </x:c>
      <x:c r="N1158" s="74" t="n">
        <x:f>1-F1158/M1158</x:f>
        <x:v>0</x:v>
      </x:c>
    </x:row>
    <x:row r="1159" ht="27" customHeight="1">
      <x:c r="A1159" s="66" t="str">
        <x:v>SXL267</x:v>
      </x:c>
      <x:c r="B1159" s="66" t="str">
        <x:v>滨风风云瑞丰1号</x:v>
      </x:c>
      <x:c r="C1159" s="72" t="n">
        <x:v>45064</x:v>
      </x:c>
      <x:c r="D1159" s="73" t="n">
        <x:v>1.0357</x:v>
      </x:c>
      <x:c r="E1159" s="73" t="n">
        <x:v>1.0357</x:v>
      </x:c>
      <x:c r="F1159" s="73" t="n">
        <x:v>1.0357</x:v>
      </x:c>
      <x:c r="G1159" s="74" t="n">
        <x:v>-0.0031</x:v>
      </x:c>
      <x:c r="H1159" s="66" t="str">
        <x:v>滨风风云瑞丰1号净值20260911.xlsx</x:v>
      </x:c>
      <x:c r="I1159" s="73" t="str">
        <x:f>""</x:f>
      </x:c>
      <x:c r="J1159" s="74" t="str">
        <x:f>""</x:f>
      </x:c>
      <x:c r="K1159" s="73" t="str">
        <x:f>""</x:f>
      </x:c>
      <x:c r="L1159" s="74" t="str">
        <x:f>""</x:f>
      </x:c>
      <x:c r="M1159" s="73" t="n">
        <x:f>MAX(M1158,F1159)</x:f>
        <x:v>1.0389</x:v>
      </x:c>
      <x:c r="N1159" s="74" t="n">
        <x:f>1-F1159/M1159</x:f>
        <x:v>0.00308018096063134</x:v>
      </x:c>
    </x:row>
    <x:row r="1160" ht="27" customHeight="1">
      <x:c r="A1160" s="66" t="str">
        <x:v>SXL267</x:v>
      </x:c>
      <x:c r="B1160" s="66" t="str">
        <x:v>滨风风云瑞丰1号</x:v>
      </x:c>
      <x:c r="C1160" s="72" t="n">
        <x:v>45065</x:v>
      </x:c>
      <x:c r="D1160" s="73" t="n">
        <x:v>1.0278</x:v>
      </x:c>
      <x:c r="E1160" s="73" t="n">
        <x:v>1.0278</x:v>
      </x:c>
      <x:c r="F1160" s="73" t="n">
        <x:v>1.0278</x:v>
      </x:c>
      <x:c r="G1160" s="74" t="n">
        <x:v>-0.0076</x:v>
      </x:c>
      <x:c r="H1160" s="66" t="str">
        <x:v>滨风风云瑞丰1号净值20260911.xlsx</x:v>
      </x:c>
      <x:c r="I1160" s="73" t="str">
        <x:f>""</x:f>
      </x:c>
      <x:c r="J1160" s="74" t="str">
        <x:f>""</x:f>
      </x:c>
      <x:c r="K1160" s="73" t="str">
        <x:f>""</x:f>
      </x:c>
      <x:c r="L1160" s="74" t="str">
        <x:f>""</x:f>
      </x:c>
      <x:c r="M1160" s="73" t="n">
        <x:f>MAX(M1159,F1160)</x:f>
        <x:v>1.0389</x:v>
      </x:c>
      <x:c r="N1160" s="74" t="n">
        <x:f>1-F1160/M1160</x:f>
        <x:v>0.010684377707190218</x:v>
      </x:c>
    </x:row>
    <x:row r="1161" ht="27" customHeight="1">
      <x:c r="A1161" s="66" t="str">
        <x:v>SXL267</x:v>
      </x:c>
      <x:c r="B1161" s="66" t="str">
        <x:v>滨风风云瑞丰1号</x:v>
      </x:c>
      <x:c r="C1161" s="72" t="n">
        <x:v>45068</x:v>
      </x:c>
      <x:c r="D1161" s="73" t="n">
        <x:v>1.0294</x:v>
      </x:c>
      <x:c r="E1161" s="73" t="n">
        <x:v>1.0294</x:v>
      </x:c>
      <x:c r="F1161" s="73" t="n">
        <x:v>1.0294</x:v>
      </x:c>
      <x:c r="G1161" s="74" t="n">
        <x:v>0.0016</x:v>
      </x:c>
      <x:c r="H1161" s="66" t="str">
        <x:v>滨风风云瑞丰1号净值20260911.xlsx</x:v>
      </x:c>
      <x:c r="I1161" s="73" t="str">
        <x:f>""</x:f>
      </x:c>
      <x:c r="J1161" s="74" t="str">
        <x:f>""</x:f>
      </x:c>
      <x:c r="K1161" s="73" t="str">
        <x:f>""</x:f>
      </x:c>
      <x:c r="L1161" s="74" t="str">
        <x:f>""</x:f>
      </x:c>
      <x:c r="M1161" s="73" t="n">
        <x:f>MAX(M1160,F1161)</x:f>
        <x:v>1.0389</x:v>
      </x:c>
      <x:c r="N1161" s="74" t="n">
        <x:f>1-F1161/M1161</x:f>
        <x:v>0.009144287226874437</x:v>
      </x:c>
    </x:row>
    <x:row r="1162" ht="27" customHeight="1">
      <x:c r="A1162" s="66" t="str">
        <x:v>SXL267</x:v>
      </x:c>
      <x:c r="B1162" s="66" t="str">
        <x:v>滨风风云瑞丰1号</x:v>
      </x:c>
      <x:c r="C1162" s="72" t="n">
        <x:v>45069</x:v>
      </x:c>
      <x:c r="D1162" s="73" t="n">
        <x:v>1.0264</x:v>
      </x:c>
      <x:c r="E1162" s="73" t="n">
        <x:v>1.0264</x:v>
      </x:c>
      <x:c r="F1162" s="73" t="n">
        <x:v>1.0264</x:v>
      </x:c>
      <x:c r="G1162" s="74" t="n">
        <x:v>-0.0029</x:v>
      </x:c>
      <x:c r="H1162" s="66" t="str">
        <x:v>滨风风云瑞丰1号净值20260911.xlsx</x:v>
      </x:c>
      <x:c r="I1162" s="73" t="str">
        <x:f>""</x:f>
      </x:c>
      <x:c r="J1162" s="74" t="str">
        <x:f>""</x:f>
      </x:c>
      <x:c r="K1162" s="73" t="str">
        <x:f>""</x:f>
      </x:c>
      <x:c r="L1162" s="74" t="str">
        <x:f>""</x:f>
      </x:c>
      <x:c r="M1162" s="73" t="n">
        <x:f>MAX(M1161,F1162)</x:f>
        <x:v>1.0389</x:v>
      </x:c>
      <x:c r="N1162" s="74" t="n">
        <x:f>1-F1162/M1162</x:f>
        <x:v>0.012031956877466499</x:v>
      </x:c>
    </x:row>
    <x:row r="1163" ht="27" customHeight="1">
      <x:c r="A1163" s="66" t="str">
        <x:v>SXL267</x:v>
      </x:c>
      <x:c r="B1163" s="66" t="str">
        <x:v>滨风风云瑞丰1号</x:v>
      </x:c>
      <x:c r="C1163" s="72" t="n">
        <x:v>45070</x:v>
      </x:c>
      <x:c r="D1163" s="73" t="n">
        <x:v>1.0339</x:v>
      </x:c>
      <x:c r="E1163" s="73" t="n">
        <x:v>1.0339</x:v>
      </x:c>
      <x:c r="F1163" s="73" t="n">
        <x:v>1.0339</x:v>
      </x:c>
      <x:c r="G1163" s="74" t="n">
        <x:v>0.0073</x:v>
      </x:c>
      <x:c r="H1163" s="66" t="str">
        <x:v>滨风风云瑞丰1号净值20260911.xlsx</x:v>
      </x:c>
      <x:c r="I1163" s="73" t="str">
        <x:f>""</x:f>
      </x:c>
      <x:c r="J1163" s="74" t="str">
        <x:f>""</x:f>
      </x:c>
      <x:c r="K1163" s="73" t="str">
        <x:f>""</x:f>
      </x:c>
      <x:c r="L1163" s="74" t="str">
        <x:f>""</x:f>
      </x:c>
      <x:c r="M1163" s="73" t="n">
        <x:f>MAX(M1162,F1163)</x:f>
        <x:v>1.0389</x:v>
      </x:c>
      <x:c r="N1163" s="74" t="n">
        <x:f>1-F1163/M1163</x:f>
        <x:v>0.004812782750986511</x:v>
      </x:c>
    </x:row>
    <x:row r="1164" ht="27" customHeight="1">
      <x:c r="A1164" s="66" t="str">
        <x:v>SXL267</x:v>
      </x:c>
      <x:c r="B1164" s="66" t="str">
        <x:v>滨风风云瑞丰1号</x:v>
      </x:c>
      <x:c r="C1164" s="72" t="n">
        <x:v>45071</x:v>
      </x:c>
      <x:c r="D1164" s="73" t="n">
        <x:v>1.0325</x:v>
      </x:c>
      <x:c r="E1164" s="73" t="n">
        <x:v>1.0325</x:v>
      </x:c>
      <x:c r="F1164" s="73" t="n">
        <x:v>1.0325</x:v>
      </x:c>
      <x:c r="G1164" s="74" t="n">
        <x:v>-0.0014000000000000002</x:v>
      </x:c>
      <x:c r="H1164" s="66" t="str">
        <x:v>滨风风云瑞丰1号净值20260911.xlsx</x:v>
      </x:c>
      <x:c r="I1164" s="73" t="str">
        <x:f>""</x:f>
      </x:c>
      <x:c r="J1164" s="74" t="str">
        <x:f>""</x:f>
      </x:c>
      <x:c r="K1164" s="73" t="str">
        <x:f>""</x:f>
      </x:c>
      <x:c r="L1164" s="74" t="str">
        <x:f>""</x:f>
      </x:c>
      <x:c r="M1164" s="73" t="n">
        <x:f>MAX(M1163,F1164)</x:f>
        <x:v>1.0389</x:v>
      </x:c>
      <x:c r="N1164" s="74" t="n">
        <x:f>1-F1164/M1164</x:f>
        <x:v>0.006160361921262791</x:v>
      </x:c>
    </x:row>
    <x:row r="1165" ht="27" customHeight="1">
      <x:c r="A1165" s="66" t="str">
        <x:v>SXL267</x:v>
      </x:c>
      <x:c r="B1165" s="66" t="str">
        <x:v>滨风风云瑞丰1号</x:v>
      </x:c>
      <x:c r="C1165" s="72" t="n">
        <x:v>45072</x:v>
      </x:c>
      <x:c r="D1165" s="73" t="n">
        <x:v>1.0217</x:v>
      </x:c>
      <x:c r="E1165" s="73" t="n">
        <x:v>1.0217</x:v>
      </x:c>
      <x:c r="F1165" s="73" t="n">
        <x:v>1.0217</x:v>
      </x:c>
      <x:c r="G1165" s="74" t="n">
        <x:v>-0.0105</x:v>
      </x:c>
      <x:c r="H1165" s="66" t="str">
        <x:v>滨风风云瑞丰1号净值20260911.xlsx</x:v>
      </x:c>
      <x:c r="I1165" s="73" t="str">
        <x:f>""</x:f>
      </x:c>
      <x:c r="J1165" s="74" t="str">
        <x:f>""</x:f>
      </x:c>
      <x:c r="K1165" s="73" t="str">
        <x:f>""</x:f>
      </x:c>
      <x:c r="L1165" s="74" t="str">
        <x:f>""</x:f>
      </x:c>
      <x:c r="M1165" s="73" t="n">
        <x:f>MAX(M1164,F1165)</x:f>
        <x:v>1.0389</x:v>
      </x:c>
      <x:c r="N1165" s="74" t="n">
        <x:f>1-F1165/M1165</x:f>
        <x:v>0.016555972663393814</x:v>
      </x:c>
    </x:row>
    <x:row r="1166" ht="27" customHeight="1">
      <x:c r="A1166" s="66" t="str">
        <x:v>SXL267</x:v>
      </x:c>
      <x:c r="B1166" s="66" t="str">
        <x:v>滨风风云瑞丰1号</x:v>
      </x:c>
      <x:c r="C1166" s="72" t="n">
        <x:v>45075</x:v>
      </x:c>
      <x:c r="D1166" s="73" t="n">
        <x:v>1.0389</x:v>
      </x:c>
      <x:c r="E1166" s="73" t="n">
        <x:v>1.0389</x:v>
      </x:c>
      <x:c r="F1166" s="73" t="n">
        <x:v>1.0389</x:v>
      </x:c>
      <x:c r="G1166" s="74" t="n">
        <x:v>0.0168</x:v>
      </x:c>
      <x:c r="H1166" s="66" t="str">
        <x:v>滨风风云瑞丰1号净值20260911.xlsx</x:v>
      </x:c>
      <x:c r="I1166" s="73" t="str">
        <x:f>""</x:f>
      </x:c>
      <x:c r="J1166" s="74" t="str">
        <x:f>""</x:f>
      </x:c>
      <x:c r="K1166" s="73" t="str">
        <x:f>""</x:f>
      </x:c>
      <x:c r="L1166" s="74" t="str">
        <x:f>""</x:f>
      </x:c>
      <x:c r="M1166" s="73" t="n">
        <x:f>MAX(M1165,F1166)</x:f>
        <x:v>1.0389</x:v>
      </x:c>
      <x:c r="N1166" s="74" t="n">
        <x:f>1-F1166/M1166</x:f>
        <x:v>0</x:v>
      </x:c>
    </x:row>
    <x:row r="1167" ht="27" customHeight="1">
      <x:c r="A1167" s="66" t="str">
        <x:v>SXL267</x:v>
      </x:c>
      <x:c r="B1167" s="66" t="str">
        <x:v>滨风风云瑞丰1号</x:v>
      </x:c>
      <x:c r="C1167" s="72" t="n">
        <x:v>45076</x:v>
      </x:c>
      <x:c r="D1167" s="73" t="n">
        <x:v>1.0375</x:v>
      </x:c>
      <x:c r="E1167" s="73" t="n">
        <x:v>1.0375</x:v>
      </x:c>
      <x:c r="F1167" s="73" t="n">
        <x:v>1.0375</x:v>
      </x:c>
      <x:c r="G1167" s="74" t="n">
        <x:v>-0.0013</x:v>
      </x:c>
      <x:c r="H1167" s="66" t="str">
        <x:v>滨风风云瑞丰1号净值20260911.xlsx</x:v>
      </x:c>
      <x:c r="I1167" s="73" t="str">
        <x:f>""</x:f>
      </x:c>
      <x:c r="J1167" s="74" t="str">
        <x:f>""</x:f>
      </x:c>
      <x:c r="K1167" s="73" t="str">
        <x:f>""</x:f>
      </x:c>
      <x:c r="L1167" s="74" t="str">
        <x:f>""</x:f>
      </x:c>
      <x:c r="M1167" s="73" t="n">
        <x:f>MAX(M1166,F1167)</x:f>
        <x:v>1.0389</x:v>
      </x:c>
      <x:c r="N1167" s="74" t="n">
        <x:f>1-F1167/M1167</x:f>
        <x:v>0.0013475791702760587</x:v>
      </x:c>
    </x:row>
    <x:row r="1168" ht="27" customHeight="1">
      <x:c r="A1168" s="66" t="str">
        <x:v>SXL267</x:v>
      </x:c>
      <x:c r="B1168" s="66" t="str">
        <x:v>滨风风云瑞丰1号</x:v>
      </x:c>
      <x:c r="C1168" s="72" t="n">
        <x:v>45077</x:v>
      </x:c>
      <x:c r="D1168" s="73" t="n">
        <x:v>1.0397</x:v>
      </x:c>
      <x:c r="E1168" s="73" t="n">
        <x:v>1.0397</x:v>
      </x:c>
      <x:c r="F1168" s="73" t="n">
        <x:v>1.0397</x:v>
      </x:c>
      <x:c r="G1168" s="74" t="n">
        <x:v>0.0021</x:v>
      </x:c>
      <x:c r="H1168" s="66" t="str">
        <x:v>滨风风云瑞丰1号净值20260911.xlsx</x:v>
      </x:c>
      <x:c r="I1168" s="73" t="str">
        <x:f>""</x:f>
      </x:c>
      <x:c r="J1168" s="74" t="str">
        <x:f>""</x:f>
      </x:c>
      <x:c r="K1168" s="73" t="str">
        <x:f>""</x:f>
      </x:c>
      <x:c r="L1168" s="74" t="str">
        <x:f>""</x:f>
      </x:c>
      <x:c r="M1168" s="73" t="n">
        <x:f>MAX(M1167,F1168)</x:f>
        <x:v>1.0397</x:v>
      </x:c>
      <x:c r="N1168" s="74" t="n">
        <x:f>1-F1168/M1168</x:f>
        <x:v>0</x:v>
      </x:c>
    </x:row>
    <x:row r="1169" ht="27" customHeight="1">
      <x:c r="A1169" s="66" t="str">
        <x:v>SXL267</x:v>
      </x:c>
      <x:c r="B1169" s="66" t="str">
        <x:v>滨风风云瑞丰1号</x:v>
      </x:c>
      <x:c r="C1169" s="72" t="n">
        <x:v>45078</x:v>
      </x:c>
      <x:c r="D1169" s="73" t="n">
        <x:v>1.0424</x:v>
      </x:c>
      <x:c r="E1169" s="73" t="n">
        <x:v>1.0424</x:v>
      </x:c>
      <x:c r="F1169" s="73" t="n">
        <x:v>1.0424</x:v>
      </x:c>
      <x:c r="G1169" s="74" t="n">
        <x:v>0.0026</x:v>
      </x:c>
      <x:c r="H1169" s="66" t="str">
        <x:v>滨风风云瑞丰1号净值20260911.xlsx</x:v>
      </x:c>
      <x:c r="I1169" s="73" t="str">
        <x:f>""</x:f>
      </x:c>
      <x:c r="J1169" s="74" t="str">
        <x:f>""</x:f>
      </x:c>
      <x:c r="K1169" s="73" t="str">
        <x:f>""</x:f>
      </x:c>
      <x:c r="L1169" s="74" t="str">
        <x:f>""</x:f>
      </x:c>
      <x:c r="M1169" s="73" t="n">
        <x:f>MAX(M1168,F1169)</x:f>
        <x:v>1.0424</x:v>
      </x:c>
      <x:c r="N1169" s="74" t="n">
        <x:f>1-F1169/M1169</x:f>
        <x:v>0</x:v>
      </x:c>
    </x:row>
    <x:row r="1170" ht="27" customHeight="1">
      <x:c r="A1170" s="66" t="str">
        <x:v>SXL267</x:v>
      </x:c>
      <x:c r="B1170" s="66" t="str">
        <x:v>滨风风云瑞丰1号</x:v>
      </x:c>
      <x:c r="C1170" s="72" t="n">
        <x:v>45079</x:v>
      </x:c>
      <x:c r="D1170" s="73" t="n">
        <x:v>1.0406</x:v>
      </x:c>
      <x:c r="E1170" s="73" t="n">
        <x:v>1.0406</x:v>
      </x:c>
      <x:c r="F1170" s="73" t="n">
        <x:v>1.0406</x:v>
      </x:c>
      <x:c r="G1170" s="74" t="n">
        <x:v>-0.0017000000000000001</x:v>
      </x:c>
      <x:c r="H1170" s="66" t="str">
        <x:v>滨风风云瑞丰1号净值20260911.xlsx</x:v>
      </x:c>
      <x:c r="I1170" s="73" t="str">
        <x:f>""</x:f>
      </x:c>
      <x:c r="J1170" s="74" t="str">
        <x:f>""</x:f>
      </x:c>
      <x:c r="K1170" s="73" t="str">
        <x:f>""</x:f>
      </x:c>
      <x:c r="L1170" s="74" t="str">
        <x:f>""</x:f>
      </x:c>
      <x:c r="M1170" s="73" t="n">
        <x:f>MAX(M1169,F1170)</x:f>
        <x:v>1.0424</x:v>
      </x:c>
      <x:c r="N1170" s="74" t="n">
        <x:f>1-F1170/M1170</x:f>
        <x:v>0.0017267843438220076</x:v>
      </x:c>
    </x:row>
    <x:row r="1171" ht="27" customHeight="1">
      <x:c r="A1171" s="66" t="str">
        <x:v>SXL267</x:v>
      </x:c>
      <x:c r="B1171" s="66" t="str">
        <x:v>滨风风云瑞丰1号</x:v>
      </x:c>
      <x:c r="C1171" s="72" t="n">
        <x:v>45082</x:v>
      </x:c>
      <x:c r="D1171" s="73" t="n">
        <x:v>1.038</x:v>
      </x:c>
      <x:c r="E1171" s="73" t="n">
        <x:v>1.038</x:v>
      </x:c>
      <x:c r="F1171" s="73" t="n">
        <x:v>1.038</x:v>
      </x:c>
      <x:c r="G1171" s="74" t="n">
        <x:v>-0.0025</x:v>
      </x:c>
      <x:c r="H1171" s="66" t="str">
        <x:v>滨风风云瑞丰1号净值20260911.xlsx</x:v>
      </x:c>
      <x:c r="I1171" s="73" t="str">
        <x:f>""</x:f>
      </x:c>
      <x:c r="J1171" s="74" t="str">
        <x:f>""</x:f>
      </x:c>
      <x:c r="K1171" s="73" t="str">
        <x:f>""</x:f>
      </x:c>
      <x:c r="L1171" s="74" t="str">
        <x:f>""</x:f>
      </x:c>
      <x:c r="M1171" s="73" t="n">
        <x:f>MAX(M1170,F1171)</x:f>
        <x:v>1.0424</x:v>
      </x:c>
      <x:c r="N1171" s="74" t="n">
        <x:f>1-F1171/M1171</x:f>
        <x:v>0.00422102839600913</x:v>
      </x:c>
    </x:row>
    <x:row r="1172" ht="27" customHeight="1">
      <x:c r="A1172" s="66" t="str">
        <x:v>SXL267</x:v>
      </x:c>
      <x:c r="B1172" s="66" t="str">
        <x:v>滨风风云瑞丰1号</x:v>
      </x:c>
      <x:c r="C1172" s="72" t="n">
        <x:v>45083</x:v>
      </x:c>
      <x:c r="D1172" s="73" t="n">
        <x:v>1.0422</x:v>
      </x:c>
      <x:c r="E1172" s="73" t="n">
        <x:v>1.0422</x:v>
      </x:c>
      <x:c r="F1172" s="73" t="n">
        <x:v>1.0422</x:v>
      </x:c>
      <x:c r="G1172" s="74" t="n">
        <x:v>0.004</x:v>
      </x:c>
      <x:c r="H1172" s="66" t="str">
        <x:v>滨风风云瑞丰1号净值20260911.xlsx</x:v>
      </x:c>
      <x:c r="I1172" s="73" t="str">
        <x:f>""</x:f>
      </x:c>
      <x:c r="J1172" s="74" t="str">
        <x:f>""</x:f>
      </x:c>
      <x:c r="K1172" s="73" t="str">
        <x:f>""</x:f>
      </x:c>
      <x:c r="L1172" s="74" t="str">
        <x:f>""</x:f>
      </x:c>
      <x:c r="M1172" s="73" t="n">
        <x:f>MAX(M1171,F1172)</x:f>
        <x:v>1.0424</x:v>
      </x:c>
      <x:c r="N1172" s="74" t="n">
        <x:f>1-F1172/M1172</x:f>
        <x:v>0.00019186492709133418</x:v>
      </x:c>
    </x:row>
    <x:row r="1173" ht="27" customHeight="1">
      <x:c r="A1173" s="66" t="str">
        <x:v>SXL267</x:v>
      </x:c>
      <x:c r="B1173" s="66" t="str">
        <x:v>滨风风云瑞丰1号</x:v>
      </x:c>
      <x:c r="C1173" s="72" t="n">
        <x:v>45084</x:v>
      </x:c>
      <x:c r="D1173" s="73" t="n">
        <x:v>1.0501</x:v>
      </x:c>
      <x:c r="E1173" s="73" t="n">
        <x:v>1.0501</x:v>
      </x:c>
      <x:c r="F1173" s="73" t="n">
        <x:v>1.0501</x:v>
      </x:c>
      <x:c r="G1173" s="74" t="n">
        <x:v>0.0076</x:v>
      </x:c>
      <x:c r="H1173" s="66" t="str">
        <x:v>滨风风云瑞丰1号净值20260911.xlsx</x:v>
      </x:c>
      <x:c r="I1173" s="73" t="str">
        <x:f>""</x:f>
      </x:c>
      <x:c r="J1173" s="74" t="str">
        <x:f>""</x:f>
      </x:c>
      <x:c r="K1173" s="73" t="str">
        <x:f>""</x:f>
      </x:c>
      <x:c r="L1173" s="74" t="str">
        <x:f>""</x:f>
      </x:c>
      <x:c r="M1173" s="73" t="n">
        <x:f>MAX(M1172,F1173)</x:f>
        <x:v>1.0501</x:v>
      </x:c>
      <x:c r="N1173" s="74" t="n">
        <x:f>1-F1173/M1173</x:f>
        <x:v>0</x:v>
      </x:c>
    </x:row>
    <x:row r="1174" ht="27" customHeight="1">
      <x:c r="A1174" s="66" t="str">
        <x:v>SXL267</x:v>
      </x:c>
      <x:c r="B1174" s="66" t="str">
        <x:v>滨风风云瑞丰1号</x:v>
      </x:c>
      <x:c r="C1174" s="72" t="n">
        <x:v>45085</x:v>
      </x:c>
      <x:c r="D1174" s="73" t="n">
        <x:v>1.0548</x:v>
      </x:c>
      <x:c r="E1174" s="73" t="n">
        <x:v>1.0548</x:v>
      </x:c>
      <x:c r="F1174" s="73" t="n">
        <x:v>1.0548</x:v>
      </x:c>
      <x:c r="G1174" s="74" t="n">
        <x:v>0.0045000000000000005</x:v>
      </x:c>
      <x:c r="H1174" s="66" t="str">
        <x:v>滨风风云瑞丰1号净值20260911.xlsx</x:v>
      </x:c>
      <x:c r="I1174" s="73" t="str">
        <x:f>""</x:f>
      </x:c>
      <x:c r="J1174" s="74" t="str">
        <x:f>""</x:f>
      </x:c>
      <x:c r="K1174" s="73" t="str">
        <x:f>""</x:f>
      </x:c>
      <x:c r="L1174" s="74" t="str">
        <x:f>""</x:f>
      </x:c>
      <x:c r="M1174" s="73" t="n">
        <x:f>MAX(M1173,F1174)</x:f>
        <x:v>1.0548</x:v>
      </x:c>
      <x:c r="N1174" s="74" t="n">
        <x:f>1-F1174/M1174</x:f>
        <x:v>0</x:v>
      </x:c>
    </x:row>
    <x:row r="1175" ht="27" customHeight="1">
      <x:c r="A1175" s="66" t="str">
        <x:v>SXL267</x:v>
      </x:c>
      <x:c r="B1175" s="66" t="str">
        <x:v>滨风风云瑞丰1号</x:v>
      </x:c>
      <x:c r="C1175" s="72" t="n">
        <x:v>45086</x:v>
      </x:c>
      <x:c r="D1175" s="73" t="n">
        <x:v>1.0627</x:v>
      </x:c>
      <x:c r="E1175" s="73" t="n">
        <x:v>1.0627</x:v>
      </x:c>
      <x:c r="F1175" s="73" t="n">
        <x:v>1.0627</x:v>
      </x:c>
      <x:c r="G1175" s="74" t="n">
        <x:v>0.0075</x:v>
      </x:c>
      <x:c r="H1175" s="66" t="str">
        <x:v>滨风风云瑞丰1号净值20260911.xlsx</x:v>
      </x:c>
      <x:c r="I1175" s="73" t="str">
        <x:f>""</x:f>
      </x:c>
      <x:c r="J1175" s="74" t="str">
        <x:f>""</x:f>
      </x:c>
      <x:c r="K1175" s="73" t="str">
        <x:f>""</x:f>
      </x:c>
      <x:c r="L1175" s="74" t="str">
        <x:f>""</x:f>
      </x:c>
      <x:c r="M1175" s="73" t="n">
        <x:f>MAX(M1174,F1175)</x:f>
        <x:v>1.0627</x:v>
      </x:c>
      <x:c r="N1175" s="74" t="n">
        <x:f>1-F1175/M1175</x:f>
        <x:v>0</x:v>
      </x:c>
    </x:row>
    <x:row r="1176" ht="27" customHeight="1">
      <x:c r="A1176" s="66" t="str">
        <x:v>SXL267</x:v>
      </x:c>
      <x:c r="B1176" s="66" t="str">
        <x:v>滨风风云瑞丰1号</x:v>
      </x:c>
      <x:c r="C1176" s="72" t="n">
        <x:v>45089</x:v>
      </x:c>
      <x:c r="D1176" s="73" t="n">
        <x:v>1.0576</x:v>
      </x:c>
      <x:c r="E1176" s="73" t="n">
        <x:v>1.0576</x:v>
      </x:c>
      <x:c r="F1176" s="73" t="n">
        <x:v>1.0576</x:v>
      </x:c>
      <x:c r="G1176" s="74" t="n">
        <x:v>-0.0048</x:v>
      </x:c>
      <x:c r="H1176" s="66" t="str">
        <x:v>滨风风云瑞丰1号净值20260911.xlsx</x:v>
      </x:c>
      <x:c r="I1176" s="73" t="str">
        <x:f>""</x:f>
      </x:c>
      <x:c r="J1176" s="74" t="str">
        <x:f>""</x:f>
      </x:c>
      <x:c r="K1176" s="73" t="str">
        <x:f>""</x:f>
      </x:c>
      <x:c r="L1176" s="74" t="str">
        <x:f>""</x:f>
      </x:c>
      <x:c r="M1176" s="73" t="n">
        <x:f>MAX(M1175,F1176)</x:f>
        <x:v>1.0627</x:v>
      </x:c>
      <x:c r="N1176" s="74" t="n">
        <x:f>1-F1176/M1176</x:f>
        <x:v>0.004799096640632272</x:v>
      </x:c>
    </x:row>
    <x:row r="1177" ht="27" customHeight="1">
      <x:c r="A1177" s="66" t="str">
        <x:v>SXL267</x:v>
      </x:c>
      <x:c r="B1177" s="66" t="str">
        <x:v>滨风风云瑞丰1号</x:v>
      </x:c>
      <x:c r="C1177" s="72" t="n">
        <x:v>45090</x:v>
      </x:c>
      <x:c r="D1177" s="73" t="n">
        <x:v>1.0567</x:v>
      </x:c>
      <x:c r="E1177" s="73" t="n">
        <x:v>1.0567</x:v>
      </x:c>
      <x:c r="F1177" s="73" t="n">
        <x:v>1.0567</x:v>
      </x:c>
      <x:c r="G1177" s="74" t="n">
        <x:v>-0.0009</x:v>
      </x:c>
      <x:c r="H1177" s="66" t="str">
        <x:v>滨风风云瑞丰1号净值20260911.xlsx</x:v>
      </x:c>
      <x:c r="I1177" s="73" t="str">
        <x:f>""</x:f>
      </x:c>
      <x:c r="J1177" s="74" t="str">
        <x:f>""</x:f>
      </x:c>
      <x:c r="K1177" s="73" t="str">
        <x:f>""</x:f>
      </x:c>
      <x:c r="L1177" s="74" t="str">
        <x:f>""</x:f>
      </x:c>
      <x:c r="M1177" s="73" t="n">
        <x:f>MAX(M1176,F1177)</x:f>
        <x:v>1.0627</x:v>
      </x:c>
      <x:c r="N1177" s="74" t="n">
        <x:f>1-F1177/M1177</x:f>
        <x:v>0.005645996047802804</x:v>
      </x:c>
    </x:row>
    <x:row r="1178" ht="27" customHeight="1">
      <x:c r="A1178" s="66" t="str">
        <x:v>SXL267</x:v>
      </x:c>
      <x:c r="B1178" s="66" t="str">
        <x:v>滨风风云瑞丰1号</x:v>
      </x:c>
      <x:c r="C1178" s="72" t="n">
        <x:v>45091</x:v>
      </x:c>
      <x:c r="D1178" s="73" t="n">
        <x:v>1.0527</x:v>
      </x:c>
      <x:c r="E1178" s="73" t="n">
        <x:v>1.0527</x:v>
      </x:c>
      <x:c r="F1178" s="73" t="n">
        <x:v>1.0527</x:v>
      </x:c>
      <x:c r="G1178" s="74" t="n">
        <x:v>-0.0038</x:v>
      </x:c>
      <x:c r="H1178" s="66" t="str">
        <x:v>滨风风云瑞丰1号净值20260911.xlsx</x:v>
      </x:c>
      <x:c r="I1178" s="73" t="str">
        <x:f>""</x:f>
      </x:c>
      <x:c r="J1178" s="74" t="str">
        <x:f>""</x:f>
      </x:c>
      <x:c r="K1178" s="73" t="str">
        <x:f>""</x:f>
      </x:c>
      <x:c r="L1178" s="74" t="str">
        <x:f>""</x:f>
      </x:c>
      <x:c r="M1178" s="73" t="n">
        <x:f>MAX(M1177,F1178)</x:f>
        <x:v>1.0627</x:v>
      </x:c>
      <x:c r="N1178" s="74" t="n">
        <x:f>1-F1178/M1178</x:f>
        <x:v>0.009409993413004636</x:v>
      </x:c>
    </x:row>
    <x:row r="1179" ht="27" customHeight="1">
      <x:c r="A1179" s="66" t="str">
        <x:v>SXL267</x:v>
      </x:c>
      <x:c r="B1179" s="66" t="str">
        <x:v>滨风风云瑞丰1号</x:v>
      </x:c>
      <x:c r="C1179" s="72" t="n">
        <x:v>45092</x:v>
      </x:c>
      <x:c r="D1179" s="73" t="n">
        <x:v>1.0481</x:v>
      </x:c>
      <x:c r="E1179" s="73" t="n">
        <x:v>1.0481</x:v>
      </x:c>
      <x:c r="F1179" s="73" t="n">
        <x:v>1.0481</x:v>
      </x:c>
      <x:c r="G1179" s="74" t="n">
        <x:v>-0.0044</x:v>
      </x:c>
      <x:c r="H1179" s="66" t="str">
        <x:v>滨风风云瑞丰1号净值20260911.xlsx</x:v>
      </x:c>
      <x:c r="I1179" s="73" t="str">
        <x:f>""</x:f>
      </x:c>
      <x:c r="J1179" s="74" t="str">
        <x:f>""</x:f>
      </x:c>
      <x:c r="K1179" s="73" t="str">
        <x:f>""</x:f>
      </x:c>
      <x:c r="L1179" s="74" t="str">
        <x:f>""</x:f>
      </x:c>
      <x:c r="M1179" s="73" t="n">
        <x:f>MAX(M1178,F1179)</x:f>
        <x:v>1.0627</x:v>
      </x:c>
      <x:c r="N1179" s="74" t="n">
        <x:f>1-F1179/M1179</x:f>
        <x:v>0.013738590382986637</x:v>
      </x:c>
    </x:row>
    <x:row r="1180" ht="27" customHeight="1">
      <x:c r="A1180" s="66" t="str">
        <x:v>SXL267</x:v>
      </x:c>
      <x:c r="B1180" s="66" t="str">
        <x:v>滨风风云瑞丰1号</x:v>
      </x:c>
      <x:c r="C1180" s="72" t="n">
        <x:v>45093</x:v>
      </x:c>
      <x:c r="D1180" s="73" t="n">
        <x:v>1.0516</x:v>
      </x:c>
      <x:c r="E1180" s="73" t="n">
        <x:v>1.0516</x:v>
      </x:c>
      <x:c r="F1180" s="73" t="n">
        <x:v>1.0516</x:v>
      </x:c>
      <x:c r="G1180" s="74" t="n">
        <x:v>0.0033</x:v>
      </x:c>
      <x:c r="H1180" s="66" t="str">
        <x:v>滨风风云瑞丰1号净值20260911.xlsx</x:v>
      </x:c>
      <x:c r="I1180" s="73" t="str">
        <x:f>""</x:f>
      </x:c>
      <x:c r="J1180" s="74" t="str">
        <x:f>""</x:f>
      </x:c>
      <x:c r="K1180" s="73" t="str">
        <x:f>""</x:f>
      </x:c>
      <x:c r="L1180" s="74" t="str">
        <x:f>""</x:f>
      </x:c>
      <x:c r="M1180" s="73" t="n">
        <x:f>MAX(M1179,F1180)</x:f>
        <x:v>1.0627</x:v>
      </x:c>
      <x:c r="N1180" s="74" t="n">
        <x:f>1-F1180/M1180</x:f>
        <x:v>0.010445092688434965</x:v>
      </x:c>
    </x:row>
    <x:row r="1181" ht="27" customHeight="1">
      <x:c r="A1181" s="66" t="str">
        <x:v>SXL267</x:v>
      </x:c>
      <x:c r="B1181" s="66" t="str">
        <x:v>滨风风云瑞丰1号</x:v>
      </x:c>
      <x:c r="C1181" s="72" t="n">
        <x:v>45096</x:v>
      </x:c>
      <x:c r="D1181" s="73" t="n">
        <x:v>1.0567</x:v>
      </x:c>
      <x:c r="E1181" s="73" t="n">
        <x:v>1.0567</x:v>
      </x:c>
      <x:c r="F1181" s="73" t="n">
        <x:v>1.0567</x:v>
      </x:c>
      <x:c r="G1181" s="74" t="n">
        <x:v>0.0048</x:v>
      </x:c>
      <x:c r="H1181" s="66" t="str">
        <x:v>滨风风云瑞丰1号净值20260911.xlsx</x:v>
      </x:c>
      <x:c r="I1181" s="73" t="str">
        <x:f>""</x:f>
      </x:c>
      <x:c r="J1181" s="74" t="str">
        <x:f>""</x:f>
      </x:c>
      <x:c r="K1181" s="73" t="str">
        <x:f>""</x:f>
      </x:c>
      <x:c r="L1181" s="74" t="str">
        <x:f>""</x:f>
      </x:c>
      <x:c r="M1181" s="73" t="n">
        <x:f>MAX(M1180,F1181)</x:f>
        <x:v>1.0627</x:v>
      </x:c>
      <x:c r="N1181" s="74" t="n">
        <x:f>1-F1181/M1181</x:f>
        <x:v>0.005645996047802804</x:v>
      </x:c>
    </x:row>
    <x:row r="1182" ht="27" customHeight="1">
      <x:c r="A1182" s="66" t="str">
        <x:v>SXL267</x:v>
      </x:c>
      <x:c r="B1182" s="66" t="str">
        <x:v>滨风风云瑞丰1号</x:v>
      </x:c>
      <x:c r="C1182" s="72" t="n">
        <x:v>45097</x:v>
      </x:c>
      <x:c r="D1182" s="73" t="n">
        <x:v>1.0542</x:v>
      </x:c>
      <x:c r="E1182" s="73" t="n">
        <x:v>1.0542</x:v>
      </x:c>
      <x:c r="F1182" s="73" t="n">
        <x:v>1.0542</x:v>
      </x:c>
      <x:c r="G1182" s="74" t="n">
        <x:v>-0.0024</x:v>
      </x:c>
      <x:c r="H1182" s="66" t="str">
        <x:v>滨风风云瑞丰1号净值20260911.xlsx</x:v>
      </x:c>
      <x:c r="I1182" s="73" t="str">
        <x:f>""</x:f>
      </x:c>
      <x:c r="J1182" s="74" t="str">
        <x:f>""</x:f>
      </x:c>
      <x:c r="K1182" s="73" t="str">
        <x:f>""</x:f>
      </x:c>
      <x:c r="L1182" s="74" t="str">
        <x:f>""</x:f>
      </x:c>
      <x:c r="M1182" s="73" t="n">
        <x:f>MAX(M1181,F1182)</x:f>
        <x:v>1.0627</x:v>
      </x:c>
      <x:c r="N1182" s="74" t="n">
        <x:f>1-F1182/M1182</x:f>
        <x:v>0.007998494401053824</x:v>
      </x:c>
    </x:row>
    <x:row r="1183" ht="27" customHeight="1">
      <x:c r="A1183" s="66" t="str">
        <x:v>SXL267</x:v>
      </x:c>
      <x:c r="B1183" s="66" t="str">
        <x:v>滨风风云瑞丰1号</x:v>
      </x:c>
      <x:c r="C1183" s="72" t="n">
        <x:v>45098</x:v>
      </x:c>
      <x:c r="D1183" s="73" t="n">
        <x:v>1.0571</x:v>
      </x:c>
      <x:c r="E1183" s="73" t="n">
        <x:v>1.0571</x:v>
      </x:c>
      <x:c r="F1183" s="73" t="n">
        <x:v>1.0571</x:v>
      </x:c>
      <x:c r="G1183" s="74" t="n">
        <x:v>0.0028000000000000004</x:v>
      </x:c>
      <x:c r="H1183" s="66" t="str">
        <x:v>滨风风云瑞丰1号净值20260911.xlsx</x:v>
      </x:c>
      <x:c r="I1183" s="73" t="str">
        <x:f>""</x:f>
      </x:c>
      <x:c r="J1183" s="74" t="str">
        <x:f>""</x:f>
      </x:c>
      <x:c r="K1183" s="73" t="str">
        <x:f>""</x:f>
      </x:c>
      <x:c r="L1183" s="74" t="str">
        <x:f>""</x:f>
      </x:c>
      <x:c r="M1183" s="73" t="n">
        <x:f>MAX(M1182,F1183)</x:f>
        <x:v>1.0627</x:v>
      </x:c>
      <x:c r="N1183" s="74" t="n">
        <x:f>1-F1183/M1183</x:f>
        <x:v>0.005269596311282654</x:v>
      </x:c>
    </x:row>
    <x:row r="1184" ht="27" customHeight="1">
      <x:c r="A1184" s="66" t="str">
        <x:v>SXL267</x:v>
      </x:c>
      <x:c r="B1184" s="66" t="str">
        <x:v>滨风风云瑞丰1号</x:v>
      </x:c>
      <x:c r="C1184" s="72" t="n">
        <x:v>45103</x:v>
      </x:c>
      <x:c r="D1184" s="73" t="n">
        <x:v>1.0642</x:v>
      </x:c>
      <x:c r="E1184" s="73" t="n">
        <x:v>1.0642</x:v>
      </x:c>
      <x:c r="F1184" s="73" t="n">
        <x:v>1.0642</x:v>
      </x:c>
      <x:c r="G1184" s="74" t="n">
        <x:v>0.0067</x:v>
      </x:c>
      <x:c r="H1184" s="66" t="str">
        <x:v>滨风风云瑞丰1号净值20260911.xlsx</x:v>
      </x:c>
      <x:c r="I1184" s="73" t="str">
        <x:f>""</x:f>
      </x:c>
      <x:c r="J1184" s="74" t="str">
        <x:f>""</x:f>
      </x:c>
      <x:c r="K1184" s="73" t="str">
        <x:f>""</x:f>
      </x:c>
      <x:c r="L1184" s="74" t="str">
        <x:f>""</x:f>
      </x:c>
      <x:c r="M1184" s="73" t="n">
        <x:f>MAX(M1183,F1184)</x:f>
        <x:v>1.0642</x:v>
      </x:c>
      <x:c r="N1184" s="74" t="n">
        <x:f>1-F1184/M1184</x:f>
        <x:v>0</x:v>
      </x:c>
    </x:row>
    <x:row r="1185" ht="27" customHeight="1">
      <x:c r="A1185" s="66" t="str">
        <x:v>SXL267</x:v>
      </x:c>
      <x:c r="B1185" s="66" t="str">
        <x:v>滨风风云瑞丰1号</x:v>
      </x:c>
      <x:c r="C1185" s="72" t="n">
        <x:v>45104</x:v>
      </x:c>
      <x:c r="D1185" s="73" t="n">
        <x:v>1.0568</x:v>
      </x:c>
      <x:c r="E1185" s="73" t="n">
        <x:v>1.0568</x:v>
      </x:c>
      <x:c r="F1185" s="73" t="n">
        <x:v>1.0568</x:v>
      </x:c>
      <x:c r="G1185" s="74" t="n">
        <x:v>-0.006999999999999999</x:v>
      </x:c>
      <x:c r="H1185" s="66" t="str">
        <x:v>滨风风云瑞丰1号净值20260911.xlsx</x:v>
      </x:c>
      <x:c r="I1185" s="73" t="str">
        <x:f>""</x:f>
      </x:c>
      <x:c r="J1185" s="74" t="str">
        <x:f>""</x:f>
      </x:c>
      <x:c r="K1185" s="73" t="str">
        <x:f>""</x:f>
      </x:c>
      <x:c r="L1185" s="74" t="str">
        <x:f>""</x:f>
      </x:c>
      <x:c r="M1185" s="73" t="n">
        <x:f>MAX(M1184,F1185)</x:f>
        <x:v>1.0642</x:v>
      </x:c>
      <x:c r="N1185" s="74" t="n">
        <x:f>1-F1185/M1185</x:f>
        <x:v>0.006953580154106409</x:v>
      </x:c>
    </x:row>
    <x:row r="1186" ht="27" customHeight="1">
      <x:c r="A1186" s="66" t="str">
        <x:v>SXL267</x:v>
      </x:c>
      <x:c r="B1186" s="66" t="str">
        <x:v>滨风风云瑞丰1号</x:v>
      </x:c>
      <x:c r="C1186" s="72" t="n">
        <x:v>45105</x:v>
      </x:c>
      <x:c r="D1186" s="73" t="n">
        <x:v>1.0536</x:v>
      </x:c>
      <x:c r="E1186" s="73" t="n">
        <x:v>1.0536</x:v>
      </x:c>
      <x:c r="F1186" s="73" t="n">
        <x:v>1.0536</x:v>
      </x:c>
      <x:c r="G1186" s="74" t="n">
        <x:v>-0.003</x:v>
      </x:c>
      <x:c r="H1186" s="66" t="str">
        <x:v>滨风风云瑞丰1号净值20260911.xlsx</x:v>
      </x:c>
      <x:c r="I1186" s="73" t="str">
        <x:f>""</x:f>
      </x:c>
      <x:c r="J1186" s="74" t="str">
        <x:f>""</x:f>
      </x:c>
      <x:c r="K1186" s="73" t="str">
        <x:f>""</x:f>
      </x:c>
      <x:c r="L1186" s="74" t="str">
        <x:f>""</x:f>
      </x:c>
      <x:c r="M1186" s="73" t="n">
        <x:f>MAX(M1185,F1186)</x:f>
        <x:v>1.0642</x:v>
      </x:c>
      <x:c r="N1186" s="74" t="n">
        <x:f>1-F1186/M1186</x:f>
        <x:v>0.009960533734260424</x:v>
      </x:c>
    </x:row>
    <x:row r="1187" ht="27" customHeight="1">
      <x:c r="A1187" s="66" t="str">
        <x:v>SXL267</x:v>
      </x:c>
      <x:c r="B1187" s="66" t="str">
        <x:v>滨风风云瑞丰1号</x:v>
      </x:c>
      <x:c r="C1187" s="72" t="n">
        <x:v>45106</x:v>
      </x:c>
      <x:c r="D1187" s="73" t="n">
        <x:v>1.0489</x:v>
      </x:c>
      <x:c r="E1187" s="73" t="n">
        <x:v>1.0489</x:v>
      </x:c>
      <x:c r="F1187" s="73" t="n">
        <x:v>1.0489</x:v>
      </x:c>
      <x:c r="G1187" s="74" t="n">
        <x:v>-0.0045000000000000005</x:v>
      </x:c>
      <x:c r="H1187" s="66" t="str">
        <x:v>滨风风云瑞丰1号净值20260911.xlsx</x:v>
      </x:c>
      <x:c r="I1187" s="73" t="str">
        <x:f>""</x:f>
      </x:c>
      <x:c r="J1187" s="74" t="str">
        <x:f>""</x:f>
      </x:c>
      <x:c r="K1187" s="73" t="str">
        <x:f>""</x:f>
      </x:c>
      <x:c r="L1187" s="74" t="str">
        <x:f>""</x:f>
      </x:c>
      <x:c r="M1187" s="73" t="n">
        <x:f>MAX(M1186,F1187)</x:f>
        <x:v>1.0642</x:v>
      </x:c>
      <x:c r="N1187" s="74" t="n">
        <x:f>1-F1187/M1187</x:f>
        <x:v>0.014376996805111952</x:v>
      </x:c>
    </x:row>
    <x:row r="1188" ht="27" customHeight="1">
      <x:c r="A1188" s="66" t="str">
        <x:v>SXL267</x:v>
      </x:c>
      <x:c r="B1188" s="66" t="str">
        <x:v>滨风风云瑞丰1号</x:v>
      </x:c>
      <x:c r="C1188" s="72" t="n">
        <x:v>45107</x:v>
      </x:c>
      <x:c r="D1188" s="73" t="n">
        <x:v>1.0445</x:v>
      </x:c>
      <x:c r="E1188" s="73" t="n">
        <x:v>1.0445</x:v>
      </x:c>
      <x:c r="F1188" s="73" t="n">
        <x:v>1.0445</x:v>
      </x:c>
      <x:c r="G1188" s="74" t="n">
        <x:v>-0.0042</x:v>
      </x:c>
      <x:c r="H1188" s="66" t="str">
        <x:v>滨风风云瑞丰1号净值20260911.xlsx</x:v>
      </x:c>
      <x:c r="I1188" s="73" t="str">
        <x:f>""</x:f>
      </x:c>
      <x:c r="J1188" s="74" t="str">
        <x:f>""</x:f>
      </x:c>
      <x:c r="K1188" s="73" t="str">
        <x:f>""</x:f>
      </x:c>
      <x:c r="L1188" s="74" t="str">
        <x:f>""</x:f>
      </x:c>
      <x:c r="M1188" s="73" t="n">
        <x:f>MAX(M1187,F1188)</x:f>
        <x:v>1.0642</x:v>
      </x:c>
      <x:c r="N1188" s="74" t="n">
        <x:f>1-F1188/M1188</x:f>
        <x:v>0.018511557977823778</x:v>
      </x:c>
    </x:row>
    <x:row r="1189" ht="27" customHeight="1">
      <x:c r="A1189" s="66" t="str">
        <x:v>SXL267</x:v>
      </x:c>
      <x:c r="B1189" s="66" t="str">
        <x:v>滨风风云瑞丰1号</x:v>
      </x:c>
      <x:c r="C1189" s="72" t="n">
        <x:v>45110</x:v>
      </x:c>
      <x:c r="D1189" s="73" t="n">
        <x:v>1.0454</x:v>
      </x:c>
      <x:c r="E1189" s="73" t="n">
        <x:v>1.0454</x:v>
      </x:c>
      <x:c r="F1189" s="73" t="n">
        <x:v>1.0454</x:v>
      </x:c>
      <x:c r="G1189" s="74" t="n">
        <x:v>0.0009</x:v>
      </x:c>
      <x:c r="H1189" s="66" t="str">
        <x:v>滨风风云瑞丰1号净值20260911.xlsx</x:v>
      </x:c>
      <x:c r="I1189" s="73" t="str">
        <x:f>""</x:f>
      </x:c>
      <x:c r="J1189" s="74" t="str">
        <x:f>""</x:f>
      </x:c>
      <x:c r="K1189" s="73" t="str">
        <x:f>""</x:f>
      </x:c>
      <x:c r="L1189" s="74" t="str">
        <x:f>""</x:f>
      </x:c>
      <x:c r="M1189" s="73" t="n">
        <x:f>MAX(M1188,F1189)</x:f>
        <x:v>1.0642</x:v>
      </x:c>
      <x:c r="N1189" s="74" t="n">
        <x:f>1-F1189/M1189</x:f>
        <x:v>0.017665852283405337</x:v>
      </x:c>
    </x:row>
    <x:row r="1190" ht="27" customHeight="1">
      <x:c r="A1190" s="66" t="str">
        <x:v>SXL267</x:v>
      </x:c>
      <x:c r="B1190" s="66" t="str">
        <x:v>滨风风云瑞丰1号</x:v>
      </x:c>
      <x:c r="C1190" s="72" t="n">
        <x:v>45111</x:v>
      </x:c>
      <x:c r="D1190" s="73" t="n">
        <x:v>1.0566</x:v>
      </x:c>
      <x:c r="E1190" s="73" t="n">
        <x:v>1.0566</x:v>
      </x:c>
      <x:c r="F1190" s="73" t="n">
        <x:v>1.0566</x:v>
      </x:c>
      <x:c r="G1190" s="74" t="n">
        <x:v>0.010700000000000001</x:v>
      </x:c>
      <x:c r="H1190" s="66" t="str">
        <x:v>滨风风云瑞丰1号净值20260911.xlsx</x:v>
      </x:c>
      <x:c r="I1190" s="73" t="str">
        <x:f>""</x:f>
      </x:c>
      <x:c r="J1190" s="74" t="str">
        <x:f>""</x:f>
      </x:c>
      <x:c r="K1190" s="73" t="str">
        <x:f>""</x:f>
      </x:c>
      <x:c r="L1190" s="74" t="str">
        <x:f>""</x:f>
      </x:c>
      <x:c r="M1190" s="73" t="n">
        <x:f>MAX(M1189,F1190)</x:f>
        <x:v>1.0642</x:v>
      </x:c>
      <x:c r="N1190" s="74" t="n">
        <x:f>1-F1190/M1190</x:f>
        <x:v>0.007141514752866063</x:v>
      </x:c>
    </x:row>
    <x:row r="1191" ht="27" customHeight="1">
      <x:c r="A1191" s="66" t="str">
        <x:v>SXL267</x:v>
      </x:c>
      <x:c r="B1191" s="66" t="str">
        <x:v>滨风风云瑞丰1号</x:v>
      </x:c>
      <x:c r="C1191" s="72" t="n">
        <x:v>45112</x:v>
      </x:c>
      <x:c r="D1191" s="73" t="n">
        <x:v>1.059</x:v>
      </x:c>
      <x:c r="E1191" s="73" t="n">
        <x:v>1.059</x:v>
      </x:c>
      <x:c r="F1191" s="73" t="n">
        <x:v>1.059</x:v>
      </x:c>
      <x:c r="G1191" s="74" t="n">
        <x:v>0.0023</x:v>
      </x:c>
      <x:c r="H1191" s="66" t="str">
        <x:v>滨风风云瑞丰1号净值20260911.xlsx</x:v>
      </x:c>
      <x:c r="I1191" s="73" t="str">
        <x:f>""</x:f>
      </x:c>
      <x:c r="J1191" s="74" t="str">
        <x:f>""</x:f>
      </x:c>
      <x:c r="K1191" s="73" t="str">
        <x:f>""</x:f>
      </x:c>
      <x:c r="L1191" s="74" t="str">
        <x:f>""</x:f>
      </x:c>
      <x:c r="M1191" s="73" t="n">
        <x:f>MAX(M1190,F1191)</x:f>
        <x:v>1.0642</x:v>
      </x:c>
      <x:c r="N1191" s="74" t="n">
        <x:f>1-F1191/M1191</x:f>
        <x:v>0.004886299567750552</x:v>
      </x:c>
    </x:row>
    <x:row r="1192" ht="27" customHeight="1">
      <x:c r="A1192" s="66" t="str">
        <x:v>SXL267</x:v>
      </x:c>
      <x:c r="B1192" s="66" t="str">
        <x:v>滨风风云瑞丰1号</x:v>
      </x:c>
      <x:c r="C1192" s="72" t="n">
        <x:v>45113</x:v>
      </x:c>
      <x:c r="D1192" s="73" t="n">
        <x:v>1.0566</x:v>
      </x:c>
      <x:c r="E1192" s="73" t="n">
        <x:v>1.0566</x:v>
      </x:c>
      <x:c r="F1192" s="73" t="n">
        <x:v>1.0566</x:v>
      </x:c>
      <x:c r="G1192" s="74" t="n">
        <x:v>-0.0023</x:v>
      </x:c>
      <x:c r="H1192" s="66" t="str">
        <x:v>滨风风云瑞丰1号净值20260911.xlsx</x:v>
      </x:c>
      <x:c r="I1192" s="73" t="str">
        <x:f>""</x:f>
      </x:c>
      <x:c r="J1192" s="74" t="str">
        <x:f>""</x:f>
      </x:c>
      <x:c r="K1192" s="73" t="str">
        <x:f>""</x:f>
      </x:c>
      <x:c r="L1192" s="74" t="str">
        <x:f>""</x:f>
      </x:c>
      <x:c r="M1192" s="73" t="n">
        <x:f>MAX(M1191,F1192)</x:f>
        <x:v>1.0642</x:v>
      </x:c>
      <x:c r="N1192" s="74" t="n">
        <x:f>1-F1192/M1192</x:f>
        <x:v>0.007141514752866063</x:v>
      </x:c>
    </x:row>
    <x:row r="1193" ht="27" customHeight="1">
      <x:c r="A1193" s="66" t="str">
        <x:v>SXL267</x:v>
      </x:c>
      <x:c r="B1193" s="66" t="str">
        <x:v>滨风风云瑞丰1号</x:v>
      </x:c>
      <x:c r="C1193" s="72" t="n">
        <x:v>45114</x:v>
      </x:c>
      <x:c r="D1193" s="73" t="n">
        <x:v>1.0525</x:v>
      </x:c>
      <x:c r="E1193" s="73" t="n">
        <x:v>1.0525</x:v>
      </x:c>
      <x:c r="F1193" s="73" t="n">
        <x:v>1.0525</x:v>
      </x:c>
      <x:c r="G1193" s="74" t="n">
        <x:v>-0.0039000000000000003</x:v>
      </x:c>
      <x:c r="H1193" s="66" t="str">
        <x:v>滨风风云瑞丰1号净值20260911.xlsx</x:v>
      </x:c>
      <x:c r="I1193" s="73" t="str">
        <x:f>""</x:f>
      </x:c>
      <x:c r="J1193" s="74" t="str">
        <x:f>""</x:f>
      </x:c>
      <x:c r="K1193" s="73" t="str">
        <x:f>""</x:f>
      </x:c>
      <x:c r="L1193" s="74" t="str">
        <x:f>""</x:f>
      </x:c>
      <x:c r="M1193" s="73" t="n">
        <x:f>MAX(M1192,F1193)</x:f>
        <x:v>1.0642</x:v>
      </x:c>
      <x:c r="N1193" s="74" t="n">
        <x:f>1-F1193/M1193</x:f>
        <x:v>0.010994174027438519</x:v>
      </x:c>
    </x:row>
    <x:row r="1194" ht="27" customHeight="1">
      <x:c r="A1194" s="66" t="str">
        <x:v>SXL267</x:v>
      </x:c>
      <x:c r="B1194" s="66" t="str">
        <x:v>滨风风云瑞丰1号</x:v>
      </x:c>
      <x:c r="C1194" s="72" t="n">
        <x:v>45117</x:v>
      </x:c>
      <x:c r="D1194" s="73" t="n">
        <x:v>1.0546</x:v>
      </x:c>
      <x:c r="E1194" s="73" t="n">
        <x:v>1.0546</x:v>
      </x:c>
      <x:c r="F1194" s="73" t="n">
        <x:v>1.0546</x:v>
      </x:c>
      <x:c r="G1194" s="74" t="n">
        <x:v>0.002</x:v>
      </x:c>
      <x:c r="H1194" s="66" t="str">
        <x:v>滨风风云瑞丰1号净值20260911.xlsx</x:v>
      </x:c>
      <x:c r="I1194" s="73" t="str">
        <x:f>""</x:f>
      </x:c>
      <x:c r="J1194" s="74" t="str">
        <x:f>""</x:f>
      </x:c>
      <x:c r="K1194" s="73" t="str">
        <x:f>""</x:f>
      </x:c>
      <x:c r="L1194" s="74" t="str">
        <x:f>""</x:f>
      </x:c>
      <x:c r="M1194" s="73" t="n">
        <x:f>MAX(M1193,F1194)</x:f>
        <x:v>1.0642</x:v>
      </x:c>
      <x:c r="N1194" s="74" t="n">
        <x:f>1-F1194/M1194</x:f>
        <x:v>0.009020860740462378</x:v>
      </x:c>
    </x:row>
    <x:row r="1195" ht="27" customHeight="1">
      <x:c r="A1195" s="66" t="str">
        <x:v>SXL267</x:v>
      </x:c>
      <x:c r="B1195" s="66" t="str">
        <x:v>滨风风云瑞丰1号</x:v>
      </x:c>
      <x:c r="C1195" s="72" t="n">
        <x:v>45118</x:v>
      </x:c>
      <x:c r="D1195" s="73" t="n">
        <x:v>1.0618</x:v>
      </x:c>
      <x:c r="E1195" s="73" t="n">
        <x:v>1.0618</x:v>
      </x:c>
      <x:c r="F1195" s="73" t="n">
        <x:v>1.0618</x:v>
      </x:c>
      <x:c r="G1195" s="74" t="n">
        <x:v>0.0068000000000000005</x:v>
      </x:c>
      <x:c r="H1195" s="66" t="str">
        <x:v>滨风风云瑞丰1号净值20260911.xlsx</x:v>
      </x:c>
      <x:c r="I1195" s="73" t="str">
        <x:f>""</x:f>
      </x:c>
      <x:c r="J1195" s="74" t="str">
        <x:f>""</x:f>
      </x:c>
      <x:c r="K1195" s="73" t="str">
        <x:f>""</x:f>
      </x:c>
      <x:c r="L1195" s="74" t="str">
        <x:f>""</x:f>
      </x:c>
      <x:c r="M1195" s="73" t="n">
        <x:f>MAX(M1194,F1195)</x:f>
        <x:v>1.0642</x:v>
      </x:c>
      <x:c r="N1195" s="74" t="n">
        <x:f>1-F1195/M1195</x:f>
        <x:v>0.002255215185115511</x:v>
      </x:c>
    </x:row>
    <x:row r="1196" ht="27" customHeight="1">
      <x:c r="A1196" s="66" t="str">
        <x:v>SXL267</x:v>
      </x:c>
      <x:c r="B1196" s="66" t="str">
        <x:v>滨风风云瑞丰1号</x:v>
      </x:c>
      <x:c r="C1196" s="72" t="n">
        <x:v>45119</x:v>
      </x:c>
      <x:c r="D1196" s="73" t="n">
        <x:v>1.0713</x:v>
      </x:c>
      <x:c r="E1196" s="73" t="n">
        <x:v>1.0713</x:v>
      </x:c>
      <x:c r="F1196" s="73" t="n">
        <x:v>1.0713</x:v>
      </x:c>
      <x:c r="G1196" s="74" t="n">
        <x:v>0.0089</x:v>
      </x:c>
      <x:c r="H1196" s="66" t="str">
        <x:v>滨风风云瑞丰1号净值20260911.xlsx</x:v>
      </x:c>
      <x:c r="I1196" s="73" t="str">
        <x:f>""</x:f>
      </x:c>
      <x:c r="J1196" s="74" t="str">
        <x:f>""</x:f>
      </x:c>
      <x:c r="K1196" s="73" t="str">
        <x:f>""</x:f>
      </x:c>
      <x:c r="L1196" s="74" t="str">
        <x:f>""</x:f>
      </x:c>
      <x:c r="M1196" s="73" t="n">
        <x:f>MAX(M1195,F1196)</x:f>
        <x:v>1.0713</x:v>
      </x:c>
      <x:c r="N1196" s="74" t="n">
        <x:f>1-F1196/M1196</x:f>
        <x:v>0</x:v>
      </x:c>
    </x:row>
    <x:row r="1197" ht="27" customHeight="1">
      <x:c r="A1197" s="66" t="str">
        <x:v>SXL267</x:v>
      </x:c>
      <x:c r="B1197" s="66" t="str">
        <x:v>滨风风云瑞丰1号</x:v>
      </x:c>
      <x:c r="C1197" s="72" t="n">
        <x:v>45120</x:v>
      </x:c>
      <x:c r="D1197" s="73" t="n">
        <x:v>1.07</x:v>
      </x:c>
      <x:c r="E1197" s="73" t="n">
        <x:v>1.07</x:v>
      </x:c>
      <x:c r="F1197" s="73" t="n">
        <x:v>1.07</x:v>
      </x:c>
      <x:c r="G1197" s="74" t="n">
        <x:v>-0.0012</x:v>
      </x:c>
      <x:c r="H1197" s="66" t="str">
        <x:v>滨风风云瑞丰1号净值20260911.xlsx</x:v>
      </x:c>
      <x:c r="I1197" s="73" t="str">
        <x:f>""</x:f>
      </x:c>
      <x:c r="J1197" s="74" t="str">
        <x:f>""</x:f>
      </x:c>
      <x:c r="K1197" s="73" t="str">
        <x:f>""</x:f>
      </x:c>
      <x:c r="L1197" s="74" t="str">
        <x:f>""</x:f>
      </x:c>
      <x:c r="M1197" s="73" t="n">
        <x:f>MAX(M1196,F1197)</x:f>
        <x:v>1.0713</x:v>
      </x:c>
      <x:c r="N1197" s="74" t="n">
        <x:f>1-F1197/M1197</x:f>
        <x:v>0.0012134789508072563</x:v>
      </x:c>
    </x:row>
    <x:row r="1198" ht="27" customHeight="1">
      <x:c r="A1198" s="66" t="str">
        <x:v>SXL267</x:v>
      </x:c>
      <x:c r="B1198" s="66" t="str">
        <x:v>滨风风云瑞丰1号</x:v>
      </x:c>
      <x:c r="C1198" s="72" t="n">
        <x:v>45121</x:v>
      </x:c>
      <x:c r="D1198" s="73" t="n">
        <x:v>1.0704</x:v>
      </x:c>
      <x:c r="E1198" s="73" t="n">
        <x:v>1.0704</x:v>
      </x:c>
      <x:c r="F1198" s="73" t="n">
        <x:v>1.0704</x:v>
      </x:c>
      <x:c r="G1198" s="74" t="n">
        <x:v>0.0004</x:v>
      </x:c>
      <x:c r="H1198" s="66" t="str">
        <x:v>滨风风云瑞丰1号净值20260911.xlsx</x:v>
      </x:c>
      <x:c r="I1198" s="73" t="str">
        <x:f>""</x:f>
      </x:c>
      <x:c r="J1198" s="74" t="str">
        <x:f>""</x:f>
      </x:c>
      <x:c r="K1198" s="73" t="str">
        <x:f>""</x:f>
      </x:c>
      <x:c r="L1198" s="74" t="str">
        <x:f>""</x:f>
      </x:c>
      <x:c r="M1198" s="73" t="n">
        <x:f>MAX(M1197,F1198)</x:f>
        <x:v>1.0713</x:v>
      </x:c>
      <x:c r="N1198" s="74" t="n">
        <x:f>1-F1198/M1198</x:f>
        <x:v>0.0008401008120973996</x:v>
      </x:c>
    </x:row>
    <x:row r="1199" ht="27" customHeight="1">
      <x:c r="A1199" s="66" t="str">
        <x:v>SXL267</x:v>
      </x:c>
      <x:c r="B1199" s="66" t="str">
        <x:v>滨风风云瑞丰1号</x:v>
      </x:c>
      <x:c r="C1199" s="72" t="n">
        <x:v>45124</x:v>
      </x:c>
      <x:c r="D1199" s="73" t="n">
        <x:v>1.0691</x:v>
      </x:c>
      <x:c r="E1199" s="73" t="n">
        <x:v>1.0691</x:v>
      </x:c>
      <x:c r="F1199" s="73" t="n">
        <x:v>1.0691</x:v>
      </x:c>
      <x:c r="G1199" s="74" t="n">
        <x:v>-0.0012</x:v>
      </x:c>
      <x:c r="H1199" s="66" t="str">
        <x:v>滨风风云瑞丰1号净值20260911.xlsx</x:v>
      </x:c>
      <x:c r="I1199" s="73" t="str">
        <x:f>""</x:f>
      </x:c>
      <x:c r="J1199" s="74" t="str">
        <x:f>""</x:f>
      </x:c>
      <x:c r="K1199" s="73" t="str">
        <x:f>""</x:f>
      </x:c>
      <x:c r="L1199" s="74" t="str">
        <x:f>""</x:f>
      </x:c>
      <x:c r="M1199" s="73" t="n">
        <x:f>MAX(M1198,F1199)</x:f>
        <x:v>1.0713</x:v>
      </x:c>
      <x:c r="N1199" s="74" t="n">
        <x:f>1-F1199/M1199</x:f>
        <x:v>0.002053579762904878</x:v>
      </x:c>
    </x:row>
    <x:row r="1200" ht="27" customHeight="1">
      <x:c r="A1200" s="66" t="str">
        <x:v>SXL267</x:v>
      </x:c>
      <x:c r="B1200" s="66" t="str">
        <x:v>滨风风云瑞丰1号</x:v>
      </x:c>
      <x:c r="C1200" s="72" t="n">
        <x:v>45125</x:v>
      </x:c>
      <x:c r="D1200" s="73" t="n">
        <x:v>1.0708</x:v>
      </x:c>
      <x:c r="E1200" s="73" t="n">
        <x:v>1.0708</x:v>
      </x:c>
      <x:c r="F1200" s="73" t="n">
        <x:v>1.0708</x:v>
      </x:c>
      <x:c r="G1200" s="74" t="n">
        <x:v>0.0016</x:v>
      </x:c>
      <x:c r="H1200" s="66" t="str">
        <x:v>滨风风云瑞丰1号净值20260911.xlsx</x:v>
      </x:c>
      <x:c r="I1200" s="73" t="str">
        <x:f>""</x:f>
      </x:c>
      <x:c r="J1200" s="74" t="str">
        <x:f>""</x:f>
      </x:c>
      <x:c r="K1200" s="73" t="str">
        <x:f>""</x:f>
      </x:c>
      <x:c r="L1200" s="74" t="str">
        <x:f>""</x:f>
      </x:c>
      <x:c r="M1200" s="73" t="n">
        <x:f>MAX(M1199,F1200)</x:f>
        <x:v>1.0713</x:v>
      </x:c>
      <x:c r="N1200" s="74" t="n">
        <x:f>1-F1200/M1200</x:f>
        <x:v>0.0004667226733874319</x:v>
      </x:c>
    </x:row>
    <x:row r="1201" ht="27" customHeight="1">
      <x:c r="A1201" s="66" t="str">
        <x:v>SXL267</x:v>
      </x:c>
      <x:c r="B1201" s="66" t="str">
        <x:v>滨风风云瑞丰1号</x:v>
      </x:c>
      <x:c r="C1201" s="72" t="n">
        <x:v>45126</x:v>
      </x:c>
      <x:c r="D1201" s="73" t="n">
        <x:v>1.0651</x:v>
      </x:c>
      <x:c r="E1201" s="73" t="n">
        <x:v>1.0651</x:v>
      </x:c>
      <x:c r="F1201" s="73" t="n">
        <x:v>1.0651</x:v>
      </x:c>
      <x:c r="G1201" s="74" t="n">
        <x:v>-0.0053</x:v>
      </x:c>
      <x:c r="H1201" s="66" t="str">
        <x:v>滨风风云瑞丰1号净值20260911.xlsx</x:v>
      </x:c>
      <x:c r="I1201" s="73" t="str">
        <x:f>""</x:f>
      </x:c>
      <x:c r="J1201" s="74" t="str">
        <x:f>""</x:f>
      </x:c>
      <x:c r="K1201" s="73" t="str">
        <x:f>""</x:f>
      </x:c>
      <x:c r="L1201" s="74" t="str">
        <x:f>""</x:f>
      </x:c>
      <x:c r="M1201" s="73" t="n">
        <x:f>MAX(M1200,F1201)</x:f>
        <x:v>1.0713</x:v>
      </x:c>
      <x:c r="N1201" s="74" t="n">
        <x:f>1-F1201/M1201</x:f>
        <x:v>0.005787361150004666</x:v>
      </x:c>
    </x:row>
    <x:row r="1202" ht="27" customHeight="1">
      <x:c r="A1202" s="66" t="str">
        <x:v>SXL267</x:v>
      </x:c>
      <x:c r="B1202" s="66" t="str">
        <x:v>滨风风云瑞丰1号</x:v>
      </x:c>
      <x:c r="C1202" s="72" t="n">
        <x:v>45127</x:v>
      </x:c>
      <x:c r="D1202" s="73" t="n">
        <x:v>1.0607</x:v>
      </x:c>
      <x:c r="E1202" s="73" t="n">
        <x:v>1.0607</x:v>
      </x:c>
      <x:c r="F1202" s="73" t="n">
        <x:v>1.0607</x:v>
      </x:c>
      <x:c r="G1202" s="74" t="n">
        <x:v>-0.0040999999999999995</x:v>
      </x:c>
      <x:c r="H1202" s="66" t="str">
        <x:v>滨风风云瑞丰1号净值20260911.xlsx</x:v>
      </x:c>
      <x:c r="I1202" s="73" t="str">
        <x:f>""</x:f>
      </x:c>
      <x:c r="J1202" s="74" t="str">
        <x:f>""</x:f>
      </x:c>
      <x:c r="K1202" s="73" t="str">
        <x:f>""</x:f>
      </x:c>
      <x:c r="L1202" s="74" t="str">
        <x:f>""</x:f>
      </x:c>
      <x:c r="M1202" s="73" t="n">
        <x:f>MAX(M1201,F1202)</x:f>
        <x:v>1.0713</x:v>
      </x:c>
      <x:c r="N1202" s="74" t="n">
        <x:f>1-F1202/M1202</x:f>
        <x:v>0.009894520675814422</x:v>
      </x:c>
    </x:row>
    <x:row r="1203" ht="27" customHeight="1">
      <x:c r="A1203" s="66" t="str">
        <x:v>SXL267</x:v>
      </x:c>
      <x:c r="B1203" s="66" t="str">
        <x:v>滨风风云瑞丰1号</x:v>
      </x:c>
      <x:c r="C1203" s="72" t="n">
        <x:v>45128</x:v>
      </x:c>
      <x:c r="D1203" s="73" t="n">
        <x:v>1.069</x:v>
      </x:c>
      <x:c r="E1203" s="73" t="n">
        <x:v>1.069</x:v>
      </x:c>
      <x:c r="F1203" s="73" t="n">
        <x:v>1.069</x:v>
      </x:c>
      <x:c r="G1203" s="74" t="n">
        <x:v>0.0078000000000000005</x:v>
      </x:c>
      <x:c r="H1203" s="66" t="str">
        <x:v>滨风风云瑞丰1号净值20260911.xlsx</x:v>
      </x:c>
      <x:c r="I1203" s="73" t="str">
        <x:f>""</x:f>
      </x:c>
      <x:c r="J1203" s="74" t="str">
        <x:f>""</x:f>
      </x:c>
      <x:c r="K1203" s="73" t="str">
        <x:f>""</x:f>
      </x:c>
      <x:c r="L1203" s="74" t="str">
        <x:f>""</x:f>
      </x:c>
      <x:c r="M1203" s="73" t="n">
        <x:f>MAX(M1202,F1203)</x:f>
        <x:v>1.0713</x:v>
      </x:c>
      <x:c r="N1203" s="74" t="n">
        <x:f>1-F1203/M1203</x:f>
        <x:v>0.002146924297582342</x:v>
      </x:c>
    </x:row>
    <x:row r="1204" ht="27" customHeight="1">
      <x:c r="A1204" s="66" t="str">
        <x:v>SXL267</x:v>
      </x:c>
      <x:c r="B1204" s="66" t="str">
        <x:v>滨风风云瑞丰1号</x:v>
      </x:c>
      <x:c r="C1204" s="72" t="n">
        <x:v>45131</x:v>
      </x:c>
      <x:c r="D1204" s="73" t="n">
        <x:v>1.0773</x:v>
      </x:c>
      <x:c r="E1204" s="73" t="n">
        <x:v>1.0773</x:v>
      </x:c>
      <x:c r="F1204" s="73" t="n">
        <x:v>1.0773</x:v>
      </x:c>
      <x:c r="G1204" s="74" t="n">
        <x:v>0.0078000000000000005</x:v>
      </x:c>
      <x:c r="H1204" s="66" t="str">
        <x:v>滨风风云瑞丰1号净值20260911.xlsx</x:v>
      </x:c>
      <x:c r="I1204" s="73" t="str">
        <x:f>""</x:f>
      </x:c>
      <x:c r="J1204" s="74" t="str">
        <x:f>""</x:f>
      </x:c>
      <x:c r="K1204" s="73" t="str">
        <x:f>""</x:f>
      </x:c>
      <x:c r="L1204" s="74" t="str">
        <x:f>""</x:f>
      </x:c>
      <x:c r="M1204" s="73" t="n">
        <x:f>MAX(M1203,F1204)</x:f>
        <x:v>1.0773</x:v>
      </x:c>
      <x:c r="N1204" s="74" t="n">
        <x:f>1-F1204/M1204</x:f>
        <x:v>0</x:v>
      </x:c>
    </x:row>
    <x:row r="1205" ht="27" customHeight="1">
      <x:c r="A1205" s="66" t="str">
        <x:v>SXL267</x:v>
      </x:c>
      <x:c r="B1205" s="66" t="str">
        <x:v>滨风风云瑞丰1号</x:v>
      </x:c>
      <x:c r="C1205" s="72" t="n">
        <x:v>45132</x:v>
      </x:c>
      <x:c r="D1205" s="73" t="n">
        <x:v>1.0837</x:v>
      </x:c>
      <x:c r="E1205" s="73" t="n">
        <x:v>1.0837</x:v>
      </x:c>
      <x:c r="F1205" s="73" t="n">
        <x:v>1.0837</x:v>
      </x:c>
      <x:c r="G1205" s="74" t="n">
        <x:v>0.0059</x:v>
      </x:c>
      <x:c r="H1205" s="66" t="str">
        <x:v>滨风风云瑞丰1号净值20260911.xlsx</x:v>
      </x:c>
      <x:c r="I1205" s="73" t="str">
        <x:f>""</x:f>
      </x:c>
      <x:c r="J1205" s="74" t="str">
        <x:f>""</x:f>
      </x:c>
      <x:c r="K1205" s="73" t="str">
        <x:f>""</x:f>
      </x:c>
      <x:c r="L1205" s="74" t="str">
        <x:f>""</x:f>
      </x:c>
      <x:c r="M1205" s="73" t="n">
        <x:f>MAX(M1204,F1205)</x:f>
        <x:v>1.0837</x:v>
      </x:c>
      <x:c r="N1205" s="74" t="n">
        <x:f>1-F1205/M1205</x:f>
        <x:v>0</x:v>
      </x:c>
    </x:row>
    <x:row r="1206" ht="27" customHeight="1">
      <x:c r="A1206" s="66" t="str">
        <x:v>SXL267</x:v>
      </x:c>
      <x:c r="B1206" s="66" t="str">
        <x:v>滨风风云瑞丰1号</x:v>
      </x:c>
      <x:c r="C1206" s="72" t="n">
        <x:v>45133</x:v>
      </x:c>
      <x:c r="D1206" s="73" t="n">
        <x:v>1.0977</x:v>
      </x:c>
      <x:c r="E1206" s="73" t="n">
        <x:v>1.0977</x:v>
      </x:c>
      <x:c r="F1206" s="73" t="n">
        <x:v>1.0977</x:v>
      </x:c>
      <x:c r="G1206" s="74" t="n">
        <x:v>0.0129</x:v>
      </x:c>
      <x:c r="H1206" s="66" t="str">
        <x:v>滨风风云瑞丰1号净值20260911.xlsx</x:v>
      </x:c>
      <x:c r="I1206" s="73" t="str">
        <x:f>""</x:f>
      </x:c>
      <x:c r="J1206" s="74" t="str">
        <x:f>""</x:f>
      </x:c>
      <x:c r="K1206" s="73" t="str">
        <x:f>""</x:f>
      </x:c>
      <x:c r="L1206" s="74" t="str">
        <x:f>""</x:f>
      </x:c>
      <x:c r="M1206" s="73" t="n">
        <x:f>MAX(M1205,F1206)</x:f>
        <x:v>1.0977</x:v>
      </x:c>
      <x:c r="N1206" s="74" t="n">
        <x:f>1-F1206/M1206</x:f>
        <x:v>0</x:v>
      </x:c>
    </x:row>
    <x:row r="1207" ht="27" customHeight="1">
      <x:c r="A1207" s="66" t="str">
        <x:v>SXL267</x:v>
      </x:c>
      <x:c r="B1207" s="66" t="str">
        <x:v>滨风风云瑞丰1号</x:v>
      </x:c>
      <x:c r="C1207" s="72" t="n">
        <x:v>45134</x:v>
      </x:c>
      <x:c r="D1207" s="73" t="n">
        <x:v>1.116</x:v>
      </x:c>
      <x:c r="E1207" s="73" t="n">
        <x:v>1.116</x:v>
      </x:c>
      <x:c r="F1207" s="73" t="n">
        <x:v>1.116</x:v>
      </x:c>
      <x:c r="G1207" s="74" t="n">
        <x:v>0.0167</x:v>
      </x:c>
      <x:c r="H1207" s="66" t="str">
        <x:v>滨风风云瑞丰1号净值20260911.xlsx</x:v>
      </x:c>
      <x:c r="I1207" s="73" t="str">
        <x:f>""</x:f>
      </x:c>
      <x:c r="J1207" s="74" t="str">
        <x:f>""</x:f>
      </x:c>
      <x:c r="K1207" s="73" t="str">
        <x:f>""</x:f>
      </x:c>
      <x:c r="L1207" s="74" t="str">
        <x:f>""</x:f>
      </x:c>
      <x:c r="M1207" s="73" t="n">
        <x:f>MAX(M1206,F1207)</x:f>
        <x:v>1.116</x:v>
      </x:c>
      <x:c r="N1207" s="74" t="n">
        <x:f>1-F1207/M1207</x:f>
        <x:v>0</x:v>
      </x:c>
    </x:row>
    <x:row r="1208" ht="27" customHeight="1">
      <x:c r="A1208" s="66" t="str">
        <x:v>SXL267</x:v>
      </x:c>
      <x:c r="B1208" s="66" t="str">
        <x:v>滨风风云瑞丰1号</x:v>
      </x:c>
      <x:c r="C1208" s="72" t="n">
        <x:v>45135</x:v>
      </x:c>
      <x:c r="D1208" s="73" t="n">
        <x:v>1.1243</x:v>
      </x:c>
      <x:c r="E1208" s="73" t="n">
        <x:v>1.1243</x:v>
      </x:c>
      <x:c r="F1208" s="73" t="n">
        <x:v>1.1243</x:v>
      </x:c>
      <x:c r="G1208" s="74" t="n">
        <x:v>0.0074</x:v>
      </x:c>
      <x:c r="H1208" s="66" t="str">
        <x:v>滨风风云瑞丰1号净值20260911.xlsx</x:v>
      </x:c>
      <x:c r="I1208" s="73" t="str">
        <x:f>""</x:f>
      </x:c>
      <x:c r="J1208" s="74" t="str">
        <x:f>""</x:f>
      </x:c>
      <x:c r="K1208" s="73" t="str">
        <x:f>""</x:f>
      </x:c>
      <x:c r="L1208" s="74" t="str">
        <x:f>""</x:f>
      </x:c>
      <x:c r="M1208" s="73" t="n">
        <x:f>MAX(M1207,F1208)</x:f>
        <x:v>1.1243</x:v>
      </x:c>
      <x:c r="N1208" s="74" t="n">
        <x:f>1-F1208/M1208</x:f>
        <x:v>0</x:v>
      </x:c>
    </x:row>
    <x:row r="1209" ht="27" customHeight="1">
      <x:c r="A1209" s="66" t="str">
        <x:v>SXL267</x:v>
      </x:c>
      <x:c r="B1209" s="66" t="str">
        <x:v>滨风风云瑞丰1号</x:v>
      </x:c>
      <x:c r="C1209" s="72" t="n">
        <x:v>45138</x:v>
      </x:c>
      <x:c r="D1209" s="73" t="n">
        <x:v>1.1174</x:v>
      </x:c>
      <x:c r="E1209" s="73" t="n">
        <x:v>1.1174</x:v>
      </x:c>
      <x:c r="F1209" s="73" t="n">
        <x:v>1.1174</x:v>
      </x:c>
      <x:c r="G1209" s="74" t="n">
        <x:v>-0.0060999999999999995</x:v>
      </x:c>
      <x:c r="H1209" s="66" t="str">
        <x:v>滨风风云瑞丰1号净值20260911.xlsx</x:v>
      </x:c>
      <x:c r="I1209" s="73" t="str">
        <x:f>""</x:f>
      </x:c>
      <x:c r="J1209" s="74" t="str">
        <x:f>""</x:f>
      </x:c>
      <x:c r="K1209" s="73" t="str">
        <x:f>""</x:f>
      </x:c>
      <x:c r="L1209" s="74" t="str">
        <x:f>""</x:f>
      </x:c>
      <x:c r="M1209" s="73" t="n">
        <x:f>MAX(M1208,F1209)</x:f>
        <x:v>1.1243</x:v>
      </x:c>
      <x:c r="N1209" s="74" t="n">
        <x:f>1-F1209/M1209</x:f>
        <x:v>0.006137152005692537</x:v>
      </x:c>
    </x:row>
    <x:row r="1210" ht="27" customHeight="1">
      <x:c r="A1210" s="66" t="str">
        <x:v>SXL267</x:v>
      </x:c>
      <x:c r="B1210" s="66" t="str">
        <x:v>滨风风云瑞丰1号</x:v>
      </x:c>
      <x:c r="C1210" s="72" t="n">
        <x:v>45139</x:v>
      </x:c>
      <x:c r="D1210" s="73" t="n">
        <x:v>1.1143</x:v>
      </x:c>
      <x:c r="E1210" s="73" t="n">
        <x:v>1.1143</x:v>
      </x:c>
      <x:c r="F1210" s="73" t="n">
        <x:v>1.1143</x:v>
      </x:c>
      <x:c r="G1210" s="74" t="n">
        <x:v>-0.0028000000000000004</x:v>
      </x:c>
      <x:c r="H1210" s="66" t="str">
        <x:v>滨风风云瑞丰1号净值20260911.xlsx</x:v>
      </x:c>
      <x:c r="I1210" s="73" t="str">
        <x:f>""</x:f>
      </x:c>
      <x:c r="J1210" s="74" t="str">
        <x:f>""</x:f>
      </x:c>
      <x:c r="K1210" s="73" t="str">
        <x:f>""</x:f>
      </x:c>
      <x:c r="L1210" s="74" t="str">
        <x:f>""</x:f>
      </x:c>
      <x:c r="M1210" s="73" t="n">
        <x:f>MAX(M1209,F1210)</x:f>
        <x:v>1.1243</x:v>
      </x:c>
      <x:c r="N1210" s="74" t="n">
        <x:f>1-F1210/M1210</x:f>
        <x:v>0.008894423196655676</x:v>
      </x:c>
    </x:row>
    <x:row r="1211" ht="27" customHeight="1">
      <x:c r="A1211" s="66" t="str">
        <x:v>SXL267</x:v>
      </x:c>
      <x:c r="B1211" s="66" t="str">
        <x:v>滨风风云瑞丰1号</x:v>
      </x:c>
      <x:c r="C1211" s="72" t="n">
        <x:v>45140</x:v>
      </x:c>
      <x:c r="D1211" s="73" t="n">
        <x:v>1.1081</x:v>
      </x:c>
      <x:c r="E1211" s="73" t="n">
        <x:v>1.1081</x:v>
      </x:c>
      <x:c r="F1211" s="73" t="n">
        <x:v>1.1081</x:v>
      </x:c>
      <x:c r="G1211" s="74" t="n">
        <x:v>-0.005600000000000001</x:v>
      </x:c>
      <x:c r="H1211" s="66" t="str">
        <x:v>滨风风云瑞丰1号净值20260911.xlsx</x:v>
      </x:c>
      <x:c r="I1211" s="73" t="str">
        <x:f>""</x:f>
      </x:c>
      <x:c r="J1211" s="74" t="str">
        <x:f>""</x:f>
      </x:c>
      <x:c r="K1211" s="73" t="str">
        <x:f>""</x:f>
      </x:c>
      <x:c r="L1211" s="74" t="str">
        <x:f>""</x:f>
      </x:c>
      <x:c r="M1211" s="73" t="n">
        <x:f>MAX(M1210,F1211)</x:f>
        <x:v>1.1243</x:v>
      </x:c>
      <x:c r="N1211" s="74" t="n">
        <x:f>1-F1211/M1211</x:f>
        <x:v>0.014408965578582178</x:v>
      </x:c>
    </x:row>
    <x:row r="1212" ht="27" customHeight="1">
      <x:c r="A1212" s="66" t="str">
        <x:v>SXL267</x:v>
      </x:c>
      <x:c r="B1212" s="66" t="str">
        <x:v>滨风风云瑞丰1号</x:v>
      </x:c>
      <x:c r="C1212" s="72" t="n">
        <x:v>45141</x:v>
      </x:c>
      <x:c r="D1212" s="73" t="n">
        <x:v>1.122</x:v>
      </x:c>
      <x:c r="E1212" s="73" t="n">
        <x:v>1.122</x:v>
      </x:c>
      <x:c r="F1212" s="73" t="n">
        <x:v>1.122</x:v>
      </x:c>
      <x:c r="G1212" s="74" t="n">
        <x:v>0.0125</x:v>
      </x:c>
      <x:c r="H1212" s="66" t="str">
        <x:v>滨风风云瑞丰1号净值20260911.xlsx</x:v>
      </x:c>
      <x:c r="I1212" s="73" t="str">
        <x:f>""</x:f>
      </x:c>
      <x:c r="J1212" s="74" t="str">
        <x:f>""</x:f>
      </x:c>
      <x:c r="K1212" s="73" t="str">
        <x:f>""</x:f>
      </x:c>
      <x:c r="L1212" s="74" t="str">
        <x:f>""</x:f>
      </x:c>
      <x:c r="M1212" s="73" t="n">
        <x:f>MAX(M1211,F1212)</x:f>
        <x:v>1.1243</x:v>
      </x:c>
      <x:c r="N1212" s="74" t="n">
        <x:f>1-F1212/M1212</x:f>
        <x:v>0.0020457173352307345</x:v>
      </x:c>
    </x:row>
    <x:row r="1213" ht="27" customHeight="1">
      <x:c r="A1213" s="66" t="str">
        <x:v>SXL267</x:v>
      </x:c>
      <x:c r="B1213" s="66" t="str">
        <x:v>滨风风云瑞丰1号</x:v>
      </x:c>
      <x:c r="C1213" s="72" t="n">
        <x:v>45142</x:v>
      </x:c>
      <x:c r="D1213" s="73" t="n">
        <x:v>1.1284</x:v>
      </x:c>
      <x:c r="E1213" s="73" t="n">
        <x:v>1.1284</x:v>
      </x:c>
      <x:c r="F1213" s="73" t="n">
        <x:v>1.1284</x:v>
      </x:c>
      <x:c r="G1213" s="74" t="n">
        <x:v>0.005699999999999999</x:v>
      </x:c>
      <x:c r="H1213" s="66" t="str">
        <x:v>滨风风云瑞丰1号净值20260911.xlsx</x:v>
      </x:c>
      <x:c r="I1213" s="73" t="str">
        <x:f>""</x:f>
      </x:c>
      <x:c r="J1213" s="74" t="str">
        <x:f>""</x:f>
      </x:c>
      <x:c r="K1213" s="73" t="str">
        <x:f>""</x:f>
      </x:c>
      <x:c r="L1213" s="74" t="str">
        <x:f>""</x:f>
      </x:c>
      <x:c r="M1213" s="73" t="n">
        <x:f>MAX(M1212,F1213)</x:f>
        <x:v>1.1284</x:v>
      </x:c>
      <x:c r="N1213" s="74" t="n">
        <x:f>1-F1213/M1213</x:f>
        <x:v>0</x:v>
      </x:c>
    </x:row>
    <x:row r="1214" ht="27" customHeight="1">
      <x:c r="A1214" s="66" t="str">
        <x:v>SXL267</x:v>
      </x:c>
      <x:c r="B1214" s="66" t="str">
        <x:v>滨风风云瑞丰1号</x:v>
      </x:c>
      <x:c r="C1214" s="72" t="n">
        <x:v>45145</x:v>
      </x:c>
      <x:c r="D1214" s="73" t="n">
        <x:v>1.1333</x:v>
      </x:c>
      <x:c r="E1214" s="73" t="n">
        <x:v>1.1333</x:v>
      </x:c>
      <x:c r="F1214" s="73" t="n">
        <x:v>1.1333</x:v>
      </x:c>
      <x:c r="G1214" s="74" t="n">
        <x:v>0.0043</x:v>
      </x:c>
      <x:c r="H1214" s="66" t="str">
        <x:v>滨风风云瑞丰1号净值20260911.xlsx</x:v>
      </x:c>
      <x:c r="I1214" s="73" t="str">
        <x:f>""</x:f>
      </x:c>
      <x:c r="J1214" s="74" t="str">
        <x:f>""</x:f>
      </x:c>
      <x:c r="K1214" s="73" t="str">
        <x:f>""</x:f>
      </x:c>
      <x:c r="L1214" s="74" t="str">
        <x:f>""</x:f>
      </x:c>
      <x:c r="M1214" s="73" t="n">
        <x:f>MAX(M1213,F1214)</x:f>
        <x:v>1.1333</x:v>
      </x:c>
      <x:c r="N1214" s="74" t="n">
        <x:f>1-F1214/M1214</x:f>
        <x:v>0</x:v>
      </x:c>
    </x:row>
    <x:row r="1215" ht="27" customHeight="1">
      <x:c r="A1215" s="66" t="str">
        <x:v>SXL267</x:v>
      </x:c>
      <x:c r="B1215" s="66" t="str">
        <x:v>滨风风云瑞丰1号</x:v>
      </x:c>
      <x:c r="C1215" s="72" t="n">
        <x:v>45146</x:v>
      </x:c>
      <x:c r="D1215" s="73" t="n">
        <x:v>1.1413</x:v>
      </x:c>
      <x:c r="E1215" s="73" t="n">
        <x:v>1.1413</x:v>
      </x:c>
      <x:c r="F1215" s="73" t="n">
        <x:v>1.1413</x:v>
      </x:c>
      <x:c r="G1215" s="74" t="n">
        <x:v>0.0070999999999999995</x:v>
      </x:c>
      <x:c r="H1215" s="66" t="str">
        <x:v>滨风风云瑞丰1号净值20260911.xlsx</x:v>
      </x:c>
      <x:c r="I1215" s="73" t="str">
        <x:f>""</x:f>
      </x:c>
      <x:c r="J1215" s="74" t="str">
        <x:f>""</x:f>
      </x:c>
      <x:c r="K1215" s="73" t="str">
        <x:f>""</x:f>
      </x:c>
      <x:c r="L1215" s="74" t="str">
        <x:f>""</x:f>
      </x:c>
      <x:c r="M1215" s="73" t="n">
        <x:f>MAX(M1214,F1215)</x:f>
        <x:v>1.1413</x:v>
      </x:c>
      <x:c r="N1215" s="74" t="n">
        <x:f>1-F1215/M1215</x:f>
        <x:v>0</x:v>
      </x:c>
    </x:row>
    <x:row r="1216" ht="27" customHeight="1">
      <x:c r="A1216" s="66" t="str">
        <x:v>SXL267</x:v>
      </x:c>
      <x:c r="B1216" s="66" t="str">
        <x:v>滨风风云瑞丰1号</x:v>
      </x:c>
      <x:c r="C1216" s="72" t="n">
        <x:v>45147</x:v>
      </x:c>
      <x:c r="D1216" s="73" t="n">
        <x:v>1.1384</x:v>
      </x:c>
      <x:c r="E1216" s="73" t="n">
        <x:v>1.1384</x:v>
      </x:c>
      <x:c r="F1216" s="73" t="n">
        <x:v>1.1384</x:v>
      </x:c>
      <x:c r="G1216" s="74" t="n">
        <x:v>-0.0025</x:v>
      </x:c>
      <x:c r="H1216" s="66" t="str">
        <x:v>滨风风云瑞丰1号净值20260911.xlsx</x:v>
      </x:c>
      <x:c r="I1216" s="73" t="str">
        <x:f>""</x:f>
      </x:c>
      <x:c r="J1216" s="74" t="str">
        <x:f>""</x:f>
      </x:c>
      <x:c r="K1216" s="73" t="str">
        <x:f>""</x:f>
      </x:c>
      <x:c r="L1216" s="74" t="str">
        <x:f>""</x:f>
      </x:c>
      <x:c r="M1216" s="73" t="n">
        <x:f>MAX(M1215,F1216)</x:f>
        <x:v>1.1413</x:v>
      </x:c>
      <x:c r="N1216" s="74" t="n">
        <x:f>1-F1216/M1216</x:f>
        <x:v>0.002540962060807783</x:v>
      </x:c>
    </x:row>
    <x:row r="1217" ht="27" customHeight="1">
      <x:c r="A1217" s="66" t="str">
        <x:v>SXL267</x:v>
      </x:c>
      <x:c r="B1217" s="66" t="str">
        <x:v>滨风风云瑞丰1号</x:v>
      </x:c>
      <x:c r="C1217" s="72" t="n">
        <x:v>45148</x:v>
      </x:c>
      <x:c r="D1217" s="73" t="n">
        <x:v>1.144</x:v>
      </x:c>
      <x:c r="E1217" s="73" t="n">
        <x:v>1.144</x:v>
      </x:c>
      <x:c r="F1217" s="73" t="n">
        <x:v>1.144</x:v>
      </x:c>
      <x:c r="G1217" s="74" t="n">
        <x:v>0.0049</x:v>
      </x:c>
      <x:c r="H1217" s="66" t="str">
        <x:v>滨风风云瑞丰1号净值20260911.xlsx</x:v>
      </x:c>
      <x:c r="I1217" s="73" t="str">
        <x:f>""</x:f>
      </x:c>
      <x:c r="J1217" s="74" t="str">
        <x:f>""</x:f>
      </x:c>
      <x:c r="K1217" s="73" t="str">
        <x:f>""</x:f>
      </x:c>
      <x:c r="L1217" s="74" t="str">
        <x:f>""</x:f>
      </x:c>
      <x:c r="M1217" s="73" t="n">
        <x:f>MAX(M1216,F1217)</x:f>
        <x:v>1.144</x:v>
      </x:c>
      <x:c r="N1217" s="74" t="n">
        <x:f>1-F1217/M1217</x:f>
        <x:v>0</x:v>
      </x:c>
    </x:row>
    <x:row r="1218" ht="27" customHeight="1">
      <x:c r="A1218" s="66" t="str">
        <x:v>SXL267</x:v>
      </x:c>
      <x:c r="B1218" s="66" t="str">
        <x:v>滨风风云瑞丰1号</x:v>
      </x:c>
      <x:c r="C1218" s="72" t="n">
        <x:v>45149</x:v>
      </x:c>
      <x:c r="D1218" s="73" t="n">
        <x:v>1.1421</x:v>
      </x:c>
      <x:c r="E1218" s="73" t="n">
        <x:v>1.1421</x:v>
      </x:c>
      <x:c r="F1218" s="73" t="n">
        <x:v>1.1421</x:v>
      </x:c>
      <x:c r="G1218" s="74" t="n">
        <x:v>-0.0017000000000000001</x:v>
      </x:c>
      <x:c r="H1218" s="66" t="str">
        <x:v>滨风风云瑞丰1号净值20260911.xlsx</x:v>
      </x:c>
      <x:c r="I1218" s="73" t="str">
        <x:f>""</x:f>
      </x:c>
      <x:c r="J1218" s="74" t="str">
        <x:f>""</x:f>
      </x:c>
      <x:c r="K1218" s="73" t="str">
        <x:f>""</x:f>
      </x:c>
      <x:c r="L1218" s="74" t="str">
        <x:f>""</x:f>
      </x:c>
      <x:c r="M1218" s="73" t="n">
        <x:f>MAX(M1217,F1218)</x:f>
        <x:v>1.144</x:v>
      </x:c>
      <x:c r="N1218" s="74" t="n">
        <x:f>1-F1218/M1218</x:f>
        <x:v>0.0016608391608391448</x:v>
      </x:c>
    </x:row>
    <x:row r="1219" ht="27" customHeight="1">
      <x:c r="A1219" s="66" t="str">
        <x:v>SXL267</x:v>
      </x:c>
      <x:c r="B1219" s="66" t="str">
        <x:v>滨风风云瑞丰1号</x:v>
      </x:c>
      <x:c r="C1219" s="72" t="n">
        <x:v>45152</x:v>
      </x:c>
      <x:c r="D1219" s="73" t="n">
        <x:v>1.1385</x:v>
      </x:c>
      <x:c r="E1219" s="73" t="n">
        <x:v>1.1385</x:v>
      </x:c>
      <x:c r="F1219" s="73" t="n">
        <x:v>1.1385</x:v>
      </x:c>
      <x:c r="G1219" s="74" t="n">
        <x:v>-0.0032</x:v>
      </x:c>
      <x:c r="H1219" s="66" t="str">
        <x:v>滨风风云瑞丰1号净值20260911.xlsx</x:v>
      </x:c>
      <x:c r="I1219" s="73" t="str">
        <x:f>""</x:f>
      </x:c>
      <x:c r="J1219" s="74" t="str">
        <x:f>""</x:f>
      </x:c>
      <x:c r="K1219" s="73" t="str">
        <x:f>""</x:f>
      </x:c>
      <x:c r="L1219" s="74" t="str">
        <x:f>""</x:f>
      </x:c>
      <x:c r="M1219" s="73" t="n">
        <x:f>MAX(M1218,F1219)</x:f>
        <x:v>1.144</x:v>
      </x:c>
      <x:c r="N1219" s="74" t="n">
        <x:f>1-F1219/M1219</x:f>
        <x:v>0.00480769230769218</x:v>
      </x:c>
    </x:row>
    <x:row r="1220" ht="27" customHeight="1">
      <x:c r="A1220" s="66" t="str">
        <x:v>SXL267</x:v>
      </x:c>
      <x:c r="B1220" s="66" t="str">
        <x:v>滨风风云瑞丰1号</x:v>
      </x:c>
      <x:c r="C1220" s="72" t="n">
        <x:v>45153</x:v>
      </x:c>
      <x:c r="D1220" s="73" t="n">
        <x:v>1.1517</x:v>
      </x:c>
      <x:c r="E1220" s="73" t="n">
        <x:v>1.1517</x:v>
      </x:c>
      <x:c r="F1220" s="73" t="n">
        <x:v>1.1517</x:v>
      </x:c>
      <x:c r="G1220" s="74" t="n">
        <x:v>0.0116</x:v>
      </x:c>
      <x:c r="H1220" s="66" t="str">
        <x:v>滨风风云瑞丰1号净值20260911.xlsx</x:v>
      </x:c>
      <x:c r="I1220" s="73" t="str">
        <x:f>""</x:f>
      </x:c>
      <x:c r="J1220" s="74" t="str">
        <x:f>""</x:f>
      </x:c>
      <x:c r="K1220" s="73" t="str">
        <x:f>""</x:f>
      </x:c>
      <x:c r="L1220" s="74" t="str">
        <x:f>""</x:f>
      </x:c>
      <x:c r="M1220" s="73" t="n">
        <x:f>MAX(M1219,F1220)</x:f>
        <x:v>1.1517</x:v>
      </x:c>
      <x:c r="N1220" s="74" t="n">
        <x:f>1-F1220/M1220</x:f>
        <x:v>0</x:v>
      </x:c>
    </x:row>
    <x:row r="1221" ht="27" customHeight="1">
      <x:c r="A1221" s="66" t="str">
        <x:v>SXL267</x:v>
      </x:c>
      <x:c r="B1221" s="66" t="str">
        <x:v>滨风风云瑞丰1号</x:v>
      </x:c>
      <x:c r="C1221" s="72" t="n">
        <x:v>45154</x:v>
      </x:c>
      <x:c r="D1221" s="73" t="n">
        <x:v>1.1675</x:v>
      </x:c>
      <x:c r="E1221" s="73" t="n">
        <x:v>1.1675</x:v>
      </x:c>
      <x:c r="F1221" s="73" t="n">
        <x:v>1.1675</x:v>
      </x:c>
      <x:c r="G1221" s="74" t="n">
        <x:v>0.0137</x:v>
      </x:c>
      <x:c r="H1221" s="66" t="str">
        <x:v>滨风风云瑞丰1号净值20260911.xlsx</x:v>
      </x:c>
      <x:c r="I1221" s="73" t="str">
        <x:f>""</x:f>
      </x:c>
      <x:c r="J1221" s="74" t="str">
        <x:f>""</x:f>
      </x:c>
      <x:c r="K1221" s="73" t="str">
        <x:f>""</x:f>
      </x:c>
      <x:c r="L1221" s="74" t="str">
        <x:f>""</x:f>
      </x:c>
      <x:c r="M1221" s="73" t="n">
        <x:f>MAX(M1220,F1221)</x:f>
        <x:v>1.1675</x:v>
      </x:c>
      <x:c r="N1221" s="74" t="n">
        <x:f>1-F1221/M1221</x:f>
        <x:v>0</x:v>
      </x:c>
    </x:row>
    <x:row r="1222" ht="27" customHeight="1">
      <x:c r="A1222" s="66" t="str">
        <x:v>SXL267</x:v>
      </x:c>
      <x:c r="B1222" s="66" t="str">
        <x:v>滨风风云瑞丰1号</x:v>
      </x:c>
      <x:c r="C1222" s="72" t="n">
        <x:v>45155</x:v>
      </x:c>
      <x:c r="D1222" s="73" t="n">
        <x:v>1.1615</x:v>
      </x:c>
      <x:c r="E1222" s="73" t="n">
        <x:v>1.1615</x:v>
      </x:c>
      <x:c r="F1222" s="73" t="n">
        <x:v>1.1615</x:v>
      </x:c>
      <x:c r="G1222" s="74" t="n">
        <x:v>-0.0051</x:v>
      </x:c>
      <x:c r="H1222" s="66" t="str">
        <x:v>滨风风云瑞丰1号净值20260911.xlsx</x:v>
      </x:c>
      <x:c r="I1222" s="73" t="str">
        <x:f>""</x:f>
      </x:c>
      <x:c r="J1222" s="74" t="str">
        <x:f>""</x:f>
      </x:c>
      <x:c r="K1222" s="73" t="str">
        <x:f>""</x:f>
      </x:c>
      <x:c r="L1222" s="74" t="str">
        <x:f>""</x:f>
      </x:c>
      <x:c r="M1222" s="73" t="n">
        <x:f>MAX(M1221,F1222)</x:f>
        <x:v>1.1675</x:v>
      </x:c>
      <x:c r="N1222" s="74" t="n">
        <x:f>1-F1222/M1222</x:f>
        <x:v>0.005139186295503251</x:v>
      </x:c>
    </x:row>
    <x:row r="1223" ht="27" customHeight="1">
      <x:c r="A1223" s="66" t="str">
        <x:v>SXL267</x:v>
      </x:c>
      <x:c r="B1223" s="66" t="str">
        <x:v>滨风风云瑞丰1号</x:v>
      </x:c>
      <x:c r="C1223" s="72" t="n">
        <x:v>45156</x:v>
      </x:c>
      <x:c r="D1223" s="73" t="n">
        <x:v>1.162</x:v>
      </x:c>
      <x:c r="E1223" s="73" t="n">
        <x:v>1.162</x:v>
      </x:c>
      <x:c r="F1223" s="73" t="n">
        <x:v>1.162</x:v>
      </x:c>
      <x:c r="G1223" s="74" t="n">
        <x:v>0.0004</x:v>
      </x:c>
      <x:c r="H1223" s="66" t="str">
        <x:v>滨风风云瑞丰1号净值20260911.xlsx</x:v>
      </x:c>
      <x:c r="I1223" s="73" t="str">
        <x:f>""</x:f>
      </x:c>
      <x:c r="J1223" s="74" t="str">
        <x:f>""</x:f>
      </x:c>
      <x:c r="K1223" s="73" t="str">
        <x:f>""</x:f>
      </x:c>
      <x:c r="L1223" s="74" t="str">
        <x:f>""</x:f>
      </x:c>
      <x:c r="M1223" s="73" t="n">
        <x:f>MAX(M1222,F1223)</x:f>
        <x:v>1.1675</x:v>
      </x:c>
      <x:c r="N1223" s="74" t="n">
        <x:f>1-F1223/M1223</x:f>
        <x:v>0.00471092077087798</x:v>
      </x:c>
    </x:row>
    <x:row r="1224" ht="27" customHeight="1">
      <x:c r="A1224" s="66" t="str">
        <x:v>SXL267</x:v>
      </x:c>
      <x:c r="B1224" s="66" t="str">
        <x:v>滨风风云瑞丰1号</x:v>
      </x:c>
      <x:c r="C1224" s="72" t="n">
        <x:v>45159</x:v>
      </x:c>
      <x:c r="D1224" s="73" t="n">
        <x:v>1.1732</x:v>
      </x:c>
      <x:c r="E1224" s="73" t="n">
        <x:v>1.1732</x:v>
      </x:c>
      <x:c r="F1224" s="73" t="n">
        <x:v>1.1732</x:v>
      </x:c>
      <x:c r="G1224" s="74" t="n">
        <x:v>0.0096</x:v>
      </x:c>
      <x:c r="H1224" s="66" t="str">
        <x:v>滨风风云瑞丰1号净值20260911.xlsx</x:v>
      </x:c>
      <x:c r="I1224" s="73" t="str">
        <x:f>""</x:f>
      </x:c>
      <x:c r="J1224" s="74" t="str">
        <x:f>""</x:f>
      </x:c>
      <x:c r="K1224" s="73" t="str">
        <x:f>""</x:f>
      </x:c>
      <x:c r="L1224" s="74" t="str">
        <x:f>""</x:f>
      </x:c>
      <x:c r="M1224" s="73" t="n">
        <x:f>MAX(M1223,F1224)</x:f>
        <x:v>1.1732</x:v>
      </x:c>
      <x:c r="N1224" s="74" t="n">
        <x:f>1-F1224/M1224</x:f>
        <x:v>0</x:v>
      </x:c>
    </x:row>
    <x:row r="1225" ht="27" customHeight="1">
      <x:c r="A1225" s="66" t="str">
        <x:v>SXL267</x:v>
      </x:c>
      <x:c r="B1225" s="66" t="str">
        <x:v>滨风风云瑞丰1号</x:v>
      </x:c>
      <x:c r="C1225" s="72" t="n">
        <x:v>45160</x:v>
      </x:c>
      <x:c r="D1225" s="73" t="n">
        <x:v>1.1847</x:v>
      </x:c>
      <x:c r="E1225" s="73" t="n">
        <x:v>1.1847</x:v>
      </x:c>
      <x:c r="F1225" s="73" t="n">
        <x:v>1.1847</x:v>
      </x:c>
      <x:c r="G1225" s="74" t="n">
        <x:v>0.0098</x:v>
      </x:c>
      <x:c r="H1225" s="66" t="str">
        <x:v>滨风风云瑞丰1号净值20260911.xlsx</x:v>
      </x:c>
      <x:c r="I1225" s="73" t="str">
        <x:f>""</x:f>
      </x:c>
      <x:c r="J1225" s="74" t="str">
        <x:f>""</x:f>
      </x:c>
      <x:c r="K1225" s="73" t="str">
        <x:f>""</x:f>
      </x:c>
      <x:c r="L1225" s="74" t="str">
        <x:f>""</x:f>
      </x:c>
      <x:c r="M1225" s="73" t="n">
        <x:f>MAX(M1224,F1225)</x:f>
        <x:v>1.1847</x:v>
      </x:c>
      <x:c r="N1225" s="74" t="n">
        <x:f>1-F1225/M1225</x:f>
        <x:v>0</x:v>
      </x:c>
    </x:row>
    <x:row r="1226" ht="27" customHeight="1">
      <x:c r="A1226" s="66" t="str">
        <x:v>SXL267</x:v>
      </x:c>
      <x:c r="B1226" s="66" t="str">
        <x:v>滨风风云瑞丰1号</x:v>
      </x:c>
      <x:c r="C1226" s="72" t="n">
        <x:v>45161</x:v>
      </x:c>
      <x:c r="D1226" s="73" t="n">
        <x:v>1.1924</x:v>
      </x:c>
      <x:c r="E1226" s="73" t="n">
        <x:v>1.1924</x:v>
      </x:c>
      <x:c r="F1226" s="73" t="n">
        <x:v>1.1924</x:v>
      </x:c>
      <x:c r="G1226" s="74" t="n">
        <x:v>0.006500000000000001</x:v>
      </x:c>
      <x:c r="H1226" s="66" t="str">
        <x:v>滨风风云瑞丰1号净值20260911.xlsx</x:v>
      </x:c>
      <x:c r="I1226" s="73" t="str">
        <x:f>""</x:f>
      </x:c>
      <x:c r="J1226" s="74" t="str">
        <x:f>""</x:f>
      </x:c>
      <x:c r="K1226" s="73" t="str">
        <x:f>""</x:f>
      </x:c>
      <x:c r="L1226" s="74" t="str">
        <x:f>""</x:f>
      </x:c>
      <x:c r="M1226" s="73" t="n">
        <x:f>MAX(M1225,F1226)</x:f>
        <x:v>1.1924</x:v>
      </x:c>
      <x:c r="N1226" s="74" t="n">
        <x:f>1-F1226/M1226</x:f>
        <x:v>0</x:v>
      </x:c>
    </x:row>
    <x:row r="1227" ht="27" customHeight="1">
      <x:c r="A1227" s="66" t="str">
        <x:v>SXL267</x:v>
      </x:c>
      <x:c r="B1227" s="66" t="str">
        <x:v>滨风风云瑞丰1号</x:v>
      </x:c>
      <x:c r="C1227" s="72" t="n">
        <x:v>45162</x:v>
      </x:c>
      <x:c r="D1227" s="73" t="n">
        <x:v>1.1799</x:v>
      </x:c>
      <x:c r="E1227" s="73" t="n">
        <x:v>1.1799</x:v>
      </x:c>
      <x:c r="F1227" s="73" t="n">
        <x:v>1.1799</x:v>
      </x:c>
      <x:c r="G1227" s="74" t="n">
        <x:v>-0.0105</x:v>
      </x:c>
      <x:c r="H1227" s="66" t="str">
        <x:v>滨风风云瑞丰1号净值20260911.xlsx</x:v>
      </x:c>
      <x:c r="I1227" s="73" t="str">
        <x:f>""</x:f>
      </x:c>
      <x:c r="J1227" s="74" t="str">
        <x:f>""</x:f>
      </x:c>
      <x:c r="K1227" s="73" t="str">
        <x:f>""</x:f>
      </x:c>
      <x:c r="L1227" s="74" t="str">
        <x:f>""</x:f>
      </x:c>
      <x:c r="M1227" s="73" t="n">
        <x:f>MAX(M1226,F1227)</x:f>
        <x:v>1.1924</x:v>
      </x:c>
      <x:c r="N1227" s="74" t="n">
        <x:f>1-F1227/M1227</x:f>
        <x:v>0.01048305937604832</x:v>
      </x:c>
    </x:row>
    <x:row r="1228" ht="27" customHeight="1">
      <x:c r="A1228" s="66" t="str">
        <x:v>SXL267</x:v>
      </x:c>
      <x:c r="B1228" s="66" t="str">
        <x:v>滨风风云瑞丰1号</x:v>
      </x:c>
      <x:c r="C1228" s="72" t="n">
        <x:v>45163</x:v>
      </x:c>
      <x:c r="D1228" s="73" t="n">
        <x:v>1.1763</x:v>
      </x:c>
      <x:c r="E1228" s="73" t="n">
        <x:v>1.1763</x:v>
      </x:c>
      <x:c r="F1228" s="73" t="n">
        <x:v>1.1763</x:v>
      </x:c>
      <x:c r="G1228" s="74" t="n">
        <x:v>-0.0031</x:v>
      </x:c>
      <x:c r="H1228" s="66" t="str">
        <x:v>滨风风云瑞丰1号净值20260911.xlsx</x:v>
      </x:c>
      <x:c r="I1228" s="73" t="str">
        <x:f>""</x:f>
      </x:c>
      <x:c r="J1228" s="74" t="str">
        <x:f>""</x:f>
      </x:c>
      <x:c r="K1228" s="73" t="str">
        <x:f>""</x:f>
      </x:c>
      <x:c r="L1228" s="74" t="str">
        <x:f>""</x:f>
      </x:c>
      <x:c r="M1228" s="73" t="n">
        <x:f>MAX(M1227,F1228)</x:f>
        <x:v>1.1924</x:v>
      </x:c>
      <x:c r="N1228" s="74" t="n">
        <x:f>1-F1228/M1228</x:f>
        <x:v>0.013502180476350212</x:v>
      </x:c>
    </x:row>
    <x:row r="1229" ht="27" customHeight="1">
      <x:c r="A1229" s="66" t="str">
        <x:v>SXL267</x:v>
      </x:c>
      <x:c r="B1229" s="66" t="str">
        <x:v>滨风风云瑞丰1号</x:v>
      </x:c>
      <x:c r="C1229" s="72" t="n">
        <x:v>45166</x:v>
      </x:c>
      <x:c r="D1229" s="73" t="n">
        <x:v>1.1797</x:v>
      </x:c>
      <x:c r="E1229" s="73" t="n">
        <x:v>1.1797</x:v>
      </x:c>
      <x:c r="F1229" s="73" t="n">
        <x:v>1.1797</x:v>
      </x:c>
      <x:c r="G1229" s="74" t="n">
        <x:v>0.0029</x:v>
      </x:c>
      <x:c r="H1229" s="66" t="str">
        <x:v>滨风风云瑞丰1号净值20260911.xlsx</x:v>
      </x:c>
      <x:c r="I1229" s="73" t="str">
        <x:f>""</x:f>
      </x:c>
      <x:c r="J1229" s="74" t="str">
        <x:f>""</x:f>
      </x:c>
      <x:c r="K1229" s="73" t="str">
        <x:f>""</x:f>
      </x:c>
      <x:c r="L1229" s="74" t="str">
        <x:f>""</x:f>
      </x:c>
      <x:c r="M1229" s="73" t="n">
        <x:f>MAX(M1228,F1229)</x:f>
        <x:v>1.1924</x:v>
      </x:c>
      <x:c r="N1229" s="74" t="n">
        <x:f>1-F1229/M1229</x:f>
        <x:v>0.01065078832606503</x:v>
      </x:c>
    </x:row>
    <x:row r="1230" ht="27" customHeight="1">
      <x:c r="A1230" s="66" t="str">
        <x:v>SXL267</x:v>
      </x:c>
      <x:c r="B1230" s="66" t="str">
        <x:v>滨风风云瑞丰1号</x:v>
      </x:c>
      <x:c r="C1230" s="72" t="n">
        <x:v>45167</x:v>
      </x:c>
      <x:c r="D1230" s="73" t="n">
        <x:v>1.1826</x:v>
      </x:c>
      <x:c r="E1230" s="73" t="n">
        <x:v>1.1826</x:v>
      </x:c>
      <x:c r="F1230" s="73" t="n">
        <x:v>1.1826</x:v>
      </x:c>
      <x:c r="G1230" s="74" t="n">
        <x:v>0.0025</x:v>
      </x:c>
      <x:c r="H1230" s="66" t="str">
        <x:v>滨风风云瑞丰1号净值20260911.xlsx</x:v>
      </x:c>
      <x:c r="I1230" s="73" t="str">
        <x:f>""</x:f>
      </x:c>
      <x:c r="J1230" s="74" t="str">
        <x:f>""</x:f>
      </x:c>
      <x:c r="K1230" s="73" t="str">
        <x:f>""</x:f>
      </x:c>
      <x:c r="L1230" s="74" t="str">
        <x:f>""</x:f>
      </x:c>
      <x:c r="M1230" s="73" t="n">
        <x:f>MAX(M1229,F1230)</x:f>
        <x:v>1.1924</x:v>
      </x:c>
      <x:c r="N1230" s="74" t="n">
        <x:f>1-F1230/M1230</x:f>
        <x:v>0.00821871855082168</x:v>
      </x:c>
    </x:row>
    <x:row r="1231" ht="27" customHeight="1">
      <x:c r="A1231" s="66" t="str">
        <x:v>SXL267</x:v>
      </x:c>
      <x:c r="B1231" s="66" t="str">
        <x:v>滨风风云瑞丰1号</x:v>
      </x:c>
      <x:c r="C1231" s="72" t="n">
        <x:v>45168</x:v>
      </x:c>
      <x:c r="D1231" s="73" t="n">
        <x:v>1.1849</x:v>
      </x:c>
      <x:c r="E1231" s="73" t="n">
        <x:v>1.1849</x:v>
      </x:c>
      <x:c r="F1231" s="73" t="n">
        <x:v>1.1849</x:v>
      </x:c>
      <x:c r="G1231" s="74" t="n">
        <x:v>0.0019</x:v>
      </x:c>
      <x:c r="H1231" s="66" t="str">
        <x:v>滨风风云瑞丰1号净值20260911.xlsx</x:v>
      </x:c>
      <x:c r="I1231" s="73" t="str">
        <x:f>""</x:f>
      </x:c>
      <x:c r="J1231" s="74" t="str">
        <x:f>""</x:f>
      </x:c>
      <x:c r="K1231" s="73" t="str">
        <x:f>""</x:f>
      </x:c>
      <x:c r="L1231" s="74" t="str">
        <x:f>""</x:f>
      </x:c>
      <x:c r="M1231" s="73" t="n">
        <x:f>MAX(M1230,F1231)</x:f>
        <x:v>1.1924</x:v>
      </x:c>
      <x:c r="N1231" s="74" t="n">
        <x:f>1-F1231/M1231</x:f>
        <x:v>0.006289835625628903</x:v>
      </x:c>
    </x:row>
    <x:row r="1232" ht="27" customHeight="1">
      <x:c r="A1232" s="66" t="str">
        <x:v>SXL267</x:v>
      </x:c>
      <x:c r="B1232" s="66" t="str">
        <x:v>滨风风云瑞丰1号</x:v>
      </x:c>
      <x:c r="C1232" s="72" t="n">
        <x:v>45169</x:v>
      </x:c>
      <x:c r="D1232" s="73" t="n">
        <x:v>1.1835</x:v>
      </x:c>
      <x:c r="E1232" s="73" t="n">
        <x:v>1.1835</x:v>
      </x:c>
      <x:c r="F1232" s="73" t="n">
        <x:v>1.1835</x:v>
      </x:c>
      <x:c r="G1232" s="74" t="n">
        <x:v>-0.0012</x:v>
      </x:c>
      <x:c r="H1232" s="66" t="str">
        <x:v>滨风风云瑞丰1号净值20260911.xlsx</x:v>
      </x:c>
      <x:c r="I1232" s="73" t="str">
        <x:f>""</x:f>
      </x:c>
      <x:c r="J1232" s="74" t="str">
        <x:f>""</x:f>
      </x:c>
      <x:c r="K1232" s="73" t="str">
        <x:f>""</x:f>
      </x:c>
      <x:c r="L1232" s="74" t="str">
        <x:f>""</x:f>
      </x:c>
      <x:c r="M1232" s="73" t="n">
        <x:f>MAX(M1231,F1232)</x:f>
        <x:v>1.1924</x:v>
      </x:c>
      <x:c r="N1232" s="74" t="n">
        <x:f>1-F1232/M1232</x:f>
        <x:v>0.007463938275746318</x:v>
      </x:c>
    </x:row>
    <x:row r="1233" ht="27" customHeight="1">
      <x:c r="A1233" s="66" t="str">
        <x:v>SXL267</x:v>
      </x:c>
      <x:c r="B1233" s="66" t="str">
        <x:v>滨风风云瑞丰1号</x:v>
      </x:c>
      <x:c r="C1233" s="72" t="n">
        <x:v>45170</x:v>
      </x:c>
      <x:c r="D1233" s="73" t="n">
        <x:v>1.1787</x:v>
      </x:c>
      <x:c r="E1233" s="73" t="n">
        <x:v>1.1787</x:v>
      </x:c>
      <x:c r="F1233" s="73" t="n">
        <x:v>1.1787</x:v>
      </x:c>
      <x:c r="G1233" s="74" t="n">
        <x:v>-0.0040999999999999995</x:v>
      </x:c>
      <x:c r="H1233" s="66" t="str">
        <x:v>滨风风云瑞丰1号净值20260911.xlsx</x:v>
      </x:c>
      <x:c r="I1233" s="73" t="str">
        <x:f>""</x:f>
      </x:c>
      <x:c r="J1233" s="74" t="str">
        <x:f>""</x:f>
      </x:c>
      <x:c r="K1233" s="73" t="str">
        <x:f>""</x:f>
      </x:c>
      <x:c r="L1233" s="74" t="str">
        <x:f>""</x:f>
      </x:c>
      <x:c r="M1233" s="73" t="n">
        <x:f>MAX(M1232,F1233)</x:f>
        <x:v>1.1924</x:v>
      </x:c>
      <x:c r="N1233" s="74" t="n">
        <x:f>1-F1233/M1233</x:f>
        <x:v>0.011489433076148803</x:v>
      </x:c>
    </x:row>
    <x:row r="1234" ht="27" customHeight="1">
      <x:c r="A1234" s="66" t="str">
        <x:v>SXL267</x:v>
      </x:c>
      <x:c r="B1234" s="66" t="str">
        <x:v>滨风风云瑞丰1号</x:v>
      </x:c>
      <x:c r="C1234" s="72" t="n">
        <x:v>45173</x:v>
      </x:c>
      <x:c r="D1234" s="73" t="n">
        <x:v>1.1804</x:v>
      </x:c>
      <x:c r="E1234" s="73" t="n">
        <x:v>1.1804</x:v>
      </x:c>
      <x:c r="F1234" s="73" t="n">
        <x:v>1.1804</x:v>
      </x:c>
      <x:c r="G1234" s="74" t="n">
        <x:v>0.0014000000000000002</x:v>
      </x:c>
      <x:c r="H1234" s="66" t="str">
        <x:v>滨风风云瑞丰1号净值20260911.xlsx</x:v>
      </x:c>
      <x:c r="I1234" s="73" t="str">
        <x:f>""</x:f>
      </x:c>
      <x:c r="J1234" s="74" t="str">
        <x:f>""</x:f>
      </x:c>
      <x:c r="K1234" s="73" t="n">
        <x:f>F1234</x:f>
        <x:v>1.1804</x:v>
      </x:c>
      <x:c r="L1234" s="74" t="n">
        <x:f>1-F1234/K1234</x:f>
        <x:v>0</x:v>
      </x:c>
      <x:c r="M1234" s="73" t="n">
        <x:f>MAX(M1233,F1234)</x:f>
        <x:v>1.1924</x:v>
      </x:c>
      <x:c r="N1234" s="74" t="n">
        <x:f>1-F1234/M1234</x:f>
        <x:v>0.010063737001006379</x:v>
      </x:c>
    </x:row>
    <x:row r="1235" ht="27" customHeight="1">
      <x:c r="A1235" s="66" t="str">
        <x:v>SXL267</x:v>
      </x:c>
      <x:c r="B1235" s="66" t="str">
        <x:v>滨风风云瑞丰1号</x:v>
      </x:c>
      <x:c r="C1235" s="72" t="n">
        <x:v>45174</x:v>
      </x:c>
      <x:c r="D1235" s="73" t="n">
        <x:v>1.1797</x:v>
      </x:c>
      <x:c r="E1235" s="73" t="n">
        <x:v>1.1797</x:v>
      </x:c>
      <x:c r="F1235" s="73" t="n">
        <x:v>1.1797</x:v>
      </x:c>
      <x:c r="G1235" s="74" t="n">
        <x:v>-0.0006</x:v>
      </x:c>
      <x:c r="H1235" s="66" t="str">
        <x:v>滨风风云瑞丰1号净值20260911.xlsx</x:v>
      </x:c>
      <x:c r="I1235" s="73" t="str">
        <x:f>""</x:f>
      </x:c>
      <x:c r="J1235" s="74" t="str">
        <x:f>""</x:f>
      </x:c>
      <x:c r="K1235" s="73" t="n">
        <x:f>MAX(K1234,F1235)</x:f>
        <x:v>1.1804</x:v>
      </x:c>
      <x:c r="L1235" s="74" t="n">
        <x:f>1-F1235/K1235</x:f>
        <x:v>0.0005930193154861652</x:v>
      </x:c>
      <x:c r="M1235" s="73" t="n">
        <x:f>MAX(M1234,F1235)</x:f>
        <x:v>1.1924</x:v>
      </x:c>
      <x:c r="N1235" s="74" t="n">
        <x:f>1-F1235/M1235</x:f>
        <x:v>0.01065078832606503</x:v>
      </x:c>
    </x:row>
    <x:row r="1236" ht="27" customHeight="1">
      <x:c r="A1236" s="66" t="str">
        <x:v>SXL267</x:v>
      </x:c>
      <x:c r="B1236" s="66" t="str">
        <x:v>滨风风云瑞丰1号</x:v>
      </x:c>
      <x:c r="C1236" s="72" t="n">
        <x:v>45175</x:v>
      </x:c>
      <x:c r="D1236" s="73" t="n">
        <x:v>1.1763</x:v>
      </x:c>
      <x:c r="E1236" s="73" t="n">
        <x:v>1.1763</x:v>
      </x:c>
      <x:c r="F1236" s="73" t="n">
        <x:v>1.1763</x:v>
      </x:c>
      <x:c r="G1236" s="74" t="n">
        <x:v>-0.0029</x:v>
      </x:c>
      <x:c r="H1236" s="66" t="str">
        <x:v>滨风风云瑞丰1号净值20260911.xlsx</x:v>
      </x:c>
      <x:c r="I1236" s="73" t="str">
        <x:f>""</x:f>
      </x:c>
      <x:c r="J1236" s="74" t="str">
        <x:f>""</x:f>
      </x:c>
      <x:c r="K1236" s="73" t="n">
        <x:f>MAX(K1235,F1236)</x:f>
        <x:v>1.1804</x:v>
      </x:c>
      <x:c r="L1236" s="74" t="n">
        <x:f>1-F1236/K1236</x:f>
        <x:v>0.0034733988478481415</x:v>
      </x:c>
      <x:c r="M1236" s="73" t="n">
        <x:f>MAX(M1235,F1236)</x:f>
        <x:v>1.1924</x:v>
      </x:c>
      <x:c r="N1236" s="74" t="n">
        <x:f>1-F1236/M1236</x:f>
        <x:v>0.013502180476350212</x:v>
      </x:c>
    </x:row>
    <x:row r="1237" ht="27" customHeight="1">
      <x:c r="A1237" s="66" t="str">
        <x:v>SXL267</x:v>
      </x:c>
      <x:c r="B1237" s="66" t="str">
        <x:v>滨风风云瑞丰1号</x:v>
      </x:c>
      <x:c r="C1237" s="72" t="n">
        <x:v>45176</x:v>
      </x:c>
      <x:c r="D1237" s="73" t="n">
        <x:v>1.177</x:v>
      </x:c>
      <x:c r="E1237" s="73" t="n">
        <x:v>1.177</x:v>
      </x:c>
      <x:c r="F1237" s="73" t="n">
        <x:v>1.177</x:v>
      </x:c>
      <x:c r="G1237" s="74" t="n">
        <x:v>0.0006</x:v>
      </x:c>
      <x:c r="H1237" s="66" t="str">
        <x:v>滨风风云瑞丰1号净值20260911.xlsx</x:v>
      </x:c>
      <x:c r="I1237" s="73" t="str">
        <x:f>""</x:f>
      </x:c>
      <x:c r="J1237" s="74" t="str">
        <x:f>""</x:f>
      </x:c>
      <x:c r="K1237" s="73" t="n">
        <x:f>MAX(K1236,F1237)</x:f>
        <x:v>1.1804</x:v>
      </x:c>
      <x:c r="L1237" s="74" t="n">
        <x:f>1-F1237/K1237</x:f>
        <x:v>0.0028803795323617543</x:v>
      </x:c>
      <x:c r="M1237" s="73" t="n">
        <x:f>MAX(M1236,F1237)</x:f>
        <x:v>1.1924</x:v>
      </x:c>
      <x:c r="N1237" s="74" t="n">
        <x:f>1-F1237/M1237</x:f>
        <x:v>0.012915129151291449</x:v>
      </x:c>
    </x:row>
    <x:row r="1238" ht="27" customHeight="1">
      <x:c r="A1238" s="66" t="str">
        <x:v>SXL267</x:v>
      </x:c>
      <x:c r="B1238" s="66" t="str">
        <x:v>滨风风云瑞丰1号</x:v>
      </x:c>
      <x:c r="C1238" s="72" t="n">
        <x:v>45177</x:v>
      </x:c>
      <x:c r="D1238" s="73" t="n">
        <x:v>1.1808</x:v>
      </x:c>
      <x:c r="E1238" s="73" t="n">
        <x:v>1.1808</x:v>
      </x:c>
      <x:c r="F1238" s="73" t="n">
        <x:v>1.1808</x:v>
      </x:c>
      <x:c r="G1238" s="74" t="n">
        <x:v>0.0032</x:v>
      </x:c>
      <x:c r="H1238" s="66" t="str">
        <x:v>滨风风云瑞丰1号净值20260911.xlsx</x:v>
      </x:c>
      <x:c r="I1238" s="73" t="str">
        <x:f>""</x:f>
      </x:c>
      <x:c r="J1238" s="74" t="str">
        <x:f>""</x:f>
      </x:c>
      <x:c r="K1238" s="73" t="n">
        <x:f>MAX(K1237,F1238)</x:f>
        <x:v>1.1808</x:v>
      </x:c>
      <x:c r="L1238" s="74" t="n">
        <x:f>1-F1238/K1238</x:f>
        <x:v>0</x:v>
      </x:c>
      <x:c r="M1238" s="73" t="n">
        <x:f>MAX(M1237,F1238)</x:f>
        <x:v>1.1924</x:v>
      </x:c>
      <x:c r="N1238" s="74" t="n">
        <x:f>1-F1238/M1238</x:f>
        <x:v>0.009728279100972737</x:v>
      </x:c>
    </x:row>
    <x:row r="1239" ht="27" customHeight="1">
      <x:c r="A1239" s="66" t="str">
        <x:v>SXL267</x:v>
      </x:c>
      <x:c r="B1239" s="66" t="str">
        <x:v>滨风风云瑞丰1号</x:v>
      </x:c>
      <x:c r="C1239" s="72" t="n">
        <x:v>45180</x:v>
      </x:c>
      <x:c r="D1239" s="73" t="n">
        <x:v>1.1704</x:v>
      </x:c>
      <x:c r="E1239" s="73" t="n">
        <x:v>1.1704</x:v>
      </x:c>
      <x:c r="F1239" s="73" t="n">
        <x:v>1.1704</x:v>
      </x:c>
      <x:c r="G1239" s="74" t="n">
        <x:v>-0.0088</x:v>
      </x:c>
      <x:c r="H1239" s="66" t="str">
        <x:v>滨风风云瑞丰1号净值20260911.xlsx</x:v>
      </x:c>
      <x:c r="I1239" s="73" t="str">
        <x:f>""</x:f>
      </x:c>
      <x:c r="J1239" s="74" t="str">
        <x:f>""</x:f>
      </x:c>
      <x:c r="K1239" s="73" t="n">
        <x:f>MAX(K1238,F1239)</x:f>
        <x:v>1.1808</x:v>
      </x:c>
      <x:c r="L1239" s="74" t="n">
        <x:f>1-F1239/K1239</x:f>
        <x:v>0.008807588075880779</x:v>
      </x:c>
      <x:c r="M1239" s="73" t="n">
        <x:f>MAX(M1238,F1239)</x:f>
        <x:v>1.1924</x:v>
      </x:c>
      <x:c r="N1239" s="74" t="n">
        <x:f>1-F1239/M1239</x:f>
        <x:v>0.01845018450184488</x:v>
      </x:c>
    </x:row>
    <x:row r="1240" ht="27" customHeight="1">
      <x:c r="A1240" s="66" t="str">
        <x:v>SXL267</x:v>
      </x:c>
      <x:c r="B1240" s="66" t="str">
        <x:v>滨风风云瑞丰1号</x:v>
      </x:c>
      <x:c r="C1240" s="72" t="n">
        <x:v>45181</x:v>
      </x:c>
      <x:c r="D1240" s="73" t="n">
        <x:v>1.166</x:v>
      </x:c>
      <x:c r="E1240" s="73" t="n">
        <x:v>1.166</x:v>
      </x:c>
      <x:c r="F1240" s="73" t="n">
        <x:v>1.166</x:v>
      </x:c>
      <x:c r="G1240" s="74" t="n">
        <x:v>-0.0038</x:v>
      </x:c>
      <x:c r="H1240" s="66" t="str">
        <x:v>滨风风云瑞丰1号净值20260911.xlsx</x:v>
      </x:c>
      <x:c r="I1240" s="73" t="str">
        <x:f>""</x:f>
      </x:c>
      <x:c r="J1240" s="74" t="str">
        <x:f>""</x:f>
      </x:c>
      <x:c r="K1240" s="73" t="n">
        <x:f>MAX(K1239,F1240)</x:f>
        <x:v>1.1808</x:v>
      </x:c>
      <x:c r="L1240" s="74" t="n">
        <x:f>1-F1240/K1240</x:f>
        <x:v>0.012533875338753497</x:v>
      </x:c>
      <x:c r="M1240" s="73" t="n">
        <x:f>MAX(M1239,F1240)</x:f>
        <x:v>1.1924</x:v>
      </x:c>
      <x:c r="N1240" s="74" t="n">
        <x:f>1-F1240/M1240</x:f>
        <x:v>0.022140221402214055</x:v>
      </x:c>
    </x:row>
    <x:row r="1241" ht="27" customHeight="1">
      <x:c r="A1241" s="66" t="str">
        <x:v>SXL267</x:v>
      </x:c>
      <x:c r="B1241" s="66" t="str">
        <x:v>滨风风云瑞丰1号</x:v>
      </x:c>
      <x:c r="C1241" s="72" t="n">
        <x:v>45182</x:v>
      </x:c>
      <x:c r="D1241" s="73" t="n">
        <x:v>1.1553</x:v>
      </x:c>
      <x:c r="E1241" s="73" t="n">
        <x:v>1.1553</x:v>
      </x:c>
      <x:c r="F1241" s="73" t="n">
        <x:v>1.1553</x:v>
      </x:c>
      <x:c r="G1241" s="74" t="n">
        <x:v>-0.0092</x:v>
      </x:c>
      <x:c r="H1241" s="66" t="str">
        <x:v>滨风风云瑞丰1号净值20260911.xlsx</x:v>
      </x:c>
      <x:c r="I1241" s="73" t="str">
        <x:f>""</x:f>
      </x:c>
      <x:c r="J1241" s="74" t="str">
        <x:f>""</x:f>
      </x:c>
      <x:c r="K1241" s="73" t="n">
        <x:f>MAX(K1240,F1241)</x:f>
        <x:v>1.1808</x:v>
      </x:c>
      <x:c r="L1241" s="74" t="n">
        <x:f>1-F1241/K1241</x:f>
        <x:v>0.021595528455284563</x:v>
      </x:c>
      <x:c r="M1241" s="73" t="n">
        <x:f>MAX(M1240,F1241)</x:f>
        <x:v>1.1924</x:v>
      </x:c>
      <x:c r="N1241" s="74" t="n">
        <x:f>1-F1241/M1241</x:f>
        <x:v>0.03111372022811132</x:v>
      </x:c>
    </x:row>
    <x:row r="1242" ht="27" customHeight="1">
      <x:c r="A1242" s="66" t="str">
        <x:v>SXL267</x:v>
      </x:c>
      <x:c r="B1242" s="66" t="str">
        <x:v>滨风风云瑞丰1号</x:v>
      </x:c>
      <x:c r="C1242" s="72" t="n">
        <x:v>45183</x:v>
      </x:c>
      <x:c r="D1242" s="73" t="n">
        <x:v>1.1583</x:v>
      </x:c>
      <x:c r="E1242" s="73" t="n">
        <x:v>1.1583</x:v>
      </x:c>
      <x:c r="F1242" s="73" t="n">
        <x:v>1.1583</x:v>
      </x:c>
      <x:c r="G1242" s="74" t="n">
        <x:v>0.0026</x:v>
      </x:c>
      <x:c r="H1242" s="66" t="str">
        <x:v>滨风风云瑞丰1号净值20260911.xlsx</x:v>
      </x:c>
      <x:c r="I1242" s="73" t="str">
        <x:f>""</x:f>
      </x:c>
      <x:c r="J1242" s="74" t="str">
        <x:f>""</x:f>
      </x:c>
      <x:c r="K1242" s="73" t="n">
        <x:f>MAX(K1241,F1242)</x:f>
        <x:v>1.1808</x:v>
      </x:c>
      <x:c r="L1242" s="74" t="n">
        <x:f>1-F1242/K1242</x:f>
        <x:v>0.019054878048780477</x:v>
      </x:c>
      <x:c r="M1242" s="73" t="n">
        <x:f>MAX(M1241,F1242)</x:f>
        <x:v>1.1924</x:v>
      </x:c>
      <x:c r="N1242" s="74" t="n">
        <x:f>1-F1242/M1242</x:f>
        <x:v>0.028597785977859558</x:v>
      </x:c>
    </x:row>
    <x:row r="1243" ht="27" customHeight="1">
      <x:c r="A1243" s="66" t="str">
        <x:v>SXL267</x:v>
      </x:c>
      <x:c r="B1243" s="66" t="str">
        <x:v>滨风风云瑞丰1号</x:v>
      </x:c>
      <x:c r="C1243" s="72" t="n">
        <x:v>45184</x:v>
      </x:c>
      <x:c r="D1243" s="73" t="n">
        <x:v>1.1671</x:v>
      </x:c>
      <x:c r="E1243" s="73" t="n">
        <x:v>1.1671</x:v>
      </x:c>
      <x:c r="F1243" s="73" t="n">
        <x:v>1.1671</x:v>
      </x:c>
      <x:c r="G1243" s="74" t="n">
        <x:v>0.0076</x:v>
      </x:c>
      <x:c r="H1243" s="66" t="str">
        <x:v>滨风风云瑞丰1号净值20260911.xlsx</x:v>
      </x:c>
      <x:c r="I1243" s="73" t="str">
        <x:f>""</x:f>
      </x:c>
      <x:c r="J1243" s="74" t="str">
        <x:f>""</x:f>
      </x:c>
      <x:c r="K1243" s="73" t="n">
        <x:f>MAX(K1242,F1243)</x:f>
        <x:v>1.1808</x:v>
      </x:c>
      <x:c r="L1243" s="74" t="n">
        <x:f>1-F1243/K1243</x:f>
        <x:v>0.011602303523035262</x:v>
      </x:c>
      <x:c r="M1243" s="73" t="n">
        <x:f>MAX(M1242,F1243)</x:f>
        <x:v>1.1924</x:v>
      </x:c>
      <x:c r="N1243" s="74" t="n">
        <x:f>1-F1243/M1243</x:f>
        <x:v>0.02121771217712165</x:v>
      </x:c>
    </x:row>
    <x:row r="1244" ht="27" customHeight="1">
      <x:c r="A1244" s="66" t="str">
        <x:v>SXL267</x:v>
      </x:c>
      <x:c r="B1244" s="66" t="str">
        <x:v>滨风风云瑞丰1号</x:v>
      </x:c>
      <x:c r="C1244" s="72" t="n">
        <x:v>45187</x:v>
      </x:c>
      <x:c r="D1244" s="73" t="n">
        <x:v>1.1703</x:v>
      </x:c>
      <x:c r="E1244" s="73" t="n">
        <x:v>1.1703</x:v>
      </x:c>
      <x:c r="F1244" s="73" t="n">
        <x:v>1.1703</x:v>
      </x:c>
      <x:c r="G1244" s="74" t="n">
        <x:v>0.0027</x:v>
      </x:c>
      <x:c r="H1244" s="66" t="str">
        <x:v>滨风风云瑞丰1号净值20260911.xlsx</x:v>
      </x:c>
      <x:c r="I1244" s="73" t="str">
        <x:f>""</x:f>
      </x:c>
      <x:c r="J1244" s="74" t="str">
        <x:f>""</x:f>
      </x:c>
      <x:c r="K1244" s="73" t="n">
        <x:f>MAX(K1243,F1244)</x:f>
        <x:v>1.1808</x:v>
      </x:c>
      <x:c r="L1244" s="74" t="n">
        <x:f>1-F1244/K1244</x:f>
        <x:v>0.008892276422764356</x:v>
      </x:c>
      <x:c r="M1244" s="73" t="n">
        <x:f>MAX(M1243,F1244)</x:f>
        <x:v>1.1924</x:v>
      </x:c>
      <x:c r="N1244" s="74" t="n">
        <x:f>1-F1244/M1244</x:f>
        <x:v>0.0185340489768534</x:v>
      </x:c>
    </x:row>
    <x:row r="1245" ht="27" customHeight="1">
      <x:c r="A1245" s="66" t="str">
        <x:v>SXL267</x:v>
      </x:c>
      <x:c r="B1245" s="66" t="str">
        <x:v>滨风风云瑞丰1号</x:v>
      </x:c>
      <x:c r="C1245" s="72" t="n">
        <x:v>45188</x:v>
      </x:c>
      <x:c r="D1245" s="73" t="n">
        <x:v>1.1731</x:v>
      </x:c>
      <x:c r="E1245" s="73" t="n">
        <x:v>1.1731</x:v>
      </x:c>
      <x:c r="F1245" s="73" t="n">
        <x:v>1.1731</x:v>
      </x:c>
      <x:c r="G1245" s="74" t="n">
        <x:v>0.0024</x:v>
      </x:c>
      <x:c r="H1245" s="66" t="str">
        <x:v>滨风风云瑞丰1号净值20260911.xlsx</x:v>
      </x:c>
      <x:c r="I1245" s="73" t="str">
        <x:f>""</x:f>
      </x:c>
      <x:c r="J1245" s="74" t="str">
        <x:f>""</x:f>
      </x:c>
      <x:c r="K1245" s="73" t="n">
        <x:f>MAX(K1244,F1245)</x:f>
        <x:v>1.1808</x:v>
      </x:c>
      <x:c r="L1245" s="74" t="n">
        <x:f>1-F1245/K1245</x:f>
        <x:v>0.006521002710027091</x:v>
      </x:c>
      <x:c r="M1245" s="73" t="n">
        <x:f>MAX(M1244,F1245)</x:f>
        <x:v>1.1924</x:v>
      </x:c>
      <x:c r="N1245" s="74" t="n">
        <x:f>1-F1245/M1245</x:f>
        <x:v>0.01618584367661846</x:v>
      </x:c>
    </x:row>
    <x:row r="1246" ht="27" customHeight="1">
      <x:c r="A1246" s="66" t="str">
        <x:v>SXL267</x:v>
      </x:c>
      <x:c r="B1246" s="66" t="str">
        <x:v>滨风风云瑞丰1号</x:v>
      </x:c>
      <x:c r="C1246" s="72" t="n">
        <x:v>45189</x:v>
      </x:c>
      <x:c r="D1246" s="73" t="n">
        <x:v>1.1709</x:v>
      </x:c>
      <x:c r="E1246" s="73" t="n">
        <x:v>1.1709</x:v>
      </x:c>
      <x:c r="F1246" s="73" t="n">
        <x:v>1.1709</x:v>
      </x:c>
      <x:c r="G1246" s="74" t="n">
        <x:v>-0.0019</x:v>
      </x:c>
      <x:c r="H1246" s="66" t="str">
        <x:v>滨风风云瑞丰1号净值20260911.xlsx</x:v>
      </x:c>
      <x:c r="I1246" s="73" t="str">
        <x:f>""</x:f>
      </x:c>
      <x:c r="J1246" s="74" t="str">
        <x:f>""</x:f>
      </x:c>
      <x:c r="K1246" s="73" t="n">
        <x:f>MAX(K1245,F1246)</x:f>
        <x:v>1.1808</x:v>
      </x:c>
      <x:c r="L1246" s="74" t="n">
        <x:f>1-F1246/K1246</x:f>
        <x:v>0.00838414634146345</x:v>
      </x:c>
      <x:c r="M1246" s="73" t="n">
        <x:f>MAX(M1245,F1246)</x:f>
        <x:v>1.1924</x:v>
      </x:c>
      <x:c r="N1246" s="74" t="n">
        <x:f>1-F1246/M1246</x:f>
        <x:v>0.018030862126802938</x:v>
      </x:c>
    </x:row>
    <x:row r="1247" ht="27" customHeight="1">
      <x:c r="A1247" s="66" t="str">
        <x:v>SXL267</x:v>
      </x:c>
      <x:c r="B1247" s="66" t="str">
        <x:v>滨风风云瑞丰1号</x:v>
      </x:c>
      <x:c r="C1247" s="72" t="n">
        <x:v>45190</x:v>
      </x:c>
      <x:c r="D1247" s="73" t="n">
        <x:v>1.1585</x:v>
      </x:c>
      <x:c r="E1247" s="73" t="n">
        <x:v>1.1585</x:v>
      </x:c>
      <x:c r="F1247" s="73" t="n">
        <x:v>1.1585</x:v>
      </x:c>
      <x:c r="G1247" s="74" t="n">
        <x:v>-0.0106</x:v>
      </x:c>
      <x:c r="H1247" s="66" t="str">
        <x:v>滨风风云瑞丰1号净值20260911.xlsx</x:v>
      </x:c>
      <x:c r="I1247" s="73" t="str">
        <x:f>""</x:f>
      </x:c>
      <x:c r="J1247" s="74" t="str">
        <x:f>""</x:f>
      </x:c>
      <x:c r="K1247" s="73" t="n">
        <x:f>MAX(K1246,F1247)</x:f>
        <x:v>1.1808</x:v>
      </x:c>
      <x:c r="L1247" s="74" t="n">
        <x:f>1-F1247/K1247</x:f>
        <x:v>0.018885501355013545</x:v>
      </x:c>
      <x:c r="M1247" s="73" t="n">
        <x:f>MAX(M1246,F1247)</x:f>
        <x:v>1.1924</x:v>
      </x:c>
      <x:c r="N1247" s="74" t="n">
        <x:f>1-F1247/M1247</x:f>
        <x:v>0.028430057027842848</x:v>
      </x:c>
    </x:row>
    <x:row r="1248" ht="27" customHeight="1">
      <x:c r="A1248" s="66" t="str">
        <x:v>SXL267</x:v>
      </x:c>
      <x:c r="B1248" s="66" t="str">
        <x:v>滨风风云瑞丰1号</x:v>
      </x:c>
      <x:c r="C1248" s="72" t="n">
        <x:v>45191</x:v>
      </x:c>
      <x:c r="D1248" s="73" t="n">
        <x:v>1.1481</x:v>
      </x:c>
      <x:c r="E1248" s="73" t="n">
        <x:v>1.1481</x:v>
      </x:c>
      <x:c r="F1248" s="73" t="n">
        <x:v>1.1481</x:v>
      </x:c>
      <x:c r="G1248" s="74" t="n">
        <x:v>-0.009000000000000001</x:v>
      </x:c>
      <x:c r="H1248" s="66" t="str">
        <x:v>滨风风云瑞丰1号净值20260911.xlsx</x:v>
      </x:c>
      <x:c r="I1248" s="73" t="str">
        <x:f>""</x:f>
      </x:c>
      <x:c r="J1248" s="74" t="str">
        <x:f>""</x:f>
      </x:c>
      <x:c r="K1248" s="73" t="n">
        <x:f>MAX(K1247,F1248)</x:f>
        <x:v>1.1808</x:v>
      </x:c>
      <x:c r="L1248" s="74" t="n">
        <x:f>1-F1248/K1248</x:f>
        <x:v>0.027693089430894435</x:v>
      </x:c>
      <x:c r="M1248" s="73" t="n">
        <x:f>MAX(M1247,F1248)</x:f>
        <x:v>1.1924</x:v>
      </x:c>
      <x:c r="N1248" s="74" t="n">
        <x:f>1-F1248/M1248</x:f>
        <x:v>0.03715196242871521</x:v>
      </x:c>
    </x:row>
    <x:row r="1249" ht="27" customHeight="1">
      <x:c r="A1249" s="66" t="str">
        <x:v>SXL267</x:v>
      </x:c>
      <x:c r="B1249" s="66" t="str">
        <x:v>滨风风云瑞丰1号</x:v>
      </x:c>
      <x:c r="C1249" s="72" t="n">
        <x:v>45194</x:v>
      </x:c>
      <x:c r="D1249" s="73" t="n">
        <x:v>1.1476</x:v>
      </x:c>
      <x:c r="E1249" s="73" t="n">
        <x:v>1.1476</x:v>
      </x:c>
      <x:c r="F1249" s="73" t="n">
        <x:v>1.1476</x:v>
      </x:c>
      <x:c r="G1249" s="74" t="n">
        <x:v>-0.0004</x:v>
      </x:c>
      <x:c r="H1249" s="66" t="str">
        <x:v>滨风风云瑞丰1号净值20260911.xlsx</x:v>
      </x:c>
      <x:c r="I1249" s="73" t="str">
        <x:f>""</x:f>
      </x:c>
      <x:c r="J1249" s="74" t="str">
        <x:f>""</x:f>
      </x:c>
      <x:c r="K1249" s="73" t="n">
        <x:f>MAX(K1248,F1249)</x:f>
        <x:v>1.1808</x:v>
      </x:c>
      <x:c r="L1249" s="74" t="n">
        <x:f>1-F1249/K1249</x:f>
        <x:v>0.028116531165311764</x:v>
      </x:c>
      <x:c r="M1249" s="73" t="n">
        <x:f>MAX(M1248,F1249)</x:f>
        <x:v>1.1924</x:v>
      </x:c>
      <x:c r="N1249" s="74" t="n">
        <x:f>1-F1249/M1249</x:f>
        <x:v>0.037571284803757043</x:v>
      </x:c>
    </x:row>
    <x:row r="1250" ht="27" customHeight="1">
      <x:c r="A1250" s="66" t="str">
        <x:v>SXL267</x:v>
      </x:c>
      <x:c r="B1250" s="66" t="str">
        <x:v>滨风风云瑞丰1号</x:v>
      </x:c>
      <x:c r="C1250" s="72" t="n">
        <x:v>45195</x:v>
      </x:c>
      <x:c r="D1250" s="73" t="n">
        <x:v>1.1417</x:v>
      </x:c>
      <x:c r="E1250" s="73" t="n">
        <x:v>1.1417</x:v>
      </x:c>
      <x:c r="F1250" s="73" t="n">
        <x:v>1.1417</x:v>
      </x:c>
      <x:c r="G1250" s="74" t="n">
        <x:v>-0.0051</x:v>
      </x:c>
      <x:c r="H1250" s="66" t="str">
        <x:v>滨风风云瑞丰1号净值20260911.xlsx</x:v>
      </x:c>
      <x:c r="I1250" s="73" t="str">
        <x:f>""</x:f>
      </x:c>
      <x:c r="J1250" s="74" t="str">
        <x:f>""</x:f>
      </x:c>
      <x:c r="K1250" s="73" t="n">
        <x:f>MAX(K1249,F1250)</x:f>
        <x:v>1.1808</x:v>
      </x:c>
      <x:c r="L1250" s="74" t="n">
        <x:f>1-F1250/K1250</x:f>
        <x:v>0.03311314363143647</x:v>
      </x:c>
      <x:c r="M1250" s="73" t="n">
        <x:f>MAX(M1249,F1250)</x:f>
        <x:v>1.1924</x:v>
      </x:c>
      <x:c r="N1250" s="74" t="n">
        <x:f>1-F1250/M1250</x:f>
        <x:v>0.04251928882925193</x:v>
      </x:c>
    </x:row>
    <x:row r="1251" ht="27" customHeight="1">
      <x:c r="A1251" s="66" t="str">
        <x:v>SXL267</x:v>
      </x:c>
      <x:c r="B1251" s="66" t="str">
        <x:v>滨风风云瑞丰1号</x:v>
      </x:c>
      <x:c r="C1251" s="72" t="n">
        <x:v>45196</x:v>
      </x:c>
      <x:c r="D1251" s="73" t="n">
        <x:v>1.1343</x:v>
      </x:c>
      <x:c r="E1251" s="73" t="n">
        <x:v>1.1343</x:v>
      </x:c>
      <x:c r="F1251" s="73" t="n">
        <x:v>1.1343</x:v>
      </x:c>
      <x:c r="G1251" s="74" t="n">
        <x:v>-0.006500000000000001</x:v>
      </x:c>
      <x:c r="H1251" s="66" t="str">
        <x:v>滨风风云瑞丰1号净值20260911.xlsx</x:v>
      </x:c>
      <x:c r="I1251" s="73" t="str">
        <x:f>""</x:f>
      </x:c>
      <x:c r="J1251" s="74" t="str">
        <x:f>""</x:f>
      </x:c>
      <x:c r="K1251" s="73" t="n">
        <x:f>MAX(K1250,F1251)</x:f>
        <x:v>1.1808</x:v>
      </x:c>
      <x:c r="L1251" s="74" t="n">
        <x:f>1-F1251/K1251</x:f>
        <x:v>0.03938008130081294</x:v>
      </x:c>
      <x:c r="M1251" s="73" t="n">
        <x:f>MAX(M1250,F1251)</x:f>
        <x:v>1.1924</x:v>
      </x:c>
      <x:c r="N1251" s="74" t="n">
        <x:f>1-F1251/M1251</x:f>
        <x:v>0.048725259979872426</x:v>
      </x:c>
    </x:row>
    <x:row r="1252" ht="27" customHeight="1">
      <x:c r="A1252" s="66" t="str">
        <x:v>SXL267</x:v>
      </x:c>
      <x:c r="B1252" s="66" t="str">
        <x:v>滨风风云瑞丰1号</x:v>
      </x:c>
      <x:c r="C1252" s="72" t="n">
        <x:v>45197</x:v>
      </x:c>
      <x:c r="D1252" s="73" t="n">
        <x:v>1.1346</x:v>
      </x:c>
      <x:c r="E1252" s="73" t="n">
        <x:v>1.1346</x:v>
      </x:c>
      <x:c r="F1252" s="73" t="n">
        <x:v>1.1346</x:v>
      </x:c>
      <x:c r="G1252" s="74" t="n">
        <x:v>0.0003</x:v>
      </x:c>
      <x:c r="H1252" s="66" t="str">
        <x:v>滨风风云瑞丰1号净值20260911.xlsx</x:v>
      </x:c>
      <x:c r="I1252" s="73" t="str">
        <x:f>""</x:f>
      </x:c>
      <x:c r="J1252" s="74" t="str">
        <x:f>""</x:f>
      </x:c>
      <x:c r="K1252" s="73" t="n">
        <x:f>MAX(K1251,F1252)</x:f>
        <x:v>1.1808</x:v>
      </x:c>
      <x:c r="L1252" s="74" t="n">
        <x:f>1-F1252/K1252</x:f>
        <x:v>0.039126016260162655</x:v>
      </x:c>
      <x:c r="M1252" s="73" t="n">
        <x:f>MAX(M1251,F1252)</x:f>
        <x:v>1.1924</x:v>
      </x:c>
      <x:c r="N1252" s="74" t="n">
        <x:f>1-F1252/M1252</x:f>
        <x:v>0.048473666554847195</x:v>
      </x:c>
    </x:row>
    <x:row r="1253" ht="27" customHeight="1">
      <x:c r="A1253" s="66" t="str">
        <x:v>SXL267</x:v>
      </x:c>
      <x:c r="B1253" s="66" t="str">
        <x:v>滨风风云瑞丰1号</x:v>
      </x:c>
      <x:c r="C1253" s="72" t="n">
        <x:v>45208</x:v>
      </x:c>
      <x:c r="D1253" s="73" t="n">
        <x:v>1.1273</x:v>
      </x:c>
      <x:c r="E1253" s="73" t="n">
        <x:v>1.1273</x:v>
      </x:c>
      <x:c r="F1253" s="73" t="n">
        <x:v>1.1273</x:v>
      </x:c>
      <x:c r="G1253" s="74" t="n">
        <x:v>-0.0064</x:v>
      </x:c>
      <x:c r="H1253" s="66" t="str">
        <x:v>滨风风云瑞丰1号净值20260911.xlsx</x:v>
      </x:c>
      <x:c r="I1253" s="73" t="str">
        <x:f>""</x:f>
      </x:c>
      <x:c r="J1253" s="74" t="str">
        <x:f>""</x:f>
      </x:c>
      <x:c r="K1253" s="73" t="n">
        <x:f>MAX(K1252,F1253)</x:f>
        <x:v>1.1808</x:v>
      </x:c>
      <x:c r="L1253" s="74" t="n">
        <x:f>1-F1253/K1253</x:f>
        <x:v>0.04530826558265588</x:v>
      </x:c>
      <x:c r="M1253" s="73" t="n">
        <x:f>MAX(M1252,F1253)</x:f>
        <x:v>1.1924</x:v>
      </x:c>
      <x:c r="N1253" s="74" t="n">
        <x:f>1-F1253/M1253</x:f>
        <x:v>0.0545957732304595</x:v>
      </x:c>
    </x:row>
    <x:row r="1254" ht="27" customHeight="1">
      <x:c r="A1254" s="66" t="str">
        <x:v>SXL267</x:v>
      </x:c>
      <x:c r="B1254" s="66" t="str">
        <x:v>滨风风云瑞丰1号</x:v>
      </x:c>
      <x:c r="C1254" s="72" t="n">
        <x:v>45209</x:v>
      </x:c>
      <x:c r="D1254" s="73" t="n">
        <x:v>1.1341</x:v>
      </x:c>
      <x:c r="E1254" s="73" t="n">
        <x:v>1.1341</x:v>
      </x:c>
      <x:c r="F1254" s="73" t="n">
        <x:v>1.1341</x:v>
      </x:c>
      <x:c r="G1254" s="74" t="n">
        <x:v>0.006</x:v>
      </x:c>
      <x:c r="H1254" s="66" t="str">
        <x:v>滨风风云瑞丰1号净值20260911.xlsx</x:v>
      </x:c>
      <x:c r="I1254" s="73" t="str">
        <x:f>""</x:f>
      </x:c>
      <x:c r="J1254" s="74" t="str">
        <x:f>""</x:f>
      </x:c>
      <x:c r="K1254" s="73" t="n">
        <x:f>MAX(K1253,F1254)</x:f>
        <x:v>1.1808</x:v>
      </x:c>
      <x:c r="L1254" s="74" t="n">
        <x:f>1-F1254/K1254</x:f>
        <x:v>0.03954945799457987</x:v>
      </x:c>
      <x:c r="M1254" s="73" t="n">
        <x:f>MAX(M1253,F1254)</x:f>
        <x:v>1.1924</x:v>
      </x:c>
      <x:c r="N1254" s="74" t="n">
        <x:f>1-F1254/M1254</x:f>
        <x:v>0.048892988929889136</x:v>
      </x:c>
    </x:row>
    <x:row r="1255" ht="27" customHeight="1">
      <x:c r="A1255" s="66" t="str">
        <x:v>SXL267</x:v>
      </x:c>
      <x:c r="B1255" s="66" t="str">
        <x:v>滨风风云瑞丰1号</x:v>
      </x:c>
      <x:c r="C1255" s="72" t="n">
        <x:v>45210</x:v>
      </x:c>
      <x:c r="D1255" s="73" t="n">
        <x:v>1.1456</x:v>
      </x:c>
      <x:c r="E1255" s="73" t="n">
        <x:v>1.1456</x:v>
      </x:c>
      <x:c r="F1255" s="73" t="n">
        <x:v>1.1456</x:v>
      </x:c>
      <x:c r="G1255" s="74" t="n">
        <x:v>0.0101</x:v>
      </x:c>
      <x:c r="H1255" s="66" t="str">
        <x:v>滨风风云瑞丰1号净值20260911.xlsx</x:v>
      </x:c>
      <x:c r="I1255" s="73" t="str">
        <x:f>""</x:f>
      </x:c>
      <x:c r="J1255" s="74" t="str">
        <x:f>""</x:f>
      </x:c>
      <x:c r="K1255" s="73" t="n">
        <x:f>MAX(K1254,F1255)</x:f>
        <x:v>1.1808</x:v>
      </x:c>
      <x:c r="L1255" s="74" t="n">
        <x:f>1-F1255/K1255</x:f>
        <x:v>0.02981029810298108</x:v>
      </x:c>
      <x:c r="M1255" s="73" t="n">
        <x:f>MAX(M1254,F1255)</x:f>
        <x:v>1.1924</x:v>
      </x:c>
      <x:c r="N1255" s="74" t="n">
        <x:f>1-F1255/M1255</x:f>
        <x:v>0.03924857430392481</x:v>
      </x:c>
    </x:row>
    <x:row r="1256" ht="27" customHeight="1">
      <x:c r="A1256" s="66" t="str">
        <x:v>SXL267</x:v>
      </x:c>
      <x:c r="B1256" s="66" t="str">
        <x:v>滨风风云瑞丰1号</x:v>
      </x:c>
      <x:c r="C1256" s="72" t="n">
        <x:v>45211</x:v>
      </x:c>
      <x:c r="D1256" s="73" t="n">
        <x:v>1.1486</x:v>
      </x:c>
      <x:c r="E1256" s="73" t="n">
        <x:v>1.1486</x:v>
      </x:c>
      <x:c r="F1256" s="73" t="n">
        <x:v>1.1486</x:v>
      </x:c>
      <x:c r="G1256" s="74" t="n">
        <x:v>0.0026</x:v>
      </x:c>
      <x:c r="H1256" s="66" t="str">
        <x:v>滨风风云瑞丰1号净值20260911.xlsx</x:v>
      </x:c>
      <x:c r="I1256" s="73" t="str">
        <x:f>""</x:f>
      </x:c>
      <x:c r="J1256" s="74" t="str">
        <x:f>""</x:f>
      </x:c>
      <x:c r="K1256" s="73" t="n">
        <x:f>MAX(K1255,F1256)</x:f>
        <x:v>1.1808</x:v>
      </x:c>
      <x:c r="L1256" s="74" t="n">
        <x:f>1-F1256/K1256</x:f>
        <x:v>0.027269647696476995</x:v>
      </x:c>
      <x:c r="M1256" s="73" t="n">
        <x:f>MAX(M1255,F1256)</x:f>
        <x:v>1.1924</x:v>
      </x:c>
      <x:c r="N1256" s="74" t="n">
        <x:f>1-F1256/M1256</x:f>
        <x:v>0.03673264005367316</x:v>
      </x:c>
    </x:row>
    <x:row r="1257" ht="27" customHeight="1">
      <x:c r="A1257" s="66" t="str">
        <x:v>SXL267</x:v>
      </x:c>
      <x:c r="B1257" s="66" t="str">
        <x:v>滨风风云瑞丰1号</x:v>
      </x:c>
      <x:c r="C1257" s="72" t="n">
        <x:v>45212</x:v>
      </x:c>
      <x:c r="D1257" s="73" t="n">
        <x:v>1.1466</x:v>
      </x:c>
      <x:c r="E1257" s="73" t="n">
        <x:v>1.1466</x:v>
      </x:c>
      <x:c r="F1257" s="73" t="n">
        <x:v>1.1466</x:v>
      </x:c>
      <x:c r="G1257" s="74" t="n">
        <x:v>-0.0017000000000000001</x:v>
      </x:c>
      <x:c r="H1257" s="66" t="str">
        <x:v>滨风风云瑞丰1号净值20260911.xlsx</x:v>
      </x:c>
      <x:c r="I1257" s="73" t="str">
        <x:f>""</x:f>
      </x:c>
      <x:c r="J1257" s="74" t="str">
        <x:f>""</x:f>
      </x:c>
      <x:c r="K1257" s="73" t="n">
        <x:f>MAX(K1256,F1257)</x:f>
        <x:v>1.1808</x:v>
      </x:c>
      <x:c r="L1257" s="74" t="n">
        <x:f>1-F1257/K1257</x:f>
        <x:v>0.02896341463414631</x:v>
      </x:c>
      <x:c r="M1257" s="73" t="n">
        <x:f>MAX(M1256,F1257)</x:f>
        <x:v>1.1924</x:v>
      </x:c>
      <x:c r="N1257" s="74" t="n">
        <x:f>1-F1257/M1257</x:f>
        <x:v>0.038409929553840816</x:v>
      </x:c>
    </x:row>
    <x:row r="1258" ht="27" customHeight="1">
      <x:c r="A1258" s="66" t="str">
        <x:v>SXL267</x:v>
      </x:c>
      <x:c r="B1258" s="66" t="str">
        <x:v>滨风风云瑞丰1号</x:v>
      </x:c>
      <x:c r="C1258" s="72" t="n">
        <x:v>45215</x:v>
      </x:c>
      <x:c r="D1258" s="73" t="n">
        <x:v>1.144</x:v>
      </x:c>
      <x:c r="E1258" s="73" t="n">
        <x:v>1.144</x:v>
      </x:c>
      <x:c r="F1258" s="73" t="n">
        <x:v>1.144</x:v>
      </x:c>
      <x:c r="G1258" s="74" t="n">
        <x:v>-0.0023</x:v>
      </x:c>
      <x:c r="H1258" s="66" t="str">
        <x:v>滨风风云瑞丰1号净值20260911.xlsx</x:v>
      </x:c>
      <x:c r="I1258" s="73" t="str">
        <x:f>""</x:f>
      </x:c>
      <x:c r="J1258" s="74" t="str">
        <x:f>""</x:f>
      </x:c>
      <x:c r="K1258" s="73" t="n">
        <x:f>MAX(K1257,F1258)</x:f>
        <x:v>1.1808</x:v>
      </x:c>
      <x:c r="L1258" s="74" t="n">
        <x:f>1-F1258/K1258</x:f>
        <x:v>0.031165311653116645</x:v>
      </x:c>
      <x:c r="M1258" s="73" t="n">
        <x:f>MAX(M1257,F1258)</x:f>
        <x:v>1.1924</x:v>
      </x:c>
      <x:c r="N1258" s="74" t="n">
        <x:f>1-F1258/M1258</x:f>
        <x:v>0.040590405904059046</x:v>
      </x:c>
    </x:row>
    <x:row r="1259" ht="27" customHeight="1">
      <x:c r="A1259" s="66" t="str">
        <x:v>SXL267</x:v>
      </x:c>
      <x:c r="B1259" s="66" t="str">
        <x:v>滨风风云瑞丰1号</x:v>
      </x:c>
      <x:c r="C1259" s="72" t="n">
        <x:v>45216</x:v>
      </x:c>
      <x:c r="D1259" s="73" t="n">
        <x:v>1.144</x:v>
      </x:c>
      <x:c r="E1259" s="73" t="n">
        <x:v>1.144</x:v>
      </x:c>
      <x:c r="F1259" s="73" t="n">
        <x:v>1.144</x:v>
      </x:c>
      <x:c r="G1259" s="74" t="n">
        <x:v>0</x:v>
      </x:c>
      <x:c r="H1259" s="66" t="str">
        <x:v>滨风风云瑞丰1号净值20260911.xlsx</x:v>
      </x:c>
      <x:c r="I1259" s="73" t="str">
        <x:f>""</x:f>
      </x:c>
      <x:c r="J1259" s="74" t="str">
        <x:f>""</x:f>
      </x:c>
      <x:c r="K1259" s="73" t="n">
        <x:f>MAX(K1258,F1259)</x:f>
        <x:v>1.1808</x:v>
      </x:c>
      <x:c r="L1259" s="74" t="n">
        <x:f>1-F1259/K1259</x:f>
        <x:v>0.031165311653116645</x:v>
      </x:c>
      <x:c r="M1259" s="73" t="n">
        <x:f>MAX(M1258,F1259)</x:f>
        <x:v>1.1924</x:v>
      </x:c>
      <x:c r="N1259" s="74" t="n">
        <x:f>1-F1259/M1259</x:f>
        <x:v>0.040590405904059046</x:v>
      </x:c>
    </x:row>
    <x:row r="1260" ht="27" customHeight="1">
      <x:c r="A1260" s="66" t="str">
        <x:v>SXL267</x:v>
      </x:c>
      <x:c r="B1260" s="66" t="str">
        <x:v>滨风风云瑞丰1号</x:v>
      </x:c>
      <x:c r="C1260" s="72" t="n">
        <x:v>45217</x:v>
      </x:c>
      <x:c r="D1260" s="73" t="n">
        <x:v>1.1429</x:v>
      </x:c>
      <x:c r="E1260" s="73" t="n">
        <x:v>1.1429</x:v>
      </x:c>
      <x:c r="F1260" s="73" t="n">
        <x:v>1.1429</x:v>
      </x:c>
      <x:c r="G1260" s="74" t="n">
        <x:v>-0.001</x:v>
      </x:c>
      <x:c r="H1260" s="66" t="str">
        <x:v>滨风风云瑞丰1号净值20260911.xlsx</x:v>
      </x:c>
      <x:c r="I1260" s="73" t="str">
        <x:f>""</x:f>
      </x:c>
      <x:c r="J1260" s="74" t="str">
        <x:f>""</x:f>
      </x:c>
      <x:c r="K1260" s="73" t="n">
        <x:f>MAX(K1259,F1260)</x:f>
        <x:v>1.1808</x:v>
      </x:c>
      <x:c r="L1260" s="74" t="n">
        <x:f>1-F1260/K1260</x:f>
        <x:v>0.03209688346883477</x:v>
      </x:c>
      <x:c r="M1260" s="73" t="n">
        <x:f>MAX(M1259,F1260)</x:f>
        <x:v>1.1924</x:v>
      </x:c>
      <x:c r="N1260" s="74" t="n">
        <x:f>1-F1260/M1260</x:f>
        <x:v>0.04151291512915123</x:v>
      </x:c>
    </x:row>
    <x:row r="1261" ht="27" customHeight="1">
      <x:c r="A1261" s="66" t="str">
        <x:v>SXL267</x:v>
      </x:c>
      <x:c r="B1261" s="66" t="str">
        <x:v>滨风风云瑞丰1号</x:v>
      </x:c>
      <x:c r="C1261" s="72" t="n">
        <x:v>45218</x:v>
      </x:c>
      <x:c r="D1261" s="73" t="n">
        <x:v>1.1451</x:v>
      </x:c>
      <x:c r="E1261" s="73" t="n">
        <x:v>1.1451</x:v>
      </x:c>
      <x:c r="F1261" s="73" t="n">
        <x:v>1.1451</x:v>
      </x:c>
      <x:c r="G1261" s="74" t="n">
        <x:v>0.0019</x:v>
      </x:c>
      <x:c r="H1261" s="66" t="str">
        <x:v>滨风风云瑞丰1号净值20260911.xlsx</x:v>
      </x:c>
      <x:c r="I1261" s="73" t="str">
        <x:f>""</x:f>
      </x:c>
      <x:c r="J1261" s="74" t="str">
        <x:f>""</x:f>
      </x:c>
      <x:c r="K1261" s="73" t="n">
        <x:f>MAX(K1260,F1261)</x:f>
        <x:v>1.1808</x:v>
      </x:c>
      <x:c r="L1261" s="74" t="n">
        <x:f>1-F1261/K1261</x:f>
        <x:v>0.03023373983739841</x:v>
      </x:c>
      <x:c r="M1261" s="73" t="n">
        <x:f>MAX(M1260,F1261)</x:f>
        <x:v>1.1924</x:v>
      </x:c>
      <x:c r="N1261" s="74" t="n">
        <x:f>1-F1261/M1261</x:f>
        <x:v>0.03966789667896675</x:v>
      </x:c>
    </x:row>
    <x:row r="1262" ht="27" customHeight="1">
      <x:c r="A1262" s="66" t="str">
        <x:v>SXL267</x:v>
      </x:c>
      <x:c r="B1262" s="66" t="str">
        <x:v>滨风风云瑞丰1号</x:v>
      </x:c>
      <x:c r="C1262" s="72" t="n">
        <x:v>45219</x:v>
      </x:c>
      <x:c r="D1262" s="73" t="n">
        <x:v>1.1476</x:v>
      </x:c>
      <x:c r="E1262" s="73" t="n">
        <x:v>1.1476</x:v>
      </x:c>
      <x:c r="F1262" s="73" t="n">
        <x:v>1.1476</x:v>
      </x:c>
      <x:c r="G1262" s="74" t="n">
        <x:v>0.0022</x:v>
      </x:c>
      <x:c r="H1262" s="66" t="str">
        <x:v>滨风风云瑞丰1号净值20260911.xlsx</x:v>
      </x:c>
      <x:c r="I1262" s="73" t="str">
        <x:f>""</x:f>
      </x:c>
      <x:c r="J1262" s="74" t="str">
        <x:f>""</x:f>
      </x:c>
      <x:c r="K1262" s="73" t="n">
        <x:f>MAX(K1261,F1262)</x:f>
        <x:v>1.1808</x:v>
      </x:c>
      <x:c r="L1262" s="74" t="n">
        <x:f>1-F1262/K1262</x:f>
        <x:v>0.028116531165311764</x:v>
      </x:c>
      <x:c r="M1262" s="73" t="n">
        <x:f>MAX(M1261,F1262)</x:f>
        <x:v>1.1924</x:v>
      </x:c>
      <x:c r="N1262" s="74" t="n">
        <x:f>1-F1262/M1262</x:f>
        <x:v>0.037571284803757043</x:v>
      </x:c>
    </x:row>
    <x:row r="1263" ht="27" customHeight="1">
      <x:c r="A1263" s="66" t="str">
        <x:v>SXL267</x:v>
      </x:c>
      <x:c r="B1263" s="66" t="str">
        <x:v>滨风风云瑞丰1号</x:v>
      </x:c>
      <x:c r="C1263" s="72" t="n">
        <x:v>45222</x:v>
      </x:c>
      <x:c r="D1263" s="73" t="n">
        <x:v>1.14</x:v>
      </x:c>
      <x:c r="E1263" s="73" t="n">
        <x:v>1.14</x:v>
      </x:c>
      <x:c r="F1263" s="73" t="n">
        <x:v>1.14</x:v>
      </x:c>
      <x:c r="G1263" s="74" t="n">
        <x:v>-0.0066</x:v>
      </x:c>
      <x:c r="H1263" s="66" t="str">
        <x:v>滨风风云瑞丰1号净值20260911.xlsx</x:v>
      </x:c>
      <x:c r="I1263" s="73" t="str">
        <x:f>""</x:f>
      </x:c>
      <x:c r="J1263" s="74" t="str">
        <x:f>""</x:f>
      </x:c>
      <x:c r="K1263" s="73" t="n">
        <x:f>MAX(K1262,F1263)</x:f>
        <x:v>1.1808</x:v>
      </x:c>
      <x:c r="L1263" s="74" t="n">
        <x:f>1-F1263/K1263</x:f>
        <x:v>0.03455284552845539</x:v>
      </x:c>
      <x:c r="M1263" s="73" t="n">
        <x:f>MAX(M1262,F1263)</x:f>
        <x:v>1.1924</x:v>
      </x:c>
      <x:c r="N1263" s="74" t="n">
        <x:f>1-F1263/M1263</x:f>
        <x:v>0.04394498490439447</x:v>
      </x:c>
    </x:row>
    <x:row r="1264" ht="27" customHeight="1">
      <x:c r="A1264" s="66" t="str">
        <x:v>SXL267</x:v>
      </x:c>
      <x:c r="B1264" s="66" t="str">
        <x:v>滨风风云瑞丰1号</x:v>
      </x:c>
      <x:c r="C1264" s="72" t="n">
        <x:v>45223</x:v>
      </x:c>
      <x:c r="D1264" s="73" t="n">
        <x:v>1.1333</x:v>
      </x:c>
      <x:c r="E1264" s="73" t="n">
        <x:v>1.1333</x:v>
      </x:c>
      <x:c r="F1264" s="73" t="n">
        <x:v>1.1333</x:v>
      </x:c>
      <x:c r="G1264" s="74" t="n">
        <x:v>-0.0059</x:v>
      </x:c>
      <x:c r="H1264" s="66" t="str">
        <x:v>滨风风云瑞丰1号净值20260911.xlsx</x:v>
      </x:c>
      <x:c r="I1264" s="73" t="str">
        <x:f>""</x:f>
      </x:c>
      <x:c r="J1264" s="74" t="str">
        <x:f>""</x:f>
      </x:c>
      <x:c r="K1264" s="73" t="n">
        <x:f>MAX(K1263,F1264)</x:f>
        <x:v>1.1808</x:v>
      </x:c>
      <x:c r="L1264" s="74" t="n">
        <x:f>1-F1264/K1264</x:f>
        <x:v>0.04022696476964782</x:v>
      </x:c>
      <x:c r="M1264" s="73" t="n">
        <x:f>MAX(M1263,F1264)</x:f>
        <x:v>1.1924</x:v>
      </x:c>
      <x:c r="N1264" s="74" t="n">
        <x:f>1-F1264/M1264</x:f>
        <x:v>0.04956390472995631</x:v>
      </x:c>
    </x:row>
    <x:row r="1265" ht="27" customHeight="1">
      <x:c r="A1265" s="66" t="str">
        <x:v>SXL267</x:v>
      </x:c>
      <x:c r="B1265" s="66" t="str">
        <x:v>滨风风云瑞丰1号</x:v>
      </x:c>
      <x:c r="C1265" s="72" t="n">
        <x:v>45224</x:v>
      </x:c>
      <x:c r="D1265" s="73" t="n">
        <x:v>1.1406</x:v>
      </x:c>
      <x:c r="E1265" s="73" t="n">
        <x:v>1.1406</x:v>
      </x:c>
      <x:c r="F1265" s="73" t="n">
        <x:v>1.1406</x:v>
      </x:c>
      <x:c r="G1265" s="74" t="n">
        <x:v>0.0064</x:v>
      </x:c>
      <x:c r="H1265" s="66" t="str">
        <x:v>滨风风云瑞丰1号净值20260911.xlsx</x:v>
      </x:c>
      <x:c r="I1265" s="73" t="str">
        <x:f>""</x:f>
      </x:c>
      <x:c r="J1265" s="74" t="str">
        <x:f>""</x:f>
      </x:c>
      <x:c r="K1265" s="73" t="n">
        <x:f>MAX(K1264,F1265)</x:f>
        <x:v>1.1808</x:v>
      </x:c>
      <x:c r="L1265" s="74" t="n">
        <x:f>1-F1265/K1265</x:f>
        <x:v>0.03404471544715448</x:v>
      </x:c>
      <x:c r="M1265" s="73" t="n">
        <x:f>MAX(M1264,F1265)</x:f>
        <x:v>1.1924</x:v>
      </x:c>
      <x:c r="N1265" s="74" t="n">
        <x:f>1-F1265/M1265</x:f>
        <x:v>0.043441798054344005</x:v>
      </x:c>
    </x:row>
    <x:row r="1266" ht="27" customHeight="1">
      <x:c r="A1266" s="66" t="str">
        <x:v>SXL267</x:v>
      </x:c>
      <x:c r="B1266" s="66" t="str">
        <x:v>滨风风云瑞丰1号</x:v>
      </x:c>
      <x:c r="C1266" s="72" t="n">
        <x:v>45225</x:v>
      </x:c>
      <x:c r="D1266" s="73" t="n">
        <x:v>1.1361</x:v>
      </x:c>
      <x:c r="E1266" s="73" t="n">
        <x:v>1.1361</x:v>
      </x:c>
      <x:c r="F1266" s="73" t="n">
        <x:v>1.1361</x:v>
      </x:c>
      <x:c r="G1266" s="74" t="n">
        <x:v>-0.0039000000000000003</x:v>
      </x:c>
      <x:c r="H1266" s="66" t="str">
        <x:v>滨风风云瑞丰1号净值20260911.xlsx</x:v>
      </x:c>
      <x:c r="I1266" s="73" t="str">
        <x:f>""</x:f>
      </x:c>
      <x:c r="J1266" s="74" t="str">
        <x:f>""</x:f>
      </x:c>
      <x:c r="K1266" s="73" t="n">
        <x:f>MAX(K1265,F1266)</x:f>
        <x:v>1.1808</x:v>
      </x:c>
      <x:c r="L1266" s="74" t="n">
        <x:f>1-F1266/K1266</x:f>
        <x:v>0.037855691056910556</x:v>
      </x:c>
      <x:c r="M1266" s="73" t="n">
        <x:f>MAX(M1265,F1266)</x:f>
        <x:v>1.1924</x:v>
      </x:c>
      <x:c r="N1266" s="74" t="n">
        <x:f>1-F1266/M1266</x:f>
        <x:v>0.04721569942972137</x:v>
      </x:c>
    </x:row>
    <x:row r="1267" ht="27" customHeight="1">
      <x:c r="A1267" s="66" t="str">
        <x:v>SXL267</x:v>
      </x:c>
      <x:c r="B1267" s="66" t="str">
        <x:v>滨风风云瑞丰1号</x:v>
      </x:c>
      <x:c r="C1267" s="72" t="n">
        <x:v>45226</x:v>
      </x:c>
      <x:c r="D1267" s="73" t="n">
        <x:v>1.1318</x:v>
      </x:c>
      <x:c r="E1267" s="73" t="n">
        <x:v>1.1318</x:v>
      </x:c>
      <x:c r="F1267" s="73" t="n">
        <x:v>1.1318</x:v>
      </x:c>
      <x:c r="G1267" s="74" t="n">
        <x:v>-0.0038</x:v>
      </x:c>
      <x:c r="H1267" s="66" t="str">
        <x:v>滨风风云瑞丰1号净值20260911.xlsx</x:v>
      </x:c>
      <x:c r="I1267" s="73" t="str">
        <x:f>""</x:f>
      </x:c>
      <x:c r="J1267" s="74" t="str">
        <x:f>""</x:f>
      </x:c>
      <x:c r="K1267" s="73" t="n">
        <x:f>MAX(K1266,F1267)</x:f>
        <x:v>1.1808</x:v>
      </x:c>
      <x:c r="L1267" s="74" t="n">
        <x:f>1-F1267/K1267</x:f>
        <x:v>0.04149728997289981</x:v>
      </x:c>
      <x:c r="M1267" s="73" t="n">
        <x:f>MAX(M1266,F1267)</x:f>
        <x:v>1.1924</x:v>
      </x:c>
      <x:c r="N1267" s="74" t="n">
        <x:f>1-F1267/M1267</x:f>
        <x:v>0.050821871855082135</x:v>
      </x:c>
    </x:row>
    <x:row r="1268" ht="27" customHeight="1">
      <x:c r="A1268" s="66" t="str">
        <x:v>SXL267</x:v>
      </x:c>
      <x:c r="B1268" s="66" t="str">
        <x:v>滨风风云瑞丰1号</x:v>
      </x:c>
      <x:c r="C1268" s="72" t="n">
        <x:v>45229</x:v>
      </x:c>
      <x:c r="D1268" s="73" t="n">
        <x:v>1.1311</x:v>
      </x:c>
      <x:c r="E1268" s="73" t="n">
        <x:v>1.1311</x:v>
      </x:c>
      <x:c r="F1268" s="73" t="n">
        <x:v>1.1311</x:v>
      </x:c>
      <x:c r="G1268" s="74" t="n">
        <x:v>-0.0006</x:v>
      </x:c>
      <x:c r="H1268" s="66" t="str">
        <x:v>滨风风云瑞丰1号净值20260911.xlsx</x:v>
      </x:c>
      <x:c r="I1268" s="73" t="str">
        <x:f>""</x:f>
      </x:c>
      <x:c r="J1268" s="74" t="str">
        <x:f>""</x:f>
      </x:c>
      <x:c r="K1268" s="73" t="n">
        <x:f>MAX(K1267,F1268)</x:f>
        <x:v>1.1808</x:v>
      </x:c>
      <x:c r="L1268" s="74" t="n">
        <x:f>1-F1268/K1268</x:f>
        <x:v>0.04209010840108407</x:v>
      </x:c>
      <x:c r="M1268" s="73" t="n">
        <x:f>MAX(M1267,F1268)</x:f>
        <x:v>1.1924</x:v>
      </x:c>
      <x:c r="N1268" s="74" t="n">
        <x:f>1-F1268/M1268</x:f>
        <x:v>0.051408923180140786</x:v>
      </x:c>
    </x:row>
    <x:row r="1269" ht="27" customHeight="1">
      <x:c r="A1269" s="66" t="str">
        <x:v>SXL267</x:v>
      </x:c>
      <x:c r="B1269" s="66" t="str">
        <x:v>滨风风云瑞丰1号</x:v>
      </x:c>
      <x:c r="C1269" s="72" t="n">
        <x:v>45230</x:v>
      </x:c>
      <x:c r="D1269" s="73" t="n">
        <x:v>1.1325</x:v>
      </x:c>
      <x:c r="E1269" s="73" t="n">
        <x:v>1.1325</x:v>
      </x:c>
      <x:c r="F1269" s="73" t="n">
        <x:v>1.1325</x:v>
      </x:c>
      <x:c r="G1269" s="74" t="n">
        <x:v>0.0012</x:v>
      </x:c>
      <x:c r="H1269" s="66" t="str">
        <x:v>滨风风云瑞丰1号净值20260911.xlsx</x:v>
      </x:c>
      <x:c r="I1269" s="73" t="str">
        <x:f>""</x:f>
      </x:c>
      <x:c r="J1269" s="74" t="str">
        <x:f>""</x:f>
      </x:c>
      <x:c r="K1269" s="73" t="n">
        <x:f>MAX(K1268,F1269)</x:f>
        <x:v>1.1808</x:v>
      </x:c>
      <x:c r="L1269" s="74" t="n">
        <x:f>1-F1269/K1269</x:f>
        <x:v>0.04090447154471544</x:v>
      </x:c>
      <x:c r="M1269" s="73" t="n">
        <x:f>MAX(M1268,F1269)</x:f>
        <x:v>1.1924</x:v>
      </x:c>
      <x:c r="N1269" s="74" t="n">
        <x:f>1-F1269/M1269</x:f>
        <x:v>0.05023482053002337</x:v>
      </x:c>
    </x:row>
    <x:row r="1270" ht="27" customHeight="1">
      <x:c r="A1270" s="66" t="str">
        <x:v>SXL267</x:v>
      </x:c>
      <x:c r="B1270" s="66" t="str">
        <x:v>滨风风云瑞丰1号</x:v>
      </x:c>
      <x:c r="C1270" s="72" t="n">
        <x:v>45231</x:v>
      </x:c>
      <x:c r="D1270" s="73" t="n">
        <x:v>1.1332</x:v>
      </x:c>
      <x:c r="E1270" s="73" t="n">
        <x:v>1.1332</x:v>
      </x:c>
      <x:c r="F1270" s="73" t="n">
        <x:v>1.1332</x:v>
      </x:c>
      <x:c r="G1270" s="74" t="n">
        <x:v>0.0006</x:v>
      </x:c>
      <x:c r="H1270" s="66" t="str">
        <x:v>滨风风云瑞丰1号净值20260911.xlsx</x:v>
      </x:c>
      <x:c r="I1270" s="73" t="str">
        <x:f>""</x:f>
      </x:c>
      <x:c r="J1270" s="74" t="str">
        <x:f>""</x:f>
      </x:c>
      <x:c r="K1270" s="73" t="n">
        <x:f>MAX(K1269,F1270)</x:f>
        <x:v>1.1808</x:v>
      </x:c>
      <x:c r="L1270" s="74" t="n">
        <x:f>1-F1270/K1270</x:f>
        <x:v>0.04031165311653129</x:v>
      </x:c>
      <x:c r="M1270" s="73" t="n">
        <x:f>MAX(M1269,F1270)</x:f>
        <x:v>1.1924</x:v>
      </x:c>
      <x:c r="N1270" s="74" t="n">
        <x:f>1-F1270/M1270</x:f>
        <x:v>0.04964776920496472</x:v>
      </x:c>
    </x:row>
    <x:row r="1271" ht="27" customHeight="1">
      <x:c r="A1271" s="66" t="str">
        <x:v>SXL267</x:v>
      </x:c>
      <x:c r="B1271" s="66" t="str">
        <x:v>滨风风云瑞丰1号</x:v>
      </x:c>
      <x:c r="C1271" s="72" t="n">
        <x:v>45232</x:v>
      </x:c>
      <x:c r="D1271" s="73" t="n">
        <x:v>1.1501</x:v>
      </x:c>
      <x:c r="E1271" s="73" t="n">
        <x:v>1.1501</x:v>
      </x:c>
      <x:c r="F1271" s="73" t="n">
        <x:v>1.1501</x:v>
      </x:c>
      <x:c r="G1271" s="74" t="n">
        <x:v>0.0149</x:v>
      </x:c>
      <x:c r="H1271" s="66" t="str">
        <x:v>滨风风云瑞丰1号净值20260911.xlsx</x:v>
      </x:c>
      <x:c r="I1271" s="73" t="str">
        <x:f>""</x:f>
      </x:c>
      <x:c r="J1271" s="74" t="str">
        <x:f>""</x:f>
      </x:c>
      <x:c r="K1271" s="73" t="n">
        <x:f>MAX(K1270,F1271)</x:f>
        <x:v>1.1808</x:v>
      </x:c>
      <x:c r="L1271" s="74" t="n">
        <x:f>1-F1271/K1271</x:f>
        <x:v>0.02599932249322512</x:v>
      </x:c>
      <x:c r="M1271" s="73" t="n">
        <x:f>MAX(M1270,F1271)</x:f>
        <x:v>1.1924</x:v>
      </x:c>
      <x:c r="N1271" s="74" t="n">
        <x:f>1-F1271/M1271</x:f>
        <x:v>0.035474672928547446</x:v>
      </x:c>
    </x:row>
    <x:row r="1272" ht="27" customHeight="1">
      <x:c r="A1272" s="66" t="str">
        <x:v>SXL267</x:v>
      </x:c>
      <x:c r="B1272" s="66" t="str">
        <x:v>滨风风云瑞丰1号</x:v>
      </x:c>
      <x:c r="C1272" s="72" t="n">
        <x:v>45233</x:v>
      </x:c>
      <x:c r="D1272" s="73" t="n">
        <x:v>1.1563</x:v>
      </x:c>
      <x:c r="E1272" s="73" t="n">
        <x:v>1.1563</x:v>
      </x:c>
      <x:c r="F1272" s="73" t="n">
        <x:v>1.1563</x:v>
      </x:c>
      <x:c r="G1272" s="74" t="n">
        <x:v>0.0054</x:v>
      </x:c>
      <x:c r="H1272" s="66" t="str">
        <x:v>滨风风云瑞丰1号净值20260911.xlsx</x:v>
      </x:c>
      <x:c r="I1272" s="73" t="str">
        <x:f>""</x:f>
      </x:c>
      <x:c r="J1272" s="74" t="str">
        <x:f>""</x:f>
      </x:c>
      <x:c r="K1272" s="73" t="n">
        <x:f>MAX(K1271,F1272)</x:f>
        <x:v>1.1808</x:v>
      </x:c>
      <x:c r="L1272" s="74" t="n">
        <x:f>1-F1272/K1272</x:f>
        <x:v>0.020748644986449793</x:v>
      </x:c>
      <x:c r="M1272" s="73" t="n">
        <x:f>MAX(M1271,F1272)</x:f>
        <x:v>1.1924</x:v>
      </x:c>
      <x:c r="N1272" s="74" t="n">
        <x:f>1-F1272/M1272</x:f>
        <x:v>0.030275075478027325</x:v>
      </x:c>
    </x:row>
    <x:row r="1273" ht="27" customHeight="1">
      <x:c r="A1273" s="66" t="str">
        <x:v>SXL267</x:v>
      </x:c>
      <x:c r="B1273" s="66" t="str">
        <x:v>滨风风云瑞丰1号</x:v>
      </x:c>
      <x:c r="C1273" s="72" t="n">
        <x:v>45236</x:v>
      </x:c>
      <x:c r="D1273" s="73" t="n">
        <x:v>1.153</x:v>
      </x:c>
      <x:c r="E1273" s="73" t="n">
        <x:v>1.153</x:v>
      </x:c>
      <x:c r="F1273" s="73" t="n">
        <x:v>1.153</x:v>
      </x:c>
      <x:c r="G1273" s="74" t="n">
        <x:v>-0.0029</x:v>
      </x:c>
      <x:c r="H1273" s="66" t="str">
        <x:v>滨风风云瑞丰1号净值20260911.xlsx</x:v>
      </x:c>
      <x:c r="I1273" s="73" t="str">
        <x:f>""</x:f>
      </x:c>
      <x:c r="J1273" s="74" t="str">
        <x:f>""</x:f>
      </x:c>
      <x:c r="K1273" s="73" t="n">
        <x:f>MAX(K1272,F1273)</x:f>
        <x:v>1.1808</x:v>
      </x:c>
      <x:c r="L1273" s="74" t="n">
        <x:f>1-F1273/K1273</x:f>
        <x:v>0.023543360433604388</x:v>
      </x:c>
      <x:c r="M1273" s="73" t="n">
        <x:f>MAX(M1272,F1273)</x:f>
        <x:v>1.1924</x:v>
      </x:c>
      <x:c r="N1273" s="74" t="n">
        <x:f>1-F1273/M1273</x:f>
        <x:v>0.033042603153304206</x:v>
      </x:c>
    </x:row>
    <x:row r="1274" ht="27" customHeight="1">
      <x:c r="A1274" s="66" t="str">
        <x:v>SXL267</x:v>
      </x:c>
      <x:c r="B1274" s="66" t="str">
        <x:v>滨风风云瑞丰1号</x:v>
      </x:c>
      <x:c r="C1274" s="72" t="n">
        <x:v>45237</x:v>
      </x:c>
      <x:c r="D1274" s="73" t="n">
        <x:v>1.149</x:v>
      </x:c>
      <x:c r="E1274" s="73" t="n">
        <x:v>1.149</x:v>
      </x:c>
      <x:c r="F1274" s="73" t="n">
        <x:v>1.149</x:v>
      </x:c>
      <x:c r="G1274" s="74" t="n">
        <x:v>-0.0034999999999999996</x:v>
      </x:c>
      <x:c r="H1274" s="66" t="str">
        <x:v>滨风风云瑞丰1号净值20260911.xlsx</x:v>
      </x:c>
      <x:c r="I1274" s="73" t="str">
        <x:f>""</x:f>
      </x:c>
      <x:c r="J1274" s="74" t="str">
        <x:f>""</x:f>
      </x:c>
      <x:c r="K1274" s="73" t="n">
        <x:f>MAX(K1273,F1274)</x:f>
        <x:v>1.1808</x:v>
      </x:c>
      <x:c r="L1274" s="74" t="n">
        <x:f>1-F1274/K1274</x:f>
        <x:v>0.026930894308943132</x:v>
      </x:c>
      <x:c r="M1274" s="73" t="n">
        <x:f>MAX(M1273,F1274)</x:f>
        <x:v>1.1924</x:v>
      </x:c>
      <x:c r="N1274" s="74" t="n">
        <x:f>1-F1274/M1274</x:f>
        <x:v>0.03639718215363963</x:v>
      </x:c>
    </x:row>
    <x:row r="1275" ht="27" customHeight="1">
      <x:c r="A1275" s="66" t="str">
        <x:v>SXL267</x:v>
      </x:c>
      <x:c r="B1275" s="66" t="str">
        <x:v>滨风风云瑞丰1号</x:v>
      </x:c>
      <x:c r="C1275" s="72" t="n">
        <x:v>45238</x:v>
      </x:c>
      <x:c r="D1275" s="73" t="n">
        <x:v>1.1566</x:v>
      </x:c>
      <x:c r="E1275" s="73" t="n">
        <x:v>1.1566</x:v>
      </x:c>
      <x:c r="F1275" s="73" t="n">
        <x:v>1.1566</x:v>
      </x:c>
      <x:c r="G1275" s="74" t="n">
        <x:v>0.0066</x:v>
      </x:c>
      <x:c r="H1275" s="66" t="str">
        <x:v>滨风风云瑞丰1号净值20260911.xlsx</x:v>
      </x:c>
      <x:c r="I1275" s="73" t="str">
        <x:f>""</x:f>
      </x:c>
      <x:c r="J1275" s="74" t="str">
        <x:f>""</x:f>
      </x:c>
      <x:c r="K1275" s="73" t="n">
        <x:f>MAX(K1274,F1275)</x:f>
        <x:v>1.1808</x:v>
      </x:c>
      <x:c r="L1275" s="74" t="n">
        <x:f>1-F1275/K1275</x:f>
        <x:v>0.020494579945799507</x:v>
      </x:c>
      <x:c r="M1275" s="73" t="n">
        <x:f>MAX(M1274,F1275)</x:f>
        <x:v>1.1924</x:v>
      </x:c>
      <x:c r="N1275" s="74" t="n">
        <x:f>1-F1275/M1275</x:f>
        <x:v>0.030023482053002204</x:v>
      </x:c>
    </x:row>
    <x:row r="1276" ht="27" customHeight="1">
      <x:c r="A1276" s="66" t="str">
        <x:v>SXL267</x:v>
      </x:c>
      <x:c r="B1276" s="66" t="str">
        <x:v>滨风风云瑞丰1号</x:v>
      </x:c>
      <x:c r="C1276" s="72" t="n">
        <x:v>45239</x:v>
      </x:c>
      <x:c r="D1276" s="73" t="n">
        <x:v>1.1669</x:v>
      </x:c>
      <x:c r="E1276" s="73" t="n">
        <x:v>1.1669</x:v>
      </x:c>
      <x:c r="F1276" s="73" t="n">
        <x:v>1.1669</x:v>
      </x:c>
      <x:c r="G1276" s="74" t="n">
        <x:v>0.0089</x:v>
      </x:c>
      <x:c r="H1276" s="66" t="str">
        <x:v>滨风风云瑞丰1号净值20260911.xlsx</x:v>
      </x:c>
      <x:c r="I1276" s="73" t="str">
        <x:f>""</x:f>
      </x:c>
      <x:c r="J1276" s="74" t="str">
        <x:f>""</x:f>
      </x:c>
      <x:c r="K1276" s="73" t="n">
        <x:f>MAX(K1275,F1276)</x:f>
        <x:v>1.1808</x:v>
      </x:c>
      <x:c r="L1276" s="74" t="n">
        <x:f>1-F1276/K1276</x:f>
        <x:v>0.011771680216802194</x:v>
      </x:c>
      <x:c r="M1276" s="73" t="n">
        <x:f>MAX(M1275,F1276)</x:f>
        <x:v>1.1924</x:v>
      </x:c>
      <x:c r="N1276" s="74" t="n">
        <x:f>1-F1276/M1276</x:f>
        <x:v>0.02138544112713847</x:v>
      </x:c>
    </x:row>
    <x:row r="1277" ht="27" customHeight="1">
      <x:c r="A1277" s="66" t="str">
        <x:v>SXL267</x:v>
      </x:c>
      <x:c r="B1277" s="66" t="str">
        <x:v>滨风风云瑞丰1号</x:v>
      </x:c>
      <x:c r="C1277" s="72" t="n">
        <x:v>45240</x:v>
      </x:c>
      <x:c r="D1277" s="73" t="n">
        <x:v>1.1802</x:v>
      </x:c>
      <x:c r="E1277" s="73" t="n">
        <x:v>1.1802</x:v>
      </x:c>
      <x:c r="F1277" s="73" t="n">
        <x:v>1.1802</x:v>
      </x:c>
      <x:c r="G1277" s="74" t="n">
        <x:v>0.011399999999999999</x:v>
      </x:c>
      <x:c r="H1277" s="66" t="str">
        <x:v>滨风风云瑞丰1号净值20260911.xlsx</x:v>
      </x:c>
      <x:c r="I1277" s="73" t="str">
        <x:f>""</x:f>
      </x:c>
      <x:c r="J1277" s="74" t="str">
        <x:f>""</x:f>
      </x:c>
      <x:c r="K1277" s="73" t="n">
        <x:f>MAX(K1276,F1277)</x:f>
        <x:v>1.1808</x:v>
      </x:c>
      <x:c r="L1277" s="74" t="n">
        <x:f>1-F1277/K1277</x:f>
        <x:v>0.000508130081300906</x:v>
      </x:c>
      <x:c r="M1277" s="73" t="n">
        <x:f>MAX(M1276,F1277)</x:f>
        <x:v>1.1924</x:v>
      </x:c>
      <x:c r="N1277" s="74" t="n">
        <x:f>1-F1277/M1277</x:f>
        <x:v>0.010231465951023089</x:v>
      </x:c>
    </x:row>
    <x:row r="1278" ht="27" customHeight="1">
      <x:c r="A1278" s="66" t="str">
        <x:v>SXL267</x:v>
      </x:c>
      <x:c r="B1278" s="66" t="str">
        <x:v>滨风风云瑞丰1号</x:v>
      </x:c>
      <x:c r="C1278" s="72" t="n">
        <x:v>45243</x:v>
      </x:c>
      <x:c r="D1278" s="73" t="n">
        <x:v>1.1836</x:v>
      </x:c>
      <x:c r="E1278" s="73" t="n">
        <x:v>1.1836</x:v>
      </x:c>
      <x:c r="F1278" s="73" t="n">
        <x:v>1.1836</x:v>
      </x:c>
      <x:c r="G1278" s="74" t="n">
        <x:v>0.0029</x:v>
      </x:c>
      <x:c r="H1278" s="66" t="str">
        <x:v>滨风风云瑞丰1号净值20260911.xlsx</x:v>
      </x:c>
      <x:c r="I1278" s="73" t="str">
        <x:f>""</x:f>
      </x:c>
      <x:c r="J1278" s="74" t="str">
        <x:f>""</x:f>
      </x:c>
      <x:c r="K1278" s="73" t="n">
        <x:f>MAX(K1277,F1278)</x:f>
        <x:v>1.1836</x:v>
      </x:c>
      <x:c r="L1278" s="74" t="n">
        <x:f>1-F1278/K1278</x:f>
        <x:v>0</x:v>
      </x:c>
      <x:c r="M1278" s="73" t="n">
        <x:f>MAX(M1277,F1278)</x:f>
        <x:v>1.1924</x:v>
      </x:c>
      <x:c r="N1278" s="74" t="n">
        <x:f>1-F1278/M1278</x:f>
        <x:v>0.007380073800737907</x:v>
      </x:c>
    </x:row>
    <x:row r="1279" ht="27" customHeight="1">
      <x:c r="A1279" s="66" t="str">
        <x:v>SXL267</x:v>
      </x:c>
      <x:c r="B1279" s="66" t="str">
        <x:v>滨风风云瑞丰1号</x:v>
      </x:c>
      <x:c r="C1279" s="72" t="n">
        <x:v>45244</x:v>
      </x:c>
      <x:c r="D1279" s="73" t="n">
        <x:v>1.1848</x:v>
      </x:c>
      <x:c r="E1279" s="73" t="n">
        <x:v>1.1848</x:v>
      </x:c>
      <x:c r="F1279" s="73" t="n">
        <x:v>1.1848</x:v>
      </x:c>
      <x:c r="G1279" s="74" t="n">
        <x:v>0.001</x:v>
      </x:c>
      <x:c r="H1279" s="66" t="str">
        <x:v>滨风风云瑞丰1号净值20260911.xlsx</x:v>
      </x:c>
      <x:c r="I1279" s="73" t="str">
        <x:f>""</x:f>
      </x:c>
      <x:c r="J1279" s="74" t="str">
        <x:f>""</x:f>
      </x:c>
      <x:c r="K1279" s="73" t="n">
        <x:f>MAX(K1278,F1279)</x:f>
        <x:v>1.1848</x:v>
      </x:c>
      <x:c r="L1279" s="74" t="n">
        <x:f>1-F1279/K1279</x:f>
        <x:v>0</x:v>
      </x:c>
      <x:c r="M1279" s="73" t="n">
        <x:f>MAX(M1278,F1279)</x:f>
        <x:v>1.1924</x:v>
      </x:c>
      <x:c r="N1279" s="74" t="n">
        <x:f>1-F1279/M1279</x:f>
        <x:v>0.006373700100637203</x:v>
      </x:c>
    </x:row>
    <x:row r="1280" ht="27" customHeight="1">
      <x:c r="A1280" s="66" t="str">
        <x:v>SXL267</x:v>
      </x:c>
      <x:c r="B1280" s="66" t="str">
        <x:v>滨风风云瑞丰1号</x:v>
      </x:c>
      <x:c r="C1280" s="72" t="n">
        <x:v>45245</x:v>
      </x:c>
      <x:c r="D1280" s="73" t="n">
        <x:v>1.197</x:v>
      </x:c>
      <x:c r="E1280" s="73" t="n">
        <x:v>1.197</x:v>
      </x:c>
      <x:c r="F1280" s="73" t="n">
        <x:v>1.197</x:v>
      </x:c>
      <x:c r="G1280" s="74" t="n">
        <x:v>0.0103</x:v>
      </x:c>
      <x:c r="H1280" s="66" t="str">
        <x:v>滨风风云瑞丰1号净值20260911.xlsx</x:v>
      </x:c>
      <x:c r="I1280" s="73" t="str">
        <x:f>""</x:f>
      </x:c>
      <x:c r="J1280" s="74" t="str">
        <x:f>""</x:f>
      </x:c>
      <x:c r="K1280" s="73" t="n">
        <x:f>MAX(K1279,F1280)</x:f>
        <x:v>1.197</x:v>
      </x:c>
      <x:c r="L1280" s="74" t="n">
        <x:f>1-F1280/K1280</x:f>
        <x:v>0</x:v>
      </x:c>
      <x:c r="M1280" s="73" t="n">
        <x:f>MAX(M1279,F1280)</x:f>
        <x:v>1.197</x:v>
      </x:c>
      <x:c r="N1280" s="74" t="n">
        <x:f>1-F1280/M1280</x:f>
        <x:v>0</x:v>
      </x:c>
    </x:row>
    <x:row r="1281" ht="27" customHeight="1">
      <x:c r="A1281" s="66" t="str">
        <x:v>SXL267</x:v>
      </x:c>
      <x:c r="B1281" s="66" t="str">
        <x:v>滨风风云瑞丰1号</x:v>
      </x:c>
      <x:c r="C1281" s="72" t="n">
        <x:v>45246</x:v>
      </x:c>
      <x:c r="D1281" s="73" t="n">
        <x:v>1.1854</x:v>
      </x:c>
      <x:c r="E1281" s="73" t="n">
        <x:v>1.1854</x:v>
      </x:c>
      <x:c r="F1281" s="73" t="n">
        <x:v>1.1854</x:v>
      </x:c>
      <x:c r="G1281" s="74" t="n">
        <x:v>-0.0097</x:v>
      </x:c>
      <x:c r="H1281" s="66" t="str">
        <x:v>滨风风云瑞丰1号净值20260911.xlsx</x:v>
      </x:c>
      <x:c r="I1281" s="73" t="str">
        <x:f>""</x:f>
      </x:c>
      <x:c r="J1281" s="74" t="str">
        <x:f>""</x:f>
      </x:c>
      <x:c r="K1281" s="73" t="n">
        <x:f>MAX(K1280,F1281)</x:f>
        <x:v>1.197</x:v>
      </x:c>
      <x:c r="L1281" s="74" t="n">
        <x:f>1-F1281/K1281</x:f>
        <x:v>0.009690893901420305</x:v>
      </x:c>
      <x:c r="M1281" s="73" t="n">
        <x:f>MAX(M1280,F1281)</x:f>
        <x:v>1.197</x:v>
      </x:c>
      <x:c r="N1281" s="74" t="n">
        <x:f>1-F1281/M1281</x:f>
        <x:v>0.009690893901420305</x:v>
      </x:c>
    </x:row>
    <x:row r="1282" ht="27" customHeight="1">
      <x:c r="A1282" s="66" t="str">
        <x:v>SXL267</x:v>
      </x:c>
      <x:c r="B1282" s="66" t="str">
        <x:v>滨风风云瑞丰1号</x:v>
      </x:c>
      <x:c r="C1282" s="72" t="n">
        <x:v>45247</x:v>
      </x:c>
      <x:c r="D1282" s="73" t="n">
        <x:v>1.1847</x:v>
      </x:c>
      <x:c r="E1282" s="73" t="n">
        <x:v>1.1847</x:v>
      </x:c>
      <x:c r="F1282" s="73" t="n">
        <x:v>1.1847</x:v>
      </x:c>
      <x:c r="G1282" s="74" t="n">
        <x:v>-0.0006</x:v>
      </x:c>
      <x:c r="H1282" s="66" t="str">
        <x:v>滨风风云瑞丰1号净值20260911.xlsx</x:v>
      </x:c>
      <x:c r="I1282" s="73" t="str">
        <x:f>""</x:f>
      </x:c>
      <x:c r="J1282" s="74" t="str">
        <x:f>""</x:f>
      </x:c>
      <x:c r="K1282" s="73" t="n">
        <x:f>MAX(K1281,F1282)</x:f>
        <x:v>1.197</x:v>
      </x:c>
      <x:c r="L1282" s="74" t="n">
        <x:f>1-F1282/K1282</x:f>
        <x:v>0.01027568922305766</x:v>
      </x:c>
      <x:c r="M1282" s="73" t="n">
        <x:f>MAX(M1281,F1282)</x:f>
        <x:v>1.197</x:v>
      </x:c>
      <x:c r="N1282" s="74" t="n">
        <x:f>1-F1282/M1282</x:f>
        <x:v>0.01027568922305766</x:v>
      </x:c>
    </x:row>
    <x:row r="1283" ht="27" customHeight="1">
      <x:c r="A1283" s="66" t="str">
        <x:v>SXL267</x:v>
      </x:c>
      <x:c r="B1283" s="66" t="str">
        <x:v>滨风风云瑞丰1号</x:v>
      </x:c>
      <x:c r="C1283" s="72" t="n">
        <x:v>45250</x:v>
      </x:c>
      <x:c r="D1283" s="73" t="n">
        <x:v>1.1827</x:v>
      </x:c>
      <x:c r="E1283" s="73" t="n">
        <x:v>1.1827</x:v>
      </x:c>
      <x:c r="F1283" s="73" t="n">
        <x:v>1.1827</x:v>
      </x:c>
      <x:c r="G1283" s="74" t="n">
        <x:v>-0.0017000000000000001</x:v>
      </x:c>
      <x:c r="H1283" s="66" t="str">
        <x:v>滨风风云瑞丰1号净值20260911.xlsx</x:v>
      </x:c>
      <x:c r="I1283" s="73" t="str">
        <x:f>""</x:f>
      </x:c>
      <x:c r="J1283" s="74" t="str">
        <x:f>""</x:f>
      </x:c>
      <x:c r="K1283" s="73" t="n">
        <x:f>MAX(K1282,F1283)</x:f>
        <x:v>1.197</x:v>
      </x:c>
      <x:c r="L1283" s="74" t="n">
        <x:f>1-F1283/K1283</x:f>
        <x:v>0.011946532999164594</x:v>
      </x:c>
      <x:c r="M1283" s="73" t="n">
        <x:f>MAX(M1282,F1283)</x:f>
        <x:v>1.197</x:v>
      </x:c>
      <x:c r="N1283" s="74" t="n">
        <x:f>1-F1283/M1283</x:f>
        <x:v>0.011946532999164594</x:v>
      </x:c>
    </x:row>
    <x:row r="1284" ht="27" customHeight="1">
      <x:c r="A1284" s="66" t="str">
        <x:v>SXL267</x:v>
      </x:c>
      <x:c r="B1284" s="66" t="str">
        <x:v>滨风风云瑞丰1号</x:v>
      </x:c>
      <x:c r="C1284" s="72" t="n">
        <x:v>45251</x:v>
      </x:c>
      <x:c r="D1284" s="73" t="n">
        <x:v>1.1871</x:v>
      </x:c>
      <x:c r="E1284" s="73" t="n">
        <x:v>1.1871</x:v>
      </x:c>
      <x:c r="F1284" s="73" t="n">
        <x:v>1.1871</x:v>
      </x:c>
      <x:c r="G1284" s="74" t="n">
        <x:v>0.0037</x:v>
      </x:c>
      <x:c r="H1284" s="66" t="str">
        <x:v>滨风风云瑞丰1号净值20260911.xlsx</x:v>
      </x:c>
      <x:c r="I1284" s="73" t="str">
        <x:f>""</x:f>
      </x:c>
      <x:c r="J1284" s="74" t="str">
        <x:f>""</x:f>
      </x:c>
      <x:c r="K1284" s="73" t="n">
        <x:f>MAX(K1283,F1284)</x:f>
        <x:v>1.197</x:v>
      </x:c>
      <x:c r="L1284" s="74" t="n">
        <x:f>1-F1284/K1284</x:f>
        <x:v>0.008270676691729317</x:v>
      </x:c>
      <x:c r="M1284" s="73" t="n">
        <x:f>MAX(M1283,F1284)</x:f>
        <x:v>1.197</x:v>
      </x:c>
      <x:c r="N1284" s="74" t="n">
        <x:f>1-F1284/M1284</x:f>
        <x:v>0.008270676691729317</x:v>
      </x:c>
    </x:row>
    <x:row r="1285" ht="27" customHeight="1">
      <x:c r="A1285" s="66" t="str">
        <x:v>SXL267</x:v>
      </x:c>
      <x:c r="B1285" s="66" t="str">
        <x:v>滨风风云瑞丰1号</x:v>
      </x:c>
      <x:c r="C1285" s="72" t="n">
        <x:v>45252</x:v>
      </x:c>
      <x:c r="D1285" s="73" t="n">
        <x:v>1.1927</x:v>
      </x:c>
      <x:c r="E1285" s="73" t="n">
        <x:v>1.1927</x:v>
      </x:c>
      <x:c r="F1285" s="73" t="n">
        <x:v>1.1927</x:v>
      </x:c>
      <x:c r="G1285" s="74" t="n">
        <x:v>0.004699999999999999</x:v>
      </x:c>
      <x:c r="H1285" s="66" t="str">
        <x:v>滨风风云瑞丰1号净值20260911.xlsx</x:v>
      </x:c>
      <x:c r="I1285" s="73" t="str">
        <x:f>""</x:f>
      </x:c>
      <x:c r="J1285" s="74" t="str">
        <x:f>""</x:f>
      </x:c>
      <x:c r="K1285" s="73" t="n">
        <x:f>MAX(K1284,F1285)</x:f>
        <x:v>1.197</x:v>
      </x:c>
      <x:c r="L1285" s="74" t="n">
        <x:f>1-F1285/K1285</x:f>
        <x:v>0.0035923141186299246</x:v>
      </x:c>
      <x:c r="M1285" s="73" t="n">
        <x:f>MAX(M1284,F1285)</x:f>
        <x:v>1.197</x:v>
      </x:c>
      <x:c r="N1285" s="74" t="n">
        <x:f>1-F1285/M1285</x:f>
        <x:v>0.0035923141186299246</x:v>
      </x:c>
    </x:row>
    <x:row r="1286" ht="27" customHeight="1">
      <x:c r="A1286" s="66" t="str">
        <x:v>SXL267</x:v>
      </x:c>
      <x:c r="B1286" s="66" t="str">
        <x:v>滨风风云瑞丰1号</x:v>
      </x:c>
      <x:c r="C1286" s="72" t="n">
        <x:v>45253</x:v>
      </x:c>
      <x:c r="D1286" s="73" t="n">
        <x:v>1.1833</x:v>
      </x:c>
      <x:c r="E1286" s="73" t="n">
        <x:v>1.1833</x:v>
      </x:c>
      <x:c r="F1286" s="73" t="n">
        <x:v>1.1833</x:v>
      </x:c>
      <x:c r="G1286" s="74" t="n">
        <x:v>-0.0079</x:v>
      </x:c>
      <x:c r="H1286" s="66" t="str">
        <x:v>滨风风云瑞丰1号净值20260911.xlsx</x:v>
      </x:c>
      <x:c r="I1286" s="73" t="str">
        <x:f>""</x:f>
      </x:c>
      <x:c r="J1286" s="74" t="str">
        <x:f>""</x:f>
      </x:c>
      <x:c r="K1286" s="73" t="n">
        <x:f>MAX(K1285,F1286)</x:f>
        <x:v>1.197</x:v>
      </x:c>
      <x:c r="L1286" s="74" t="n">
        <x:f>1-F1286/K1286</x:f>
        <x:v>0.01144527986633248</x:v>
      </x:c>
      <x:c r="M1286" s="73" t="n">
        <x:f>MAX(M1285,F1286)</x:f>
        <x:v>1.197</x:v>
      </x:c>
      <x:c r="N1286" s="74" t="n">
        <x:f>1-F1286/M1286</x:f>
        <x:v>0.01144527986633248</x:v>
      </x:c>
    </x:row>
    <x:row r="1287" ht="27" customHeight="1">
      <x:c r="A1287" s="66" t="str">
        <x:v>SXL267</x:v>
      </x:c>
      <x:c r="B1287" s="66" t="str">
        <x:v>滨风风云瑞丰1号</x:v>
      </x:c>
      <x:c r="C1287" s="72" t="n">
        <x:v>45254</x:v>
      </x:c>
      <x:c r="D1287" s="73" t="n">
        <x:v>1.1775</x:v>
      </x:c>
      <x:c r="E1287" s="73" t="n">
        <x:v>1.1775</x:v>
      </x:c>
      <x:c r="F1287" s="73" t="n">
        <x:v>1.1775</x:v>
      </x:c>
      <x:c r="G1287" s="74" t="n">
        <x:v>-0.0049</x:v>
      </x:c>
      <x:c r="H1287" s="66" t="str">
        <x:v>滨风风云瑞丰1号净值20260911.xlsx</x:v>
      </x:c>
      <x:c r="I1287" s="73" t="str">
        <x:f>""</x:f>
      </x:c>
      <x:c r="J1287" s="74" t="str">
        <x:f>""</x:f>
      </x:c>
      <x:c r="K1287" s="73" t="n">
        <x:f>MAX(K1286,F1287)</x:f>
        <x:v>1.197</x:v>
      </x:c>
      <x:c r="L1287" s="74" t="n">
        <x:f>1-F1287/K1287</x:f>
        <x:v>0.01629072681704269</x:v>
      </x:c>
      <x:c r="M1287" s="73" t="n">
        <x:f>MAX(M1286,F1287)</x:f>
        <x:v>1.197</x:v>
      </x:c>
      <x:c r="N1287" s="74" t="n">
        <x:f>1-F1287/M1287</x:f>
        <x:v>0.01629072681704269</x:v>
      </x:c>
    </x:row>
    <x:row r="1288" ht="27" customHeight="1">
      <x:c r="A1288" s="66" t="str">
        <x:v>SXL267</x:v>
      </x:c>
      <x:c r="B1288" s="66" t="str">
        <x:v>滨风风云瑞丰1号</x:v>
      </x:c>
      <x:c r="C1288" s="72" t="n">
        <x:v>45257</x:v>
      </x:c>
      <x:c r="D1288" s="73" t="n">
        <x:v>1.1721</x:v>
      </x:c>
      <x:c r="E1288" s="73" t="n">
        <x:v>1.1721</x:v>
      </x:c>
      <x:c r="F1288" s="73" t="n">
        <x:v>1.1721</x:v>
      </x:c>
      <x:c r="G1288" s="74" t="n">
        <x:v>-0.0046</x:v>
      </x:c>
      <x:c r="H1288" s="66" t="str">
        <x:v>滨风风云瑞丰1号净值20260911.xlsx</x:v>
      </x:c>
      <x:c r="I1288" s="73" t="str">
        <x:f>""</x:f>
      </x:c>
      <x:c r="J1288" s="74" t="str">
        <x:f>""</x:f>
      </x:c>
      <x:c r="K1288" s="73" t="n">
        <x:f>MAX(K1287,F1288)</x:f>
        <x:v>1.197</x:v>
      </x:c>
      <x:c r="L1288" s="74" t="n">
        <x:f>1-F1288/K1288</x:f>
        <x:v>0.020802005012531488</x:v>
      </x:c>
      <x:c r="M1288" s="73" t="n">
        <x:f>MAX(M1287,F1288)</x:f>
        <x:v>1.197</x:v>
      </x:c>
      <x:c r="N1288" s="74" t="n">
        <x:f>1-F1288/M1288</x:f>
        <x:v>0.020802005012531488</x:v>
      </x:c>
    </x:row>
    <x:row r="1289" ht="27" customHeight="1">
      <x:c r="A1289" s="66" t="str">
        <x:v>SXL267</x:v>
      </x:c>
      <x:c r="B1289" s="66" t="str">
        <x:v>滨风风云瑞丰1号</x:v>
      </x:c>
      <x:c r="C1289" s="72" t="n">
        <x:v>45258</x:v>
      </x:c>
      <x:c r="D1289" s="73" t="n">
        <x:v>1.1769</x:v>
      </x:c>
      <x:c r="E1289" s="73" t="n">
        <x:v>1.1769</x:v>
      </x:c>
      <x:c r="F1289" s="73" t="n">
        <x:v>1.1769</x:v>
      </x:c>
      <x:c r="G1289" s="74" t="n">
        <x:v>0.0040999999999999995</x:v>
      </x:c>
      <x:c r="H1289" s="66" t="str">
        <x:v>滨风风云瑞丰1号净值20260911.xlsx</x:v>
      </x:c>
      <x:c r="I1289" s="73" t="str">
        <x:f>""</x:f>
      </x:c>
      <x:c r="J1289" s="74" t="str">
        <x:f>""</x:f>
      </x:c>
      <x:c r="K1289" s="73" t="n">
        <x:f>MAX(K1288,F1289)</x:f>
        <x:v>1.197</x:v>
      </x:c>
      <x:c r="L1289" s="74" t="n">
        <x:f>1-F1289/K1289</x:f>
        <x:v>0.01679197994987469</x:v>
      </x:c>
      <x:c r="M1289" s="73" t="n">
        <x:f>MAX(M1288,F1289)</x:f>
        <x:v>1.197</x:v>
      </x:c>
      <x:c r="N1289" s="74" t="n">
        <x:f>1-F1289/M1289</x:f>
        <x:v>0.01679197994987469</x:v>
      </x:c>
    </x:row>
    <x:row r="1290" ht="27" customHeight="1">
      <x:c r="A1290" s="66" t="str">
        <x:v>SXL267</x:v>
      </x:c>
      <x:c r="B1290" s="66" t="str">
        <x:v>滨风风云瑞丰1号</x:v>
      </x:c>
      <x:c r="C1290" s="72" t="n">
        <x:v>45259</x:v>
      </x:c>
      <x:c r="D1290" s="73" t="n">
        <x:v>1.1773</x:v>
      </x:c>
      <x:c r="E1290" s="73" t="n">
        <x:v>1.1773</x:v>
      </x:c>
      <x:c r="F1290" s="73" t="n">
        <x:v>1.1773</x:v>
      </x:c>
      <x:c r="G1290" s="74" t="n">
        <x:v>0.0003</x:v>
      </x:c>
      <x:c r="H1290" s="66" t="str">
        <x:v>滨风风云瑞丰1号净值20260911.xlsx</x:v>
      </x:c>
      <x:c r="I1290" s="73" t="str">
        <x:f>""</x:f>
      </x:c>
      <x:c r="J1290" s="74" t="str">
        <x:f>""</x:f>
      </x:c>
      <x:c r="K1290" s="73" t="n">
        <x:f>MAX(K1289,F1290)</x:f>
        <x:v>1.197</x:v>
      </x:c>
      <x:c r="L1290" s="74" t="n">
        <x:f>1-F1290/K1290</x:f>
        <x:v>0.016457811194653393</x:v>
      </x:c>
      <x:c r="M1290" s="73" t="n">
        <x:f>MAX(M1289,F1290)</x:f>
        <x:v>1.197</x:v>
      </x:c>
      <x:c r="N1290" s="74" t="n">
        <x:f>1-F1290/M1290</x:f>
        <x:v>0.016457811194653393</x:v>
      </x:c>
    </x:row>
    <x:row r="1291" ht="27" customHeight="1">
      <x:c r="A1291" s="66" t="str">
        <x:v>SXL267</x:v>
      </x:c>
      <x:c r="B1291" s="66" t="str">
        <x:v>滨风风云瑞丰1号</x:v>
      </x:c>
      <x:c r="C1291" s="72" t="n">
        <x:v>45260</x:v>
      </x:c>
      <x:c r="D1291" s="73" t="n">
        <x:v>1.1738</x:v>
      </x:c>
      <x:c r="E1291" s="73" t="n">
        <x:v>1.1738</x:v>
      </x:c>
      <x:c r="F1291" s="73" t="n">
        <x:v>1.1738</x:v>
      </x:c>
      <x:c r="G1291" s="74" t="n">
        <x:v>-0.003</x:v>
      </x:c>
      <x:c r="H1291" s="66" t="str">
        <x:v>滨风风云瑞丰1号净值20260911.xlsx</x:v>
      </x:c>
      <x:c r="I1291" s="73" t="str">
        <x:f>""</x:f>
      </x:c>
      <x:c r="J1291" s="74" t="str">
        <x:f>""</x:f>
      </x:c>
      <x:c r="K1291" s="73" t="n">
        <x:f>MAX(K1290,F1291)</x:f>
        <x:v>1.197</x:v>
      </x:c>
      <x:c r="L1291" s="74" t="n">
        <x:f>1-F1291/K1291</x:f>
        <x:v>0.0193817878028405</x:v>
      </x:c>
      <x:c r="M1291" s="73" t="n">
        <x:f>MAX(M1290,F1291)</x:f>
        <x:v>1.197</x:v>
      </x:c>
      <x:c r="N1291" s="74" t="n">
        <x:f>1-F1291/M1291</x:f>
        <x:v>0.0193817878028405</x:v>
      </x:c>
    </x:row>
    <x:row r="1292" ht="27" customHeight="1">
      <x:c r="A1292" s="66" t="str">
        <x:v>SXL267</x:v>
      </x:c>
      <x:c r="B1292" s="66" t="str">
        <x:v>滨风风云瑞丰1号</x:v>
      </x:c>
      <x:c r="C1292" s="72" t="n">
        <x:v>45261</x:v>
      </x:c>
      <x:c r="D1292" s="73" t="n">
        <x:v>1.1688</x:v>
      </x:c>
      <x:c r="E1292" s="73" t="n">
        <x:v>1.1688</x:v>
      </x:c>
      <x:c r="F1292" s="73" t="n">
        <x:v>1.1688</x:v>
      </x:c>
      <x:c r="G1292" s="74" t="n">
        <x:v>-0.0043</x:v>
      </x:c>
      <x:c r="H1292" s="66" t="str">
        <x:v>滨风风云瑞丰1号净值20260911.xlsx</x:v>
      </x:c>
      <x:c r="I1292" s="73" t="str">
        <x:f>""</x:f>
      </x:c>
      <x:c r="J1292" s="74" t="str">
        <x:f>""</x:f>
      </x:c>
      <x:c r="K1292" s="73" t="n">
        <x:f>MAX(K1291,F1292)</x:f>
        <x:v>1.197</x:v>
      </x:c>
      <x:c r="L1292" s="74" t="n">
        <x:f>1-F1292/K1292</x:f>
        <x:v>0.02355889724310778</x:v>
      </x:c>
      <x:c r="M1292" s="73" t="n">
        <x:f>MAX(M1291,F1292)</x:f>
        <x:v>1.197</x:v>
      </x:c>
      <x:c r="N1292" s="74" t="n">
        <x:f>1-F1292/M1292</x:f>
        <x:v>0.02355889724310778</x:v>
      </x:c>
    </x:row>
    <x:row r="1293" ht="27" customHeight="1">
      <x:c r="A1293" s="66" t="str">
        <x:v>SXL267</x:v>
      </x:c>
      <x:c r="B1293" s="66" t="str">
        <x:v>滨风风云瑞丰1号</x:v>
      </x:c>
      <x:c r="C1293" s="72" t="n">
        <x:v>45264</x:v>
      </x:c>
      <x:c r="D1293" s="73" t="n">
        <x:v>1.172</x:v>
      </x:c>
      <x:c r="E1293" s="73" t="n">
        <x:v>1.172</x:v>
      </x:c>
      <x:c r="F1293" s="73" t="n">
        <x:v>1.172</x:v>
      </x:c>
      <x:c r="G1293" s="74" t="n">
        <x:v>0.0027</x:v>
      </x:c>
      <x:c r="H1293" s="66" t="str">
        <x:v>滨风风云瑞丰1号净值20260911.xlsx</x:v>
      </x:c>
      <x:c r="I1293" s="73" t="str">
        <x:f>""</x:f>
      </x:c>
      <x:c r="J1293" s="74" t="str">
        <x:f>""</x:f>
      </x:c>
      <x:c r="K1293" s="73" t="n">
        <x:f>MAX(K1292,F1293)</x:f>
        <x:v>1.197</x:v>
      </x:c>
      <x:c r="L1293" s="74" t="n">
        <x:f>1-F1293/K1293</x:f>
        <x:v>0.02088554720133684</x:v>
      </x:c>
      <x:c r="M1293" s="73" t="n">
        <x:f>MAX(M1292,F1293)</x:f>
        <x:v>1.197</x:v>
      </x:c>
      <x:c r="N1293" s="74" t="n">
        <x:f>1-F1293/M1293</x:f>
        <x:v>0.02088554720133684</x:v>
      </x:c>
    </x:row>
    <x:row r="1294" ht="27" customHeight="1">
      <x:c r="A1294" s="66" t="str">
        <x:v>SXL267</x:v>
      </x:c>
      <x:c r="B1294" s="66" t="str">
        <x:v>滨风风云瑞丰1号</x:v>
      </x:c>
      <x:c r="C1294" s="72" t="n">
        <x:v>45265</x:v>
      </x:c>
      <x:c r="D1294" s="73" t="n">
        <x:v>1.1904</x:v>
      </x:c>
      <x:c r="E1294" s="73" t="n">
        <x:v>1.1904</x:v>
      </x:c>
      <x:c r="F1294" s="73" t="n">
        <x:v>1.1904</x:v>
      </x:c>
      <x:c r="G1294" s="74" t="n">
        <x:v>0.015700000000000002</x:v>
      </x:c>
      <x:c r="H1294" s="66" t="str">
        <x:v>滨风风云瑞丰1号净值20260911.xlsx</x:v>
      </x:c>
      <x:c r="I1294" s="73" t="str">
        <x:f>""</x:f>
      </x:c>
      <x:c r="J1294" s="74" t="str">
        <x:f>""</x:f>
      </x:c>
      <x:c r="K1294" s="73" t="n">
        <x:f>MAX(K1293,F1294)</x:f>
        <x:v>1.197</x:v>
      </x:c>
      <x:c r="L1294" s="74" t="n">
        <x:f>1-F1294/K1294</x:f>
        <x:v>0.005513784461153026</x:v>
      </x:c>
      <x:c r="M1294" s="73" t="n">
        <x:f>MAX(M1293,F1294)</x:f>
        <x:v>1.197</x:v>
      </x:c>
      <x:c r="N1294" s="74" t="n">
        <x:f>1-F1294/M1294</x:f>
        <x:v>0.005513784461153026</x:v>
      </x:c>
    </x:row>
    <x:row r="1295" ht="27" customHeight="1">
      <x:c r="A1295" s="66" t="str">
        <x:v>SXL267</x:v>
      </x:c>
      <x:c r="B1295" s="66" t="str">
        <x:v>滨风风云瑞丰1号</x:v>
      </x:c>
      <x:c r="C1295" s="72" t="n">
        <x:v>45266</x:v>
      </x:c>
      <x:c r="D1295" s="73" t="n">
        <x:v>1.188</x:v>
      </x:c>
      <x:c r="E1295" s="73" t="n">
        <x:v>1.188</x:v>
      </x:c>
      <x:c r="F1295" s="73" t="n">
        <x:v>1.188</x:v>
      </x:c>
      <x:c r="G1295" s="74" t="n">
        <x:v>-0.002</x:v>
      </x:c>
      <x:c r="H1295" s="66" t="str">
        <x:v>滨风风云瑞丰1号净值20260911.xlsx</x:v>
      </x:c>
      <x:c r="I1295" s="73" t="str">
        <x:f>""</x:f>
      </x:c>
      <x:c r="J1295" s="74" t="str">
        <x:f>""</x:f>
      </x:c>
      <x:c r="K1295" s="73" t="n">
        <x:f>MAX(K1294,F1295)</x:f>
        <x:v>1.197</x:v>
      </x:c>
      <x:c r="L1295" s="74" t="n">
        <x:f>1-F1295/K1295</x:f>
        <x:v>0.007518796992481258</x:v>
      </x:c>
      <x:c r="M1295" s="73" t="n">
        <x:f>MAX(M1294,F1295)</x:f>
        <x:v>1.197</x:v>
      </x:c>
      <x:c r="N1295" s="74" t="n">
        <x:f>1-F1295/M1295</x:f>
        <x:v>0.007518796992481258</x:v>
      </x:c>
    </x:row>
    <x:row r="1296" ht="27" customHeight="1">
      <x:c r="A1296" s="66" t="str">
        <x:v>SXL267</x:v>
      </x:c>
      <x:c r="B1296" s="66" t="str">
        <x:v>滨风风云瑞丰1号</x:v>
      </x:c>
      <x:c r="C1296" s="72" t="n">
        <x:v>45267</x:v>
      </x:c>
      <x:c r="D1296" s="73" t="n">
        <x:v>1.1844</x:v>
      </x:c>
      <x:c r="E1296" s="73" t="n">
        <x:v>1.1844</x:v>
      </x:c>
      <x:c r="F1296" s="73" t="n">
        <x:v>1.1844</x:v>
      </x:c>
      <x:c r="G1296" s="74" t="n">
        <x:v>-0.003</x:v>
      </x:c>
      <x:c r="H1296" s="66" t="str">
        <x:v>滨风风云瑞丰1号净值20260911.xlsx</x:v>
      </x:c>
      <x:c r="I1296" s="73" t="str">
        <x:f>""</x:f>
      </x:c>
      <x:c r="J1296" s="74" t="str">
        <x:f>""</x:f>
      </x:c>
      <x:c r="K1296" s="73" t="n">
        <x:f>MAX(K1295,F1296)</x:f>
        <x:v>1.197</x:v>
      </x:c>
      <x:c r="L1296" s="74" t="n">
        <x:f>1-F1296/K1296</x:f>
        <x:v>0.010526315789473828</x:v>
      </x:c>
      <x:c r="M1296" s="73" t="n">
        <x:f>MAX(M1295,F1296)</x:f>
        <x:v>1.197</x:v>
      </x:c>
      <x:c r="N1296" s="74" t="n">
        <x:f>1-F1296/M1296</x:f>
        <x:v>0.010526315789473828</x:v>
      </x:c>
    </x:row>
    <x:row r="1297" ht="27" customHeight="1">
      <x:c r="A1297" s="66" t="str">
        <x:v>SXL267</x:v>
      </x:c>
      <x:c r="B1297" s="66" t="str">
        <x:v>滨风风云瑞丰1号</x:v>
      </x:c>
      <x:c r="C1297" s="72" t="n">
        <x:v>45268</x:v>
      </x:c>
      <x:c r="D1297" s="73" t="n">
        <x:v>1.1792</x:v>
      </x:c>
      <x:c r="E1297" s="73" t="n">
        <x:v>1.1792</x:v>
      </x:c>
      <x:c r="F1297" s="73" t="n">
        <x:v>1.1792</x:v>
      </x:c>
      <x:c r="G1297" s="74" t="n">
        <x:v>-0.0044</x:v>
      </x:c>
      <x:c r="H1297" s="66" t="str">
        <x:v>滨风风云瑞丰1号净值20260911.xlsx</x:v>
      </x:c>
      <x:c r="I1297" s="73" t="str">
        <x:f>""</x:f>
      </x:c>
      <x:c r="J1297" s="74" t="str">
        <x:f>""</x:f>
      </x:c>
      <x:c r="K1297" s="73" t="n">
        <x:f>MAX(K1296,F1297)</x:f>
        <x:v>1.197</x:v>
      </x:c>
      <x:c r="L1297" s="74" t="n">
        <x:f>1-F1297/K1297</x:f>
        <x:v>0.0148705096073517</x:v>
      </x:c>
      <x:c r="M1297" s="73" t="n">
        <x:f>MAX(M1296,F1297)</x:f>
        <x:v>1.197</x:v>
      </x:c>
      <x:c r="N1297" s="74" t="n">
        <x:f>1-F1297/M1297</x:f>
        <x:v>0.0148705096073517</x:v>
      </x:c>
    </x:row>
    <x:row r="1298" ht="27" customHeight="1">
      <x:c r="A1298" s="66" t="str">
        <x:v>SXL267</x:v>
      </x:c>
      <x:c r="B1298" s="66" t="str">
        <x:v>滨风风云瑞丰1号</x:v>
      </x:c>
      <x:c r="C1298" s="72" t="n">
        <x:v>45271</x:v>
      </x:c>
      <x:c r="D1298" s="73" t="n">
        <x:v>1.1854</x:v>
      </x:c>
      <x:c r="E1298" s="73" t="n">
        <x:v>1.1854</x:v>
      </x:c>
      <x:c r="F1298" s="73" t="n">
        <x:v>1.1854</x:v>
      </x:c>
      <x:c r="G1298" s="74" t="n">
        <x:v>0.0053</x:v>
      </x:c>
      <x:c r="H1298" s="66" t="str">
        <x:v>滨风风云瑞丰1号净值20260911.xlsx</x:v>
      </x:c>
      <x:c r="I1298" s="73" t="str">
        <x:f>""</x:f>
      </x:c>
      <x:c r="J1298" s="74" t="str">
        <x:f>""</x:f>
      </x:c>
      <x:c r="K1298" s="73" t="n">
        <x:f>MAX(K1297,F1298)</x:f>
        <x:v>1.197</x:v>
      </x:c>
      <x:c r="L1298" s="74" t="n">
        <x:f>1-F1298/K1298</x:f>
        <x:v>0.009690893901420305</x:v>
      </x:c>
      <x:c r="M1298" s="73" t="n">
        <x:f>MAX(M1297,F1298)</x:f>
        <x:v>1.197</x:v>
      </x:c>
      <x:c r="N1298" s="74" t="n">
        <x:f>1-F1298/M1298</x:f>
        <x:v>0.009690893901420305</x:v>
      </x:c>
    </x:row>
    <x:row r="1299" ht="27" customHeight="1">
      <x:c r="A1299" s="66" t="str">
        <x:v>SXL267</x:v>
      </x:c>
      <x:c r="B1299" s="66" t="str">
        <x:v>滨风风云瑞丰1号</x:v>
      </x:c>
      <x:c r="C1299" s="72" t="n">
        <x:v>45272</x:v>
      </x:c>
      <x:c r="D1299" s="73" t="n">
        <x:v>1.1876</x:v>
      </x:c>
      <x:c r="E1299" s="73" t="n">
        <x:v>1.1876</x:v>
      </x:c>
      <x:c r="F1299" s="73" t="n">
        <x:v>1.1876</x:v>
      </x:c>
      <x:c r="G1299" s="74" t="n">
        <x:v>0.0019</x:v>
      </x:c>
      <x:c r="H1299" s="66" t="str">
        <x:v>滨风风云瑞丰1号净值20260911.xlsx</x:v>
      </x:c>
      <x:c r="I1299" s="73" t="str">
        <x:f>""</x:f>
      </x:c>
      <x:c r="J1299" s="74" t="str">
        <x:f>""</x:f>
      </x:c>
      <x:c r="K1299" s="73" t="n">
        <x:f>MAX(K1298,F1299)</x:f>
        <x:v>1.197</x:v>
      </x:c>
      <x:c r="L1299" s="74" t="n">
        <x:f>1-F1299/K1299</x:f>
        <x:v>0.007852965747702667</x:v>
      </x:c>
      <x:c r="M1299" s="73" t="n">
        <x:f>MAX(M1298,F1299)</x:f>
        <x:v>1.197</x:v>
      </x:c>
      <x:c r="N1299" s="74" t="n">
        <x:f>1-F1299/M1299</x:f>
        <x:v>0.007852965747702667</x:v>
      </x:c>
    </x:row>
    <x:row r="1300" ht="27" customHeight="1">
      <x:c r="A1300" s="66" t="str">
        <x:v>SXL267</x:v>
      </x:c>
      <x:c r="B1300" s="66" t="str">
        <x:v>滨风风云瑞丰1号</x:v>
      </x:c>
      <x:c r="C1300" s="72" t="n">
        <x:v>45273</x:v>
      </x:c>
      <x:c r="D1300" s="73" t="n">
        <x:v>1.1914</x:v>
      </x:c>
      <x:c r="E1300" s="73" t="n">
        <x:v>1.1914</x:v>
      </x:c>
      <x:c r="F1300" s="73" t="n">
        <x:v>1.1914</x:v>
      </x:c>
      <x:c r="G1300" s="74" t="n">
        <x:v>0.0032</x:v>
      </x:c>
      <x:c r="H1300" s="66" t="str">
        <x:v>滨风风云瑞丰1号净值20260911.xlsx</x:v>
      </x:c>
      <x:c r="I1300" s="73" t="str">
        <x:f>""</x:f>
      </x:c>
      <x:c r="J1300" s="74" t="str">
        <x:f>""</x:f>
      </x:c>
      <x:c r="K1300" s="73" t="n">
        <x:f>MAX(K1299,F1300)</x:f>
        <x:v>1.197</x:v>
      </x:c>
      <x:c r="L1300" s="74" t="n">
        <x:f>1-F1300/K1300</x:f>
        <x:v>0.004678362573099504</x:v>
      </x:c>
      <x:c r="M1300" s="73" t="n">
        <x:f>MAX(M1299,F1300)</x:f>
        <x:v>1.197</x:v>
      </x:c>
      <x:c r="N1300" s="74" t="n">
        <x:f>1-F1300/M1300</x:f>
        <x:v>0.004678362573099504</x:v>
      </x:c>
    </x:row>
    <x:row r="1301" ht="27" customHeight="1">
      <x:c r="A1301" s="66" t="str">
        <x:v>SXL267</x:v>
      </x:c>
      <x:c r="B1301" s="66" t="str">
        <x:v>滨风风云瑞丰1号</x:v>
      </x:c>
      <x:c r="C1301" s="72" t="n">
        <x:v>45274</x:v>
      </x:c>
      <x:c r="D1301" s="73" t="n">
        <x:v>1.1956</x:v>
      </x:c>
      <x:c r="E1301" s="73" t="n">
        <x:v>1.1956</x:v>
      </x:c>
      <x:c r="F1301" s="73" t="n">
        <x:v>1.1956</x:v>
      </x:c>
      <x:c r="G1301" s="74" t="n">
        <x:v>0.0034999999999999996</x:v>
      </x:c>
      <x:c r="H1301" s="66" t="str">
        <x:v>滨风风云瑞丰1号净值20260911.xlsx</x:v>
      </x:c>
      <x:c r="I1301" s="73" t="str">
        <x:f>""</x:f>
      </x:c>
      <x:c r="J1301" s="74" t="str">
        <x:f>""</x:f>
      </x:c>
      <x:c r="K1301" s="73" t="n">
        <x:f>MAX(K1300,F1301)</x:f>
        <x:v>1.197</x:v>
      </x:c>
      <x:c r="L1301" s="74" t="n">
        <x:f>1-F1301/K1301</x:f>
        <x:v>0.0011695906432749315</x:v>
      </x:c>
      <x:c r="M1301" s="73" t="n">
        <x:f>MAX(M1300,F1301)</x:f>
        <x:v>1.197</x:v>
      </x:c>
      <x:c r="N1301" s="74" t="n">
        <x:f>1-F1301/M1301</x:f>
        <x:v>0.0011695906432749315</x:v>
      </x:c>
    </x:row>
    <x:row r="1302" ht="27" customHeight="1">
      <x:c r="A1302" s="66" t="str">
        <x:v>SXL267</x:v>
      </x:c>
      <x:c r="B1302" s="66" t="str">
        <x:v>滨风风云瑞丰1号</x:v>
      </x:c>
      <x:c r="C1302" s="72" t="n">
        <x:v>45275</x:v>
      </x:c>
      <x:c r="D1302" s="73" t="n">
        <x:v>1.1992</x:v>
      </x:c>
      <x:c r="E1302" s="73" t="n">
        <x:v>1.1992</x:v>
      </x:c>
      <x:c r="F1302" s="73" t="n">
        <x:v>1.1992</x:v>
      </x:c>
      <x:c r="G1302" s="74" t="n">
        <x:v>0.003</x:v>
      </x:c>
      <x:c r="H1302" s="66" t="str">
        <x:v>滨风风云瑞丰1号净值20260911.xlsx</x:v>
      </x:c>
      <x:c r="I1302" s="73" t="str">
        <x:f>""</x:f>
      </x:c>
      <x:c r="J1302" s="74" t="str">
        <x:f>""</x:f>
      </x:c>
      <x:c r="K1302" s="73" t="n">
        <x:f>MAX(K1301,F1302)</x:f>
        <x:v>1.1992</x:v>
      </x:c>
      <x:c r="L1302" s="74" t="n">
        <x:f>1-F1302/K1302</x:f>
        <x:v>0</x:v>
      </x:c>
      <x:c r="M1302" s="73" t="n">
        <x:f>MAX(M1301,F1302)</x:f>
        <x:v>1.1992</x:v>
      </x:c>
      <x:c r="N1302" s="74" t="n">
        <x:f>1-F1302/M1302</x:f>
        <x:v>0</x:v>
      </x:c>
    </x:row>
    <x:row r="1303" ht="27" customHeight="1">
      <x:c r="A1303" s="66" t="str">
        <x:v>SXL267</x:v>
      </x:c>
      <x:c r="B1303" s="66" t="str">
        <x:v>滨风风云瑞丰1号</x:v>
      </x:c>
      <x:c r="C1303" s="72" t="n">
        <x:v>45278</x:v>
      </x:c>
      <x:c r="D1303" s="73" t="n">
        <x:v>1.2012</x:v>
      </x:c>
      <x:c r="E1303" s="73" t="n">
        <x:v>1.2012</x:v>
      </x:c>
      <x:c r="F1303" s="73" t="n">
        <x:v>1.2012</x:v>
      </x:c>
      <x:c r="G1303" s="74" t="n">
        <x:v>0.0017000000000000001</x:v>
      </x:c>
      <x:c r="H1303" s="66" t="str">
        <x:v>滨风风云瑞丰1号净值20260911.xlsx</x:v>
      </x:c>
      <x:c r="I1303" s="73" t="str">
        <x:f>""</x:f>
      </x:c>
      <x:c r="J1303" s="74" t="str">
        <x:f>""</x:f>
      </x:c>
      <x:c r="K1303" s="73" t="n">
        <x:f>MAX(K1302,F1303)</x:f>
        <x:v>1.2012</x:v>
      </x:c>
      <x:c r="L1303" s="74" t="n">
        <x:f>1-F1303/K1303</x:f>
        <x:v>0</x:v>
      </x:c>
      <x:c r="M1303" s="73" t="n">
        <x:f>MAX(M1302,F1303)</x:f>
        <x:v>1.2012</x:v>
      </x:c>
      <x:c r="N1303" s="74" t="n">
        <x:f>1-F1303/M1303</x:f>
        <x:v>0</x:v>
      </x:c>
    </x:row>
    <x:row r="1304" ht="27" customHeight="1">
      <x:c r="A1304" s="66" t="str">
        <x:v>SXL267</x:v>
      </x:c>
      <x:c r="B1304" s="66" t="str">
        <x:v>滨风风云瑞丰1号</x:v>
      </x:c>
      <x:c r="C1304" s="72" t="n">
        <x:v>45279</x:v>
      </x:c>
      <x:c r="D1304" s="73" t="n">
        <x:v>1.203</x:v>
      </x:c>
      <x:c r="E1304" s="73" t="n">
        <x:v>1.203</x:v>
      </x:c>
      <x:c r="F1304" s="73" t="n">
        <x:v>1.203</x:v>
      </x:c>
      <x:c r="G1304" s="74" t="n">
        <x:v>0.0015</x:v>
      </x:c>
      <x:c r="H1304" s="66" t="str">
        <x:v>滨风风云瑞丰1号净值20260911.xlsx</x:v>
      </x:c>
      <x:c r="I1304" s="73" t="str">
        <x:f>""</x:f>
      </x:c>
      <x:c r="J1304" s="74" t="str">
        <x:f>""</x:f>
      </x:c>
      <x:c r="K1304" s="73" t="n">
        <x:f>MAX(K1303,F1304)</x:f>
        <x:v>1.203</x:v>
      </x:c>
      <x:c r="L1304" s="74" t="n">
        <x:f>1-F1304/K1304</x:f>
        <x:v>0</x:v>
      </x:c>
      <x:c r="M1304" s="73" t="n">
        <x:f>MAX(M1303,F1304)</x:f>
        <x:v>1.203</x:v>
      </x:c>
      <x:c r="N1304" s="74" t="n">
        <x:f>1-F1304/M1304</x:f>
        <x:v>0</x:v>
      </x:c>
    </x:row>
    <x:row r="1305" ht="27" customHeight="1">
      <x:c r="A1305" s="66" t="str">
        <x:v>SXL267</x:v>
      </x:c>
      <x:c r="B1305" s="66" t="str">
        <x:v>滨风风云瑞丰1号</x:v>
      </x:c>
      <x:c r="C1305" s="72" t="n">
        <x:v>45280</x:v>
      </x:c>
      <x:c r="D1305" s="73" t="n">
        <x:v>1.2007</x:v>
      </x:c>
      <x:c r="E1305" s="73" t="n">
        <x:v>1.2007</x:v>
      </x:c>
      <x:c r="F1305" s="73" t="n">
        <x:v>1.2007</x:v>
      </x:c>
      <x:c r="G1305" s="74" t="n">
        <x:v>-0.0019</x:v>
      </x:c>
      <x:c r="H1305" s="66" t="str">
        <x:v>滨风风云瑞丰1号净值20260911.xlsx</x:v>
      </x:c>
      <x:c r="I1305" s="73" t="str">
        <x:f>""</x:f>
      </x:c>
      <x:c r="J1305" s="74" t="str">
        <x:f>""</x:f>
      </x:c>
      <x:c r="K1305" s="73" t="n">
        <x:f>MAX(K1304,F1305)</x:f>
        <x:v>1.203</x:v>
      </x:c>
      <x:c r="L1305" s="74" t="n">
        <x:f>1-F1305/K1305</x:f>
        <x:v>0.001911886949293451</x:v>
      </x:c>
      <x:c r="M1305" s="73" t="n">
        <x:f>MAX(M1304,F1305)</x:f>
        <x:v>1.203</x:v>
      </x:c>
      <x:c r="N1305" s="74" t="n">
        <x:f>1-F1305/M1305</x:f>
        <x:v>0.001911886949293451</x:v>
      </x:c>
    </x:row>
    <x:row r="1306" ht="27" customHeight="1">
      <x:c r="A1306" s="66" t="str">
        <x:v>SXL267</x:v>
      </x:c>
      <x:c r="B1306" s="66" t="str">
        <x:v>滨风风云瑞丰1号</x:v>
      </x:c>
      <x:c r="C1306" s="72" t="n">
        <x:v>45281</x:v>
      </x:c>
      <x:c r="D1306" s="73" t="n">
        <x:v>1.2015</x:v>
      </x:c>
      <x:c r="E1306" s="73" t="n">
        <x:v>1.2015</x:v>
      </x:c>
      <x:c r="F1306" s="73" t="n">
        <x:v>1.2015</x:v>
      </x:c>
      <x:c r="G1306" s="74" t="n">
        <x:v>0.0007000000000000001</x:v>
      </x:c>
      <x:c r="H1306" s="66" t="str">
        <x:v>滨风风云瑞丰1号净值20260911.xlsx</x:v>
      </x:c>
      <x:c r="I1306" s="73" t="str">
        <x:f>""</x:f>
      </x:c>
      <x:c r="J1306" s="74" t="str">
        <x:f>""</x:f>
      </x:c>
      <x:c r="K1306" s="73" t="n">
        <x:f>MAX(K1305,F1306)</x:f>
        <x:v>1.203</x:v>
      </x:c>
      <x:c r="L1306" s="74" t="n">
        <x:f>1-F1306/K1306</x:f>
        <x:v>0.0012468827930175452</x:v>
      </x:c>
      <x:c r="M1306" s="73" t="n">
        <x:f>MAX(M1305,F1306)</x:f>
        <x:v>1.203</x:v>
      </x:c>
      <x:c r="N1306" s="74" t="n">
        <x:f>1-F1306/M1306</x:f>
        <x:v>0.0012468827930175452</x:v>
      </x:c>
    </x:row>
    <x:row r="1307" ht="27" customHeight="1">
      <x:c r="A1307" s="66" t="str">
        <x:v>SXL267</x:v>
      </x:c>
      <x:c r="B1307" s="66" t="str">
        <x:v>滨风风云瑞丰1号</x:v>
      </x:c>
      <x:c r="C1307" s="72" t="n">
        <x:v>45282</x:v>
      </x:c>
      <x:c r="D1307" s="73" t="n">
        <x:v>1.1973</x:v>
      </x:c>
      <x:c r="E1307" s="73" t="n">
        <x:v>1.1973</x:v>
      </x:c>
      <x:c r="F1307" s="73" t="n">
        <x:v>1.1973</x:v>
      </x:c>
      <x:c r="G1307" s="74" t="n">
        <x:v>-0.0034999999999999996</x:v>
      </x:c>
      <x:c r="H1307" s="66" t="str">
        <x:v>滨风风云瑞丰1号净值20260911.xlsx</x:v>
      </x:c>
      <x:c r="I1307" s="73" t="str">
        <x:f>""</x:f>
      </x:c>
      <x:c r="J1307" s="74" t="str">
        <x:f>""</x:f>
      </x:c>
      <x:c r="K1307" s="73" t="n">
        <x:f>MAX(K1306,F1307)</x:f>
        <x:v>1.203</x:v>
      </x:c>
      <x:c r="L1307" s="74" t="n">
        <x:f>1-F1307/K1307</x:f>
        <x:v>0.004738154613466383</x:v>
      </x:c>
      <x:c r="M1307" s="73" t="n">
        <x:f>MAX(M1306,F1307)</x:f>
        <x:v>1.203</x:v>
      </x:c>
      <x:c r="N1307" s="74" t="n">
        <x:f>1-F1307/M1307</x:f>
        <x:v>0.004738154613466383</x:v>
      </x:c>
    </x:row>
    <x:row r="1308" ht="27" customHeight="1">
      <x:c r="A1308" s="66" t="str">
        <x:v>SXL267</x:v>
      </x:c>
      <x:c r="B1308" s="66" t="str">
        <x:v>滨风风云瑞丰1号</x:v>
      </x:c>
      <x:c r="C1308" s="72" t="n">
        <x:v>45285</x:v>
      </x:c>
      <x:c r="D1308" s="73" t="n">
        <x:v>1.1954</x:v>
      </x:c>
      <x:c r="E1308" s="73" t="n">
        <x:v>1.1954</x:v>
      </x:c>
      <x:c r="F1308" s="73" t="n">
        <x:v>1.1954</x:v>
      </x:c>
      <x:c r="G1308" s="74" t="n">
        <x:v>-0.0016</x:v>
      </x:c>
      <x:c r="H1308" s="66" t="str">
        <x:v>滨风风云瑞丰1号净值20260911.xlsx</x:v>
      </x:c>
      <x:c r="I1308" s="73" t="str">
        <x:f>""</x:f>
      </x:c>
      <x:c r="J1308" s="74" t="str">
        <x:f>""</x:f>
      </x:c>
      <x:c r="K1308" s="73" t="n">
        <x:f>MAX(K1307,F1308)</x:f>
        <x:v>1.203</x:v>
      </x:c>
      <x:c r="L1308" s="74" t="n">
        <x:f>1-F1308/K1308</x:f>
        <x:v>0.00631753948462177</x:v>
      </x:c>
      <x:c r="M1308" s="73" t="n">
        <x:f>MAX(M1307,F1308)</x:f>
        <x:v>1.203</x:v>
      </x:c>
      <x:c r="N1308" s="74" t="n">
        <x:f>1-F1308/M1308</x:f>
        <x:v>0.00631753948462177</x:v>
      </x:c>
    </x:row>
    <x:row r="1309" ht="27" customHeight="1">
      <x:c r="A1309" s="66" t="str">
        <x:v>SXL267</x:v>
      </x:c>
      <x:c r="B1309" s="66" t="str">
        <x:v>滨风风云瑞丰1号</x:v>
      </x:c>
      <x:c r="C1309" s="72" t="n">
        <x:v>45286</x:v>
      </x:c>
      <x:c r="D1309" s="73" t="n">
        <x:v>1.1933</x:v>
      </x:c>
      <x:c r="E1309" s="73" t="n">
        <x:v>1.1933</x:v>
      </x:c>
      <x:c r="F1309" s="73" t="n">
        <x:v>1.1933</x:v>
      </x:c>
      <x:c r="G1309" s="74" t="n">
        <x:v>-0.0018</x:v>
      </x:c>
      <x:c r="H1309" s="66" t="str">
        <x:v>滨风风云瑞丰1号净值20260911.xlsx</x:v>
      </x:c>
      <x:c r="I1309" s="73" t="str">
        <x:f>""</x:f>
      </x:c>
      <x:c r="J1309" s="74" t="str">
        <x:f>""</x:f>
      </x:c>
      <x:c r="K1309" s="73" t="n">
        <x:f>MAX(K1308,F1309)</x:f>
        <x:v>1.203</x:v>
      </x:c>
      <x:c r="L1309" s="74" t="n">
        <x:f>1-F1309/K1309</x:f>
        <x:v>0.008063175394846245</x:v>
      </x:c>
      <x:c r="M1309" s="73" t="n">
        <x:f>MAX(M1308,F1309)</x:f>
        <x:v>1.203</x:v>
      </x:c>
      <x:c r="N1309" s="74" t="n">
        <x:f>1-F1309/M1309</x:f>
        <x:v>0.008063175394846245</x:v>
      </x:c>
    </x:row>
    <x:row r="1310" ht="27" customHeight="1">
      <x:c r="A1310" s="66" t="str">
        <x:v>SXL267</x:v>
      </x:c>
      <x:c r="B1310" s="66" t="str">
        <x:v>滨风风云瑞丰1号</x:v>
      </x:c>
      <x:c r="C1310" s="72" t="n">
        <x:v>45287</x:v>
      </x:c>
      <x:c r="D1310" s="73" t="n">
        <x:v>1.1957</x:v>
      </x:c>
      <x:c r="E1310" s="73" t="n">
        <x:v>1.1957</x:v>
      </x:c>
      <x:c r="F1310" s="73" t="n">
        <x:v>1.1957</x:v>
      </x:c>
      <x:c r="G1310" s="74" t="n">
        <x:v>0.002</x:v>
      </x:c>
      <x:c r="H1310" s="66" t="str">
        <x:v>滨风风云瑞丰1号净值20260911.xlsx</x:v>
      </x:c>
      <x:c r="I1310" s="73" t="str">
        <x:f>""</x:f>
      </x:c>
      <x:c r="J1310" s="74" t="str">
        <x:f>""</x:f>
      </x:c>
      <x:c r="K1310" s="73" t="n">
        <x:f>MAX(K1309,F1310)</x:f>
        <x:v>1.203</x:v>
      </x:c>
      <x:c r="L1310" s="74" t="n">
        <x:f>1-F1310/K1310</x:f>
        <x:v>0.006068162926018306</x:v>
      </x:c>
      <x:c r="M1310" s="73" t="n">
        <x:f>MAX(M1309,F1310)</x:f>
        <x:v>1.203</x:v>
      </x:c>
      <x:c r="N1310" s="74" t="n">
        <x:f>1-F1310/M1310</x:f>
        <x:v>0.006068162926018306</x:v>
      </x:c>
    </x:row>
    <x:row r="1311" ht="27" customHeight="1">
      <x:c r="A1311" s="66" t="str">
        <x:v>SXL267</x:v>
      </x:c>
      <x:c r="B1311" s="66" t="str">
        <x:v>滨风风云瑞丰1号</x:v>
      </x:c>
      <x:c r="C1311" s="72" t="n">
        <x:v>45288</x:v>
      </x:c>
      <x:c r="D1311" s="73" t="n">
        <x:v>1.2034</x:v>
      </x:c>
      <x:c r="E1311" s="73" t="n">
        <x:v>1.2034</x:v>
      </x:c>
      <x:c r="F1311" s="73" t="n">
        <x:v>1.2034</x:v>
      </x:c>
      <x:c r="G1311" s="74" t="n">
        <x:v>0.0064</x:v>
      </x:c>
      <x:c r="H1311" s="66" t="str">
        <x:v>滨风风云瑞丰1号净值20260911.xlsx</x:v>
      </x:c>
      <x:c r="I1311" s="73" t="str">
        <x:f>""</x:f>
      </x:c>
      <x:c r="J1311" s="74" t="str">
        <x:f>""</x:f>
      </x:c>
      <x:c r="K1311" s="73" t="n">
        <x:f>MAX(K1310,F1311)</x:f>
        <x:v>1.2034</x:v>
      </x:c>
      <x:c r="L1311" s="74" t="n">
        <x:f>1-F1311/K1311</x:f>
        <x:v>0</x:v>
      </x:c>
      <x:c r="M1311" s="73" t="n">
        <x:f>MAX(M1310,F1311)</x:f>
        <x:v>1.2034</x:v>
      </x:c>
      <x:c r="N1311" s="74" t="n">
        <x:f>1-F1311/M1311</x:f>
        <x:v>0</x:v>
      </x:c>
    </x:row>
    <x:row r="1312" ht="27" customHeight="1">
      <x:c r="A1312" s="66" t="str">
        <x:v>SXL267</x:v>
      </x:c>
      <x:c r="B1312" s="66" t="str">
        <x:v>滨风风云瑞丰1号</x:v>
      </x:c>
      <x:c r="C1312" s="72" t="n">
        <x:v>45289</x:v>
      </x:c>
      <x:c r="D1312" s="73" t="n">
        <x:v>1.1947</x:v>
      </x:c>
      <x:c r="E1312" s="73" t="n">
        <x:v>1.1947</x:v>
      </x:c>
      <x:c r="F1312" s="73" t="n">
        <x:v>1.1947</x:v>
      </x:c>
      <x:c r="G1312" s="74" t="n">
        <x:v>-0.0072</x:v>
      </x:c>
      <x:c r="H1312" s="66" t="str">
        <x:v>滨风风云瑞丰1号净值20260911.xlsx</x:v>
      </x:c>
      <x:c r="I1312" s="73" t="str">
        <x:f>""</x:f>
      </x:c>
      <x:c r="J1312" s="74" t="str">
        <x:f>""</x:f>
      </x:c>
      <x:c r="K1312" s="73" t="n">
        <x:f>MAX(K1311,F1312)</x:f>
        <x:v>1.2034</x:v>
      </x:c>
      <x:c r="L1312" s="74" t="n">
        <x:f>1-F1312/K1312</x:f>
        <x:v>0.007229516370284128</x:v>
      </x:c>
      <x:c r="M1312" s="73" t="n">
        <x:f>MAX(M1311,F1312)</x:f>
        <x:v>1.2034</x:v>
      </x:c>
      <x:c r="N1312" s="74" t="n">
        <x:f>1-F1312/M1312</x:f>
        <x:v>0.007229516370284128</x:v>
      </x:c>
    </x:row>
    <x:row r="1313" ht="27" customHeight="1">
      <x:c r="A1313" s="66" t="str">
        <x:v>SXL267</x:v>
      </x:c>
      <x:c r="B1313" s="66" t="str">
        <x:v>滨风风云瑞丰1号</x:v>
      </x:c>
      <x:c r="C1313" s="72" t="n">
        <x:v>45293</x:v>
      </x:c>
      <x:c r="D1313" s="73" t="n">
        <x:v>1.2022</x:v>
      </x:c>
      <x:c r="E1313" s="73" t="n">
        <x:v>1.2022</x:v>
      </x:c>
      <x:c r="F1313" s="73" t="n">
        <x:v>1.2022</x:v>
      </x:c>
      <x:c r="G1313" s="74" t="n">
        <x:v>0.0063</x:v>
      </x:c>
      <x:c r="H1313" s="66" t="str">
        <x:v>滨风风云瑞丰1号净值20260911.xlsx</x:v>
      </x:c>
      <x:c r="I1313" s="73" t="str">
        <x:f>""</x:f>
      </x:c>
      <x:c r="J1313" s="74" t="str">
        <x:f>""</x:f>
      </x:c>
      <x:c r="K1313" s="73" t="n">
        <x:f>MAX(K1312,F1313)</x:f>
        <x:v>1.2034</x:v>
      </x:c>
      <x:c r="L1313" s="74" t="n">
        <x:f>1-F1313/K1313</x:f>
        <x:v>0.0009971746717634122</x:v>
      </x:c>
      <x:c r="M1313" s="73" t="n">
        <x:f>MAX(M1312,F1313)</x:f>
        <x:v>1.2034</x:v>
      </x:c>
      <x:c r="N1313" s="74" t="n">
        <x:f>1-F1313/M1313</x:f>
        <x:v>0.0009971746717634122</x:v>
      </x:c>
    </x:row>
    <x:row r="1314" ht="27" customHeight="1">
      <x:c r="A1314" s="66" t="str">
        <x:v>SXL267</x:v>
      </x:c>
      <x:c r="B1314" s="66" t="str">
        <x:v>滨风风云瑞丰1号</x:v>
      </x:c>
      <x:c r="C1314" s="72" t="n">
        <x:v>45294</x:v>
      </x:c>
      <x:c r="D1314" s="73" t="n">
        <x:v>1.2061</x:v>
      </x:c>
      <x:c r="E1314" s="73" t="n">
        <x:v>1.2061</x:v>
      </x:c>
      <x:c r="F1314" s="73" t="n">
        <x:v>1.2061</x:v>
      </x:c>
      <x:c r="G1314" s="74" t="n">
        <x:v>0.0032</x:v>
      </x:c>
      <x:c r="H1314" s="66" t="str">
        <x:v>滨风风云瑞丰1号净值20260911.xlsx</x:v>
      </x:c>
      <x:c r="I1314" s="73" t="str">
        <x:f>""</x:f>
      </x:c>
      <x:c r="J1314" s="74" t="str">
        <x:f>""</x:f>
      </x:c>
      <x:c r="K1314" s="73" t="n">
        <x:f>MAX(K1313,F1314)</x:f>
        <x:v>1.2061</x:v>
      </x:c>
      <x:c r="L1314" s="74" t="n">
        <x:f>1-F1314/K1314</x:f>
        <x:v>0</x:v>
      </x:c>
      <x:c r="M1314" s="73" t="n">
        <x:f>MAX(M1313,F1314)</x:f>
        <x:v>1.2061</x:v>
      </x:c>
      <x:c r="N1314" s="74" t="n">
        <x:f>1-F1314/M1314</x:f>
        <x:v>0</x:v>
      </x:c>
    </x:row>
    <x:row r="1315" ht="27" customHeight="1">
      <x:c r="A1315" s="66" t="str">
        <x:v>SXL267</x:v>
      </x:c>
      <x:c r="B1315" s="66" t="str">
        <x:v>滨风风云瑞丰1号</x:v>
      </x:c>
      <x:c r="C1315" s="72" t="n">
        <x:v>45295</x:v>
      </x:c>
      <x:c r="D1315" s="73" t="n">
        <x:v>1.2042</x:v>
      </x:c>
      <x:c r="E1315" s="73" t="n">
        <x:v>1.2042</x:v>
      </x:c>
      <x:c r="F1315" s="73" t="n">
        <x:v>1.2042</x:v>
      </x:c>
      <x:c r="G1315" s="74" t="n">
        <x:v>-0.0016</x:v>
      </x:c>
      <x:c r="H1315" s="66" t="str">
        <x:v>滨风风云瑞丰1号净值20260911.xlsx</x:v>
      </x:c>
      <x:c r="I1315" s="73" t="str">
        <x:f>""</x:f>
      </x:c>
      <x:c r="J1315" s="74" t="str">
        <x:f>""</x:f>
      </x:c>
      <x:c r="K1315" s="73" t="n">
        <x:f>MAX(K1314,F1315)</x:f>
        <x:v>1.2061</x:v>
      </x:c>
      <x:c r="L1315" s="74" t="n">
        <x:f>1-F1315/K1315</x:f>
        <x:v>0.0015753254290689078</x:v>
      </x:c>
      <x:c r="M1315" s="73" t="n">
        <x:f>MAX(M1314,F1315)</x:f>
        <x:v>1.2061</x:v>
      </x:c>
      <x:c r="N1315" s="74" t="n">
        <x:f>1-F1315/M1315</x:f>
        <x:v>0.0015753254290689078</x:v>
      </x:c>
    </x:row>
    <x:row r="1316" ht="27" customHeight="1">
      <x:c r="A1316" s="66" t="str">
        <x:v>SXL267</x:v>
      </x:c>
      <x:c r="B1316" s="66" t="str">
        <x:v>滨风风云瑞丰1号</x:v>
      </x:c>
      <x:c r="C1316" s="72" t="n">
        <x:v>45296</x:v>
      </x:c>
      <x:c r="D1316" s="73" t="n">
        <x:v>1.2066</x:v>
      </x:c>
      <x:c r="E1316" s="73" t="n">
        <x:v>1.2066</x:v>
      </x:c>
      <x:c r="F1316" s="73" t="n">
        <x:v>1.2066</x:v>
      </x:c>
      <x:c r="G1316" s="74" t="n">
        <x:v>0.002</x:v>
      </x:c>
      <x:c r="H1316" s="66" t="str">
        <x:v>滨风风云瑞丰1号净值20260911.xlsx</x:v>
      </x:c>
      <x:c r="I1316" s="73" t="str">
        <x:f>""</x:f>
      </x:c>
      <x:c r="J1316" s="74" t="str">
        <x:f>""</x:f>
      </x:c>
      <x:c r="K1316" s="73" t="n">
        <x:f>MAX(K1315,F1316)</x:f>
        <x:v>1.2066</x:v>
      </x:c>
      <x:c r="L1316" s="74" t="n">
        <x:f>1-F1316/K1316</x:f>
        <x:v>0</x:v>
      </x:c>
      <x:c r="M1316" s="73" t="n">
        <x:f>MAX(M1315,F1316)</x:f>
        <x:v>1.2066</x:v>
      </x:c>
      <x:c r="N1316" s="74" t="n">
        <x:f>1-F1316/M1316</x:f>
        <x:v>0</x:v>
      </x:c>
    </x:row>
    <x:row r="1317" ht="27" customHeight="1">
      <x:c r="A1317" s="66" t="str">
        <x:v>SXL267</x:v>
      </x:c>
      <x:c r="B1317" s="66" t="str">
        <x:v>滨风风云瑞丰1号</x:v>
      </x:c>
      <x:c r="C1317" s="72" t="n">
        <x:v>45299</x:v>
      </x:c>
      <x:c r="D1317" s="73" t="n">
        <x:v>1.2128</x:v>
      </x:c>
      <x:c r="E1317" s="73" t="n">
        <x:v>1.2128</x:v>
      </x:c>
      <x:c r="F1317" s="73" t="n">
        <x:v>1.2128</x:v>
      </x:c>
      <x:c r="G1317" s="74" t="n">
        <x:v>0.0051</x:v>
      </x:c>
      <x:c r="H1317" s="66" t="str">
        <x:v>滨风风云瑞丰1号净值20260911.xlsx</x:v>
      </x:c>
      <x:c r="I1317" s="73" t="str">
        <x:f>""</x:f>
      </x:c>
      <x:c r="J1317" s="74" t="str">
        <x:f>""</x:f>
      </x:c>
      <x:c r="K1317" s="73" t="n">
        <x:f>MAX(K1316,F1317)</x:f>
        <x:v>1.2128</x:v>
      </x:c>
      <x:c r="L1317" s="74" t="n">
        <x:f>1-F1317/K1317</x:f>
        <x:v>0</x:v>
      </x:c>
      <x:c r="M1317" s="73" t="n">
        <x:f>MAX(M1316,F1317)</x:f>
        <x:v>1.2128</x:v>
      </x:c>
      <x:c r="N1317" s="74" t="n">
        <x:f>1-F1317/M1317</x:f>
        <x:v>0</x:v>
      </x:c>
    </x:row>
    <x:row r="1318" ht="27" customHeight="1">
      <x:c r="A1318" s="66" t="str">
        <x:v>SXL267</x:v>
      </x:c>
      <x:c r="B1318" s="66" t="str">
        <x:v>滨风风云瑞丰1号</x:v>
      </x:c>
      <x:c r="C1318" s="72" t="n">
        <x:v>45300</x:v>
      </x:c>
      <x:c r="D1318" s="73" t="n">
        <x:v>1.2081</x:v>
      </x:c>
      <x:c r="E1318" s="73" t="n">
        <x:v>1.2081</x:v>
      </x:c>
      <x:c r="F1318" s="73" t="n">
        <x:v>1.2081</x:v>
      </x:c>
      <x:c r="G1318" s="74" t="n">
        <x:v>-0.0039000000000000003</x:v>
      </x:c>
      <x:c r="H1318" s="66" t="str">
        <x:v>滨风风云瑞丰1号净值20260911.xlsx</x:v>
      </x:c>
      <x:c r="I1318" s="73" t="str">
        <x:f>""</x:f>
      </x:c>
      <x:c r="J1318" s="74" t="str">
        <x:f>""</x:f>
      </x:c>
      <x:c r="K1318" s="73" t="n">
        <x:f>MAX(K1317,F1318)</x:f>
        <x:v>1.2128</x:v>
      </x:c>
      <x:c r="L1318" s="74" t="n">
        <x:f>1-F1318/K1318</x:f>
        <x:v>0.0038753298153035853</x:v>
      </x:c>
      <x:c r="M1318" s="73" t="n">
        <x:f>MAX(M1317,F1318)</x:f>
        <x:v>1.2128</x:v>
      </x:c>
      <x:c r="N1318" s="74" t="n">
        <x:f>1-F1318/M1318</x:f>
        <x:v>0.0038753298153035853</x:v>
      </x:c>
    </x:row>
    <x:row r="1319" ht="27" customHeight="1">
      <x:c r="A1319" s="66" t="str">
        <x:v>SXL267</x:v>
      </x:c>
      <x:c r="B1319" s="66" t="str">
        <x:v>滨风风云瑞丰1号</x:v>
      </x:c>
      <x:c r="C1319" s="72" t="n">
        <x:v>45301</x:v>
      </x:c>
      <x:c r="D1319" s="73" t="n">
        <x:v>1.2091</x:v>
      </x:c>
      <x:c r="E1319" s="73" t="n">
        <x:v>1.2091</x:v>
      </x:c>
      <x:c r="F1319" s="73" t="n">
        <x:v>1.2091</x:v>
      </x:c>
      <x:c r="G1319" s="74" t="n">
        <x:v>0.0008</x:v>
      </x:c>
      <x:c r="H1319" s="66" t="str">
        <x:v>滨风风云瑞丰1号净值20260911.xlsx</x:v>
      </x:c>
      <x:c r="I1319" s="73" t="str">
        <x:f>""</x:f>
      </x:c>
      <x:c r="J1319" s="74" t="str">
        <x:f>""</x:f>
      </x:c>
      <x:c r="K1319" s="73" t="n">
        <x:f>MAX(K1318,F1319)</x:f>
        <x:v>1.2128</x:v>
      </x:c>
      <x:c r="L1319" s="74" t="n">
        <x:f>1-F1319/K1319</x:f>
        <x:v>0.0030507915567282717</x:v>
      </x:c>
      <x:c r="M1319" s="73" t="n">
        <x:f>MAX(M1318,F1319)</x:f>
        <x:v>1.2128</x:v>
      </x:c>
      <x:c r="N1319" s="74" t="n">
        <x:f>1-F1319/M1319</x:f>
        <x:v>0.0030507915567282717</x:v>
      </x:c>
    </x:row>
    <x:row r="1320" ht="27" customHeight="1">
      <x:c r="A1320" s="66" t="str">
        <x:v>SXL267</x:v>
      </x:c>
      <x:c r="B1320" s="66" t="str">
        <x:v>滨风风云瑞丰1号</x:v>
      </x:c>
      <x:c r="C1320" s="72" t="n">
        <x:v>45302</x:v>
      </x:c>
      <x:c r="D1320" s="73" t="n">
        <x:v>1.2044</x:v>
      </x:c>
      <x:c r="E1320" s="73" t="n">
        <x:v>1.2044</x:v>
      </x:c>
      <x:c r="F1320" s="73" t="n">
        <x:v>1.2044</x:v>
      </x:c>
      <x:c r="G1320" s="74" t="n">
        <x:v>-0.0039000000000000003</x:v>
      </x:c>
      <x:c r="H1320" s="66" t="str">
        <x:v>滨风风云瑞丰1号净值20260911.xlsx</x:v>
      </x:c>
      <x:c r="I1320" s="73" t="str">
        <x:f>""</x:f>
      </x:c>
      <x:c r="J1320" s="74" t="str">
        <x:f>""</x:f>
      </x:c>
      <x:c r="K1320" s="73" t="n">
        <x:f>MAX(K1319,F1320)</x:f>
        <x:v>1.2128</x:v>
      </x:c>
      <x:c r="L1320" s="74" t="n">
        <x:f>1-F1320/K1320</x:f>
        <x:v>0.006926121372031857</x:v>
      </x:c>
      <x:c r="M1320" s="73" t="n">
        <x:f>MAX(M1319,F1320)</x:f>
        <x:v>1.2128</x:v>
      </x:c>
      <x:c r="N1320" s="74" t="n">
        <x:f>1-F1320/M1320</x:f>
        <x:v>0.006926121372031857</x:v>
      </x:c>
    </x:row>
    <x:row r="1321" ht="27" customHeight="1">
      <x:c r="A1321" s="66" t="str">
        <x:v>SXL267</x:v>
      </x:c>
      <x:c r="B1321" s="66" t="str">
        <x:v>滨风风云瑞丰1号</x:v>
      </x:c>
      <x:c r="C1321" s="72" t="n">
        <x:v>45303</x:v>
      </x:c>
      <x:c r="D1321" s="73" t="n">
        <x:v>1.1988</x:v>
      </x:c>
      <x:c r="E1321" s="73" t="n">
        <x:v>1.1988</x:v>
      </x:c>
      <x:c r="F1321" s="73" t="n">
        <x:v>1.1988</x:v>
      </x:c>
      <x:c r="G1321" s="74" t="n">
        <x:v>-0.0046</x:v>
      </x:c>
      <x:c r="H1321" s="66" t="str">
        <x:v>滨风风云瑞丰1号净值20260911.xlsx</x:v>
      </x:c>
      <x:c r="I1321" s="73" t="str">
        <x:f>""</x:f>
      </x:c>
      <x:c r="J1321" s="74" t="str">
        <x:f>""</x:f>
      </x:c>
      <x:c r="K1321" s="73" t="n">
        <x:f>MAX(K1320,F1321)</x:f>
        <x:v>1.2128</x:v>
      </x:c>
      <x:c r="L1321" s="74" t="n">
        <x:f>1-F1321/K1321</x:f>
        <x:v>0.011543535620052725</x:v>
      </x:c>
      <x:c r="M1321" s="73" t="n">
        <x:f>MAX(M1320,F1321)</x:f>
        <x:v>1.2128</x:v>
      </x:c>
      <x:c r="N1321" s="74" t="n">
        <x:f>1-F1321/M1321</x:f>
        <x:v>0.011543535620052725</x:v>
      </x:c>
    </x:row>
    <x:row r="1322" ht="27" customHeight="1">
      <x:c r="A1322" s="66" t="str">
        <x:v>SXL267</x:v>
      </x:c>
      <x:c r="B1322" s="66" t="str">
        <x:v>滨风风云瑞丰1号</x:v>
      </x:c>
      <x:c r="C1322" s="72" t="n">
        <x:v>45306</x:v>
      </x:c>
      <x:c r="D1322" s="73" t="n">
        <x:v>1.1937</x:v>
      </x:c>
      <x:c r="E1322" s="73" t="n">
        <x:v>1.1937</x:v>
      </x:c>
      <x:c r="F1322" s="73" t="n">
        <x:v>1.1937</x:v>
      </x:c>
      <x:c r="G1322" s="74" t="n">
        <x:v>-0.0043</x:v>
      </x:c>
      <x:c r="H1322" s="66" t="str">
        <x:v>滨风风云瑞丰1号净值20260911.xlsx</x:v>
      </x:c>
      <x:c r="I1322" s="73" t="str">
        <x:f>""</x:f>
      </x:c>
      <x:c r="J1322" s="74" t="str">
        <x:f>""</x:f>
      </x:c>
      <x:c r="K1322" s="73" t="n">
        <x:f>MAX(K1321,F1322)</x:f>
        <x:v>1.2128</x:v>
      </x:c>
      <x:c r="L1322" s="74" t="n">
        <x:f>1-F1322/K1322</x:f>
        <x:v>0.015748680738786325</x:v>
      </x:c>
      <x:c r="M1322" s="73" t="n">
        <x:f>MAX(M1321,F1322)</x:f>
        <x:v>1.2128</x:v>
      </x:c>
      <x:c r="N1322" s="74" t="n">
        <x:f>1-F1322/M1322</x:f>
        <x:v>0.015748680738786325</x:v>
      </x:c>
    </x:row>
    <x:row r="1323" ht="27" customHeight="1">
      <x:c r="A1323" s="66" t="str">
        <x:v>SXL267</x:v>
      </x:c>
      <x:c r="B1323" s="66" t="str">
        <x:v>滨风风云瑞丰1号</x:v>
      </x:c>
      <x:c r="C1323" s="72" t="n">
        <x:v>45307</x:v>
      </x:c>
      <x:c r="D1323" s="73" t="n">
        <x:v>1.1936</x:v>
      </x:c>
      <x:c r="E1323" s="73" t="n">
        <x:v>1.1936</x:v>
      </x:c>
      <x:c r="F1323" s="73" t="n">
        <x:v>1.1936</x:v>
      </x:c>
      <x:c r="G1323" s="74" t="n">
        <x:v>-0.0001</x:v>
      </x:c>
      <x:c r="H1323" s="66" t="str">
        <x:v>滨风风云瑞丰1号净值20260911.xlsx</x:v>
      </x:c>
      <x:c r="I1323" s="73" t="str">
        <x:f>""</x:f>
      </x:c>
      <x:c r="J1323" s="74" t="str">
        <x:f>""</x:f>
      </x:c>
      <x:c r="K1323" s="73" t="n">
        <x:f>MAX(K1322,F1323)</x:f>
        <x:v>1.2128</x:v>
      </x:c>
      <x:c r="L1323" s="74" t="n">
        <x:f>1-F1323/K1323</x:f>
        <x:v>0.01583113456464391</x:v>
      </x:c>
      <x:c r="M1323" s="73" t="n">
        <x:f>MAX(M1322,F1323)</x:f>
        <x:v>1.2128</x:v>
      </x:c>
      <x:c r="N1323" s="74" t="n">
        <x:f>1-F1323/M1323</x:f>
        <x:v>0.01583113456464391</x:v>
      </x:c>
    </x:row>
    <x:row r="1324" ht="27" customHeight="1">
      <x:c r="A1324" s="66" t="str">
        <x:v>SXL267</x:v>
      </x:c>
      <x:c r="B1324" s="66" t="str">
        <x:v>滨风风云瑞丰1号</x:v>
      </x:c>
      <x:c r="C1324" s="72" t="n">
        <x:v>45308</x:v>
      </x:c>
      <x:c r="D1324" s="73" t="n">
        <x:v>1.1958</x:v>
      </x:c>
      <x:c r="E1324" s="73" t="n">
        <x:v>1.1958</x:v>
      </x:c>
      <x:c r="F1324" s="73" t="n">
        <x:v>1.1958</x:v>
      </x:c>
      <x:c r="G1324" s="74" t="n">
        <x:v>0.0018</x:v>
      </x:c>
      <x:c r="H1324" s="66" t="str">
        <x:v>滨风风云瑞丰1号净值20260911.xlsx</x:v>
      </x:c>
      <x:c r="I1324" s="73" t="str">
        <x:f>""</x:f>
      </x:c>
      <x:c r="J1324" s="74" t="str">
        <x:f>""</x:f>
      </x:c>
      <x:c r="K1324" s="73" t="n">
        <x:f>MAX(K1323,F1324)</x:f>
        <x:v>1.2128</x:v>
      </x:c>
      <x:c r="L1324" s="74" t="n">
        <x:f>1-F1324/K1324</x:f>
        <x:v>0.014017150395778444</x:v>
      </x:c>
      <x:c r="M1324" s="73" t="n">
        <x:f>MAX(M1323,F1324)</x:f>
        <x:v>1.2128</x:v>
      </x:c>
      <x:c r="N1324" s="74" t="n">
        <x:f>1-F1324/M1324</x:f>
        <x:v>0.014017150395778444</x:v>
      </x:c>
    </x:row>
    <x:row r="1325" ht="27" customHeight="1">
      <x:c r="A1325" s="66" t="str">
        <x:v>SXL267</x:v>
      </x:c>
      <x:c r="B1325" s="66" t="str">
        <x:v>滨风风云瑞丰1号</x:v>
      </x:c>
      <x:c r="C1325" s="72" t="n">
        <x:v>45309</x:v>
      </x:c>
      <x:c r="D1325" s="73" t="n">
        <x:v>1.1869</x:v>
      </x:c>
      <x:c r="E1325" s="73" t="n">
        <x:v>1.1869</x:v>
      </x:c>
      <x:c r="F1325" s="73" t="n">
        <x:v>1.1869</x:v>
      </x:c>
      <x:c r="G1325" s="74" t="n">
        <x:v>-0.0074</x:v>
      </x:c>
      <x:c r="H1325" s="66" t="str">
        <x:v>滨风风云瑞丰1号净值20260911.xlsx</x:v>
      </x:c>
      <x:c r="I1325" s="73" t="str">
        <x:f>""</x:f>
      </x:c>
      <x:c r="J1325" s="74" t="str">
        <x:f>""</x:f>
      </x:c>
      <x:c r="K1325" s="73" t="n">
        <x:f>MAX(K1324,F1325)</x:f>
        <x:v>1.2128</x:v>
      </x:c>
      <x:c r="L1325" s="74" t="n">
        <x:f>1-F1325/K1325</x:f>
        <x:v>0.02135554089709768</x:v>
      </x:c>
      <x:c r="M1325" s="73" t="n">
        <x:f>MAX(M1324,F1325)</x:f>
        <x:v>1.2128</x:v>
      </x:c>
      <x:c r="N1325" s="74" t="n">
        <x:f>1-F1325/M1325</x:f>
        <x:v>0.02135554089709768</x:v>
      </x:c>
    </x:row>
    <x:row r="1326" ht="27" customHeight="1">
      <x:c r="A1326" s="66" t="str">
        <x:v>SXL267</x:v>
      </x:c>
      <x:c r="B1326" s="66" t="str">
        <x:v>滨风风云瑞丰1号</x:v>
      </x:c>
      <x:c r="C1326" s="72" t="n">
        <x:v>45310</x:v>
      </x:c>
      <x:c r="D1326" s="73" t="n">
        <x:v>1.1824</x:v>
      </x:c>
      <x:c r="E1326" s="73" t="n">
        <x:v>1.1824</x:v>
      </x:c>
      <x:c r="F1326" s="73" t="n">
        <x:v>1.1824</x:v>
      </x:c>
      <x:c r="G1326" s="74" t="n">
        <x:v>-0.0038</x:v>
      </x:c>
      <x:c r="H1326" s="66" t="str">
        <x:v>滨风风云瑞丰1号净值20260911.xlsx</x:v>
      </x:c>
      <x:c r="I1326" s="73" t="str">
        <x:f>""</x:f>
      </x:c>
      <x:c r="J1326" s="74" t="str">
        <x:f>""</x:f>
      </x:c>
      <x:c r="K1326" s="73" t="n">
        <x:f>MAX(K1325,F1326)</x:f>
        <x:v>1.2128</x:v>
      </x:c>
      <x:c r="L1326" s="74" t="n">
        <x:f>1-F1326/K1326</x:f>
        <x:v>0.025065963060686203</x:v>
      </x:c>
      <x:c r="M1326" s="73" t="n">
        <x:f>MAX(M1325,F1326)</x:f>
        <x:v>1.2128</x:v>
      </x:c>
      <x:c r="N1326" s="74" t="n">
        <x:f>1-F1326/M1326</x:f>
        <x:v>0.025065963060686203</x:v>
      </x:c>
    </x:row>
    <x:row r="1327" ht="27" customHeight="1">
      <x:c r="A1327" s="66" t="str">
        <x:v>SXL267</x:v>
      </x:c>
      <x:c r="B1327" s="66" t="str">
        <x:v>滨风风云瑞丰1号</x:v>
      </x:c>
      <x:c r="C1327" s="72" t="n">
        <x:v>45313</x:v>
      </x:c>
      <x:c r="D1327" s="73" t="n">
        <x:v>1.1762</x:v>
      </x:c>
      <x:c r="E1327" s="73" t="n">
        <x:v>1.1762</x:v>
      </x:c>
      <x:c r="F1327" s="73" t="n">
        <x:v>1.1762</x:v>
      </x:c>
      <x:c r="G1327" s="74" t="n">
        <x:v>-0.0052</x:v>
      </x:c>
      <x:c r="H1327" s="66" t="str">
        <x:v>滨风风云瑞丰1号净值20260911.xlsx</x:v>
      </x:c>
      <x:c r="I1327" s="73" t="str">
        <x:f>""</x:f>
      </x:c>
      <x:c r="J1327" s="74" t="str">
        <x:f>""</x:f>
      </x:c>
      <x:c r="K1327" s="73" t="n">
        <x:f>MAX(K1326,F1327)</x:f>
        <x:v>1.2128</x:v>
      </x:c>
      <x:c r="L1327" s="74" t="n">
        <x:f>1-F1327/K1327</x:f>
        <x:v>0.03017810026385237</x:v>
      </x:c>
      <x:c r="M1327" s="73" t="n">
        <x:f>MAX(M1326,F1327)</x:f>
        <x:v>1.2128</x:v>
      </x:c>
      <x:c r="N1327" s="74" t="n">
        <x:f>1-F1327/M1327</x:f>
        <x:v>0.03017810026385237</x:v>
      </x:c>
    </x:row>
    <x:row r="1328" ht="27" customHeight="1">
      <x:c r="A1328" s="66" t="str">
        <x:v>SXL267</x:v>
      </x:c>
      <x:c r="B1328" s="66" t="str">
        <x:v>滨风风云瑞丰1号</x:v>
      </x:c>
      <x:c r="C1328" s="72" t="n">
        <x:v>45314</x:v>
      </x:c>
      <x:c r="D1328" s="73" t="n">
        <x:v>1.1855</x:v>
      </x:c>
      <x:c r="E1328" s="73" t="n">
        <x:v>1.1855</x:v>
      </x:c>
      <x:c r="F1328" s="73" t="n">
        <x:v>1.1855</x:v>
      </x:c>
      <x:c r="G1328" s="74" t="n">
        <x:v>0.0079</x:v>
      </x:c>
      <x:c r="H1328" s="66" t="str">
        <x:v>滨风风云瑞丰1号净值20260911.xlsx</x:v>
      </x:c>
      <x:c r="I1328" s="73" t="str">
        <x:f>""</x:f>
      </x:c>
      <x:c r="J1328" s="74" t="str">
        <x:f>""</x:f>
      </x:c>
      <x:c r="K1328" s="73" t="n">
        <x:f>MAX(K1327,F1328)</x:f>
        <x:v>1.2128</x:v>
      </x:c>
      <x:c r="L1328" s="74" t="n">
        <x:f>1-F1328/K1328</x:f>
        <x:v>0.022509894459103008</x:v>
      </x:c>
      <x:c r="M1328" s="73" t="n">
        <x:f>MAX(M1327,F1328)</x:f>
        <x:v>1.2128</x:v>
      </x:c>
      <x:c r="N1328" s="74" t="n">
        <x:f>1-F1328/M1328</x:f>
        <x:v>0.022509894459103008</x:v>
      </x:c>
    </x:row>
    <x:row r="1329" ht="27" customHeight="1">
      <x:c r="A1329" s="66" t="str">
        <x:v>SXL267</x:v>
      </x:c>
      <x:c r="B1329" s="66" t="str">
        <x:v>滨风风云瑞丰1号</x:v>
      </x:c>
      <x:c r="C1329" s="72" t="n">
        <x:v>45315</x:v>
      </x:c>
      <x:c r="D1329" s="73" t="n">
        <x:v>1.1904</x:v>
      </x:c>
      <x:c r="E1329" s="73" t="n">
        <x:v>1.1904</x:v>
      </x:c>
      <x:c r="F1329" s="73" t="n">
        <x:v>1.1904</x:v>
      </x:c>
      <x:c r="G1329" s="74" t="n">
        <x:v>0.0040999999999999995</x:v>
      </x:c>
      <x:c r="H1329" s="66" t="str">
        <x:v>滨风风云瑞丰1号净值20260911.xlsx</x:v>
      </x:c>
      <x:c r="I1329" s="73" t="str">
        <x:f>""</x:f>
      </x:c>
      <x:c r="J1329" s="74" t="str">
        <x:f>""</x:f>
      </x:c>
      <x:c r="K1329" s="73" t="n">
        <x:f>MAX(K1328,F1329)</x:f>
        <x:v>1.2128</x:v>
      </x:c>
      <x:c r="L1329" s="74" t="n">
        <x:f>1-F1329/K1329</x:f>
        <x:v>0.018469656992084582</x:v>
      </x:c>
      <x:c r="M1329" s="73" t="n">
        <x:f>MAX(M1328,F1329)</x:f>
        <x:v>1.2128</x:v>
      </x:c>
      <x:c r="N1329" s="74" t="n">
        <x:f>1-F1329/M1329</x:f>
        <x:v>0.018469656992084582</x:v>
      </x:c>
    </x:row>
    <x:row r="1330" ht="27" customHeight="1">
      <x:c r="A1330" s="66" t="str">
        <x:v>SXL267</x:v>
      </x:c>
      <x:c r="B1330" s="66" t="str">
        <x:v>滨风风云瑞丰1号</x:v>
      </x:c>
      <x:c r="C1330" s="72" t="n">
        <x:v>45316</x:v>
      </x:c>
      <x:c r="D1330" s="73" t="n">
        <x:v>1.1892</x:v>
      </x:c>
      <x:c r="E1330" s="73" t="n">
        <x:v>1.1892</x:v>
      </x:c>
      <x:c r="F1330" s="73" t="n">
        <x:v>1.1892</x:v>
      </x:c>
      <x:c r="G1330" s="74" t="n">
        <x:v>-0.001</x:v>
      </x:c>
      <x:c r="H1330" s="66" t="str">
        <x:v>滨风风云瑞丰1号净值20260911.xlsx</x:v>
      </x:c>
      <x:c r="I1330" s="73" t="str">
        <x:f>""</x:f>
      </x:c>
      <x:c r="J1330" s="74" t="str">
        <x:f>""</x:f>
      </x:c>
      <x:c r="K1330" s="73" t="n">
        <x:f>MAX(K1329,F1330)</x:f>
        <x:v>1.2128</x:v>
      </x:c>
      <x:c r="L1330" s="74" t="n">
        <x:f>1-F1330/K1330</x:f>
        <x:v>0.019459102902374736</x:v>
      </x:c>
      <x:c r="M1330" s="73" t="n">
        <x:f>MAX(M1329,F1330)</x:f>
        <x:v>1.2128</x:v>
      </x:c>
      <x:c r="N1330" s="74" t="n">
        <x:f>1-F1330/M1330</x:f>
        <x:v>0.019459102902374736</x:v>
      </x:c>
    </x:row>
    <x:row r="1331" ht="27" customHeight="1">
      <x:c r="A1331" s="66" t="str">
        <x:v>SXL267</x:v>
      </x:c>
      <x:c r="B1331" s="66" t="str">
        <x:v>滨风风云瑞丰1号</x:v>
      </x:c>
      <x:c r="C1331" s="72" t="n">
        <x:v>45317</x:v>
      </x:c>
      <x:c r="D1331" s="73" t="n">
        <x:v>1.1803</x:v>
      </x:c>
      <x:c r="E1331" s="73" t="n">
        <x:v>1.1803</x:v>
      </x:c>
      <x:c r="F1331" s="73" t="n">
        <x:v>1.1803</x:v>
      </x:c>
      <x:c r="G1331" s="74" t="n">
        <x:v>-0.0075</x:v>
      </x:c>
      <x:c r="H1331" s="66" t="str">
        <x:v>滨风风云瑞丰1号净值20260911.xlsx</x:v>
      </x:c>
      <x:c r="I1331" s="73" t="str">
        <x:f>""</x:f>
      </x:c>
      <x:c r="J1331" s="74" t="str">
        <x:f>""</x:f>
      </x:c>
      <x:c r="K1331" s="73" t="n">
        <x:f>MAX(K1330,F1331)</x:f>
        <x:v>1.2128</x:v>
      </x:c>
      <x:c r="L1331" s="74" t="n">
        <x:f>1-F1331/K1331</x:f>
        <x:v>0.026797493403694084</x:v>
      </x:c>
      <x:c r="M1331" s="73" t="n">
        <x:f>MAX(M1330,F1331)</x:f>
        <x:v>1.2128</x:v>
      </x:c>
      <x:c r="N1331" s="74" t="n">
        <x:f>1-F1331/M1331</x:f>
        <x:v>0.026797493403694084</x:v>
      </x:c>
    </x:row>
    <x:row r="1332" ht="27" customHeight="1">
      <x:c r="A1332" s="66" t="str">
        <x:v>SXL267</x:v>
      </x:c>
      <x:c r="B1332" s="66" t="str">
        <x:v>滨风风云瑞丰1号</x:v>
      </x:c>
      <x:c r="C1332" s="72" t="n">
        <x:v>45320</x:v>
      </x:c>
      <x:c r="D1332" s="73" t="n">
        <x:v>1.1771</x:v>
      </x:c>
      <x:c r="E1332" s="73" t="n">
        <x:v>1.1771</x:v>
      </x:c>
      <x:c r="F1332" s="73" t="n">
        <x:v>1.1771</x:v>
      </x:c>
      <x:c r="G1332" s="74" t="n">
        <x:v>-0.0027</x:v>
      </x:c>
      <x:c r="H1332" s="66" t="str">
        <x:v>滨风风云瑞丰1号净值20260911.xlsx</x:v>
      </x:c>
      <x:c r="I1332" s="73" t="str">
        <x:f>""</x:f>
      </x:c>
      <x:c r="J1332" s="74" t="str">
        <x:f>""</x:f>
      </x:c>
      <x:c r="K1332" s="73" t="n">
        <x:f>MAX(K1331,F1332)</x:f>
        <x:v>1.2128</x:v>
      </x:c>
      <x:c r="L1332" s="74" t="n">
        <x:f>1-F1332/K1332</x:f>
        <x:v>0.029436015831134643</x:v>
      </x:c>
      <x:c r="M1332" s="73" t="n">
        <x:f>MAX(M1331,F1332)</x:f>
        <x:v>1.2128</x:v>
      </x:c>
      <x:c r="N1332" s="74" t="n">
        <x:f>1-F1332/M1332</x:f>
        <x:v>0.029436015831134643</x:v>
      </x:c>
    </x:row>
    <x:row r="1333" ht="27" customHeight="1">
      <x:c r="A1333" s="66" t="str">
        <x:v>SXL267</x:v>
      </x:c>
      <x:c r="B1333" s="66" t="str">
        <x:v>滨风风云瑞丰1号</x:v>
      </x:c>
      <x:c r="C1333" s="72" t="n">
        <x:v>45321</x:v>
      </x:c>
      <x:c r="D1333" s="73" t="n">
        <x:v>1.1742</x:v>
      </x:c>
      <x:c r="E1333" s="73" t="n">
        <x:v>1.1742</x:v>
      </x:c>
      <x:c r="F1333" s="73" t="n">
        <x:v>1.1742</x:v>
      </x:c>
      <x:c r="G1333" s="74" t="n">
        <x:v>-0.0025</x:v>
      </x:c>
      <x:c r="H1333" s="66" t="str">
        <x:v>滨风风云瑞丰1号净值20260911.xlsx</x:v>
      </x:c>
      <x:c r="I1333" s="73" t="str">
        <x:f>""</x:f>
      </x:c>
      <x:c r="J1333" s="74" t="str">
        <x:f>""</x:f>
      </x:c>
      <x:c r="K1333" s="73" t="n">
        <x:f>MAX(K1332,F1333)</x:f>
        <x:v>1.2128</x:v>
      </x:c>
      <x:c r="L1333" s="74" t="n">
        <x:f>1-F1333/K1333</x:f>
        <x:v>0.031827176781002775</x:v>
      </x:c>
      <x:c r="M1333" s="73" t="n">
        <x:f>MAX(M1332,F1333)</x:f>
        <x:v>1.2128</x:v>
      </x:c>
      <x:c r="N1333" s="74" t="n">
        <x:f>1-F1333/M1333</x:f>
        <x:v>0.031827176781002775</x:v>
      </x:c>
    </x:row>
    <x:row r="1334" ht="27" customHeight="1">
      <x:c r="A1334" s="66" t="str">
        <x:v>SXL267</x:v>
      </x:c>
      <x:c r="B1334" s="66" t="str">
        <x:v>滨风风云瑞丰1号</x:v>
      </x:c>
      <x:c r="C1334" s="72" t="n">
        <x:v>45322</x:v>
      </x:c>
      <x:c r="D1334" s="73" t="n">
        <x:v>1.1671</x:v>
      </x:c>
      <x:c r="E1334" s="73" t="n">
        <x:v>1.1671</x:v>
      </x:c>
      <x:c r="F1334" s="73" t="n">
        <x:v>1.1671</x:v>
      </x:c>
      <x:c r="G1334" s="74" t="n">
        <x:v>-0.006</x:v>
      </x:c>
      <x:c r="H1334" s="66" t="str">
        <x:v>滨风风云瑞丰1号净值20260911.xlsx</x:v>
      </x:c>
      <x:c r="I1334" s="73" t="str">
        <x:f>""</x:f>
      </x:c>
      <x:c r="J1334" s="74" t="str">
        <x:f>""</x:f>
      </x:c>
      <x:c r="K1334" s="73" t="n">
        <x:f>MAX(K1333,F1334)</x:f>
        <x:v>1.2128</x:v>
      </x:c>
      <x:c r="L1334" s="74" t="n">
        <x:f>1-F1334/K1334</x:f>
        <x:v>0.03768139841688656</x:v>
      </x:c>
      <x:c r="M1334" s="73" t="n">
        <x:f>MAX(M1333,F1334)</x:f>
        <x:v>1.2128</x:v>
      </x:c>
      <x:c r="N1334" s="74" t="n">
        <x:f>1-F1334/M1334</x:f>
        <x:v>0.03768139841688656</x:v>
      </x:c>
    </x:row>
    <x:row r="1335" ht="27" customHeight="1">
      <x:c r="A1335" s="66" t="str">
        <x:v>SXL267</x:v>
      </x:c>
      <x:c r="B1335" s="66" t="str">
        <x:v>滨风风云瑞丰1号</x:v>
      </x:c>
      <x:c r="C1335" s="72" t="n">
        <x:v>45323</x:v>
      </x:c>
      <x:c r="D1335" s="73" t="n">
        <x:v>1.1654</x:v>
      </x:c>
      <x:c r="E1335" s="73" t="n">
        <x:v>1.1654</x:v>
      </x:c>
      <x:c r="F1335" s="73" t="n">
        <x:v>1.1654</x:v>
      </x:c>
      <x:c r="G1335" s="74" t="n">
        <x:v>-0.0015</x:v>
      </x:c>
      <x:c r="H1335" s="66" t="str">
        <x:v>滨风风云瑞丰1号净值20260911.xlsx</x:v>
      </x:c>
      <x:c r="I1335" s="73" t="str">
        <x:f>""</x:f>
      </x:c>
      <x:c r="J1335" s="74" t="str">
        <x:f>""</x:f>
      </x:c>
      <x:c r="K1335" s="73" t="n">
        <x:f>MAX(K1334,F1335)</x:f>
        <x:v>1.2128</x:v>
      </x:c>
      <x:c r="L1335" s="74" t="n">
        <x:f>1-F1335/K1335</x:f>
        <x:v>0.039083113456464424</x:v>
      </x:c>
      <x:c r="M1335" s="73" t="n">
        <x:f>MAX(M1334,F1335)</x:f>
        <x:v>1.2128</x:v>
      </x:c>
      <x:c r="N1335" s="74" t="n">
        <x:f>1-F1335/M1335</x:f>
        <x:v>0.039083113456464424</x:v>
      </x:c>
    </x:row>
    <x:row r="1336" ht="27" customHeight="1">
      <x:c r="A1336" s="66" t="str">
        <x:v>SXL267</x:v>
      </x:c>
      <x:c r="B1336" s="66" t="str">
        <x:v>滨风风云瑞丰1号</x:v>
      </x:c>
      <x:c r="C1336" s="72" t="n">
        <x:v>45324</x:v>
      </x:c>
      <x:c r="D1336" s="73" t="n">
        <x:v>1.1681</x:v>
      </x:c>
      <x:c r="E1336" s="73" t="n">
        <x:v>1.1681</x:v>
      </x:c>
      <x:c r="F1336" s="73" t="n">
        <x:v>1.1681</x:v>
      </x:c>
      <x:c r="G1336" s="74" t="n">
        <x:v>0.0023</x:v>
      </x:c>
      <x:c r="H1336" s="66" t="str">
        <x:v>滨风风云瑞丰1号净值20260911.xlsx</x:v>
      </x:c>
      <x:c r="I1336" s="73" t="str">
        <x:f>""</x:f>
      </x:c>
      <x:c r="J1336" s="74" t="str">
        <x:f>""</x:f>
      </x:c>
      <x:c r="K1336" s="73" t="n">
        <x:f>MAX(K1335,F1336)</x:f>
        <x:v>1.2128</x:v>
      </x:c>
      <x:c r="L1336" s="74" t="n">
        <x:f>1-F1336/K1336</x:f>
        <x:v>0.036856860158311466</x:v>
      </x:c>
      <x:c r="M1336" s="73" t="n">
        <x:f>MAX(M1335,F1336)</x:f>
        <x:v>1.2128</x:v>
      </x:c>
      <x:c r="N1336" s="74" t="n">
        <x:f>1-F1336/M1336</x:f>
        <x:v>0.036856860158311466</x:v>
      </x:c>
    </x:row>
    <x:row r="1337" ht="27" customHeight="1">
      <x:c r="A1337" s="66" t="str">
        <x:v>SXL267</x:v>
      </x:c>
      <x:c r="B1337" s="66" t="str">
        <x:v>滨风风云瑞丰1号</x:v>
      </x:c>
      <x:c r="C1337" s="72" t="n">
        <x:v>45327</x:v>
      </x:c>
      <x:c r="D1337" s="73" t="n">
        <x:v>1.1616</x:v>
      </x:c>
      <x:c r="E1337" s="73" t="n">
        <x:v>1.1616</x:v>
      </x:c>
      <x:c r="F1337" s="73" t="n">
        <x:v>1.1616</x:v>
      </x:c>
      <x:c r="G1337" s="74" t="n">
        <x:v>-0.005600000000000001</x:v>
      </x:c>
      <x:c r="H1337" s="66" t="str">
        <x:v>滨风风云瑞丰1号净值20260911.xlsx</x:v>
      </x:c>
      <x:c r="I1337" s="73" t="str">
        <x:f>""</x:f>
      </x:c>
      <x:c r="J1337" s="74" t="str">
        <x:f>""</x:f>
      </x:c>
      <x:c r="K1337" s="73" t="n">
        <x:f>MAX(K1336,F1337)</x:f>
        <x:v>1.2128</x:v>
      </x:c>
      <x:c r="L1337" s="74" t="n">
        <x:f>1-F1337/K1337</x:f>
        <x:v>0.04221635883905028</x:v>
      </x:c>
      <x:c r="M1337" s="73" t="n">
        <x:f>MAX(M1336,F1337)</x:f>
        <x:v>1.2128</x:v>
      </x:c>
      <x:c r="N1337" s="74" t="n">
        <x:f>1-F1337/M1337</x:f>
        <x:v>0.04221635883905028</x:v>
      </x:c>
    </x:row>
    <x:row r="1338" ht="27" customHeight="1">
      <x:c r="A1338" s="66" t="str">
        <x:v>SXL267</x:v>
      </x:c>
      <x:c r="B1338" s="66" t="str">
        <x:v>滨风风云瑞丰1号</x:v>
      </x:c>
      <x:c r="C1338" s="72" t="n">
        <x:v>45328</x:v>
      </x:c>
      <x:c r="D1338" s="73" t="n">
        <x:v>1.1627</x:v>
      </x:c>
      <x:c r="E1338" s="73" t="n">
        <x:v>1.1627</x:v>
      </x:c>
      <x:c r="F1338" s="73" t="n">
        <x:v>1.1627</x:v>
      </x:c>
      <x:c r="G1338" s="74" t="n">
        <x:v>0.0009</x:v>
      </x:c>
      <x:c r="H1338" s="66" t="str">
        <x:v>滨风风云瑞丰1号净值20260911.xlsx</x:v>
      </x:c>
      <x:c r="I1338" s="73" t="str">
        <x:f>""</x:f>
      </x:c>
      <x:c r="J1338" s="74" t="str">
        <x:f>""</x:f>
      </x:c>
      <x:c r="K1338" s="73" t="n">
        <x:f>MAX(K1337,F1338)</x:f>
        <x:v>1.2128</x:v>
      </x:c>
      <x:c r="L1338" s="74" t="n">
        <x:f>1-F1338/K1338</x:f>
        <x:v>0.041309366754617494</x:v>
      </x:c>
      <x:c r="M1338" s="73" t="n">
        <x:f>MAX(M1337,F1338)</x:f>
        <x:v>1.2128</x:v>
      </x:c>
      <x:c r="N1338" s="74" t="n">
        <x:f>1-F1338/M1338</x:f>
        <x:v>0.041309366754617494</x:v>
      </x:c>
    </x:row>
    <x:row r="1339" ht="27" customHeight="1">
      <x:c r="A1339" s="66" t="str">
        <x:v>SXL267</x:v>
      </x:c>
      <x:c r="B1339" s="66" t="str">
        <x:v>滨风风云瑞丰1号</x:v>
      </x:c>
      <x:c r="C1339" s="72" t="n">
        <x:v>45329</x:v>
      </x:c>
      <x:c r="D1339" s="73" t="n">
        <x:v>1.1634</x:v>
      </x:c>
      <x:c r="E1339" s="73" t="n">
        <x:v>1.1634</x:v>
      </x:c>
      <x:c r="F1339" s="73" t="n">
        <x:v>1.1634</x:v>
      </x:c>
      <x:c r="G1339" s="74" t="n">
        <x:v>0.0006</x:v>
      </x:c>
      <x:c r="H1339" s="66" t="str">
        <x:v>滨风风云瑞丰1号净值20260911.xlsx</x:v>
      </x:c>
      <x:c r="I1339" s="73" t="str">
        <x:f>""</x:f>
      </x:c>
      <x:c r="J1339" s="74" t="str">
        <x:f>""</x:f>
      </x:c>
      <x:c r="K1339" s="73" t="n">
        <x:f>MAX(K1338,F1339)</x:f>
        <x:v>1.2128</x:v>
      </x:c>
      <x:c r="L1339" s="74" t="n">
        <x:f>1-F1339/K1339</x:f>
        <x:v>0.04073218997361483</x:v>
      </x:c>
      <x:c r="M1339" s="73" t="n">
        <x:f>MAX(M1338,F1339)</x:f>
        <x:v>1.2128</x:v>
      </x:c>
      <x:c r="N1339" s="74" t="n">
        <x:f>1-F1339/M1339</x:f>
        <x:v>0.04073218997361483</x:v>
      </x:c>
    </x:row>
    <x:row r="1340" ht="27" customHeight="1">
      <x:c r="A1340" s="66" t="str">
        <x:v>SXL267</x:v>
      </x:c>
      <x:c r="B1340" s="66" t="str">
        <x:v>滨风风云瑞丰1号</x:v>
      </x:c>
      <x:c r="C1340" s="72" t="n">
        <x:v>45330</x:v>
      </x:c>
      <x:c r="D1340" s="73" t="n">
        <x:v>1.163</x:v>
      </x:c>
      <x:c r="E1340" s="73" t="n">
        <x:v>1.163</x:v>
      </x:c>
      <x:c r="F1340" s="73" t="n">
        <x:v>1.163</x:v>
      </x:c>
      <x:c r="G1340" s="74" t="n">
        <x:v>-0.0003</x:v>
      </x:c>
      <x:c r="H1340" s="66" t="str">
        <x:v>滨风风云瑞丰1号净值20260911.xlsx</x:v>
      </x:c>
      <x:c r="I1340" s="73" t="str">
        <x:f>""</x:f>
      </x:c>
      <x:c r="J1340" s="74" t="str">
        <x:f>""</x:f>
      </x:c>
      <x:c r="K1340" s="73" t="n">
        <x:f>MAX(K1339,F1340)</x:f>
        <x:v>1.2128</x:v>
      </x:c>
      <x:c r="L1340" s="74" t="n">
        <x:f>1-F1340/K1340</x:f>
        <x:v>0.041062005277044955</x:v>
      </x:c>
      <x:c r="M1340" s="73" t="n">
        <x:f>MAX(M1339,F1340)</x:f>
        <x:v>1.2128</x:v>
      </x:c>
      <x:c r="N1340" s="74" t="n">
        <x:f>1-F1340/M1340</x:f>
        <x:v>0.041062005277044955</x:v>
      </x:c>
    </x:row>
    <x:row r="1341" ht="27" customHeight="1">
      <x:c r="A1341" s="66" t="str">
        <x:v>SXL267</x:v>
      </x:c>
      <x:c r="B1341" s="66" t="str">
        <x:v>滨风风云瑞丰1号</x:v>
      </x:c>
      <x:c r="C1341" s="72" t="n">
        <x:v>45341</x:v>
      </x:c>
      <x:c r="D1341" s="73" t="n">
        <x:v>1.164</x:v>
      </x:c>
      <x:c r="E1341" s="73" t="n">
        <x:v>1.164</x:v>
      </x:c>
      <x:c r="F1341" s="73" t="n">
        <x:v>1.164</x:v>
      </x:c>
      <x:c r="G1341" s="74" t="n">
        <x:v>0.0009</x:v>
      </x:c>
      <x:c r="H1341" s="66" t="str">
        <x:v>滨风风云瑞丰1号净值20260911.xlsx</x:v>
      </x:c>
      <x:c r="I1341" s="73" t="str">
        <x:f>""</x:f>
      </x:c>
      <x:c r="J1341" s="74" t="str">
        <x:f>""</x:f>
      </x:c>
      <x:c r="K1341" s="73" t="n">
        <x:f>MAX(K1340,F1341)</x:f>
        <x:v>1.2128</x:v>
      </x:c>
      <x:c r="L1341" s="74" t="n">
        <x:f>1-F1341/K1341</x:f>
        <x:v>0.04023746701846975</x:v>
      </x:c>
      <x:c r="M1341" s="73" t="n">
        <x:f>MAX(M1340,F1341)</x:f>
        <x:v>1.2128</x:v>
      </x:c>
      <x:c r="N1341" s="74" t="n">
        <x:f>1-F1341/M1341</x:f>
        <x:v>0.04023746701846975</x:v>
      </x:c>
    </x:row>
    <x:row r="1342" ht="27" customHeight="1">
      <x:c r="A1342" s="66" t="str">
        <x:v>SXL267</x:v>
      </x:c>
      <x:c r="B1342" s="66" t="str">
        <x:v>滨风风云瑞丰1号</x:v>
      </x:c>
      <x:c r="C1342" s="72" t="n">
        <x:v>45342</x:v>
      </x:c>
      <x:c r="D1342" s="73" t="n">
        <x:v>1.1624</x:v>
      </x:c>
      <x:c r="E1342" s="73" t="n">
        <x:v>1.1624</x:v>
      </x:c>
      <x:c r="F1342" s="73" t="n">
        <x:v>1.1624</x:v>
      </x:c>
      <x:c r="G1342" s="74" t="n">
        <x:v>-0.0014000000000000002</x:v>
      </x:c>
      <x:c r="H1342" s="66" t="str">
        <x:v>滨风风云瑞丰1号净值20260911.xlsx</x:v>
      </x:c>
      <x:c r="I1342" s="73" t="str">
        <x:f>""</x:f>
      </x:c>
      <x:c r="J1342" s="74" t="str">
        <x:f>""</x:f>
      </x:c>
      <x:c r="K1342" s="73" t="n">
        <x:f>MAX(K1341,F1342)</x:f>
        <x:v>1.2128</x:v>
      </x:c>
      <x:c r="L1342" s="74" t="n">
        <x:f>1-F1342/K1342</x:f>
        <x:v>0.04155672823218992</x:v>
      </x:c>
      <x:c r="M1342" s="73" t="n">
        <x:f>MAX(M1341,F1342)</x:f>
        <x:v>1.2128</x:v>
      </x:c>
      <x:c r="N1342" s="74" t="n">
        <x:f>1-F1342/M1342</x:f>
        <x:v>0.04155672823218992</x:v>
      </x:c>
    </x:row>
    <x:row r="1343" ht="27" customHeight="1">
      <x:c r="A1343" s="66" t="str">
        <x:v>SXL267</x:v>
      </x:c>
      <x:c r="B1343" s="66" t="str">
        <x:v>滨风风云瑞丰1号</x:v>
      </x:c>
      <x:c r="C1343" s="72" t="n">
        <x:v>45343</x:v>
      </x:c>
      <x:c r="D1343" s="73" t="n">
        <x:v>1.164</x:v>
      </x:c>
      <x:c r="E1343" s="73" t="n">
        <x:v>1.164</x:v>
      </x:c>
      <x:c r="F1343" s="73" t="n">
        <x:v>1.164</x:v>
      </x:c>
      <x:c r="G1343" s="74" t="n">
        <x:v>0.0014000000000000002</x:v>
      </x:c>
      <x:c r="H1343" s="66" t="str">
        <x:v>滨风风云瑞丰1号净值20260911.xlsx</x:v>
      </x:c>
      <x:c r="I1343" s="73" t="str">
        <x:f>""</x:f>
      </x:c>
      <x:c r="J1343" s="74" t="str">
        <x:f>""</x:f>
      </x:c>
      <x:c r="K1343" s="73" t="n">
        <x:f>MAX(K1342,F1343)</x:f>
        <x:v>1.2128</x:v>
      </x:c>
      <x:c r="L1343" s="74" t="n">
        <x:f>1-F1343/K1343</x:f>
        <x:v>0.04023746701846975</x:v>
      </x:c>
      <x:c r="M1343" s="73" t="n">
        <x:f>MAX(M1342,F1343)</x:f>
        <x:v>1.2128</x:v>
      </x:c>
      <x:c r="N1343" s="74" t="n">
        <x:f>1-F1343/M1343</x:f>
        <x:v>0.04023746701846975</x:v>
      </x:c>
    </x:row>
    <x:row r="1344" ht="27" customHeight="1">
      <x:c r="A1344" s="66" t="str">
        <x:v>SXL267</x:v>
      </x:c>
      <x:c r="B1344" s="66" t="str">
        <x:v>滨风风云瑞丰1号</x:v>
      </x:c>
      <x:c r="C1344" s="72" t="n">
        <x:v>45344</x:v>
      </x:c>
      <x:c r="D1344" s="73" t="n">
        <x:v>1.1643</x:v>
      </x:c>
      <x:c r="E1344" s="73" t="n">
        <x:v>1.1643</x:v>
      </x:c>
      <x:c r="F1344" s="73" t="n">
        <x:v>1.1643</x:v>
      </x:c>
      <x:c r="G1344" s="74" t="n">
        <x:v>0.0003</x:v>
      </x:c>
      <x:c r="H1344" s="66" t="str">
        <x:v>滨风风云瑞丰1号净值20260911.xlsx</x:v>
      </x:c>
      <x:c r="I1344" s="73" t="str">
        <x:f>""</x:f>
      </x:c>
      <x:c r="J1344" s="74" t="str">
        <x:f>""</x:f>
      </x:c>
      <x:c r="K1344" s="73" t="n">
        <x:f>MAX(K1343,F1344)</x:f>
        <x:v>1.2128</x:v>
      </x:c>
      <x:c r="L1344" s="74" t="n">
        <x:f>1-F1344/K1344</x:f>
        <x:v>0.039990105540897214</x:v>
      </x:c>
      <x:c r="M1344" s="73" t="n">
        <x:f>MAX(M1343,F1344)</x:f>
        <x:v>1.2128</x:v>
      </x:c>
      <x:c r="N1344" s="74" t="n">
        <x:f>1-F1344/M1344</x:f>
        <x:v>0.039990105540897214</x:v>
      </x:c>
    </x:row>
    <x:row r="1345" ht="27" customHeight="1">
      <x:c r="A1345" s="66" t="str">
        <x:v>SXL267</x:v>
      </x:c>
      <x:c r="B1345" s="66" t="str">
        <x:v>滨风风云瑞丰1号</x:v>
      </x:c>
      <x:c r="C1345" s="72" t="n">
        <x:v>45345</x:v>
      </x:c>
      <x:c r="D1345" s="73" t="n">
        <x:v>1.1661</x:v>
      </x:c>
      <x:c r="E1345" s="73" t="n">
        <x:v>1.1661</x:v>
      </x:c>
      <x:c r="F1345" s="73" t="n">
        <x:v>1.1661</x:v>
      </x:c>
      <x:c r="G1345" s="74" t="n">
        <x:v>0.0015</x:v>
      </x:c>
      <x:c r="H1345" s="66" t="str">
        <x:v>滨风风云瑞丰1号净值20260911.xlsx</x:v>
      </x:c>
      <x:c r="I1345" s="73" t="str">
        <x:f>""</x:f>
      </x:c>
      <x:c r="J1345" s="74" t="str">
        <x:f>""</x:f>
      </x:c>
      <x:c r="K1345" s="73" t="n">
        <x:f>MAX(K1344,F1345)</x:f>
        <x:v>1.2128</x:v>
      </x:c>
      <x:c r="L1345" s="74" t="n">
        <x:f>1-F1345/K1345</x:f>
        <x:v>0.03850593667546187</x:v>
      </x:c>
      <x:c r="M1345" s="73" t="n">
        <x:f>MAX(M1344,F1345)</x:f>
        <x:v>1.2128</x:v>
      </x:c>
      <x:c r="N1345" s="74" t="n">
        <x:f>1-F1345/M1345</x:f>
        <x:v>0.03850593667546187</x:v>
      </x:c>
    </x:row>
    <x:row r="1346" ht="27" customHeight="1">
      <x:c r="A1346" s="66" t="str">
        <x:v>SXL267</x:v>
      </x:c>
      <x:c r="B1346" s="66" t="str">
        <x:v>滨风风云瑞丰1号</x:v>
      </x:c>
      <x:c r="C1346" s="72" t="n">
        <x:v>45348</x:v>
      </x:c>
      <x:c r="D1346" s="73" t="n">
        <x:v>1.1696</x:v>
      </x:c>
      <x:c r="E1346" s="73" t="n">
        <x:v>1.1696</x:v>
      </x:c>
      <x:c r="F1346" s="73" t="n">
        <x:v>1.1696</x:v>
      </x:c>
      <x:c r="G1346" s="74" t="n">
        <x:v>0.003</x:v>
      </x:c>
      <x:c r="H1346" s="66" t="str">
        <x:v>滨风风云瑞丰1号净值20260911.xlsx</x:v>
      </x:c>
      <x:c r="I1346" s="73" t="str">
        <x:f>""</x:f>
      </x:c>
      <x:c r="J1346" s="74" t="str">
        <x:f>""</x:f>
      </x:c>
      <x:c r="K1346" s="73" t="n">
        <x:f>MAX(K1345,F1346)</x:f>
        <x:v>1.2128</x:v>
      </x:c>
      <x:c r="L1346" s="74" t="n">
        <x:f>1-F1346/K1346</x:f>
        <x:v>0.03562005277044866</x:v>
      </x:c>
      <x:c r="M1346" s="73" t="n">
        <x:f>MAX(M1345,F1346)</x:f>
        <x:v>1.2128</x:v>
      </x:c>
      <x:c r="N1346" s="74" t="n">
        <x:f>1-F1346/M1346</x:f>
        <x:v>0.03562005277044866</x:v>
      </x:c>
    </x:row>
    <x:row r="1347" ht="27" customHeight="1">
      <x:c r="A1347" s="66" t="str">
        <x:v>SXL267</x:v>
      </x:c>
      <x:c r="B1347" s="66" t="str">
        <x:v>滨风风云瑞丰1号</x:v>
      </x:c>
      <x:c r="C1347" s="72" t="n">
        <x:v>45349</x:v>
      </x:c>
      <x:c r="D1347" s="73" t="n">
        <x:v>1.1682</x:v>
      </x:c>
      <x:c r="E1347" s="73" t="n">
        <x:v>1.1682</x:v>
      </x:c>
      <x:c r="F1347" s="73" t="n">
        <x:v>1.1682</x:v>
      </x:c>
      <x:c r="G1347" s="74" t="n">
        <x:v>-0.0012</x:v>
      </x:c>
      <x:c r="H1347" s="66" t="str">
        <x:v>滨风风云瑞丰1号净值20260911.xlsx</x:v>
      </x:c>
      <x:c r="I1347" s="73" t="str">
        <x:f>""</x:f>
      </x:c>
      <x:c r="J1347" s="74" t="str">
        <x:f>""</x:f>
      </x:c>
      <x:c r="K1347" s="73" t="n">
        <x:f>MAX(K1346,F1347)</x:f>
        <x:v>1.2128</x:v>
      </x:c>
      <x:c r="L1347" s="74" t="n">
        <x:f>1-F1347/K1347</x:f>
        <x:v>0.03677440633245399</x:v>
      </x:c>
      <x:c r="M1347" s="73" t="n">
        <x:f>MAX(M1346,F1347)</x:f>
        <x:v>1.2128</x:v>
      </x:c>
      <x:c r="N1347" s="74" t="n">
        <x:f>1-F1347/M1347</x:f>
        <x:v>0.03677440633245399</x:v>
      </x:c>
    </x:row>
    <x:row r="1348" ht="27" customHeight="1">
      <x:c r="A1348" s="66" t="str">
        <x:v>SXL267</x:v>
      </x:c>
      <x:c r="B1348" s="66" t="str">
        <x:v>滨风风云瑞丰1号</x:v>
      </x:c>
      <x:c r="C1348" s="72" t="n">
        <x:v>45350</x:v>
      </x:c>
      <x:c r="D1348" s="73" t="n">
        <x:v>1.1686</x:v>
      </x:c>
      <x:c r="E1348" s="73" t="n">
        <x:v>1.1686</x:v>
      </x:c>
      <x:c r="F1348" s="73" t="n">
        <x:v>1.1686</x:v>
      </x:c>
      <x:c r="G1348" s="74" t="n">
        <x:v>0.0003</x:v>
      </x:c>
      <x:c r="H1348" s="66" t="str">
        <x:v>滨风风云瑞丰1号净值20260911.xlsx</x:v>
      </x:c>
      <x:c r="I1348" s="73" t="str">
        <x:f>""</x:f>
      </x:c>
      <x:c r="J1348" s="74" t="str">
        <x:f>""</x:f>
      </x:c>
      <x:c r="K1348" s="73" t="n">
        <x:f>MAX(K1347,F1348)</x:f>
        <x:v>1.2128</x:v>
      </x:c>
      <x:c r="L1348" s="74" t="n">
        <x:f>1-F1348/K1348</x:f>
        <x:v>0.036444591029023754</x:v>
      </x:c>
      <x:c r="M1348" s="73" t="n">
        <x:f>MAX(M1347,F1348)</x:f>
        <x:v>1.2128</x:v>
      </x:c>
      <x:c r="N1348" s="74" t="n">
        <x:f>1-F1348/M1348</x:f>
        <x:v>0.036444591029023754</x:v>
      </x:c>
    </x:row>
    <x:row r="1349" ht="27" customHeight="1">
      <x:c r="A1349" s="66" t="str">
        <x:v>SXL267</x:v>
      </x:c>
      <x:c r="B1349" s="66" t="str">
        <x:v>滨风风云瑞丰1号</x:v>
      </x:c>
      <x:c r="C1349" s="72" t="n">
        <x:v>45351</x:v>
      </x:c>
      <x:c r="D1349" s="73" t="n">
        <x:v>1.1709</x:v>
      </x:c>
      <x:c r="E1349" s="73" t="n">
        <x:v>1.1709</x:v>
      </x:c>
      <x:c r="F1349" s="73" t="n">
        <x:v>1.1709</x:v>
      </x:c>
      <x:c r="G1349" s="74" t="n">
        <x:v>0.002</x:v>
      </x:c>
      <x:c r="H1349" s="66" t="str">
        <x:v>滨风风云瑞丰1号净值20260911.xlsx</x:v>
      </x:c>
      <x:c r="I1349" s="73" t="str">
        <x:f>""</x:f>
      </x:c>
      <x:c r="J1349" s="74" t="str">
        <x:f>""</x:f>
      </x:c>
      <x:c r="K1349" s="73" t="n">
        <x:f>MAX(K1348,F1349)</x:f>
        <x:v>1.2128</x:v>
      </x:c>
      <x:c r="L1349" s="74" t="n">
        <x:f>1-F1349/K1349</x:f>
        <x:v>0.03454815303430081</x:v>
      </x:c>
      <x:c r="M1349" s="73" t="n">
        <x:f>MAX(M1348,F1349)</x:f>
        <x:v>1.2128</x:v>
      </x:c>
      <x:c r="N1349" s="74" t="n">
        <x:f>1-F1349/M1349</x:f>
        <x:v>0.03454815303430081</x:v>
      </x:c>
    </x:row>
    <x:row r="1350" ht="27" customHeight="1">
      <x:c r="A1350" s="66" t="str">
        <x:v>SXL267</x:v>
      </x:c>
      <x:c r="B1350" s="66" t="str">
        <x:v>滨风风云瑞丰1号</x:v>
      </x:c>
      <x:c r="C1350" s="72" t="n">
        <x:v>45352</x:v>
      </x:c>
      <x:c r="D1350" s="73" t="n">
        <x:v>1.1753</x:v>
      </x:c>
      <x:c r="E1350" s="73" t="n">
        <x:v>1.1753</x:v>
      </x:c>
      <x:c r="F1350" s="73" t="n">
        <x:v>1.1753</x:v>
      </x:c>
      <x:c r="G1350" s="74" t="n">
        <x:v>0.0038</x:v>
      </x:c>
      <x:c r="H1350" s="66" t="str">
        <x:v>滨风风云瑞丰1号净值20260911.xlsx</x:v>
      </x:c>
      <x:c r="I1350" s="73" t="str">
        <x:f>""</x:f>
      </x:c>
      <x:c r="J1350" s="74" t="str">
        <x:f>""</x:f>
      </x:c>
      <x:c r="K1350" s="73" t="n">
        <x:f>MAX(K1349,F1350)</x:f>
        <x:v>1.2128</x:v>
      </x:c>
      <x:c r="L1350" s="74" t="n">
        <x:f>1-F1350/K1350</x:f>
        <x:v>0.030920184696569986</x:v>
      </x:c>
      <x:c r="M1350" s="73" t="n">
        <x:f>MAX(M1349,F1350)</x:f>
        <x:v>1.2128</x:v>
      </x:c>
      <x:c r="N1350" s="74" t="n">
        <x:f>1-F1350/M1350</x:f>
        <x:v>0.030920184696569986</x:v>
      </x:c>
    </x:row>
    <x:row r="1351" ht="27" customHeight="1">
      <x:c r="A1351" s="66" t="str">
        <x:v>SXL267</x:v>
      </x:c>
      <x:c r="B1351" s="66" t="str">
        <x:v>滨风风云瑞丰1号</x:v>
      </x:c>
      <x:c r="C1351" s="72" t="n">
        <x:v>45355</x:v>
      </x:c>
      <x:c r="D1351" s="73" t="n">
        <x:v>1.1732</x:v>
      </x:c>
      <x:c r="E1351" s="73" t="n">
        <x:v>1.1732</x:v>
      </x:c>
      <x:c r="F1351" s="73" t="n">
        <x:v>1.1732</x:v>
      </x:c>
      <x:c r="G1351" s="74" t="n">
        <x:v>-0.0018</x:v>
      </x:c>
      <x:c r="H1351" s="66" t="str">
        <x:v>滨风风云瑞丰1号净值20260911.xlsx</x:v>
      </x:c>
      <x:c r="I1351" s="73" t="str">
        <x:f>""</x:f>
      </x:c>
      <x:c r="J1351" s="74" t="str">
        <x:f>""</x:f>
      </x:c>
      <x:c r="K1351" s="73" t="n">
        <x:f>MAX(K1350,F1351)</x:f>
        <x:v>1.2128</x:v>
      </x:c>
      <x:c r="L1351" s="74" t="n">
        <x:f>1-F1351/K1351</x:f>
        <x:v>0.03265171503957787</x:v>
      </x:c>
      <x:c r="M1351" s="73" t="n">
        <x:f>MAX(M1350,F1351)</x:f>
        <x:v>1.2128</x:v>
      </x:c>
      <x:c r="N1351" s="74" t="n">
        <x:f>1-F1351/M1351</x:f>
        <x:v>0.03265171503957787</x:v>
      </x:c>
    </x:row>
    <x:row r="1352" ht="27" customHeight="1">
      <x:c r="A1352" s="66" t="str">
        <x:v>SXL267</x:v>
      </x:c>
      <x:c r="B1352" s="66" t="str">
        <x:v>滨风风云瑞丰1号</x:v>
      </x:c>
      <x:c r="C1352" s="72" t="n">
        <x:v>45356</x:v>
      </x:c>
      <x:c r="D1352" s="73" t="n">
        <x:v>1.1728</x:v>
      </x:c>
      <x:c r="E1352" s="73" t="n">
        <x:v>1.1728</x:v>
      </x:c>
      <x:c r="F1352" s="73" t="n">
        <x:v>1.1728</x:v>
      </x:c>
      <x:c r="G1352" s="74" t="n">
        <x:v>-0.0003</x:v>
      </x:c>
      <x:c r="H1352" s="66" t="str">
        <x:v>滨风风云瑞丰1号净值20260911.xlsx</x:v>
      </x:c>
      <x:c r="I1352" s="73" t="str">
        <x:f>""</x:f>
      </x:c>
      <x:c r="J1352" s="74" t="str">
        <x:f>""</x:f>
      </x:c>
      <x:c r="K1352" s="73" t="n">
        <x:f>MAX(K1351,F1352)</x:f>
        <x:v>1.2128</x:v>
      </x:c>
      <x:c r="L1352" s="74" t="n">
        <x:f>1-F1352/K1352</x:f>
        <x:v>0.03298153034300799</x:v>
      </x:c>
      <x:c r="M1352" s="73" t="n">
        <x:f>MAX(M1351,F1352)</x:f>
        <x:v>1.2128</x:v>
      </x:c>
      <x:c r="N1352" s="74" t="n">
        <x:f>1-F1352/M1352</x:f>
        <x:v>0.03298153034300799</x:v>
      </x:c>
    </x:row>
    <x:row r="1353" ht="27" customHeight="1">
      <x:c r="A1353" s="66" t="str">
        <x:v>SXL267</x:v>
      </x:c>
      <x:c r="B1353" s="66" t="str">
        <x:v>滨风风云瑞丰1号</x:v>
      </x:c>
      <x:c r="C1353" s="72" t="n">
        <x:v>45357</x:v>
      </x:c>
      <x:c r="D1353" s="73" t="n">
        <x:v>1.1711</x:v>
      </x:c>
      <x:c r="E1353" s="73" t="n">
        <x:v>1.1711</x:v>
      </x:c>
      <x:c r="F1353" s="73" t="n">
        <x:v>1.1711</x:v>
      </x:c>
      <x:c r="G1353" s="74" t="n">
        <x:v>-0.0014000000000000002</x:v>
      </x:c>
      <x:c r="H1353" s="66" t="str">
        <x:v>滨风风云瑞丰1号净值20260911.xlsx</x:v>
      </x:c>
      <x:c r="I1353" s="73" t="str">
        <x:f>""</x:f>
      </x:c>
      <x:c r="J1353" s="74" t="str">
        <x:f>""</x:f>
      </x:c>
      <x:c r="K1353" s="73" t="n">
        <x:f>MAX(K1352,F1353)</x:f>
        <x:v>1.2128</x:v>
      </x:c>
      <x:c r="L1353" s="74" t="n">
        <x:f>1-F1353/K1353</x:f>
        <x:v>0.03438324538258586</x:v>
      </x:c>
      <x:c r="M1353" s="73" t="n">
        <x:f>MAX(M1352,F1353)</x:f>
        <x:v>1.2128</x:v>
      </x:c>
      <x:c r="N1353" s="74" t="n">
        <x:f>1-F1353/M1353</x:f>
        <x:v>0.03438324538258586</x:v>
      </x:c>
    </x:row>
    <x:row r="1354" ht="27" customHeight="1">
      <x:c r="A1354" s="66" t="str">
        <x:v>SXL267</x:v>
      </x:c>
      <x:c r="B1354" s="66" t="str">
        <x:v>滨风风云瑞丰1号</x:v>
      </x:c>
      <x:c r="C1354" s="72" t="n">
        <x:v>45358</x:v>
      </x:c>
      <x:c r="D1354" s="73" t="n">
        <x:v>1.1656</x:v>
      </x:c>
      <x:c r="E1354" s="73" t="n">
        <x:v>1.1656</x:v>
      </x:c>
      <x:c r="F1354" s="73" t="n">
        <x:v>1.1656</x:v>
      </x:c>
      <x:c r="G1354" s="74" t="n">
        <x:v>-0.004699999999999999</x:v>
      </x:c>
      <x:c r="H1354" s="66" t="str">
        <x:v>滨风风云瑞丰1号净值20260911.xlsx</x:v>
      </x:c>
      <x:c r="I1354" s="73" t="str">
        <x:f>""</x:f>
      </x:c>
      <x:c r="J1354" s="74" t="str">
        <x:f>""</x:f>
      </x:c>
      <x:c r="K1354" s="73" t="n">
        <x:f>MAX(K1353,F1354)</x:f>
        <x:v>1.2128</x:v>
      </x:c>
      <x:c r="L1354" s="74" t="n">
        <x:f>1-F1354/K1354</x:f>
        <x:v>0.03891820580474947</x:v>
      </x:c>
      <x:c r="M1354" s="73" t="n">
        <x:f>MAX(M1353,F1354)</x:f>
        <x:v>1.2128</x:v>
      </x:c>
      <x:c r="N1354" s="74" t="n">
        <x:f>1-F1354/M1354</x:f>
        <x:v>0.03891820580474947</x:v>
      </x:c>
    </x:row>
    <x:row r="1355" ht="27" customHeight="1">
      <x:c r="A1355" s="66" t="str">
        <x:v>SXL267</x:v>
      </x:c>
      <x:c r="B1355" s="66" t="str">
        <x:v>滨风风云瑞丰1号</x:v>
      </x:c>
      <x:c r="C1355" s="72" t="n">
        <x:v>45359</x:v>
      </x:c>
      <x:c r="D1355" s="73" t="n">
        <x:v>1.1555</x:v>
      </x:c>
      <x:c r="E1355" s="73" t="n">
        <x:v>1.1555</x:v>
      </x:c>
      <x:c r="F1355" s="73" t="n">
        <x:v>1.1555</x:v>
      </x:c>
      <x:c r="G1355" s="74" t="n">
        <x:v>-0.0087</x:v>
      </x:c>
      <x:c r="H1355" s="66" t="str">
        <x:v>滨风风云瑞丰1号净值20260911.xlsx</x:v>
      </x:c>
      <x:c r="I1355" s="73" t="str">
        <x:f>""</x:f>
      </x:c>
      <x:c r="J1355" s="74" t="str">
        <x:f>""</x:f>
      </x:c>
      <x:c r="K1355" s="73" t="n">
        <x:f>MAX(K1354,F1355)</x:f>
        <x:v>1.2128</x:v>
      </x:c>
      <x:c r="L1355" s="74" t="n">
        <x:f>1-F1355/K1355</x:f>
        <x:v>0.047246042216358974</x:v>
      </x:c>
      <x:c r="M1355" s="73" t="n">
        <x:f>MAX(M1354,F1355)</x:f>
        <x:v>1.2128</x:v>
      </x:c>
      <x:c r="N1355" s="74" t="n">
        <x:f>1-F1355/M1355</x:f>
        <x:v>0.047246042216358974</x:v>
      </x:c>
    </x:row>
    <x:row r="1356" ht="27" customHeight="1">
      <x:c r="A1356" s="66" t="str">
        <x:v>SXL267</x:v>
      </x:c>
      <x:c r="B1356" s="66" t="str">
        <x:v>滨风风云瑞丰1号</x:v>
      </x:c>
      <x:c r="C1356" s="72" t="n">
        <x:v>45362</x:v>
      </x:c>
      <x:c r="D1356" s="73" t="n">
        <x:v>1.1563</x:v>
      </x:c>
      <x:c r="E1356" s="73" t="n">
        <x:v>1.1563</x:v>
      </x:c>
      <x:c r="F1356" s="73" t="n">
        <x:v>1.1563</x:v>
      </x:c>
      <x:c r="G1356" s="74" t="n">
        <x:v>0.0007000000000000001</x:v>
      </x:c>
      <x:c r="H1356" s="66" t="str">
        <x:v>滨风风云瑞丰1号净值20260911.xlsx</x:v>
      </x:c>
      <x:c r="I1356" s="73" t="str">
        <x:f>""</x:f>
      </x:c>
      <x:c r="J1356" s="74" t="str">
        <x:f>""</x:f>
      </x:c>
      <x:c r="K1356" s="73" t="n">
        <x:f>MAX(K1355,F1356)</x:f>
        <x:v>1.2128</x:v>
      </x:c>
      <x:c r="L1356" s="74" t="n">
        <x:f>1-F1356/K1356</x:f>
        <x:v>0.046586411609498724</x:v>
      </x:c>
      <x:c r="M1356" s="73" t="n">
        <x:f>MAX(M1355,F1356)</x:f>
        <x:v>1.2128</x:v>
      </x:c>
      <x:c r="N1356" s="74" t="n">
        <x:f>1-F1356/M1356</x:f>
        <x:v>0.046586411609498724</x:v>
      </x:c>
    </x:row>
    <x:row r="1357" ht="27" customHeight="1">
      <x:c r="A1357" s="66" t="str">
        <x:v>SXL267</x:v>
      </x:c>
      <x:c r="B1357" s="66" t="str">
        <x:v>滨风风云瑞丰1号</x:v>
      </x:c>
      <x:c r="C1357" s="72" t="n">
        <x:v>45363</x:v>
      </x:c>
      <x:c r="D1357" s="73" t="n">
        <x:v>1.1489</x:v>
      </x:c>
      <x:c r="E1357" s="73" t="n">
        <x:v>1.1489</x:v>
      </x:c>
      <x:c r="F1357" s="73" t="n">
        <x:v>1.1489</x:v>
      </x:c>
      <x:c r="G1357" s="74" t="n">
        <x:v>-0.0064</x:v>
      </x:c>
      <x:c r="H1357" s="66" t="str">
        <x:v>滨风风云瑞丰1号净值20260911.xlsx</x:v>
      </x:c>
      <x:c r="I1357" s="73" t="str">
        <x:f>""</x:f>
      </x:c>
      <x:c r="J1357" s="74" t="str">
        <x:f>""</x:f>
      </x:c>
      <x:c r="K1357" s="73" t="n">
        <x:f>MAX(K1356,F1357)</x:f>
        <x:v>1.2128</x:v>
      </x:c>
      <x:c r="L1357" s="74" t="n">
        <x:f>1-F1357/K1357</x:f>
        <x:v>0.052687994722955156</x:v>
      </x:c>
      <x:c r="M1357" s="73" t="n">
        <x:f>MAX(M1356,F1357)</x:f>
        <x:v>1.2128</x:v>
      </x:c>
      <x:c r="N1357" s="74" t="n">
        <x:f>1-F1357/M1357</x:f>
        <x:v>0.052687994722955156</x:v>
      </x:c>
    </x:row>
    <x:row r="1358" ht="27" customHeight="1">
      <x:c r="A1358" s="66" t="str">
        <x:v>SXL267</x:v>
      </x:c>
      <x:c r="B1358" s="66" t="str">
        <x:v>滨风风云瑞丰1号</x:v>
      </x:c>
      <x:c r="C1358" s="72" t="n">
        <x:v>45364</x:v>
      </x:c>
      <x:c r="D1358" s="73" t="n">
        <x:v>1.1491</x:v>
      </x:c>
      <x:c r="E1358" s="73" t="n">
        <x:v>1.1491</x:v>
      </x:c>
      <x:c r="F1358" s="73" t="n">
        <x:v>1.1491</x:v>
      </x:c>
      <x:c r="G1358" s="74" t="n">
        <x:v>0.0002</x:v>
      </x:c>
      <x:c r="H1358" s="66" t="str">
        <x:v>滨风风云瑞丰1号净值20260911.xlsx</x:v>
      </x:c>
      <x:c r="I1358" s="73" t="str">
        <x:f>""</x:f>
      </x:c>
      <x:c r="J1358" s="74" t="str">
        <x:f>""</x:f>
      </x:c>
      <x:c r="K1358" s="73" t="n">
        <x:f>MAX(K1357,F1358)</x:f>
        <x:v>1.2128</x:v>
      </x:c>
      <x:c r="L1358" s="74" t="n">
        <x:f>1-F1358/K1358</x:f>
        <x:v>0.052523087071240204</x:v>
      </x:c>
      <x:c r="M1358" s="73" t="n">
        <x:f>MAX(M1357,F1358)</x:f>
        <x:v>1.2128</x:v>
      </x:c>
      <x:c r="N1358" s="74" t="n">
        <x:f>1-F1358/M1358</x:f>
        <x:v>0.052523087071240204</x:v>
      </x:c>
    </x:row>
    <x:row r="1359" ht="27" customHeight="1">
      <x:c r="A1359" s="66" t="str">
        <x:v>SXL267</x:v>
      </x:c>
      <x:c r="B1359" s="66" t="str">
        <x:v>滨风风云瑞丰1号</x:v>
      </x:c>
      <x:c r="C1359" s="72" t="n">
        <x:v>45365</x:v>
      </x:c>
      <x:c r="D1359" s="73" t="n">
        <x:v>1.1603</x:v>
      </x:c>
      <x:c r="E1359" s="73" t="n">
        <x:v>1.1603</x:v>
      </x:c>
      <x:c r="F1359" s="73" t="n">
        <x:v>1.1603</x:v>
      </x:c>
      <x:c r="G1359" s="74" t="n">
        <x:v>0.0097</x:v>
      </x:c>
      <x:c r="H1359" s="66" t="str">
        <x:v>滨风风云瑞丰1号净值20260911.xlsx</x:v>
      </x:c>
      <x:c r="I1359" s="73" t="str">
        <x:f>""</x:f>
      </x:c>
      <x:c r="J1359" s="74" t="str">
        <x:f>""</x:f>
      </x:c>
      <x:c r="K1359" s="73" t="n">
        <x:f>MAX(K1358,F1359)</x:f>
        <x:v>1.2128</x:v>
      </x:c>
      <x:c r="L1359" s="74" t="n">
        <x:f>1-F1359/K1359</x:f>
        <x:v>0.04328825857519791</x:v>
      </x:c>
      <x:c r="M1359" s="73" t="n">
        <x:f>MAX(M1358,F1359)</x:f>
        <x:v>1.2128</x:v>
      </x:c>
      <x:c r="N1359" s="74" t="n">
        <x:f>1-F1359/M1359</x:f>
        <x:v>0.04328825857519791</x:v>
      </x:c>
    </x:row>
    <x:row r="1360" ht="27" customHeight="1">
      <x:c r="A1360" s="66" t="str">
        <x:v>SXL267</x:v>
      </x:c>
      <x:c r="B1360" s="66" t="str">
        <x:v>滨风风云瑞丰1号</x:v>
      </x:c>
      <x:c r="C1360" s="72" t="n">
        <x:v>45366</x:v>
      </x:c>
      <x:c r="D1360" s="73" t="n">
        <x:v>1.1811</x:v>
      </x:c>
      <x:c r="E1360" s="73" t="n">
        <x:v>1.1811</x:v>
      </x:c>
      <x:c r="F1360" s="73" t="n">
        <x:v>1.1811</x:v>
      </x:c>
      <x:c r="G1360" s="74" t="n">
        <x:v>0.0179</x:v>
      </x:c>
      <x:c r="H1360" s="66" t="str">
        <x:v>滨风风云瑞丰1号净值20260911.xlsx</x:v>
      </x:c>
      <x:c r="I1360" s="73" t="str">
        <x:f>""</x:f>
      </x:c>
      <x:c r="J1360" s="74" t="str">
        <x:f>""</x:f>
      </x:c>
      <x:c r="K1360" s="73" t="n">
        <x:f>MAX(K1359,F1360)</x:f>
        <x:v>1.2128</x:v>
      </x:c>
      <x:c r="L1360" s="74" t="n">
        <x:f>1-F1360/K1360</x:f>
        <x:v>0.026137862796833833</x:v>
      </x:c>
      <x:c r="M1360" s="73" t="n">
        <x:f>MAX(M1359,F1360)</x:f>
        <x:v>1.2128</x:v>
      </x:c>
      <x:c r="N1360" s="74" t="n">
        <x:f>1-F1360/M1360</x:f>
        <x:v>0.026137862796833833</x:v>
      </x:c>
    </x:row>
    <x:row r="1361" ht="27" customHeight="1">
      <x:c r="A1361" s="66" t="str">
        <x:v>SXL267</x:v>
      </x:c>
      <x:c r="B1361" s="66" t="str">
        <x:v>滨风风云瑞丰1号</x:v>
      </x:c>
      <x:c r="C1361" s="72" t="n">
        <x:v>45369</x:v>
      </x:c>
      <x:c r="D1361" s="73" t="n">
        <x:v>1.1862</x:v>
      </x:c>
      <x:c r="E1361" s="73" t="n">
        <x:v>1.1862</x:v>
      </x:c>
      <x:c r="F1361" s="73" t="n">
        <x:v>1.1862</x:v>
      </x:c>
      <x:c r="G1361" s="74" t="n">
        <x:v>0.0043</x:v>
      </x:c>
      <x:c r="H1361" s="66" t="str">
        <x:v>滨风风云瑞丰1号净值20260911.xlsx</x:v>
      </x:c>
      <x:c r="I1361" s="73" t="str">
        <x:f>""</x:f>
      </x:c>
      <x:c r="J1361" s="74" t="str">
        <x:f>""</x:f>
      </x:c>
      <x:c r="K1361" s="73" t="n">
        <x:f>MAX(K1360,F1361)</x:f>
        <x:v>1.2128</x:v>
      </x:c>
      <x:c r="L1361" s="74" t="n">
        <x:f>1-F1361/K1361</x:f>
        <x:v>0.021932717678100455</x:v>
      </x:c>
      <x:c r="M1361" s="73" t="n">
        <x:f>MAX(M1360,F1361)</x:f>
        <x:v>1.2128</x:v>
      </x:c>
      <x:c r="N1361" s="74" t="n">
        <x:f>1-F1361/M1361</x:f>
        <x:v>0.021932717678100455</x:v>
      </x:c>
    </x:row>
    <x:row r="1362" ht="27" customHeight="1">
      <x:c r="A1362" s="66" t="str">
        <x:v>SXL267</x:v>
      </x:c>
      <x:c r="B1362" s="66" t="str">
        <x:v>滨风风云瑞丰1号</x:v>
      </x:c>
      <x:c r="C1362" s="72" t="n">
        <x:v>45370</x:v>
      </x:c>
      <x:c r="D1362" s="73" t="n">
        <x:v>1.1765</x:v>
      </x:c>
      <x:c r="E1362" s="73" t="n">
        <x:v>1.1765</x:v>
      </x:c>
      <x:c r="F1362" s="73" t="n">
        <x:v>1.1765</x:v>
      </x:c>
      <x:c r="G1362" s="74" t="n">
        <x:v>-0.008199999999999999</x:v>
      </x:c>
      <x:c r="H1362" s="66" t="str">
        <x:v>滨风风云瑞丰1号净值20260911.xlsx</x:v>
      </x:c>
      <x:c r="I1362" s="73" t="str">
        <x:f>""</x:f>
      </x:c>
      <x:c r="J1362" s="74" t="str">
        <x:f>""</x:f>
      </x:c>
      <x:c r="K1362" s="73" t="n">
        <x:f>MAX(K1361,F1362)</x:f>
        <x:v>1.2128</x:v>
      </x:c>
      <x:c r="L1362" s="74" t="n">
        <x:f>1-F1362/K1362</x:f>
        <x:v>0.02993073878627972</x:v>
      </x:c>
      <x:c r="M1362" s="73" t="n">
        <x:f>MAX(M1361,F1362)</x:f>
        <x:v>1.2128</x:v>
      </x:c>
      <x:c r="N1362" s="74" t="n">
        <x:f>1-F1362/M1362</x:f>
        <x:v>0.02993073878627972</x:v>
      </x:c>
    </x:row>
    <x:row r="1363" ht="27" customHeight="1">
      <x:c r="A1363" s="66" t="str">
        <x:v>SXL267</x:v>
      </x:c>
      <x:c r="B1363" s="66" t="str">
        <x:v>滨风风云瑞丰1号</x:v>
      </x:c>
      <x:c r="C1363" s="72" t="n">
        <x:v>45371</x:v>
      </x:c>
      <x:c r="D1363" s="73" t="n">
        <x:v>1.168</x:v>
      </x:c>
      <x:c r="E1363" s="73" t="n">
        <x:v>1.168</x:v>
      </x:c>
      <x:c r="F1363" s="73" t="n">
        <x:v>1.168</x:v>
      </x:c>
      <x:c r="G1363" s="74" t="n">
        <x:v>-0.0072</x:v>
      </x:c>
      <x:c r="H1363" s="66" t="str">
        <x:v>滨风风云瑞丰1号净值20260911.xlsx</x:v>
      </x:c>
      <x:c r="I1363" s="73" t="str">
        <x:f>""</x:f>
      </x:c>
      <x:c r="J1363" s="74" t="str">
        <x:f>""</x:f>
      </x:c>
      <x:c r="K1363" s="73" t="n">
        <x:f>MAX(K1362,F1363)</x:f>
        <x:v>1.2128</x:v>
      </x:c>
      <x:c r="L1363" s="74" t="n">
        <x:f>1-F1363/K1363</x:f>
        <x:v>0.03693931398416905</x:v>
      </x:c>
      <x:c r="M1363" s="73" t="n">
        <x:f>MAX(M1362,F1363)</x:f>
        <x:v>1.2128</x:v>
      </x:c>
      <x:c r="N1363" s="74" t="n">
        <x:f>1-F1363/M1363</x:f>
        <x:v>0.03693931398416905</x:v>
      </x:c>
    </x:row>
    <x:row r="1364" ht="27" customHeight="1">
      <x:c r="A1364" s="66" t="str">
        <x:v>SXL267</x:v>
      </x:c>
      <x:c r="B1364" s="66" t="str">
        <x:v>滨风风云瑞丰1号</x:v>
      </x:c>
      <x:c r="C1364" s="72" t="n">
        <x:v>45372</x:v>
      </x:c>
      <x:c r="D1364" s="73" t="n">
        <x:v>1.1718</x:v>
      </x:c>
      <x:c r="E1364" s="73" t="n">
        <x:v>1.1718</x:v>
      </x:c>
      <x:c r="F1364" s="73" t="n">
        <x:v>1.1718</x:v>
      </x:c>
      <x:c r="G1364" s="74" t="n">
        <x:v>0.0033</x:v>
      </x:c>
      <x:c r="H1364" s="66" t="str">
        <x:v>滨风风云瑞丰1号净值20260911.xlsx</x:v>
      </x:c>
      <x:c r="I1364" s="73" t="str">
        <x:f>""</x:f>
      </x:c>
      <x:c r="J1364" s="74" t="str">
        <x:f>""</x:f>
      </x:c>
      <x:c r="K1364" s="73" t="n">
        <x:f>MAX(K1363,F1364)</x:f>
        <x:v>1.2128</x:v>
      </x:c>
      <x:c r="L1364" s="74" t="n">
        <x:f>1-F1364/K1364</x:f>
        <x:v>0.033806068601583195</x:v>
      </x:c>
      <x:c r="M1364" s="73" t="n">
        <x:f>MAX(M1363,F1364)</x:f>
        <x:v>1.2128</x:v>
      </x:c>
      <x:c r="N1364" s="74" t="n">
        <x:f>1-F1364/M1364</x:f>
        <x:v>0.033806068601583195</x:v>
      </x:c>
    </x:row>
    <x:row r="1365" ht="27" customHeight="1">
      <x:c r="A1365" s="66" t="str">
        <x:v>SXL267</x:v>
      </x:c>
      <x:c r="B1365" s="66" t="str">
        <x:v>滨风风云瑞丰1号</x:v>
      </x:c>
      <x:c r="C1365" s="72" t="n">
        <x:v>45373</x:v>
      </x:c>
      <x:c r="D1365" s="73" t="n">
        <x:v>1.1662</x:v>
      </x:c>
      <x:c r="E1365" s="73" t="n">
        <x:v>1.1662</x:v>
      </x:c>
      <x:c r="F1365" s="73" t="n">
        <x:v>1.1662</x:v>
      </x:c>
      <x:c r="G1365" s="74" t="n">
        <x:v>-0.0048</x:v>
      </x:c>
      <x:c r="H1365" s="66" t="str">
        <x:v>滨风风云瑞丰1号净值20260911.xlsx</x:v>
      </x:c>
      <x:c r="I1365" s="73" t="str">
        <x:f>""</x:f>
      </x:c>
      <x:c r="J1365" s="74" t="str">
        <x:f>""</x:f>
      </x:c>
      <x:c r="K1365" s="73" t="n">
        <x:f>MAX(K1364,F1365)</x:f>
        <x:v>1.2128</x:v>
      </x:c>
      <x:c r="L1365" s="74" t="n">
        <x:f>1-F1365/K1365</x:f>
        <x:v>0.038423482849604396</x:v>
      </x:c>
      <x:c r="M1365" s="73" t="n">
        <x:f>MAX(M1364,F1365)</x:f>
        <x:v>1.2128</x:v>
      </x:c>
      <x:c r="N1365" s="74" t="n">
        <x:f>1-F1365/M1365</x:f>
        <x:v>0.038423482849604396</x:v>
      </x:c>
    </x:row>
    <x:row r="1366" ht="27" customHeight="1">
      <x:c r="A1366" s="66" t="str">
        <x:v>SXL267</x:v>
      </x:c>
      <x:c r="B1366" s="66" t="str">
        <x:v>滨风风云瑞丰1号</x:v>
      </x:c>
      <x:c r="C1366" s="72" t="n">
        <x:v>45376</x:v>
      </x:c>
      <x:c r="D1366" s="73" t="n">
        <x:v>1.1607</x:v>
      </x:c>
      <x:c r="E1366" s="73" t="n">
        <x:v>1.1607</x:v>
      </x:c>
      <x:c r="F1366" s="73" t="n">
        <x:v>1.1607</x:v>
      </x:c>
      <x:c r="G1366" s="74" t="n">
        <x:v>-0.004699999999999999</x:v>
      </x:c>
      <x:c r="H1366" s="66" t="str">
        <x:v>滨风风云瑞丰1号净值20260911.xlsx</x:v>
      </x:c>
      <x:c r="I1366" s="73" t="str">
        <x:f>""</x:f>
      </x:c>
      <x:c r="J1366" s="74" t="str">
        <x:f>""</x:f>
      </x:c>
      <x:c r="K1366" s="73" t="n">
        <x:f>MAX(K1365,F1366)</x:f>
        <x:v>1.2128</x:v>
      </x:c>
      <x:c r="L1366" s="74" t="n">
        <x:f>1-F1366/K1366</x:f>
        <x:v>0.04295844327176779</x:v>
      </x:c>
      <x:c r="M1366" s="73" t="n">
        <x:f>MAX(M1365,F1366)</x:f>
        <x:v>1.2128</x:v>
      </x:c>
      <x:c r="N1366" s="74" t="n">
        <x:f>1-F1366/M1366</x:f>
        <x:v>0.04295844327176779</x:v>
      </x:c>
    </x:row>
    <x:row r="1367" ht="27" customHeight="1">
      <x:c r="A1367" s="66" t="str">
        <x:v>SXL267</x:v>
      </x:c>
      <x:c r="B1367" s="66" t="str">
        <x:v>滨风风云瑞丰1号</x:v>
      </x:c>
      <x:c r="C1367" s="72" t="n">
        <x:v>45377</x:v>
      </x:c>
      <x:c r="D1367" s="73" t="n">
        <x:v>1.1592</x:v>
      </x:c>
      <x:c r="E1367" s="73" t="n">
        <x:v>1.1592</x:v>
      </x:c>
      <x:c r="F1367" s="73" t="n">
        <x:v>1.1592</x:v>
      </x:c>
      <x:c r="G1367" s="74" t="n">
        <x:v>-0.0013</x:v>
      </x:c>
      <x:c r="H1367" s="66" t="str">
        <x:v>滨风风云瑞丰1号净值20260911.xlsx</x:v>
      </x:c>
      <x:c r="I1367" s="73" t="str">
        <x:f>""</x:f>
      </x:c>
      <x:c r="J1367" s="74" t="str">
        <x:f>""</x:f>
      </x:c>
      <x:c r="K1367" s="73" t="n">
        <x:f>MAX(K1366,F1367)</x:f>
        <x:v>1.2128</x:v>
      </x:c>
      <x:c r="L1367" s="74" t="n">
        <x:f>1-F1367/K1367</x:f>
        <x:v>0.0441952506596307</x:v>
      </x:c>
      <x:c r="M1367" s="73" t="n">
        <x:f>MAX(M1366,F1367)</x:f>
        <x:v>1.2128</x:v>
      </x:c>
      <x:c r="N1367" s="74" t="n">
        <x:f>1-F1367/M1367</x:f>
        <x:v>0.0441952506596307</x:v>
      </x:c>
    </x:row>
    <x:row r="1368" ht="27" customHeight="1">
      <x:c r="A1368" s="66" t="str">
        <x:v>SXL267</x:v>
      </x:c>
      <x:c r="B1368" s="66" t="str">
        <x:v>滨风风云瑞丰1号</x:v>
      </x:c>
      <x:c r="C1368" s="72" t="n">
        <x:v>45378</x:v>
      </x:c>
      <x:c r="D1368" s="73" t="n">
        <x:v>1.1682</x:v>
      </x:c>
      <x:c r="E1368" s="73" t="n">
        <x:v>1.1682</x:v>
      </x:c>
      <x:c r="F1368" s="73" t="n">
        <x:v>1.1682</x:v>
      </x:c>
      <x:c r="G1368" s="74" t="n">
        <x:v>0.0078000000000000005</x:v>
      </x:c>
      <x:c r="H1368" s="66" t="str">
        <x:v>滨风风云瑞丰1号净值20260911.xlsx</x:v>
      </x:c>
      <x:c r="I1368" s="73" t="str">
        <x:f>""</x:f>
      </x:c>
      <x:c r="J1368" s="74" t="str">
        <x:f>""</x:f>
      </x:c>
      <x:c r="K1368" s="73" t="n">
        <x:f>MAX(K1367,F1368)</x:f>
        <x:v>1.2128</x:v>
      </x:c>
      <x:c r="L1368" s="74" t="n">
        <x:f>1-F1368/K1368</x:f>
        <x:v>0.03677440633245399</x:v>
      </x:c>
      <x:c r="M1368" s="73" t="n">
        <x:f>MAX(M1367,F1368)</x:f>
        <x:v>1.2128</x:v>
      </x:c>
      <x:c r="N1368" s="74" t="n">
        <x:f>1-F1368/M1368</x:f>
        <x:v>0.03677440633245399</x:v>
      </x:c>
    </x:row>
    <x:row r="1369" ht="27" customHeight="1">
      <x:c r="A1369" s="66" t="str">
        <x:v>SXL267</x:v>
      </x:c>
      <x:c r="B1369" s="66" t="str">
        <x:v>滨风风云瑞丰1号</x:v>
      </x:c>
      <x:c r="C1369" s="72" t="n">
        <x:v>45379</x:v>
      </x:c>
      <x:c r="D1369" s="73" t="n">
        <x:v>1.1689</x:v>
      </x:c>
      <x:c r="E1369" s="73" t="n">
        <x:v>1.1689</x:v>
      </x:c>
      <x:c r="F1369" s="73" t="n">
        <x:v>1.1689</x:v>
      </x:c>
      <x:c r="G1369" s="74" t="n">
        <x:v>0.0006</x:v>
      </x:c>
      <x:c r="H1369" s="66" t="str">
        <x:v>滨风风云瑞丰1号净值20260911.xlsx</x:v>
      </x:c>
      <x:c r="I1369" s="73" t="str">
        <x:f>""</x:f>
      </x:c>
      <x:c r="J1369" s="74" t="str">
        <x:f>""</x:f>
      </x:c>
      <x:c r="K1369" s="73" t="n">
        <x:f>MAX(K1368,F1369)</x:f>
        <x:v>1.2128</x:v>
      </x:c>
      <x:c r="L1369" s="74" t="n">
        <x:f>1-F1369/K1369</x:f>
        <x:v>0.036197229551451215</x:v>
      </x:c>
      <x:c r="M1369" s="73" t="n">
        <x:f>MAX(M1368,F1369)</x:f>
        <x:v>1.2128</x:v>
      </x:c>
      <x:c r="N1369" s="74" t="n">
        <x:f>1-F1369/M1369</x:f>
        <x:v>0.036197229551451215</x:v>
      </x:c>
    </x:row>
    <x:row r="1370" ht="27" customHeight="1">
      <x:c r="A1370" s="66" t="str">
        <x:v>SXL267</x:v>
      </x:c>
      <x:c r="B1370" s="66" t="str">
        <x:v>滨风风云瑞丰1号</x:v>
      </x:c>
      <x:c r="C1370" s="72" t="n">
        <x:v>45380</x:v>
      </x:c>
      <x:c r="D1370" s="73" t="n">
        <x:v>1.1745</x:v>
      </x:c>
      <x:c r="E1370" s="73" t="n">
        <x:v>1.1745</x:v>
      </x:c>
      <x:c r="F1370" s="73" t="n">
        <x:v>1.1745</x:v>
      </x:c>
      <x:c r="G1370" s="74" t="n">
        <x:v>0.0048</x:v>
      </x:c>
      <x:c r="H1370" s="66" t="str">
        <x:v>滨风风云瑞丰1号净值20260911.xlsx</x:v>
      </x:c>
      <x:c r="I1370" s="73" t="str">
        <x:f>""</x:f>
      </x:c>
      <x:c r="J1370" s="74" t="str">
        <x:f>""</x:f>
      </x:c>
      <x:c r="K1370" s="73" t="n">
        <x:f>MAX(K1369,F1370)</x:f>
        <x:v>1.2128</x:v>
      </x:c>
      <x:c r="L1370" s="74" t="n">
        <x:f>1-F1370/K1370</x:f>
        <x:v>0.031579815303430125</x:v>
      </x:c>
      <x:c r="M1370" s="73" t="n">
        <x:f>MAX(M1369,F1370)</x:f>
        <x:v>1.2128</x:v>
      </x:c>
      <x:c r="N1370" s="74" t="n">
        <x:f>1-F1370/M1370</x:f>
        <x:v>0.031579815303430125</x:v>
      </x:c>
    </x:row>
    <x:row r="1371" ht="27" customHeight="1">
      <x:c r="A1371" s="66" t="str">
        <x:v>SXL267</x:v>
      </x:c>
      <x:c r="B1371" s="66" t="str">
        <x:v>滨风风云瑞丰1号</x:v>
      </x:c>
      <x:c r="C1371" s="72" t="n">
        <x:v>45383</x:v>
      </x:c>
      <x:c r="D1371" s="73" t="n">
        <x:v>1.1895</x:v>
      </x:c>
      <x:c r="E1371" s="73" t="n">
        <x:v>1.1895</x:v>
      </x:c>
      <x:c r="F1371" s="73" t="n">
        <x:v>1.1895</x:v>
      </x:c>
      <x:c r="G1371" s="74" t="n">
        <x:v>0.0128</x:v>
      </x:c>
      <x:c r="H1371" s="66" t="str">
        <x:v>滨风风云瑞丰1号净值20260911.xlsx</x:v>
      </x:c>
      <x:c r="I1371" s="73" t="str">
        <x:f>""</x:f>
      </x:c>
      <x:c r="J1371" s="74" t="str">
        <x:f>""</x:f>
      </x:c>
      <x:c r="K1371" s="73" t="n">
        <x:f>MAX(K1370,F1371)</x:f>
        <x:v>1.2128</x:v>
      </x:c>
      <x:c r="L1371" s="74" t="n">
        <x:f>1-F1371/K1371</x:f>
        <x:v>0.019211741424802198</x:v>
      </x:c>
      <x:c r="M1371" s="73" t="n">
        <x:f>MAX(M1370,F1371)</x:f>
        <x:v>1.2128</x:v>
      </x:c>
      <x:c r="N1371" s="74" t="n">
        <x:f>1-F1371/M1371</x:f>
        <x:v>0.019211741424802198</x:v>
      </x:c>
    </x:row>
    <x:row r="1372" ht="27" customHeight="1">
      <x:c r="A1372" s="66" t="str">
        <x:v>SXL267</x:v>
      </x:c>
      <x:c r="B1372" s="66" t="str">
        <x:v>滨风风云瑞丰1号</x:v>
      </x:c>
      <x:c r="C1372" s="72" t="n">
        <x:v>45384</x:v>
      </x:c>
      <x:c r="D1372" s="73" t="n">
        <x:v>1.1892</x:v>
      </x:c>
      <x:c r="E1372" s="73" t="n">
        <x:v>1.1892</x:v>
      </x:c>
      <x:c r="F1372" s="73" t="n">
        <x:v>1.1892</x:v>
      </x:c>
      <x:c r="G1372" s="74" t="n">
        <x:v>-0.0003</x:v>
      </x:c>
      <x:c r="H1372" s="66" t="str">
        <x:v>滨风风云瑞丰1号净值20260911.xlsx</x:v>
      </x:c>
      <x:c r="I1372" s="73" t="str">
        <x:f>""</x:f>
      </x:c>
      <x:c r="J1372" s="74" t="str">
        <x:f>""</x:f>
      </x:c>
      <x:c r="K1372" s="73" t="n">
        <x:f>MAX(K1371,F1372)</x:f>
        <x:v>1.2128</x:v>
      </x:c>
      <x:c r="L1372" s="74" t="n">
        <x:f>1-F1372/K1372</x:f>
        <x:v>0.019459102902374736</x:v>
      </x:c>
      <x:c r="M1372" s="73" t="n">
        <x:f>MAX(M1371,F1372)</x:f>
        <x:v>1.2128</x:v>
      </x:c>
      <x:c r="N1372" s="74" t="n">
        <x:f>1-F1372/M1372</x:f>
        <x:v>0.019459102902374736</x:v>
      </x:c>
    </x:row>
    <x:row r="1373" ht="27" customHeight="1">
      <x:c r="A1373" s="66" t="str">
        <x:v>SXL267</x:v>
      </x:c>
      <x:c r="B1373" s="66" t="str">
        <x:v>滨风风云瑞丰1号</x:v>
      </x:c>
      <x:c r="C1373" s="72" t="n">
        <x:v>45385</x:v>
      </x:c>
      <x:c r="D1373" s="73" t="n">
        <x:v>1.1776</x:v>
      </x:c>
      <x:c r="E1373" s="73" t="n">
        <x:v>1.1776</x:v>
      </x:c>
      <x:c r="F1373" s="73" t="n">
        <x:v>1.1776</x:v>
      </x:c>
      <x:c r="G1373" s="74" t="n">
        <x:v>-0.0098</x:v>
      </x:c>
      <x:c r="H1373" s="66" t="str">
        <x:v>滨风风云瑞丰1号净值20260911.xlsx</x:v>
      </x:c>
      <x:c r="I1373" s="73" t="str">
        <x:f>""</x:f>
      </x:c>
      <x:c r="J1373" s="74" t="str">
        <x:f>""</x:f>
      </x:c>
      <x:c r="K1373" s="73" t="n">
        <x:f>MAX(K1372,F1373)</x:f>
        <x:v>1.2128</x:v>
      </x:c>
      <x:c r="L1373" s="74" t="n">
        <x:f>1-F1373/K1373</x:f>
        <x:v>0.029023746701847042</x:v>
      </x:c>
      <x:c r="M1373" s="73" t="n">
        <x:f>MAX(M1372,F1373)</x:f>
        <x:v>1.2128</x:v>
      </x:c>
      <x:c r="N1373" s="74" t="n">
        <x:f>1-F1373/M1373</x:f>
        <x:v>0.029023746701847042</x:v>
      </x:c>
    </x:row>
    <x:row r="1374" ht="27" customHeight="1">
      <x:c r="A1374" s="66" t="str">
        <x:v>SXL267</x:v>
      </x:c>
      <x:c r="B1374" s="66" t="str">
        <x:v>滨风风云瑞丰1号</x:v>
      </x:c>
      <x:c r="C1374" s="72" t="n">
        <x:v>45390</x:v>
      </x:c>
      <x:c r="D1374" s="73" t="n">
        <x:v>1.1836</x:v>
      </x:c>
      <x:c r="E1374" s="73" t="n">
        <x:v>1.1836</x:v>
      </x:c>
      <x:c r="F1374" s="73" t="n">
        <x:v>1.1836</x:v>
      </x:c>
      <x:c r="G1374" s="74" t="n">
        <x:v>0.0051</x:v>
      </x:c>
      <x:c r="H1374" s="66" t="str">
        <x:v>滨风风云瑞丰1号净值20260911.xlsx</x:v>
      </x:c>
      <x:c r="I1374" s="73" t="str">
        <x:f>""</x:f>
      </x:c>
      <x:c r="J1374" s="74" t="str">
        <x:f>""</x:f>
      </x:c>
      <x:c r="K1374" s="73" t="n">
        <x:f>MAX(K1373,F1374)</x:f>
        <x:v>1.2128</x:v>
      </x:c>
      <x:c r="L1374" s="74" t="n">
        <x:f>1-F1374/K1374</x:f>
        <x:v>0.024076517150395826</x:v>
      </x:c>
      <x:c r="M1374" s="73" t="n">
        <x:f>MAX(M1373,F1374)</x:f>
        <x:v>1.2128</x:v>
      </x:c>
      <x:c r="N1374" s="74" t="n">
        <x:f>1-F1374/M1374</x:f>
        <x:v>0.024076517150395826</x:v>
      </x:c>
    </x:row>
    <x:row r="1375" ht="27" customHeight="1">
      <x:c r="A1375" s="66" t="str">
        <x:v>SXL267</x:v>
      </x:c>
      <x:c r="B1375" s="66" t="str">
        <x:v>滨风风云瑞丰1号</x:v>
      </x:c>
      <x:c r="C1375" s="72" t="n">
        <x:v>45391</x:v>
      </x:c>
      <x:c r="D1375" s="73" t="n">
        <x:v>1.1852</x:v>
      </x:c>
      <x:c r="E1375" s="73" t="n">
        <x:v>1.1852</x:v>
      </x:c>
      <x:c r="F1375" s="73" t="n">
        <x:v>1.1852</x:v>
      </x:c>
      <x:c r="G1375" s="74" t="n">
        <x:v>0.0014000000000000002</x:v>
      </x:c>
      <x:c r="H1375" s="66" t="str">
        <x:v>滨风风云瑞丰1号净值20260911.xlsx</x:v>
      </x:c>
      <x:c r="I1375" s="73" t="str">
        <x:f>""</x:f>
      </x:c>
      <x:c r="J1375" s="74" t="str">
        <x:f>""</x:f>
      </x:c>
      <x:c r="K1375" s="73" t="n">
        <x:f>MAX(K1374,F1375)</x:f>
        <x:v>1.2128</x:v>
      </x:c>
      <x:c r="L1375" s="74" t="n">
        <x:f>1-F1375/K1375</x:f>
        <x:v>0.022757255936675547</x:v>
      </x:c>
      <x:c r="M1375" s="73" t="n">
        <x:f>MAX(M1374,F1375)</x:f>
        <x:v>1.2128</x:v>
      </x:c>
      <x:c r="N1375" s="74" t="n">
        <x:f>1-F1375/M1375</x:f>
        <x:v>0.022757255936675547</x:v>
      </x:c>
    </x:row>
    <x:row r="1376" ht="27" customHeight="1">
      <x:c r="A1376" s="66" t="str">
        <x:v>SXL267</x:v>
      </x:c>
      <x:c r="B1376" s="66" t="str">
        <x:v>滨风风云瑞丰1号</x:v>
      </x:c>
      <x:c r="C1376" s="72" t="n">
        <x:v>45392</x:v>
      </x:c>
      <x:c r="D1376" s="73" t="n">
        <x:v>1.1794</x:v>
      </x:c>
      <x:c r="E1376" s="73" t="n">
        <x:v>1.1794</x:v>
      </x:c>
      <x:c r="F1376" s="73" t="n">
        <x:v>1.1794</x:v>
      </x:c>
      <x:c r="G1376" s="74" t="n">
        <x:v>-0.0049</x:v>
      </x:c>
      <x:c r="H1376" s="66" t="str">
        <x:v>滨风风云瑞丰1号净值20260911.xlsx</x:v>
      </x:c>
      <x:c r="I1376" s="73" t="str">
        <x:f>""</x:f>
      </x:c>
      <x:c r="J1376" s="74" t="str">
        <x:f>""</x:f>
      </x:c>
      <x:c r="K1376" s="73" t="n">
        <x:f>MAX(K1375,F1376)</x:f>
        <x:v>1.2128</x:v>
      </x:c>
      <x:c r="L1376" s="74" t="n">
        <x:f>1-F1376/K1376</x:f>
        <x:v>0.0275395778364117</x:v>
      </x:c>
      <x:c r="M1376" s="73" t="n">
        <x:f>MAX(M1375,F1376)</x:f>
        <x:v>1.2128</x:v>
      </x:c>
      <x:c r="N1376" s="74" t="n">
        <x:f>1-F1376/M1376</x:f>
        <x:v>0.0275395778364117</x:v>
      </x:c>
    </x:row>
    <x:row r="1377" ht="27" customHeight="1">
      <x:c r="A1377" s="66" t="str">
        <x:v>SXL267</x:v>
      </x:c>
      <x:c r="B1377" s="66" t="str">
        <x:v>滨风风云瑞丰1号</x:v>
      </x:c>
      <x:c r="C1377" s="72" t="n">
        <x:v>45393</x:v>
      </x:c>
      <x:c r="D1377" s="73" t="n">
        <x:v>1.1429</x:v>
      </x:c>
      <x:c r="E1377" s="73" t="n">
        <x:v>1.1429</x:v>
      </x:c>
      <x:c r="F1377" s="73" t="n">
        <x:v>1.1429</x:v>
      </x:c>
      <x:c r="G1377" s="74" t="n">
        <x:v>-0.030899999999999997</x:v>
      </x:c>
      <x:c r="H1377" s="66" t="str">
        <x:v>滨风风云瑞丰1号净值20260911.xlsx</x:v>
      </x:c>
      <x:c r="I1377" s="73" t="str">
        <x:f>""</x:f>
      </x:c>
      <x:c r="J1377" s="74" t="str">
        <x:f>""</x:f>
      </x:c>
      <x:c r="K1377" s="73" t="n">
        <x:f>MAX(K1376,F1377)</x:f>
        <x:v>1.2128</x:v>
      </x:c>
      <x:c r="L1377" s="74" t="n">
        <x:f>1-F1377/K1377</x:f>
        <x:v>0.05763522427440637</x:v>
      </x:c>
      <x:c r="M1377" s="73" t="n">
        <x:f>MAX(M1376,F1377)</x:f>
        <x:v>1.2128</x:v>
      </x:c>
      <x:c r="N1377" s="74" t="n">
        <x:f>1-F1377/M1377</x:f>
        <x:v>0.05763522427440637</x:v>
      </x:c>
    </x:row>
    <x:row r="1378" ht="27" customHeight="1">
      <x:c r="A1378" s="66" t="str">
        <x:v>SXL267</x:v>
      </x:c>
      <x:c r="B1378" s="66" t="str">
        <x:v>滨风风云瑞丰1号</x:v>
      </x:c>
      <x:c r="C1378" s="72" t="n">
        <x:v>45394</x:v>
      </x:c>
      <x:c r="D1378" s="73" t="n">
        <x:v>1.1468</x:v>
      </x:c>
      <x:c r="E1378" s="73" t="n">
        <x:v>1.1468</x:v>
      </x:c>
      <x:c r="F1378" s="73" t="n">
        <x:v>1.1468</x:v>
      </x:c>
      <x:c r="G1378" s="74" t="n">
        <x:v>0.0034000000000000002</x:v>
      </x:c>
      <x:c r="H1378" s="66" t="str">
        <x:v>滨风风云瑞丰1号净值20260911.xlsx</x:v>
      </x:c>
      <x:c r="I1378" s="73" t="str">
        <x:f>""</x:f>
      </x:c>
      <x:c r="J1378" s="74" t="str">
        <x:f>""</x:f>
      </x:c>
      <x:c r="K1378" s="73" t="n">
        <x:f>MAX(K1377,F1378)</x:f>
        <x:v>1.2128</x:v>
      </x:c>
      <x:c r="L1378" s="74" t="n">
        <x:f>1-F1378/K1378</x:f>
        <x:v>0.05441952506596315</x:v>
      </x:c>
      <x:c r="M1378" s="73" t="n">
        <x:f>MAX(M1377,F1378)</x:f>
        <x:v>1.2128</x:v>
      </x:c>
      <x:c r="N1378" s="74" t="n">
        <x:f>1-F1378/M1378</x:f>
        <x:v>0.05441952506596315</x:v>
      </x:c>
    </x:row>
    <x:row r="1379" ht="27" customHeight="1">
      <x:c r="A1379" s="66" t="str">
        <x:v>SXL267</x:v>
      </x:c>
      <x:c r="B1379" s="66" t="str">
        <x:v>滨风风云瑞丰1号</x:v>
      </x:c>
      <x:c r="C1379" s="72" t="n">
        <x:v>45397</x:v>
      </x:c>
      <x:c r="D1379" s="73" t="n">
        <x:v>1.1621</x:v>
      </x:c>
      <x:c r="E1379" s="73" t="n">
        <x:v>1.1621</x:v>
      </x:c>
      <x:c r="F1379" s="73" t="n">
        <x:v>1.1621</x:v>
      </x:c>
      <x:c r="G1379" s="74" t="n">
        <x:v>0.013300000000000001</x:v>
      </x:c>
      <x:c r="H1379" s="66" t="str">
        <x:v>滨风风云瑞丰1号净值20260911.xlsx</x:v>
      </x:c>
      <x:c r="I1379" s="73" t="str">
        <x:f>""</x:f>
      </x:c>
      <x:c r="J1379" s="74" t="str">
        <x:f>""</x:f>
      </x:c>
      <x:c r="K1379" s="73" t="n">
        <x:f>MAX(K1378,F1379)</x:f>
        <x:v>1.2128</x:v>
      </x:c>
      <x:c r="L1379" s="74" t="n">
        <x:f>1-F1379/K1379</x:f>
        <x:v>0.04180408970976268</x:v>
      </x:c>
      <x:c r="M1379" s="73" t="n">
        <x:f>MAX(M1378,F1379)</x:f>
        <x:v>1.2128</x:v>
      </x:c>
      <x:c r="N1379" s="74" t="n">
        <x:f>1-F1379/M1379</x:f>
        <x:v>0.04180408970976268</x:v>
      </x:c>
    </x:row>
    <x:row r="1380" ht="27" customHeight="1">
      <x:c r="A1380" s="66" t="str">
        <x:v>SXL267</x:v>
      </x:c>
      <x:c r="B1380" s="66" t="str">
        <x:v>滨风风云瑞丰1号</x:v>
      </x:c>
      <x:c r="C1380" s="72" t="n">
        <x:v>45398</x:v>
      </x:c>
      <x:c r="D1380" s="73" t="n">
        <x:v>1.156</x:v>
      </x:c>
      <x:c r="E1380" s="73" t="n">
        <x:v>1.156</x:v>
      </x:c>
      <x:c r="F1380" s="73" t="n">
        <x:v>1.156</x:v>
      </x:c>
      <x:c r="G1380" s="74" t="n">
        <x:v>-0.0052</x:v>
      </x:c>
      <x:c r="H1380" s="66" t="str">
        <x:v>滨风风云瑞丰1号净值20260911.xlsx</x:v>
      </x:c>
      <x:c r="I1380" s="73" t="str">
        <x:f>""</x:f>
      </x:c>
      <x:c r="J1380" s="74" t="str">
        <x:f>""</x:f>
      </x:c>
      <x:c r="K1380" s="73" t="n">
        <x:f>MAX(K1379,F1380)</x:f>
        <x:v>1.2128</x:v>
      </x:c>
      <x:c r="L1380" s="74" t="n">
        <x:f>1-F1380/K1380</x:f>
        <x:v>0.04683377308707137</x:v>
      </x:c>
      <x:c r="M1380" s="73" t="n">
        <x:f>MAX(M1379,F1380)</x:f>
        <x:v>1.2128</x:v>
      </x:c>
      <x:c r="N1380" s="74" t="n">
        <x:f>1-F1380/M1380</x:f>
        <x:v>0.04683377308707137</x:v>
      </x:c>
    </x:row>
    <x:row r="1381" ht="27" customHeight="1">
      <x:c r="A1381" s="66" t="str">
        <x:v>SXL267</x:v>
      </x:c>
      <x:c r="B1381" s="66" t="str">
        <x:v>滨风风云瑞丰1号</x:v>
      </x:c>
      <x:c r="C1381" s="72" t="n">
        <x:v>45399</x:v>
      </x:c>
      <x:c r="D1381" s="73" t="n">
        <x:v>1.1597</x:v>
      </x:c>
      <x:c r="E1381" s="73" t="n">
        <x:v>1.1597</x:v>
      </x:c>
      <x:c r="F1381" s="73" t="n">
        <x:v>1.1597</x:v>
      </x:c>
      <x:c r="G1381" s="74" t="n">
        <x:v>0.0032</x:v>
      </x:c>
      <x:c r="H1381" s="66" t="str">
        <x:v>滨风风云瑞丰1号净值20260911.xlsx</x:v>
      </x:c>
      <x:c r="I1381" s="73" t="str">
        <x:f>""</x:f>
      </x:c>
      <x:c r="J1381" s="74" t="str">
        <x:f>""</x:f>
      </x:c>
      <x:c r="K1381" s="73" t="n">
        <x:f>MAX(K1380,F1381)</x:f>
        <x:v>1.2128</x:v>
      </x:c>
      <x:c r="L1381" s="74" t="n">
        <x:f>1-F1381/K1381</x:f>
        <x:v>0.0437829815303431</x:v>
      </x:c>
      <x:c r="M1381" s="73" t="n">
        <x:f>MAX(M1380,F1381)</x:f>
        <x:v>1.2128</x:v>
      </x:c>
      <x:c r="N1381" s="74" t="n">
        <x:f>1-F1381/M1381</x:f>
        <x:v>0.0437829815303431</x:v>
      </x:c>
    </x:row>
    <x:row r="1382" ht="27" customHeight="1">
      <x:c r="A1382" s="66" t="str">
        <x:v>SXL267</x:v>
      </x:c>
      <x:c r="B1382" s="66" t="str">
        <x:v>滨风风云瑞丰1号</x:v>
      </x:c>
      <x:c r="C1382" s="72" t="n">
        <x:v>45400</x:v>
      </x:c>
      <x:c r="D1382" s="73" t="n">
        <x:v>1.1688</x:v>
      </x:c>
      <x:c r="E1382" s="73" t="n">
        <x:v>1.1688</x:v>
      </x:c>
      <x:c r="F1382" s="73" t="n">
        <x:v>1.1688</x:v>
      </x:c>
      <x:c r="G1382" s="74" t="n">
        <x:v>0.0078000000000000005</x:v>
      </x:c>
      <x:c r="H1382" s="66" t="str">
        <x:v>滨风风云瑞丰1号净值20260911.xlsx</x:v>
      </x:c>
      <x:c r="I1382" s="73" t="str">
        <x:f>""</x:f>
      </x:c>
      <x:c r="J1382" s="74" t="str">
        <x:f>""</x:f>
      </x:c>
      <x:c r="K1382" s="73" t="n">
        <x:f>MAX(K1381,F1382)</x:f>
        <x:v>1.2128</x:v>
      </x:c>
      <x:c r="L1382" s="74" t="n">
        <x:f>1-F1382/K1382</x:f>
        <x:v>0.03627968337730869</x:v>
      </x:c>
      <x:c r="M1382" s="73" t="n">
        <x:f>MAX(M1381,F1382)</x:f>
        <x:v>1.2128</x:v>
      </x:c>
      <x:c r="N1382" s="74" t="n">
        <x:f>1-F1382/M1382</x:f>
        <x:v>0.03627968337730869</x:v>
      </x:c>
    </x:row>
    <x:row r="1383" ht="27" customHeight="1">
      <x:c r="A1383" s="66" t="str">
        <x:v>SXL267</x:v>
      </x:c>
      <x:c r="B1383" s="66" t="str">
        <x:v>滨风风云瑞丰1号</x:v>
      </x:c>
      <x:c r="C1383" s="72" t="n">
        <x:v>45401</x:v>
      </x:c>
      <x:c r="D1383" s="73" t="n">
        <x:v>1.1691</x:v>
      </x:c>
      <x:c r="E1383" s="73" t="n">
        <x:v>1.1691</x:v>
      </x:c>
      <x:c r="F1383" s="73" t="n">
        <x:v>1.1691</x:v>
      </x:c>
      <x:c r="G1383" s="74" t="n">
        <x:v>0.0003</x:v>
      </x:c>
      <x:c r="H1383" s="66" t="str">
        <x:v>滨风风云瑞丰1号净值20260911.xlsx</x:v>
      </x:c>
      <x:c r="I1383" s="73" t="str">
        <x:f>""</x:f>
      </x:c>
      <x:c r="J1383" s="74" t="str">
        <x:f>""</x:f>
      </x:c>
      <x:c r="K1383" s="73" t="n">
        <x:f>MAX(K1382,F1383)</x:f>
        <x:v>1.2128</x:v>
      </x:c>
      <x:c r="L1383" s="74" t="n">
        <x:f>1-F1383/K1383</x:f>
        <x:v>0.03603232189973615</x:v>
      </x:c>
      <x:c r="M1383" s="73" t="n">
        <x:f>MAX(M1382,F1383)</x:f>
        <x:v>1.2128</x:v>
      </x:c>
      <x:c r="N1383" s="74" t="n">
        <x:f>1-F1383/M1383</x:f>
        <x:v>0.03603232189973615</x:v>
      </x:c>
    </x:row>
    <x:row r="1384" ht="27" customHeight="1">
      <x:c r="A1384" s="66" t="str">
        <x:v>SXL267</x:v>
      </x:c>
      <x:c r="B1384" s="66" t="str">
        <x:v>滨风风云瑞丰1号</x:v>
      </x:c>
      <x:c r="C1384" s="72" t="n">
        <x:v>45404</x:v>
      </x:c>
      <x:c r="D1384" s="73" t="n">
        <x:v>1.1685</x:v>
      </x:c>
      <x:c r="E1384" s="73" t="n">
        <x:v>1.1685</x:v>
      </x:c>
      <x:c r="F1384" s="73" t="n">
        <x:v>1.1685</x:v>
      </x:c>
      <x:c r="G1384" s="74" t="n">
        <x:v>-0.0005</x:v>
      </x:c>
      <x:c r="H1384" s="66" t="str">
        <x:v>滨风风云瑞丰1号净值20260911.xlsx</x:v>
      </x:c>
      <x:c r="I1384" s="73" t="str">
        <x:f>""</x:f>
      </x:c>
      <x:c r="J1384" s="74" t="str">
        <x:f>""</x:f>
      </x:c>
      <x:c r="K1384" s="73" t="n">
        <x:f>MAX(K1383,F1384)</x:f>
        <x:v>1.2128</x:v>
      </x:c>
      <x:c r="L1384" s="74" t="n">
        <x:f>1-F1384/K1384</x:f>
        <x:v>0.03652704485488123</x:v>
      </x:c>
      <x:c r="M1384" s="73" t="n">
        <x:f>MAX(M1383,F1384)</x:f>
        <x:v>1.2128</x:v>
      </x:c>
      <x:c r="N1384" s="74" t="n">
        <x:f>1-F1384/M1384</x:f>
        <x:v>0.03652704485488123</x:v>
      </x:c>
    </x:row>
    <x:row r="1385" ht="27" customHeight="1">
      <x:c r="A1385" s="66" t="str">
        <x:v>SXL267</x:v>
      </x:c>
      <x:c r="B1385" s="66" t="str">
        <x:v>滨风风云瑞丰1号</x:v>
      </x:c>
      <x:c r="C1385" s="72" t="n">
        <x:v>45405</x:v>
      </x:c>
      <x:c r="D1385" s="73" t="n">
        <x:v>1.1655</x:v>
      </x:c>
      <x:c r="E1385" s="73" t="n">
        <x:v>1.1655</x:v>
      </x:c>
      <x:c r="F1385" s="73" t="n">
        <x:v>1.1655</x:v>
      </x:c>
      <x:c r="G1385" s="74" t="n">
        <x:v>-0.0026</x:v>
      </x:c>
      <x:c r="H1385" s="66" t="str">
        <x:v>滨风风云瑞丰1号净值20260911.xlsx</x:v>
      </x:c>
      <x:c r="I1385" s="73" t="str">
        <x:f>""</x:f>
      </x:c>
      <x:c r="J1385" s="74" t="str">
        <x:f>""</x:f>
      </x:c>
      <x:c r="K1385" s="73" t="n">
        <x:f>MAX(K1384,F1385)</x:f>
        <x:v>1.2128</x:v>
      </x:c>
      <x:c r="L1385" s="74" t="n">
        <x:f>1-F1385/K1385</x:f>
        <x:v>0.03900065963060695</x:v>
      </x:c>
      <x:c r="M1385" s="73" t="n">
        <x:f>MAX(M1384,F1385)</x:f>
        <x:v>1.2128</x:v>
      </x:c>
      <x:c r="N1385" s="74" t="n">
        <x:f>1-F1385/M1385</x:f>
        <x:v>0.03900065963060695</x:v>
      </x:c>
    </x:row>
    <x:row r="1386" ht="27" customHeight="1">
      <x:c r="A1386" s="66" t="str">
        <x:v>SXL267</x:v>
      </x:c>
      <x:c r="B1386" s="66" t="str">
        <x:v>滨风风云瑞丰1号</x:v>
      </x:c>
      <x:c r="C1386" s="72" t="n">
        <x:v>45406</x:v>
      </x:c>
      <x:c r="D1386" s="73" t="n">
        <x:v>1.1725</x:v>
      </x:c>
      <x:c r="E1386" s="73" t="n">
        <x:v>1.1725</x:v>
      </x:c>
      <x:c r="F1386" s="73" t="n">
        <x:v>1.1725</x:v>
      </x:c>
      <x:c r="G1386" s="74" t="n">
        <x:v>0.006</x:v>
      </x:c>
      <x:c r="H1386" s="66" t="str">
        <x:v>滨风风云瑞丰1号净值20260911.xlsx</x:v>
      </x:c>
      <x:c r="I1386" s="73" t="str">
        <x:f>""</x:f>
      </x:c>
      <x:c r="J1386" s="74" t="str">
        <x:f>""</x:f>
      </x:c>
      <x:c r="K1386" s="73" t="n">
        <x:f>MAX(K1385,F1386)</x:f>
        <x:v>1.2128</x:v>
      </x:c>
      <x:c r="L1386" s="74" t="n">
        <x:f>1-F1386/K1386</x:f>
        <x:v>0.03322889182058042</x:v>
      </x:c>
      <x:c r="M1386" s="73" t="n">
        <x:f>MAX(M1385,F1386)</x:f>
        <x:v>1.2128</x:v>
      </x:c>
      <x:c r="N1386" s="74" t="n">
        <x:f>1-F1386/M1386</x:f>
        <x:v>0.03322889182058042</x:v>
      </x:c>
    </x:row>
    <x:row r="1387" ht="27" customHeight="1">
      <x:c r="A1387" s="66" t="str">
        <x:v>SXL267</x:v>
      </x:c>
      <x:c r="B1387" s="66" t="str">
        <x:v>滨风风云瑞丰1号</x:v>
      </x:c>
      <x:c r="C1387" s="72" t="n">
        <x:v>45407</x:v>
      </x:c>
      <x:c r="D1387" s="73" t="n">
        <x:v>1.1798</x:v>
      </x:c>
      <x:c r="E1387" s="73" t="n">
        <x:v>1.1798</x:v>
      </x:c>
      <x:c r="F1387" s="73" t="n">
        <x:v>1.1798</x:v>
      </x:c>
      <x:c r="G1387" s="74" t="n">
        <x:v>0.0062</x:v>
      </x:c>
      <x:c r="H1387" s="66" t="str">
        <x:v>滨风风云瑞丰1号净值20260911.xlsx</x:v>
      </x:c>
      <x:c r="I1387" s="73" t="str">
        <x:f>""</x:f>
      </x:c>
      <x:c r="J1387" s="74" t="str">
        <x:f>""</x:f>
      </x:c>
      <x:c r="K1387" s="73" t="n">
        <x:f>MAX(K1386,F1387)</x:f>
        <x:v>1.2128</x:v>
      </x:c>
      <x:c r="L1387" s="74" t="n">
        <x:f>1-F1387/K1387</x:f>
        <x:v>0.027209762532981685</x:v>
      </x:c>
      <x:c r="M1387" s="73" t="n">
        <x:f>MAX(M1386,F1387)</x:f>
        <x:v>1.2128</x:v>
      </x:c>
      <x:c r="N1387" s="74" t="n">
        <x:f>1-F1387/M1387</x:f>
        <x:v>0.027209762532981685</x:v>
      </x:c>
    </x:row>
    <x:row r="1388" ht="27" customHeight="1">
      <x:c r="A1388" s="66" t="str">
        <x:v>SXL267</x:v>
      </x:c>
      <x:c r="B1388" s="66" t="str">
        <x:v>滨风风云瑞丰1号</x:v>
      </x:c>
      <x:c r="C1388" s="72" t="n">
        <x:v>45408</x:v>
      </x:c>
      <x:c r="D1388" s="73" t="n">
        <x:v>1.1739</x:v>
      </x:c>
      <x:c r="E1388" s="73" t="n">
        <x:v>1.1739</x:v>
      </x:c>
      <x:c r="F1388" s="73" t="n">
        <x:v>1.1739</x:v>
      </x:c>
      <x:c r="G1388" s="74" t="n">
        <x:v>-0.005</x:v>
      </x:c>
      <x:c r="H1388" s="66" t="str">
        <x:v>滨风风云瑞丰1号净值20260911.xlsx</x:v>
      </x:c>
      <x:c r="I1388" s="73" t="str">
        <x:f>""</x:f>
      </x:c>
      <x:c r="J1388" s="74" t="str">
        <x:f>""</x:f>
      </x:c>
      <x:c r="K1388" s="73" t="n">
        <x:f>MAX(K1387,F1388)</x:f>
        <x:v>1.2128</x:v>
      </x:c>
      <x:c r="L1388" s="74" t="n">
        <x:f>1-F1388/K1388</x:f>
        <x:v>0.032074538258575314</x:v>
      </x:c>
      <x:c r="M1388" s="73" t="n">
        <x:f>MAX(M1387,F1388)</x:f>
        <x:v>1.2128</x:v>
      </x:c>
      <x:c r="N1388" s="74" t="n">
        <x:f>1-F1388/M1388</x:f>
        <x:v>0.032074538258575314</x:v>
      </x:c>
    </x:row>
    <x:row r="1389" ht="27" customHeight="1">
      <x:c r="A1389" s="66" t="str">
        <x:v>SXL267</x:v>
      </x:c>
      <x:c r="B1389" s="66" t="str">
        <x:v>滨风风云瑞丰1号</x:v>
      </x:c>
      <x:c r="C1389" s="72" t="n">
        <x:v>45411</x:v>
      </x:c>
      <x:c r="D1389" s="73" t="n">
        <x:v>1.1766</x:v>
      </x:c>
      <x:c r="E1389" s="73" t="n">
        <x:v>1.1766</x:v>
      </x:c>
      <x:c r="F1389" s="73" t="n">
        <x:v>1.1766</x:v>
      </x:c>
      <x:c r="G1389" s="74" t="n">
        <x:v>0.0023</x:v>
      </x:c>
      <x:c r="H1389" s="66" t="str">
        <x:v>滨风风云瑞丰1号净值20260911.xlsx</x:v>
      </x:c>
      <x:c r="I1389" s="73" t="str">
        <x:f>""</x:f>
      </x:c>
      <x:c r="J1389" s="74" t="str">
        <x:f>""</x:f>
      </x:c>
      <x:c r="K1389" s="73" t="n">
        <x:f>MAX(K1388,F1389)</x:f>
        <x:v>1.2128</x:v>
      </x:c>
      <x:c r="L1389" s="74" t="n">
        <x:f>1-F1389/K1389</x:f>
        <x:v>0.029848284960422133</x:v>
      </x:c>
      <x:c r="M1389" s="73" t="n">
        <x:f>MAX(M1388,F1389)</x:f>
        <x:v>1.2128</x:v>
      </x:c>
      <x:c r="N1389" s="74" t="n">
        <x:f>1-F1389/M1389</x:f>
        <x:v>0.029848284960422133</x:v>
      </x:c>
    </x:row>
    <x:row r="1390" ht="27" customHeight="1">
      <x:c r="A1390" s="66" t="str">
        <x:v>SXL267</x:v>
      </x:c>
      <x:c r="B1390" s="66" t="str">
        <x:v>滨风风云瑞丰1号</x:v>
      </x:c>
      <x:c r="C1390" s="72" t="n">
        <x:v>45412</x:v>
      </x:c>
      <x:c r="D1390" s="73" t="n">
        <x:v>1.174</x:v>
      </x:c>
      <x:c r="E1390" s="73" t="n">
        <x:v>1.174</x:v>
      </x:c>
      <x:c r="F1390" s="73" t="n">
        <x:v>1.174</x:v>
      </x:c>
      <x:c r="G1390" s="74" t="n">
        <x:v>-0.0022</x:v>
      </x:c>
      <x:c r="H1390" s="66" t="str">
        <x:v>滨风风云瑞丰1号净值20260911.xlsx</x:v>
      </x:c>
      <x:c r="I1390" s="73" t="str">
        <x:f>""</x:f>
      </x:c>
      <x:c r="J1390" s="74" t="str">
        <x:f>""</x:f>
      </x:c>
      <x:c r="K1390" s="73" t="n">
        <x:f>MAX(K1389,F1390)</x:f>
        <x:v>1.2128</x:v>
      </x:c>
      <x:c r="L1390" s="74" t="n">
        <x:f>1-F1390/K1390</x:f>
        <x:v>0.03199208443271784</x:v>
      </x:c>
      <x:c r="M1390" s="73" t="n">
        <x:f>MAX(M1389,F1390)</x:f>
        <x:v>1.2128</x:v>
      </x:c>
      <x:c r="N1390" s="74" t="n">
        <x:f>1-F1390/M1390</x:f>
        <x:v>0.03199208443271784</x:v>
      </x:c>
    </x:row>
    <x:row r="1391" ht="27" customHeight="1">
      <x:c r="A1391" s="66" t="str">
        <x:v>SXL267</x:v>
      </x:c>
      <x:c r="B1391" s="66" t="str">
        <x:v>滨风风云瑞丰1号</x:v>
      </x:c>
      <x:c r="C1391" s="72" t="n">
        <x:v>45418</x:v>
      </x:c>
      <x:c r="D1391" s="73" t="n">
        <x:v>1.2037</x:v>
      </x:c>
      <x:c r="E1391" s="73" t="n">
        <x:v>1.2037</x:v>
      </x:c>
      <x:c r="F1391" s="73" t="n">
        <x:v>1.2037</x:v>
      </x:c>
      <x:c r="G1391" s="74" t="n">
        <x:v>0.0253</x:v>
      </x:c>
      <x:c r="H1391" s="66" t="str">
        <x:v>滨风风云瑞丰1号净值20260911.xlsx</x:v>
      </x:c>
      <x:c r="I1391" s="73" t="str">
        <x:f>""</x:f>
      </x:c>
      <x:c r="J1391" s="74" t="str">
        <x:f>""</x:f>
      </x:c>
      <x:c r="K1391" s="73" t="n">
        <x:f>MAX(K1390,F1391)</x:f>
        <x:v>1.2128</x:v>
      </x:c>
      <x:c r="L1391" s="74" t="n">
        <x:f>1-F1391/K1391</x:f>
        <x:v>0.00750329815303441</x:v>
      </x:c>
      <x:c r="M1391" s="73" t="n">
        <x:f>MAX(M1390,F1391)</x:f>
        <x:v>1.2128</x:v>
      </x:c>
      <x:c r="N1391" s="74" t="n">
        <x:f>1-F1391/M1391</x:f>
        <x:v>0.00750329815303441</x:v>
      </x:c>
    </x:row>
    <x:row r="1392" ht="27" customHeight="1">
      <x:c r="A1392" s="66" t="str">
        <x:v>SXL267</x:v>
      </x:c>
      <x:c r="B1392" s="66" t="str">
        <x:v>滨风风云瑞丰1号</x:v>
      </x:c>
      <x:c r="C1392" s="72" t="n">
        <x:v>45419</x:v>
      </x:c>
      <x:c r="D1392" s="73" t="n">
        <x:v>1.2313</x:v>
      </x:c>
      <x:c r="E1392" s="73" t="n">
        <x:v>1.2313</x:v>
      </x:c>
      <x:c r="F1392" s="73" t="n">
        <x:v>1.2313</x:v>
      </x:c>
      <x:c r="G1392" s="74" t="n">
        <x:v>0.0229</x:v>
      </x:c>
      <x:c r="H1392" s="66" t="str">
        <x:v>滨风风云瑞丰1号净值20260911.xlsx</x:v>
      </x:c>
      <x:c r="I1392" s="73" t="str">
        <x:f>""</x:f>
      </x:c>
      <x:c r="J1392" s="74" t="str">
        <x:f>""</x:f>
      </x:c>
      <x:c r="K1392" s="73" t="n">
        <x:f>MAX(K1391,F1392)</x:f>
        <x:v>1.2313</x:v>
      </x:c>
      <x:c r="L1392" s="74" t="n">
        <x:f>1-F1392/K1392</x:f>
        <x:v>0</x:v>
      </x:c>
      <x:c r="M1392" s="73" t="n">
        <x:f>MAX(M1391,F1392)</x:f>
        <x:v>1.2313</x:v>
      </x:c>
      <x:c r="N1392" s="74" t="n">
        <x:f>1-F1392/M1392</x:f>
        <x:v>0</x:v>
      </x:c>
    </x:row>
    <x:row r="1393" ht="27" customHeight="1">
      <x:c r="A1393" s="66" t="str">
        <x:v>SXL267</x:v>
      </x:c>
      <x:c r="B1393" s="66" t="str">
        <x:v>滨风风云瑞丰1号</x:v>
      </x:c>
      <x:c r="C1393" s="72" t="n">
        <x:v>45420</x:v>
      </x:c>
      <x:c r="D1393" s="73" t="n">
        <x:v>1.2247</x:v>
      </x:c>
      <x:c r="E1393" s="73" t="n">
        <x:v>1.2247</x:v>
      </x:c>
      <x:c r="F1393" s="73" t="n">
        <x:v>1.2247</x:v>
      </x:c>
      <x:c r="G1393" s="74" t="n">
        <x:v>-0.0054</x:v>
      </x:c>
      <x:c r="H1393" s="66" t="str">
        <x:v>滨风风云瑞丰1号净值20260911.xlsx</x:v>
      </x:c>
      <x:c r="I1393" s="73" t="str">
        <x:f>""</x:f>
      </x:c>
      <x:c r="J1393" s="74" t="str">
        <x:f>""</x:f>
      </x:c>
      <x:c r="K1393" s="73" t="n">
        <x:f>MAX(K1392,F1393)</x:f>
        <x:v>1.2313</x:v>
      </x:c>
      <x:c r="L1393" s="74" t="n">
        <x:f>1-F1393/K1393</x:f>
        <x:v>0.005360188418744527</x:v>
      </x:c>
      <x:c r="M1393" s="73" t="n">
        <x:f>MAX(M1392,F1393)</x:f>
        <x:v>1.2313</x:v>
      </x:c>
      <x:c r="N1393" s="74" t="n">
        <x:f>1-F1393/M1393</x:f>
        <x:v>0.005360188418744527</x:v>
      </x:c>
    </x:row>
    <x:row r="1394" ht="27" customHeight="1">
      <x:c r="A1394" s="66" t="str">
        <x:v>SXL267</x:v>
      </x:c>
      <x:c r="B1394" s="66" t="str">
        <x:v>滨风风云瑞丰1号</x:v>
      </x:c>
      <x:c r="C1394" s="72" t="n">
        <x:v>45421</x:v>
      </x:c>
      <x:c r="D1394" s="73" t="n">
        <x:v>1.2112</x:v>
      </x:c>
      <x:c r="E1394" s="73" t="n">
        <x:v>1.2112</x:v>
      </x:c>
      <x:c r="F1394" s="73" t="n">
        <x:v>1.2112</x:v>
      </x:c>
      <x:c r="G1394" s="74" t="n">
        <x:v>-0.011000000000000001</x:v>
      </x:c>
      <x:c r="H1394" s="66" t="str">
        <x:v>滨风风云瑞丰1号净值20260911.xlsx</x:v>
      </x:c>
      <x:c r="I1394" s="73" t="str">
        <x:f>""</x:f>
      </x:c>
      <x:c r="J1394" s="74" t="str">
        <x:f>""</x:f>
      </x:c>
      <x:c r="K1394" s="73" t="n">
        <x:f>MAX(K1393,F1394)</x:f>
        <x:v>1.2313</x:v>
      </x:c>
      <x:c r="L1394" s="74" t="n">
        <x:f>1-F1394/K1394</x:f>
        <x:v>0.016324210184358035</x:v>
      </x:c>
      <x:c r="M1394" s="73" t="n">
        <x:f>MAX(M1393,F1394)</x:f>
        <x:v>1.2313</x:v>
      </x:c>
      <x:c r="N1394" s="74" t="n">
        <x:f>1-F1394/M1394</x:f>
        <x:v>0.016324210184358035</x:v>
      </x:c>
    </x:row>
    <x:row r="1395" ht="27" customHeight="1">
      <x:c r="A1395" s="66" t="str">
        <x:v>SXL267</x:v>
      </x:c>
      <x:c r="B1395" s="66" t="str">
        <x:v>滨风风云瑞丰1号</x:v>
      </x:c>
      <x:c r="C1395" s="72" t="n">
        <x:v>45422</x:v>
      </x:c>
      <x:c r="D1395" s="73" t="n">
        <x:v>1.2066</x:v>
      </x:c>
      <x:c r="E1395" s="73" t="n">
        <x:v>1.2066</x:v>
      </x:c>
      <x:c r="F1395" s="73" t="n">
        <x:v>1.2066</x:v>
      </x:c>
      <x:c r="G1395" s="74" t="n">
        <x:v>-0.0038</x:v>
      </x:c>
      <x:c r="H1395" s="66" t="str">
        <x:v>滨风风云瑞丰1号净值20260911.xlsx</x:v>
      </x:c>
      <x:c r="I1395" s="73" t="str">
        <x:f>""</x:f>
      </x:c>
      <x:c r="J1395" s="74" t="str">
        <x:f>""</x:f>
      </x:c>
      <x:c r="K1395" s="73" t="n">
        <x:f>MAX(K1394,F1395)</x:f>
        <x:v>1.2313</x:v>
      </x:c>
      <x:c r="L1395" s="74" t="n">
        <x:f>1-F1395/K1395</x:f>
        <x:v>0.02006009908227091</x:v>
      </x:c>
      <x:c r="M1395" s="73" t="n">
        <x:f>MAX(M1394,F1395)</x:f>
        <x:v>1.2313</x:v>
      </x:c>
      <x:c r="N1395" s="74" t="n">
        <x:f>1-F1395/M1395</x:f>
        <x:v>0.02006009908227091</x:v>
      </x:c>
    </x:row>
    <x:row r="1396" ht="27" customHeight="1">
      <x:c r="A1396" s="66" t="str">
        <x:v>SXL267</x:v>
      </x:c>
      <x:c r="B1396" s="66" t="str">
        <x:v>滨风风云瑞丰1号</x:v>
      </x:c>
      <x:c r="C1396" s="72" t="n">
        <x:v>45425</x:v>
      </x:c>
      <x:c r="D1396" s="73" t="n">
        <x:v>1.2099</x:v>
      </x:c>
      <x:c r="E1396" s="73" t="n">
        <x:v>1.2099</x:v>
      </x:c>
      <x:c r="F1396" s="73" t="n">
        <x:v>1.2099</x:v>
      </x:c>
      <x:c r="G1396" s="74" t="n">
        <x:v>0.0027</x:v>
      </x:c>
      <x:c r="H1396" s="66" t="str">
        <x:v>滨风风云瑞丰1号净值20260911.xlsx</x:v>
      </x:c>
      <x:c r="I1396" s="73" t="str">
        <x:f>""</x:f>
      </x:c>
      <x:c r="J1396" s="74" t="str">
        <x:f>""</x:f>
      </x:c>
      <x:c r="K1396" s="73" t="n">
        <x:f>MAX(K1395,F1396)</x:f>
        <x:v>1.2313</x:v>
      </x:c>
      <x:c r="L1396" s="74" t="n">
        <x:f>1-F1396/K1396</x:f>
        <x:v>0.01738000487289859</x:v>
      </x:c>
      <x:c r="M1396" s="73" t="n">
        <x:f>MAX(M1395,F1396)</x:f>
        <x:v>1.2313</x:v>
      </x:c>
      <x:c r="N1396" s="74" t="n">
        <x:f>1-F1396/M1396</x:f>
        <x:v>0.01738000487289859</x:v>
      </x:c>
    </x:row>
    <x:row r="1397" ht="27" customHeight="1">
      <x:c r="A1397" s="66" t="str">
        <x:v>SXL267</x:v>
      </x:c>
      <x:c r="B1397" s="66" t="str">
        <x:v>滨风风云瑞丰1号</x:v>
      </x:c>
      <x:c r="C1397" s="72" t="n">
        <x:v>45426</x:v>
      </x:c>
      <x:c r="D1397" s="73" t="n">
        <x:v>1.2042</x:v>
      </x:c>
      <x:c r="E1397" s="73" t="n">
        <x:v>1.2042</x:v>
      </x:c>
      <x:c r="F1397" s="73" t="n">
        <x:v>1.2042</x:v>
      </x:c>
      <x:c r="G1397" s="74" t="n">
        <x:v>-0.004699999999999999</x:v>
      </x:c>
      <x:c r="H1397" s="66" t="str">
        <x:v>滨风风云瑞丰1号净值20260911.xlsx</x:v>
      </x:c>
      <x:c r="I1397" s="73" t="str">
        <x:f>""</x:f>
      </x:c>
      <x:c r="J1397" s="74" t="str">
        <x:f>""</x:f>
      </x:c>
      <x:c r="K1397" s="73" t="n">
        <x:f>MAX(K1396,F1397)</x:f>
        <x:v>1.2313</x:v>
      </x:c>
      <x:c r="L1397" s="74" t="n">
        <x:f>1-F1397/K1397</x:f>
        <x:v>0.02200925850726887</x:v>
      </x:c>
      <x:c r="M1397" s="73" t="n">
        <x:f>MAX(M1396,F1397)</x:f>
        <x:v>1.2313</x:v>
      </x:c>
      <x:c r="N1397" s="74" t="n">
        <x:f>1-F1397/M1397</x:f>
        <x:v>0.02200925850726887</x:v>
      </x:c>
    </x:row>
    <x:row r="1398" ht="27" customHeight="1">
      <x:c r="A1398" s="66" t="str">
        <x:v>SXL267</x:v>
      </x:c>
      <x:c r="B1398" s="66" t="str">
        <x:v>滨风风云瑞丰1号</x:v>
      </x:c>
      <x:c r="C1398" s="72" t="n">
        <x:v>45427</x:v>
      </x:c>
      <x:c r="D1398" s="73" t="n">
        <x:v>1.1918</x:v>
      </x:c>
      <x:c r="E1398" s="73" t="n">
        <x:v>1.1918</x:v>
      </x:c>
      <x:c r="F1398" s="73" t="n">
        <x:v>1.1918</x:v>
      </x:c>
      <x:c r="G1398" s="74" t="n">
        <x:v>-0.0103</x:v>
      </x:c>
      <x:c r="H1398" s="66" t="str">
        <x:v>滨风风云瑞丰1号净值20260911.xlsx</x:v>
      </x:c>
      <x:c r="I1398" s="73" t="str">
        <x:f>""</x:f>
      </x:c>
      <x:c r="J1398" s="74" t="str">
        <x:f>""</x:f>
      </x:c>
      <x:c r="K1398" s="73" t="n">
        <x:f>MAX(K1397,F1398)</x:f>
        <x:v>1.2313</x:v>
      </x:c>
      <x:c r="L1398" s="74" t="n">
        <x:f>1-F1398/K1398</x:f>
        <x:v>0.032079915536424974</x:v>
      </x:c>
      <x:c r="M1398" s="73" t="n">
        <x:f>MAX(M1397,F1398)</x:f>
        <x:v>1.2313</x:v>
      </x:c>
      <x:c r="N1398" s="74" t="n">
        <x:f>1-F1398/M1398</x:f>
        <x:v>0.032079915536424974</x:v>
      </x:c>
    </x:row>
    <x:row r="1399" ht="27" customHeight="1">
      <x:c r="A1399" s="66" t="str">
        <x:v>SXL267</x:v>
      </x:c>
      <x:c r="B1399" s="66" t="str">
        <x:v>滨风风云瑞丰1号</x:v>
      </x:c>
      <x:c r="C1399" s="72" t="n">
        <x:v>45428</x:v>
      </x:c>
      <x:c r="D1399" s="73" t="n">
        <x:v>1.1934</x:v>
      </x:c>
      <x:c r="E1399" s="73" t="n">
        <x:v>1.1934</x:v>
      </x:c>
      <x:c r="F1399" s="73" t="n">
        <x:v>1.1934</x:v>
      </x:c>
      <x:c r="G1399" s="74" t="n">
        <x:v>0.0013</x:v>
      </x:c>
      <x:c r="H1399" s="66" t="str">
        <x:v>滨风风云瑞丰1号净值20260911.xlsx</x:v>
      </x:c>
      <x:c r="I1399" s="73" t="str">
        <x:f>""</x:f>
      </x:c>
      <x:c r="J1399" s="74" t="str">
        <x:f>""</x:f>
      </x:c>
      <x:c r="K1399" s="73" t="n">
        <x:f>MAX(K1398,F1399)</x:f>
        <x:v>1.2313</x:v>
      </x:c>
      <x:c r="L1399" s="74" t="n">
        <x:f>1-F1399/K1399</x:f>
        <x:v>0.03078047591975963</x:v>
      </x:c>
      <x:c r="M1399" s="73" t="n">
        <x:f>MAX(M1398,F1399)</x:f>
        <x:v>1.2313</x:v>
      </x:c>
      <x:c r="N1399" s="74" t="n">
        <x:f>1-F1399/M1399</x:f>
        <x:v>0.03078047591975963</x:v>
      </x:c>
    </x:row>
    <x:row r="1400" ht="27" customHeight="1">
      <x:c r="A1400" s="66" t="str">
        <x:v>SXL267</x:v>
      </x:c>
      <x:c r="B1400" s="66" t="str">
        <x:v>滨风风云瑞丰1号</x:v>
      </x:c>
      <x:c r="C1400" s="72" t="n">
        <x:v>45429</x:v>
      </x:c>
      <x:c r="D1400" s="73" t="n">
        <x:v>1.2056</x:v>
      </x:c>
      <x:c r="E1400" s="73" t="n">
        <x:v>1.2056</x:v>
      </x:c>
      <x:c r="F1400" s="73" t="n">
        <x:v>1.2056</x:v>
      </x:c>
      <x:c r="G1400" s="74" t="n">
        <x:v>0.0102</x:v>
      </x:c>
      <x:c r="H1400" s="66" t="str">
        <x:v>滨风风云瑞丰1号净值20260911.xlsx</x:v>
      </x:c>
      <x:c r="I1400" s="73" t="str">
        <x:f>""</x:f>
      </x:c>
      <x:c r="J1400" s="74" t="str">
        <x:f>""</x:f>
      </x:c>
      <x:c r="K1400" s="73" t="n">
        <x:f>MAX(K1399,F1400)</x:f>
        <x:v>1.2313</x:v>
      </x:c>
      <x:c r="L1400" s="74" t="n">
        <x:f>1-F1400/K1400</x:f>
        <x:v>0.02087224884268668</x:v>
      </x:c>
      <x:c r="M1400" s="73" t="n">
        <x:f>MAX(M1399,F1400)</x:f>
        <x:v>1.2313</x:v>
      </x:c>
      <x:c r="N1400" s="74" t="n">
        <x:f>1-F1400/M1400</x:f>
        <x:v>0.02087224884268668</x:v>
      </x:c>
    </x:row>
    <x:row r="1401" ht="27" customHeight="1">
      <x:c r="A1401" s="66" t="str">
        <x:v>SXL267</x:v>
      </x:c>
      <x:c r="B1401" s="66" t="str">
        <x:v>滨风风云瑞丰1号</x:v>
      </x:c>
      <x:c r="C1401" s="72" t="n">
        <x:v>45432</x:v>
      </x:c>
      <x:c r="D1401" s="73" t="n">
        <x:v>1.229</x:v>
      </x:c>
      <x:c r="E1401" s="73" t="n">
        <x:v>1.229</x:v>
      </x:c>
      <x:c r="F1401" s="73" t="n">
        <x:v>1.229</x:v>
      </x:c>
      <x:c r="G1401" s="74" t="n">
        <x:v>0.0194</x:v>
      </x:c>
      <x:c r="H1401" s="66" t="str">
        <x:v>滨风风云瑞丰1号净值20260911.xlsx</x:v>
      </x:c>
      <x:c r="I1401" s="73" t="str">
        <x:f>""</x:f>
      </x:c>
      <x:c r="J1401" s="74" t="str">
        <x:f>""</x:f>
      </x:c>
      <x:c r="K1401" s="73" t="n">
        <x:f>MAX(K1400,F1401)</x:f>
        <x:v>1.2313</x:v>
      </x:c>
      <x:c r="L1401" s="74" t="n">
        <x:f>1-F1401/K1401</x:f>
        <x:v>0.0018679444489563268</x:v>
      </x:c>
      <x:c r="M1401" s="73" t="n">
        <x:f>MAX(M1400,F1401)</x:f>
        <x:v>1.2313</x:v>
      </x:c>
      <x:c r="N1401" s="74" t="n">
        <x:f>1-F1401/M1401</x:f>
        <x:v>0.0018679444489563268</x:v>
      </x:c>
    </x:row>
    <x:row r="1402" ht="27" customHeight="1">
      <x:c r="A1402" s="66" t="str">
        <x:v>SXL267</x:v>
      </x:c>
      <x:c r="B1402" s="66" t="str">
        <x:v>滨风风云瑞丰1号</x:v>
      </x:c>
      <x:c r="C1402" s="72" t="n">
        <x:v>45433</x:v>
      </x:c>
      <x:c r="D1402" s="73" t="n">
        <x:v>1.2437</x:v>
      </x:c>
      <x:c r="E1402" s="73" t="n">
        <x:v>1.2437</x:v>
      </x:c>
      <x:c r="F1402" s="73" t="n">
        <x:v>1.2437</x:v>
      </x:c>
      <x:c r="G1402" s="74" t="n">
        <x:v>0.012</x:v>
      </x:c>
      <x:c r="H1402" s="66" t="str">
        <x:v>滨风风云瑞丰1号净值20260911.xlsx</x:v>
      </x:c>
      <x:c r="I1402" s="73" t="str">
        <x:f>""</x:f>
      </x:c>
      <x:c r="J1402" s="74" t="str">
        <x:f>""</x:f>
      </x:c>
      <x:c r="K1402" s="73" t="n">
        <x:f>MAX(K1401,F1402)</x:f>
        <x:v>1.2437</x:v>
      </x:c>
      <x:c r="L1402" s="74" t="n">
        <x:f>1-F1402/K1402</x:f>
        <x:v>0</x:v>
      </x:c>
      <x:c r="M1402" s="73" t="n">
        <x:f>MAX(M1401,F1402)</x:f>
        <x:v>1.2437</x:v>
      </x:c>
      <x:c r="N1402" s="74" t="n">
        <x:f>1-F1402/M1402</x:f>
        <x:v>0</x:v>
      </x:c>
    </x:row>
    <x:row r="1403" ht="27" customHeight="1">
      <x:c r="A1403" s="66" t="str">
        <x:v>SXL267</x:v>
      </x:c>
      <x:c r="B1403" s="66" t="str">
        <x:v>滨风风云瑞丰1号</x:v>
      </x:c>
      <x:c r="C1403" s="72" t="n">
        <x:v>45434</x:v>
      </x:c>
      <x:c r="D1403" s="73" t="n">
        <x:v>1.2511</x:v>
      </x:c>
      <x:c r="E1403" s="73" t="n">
        <x:v>1.2511</x:v>
      </x:c>
      <x:c r="F1403" s="73" t="n">
        <x:v>1.2511</x:v>
      </x:c>
      <x:c r="G1403" s="74" t="n">
        <x:v>0.0059</x:v>
      </x:c>
      <x:c r="H1403" s="66" t="str">
        <x:v>滨风风云瑞丰1号净值20260911.xlsx</x:v>
      </x:c>
      <x:c r="I1403" s="73" t="str">
        <x:f>""</x:f>
      </x:c>
      <x:c r="J1403" s="74" t="str">
        <x:f>""</x:f>
      </x:c>
      <x:c r="K1403" s="73" t="n">
        <x:f>MAX(K1402,F1403)</x:f>
        <x:v>1.2511</x:v>
      </x:c>
      <x:c r="L1403" s="74" t="n">
        <x:f>1-F1403/K1403</x:f>
        <x:v>0</x:v>
      </x:c>
      <x:c r="M1403" s="73" t="n">
        <x:f>MAX(M1402,F1403)</x:f>
        <x:v>1.2511</x:v>
      </x:c>
      <x:c r="N1403" s="74" t="n">
        <x:f>1-F1403/M1403</x:f>
        <x:v>0</x:v>
      </x:c>
    </x:row>
    <x:row r="1404" ht="27" customHeight="1">
      <x:c r="A1404" s="66" t="str">
        <x:v>SXL267</x:v>
      </x:c>
      <x:c r="B1404" s="66" t="str">
        <x:v>滨风风云瑞丰1号</x:v>
      </x:c>
      <x:c r="C1404" s="72" t="n">
        <x:v>45435</x:v>
      </x:c>
      <x:c r="D1404" s="73" t="n">
        <x:v>1.2193</x:v>
      </x:c>
      <x:c r="E1404" s="73" t="n">
        <x:v>1.2193</x:v>
      </x:c>
      <x:c r="F1404" s="73" t="n">
        <x:v>1.2193</x:v>
      </x:c>
      <x:c r="G1404" s="74" t="n">
        <x:v>-0.0254</x:v>
      </x:c>
      <x:c r="H1404" s="66" t="str">
        <x:v>滨风风云瑞丰1号净值20260911.xlsx</x:v>
      </x:c>
      <x:c r="I1404" s="73" t="str">
        <x:f>""</x:f>
      </x:c>
      <x:c r="J1404" s="74" t="str">
        <x:f>""</x:f>
      </x:c>
      <x:c r="K1404" s="73" t="n">
        <x:f>MAX(K1403,F1404)</x:f>
        <x:v>1.2511</x:v>
      </x:c>
      <x:c r="L1404" s="74" t="n">
        <x:f>1-F1404/K1404</x:f>
        <x:v>0.025417632483414665</x:v>
      </x:c>
      <x:c r="M1404" s="73" t="n">
        <x:f>MAX(M1403,F1404)</x:f>
        <x:v>1.2511</x:v>
      </x:c>
      <x:c r="N1404" s="74" t="n">
        <x:f>1-F1404/M1404</x:f>
        <x:v>0.025417632483414665</x:v>
      </x:c>
    </x:row>
    <x:row r="1405" ht="27" customHeight="1">
      <x:c r="A1405" s="66" t="str">
        <x:v>SXL267</x:v>
      </x:c>
      <x:c r="B1405" s="66" t="str">
        <x:v>滨风风云瑞丰1号</x:v>
      </x:c>
      <x:c r="C1405" s="72" t="n">
        <x:v>45436</x:v>
      </x:c>
      <x:c r="D1405" s="73" t="n">
        <x:v>1.2144</x:v>
      </x:c>
      <x:c r="E1405" s="73" t="n">
        <x:v>1.2144</x:v>
      </x:c>
      <x:c r="F1405" s="73" t="n">
        <x:v>1.2144</x:v>
      </x:c>
      <x:c r="G1405" s="74" t="n">
        <x:v>-0.004</x:v>
      </x:c>
      <x:c r="H1405" s="66" t="str">
        <x:v>滨风风云瑞丰1号净值20260911.xlsx</x:v>
      </x:c>
      <x:c r="I1405" s="73" t="str">
        <x:f>""</x:f>
      </x:c>
      <x:c r="J1405" s="74" t="str">
        <x:f>""</x:f>
      </x:c>
      <x:c r="K1405" s="73" t="n">
        <x:f>MAX(K1404,F1405)</x:f>
        <x:v>1.2511</x:v>
      </x:c>
      <x:c r="L1405" s="74" t="n">
        <x:f>1-F1405/K1405</x:f>
        <x:v>0.029334185916393696</x:v>
      </x:c>
      <x:c r="M1405" s="73" t="n">
        <x:f>MAX(M1404,F1405)</x:f>
        <x:v>1.2511</x:v>
      </x:c>
      <x:c r="N1405" s="74" t="n">
        <x:f>1-F1405/M1405</x:f>
        <x:v>0.029334185916393696</x:v>
      </x:c>
    </x:row>
    <x:row r="1406" ht="27" customHeight="1">
      <x:c r="A1406" s="66" t="str">
        <x:v>SXL267</x:v>
      </x:c>
      <x:c r="B1406" s="66" t="str">
        <x:v>滨风风云瑞丰1号</x:v>
      </x:c>
      <x:c r="C1406" s="72" t="n">
        <x:v>45439</x:v>
      </x:c>
      <x:c r="D1406" s="73" t="n">
        <x:v>1.2189</x:v>
      </x:c>
      <x:c r="E1406" s="73" t="n">
        <x:v>1.2189</x:v>
      </x:c>
      <x:c r="F1406" s="73" t="n">
        <x:v>1.2189</x:v>
      </x:c>
      <x:c r="G1406" s="74" t="n">
        <x:v>0.0037</x:v>
      </x:c>
      <x:c r="H1406" s="66" t="str">
        <x:v>滨风风云瑞丰1号净值20260911.xlsx</x:v>
      </x:c>
      <x:c r="I1406" s="73" t="str">
        <x:f>""</x:f>
      </x:c>
      <x:c r="J1406" s="74" t="str">
        <x:f>""</x:f>
      </x:c>
      <x:c r="K1406" s="73" t="n">
        <x:f>MAX(K1405,F1406)</x:f>
        <x:v>1.2511</x:v>
      </x:c>
      <x:c r="L1406" s="74" t="n">
        <x:f>1-F1406/K1406</x:f>
        <x:v>0.025737351131004726</x:v>
      </x:c>
      <x:c r="M1406" s="73" t="n">
        <x:f>MAX(M1405,F1406)</x:f>
        <x:v>1.2511</x:v>
      </x:c>
      <x:c r="N1406" s="74" t="n">
        <x:f>1-F1406/M1406</x:f>
        <x:v>0.025737351131004726</x:v>
      </x:c>
    </x:row>
    <x:row r="1407" ht="27" customHeight="1">
      <x:c r="A1407" s="66" t="str">
        <x:v>SXL267</x:v>
      </x:c>
      <x:c r="B1407" s="66" t="str">
        <x:v>滨风风云瑞丰1号</x:v>
      </x:c>
      <x:c r="C1407" s="72" t="n">
        <x:v>45440</x:v>
      </x:c>
      <x:c r="D1407" s="73" t="n">
        <x:v>1.237</x:v>
      </x:c>
      <x:c r="E1407" s="73" t="n">
        <x:v>1.237</x:v>
      </x:c>
      <x:c r="F1407" s="73" t="n">
        <x:v>1.237</x:v>
      </x:c>
      <x:c r="G1407" s="74" t="n">
        <x:v>0.0148</x:v>
      </x:c>
      <x:c r="H1407" s="66" t="str">
        <x:v>滨风风云瑞丰1号净值20260911.xlsx</x:v>
      </x:c>
      <x:c r="I1407" s="73" t="str">
        <x:f>""</x:f>
      </x:c>
      <x:c r="J1407" s="74" t="str">
        <x:f>""</x:f>
      </x:c>
      <x:c r="K1407" s="73" t="n">
        <x:f>MAX(K1406,F1407)</x:f>
        <x:v>1.2511</x:v>
      </x:c>
      <x:c r="L1407" s="74" t="n">
        <x:f>1-F1407/K1407</x:f>
        <x:v>0.011270082327551778</x:v>
      </x:c>
      <x:c r="M1407" s="73" t="n">
        <x:f>MAX(M1406,F1407)</x:f>
        <x:v>1.2511</x:v>
      </x:c>
      <x:c r="N1407" s="74" t="n">
        <x:f>1-F1407/M1407</x:f>
        <x:v>0.011270082327551778</x:v>
      </x:c>
    </x:row>
    <x:row r="1408" ht="27" customHeight="1">
      <x:c r="A1408" s="66" t="str">
        <x:v>SXL267</x:v>
      </x:c>
      <x:c r="B1408" s="66" t="str">
        <x:v>滨风风云瑞丰1号</x:v>
      </x:c>
      <x:c r="C1408" s="72" t="n">
        <x:v>45441</x:v>
      </x:c>
      <x:c r="D1408" s="73" t="n">
        <x:v>1.2384</x:v>
      </x:c>
      <x:c r="E1408" s="73" t="n">
        <x:v>1.2384</x:v>
      </x:c>
      <x:c r="F1408" s="73" t="n">
        <x:v>1.2384</x:v>
      </x:c>
      <x:c r="G1408" s="74" t="n">
        <x:v>0.0011</x:v>
      </x:c>
      <x:c r="H1408" s="66" t="str">
        <x:v>滨风风云瑞丰1号净值20260911.xlsx</x:v>
      </x:c>
      <x:c r="I1408" s="73" t="str">
        <x:f>""</x:f>
      </x:c>
      <x:c r="J1408" s="74" t="str">
        <x:f>""</x:f>
      </x:c>
      <x:c r="K1408" s="73" t="n">
        <x:f>MAX(K1407,F1408)</x:f>
        <x:v>1.2511</x:v>
      </x:c>
      <x:c r="L1408" s="74" t="n">
        <x:f>1-F1408/K1408</x:f>
        <x:v>0.010151067060986452</x:v>
      </x:c>
      <x:c r="M1408" s="73" t="n">
        <x:f>MAX(M1407,F1408)</x:f>
        <x:v>1.2511</x:v>
      </x:c>
      <x:c r="N1408" s="74" t="n">
        <x:f>1-F1408/M1408</x:f>
        <x:v>0.010151067060986452</x:v>
      </x:c>
    </x:row>
    <x:row r="1409" ht="27" customHeight="1">
      <x:c r="A1409" s="66" t="str">
        <x:v>SXL267</x:v>
      </x:c>
      <x:c r="B1409" s="66" t="str">
        <x:v>滨风风云瑞丰1号</x:v>
      </x:c>
      <x:c r="C1409" s="72" t="n">
        <x:v>45442</x:v>
      </x:c>
      <x:c r="D1409" s="73" t="n">
        <x:v>1.2333</x:v>
      </x:c>
      <x:c r="E1409" s="73" t="n">
        <x:v>1.2333</x:v>
      </x:c>
      <x:c r="F1409" s="73" t="n">
        <x:v>1.2333</x:v>
      </x:c>
      <x:c r="G1409" s="74" t="n">
        <x:v>-0.0040999999999999995</x:v>
      </x:c>
      <x:c r="H1409" s="66" t="str">
        <x:v>滨风风云瑞丰1号净值20260911.xlsx</x:v>
      </x:c>
      <x:c r="I1409" s="73" t="str">
        <x:f>""</x:f>
      </x:c>
      <x:c r="J1409" s="74" t="str">
        <x:f>""</x:f>
      </x:c>
      <x:c r="K1409" s="73" t="n">
        <x:f>MAX(K1408,F1409)</x:f>
        <x:v>1.2511</x:v>
      </x:c>
      <x:c r="L1409" s="74" t="n">
        <x:f>1-F1409/K1409</x:f>
        <x:v>0.014227479817760402</x:v>
      </x:c>
      <x:c r="M1409" s="73" t="n">
        <x:f>MAX(M1408,F1409)</x:f>
        <x:v>1.2511</x:v>
      </x:c>
      <x:c r="N1409" s="74" t="n">
        <x:f>1-F1409/M1409</x:f>
        <x:v>0.014227479817760402</x:v>
      </x:c>
    </x:row>
    <x:row r="1410" ht="27" customHeight="1">
      <x:c r="A1410" s="66" t="str">
        <x:v>SXL267</x:v>
      </x:c>
      <x:c r="B1410" s="66" t="str">
        <x:v>滨风风云瑞丰1号</x:v>
      </x:c>
      <x:c r="C1410" s="72" t="n">
        <x:v>45443</x:v>
      </x:c>
      <x:c r="D1410" s="73" t="n">
        <x:v>1.2181</x:v>
      </x:c>
      <x:c r="E1410" s="73" t="n">
        <x:v>1.2181</x:v>
      </x:c>
      <x:c r="F1410" s="73" t="n">
        <x:v>1.2181</x:v>
      </x:c>
      <x:c r="G1410" s="74" t="n">
        <x:v>-0.0123</x:v>
      </x:c>
      <x:c r="H1410" s="66" t="str">
        <x:v>滨风风云瑞丰1号净值20260911.xlsx</x:v>
      </x:c>
      <x:c r="I1410" s="73" t="str">
        <x:f>""</x:f>
      </x:c>
      <x:c r="J1410" s="74" t="str">
        <x:f>""</x:f>
      </x:c>
      <x:c r="K1410" s="73" t="n">
        <x:f>MAX(K1409,F1410)</x:f>
        <x:v>1.2511</x:v>
      </x:c>
      <x:c r="L1410" s="74" t="n">
        <x:f>1-F1410/K1410</x:f>
        <x:v>0.02637678842618507</x:v>
      </x:c>
      <x:c r="M1410" s="73" t="n">
        <x:f>MAX(M1409,F1410)</x:f>
        <x:v>1.2511</x:v>
      </x:c>
      <x:c r="N1410" s="74" t="n">
        <x:f>1-F1410/M1410</x:f>
        <x:v>0.02637678842618507</x:v>
      </x:c>
    </x:row>
    <x:row r="1411" ht="27" customHeight="1">
      <x:c r="A1411" s="66" t="str">
        <x:v>SXL267</x:v>
      </x:c>
      <x:c r="B1411" s="66" t="str">
        <x:v>滨风风云瑞丰1号</x:v>
      </x:c>
      <x:c r="C1411" s="72" t="n">
        <x:v>45446</x:v>
      </x:c>
      <x:c r="D1411" s="73" t="n">
        <x:v>1.2151</x:v>
      </x:c>
      <x:c r="E1411" s="73" t="n">
        <x:v>1.2151</x:v>
      </x:c>
      <x:c r="F1411" s="73" t="n">
        <x:v>1.2151</x:v>
      </x:c>
      <x:c r="G1411" s="74" t="n">
        <x:v>-0.0025</x:v>
      </x:c>
      <x:c r="H1411" s="66" t="str">
        <x:v>滨风风云瑞丰1号净值20260911.xlsx</x:v>
      </x:c>
      <x:c r="I1411" s="73" t="str">
        <x:f>""</x:f>
      </x:c>
      <x:c r="J1411" s="74" t="str">
        <x:f>""</x:f>
      </x:c>
      <x:c r="K1411" s="73" t="n">
        <x:f>MAX(K1410,F1411)</x:f>
        <x:v>1.2511</x:v>
      </x:c>
      <x:c r="L1411" s="74" t="n">
        <x:f>1-F1411/K1411</x:f>
        <x:v>0.028774678283110866</x:v>
      </x:c>
      <x:c r="M1411" s="73" t="n">
        <x:f>MAX(M1410,F1411)</x:f>
        <x:v>1.2511</x:v>
      </x:c>
      <x:c r="N1411" s="74" t="n">
        <x:f>1-F1411/M1411</x:f>
        <x:v>0.028774678283110866</x:v>
      </x:c>
    </x:row>
    <x:row r="1412" ht="27" customHeight="1">
      <x:c r="A1412" s="66" t="str">
        <x:v>SXL267</x:v>
      </x:c>
      <x:c r="B1412" s="66" t="str">
        <x:v>滨风风云瑞丰1号</x:v>
      </x:c>
      <x:c r="C1412" s="72" t="n">
        <x:v>45447</x:v>
      </x:c>
      <x:c r="D1412" s="73" t="n">
        <x:v>1.2045</x:v>
      </x:c>
      <x:c r="E1412" s="73" t="n">
        <x:v>1.2045</x:v>
      </x:c>
      <x:c r="F1412" s="73" t="n">
        <x:v>1.2045</x:v>
      </x:c>
      <x:c r="G1412" s="74" t="n">
        <x:v>-0.0087</x:v>
      </x:c>
      <x:c r="H1412" s="66" t="str">
        <x:v>滨风风云瑞丰1号净值20260911.xlsx</x:v>
      </x:c>
      <x:c r="I1412" s="73" t="str">
        <x:f>""</x:f>
      </x:c>
      <x:c r="J1412" s="74" t="str">
        <x:f>""</x:f>
      </x:c>
      <x:c r="K1412" s="73" t="n">
        <x:f>MAX(K1411,F1412)</x:f>
        <x:v>1.2511</x:v>
      </x:c>
      <x:c r="L1412" s="74" t="n">
        <x:f>1-F1412/K1412</x:f>
        <x:v>0.03724722244424916</x:v>
      </x:c>
      <x:c r="M1412" s="73" t="n">
        <x:f>MAX(M1411,F1412)</x:f>
        <x:v>1.2511</x:v>
      </x:c>
      <x:c r="N1412" s="74" t="n">
        <x:f>1-F1412/M1412</x:f>
        <x:v>0.03724722244424916</x:v>
      </x:c>
    </x:row>
    <x:row r="1413" ht="27" customHeight="1">
      <x:c r="A1413" s="66" t="str">
        <x:v>SXL267</x:v>
      </x:c>
      <x:c r="B1413" s="66" t="str">
        <x:v>滨风风云瑞丰1号</x:v>
      </x:c>
      <x:c r="C1413" s="72" t="n">
        <x:v>45448</x:v>
      </x:c>
      <x:c r="D1413" s="73" t="n">
        <x:v>1.1968</x:v>
      </x:c>
      <x:c r="E1413" s="73" t="n">
        <x:v>1.1968</x:v>
      </x:c>
      <x:c r="F1413" s="73" t="n">
        <x:v>1.1968</x:v>
      </x:c>
      <x:c r="G1413" s="74" t="n">
        <x:v>-0.0064</x:v>
      </x:c>
      <x:c r="H1413" s="66" t="str">
        <x:v>滨风风云瑞丰1号净值20260911.xlsx</x:v>
      </x:c>
      <x:c r="I1413" s="73" t="str">
        <x:f>""</x:f>
      </x:c>
      <x:c r="J1413" s="74" t="str">
        <x:f>""</x:f>
      </x:c>
      <x:c r="K1413" s="73" t="n">
        <x:f>MAX(K1412,F1413)</x:f>
        <x:v>1.2511</x:v>
      </x:c>
      <x:c r="L1413" s="74" t="n">
        <x:f>1-F1413/K1413</x:f>
        <x:v>0.043401806410358845</x:v>
      </x:c>
      <x:c r="M1413" s="73" t="n">
        <x:f>MAX(M1412,F1413)</x:f>
        <x:v>1.2511</x:v>
      </x:c>
      <x:c r="N1413" s="74" t="n">
        <x:f>1-F1413/M1413</x:f>
        <x:v>0.043401806410358845</x:v>
      </x:c>
    </x:row>
    <x:row r="1414" ht="27" customHeight="1">
      <x:c r="A1414" s="66" t="str">
        <x:v>SXL267</x:v>
      </x:c>
      <x:c r="B1414" s="66" t="str">
        <x:v>滨风风云瑞丰1号</x:v>
      </x:c>
      <x:c r="C1414" s="72" t="n">
        <x:v>45449</x:v>
      </x:c>
      <x:c r="D1414" s="73" t="n">
        <x:v>1.2051</x:v>
      </x:c>
      <x:c r="E1414" s="73" t="n">
        <x:v>1.2051</x:v>
      </x:c>
      <x:c r="F1414" s="73" t="n">
        <x:v>1.2051</x:v>
      </x:c>
      <x:c r="G1414" s="74" t="n">
        <x:v>0.0069</x:v>
      </x:c>
      <x:c r="H1414" s="66" t="str">
        <x:v>滨风风云瑞丰1号净值20260911.xlsx</x:v>
      </x:c>
      <x:c r="I1414" s="73" t="str">
        <x:f>""</x:f>
      </x:c>
      <x:c r="J1414" s="74" t="str">
        <x:f>""</x:f>
      </x:c>
      <x:c r="K1414" s="73" t="n">
        <x:f>MAX(K1413,F1414)</x:f>
        <x:v>1.2511</x:v>
      </x:c>
      <x:c r="L1414" s="74" t="n">
        <x:f>1-F1414/K1414</x:f>
        <x:v>0.03676764447286396</x:v>
      </x:c>
      <x:c r="M1414" s="73" t="n">
        <x:f>MAX(M1413,F1414)</x:f>
        <x:v>1.2511</x:v>
      </x:c>
      <x:c r="N1414" s="74" t="n">
        <x:f>1-F1414/M1414</x:f>
        <x:v>0.03676764447286396</x:v>
      </x:c>
    </x:row>
    <x:row r="1415" ht="27" customHeight="1">
      <x:c r="A1415" s="66" t="str">
        <x:v>SXL267</x:v>
      </x:c>
      <x:c r="B1415" s="66" t="str">
        <x:v>滨风风云瑞丰1号</x:v>
      </x:c>
      <x:c r="C1415" s="72" t="n">
        <x:v>45450</x:v>
      </x:c>
      <x:c r="D1415" s="73" t="n">
        <x:v>1.2185</x:v>
      </x:c>
      <x:c r="E1415" s="73" t="n">
        <x:v>1.2185</x:v>
      </x:c>
      <x:c r="F1415" s="73" t="n">
        <x:v>1.2185</x:v>
      </x:c>
      <x:c r="G1415" s="74" t="n">
        <x:v>0.0111</x:v>
      </x:c>
      <x:c r="H1415" s="66" t="str">
        <x:v>滨风风云瑞丰1号净值20260911.xlsx</x:v>
      </x:c>
      <x:c r="I1415" s="73" t="str">
        <x:f>""</x:f>
      </x:c>
      <x:c r="J1415" s="74" t="str">
        <x:f>""</x:f>
      </x:c>
      <x:c r="K1415" s="73" t="n">
        <x:f>MAX(K1414,F1415)</x:f>
        <x:v>1.2511</x:v>
      </x:c>
      <x:c r="L1415" s="74" t="n">
        <x:f>1-F1415/K1415</x:f>
        <x:v>0.02605706977859501</x:v>
      </x:c>
      <x:c r="M1415" s="73" t="n">
        <x:f>MAX(M1414,F1415)</x:f>
        <x:v>1.2511</x:v>
      </x:c>
      <x:c r="N1415" s="74" t="n">
        <x:f>1-F1415/M1415</x:f>
        <x:v>0.02605706977859501</x:v>
      </x:c>
    </x:row>
    <x:row r="1416" ht="27" customHeight="1">
      <x:c r="A1416" s="66" t="str">
        <x:v>SXL267</x:v>
      </x:c>
      <x:c r="B1416" s="66" t="str">
        <x:v>滨风风云瑞丰1号</x:v>
      </x:c>
      <x:c r="C1416" s="72" t="n">
        <x:v>45454</x:v>
      </x:c>
      <x:c r="D1416" s="73" t="n">
        <x:v>1.1942</x:v>
      </x:c>
      <x:c r="E1416" s="73" t="n">
        <x:v>1.1942</x:v>
      </x:c>
      <x:c r="F1416" s="73" t="n">
        <x:v>1.1942</x:v>
      </x:c>
      <x:c r="G1416" s="74" t="n">
        <x:v>-0.0199</x:v>
      </x:c>
      <x:c r="H1416" s="66" t="str">
        <x:v>滨风风云瑞丰1号净值20260911.xlsx</x:v>
      </x:c>
      <x:c r="I1416" s="73" t="str">
        <x:f>""</x:f>
      </x:c>
      <x:c r="J1416" s="74" t="str">
        <x:f>""</x:f>
      </x:c>
      <x:c r="K1416" s="73" t="n">
        <x:f>MAX(K1415,F1416)</x:f>
        <x:v>1.2511</x:v>
      </x:c>
      <x:c r="L1416" s="74" t="n">
        <x:f>1-F1416/K1416</x:f>
        <x:v>0.0454799776196948</x:v>
      </x:c>
      <x:c r="M1416" s="73" t="n">
        <x:f>MAX(M1415,F1416)</x:f>
        <x:v>1.2511</x:v>
      </x:c>
      <x:c r="N1416" s="74" t="n">
        <x:f>1-F1416/M1416</x:f>
        <x:v>0.0454799776196948</x:v>
      </x:c>
    </x:row>
    <x:row r="1417" ht="27" customHeight="1">
      <x:c r="A1417" s="66" t="str">
        <x:v>SXL267</x:v>
      </x:c>
      <x:c r="B1417" s="66" t="str">
        <x:v>滨风风云瑞丰1号</x:v>
      </x:c>
      <x:c r="C1417" s="72" t="n">
        <x:v>45455</x:v>
      </x:c>
      <x:c r="D1417" s="73" t="n">
        <x:v>1.1941</x:v>
      </x:c>
      <x:c r="E1417" s="73" t="n">
        <x:v>1.1941</x:v>
      </x:c>
      <x:c r="F1417" s="73" t="n">
        <x:v>1.1941</x:v>
      </x:c>
      <x:c r="G1417" s="74" t="n">
        <x:v>-0.0001</x:v>
      </x:c>
      <x:c r="H1417" s="66" t="str">
        <x:v>滨风风云瑞丰1号净值20260911.xlsx</x:v>
      </x:c>
      <x:c r="I1417" s="73" t="str">
        <x:f>""</x:f>
      </x:c>
      <x:c r="J1417" s="74" t="str">
        <x:f>""</x:f>
      </x:c>
      <x:c r="K1417" s="73" t="n">
        <x:f>MAX(K1416,F1417)</x:f>
        <x:v>1.2511</x:v>
      </x:c>
      <x:c r="L1417" s="74" t="n">
        <x:f>1-F1417/K1417</x:f>
        <x:v>0.045559907281592316</x:v>
      </x:c>
      <x:c r="M1417" s="73" t="n">
        <x:f>MAX(M1416,F1417)</x:f>
        <x:v>1.2511</x:v>
      </x:c>
      <x:c r="N1417" s="74" t="n">
        <x:f>1-F1417/M1417</x:f>
        <x:v>0.045559907281592316</x:v>
      </x:c>
    </x:row>
    <x:row r="1418" ht="27" customHeight="1">
      <x:c r="A1418" s="66" t="str">
        <x:v>SXL267</x:v>
      </x:c>
      <x:c r="B1418" s="66" t="str">
        <x:v>滨风风云瑞丰1号</x:v>
      </x:c>
      <x:c r="C1418" s="72" t="n">
        <x:v>45456</x:v>
      </x:c>
      <x:c r="D1418" s="73" t="n">
        <x:v>1.2069</x:v>
      </x:c>
      <x:c r="E1418" s="73" t="n">
        <x:v>1.2069</x:v>
      </x:c>
      <x:c r="F1418" s="73" t="n">
        <x:v>1.2069</x:v>
      </x:c>
      <x:c r="G1418" s="74" t="n">
        <x:v>0.010700000000000001</x:v>
      </x:c>
      <x:c r="H1418" s="66" t="str">
        <x:v>滨风风云瑞丰1号净值20260911.xlsx</x:v>
      </x:c>
      <x:c r="I1418" s="73" t="str">
        <x:f>""</x:f>
      </x:c>
      <x:c r="J1418" s="74" t="str">
        <x:f>""</x:f>
      </x:c>
      <x:c r="K1418" s="73" t="n">
        <x:f>MAX(K1417,F1418)</x:f>
        <x:v>1.2511</x:v>
      </x:c>
      <x:c r="L1418" s="74" t="n">
        <x:f>1-F1418/K1418</x:f>
        <x:v>0.03532891055870835</x:v>
      </x:c>
      <x:c r="M1418" s="73" t="n">
        <x:f>MAX(M1417,F1418)</x:f>
        <x:v>1.2511</x:v>
      </x:c>
      <x:c r="N1418" s="74" t="n">
        <x:f>1-F1418/M1418</x:f>
        <x:v>0.03532891055870835</x:v>
      </x:c>
    </x:row>
    <x:row r="1419" ht="27" customHeight="1">
      <x:c r="A1419" s="66" t="str">
        <x:v>SXL267</x:v>
      </x:c>
      <x:c r="B1419" s="66" t="str">
        <x:v>滨风风云瑞丰1号</x:v>
      </x:c>
      <x:c r="C1419" s="72" t="n">
        <x:v>45457</x:v>
      </x:c>
      <x:c r="D1419" s="73" t="n">
        <x:v>1.2011</x:v>
      </x:c>
      <x:c r="E1419" s="73" t="n">
        <x:v>1.2011</x:v>
      </x:c>
      <x:c r="F1419" s="73" t="n">
        <x:v>1.2011</x:v>
      </x:c>
      <x:c r="G1419" s="74" t="n">
        <x:v>-0.0048</x:v>
      </x:c>
      <x:c r="H1419" s="66" t="str">
        <x:v>滨风风云瑞丰1号净值20260911.xlsx</x:v>
      </x:c>
      <x:c r="I1419" s="73" t="str">
        <x:f>""</x:f>
      </x:c>
      <x:c r="J1419" s="74" t="str">
        <x:f>""</x:f>
      </x:c>
      <x:c r="K1419" s="73" t="n">
        <x:f>MAX(K1418,F1419)</x:f>
        <x:v>1.2511</x:v>
      </x:c>
      <x:c r="L1419" s="74" t="n">
        <x:f>1-F1419/K1419</x:f>
        <x:v>0.03996483094876513</x:v>
      </x:c>
      <x:c r="M1419" s="73" t="n">
        <x:f>MAX(M1418,F1419)</x:f>
        <x:v>1.2511</x:v>
      </x:c>
      <x:c r="N1419" s="74" t="n">
        <x:f>1-F1419/M1419</x:f>
        <x:v>0.03996483094876513</x:v>
      </x:c>
    </x:row>
    <x:row r="1420" ht="27" customHeight="1">
      <x:c r="A1420" s="66" t="str">
        <x:v>SXL267</x:v>
      </x:c>
      <x:c r="B1420" s="66" t="str">
        <x:v>滨风风云瑞丰1号</x:v>
      </x:c>
      <x:c r="C1420" s="72" t="n">
        <x:v>45460</x:v>
      </x:c>
      <x:c r="D1420" s="73" t="n">
        <x:v>1.1956</x:v>
      </x:c>
      <x:c r="E1420" s="73" t="n">
        <x:v>1.1956</x:v>
      </x:c>
      <x:c r="F1420" s="73" t="n">
        <x:v>1.1956</x:v>
      </x:c>
      <x:c r="G1420" s="74" t="n">
        <x:v>-0.0046</x:v>
      </x:c>
      <x:c r="H1420" s="66" t="str">
        <x:v>滨风风云瑞丰1号净值20260911.xlsx</x:v>
      </x:c>
      <x:c r="I1420" s="73" t="str">
        <x:f>""</x:f>
      </x:c>
      <x:c r="J1420" s="74" t="str">
        <x:f>""</x:f>
      </x:c>
      <x:c r="K1420" s="73" t="n">
        <x:f>MAX(K1419,F1420)</x:f>
        <x:v>1.2511</x:v>
      </x:c>
      <x:c r="L1420" s="74" t="n">
        <x:f>1-F1420/K1420</x:f>
        <x:v>0.04436096235312936</x:v>
      </x:c>
      <x:c r="M1420" s="73" t="n">
        <x:f>MAX(M1419,F1420)</x:f>
        <x:v>1.2511</x:v>
      </x:c>
      <x:c r="N1420" s="74" t="n">
        <x:f>1-F1420/M1420</x:f>
        <x:v>0.04436096235312936</x:v>
      </x:c>
    </x:row>
    <x:row r="1421" ht="27" customHeight="1">
      <x:c r="A1421" s="66" t="str">
        <x:v>SXL267</x:v>
      </x:c>
      <x:c r="B1421" s="66" t="str">
        <x:v>滨风风云瑞丰1号</x:v>
      </x:c>
      <x:c r="C1421" s="72" t="n">
        <x:v>45461</x:v>
      </x:c>
      <x:c r="D1421" s="73" t="n">
        <x:v>1.202</x:v>
      </x:c>
      <x:c r="E1421" s="73" t="n">
        <x:v>1.202</x:v>
      </x:c>
      <x:c r="F1421" s="73" t="n">
        <x:v>1.202</x:v>
      </x:c>
      <x:c r="G1421" s="74" t="n">
        <x:v>0.0054</x:v>
      </x:c>
      <x:c r="H1421" s="66" t="str">
        <x:v>滨风风云瑞丰1号净值20260911.xlsx</x:v>
      </x:c>
      <x:c r="I1421" s="73" t="str">
        <x:f>""</x:f>
      </x:c>
      <x:c r="J1421" s="74" t="str">
        <x:f>""</x:f>
      </x:c>
      <x:c r="K1421" s="73" t="n">
        <x:f>MAX(K1420,F1421)</x:f>
        <x:v>1.2511</x:v>
      </x:c>
      <x:c r="L1421" s="74" t="n">
        <x:f>1-F1421/K1421</x:f>
        <x:v>0.03924546399168738</x:v>
      </x:c>
      <x:c r="M1421" s="73" t="n">
        <x:f>MAX(M1420,F1421)</x:f>
        <x:v>1.2511</x:v>
      </x:c>
      <x:c r="N1421" s="74" t="n">
        <x:f>1-F1421/M1421</x:f>
        <x:v>0.03924546399168738</x:v>
      </x:c>
    </x:row>
    <x:row r="1422" ht="27" customHeight="1">
      <x:c r="A1422" s="66" t="str">
        <x:v>SXL267</x:v>
      </x:c>
      <x:c r="B1422" s="66" t="str">
        <x:v>滨风风云瑞丰1号</x:v>
      </x:c>
      <x:c r="C1422" s="72" t="n">
        <x:v>45462</x:v>
      </x:c>
      <x:c r="D1422" s="73" t="n">
        <x:v>1.2017</x:v>
      </x:c>
      <x:c r="E1422" s="73" t="n">
        <x:v>1.2017</x:v>
      </x:c>
      <x:c r="F1422" s="73" t="n">
        <x:v>1.2017</x:v>
      </x:c>
      <x:c r="G1422" s="74" t="n">
        <x:v>-0.0002</x:v>
      </x:c>
      <x:c r="H1422" s="66" t="str">
        <x:v>滨风风云瑞丰1号净值20260911.xlsx</x:v>
      </x:c>
      <x:c r="I1422" s="73" t="str">
        <x:f>""</x:f>
      </x:c>
      <x:c r="J1422" s="74" t="str">
        <x:f>""</x:f>
      </x:c>
      <x:c r="K1422" s="73" t="n">
        <x:f>MAX(K1421,F1422)</x:f>
        <x:v>1.2511</x:v>
      </x:c>
      <x:c r="L1422" s="74" t="n">
        <x:f>1-F1422/K1422</x:f>
        <x:v>0.039485252977380036</x:v>
      </x:c>
      <x:c r="M1422" s="73" t="n">
        <x:f>MAX(M1421,F1422)</x:f>
        <x:v>1.2511</x:v>
      </x:c>
      <x:c r="N1422" s="74" t="n">
        <x:f>1-F1422/M1422</x:f>
        <x:v>0.039485252977380036</x:v>
      </x:c>
    </x:row>
    <x:row r="1423" ht="27" customHeight="1">
      <x:c r="A1423" s="66" t="str">
        <x:v>SXL267</x:v>
      </x:c>
      <x:c r="B1423" s="66" t="str">
        <x:v>滨风风云瑞丰1号</x:v>
      </x:c>
      <x:c r="C1423" s="72" t="n">
        <x:v>45463</x:v>
      </x:c>
      <x:c r="D1423" s="73" t="n">
        <x:v>1.2047</x:v>
      </x:c>
      <x:c r="E1423" s="73" t="n">
        <x:v>1.2047</x:v>
      </x:c>
      <x:c r="F1423" s="73" t="n">
        <x:v>1.2047</x:v>
      </x:c>
      <x:c r="G1423" s="74" t="n">
        <x:v>0.0025</x:v>
      </x:c>
      <x:c r="H1423" s="66" t="str">
        <x:v>滨风风云瑞丰1号净值20260911.xlsx</x:v>
      </x:c>
      <x:c r="I1423" s="73" t="str">
        <x:f>""</x:f>
      </x:c>
      <x:c r="J1423" s="74" t="str">
        <x:f>""</x:f>
      </x:c>
      <x:c r="K1423" s="73" t="n">
        <x:f>MAX(K1422,F1423)</x:f>
        <x:v>1.2511</x:v>
      </x:c>
      <x:c r="L1423" s="74" t="n">
        <x:f>1-F1423/K1423</x:f>
        <x:v>0.03708736312045402</x:v>
      </x:c>
      <x:c r="M1423" s="73" t="n">
        <x:f>MAX(M1422,F1423)</x:f>
        <x:v>1.2511</x:v>
      </x:c>
      <x:c r="N1423" s="74" t="n">
        <x:f>1-F1423/M1423</x:f>
        <x:v>0.03708736312045402</x:v>
      </x:c>
    </x:row>
    <x:row r="1424" ht="27" customHeight="1">
      <x:c r="A1424" s="66" t="str">
        <x:v>SXL267</x:v>
      </x:c>
      <x:c r="B1424" s="66" t="str">
        <x:v>滨风风云瑞丰1号</x:v>
      </x:c>
      <x:c r="C1424" s="72" t="n">
        <x:v>45464</x:v>
      </x:c>
      <x:c r="D1424" s="73" t="n">
        <x:v>1.2094</x:v>
      </x:c>
      <x:c r="E1424" s="73" t="n">
        <x:v>1.2094</x:v>
      </x:c>
      <x:c r="F1424" s="73" t="n">
        <x:v>1.2094</x:v>
      </x:c>
      <x:c r="G1424" s="74" t="n">
        <x:v>0.0039000000000000003</x:v>
      </x:c>
      <x:c r="H1424" s="66" t="str">
        <x:v>滨风风云瑞丰1号净值20260911.xlsx</x:v>
      </x:c>
      <x:c r="I1424" s="73" t="str">
        <x:f>""</x:f>
      </x:c>
      <x:c r="J1424" s="74" t="str">
        <x:f>""</x:f>
      </x:c>
      <x:c r="K1424" s="73" t="n">
        <x:f>MAX(K1423,F1424)</x:f>
        <x:v>1.2511</x:v>
      </x:c>
      <x:c r="L1424" s="74" t="n">
        <x:f>1-F1424/K1424</x:f>
        <x:v>0.03333066901127013</x:v>
      </x:c>
      <x:c r="M1424" s="73" t="n">
        <x:f>MAX(M1423,F1424)</x:f>
        <x:v>1.2511</x:v>
      </x:c>
      <x:c r="N1424" s="74" t="n">
        <x:f>1-F1424/M1424</x:f>
        <x:v>0.03333066901127013</x:v>
      </x:c>
    </x:row>
    <x:row r="1425" ht="27" customHeight="1">
      <x:c r="A1425" s="66" t="str">
        <x:v>SXL267</x:v>
      </x:c>
      <x:c r="B1425" s="66" t="str">
        <x:v>滨风风云瑞丰1号</x:v>
      </x:c>
      <x:c r="C1425" s="72" t="n">
        <x:v>45467</x:v>
      </x:c>
      <x:c r="D1425" s="73" t="n">
        <x:v>1.2111</x:v>
      </x:c>
      <x:c r="E1425" s="73" t="n">
        <x:v>1.2111</x:v>
      </x:c>
      <x:c r="F1425" s="73" t="n">
        <x:v>1.2111</x:v>
      </x:c>
      <x:c r="G1425" s="74" t="n">
        <x:v>0.0014000000000000002</x:v>
      </x:c>
      <x:c r="H1425" s="66" t="str">
        <x:v>滨风风云瑞丰1号净值20260911.xlsx</x:v>
      </x:c>
      <x:c r="I1425" s="73" t="str">
        <x:f>""</x:f>
      </x:c>
      <x:c r="J1425" s="74" t="str">
        <x:f>""</x:f>
      </x:c>
      <x:c r="K1425" s="73" t="n">
        <x:f>MAX(K1424,F1425)</x:f>
        <x:v>1.2511</x:v>
      </x:c>
      <x:c r="L1425" s="74" t="n">
        <x:f>1-F1425/K1425</x:f>
        <x:v>0.03197186475901215</x:v>
      </x:c>
      <x:c r="M1425" s="73" t="n">
        <x:f>MAX(M1424,F1425)</x:f>
        <x:v>1.2511</x:v>
      </x:c>
      <x:c r="N1425" s="74" t="n">
        <x:f>1-F1425/M1425</x:f>
        <x:v>0.03197186475901215</x:v>
      </x:c>
    </x:row>
    <x:row r="1426" ht="27" customHeight="1">
      <x:c r="A1426" s="66" t="str">
        <x:v>SXL267</x:v>
      </x:c>
      <x:c r="B1426" s="66" t="str">
        <x:v>滨风风云瑞丰1号</x:v>
      </x:c>
      <x:c r="C1426" s="72" t="n">
        <x:v>45468</x:v>
      </x:c>
      <x:c r="D1426" s="73" t="n">
        <x:v>1.212</x:v>
      </x:c>
      <x:c r="E1426" s="73" t="n">
        <x:v>1.212</x:v>
      </x:c>
      <x:c r="F1426" s="73" t="n">
        <x:v>1.212</x:v>
      </x:c>
      <x:c r="G1426" s="74" t="n">
        <x:v>0.0007000000000000001</x:v>
      </x:c>
      <x:c r="H1426" s="66" t="str">
        <x:v>滨风风云瑞丰1号净值20260911.xlsx</x:v>
      </x:c>
      <x:c r="I1426" s="73" t="str">
        <x:f>""</x:f>
      </x:c>
      <x:c r="J1426" s="74" t="str">
        <x:f>""</x:f>
      </x:c>
      <x:c r="K1426" s="73" t="n">
        <x:f>MAX(K1425,F1426)</x:f>
        <x:v>1.2511</x:v>
      </x:c>
      <x:c r="L1426" s="74" t="n">
        <x:f>1-F1426/K1426</x:f>
        <x:v>0.0312524978019344</x:v>
      </x:c>
      <x:c r="M1426" s="73" t="n">
        <x:f>MAX(M1425,F1426)</x:f>
        <x:v>1.2511</x:v>
      </x:c>
      <x:c r="N1426" s="74" t="n">
        <x:f>1-F1426/M1426</x:f>
        <x:v>0.0312524978019344</x:v>
      </x:c>
    </x:row>
    <x:row r="1427" ht="27" customHeight="1">
      <x:c r="A1427" s="66" t="str">
        <x:v>SXL267</x:v>
      </x:c>
      <x:c r="B1427" s="66" t="str">
        <x:v>滨风风云瑞丰1号</x:v>
      </x:c>
      <x:c r="C1427" s="72" t="n">
        <x:v>45469</x:v>
      </x:c>
      <x:c r="D1427" s="73" t="n">
        <x:v>1.2057</x:v>
      </x:c>
      <x:c r="E1427" s="73" t="n">
        <x:v>1.2057</x:v>
      </x:c>
      <x:c r="F1427" s="73" t="n">
        <x:v>1.2057</x:v>
      </x:c>
      <x:c r="G1427" s="74" t="n">
        <x:v>-0.0052</x:v>
      </x:c>
      <x:c r="H1427" s="66" t="str">
        <x:v>滨风风云瑞丰1号净值20260911.xlsx</x:v>
      </x:c>
      <x:c r="I1427" s="73" t="str">
        <x:f>""</x:f>
      </x:c>
      <x:c r="J1427" s="74" t="str">
        <x:f>""</x:f>
      </x:c>
      <x:c r="K1427" s="73" t="n">
        <x:f>MAX(K1426,F1427)</x:f>
        <x:v>1.2511</x:v>
      </x:c>
      <x:c r="L1427" s="74" t="n">
        <x:f>1-F1427/K1427</x:f>
        <x:v>0.036288066501478755</x:v>
      </x:c>
      <x:c r="M1427" s="73" t="n">
        <x:f>MAX(M1426,F1427)</x:f>
        <x:v>1.2511</x:v>
      </x:c>
      <x:c r="N1427" s="74" t="n">
        <x:f>1-F1427/M1427</x:f>
        <x:v>0.036288066501478755</x:v>
      </x:c>
    </x:row>
    <x:row r="1428" ht="27" customHeight="1">
      <x:c r="A1428" s="66" t="str">
        <x:v>SXL267</x:v>
      </x:c>
      <x:c r="B1428" s="66" t="str">
        <x:v>滨风风云瑞丰1号</x:v>
      </x:c>
      <x:c r="C1428" s="72" t="n">
        <x:v>45470</x:v>
      </x:c>
      <x:c r="D1428" s="73" t="n">
        <x:v>1.2015</x:v>
      </x:c>
      <x:c r="E1428" s="73" t="n">
        <x:v>1.2015</x:v>
      </x:c>
      <x:c r="F1428" s="73" t="n">
        <x:v>1.2015</x:v>
      </x:c>
      <x:c r="G1428" s="74" t="n">
        <x:v>-0.0034999999999999996</x:v>
      </x:c>
      <x:c r="H1428" s="66" t="str">
        <x:v>滨风风云瑞丰1号净值20260911.xlsx</x:v>
      </x:c>
      <x:c r="I1428" s="73" t="str">
        <x:f>""</x:f>
      </x:c>
      <x:c r="J1428" s="74" t="str">
        <x:f>""</x:f>
      </x:c>
      <x:c r="K1428" s="73" t="n">
        <x:f>MAX(K1427,F1428)</x:f>
        <x:v>1.2511</x:v>
      </x:c>
      <x:c r="L1428" s="74" t="n">
        <x:f>1-F1428/K1428</x:f>
        <x:v>0.03964511230117507</x:v>
      </x:c>
      <x:c r="M1428" s="73" t="n">
        <x:f>MAX(M1427,F1428)</x:f>
        <x:v>1.2511</x:v>
      </x:c>
      <x:c r="N1428" s="74" t="n">
        <x:f>1-F1428/M1428</x:f>
        <x:v>0.03964511230117507</x:v>
      </x:c>
    </x:row>
    <x:row r="1429" ht="27" customHeight="1">
      <x:c r="A1429" s="66" t="str">
        <x:v>SXL267</x:v>
      </x:c>
      <x:c r="B1429" s="66" t="str">
        <x:v>滨风风云瑞丰1号</x:v>
      </x:c>
      <x:c r="C1429" s="72" t="n">
        <x:v>45471</x:v>
      </x:c>
      <x:c r="D1429" s="73" t="n">
        <x:v>1.2036</x:v>
      </x:c>
      <x:c r="E1429" s="73" t="n">
        <x:v>1.2036</x:v>
      </x:c>
      <x:c r="F1429" s="73" t="n">
        <x:v>1.2036</x:v>
      </x:c>
      <x:c r="G1429" s="74" t="n">
        <x:v>0.0017000000000000001</x:v>
      </x:c>
      <x:c r="H1429" s="66" t="str">
        <x:v>滨风风云瑞丰1号净值20260911.xlsx</x:v>
      </x:c>
      <x:c r="I1429" s="73" t="str">
        <x:f>""</x:f>
      </x:c>
      <x:c r="J1429" s="74" t="str">
        <x:f>""</x:f>
      </x:c>
      <x:c r="K1429" s="73" t="n">
        <x:f>MAX(K1428,F1429)</x:f>
        <x:v>1.2511</x:v>
      </x:c>
      <x:c r="L1429" s="74" t="n">
        <x:f>1-F1429/K1429</x:f>
        <x:v>0.03796658940132691</x:v>
      </x:c>
      <x:c r="M1429" s="73" t="n">
        <x:f>MAX(M1428,F1429)</x:f>
        <x:v>1.2511</x:v>
      </x:c>
      <x:c r="N1429" s="74" t="n">
        <x:f>1-F1429/M1429</x:f>
        <x:v>0.03796658940132691</x:v>
      </x:c>
    </x:row>
    <x:row r="1430" ht="27" customHeight="1">
      <x:c r="A1430" s="66" t="str">
        <x:v>SXL267</x:v>
      </x:c>
      <x:c r="B1430" s="66" t="str">
        <x:v>滨风风云瑞丰1号</x:v>
      </x:c>
      <x:c r="C1430" s="72" t="n">
        <x:v>45474</x:v>
      </x:c>
      <x:c r="D1430" s="73" t="n">
        <x:v>1.1996</x:v>
      </x:c>
      <x:c r="E1430" s="73" t="n">
        <x:v>1.1996</x:v>
      </x:c>
      <x:c r="F1430" s="73" t="n">
        <x:v>1.1996</x:v>
      </x:c>
      <x:c r="G1430" s="74" t="n">
        <x:v>-0.0033</x:v>
      </x:c>
      <x:c r="H1430" s="66" t="str">
        <x:v>滨风风云瑞丰1号净值20260911.xlsx</x:v>
      </x:c>
      <x:c r="I1430" s="73" t="str">
        <x:f>""</x:f>
      </x:c>
      <x:c r="J1430" s="74" t="str">
        <x:f>""</x:f>
      </x:c>
      <x:c r="K1430" s="73" t="n">
        <x:f>MAX(K1429,F1430)</x:f>
        <x:v>1.2511</x:v>
      </x:c>
      <x:c r="L1430" s="74" t="n">
        <x:f>1-F1430/K1430</x:f>
        <x:v>0.04116377587722808</x:v>
      </x:c>
      <x:c r="M1430" s="73" t="n">
        <x:f>MAX(M1429,F1430)</x:f>
        <x:v>1.2511</x:v>
      </x:c>
      <x:c r="N1430" s="74" t="n">
        <x:f>1-F1430/M1430</x:f>
        <x:v>0.04116377587722808</x:v>
      </x:c>
    </x:row>
    <x:row r="1431" ht="27" customHeight="1">
      <x:c r="A1431" s="66" t="str">
        <x:v>SXL267</x:v>
      </x:c>
      <x:c r="B1431" s="66" t="str">
        <x:v>滨风风云瑞丰1号</x:v>
      </x:c>
      <x:c r="C1431" s="72" t="n">
        <x:v>45475</x:v>
      </x:c>
      <x:c r="D1431" s="73" t="n">
        <x:v>1.2172</x:v>
      </x:c>
      <x:c r="E1431" s="73" t="n">
        <x:v>1.2172</x:v>
      </x:c>
      <x:c r="F1431" s="73" t="n">
        <x:v>1.2172</x:v>
      </x:c>
      <x:c r="G1431" s="74" t="n">
        <x:v>0.0147</x:v>
      </x:c>
      <x:c r="H1431" s="66" t="str">
        <x:v>滨风风云瑞丰1号净值20260911.xlsx</x:v>
      </x:c>
      <x:c r="I1431" s="73" t="str">
        <x:f>""</x:f>
      </x:c>
      <x:c r="J1431" s="74" t="str">
        <x:f>""</x:f>
      </x:c>
      <x:c r="K1431" s="73" t="n">
        <x:f>MAX(K1430,F1431)</x:f>
        <x:v>1.2511</x:v>
      </x:c>
      <x:c r="L1431" s="74" t="n">
        <x:f>1-F1431/K1431</x:f>
        <x:v>0.02709615538326271</x:v>
      </x:c>
      <x:c r="M1431" s="73" t="n">
        <x:f>MAX(M1430,F1431)</x:f>
        <x:v>1.2511</x:v>
      </x:c>
      <x:c r="N1431" s="74" t="n">
        <x:f>1-F1431/M1431</x:f>
        <x:v>0.02709615538326271</x:v>
      </x:c>
    </x:row>
    <x:row r="1432" ht="27" customHeight="1">
      <x:c r="A1432" s="66" t="str">
        <x:v>SXL267</x:v>
      </x:c>
      <x:c r="B1432" s="66" t="str">
        <x:v>滨风风云瑞丰1号</x:v>
      </x:c>
      <x:c r="C1432" s="72" t="n">
        <x:v>45476</x:v>
      </x:c>
      <x:c r="D1432" s="73" t="n">
        <x:v>1.2283</x:v>
      </x:c>
      <x:c r="E1432" s="73" t="n">
        <x:v>1.2283</x:v>
      </x:c>
      <x:c r="F1432" s="73" t="n">
        <x:v>1.2283</x:v>
      </x:c>
      <x:c r="G1432" s="74" t="n">
        <x:v>0.0091</x:v>
      </x:c>
      <x:c r="H1432" s="66" t="str">
        <x:v>滨风风云瑞丰1号净值20260911.xlsx</x:v>
      </x:c>
      <x:c r="I1432" s="73" t="str">
        <x:f>""</x:f>
      </x:c>
      <x:c r="J1432" s="74" t="str">
        <x:f>""</x:f>
      </x:c>
      <x:c r="K1432" s="73" t="n">
        <x:f>MAX(K1431,F1432)</x:f>
        <x:v>1.2511</x:v>
      </x:c>
      <x:c r="L1432" s="74" t="n">
        <x:f>1-F1432/K1432</x:f>
        <x:v>0.01822396291263695</x:v>
      </x:c>
      <x:c r="M1432" s="73" t="n">
        <x:f>MAX(M1431,F1432)</x:f>
        <x:v>1.2511</x:v>
      </x:c>
      <x:c r="N1432" s="74" t="n">
        <x:f>1-F1432/M1432</x:f>
        <x:v>0.01822396291263695</x:v>
      </x:c>
    </x:row>
    <x:row r="1433" ht="27" customHeight="1">
      <x:c r="A1433" s="66" t="str">
        <x:v>SXL267</x:v>
      </x:c>
      <x:c r="B1433" s="66" t="str">
        <x:v>滨风风云瑞丰1号</x:v>
      </x:c>
      <x:c r="C1433" s="72" t="n">
        <x:v>45477</x:v>
      </x:c>
      <x:c r="D1433" s="73" t="n">
        <x:v>1.2333</x:v>
      </x:c>
      <x:c r="E1433" s="73" t="n">
        <x:v>1.2333</x:v>
      </x:c>
      <x:c r="F1433" s="73" t="n">
        <x:v>1.2333</x:v>
      </x:c>
      <x:c r="G1433" s="74" t="n">
        <x:v>0.0040999999999999995</x:v>
      </x:c>
      <x:c r="H1433" s="66" t="str">
        <x:v>滨风风云瑞丰1号净值20260911.xlsx</x:v>
      </x:c>
      <x:c r="I1433" s="73" t="str">
        <x:f>""</x:f>
      </x:c>
      <x:c r="J1433" s="74" t="str">
        <x:f>""</x:f>
      </x:c>
      <x:c r="K1433" s="73" t="n">
        <x:f>MAX(K1432,F1433)</x:f>
        <x:v>1.2511</x:v>
      </x:c>
      <x:c r="L1433" s="74" t="n">
        <x:f>1-F1433/K1433</x:f>
        <x:v>0.014227479817760402</x:v>
      </x:c>
      <x:c r="M1433" s="73" t="n">
        <x:f>MAX(M1432,F1433)</x:f>
        <x:v>1.2511</x:v>
      </x:c>
      <x:c r="N1433" s="74" t="n">
        <x:f>1-F1433/M1433</x:f>
        <x:v>0.014227479817760402</x:v>
      </x:c>
    </x:row>
    <x:row r="1434" ht="27" customHeight="1">
      <x:c r="A1434" s="66" t="str">
        <x:v>SXL267</x:v>
      </x:c>
      <x:c r="B1434" s="66" t="str">
        <x:v>滨风风云瑞丰1号</x:v>
      </x:c>
      <x:c r="C1434" s="72" t="n">
        <x:v>45478</x:v>
      </x:c>
      <x:c r="D1434" s="73" t="n">
        <x:v>1.2283</x:v>
      </x:c>
      <x:c r="E1434" s="73" t="n">
        <x:v>1.2283</x:v>
      </x:c>
      <x:c r="F1434" s="73" t="n">
        <x:v>1.2283</x:v>
      </x:c>
      <x:c r="G1434" s="74" t="n">
        <x:v>-0.0040999999999999995</x:v>
      </x:c>
      <x:c r="H1434" s="66" t="str">
        <x:v>滨风风云瑞丰1号净值20260911.xlsx</x:v>
      </x:c>
      <x:c r="I1434" s="73" t="str">
        <x:f>""</x:f>
      </x:c>
      <x:c r="J1434" s="74" t="str">
        <x:f>""</x:f>
      </x:c>
      <x:c r="K1434" s="73" t="n">
        <x:f>MAX(K1433,F1434)</x:f>
        <x:v>1.2511</x:v>
      </x:c>
      <x:c r="L1434" s="74" t="n">
        <x:f>1-F1434/K1434</x:f>
        <x:v>0.01822396291263695</x:v>
      </x:c>
      <x:c r="M1434" s="73" t="n">
        <x:f>MAX(M1433,F1434)</x:f>
        <x:v>1.2511</x:v>
      </x:c>
      <x:c r="N1434" s="74" t="n">
        <x:f>1-F1434/M1434</x:f>
        <x:v>0.01822396291263695</x:v>
      </x:c>
    </x:row>
    <x:row r="1435" ht="27" customHeight="1">
      <x:c r="A1435" s="66" t="str">
        <x:v>SXL267</x:v>
      </x:c>
      <x:c r="B1435" s="66" t="str">
        <x:v>滨风风云瑞丰1号</x:v>
      </x:c>
      <x:c r="C1435" s="72" t="n">
        <x:v>45481</x:v>
      </x:c>
      <x:c r="D1435" s="73" t="n">
        <x:v>1.236</x:v>
      </x:c>
      <x:c r="E1435" s="73" t="n">
        <x:v>1.236</x:v>
      </x:c>
      <x:c r="F1435" s="73" t="n">
        <x:v>1.236</x:v>
      </x:c>
      <x:c r="G1435" s="74" t="n">
        <x:v>0.0063</x:v>
      </x:c>
      <x:c r="H1435" s="66" t="str">
        <x:v>滨风风云瑞丰1号净值20260911.xlsx</x:v>
      </x:c>
      <x:c r="I1435" s="73" t="str">
        <x:f>""</x:f>
      </x:c>
      <x:c r="J1435" s="74" t="str">
        <x:f>""</x:f>
      </x:c>
      <x:c r="K1435" s="73" t="n">
        <x:f>MAX(K1434,F1435)</x:f>
        <x:v>1.2511</x:v>
      </x:c>
      <x:c r="L1435" s="74" t="n">
        <x:f>1-F1435/K1435</x:f>
        <x:v>0.012069378946527154</x:v>
      </x:c>
      <x:c r="M1435" s="73" t="n">
        <x:f>MAX(M1434,F1435)</x:f>
        <x:v>1.2511</x:v>
      </x:c>
      <x:c r="N1435" s="74" t="n">
        <x:f>1-F1435/M1435</x:f>
        <x:v>0.012069378946527154</x:v>
      </x:c>
    </x:row>
    <x:row r="1436" ht="27" customHeight="1">
      <x:c r="A1436" s="66" t="str">
        <x:v>SXL267</x:v>
      </x:c>
      <x:c r="B1436" s="66" t="str">
        <x:v>滨风风云瑞丰1号</x:v>
      </x:c>
      <x:c r="C1436" s="72" t="n">
        <x:v>45482</x:v>
      </x:c>
      <x:c r="D1436" s="73" t="n">
        <x:v>1.2346</x:v>
      </x:c>
      <x:c r="E1436" s="73" t="n">
        <x:v>1.2346</x:v>
      </x:c>
      <x:c r="F1436" s="73" t="n">
        <x:v>1.2346</x:v>
      </x:c>
      <x:c r="G1436" s="74" t="n">
        <x:v>-0.0011</x:v>
      </x:c>
      <x:c r="H1436" s="66" t="str">
        <x:v>滨风风云瑞丰1号净值20260911.xlsx</x:v>
      </x:c>
      <x:c r="I1436" s="73" t="str">
        <x:f>""</x:f>
      </x:c>
      <x:c r="J1436" s="74" t="str">
        <x:f>""</x:f>
      </x:c>
      <x:c r="K1436" s="73" t="n">
        <x:f>MAX(K1435,F1436)</x:f>
        <x:v>1.2511</x:v>
      </x:c>
      <x:c r="L1436" s="74" t="n">
        <x:f>1-F1436/K1436</x:f>
        <x:v>0.013188394213092591</x:v>
      </x:c>
      <x:c r="M1436" s="73" t="n">
        <x:f>MAX(M1435,F1436)</x:f>
        <x:v>1.2511</x:v>
      </x:c>
      <x:c r="N1436" s="74" t="n">
        <x:f>1-F1436/M1436</x:f>
        <x:v>0.013188394213092591</x:v>
      </x:c>
    </x:row>
    <x:row r="1437" ht="27" customHeight="1">
      <x:c r="A1437" s="66" t="str">
        <x:v>SXL267</x:v>
      </x:c>
      <x:c r="B1437" s="66" t="str">
        <x:v>滨风风云瑞丰1号</x:v>
      </x:c>
      <x:c r="C1437" s="72" t="n">
        <x:v>45483</x:v>
      </x:c>
      <x:c r="D1437" s="73" t="n">
        <x:v>1.2444</x:v>
      </x:c>
      <x:c r="E1437" s="73" t="n">
        <x:v>1.2444</x:v>
      </x:c>
      <x:c r="F1437" s="73" t="n">
        <x:v>1.2444</x:v>
      </x:c>
      <x:c r="G1437" s="74" t="n">
        <x:v>0.0079</x:v>
      </x:c>
      <x:c r="H1437" s="66" t="str">
        <x:v>滨风风云瑞丰1号净值20260911.xlsx</x:v>
      </x:c>
      <x:c r="I1437" s="73" t="str">
        <x:f>""</x:f>
      </x:c>
      <x:c r="J1437" s="74" t="str">
        <x:f>""</x:f>
      </x:c>
      <x:c r="K1437" s="73" t="n">
        <x:f>MAX(K1436,F1437)</x:f>
        <x:v>1.2511</x:v>
      </x:c>
      <x:c r="L1437" s="74" t="n">
        <x:f>1-F1437/K1437</x:f>
        <x:v>0.005355287347134641</x:v>
      </x:c>
      <x:c r="M1437" s="73" t="n">
        <x:f>MAX(M1436,F1437)</x:f>
        <x:v>1.2511</x:v>
      </x:c>
      <x:c r="N1437" s="74" t="n">
        <x:f>1-F1437/M1437</x:f>
        <x:v>0.005355287347134641</x:v>
      </x:c>
    </x:row>
    <x:row r="1438" ht="27" customHeight="1">
      <x:c r="A1438" s="66" t="str">
        <x:v>SXL267</x:v>
      </x:c>
      <x:c r="B1438" s="66" t="str">
        <x:v>滨风风云瑞丰1号</x:v>
      </x:c>
      <x:c r="C1438" s="72" t="n">
        <x:v>45484</x:v>
      </x:c>
      <x:c r="D1438" s="73" t="n">
        <x:v>1.246</x:v>
      </x:c>
      <x:c r="E1438" s="73" t="n">
        <x:v>1.246</x:v>
      </x:c>
      <x:c r="F1438" s="73" t="n">
        <x:v>1.246</x:v>
      </x:c>
      <x:c r="G1438" s="74" t="n">
        <x:v>0.0013</x:v>
      </x:c>
      <x:c r="H1438" s="66" t="str">
        <x:v>滨风风云瑞丰1号净值20260911.xlsx</x:v>
      </x:c>
      <x:c r="I1438" s="73" t="str">
        <x:f>""</x:f>
      </x:c>
      <x:c r="J1438" s="74" t="str">
        <x:f>""</x:f>
      </x:c>
      <x:c r="K1438" s="73" t="n">
        <x:f>MAX(K1437,F1438)</x:f>
        <x:v>1.2511</x:v>
      </x:c>
      <x:c r="L1438" s="74" t="n">
        <x:f>1-F1438/K1438</x:f>
        <x:v>0.004076412756774173</x:v>
      </x:c>
      <x:c r="M1438" s="73" t="n">
        <x:f>MAX(M1437,F1438)</x:f>
        <x:v>1.2511</x:v>
      </x:c>
      <x:c r="N1438" s="74" t="n">
        <x:f>1-F1438/M1438</x:f>
        <x:v>0.004076412756774173</x:v>
      </x:c>
    </x:row>
    <x:row r="1439" ht="27" customHeight="1">
      <x:c r="A1439" s="66" t="str">
        <x:v>SXL267</x:v>
      </x:c>
      <x:c r="B1439" s="66" t="str">
        <x:v>滨风风云瑞丰1号</x:v>
      </x:c>
      <x:c r="C1439" s="72" t="n">
        <x:v>45485</x:v>
      </x:c>
      <x:c r="D1439" s="73" t="n">
        <x:v>1.2369</x:v>
      </x:c>
      <x:c r="E1439" s="73" t="n">
        <x:v>1.2369</x:v>
      </x:c>
      <x:c r="F1439" s="73" t="n">
        <x:v>1.2369</x:v>
      </x:c>
      <x:c r="G1439" s="74" t="n">
        <x:v>-0.0073</x:v>
      </x:c>
      <x:c r="H1439" s="66" t="str">
        <x:v>滨风风云瑞丰1号净值20260911.xlsx</x:v>
      </x:c>
      <x:c r="I1439" s="73" t="str">
        <x:f>""</x:f>
      </x:c>
      <x:c r="J1439" s="74" t="str">
        <x:f>""</x:f>
      </x:c>
      <x:c r="K1439" s="73" t="n">
        <x:f>MAX(K1438,F1439)</x:f>
        <x:v>1.2511</x:v>
      </x:c>
      <x:c r="L1439" s="74" t="n">
        <x:f>1-F1439/K1439</x:f>
        <x:v>0.011350011989449293</x:v>
      </x:c>
      <x:c r="M1439" s="73" t="n">
        <x:f>MAX(M1438,F1439)</x:f>
        <x:v>1.2511</x:v>
      </x:c>
      <x:c r="N1439" s="74" t="n">
        <x:f>1-F1439/M1439</x:f>
        <x:v>0.011350011989449293</x:v>
      </x:c>
    </x:row>
    <x:row r="1440" ht="27" customHeight="1">
      <x:c r="A1440" s="66" t="str">
        <x:v>SXL267</x:v>
      </x:c>
      <x:c r="B1440" s="66" t="str">
        <x:v>滨风风云瑞丰1号</x:v>
      </x:c>
      <x:c r="C1440" s="72" t="n">
        <x:v>45488</x:v>
      </x:c>
      <x:c r="D1440" s="73" t="n">
        <x:v>1.2285</x:v>
      </x:c>
      <x:c r="E1440" s="73" t="n">
        <x:v>1.2285</x:v>
      </x:c>
      <x:c r="F1440" s="73" t="n">
        <x:v>1.2285</x:v>
      </x:c>
      <x:c r="G1440" s="74" t="n">
        <x:v>-0.0068000000000000005</x:v>
      </x:c>
      <x:c r="H1440" s="66" t="str">
        <x:v>滨风风云瑞丰1号净值20260911.xlsx</x:v>
      </x:c>
      <x:c r="I1440" s="73" t="str">
        <x:f>""</x:f>
      </x:c>
      <x:c r="J1440" s="74" t="str">
        <x:f>""</x:f>
      </x:c>
      <x:c r="K1440" s="73" t="n">
        <x:f>MAX(K1439,F1440)</x:f>
        <x:v>1.2511</x:v>
      </x:c>
      <x:c r="L1440" s="74" t="n">
        <x:f>1-F1440/K1440</x:f>
        <x:v>0.018064103588841918</x:v>
      </x:c>
      <x:c r="M1440" s="73" t="n">
        <x:f>MAX(M1439,F1440)</x:f>
        <x:v>1.2511</x:v>
      </x:c>
      <x:c r="N1440" s="74" t="n">
        <x:f>1-F1440/M1440</x:f>
        <x:v>0.018064103588841918</x:v>
      </x:c>
    </x:row>
    <x:row r="1441" ht="27" customHeight="1">
      <x:c r="A1441" s="66" t="str">
        <x:v>SXL267</x:v>
      </x:c>
      <x:c r="B1441" s="66" t="str">
        <x:v>滨风风云瑞丰1号</x:v>
      </x:c>
      <x:c r="C1441" s="72" t="n">
        <x:v>45489</x:v>
      </x:c>
      <x:c r="D1441" s="73" t="n">
        <x:v>1.2189</x:v>
      </x:c>
      <x:c r="E1441" s="73" t="n">
        <x:v>1.2189</x:v>
      </x:c>
      <x:c r="F1441" s="73" t="n">
        <x:v>1.2189</x:v>
      </x:c>
      <x:c r="G1441" s="74" t="n">
        <x:v>-0.0078000000000000005</x:v>
      </x:c>
      <x:c r="H1441" s="66" t="str">
        <x:v>滨风风云瑞丰1号净值20260911.xlsx</x:v>
      </x:c>
      <x:c r="I1441" s="73" t="str">
        <x:f>""</x:f>
      </x:c>
      <x:c r="J1441" s="74" t="str">
        <x:f>""</x:f>
      </x:c>
      <x:c r="K1441" s="73" t="n">
        <x:f>MAX(K1440,F1441)</x:f>
        <x:v>1.2511</x:v>
      </x:c>
      <x:c r="L1441" s="74" t="n">
        <x:f>1-F1441/K1441</x:f>
        <x:v>0.025737351131004726</x:v>
      </x:c>
      <x:c r="M1441" s="73" t="n">
        <x:f>MAX(M1440,F1441)</x:f>
        <x:v>1.2511</x:v>
      </x:c>
      <x:c r="N1441" s="74" t="n">
        <x:f>1-F1441/M1441</x:f>
        <x:v>0.025737351131004726</x:v>
      </x:c>
    </x:row>
    <x:row r="1442" ht="27" customHeight="1">
      <x:c r="A1442" s="66" t="str">
        <x:v>SXL267</x:v>
      </x:c>
      <x:c r="B1442" s="66" t="str">
        <x:v>滨风风云瑞丰1号</x:v>
      </x:c>
      <x:c r="C1442" s="72" t="n">
        <x:v>45490</x:v>
      </x:c>
      <x:c r="D1442" s="73" t="n">
        <x:v>1.196</x:v>
      </x:c>
      <x:c r="E1442" s="73" t="n">
        <x:v>1.196</x:v>
      </x:c>
      <x:c r="F1442" s="73" t="n">
        <x:v>1.196</x:v>
      </x:c>
      <x:c r="G1442" s="74" t="n">
        <x:v>-0.018799999999999997</x:v>
      </x:c>
      <x:c r="H1442" s="66" t="str">
        <x:v>滨风风云瑞丰1号净值20260911.xlsx</x:v>
      </x:c>
      <x:c r="I1442" s="73" t="str">
        <x:f>""</x:f>
      </x:c>
      <x:c r="J1442" s="74" t="str">
        <x:f>""</x:f>
      </x:c>
      <x:c r="K1442" s="73" t="n">
        <x:f>MAX(K1441,F1442)</x:f>
        <x:v>1.2511</x:v>
      </x:c>
      <x:c r="L1442" s="74" t="n">
        <x:f>1-F1442/K1442</x:f>
        <x:v>0.04404124370553919</x:v>
      </x:c>
      <x:c r="M1442" s="73" t="n">
        <x:f>MAX(M1441,F1442)</x:f>
        <x:v>1.2511</x:v>
      </x:c>
      <x:c r="N1442" s="74" t="n">
        <x:f>1-F1442/M1442</x:f>
        <x:v>0.04404124370553919</x:v>
      </x:c>
    </x:row>
    <x:row r="1443" ht="27" customHeight="1">
      <x:c r="A1443" s="66" t="str">
        <x:v>SXL267</x:v>
      </x:c>
      <x:c r="B1443" s="66" t="str">
        <x:v>滨风风云瑞丰1号</x:v>
      </x:c>
      <x:c r="C1443" s="72" t="n">
        <x:v>45491</x:v>
      </x:c>
      <x:c r="D1443" s="73" t="n">
        <x:v>1.2099</x:v>
      </x:c>
      <x:c r="E1443" s="73" t="n">
        <x:v>1.2099</x:v>
      </x:c>
      <x:c r="F1443" s="73" t="n">
        <x:v>1.2099</x:v>
      </x:c>
      <x:c r="G1443" s="74" t="n">
        <x:v>0.0116</x:v>
      </x:c>
      <x:c r="H1443" s="66" t="str">
        <x:v>滨风风云瑞丰1号净值20260911.xlsx</x:v>
      </x:c>
      <x:c r="I1443" s="73" t="str">
        <x:f>""</x:f>
      </x:c>
      <x:c r="J1443" s="74" t="str">
        <x:f>""</x:f>
      </x:c>
      <x:c r="K1443" s="73" t="n">
        <x:f>MAX(K1442,F1443)</x:f>
        <x:v>1.2511</x:v>
      </x:c>
      <x:c r="L1443" s="74" t="n">
        <x:f>1-F1443/K1443</x:f>
        <x:v>0.032931020701782554</x:v>
      </x:c>
      <x:c r="M1443" s="73" t="n">
        <x:f>MAX(M1442,F1443)</x:f>
        <x:v>1.2511</x:v>
      </x:c>
      <x:c r="N1443" s="74" t="n">
        <x:f>1-F1443/M1443</x:f>
        <x:v>0.032931020701782554</x:v>
      </x:c>
    </x:row>
    <x:row r="1444" ht="27" customHeight="1">
      <x:c r="A1444" s="66" t="str">
        <x:v>SXL267</x:v>
      </x:c>
      <x:c r="B1444" s="66" t="str">
        <x:v>滨风风云瑞丰1号</x:v>
      </x:c>
      <x:c r="C1444" s="72" t="n">
        <x:v>45492</x:v>
      </x:c>
      <x:c r="D1444" s="73" t="n">
        <x:v>1.203</x:v>
      </x:c>
      <x:c r="E1444" s="73" t="n">
        <x:v>1.203</x:v>
      </x:c>
      <x:c r="F1444" s="73" t="n">
        <x:v>1.203</x:v>
      </x:c>
      <x:c r="G1444" s="74" t="n">
        <x:v>-0.005699999999999999</x:v>
      </x:c>
      <x:c r="H1444" s="66" t="str">
        <x:v>滨风风云瑞丰1号净值20260911.xlsx</x:v>
      </x:c>
      <x:c r="I1444" s="73" t="str">
        <x:f>""</x:f>
      </x:c>
      <x:c r="J1444" s="74" t="str">
        <x:f>""</x:f>
      </x:c>
      <x:c r="K1444" s="73" t="n">
        <x:f>MAX(K1443,F1444)</x:f>
        <x:v>1.2511</x:v>
      </x:c>
      <x:c r="L1444" s="74" t="n">
        <x:f>1-F1444/K1444</x:f>
        <x:v>0.038446167372712</x:v>
      </x:c>
      <x:c r="M1444" s="73" t="n">
        <x:f>MAX(M1443,F1444)</x:f>
        <x:v>1.2511</x:v>
      </x:c>
      <x:c r="N1444" s="74" t="n">
        <x:f>1-F1444/M1444</x:f>
        <x:v>0.038446167372712</x:v>
      </x:c>
    </x:row>
    <x:row r="1445" ht="27" customHeight="1">
      <x:c r="A1445" s="66" t="str">
        <x:v>SXL267</x:v>
      </x:c>
      <x:c r="B1445" s="66" t="str">
        <x:v>滨风风云瑞丰1号</x:v>
      </x:c>
      <x:c r="C1445" s="72" t="n">
        <x:v>45495</x:v>
      </x:c>
      <x:c r="D1445" s="73" t="n">
        <x:v>1.2199</x:v>
      </x:c>
      <x:c r="E1445" s="73" t="n">
        <x:v>1.2199</x:v>
      </x:c>
      <x:c r="F1445" s="73" t="n">
        <x:v>1.2199</x:v>
      </x:c>
      <x:c r="G1445" s="74" t="n">
        <x:v>0.013999999999999999</x:v>
      </x:c>
      <x:c r="H1445" s="66" t="str">
        <x:v>滨风风云瑞丰1号净值20260911.xlsx</x:v>
      </x:c>
      <x:c r="I1445" s="73" t="str">
        <x:f>""</x:f>
      </x:c>
      <x:c r="J1445" s="74" t="str">
        <x:f>""</x:f>
      </x:c>
      <x:c r="K1445" s="73" t="n">
        <x:f>MAX(K1444,F1445)</x:f>
        <x:v>1.2511</x:v>
      </x:c>
      <x:c r="L1445" s="74" t="n">
        <x:f>1-F1445/K1445</x:f>
        <x:v>0.02493805451202946</x:v>
      </x:c>
      <x:c r="M1445" s="73" t="n">
        <x:f>MAX(M1444,F1445)</x:f>
        <x:v>1.2511</x:v>
      </x:c>
      <x:c r="N1445" s="74" t="n">
        <x:f>1-F1445/M1445</x:f>
        <x:v>0.02493805451202946</x:v>
      </x:c>
    </x:row>
    <x:row r="1446" ht="27" customHeight="1">
      <x:c r="A1446" s="66" t="str">
        <x:v>SXL267</x:v>
      </x:c>
      <x:c r="B1446" s="66" t="str">
        <x:v>滨风风云瑞丰1号</x:v>
      </x:c>
      <x:c r="C1446" s="72" t="n">
        <x:v>45496</x:v>
      </x:c>
      <x:c r="D1446" s="73" t="n">
        <x:v>1.2505</x:v>
      </x:c>
      <x:c r="E1446" s="73" t="n">
        <x:v>1.2505</x:v>
      </x:c>
      <x:c r="F1446" s="73" t="n">
        <x:v>1.2505</x:v>
      </x:c>
      <x:c r="G1446" s="74" t="n">
        <x:v>0.025099999999999997</x:v>
      </x:c>
      <x:c r="H1446" s="66" t="str">
        <x:v>滨风风云瑞丰1号净值20260911.xlsx</x:v>
      </x:c>
      <x:c r="I1446" s="73" t="str">
        <x:f>""</x:f>
      </x:c>
      <x:c r="J1446" s="74" t="str">
        <x:f>""</x:f>
      </x:c>
      <x:c r="K1446" s="73" t="n">
        <x:f>MAX(K1445,F1446)</x:f>
        <x:v>1.2511</x:v>
      </x:c>
      <x:c r="L1446" s="74" t="n">
        <x:f>1-F1446/K1446</x:f>
        <x:v>0.00047957797138531433</x:v>
      </x:c>
      <x:c r="M1446" s="73" t="n">
        <x:f>MAX(M1445,F1446)</x:f>
        <x:v>1.2511</x:v>
      </x:c>
      <x:c r="N1446" s="74" t="n">
        <x:f>1-F1446/M1446</x:f>
        <x:v>0.00047957797138531433</x:v>
      </x:c>
    </x:row>
    <x:row r="1447" ht="27" customHeight="1">
      <x:c r="A1447" s="66" t="str">
        <x:v>SXL267</x:v>
      </x:c>
      <x:c r="B1447" s="66" t="str">
        <x:v>滨风风云瑞丰1号</x:v>
      </x:c>
      <x:c r="C1447" s="72" t="n">
        <x:v>45497</x:v>
      </x:c>
      <x:c r="D1447" s="73" t="n">
        <x:v>1.2471</x:v>
      </x:c>
      <x:c r="E1447" s="73" t="n">
        <x:v>1.2471</x:v>
      </x:c>
      <x:c r="F1447" s="73" t="n">
        <x:v>1.2471</x:v>
      </x:c>
      <x:c r="G1447" s="74" t="n">
        <x:v>-0.0027</x:v>
      </x:c>
      <x:c r="H1447" s="66" t="str">
        <x:v>滨风风云瑞丰1号净值20260911.xlsx</x:v>
      </x:c>
      <x:c r="I1447" s="73" t="str">
        <x:f>""</x:f>
      </x:c>
      <x:c r="J1447" s="74" t="str">
        <x:f>""</x:f>
      </x:c>
      <x:c r="K1447" s="73" t="n">
        <x:f>MAX(K1446,F1447)</x:f>
        <x:v>1.2511</x:v>
      </x:c>
      <x:c r="L1447" s="74" t="n">
        <x:f>1-F1447/K1447</x:f>
        <x:v>0.0031971864759011703</x:v>
      </x:c>
      <x:c r="M1447" s="73" t="n">
        <x:f>MAX(M1446,F1447)</x:f>
        <x:v>1.2511</x:v>
      </x:c>
      <x:c r="N1447" s="74" t="n">
        <x:f>1-F1447/M1447</x:f>
        <x:v>0.0031971864759011703</x:v>
      </x:c>
    </x:row>
    <x:row r="1448" ht="27" customHeight="1">
      <x:c r="A1448" s="66" t="str">
        <x:v>SXL267</x:v>
      </x:c>
      <x:c r="B1448" s="66" t="str">
        <x:v>滨风风云瑞丰1号</x:v>
      </x:c>
      <x:c r="C1448" s="72" t="n">
        <x:v>45498</x:v>
      </x:c>
      <x:c r="D1448" s="73" t="n">
        <x:v>1.2539</x:v>
      </x:c>
      <x:c r="E1448" s="73" t="n">
        <x:v>1.2539</x:v>
      </x:c>
      <x:c r="F1448" s="73" t="n">
        <x:v>1.2539</x:v>
      </x:c>
      <x:c r="G1448" s="74" t="n">
        <x:v>0.0055000000000000005</x:v>
      </x:c>
      <x:c r="H1448" s="66" t="str">
        <x:v>滨风风云瑞丰1号净值20260911.xlsx</x:v>
      </x:c>
      <x:c r="I1448" s="73" t="str">
        <x:f>""</x:f>
      </x:c>
      <x:c r="J1448" s="74" t="str">
        <x:f>""</x:f>
      </x:c>
      <x:c r="K1448" s="73" t="n">
        <x:f>MAX(K1447,F1448)</x:f>
        <x:v>1.2539</x:v>
      </x:c>
      <x:c r="L1448" s="74" t="n">
        <x:f>1-F1448/K1448</x:f>
        <x:v>0</x:v>
      </x:c>
      <x:c r="M1448" s="73" t="n">
        <x:f>MAX(M1447,F1448)</x:f>
        <x:v>1.2539</x:v>
      </x:c>
      <x:c r="N1448" s="74" t="n">
        <x:f>1-F1448/M1448</x:f>
        <x:v>0</x:v>
      </x:c>
    </x:row>
    <x:row r="1449" ht="27" customHeight="1">
      <x:c r="A1449" s="66" t="str">
        <x:v>SXL267</x:v>
      </x:c>
      <x:c r="B1449" s="66" t="str">
        <x:v>滨风风云瑞丰1号</x:v>
      </x:c>
      <x:c r="C1449" s="72" t="n">
        <x:v>45499</x:v>
      </x:c>
      <x:c r="D1449" s="73" t="n">
        <x:v>1.2588</x:v>
      </x:c>
      <x:c r="E1449" s="73" t="n">
        <x:v>1.2588</x:v>
      </x:c>
      <x:c r="F1449" s="73" t="n">
        <x:v>1.2588</x:v>
      </x:c>
      <x:c r="G1449" s="74" t="n">
        <x:v>0.0039000000000000003</x:v>
      </x:c>
      <x:c r="H1449" s="66" t="str">
        <x:v>滨风风云瑞丰1号净值20260911.xlsx</x:v>
      </x:c>
      <x:c r="I1449" s="73" t="str">
        <x:f>""</x:f>
      </x:c>
      <x:c r="J1449" s="74" t="str">
        <x:f>""</x:f>
      </x:c>
      <x:c r="K1449" s="73" t="n">
        <x:f>MAX(K1448,F1449)</x:f>
        <x:v>1.2588</x:v>
      </x:c>
      <x:c r="L1449" s="74" t="n">
        <x:f>1-F1449/K1449</x:f>
        <x:v>0</x:v>
      </x:c>
      <x:c r="M1449" s="73" t="n">
        <x:f>MAX(M1448,F1449)</x:f>
        <x:v>1.2588</x:v>
      </x:c>
      <x:c r="N1449" s="74" t="n">
        <x:f>1-F1449/M1449</x:f>
        <x:v>0</x:v>
      </x:c>
    </x:row>
    <x:row r="1450" ht="27" customHeight="1">
      <x:c r="A1450" s="66" t="str">
        <x:v>SXL267</x:v>
      </x:c>
      <x:c r="B1450" s="66" t="str">
        <x:v>滨风风云瑞丰1号</x:v>
      </x:c>
      <x:c r="C1450" s="72" t="n">
        <x:v>45502</x:v>
      </x:c>
      <x:c r="D1450" s="73" t="n">
        <x:v>1.2371</x:v>
      </x:c>
      <x:c r="E1450" s="73" t="n">
        <x:v>1.2371</x:v>
      </x:c>
      <x:c r="F1450" s="73" t="n">
        <x:v>1.2371</x:v>
      </x:c>
      <x:c r="G1450" s="74" t="n">
        <x:v>-0.0172</x:v>
      </x:c>
      <x:c r="H1450" s="66" t="str">
        <x:v>滨风风云瑞丰1号净值20260911.xlsx</x:v>
      </x:c>
      <x:c r="I1450" s="73" t="str">
        <x:f>""</x:f>
      </x:c>
      <x:c r="J1450" s="74" t="str">
        <x:f>""</x:f>
      </x:c>
      <x:c r="K1450" s="73" t="n">
        <x:f>MAX(K1449,F1450)</x:f>
        <x:v>1.2588</x:v>
      </x:c>
      <x:c r="L1450" s="74" t="n">
        <x:f>1-F1450/K1450</x:f>
        <x:v>0.017238639974578862</x:v>
      </x:c>
      <x:c r="M1450" s="73" t="n">
        <x:f>MAX(M1449,F1450)</x:f>
        <x:v>1.2588</x:v>
      </x:c>
      <x:c r="N1450" s="74" t="n">
        <x:f>1-F1450/M1450</x:f>
        <x:v>0.017238639974578862</x:v>
      </x:c>
    </x:row>
    <x:row r="1451" ht="27" customHeight="1">
      <x:c r="A1451" s="66" t="str">
        <x:v>SXL267</x:v>
      </x:c>
      <x:c r="B1451" s="66" t="str">
        <x:v>滨风风云瑞丰1号</x:v>
      </x:c>
      <x:c r="C1451" s="72" t="n">
        <x:v>45503</x:v>
      </x:c>
      <x:c r="D1451" s="73" t="n">
        <x:v>1.2461</x:v>
      </x:c>
      <x:c r="E1451" s="73" t="n">
        <x:v>1.2461</x:v>
      </x:c>
      <x:c r="F1451" s="73" t="n">
        <x:v>1.2461</x:v>
      </x:c>
      <x:c r="G1451" s="74" t="n">
        <x:v>0.0073</x:v>
      </x:c>
      <x:c r="H1451" s="66" t="str">
        <x:v>滨风风云瑞丰1号净值20260911.xlsx</x:v>
      </x:c>
      <x:c r="I1451" s="73" t="str">
        <x:f>""</x:f>
      </x:c>
      <x:c r="J1451" s="74" t="str">
        <x:f>""</x:f>
      </x:c>
      <x:c r="K1451" s="73" t="n">
        <x:f>MAX(K1450,F1451)</x:f>
        <x:v>1.2588</x:v>
      </x:c>
      <x:c r="L1451" s="74" t="n">
        <x:f>1-F1451/K1451</x:f>
        <x:v>0.01008897362567518</x:v>
      </x:c>
      <x:c r="M1451" s="73" t="n">
        <x:f>MAX(M1450,F1451)</x:f>
        <x:v>1.2588</x:v>
      </x:c>
      <x:c r="N1451" s="74" t="n">
        <x:f>1-F1451/M1451</x:f>
        <x:v>0.01008897362567518</x:v>
      </x:c>
    </x:row>
    <x:row r="1452" ht="27" customHeight="1">
      <x:c r="A1452" s="66" t="str">
        <x:v>SXL267</x:v>
      </x:c>
      <x:c r="B1452" s="66" t="str">
        <x:v>滨风风云瑞丰1号</x:v>
      </x:c>
      <x:c r="C1452" s="72" t="n">
        <x:v>45504</x:v>
      </x:c>
      <x:c r="D1452" s="73" t="n">
        <x:v>1.2423</x:v>
      </x:c>
      <x:c r="E1452" s="73" t="n">
        <x:v>1.2423</x:v>
      </x:c>
      <x:c r="F1452" s="73" t="n">
        <x:v>1.2423</x:v>
      </x:c>
      <x:c r="G1452" s="74" t="n">
        <x:v>-0.003</x:v>
      </x:c>
      <x:c r="H1452" s="66" t="str">
        <x:v>滨风风云瑞丰1号净值20260911.xlsx</x:v>
      </x:c>
      <x:c r="I1452" s="73" t="str">
        <x:f>""</x:f>
      </x:c>
      <x:c r="J1452" s="74" t="str">
        <x:f>""</x:f>
      </x:c>
      <x:c r="K1452" s="73" t="n">
        <x:f>MAX(K1451,F1452)</x:f>
        <x:v>1.2588</x:v>
      </x:c>
      <x:c r="L1452" s="74" t="n">
        <x:f>1-F1452/K1452</x:f>
        <x:v>0.013107721639656789</x:v>
      </x:c>
      <x:c r="M1452" s="73" t="n">
        <x:f>MAX(M1451,F1452)</x:f>
        <x:v>1.2588</x:v>
      </x:c>
      <x:c r="N1452" s="74" t="n">
        <x:f>1-F1452/M1452</x:f>
        <x:v>0.013107721639656789</x:v>
      </x:c>
    </x:row>
    <x:row r="1453" ht="27" customHeight="1">
      <x:c r="A1453" s="66" t="str">
        <x:v>SXL267</x:v>
      </x:c>
      <x:c r="B1453" s="66" t="str">
        <x:v>滨风风云瑞丰1号</x:v>
      </x:c>
      <x:c r="C1453" s="72" t="n">
        <x:v>45505</x:v>
      </x:c>
      <x:c r="D1453" s="73" t="n">
        <x:v>1.2518</x:v>
      </x:c>
      <x:c r="E1453" s="73" t="n">
        <x:v>1.2518</x:v>
      </x:c>
      <x:c r="F1453" s="73" t="n">
        <x:v>1.2518</x:v>
      </x:c>
      <x:c r="G1453" s="74" t="n">
        <x:v>0.0076</x:v>
      </x:c>
      <x:c r="H1453" s="66" t="str">
        <x:v>滨风风云瑞丰1号净值20260911.xlsx</x:v>
      </x:c>
      <x:c r="I1453" s="73" t="str">
        <x:f>""</x:f>
      </x:c>
      <x:c r="J1453" s="74" t="str">
        <x:f>""</x:f>
      </x:c>
      <x:c r="K1453" s="73" t="n">
        <x:f>MAX(K1452,F1453)</x:f>
        <x:v>1.2588</x:v>
      </x:c>
      <x:c r="L1453" s="74" t="n">
        <x:f>1-F1453/K1453</x:f>
        <x:v>0.005560851604702766</x:v>
      </x:c>
      <x:c r="M1453" s="73" t="n">
        <x:f>MAX(M1452,F1453)</x:f>
        <x:v>1.2588</x:v>
      </x:c>
      <x:c r="N1453" s="74" t="n">
        <x:f>1-F1453/M1453</x:f>
        <x:v>0.005560851604702766</x:v>
      </x:c>
    </x:row>
    <x:row r="1454" ht="27" customHeight="1">
      <x:c r="A1454" s="66" t="str">
        <x:v>SXL267</x:v>
      </x:c>
      <x:c r="B1454" s="66" t="str">
        <x:v>滨风风云瑞丰1号</x:v>
      </x:c>
      <x:c r="C1454" s="72" t="n">
        <x:v>45506</x:v>
      </x:c>
      <x:c r="D1454" s="73" t="n">
        <x:v>1.2537</x:v>
      </x:c>
      <x:c r="E1454" s="73" t="n">
        <x:v>1.2537</x:v>
      </x:c>
      <x:c r="F1454" s="73" t="n">
        <x:v>1.2537</x:v>
      </x:c>
      <x:c r="G1454" s="74" t="n">
        <x:v>0.0015</x:v>
      </x:c>
      <x:c r="H1454" s="66" t="str">
        <x:v>滨风风云瑞丰1号净值20260911.xlsx</x:v>
      </x:c>
      <x:c r="I1454" s="73" t="str">
        <x:f>""</x:f>
      </x:c>
      <x:c r="J1454" s="74" t="str">
        <x:f>""</x:f>
      </x:c>
      <x:c r="K1454" s="73" t="n">
        <x:f>MAX(K1453,F1454)</x:f>
        <x:v>1.2588</x:v>
      </x:c>
      <x:c r="L1454" s="74" t="n">
        <x:f>1-F1454/K1454</x:f>
        <x:v>0.004051477597711961</x:v>
      </x:c>
      <x:c r="M1454" s="73" t="n">
        <x:f>MAX(M1453,F1454)</x:f>
        <x:v>1.2588</x:v>
      </x:c>
      <x:c r="N1454" s="74" t="n">
        <x:f>1-F1454/M1454</x:f>
        <x:v>0.004051477597711961</x:v>
      </x:c>
    </x:row>
    <x:row r="1455" ht="27" customHeight="1">
      <x:c r="A1455" s="66" t="str">
        <x:v>SXL267</x:v>
      </x:c>
      <x:c r="B1455" s="66" t="str">
        <x:v>滨风风云瑞丰1号</x:v>
      </x:c>
      <x:c r="C1455" s="72" t="n">
        <x:v>45509</x:v>
      </x:c>
      <x:c r="D1455" s="73" t="n">
        <x:v>1.2598</x:v>
      </x:c>
      <x:c r="E1455" s="73" t="n">
        <x:v>1.2598</x:v>
      </x:c>
      <x:c r="F1455" s="73" t="n">
        <x:v>1.2598</x:v>
      </x:c>
      <x:c r="G1455" s="74" t="n">
        <x:v>0.0049</x:v>
      </x:c>
      <x:c r="H1455" s="66" t="str">
        <x:v>滨风风云瑞丰1号净值20260911.xlsx</x:v>
      </x:c>
      <x:c r="I1455" s="73" t="str">
        <x:f>""</x:f>
      </x:c>
      <x:c r="J1455" s="74" t="str">
        <x:f>""</x:f>
      </x:c>
      <x:c r="K1455" s="73" t="n">
        <x:f>MAX(K1454,F1455)</x:f>
        <x:v>1.2598</x:v>
      </x:c>
      <x:c r="L1455" s="74" t="n">
        <x:f>1-F1455/K1455</x:f>
        <x:v>0</x:v>
      </x:c>
      <x:c r="M1455" s="73" t="n">
        <x:f>MAX(M1454,F1455)</x:f>
        <x:v>1.2598</x:v>
      </x:c>
      <x:c r="N1455" s="74" t="n">
        <x:f>1-F1455/M1455</x:f>
        <x:v>0</x:v>
      </x:c>
    </x:row>
    <x:row r="1456" ht="27" customHeight="1">
      <x:c r="A1456" s="66" t="str">
        <x:v>SXL267</x:v>
      </x:c>
      <x:c r="B1456" s="66" t="str">
        <x:v>滨风风云瑞丰1号</x:v>
      </x:c>
      <x:c r="C1456" s="72" t="n">
        <x:v>45510</x:v>
      </x:c>
      <x:c r="D1456" s="73" t="n">
        <x:v>1.2495</x:v>
      </x:c>
      <x:c r="E1456" s="73" t="n">
        <x:v>1.2495</x:v>
      </x:c>
      <x:c r="F1456" s="73" t="n">
        <x:v>1.2495</x:v>
      </x:c>
      <x:c r="G1456" s="74" t="n">
        <x:v>-0.008199999999999999</x:v>
      </x:c>
      <x:c r="H1456" s="66" t="str">
        <x:v>滨风风云瑞丰1号净值20260911.xlsx</x:v>
      </x:c>
      <x:c r="I1456" s="73" t="str">
        <x:f>""</x:f>
      </x:c>
      <x:c r="J1456" s="74" t="str">
        <x:f>""</x:f>
      </x:c>
      <x:c r="K1456" s="73" t="n">
        <x:f>MAX(K1455,F1456)</x:f>
        <x:v>1.2598</x:v>
      </x:c>
      <x:c r="L1456" s="74" t="n">
        <x:f>1-F1456/K1456</x:f>
        <x:v>0.008175900936656544</x:v>
      </x:c>
      <x:c r="M1456" s="73" t="n">
        <x:f>MAX(M1455,F1456)</x:f>
        <x:v>1.2598</x:v>
      </x:c>
      <x:c r="N1456" s="74" t="n">
        <x:f>1-F1456/M1456</x:f>
        <x:v>0.008175900936656544</x:v>
      </x:c>
    </x:row>
    <x:row r="1457" ht="27" customHeight="1">
      <x:c r="A1457" s="66" t="str">
        <x:v>SXL267</x:v>
      </x:c>
      <x:c r="B1457" s="66" t="str">
        <x:v>滨风风云瑞丰1号</x:v>
      </x:c>
      <x:c r="C1457" s="72" t="n">
        <x:v>45511</x:v>
      </x:c>
      <x:c r="D1457" s="73" t="n">
        <x:v>1.2496</x:v>
      </x:c>
      <x:c r="E1457" s="73" t="n">
        <x:v>1.2496</x:v>
      </x:c>
      <x:c r="F1457" s="73" t="n">
        <x:v>1.2496</x:v>
      </x:c>
      <x:c r="G1457" s="74" t="n">
        <x:v>0.0001</x:v>
      </x:c>
      <x:c r="H1457" s="66" t="str">
        <x:v>滨风风云瑞丰1号净值20260911.xlsx</x:v>
      </x:c>
      <x:c r="I1457" s="73" t="str">
        <x:f>""</x:f>
      </x:c>
      <x:c r="J1457" s="74" t="str">
        <x:f>""</x:f>
      </x:c>
      <x:c r="K1457" s="73" t="n">
        <x:f>MAX(K1456,F1457)</x:f>
        <x:v>1.2598</x:v>
      </x:c>
      <x:c r="L1457" s="74" t="n">
        <x:f>1-F1457/K1457</x:f>
        <x:v>0.008096523257659971</x:v>
      </x:c>
      <x:c r="M1457" s="73" t="n">
        <x:f>MAX(M1456,F1457)</x:f>
        <x:v>1.2598</x:v>
      </x:c>
      <x:c r="N1457" s="74" t="n">
        <x:f>1-F1457/M1457</x:f>
        <x:v>0.008096523257659971</x:v>
      </x:c>
    </x:row>
    <x:row r="1458" ht="27" customHeight="1">
      <x:c r="A1458" s="66" t="str">
        <x:v>SXL267</x:v>
      </x:c>
      <x:c r="B1458" s="66" t="str">
        <x:v>滨风风云瑞丰1号</x:v>
      </x:c>
      <x:c r="C1458" s="72" t="n">
        <x:v>45512</x:v>
      </x:c>
      <x:c r="D1458" s="73" t="n">
        <x:v>1.2516</x:v>
      </x:c>
      <x:c r="E1458" s="73" t="n">
        <x:v>1.2516</x:v>
      </x:c>
      <x:c r="F1458" s="73" t="n">
        <x:v>1.2516</x:v>
      </x:c>
      <x:c r="G1458" s="74" t="n">
        <x:v>0.0016</x:v>
      </x:c>
      <x:c r="H1458" s="66" t="str">
        <x:v>滨风风云瑞丰1号净值20260911.xlsx</x:v>
      </x:c>
      <x:c r="I1458" s="73" t="str">
        <x:f>""</x:f>
      </x:c>
      <x:c r="J1458" s="74" t="str">
        <x:f>""</x:f>
      </x:c>
      <x:c r="K1458" s="73" t="n">
        <x:f>MAX(K1457,F1458)</x:f>
        <x:v>1.2598</x:v>
      </x:c>
      <x:c r="L1458" s="74" t="n">
        <x:f>1-F1458/K1458</x:f>
        <x:v>0.006508969677726628</x:v>
      </x:c>
      <x:c r="M1458" s="73" t="n">
        <x:f>MAX(M1457,F1458)</x:f>
        <x:v>1.2598</x:v>
      </x:c>
      <x:c r="N1458" s="74" t="n">
        <x:f>1-F1458/M1458</x:f>
        <x:v>0.006508969677726628</x:v>
      </x:c>
    </x:row>
    <x:row r="1459" ht="27" customHeight="1">
      <x:c r="A1459" s="66" t="str">
        <x:v>SXL267</x:v>
      </x:c>
      <x:c r="B1459" s="66" t="str">
        <x:v>滨风风云瑞丰1号</x:v>
      </x:c>
      <x:c r="C1459" s="72" t="n">
        <x:v>45513</x:v>
      </x:c>
      <x:c r="D1459" s="73" t="n">
        <x:v>1.2464</x:v>
      </x:c>
      <x:c r="E1459" s="73" t="n">
        <x:v>1.2464</x:v>
      </x:c>
      <x:c r="F1459" s="73" t="n">
        <x:v>1.2464</x:v>
      </x:c>
      <x:c r="G1459" s="74" t="n">
        <x:v>-0.0042</x:v>
      </x:c>
      <x:c r="H1459" s="66" t="str">
        <x:v>滨风风云瑞丰1号净值20260911.xlsx</x:v>
      </x:c>
      <x:c r="I1459" s="73" t="str">
        <x:f>""</x:f>
      </x:c>
      <x:c r="J1459" s="74" t="str">
        <x:f>""</x:f>
      </x:c>
      <x:c r="K1459" s="73" t="n">
        <x:f>MAX(K1458,F1459)</x:f>
        <x:v>1.2598</x:v>
      </x:c>
      <x:c r="L1459" s="74" t="n">
        <x:f>1-F1459/K1459</x:f>
        <x:v>0.010636608985553297</x:v>
      </x:c>
      <x:c r="M1459" s="73" t="n">
        <x:f>MAX(M1458,F1459)</x:f>
        <x:v>1.2598</x:v>
      </x:c>
      <x:c r="N1459" s="74" t="n">
        <x:f>1-F1459/M1459</x:f>
        <x:v>0.010636608985553297</x:v>
      </x:c>
    </x:row>
    <x:row r="1460" ht="27" customHeight="1">
      <x:c r="A1460" s="66" t="str">
        <x:v>SXL267</x:v>
      </x:c>
      <x:c r="B1460" s="66" t="str">
        <x:v>滨风风云瑞丰1号</x:v>
      </x:c>
      <x:c r="C1460" s="72" t="n">
        <x:v>45516</x:v>
      </x:c>
      <x:c r="D1460" s="73" t="n">
        <x:v>1.2467</x:v>
      </x:c>
      <x:c r="E1460" s="73" t="n">
        <x:v>1.2467</x:v>
      </x:c>
      <x:c r="F1460" s="73" t="n">
        <x:v>1.2467</x:v>
      </x:c>
      <x:c r="G1460" s="74" t="n">
        <x:v>0.0002</x:v>
      </x:c>
      <x:c r="H1460" s="66" t="str">
        <x:v>滨风风云瑞丰1号净值20260911.xlsx</x:v>
      </x:c>
      <x:c r="I1460" s="73" t="str">
        <x:f>""</x:f>
      </x:c>
      <x:c r="J1460" s="74" t="str">
        <x:f>""</x:f>
      </x:c>
      <x:c r="K1460" s="73" t="n">
        <x:f>MAX(K1459,F1460)</x:f>
        <x:v>1.2598</x:v>
      </x:c>
      <x:c r="L1460" s="74" t="n">
        <x:f>1-F1460/K1460</x:f>
        <x:v>0.010398475948563357</x:v>
      </x:c>
      <x:c r="M1460" s="73" t="n">
        <x:f>MAX(M1459,F1460)</x:f>
        <x:v>1.2598</x:v>
      </x:c>
      <x:c r="N1460" s="74" t="n">
        <x:f>1-F1460/M1460</x:f>
        <x:v>0.010398475948563357</x:v>
      </x:c>
    </x:row>
    <x:row r="1461" ht="27" customHeight="1">
      <x:c r="A1461" s="66" t="str">
        <x:v>SXL267</x:v>
      </x:c>
      <x:c r="B1461" s="66" t="str">
        <x:v>滨风风云瑞丰1号</x:v>
      </x:c>
      <x:c r="C1461" s="72" t="n">
        <x:v>45517</x:v>
      </x:c>
      <x:c r="D1461" s="73" t="n">
        <x:v>1.2445</x:v>
      </x:c>
      <x:c r="E1461" s="73" t="n">
        <x:v>1.2445</x:v>
      </x:c>
      <x:c r="F1461" s="73" t="n">
        <x:v>1.2445</x:v>
      </x:c>
      <x:c r="G1461" s="74" t="n">
        <x:v>-0.0018</x:v>
      </x:c>
      <x:c r="H1461" s="66" t="str">
        <x:v>滨风风云瑞丰1号净值20260911.xlsx</x:v>
      </x:c>
      <x:c r="I1461" s="73" t="str">
        <x:f>""</x:f>
      </x:c>
      <x:c r="J1461" s="74" t="str">
        <x:f>""</x:f>
      </x:c>
      <x:c r="K1461" s="73" t="n">
        <x:f>MAX(K1460,F1461)</x:f>
        <x:v>1.2598</x:v>
      </x:c>
      <x:c r="L1461" s="74" t="n">
        <x:f>1-F1461/K1461</x:f>
        <x:v>0.012144784886489957</x:v>
      </x:c>
      <x:c r="M1461" s="73" t="n">
        <x:f>MAX(M1460,F1461)</x:f>
        <x:v>1.2598</x:v>
      </x:c>
      <x:c r="N1461" s="74" t="n">
        <x:f>1-F1461/M1461</x:f>
        <x:v>0.012144784886489957</x:v>
      </x:c>
    </x:row>
    <x:row r="1462" ht="27" customHeight="1">
      <x:c r="A1462" s="66" t="str">
        <x:v>SXL267</x:v>
      </x:c>
      <x:c r="B1462" s="66" t="str">
        <x:v>滨风风云瑞丰1号</x:v>
      </x:c>
      <x:c r="C1462" s="72" t="n">
        <x:v>45518</x:v>
      </x:c>
      <x:c r="D1462" s="73" t="n">
        <x:v>1.2523</x:v>
      </x:c>
      <x:c r="E1462" s="73" t="n">
        <x:v>1.2523</x:v>
      </x:c>
      <x:c r="F1462" s="73" t="n">
        <x:v>1.2523</x:v>
      </x:c>
      <x:c r="G1462" s="74" t="n">
        <x:v>0.0063</x:v>
      </x:c>
      <x:c r="H1462" s="66" t="str">
        <x:v>滨风风云瑞丰1号净值20260911.xlsx</x:v>
      </x:c>
      <x:c r="I1462" s="73" t="str">
        <x:f>""</x:f>
      </x:c>
      <x:c r="J1462" s="74" t="str">
        <x:f>""</x:f>
      </x:c>
      <x:c r="K1462" s="73" t="n">
        <x:f>MAX(K1461,F1462)</x:f>
        <x:v>1.2598</x:v>
      </x:c>
      <x:c r="L1462" s="74" t="n">
        <x:f>1-F1462/K1462</x:f>
        <x:v>0.005953325924750064</x:v>
      </x:c>
      <x:c r="M1462" s="73" t="n">
        <x:f>MAX(M1461,F1462)</x:f>
        <x:v>1.2598</x:v>
      </x:c>
      <x:c r="N1462" s="74" t="n">
        <x:f>1-F1462/M1462</x:f>
        <x:v>0.005953325924750064</x:v>
      </x:c>
    </x:row>
    <x:row r="1463" ht="27" customHeight="1">
      <x:c r="A1463" s="66" t="str">
        <x:v>SXL267</x:v>
      </x:c>
      <x:c r="B1463" s="66" t="str">
        <x:v>滨风风云瑞丰1号</x:v>
      </x:c>
      <x:c r="C1463" s="72" t="n">
        <x:v>45519</x:v>
      </x:c>
      <x:c r="D1463" s="73" t="n">
        <x:v>1.246</x:v>
      </x:c>
      <x:c r="E1463" s="73" t="n">
        <x:v>1.246</x:v>
      </x:c>
      <x:c r="F1463" s="73" t="n">
        <x:v>1.246</x:v>
      </x:c>
      <x:c r="G1463" s="74" t="n">
        <x:v>-0.005</x:v>
      </x:c>
      <x:c r="H1463" s="66" t="str">
        <x:v>滨风风云瑞丰1号净值20260911.xlsx</x:v>
      </x:c>
      <x:c r="I1463" s="73" t="str">
        <x:f>""</x:f>
      </x:c>
      <x:c r="J1463" s="74" t="str">
        <x:f>""</x:f>
      </x:c>
      <x:c r="K1463" s="73" t="n">
        <x:f>MAX(K1462,F1463)</x:f>
        <x:v>1.2598</x:v>
      </x:c>
      <x:c r="L1463" s="74" t="n">
        <x:f>1-F1463/K1463</x:f>
        <x:v>0.010954119701539922</x:v>
      </x:c>
      <x:c r="M1463" s="73" t="n">
        <x:f>MAX(M1462,F1463)</x:f>
        <x:v>1.2598</x:v>
      </x:c>
      <x:c r="N1463" s="74" t="n">
        <x:f>1-F1463/M1463</x:f>
        <x:v>0.010954119701539922</x:v>
      </x:c>
    </x:row>
    <x:row r="1464" ht="27" customHeight="1">
      <x:c r="A1464" s="66" t="str">
        <x:v>SXL267</x:v>
      </x:c>
      <x:c r="B1464" s="66" t="str">
        <x:v>滨风风云瑞丰1号</x:v>
      </x:c>
      <x:c r="C1464" s="72" t="n">
        <x:v>45520</x:v>
      </x:c>
      <x:c r="D1464" s="73" t="n">
        <x:v>1.2606</x:v>
      </x:c>
      <x:c r="E1464" s="73" t="n">
        <x:v>1.2606</x:v>
      </x:c>
      <x:c r="F1464" s="73" t="n">
        <x:v>1.2606</x:v>
      </x:c>
      <x:c r="G1464" s="74" t="n">
        <x:v>0.011699999999999999</x:v>
      </x:c>
      <x:c r="H1464" s="66" t="str">
        <x:v>滨风风云瑞丰1号净值20260911.xlsx</x:v>
      </x:c>
      <x:c r="I1464" s="73" t="str">
        <x:f>""</x:f>
      </x:c>
      <x:c r="J1464" s="74" t="str">
        <x:f>""</x:f>
      </x:c>
      <x:c r="K1464" s="73" t="n">
        <x:f>MAX(K1463,F1464)</x:f>
        <x:v>1.2606</x:v>
      </x:c>
      <x:c r="L1464" s="74" t="n">
        <x:f>1-F1464/K1464</x:f>
        <x:v>0</x:v>
      </x:c>
      <x:c r="M1464" s="73" t="n">
        <x:f>MAX(M1463,F1464)</x:f>
        <x:v>1.2606</x:v>
      </x:c>
      <x:c r="N1464" s="74" t="n">
        <x:f>1-F1464/M1464</x:f>
        <x:v>0</x:v>
      </x:c>
    </x:row>
    <x:row r="1465" ht="27" customHeight="1">
      <x:c r="A1465" s="66" t="str">
        <x:v>SXL267</x:v>
      </x:c>
      <x:c r="B1465" s="66" t="str">
        <x:v>滨风风云瑞丰1号</x:v>
      </x:c>
      <x:c r="C1465" s="72" t="n">
        <x:v>45523</x:v>
      </x:c>
      <x:c r="D1465" s="73" t="n">
        <x:v>1.2565</x:v>
      </x:c>
      <x:c r="E1465" s="73" t="n">
        <x:v>1.2565</x:v>
      </x:c>
      <x:c r="F1465" s="73" t="n">
        <x:v>1.2565</x:v>
      </x:c>
      <x:c r="G1465" s="74" t="n">
        <x:v>-0.0033</x:v>
      </x:c>
      <x:c r="H1465" s="66" t="str">
        <x:v>滨风风云瑞丰1号净值20260911.xlsx</x:v>
      </x:c>
      <x:c r="I1465" s="73" t="str">
        <x:f>""</x:f>
      </x:c>
      <x:c r="J1465" s="74" t="str">
        <x:f>""</x:f>
      </x:c>
      <x:c r="K1465" s="73" t="n">
        <x:f>MAX(K1464,F1465)</x:f>
        <x:v>1.2606</x:v>
      </x:c>
      <x:c r="L1465" s="74" t="n">
        <x:f>1-F1465/K1465</x:f>
        <x:v>0.0032524194827859843</x:v>
      </x:c>
      <x:c r="M1465" s="73" t="n">
        <x:f>MAX(M1464,F1465)</x:f>
        <x:v>1.2606</x:v>
      </x:c>
      <x:c r="N1465" s="74" t="n">
        <x:f>1-F1465/M1465</x:f>
        <x:v>0.0032524194827859843</x:v>
      </x:c>
    </x:row>
    <x:row r="1466" ht="27" customHeight="1">
      <x:c r="A1466" s="66" t="str">
        <x:v>SXL267</x:v>
      </x:c>
      <x:c r="B1466" s="66" t="str">
        <x:v>滨风风云瑞丰1号</x:v>
      </x:c>
      <x:c r="C1466" s="72" t="n">
        <x:v>45524</x:v>
      </x:c>
      <x:c r="D1466" s="73" t="n">
        <x:v>1.2538</x:v>
      </x:c>
      <x:c r="E1466" s="73" t="n">
        <x:v>1.2538</x:v>
      </x:c>
      <x:c r="F1466" s="73" t="n">
        <x:v>1.2538</x:v>
      </x:c>
      <x:c r="G1466" s="74" t="n">
        <x:v>-0.0021</x:v>
      </x:c>
      <x:c r="H1466" s="66" t="str">
        <x:v>滨风风云瑞丰1号净值20260911.xlsx</x:v>
      </x:c>
      <x:c r="I1466" s="73" t="str">
        <x:f>""</x:f>
      </x:c>
      <x:c r="J1466" s="74" t="str">
        <x:f>""</x:f>
      </x:c>
      <x:c r="K1466" s="73" t="n">
        <x:f>MAX(K1465,F1466)</x:f>
        <x:v>1.2606</x:v>
      </x:c>
      <x:c r="L1466" s="74" t="n">
        <x:f>1-F1466/K1466</x:f>
        <x:v>0.005394256703157185</x:v>
      </x:c>
      <x:c r="M1466" s="73" t="n">
        <x:f>MAX(M1465,F1466)</x:f>
        <x:v>1.2606</x:v>
      </x:c>
      <x:c r="N1466" s="74" t="n">
        <x:f>1-F1466/M1466</x:f>
        <x:v>0.005394256703157185</x:v>
      </x:c>
    </x:row>
    <x:row r="1467" ht="27" customHeight="1">
      <x:c r="A1467" s="66" t="str">
        <x:v>SXL267</x:v>
      </x:c>
      <x:c r="B1467" s="66" t="str">
        <x:v>滨风风云瑞丰1号</x:v>
      </x:c>
      <x:c r="C1467" s="72" t="n">
        <x:v>45525</x:v>
      </x:c>
      <x:c r="D1467" s="73" t="n">
        <x:v>1.2544</x:v>
      </x:c>
      <x:c r="E1467" s="73" t="n">
        <x:v>1.2544</x:v>
      </x:c>
      <x:c r="F1467" s="73" t="n">
        <x:v>1.2544</x:v>
      </x:c>
      <x:c r="G1467" s="74" t="n">
        <x:v>0.0005</x:v>
      </x:c>
      <x:c r="H1467" s="66" t="str">
        <x:v>滨风风云瑞丰1号净值20260911.xlsx</x:v>
      </x:c>
      <x:c r="I1467" s="73" t="str">
        <x:f>""</x:f>
      </x:c>
      <x:c r="J1467" s="74" t="str">
        <x:f>""</x:f>
      </x:c>
      <x:c r="K1467" s="73" t="n">
        <x:f>MAX(K1466,F1467)</x:f>
        <x:v>1.2606</x:v>
      </x:c>
      <x:c r="L1467" s="74" t="n">
        <x:f>1-F1467/K1467</x:f>
        <x:v>0.0049182928764079925</x:v>
      </x:c>
      <x:c r="M1467" s="73" t="n">
        <x:f>MAX(M1466,F1467)</x:f>
        <x:v>1.2606</x:v>
      </x:c>
      <x:c r="N1467" s="74" t="n">
        <x:f>1-F1467/M1467</x:f>
        <x:v>0.0049182928764079925</x:v>
      </x:c>
    </x:row>
    <x:row r="1468" ht="27" customHeight="1">
      <x:c r="A1468" s="66" t="str">
        <x:v>SXL267</x:v>
      </x:c>
      <x:c r="B1468" s="66" t="str">
        <x:v>滨风风云瑞丰1号</x:v>
      </x:c>
      <x:c r="C1468" s="72" t="n">
        <x:v>45526</x:v>
      </x:c>
      <x:c r="D1468" s="73" t="n">
        <x:v>1.2597</x:v>
      </x:c>
      <x:c r="E1468" s="73" t="n">
        <x:v>1.2597</x:v>
      </x:c>
      <x:c r="F1468" s="73" t="n">
        <x:v>1.2597</x:v>
      </x:c>
      <x:c r="G1468" s="74" t="n">
        <x:v>0.0042</x:v>
      </x:c>
      <x:c r="H1468" s="66" t="str">
        <x:v>滨风风云瑞丰1号净值20260911.xlsx</x:v>
      </x:c>
      <x:c r="I1468" s="73" t="str">
        <x:f>""</x:f>
      </x:c>
      <x:c r="J1468" s="74" t="str">
        <x:f>""</x:f>
      </x:c>
      <x:c r="K1468" s="73" t="n">
        <x:f>MAX(K1467,F1468)</x:f>
        <x:v>1.2606</x:v>
      </x:c>
      <x:c r="L1468" s="74" t="n">
        <x:f>1-F1468/K1468</x:f>
        <x:v>0.0007139457401236227</x:v>
      </x:c>
      <x:c r="M1468" s="73" t="n">
        <x:f>MAX(M1467,F1468)</x:f>
        <x:v>1.2606</x:v>
      </x:c>
      <x:c r="N1468" s="74" t="n">
        <x:f>1-F1468/M1468</x:f>
        <x:v>0.0007139457401236227</x:v>
      </x:c>
    </x:row>
    <x:row r="1469" ht="27" customHeight="1">
      <x:c r="A1469" s="66" t="str">
        <x:v>SXL267</x:v>
      </x:c>
      <x:c r="B1469" s="66" t="str">
        <x:v>滨风风云瑞丰1号</x:v>
      </x:c>
      <x:c r="C1469" s="72" t="n">
        <x:v>45527</x:v>
      </x:c>
      <x:c r="D1469" s="73" t="n">
        <x:v>1.2497</x:v>
      </x:c>
      <x:c r="E1469" s="73" t="n">
        <x:v>1.2497</x:v>
      </x:c>
      <x:c r="F1469" s="73" t="n">
        <x:v>1.2497</x:v>
      </x:c>
      <x:c r="G1469" s="74" t="n">
        <x:v>-0.0079</x:v>
      </x:c>
      <x:c r="H1469" s="66" t="str">
        <x:v>滨风风云瑞丰1号净值20260911.xlsx</x:v>
      </x:c>
      <x:c r="I1469" s="73" t="str">
        <x:f>""</x:f>
      </x:c>
      <x:c r="J1469" s="74" t="str">
        <x:f>""</x:f>
      </x:c>
      <x:c r="K1469" s="73" t="n">
        <x:f>MAX(K1468,F1469)</x:f>
        <x:v>1.2606</x:v>
      </x:c>
      <x:c r="L1469" s="74" t="n">
        <x:f>1-F1469/K1469</x:f>
        <x:v>0.00864667618594317</x:v>
      </x:c>
      <x:c r="M1469" s="73" t="n">
        <x:f>MAX(M1468,F1469)</x:f>
        <x:v>1.2606</x:v>
      </x:c>
      <x:c r="N1469" s="74" t="n">
        <x:f>1-F1469/M1469</x:f>
        <x:v>0.00864667618594317</x:v>
      </x:c>
    </x:row>
    <x:row r="1470" ht="27" customHeight="1">
      <x:c r="A1470" s="66" t="str">
        <x:v>SXL267</x:v>
      </x:c>
      <x:c r="B1470" s="66" t="str">
        <x:v>滨风风云瑞丰1号</x:v>
      </x:c>
      <x:c r="C1470" s="72" t="n">
        <x:v>45530</x:v>
      </x:c>
      <x:c r="D1470" s="73" t="n">
        <x:v>1.2529</x:v>
      </x:c>
      <x:c r="E1470" s="73" t="n">
        <x:v>1.2529</x:v>
      </x:c>
      <x:c r="F1470" s="73" t="n">
        <x:v>1.2529</x:v>
      </x:c>
      <x:c r="G1470" s="74" t="n">
        <x:v>0.0026</x:v>
      </x:c>
      <x:c r="H1470" s="66" t="str">
        <x:v>滨风风云瑞丰1号净值20260911.xlsx</x:v>
      </x:c>
      <x:c r="I1470" s="73" t="str">
        <x:f>""</x:f>
      </x:c>
      <x:c r="J1470" s="74" t="str">
        <x:f>""</x:f>
      </x:c>
      <x:c r="K1470" s="73" t="n">
        <x:f>MAX(K1469,F1470)</x:f>
        <x:v>1.2606</x:v>
      </x:c>
      <x:c r="L1470" s="74" t="n">
        <x:f>1-F1470/K1470</x:f>
        <x:v>0.00610820244328103</x:v>
      </x:c>
      <x:c r="M1470" s="73" t="n">
        <x:f>MAX(M1469,F1470)</x:f>
        <x:v>1.2606</x:v>
      </x:c>
      <x:c r="N1470" s="74" t="n">
        <x:f>1-F1470/M1470</x:f>
        <x:v>0.00610820244328103</x:v>
      </x:c>
    </x:row>
    <x:row r="1471" ht="27" customHeight="1">
      <x:c r="A1471" s="66" t="str">
        <x:v>SXL267</x:v>
      </x:c>
      <x:c r="B1471" s="66" t="str">
        <x:v>滨风风云瑞丰1号</x:v>
      </x:c>
      <x:c r="C1471" s="72" t="n">
        <x:v>45531</x:v>
      </x:c>
      <x:c r="D1471" s="73" t="n">
        <x:v>1.2642</x:v>
      </x:c>
      <x:c r="E1471" s="73" t="n">
        <x:v>1.2642</x:v>
      </x:c>
      <x:c r="F1471" s="73" t="n">
        <x:v>1.2642</x:v>
      </x:c>
      <x:c r="G1471" s="74" t="n">
        <x:v>0.009000000000000001</x:v>
      </x:c>
      <x:c r="H1471" s="66" t="str">
        <x:v>滨风风云瑞丰1号净值20260911.xlsx</x:v>
      </x:c>
      <x:c r="I1471" s="73" t="str">
        <x:f>""</x:f>
      </x:c>
      <x:c r="J1471" s="74" t="str">
        <x:f>""</x:f>
      </x:c>
      <x:c r="K1471" s="73" t="n">
        <x:f>MAX(K1470,F1471)</x:f>
        <x:v>1.2642</x:v>
      </x:c>
      <x:c r="L1471" s="74" t="n">
        <x:f>1-F1471/K1471</x:f>
        <x:v>0</x:v>
      </x:c>
      <x:c r="M1471" s="73" t="n">
        <x:f>MAX(M1470,F1471)</x:f>
        <x:v>1.2642</x:v>
      </x:c>
      <x:c r="N1471" s="74" t="n">
        <x:f>1-F1471/M1471</x:f>
        <x:v>0</x:v>
      </x:c>
    </x:row>
    <x:row r="1472" ht="27" customHeight="1">
      <x:c r="A1472" s="66" t="str">
        <x:v>SXL267</x:v>
      </x:c>
      <x:c r="B1472" s="66" t="str">
        <x:v>滨风风云瑞丰1号</x:v>
      </x:c>
      <x:c r="C1472" s="72" t="n">
        <x:v>45532</x:v>
      </x:c>
      <x:c r="D1472" s="73" t="n">
        <x:v>1.2739</x:v>
      </x:c>
      <x:c r="E1472" s="73" t="n">
        <x:v>1.2739</x:v>
      </x:c>
      <x:c r="F1472" s="73" t="n">
        <x:v>1.2739</x:v>
      </x:c>
      <x:c r="G1472" s="74" t="n">
        <x:v>0.0077</x:v>
      </x:c>
      <x:c r="H1472" s="66" t="str">
        <x:v>滨风风云瑞丰1号净值20260911.xlsx</x:v>
      </x:c>
      <x:c r="I1472" s="73" t="str">
        <x:f>""</x:f>
      </x:c>
      <x:c r="J1472" s="74" t="str">
        <x:f>""</x:f>
      </x:c>
      <x:c r="K1472" s="73" t="n">
        <x:f>MAX(K1471,F1472)</x:f>
        <x:v>1.2739</x:v>
      </x:c>
      <x:c r="L1472" s="74" t="n">
        <x:f>1-F1472/K1472</x:f>
        <x:v>0</x:v>
      </x:c>
      <x:c r="M1472" s="73" t="n">
        <x:f>MAX(M1471,F1472)</x:f>
        <x:v>1.2739</x:v>
      </x:c>
      <x:c r="N1472" s="74" t="n">
        <x:f>1-F1472/M1472</x:f>
        <x:v>0</x:v>
      </x:c>
    </x:row>
    <x:row r="1473" ht="27" customHeight="1">
      <x:c r="A1473" s="66" t="str">
        <x:v>SXL267</x:v>
      </x:c>
      <x:c r="B1473" s="66" t="str">
        <x:v>滨风风云瑞丰1号</x:v>
      </x:c>
      <x:c r="C1473" s="72" t="n">
        <x:v>45533</x:v>
      </x:c>
      <x:c r="D1473" s="73" t="n">
        <x:v>1.2739</x:v>
      </x:c>
      <x:c r="E1473" s="73" t="n">
        <x:v>1.2739</x:v>
      </x:c>
      <x:c r="F1473" s="73" t="n">
        <x:v>1.2739</x:v>
      </x:c>
      <x:c r="G1473" s="74" t="n">
        <x:v>0</x:v>
      </x:c>
      <x:c r="H1473" s="66" t="str">
        <x:v>滨风风云瑞丰1号净值20260911.xlsx</x:v>
      </x:c>
      <x:c r="I1473" s="73" t="str">
        <x:f>""</x:f>
      </x:c>
      <x:c r="J1473" s="74" t="str">
        <x:f>""</x:f>
      </x:c>
      <x:c r="K1473" s="73" t="n">
        <x:f>MAX(K1472,F1473)</x:f>
        <x:v>1.2739</x:v>
      </x:c>
      <x:c r="L1473" s="74" t="n">
        <x:f>1-F1473/K1473</x:f>
        <x:v>0</x:v>
      </x:c>
      <x:c r="M1473" s="73" t="n">
        <x:f>MAX(M1472,F1473)</x:f>
        <x:v>1.2739</x:v>
      </x:c>
      <x:c r="N1473" s="74" t="n">
        <x:f>1-F1473/M1473</x:f>
        <x:v>0</x:v>
      </x:c>
    </x:row>
    <x:row r="1474" ht="27" customHeight="1">
      <x:c r="A1474" s="66" t="str">
        <x:v>SXL267</x:v>
      </x:c>
      <x:c r="B1474" s="66" t="str">
        <x:v>滨风风云瑞丰1号</x:v>
      </x:c>
      <x:c r="C1474" s="72" t="n">
        <x:v>45534</x:v>
      </x:c>
      <x:c r="D1474" s="73" t="n">
        <x:v>1.2704</x:v>
      </x:c>
      <x:c r="E1474" s="73" t="n">
        <x:v>1.2704</x:v>
      </x:c>
      <x:c r="F1474" s="73" t="n">
        <x:v>1.2704</x:v>
      </x:c>
      <x:c r="G1474" s="74" t="n">
        <x:v>-0.0027</x:v>
      </x:c>
      <x:c r="H1474" s="66" t="str">
        <x:v>滨风风云瑞丰1号净值20260911.xlsx</x:v>
      </x:c>
      <x:c r="I1474" s="73" t="str">
        <x:f>""</x:f>
      </x:c>
      <x:c r="J1474" s="74" t="str">
        <x:f>""</x:f>
      </x:c>
      <x:c r="K1474" s="73" t="n">
        <x:f>MAX(K1473,F1474)</x:f>
        <x:v>1.2739</x:v>
      </x:c>
      <x:c r="L1474" s="74" t="n">
        <x:f>1-F1474/K1474</x:f>
        <x:v>0.00274746840411344</x:v>
      </x:c>
      <x:c r="M1474" s="73" t="n">
        <x:f>MAX(M1473,F1474)</x:f>
        <x:v>1.2739</x:v>
      </x:c>
      <x:c r="N1474" s="74" t="n">
        <x:f>1-F1474/M1474</x:f>
        <x:v>0.00274746840411344</x:v>
      </x:c>
    </x:row>
    <x:row r="1475" ht="27" customHeight="1">
      <x:c r="A1475" s="66" t="str">
        <x:v>SXL267</x:v>
      </x:c>
      <x:c r="B1475" s="66" t="str">
        <x:v>滨风风云瑞丰1号</x:v>
      </x:c>
      <x:c r="C1475" s="72" t="n">
        <x:v>45537</x:v>
      </x:c>
      <x:c r="D1475" s="73" t="n">
        <x:v>1.2656</x:v>
      </x:c>
      <x:c r="E1475" s="73" t="n">
        <x:v>1.2656</x:v>
      </x:c>
      <x:c r="F1475" s="73" t="n">
        <x:v>1.2656</x:v>
      </x:c>
      <x:c r="G1475" s="74" t="n">
        <x:v>-0.0038</x:v>
      </x:c>
      <x:c r="H1475" s="66" t="str">
        <x:v>滨风风云瑞丰1号净值20260911.xlsx</x:v>
      </x:c>
      <x:c r="I1475" s="73" t="str">
        <x:f>""</x:f>
      </x:c>
      <x:c r="J1475" s="74" t="str">
        <x:f>""</x:f>
      </x:c>
      <x:c r="K1475" s="73" t="n">
        <x:f>MAX(K1474,F1475)</x:f>
        <x:v>1.2739</x:v>
      </x:c>
      <x:c r="L1475" s="74" t="n">
        <x:f>1-F1475/K1475</x:f>
        <x:v>0.0065154250726116025</x:v>
      </x:c>
      <x:c r="M1475" s="73" t="n">
        <x:f>MAX(M1474,F1475)</x:f>
        <x:v>1.2739</x:v>
      </x:c>
      <x:c r="N1475" s="74" t="n">
        <x:f>1-F1475/M1475</x:f>
        <x:v>0.0065154250726116025</x:v>
      </x:c>
    </x:row>
    <x:row r="1476" ht="27" customHeight="1">
      <x:c r="A1476" s="66" t="str">
        <x:v>SXL267</x:v>
      </x:c>
      <x:c r="B1476" s="66" t="str">
        <x:v>滨风风云瑞丰1号</x:v>
      </x:c>
      <x:c r="C1476" s="72" t="n">
        <x:v>45538</x:v>
      </x:c>
      <x:c r="D1476" s="73" t="n">
        <x:v>1.2749</x:v>
      </x:c>
      <x:c r="E1476" s="73" t="n">
        <x:v>1.2749</x:v>
      </x:c>
      <x:c r="F1476" s="73" t="n">
        <x:v>1.2749</x:v>
      </x:c>
      <x:c r="G1476" s="74" t="n">
        <x:v>0.0073</x:v>
      </x:c>
      <x:c r="H1476" s="66" t="str">
        <x:v>滨风风云瑞丰1号净值20260911.xlsx</x:v>
      </x:c>
      <x:c r="I1476" s="73" t="str">
        <x:f>""</x:f>
      </x:c>
      <x:c r="J1476" s="74" t="str">
        <x:f>""</x:f>
      </x:c>
      <x:c r="K1476" s="73" t="n">
        <x:f>MAX(K1475,F1476)</x:f>
        <x:v>1.2749</x:v>
      </x:c>
      <x:c r="L1476" s="74" t="n">
        <x:f>1-F1476/K1476</x:f>
        <x:v>0</x:v>
      </x:c>
      <x:c r="M1476" s="73" t="n">
        <x:f>MAX(M1475,F1476)</x:f>
        <x:v>1.2749</x:v>
      </x:c>
      <x:c r="N1476" s="74" t="n">
        <x:f>1-F1476/M1476</x:f>
        <x:v>0</x:v>
      </x:c>
    </x:row>
    <x:row r="1477" ht="27" customHeight="1">
      <x:c r="A1477" s="66" t="str">
        <x:v>SXL267</x:v>
      </x:c>
      <x:c r="B1477" s="66" t="str">
        <x:v>滨风风云瑞丰1号</x:v>
      </x:c>
      <x:c r="C1477" s="72" t="n">
        <x:v>45539</x:v>
      </x:c>
      <x:c r="D1477" s="73" t="n">
        <x:v>1.2994</x:v>
      </x:c>
      <x:c r="E1477" s="73" t="n">
        <x:v>1.2994</x:v>
      </x:c>
      <x:c r="F1477" s="73" t="n">
        <x:v>1.2994</x:v>
      </x:c>
      <x:c r="G1477" s="74" t="n">
        <x:v>0.0192</x:v>
      </x:c>
      <x:c r="H1477" s="66" t="str">
        <x:v>滨风风云瑞丰1号净值20260911.xlsx</x:v>
      </x:c>
      <x:c r="I1477" s="73" t="str">
        <x:f>""</x:f>
      </x:c>
      <x:c r="J1477" s="74" t="str">
        <x:f>""</x:f>
      </x:c>
      <x:c r="K1477" s="73" t="n">
        <x:f>MAX(K1476,F1477)</x:f>
        <x:v>1.2994</x:v>
      </x:c>
      <x:c r="L1477" s="74" t="n">
        <x:f>1-F1477/K1477</x:f>
        <x:v>0</x:v>
      </x:c>
      <x:c r="M1477" s="73" t="n">
        <x:f>MAX(M1476,F1477)</x:f>
        <x:v>1.2994</x:v>
      </x:c>
      <x:c r="N1477" s="74" t="n">
        <x:f>1-F1477/M1477</x:f>
        <x:v>0</x:v>
      </x:c>
    </x:row>
    <x:row r="1478" ht="27" customHeight="1">
      <x:c r="A1478" s="66" t="str">
        <x:v>SXL267</x:v>
      </x:c>
      <x:c r="B1478" s="66" t="str">
        <x:v>滨风风云瑞丰1号</x:v>
      </x:c>
      <x:c r="C1478" s="72" t="n">
        <x:v>45540</x:v>
      </x:c>
      <x:c r="D1478" s="73" t="n">
        <x:v>1.3304</x:v>
      </x:c>
      <x:c r="E1478" s="73" t="n">
        <x:v>1.3304</x:v>
      </x:c>
      <x:c r="F1478" s="73" t="n">
        <x:v>1.3304</x:v>
      </x:c>
      <x:c r="G1478" s="74" t="n">
        <x:v>0.0239</x:v>
      </x:c>
      <x:c r="H1478" s="66" t="str">
        <x:v>滨风风云瑞丰1号净值20260911.xlsx</x:v>
      </x:c>
      <x:c r="I1478" s="73" t="str">
        <x:f>""</x:f>
      </x:c>
      <x:c r="J1478" s="74" t="str">
        <x:f>""</x:f>
      </x:c>
      <x:c r="K1478" s="73" t="n">
        <x:f>MAX(K1477,F1478)</x:f>
        <x:v>1.3304</x:v>
      </x:c>
      <x:c r="L1478" s="74" t="n">
        <x:f>1-F1478/K1478</x:f>
        <x:v>0</x:v>
      </x:c>
      <x:c r="M1478" s="73" t="n">
        <x:f>MAX(M1477,F1478)</x:f>
        <x:v>1.3304</x:v>
      </x:c>
      <x:c r="N1478" s="74" t="n">
        <x:f>1-F1478/M1478</x:f>
        <x:v>0</x:v>
      </x:c>
    </x:row>
    <x:row r="1479" ht="27" customHeight="1">
      <x:c r="A1479" s="66" t="str">
        <x:v>SXL267</x:v>
      </x:c>
      <x:c r="B1479" s="66" t="str">
        <x:v>滨风风云瑞丰1号</x:v>
      </x:c>
      <x:c r="C1479" s="72" t="n">
        <x:v>45541</x:v>
      </x:c>
      <x:c r="D1479" s="73" t="n">
        <x:v>1.3217</x:v>
      </x:c>
      <x:c r="E1479" s="73" t="n">
        <x:v>1.3217</x:v>
      </x:c>
      <x:c r="F1479" s="73" t="n">
        <x:v>1.3217</x:v>
      </x:c>
      <x:c r="G1479" s="74" t="n">
        <x:v>-0.006500000000000001</x:v>
      </x:c>
      <x:c r="H1479" s="66" t="str">
        <x:v>滨风风云瑞丰1号净值20260911.xlsx</x:v>
      </x:c>
      <x:c r="I1479" s="73" t="str">
        <x:f>""</x:f>
      </x:c>
      <x:c r="J1479" s="74" t="str">
        <x:f>""</x:f>
      </x:c>
      <x:c r="K1479" s="73" t="n">
        <x:f>MAX(K1478,F1479)</x:f>
        <x:v>1.3304</x:v>
      </x:c>
      <x:c r="L1479" s="74" t="n">
        <x:f>1-F1479/K1479</x:f>
        <x:v>0.0065393866506313625</x:v>
      </x:c>
      <x:c r="M1479" s="73" t="n">
        <x:f>MAX(M1478,F1479)</x:f>
        <x:v>1.3304</x:v>
      </x:c>
      <x:c r="N1479" s="74" t="n">
        <x:f>1-F1479/M1479</x:f>
        <x:v>0.0065393866506313625</x:v>
      </x:c>
    </x:row>
    <x:row r="1480" ht="27" customHeight="1">
      <x:c r="A1480" s="66" t="str">
        <x:v>SXL267</x:v>
      </x:c>
      <x:c r="B1480" s="66" t="str">
        <x:v>滨风风云瑞丰1号</x:v>
      </x:c>
      <x:c r="C1480" s="72" t="n">
        <x:v>45544</x:v>
      </x:c>
      <x:c r="D1480" s="73" t="n">
        <x:v>1.3278</x:v>
      </x:c>
      <x:c r="E1480" s="73" t="n">
        <x:v>1.3278</x:v>
      </x:c>
      <x:c r="F1480" s="73" t="n">
        <x:v>1.3278</x:v>
      </x:c>
      <x:c r="G1480" s="74" t="n">
        <x:v>0.0046</x:v>
      </x:c>
      <x:c r="H1480" s="66" t="str">
        <x:v>滨风风云瑞丰1号净值20260911.xlsx</x:v>
      </x:c>
      <x:c r="I1480" s="73" t="str">
        <x:f>""</x:f>
      </x:c>
      <x:c r="J1480" s="74" t="str">
        <x:f>""</x:f>
      </x:c>
      <x:c r="K1480" s="73" t="n">
        <x:f>MAX(K1479,F1480)</x:f>
        <x:v>1.3304</x:v>
      </x:c>
      <x:c r="L1480" s="74" t="n">
        <x:f>1-F1480/K1480</x:f>
        <x:v>0.0019542994588093165</x:v>
      </x:c>
      <x:c r="M1480" s="73" t="n">
        <x:f>MAX(M1479,F1480)</x:f>
        <x:v>1.3304</x:v>
      </x:c>
      <x:c r="N1480" s="74" t="n">
        <x:f>1-F1480/M1480</x:f>
        <x:v>0.0019542994588093165</x:v>
      </x:c>
    </x:row>
    <x:row r="1481" ht="27" customHeight="1">
      <x:c r="A1481" s="66" t="str">
        <x:v>SXL267</x:v>
      </x:c>
      <x:c r="B1481" s="66" t="str">
        <x:v>滨风风云瑞丰1号</x:v>
      </x:c>
      <x:c r="C1481" s="72" t="n">
        <x:v>45545</x:v>
      </x:c>
      <x:c r="D1481" s="73" t="n">
        <x:v>1.3147</x:v>
      </x:c>
      <x:c r="E1481" s="73" t="n">
        <x:v>1.3147</x:v>
      </x:c>
      <x:c r="F1481" s="73" t="n">
        <x:v>1.3147</x:v>
      </x:c>
      <x:c r="G1481" s="74" t="n">
        <x:v>-0.009899999999999999</x:v>
      </x:c>
      <x:c r="H1481" s="66" t="str">
        <x:v>滨风风云瑞丰1号净值20260911.xlsx</x:v>
      </x:c>
      <x:c r="I1481" s="73" t="str">
        <x:f>""</x:f>
      </x:c>
      <x:c r="J1481" s="74" t="str">
        <x:f>""</x:f>
      </x:c>
      <x:c r="K1481" s="73" t="n">
        <x:f>MAX(K1480,F1481)</x:f>
        <x:v>1.3304</x:v>
      </x:c>
      <x:c r="L1481" s="74" t="n">
        <x:f>1-F1481/K1481</x:f>
        <x:v>0.01180096211665671</x:v>
      </x:c>
      <x:c r="M1481" s="73" t="n">
        <x:f>MAX(M1480,F1481)</x:f>
        <x:v>1.3304</x:v>
      </x:c>
      <x:c r="N1481" s="74" t="n">
        <x:f>1-F1481/M1481</x:f>
        <x:v>0.01180096211665671</x:v>
      </x:c>
    </x:row>
    <x:row r="1482" ht="27" customHeight="1">
      <x:c r="A1482" s="66" t="str">
        <x:v>SXL267</x:v>
      </x:c>
      <x:c r="B1482" s="66" t="str">
        <x:v>滨风风云瑞丰1号</x:v>
      </x:c>
      <x:c r="C1482" s="72" t="n">
        <x:v>45546</x:v>
      </x:c>
      <x:c r="D1482" s="73" t="n">
        <x:v>1.3341</x:v>
      </x:c>
      <x:c r="E1482" s="73" t="n">
        <x:v>1.3341</x:v>
      </x:c>
      <x:c r="F1482" s="73" t="n">
        <x:v>1.3341</x:v>
      </x:c>
      <x:c r="G1482" s="74" t="n">
        <x:v>0.0148</x:v>
      </x:c>
      <x:c r="H1482" s="66" t="str">
        <x:v>滨风风云瑞丰1号净值20260911.xlsx</x:v>
      </x:c>
      <x:c r="I1482" s="73" t="str">
        <x:f>""</x:f>
      </x:c>
      <x:c r="J1482" s="74" t="str">
        <x:f>""</x:f>
      </x:c>
      <x:c r="K1482" s="73" t="n">
        <x:f>MAX(K1481,F1482)</x:f>
        <x:v>1.3341</x:v>
      </x:c>
      <x:c r="L1482" s="74" t="n">
        <x:f>1-F1482/K1482</x:f>
        <x:v>0</x:v>
      </x:c>
      <x:c r="M1482" s="73" t="n">
        <x:f>MAX(M1481,F1482)</x:f>
        <x:v>1.3341</x:v>
      </x:c>
      <x:c r="N1482" s="74" t="n">
        <x:f>1-F1482/M1482</x:f>
        <x:v>0</x:v>
      </x:c>
    </x:row>
    <x:row r="1483" ht="27" customHeight="1">
      <x:c r="A1483" s="66" t="str">
        <x:v>SXL267</x:v>
      </x:c>
      <x:c r="B1483" s="66" t="str">
        <x:v>滨风风云瑞丰1号</x:v>
      </x:c>
      <x:c r="C1483" s="72" t="n">
        <x:v>45547</x:v>
      </x:c>
      <x:c r="D1483" s="73" t="n">
        <x:v>1.3207</x:v>
      </x:c>
      <x:c r="E1483" s="73" t="n">
        <x:v>1.3207</x:v>
      </x:c>
      <x:c r="F1483" s="73" t="n">
        <x:v>1.3207</x:v>
      </x:c>
      <x:c r="G1483" s="74" t="n">
        <x:v>-0.01</x:v>
      </x:c>
      <x:c r="H1483" s="66" t="str">
        <x:v>滨风风云瑞丰1号净值20260911.xlsx</x:v>
      </x:c>
      <x:c r="I1483" s="73" t="str">
        <x:f>""</x:f>
      </x:c>
      <x:c r="J1483" s="74" t="str">
        <x:f>""</x:f>
      </x:c>
      <x:c r="K1483" s="73" t="n">
        <x:f>MAX(K1482,F1483)</x:f>
        <x:v>1.3341</x:v>
      </x:c>
      <x:c r="L1483" s="74" t="n">
        <x:f>1-F1483/K1483</x:f>
        <x:v>0.01004422457087184</x:v>
      </x:c>
      <x:c r="M1483" s="73" t="n">
        <x:f>MAX(M1482,F1483)</x:f>
        <x:v>1.3341</x:v>
      </x:c>
      <x:c r="N1483" s="74" t="n">
        <x:f>1-F1483/M1483</x:f>
        <x:v>0.01004422457087184</x:v>
      </x:c>
    </x:row>
    <x:row r="1484" ht="27" customHeight="1">
      <x:c r="A1484" s="66" t="str">
        <x:v>SXL267</x:v>
      </x:c>
      <x:c r="B1484" s="66" t="str">
        <x:v>滨风风云瑞丰1号</x:v>
      </x:c>
      <x:c r="C1484" s="72" t="n">
        <x:v>45548</x:v>
      </x:c>
      <x:c r="D1484" s="73" t="n">
        <x:v>1.3289</x:v>
      </x:c>
      <x:c r="E1484" s="73" t="n">
        <x:v>1.3289</x:v>
      </x:c>
      <x:c r="F1484" s="73" t="n">
        <x:v>1.3289</x:v>
      </x:c>
      <x:c r="G1484" s="74" t="n">
        <x:v>0.0062</x:v>
      </x:c>
      <x:c r="H1484" s="66" t="str">
        <x:v>滨风风云瑞丰1号净值20260911.xlsx</x:v>
      </x:c>
      <x:c r="I1484" s="73" t="str">
        <x:f>""</x:f>
      </x:c>
      <x:c r="J1484" s="74" t="str">
        <x:f>""</x:f>
      </x:c>
      <x:c r="K1484" s="73" t="n">
        <x:f>MAX(K1483,F1484)</x:f>
        <x:v>1.3341</x:v>
      </x:c>
      <x:c r="L1484" s="74" t="n">
        <x:f>1-F1484/K1484</x:f>
        <x:v>0.0038977587886965814</x:v>
      </x:c>
      <x:c r="M1484" s="73" t="n">
        <x:f>MAX(M1483,F1484)</x:f>
        <x:v>1.3341</x:v>
      </x:c>
      <x:c r="N1484" s="74" t="n">
        <x:f>1-F1484/M1484</x:f>
        <x:v>0.0038977587886965814</x:v>
      </x:c>
    </x:row>
    <x:row r="1485" ht="27" customHeight="1">
      <x:c r="A1485" s="66" t="str">
        <x:v>SXL267</x:v>
      </x:c>
      <x:c r="B1485" s="66" t="str">
        <x:v>滨风风云瑞丰1号</x:v>
      </x:c>
      <x:c r="C1485" s="72" t="n">
        <x:v>45553</x:v>
      </x:c>
      <x:c r="D1485" s="73" t="n">
        <x:v>1.3439</x:v>
      </x:c>
      <x:c r="E1485" s="73" t="n">
        <x:v>1.3439</x:v>
      </x:c>
      <x:c r="F1485" s="73" t="n">
        <x:v>1.3439</x:v>
      </x:c>
      <x:c r="G1485" s="74" t="n">
        <x:v>0.0113</x:v>
      </x:c>
      <x:c r="H1485" s="66" t="str">
        <x:v>滨风风云瑞丰1号净值20260911.xlsx</x:v>
      </x:c>
      <x:c r="I1485" s="73" t="str">
        <x:f>""</x:f>
      </x:c>
      <x:c r="J1485" s="74" t="str">
        <x:f>""</x:f>
      </x:c>
      <x:c r="K1485" s="73" t="n">
        <x:f>MAX(K1484,F1485)</x:f>
        <x:v>1.3439</x:v>
      </x:c>
      <x:c r="L1485" s="74" t="n">
        <x:f>1-F1485/K1485</x:f>
        <x:v>0</x:v>
      </x:c>
      <x:c r="M1485" s="73" t="n">
        <x:f>MAX(M1484,F1485)</x:f>
        <x:v>1.3439</x:v>
      </x:c>
      <x:c r="N1485" s="74" t="n">
        <x:f>1-F1485/M1485</x:f>
        <x:v>0</x:v>
      </x:c>
    </x:row>
    <x:row r="1486" ht="27" customHeight="1">
      <x:c r="A1486" s="66" t="str">
        <x:v>SXL267</x:v>
      </x:c>
      <x:c r="B1486" s="66" t="str">
        <x:v>滨风风云瑞丰1号</x:v>
      </x:c>
      <x:c r="C1486" s="72" t="n">
        <x:v>45554</x:v>
      </x:c>
      <x:c r="D1486" s="73" t="n">
        <x:v>1.3354</x:v>
      </x:c>
      <x:c r="E1486" s="73" t="n">
        <x:v>1.3354</x:v>
      </x:c>
      <x:c r="F1486" s="73" t="n">
        <x:v>1.3354</x:v>
      </x:c>
      <x:c r="G1486" s="74" t="n">
        <x:v>-0.0063</x:v>
      </x:c>
      <x:c r="H1486" s="66" t="str">
        <x:v>滨风风云瑞丰1号净值20260911.xlsx</x:v>
      </x:c>
      <x:c r="I1486" s="73" t="str">
        <x:f>""</x:f>
      </x:c>
      <x:c r="J1486" s="74" t="str">
        <x:f>""</x:f>
      </x:c>
      <x:c r="K1486" s="73" t="n">
        <x:f>MAX(K1485,F1486)</x:f>
        <x:v>1.3439</x:v>
      </x:c>
      <x:c r="L1486" s="74" t="n">
        <x:f>1-F1486/K1486</x:f>
        <x:v>0.006324875362750282</x:v>
      </x:c>
      <x:c r="M1486" s="73" t="n">
        <x:f>MAX(M1485,F1486)</x:f>
        <x:v>1.3439</x:v>
      </x:c>
      <x:c r="N1486" s="74" t="n">
        <x:f>1-F1486/M1486</x:f>
        <x:v>0.006324875362750282</x:v>
      </x:c>
    </x:row>
    <x:row r="1487" ht="27" customHeight="1">
      <x:c r="A1487" s="66" t="str">
        <x:v>SXL267</x:v>
      </x:c>
      <x:c r="B1487" s="66" t="str">
        <x:v>滨风风云瑞丰1号</x:v>
      </x:c>
      <x:c r="C1487" s="72" t="n">
        <x:v>45555</x:v>
      </x:c>
      <x:c r="D1487" s="73" t="n">
        <x:v>1.3346</x:v>
      </x:c>
      <x:c r="E1487" s="73" t="n">
        <x:v>1.3346</x:v>
      </x:c>
      <x:c r="F1487" s="73" t="n">
        <x:v>1.3346</x:v>
      </x:c>
      <x:c r="G1487" s="74" t="n">
        <x:v>-0.0006</x:v>
      </x:c>
      <x:c r="H1487" s="66" t="str">
        <x:v>滨风风云瑞丰1号净值20260911.xlsx</x:v>
      </x:c>
      <x:c r="I1487" s="73" t="str">
        <x:f>""</x:f>
      </x:c>
      <x:c r="J1487" s="74" t="str">
        <x:f>""</x:f>
      </x:c>
      <x:c r="K1487" s="73" t="n">
        <x:f>MAX(K1486,F1487)</x:f>
        <x:v>1.3439</x:v>
      </x:c>
      <x:c r="L1487" s="74" t="n">
        <x:f>1-F1487/K1487</x:f>
        <x:v>0.006920157749832678</x:v>
      </x:c>
      <x:c r="M1487" s="73" t="n">
        <x:f>MAX(M1486,F1487)</x:f>
        <x:v>1.3439</x:v>
      </x:c>
      <x:c r="N1487" s="74" t="n">
        <x:f>1-F1487/M1487</x:f>
        <x:v>0.006920157749832678</x:v>
      </x:c>
    </x:row>
    <x:row r="1488" ht="27" customHeight="1">
      <x:c r="A1488" s="66" t="str">
        <x:v>SXL267</x:v>
      </x:c>
      <x:c r="B1488" s="66" t="str">
        <x:v>滨风风云瑞丰1号</x:v>
      </x:c>
      <x:c r="C1488" s="72" t="n">
        <x:v>45558</x:v>
      </x:c>
      <x:c r="D1488" s="73" t="n">
        <x:v>1.3406</x:v>
      </x:c>
      <x:c r="E1488" s="73" t="n">
        <x:v>1.3406</x:v>
      </x:c>
      <x:c r="F1488" s="73" t="n">
        <x:v>1.3406</x:v>
      </x:c>
      <x:c r="G1488" s="74" t="n">
        <x:v>0.0045000000000000005</x:v>
      </x:c>
      <x:c r="H1488" s="66" t="str">
        <x:v>滨风风云瑞丰1号净值20260911.xlsx</x:v>
      </x:c>
      <x:c r="I1488" s="73" t="str">
        <x:f>""</x:f>
      </x:c>
      <x:c r="J1488" s="74" t="str">
        <x:f>""</x:f>
      </x:c>
      <x:c r="K1488" s="73" t="n">
        <x:f>MAX(K1487,F1488)</x:f>
        <x:v>1.3439</x:v>
      </x:c>
      <x:c r="L1488" s="74" t="n">
        <x:f>1-F1488/K1488</x:f>
        <x:v>0.0024555398467148715</x:v>
      </x:c>
      <x:c r="M1488" s="73" t="n">
        <x:f>MAX(M1487,F1488)</x:f>
        <x:v>1.3439</x:v>
      </x:c>
      <x:c r="N1488" s="74" t="n">
        <x:f>1-F1488/M1488</x:f>
        <x:v>0.0024555398467148715</x:v>
      </x:c>
    </x:row>
    <x:row r="1489" ht="27" customHeight="1">
      <x:c r="A1489" s="66" t="str">
        <x:v>SXL267</x:v>
      </x:c>
      <x:c r="B1489" s="66" t="str">
        <x:v>滨风风云瑞丰1号</x:v>
      </x:c>
      <x:c r="C1489" s="72" t="n">
        <x:v>45559</x:v>
      </x:c>
      <x:c r="D1489" s="73" t="n">
        <x:v>1.3451</x:v>
      </x:c>
      <x:c r="E1489" s="73" t="n">
        <x:v>1.3451</x:v>
      </x:c>
      <x:c r="F1489" s="73" t="n">
        <x:v>1.3451</x:v>
      </x:c>
      <x:c r="G1489" s="74" t="n">
        <x:v>0.0034000000000000002</x:v>
      </x:c>
      <x:c r="H1489" s="66" t="str">
        <x:v>滨风风云瑞丰1号净值20260911.xlsx</x:v>
      </x:c>
      <x:c r="I1489" s="73" t="str">
        <x:f>""</x:f>
      </x:c>
      <x:c r="J1489" s="74" t="str">
        <x:f>""</x:f>
      </x:c>
      <x:c r="K1489" s="73" t="n">
        <x:f>MAX(K1488,F1489)</x:f>
        <x:v>1.3451</x:v>
      </x:c>
      <x:c r="L1489" s="74" t="n">
        <x:f>1-F1489/K1489</x:f>
        <x:v>0</x:v>
      </x:c>
      <x:c r="M1489" s="73" t="n">
        <x:f>MAX(M1488,F1489)</x:f>
        <x:v>1.3451</x:v>
      </x:c>
      <x:c r="N1489" s="74" t="n">
        <x:f>1-F1489/M1489</x:f>
        <x:v>0</x:v>
      </x:c>
    </x:row>
    <x:row r="1490" ht="27" customHeight="1">
      <x:c r="A1490" s="66" t="str">
        <x:v>SXL267</x:v>
      </x:c>
      <x:c r="B1490" s="66" t="str">
        <x:v>滨风风云瑞丰1号</x:v>
      </x:c>
      <x:c r="C1490" s="72" t="n">
        <x:v>45560</x:v>
      </x:c>
      <x:c r="D1490" s="73" t="n">
        <x:v>1.3454</x:v>
      </x:c>
      <x:c r="E1490" s="73" t="n">
        <x:v>1.3454</x:v>
      </x:c>
      <x:c r="F1490" s="73" t="n">
        <x:v>1.3454</x:v>
      </x:c>
      <x:c r="G1490" s="74" t="n">
        <x:v>0.0002</x:v>
      </x:c>
      <x:c r="H1490" s="66" t="str">
        <x:v>滨风风云瑞丰1号净值20260911.xlsx</x:v>
      </x:c>
      <x:c r="I1490" s="73" t="str">
        <x:f>""</x:f>
      </x:c>
      <x:c r="J1490" s="74" t="str">
        <x:f>""</x:f>
      </x:c>
      <x:c r="K1490" s="73" t="n">
        <x:f>MAX(K1489,F1490)</x:f>
        <x:v>1.3454</x:v>
      </x:c>
      <x:c r="L1490" s="74" t="n">
        <x:f>1-F1490/K1490</x:f>
        <x:v>0</x:v>
      </x:c>
      <x:c r="M1490" s="73" t="n">
        <x:f>MAX(M1489,F1490)</x:f>
        <x:v>1.3454</x:v>
      </x:c>
      <x:c r="N1490" s="74" t="n">
        <x:f>1-F1490/M1490</x:f>
        <x:v>0</x:v>
      </x:c>
    </x:row>
    <x:row r="1491" ht="27" customHeight="1">
      <x:c r="A1491" s="66" t="str">
        <x:v>SXL267</x:v>
      </x:c>
      <x:c r="B1491" s="66" t="str">
        <x:v>滨风风云瑞丰1号</x:v>
      </x:c>
      <x:c r="C1491" s="72" t="n">
        <x:v>45561</x:v>
      </x:c>
      <x:c r="D1491" s="73" t="n">
        <x:v>1.3609</x:v>
      </x:c>
      <x:c r="E1491" s="73" t="n">
        <x:v>1.3609</x:v>
      </x:c>
      <x:c r="F1491" s="73" t="n">
        <x:v>1.3609</x:v>
      </x:c>
      <x:c r="G1491" s="74" t="n">
        <x:v>0.0115</x:v>
      </x:c>
      <x:c r="H1491" s="66" t="str">
        <x:v>滨风风云瑞丰1号净值20260911.xlsx</x:v>
      </x:c>
      <x:c r="I1491" s="73" t="str">
        <x:f>""</x:f>
      </x:c>
      <x:c r="J1491" s="74" t="str">
        <x:f>""</x:f>
      </x:c>
      <x:c r="K1491" s="73" t="n">
        <x:f>MAX(K1490,F1491)</x:f>
        <x:v>1.3609</x:v>
      </x:c>
      <x:c r="L1491" s="74" t="n">
        <x:f>1-F1491/K1491</x:f>
        <x:v>0</x:v>
      </x:c>
      <x:c r="M1491" s="73" t="n">
        <x:f>MAX(M1490,F1491)</x:f>
        <x:v>1.3609</x:v>
      </x:c>
      <x:c r="N1491" s="74" t="n">
        <x:f>1-F1491/M1491</x:f>
        <x:v>0</x:v>
      </x:c>
    </x:row>
    <x:row r="1492" ht="27" customHeight="1">
      <x:c r="A1492" s="66" t="str">
        <x:v>SXL267</x:v>
      </x:c>
      <x:c r="B1492" s="66" t="str">
        <x:v>滨风风云瑞丰1号</x:v>
      </x:c>
      <x:c r="C1492" s="72" t="n">
        <x:v>45562</x:v>
      </x:c>
      <x:c r="D1492" s="73" t="n">
        <x:v>1.3921</x:v>
      </x:c>
      <x:c r="E1492" s="73" t="n">
        <x:v>1.3921</x:v>
      </x:c>
      <x:c r="F1492" s="73" t="n">
        <x:v>1.3921</x:v>
      </x:c>
      <x:c r="G1492" s="74" t="n">
        <x:v>0.0229</x:v>
      </x:c>
      <x:c r="H1492" s="66" t="str">
        <x:v>滨风风云瑞丰1号净值20260911.xlsx</x:v>
      </x:c>
      <x:c r="I1492" s="73" t="str">
        <x:f>""</x:f>
      </x:c>
      <x:c r="J1492" s="74" t="str">
        <x:f>""</x:f>
      </x:c>
      <x:c r="K1492" s="73" t="n">
        <x:f>MAX(K1491,F1492)</x:f>
        <x:v>1.3921</x:v>
      </x:c>
      <x:c r="L1492" s="74" t="n">
        <x:f>1-F1492/K1492</x:f>
        <x:v>0</x:v>
      </x:c>
      <x:c r="M1492" s="73" t="n">
        <x:f>MAX(M1491,F1492)</x:f>
        <x:v>1.3921</x:v>
      </x:c>
      <x:c r="N1492" s="74" t="n">
        <x:f>1-F1492/M1492</x:f>
        <x:v>0</x:v>
      </x:c>
    </x:row>
    <x:row r="1493" ht="27" customHeight="1">
      <x:c r="A1493" s="66" t="str">
        <x:v>SXL267</x:v>
      </x:c>
      <x:c r="B1493" s="66" t="str">
        <x:v>滨风风云瑞丰1号</x:v>
      </x:c>
      <x:c r="C1493" s="72" t="n">
        <x:v>45565</x:v>
      </x:c>
      <x:c r="D1493" s="73" t="n">
        <x:v>1.4437</x:v>
      </x:c>
      <x:c r="E1493" s="73" t="n">
        <x:v>1.4437</x:v>
      </x:c>
      <x:c r="F1493" s="73" t="n">
        <x:v>1.4437</x:v>
      </x:c>
      <x:c r="G1493" s="74" t="n">
        <x:v>0.0371</x:v>
      </x:c>
      <x:c r="H1493" s="66" t="str">
        <x:v>滨风风云瑞丰1号净值20260911.xlsx</x:v>
      </x:c>
      <x:c r="I1493" s="73" t="str">
        <x:f>""</x:f>
      </x:c>
      <x:c r="J1493" s="74" t="str">
        <x:f>""</x:f>
      </x:c>
      <x:c r="K1493" s="73" t="n">
        <x:f>MAX(K1492,F1493)</x:f>
        <x:v>1.4437</x:v>
      </x:c>
      <x:c r="L1493" s="74" t="n">
        <x:f>1-F1493/K1493</x:f>
        <x:v>0</x:v>
      </x:c>
      <x:c r="M1493" s="73" t="n">
        <x:f>MAX(M1492,F1493)</x:f>
        <x:v>1.4437</x:v>
      </x:c>
      <x:c r="N1493" s="74" t="n">
        <x:f>1-F1493/M1493</x:f>
        <x:v>0</x:v>
      </x:c>
    </x:row>
    <x:row r="1494" ht="27" customHeight="1">
      <x:c r="A1494" s="66" t="str">
        <x:v>SXL267</x:v>
      </x:c>
      <x:c r="B1494" s="66" t="str">
        <x:v>滨风风云瑞丰1号</x:v>
      </x:c>
      <x:c r="C1494" s="72" t="n">
        <x:v>45573</x:v>
      </x:c>
      <x:c r="D1494" s="73" t="n">
        <x:v>1.4585</x:v>
      </x:c>
      <x:c r="E1494" s="73" t="n">
        <x:v>1.4585</x:v>
      </x:c>
      <x:c r="F1494" s="73" t="n">
        <x:v>1.4585</x:v>
      </x:c>
      <x:c r="G1494" s="74" t="n">
        <x:v>0.0103</x:v>
      </x:c>
      <x:c r="H1494" s="66" t="str">
        <x:v>滨风风云瑞丰1号净值20260911.xlsx</x:v>
      </x:c>
      <x:c r="I1494" s="73" t="str">
        <x:f>""</x:f>
      </x:c>
      <x:c r="J1494" s="74" t="str">
        <x:f>""</x:f>
      </x:c>
      <x:c r="K1494" s="73" t="n">
        <x:f>MAX(K1493,F1494)</x:f>
        <x:v>1.4585</x:v>
      </x:c>
      <x:c r="L1494" s="74" t="n">
        <x:f>1-F1494/K1494</x:f>
        <x:v>0</x:v>
      </x:c>
      <x:c r="M1494" s="73" t="n">
        <x:f>MAX(M1493,F1494)</x:f>
        <x:v>1.4585</x:v>
      </x:c>
      <x:c r="N1494" s="74" t="n">
        <x:f>1-F1494/M1494</x:f>
        <x:v>0</x:v>
      </x:c>
    </x:row>
    <x:row r="1495" ht="27" customHeight="1">
      <x:c r="A1495" s="66" t="str">
        <x:v>SXL267</x:v>
      </x:c>
      <x:c r="B1495" s="66" t="str">
        <x:v>滨风风云瑞丰1号</x:v>
      </x:c>
      <x:c r="C1495" s="72" t="n">
        <x:v>45574</x:v>
      </x:c>
      <x:c r="D1495" s="73" t="n">
        <x:v>1.4145</x:v>
      </x:c>
      <x:c r="E1495" s="73" t="n">
        <x:v>1.4145</x:v>
      </x:c>
      <x:c r="F1495" s="73" t="n">
        <x:v>1.4145</x:v>
      </x:c>
      <x:c r="G1495" s="74" t="n">
        <x:v>-0.0302</x:v>
      </x:c>
      <x:c r="H1495" s="66" t="str">
        <x:v>滨风风云瑞丰1号净值20260911.xlsx</x:v>
      </x:c>
      <x:c r="I1495" s="73" t="str">
        <x:f>""</x:f>
      </x:c>
      <x:c r="J1495" s="74" t="str">
        <x:f>""</x:f>
      </x:c>
      <x:c r="K1495" s="73" t="n">
        <x:f>MAX(K1494,F1495)</x:f>
        <x:v>1.4585</x:v>
      </x:c>
      <x:c r="L1495" s="74" t="n">
        <x:f>1-F1495/K1495</x:f>
        <x:v>0.03016798080219396</x:v>
      </x:c>
      <x:c r="M1495" s="73" t="n">
        <x:f>MAX(M1494,F1495)</x:f>
        <x:v>1.4585</x:v>
      </x:c>
      <x:c r="N1495" s="74" t="n">
        <x:f>1-F1495/M1495</x:f>
        <x:v>0.03016798080219396</x:v>
      </x:c>
    </x:row>
    <x:row r="1496" ht="27" customHeight="1">
      <x:c r="A1496" s="66" t="str">
        <x:v>SXL267</x:v>
      </x:c>
      <x:c r="B1496" s="66" t="str">
        <x:v>滨风风云瑞丰1号</x:v>
      </x:c>
      <x:c r="C1496" s="72" t="n">
        <x:v>45575</x:v>
      </x:c>
      <x:c r="D1496" s="73" t="n">
        <x:v>1.4123</x:v>
      </x:c>
      <x:c r="E1496" s="73" t="n">
        <x:v>1.4123</x:v>
      </x:c>
      <x:c r="F1496" s="73" t="n">
        <x:v>1.4123</x:v>
      </x:c>
      <x:c r="G1496" s="74" t="n">
        <x:v>-0.0016</x:v>
      </x:c>
      <x:c r="H1496" s="66" t="str">
        <x:v>滨风风云瑞丰1号净值20260911.xlsx</x:v>
      </x:c>
      <x:c r="I1496" s="73" t="str">
        <x:f>""</x:f>
      </x:c>
      <x:c r="J1496" s="74" t="str">
        <x:f>""</x:f>
      </x:c>
      <x:c r="K1496" s="73" t="n">
        <x:f>MAX(K1495,F1496)</x:f>
        <x:v>1.4585</x:v>
      </x:c>
      <x:c r="L1496" s="74" t="n">
        <x:f>1-F1496/K1496</x:f>
        <x:v>0.03167637984230365</x:v>
      </x:c>
      <x:c r="M1496" s="73" t="n">
        <x:f>MAX(M1495,F1496)</x:f>
        <x:v>1.4585</x:v>
      </x:c>
      <x:c r="N1496" s="74" t="n">
        <x:f>1-F1496/M1496</x:f>
        <x:v>0.03167637984230365</x:v>
      </x:c>
    </x:row>
    <x:row r="1497" ht="27" customHeight="1">
      <x:c r="A1497" s="66" t="str">
        <x:v>SXL267</x:v>
      </x:c>
      <x:c r="B1497" s="66" t="str">
        <x:v>滨风风云瑞丰1号</x:v>
      </x:c>
      <x:c r="C1497" s="72" t="n">
        <x:v>45576</x:v>
      </x:c>
      <x:c r="D1497" s="73" t="n">
        <x:v>1.4022</x:v>
      </x:c>
      <x:c r="E1497" s="73" t="n">
        <x:v>1.4022</x:v>
      </x:c>
      <x:c r="F1497" s="73" t="n">
        <x:v>1.4022</x:v>
      </x:c>
      <x:c r="G1497" s="74" t="n">
        <x:v>-0.0072</x:v>
      </x:c>
      <x:c r="H1497" s="66" t="str">
        <x:v>滨风风云瑞丰1号净值20260911.xlsx</x:v>
      </x:c>
      <x:c r="I1497" s="73" t="str">
        <x:f>""</x:f>
      </x:c>
      <x:c r="J1497" s="74" t="str">
        <x:f>""</x:f>
      </x:c>
      <x:c r="K1497" s="73" t="n">
        <x:f>MAX(K1496,F1497)</x:f>
        <x:v>1.4585</x:v>
      </x:c>
      <x:c r="L1497" s="74" t="n">
        <x:f>1-F1497/K1497</x:f>
        <x:v>0.0386013027082619</x:v>
      </x:c>
      <x:c r="M1497" s="73" t="n">
        <x:f>MAX(M1496,F1497)</x:f>
        <x:v>1.4585</x:v>
      </x:c>
      <x:c r="N1497" s="74" t="n">
        <x:f>1-F1497/M1497</x:f>
        <x:v>0.0386013027082619</x:v>
      </x:c>
    </x:row>
    <x:row r="1498" ht="27" customHeight="1">
      <x:c r="A1498" s="66" t="str">
        <x:v>SXL267</x:v>
      </x:c>
      <x:c r="B1498" s="66" t="str">
        <x:v>滨风风云瑞丰1号</x:v>
      </x:c>
      <x:c r="C1498" s="72" t="n">
        <x:v>45579</x:v>
      </x:c>
      <x:c r="D1498" s="73" t="n">
        <x:v>1.4062</x:v>
      </x:c>
      <x:c r="E1498" s="73" t="n">
        <x:v>1.4062</x:v>
      </x:c>
      <x:c r="F1498" s="73" t="n">
        <x:v>1.4062</x:v>
      </x:c>
      <x:c r="G1498" s="74" t="n">
        <x:v>0.0029</x:v>
      </x:c>
      <x:c r="H1498" s="66" t="str">
        <x:v>滨风风云瑞丰1号净值20260911.xlsx</x:v>
      </x:c>
      <x:c r="I1498" s="73" t="str">
        <x:f>""</x:f>
      </x:c>
      <x:c r="J1498" s="74" t="str">
        <x:f>""</x:f>
      </x:c>
      <x:c r="K1498" s="73" t="n">
        <x:f>MAX(K1497,F1498)</x:f>
        <x:v>1.4585</x:v>
      </x:c>
      <x:c r="L1498" s="74" t="n">
        <x:f>1-F1498/K1498</x:f>
        <x:v>0.03585875899897151</x:v>
      </x:c>
      <x:c r="M1498" s="73" t="n">
        <x:f>MAX(M1497,F1498)</x:f>
        <x:v>1.4585</x:v>
      </x:c>
      <x:c r="N1498" s="74" t="n">
        <x:f>1-F1498/M1498</x:f>
        <x:v>0.03585875899897151</x:v>
      </x:c>
    </x:row>
    <x:row r="1499" ht="27" customHeight="1">
      <x:c r="A1499" s="66" t="str">
        <x:v>SXL267</x:v>
      </x:c>
      <x:c r="B1499" s="66" t="str">
        <x:v>滨风风云瑞丰1号</x:v>
      </x:c>
      <x:c r="C1499" s="72" t="n">
        <x:v>45580</x:v>
      </x:c>
      <x:c r="D1499" s="73" t="n">
        <x:v>1.391</x:v>
      </x:c>
      <x:c r="E1499" s="73" t="n">
        <x:v>1.391</x:v>
      </x:c>
      <x:c r="F1499" s="73" t="n">
        <x:v>1.391</x:v>
      </x:c>
      <x:c r="G1499" s="74" t="n">
        <x:v>-0.0108</x:v>
      </x:c>
      <x:c r="H1499" s="66" t="str">
        <x:v>滨风风云瑞丰1号净值20260911.xlsx</x:v>
      </x:c>
      <x:c r="I1499" s="73" t="str">
        <x:f>""</x:f>
      </x:c>
      <x:c r="J1499" s="74" t="str">
        <x:f>""</x:f>
      </x:c>
      <x:c r="K1499" s="73" t="n">
        <x:f>MAX(K1498,F1499)</x:f>
        <x:v>1.4585</x:v>
      </x:c>
      <x:c r="L1499" s="74" t="n">
        <x:f>1-F1499/K1499</x:f>
        <x:v>0.04628042509427488</x:v>
      </x:c>
      <x:c r="M1499" s="73" t="n">
        <x:f>MAX(M1498,F1499)</x:f>
        <x:v>1.4585</x:v>
      </x:c>
      <x:c r="N1499" s="74" t="n">
        <x:f>1-F1499/M1499</x:f>
        <x:v>0.04628042509427488</x:v>
      </x:c>
    </x:row>
    <x:row r="1500" ht="27" customHeight="1">
      <x:c r="A1500" s="66" t="str">
        <x:v>SXL267</x:v>
      </x:c>
      <x:c r="B1500" s="66" t="str">
        <x:v>滨风风云瑞丰1号</x:v>
      </x:c>
      <x:c r="C1500" s="72" t="n">
        <x:v>45581</x:v>
      </x:c>
      <x:c r="D1500" s="73" t="n">
        <x:v>1.3881</x:v>
      </x:c>
      <x:c r="E1500" s="73" t="n">
        <x:v>1.3881</x:v>
      </x:c>
      <x:c r="F1500" s="73" t="n">
        <x:v>1.3881</x:v>
      </x:c>
      <x:c r="G1500" s="74" t="n">
        <x:v>-0.0021</x:v>
      </x:c>
      <x:c r="H1500" s="66" t="str">
        <x:v>滨风风云瑞丰1号净值20260911.xlsx</x:v>
      </x:c>
      <x:c r="I1500" s="73" t="str">
        <x:f>""</x:f>
      </x:c>
      <x:c r="J1500" s="74" t="str">
        <x:f>""</x:f>
      </x:c>
      <x:c r="K1500" s="73" t="n">
        <x:f>MAX(K1499,F1500)</x:f>
        <x:v>1.4585</x:v>
      </x:c>
      <x:c r="L1500" s="74" t="n">
        <x:f>1-F1500/K1500</x:f>
        <x:v>0.048268769283510427</x:v>
      </x:c>
      <x:c r="M1500" s="73" t="n">
        <x:f>MAX(M1499,F1500)</x:f>
        <x:v>1.4585</x:v>
      </x:c>
      <x:c r="N1500" s="74" t="n">
        <x:f>1-F1500/M1500</x:f>
        <x:v>0.048268769283510427</x:v>
      </x:c>
    </x:row>
    <x:row r="1501" ht="27" customHeight="1">
      <x:c r="A1501" s="66" t="str">
        <x:v>SXL267</x:v>
      </x:c>
      <x:c r="B1501" s="66" t="str">
        <x:v>滨风风云瑞丰1号</x:v>
      </x:c>
      <x:c r="C1501" s="72" t="n">
        <x:v>45582</x:v>
      </x:c>
      <x:c r="D1501" s="73" t="n">
        <x:v>1.4031</x:v>
      </x:c>
      <x:c r="E1501" s="73" t="n">
        <x:v>1.4031</x:v>
      </x:c>
      <x:c r="F1501" s="73" t="n">
        <x:v>1.4031</x:v>
      </x:c>
      <x:c r="G1501" s="74" t="n">
        <x:v>0.0108</x:v>
      </x:c>
      <x:c r="H1501" s="66" t="str">
        <x:v>滨风风云瑞丰1号净值20260911.xlsx</x:v>
      </x:c>
      <x:c r="I1501" s="73" t="str">
        <x:f>""</x:f>
      </x:c>
      <x:c r="J1501" s="74" t="str">
        <x:f>""</x:f>
      </x:c>
      <x:c r="K1501" s="73" t="n">
        <x:f>MAX(K1500,F1501)</x:f>
        <x:v>1.4585</x:v>
      </x:c>
      <x:c r="L1501" s="74" t="n">
        <x:f>1-F1501/K1501</x:f>
        <x:v>0.03798423037367149</x:v>
      </x:c>
      <x:c r="M1501" s="73" t="n">
        <x:f>MAX(M1500,F1501)</x:f>
        <x:v>1.4585</x:v>
      </x:c>
      <x:c r="N1501" s="74" t="n">
        <x:f>1-F1501/M1501</x:f>
        <x:v>0.03798423037367149</x:v>
      </x:c>
    </x:row>
    <x:row r="1502" ht="27" customHeight="1">
      <x:c r="A1502" s="66" t="str">
        <x:v>SXL267</x:v>
      </x:c>
      <x:c r="B1502" s="66" t="str">
        <x:v>滨风风云瑞丰1号</x:v>
      </x:c>
      <x:c r="C1502" s="72" t="n">
        <x:v>45583</x:v>
      </x:c>
      <x:c r="D1502" s="73" t="n">
        <x:v>1.4118</x:v>
      </x:c>
      <x:c r="E1502" s="73" t="n">
        <x:v>1.4118</x:v>
      </x:c>
      <x:c r="F1502" s="73" t="n">
        <x:v>1.4118</x:v>
      </x:c>
      <x:c r="G1502" s="74" t="n">
        <x:v>0.0062</x:v>
      </x:c>
      <x:c r="H1502" s="66" t="str">
        <x:v>滨风风云瑞丰1号净值20260911.xlsx</x:v>
      </x:c>
      <x:c r="I1502" s="73" t="str">
        <x:f>""</x:f>
      </x:c>
      <x:c r="J1502" s="74" t="str">
        <x:f>""</x:f>
      </x:c>
      <x:c r="K1502" s="73" t="n">
        <x:f>MAX(K1501,F1502)</x:f>
        <x:v>1.4585</x:v>
      </x:c>
      <x:c r="L1502" s="74" t="n">
        <x:f>1-F1502/K1502</x:f>
        <x:v>0.03201919780596496</x:v>
      </x:c>
      <x:c r="M1502" s="73" t="n">
        <x:f>MAX(M1501,F1502)</x:f>
        <x:v>1.4585</x:v>
      </x:c>
      <x:c r="N1502" s="74" t="n">
        <x:f>1-F1502/M1502</x:f>
        <x:v>0.03201919780596496</x:v>
      </x:c>
    </x:row>
    <x:row r="1503" ht="27" customHeight="1">
      <x:c r="A1503" s="66" t="str">
        <x:v>SXL267</x:v>
      </x:c>
      <x:c r="B1503" s="66" t="str">
        <x:v>滨风风云瑞丰1号</x:v>
      </x:c>
      <x:c r="C1503" s="72" t="n">
        <x:v>45586</x:v>
      </x:c>
      <x:c r="D1503" s="73" t="n">
        <x:v>1.3768</x:v>
      </x:c>
      <x:c r="E1503" s="73" t="n">
        <x:v>1.3768</x:v>
      </x:c>
      <x:c r="F1503" s="73" t="n">
        <x:v>1.3768</x:v>
      </x:c>
      <x:c r="G1503" s="74" t="n">
        <x:v>-0.0248</x:v>
      </x:c>
      <x:c r="H1503" s="66" t="str">
        <x:v>滨风风云瑞丰1号净值20260911.xlsx</x:v>
      </x:c>
      <x:c r="I1503" s="73" t="str">
        <x:f>""</x:f>
      </x:c>
      <x:c r="J1503" s="74" t="str">
        <x:f>""</x:f>
      </x:c>
      <x:c r="K1503" s="73" t="n">
        <x:f>MAX(K1502,F1503)</x:f>
        <x:v>1.4585</x:v>
      </x:c>
      <x:c r="L1503" s="74" t="n">
        <x:f>1-F1503/K1503</x:f>
        <x:v>0.05601645526225563</x:v>
      </x:c>
      <x:c r="M1503" s="73" t="n">
        <x:f>MAX(M1502,F1503)</x:f>
        <x:v>1.4585</x:v>
      </x:c>
      <x:c r="N1503" s="74" t="n">
        <x:f>1-F1503/M1503</x:f>
        <x:v>0.05601645526225563</x:v>
      </x:c>
    </x:row>
    <x:row r="1504" ht="27" customHeight="1">
      <x:c r="A1504" s="66" t="str">
        <x:v>SXL267</x:v>
      </x:c>
      <x:c r="B1504" s="66" t="str">
        <x:v>滨风风云瑞丰1号</x:v>
      </x:c>
      <x:c r="C1504" s="72" t="n">
        <x:v>45587</x:v>
      </x:c>
      <x:c r="D1504" s="73" t="n">
        <x:v>1.3754</x:v>
      </x:c>
      <x:c r="E1504" s="73" t="n">
        <x:v>1.3754</x:v>
      </x:c>
      <x:c r="F1504" s="73" t="n">
        <x:v>1.3754</x:v>
      </x:c>
      <x:c r="G1504" s="74" t="n">
        <x:v>-0.001</x:v>
      </x:c>
      <x:c r="H1504" s="66" t="str">
        <x:v>滨风风云瑞丰1号净值20260911.xlsx</x:v>
      </x:c>
      <x:c r="I1504" s="73" t="str">
        <x:f>""</x:f>
      </x:c>
      <x:c r="J1504" s="74" t="str">
        <x:f>""</x:f>
      </x:c>
      <x:c r="K1504" s="73" t="n">
        <x:f>MAX(K1503,F1504)</x:f>
        <x:v>1.4585</x:v>
      </x:c>
      <x:c r="L1504" s="74" t="n">
        <x:f>1-F1504/K1504</x:f>
        <x:v>0.05697634556050735</x:v>
      </x:c>
      <x:c r="M1504" s="73" t="n">
        <x:f>MAX(M1503,F1504)</x:f>
        <x:v>1.4585</x:v>
      </x:c>
      <x:c r="N1504" s="74" t="n">
        <x:f>1-F1504/M1504</x:f>
        <x:v>0.05697634556050735</x:v>
      </x:c>
    </x:row>
    <x:row r="1505" ht="27" customHeight="1">
      <x:c r="A1505" s="66" t="str">
        <x:v>SXL267</x:v>
      </x:c>
      <x:c r="B1505" s="66" t="str">
        <x:v>滨风风云瑞丰1号</x:v>
      </x:c>
      <x:c r="C1505" s="72" t="n">
        <x:v>45588</x:v>
      </x:c>
      <x:c r="D1505" s="73" t="n">
        <x:v>1.3867</x:v>
      </x:c>
      <x:c r="E1505" s="73" t="n">
        <x:v>1.3867</x:v>
      </x:c>
      <x:c r="F1505" s="73" t="n">
        <x:v>1.3867</x:v>
      </x:c>
      <x:c r="G1505" s="74" t="n">
        <x:v>0.008199999999999999</x:v>
      </x:c>
      <x:c r="H1505" s="66" t="str">
        <x:v>滨风风云瑞丰1号净值20260911.xlsx</x:v>
      </x:c>
      <x:c r="I1505" s="73" t="str">
        <x:f>""</x:f>
      </x:c>
      <x:c r="J1505" s="74" t="str">
        <x:f>""</x:f>
      </x:c>
      <x:c r="K1505" s="73" t="n">
        <x:f>MAX(K1504,F1505)</x:f>
        <x:v>1.4585</x:v>
      </x:c>
      <x:c r="L1505" s="74" t="n">
        <x:f>1-F1505/K1505</x:f>
        <x:v>0.049228659581762035</x:v>
      </x:c>
      <x:c r="M1505" s="73" t="n">
        <x:f>MAX(M1504,F1505)</x:f>
        <x:v>1.4585</x:v>
      </x:c>
      <x:c r="N1505" s="74" t="n">
        <x:f>1-F1505/M1505</x:f>
        <x:v>0.049228659581762035</x:v>
      </x:c>
    </x:row>
    <x:row r="1506" ht="27" customHeight="1">
      <x:c r="A1506" s="66" t="str">
        <x:v>SXL267</x:v>
      </x:c>
      <x:c r="B1506" s="66" t="str">
        <x:v>滨风风云瑞丰1号</x:v>
      </x:c>
      <x:c r="C1506" s="72" t="n">
        <x:v>45589</x:v>
      </x:c>
      <x:c r="D1506" s="73" t="n">
        <x:v>1.372</x:v>
      </x:c>
      <x:c r="E1506" s="73" t="n">
        <x:v>1.372</x:v>
      </x:c>
      <x:c r="F1506" s="73" t="n">
        <x:v>1.372</x:v>
      </x:c>
      <x:c r="G1506" s="74" t="n">
        <x:v>-0.0106</x:v>
      </x:c>
      <x:c r="H1506" s="66" t="str">
        <x:v>滨风风云瑞丰1号净值20260911.xlsx</x:v>
      </x:c>
      <x:c r="I1506" s="73" t="str">
        <x:f>""</x:f>
      </x:c>
      <x:c r="J1506" s="74" t="str">
        <x:f>""</x:f>
      </x:c>
      <x:c r="K1506" s="73" t="n">
        <x:f>MAX(K1505,F1506)</x:f>
        <x:v>1.4585</x:v>
      </x:c>
      <x:c r="L1506" s="74" t="n">
        <x:f>1-F1506/K1506</x:f>
        <x:v>0.059307507713404095</x:v>
      </x:c>
      <x:c r="M1506" s="73" t="n">
        <x:f>MAX(M1505,F1506)</x:f>
        <x:v>1.4585</x:v>
      </x:c>
      <x:c r="N1506" s="74" t="n">
        <x:f>1-F1506/M1506</x:f>
        <x:v>0.059307507713404095</x:v>
      </x:c>
    </x:row>
    <x:row r="1507" ht="27" customHeight="1">
      <x:c r="A1507" s="66" t="str">
        <x:v>SXL267</x:v>
      </x:c>
      <x:c r="B1507" s="66" t="str">
        <x:v>滨风风云瑞丰1号</x:v>
      </x:c>
      <x:c r="C1507" s="72" t="n">
        <x:v>45590</x:v>
      </x:c>
      <x:c r="D1507" s="73" t="n">
        <x:v>1.375</x:v>
      </x:c>
      <x:c r="E1507" s="73" t="n">
        <x:v>1.375</x:v>
      </x:c>
      <x:c r="F1507" s="73" t="n">
        <x:v>1.375</x:v>
      </x:c>
      <x:c r="G1507" s="74" t="n">
        <x:v>0.0022</x:v>
      </x:c>
      <x:c r="H1507" s="66" t="str">
        <x:v>滨风风云瑞丰1号净值20260911.xlsx</x:v>
      </x:c>
      <x:c r="I1507" s="73" t="str">
        <x:f>""</x:f>
      </x:c>
      <x:c r="J1507" s="74" t="str">
        <x:f>""</x:f>
      </x:c>
      <x:c r="K1507" s="73" t="n">
        <x:f>MAX(K1506,F1507)</x:f>
        <x:v>1.4585</x:v>
      </x:c>
      <x:c r="L1507" s="74" t="n">
        <x:f>1-F1507/K1507</x:f>
        <x:v>0.05725059993143633</x:v>
      </x:c>
      <x:c r="M1507" s="73" t="n">
        <x:f>MAX(M1506,F1507)</x:f>
        <x:v>1.4585</x:v>
      </x:c>
      <x:c r="N1507" s="74" t="n">
        <x:f>1-F1507/M1507</x:f>
        <x:v>0.05725059993143633</x:v>
      </x:c>
    </x:row>
    <x:row r="1508" ht="27" customHeight="1">
      <x:c r="A1508" s="66" t="str">
        <x:v>SXL267</x:v>
      </x:c>
      <x:c r="B1508" s="66" t="str">
        <x:v>滨风风云瑞丰1号</x:v>
      </x:c>
      <x:c r="C1508" s="72" t="n">
        <x:v>45593</x:v>
      </x:c>
      <x:c r="D1508" s="73" t="n">
        <x:v>1.3757</x:v>
      </x:c>
      <x:c r="E1508" s="73" t="n">
        <x:v>1.3757</x:v>
      </x:c>
      <x:c r="F1508" s="73" t="n">
        <x:v>1.3757</x:v>
      </x:c>
      <x:c r="G1508" s="74" t="n">
        <x:v>0.0005</x:v>
      </x:c>
      <x:c r="H1508" s="66" t="str">
        <x:v>滨风风云瑞丰1号净值20260911.xlsx</x:v>
      </x:c>
      <x:c r="I1508" s="73" t="str">
        <x:f>""</x:f>
      </x:c>
      <x:c r="J1508" s="74" t="str">
        <x:f>""</x:f>
      </x:c>
      <x:c r="K1508" s="73" t="n">
        <x:f>MAX(K1507,F1508)</x:f>
        <x:v>1.4585</x:v>
      </x:c>
      <x:c r="L1508" s="74" t="n">
        <x:f>1-F1508/K1508</x:f>
        <x:v>0.05677065478231058</x:v>
      </x:c>
      <x:c r="M1508" s="73" t="n">
        <x:f>MAX(M1507,F1508)</x:f>
        <x:v>1.4585</x:v>
      </x:c>
      <x:c r="N1508" s="74" t="n">
        <x:f>1-F1508/M1508</x:f>
        <x:v>0.05677065478231058</x:v>
      </x:c>
    </x:row>
    <x:row r="1509" ht="27" customHeight="1">
      <x:c r="A1509" s="66" t="str">
        <x:v>SXL267</x:v>
      </x:c>
      <x:c r="B1509" s="66" t="str">
        <x:v>滨风风云瑞丰1号</x:v>
      </x:c>
      <x:c r="C1509" s="72" t="n">
        <x:v>45594</x:v>
      </x:c>
      <x:c r="D1509" s="73" t="n">
        <x:v>1.3676</x:v>
      </x:c>
      <x:c r="E1509" s="73" t="n">
        <x:v>1.3676</x:v>
      </x:c>
      <x:c r="F1509" s="73" t="n">
        <x:v>1.3676</x:v>
      </x:c>
      <x:c r="G1509" s="74" t="n">
        <x:v>-0.0059</x:v>
      </x:c>
      <x:c r="H1509" s="66" t="str">
        <x:v>滨风风云瑞丰1号净值20260911.xlsx</x:v>
      </x:c>
      <x:c r="I1509" s="73" t="str">
        <x:f>""</x:f>
      </x:c>
      <x:c r="J1509" s="74" t="str">
        <x:f>""</x:f>
      </x:c>
      <x:c r="K1509" s="73" t="n">
        <x:f>MAX(K1508,F1509)</x:f>
        <x:v>1.4585</x:v>
      </x:c>
      <x:c r="L1509" s="74" t="n">
        <x:f>1-F1509/K1509</x:f>
        <x:v>0.06232430579362358</x:v>
      </x:c>
      <x:c r="M1509" s="73" t="n">
        <x:f>MAX(M1508,F1509)</x:f>
        <x:v>1.4585</x:v>
      </x:c>
      <x:c r="N1509" s="74" t="n">
        <x:f>1-F1509/M1509</x:f>
        <x:v>0.06232430579362358</x:v>
      </x:c>
    </x:row>
    <x:row r="1510" ht="27" customHeight="1">
      <x:c r="A1510" s="66" t="str">
        <x:v>SXL267</x:v>
      </x:c>
      <x:c r="B1510" s="66" t="str">
        <x:v>滨风风云瑞丰1号</x:v>
      </x:c>
      <x:c r="C1510" s="72" t="n">
        <x:v>45595</x:v>
      </x:c>
      <x:c r="D1510" s="73" t="n">
        <x:v>1.3537</x:v>
      </x:c>
      <x:c r="E1510" s="73" t="n">
        <x:v>1.3537</x:v>
      </x:c>
      <x:c r="F1510" s="73" t="n">
        <x:v>1.3537</x:v>
      </x:c>
      <x:c r="G1510" s="74" t="n">
        <x:v>-0.0102</x:v>
      </x:c>
      <x:c r="H1510" s="66" t="str">
        <x:v>滨风风云瑞丰1号净值20260911.xlsx</x:v>
      </x:c>
      <x:c r="I1510" s="73" t="str">
        <x:f>""</x:f>
      </x:c>
      <x:c r="J1510" s="74" t="str">
        <x:f>""</x:f>
      </x:c>
      <x:c r="K1510" s="73" t="n">
        <x:f>MAX(K1509,F1510)</x:f>
        <x:v>1.4585</x:v>
      </x:c>
      <x:c r="L1510" s="74" t="n">
        <x:f>1-F1510/K1510</x:f>
        <x:v>0.07185464518340767</x:v>
      </x:c>
      <x:c r="M1510" s="73" t="n">
        <x:f>MAX(M1509,F1510)</x:f>
        <x:v>1.4585</x:v>
      </x:c>
      <x:c r="N1510" s="74" t="n">
        <x:f>1-F1510/M1510</x:f>
        <x:v>0.07185464518340767</x:v>
      </x:c>
    </x:row>
    <x:row r="1511" ht="27" customHeight="1">
      <x:c r="A1511" s="66" t="str">
        <x:v>SXL267</x:v>
      </x:c>
      <x:c r="B1511" s="66" t="str">
        <x:v>滨风风云瑞丰1号</x:v>
      </x:c>
      <x:c r="C1511" s="72" t="n">
        <x:v>45596</x:v>
      </x:c>
      <x:c r="D1511" s="73" t="n">
        <x:v>1.3497</x:v>
      </x:c>
      <x:c r="E1511" s="73" t="n">
        <x:v>1.3497</x:v>
      </x:c>
      <x:c r="F1511" s="73" t="n">
        <x:v>1.3497</x:v>
      </x:c>
      <x:c r="G1511" s="74" t="n">
        <x:v>-0.003</x:v>
      </x:c>
      <x:c r="H1511" s="66" t="str">
        <x:v>滨风风云瑞丰1号净值20260911.xlsx</x:v>
      </x:c>
      <x:c r="I1511" s="73" t="str">
        <x:f>""</x:f>
      </x:c>
      <x:c r="J1511" s="74" t="str">
        <x:f>""</x:f>
      </x:c>
      <x:c r="K1511" s="73" t="n">
        <x:f>MAX(K1510,F1511)</x:f>
        <x:v>1.4585</x:v>
      </x:c>
      <x:c r="L1511" s="74" t="n">
        <x:f>1-F1511/K1511</x:f>
        <x:v>0.07459718889269795</x:v>
      </x:c>
      <x:c r="M1511" s="73" t="n">
        <x:f>MAX(M1510,F1511)</x:f>
        <x:v>1.4585</x:v>
      </x:c>
      <x:c r="N1511" s="74" t="n">
        <x:f>1-F1511/M1511</x:f>
        <x:v>0.07459718889269795</x:v>
      </x:c>
    </x:row>
    <x:row r="1512" ht="27" customHeight="1">
      <x:c r="A1512" s="66" t="str">
        <x:v>SXL267</x:v>
      </x:c>
      <x:c r="B1512" s="66" t="str">
        <x:v>滨风风云瑞丰1号</x:v>
      </x:c>
      <x:c r="C1512" s="72" t="n">
        <x:v>45597</x:v>
      </x:c>
      <x:c r="D1512" s="73" t="n">
        <x:v>1.3546</x:v>
      </x:c>
      <x:c r="E1512" s="73" t="n">
        <x:v>1.3546</x:v>
      </x:c>
      <x:c r="F1512" s="73" t="n">
        <x:v>1.3546</x:v>
      </x:c>
      <x:c r="G1512" s="74" t="n">
        <x:v>0.0036</x:v>
      </x:c>
      <x:c r="H1512" s="66" t="str">
        <x:v>滨风风云瑞丰1号净值20260911.xlsx</x:v>
      </x:c>
      <x:c r="I1512" s="73" t="str">
        <x:f>""</x:f>
      </x:c>
      <x:c r="J1512" s="74" t="str">
        <x:f>""</x:f>
      </x:c>
      <x:c r="K1512" s="73" t="n">
        <x:f>MAX(K1511,F1512)</x:f>
        <x:v>1.4585</x:v>
      </x:c>
      <x:c r="L1512" s="74" t="n">
        <x:f>1-F1512/K1512</x:f>
        <x:v>0.07123757284881715</x:v>
      </x:c>
      <x:c r="M1512" s="73" t="n">
        <x:f>MAX(M1511,F1512)</x:f>
        <x:v>1.4585</x:v>
      </x:c>
      <x:c r="N1512" s="74" t="n">
        <x:f>1-F1512/M1512</x:f>
        <x:v>0.07123757284881715</x:v>
      </x:c>
    </x:row>
    <x:row r="1513" ht="27" customHeight="1">
      <x:c r="A1513" s="66" t="str">
        <x:v>SXL267</x:v>
      </x:c>
      <x:c r="B1513" s="66" t="str">
        <x:v>滨风风云瑞丰1号</x:v>
      </x:c>
      <x:c r="C1513" s="72" t="n">
        <x:v>45600</x:v>
      </x:c>
      <x:c r="D1513" s="73" t="n">
        <x:v>1.3741</x:v>
      </x:c>
      <x:c r="E1513" s="73" t="n">
        <x:v>1.3741</x:v>
      </x:c>
      <x:c r="F1513" s="73" t="n">
        <x:v>1.3741</x:v>
      </x:c>
      <x:c r="G1513" s="74" t="n">
        <x:v>0.0144</x:v>
      </x:c>
      <x:c r="H1513" s="66" t="str">
        <x:v>滨风风云瑞丰1号净值20260911.xlsx</x:v>
      </x:c>
      <x:c r="I1513" s="73" t="str">
        <x:f>""</x:f>
      </x:c>
      <x:c r="J1513" s="74" t="str">
        <x:f>""</x:f>
      </x:c>
      <x:c r="K1513" s="73" t="n">
        <x:f>MAX(K1512,F1513)</x:f>
        <x:v>1.4585</x:v>
      </x:c>
      <x:c r="L1513" s="74" t="n">
        <x:f>1-F1513/K1513</x:f>
        <x:v>0.057867672266026626</x:v>
      </x:c>
      <x:c r="M1513" s="73" t="n">
        <x:f>MAX(M1512,F1513)</x:f>
        <x:v>1.4585</x:v>
      </x:c>
      <x:c r="N1513" s="74" t="n">
        <x:f>1-F1513/M1513</x:f>
        <x:v>0.057867672266026626</x:v>
      </x:c>
    </x:row>
    <x:row r="1514" ht="27" customHeight="1">
      <x:c r="A1514" s="66" t="str">
        <x:v>SXL267</x:v>
      </x:c>
      <x:c r="B1514" s="66" t="str">
        <x:v>滨风风云瑞丰1号</x:v>
      </x:c>
      <x:c r="C1514" s="72" t="n">
        <x:v>45601</x:v>
      </x:c>
      <x:c r="D1514" s="73" t="n">
        <x:v>1.388</x:v>
      </x:c>
      <x:c r="E1514" s="73" t="n">
        <x:v>1.388</x:v>
      </x:c>
      <x:c r="F1514" s="73" t="n">
        <x:v>1.388</x:v>
      </x:c>
      <x:c r="G1514" s="74" t="n">
        <x:v>0.0101</x:v>
      </x:c>
      <x:c r="H1514" s="66" t="str">
        <x:v>滨风风云瑞丰1号净值20260911.xlsx</x:v>
      </x:c>
      <x:c r="I1514" s="73" t="str">
        <x:f>""</x:f>
      </x:c>
      <x:c r="J1514" s="74" t="str">
        <x:f>""</x:f>
      </x:c>
      <x:c r="K1514" s="73" t="n">
        <x:f>MAX(K1513,F1514)</x:f>
        <x:v>1.4585</x:v>
      </x:c>
      <x:c r="L1514" s="74" t="n">
        <x:f>1-F1514/K1514</x:f>
        <x:v>0.048337332876242756</x:v>
      </x:c>
      <x:c r="M1514" s="73" t="n">
        <x:f>MAX(M1513,F1514)</x:f>
        <x:v>1.4585</x:v>
      </x:c>
      <x:c r="N1514" s="74" t="n">
        <x:f>1-F1514/M1514</x:f>
        <x:v>0.048337332876242756</x:v>
      </x:c>
    </x:row>
    <x:row r="1515" ht="27" customHeight="1">
      <x:c r="A1515" s="66" t="str">
        <x:v>SXL267</x:v>
      </x:c>
      <x:c r="B1515" s="66" t="str">
        <x:v>滨风风云瑞丰1号</x:v>
      </x:c>
      <x:c r="C1515" s="72" t="n">
        <x:v>45602</x:v>
      </x:c>
      <x:c r="D1515" s="73" t="n">
        <x:v>1.384</x:v>
      </x:c>
      <x:c r="E1515" s="73" t="n">
        <x:v>1.384</x:v>
      </x:c>
      <x:c r="F1515" s="73" t="n">
        <x:v>1.384</x:v>
      </x:c>
      <x:c r="G1515" s="74" t="n">
        <x:v>-0.0029</x:v>
      </x:c>
      <x:c r="H1515" s="66" t="str">
        <x:v>滨风风云瑞丰1号净值20260911.xlsx</x:v>
      </x:c>
      <x:c r="I1515" s="73" t="str">
        <x:f>""</x:f>
      </x:c>
      <x:c r="J1515" s="74" t="str">
        <x:f>""</x:f>
      </x:c>
      <x:c r="K1515" s="73" t="n">
        <x:f>MAX(K1514,F1515)</x:f>
        <x:v>1.4585</x:v>
      </x:c>
      <x:c r="L1515" s="74" t="n">
        <x:f>1-F1515/K1515</x:f>
        <x:v>0.051079876585533146</x:v>
      </x:c>
      <x:c r="M1515" s="73" t="n">
        <x:f>MAX(M1514,F1515)</x:f>
        <x:v>1.4585</x:v>
      </x:c>
      <x:c r="N1515" s="74" t="n">
        <x:f>1-F1515/M1515</x:f>
        <x:v>0.051079876585533146</x:v>
      </x:c>
    </x:row>
    <x:row r="1516" ht="27" customHeight="1">
      <x:c r="A1516" s="66" t="str">
        <x:v>SXL267</x:v>
      </x:c>
      <x:c r="B1516" s="66" t="str">
        <x:v>滨风风云瑞丰1号</x:v>
      </x:c>
      <x:c r="C1516" s="72" t="n">
        <x:v>45603</x:v>
      </x:c>
      <x:c r="D1516" s="73" t="n">
        <x:v>1.3888</x:v>
      </x:c>
      <x:c r="E1516" s="73" t="n">
        <x:v>1.3888</x:v>
      </x:c>
      <x:c r="F1516" s="73" t="n">
        <x:v>1.3888</x:v>
      </x:c>
      <x:c r="G1516" s="74" t="n">
        <x:v>0.0034999999999999996</x:v>
      </x:c>
      <x:c r="H1516" s="66" t="str">
        <x:v>滨风风云瑞丰1号净值20260911.xlsx</x:v>
      </x:c>
      <x:c r="I1516" s="73" t="str">
        <x:f>""</x:f>
      </x:c>
      <x:c r="J1516" s="74" t="str">
        <x:f>""</x:f>
      </x:c>
      <x:c r="K1516" s="73" t="n">
        <x:f>MAX(K1515,F1516)</x:f>
        <x:v>1.4585</x:v>
      </x:c>
      <x:c r="L1516" s="74" t="n">
        <x:f>1-F1516/K1516</x:f>
        <x:v>0.04778882413438457</x:v>
      </x:c>
      <x:c r="M1516" s="73" t="n">
        <x:f>MAX(M1515,F1516)</x:f>
        <x:v>1.4585</x:v>
      </x:c>
      <x:c r="N1516" s="74" t="n">
        <x:f>1-F1516/M1516</x:f>
        <x:v>0.04778882413438457</x:v>
      </x:c>
    </x:row>
    <x:row r="1517" ht="27" customHeight="1">
      <x:c r="A1517" s="66" t="str">
        <x:v>SXL267</x:v>
      </x:c>
      <x:c r="B1517" s="66" t="str">
        <x:v>滨风风云瑞丰1号</x:v>
      </x:c>
      <x:c r="C1517" s="72" t="n">
        <x:v>45604</x:v>
      </x:c>
      <x:c r="D1517" s="73" t="n">
        <x:v>1.4091</x:v>
      </x:c>
      <x:c r="E1517" s="73" t="n">
        <x:v>1.4091</x:v>
      </x:c>
      <x:c r="F1517" s="73" t="n">
        <x:v>1.4091</x:v>
      </x:c>
      <x:c r="G1517" s="74" t="n">
        <x:v>0.0146</x:v>
      </x:c>
      <x:c r="H1517" s="66" t="str">
        <x:v>滨风风云瑞丰1号净值20260911.xlsx</x:v>
      </x:c>
      <x:c r="I1517" s="73" t="str">
        <x:f>""</x:f>
      </x:c>
      <x:c r="J1517" s="74" t="str">
        <x:f>""</x:f>
      </x:c>
      <x:c r="K1517" s="73" t="n">
        <x:f>MAX(K1516,F1517)</x:f>
        <x:v>1.4585</x:v>
      </x:c>
      <x:c r="L1517" s="74" t="n">
        <x:f>1-F1517/K1517</x:f>
        <x:v>0.03387041480973596</x:v>
      </x:c>
      <x:c r="M1517" s="73" t="n">
        <x:f>MAX(M1516,F1517)</x:f>
        <x:v>1.4585</x:v>
      </x:c>
      <x:c r="N1517" s="74" t="n">
        <x:f>1-F1517/M1517</x:f>
        <x:v>0.03387041480973596</x:v>
      </x:c>
    </x:row>
    <x:row r="1518" ht="27" customHeight="1">
      <x:c r="A1518" s="66" t="str">
        <x:v>SXL267</x:v>
      </x:c>
      <x:c r="B1518" s="66" t="str">
        <x:v>滨风风云瑞丰1号</x:v>
      </x:c>
      <x:c r="C1518" s="72" t="n">
        <x:v>45607</x:v>
      </x:c>
      <x:c r="D1518" s="73" t="n">
        <x:v>1.4326</x:v>
      </x:c>
      <x:c r="E1518" s="73" t="n">
        <x:v>1.4326</x:v>
      </x:c>
      <x:c r="F1518" s="73" t="n">
        <x:v>1.4326</x:v>
      </x:c>
      <x:c r="G1518" s="74" t="n">
        <x:v>0.0167</x:v>
      </x:c>
      <x:c r="H1518" s="66" t="str">
        <x:v>滨风风云瑞丰1号净值20260911.xlsx</x:v>
      </x:c>
      <x:c r="I1518" s="73" t="str">
        <x:f>""</x:f>
      </x:c>
      <x:c r="J1518" s="74" t="str">
        <x:f>""</x:f>
      </x:c>
      <x:c r="K1518" s="73" t="n">
        <x:f>MAX(K1517,F1518)</x:f>
        <x:v>1.4585</x:v>
      </x:c>
      <x:c r="L1518" s="74" t="n">
        <x:f>1-F1518/K1518</x:f>
        <x:v>0.017757970517655042</x:v>
      </x:c>
      <x:c r="M1518" s="73" t="n">
        <x:f>MAX(M1517,F1518)</x:f>
        <x:v>1.4585</x:v>
      </x:c>
      <x:c r="N1518" s="74" t="n">
        <x:f>1-F1518/M1518</x:f>
        <x:v>0.017757970517655042</x:v>
      </x:c>
    </x:row>
    <x:row r="1519" ht="27" customHeight="1">
      <x:c r="A1519" s="66" t="str">
        <x:v>SXL267</x:v>
      </x:c>
      <x:c r="B1519" s="66" t="str">
        <x:v>滨风风云瑞丰1号</x:v>
      </x:c>
      <x:c r="C1519" s="72" t="n">
        <x:v>45608</x:v>
      </x:c>
      <x:c r="D1519" s="73" t="n">
        <x:v>1.4243</x:v>
      </x:c>
      <x:c r="E1519" s="73" t="n">
        <x:v>1.4243</x:v>
      </x:c>
      <x:c r="F1519" s="73" t="n">
        <x:v>1.4243</x:v>
      </x:c>
      <x:c r="G1519" s="74" t="n">
        <x:v>-0.0058</x:v>
      </x:c>
      <x:c r="H1519" s="66" t="str">
        <x:v>滨风风云瑞丰1号净值20260911.xlsx</x:v>
      </x:c>
      <x:c r="I1519" s="73" t="str">
        <x:f>""</x:f>
      </x:c>
      <x:c r="J1519" s="74" t="str">
        <x:f>""</x:f>
      </x:c>
      <x:c r="K1519" s="73" t="n">
        <x:f>MAX(K1518,F1519)</x:f>
        <x:v>1.4585</x:v>
      </x:c>
      <x:c r="L1519" s="74" t="n">
        <x:f>1-F1519/K1519</x:f>
        <x:v>0.023448748714432588</x:v>
      </x:c>
      <x:c r="M1519" s="73" t="n">
        <x:f>MAX(M1518,F1519)</x:f>
        <x:v>1.4585</x:v>
      </x:c>
      <x:c r="N1519" s="74" t="n">
        <x:f>1-F1519/M1519</x:f>
        <x:v>0.023448748714432588</x:v>
      </x:c>
    </x:row>
    <x:row r="1520" ht="27" customHeight="1">
      <x:c r="A1520" s="66" t="str">
        <x:v>SXL267</x:v>
      </x:c>
      <x:c r="B1520" s="66" t="str">
        <x:v>滨风风云瑞丰1号</x:v>
      </x:c>
      <x:c r="C1520" s="72" t="n">
        <x:v>45609</x:v>
      </x:c>
      <x:c r="D1520" s="73" t="n">
        <x:v>1.3999</x:v>
      </x:c>
      <x:c r="E1520" s="73" t="n">
        <x:v>1.3999</x:v>
      </x:c>
      <x:c r="F1520" s="73" t="n">
        <x:v>1.3999</x:v>
      </x:c>
      <x:c r="G1520" s="74" t="n">
        <x:v>-0.0171</x:v>
      </x:c>
      <x:c r="H1520" s="66" t="str">
        <x:v>滨风风云瑞丰1号净值20260911.xlsx</x:v>
      </x:c>
      <x:c r="I1520" s="73" t="str">
        <x:f>""</x:f>
      </x:c>
      <x:c r="J1520" s="74" t="str">
        <x:f>""</x:f>
      </x:c>
      <x:c r="K1520" s="73" t="n">
        <x:f>MAX(K1519,F1520)</x:f>
        <x:v>1.4585</x:v>
      </x:c>
      <x:c r="L1520" s="74" t="n">
        <x:f>1-F1520/K1520</x:f>
        <x:v>0.040178265341103914</x:v>
      </x:c>
      <x:c r="M1520" s="73" t="n">
        <x:f>MAX(M1519,F1520)</x:f>
        <x:v>1.4585</x:v>
      </x:c>
      <x:c r="N1520" s="74" t="n">
        <x:f>1-F1520/M1520</x:f>
        <x:v>0.040178265341103914</x:v>
      </x:c>
    </x:row>
    <x:row r="1521" ht="27" customHeight="1">
      <x:c r="A1521" s="66" t="str">
        <x:v>SXL267</x:v>
      </x:c>
      <x:c r="B1521" s="66" t="str">
        <x:v>滨风风云瑞丰1号</x:v>
      </x:c>
      <x:c r="C1521" s="72" t="n">
        <x:v>45610</x:v>
      </x:c>
      <x:c r="D1521" s="73" t="n">
        <x:v>1.3987</x:v>
      </x:c>
      <x:c r="E1521" s="73" t="n">
        <x:v>1.3987</x:v>
      </x:c>
      <x:c r="F1521" s="73" t="n">
        <x:v>1.3987</x:v>
      </x:c>
      <x:c r="G1521" s="74" t="n">
        <x:v>-0.0009</x:v>
      </x:c>
      <x:c r="H1521" s="66" t="str">
        <x:v>滨风风云瑞丰1号净值20260911.xlsx</x:v>
      </x:c>
      <x:c r="I1521" s="73" t="str">
        <x:f>""</x:f>
      </x:c>
      <x:c r="J1521" s="74" t="str">
        <x:f>""</x:f>
      </x:c>
      <x:c r="K1521" s="73" t="n">
        <x:f>MAX(K1520,F1521)</x:f>
        <x:v>1.4585</x:v>
      </x:c>
      <x:c r="L1521" s="74" t="n">
        <x:f>1-F1521/K1521</x:f>
        <x:v>0.041001028453890864</x:v>
      </x:c>
      <x:c r="M1521" s="73" t="n">
        <x:f>MAX(M1520,F1521)</x:f>
        <x:v>1.4585</x:v>
      </x:c>
      <x:c r="N1521" s="74" t="n">
        <x:f>1-F1521/M1521</x:f>
        <x:v>0.041001028453890864</x:v>
      </x:c>
    </x:row>
    <x:row r="1522" ht="27" customHeight="1">
      <x:c r="A1522" s="66" t="str">
        <x:v>SXL267</x:v>
      </x:c>
      <x:c r="B1522" s="66" t="str">
        <x:v>滨风风云瑞丰1号</x:v>
      </x:c>
      <x:c r="C1522" s="72" t="n">
        <x:v>45611</x:v>
      </x:c>
      <x:c r="D1522" s="73" t="n">
        <x:v>1.3986</x:v>
      </x:c>
      <x:c r="E1522" s="73" t="n">
        <x:v>1.3986</x:v>
      </x:c>
      <x:c r="F1522" s="73" t="n">
        <x:v>1.3986</x:v>
      </x:c>
      <x:c r="G1522" s="74" t="n">
        <x:v>-0.0001</x:v>
      </x:c>
      <x:c r="H1522" s="66" t="str">
        <x:v>滨风风云瑞丰1号净值20260911.xlsx</x:v>
      </x:c>
      <x:c r="I1522" s="73" t="str">
        <x:f>""</x:f>
      </x:c>
      <x:c r="J1522" s="74" t="str">
        <x:f>""</x:f>
      </x:c>
      <x:c r="K1522" s="73" t="n">
        <x:f>MAX(K1521,F1522)</x:f>
        <x:v>1.4585</x:v>
      </x:c>
      <x:c r="L1522" s="74" t="n">
        <x:f>1-F1522/K1522</x:f>
        <x:v>0.04106959204662308</x:v>
      </x:c>
      <x:c r="M1522" s="73" t="n">
        <x:f>MAX(M1521,F1522)</x:f>
        <x:v>1.4585</x:v>
      </x:c>
      <x:c r="N1522" s="74" t="n">
        <x:f>1-F1522/M1522</x:f>
        <x:v>0.04106959204662308</x:v>
      </x:c>
    </x:row>
    <x:row r="1523" ht="27" customHeight="1">
      <x:c r="A1523" s="66" t="str">
        <x:v>SXL267</x:v>
      </x:c>
      <x:c r="B1523" s="66" t="str">
        <x:v>滨风风云瑞丰1号</x:v>
      </x:c>
      <x:c r="C1523" s="72" t="n">
        <x:v>45614</x:v>
      </x:c>
      <x:c r="D1523" s="73" t="n">
        <x:v>1.4127</x:v>
      </x:c>
      <x:c r="E1523" s="73" t="n">
        <x:v>1.4127</x:v>
      </x:c>
      <x:c r="F1523" s="73" t="n">
        <x:v>1.4127</x:v>
      </x:c>
      <x:c r="G1523" s="74" t="n">
        <x:v>0.0101</x:v>
      </x:c>
      <x:c r="H1523" s="66" t="str">
        <x:v>滨风风云瑞丰1号净值20260911.xlsx</x:v>
      </x:c>
      <x:c r="I1523" s="73" t="str">
        <x:f>""</x:f>
      </x:c>
      <x:c r="J1523" s="74" t="str">
        <x:f>""</x:f>
      </x:c>
      <x:c r="K1523" s="73" t="n">
        <x:f>MAX(K1522,F1523)</x:f>
        <x:v>1.4585</x:v>
      </x:c>
      <x:c r="L1523" s="74" t="n">
        <x:f>1-F1523/K1523</x:f>
        <x:v>0.03140212547137455</x:v>
      </x:c>
      <x:c r="M1523" s="73" t="n">
        <x:f>MAX(M1522,F1523)</x:f>
        <x:v>1.4585</x:v>
      </x:c>
      <x:c r="N1523" s="74" t="n">
        <x:f>1-F1523/M1523</x:f>
        <x:v>0.03140212547137455</x:v>
      </x:c>
    </x:row>
    <x:row r="1524" ht="27" customHeight="1">
      <x:c r="A1524" s="66" t="str">
        <x:v>SXL267</x:v>
      </x:c>
      <x:c r="B1524" s="66" t="str">
        <x:v>滨风风云瑞丰1号</x:v>
      </x:c>
      <x:c r="C1524" s="72" t="n">
        <x:v>45615</x:v>
      </x:c>
      <x:c r="D1524" s="73" t="n">
        <x:v>1.4168</x:v>
      </x:c>
      <x:c r="E1524" s="73" t="n">
        <x:v>1.4168</x:v>
      </x:c>
      <x:c r="F1524" s="73" t="n">
        <x:v>1.4168</x:v>
      </x:c>
      <x:c r="G1524" s="74" t="n">
        <x:v>0.0029</x:v>
      </x:c>
      <x:c r="H1524" s="66" t="str">
        <x:v>滨风风云瑞丰1号净值20260911.xlsx</x:v>
      </x:c>
      <x:c r="I1524" s="73" t="str">
        <x:f>""</x:f>
      </x:c>
      <x:c r="J1524" s="74" t="str">
        <x:f>""</x:f>
      </x:c>
      <x:c r="K1524" s="73" t="n">
        <x:f>MAX(K1523,F1524)</x:f>
        <x:v>1.4585</x:v>
      </x:c>
      <x:c r="L1524" s="74" t="n">
        <x:f>1-F1524/K1524</x:f>
        <x:v>0.028591018169351945</x:v>
      </x:c>
      <x:c r="M1524" s="73" t="n">
        <x:f>MAX(M1523,F1524)</x:f>
        <x:v>1.4585</x:v>
      </x:c>
      <x:c r="N1524" s="74" t="n">
        <x:f>1-F1524/M1524</x:f>
        <x:v>0.028591018169351945</x:v>
      </x:c>
    </x:row>
    <x:row r="1525" ht="27" customHeight="1">
      <x:c r="A1525" s="66" t="str">
        <x:v>SXL267</x:v>
      </x:c>
      <x:c r="B1525" s="66" t="str">
        <x:v>滨风风云瑞丰1号</x:v>
      </x:c>
      <x:c r="C1525" s="72" t="n">
        <x:v>45616</x:v>
      </x:c>
      <x:c r="D1525" s="73" t="n">
        <x:v>1.4096</x:v>
      </x:c>
      <x:c r="E1525" s="73" t="n">
        <x:v>1.4096</x:v>
      </x:c>
      <x:c r="F1525" s="73" t="n">
        <x:v>1.4096</x:v>
      </x:c>
      <x:c r="G1525" s="74" t="n">
        <x:v>-0.0051</x:v>
      </x:c>
      <x:c r="H1525" s="66" t="str">
        <x:v>滨风风云瑞丰1号净值20260911.xlsx</x:v>
      </x:c>
      <x:c r="I1525" s="73" t="str">
        <x:f>""</x:f>
      </x:c>
      <x:c r="J1525" s="74" t="str">
        <x:f>""</x:f>
      </x:c>
      <x:c r="K1525" s="73" t="n">
        <x:f>MAX(K1524,F1525)</x:f>
        <x:v>1.4585</x:v>
      </x:c>
      <x:c r="L1525" s="74" t="n">
        <x:f>1-F1525/K1525</x:f>
        <x:v>0.03352759684607465</x:v>
      </x:c>
      <x:c r="M1525" s="73" t="n">
        <x:f>MAX(M1524,F1525)</x:f>
        <x:v>1.4585</x:v>
      </x:c>
      <x:c r="N1525" s="74" t="n">
        <x:f>1-F1525/M1525</x:f>
        <x:v>0.03352759684607465</x:v>
      </x:c>
    </x:row>
    <x:row r="1526" ht="27" customHeight="1">
      <x:c r="A1526" s="66" t="str">
        <x:v>SXL267</x:v>
      </x:c>
      <x:c r="B1526" s="66" t="str">
        <x:v>滨风风云瑞丰1号</x:v>
      </x:c>
      <x:c r="C1526" s="72" t="n">
        <x:v>45617</x:v>
      </x:c>
      <x:c r="D1526" s="73" t="n">
        <x:v>1.3966</x:v>
      </x:c>
      <x:c r="E1526" s="73" t="n">
        <x:v>1.3966</x:v>
      </x:c>
      <x:c r="F1526" s="73" t="n">
        <x:v>1.3966</x:v>
      </x:c>
      <x:c r="G1526" s="74" t="n">
        <x:v>-0.0092</x:v>
      </x:c>
      <x:c r="H1526" s="66" t="str">
        <x:v>滨风风云瑞丰1号净值20260911.xlsx</x:v>
      </x:c>
      <x:c r="I1526" s="73" t="str">
        <x:f>""</x:f>
      </x:c>
      <x:c r="J1526" s="74" t="str">
        <x:f>""</x:f>
      </x:c>
      <x:c r="K1526" s="73" t="n">
        <x:f>MAX(K1525,F1526)</x:f>
        <x:v>1.4585</x:v>
      </x:c>
      <x:c r="L1526" s="74" t="n">
        <x:f>1-F1526/K1526</x:f>
        <x:v>0.04244086390126833</x:v>
      </x:c>
      <x:c r="M1526" s="73" t="n">
        <x:f>MAX(M1525,F1526)</x:f>
        <x:v>1.4585</x:v>
      </x:c>
      <x:c r="N1526" s="74" t="n">
        <x:f>1-F1526/M1526</x:f>
        <x:v>0.04244086390126833</x:v>
      </x:c>
    </x:row>
    <x:row r="1527" ht="27" customHeight="1">
      <x:c r="A1527" s="66" t="str">
        <x:v>SXL267</x:v>
      </x:c>
      <x:c r="B1527" s="66" t="str">
        <x:v>滨风风云瑞丰1号</x:v>
      </x:c>
      <x:c r="C1527" s="72" t="n">
        <x:v>45618</x:v>
      </x:c>
      <x:c r="D1527" s="73" t="n">
        <x:v>1.3682</x:v>
      </x:c>
      <x:c r="E1527" s="73" t="n">
        <x:v>1.3682</x:v>
      </x:c>
      <x:c r="F1527" s="73" t="n">
        <x:v>1.3682</x:v>
      </x:c>
      <x:c r="G1527" s="74" t="n">
        <x:v>-0.0203</x:v>
      </x:c>
      <x:c r="H1527" s="66" t="str">
        <x:v>滨风风云瑞丰1号净值20260911.xlsx</x:v>
      </x:c>
      <x:c r="I1527" s="73" t="str">
        <x:f>""</x:f>
      </x:c>
      <x:c r="J1527" s="74" t="str">
        <x:f>""</x:f>
      </x:c>
      <x:c r="K1527" s="73" t="n">
        <x:f>MAX(K1526,F1527)</x:f>
        <x:v>1.4585</x:v>
      </x:c>
      <x:c r="L1527" s="74" t="n">
        <x:f>1-F1527/K1527</x:f>
        <x:v>0.06191292423722994</x:v>
      </x:c>
      <x:c r="M1527" s="73" t="n">
        <x:f>MAX(M1526,F1527)</x:f>
        <x:v>1.4585</x:v>
      </x:c>
      <x:c r="N1527" s="74" t="n">
        <x:f>1-F1527/M1527</x:f>
        <x:v>0.06191292423722994</x:v>
      </x:c>
    </x:row>
    <x:row r="1528" ht="27" customHeight="1">
      <x:c r="A1528" s="66" t="str">
        <x:v>SXL267</x:v>
      </x:c>
      <x:c r="B1528" s="66" t="str">
        <x:v>滨风风云瑞丰1号</x:v>
      </x:c>
      <x:c r="C1528" s="72" t="n">
        <x:v>45621</x:v>
      </x:c>
      <x:c r="D1528" s="73" t="n">
        <x:v>1.3604</x:v>
      </x:c>
      <x:c r="E1528" s="73" t="n">
        <x:v>1.3604</x:v>
      </x:c>
      <x:c r="F1528" s="73" t="n">
        <x:v>1.3604</x:v>
      </x:c>
      <x:c r="G1528" s="74" t="n">
        <x:v>-0.005699999999999999</x:v>
      </x:c>
      <x:c r="H1528" s="66" t="str">
        <x:v>滨风风云瑞丰1号净值20260911.xlsx</x:v>
      </x:c>
      <x:c r="I1528" s="73" t="str">
        <x:f>""</x:f>
      </x:c>
      <x:c r="J1528" s="74" t="str">
        <x:f>""</x:f>
      </x:c>
      <x:c r="K1528" s="73" t="n">
        <x:f>MAX(K1527,F1528)</x:f>
        <x:v>1.4585</x:v>
      </x:c>
      <x:c r="L1528" s="74" t="n">
        <x:f>1-F1528/K1528</x:f>
        <x:v>0.06726088447034617</x:v>
      </x:c>
      <x:c r="M1528" s="73" t="n">
        <x:f>MAX(M1527,F1528)</x:f>
        <x:v>1.4585</x:v>
      </x:c>
      <x:c r="N1528" s="74" t="n">
        <x:f>1-F1528/M1528</x:f>
        <x:v>0.06726088447034617</x:v>
      </x:c>
    </x:row>
    <x:row r="1529" ht="27" customHeight="1">
      <x:c r="A1529" s="66" t="str">
        <x:v>SXL267</x:v>
      </x:c>
      <x:c r="B1529" s="66" t="str">
        <x:v>滨风风云瑞丰1号</x:v>
      </x:c>
      <x:c r="C1529" s="72" t="n">
        <x:v>45622</x:v>
      </x:c>
      <x:c r="D1529" s="73" t="n">
        <x:v>1.3548</x:v>
      </x:c>
      <x:c r="E1529" s="73" t="n">
        <x:v>1.3548</x:v>
      </x:c>
      <x:c r="F1529" s="73" t="n">
        <x:v>1.3548</x:v>
      </x:c>
      <x:c r="G1529" s="74" t="n">
        <x:v>-0.0040999999999999995</x:v>
      </x:c>
      <x:c r="H1529" s="66" t="str">
        <x:v>滨风风云瑞丰1号净值20260911.xlsx</x:v>
      </x:c>
      <x:c r="I1529" s="73" t="str">
        <x:f>""</x:f>
      </x:c>
      <x:c r="J1529" s="74" t="str">
        <x:f>""</x:f>
      </x:c>
      <x:c r="K1529" s="73" t="n">
        <x:f>MAX(K1528,F1529)</x:f>
        <x:v>1.4585</x:v>
      </x:c>
      <x:c r="L1529" s="74" t="n">
        <x:f>1-F1529/K1529</x:f>
        <x:v>0.07110044566335272</x:v>
      </x:c>
      <x:c r="M1529" s="73" t="n">
        <x:f>MAX(M1528,F1529)</x:f>
        <x:v>1.4585</x:v>
      </x:c>
      <x:c r="N1529" s="74" t="n">
        <x:f>1-F1529/M1529</x:f>
        <x:v>0.07110044566335272</x:v>
      </x:c>
    </x:row>
    <x:row r="1530" ht="27" customHeight="1">
      <x:c r="A1530" s="66" t="str">
        <x:v>SXL267</x:v>
      </x:c>
      <x:c r="B1530" s="66" t="str">
        <x:v>滨风风云瑞丰1号</x:v>
      </x:c>
      <x:c r="C1530" s="72" t="n">
        <x:v>45623</x:v>
      </x:c>
      <x:c r="D1530" s="73" t="n">
        <x:v>1.3491</x:v>
      </x:c>
      <x:c r="E1530" s="73" t="n">
        <x:v>1.3491</x:v>
      </x:c>
      <x:c r="F1530" s="73" t="n">
        <x:v>1.3491</x:v>
      </x:c>
      <x:c r="G1530" s="74" t="n">
        <x:v>-0.0042</x:v>
      </x:c>
      <x:c r="H1530" s="66" t="str">
        <x:v>滨风风云瑞丰1号净值20260911.xlsx</x:v>
      </x:c>
      <x:c r="I1530" s="73" t="str">
        <x:f>""</x:f>
      </x:c>
      <x:c r="J1530" s="74" t="str">
        <x:f>""</x:f>
      </x:c>
      <x:c r="K1530" s="73" t="n">
        <x:f>MAX(K1529,F1530)</x:f>
        <x:v>1.4585</x:v>
      </x:c>
      <x:c r="L1530" s="74" t="n">
        <x:f>1-F1530/K1530</x:f>
        <x:v>0.07500857044909148</x:v>
      </x:c>
      <x:c r="M1530" s="73" t="n">
        <x:f>MAX(M1529,F1530)</x:f>
        <x:v>1.4585</x:v>
      </x:c>
      <x:c r="N1530" s="74" t="n">
        <x:f>1-F1530/M1530</x:f>
        <x:v>0.07500857044909148</x:v>
      </x:c>
    </x:row>
    <x:row r="1531" ht="27" customHeight="1">
      <x:c r="A1531" s="66" t="str">
        <x:v>SXL267</x:v>
      </x:c>
      <x:c r="B1531" s="66" t="str">
        <x:v>滨风风云瑞丰1号</x:v>
      </x:c>
      <x:c r="C1531" s="72" t="n">
        <x:v>45624</x:v>
      </x:c>
      <x:c r="D1531" s="73" t="n">
        <x:v>1.3558</x:v>
      </x:c>
      <x:c r="E1531" s="73" t="n">
        <x:v>1.3558</x:v>
      </x:c>
      <x:c r="F1531" s="73" t="n">
        <x:v>1.3558</x:v>
      </x:c>
      <x:c r="G1531" s="74" t="n">
        <x:v>0.005</x:v>
      </x:c>
      <x:c r="H1531" s="66" t="str">
        <x:v>滨风风云瑞丰1号净值20260911.xlsx</x:v>
      </x:c>
      <x:c r="I1531" s="73" t="str">
        <x:f>""</x:f>
      </x:c>
      <x:c r="J1531" s="74" t="str">
        <x:f>""</x:f>
      </x:c>
      <x:c r="K1531" s="73" t="n">
        <x:f>MAX(K1530,F1531)</x:f>
        <x:v>1.4585</x:v>
      </x:c>
      <x:c r="L1531" s="74" t="n">
        <x:f>1-F1531/K1531</x:f>
        <x:v>0.0704148097360302</x:v>
      </x:c>
      <x:c r="M1531" s="73" t="n">
        <x:f>MAX(M1530,F1531)</x:f>
        <x:v>1.4585</x:v>
      </x:c>
      <x:c r="N1531" s="74" t="n">
        <x:f>1-F1531/M1531</x:f>
        <x:v>0.0704148097360302</x:v>
      </x:c>
    </x:row>
    <x:row r="1532" ht="27" customHeight="1">
      <x:c r="A1532" s="66" t="str">
        <x:v>SXL267</x:v>
      </x:c>
      <x:c r="B1532" s="66" t="str">
        <x:v>滨风风云瑞丰1号</x:v>
      </x:c>
      <x:c r="C1532" s="72" t="n">
        <x:v>45625</x:v>
      </x:c>
      <x:c r="D1532" s="73" t="n">
        <x:v>1.3603</x:v>
      </x:c>
      <x:c r="E1532" s="73" t="n">
        <x:v>1.3603</x:v>
      </x:c>
      <x:c r="F1532" s="73" t="n">
        <x:v>1.3603</x:v>
      </x:c>
      <x:c r="G1532" s="74" t="n">
        <x:v>0.0033</x:v>
      </x:c>
      <x:c r="H1532" s="66" t="str">
        <x:v>滨风风云瑞丰1号净值20260911.xlsx</x:v>
      </x:c>
      <x:c r="I1532" s="73" t="str">
        <x:f>""</x:f>
      </x:c>
      <x:c r="J1532" s="74" t="str">
        <x:f>""</x:f>
      </x:c>
      <x:c r="K1532" s="73" t="n">
        <x:f>MAX(K1531,F1532)</x:f>
        <x:v>1.4585</x:v>
      </x:c>
      <x:c r="L1532" s="74" t="n">
        <x:f>1-F1532/K1532</x:f>
        <x:v>0.06732944806307839</x:v>
      </x:c>
      <x:c r="M1532" s="73" t="n">
        <x:f>MAX(M1531,F1532)</x:f>
        <x:v>1.4585</x:v>
      </x:c>
      <x:c r="N1532" s="74" t="n">
        <x:f>1-F1532/M1532</x:f>
        <x:v>0.06732944806307839</x:v>
      </x:c>
    </x:row>
    <x:row r="1533" ht="27" customHeight="1">
      <x:c r="A1533" s="66" t="str">
        <x:v>SXL267</x:v>
      </x:c>
      <x:c r="B1533" s="66" t="str">
        <x:v>滨风风云瑞丰1号</x:v>
      </x:c>
      <x:c r="C1533" s="72" t="n">
        <x:v>45628</x:v>
      </x:c>
      <x:c r="D1533" s="73" t="n">
        <x:v>1.3775</x:v>
      </x:c>
      <x:c r="E1533" s="73" t="n">
        <x:v>1.3775</x:v>
      </x:c>
      <x:c r="F1533" s="73" t="n">
        <x:v>1.3775</x:v>
      </x:c>
      <x:c r="G1533" s="74" t="n">
        <x:v>0.0126</x:v>
      </x:c>
      <x:c r="H1533" s="66" t="str">
        <x:v>滨风风云瑞丰1号净值20260911.xlsx</x:v>
      </x:c>
      <x:c r="I1533" s="73" t="str">
        <x:f>""</x:f>
      </x:c>
      <x:c r="J1533" s="74" t="str">
        <x:f>""</x:f>
      </x:c>
      <x:c r="K1533" s="73" t="n">
        <x:f>MAX(K1532,F1533)</x:f>
        <x:v>1.4585</x:v>
      </x:c>
      <x:c r="L1533" s="74" t="n">
        <x:f>1-F1533/K1533</x:f>
        <x:v>0.05553651011312988</x:v>
      </x:c>
      <x:c r="M1533" s="73" t="n">
        <x:f>MAX(M1532,F1533)</x:f>
        <x:v>1.4585</x:v>
      </x:c>
      <x:c r="N1533" s="74" t="n">
        <x:f>1-F1533/M1533</x:f>
        <x:v>0.05553651011312988</x:v>
      </x:c>
    </x:row>
    <x:row r="1534" ht="27" customHeight="1">
      <x:c r="A1534" s="66" t="str">
        <x:v>SXL267</x:v>
      </x:c>
      <x:c r="B1534" s="66" t="str">
        <x:v>滨风风云瑞丰1号</x:v>
      </x:c>
      <x:c r="C1534" s="72" t="n">
        <x:v>45629</x:v>
      </x:c>
      <x:c r="D1534" s="73" t="n">
        <x:v>1.3852</x:v>
      </x:c>
      <x:c r="E1534" s="73" t="n">
        <x:v>1.3852</x:v>
      </x:c>
      <x:c r="F1534" s="73" t="n">
        <x:v>1.3852</x:v>
      </x:c>
      <x:c r="G1534" s="74" t="n">
        <x:v>0.005600000000000001</x:v>
      </x:c>
      <x:c r="H1534" s="66" t="str">
        <x:v>滨风风云瑞丰1号净值20260911.xlsx</x:v>
      </x:c>
      <x:c r="I1534" s="73" t="str">
        <x:f>""</x:f>
      </x:c>
      <x:c r="J1534" s="74" t="str">
        <x:f>""</x:f>
      </x:c>
      <x:c r="K1534" s="73" t="n">
        <x:f>MAX(K1533,F1534)</x:f>
        <x:v>1.4585</x:v>
      </x:c>
      <x:c r="L1534" s="74" t="n">
        <x:f>1-F1534/K1534</x:f>
        <x:v>0.05025711347274597</x:v>
      </x:c>
      <x:c r="M1534" s="73" t="n">
        <x:f>MAX(M1533,F1534)</x:f>
        <x:v>1.4585</x:v>
      </x:c>
      <x:c r="N1534" s="74" t="n">
        <x:f>1-F1534/M1534</x:f>
        <x:v>0.05025711347274597</x:v>
      </x:c>
    </x:row>
    <x:row r="1535" ht="27" customHeight="1">
      <x:c r="A1535" s="66" t="str">
        <x:v>SXL267</x:v>
      </x:c>
      <x:c r="B1535" s="66" t="str">
        <x:v>滨风风云瑞丰1号</x:v>
      </x:c>
      <x:c r="C1535" s="72" t="n">
        <x:v>45630</x:v>
      </x:c>
      <x:c r="D1535" s="73" t="n">
        <x:v>1.4022</x:v>
      </x:c>
      <x:c r="E1535" s="73" t="n">
        <x:v>1.4022</x:v>
      </x:c>
      <x:c r="F1535" s="73" t="n">
        <x:v>1.4022</x:v>
      </x:c>
      <x:c r="G1535" s="74" t="n">
        <x:v>0.0123</x:v>
      </x:c>
      <x:c r="H1535" s="66" t="str">
        <x:v>滨风风云瑞丰1号净值20260911.xlsx</x:v>
      </x:c>
      <x:c r="I1535" s="73" t="str">
        <x:f>""</x:f>
      </x:c>
      <x:c r="J1535" s="74" t="str">
        <x:f>""</x:f>
      </x:c>
      <x:c r="K1535" s="73" t="n">
        <x:f>MAX(K1534,F1535)</x:f>
        <x:v>1.4585</x:v>
      </x:c>
      <x:c r="L1535" s="74" t="n">
        <x:f>1-F1535/K1535</x:f>
        <x:v>0.0386013027082619</x:v>
      </x:c>
      <x:c r="M1535" s="73" t="n">
        <x:f>MAX(M1534,F1535)</x:f>
        <x:v>1.4585</x:v>
      </x:c>
      <x:c r="N1535" s="74" t="n">
        <x:f>1-F1535/M1535</x:f>
        <x:v>0.0386013027082619</x:v>
      </x:c>
    </x:row>
    <x:row r="1536" ht="27" customHeight="1">
      <x:c r="A1536" s="66" t="str">
        <x:v>SXL267</x:v>
      </x:c>
      <x:c r="B1536" s="66" t="str">
        <x:v>滨风风云瑞丰1号</x:v>
      </x:c>
      <x:c r="C1536" s="72" t="n">
        <x:v>45631</x:v>
      </x:c>
      <x:c r="D1536" s="73" t="n">
        <x:v>1.4108</x:v>
      </x:c>
      <x:c r="E1536" s="73" t="n">
        <x:v>1.4108</x:v>
      </x:c>
      <x:c r="F1536" s="73" t="n">
        <x:v>1.4108</x:v>
      </x:c>
      <x:c r="G1536" s="74" t="n">
        <x:v>0.0060999999999999995</x:v>
      </x:c>
      <x:c r="H1536" s="66" t="str">
        <x:v>滨风风云瑞丰1号净值20260911.xlsx</x:v>
      </x:c>
      <x:c r="I1536" s="73" t="str">
        <x:f>""</x:f>
      </x:c>
      <x:c r="J1536" s="74" t="str">
        <x:f>""</x:f>
      </x:c>
      <x:c r="K1536" s="73" t="n">
        <x:f>MAX(K1535,F1536)</x:f>
        <x:v>1.4585</x:v>
      </x:c>
      <x:c r="L1536" s="74" t="n">
        <x:f>1-F1536/K1536</x:f>
        <x:v>0.032704833733287475</x:v>
      </x:c>
      <x:c r="M1536" s="73" t="n">
        <x:f>MAX(M1535,F1536)</x:f>
        <x:v>1.4585</x:v>
      </x:c>
      <x:c r="N1536" s="74" t="n">
        <x:f>1-F1536/M1536</x:f>
        <x:v>0.032704833733287475</x:v>
      </x:c>
    </x:row>
    <x:row r="1537" ht="27" customHeight="1">
      <x:c r="A1537" s="66" t="str">
        <x:v>SXL267</x:v>
      </x:c>
      <x:c r="B1537" s="66" t="str">
        <x:v>滨风风云瑞丰1号</x:v>
      </x:c>
      <x:c r="C1537" s="72" t="n">
        <x:v>45632</x:v>
      </x:c>
      <x:c r="D1537" s="73" t="n">
        <x:v>1.4191</x:v>
      </x:c>
      <x:c r="E1537" s="73" t="n">
        <x:v>1.4191</x:v>
      </x:c>
      <x:c r="F1537" s="73" t="n">
        <x:v>1.4191</x:v>
      </x:c>
      <x:c r="G1537" s="74" t="n">
        <x:v>0.0059</x:v>
      </x:c>
      <x:c r="H1537" s="66" t="str">
        <x:v>滨风风云瑞丰1号净值20260911.xlsx</x:v>
      </x:c>
      <x:c r="I1537" s="73" t="str">
        <x:f>""</x:f>
      </x:c>
      <x:c r="J1537" s="74" t="str">
        <x:f>""</x:f>
      </x:c>
      <x:c r="K1537" s="73" t="n">
        <x:f>MAX(K1536,F1537)</x:f>
        <x:v>1.4585</x:v>
      </x:c>
      <x:c r="L1537" s="74" t="n">
        <x:f>1-F1537/K1537</x:f>
        <x:v>0.02701405553651004</x:v>
      </x:c>
      <x:c r="M1537" s="73" t="n">
        <x:f>MAX(M1536,F1537)</x:f>
        <x:v>1.4585</x:v>
      </x:c>
      <x:c r="N1537" s="74" t="n">
        <x:f>1-F1537/M1537</x:f>
        <x:v>0.02701405553651004</x:v>
      </x:c>
    </x:row>
    <x:row r="1538" ht="27" customHeight="1">
      <x:c r="A1538" s="66" t="str">
        <x:v>SXL267</x:v>
      </x:c>
      <x:c r="B1538" s="66" t="str">
        <x:v>滨风风云瑞丰1号</x:v>
      </x:c>
      <x:c r="C1538" s="72" t="n">
        <x:v>45635</x:v>
      </x:c>
      <x:c r="D1538" s="73" t="n">
        <x:v>1.4226</x:v>
      </x:c>
      <x:c r="E1538" s="73" t="n">
        <x:v>1.4226</x:v>
      </x:c>
      <x:c r="F1538" s="73" t="n">
        <x:v>1.4226</x:v>
      </x:c>
      <x:c r="G1538" s="74" t="n">
        <x:v>0.0025</x:v>
      </x:c>
      <x:c r="H1538" s="66" t="str">
        <x:v>滨风风云瑞丰1号净值20260911.xlsx</x:v>
      </x:c>
      <x:c r="I1538" s="73" t="str">
        <x:f>""</x:f>
      </x:c>
      <x:c r="J1538" s="74" t="str">
        <x:f>""</x:f>
      </x:c>
      <x:c r="K1538" s="73" t="n">
        <x:f>MAX(K1537,F1538)</x:f>
        <x:v>1.4585</x:v>
      </x:c>
      <x:c r="L1538" s="74" t="n">
        <x:f>1-F1538/K1538</x:f>
        <x:v>0.024614329790880962</x:v>
      </x:c>
      <x:c r="M1538" s="73" t="n">
        <x:f>MAX(M1537,F1538)</x:f>
        <x:v>1.4585</x:v>
      </x:c>
      <x:c r="N1538" s="74" t="n">
        <x:f>1-F1538/M1538</x:f>
        <x:v>0.024614329790880962</x:v>
      </x:c>
    </x:row>
    <x:row r="1539" ht="27" customHeight="1">
      <x:c r="A1539" s="66" t="str">
        <x:v>SXL267</x:v>
      </x:c>
      <x:c r="B1539" s="66" t="str">
        <x:v>滨风风云瑞丰1号</x:v>
      </x:c>
      <x:c r="C1539" s="72" t="n">
        <x:v>45636</x:v>
      </x:c>
      <x:c r="D1539" s="73" t="n">
        <x:v>1.4169</x:v>
      </x:c>
      <x:c r="E1539" s="73" t="n">
        <x:v>1.4169</x:v>
      </x:c>
      <x:c r="F1539" s="73" t="n">
        <x:v>1.4169</x:v>
      </x:c>
      <x:c r="G1539" s="74" t="n">
        <x:v>-0.004</x:v>
      </x:c>
      <x:c r="H1539" s="66" t="str">
        <x:v>滨风风云瑞丰1号净值20260911.xlsx</x:v>
      </x:c>
      <x:c r="I1539" s="73" t="str">
        <x:f>""</x:f>
      </x:c>
      <x:c r="J1539" s="74" t="str">
        <x:f>""</x:f>
      </x:c>
      <x:c r="K1539" s="73" t="n">
        <x:f>MAX(K1538,F1539)</x:f>
        <x:v>1.4585</x:v>
      </x:c>
      <x:c r="L1539" s="74" t="n">
        <x:f>1-F1539/K1539</x:f>
        <x:v>0.028522454576619727</x:v>
      </x:c>
      <x:c r="M1539" s="73" t="n">
        <x:f>MAX(M1538,F1539)</x:f>
        <x:v>1.4585</x:v>
      </x:c>
      <x:c r="N1539" s="74" t="n">
        <x:f>1-F1539/M1539</x:f>
        <x:v>0.028522454576619727</x:v>
      </x:c>
    </x:row>
    <x:row r="1540" ht="27" customHeight="1">
      <x:c r="A1540" s="66" t="str">
        <x:v>SXL267</x:v>
      </x:c>
      <x:c r="B1540" s="66" t="str">
        <x:v>滨风风云瑞丰1号</x:v>
      </x:c>
      <x:c r="C1540" s="72" t="n">
        <x:v>45637</x:v>
      </x:c>
      <x:c r="D1540" s="73" t="n">
        <x:v>1.4138</x:v>
      </x:c>
      <x:c r="E1540" s="73" t="n">
        <x:v>1.4138</x:v>
      </x:c>
      <x:c r="F1540" s="73" t="n">
        <x:v>1.4138</x:v>
      </x:c>
      <x:c r="G1540" s="74" t="n">
        <x:v>-0.0022</x:v>
      </x:c>
      <x:c r="H1540" s="66" t="str">
        <x:v>滨风风云瑞丰1号净值20260911.xlsx</x:v>
      </x:c>
      <x:c r="I1540" s="73" t="str">
        <x:f>""</x:f>
      </x:c>
      <x:c r="J1540" s="74" t="str">
        <x:f>""</x:f>
      </x:c>
      <x:c r="K1540" s="73" t="n">
        <x:f>MAX(K1539,F1540)</x:f>
        <x:v>1.4585</x:v>
      </x:c>
      <x:c r="L1540" s="74" t="n">
        <x:f>1-F1540/K1540</x:f>
        <x:v>0.03064792595131982</x:v>
      </x:c>
      <x:c r="M1540" s="73" t="n">
        <x:f>MAX(M1539,F1540)</x:f>
        <x:v>1.4585</x:v>
      </x:c>
      <x:c r="N1540" s="74" t="n">
        <x:f>1-F1540/M1540</x:f>
        <x:v>0.03064792595131982</x:v>
      </x:c>
    </x:row>
    <x:row r="1541" ht="27" customHeight="1">
      <x:c r="A1541" s="66" t="str">
        <x:v>SXL267</x:v>
      </x:c>
      <x:c r="B1541" s="66" t="str">
        <x:v>滨风风云瑞丰1号</x:v>
      </x:c>
      <x:c r="C1541" s="72" t="n">
        <x:v>45638</x:v>
      </x:c>
      <x:c r="D1541" s="73" t="n">
        <x:v>1.4229</x:v>
      </x:c>
      <x:c r="E1541" s="73" t="n">
        <x:v>1.4229</x:v>
      </x:c>
      <x:c r="F1541" s="73" t="n">
        <x:v>1.4229</x:v>
      </x:c>
      <x:c r="G1541" s="74" t="n">
        <x:v>0.0064</x:v>
      </x:c>
      <x:c r="H1541" s="66" t="str">
        <x:v>滨风风云瑞丰1号净值20260911.xlsx</x:v>
      </x:c>
      <x:c r="I1541" s="73" t="str">
        <x:f>""</x:f>
      </x:c>
      <x:c r="J1541" s="74" t="str">
        <x:f>""</x:f>
      </x:c>
      <x:c r="K1541" s="73" t="n">
        <x:f>MAX(K1540,F1541)</x:f>
        <x:v>1.4585</x:v>
      </x:c>
      <x:c r="L1541" s="74" t="n">
        <x:f>1-F1541/K1541</x:f>
        <x:v>0.024408639012684197</x:v>
      </x:c>
      <x:c r="M1541" s="73" t="n">
        <x:f>MAX(M1540,F1541)</x:f>
        <x:v>1.4585</x:v>
      </x:c>
      <x:c r="N1541" s="74" t="n">
        <x:f>1-F1541/M1541</x:f>
        <x:v>0.024408639012684197</x:v>
      </x:c>
    </x:row>
    <x:row r="1542" ht="27" customHeight="1">
      <x:c r="A1542" s="66" t="str">
        <x:v>SXL267</x:v>
      </x:c>
      <x:c r="B1542" s="66" t="str">
        <x:v>滨风风云瑞丰1号</x:v>
      </x:c>
      <x:c r="C1542" s="72" t="n">
        <x:v>45639</x:v>
      </x:c>
      <x:c r="D1542" s="73" t="n">
        <x:v>1.4132</x:v>
      </x:c>
      <x:c r="E1542" s="73" t="n">
        <x:v>1.4132</x:v>
      </x:c>
      <x:c r="F1542" s="73" t="n">
        <x:v>1.4132</x:v>
      </x:c>
      <x:c r="G1542" s="74" t="n">
        <x:v>-0.0068000000000000005</x:v>
      </x:c>
      <x:c r="H1542" s="66" t="str">
        <x:v>滨风风云瑞丰1号净值20260911.xlsx</x:v>
      </x:c>
      <x:c r="I1542" s="73" t="str">
        <x:f>""</x:f>
      </x:c>
      <x:c r="J1542" s="74" t="str">
        <x:f>""</x:f>
      </x:c>
      <x:c r="K1542" s="73" t="n">
        <x:f>MAX(K1541,F1542)</x:f>
        <x:v>1.4585</x:v>
      </x:c>
      <x:c r="L1542" s="74" t="n">
        <x:f>1-F1542/K1542</x:f>
        <x:v>0.031059307507713352</x:v>
      </x:c>
      <x:c r="M1542" s="73" t="n">
        <x:f>MAX(M1541,F1542)</x:f>
        <x:v>1.4585</x:v>
      </x:c>
      <x:c r="N1542" s="74" t="n">
        <x:f>1-F1542/M1542</x:f>
        <x:v>0.031059307507713352</x:v>
      </x:c>
    </x:row>
    <x:row r="1543" ht="27" customHeight="1">
      <x:c r="A1543" s="66" t="str">
        <x:v>SXL267</x:v>
      </x:c>
      <x:c r="B1543" s="66" t="str">
        <x:v>滨风风云瑞丰1号</x:v>
      </x:c>
      <x:c r="C1543" s="72" t="n">
        <x:v>45642</x:v>
      </x:c>
      <x:c r="D1543" s="73" t="n">
        <x:v>1.4273</x:v>
      </x:c>
      <x:c r="E1543" s="73" t="n">
        <x:v>1.4273</x:v>
      </x:c>
      <x:c r="F1543" s="73" t="n">
        <x:v>1.4273</x:v>
      </x:c>
      <x:c r="G1543" s="74" t="n">
        <x:v>0.01</x:v>
      </x:c>
      <x:c r="H1543" s="66" t="str">
        <x:v>滨风风云瑞丰1号净值20260911.xlsx</x:v>
      </x:c>
      <x:c r="I1543" s="73" t="str">
        <x:f>""</x:f>
      </x:c>
      <x:c r="J1543" s="74" t="str">
        <x:f>""</x:f>
      </x:c>
      <x:c r="K1543" s="73" t="n">
        <x:f>MAX(K1542,F1543)</x:f>
        <x:v>1.4585</x:v>
      </x:c>
      <x:c r="L1543" s="74" t="n">
        <x:f>1-F1543/K1543</x:f>
        <x:v>0.021391840932464823</x:v>
      </x:c>
      <x:c r="M1543" s="73" t="n">
        <x:f>MAX(M1542,F1543)</x:f>
        <x:v>1.4585</x:v>
      </x:c>
      <x:c r="N1543" s="74" t="n">
        <x:f>1-F1543/M1543</x:f>
        <x:v>0.021391840932464823</x:v>
      </x:c>
    </x:row>
    <x:row r="1544" ht="27" customHeight="1">
      <x:c r="A1544" s="66" t="str">
        <x:v>SXL267</x:v>
      </x:c>
      <x:c r="B1544" s="66" t="str">
        <x:v>滨风风云瑞丰1号</x:v>
      </x:c>
      <x:c r="C1544" s="72" t="n">
        <x:v>45643</x:v>
      </x:c>
      <x:c r="D1544" s="73" t="n">
        <x:v>1.4332</x:v>
      </x:c>
      <x:c r="E1544" s="73" t="n">
        <x:v>1.4332</x:v>
      </x:c>
      <x:c r="F1544" s="73" t="n">
        <x:v>1.4332</x:v>
      </x:c>
      <x:c r="G1544" s="74" t="n">
        <x:v>0.0040999999999999995</x:v>
      </x:c>
      <x:c r="H1544" s="66" t="str">
        <x:v>滨风风云瑞丰1号净值20260911.xlsx</x:v>
      </x:c>
      <x:c r="I1544" s="73" t="str">
        <x:f>""</x:f>
      </x:c>
      <x:c r="J1544" s="74" t="str">
        <x:f>""</x:f>
      </x:c>
      <x:c r="K1544" s="73" t="n">
        <x:f>MAX(K1543,F1544)</x:f>
        <x:v>1.4585</x:v>
      </x:c>
      <x:c r="L1544" s="74" t="n">
        <x:f>1-F1544/K1544</x:f>
        <x:v>0.01734658896126151</x:v>
      </x:c>
      <x:c r="M1544" s="73" t="n">
        <x:f>MAX(M1543,F1544)</x:f>
        <x:v>1.4585</x:v>
      </x:c>
      <x:c r="N1544" s="74" t="n">
        <x:f>1-F1544/M1544</x:f>
        <x:v>0.01734658896126151</x:v>
      </x:c>
    </x:row>
    <x:row r="1545" ht="27" customHeight="1">
      <x:c r="A1545" s="66" t="str">
        <x:v>SXL267</x:v>
      </x:c>
      <x:c r="B1545" s="66" t="str">
        <x:v>滨风风云瑞丰1号</x:v>
      </x:c>
      <x:c r="C1545" s="72" t="n">
        <x:v>45644</x:v>
      </x:c>
      <x:c r="D1545" s="73" t="n">
        <x:v>1.4339</x:v>
      </x:c>
      <x:c r="E1545" s="73" t="n">
        <x:v>1.4339</x:v>
      </x:c>
      <x:c r="F1545" s="73" t="n">
        <x:v>1.4339</x:v>
      </x:c>
      <x:c r="G1545" s="74" t="n">
        <x:v>0.0005</x:v>
      </x:c>
      <x:c r="H1545" s="66" t="str">
        <x:v>滨风风云瑞丰1号净值20260911.xlsx</x:v>
      </x:c>
      <x:c r="I1545" s="73" t="str">
        <x:f>""</x:f>
      </x:c>
      <x:c r="J1545" s="74" t="str">
        <x:f>""</x:f>
      </x:c>
      <x:c r="K1545" s="73" t="n">
        <x:f>MAX(K1544,F1545)</x:f>
        <x:v>1.4585</x:v>
      </x:c>
      <x:c r="L1545" s="74" t="n">
        <x:f>1-F1545/K1545</x:f>
        <x:v>0.016866643812135762</x:v>
      </x:c>
      <x:c r="M1545" s="73" t="n">
        <x:f>MAX(M1544,F1545)</x:f>
        <x:v>1.4585</x:v>
      </x:c>
      <x:c r="N1545" s="74" t="n">
        <x:f>1-F1545/M1545</x:f>
        <x:v>0.016866643812135762</x:v>
      </x:c>
    </x:row>
    <x:row r="1546" ht="27" customHeight="1">
      <x:c r="A1546" s="66" t="str">
        <x:v>SXL267</x:v>
      </x:c>
      <x:c r="B1546" s="66" t="str">
        <x:v>滨风风云瑞丰1号</x:v>
      </x:c>
      <x:c r="C1546" s="72" t="n">
        <x:v>45645</x:v>
      </x:c>
      <x:c r="D1546" s="73" t="n">
        <x:v>1.4504</x:v>
      </x:c>
      <x:c r="E1546" s="73" t="n">
        <x:v>1.4504</x:v>
      </x:c>
      <x:c r="F1546" s="73" t="n">
        <x:v>1.4504</x:v>
      </x:c>
      <x:c r="G1546" s="74" t="n">
        <x:v>0.0115</x:v>
      </x:c>
      <x:c r="H1546" s="66" t="str">
        <x:v>滨风风云瑞丰1号净值20260911.xlsx</x:v>
      </x:c>
      <x:c r="I1546" s="73" t="str">
        <x:f>""</x:f>
      </x:c>
      <x:c r="J1546" s="74" t="str">
        <x:f>""</x:f>
      </x:c>
      <x:c r="K1546" s="73" t="n">
        <x:f>MAX(K1545,F1546)</x:f>
        <x:v>1.4585</x:v>
      </x:c>
      <x:c r="L1546" s="74" t="n">
        <x:f>1-F1546/K1546</x:f>
        <x:v>0.005553651011312999</x:v>
      </x:c>
      <x:c r="M1546" s="73" t="n">
        <x:f>MAX(M1545,F1546)</x:f>
        <x:v>1.4585</x:v>
      </x:c>
      <x:c r="N1546" s="74" t="n">
        <x:f>1-F1546/M1546</x:f>
        <x:v>0.005553651011312999</x:v>
      </x:c>
    </x:row>
    <x:row r="1547" ht="27" customHeight="1">
      <x:c r="A1547" s="66" t="str">
        <x:v>SXL267</x:v>
      </x:c>
      <x:c r="B1547" s="66" t="str">
        <x:v>滨风风云瑞丰1号</x:v>
      </x:c>
      <x:c r="C1547" s="72" t="n">
        <x:v>45646</x:v>
      </x:c>
      <x:c r="D1547" s="73" t="n">
        <x:v>1.475</x:v>
      </x:c>
      <x:c r="E1547" s="73" t="n">
        <x:v>1.475</x:v>
      </x:c>
      <x:c r="F1547" s="73" t="n">
        <x:v>1.475</x:v>
      </x:c>
      <x:c r="G1547" s="74" t="n">
        <x:v>0.017</x:v>
      </x:c>
      <x:c r="H1547" s="66" t="str">
        <x:v>滨风风云瑞丰1号净值20260911.xlsx</x:v>
      </x:c>
      <x:c r="I1547" s="73" t="str">
        <x:f>""</x:f>
      </x:c>
      <x:c r="J1547" s="74" t="str">
        <x:f>""</x:f>
      </x:c>
      <x:c r="K1547" s="73" t="n">
        <x:f>MAX(K1546,F1547)</x:f>
        <x:v>1.475</x:v>
      </x:c>
      <x:c r="L1547" s="74" t="n">
        <x:f>1-F1547/K1547</x:f>
        <x:v>0</x:v>
      </x:c>
      <x:c r="M1547" s="73" t="n">
        <x:f>MAX(M1546,F1547)</x:f>
        <x:v>1.475</x:v>
      </x:c>
      <x:c r="N1547" s="74" t="n">
        <x:f>1-F1547/M1547</x:f>
        <x:v>0</x:v>
      </x:c>
    </x:row>
    <x:row r="1548" ht="27" customHeight="1">
      <x:c r="A1548" s="66" t="str">
        <x:v>SXL267</x:v>
      </x:c>
      <x:c r="B1548" s="66" t="str">
        <x:v>滨风风云瑞丰1号</x:v>
      </x:c>
      <x:c r="C1548" s="72" t="n">
        <x:v>45649</x:v>
      </x:c>
      <x:c r="D1548" s="73" t="n">
        <x:v>1.4719</x:v>
      </x:c>
      <x:c r="E1548" s="73" t="n">
        <x:v>1.4719</x:v>
      </x:c>
      <x:c r="F1548" s="73" t="n">
        <x:v>1.4719</x:v>
      </x:c>
      <x:c r="G1548" s="74" t="n">
        <x:v>-0.0021</x:v>
      </x:c>
      <x:c r="H1548" s="66" t="str">
        <x:v>滨风风云瑞丰1号净值20260911.xlsx</x:v>
      </x:c>
      <x:c r="I1548" s="73" t="str">
        <x:f>""</x:f>
      </x:c>
      <x:c r="J1548" s="74" t="str">
        <x:f>""</x:f>
      </x:c>
      <x:c r="K1548" s="73" t="n">
        <x:f>MAX(K1547,F1548)</x:f>
        <x:v>1.475</x:v>
      </x:c>
      <x:c r="L1548" s="74" t="n">
        <x:f>1-F1548/K1548</x:f>
        <x:v>0.0021016949152543596</x:v>
      </x:c>
      <x:c r="M1548" s="73" t="n">
        <x:f>MAX(M1547,F1548)</x:f>
        <x:v>1.475</x:v>
      </x:c>
      <x:c r="N1548" s="74" t="n">
        <x:f>1-F1548/M1548</x:f>
        <x:v>0.0021016949152543596</x:v>
      </x:c>
    </x:row>
    <x:row r="1549" ht="27" customHeight="1">
      <x:c r="A1549" s="66" t="str">
        <x:v>SXL267</x:v>
      </x:c>
      <x:c r="B1549" s="66" t="str">
        <x:v>滨风风云瑞丰1号</x:v>
      </x:c>
      <x:c r="C1549" s="72" t="n">
        <x:v>45650</x:v>
      </x:c>
      <x:c r="D1549" s="73" t="n">
        <x:v>1.466</x:v>
      </x:c>
      <x:c r="E1549" s="73" t="n">
        <x:v>1.466</x:v>
      </x:c>
      <x:c r="F1549" s="73" t="n">
        <x:v>1.466</x:v>
      </x:c>
      <x:c r="G1549" s="74" t="n">
        <x:v>-0.004</x:v>
      </x:c>
      <x:c r="H1549" s="66" t="str">
        <x:v>滨风风云瑞丰1号净值20260911.xlsx</x:v>
      </x:c>
      <x:c r="I1549" s="73" t="str">
        <x:f>""</x:f>
      </x:c>
      <x:c r="J1549" s="74" t="str">
        <x:f>""</x:f>
      </x:c>
      <x:c r="K1549" s="73" t="n">
        <x:f>MAX(K1548,F1549)</x:f>
        <x:v>1.475</x:v>
      </x:c>
      <x:c r="L1549" s="74" t="n">
        <x:f>1-F1549/K1549</x:f>
        <x:v>0.006101694915254363</x:v>
      </x:c>
      <x:c r="M1549" s="73" t="n">
        <x:f>MAX(M1548,F1549)</x:f>
        <x:v>1.475</x:v>
      </x:c>
      <x:c r="N1549" s="74" t="n">
        <x:f>1-F1549/M1549</x:f>
        <x:v>0.006101694915254363</x:v>
      </x:c>
    </x:row>
    <x:row r="1550" ht="27" customHeight="1">
      <x:c r="A1550" s="66" t="str">
        <x:v>SXL267</x:v>
      </x:c>
      <x:c r="B1550" s="66" t="str">
        <x:v>滨风风云瑞丰1号</x:v>
      </x:c>
      <x:c r="C1550" s="72" t="n">
        <x:v>45651</x:v>
      </x:c>
      <x:c r="D1550" s="73" t="n">
        <x:v>1.4665</x:v>
      </x:c>
      <x:c r="E1550" s="73" t="n">
        <x:v>1.4665</x:v>
      </x:c>
      <x:c r="F1550" s="73" t="n">
        <x:v>1.4665</x:v>
      </x:c>
      <x:c r="G1550" s="74" t="n">
        <x:v>0.0003</x:v>
      </x:c>
      <x:c r="H1550" s="66" t="str">
        <x:v>滨风风云瑞丰1号净值20260911.xlsx</x:v>
      </x:c>
      <x:c r="I1550" s="73" t="str">
        <x:f>""</x:f>
      </x:c>
      <x:c r="J1550" s="74" t="str">
        <x:f>""</x:f>
      </x:c>
      <x:c r="K1550" s="73" t="n">
        <x:f>MAX(K1549,F1550)</x:f>
        <x:v>1.475</x:v>
      </x:c>
      <x:c r="L1550" s="74" t="n">
        <x:f>1-F1550/K1550</x:f>
        <x:v>0.005762711864406911</x:v>
      </x:c>
      <x:c r="M1550" s="73" t="n">
        <x:f>MAX(M1549,F1550)</x:f>
        <x:v>1.475</x:v>
      </x:c>
      <x:c r="N1550" s="74" t="n">
        <x:f>1-F1550/M1550</x:f>
        <x:v>0.005762711864406911</x:v>
      </x:c>
    </x:row>
    <x:row r="1551" ht="27" customHeight="1">
      <x:c r="A1551" s="66" t="str">
        <x:v>SXL267</x:v>
      </x:c>
      <x:c r="B1551" s="66" t="str">
        <x:v>滨风风云瑞丰1号</x:v>
      </x:c>
      <x:c r="C1551" s="72" t="n">
        <x:v>45652</x:v>
      </x:c>
      <x:c r="D1551" s="73" t="n">
        <x:v>1.4579</x:v>
      </x:c>
      <x:c r="E1551" s="73" t="n">
        <x:v>1.4579</x:v>
      </x:c>
      <x:c r="F1551" s="73" t="n">
        <x:v>1.4579</x:v>
      </x:c>
      <x:c r="G1551" s="74" t="n">
        <x:v>-0.0059</x:v>
      </x:c>
      <x:c r="H1551" s="66" t="str">
        <x:v>滨风风云瑞丰1号净值20260911.xlsx</x:v>
      </x:c>
      <x:c r="I1551" s="73" t="str">
        <x:f>""</x:f>
      </x:c>
      <x:c r="J1551" s="74" t="str">
        <x:f>""</x:f>
      </x:c>
      <x:c r="K1551" s="73" t="n">
        <x:f>MAX(K1550,F1551)</x:f>
        <x:v>1.475</x:v>
      </x:c>
      <x:c r="L1551" s="74" t="n">
        <x:f>1-F1551/K1551</x:f>
        <x:v>0.011593220338983135</x:v>
      </x:c>
      <x:c r="M1551" s="73" t="n">
        <x:f>MAX(M1550,F1551)</x:f>
        <x:v>1.475</x:v>
      </x:c>
      <x:c r="N1551" s="74" t="n">
        <x:f>1-F1551/M1551</x:f>
        <x:v>0.011593220338983135</x:v>
      </x:c>
    </x:row>
    <x:row r="1552" ht="27" customHeight="1">
      <x:c r="A1552" s="66" t="str">
        <x:v>SXL267</x:v>
      </x:c>
      <x:c r="B1552" s="66" t="str">
        <x:v>滨风风云瑞丰1号</x:v>
      </x:c>
      <x:c r="C1552" s="72" t="n">
        <x:v>45653</x:v>
      </x:c>
      <x:c r="D1552" s="73" t="n">
        <x:v>1.4568</x:v>
      </x:c>
      <x:c r="E1552" s="73" t="n">
        <x:v>1.4568</x:v>
      </x:c>
      <x:c r="F1552" s="73" t="n">
        <x:v>1.4568</x:v>
      </x:c>
      <x:c r="G1552" s="74" t="n">
        <x:v>-0.0008</x:v>
      </x:c>
      <x:c r="H1552" s="66" t="str">
        <x:v>滨风风云瑞丰1号净值20260911.xlsx</x:v>
      </x:c>
      <x:c r="I1552" s="73" t="str">
        <x:f>""</x:f>
      </x:c>
      <x:c r="J1552" s="74" t="str">
        <x:f>""</x:f>
      </x:c>
      <x:c r="K1552" s="73" t="n">
        <x:f>MAX(K1551,F1552)</x:f>
        <x:v>1.475</x:v>
      </x:c>
      <x:c r="L1552" s="74" t="n">
        <x:f>1-F1552/K1552</x:f>
        <x:v>0.012338983050847463</x:v>
      </x:c>
      <x:c r="M1552" s="73" t="n">
        <x:f>MAX(M1551,F1552)</x:f>
        <x:v>1.475</x:v>
      </x:c>
      <x:c r="N1552" s="74" t="n">
        <x:f>1-F1552/M1552</x:f>
        <x:v>0.012338983050847463</x:v>
      </x:c>
    </x:row>
    <x:row r="1553" ht="27" customHeight="1">
      <x:c r="A1553" s="66" t="str">
        <x:v>SXL267</x:v>
      </x:c>
      <x:c r="B1553" s="66" t="str">
        <x:v>滨风风云瑞丰1号</x:v>
      </x:c>
      <x:c r="C1553" s="72" t="n">
        <x:v>45656</x:v>
      </x:c>
      <x:c r="D1553" s="73" t="n">
        <x:v>1.4482</x:v>
      </x:c>
      <x:c r="E1553" s="73" t="n">
        <x:v>1.4482</x:v>
      </x:c>
      <x:c r="F1553" s="73" t="n">
        <x:v>1.4482</x:v>
      </x:c>
      <x:c r="G1553" s="74" t="n">
        <x:v>-0.0059</x:v>
      </x:c>
      <x:c r="H1553" s="66" t="str">
        <x:v>滨风风云瑞丰1号净值20260911.xlsx</x:v>
      </x:c>
      <x:c r="I1553" s="73" t="str">
        <x:f>""</x:f>
      </x:c>
      <x:c r="J1553" s="74" t="str">
        <x:f>""</x:f>
      </x:c>
      <x:c r="K1553" s="73" t="n">
        <x:f>MAX(K1552,F1553)</x:f>
        <x:v>1.475</x:v>
      </x:c>
      <x:c r="L1553" s="74" t="n">
        <x:f>1-F1553/K1553</x:f>
        <x:v>0.018169491525423798</x:v>
      </x:c>
      <x:c r="M1553" s="73" t="n">
        <x:f>MAX(M1552,F1553)</x:f>
        <x:v>1.475</x:v>
      </x:c>
      <x:c r="N1553" s="74" t="n">
        <x:f>1-F1553/M1553</x:f>
        <x:v>0.018169491525423798</x:v>
      </x:c>
    </x:row>
    <x:row r="1554" ht="27" customHeight="1">
      <x:c r="A1554" s="66" t="str">
        <x:v>SXL267</x:v>
      </x:c>
      <x:c r="B1554" s="66" t="str">
        <x:v>滨风风云瑞丰1号</x:v>
      </x:c>
      <x:c r="C1554" s="72" t="n">
        <x:v>45657</x:v>
      </x:c>
      <x:c r="D1554" s="73" t="n">
        <x:v>1.4706</x:v>
      </x:c>
      <x:c r="E1554" s="73" t="n">
        <x:v>1.4706</x:v>
      </x:c>
      <x:c r="F1554" s="73" t="n">
        <x:v>1.4706</x:v>
      </x:c>
      <x:c r="G1554" s="74" t="n">
        <x:v>0.0155</x:v>
      </x:c>
      <x:c r="H1554" s="66" t="str">
        <x:v>滨风风云瑞丰1号净值20260911.xlsx</x:v>
      </x:c>
      <x:c r="I1554" s="73" t="str">
        <x:f>""</x:f>
      </x:c>
      <x:c r="J1554" s="74" t="str">
        <x:f>""</x:f>
      </x:c>
      <x:c r="K1554" s="73" t="n">
        <x:f>MAX(K1553,F1554)</x:f>
        <x:v>1.475</x:v>
      </x:c>
      <x:c r="L1554" s="74" t="n">
        <x:f>1-F1554/K1554</x:f>
        <x:v>0.0029830508474577577</x:v>
      </x:c>
      <x:c r="M1554" s="73" t="n">
        <x:f>MAX(M1553,F1554)</x:f>
        <x:v>1.475</x:v>
      </x:c>
      <x:c r="N1554" s="74" t="n">
        <x:f>1-F1554/M1554</x:f>
        <x:v>0.0029830508474577577</x:v>
      </x:c>
    </x:row>
    <x:row r="1555" ht="27" customHeight="1">
      <x:c r="A1555" s="66" t="str">
        <x:v>SXL267</x:v>
      </x:c>
      <x:c r="B1555" s="66" t="str">
        <x:v>滨风风云瑞丰1号</x:v>
      </x:c>
      <x:c r="C1555" s="72" t="n">
        <x:v>45659</x:v>
      </x:c>
      <x:c r="D1555" s="73" t="n">
        <x:v>1.5043</x:v>
      </x:c>
      <x:c r="E1555" s="73" t="n">
        <x:v>1.5043</x:v>
      </x:c>
      <x:c r="F1555" s="73" t="n">
        <x:v>1.5043</x:v>
      </x:c>
      <x:c r="G1555" s="74" t="n">
        <x:v>0.0229</x:v>
      </x:c>
      <x:c r="H1555" s="66" t="str">
        <x:v>滨风风云瑞丰1号净值20260911.xlsx</x:v>
      </x:c>
      <x:c r="I1555" s="73" t="str">
        <x:f>""</x:f>
      </x:c>
      <x:c r="J1555" s="74" t="str">
        <x:f>""</x:f>
      </x:c>
      <x:c r="K1555" s="73" t="n">
        <x:f>MAX(K1554,F1555)</x:f>
        <x:v>1.5043</x:v>
      </x:c>
      <x:c r="L1555" s="74" t="n">
        <x:f>1-F1555/K1555</x:f>
        <x:v>0</x:v>
      </x:c>
      <x:c r="M1555" s="73" t="n">
        <x:f>MAX(M1554,F1555)</x:f>
        <x:v>1.5043</x:v>
      </x:c>
      <x:c r="N1555" s="74" t="n">
        <x:f>1-F1555/M1555</x:f>
        <x:v>0</x:v>
      </x:c>
    </x:row>
    <x:row r="1556" ht="27" customHeight="1">
      <x:c r="A1556" s="66" t="str">
        <x:v>SXL267</x:v>
      </x:c>
      <x:c r="B1556" s="66" t="str">
        <x:v>滨风风云瑞丰1号</x:v>
      </x:c>
      <x:c r="C1556" s="72" t="n">
        <x:v>45660</x:v>
      </x:c>
      <x:c r="D1556" s="73" t="n">
        <x:v>1.5236</x:v>
      </x:c>
      <x:c r="E1556" s="73" t="n">
        <x:v>1.5236</x:v>
      </x:c>
      <x:c r="F1556" s="73" t="n">
        <x:v>1.5236</x:v>
      </x:c>
      <x:c r="G1556" s="74" t="n">
        <x:v>0.0128</x:v>
      </x:c>
      <x:c r="H1556" s="66" t="str">
        <x:v>滨风风云瑞丰1号净值20260911.xlsx</x:v>
      </x:c>
      <x:c r="I1556" s="73" t="str">
        <x:f>""</x:f>
      </x:c>
      <x:c r="J1556" s="74" t="str">
        <x:f>""</x:f>
      </x:c>
      <x:c r="K1556" s="73" t="n">
        <x:f>MAX(K1555,F1556)</x:f>
        <x:v>1.5236</x:v>
      </x:c>
      <x:c r="L1556" s="74" t="n">
        <x:f>1-F1556/K1556</x:f>
        <x:v>0</x:v>
      </x:c>
      <x:c r="M1556" s="73" t="n">
        <x:f>MAX(M1555,F1556)</x:f>
        <x:v>1.5236</x:v>
      </x:c>
      <x:c r="N1556" s="74" t="n">
        <x:f>1-F1556/M1556</x:f>
        <x:v>0</x:v>
      </x:c>
    </x:row>
    <x:row r="1557" ht="27" customHeight="1">
      <x:c r="A1557" s="66" t="str">
        <x:v>SXL267</x:v>
      </x:c>
      <x:c r="B1557" s="66" t="str">
        <x:v>滨风风云瑞丰1号</x:v>
      </x:c>
      <x:c r="C1557" s="72" t="n">
        <x:v>45663</x:v>
      </x:c>
      <x:c r="D1557" s="73" t="n">
        <x:v>1.5237</x:v>
      </x:c>
      <x:c r="E1557" s="73" t="n">
        <x:v>1.5237</x:v>
      </x:c>
      <x:c r="F1557" s="73" t="n">
        <x:v>1.5237</x:v>
      </x:c>
      <x:c r="G1557" s="74" t="n">
        <x:v>0.0001</x:v>
      </x:c>
      <x:c r="H1557" s="66" t="str">
        <x:v>滨风风云瑞丰1号净值20260911.xlsx</x:v>
      </x:c>
      <x:c r="I1557" s="73" t="str">
        <x:f>""</x:f>
      </x:c>
      <x:c r="J1557" s="74" t="str">
        <x:f>""</x:f>
      </x:c>
      <x:c r="K1557" s="73" t="n">
        <x:f>MAX(K1556,F1557)</x:f>
        <x:v>1.5237</x:v>
      </x:c>
      <x:c r="L1557" s="74" t="n">
        <x:f>1-F1557/K1557</x:f>
        <x:v>0</x:v>
      </x:c>
      <x:c r="M1557" s="73" t="n">
        <x:f>MAX(M1556,F1557)</x:f>
        <x:v>1.5237</x:v>
      </x:c>
      <x:c r="N1557" s="74" t="n">
        <x:f>1-F1557/M1557</x:f>
        <x:v>0</x:v>
      </x:c>
    </x:row>
    <x:row r="1558" ht="27" customHeight="1">
      <x:c r="A1558" s="66" t="str">
        <x:v>SXL267</x:v>
      </x:c>
      <x:c r="B1558" s="66" t="str">
        <x:v>滨风风云瑞丰1号</x:v>
      </x:c>
      <x:c r="C1558" s="72" t="n">
        <x:v>45664</x:v>
      </x:c>
      <x:c r="D1558" s="73" t="n">
        <x:v>1.5153</x:v>
      </x:c>
      <x:c r="E1558" s="73" t="n">
        <x:v>1.5153</x:v>
      </x:c>
      <x:c r="F1558" s="73" t="n">
        <x:v>1.5153</x:v>
      </x:c>
      <x:c r="G1558" s="74" t="n">
        <x:v>-0.0055000000000000005</x:v>
      </x:c>
      <x:c r="H1558" s="66" t="str">
        <x:v>滨风风云瑞丰1号净值20260911.xlsx</x:v>
      </x:c>
      <x:c r="I1558" s="73" t="str">
        <x:f>""</x:f>
      </x:c>
      <x:c r="J1558" s="74" t="str">
        <x:f>""</x:f>
      </x:c>
      <x:c r="K1558" s="73" t="n">
        <x:f>MAX(K1557,F1558)</x:f>
        <x:v>1.5237</x:v>
      </x:c>
      <x:c r="L1558" s="74" t="n">
        <x:f>1-F1558/K1558</x:f>
        <x:v>0.005512896239417198</x:v>
      </x:c>
      <x:c r="M1558" s="73" t="n">
        <x:f>MAX(M1557,F1558)</x:f>
        <x:v>1.5237</x:v>
      </x:c>
      <x:c r="N1558" s="74" t="n">
        <x:f>1-F1558/M1558</x:f>
        <x:v>0.005512896239417198</x:v>
      </x:c>
    </x:row>
    <x:row r="1559" ht="27" customHeight="1">
      <x:c r="A1559" s="66" t="str">
        <x:v>SXL267</x:v>
      </x:c>
      <x:c r="B1559" s="66" t="str">
        <x:v>滨风风云瑞丰1号</x:v>
      </x:c>
      <x:c r="C1559" s="72" t="n">
        <x:v>45665</x:v>
      </x:c>
      <x:c r="D1559" s="73" t="n">
        <x:v>1.5096</x:v>
      </x:c>
      <x:c r="E1559" s="73" t="n">
        <x:v>1.5096</x:v>
      </x:c>
      <x:c r="F1559" s="73" t="n">
        <x:v>1.5096</x:v>
      </x:c>
      <x:c r="G1559" s="74" t="n">
        <x:v>-0.0038</x:v>
      </x:c>
      <x:c r="H1559" s="66" t="str">
        <x:v>滨风风云瑞丰1号净值20260911.xlsx</x:v>
      </x:c>
      <x:c r="I1559" s="73" t="str">
        <x:f>""</x:f>
      </x:c>
      <x:c r="J1559" s="74" t="str">
        <x:f>""</x:f>
      </x:c>
      <x:c r="K1559" s="73" t="n">
        <x:f>MAX(K1558,F1559)</x:f>
        <x:v>1.5237</x:v>
      </x:c>
      <x:c r="L1559" s="74" t="n">
        <x:f>1-F1559/K1559</x:f>
        <x:v>0.009253790116164562</x:v>
      </x:c>
      <x:c r="M1559" s="73" t="n">
        <x:f>MAX(M1558,F1559)</x:f>
        <x:v>1.5237</x:v>
      </x:c>
      <x:c r="N1559" s="74" t="n">
        <x:f>1-F1559/M1559</x:f>
        <x:v>0.009253790116164562</x:v>
      </x:c>
    </x:row>
    <x:row r="1560" ht="27" customHeight="1">
      <x:c r="A1560" s="66" t="str">
        <x:v>SXL267</x:v>
      </x:c>
      <x:c r="B1560" s="66" t="str">
        <x:v>滨风风云瑞丰1号</x:v>
      </x:c>
      <x:c r="C1560" s="72" t="n">
        <x:v>45666</x:v>
      </x:c>
      <x:c r="D1560" s="73" t="n">
        <x:v>1.4919</x:v>
      </x:c>
      <x:c r="E1560" s="73" t="n">
        <x:v>1.4919</x:v>
      </x:c>
      <x:c r="F1560" s="73" t="n">
        <x:v>1.4919</x:v>
      </x:c>
      <x:c r="G1560" s="74" t="n">
        <x:v>-0.011699999999999999</x:v>
      </x:c>
      <x:c r="H1560" s="66" t="str">
        <x:v>滨风风云瑞丰1号净值20260911.xlsx</x:v>
      </x:c>
      <x:c r="I1560" s="73" t="str">
        <x:f>""</x:f>
      </x:c>
      <x:c r="J1560" s="74" t="str">
        <x:f>""</x:f>
      </x:c>
      <x:c r="K1560" s="73" t="n">
        <x:f>MAX(K1559,F1560)</x:f>
        <x:v>1.5237</x:v>
      </x:c>
      <x:c r="L1560" s="74" t="n">
        <x:f>1-F1560/K1560</x:f>
        <x:v>0.020870250049222272</x:v>
      </x:c>
      <x:c r="M1560" s="73" t="n">
        <x:f>MAX(M1559,F1560)</x:f>
        <x:v>1.5237</x:v>
      </x:c>
      <x:c r="N1560" s="74" t="n">
        <x:f>1-F1560/M1560</x:f>
        <x:v>0.020870250049222272</x:v>
      </x:c>
    </x:row>
    <x:row r="1561" ht="27" customHeight="1">
      <x:c r="A1561" s="66" t="str">
        <x:v>SXL267</x:v>
      </x:c>
      <x:c r="B1561" s="66" t="str">
        <x:v>滨风风云瑞丰1号</x:v>
      </x:c>
      <x:c r="C1561" s="72" t="n">
        <x:v>45667</x:v>
      </x:c>
      <x:c r="D1561" s="73" t="n">
        <x:v>1.4783</x:v>
      </x:c>
      <x:c r="E1561" s="73" t="n">
        <x:v>1.4783</x:v>
      </x:c>
      <x:c r="F1561" s="73" t="n">
        <x:v>1.4783</x:v>
      </x:c>
      <x:c r="G1561" s="74" t="n">
        <x:v>-0.0091</x:v>
      </x:c>
      <x:c r="H1561" s="66" t="str">
        <x:v>滨风风云瑞丰1号净值20260911.xlsx</x:v>
      </x:c>
      <x:c r="I1561" s="73" t="str">
        <x:f>""</x:f>
      </x:c>
      <x:c r="J1561" s="74" t="str">
        <x:f>""</x:f>
      </x:c>
      <x:c r="K1561" s="73" t="n">
        <x:f>MAX(K1560,F1561)</x:f>
        <x:v>1.5237</x:v>
      </x:c>
      <x:c r="L1561" s="74" t="n">
        <x:f>1-F1561/K1561</x:f>
        <x:v>0.029795891579707412</x:v>
      </x:c>
      <x:c r="M1561" s="73" t="n">
        <x:f>MAX(M1560,F1561)</x:f>
        <x:v>1.5237</x:v>
      </x:c>
      <x:c r="N1561" s="74" t="n">
        <x:f>1-F1561/M1561</x:f>
        <x:v>0.029795891579707412</x:v>
      </x:c>
    </x:row>
    <x:row r="1562" ht="27" customHeight="1">
      <x:c r="A1562" s="66" t="str">
        <x:v>SXL267</x:v>
      </x:c>
      <x:c r="B1562" s="66" t="str">
        <x:v>滨风风云瑞丰1号</x:v>
      </x:c>
      <x:c r="C1562" s="72" t="n">
        <x:v>45670</x:v>
      </x:c>
      <x:c r="D1562" s="73" t="n">
        <x:v>1.4798</x:v>
      </x:c>
      <x:c r="E1562" s="73" t="n">
        <x:v>1.4798</x:v>
      </x:c>
      <x:c r="F1562" s="73" t="n">
        <x:v>1.4798</x:v>
      </x:c>
      <x:c r="G1562" s="74" t="n">
        <x:v>0.001</x:v>
      </x:c>
      <x:c r="H1562" s="66" t="str">
        <x:v>滨风风云瑞丰1号净值20260911.xlsx</x:v>
      </x:c>
      <x:c r="I1562" s="73" t="str">
        <x:f>""</x:f>
      </x:c>
      <x:c r="J1562" s="74" t="str">
        <x:f>""</x:f>
      </x:c>
      <x:c r="K1562" s="73" t="n">
        <x:f>MAX(K1561,F1562)</x:f>
        <x:v>1.5237</x:v>
      </x:c>
      <x:c r="L1562" s="74" t="n">
        <x:f>1-F1562/K1562</x:f>
        <x:v>0.02881144582266859</x:v>
      </x:c>
      <x:c r="M1562" s="73" t="n">
        <x:f>MAX(M1561,F1562)</x:f>
        <x:v>1.5237</x:v>
      </x:c>
      <x:c r="N1562" s="74" t="n">
        <x:f>1-F1562/M1562</x:f>
        <x:v>0.02881144582266859</x:v>
      </x:c>
    </x:row>
    <x:row r="1563" ht="27" customHeight="1">
      <x:c r="A1563" s="66" t="str">
        <x:v>SXL267</x:v>
      </x:c>
      <x:c r="B1563" s="66" t="str">
        <x:v>滨风风云瑞丰1号</x:v>
      </x:c>
      <x:c r="C1563" s="72" t="n">
        <x:v>45671</x:v>
      </x:c>
      <x:c r="D1563" s="73" t="n">
        <x:v>1.5232</x:v>
      </x:c>
      <x:c r="E1563" s="73" t="n">
        <x:v>1.5232</x:v>
      </x:c>
      <x:c r="F1563" s="73" t="n">
        <x:v>1.5232</x:v>
      </x:c>
      <x:c r="G1563" s="74" t="n">
        <x:v>0.029300000000000003</x:v>
      </x:c>
      <x:c r="H1563" s="66" t="str">
        <x:v>滨风风云瑞丰1号净值20260911.xlsx</x:v>
      </x:c>
      <x:c r="I1563" s="73" t="str">
        <x:f>""</x:f>
      </x:c>
      <x:c r="J1563" s="74" t="str">
        <x:f>""</x:f>
      </x:c>
      <x:c r="K1563" s="73" t="n">
        <x:f>MAX(K1562,F1563)</x:f>
        <x:v>1.5237</x:v>
      </x:c>
      <x:c r="L1563" s="74" t="n">
        <x:f>1-F1563/K1563</x:f>
        <x:v>0.000328148585679533</x:v>
      </x:c>
      <x:c r="M1563" s="73" t="n">
        <x:f>MAX(M1562,F1563)</x:f>
        <x:v>1.5237</x:v>
      </x:c>
      <x:c r="N1563" s="74" t="n">
        <x:f>1-F1563/M1563</x:f>
        <x:v>0.000328148585679533</x:v>
      </x:c>
    </x:row>
    <x:row r="1564" ht="27" customHeight="1">
      <x:c r="A1564" s="66" t="str">
        <x:v>SXL267</x:v>
      </x:c>
      <x:c r="B1564" s="66" t="str">
        <x:v>滨风风云瑞丰1号</x:v>
      </x:c>
      <x:c r="C1564" s="72" t="n">
        <x:v>45672</x:v>
      </x:c>
      <x:c r="D1564" s="73" t="n">
        <x:v>1.5332</x:v>
      </x:c>
      <x:c r="E1564" s="73" t="n">
        <x:v>1.5332</x:v>
      </x:c>
      <x:c r="F1564" s="73" t="n">
        <x:v>1.5332</x:v>
      </x:c>
      <x:c r="G1564" s="74" t="n">
        <x:v>0.0066</x:v>
      </x:c>
      <x:c r="H1564" s="66" t="str">
        <x:v>滨风风云瑞丰1号净值20260911.xlsx</x:v>
      </x:c>
      <x:c r="I1564" s="73" t="str">
        <x:f>""</x:f>
      </x:c>
      <x:c r="J1564" s="74" t="str">
        <x:f>""</x:f>
      </x:c>
      <x:c r="K1564" s="73" t="n">
        <x:f>MAX(K1563,F1564)</x:f>
        <x:v>1.5332</x:v>
      </x:c>
      <x:c r="L1564" s="74" t="n">
        <x:f>1-F1564/K1564</x:f>
        <x:v>0</x:v>
      </x:c>
      <x:c r="M1564" s="73" t="n">
        <x:f>MAX(M1563,F1564)</x:f>
        <x:v>1.5332</x:v>
      </x:c>
      <x:c r="N1564" s="74" t="n">
        <x:f>1-F1564/M1564</x:f>
        <x:v>0</x:v>
      </x:c>
    </x:row>
    <x:row r="1565" ht="27" customHeight="1">
      <x:c r="A1565" s="66" t="str">
        <x:v>SXL267</x:v>
      </x:c>
      <x:c r="B1565" s="66" t="str">
        <x:v>滨风风云瑞丰1号</x:v>
      </x:c>
      <x:c r="C1565" s="72" t="n">
        <x:v>45673</x:v>
      </x:c>
      <x:c r="D1565" s="73" t="n">
        <x:v>1.5023</x:v>
      </x:c>
      <x:c r="E1565" s="73" t="n">
        <x:v>1.5023</x:v>
      </x:c>
      <x:c r="F1565" s="73" t="n">
        <x:v>1.5023</x:v>
      </x:c>
      <x:c r="G1565" s="74" t="n">
        <x:v>-0.0202</x:v>
      </x:c>
      <x:c r="H1565" s="66" t="str">
        <x:v>滨风风云瑞丰1号净值20260911.xlsx</x:v>
      </x:c>
      <x:c r="I1565" s="73" t="str">
        <x:f>""</x:f>
      </x:c>
      <x:c r="J1565" s="74" t="str">
        <x:f>""</x:f>
      </x:c>
      <x:c r="K1565" s="73" t="n">
        <x:f>MAX(K1564,F1565)</x:f>
        <x:v>1.5332</x:v>
      </x:c>
      <x:c r="L1565" s="74" t="n">
        <x:f>1-F1565/K1565</x:f>
        <x:v>0.020153926428384983</x:v>
      </x:c>
      <x:c r="M1565" s="73" t="n">
        <x:f>MAX(M1564,F1565)</x:f>
        <x:v>1.5332</x:v>
      </x:c>
      <x:c r="N1565" s="74" t="n">
        <x:f>1-F1565/M1565</x:f>
        <x:v>0.020153926428384983</x:v>
      </x:c>
    </x:row>
    <x:row r="1566" ht="27" customHeight="1">
      <x:c r="A1566" s="66" t="str">
        <x:v>SXL267</x:v>
      </x:c>
      <x:c r="B1566" s="66" t="str">
        <x:v>滨风风云瑞丰1号</x:v>
      </x:c>
      <x:c r="C1566" s="72" t="n">
        <x:v>45674</x:v>
      </x:c>
      <x:c r="D1566" s="73" t="n">
        <x:v>1.4906</x:v>
      </x:c>
      <x:c r="E1566" s="73" t="n">
        <x:v>1.4906</x:v>
      </x:c>
      <x:c r="F1566" s="73" t="n">
        <x:v>1.4906</x:v>
      </x:c>
      <x:c r="G1566" s="74" t="n">
        <x:v>-0.0078000000000000005</x:v>
      </x:c>
      <x:c r="H1566" s="66" t="str">
        <x:v>滨风风云瑞丰1号净值20260911.xlsx</x:v>
      </x:c>
      <x:c r="I1566" s="73" t="str">
        <x:f>""</x:f>
      </x:c>
      <x:c r="J1566" s="74" t="str">
        <x:f>""</x:f>
      </x:c>
      <x:c r="K1566" s="73" t="n">
        <x:f>MAX(K1565,F1566)</x:f>
        <x:v>1.5332</x:v>
      </x:c>
      <x:c r="L1566" s="74" t="n">
        <x:f>1-F1566/K1566</x:f>
        <x:v>0.027785024784763857</x:v>
      </x:c>
      <x:c r="M1566" s="73" t="n">
        <x:f>MAX(M1565,F1566)</x:f>
        <x:v>1.5332</x:v>
      </x:c>
      <x:c r="N1566" s="74" t="n">
        <x:f>1-F1566/M1566</x:f>
        <x:v>0.027785024784763857</x:v>
      </x:c>
    </x:row>
    <x:row r="1567" ht="27" customHeight="1">
      <x:c r="A1567" s="66" t="str">
        <x:v>SXL267</x:v>
      </x:c>
      <x:c r="B1567" s="66" t="str">
        <x:v>滨风风云瑞丰1号</x:v>
      </x:c>
      <x:c r="C1567" s="72" t="n">
        <x:v>45677</x:v>
      </x:c>
      <x:c r="D1567" s="73" t="n">
        <x:v>1.4818</x:v>
      </x:c>
      <x:c r="E1567" s="73" t="n">
        <x:v>1.4818</x:v>
      </x:c>
      <x:c r="F1567" s="73" t="n">
        <x:v>1.4818</x:v>
      </x:c>
      <x:c r="G1567" s="74" t="n">
        <x:v>-0.0059</x:v>
      </x:c>
      <x:c r="H1567" s="66" t="str">
        <x:v>滨风风云瑞丰1号净值20260911.xlsx</x:v>
      </x:c>
      <x:c r="I1567" s="73" t="str">
        <x:f>""</x:f>
      </x:c>
      <x:c r="J1567" s="74" t="str">
        <x:f>""</x:f>
      </x:c>
      <x:c r="K1567" s="73" t="n">
        <x:f>MAX(K1566,F1567)</x:f>
        <x:v>1.5332</x:v>
      </x:c>
      <x:c r="L1567" s="74" t="n">
        <x:f>1-F1567/K1567</x:f>
        <x:v>0.033524654317766744</x:v>
      </x:c>
      <x:c r="M1567" s="73" t="n">
        <x:f>MAX(M1566,F1567)</x:f>
        <x:v>1.5332</x:v>
      </x:c>
      <x:c r="N1567" s="74" t="n">
        <x:f>1-F1567/M1567</x:f>
        <x:v>0.033524654317766744</x:v>
      </x:c>
    </x:row>
    <x:row r="1568" ht="27" customHeight="1">
      <x:c r="A1568" s="66" t="str">
        <x:v>SXL267</x:v>
      </x:c>
      <x:c r="B1568" s="66" t="str">
        <x:v>滨风风云瑞丰1号</x:v>
      </x:c>
      <x:c r="C1568" s="72" t="n">
        <x:v>45678</x:v>
      </x:c>
      <x:c r="D1568" s="73" t="n">
        <x:v>1.468</x:v>
      </x:c>
      <x:c r="E1568" s="73" t="n">
        <x:v>1.468</x:v>
      </x:c>
      <x:c r="F1568" s="73" t="n">
        <x:v>1.468</x:v>
      </x:c>
      <x:c r="G1568" s="74" t="n">
        <x:v>-0.009300000000000001</x:v>
      </x:c>
      <x:c r="H1568" s="66" t="str">
        <x:v>滨风风云瑞丰1号净值20260911.xlsx</x:v>
      </x:c>
      <x:c r="I1568" s="73" t="str">
        <x:f>""</x:f>
      </x:c>
      <x:c r="J1568" s="74" t="str">
        <x:f>""</x:f>
      </x:c>
      <x:c r="K1568" s="73" t="n">
        <x:f>MAX(K1567,F1568)</x:f>
        <x:v>1.5332</x:v>
      </x:c>
      <x:c r="L1568" s="74" t="n">
        <x:f>1-F1568/K1568</x:f>
        <x:v>0.04252543699452127</x:v>
      </x:c>
      <x:c r="M1568" s="73" t="n">
        <x:f>MAX(M1567,F1568)</x:f>
        <x:v>1.5332</x:v>
      </x:c>
      <x:c r="N1568" s="74" t="n">
        <x:f>1-F1568/M1568</x:f>
        <x:v>0.04252543699452127</x:v>
      </x:c>
    </x:row>
    <x:row r="1569" ht="27" customHeight="1">
      <x:c r="A1569" s="66" t="str">
        <x:v>SXL267</x:v>
      </x:c>
      <x:c r="B1569" s="66" t="str">
        <x:v>滨风风云瑞丰1号</x:v>
      </x:c>
      <x:c r="C1569" s="72" t="n">
        <x:v>45679</x:v>
      </x:c>
      <x:c r="D1569" s="73" t="n">
        <x:v>1.4657</x:v>
      </x:c>
      <x:c r="E1569" s="73" t="n">
        <x:v>1.4657</x:v>
      </x:c>
      <x:c r="F1569" s="73" t="n">
        <x:v>1.4657</x:v>
      </x:c>
      <x:c r="G1569" s="74" t="n">
        <x:v>-0.0016</x:v>
      </x:c>
      <x:c r="H1569" s="66" t="str">
        <x:v>滨风风云瑞丰1号净值20260911.xlsx</x:v>
      </x:c>
      <x:c r="I1569" s="73" t="str">
        <x:f>""</x:f>
      </x:c>
      <x:c r="J1569" s="74" t="str">
        <x:f>""</x:f>
      </x:c>
      <x:c r="K1569" s="73" t="n">
        <x:f>MAX(K1568,F1569)</x:f>
        <x:v>1.5332</x:v>
      </x:c>
      <x:c r="L1569" s="74" t="n">
        <x:f>1-F1569/K1569</x:f>
        <x:v>0.044025567440646896</x:v>
      </x:c>
      <x:c r="M1569" s="73" t="n">
        <x:f>MAX(M1568,F1569)</x:f>
        <x:v>1.5332</x:v>
      </x:c>
      <x:c r="N1569" s="74" t="n">
        <x:f>1-F1569/M1569</x:f>
        <x:v>0.044025567440646896</x:v>
      </x:c>
    </x:row>
    <x:row r="1570" ht="27" customHeight="1">
      <x:c r="A1570" s="66" t="str">
        <x:v>SXL267</x:v>
      </x:c>
      <x:c r="B1570" s="66" t="str">
        <x:v>滨风风云瑞丰1号</x:v>
      </x:c>
      <x:c r="C1570" s="72" t="n">
        <x:v>45680</x:v>
      </x:c>
      <x:c r="D1570" s="73" t="n">
        <x:v>1.4626</x:v>
      </x:c>
      <x:c r="E1570" s="73" t="n">
        <x:v>1.4626</x:v>
      </x:c>
      <x:c r="F1570" s="73" t="n">
        <x:v>1.4626</x:v>
      </x:c>
      <x:c r="G1570" s="74" t="n">
        <x:v>-0.0021</x:v>
      </x:c>
      <x:c r="H1570" s="66" t="str">
        <x:v>滨风风云瑞丰1号净值20260911.xlsx</x:v>
      </x:c>
      <x:c r="I1570" s="73" t="str">
        <x:f>""</x:f>
      </x:c>
      <x:c r="J1570" s="74" t="str">
        <x:f>""</x:f>
      </x:c>
      <x:c r="K1570" s="73" t="n">
        <x:f>MAX(K1569,F1570)</x:f>
        <x:v>1.5332</x:v>
      </x:c>
      <x:c r="L1570" s="74" t="n">
        <x:f>1-F1570/K1570</x:f>
        <x:v>0.046047482389773076</x:v>
      </x:c>
      <x:c r="M1570" s="73" t="n">
        <x:f>MAX(M1569,F1570)</x:f>
        <x:v>1.5332</x:v>
      </x:c>
      <x:c r="N1570" s="74" t="n">
        <x:f>1-F1570/M1570</x:f>
        <x:v>0.046047482389773076</x:v>
      </x:c>
    </x:row>
    <x:row r="1571" ht="27" customHeight="1">
      <x:c r="A1571" s="66" t="str">
        <x:v>SXL267</x:v>
      </x:c>
      <x:c r="B1571" s="66" t="str">
        <x:v>滨风风云瑞丰1号</x:v>
      </x:c>
      <x:c r="C1571" s="72" t="n">
        <x:v>45681</x:v>
      </x:c>
      <x:c r="D1571" s="73" t="n">
        <x:v>1.4639</x:v>
      </x:c>
      <x:c r="E1571" s="73" t="n">
        <x:v>1.4639</x:v>
      </x:c>
      <x:c r="F1571" s="73" t="n">
        <x:v>1.4639</x:v>
      </x:c>
      <x:c r="G1571" s="74" t="n">
        <x:v>0.0009</x:v>
      </x:c>
      <x:c r="H1571" s="66" t="str">
        <x:v>滨风风云瑞丰1号净值20260911.xlsx</x:v>
      </x:c>
      <x:c r="I1571" s="73" t="str">
        <x:f>""</x:f>
      </x:c>
      <x:c r="J1571" s="74" t="str">
        <x:f>""</x:f>
      </x:c>
      <x:c r="K1571" s="73" t="n">
        <x:f>MAX(K1570,F1571)</x:f>
        <x:v>1.5332</x:v>
      </x:c>
      <x:c r="L1571" s="74" t="n">
        <x:f>1-F1571/K1571</x:f>
        <x:v>0.045199582572397534</x:v>
      </x:c>
      <x:c r="M1571" s="73" t="n">
        <x:f>MAX(M1570,F1571)</x:f>
        <x:v>1.5332</x:v>
      </x:c>
      <x:c r="N1571" s="74" t="n">
        <x:f>1-F1571/M1571</x:f>
        <x:v>0.045199582572397534</x:v>
      </x:c>
    </x:row>
    <x:row r="1572" ht="27" customHeight="1">
      <x:c r="A1572" s="66" t="str">
        <x:v>SXL267</x:v>
      </x:c>
      <x:c r="B1572" s="66" t="str">
        <x:v>滨风风云瑞丰1号</x:v>
      </x:c>
      <x:c r="C1572" s="72" t="n">
        <x:v>45684</x:v>
      </x:c>
      <x:c r="D1572" s="73" t="n">
        <x:v>1.453</x:v>
      </x:c>
      <x:c r="E1572" s="73" t="n">
        <x:v>1.453</x:v>
      </x:c>
      <x:c r="F1572" s="73" t="n">
        <x:v>1.453</x:v>
      </x:c>
      <x:c r="G1572" s="74" t="n">
        <x:v>-0.0074</x:v>
      </x:c>
      <x:c r="H1572" s="66" t="str">
        <x:v>滨风风云瑞丰1号净值20260911.xlsx</x:v>
      </x:c>
      <x:c r="I1572" s="73" t="str">
        <x:f>""</x:f>
      </x:c>
      <x:c r="J1572" s="74" t="str">
        <x:f>""</x:f>
      </x:c>
      <x:c r="K1572" s="73" t="n">
        <x:f>MAX(K1571,F1572)</x:f>
        <x:v>1.5332</x:v>
      </x:c>
      <x:c r="L1572" s="74" t="n">
        <x:f>1-F1572/K1572</x:f>
        <x:v>0.052308896425776075</x:v>
      </x:c>
      <x:c r="M1572" s="73" t="n">
        <x:f>MAX(M1571,F1572)</x:f>
        <x:v>1.5332</x:v>
      </x:c>
      <x:c r="N1572" s="74" t="n">
        <x:f>1-F1572/M1572</x:f>
        <x:v>0.052308896425776075</x:v>
      </x:c>
    </x:row>
    <x:row r="1573" ht="27" customHeight="1">
      <x:c r="A1573" s="66" t="str">
        <x:v>SXL267</x:v>
      </x:c>
      <x:c r="B1573" s="66" t="str">
        <x:v>滨风风云瑞丰1号</x:v>
      </x:c>
      <x:c r="C1573" s="72" t="n">
        <x:v>45693</x:v>
      </x:c>
      <x:c r="D1573" s="73" t="n">
        <x:v>1.464</x:v>
      </x:c>
      <x:c r="E1573" s="73" t="n">
        <x:v>1.464</x:v>
      </x:c>
      <x:c r="F1573" s="73" t="n">
        <x:v>1.464</x:v>
      </x:c>
      <x:c r="G1573" s="74" t="n">
        <x:v>0.0076</x:v>
      </x:c>
      <x:c r="H1573" s="66" t="str">
        <x:v>滨风风云瑞丰1号净值20260911.xlsx</x:v>
      </x:c>
      <x:c r="I1573" s="73" t="str">
        <x:f>""</x:f>
      </x:c>
      <x:c r="J1573" s="74" t="str">
        <x:f>""</x:f>
      </x:c>
      <x:c r="K1573" s="73" t="n">
        <x:f>MAX(K1572,F1573)</x:f>
        <x:v>1.5332</x:v>
      </x:c>
      <x:c r="L1573" s="74" t="n">
        <x:f>1-F1573/K1573</x:f>
        <x:v>0.04513435950952249</x:v>
      </x:c>
      <x:c r="M1573" s="73" t="n">
        <x:f>MAX(M1572,F1573)</x:f>
        <x:v>1.5332</x:v>
      </x:c>
      <x:c r="N1573" s="74" t="n">
        <x:f>1-F1573/M1573</x:f>
        <x:v>0.04513435950952249</x:v>
      </x:c>
    </x:row>
    <x:row r="1574" ht="27" customHeight="1">
      <x:c r="A1574" s="66" t="str">
        <x:v>SXL267</x:v>
      </x:c>
      <x:c r="B1574" s="66" t="str">
        <x:v>滨风风云瑞丰1号</x:v>
      </x:c>
      <x:c r="C1574" s="72" t="n">
        <x:v>45694</x:v>
      </x:c>
      <x:c r="D1574" s="73" t="n">
        <x:v>1.4847</x:v>
      </x:c>
      <x:c r="E1574" s="73" t="n">
        <x:v>1.4847</x:v>
      </x:c>
      <x:c r="F1574" s="73" t="n">
        <x:v>1.4847</x:v>
      </x:c>
      <x:c r="G1574" s="74" t="n">
        <x:v>0.0141</x:v>
      </x:c>
      <x:c r="H1574" s="66" t="str">
        <x:v>滨风风云瑞丰1号净值20260911.xlsx</x:v>
      </x:c>
      <x:c r="I1574" s="73" t="str">
        <x:f>""</x:f>
      </x:c>
      <x:c r="J1574" s="74" t="str">
        <x:f>""</x:f>
      </x:c>
      <x:c r="K1574" s="73" t="n">
        <x:f>MAX(K1573,F1574)</x:f>
        <x:v>1.5332</x:v>
      </x:c>
      <x:c r="L1574" s="74" t="n">
        <x:f>1-F1574/K1574</x:f>
        <x:v>0.03163318549439076</x:v>
      </x:c>
      <x:c r="M1574" s="73" t="n">
        <x:f>MAX(M1573,F1574)</x:f>
        <x:v>1.5332</x:v>
      </x:c>
      <x:c r="N1574" s="74" t="n">
        <x:f>1-F1574/M1574</x:f>
        <x:v>0.03163318549439076</x:v>
      </x:c>
    </x:row>
    <x:row r="1575" ht="27" customHeight="1">
      <x:c r="A1575" s="66" t="str">
        <x:v>SXL267</x:v>
      </x:c>
      <x:c r="B1575" s="66" t="str">
        <x:v>滨风风云瑞丰1号</x:v>
      </x:c>
      <x:c r="C1575" s="72" t="n">
        <x:v>45695</x:v>
      </x:c>
      <x:c r="D1575" s="73" t="n">
        <x:v>1.5119</x:v>
      </x:c>
      <x:c r="E1575" s="73" t="n">
        <x:v>1.5119</x:v>
      </x:c>
      <x:c r="F1575" s="73" t="n">
        <x:v>1.5119</x:v>
      </x:c>
      <x:c r="G1575" s="74" t="n">
        <x:v>0.0183</x:v>
      </x:c>
      <x:c r="H1575" s="66" t="str">
        <x:v>滨风风云瑞丰1号净值20260911.xlsx</x:v>
      </x:c>
      <x:c r="I1575" s="73" t="str">
        <x:f>""</x:f>
      </x:c>
      <x:c r="J1575" s="74" t="str">
        <x:f>""</x:f>
      </x:c>
      <x:c r="K1575" s="73" t="n">
        <x:f>MAX(K1574,F1575)</x:f>
        <x:v>1.5332</x:v>
      </x:c>
      <x:c r="L1575" s="74" t="n">
        <x:f>1-F1575/K1575</x:f>
        <x:v>0.013892512392381873</x:v>
      </x:c>
      <x:c r="M1575" s="73" t="n">
        <x:f>MAX(M1574,F1575)</x:f>
        <x:v>1.5332</x:v>
      </x:c>
      <x:c r="N1575" s="74" t="n">
        <x:f>1-F1575/M1575</x:f>
        <x:v>0.013892512392381873</x:v>
      </x:c>
    </x:row>
    <x:row r="1576" ht="27" customHeight="1">
      <x:c r="A1576" s="66" t="str">
        <x:v>SXL267</x:v>
      </x:c>
      <x:c r="B1576" s="66" t="str">
        <x:v>滨风风云瑞丰1号</x:v>
      </x:c>
      <x:c r="C1576" s="72" t="n">
        <x:v>45698</x:v>
      </x:c>
      <x:c r="D1576" s="73" t="n">
        <x:v>1.5563</x:v>
      </x:c>
      <x:c r="E1576" s="73" t="n">
        <x:v>1.5563</x:v>
      </x:c>
      <x:c r="F1576" s="73" t="n">
        <x:v>1.5563</x:v>
      </x:c>
      <x:c r="G1576" s="74" t="n">
        <x:v>0.0294</x:v>
      </x:c>
      <x:c r="H1576" s="66" t="str">
        <x:v>滨风风云瑞丰1号净值20260911.xlsx</x:v>
      </x:c>
      <x:c r="I1576" s="73" t="str">
        <x:f>""</x:f>
      </x:c>
      <x:c r="J1576" s="74" t="str">
        <x:f>""</x:f>
      </x:c>
      <x:c r="K1576" s="73" t="n">
        <x:f>MAX(K1575,F1576)</x:f>
        <x:v>1.5563</x:v>
      </x:c>
      <x:c r="L1576" s="74" t="n">
        <x:f>1-F1576/K1576</x:f>
        <x:v>0</x:v>
      </x:c>
      <x:c r="M1576" s="73" t="n">
        <x:f>MAX(M1575,F1576)</x:f>
        <x:v>1.5563</x:v>
      </x:c>
      <x:c r="N1576" s="74" t="n">
        <x:f>1-F1576/M1576</x:f>
        <x:v>0</x:v>
      </x:c>
    </x:row>
    <x:row r="1577" ht="27" customHeight="1">
      <x:c r="A1577" s="66" t="str">
        <x:v>SXL267</x:v>
      </x:c>
      <x:c r="B1577" s="66" t="str">
        <x:v>滨风风云瑞丰1号</x:v>
      </x:c>
      <x:c r="C1577" s="72" t="n">
        <x:v>45699</x:v>
      </x:c>
      <x:c r="D1577" s="73" t="n">
        <x:v>1.5603</x:v>
      </x:c>
      <x:c r="E1577" s="73" t="n">
        <x:v>1.5603</x:v>
      </x:c>
      <x:c r="F1577" s="73" t="n">
        <x:v>1.5603</x:v>
      </x:c>
      <x:c r="G1577" s="74" t="n">
        <x:v>0.0026</x:v>
      </x:c>
      <x:c r="H1577" s="66" t="str">
        <x:v>滨风风云瑞丰1号净值20260911.xlsx</x:v>
      </x:c>
      <x:c r="I1577" s="73" t="str">
        <x:f>""</x:f>
      </x:c>
      <x:c r="J1577" s="74" t="str">
        <x:f>""</x:f>
      </x:c>
      <x:c r="K1577" s="73" t="n">
        <x:f>MAX(K1576,F1577)</x:f>
        <x:v>1.5603</x:v>
      </x:c>
      <x:c r="L1577" s="74" t="n">
        <x:f>1-F1577/K1577</x:f>
        <x:v>0</x:v>
      </x:c>
      <x:c r="M1577" s="73" t="n">
        <x:f>MAX(M1576,F1577)</x:f>
        <x:v>1.5603</x:v>
      </x:c>
      <x:c r="N1577" s="74" t="n">
        <x:f>1-F1577/M1577</x:f>
        <x:v>0</x:v>
      </x:c>
    </x:row>
    <x:row r="1578" ht="27" customHeight="1">
      <x:c r="A1578" s="66" t="str">
        <x:v>SXL267</x:v>
      </x:c>
      <x:c r="B1578" s="66" t="str">
        <x:v>滨风风云瑞丰1号</x:v>
      </x:c>
      <x:c r="C1578" s="72" t="n">
        <x:v>45700</x:v>
      </x:c>
      <x:c r="D1578" s="73" t="n">
        <x:v>1.5579</x:v>
      </x:c>
      <x:c r="E1578" s="73" t="n">
        <x:v>1.5579</x:v>
      </x:c>
      <x:c r="F1578" s="73" t="n">
        <x:v>1.5579</x:v>
      </x:c>
      <x:c r="G1578" s="74" t="n">
        <x:v>-0.0015</x:v>
      </x:c>
      <x:c r="H1578" s="66" t="str">
        <x:v>滨风风云瑞丰1号净值20260911.xlsx</x:v>
      </x:c>
      <x:c r="I1578" s="73" t="str">
        <x:f>""</x:f>
      </x:c>
      <x:c r="J1578" s="74" t="str">
        <x:f>""</x:f>
      </x:c>
      <x:c r="K1578" s="73" t="n">
        <x:f>MAX(K1577,F1578)</x:f>
        <x:v>1.5603</x:v>
      </x:c>
      <x:c r="L1578" s="74" t="n">
        <x:f>1-F1578/K1578</x:f>
        <x:v>0.0015381657373582103</x:v>
      </x:c>
      <x:c r="M1578" s="73" t="n">
        <x:f>MAX(M1577,F1578)</x:f>
        <x:v>1.5603</x:v>
      </x:c>
      <x:c r="N1578" s="74" t="n">
        <x:f>1-F1578/M1578</x:f>
        <x:v>0.0015381657373582103</x:v>
      </x:c>
    </x:row>
    <x:row r="1579" ht="27" customHeight="1">
      <x:c r="A1579" s="66" t="str">
        <x:v>SXL267</x:v>
      </x:c>
      <x:c r="B1579" s="66" t="str">
        <x:v>滨风风云瑞丰1号</x:v>
      </x:c>
      <x:c r="C1579" s="72" t="n">
        <x:v>45701</x:v>
      </x:c>
      <x:c r="D1579" s="73" t="n">
        <x:v>1.5452</x:v>
      </x:c>
      <x:c r="E1579" s="73" t="n">
        <x:v>1.5452</x:v>
      </x:c>
      <x:c r="F1579" s="73" t="n">
        <x:v>1.5452</x:v>
      </x:c>
      <x:c r="G1579" s="74" t="n">
        <x:v>-0.008199999999999999</x:v>
      </x:c>
      <x:c r="H1579" s="66" t="str">
        <x:v>滨风风云瑞丰1号净值20260911.xlsx</x:v>
      </x:c>
      <x:c r="I1579" s="73" t="str">
        <x:f>""</x:f>
      </x:c>
      <x:c r="J1579" s="74" t="str">
        <x:f>""</x:f>
      </x:c>
      <x:c r="K1579" s="73" t="n">
        <x:f>MAX(K1578,F1579)</x:f>
        <x:v>1.5603</x:v>
      </x:c>
      <x:c r="L1579" s="74" t="n">
        <x:f>1-F1579/K1579</x:f>
        <x:v>0.009677626097545411</x:v>
      </x:c>
      <x:c r="M1579" s="73" t="n">
        <x:f>MAX(M1578,F1579)</x:f>
        <x:v>1.5603</x:v>
      </x:c>
      <x:c r="N1579" s="74" t="n">
        <x:f>1-F1579/M1579</x:f>
        <x:v>0.009677626097545411</x:v>
      </x:c>
    </x:row>
    <x:row r="1580" ht="27" customHeight="1">
      <x:c r="A1580" s="66" t="str">
        <x:v>SXL267</x:v>
      </x:c>
      <x:c r="B1580" s="66" t="str">
        <x:v>滨风风云瑞丰1号</x:v>
      </x:c>
      <x:c r="C1580" s="72" t="n">
        <x:v>45702</x:v>
      </x:c>
      <x:c r="D1580" s="73" t="n">
        <x:v>1.5448</x:v>
      </x:c>
      <x:c r="E1580" s="73" t="n">
        <x:v>1.5448</x:v>
      </x:c>
      <x:c r="F1580" s="73" t="n">
        <x:v>1.5448</x:v>
      </x:c>
      <x:c r="G1580" s="74" t="n">
        <x:v>-0.0003</x:v>
      </x:c>
      <x:c r="H1580" s="66" t="str">
        <x:v>滨风风云瑞丰1号净值20260911.xlsx</x:v>
      </x:c>
      <x:c r="I1580" s="73" t="str">
        <x:f>""</x:f>
      </x:c>
      <x:c r="J1580" s="74" t="str">
        <x:f>""</x:f>
      </x:c>
      <x:c r="K1580" s="73" t="n">
        <x:f>MAX(K1579,F1580)</x:f>
        <x:v>1.5603</x:v>
      </x:c>
      <x:c r="L1580" s="74" t="n">
        <x:f>1-F1580/K1580</x:f>
        <x:v>0.009933987053771798</x:v>
      </x:c>
      <x:c r="M1580" s="73" t="n">
        <x:f>MAX(M1579,F1580)</x:f>
        <x:v>1.5603</x:v>
      </x:c>
      <x:c r="N1580" s="74" t="n">
        <x:f>1-F1580/M1580</x:f>
        <x:v>0.009933987053771798</x:v>
      </x:c>
    </x:row>
    <x:row r="1581" ht="27" customHeight="1">
      <x:c r="A1581" s="66" t="str">
        <x:v>SXL267</x:v>
      </x:c>
      <x:c r="B1581" s="66" t="str">
        <x:v>滨风风云瑞丰1号</x:v>
      </x:c>
      <x:c r="C1581" s="72" t="n">
        <x:v>45705</x:v>
      </x:c>
      <x:c r="D1581" s="73" t="n">
        <x:v>1.529</x:v>
      </x:c>
      <x:c r="E1581" s="73" t="n">
        <x:v>1.529</x:v>
      </x:c>
      <x:c r="F1581" s="73" t="n">
        <x:v>1.529</x:v>
      </x:c>
      <x:c r="G1581" s="74" t="n">
        <x:v>-0.0102</x:v>
      </x:c>
      <x:c r="H1581" s="66" t="str">
        <x:v>滨风风云瑞丰1号净值20260911.xlsx</x:v>
      </x:c>
      <x:c r="I1581" s="73" t="str">
        <x:f>""</x:f>
      </x:c>
      <x:c r="J1581" s="74" t="str">
        <x:f>""</x:f>
      </x:c>
      <x:c r="K1581" s="73" t="n">
        <x:f>MAX(K1580,F1581)</x:f>
        <x:v>1.5603</x:v>
      </x:c>
      <x:c r="L1581" s="74" t="n">
        <x:f>1-F1581/K1581</x:f>
        <x:v>0.020060244824713247</x:v>
      </x:c>
      <x:c r="M1581" s="73" t="n">
        <x:f>MAX(M1580,F1581)</x:f>
        <x:v>1.5603</x:v>
      </x:c>
      <x:c r="N1581" s="74" t="n">
        <x:f>1-F1581/M1581</x:f>
        <x:v>0.020060244824713247</x:v>
      </x:c>
    </x:row>
    <x:row r="1582" ht="27" customHeight="1">
      <x:c r="A1582" s="66" t="str">
        <x:v>SXL267</x:v>
      </x:c>
      <x:c r="B1582" s="66" t="str">
        <x:v>滨风风云瑞丰1号</x:v>
      </x:c>
      <x:c r="C1582" s="72" t="n">
        <x:v>45706</x:v>
      </x:c>
      <x:c r="D1582" s="73" t="n">
        <x:v>1.5186</x:v>
      </x:c>
      <x:c r="E1582" s="73" t="n">
        <x:v>1.5186</x:v>
      </x:c>
      <x:c r="F1582" s="73" t="n">
        <x:v>1.5186</x:v>
      </x:c>
      <x:c r="G1582" s="74" t="n">
        <x:v>-0.0068000000000000005</x:v>
      </x:c>
      <x:c r="H1582" s="66" t="str">
        <x:v>滨风风云瑞丰1号净值20260911.xlsx</x:v>
      </x:c>
      <x:c r="I1582" s="73" t="str">
        <x:f>""</x:f>
      </x:c>
      <x:c r="J1582" s="74" t="str">
        <x:f>""</x:f>
      </x:c>
      <x:c r="K1582" s="73" t="n">
        <x:f>MAX(K1581,F1582)</x:f>
        <x:v>1.5603</x:v>
      </x:c>
      <x:c r="L1582" s="74" t="n">
        <x:f>1-F1582/K1582</x:f>
        <x:v>0.02672562968659875</x:v>
      </x:c>
      <x:c r="M1582" s="73" t="n">
        <x:f>MAX(M1581,F1582)</x:f>
        <x:v>1.5603</x:v>
      </x:c>
      <x:c r="N1582" s="74" t="n">
        <x:f>1-F1582/M1582</x:f>
        <x:v>0.02672562968659875</x:v>
      </x:c>
    </x:row>
    <x:row r="1583" ht="27" customHeight="1">
      <x:c r="A1583" s="66" t="str">
        <x:v>SXL267</x:v>
      </x:c>
      <x:c r="B1583" s="66" t="str">
        <x:v>滨风风云瑞丰1号</x:v>
      </x:c>
      <x:c r="C1583" s="72" t="n">
        <x:v>45707</x:v>
      </x:c>
      <x:c r="D1583" s="73" t="n">
        <x:v>1.5268</x:v>
      </x:c>
      <x:c r="E1583" s="73" t="n">
        <x:v>1.5268</x:v>
      </x:c>
      <x:c r="F1583" s="73" t="n">
        <x:v>1.5268</x:v>
      </x:c>
      <x:c r="G1583" s="74" t="n">
        <x:v>0.0054</x:v>
      </x:c>
      <x:c r="H1583" s="66" t="str">
        <x:v>滨风风云瑞丰1号净值20260911.xlsx</x:v>
      </x:c>
      <x:c r="I1583" s="73" t="str">
        <x:f>""</x:f>
      </x:c>
      <x:c r="J1583" s="74" t="str">
        <x:f>""</x:f>
      </x:c>
      <x:c r="K1583" s="73" t="n">
        <x:f>MAX(K1582,F1583)</x:f>
        <x:v>1.5603</x:v>
      </x:c>
      <x:c r="L1583" s="74" t="n">
        <x:f>1-F1583/K1583</x:f>
        <x:v>0.02147023008395832</x:v>
      </x:c>
      <x:c r="M1583" s="73" t="n">
        <x:f>MAX(M1582,F1583)</x:f>
        <x:v>1.5603</x:v>
      </x:c>
      <x:c r="N1583" s="74" t="n">
        <x:f>1-F1583/M1583</x:f>
        <x:v>0.02147023008395832</x:v>
      </x:c>
    </x:row>
    <x:row r="1584" ht="27" customHeight="1">
      <x:c r="A1584" s="66" t="str">
        <x:v>SXL267</x:v>
      </x:c>
      <x:c r="B1584" s="66" t="str">
        <x:v>滨风风云瑞丰1号</x:v>
      </x:c>
      <x:c r="C1584" s="72" t="n">
        <x:v>45708</x:v>
      </x:c>
      <x:c r="D1584" s="73" t="n">
        <x:v>1.5201</x:v>
      </x:c>
      <x:c r="E1584" s="73" t="n">
        <x:v>1.5201</x:v>
      </x:c>
      <x:c r="F1584" s="73" t="n">
        <x:v>1.5201</x:v>
      </x:c>
      <x:c r="G1584" s="74" t="n">
        <x:v>-0.0044</x:v>
      </x:c>
      <x:c r="H1584" s="66" t="str">
        <x:v>滨风风云瑞丰1号净值20260911.xlsx</x:v>
      </x:c>
      <x:c r="I1584" s="73" t="str">
        <x:f>""</x:f>
      </x:c>
      <x:c r="J1584" s="74" t="str">
        <x:f>""</x:f>
      </x:c>
      <x:c r="K1584" s="73" t="n">
        <x:f>MAX(K1583,F1584)</x:f>
        <x:v>1.5603</x:v>
      </x:c>
      <x:c r="L1584" s="74" t="n">
        <x:f>1-F1584/K1584</x:f>
        <x:v>0.025764276100749828</x:v>
      </x:c>
      <x:c r="M1584" s="73" t="n">
        <x:f>MAX(M1583,F1584)</x:f>
        <x:v>1.5603</x:v>
      </x:c>
      <x:c r="N1584" s="74" t="n">
        <x:f>1-F1584/M1584</x:f>
        <x:v>0.025764276100749828</x:v>
      </x:c>
    </x:row>
    <x:row r="1585" ht="27" customHeight="1">
      <x:c r="A1585" s="66" t="str">
        <x:v>SXL267</x:v>
      </x:c>
      <x:c r="B1585" s="66" t="str">
        <x:v>滨风风云瑞丰1号</x:v>
      </x:c>
      <x:c r="C1585" s="72" t="n">
        <x:v>45709</x:v>
      </x:c>
      <x:c r="D1585" s="73" t="n">
        <x:v>1.5485</x:v>
      </x:c>
      <x:c r="E1585" s="73" t="n">
        <x:v>1.5485</x:v>
      </x:c>
      <x:c r="F1585" s="73" t="n">
        <x:v>1.5485</x:v>
      </x:c>
      <x:c r="G1585" s="74" t="n">
        <x:v>0.0187</x:v>
      </x:c>
      <x:c r="H1585" s="66" t="str">
        <x:v>滨风风云瑞丰1号净值20260911.xlsx</x:v>
      </x:c>
      <x:c r="I1585" s="73" t="str">
        <x:f>""</x:f>
      </x:c>
      <x:c r="J1585" s="74" t="str">
        <x:f>""</x:f>
      </x:c>
      <x:c r="K1585" s="73" t="n">
        <x:f>MAX(K1584,F1585)</x:f>
        <x:v>1.5603</x:v>
      </x:c>
      <x:c r="L1585" s="74" t="n">
        <x:f>1-F1585/K1585</x:f>
        <x:v>0.007562648208677802</x:v>
      </x:c>
      <x:c r="M1585" s="73" t="n">
        <x:f>MAX(M1584,F1585)</x:f>
        <x:v>1.5603</x:v>
      </x:c>
      <x:c r="N1585" s="74" t="n">
        <x:f>1-F1585/M1585</x:f>
        <x:v>0.007562648208677802</x:v>
      </x:c>
    </x:row>
    <x:row r="1586" ht="27" customHeight="1">
      <x:c r="A1586" s="66" t="str">
        <x:v>SXL267</x:v>
      </x:c>
      <x:c r="B1586" s="66" t="str">
        <x:v>滨风风云瑞丰1号</x:v>
      </x:c>
      <x:c r="C1586" s="72" t="n">
        <x:v>45712</x:v>
      </x:c>
      <x:c r="D1586" s="73" t="n">
        <x:v>1.5283</x:v>
      </x:c>
      <x:c r="E1586" s="73" t="n">
        <x:v>1.5283</x:v>
      </x:c>
      <x:c r="F1586" s="73" t="n">
        <x:v>1.5283</x:v>
      </x:c>
      <x:c r="G1586" s="74" t="n">
        <x:v>-0.013000000000000001</x:v>
      </x:c>
      <x:c r="H1586" s="66" t="str">
        <x:v>滨风风云瑞丰1号净值20260911.xlsx</x:v>
      </x:c>
      <x:c r="I1586" s="73" t="str">
        <x:f>""</x:f>
      </x:c>
      <x:c r="J1586" s="74" t="str">
        <x:f>""</x:f>
      </x:c>
      <x:c r="K1586" s="73" t="n">
        <x:f>MAX(K1585,F1586)</x:f>
        <x:v>1.5603</x:v>
      </x:c>
      <x:c r="L1586" s="74" t="n">
        <x:f>1-F1586/K1586</x:f>
        <x:v>0.020508876498109396</x:v>
      </x:c>
      <x:c r="M1586" s="73" t="n">
        <x:f>MAX(M1585,F1586)</x:f>
        <x:v>1.5603</x:v>
      </x:c>
      <x:c r="N1586" s="74" t="n">
        <x:f>1-F1586/M1586</x:f>
        <x:v>0.020508876498109396</x:v>
      </x:c>
    </x:row>
    <x:row r="1587" ht="27" customHeight="1">
      <x:c r="A1587" s="66" t="str">
        <x:v>SXL267</x:v>
      </x:c>
      <x:c r="B1587" s="66" t="str">
        <x:v>滨风风云瑞丰1号</x:v>
      </x:c>
      <x:c r="C1587" s="72" t="n">
        <x:v>45713</x:v>
      </x:c>
      <x:c r="D1587" s="73" t="n">
        <x:v>1.5244</x:v>
      </x:c>
      <x:c r="E1587" s="73" t="n">
        <x:v>1.5244</x:v>
      </x:c>
      <x:c r="F1587" s="73" t="n">
        <x:v>1.5244</x:v>
      </x:c>
      <x:c r="G1587" s="74" t="n">
        <x:v>-0.0026</x:v>
      </x:c>
      <x:c r="H1587" s="66" t="str">
        <x:v>滨风风云瑞丰1号净值20260911.xlsx</x:v>
      </x:c>
      <x:c r="I1587" s="73" t="str">
        <x:f>""</x:f>
      </x:c>
      <x:c r="J1587" s="74" t="str">
        <x:f>""</x:f>
      </x:c>
      <x:c r="K1587" s="73" t="n">
        <x:f>MAX(K1586,F1587)</x:f>
        <x:v>1.5603</x:v>
      </x:c>
      <x:c r="L1587" s="74" t="n">
        <x:f>1-F1587/K1587</x:f>
        <x:v>0.02300839582131642</x:v>
      </x:c>
      <x:c r="M1587" s="73" t="n">
        <x:f>MAX(M1586,F1587)</x:f>
        <x:v>1.5603</x:v>
      </x:c>
      <x:c r="N1587" s="74" t="n">
        <x:f>1-F1587/M1587</x:f>
        <x:v>0.02300839582131642</x:v>
      </x:c>
    </x:row>
    <x:row r="1588" ht="27" customHeight="1">
      <x:c r="A1588" s="66" t="str">
        <x:v>SXL267</x:v>
      </x:c>
      <x:c r="B1588" s="66" t="str">
        <x:v>滨风风云瑞丰1号</x:v>
      </x:c>
      <x:c r="C1588" s="72" t="n">
        <x:v>45714</x:v>
      </x:c>
      <x:c r="D1588" s="73" t="n">
        <x:v>1.5333</x:v>
      </x:c>
      <x:c r="E1588" s="73" t="n">
        <x:v>1.5333</x:v>
      </x:c>
      <x:c r="F1588" s="73" t="n">
        <x:v>1.5333</x:v>
      </x:c>
      <x:c r="G1588" s="74" t="n">
        <x:v>0.0058</x:v>
      </x:c>
      <x:c r="H1588" s="66" t="str">
        <x:v>滨风风云瑞丰1号净值20260911.xlsx</x:v>
      </x:c>
      <x:c r="I1588" s="73" t="str">
        <x:f>""</x:f>
      </x:c>
      <x:c r="J1588" s="74" t="str">
        <x:f>""</x:f>
      </x:c>
      <x:c r="K1588" s="73" t="n">
        <x:f>MAX(K1587,F1588)</x:f>
        <x:v>1.5603</x:v>
      </x:c>
      <x:c r="L1588" s="74" t="n">
        <x:f>1-F1588/K1588</x:f>
        <x:v>0.017304364545279727</x:v>
      </x:c>
      <x:c r="M1588" s="73" t="n">
        <x:f>MAX(M1587,F1588)</x:f>
        <x:v>1.5603</x:v>
      </x:c>
      <x:c r="N1588" s="74" t="n">
        <x:f>1-F1588/M1588</x:f>
        <x:v>0.017304364545279727</x:v>
      </x:c>
    </x:row>
    <x:row r="1589" ht="27" customHeight="1">
      <x:c r="A1589" s="66" t="str">
        <x:v>SXL267</x:v>
      </x:c>
      <x:c r="B1589" s="66" t="str">
        <x:v>滨风风云瑞丰1号</x:v>
      </x:c>
      <x:c r="C1589" s="72" t="n">
        <x:v>45715</x:v>
      </x:c>
      <x:c r="D1589" s="73" t="n">
        <x:v>1.5223</x:v>
      </x:c>
      <x:c r="E1589" s="73" t="n">
        <x:v>1.5223</x:v>
      </x:c>
      <x:c r="F1589" s="73" t="n">
        <x:v>1.5223</x:v>
      </x:c>
      <x:c r="G1589" s="74" t="n">
        <x:v>-0.0072</x:v>
      </x:c>
      <x:c r="H1589" s="66" t="str">
        <x:v>滨风风云瑞丰1号净值20260911.xlsx</x:v>
      </x:c>
      <x:c r="I1589" s="73" t="str">
        <x:f>""</x:f>
      </x:c>
      <x:c r="J1589" s="74" t="str">
        <x:f>""</x:f>
      </x:c>
      <x:c r="K1589" s="73" t="n">
        <x:f>MAX(K1588,F1589)</x:f>
        <x:v>1.5603</x:v>
      </x:c>
      <x:c r="L1589" s="74" t="n">
        <x:f>1-F1589/K1589</x:f>
        <x:v>0.024354290841504866</x:v>
      </x:c>
      <x:c r="M1589" s="73" t="n">
        <x:f>MAX(M1588,F1589)</x:f>
        <x:v>1.5603</x:v>
      </x:c>
      <x:c r="N1589" s="74" t="n">
        <x:f>1-F1589/M1589</x:f>
        <x:v>0.024354290841504866</x:v>
      </x:c>
    </x:row>
    <x:row r="1590" ht="27" customHeight="1">
      <x:c r="A1590" s="66" t="str">
        <x:v>SXL267</x:v>
      </x:c>
      <x:c r="B1590" s="66" t="str">
        <x:v>滨风风云瑞丰1号</x:v>
      </x:c>
      <x:c r="C1590" s="72" t="n">
        <x:v>45716</x:v>
      </x:c>
      <x:c r="D1590" s="73" t="n">
        <x:v>1.5321</x:v>
      </x:c>
      <x:c r="E1590" s="73" t="n">
        <x:v>1.5321</x:v>
      </x:c>
      <x:c r="F1590" s="73" t="n">
        <x:v>1.5321</x:v>
      </x:c>
      <x:c r="G1590" s="74" t="n">
        <x:v>0.0064</x:v>
      </x:c>
      <x:c r="H1590" s="66" t="str">
        <x:v>滨风风云瑞丰1号净值20260911.xlsx</x:v>
      </x:c>
      <x:c r="I1590" s="73" t="str">
        <x:f>""</x:f>
      </x:c>
      <x:c r="J1590" s="74" t="str">
        <x:f>""</x:f>
      </x:c>
      <x:c r="K1590" s="73" t="n">
        <x:f>MAX(K1589,F1590)</x:f>
        <x:v>1.5603</x:v>
      </x:c>
      <x:c r="L1590" s="74" t="n">
        <x:f>1-F1590/K1590</x:f>
        <x:v>0.018073447413958887</x:v>
      </x:c>
      <x:c r="M1590" s="73" t="n">
        <x:f>MAX(M1589,F1590)</x:f>
        <x:v>1.5603</x:v>
      </x:c>
      <x:c r="N1590" s="74" t="n">
        <x:f>1-F1590/M1590</x:f>
        <x:v>0.018073447413958887</x:v>
      </x:c>
    </x:row>
    <x:row r="1591" ht="27" customHeight="1">
      <x:c r="A1591" s="66" t="str">
        <x:v>SXL267</x:v>
      </x:c>
      <x:c r="B1591" s="66" t="str">
        <x:v>滨风风云瑞丰1号</x:v>
      </x:c>
      <x:c r="C1591" s="72" t="n">
        <x:v>45719</x:v>
      </x:c>
      <x:c r="D1591" s="73" t="n">
        <x:v>1.5065</x:v>
      </x:c>
      <x:c r="E1591" s="73" t="n">
        <x:v>1.5065</x:v>
      </x:c>
      <x:c r="F1591" s="73" t="n">
        <x:v>1.5065</x:v>
      </x:c>
      <x:c r="G1591" s="74" t="n">
        <x:v>-0.0167</x:v>
      </x:c>
      <x:c r="H1591" s="66" t="str">
        <x:v>滨风风云瑞丰1号净值20260911.xlsx</x:v>
      </x:c>
      <x:c r="I1591" s="73" t="str">
        <x:f>""</x:f>
      </x:c>
      <x:c r="J1591" s="74" t="str">
        <x:f>""</x:f>
      </x:c>
      <x:c r="K1591" s="73" t="n">
        <x:f>MAX(K1590,F1591)</x:f>
        <x:v>1.5603</x:v>
      </x:c>
      <x:c r="L1591" s="74" t="n">
        <x:f>1-F1591/K1591</x:f>
        <x:v>0.034480548612446316</x:v>
      </x:c>
      <x:c r="M1591" s="73" t="n">
        <x:f>MAX(M1590,F1591)</x:f>
        <x:v>1.5603</x:v>
      </x:c>
      <x:c r="N1591" s="74" t="n">
        <x:f>1-F1591/M1591</x:f>
        <x:v>0.034480548612446316</x:v>
      </x:c>
    </x:row>
    <x:row r="1592" ht="27" customHeight="1">
      <x:c r="A1592" s="66" t="str">
        <x:v>SXL267</x:v>
      </x:c>
      <x:c r="B1592" s="66" t="str">
        <x:v>滨风风云瑞丰1号</x:v>
      </x:c>
      <x:c r="C1592" s="72" t="n">
        <x:v>45720</x:v>
      </x:c>
      <x:c r="D1592" s="73" t="n">
        <x:v>1.52</x:v>
      </x:c>
      <x:c r="E1592" s="73" t="n">
        <x:v>1.52</x:v>
      </x:c>
      <x:c r="F1592" s="73" t="n">
        <x:v>1.52</x:v>
      </x:c>
      <x:c r="G1592" s="74" t="n">
        <x:v>0.009000000000000001</x:v>
      </x:c>
      <x:c r="H1592" s="66" t="str">
        <x:v>滨风风云瑞丰1号净值20260911.xlsx</x:v>
      </x:c>
      <x:c r="I1592" s="73" t="str">
        <x:f>""</x:f>
      </x:c>
      <x:c r="J1592" s="74" t="str">
        <x:f>""</x:f>
      </x:c>
      <x:c r="K1592" s="73" t="n">
        <x:f>MAX(K1591,F1592)</x:f>
        <x:v>1.5603</x:v>
      </x:c>
      <x:c r="L1592" s="74" t="n">
        <x:f>1-F1592/K1592</x:f>
        <x:v>0.025828366339806452</x:v>
      </x:c>
      <x:c r="M1592" s="73" t="n">
        <x:f>MAX(M1591,F1592)</x:f>
        <x:v>1.5603</x:v>
      </x:c>
      <x:c r="N1592" s="74" t="n">
        <x:f>1-F1592/M1592</x:f>
        <x:v>0.025828366339806452</x:v>
      </x:c>
    </x:row>
    <x:row r="1593" ht="27" customHeight="1">
      <x:c r="A1593" s="66" t="str">
        <x:v>SXL267</x:v>
      </x:c>
      <x:c r="B1593" s="66" t="str">
        <x:v>滨风风云瑞丰1号</x:v>
      </x:c>
      <x:c r="C1593" s="72" t="n">
        <x:v>45721</x:v>
      </x:c>
      <x:c r="D1593" s="73" t="n">
        <x:v>1.5411</x:v>
      </x:c>
      <x:c r="E1593" s="73" t="n">
        <x:v>1.5411</x:v>
      </x:c>
      <x:c r="F1593" s="73" t="n">
        <x:v>1.5411</x:v>
      </x:c>
      <x:c r="G1593" s="74" t="n">
        <x:v>0.0139</x:v>
      </x:c>
      <x:c r="H1593" s="66" t="str">
        <x:v>滨风风云瑞丰1号净值20260911.xlsx</x:v>
      </x:c>
      <x:c r="I1593" s="73" t="str">
        <x:f>""</x:f>
      </x:c>
      <x:c r="J1593" s="74" t="str">
        <x:f>""</x:f>
      </x:c>
      <x:c r="K1593" s="73" t="n">
        <x:f>MAX(K1592,F1593)</x:f>
        <x:v>1.5603</x:v>
      </x:c>
      <x:c r="L1593" s="74" t="n">
        <x:f>1-F1593/K1593</x:f>
        <x:v>0.012305325898865682</x:v>
      </x:c>
      <x:c r="M1593" s="73" t="n">
        <x:f>MAX(M1592,F1593)</x:f>
        <x:v>1.5603</x:v>
      </x:c>
      <x:c r="N1593" s="74" t="n">
        <x:f>1-F1593/M1593</x:f>
        <x:v>0.012305325898865682</x:v>
      </x:c>
    </x:row>
    <x:row r="1594" ht="27" customHeight="1">
      <x:c r="A1594" s="66" t="str">
        <x:v>SXL267</x:v>
      </x:c>
      <x:c r="B1594" s="66" t="str">
        <x:v>滨风风云瑞丰1号</x:v>
      </x:c>
      <x:c r="C1594" s="72" t="n">
        <x:v>45722</x:v>
      </x:c>
      <x:c r="D1594" s="73" t="n">
        <x:v>1.5731</x:v>
      </x:c>
      <x:c r="E1594" s="73" t="n">
        <x:v>1.5731</x:v>
      </x:c>
      <x:c r="F1594" s="73" t="n">
        <x:v>1.5731</x:v>
      </x:c>
      <x:c r="G1594" s="74" t="n">
        <x:v>0.0208</x:v>
      </x:c>
      <x:c r="H1594" s="66" t="str">
        <x:v>滨风风云瑞丰1号净值20260911.xlsx</x:v>
      </x:c>
      <x:c r="I1594" s="73" t="str">
        <x:f>""</x:f>
      </x:c>
      <x:c r="J1594" s="74" t="str">
        <x:f>""</x:f>
      </x:c>
      <x:c r="K1594" s="73" t="n">
        <x:f>MAX(K1593,F1594)</x:f>
        <x:v>1.5731</x:v>
      </x:c>
      <x:c r="L1594" s="74" t="n">
        <x:f>1-F1594/K1594</x:f>
        <x:v>0</x:v>
      </x:c>
      <x:c r="M1594" s="73" t="n">
        <x:f>MAX(M1593,F1594)</x:f>
        <x:v>1.5731</x:v>
      </x:c>
      <x:c r="N1594" s="74" t="n">
        <x:f>1-F1594/M1594</x:f>
        <x:v>0</x:v>
      </x:c>
    </x:row>
    <x:row r="1595" ht="27" customHeight="1">
      <x:c r="A1595" s="66" t="str">
        <x:v>SXL267</x:v>
      </x:c>
      <x:c r="B1595" s="66" t="str">
        <x:v>滨风风云瑞丰1号</x:v>
      </x:c>
      <x:c r="C1595" s="72" t="n">
        <x:v>45723</x:v>
      </x:c>
      <x:c r="D1595" s="73" t="n">
        <x:v>1.5608</x:v>
      </x:c>
      <x:c r="E1595" s="73" t="n">
        <x:v>1.5608</x:v>
      </x:c>
      <x:c r="F1595" s="73" t="n">
        <x:v>1.5608</x:v>
      </x:c>
      <x:c r="G1595" s="74" t="n">
        <x:v>-0.0078000000000000005</x:v>
      </x:c>
      <x:c r="H1595" s="66" t="str">
        <x:v>滨风风云瑞丰1号净值20260911.xlsx</x:v>
      </x:c>
      <x:c r="I1595" s="73" t="str">
        <x:f>""</x:f>
      </x:c>
      <x:c r="J1595" s="74" t="str">
        <x:f>""</x:f>
      </x:c>
      <x:c r="K1595" s="73" t="n">
        <x:f>MAX(K1594,F1595)</x:f>
        <x:v>1.5731</x:v>
      </x:c>
      <x:c r="L1595" s="74" t="n">
        <x:f>1-F1595/K1595</x:f>
        <x:v>0.007818956201131488</x:v>
      </x:c>
      <x:c r="M1595" s="73" t="n">
        <x:f>MAX(M1594,F1595)</x:f>
        <x:v>1.5731</x:v>
      </x:c>
      <x:c r="N1595" s="74" t="n">
        <x:f>1-F1595/M1595</x:f>
        <x:v>0.007818956201131488</x:v>
      </x:c>
    </x:row>
    <x:row r="1596" ht="27" customHeight="1">
      <x:c r="A1596" s="66" t="str">
        <x:v>SXL267</x:v>
      </x:c>
      <x:c r="B1596" s="66" t="str">
        <x:v>滨风风云瑞丰1号</x:v>
      </x:c>
      <x:c r="C1596" s="72" t="n">
        <x:v>45726</x:v>
      </x:c>
      <x:c r="D1596" s="73" t="n">
        <x:v>1.5505</x:v>
      </x:c>
      <x:c r="E1596" s="73" t="n">
        <x:v>1.5505</x:v>
      </x:c>
      <x:c r="F1596" s="73" t="n">
        <x:v>1.5505</x:v>
      </x:c>
      <x:c r="G1596" s="74" t="n">
        <x:v>-0.0066</x:v>
      </x:c>
      <x:c r="H1596" s="66" t="str">
        <x:v>滨风风云瑞丰1号净值20260911.xlsx</x:v>
      </x:c>
      <x:c r="I1596" s="73" t="str">
        <x:f>""</x:f>
      </x:c>
      <x:c r="J1596" s="74" t="str">
        <x:f>""</x:f>
      </x:c>
      <x:c r="K1596" s="73" t="n">
        <x:f>MAX(K1595,F1596)</x:f>
        <x:v>1.5731</x:v>
      </x:c>
      <x:c r="L1596" s="74" t="n">
        <x:f>1-F1596/K1596</x:f>
        <x:v>0.014366537410209101</x:v>
      </x:c>
      <x:c r="M1596" s="73" t="n">
        <x:f>MAX(M1595,F1596)</x:f>
        <x:v>1.5731</x:v>
      </x:c>
      <x:c r="N1596" s="74" t="n">
        <x:f>1-F1596/M1596</x:f>
        <x:v>0.014366537410209101</x:v>
      </x:c>
    </x:row>
    <x:row r="1597" ht="27" customHeight="1">
      <x:c r="A1597" s="66" t="str">
        <x:v>SXL267</x:v>
      </x:c>
      <x:c r="B1597" s="66" t="str">
        <x:v>滨风风云瑞丰1号</x:v>
      </x:c>
      <x:c r="C1597" s="72" t="n">
        <x:v>45727</x:v>
      </x:c>
      <x:c r="D1597" s="73" t="n">
        <x:v>1.5857</x:v>
      </x:c>
      <x:c r="E1597" s="73" t="n">
        <x:v>1.5857</x:v>
      </x:c>
      <x:c r="F1597" s="73" t="n">
        <x:v>1.5857</x:v>
      </x:c>
      <x:c r="G1597" s="74" t="n">
        <x:v>0.0227</x:v>
      </x:c>
      <x:c r="H1597" s="66" t="str">
        <x:v>滨风风云瑞丰1号净值20260911.xlsx</x:v>
      </x:c>
      <x:c r="I1597" s="73" t="str">
        <x:f>""</x:f>
      </x:c>
      <x:c r="J1597" s="74" t="str">
        <x:f>""</x:f>
      </x:c>
      <x:c r="K1597" s="73" t="n">
        <x:f>MAX(K1596,F1597)</x:f>
        <x:v>1.5857</x:v>
      </x:c>
      <x:c r="L1597" s="74" t="n">
        <x:f>1-F1597/K1597</x:f>
        <x:v>0</x:v>
      </x:c>
      <x:c r="M1597" s="73" t="n">
        <x:f>MAX(M1596,F1597)</x:f>
        <x:v>1.5857</x:v>
      </x:c>
      <x:c r="N1597" s="74" t="n">
        <x:f>1-F1597/M1597</x:f>
        <x:v>0</x:v>
      </x:c>
    </x:row>
    <x:row r="1598" ht="27" customHeight="1">
      <x:c r="A1598" s="66" t="str">
        <x:v>SXL267</x:v>
      </x:c>
      <x:c r="B1598" s="66" t="str">
        <x:v>滨风风云瑞丰1号</x:v>
      </x:c>
      <x:c r="C1598" s="72" t="n">
        <x:v>45728</x:v>
      </x:c>
      <x:c r="D1598" s="73" t="n">
        <x:v>1.6093</x:v>
      </x:c>
      <x:c r="E1598" s="73" t="n">
        <x:v>1.6093</x:v>
      </x:c>
      <x:c r="F1598" s="73" t="n">
        <x:v>1.6093</x:v>
      </x:c>
      <x:c r="G1598" s="74" t="n">
        <x:v>0.0149</x:v>
      </x:c>
      <x:c r="H1598" s="66" t="str">
        <x:v>滨风风云瑞丰1号净值20260911.xlsx</x:v>
      </x:c>
      <x:c r="I1598" s="73" t="str">
        <x:f>""</x:f>
      </x:c>
      <x:c r="J1598" s="74" t="str">
        <x:f>""</x:f>
      </x:c>
      <x:c r="K1598" s="73" t="n">
        <x:f>MAX(K1597,F1598)</x:f>
        <x:v>1.6093</x:v>
      </x:c>
      <x:c r="L1598" s="74" t="n">
        <x:f>1-F1598/K1598</x:f>
        <x:v>0</x:v>
      </x:c>
      <x:c r="M1598" s="73" t="n">
        <x:f>MAX(M1597,F1598)</x:f>
        <x:v>1.6093</x:v>
      </x:c>
      <x:c r="N1598" s="74" t="n">
        <x:f>1-F1598/M1598</x:f>
        <x:v>0</x:v>
      </x:c>
    </x:row>
    <x:row r="1599" ht="27" customHeight="1">
      <x:c r="A1599" s="66" t="str">
        <x:v>SXL267</x:v>
      </x:c>
      <x:c r="B1599" s="66" t="str">
        <x:v>滨风风云瑞丰1号</x:v>
      </x:c>
      <x:c r="C1599" s="72" t="n">
        <x:v>45729</x:v>
      </x:c>
      <x:c r="D1599" s="73" t="n">
        <x:v>1.597</x:v>
      </x:c>
      <x:c r="E1599" s="73" t="n">
        <x:v>1.597</x:v>
      </x:c>
      <x:c r="F1599" s="73" t="n">
        <x:v>1.597</x:v>
      </x:c>
      <x:c r="G1599" s="74" t="n">
        <x:v>-0.0076</x:v>
      </x:c>
      <x:c r="H1599" s="66" t="str">
        <x:v>滨风风云瑞丰1号净值20260911.xlsx</x:v>
      </x:c>
      <x:c r="I1599" s="73" t="str">
        <x:f>""</x:f>
      </x:c>
      <x:c r="J1599" s="74" t="str">
        <x:f>""</x:f>
      </x:c>
      <x:c r="K1599" s="73" t="n">
        <x:f>MAX(K1598,F1599)</x:f>
        <x:v>1.6093</x:v>
      </x:c>
      <x:c r="L1599" s="74" t="n">
        <x:f>1-F1599/K1599</x:f>
        <x:v>0.007643074628720603</x:v>
      </x:c>
      <x:c r="M1599" s="73" t="n">
        <x:f>MAX(M1598,F1599)</x:f>
        <x:v>1.6093</x:v>
      </x:c>
      <x:c r="N1599" s="74" t="n">
        <x:f>1-F1599/M1599</x:f>
        <x:v>0.007643074628720603</x:v>
      </x:c>
    </x:row>
    <x:row r="1600" ht="27" customHeight="1">
      <x:c r="A1600" s="66" t="str">
        <x:v>SXL267</x:v>
      </x:c>
      <x:c r="B1600" s="66" t="str">
        <x:v>滨风风云瑞丰1号</x:v>
      </x:c>
      <x:c r="C1600" s="72" t="n">
        <x:v>45730</x:v>
      </x:c>
      <x:c r="D1600" s="73" t="n">
        <x:v>1.6017</x:v>
      </x:c>
      <x:c r="E1600" s="73" t="n">
        <x:v>1.6017</x:v>
      </x:c>
      <x:c r="F1600" s="73" t="n">
        <x:v>1.6017</x:v>
      </x:c>
      <x:c r="G1600" s="74" t="n">
        <x:v>0.0029</x:v>
      </x:c>
      <x:c r="H1600" s="66" t="str">
        <x:v>滨风风云瑞丰1号净值20260911.xlsx</x:v>
      </x:c>
      <x:c r="I1600" s="73" t="str">
        <x:f>""</x:f>
      </x:c>
      <x:c r="J1600" s="74" t="str">
        <x:f>""</x:f>
      </x:c>
      <x:c r="K1600" s="73" t="n">
        <x:f>MAX(K1599,F1600)</x:f>
        <x:v>1.6093</x:v>
      </x:c>
      <x:c r="L1600" s="74" t="n">
        <x:f>1-F1600/K1600</x:f>
        <x:v>0.0047225501770956635</x:v>
      </x:c>
      <x:c r="M1600" s="73" t="n">
        <x:f>MAX(M1599,F1600)</x:f>
        <x:v>1.6093</x:v>
      </x:c>
      <x:c r="N1600" s="74" t="n">
        <x:f>1-F1600/M1600</x:f>
        <x:v>0.0047225501770956635</x:v>
      </x:c>
    </x:row>
    <x:row r="1601" ht="27" customHeight="1">
      <x:c r="A1601" s="66" t="str">
        <x:v>SXL267</x:v>
      </x:c>
      <x:c r="B1601" s="66" t="str">
        <x:v>滨风风云瑞丰1号</x:v>
      </x:c>
      <x:c r="C1601" s="72" t="n">
        <x:v>45733</x:v>
      </x:c>
      <x:c r="D1601" s="73" t="n">
        <x:v>1.5955</x:v>
      </x:c>
      <x:c r="E1601" s="73" t="n">
        <x:v>1.5955</x:v>
      </x:c>
      <x:c r="F1601" s="73" t="n">
        <x:v>1.5955</x:v>
      </x:c>
      <x:c r="G1601" s="74" t="n">
        <x:v>-0.0039000000000000003</x:v>
      </x:c>
      <x:c r="H1601" s="66" t="str">
        <x:v>滨风风云瑞丰1号净值20260911.xlsx</x:v>
      </x:c>
      <x:c r="I1601" s="73" t="str">
        <x:f>""</x:f>
      </x:c>
      <x:c r="J1601" s="74" t="str">
        <x:f>""</x:f>
      </x:c>
      <x:c r="K1601" s="73" t="n">
        <x:f>MAX(K1600,F1601)</x:f>
        <x:v>1.6093</x:v>
      </x:c>
      <x:c r="L1601" s="74" t="n">
        <x:f>1-F1601/K1601</x:f>
        <x:v>0.008575156900515801</x:v>
      </x:c>
      <x:c r="M1601" s="73" t="n">
        <x:f>MAX(M1600,F1601)</x:f>
        <x:v>1.6093</x:v>
      </x:c>
      <x:c r="N1601" s="74" t="n">
        <x:f>1-F1601/M1601</x:f>
        <x:v>0.008575156900515801</x:v>
      </x:c>
    </x:row>
    <x:row r="1602" ht="27" customHeight="1">
      <x:c r="A1602" s="66" t="str">
        <x:v>SXL267</x:v>
      </x:c>
      <x:c r="B1602" s="66" t="str">
        <x:v>滨风风云瑞丰1号</x:v>
      </x:c>
      <x:c r="C1602" s="72" t="n">
        <x:v>45734</x:v>
      </x:c>
      <x:c r="D1602" s="73" t="n">
        <x:v>1.594</x:v>
      </x:c>
      <x:c r="E1602" s="73" t="n">
        <x:v>1.594</x:v>
      </x:c>
      <x:c r="F1602" s="73" t="n">
        <x:v>1.594</x:v>
      </x:c>
      <x:c r="G1602" s="74" t="n">
        <x:v>-0.0009</x:v>
      </x:c>
      <x:c r="H1602" s="66" t="str">
        <x:v>滨风风云瑞丰1号净值20260911.xlsx</x:v>
      </x:c>
      <x:c r="I1602" s="73" t="str">
        <x:f>""</x:f>
      </x:c>
      <x:c r="J1602" s="74" t="str">
        <x:f>""</x:f>
      </x:c>
      <x:c r="K1602" s="73" t="n">
        <x:f>MAX(K1601,F1602)</x:f>
        <x:v>1.6093</x:v>
      </x:c>
      <x:c r="L1602" s="74" t="n">
        <x:f>1-F1602/K1602</x:f>
        <x:v>0.009507239172310888</x:v>
      </x:c>
      <x:c r="M1602" s="73" t="n">
        <x:f>MAX(M1601,F1602)</x:f>
        <x:v>1.6093</x:v>
      </x:c>
      <x:c r="N1602" s="74" t="n">
        <x:f>1-F1602/M1602</x:f>
        <x:v>0.009507239172310888</x:v>
      </x:c>
    </x:row>
    <x:row r="1603" ht="27" customHeight="1">
      <x:c r="A1603" s="66" t="str">
        <x:v>SXL267</x:v>
      </x:c>
      <x:c r="B1603" s="66" t="str">
        <x:v>滨风风云瑞丰1号</x:v>
      </x:c>
      <x:c r="C1603" s="72" t="n">
        <x:v>45735</x:v>
      </x:c>
      <x:c r="D1603" s="73" t="n">
        <x:v>1.6081</x:v>
      </x:c>
      <x:c r="E1603" s="73" t="n">
        <x:v>1.6081</x:v>
      </x:c>
      <x:c r="F1603" s="73" t="n">
        <x:v>1.6081</x:v>
      </x:c>
      <x:c r="G1603" s="74" t="n">
        <x:v>0.0088</x:v>
      </x:c>
      <x:c r="H1603" s="66" t="str">
        <x:v>滨风风云瑞丰1号净值20260911.xlsx</x:v>
      </x:c>
      <x:c r="I1603" s="73" t="str">
        <x:f>""</x:f>
      </x:c>
      <x:c r="J1603" s="74" t="str">
        <x:f>""</x:f>
      </x:c>
      <x:c r="K1603" s="73" t="n">
        <x:f>MAX(K1602,F1603)</x:f>
        <x:v>1.6093</x:v>
      </x:c>
      <x:c r="L1603" s="74" t="n">
        <x:f>1-F1603/K1603</x:f>
        <x:v>0.0007456658174360697</x:v>
      </x:c>
      <x:c r="M1603" s="73" t="n">
        <x:f>MAX(M1602,F1603)</x:f>
        <x:v>1.6093</x:v>
      </x:c>
      <x:c r="N1603" s="74" t="n">
        <x:f>1-F1603/M1603</x:f>
        <x:v>0.0007456658174360697</x:v>
      </x:c>
    </x:row>
    <x:row r="1604" ht="27" customHeight="1">
      <x:c r="A1604" s="66" t="str">
        <x:v>SXL267</x:v>
      </x:c>
      <x:c r="B1604" s="66" t="str">
        <x:v>滨风风云瑞丰1号</x:v>
      </x:c>
      <x:c r="C1604" s="72" t="n">
        <x:v>45736</x:v>
      </x:c>
      <x:c r="D1604" s="73" t="n">
        <x:v>1.6108</x:v>
      </x:c>
      <x:c r="E1604" s="73" t="n">
        <x:v>1.6108</x:v>
      </x:c>
      <x:c r="F1604" s="73" t="n">
        <x:v>1.6108</x:v>
      </x:c>
      <x:c r="G1604" s="74" t="n">
        <x:v>0.0017000000000000001</x:v>
      </x:c>
      <x:c r="H1604" s="66" t="str">
        <x:v>滨风风云瑞丰1号净值20260911.xlsx</x:v>
      </x:c>
      <x:c r="I1604" s="73" t="str">
        <x:f>""</x:f>
      </x:c>
      <x:c r="J1604" s="74" t="str">
        <x:f>""</x:f>
      </x:c>
      <x:c r="K1604" s="73" t="n">
        <x:f>MAX(K1603,F1604)</x:f>
        <x:v>1.6108</x:v>
      </x:c>
      <x:c r="L1604" s="74" t="n">
        <x:f>1-F1604/K1604</x:f>
        <x:v>0</x:v>
      </x:c>
      <x:c r="M1604" s="73" t="n">
        <x:f>MAX(M1603,F1604)</x:f>
        <x:v>1.6108</x:v>
      </x:c>
      <x:c r="N1604" s="74" t="n">
        <x:f>1-F1604/M1604</x:f>
        <x:v>0</x:v>
      </x:c>
    </x:row>
    <x:row r="1605" ht="27" customHeight="1">
      <x:c r="A1605" s="66" t="str">
        <x:v>SXL267</x:v>
      </x:c>
      <x:c r="B1605" s="66" t="str">
        <x:v>滨风风云瑞丰1号</x:v>
      </x:c>
      <x:c r="C1605" s="72" t="n">
        <x:v>45737</x:v>
      </x:c>
      <x:c r="D1605" s="73" t="n">
        <x:v>1.6134</x:v>
      </x:c>
      <x:c r="E1605" s="73" t="n">
        <x:v>1.6134</x:v>
      </x:c>
      <x:c r="F1605" s="73" t="n">
        <x:v>1.6134</x:v>
      </x:c>
      <x:c r="G1605" s="74" t="n">
        <x:v>0.0016</x:v>
      </x:c>
      <x:c r="H1605" s="66" t="str">
        <x:v>滨风风云瑞丰1号净值20260911.xlsx</x:v>
      </x:c>
      <x:c r="I1605" s="73" t="str">
        <x:f>""</x:f>
      </x:c>
      <x:c r="J1605" s="74" t="str">
        <x:f>""</x:f>
      </x:c>
      <x:c r="K1605" s="73" t="n">
        <x:f>MAX(K1604,F1605)</x:f>
        <x:v>1.6134</x:v>
      </x:c>
      <x:c r="L1605" s="74" t="n">
        <x:f>1-F1605/K1605</x:f>
        <x:v>0</x:v>
      </x:c>
      <x:c r="M1605" s="73" t="n">
        <x:f>MAX(M1604,F1605)</x:f>
        <x:v>1.6134</x:v>
      </x:c>
      <x:c r="N1605" s="74" t="n">
        <x:f>1-F1605/M1605</x:f>
        <x:v>0</x:v>
      </x:c>
    </x:row>
    <x:row r="1606" ht="27" customHeight="1">
      <x:c r="A1606" s="66" t="str">
        <x:v>SXL267</x:v>
      </x:c>
      <x:c r="B1606" s="66" t="str">
        <x:v>滨风风云瑞丰1号</x:v>
      </x:c>
      <x:c r="C1606" s="72" t="n">
        <x:v>45740</x:v>
      </x:c>
      <x:c r="D1606" s="73" t="n">
        <x:v>1.5826</x:v>
      </x:c>
      <x:c r="E1606" s="73" t="n">
        <x:v>1.5826</x:v>
      </x:c>
      <x:c r="F1606" s="73" t="n">
        <x:v>1.5826</x:v>
      </x:c>
      <x:c r="G1606" s="74" t="n">
        <x:v>-0.0191</x:v>
      </x:c>
      <x:c r="H1606" s="66" t="str">
        <x:v>滨风风云瑞丰1号净值20260911.xlsx</x:v>
      </x:c>
      <x:c r="I1606" s="73" t="str">
        <x:f>""</x:f>
      </x:c>
      <x:c r="J1606" s="74" t="str">
        <x:f>""</x:f>
      </x:c>
      <x:c r="K1606" s="73" t="n">
        <x:f>MAX(K1605,F1606)</x:f>
        <x:v>1.6134</x:v>
      </x:c>
      <x:c r="L1606" s="74" t="n">
        <x:f>1-F1606/K1606</x:f>
        <x:v>0.01909012024296508</x:v>
      </x:c>
      <x:c r="M1606" s="73" t="n">
        <x:f>MAX(M1605,F1606)</x:f>
        <x:v>1.6134</x:v>
      </x:c>
      <x:c r="N1606" s="74" t="n">
        <x:f>1-F1606/M1606</x:f>
        <x:v>0.01909012024296508</x:v>
      </x:c>
    </x:row>
    <x:row r="1607" ht="27" customHeight="1">
      <x:c r="A1607" s="66" t="str">
        <x:v>SXL267</x:v>
      </x:c>
      <x:c r="B1607" s="66" t="str">
        <x:v>滨风风云瑞丰1号</x:v>
      </x:c>
      <x:c r="C1607" s="72" t="n">
        <x:v>45741</x:v>
      </x:c>
      <x:c r="D1607" s="73" t="n">
        <x:v>1.5707</x:v>
      </x:c>
      <x:c r="E1607" s="73" t="n">
        <x:v>1.5707</x:v>
      </x:c>
      <x:c r="F1607" s="73" t="n">
        <x:v>1.5707</x:v>
      </x:c>
      <x:c r="G1607" s="74" t="n">
        <x:v>-0.0075</x:v>
      </x:c>
      <x:c r="H1607" s="66" t="str">
        <x:v>滨风风云瑞丰1号净值20260911.xlsx</x:v>
      </x:c>
      <x:c r="I1607" s="73" t="str">
        <x:f>""</x:f>
      </x:c>
      <x:c r="J1607" s="74" t="str">
        <x:f>""</x:f>
      </x:c>
      <x:c r="K1607" s="73" t="n">
        <x:f>MAX(K1606,F1607)</x:f>
        <x:v>1.6134</x:v>
      </x:c>
      <x:c r="L1607" s="74" t="n">
        <x:f>1-F1607/K1607</x:f>
        <x:v>0.026465848518656188</x:v>
      </x:c>
      <x:c r="M1607" s="73" t="n">
        <x:f>MAX(M1606,F1607)</x:f>
        <x:v>1.6134</x:v>
      </x:c>
      <x:c r="N1607" s="74" t="n">
        <x:f>1-F1607/M1607</x:f>
        <x:v>0.026465848518656188</x:v>
      </x:c>
    </x:row>
    <x:row r="1608" ht="27" customHeight="1">
      <x:c r="A1608" s="66" t="str">
        <x:v>SXL267</x:v>
      </x:c>
      <x:c r="B1608" s="66" t="str">
        <x:v>滨风风云瑞丰1号</x:v>
      </x:c>
      <x:c r="C1608" s="72" t="n">
        <x:v>45742</x:v>
      </x:c>
      <x:c r="D1608" s="73" t="n">
        <x:v>1.5754</x:v>
      </x:c>
      <x:c r="E1608" s="73" t="n">
        <x:v>1.5754</x:v>
      </x:c>
      <x:c r="F1608" s="73" t="n">
        <x:v>1.5754</x:v>
      </x:c>
      <x:c r="G1608" s="74" t="n">
        <x:v>0.003</x:v>
      </x:c>
      <x:c r="H1608" s="66" t="str">
        <x:v>滨风风云瑞丰1号净值20260911.xlsx</x:v>
      </x:c>
      <x:c r="I1608" s="73" t="str">
        <x:f>""</x:f>
      </x:c>
      <x:c r="J1608" s="74" t="str">
        <x:f>""</x:f>
      </x:c>
      <x:c r="K1608" s="73" t="n">
        <x:f>MAX(K1607,F1608)</x:f>
        <x:v>1.6134</x:v>
      </x:c>
      <x:c r="L1608" s="74" t="n">
        <x:f>1-F1608/K1608</x:f>
        <x:v>0.023552745754307658</x:v>
      </x:c>
      <x:c r="M1608" s="73" t="n">
        <x:f>MAX(M1607,F1608)</x:f>
        <x:v>1.6134</x:v>
      </x:c>
      <x:c r="N1608" s="74" t="n">
        <x:f>1-F1608/M1608</x:f>
        <x:v>0.023552745754307658</x:v>
      </x:c>
    </x:row>
    <x:row r="1609" ht="27" customHeight="1">
      <x:c r="A1609" s="66" t="str">
        <x:v>SXL267</x:v>
      </x:c>
      <x:c r="B1609" s="66" t="str">
        <x:v>滨风风云瑞丰1号</x:v>
      </x:c>
      <x:c r="C1609" s="72" t="n">
        <x:v>45743</x:v>
      </x:c>
      <x:c r="D1609" s="73" t="n">
        <x:v>1.5707</x:v>
      </x:c>
      <x:c r="E1609" s="73" t="n">
        <x:v>1.5707</x:v>
      </x:c>
      <x:c r="F1609" s="73" t="n">
        <x:v>1.5707</x:v>
      </x:c>
      <x:c r="G1609" s="74" t="n">
        <x:v>-0.003</x:v>
      </x:c>
      <x:c r="H1609" s="66" t="str">
        <x:v>滨风风云瑞丰1号净值20260911.xlsx</x:v>
      </x:c>
      <x:c r="I1609" s="73" t="str">
        <x:f>""</x:f>
      </x:c>
      <x:c r="J1609" s="74" t="str">
        <x:f>""</x:f>
      </x:c>
      <x:c r="K1609" s="73" t="n">
        <x:f>MAX(K1608,F1609)</x:f>
        <x:v>1.6134</x:v>
      </x:c>
      <x:c r="L1609" s="74" t="n">
        <x:f>1-F1609/K1609</x:f>
        <x:v>0.026465848518656188</x:v>
      </x:c>
      <x:c r="M1609" s="73" t="n">
        <x:f>MAX(M1608,F1609)</x:f>
        <x:v>1.6134</x:v>
      </x:c>
      <x:c r="N1609" s="74" t="n">
        <x:f>1-F1609/M1609</x:f>
        <x:v>0.026465848518656188</x:v>
      </x:c>
    </x:row>
    <x:row r="1610" ht="27" customHeight="1">
      <x:c r="A1610" s="66" t="str">
        <x:v>SXL267</x:v>
      </x:c>
      <x:c r="B1610" s="66" t="str">
        <x:v>滨风风云瑞丰1号</x:v>
      </x:c>
      <x:c r="C1610" s="72" t="n">
        <x:v>45744</x:v>
      </x:c>
      <x:c r="D1610" s="73" t="n">
        <x:v>1.5644</x:v>
      </x:c>
      <x:c r="E1610" s="73" t="n">
        <x:v>1.5644</x:v>
      </x:c>
      <x:c r="F1610" s="73" t="n">
        <x:v>1.5644</x:v>
      </x:c>
      <x:c r="G1610" s="74" t="n">
        <x:v>-0.004</x:v>
      </x:c>
      <x:c r="H1610" s="66" t="str">
        <x:v>滨风风云瑞丰1号净值20260911.xlsx</x:v>
      </x:c>
      <x:c r="I1610" s="73" t="str">
        <x:f>""</x:f>
      </x:c>
      <x:c r="J1610" s="74" t="str">
        <x:f>""</x:f>
      </x:c>
      <x:c r="K1610" s="73" t="n">
        <x:f>MAX(K1609,F1610)</x:f>
        <x:v>1.6134</x:v>
      </x:c>
      <x:c r="L1610" s="74" t="n">
        <x:f>1-F1610/K1610</x:f>
        <x:v>0.030370645841080957</x:v>
      </x:c>
      <x:c r="M1610" s="73" t="n">
        <x:f>MAX(M1609,F1610)</x:f>
        <x:v>1.6134</x:v>
      </x:c>
      <x:c r="N1610" s="74" t="n">
        <x:f>1-F1610/M1610</x:f>
        <x:v>0.030370645841080957</x:v>
      </x:c>
    </x:row>
    <x:row r="1611" ht="27" customHeight="1">
      <x:c r="A1611" s="66" t="str">
        <x:v>SXL267</x:v>
      </x:c>
      <x:c r="B1611" s="66" t="str">
        <x:v>滨风风云瑞丰1号</x:v>
      </x:c>
      <x:c r="C1611" s="72" t="n">
        <x:v>45747</x:v>
      </x:c>
      <x:c r="D1611" s="73" t="n">
        <x:v>1.5652</x:v>
      </x:c>
      <x:c r="E1611" s="73" t="n">
        <x:v>1.5652</x:v>
      </x:c>
      <x:c r="F1611" s="73" t="n">
        <x:v>1.5652</x:v>
      </x:c>
      <x:c r="G1611" s="74" t="n">
        <x:v>0.0005</x:v>
      </x:c>
      <x:c r="H1611" s="66" t="str">
        <x:v>滨风风云瑞丰1号净值20260911.xlsx</x:v>
      </x:c>
      <x:c r="I1611" s="73" t="str">
        <x:f>""</x:f>
      </x:c>
      <x:c r="J1611" s="74" t="str">
        <x:f>""</x:f>
      </x:c>
      <x:c r="K1611" s="73" t="n">
        <x:f>MAX(K1610,F1611)</x:f>
        <x:v>1.6134</x:v>
      </x:c>
      <x:c r="L1611" s="74" t="n">
        <x:f>1-F1611/K1611</x:f>
        <x:v>0.029874798562042892</x:v>
      </x:c>
      <x:c r="M1611" s="73" t="n">
        <x:f>MAX(M1610,F1611)</x:f>
        <x:v>1.6134</x:v>
      </x:c>
      <x:c r="N1611" s="74" t="n">
        <x:f>1-F1611/M1611</x:f>
        <x:v>0.029874798562042892</x:v>
      </x:c>
    </x:row>
    <x:row r="1612" ht="27" customHeight="1">
      <x:c r="A1612" s="66" t="str">
        <x:v>SXL267</x:v>
      </x:c>
      <x:c r="B1612" s="66" t="str">
        <x:v>滨风风云瑞丰1号</x:v>
      </x:c>
      <x:c r="C1612" s="72" t="n">
        <x:v>45748</x:v>
      </x:c>
      <x:c r="D1612" s="73" t="n">
        <x:v>1.5522</x:v>
      </x:c>
      <x:c r="E1612" s="73" t="n">
        <x:v>1.5522</x:v>
      </x:c>
      <x:c r="F1612" s="73" t="n">
        <x:v>1.5522</x:v>
      </x:c>
      <x:c r="G1612" s="74" t="n">
        <x:v>-0.0083</x:v>
      </x:c>
      <x:c r="H1612" s="66" t="str">
        <x:v>滨风风云瑞丰1号净值20260911.xlsx</x:v>
      </x:c>
      <x:c r="I1612" s="73" t="str">
        <x:f>""</x:f>
      </x:c>
      <x:c r="J1612" s="74" t="str">
        <x:f>""</x:f>
      </x:c>
      <x:c r="K1612" s="73" t="n">
        <x:f>MAX(K1611,F1612)</x:f>
        <x:v>1.6134</x:v>
      </x:c>
      <x:c r="L1612" s="74" t="n">
        <x:f>1-F1612/K1612</x:f>
        <x:v>0.037932316846411296</x:v>
      </x:c>
      <x:c r="M1612" s="73" t="n">
        <x:f>MAX(M1611,F1612)</x:f>
        <x:v>1.6134</x:v>
      </x:c>
      <x:c r="N1612" s="74" t="n">
        <x:f>1-F1612/M1612</x:f>
        <x:v>0.037932316846411296</x:v>
      </x:c>
    </x:row>
    <x:row r="1613" ht="27" customHeight="1">
      <x:c r="A1613" s="66" t="str">
        <x:v>SXL267</x:v>
      </x:c>
      <x:c r="B1613" s="66" t="str">
        <x:v>滨风风云瑞丰1号</x:v>
      </x:c>
      <x:c r="C1613" s="72" t="n">
        <x:v>45749</x:v>
      </x:c>
      <x:c r="D1613" s="73" t="n">
        <x:v>1.5472</x:v>
      </x:c>
      <x:c r="E1613" s="73" t="n">
        <x:v>1.5472</x:v>
      </x:c>
      <x:c r="F1613" s="73" t="n">
        <x:v>1.5472</x:v>
      </x:c>
      <x:c r="G1613" s="74" t="n">
        <x:v>-0.0032</x:v>
      </x:c>
      <x:c r="H1613" s="66" t="str">
        <x:v>滨风风云瑞丰1号净值20260911.xlsx</x:v>
      </x:c>
      <x:c r="I1613" s="73" t="str">
        <x:f>""</x:f>
      </x:c>
      <x:c r="J1613" s="74" t="str">
        <x:f>""</x:f>
      </x:c>
      <x:c r="K1613" s="73" t="n">
        <x:f>MAX(K1612,F1613)</x:f>
        <x:v>1.6134</x:v>
      </x:c>
      <x:c r="L1613" s="74" t="n">
        <x:f>1-F1613/K1613</x:f>
        <x:v>0.04103136234039917</x:v>
      </x:c>
      <x:c r="M1613" s="73" t="n">
        <x:f>MAX(M1612,F1613)</x:f>
        <x:v>1.6134</x:v>
      </x:c>
      <x:c r="N1613" s="74" t="n">
        <x:f>1-F1613/M1613</x:f>
        <x:v>0.04103136234039917</x:v>
      </x:c>
    </x:row>
    <x:row r="1614" ht="27" customHeight="1">
      <x:c r="A1614" s="66" t="str">
        <x:v>SXL267</x:v>
      </x:c>
      <x:c r="B1614" s="66" t="str">
        <x:v>滨风风云瑞丰1号</x:v>
      </x:c>
      <x:c r="C1614" s="72" t="n">
        <x:v>45750</x:v>
      </x:c>
      <x:c r="D1614" s="73" t="n">
        <x:v>1.5507</x:v>
      </x:c>
      <x:c r="E1614" s="73" t="n">
        <x:v>1.5507</x:v>
      </x:c>
      <x:c r="F1614" s="73" t="n">
        <x:v>1.5507</x:v>
      </x:c>
      <x:c r="G1614" s="74" t="n">
        <x:v>0.0023</x:v>
      </x:c>
      <x:c r="H1614" s="66" t="str">
        <x:v>滨风风云瑞丰1号净值20260911.xlsx</x:v>
      </x:c>
      <x:c r="I1614" s="73" t="str">
        <x:f>""</x:f>
      </x:c>
      <x:c r="J1614" s="74" t="str">
        <x:f>""</x:f>
      </x:c>
      <x:c r="K1614" s="73" t="n">
        <x:f>MAX(K1613,F1614)</x:f>
        <x:v>1.6134</x:v>
      </x:c>
      <x:c r="L1614" s="74" t="n">
        <x:f>1-F1614/K1614</x:f>
        <x:v>0.03886203049460768</x:v>
      </x:c>
      <x:c r="M1614" s="73" t="n">
        <x:f>MAX(M1613,F1614)</x:f>
        <x:v>1.6134</x:v>
      </x:c>
      <x:c r="N1614" s="74" t="n">
        <x:f>1-F1614/M1614</x:f>
        <x:v>0.03886203049460768</x:v>
      </x:c>
    </x:row>
    <x:row r="1615" ht="27" customHeight="1">
      <x:c r="A1615" s="66" t="str">
        <x:v>SXL267</x:v>
      </x:c>
      <x:c r="B1615" s="66" t="str">
        <x:v>滨风风云瑞丰1号</x:v>
      </x:c>
      <x:c r="C1615" s="72" t="n">
        <x:v>45754</x:v>
      </x:c>
      <x:c r="D1615" s="73" t="n">
        <x:v>1.5762</x:v>
      </x:c>
      <x:c r="E1615" s="73" t="n">
        <x:v>1.5762</x:v>
      </x:c>
      <x:c r="F1615" s="73" t="n">
        <x:v>1.5762</x:v>
      </x:c>
      <x:c r="G1615" s="74" t="n">
        <x:v>0.016399999999999998</x:v>
      </x:c>
      <x:c r="H1615" s="66" t="str">
        <x:v>滨风风云瑞丰1号净值20260911.xlsx</x:v>
      </x:c>
      <x:c r="I1615" s="73" t="str">
        <x:f>""</x:f>
      </x:c>
      <x:c r="J1615" s="74" t="str">
        <x:f>""</x:f>
      </x:c>
      <x:c r="K1615" s="73" t="n">
        <x:f>MAX(K1614,F1615)</x:f>
        <x:v>1.6134</x:v>
      </x:c>
      <x:c r="L1615" s="74" t="n">
        <x:f>1-F1615/K1615</x:f>
        <x:v>0.023056898475269594</x:v>
      </x:c>
      <x:c r="M1615" s="73" t="n">
        <x:f>MAX(M1614,F1615)</x:f>
        <x:v>1.6134</x:v>
      </x:c>
      <x:c r="N1615" s="74" t="n">
        <x:f>1-F1615/M1615</x:f>
        <x:v>0.023056898475269594</x:v>
      </x:c>
    </x:row>
    <x:row r="1616" ht="27" customHeight="1">
      <x:c r="A1616" s="66" t="str">
        <x:v>SXL267</x:v>
      </x:c>
      <x:c r="B1616" s="66" t="str">
        <x:v>滨风风云瑞丰1号</x:v>
      </x:c>
      <x:c r="C1616" s="72" t="n">
        <x:v>45755</x:v>
      </x:c>
      <x:c r="D1616" s="73" t="n">
        <x:v>1.5987</x:v>
      </x:c>
      <x:c r="E1616" s="73" t="n">
        <x:v>1.5987</x:v>
      </x:c>
      <x:c r="F1616" s="73" t="n">
        <x:v>1.5987</x:v>
      </x:c>
      <x:c r="G1616" s="74" t="n">
        <x:v>0.0143</x:v>
      </x:c>
      <x:c r="H1616" s="66" t="str">
        <x:v>滨风风云瑞丰1号净值20260911.xlsx</x:v>
      </x:c>
      <x:c r="I1616" s="73" t="str">
        <x:f>""</x:f>
      </x:c>
      <x:c r="J1616" s="74" t="str">
        <x:f>""</x:f>
      </x:c>
      <x:c r="K1616" s="73" t="n">
        <x:f>MAX(K1615,F1616)</x:f>
        <x:v>1.6134</x:v>
      </x:c>
      <x:c r="L1616" s="74" t="n">
        <x:f>1-F1616/K1616</x:f>
        <x:v>0.009111193752324276</x:v>
      </x:c>
      <x:c r="M1616" s="73" t="n">
        <x:f>MAX(M1615,F1616)</x:f>
        <x:v>1.6134</x:v>
      </x:c>
      <x:c r="N1616" s="74" t="n">
        <x:f>1-F1616/M1616</x:f>
        <x:v>0.009111193752324276</x:v>
      </x:c>
    </x:row>
    <x:row r="1617" ht="27" customHeight="1">
      <x:c r="A1617" s="66" t="str">
        <x:v>SXL267</x:v>
      </x:c>
      <x:c r="B1617" s="66" t="str">
        <x:v>滨风风云瑞丰1号</x:v>
      </x:c>
      <x:c r="C1617" s="72" t="n">
        <x:v>45756</x:v>
      </x:c>
      <x:c r="D1617" s="73" t="n">
        <x:v>1.6454</x:v>
      </x:c>
      <x:c r="E1617" s="73" t="n">
        <x:v>1.6454</x:v>
      </x:c>
      <x:c r="F1617" s="73" t="n">
        <x:v>1.6454</x:v>
      </x:c>
      <x:c r="G1617" s="74" t="n">
        <x:v>0.0292</x:v>
      </x:c>
      <x:c r="H1617" s="66" t="str">
        <x:v>滨风风云瑞丰1号净值20260911.xlsx</x:v>
      </x:c>
      <x:c r="I1617" s="73" t="str">
        <x:f>""</x:f>
      </x:c>
      <x:c r="J1617" s="74" t="str">
        <x:f>""</x:f>
      </x:c>
      <x:c r="K1617" s="73" t="n">
        <x:f>MAX(K1616,F1617)</x:f>
        <x:v>1.6454</x:v>
      </x:c>
      <x:c r="L1617" s="74" t="n">
        <x:f>1-F1617/K1617</x:f>
        <x:v>0</x:v>
      </x:c>
      <x:c r="M1617" s="73" t="n">
        <x:f>MAX(M1616,F1617)</x:f>
        <x:v>1.6454</x:v>
      </x:c>
      <x:c r="N1617" s="74" t="n">
        <x:f>1-F1617/M1617</x:f>
        <x:v>0</x:v>
      </x:c>
    </x:row>
    <x:row r="1618" ht="27" customHeight="1">
      <x:c r="A1618" s="66" t="str">
        <x:v>SXL267</x:v>
      </x:c>
      <x:c r="B1618" s="66" t="str">
        <x:v>滨风风云瑞丰1号</x:v>
      </x:c>
      <x:c r="C1618" s="72" t="n">
        <x:v>45757</x:v>
      </x:c>
      <x:c r="D1618" s="73" t="n">
        <x:v>1.6269</x:v>
      </x:c>
      <x:c r="E1618" s="73" t="n">
        <x:v>1.6269</x:v>
      </x:c>
      <x:c r="F1618" s="73" t="n">
        <x:v>1.6269</x:v>
      </x:c>
      <x:c r="G1618" s="74" t="n">
        <x:v>-0.011200000000000002</x:v>
      </x:c>
      <x:c r="H1618" s="66" t="str">
        <x:v>滨风风云瑞丰1号净值20260911.xlsx</x:v>
      </x:c>
      <x:c r="I1618" s="73" t="str">
        <x:f>""</x:f>
      </x:c>
      <x:c r="J1618" s="74" t="str">
        <x:f>""</x:f>
      </x:c>
      <x:c r="K1618" s="73" t="n">
        <x:f>MAX(K1617,F1618)</x:f>
        <x:v>1.6454</x:v>
      </x:c>
      <x:c r="L1618" s="74" t="n">
        <x:f>1-F1618/K1618</x:f>
        <x:v>0.011243466634253019</x:v>
      </x:c>
      <x:c r="M1618" s="73" t="n">
        <x:f>MAX(M1617,F1618)</x:f>
        <x:v>1.6454</x:v>
      </x:c>
      <x:c r="N1618" s="74" t="n">
        <x:f>1-F1618/M1618</x:f>
        <x:v>0.011243466634253019</x:v>
      </x:c>
    </x:row>
    <x:row r="1619" ht="27" customHeight="1">
      <x:c r="A1619" s="66" t="str">
        <x:v>SXL267</x:v>
      </x:c>
      <x:c r="B1619" s="66" t="str">
        <x:v>滨风风云瑞丰1号</x:v>
      </x:c>
      <x:c r="C1619" s="72" t="n">
        <x:v>45758</x:v>
      </x:c>
      <x:c r="D1619" s="73" t="n">
        <x:v>1.6353</x:v>
      </x:c>
      <x:c r="E1619" s="73" t="n">
        <x:v>1.6353</x:v>
      </x:c>
      <x:c r="F1619" s="73" t="n">
        <x:v>1.6353</x:v>
      </x:c>
      <x:c r="G1619" s="74" t="n">
        <x:v>0.0052</x:v>
      </x:c>
      <x:c r="H1619" s="66" t="str">
        <x:v>滨风风云瑞丰1号净值20260911.xlsx</x:v>
      </x:c>
      <x:c r="I1619" s="73" t="str">
        <x:f>""</x:f>
      </x:c>
      <x:c r="J1619" s="74" t="str">
        <x:f>""</x:f>
      </x:c>
      <x:c r="K1619" s="73" t="n">
        <x:f>MAX(K1618,F1619)</x:f>
        <x:v>1.6454</x:v>
      </x:c>
      <x:c r="L1619" s="74" t="n">
        <x:f>1-F1619/K1619</x:f>
        <x:v>0.006138325027349012</x:v>
      </x:c>
      <x:c r="M1619" s="73" t="n">
        <x:f>MAX(M1618,F1619)</x:f>
        <x:v>1.6454</x:v>
      </x:c>
      <x:c r="N1619" s="74" t="n">
        <x:f>1-F1619/M1619</x:f>
        <x:v>0.006138325027349012</x:v>
      </x:c>
    </x:row>
    <x:row r="1620" ht="27" customHeight="1">
      <x:c r="A1620" s="66" t="str">
        <x:v>SXL267</x:v>
      </x:c>
      <x:c r="B1620" s="66" t="str">
        <x:v>滨风风云瑞丰1号</x:v>
      </x:c>
      <x:c r="C1620" s="72" t="n">
        <x:v>45761</x:v>
      </x:c>
      <x:c r="D1620" s="73" t="n">
        <x:v>1.6266</x:v>
      </x:c>
      <x:c r="E1620" s="73" t="n">
        <x:v>1.6266</x:v>
      </x:c>
      <x:c r="F1620" s="73" t="n">
        <x:v>1.6266</x:v>
      </x:c>
      <x:c r="G1620" s="74" t="n">
        <x:v>-0.0053</x:v>
      </x:c>
      <x:c r="H1620" s="66" t="str">
        <x:v>滨风风云瑞丰1号净值20260911.xlsx</x:v>
      </x:c>
      <x:c r="I1620" s="73" t="str">
        <x:f>""</x:f>
      </x:c>
      <x:c r="J1620" s="74" t="str">
        <x:f>""</x:f>
      </x:c>
      <x:c r="K1620" s="73" t="n">
        <x:f>MAX(K1619,F1620)</x:f>
        <x:v>1.6454</x:v>
      </x:c>
      <x:c r="L1620" s="74" t="n">
        <x:f>1-F1620/K1620</x:f>
        <x:v>0.011425793120213856</x:v>
      </x:c>
      <x:c r="M1620" s="73" t="n">
        <x:f>MAX(M1619,F1620)</x:f>
        <x:v>1.6454</x:v>
      </x:c>
      <x:c r="N1620" s="74" t="n">
        <x:f>1-F1620/M1620</x:f>
        <x:v>0.011425793120213856</x:v>
      </x:c>
    </x:row>
    <x:row r="1621" ht="27" customHeight="1">
      <x:c r="A1621" s="66" t="str">
        <x:v>SXL267</x:v>
      </x:c>
      <x:c r="B1621" s="66" t="str">
        <x:v>滨风风云瑞丰1号</x:v>
      </x:c>
      <x:c r="C1621" s="72" t="n">
        <x:v>45762</x:v>
      </x:c>
      <x:c r="D1621" s="73" t="n">
        <x:v>1.6242</x:v>
      </x:c>
      <x:c r="E1621" s="73" t="n">
        <x:v>1.6242</x:v>
      </x:c>
      <x:c r="F1621" s="73" t="n">
        <x:v>1.6242</x:v>
      </x:c>
      <x:c r="G1621" s="74" t="n">
        <x:v>-0.0015</x:v>
      </x:c>
      <x:c r="H1621" s="66" t="str">
        <x:v>滨风风云瑞丰1号净值20260911.xlsx</x:v>
      </x:c>
      <x:c r="I1621" s="73" t="str">
        <x:f>""</x:f>
      </x:c>
      <x:c r="J1621" s="74" t="str">
        <x:f>""</x:f>
      </x:c>
      <x:c r="K1621" s="73" t="n">
        <x:f>MAX(K1620,F1621)</x:f>
        <x:v>1.6454</x:v>
      </x:c>
      <x:c r="L1621" s="74" t="n">
        <x:f>1-F1621/K1621</x:f>
        <x:v>0.012884405007900779</x:v>
      </x:c>
      <x:c r="M1621" s="73" t="n">
        <x:f>MAX(M1620,F1621)</x:f>
        <x:v>1.6454</x:v>
      </x:c>
      <x:c r="N1621" s="74" t="n">
        <x:f>1-F1621/M1621</x:f>
        <x:v>0.012884405007900779</x:v>
      </x:c>
    </x:row>
    <x:row r="1622" ht="27" customHeight="1">
      <x:c r="A1622" s="66" t="str">
        <x:v>SXL267</x:v>
      </x:c>
      <x:c r="B1622" s="66" t="str">
        <x:v>滨风风云瑞丰1号</x:v>
      </x:c>
      <x:c r="C1622" s="72" t="n">
        <x:v>45763</x:v>
      </x:c>
      <x:c r="D1622" s="73" t="n">
        <x:v>1.6484</x:v>
      </x:c>
      <x:c r="E1622" s="73" t="n">
        <x:v>1.6484</x:v>
      </x:c>
      <x:c r="F1622" s="73" t="n">
        <x:v>1.6484</x:v>
      </x:c>
      <x:c r="G1622" s="74" t="n">
        <x:v>0.0149</x:v>
      </x:c>
      <x:c r="H1622" s="66" t="str">
        <x:v>滨风风云瑞丰1号净值20260911.xlsx</x:v>
      </x:c>
      <x:c r="I1622" s="73" t="str">
        <x:f>""</x:f>
      </x:c>
      <x:c r="J1622" s="74" t="str">
        <x:f>""</x:f>
      </x:c>
      <x:c r="K1622" s="73" t="n">
        <x:f>MAX(K1621,F1622)</x:f>
        <x:v>1.6484</x:v>
      </x:c>
      <x:c r="L1622" s="74" t="n">
        <x:f>1-F1622/K1622</x:f>
        <x:v>0</x:v>
      </x:c>
      <x:c r="M1622" s="73" t="n">
        <x:f>MAX(M1621,F1622)</x:f>
        <x:v>1.6484</x:v>
      </x:c>
      <x:c r="N1622" s="74" t="n">
        <x:f>1-F1622/M1622</x:f>
        <x:v>0</x:v>
      </x:c>
    </x:row>
    <x:row r="1623" ht="27" customHeight="1">
      <x:c r="A1623" s="66" t="str">
        <x:v>SXL267</x:v>
      </x:c>
      <x:c r="B1623" s="66" t="str">
        <x:v>滨风风云瑞丰1号</x:v>
      </x:c>
      <x:c r="C1623" s="72" t="n">
        <x:v>45764</x:v>
      </x:c>
      <x:c r="D1623" s="73" t="n">
        <x:v>1.6491</x:v>
      </x:c>
      <x:c r="E1623" s="73" t="n">
        <x:v>1.6491</x:v>
      </x:c>
      <x:c r="F1623" s="73" t="n">
        <x:v>1.6491</x:v>
      </x:c>
      <x:c r="G1623" s="74" t="n">
        <x:v>0.0004</x:v>
      </x:c>
      <x:c r="H1623" s="66" t="str">
        <x:v>滨风风云瑞丰1号净值20260911.xlsx</x:v>
      </x:c>
      <x:c r="I1623" s="73" t="str">
        <x:f>""</x:f>
      </x:c>
      <x:c r="J1623" s="74" t="str">
        <x:f>""</x:f>
      </x:c>
      <x:c r="K1623" s="73" t="n">
        <x:f>MAX(K1622,F1623)</x:f>
        <x:v>1.6491</x:v>
      </x:c>
      <x:c r="L1623" s="74" t="n">
        <x:f>1-F1623/K1623</x:f>
        <x:v>0</x:v>
      </x:c>
      <x:c r="M1623" s="73" t="n">
        <x:f>MAX(M1622,F1623)</x:f>
        <x:v>1.6491</x:v>
      </x:c>
      <x:c r="N1623" s="74" t="n">
        <x:f>1-F1623/M1623</x:f>
        <x:v>0</x:v>
      </x:c>
    </x:row>
    <x:row r="1624" ht="27" customHeight="1">
      <x:c r="A1624" s="66" t="str">
        <x:v>SXL267</x:v>
      </x:c>
      <x:c r="B1624" s="66" t="str">
        <x:v>滨风风云瑞丰1号</x:v>
      </x:c>
      <x:c r="C1624" s="72" t="n">
        <x:v>45765</x:v>
      </x:c>
      <x:c r="D1624" s="73" t="n">
        <x:v>1.6547</x:v>
      </x:c>
      <x:c r="E1624" s="73" t="n">
        <x:v>1.6547</x:v>
      </x:c>
      <x:c r="F1624" s="73" t="n">
        <x:v>1.6547</x:v>
      </x:c>
      <x:c r="G1624" s="74" t="n">
        <x:v>0.0034000000000000002</x:v>
      </x:c>
      <x:c r="H1624" s="66" t="str">
        <x:v>滨风风云瑞丰1号净值20260911.xlsx</x:v>
      </x:c>
      <x:c r="I1624" s="73" t="str">
        <x:f>""</x:f>
      </x:c>
      <x:c r="J1624" s="74" t="str">
        <x:f>""</x:f>
      </x:c>
      <x:c r="K1624" s="73" t="n">
        <x:f>MAX(K1623,F1624)</x:f>
        <x:v>1.6547</x:v>
      </x:c>
      <x:c r="L1624" s="74" t="n">
        <x:f>1-F1624/K1624</x:f>
        <x:v>0</x:v>
      </x:c>
      <x:c r="M1624" s="73" t="n">
        <x:f>MAX(M1623,F1624)</x:f>
        <x:v>1.6547</x:v>
      </x:c>
      <x:c r="N1624" s="74" t="n">
        <x:f>1-F1624/M1624</x:f>
        <x:v>0</x:v>
      </x:c>
    </x:row>
    <x:row r="1625" ht="27" customHeight="1">
      <x:c r="A1625" s="66" t="str">
        <x:v>SXL267</x:v>
      </x:c>
      <x:c r="B1625" s="66" t="str">
        <x:v>滨风风云瑞丰1号</x:v>
      </x:c>
      <x:c r="C1625" s="72" t="n">
        <x:v>45768</x:v>
      </x:c>
      <x:c r="D1625" s="73" t="n">
        <x:v>1.6739</x:v>
      </x:c>
      <x:c r="E1625" s="73" t="n">
        <x:v>1.6739</x:v>
      </x:c>
      <x:c r="F1625" s="73" t="n">
        <x:v>1.6739</x:v>
      </x:c>
      <x:c r="G1625" s="74" t="n">
        <x:v>0.0116</x:v>
      </x:c>
      <x:c r="H1625" s="66" t="str">
        <x:v>滨风风云瑞丰1号净值20260911.xlsx</x:v>
      </x:c>
      <x:c r="I1625" s="73" t="str">
        <x:f>""</x:f>
      </x:c>
      <x:c r="J1625" s="74" t="str">
        <x:f>""</x:f>
      </x:c>
      <x:c r="K1625" s="73" t="n">
        <x:f>MAX(K1624,F1625)</x:f>
        <x:v>1.6739</x:v>
      </x:c>
      <x:c r="L1625" s="74" t="n">
        <x:f>1-F1625/K1625</x:f>
        <x:v>0</x:v>
      </x:c>
      <x:c r="M1625" s="73" t="n">
        <x:f>MAX(M1624,F1625)</x:f>
        <x:v>1.6739</x:v>
      </x:c>
      <x:c r="N1625" s="74" t="n">
        <x:f>1-F1625/M1625</x:f>
        <x:v>0</x:v>
      </x:c>
    </x:row>
    <x:row r="1626" ht="27" customHeight="1">
      <x:c r="A1626" s="66" t="str">
        <x:v>SXL267</x:v>
      </x:c>
      <x:c r="B1626" s="66" t="str">
        <x:v>滨风风云瑞丰1号</x:v>
      </x:c>
      <x:c r="C1626" s="72" t="n">
        <x:v>45769</x:v>
      </x:c>
      <x:c r="D1626" s="73" t="n">
        <x:v>1.6809</x:v>
      </x:c>
      <x:c r="E1626" s="73" t="n">
        <x:v>1.6809</x:v>
      </x:c>
      <x:c r="F1626" s="73" t="n">
        <x:v>1.6809</x:v>
      </x:c>
      <x:c r="G1626" s="74" t="n">
        <x:v>0.0042</x:v>
      </x:c>
      <x:c r="H1626" s="66" t="str">
        <x:v>滨风风云瑞丰1号净值20260911.xlsx</x:v>
      </x:c>
      <x:c r="I1626" s="73" t="str">
        <x:f>""</x:f>
      </x:c>
      <x:c r="J1626" s="74" t="str">
        <x:f>""</x:f>
      </x:c>
      <x:c r="K1626" s="73" t="n">
        <x:f>MAX(K1625,F1626)</x:f>
        <x:v>1.6809</x:v>
      </x:c>
      <x:c r="L1626" s="74" t="n">
        <x:f>1-F1626/K1626</x:f>
        <x:v>0</x:v>
      </x:c>
      <x:c r="M1626" s="73" t="n">
        <x:f>MAX(M1625,F1626)</x:f>
        <x:v>1.6809</x:v>
      </x:c>
      <x:c r="N1626" s="74" t="n">
        <x:f>1-F1626/M1626</x:f>
        <x:v>0</x:v>
      </x:c>
    </x:row>
    <x:row r="1627" ht="27" customHeight="1">
      <x:c r="A1627" s="66" t="str">
        <x:v>SXL267</x:v>
      </x:c>
      <x:c r="B1627" s="66" t="str">
        <x:v>滨风风云瑞丰1号</x:v>
      </x:c>
      <x:c r="C1627" s="72" t="n">
        <x:v>45770</x:v>
      </x:c>
      <x:c r="D1627" s="73" t="n">
        <x:v>1.6236</x:v>
      </x:c>
      <x:c r="E1627" s="73" t="n">
        <x:v>1.6236</x:v>
      </x:c>
      <x:c r="F1627" s="73" t="n">
        <x:v>1.6236</x:v>
      </x:c>
      <x:c r="G1627" s="74" t="n">
        <x:v>-0.0341</x:v>
      </x:c>
      <x:c r="H1627" s="66" t="str">
        <x:v>滨风风云瑞丰1号净值20260911.xlsx</x:v>
      </x:c>
      <x:c r="I1627" s="73" t="str">
        <x:f>""</x:f>
      </x:c>
      <x:c r="J1627" s="74" t="str">
        <x:f>""</x:f>
      </x:c>
      <x:c r="K1627" s="73" t="n">
        <x:f>MAX(K1626,F1627)</x:f>
        <x:v>1.6809</x:v>
      </x:c>
      <x:c r="L1627" s="74" t="n">
        <x:f>1-F1627/K1627</x:f>
        <x:v>0.03408888095663043</x:v>
      </x:c>
      <x:c r="M1627" s="73" t="n">
        <x:f>MAX(M1626,F1627)</x:f>
        <x:v>1.6809</x:v>
      </x:c>
      <x:c r="N1627" s="74" t="n">
        <x:f>1-F1627/M1627</x:f>
        <x:v>0.03408888095663043</x:v>
      </x:c>
    </x:row>
    <x:row r="1628" ht="27" customHeight="1">
      <x:c r="A1628" s="66" t="str">
        <x:v>SXL267</x:v>
      </x:c>
      <x:c r="B1628" s="66" t="str">
        <x:v>滨风风云瑞丰1号</x:v>
      </x:c>
      <x:c r="C1628" s="72" t="n">
        <x:v>45771</x:v>
      </x:c>
      <x:c r="D1628" s="73" t="n">
        <x:v>1.5889</x:v>
      </x:c>
      <x:c r="E1628" s="73" t="n">
        <x:v>1.5889</x:v>
      </x:c>
      <x:c r="F1628" s="73" t="n">
        <x:v>1.5889</x:v>
      </x:c>
      <x:c r="G1628" s="74" t="n">
        <x:v>-0.021400000000000002</x:v>
      </x:c>
      <x:c r="H1628" s="66" t="str">
        <x:v>滨风风云瑞丰1号净值20260911.xlsx</x:v>
      </x:c>
      <x:c r="I1628" s="73" t="str">
        <x:f>""</x:f>
      </x:c>
      <x:c r="J1628" s="74" t="str">
        <x:f>""</x:f>
      </x:c>
      <x:c r="K1628" s="73" t="n">
        <x:f>MAX(K1627,F1628)</x:f>
        <x:v>1.6809</x:v>
      </x:c>
      <x:c r="L1628" s="74" t="n">
        <x:f>1-F1628/K1628</x:f>
        <x:v>0.05473258373490397</x:v>
      </x:c>
      <x:c r="M1628" s="73" t="n">
        <x:f>MAX(M1627,F1628)</x:f>
        <x:v>1.6809</x:v>
      </x:c>
      <x:c r="N1628" s="74" t="n">
        <x:f>1-F1628/M1628</x:f>
        <x:v>0.05473258373490397</x:v>
      </x:c>
    </x:row>
    <x:row r="1629" ht="27" customHeight="1">
      <x:c r="A1629" s="66" t="str">
        <x:v>SXL267</x:v>
      </x:c>
      <x:c r="B1629" s="66" t="str">
        <x:v>滨风风云瑞丰1号</x:v>
      </x:c>
      <x:c r="C1629" s="72" t="n">
        <x:v>45772</x:v>
      </x:c>
      <x:c r="D1629" s="73" t="n">
        <x:v>1.5907</x:v>
      </x:c>
      <x:c r="E1629" s="73" t="n">
        <x:v>1.5907</x:v>
      </x:c>
      <x:c r="F1629" s="73" t="n">
        <x:v>1.5907</x:v>
      </x:c>
      <x:c r="G1629" s="74" t="n">
        <x:v>0.0011</x:v>
      </x:c>
      <x:c r="H1629" s="66" t="str">
        <x:v>滨风风云瑞丰1号净值20260911.xlsx</x:v>
      </x:c>
      <x:c r="I1629" s="73" t="str">
        <x:f>""</x:f>
      </x:c>
      <x:c r="J1629" s="74" t="str">
        <x:f>""</x:f>
      </x:c>
      <x:c r="K1629" s="73" t="n">
        <x:f>MAX(K1628,F1629)</x:f>
        <x:v>1.6809</x:v>
      </x:c>
      <x:c r="L1629" s="74" t="n">
        <x:f>1-F1629/K1629</x:f>
        <x:v>0.05366172883574283</x:v>
      </x:c>
      <x:c r="M1629" s="73" t="n">
        <x:f>MAX(M1628,F1629)</x:f>
        <x:v>1.6809</x:v>
      </x:c>
      <x:c r="N1629" s="74" t="n">
        <x:f>1-F1629/M1629</x:f>
        <x:v>0.05366172883574283</x:v>
      </x:c>
    </x:row>
    <x:row r="1630" ht="27" customHeight="1">
      <x:c r="A1630" s="66" t="str">
        <x:v>SXL267</x:v>
      </x:c>
      <x:c r="B1630" s="66" t="str">
        <x:v>滨风风云瑞丰1号</x:v>
      </x:c>
      <x:c r="C1630" s="72" t="n">
        <x:v>45775</x:v>
      </x:c>
      <x:c r="D1630" s="73" t="n">
        <x:v>1.591</x:v>
      </x:c>
      <x:c r="E1630" s="73" t="n">
        <x:v>1.591</x:v>
      </x:c>
      <x:c r="F1630" s="73" t="n">
        <x:v>1.591</x:v>
      </x:c>
      <x:c r="G1630" s="74" t="n">
        <x:v>0.0002</x:v>
      </x:c>
      <x:c r="H1630" s="66" t="str">
        <x:v>滨风风云瑞丰1号净值20260911.xlsx</x:v>
      </x:c>
      <x:c r="I1630" s="73" t="str">
        <x:f>""</x:f>
      </x:c>
      <x:c r="J1630" s="74" t="str">
        <x:f>""</x:f>
      </x:c>
      <x:c r="K1630" s="73" t="n">
        <x:f>MAX(K1629,F1630)</x:f>
        <x:v>1.6809</x:v>
      </x:c>
      <x:c r="L1630" s="74" t="n">
        <x:f>1-F1630/K1630</x:f>
        <x:v>0.05348325301921597</x:v>
      </x:c>
      <x:c r="M1630" s="73" t="n">
        <x:f>MAX(M1629,F1630)</x:f>
        <x:v>1.6809</x:v>
      </x:c>
      <x:c r="N1630" s="74" t="n">
        <x:f>1-F1630/M1630</x:f>
        <x:v>0.05348325301921597</x:v>
      </x:c>
    </x:row>
    <x:row r="1631" ht="27" customHeight="1">
      <x:c r="A1631" s="66" t="str">
        <x:v>SXL267</x:v>
      </x:c>
      <x:c r="B1631" s="66" t="str">
        <x:v>滨风风云瑞丰1号</x:v>
      </x:c>
      <x:c r="C1631" s="72" t="n">
        <x:v>45776</x:v>
      </x:c>
      <x:c r="D1631" s="73" t="n">
        <x:v>1.6135</x:v>
      </x:c>
      <x:c r="E1631" s="73" t="n">
        <x:v>1.6135</x:v>
      </x:c>
      <x:c r="F1631" s="73" t="n">
        <x:v>1.6135</x:v>
      </x:c>
      <x:c r="G1631" s="74" t="n">
        <x:v>0.0141</x:v>
      </x:c>
      <x:c r="H1631" s="66" t="str">
        <x:v>滨风风云瑞丰1号净值20260911.xlsx</x:v>
      </x:c>
      <x:c r="I1631" s="73" t="str">
        <x:f>""</x:f>
      </x:c>
      <x:c r="J1631" s="74" t="str">
        <x:f>""</x:f>
      </x:c>
      <x:c r="K1631" s="73" t="n">
        <x:f>MAX(K1630,F1631)</x:f>
        <x:v>1.6809</x:v>
      </x:c>
      <x:c r="L1631" s="74" t="n">
        <x:f>1-F1631/K1631</x:f>
        <x:v>0.04009756677970144</x:v>
      </x:c>
      <x:c r="M1631" s="73" t="n">
        <x:f>MAX(M1630,F1631)</x:f>
        <x:v>1.6809</x:v>
      </x:c>
      <x:c r="N1631" s="74" t="n">
        <x:f>1-F1631/M1631</x:f>
        <x:v>0.04009756677970144</x:v>
      </x:c>
    </x:row>
    <x:row r="1632" ht="27" customHeight="1">
      <x:c r="A1632" s="66" t="str">
        <x:v>SXL267</x:v>
      </x:c>
      <x:c r="B1632" s="66" t="str">
        <x:v>滨风风云瑞丰1号</x:v>
      </x:c>
      <x:c r="C1632" s="72" t="n">
        <x:v>45777</x:v>
      </x:c>
      <x:c r="D1632" s="73" t="n">
        <x:v>1.6244</x:v>
      </x:c>
      <x:c r="E1632" s="73" t="n">
        <x:v>1.6244</x:v>
      </x:c>
      <x:c r="F1632" s="73" t="n">
        <x:v>1.6244</x:v>
      </x:c>
      <x:c r="G1632" s="74" t="n">
        <x:v>0.0068000000000000005</x:v>
      </x:c>
      <x:c r="H1632" s="66" t="str">
        <x:v>滨风风云瑞丰1号净值20260911.xlsx</x:v>
      </x:c>
      <x:c r="I1632" s="73" t="str">
        <x:f>""</x:f>
      </x:c>
      <x:c r="J1632" s="74" t="str">
        <x:f>""</x:f>
      </x:c>
      <x:c r="K1632" s="73" t="n">
        <x:f>MAX(K1631,F1632)</x:f>
        <x:v>1.6809</x:v>
      </x:c>
      <x:c r="L1632" s="74" t="n">
        <x:f>1-F1632/K1632</x:f>
        <x:v>0.033612945445892106</x:v>
      </x:c>
      <x:c r="M1632" s="73" t="n">
        <x:f>MAX(M1631,F1632)</x:f>
        <x:v>1.6809</x:v>
      </x:c>
      <x:c r="N1632" s="74" t="n">
        <x:f>1-F1632/M1632</x:f>
        <x:v>0.033612945445892106</x:v>
      </x:c>
    </x:row>
    <x:row r="1633" ht="27" customHeight="1">
      <x:c r="A1633" s="66" t="str">
        <x:v>SXL267</x:v>
      </x:c>
      <x:c r="B1633" s="66" t="str">
        <x:v>滨风风云瑞丰1号</x:v>
      </x:c>
      <x:c r="C1633" s="72" t="n">
        <x:v>45783</x:v>
      </x:c>
      <x:c r="D1633" s="73" t="n">
        <x:v>1.6539</x:v>
      </x:c>
      <x:c r="E1633" s="73" t="n">
        <x:v>1.6539</x:v>
      </x:c>
      <x:c r="F1633" s="73" t="n">
        <x:v>1.6539</x:v>
      </x:c>
      <x:c r="G1633" s="74" t="n">
        <x:v>0.0182</x:v>
      </x:c>
      <x:c r="H1633" s="66" t="str">
        <x:v>滨风风云瑞丰1号净值20260911.xlsx</x:v>
      </x:c>
      <x:c r="I1633" s="73" t="str">
        <x:f>""</x:f>
      </x:c>
      <x:c r="J1633" s="74" t="str">
        <x:f>""</x:f>
      </x:c>
      <x:c r="K1633" s="73" t="n">
        <x:f>MAX(K1632,F1633)</x:f>
        <x:v>1.6809</x:v>
      </x:c>
      <x:c r="L1633" s="74" t="n">
        <x:f>1-F1633/K1633</x:f>
        <x:v>0.0160628234874175</x:v>
      </x:c>
      <x:c r="M1633" s="73" t="n">
        <x:f>MAX(M1632,F1633)</x:f>
        <x:v>1.6809</x:v>
      </x:c>
      <x:c r="N1633" s="74" t="n">
        <x:f>1-F1633/M1633</x:f>
        <x:v>0.0160628234874175</x:v>
      </x:c>
    </x:row>
    <x:row r="1634" ht="27" customHeight="1">
      <x:c r="A1634" s="66" t="str">
        <x:v>SXL267</x:v>
      </x:c>
      <x:c r="B1634" s="66" t="str">
        <x:v>滨风风云瑞丰1号</x:v>
      </x:c>
      <x:c r="C1634" s="72" t="n">
        <x:v>45784</x:v>
      </x:c>
      <x:c r="D1634" s="73" t="n">
        <x:v>1.637</x:v>
      </x:c>
      <x:c r="E1634" s="73" t="n">
        <x:v>1.637</x:v>
      </x:c>
      <x:c r="F1634" s="73" t="n">
        <x:v>1.637</x:v>
      </x:c>
      <x:c r="G1634" s="74" t="n">
        <x:v>-0.0102</x:v>
      </x:c>
      <x:c r="H1634" s="66" t="str">
        <x:v>滨风风云瑞丰1号净值20260911.xlsx</x:v>
      </x:c>
      <x:c r="I1634" s="73" t="str">
        <x:f>""</x:f>
      </x:c>
      <x:c r="J1634" s="74" t="str">
        <x:f>""</x:f>
      </x:c>
      <x:c r="K1634" s="73" t="n">
        <x:f>MAX(K1633,F1634)</x:f>
        <x:v>1.6809</x:v>
      </x:c>
      <x:c r="L1634" s="74" t="n">
        <x:f>1-F1634/K1634</x:f>
        <x:v>0.026116961151763984</x:v>
      </x:c>
      <x:c r="M1634" s="73" t="n">
        <x:f>MAX(M1633,F1634)</x:f>
        <x:v>1.6809</x:v>
      </x:c>
      <x:c r="N1634" s="74" t="n">
        <x:f>1-F1634/M1634</x:f>
        <x:v>0.026116961151763984</x:v>
      </x:c>
    </x:row>
    <x:row r="1635" ht="27" customHeight="1">
      <x:c r="A1635" s="66" t="str">
        <x:v>SXL267</x:v>
      </x:c>
      <x:c r="B1635" s="66" t="str">
        <x:v>滨风风云瑞丰1号</x:v>
      </x:c>
      <x:c r="C1635" s="72" t="n">
        <x:v>45785</x:v>
      </x:c>
      <x:c r="D1635" s="73" t="n">
        <x:v>1.6463</x:v>
      </x:c>
      <x:c r="E1635" s="73" t="n">
        <x:v>1.6463</x:v>
      </x:c>
      <x:c r="F1635" s="73" t="n">
        <x:v>1.6463</x:v>
      </x:c>
      <x:c r="G1635" s="74" t="n">
        <x:v>0.005699999999999999</x:v>
      </x:c>
      <x:c r="H1635" s="66" t="str">
        <x:v>滨风风云瑞丰1号净值20260911.xlsx</x:v>
      </x:c>
      <x:c r="I1635" s="73" t="str">
        <x:f>""</x:f>
      </x:c>
      <x:c r="J1635" s="74" t="str">
        <x:f>""</x:f>
      </x:c>
      <x:c r="K1635" s="73" t="n">
        <x:f>MAX(K1634,F1635)</x:f>
        <x:v>1.6809</x:v>
      </x:c>
      <x:c r="L1635" s="74" t="n">
        <x:f>1-F1635/K1635</x:f>
        <x:v>0.020584210839431183</x:v>
      </x:c>
      <x:c r="M1635" s="73" t="n">
        <x:f>MAX(M1634,F1635)</x:f>
        <x:v>1.6809</x:v>
      </x:c>
      <x:c r="N1635" s="74" t="n">
        <x:f>1-F1635/M1635</x:f>
        <x:v>0.020584210839431183</x:v>
      </x:c>
    </x:row>
    <x:row r="1636" ht="27" customHeight="1">
      <x:c r="A1636" s="66" t="str">
        <x:v>SXL267</x:v>
      </x:c>
      <x:c r="B1636" s="66" t="str">
        <x:v>滨风风云瑞丰1号</x:v>
      </x:c>
      <x:c r="C1636" s="72" t="n">
        <x:v>45786</x:v>
      </x:c>
      <x:c r="D1636" s="73" t="n">
        <x:v>1.6363</x:v>
      </x:c>
      <x:c r="E1636" s="73" t="n">
        <x:v>1.6363</x:v>
      </x:c>
      <x:c r="F1636" s="73" t="n">
        <x:v>1.6363</x:v>
      </x:c>
      <x:c r="G1636" s="74" t="n">
        <x:v>-0.0060999999999999995</x:v>
      </x:c>
      <x:c r="H1636" s="66" t="str">
        <x:v>滨风风云瑞丰1号净值20260911.xlsx</x:v>
      </x:c>
      <x:c r="I1636" s="73" t="str">
        <x:f>""</x:f>
      </x:c>
      <x:c r="J1636" s="74" t="str">
        <x:f>""</x:f>
      </x:c>
      <x:c r="K1636" s="73" t="n">
        <x:f>MAX(K1635,F1636)</x:f>
        <x:v>1.6809</x:v>
      </x:c>
      <x:c r="L1636" s="74" t="n">
        <x:f>1-F1636/K1636</x:f>
        <x:v>0.026533404723659948</x:v>
      </x:c>
      <x:c r="M1636" s="73" t="n">
        <x:f>MAX(M1635,F1636)</x:f>
        <x:v>1.6809</x:v>
      </x:c>
      <x:c r="N1636" s="74" t="n">
        <x:f>1-F1636/M1636</x:f>
        <x:v>0.026533404723659948</x:v>
      </x:c>
    </x:row>
    <x:row r="1637" ht="27" customHeight="1">
      <x:c r="A1637" s="66" t="str">
        <x:v>SXL267</x:v>
      </x:c>
      <x:c r="B1637" s="66" t="str">
        <x:v>滨风风云瑞丰1号</x:v>
      </x:c>
      <x:c r="C1637" s="72" t="n">
        <x:v>45789</x:v>
      </x:c>
      <x:c r="D1637" s="73" t="n">
        <x:v>1.6086</x:v>
      </x:c>
      <x:c r="E1637" s="73" t="n">
        <x:v>1.6086</x:v>
      </x:c>
      <x:c r="F1637" s="73" t="n">
        <x:v>1.6086</x:v>
      </x:c>
      <x:c r="G1637" s="74" t="n">
        <x:v>-0.0169</x:v>
      </x:c>
      <x:c r="H1637" s="66" t="str">
        <x:v>滨风风云瑞丰1号净值20260911.xlsx</x:v>
      </x:c>
      <x:c r="I1637" s="73" t="str">
        <x:f>""</x:f>
      </x:c>
      <x:c r="J1637" s="74" t="str">
        <x:f>""</x:f>
      </x:c>
      <x:c r="K1637" s="73" t="n">
        <x:f>MAX(K1636,F1637)</x:f>
        <x:v>1.6809</x:v>
      </x:c>
      <x:c r="L1637" s="74" t="n">
        <x:f>1-F1637/K1637</x:f>
        <x:v>0.04301267178297341</x:v>
      </x:c>
      <x:c r="M1637" s="73" t="n">
        <x:f>MAX(M1636,F1637)</x:f>
        <x:v>1.6809</x:v>
      </x:c>
      <x:c r="N1637" s="74" t="n">
        <x:f>1-F1637/M1637</x:f>
        <x:v>0.04301267178297341</x:v>
      </x:c>
    </x:row>
    <x:row r="1638" ht="27" customHeight="1">
      <x:c r="A1638" s="66" t="str">
        <x:v>SXL267</x:v>
      </x:c>
      <x:c r="B1638" s="66" t="str">
        <x:v>滨风风云瑞丰1号</x:v>
      </x:c>
      <x:c r="C1638" s="72" t="n">
        <x:v>45790</x:v>
      </x:c>
      <x:c r="D1638" s="73" t="n">
        <x:v>1.6063</x:v>
      </x:c>
      <x:c r="E1638" s="73" t="n">
        <x:v>1.6063</x:v>
      </x:c>
      <x:c r="F1638" s="73" t="n">
        <x:v>1.6063</x:v>
      </x:c>
      <x:c r="G1638" s="74" t="n">
        <x:v>-0.0014000000000000002</x:v>
      </x:c>
      <x:c r="H1638" s="66" t="str">
        <x:v>滨风风云瑞丰1号净值20260911.xlsx</x:v>
      </x:c>
      <x:c r="I1638" s="73" t="str">
        <x:f>""</x:f>
      </x:c>
      <x:c r="J1638" s="74" t="str">
        <x:f>""</x:f>
      </x:c>
      <x:c r="K1638" s="73" t="n">
        <x:f>MAX(K1637,F1638)</x:f>
        <x:v>1.6809</x:v>
      </x:c>
      <x:c r="L1638" s="74" t="n">
        <x:f>1-F1638/K1638</x:f>
        <x:v>0.04438098637634602</x:v>
      </x:c>
      <x:c r="M1638" s="73" t="n">
        <x:f>MAX(M1637,F1638)</x:f>
        <x:v>1.6809</x:v>
      </x:c>
      <x:c r="N1638" s="74" t="n">
        <x:f>1-F1638/M1638</x:f>
        <x:v>0.04438098637634602</x:v>
      </x:c>
    </x:row>
    <x:row r="1639" ht="27" customHeight="1">
      <x:c r="A1639" s="66" t="str">
        <x:v>SXL267</x:v>
      </x:c>
      <x:c r="B1639" s="66" t="str">
        <x:v>滨风风云瑞丰1号</x:v>
      </x:c>
      <x:c r="C1639" s="72" t="n">
        <x:v>45791</x:v>
      </x:c>
      <x:c r="D1639" s="73" t="n">
        <x:v>1.5813</x:v>
      </x:c>
      <x:c r="E1639" s="73" t="n">
        <x:v>1.5813</x:v>
      </x:c>
      <x:c r="F1639" s="73" t="n">
        <x:v>1.5813</x:v>
      </x:c>
      <x:c r="G1639" s="74" t="n">
        <x:v>-0.015600000000000001</x:v>
      </x:c>
      <x:c r="H1639" s="66" t="str">
        <x:v>滨风风云瑞丰1号净值20260911.xlsx</x:v>
      </x:c>
      <x:c r="I1639" s="73" t="str">
        <x:f>""</x:f>
      </x:c>
      <x:c r="J1639" s="74" t="str">
        <x:f>""</x:f>
      </x:c>
      <x:c r="K1639" s="73" t="n">
        <x:f>MAX(K1638,F1639)</x:f>
        <x:v>1.6809</x:v>
      </x:c>
      <x:c r="L1639" s="74" t="n">
        <x:f>1-F1639/K1639</x:f>
        <x:v>0.05925397108691777</x:v>
      </x:c>
      <x:c r="M1639" s="73" t="n">
        <x:f>MAX(M1638,F1639)</x:f>
        <x:v>1.6809</x:v>
      </x:c>
      <x:c r="N1639" s="74" t="n">
        <x:f>1-F1639/M1639</x:f>
        <x:v>0.05925397108691777</x:v>
      </x:c>
    </x:row>
    <x:row r="1640" ht="27" customHeight="1">
      <x:c r="A1640" s="66" t="str">
        <x:v>SXL267</x:v>
      </x:c>
      <x:c r="B1640" s="66" t="str">
        <x:v>滨风风云瑞丰1号</x:v>
      </x:c>
      <x:c r="C1640" s="72" t="n">
        <x:v>45792</x:v>
      </x:c>
      <x:c r="D1640" s="73" t="n">
        <x:v>1.5826</x:v>
      </x:c>
      <x:c r="E1640" s="73" t="n">
        <x:v>1.5826</x:v>
      </x:c>
      <x:c r="F1640" s="73" t="n">
        <x:v>1.5826</x:v>
      </x:c>
      <x:c r="G1640" s="74" t="n">
        <x:v>0.0008</x:v>
      </x:c>
      <x:c r="H1640" s="66" t="str">
        <x:v>滨风风云瑞丰1号净值20260911.xlsx</x:v>
      </x:c>
      <x:c r="I1640" s="73" t="str">
        <x:f>""</x:f>
      </x:c>
      <x:c r="J1640" s="74" t="str">
        <x:f>""</x:f>
      </x:c>
      <x:c r="K1640" s="73" t="n">
        <x:f>MAX(K1639,F1640)</x:f>
        <x:v>1.6809</x:v>
      </x:c>
      <x:c r="L1640" s="74" t="n">
        <x:f>1-F1640/K1640</x:f>
        <x:v>0.05848057588196798</x:v>
      </x:c>
      <x:c r="M1640" s="73" t="n">
        <x:f>MAX(M1639,F1640)</x:f>
        <x:v>1.6809</x:v>
      </x:c>
      <x:c r="N1640" s="74" t="n">
        <x:f>1-F1640/M1640</x:f>
        <x:v>0.05848057588196798</x:v>
      </x:c>
    </x:row>
    <x:row r="1641" ht="27" customHeight="1">
      <x:c r="A1641" s="66" t="str">
        <x:v>SXL267</x:v>
      </x:c>
      <x:c r="B1641" s="66" t="str">
        <x:v>滨风风云瑞丰1号</x:v>
      </x:c>
      <x:c r="C1641" s="72" t="n">
        <x:v>45793</x:v>
      </x:c>
      <x:c r="D1641" s="73" t="n">
        <x:v>1.5868</x:v>
      </x:c>
      <x:c r="E1641" s="73" t="n">
        <x:v>1.5868</x:v>
      </x:c>
      <x:c r="F1641" s="73" t="n">
        <x:v>1.5868</x:v>
      </x:c>
      <x:c r="G1641" s="74" t="n">
        <x:v>0.0027</x:v>
      </x:c>
      <x:c r="H1641" s="66" t="str">
        <x:v>滨风风云瑞丰1号净值20260911.xlsx</x:v>
      </x:c>
      <x:c r="I1641" s="73" t="str">
        <x:f>""</x:f>
      </x:c>
      <x:c r="J1641" s="74" t="str">
        <x:f>""</x:f>
      </x:c>
      <x:c r="K1641" s="73" t="n">
        <x:f>MAX(K1640,F1641)</x:f>
        <x:v>1.6809</x:v>
      </x:c>
      <x:c r="L1641" s="74" t="n">
        <x:f>1-F1641/K1641</x:f>
        <x:v>0.055981914450591974</x:v>
      </x:c>
      <x:c r="M1641" s="73" t="n">
        <x:f>MAX(M1640,F1641)</x:f>
        <x:v>1.6809</x:v>
      </x:c>
      <x:c r="N1641" s="74" t="n">
        <x:f>1-F1641/M1641</x:f>
        <x:v>0.055981914450591974</x:v>
      </x:c>
    </x:row>
    <x:row r="1642" ht="27" customHeight="1">
      <x:c r="A1642" s="66" t="str">
        <x:v>SXL267</x:v>
      </x:c>
      <x:c r="B1642" s="66" t="str">
        <x:v>滨风风云瑞丰1号</x:v>
      </x:c>
      <x:c r="C1642" s="72" t="n">
        <x:v>45796</x:v>
      </x:c>
      <x:c r="D1642" s="73" t="n">
        <x:v>1.5871</x:v>
      </x:c>
      <x:c r="E1642" s="73" t="n">
        <x:v>1.5871</x:v>
      </x:c>
      <x:c r="F1642" s="73" t="n">
        <x:v>1.5871</x:v>
      </x:c>
      <x:c r="G1642" s="74" t="n">
        <x:v>0.0002</x:v>
      </x:c>
      <x:c r="H1642" s="66" t="str">
        <x:v>滨风风云瑞丰1号净值20260911.xlsx</x:v>
      </x:c>
      <x:c r="I1642" s="73" t="str">
        <x:f>""</x:f>
      </x:c>
      <x:c r="J1642" s="74" t="str">
        <x:f>""</x:f>
      </x:c>
      <x:c r="K1642" s="73" t="n">
        <x:f>MAX(K1641,F1642)</x:f>
        <x:v>1.6809</x:v>
      </x:c>
      <x:c r="L1642" s="74" t="n">
        <x:f>1-F1642/K1642</x:f>
        <x:v>0.05580343863406512</x:v>
      </x:c>
      <x:c r="M1642" s="73" t="n">
        <x:f>MAX(M1641,F1642)</x:f>
        <x:v>1.6809</x:v>
      </x:c>
      <x:c r="N1642" s="74" t="n">
        <x:f>1-F1642/M1642</x:f>
        <x:v>0.05580343863406512</x:v>
      </x:c>
    </x:row>
    <x:row r="1643" ht="27" customHeight="1">
      <x:c r="A1643" s="66" t="str">
        <x:v>SXL267</x:v>
      </x:c>
      <x:c r="B1643" s="66" t="str">
        <x:v>滨风风云瑞丰1号</x:v>
      </x:c>
      <x:c r="C1643" s="72" t="n">
        <x:v>45797</x:v>
      </x:c>
      <x:c r="D1643" s="73" t="n">
        <x:v>1.5839</x:v>
      </x:c>
      <x:c r="E1643" s="73" t="n">
        <x:v>1.5839</x:v>
      </x:c>
      <x:c r="F1643" s="73" t="n">
        <x:v>1.5839</x:v>
      </x:c>
      <x:c r="G1643" s="74" t="n">
        <x:v>-0.002</x:v>
      </x:c>
      <x:c r="H1643" s="66" t="str">
        <x:v>滨风风云瑞丰1号净值20260911.xlsx</x:v>
      </x:c>
      <x:c r="I1643" s="73" t="str">
        <x:f>""</x:f>
      </x:c>
      <x:c r="J1643" s="74" t="str">
        <x:f>""</x:f>
      </x:c>
      <x:c r="K1643" s="73" t="n">
        <x:f>MAX(K1642,F1643)</x:f>
        <x:v>1.6809</x:v>
      </x:c>
      <x:c r="L1643" s="74" t="n">
        <x:f>1-F1643/K1643</x:f>
        <x:v>0.0577071806770183</x:v>
      </x:c>
      <x:c r="M1643" s="73" t="n">
        <x:f>MAX(M1642,F1643)</x:f>
        <x:v>1.6809</x:v>
      </x:c>
      <x:c r="N1643" s="74" t="n">
        <x:f>1-F1643/M1643</x:f>
        <x:v>0.0577071806770183</x:v>
      </x:c>
    </x:row>
    <x:row r="1644" ht="27" customHeight="1">
      <x:c r="A1644" s="66" t="str">
        <x:v>SXL267</x:v>
      </x:c>
      <x:c r="B1644" s="66" t="str">
        <x:v>滨风风云瑞丰1号</x:v>
      </x:c>
      <x:c r="C1644" s="72" t="n">
        <x:v>45798</x:v>
      </x:c>
      <x:c r="D1644" s="73" t="n">
        <x:v>1.5898</x:v>
      </x:c>
      <x:c r="E1644" s="73" t="n">
        <x:v>1.5898</x:v>
      </x:c>
      <x:c r="F1644" s="73" t="n">
        <x:v>1.5898</x:v>
      </x:c>
      <x:c r="G1644" s="74" t="n">
        <x:v>0.0037</x:v>
      </x:c>
      <x:c r="H1644" s="66" t="str">
        <x:v>滨风风云瑞丰1号净值20260911.xlsx</x:v>
      </x:c>
      <x:c r="I1644" s="73" t="str">
        <x:f>""</x:f>
      </x:c>
      <x:c r="J1644" s="74" t="str">
        <x:f>""</x:f>
      </x:c>
      <x:c r="K1644" s="73" t="n">
        <x:f>MAX(K1643,F1644)</x:f>
        <x:v>1.6809</x:v>
      </x:c>
      <x:c r="L1644" s="74" t="n">
        <x:f>1-F1644/K1644</x:f>
        <x:v>0.05419715628532329</x:v>
      </x:c>
      <x:c r="M1644" s="73" t="n">
        <x:f>MAX(M1643,F1644)</x:f>
        <x:v>1.6809</x:v>
      </x:c>
      <x:c r="N1644" s="74" t="n">
        <x:f>1-F1644/M1644</x:f>
        <x:v>0.05419715628532329</x:v>
      </x:c>
    </x:row>
    <x:row r="1645" ht="27" customHeight="1">
      <x:c r="A1645" s="66" t="str">
        <x:v>SXL267</x:v>
      </x:c>
      <x:c r="B1645" s="66" t="str">
        <x:v>滨风风云瑞丰1号</x:v>
      </x:c>
      <x:c r="C1645" s="72" t="n">
        <x:v>45799</x:v>
      </x:c>
      <x:c r="D1645" s="73" t="n">
        <x:v>1.5919</x:v>
      </x:c>
      <x:c r="E1645" s="73" t="n">
        <x:v>1.5919</x:v>
      </x:c>
      <x:c r="F1645" s="73" t="n">
        <x:v>1.5919</x:v>
      </x:c>
      <x:c r="G1645" s="74" t="n">
        <x:v>0.0013</x:v>
      </x:c>
      <x:c r="H1645" s="66" t="str">
        <x:v>滨风风云瑞丰1号净值20260911.xlsx</x:v>
      </x:c>
      <x:c r="I1645" s="73" t="str">
        <x:f>""</x:f>
      </x:c>
      <x:c r="J1645" s="74" t="str">
        <x:f>""</x:f>
      </x:c>
      <x:c r="K1645" s="73" t="n">
        <x:f>MAX(K1644,F1645)</x:f>
        <x:v>1.6809</x:v>
      </x:c>
      <x:c r="L1645" s="74" t="n">
        <x:f>1-F1645/K1645</x:f>
        <x:v>0.05294782556963529</x:v>
      </x:c>
      <x:c r="M1645" s="73" t="n">
        <x:f>MAX(M1644,F1645)</x:f>
        <x:v>1.6809</x:v>
      </x:c>
      <x:c r="N1645" s="74" t="n">
        <x:f>1-F1645/M1645</x:f>
        <x:v>0.05294782556963529</x:v>
      </x:c>
    </x:row>
    <x:row r="1646" ht="27" customHeight="1">
      <x:c r="A1646" s="66" t="str">
        <x:v>SXL267</x:v>
      </x:c>
      <x:c r="B1646" s="66" t="str">
        <x:v>滨风风云瑞丰1号</x:v>
      </x:c>
      <x:c r="C1646" s="72" t="n">
        <x:v>45800</x:v>
      </x:c>
      <x:c r="D1646" s="73" t="n">
        <x:v>1.5957</x:v>
      </x:c>
      <x:c r="E1646" s="73" t="n">
        <x:v>1.5957</x:v>
      </x:c>
      <x:c r="F1646" s="73" t="n">
        <x:v>1.5957</x:v>
      </x:c>
      <x:c r="G1646" s="74" t="n">
        <x:v>0.0024</x:v>
      </x:c>
      <x:c r="H1646" s="66" t="str">
        <x:v>滨风风云瑞丰1号净值20260911.xlsx</x:v>
      </x:c>
      <x:c r="I1646" s="73" t="str">
        <x:f>""</x:f>
      </x:c>
      <x:c r="J1646" s="74" t="str">
        <x:f>""</x:f>
      </x:c>
      <x:c r="K1646" s="73" t="n">
        <x:f>MAX(K1645,F1646)</x:f>
        <x:v>1.6809</x:v>
      </x:c>
      <x:c r="L1646" s="74" t="n">
        <x:f>1-F1646/K1646</x:f>
        <x:v>0.0506871318936285</x:v>
      </x:c>
      <x:c r="M1646" s="73" t="n">
        <x:f>MAX(M1645,F1646)</x:f>
        <x:v>1.6809</x:v>
      </x:c>
      <x:c r="N1646" s="74" t="n">
        <x:f>1-F1646/M1646</x:f>
        <x:v>0.0506871318936285</x:v>
      </x:c>
    </x:row>
    <x:row r="1647" ht="27" customHeight="1">
      <x:c r="A1647" s="66" t="str">
        <x:v>SXL267</x:v>
      </x:c>
      <x:c r="B1647" s="66" t="str">
        <x:v>滨风风云瑞丰1号</x:v>
      </x:c>
      <x:c r="C1647" s="72" t="n">
        <x:v>45803</x:v>
      </x:c>
      <x:c r="D1647" s="73" t="n">
        <x:v>1.5982</x:v>
      </x:c>
      <x:c r="E1647" s="73" t="n">
        <x:v>1.5982</x:v>
      </x:c>
      <x:c r="F1647" s="73" t="n">
        <x:v>1.5982</x:v>
      </x:c>
      <x:c r="G1647" s="74" t="n">
        <x:v>0.0016</x:v>
      </x:c>
      <x:c r="H1647" s="66" t="str">
        <x:v>滨风风云瑞丰1号净值20260911.xlsx</x:v>
      </x:c>
      <x:c r="I1647" s="73" t="str">
        <x:f>""</x:f>
      </x:c>
      <x:c r="J1647" s="74" t="str">
        <x:f>""</x:f>
      </x:c>
      <x:c r="K1647" s="73" t="n">
        <x:f>MAX(K1646,F1647)</x:f>
        <x:v>1.6809</x:v>
      </x:c>
      <x:c r="L1647" s="74" t="n">
        <x:f>1-F1647/K1647</x:f>
        <x:v>0.04919983342257128</x:v>
      </x:c>
      <x:c r="M1647" s="73" t="n">
        <x:f>MAX(M1646,F1647)</x:f>
        <x:v>1.6809</x:v>
      </x:c>
      <x:c r="N1647" s="74" t="n">
        <x:f>1-F1647/M1647</x:f>
        <x:v>0.04919983342257128</x:v>
      </x:c>
    </x:row>
    <x:row r="1648" ht="27" customHeight="1">
      <x:c r="A1648" s="66" t="str">
        <x:v>SXL267</x:v>
      </x:c>
      <x:c r="B1648" s="66" t="str">
        <x:v>滨风风云瑞丰1号</x:v>
      </x:c>
      <x:c r="C1648" s="72" t="n">
        <x:v>45804</x:v>
      </x:c>
      <x:c r="D1648" s="73" t="n">
        <x:v>1.6018</x:v>
      </x:c>
      <x:c r="E1648" s="73" t="n">
        <x:v>1.6018</x:v>
      </x:c>
      <x:c r="F1648" s="73" t="n">
        <x:v>1.6018</x:v>
      </x:c>
      <x:c r="G1648" s="74" t="n">
        <x:v>0.0023</x:v>
      </x:c>
      <x:c r="H1648" s="66" t="str">
        <x:v>滨风风云瑞丰1号净值20260911.xlsx</x:v>
      </x:c>
      <x:c r="I1648" s="73" t="str">
        <x:f>""</x:f>
      </x:c>
      <x:c r="J1648" s="74" t="str">
        <x:f>""</x:f>
      </x:c>
      <x:c r="K1648" s="73" t="n">
        <x:f>MAX(K1647,F1648)</x:f>
        <x:v>1.6809</x:v>
      </x:c>
      <x:c r="L1648" s="74" t="n">
        <x:f>1-F1648/K1648</x:f>
        <x:v>0.04705812362424899</x:v>
      </x:c>
      <x:c r="M1648" s="73" t="n">
        <x:f>MAX(M1647,F1648)</x:f>
        <x:v>1.6809</x:v>
      </x:c>
      <x:c r="N1648" s="74" t="n">
        <x:f>1-F1648/M1648</x:f>
        <x:v>0.04705812362424899</x:v>
      </x:c>
    </x:row>
    <x:row r="1649" ht="27" customHeight="1">
      <x:c r="A1649" s="66" t="str">
        <x:v>SXL267</x:v>
      </x:c>
      <x:c r="B1649" s="66" t="str">
        <x:v>滨风风云瑞丰1号</x:v>
      </x:c>
      <x:c r="C1649" s="72" t="n">
        <x:v>45805</x:v>
      </x:c>
      <x:c r="D1649" s="73" t="n">
        <x:v>1.6144</x:v>
      </x:c>
      <x:c r="E1649" s="73" t="n">
        <x:v>1.6144</x:v>
      </x:c>
      <x:c r="F1649" s="73" t="n">
        <x:v>1.6144</x:v>
      </x:c>
      <x:c r="G1649" s="74" t="n">
        <x:v>0.0079</x:v>
      </x:c>
      <x:c r="H1649" s="66" t="str">
        <x:v>滨风风云瑞丰1号净值20260911.xlsx</x:v>
      </x:c>
      <x:c r="I1649" s="73" t="str">
        <x:f>""</x:f>
      </x:c>
      <x:c r="J1649" s="74" t="str">
        <x:f>""</x:f>
      </x:c>
      <x:c r="K1649" s="73" t="n">
        <x:f>MAX(K1648,F1649)</x:f>
        <x:v>1.6809</x:v>
      </x:c>
      <x:c r="L1649" s="74" t="n">
        <x:f>1-F1649/K1649</x:f>
        <x:v>0.03956213933012076</x:v>
      </x:c>
      <x:c r="M1649" s="73" t="n">
        <x:f>MAX(M1648,F1649)</x:f>
        <x:v>1.6809</x:v>
      </x:c>
      <x:c r="N1649" s="74" t="n">
        <x:f>1-F1649/M1649</x:f>
        <x:v>0.03956213933012076</x:v>
      </x:c>
    </x:row>
    <x:row r="1650" ht="27" customHeight="1">
      <x:c r="A1650" s="66" t="str">
        <x:v>SXL267</x:v>
      </x:c>
      <x:c r="B1650" s="66" t="str">
        <x:v>滨风风云瑞丰1号</x:v>
      </x:c>
      <x:c r="C1650" s="72" t="n">
        <x:v>45806</x:v>
      </x:c>
      <x:c r="D1650" s="73" t="n">
        <x:v>1.6188</x:v>
      </x:c>
      <x:c r="E1650" s="73" t="n">
        <x:v>1.6188</x:v>
      </x:c>
      <x:c r="F1650" s="73" t="n">
        <x:v>1.6188</x:v>
      </x:c>
      <x:c r="G1650" s="74" t="n">
        <x:v>0.0027</x:v>
      </x:c>
      <x:c r="H1650" s="66" t="str">
        <x:v>滨风风云瑞丰1号净值20260911.xlsx</x:v>
      </x:c>
      <x:c r="I1650" s="73" t="str">
        <x:f>""</x:f>
      </x:c>
      <x:c r="J1650" s="74" t="str">
        <x:f>""</x:f>
      </x:c>
      <x:c r="K1650" s="73" t="n">
        <x:f>MAX(K1649,F1650)</x:f>
        <x:v>1.6809</x:v>
      </x:c>
      <x:c r="L1650" s="74" t="n">
        <x:f>1-F1650/K1650</x:f>
        <x:v>0.03694449402106015</x:v>
      </x:c>
      <x:c r="M1650" s="73" t="n">
        <x:f>MAX(M1649,F1650)</x:f>
        <x:v>1.6809</x:v>
      </x:c>
      <x:c r="N1650" s="74" t="n">
        <x:f>1-F1650/M1650</x:f>
        <x:v>0.03694449402106015</x:v>
      </x:c>
    </x:row>
    <x:row r="1651" ht="27" customHeight="1">
      <x:c r="A1651" s="66" t="str">
        <x:v>SXL267</x:v>
      </x:c>
      <x:c r="B1651" s="66" t="str">
        <x:v>滨风风云瑞丰1号</x:v>
      </x:c>
      <x:c r="C1651" s="72" t="n">
        <x:v>45807</x:v>
      </x:c>
      <x:c r="D1651" s="73" t="n">
        <x:v>1.632</x:v>
      </x:c>
      <x:c r="E1651" s="73" t="n">
        <x:v>1.632</x:v>
      </x:c>
      <x:c r="F1651" s="73" t="n">
        <x:v>1.632</x:v>
      </x:c>
      <x:c r="G1651" s="74" t="n">
        <x:v>0.008199999999999999</x:v>
      </x:c>
      <x:c r="H1651" s="66" t="str">
        <x:v>滨风风云瑞丰1号净值20260911.xlsx</x:v>
      </x:c>
      <x:c r="I1651" s="73" t="str">
        <x:f>""</x:f>
      </x:c>
      <x:c r="J1651" s="74" t="str">
        <x:f>""</x:f>
      </x:c>
      <x:c r="K1651" s="73" t="n">
        <x:f>MAX(K1650,F1651)</x:f>
        <x:v>1.6809</x:v>
      </x:c>
      <x:c r="L1651" s="74" t="n">
        <x:f>1-F1651/K1651</x:f>
        <x:v>0.029091558093878422</x:v>
      </x:c>
      <x:c r="M1651" s="73" t="n">
        <x:f>MAX(M1650,F1651)</x:f>
        <x:v>1.6809</x:v>
      </x:c>
      <x:c r="N1651" s="74" t="n">
        <x:f>1-F1651/M1651</x:f>
        <x:v>0.029091558093878422</x:v>
      </x:c>
    </x:row>
    <x:row r="1652" ht="27" customHeight="1">
      <x:c r="A1652" s="66" t="str">
        <x:v>SXL267</x:v>
      </x:c>
      <x:c r="B1652" s="66" t="str">
        <x:v>滨风风云瑞丰1号</x:v>
      </x:c>
      <x:c r="C1652" s="72" t="n">
        <x:v>45811</x:v>
      </x:c>
      <x:c r="D1652" s="73" t="n">
        <x:v>1.6146</x:v>
      </x:c>
      <x:c r="E1652" s="73" t="n">
        <x:v>1.6146</x:v>
      </x:c>
      <x:c r="F1652" s="73" t="n">
        <x:v>1.6146</x:v>
      </x:c>
      <x:c r="G1652" s="74" t="n">
        <x:v>-0.010700000000000001</x:v>
      </x:c>
      <x:c r="H1652" s="66" t="str">
        <x:v>滨风风云瑞丰1号净值20260911.xlsx</x:v>
      </x:c>
      <x:c r="I1652" s="73" t="str">
        <x:f>""</x:f>
      </x:c>
      <x:c r="J1652" s="74" t="str">
        <x:f>""</x:f>
      </x:c>
      <x:c r="K1652" s="73" t="n">
        <x:f>MAX(K1651,F1652)</x:f>
        <x:v>1.6809</x:v>
      </x:c>
      <x:c r="L1652" s="74" t="n">
        <x:f>1-F1652/K1652</x:f>
        <x:v>0.03944315545243626</x:v>
      </x:c>
      <x:c r="M1652" s="73" t="n">
        <x:f>MAX(M1651,F1652)</x:f>
        <x:v>1.6809</x:v>
      </x:c>
      <x:c r="N1652" s="74" t="n">
        <x:f>1-F1652/M1652</x:f>
        <x:v>0.03944315545243626</x:v>
      </x:c>
    </x:row>
    <x:row r="1653" ht="27" customHeight="1">
      <x:c r="A1653" s="66" t="str">
        <x:v>SXL267</x:v>
      </x:c>
      <x:c r="B1653" s="66" t="str">
        <x:v>滨风风云瑞丰1号</x:v>
      </x:c>
      <x:c r="C1653" s="72" t="n">
        <x:v>45812</x:v>
      </x:c>
      <x:c r="D1653" s="73" t="n">
        <x:v>1.6066</x:v>
      </x:c>
      <x:c r="E1653" s="73" t="n">
        <x:v>1.6066</x:v>
      </x:c>
      <x:c r="F1653" s="73" t="n">
        <x:v>1.6066</x:v>
      </x:c>
      <x:c r="G1653" s="74" t="n">
        <x:v>-0.005</x:v>
      </x:c>
      <x:c r="H1653" s="66" t="str">
        <x:v>滨风风云瑞丰1号净值20260911.xlsx</x:v>
      </x:c>
      <x:c r="I1653" s="73" t="str">
        <x:f>""</x:f>
      </x:c>
      <x:c r="J1653" s="74" t="str">
        <x:f>""</x:f>
      </x:c>
      <x:c r="K1653" s="73" t="n">
        <x:f>MAX(K1652,F1653)</x:f>
        <x:v>1.6809</x:v>
      </x:c>
      <x:c r="L1653" s="74" t="n">
        <x:f>1-F1653/K1653</x:f>
        <x:v>0.044202510559819164</x:v>
      </x:c>
      <x:c r="M1653" s="73" t="n">
        <x:f>MAX(M1652,F1653)</x:f>
        <x:v>1.6809</x:v>
      </x:c>
      <x:c r="N1653" s="74" t="n">
        <x:f>1-F1653/M1653</x:f>
        <x:v>0.044202510559819164</x:v>
      </x:c>
    </x:row>
    <x:row r="1654" ht="27" customHeight="1">
      <x:c r="A1654" s="66" t="str">
        <x:v>SXL267</x:v>
      </x:c>
      <x:c r="B1654" s="66" t="str">
        <x:v>滨风风云瑞丰1号</x:v>
      </x:c>
      <x:c r="C1654" s="72" t="n">
        <x:v>45813</x:v>
      </x:c>
      <x:c r="D1654" s="73" t="n">
        <x:v>1.6189</x:v>
      </x:c>
      <x:c r="E1654" s="73" t="n">
        <x:v>1.6189</x:v>
      </x:c>
      <x:c r="F1654" s="73" t="n">
        <x:v>1.6189</x:v>
      </x:c>
      <x:c r="G1654" s="74" t="n">
        <x:v>0.0077</x:v>
      </x:c>
      <x:c r="H1654" s="66" t="str">
        <x:v>滨风风云瑞丰1号净值20260911.xlsx</x:v>
      </x:c>
      <x:c r="I1654" s="73" t="str">
        <x:f>""</x:f>
      </x:c>
      <x:c r="J1654" s="74" t="str">
        <x:f>""</x:f>
      </x:c>
      <x:c r="K1654" s="73" t="n">
        <x:f>MAX(K1653,F1654)</x:f>
        <x:v>1.6809</x:v>
      </x:c>
      <x:c r="L1654" s="74" t="n">
        <x:f>1-F1654/K1654</x:f>
        <x:v>0.0368850020822179</x:v>
      </x:c>
      <x:c r="M1654" s="73" t="n">
        <x:f>MAX(M1653,F1654)</x:f>
        <x:v>1.6809</x:v>
      </x:c>
      <x:c r="N1654" s="74" t="n">
        <x:f>1-F1654/M1654</x:f>
        <x:v>0.0368850020822179</x:v>
      </x:c>
    </x:row>
    <x:row r="1655" ht="27" customHeight="1">
      <x:c r="A1655" s="66" t="str">
        <x:v>SXL267</x:v>
      </x:c>
      <x:c r="B1655" s="66" t="str">
        <x:v>滨风风云瑞丰1号</x:v>
      </x:c>
      <x:c r="C1655" s="72" t="n">
        <x:v>45814</x:v>
      </x:c>
      <x:c r="D1655" s="73" t="n">
        <x:v>1.6292</x:v>
      </x:c>
      <x:c r="E1655" s="73" t="n">
        <x:v>1.6292</x:v>
      </x:c>
      <x:c r="F1655" s="73" t="n">
        <x:v>1.6292</x:v>
      </x:c>
      <x:c r="G1655" s="74" t="n">
        <x:v>0.0064</x:v>
      </x:c>
      <x:c r="H1655" s="66" t="str">
        <x:v>滨风风云瑞丰1号净值20260911.xlsx</x:v>
      </x:c>
      <x:c r="I1655" s="73" t="str">
        <x:f>""</x:f>
      </x:c>
      <x:c r="J1655" s="74" t="str">
        <x:f>""</x:f>
      </x:c>
      <x:c r="K1655" s="73" t="n">
        <x:f>MAX(K1654,F1655)</x:f>
        <x:v>1.6809</x:v>
      </x:c>
      <x:c r="L1655" s="74" t="n">
        <x:f>1-F1655/K1655</x:f>
        <x:v>0.030757332381462388</x:v>
      </x:c>
      <x:c r="M1655" s="73" t="n">
        <x:f>MAX(M1654,F1655)</x:f>
        <x:v>1.6809</x:v>
      </x:c>
      <x:c r="N1655" s="74" t="n">
        <x:f>1-F1655/M1655</x:f>
        <x:v>0.030757332381462388</x:v>
      </x:c>
    </x:row>
    <x:row r="1656" ht="27" customHeight="1">
      <x:c r="A1656" s="66" t="str">
        <x:v>SXL267</x:v>
      </x:c>
      <x:c r="B1656" s="66" t="str">
        <x:v>滨风风云瑞丰1号</x:v>
      </x:c>
      <x:c r="C1656" s="72" t="n">
        <x:v>45817</x:v>
      </x:c>
      <x:c r="D1656" s="73" t="n">
        <x:v>1.6222</x:v>
      </x:c>
      <x:c r="E1656" s="73" t="n">
        <x:v>1.6222</x:v>
      </x:c>
      <x:c r="F1656" s="73" t="n">
        <x:v>1.6222</x:v>
      </x:c>
      <x:c r="G1656" s="74" t="n">
        <x:v>-0.0043</x:v>
      </x:c>
      <x:c r="H1656" s="66" t="str">
        <x:v>滨风风云瑞丰1号净值20260911.xlsx</x:v>
      </x:c>
      <x:c r="I1656" s="73" t="str">
        <x:f>""</x:f>
      </x:c>
      <x:c r="J1656" s="74" t="str">
        <x:f>""</x:f>
      </x:c>
      <x:c r="K1656" s="73" t="n">
        <x:f>MAX(K1655,F1656)</x:f>
        <x:v>1.6809</x:v>
      </x:c>
      <x:c r="L1656" s="74" t="n">
        <x:f>1-F1656/K1656</x:f>
        <x:v>0.03492176810042236</x:v>
      </x:c>
      <x:c r="M1656" s="73" t="n">
        <x:f>MAX(M1655,F1656)</x:f>
        <x:v>1.6809</x:v>
      </x:c>
      <x:c r="N1656" s="74" t="n">
        <x:f>1-F1656/M1656</x:f>
        <x:v>0.03492176810042236</x:v>
      </x:c>
    </x:row>
    <x:row r="1657" ht="27" customHeight="1">
      <x:c r="A1657" s="66" t="str">
        <x:v>SXL267</x:v>
      </x:c>
      <x:c r="B1657" s="66" t="str">
        <x:v>滨风风云瑞丰1号</x:v>
      </x:c>
      <x:c r="C1657" s="72" t="n">
        <x:v>45818</x:v>
      </x:c>
      <x:c r="D1657" s="73" t="n">
        <x:v>1.6153</x:v>
      </x:c>
      <x:c r="E1657" s="73" t="n">
        <x:v>1.6153</x:v>
      </x:c>
      <x:c r="F1657" s="73" t="n">
        <x:v>1.6153</x:v>
      </x:c>
      <x:c r="G1657" s="74" t="n">
        <x:v>-0.0043</x:v>
      </x:c>
      <x:c r="H1657" s="66" t="str">
        <x:v>滨风风云瑞丰1号净值20260911.xlsx</x:v>
      </x:c>
      <x:c r="I1657" s="73" t="str">
        <x:f>""</x:f>
      </x:c>
      <x:c r="J1657" s="74" t="str">
        <x:f>""</x:f>
      </x:c>
      <x:c r="K1657" s="73" t="n">
        <x:f>MAX(K1656,F1657)</x:f>
        <x:v>1.6809</x:v>
      </x:c>
      <x:c r="L1657" s="74" t="n">
        <x:f>1-F1657/K1657</x:f>
        <x:v>0.0390267118805403</x:v>
      </x:c>
      <x:c r="M1657" s="73" t="n">
        <x:f>MAX(M1656,F1657)</x:f>
        <x:v>1.6809</x:v>
      </x:c>
      <x:c r="N1657" s="74" t="n">
        <x:f>1-F1657/M1657</x:f>
        <x:v>0.0390267118805403</x:v>
      </x:c>
    </x:row>
    <x:row r="1658" ht="27" customHeight="1">
      <x:c r="A1658" s="66" t="str">
        <x:v>SXL267</x:v>
      </x:c>
      <x:c r="B1658" s="66" t="str">
        <x:v>滨风风云瑞丰1号</x:v>
      </x:c>
      <x:c r="C1658" s="72" t="n">
        <x:v>45819</x:v>
      </x:c>
      <x:c r="D1658" s="73" t="n">
        <x:v>1.6284</x:v>
      </x:c>
      <x:c r="E1658" s="73" t="n">
        <x:v>1.6284</x:v>
      </x:c>
      <x:c r="F1658" s="73" t="n">
        <x:v>1.6284</x:v>
      </x:c>
      <x:c r="G1658" s="74" t="n">
        <x:v>0.008100000000000001</x:v>
      </x:c>
      <x:c r="H1658" s="66" t="str">
        <x:v>滨风风云瑞丰1号净值20260911.xlsx</x:v>
      </x:c>
      <x:c r="I1658" s="73" t="str">
        <x:f>""</x:f>
      </x:c>
      <x:c r="J1658" s="74" t="str">
        <x:f>""</x:f>
      </x:c>
      <x:c r="K1658" s="73" t="n">
        <x:f>MAX(K1657,F1658)</x:f>
        <x:v>1.6809</x:v>
      </x:c>
      <x:c r="L1658" s="74" t="n">
        <x:f>1-F1658/K1658</x:f>
        <x:v>0.0312332678922006</x:v>
      </x:c>
      <x:c r="M1658" s="73" t="n">
        <x:f>MAX(M1657,F1658)</x:f>
        <x:v>1.6809</x:v>
      </x:c>
      <x:c r="N1658" s="74" t="n">
        <x:f>1-F1658/M1658</x:f>
        <x:v>0.0312332678922006</x:v>
      </x:c>
    </x:row>
    <x:row r="1659" ht="27" customHeight="1">
      <x:c r="A1659" s="66" t="str">
        <x:v>SXL267</x:v>
      </x:c>
      <x:c r="B1659" s="66" t="str">
        <x:v>滨风风云瑞丰1号</x:v>
      </x:c>
      <x:c r="C1659" s="72" t="n">
        <x:v>45820</x:v>
      </x:c>
      <x:c r="D1659" s="73" t="n">
        <x:v>1.6449</x:v>
      </x:c>
      <x:c r="E1659" s="73" t="n">
        <x:v>1.6449</x:v>
      </x:c>
      <x:c r="F1659" s="73" t="n">
        <x:v>1.6449</x:v>
      </x:c>
      <x:c r="G1659" s="74" t="n">
        <x:v>0.0101</x:v>
      </x:c>
      <x:c r="H1659" s="66" t="str">
        <x:v>滨风风云瑞丰1号净值20260911.xlsx</x:v>
      </x:c>
      <x:c r="I1659" s="73" t="str">
        <x:f>""</x:f>
      </x:c>
      <x:c r="J1659" s="74" t="str">
        <x:f>""</x:f>
      </x:c>
      <x:c r="K1659" s="73" t="n">
        <x:f>MAX(K1658,F1659)</x:f>
        <x:v>1.6809</x:v>
      </x:c>
      <x:c r="L1659" s="74" t="n">
        <x:f>1-F1659/K1659</x:f>
        <x:v>0.021417097983223332</x:v>
      </x:c>
      <x:c r="M1659" s="73" t="n">
        <x:f>MAX(M1658,F1659)</x:f>
        <x:v>1.6809</x:v>
      </x:c>
      <x:c r="N1659" s="74" t="n">
        <x:f>1-F1659/M1659</x:f>
        <x:v>0.021417097983223332</x:v>
      </x:c>
    </x:row>
    <x:row r="1660" ht="27" customHeight="1">
      <x:c r="A1660" s="66" t="str">
        <x:v>SXL267</x:v>
      </x:c>
      <x:c r="B1660" s="66" t="str">
        <x:v>滨风风云瑞丰1号</x:v>
      </x:c>
      <x:c r="C1660" s="72" t="n">
        <x:v>45821</x:v>
      </x:c>
      <x:c r="D1660" s="73" t="n">
        <x:v>1.6397</x:v>
      </x:c>
      <x:c r="E1660" s="73" t="n">
        <x:v>1.6397</x:v>
      </x:c>
      <x:c r="F1660" s="73" t="n">
        <x:v>1.6397</x:v>
      </x:c>
      <x:c r="G1660" s="74" t="n">
        <x:v>-0.0032</x:v>
      </x:c>
      <x:c r="H1660" s="66" t="str">
        <x:v>滨风风云瑞丰1号净值20260911.xlsx</x:v>
      </x:c>
      <x:c r="I1660" s="73" t="str">
        <x:f>""</x:f>
      </x:c>
      <x:c r="J1660" s="74" t="str">
        <x:f>""</x:f>
      </x:c>
      <x:c r="K1660" s="73" t="n">
        <x:f>MAX(K1659,F1660)</x:f>
        <x:v>1.6809</x:v>
      </x:c>
      <x:c r="L1660" s="74" t="n">
        <x:f>1-F1660/K1660</x:f>
        <x:v>0.024510678803022268</x:v>
      </x:c>
      <x:c r="M1660" s="73" t="n">
        <x:f>MAX(M1659,F1660)</x:f>
        <x:v>1.6809</x:v>
      </x:c>
      <x:c r="N1660" s="74" t="n">
        <x:f>1-F1660/M1660</x:f>
        <x:v>0.024510678803022268</x:v>
      </x:c>
    </x:row>
    <x:row r="1661" ht="27" customHeight="1">
      <x:c r="A1661" s="66" t="str">
        <x:v>SXL267</x:v>
      </x:c>
      <x:c r="B1661" s="66" t="str">
        <x:v>滨风风云瑞丰1号</x:v>
      </x:c>
      <x:c r="C1661" s="72" t="n">
        <x:v>45824</x:v>
      </x:c>
      <x:c r="D1661" s="73" t="n">
        <x:v>1.6392</x:v>
      </x:c>
      <x:c r="E1661" s="73" t="n">
        <x:v>1.6392</x:v>
      </x:c>
      <x:c r="F1661" s="73" t="n">
        <x:v>1.6392</x:v>
      </x:c>
      <x:c r="G1661" s="74" t="n">
        <x:v>-0.0003</x:v>
      </x:c>
      <x:c r="H1661" s="66" t="str">
        <x:v>滨风风云瑞丰1号净值20260911.xlsx</x:v>
      </x:c>
      <x:c r="I1661" s="73" t="str">
        <x:f>""</x:f>
      </x:c>
      <x:c r="J1661" s="74" t="str">
        <x:f>""</x:f>
      </x:c>
      <x:c r="K1661" s="73" t="n">
        <x:f>MAX(K1660,F1661)</x:f>
        <x:v>1.6809</x:v>
      </x:c>
      <x:c r="L1661" s="74" t="n">
        <x:f>1-F1661/K1661</x:f>
        <x:v>0.024808138497233623</x:v>
      </x:c>
      <x:c r="M1661" s="73" t="n">
        <x:f>MAX(M1660,F1661)</x:f>
        <x:v>1.6809</x:v>
      </x:c>
      <x:c r="N1661" s="74" t="n">
        <x:f>1-F1661/M1661</x:f>
        <x:v>0.024808138497233623</x:v>
      </x:c>
    </x:row>
    <x:row r="1662" ht="27" customHeight="1">
      <x:c r="A1662" s="66" t="str">
        <x:v>SXL267</x:v>
      </x:c>
      <x:c r="B1662" s="66" t="str">
        <x:v>滨风风云瑞丰1号</x:v>
      </x:c>
      <x:c r="C1662" s="72" t="n">
        <x:v>45825</x:v>
      </x:c>
      <x:c r="D1662" s="73" t="n">
        <x:v>1.6473</x:v>
      </x:c>
      <x:c r="E1662" s="73" t="n">
        <x:v>1.6473</x:v>
      </x:c>
      <x:c r="F1662" s="73" t="n">
        <x:v>1.6473</x:v>
      </x:c>
      <x:c r="G1662" s="74" t="n">
        <x:v>0.0049</x:v>
      </x:c>
      <x:c r="H1662" s="66" t="str">
        <x:v>滨风风云瑞丰1号净值20260911.xlsx</x:v>
      </x:c>
      <x:c r="I1662" s="73" t="str">
        <x:f>""</x:f>
      </x:c>
      <x:c r="J1662" s="74" t="str">
        <x:f>""</x:f>
      </x:c>
      <x:c r="K1662" s="73" t="n">
        <x:f>MAX(K1661,F1662)</x:f>
        <x:v>1.6809</x:v>
      </x:c>
      <x:c r="L1662" s="74" t="n">
        <x:f>1-F1662/K1662</x:f>
        <x:v>0.019989291451008473</x:v>
      </x:c>
      <x:c r="M1662" s="73" t="n">
        <x:f>MAX(M1661,F1662)</x:f>
        <x:v>1.6809</x:v>
      </x:c>
      <x:c r="N1662" s="74" t="n">
        <x:f>1-F1662/M1662</x:f>
        <x:v>0.019989291451008473</x:v>
      </x:c>
    </x:row>
    <x:row r="1663" ht="27" customHeight="1">
      <x:c r="A1663" s="66" t="str">
        <x:v>SXL267</x:v>
      </x:c>
      <x:c r="B1663" s="66" t="str">
        <x:v>滨风风云瑞丰1号</x:v>
      </x:c>
      <x:c r="C1663" s="72" t="n">
        <x:v>45826</x:v>
      </x:c>
      <x:c r="D1663" s="73" t="n">
        <x:v>1.6564</x:v>
      </x:c>
      <x:c r="E1663" s="73" t="n">
        <x:v>1.6564</x:v>
      </x:c>
      <x:c r="F1663" s="73" t="n">
        <x:v>1.6564</x:v>
      </x:c>
      <x:c r="G1663" s="74" t="n">
        <x:v>0.0055000000000000005</x:v>
      </x:c>
      <x:c r="H1663" s="66" t="str">
        <x:v>滨风风云瑞丰1号净值20260911.xlsx</x:v>
      </x:c>
      <x:c r="I1663" s="73" t="str">
        <x:f>""</x:f>
      </x:c>
      <x:c r="J1663" s="74" t="str">
        <x:f>""</x:f>
      </x:c>
      <x:c r="K1663" s="73" t="n">
        <x:f>MAX(K1662,F1663)</x:f>
        <x:v>1.6809</x:v>
      </x:c>
      <x:c r="L1663" s="74" t="n">
        <x:f>1-F1663/K1663</x:f>
        <x:v>0.01457552501636028</x:v>
      </x:c>
      <x:c r="M1663" s="73" t="n">
        <x:f>MAX(M1662,F1663)</x:f>
        <x:v>1.6809</x:v>
      </x:c>
      <x:c r="N1663" s="74" t="n">
        <x:f>1-F1663/M1663</x:f>
        <x:v>0.01457552501636028</x:v>
      </x:c>
    </x:row>
    <x:row r="1664" ht="27" customHeight="1">
      <x:c r="A1664" s="66" t="str">
        <x:v>SXL267</x:v>
      </x:c>
      <x:c r="B1664" s="66" t="str">
        <x:v>滨风风云瑞丰1号</x:v>
      </x:c>
      <x:c r="C1664" s="72" t="n">
        <x:v>45827</x:v>
      </x:c>
      <x:c r="D1664" s="73" t="n">
        <x:v>1.6382</x:v>
      </x:c>
      <x:c r="E1664" s="73" t="n">
        <x:v>1.6382</x:v>
      </x:c>
      <x:c r="F1664" s="73" t="n">
        <x:v>1.6382</x:v>
      </x:c>
      <x:c r="G1664" s="74" t="n">
        <x:v>-0.011000000000000001</x:v>
      </x:c>
      <x:c r="H1664" s="66" t="str">
        <x:v>滨风风云瑞丰1号净值20260911.xlsx</x:v>
      </x:c>
      <x:c r="I1664" s="73" t="str">
        <x:f>""</x:f>
      </x:c>
      <x:c r="J1664" s="74" t="str">
        <x:f>""</x:f>
      </x:c>
      <x:c r="K1664" s="73" t="n">
        <x:f>MAX(K1663,F1664)</x:f>
        <x:v>1.6809</x:v>
      </x:c>
      <x:c r="L1664" s="74" t="n">
        <x:f>1-F1664/K1664</x:f>
        <x:v>0.025403057885656444</x:v>
      </x:c>
      <x:c r="M1664" s="73" t="n">
        <x:f>MAX(M1663,F1664)</x:f>
        <x:v>1.6809</x:v>
      </x:c>
      <x:c r="N1664" s="74" t="n">
        <x:f>1-F1664/M1664</x:f>
        <x:v>0.025403057885656444</x:v>
      </x:c>
    </x:row>
    <x:row r="1665" ht="27" customHeight="1">
      <x:c r="A1665" s="66" t="str">
        <x:v>SXL267</x:v>
      </x:c>
      <x:c r="B1665" s="66" t="str">
        <x:v>滨风风云瑞丰1号</x:v>
      </x:c>
      <x:c r="C1665" s="72" t="n">
        <x:v>45828</x:v>
      </x:c>
      <x:c r="D1665" s="73" t="n">
        <x:v>1.6312</x:v>
      </x:c>
      <x:c r="E1665" s="73" t="n">
        <x:v>1.6312</x:v>
      </x:c>
      <x:c r="F1665" s="73" t="n">
        <x:v>1.6312</x:v>
      </x:c>
      <x:c r="G1665" s="74" t="n">
        <x:v>-0.0043</x:v>
      </x:c>
      <x:c r="H1665" s="66" t="str">
        <x:v>滨风风云瑞丰1号净值20260911.xlsx</x:v>
      </x:c>
      <x:c r="I1665" s="73" t="str">
        <x:f>""</x:f>
      </x:c>
      <x:c r="J1665" s="74" t="str">
        <x:f>""</x:f>
      </x:c>
      <x:c r="K1665" s="73" t="n">
        <x:f>MAX(K1664,F1665)</x:f>
        <x:v>1.6809</x:v>
      </x:c>
      <x:c r="L1665" s="74" t="n">
        <x:f>1-F1665/K1665</x:f>
        <x:v>0.029567493604616635</x:v>
      </x:c>
      <x:c r="M1665" s="73" t="n">
        <x:f>MAX(M1664,F1665)</x:f>
        <x:v>1.6809</x:v>
      </x:c>
      <x:c r="N1665" s="74" t="n">
        <x:f>1-F1665/M1665</x:f>
        <x:v>0.029567493604616635</x:v>
      </x:c>
    </x:row>
    <x:row r="1666" ht="27" customHeight="1">
      <x:c r="A1666" s="66" t="str">
        <x:v>SXL267</x:v>
      </x:c>
      <x:c r="B1666" s="66" t="str">
        <x:v>滨风风云瑞丰1号</x:v>
      </x:c>
      <x:c r="C1666" s="72" t="n">
        <x:v>45831</x:v>
      </x:c>
      <x:c r="D1666" s="73" t="n">
        <x:v>1.6208</x:v>
      </x:c>
      <x:c r="E1666" s="73" t="n">
        <x:v>1.6208</x:v>
      </x:c>
      <x:c r="F1666" s="73" t="n">
        <x:v>1.6208</x:v>
      </x:c>
      <x:c r="G1666" s="74" t="n">
        <x:v>-0.0064</x:v>
      </x:c>
      <x:c r="H1666" s="66" t="str">
        <x:v>滨风风云瑞丰1号净值20260911.xlsx</x:v>
      </x:c>
      <x:c r="I1666" s="73" t="str">
        <x:f>""</x:f>
      </x:c>
      <x:c r="J1666" s="74" t="str">
        <x:f>""</x:f>
      </x:c>
      <x:c r="K1666" s="73" t="n">
        <x:f>MAX(K1665,F1666)</x:f>
        <x:v>1.6809</x:v>
      </x:c>
      <x:c r="L1666" s="74" t="n">
        <x:f>1-F1666/K1666</x:f>
        <x:v>0.035754655244214395</x:v>
      </x:c>
      <x:c r="M1666" s="73" t="n">
        <x:f>MAX(M1665,F1666)</x:f>
        <x:v>1.6809</x:v>
      </x:c>
      <x:c r="N1666" s="74" t="n">
        <x:f>1-F1666/M1666</x:f>
        <x:v>0.035754655244214395</x:v>
      </x:c>
    </x:row>
    <x:row r="1667" ht="27" customHeight="1">
      <x:c r="A1667" s="66" t="str">
        <x:v>SXL267</x:v>
      </x:c>
      <x:c r="B1667" s="66" t="str">
        <x:v>滨风风云瑞丰1号</x:v>
      </x:c>
      <x:c r="C1667" s="72" t="n">
        <x:v>45832</x:v>
      </x:c>
      <x:c r="D1667" s="73" t="n">
        <x:v>1.59</x:v>
      </x:c>
      <x:c r="E1667" s="73" t="n">
        <x:v>1.59</x:v>
      </x:c>
      <x:c r="F1667" s="73" t="n">
        <x:v>1.59</x:v>
      </x:c>
      <x:c r="G1667" s="74" t="n">
        <x:v>-0.019</x:v>
      </x:c>
      <x:c r="H1667" s="66" t="str">
        <x:v>滨风风云瑞丰1号净值20260911.xlsx</x:v>
      </x:c>
      <x:c r="I1667" s="73" t="str">
        <x:f>""</x:f>
      </x:c>
      <x:c r="J1667" s="74" t="str">
        <x:f>""</x:f>
      </x:c>
      <x:c r="K1667" s="73" t="n">
        <x:f>MAX(K1666,F1667)</x:f>
        <x:v>1.6809</x:v>
      </x:c>
      <x:c r="L1667" s="74" t="n">
        <x:f>1-F1667/K1667</x:f>
        <x:v>0.05407817240763879</x:v>
      </x:c>
      <x:c r="M1667" s="73" t="n">
        <x:f>MAX(M1666,F1667)</x:f>
        <x:v>1.6809</x:v>
      </x:c>
      <x:c r="N1667" s="74" t="n">
        <x:f>1-F1667/M1667</x:f>
        <x:v>0.05407817240763879</x:v>
      </x:c>
    </x:row>
    <x:row r="1668" ht="27" customHeight="1">
      <x:c r="A1668" s="66" t="str">
        <x:v>SXL267</x:v>
      </x:c>
      <x:c r="B1668" s="66" t="str">
        <x:v>滨风风云瑞丰1号</x:v>
      </x:c>
      <x:c r="C1668" s="72" t="n">
        <x:v>45833</x:v>
      </x:c>
      <x:c r="D1668" s="73" t="n">
        <x:v>1.6015</x:v>
      </x:c>
      <x:c r="E1668" s="73" t="n">
        <x:v>1.6015</x:v>
      </x:c>
      <x:c r="F1668" s="73" t="n">
        <x:v>1.6015</x:v>
      </x:c>
      <x:c r="G1668" s="74" t="n">
        <x:v>0.0072</x:v>
      </x:c>
      <x:c r="H1668" s="66" t="str">
        <x:v>滨风风云瑞丰1号净值20260911.xlsx</x:v>
      </x:c>
      <x:c r="I1668" s="73" t="str">
        <x:f>""</x:f>
      </x:c>
      <x:c r="J1668" s="74" t="str">
        <x:f>""</x:f>
      </x:c>
      <x:c r="K1668" s="73" t="n">
        <x:f>MAX(K1667,F1668)</x:f>
        <x:v>1.6809</x:v>
      </x:c>
      <x:c r="L1668" s="74" t="n">
        <x:f>1-F1668/K1668</x:f>
        <x:v>0.04723659944077585</x:v>
      </x:c>
      <x:c r="M1668" s="73" t="n">
        <x:f>MAX(M1667,F1668)</x:f>
        <x:v>1.6809</x:v>
      </x:c>
      <x:c r="N1668" s="74" t="n">
        <x:f>1-F1668/M1668</x:f>
        <x:v>0.04723659944077585</x:v>
      </x:c>
    </x:row>
    <x:row r="1669" ht="27" customHeight="1">
      <x:c r="A1669" s="66" t="str">
        <x:v>SXL267</x:v>
      </x:c>
      <x:c r="B1669" s="66" t="str">
        <x:v>滨风风云瑞丰1号</x:v>
      </x:c>
      <x:c r="C1669" s="72" t="n">
        <x:v>45834</x:v>
      </x:c>
      <x:c r="D1669" s="73" t="n">
        <x:v>1.5775</x:v>
      </x:c>
      <x:c r="E1669" s="73" t="n">
        <x:v>1.5775</x:v>
      </x:c>
      <x:c r="F1669" s="73" t="n">
        <x:v>1.5775</x:v>
      </x:c>
      <x:c r="G1669" s="74" t="n">
        <x:v>-0.015</x:v>
      </x:c>
      <x:c r="H1669" s="66" t="str">
        <x:v>滨风风云瑞丰1号净值20260911.xlsx</x:v>
      </x:c>
      <x:c r="I1669" s="73" t="str">
        <x:f>""</x:f>
      </x:c>
      <x:c r="J1669" s="74" t="str">
        <x:f>""</x:f>
      </x:c>
      <x:c r="K1669" s="73" t="n">
        <x:f>MAX(K1668,F1669)</x:f>
        <x:v>1.6809</x:v>
      </x:c>
      <x:c r="L1669" s="74" t="n">
        <x:f>1-F1669/K1669</x:f>
        <x:v>0.061514664762924665</x:v>
      </x:c>
      <x:c r="M1669" s="73" t="n">
        <x:f>MAX(M1668,F1669)</x:f>
        <x:v>1.6809</x:v>
      </x:c>
      <x:c r="N1669" s="74" t="n">
        <x:f>1-F1669/M1669</x:f>
        <x:v>0.061514664762924665</x:v>
      </x:c>
    </x:row>
    <x:row r="1670" ht="27" customHeight="1">
      <x:c r="A1670" s="66" t="str">
        <x:v>SXL267</x:v>
      </x:c>
      <x:c r="B1670" s="66" t="str">
        <x:v>滨风风云瑞丰1号</x:v>
      </x:c>
      <x:c r="C1670" s="72" t="n">
        <x:v>45835</x:v>
      </x:c>
      <x:c r="D1670" s="73" t="n">
        <x:v>1.5795</x:v>
      </x:c>
      <x:c r="E1670" s="73" t="n">
        <x:v>1.5795</x:v>
      </x:c>
      <x:c r="F1670" s="73" t="n">
        <x:v>1.5795</x:v>
      </x:c>
      <x:c r="G1670" s="74" t="n">
        <x:v>0.0013</x:v>
      </x:c>
      <x:c r="H1670" s="66" t="str">
        <x:v>滨风风云瑞丰1号净值20260911.xlsx</x:v>
      </x:c>
      <x:c r="I1670" s="73" t="str">
        <x:f>""</x:f>
      </x:c>
      <x:c r="J1670" s="74" t="str">
        <x:f>""</x:f>
      </x:c>
      <x:c r="K1670" s="73" t="n">
        <x:f>MAX(K1669,F1670)</x:f>
        <x:v>1.6809</x:v>
      </x:c>
      <x:c r="L1670" s="74" t="n">
        <x:f>1-F1670/K1670</x:f>
        <x:v>0.06032482598607902</x:v>
      </x:c>
      <x:c r="M1670" s="73" t="n">
        <x:f>MAX(M1669,F1670)</x:f>
        <x:v>1.6809</x:v>
      </x:c>
      <x:c r="N1670" s="74" t="n">
        <x:f>1-F1670/M1670</x:f>
        <x:v>0.06032482598607902</x:v>
      </x:c>
    </x:row>
    <x:row r="1671" ht="27" customHeight="1">
      <x:c r="A1671" s="66" t="str">
        <x:v>SXL267</x:v>
      </x:c>
      <x:c r="B1671" s="66" t="str">
        <x:v>滨风风云瑞丰1号</x:v>
      </x:c>
      <x:c r="C1671" s="72" t="n">
        <x:v>45838</x:v>
      </x:c>
      <x:c r="D1671" s="73" t="n">
        <x:v>1.5853</x:v>
      </x:c>
      <x:c r="E1671" s="73" t="n">
        <x:v>1.5853</x:v>
      </x:c>
      <x:c r="F1671" s="73" t="n">
        <x:v>1.5853</x:v>
      </x:c>
      <x:c r="G1671" s="74" t="n">
        <x:v>0.0037</x:v>
      </x:c>
      <x:c r="H1671" s="66" t="str">
        <x:v>滨风风云瑞丰1号净值20260911.xlsx</x:v>
      </x:c>
      <x:c r="I1671" s="73" t="str">
        <x:f>""</x:f>
      </x:c>
      <x:c r="J1671" s="74" t="str">
        <x:f>""</x:f>
      </x:c>
      <x:c r="K1671" s="73" t="n">
        <x:f>MAX(K1670,F1671)</x:f>
        <x:v>1.6809</x:v>
      </x:c>
      <x:c r="L1671" s="74" t="n">
        <x:f>1-F1671/K1671</x:f>
        <x:v>0.05687429353322637</x:v>
      </x:c>
      <x:c r="M1671" s="73" t="n">
        <x:f>MAX(M1670,F1671)</x:f>
        <x:v>1.6809</x:v>
      </x:c>
      <x:c r="N1671" s="74" t="n">
        <x:f>1-F1671/M1671</x:f>
        <x:v>0.05687429353322637</x:v>
      </x:c>
    </x:row>
    <x:row r="1672" ht="27" customHeight="1">
      <x:c r="A1672" s="66" t="str">
        <x:v>SXL267</x:v>
      </x:c>
      <x:c r="B1672" s="66" t="str">
        <x:v>滨风风云瑞丰1号</x:v>
      </x:c>
      <x:c r="C1672" s="72" t="n">
        <x:v>45842</x:v>
      </x:c>
      <x:c r="D1672" s="73" t="n">
        <x:v>1.5739</x:v>
      </x:c>
      <x:c r="E1672" s="73" t="n">
        <x:v>1.5739</x:v>
      </x:c>
      <x:c r="F1672" s="73" t="n">
        <x:v>1.5739</x:v>
      </x:c>
      <x:c r="G1672" s="74" t="n">
        <x:v>-0.0072</x:v>
      </x:c>
      <x:c r="H1672" s="66" t="str">
        <x:v>滨风风云瑞丰1号净值20260911.xlsx</x:v>
      </x:c>
      <x:c r="I1672" s="73" t="str">
        <x:f>""</x:f>
      </x:c>
      <x:c r="J1672" s="74" t="str">
        <x:f>""</x:f>
      </x:c>
      <x:c r="K1672" s="73" t="n">
        <x:f>MAX(K1671,F1672)</x:f>
        <x:v>1.6809</x:v>
      </x:c>
      <x:c r="L1672" s="74" t="n">
        <x:f>1-F1672/K1672</x:f>
        <x:v>0.06365637456124695</x:v>
      </x:c>
      <x:c r="M1672" s="73" t="n">
        <x:f>MAX(M1671,F1672)</x:f>
        <x:v>1.6809</x:v>
      </x:c>
      <x:c r="N1672" s="74" t="n">
        <x:f>1-F1672/M1672</x:f>
        <x:v>0.06365637456124695</x:v>
      </x:c>
    </x:row>
    <x:row r="1673" ht="27" customHeight="1">
      <x:c r="A1673" s="66" t="str">
        <x:v>SXL267</x:v>
      </x:c>
      <x:c r="B1673" s="66" t="str">
        <x:v>滨风风云瑞丰1号</x:v>
      </x:c>
      <x:c r="C1673" s="72" t="n">
        <x:v>45849</x:v>
      </x:c>
      <x:c r="D1673" s="73" t="n">
        <x:v>1.5831</x:v>
      </x:c>
      <x:c r="E1673" s="73" t="n">
        <x:v>1.5831</x:v>
      </x:c>
      <x:c r="F1673" s="73" t="n">
        <x:v>1.5831</x:v>
      </x:c>
      <x:c r="G1673" s="74" t="n">
        <x:v>0.0058</x:v>
      </x:c>
      <x:c r="H1673" s="66" t="str">
        <x:v>滨风风云瑞丰1号净值20260911.xlsx</x:v>
      </x:c>
      <x:c r="I1673" s="73" t="str">
        <x:f>""</x:f>
      </x:c>
      <x:c r="J1673" s="74" t="str">
        <x:f>""</x:f>
      </x:c>
      <x:c r="K1673" s="73" t="n">
        <x:f>MAX(K1672,F1673)</x:f>
        <x:v>1.6809</x:v>
      </x:c>
      <x:c r="L1673" s="74" t="n">
        <x:f>1-F1673/K1673</x:f>
        <x:v>0.05818311618775662</x:v>
      </x:c>
      <x:c r="M1673" s="73" t="n">
        <x:f>MAX(M1672,F1673)</x:f>
        <x:v>1.6809</x:v>
      </x:c>
      <x:c r="N1673" s="74" t="n">
        <x:f>1-F1673/M1673</x:f>
        <x:v>0.05818311618775662</x:v>
      </x:c>
    </x:row>
    <x:row r="1674" ht="27" customHeight="1">
      <x:c r="A1674" s="66" t="str">
        <x:v>SXL267</x:v>
      </x:c>
      <x:c r="B1674" s="66" t="str">
        <x:v>滨风风云瑞丰1号</x:v>
      </x:c>
      <x:c r="C1674" s="72" t="n">
        <x:v>45856</x:v>
      </x:c>
      <x:c r="D1674" s="73" t="n">
        <x:v>1.6274</x:v>
      </x:c>
      <x:c r="E1674" s="73" t="n">
        <x:v>1.6274</x:v>
      </x:c>
      <x:c r="F1674" s="73" t="n">
        <x:v>1.6274</x:v>
      </x:c>
      <x:c r="G1674" s="74" t="n">
        <x:v>0.027999999999999997</x:v>
      </x:c>
      <x:c r="H1674" s="66" t="str">
        <x:v>滨风风云瑞丰1号净值20260911.xlsx</x:v>
      </x:c>
      <x:c r="I1674" s="73" t="str">
        <x:f>""</x:f>
      </x:c>
      <x:c r="J1674" s="74" t="str">
        <x:f>""</x:f>
      </x:c>
      <x:c r="K1674" s="73" t="n">
        <x:f>MAX(K1673,F1674)</x:f>
        <x:v>1.6809</x:v>
      </x:c>
      <x:c r="L1674" s="74" t="n">
        <x:f>1-F1674/K1674</x:f>
        <x:v>0.03182818728062353</x:v>
      </x:c>
      <x:c r="M1674" s="73" t="n">
        <x:f>MAX(M1673,F1674)</x:f>
        <x:v>1.6809</x:v>
      </x:c>
      <x:c r="N1674" s="74" t="n">
        <x:f>1-F1674/M1674</x:f>
        <x:v>0.03182818728062353</x:v>
      </x:c>
    </x:row>
    <x:row r="1675" ht="27" customHeight="1">
      <x:c r="A1675" s="66" t="str">
        <x:v>SXL267</x:v>
      </x:c>
      <x:c r="B1675" s="66" t="str">
        <x:v>滨风风云瑞丰1号</x:v>
      </x:c>
      <x:c r="C1675" s="72" t="n">
        <x:v>45863</x:v>
      </x:c>
      <x:c r="D1675" s="73" t="n">
        <x:v>1.6234</x:v>
      </x:c>
      <x:c r="E1675" s="73" t="n">
        <x:v>1.6234</x:v>
      </x:c>
      <x:c r="F1675" s="73" t="n">
        <x:v>1.6234</x:v>
      </x:c>
      <x:c r="G1675" s="74" t="n">
        <x:v>-0.0025</x:v>
      </x:c>
      <x:c r="H1675" s="66" t="str">
        <x:v>滨风风云瑞丰1号净值20260911.xlsx</x:v>
      </x:c>
      <x:c r="I1675" s="73" t="str">
        <x:f>""</x:f>
      </x:c>
      <x:c r="J1675" s="74" t="str">
        <x:f>""</x:f>
      </x:c>
      <x:c r="K1675" s="73" t="n">
        <x:f>MAX(K1674,F1675)</x:f>
        <x:v>1.6809</x:v>
      </x:c>
      <x:c r="L1675" s="74" t="n">
        <x:f>1-F1675/K1675</x:f>
        <x:v>0.03420786483431504</x:v>
      </x:c>
      <x:c r="M1675" s="73" t="n">
        <x:f>MAX(M1674,F1675)</x:f>
        <x:v>1.6809</x:v>
      </x:c>
      <x:c r="N1675" s="74" t="n">
        <x:f>1-F1675/M1675</x:f>
        <x:v>0.03420786483431504</x:v>
      </x:c>
    </x:row>
    <x:row r="1676" ht="27" customHeight="1">
      <x:c r="A1676" s="66" t="str">
        <x:v>SXL267</x:v>
      </x:c>
      <x:c r="B1676" s="66" t="str">
        <x:v>滨风风云瑞丰1号</x:v>
      </x:c>
      <x:c r="C1676" s="72" t="n">
        <x:v>45870</x:v>
      </x:c>
      <x:c r="D1676" s="73" t="n">
        <x:v>1.5331</x:v>
      </x:c>
      <x:c r="E1676" s="73" t="n">
        <x:v>1.5331</x:v>
      </x:c>
      <x:c r="F1676" s="73" t="n">
        <x:v>1.5331</x:v>
      </x:c>
      <x:c r="G1676" s="74" t="n">
        <x:v>-0.0556</x:v>
      </x:c>
      <x:c r="H1676" s="66" t="str">
        <x:v>滨风风云瑞丰1号净值20260911.xlsx</x:v>
      </x:c>
      <x:c r="I1676" s="73" t="str">
        <x:f>""</x:f>
      </x:c>
      <x:c r="J1676" s="74" t="str">
        <x:f>""</x:f>
      </x:c>
      <x:c r="K1676" s="73" t="n">
        <x:f>MAX(K1675,F1676)</x:f>
        <x:v>1.6809</x:v>
      </x:c>
      <x:c r="L1676" s="74" t="n">
        <x:f>1-F1676/K1676</x:f>
        <x:v>0.08792908560890011</x:v>
      </x:c>
      <x:c r="M1676" s="73" t="n">
        <x:f>MAX(M1675,F1676)</x:f>
        <x:v>1.6809</x:v>
      </x:c>
      <x:c r="N1676" s="74" t="n">
        <x:f>1-F1676/M1676</x:f>
        <x:v>0.08792908560890011</x:v>
      </x:c>
    </x:row>
    <x:row r="1677" ht="27" customHeight="1">
      <x:c r="A1677" s="66" t="str">
        <x:v>SXL267</x:v>
      </x:c>
      <x:c r="B1677" s="66" t="str">
        <x:v>滨风风云瑞丰1号</x:v>
      </x:c>
      <x:c r="C1677" s="72" t="n">
        <x:v>45877</x:v>
      </x:c>
      <x:c r="D1677" s="73" t="n">
        <x:v>1.5624</x:v>
      </x:c>
      <x:c r="E1677" s="73" t="n">
        <x:v>1.5624</x:v>
      </x:c>
      <x:c r="F1677" s="73" t="n">
        <x:v>1.5624</x:v>
      </x:c>
      <x:c r="G1677" s="74" t="n">
        <x:v>0.0191</x:v>
      </x:c>
      <x:c r="H1677" s="66" t="str">
        <x:v>滨风风云瑞丰1号净值20260911.xlsx</x:v>
      </x:c>
      <x:c r="I1677" s="73" t="str">
        <x:f>""</x:f>
      </x:c>
      <x:c r="J1677" s="74" t="str">
        <x:f>""</x:f>
      </x:c>
      <x:c r="K1677" s="73" t="n">
        <x:f>MAX(K1676,F1677)</x:f>
        <x:v>1.6809</x:v>
      </x:c>
      <x:c r="L1677" s="74" t="n">
        <x:f>1-F1677/K1677</x:f>
        <x:v>0.07049794752811</x:v>
      </x:c>
      <x:c r="M1677" s="73" t="n">
        <x:f>MAX(M1676,F1677)</x:f>
        <x:v>1.6809</x:v>
      </x:c>
      <x:c r="N1677" s="74" t="n">
        <x:f>1-F1677/M1677</x:f>
        <x:v>0.07049794752811</x:v>
      </x:c>
    </x:row>
    <x:row r="1678" ht="27" customHeight="1">
      <x:c r="A1678" s="66" t="str">
        <x:v>SXL267</x:v>
      </x:c>
      <x:c r="B1678" s="66" t="str">
        <x:v>滨风风云瑞丰1号</x:v>
      </x:c>
      <x:c r="C1678" s="72" t="n">
        <x:v>45884</x:v>
      </x:c>
      <x:c r="D1678" s="73" t="n">
        <x:v>1.5452</x:v>
      </x:c>
      <x:c r="E1678" s="73" t="n">
        <x:v>1.5452</x:v>
      </x:c>
      <x:c r="F1678" s="73" t="n">
        <x:v>1.5452</x:v>
      </x:c>
      <x:c r="G1678" s="74" t="n">
        <x:v>-0.011000000000000001</x:v>
      </x:c>
      <x:c r="H1678" s="66" t="str">
        <x:v>滨风风云瑞丰1号净值20260911.xlsx</x:v>
      </x:c>
      <x:c r="I1678" s="73" t="str">
        <x:f>""</x:f>
      </x:c>
      <x:c r="J1678" s="74" t="str">
        <x:f>""</x:f>
      </x:c>
      <x:c r="K1678" s="73" t="n">
        <x:f>MAX(K1677,F1678)</x:f>
        <x:v>1.6809</x:v>
      </x:c>
      <x:c r="L1678" s="74" t="n">
        <x:f>1-F1678/K1678</x:f>
        <x:v>0.08073056100898335</x:v>
      </x:c>
      <x:c r="M1678" s="73" t="n">
        <x:f>MAX(M1677,F1678)</x:f>
        <x:v>1.6809</x:v>
      </x:c>
      <x:c r="N1678" s="74" t="n">
        <x:f>1-F1678/M1678</x:f>
        <x:v>0.08073056100898335</x:v>
      </x:c>
    </x:row>
    <x:row r="1679" ht="27" customHeight="1">
      <x:c r="A1679" s="66" t="str">
        <x:v>SXL267</x:v>
      </x:c>
      <x:c r="B1679" s="66" t="str">
        <x:v>滨风风云瑞丰1号</x:v>
      </x:c>
      <x:c r="C1679" s="72" t="n">
        <x:v>45891</x:v>
      </x:c>
      <x:c r="D1679" s="73" t="n">
        <x:v>1.539</x:v>
      </x:c>
      <x:c r="E1679" s="73" t="n">
        <x:v>1.539</x:v>
      </x:c>
      <x:c r="F1679" s="73" t="n">
        <x:v>1.539</x:v>
      </x:c>
      <x:c r="G1679" s="74" t="n">
        <x:v>-0.004</x:v>
      </x:c>
      <x:c r="H1679" s="66" t="str">
        <x:v>滨风风云瑞丰1号净值20260911.xlsx</x:v>
      </x:c>
      <x:c r="I1679" s="73" t="str">
        <x:f>""</x:f>
      </x:c>
      <x:c r="J1679" s="74" t="str">
        <x:f>""</x:f>
      </x:c>
      <x:c r="K1679" s="73" t="n">
        <x:f>MAX(K1678,F1679)</x:f>
        <x:v>1.6809</x:v>
      </x:c>
      <x:c r="L1679" s="74" t="n">
        <x:f>1-F1679/K1679</x:f>
        <x:v>0.0844190612172051</x:v>
      </x:c>
      <x:c r="M1679" s="73" t="n">
        <x:f>MAX(M1678,F1679)</x:f>
        <x:v>1.6809</x:v>
      </x:c>
      <x:c r="N1679" s="74" t="n">
        <x:f>1-F1679/M1679</x:f>
        <x:v>0.0844190612172051</x:v>
      </x:c>
    </x:row>
    <x:row r="1680" ht="27" customHeight="1">
      <x:c r="A1680" s="66" t="str">
        <x:v>SXL267</x:v>
      </x:c>
      <x:c r="B1680" s="66" t="str">
        <x:v>滨风风云瑞丰1号</x:v>
      </x:c>
      <x:c r="C1680" s="72" t="n">
        <x:v>45898</x:v>
      </x:c>
      <x:c r="D1680" s="73" t="n">
        <x:v>1.5567</x:v>
      </x:c>
      <x:c r="E1680" s="73" t="n">
        <x:v>1.5567</x:v>
      </x:c>
      <x:c r="F1680" s="73" t="n">
        <x:v>1.5567</x:v>
      </x:c>
      <x:c r="G1680" s="74" t="n">
        <x:v>0.0115</x:v>
      </x:c>
      <x:c r="H1680" s="66" t="str">
        <x:v>滨风风云瑞丰1号净值20260911.xlsx</x:v>
      </x:c>
      <x:c r="I1680" s="73" t="n">
        <x:f>F1680</x:f>
        <x:v>1.5567</x:v>
      </x:c>
      <x:c r="J1680" s="74" t="n">
        <x:f>1-F1680/I1680</x:f>
        <x:v>0</x:v>
      </x:c>
      <x:c r="K1680" s="73" t="n">
        <x:f>MAX(K1679,F1680)</x:f>
        <x:v>1.6809</x:v>
      </x:c>
      <x:c r="L1680" s="74" t="n">
        <x:f>1-F1680/K1680</x:f>
        <x:v>0.0738889880421203</x:v>
      </x:c>
      <x:c r="M1680" s="73" t="n">
        <x:f>MAX(M1679,F1680)</x:f>
        <x:v>1.6809</x:v>
      </x:c>
      <x:c r="N1680" s="74" t="n">
        <x:f>1-F1680/M1680</x:f>
        <x:v>0.0738889880421203</x:v>
      </x:c>
    </x:row>
    <x:row r="1681" ht="27" customHeight="1">
      <x:c r="A1681" s="66" t="str">
        <x:v>SXL267</x:v>
      </x:c>
      <x:c r="B1681" s="66" t="str">
        <x:v>滨风风云瑞丰1号</x:v>
      </x:c>
      <x:c r="C1681" s="72" t="n">
        <x:v>45905</x:v>
      </x:c>
      <x:c r="D1681" s="73" t="n">
        <x:v>1.593</x:v>
      </x:c>
      <x:c r="E1681" s="73" t="n">
        <x:v>1.593</x:v>
      </x:c>
      <x:c r="F1681" s="73" t="n">
        <x:v>1.593</x:v>
      </x:c>
      <x:c r="G1681" s="74" t="n">
        <x:v>0.0233</x:v>
      </x:c>
      <x:c r="H1681" s="66" t="str">
        <x:v>滨风风云瑞丰1号净值20260911.xlsx</x:v>
      </x:c>
      <x:c r="I1681" s="73" t="n">
        <x:f>MAX(I1680,F1681)</x:f>
        <x:v>1.593</x:v>
      </x:c>
      <x:c r="J1681" s="74" t="n">
        <x:f>1-F1681/I1681</x:f>
        <x:v>0</x:v>
      </x:c>
      <x:c r="K1681" s="73" t="n">
        <x:f>MAX(K1680,F1681)</x:f>
        <x:v>1.6809</x:v>
      </x:c>
      <x:c r="L1681" s="74" t="n">
        <x:f>1-F1681/K1681</x:f>
        <x:v>0.05229341424237022</x:v>
      </x:c>
      <x:c r="M1681" s="73" t="n">
        <x:f>MAX(M1680,F1681)</x:f>
        <x:v>1.6809</x:v>
      </x:c>
      <x:c r="N1681" s="74" t="n">
        <x:f>1-F1681/M1681</x:f>
        <x:v>0.05229341424237022</x:v>
      </x:c>
    </x:row>
    <x:row r="1682" ht="27" customHeight="1">
      <x:c r="A1682" s="66" t="str">
        <x:v>SXL267</x:v>
      </x:c>
      <x:c r="B1682" s="66" t="str">
        <x:v>滨风风云瑞丰1号</x:v>
      </x:c>
      <x:c r="C1682" s="72" t="n">
        <x:v>45912</x:v>
      </x:c>
      <x:c r="D1682" s="73" t="n">
        <x:v>1.599</x:v>
      </x:c>
      <x:c r="E1682" s="73" t="n">
        <x:v>1.599</x:v>
      </x:c>
      <x:c r="F1682" s="73" t="n">
        <x:v>1.599</x:v>
      </x:c>
      <x:c r="G1682" s="74" t="n">
        <x:v>0.0038</x:v>
      </x:c>
      <x:c r="H1682" s="66" t="str">
        <x:v>滨风风云瑞丰1号净值20260911.xlsx</x:v>
      </x:c>
      <x:c r="I1682" s="73" t="n">
        <x:f>MAX(I1681,F1682)</x:f>
        <x:v>1.599</x:v>
      </x:c>
      <x:c r="J1682" s="74" t="n">
        <x:f>1-F1682/I1682</x:f>
        <x:v>0</x:v>
      </x:c>
      <x:c r="K1682" s="73" t="n">
        <x:f>MAX(K1681,F1682)</x:f>
        <x:v>1.6809</x:v>
      </x:c>
      <x:c r="L1682" s="74" t="n">
        <x:f>1-F1682/K1682</x:f>
        <x:v>0.04872389791183296</x:v>
      </x:c>
      <x:c r="M1682" s="73" t="n">
        <x:f>MAX(M1681,F1682)</x:f>
        <x:v>1.6809</x:v>
      </x:c>
      <x:c r="N1682" s="74" t="n">
        <x:f>1-F1682/M1682</x:f>
        <x:v>0.04872389791183296</x:v>
      </x:c>
    </x:row>
    <x:row r="1683" ht="27" customHeight="1">
      <x:c r="A1683" s="66" t="str">
        <x:v>SXL267</x:v>
      </x:c>
      <x:c r="B1683" s="66" t="str">
        <x:v>滨风风云瑞丰1号</x:v>
      </x:c>
      <x:c r="C1683" s="72" t="n">
        <x:v>45919</x:v>
      </x:c>
      <x:c r="D1683" s="73" t="n">
        <x:v>1.5817</x:v>
      </x:c>
      <x:c r="E1683" s="73" t="n">
        <x:v>1.5817</x:v>
      </x:c>
      <x:c r="F1683" s="73" t="n">
        <x:v>1.5817</x:v>
      </x:c>
      <x:c r="G1683" s="74" t="n">
        <x:v>-0.0108</x:v>
      </x:c>
      <x:c r="H1683" s="66" t="str">
        <x:v>滨风风云瑞丰1号净值20260911.xlsx</x:v>
      </x:c>
      <x:c r="I1683" s="73" t="n">
        <x:f>MAX(I1682,F1683)</x:f>
        <x:v>1.599</x:v>
      </x:c>
      <x:c r="J1683" s="74" t="n">
        <x:f>1-F1683/I1683</x:f>
        <x:v>0.010819262038774147</x:v>
      </x:c>
      <x:c r="K1683" s="73" t="n">
        <x:f>MAX(K1682,F1683)</x:f>
        <x:v>1.6809</x:v>
      </x:c>
      <x:c r="L1683" s="74" t="n">
        <x:f>1-F1683/K1683</x:f>
        <x:v>0.05901600333154855</x:v>
      </x:c>
      <x:c r="M1683" s="73" t="n">
        <x:f>MAX(M1682,F1683)</x:f>
        <x:v>1.6809</x:v>
      </x:c>
      <x:c r="N1683" s="74" t="n">
        <x:f>1-F1683/M1683</x:f>
        <x:v>0.05901600333154855</x:v>
      </x:c>
    </x:row>
    <x:row r="1684" ht="27" customHeight="1">
      <x:c r="A1684" s="66" t="str">
        <x:v>SXL267</x:v>
      </x:c>
      <x:c r="B1684" s="66" t="str">
        <x:v>滨风风云瑞丰1号</x:v>
      </x:c>
      <x:c r="C1684" s="72" t="n">
        <x:v>45926</x:v>
      </x:c>
      <x:c r="D1684" s="73" t="n">
        <x:v>1.5664</x:v>
      </x:c>
      <x:c r="E1684" s="73" t="n">
        <x:v>1.5664</x:v>
      </x:c>
      <x:c r="F1684" s="73" t="n">
        <x:v>1.5664</x:v>
      </x:c>
      <x:c r="G1684" s="74" t="n">
        <x:v>-0.0097</x:v>
      </x:c>
      <x:c r="H1684" s="66" t="str">
        <x:v>滨风风云瑞丰1号净值20260911.xlsx</x:v>
      </x:c>
      <x:c r="I1684" s="73" t="n">
        <x:f>MAX(I1683,F1684)</x:f>
        <x:v>1.599</x:v>
      </x:c>
      <x:c r="J1684" s="74" t="n">
        <x:f>1-F1684/I1684</x:f>
        <x:v>0.02038774233896179</x:v>
      </x:c>
      <x:c r="K1684" s="73" t="n">
        <x:f>MAX(K1683,F1684)</x:f>
        <x:v>1.6809</x:v>
      </x:c>
      <x:c r="L1684" s="74" t="n">
        <x:f>1-F1684/K1684</x:f>
        <x:v>0.0681182699744185</x:v>
      </x:c>
      <x:c r="M1684" s="73" t="n">
        <x:f>MAX(M1683,F1684)</x:f>
        <x:v>1.6809</x:v>
      </x:c>
      <x:c r="N1684" s="74" t="n">
        <x:f>1-F1684/M1684</x:f>
        <x:v>0.0681182699744185</x:v>
      </x:c>
    </x:row>
    <x:row r="1685" ht="27" customHeight="1">
      <x:c r="A1685" s="66" t="str">
        <x:v>SXL267</x:v>
      </x:c>
      <x:c r="B1685" s="66" t="str">
        <x:v>滨风风云瑞丰1号</x:v>
      </x:c>
      <x:c r="C1685" s="72" t="n">
        <x:v>45930</x:v>
      </x:c>
      <x:c r="D1685" s="73" t="n">
        <x:v>1.6232</x:v>
      </x:c>
      <x:c r="E1685" s="73" t="n">
        <x:v>1.6232</x:v>
      </x:c>
      <x:c r="F1685" s="73" t="n">
        <x:v>1.6232</x:v>
      </x:c>
      <x:c r="G1685" s="74" t="n">
        <x:v>0.0363</x:v>
      </x:c>
      <x:c r="H1685" s="66" t="str">
        <x:v>滨风风云瑞丰1号净值20260911.xlsx</x:v>
      </x:c>
      <x:c r="I1685" s="73" t="n">
        <x:f>MAX(I1684,F1685)</x:f>
        <x:v>1.6232</x:v>
      </x:c>
      <x:c r="J1685" s="74" t="n">
        <x:f>1-F1685/I1685</x:f>
        <x:v>0</x:v>
      </x:c>
      <x:c r="K1685" s="73" t="n">
        <x:f>MAX(K1684,F1685)</x:f>
        <x:v>1.6809</x:v>
      </x:c>
      <x:c r="L1685" s="74" t="n">
        <x:f>1-F1685/K1685</x:f>
        <x:v>0.034326848711999536</x:v>
      </x:c>
      <x:c r="M1685" s="73" t="n">
        <x:f>MAX(M1684,F1685)</x:f>
        <x:v>1.6809</x:v>
      </x:c>
      <x:c r="N1685" s="74" t="n">
        <x:f>1-F1685/M1685</x:f>
        <x:v>0.034326848711999536</x:v>
      </x:c>
    </x:row>
    <x:row r="1686" ht="27" customHeight="1">
      <x:c r="A1686" s="66" t="str">
        <x:v>SXL267</x:v>
      </x:c>
      <x:c r="B1686" s="66" t="str">
        <x:v>滨风风云瑞丰1号</x:v>
      </x:c>
      <x:c r="C1686" s="72" t="n">
        <x:v>45940</x:v>
      </x:c>
      <x:c r="D1686" s="73" t="n">
        <x:v>1.7122</x:v>
      </x:c>
      <x:c r="E1686" s="73" t="n">
        <x:v>1.7122</x:v>
      </x:c>
      <x:c r="F1686" s="73" t="n">
        <x:v>1.7122</x:v>
      </x:c>
      <x:c r="G1686" s="74" t="n">
        <x:v>0.0548</x:v>
      </x:c>
      <x:c r="H1686" s="66" t="str">
        <x:v>滨风风云瑞丰1号净值20260911.xlsx</x:v>
      </x:c>
      <x:c r="I1686" s="73" t="n">
        <x:f>MAX(I1685,F1686)</x:f>
        <x:v>1.7122</x:v>
      </x:c>
      <x:c r="J1686" s="74" t="n">
        <x:f>1-F1686/I1686</x:f>
        <x:v>0</x:v>
      </x:c>
      <x:c r="K1686" s="73" t="n">
        <x:f>MAX(K1685,F1686)</x:f>
        <x:v>1.7122</x:v>
      </x:c>
      <x:c r="L1686" s="74" t="n">
        <x:f>1-F1686/K1686</x:f>
        <x:v>0</x:v>
      </x:c>
      <x:c r="M1686" s="73" t="n">
        <x:f>MAX(M1685,F1686)</x:f>
        <x:v>1.7122</x:v>
      </x:c>
      <x:c r="N1686" s="74" t="n">
        <x:f>1-F1686/M1686</x:f>
        <x:v>0</x:v>
      </x:c>
    </x:row>
    <x:row r="1687" ht="27" customHeight="1">
      <x:c r="A1687" s="66" t="str">
        <x:v>SXL267</x:v>
      </x:c>
      <x:c r="B1687" s="66" t="str">
        <x:v>滨风风云瑞丰1号</x:v>
      </x:c>
      <x:c r="C1687" s="72" t="n">
        <x:v>45947</x:v>
      </x:c>
      <x:c r="D1687" s="73" t="n">
        <x:v>1.7264</x:v>
      </x:c>
      <x:c r="E1687" s="73" t="n">
        <x:v>1.7264</x:v>
      </x:c>
      <x:c r="F1687" s="73" t="n">
        <x:v>1.7264</x:v>
      </x:c>
      <x:c r="G1687" s="74" t="n">
        <x:v>0.0083</x:v>
      </x:c>
      <x:c r="H1687" s="66" t="str">
        <x:v>滨风风云瑞丰1号净值20260911.xlsx</x:v>
      </x:c>
      <x:c r="I1687" s="73" t="n">
        <x:f>MAX(I1686,F1687)</x:f>
        <x:v>1.7264</x:v>
      </x:c>
      <x:c r="J1687" s="74" t="n">
        <x:f>1-F1687/I1687</x:f>
        <x:v>0</x:v>
      </x:c>
      <x:c r="K1687" s="73" t="n">
        <x:f>MAX(K1686,F1687)</x:f>
        <x:v>1.7264</x:v>
      </x:c>
      <x:c r="L1687" s="74" t="n">
        <x:f>1-F1687/K1687</x:f>
        <x:v>0</x:v>
      </x:c>
      <x:c r="M1687" s="73" t="n">
        <x:f>MAX(M1686,F1687)</x:f>
        <x:v>1.7264</x:v>
      </x:c>
      <x:c r="N1687" s="74" t="n">
        <x:f>1-F1687/M1687</x:f>
        <x:v>0</x:v>
      </x:c>
    </x:row>
    <x:row r="1688" ht="27" customHeight="1">
      <x:c r="A1688" s="66" t="str">
        <x:v>SXL267</x:v>
      </x:c>
      <x:c r="B1688" s="66" t="str">
        <x:v>滨风风云瑞丰1号</x:v>
      </x:c>
      <x:c r="C1688" s="72" t="n">
        <x:v>45954</x:v>
      </x:c>
      <x:c r="D1688" s="73" t="n">
        <x:v>1.7732</x:v>
      </x:c>
      <x:c r="E1688" s="73" t="n">
        <x:v>1.7732</x:v>
      </x:c>
      <x:c r="F1688" s="73" t="n">
        <x:v>1.7732</x:v>
      </x:c>
      <x:c r="G1688" s="74" t="n">
        <x:v>0.0271</x:v>
      </x:c>
      <x:c r="H1688" s="66" t="str">
        <x:v>滨风风云瑞丰1号净值20260911.xlsx</x:v>
      </x:c>
      <x:c r="I1688" s="73" t="n">
        <x:f>MAX(I1687,F1688)</x:f>
        <x:v>1.7732</x:v>
      </x:c>
      <x:c r="J1688" s="74" t="n">
        <x:f>1-F1688/I1688</x:f>
        <x:v>0</x:v>
      </x:c>
      <x:c r="K1688" s="73" t="n">
        <x:f>MAX(K1687,F1688)</x:f>
        <x:v>1.7732</x:v>
      </x:c>
      <x:c r="L1688" s="74" t="n">
        <x:f>1-F1688/K1688</x:f>
        <x:v>0</x:v>
      </x:c>
      <x:c r="M1688" s="73" t="n">
        <x:f>MAX(M1687,F1688)</x:f>
        <x:v>1.7732</x:v>
      </x:c>
      <x:c r="N1688" s="74" t="n">
        <x:f>1-F1688/M1688</x:f>
        <x:v>0</x:v>
      </x:c>
    </x:row>
    <x:row r="1689" ht="27" customHeight="1">
      <x:c r="A1689" s="66" t="str">
        <x:v>SXL267</x:v>
      </x:c>
      <x:c r="B1689" s="66" t="str">
        <x:v>滨风风云瑞丰1号</x:v>
      </x:c>
      <x:c r="C1689" s="72" t="n">
        <x:v>45961</x:v>
      </x:c>
      <x:c r="D1689" s="73" t="n">
        <x:v>1.8144</x:v>
      </x:c>
      <x:c r="E1689" s="73" t="n">
        <x:v>1.8144</x:v>
      </x:c>
      <x:c r="F1689" s="73" t="n">
        <x:v>1.8144</x:v>
      </x:c>
      <x:c r="G1689" s="74" t="n">
        <x:v>0.0232</x:v>
      </x:c>
      <x:c r="H1689" s="66" t="str">
        <x:v>滨风风云瑞丰1号净值20260911.xlsx</x:v>
      </x:c>
      <x:c r="I1689" s="73" t="n">
        <x:f>MAX(I1688,F1689)</x:f>
        <x:v>1.8144</x:v>
      </x:c>
      <x:c r="J1689" s="74" t="n">
        <x:f>1-F1689/I1689</x:f>
        <x:v>0</x:v>
      </x:c>
      <x:c r="K1689" s="73" t="n">
        <x:f>MAX(K1688,F1689)</x:f>
        <x:v>1.8144</x:v>
      </x:c>
      <x:c r="L1689" s="74" t="n">
        <x:f>1-F1689/K1689</x:f>
        <x:v>0</x:v>
      </x:c>
      <x:c r="M1689" s="73" t="n">
        <x:f>MAX(M1688,F1689)</x:f>
        <x:v>1.8144</x:v>
      </x:c>
      <x:c r="N1689" s="74" t="n">
        <x:f>1-F1689/M1689</x:f>
        <x:v>0</x:v>
      </x:c>
    </x:row>
    <x:row r="1690" ht="27" customHeight="1">
      <x:c r="A1690" s="66" t="str">
        <x:v>SXL267</x:v>
      </x:c>
      <x:c r="B1690" s="66" t="str">
        <x:v>滨风风云瑞丰1号</x:v>
      </x:c>
      <x:c r="C1690" s="72" t="n">
        <x:v>45968</x:v>
      </x:c>
      <x:c r="D1690" s="73" t="n">
        <x:v>1.7968</x:v>
      </x:c>
      <x:c r="E1690" s="73" t="n">
        <x:v>1.7968</x:v>
      </x:c>
      <x:c r="F1690" s="73" t="n">
        <x:v>1.7968</x:v>
      </x:c>
      <x:c r="G1690" s="74" t="n">
        <x:v>-0.0097</x:v>
      </x:c>
      <x:c r="H1690" s="66" t="str">
        <x:v>滨风风云瑞丰1号净值20260911.xlsx</x:v>
      </x:c>
      <x:c r="I1690" s="73" t="n">
        <x:f>MAX(I1689,F1690)</x:f>
        <x:v>1.8144</x:v>
      </x:c>
      <x:c r="J1690" s="74" t="n">
        <x:f>1-F1690/I1690</x:f>
        <x:v>0.00970017636684306</x:v>
      </x:c>
      <x:c r="K1690" s="73" t="n">
        <x:f>MAX(K1689,F1690)</x:f>
        <x:v>1.8144</x:v>
      </x:c>
      <x:c r="L1690" s="74" t="n">
        <x:f>1-F1690/K1690</x:f>
        <x:v>0.00970017636684306</x:v>
      </x:c>
      <x:c r="M1690" s="73" t="n">
        <x:f>MAX(M1689,F1690)</x:f>
        <x:v>1.8144</x:v>
      </x:c>
      <x:c r="N1690" s="74" t="n">
        <x:f>1-F1690/M1690</x:f>
        <x:v>0.00970017636684306</x:v>
      </x:c>
    </x:row>
    <x:row r="1691" ht="27" customHeight="1">
      <x:c r="A1691" s="66" t="str">
        <x:v>SXL267</x:v>
      </x:c>
      <x:c r="B1691" s="66" t="str">
        <x:v>滨风风云瑞丰1号</x:v>
      </x:c>
      <x:c r="C1691" s="72" t="n">
        <x:v>45975</x:v>
      </x:c>
      <x:c r="D1691" s="73" t="n">
        <x:v>1.8499</x:v>
      </x:c>
      <x:c r="E1691" s="73" t="n">
        <x:v>1.8499</x:v>
      </x:c>
      <x:c r="F1691" s="73" t="n">
        <x:v>1.8499</x:v>
      </x:c>
      <x:c r="G1691" s="74" t="n">
        <x:v>0.0296</x:v>
      </x:c>
      <x:c r="H1691" s="66" t="str">
        <x:v>滨风风云瑞丰1号净值20260911.xlsx</x:v>
      </x:c>
      <x:c r="I1691" s="73" t="n">
        <x:f>MAX(I1690,F1691)</x:f>
        <x:v>1.8499</x:v>
      </x:c>
      <x:c r="J1691" s="74" t="n">
        <x:f>1-F1691/I1691</x:f>
        <x:v>0</x:v>
      </x:c>
      <x:c r="K1691" s="73" t="n">
        <x:f>MAX(K1690,F1691)</x:f>
        <x:v>1.8499</x:v>
      </x:c>
      <x:c r="L1691" s="74" t="n">
        <x:f>1-F1691/K1691</x:f>
        <x:v>0</x:v>
      </x:c>
      <x:c r="M1691" s="73" t="n">
        <x:f>MAX(M1690,F1691)</x:f>
        <x:v>1.8499</x:v>
      </x:c>
      <x:c r="N1691" s="74" t="n">
        <x:f>1-F1691/M1691</x:f>
        <x:v>0</x:v>
      </x:c>
    </x:row>
    <x:row r="1692" ht="27" customHeight="1">
      <x:c r="A1692" s="66" t="str">
        <x:v>SXL267</x:v>
      </x:c>
      <x:c r="B1692" s="66" t="str">
        <x:v>滨风风云瑞丰1号</x:v>
      </x:c>
      <x:c r="C1692" s="72" t="n">
        <x:v>45982</x:v>
      </x:c>
      <x:c r="D1692" s="73" t="n">
        <x:v>1.8474</x:v>
      </x:c>
      <x:c r="E1692" s="73" t="n">
        <x:v>1.8474</x:v>
      </x:c>
      <x:c r="F1692" s="73" t="n">
        <x:v>1.8474</x:v>
      </x:c>
      <x:c r="G1692" s="74" t="n">
        <x:v>-0.0014000000000000002</x:v>
      </x:c>
      <x:c r="H1692" s="66" t="str">
        <x:v>滨风风云瑞丰1号净值20260911.xlsx</x:v>
      </x:c>
      <x:c r="I1692" s="73" t="n">
        <x:f>MAX(I1691,F1692)</x:f>
        <x:v>1.8499</x:v>
      </x:c>
      <x:c r="J1692" s="74" t="n">
        <x:f>1-F1692/I1692</x:f>
        <x:v>0.001351424401319079</x:v>
      </x:c>
      <x:c r="K1692" s="73" t="n">
        <x:f>MAX(K1691,F1692)</x:f>
        <x:v>1.8499</x:v>
      </x:c>
      <x:c r="L1692" s="74" t="n">
        <x:f>1-F1692/K1692</x:f>
        <x:v>0.001351424401319079</x:v>
      </x:c>
      <x:c r="M1692" s="73" t="n">
        <x:f>MAX(M1691,F1692)</x:f>
        <x:v>1.8499</x:v>
      </x:c>
      <x:c r="N1692" s="74" t="n">
        <x:f>1-F1692/M1692</x:f>
        <x:v>0.001351424401319079</x:v>
      </x:c>
    </x:row>
    <x:row r="1693" ht="27" customHeight="1">
      <x:c r="A1693" s="66" t="str">
        <x:v>SXL267</x:v>
      </x:c>
      <x:c r="B1693" s="66" t="str">
        <x:v>滨风风云瑞丰1号</x:v>
      </x:c>
      <x:c r="C1693" s="72" t="n">
        <x:v>45989</x:v>
      </x:c>
      <x:c r="D1693" s="73" t="n">
        <x:v>1.8169</x:v>
      </x:c>
      <x:c r="E1693" s="73" t="n">
        <x:v>1.8169</x:v>
      </x:c>
      <x:c r="F1693" s="73" t="n">
        <x:v>1.8169</x:v>
      </x:c>
      <x:c r="G1693" s="74" t="n">
        <x:v>-0.0165</x:v>
      </x:c>
      <x:c r="H1693" s="66" t="str">
        <x:v>滨风风云瑞丰1号净值20260911.xlsx</x:v>
      </x:c>
      <x:c r="I1693" s="73" t="n">
        <x:f>MAX(I1692,F1693)</x:f>
        <x:v>1.8499</x:v>
      </x:c>
      <x:c r="J1693" s="74" t="n">
        <x:f>1-F1693/I1693</x:f>
        <x:v>0.017838802097410733</x:v>
      </x:c>
      <x:c r="K1693" s="73" t="n">
        <x:f>MAX(K1692,F1693)</x:f>
        <x:v>1.8499</x:v>
      </x:c>
      <x:c r="L1693" s="74" t="n">
        <x:f>1-F1693/K1693</x:f>
        <x:v>0.017838802097410733</x:v>
      </x:c>
      <x:c r="M1693" s="73" t="n">
        <x:f>MAX(M1692,F1693)</x:f>
        <x:v>1.8499</x:v>
      </x:c>
      <x:c r="N1693" s="74" t="n">
        <x:f>1-F1693/M1693</x:f>
        <x:v>0.017838802097410733</x:v>
      </x:c>
    </x:row>
    <x:row r="1694" ht="27" customHeight="1">
      <x:c r="A1694" s="66" t="str">
        <x:v>SXL267</x:v>
      </x:c>
      <x:c r="B1694" s="66" t="str">
        <x:v>滨风风云瑞丰1号</x:v>
      </x:c>
      <x:c r="C1694" s="72" t="n">
        <x:v>45996</x:v>
      </x:c>
      <x:c r="D1694" s="73" t="n">
        <x:v>1.8893</x:v>
      </x:c>
      <x:c r="E1694" s="73" t="n">
        <x:v>1.8893</x:v>
      </x:c>
      <x:c r="F1694" s="73" t="n">
        <x:v>1.8893</x:v>
      </x:c>
      <x:c r="G1694" s="74" t="n">
        <x:v>0.0398</x:v>
      </x:c>
      <x:c r="H1694" s="66" t="str">
        <x:v>滨风风云瑞丰1号净值20260911.xlsx</x:v>
      </x:c>
      <x:c r="I1694" s="73" t="n">
        <x:f>MAX(I1693,F1694)</x:f>
        <x:v>1.8893</x:v>
      </x:c>
      <x:c r="J1694" s="74" t="n">
        <x:f>1-F1694/I1694</x:f>
        <x:v>0</x:v>
      </x:c>
      <x:c r="K1694" s="73" t="n">
        <x:f>MAX(K1693,F1694)</x:f>
        <x:v>1.8893</x:v>
      </x:c>
      <x:c r="L1694" s="74" t="n">
        <x:f>1-F1694/K1694</x:f>
        <x:v>0</x:v>
      </x:c>
      <x:c r="M1694" s="73" t="n">
        <x:f>MAX(M1693,F1694)</x:f>
        <x:v>1.8893</x:v>
      </x:c>
      <x:c r="N1694" s="74" t="n">
        <x:f>1-F1694/M1694</x:f>
        <x:v>0</x:v>
      </x:c>
    </x:row>
    <x:row r="1695" ht="27" customHeight="1">
      <x:c r="A1695" s="66" t="str">
        <x:v>SXL267</x:v>
      </x:c>
      <x:c r="B1695" s="66" t="str">
        <x:v>滨风风云瑞丰1号</x:v>
      </x:c>
      <x:c r="C1695" s="72" t="n">
        <x:v>46003</x:v>
      </x:c>
      <x:c r="D1695" s="73" t="n">
        <x:v>1.9498</x:v>
      </x:c>
      <x:c r="E1695" s="73" t="n">
        <x:v>1.9498</x:v>
      </x:c>
      <x:c r="F1695" s="73" t="n">
        <x:v>1.9498</x:v>
      </x:c>
      <x:c r="G1695" s="74" t="n">
        <x:v>0.032</x:v>
      </x:c>
      <x:c r="H1695" s="66" t="str">
        <x:v>滨风风云瑞丰1号净值20260911.xlsx</x:v>
      </x:c>
      <x:c r="I1695" s="73" t="n">
        <x:f>MAX(I1694,F1695)</x:f>
        <x:v>1.9498</x:v>
      </x:c>
      <x:c r="J1695" s="74" t="n">
        <x:f>1-F1695/I1695</x:f>
        <x:v>0</x:v>
      </x:c>
      <x:c r="K1695" s="73" t="n">
        <x:f>MAX(K1694,F1695)</x:f>
        <x:v>1.9498</x:v>
      </x:c>
      <x:c r="L1695" s="74" t="n">
        <x:f>1-F1695/K1695</x:f>
        <x:v>0</x:v>
      </x:c>
      <x:c r="M1695" s="73" t="n">
        <x:f>MAX(M1694,F1695)</x:f>
        <x:v>1.9498</x:v>
      </x:c>
      <x:c r="N1695" s="74" t="n">
        <x:f>1-F1695/M1695</x:f>
        <x:v>0</x:v>
      </x:c>
    </x:row>
    <x:row r="1696" ht="27" customHeight="1">
      <x:c r="A1696" s="66" t="str">
        <x:v>SXL267</x:v>
      </x:c>
      <x:c r="B1696" s="66" t="str">
        <x:v>滨风风云瑞丰1号</x:v>
      </x:c>
      <x:c r="C1696" s="72" t="n">
        <x:v>46010</x:v>
      </x:c>
      <x:c r="D1696" s="73" t="n">
        <x:v>1.9521</x:v>
      </x:c>
      <x:c r="E1696" s="73" t="n">
        <x:v>1.9521</x:v>
      </x:c>
      <x:c r="F1696" s="73" t="n">
        <x:v>1.9521</x:v>
      </x:c>
      <x:c r="G1696" s="74" t="n">
        <x:v>0.0012</x:v>
      </x:c>
      <x:c r="H1696" s="66" t="str">
        <x:v>滨风风云瑞丰1号净值20260911.xlsx</x:v>
      </x:c>
      <x:c r="I1696" s="73" t="n">
        <x:f>MAX(I1695,F1696)</x:f>
        <x:v>1.9521</x:v>
      </x:c>
      <x:c r="J1696" s="74" t="n">
        <x:f>1-F1696/I1696</x:f>
        <x:v>0</x:v>
      </x:c>
      <x:c r="K1696" s="73" t="n">
        <x:f>MAX(K1695,F1696)</x:f>
        <x:v>1.9521</x:v>
      </x:c>
      <x:c r="L1696" s="74" t="n">
        <x:f>1-F1696/K1696</x:f>
        <x:v>0</x:v>
      </x:c>
      <x:c r="M1696" s="73" t="n">
        <x:f>MAX(M1695,F1696)</x:f>
        <x:v>1.9521</x:v>
      </x:c>
      <x:c r="N1696" s="74" t="n">
        <x:f>1-F1696/M1696</x:f>
        <x:v>0</x:v>
      </x:c>
    </x:row>
    <x:row r="1697" ht="27" customHeight="1">
      <x:c r="A1697" s="66" t="str">
        <x:v>SXL267</x:v>
      </x:c>
      <x:c r="B1697" s="66" t="str">
        <x:v>滨风风云瑞丰1号</x:v>
      </x:c>
      <x:c r="C1697" s="72" t="n">
        <x:v>46017</x:v>
      </x:c>
      <x:c r="D1697" s="73" t="n">
        <x:v>2.1223</x:v>
      </x:c>
      <x:c r="E1697" s="73" t="n">
        <x:v>2.1223</x:v>
      </x:c>
      <x:c r="F1697" s="73" t="n">
        <x:v>2.1223</x:v>
      </x:c>
      <x:c r="G1697" s="74" t="n">
        <x:v>0.0872</x:v>
      </x:c>
      <x:c r="H1697" s="66" t="str">
        <x:v>滨风风云瑞丰1号净值20260911.xlsx</x:v>
      </x:c>
      <x:c r="I1697" s="73" t="n">
        <x:f>MAX(I1696,F1697)</x:f>
        <x:v>2.1223</x:v>
      </x:c>
      <x:c r="J1697" s="74" t="n">
        <x:f>1-F1697/I1697</x:f>
        <x:v>0</x:v>
      </x:c>
      <x:c r="K1697" s="73" t="n">
        <x:f>MAX(K1696,F1697)</x:f>
        <x:v>2.1223</x:v>
      </x:c>
      <x:c r="L1697" s="74" t="n">
        <x:f>1-F1697/K1697</x:f>
        <x:v>0</x:v>
      </x:c>
      <x:c r="M1697" s="73" t="n">
        <x:f>MAX(M1696,F1697)</x:f>
        <x:v>2.1223</x:v>
      </x:c>
      <x:c r="N1697" s="74" t="n">
        <x:f>1-F1697/M1697</x:f>
        <x:v>0</x:v>
      </x:c>
    </x:row>
    <x:row r="1698" ht="27" customHeight="1">
      <x:c r="A1698" s="66" t="str">
        <x:v>SXL267</x:v>
      </x:c>
      <x:c r="B1698" s="66" t="str">
        <x:v>滨风风云瑞丰1号</x:v>
      </x:c>
      <x:c r="C1698" s="72" t="n">
        <x:v>46022</x:v>
      </x:c>
      <x:c r="D1698" s="73" t="n">
        <x:v>2.0478</x:v>
      </x:c>
      <x:c r="E1698" s="73" t="n">
        <x:v>2.0478</x:v>
      </x:c>
      <x:c r="F1698" s="73" t="n">
        <x:v>2.0478</x:v>
      </x:c>
      <x:c r="G1698" s="74" t="n">
        <x:v>-0.0351</x:v>
      </x:c>
      <x:c r="H1698" s="66" t="str">
        <x:v>滨风风云瑞丰1号净值20260911.xlsx</x:v>
      </x:c>
      <x:c r="I1698" s="73" t="n">
        <x:f>MAX(I1697,F1698)</x:f>
        <x:v>2.1223</x:v>
      </x:c>
      <x:c r="J1698" s="74" t="n">
        <x:f>1-F1698/I1698</x:f>
        <x:v>0.03510342552890733</x:v>
      </x:c>
      <x:c r="K1698" s="73" t="n">
        <x:f>MAX(K1697,F1698)</x:f>
        <x:v>2.1223</x:v>
      </x:c>
      <x:c r="L1698" s="74" t="n">
        <x:f>1-F1698/K1698</x:f>
        <x:v>0.03510342552890733</x:v>
      </x:c>
      <x:c r="M1698" s="73" t="n">
        <x:f>MAX(M1697,F1698)</x:f>
        <x:v>2.1223</x:v>
      </x:c>
      <x:c r="N1698" s="74" t="n">
        <x:f>1-F1698/M1698</x:f>
        <x:v>0.03510342552890733</x:v>
      </x:c>
    </x:row>
    <x:row r="1699" ht="27" customHeight="1">
      <x:c r="A1699" s="66" t="str">
        <x:v>SXL267</x:v>
      </x:c>
      <x:c r="B1699" s="66" t="str">
        <x:v>滨风风云瑞丰1号</x:v>
      </x:c>
      <x:c r="C1699" s="72" t="n">
        <x:v>46031</x:v>
      </x:c>
      <x:c r="D1699" s="73" t="n">
        <x:v>2.1289</x:v>
      </x:c>
      <x:c r="E1699" s="73" t="n">
        <x:v>2.1289</x:v>
      </x:c>
      <x:c r="F1699" s="73" t="n">
        <x:v>2.1289</x:v>
      </x:c>
      <x:c r="G1699" s="74" t="n">
        <x:v>0.039599999999999996</x:v>
      </x:c>
      <x:c r="H1699" s="66" t="str">
        <x:v>滨风风云瑞丰1号净值20260911.xlsx</x:v>
      </x:c>
      <x:c r="I1699" s="73" t="n">
        <x:f>MAX(I1698,F1699)</x:f>
        <x:v>2.1289</x:v>
      </x:c>
      <x:c r="J1699" s="74" t="n">
        <x:f>1-F1699/I1699</x:f>
        <x:v>0</x:v>
      </x:c>
      <x:c r="K1699" s="73" t="n">
        <x:f>MAX(K1698,F1699)</x:f>
        <x:v>2.1289</x:v>
      </x:c>
      <x:c r="L1699" s="74" t="n">
        <x:f>1-F1699/K1699</x:f>
        <x:v>0</x:v>
      </x:c>
      <x:c r="M1699" s="73" t="n">
        <x:f>MAX(M1698,F1699)</x:f>
        <x:v>2.1289</x:v>
      </x:c>
      <x:c r="N1699" s="74" t="n">
        <x:f>1-F1699/M1699</x:f>
        <x:v>0</x:v>
      </x:c>
    </x:row>
    <x:row r="1700" ht="27" customHeight="1">
      <x:c r="A1700" s="66" t="str">
        <x:v>SXL267</x:v>
      </x:c>
      <x:c r="B1700" s="66" t="str">
        <x:v>滨风风云瑞丰1号</x:v>
      </x:c>
      <x:c r="C1700" s="72" t="n">
        <x:v>46038</x:v>
      </x:c>
      <x:c r="D1700" s="73" t="n">
        <x:v>2.1498</x:v>
      </x:c>
      <x:c r="E1700" s="73" t="n">
        <x:v>2.1498</x:v>
      </x:c>
      <x:c r="F1700" s="73" t="n">
        <x:v>2.1498</x:v>
      </x:c>
      <x:c r="G1700" s="74" t="n">
        <x:v>0.0098</x:v>
      </x:c>
      <x:c r="H1700" s="66" t="str">
        <x:v>滨风风云瑞丰1号净值20260911.xlsx</x:v>
      </x:c>
      <x:c r="I1700" s="73" t="n">
        <x:f>MAX(I1699,F1700)</x:f>
        <x:v>2.1498</x:v>
      </x:c>
      <x:c r="J1700" s="74" t="n">
        <x:f>1-F1700/I1700</x:f>
        <x:v>0</x:v>
      </x:c>
      <x:c r="K1700" s="73" t="n">
        <x:f>MAX(K1699,F1700)</x:f>
        <x:v>2.1498</x:v>
      </x:c>
      <x:c r="L1700" s="74" t="n">
        <x:f>1-F1700/K1700</x:f>
        <x:v>0</x:v>
      </x:c>
      <x:c r="M1700" s="73" t="n">
        <x:f>MAX(M1699,F1700)</x:f>
        <x:v>2.1498</x:v>
      </x:c>
      <x:c r="N1700" s="74" t="n">
        <x:f>1-F1700/M1700</x:f>
        <x:v>0</x:v>
      </x:c>
    </x:row>
    <x:row r="1701" ht="27" customHeight="1">
      <x:c r="A1701" s="66" t="str">
        <x:v>SXL267</x:v>
      </x:c>
      <x:c r="B1701" s="66" t="str">
        <x:v>滨风风云瑞丰1号</x:v>
      </x:c>
      <x:c r="C1701" s="72" t="n">
        <x:v>46045</x:v>
      </x:c>
      <x:c r="D1701" s="73" t="n">
        <x:v>2.3169</x:v>
      </x:c>
      <x:c r="E1701" s="73" t="n">
        <x:v>2.3169</x:v>
      </x:c>
      <x:c r="F1701" s="73" t="n">
        <x:v>2.3169</x:v>
      </x:c>
      <x:c r="G1701" s="74" t="n">
        <x:v>0.07769999999999999</x:v>
      </x:c>
      <x:c r="H1701" s="66" t="str">
        <x:v>滨风风云瑞丰1号净值20260911.xlsx</x:v>
      </x:c>
      <x:c r="I1701" s="73" t="n">
        <x:f>MAX(I1700,F1701)</x:f>
        <x:v>2.3169</x:v>
      </x:c>
      <x:c r="J1701" s="74" t="n">
        <x:f>1-F1701/I1701</x:f>
        <x:v>0</x:v>
      </x:c>
      <x:c r="K1701" s="73" t="n">
        <x:f>MAX(K1700,F1701)</x:f>
        <x:v>2.3169</x:v>
      </x:c>
      <x:c r="L1701" s="74" t="n">
        <x:f>1-F1701/K1701</x:f>
        <x:v>0</x:v>
      </x:c>
      <x:c r="M1701" s="73" t="n">
        <x:f>MAX(M1700,F1701)</x:f>
        <x:v>2.3169</x:v>
      </x:c>
      <x:c r="N1701" s="74" t="n">
        <x:f>1-F1701/M1701</x:f>
        <x:v>0</x:v>
      </x:c>
    </x:row>
    <x:row r="1702" ht="27" customHeight="1">
      <x:c r="A1702" s="66" t="str">
        <x:v>SXL267</x:v>
      </x:c>
      <x:c r="B1702" s="66" t="str">
        <x:v>滨风风云瑞丰1号</x:v>
      </x:c>
      <x:c r="C1702" s="72" t="n">
        <x:v>46052</x:v>
      </x:c>
      <x:c r="D1702" s="73" t="n">
        <x:v>2.3596</x:v>
      </x:c>
      <x:c r="E1702" s="73" t="n">
        <x:v>2.3596</x:v>
      </x:c>
      <x:c r="F1702" s="73" t="n">
        <x:v>2.3596</x:v>
      </x:c>
      <x:c r="G1702" s="74" t="n">
        <x:v>0.0184</x:v>
      </x:c>
      <x:c r="H1702" s="66" t="str">
        <x:v>滨风风云瑞丰1号净值20260911.xlsx</x:v>
      </x:c>
      <x:c r="I1702" s="73" t="n">
        <x:f>MAX(I1701,F1702)</x:f>
        <x:v>2.3596</x:v>
      </x:c>
      <x:c r="J1702" s="74" t="n">
        <x:f>1-F1702/I1702</x:f>
        <x:v>0</x:v>
      </x:c>
      <x:c r="K1702" s="73" t="n">
        <x:f>MAX(K1701,F1702)</x:f>
        <x:v>2.3596</x:v>
      </x:c>
      <x:c r="L1702" s="74" t="n">
        <x:f>1-F1702/K1702</x:f>
        <x:v>0</x:v>
      </x:c>
      <x:c r="M1702" s="73" t="n">
        <x:f>MAX(M1701,F1702)</x:f>
        <x:v>2.3596</x:v>
      </x:c>
      <x:c r="N1702" s="74" t="n">
        <x:f>1-F1702/M1702</x:f>
        <x:v>0</x:v>
      </x:c>
    </x:row>
    <x:row r="1703" ht="27" customHeight="1">
      <x:c r="A1703" s="66" t="str">
        <x:v>SXL267</x:v>
      </x:c>
      <x:c r="B1703" s="66" t="str">
        <x:v>滨风风云瑞丰1号</x:v>
      </x:c>
      <x:c r="C1703" s="72" t="n">
        <x:v>46059</x:v>
      </x:c>
      <x:c r="D1703" s="73" t="n">
        <x:v>2.0514</x:v>
      </x:c>
      <x:c r="E1703" s="73" t="n">
        <x:v>2.0514</x:v>
      </x:c>
      <x:c r="F1703" s="73" t="n">
        <x:v>2.0514</x:v>
      </x:c>
      <x:c r="G1703" s="74" t="n">
        <x:v>-0.1306</x:v>
      </x:c>
      <x:c r="H1703" s="66" t="str">
        <x:v>滨风风云瑞丰1号净值20260911.xlsx</x:v>
      </x:c>
      <x:c r="I1703" s="73" t="n">
        <x:f>MAX(I1702,F1703)</x:f>
        <x:v>2.3596</x:v>
      </x:c>
      <x:c r="J1703" s="74" t="n">
        <x:f>1-F1703/I1703</x:f>
        <x:v>0.1306153585353449</x:v>
      </x:c>
      <x:c r="K1703" s="73" t="n">
        <x:f>MAX(K1702,F1703)</x:f>
        <x:v>2.3596</x:v>
      </x:c>
      <x:c r="L1703" s="74" t="n">
        <x:f>1-F1703/K1703</x:f>
        <x:v>0.1306153585353449</x:v>
      </x:c>
      <x:c r="M1703" s="73" t="n">
        <x:f>MAX(M1702,F1703)</x:f>
        <x:v>2.3596</x:v>
      </x:c>
      <x:c r="N1703" s="74" t="n">
        <x:f>1-F1703/M1703</x:f>
        <x:v>0.1306153585353449</x:v>
      </x:c>
    </x:row>
    <x:row r="1704" ht="27" customHeight="1">
      <x:c r="A1704" s="66" t="str">
        <x:v>SXL267</x:v>
      </x:c>
      <x:c r="B1704" s="66" t="str">
        <x:v>滨风风云瑞丰1号</x:v>
      </x:c>
      <x:c r="C1704" s="72" t="n">
        <x:v>46066</x:v>
      </x:c>
      <x:c r="D1704" s="73" t="n">
        <x:v>2.097</x:v>
      </x:c>
      <x:c r="E1704" s="73" t="n">
        <x:v>2.097</x:v>
      </x:c>
      <x:c r="F1704" s="73" t="n">
        <x:v>2.097</x:v>
      </x:c>
      <x:c r="G1704" s="74" t="n">
        <x:v>0.0222</x:v>
      </x:c>
      <x:c r="H1704" s="66" t="str">
        <x:v>滨风风云瑞丰1号净值20260911.xlsx</x:v>
      </x:c>
      <x:c r="I1704" s="73" t="n">
        <x:f>MAX(I1703,F1704)</x:f>
        <x:v>2.3596</x:v>
      </x:c>
      <x:c r="J1704" s="74" t="n">
        <x:f>1-F1704/I1704</x:f>
        <x:v>0.1112900491608747</x:v>
      </x:c>
      <x:c r="K1704" s="73" t="n">
        <x:f>MAX(K1703,F1704)</x:f>
        <x:v>2.3596</x:v>
      </x:c>
      <x:c r="L1704" s="74" t="n">
        <x:f>1-F1704/K1704</x:f>
        <x:v>0.1112900491608747</x:v>
      </x:c>
      <x:c r="M1704" s="73" t="n">
        <x:f>MAX(M1703,F1704)</x:f>
        <x:v>2.3596</x:v>
      </x:c>
      <x:c r="N1704" s="74" t="n">
        <x:f>1-F1704/M1704</x:f>
        <x:v>0.1112900491608747</x:v>
      </x:c>
    </x:row>
    <x:row r="1705" ht="27" customHeight="1">
      <x:c r="A1705" s="66" t="str">
        <x:v>SXL267</x:v>
      </x:c>
      <x:c r="B1705" s="66" t="str">
        <x:v>滨风风云瑞丰1号</x:v>
      </x:c>
      <x:c r="C1705" s="72" t="n">
        <x:v>46080</x:v>
      </x:c>
      <x:c r="D1705" s="73" t="n">
        <x:v>2.2412</x:v>
      </x:c>
      <x:c r="E1705" s="73" t="n">
        <x:v>2.2412</x:v>
      </x:c>
      <x:c r="F1705" s="73" t="n">
        <x:v>2.2412</x:v>
      </x:c>
      <x:c r="G1705" s="74" t="n">
        <x:v>0.0688</x:v>
      </x:c>
      <x:c r="H1705" s="66" t="str">
        <x:v>滨风风云瑞丰1号净值20260911.xlsx</x:v>
      </x:c>
      <x:c r="I1705" s="73" t="n">
        <x:f>MAX(I1704,F1705)</x:f>
        <x:v>2.3596</x:v>
      </x:c>
      <x:c r="J1705" s="74" t="n">
        <x:f>1-F1705/I1705</x:f>
        <x:v>0.050177996270554304</x:v>
      </x:c>
      <x:c r="K1705" s="73" t="n">
        <x:f>MAX(K1704,F1705)</x:f>
        <x:v>2.3596</x:v>
      </x:c>
      <x:c r="L1705" s="74" t="n">
        <x:f>1-F1705/K1705</x:f>
        <x:v>0.050177996270554304</x:v>
      </x:c>
      <x:c r="M1705" s="73" t="n">
        <x:f>MAX(M1704,F1705)</x:f>
        <x:v>2.3596</x:v>
      </x:c>
      <x:c r="N1705" s="74" t="n">
        <x:f>1-F1705/M1705</x:f>
        <x:v>0.050177996270554304</x:v>
      </x:c>
    </x:row>
    <x:row r="1706" ht="27" customHeight="1">
      <x:c r="A1706" s="66" t="str">
        <x:v>SXL267</x:v>
      </x:c>
      <x:c r="B1706" s="66" t="str">
        <x:v>滨风风云瑞丰1号</x:v>
      </x:c>
      <x:c r="C1706" s="72" t="n">
        <x:v>46087</x:v>
      </x:c>
      <x:c r="D1706" s="73" t="n">
        <x:v>2.1338</x:v>
      </x:c>
      <x:c r="E1706" s="73" t="n">
        <x:v>2.1338</x:v>
      </x:c>
      <x:c r="F1706" s="73" t="n">
        <x:v>2.1338</x:v>
      </x:c>
      <x:c r="G1706" s="74" t="n">
        <x:v>-0.0479</x:v>
      </x:c>
      <x:c r="H1706" s="66" t="str">
        <x:v>滨风风云瑞丰1号净值20260911.xlsx</x:v>
      </x:c>
      <x:c r="I1706" s="73" t="n">
        <x:f>MAX(I1705,F1706)</x:f>
        <x:v>2.3596</x:v>
      </x:c>
      <x:c r="J1706" s="74" t="n">
        <x:f>1-F1706/I1706</x:f>
        <x:v>0.09569418545516195</x:v>
      </x:c>
      <x:c r="K1706" s="73" t="n">
        <x:f>MAX(K1705,F1706)</x:f>
        <x:v>2.3596</x:v>
      </x:c>
      <x:c r="L1706" s="74" t="n">
        <x:f>1-F1706/K1706</x:f>
        <x:v>0.09569418545516195</x:v>
      </x:c>
      <x:c r="M1706" s="73" t="n">
        <x:f>MAX(M1705,F1706)</x:f>
        <x:v>2.3596</x:v>
      </x:c>
      <x:c r="N1706" s="74" t="n">
        <x:f>1-F1706/M1706</x:f>
        <x:v>0.09569418545516195</x:v>
      </x:c>
    </x:row>
    <x:row r="1707" ht="27" customHeight="1">
      <x:c r="A1707" s="66" t="str">
        <x:v>SXL267</x:v>
      </x:c>
      <x:c r="B1707" s="66" t="str">
        <x:v>滨风风云瑞丰1号</x:v>
      </x:c>
      <x:c r="C1707" s="72" t="n">
        <x:v>46094</x:v>
      </x:c>
      <x:c r="D1707" s="73" t="n">
        <x:v>2.1256</x:v>
      </x:c>
      <x:c r="E1707" s="73" t="n">
        <x:v>2.1256</x:v>
      </x:c>
      <x:c r="F1707" s="73" t="n">
        <x:v>2.1256</x:v>
      </x:c>
      <x:c r="G1707" s="74" t="n">
        <x:v>-0.0038</x:v>
      </x:c>
      <x:c r="H1707" s="66" t="str">
        <x:v>滨风风云瑞丰1号净值20260911.xlsx</x:v>
      </x:c>
      <x:c r="I1707" s="73" t="n">
        <x:f>MAX(I1706,F1707)</x:f>
        <x:v>2.3596</x:v>
      </x:c>
      <x:c r="J1707" s="74" t="n">
        <x:f>1-F1707/I1707</x:f>
        <x:v>0.09916935073741306</x:v>
      </x:c>
      <x:c r="K1707" s="73" t="n">
        <x:f>MAX(K1706,F1707)</x:f>
        <x:v>2.3596</x:v>
      </x:c>
      <x:c r="L1707" s="74" t="n">
        <x:f>1-F1707/K1707</x:f>
        <x:v>0.09916935073741306</x:v>
      </x:c>
      <x:c r="M1707" s="73" t="n">
        <x:f>MAX(M1706,F1707)</x:f>
        <x:v>2.3596</x:v>
      </x:c>
      <x:c r="N1707" s="74" t="n">
        <x:f>1-F1707/M1707</x:f>
        <x:v>0.09916935073741306</x:v>
      </x:c>
    </x:row>
    <x:row r="1708" ht="27" customHeight="1">
      <x:c r="A1708" s="66" t="str">
        <x:v>SXL267</x:v>
      </x:c>
      <x:c r="B1708" s="66" t="str">
        <x:v>滨风风云瑞丰1号</x:v>
      </x:c>
      <x:c r="C1708" s="72" t="n">
        <x:v>46101</x:v>
      </x:c>
      <x:c r="D1708" s="73" t="n">
        <x:v>2.0775</x:v>
      </x:c>
      <x:c r="E1708" s="73" t="n">
        <x:v>2.0775</x:v>
      </x:c>
      <x:c r="F1708" s="73" t="n">
        <x:v>2.0775</x:v>
      </x:c>
      <x:c r="G1708" s="74" t="n">
        <x:v>-0.0226</x:v>
      </x:c>
      <x:c r="H1708" s="66" t="str">
        <x:v>滨风风云瑞丰1号净值20260911.xlsx</x:v>
      </x:c>
      <x:c r="I1708" s="73" t="n">
        <x:f>MAX(I1707,F1708)</x:f>
        <x:v>2.3596</x:v>
      </x:c>
      <x:c r="J1708" s="74" t="n">
        <x:f>1-F1708/I1708</x:f>
        <x:v>0.11955416172232569</x:v>
      </x:c>
      <x:c r="K1708" s="73" t="n">
        <x:f>MAX(K1707,F1708)</x:f>
        <x:v>2.3596</x:v>
      </x:c>
      <x:c r="L1708" s="74" t="n">
        <x:f>1-F1708/K1708</x:f>
        <x:v>0.11955416172232569</x:v>
      </x:c>
      <x:c r="M1708" s="73" t="n">
        <x:f>MAX(M1707,F1708)</x:f>
        <x:v>2.3596</x:v>
      </x:c>
      <x:c r="N1708" s="74" t="n">
        <x:f>1-F1708/M1708</x:f>
        <x:v>0.11955416172232569</x:v>
      </x:c>
    </x:row>
    <x:row r="1709" ht="27" customHeight="1">
      <x:c r="A1709" s="66" t="str">
        <x:v>SXL267</x:v>
      </x:c>
      <x:c r="B1709" s="66" t="str">
        <x:v>滨风风云瑞丰1号</x:v>
      </x:c>
      <x:c r="C1709" s="72" t="n">
        <x:v>46108</x:v>
      </x:c>
      <x:c r="D1709" s="73" t="n">
        <x:v>2.157</x:v>
      </x:c>
      <x:c r="E1709" s="73" t="n">
        <x:v>2.157</x:v>
      </x:c>
      <x:c r="F1709" s="73" t="n">
        <x:v>2.157</x:v>
      </x:c>
      <x:c r="G1709" s="74" t="n">
        <x:v>0.0383</x:v>
      </x:c>
      <x:c r="H1709" s="66" t="str">
        <x:v>滨风风云瑞丰1号净值20260911.xlsx</x:v>
      </x:c>
      <x:c r="I1709" s="73" t="n">
        <x:f>MAX(I1708,F1709)</x:f>
        <x:v>2.3596</x:v>
      </x:c>
      <x:c r="J1709" s="74" t="n">
        <x:f>1-F1709/I1709</x:f>
        <x:v>0.08586201051025588</x:v>
      </x:c>
      <x:c r="K1709" s="73" t="n">
        <x:f>MAX(K1708,F1709)</x:f>
        <x:v>2.3596</x:v>
      </x:c>
      <x:c r="L1709" s="74" t="n">
        <x:f>1-F1709/K1709</x:f>
        <x:v>0.08586201051025588</x:v>
      </x:c>
      <x:c r="M1709" s="73" t="n">
        <x:f>MAX(M1708,F1709)</x:f>
        <x:v>2.3596</x:v>
      </x:c>
      <x:c r="N1709" s="74" t="n">
        <x:f>1-F1709/M1709</x:f>
        <x:v>0.08586201051025588</x:v>
      </x:c>
    </x:row>
    <x:row r="1710" ht="27" customHeight="1">
      <x:c r="A1710" s="66" t="str">
        <x:v>SXL267</x:v>
      </x:c>
      <x:c r="B1710" s="66" t="str">
        <x:v>滨风风云瑞丰1号</x:v>
      </x:c>
      <x:c r="C1710" s="72" t="n">
        <x:v>46115</x:v>
      </x:c>
      <x:c r="D1710" s="73" t="n">
        <x:v>2.2095</x:v>
      </x:c>
      <x:c r="E1710" s="73" t="n">
        <x:v>2.2095</x:v>
      </x:c>
      <x:c r="F1710" s="73" t="n">
        <x:v>2.2095</x:v>
      </x:c>
      <x:c r="G1710" s="74" t="n">
        <x:v>0.024300000000000002</x:v>
      </x:c>
      <x:c r="H1710" s="66" t="str">
        <x:v>滨风风云瑞丰1号净值20260911.xlsx</x:v>
      </x:c>
      <x:c r="I1710" s="73" t="n">
        <x:f>MAX(I1709,F1710)</x:f>
        <x:v>2.3596</x:v>
      </x:c>
      <x:c r="J1710" s="74" t="n">
        <x:f>1-F1710/I1710</x:f>
        <x:v>0.06361247669096459</x:v>
      </x:c>
      <x:c r="K1710" s="73" t="n">
        <x:f>MAX(K1709,F1710)</x:f>
        <x:v>2.3596</x:v>
      </x:c>
      <x:c r="L1710" s="74" t="n">
        <x:f>1-F1710/K1710</x:f>
        <x:v>0.06361247669096459</x:v>
      </x:c>
      <x:c r="M1710" s="73" t="n">
        <x:f>MAX(M1709,F1710)</x:f>
        <x:v>2.3596</x:v>
      </x:c>
      <x:c r="N1710" s="74" t="n">
        <x:f>1-F1710/M1710</x:f>
        <x:v>0.06361247669096459</x:v>
      </x:c>
    </x:row>
    <x:row r="1711" ht="27" customHeight="1">
      <x:c r="A1711" s="66" t="str">
        <x:v>SXL267</x:v>
      </x:c>
      <x:c r="B1711" s="66" t="str">
        <x:v>滨风风云瑞丰1号</x:v>
      </x:c>
      <x:c r="C1711" s="72" t="n">
        <x:v>46122</x:v>
      </x:c>
      <x:c r="D1711" s="73" t="n">
        <x:v>2.2326</x:v>
      </x:c>
      <x:c r="E1711" s="73" t="n">
        <x:v>2.2326</x:v>
      </x:c>
      <x:c r="F1711" s="73" t="n">
        <x:v>2.2326</x:v>
      </x:c>
      <x:c r="G1711" s="74" t="n">
        <x:v>0.0105</x:v>
      </x:c>
      <x:c r="H1711" s="66" t="str">
        <x:v>滨风风云瑞丰1号净值20260911.xlsx</x:v>
      </x:c>
      <x:c r="I1711" s="73" t="n">
        <x:f>MAX(I1710,F1711)</x:f>
        <x:v>2.3596</x:v>
      </x:c>
      <x:c r="J1711" s="74" t="n">
        <x:f>1-F1711/I1711</x:f>
        <x:v>0.053822681810476225</x:v>
      </x:c>
      <x:c r="K1711" s="73" t="n">
        <x:f>MAX(K1710,F1711)</x:f>
        <x:v>2.3596</x:v>
      </x:c>
      <x:c r="L1711" s="74" t="n">
        <x:f>1-F1711/K1711</x:f>
        <x:v>0.053822681810476225</x:v>
      </x:c>
      <x:c r="M1711" s="73" t="n">
        <x:f>MAX(M1710,F1711)</x:f>
        <x:v>2.3596</x:v>
      </x:c>
      <x:c r="N1711" s="74" t="n">
        <x:f>1-F1711/M1711</x:f>
        <x:v>0.053822681810476225</x:v>
      </x:c>
    </x:row>
    <x:row r="1712" ht="27" customHeight="1">
      <x:c r="A1712" s="66" t="str">
        <x:v>SXL267</x:v>
      </x:c>
      <x:c r="B1712" s="66" t="str">
        <x:v>滨风风云瑞丰1号</x:v>
      </x:c>
      <x:c r="C1712" s="72" t="n">
        <x:v>46129</x:v>
      </x:c>
      <x:c r="D1712" s="73" t="n">
        <x:v>2.2621</x:v>
      </x:c>
      <x:c r="E1712" s="73" t="n">
        <x:v>2.2621</x:v>
      </x:c>
      <x:c r="F1712" s="73" t="n">
        <x:v>2.2621</x:v>
      </x:c>
      <x:c r="G1712" s="74" t="n">
        <x:v>0.0132</x:v>
      </x:c>
      <x:c r="H1712" s="66" t="str">
        <x:v>滨风风云瑞丰1号净值20260911.xlsx</x:v>
      </x:c>
      <x:c r="I1712" s="73" t="n">
        <x:f>MAX(I1711,F1712)</x:f>
        <x:v>2.3596</x:v>
      </x:c>
      <x:c r="J1712" s="74" t="n">
        <x:f>1-F1712/I1712</x:f>
        <x:v>0.04132056280725538</x:v>
      </x:c>
      <x:c r="K1712" s="73" t="n">
        <x:f>MAX(K1711,F1712)</x:f>
        <x:v>2.3596</x:v>
      </x:c>
      <x:c r="L1712" s="74" t="n">
        <x:f>1-F1712/K1712</x:f>
        <x:v>0.04132056280725538</x:v>
      </x:c>
      <x:c r="M1712" s="73" t="n">
        <x:f>MAX(M1711,F1712)</x:f>
        <x:v>2.3596</x:v>
      </x:c>
      <x:c r="N1712" s="74" t="n">
        <x:f>1-F1712/M1712</x:f>
        <x:v>0.04132056280725538</x:v>
      </x:c>
    </x:row>
    <x:row r="1713" ht="27" customHeight="1">
      <x:c r="A1713" s="66" t="str">
        <x:v>SXL267</x:v>
      </x:c>
      <x:c r="B1713" s="66" t="str">
        <x:v>滨风风云瑞丰1号</x:v>
      </x:c>
      <x:c r="C1713" s="72" t="n">
        <x:v>46136</x:v>
      </x:c>
      <x:c r="D1713" s="73" t="n">
        <x:v>2.2047</x:v>
      </x:c>
      <x:c r="E1713" s="73" t="n">
        <x:v>2.2047</x:v>
      </x:c>
      <x:c r="F1713" s="73" t="n">
        <x:v>2.2047</x:v>
      </x:c>
      <x:c r="G1713" s="74" t="n">
        <x:v>-0.0254</x:v>
      </x:c>
      <x:c r="H1713" s="66" t="str">
        <x:v>滨风风云瑞丰1号净值20260911.xlsx</x:v>
      </x:c>
      <x:c r="I1713" s="73" t="n">
        <x:f>MAX(I1712,F1713)</x:f>
        <x:v>2.3596</x:v>
      </x:c>
      <x:c r="J1713" s="74" t="n">
        <x:f>1-F1713/I1713</x:f>
        <x:v>0.06564671978301406</x:v>
      </x:c>
      <x:c r="K1713" s="73" t="n">
        <x:f>MAX(K1712,F1713)</x:f>
        <x:v>2.3596</x:v>
      </x:c>
      <x:c r="L1713" s="74" t="n">
        <x:f>1-F1713/K1713</x:f>
        <x:v>0.06564671978301406</x:v>
      </x:c>
      <x:c r="M1713" s="73" t="n">
        <x:f>MAX(M1712,F1713)</x:f>
        <x:v>2.3596</x:v>
      </x:c>
      <x:c r="N1713" s="74" t="n">
        <x:f>1-F1713/M1713</x:f>
        <x:v>0.06564671978301406</x:v>
      </x:c>
    </x:row>
    <x:row r="1714" ht="27" customHeight="1">
      <x:c r="A1714" s="66" t="str">
        <x:v>SXL267</x:v>
      </x:c>
      <x:c r="B1714" s="66" t="str">
        <x:v>滨风风云瑞丰1号</x:v>
      </x:c>
      <x:c r="C1714" s="72" t="n">
        <x:v>46142</x:v>
      </x:c>
      <x:c r="D1714" s="73" t="n">
        <x:v>2.2049</x:v>
      </x:c>
      <x:c r="E1714" s="73" t="n">
        <x:v>2.2049</x:v>
      </x:c>
      <x:c r="F1714" s="73" t="n">
        <x:v>2.2049</x:v>
      </x:c>
      <x:c r="G1714" s="74" t="n">
        <x:v>0.0001</x:v>
      </x:c>
      <x:c r="H1714" s="66" t="str">
        <x:v>滨风风云瑞丰1号净值20260911.xlsx</x:v>
      </x:c>
      <x:c r="I1714" s="73" t="n">
        <x:f>MAX(I1713,F1714)</x:f>
        <x:v>2.3596</x:v>
      </x:c>
      <x:c r="J1714" s="74" t="n">
        <x:f>1-F1714/I1714</x:f>
        <x:v>0.06556195965417866</x:v>
      </x:c>
      <x:c r="K1714" s="73" t="n">
        <x:f>MAX(K1713,F1714)</x:f>
        <x:v>2.3596</x:v>
      </x:c>
      <x:c r="L1714" s="74" t="n">
        <x:f>1-F1714/K1714</x:f>
        <x:v>0.06556195965417866</x:v>
      </x:c>
      <x:c r="M1714" s="73" t="n">
        <x:f>MAX(M1713,F1714)</x:f>
        <x:v>2.3596</x:v>
      </x:c>
      <x:c r="N1714" s="74" t="n">
        <x:f>1-F1714/M1714</x:f>
        <x:v>0.06556195965417866</x:v>
      </x:c>
    </x:row>
    <x:row r="1715" ht="27" customHeight="1">
      <x:c r="A1715" s="66" t="str">
        <x:v>SXL267</x:v>
      </x:c>
      <x:c r="B1715" s="66" t="str">
        <x:v>滨风风云瑞丰1号</x:v>
      </x:c>
      <x:c r="C1715" s="72" t="n">
        <x:v>46150</x:v>
      </x:c>
      <x:c r="D1715" s="73" t="n">
        <x:v>2.2403</x:v>
      </x:c>
      <x:c r="E1715" s="73" t="n">
        <x:v>2.2403</x:v>
      </x:c>
      <x:c r="F1715" s="73" t="n">
        <x:v>2.2403</x:v>
      </x:c>
      <x:c r="G1715" s="74" t="n">
        <x:v>0.0161</x:v>
      </x:c>
      <x:c r="H1715" s="66" t="str">
        <x:v>滨风风云瑞丰1号净值20260911.xlsx</x:v>
      </x:c>
      <x:c r="I1715" s="73" t="n">
        <x:f>MAX(I1714,F1715)</x:f>
        <x:v>2.3596</x:v>
      </x:c>
      <x:c r="J1715" s="74" t="n">
        <x:f>1-F1715/I1715</x:f>
        <x:v>0.05055941685031362</x:v>
      </x:c>
      <x:c r="K1715" s="73" t="n">
        <x:f>MAX(K1714,F1715)</x:f>
        <x:v>2.3596</x:v>
      </x:c>
      <x:c r="L1715" s="74" t="n">
        <x:f>1-F1715/K1715</x:f>
        <x:v>0.05055941685031362</x:v>
      </x:c>
      <x:c r="M1715" s="73" t="n">
        <x:f>MAX(M1714,F1715)</x:f>
        <x:v>2.3596</x:v>
      </x:c>
      <x:c r="N1715" s="74" t="n">
        <x:f>1-F1715/M1715</x:f>
        <x:v>0.05055941685031362</x:v>
      </x:c>
    </x:row>
    <x:row r="1716" ht="27" customHeight="1">
      <x:c r="A1716" s="66" t="str">
        <x:v>SXL267</x:v>
      </x:c>
      <x:c r="B1716" s="66" t="str">
        <x:v>滨风风云瑞丰1号</x:v>
      </x:c>
      <x:c r="C1716" s="72" t="n">
        <x:v>46157</x:v>
      </x:c>
      <x:c r="D1716" s="73" t="n">
        <x:v>2.237</x:v>
      </x:c>
      <x:c r="E1716" s="73" t="n">
        <x:v>2.237</x:v>
      </x:c>
      <x:c r="F1716" s="73" t="n">
        <x:v>2.237</x:v>
      </x:c>
      <x:c r="G1716" s="74" t="n">
        <x:v>-0.0015</x:v>
      </x:c>
      <x:c r="H1716" s="66" t="str">
        <x:v>滨风风云瑞丰1号净值20260911.xlsx</x:v>
      </x:c>
      <x:c r="I1716" s="73" t="n">
        <x:f>MAX(I1715,F1716)</x:f>
        <x:v>2.3596</x:v>
      </x:c>
      <x:c r="J1716" s="74" t="n">
        <x:f>1-F1716/I1716</x:f>
        <x:v>0.05195795897609756</x:v>
      </x:c>
      <x:c r="K1716" s="73" t="n">
        <x:f>MAX(K1715,F1716)</x:f>
        <x:v>2.3596</x:v>
      </x:c>
      <x:c r="L1716" s="74" t="n">
        <x:f>1-F1716/K1716</x:f>
        <x:v>0.05195795897609756</x:v>
      </x:c>
      <x:c r="M1716" s="73" t="n">
        <x:f>MAX(M1715,F1716)</x:f>
        <x:v>2.3596</x:v>
      </x:c>
      <x:c r="N1716" s="74" t="n">
        <x:f>1-F1716/M1716</x:f>
        <x:v>0.05195795897609756</x:v>
      </x:c>
    </x:row>
    <x:row r="1717" ht="27" customHeight="1">
      <x:c r="A1717" s="66" t="str">
        <x:v>SXL267</x:v>
      </x:c>
      <x:c r="B1717" s="66" t="str">
        <x:v>滨风风云瑞丰1号</x:v>
      </x:c>
      <x:c r="C1717" s="72" t="n">
        <x:v>46164</x:v>
      </x:c>
      <x:c r="D1717" s="73" t="n">
        <x:v>2.1955</x:v>
      </x:c>
      <x:c r="E1717" s="73" t="n">
        <x:v>2.1955</x:v>
      </x:c>
      <x:c r="F1717" s="73" t="n">
        <x:v>2.1955</x:v>
      </x:c>
      <x:c r="G1717" s="74" t="n">
        <x:v>-0.018600000000000002</x:v>
      </x:c>
      <x:c r="H1717" s="66" t="str">
        <x:v>滨风风云瑞丰1号净值20260911.xlsx</x:v>
      </x:c>
      <x:c r="I1717" s="73" t="n">
        <x:f>MAX(I1716,F1717)</x:f>
        <x:v>2.3596</x:v>
      </x:c>
      <x:c r="J1717" s="74" t="n">
        <x:f>1-F1717/I1717</x:f>
        <x:v>0.0695456857094422</x:v>
      </x:c>
      <x:c r="K1717" s="73" t="n">
        <x:f>MAX(K1716,F1717)</x:f>
        <x:v>2.3596</x:v>
      </x:c>
      <x:c r="L1717" s="74" t="n">
        <x:f>1-F1717/K1717</x:f>
        <x:v>0.0695456857094422</x:v>
      </x:c>
      <x:c r="M1717" s="73" t="n">
        <x:f>MAX(M1716,F1717)</x:f>
        <x:v>2.3596</x:v>
      </x:c>
      <x:c r="N1717" s="74" t="n">
        <x:f>1-F1717/M1717</x:f>
        <x:v>0.0695456857094422</x:v>
      </x:c>
    </x:row>
    <x:row r="1718" ht="27" customHeight="1">
      <x:c r="A1718" s="66" t="str">
        <x:v>SXL267</x:v>
      </x:c>
      <x:c r="B1718" s="66" t="str">
        <x:v>滨风风云瑞丰1号</x:v>
      </x:c>
      <x:c r="C1718" s="72" t="n">
        <x:v>46171</x:v>
      </x:c>
      <x:c r="D1718" s="73" t="n">
        <x:v>2.1684</x:v>
      </x:c>
      <x:c r="E1718" s="73" t="n">
        <x:v>2.1684</x:v>
      </x:c>
      <x:c r="F1718" s="73" t="n">
        <x:v>2.1684</x:v>
      </x:c>
      <x:c r="G1718" s="74" t="n">
        <x:v>-0.0123</x:v>
      </x:c>
      <x:c r="H1718" s="66" t="str">
        <x:v>滨风风云瑞丰1号净值20260911.xlsx</x:v>
      </x:c>
      <x:c r="I1718" s="73" t="n">
        <x:f>MAX(I1717,F1718)</x:f>
        <x:v>2.3596</x:v>
      </x:c>
      <x:c r="J1718" s="74" t="n">
        <x:f>1-F1718/I1718</x:f>
        <x:v>0.0810306831666383</x:v>
      </x:c>
      <x:c r="K1718" s="73" t="n">
        <x:f>MAX(K1717,F1718)</x:f>
        <x:v>2.3596</x:v>
      </x:c>
      <x:c r="L1718" s="74" t="n">
        <x:f>1-F1718/K1718</x:f>
        <x:v>0.0810306831666383</x:v>
      </x:c>
      <x:c r="M1718" s="73" t="n">
        <x:f>MAX(M1717,F1718)</x:f>
        <x:v>2.3596</x:v>
      </x:c>
      <x:c r="N1718" s="74" t="n">
        <x:f>1-F1718/M1718</x:f>
        <x:v>0.0810306831666383</x:v>
      </x:c>
    </x:row>
    <x:row r="1719" ht="27" customHeight="1">
      <x:c r="A1719" s="66" t="str">
        <x:v>SXL267</x:v>
      </x:c>
      <x:c r="B1719" s="66" t="str">
        <x:v>滨风风云瑞丰1号</x:v>
      </x:c>
      <x:c r="C1719" s="72" t="n">
        <x:v>46178</x:v>
      </x:c>
      <x:c r="D1719" s="73" t="n">
        <x:v>2.1726</x:v>
      </x:c>
      <x:c r="E1719" s="73" t="n">
        <x:v>2.1726</x:v>
      </x:c>
      <x:c r="F1719" s="73" t="n">
        <x:v>2.1726</x:v>
      </x:c>
      <x:c r="G1719" s="74" t="n">
        <x:v>0.0019</x:v>
      </x:c>
      <x:c r="H1719" s="66" t="str">
        <x:v>滨风风云瑞丰1号净值20260911.xlsx</x:v>
      </x:c>
      <x:c r="I1719" s="73" t="n">
        <x:f>MAX(I1718,F1719)</x:f>
        <x:v>2.3596</x:v>
      </x:c>
      <x:c r="J1719" s="74" t="n">
        <x:f>1-F1719/I1719</x:f>
        <x:v>0.07925072046109505</x:v>
      </x:c>
      <x:c r="K1719" s="73" t="n">
        <x:f>MAX(K1718,F1719)</x:f>
        <x:v>2.3596</x:v>
      </x:c>
      <x:c r="L1719" s="74" t="n">
        <x:f>1-F1719/K1719</x:f>
        <x:v>0.07925072046109505</x:v>
      </x:c>
      <x:c r="M1719" s="73" t="n">
        <x:f>MAX(M1718,F1719)</x:f>
        <x:v>2.3596</x:v>
      </x:c>
      <x:c r="N1719" s="74" t="n">
        <x:f>1-F1719/M1719</x:f>
        <x:v>0.07925072046109505</x:v>
      </x:c>
    </x:row>
    <x:row r="1720" ht="27" customHeight="1">
      <x:c r="A1720" s="66" t="str">
        <x:v>SXL267</x:v>
      </x:c>
      <x:c r="B1720" s="66" t="str">
        <x:v>滨风风云瑞丰1号</x:v>
      </x:c>
      <x:c r="C1720" s="72" t="n">
        <x:v>46185</x:v>
      </x:c>
      <x:c r="D1720" s="73" t="n">
        <x:v>2.1503</x:v>
      </x:c>
      <x:c r="E1720" s="73" t="n">
        <x:v>2.1503</x:v>
      </x:c>
      <x:c r="F1720" s="73" t="n">
        <x:v>2.1503</x:v>
      </x:c>
      <x:c r="G1720" s="74" t="n">
        <x:v>-0.0103</x:v>
      </x:c>
      <x:c r="H1720" s="66" t="str">
        <x:v>滨风风云瑞丰1号净值20260911.xlsx</x:v>
      </x:c>
      <x:c r="I1720" s="73" t="n">
        <x:f>MAX(I1719,F1720)</x:f>
        <x:v>2.3596</x:v>
      </x:c>
      <x:c r="J1720" s="74" t="n">
        <x:f>1-F1720/I1720</x:f>
        <x:v>0.08870147482624169</x:v>
      </x:c>
      <x:c r="K1720" s="73" t="n">
        <x:f>MAX(K1719,F1720)</x:f>
        <x:v>2.3596</x:v>
      </x:c>
      <x:c r="L1720" s="74" t="n">
        <x:f>1-F1720/K1720</x:f>
        <x:v>0.08870147482624169</x:v>
      </x:c>
      <x:c r="M1720" s="73" t="n">
        <x:f>MAX(M1719,F1720)</x:f>
        <x:v>2.3596</x:v>
      </x:c>
      <x:c r="N1720" s="74" t="n">
        <x:f>1-F1720/M1720</x:f>
        <x:v>0.08870147482624169</x:v>
      </x:c>
    </x:row>
    <x:row r="1721" ht="27" customHeight="1">
      <x:c r="A1721" s="66" t="str">
        <x:v>SXL267</x:v>
      </x:c>
      <x:c r="B1721" s="66" t="str">
        <x:v>滨风风云瑞丰1号</x:v>
      </x:c>
      <x:c r="C1721" s="72" t="n">
        <x:v>46191</x:v>
      </x:c>
      <x:c r="D1721" s="73" t="n">
        <x:v>2.156</x:v>
      </x:c>
      <x:c r="E1721" s="73" t="n">
        <x:v>2.156</x:v>
      </x:c>
      <x:c r="F1721" s="73" t="n">
        <x:v>2.156</x:v>
      </x:c>
      <x:c r="G1721" s="74" t="n">
        <x:v>0.0027</x:v>
      </x:c>
      <x:c r="H1721" s="66" t="str">
        <x:v>滨风风云瑞丰1号净值20260911.xlsx</x:v>
      </x:c>
      <x:c r="I1721" s="73" t="n">
        <x:f>MAX(I1720,F1721)</x:f>
        <x:v>2.3596</x:v>
      </x:c>
      <x:c r="J1721" s="74" t="n">
        <x:f>1-F1721/I1721</x:f>
        <x:v>0.0862858111544329</x:v>
      </x:c>
      <x:c r="K1721" s="73" t="n">
        <x:f>MAX(K1720,F1721)</x:f>
        <x:v>2.3596</x:v>
      </x:c>
      <x:c r="L1721" s="74" t="n">
        <x:f>1-F1721/K1721</x:f>
        <x:v>0.0862858111544329</x:v>
      </x:c>
      <x:c r="M1721" s="73" t="n">
        <x:f>MAX(M1720,F1721)</x:f>
        <x:v>2.3596</x:v>
      </x:c>
      <x:c r="N1721" s="74" t="n">
        <x:f>1-F1721/M1721</x:f>
        <x:v>0.0862858111544329</x:v>
      </x:c>
    </x:row>
    <x:row r="1722" ht="27" customHeight="1">
      <x:c r="A1722" s="66" t="str">
        <x:v>SXL267</x:v>
      </x:c>
      <x:c r="B1722" s="66" t="str">
        <x:v>滨风风云瑞丰1号</x:v>
      </x:c>
      <x:c r="C1722" s="72" t="n">
        <x:v>46199</x:v>
      </x:c>
      <x:c r="D1722" s="73" t="n">
        <x:v>2.1281</x:v>
      </x:c>
      <x:c r="E1722" s="73" t="n">
        <x:v>2.1281</x:v>
      </x:c>
      <x:c r="F1722" s="73" t="n">
        <x:v>2.1281</x:v>
      </x:c>
      <x:c r="G1722" s="74" t="n">
        <x:v>-0.0129</x:v>
      </x:c>
      <x:c r="H1722" s="66" t="str">
        <x:v>滨风风云瑞丰1号净值20260911.xlsx</x:v>
      </x:c>
      <x:c r="I1722" s="73" t="n">
        <x:f>MAX(I1721,F1722)</x:f>
        <x:v>2.3596</x:v>
      </x:c>
      <x:c r="J1722" s="74" t="n">
        <x:f>1-F1722/I1722</x:f>
        <x:v>0.09810984912697074</x:v>
      </x:c>
      <x:c r="K1722" s="73" t="n">
        <x:f>MAX(K1721,F1722)</x:f>
        <x:v>2.3596</x:v>
      </x:c>
      <x:c r="L1722" s="74" t="n">
        <x:f>1-F1722/K1722</x:f>
        <x:v>0.09810984912697074</x:v>
      </x:c>
      <x:c r="M1722" s="73" t="n">
        <x:f>MAX(M1721,F1722)</x:f>
        <x:v>2.3596</x:v>
      </x:c>
      <x:c r="N1722" s="74" t="n">
        <x:f>1-F1722/M1722</x:f>
        <x:v>0.09810984912697074</x:v>
      </x:c>
    </x:row>
    <x:row r="1723" ht="27" customHeight="1">
      <x:c r="A1723" s="66" t="str">
        <x:v>SXL267</x:v>
      </x:c>
      <x:c r="B1723" s="66" t="str">
        <x:v>滨风风云瑞丰1号</x:v>
      </x:c>
      <x:c r="C1723" s="72" t="n">
        <x:v>46206</x:v>
      </x:c>
      <x:c r="D1723" s="73" t="n">
        <x:v>2.1698</x:v>
      </x:c>
      <x:c r="E1723" s="73" t="n">
        <x:v>2.1698</x:v>
      </x:c>
      <x:c r="F1723" s="73" t="n">
        <x:v>2.1698</x:v>
      </x:c>
      <x:c r="G1723" s="74" t="n">
        <x:v>0.0196</x:v>
      </x:c>
      <x:c r="H1723" s="66" t="str">
        <x:v>滨风风云瑞丰1号净值20260911.xlsx</x:v>
      </x:c>
      <x:c r="I1723" s="73" t="n">
        <x:f>MAX(I1722,F1723)</x:f>
        <x:v>2.3596</x:v>
      </x:c>
      <x:c r="J1723" s="74" t="n">
        <x:f>1-F1723/I1723</x:f>
        <x:v>0.08043736226479059</x:v>
      </x:c>
      <x:c r="K1723" s="73" t="n">
        <x:f>MAX(K1722,F1723)</x:f>
        <x:v>2.3596</x:v>
      </x:c>
      <x:c r="L1723" s="74" t="n">
        <x:f>1-F1723/K1723</x:f>
        <x:v>0.08043736226479059</x:v>
      </x:c>
      <x:c r="M1723" s="73" t="n">
        <x:f>MAX(M1722,F1723)</x:f>
        <x:v>2.3596</x:v>
      </x:c>
      <x:c r="N1723" s="74" t="n">
        <x:f>1-F1723/M1723</x:f>
        <x:v>0.08043736226479059</x:v>
      </x:c>
    </x:row>
    <x:row r="1724" ht="27" customHeight="1">
      <x:c r="A1724" s="66" t="str">
        <x:v>SXL267</x:v>
      </x:c>
      <x:c r="B1724" s="66" t="str">
        <x:v>滨风风云瑞丰1号</x:v>
      </x:c>
      <x:c r="C1724" s="72" t="n">
        <x:v>46213</x:v>
      </x:c>
      <x:c r="D1724" s="73" t="n">
        <x:v>2.2086</x:v>
      </x:c>
      <x:c r="E1724" s="73" t="n">
        <x:v>2.2086</x:v>
      </x:c>
      <x:c r="F1724" s="73" t="n">
        <x:v>2.2086</x:v>
      </x:c>
      <x:c r="G1724" s="74" t="n">
        <x:v>0.0179</x:v>
      </x:c>
      <x:c r="H1724" s="66" t="str">
        <x:v>滨风风云瑞丰1号净值20260911.xlsx</x:v>
      </x:c>
      <x:c r="I1724" s="73" t="n">
        <x:f>MAX(I1723,F1724)</x:f>
        <x:v>2.3596</x:v>
      </x:c>
      <x:c r="J1724" s="74" t="n">
        <x:f>1-F1724/I1724</x:f>
        <x:v>0.0639938972707238</x:v>
      </x:c>
      <x:c r="K1724" s="73" t="n">
        <x:f>MAX(K1723,F1724)</x:f>
        <x:v>2.3596</x:v>
      </x:c>
      <x:c r="L1724" s="74" t="n">
        <x:f>1-F1724/K1724</x:f>
        <x:v>0.0639938972707238</x:v>
      </x:c>
      <x:c r="M1724" s="73" t="n">
        <x:f>MAX(M1723,F1724)</x:f>
        <x:v>2.3596</x:v>
      </x:c>
      <x:c r="N1724" s="74" t="n">
        <x:f>1-F1724/M1724</x:f>
        <x:v>0.0639938972707238</x:v>
      </x:c>
    </x:row>
    <x:row r="1725" ht="27" customHeight="1">
      <x:c r="A1725" s="66" t="str">
        <x:v>SXL267</x:v>
      </x:c>
      <x:c r="B1725" s="66" t="str">
        <x:v>滨风风云瑞丰1号</x:v>
      </x:c>
      <x:c r="C1725" s="72" t="n">
        <x:v>46220</x:v>
      </x:c>
      <x:c r="D1725" s="73" t="n">
        <x:v>2.1935</x:v>
      </x:c>
      <x:c r="E1725" s="73" t="n">
        <x:v>2.1935</x:v>
      </x:c>
      <x:c r="F1725" s="73" t="n">
        <x:v>2.1935</x:v>
      </x:c>
      <x:c r="G1725" s="74" t="n">
        <x:v>-0.0068000000000000005</x:v>
      </x:c>
      <x:c r="H1725" s="66" t="str">
        <x:v>滨风风云瑞丰1号净值20260911.xlsx</x:v>
      </x:c>
      <x:c r="I1725" s="73" t="n">
        <x:f>MAX(I1724,F1725)</x:f>
        <x:v>2.3596</x:v>
      </x:c>
      <x:c r="J1725" s="74" t="n">
        <x:f>1-F1725/I1725</x:f>
        <x:v>0.07039328699779634</x:v>
      </x:c>
      <x:c r="K1725" s="73" t="n">
        <x:f>MAX(K1724,F1725)</x:f>
        <x:v>2.3596</x:v>
      </x:c>
      <x:c r="L1725" s="74" t="n">
        <x:f>1-F1725/K1725</x:f>
        <x:v>0.07039328699779634</x:v>
      </x:c>
      <x:c r="M1725" s="73" t="n">
        <x:f>MAX(M1724,F1725)</x:f>
        <x:v>2.3596</x:v>
      </x:c>
      <x:c r="N1725" s="74" t="n">
        <x:f>1-F1725/M1725</x:f>
        <x:v>0.07039328699779634</x:v>
      </x:c>
    </x:row>
    <x:row r="1726" ht="27" customHeight="1">
      <x:c r="A1726" s="66" t="str">
        <x:v>SXL267</x:v>
      </x:c>
      <x:c r="B1726" s="66" t="str">
        <x:v>滨风风云瑞丰1号</x:v>
      </x:c>
      <x:c r="C1726" s="72" t="n">
        <x:v>46227</x:v>
      </x:c>
      <x:c r="D1726" s="73" t="n">
        <x:v>2.1843</x:v>
      </x:c>
      <x:c r="E1726" s="73" t="n">
        <x:v>2.1843</x:v>
      </x:c>
      <x:c r="F1726" s="73" t="n">
        <x:v>2.1843</x:v>
      </x:c>
      <x:c r="G1726" s="74" t="n">
        <x:v>-0.0042</x:v>
      </x:c>
      <x:c r="H1726" s="66" t="str">
        <x:v>滨风风云瑞丰1号净值20260911.xlsx</x:v>
      </x:c>
      <x:c r="I1726" s="73" t="n">
        <x:f>MAX(I1725,F1726)</x:f>
        <x:v>2.3596</x:v>
      </x:c>
      <x:c r="J1726" s="74" t="n">
        <x:f>1-F1726/I1726</x:f>
        <x:v>0.07429225292422448</x:v>
      </x:c>
      <x:c r="K1726" s="73" t="n">
        <x:f>MAX(K1725,F1726)</x:f>
        <x:v>2.3596</x:v>
      </x:c>
      <x:c r="L1726" s="74" t="n">
        <x:f>1-F1726/K1726</x:f>
        <x:v>0.07429225292422448</x:v>
      </x:c>
      <x:c r="M1726" s="73" t="n">
        <x:f>MAX(M1725,F1726)</x:f>
        <x:v>2.3596</x:v>
      </x:c>
      <x:c r="N1726" s="74" t="n">
        <x:f>1-F1726/M1726</x:f>
        <x:v>0.07429225292422448</x:v>
      </x:c>
    </x:row>
    <x:row r="1727" ht="27" customHeight="1">
      <x:c r="A1727" s="66" t="str">
        <x:v>SXL267</x:v>
      </x:c>
      <x:c r="B1727" s="66" t="str">
        <x:v>滨风风云瑞丰1号</x:v>
      </x:c>
      <x:c r="C1727" s="72" t="n">
        <x:v>46234</x:v>
      </x:c>
      <x:c r="D1727" s="73" t="n">
        <x:v>2.2036</x:v>
      </x:c>
      <x:c r="E1727" s="73" t="n">
        <x:v>2.2036</x:v>
      </x:c>
      <x:c r="F1727" s="73" t="n">
        <x:v>2.2036</x:v>
      </x:c>
      <x:c r="G1727" s="74" t="n">
        <x:v>0.0088</x:v>
      </x:c>
      <x:c r="H1727" s="66" t="str">
        <x:v>滨风风云瑞丰1号净值20260911.xlsx</x:v>
      </x:c>
      <x:c r="I1727" s="73" t="n">
        <x:f>MAX(I1726,F1727)</x:f>
        <x:v>2.3596</x:v>
      </x:c>
      <x:c r="J1727" s="74" t="n">
        <x:f>1-F1727/I1727</x:f>
        <x:v>0.06611290049160878</x:v>
      </x:c>
      <x:c r="K1727" s="73" t="n">
        <x:f>MAX(K1726,F1727)</x:f>
        <x:v>2.3596</x:v>
      </x:c>
      <x:c r="L1727" s="74" t="n">
        <x:f>1-F1727/K1727</x:f>
        <x:v>0.06611290049160878</x:v>
      </x:c>
      <x:c r="M1727" s="73" t="n">
        <x:f>MAX(M1726,F1727)</x:f>
        <x:v>2.3596</x:v>
      </x:c>
      <x:c r="N1727" s="74" t="n">
        <x:f>1-F1727/M1727</x:f>
        <x:v>0.06611290049160878</x:v>
      </x:c>
    </x:row>
    <x:row r="1728" ht="27" customHeight="1">
      <x:c r="A1728" s="66" t="str">
        <x:v>SXL267</x:v>
      </x:c>
      <x:c r="B1728" s="66" t="str">
        <x:v>滨风风云瑞丰1号</x:v>
      </x:c>
      <x:c r="C1728" s="72" t="n">
        <x:v>46241</x:v>
      </x:c>
      <x:c r="D1728" s="73" t="n">
        <x:v>2.2134</x:v>
      </x:c>
      <x:c r="E1728" s="73" t="n">
        <x:v>2.2134</x:v>
      </x:c>
      <x:c r="F1728" s="73" t="n">
        <x:v>2.2134</x:v>
      </x:c>
      <x:c r="G1728" s="74" t="n">
        <x:v>0.0044</x:v>
      </x:c>
      <x:c r="H1728" s="66" t="str">
        <x:v>滨风风云瑞丰1号净值20260911.xlsx</x:v>
      </x:c>
      <x:c r="I1728" s="73" t="n">
        <x:f>MAX(I1727,F1728)</x:f>
        <x:v>2.3596</x:v>
      </x:c>
      <x:c r="J1728" s="74" t="n">
        <x:f>1-F1728/I1728</x:f>
        <x:v>0.06195965417867433</x:v>
      </x:c>
      <x:c r="K1728" s="73" t="n">
        <x:f>MAX(K1727,F1728)</x:f>
        <x:v>2.3596</x:v>
      </x:c>
      <x:c r="L1728" s="74" t="n">
        <x:f>1-F1728/K1728</x:f>
        <x:v>0.06195965417867433</x:v>
      </x:c>
      <x:c r="M1728" s="73" t="n">
        <x:f>MAX(M1727,F1728)</x:f>
        <x:v>2.3596</x:v>
      </x:c>
      <x:c r="N1728" s="74" t="n">
        <x:f>1-F1728/M1728</x:f>
        <x:v>0.06195965417867433</x:v>
      </x:c>
    </x:row>
    <x:row r="1729" ht="27" customHeight="1">
      <x:c r="A1729" s="66" t="str">
        <x:v>SXL267</x:v>
      </x:c>
      <x:c r="B1729" s="66" t="str">
        <x:v>滨风风云瑞丰1号</x:v>
      </x:c>
      <x:c r="C1729" s="72" t="n">
        <x:v>46248</x:v>
      </x:c>
      <x:c r="D1729" s="73" t="n">
        <x:v>2.2086</x:v>
      </x:c>
      <x:c r="E1729" s="73" t="n">
        <x:v>2.2086</x:v>
      </x:c>
      <x:c r="F1729" s="73" t="n">
        <x:v>2.2086</x:v>
      </x:c>
      <x:c r="G1729" s="74" t="n">
        <x:v>-0.0022</x:v>
      </x:c>
      <x:c r="H1729" s="66" t="str">
        <x:v>滨风风云瑞丰1号净值20260911.xlsx</x:v>
      </x:c>
      <x:c r="I1729" s="73" t="n">
        <x:f>MAX(I1728,F1729)</x:f>
        <x:v>2.3596</x:v>
      </x:c>
      <x:c r="J1729" s="74" t="n">
        <x:f>1-F1729/I1729</x:f>
        <x:v>0.0639938972707238</x:v>
      </x:c>
      <x:c r="K1729" s="73" t="n">
        <x:f>MAX(K1728,F1729)</x:f>
        <x:v>2.3596</x:v>
      </x:c>
      <x:c r="L1729" s="74" t="n">
        <x:f>1-F1729/K1729</x:f>
        <x:v>0.0639938972707238</x:v>
      </x:c>
      <x:c r="M1729" s="73" t="n">
        <x:f>MAX(M1728,F1729)</x:f>
        <x:v>2.3596</x:v>
      </x:c>
      <x:c r="N1729" s="74" t="n">
        <x:f>1-F1729/M1729</x:f>
        <x:v>0.0639938972707238</x:v>
      </x:c>
    </x:row>
    <x:row r="1730" ht="27" customHeight="1">
      <x:c r="A1730" s="66" t="str">
        <x:v>SXL267</x:v>
      </x:c>
      <x:c r="B1730" s="66" t="str">
        <x:v>滨风风云瑞丰1号</x:v>
      </x:c>
      <x:c r="C1730" s="72" t="n">
        <x:v>46255</x:v>
      </x:c>
      <x:c r="D1730" s="73" t="n">
        <x:v>2.2455</x:v>
      </x:c>
      <x:c r="E1730" s="73" t="n">
        <x:v>2.2455</x:v>
      </x:c>
      <x:c r="F1730" s="73" t="n">
        <x:v>2.2455</x:v>
      </x:c>
      <x:c r="G1730" s="74" t="n">
        <x:v>0.0167</x:v>
      </x:c>
      <x:c r="H1730" s="66" t="str">
        <x:v>滨风风云瑞丰1号净值20260911.xlsx</x:v>
      </x:c>
      <x:c r="I1730" s="73" t="n">
        <x:f>MAX(I1729,F1730)</x:f>
        <x:v>2.3596</x:v>
      </x:c>
      <x:c r="J1730" s="74" t="n">
        <x:f>1-F1730/I1730</x:f>
        <x:v>0.04835565350059334</x:v>
      </x:c>
      <x:c r="K1730" s="73" t="n">
        <x:f>MAX(K1729,F1730)</x:f>
        <x:v>2.3596</x:v>
      </x:c>
      <x:c r="L1730" s="74" t="n">
        <x:f>1-F1730/K1730</x:f>
        <x:v>0.04835565350059334</x:v>
      </x:c>
      <x:c r="M1730" s="73" t="n">
        <x:f>MAX(M1729,F1730)</x:f>
        <x:v>2.3596</x:v>
      </x:c>
      <x:c r="N1730" s="74" t="n">
        <x:f>1-F1730/M1730</x:f>
        <x:v>0.04835565350059334</x:v>
      </x:c>
    </x:row>
    <x:row r="1731" ht="27" customHeight="1">
      <x:c r="A1731" s="66" t="str">
        <x:v>SXL267</x:v>
      </x:c>
      <x:c r="B1731" s="66" t="str">
        <x:v>滨风风云瑞丰1号</x:v>
      </x:c>
      <x:c r="C1731" s="72" t="n">
        <x:v>46262</x:v>
      </x:c>
      <x:c r="D1731" s="73" t="n">
        <x:v>2.2816</x:v>
      </x:c>
      <x:c r="E1731" s="73" t="n">
        <x:v>2.2816</x:v>
      </x:c>
      <x:c r="F1731" s="73" t="n">
        <x:v>2.2816</x:v>
      </x:c>
      <x:c r="G1731" s="74" t="n">
        <x:v>0.0161</x:v>
      </x:c>
      <x:c r="H1731" s="66" t="str">
        <x:v>滨风风云瑞丰1号净值20260911.xlsx</x:v>
      </x:c>
      <x:c r="I1731" s="73" t="n">
        <x:f>MAX(I1730,F1731)</x:f>
        <x:v>2.3596</x:v>
      </x:c>
      <x:c r="J1731" s="74" t="n">
        <x:f>1-F1731/I1731</x:f>
        <x:v>0.03305645024580428</x:v>
      </x:c>
      <x:c r="K1731" s="73" t="n">
        <x:f>MAX(K1730,F1731)</x:f>
        <x:v>2.3596</x:v>
      </x:c>
      <x:c r="L1731" s="74" t="n">
        <x:f>1-F1731/K1731</x:f>
        <x:v>0.03305645024580428</x:v>
      </x:c>
      <x:c r="M1731" s="73" t="n">
        <x:f>MAX(M1730,F1731)</x:f>
        <x:v>2.3596</x:v>
      </x:c>
      <x:c r="N1731" s="74" t="n">
        <x:f>1-F1731/M1731</x:f>
        <x:v>0.03305645024580428</x:v>
      </x:c>
    </x:row>
    <x:row r="1732" ht="27" customHeight="1">
      <x:c r="A1732" s="66" t="str">
        <x:v>SXL267</x:v>
      </x:c>
      <x:c r="B1732" s="66" t="str">
        <x:v>滨风风云瑞丰1号</x:v>
      </x:c>
      <x:c r="C1732" s="72" t="n">
        <x:v>46269</x:v>
      </x:c>
      <x:c r="D1732" s="73" t="n">
        <x:v>2.2818</x:v>
      </x:c>
      <x:c r="E1732" s="73" t="n">
        <x:v>2.2818</x:v>
      </x:c>
      <x:c r="F1732" s="73" t="n">
        <x:v>2.2818</x:v>
      </x:c>
      <x:c r="G1732" s="74" t="n">
        <x:v>0.0001</x:v>
      </x:c>
      <x:c r="H1732" s="66" t="str">
        <x:v>滨风风云瑞丰1号净值20260911.xlsx</x:v>
      </x:c>
      <x:c r="I1732" s="73" t="n">
        <x:f>MAX(I1731,F1732)</x:f>
        <x:v>2.3596</x:v>
      </x:c>
      <x:c r="J1732" s="74" t="n">
        <x:f>1-F1732/I1732</x:f>
        <x:v>0.03297169011696888</x:v>
      </x:c>
      <x:c r="K1732" s="73" t="n">
        <x:f>MAX(K1731,F1732)</x:f>
        <x:v>2.3596</x:v>
      </x:c>
      <x:c r="L1732" s="74" t="n">
        <x:f>1-F1732/K1732</x:f>
        <x:v>0.03297169011696888</x:v>
      </x:c>
      <x:c r="M1732" s="73" t="n">
        <x:f>MAX(M1731,F1732)</x:f>
        <x:v>2.3596</x:v>
      </x:c>
      <x:c r="N1732" s="74" t="n">
        <x:f>1-F1732/M1732</x:f>
        <x:v>0.03297169011696888</x:v>
      </x:c>
    </x:row>
    <x:row r="1733" ht="27" customHeight="1">
      <x:c r="A1733" s="66" t="str">
        <x:v>SEV580</x:v>
      </x:c>
      <x:c r="B1733" s="66" t="str">
        <x:v>祁腾蜂赢1号</x:v>
      </x:c>
      <x:c r="C1733" s="72" t="n">
        <x:v>43490</x:v>
      </x:c>
      <x:c r="D1733" s="73" t="n">
        <x:v>1.0001</x:v>
      </x:c>
      <x:c r="E1733" s="73" t="n">
        <x:v>1.0001</x:v>
      </x:c>
      <x:c r="F1733" s="73" t="n">
        <x:v>1.0001</x:v>
      </x:c>
      <x:c r="G1733" s="74"/>
      <x:c r="H1733" s="66" t="str">
        <x:v>祁腾蜂赢1号净值20260911.xlsx</x:v>
      </x:c>
      <x:c r="I1733" s="73" t="str">
        <x:f>""</x:f>
      </x:c>
      <x:c r="J1733" s="74" t="str">
        <x:f>""</x:f>
      </x:c>
      <x:c r="K1733" s="73" t="str">
        <x:f>""</x:f>
      </x:c>
      <x:c r="L1733" s="74" t="str">
        <x:f>""</x:f>
      </x:c>
      <x:c r="M1733" s="73" t="n">
        <x:f>F1733</x:f>
        <x:v>1.0001</x:v>
      </x:c>
      <x:c r="N1733" s="74" t="n">
        <x:f>1-F1733/M1733</x:f>
        <x:v>0</x:v>
      </x:c>
    </x:row>
    <x:row r="1734" ht="27" customHeight="1">
      <x:c r="A1734" s="66" t="str">
        <x:v>SEV580</x:v>
      </x:c>
      <x:c r="B1734" s="66" t="str">
        <x:v>祁腾蜂赢1号</x:v>
      </x:c>
      <x:c r="C1734" s="72" t="n">
        <x:v>43493</x:v>
      </x:c>
      <x:c r="D1734" s="73" t="n">
        <x:v>1.0001</x:v>
      </x:c>
      <x:c r="E1734" s="73" t="n">
        <x:v>1.0001</x:v>
      </x:c>
      <x:c r="F1734" s="73" t="n">
        <x:v>1.0001</x:v>
      </x:c>
      <x:c r="G1734" s="74" t="n">
        <x:v>0</x:v>
      </x:c>
      <x:c r="H1734" s="66" t="str">
        <x:v>祁腾蜂赢1号净值20260911.xlsx</x:v>
      </x:c>
      <x:c r="I1734" s="73" t="str">
        <x:f>""</x:f>
      </x:c>
      <x:c r="J1734" s="74" t="str">
        <x:f>""</x:f>
      </x:c>
      <x:c r="K1734" s="73" t="str">
        <x:f>""</x:f>
      </x:c>
      <x:c r="L1734" s="74" t="str">
        <x:f>""</x:f>
      </x:c>
      <x:c r="M1734" s="73" t="n">
        <x:f>MAX(M1733,F1734)</x:f>
        <x:v>1.0001</x:v>
      </x:c>
      <x:c r="N1734" s="74" t="n">
        <x:f>1-F1734/M1734</x:f>
        <x:v>0</x:v>
      </x:c>
    </x:row>
    <x:row r="1735" ht="27" customHeight="1">
      <x:c r="A1735" s="66" t="str">
        <x:v>SEV580</x:v>
      </x:c>
      <x:c r="B1735" s="66" t="str">
        <x:v>祁腾蜂赢1号</x:v>
      </x:c>
      <x:c r="C1735" s="72" t="n">
        <x:v>43494</x:v>
      </x:c>
      <x:c r="D1735" s="73" t="n">
        <x:v>1.0001</x:v>
      </x:c>
      <x:c r="E1735" s="73" t="n">
        <x:v>1.0001</x:v>
      </x:c>
      <x:c r="F1735" s="73" t="n">
        <x:v>1.0001</x:v>
      </x:c>
      <x:c r="G1735" s="74" t="n">
        <x:v>0</x:v>
      </x:c>
      <x:c r="H1735" s="66" t="str">
        <x:v>祁腾蜂赢1号净值20260911.xlsx</x:v>
      </x:c>
      <x:c r="I1735" s="73" t="str">
        <x:f>""</x:f>
      </x:c>
      <x:c r="J1735" s="74" t="str">
        <x:f>""</x:f>
      </x:c>
      <x:c r="K1735" s="73" t="str">
        <x:f>""</x:f>
      </x:c>
      <x:c r="L1735" s="74" t="str">
        <x:f>""</x:f>
      </x:c>
      <x:c r="M1735" s="73" t="n">
        <x:f>MAX(M1734,F1735)</x:f>
        <x:v>1.0001</x:v>
      </x:c>
      <x:c r="N1735" s="74" t="n">
        <x:f>1-F1735/M1735</x:f>
        <x:v>0</x:v>
      </x:c>
    </x:row>
    <x:row r="1736" ht="27" customHeight="1">
      <x:c r="A1736" s="66" t="str">
        <x:v>SEV580</x:v>
      </x:c>
      <x:c r="B1736" s="66" t="str">
        <x:v>祁腾蜂赢1号</x:v>
      </x:c>
      <x:c r="C1736" s="72" t="n">
        <x:v>43495</x:v>
      </x:c>
      <x:c r="D1736" s="73" t="n">
        <x:v>1.0001</x:v>
      </x:c>
      <x:c r="E1736" s="73" t="n">
        <x:v>1.0001</x:v>
      </x:c>
      <x:c r="F1736" s="73" t="n">
        <x:v>1.0001</x:v>
      </x:c>
      <x:c r="G1736" s="74" t="n">
        <x:v>0</x:v>
      </x:c>
      <x:c r="H1736" s="66" t="str">
        <x:v>祁腾蜂赢1号净值20260911.xlsx</x:v>
      </x:c>
      <x:c r="I1736" s="73" t="str">
        <x:f>""</x:f>
      </x:c>
      <x:c r="J1736" s="74" t="str">
        <x:f>""</x:f>
      </x:c>
      <x:c r="K1736" s="73" t="str">
        <x:f>""</x:f>
      </x:c>
      <x:c r="L1736" s="74" t="str">
        <x:f>""</x:f>
      </x:c>
      <x:c r="M1736" s="73" t="n">
        <x:f>MAX(M1735,F1736)</x:f>
        <x:v>1.0001</x:v>
      </x:c>
      <x:c r="N1736" s="74" t="n">
        <x:f>1-F1736/M1736</x:f>
        <x:v>0</x:v>
      </x:c>
    </x:row>
    <x:row r="1737" ht="27" customHeight="1">
      <x:c r="A1737" s="66" t="str">
        <x:v>SEV580</x:v>
      </x:c>
      <x:c r="B1737" s="66" t="str">
        <x:v>祁腾蜂赢1号</x:v>
      </x:c>
      <x:c r="C1737" s="72" t="n">
        <x:v>43496</x:v>
      </x:c>
      <x:c r="D1737" s="73" t="n">
        <x:v>1.0001</x:v>
      </x:c>
      <x:c r="E1737" s="73" t="n">
        <x:v>1.0001</x:v>
      </x:c>
      <x:c r="F1737" s="73" t="n">
        <x:v>1.0001</x:v>
      </x:c>
      <x:c r="G1737" s="74" t="n">
        <x:v>0</x:v>
      </x:c>
      <x:c r="H1737" s="66" t="str">
        <x:v>祁腾蜂赢1号净值20260911.xlsx</x:v>
      </x:c>
      <x:c r="I1737" s="73" t="str">
        <x:f>""</x:f>
      </x:c>
      <x:c r="J1737" s="74" t="str">
        <x:f>""</x:f>
      </x:c>
      <x:c r="K1737" s="73" t="str">
        <x:f>""</x:f>
      </x:c>
      <x:c r="L1737" s="74" t="str">
        <x:f>""</x:f>
      </x:c>
      <x:c r="M1737" s="73" t="n">
        <x:f>MAX(M1736,F1737)</x:f>
        <x:v>1.0001</x:v>
      </x:c>
      <x:c r="N1737" s="74" t="n">
        <x:f>1-F1737/M1737</x:f>
        <x:v>0</x:v>
      </x:c>
    </x:row>
    <x:row r="1738" ht="27" customHeight="1">
      <x:c r="A1738" s="66" t="str">
        <x:v>SEV580</x:v>
      </x:c>
      <x:c r="B1738" s="66" t="str">
        <x:v>祁腾蜂赢1号</x:v>
      </x:c>
      <x:c r="C1738" s="72" t="n">
        <x:v>43497</x:v>
      </x:c>
      <x:c r="D1738" s="73" t="n">
        <x:v>1.0001</x:v>
      </x:c>
      <x:c r="E1738" s="73" t="n">
        <x:v>1.0001</x:v>
      </x:c>
      <x:c r="F1738" s="73" t="n">
        <x:v>1.0001</x:v>
      </x:c>
      <x:c r="G1738" s="74" t="n">
        <x:v>0</x:v>
      </x:c>
      <x:c r="H1738" s="66" t="str">
        <x:v>祁腾蜂赢1号净值20260911.xlsx</x:v>
      </x:c>
      <x:c r="I1738" s="73" t="str">
        <x:f>""</x:f>
      </x:c>
      <x:c r="J1738" s="74" t="str">
        <x:f>""</x:f>
      </x:c>
      <x:c r="K1738" s="73" t="str">
        <x:f>""</x:f>
      </x:c>
      <x:c r="L1738" s="74" t="str">
        <x:f>""</x:f>
      </x:c>
      <x:c r="M1738" s="73" t="n">
        <x:f>MAX(M1737,F1738)</x:f>
        <x:v>1.0001</x:v>
      </x:c>
      <x:c r="N1738" s="74" t="n">
        <x:f>1-F1738/M1738</x:f>
        <x:v>0</x:v>
      </x:c>
    </x:row>
    <x:row r="1739" ht="27" customHeight="1">
      <x:c r="A1739" s="66" t="str">
        <x:v>SEV580</x:v>
      </x:c>
      <x:c r="B1739" s="66" t="str">
        <x:v>祁腾蜂赢1号</x:v>
      </x:c>
      <x:c r="C1739" s="72" t="n">
        <x:v>43507</x:v>
      </x:c>
      <x:c r="D1739" s="73" t="n">
        <x:v>1</x:v>
      </x:c>
      <x:c r="E1739" s="73" t="n">
        <x:v>1</x:v>
      </x:c>
      <x:c r="F1739" s="73" t="n">
        <x:v>1</x:v>
      </x:c>
      <x:c r="G1739" s="74" t="n">
        <x:v>-0.0001</x:v>
      </x:c>
      <x:c r="H1739" s="66" t="str">
        <x:v>祁腾蜂赢1号净值20260911.xlsx</x:v>
      </x:c>
      <x:c r="I1739" s="73" t="str">
        <x:f>""</x:f>
      </x:c>
      <x:c r="J1739" s="74" t="str">
        <x:f>""</x:f>
      </x:c>
      <x:c r="K1739" s="73" t="str">
        <x:f>""</x:f>
      </x:c>
      <x:c r="L1739" s="74" t="str">
        <x:f>""</x:f>
      </x:c>
      <x:c r="M1739" s="73" t="n">
        <x:f>MAX(M1738,F1739)</x:f>
        <x:v>1.0001</x:v>
      </x:c>
      <x:c r="N1739" s="74" t="n">
        <x:f>1-F1739/M1739</x:f>
        <x:v>0.00009999000099991662</x:v>
      </x:c>
    </x:row>
    <x:row r="1740" ht="27" customHeight="1">
      <x:c r="A1740" s="66" t="str">
        <x:v>SEV580</x:v>
      </x:c>
      <x:c r="B1740" s="66" t="str">
        <x:v>祁腾蜂赢1号</x:v>
      </x:c>
      <x:c r="C1740" s="72" t="n">
        <x:v>43508</x:v>
      </x:c>
      <x:c r="D1740" s="73" t="n">
        <x:v>1</x:v>
      </x:c>
      <x:c r="E1740" s="73" t="n">
        <x:v>1</x:v>
      </x:c>
      <x:c r="F1740" s="73" t="n">
        <x:v>1</x:v>
      </x:c>
      <x:c r="G1740" s="74" t="n">
        <x:v>0</x:v>
      </x:c>
      <x:c r="H1740" s="66" t="str">
        <x:v>祁腾蜂赢1号净值20260911.xlsx</x:v>
      </x:c>
      <x:c r="I1740" s="73" t="str">
        <x:f>""</x:f>
      </x:c>
      <x:c r="J1740" s="74" t="str">
        <x:f>""</x:f>
      </x:c>
      <x:c r="K1740" s="73" t="str">
        <x:f>""</x:f>
      </x:c>
      <x:c r="L1740" s="74" t="str">
        <x:f>""</x:f>
      </x:c>
      <x:c r="M1740" s="73" t="n">
        <x:f>MAX(M1739,F1740)</x:f>
        <x:v>1.0001</x:v>
      </x:c>
      <x:c r="N1740" s="74" t="n">
        <x:f>1-F1740/M1740</x:f>
        <x:v>0.00009999000099991662</x:v>
      </x:c>
    </x:row>
    <x:row r="1741" ht="27" customHeight="1">
      <x:c r="A1741" s="66" t="str">
        <x:v>SEV580</x:v>
      </x:c>
      <x:c r="B1741" s="66" t="str">
        <x:v>祁腾蜂赢1号</x:v>
      </x:c>
      <x:c r="C1741" s="72" t="n">
        <x:v>43509</x:v>
      </x:c>
      <x:c r="D1741" s="73" t="n">
        <x:v>1</x:v>
      </x:c>
      <x:c r="E1741" s="73" t="n">
        <x:v>1</x:v>
      </x:c>
      <x:c r="F1741" s="73" t="n">
        <x:v>1</x:v>
      </x:c>
      <x:c r="G1741" s="74" t="n">
        <x:v>0</x:v>
      </x:c>
      <x:c r="H1741" s="66" t="str">
        <x:v>祁腾蜂赢1号净值20260911.xlsx</x:v>
      </x:c>
      <x:c r="I1741" s="73" t="str">
        <x:f>""</x:f>
      </x:c>
      <x:c r="J1741" s="74" t="str">
        <x:f>""</x:f>
      </x:c>
      <x:c r="K1741" s="73" t="str">
        <x:f>""</x:f>
      </x:c>
      <x:c r="L1741" s="74" t="str">
        <x:f>""</x:f>
      </x:c>
      <x:c r="M1741" s="73" t="n">
        <x:f>MAX(M1740,F1741)</x:f>
        <x:v>1.0001</x:v>
      </x:c>
      <x:c r="N1741" s="74" t="n">
        <x:f>1-F1741/M1741</x:f>
        <x:v>0.00009999000099991662</x:v>
      </x:c>
    </x:row>
    <x:row r="1742" ht="27" customHeight="1">
      <x:c r="A1742" s="66" t="str">
        <x:v>SEV580</x:v>
      </x:c>
      <x:c r="B1742" s="66" t="str">
        <x:v>祁腾蜂赢1号</x:v>
      </x:c>
      <x:c r="C1742" s="72" t="n">
        <x:v>43510</x:v>
      </x:c>
      <x:c r="D1742" s="73" t="n">
        <x:v>1</x:v>
      </x:c>
      <x:c r="E1742" s="73" t="n">
        <x:v>1</x:v>
      </x:c>
      <x:c r="F1742" s="73" t="n">
        <x:v>1</x:v>
      </x:c>
      <x:c r="G1742" s="74" t="n">
        <x:v>0</x:v>
      </x:c>
      <x:c r="H1742" s="66" t="str">
        <x:v>祁腾蜂赢1号净值20260911.xlsx</x:v>
      </x:c>
      <x:c r="I1742" s="73" t="str">
        <x:f>""</x:f>
      </x:c>
      <x:c r="J1742" s="74" t="str">
        <x:f>""</x:f>
      </x:c>
      <x:c r="K1742" s="73" t="str">
        <x:f>""</x:f>
      </x:c>
      <x:c r="L1742" s="74" t="str">
        <x:f>""</x:f>
      </x:c>
      <x:c r="M1742" s="73" t="n">
        <x:f>MAX(M1741,F1742)</x:f>
        <x:v>1.0001</x:v>
      </x:c>
      <x:c r="N1742" s="74" t="n">
        <x:f>1-F1742/M1742</x:f>
        <x:v>0.00009999000099991662</x:v>
      </x:c>
    </x:row>
    <x:row r="1743" ht="27" customHeight="1">
      <x:c r="A1743" s="66" t="str">
        <x:v>SEV580</x:v>
      </x:c>
      <x:c r="B1743" s="66" t="str">
        <x:v>祁腾蜂赢1号</x:v>
      </x:c>
      <x:c r="C1743" s="72" t="n">
        <x:v>43511</x:v>
      </x:c>
      <x:c r="D1743" s="73" t="n">
        <x:v>1</x:v>
      </x:c>
      <x:c r="E1743" s="73" t="n">
        <x:v>1</x:v>
      </x:c>
      <x:c r="F1743" s="73" t="n">
        <x:v>1</x:v>
      </x:c>
      <x:c r="G1743" s="74" t="n">
        <x:v>0</x:v>
      </x:c>
      <x:c r="H1743" s="66" t="str">
        <x:v>祁腾蜂赢1号净值20260911.xlsx</x:v>
      </x:c>
      <x:c r="I1743" s="73" t="str">
        <x:f>""</x:f>
      </x:c>
      <x:c r="J1743" s="74" t="str">
        <x:f>""</x:f>
      </x:c>
      <x:c r="K1743" s="73" t="str">
        <x:f>""</x:f>
      </x:c>
      <x:c r="L1743" s="74" t="str">
        <x:f>""</x:f>
      </x:c>
      <x:c r="M1743" s="73" t="n">
        <x:f>MAX(M1742,F1743)</x:f>
        <x:v>1.0001</x:v>
      </x:c>
      <x:c r="N1743" s="74" t="n">
        <x:f>1-F1743/M1743</x:f>
        <x:v>0.00009999000099991662</x:v>
      </x:c>
    </x:row>
    <x:row r="1744" ht="27" customHeight="1">
      <x:c r="A1744" s="66" t="str">
        <x:v>SEV580</x:v>
      </x:c>
      <x:c r="B1744" s="66" t="str">
        <x:v>祁腾蜂赢1号</x:v>
      </x:c>
      <x:c r="C1744" s="72" t="n">
        <x:v>43514</x:v>
      </x:c>
      <x:c r="D1744" s="73" t="n">
        <x:v>1</x:v>
      </x:c>
      <x:c r="E1744" s="73" t="n">
        <x:v>1</x:v>
      </x:c>
      <x:c r="F1744" s="73" t="n">
        <x:v>1</x:v>
      </x:c>
      <x:c r="G1744" s="74" t="n">
        <x:v>0</x:v>
      </x:c>
      <x:c r="H1744" s="66" t="str">
        <x:v>祁腾蜂赢1号净值20260911.xlsx</x:v>
      </x:c>
      <x:c r="I1744" s="73" t="str">
        <x:f>""</x:f>
      </x:c>
      <x:c r="J1744" s="74" t="str">
        <x:f>""</x:f>
      </x:c>
      <x:c r="K1744" s="73" t="str">
        <x:f>""</x:f>
      </x:c>
      <x:c r="L1744" s="74" t="str">
        <x:f>""</x:f>
      </x:c>
      <x:c r="M1744" s="73" t="n">
        <x:f>MAX(M1743,F1744)</x:f>
        <x:v>1.0001</x:v>
      </x:c>
      <x:c r="N1744" s="74" t="n">
        <x:f>1-F1744/M1744</x:f>
        <x:v>0.00009999000099991662</x:v>
      </x:c>
    </x:row>
    <x:row r="1745" ht="27" customHeight="1">
      <x:c r="A1745" s="66" t="str">
        <x:v>SEV580</x:v>
      </x:c>
      <x:c r="B1745" s="66" t="str">
        <x:v>祁腾蜂赢1号</x:v>
      </x:c>
      <x:c r="C1745" s="72" t="n">
        <x:v>43515</x:v>
      </x:c>
      <x:c r="D1745" s="73" t="n">
        <x:v>1</x:v>
      </x:c>
      <x:c r="E1745" s="73" t="n">
        <x:v>1</x:v>
      </x:c>
      <x:c r="F1745" s="73" t="n">
        <x:v>1</x:v>
      </x:c>
      <x:c r="G1745" s="74" t="n">
        <x:v>0</x:v>
      </x:c>
      <x:c r="H1745" s="66" t="str">
        <x:v>祁腾蜂赢1号净值20260911.xlsx</x:v>
      </x:c>
      <x:c r="I1745" s="73" t="str">
        <x:f>""</x:f>
      </x:c>
      <x:c r="J1745" s="74" t="str">
        <x:f>""</x:f>
      </x:c>
      <x:c r="K1745" s="73" t="str">
        <x:f>""</x:f>
      </x:c>
      <x:c r="L1745" s="74" t="str">
        <x:f>""</x:f>
      </x:c>
      <x:c r="M1745" s="73" t="n">
        <x:f>MAX(M1744,F1745)</x:f>
        <x:v>1.0001</x:v>
      </x:c>
      <x:c r="N1745" s="74" t="n">
        <x:f>1-F1745/M1745</x:f>
        <x:v>0.00009999000099991662</x:v>
      </x:c>
    </x:row>
    <x:row r="1746" ht="27" customHeight="1">
      <x:c r="A1746" s="66" t="str">
        <x:v>SEV580</x:v>
      </x:c>
      <x:c r="B1746" s="66" t="str">
        <x:v>祁腾蜂赢1号</x:v>
      </x:c>
      <x:c r="C1746" s="72" t="n">
        <x:v>43516</x:v>
      </x:c>
      <x:c r="D1746" s="73" t="n">
        <x:v>1</x:v>
      </x:c>
      <x:c r="E1746" s="73" t="n">
        <x:v>1</x:v>
      </x:c>
      <x:c r="F1746" s="73" t="n">
        <x:v>1</x:v>
      </x:c>
      <x:c r="G1746" s="74" t="n">
        <x:v>0</x:v>
      </x:c>
      <x:c r="H1746" s="66" t="str">
        <x:v>祁腾蜂赢1号净值20260911.xlsx</x:v>
      </x:c>
      <x:c r="I1746" s="73" t="str">
        <x:f>""</x:f>
      </x:c>
      <x:c r="J1746" s="74" t="str">
        <x:f>""</x:f>
      </x:c>
      <x:c r="K1746" s="73" t="str">
        <x:f>""</x:f>
      </x:c>
      <x:c r="L1746" s="74" t="str">
        <x:f>""</x:f>
      </x:c>
      <x:c r="M1746" s="73" t="n">
        <x:f>MAX(M1745,F1746)</x:f>
        <x:v>1.0001</x:v>
      </x:c>
      <x:c r="N1746" s="74" t="n">
        <x:f>1-F1746/M1746</x:f>
        <x:v>0.00009999000099991662</x:v>
      </x:c>
    </x:row>
    <x:row r="1747" ht="27" customHeight="1">
      <x:c r="A1747" s="66" t="str">
        <x:v>SEV580</x:v>
      </x:c>
      <x:c r="B1747" s="66" t="str">
        <x:v>祁腾蜂赢1号</x:v>
      </x:c>
      <x:c r="C1747" s="72" t="n">
        <x:v>43517</x:v>
      </x:c>
      <x:c r="D1747" s="73" t="n">
        <x:v>1.0001</x:v>
      </x:c>
      <x:c r="E1747" s="73" t="n">
        <x:v>1.0001</x:v>
      </x:c>
      <x:c r="F1747" s="73" t="n">
        <x:v>1.0001</x:v>
      </x:c>
      <x:c r="G1747" s="74" t="n">
        <x:v>0.0001</x:v>
      </x:c>
      <x:c r="H1747" s="66" t="str">
        <x:v>祁腾蜂赢1号净值20260911.xlsx</x:v>
      </x:c>
      <x:c r="I1747" s="73" t="str">
        <x:f>""</x:f>
      </x:c>
      <x:c r="J1747" s="74" t="str">
        <x:f>""</x:f>
      </x:c>
      <x:c r="K1747" s="73" t="str">
        <x:f>""</x:f>
      </x:c>
      <x:c r="L1747" s="74" t="str">
        <x:f>""</x:f>
      </x:c>
      <x:c r="M1747" s="73" t="n">
        <x:f>MAX(M1746,F1747)</x:f>
        <x:v>1.0001</x:v>
      </x:c>
      <x:c r="N1747" s="74" t="n">
        <x:f>1-F1747/M1747</x:f>
        <x:v>0</x:v>
      </x:c>
    </x:row>
    <x:row r="1748" ht="27" customHeight="1">
      <x:c r="A1748" s="66" t="str">
        <x:v>SEV580</x:v>
      </x:c>
      <x:c r="B1748" s="66" t="str">
        <x:v>祁腾蜂赢1号</x:v>
      </x:c>
      <x:c r="C1748" s="72" t="n">
        <x:v>43518</x:v>
      </x:c>
      <x:c r="D1748" s="73" t="n">
        <x:v>0.998</x:v>
      </x:c>
      <x:c r="E1748" s="73" t="n">
        <x:v>0.998</x:v>
      </x:c>
      <x:c r="F1748" s="73" t="n">
        <x:v>0.998</x:v>
      </x:c>
      <x:c r="G1748" s="74" t="n">
        <x:v>-0.0021</x:v>
      </x:c>
      <x:c r="H1748" s="66" t="str">
        <x:v>祁腾蜂赢1号净值20260911.xlsx</x:v>
      </x:c>
      <x:c r="I1748" s="73" t="str">
        <x:f>""</x:f>
      </x:c>
      <x:c r="J1748" s="74" t="str">
        <x:f>""</x:f>
      </x:c>
      <x:c r="K1748" s="73" t="str">
        <x:f>""</x:f>
      </x:c>
      <x:c r="L1748" s="74" t="str">
        <x:f>""</x:f>
      </x:c>
      <x:c r="M1748" s="73" t="n">
        <x:f>MAX(M1747,F1748)</x:f>
        <x:v>1.0001</x:v>
      </x:c>
      <x:c r="N1748" s="74" t="n">
        <x:f>1-F1748/M1748</x:f>
        <x:v>0.002099790020997916</x:v>
      </x:c>
    </x:row>
    <x:row r="1749" ht="27" customHeight="1">
      <x:c r="A1749" s="66" t="str">
        <x:v>SEV580</x:v>
      </x:c>
      <x:c r="B1749" s="66" t="str">
        <x:v>祁腾蜂赢1号</x:v>
      </x:c>
      <x:c r="C1749" s="72" t="n">
        <x:v>43521</x:v>
      </x:c>
      <x:c r="D1749" s="73" t="n">
        <x:v>0.9979</x:v>
      </x:c>
      <x:c r="E1749" s="73" t="n">
        <x:v>0.9979</x:v>
      </x:c>
      <x:c r="F1749" s="73" t="n">
        <x:v>0.9979</x:v>
      </x:c>
      <x:c r="G1749" s="74" t="n">
        <x:v>-0.0001</x:v>
      </x:c>
      <x:c r="H1749" s="66" t="str">
        <x:v>祁腾蜂赢1号净值20260911.xlsx</x:v>
      </x:c>
      <x:c r="I1749" s="73" t="str">
        <x:f>""</x:f>
      </x:c>
      <x:c r="J1749" s="74" t="str">
        <x:f>""</x:f>
      </x:c>
      <x:c r="K1749" s="73" t="str">
        <x:f>""</x:f>
      </x:c>
      <x:c r="L1749" s="74" t="str">
        <x:f>""</x:f>
      </x:c>
      <x:c r="M1749" s="73" t="n">
        <x:f>MAX(M1748,F1749)</x:f>
        <x:v>1.0001</x:v>
      </x:c>
      <x:c r="N1749" s="74" t="n">
        <x:f>1-F1749/M1749</x:f>
        <x:v>0.0021997800219978325</x:v>
      </x:c>
    </x:row>
    <x:row r="1750" ht="27" customHeight="1">
      <x:c r="A1750" s="66" t="str">
        <x:v>SEV580</x:v>
      </x:c>
      <x:c r="B1750" s="66" t="str">
        <x:v>祁腾蜂赢1号</x:v>
      </x:c>
      <x:c r="C1750" s="72" t="n">
        <x:v>43522</x:v>
      </x:c>
      <x:c r="D1750" s="73" t="n">
        <x:v>0.9958</x:v>
      </x:c>
      <x:c r="E1750" s="73" t="n">
        <x:v>0.9958</x:v>
      </x:c>
      <x:c r="F1750" s="73" t="n">
        <x:v>0.9958</x:v>
      </x:c>
      <x:c r="G1750" s="74" t="n">
        <x:v>-0.0021</x:v>
      </x:c>
      <x:c r="H1750" s="66" t="str">
        <x:v>祁腾蜂赢1号净值20260911.xlsx</x:v>
      </x:c>
      <x:c r="I1750" s="73" t="str">
        <x:f>""</x:f>
      </x:c>
      <x:c r="J1750" s="74" t="str">
        <x:f>""</x:f>
      </x:c>
      <x:c r="K1750" s="73" t="str">
        <x:f>""</x:f>
      </x:c>
      <x:c r="L1750" s="74" t="str">
        <x:f>""</x:f>
      </x:c>
      <x:c r="M1750" s="73" t="n">
        <x:f>MAX(M1749,F1750)</x:f>
        <x:v>1.0001</x:v>
      </x:c>
      <x:c r="N1750" s="74" t="n">
        <x:f>1-F1750/M1750</x:f>
        <x:v>0.004299570042995637</x:v>
      </x:c>
    </x:row>
    <x:row r="1751" ht="27" customHeight="1">
      <x:c r="A1751" s="66" t="str">
        <x:v>SEV580</x:v>
      </x:c>
      <x:c r="B1751" s="66" t="str">
        <x:v>祁腾蜂赢1号</x:v>
      </x:c>
      <x:c r="C1751" s="72" t="n">
        <x:v>43523</x:v>
      </x:c>
      <x:c r="D1751" s="73" t="n">
        <x:v>0.9952</x:v>
      </x:c>
      <x:c r="E1751" s="73" t="n">
        <x:v>0.9952</x:v>
      </x:c>
      <x:c r="F1751" s="73" t="n">
        <x:v>0.9952</x:v>
      </x:c>
      <x:c r="G1751" s="74" t="n">
        <x:v>-0.0006</x:v>
      </x:c>
      <x:c r="H1751" s="66" t="str">
        <x:v>祁腾蜂赢1号净值20260911.xlsx</x:v>
      </x:c>
      <x:c r="I1751" s="73" t="str">
        <x:f>""</x:f>
      </x:c>
      <x:c r="J1751" s="74" t="str">
        <x:f>""</x:f>
      </x:c>
      <x:c r="K1751" s="73" t="str">
        <x:f>""</x:f>
      </x:c>
      <x:c r="L1751" s="74" t="str">
        <x:f>""</x:f>
      </x:c>
      <x:c r="M1751" s="73" t="n">
        <x:f>MAX(M1750,F1751)</x:f>
        <x:v>1.0001</x:v>
      </x:c>
      <x:c r="N1751" s="74" t="n">
        <x:f>1-F1751/M1751</x:f>
        <x:v>0.004899510048995137</x:v>
      </x:c>
    </x:row>
    <x:row r="1752" ht="27" customHeight="1">
      <x:c r="A1752" s="66" t="str">
        <x:v>SEV580</x:v>
      </x:c>
      <x:c r="B1752" s="66" t="str">
        <x:v>祁腾蜂赢1号</x:v>
      </x:c>
      <x:c r="C1752" s="72" t="n">
        <x:v>43524</x:v>
      </x:c>
      <x:c r="D1752" s="73" t="n">
        <x:v>0.9933</x:v>
      </x:c>
      <x:c r="E1752" s="73" t="n">
        <x:v>0.9933</x:v>
      </x:c>
      <x:c r="F1752" s="73" t="n">
        <x:v>0.9933</x:v>
      </x:c>
      <x:c r="G1752" s="74" t="n">
        <x:v>-0.0019</x:v>
      </x:c>
      <x:c r="H1752" s="66" t="str">
        <x:v>祁腾蜂赢1号净值20260911.xlsx</x:v>
      </x:c>
      <x:c r="I1752" s="73" t="str">
        <x:f>""</x:f>
      </x:c>
      <x:c r="J1752" s="74" t="str">
        <x:f>""</x:f>
      </x:c>
      <x:c r="K1752" s="73" t="str">
        <x:f>""</x:f>
      </x:c>
      <x:c r="L1752" s="74" t="str">
        <x:f>""</x:f>
      </x:c>
      <x:c r="M1752" s="73" t="n">
        <x:f>MAX(M1751,F1752)</x:f>
        <x:v>1.0001</x:v>
      </x:c>
      <x:c r="N1752" s="74" t="n">
        <x:f>1-F1752/M1752</x:f>
        <x:v>0.00679932006799322</x:v>
      </x:c>
    </x:row>
    <x:row r="1753" ht="27" customHeight="1">
      <x:c r="A1753" s="66" t="str">
        <x:v>SEV580</x:v>
      </x:c>
      <x:c r="B1753" s="66" t="str">
        <x:v>祁腾蜂赢1号</x:v>
      </x:c>
      <x:c r="C1753" s="72" t="n">
        <x:v>43525</x:v>
      </x:c>
      <x:c r="D1753" s="73" t="n">
        <x:v>0.993</x:v>
      </x:c>
      <x:c r="E1753" s="73" t="n">
        <x:v>0.993</x:v>
      </x:c>
      <x:c r="F1753" s="73" t="n">
        <x:v>0.993</x:v>
      </x:c>
      <x:c r="G1753" s="74" t="n">
        <x:v>-0.0003</x:v>
      </x:c>
      <x:c r="H1753" s="66" t="str">
        <x:v>祁腾蜂赢1号净值20260911.xlsx</x:v>
      </x:c>
      <x:c r="I1753" s="73" t="str">
        <x:f>""</x:f>
      </x:c>
      <x:c r="J1753" s="74" t="str">
        <x:f>""</x:f>
      </x:c>
      <x:c r="K1753" s="73" t="str">
        <x:f>""</x:f>
      </x:c>
      <x:c r="L1753" s="74" t="str">
        <x:f>""</x:f>
      </x:c>
      <x:c r="M1753" s="73" t="n">
        <x:f>MAX(M1752,F1753)</x:f>
        <x:v>1.0001</x:v>
      </x:c>
      <x:c r="N1753" s="74" t="n">
        <x:f>1-F1753/M1753</x:f>
        <x:v>0.007099290070992859</x:v>
      </x:c>
    </x:row>
    <x:row r="1754" ht="27" customHeight="1">
      <x:c r="A1754" s="66" t="str">
        <x:v>SEV580</x:v>
      </x:c>
      <x:c r="B1754" s="66" t="str">
        <x:v>祁腾蜂赢1号</x:v>
      </x:c>
      <x:c r="C1754" s="72" t="n">
        <x:v>43528</x:v>
      </x:c>
      <x:c r="D1754" s="73" t="n">
        <x:v>0.99</x:v>
      </x:c>
      <x:c r="E1754" s="73" t="n">
        <x:v>0.99</x:v>
      </x:c>
      <x:c r="F1754" s="73" t="n">
        <x:v>0.99</x:v>
      </x:c>
      <x:c r="G1754" s="74" t="n">
        <x:v>-0.003</x:v>
      </x:c>
      <x:c r="H1754" s="66" t="str">
        <x:v>祁腾蜂赢1号净值20260911.xlsx</x:v>
      </x:c>
      <x:c r="I1754" s="73" t="str">
        <x:f>""</x:f>
      </x:c>
      <x:c r="J1754" s="74" t="str">
        <x:f>""</x:f>
      </x:c>
      <x:c r="K1754" s="73" t="str">
        <x:f>""</x:f>
      </x:c>
      <x:c r="L1754" s="74" t="str">
        <x:f>""</x:f>
      </x:c>
      <x:c r="M1754" s="73" t="n">
        <x:f>MAX(M1753,F1754)</x:f>
        <x:v>1.0001</x:v>
      </x:c>
      <x:c r="N1754" s="74" t="n">
        <x:f>1-F1754/M1754</x:f>
        <x:v>0.010098990100989913</x:v>
      </x:c>
    </x:row>
    <x:row r="1755" ht="27" customHeight="1">
      <x:c r="A1755" s="66" t="str">
        <x:v>SEV580</x:v>
      </x:c>
      <x:c r="B1755" s="66" t="str">
        <x:v>祁腾蜂赢1号</x:v>
      </x:c>
      <x:c r="C1755" s="72" t="n">
        <x:v>43529</x:v>
      </x:c>
      <x:c r="D1755" s="73" t="n">
        <x:v>0.9873</x:v>
      </x:c>
      <x:c r="E1755" s="73" t="n">
        <x:v>0.9873</x:v>
      </x:c>
      <x:c r="F1755" s="73" t="n">
        <x:v>0.9873</x:v>
      </x:c>
      <x:c r="G1755" s="74" t="n">
        <x:v>-0.0027</x:v>
      </x:c>
      <x:c r="H1755" s="66" t="str">
        <x:v>祁腾蜂赢1号净值20260911.xlsx</x:v>
      </x:c>
      <x:c r="I1755" s="73" t="str">
        <x:f>""</x:f>
      </x:c>
      <x:c r="J1755" s="74" t="str">
        <x:f>""</x:f>
      </x:c>
      <x:c r="K1755" s="73" t="str">
        <x:f>""</x:f>
      </x:c>
      <x:c r="L1755" s="74" t="str">
        <x:f>""</x:f>
      </x:c>
      <x:c r="M1755" s="73" t="n">
        <x:f>MAX(M1754,F1755)</x:f>
        <x:v>1.0001</x:v>
      </x:c>
      <x:c r="N1755" s="74" t="n">
        <x:f>1-F1755/M1755</x:f>
        <x:v>0.012798720127987218</x:v>
      </x:c>
    </x:row>
    <x:row r="1756" ht="27" customHeight="1">
      <x:c r="A1756" s="66" t="str">
        <x:v>SEV580</x:v>
      </x:c>
      <x:c r="B1756" s="66" t="str">
        <x:v>祁腾蜂赢1号</x:v>
      </x:c>
      <x:c r="C1756" s="72" t="n">
        <x:v>43530</x:v>
      </x:c>
      <x:c r="D1756" s="73" t="n">
        <x:v>0.9867</x:v>
      </x:c>
      <x:c r="E1756" s="73" t="n">
        <x:v>0.9867</x:v>
      </x:c>
      <x:c r="F1756" s="73" t="n">
        <x:v>0.9867</x:v>
      </x:c>
      <x:c r="G1756" s="74" t="n">
        <x:v>-0.0006</x:v>
      </x:c>
      <x:c r="H1756" s="66" t="str">
        <x:v>祁腾蜂赢1号净值20260911.xlsx</x:v>
      </x:c>
      <x:c r="I1756" s="73" t="str">
        <x:f>""</x:f>
      </x:c>
      <x:c r="J1756" s="74" t="str">
        <x:f>""</x:f>
      </x:c>
      <x:c r="K1756" s="73" t="str">
        <x:f>""</x:f>
      </x:c>
      <x:c r="L1756" s="74" t="str">
        <x:f>""</x:f>
      </x:c>
      <x:c r="M1756" s="73" t="n">
        <x:f>MAX(M1755,F1756)</x:f>
        <x:v>1.0001</x:v>
      </x:c>
      <x:c r="N1756" s="74" t="n">
        <x:f>1-F1756/M1756</x:f>
        <x:v>0.013398660133986606</x:v>
      </x:c>
    </x:row>
    <x:row r="1757" ht="27" customHeight="1">
      <x:c r="A1757" s="66" t="str">
        <x:v>SEV580</x:v>
      </x:c>
      <x:c r="B1757" s="66" t="str">
        <x:v>祁腾蜂赢1号</x:v>
      </x:c>
      <x:c r="C1757" s="72" t="n">
        <x:v>43531</x:v>
      </x:c>
      <x:c r="D1757" s="73" t="n">
        <x:v>0.9887</x:v>
      </x:c>
      <x:c r="E1757" s="73" t="n">
        <x:v>0.9887</x:v>
      </x:c>
      <x:c r="F1757" s="73" t="n">
        <x:v>0.9887</x:v>
      </x:c>
      <x:c r="G1757" s="74" t="n">
        <x:v>0.002</x:v>
      </x:c>
      <x:c r="H1757" s="66" t="str">
        <x:v>祁腾蜂赢1号净值20260911.xlsx</x:v>
      </x:c>
      <x:c r="I1757" s="73" t="str">
        <x:f>""</x:f>
      </x:c>
      <x:c r="J1757" s="74" t="str">
        <x:f>""</x:f>
      </x:c>
      <x:c r="K1757" s="73" t="str">
        <x:f>""</x:f>
      </x:c>
      <x:c r="L1757" s="74" t="str">
        <x:f>""</x:f>
      </x:c>
      <x:c r="M1757" s="73" t="n">
        <x:f>MAX(M1756,F1757)</x:f>
        <x:v>1.0001</x:v>
      </x:c>
      <x:c r="N1757" s="74" t="n">
        <x:f>1-F1757/M1757</x:f>
        <x:v>0.011398860113988607</x:v>
      </x:c>
    </x:row>
    <x:row r="1758" ht="27" customHeight="1">
      <x:c r="A1758" s="66" t="str">
        <x:v>SEV580</x:v>
      </x:c>
      <x:c r="B1758" s="66" t="str">
        <x:v>祁腾蜂赢1号</x:v>
      </x:c>
      <x:c r="C1758" s="72" t="n">
        <x:v>43532</x:v>
      </x:c>
      <x:c r="D1758" s="73" t="n">
        <x:v>0.99</x:v>
      </x:c>
      <x:c r="E1758" s="73" t="n">
        <x:v>0.99</x:v>
      </x:c>
      <x:c r="F1758" s="73" t="n">
        <x:v>0.99</x:v>
      </x:c>
      <x:c r="G1758" s="74" t="n">
        <x:v>0.0013</x:v>
      </x:c>
      <x:c r="H1758" s="66" t="str">
        <x:v>祁腾蜂赢1号净值20260911.xlsx</x:v>
      </x:c>
      <x:c r="I1758" s="73" t="str">
        <x:f>""</x:f>
      </x:c>
      <x:c r="J1758" s="74" t="str">
        <x:f>""</x:f>
      </x:c>
      <x:c r="K1758" s="73" t="str">
        <x:f>""</x:f>
      </x:c>
      <x:c r="L1758" s="74" t="str">
        <x:f>""</x:f>
      </x:c>
      <x:c r="M1758" s="73" t="n">
        <x:f>MAX(M1757,F1758)</x:f>
        <x:v>1.0001</x:v>
      </x:c>
      <x:c r="N1758" s="74" t="n">
        <x:f>1-F1758/M1758</x:f>
        <x:v>0.010098990100989913</x:v>
      </x:c>
    </x:row>
    <x:row r="1759" ht="27" customHeight="1">
      <x:c r="A1759" s="66" t="str">
        <x:v>SEV580</x:v>
      </x:c>
      <x:c r="B1759" s="66" t="str">
        <x:v>祁腾蜂赢1号</x:v>
      </x:c>
      <x:c r="C1759" s="72" t="n">
        <x:v>43535</x:v>
      </x:c>
      <x:c r="D1759" s="73" t="n">
        <x:v>0.9902</x:v>
      </x:c>
      <x:c r="E1759" s="73" t="n">
        <x:v>0.9902</x:v>
      </x:c>
      <x:c r="F1759" s="73" t="n">
        <x:v>0.9902</x:v>
      </x:c>
      <x:c r="G1759" s="74" t="n">
        <x:v>0.0002</x:v>
      </x:c>
      <x:c r="H1759" s="66" t="str">
        <x:v>祁腾蜂赢1号净值20260911.xlsx</x:v>
      </x:c>
      <x:c r="I1759" s="73" t="str">
        <x:f>""</x:f>
      </x:c>
      <x:c r="J1759" s="74" t="str">
        <x:f>""</x:f>
      </x:c>
      <x:c r="K1759" s="73" t="str">
        <x:f>""</x:f>
      </x:c>
      <x:c r="L1759" s="74" t="str">
        <x:f>""</x:f>
      </x:c>
      <x:c r="M1759" s="73" t="n">
        <x:f>MAX(M1758,F1759)</x:f>
        <x:v>1.0001</x:v>
      </x:c>
      <x:c r="N1759" s="74" t="n">
        <x:f>1-F1759/M1759</x:f>
        <x:v>0.00989901009899008</x:v>
      </x:c>
    </x:row>
    <x:row r="1760" ht="27" customHeight="1">
      <x:c r="A1760" s="66" t="str">
        <x:v>SEV580</x:v>
      </x:c>
      <x:c r="B1760" s="66" t="str">
        <x:v>祁腾蜂赢1号</x:v>
      </x:c>
      <x:c r="C1760" s="72" t="n">
        <x:v>43536</x:v>
      </x:c>
      <x:c r="D1760" s="73" t="n">
        <x:v>0.9913</x:v>
      </x:c>
      <x:c r="E1760" s="73" t="n">
        <x:v>0.9913</x:v>
      </x:c>
      <x:c r="F1760" s="73" t="n">
        <x:v>0.9913</x:v>
      </x:c>
      <x:c r="G1760" s="74" t="n">
        <x:v>0.0011</x:v>
      </x:c>
      <x:c r="H1760" s="66" t="str">
        <x:v>祁腾蜂赢1号净值20260911.xlsx</x:v>
      </x:c>
      <x:c r="I1760" s="73" t="str">
        <x:f>""</x:f>
      </x:c>
      <x:c r="J1760" s="74" t="str">
        <x:f>""</x:f>
      </x:c>
      <x:c r="K1760" s="73" t="str">
        <x:f>""</x:f>
      </x:c>
      <x:c r="L1760" s="74" t="str">
        <x:f>""</x:f>
      </x:c>
      <x:c r="M1760" s="73" t="n">
        <x:f>MAX(M1759,F1760)</x:f>
        <x:v>1.0001</x:v>
      </x:c>
      <x:c r="N1760" s="74" t="n">
        <x:f>1-F1760/M1760</x:f>
        <x:v>0.008799120087991219</x:v>
      </x:c>
    </x:row>
    <x:row r="1761" ht="27" customHeight="1">
      <x:c r="A1761" s="66" t="str">
        <x:v>SEV580</x:v>
      </x:c>
      <x:c r="B1761" s="66" t="str">
        <x:v>祁腾蜂赢1号</x:v>
      </x:c>
      <x:c r="C1761" s="72" t="n">
        <x:v>43537</x:v>
      </x:c>
      <x:c r="D1761" s="73" t="n">
        <x:v>0.9927</x:v>
      </x:c>
      <x:c r="E1761" s="73" t="n">
        <x:v>0.9927</x:v>
      </x:c>
      <x:c r="F1761" s="73" t="n">
        <x:v>0.9927</x:v>
      </x:c>
      <x:c r="G1761" s="74" t="n">
        <x:v>0.0014000000000000002</x:v>
      </x:c>
      <x:c r="H1761" s="66" t="str">
        <x:v>祁腾蜂赢1号净值20260911.xlsx</x:v>
      </x:c>
      <x:c r="I1761" s="73" t="str">
        <x:f>""</x:f>
      </x:c>
      <x:c r="J1761" s="74" t="str">
        <x:f>""</x:f>
      </x:c>
      <x:c r="K1761" s="73" t="str">
        <x:f>""</x:f>
      </x:c>
      <x:c r="L1761" s="74" t="str">
        <x:f>""</x:f>
      </x:c>
      <x:c r="M1761" s="73" t="n">
        <x:f>MAX(M1760,F1761)</x:f>
        <x:v>1.0001</x:v>
      </x:c>
      <x:c r="N1761" s="74" t="n">
        <x:f>1-F1761/M1761</x:f>
        <x:v>0.007399260073992608</x:v>
      </x:c>
    </x:row>
    <x:row r="1762" ht="27" customHeight="1">
      <x:c r="A1762" s="66" t="str">
        <x:v>SEV580</x:v>
      </x:c>
      <x:c r="B1762" s="66" t="str">
        <x:v>祁腾蜂赢1号</x:v>
      </x:c>
      <x:c r="C1762" s="72" t="n">
        <x:v>43538</x:v>
      </x:c>
      <x:c r="D1762" s="73" t="n">
        <x:v>0.9939</x:v>
      </x:c>
      <x:c r="E1762" s="73" t="n">
        <x:v>0.9939</x:v>
      </x:c>
      <x:c r="F1762" s="73" t="n">
        <x:v>0.9939</x:v>
      </x:c>
      <x:c r="G1762" s="74" t="n">
        <x:v>0.0012</x:v>
      </x:c>
      <x:c r="H1762" s="66" t="str">
        <x:v>祁腾蜂赢1号净值20260911.xlsx</x:v>
      </x:c>
      <x:c r="I1762" s="73" t="str">
        <x:f>""</x:f>
      </x:c>
      <x:c r="J1762" s="74" t="str">
        <x:f>""</x:f>
      </x:c>
      <x:c r="K1762" s="73" t="str">
        <x:f>""</x:f>
      </x:c>
      <x:c r="L1762" s="74" t="str">
        <x:f>""</x:f>
      </x:c>
      <x:c r="M1762" s="73" t="n">
        <x:f>MAX(M1761,F1762)</x:f>
        <x:v>1.0001</x:v>
      </x:c>
      <x:c r="N1762" s="74" t="n">
        <x:f>1-F1762/M1762</x:f>
        <x:v>0.006199380061993831</x:v>
      </x:c>
    </x:row>
    <x:row r="1763" ht="27" customHeight="1">
      <x:c r="A1763" s="66" t="str">
        <x:v>SEV580</x:v>
      </x:c>
      <x:c r="B1763" s="66" t="str">
        <x:v>祁腾蜂赢1号</x:v>
      </x:c>
      <x:c r="C1763" s="72" t="n">
        <x:v>43539</x:v>
      </x:c>
      <x:c r="D1763" s="73" t="n">
        <x:v>0.993</x:v>
      </x:c>
      <x:c r="E1763" s="73" t="n">
        <x:v>0.993</x:v>
      </x:c>
      <x:c r="F1763" s="73" t="n">
        <x:v>0.993</x:v>
      </x:c>
      <x:c r="G1763" s="74" t="n">
        <x:v>-0.0009</x:v>
      </x:c>
      <x:c r="H1763" s="66" t="str">
        <x:v>祁腾蜂赢1号净值20260911.xlsx</x:v>
      </x:c>
      <x:c r="I1763" s="73" t="str">
        <x:f>""</x:f>
      </x:c>
      <x:c r="J1763" s="74" t="str">
        <x:f>""</x:f>
      </x:c>
      <x:c r="K1763" s="73" t="str">
        <x:f>""</x:f>
      </x:c>
      <x:c r="L1763" s="74" t="str">
        <x:f>""</x:f>
      </x:c>
      <x:c r="M1763" s="73" t="n">
        <x:f>MAX(M1762,F1763)</x:f>
        <x:v>1.0001</x:v>
      </x:c>
      <x:c r="N1763" s="74" t="n">
        <x:f>1-F1763/M1763</x:f>
        <x:v>0.007099290070992859</x:v>
      </x:c>
    </x:row>
    <x:row r="1764" ht="27" customHeight="1">
      <x:c r="A1764" s="66" t="str">
        <x:v>SEV580</x:v>
      </x:c>
      <x:c r="B1764" s="66" t="str">
        <x:v>祁腾蜂赢1号</x:v>
      </x:c>
      <x:c r="C1764" s="72" t="n">
        <x:v>43542</x:v>
      </x:c>
      <x:c r="D1764" s="73" t="n">
        <x:v>0.9941</x:v>
      </x:c>
      <x:c r="E1764" s="73" t="n">
        <x:v>0.9941</x:v>
      </x:c>
      <x:c r="F1764" s="73" t="n">
        <x:v>0.9941</x:v>
      </x:c>
      <x:c r="G1764" s="74" t="n">
        <x:v>0.0011</x:v>
      </x:c>
      <x:c r="H1764" s="66" t="str">
        <x:v>祁腾蜂赢1号净值20260911.xlsx</x:v>
      </x:c>
      <x:c r="I1764" s="73" t="str">
        <x:f>""</x:f>
      </x:c>
      <x:c r="J1764" s="74" t="str">
        <x:f>""</x:f>
      </x:c>
      <x:c r="K1764" s="73" t="str">
        <x:f>""</x:f>
      </x:c>
      <x:c r="L1764" s="74" t="str">
        <x:f>""</x:f>
      </x:c>
      <x:c r="M1764" s="73" t="n">
        <x:f>MAX(M1763,F1764)</x:f>
        <x:v>1.0001</x:v>
      </x:c>
      <x:c r="N1764" s="74" t="n">
        <x:f>1-F1764/M1764</x:f>
        <x:v>0.005999400059993998</x:v>
      </x:c>
    </x:row>
    <x:row r="1765" ht="27" customHeight="1">
      <x:c r="A1765" s="66" t="str">
        <x:v>SEV580</x:v>
      </x:c>
      <x:c r="B1765" s="66" t="str">
        <x:v>祁腾蜂赢1号</x:v>
      </x:c>
      <x:c r="C1765" s="72" t="n">
        <x:v>43543</x:v>
      </x:c>
      <x:c r="D1765" s="73" t="n">
        <x:v>0.9947</x:v>
      </x:c>
      <x:c r="E1765" s="73" t="n">
        <x:v>0.9947</x:v>
      </x:c>
      <x:c r="F1765" s="73" t="n">
        <x:v>0.9947</x:v>
      </x:c>
      <x:c r="G1765" s="74" t="n">
        <x:v>0.0006</x:v>
      </x:c>
      <x:c r="H1765" s="66" t="str">
        <x:v>祁腾蜂赢1号净值20260911.xlsx</x:v>
      </x:c>
      <x:c r="I1765" s="73" t="str">
        <x:f>""</x:f>
      </x:c>
      <x:c r="J1765" s="74" t="str">
        <x:f>""</x:f>
      </x:c>
      <x:c r="K1765" s="73" t="str">
        <x:f>""</x:f>
      </x:c>
      <x:c r="L1765" s="74" t="str">
        <x:f>""</x:f>
      </x:c>
      <x:c r="M1765" s="73" t="n">
        <x:f>MAX(M1764,F1765)</x:f>
        <x:v>1.0001</x:v>
      </x:c>
      <x:c r="N1765" s="74" t="n">
        <x:f>1-F1765/M1765</x:f>
        <x:v>0.005399460053994609</x:v>
      </x:c>
    </x:row>
    <x:row r="1766" ht="27" customHeight="1">
      <x:c r="A1766" s="66" t="str">
        <x:v>SEV580</x:v>
      </x:c>
      <x:c r="B1766" s="66" t="str">
        <x:v>祁腾蜂赢1号</x:v>
      </x:c>
      <x:c r="C1766" s="72" t="n">
        <x:v>43544</x:v>
      </x:c>
      <x:c r="D1766" s="73" t="n">
        <x:v>0.9943</x:v>
      </x:c>
      <x:c r="E1766" s="73" t="n">
        <x:v>0.9943</x:v>
      </x:c>
      <x:c r="F1766" s="73" t="n">
        <x:v>0.9943</x:v>
      </x:c>
      <x:c r="G1766" s="74" t="n">
        <x:v>-0.0004</x:v>
      </x:c>
      <x:c r="H1766" s="66" t="str">
        <x:v>祁腾蜂赢1号净值20260911.xlsx</x:v>
      </x:c>
      <x:c r="I1766" s="73" t="str">
        <x:f>""</x:f>
      </x:c>
      <x:c r="J1766" s="74" t="str">
        <x:f>""</x:f>
      </x:c>
      <x:c r="K1766" s="73" t="str">
        <x:f>""</x:f>
      </x:c>
      <x:c r="L1766" s="74" t="str">
        <x:f>""</x:f>
      </x:c>
      <x:c r="M1766" s="73" t="n">
        <x:f>MAX(M1765,F1766)</x:f>
        <x:v>1.0001</x:v>
      </x:c>
      <x:c r="N1766" s="74" t="n">
        <x:f>1-F1766/M1766</x:f>
        <x:v>0.005799420057994276</x:v>
      </x:c>
    </x:row>
    <x:row r="1767" ht="27" customHeight="1">
      <x:c r="A1767" s="66" t="str">
        <x:v>SEV580</x:v>
      </x:c>
      <x:c r="B1767" s="66" t="str">
        <x:v>祁腾蜂赢1号</x:v>
      </x:c>
      <x:c r="C1767" s="72" t="n">
        <x:v>43545</x:v>
      </x:c>
      <x:c r="D1767" s="73" t="n">
        <x:v>0.9958</x:v>
      </x:c>
      <x:c r="E1767" s="73" t="n">
        <x:v>0.9958</x:v>
      </x:c>
      <x:c r="F1767" s="73" t="n">
        <x:v>0.9958</x:v>
      </x:c>
      <x:c r="G1767" s="74" t="n">
        <x:v>0.0015</x:v>
      </x:c>
      <x:c r="H1767" s="66" t="str">
        <x:v>祁腾蜂赢1号净值20260911.xlsx</x:v>
      </x:c>
      <x:c r="I1767" s="73" t="str">
        <x:f>""</x:f>
      </x:c>
      <x:c r="J1767" s="74" t="str">
        <x:f>""</x:f>
      </x:c>
      <x:c r="K1767" s="73" t="str">
        <x:f>""</x:f>
      </x:c>
      <x:c r="L1767" s="74" t="str">
        <x:f>""</x:f>
      </x:c>
      <x:c r="M1767" s="73" t="n">
        <x:f>MAX(M1766,F1767)</x:f>
        <x:v>1.0001</x:v>
      </x:c>
      <x:c r="N1767" s="74" t="n">
        <x:f>1-F1767/M1767</x:f>
        <x:v>0.004299570042995637</x:v>
      </x:c>
    </x:row>
    <x:row r="1768" ht="27" customHeight="1">
      <x:c r="A1768" s="66" t="str">
        <x:v>SEV580</x:v>
      </x:c>
      <x:c r="B1768" s="66" t="str">
        <x:v>祁腾蜂赢1号</x:v>
      </x:c>
      <x:c r="C1768" s="72" t="n">
        <x:v>43546</x:v>
      </x:c>
      <x:c r="D1768" s="73" t="n">
        <x:v>0.9958</x:v>
      </x:c>
      <x:c r="E1768" s="73" t="n">
        <x:v>0.9958</x:v>
      </x:c>
      <x:c r="F1768" s="73" t="n">
        <x:v>0.9958</x:v>
      </x:c>
      <x:c r="G1768" s="74" t="n">
        <x:v>0</x:v>
      </x:c>
      <x:c r="H1768" s="66" t="str">
        <x:v>祁腾蜂赢1号净值20260911.xlsx</x:v>
      </x:c>
      <x:c r="I1768" s="73" t="str">
        <x:f>""</x:f>
      </x:c>
      <x:c r="J1768" s="74" t="str">
        <x:f>""</x:f>
      </x:c>
      <x:c r="K1768" s="73" t="str">
        <x:f>""</x:f>
      </x:c>
      <x:c r="L1768" s="74" t="str">
        <x:f>""</x:f>
      </x:c>
      <x:c r="M1768" s="73" t="n">
        <x:f>MAX(M1767,F1768)</x:f>
        <x:v>1.0001</x:v>
      </x:c>
      <x:c r="N1768" s="74" t="n">
        <x:f>1-F1768/M1768</x:f>
        <x:v>0.004299570042995637</x:v>
      </x:c>
    </x:row>
    <x:row r="1769" ht="27" customHeight="1">
      <x:c r="A1769" s="66" t="str">
        <x:v>SEV580</x:v>
      </x:c>
      <x:c r="B1769" s="66" t="str">
        <x:v>祁腾蜂赢1号</x:v>
      </x:c>
      <x:c r="C1769" s="72" t="n">
        <x:v>43549</x:v>
      </x:c>
      <x:c r="D1769" s="73" t="n">
        <x:v>0.9974</x:v>
      </x:c>
      <x:c r="E1769" s="73" t="n">
        <x:v>0.9974</x:v>
      </x:c>
      <x:c r="F1769" s="73" t="n">
        <x:v>0.9974</x:v>
      </x:c>
      <x:c r="G1769" s="74" t="n">
        <x:v>0.0016</x:v>
      </x:c>
      <x:c r="H1769" s="66" t="str">
        <x:v>祁腾蜂赢1号净值20260911.xlsx</x:v>
      </x:c>
      <x:c r="I1769" s="73" t="str">
        <x:f>""</x:f>
      </x:c>
      <x:c r="J1769" s="74" t="str">
        <x:f>""</x:f>
      </x:c>
      <x:c r="K1769" s="73" t="str">
        <x:f>""</x:f>
      </x:c>
      <x:c r="L1769" s="74" t="str">
        <x:f>""</x:f>
      </x:c>
      <x:c r="M1769" s="73" t="n">
        <x:f>MAX(M1768,F1769)</x:f>
        <x:v>1.0001</x:v>
      </x:c>
      <x:c r="N1769" s="74" t="n">
        <x:f>1-F1769/M1769</x:f>
        <x:v>0.0026997300269973046</x:v>
      </x:c>
    </x:row>
    <x:row r="1770" ht="27" customHeight="1">
      <x:c r="A1770" s="66" t="str">
        <x:v>SEV580</x:v>
      </x:c>
      <x:c r="B1770" s="66" t="str">
        <x:v>祁腾蜂赢1号</x:v>
      </x:c>
      <x:c r="C1770" s="72" t="n">
        <x:v>43550</x:v>
      </x:c>
      <x:c r="D1770" s="73" t="n">
        <x:v>0.9969</x:v>
      </x:c>
      <x:c r="E1770" s="73" t="n">
        <x:v>0.9969</x:v>
      </x:c>
      <x:c r="F1770" s="73" t="n">
        <x:v>0.9969</x:v>
      </x:c>
      <x:c r="G1770" s="74" t="n">
        <x:v>-0.0005</x:v>
      </x:c>
      <x:c r="H1770" s="66" t="str">
        <x:v>祁腾蜂赢1号净值20260911.xlsx</x:v>
      </x:c>
      <x:c r="I1770" s="73" t="str">
        <x:f>""</x:f>
      </x:c>
      <x:c r="J1770" s="74" t="str">
        <x:f>""</x:f>
      </x:c>
      <x:c r="K1770" s="73" t="str">
        <x:f>""</x:f>
      </x:c>
      <x:c r="L1770" s="74" t="str">
        <x:f>""</x:f>
      </x:c>
      <x:c r="M1770" s="73" t="n">
        <x:f>MAX(M1769,F1770)</x:f>
        <x:v>1.0001</x:v>
      </x:c>
      <x:c r="N1770" s="74" t="n">
        <x:f>1-F1770/M1770</x:f>
        <x:v>0.0031996800319967766</x:v>
      </x:c>
    </x:row>
    <x:row r="1771" ht="27" customHeight="1">
      <x:c r="A1771" s="66" t="str">
        <x:v>SEV580</x:v>
      </x:c>
      <x:c r="B1771" s="66" t="str">
        <x:v>祁腾蜂赢1号</x:v>
      </x:c>
      <x:c r="C1771" s="72" t="n">
        <x:v>43551</x:v>
      </x:c>
      <x:c r="D1771" s="73" t="n">
        <x:v>1.0035</x:v>
      </x:c>
      <x:c r="E1771" s="73" t="n">
        <x:v>1.0035</x:v>
      </x:c>
      <x:c r="F1771" s="73" t="n">
        <x:v>1.0035</x:v>
      </x:c>
      <x:c r="G1771" s="74" t="n">
        <x:v>0.0066</x:v>
      </x:c>
      <x:c r="H1771" s="66" t="str">
        <x:v>祁腾蜂赢1号净值20260911.xlsx</x:v>
      </x:c>
      <x:c r="I1771" s="73" t="str">
        <x:f>""</x:f>
      </x:c>
      <x:c r="J1771" s="74" t="str">
        <x:f>""</x:f>
      </x:c>
      <x:c r="K1771" s="73" t="str">
        <x:f>""</x:f>
      </x:c>
      <x:c r="L1771" s="74" t="str">
        <x:f>""</x:f>
      </x:c>
      <x:c r="M1771" s="73" t="n">
        <x:f>MAX(M1770,F1771)</x:f>
        <x:v>1.0035</x:v>
      </x:c>
      <x:c r="N1771" s="74" t="n">
        <x:f>1-F1771/M1771</x:f>
        <x:v>0</x:v>
      </x:c>
    </x:row>
    <x:row r="1772" ht="27" customHeight="1">
      <x:c r="A1772" s="66" t="str">
        <x:v>SEV580</x:v>
      </x:c>
      <x:c r="B1772" s="66" t="str">
        <x:v>祁腾蜂赢1号</x:v>
      </x:c>
      <x:c r="C1772" s="72" t="n">
        <x:v>43552</x:v>
      </x:c>
      <x:c r="D1772" s="73" t="n">
        <x:v>1.0045</x:v>
      </x:c>
      <x:c r="E1772" s="73" t="n">
        <x:v>1.0045</x:v>
      </x:c>
      <x:c r="F1772" s="73" t="n">
        <x:v>1.0045</x:v>
      </x:c>
      <x:c r="G1772" s="74" t="n">
        <x:v>0.001</x:v>
      </x:c>
      <x:c r="H1772" s="66" t="str">
        <x:v>祁腾蜂赢1号净值20260911.xlsx</x:v>
      </x:c>
      <x:c r="I1772" s="73" t="str">
        <x:f>""</x:f>
      </x:c>
      <x:c r="J1772" s="74" t="str">
        <x:f>""</x:f>
      </x:c>
      <x:c r="K1772" s="73" t="str">
        <x:f>""</x:f>
      </x:c>
      <x:c r="L1772" s="74" t="str">
        <x:f>""</x:f>
      </x:c>
      <x:c r="M1772" s="73" t="n">
        <x:f>MAX(M1771,F1772)</x:f>
        <x:v>1.0045</x:v>
      </x:c>
      <x:c r="N1772" s="74" t="n">
        <x:f>1-F1772/M1772</x:f>
        <x:v>0</x:v>
      </x:c>
    </x:row>
    <x:row r="1773" ht="27" customHeight="1">
      <x:c r="A1773" s="66" t="str">
        <x:v>SEV580</x:v>
      </x:c>
      <x:c r="B1773" s="66" t="str">
        <x:v>祁腾蜂赢1号</x:v>
      </x:c>
      <x:c r="C1773" s="72" t="n">
        <x:v>43553</x:v>
      </x:c>
      <x:c r="D1773" s="73" t="n">
        <x:v>1.0059</x:v>
      </x:c>
      <x:c r="E1773" s="73" t="n">
        <x:v>1.0059</x:v>
      </x:c>
      <x:c r="F1773" s="73" t="n">
        <x:v>1.0059</x:v>
      </x:c>
      <x:c r="G1773" s="74" t="n">
        <x:v>0.0014000000000000002</x:v>
      </x:c>
      <x:c r="H1773" s="66" t="str">
        <x:v>祁腾蜂赢1号净值20260911.xlsx</x:v>
      </x:c>
      <x:c r="I1773" s="73" t="str">
        <x:f>""</x:f>
      </x:c>
      <x:c r="J1773" s="74" t="str">
        <x:f>""</x:f>
      </x:c>
      <x:c r="K1773" s="73" t="str">
        <x:f>""</x:f>
      </x:c>
      <x:c r="L1773" s="74" t="str">
        <x:f>""</x:f>
      </x:c>
      <x:c r="M1773" s="73" t="n">
        <x:f>MAX(M1772,F1773)</x:f>
        <x:v>1.0059</x:v>
      </x:c>
      <x:c r="N1773" s="74" t="n">
        <x:f>1-F1773/M1773</x:f>
        <x:v>0</x:v>
      </x:c>
    </x:row>
    <x:row r="1774" ht="27" customHeight="1">
      <x:c r="A1774" s="66" t="str">
        <x:v>SEV580</x:v>
      </x:c>
      <x:c r="B1774" s="66" t="str">
        <x:v>祁腾蜂赢1号</x:v>
      </x:c>
      <x:c r="C1774" s="72" t="n">
        <x:v>43556</x:v>
      </x:c>
      <x:c r="D1774" s="73" t="n">
        <x:v>1.007</x:v>
      </x:c>
      <x:c r="E1774" s="73" t="n">
        <x:v>1.007</x:v>
      </x:c>
      <x:c r="F1774" s="73" t="n">
        <x:v>1.007</x:v>
      </x:c>
      <x:c r="G1774" s="74" t="n">
        <x:v>0.0011</x:v>
      </x:c>
      <x:c r="H1774" s="66" t="str">
        <x:v>祁腾蜂赢1号净值20260911.xlsx</x:v>
      </x:c>
      <x:c r="I1774" s="73" t="str">
        <x:f>""</x:f>
      </x:c>
      <x:c r="J1774" s="74" t="str">
        <x:f>""</x:f>
      </x:c>
      <x:c r="K1774" s="73" t="str">
        <x:f>""</x:f>
      </x:c>
      <x:c r="L1774" s="74" t="str">
        <x:f>""</x:f>
      </x:c>
      <x:c r="M1774" s="73" t="n">
        <x:f>MAX(M1773,F1774)</x:f>
        <x:v>1.007</x:v>
      </x:c>
      <x:c r="N1774" s="74" t="n">
        <x:f>1-F1774/M1774</x:f>
        <x:v>0</x:v>
      </x:c>
    </x:row>
    <x:row r="1775" ht="27" customHeight="1">
      <x:c r="A1775" s="66" t="str">
        <x:v>SEV580</x:v>
      </x:c>
      <x:c r="B1775" s="66" t="str">
        <x:v>祁腾蜂赢1号</x:v>
      </x:c>
      <x:c r="C1775" s="72" t="n">
        <x:v>43557</x:v>
      </x:c>
      <x:c r="D1775" s="73" t="n">
        <x:v>1.0074</x:v>
      </x:c>
      <x:c r="E1775" s="73" t="n">
        <x:v>1.0074</x:v>
      </x:c>
      <x:c r="F1775" s="73" t="n">
        <x:v>1.0074</x:v>
      </x:c>
      <x:c r="G1775" s="74" t="n">
        <x:v>0.0004</x:v>
      </x:c>
      <x:c r="H1775" s="66" t="str">
        <x:v>祁腾蜂赢1号净值20260911.xlsx</x:v>
      </x:c>
      <x:c r="I1775" s="73" t="str">
        <x:f>""</x:f>
      </x:c>
      <x:c r="J1775" s="74" t="str">
        <x:f>""</x:f>
      </x:c>
      <x:c r="K1775" s="73" t="str">
        <x:f>""</x:f>
      </x:c>
      <x:c r="L1775" s="74" t="str">
        <x:f>""</x:f>
      </x:c>
      <x:c r="M1775" s="73" t="n">
        <x:f>MAX(M1774,F1775)</x:f>
        <x:v>1.0074</x:v>
      </x:c>
      <x:c r="N1775" s="74" t="n">
        <x:f>1-F1775/M1775</x:f>
        <x:v>0</x:v>
      </x:c>
    </x:row>
    <x:row r="1776" ht="27" customHeight="1">
      <x:c r="A1776" s="66" t="str">
        <x:v>SEV580</x:v>
      </x:c>
      <x:c r="B1776" s="66" t="str">
        <x:v>祁腾蜂赢1号</x:v>
      </x:c>
      <x:c r="C1776" s="72" t="n">
        <x:v>43558</x:v>
      </x:c>
      <x:c r="D1776" s="73" t="n">
        <x:v>1.0094</x:v>
      </x:c>
      <x:c r="E1776" s="73" t="n">
        <x:v>1.0094</x:v>
      </x:c>
      <x:c r="F1776" s="73" t="n">
        <x:v>1.0094</x:v>
      </x:c>
      <x:c r="G1776" s="74" t="n">
        <x:v>0.002</x:v>
      </x:c>
      <x:c r="H1776" s="66" t="str">
        <x:v>祁腾蜂赢1号净值20260911.xlsx</x:v>
      </x:c>
      <x:c r="I1776" s="73" t="str">
        <x:f>""</x:f>
      </x:c>
      <x:c r="J1776" s="74" t="str">
        <x:f>""</x:f>
      </x:c>
      <x:c r="K1776" s="73" t="str">
        <x:f>""</x:f>
      </x:c>
      <x:c r="L1776" s="74" t="str">
        <x:f>""</x:f>
      </x:c>
      <x:c r="M1776" s="73" t="n">
        <x:f>MAX(M1775,F1776)</x:f>
        <x:v>1.0094</x:v>
      </x:c>
      <x:c r="N1776" s="74" t="n">
        <x:f>1-F1776/M1776</x:f>
        <x:v>0</x:v>
      </x:c>
    </x:row>
    <x:row r="1777" ht="27" customHeight="1">
      <x:c r="A1777" s="66" t="str">
        <x:v>SEV580</x:v>
      </x:c>
      <x:c r="B1777" s="66" t="str">
        <x:v>祁腾蜂赢1号</x:v>
      </x:c>
      <x:c r="C1777" s="72" t="n">
        <x:v>43559</x:v>
      </x:c>
      <x:c r="D1777" s="73" t="n">
        <x:v>1.01</x:v>
      </x:c>
      <x:c r="E1777" s="73" t="n">
        <x:v>1.01</x:v>
      </x:c>
      <x:c r="F1777" s="73" t="n">
        <x:v>1.01</x:v>
      </x:c>
      <x:c r="G1777" s="74" t="n">
        <x:v>0.0006</x:v>
      </x:c>
      <x:c r="H1777" s="66" t="str">
        <x:v>祁腾蜂赢1号净值20260911.xlsx</x:v>
      </x:c>
      <x:c r="I1777" s="73" t="str">
        <x:f>""</x:f>
      </x:c>
      <x:c r="J1777" s="74" t="str">
        <x:f>""</x:f>
      </x:c>
      <x:c r="K1777" s="73" t="str">
        <x:f>""</x:f>
      </x:c>
      <x:c r="L1777" s="74" t="str">
        <x:f>""</x:f>
      </x:c>
      <x:c r="M1777" s="73" t="n">
        <x:f>MAX(M1776,F1777)</x:f>
        <x:v>1.01</x:v>
      </x:c>
      <x:c r="N1777" s="74" t="n">
        <x:f>1-F1777/M1777</x:f>
        <x:v>0</x:v>
      </x:c>
    </x:row>
    <x:row r="1778" ht="27" customHeight="1">
      <x:c r="A1778" s="66" t="str">
        <x:v>SEV580</x:v>
      </x:c>
      <x:c r="B1778" s="66" t="str">
        <x:v>祁腾蜂赢1号</x:v>
      </x:c>
      <x:c r="C1778" s="72" t="n">
        <x:v>43563</x:v>
      </x:c>
      <x:c r="D1778" s="73" t="n">
        <x:v>1.0114</x:v>
      </x:c>
      <x:c r="E1778" s="73" t="n">
        <x:v>1.0114</x:v>
      </x:c>
      <x:c r="F1778" s="73" t="n">
        <x:v>1.0114</x:v>
      </x:c>
      <x:c r="G1778" s="74" t="n">
        <x:v>0.0014000000000000002</x:v>
      </x:c>
      <x:c r="H1778" s="66" t="str">
        <x:v>祁腾蜂赢1号净值20260911.xlsx</x:v>
      </x:c>
      <x:c r="I1778" s="73" t="str">
        <x:f>""</x:f>
      </x:c>
      <x:c r="J1778" s="74" t="str">
        <x:f>""</x:f>
      </x:c>
      <x:c r="K1778" s="73" t="str">
        <x:f>""</x:f>
      </x:c>
      <x:c r="L1778" s="74" t="str">
        <x:f>""</x:f>
      </x:c>
      <x:c r="M1778" s="73" t="n">
        <x:f>MAX(M1777,F1778)</x:f>
        <x:v>1.0114</x:v>
      </x:c>
      <x:c r="N1778" s="74" t="n">
        <x:f>1-F1778/M1778</x:f>
        <x:v>0</x:v>
      </x:c>
    </x:row>
    <x:row r="1779" ht="27" customHeight="1">
      <x:c r="A1779" s="66" t="str">
        <x:v>SEV580</x:v>
      </x:c>
      <x:c r="B1779" s="66" t="str">
        <x:v>祁腾蜂赢1号</x:v>
      </x:c>
      <x:c r="C1779" s="72" t="n">
        <x:v>43564</x:v>
      </x:c>
      <x:c r="D1779" s="73" t="n">
        <x:v>1.0111</x:v>
      </x:c>
      <x:c r="E1779" s="73" t="n">
        <x:v>1.0111</x:v>
      </x:c>
      <x:c r="F1779" s="73" t="n">
        <x:v>1.0111</x:v>
      </x:c>
      <x:c r="G1779" s="74" t="n">
        <x:v>-0.0003</x:v>
      </x:c>
      <x:c r="H1779" s="66" t="str">
        <x:v>祁腾蜂赢1号净值20260911.xlsx</x:v>
      </x:c>
      <x:c r="I1779" s="73" t="str">
        <x:f>""</x:f>
      </x:c>
      <x:c r="J1779" s="74" t="str">
        <x:f>""</x:f>
      </x:c>
      <x:c r="K1779" s="73" t="str">
        <x:f>""</x:f>
      </x:c>
      <x:c r="L1779" s="74" t="str">
        <x:f>""</x:f>
      </x:c>
      <x:c r="M1779" s="73" t="n">
        <x:f>MAX(M1778,F1779)</x:f>
        <x:v>1.0114</x:v>
      </x:c>
      <x:c r="N1779" s="74" t="n">
        <x:f>1-F1779/M1779</x:f>
        <x:v>0.0002966185485465678</x:v>
      </x:c>
    </x:row>
    <x:row r="1780" ht="27" customHeight="1">
      <x:c r="A1780" s="66" t="str">
        <x:v>SEV580</x:v>
      </x:c>
      <x:c r="B1780" s="66" t="str">
        <x:v>祁腾蜂赢1号</x:v>
      </x:c>
      <x:c r="C1780" s="72" t="n">
        <x:v>43565</x:v>
      </x:c>
      <x:c r="D1780" s="73" t="n">
        <x:v>1.0112</x:v>
      </x:c>
      <x:c r="E1780" s="73" t="n">
        <x:v>1.0112</x:v>
      </x:c>
      <x:c r="F1780" s="73" t="n">
        <x:v>1.0112</x:v>
      </x:c>
      <x:c r="G1780" s="74" t="n">
        <x:v>0.0001</x:v>
      </x:c>
      <x:c r="H1780" s="66" t="str">
        <x:v>祁腾蜂赢1号净值20260911.xlsx</x:v>
      </x:c>
      <x:c r="I1780" s="73" t="str">
        <x:f>""</x:f>
      </x:c>
      <x:c r="J1780" s="74" t="str">
        <x:f>""</x:f>
      </x:c>
      <x:c r="K1780" s="73" t="str">
        <x:f>""</x:f>
      </x:c>
      <x:c r="L1780" s="74" t="str">
        <x:f>""</x:f>
      </x:c>
      <x:c r="M1780" s="73" t="n">
        <x:f>MAX(M1779,F1780)</x:f>
        <x:v>1.0114</x:v>
      </x:c>
      <x:c r="N1780" s="74" t="n">
        <x:f>1-F1780/M1780</x:f>
        <x:v>0.00019774569903097117</x:v>
      </x:c>
    </x:row>
    <x:row r="1781" ht="27" customHeight="1">
      <x:c r="A1781" s="66" t="str">
        <x:v>SEV580</x:v>
      </x:c>
      <x:c r="B1781" s="66" t="str">
        <x:v>祁腾蜂赢1号</x:v>
      </x:c>
      <x:c r="C1781" s="72" t="n">
        <x:v>43566</x:v>
      </x:c>
      <x:c r="D1781" s="73" t="n">
        <x:v>1.012</x:v>
      </x:c>
      <x:c r="E1781" s="73" t="n">
        <x:v>1.012</x:v>
      </x:c>
      <x:c r="F1781" s="73" t="n">
        <x:v>1.012</x:v>
      </x:c>
      <x:c r="G1781" s="74" t="n">
        <x:v>0.0008</x:v>
      </x:c>
      <x:c r="H1781" s="66" t="str">
        <x:v>祁腾蜂赢1号净值20260911.xlsx</x:v>
      </x:c>
      <x:c r="I1781" s="73" t="str">
        <x:f>""</x:f>
      </x:c>
      <x:c r="J1781" s="74" t="str">
        <x:f>""</x:f>
      </x:c>
      <x:c r="K1781" s="73" t="str">
        <x:f>""</x:f>
      </x:c>
      <x:c r="L1781" s="74" t="str">
        <x:f>""</x:f>
      </x:c>
      <x:c r="M1781" s="73" t="n">
        <x:f>MAX(M1780,F1781)</x:f>
        <x:v>1.012</x:v>
      </x:c>
      <x:c r="N1781" s="74" t="n">
        <x:f>1-F1781/M1781</x:f>
        <x:v>0</x:v>
      </x:c>
    </x:row>
    <x:row r="1782" ht="27" customHeight="1">
      <x:c r="A1782" s="66" t="str">
        <x:v>SEV580</x:v>
      </x:c>
      <x:c r="B1782" s="66" t="str">
        <x:v>祁腾蜂赢1号</x:v>
      </x:c>
      <x:c r="C1782" s="72" t="n">
        <x:v>43567</x:v>
      </x:c>
      <x:c r="D1782" s="73" t="n">
        <x:v>1.0135</x:v>
      </x:c>
      <x:c r="E1782" s="73" t="n">
        <x:v>1.0135</x:v>
      </x:c>
      <x:c r="F1782" s="73" t="n">
        <x:v>1.0135</x:v>
      </x:c>
      <x:c r="G1782" s="74" t="n">
        <x:v>0.0015</x:v>
      </x:c>
      <x:c r="H1782" s="66" t="str">
        <x:v>祁腾蜂赢1号净值20260911.xlsx</x:v>
      </x:c>
      <x:c r="I1782" s="73" t="str">
        <x:f>""</x:f>
      </x:c>
      <x:c r="J1782" s="74" t="str">
        <x:f>""</x:f>
      </x:c>
      <x:c r="K1782" s="73" t="str">
        <x:f>""</x:f>
      </x:c>
      <x:c r="L1782" s="74" t="str">
        <x:f>""</x:f>
      </x:c>
      <x:c r="M1782" s="73" t="n">
        <x:f>MAX(M1781,F1782)</x:f>
        <x:v>1.0135</x:v>
      </x:c>
      <x:c r="N1782" s="74" t="n">
        <x:f>1-F1782/M1782</x:f>
        <x:v>0</x:v>
      </x:c>
    </x:row>
    <x:row r="1783" ht="27" customHeight="1">
      <x:c r="A1783" s="66" t="str">
        <x:v>SEV580</x:v>
      </x:c>
      <x:c r="B1783" s="66" t="str">
        <x:v>祁腾蜂赢1号</x:v>
      </x:c>
      <x:c r="C1783" s="72" t="n">
        <x:v>43570</x:v>
      </x:c>
      <x:c r="D1783" s="73" t="n">
        <x:v>1.0138</x:v>
      </x:c>
      <x:c r="E1783" s="73" t="n">
        <x:v>1.0138</x:v>
      </x:c>
      <x:c r="F1783" s="73" t="n">
        <x:v>1.0138</x:v>
      </x:c>
      <x:c r="G1783" s="74" t="n">
        <x:v>0.0003</x:v>
      </x:c>
      <x:c r="H1783" s="66" t="str">
        <x:v>祁腾蜂赢1号净值20260911.xlsx</x:v>
      </x:c>
      <x:c r="I1783" s="73" t="str">
        <x:f>""</x:f>
      </x:c>
      <x:c r="J1783" s="74" t="str">
        <x:f>""</x:f>
      </x:c>
      <x:c r="K1783" s="73" t="str">
        <x:f>""</x:f>
      </x:c>
      <x:c r="L1783" s="74" t="str">
        <x:f>""</x:f>
      </x:c>
      <x:c r="M1783" s="73" t="n">
        <x:f>MAX(M1782,F1783)</x:f>
        <x:v>1.0138</x:v>
      </x:c>
      <x:c r="N1783" s="74" t="n">
        <x:f>1-F1783/M1783</x:f>
        <x:v>0</x:v>
      </x:c>
    </x:row>
    <x:row r="1784" ht="27" customHeight="1">
      <x:c r="A1784" s="66" t="str">
        <x:v>SEV580</x:v>
      </x:c>
      <x:c r="B1784" s="66" t="str">
        <x:v>祁腾蜂赢1号</x:v>
      </x:c>
      <x:c r="C1784" s="72" t="n">
        <x:v>43571</x:v>
      </x:c>
      <x:c r="D1784" s="73" t="n">
        <x:v>1.0125</x:v>
      </x:c>
      <x:c r="E1784" s="73" t="n">
        <x:v>1.0125</x:v>
      </x:c>
      <x:c r="F1784" s="73" t="n">
        <x:v>1.0125</x:v>
      </x:c>
      <x:c r="G1784" s="74" t="n">
        <x:v>-0.0013</x:v>
      </x:c>
      <x:c r="H1784" s="66" t="str">
        <x:v>祁腾蜂赢1号净值20260911.xlsx</x:v>
      </x:c>
      <x:c r="I1784" s="73" t="str">
        <x:f>""</x:f>
      </x:c>
      <x:c r="J1784" s="74" t="str">
        <x:f>""</x:f>
      </x:c>
      <x:c r="K1784" s="73" t="str">
        <x:f>""</x:f>
      </x:c>
      <x:c r="L1784" s="74" t="str">
        <x:f>""</x:f>
      </x:c>
      <x:c r="M1784" s="73" t="n">
        <x:f>MAX(M1783,F1784)</x:f>
        <x:v>1.0138</x:v>
      </x:c>
      <x:c r="N1784" s="74" t="n">
        <x:f>1-F1784/M1784</x:f>
        <x:v>0.0012823042020123632</x:v>
      </x:c>
    </x:row>
    <x:row r="1785" ht="27" customHeight="1">
      <x:c r="A1785" s="66" t="str">
        <x:v>SEV580</x:v>
      </x:c>
      <x:c r="B1785" s="66" t="str">
        <x:v>祁腾蜂赢1号</x:v>
      </x:c>
      <x:c r="C1785" s="72" t="n">
        <x:v>43572</x:v>
      </x:c>
      <x:c r="D1785" s="73" t="n">
        <x:v>1.0122</x:v>
      </x:c>
      <x:c r="E1785" s="73" t="n">
        <x:v>1.0122</x:v>
      </x:c>
      <x:c r="F1785" s="73" t="n">
        <x:v>1.0122</x:v>
      </x:c>
      <x:c r="G1785" s="74" t="n">
        <x:v>-0.0003</x:v>
      </x:c>
      <x:c r="H1785" s="66" t="str">
        <x:v>祁腾蜂赢1号净值20260911.xlsx</x:v>
      </x:c>
      <x:c r="I1785" s="73" t="str">
        <x:f>""</x:f>
      </x:c>
      <x:c r="J1785" s="74" t="str">
        <x:f>""</x:f>
      </x:c>
      <x:c r="K1785" s="73" t="str">
        <x:f>""</x:f>
      </x:c>
      <x:c r="L1785" s="74" t="str">
        <x:f>""</x:f>
      </x:c>
      <x:c r="M1785" s="73" t="n">
        <x:f>MAX(M1784,F1785)</x:f>
        <x:v>1.0138</x:v>
      </x:c>
      <x:c r="N1785" s="74" t="n">
        <x:f>1-F1785/M1785</x:f>
        <x:v>0.0015782205563228402</x:v>
      </x:c>
    </x:row>
    <x:row r="1786" ht="27" customHeight="1">
      <x:c r="A1786" s="66" t="str">
        <x:v>SEV580</x:v>
      </x:c>
      <x:c r="B1786" s="66" t="str">
        <x:v>祁腾蜂赢1号</x:v>
      </x:c>
      <x:c r="C1786" s="72" t="n">
        <x:v>43573</x:v>
      </x:c>
      <x:c r="D1786" s="73" t="n">
        <x:v>1.0136</x:v>
      </x:c>
      <x:c r="E1786" s="73" t="n">
        <x:v>1.0136</x:v>
      </x:c>
      <x:c r="F1786" s="73" t="n">
        <x:v>1.0136</x:v>
      </x:c>
      <x:c r="G1786" s="74" t="n">
        <x:v>0.0014000000000000002</x:v>
      </x:c>
      <x:c r="H1786" s="66" t="str">
        <x:v>祁腾蜂赢1号净值20260911.xlsx</x:v>
      </x:c>
      <x:c r="I1786" s="73" t="str">
        <x:f>""</x:f>
      </x:c>
      <x:c r="J1786" s="74" t="str">
        <x:f>""</x:f>
      </x:c>
      <x:c r="K1786" s="73" t="str">
        <x:f>""</x:f>
      </x:c>
      <x:c r="L1786" s="74" t="str">
        <x:f>""</x:f>
      </x:c>
      <x:c r="M1786" s="73" t="n">
        <x:f>MAX(M1785,F1786)</x:f>
        <x:v>1.0138</x:v>
      </x:c>
      <x:c r="N1786" s="74" t="n">
        <x:f>1-F1786/M1786</x:f>
        <x:v>0.00019727756954035502</x:v>
      </x:c>
    </x:row>
    <x:row r="1787" ht="27" customHeight="1">
      <x:c r="A1787" s="66" t="str">
        <x:v>SEV580</x:v>
      </x:c>
      <x:c r="B1787" s="66" t="str">
        <x:v>祁腾蜂赢1号</x:v>
      </x:c>
      <x:c r="C1787" s="72" t="n">
        <x:v>43574</x:v>
      </x:c>
      <x:c r="D1787" s="73" t="n">
        <x:v>1.0134</x:v>
      </x:c>
      <x:c r="E1787" s="73" t="n">
        <x:v>1.0134</x:v>
      </x:c>
      <x:c r="F1787" s="73" t="n">
        <x:v>1.0134</x:v>
      </x:c>
      <x:c r="G1787" s="74" t="n">
        <x:v>-0.0002</x:v>
      </x:c>
      <x:c r="H1787" s="66" t="str">
        <x:v>祁腾蜂赢1号净值20260911.xlsx</x:v>
      </x:c>
      <x:c r="I1787" s="73" t="str">
        <x:f>""</x:f>
      </x:c>
      <x:c r="J1787" s="74" t="str">
        <x:f>""</x:f>
      </x:c>
      <x:c r="K1787" s="73" t="str">
        <x:f>""</x:f>
      </x:c>
      <x:c r="L1787" s="74" t="str">
        <x:f>""</x:f>
      </x:c>
      <x:c r="M1787" s="73" t="n">
        <x:f>MAX(M1786,F1787)</x:f>
        <x:v>1.0138</x:v>
      </x:c>
      <x:c r="N1787" s="74" t="n">
        <x:f>1-F1787/M1787</x:f>
        <x:v>0.000394555139080599</x:v>
      </x:c>
    </x:row>
    <x:row r="1788" ht="27" customHeight="1">
      <x:c r="A1788" s="66" t="str">
        <x:v>SEV580</x:v>
      </x:c>
      <x:c r="B1788" s="66" t="str">
        <x:v>祁腾蜂赢1号</x:v>
      </x:c>
      <x:c r="C1788" s="72" t="n">
        <x:v>43577</x:v>
      </x:c>
      <x:c r="D1788" s="73" t="n">
        <x:v>1.0134</x:v>
      </x:c>
      <x:c r="E1788" s="73" t="n">
        <x:v>1.0134</x:v>
      </x:c>
      <x:c r="F1788" s="73" t="n">
        <x:v>1.0134</x:v>
      </x:c>
      <x:c r="G1788" s="74" t="n">
        <x:v>0</x:v>
      </x:c>
      <x:c r="H1788" s="66" t="str">
        <x:v>祁腾蜂赢1号净值20260911.xlsx</x:v>
      </x:c>
      <x:c r="I1788" s="73" t="str">
        <x:f>""</x:f>
      </x:c>
      <x:c r="J1788" s="74" t="str">
        <x:f>""</x:f>
      </x:c>
      <x:c r="K1788" s="73" t="str">
        <x:f>""</x:f>
      </x:c>
      <x:c r="L1788" s="74" t="str">
        <x:f>""</x:f>
      </x:c>
      <x:c r="M1788" s="73" t="n">
        <x:f>MAX(M1787,F1788)</x:f>
        <x:v>1.0138</x:v>
      </x:c>
      <x:c r="N1788" s="74" t="n">
        <x:f>1-F1788/M1788</x:f>
        <x:v>0.000394555139080599</x:v>
      </x:c>
    </x:row>
    <x:row r="1789" ht="27" customHeight="1">
      <x:c r="A1789" s="66" t="str">
        <x:v>SEV580</x:v>
      </x:c>
      <x:c r="B1789" s="66" t="str">
        <x:v>祁腾蜂赢1号</x:v>
      </x:c>
      <x:c r="C1789" s="72" t="n">
        <x:v>43578</x:v>
      </x:c>
      <x:c r="D1789" s="73" t="n">
        <x:v>1.0141</x:v>
      </x:c>
      <x:c r="E1789" s="73" t="n">
        <x:v>1.0141</x:v>
      </x:c>
      <x:c r="F1789" s="73" t="n">
        <x:v>1.0141</x:v>
      </x:c>
      <x:c r="G1789" s="74" t="n">
        <x:v>0.0007000000000000001</x:v>
      </x:c>
      <x:c r="H1789" s="66" t="str">
        <x:v>祁腾蜂赢1号净值20260911.xlsx</x:v>
      </x:c>
      <x:c r="I1789" s="73" t="str">
        <x:f>""</x:f>
      </x:c>
      <x:c r="J1789" s="74" t="str">
        <x:f>""</x:f>
      </x:c>
      <x:c r="K1789" s="73" t="str">
        <x:f>""</x:f>
      </x:c>
      <x:c r="L1789" s="74" t="str">
        <x:f>""</x:f>
      </x:c>
      <x:c r="M1789" s="73" t="n">
        <x:f>MAX(M1788,F1789)</x:f>
        <x:v>1.0141</x:v>
      </x:c>
      <x:c r="N1789" s="74" t="n">
        <x:f>1-F1789/M1789</x:f>
        <x:v>0</x:v>
      </x:c>
    </x:row>
    <x:row r="1790" ht="27" customHeight="1">
      <x:c r="A1790" s="66" t="str">
        <x:v>SEV580</x:v>
      </x:c>
      <x:c r="B1790" s="66" t="str">
        <x:v>祁腾蜂赢1号</x:v>
      </x:c>
      <x:c r="C1790" s="72" t="n">
        <x:v>43579</x:v>
      </x:c>
      <x:c r="D1790" s="73" t="n">
        <x:v>1.0125</x:v>
      </x:c>
      <x:c r="E1790" s="73" t="n">
        <x:v>1.0125</x:v>
      </x:c>
      <x:c r="F1790" s="73" t="n">
        <x:v>1.0125</x:v>
      </x:c>
      <x:c r="G1790" s="74" t="n">
        <x:v>-0.0016</x:v>
      </x:c>
      <x:c r="H1790" s="66" t="str">
        <x:v>祁腾蜂赢1号净值20260911.xlsx</x:v>
      </x:c>
      <x:c r="I1790" s="73" t="str">
        <x:f>""</x:f>
      </x:c>
      <x:c r="J1790" s="74" t="str">
        <x:f>""</x:f>
      </x:c>
      <x:c r="K1790" s="73" t="str">
        <x:f>""</x:f>
      </x:c>
      <x:c r="L1790" s="74" t="str">
        <x:f>""</x:f>
      </x:c>
      <x:c r="M1790" s="73" t="n">
        <x:f>MAX(M1789,F1790)</x:f>
        <x:v>1.0141</x:v>
      </x:c>
      <x:c r="N1790" s="74" t="n">
        <x:f>1-F1790/M1790</x:f>
        <x:v>0.0015777536732077824</x:v>
      </x:c>
    </x:row>
    <x:row r="1791" ht="27" customHeight="1">
      <x:c r="A1791" s="66" t="str">
        <x:v>SEV580</x:v>
      </x:c>
      <x:c r="B1791" s="66" t="str">
        <x:v>祁腾蜂赢1号</x:v>
      </x:c>
      <x:c r="C1791" s="72" t="n">
        <x:v>43580</x:v>
      </x:c>
      <x:c r="D1791" s="73" t="n">
        <x:v>1.0119</x:v>
      </x:c>
      <x:c r="E1791" s="73" t="n">
        <x:v>1.0119</x:v>
      </x:c>
      <x:c r="F1791" s="73" t="n">
        <x:v>1.0119</x:v>
      </x:c>
      <x:c r="G1791" s="74" t="n">
        <x:v>-0.0006</x:v>
      </x:c>
      <x:c r="H1791" s="66" t="str">
        <x:v>祁腾蜂赢1号净值20260911.xlsx</x:v>
      </x:c>
      <x:c r="I1791" s="73" t="str">
        <x:f>""</x:f>
      </x:c>
      <x:c r="J1791" s="74" t="str">
        <x:f>""</x:f>
      </x:c>
      <x:c r="K1791" s="73" t="str">
        <x:f>""</x:f>
      </x:c>
      <x:c r="L1791" s="74" t="str">
        <x:f>""</x:f>
      </x:c>
      <x:c r="M1791" s="73" t="n">
        <x:f>MAX(M1790,F1791)</x:f>
        <x:v>1.0141</x:v>
      </x:c>
      <x:c r="N1791" s="74" t="n">
        <x:f>1-F1791/M1791</x:f>
        <x:v>0.0021694113006606175</x:v>
      </x:c>
    </x:row>
    <x:row r="1792" ht="27" customHeight="1">
      <x:c r="A1792" s="66" t="str">
        <x:v>SEV580</x:v>
      </x:c>
      <x:c r="B1792" s="66" t="str">
        <x:v>祁腾蜂赢1号</x:v>
      </x:c>
      <x:c r="C1792" s="72" t="n">
        <x:v>43581</x:v>
      </x:c>
      <x:c r="D1792" s="73" t="n">
        <x:v>1.0119</x:v>
      </x:c>
      <x:c r="E1792" s="73" t="n">
        <x:v>1.0119</x:v>
      </x:c>
      <x:c r="F1792" s="73" t="n">
        <x:v>1.0119</x:v>
      </x:c>
      <x:c r="G1792" s="74" t="n">
        <x:v>0</x:v>
      </x:c>
      <x:c r="H1792" s="66" t="str">
        <x:v>祁腾蜂赢1号净值20260911.xlsx</x:v>
      </x:c>
      <x:c r="I1792" s="73" t="str">
        <x:f>""</x:f>
      </x:c>
      <x:c r="J1792" s="74" t="str">
        <x:f>""</x:f>
      </x:c>
      <x:c r="K1792" s="73" t="str">
        <x:f>""</x:f>
      </x:c>
      <x:c r="L1792" s="74" t="str">
        <x:f>""</x:f>
      </x:c>
      <x:c r="M1792" s="73" t="n">
        <x:f>MAX(M1791,F1792)</x:f>
        <x:v>1.0141</x:v>
      </x:c>
      <x:c r="N1792" s="74" t="n">
        <x:f>1-F1792/M1792</x:f>
        <x:v>0.0021694113006606175</x:v>
      </x:c>
    </x:row>
    <x:row r="1793" ht="27" customHeight="1">
      <x:c r="A1793" s="66" t="str">
        <x:v>SEV580</x:v>
      </x:c>
      <x:c r="B1793" s="66" t="str">
        <x:v>祁腾蜂赢1号</x:v>
      </x:c>
      <x:c r="C1793" s="72" t="n">
        <x:v>43584</x:v>
      </x:c>
      <x:c r="D1793" s="73" t="n">
        <x:v>1.0114</x:v>
      </x:c>
      <x:c r="E1793" s="73" t="n">
        <x:v>1.0114</x:v>
      </x:c>
      <x:c r="F1793" s="73" t="n">
        <x:v>1.0114</x:v>
      </x:c>
      <x:c r="G1793" s="74" t="n">
        <x:v>-0.0005</x:v>
      </x:c>
      <x:c r="H1793" s="66" t="str">
        <x:v>祁腾蜂赢1号净值20260911.xlsx</x:v>
      </x:c>
      <x:c r="I1793" s="73" t="str">
        <x:f>""</x:f>
      </x:c>
      <x:c r="J1793" s="74" t="str">
        <x:f>""</x:f>
      </x:c>
      <x:c r="K1793" s="73" t="str">
        <x:f>""</x:f>
      </x:c>
      <x:c r="L1793" s="74" t="str">
        <x:f>""</x:f>
      </x:c>
      <x:c r="M1793" s="73" t="n">
        <x:f>MAX(M1792,F1793)</x:f>
        <x:v>1.0141</x:v>
      </x:c>
      <x:c r="N1793" s="74" t="n">
        <x:f>1-F1793/M1793</x:f>
        <x:v>0.0026624593235380356</x:v>
      </x:c>
    </x:row>
    <x:row r="1794" ht="27" customHeight="1">
      <x:c r="A1794" s="66" t="str">
        <x:v>SEV580</x:v>
      </x:c>
      <x:c r="B1794" s="66" t="str">
        <x:v>祁腾蜂赢1号</x:v>
      </x:c>
      <x:c r="C1794" s="72" t="n">
        <x:v>43585</x:v>
      </x:c>
      <x:c r="D1794" s="73" t="n">
        <x:v>1.0108</x:v>
      </x:c>
      <x:c r="E1794" s="73" t="n">
        <x:v>1.0108</x:v>
      </x:c>
      <x:c r="F1794" s="73" t="n">
        <x:v>1.0108</x:v>
      </x:c>
      <x:c r="G1794" s="74" t="n">
        <x:v>-0.0006</x:v>
      </x:c>
      <x:c r="H1794" s="66" t="str">
        <x:v>祁腾蜂赢1号净值20260911.xlsx</x:v>
      </x:c>
      <x:c r="I1794" s="73" t="str">
        <x:f>""</x:f>
      </x:c>
      <x:c r="J1794" s="74" t="str">
        <x:f>""</x:f>
      </x:c>
      <x:c r="K1794" s="73" t="str">
        <x:f>""</x:f>
      </x:c>
      <x:c r="L1794" s="74" t="str">
        <x:f>""</x:f>
      </x:c>
      <x:c r="M1794" s="73" t="n">
        <x:f>MAX(M1793,F1794)</x:f>
        <x:v>1.0141</x:v>
      </x:c>
      <x:c r="N1794" s="74" t="n">
        <x:f>1-F1794/M1794</x:f>
        <x:v>0.0032541169509910928</x:v>
      </x:c>
    </x:row>
    <x:row r="1795" ht="27" customHeight="1">
      <x:c r="A1795" s="66" t="str">
        <x:v>SEV580</x:v>
      </x:c>
      <x:c r="B1795" s="66" t="str">
        <x:v>祁腾蜂赢1号</x:v>
      </x:c>
      <x:c r="C1795" s="72" t="n">
        <x:v>43591</x:v>
      </x:c>
      <x:c r="D1795" s="73" t="n">
        <x:v>1.0121</x:v>
      </x:c>
      <x:c r="E1795" s="73" t="n">
        <x:v>1.0121</x:v>
      </x:c>
      <x:c r="F1795" s="73" t="n">
        <x:v>1.0121</x:v>
      </x:c>
      <x:c r="G1795" s="74" t="n">
        <x:v>0.0013</x:v>
      </x:c>
      <x:c r="H1795" s="66" t="str">
        <x:v>祁腾蜂赢1号净值20260911.xlsx</x:v>
      </x:c>
      <x:c r="I1795" s="73" t="str">
        <x:f>""</x:f>
      </x:c>
      <x:c r="J1795" s="74" t="str">
        <x:f>""</x:f>
      </x:c>
      <x:c r="K1795" s="73" t="str">
        <x:f>""</x:f>
      </x:c>
      <x:c r="L1795" s="74" t="str">
        <x:f>""</x:f>
      </x:c>
      <x:c r="M1795" s="73" t="n">
        <x:f>MAX(M1794,F1795)</x:f>
        <x:v>1.0141</x:v>
      </x:c>
      <x:c r="N1795" s="74" t="n">
        <x:f>1-F1795/M1795</x:f>
        <x:v>0.0019721920915096725</x:v>
      </x:c>
    </x:row>
    <x:row r="1796" ht="27" customHeight="1">
      <x:c r="A1796" s="66" t="str">
        <x:v>SEV580</x:v>
      </x:c>
      <x:c r="B1796" s="66" t="str">
        <x:v>祁腾蜂赢1号</x:v>
      </x:c>
      <x:c r="C1796" s="72" t="n">
        <x:v>43592</x:v>
      </x:c>
      <x:c r="D1796" s="73" t="n">
        <x:v>1.0128</x:v>
      </x:c>
      <x:c r="E1796" s="73" t="n">
        <x:v>1.0128</x:v>
      </x:c>
      <x:c r="F1796" s="73" t="n">
        <x:v>1.0128</x:v>
      </x:c>
      <x:c r="G1796" s="74" t="n">
        <x:v>0.0007000000000000001</x:v>
      </x:c>
      <x:c r="H1796" s="66" t="str">
        <x:v>祁腾蜂赢1号净值20260911.xlsx</x:v>
      </x:c>
      <x:c r="I1796" s="73" t="str">
        <x:f>""</x:f>
      </x:c>
      <x:c r="J1796" s="74" t="str">
        <x:f>""</x:f>
      </x:c>
      <x:c r="K1796" s="73" t="str">
        <x:f>""</x:f>
      </x:c>
      <x:c r="L1796" s="74" t="str">
        <x:f>""</x:f>
      </x:c>
      <x:c r="M1796" s="73" t="n">
        <x:f>MAX(M1795,F1796)</x:f>
        <x:v>1.0141</x:v>
      </x:c>
      <x:c r="N1796" s="74" t="n">
        <x:f>1-F1796/M1796</x:f>
        <x:v>0.0012819248594814203</x:v>
      </x:c>
    </x:row>
    <x:row r="1797" ht="27" customHeight="1">
      <x:c r="A1797" s="66" t="str">
        <x:v>SEV580</x:v>
      </x:c>
      <x:c r="B1797" s="66" t="str">
        <x:v>祁腾蜂赢1号</x:v>
      </x:c>
      <x:c r="C1797" s="72" t="n">
        <x:v>43593</x:v>
      </x:c>
      <x:c r="D1797" s="73" t="n">
        <x:v>1.0164</x:v>
      </x:c>
      <x:c r="E1797" s="73" t="n">
        <x:v>1.0164</x:v>
      </x:c>
      <x:c r="F1797" s="73" t="n">
        <x:v>1.0164</x:v>
      </x:c>
      <x:c r="G1797" s="74" t="n">
        <x:v>0.0036</x:v>
      </x:c>
      <x:c r="H1797" s="66" t="str">
        <x:v>祁腾蜂赢1号净值20260911.xlsx</x:v>
      </x:c>
      <x:c r="I1797" s="73" t="str">
        <x:f>""</x:f>
      </x:c>
      <x:c r="J1797" s="74" t="str">
        <x:f>""</x:f>
      </x:c>
      <x:c r="K1797" s="73" t="str">
        <x:f>""</x:f>
      </x:c>
      <x:c r="L1797" s="74" t="str">
        <x:f>""</x:f>
      </x:c>
      <x:c r="M1797" s="73" t="n">
        <x:f>MAX(M1796,F1797)</x:f>
        <x:v>1.0164</x:v>
      </x:c>
      <x:c r="N1797" s="74" t="n">
        <x:f>1-F1797/M1797</x:f>
        <x:v>0</x:v>
      </x:c>
    </x:row>
    <x:row r="1798" ht="27" customHeight="1">
      <x:c r="A1798" s="66" t="str">
        <x:v>SEV580</x:v>
      </x:c>
      <x:c r="B1798" s="66" t="str">
        <x:v>祁腾蜂赢1号</x:v>
      </x:c>
      <x:c r="C1798" s="72" t="n">
        <x:v>43594</x:v>
      </x:c>
      <x:c r="D1798" s="73" t="n">
        <x:v>1.0174</x:v>
      </x:c>
      <x:c r="E1798" s="73" t="n">
        <x:v>1.0174</x:v>
      </x:c>
      <x:c r="F1798" s="73" t="n">
        <x:v>1.0174</x:v>
      </x:c>
      <x:c r="G1798" s="74" t="n">
        <x:v>0.001</x:v>
      </x:c>
      <x:c r="H1798" s="66" t="str">
        <x:v>祁腾蜂赢1号净值20260911.xlsx</x:v>
      </x:c>
      <x:c r="I1798" s="73" t="str">
        <x:f>""</x:f>
      </x:c>
      <x:c r="J1798" s="74" t="str">
        <x:f>""</x:f>
      </x:c>
      <x:c r="K1798" s="73" t="str">
        <x:f>""</x:f>
      </x:c>
      <x:c r="L1798" s="74" t="str">
        <x:f>""</x:f>
      </x:c>
      <x:c r="M1798" s="73" t="n">
        <x:f>MAX(M1797,F1798)</x:f>
        <x:v>1.0174</x:v>
      </x:c>
      <x:c r="N1798" s="74" t="n">
        <x:f>1-F1798/M1798</x:f>
        <x:v>0</x:v>
      </x:c>
    </x:row>
    <x:row r="1799" ht="27" customHeight="1">
      <x:c r="A1799" s="66" t="str">
        <x:v>SEV580</x:v>
      </x:c>
      <x:c r="B1799" s="66" t="str">
        <x:v>祁腾蜂赢1号</x:v>
      </x:c>
      <x:c r="C1799" s="72" t="n">
        <x:v>43595</x:v>
      </x:c>
      <x:c r="D1799" s="73" t="n">
        <x:v>1.019</x:v>
      </x:c>
      <x:c r="E1799" s="73" t="n">
        <x:v>1.019</x:v>
      </x:c>
      <x:c r="F1799" s="73" t="n">
        <x:v>1.019</x:v>
      </x:c>
      <x:c r="G1799" s="74" t="n">
        <x:v>0.0016</x:v>
      </x:c>
      <x:c r="H1799" s="66" t="str">
        <x:v>祁腾蜂赢1号净值20260911.xlsx</x:v>
      </x:c>
      <x:c r="I1799" s="73" t="str">
        <x:f>""</x:f>
      </x:c>
      <x:c r="J1799" s="74" t="str">
        <x:f>""</x:f>
      </x:c>
      <x:c r="K1799" s="73" t="str">
        <x:f>""</x:f>
      </x:c>
      <x:c r="L1799" s="74" t="str">
        <x:f>""</x:f>
      </x:c>
      <x:c r="M1799" s="73" t="n">
        <x:f>MAX(M1798,F1799)</x:f>
        <x:v>1.019</x:v>
      </x:c>
      <x:c r="N1799" s="74" t="n">
        <x:f>1-F1799/M1799</x:f>
        <x:v>0</x:v>
      </x:c>
    </x:row>
    <x:row r="1800" ht="27" customHeight="1">
      <x:c r="A1800" s="66" t="str">
        <x:v>SEV580</x:v>
      </x:c>
      <x:c r="B1800" s="66" t="str">
        <x:v>祁腾蜂赢1号</x:v>
      </x:c>
      <x:c r="C1800" s="72" t="n">
        <x:v>43598</x:v>
      </x:c>
      <x:c r="D1800" s="73" t="n">
        <x:v>1.0185</x:v>
      </x:c>
      <x:c r="E1800" s="73" t="n">
        <x:v>1.0185</x:v>
      </x:c>
      <x:c r="F1800" s="73" t="n">
        <x:v>1.0185</x:v>
      </x:c>
      <x:c r="G1800" s="74" t="n">
        <x:v>-0.0005</x:v>
      </x:c>
      <x:c r="H1800" s="66" t="str">
        <x:v>祁腾蜂赢1号净值20260911.xlsx</x:v>
      </x:c>
      <x:c r="I1800" s="73" t="str">
        <x:f>""</x:f>
      </x:c>
      <x:c r="J1800" s="74" t="str">
        <x:f>""</x:f>
      </x:c>
      <x:c r="K1800" s="73" t="str">
        <x:f>""</x:f>
      </x:c>
      <x:c r="L1800" s="74" t="str">
        <x:f>""</x:f>
      </x:c>
      <x:c r="M1800" s="73" t="n">
        <x:f>MAX(M1799,F1800)</x:f>
        <x:v>1.019</x:v>
      </x:c>
      <x:c r="N1800" s="74" t="n">
        <x:f>1-F1800/M1800</x:f>
        <x:v>0.0004906771344455052</x:v>
      </x:c>
    </x:row>
    <x:row r="1801" ht="27" customHeight="1">
      <x:c r="A1801" s="66" t="str">
        <x:v>SEV580</x:v>
      </x:c>
      <x:c r="B1801" s="66" t="str">
        <x:v>祁腾蜂赢1号</x:v>
      </x:c>
      <x:c r="C1801" s="72" t="n">
        <x:v>43599</x:v>
      </x:c>
      <x:c r="D1801" s="73" t="n">
        <x:v>1.0191</x:v>
      </x:c>
      <x:c r="E1801" s="73" t="n">
        <x:v>1.0191</x:v>
      </x:c>
      <x:c r="F1801" s="73" t="n">
        <x:v>1.0191</x:v>
      </x:c>
      <x:c r="G1801" s="74" t="n">
        <x:v>0.0006</x:v>
      </x:c>
      <x:c r="H1801" s="66" t="str">
        <x:v>祁腾蜂赢1号净值20260911.xlsx</x:v>
      </x:c>
      <x:c r="I1801" s="73" t="str">
        <x:f>""</x:f>
      </x:c>
      <x:c r="J1801" s="74" t="str">
        <x:f>""</x:f>
      </x:c>
      <x:c r="K1801" s="73" t="str">
        <x:f>""</x:f>
      </x:c>
      <x:c r="L1801" s="74" t="str">
        <x:f>""</x:f>
      </x:c>
      <x:c r="M1801" s="73" t="n">
        <x:f>MAX(M1800,F1801)</x:f>
        <x:v>1.0191</x:v>
      </x:c>
      <x:c r="N1801" s="74" t="n">
        <x:f>1-F1801/M1801</x:f>
        <x:v>0</x:v>
      </x:c>
    </x:row>
    <x:row r="1802" ht="27" customHeight="1">
      <x:c r="A1802" s="66" t="str">
        <x:v>SEV580</x:v>
      </x:c>
      <x:c r="B1802" s="66" t="str">
        <x:v>祁腾蜂赢1号</x:v>
      </x:c>
      <x:c r="C1802" s="72" t="n">
        <x:v>43600</x:v>
      </x:c>
      <x:c r="D1802" s="73" t="n">
        <x:v>1.0201</x:v>
      </x:c>
      <x:c r="E1802" s="73" t="n">
        <x:v>1.0201</x:v>
      </x:c>
      <x:c r="F1802" s="73" t="n">
        <x:v>1.0201</x:v>
      </x:c>
      <x:c r="G1802" s="74" t="n">
        <x:v>0.001</x:v>
      </x:c>
      <x:c r="H1802" s="66" t="str">
        <x:v>祁腾蜂赢1号净值20260911.xlsx</x:v>
      </x:c>
      <x:c r="I1802" s="73" t="str">
        <x:f>""</x:f>
      </x:c>
      <x:c r="J1802" s="74" t="str">
        <x:f>""</x:f>
      </x:c>
      <x:c r="K1802" s="73" t="str">
        <x:f>""</x:f>
      </x:c>
      <x:c r="L1802" s="74" t="str">
        <x:f>""</x:f>
      </x:c>
      <x:c r="M1802" s="73" t="n">
        <x:f>MAX(M1801,F1802)</x:f>
        <x:v>1.0201</x:v>
      </x:c>
      <x:c r="N1802" s="74" t="n">
        <x:f>1-F1802/M1802</x:f>
        <x:v>0</x:v>
      </x:c>
    </x:row>
    <x:row r="1803" ht="27" customHeight="1">
      <x:c r="A1803" s="66" t="str">
        <x:v>SEV580</x:v>
      </x:c>
      <x:c r="B1803" s="66" t="str">
        <x:v>祁腾蜂赢1号</x:v>
      </x:c>
      <x:c r="C1803" s="72" t="n">
        <x:v>43601</x:v>
      </x:c>
      <x:c r="D1803" s="73" t="n">
        <x:v>1.0211</x:v>
      </x:c>
      <x:c r="E1803" s="73" t="n">
        <x:v>1.0211</x:v>
      </x:c>
      <x:c r="F1803" s="73" t="n">
        <x:v>1.0211</x:v>
      </x:c>
      <x:c r="G1803" s="74" t="n">
        <x:v>0.001</x:v>
      </x:c>
      <x:c r="H1803" s="66" t="str">
        <x:v>祁腾蜂赢1号净值20260911.xlsx</x:v>
      </x:c>
      <x:c r="I1803" s="73" t="str">
        <x:f>""</x:f>
      </x:c>
      <x:c r="J1803" s="74" t="str">
        <x:f>""</x:f>
      </x:c>
      <x:c r="K1803" s="73" t="str">
        <x:f>""</x:f>
      </x:c>
      <x:c r="L1803" s="74" t="str">
        <x:f>""</x:f>
      </x:c>
      <x:c r="M1803" s="73" t="n">
        <x:f>MAX(M1802,F1803)</x:f>
        <x:v>1.0211</x:v>
      </x:c>
      <x:c r="N1803" s="74" t="n">
        <x:f>1-F1803/M1803</x:f>
        <x:v>0</x:v>
      </x:c>
    </x:row>
    <x:row r="1804" ht="27" customHeight="1">
      <x:c r="A1804" s="66" t="str">
        <x:v>SEV580</x:v>
      </x:c>
      <x:c r="B1804" s="66" t="str">
        <x:v>祁腾蜂赢1号</x:v>
      </x:c>
      <x:c r="C1804" s="72" t="n">
        <x:v>43602</x:v>
      </x:c>
      <x:c r="D1804" s="73" t="n">
        <x:v>1.0204</x:v>
      </x:c>
      <x:c r="E1804" s="73" t="n">
        <x:v>1.0204</x:v>
      </x:c>
      <x:c r="F1804" s="73" t="n">
        <x:v>1.0204</x:v>
      </x:c>
      <x:c r="G1804" s="74" t="n">
        <x:v>-0.0007000000000000001</x:v>
      </x:c>
      <x:c r="H1804" s="66" t="str">
        <x:v>祁腾蜂赢1号净值20260911.xlsx</x:v>
      </x:c>
      <x:c r="I1804" s="73" t="str">
        <x:f>""</x:f>
      </x:c>
      <x:c r="J1804" s="74" t="str">
        <x:f>""</x:f>
      </x:c>
      <x:c r="K1804" s="73" t="str">
        <x:f>""</x:f>
      </x:c>
      <x:c r="L1804" s="74" t="str">
        <x:f>""</x:f>
      </x:c>
      <x:c r="M1804" s="73" t="n">
        <x:f>MAX(M1803,F1804)</x:f>
        <x:v>1.0211</x:v>
      </x:c>
      <x:c r="N1804" s="74" t="n">
        <x:f>1-F1804/M1804</x:f>
        <x:v>0.0006855352071294396</x:v>
      </x:c>
    </x:row>
    <x:row r="1805" ht="27" customHeight="1">
      <x:c r="A1805" s="66" t="str">
        <x:v>SEV580</x:v>
      </x:c>
      <x:c r="B1805" s="66" t="str">
        <x:v>祁腾蜂赢1号</x:v>
      </x:c>
      <x:c r="C1805" s="72" t="n">
        <x:v>43605</x:v>
      </x:c>
      <x:c r="D1805" s="73" t="n">
        <x:v>1.0199</x:v>
      </x:c>
      <x:c r="E1805" s="73" t="n">
        <x:v>1.0199</x:v>
      </x:c>
      <x:c r="F1805" s="73" t="n">
        <x:v>1.0199</x:v>
      </x:c>
      <x:c r="G1805" s="74" t="n">
        <x:v>-0.0005</x:v>
      </x:c>
      <x:c r="H1805" s="66" t="str">
        <x:v>祁腾蜂赢1号净值20260911.xlsx</x:v>
      </x:c>
      <x:c r="I1805" s="73" t="str">
        <x:f>""</x:f>
      </x:c>
      <x:c r="J1805" s="74" t="str">
        <x:f>""</x:f>
      </x:c>
      <x:c r="K1805" s="73" t="str">
        <x:f>""</x:f>
      </x:c>
      <x:c r="L1805" s="74" t="str">
        <x:f>""</x:f>
      </x:c>
      <x:c r="M1805" s="73" t="n">
        <x:f>MAX(M1804,F1805)</x:f>
        <x:v>1.0211</x:v>
      </x:c>
      <x:c r="N1805" s="74" t="n">
        <x:f>1-F1805/M1805</x:f>
        <x:v>0.0011752032122219758</x:v>
      </x:c>
    </x:row>
    <x:row r="1806" ht="27" customHeight="1">
      <x:c r="A1806" s="66" t="str">
        <x:v>SEV580</x:v>
      </x:c>
      <x:c r="B1806" s="66" t="str">
        <x:v>祁腾蜂赢1号</x:v>
      </x:c>
      <x:c r="C1806" s="72" t="n">
        <x:v>43606</x:v>
      </x:c>
      <x:c r="D1806" s="73" t="n">
        <x:v>1.0212</x:v>
      </x:c>
      <x:c r="E1806" s="73" t="n">
        <x:v>1.0212</x:v>
      </x:c>
      <x:c r="F1806" s="73" t="n">
        <x:v>1.0212</x:v>
      </x:c>
      <x:c r="G1806" s="74" t="n">
        <x:v>0.0013</x:v>
      </x:c>
      <x:c r="H1806" s="66" t="str">
        <x:v>祁腾蜂赢1号净值20260911.xlsx</x:v>
      </x:c>
      <x:c r="I1806" s="73" t="str">
        <x:f>""</x:f>
      </x:c>
      <x:c r="J1806" s="74" t="str">
        <x:f>""</x:f>
      </x:c>
      <x:c r="K1806" s="73" t="str">
        <x:f>""</x:f>
      </x:c>
      <x:c r="L1806" s="74" t="str">
        <x:f>""</x:f>
      </x:c>
      <x:c r="M1806" s="73" t="n">
        <x:f>MAX(M1805,F1806)</x:f>
        <x:v>1.0212</x:v>
      </x:c>
      <x:c r="N1806" s="74" t="n">
        <x:f>1-F1806/M1806</x:f>
        <x:v>0</x:v>
      </x:c>
    </x:row>
    <x:row r="1807" ht="27" customHeight="1">
      <x:c r="A1807" s="66" t="str">
        <x:v>SEV580</x:v>
      </x:c>
      <x:c r="B1807" s="66" t="str">
        <x:v>祁腾蜂赢1号</x:v>
      </x:c>
      <x:c r="C1807" s="72" t="n">
        <x:v>43607</x:v>
      </x:c>
      <x:c r="D1807" s="73" t="n">
        <x:v>1.022</x:v>
      </x:c>
      <x:c r="E1807" s="73" t="n">
        <x:v>1.022</x:v>
      </x:c>
      <x:c r="F1807" s="73" t="n">
        <x:v>1.022</x:v>
      </x:c>
      <x:c r="G1807" s="74" t="n">
        <x:v>0.0008</x:v>
      </x:c>
      <x:c r="H1807" s="66" t="str">
        <x:v>祁腾蜂赢1号净值20260911.xlsx</x:v>
      </x:c>
      <x:c r="I1807" s="73" t="str">
        <x:f>""</x:f>
      </x:c>
      <x:c r="J1807" s="74" t="str">
        <x:f>""</x:f>
      </x:c>
      <x:c r="K1807" s="73" t="str">
        <x:f>""</x:f>
      </x:c>
      <x:c r="L1807" s="74" t="str">
        <x:f>""</x:f>
      </x:c>
      <x:c r="M1807" s="73" t="n">
        <x:f>MAX(M1806,F1807)</x:f>
        <x:v>1.022</x:v>
      </x:c>
      <x:c r="N1807" s="74" t="n">
        <x:f>1-F1807/M1807</x:f>
        <x:v>0</x:v>
      </x:c>
    </x:row>
    <x:row r="1808" ht="27" customHeight="1">
      <x:c r="A1808" s="66" t="str">
        <x:v>SEV580</x:v>
      </x:c>
      <x:c r="B1808" s="66" t="str">
        <x:v>祁腾蜂赢1号</x:v>
      </x:c>
      <x:c r="C1808" s="72" t="n">
        <x:v>43608</x:v>
      </x:c>
      <x:c r="D1808" s="73" t="n">
        <x:v>1.022</x:v>
      </x:c>
      <x:c r="E1808" s="73" t="n">
        <x:v>1.022</x:v>
      </x:c>
      <x:c r="F1808" s="73" t="n">
        <x:v>1.022</x:v>
      </x:c>
      <x:c r="G1808" s="74" t="n">
        <x:v>0</x:v>
      </x:c>
      <x:c r="H1808" s="66" t="str">
        <x:v>祁腾蜂赢1号净值20260911.xlsx</x:v>
      </x:c>
      <x:c r="I1808" s="73" t="str">
        <x:f>""</x:f>
      </x:c>
      <x:c r="J1808" s="74" t="str">
        <x:f>""</x:f>
      </x:c>
      <x:c r="K1808" s="73" t="str">
        <x:f>""</x:f>
      </x:c>
      <x:c r="L1808" s="74" t="str">
        <x:f>""</x:f>
      </x:c>
      <x:c r="M1808" s="73" t="n">
        <x:f>MAX(M1807,F1808)</x:f>
        <x:v>1.022</x:v>
      </x:c>
      <x:c r="N1808" s="74" t="n">
        <x:f>1-F1808/M1808</x:f>
        <x:v>0</x:v>
      </x:c>
    </x:row>
    <x:row r="1809" ht="27" customHeight="1">
      <x:c r="A1809" s="66" t="str">
        <x:v>SEV580</x:v>
      </x:c>
      <x:c r="B1809" s="66" t="str">
        <x:v>祁腾蜂赢1号</x:v>
      </x:c>
      <x:c r="C1809" s="72" t="n">
        <x:v>43609</x:v>
      </x:c>
      <x:c r="D1809" s="73" t="n">
        <x:v>1.0222</x:v>
      </x:c>
      <x:c r="E1809" s="73" t="n">
        <x:v>1.0222</x:v>
      </x:c>
      <x:c r="F1809" s="73" t="n">
        <x:v>1.0222</x:v>
      </x:c>
      <x:c r="G1809" s="74" t="n">
        <x:v>0.0002</x:v>
      </x:c>
      <x:c r="H1809" s="66" t="str">
        <x:v>祁腾蜂赢1号净值20260911.xlsx</x:v>
      </x:c>
      <x:c r="I1809" s="73" t="str">
        <x:f>""</x:f>
      </x:c>
      <x:c r="J1809" s="74" t="str">
        <x:f>""</x:f>
      </x:c>
      <x:c r="K1809" s="73" t="str">
        <x:f>""</x:f>
      </x:c>
      <x:c r="L1809" s="74" t="str">
        <x:f>""</x:f>
      </x:c>
      <x:c r="M1809" s="73" t="n">
        <x:f>MAX(M1808,F1809)</x:f>
        <x:v>1.0222</x:v>
      </x:c>
      <x:c r="N1809" s="74" t="n">
        <x:f>1-F1809/M1809</x:f>
        <x:v>0</x:v>
      </x:c>
    </x:row>
    <x:row r="1810" ht="27" customHeight="1">
      <x:c r="A1810" s="66" t="str">
        <x:v>SEV580</x:v>
      </x:c>
      <x:c r="B1810" s="66" t="str">
        <x:v>祁腾蜂赢1号</x:v>
      </x:c>
      <x:c r="C1810" s="72" t="n">
        <x:v>43612</x:v>
      </x:c>
      <x:c r="D1810" s="73" t="n">
        <x:v>1.0222</x:v>
      </x:c>
      <x:c r="E1810" s="73" t="n">
        <x:v>1.0222</x:v>
      </x:c>
      <x:c r="F1810" s="73" t="n">
        <x:v>1.0222</x:v>
      </x:c>
      <x:c r="G1810" s="74" t="n">
        <x:v>0</x:v>
      </x:c>
      <x:c r="H1810" s="66" t="str">
        <x:v>祁腾蜂赢1号净值20260911.xlsx</x:v>
      </x:c>
      <x:c r="I1810" s="73" t="str">
        <x:f>""</x:f>
      </x:c>
      <x:c r="J1810" s="74" t="str">
        <x:f>""</x:f>
      </x:c>
      <x:c r="K1810" s="73" t="str">
        <x:f>""</x:f>
      </x:c>
      <x:c r="L1810" s="74" t="str">
        <x:f>""</x:f>
      </x:c>
      <x:c r="M1810" s="73" t="n">
        <x:f>MAX(M1809,F1810)</x:f>
        <x:v>1.0222</x:v>
      </x:c>
      <x:c r="N1810" s="74" t="n">
        <x:f>1-F1810/M1810</x:f>
        <x:v>0</x:v>
      </x:c>
    </x:row>
    <x:row r="1811" ht="27" customHeight="1">
      <x:c r="A1811" s="66" t="str">
        <x:v>SEV580</x:v>
      </x:c>
      <x:c r="B1811" s="66" t="str">
        <x:v>祁腾蜂赢1号</x:v>
      </x:c>
      <x:c r="C1811" s="72" t="n">
        <x:v>43613</x:v>
      </x:c>
      <x:c r="D1811" s="73" t="n">
        <x:v>1.0221</x:v>
      </x:c>
      <x:c r="E1811" s="73" t="n">
        <x:v>1.0221</x:v>
      </x:c>
      <x:c r="F1811" s="73" t="n">
        <x:v>1.0221</x:v>
      </x:c>
      <x:c r="G1811" s="74" t="n">
        <x:v>-0.0001</x:v>
      </x:c>
      <x:c r="H1811" s="66" t="str">
        <x:v>祁腾蜂赢1号净值20260911.xlsx</x:v>
      </x:c>
      <x:c r="I1811" s="73" t="str">
        <x:f>""</x:f>
      </x:c>
      <x:c r="J1811" s="74" t="str">
        <x:f>""</x:f>
      </x:c>
      <x:c r="K1811" s="73" t="str">
        <x:f>""</x:f>
      </x:c>
      <x:c r="L1811" s="74" t="str">
        <x:f>""</x:f>
      </x:c>
      <x:c r="M1811" s="73" t="n">
        <x:f>MAX(M1810,F1811)</x:f>
        <x:v>1.0222</x:v>
      </x:c>
      <x:c r="N1811" s="74" t="n">
        <x:f>1-F1811/M1811</x:f>
        <x:v>0.00009782821365678096</x:v>
      </x:c>
    </x:row>
    <x:row r="1812" ht="27" customHeight="1">
      <x:c r="A1812" s="66" t="str">
        <x:v>SEV580</x:v>
      </x:c>
      <x:c r="B1812" s="66" t="str">
        <x:v>祁腾蜂赢1号</x:v>
      </x:c>
      <x:c r="C1812" s="72" t="n">
        <x:v>43614</x:v>
      </x:c>
      <x:c r="D1812" s="73" t="n">
        <x:v>1.022</x:v>
      </x:c>
      <x:c r="E1812" s="73" t="n">
        <x:v>1.022</x:v>
      </x:c>
      <x:c r="F1812" s="73" t="n">
        <x:v>1.022</x:v>
      </x:c>
      <x:c r="G1812" s="74" t="n">
        <x:v>-0.0001</x:v>
      </x:c>
      <x:c r="H1812" s="66" t="str">
        <x:v>祁腾蜂赢1号净值20260911.xlsx</x:v>
      </x:c>
      <x:c r="I1812" s="73" t="str">
        <x:f>""</x:f>
      </x:c>
      <x:c r="J1812" s="74" t="str">
        <x:f>""</x:f>
      </x:c>
      <x:c r="K1812" s="73" t="str">
        <x:f>""</x:f>
      </x:c>
      <x:c r="L1812" s="74" t="str">
        <x:f>""</x:f>
      </x:c>
      <x:c r="M1812" s="73" t="n">
        <x:f>MAX(M1811,F1812)</x:f>
        <x:v>1.0222</x:v>
      </x:c>
      <x:c r="N1812" s="74" t="n">
        <x:f>1-F1812/M1812</x:f>
        <x:v>0.00019565642731356192</x:v>
      </x:c>
    </x:row>
    <x:row r="1813" ht="27" customHeight="1">
      <x:c r="A1813" s="66" t="str">
        <x:v>SEV580</x:v>
      </x:c>
      <x:c r="B1813" s="66" t="str">
        <x:v>祁腾蜂赢1号</x:v>
      </x:c>
      <x:c r="C1813" s="72" t="n">
        <x:v>43615</x:v>
      </x:c>
      <x:c r="D1813" s="73" t="n">
        <x:v>1.0224</x:v>
      </x:c>
      <x:c r="E1813" s="73" t="n">
        <x:v>1.0224</x:v>
      </x:c>
      <x:c r="F1813" s="73" t="n">
        <x:v>1.0224</x:v>
      </x:c>
      <x:c r="G1813" s="74" t="n">
        <x:v>0.0004</x:v>
      </x:c>
      <x:c r="H1813" s="66" t="str">
        <x:v>祁腾蜂赢1号净值20260911.xlsx</x:v>
      </x:c>
      <x:c r="I1813" s="73" t="str">
        <x:f>""</x:f>
      </x:c>
      <x:c r="J1813" s="74" t="str">
        <x:f>""</x:f>
      </x:c>
      <x:c r="K1813" s="73" t="str">
        <x:f>""</x:f>
      </x:c>
      <x:c r="L1813" s="74" t="str">
        <x:f>""</x:f>
      </x:c>
      <x:c r="M1813" s="73" t="n">
        <x:f>MAX(M1812,F1813)</x:f>
        <x:v>1.0224</x:v>
      </x:c>
      <x:c r="N1813" s="74" t="n">
        <x:f>1-F1813/M1813</x:f>
        <x:v>0</x:v>
      </x:c>
    </x:row>
    <x:row r="1814" ht="27" customHeight="1">
      <x:c r="A1814" s="66" t="str">
        <x:v>SEV580</x:v>
      </x:c>
      <x:c r="B1814" s="66" t="str">
        <x:v>祁腾蜂赢1号</x:v>
      </x:c>
      <x:c r="C1814" s="72" t="n">
        <x:v>43616</x:v>
      </x:c>
      <x:c r="D1814" s="73" t="n">
        <x:v>1.0221</x:v>
      </x:c>
      <x:c r="E1814" s="73" t="n">
        <x:v>1.0221</x:v>
      </x:c>
      <x:c r="F1814" s="73" t="n">
        <x:v>1.0221</x:v>
      </x:c>
      <x:c r="G1814" s="74" t="n">
        <x:v>-0.0003</x:v>
      </x:c>
      <x:c r="H1814" s="66" t="str">
        <x:v>祁腾蜂赢1号净值20260911.xlsx</x:v>
      </x:c>
      <x:c r="I1814" s="73" t="str">
        <x:f>""</x:f>
      </x:c>
      <x:c r="J1814" s="74" t="str">
        <x:f>""</x:f>
      </x:c>
      <x:c r="K1814" s="73" t="str">
        <x:f>""</x:f>
      </x:c>
      <x:c r="L1814" s="74" t="str">
        <x:f>""</x:f>
      </x:c>
      <x:c r="M1814" s="73" t="n">
        <x:f>MAX(M1813,F1814)</x:f>
        <x:v>1.0224</x:v>
      </x:c>
      <x:c r="N1814" s="74" t="n">
        <x:f>1-F1814/M1814</x:f>
        <x:v>0.0002934272300468832</x:v>
      </x:c>
    </x:row>
    <x:row r="1815" ht="27" customHeight="1">
      <x:c r="A1815" s="66" t="str">
        <x:v>SEV580</x:v>
      </x:c>
      <x:c r="B1815" s="66" t="str">
        <x:v>祁腾蜂赢1号</x:v>
      </x:c>
      <x:c r="C1815" s="72" t="n">
        <x:v>43619</x:v>
      </x:c>
      <x:c r="D1815" s="73" t="n">
        <x:v>1.0228</x:v>
      </x:c>
      <x:c r="E1815" s="73" t="n">
        <x:v>1.0228</x:v>
      </x:c>
      <x:c r="F1815" s="73" t="n">
        <x:v>1.0228</x:v>
      </x:c>
      <x:c r="G1815" s="74" t="n">
        <x:v>0.0007000000000000001</x:v>
      </x:c>
      <x:c r="H1815" s="66" t="str">
        <x:v>祁腾蜂赢1号净值20260911.xlsx</x:v>
      </x:c>
      <x:c r="I1815" s="73" t="str">
        <x:f>""</x:f>
      </x:c>
      <x:c r="J1815" s="74" t="str">
        <x:f>""</x:f>
      </x:c>
      <x:c r="K1815" s="73" t="str">
        <x:f>""</x:f>
      </x:c>
      <x:c r="L1815" s="74" t="str">
        <x:f>""</x:f>
      </x:c>
      <x:c r="M1815" s="73" t="n">
        <x:f>MAX(M1814,F1815)</x:f>
        <x:v>1.0228</x:v>
      </x:c>
      <x:c r="N1815" s="74" t="n">
        <x:f>1-F1815/M1815</x:f>
        <x:v>0</x:v>
      </x:c>
    </x:row>
    <x:row r="1816" ht="27" customHeight="1">
      <x:c r="A1816" s="66" t="str">
        <x:v>SEV580</x:v>
      </x:c>
      <x:c r="B1816" s="66" t="str">
        <x:v>祁腾蜂赢1号</x:v>
      </x:c>
      <x:c r="C1816" s="72" t="n">
        <x:v>43620</x:v>
      </x:c>
      <x:c r="D1816" s="73" t="n">
        <x:v>1.0221</x:v>
      </x:c>
      <x:c r="E1816" s="73" t="n">
        <x:v>1.0221</x:v>
      </x:c>
      <x:c r="F1816" s="73" t="n">
        <x:v>1.0221</x:v>
      </x:c>
      <x:c r="G1816" s="74" t="n">
        <x:v>-0.0007000000000000001</x:v>
      </x:c>
      <x:c r="H1816" s="66" t="str">
        <x:v>祁腾蜂赢1号净值20260911.xlsx</x:v>
      </x:c>
      <x:c r="I1816" s="73" t="str">
        <x:f>""</x:f>
      </x:c>
      <x:c r="J1816" s="74" t="str">
        <x:f>""</x:f>
      </x:c>
      <x:c r="K1816" s="73" t="str">
        <x:f>""</x:f>
      </x:c>
      <x:c r="L1816" s="74" t="str">
        <x:f>""</x:f>
      </x:c>
      <x:c r="M1816" s="73" t="n">
        <x:f>MAX(M1815,F1816)</x:f>
        <x:v>1.0228</x:v>
      </x:c>
      <x:c r="N1816" s="74" t="n">
        <x:f>1-F1816/M1816</x:f>
        <x:v>0.0006843957763003061</x:v>
      </x:c>
    </x:row>
    <x:row r="1817" ht="27" customHeight="1">
      <x:c r="A1817" s="66" t="str">
        <x:v>SEV580</x:v>
      </x:c>
      <x:c r="B1817" s="66" t="str">
        <x:v>祁腾蜂赢1号</x:v>
      </x:c>
      <x:c r="C1817" s="72" t="n">
        <x:v>43621</x:v>
      </x:c>
      <x:c r="D1817" s="73" t="n">
        <x:v>1.0242</x:v>
      </x:c>
      <x:c r="E1817" s="73" t="n">
        <x:v>1.0242</x:v>
      </x:c>
      <x:c r="F1817" s="73" t="n">
        <x:v>1.0242</x:v>
      </x:c>
      <x:c r="G1817" s="74" t="n">
        <x:v>0.0021</x:v>
      </x:c>
      <x:c r="H1817" s="66" t="str">
        <x:v>祁腾蜂赢1号净值20260911.xlsx</x:v>
      </x:c>
      <x:c r="I1817" s="73" t="str">
        <x:f>""</x:f>
      </x:c>
      <x:c r="J1817" s="74" t="str">
        <x:f>""</x:f>
      </x:c>
      <x:c r="K1817" s="73" t="str">
        <x:f>""</x:f>
      </x:c>
      <x:c r="L1817" s="74" t="str">
        <x:f>""</x:f>
      </x:c>
      <x:c r="M1817" s="73" t="n">
        <x:f>MAX(M1816,F1817)</x:f>
        <x:v>1.0242</x:v>
      </x:c>
      <x:c r="N1817" s="74" t="n">
        <x:f>1-F1817/M1817</x:f>
        <x:v>0</x:v>
      </x:c>
    </x:row>
    <x:row r="1818" ht="27" customHeight="1">
      <x:c r="A1818" s="66" t="str">
        <x:v>SEV580</x:v>
      </x:c>
      <x:c r="B1818" s="66" t="str">
        <x:v>祁腾蜂赢1号</x:v>
      </x:c>
      <x:c r="C1818" s="72" t="n">
        <x:v>43622</x:v>
      </x:c>
      <x:c r="D1818" s="73" t="n">
        <x:v>1.0251</x:v>
      </x:c>
      <x:c r="E1818" s="73" t="n">
        <x:v>1.0251</x:v>
      </x:c>
      <x:c r="F1818" s="73" t="n">
        <x:v>1.0251</x:v>
      </x:c>
      <x:c r="G1818" s="74" t="n">
        <x:v>0.0009</x:v>
      </x:c>
      <x:c r="H1818" s="66" t="str">
        <x:v>祁腾蜂赢1号净值20260911.xlsx</x:v>
      </x:c>
      <x:c r="I1818" s="73" t="str">
        <x:f>""</x:f>
      </x:c>
      <x:c r="J1818" s="74" t="str">
        <x:f>""</x:f>
      </x:c>
      <x:c r="K1818" s="73" t="str">
        <x:f>""</x:f>
      </x:c>
      <x:c r="L1818" s="74" t="str">
        <x:f>""</x:f>
      </x:c>
      <x:c r="M1818" s="73" t="n">
        <x:f>MAX(M1817,F1818)</x:f>
        <x:v>1.0251</x:v>
      </x:c>
      <x:c r="N1818" s="74" t="n">
        <x:f>1-F1818/M1818</x:f>
        <x:v>0</x:v>
      </x:c>
    </x:row>
    <x:row r="1819" ht="27" customHeight="1">
      <x:c r="A1819" s="66" t="str">
        <x:v>SEV580</x:v>
      </x:c>
      <x:c r="B1819" s="66" t="str">
        <x:v>祁腾蜂赢1号</x:v>
      </x:c>
      <x:c r="C1819" s="72" t="n">
        <x:v>43626</x:v>
      </x:c>
      <x:c r="D1819" s="73" t="n">
        <x:v>1.0251</x:v>
      </x:c>
      <x:c r="E1819" s="73" t="n">
        <x:v>1.0251</x:v>
      </x:c>
      <x:c r="F1819" s="73" t="n">
        <x:v>1.0251</x:v>
      </x:c>
      <x:c r="G1819" s="74" t="n">
        <x:v>0</x:v>
      </x:c>
      <x:c r="H1819" s="66" t="str">
        <x:v>祁腾蜂赢1号净值20260911.xlsx</x:v>
      </x:c>
      <x:c r="I1819" s="73" t="str">
        <x:f>""</x:f>
      </x:c>
      <x:c r="J1819" s="74" t="str">
        <x:f>""</x:f>
      </x:c>
      <x:c r="K1819" s="73" t="str">
        <x:f>""</x:f>
      </x:c>
      <x:c r="L1819" s="74" t="str">
        <x:f>""</x:f>
      </x:c>
      <x:c r="M1819" s="73" t="n">
        <x:f>MAX(M1818,F1819)</x:f>
        <x:v>1.0251</x:v>
      </x:c>
      <x:c r="N1819" s="74" t="n">
        <x:f>1-F1819/M1819</x:f>
        <x:v>0</x:v>
      </x:c>
    </x:row>
    <x:row r="1820" ht="27" customHeight="1">
      <x:c r="A1820" s="66" t="str">
        <x:v>SEV580</x:v>
      </x:c>
      <x:c r="B1820" s="66" t="str">
        <x:v>祁腾蜂赢1号</x:v>
      </x:c>
      <x:c r="C1820" s="72" t="n">
        <x:v>43627</x:v>
      </x:c>
      <x:c r="D1820" s="73" t="n">
        <x:v>1.0252</x:v>
      </x:c>
      <x:c r="E1820" s="73" t="n">
        <x:v>1.0252</x:v>
      </x:c>
      <x:c r="F1820" s="73" t="n">
        <x:v>1.0252</x:v>
      </x:c>
      <x:c r="G1820" s="74" t="n">
        <x:v>0.0001</x:v>
      </x:c>
      <x:c r="H1820" s="66" t="str">
        <x:v>祁腾蜂赢1号净值20260911.xlsx</x:v>
      </x:c>
      <x:c r="I1820" s="73" t="str">
        <x:f>""</x:f>
      </x:c>
      <x:c r="J1820" s="74" t="str">
        <x:f>""</x:f>
      </x:c>
      <x:c r="K1820" s="73" t="str">
        <x:f>""</x:f>
      </x:c>
      <x:c r="L1820" s="74" t="str">
        <x:f>""</x:f>
      </x:c>
      <x:c r="M1820" s="73" t="n">
        <x:f>MAX(M1819,F1820)</x:f>
        <x:v>1.0252</x:v>
      </x:c>
      <x:c r="N1820" s="74" t="n">
        <x:f>1-F1820/M1820</x:f>
        <x:v>0</x:v>
      </x:c>
    </x:row>
    <x:row r="1821" ht="27" customHeight="1">
      <x:c r="A1821" s="66" t="str">
        <x:v>SEV580</x:v>
      </x:c>
      <x:c r="B1821" s="66" t="str">
        <x:v>祁腾蜂赢1号</x:v>
      </x:c>
      <x:c r="C1821" s="72" t="n">
        <x:v>43628</x:v>
      </x:c>
      <x:c r="D1821" s="73" t="n">
        <x:v>1.0261</x:v>
      </x:c>
      <x:c r="E1821" s="73" t="n">
        <x:v>1.0261</x:v>
      </x:c>
      <x:c r="F1821" s="73" t="n">
        <x:v>1.0261</x:v>
      </x:c>
      <x:c r="G1821" s="74" t="n">
        <x:v>0.0009</x:v>
      </x:c>
      <x:c r="H1821" s="66" t="str">
        <x:v>祁腾蜂赢1号净值20260911.xlsx</x:v>
      </x:c>
      <x:c r="I1821" s="73" t="str">
        <x:f>""</x:f>
      </x:c>
      <x:c r="J1821" s="74" t="str">
        <x:f>""</x:f>
      </x:c>
      <x:c r="K1821" s="73" t="str">
        <x:f>""</x:f>
      </x:c>
      <x:c r="L1821" s="74" t="str">
        <x:f>""</x:f>
      </x:c>
      <x:c r="M1821" s="73" t="n">
        <x:f>MAX(M1820,F1821)</x:f>
        <x:v>1.0261</x:v>
      </x:c>
      <x:c r="N1821" s="74" t="n">
        <x:f>1-F1821/M1821</x:f>
        <x:v>0</x:v>
      </x:c>
    </x:row>
    <x:row r="1822" ht="27" customHeight="1">
      <x:c r="A1822" s="66" t="str">
        <x:v>SEV580</x:v>
      </x:c>
      <x:c r="B1822" s="66" t="str">
        <x:v>祁腾蜂赢1号</x:v>
      </x:c>
      <x:c r="C1822" s="72" t="n">
        <x:v>43629</x:v>
      </x:c>
      <x:c r="D1822" s="73" t="n">
        <x:v>1.0271</x:v>
      </x:c>
      <x:c r="E1822" s="73" t="n">
        <x:v>1.0271</x:v>
      </x:c>
      <x:c r="F1822" s="73" t="n">
        <x:v>1.0271</x:v>
      </x:c>
      <x:c r="G1822" s="74" t="n">
        <x:v>0.001</x:v>
      </x:c>
      <x:c r="H1822" s="66" t="str">
        <x:v>祁腾蜂赢1号净值20260911.xlsx</x:v>
      </x:c>
      <x:c r="I1822" s="73" t="str">
        <x:f>""</x:f>
      </x:c>
      <x:c r="J1822" s="74" t="str">
        <x:f>""</x:f>
      </x:c>
      <x:c r="K1822" s="73" t="str">
        <x:f>""</x:f>
      </x:c>
      <x:c r="L1822" s="74" t="str">
        <x:f>""</x:f>
      </x:c>
      <x:c r="M1822" s="73" t="n">
        <x:f>MAX(M1821,F1822)</x:f>
        <x:v>1.0271</x:v>
      </x:c>
      <x:c r="N1822" s="74" t="n">
        <x:f>1-F1822/M1822</x:f>
        <x:v>0</x:v>
      </x:c>
    </x:row>
    <x:row r="1823" ht="27" customHeight="1">
      <x:c r="A1823" s="66" t="str">
        <x:v>SEV580</x:v>
      </x:c>
      <x:c r="B1823" s="66" t="str">
        <x:v>祁腾蜂赢1号</x:v>
      </x:c>
      <x:c r="C1823" s="72" t="n">
        <x:v>43630</x:v>
      </x:c>
      <x:c r="D1823" s="73" t="n">
        <x:v>1.0279</x:v>
      </x:c>
      <x:c r="E1823" s="73" t="n">
        <x:v>1.0279</x:v>
      </x:c>
      <x:c r="F1823" s="73" t="n">
        <x:v>1.0279</x:v>
      </x:c>
      <x:c r="G1823" s="74" t="n">
        <x:v>0.0008</x:v>
      </x:c>
      <x:c r="H1823" s="66" t="str">
        <x:v>祁腾蜂赢1号净值20260911.xlsx</x:v>
      </x:c>
      <x:c r="I1823" s="73" t="str">
        <x:f>""</x:f>
      </x:c>
      <x:c r="J1823" s="74" t="str">
        <x:f>""</x:f>
      </x:c>
      <x:c r="K1823" s="73" t="str">
        <x:f>""</x:f>
      </x:c>
      <x:c r="L1823" s="74" t="str">
        <x:f>""</x:f>
      </x:c>
      <x:c r="M1823" s="73" t="n">
        <x:f>MAX(M1822,F1823)</x:f>
        <x:v>1.0279</x:v>
      </x:c>
      <x:c r="N1823" s="74" t="n">
        <x:f>1-F1823/M1823</x:f>
        <x:v>0</x:v>
      </x:c>
    </x:row>
    <x:row r="1824" ht="27" customHeight="1">
      <x:c r="A1824" s="66" t="str">
        <x:v>SEV580</x:v>
      </x:c>
      <x:c r="B1824" s="66" t="str">
        <x:v>祁腾蜂赢1号</x:v>
      </x:c>
      <x:c r="C1824" s="72" t="n">
        <x:v>43633</x:v>
      </x:c>
      <x:c r="D1824" s="73" t="n">
        <x:v>1.0291</x:v>
      </x:c>
      <x:c r="E1824" s="73" t="n">
        <x:v>1.0291</x:v>
      </x:c>
      <x:c r="F1824" s="73" t="n">
        <x:v>1.0291</x:v>
      </x:c>
      <x:c r="G1824" s="74" t="n">
        <x:v>0.0012</x:v>
      </x:c>
      <x:c r="H1824" s="66" t="str">
        <x:v>祁腾蜂赢1号净值20260911.xlsx</x:v>
      </x:c>
      <x:c r="I1824" s="73" t="str">
        <x:f>""</x:f>
      </x:c>
      <x:c r="J1824" s="74" t="str">
        <x:f>""</x:f>
      </x:c>
      <x:c r="K1824" s="73" t="str">
        <x:f>""</x:f>
      </x:c>
      <x:c r="L1824" s="74" t="str">
        <x:f>""</x:f>
      </x:c>
      <x:c r="M1824" s="73" t="n">
        <x:f>MAX(M1823,F1824)</x:f>
        <x:v>1.0291</x:v>
      </x:c>
      <x:c r="N1824" s="74" t="n">
        <x:f>1-F1824/M1824</x:f>
        <x:v>0</x:v>
      </x:c>
    </x:row>
    <x:row r="1825" ht="27" customHeight="1">
      <x:c r="A1825" s="66" t="str">
        <x:v>SEV580</x:v>
      </x:c>
      <x:c r="B1825" s="66" t="str">
        <x:v>祁腾蜂赢1号</x:v>
      </x:c>
      <x:c r="C1825" s="72" t="n">
        <x:v>43634</x:v>
      </x:c>
      <x:c r="D1825" s="73" t="n">
        <x:v>1.0317</x:v>
      </x:c>
      <x:c r="E1825" s="73" t="n">
        <x:v>1.0317</x:v>
      </x:c>
      <x:c r="F1825" s="73" t="n">
        <x:v>1.0317</x:v>
      </x:c>
      <x:c r="G1825" s="74" t="n">
        <x:v>0.0025</x:v>
      </x:c>
      <x:c r="H1825" s="66" t="str">
        <x:v>祁腾蜂赢1号净值20260911.xlsx</x:v>
      </x:c>
      <x:c r="I1825" s="73" t="str">
        <x:f>""</x:f>
      </x:c>
      <x:c r="J1825" s="74" t="str">
        <x:f>""</x:f>
      </x:c>
      <x:c r="K1825" s="73" t="str">
        <x:f>""</x:f>
      </x:c>
      <x:c r="L1825" s="74" t="str">
        <x:f>""</x:f>
      </x:c>
      <x:c r="M1825" s="73" t="n">
        <x:f>MAX(M1824,F1825)</x:f>
        <x:v>1.0317</x:v>
      </x:c>
      <x:c r="N1825" s="74" t="n">
        <x:f>1-F1825/M1825</x:f>
        <x:v>0</x:v>
      </x:c>
    </x:row>
    <x:row r="1826" ht="27" customHeight="1">
      <x:c r="A1826" s="66" t="str">
        <x:v>SEV580</x:v>
      </x:c>
      <x:c r="B1826" s="66" t="str">
        <x:v>祁腾蜂赢1号</x:v>
      </x:c>
      <x:c r="C1826" s="72" t="n">
        <x:v>43635</x:v>
      </x:c>
      <x:c r="D1826" s="73" t="n">
        <x:v>1.033</x:v>
      </x:c>
      <x:c r="E1826" s="73" t="n">
        <x:v>1.033</x:v>
      </x:c>
      <x:c r="F1826" s="73" t="n">
        <x:v>1.033</x:v>
      </x:c>
      <x:c r="G1826" s="74" t="n">
        <x:v>0.0013</x:v>
      </x:c>
      <x:c r="H1826" s="66" t="str">
        <x:v>祁腾蜂赢1号净值20260911.xlsx</x:v>
      </x:c>
      <x:c r="I1826" s="73" t="str">
        <x:f>""</x:f>
      </x:c>
      <x:c r="J1826" s="74" t="str">
        <x:f>""</x:f>
      </x:c>
      <x:c r="K1826" s="73" t="str">
        <x:f>""</x:f>
      </x:c>
      <x:c r="L1826" s="74" t="str">
        <x:f>""</x:f>
      </x:c>
      <x:c r="M1826" s="73" t="n">
        <x:f>MAX(M1825,F1826)</x:f>
        <x:v>1.033</x:v>
      </x:c>
      <x:c r="N1826" s="74" t="n">
        <x:f>1-F1826/M1826</x:f>
        <x:v>0</x:v>
      </x:c>
    </x:row>
    <x:row r="1827" ht="27" customHeight="1">
      <x:c r="A1827" s="66" t="str">
        <x:v>SEV580</x:v>
      </x:c>
      <x:c r="B1827" s="66" t="str">
        <x:v>祁腾蜂赢1号</x:v>
      </x:c>
      <x:c r="C1827" s="72" t="n">
        <x:v>43636</x:v>
      </x:c>
      <x:c r="D1827" s="73" t="n">
        <x:v>1.001</x:v>
      </x:c>
      <x:c r="E1827" s="73" t="n">
        <x:v>1.036</x:v>
      </x:c>
      <x:c r="F1827" s="73" t="n">
        <x:v>1.036</x:v>
      </x:c>
      <x:c r="G1827" s="74" t="n">
        <x:v>0.0029</x:v>
      </x:c>
      <x:c r="H1827" s="66" t="str">
        <x:v>祁腾蜂赢1号净值20260911.xlsx</x:v>
      </x:c>
      <x:c r="I1827" s="73" t="str">
        <x:f>""</x:f>
      </x:c>
      <x:c r="J1827" s="74" t="str">
        <x:f>""</x:f>
      </x:c>
      <x:c r="K1827" s="73" t="str">
        <x:f>""</x:f>
      </x:c>
      <x:c r="L1827" s="74" t="str">
        <x:f>""</x:f>
      </x:c>
      <x:c r="M1827" s="73" t="n">
        <x:f>MAX(M1826,F1827)</x:f>
        <x:v>1.036</x:v>
      </x:c>
      <x:c r="N1827" s="74" t="n">
        <x:f>1-F1827/M1827</x:f>
        <x:v>0</x:v>
      </x:c>
    </x:row>
    <x:row r="1828" ht="27" customHeight="1">
      <x:c r="A1828" s="66" t="str">
        <x:v>SEV580</x:v>
      </x:c>
      <x:c r="B1828" s="66" t="str">
        <x:v>祁腾蜂赢1号</x:v>
      </x:c>
      <x:c r="C1828" s="72" t="n">
        <x:v>43637</x:v>
      </x:c>
      <x:c r="D1828" s="73" t="n">
        <x:v>1.0022</x:v>
      </x:c>
      <x:c r="E1828" s="73" t="n">
        <x:v>1.0372</x:v>
      </x:c>
      <x:c r="F1828" s="73" t="n">
        <x:v>1.0372</x:v>
      </x:c>
      <x:c r="G1828" s="74" t="n">
        <x:v>0.0012</x:v>
      </x:c>
      <x:c r="H1828" s="66" t="str">
        <x:v>祁腾蜂赢1号净值20260911.xlsx</x:v>
      </x:c>
      <x:c r="I1828" s="73" t="str">
        <x:f>""</x:f>
      </x:c>
      <x:c r="J1828" s="74" t="str">
        <x:f>""</x:f>
      </x:c>
      <x:c r="K1828" s="73" t="str">
        <x:f>""</x:f>
      </x:c>
      <x:c r="L1828" s="74" t="str">
        <x:f>""</x:f>
      </x:c>
      <x:c r="M1828" s="73" t="n">
        <x:f>MAX(M1827,F1828)</x:f>
        <x:v>1.0372</x:v>
      </x:c>
      <x:c r="N1828" s="74" t="n">
        <x:f>1-F1828/M1828</x:f>
        <x:v>0</x:v>
      </x:c>
    </x:row>
    <x:row r="1829" ht="27" customHeight="1">
      <x:c r="A1829" s="66" t="str">
        <x:v>SEV580</x:v>
      </x:c>
      <x:c r="B1829" s="66" t="str">
        <x:v>祁腾蜂赢1号</x:v>
      </x:c>
      <x:c r="C1829" s="72" t="n">
        <x:v>43640</x:v>
      </x:c>
      <x:c r="D1829" s="73" t="n">
        <x:v>1.0016</x:v>
      </x:c>
      <x:c r="E1829" s="73" t="n">
        <x:v>1.0366</x:v>
      </x:c>
      <x:c r="F1829" s="73" t="n">
        <x:v>1.0366</x:v>
      </x:c>
      <x:c r="G1829" s="74" t="n">
        <x:v>-0.0006</x:v>
      </x:c>
      <x:c r="H1829" s="66" t="str">
        <x:v>祁腾蜂赢1号净值20260911.xlsx</x:v>
      </x:c>
      <x:c r="I1829" s="73" t="str">
        <x:f>""</x:f>
      </x:c>
      <x:c r="J1829" s="74" t="str">
        <x:f>""</x:f>
      </x:c>
      <x:c r="K1829" s="73" t="str">
        <x:f>""</x:f>
      </x:c>
      <x:c r="L1829" s="74" t="str">
        <x:f>""</x:f>
      </x:c>
      <x:c r="M1829" s="73" t="n">
        <x:f>MAX(M1828,F1829)</x:f>
        <x:v>1.0372</x:v>
      </x:c>
      <x:c r="N1829" s="74" t="n">
        <x:f>1-F1829/M1829</x:f>
        <x:v>0.0005784805244889446</x:v>
      </x:c>
    </x:row>
    <x:row r="1830" ht="27" customHeight="1">
      <x:c r="A1830" s="66" t="str">
        <x:v>SEV580</x:v>
      </x:c>
      <x:c r="B1830" s="66" t="str">
        <x:v>祁腾蜂赢1号</x:v>
      </x:c>
      <x:c r="C1830" s="72" t="n">
        <x:v>43641</x:v>
      </x:c>
      <x:c r="D1830" s="73" t="n">
        <x:v>1.0022</x:v>
      </x:c>
      <x:c r="E1830" s="73" t="n">
        <x:v>1.0372</x:v>
      </x:c>
      <x:c r="F1830" s="73" t="n">
        <x:v>1.0372</x:v>
      </x:c>
      <x:c r="G1830" s="74" t="n">
        <x:v>0.0006</x:v>
      </x:c>
      <x:c r="H1830" s="66" t="str">
        <x:v>祁腾蜂赢1号净值20260911.xlsx</x:v>
      </x:c>
      <x:c r="I1830" s="73" t="str">
        <x:f>""</x:f>
      </x:c>
      <x:c r="J1830" s="74" t="str">
        <x:f>""</x:f>
      </x:c>
      <x:c r="K1830" s="73" t="str">
        <x:f>""</x:f>
      </x:c>
      <x:c r="L1830" s="74" t="str">
        <x:f>""</x:f>
      </x:c>
      <x:c r="M1830" s="73" t="n">
        <x:f>MAX(M1829,F1830)</x:f>
        <x:v>1.0372</x:v>
      </x:c>
      <x:c r="N1830" s="74" t="n">
        <x:f>1-F1830/M1830</x:f>
        <x:v>0</x:v>
      </x:c>
    </x:row>
    <x:row r="1831" ht="27" customHeight="1">
      <x:c r="A1831" s="66" t="str">
        <x:v>SEV580</x:v>
      </x:c>
      <x:c r="B1831" s="66" t="str">
        <x:v>祁腾蜂赢1号</x:v>
      </x:c>
      <x:c r="C1831" s="72" t="n">
        <x:v>43642</x:v>
      </x:c>
      <x:c r="D1831" s="73" t="n">
        <x:v>1.0031</x:v>
      </x:c>
      <x:c r="E1831" s="73" t="n">
        <x:v>1.0381</x:v>
      </x:c>
      <x:c r="F1831" s="73" t="n">
        <x:v>1.0382</x:v>
      </x:c>
      <x:c r="G1831" s="74" t="n">
        <x:v>0.0009</x:v>
      </x:c>
      <x:c r="H1831" s="66" t="str">
        <x:v>祁腾蜂赢1号净值20260911.xlsx</x:v>
      </x:c>
      <x:c r="I1831" s="73" t="str">
        <x:f>""</x:f>
      </x:c>
      <x:c r="J1831" s="74" t="str">
        <x:f>""</x:f>
      </x:c>
      <x:c r="K1831" s="73" t="str">
        <x:f>""</x:f>
      </x:c>
      <x:c r="L1831" s="74" t="str">
        <x:f>""</x:f>
      </x:c>
      <x:c r="M1831" s="73" t="n">
        <x:f>MAX(M1830,F1831)</x:f>
        <x:v>1.0382</x:v>
      </x:c>
      <x:c r="N1831" s="74" t="n">
        <x:f>1-F1831/M1831</x:f>
        <x:v>0</x:v>
      </x:c>
    </x:row>
    <x:row r="1832" ht="27" customHeight="1">
      <x:c r="A1832" s="66" t="str">
        <x:v>SEV580</x:v>
      </x:c>
      <x:c r="B1832" s="66" t="str">
        <x:v>祁腾蜂赢1号</x:v>
      </x:c>
      <x:c r="C1832" s="72" t="n">
        <x:v>43643</x:v>
      </x:c>
      <x:c r="D1832" s="73" t="n">
        <x:v>1.0033</x:v>
      </x:c>
      <x:c r="E1832" s="73" t="n">
        <x:v>1.0383</x:v>
      </x:c>
      <x:c r="F1832" s="73" t="n">
        <x:v>1.0384</x:v>
      </x:c>
      <x:c r="G1832" s="74" t="n">
        <x:v>0.0002</x:v>
      </x:c>
      <x:c r="H1832" s="66" t="str">
        <x:v>祁腾蜂赢1号净值20260911.xlsx</x:v>
      </x:c>
      <x:c r="I1832" s="73" t="str">
        <x:f>""</x:f>
      </x:c>
      <x:c r="J1832" s="74" t="str">
        <x:f>""</x:f>
      </x:c>
      <x:c r="K1832" s="73" t="str">
        <x:f>""</x:f>
      </x:c>
      <x:c r="L1832" s="74" t="str">
        <x:f>""</x:f>
      </x:c>
      <x:c r="M1832" s="73" t="n">
        <x:f>MAX(M1831,F1832)</x:f>
        <x:v>1.0384</x:v>
      </x:c>
      <x:c r="N1832" s="74" t="n">
        <x:f>1-F1832/M1832</x:f>
        <x:v>0</x:v>
      </x:c>
    </x:row>
    <x:row r="1833" ht="27" customHeight="1">
      <x:c r="A1833" s="66" t="str">
        <x:v>SEV580</x:v>
      </x:c>
      <x:c r="B1833" s="66" t="str">
        <x:v>祁腾蜂赢1号</x:v>
      </x:c>
      <x:c r="C1833" s="72" t="n">
        <x:v>43644</x:v>
      </x:c>
      <x:c r="D1833" s="73" t="n">
        <x:v>1.0047</x:v>
      </x:c>
      <x:c r="E1833" s="73" t="n">
        <x:v>1.0397</x:v>
      </x:c>
      <x:c r="F1833" s="73" t="n">
        <x:v>1.0398</x:v>
      </x:c>
      <x:c r="G1833" s="74" t="n">
        <x:v>0.0014000000000000002</x:v>
      </x:c>
      <x:c r="H1833" s="66" t="str">
        <x:v>祁腾蜂赢1号净值20260911.xlsx</x:v>
      </x:c>
      <x:c r="I1833" s="73" t="str">
        <x:f>""</x:f>
      </x:c>
      <x:c r="J1833" s="74" t="str">
        <x:f>""</x:f>
      </x:c>
      <x:c r="K1833" s="73" t="str">
        <x:f>""</x:f>
      </x:c>
      <x:c r="L1833" s="74" t="str">
        <x:f>""</x:f>
      </x:c>
      <x:c r="M1833" s="73" t="n">
        <x:f>MAX(M1832,F1833)</x:f>
        <x:v>1.0398</x:v>
      </x:c>
      <x:c r="N1833" s="74" t="n">
        <x:f>1-F1833/M1833</x:f>
        <x:v>0</x:v>
      </x:c>
    </x:row>
    <x:row r="1834" ht="27" customHeight="1">
      <x:c r="A1834" s="66" t="str">
        <x:v>SEV580</x:v>
      </x:c>
      <x:c r="B1834" s="66" t="str">
        <x:v>祁腾蜂赢1号</x:v>
      </x:c>
      <x:c r="C1834" s="72" t="n">
        <x:v>43647</x:v>
      </x:c>
      <x:c r="D1834" s="73" t="n">
        <x:v>1.0075</x:v>
      </x:c>
      <x:c r="E1834" s="73" t="n">
        <x:v>1.0425</x:v>
      </x:c>
      <x:c r="F1834" s="73" t="n">
        <x:v>1.0427</x:v>
      </x:c>
      <x:c r="G1834" s="74" t="n">
        <x:v>0.0028000000000000004</x:v>
      </x:c>
      <x:c r="H1834" s="66" t="str">
        <x:v>祁腾蜂赢1号净值20260911.xlsx</x:v>
      </x:c>
      <x:c r="I1834" s="73" t="str">
        <x:f>""</x:f>
      </x:c>
      <x:c r="J1834" s="74" t="str">
        <x:f>""</x:f>
      </x:c>
      <x:c r="K1834" s="73" t="str">
        <x:f>""</x:f>
      </x:c>
      <x:c r="L1834" s="74" t="str">
        <x:f>""</x:f>
      </x:c>
      <x:c r="M1834" s="73" t="n">
        <x:f>MAX(M1833,F1834)</x:f>
        <x:v>1.0427</x:v>
      </x:c>
      <x:c r="N1834" s="74" t="n">
        <x:f>1-F1834/M1834</x:f>
        <x:v>0</x:v>
      </x:c>
    </x:row>
    <x:row r="1835" ht="27" customHeight="1">
      <x:c r="A1835" s="66" t="str">
        <x:v>SEV580</x:v>
      </x:c>
      <x:c r="B1835" s="66" t="str">
        <x:v>祁腾蜂赢1号</x:v>
      </x:c>
      <x:c r="C1835" s="72" t="n">
        <x:v>43648</x:v>
      </x:c>
      <x:c r="D1835" s="73" t="n">
        <x:v>1.007</x:v>
      </x:c>
      <x:c r="E1835" s="73" t="n">
        <x:v>1.042</x:v>
      </x:c>
      <x:c r="F1835" s="73" t="n">
        <x:v>1.0422</x:v>
      </x:c>
      <x:c r="G1835" s="74" t="n">
        <x:v>-0.0005</x:v>
      </x:c>
      <x:c r="H1835" s="66" t="str">
        <x:v>祁腾蜂赢1号净值20260911.xlsx</x:v>
      </x:c>
      <x:c r="I1835" s="73" t="str">
        <x:f>""</x:f>
      </x:c>
      <x:c r="J1835" s="74" t="str">
        <x:f>""</x:f>
      </x:c>
      <x:c r="K1835" s="73" t="str">
        <x:f>""</x:f>
      </x:c>
      <x:c r="L1835" s="74" t="str">
        <x:f>""</x:f>
      </x:c>
      <x:c r="M1835" s="73" t="n">
        <x:f>MAX(M1834,F1835)</x:f>
        <x:v>1.0427</x:v>
      </x:c>
      <x:c r="N1835" s="74" t="n">
        <x:f>1-F1835/M1835</x:f>
        <x:v>0.00047952431188258426</x:v>
      </x:c>
    </x:row>
    <x:row r="1836" ht="27" customHeight="1">
      <x:c r="A1836" s="66" t="str">
        <x:v>SEV580</x:v>
      </x:c>
      <x:c r="B1836" s="66" t="str">
        <x:v>祁腾蜂赢1号</x:v>
      </x:c>
      <x:c r="C1836" s="72" t="n">
        <x:v>43649</x:v>
      </x:c>
      <x:c r="D1836" s="73" t="n">
        <x:v>1.0091</x:v>
      </x:c>
      <x:c r="E1836" s="73" t="n">
        <x:v>1.0441</x:v>
      </x:c>
      <x:c r="F1836" s="73" t="n">
        <x:v>1.0444</x:v>
      </x:c>
      <x:c r="G1836" s="74" t="n">
        <x:v>0.0021</x:v>
      </x:c>
      <x:c r="H1836" s="66" t="str">
        <x:v>祁腾蜂赢1号净值20260911.xlsx</x:v>
      </x:c>
      <x:c r="I1836" s="73" t="str">
        <x:f>""</x:f>
      </x:c>
      <x:c r="J1836" s="74" t="str">
        <x:f>""</x:f>
      </x:c>
      <x:c r="K1836" s="73" t="str">
        <x:f>""</x:f>
      </x:c>
      <x:c r="L1836" s="74" t="str">
        <x:f>""</x:f>
      </x:c>
      <x:c r="M1836" s="73" t="n">
        <x:f>MAX(M1835,F1836)</x:f>
        <x:v>1.0444</x:v>
      </x:c>
      <x:c r="N1836" s="74" t="n">
        <x:f>1-F1836/M1836</x:f>
        <x:v>0</x:v>
      </x:c>
    </x:row>
    <x:row r="1837" ht="27" customHeight="1">
      <x:c r="A1837" s="66" t="str">
        <x:v>SEV580</x:v>
      </x:c>
      <x:c r="B1837" s="66" t="str">
        <x:v>祁腾蜂赢1号</x:v>
      </x:c>
      <x:c r="C1837" s="72" t="n">
        <x:v>43650</x:v>
      </x:c>
      <x:c r="D1837" s="73" t="n">
        <x:v>1.0097</x:v>
      </x:c>
      <x:c r="E1837" s="73" t="n">
        <x:v>1.0447</x:v>
      </x:c>
      <x:c r="F1837" s="73" t="n">
        <x:v>1.045</x:v>
      </x:c>
      <x:c r="G1837" s="74" t="n">
        <x:v>0.0006</x:v>
      </x:c>
      <x:c r="H1837" s="66" t="str">
        <x:v>祁腾蜂赢1号净值20260911.xlsx</x:v>
      </x:c>
      <x:c r="I1837" s="73" t="str">
        <x:f>""</x:f>
      </x:c>
      <x:c r="J1837" s="74" t="str">
        <x:f>""</x:f>
      </x:c>
      <x:c r="K1837" s="73" t="str">
        <x:f>""</x:f>
      </x:c>
      <x:c r="L1837" s="74" t="str">
        <x:f>""</x:f>
      </x:c>
      <x:c r="M1837" s="73" t="n">
        <x:f>MAX(M1836,F1837)</x:f>
        <x:v>1.045</x:v>
      </x:c>
      <x:c r="N1837" s="74" t="n">
        <x:f>1-F1837/M1837</x:f>
        <x:v>0</x:v>
      </x:c>
    </x:row>
    <x:row r="1838" ht="27" customHeight="1">
      <x:c r="A1838" s="66" t="str">
        <x:v>SEV580</x:v>
      </x:c>
      <x:c r="B1838" s="66" t="str">
        <x:v>祁腾蜂赢1号</x:v>
      </x:c>
      <x:c r="C1838" s="72" t="n">
        <x:v>43651</x:v>
      </x:c>
      <x:c r="D1838" s="73" t="n">
        <x:v>1.0106</x:v>
      </x:c>
      <x:c r="E1838" s="73" t="n">
        <x:v>1.0456</x:v>
      </x:c>
      <x:c r="F1838" s="73" t="n">
        <x:v>1.0459</x:v>
      </x:c>
      <x:c r="G1838" s="74" t="n">
        <x:v>0.0009</x:v>
      </x:c>
      <x:c r="H1838" s="66" t="str">
        <x:v>祁腾蜂赢1号净值20260911.xlsx</x:v>
      </x:c>
      <x:c r="I1838" s="73" t="str">
        <x:f>""</x:f>
      </x:c>
      <x:c r="J1838" s="74" t="str">
        <x:f>""</x:f>
      </x:c>
      <x:c r="K1838" s="73" t="str">
        <x:f>""</x:f>
      </x:c>
      <x:c r="L1838" s="74" t="str">
        <x:f>""</x:f>
      </x:c>
      <x:c r="M1838" s="73" t="n">
        <x:f>MAX(M1837,F1838)</x:f>
        <x:v>1.0459</x:v>
      </x:c>
      <x:c r="N1838" s="74" t="n">
        <x:f>1-F1838/M1838</x:f>
        <x:v>0</x:v>
      </x:c>
    </x:row>
    <x:row r="1839" ht="27" customHeight="1">
      <x:c r="A1839" s="66" t="str">
        <x:v>SEV580</x:v>
      </x:c>
      <x:c r="B1839" s="66" t="str">
        <x:v>祁腾蜂赢1号</x:v>
      </x:c>
      <x:c r="C1839" s="72" t="n">
        <x:v>43654</x:v>
      </x:c>
      <x:c r="D1839" s="73" t="n">
        <x:v>1.0125</x:v>
      </x:c>
      <x:c r="E1839" s="73" t="n">
        <x:v>1.0475</x:v>
      </x:c>
      <x:c r="F1839" s="73" t="n">
        <x:v>1.0479</x:v>
      </x:c>
      <x:c r="G1839" s="74" t="n">
        <x:v>0.0019</x:v>
      </x:c>
      <x:c r="H1839" s="66" t="str">
        <x:v>祁腾蜂赢1号净值20260911.xlsx</x:v>
      </x:c>
      <x:c r="I1839" s="73" t="str">
        <x:f>""</x:f>
      </x:c>
      <x:c r="J1839" s="74" t="str">
        <x:f>""</x:f>
      </x:c>
      <x:c r="K1839" s="73" t="str">
        <x:f>""</x:f>
      </x:c>
      <x:c r="L1839" s="74" t="str">
        <x:f>""</x:f>
      </x:c>
      <x:c r="M1839" s="73" t="n">
        <x:f>MAX(M1838,F1839)</x:f>
        <x:v>1.0479</x:v>
      </x:c>
      <x:c r="N1839" s="74" t="n">
        <x:f>1-F1839/M1839</x:f>
        <x:v>0</x:v>
      </x:c>
    </x:row>
    <x:row r="1840" ht="27" customHeight="1">
      <x:c r="A1840" s="66" t="str">
        <x:v>SEV580</x:v>
      </x:c>
      <x:c r="B1840" s="66" t="str">
        <x:v>祁腾蜂赢1号</x:v>
      </x:c>
      <x:c r="C1840" s="72" t="n">
        <x:v>43655</x:v>
      </x:c>
      <x:c r="D1840" s="73" t="n">
        <x:v>1.013</x:v>
      </x:c>
      <x:c r="E1840" s="73" t="n">
        <x:v>1.048</x:v>
      </x:c>
      <x:c r="F1840" s="73" t="n">
        <x:v>1.0484</x:v>
      </x:c>
      <x:c r="G1840" s="74" t="n">
        <x:v>0.0005</x:v>
      </x:c>
      <x:c r="H1840" s="66" t="str">
        <x:v>祁腾蜂赢1号净值20260911.xlsx</x:v>
      </x:c>
      <x:c r="I1840" s="73" t="str">
        <x:f>""</x:f>
      </x:c>
      <x:c r="J1840" s="74" t="str">
        <x:f>""</x:f>
      </x:c>
      <x:c r="K1840" s="73" t="str">
        <x:f>""</x:f>
      </x:c>
      <x:c r="L1840" s="74" t="str">
        <x:f>""</x:f>
      </x:c>
      <x:c r="M1840" s="73" t="n">
        <x:f>MAX(M1839,F1840)</x:f>
        <x:v>1.0484</x:v>
      </x:c>
      <x:c r="N1840" s="74" t="n">
        <x:f>1-F1840/M1840</x:f>
        <x:v>0</x:v>
      </x:c>
    </x:row>
    <x:row r="1841" ht="27" customHeight="1">
      <x:c r="A1841" s="66" t="str">
        <x:v>SEV580</x:v>
      </x:c>
      <x:c r="B1841" s="66" t="str">
        <x:v>祁腾蜂赢1号</x:v>
      </x:c>
      <x:c r="C1841" s="72" t="n">
        <x:v>43656</x:v>
      </x:c>
      <x:c r="D1841" s="73" t="n">
        <x:v>1.0133</x:v>
      </x:c>
      <x:c r="E1841" s="73" t="n">
        <x:v>1.0483</x:v>
      </x:c>
      <x:c r="F1841" s="73" t="n">
        <x:v>1.0487</x:v>
      </x:c>
      <x:c r="G1841" s="74" t="n">
        <x:v>0.0003</x:v>
      </x:c>
      <x:c r="H1841" s="66" t="str">
        <x:v>祁腾蜂赢1号净值20260911.xlsx</x:v>
      </x:c>
      <x:c r="I1841" s="73" t="str">
        <x:f>""</x:f>
      </x:c>
      <x:c r="J1841" s="74" t="str">
        <x:f>""</x:f>
      </x:c>
      <x:c r="K1841" s="73" t="str">
        <x:f>""</x:f>
      </x:c>
      <x:c r="L1841" s="74" t="str">
        <x:f>""</x:f>
      </x:c>
      <x:c r="M1841" s="73" t="n">
        <x:f>MAX(M1840,F1841)</x:f>
        <x:v>1.0487</x:v>
      </x:c>
      <x:c r="N1841" s="74" t="n">
        <x:f>1-F1841/M1841</x:f>
        <x:v>0</x:v>
      </x:c>
    </x:row>
    <x:row r="1842" ht="27" customHeight="1">
      <x:c r="A1842" s="66" t="str">
        <x:v>SEV580</x:v>
      </x:c>
      <x:c r="B1842" s="66" t="str">
        <x:v>祁腾蜂赢1号</x:v>
      </x:c>
      <x:c r="C1842" s="72" t="n">
        <x:v>43657</x:v>
      </x:c>
      <x:c r="D1842" s="73" t="n">
        <x:v>1.0161</x:v>
      </x:c>
      <x:c r="E1842" s="73" t="n">
        <x:v>1.0511</x:v>
      </x:c>
      <x:c r="F1842" s="73" t="n">
        <x:v>1.0516</x:v>
      </x:c>
      <x:c r="G1842" s="74" t="n">
        <x:v>0.0028000000000000004</x:v>
      </x:c>
      <x:c r="H1842" s="66" t="str">
        <x:v>祁腾蜂赢1号净值20260911.xlsx</x:v>
      </x:c>
      <x:c r="I1842" s="73" t="str">
        <x:f>""</x:f>
      </x:c>
      <x:c r="J1842" s="74" t="str">
        <x:f>""</x:f>
      </x:c>
      <x:c r="K1842" s="73" t="str">
        <x:f>""</x:f>
      </x:c>
      <x:c r="L1842" s="74" t="str">
        <x:f>""</x:f>
      </x:c>
      <x:c r="M1842" s="73" t="n">
        <x:f>MAX(M1841,F1842)</x:f>
        <x:v>1.0516</x:v>
      </x:c>
      <x:c r="N1842" s="74" t="n">
        <x:f>1-F1842/M1842</x:f>
        <x:v>0</x:v>
      </x:c>
    </x:row>
    <x:row r="1843" ht="27" customHeight="1">
      <x:c r="A1843" s="66" t="str">
        <x:v>SEV580</x:v>
      </x:c>
      <x:c r="B1843" s="66" t="str">
        <x:v>祁腾蜂赢1号</x:v>
      </x:c>
      <x:c r="C1843" s="72" t="n">
        <x:v>43658</x:v>
      </x:c>
      <x:c r="D1843" s="73" t="n">
        <x:v>1.0166</x:v>
      </x:c>
      <x:c r="E1843" s="73" t="n">
        <x:v>1.0516</x:v>
      </x:c>
      <x:c r="F1843" s="73" t="n">
        <x:v>1.0521</x:v>
      </x:c>
      <x:c r="G1843" s="74" t="n">
        <x:v>0.0005</x:v>
      </x:c>
      <x:c r="H1843" s="66" t="str">
        <x:v>祁腾蜂赢1号净值20260911.xlsx</x:v>
      </x:c>
      <x:c r="I1843" s="73" t="str">
        <x:f>""</x:f>
      </x:c>
      <x:c r="J1843" s="74" t="str">
        <x:f>""</x:f>
      </x:c>
      <x:c r="K1843" s="73" t="str">
        <x:f>""</x:f>
      </x:c>
      <x:c r="L1843" s="74" t="str">
        <x:f>""</x:f>
      </x:c>
      <x:c r="M1843" s="73" t="n">
        <x:f>MAX(M1842,F1843)</x:f>
        <x:v>1.0521</x:v>
      </x:c>
      <x:c r="N1843" s="74" t="n">
        <x:f>1-F1843/M1843</x:f>
        <x:v>0</x:v>
      </x:c>
    </x:row>
    <x:row r="1844" ht="27" customHeight="1">
      <x:c r="A1844" s="66" t="str">
        <x:v>SEV580</x:v>
      </x:c>
      <x:c r="B1844" s="66" t="str">
        <x:v>祁腾蜂赢1号</x:v>
      </x:c>
      <x:c r="C1844" s="72" t="n">
        <x:v>43661</x:v>
      </x:c>
      <x:c r="D1844" s="73" t="n">
        <x:v>1.0187</x:v>
      </x:c>
      <x:c r="E1844" s="73" t="n">
        <x:v>1.0537</x:v>
      </x:c>
      <x:c r="F1844" s="73" t="n">
        <x:v>1.0543</x:v>
      </x:c>
      <x:c r="G1844" s="74" t="n">
        <x:v>0.0021</x:v>
      </x:c>
      <x:c r="H1844" s="66" t="str">
        <x:v>祁腾蜂赢1号净值20260911.xlsx</x:v>
      </x:c>
      <x:c r="I1844" s="73" t="str">
        <x:f>""</x:f>
      </x:c>
      <x:c r="J1844" s="74" t="str">
        <x:f>""</x:f>
      </x:c>
      <x:c r="K1844" s="73" t="str">
        <x:f>""</x:f>
      </x:c>
      <x:c r="L1844" s="74" t="str">
        <x:f>""</x:f>
      </x:c>
      <x:c r="M1844" s="73" t="n">
        <x:f>MAX(M1843,F1844)</x:f>
        <x:v>1.0543</x:v>
      </x:c>
      <x:c r="N1844" s="74" t="n">
        <x:f>1-F1844/M1844</x:f>
        <x:v>0</x:v>
      </x:c>
    </x:row>
    <x:row r="1845" ht="27" customHeight="1">
      <x:c r="A1845" s="66" t="str">
        <x:v>SEV580</x:v>
      </x:c>
      <x:c r="B1845" s="66" t="str">
        <x:v>祁腾蜂赢1号</x:v>
      </x:c>
      <x:c r="C1845" s="72" t="n">
        <x:v>43662</x:v>
      </x:c>
      <x:c r="D1845" s="73" t="n">
        <x:v>1.0199</x:v>
      </x:c>
      <x:c r="E1845" s="73" t="n">
        <x:v>1.0549</x:v>
      </x:c>
      <x:c r="F1845" s="73" t="n">
        <x:v>1.0556</x:v>
      </x:c>
      <x:c r="G1845" s="74" t="n">
        <x:v>0.0012</x:v>
      </x:c>
      <x:c r="H1845" s="66" t="str">
        <x:v>祁腾蜂赢1号净值20260911.xlsx</x:v>
      </x:c>
      <x:c r="I1845" s="73" t="str">
        <x:f>""</x:f>
      </x:c>
      <x:c r="J1845" s="74" t="str">
        <x:f>""</x:f>
      </x:c>
      <x:c r="K1845" s="73" t="str">
        <x:f>""</x:f>
      </x:c>
      <x:c r="L1845" s="74" t="str">
        <x:f>""</x:f>
      </x:c>
      <x:c r="M1845" s="73" t="n">
        <x:f>MAX(M1844,F1845)</x:f>
        <x:v>1.0556</x:v>
      </x:c>
      <x:c r="N1845" s="74" t="n">
        <x:f>1-F1845/M1845</x:f>
        <x:v>0</x:v>
      </x:c>
    </x:row>
    <x:row r="1846" ht="27" customHeight="1">
      <x:c r="A1846" s="66" t="str">
        <x:v>SEV580</x:v>
      </x:c>
      <x:c r="B1846" s="66" t="str">
        <x:v>祁腾蜂赢1号</x:v>
      </x:c>
      <x:c r="C1846" s="72" t="n">
        <x:v>43663</x:v>
      </x:c>
      <x:c r="D1846" s="73" t="n">
        <x:v>1.0197</x:v>
      </x:c>
      <x:c r="E1846" s="73" t="n">
        <x:v>1.0547</x:v>
      </x:c>
      <x:c r="F1846" s="73" t="n">
        <x:v>1.0554</x:v>
      </x:c>
      <x:c r="G1846" s="74" t="n">
        <x:v>-0.0002</x:v>
      </x:c>
      <x:c r="H1846" s="66" t="str">
        <x:v>祁腾蜂赢1号净值20260911.xlsx</x:v>
      </x:c>
      <x:c r="I1846" s="73" t="str">
        <x:f>""</x:f>
      </x:c>
      <x:c r="J1846" s="74" t="str">
        <x:f>""</x:f>
      </x:c>
      <x:c r="K1846" s="73" t="str">
        <x:f>""</x:f>
      </x:c>
      <x:c r="L1846" s="74" t="str">
        <x:f>""</x:f>
      </x:c>
      <x:c r="M1846" s="73" t="n">
        <x:f>MAX(M1845,F1846)</x:f>
        <x:v>1.0556</x:v>
      </x:c>
      <x:c r="N1846" s="74" t="n">
        <x:f>1-F1846/M1846</x:f>
        <x:v>0.00018946570670730356</x:v>
      </x:c>
    </x:row>
    <x:row r="1847" ht="27" customHeight="1">
      <x:c r="A1847" s="66" t="str">
        <x:v>SEV580</x:v>
      </x:c>
      <x:c r="B1847" s="66" t="str">
        <x:v>祁腾蜂赢1号</x:v>
      </x:c>
      <x:c r="C1847" s="72" t="n">
        <x:v>43664</x:v>
      </x:c>
      <x:c r="D1847" s="73" t="n">
        <x:v>1.0207</x:v>
      </x:c>
      <x:c r="E1847" s="73" t="n">
        <x:v>1.0557</x:v>
      </x:c>
      <x:c r="F1847" s="73" t="n">
        <x:v>1.0564</x:v>
      </x:c>
      <x:c r="G1847" s="74" t="n">
        <x:v>0.001</x:v>
      </x:c>
      <x:c r="H1847" s="66" t="str">
        <x:v>祁腾蜂赢1号净值20260911.xlsx</x:v>
      </x:c>
      <x:c r="I1847" s="73" t="str">
        <x:f>""</x:f>
      </x:c>
      <x:c r="J1847" s="74" t="str">
        <x:f>""</x:f>
      </x:c>
      <x:c r="K1847" s="73" t="str">
        <x:f>""</x:f>
      </x:c>
      <x:c r="L1847" s="74" t="str">
        <x:f>""</x:f>
      </x:c>
      <x:c r="M1847" s="73" t="n">
        <x:f>MAX(M1846,F1847)</x:f>
        <x:v>1.0564</x:v>
      </x:c>
      <x:c r="N1847" s="74" t="n">
        <x:f>1-F1847/M1847</x:f>
        <x:v>0</x:v>
      </x:c>
    </x:row>
    <x:row r="1848" ht="27" customHeight="1">
      <x:c r="A1848" s="66" t="str">
        <x:v>SEV580</x:v>
      </x:c>
      <x:c r="B1848" s="66" t="str">
        <x:v>祁腾蜂赢1号</x:v>
      </x:c>
      <x:c r="C1848" s="72" t="n">
        <x:v>43665</x:v>
      </x:c>
      <x:c r="D1848" s="73" t="n">
        <x:v>1.0233</x:v>
      </x:c>
      <x:c r="E1848" s="73" t="n">
        <x:v>1.0583</x:v>
      </x:c>
      <x:c r="F1848" s="73" t="n">
        <x:v>1.0591</x:v>
      </x:c>
      <x:c r="G1848" s="74" t="n">
        <x:v>0.0025</x:v>
      </x:c>
      <x:c r="H1848" s="66" t="str">
        <x:v>祁腾蜂赢1号净值20260911.xlsx</x:v>
      </x:c>
      <x:c r="I1848" s="73" t="str">
        <x:f>""</x:f>
      </x:c>
      <x:c r="J1848" s="74" t="str">
        <x:f>""</x:f>
      </x:c>
      <x:c r="K1848" s="73" t="str">
        <x:f>""</x:f>
      </x:c>
      <x:c r="L1848" s="74" t="str">
        <x:f>""</x:f>
      </x:c>
      <x:c r="M1848" s="73" t="n">
        <x:f>MAX(M1847,F1848)</x:f>
        <x:v>1.0591</x:v>
      </x:c>
      <x:c r="N1848" s="74" t="n">
        <x:f>1-F1848/M1848</x:f>
        <x:v>0</x:v>
      </x:c>
    </x:row>
    <x:row r="1849" ht="27" customHeight="1">
      <x:c r="A1849" s="66" t="str">
        <x:v>SEV580</x:v>
      </x:c>
      <x:c r="B1849" s="66" t="str">
        <x:v>祁腾蜂赢1号</x:v>
      </x:c>
      <x:c r="C1849" s="72" t="n">
        <x:v>43668</x:v>
      </x:c>
      <x:c r="D1849" s="73" t="n">
        <x:v>1.0246</x:v>
      </x:c>
      <x:c r="E1849" s="73" t="n">
        <x:v>1.0596</x:v>
      </x:c>
      <x:c r="F1849" s="73" t="n">
        <x:v>1.0604</x:v>
      </x:c>
      <x:c r="G1849" s="74" t="n">
        <x:v>0.0013</x:v>
      </x:c>
      <x:c r="H1849" s="66" t="str">
        <x:v>祁腾蜂赢1号净值20260911.xlsx</x:v>
      </x:c>
      <x:c r="I1849" s="73" t="str">
        <x:f>""</x:f>
      </x:c>
      <x:c r="J1849" s="74" t="str">
        <x:f>""</x:f>
      </x:c>
      <x:c r="K1849" s="73" t="str">
        <x:f>""</x:f>
      </x:c>
      <x:c r="L1849" s="74" t="str">
        <x:f>""</x:f>
      </x:c>
      <x:c r="M1849" s="73" t="n">
        <x:f>MAX(M1848,F1849)</x:f>
        <x:v>1.0604</x:v>
      </x:c>
      <x:c r="N1849" s="74" t="n">
        <x:f>1-F1849/M1849</x:f>
        <x:v>0</x:v>
      </x:c>
    </x:row>
    <x:row r="1850" ht="27" customHeight="1">
      <x:c r="A1850" s="66" t="str">
        <x:v>SEV580</x:v>
      </x:c>
      <x:c r="B1850" s="66" t="str">
        <x:v>祁腾蜂赢1号</x:v>
      </x:c>
      <x:c r="C1850" s="72" t="n">
        <x:v>43669</x:v>
      </x:c>
      <x:c r="D1850" s="73" t="n">
        <x:v>1.0253</x:v>
      </x:c>
      <x:c r="E1850" s="73" t="n">
        <x:v>1.0603</x:v>
      </x:c>
      <x:c r="F1850" s="73" t="n">
        <x:v>1.0611</x:v>
      </x:c>
      <x:c r="G1850" s="74" t="n">
        <x:v>0.0007000000000000001</x:v>
      </x:c>
      <x:c r="H1850" s="66" t="str">
        <x:v>祁腾蜂赢1号净值20260911.xlsx</x:v>
      </x:c>
      <x:c r="I1850" s="73" t="str">
        <x:f>""</x:f>
      </x:c>
      <x:c r="J1850" s="74" t="str">
        <x:f>""</x:f>
      </x:c>
      <x:c r="K1850" s="73" t="str">
        <x:f>""</x:f>
      </x:c>
      <x:c r="L1850" s="74" t="str">
        <x:f>""</x:f>
      </x:c>
      <x:c r="M1850" s="73" t="n">
        <x:f>MAX(M1849,F1850)</x:f>
        <x:v>1.0611</x:v>
      </x:c>
      <x:c r="N1850" s="74" t="n">
        <x:f>1-F1850/M1850</x:f>
        <x:v>0</x:v>
      </x:c>
    </x:row>
    <x:row r="1851" ht="27" customHeight="1">
      <x:c r="A1851" s="66" t="str">
        <x:v>SEV580</x:v>
      </x:c>
      <x:c r="B1851" s="66" t="str">
        <x:v>祁腾蜂赢1号</x:v>
      </x:c>
      <x:c r="C1851" s="72" t="n">
        <x:v>43670</x:v>
      </x:c>
      <x:c r="D1851" s="73" t="n">
        <x:v>1.0259</x:v>
      </x:c>
      <x:c r="E1851" s="73" t="n">
        <x:v>1.0609</x:v>
      </x:c>
      <x:c r="F1851" s="73" t="n">
        <x:v>1.0618</x:v>
      </x:c>
      <x:c r="G1851" s="74" t="n">
        <x:v>0.0006</x:v>
      </x:c>
      <x:c r="H1851" s="66" t="str">
        <x:v>祁腾蜂赢1号净值20260911.xlsx</x:v>
      </x:c>
      <x:c r="I1851" s="73" t="str">
        <x:f>""</x:f>
      </x:c>
      <x:c r="J1851" s="74" t="str">
        <x:f>""</x:f>
      </x:c>
      <x:c r="K1851" s="73" t="str">
        <x:f>""</x:f>
      </x:c>
      <x:c r="L1851" s="74" t="str">
        <x:f>""</x:f>
      </x:c>
      <x:c r="M1851" s="73" t="n">
        <x:f>MAX(M1850,F1851)</x:f>
        <x:v>1.0618</x:v>
      </x:c>
      <x:c r="N1851" s="74" t="n">
        <x:f>1-F1851/M1851</x:f>
        <x:v>0</x:v>
      </x:c>
    </x:row>
    <x:row r="1852" ht="27" customHeight="1">
      <x:c r="A1852" s="66" t="str">
        <x:v>SEV580</x:v>
      </x:c>
      <x:c r="B1852" s="66" t="str">
        <x:v>祁腾蜂赢1号</x:v>
      </x:c>
      <x:c r="C1852" s="72" t="n">
        <x:v>43671</x:v>
      </x:c>
      <x:c r="D1852" s="73" t="n">
        <x:v>1.0269</x:v>
      </x:c>
      <x:c r="E1852" s="73" t="n">
        <x:v>1.0619</x:v>
      </x:c>
      <x:c r="F1852" s="73" t="n">
        <x:v>1.0628</x:v>
      </x:c>
      <x:c r="G1852" s="74" t="n">
        <x:v>0.001</x:v>
      </x:c>
      <x:c r="H1852" s="66" t="str">
        <x:v>祁腾蜂赢1号净值20260911.xlsx</x:v>
      </x:c>
      <x:c r="I1852" s="73" t="str">
        <x:f>""</x:f>
      </x:c>
      <x:c r="J1852" s="74" t="str">
        <x:f>""</x:f>
      </x:c>
      <x:c r="K1852" s="73" t="str">
        <x:f>""</x:f>
      </x:c>
      <x:c r="L1852" s="74" t="str">
        <x:f>""</x:f>
      </x:c>
      <x:c r="M1852" s="73" t="n">
        <x:f>MAX(M1851,F1852)</x:f>
        <x:v>1.0628</x:v>
      </x:c>
      <x:c r="N1852" s="74" t="n">
        <x:f>1-F1852/M1852</x:f>
        <x:v>0</x:v>
      </x:c>
    </x:row>
    <x:row r="1853" ht="27" customHeight="1">
      <x:c r="A1853" s="66" t="str">
        <x:v>SEV580</x:v>
      </x:c>
      <x:c r="B1853" s="66" t="str">
        <x:v>祁腾蜂赢1号</x:v>
      </x:c>
      <x:c r="C1853" s="72" t="n">
        <x:v>43672</x:v>
      </x:c>
      <x:c r="D1853" s="73" t="n">
        <x:v>1.0276</x:v>
      </x:c>
      <x:c r="E1853" s="73" t="n">
        <x:v>1.0626</x:v>
      </x:c>
      <x:c r="F1853" s="73" t="n">
        <x:v>1.0635</x:v>
      </x:c>
      <x:c r="G1853" s="74" t="n">
        <x:v>0.0007000000000000001</x:v>
      </x:c>
      <x:c r="H1853" s="66" t="str">
        <x:v>祁腾蜂赢1号净值20260911.xlsx</x:v>
      </x:c>
      <x:c r="I1853" s="73" t="str">
        <x:f>""</x:f>
      </x:c>
      <x:c r="J1853" s="74" t="str">
        <x:f>""</x:f>
      </x:c>
      <x:c r="K1853" s="73" t="str">
        <x:f>""</x:f>
      </x:c>
      <x:c r="L1853" s="74" t="str">
        <x:f>""</x:f>
      </x:c>
      <x:c r="M1853" s="73" t="n">
        <x:f>MAX(M1852,F1853)</x:f>
        <x:v>1.0635</x:v>
      </x:c>
      <x:c r="N1853" s="74" t="n">
        <x:f>1-F1853/M1853</x:f>
        <x:v>0</x:v>
      </x:c>
    </x:row>
    <x:row r="1854" ht="27" customHeight="1">
      <x:c r="A1854" s="66" t="str">
        <x:v>SEV580</x:v>
      </x:c>
      <x:c r="B1854" s="66" t="str">
        <x:v>祁腾蜂赢1号</x:v>
      </x:c>
      <x:c r="C1854" s="72" t="n">
        <x:v>43675</x:v>
      </x:c>
      <x:c r="D1854" s="73" t="n">
        <x:v>1.0283</x:v>
      </x:c>
      <x:c r="E1854" s="73" t="n">
        <x:v>1.0633</x:v>
      </x:c>
      <x:c r="F1854" s="73" t="n">
        <x:v>1.0643</x:v>
      </x:c>
      <x:c r="G1854" s="74" t="n">
        <x:v>0.0007000000000000001</x:v>
      </x:c>
      <x:c r="H1854" s="66" t="str">
        <x:v>祁腾蜂赢1号净值20260911.xlsx</x:v>
      </x:c>
      <x:c r="I1854" s="73" t="str">
        <x:f>""</x:f>
      </x:c>
      <x:c r="J1854" s="74" t="str">
        <x:f>""</x:f>
      </x:c>
      <x:c r="K1854" s="73" t="str">
        <x:f>""</x:f>
      </x:c>
      <x:c r="L1854" s="74" t="str">
        <x:f>""</x:f>
      </x:c>
      <x:c r="M1854" s="73" t="n">
        <x:f>MAX(M1853,F1854)</x:f>
        <x:v>1.0643</x:v>
      </x:c>
      <x:c r="N1854" s="74" t="n">
        <x:f>1-F1854/M1854</x:f>
        <x:v>0</x:v>
      </x:c>
    </x:row>
    <x:row r="1855" ht="27" customHeight="1">
      <x:c r="A1855" s="66" t="str">
        <x:v>SEV580</x:v>
      </x:c>
      <x:c r="B1855" s="66" t="str">
        <x:v>祁腾蜂赢1号</x:v>
      </x:c>
      <x:c r="C1855" s="72" t="n">
        <x:v>43676</x:v>
      </x:c>
      <x:c r="D1855" s="73" t="n">
        <x:v>1.0281</x:v>
      </x:c>
      <x:c r="E1855" s="73" t="n">
        <x:v>1.0631</x:v>
      </x:c>
      <x:c r="F1855" s="73" t="n">
        <x:v>1.064</x:v>
      </x:c>
      <x:c r="G1855" s="74" t="n">
        <x:v>-0.0002</x:v>
      </x:c>
      <x:c r="H1855" s="66" t="str">
        <x:v>祁腾蜂赢1号净值20260911.xlsx</x:v>
      </x:c>
      <x:c r="I1855" s="73" t="str">
        <x:f>""</x:f>
      </x:c>
      <x:c r="J1855" s="74" t="str">
        <x:f>""</x:f>
      </x:c>
      <x:c r="K1855" s="73" t="str">
        <x:f>""</x:f>
      </x:c>
      <x:c r="L1855" s="74" t="str">
        <x:f>""</x:f>
      </x:c>
      <x:c r="M1855" s="73" t="n">
        <x:f>MAX(M1854,F1855)</x:f>
        <x:v>1.0643</x:v>
      </x:c>
      <x:c r="N1855" s="74" t="n">
        <x:f>1-F1855/M1855</x:f>
        <x:v>0.0002818754110682775</x:v>
      </x:c>
    </x:row>
    <x:row r="1856" ht="27" customHeight="1">
      <x:c r="A1856" s="66" t="str">
        <x:v>SEV580</x:v>
      </x:c>
      <x:c r="B1856" s="66" t="str">
        <x:v>祁腾蜂赢1号</x:v>
      </x:c>
      <x:c r="C1856" s="72" t="n">
        <x:v>43677</x:v>
      </x:c>
      <x:c r="D1856" s="73" t="n">
        <x:v>1.0282</x:v>
      </x:c>
      <x:c r="E1856" s="73" t="n">
        <x:v>1.0632</x:v>
      </x:c>
      <x:c r="F1856" s="73" t="n">
        <x:v>1.0642</x:v>
      </x:c>
      <x:c r="G1856" s="74" t="n">
        <x:v>0.0001</x:v>
      </x:c>
      <x:c r="H1856" s="66" t="str">
        <x:v>祁腾蜂赢1号净值20260911.xlsx</x:v>
      </x:c>
      <x:c r="I1856" s="73" t="str">
        <x:f>""</x:f>
      </x:c>
      <x:c r="J1856" s="74" t="str">
        <x:f>""</x:f>
      </x:c>
      <x:c r="K1856" s="73" t="str">
        <x:f>""</x:f>
      </x:c>
      <x:c r="L1856" s="74" t="str">
        <x:f>""</x:f>
      </x:c>
      <x:c r="M1856" s="73" t="n">
        <x:f>MAX(M1855,F1856)</x:f>
        <x:v>1.0643</x:v>
      </x:c>
      <x:c r="N1856" s="74" t="n">
        <x:f>1-F1856/M1856</x:f>
        <x:v>0.0000939584703560925</x:v>
      </x:c>
    </x:row>
    <x:row r="1857" ht="27" customHeight="1">
      <x:c r="A1857" s="66" t="str">
        <x:v>SEV580</x:v>
      </x:c>
      <x:c r="B1857" s="66" t="str">
        <x:v>祁腾蜂赢1号</x:v>
      </x:c>
      <x:c r="C1857" s="72" t="n">
        <x:v>43678</x:v>
      </x:c>
      <x:c r="D1857" s="73" t="n">
        <x:v>1.0286</x:v>
      </x:c>
      <x:c r="E1857" s="73" t="n">
        <x:v>1.0636</x:v>
      </x:c>
      <x:c r="F1857" s="73" t="n">
        <x:v>1.0646</x:v>
      </x:c>
      <x:c r="G1857" s="74" t="n">
        <x:v>0.0004</x:v>
      </x:c>
      <x:c r="H1857" s="66" t="str">
        <x:v>祁腾蜂赢1号净值20260911.xlsx</x:v>
      </x:c>
      <x:c r="I1857" s="73" t="str">
        <x:f>""</x:f>
      </x:c>
      <x:c r="J1857" s="74" t="str">
        <x:f>""</x:f>
      </x:c>
      <x:c r="K1857" s="73" t="str">
        <x:f>""</x:f>
      </x:c>
      <x:c r="L1857" s="74" t="str">
        <x:f>""</x:f>
      </x:c>
      <x:c r="M1857" s="73" t="n">
        <x:f>MAX(M1856,F1857)</x:f>
        <x:v>1.0646</x:v>
      </x:c>
      <x:c r="N1857" s="74" t="n">
        <x:f>1-F1857/M1857</x:f>
        <x:v>0</x:v>
      </x:c>
    </x:row>
    <x:row r="1858" ht="27" customHeight="1">
      <x:c r="A1858" s="66" t="str">
        <x:v>SEV580</x:v>
      </x:c>
      <x:c r="B1858" s="66" t="str">
        <x:v>祁腾蜂赢1号</x:v>
      </x:c>
      <x:c r="C1858" s="72" t="n">
        <x:v>43679</x:v>
      </x:c>
      <x:c r="D1858" s="73" t="n">
        <x:v>1.026</x:v>
      </x:c>
      <x:c r="E1858" s="73" t="n">
        <x:v>1.061</x:v>
      </x:c>
      <x:c r="F1858" s="73" t="n">
        <x:v>1.0619</x:v>
      </x:c>
      <x:c r="G1858" s="74" t="n">
        <x:v>-0.0025</x:v>
      </x:c>
      <x:c r="H1858" s="66" t="str">
        <x:v>祁腾蜂赢1号净值20260911.xlsx</x:v>
      </x:c>
      <x:c r="I1858" s="73" t="str">
        <x:f>""</x:f>
      </x:c>
      <x:c r="J1858" s="74" t="str">
        <x:f>""</x:f>
      </x:c>
      <x:c r="K1858" s="73" t="str">
        <x:f>""</x:f>
      </x:c>
      <x:c r="L1858" s="74" t="str">
        <x:f>""</x:f>
      </x:c>
      <x:c r="M1858" s="73" t="n">
        <x:f>MAX(M1857,F1858)</x:f>
        <x:v>1.0646</x:v>
      </x:c>
      <x:c r="N1858" s="74" t="n">
        <x:f>1-F1858/M1858</x:f>
        <x:v>0.0025361638173961865</x:v>
      </x:c>
    </x:row>
    <x:row r="1859" ht="27" customHeight="1">
      <x:c r="A1859" s="66" t="str">
        <x:v>SEV580</x:v>
      </x:c>
      <x:c r="B1859" s="66" t="str">
        <x:v>祁腾蜂赢1号</x:v>
      </x:c>
      <x:c r="C1859" s="72" t="n">
        <x:v>43682</x:v>
      </x:c>
      <x:c r="D1859" s="73" t="n">
        <x:v>1.0383</x:v>
      </x:c>
      <x:c r="E1859" s="73" t="n">
        <x:v>1.0733</x:v>
      </x:c>
      <x:c r="F1859" s="73" t="n">
        <x:v>1.0746</x:v>
      </x:c>
      <x:c r="G1859" s="74" t="n">
        <x:v>0.012</x:v>
      </x:c>
      <x:c r="H1859" s="66" t="str">
        <x:v>祁腾蜂赢1号净值20260911.xlsx</x:v>
      </x:c>
      <x:c r="I1859" s="73" t="str">
        <x:f>""</x:f>
      </x:c>
      <x:c r="J1859" s="74" t="str">
        <x:f>""</x:f>
      </x:c>
      <x:c r="K1859" s="73" t="str">
        <x:f>""</x:f>
      </x:c>
      <x:c r="L1859" s="74" t="str">
        <x:f>""</x:f>
      </x:c>
      <x:c r="M1859" s="73" t="n">
        <x:f>MAX(M1858,F1859)</x:f>
        <x:v>1.0746</x:v>
      </x:c>
      <x:c r="N1859" s="74" t="n">
        <x:f>1-F1859/M1859</x:f>
        <x:v>0</x:v>
      </x:c>
    </x:row>
    <x:row r="1860" ht="27" customHeight="1">
      <x:c r="A1860" s="66" t="str">
        <x:v>SEV580</x:v>
      </x:c>
      <x:c r="B1860" s="66" t="str">
        <x:v>祁腾蜂赢1号</x:v>
      </x:c>
      <x:c r="C1860" s="72" t="n">
        <x:v>43683</x:v>
      </x:c>
      <x:c r="D1860" s="73" t="n">
        <x:v>1.0392</x:v>
      </x:c>
      <x:c r="E1860" s="73" t="n">
        <x:v>1.0742</x:v>
      </x:c>
      <x:c r="F1860" s="73" t="n">
        <x:v>1.0755</x:v>
      </x:c>
      <x:c r="G1860" s="74" t="n">
        <x:v>0.0009</x:v>
      </x:c>
      <x:c r="H1860" s="66" t="str">
        <x:v>祁腾蜂赢1号净值20260911.xlsx</x:v>
      </x:c>
      <x:c r="I1860" s="73" t="str">
        <x:f>""</x:f>
      </x:c>
      <x:c r="J1860" s="74" t="str">
        <x:f>""</x:f>
      </x:c>
      <x:c r="K1860" s="73" t="str">
        <x:f>""</x:f>
      </x:c>
      <x:c r="L1860" s="74" t="str">
        <x:f>""</x:f>
      </x:c>
      <x:c r="M1860" s="73" t="n">
        <x:f>MAX(M1859,F1860)</x:f>
        <x:v>1.0755</x:v>
      </x:c>
      <x:c r="N1860" s="74" t="n">
        <x:f>1-F1860/M1860</x:f>
        <x:v>0</x:v>
      </x:c>
    </x:row>
    <x:row r="1861" ht="27" customHeight="1">
      <x:c r="A1861" s="66" t="str">
        <x:v>SEV580</x:v>
      </x:c>
      <x:c r="B1861" s="66" t="str">
        <x:v>祁腾蜂赢1号</x:v>
      </x:c>
      <x:c r="C1861" s="72" t="n">
        <x:v>43684</x:v>
      </x:c>
      <x:c r="D1861" s="73" t="n">
        <x:v>1.04</x:v>
      </x:c>
      <x:c r="E1861" s="73" t="n">
        <x:v>1.075</x:v>
      </x:c>
      <x:c r="F1861" s="73" t="n">
        <x:v>1.0764</x:v>
      </x:c>
      <x:c r="G1861" s="74" t="n">
        <x:v>0.0008</x:v>
      </x:c>
      <x:c r="H1861" s="66" t="str">
        <x:v>祁腾蜂赢1号净值20260911.xlsx</x:v>
      </x:c>
      <x:c r="I1861" s="73" t="str">
        <x:f>""</x:f>
      </x:c>
      <x:c r="J1861" s="74" t="str">
        <x:f>""</x:f>
      </x:c>
      <x:c r="K1861" s="73" t="str">
        <x:f>""</x:f>
      </x:c>
      <x:c r="L1861" s="74" t="str">
        <x:f>""</x:f>
      </x:c>
      <x:c r="M1861" s="73" t="n">
        <x:f>MAX(M1860,F1861)</x:f>
        <x:v>1.0764</x:v>
      </x:c>
      <x:c r="N1861" s="74" t="n">
        <x:f>1-F1861/M1861</x:f>
        <x:v>0</x:v>
      </x:c>
    </x:row>
    <x:row r="1862" ht="27" customHeight="1">
      <x:c r="A1862" s="66" t="str">
        <x:v>SEV580</x:v>
      </x:c>
      <x:c r="B1862" s="66" t="str">
        <x:v>祁腾蜂赢1号</x:v>
      </x:c>
      <x:c r="C1862" s="72" t="n">
        <x:v>43685</x:v>
      </x:c>
      <x:c r="D1862" s="73" t="n">
        <x:v>1.0408</x:v>
      </x:c>
      <x:c r="E1862" s="73" t="n">
        <x:v>1.0758</x:v>
      </x:c>
      <x:c r="F1862" s="73" t="n">
        <x:v>1.0772</x:v>
      </x:c>
      <x:c r="G1862" s="74" t="n">
        <x:v>0.0008</x:v>
      </x:c>
      <x:c r="H1862" s="66" t="str">
        <x:v>祁腾蜂赢1号净值20260911.xlsx</x:v>
      </x:c>
      <x:c r="I1862" s="73" t="str">
        <x:f>""</x:f>
      </x:c>
      <x:c r="J1862" s="74" t="str">
        <x:f>""</x:f>
      </x:c>
      <x:c r="K1862" s="73" t="str">
        <x:f>""</x:f>
      </x:c>
      <x:c r="L1862" s="74" t="str">
        <x:f>""</x:f>
      </x:c>
      <x:c r="M1862" s="73" t="n">
        <x:f>MAX(M1861,F1862)</x:f>
        <x:v>1.0772</x:v>
      </x:c>
      <x:c r="N1862" s="74" t="n">
        <x:f>1-F1862/M1862</x:f>
        <x:v>0</x:v>
      </x:c>
    </x:row>
    <x:row r="1863" ht="27" customHeight="1">
      <x:c r="A1863" s="66" t="str">
        <x:v>SEV580</x:v>
      </x:c>
      <x:c r="B1863" s="66" t="str">
        <x:v>祁腾蜂赢1号</x:v>
      </x:c>
      <x:c r="C1863" s="72" t="n">
        <x:v>43686</x:v>
      </x:c>
      <x:c r="D1863" s="73" t="n">
        <x:v>1.0423</x:v>
      </x:c>
      <x:c r="E1863" s="73" t="n">
        <x:v>1.0773</x:v>
      </x:c>
      <x:c r="F1863" s="73" t="n">
        <x:v>1.0787</x:v>
      </x:c>
      <x:c r="G1863" s="74" t="n">
        <x:v>0.0014000000000000002</x:v>
      </x:c>
      <x:c r="H1863" s="66" t="str">
        <x:v>祁腾蜂赢1号净值20260911.xlsx</x:v>
      </x:c>
      <x:c r="I1863" s="73" t="str">
        <x:f>""</x:f>
      </x:c>
      <x:c r="J1863" s="74" t="str">
        <x:f>""</x:f>
      </x:c>
      <x:c r="K1863" s="73" t="str">
        <x:f>""</x:f>
      </x:c>
      <x:c r="L1863" s="74" t="str">
        <x:f>""</x:f>
      </x:c>
      <x:c r="M1863" s="73" t="n">
        <x:f>MAX(M1862,F1863)</x:f>
        <x:v>1.0787</x:v>
      </x:c>
      <x:c r="N1863" s="74" t="n">
        <x:f>1-F1863/M1863</x:f>
        <x:v>0</x:v>
      </x:c>
    </x:row>
    <x:row r="1864" ht="27" customHeight="1">
      <x:c r="A1864" s="66" t="str">
        <x:v>SEV580</x:v>
      </x:c>
      <x:c r="B1864" s="66" t="str">
        <x:v>祁腾蜂赢1号</x:v>
      </x:c>
      <x:c r="C1864" s="72" t="n">
        <x:v>43689</x:v>
      </x:c>
      <x:c r="D1864" s="73" t="n">
        <x:v>1.0443</x:v>
      </x:c>
      <x:c r="E1864" s="73" t="n">
        <x:v>1.0793</x:v>
      </x:c>
      <x:c r="F1864" s="73" t="n">
        <x:v>1.0808</x:v>
      </x:c>
      <x:c r="G1864" s="74" t="n">
        <x:v>0.0019</x:v>
      </x:c>
      <x:c r="H1864" s="66" t="str">
        <x:v>祁腾蜂赢1号净值20260911.xlsx</x:v>
      </x:c>
      <x:c r="I1864" s="73" t="str">
        <x:f>""</x:f>
      </x:c>
      <x:c r="J1864" s="74" t="str">
        <x:f>""</x:f>
      </x:c>
      <x:c r="K1864" s="73" t="str">
        <x:f>""</x:f>
      </x:c>
      <x:c r="L1864" s="74" t="str">
        <x:f>""</x:f>
      </x:c>
      <x:c r="M1864" s="73" t="n">
        <x:f>MAX(M1863,F1864)</x:f>
        <x:v>1.0808</x:v>
      </x:c>
      <x:c r="N1864" s="74" t="n">
        <x:f>1-F1864/M1864</x:f>
        <x:v>0</x:v>
      </x:c>
    </x:row>
    <x:row r="1865" ht="27" customHeight="1">
      <x:c r="A1865" s="66" t="str">
        <x:v>SEV580</x:v>
      </x:c>
      <x:c r="B1865" s="66" t="str">
        <x:v>祁腾蜂赢1号</x:v>
      </x:c>
      <x:c r="C1865" s="72" t="n">
        <x:v>43690</x:v>
      </x:c>
      <x:c r="D1865" s="73" t="n">
        <x:v>1.045</x:v>
      </x:c>
      <x:c r="E1865" s="73" t="n">
        <x:v>1.08</x:v>
      </x:c>
      <x:c r="F1865" s="73" t="n">
        <x:v>1.0815</x:v>
      </x:c>
      <x:c r="G1865" s="74" t="n">
        <x:v>0.0007000000000000001</x:v>
      </x:c>
      <x:c r="H1865" s="66" t="str">
        <x:v>祁腾蜂赢1号净值20260911.xlsx</x:v>
      </x:c>
      <x:c r="I1865" s="73" t="str">
        <x:f>""</x:f>
      </x:c>
      <x:c r="J1865" s="74" t="str">
        <x:f>""</x:f>
      </x:c>
      <x:c r="K1865" s="73" t="str">
        <x:f>""</x:f>
      </x:c>
      <x:c r="L1865" s="74" t="str">
        <x:f>""</x:f>
      </x:c>
      <x:c r="M1865" s="73" t="n">
        <x:f>MAX(M1864,F1865)</x:f>
        <x:v>1.0815</x:v>
      </x:c>
      <x:c r="N1865" s="74" t="n">
        <x:f>1-F1865/M1865</x:f>
        <x:v>0</x:v>
      </x:c>
    </x:row>
    <x:row r="1866" ht="27" customHeight="1">
      <x:c r="A1866" s="66" t="str">
        <x:v>SEV580</x:v>
      </x:c>
      <x:c r="B1866" s="66" t="str">
        <x:v>祁腾蜂赢1号</x:v>
      </x:c>
      <x:c r="C1866" s="72" t="n">
        <x:v>43691</x:v>
      </x:c>
      <x:c r="D1866" s="73" t="n">
        <x:v>1.0445</x:v>
      </x:c>
      <x:c r="E1866" s="73" t="n">
        <x:v>1.0795</x:v>
      </x:c>
      <x:c r="F1866" s="73" t="n">
        <x:v>1.081</x:v>
      </x:c>
      <x:c r="G1866" s="74" t="n">
        <x:v>-0.0005</x:v>
      </x:c>
      <x:c r="H1866" s="66" t="str">
        <x:v>祁腾蜂赢1号净值20260911.xlsx</x:v>
      </x:c>
      <x:c r="I1866" s="73" t="str">
        <x:f>""</x:f>
      </x:c>
      <x:c r="J1866" s="74" t="str">
        <x:f>""</x:f>
      </x:c>
      <x:c r="K1866" s="73" t="str">
        <x:f>""</x:f>
      </x:c>
      <x:c r="L1866" s="74" t="str">
        <x:f>""</x:f>
      </x:c>
      <x:c r="M1866" s="73" t="n">
        <x:f>MAX(M1865,F1866)</x:f>
        <x:v>1.0815</x:v>
      </x:c>
      <x:c r="N1866" s="74" t="n">
        <x:f>1-F1866/M1866</x:f>
        <x:v>0.000462320850670328</x:v>
      </x:c>
    </x:row>
    <x:row r="1867" ht="27" customHeight="1">
      <x:c r="A1867" s="66" t="str">
        <x:v>SEV580</x:v>
      </x:c>
      <x:c r="B1867" s="66" t="str">
        <x:v>祁腾蜂赢1号</x:v>
      </x:c>
      <x:c r="C1867" s="72" t="n">
        <x:v>43692</x:v>
      </x:c>
      <x:c r="D1867" s="73" t="n">
        <x:v>1.0458</x:v>
      </x:c>
      <x:c r="E1867" s="73" t="n">
        <x:v>1.0808</x:v>
      </x:c>
      <x:c r="F1867" s="73" t="n">
        <x:v>1.0824</x:v>
      </x:c>
      <x:c r="G1867" s="74" t="n">
        <x:v>0.0012</x:v>
      </x:c>
      <x:c r="H1867" s="66" t="str">
        <x:v>祁腾蜂赢1号净值20260911.xlsx</x:v>
      </x:c>
      <x:c r="I1867" s="73" t="str">
        <x:f>""</x:f>
      </x:c>
      <x:c r="J1867" s="74" t="str">
        <x:f>""</x:f>
      </x:c>
      <x:c r="K1867" s="73" t="str">
        <x:f>""</x:f>
      </x:c>
      <x:c r="L1867" s="74" t="str">
        <x:f>""</x:f>
      </x:c>
      <x:c r="M1867" s="73" t="n">
        <x:f>MAX(M1866,F1867)</x:f>
        <x:v>1.0824</x:v>
      </x:c>
      <x:c r="N1867" s="74" t="n">
        <x:f>1-F1867/M1867</x:f>
        <x:v>0</x:v>
      </x:c>
    </x:row>
    <x:row r="1868" ht="27" customHeight="1">
      <x:c r="A1868" s="66" t="str">
        <x:v>SEV580</x:v>
      </x:c>
      <x:c r="B1868" s="66" t="str">
        <x:v>祁腾蜂赢1号</x:v>
      </x:c>
      <x:c r="C1868" s="72" t="n">
        <x:v>43693</x:v>
      </x:c>
      <x:c r="D1868" s="73" t="n">
        <x:v>1.0444</x:v>
      </x:c>
      <x:c r="E1868" s="73" t="n">
        <x:v>1.0794</x:v>
      </x:c>
      <x:c r="F1868" s="73" t="n">
        <x:v>1.0809</x:v>
      </x:c>
      <x:c r="G1868" s="74" t="n">
        <x:v>-0.0013</x:v>
      </x:c>
      <x:c r="H1868" s="66" t="str">
        <x:v>祁腾蜂赢1号净值20260911.xlsx</x:v>
      </x:c>
      <x:c r="I1868" s="73" t="str">
        <x:f>""</x:f>
      </x:c>
      <x:c r="J1868" s="74" t="str">
        <x:f>""</x:f>
      </x:c>
      <x:c r="K1868" s="73" t="str">
        <x:f>""</x:f>
      </x:c>
      <x:c r="L1868" s="74" t="str">
        <x:f>""</x:f>
      </x:c>
      <x:c r="M1868" s="73" t="n">
        <x:f>MAX(M1867,F1868)</x:f>
        <x:v>1.0824</x:v>
      </x:c>
      <x:c r="N1868" s="74" t="n">
        <x:f>1-F1868/M1868</x:f>
        <x:v>0.0013858093126386528</x:v>
      </x:c>
    </x:row>
    <x:row r="1869" ht="27" customHeight="1">
      <x:c r="A1869" s="66" t="str">
        <x:v>SEV580</x:v>
      </x:c>
      <x:c r="B1869" s="66" t="str">
        <x:v>祁腾蜂赢1号</x:v>
      </x:c>
      <x:c r="C1869" s="72" t="n">
        <x:v>43696</x:v>
      </x:c>
      <x:c r="D1869" s="73" t="n">
        <x:v>1.044</x:v>
      </x:c>
      <x:c r="E1869" s="73" t="n">
        <x:v>1.079</x:v>
      </x:c>
      <x:c r="F1869" s="73" t="n">
        <x:v>1.0805</x:v>
      </x:c>
      <x:c r="G1869" s="74" t="n">
        <x:v>-0.0004</x:v>
      </x:c>
      <x:c r="H1869" s="66" t="str">
        <x:v>祁腾蜂赢1号净值20260911.xlsx</x:v>
      </x:c>
      <x:c r="I1869" s="73" t="str">
        <x:f>""</x:f>
      </x:c>
      <x:c r="J1869" s="74" t="str">
        <x:f>""</x:f>
      </x:c>
      <x:c r="K1869" s="73" t="str">
        <x:f>""</x:f>
      </x:c>
      <x:c r="L1869" s="74" t="str">
        <x:f>""</x:f>
      </x:c>
      <x:c r="M1869" s="73" t="n">
        <x:f>MAX(M1868,F1869)</x:f>
        <x:v>1.0824</x:v>
      </x:c>
      <x:c r="N1869" s="74" t="n">
        <x:f>1-F1869/M1869</x:f>
        <x:v>0.0017553584626754937</x:v>
      </x:c>
    </x:row>
    <x:row r="1870" ht="27" customHeight="1">
      <x:c r="A1870" s="66" t="str">
        <x:v>SEV580</x:v>
      </x:c>
      <x:c r="B1870" s="66" t="str">
        <x:v>祁腾蜂赢1号</x:v>
      </x:c>
      <x:c r="C1870" s="72" t="n">
        <x:v>43697</x:v>
      </x:c>
      <x:c r="D1870" s="73" t="n">
        <x:v>1.0442</x:v>
      </x:c>
      <x:c r="E1870" s="73" t="n">
        <x:v>1.0792</x:v>
      </x:c>
      <x:c r="F1870" s="73" t="n">
        <x:v>1.0807</x:v>
      </x:c>
      <x:c r="G1870" s="74" t="n">
        <x:v>0.0002</x:v>
      </x:c>
      <x:c r="H1870" s="66" t="str">
        <x:v>祁腾蜂赢1号净值20260911.xlsx</x:v>
      </x:c>
      <x:c r="I1870" s="73" t="str">
        <x:f>""</x:f>
      </x:c>
      <x:c r="J1870" s="74" t="str">
        <x:f>""</x:f>
      </x:c>
      <x:c r="K1870" s="73" t="str">
        <x:f>""</x:f>
      </x:c>
      <x:c r="L1870" s="74" t="str">
        <x:f>""</x:f>
      </x:c>
      <x:c r="M1870" s="73" t="n">
        <x:f>MAX(M1869,F1870)</x:f>
        <x:v>1.0824</x:v>
      </x:c>
      <x:c r="N1870" s="74" t="n">
        <x:f>1-F1870/M1870</x:f>
        <x:v>0.0015705838876570732</x:v>
      </x:c>
    </x:row>
    <x:row r="1871" ht="27" customHeight="1">
      <x:c r="A1871" s="66" t="str">
        <x:v>SEV580</x:v>
      </x:c>
      <x:c r="B1871" s="66" t="str">
        <x:v>祁腾蜂赢1号</x:v>
      </x:c>
      <x:c r="C1871" s="72" t="n">
        <x:v>43698</x:v>
      </x:c>
      <x:c r="D1871" s="73" t="n">
        <x:v>1.044</x:v>
      </x:c>
      <x:c r="E1871" s="73" t="n">
        <x:v>1.079</x:v>
      </x:c>
      <x:c r="F1871" s="73" t="n">
        <x:v>1.0805</x:v>
      </x:c>
      <x:c r="G1871" s="74" t="n">
        <x:v>-0.0002</x:v>
      </x:c>
      <x:c r="H1871" s="66" t="str">
        <x:v>祁腾蜂赢1号净值20260911.xlsx</x:v>
      </x:c>
      <x:c r="I1871" s="73" t="str">
        <x:f>""</x:f>
      </x:c>
      <x:c r="J1871" s="74" t="str">
        <x:f>""</x:f>
      </x:c>
      <x:c r="K1871" s="73" t="str">
        <x:f>""</x:f>
      </x:c>
      <x:c r="L1871" s="74" t="str">
        <x:f>""</x:f>
      </x:c>
      <x:c r="M1871" s="73" t="n">
        <x:f>MAX(M1870,F1871)</x:f>
        <x:v>1.0824</x:v>
      </x:c>
      <x:c r="N1871" s="74" t="n">
        <x:f>1-F1871/M1871</x:f>
        <x:v>0.0017553584626754937</x:v>
      </x:c>
    </x:row>
    <x:row r="1872" ht="27" customHeight="1">
      <x:c r="A1872" s="66" t="str">
        <x:v>SEV580</x:v>
      </x:c>
      <x:c r="B1872" s="66" t="str">
        <x:v>祁腾蜂赢1号</x:v>
      </x:c>
      <x:c r="C1872" s="72" t="n">
        <x:v>43699</x:v>
      </x:c>
      <x:c r="D1872" s="73" t="n">
        <x:v>1.0437</x:v>
      </x:c>
      <x:c r="E1872" s="73" t="n">
        <x:v>1.0787</x:v>
      </x:c>
      <x:c r="F1872" s="73" t="n">
        <x:v>1.0802</x:v>
      </x:c>
      <x:c r="G1872" s="74" t="n">
        <x:v>-0.0003</x:v>
      </x:c>
      <x:c r="H1872" s="66" t="str">
        <x:v>祁腾蜂赢1号净值20260911.xlsx</x:v>
      </x:c>
      <x:c r="I1872" s="73" t="str">
        <x:f>""</x:f>
      </x:c>
      <x:c r="J1872" s="74" t="str">
        <x:f>""</x:f>
      </x:c>
      <x:c r="K1872" s="73" t="str">
        <x:f>""</x:f>
      </x:c>
      <x:c r="L1872" s="74" t="str">
        <x:f>""</x:f>
      </x:c>
      <x:c r="M1872" s="73" t="n">
        <x:f>MAX(M1871,F1872)</x:f>
        <x:v>1.0824</x:v>
      </x:c>
      <x:c r="N1872" s="74" t="n">
        <x:f>1-F1872/M1872</x:f>
        <x:v>0.00203252032520318</x:v>
      </x:c>
    </x:row>
    <x:row r="1873" ht="27" customHeight="1">
      <x:c r="A1873" s="66" t="str">
        <x:v>SEV580</x:v>
      </x:c>
      <x:c r="B1873" s="66" t="str">
        <x:v>祁腾蜂赢1号</x:v>
      </x:c>
      <x:c r="C1873" s="72" t="n">
        <x:v>43700</x:v>
      </x:c>
      <x:c r="D1873" s="73" t="n">
        <x:v>1.0429</x:v>
      </x:c>
      <x:c r="E1873" s="73" t="n">
        <x:v>1.0779</x:v>
      </x:c>
      <x:c r="F1873" s="73" t="n">
        <x:v>1.0794</x:v>
      </x:c>
      <x:c r="G1873" s="74" t="n">
        <x:v>-0.0008</x:v>
      </x:c>
      <x:c r="H1873" s="66" t="str">
        <x:v>祁腾蜂赢1号净值20260911.xlsx</x:v>
      </x:c>
      <x:c r="I1873" s="73" t="str">
        <x:f>""</x:f>
      </x:c>
      <x:c r="J1873" s="74" t="str">
        <x:f>""</x:f>
      </x:c>
      <x:c r="K1873" s="73" t="str">
        <x:f>""</x:f>
      </x:c>
      <x:c r="L1873" s="74" t="str">
        <x:f>""</x:f>
      </x:c>
      <x:c r="M1873" s="73" t="n">
        <x:f>MAX(M1872,F1873)</x:f>
        <x:v>1.0824</x:v>
      </x:c>
      <x:c r="N1873" s="74" t="n">
        <x:f>1-F1873/M1873</x:f>
        <x:v>0.0027716186252773056</x:v>
      </x:c>
    </x:row>
    <x:row r="1874" ht="27" customHeight="1">
      <x:c r="A1874" s="66" t="str">
        <x:v>SEV580</x:v>
      </x:c>
      <x:c r="B1874" s="66" t="str">
        <x:v>祁腾蜂赢1号</x:v>
      </x:c>
      <x:c r="C1874" s="72" t="n">
        <x:v>43703</x:v>
      </x:c>
      <x:c r="D1874" s="73" t="n">
        <x:v>1.0433</x:v>
      </x:c>
      <x:c r="E1874" s="73" t="n">
        <x:v>1.0783</x:v>
      </x:c>
      <x:c r="F1874" s="73" t="n">
        <x:v>1.0798</x:v>
      </x:c>
      <x:c r="G1874" s="74" t="n">
        <x:v>0.0004</x:v>
      </x:c>
      <x:c r="H1874" s="66" t="str">
        <x:v>祁腾蜂赢1号净值20260911.xlsx</x:v>
      </x:c>
      <x:c r="I1874" s="73" t="str">
        <x:f>""</x:f>
      </x:c>
      <x:c r="J1874" s="74" t="str">
        <x:f>""</x:f>
      </x:c>
      <x:c r="K1874" s="73" t="str">
        <x:f>""</x:f>
      </x:c>
      <x:c r="L1874" s="74" t="str">
        <x:f>""</x:f>
      </x:c>
      <x:c r="M1874" s="73" t="n">
        <x:f>MAX(M1873,F1874)</x:f>
        <x:v>1.0824</x:v>
      </x:c>
      <x:c r="N1874" s="74" t="n">
        <x:f>1-F1874/M1874</x:f>
        <x:v>0.0024020694752401317</x:v>
      </x:c>
    </x:row>
    <x:row r="1875" ht="27" customHeight="1">
      <x:c r="A1875" s="66" t="str">
        <x:v>SEV580</x:v>
      </x:c>
      <x:c r="B1875" s="66" t="str">
        <x:v>祁腾蜂赢1号</x:v>
      </x:c>
      <x:c r="C1875" s="72" t="n">
        <x:v>43704</x:v>
      </x:c>
      <x:c r="D1875" s="73" t="n">
        <x:v>1.0432</x:v>
      </x:c>
      <x:c r="E1875" s="73" t="n">
        <x:v>1.0782</x:v>
      </x:c>
      <x:c r="F1875" s="73" t="n">
        <x:v>1.0797</x:v>
      </x:c>
      <x:c r="G1875" s="74" t="n">
        <x:v>-0.0001</x:v>
      </x:c>
      <x:c r="H1875" s="66" t="str">
        <x:v>祁腾蜂赢1号净值20260911.xlsx</x:v>
      </x:c>
      <x:c r="I1875" s="73" t="str">
        <x:f>""</x:f>
      </x:c>
      <x:c r="J1875" s="74" t="str">
        <x:f>""</x:f>
      </x:c>
      <x:c r="K1875" s="73" t="str">
        <x:f>""</x:f>
      </x:c>
      <x:c r="L1875" s="74" t="str">
        <x:f>""</x:f>
      </x:c>
      <x:c r="M1875" s="73" t="n">
        <x:f>MAX(M1874,F1875)</x:f>
        <x:v>1.0824</x:v>
      </x:c>
      <x:c r="N1875" s="74" t="n">
        <x:f>1-F1875/M1875</x:f>
        <x:v>0.0024944567627493974</x:v>
      </x:c>
    </x:row>
    <x:row r="1876" ht="27" customHeight="1">
      <x:c r="A1876" s="66" t="str">
        <x:v>SEV580</x:v>
      </x:c>
      <x:c r="B1876" s="66" t="str">
        <x:v>祁腾蜂赢1号</x:v>
      </x:c>
      <x:c r="C1876" s="72" t="n">
        <x:v>43705</x:v>
      </x:c>
      <x:c r="D1876" s="73" t="n">
        <x:v>1.0444</x:v>
      </x:c>
      <x:c r="E1876" s="73" t="n">
        <x:v>1.0794</x:v>
      </x:c>
      <x:c r="F1876" s="73" t="n">
        <x:v>1.0809</x:v>
      </x:c>
      <x:c r="G1876" s="74" t="n">
        <x:v>0.0012</x:v>
      </x:c>
      <x:c r="H1876" s="66" t="str">
        <x:v>祁腾蜂赢1号净值20260911.xlsx</x:v>
      </x:c>
      <x:c r="I1876" s="73" t="str">
        <x:f>""</x:f>
      </x:c>
      <x:c r="J1876" s="74" t="str">
        <x:f>""</x:f>
      </x:c>
      <x:c r="K1876" s="73" t="str">
        <x:f>""</x:f>
      </x:c>
      <x:c r="L1876" s="74" t="str">
        <x:f>""</x:f>
      </x:c>
      <x:c r="M1876" s="73" t="n">
        <x:f>MAX(M1875,F1876)</x:f>
        <x:v>1.0824</x:v>
      </x:c>
      <x:c r="N1876" s="74" t="n">
        <x:f>1-F1876/M1876</x:f>
        <x:v>0.0013858093126386528</x:v>
      </x:c>
    </x:row>
    <x:row r="1877" ht="27" customHeight="1">
      <x:c r="A1877" s="66" t="str">
        <x:v>SEV580</x:v>
      </x:c>
      <x:c r="B1877" s="66" t="str">
        <x:v>祁腾蜂赢1号</x:v>
      </x:c>
      <x:c r="C1877" s="72" t="n">
        <x:v>43706</x:v>
      </x:c>
      <x:c r="D1877" s="73" t="n">
        <x:v>1.0448</x:v>
      </x:c>
      <x:c r="E1877" s="73" t="n">
        <x:v>1.0798</x:v>
      </x:c>
      <x:c r="F1877" s="73" t="n">
        <x:v>1.0813</x:v>
      </x:c>
      <x:c r="G1877" s="74" t="n">
        <x:v>0.0004</x:v>
      </x:c>
      <x:c r="H1877" s="66" t="str">
        <x:v>祁腾蜂赢1号净值20260911.xlsx</x:v>
      </x:c>
      <x:c r="I1877" s="73" t="str">
        <x:f>""</x:f>
      </x:c>
      <x:c r="J1877" s="74" t="str">
        <x:f>""</x:f>
      </x:c>
      <x:c r="K1877" s="73" t="str">
        <x:f>""</x:f>
      </x:c>
      <x:c r="L1877" s="74" t="str">
        <x:f>""</x:f>
      </x:c>
      <x:c r="M1877" s="73" t="n">
        <x:f>MAX(M1876,F1877)</x:f>
        <x:v>1.0824</x:v>
      </x:c>
      <x:c r="N1877" s="74" t="n">
        <x:f>1-F1877/M1877</x:f>
        <x:v>0.001016260162601701</x:v>
      </x:c>
    </x:row>
    <x:row r="1878" ht="27" customHeight="1">
      <x:c r="A1878" s="66" t="str">
        <x:v>SEV580</x:v>
      </x:c>
      <x:c r="B1878" s="66" t="str">
        <x:v>祁腾蜂赢1号</x:v>
      </x:c>
      <x:c r="C1878" s="72" t="n">
        <x:v>43707</x:v>
      </x:c>
      <x:c r="D1878" s="73" t="n">
        <x:v>1.0459</x:v>
      </x:c>
      <x:c r="E1878" s="73" t="n">
        <x:v>1.0809</x:v>
      </x:c>
      <x:c r="F1878" s="73" t="n">
        <x:v>1.0825</x:v>
      </x:c>
      <x:c r="G1878" s="74" t="n">
        <x:v>0.0011</x:v>
      </x:c>
      <x:c r="H1878" s="66" t="str">
        <x:v>祁腾蜂赢1号净值20260911.xlsx</x:v>
      </x:c>
      <x:c r="I1878" s="73" t="str">
        <x:f>""</x:f>
      </x:c>
      <x:c r="J1878" s="74" t="str">
        <x:f>""</x:f>
      </x:c>
      <x:c r="K1878" s="73" t="str">
        <x:f>""</x:f>
      </x:c>
      <x:c r="L1878" s="74" t="str">
        <x:f>""</x:f>
      </x:c>
      <x:c r="M1878" s="73" t="n">
        <x:f>MAX(M1877,F1878)</x:f>
        <x:v>1.0825</x:v>
      </x:c>
      <x:c r="N1878" s="74" t="n">
        <x:f>1-F1878/M1878</x:f>
        <x:v>0</x:v>
      </x:c>
    </x:row>
    <x:row r="1879" ht="27" customHeight="1">
      <x:c r="A1879" s="66" t="str">
        <x:v>SEV580</x:v>
      </x:c>
      <x:c r="B1879" s="66" t="str">
        <x:v>祁腾蜂赢1号</x:v>
      </x:c>
      <x:c r="C1879" s="72" t="n">
        <x:v>43710</x:v>
      </x:c>
      <x:c r="D1879" s="73" t="n">
        <x:v>1.0459</x:v>
      </x:c>
      <x:c r="E1879" s="73" t="n">
        <x:v>1.0809</x:v>
      </x:c>
      <x:c r="F1879" s="73" t="n">
        <x:v>1.0825</x:v>
      </x:c>
      <x:c r="G1879" s="74" t="n">
        <x:v>0</x:v>
      </x:c>
      <x:c r="H1879" s="66" t="str">
        <x:v>祁腾蜂赢1号净值20260911.xlsx</x:v>
      </x:c>
      <x:c r="I1879" s="73" t="str">
        <x:f>""</x:f>
      </x:c>
      <x:c r="J1879" s="74" t="str">
        <x:f>""</x:f>
      </x:c>
      <x:c r="K1879" s="73" t="str">
        <x:f>""</x:f>
      </x:c>
      <x:c r="L1879" s="74" t="str">
        <x:f>""</x:f>
      </x:c>
      <x:c r="M1879" s="73" t="n">
        <x:f>MAX(M1878,F1879)</x:f>
        <x:v>1.0825</x:v>
      </x:c>
      <x:c r="N1879" s="74" t="n">
        <x:f>1-F1879/M1879</x:f>
        <x:v>0</x:v>
      </x:c>
    </x:row>
    <x:row r="1880" ht="27" customHeight="1">
      <x:c r="A1880" s="66" t="str">
        <x:v>SEV580</x:v>
      </x:c>
      <x:c r="B1880" s="66" t="str">
        <x:v>祁腾蜂赢1号</x:v>
      </x:c>
      <x:c r="C1880" s="72" t="n">
        <x:v>43711</x:v>
      </x:c>
      <x:c r="D1880" s="73" t="n">
        <x:v>1.0458</x:v>
      </x:c>
      <x:c r="E1880" s="73" t="n">
        <x:v>1.0808</x:v>
      </x:c>
      <x:c r="F1880" s="73" t="n">
        <x:v>1.0824</x:v>
      </x:c>
      <x:c r="G1880" s="74" t="n">
        <x:v>-0.0001</x:v>
      </x:c>
      <x:c r="H1880" s="66" t="str">
        <x:v>祁腾蜂赢1号净值20260911.xlsx</x:v>
      </x:c>
      <x:c r="I1880" s="73" t="str">
        <x:f>""</x:f>
      </x:c>
      <x:c r="J1880" s="74" t="str">
        <x:f>""</x:f>
      </x:c>
      <x:c r="K1880" s="73" t="str">
        <x:f>""</x:f>
      </x:c>
      <x:c r="L1880" s="74" t="str">
        <x:f>""</x:f>
      </x:c>
      <x:c r="M1880" s="73" t="n">
        <x:f>MAX(M1879,F1880)</x:f>
        <x:v>1.0825</x:v>
      </x:c>
      <x:c r="N1880" s="74" t="n">
        <x:f>1-F1880/M1880</x:f>
        <x:v>0.00009237875288681252</x:v>
      </x:c>
    </x:row>
    <x:row r="1881" ht="27" customHeight="1">
      <x:c r="A1881" s="66" t="str">
        <x:v>SEV580</x:v>
      </x:c>
      <x:c r="B1881" s="66" t="str">
        <x:v>祁腾蜂赢1号</x:v>
      </x:c>
      <x:c r="C1881" s="72" t="n">
        <x:v>43712</x:v>
      </x:c>
      <x:c r="D1881" s="73" t="n">
        <x:v>1.0524</x:v>
      </x:c>
      <x:c r="E1881" s="73" t="n">
        <x:v>1.0874</x:v>
      </x:c>
      <x:c r="F1881" s="73" t="n">
        <x:v>1.0892</x:v>
      </x:c>
      <x:c r="G1881" s="74" t="n">
        <x:v>0.0063</x:v>
      </x:c>
      <x:c r="H1881" s="66" t="str">
        <x:v>祁腾蜂赢1号净值20260911.xlsx</x:v>
      </x:c>
      <x:c r="I1881" s="73" t="str">
        <x:f>""</x:f>
      </x:c>
      <x:c r="J1881" s="74" t="str">
        <x:f>""</x:f>
      </x:c>
      <x:c r="K1881" s="73" t="str">
        <x:f>""</x:f>
      </x:c>
      <x:c r="L1881" s="74" t="str">
        <x:f>""</x:f>
      </x:c>
      <x:c r="M1881" s="73" t="n">
        <x:f>MAX(M1880,F1881)</x:f>
        <x:v>1.0892</x:v>
      </x:c>
      <x:c r="N1881" s="74" t="n">
        <x:f>1-F1881/M1881</x:f>
        <x:v>0</x:v>
      </x:c>
    </x:row>
    <x:row r="1882" ht="27" customHeight="1">
      <x:c r="A1882" s="66" t="str">
        <x:v>SEV580</x:v>
      </x:c>
      <x:c r="B1882" s="66" t="str">
        <x:v>祁腾蜂赢1号</x:v>
      </x:c>
      <x:c r="C1882" s="72" t="n">
        <x:v>43713</x:v>
      </x:c>
      <x:c r="D1882" s="73" t="n">
        <x:v>1.0527</x:v>
      </x:c>
      <x:c r="E1882" s="73" t="n">
        <x:v>1.0877</x:v>
      </x:c>
      <x:c r="F1882" s="73" t="n">
        <x:v>1.0895</x:v>
      </x:c>
      <x:c r="G1882" s="74" t="n">
        <x:v>0.0003</x:v>
      </x:c>
      <x:c r="H1882" s="66" t="str">
        <x:v>祁腾蜂赢1号净值20260911.xlsx</x:v>
      </x:c>
      <x:c r="I1882" s="73" t="str">
        <x:f>""</x:f>
      </x:c>
      <x:c r="J1882" s="74" t="str">
        <x:f>""</x:f>
      </x:c>
      <x:c r="K1882" s="73" t="str">
        <x:f>""</x:f>
      </x:c>
      <x:c r="L1882" s="74" t="str">
        <x:f>""</x:f>
      </x:c>
      <x:c r="M1882" s="73" t="n">
        <x:f>MAX(M1881,F1882)</x:f>
        <x:v>1.0895</x:v>
      </x:c>
      <x:c r="N1882" s="74" t="n">
        <x:f>1-F1882/M1882</x:f>
        <x:v>0</x:v>
      </x:c>
    </x:row>
    <x:row r="1883" ht="27" customHeight="1">
      <x:c r="A1883" s="66" t="str">
        <x:v>SEV580</x:v>
      </x:c>
      <x:c r="B1883" s="66" t="str">
        <x:v>祁腾蜂赢1号</x:v>
      </x:c>
      <x:c r="C1883" s="72" t="n">
        <x:v>43714</x:v>
      </x:c>
      <x:c r="D1883" s="73" t="n">
        <x:v>1.0529</x:v>
      </x:c>
      <x:c r="E1883" s="73" t="n">
        <x:v>1.0879</x:v>
      </x:c>
      <x:c r="F1883" s="73" t="n">
        <x:v>1.0897</x:v>
      </x:c>
      <x:c r="G1883" s="74" t="n">
        <x:v>0.0002</x:v>
      </x:c>
      <x:c r="H1883" s="66" t="str">
        <x:v>祁腾蜂赢1号净值20260911.xlsx</x:v>
      </x:c>
      <x:c r="I1883" s="73" t="str">
        <x:f>""</x:f>
      </x:c>
      <x:c r="J1883" s="74" t="str">
        <x:f>""</x:f>
      </x:c>
      <x:c r="K1883" s="73" t="str">
        <x:f>""</x:f>
      </x:c>
      <x:c r="L1883" s="74" t="str">
        <x:f>""</x:f>
      </x:c>
      <x:c r="M1883" s="73" t="n">
        <x:f>MAX(M1882,F1883)</x:f>
        <x:v>1.0897</x:v>
      </x:c>
      <x:c r="N1883" s="74" t="n">
        <x:f>1-F1883/M1883</x:f>
        <x:v>0</x:v>
      </x:c>
    </x:row>
    <x:row r="1884" ht="27" customHeight="1">
      <x:c r="A1884" s="66" t="str">
        <x:v>SEV580</x:v>
      </x:c>
      <x:c r="B1884" s="66" t="str">
        <x:v>祁腾蜂赢1号</x:v>
      </x:c>
      <x:c r="C1884" s="72" t="n">
        <x:v>43717</x:v>
      </x:c>
      <x:c r="D1884" s="73" t="n">
        <x:v>1.0531</x:v>
      </x:c>
      <x:c r="E1884" s="73" t="n">
        <x:v>1.0881</x:v>
      </x:c>
      <x:c r="F1884" s="73" t="n">
        <x:v>1.0899</x:v>
      </x:c>
      <x:c r="G1884" s="74" t="n">
        <x:v>0.0002</x:v>
      </x:c>
      <x:c r="H1884" s="66" t="str">
        <x:v>祁腾蜂赢1号净值20260911.xlsx</x:v>
      </x:c>
      <x:c r="I1884" s="73" t="str">
        <x:f>""</x:f>
      </x:c>
      <x:c r="J1884" s="74" t="str">
        <x:f>""</x:f>
      </x:c>
      <x:c r="K1884" s="73" t="str">
        <x:f>""</x:f>
      </x:c>
      <x:c r="L1884" s="74" t="str">
        <x:f>""</x:f>
      </x:c>
      <x:c r="M1884" s="73" t="n">
        <x:f>MAX(M1883,F1884)</x:f>
        <x:v>1.0899</x:v>
      </x:c>
      <x:c r="N1884" s="74" t="n">
        <x:f>1-F1884/M1884</x:f>
        <x:v>0</x:v>
      </x:c>
    </x:row>
    <x:row r="1885" ht="27" customHeight="1">
      <x:c r="A1885" s="66" t="str">
        <x:v>SEV580</x:v>
      </x:c>
      <x:c r="B1885" s="66" t="str">
        <x:v>祁腾蜂赢1号</x:v>
      </x:c>
      <x:c r="C1885" s="72" t="n">
        <x:v>43718</x:v>
      </x:c>
      <x:c r="D1885" s="73" t="n">
        <x:v>1.0542</x:v>
      </x:c>
      <x:c r="E1885" s="73" t="n">
        <x:v>1.0892</x:v>
      </x:c>
      <x:c r="F1885" s="73" t="n">
        <x:v>1.0911</x:v>
      </x:c>
      <x:c r="G1885" s="74" t="n">
        <x:v>0.001</x:v>
      </x:c>
      <x:c r="H1885" s="66" t="str">
        <x:v>祁腾蜂赢1号净值20260911.xlsx</x:v>
      </x:c>
      <x:c r="I1885" s="73" t="str">
        <x:f>""</x:f>
      </x:c>
      <x:c r="J1885" s="74" t="str">
        <x:f>""</x:f>
      </x:c>
      <x:c r="K1885" s="73" t="str">
        <x:f>""</x:f>
      </x:c>
      <x:c r="L1885" s="74" t="str">
        <x:f>""</x:f>
      </x:c>
      <x:c r="M1885" s="73" t="n">
        <x:f>MAX(M1884,F1885)</x:f>
        <x:v>1.0911</x:v>
      </x:c>
      <x:c r="N1885" s="74" t="n">
        <x:f>1-F1885/M1885</x:f>
        <x:v>0</x:v>
      </x:c>
    </x:row>
    <x:row r="1886" ht="27" customHeight="1">
      <x:c r="A1886" s="66" t="str">
        <x:v>SEV580</x:v>
      </x:c>
      <x:c r="B1886" s="66" t="str">
        <x:v>祁腾蜂赢1号</x:v>
      </x:c>
      <x:c r="C1886" s="72" t="n">
        <x:v>43719</x:v>
      </x:c>
      <x:c r="D1886" s="73" t="n">
        <x:v>1.0541</x:v>
      </x:c>
      <x:c r="E1886" s="73" t="n">
        <x:v>1.0891</x:v>
      </x:c>
      <x:c r="F1886" s="73" t="n">
        <x:v>1.091</x:v>
      </x:c>
      <x:c r="G1886" s="74" t="n">
        <x:v>-0.0001</x:v>
      </x:c>
      <x:c r="H1886" s="66" t="str">
        <x:v>祁腾蜂赢1号净值20260911.xlsx</x:v>
      </x:c>
      <x:c r="I1886" s="73" t="str">
        <x:f>""</x:f>
      </x:c>
      <x:c r="J1886" s="74" t="str">
        <x:f>""</x:f>
      </x:c>
      <x:c r="K1886" s="73" t="str">
        <x:f>""</x:f>
      </x:c>
      <x:c r="L1886" s="74" t="str">
        <x:f>""</x:f>
      </x:c>
      <x:c r="M1886" s="73" t="n">
        <x:f>MAX(M1885,F1886)</x:f>
        <x:v>1.0911</x:v>
      </x:c>
      <x:c r="N1886" s="74" t="n">
        <x:f>1-F1886/M1886</x:f>
        <x:v>0.00009165062780680522</x:v>
      </x:c>
    </x:row>
    <x:row r="1887" ht="27" customHeight="1">
      <x:c r="A1887" s="66" t="str">
        <x:v>SEV580</x:v>
      </x:c>
      <x:c r="B1887" s="66" t="str">
        <x:v>祁腾蜂赢1号</x:v>
      </x:c>
      <x:c r="C1887" s="72" t="n">
        <x:v>43720</x:v>
      </x:c>
      <x:c r="D1887" s="73" t="n">
        <x:v>1.0548</x:v>
      </x:c>
      <x:c r="E1887" s="73" t="n">
        <x:v>1.0898</x:v>
      </x:c>
      <x:c r="F1887" s="73" t="n">
        <x:v>1.0917</x:v>
      </x:c>
      <x:c r="G1887" s="74" t="n">
        <x:v>0.0007000000000000001</x:v>
      </x:c>
      <x:c r="H1887" s="66" t="str">
        <x:v>祁腾蜂赢1号净值20260911.xlsx</x:v>
      </x:c>
      <x:c r="I1887" s="73" t="str">
        <x:f>""</x:f>
      </x:c>
      <x:c r="J1887" s="74" t="str">
        <x:f>""</x:f>
      </x:c>
      <x:c r="K1887" s="73" t="str">
        <x:f>""</x:f>
      </x:c>
      <x:c r="L1887" s="74" t="str">
        <x:f>""</x:f>
      </x:c>
      <x:c r="M1887" s="73" t="n">
        <x:f>MAX(M1886,F1887)</x:f>
        <x:v>1.0917</x:v>
      </x:c>
      <x:c r="N1887" s="74" t="n">
        <x:f>1-F1887/M1887</x:f>
        <x:v>0</x:v>
      </x:c>
    </x:row>
    <x:row r="1888" ht="27" customHeight="1">
      <x:c r="A1888" s="66" t="str">
        <x:v>SEV580</x:v>
      </x:c>
      <x:c r="B1888" s="66" t="str">
        <x:v>祁腾蜂赢1号</x:v>
      </x:c>
      <x:c r="C1888" s="72" t="n">
        <x:v>43724</x:v>
      </x:c>
      <x:c r="D1888" s="73" t="n">
        <x:v>1.0551</x:v>
      </x:c>
      <x:c r="E1888" s="73" t="n">
        <x:v>1.0901</x:v>
      </x:c>
      <x:c r="F1888" s="73" t="n">
        <x:v>1.092</x:v>
      </x:c>
      <x:c r="G1888" s="74" t="n">
        <x:v>0.0003</x:v>
      </x:c>
      <x:c r="H1888" s="66" t="str">
        <x:v>祁腾蜂赢1号净值20260911.xlsx</x:v>
      </x:c>
      <x:c r="I1888" s="73" t="str">
        <x:f>""</x:f>
      </x:c>
      <x:c r="J1888" s="74" t="str">
        <x:f>""</x:f>
      </x:c>
      <x:c r="K1888" s="73" t="str">
        <x:f>""</x:f>
      </x:c>
      <x:c r="L1888" s="74" t="str">
        <x:f>""</x:f>
      </x:c>
      <x:c r="M1888" s="73" t="n">
        <x:f>MAX(M1887,F1888)</x:f>
        <x:v>1.092</x:v>
      </x:c>
      <x:c r="N1888" s="74" t="n">
        <x:f>1-F1888/M1888</x:f>
        <x:v>0</x:v>
      </x:c>
    </x:row>
    <x:row r="1889" ht="27" customHeight="1">
      <x:c r="A1889" s="66" t="str">
        <x:v>SEV580</x:v>
      </x:c>
      <x:c r="B1889" s="66" t="str">
        <x:v>祁腾蜂赢1号</x:v>
      </x:c>
      <x:c r="C1889" s="72" t="n">
        <x:v>43725</x:v>
      </x:c>
      <x:c r="D1889" s="73" t="n">
        <x:v>1.0545</x:v>
      </x:c>
      <x:c r="E1889" s="73" t="n">
        <x:v>1.0895</x:v>
      </x:c>
      <x:c r="F1889" s="73" t="n">
        <x:v>1.0914</x:v>
      </x:c>
      <x:c r="G1889" s="74" t="n">
        <x:v>-0.0006</x:v>
      </x:c>
      <x:c r="H1889" s="66" t="str">
        <x:v>祁腾蜂赢1号净值20260911.xlsx</x:v>
      </x:c>
      <x:c r="I1889" s="73" t="str">
        <x:f>""</x:f>
      </x:c>
      <x:c r="J1889" s="74" t="str">
        <x:f>""</x:f>
      </x:c>
      <x:c r="K1889" s="73" t="str">
        <x:f>""</x:f>
      </x:c>
      <x:c r="L1889" s="74" t="str">
        <x:f>""</x:f>
      </x:c>
      <x:c r="M1889" s="73" t="n">
        <x:f>MAX(M1888,F1889)</x:f>
        <x:v>1.092</x:v>
      </x:c>
      <x:c r="N1889" s="74" t="n">
        <x:f>1-F1889/M1889</x:f>
        <x:v>0.0005494505494506585</x:v>
      </x:c>
    </x:row>
    <x:row r="1890" ht="27" customHeight="1">
      <x:c r="A1890" s="66" t="str">
        <x:v>SEV580</x:v>
      </x:c>
      <x:c r="B1890" s="66" t="str">
        <x:v>祁腾蜂赢1号</x:v>
      </x:c>
      <x:c r="C1890" s="72" t="n">
        <x:v>43726</x:v>
      </x:c>
      <x:c r="D1890" s="73" t="n">
        <x:v>1.0541</x:v>
      </x:c>
      <x:c r="E1890" s="73" t="n">
        <x:v>1.0891</x:v>
      </x:c>
      <x:c r="F1890" s="73" t="n">
        <x:v>1.091</x:v>
      </x:c>
      <x:c r="G1890" s="74" t="n">
        <x:v>-0.0004</x:v>
      </x:c>
      <x:c r="H1890" s="66" t="str">
        <x:v>祁腾蜂赢1号净值20260911.xlsx</x:v>
      </x:c>
      <x:c r="I1890" s="73" t="str">
        <x:f>""</x:f>
      </x:c>
      <x:c r="J1890" s="74" t="str">
        <x:f>""</x:f>
      </x:c>
      <x:c r="K1890" s="73" t="str">
        <x:f>""</x:f>
      </x:c>
      <x:c r="L1890" s="74" t="str">
        <x:f>""</x:f>
      </x:c>
      <x:c r="M1890" s="73" t="n">
        <x:f>MAX(M1889,F1890)</x:f>
        <x:v>1.092</x:v>
      </x:c>
      <x:c r="N1890" s="74" t="n">
        <x:f>1-F1890/M1890</x:f>
        <x:v>0.0009157509157510235</x:v>
      </x:c>
    </x:row>
    <x:row r="1891" ht="27" customHeight="1">
      <x:c r="A1891" s="66" t="str">
        <x:v>SEV580</x:v>
      </x:c>
      <x:c r="B1891" s="66" t="str">
        <x:v>祁腾蜂赢1号</x:v>
      </x:c>
      <x:c r="C1891" s="72" t="n">
        <x:v>43727</x:v>
      </x:c>
      <x:c r="D1891" s="73" t="n">
        <x:v>1.0545</x:v>
      </x:c>
      <x:c r="E1891" s="73" t="n">
        <x:v>1.0895</x:v>
      </x:c>
      <x:c r="F1891" s="73" t="n">
        <x:v>1.0914</x:v>
      </x:c>
      <x:c r="G1891" s="74" t="n">
        <x:v>0.0004</x:v>
      </x:c>
      <x:c r="H1891" s="66" t="str">
        <x:v>祁腾蜂赢1号净值20260911.xlsx</x:v>
      </x:c>
      <x:c r="I1891" s="73" t="str">
        <x:f>""</x:f>
      </x:c>
      <x:c r="J1891" s="74" t="str">
        <x:f>""</x:f>
      </x:c>
      <x:c r="K1891" s="73" t="str">
        <x:f>""</x:f>
      </x:c>
      <x:c r="L1891" s="74" t="str">
        <x:f>""</x:f>
      </x:c>
      <x:c r="M1891" s="73" t="n">
        <x:f>MAX(M1890,F1891)</x:f>
        <x:v>1.092</x:v>
      </x:c>
      <x:c r="N1891" s="74" t="n">
        <x:f>1-F1891/M1891</x:f>
        <x:v>0.0005494505494506585</x:v>
      </x:c>
    </x:row>
    <x:row r="1892" ht="27" customHeight="1">
      <x:c r="A1892" s="66" t="str">
        <x:v>SEV580</x:v>
      </x:c>
      <x:c r="B1892" s="66" t="str">
        <x:v>祁腾蜂赢1号</x:v>
      </x:c>
      <x:c r="C1892" s="72" t="n">
        <x:v>43728</x:v>
      </x:c>
      <x:c r="D1892" s="73" t="n">
        <x:v>1.0548</x:v>
      </x:c>
      <x:c r="E1892" s="73" t="n">
        <x:v>1.0898</x:v>
      </x:c>
      <x:c r="F1892" s="73" t="n">
        <x:v>1.0917</x:v>
      </x:c>
      <x:c r="G1892" s="74" t="n">
        <x:v>0.0003</x:v>
      </x:c>
      <x:c r="H1892" s="66" t="str">
        <x:v>祁腾蜂赢1号净值20260911.xlsx</x:v>
      </x:c>
      <x:c r="I1892" s="73" t="str">
        <x:f>""</x:f>
      </x:c>
      <x:c r="J1892" s="74" t="str">
        <x:f>""</x:f>
      </x:c>
      <x:c r="K1892" s="73" t="str">
        <x:f>""</x:f>
      </x:c>
      <x:c r="L1892" s="74" t="str">
        <x:f>""</x:f>
      </x:c>
      <x:c r="M1892" s="73" t="n">
        <x:f>MAX(M1891,F1892)</x:f>
        <x:v>1.092</x:v>
      </x:c>
      <x:c r="N1892" s="74" t="n">
        <x:f>1-F1892/M1892</x:f>
        <x:v>0.0002747252747254958</x:v>
      </x:c>
    </x:row>
    <x:row r="1893" ht="27" customHeight="1">
      <x:c r="A1893" s="66" t="str">
        <x:v>SEV580</x:v>
      </x:c>
      <x:c r="B1893" s="66" t="str">
        <x:v>祁腾蜂赢1号</x:v>
      </x:c>
      <x:c r="C1893" s="72" t="n">
        <x:v>43731</x:v>
      </x:c>
      <x:c r="D1893" s="73" t="n">
        <x:v>1.0549</x:v>
      </x:c>
      <x:c r="E1893" s="73" t="n">
        <x:v>1.0899</x:v>
      </x:c>
      <x:c r="F1893" s="73" t="n">
        <x:v>1.0918</x:v>
      </x:c>
      <x:c r="G1893" s="74" t="n">
        <x:v>0.0001</x:v>
      </x:c>
      <x:c r="H1893" s="66" t="str">
        <x:v>祁腾蜂赢1号净值20260911.xlsx</x:v>
      </x:c>
      <x:c r="I1893" s="73" t="str">
        <x:f>""</x:f>
      </x:c>
      <x:c r="J1893" s="74" t="str">
        <x:f>""</x:f>
      </x:c>
      <x:c r="K1893" s="73" t="str">
        <x:f>""</x:f>
      </x:c>
      <x:c r="L1893" s="74" t="str">
        <x:f>""</x:f>
      </x:c>
      <x:c r="M1893" s="73" t="n">
        <x:f>MAX(M1892,F1893)</x:f>
        <x:v>1.092</x:v>
      </x:c>
      <x:c r="N1893" s="74" t="n">
        <x:f>1-F1893/M1893</x:f>
        <x:v>0.0001831501831501825</x:v>
      </x:c>
    </x:row>
    <x:row r="1894" ht="27" customHeight="1">
      <x:c r="A1894" s="66" t="str">
        <x:v>SEV580</x:v>
      </x:c>
      <x:c r="B1894" s="66" t="str">
        <x:v>祁腾蜂赢1号</x:v>
      </x:c>
      <x:c r="C1894" s="72" t="n">
        <x:v>43732</x:v>
      </x:c>
      <x:c r="D1894" s="73" t="n">
        <x:v>1.0551</x:v>
      </x:c>
      <x:c r="E1894" s="73" t="n">
        <x:v>1.0901</x:v>
      </x:c>
      <x:c r="F1894" s="73" t="n">
        <x:v>1.092</x:v>
      </x:c>
      <x:c r="G1894" s="74" t="n">
        <x:v>0.0002</x:v>
      </x:c>
      <x:c r="H1894" s="66" t="str">
        <x:v>祁腾蜂赢1号净值20260911.xlsx</x:v>
      </x:c>
      <x:c r="I1894" s="73" t="str">
        <x:f>""</x:f>
      </x:c>
      <x:c r="J1894" s="74" t="str">
        <x:f>""</x:f>
      </x:c>
      <x:c r="K1894" s="73" t="str">
        <x:f>""</x:f>
      </x:c>
      <x:c r="L1894" s="74" t="str">
        <x:f>""</x:f>
      </x:c>
      <x:c r="M1894" s="73" t="n">
        <x:f>MAX(M1893,F1894)</x:f>
        <x:v>1.092</x:v>
      </x:c>
      <x:c r="N1894" s="74" t="n">
        <x:f>1-F1894/M1894</x:f>
        <x:v>0</x:v>
      </x:c>
    </x:row>
    <x:row r="1895" ht="27" customHeight="1">
      <x:c r="A1895" s="66" t="str">
        <x:v>SEV580</x:v>
      </x:c>
      <x:c r="B1895" s="66" t="str">
        <x:v>祁腾蜂赢1号</x:v>
      </x:c>
      <x:c r="C1895" s="72" t="n">
        <x:v>43733</x:v>
      </x:c>
      <x:c r="D1895" s="73" t="n">
        <x:v>1.0568</x:v>
      </x:c>
      <x:c r="E1895" s="73" t="n">
        <x:v>1.0918</x:v>
      </x:c>
      <x:c r="F1895" s="73" t="n">
        <x:v>1.0938</x:v>
      </x:c>
      <x:c r="G1895" s="74" t="n">
        <x:v>0.0016</x:v>
      </x:c>
      <x:c r="H1895" s="66" t="str">
        <x:v>祁腾蜂赢1号净值20260911.xlsx</x:v>
      </x:c>
      <x:c r="I1895" s="73" t="str">
        <x:f>""</x:f>
      </x:c>
      <x:c r="J1895" s="74" t="str">
        <x:f>""</x:f>
      </x:c>
      <x:c r="K1895" s="73" t="str">
        <x:f>""</x:f>
      </x:c>
      <x:c r="L1895" s="74" t="str">
        <x:f>""</x:f>
      </x:c>
      <x:c r="M1895" s="73" t="n">
        <x:f>MAX(M1894,F1895)</x:f>
        <x:v>1.0938</x:v>
      </x:c>
      <x:c r="N1895" s="74" t="n">
        <x:f>1-F1895/M1895</x:f>
        <x:v>0</x:v>
      </x:c>
    </x:row>
    <x:row r="1896" ht="27" customHeight="1">
      <x:c r="A1896" s="66" t="str">
        <x:v>SEV580</x:v>
      </x:c>
      <x:c r="B1896" s="66" t="str">
        <x:v>祁腾蜂赢1号</x:v>
      </x:c>
      <x:c r="C1896" s="72" t="n">
        <x:v>43734</x:v>
      </x:c>
      <x:c r="D1896" s="73" t="n">
        <x:v>1.0574</x:v>
      </x:c>
      <x:c r="E1896" s="73" t="n">
        <x:v>1.0924</x:v>
      </x:c>
      <x:c r="F1896" s="73" t="n">
        <x:v>1.0944</x:v>
      </x:c>
      <x:c r="G1896" s="74" t="n">
        <x:v>0.0006</x:v>
      </x:c>
      <x:c r="H1896" s="66" t="str">
        <x:v>祁腾蜂赢1号净值20260911.xlsx</x:v>
      </x:c>
      <x:c r="I1896" s="73" t="str">
        <x:f>""</x:f>
      </x:c>
      <x:c r="J1896" s="74" t="str">
        <x:f>""</x:f>
      </x:c>
      <x:c r="K1896" s="73" t="str">
        <x:f>""</x:f>
      </x:c>
      <x:c r="L1896" s="74" t="str">
        <x:f>""</x:f>
      </x:c>
      <x:c r="M1896" s="73" t="n">
        <x:f>MAX(M1895,F1896)</x:f>
        <x:v>1.0944</x:v>
      </x:c>
      <x:c r="N1896" s="74" t="n">
        <x:f>1-F1896/M1896</x:f>
        <x:v>0</x:v>
      </x:c>
    </x:row>
    <x:row r="1897" ht="27" customHeight="1">
      <x:c r="A1897" s="66" t="str">
        <x:v>SEV580</x:v>
      </x:c>
      <x:c r="B1897" s="66" t="str">
        <x:v>祁腾蜂赢1号</x:v>
      </x:c>
      <x:c r="C1897" s="72" t="n">
        <x:v>43735</x:v>
      </x:c>
      <x:c r="D1897" s="73" t="n">
        <x:v>1.0573</x:v>
      </x:c>
      <x:c r="E1897" s="73" t="n">
        <x:v>1.0923</x:v>
      </x:c>
      <x:c r="F1897" s="73" t="n">
        <x:v>1.0943</x:v>
      </x:c>
      <x:c r="G1897" s="74" t="n">
        <x:v>-0.0001</x:v>
      </x:c>
      <x:c r="H1897" s="66" t="str">
        <x:v>祁腾蜂赢1号净值20260911.xlsx</x:v>
      </x:c>
      <x:c r="I1897" s="73" t="str">
        <x:f>""</x:f>
      </x:c>
      <x:c r="J1897" s="74" t="str">
        <x:f>""</x:f>
      </x:c>
      <x:c r="K1897" s="73" t="str">
        <x:f>""</x:f>
      </x:c>
      <x:c r="L1897" s="74" t="str">
        <x:f>""</x:f>
      </x:c>
      <x:c r="M1897" s="73" t="n">
        <x:f>MAX(M1896,F1897)</x:f>
        <x:v>1.0944</x:v>
      </x:c>
      <x:c r="N1897" s="74" t="n">
        <x:f>1-F1897/M1897</x:f>
        <x:v>0.00009137426900585055</x:v>
      </x:c>
    </x:row>
    <x:row r="1898" ht="27" customHeight="1">
      <x:c r="A1898" s="66" t="str">
        <x:v>SEV580</x:v>
      </x:c>
      <x:c r="B1898" s="66" t="str">
        <x:v>祁腾蜂赢1号</x:v>
      </x:c>
      <x:c r="C1898" s="72" t="n">
        <x:v>43738</x:v>
      </x:c>
      <x:c r="D1898" s="73" t="n">
        <x:v>1.0558</x:v>
      </x:c>
      <x:c r="E1898" s="73" t="n">
        <x:v>1.0908</x:v>
      </x:c>
      <x:c r="F1898" s="73" t="n">
        <x:v>1.0927</x:v>
      </x:c>
      <x:c r="G1898" s="74" t="n">
        <x:v>-0.0014000000000000002</x:v>
      </x:c>
      <x:c r="H1898" s="66" t="str">
        <x:v>祁腾蜂赢1号净值20260911.xlsx</x:v>
      </x:c>
      <x:c r="I1898" s="73" t="str">
        <x:f>""</x:f>
      </x:c>
      <x:c r="J1898" s="74" t="str">
        <x:f>""</x:f>
      </x:c>
      <x:c r="K1898" s="73" t="str">
        <x:f>""</x:f>
      </x:c>
      <x:c r="L1898" s="74" t="str">
        <x:f>""</x:f>
      </x:c>
      <x:c r="M1898" s="73" t="n">
        <x:f>MAX(M1897,F1898)</x:f>
        <x:v>1.0944</x:v>
      </x:c>
      <x:c r="N1898" s="74" t="n">
        <x:f>1-F1898/M1898</x:f>
        <x:v>0.0015533625730994594</x:v>
      </x:c>
    </x:row>
    <x:row r="1899" ht="27" customHeight="1">
      <x:c r="A1899" s="66" t="str">
        <x:v>SEV580</x:v>
      </x:c>
      <x:c r="B1899" s="66" t="str">
        <x:v>祁腾蜂赢1号</x:v>
      </x:c>
      <x:c r="C1899" s="72" t="n">
        <x:v>43746</x:v>
      </x:c>
      <x:c r="D1899" s="73" t="n">
        <x:v>1.0561</x:v>
      </x:c>
      <x:c r="E1899" s="73" t="n">
        <x:v>1.0911</x:v>
      </x:c>
      <x:c r="F1899" s="73" t="n">
        <x:v>1.093</x:v>
      </x:c>
      <x:c r="G1899" s="74" t="n">
        <x:v>0.0003</x:v>
      </x:c>
      <x:c r="H1899" s="66" t="str">
        <x:v>祁腾蜂赢1号净值20260911.xlsx</x:v>
      </x:c>
      <x:c r="I1899" s="73" t="str">
        <x:f>""</x:f>
      </x:c>
      <x:c r="J1899" s="74" t="str">
        <x:f>""</x:f>
      </x:c>
      <x:c r="K1899" s="73" t="str">
        <x:f>""</x:f>
      </x:c>
      <x:c r="L1899" s="74" t="str">
        <x:f>""</x:f>
      </x:c>
      <x:c r="M1899" s="73" t="n">
        <x:f>MAX(M1898,F1899)</x:f>
        <x:v>1.0944</x:v>
      </x:c>
      <x:c r="N1899" s="74" t="n">
        <x:f>1-F1899/M1899</x:f>
        <x:v>0.0012792397660819077</x:v>
      </x:c>
    </x:row>
    <x:row r="1900" ht="27" customHeight="1">
      <x:c r="A1900" s="66" t="str">
        <x:v>SEV580</x:v>
      </x:c>
      <x:c r="B1900" s="66" t="str">
        <x:v>祁腾蜂赢1号</x:v>
      </x:c>
      <x:c r="C1900" s="72" t="n">
        <x:v>43747</x:v>
      </x:c>
      <x:c r="D1900" s="73" t="n">
        <x:v>1.0557</x:v>
      </x:c>
      <x:c r="E1900" s="73" t="n">
        <x:v>1.0907</x:v>
      </x:c>
      <x:c r="F1900" s="73" t="n">
        <x:v>1.0926</x:v>
      </x:c>
      <x:c r="G1900" s="74" t="n">
        <x:v>-0.0004</x:v>
      </x:c>
      <x:c r="H1900" s="66" t="str">
        <x:v>祁腾蜂赢1号净值20260911.xlsx</x:v>
      </x:c>
      <x:c r="I1900" s="73" t="str">
        <x:f>""</x:f>
      </x:c>
      <x:c r="J1900" s="74" t="str">
        <x:f>""</x:f>
      </x:c>
      <x:c r="K1900" s="73" t="str">
        <x:f>""</x:f>
      </x:c>
      <x:c r="L1900" s="74" t="str">
        <x:f>""</x:f>
      </x:c>
      <x:c r="M1900" s="73" t="n">
        <x:f>MAX(M1899,F1900)</x:f>
        <x:v>1.0944</x:v>
      </x:c>
      <x:c r="N1900" s="74" t="n">
        <x:f>1-F1900/M1900</x:f>
        <x:v>0.00164473684210531</x:v>
      </x:c>
    </x:row>
    <x:row r="1901" ht="27" customHeight="1">
      <x:c r="A1901" s="66" t="str">
        <x:v>SEV580</x:v>
      </x:c>
      <x:c r="B1901" s="66" t="str">
        <x:v>祁腾蜂赢1号</x:v>
      </x:c>
      <x:c r="C1901" s="72" t="n">
        <x:v>43748</x:v>
      </x:c>
      <x:c r="D1901" s="73" t="n">
        <x:v>1.0599</x:v>
      </x:c>
      <x:c r="E1901" s="73" t="n">
        <x:v>1.0949</x:v>
      </x:c>
      <x:c r="F1901" s="73" t="n">
        <x:v>1.097</x:v>
      </x:c>
      <x:c r="G1901" s="74" t="n">
        <x:v>0.004</x:v>
      </x:c>
      <x:c r="H1901" s="66" t="str">
        <x:v>祁腾蜂赢1号净值20260911.xlsx</x:v>
      </x:c>
      <x:c r="I1901" s="73" t="str">
        <x:f>""</x:f>
      </x:c>
      <x:c r="J1901" s="74" t="str">
        <x:f>""</x:f>
      </x:c>
      <x:c r="K1901" s="73" t="str">
        <x:f>""</x:f>
      </x:c>
      <x:c r="L1901" s="74" t="str">
        <x:f>""</x:f>
      </x:c>
      <x:c r="M1901" s="73" t="n">
        <x:f>MAX(M1900,F1901)</x:f>
        <x:v>1.097</x:v>
      </x:c>
      <x:c r="N1901" s="74" t="n">
        <x:f>1-F1901/M1901</x:f>
        <x:v>0</x:v>
      </x:c>
    </x:row>
    <x:row r="1902" ht="27" customHeight="1">
      <x:c r="A1902" s="66" t="str">
        <x:v>SEV580</x:v>
      </x:c>
      <x:c r="B1902" s="66" t="str">
        <x:v>祁腾蜂赢1号</x:v>
      </x:c>
      <x:c r="C1902" s="72" t="n">
        <x:v>43749</x:v>
      </x:c>
      <x:c r="D1902" s="73" t="n">
        <x:v>1.0591</x:v>
      </x:c>
      <x:c r="E1902" s="73" t="n">
        <x:v>1.0941</x:v>
      </x:c>
      <x:c r="F1902" s="73" t="n">
        <x:v>1.0961</x:v>
      </x:c>
      <x:c r="G1902" s="74" t="n">
        <x:v>-0.0008</x:v>
      </x:c>
      <x:c r="H1902" s="66" t="str">
        <x:v>祁腾蜂赢1号净值20260911.xlsx</x:v>
      </x:c>
      <x:c r="I1902" s="73" t="str">
        <x:f>""</x:f>
      </x:c>
      <x:c r="J1902" s="74" t="str">
        <x:f>""</x:f>
      </x:c>
      <x:c r="K1902" s="73" t="str">
        <x:f>""</x:f>
      </x:c>
      <x:c r="L1902" s="74" t="str">
        <x:f>""</x:f>
      </x:c>
      <x:c r="M1902" s="73" t="n">
        <x:f>MAX(M1901,F1902)</x:f>
        <x:v>1.097</x:v>
      </x:c>
      <x:c r="N1902" s="74" t="n">
        <x:f>1-F1902/M1902</x:f>
        <x:v>0.000820419325432864</x:v>
      </x:c>
    </x:row>
    <x:row r="1903" ht="27" customHeight="1">
      <x:c r="A1903" s="66" t="str">
        <x:v>SEV580</x:v>
      </x:c>
      <x:c r="B1903" s="66" t="str">
        <x:v>祁腾蜂赢1号</x:v>
      </x:c>
      <x:c r="C1903" s="72" t="n">
        <x:v>43752</x:v>
      </x:c>
      <x:c r="D1903" s="73" t="n">
        <x:v>1.0594</x:v>
      </x:c>
      <x:c r="E1903" s="73" t="n">
        <x:v>1.0944</x:v>
      </x:c>
      <x:c r="F1903" s="73" t="n">
        <x:v>1.0964</x:v>
      </x:c>
      <x:c r="G1903" s="74" t="n">
        <x:v>0.0003</x:v>
      </x:c>
      <x:c r="H1903" s="66" t="str">
        <x:v>祁腾蜂赢1号净值20260911.xlsx</x:v>
      </x:c>
      <x:c r="I1903" s="73" t="str">
        <x:f>""</x:f>
      </x:c>
      <x:c r="J1903" s="74" t="str">
        <x:f>""</x:f>
      </x:c>
      <x:c r="K1903" s="73" t="str">
        <x:f>""</x:f>
      </x:c>
      <x:c r="L1903" s="74" t="str">
        <x:f>""</x:f>
      </x:c>
      <x:c r="M1903" s="73" t="n">
        <x:f>MAX(M1902,F1903)</x:f>
        <x:v>1.097</x:v>
      </x:c>
      <x:c r="N1903" s="74" t="n">
        <x:f>1-F1903/M1903</x:f>
        <x:v>0.0005469462169552797</x:v>
      </x:c>
    </x:row>
    <x:row r="1904" ht="27" customHeight="1">
      <x:c r="A1904" s="66" t="str">
        <x:v>SEV580</x:v>
      </x:c>
      <x:c r="B1904" s="66" t="str">
        <x:v>祁腾蜂赢1号</x:v>
      </x:c>
      <x:c r="C1904" s="72" t="n">
        <x:v>43753</x:v>
      </x:c>
      <x:c r="D1904" s="73" t="n">
        <x:v>1.0591</x:v>
      </x:c>
      <x:c r="E1904" s="73" t="n">
        <x:v>1.0941</x:v>
      </x:c>
      <x:c r="F1904" s="73" t="n">
        <x:v>1.0961</x:v>
      </x:c>
      <x:c r="G1904" s="74" t="n">
        <x:v>-0.0003</x:v>
      </x:c>
      <x:c r="H1904" s="66" t="str">
        <x:v>祁腾蜂赢1号净值20260911.xlsx</x:v>
      </x:c>
      <x:c r="I1904" s="73" t="str">
        <x:f>""</x:f>
      </x:c>
      <x:c r="J1904" s="74" t="str">
        <x:f>""</x:f>
      </x:c>
      <x:c r="K1904" s="73" t="str">
        <x:f>""</x:f>
      </x:c>
      <x:c r="L1904" s="74" t="str">
        <x:f>""</x:f>
      </x:c>
      <x:c r="M1904" s="73" t="n">
        <x:f>MAX(M1903,F1904)</x:f>
        <x:v>1.097</x:v>
      </x:c>
      <x:c r="N1904" s="74" t="n">
        <x:f>1-F1904/M1904</x:f>
        <x:v>0.000820419325432864</x:v>
      </x:c>
    </x:row>
    <x:row r="1905" ht="27" customHeight="1">
      <x:c r="A1905" s="66" t="str">
        <x:v>SEV580</x:v>
      </x:c>
      <x:c r="B1905" s="66" t="str">
        <x:v>祁腾蜂赢1号</x:v>
      </x:c>
      <x:c r="C1905" s="72" t="n">
        <x:v>43754</x:v>
      </x:c>
      <x:c r="D1905" s="73" t="n">
        <x:v>1.0596</x:v>
      </x:c>
      <x:c r="E1905" s="73" t="n">
        <x:v>1.0946</x:v>
      </x:c>
      <x:c r="F1905" s="73" t="n">
        <x:v>1.0966</x:v>
      </x:c>
      <x:c r="G1905" s="74" t="n">
        <x:v>0.0005</x:v>
      </x:c>
      <x:c r="H1905" s="66" t="str">
        <x:v>祁腾蜂赢1号净值20260911.xlsx</x:v>
      </x:c>
      <x:c r="I1905" s="73" t="str">
        <x:f>""</x:f>
      </x:c>
      <x:c r="J1905" s="74" t="str">
        <x:f>""</x:f>
      </x:c>
      <x:c r="K1905" s="73" t="str">
        <x:f>""</x:f>
      </x:c>
      <x:c r="L1905" s="74" t="str">
        <x:f>""</x:f>
      </x:c>
      <x:c r="M1905" s="73" t="n">
        <x:f>MAX(M1904,F1905)</x:f>
        <x:v>1.097</x:v>
      </x:c>
      <x:c r="N1905" s="74" t="n">
        <x:f>1-F1905/M1905</x:f>
        <x:v>0.0003646308113035568</x:v>
      </x:c>
    </x:row>
    <x:row r="1906" ht="27" customHeight="1">
      <x:c r="A1906" s="66" t="str">
        <x:v>SEV580</x:v>
      </x:c>
      <x:c r="B1906" s="66" t="str">
        <x:v>祁腾蜂赢1号</x:v>
      </x:c>
      <x:c r="C1906" s="72" t="n">
        <x:v>43755</x:v>
      </x:c>
      <x:c r="D1906" s="73" t="n">
        <x:v>1.0594</x:v>
      </x:c>
      <x:c r="E1906" s="73" t="n">
        <x:v>1.0944</x:v>
      </x:c>
      <x:c r="F1906" s="73" t="n">
        <x:v>1.0964</x:v>
      </x:c>
      <x:c r="G1906" s="74" t="n">
        <x:v>-0.0002</x:v>
      </x:c>
      <x:c r="H1906" s="66" t="str">
        <x:v>祁腾蜂赢1号净值20260911.xlsx</x:v>
      </x:c>
      <x:c r="I1906" s="73" t="str">
        <x:f>""</x:f>
      </x:c>
      <x:c r="J1906" s="74" t="str">
        <x:f>""</x:f>
      </x:c>
      <x:c r="K1906" s="73" t="str">
        <x:f>""</x:f>
      </x:c>
      <x:c r="L1906" s="74" t="str">
        <x:f>""</x:f>
      </x:c>
      <x:c r="M1906" s="73" t="n">
        <x:f>MAX(M1905,F1906)</x:f>
        <x:v>1.097</x:v>
      </x:c>
      <x:c r="N1906" s="74" t="n">
        <x:f>1-F1906/M1906</x:f>
        <x:v>0.0005469462169552797</x:v>
      </x:c>
    </x:row>
    <x:row r="1907" ht="27" customHeight="1">
      <x:c r="A1907" s="66" t="str">
        <x:v>SEV580</x:v>
      </x:c>
      <x:c r="B1907" s="66" t="str">
        <x:v>祁腾蜂赢1号</x:v>
      </x:c>
      <x:c r="C1907" s="72" t="n">
        <x:v>43756</x:v>
      </x:c>
      <x:c r="D1907" s="73" t="n">
        <x:v>1.06</x:v>
      </x:c>
      <x:c r="E1907" s="73" t="n">
        <x:v>1.095</x:v>
      </x:c>
      <x:c r="F1907" s="73" t="n">
        <x:v>1.0971</x:v>
      </x:c>
      <x:c r="G1907" s="74" t="n">
        <x:v>0.0006</x:v>
      </x:c>
      <x:c r="H1907" s="66" t="str">
        <x:v>祁腾蜂赢1号净值20260911.xlsx</x:v>
      </x:c>
      <x:c r="I1907" s="73" t="str">
        <x:f>""</x:f>
      </x:c>
      <x:c r="J1907" s="74" t="str">
        <x:f>""</x:f>
      </x:c>
      <x:c r="K1907" s="73" t="str">
        <x:f>""</x:f>
      </x:c>
      <x:c r="L1907" s="74" t="str">
        <x:f>""</x:f>
      </x:c>
      <x:c r="M1907" s="73" t="n">
        <x:f>MAX(M1906,F1907)</x:f>
        <x:v>1.0971</x:v>
      </x:c>
      <x:c r="N1907" s="74" t="n">
        <x:f>1-F1907/M1907</x:f>
        <x:v>0</x:v>
      </x:c>
    </x:row>
    <x:row r="1908" ht="27" customHeight="1">
      <x:c r="A1908" s="66" t="str">
        <x:v>SEV580</x:v>
      </x:c>
      <x:c r="B1908" s="66" t="str">
        <x:v>祁腾蜂赢1号</x:v>
      </x:c>
      <x:c r="C1908" s="72" t="n">
        <x:v>43759</x:v>
      </x:c>
      <x:c r="D1908" s="73" t="n">
        <x:v>1.0596</x:v>
      </x:c>
      <x:c r="E1908" s="73" t="n">
        <x:v>1.0946</x:v>
      </x:c>
      <x:c r="F1908" s="73" t="n">
        <x:v>1.0966</x:v>
      </x:c>
      <x:c r="G1908" s="74" t="n">
        <x:v>-0.0004</x:v>
      </x:c>
      <x:c r="H1908" s="66" t="str">
        <x:v>祁腾蜂赢1号净值20260911.xlsx</x:v>
      </x:c>
      <x:c r="I1908" s="73" t="str">
        <x:f>""</x:f>
      </x:c>
      <x:c r="J1908" s="74" t="str">
        <x:f>""</x:f>
      </x:c>
      <x:c r="K1908" s="73" t="str">
        <x:f>""</x:f>
      </x:c>
      <x:c r="L1908" s="74" t="str">
        <x:f>""</x:f>
      </x:c>
      <x:c r="M1908" s="73" t="n">
        <x:f>MAX(M1907,F1908)</x:f>
        <x:v>1.0971</x:v>
      </x:c>
      <x:c r="N1908" s="74" t="n">
        <x:f>1-F1908/M1908</x:f>
        <x:v>0.00045574696928263325</x:v>
      </x:c>
    </x:row>
    <x:row r="1909" ht="27" customHeight="1">
      <x:c r="A1909" s="66" t="str">
        <x:v>SEV580</x:v>
      </x:c>
      <x:c r="B1909" s="66" t="str">
        <x:v>祁腾蜂赢1号</x:v>
      </x:c>
      <x:c r="C1909" s="72" t="n">
        <x:v>43760</x:v>
      </x:c>
      <x:c r="D1909" s="73" t="n">
        <x:v>1.0587</x:v>
      </x:c>
      <x:c r="E1909" s="73" t="n">
        <x:v>1.0937</x:v>
      </x:c>
      <x:c r="F1909" s="73" t="n">
        <x:v>1.0957</x:v>
      </x:c>
      <x:c r="G1909" s="74" t="n">
        <x:v>-0.0008</x:v>
      </x:c>
      <x:c r="H1909" s="66" t="str">
        <x:v>祁腾蜂赢1号净值20260911.xlsx</x:v>
      </x:c>
      <x:c r="I1909" s="73" t="str">
        <x:f>""</x:f>
      </x:c>
      <x:c r="J1909" s="74" t="str">
        <x:f>""</x:f>
      </x:c>
      <x:c r="K1909" s="73" t="str">
        <x:f>""</x:f>
      </x:c>
      <x:c r="L1909" s="74" t="str">
        <x:f>""</x:f>
      </x:c>
      <x:c r="M1909" s="73" t="n">
        <x:f>MAX(M1908,F1909)</x:f>
        <x:v>1.0971</x:v>
      </x:c>
      <x:c r="N1909" s="74" t="n">
        <x:f>1-F1909/M1909</x:f>
        <x:v>0.0012760915139914397</x:v>
      </x:c>
    </x:row>
    <x:row r="1910" ht="27" customHeight="1">
      <x:c r="A1910" s="66" t="str">
        <x:v>SEV580</x:v>
      </x:c>
      <x:c r="B1910" s="66" t="str">
        <x:v>祁腾蜂赢1号</x:v>
      </x:c>
      <x:c r="C1910" s="72" t="n">
        <x:v>43761</x:v>
      </x:c>
      <x:c r="D1910" s="73" t="n">
        <x:v>1.058</x:v>
      </x:c>
      <x:c r="E1910" s="73" t="n">
        <x:v>1.093</x:v>
      </x:c>
      <x:c r="F1910" s="73" t="n">
        <x:v>1.095</x:v>
      </x:c>
      <x:c r="G1910" s="74" t="n">
        <x:v>-0.0007000000000000001</x:v>
      </x:c>
      <x:c r="H1910" s="66" t="str">
        <x:v>祁腾蜂赢1号净值20260911.xlsx</x:v>
      </x:c>
      <x:c r="I1910" s="73" t="str">
        <x:f>""</x:f>
      </x:c>
      <x:c r="J1910" s="74" t="str">
        <x:f>""</x:f>
      </x:c>
      <x:c r="K1910" s="73" t="str">
        <x:f>""</x:f>
      </x:c>
      <x:c r="L1910" s="74" t="str">
        <x:f>""</x:f>
      </x:c>
      <x:c r="M1910" s="73" t="n">
        <x:f>MAX(M1909,F1910)</x:f>
        <x:v>1.0971</x:v>
      </x:c>
      <x:c r="N1910" s="74" t="n">
        <x:f>1-F1910/M1910</x:f>
        <x:v>0.001914137270987104</x:v>
      </x:c>
    </x:row>
    <x:row r="1911" ht="27" customHeight="1">
      <x:c r="A1911" s="66" t="str">
        <x:v>SEV580</x:v>
      </x:c>
      <x:c r="B1911" s="66" t="str">
        <x:v>祁腾蜂赢1号</x:v>
      </x:c>
      <x:c r="C1911" s="72" t="n">
        <x:v>43762</x:v>
      </x:c>
      <x:c r="D1911" s="73" t="n">
        <x:v>1.0573</x:v>
      </x:c>
      <x:c r="E1911" s="73" t="n">
        <x:v>1.0923</x:v>
      </x:c>
      <x:c r="F1911" s="73" t="n">
        <x:v>1.0943</x:v>
      </x:c>
      <x:c r="G1911" s="74" t="n">
        <x:v>-0.0007000000000000001</x:v>
      </x:c>
      <x:c r="H1911" s="66" t="str">
        <x:v>祁腾蜂赢1号净值20260911.xlsx</x:v>
      </x:c>
      <x:c r="I1911" s="73" t="str">
        <x:f>""</x:f>
      </x:c>
      <x:c r="J1911" s="74" t="str">
        <x:f>""</x:f>
      </x:c>
      <x:c r="K1911" s="73" t="str">
        <x:f>""</x:f>
      </x:c>
      <x:c r="L1911" s="74" t="str">
        <x:f>""</x:f>
      </x:c>
      <x:c r="M1911" s="73" t="n">
        <x:f>MAX(M1910,F1911)</x:f>
        <x:v>1.0971</x:v>
      </x:c>
      <x:c r="N1911" s="74" t="n">
        <x:f>1-F1911/M1911</x:f>
        <x:v>0.0025521830279827684</x:v>
      </x:c>
    </x:row>
    <x:row r="1912" ht="27" customHeight="1">
      <x:c r="A1912" s="66" t="str">
        <x:v>SEV580</x:v>
      </x:c>
      <x:c r="B1912" s="66" t="str">
        <x:v>祁腾蜂赢1号</x:v>
      </x:c>
      <x:c r="C1912" s="72" t="n">
        <x:v>43763</x:v>
      </x:c>
      <x:c r="D1912" s="73" t="n">
        <x:v>1.0572</x:v>
      </x:c>
      <x:c r="E1912" s="73" t="n">
        <x:v>1.0922</x:v>
      </x:c>
      <x:c r="F1912" s="73" t="n">
        <x:v>1.0942</x:v>
      </x:c>
      <x:c r="G1912" s="74" t="n">
        <x:v>-0.0001</x:v>
      </x:c>
      <x:c r="H1912" s="66" t="str">
        <x:v>祁腾蜂赢1号净值20260911.xlsx</x:v>
      </x:c>
      <x:c r="I1912" s="73" t="str">
        <x:f>""</x:f>
      </x:c>
      <x:c r="J1912" s="74" t="str">
        <x:f>""</x:f>
      </x:c>
      <x:c r="K1912" s="73" t="str">
        <x:f>""</x:f>
      </x:c>
      <x:c r="L1912" s="74" t="str">
        <x:f>""</x:f>
      </x:c>
      <x:c r="M1912" s="73" t="n">
        <x:f>MAX(M1911,F1912)</x:f>
        <x:v>1.0971</x:v>
      </x:c>
      <x:c r="N1912" s="74" t="n">
        <x:f>1-F1912/M1912</x:f>
        <x:v>0.0026433324218393395</x:v>
      </x:c>
    </x:row>
    <x:row r="1913" ht="27" customHeight="1">
      <x:c r="A1913" s="66" t="str">
        <x:v>SEV580</x:v>
      </x:c>
      <x:c r="B1913" s="66" t="str">
        <x:v>祁腾蜂赢1号</x:v>
      </x:c>
      <x:c r="C1913" s="72" t="n">
        <x:v>43766</x:v>
      </x:c>
      <x:c r="D1913" s="73" t="n">
        <x:v>1.0566</x:v>
      </x:c>
      <x:c r="E1913" s="73" t="n">
        <x:v>1.0916</x:v>
      </x:c>
      <x:c r="F1913" s="73" t="n">
        <x:v>1.0935</x:v>
      </x:c>
      <x:c r="G1913" s="74" t="n">
        <x:v>-0.0006</x:v>
      </x:c>
      <x:c r="H1913" s="66" t="str">
        <x:v>祁腾蜂赢1号净值20260911.xlsx</x:v>
      </x:c>
      <x:c r="I1913" s="73" t="str">
        <x:f>""</x:f>
      </x:c>
      <x:c r="J1913" s="74" t="str">
        <x:f>""</x:f>
      </x:c>
      <x:c r="K1913" s="73" t="str">
        <x:f>""</x:f>
      </x:c>
      <x:c r="L1913" s="74" t="str">
        <x:f>""</x:f>
      </x:c>
      <x:c r="M1913" s="73" t="n">
        <x:f>MAX(M1912,F1913)</x:f>
        <x:v>1.0971</x:v>
      </x:c>
      <x:c r="N1913" s="74" t="n">
        <x:f>1-F1913/M1913</x:f>
        <x:v>0.003281378178835115</x:v>
      </x:c>
    </x:row>
    <x:row r="1914" ht="27" customHeight="1">
      <x:c r="A1914" s="66" t="str">
        <x:v>SEV580</x:v>
      </x:c>
      <x:c r="B1914" s="66" t="str">
        <x:v>祁腾蜂赢1号</x:v>
      </x:c>
      <x:c r="C1914" s="72" t="n">
        <x:v>43767</x:v>
      </x:c>
      <x:c r="D1914" s="73" t="n">
        <x:v>1.0551</x:v>
      </x:c>
      <x:c r="E1914" s="73" t="n">
        <x:v>1.0901</x:v>
      </x:c>
      <x:c r="F1914" s="73" t="n">
        <x:v>1.092</x:v>
      </x:c>
      <x:c r="G1914" s="74" t="n">
        <x:v>-0.0014000000000000002</x:v>
      </x:c>
      <x:c r="H1914" s="66" t="str">
        <x:v>祁腾蜂赢1号净值20260911.xlsx</x:v>
      </x:c>
      <x:c r="I1914" s="73" t="str">
        <x:f>""</x:f>
      </x:c>
      <x:c r="J1914" s="74" t="str">
        <x:f>""</x:f>
      </x:c>
      <x:c r="K1914" s="73" t="str">
        <x:f>""</x:f>
      </x:c>
      <x:c r="L1914" s="74" t="str">
        <x:f>""</x:f>
      </x:c>
      <x:c r="M1914" s="73" t="n">
        <x:f>MAX(M1913,F1914)</x:f>
        <x:v>1.0971</x:v>
      </x:c>
      <x:c r="N1914" s="74" t="n">
        <x:f>1-F1914/M1914</x:f>
        <x:v>0.004648619086683015</x:v>
      </x:c>
    </x:row>
    <x:row r="1915" ht="27" customHeight="1">
      <x:c r="A1915" s="66" t="str">
        <x:v>SEV580</x:v>
      </x:c>
      <x:c r="B1915" s="66" t="str">
        <x:v>祁腾蜂赢1号</x:v>
      </x:c>
      <x:c r="C1915" s="72" t="n">
        <x:v>43768</x:v>
      </x:c>
      <x:c r="D1915" s="73" t="n">
        <x:v>1.0563</x:v>
      </x:c>
      <x:c r="E1915" s="73" t="n">
        <x:v>1.0913</x:v>
      </x:c>
      <x:c r="F1915" s="73" t="n">
        <x:v>1.0932</x:v>
      </x:c>
      <x:c r="G1915" s="74" t="n">
        <x:v>0.0011</x:v>
      </x:c>
      <x:c r="H1915" s="66" t="str">
        <x:v>祁腾蜂赢1号净值20260911.xlsx</x:v>
      </x:c>
      <x:c r="I1915" s="73" t="str">
        <x:f>""</x:f>
      </x:c>
      <x:c r="J1915" s="74" t="str">
        <x:f>""</x:f>
      </x:c>
      <x:c r="K1915" s="73" t="str">
        <x:f>""</x:f>
      </x:c>
      <x:c r="L1915" s="74" t="str">
        <x:f>""</x:f>
      </x:c>
      <x:c r="M1915" s="73" t="n">
        <x:f>MAX(M1914,F1915)</x:f>
        <x:v>1.0971</x:v>
      </x:c>
      <x:c r="N1915" s="74" t="n">
        <x:f>1-F1915/M1915</x:f>
        <x:v>0.003554826360404717</x:v>
      </x:c>
    </x:row>
    <x:row r="1916" ht="27" customHeight="1">
      <x:c r="A1916" s="66" t="str">
        <x:v>SEV580</x:v>
      </x:c>
      <x:c r="B1916" s="66" t="str">
        <x:v>祁腾蜂赢1号</x:v>
      </x:c>
      <x:c r="C1916" s="72" t="n">
        <x:v>43769</x:v>
      </x:c>
      <x:c r="D1916" s="73" t="n">
        <x:v>1.056</x:v>
      </x:c>
      <x:c r="E1916" s="73" t="n">
        <x:v>1.091</x:v>
      </x:c>
      <x:c r="F1916" s="73" t="n">
        <x:v>1.0929</x:v>
      </x:c>
      <x:c r="G1916" s="74" t="n">
        <x:v>-0.0003</x:v>
      </x:c>
      <x:c r="H1916" s="66" t="str">
        <x:v>祁腾蜂赢1号净值20260911.xlsx</x:v>
      </x:c>
      <x:c r="I1916" s="73" t="str">
        <x:f>""</x:f>
      </x:c>
      <x:c r="J1916" s="74" t="str">
        <x:f>""</x:f>
      </x:c>
      <x:c r="K1916" s="73" t="str">
        <x:f>""</x:f>
      </x:c>
      <x:c r="L1916" s="74" t="str">
        <x:f>""</x:f>
      </x:c>
      <x:c r="M1916" s="73" t="n">
        <x:f>MAX(M1915,F1916)</x:f>
        <x:v>1.0971</x:v>
      </x:c>
      <x:c r="N1916" s="74" t="n">
        <x:f>1-F1916/M1916</x:f>
        <x:v>0.003828274541974319</x:v>
      </x:c>
    </x:row>
    <x:row r="1917" ht="27" customHeight="1">
      <x:c r="A1917" s="66" t="str">
        <x:v>SEV580</x:v>
      </x:c>
      <x:c r="B1917" s="66" t="str">
        <x:v>祁腾蜂赢1号</x:v>
      </x:c>
      <x:c r="C1917" s="72" t="n">
        <x:v>43770</x:v>
      </x:c>
      <x:c r="D1917" s="73" t="n">
        <x:v>1.0561</x:v>
      </x:c>
      <x:c r="E1917" s="73" t="n">
        <x:v>1.0911</x:v>
      </x:c>
      <x:c r="F1917" s="73" t="n">
        <x:v>1.093</x:v>
      </x:c>
      <x:c r="G1917" s="74" t="n">
        <x:v>0.0001</x:v>
      </x:c>
      <x:c r="H1917" s="66" t="str">
        <x:v>祁腾蜂赢1号净值20260911.xlsx</x:v>
      </x:c>
      <x:c r="I1917" s="73" t="str">
        <x:f>""</x:f>
      </x:c>
      <x:c r="J1917" s="74" t="str">
        <x:f>""</x:f>
      </x:c>
      <x:c r="K1917" s="73" t="str">
        <x:f>""</x:f>
      </x:c>
      <x:c r="L1917" s="74" t="str">
        <x:f>""</x:f>
      </x:c>
      <x:c r="M1917" s="73" t="n">
        <x:f>MAX(M1916,F1917)</x:f>
        <x:v>1.0971</x:v>
      </x:c>
      <x:c r="N1917" s="74" t="n">
        <x:f>1-F1917/M1917</x:f>
        <x:v>0.003737125148117748</x:v>
      </x:c>
    </x:row>
    <x:row r="1918" ht="27" customHeight="1">
      <x:c r="A1918" s="66" t="str">
        <x:v>SEV580</x:v>
      </x:c>
      <x:c r="B1918" s="66" t="str">
        <x:v>祁腾蜂赢1号</x:v>
      </x:c>
      <x:c r="C1918" s="72" t="n">
        <x:v>43773</x:v>
      </x:c>
      <x:c r="D1918" s="73" t="n">
        <x:v>1.0558</x:v>
      </x:c>
      <x:c r="E1918" s="73" t="n">
        <x:v>1.0908</x:v>
      </x:c>
      <x:c r="F1918" s="73" t="n">
        <x:v>1.0927</x:v>
      </x:c>
      <x:c r="G1918" s="74" t="n">
        <x:v>-0.0003</x:v>
      </x:c>
      <x:c r="H1918" s="66" t="str">
        <x:v>祁腾蜂赢1号净值20260911.xlsx</x:v>
      </x:c>
      <x:c r="I1918" s="73" t="str">
        <x:f>""</x:f>
      </x:c>
      <x:c r="J1918" s="74" t="str">
        <x:f>""</x:f>
      </x:c>
      <x:c r="K1918" s="73" t="str">
        <x:f>""</x:f>
      </x:c>
      <x:c r="L1918" s="74" t="str">
        <x:f>""</x:f>
      </x:c>
      <x:c r="M1918" s="73" t="n">
        <x:f>MAX(M1917,F1918)</x:f>
        <x:v>1.0971</x:v>
      </x:c>
      <x:c r="N1918" s="74" t="n">
        <x:f>1-F1918/M1918</x:f>
        <x:v>0.00401057332968735</x:v>
      </x:c>
    </x:row>
    <x:row r="1919" ht="27" customHeight="1">
      <x:c r="A1919" s="66" t="str">
        <x:v>SEV580</x:v>
      </x:c>
      <x:c r="B1919" s="66" t="str">
        <x:v>祁腾蜂赢1号</x:v>
      </x:c>
      <x:c r="C1919" s="72" t="n">
        <x:v>43774</x:v>
      </x:c>
      <x:c r="D1919" s="73" t="n">
        <x:v>1.0601</x:v>
      </x:c>
      <x:c r="E1919" s="73" t="n">
        <x:v>1.0951</x:v>
      </x:c>
      <x:c r="F1919" s="73" t="n">
        <x:v>1.0972</x:v>
      </x:c>
      <x:c r="G1919" s="74" t="n">
        <x:v>0.0040999999999999995</x:v>
      </x:c>
      <x:c r="H1919" s="66" t="str">
        <x:v>祁腾蜂赢1号净值20260911.xlsx</x:v>
      </x:c>
      <x:c r="I1919" s="73" t="str">
        <x:f>""</x:f>
      </x:c>
      <x:c r="J1919" s="74" t="str">
        <x:f>""</x:f>
      </x:c>
      <x:c r="K1919" s="73" t="str">
        <x:f>""</x:f>
      </x:c>
      <x:c r="L1919" s="74" t="str">
        <x:f>""</x:f>
      </x:c>
      <x:c r="M1919" s="73" t="n">
        <x:f>MAX(M1918,F1919)</x:f>
        <x:v>1.0972</x:v>
      </x:c>
      <x:c r="N1919" s="74" t="n">
        <x:f>1-F1919/M1919</x:f>
        <x:v>0</x:v>
      </x:c>
    </x:row>
    <x:row r="1920" ht="27" customHeight="1">
      <x:c r="A1920" s="66" t="str">
        <x:v>SEV580</x:v>
      </x:c>
      <x:c r="B1920" s="66" t="str">
        <x:v>祁腾蜂赢1号</x:v>
      </x:c>
      <x:c r="C1920" s="72" t="n">
        <x:v>43775</x:v>
      </x:c>
      <x:c r="D1920" s="73" t="n">
        <x:v>1.06</x:v>
      </x:c>
      <x:c r="E1920" s="73" t="n">
        <x:v>1.095</x:v>
      </x:c>
      <x:c r="F1920" s="73" t="n">
        <x:v>1.0971</x:v>
      </x:c>
      <x:c r="G1920" s="74" t="n">
        <x:v>-0.0001</x:v>
      </x:c>
      <x:c r="H1920" s="66" t="str">
        <x:v>祁腾蜂赢1号净值20260911.xlsx</x:v>
      </x:c>
      <x:c r="I1920" s="73" t="str">
        <x:f>""</x:f>
      </x:c>
      <x:c r="J1920" s="74" t="str">
        <x:f>""</x:f>
      </x:c>
      <x:c r="K1920" s="73" t="str">
        <x:f>""</x:f>
      </x:c>
      <x:c r="L1920" s="74" t="str">
        <x:f>""</x:f>
      </x:c>
      <x:c r="M1920" s="73" t="n">
        <x:f>MAX(M1919,F1920)</x:f>
        <x:v>1.0972</x:v>
      </x:c>
      <x:c r="N1920" s="74" t="n">
        <x:f>1-F1920/M1920</x:f>
        <x:v>0.0000911410864017359</x:v>
      </x:c>
    </x:row>
    <x:row r="1921" ht="27" customHeight="1">
      <x:c r="A1921" s="66" t="str">
        <x:v>SEV580</x:v>
      </x:c>
      <x:c r="B1921" s="66" t="str">
        <x:v>祁腾蜂赢1号</x:v>
      </x:c>
      <x:c r="C1921" s="72" t="n">
        <x:v>43776</x:v>
      </x:c>
      <x:c r="D1921" s="73" t="n">
        <x:v>1.0608</x:v>
      </x:c>
      <x:c r="E1921" s="73" t="n">
        <x:v>1.0958</x:v>
      </x:c>
      <x:c r="F1921" s="73" t="n">
        <x:v>1.0979</x:v>
      </x:c>
      <x:c r="G1921" s="74" t="n">
        <x:v>0.0008</x:v>
      </x:c>
      <x:c r="H1921" s="66" t="str">
        <x:v>祁腾蜂赢1号净值20260911.xlsx</x:v>
      </x:c>
      <x:c r="I1921" s="73" t="str">
        <x:f>""</x:f>
      </x:c>
      <x:c r="J1921" s="74" t="str">
        <x:f>""</x:f>
      </x:c>
      <x:c r="K1921" s="73" t="str">
        <x:f>""</x:f>
      </x:c>
      <x:c r="L1921" s="74" t="str">
        <x:f>""</x:f>
      </x:c>
      <x:c r="M1921" s="73" t="n">
        <x:f>MAX(M1920,F1921)</x:f>
        <x:v>1.0979</x:v>
      </x:c>
      <x:c r="N1921" s="74" t="n">
        <x:f>1-F1921/M1921</x:f>
        <x:v>0</x:v>
      </x:c>
    </x:row>
    <x:row r="1922" ht="27" customHeight="1">
      <x:c r="A1922" s="66" t="str">
        <x:v>SEV580</x:v>
      </x:c>
      <x:c r="B1922" s="66" t="str">
        <x:v>祁腾蜂赢1号</x:v>
      </x:c>
      <x:c r="C1922" s="72" t="n">
        <x:v>43777</x:v>
      </x:c>
      <x:c r="D1922" s="73" t="n">
        <x:v>1.062</x:v>
      </x:c>
      <x:c r="E1922" s="73" t="n">
        <x:v>1.097</x:v>
      </x:c>
      <x:c r="F1922" s="73" t="n">
        <x:v>1.0991</x:v>
      </x:c>
      <x:c r="G1922" s="74" t="n">
        <x:v>0.0011</x:v>
      </x:c>
      <x:c r="H1922" s="66" t="str">
        <x:v>祁腾蜂赢1号净值20260911.xlsx</x:v>
      </x:c>
      <x:c r="I1922" s="73" t="str">
        <x:f>""</x:f>
      </x:c>
      <x:c r="J1922" s="74" t="str">
        <x:f>""</x:f>
      </x:c>
      <x:c r="K1922" s="73" t="str">
        <x:f>""</x:f>
      </x:c>
      <x:c r="L1922" s="74" t="str">
        <x:f>""</x:f>
      </x:c>
      <x:c r="M1922" s="73" t="n">
        <x:f>MAX(M1921,F1922)</x:f>
        <x:v>1.0991</x:v>
      </x:c>
      <x:c r="N1922" s="74" t="n">
        <x:f>1-F1922/M1922</x:f>
        <x:v>0</x:v>
      </x:c>
    </x:row>
    <x:row r="1923" ht="27" customHeight="1">
      <x:c r="A1923" s="66" t="str">
        <x:v>SEV580</x:v>
      </x:c>
      <x:c r="B1923" s="66" t="str">
        <x:v>祁腾蜂赢1号</x:v>
      </x:c>
      <x:c r="C1923" s="72" t="n">
        <x:v>43780</x:v>
      </x:c>
      <x:c r="D1923" s="73" t="n">
        <x:v>1.062</x:v>
      </x:c>
      <x:c r="E1923" s="73" t="n">
        <x:v>1.097</x:v>
      </x:c>
      <x:c r="F1923" s="73" t="n">
        <x:v>1.0991</x:v>
      </x:c>
      <x:c r="G1923" s="74" t="n">
        <x:v>0</x:v>
      </x:c>
      <x:c r="H1923" s="66" t="str">
        <x:v>祁腾蜂赢1号净值20260911.xlsx</x:v>
      </x:c>
      <x:c r="I1923" s="73" t="str">
        <x:f>""</x:f>
      </x:c>
      <x:c r="J1923" s="74" t="str">
        <x:f>""</x:f>
      </x:c>
      <x:c r="K1923" s="73" t="str">
        <x:f>""</x:f>
      </x:c>
      <x:c r="L1923" s="74" t="str">
        <x:f>""</x:f>
      </x:c>
      <x:c r="M1923" s="73" t="n">
        <x:f>MAX(M1922,F1923)</x:f>
        <x:v>1.0991</x:v>
      </x:c>
      <x:c r="N1923" s="74" t="n">
        <x:f>1-F1923/M1923</x:f>
        <x:v>0</x:v>
      </x:c>
    </x:row>
    <x:row r="1924" ht="27" customHeight="1">
      <x:c r="A1924" s="66" t="str">
        <x:v>SEV580</x:v>
      </x:c>
      <x:c r="B1924" s="66" t="str">
        <x:v>祁腾蜂赢1号</x:v>
      </x:c>
      <x:c r="C1924" s="72" t="n">
        <x:v>43781</x:v>
      </x:c>
      <x:c r="D1924" s="73" t="n">
        <x:v>1.0626</x:v>
      </x:c>
      <x:c r="E1924" s="73" t="n">
        <x:v>1.0976</x:v>
      </x:c>
      <x:c r="F1924" s="73" t="n">
        <x:v>1.0998</x:v>
      </x:c>
      <x:c r="G1924" s="74" t="n">
        <x:v>0.0006</x:v>
      </x:c>
      <x:c r="H1924" s="66" t="str">
        <x:v>祁腾蜂赢1号净值20260911.xlsx</x:v>
      </x:c>
      <x:c r="I1924" s="73" t="str">
        <x:f>""</x:f>
      </x:c>
      <x:c r="J1924" s="74" t="str">
        <x:f>""</x:f>
      </x:c>
      <x:c r="K1924" s="73" t="str">
        <x:f>""</x:f>
      </x:c>
      <x:c r="L1924" s="74" t="str">
        <x:f>""</x:f>
      </x:c>
      <x:c r="M1924" s="73" t="n">
        <x:f>MAX(M1923,F1924)</x:f>
        <x:v>1.0998</x:v>
      </x:c>
      <x:c r="N1924" s="74" t="n">
        <x:f>1-F1924/M1924</x:f>
        <x:v>0</x:v>
      </x:c>
    </x:row>
    <x:row r="1925" ht="27" customHeight="1">
      <x:c r="A1925" s="66" t="str">
        <x:v>SEV580</x:v>
      </x:c>
      <x:c r="B1925" s="66" t="str">
        <x:v>祁腾蜂赢1号</x:v>
      </x:c>
      <x:c r="C1925" s="72" t="n">
        <x:v>43782</x:v>
      </x:c>
      <x:c r="D1925" s="73" t="n">
        <x:v>1.0629</x:v>
      </x:c>
      <x:c r="E1925" s="73" t="n">
        <x:v>1.0979</x:v>
      </x:c>
      <x:c r="F1925" s="73" t="n">
        <x:v>1.1001</x:v>
      </x:c>
      <x:c r="G1925" s="74" t="n">
        <x:v>0.0003</x:v>
      </x:c>
      <x:c r="H1925" s="66" t="str">
        <x:v>祁腾蜂赢1号净值20260911.xlsx</x:v>
      </x:c>
      <x:c r="I1925" s="73" t="str">
        <x:f>""</x:f>
      </x:c>
      <x:c r="J1925" s="74" t="str">
        <x:f>""</x:f>
      </x:c>
      <x:c r="K1925" s="73" t="str">
        <x:f>""</x:f>
      </x:c>
      <x:c r="L1925" s="74" t="str">
        <x:f>""</x:f>
      </x:c>
      <x:c r="M1925" s="73" t="n">
        <x:f>MAX(M1924,F1925)</x:f>
        <x:v>1.1001</x:v>
      </x:c>
      <x:c r="N1925" s="74" t="n">
        <x:f>1-F1925/M1925</x:f>
        <x:v>0</x:v>
      </x:c>
    </x:row>
    <x:row r="1926" ht="27" customHeight="1">
      <x:c r="A1926" s="66" t="str">
        <x:v>SEV580</x:v>
      </x:c>
      <x:c r="B1926" s="66" t="str">
        <x:v>祁腾蜂赢1号</x:v>
      </x:c>
      <x:c r="C1926" s="72" t="n">
        <x:v>43783</x:v>
      </x:c>
      <x:c r="D1926" s="73" t="n">
        <x:v>1.0619</x:v>
      </x:c>
      <x:c r="E1926" s="73" t="n">
        <x:v>1.0969</x:v>
      </x:c>
      <x:c r="F1926" s="73" t="n">
        <x:v>1.099</x:v>
      </x:c>
      <x:c r="G1926" s="74" t="n">
        <x:v>-0.0009</x:v>
      </x:c>
      <x:c r="H1926" s="66" t="str">
        <x:v>祁腾蜂赢1号净值20260911.xlsx</x:v>
      </x:c>
      <x:c r="I1926" s="73" t="str">
        <x:f>""</x:f>
      </x:c>
      <x:c r="J1926" s="74" t="str">
        <x:f>""</x:f>
      </x:c>
      <x:c r="K1926" s="73" t="str">
        <x:f>""</x:f>
      </x:c>
      <x:c r="L1926" s="74" t="str">
        <x:f>""</x:f>
      </x:c>
      <x:c r="M1926" s="73" t="n">
        <x:f>MAX(M1925,F1926)</x:f>
        <x:v>1.1001</x:v>
      </x:c>
      <x:c r="N1926" s="74" t="n">
        <x:f>1-F1926/M1926</x:f>
        <x:v>0.0009999090991729132</x:v>
      </x:c>
    </x:row>
    <x:row r="1927" ht="27" customHeight="1">
      <x:c r="A1927" s="66" t="str">
        <x:v>SEV580</x:v>
      </x:c>
      <x:c r="B1927" s="66" t="str">
        <x:v>祁腾蜂赢1号</x:v>
      </x:c>
      <x:c r="C1927" s="72" t="n">
        <x:v>43784</x:v>
      </x:c>
      <x:c r="D1927" s="73" t="n">
        <x:v>1.0623</x:v>
      </x:c>
      <x:c r="E1927" s="73" t="n">
        <x:v>1.0973</x:v>
      </x:c>
      <x:c r="F1927" s="73" t="n">
        <x:v>1.0994</x:v>
      </x:c>
      <x:c r="G1927" s="74" t="n">
        <x:v>0.0004</x:v>
      </x:c>
      <x:c r="H1927" s="66" t="str">
        <x:v>祁腾蜂赢1号净值20260911.xlsx</x:v>
      </x:c>
      <x:c r="I1927" s="73" t="str">
        <x:f>""</x:f>
      </x:c>
      <x:c r="J1927" s="74" t="str">
        <x:f>""</x:f>
      </x:c>
      <x:c r="K1927" s="73" t="str">
        <x:f>""</x:f>
      </x:c>
      <x:c r="L1927" s="74" t="str">
        <x:f>""</x:f>
      </x:c>
      <x:c r="M1927" s="73" t="n">
        <x:f>MAX(M1926,F1927)</x:f>
        <x:v>1.1001</x:v>
      </x:c>
      <x:c r="N1927" s="74" t="n">
        <x:f>1-F1927/M1927</x:f>
        <x:v>0.0006363057903828739</x:v>
      </x:c>
    </x:row>
    <x:row r="1928" ht="27" customHeight="1">
      <x:c r="A1928" s="66" t="str">
        <x:v>SEV580</x:v>
      </x:c>
      <x:c r="B1928" s="66" t="str">
        <x:v>祁腾蜂赢1号</x:v>
      </x:c>
      <x:c r="C1928" s="72" t="n">
        <x:v>43787</x:v>
      </x:c>
      <x:c r="D1928" s="73" t="n">
        <x:v>1.0633</x:v>
      </x:c>
      <x:c r="E1928" s="73" t="n">
        <x:v>1.0983</x:v>
      </x:c>
      <x:c r="F1928" s="73" t="n">
        <x:v>1.1005</x:v>
      </x:c>
      <x:c r="G1928" s="74" t="n">
        <x:v>0.0009</x:v>
      </x:c>
      <x:c r="H1928" s="66" t="str">
        <x:v>祁腾蜂赢1号净值20260911.xlsx</x:v>
      </x:c>
      <x:c r="I1928" s="73" t="str">
        <x:f>""</x:f>
      </x:c>
      <x:c r="J1928" s="74" t="str">
        <x:f>""</x:f>
      </x:c>
      <x:c r="K1928" s="73" t="str">
        <x:f>""</x:f>
      </x:c>
      <x:c r="L1928" s="74" t="str">
        <x:f>""</x:f>
      </x:c>
      <x:c r="M1928" s="73" t="n">
        <x:f>MAX(M1927,F1928)</x:f>
        <x:v>1.1005</x:v>
      </x:c>
      <x:c r="N1928" s="74" t="n">
        <x:f>1-F1928/M1928</x:f>
        <x:v>0</x:v>
      </x:c>
    </x:row>
    <x:row r="1929" ht="27" customHeight="1">
      <x:c r="A1929" s="66" t="str">
        <x:v>SEV580</x:v>
      </x:c>
      <x:c r="B1929" s="66" t="str">
        <x:v>祁腾蜂赢1号</x:v>
      </x:c>
      <x:c r="C1929" s="72" t="n">
        <x:v>43788</x:v>
      </x:c>
      <x:c r="D1929" s="73" t="n">
        <x:v>1.0641</x:v>
      </x:c>
      <x:c r="E1929" s="73" t="n">
        <x:v>1.0991</x:v>
      </x:c>
      <x:c r="F1929" s="73" t="n">
        <x:v>1.1013</x:v>
      </x:c>
      <x:c r="G1929" s="74" t="n">
        <x:v>0.0008</x:v>
      </x:c>
      <x:c r="H1929" s="66" t="str">
        <x:v>祁腾蜂赢1号净值20260911.xlsx</x:v>
      </x:c>
      <x:c r="I1929" s="73" t="str">
        <x:f>""</x:f>
      </x:c>
      <x:c r="J1929" s="74" t="str">
        <x:f>""</x:f>
      </x:c>
      <x:c r="K1929" s="73" t="str">
        <x:f>""</x:f>
      </x:c>
      <x:c r="L1929" s="74" t="str">
        <x:f>""</x:f>
      </x:c>
      <x:c r="M1929" s="73" t="n">
        <x:f>MAX(M1928,F1929)</x:f>
        <x:v>1.1013</x:v>
      </x:c>
      <x:c r="N1929" s="74" t="n">
        <x:f>1-F1929/M1929</x:f>
        <x:v>0</x:v>
      </x:c>
    </x:row>
    <x:row r="1930" ht="27" customHeight="1">
      <x:c r="A1930" s="66" t="str">
        <x:v>SEV580</x:v>
      </x:c>
      <x:c r="B1930" s="66" t="str">
        <x:v>祁腾蜂赢1号</x:v>
      </x:c>
      <x:c r="C1930" s="72" t="n">
        <x:v>43789</x:v>
      </x:c>
      <x:c r="D1930" s="73" t="n">
        <x:v>1.0637</x:v>
      </x:c>
      <x:c r="E1930" s="73" t="n">
        <x:v>1.0987</x:v>
      </x:c>
      <x:c r="F1930" s="73" t="n">
        <x:v>1.1009</x:v>
      </x:c>
      <x:c r="G1930" s="74" t="n">
        <x:v>-0.0004</x:v>
      </x:c>
      <x:c r="H1930" s="66" t="str">
        <x:v>祁腾蜂赢1号净值20260911.xlsx</x:v>
      </x:c>
      <x:c r="I1930" s="73" t="str">
        <x:f>""</x:f>
      </x:c>
      <x:c r="J1930" s="74" t="str">
        <x:f>""</x:f>
      </x:c>
      <x:c r="K1930" s="73" t="str">
        <x:f>""</x:f>
      </x:c>
      <x:c r="L1930" s="74" t="str">
        <x:f>""</x:f>
      </x:c>
      <x:c r="M1930" s="73" t="n">
        <x:f>MAX(M1929,F1930)</x:f>
        <x:v>1.1013</x:v>
      </x:c>
      <x:c r="N1930" s="74" t="n">
        <x:f>1-F1930/M1930</x:f>
        <x:v>0.00036320711885950985</x:v>
      </x:c>
    </x:row>
    <x:row r="1931" ht="27" customHeight="1">
      <x:c r="A1931" s="66" t="str">
        <x:v>SEV580</x:v>
      </x:c>
      <x:c r="B1931" s="66" t="str">
        <x:v>祁腾蜂赢1号</x:v>
      </x:c>
      <x:c r="C1931" s="72" t="n">
        <x:v>43790</x:v>
      </x:c>
      <x:c r="D1931" s="73" t="n">
        <x:v>1.0637</x:v>
      </x:c>
      <x:c r="E1931" s="73" t="n">
        <x:v>1.0987</x:v>
      </x:c>
      <x:c r="F1931" s="73" t="n">
        <x:v>1.1009</x:v>
      </x:c>
      <x:c r="G1931" s="74" t="n">
        <x:v>0</x:v>
      </x:c>
      <x:c r="H1931" s="66" t="str">
        <x:v>祁腾蜂赢1号净值20260911.xlsx</x:v>
      </x:c>
      <x:c r="I1931" s="73" t="str">
        <x:f>""</x:f>
      </x:c>
      <x:c r="J1931" s="74" t="str">
        <x:f>""</x:f>
      </x:c>
      <x:c r="K1931" s="73" t="str">
        <x:f>""</x:f>
      </x:c>
      <x:c r="L1931" s="74" t="str">
        <x:f>""</x:f>
      </x:c>
      <x:c r="M1931" s="73" t="n">
        <x:f>MAX(M1930,F1931)</x:f>
        <x:v>1.1013</x:v>
      </x:c>
      <x:c r="N1931" s="74" t="n">
        <x:f>1-F1931/M1931</x:f>
        <x:v>0.00036320711885950985</x:v>
      </x:c>
    </x:row>
    <x:row r="1932" ht="27" customHeight="1">
      <x:c r="A1932" s="66" t="str">
        <x:v>SEV580</x:v>
      </x:c>
      <x:c r="B1932" s="66" t="str">
        <x:v>祁腾蜂赢1号</x:v>
      </x:c>
      <x:c r="C1932" s="72" t="n">
        <x:v>43791</x:v>
      </x:c>
      <x:c r="D1932" s="73" t="n">
        <x:v>1.0642</x:v>
      </x:c>
      <x:c r="E1932" s="73" t="n">
        <x:v>1.0992</x:v>
      </x:c>
      <x:c r="F1932" s="73" t="n">
        <x:v>1.1014</x:v>
      </x:c>
      <x:c r="G1932" s="74" t="n">
        <x:v>0.0005</x:v>
      </x:c>
      <x:c r="H1932" s="66" t="str">
        <x:v>祁腾蜂赢1号净值20260911.xlsx</x:v>
      </x:c>
      <x:c r="I1932" s="73" t="str">
        <x:f>""</x:f>
      </x:c>
      <x:c r="J1932" s="74" t="str">
        <x:f>""</x:f>
      </x:c>
      <x:c r="K1932" s="73" t="str">
        <x:f>""</x:f>
      </x:c>
      <x:c r="L1932" s="74" t="str">
        <x:f>""</x:f>
      </x:c>
      <x:c r="M1932" s="73" t="n">
        <x:f>MAX(M1931,F1932)</x:f>
        <x:v>1.1014</x:v>
      </x:c>
      <x:c r="N1932" s="74" t="n">
        <x:f>1-F1932/M1932</x:f>
        <x:v>0</x:v>
      </x:c>
    </x:row>
    <x:row r="1933" ht="27" customHeight="1">
      <x:c r="A1933" s="66" t="str">
        <x:v>SEV580</x:v>
      </x:c>
      <x:c r="B1933" s="66" t="str">
        <x:v>祁腾蜂赢1号</x:v>
      </x:c>
      <x:c r="C1933" s="72" t="n">
        <x:v>43794</x:v>
      </x:c>
      <x:c r="D1933" s="73" t="n">
        <x:v>1.0646</x:v>
      </x:c>
      <x:c r="E1933" s="73" t="n">
        <x:v>1.0996</x:v>
      </x:c>
      <x:c r="F1933" s="73" t="n">
        <x:v>1.1018</x:v>
      </x:c>
      <x:c r="G1933" s="74" t="n">
        <x:v>0.0004</x:v>
      </x:c>
      <x:c r="H1933" s="66" t="str">
        <x:v>祁腾蜂赢1号净值20260911.xlsx</x:v>
      </x:c>
      <x:c r="I1933" s="73" t="str">
        <x:f>""</x:f>
      </x:c>
      <x:c r="J1933" s="74" t="str">
        <x:f>""</x:f>
      </x:c>
      <x:c r="K1933" s="73" t="str">
        <x:f>""</x:f>
      </x:c>
      <x:c r="L1933" s="74" t="str">
        <x:f>""</x:f>
      </x:c>
      <x:c r="M1933" s="73" t="n">
        <x:f>MAX(M1932,F1933)</x:f>
        <x:v>1.1018</x:v>
      </x:c>
      <x:c r="N1933" s="74" t="n">
        <x:f>1-F1933/M1933</x:f>
        <x:v>0</x:v>
      </x:c>
    </x:row>
    <x:row r="1934" ht="27" customHeight="1">
      <x:c r="A1934" s="66" t="str">
        <x:v>SEV580</x:v>
      </x:c>
      <x:c r="B1934" s="66" t="str">
        <x:v>祁腾蜂赢1号</x:v>
      </x:c>
      <x:c r="C1934" s="72" t="n">
        <x:v>43795</x:v>
      </x:c>
      <x:c r="D1934" s="73" t="n">
        <x:v>1.0644</x:v>
      </x:c>
      <x:c r="E1934" s="73" t="n">
        <x:v>1.0994</x:v>
      </x:c>
      <x:c r="F1934" s="73" t="n">
        <x:v>1.1016</x:v>
      </x:c>
      <x:c r="G1934" s="74" t="n">
        <x:v>-0.0002</x:v>
      </x:c>
      <x:c r="H1934" s="66" t="str">
        <x:v>祁腾蜂赢1号净值20260911.xlsx</x:v>
      </x:c>
      <x:c r="I1934" s="73" t="str">
        <x:f>""</x:f>
      </x:c>
      <x:c r="J1934" s="74" t="str">
        <x:f>""</x:f>
      </x:c>
      <x:c r="K1934" s="73" t="str">
        <x:f>""</x:f>
      </x:c>
      <x:c r="L1934" s="74" t="str">
        <x:f>""</x:f>
      </x:c>
      <x:c r="M1934" s="73" t="n">
        <x:f>MAX(M1933,F1934)</x:f>
        <x:v>1.1018</x:v>
      </x:c>
      <x:c r="N1934" s="74" t="n">
        <x:f>1-F1934/M1934</x:f>
        <x:v>0.00018152114721359247</x:v>
      </x:c>
    </x:row>
    <x:row r="1935" ht="27" customHeight="1">
      <x:c r="A1935" s="66" t="str">
        <x:v>SEV580</x:v>
      </x:c>
      <x:c r="B1935" s="66" t="str">
        <x:v>祁腾蜂赢1号</x:v>
      </x:c>
      <x:c r="C1935" s="72" t="n">
        <x:v>43796</x:v>
      </x:c>
      <x:c r="D1935" s="73" t="n">
        <x:v>1.0644</x:v>
      </x:c>
      <x:c r="E1935" s="73" t="n">
        <x:v>1.0994</x:v>
      </x:c>
      <x:c r="F1935" s="73" t="n">
        <x:v>1.1016</x:v>
      </x:c>
      <x:c r="G1935" s="74" t="n">
        <x:v>0</x:v>
      </x:c>
      <x:c r="H1935" s="66" t="str">
        <x:v>祁腾蜂赢1号净值20260911.xlsx</x:v>
      </x:c>
      <x:c r="I1935" s="73" t="str">
        <x:f>""</x:f>
      </x:c>
      <x:c r="J1935" s="74" t="str">
        <x:f>""</x:f>
      </x:c>
      <x:c r="K1935" s="73" t="str">
        <x:f>""</x:f>
      </x:c>
      <x:c r="L1935" s="74" t="str">
        <x:f>""</x:f>
      </x:c>
      <x:c r="M1935" s="73" t="n">
        <x:f>MAX(M1934,F1935)</x:f>
        <x:v>1.1018</x:v>
      </x:c>
      <x:c r="N1935" s="74" t="n">
        <x:f>1-F1935/M1935</x:f>
        <x:v>0.00018152114721359247</x:v>
      </x:c>
    </x:row>
    <x:row r="1936" ht="27" customHeight="1">
      <x:c r="A1936" s="66" t="str">
        <x:v>SEV580</x:v>
      </x:c>
      <x:c r="B1936" s="66" t="str">
        <x:v>祁腾蜂赢1号</x:v>
      </x:c>
      <x:c r="C1936" s="72" t="n">
        <x:v>43797</x:v>
      </x:c>
      <x:c r="D1936" s="73" t="n">
        <x:v>1.064</x:v>
      </x:c>
      <x:c r="E1936" s="73" t="n">
        <x:v>1.099</x:v>
      </x:c>
      <x:c r="F1936" s="73" t="n">
        <x:v>1.1012</x:v>
      </x:c>
      <x:c r="G1936" s="74" t="n">
        <x:v>-0.0004</x:v>
      </x:c>
      <x:c r="H1936" s="66" t="str">
        <x:v>祁腾蜂赢1号净值20260911.xlsx</x:v>
      </x:c>
      <x:c r="I1936" s="73" t="str">
        <x:f>""</x:f>
      </x:c>
      <x:c r="J1936" s="74" t="str">
        <x:f>""</x:f>
      </x:c>
      <x:c r="K1936" s="73" t="str">
        <x:f>""</x:f>
      </x:c>
      <x:c r="L1936" s="74" t="str">
        <x:f>""</x:f>
      </x:c>
      <x:c r="M1936" s="73" t="n">
        <x:f>MAX(M1935,F1936)</x:f>
        <x:v>1.1018</x:v>
      </x:c>
      <x:c r="N1936" s="74" t="n">
        <x:f>1-F1936/M1936</x:f>
        <x:v>0.0005445634416408884</x:v>
      </x:c>
    </x:row>
    <x:row r="1937" ht="27" customHeight="1">
      <x:c r="A1937" s="66" t="str">
        <x:v>SEV580</x:v>
      </x:c>
      <x:c r="B1937" s="66" t="str">
        <x:v>祁腾蜂赢1号</x:v>
      </x:c>
      <x:c r="C1937" s="72" t="n">
        <x:v>43798</x:v>
      </x:c>
      <x:c r="D1937" s="73" t="n">
        <x:v>1.0639</x:v>
      </x:c>
      <x:c r="E1937" s="73" t="n">
        <x:v>1.0989</x:v>
      </x:c>
      <x:c r="F1937" s="73" t="n">
        <x:v>1.1011</x:v>
      </x:c>
      <x:c r="G1937" s="74" t="n">
        <x:v>-0.0001</x:v>
      </x:c>
      <x:c r="H1937" s="66" t="str">
        <x:v>祁腾蜂赢1号净值20260911.xlsx</x:v>
      </x:c>
      <x:c r="I1937" s="73" t="str">
        <x:f>""</x:f>
      </x:c>
      <x:c r="J1937" s="74" t="str">
        <x:f>""</x:f>
      </x:c>
      <x:c r="K1937" s="73" t="str">
        <x:f>""</x:f>
      </x:c>
      <x:c r="L1937" s="74" t="str">
        <x:f>""</x:f>
      </x:c>
      <x:c r="M1937" s="73" t="n">
        <x:f>MAX(M1936,F1937)</x:f>
        <x:v>1.1018</x:v>
      </x:c>
      <x:c r="N1937" s="74" t="n">
        <x:f>1-F1937/M1937</x:f>
        <x:v>0.0006353240152476847</x:v>
      </x:c>
    </x:row>
    <x:row r="1938" ht="27" customHeight="1">
      <x:c r="A1938" s="66" t="str">
        <x:v>SEV580</x:v>
      </x:c>
      <x:c r="B1938" s="66" t="str">
        <x:v>祁腾蜂赢1号</x:v>
      </x:c>
      <x:c r="C1938" s="72" t="n">
        <x:v>43801</x:v>
      </x:c>
      <x:c r="D1938" s="73" t="n">
        <x:v>1.0639</x:v>
      </x:c>
      <x:c r="E1938" s="73" t="n">
        <x:v>1.0989</x:v>
      </x:c>
      <x:c r="F1938" s="73" t="n">
        <x:v>1.1011</x:v>
      </x:c>
      <x:c r="G1938" s="74" t="n">
        <x:v>0</x:v>
      </x:c>
      <x:c r="H1938" s="66" t="str">
        <x:v>祁腾蜂赢1号净值20260911.xlsx</x:v>
      </x:c>
      <x:c r="I1938" s="73" t="str">
        <x:f>""</x:f>
      </x:c>
      <x:c r="J1938" s="74" t="str">
        <x:f>""</x:f>
      </x:c>
      <x:c r="K1938" s="73" t="str">
        <x:f>""</x:f>
      </x:c>
      <x:c r="L1938" s="74" t="str">
        <x:f>""</x:f>
      </x:c>
      <x:c r="M1938" s="73" t="n">
        <x:f>MAX(M1937,F1938)</x:f>
        <x:v>1.1018</x:v>
      </x:c>
      <x:c r="N1938" s="74" t="n">
        <x:f>1-F1938/M1938</x:f>
        <x:v>0.0006353240152476847</x:v>
      </x:c>
    </x:row>
    <x:row r="1939" ht="27" customHeight="1">
      <x:c r="A1939" s="66" t="str">
        <x:v>SEV580</x:v>
      </x:c>
      <x:c r="B1939" s="66" t="str">
        <x:v>祁腾蜂赢1号</x:v>
      </x:c>
      <x:c r="C1939" s="72" t="n">
        <x:v>43802</x:v>
      </x:c>
      <x:c r="D1939" s="73" t="n">
        <x:v>1.0636</x:v>
      </x:c>
      <x:c r="E1939" s="73" t="n">
        <x:v>1.0986</x:v>
      </x:c>
      <x:c r="F1939" s="73" t="n">
        <x:v>1.1008</x:v>
      </x:c>
      <x:c r="G1939" s="74" t="n">
        <x:v>-0.0003</x:v>
      </x:c>
      <x:c r="H1939" s="66" t="str">
        <x:v>祁腾蜂赢1号净值20260911.xlsx</x:v>
      </x:c>
      <x:c r="I1939" s="73" t="str">
        <x:f>""</x:f>
      </x:c>
      <x:c r="J1939" s="74" t="str">
        <x:f>""</x:f>
      </x:c>
      <x:c r="K1939" s="73" t="str">
        <x:f>""</x:f>
      </x:c>
      <x:c r="L1939" s="74" t="str">
        <x:f>""</x:f>
      </x:c>
      <x:c r="M1939" s="73" t="n">
        <x:f>MAX(M1938,F1939)</x:f>
        <x:v>1.1018</x:v>
      </x:c>
      <x:c r="N1939" s="74" t="n">
        <x:f>1-F1939/M1939</x:f>
        <x:v>0.0009076057360681844</x:v>
      </x:c>
    </x:row>
    <x:row r="1940" ht="27" customHeight="1">
      <x:c r="A1940" s="66" t="str">
        <x:v>SEV580</x:v>
      </x:c>
      <x:c r="B1940" s="66" t="str">
        <x:v>祁腾蜂赢1号</x:v>
      </x:c>
      <x:c r="C1940" s="72" t="n">
        <x:v>43803</x:v>
      </x:c>
      <x:c r="D1940" s="73" t="n">
        <x:v>1.0637</x:v>
      </x:c>
      <x:c r="E1940" s="73" t="n">
        <x:v>1.0987</x:v>
      </x:c>
      <x:c r="F1940" s="73" t="n">
        <x:v>1.1009</x:v>
      </x:c>
      <x:c r="G1940" s="74" t="n">
        <x:v>0.0001</x:v>
      </x:c>
      <x:c r="H1940" s="66" t="str">
        <x:v>祁腾蜂赢1号净值20260911.xlsx</x:v>
      </x:c>
      <x:c r="I1940" s="73" t="str">
        <x:f>""</x:f>
      </x:c>
      <x:c r="J1940" s="74" t="str">
        <x:f>""</x:f>
      </x:c>
      <x:c r="K1940" s="73" t="str">
        <x:f>""</x:f>
      </x:c>
      <x:c r="L1940" s="74" t="str">
        <x:f>""</x:f>
      </x:c>
      <x:c r="M1940" s="73" t="n">
        <x:f>MAX(M1939,F1940)</x:f>
        <x:v>1.1018</x:v>
      </x:c>
      <x:c r="N1940" s="74" t="n">
        <x:f>1-F1940/M1940</x:f>
        <x:v>0.0008168451624613882</x:v>
      </x:c>
    </x:row>
    <x:row r="1941" ht="27" customHeight="1">
      <x:c r="A1941" s="66" t="str">
        <x:v>SEV580</x:v>
      </x:c>
      <x:c r="B1941" s="66" t="str">
        <x:v>祁腾蜂赢1号</x:v>
      </x:c>
      <x:c r="C1941" s="72" t="n">
        <x:v>43804</x:v>
      </x:c>
      <x:c r="D1941" s="73" t="n">
        <x:v>1.0659</x:v>
      </x:c>
      <x:c r="E1941" s="73" t="n">
        <x:v>1.1009</x:v>
      </x:c>
      <x:c r="F1941" s="73" t="n">
        <x:v>1.1032</x:v>
      </x:c>
      <x:c r="G1941" s="74" t="n">
        <x:v>0.0021</x:v>
      </x:c>
      <x:c r="H1941" s="66" t="str">
        <x:v>祁腾蜂赢1号净值20260911.xlsx</x:v>
      </x:c>
      <x:c r="I1941" s="73" t="str">
        <x:f>""</x:f>
      </x:c>
      <x:c r="J1941" s="74" t="str">
        <x:f>""</x:f>
      </x:c>
      <x:c r="K1941" s="73" t="str">
        <x:f>""</x:f>
      </x:c>
      <x:c r="L1941" s="74" t="str">
        <x:f>""</x:f>
      </x:c>
      <x:c r="M1941" s="73" t="n">
        <x:f>MAX(M1940,F1941)</x:f>
        <x:v>1.1032</x:v>
      </x:c>
      <x:c r="N1941" s="74" t="n">
        <x:f>1-F1941/M1941</x:f>
        <x:v>0</x:v>
      </x:c>
    </x:row>
    <x:row r="1942" ht="27" customHeight="1">
      <x:c r="A1942" s="66" t="str">
        <x:v>SEV580</x:v>
      </x:c>
      <x:c r="B1942" s="66" t="str">
        <x:v>祁腾蜂赢1号</x:v>
      </x:c>
      <x:c r="C1942" s="72" t="n">
        <x:v>43805</x:v>
      </x:c>
      <x:c r="D1942" s="73" t="n">
        <x:v>1.0659</x:v>
      </x:c>
      <x:c r="E1942" s="73" t="n">
        <x:v>1.1009</x:v>
      </x:c>
      <x:c r="F1942" s="73" t="n">
        <x:v>1.1032</x:v>
      </x:c>
      <x:c r="G1942" s="74" t="n">
        <x:v>0</x:v>
      </x:c>
      <x:c r="H1942" s="66" t="str">
        <x:v>祁腾蜂赢1号净值20260911.xlsx</x:v>
      </x:c>
      <x:c r="I1942" s="73" t="str">
        <x:f>""</x:f>
      </x:c>
      <x:c r="J1942" s="74" t="str">
        <x:f>""</x:f>
      </x:c>
      <x:c r="K1942" s="73" t="str">
        <x:f>""</x:f>
      </x:c>
      <x:c r="L1942" s="74" t="str">
        <x:f>""</x:f>
      </x:c>
      <x:c r="M1942" s="73" t="n">
        <x:f>MAX(M1941,F1942)</x:f>
        <x:v>1.1032</x:v>
      </x:c>
      <x:c r="N1942" s="74" t="n">
        <x:f>1-F1942/M1942</x:f>
        <x:v>0</x:v>
      </x:c>
    </x:row>
    <x:row r="1943" ht="27" customHeight="1">
      <x:c r="A1943" s="66" t="str">
        <x:v>SEV580</x:v>
      </x:c>
      <x:c r="B1943" s="66" t="str">
        <x:v>祁腾蜂赢1号</x:v>
      </x:c>
      <x:c r="C1943" s="72" t="n">
        <x:v>43808</x:v>
      </x:c>
      <x:c r="D1943" s="73" t="n">
        <x:v>1.0658</x:v>
      </x:c>
      <x:c r="E1943" s="73" t="n">
        <x:v>1.1008</x:v>
      </x:c>
      <x:c r="F1943" s="73" t="n">
        <x:v>1.1031</x:v>
      </x:c>
      <x:c r="G1943" s="74" t="n">
        <x:v>-0.0001</x:v>
      </x:c>
      <x:c r="H1943" s="66" t="str">
        <x:v>祁腾蜂赢1号净值20260911.xlsx</x:v>
      </x:c>
      <x:c r="I1943" s="73" t="str">
        <x:f>""</x:f>
      </x:c>
      <x:c r="J1943" s="74" t="str">
        <x:f>""</x:f>
      </x:c>
      <x:c r="K1943" s="73" t="str">
        <x:f>""</x:f>
      </x:c>
      <x:c r="L1943" s="74" t="str">
        <x:f>""</x:f>
      </x:c>
      <x:c r="M1943" s="73" t="n">
        <x:f>MAX(M1942,F1943)</x:f>
        <x:v>1.1032</x:v>
      </x:c>
      <x:c r="N1943" s="74" t="n">
        <x:f>1-F1943/M1943</x:f>
        <x:v>0.00009064539521386195</x:v>
      </x:c>
    </x:row>
    <x:row r="1944" ht="27" customHeight="1">
      <x:c r="A1944" s="66" t="str">
        <x:v>SEV580</x:v>
      </x:c>
      <x:c r="B1944" s="66" t="str">
        <x:v>祁腾蜂赢1号</x:v>
      </x:c>
      <x:c r="C1944" s="72" t="n">
        <x:v>43809</x:v>
      </x:c>
      <x:c r="D1944" s="73" t="n">
        <x:v>1.0659</x:v>
      </x:c>
      <x:c r="E1944" s="73" t="n">
        <x:v>1.1009</x:v>
      </x:c>
      <x:c r="F1944" s="73" t="n">
        <x:v>1.1032</x:v>
      </x:c>
      <x:c r="G1944" s="74" t="n">
        <x:v>0.0001</x:v>
      </x:c>
      <x:c r="H1944" s="66" t="str">
        <x:v>祁腾蜂赢1号净值20260911.xlsx</x:v>
      </x:c>
      <x:c r="I1944" s="73" t="str">
        <x:f>""</x:f>
      </x:c>
      <x:c r="J1944" s="74" t="str">
        <x:f>""</x:f>
      </x:c>
      <x:c r="K1944" s="73" t="str">
        <x:f>""</x:f>
      </x:c>
      <x:c r="L1944" s="74" t="str">
        <x:f>""</x:f>
      </x:c>
      <x:c r="M1944" s="73" t="n">
        <x:f>MAX(M1943,F1944)</x:f>
        <x:v>1.1032</x:v>
      </x:c>
      <x:c r="N1944" s="74" t="n">
        <x:f>1-F1944/M1944</x:f>
        <x:v>0</x:v>
      </x:c>
    </x:row>
    <x:row r="1945" ht="27" customHeight="1">
      <x:c r="A1945" s="66" t="str">
        <x:v>SEV580</x:v>
      </x:c>
      <x:c r="B1945" s="66" t="str">
        <x:v>祁腾蜂赢1号</x:v>
      </x:c>
      <x:c r="C1945" s="72" t="n">
        <x:v>43810</x:v>
      </x:c>
      <x:c r="D1945" s="73" t="n">
        <x:v>1.0658</x:v>
      </x:c>
      <x:c r="E1945" s="73" t="n">
        <x:v>1.1008</x:v>
      </x:c>
      <x:c r="F1945" s="73" t="n">
        <x:v>1.1031</x:v>
      </x:c>
      <x:c r="G1945" s="74" t="n">
        <x:v>-0.0001</x:v>
      </x:c>
      <x:c r="H1945" s="66" t="str">
        <x:v>祁腾蜂赢1号净值20260911.xlsx</x:v>
      </x:c>
      <x:c r="I1945" s="73" t="str">
        <x:f>""</x:f>
      </x:c>
      <x:c r="J1945" s="74" t="str">
        <x:f>""</x:f>
      </x:c>
      <x:c r="K1945" s="73" t="str">
        <x:f>""</x:f>
      </x:c>
      <x:c r="L1945" s="74" t="str">
        <x:f>""</x:f>
      </x:c>
      <x:c r="M1945" s="73" t="n">
        <x:f>MAX(M1944,F1945)</x:f>
        <x:v>1.1032</x:v>
      </x:c>
      <x:c r="N1945" s="74" t="n">
        <x:f>1-F1945/M1945</x:f>
        <x:v>0.00009064539521386195</x:v>
      </x:c>
    </x:row>
    <x:row r="1946" ht="27" customHeight="1">
      <x:c r="A1946" s="66" t="str">
        <x:v>SEV580</x:v>
      </x:c>
      <x:c r="B1946" s="66" t="str">
        <x:v>祁腾蜂赢1号</x:v>
      </x:c>
      <x:c r="C1946" s="72" t="n">
        <x:v>43811</x:v>
      </x:c>
      <x:c r="D1946" s="73" t="n">
        <x:v>1.0662</x:v>
      </x:c>
      <x:c r="E1946" s="73" t="n">
        <x:v>1.1012</x:v>
      </x:c>
      <x:c r="F1946" s="73" t="n">
        <x:v>1.1035</x:v>
      </x:c>
      <x:c r="G1946" s="74" t="n">
        <x:v>0.0004</x:v>
      </x:c>
      <x:c r="H1946" s="66" t="str">
        <x:v>祁腾蜂赢1号净值20260911.xlsx</x:v>
      </x:c>
      <x:c r="I1946" s="73" t="str">
        <x:f>""</x:f>
      </x:c>
      <x:c r="J1946" s="74" t="str">
        <x:f>""</x:f>
      </x:c>
      <x:c r="K1946" s="73" t="str">
        <x:f>""</x:f>
      </x:c>
      <x:c r="L1946" s="74" t="str">
        <x:f>""</x:f>
      </x:c>
      <x:c r="M1946" s="73" t="n">
        <x:f>MAX(M1945,F1946)</x:f>
        <x:v>1.1035</x:v>
      </x:c>
      <x:c r="N1946" s="74" t="n">
        <x:f>1-F1946/M1946</x:f>
        <x:v>0</x:v>
      </x:c>
    </x:row>
    <x:row r="1947" ht="27" customHeight="1">
      <x:c r="A1947" s="66" t="str">
        <x:v>SEV580</x:v>
      </x:c>
      <x:c r="B1947" s="66" t="str">
        <x:v>祁腾蜂赢1号</x:v>
      </x:c>
      <x:c r="C1947" s="72" t="n">
        <x:v>43812</x:v>
      </x:c>
      <x:c r="D1947" s="73" t="n">
        <x:v>1.0665</x:v>
      </x:c>
      <x:c r="E1947" s="73" t="n">
        <x:v>1.1015</x:v>
      </x:c>
      <x:c r="F1947" s="73" t="n">
        <x:v>1.1038</x:v>
      </x:c>
      <x:c r="G1947" s="74" t="n">
        <x:v>0.0003</x:v>
      </x:c>
      <x:c r="H1947" s="66" t="str">
        <x:v>祁腾蜂赢1号净值20260911.xlsx</x:v>
      </x:c>
      <x:c r="I1947" s="73" t="str">
        <x:f>""</x:f>
      </x:c>
      <x:c r="J1947" s="74" t="str">
        <x:f>""</x:f>
      </x:c>
      <x:c r="K1947" s="73" t="str">
        <x:f>""</x:f>
      </x:c>
      <x:c r="L1947" s="74" t="str">
        <x:f>""</x:f>
      </x:c>
      <x:c r="M1947" s="73" t="n">
        <x:f>MAX(M1946,F1947)</x:f>
        <x:v>1.1038</x:v>
      </x:c>
      <x:c r="N1947" s="74" t="n">
        <x:f>1-F1947/M1947</x:f>
        <x:v>0</x:v>
      </x:c>
    </x:row>
    <x:row r="1948" ht="27" customHeight="1">
      <x:c r="A1948" s="66" t="str">
        <x:v>SEV580</x:v>
      </x:c>
      <x:c r="B1948" s="66" t="str">
        <x:v>祁腾蜂赢1号</x:v>
      </x:c>
      <x:c r="C1948" s="72" t="n">
        <x:v>43815</x:v>
      </x:c>
      <x:c r="D1948" s="73" t="n">
        <x:v>1.0669</x:v>
      </x:c>
      <x:c r="E1948" s="73" t="n">
        <x:v>1.1019</x:v>
      </x:c>
      <x:c r="F1948" s="73" t="n">
        <x:v>1.1042</x:v>
      </x:c>
      <x:c r="G1948" s="74" t="n">
        <x:v>0.0004</x:v>
      </x:c>
      <x:c r="H1948" s="66" t="str">
        <x:v>祁腾蜂赢1号净值20260911.xlsx</x:v>
      </x:c>
      <x:c r="I1948" s="73" t="str">
        <x:f>""</x:f>
      </x:c>
      <x:c r="J1948" s="74" t="str">
        <x:f>""</x:f>
      </x:c>
      <x:c r="K1948" s="73" t="str">
        <x:f>""</x:f>
      </x:c>
      <x:c r="L1948" s="74" t="str">
        <x:f>""</x:f>
      </x:c>
      <x:c r="M1948" s="73" t="n">
        <x:f>MAX(M1947,F1948)</x:f>
        <x:v>1.1042</x:v>
      </x:c>
      <x:c r="N1948" s="74" t="n">
        <x:f>1-F1948/M1948</x:f>
        <x:v>0</x:v>
      </x:c>
    </x:row>
    <x:row r="1949" ht="27" customHeight="1">
      <x:c r="A1949" s="66" t="str">
        <x:v>SEV580</x:v>
      </x:c>
      <x:c r="B1949" s="66" t="str">
        <x:v>祁腾蜂赢1号</x:v>
      </x:c>
      <x:c r="C1949" s="72" t="n">
        <x:v>43816</x:v>
      </x:c>
      <x:c r="D1949" s="73" t="n">
        <x:v>1.0668</x:v>
      </x:c>
      <x:c r="E1949" s="73" t="n">
        <x:v>1.1018</x:v>
      </x:c>
      <x:c r="F1949" s="73" t="n">
        <x:v>1.1041</x:v>
      </x:c>
      <x:c r="G1949" s="74" t="n">
        <x:v>-0.0001</x:v>
      </x:c>
      <x:c r="H1949" s="66" t="str">
        <x:v>祁腾蜂赢1号净值20260911.xlsx</x:v>
      </x:c>
      <x:c r="I1949" s="73" t="str">
        <x:f>""</x:f>
      </x:c>
      <x:c r="J1949" s="74" t="str">
        <x:f>""</x:f>
      </x:c>
      <x:c r="K1949" s="73" t="str">
        <x:f>""</x:f>
      </x:c>
      <x:c r="L1949" s="74" t="str">
        <x:f>""</x:f>
      </x:c>
      <x:c r="M1949" s="73" t="n">
        <x:f>MAX(M1948,F1949)</x:f>
        <x:v>1.1042</x:v>
      </x:c>
      <x:c r="N1949" s="74" t="n">
        <x:f>1-F1949/M1949</x:f>
        <x:v>0.00009056330374934696</x:v>
      </x:c>
    </x:row>
    <x:row r="1950" ht="27" customHeight="1">
      <x:c r="A1950" s="66" t="str">
        <x:v>SEV580</x:v>
      </x:c>
      <x:c r="B1950" s="66" t="str">
        <x:v>祁腾蜂赢1号</x:v>
      </x:c>
      <x:c r="C1950" s="72" t="n">
        <x:v>43817</x:v>
      </x:c>
      <x:c r="D1950" s="73" t="n">
        <x:v>1.0673</x:v>
      </x:c>
      <x:c r="E1950" s="73" t="n">
        <x:v>1.1023</x:v>
      </x:c>
      <x:c r="F1950" s="73" t="n">
        <x:v>1.1046</x:v>
      </x:c>
      <x:c r="G1950" s="74" t="n">
        <x:v>0.0005</x:v>
      </x:c>
      <x:c r="H1950" s="66" t="str">
        <x:v>祁腾蜂赢1号净值20260911.xlsx</x:v>
      </x:c>
      <x:c r="I1950" s="73" t="str">
        <x:f>""</x:f>
      </x:c>
      <x:c r="J1950" s="74" t="str">
        <x:f>""</x:f>
      </x:c>
      <x:c r="K1950" s="73" t="str">
        <x:f>""</x:f>
      </x:c>
      <x:c r="L1950" s="74" t="str">
        <x:f>""</x:f>
      </x:c>
      <x:c r="M1950" s="73" t="n">
        <x:f>MAX(M1949,F1950)</x:f>
        <x:v>1.1046</x:v>
      </x:c>
      <x:c r="N1950" s="74" t="n">
        <x:f>1-F1950/M1950</x:f>
        <x:v>0</x:v>
      </x:c>
    </x:row>
    <x:row r="1951" ht="27" customHeight="1">
      <x:c r="A1951" s="66" t="str">
        <x:v>SEV580</x:v>
      </x:c>
      <x:c r="B1951" s="66" t="str">
        <x:v>祁腾蜂赢1号</x:v>
      </x:c>
      <x:c r="C1951" s="72" t="n">
        <x:v>43818</x:v>
      </x:c>
      <x:c r="D1951" s="73" t="n">
        <x:v>1.0673</x:v>
      </x:c>
      <x:c r="E1951" s="73" t="n">
        <x:v>1.1023</x:v>
      </x:c>
      <x:c r="F1951" s="73" t="n">
        <x:v>1.1046</x:v>
      </x:c>
      <x:c r="G1951" s="74" t="n">
        <x:v>0</x:v>
      </x:c>
      <x:c r="H1951" s="66" t="str">
        <x:v>祁腾蜂赢1号净值20260911.xlsx</x:v>
      </x:c>
      <x:c r="I1951" s="73" t="str">
        <x:f>""</x:f>
      </x:c>
      <x:c r="J1951" s="74" t="str">
        <x:f>""</x:f>
      </x:c>
      <x:c r="K1951" s="73" t="str">
        <x:f>""</x:f>
      </x:c>
      <x:c r="L1951" s="74" t="str">
        <x:f>""</x:f>
      </x:c>
      <x:c r="M1951" s="73" t="n">
        <x:f>MAX(M1950,F1951)</x:f>
        <x:v>1.1046</x:v>
      </x:c>
      <x:c r="N1951" s="74" t="n">
        <x:f>1-F1951/M1951</x:f>
        <x:v>0</x:v>
      </x:c>
    </x:row>
    <x:row r="1952" ht="27" customHeight="1">
      <x:c r="A1952" s="66" t="str">
        <x:v>SEV580</x:v>
      </x:c>
      <x:c r="B1952" s="66" t="str">
        <x:v>祁腾蜂赢1号</x:v>
      </x:c>
      <x:c r="C1952" s="72" t="n">
        <x:v>43819</x:v>
      </x:c>
      <x:c r="D1952" s="73" t="n">
        <x:v>1</x:v>
      </x:c>
      <x:c r="E1952" s="73" t="n">
        <x:v>1.1024</x:v>
      </x:c>
      <x:c r="F1952" s="73" t="n">
        <x:v>1.1047</x:v>
      </x:c>
      <x:c r="G1952" s="74" t="n">
        <x:v>0.0001</x:v>
      </x:c>
      <x:c r="H1952" s="66" t="str">
        <x:v>祁腾蜂赢1号净值20260911.xlsx</x:v>
      </x:c>
      <x:c r="I1952" s="73" t="str">
        <x:f>""</x:f>
      </x:c>
      <x:c r="J1952" s="74" t="str">
        <x:f>""</x:f>
      </x:c>
      <x:c r="K1952" s="73" t="str">
        <x:f>""</x:f>
      </x:c>
      <x:c r="L1952" s="74" t="str">
        <x:f>""</x:f>
      </x:c>
      <x:c r="M1952" s="73" t="n">
        <x:f>MAX(M1951,F1952)</x:f>
        <x:v>1.1047</x:v>
      </x:c>
      <x:c r="N1952" s="74" t="n">
        <x:f>1-F1952/M1952</x:f>
        <x:v>0</x:v>
      </x:c>
    </x:row>
    <x:row r="1953" ht="27" customHeight="1">
      <x:c r="A1953" s="66" t="str">
        <x:v>SEV580</x:v>
      </x:c>
      <x:c r="B1953" s="66" t="str">
        <x:v>祁腾蜂赢1号</x:v>
      </x:c>
      <x:c r="C1953" s="72" t="n">
        <x:v>43822</x:v>
      </x:c>
      <x:c r="D1953" s="73" t="n">
        <x:v>1.0007</x:v>
      </x:c>
      <x:c r="E1953" s="73" t="n">
        <x:v>1.1031</x:v>
      </x:c>
      <x:c r="F1953" s="73" t="n">
        <x:v>1.1055</x:v>
      </x:c>
      <x:c r="G1953" s="74" t="n">
        <x:v>0.0007000000000000001</x:v>
      </x:c>
      <x:c r="H1953" s="66" t="str">
        <x:v>祁腾蜂赢1号净值20260911.xlsx</x:v>
      </x:c>
      <x:c r="I1953" s="73" t="str">
        <x:f>""</x:f>
      </x:c>
      <x:c r="J1953" s="74" t="str">
        <x:f>""</x:f>
      </x:c>
      <x:c r="K1953" s="73" t="str">
        <x:f>""</x:f>
      </x:c>
      <x:c r="L1953" s="74" t="str">
        <x:f>""</x:f>
      </x:c>
      <x:c r="M1953" s="73" t="n">
        <x:f>MAX(M1952,F1953)</x:f>
        <x:v>1.1055</x:v>
      </x:c>
      <x:c r="N1953" s="74" t="n">
        <x:f>1-F1953/M1953</x:f>
        <x:v>0</x:v>
      </x:c>
    </x:row>
    <x:row r="1954" ht="27" customHeight="1">
      <x:c r="A1954" s="66" t="str">
        <x:v>SEV580</x:v>
      </x:c>
      <x:c r="B1954" s="66" t="str">
        <x:v>祁腾蜂赢1号</x:v>
      </x:c>
      <x:c r="C1954" s="72" t="n">
        <x:v>43823</x:v>
      </x:c>
      <x:c r="D1954" s="73" t="n">
        <x:v>1.0011</x:v>
      </x:c>
      <x:c r="E1954" s="73" t="n">
        <x:v>1.1035</x:v>
      </x:c>
      <x:c r="F1954" s="73" t="n">
        <x:v>1.1059</x:v>
      </x:c>
      <x:c r="G1954" s="74" t="n">
        <x:v>0.0004</x:v>
      </x:c>
      <x:c r="H1954" s="66" t="str">
        <x:v>祁腾蜂赢1号净值20260911.xlsx</x:v>
      </x:c>
      <x:c r="I1954" s="73" t="str">
        <x:f>""</x:f>
      </x:c>
      <x:c r="J1954" s="74" t="str">
        <x:f>""</x:f>
      </x:c>
      <x:c r="K1954" s="73" t="str">
        <x:f>""</x:f>
      </x:c>
      <x:c r="L1954" s="74" t="str">
        <x:f>""</x:f>
      </x:c>
      <x:c r="M1954" s="73" t="n">
        <x:f>MAX(M1953,F1954)</x:f>
        <x:v>1.1059</x:v>
      </x:c>
      <x:c r="N1954" s="74" t="n">
        <x:f>1-F1954/M1954</x:f>
        <x:v>0</x:v>
      </x:c>
    </x:row>
    <x:row r="1955" ht="27" customHeight="1">
      <x:c r="A1955" s="66" t="str">
        <x:v>SEV580</x:v>
      </x:c>
      <x:c r="B1955" s="66" t="str">
        <x:v>祁腾蜂赢1号</x:v>
      </x:c>
      <x:c r="C1955" s="72" t="n">
        <x:v>43824</x:v>
      </x:c>
      <x:c r="D1955" s="73" t="n">
        <x:v>1.001</x:v>
      </x:c>
      <x:c r="E1955" s="73" t="n">
        <x:v>1.1034</x:v>
      </x:c>
      <x:c r="F1955" s="73" t="n">
        <x:v>1.1058</x:v>
      </x:c>
      <x:c r="G1955" s="74" t="n">
        <x:v>-0.0001</x:v>
      </x:c>
      <x:c r="H1955" s="66" t="str">
        <x:v>祁腾蜂赢1号净值20260911.xlsx</x:v>
      </x:c>
      <x:c r="I1955" s="73" t="str">
        <x:f>""</x:f>
      </x:c>
      <x:c r="J1955" s="74" t="str">
        <x:f>""</x:f>
      </x:c>
      <x:c r="K1955" s="73" t="str">
        <x:f>""</x:f>
      </x:c>
      <x:c r="L1955" s="74" t="str">
        <x:f>""</x:f>
      </x:c>
      <x:c r="M1955" s="73" t="n">
        <x:f>MAX(M1954,F1955)</x:f>
        <x:v>1.1059</x:v>
      </x:c>
      <x:c r="N1955" s="74" t="n">
        <x:f>1-F1955/M1955</x:f>
        <x:v>0.00009042408897752541</x:v>
      </x:c>
    </x:row>
    <x:row r="1956" ht="27" customHeight="1">
      <x:c r="A1956" s="66" t="str">
        <x:v>SEV580</x:v>
      </x:c>
      <x:c r="B1956" s="66" t="str">
        <x:v>祁腾蜂赢1号</x:v>
      </x:c>
      <x:c r="C1956" s="72" t="n">
        <x:v>43825</x:v>
      </x:c>
      <x:c r="D1956" s="73" t="n">
        <x:v>1.0009</x:v>
      </x:c>
      <x:c r="E1956" s="73" t="n">
        <x:v>1.1033</x:v>
      </x:c>
      <x:c r="F1956" s="73" t="n">
        <x:v>1.1057</x:v>
      </x:c>
      <x:c r="G1956" s="74" t="n">
        <x:v>-0.0001</x:v>
      </x:c>
      <x:c r="H1956" s="66" t="str">
        <x:v>祁腾蜂赢1号净值20260911.xlsx</x:v>
      </x:c>
      <x:c r="I1956" s="73" t="str">
        <x:f>""</x:f>
      </x:c>
      <x:c r="J1956" s="74" t="str">
        <x:f>""</x:f>
      </x:c>
      <x:c r="K1956" s="73" t="str">
        <x:f>""</x:f>
      </x:c>
      <x:c r="L1956" s="74" t="str">
        <x:f>""</x:f>
      </x:c>
      <x:c r="M1956" s="73" t="n">
        <x:f>MAX(M1955,F1956)</x:f>
        <x:v>1.1059</x:v>
      </x:c>
      <x:c r="N1956" s="74" t="n">
        <x:f>1-F1956/M1956</x:f>
        <x:v>0.00018084817795482877</x:v>
      </x:c>
    </x:row>
    <x:row r="1957" ht="27" customHeight="1">
      <x:c r="A1957" s="66" t="str">
        <x:v>SEV580</x:v>
      </x:c>
      <x:c r="B1957" s="66" t="str">
        <x:v>祁腾蜂赢1号</x:v>
      </x:c>
      <x:c r="C1957" s="72" t="n">
        <x:v>43826</x:v>
      </x:c>
      <x:c r="D1957" s="73" t="n">
        <x:v>1.0017</x:v>
      </x:c>
      <x:c r="E1957" s="73" t="n">
        <x:v>1.1041</x:v>
      </x:c>
      <x:c r="F1957" s="73" t="n">
        <x:v>1.1066</x:v>
      </x:c>
      <x:c r="G1957" s="74" t="n">
        <x:v>0.0008</x:v>
      </x:c>
      <x:c r="H1957" s="66" t="str">
        <x:v>祁腾蜂赢1号净值20260911.xlsx</x:v>
      </x:c>
      <x:c r="I1957" s="73" t="str">
        <x:f>""</x:f>
      </x:c>
      <x:c r="J1957" s="74" t="str">
        <x:f>""</x:f>
      </x:c>
      <x:c r="K1957" s="73" t="str">
        <x:f>""</x:f>
      </x:c>
      <x:c r="L1957" s="74" t="str">
        <x:f>""</x:f>
      </x:c>
      <x:c r="M1957" s="73" t="n">
        <x:f>MAX(M1956,F1957)</x:f>
        <x:v>1.1066</x:v>
      </x:c>
      <x:c r="N1957" s="74" t="n">
        <x:f>1-F1957/M1957</x:f>
        <x:v>0</x:v>
      </x:c>
    </x:row>
    <x:row r="1958" ht="27" customHeight="1">
      <x:c r="A1958" s="66" t="str">
        <x:v>SEV580</x:v>
      </x:c>
      <x:c r="B1958" s="66" t="str">
        <x:v>祁腾蜂赢1号</x:v>
      </x:c>
      <x:c r="C1958" s="72" t="n">
        <x:v>43829</x:v>
      </x:c>
      <x:c r="D1958" s="73" t="n">
        <x:v>1.0025</x:v>
      </x:c>
      <x:c r="E1958" s="73" t="n">
        <x:v>1.1049</x:v>
      </x:c>
      <x:c r="F1958" s="73" t="n">
        <x:v>1.1075</x:v>
      </x:c>
      <x:c r="G1958" s="74" t="n">
        <x:v>0.0008</x:v>
      </x:c>
      <x:c r="H1958" s="66" t="str">
        <x:v>祁腾蜂赢1号净值20260911.xlsx</x:v>
      </x:c>
      <x:c r="I1958" s="73" t="str">
        <x:f>""</x:f>
      </x:c>
      <x:c r="J1958" s="74" t="str">
        <x:f>""</x:f>
      </x:c>
      <x:c r="K1958" s="73" t="str">
        <x:f>""</x:f>
      </x:c>
      <x:c r="L1958" s="74" t="str">
        <x:f>""</x:f>
      </x:c>
      <x:c r="M1958" s="73" t="n">
        <x:f>MAX(M1957,F1958)</x:f>
        <x:v>1.1075</x:v>
      </x:c>
      <x:c r="N1958" s="74" t="n">
        <x:f>1-F1958/M1958</x:f>
        <x:v>0</x:v>
      </x:c>
    </x:row>
    <x:row r="1959" ht="27" customHeight="1">
      <x:c r="A1959" s="66" t="str">
        <x:v>SEV580</x:v>
      </x:c>
      <x:c r="B1959" s="66" t="str">
        <x:v>祁腾蜂赢1号</x:v>
      </x:c>
      <x:c r="C1959" s="72" t="n">
        <x:v>43830</x:v>
      </x:c>
      <x:c r="D1959" s="73" t="n">
        <x:v>1.0021</x:v>
      </x:c>
      <x:c r="E1959" s="73" t="n">
        <x:v>1.1045</x:v>
      </x:c>
      <x:c r="F1959" s="73" t="n">
        <x:v>1.107</x:v>
      </x:c>
      <x:c r="G1959" s="74" t="n">
        <x:v>-0.0004</x:v>
      </x:c>
      <x:c r="H1959" s="66" t="str">
        <x:v>祁腾蜂赢1号净值20260911.xlsx</x:v>
      </x:c>
      <x:c r="I1959" s="73" t="str">
        <x:f>""</x:f>
      </x:c>
      <x:c r="J1959" s="74" t="str">
        <x:f>""</x:f>
      </x:c>
      <x:c r="K1959" s="73" t="str">
        <x:f>""</x:f>
      </x:c>
      <x:c r="L1959" s="74" t="str">
        <x:f>""</x:f>
      </x:c>
      <x:c r="M1959" s="73" t="n">
        <x:f>MAX(M1958,F1959)</x:f>
        <x:v>1.1075</x:v>
      </x:c>
      <x:c r="N1959" s="74" t="n">
        <x:f>1-F1959/M1959</x:f>
        <x:v>0.0004514672686229959</x:v>
      </x:c>
    </x:row>
    <x:row r="1960" ht="27" customHeight="1">
      <x:c r="A1960" s="66" t="str">
        <x:v>SEV580</x:v>
      </x:c>
      <x:c r="B1960" s="66" t="str">
        <x:v>祁腾蜂赢1号</x:v>
      </x:c>
      <x:c r="C1960" s="72" t="n">
        <x:v>43832</x:v>
      </x:c>
      <x:c r="D1960" s="73" t="n">
        <x:v>1.0035</x:v>
      </x:c>
      <x:c r="E1960" s="73" t="n">
        <x:v>1.1059</x:v>
      </x:c>
      <x:c r="F1960" s="73" t="n">
        <x:v>1.1086</x:v>
      </x:c>
      <x:c r="G1960" s="74" t="n">
        <x:v>0.0014000000000000002</x:v>
      </x:c>
      <x:c r="H1960" s="66" t="str">
        <x:v>祁腾蜂赢1号净值20260911.xlsx</x:v>
      </x:c>
      <x:c r="I1960" s="73" t="str">
        <x:f>""</x:f>
      </x:c>
      <x:c r="J1960" s="74" t="str">
        <x:f>""</x:f>
      </x:c>
      <x:c r="K1960" s="73" t="str">
        <x:f>""</x:f>
      </x:c>
      <x:c r="L1960" s="74" t="str">
        <x:f>""</x:f>
      </x:c>
      <x:c r="M1960" s="73" t="n">
        <x:f>MAX(M1959,F1960)</x:f>
        <x:v>1.1086</x:v>
      </x:c>
      <x:c r="N1960" s="74" t="n">
        <x:f>1-F1960/M1960</x:f>
        <x:v>0</x:v>
      </x:c>
    </x:row>
    <x:row r="1961" ht="27" customHeight="1">
      <x:c r="A1961" s="66" t="str">
        <x:v>SEV580</x:v>
      </x:c>
      <x:c r="B1961" s="66" t="str">
        <x:v>祁腾蜂赢1号</x:v>
      </x:c>
      <x:c r="C1961" s="72" t="n">
        <x:v>43833</x:v>
      </x:c>
      <x:c r="D1961" s="73" t="n">
        <x:v>1.0037</x:v>
      </x:c>
      <x:c r="E1961" s="73" t="n">
        <x:v>1.1061</x:v>
      </x:c>
      <x:c r="F1961" s="73" t="n">
        <x:v>1.1088</x:v>
      </x:c>
      <x:c r="G1961" s="74" t="n">
        <x:v>0.0002</x:v>
      </x:c>
      <x:c r="H1961" s="66" t="str">
        <x:v>祁腾蜂赢1号净值20260911.xlsx</x:v>
      </x:c>
      <x:c r="I1961" s="73" t="str">
        <x:f>""</x:f>
      </x:c>
      <x:c r="J1961" s="74" t="str">
        <x:f>""</x:f>
      </x:c>
      <x:c r="K1961" s="73" t="str">
        <x:f>""</x:f>
      </x:c>
      <x:c r="L1961" s="74" t="str">
        <x:f>""</x:f>
      </x:c>
      <x:c r="M1961" s="73" t="n">
        <x:f>MAX(M1960,F1961)</x:f>
        <x:v>1.1088</x:v>
      </x:c>
      <x:c r="N1961" s="74" t="n">
        <x:f>1-F1961/M1961</x:f>
        <x:v>0</x:v>
      </x:c>
    </x:row>
    <x:row r="1962" ht="27" customHeight="1">
      <x:c r="A1962" s="66" t="str">
        <x:v>SEV580</x:v>
      </x:c>
      <x:c r="B1962" s="66" t="str">
        <x:v>祁腾蜂赢1号</x:v>
      </x:c>
      <x:c r="C1962" s="72" t="n">
        <x:v>43836</x:v>
      </x:c>
      <x:c r="D1962" s="73" t="n">
        <x:v>1.0039</x:v>
      </x:c>
      <x:c r="E1962" s="73" t="n">
        <x:v>1.1063</x:v>
      </x:c>
      <x:c r="F1962" s="73" t="n">
        <x:v>1.109</x:v>
      </x:c>
      <x:c r="G1962" s="74" t="n">
        <x:v>0.0002</x:v>
      </x:c>
      <x:c r="H1962" s="66" t="str">
        <x:v>祁腾蜂赢1号净值20260911.xlsx</x:v>
      </x:c>
      <x:c r="I1962" s="73" t="str">
        <x:f>""</x:f>
      </x:c>
      <x:c r="J1962" s="74" t="str">
        <x:f>""</x:f>
      </x:c>
      <x:c r="K1962" s="73" t="str">
        <x:f>""</x:f>
      </x:c>
      <x:c r="L1962" s="74" t="str">
        <x:f>""</x:f>
      </x:c>
      <x:c r="M1962" s="73" t="n">
        <x:f>MAX(M1961,F1962)</x:f>
        <x:v>1.109</x:v>
      </x:c>
      <x:c r="N1962" s="74" t="n">
        <x:f>1-F1962/M1962</x:f>
        <x:v>0</x:v>
      </x:c>
    </x:row>
    <x:row r="1963" ht="27" customHeight="1">
      <x:c r="A1963" s="66" t="str">
        <x:v>SEV580</x:v>
      </x:c>
      <x:c r="B1963" s="66" t="str">
        <x:v>祁腾蜂赢1号</x:v>
      </x:c>
      <x:c r="C1963" s="72" t="n">
        <x:v>43837</x:v>
      </x:c>
      <x:c r="D1963" s="73" t="n">
        <x:v>1.0112</x:v>
      </x:c>
      <x:c r="E1963" s="73" t="n">
        <x:v>1.1136</x:v>
      </x:c>
      <x:c r="F1963" s="73" t="n">
        <x:v>1.1171</x:v>
      </x:c>
      <x:c r="G1963" s="74" t="n">
        <x:v>0.0073</x:v>
      </x:c>
      <x:c r="H1963" s="66" t="str">
        <x:v>祁腾蜂赢1号净值20260911.xlsx</x:v>
      </x:c>
      <x:c r="I1963" s="73" t="str">
        <x:f>""</x:f>
      </x:c>
      <x:c r="J1963" s="74" t="str">
        <x:f>""</x:f>
      </x:c>
      <x:c r="K1963" s="73" t="str">
        <x:f>""</x:f>
      </x:c>
      <x:c r="L1963" s="74" t="str">
        <x:f>""</x:f>
      </x:c>
      <x:c r="M1963" s="73" t="n">
        <x:f>MAX(M1962,F1963)</x:f>
        <x:v>1.1171</x:v>
      </x:c>
      <x:c r="N1963" s="74" t="n">
        <x:f>1-F1963/M1963</x:f>
        <x:v>0</x:v>
      </x:c>
    </x:row>
    <x:row r="1964" ht="27" customHeight="1">
      <x:c r="A1964" s="66" t="str">
        <x:v>SEV580</x:v>
      </x:c>
      <x:c r="B1964" s="66" t="str">
        <x:v>祁腾蜂赢1号</x:v>
      </x:c>
      <x:c r="C1964" s="72" t="n">
        <x:v>43838</x:v>
      </x:c>
      <x:c r="D1964" s="73" t="n">
        <x:v>1.0131</x:v>
      </x:c>
      <x:c r="E1964" s="73" t="n">
        <x:v>1.1155</x:v>
      </x:c>
      <x:c r="F1964" s="73" t="n">
        <x:v>1.1192</x:v>
      </x:c>
      <x:c r="G1964" s="74" t="n">
        <x:v>0.0019</x:v>
      </x:c>
      <x:c r="H1964" s="66" t="str">
        <x:v>祁腾蜂赢1号净值20260911.xlsx</x:v>
      </x:c>
      <x:c r="I1964" s="73" t="str">
        <x:f>""</x:f>
      </x:c>
      <x:c r="J1964" s="74" t="str">
        <x:f>""</x:f>
      </x:c>
      <x:c r="K1964" s="73" t="str">
        <x:f>""</x:f>
      </x:c>
      <x:c r="L1964" s="74" t="str">
        <x:f>""</x:f>
      </x:c>
      <x:c r="M1964" s="73" t="n">
        <x:f>MAX(M1963,F1964)</x:f>
        <x:v>1.1192</x:v>
      </x:c>
      <x:c r="N1964" s="74" t="n">
        <x:f>1-F1964/M1964</x:f>
        <x:v>0</x:v>
      </x:c>
    </x:row>
    <x:row r="1965" ht="27" customHeight="1">
      <x:c r="A1965" s="66" t="str">
        <x:v>SEV580</x:v>
      </x:c>
      <x:c r="B1965" s="66" t="str">
        <x:v>祁腾蜂赢1号</x:v>
      </x:c>
      <x:c r="C1965" s="72" t="n">
        <x:v>43839</x:v>
      </x:c>
      <x:c r="D1965" s="73" t="n">
        <x:v>1.0135</x:v>
      </x:c>
      <x:c r="E1965" s="73" t="n">
        <x:v>1.1159</x:v>
      </x:c>
      <x:c r="F1965" s="73" t="n">
        <x:v>1.1196</x:v>
      </x:c>
      <x:c r="G1965" s="74" t="n">
        <x:v>0.0004</x:v>
      </x:c>
      <x:c r="H1965" s="66" t="str">
        <x:v>祁腾蜂赢1号净值20260911.xlsx</x:v>
      </x:c>
      <x:c r="I1965" s="73" t="str">
        <x:f>""</x:f>
      </x:c>
      <x:c r="J1965" s="74" t="str">
        <x:f>""</x:f>
      </x:c>
      <x:c r="K1965" s="73" t="str">
        <x:f>""</x:f>
      </x:c>
      <x:c r="L1965" s="74" t="str">
        <x:f>""</x:f>
      </x:c>
      <x:c r="M1965" s="73" t="n">
        <x:f>MAX(M1964,F1965)</x:f>
        <x:v>1.1196</x:v>
      </x:c>
      <x:c r="N1965" s="74" t="n">
        <x:f>1-F1965/M1965</x:f>
        <x:v>0</x:v>
      </x:c>
    </x:row>
    <x:row r="1966" ht="27" customHeight="1">
      <x:c r="A1966" s="66" t="str">
        <x:v>SEV580</x:v>
      </x:c>
      <x:c r="B1966" s="66" t="str">
        <x:v>祁腾蜂赢1号</x:v>
      </x:c>
      <x:c r="C1966" s="72" t="n">
        <x:v>43840</x:v>
      </x:c>
      <x:c r="D1966" s="73" t="n">
        <x:v>1.0142</x:v>
      </x:c>
      <x:c r="E1966" s="73" t="n">
        <x:v>1.1166</x:v>
      </x:c>
      <x:c r="F1966" s="73" t="n">
        <x:v>1.1204</x:v>
      </x:c>
      <x:c r="G1966" s="74" t="n">
        <x:v>0.0007000000000000001</x:v>
      </x:c>
      <x:c r="H1966" s="66" t="str">
        <x:v>祁腾蜂赢1号净值20260911.xlsx</x:v>
      </x:c>
      <x:c r="I1966" s="73" t="str">
        <x:f>""</x:f>
      </x:c>
      <x:c r="J1966" s="74" t="str">
        <x:f>""</x:f>
      </x:c>
      <x:c r="K1966" s="73" t="str">
        <x:f>""</x:f>
      </x:c>
      <x:c r="L1966" s="74" t="str">
        <x:f>""</x:f>
      </x:c>
      <x:c r="M1966" s="73" t="n">
        <x:f>MAX(M1965,F1966)</x:f>
        <x:v>1.1204</x:v>
      </x:c>
      <x:c r="N1966" s="74" t="n">
        <x:f>1-F1966/M1966</x:f>
        <x:v>0</x:v>
      </x:c>
    </x:row>
    <x:row r="1967" ht="27" customHeight="1">
      <x:c r="A1967" s="66" t="str">
        <x:v>SEV580</x:v>
      </x:c>
      <x:c r="B1967" s="66" t="str">
        <x:v>祁腾蜂赢1号</x:v>
      </x:c>
      <x:c r="C1967" s="72" t="n">
        <x:v>43843</x:v>
      </x:c>
      <x:c r="D1967" s="73" t="n">
        <x:v>1.0137</x:v>
      </x:c>
      <x:c r="E1967" s="73" t="n">
        <x:v>1.1161</x:v>
      </x:c>
      <x:c r="F1967" s="73" t="n">
        <x:v>1.1199</x:v>
      </x:c>
      <x:c r="G1967" s="74" t="n">
        <x:v>-0.0005</x:v>
      </x:c>
      <x:c r="H1967" s="66" t="str">
        <x:v>祁腾蜂赢1号净值20260911.xlsx</x:v>
      </x:c>
      <x:c r="I1967" s="73" t="str">
        <x:f>""</x:f>
      </x:c>
      <x:c r="J1967" s="74" t="str">
        <x:f>""</x:f>
      </x:c>
      <x:c r="K1967" s="73" t="str">
        <x:f>""</x:f>
      </x:c>
      <x:c r="L1967" s="74" t="str">
        <x:f>""</x:f>
      </x:c>
      <x:c r="M1967" s="73" t="n">
        <x:f>MAX(M1966,F1967)</x:f>
        <x:v>1.1204</x:v>
      </x:c>
      <x:c r="N1967" s="74" t="n">
        <x:f>1-F1967/M1967</x:f>
        <x:v>0.00044626918957535455</x:v>
      </x:c>
    </x:row>
    <x:row r="1968" ht="27" customHeight="1">
      <x:c r="A1968" s="66" t="str">
        <x:v>SEV580</x:v>
      </x:c>
      <x:c r="B1968" s="66" t="str">
        <x:v>祁腾蜂赢1号</x:v>
      </x:c>
      <x:c r="C1968" s="72" t="n">
        <x:v>43844</x:v>
      </x:c>
      <x:c r="D1968" s="73" t="n">
        <x:v>1.0135</x:v>
      </x:c>
      <x:c r="E1968" s="73" t="n">
        <x:v>1.1159</x:v>
      </x:c>
      <x:c r="F1968" s="73" t="n">
        <x:v>1.1196</x:v>
      </x:c>
      <x:c r="G1968" s="74" t="n">
        <x:v>-0.0002</x:v>
      </x:c>
      <x:c r="H1968" s="66" t="str">
        <x:v>祁腾蜂赢1号净值20260911.xlsx</x:v>
      </x:c>
      <x:c r="I1968" s="73" t="str">
        <x:f>""</x:f>
      </x:c>
      <x:c r="J1968" s="74" t="str">
        <x:f>""</x:f>
      </x:c>
      <x:c r="K1968" s="73" t="str">
        <x:f>""</x:f>
      </x:c>
      <x:c r="L1968" s="74" t="str">
        <x:f>""</x:f>
      </x:c>
      <x:c r="M1968" s="73" t="n">
        <x:f>MAX(M1967,F1968)</x:f>
        <x:v>1.1204</x:v>
      </x:c>
      <x:c r="N1968" s="74" t="n">
        <x:f>1-F1968/M1968</x:f>
        <x:v>0.000714030703320323</x:v>
      </x:c>
    </x:row>
    <x:row r="1969" ht="27" customHeight="1">
      <x:c r="A1969" s="66" t="str">
        <x:v>SEV580</x:v>
      </x:c>
      <x:c r="B1969" s="66" t="str">
        <x:v>祁腾蜂赢1号</x:v>
      </x:c>
      <x:c r="C1969" s="72" t="n">
        <x:v>43845</x:v>
      </x:c>
      <x:c r="D1969" s="73" t="n">
        <x:v>1.0139</x:v>
      </x:c>
      <x:c r="E1969" s="73" t="n">
        <x:v>1.1163</x:v>
      </x:c>
      <x:c r="F1969" s="73" t="n">
        <x:v>1.1201</x:v>
      </x:c>
      <x:c r="G1969" s="74" t="n">
        <x:v>0.0004</x:v>
      </x:c>
      <x:c r="H1969" s="66" t="str">
        <x:v>祁腾蜂赢1号净值20260911.xlsx</x:v>
      </x:c>
      <x:c r="I1969" s="73" t="str">
        <x:f>""</x:f>
      </x:c>
      <x:c r="J1969" s="74" t="str">
        <x:f>""</x:f>
      </x:c>
      <x:c r="K1969" s="73" t="str">
        <x:f>""</x:f>
      </x:c>
      <x:c r="L1969" s="74" t="str">
        <x:f>""</x:f>
      </x:c>
      <x:c r="M1969" s="73" t="n">
        <x:f>MAX(M1968,F1969)</x:f>
        <x:v>1.1204</x:v>
      </x:c>
      <x:c r="N1969" s="74" t="n">
        <x:f>1-F1969/M1969</x:f>
        <x:v>0.0002677615137450795</x:v>
      </x:c>
    </x:row>
    <x:row r="1970" ht="27" customHeight="1">
      <x:c r="A1970" s="66" t="str">
        <x:v>SEV580</x:v>
      </x:c>
      <x:c r="B1970" s="66" t="str">
        <x:v>祁腾蜂赢1号</x:v>
      </x:c>
      <x:c r="C1970" s="72" t="n">
        <x:v>43846</x:v>
      </x:c>
      <x:c r="D1970" s="73" t="n">
        <x:v>1.0136</x:v>
      </x:c>
      <x:c r="E1970" s="73" t="n">
        <x:v>1.116</x:v>
      </x:c>
      <x:c r="F1970" s="73" t="n">
        <x:v>1.1197</x:v>
      </x:c>
      <x:c r="G1970" s="74" t="n">
        <x:v>-0.0003</x:v>
      </x:c>
      <x:c r="H1970" s="66" t="str">
        <x:v>祁腾蜂赢1号净值20260911.xlsx</x:v>
      </x:c>
      <x:c r="I1970" s="73" t="str">
        <x:f>""</x:f>
      </x:c>
      <x:c r="J1970" s="74" t="str">
        <x:f>""</x:f>
      </x:c>
      <x:c r="K1970" s="73" t="str">
        <x:f>""</x:f>
      </x:c>
      <x:c r="L1970" s="74" t="str">
        <x:f>""</x:f>
      </x:c>
      <x:c r="M1970" s="73" t="n">
        <x:f>MAX(M1969,F1970)</x:f>
        <x:v>1.1204</x:v>
      </x:c>
      <x:c r="N1970" s="74" t="n">
        <x:f>1-F1970/M1970</x:f>
        <x:v>0.0006247768654052965</x:v>
      </x:c>
    </x:row>
    <x:row r="1971" ht="27" customHeight="1">
      <x:c r="A1971" s="66" t="str">
        <x:v>SEV580</x:v>
      </x:c>
      <x:c r="B1971" s="66" t="str">
        <x:v>祁腾蜂赢1号</x:v>
      </x:c>
      <x:c r="C1971" s="72" t="n">
        <x:v>43847</x:v>
      </x:c>
      <x:c r="D1971" s="73" t="n">
        <x:v>1.0142</x:v>
      </x:c>
      <x:c r="E1971" s="73" t="n">
        <x:v>1.1166</x:v>
      </x:c>
      <x:c r="F1971" s="73" t="n">
        <x:v>1.1204</x:v>
      </x:c>
      <x:c r="G1971" s="74" t="n">
        <x:v>0.0006</x:v>
      </x:c>
      <x:c r="H1971" s="66" t="str">
        <x:v>祁腾蜂赢1号净值20260911.xlsx</x:v>
      </x:c>
      <x:c r="I1971" s="73" t="str">
        <x:f>""</x:f>
      </x:c>
      <x:c r="J1971" s="74" t="str">
        <x:f>""</x:f>
      </x:c>
      <x:c r="K1971" s="73" t="str">
        <x:f>""</x:f>
      </x:c>
      <x:c r="L1971" s="74" t="str">
        <x:f>""</x:f>
      </x:c>
      <x:c r="M1971" s="73" t="n">
        <x:f>MAX(M1970,F1971)</x:f>
        <x:v>1.1204</x:v>
      </x:c>
      <x:c r="N1971" s="74" t="n">
        <x:f>1-F1971/M1971</x:f>
        <x:v>0</x:v>
      </x:c>
    </x:row>
    <x:row r="1972" ht="27" customHeight="1">
      <x:c r="A1972" s="66" t="str">
        <x:v>SEV580</x:v>
      </x:c>
      <x:c r="B1972" s="66" t="str">
        <x:v>祁腾蜂赢1号</x:v>
      </x:c>
      <x:c r="C1972" s="72" t="n">
        <x:v>43850</x:v>
      </x:c>
      <x:c r="D1972" s="73" t="n">
        <x:v>1.0143</x:v>
      </x:c>
      <x:c r="E1972" s="73" t="n">
        <x:v>1.1167</x:v>
      </x:c>
      <x:c r="F1972" s="73" t="n">
        <x:v>1.1205</x:v>
      </x:c>
      <x:c r="G1972" s="74" t="n">
        <x:v>0.0001</x:v>
      </x:c>
      <x:c r="H1972" s="66" t="str">
        <x:v>祁腾蜂赢1号净值20260911.xlsx</x:v>
      </x:c>
      <x:c r="I1972" s="73" t="str">
        <x:f>""</x:f>
      </x:c>
      <x:c r="J1972" s="74" t="str">
        <x:f>""</x:f>
      </x:c>
      <x:c r="K1972" s="73" t="str">
        <x:f>""</x:f>
      </x:c>
      <x:c r="L1972" s="74" t="str">
        <x:f>""</x:f>
      </x:c>
      <x:c r="M1972" s="73" t="n">
        <x:f>MAX(M1971,F1972)</x:f>
        <x:v>1.1205</x:v>
      </x:c>
      <x:c r="N1972" s="74" t="n">
        <x:f>1-F1972/M1972</x:f>
        <x:v>0</x:v>
      </x:c>
    </x:row>
    <x:row r="1973" ht="27" customHeight="1">
      <x:c r="A1973" s="66" t="str">
        <x:v>SEV580</x:v>
      </x:c>
      <x:c r="B1973" s="66" t="str">
        <x:v>祁腾蜂赢1号</x:v>
      </x:c>
      <x:c r="C1973" s="72" t="n">
        <x:v>43851</x:v>
      </x:c>
      <x:c r="D1973" s="73" t="n">
        <x:v>1.0142</x:v>
      </x:c>
      <x:c r="E1973" s="73" t="n">
        <x:v>1.1166</x:v>
      </x:c>
      <x:c r="F1973" s="73" t="n">
        <x:v>1.1204</x:v>
      </x:c>
      <x:c r="G1973" s="74" t="n">
        <x:v>-0.0001</x:v>
      </x:c>
      <x:c r="H1973" s="66" t="str">
        <x:v>祁腾蜂赢1号净值20260911.xlsx</x:v>
      </x:c>
      <x:c r="I1973" s="73" t="str">
        <x:f>""</x:f>
      </x:c>
      <x:c r="J1973" s="74" t="str">
        <x:f>""</x:f>
      </x:c>
      <x:c r="K1973" s="73" t="str">
        <x:f>""</x:f>
      </x:c>
      <x:c r="L1973" s="74" t="str">
        <x:f>""</x:f>
      </x:c>
      <x:c r="M1973" s="73" t="n">
        <x:f>MAX(M1972,F1973)</x:f>
        <x:v>1.1205</x:v>
      </x:c>
      <x:c r="N1973" s="74" t="n">
        <x:f>1-F1973/M1973</x:f>
        <x:v>0.0000892458723783518</x:v>
      </x:c>
    </x:row>
    <x:row r="1974" ht="27" customHeight="1">
      <x:c r="A1974" s="66" t="str">
        <x:v>SEV580</x:v>
      </x:c>
      <x:c r="B1974" s="66" t="str">
        <x:v>祁腾蜂赢1号</x:v>
      </x:c>
      <x:c r="C1974" s="72" t="n">
        <x:v>43852</x:v>
      </x:c>
      <x:c r="D1974" s="73" t="n">
        <x:v>1.0158</x:v>
      </x:c>
      <x:c r="E1974" s="73" t="n">
        <x:v>1.1182</x:v>
      </x:c>
      <x:c r="F1974" s="73" t="n">
        <x:v>1.1222</x:v>
      </x:c>
      <x:c r="G1974" s="74" t="n">
        <x:v>0.0016</x:v>
      </x:c>
      <x:c r="H1974" s="66" t="str">
        <x:v>祁腾蜂赢1号净值20260911.xlsx</x:v>
      </x:c>
      <x:c r="I1974" s="73" t="str">
        <x:f>""</x:f>
      </x:c>
      <x:c r="J1974" s="74" t="str">
        <x:f>""</x:f>
      </x:c>
      <x:c r="K1974" s="73" t="str">
        <x:f>""</x:f>
      </x:c>
      <x:c r="L1974" s="74" t="str">
        <x:f>""</x:f>
      </x:c>
      <x:c r="M1974" s="73" t="n">
        <x:f>MAX(M1973,F1974)</x:f>
        <x:v>1.1222</x:v>
      </x:c>
      <x:c r="N1974" s="74" t="n">
        <x:f>1-F1974/M1974</x:f>
        <x:v>0</x:v>
      </x:c>
    </x:row>
    <x:row r="1975" ht="27" customHeight="1">
      <x:c r="A1975" s="66" t="str">
        <x:v>SEV580</x:v>
      </x:c>
      <x:c r="B1975" s="66" t="str">
        <x:v>祁腾蜂赢1号</x:v>
      </x:c>
      <x:c r="C1975" s="72" t="n">
        <x:v>43853</x:v>
      </x:c>
      <x:c r="D1975" s="73" t="n">
        <x:v>1.018</x:v>
      </x:c>
      <x:c r="E1975" s="73" t="n">
        <x:v>1.1204</x:v>
      </x:c>
      <x:c r="F1975" s="73" t="n">
        <x:v>1.1246</x:v>
      </x:c>
      <x:c r="G1975" s="74" t="n">
        <x:v>0.0022</x:v>
      </x:c>
      <x:c r="H1975" s="66" t="str">
        <x:v>祁腾蜂赢1号净值20260911.xlsx</x:v>
      </x:c>
      <x:c r="I1975" s="73" t="str">
        <x:f>""</x:f>
      </x:c>
      <x:c r="J1975" s="74" t="str">
        <x:f>""</x:f>
      </x:c>
      <x:c r="K1975" s="73" t="str">
        <x:f>""</x:f>
      </x:c>
      <x:c r="L1975" s="74" t="str">
        <x:f>""</x:f>
      </x:c>
      <x:c r="M1975" s="73" t="n">
        <x:f>MAX(M1974,F1975)</x:f>
        <x:v>1.1246</x:v>
      </x:c>
      <x:c r="N1975" s="74" t="n">
        <x:f>1-F1975/M1975</x:f>
        <x:v>0</x:v>
      </x:c>
    </x:row>
    <x:row r="1976" ht="27" customHeight="1">
      <x:c r="A1976" s="66" t="str">
        <x:v>SEV580</x:v>
      </x:c>
      <x:c r="B1976" s="66" t="str">
        <x:v>祁腾蜂赢1号</x:v>
      </x:c>
      <x:c r="C1976" s="72" t="n">
        <x:v>43864</x:v>
      </x:c>
      <x:c r="D1976" s="73" t="n">
        <x:v>1.0197</x:v>
      </x:c>
      <x:c r="E1976" s="73" t="n">
        <x:v>1.1221</x:v>
      </x:c>
      <x:c r="F1976" s="73" t="n">
        <x:v>1.1265</x:v>
      </x:c>
      <x:c r="G1976" s="74" t="n">
        <x:v>0.0017000000000000001</x:v>
      </x:c>
      <x:c r="H1976" s="66" t="str">
        <x:v>祁腾蜂赢1号净值20260911.xlsx</x:v>
      </x:c>
      <x:c r="I1976" s="73" t="str">
        <x:f>""</x:f>
      </x:c>
      <x:c r="J1976" s="74" t="str">
        <x:f>""</x:f>
      </x:c>
      <x:c r="K1976" s="73" t="str">
        <x:f>""</x:f>
      </x:c>
      <x:c r="L1976" s="74" t="str">
        <x:f>""</x:f>
      </x:c>
      <x:c r="M1976" s="73" t="n">
        <x:f>MAX(M1975,F1976)</x:f>
        <x:v>1.1265</x:v>
      </x:c>
      <x:c r="N1976" s="74" t="n">
        <x:f>1-F1976/M1976</x:f>
        <x:v>0</x:v>
      </x:c>
    </x:row>
    <x:row r="1977" ht="27" customHeight="1">
      <x:c r="A1977" s="66" t="str">
        <x:v>SEV580</x:v>
      </x:c>
      <x:c r="B1977" s="66" t="str">
        <x:v>祁腾蜂赢1号</x:v>
      </x:c>
      <x:c r="C1977" s="72" t="n">
        <x:v>43865</x:v>
      </x:c>
      <x:c r="D1977" s="73" t="n">
        <x:v>1.0214</x:v>
      </x:c>
      <x:c r="E1977" s="73" t="n">
        <x:v>1.1238</x:v>
      </x:c>
      <x:c r="F1977" s="73" t="n">
        <x:v>1.1284</x:v>
      </x:c>
      <x:c r="G1977" s="74" t="n">
        <x:v>0.0017000000000000001</x:v>
      </x:c>
      <x:c r="H1977" s="66" t="str">
        <x:v>祁腾蜂赢1号净值20260911.xlsx</x:v>
      </x:c>
      <x:c r="I1977" s="73" t="str">
        <x:f>""</x:f>
      </x:c>
      <x:c r="J1977" s="74" t="str">
        <x:f>""</x:f>
      </x:c>
      <x:c r="K1977" s="73" t="str">
        <x:f>""</x:f>
      </x:c>
      <x:c r="L1977" s="74" t="str">
        <x:f>""</x:f>
      </x:c>
      <x:c r="M1977" s="73" t="n">
        <x:f>MAX(M1976,F1977)</x:f>
        <x:v>1.1284</x:v>
      </x:c>
      <x:c r="N1977" s="74" t="n">
        <x:f>1-F1977/M1977</x:f>
        <x:v>0</x:v>
      </x:c>
    </x:row>
    <x:row r="1978" ht="27" customHeight="1">
      <x:c r="A1978" s="66" t="str">
        <x:v>SEV580</x:v>
      </x:c>
      <x:c r="B1978" s="66" t="str">
        <x:v>祁腾蜂赢1号</x:v>
      </x:c>
      <x:c r="C1978" s="72" t="n">
        <x:v>43866</x:v>
      </x:c>
      <x:c r="D1978" s="73" t="n">
        <x:v>1.0221</x:v>
      </x:c>
      <x:c r="E1978" s="73" t="n">
        <x:v>1.1245</x:v>
      </x:c>
      <x:c r="F1978" s="73" t="n">
        <x:v>1.1291</x:v>
      </x:c>
      <x:c r="G1978" s="74" t="n">
        <x:v>0.0007000000000000001</x:v>
      </x:c>
      <x:c r="H1978" s="66" t="str">
        <x:v>祁腾蜂赢1号净值20260911.xlsx</x:v>
      </x:c>
      <x:c r="I1978" s="73" t="str">
        <x:f>""</x:f>
      </x:c>
      <x:c r="J1978" s="74" t="str">
        <x:f>""</x:f>
      </x:c>
      <x:c r="K1978" s="73" t="str">
        <x:f>""</x:f>
      </x:c>
      <x:c r="L1978" s="74" t="str">
        <x:f>""</x:f>
      </x:c>
      <x:c r="M1978" s="73" t="n">
        <x:f>MAX(M1977,F1978)</x:f>
        <x:v>1.1291</x:v>
      </x:c>
      <x:c r="N1978" s="74" t="n">
        <x:f>1-F1978/M1978</x:f>
        <x:v>0</x:v>
      </x:c>
    </x:row>
    <x:row r="1979" ht="27" customHeight="1">
      <x:c r="A1979" s="66" t="str">
        <x:v>SEV580</x:v>
      </x:c>
      <x:c r="B1979" s="66" t="str">
        <x:v>祁腾蜂赢1号</x:v>
      </x:c>
      <x:c r="C1979" s="72" t="n">
        <x:v>43867</x:v>
      </x:c>
      <x:c r="D1979" s="73" t="n">
        <x:v>1.0239</x:v>
      </x:c>
      <x:c r="E1979" s="73" t="n">
        <x:v>1.1263</x:v>
      </x:c>
      <x:c r="F1979" s="73" t="n">
        <x:v>1.1311</x:v>
      </x:c>
      <x:c r="G1979" s="74" t="n">
        <x:v>0.0018</x:v>
      </x:c>
      <x:c r="H1979" s="66" t="str">
        <x:v>祁腾蜂赢1号净值20260911.xlsx</x:v>
      </x:c>
      <x:c r="I1979" s="73" t="str">
        <x:f>""</x:f>
      </x:c>
      <x:c r="J1979" s="74" t="str">
        <x:f>""</x:f>
      </x:c>
      <x:c r="K1979" s="73" t="str">
        <x:f>""</x:f>
      </x:c>
      <x:c r="L1979" s="74" t="str">
        <x:f>""</x:f>
      </x:c>
      <x:c r="M1979" s="73" t="n">
        <x:f>MAX(M1978,F1979)</x:f>
        <x:v>1.1311</x:v>
      </x:c>
      <x:c r="N1979" s="74" t="n">
        <x:f>1-F1979/M1979</x:f>
        <x:v>0</x:v>
      </x:c>
    </x:row>
    <x:row r="1980" ht="27" customHeight="1">
      <x:c r="A1980" s="66" t="str">
        <x:v>SEV580</x:v>
      </x:c>
      <x:c r="B1980" s="66" t="str">
        <x:v>祁腾蜂赢1号</x:v>
      </x:c>
      <x:c r="C1980" s="72" t="n">
        <x:v>43868</x:v>
      </x:c>
      <x:c r="D1980" s="73" t="n">
        <x:v>1.0245</x:v>
      </x:c>
      <x:c r="E1980" s="73" t="n">
        <x:v>1.1269</x:v>
      </x:c>
      <x:c r="F1980" s="73" t="n">
        <x:v>1.1318</x:v>
      </x:c>
      <x:c r="G1980" s="74" t="n">
        <x:v>0.0006</x:v>
      </x:c>
      <x:c r="H1980" s="66" t="str">
        <x:v>祁腾蜂赢1号净值20260911.xlsx</x:v>
      </x:c>
      <x:c r="I1980" s="73" t="str">
        <x:f>""</x:f>
      </x:c>
      <x:c r="J1980" s="74" t="str">
        <x:f>""</x:f>
      </x:c>
      <x:c r="K1980" s="73" t="str">
        <x:f>""</x:f>
      </x:c>
      <x:c r="L1980" s="74" t="str">
        <x:f>""</x:f>
      </x:c>
      <x:c r="M1980" s="73" t="n">
        <x:f>MAX(M1979,F1980)</x:f>
        <x:v>1.1318</x:v>
      </x:c>
      <x:c r="N1980" s="74" t="n">
        <x:f>1-F1980/M1980</x:f>
        <x:v>0</x:v>
      </x:c>
    </x:row>
    <x:row r="1981" ht="27" customHeight="1">
      <x:c r="A1981" s="66" t="str">
        <x:v>SEV580</x:v>
      </x:c>
      <x:c r="B1981" s="66" t="str">
        <x:v>祁腾蜂赢1号</x:v>
      </x:c>
      <x:c r="C1981" s="72" t="n">
        <x:v>43871</x:v>
      </x:c>
      <x:c r="D1981" s="73" t="n">
        <x:v>1.0234</x:v>
      </x:c>
      <x:c r="E1981" s="73" t="n">
        <x:v>1.1258</x:v>
      </x:c>
      <x:c r="F1981" s="73" t="n">
        <x:v>1.1306</x:v>
      </x:c>
      <x:c r="G1981" s="74" t="n">
        <x:v>-0.0011</x:v>
      </x:c>
      <x:c r="H1981" s="66" t="str">
        <x:v>祁腾蜂赢1号净值20260911.xlsx</x:v>
      </x:c>
      <x:c r="I1981" s="73" t="str">
        <x:f>""</x:f>
      </x:c>
      <x:c r="J1981" s="74" t="str">
        <x:f>""</x:f>
      </x:c>
      <x:c r="K1981" s="73" t="str">
        <x:f>""</x:f>
      </x:c>
      <x:c r="L1981" s="74" t="str">
        <x:f>""</x:f>
      </x:c>
      <x:c r="M1981" s="73" t="n">
        <x:f>MAX(M1980,F1981)</x:f>
        <x:v>1.1318</x:v>
      </x:c>
      <x:c r="N1981" s="74" t="n">
        <x:f>1-F1981/M1981</x:f>
        <x:v>0.0010602579961123126</x:v>
      </x:c>
    </x:row>
    <x:row r="1982" ht="27" customHeight="1">
      <x:c r="A1982" s="66" t="str">
        <x:v>SEV580</x:v>
      </x:c>
      <x:c r="B1982" s="66" t="str">
        <x:v>祁腾蜂赢1号</x:v>
      </x:c>
      <x:c r="C1982" s="72" t="n">
        <x:v>43872</x:v>
      </x:c>
      <x:c r="D1982" s="73" t="n">
        <x:v>1.0231</x:v>
      </x:c>
      <x:c r="E1982" s="73" t="n">
        <x:v>1.1255</x:v>
      </x:c>
      <x:c r="F1982" s="73" t="n">
        <x:v>1.1302</x:v>
      </x:c>
      <x:c r="G1982" s="74" t="n">
        <x:v>-0.0003</x:v>
      </x:c>
      <x:c r="H1982" s="66" t="str">
        <x:v>祁腾蜂赢1号净值20260911.xlsx</x:v>
      </x:c>
      <x:c r="I1982" s="73" t="str">
        <x:f>""</x:f>
      </x:c>
      <x:c r="J1982" s="74" t="str">
        <x:f>""</x:f>
      </x:c>
      <x:c r="K1982" s="73" t="str">
        <x:f>""</x:f>
      </x:c>
      <x:c r="L1982" s="74" t="str">
        <x:f>""</x:f>
      </x:c>
      <x:c r="M1982" s="73" t="n">
        <x:f>MAX(M1981,F1982)</x:f>
        <x:v>1.1318</x:v>
      </x:c>
      <x:c r="N1982" s="74" t="n">
        <x:f>1-F1982/M1982</x:f>
        <x:v>0.0014136773281496762</x:v>
      </x:c>
    </x:row>
    <x:row r="1983" ht="27" customHeight="1">
      <x:c r="A1983" s="66" t="str">
        <x:v>SEV580</x:v>
      </x:c>
      <x:c r="B1983" s="66" t="str">
        <x:v>祁腾蜂赢1号</x:v>
      </x:c>
      <x:c r="C1983" s="72" t="n">
        <x:v>43873</x:v>
      </x:c>
      <x:c r="D1983" s="73" t="n">
        <x:v>1.0254</x:v>
      </x:c>
      <x:c r="E1983" s="73" t="n">
        <x:v>1.1278</x:v>
      </x:c>
      <x:c r="F1983" s="73" t="n">
        <x:v>1.1328</x:v>
      </x:c>
      <x:c r="G1983" s="74" t="n">
        <x:v>0.0022</x:v>
      </x:c>
      <x:c r="H1983" s="66" t="str">
        <x:v>祁腾蜂赢1号净值20260911.xlsx</x:v>
      </x:c>
      <x:c r="I1983" s="73" t="str">
        <x:f>""</x:f>
      </x:c>
      <x:c r="J1983" s="74" t="str">
        <x:f>""</x:f>
      </x:c>
      <x:c r="K1983" s="73" t="str">
        <x:f>""</x:f>
      </x:c>
      <x:c r="L1983" s="74" t="str">
        <x:f>""</x:f>
      </x:c>
      <x:c r="M1983" s="73" t="n">
        <x:f>MAX(M1982,F1983)</x:f>
        <x:v>1.1328</x:v>
      </x:c>
      <x:c r="N1983" s="74" t="n">
        <x:f>1-F1983/M1983</x:f>
        <x:v>0</x:v>
      </x:c>
    </x:row>
    <x:row r="1984" ht="27" customHeight="1">
      <x:c r="A1984" s="66" t="str">
        <x:v>SEV580</x:v>
      </x:c>
      <x:c r="B1984" s="66" t="str">
        <x:v>祁腾蜂赢1号</x:v>
      </x:c>
      <x:c r="C1984" s="72" t="n">
        <x:v>43874</x:v>
      </x:c>
      <x:c r="D1984" s="73" t="n">
        <x:v>1.0258</x:v>
      </x:c>
      <x:c r="E1984" s="73" t="n">
        <x:v>1.1282</x:v>
      </x:c>
      <x:c r="F1984" s="73" t="n">
        <x:v>1.1332</x:v>
      </x:c>
      <x:c r="G1984" s="74" t="n">
        <x:v>0.0004</x:v>
      </x:c>
      <x:c r="H1984" s="66" t="str">
        <x:v>祁腾蜂赢1号净值20260911.xlsx</x:v>
      </x:c>
      <x:c r="I1984" s="73" t="str">
        <x:f>""</x:f>
      </x:c>
      <x:c r="J1984" s="74" t="str">
        <x:f>""</x:f>
      </x:c>
      <x:c r="K1984" s="73" t="str">
        <x:f>""</x:f>
      </x:c>
      <x:c r="L1984" s="74" t="str">
        <x:f>""</x:f>
      </x:c>
      <x:c r="M1984" s="73" t="n">
        <x:f>MAX(M1983,F1984)</x:f>
        <x:v>1.1332</x:v>
      </x:c>
      <x:c r="N1984" s="74" t="n">
        <x:f>1-F1984/M1984</x:f>
        <x:v>0</x:v>
      </x:c>
    </x:row>
    <x:row r="1985" ht="27" customHeight="1">
      <x:c r="A1985" s="66" t="str">
        <x:v>SEV580</x:v>
      </x:c>
      <x:c r="B1985" s="66" t="str">
        <x:v>祁腾蜂赢1号</x:v>
      </x:c>
      <x:c r="C1985" s="72" t="n">
        <x:v>43875</x:v>
      </x:c>
      <x:c r="D1985" s="73" t="n">
        <x:v>1.0256</x:v>
      </x:c>
      <x:c r="E1985" s="73" t="n">
        <x:v>1.128</x:v>
      </x:c>
      <x:c r="F1985" s="73" t="n">
        <x:v>1.133</x:v>
      </x:c>
      <x:c r="G1985" s="74" t="n">
        <x:v>-0.0002</x:v>
      </x:c>
      <x:c r="H1985" s="66" t="str">
        <x:v>祁腾蜂赢1号净值20260911.xlsx</x:v>
      </x:c>
      <x:c r="I1985" s="73" t="str">
        <x:f>""</x:f>
      </x:c>
      <x:c r="J1985" s="74" t="str">
        <x:f>""</x:f>
      </x:c>
      <x:c r="K1985" s="73" t="str">
        <x:f>""</x:f>
      </x:c>
      <x:c r="L1985" s="74" t="str">
        <x:f>""</x:f>
      </x:c>
      <x:c r="M1985" s="73" t="n">
        <x:f>MAX(M1984,F1985)</x:f>
        <x:v>1.1332</x:v>
      </x:c>
      <x:c r="N1985" s="74" t="n">
        <x:f>1-F1985/M1985</x:f>
        <x:v>0.00017649135192376875</x:v>
      </x:c>
    </x:row>
    <x:row r="1986" ht="27" customHeight="1">
      <x:c r="A1986" s="66" t="str">
        <x:v>SEV580</x:v>
      </x:c>
      <x:c r="B1986" s="66" t="str">
        <x:v>祁腾蜂赢1号</x:v>
      </x:c>
      <x:c r="C1986" s="72" t="n">
        <x:v>43878</x:v>
      </x:c>
      <x:c r="D1986" s="73" t="n">
        <x:v>1.0266</x:v>
      </x:c>
      <x:c r="E1986" s="73" t="n">
        <x:v>1.129</x:v>
      </x:c>
      <x:c r="F1986" s="73" t="n">
        <x:v>1.1341</x:v>
      </x:c>
      <x:c r="G1986" s="74" t="n">
        <x:v>0.001</x:v>
      </x:c>
      <x:c r="H1986" s="66" t="str">
        <x:v>祁腾蜂赢1号净值20260911.xlsx</x:v>
      </x:c>
      <x:c r="I1986" s="73" t="str">
        <x:f>""</x:f>
      </x:c>
      <x:c r="J1986" s="74" t="str">
        <x:f>""</x:f>
      </x:c>
      <x:c r="K1986" s="73" t="str">
        <x:f>""</x:f>
      </x:c>
      <x:c r="L1986" s="74" t="str">
        <x:f>""</x:f>
      </x:c>
      <x:c r="M1986" s="73" t="n">
        <x:f>MAX(M1985,F1986)</x:f>
        <x:v>1.1341</x:v>
      </x:c>
      <x:c r="N1986" s="74" t="n">
        <x:f>1-F1986/M1986</x:f>
        <x:v>0</x:v>
      </x:c>
    </x:row>
    <x:row r="1987" ht="27" customHeight="1">
      <x:c r="A1987" s="66" t="str">
        <x:v>SEV580</x:v>
      </x:c>
      <x:c r="B1987" s="66" t="str">
        <x:v>祁腾蜂赢1号</x:v>
      </x:c>
      <x:c r="C1987" s="72" t="n">
        <x:v>43879</x:v>
      </x:c>
      <x:c r="D1987" s="73" t="n">
        <x:v>1.027</x:v>
      </x:c>
      <x:c r="E1987" s="73" t="n">
        <x:v>1.1294</x:v>
      </x:c>
      <x:c r="F1987" s="73" t="n">
        <x:v>1.1345</x:v>
      </x:c>
      <x:c r="G1987" s="74" t="n">
        <x:v>0.0004</x:v>
      </x:c>
      <x:c r="H1987" s="66" t="str">
        <x:v>祁腾蜂赢1号净值20260911.xlsx</x:v>
      </x:c>
      <x:c r="I1987" s="73" t="str">
        <x:f>""</x:f>
      </x:c>
      <x:c r="J1987" s="74" t="str">
        <x:f>""</x:f>
      </x:c>
      <x:c r="K1987" s="73" t="str">
        <x:f>""</x:f>
      </x:c>
      <x:c r="L1987" s="74" t="str">
        <x:f>""</x:f>
      </x:c>
      <x:c r="M1987" s="73" t="n">
        <x:f>MAX(M1986,F1987)</x:f>
        <x:v>1.1345</x:v>
      </x:c>
      <x:c r="N1987" s="74" t="n">
        <x:f>1-F1987/M1987</x:f>
        <x:v>0</x:v>
      </x:c>
    </x:row>
    <x:row r="1988" ht="27" customHeight="1">
      <x:c r="A1988" s="66" t="str">
        <x:v>SEV580</x:v>
      </x:c>
      <x:c r="B1988" s="66" t="str">
        <x:v>祁腾蜂赢1号</x:v>
      </x:c>
      <x:c r="C1988" s="72" t="n">
        <x:v>43880</x:v>
      </x:c>
      <x:c r="D1988" s="73" t="n">
        <x:v>1.0278</x:v>
      </x:c>
      <x:c r="E1988" s="73" t="n">
        <x:v>1.1302</x:v>
      </x:c>
      <x:c r="F1988" s="73" t="n">
        <x:v>1.1354</x:v>
      </x:c>
      <x:c r="G1988" s="74" t="n">
        <x:v>0.0008</x:v>
      </x:c>
      <x:c r="H1988" s="66" t="str">
        <x:v>祁腾蜂赢1号净值20260911.xlsx</x:v>
      </x:c>
      <x:c r="I1988" s="73" t="str">
        <x:f>""</x:f>
      </x:c>
      <x:c r="J1988" s="74" t="str">
        <x:f>""</x:f>
      </x:c>
      <x:c r="K1988" s="73" t="str">
        <x:f>""</x:f>
      </x:c>
      <x:c r="L1988" s="74" t="str">
        <x:f>""</x:f>
      </x:c>
      <x:c r="M1988" s="73" t="n">
        <x:f>MAX(M1987,F1988)</x:f>
        <x:v>1.1354</x:v>
      </x:c>
      <x:c r="N1988" s="74" t="n">
        <x:f>1-F1988/M1988</x:f>
        <x:v>0</x:v>
      </x:c>
    </x:row>
    <x:row r="1989" ht="27" customHeight="1">
      <x:c r="A1989" s="66" t="str">
        <x:v>SEV580</x:v>
      </x:c>
      <x:c r="B1989" s="66" t="str">
        <x:v>祁腾蜂赢1号</x:v>
      </x:c>
      <x:c r="C1989" s="72" t="n">
        <x:v>43881</x:v>
      </x:c>
      <x:c r="D1989" s="73" t="n">
        <x:v>1.028</x:v>
      </x:c>
      <x:c r="E1989" s="73" t="n">
        <x:v>1.1304</x:v>
      </x:c>
      <x:c r="F1989" s="73" t="n">
        <x:v>1.1357</x:v>
      </x:c>
      <x:c r="G1989" s="74" t="n">
        <x:v>0.0002</x:v>
      </x:c>
      <x:c r="H1989" s="66" t="str">
        <x:v>祁腾蜂赢1号净值20260911.xlsx</x:v>
      </x:c>
      <x:c r="I1989" s="73" t="str">
        <x:f>""</x:f>
      </x:c>
      <x:c r="J1989" s="74" t="str">
        <x:f>""</x:f>
      </x:c>
      <x:c r="K1989" s="73" t="str">
        <x:f>""</x:f>
      </x:c>
      <x:c r="L1989" s="74" t="str">
        <x:f>""</x:f>
      </x:c>
      <x:c r="M1989" s="73" t="n">
        <x:f>MAX(M1988,F1989)</x:f>
        <x:v>1.1357</x:v>
      </x:c>
      <x:c r="N1989" s="74" t="n">
        <x:f>1-F1989/M1989</x:f>
        <x:v>0</x:v>
      </x:c>
    </x:row>
    <x:row r="1990" ht="27" customHeight="1">
      <x:c r="A1990" s="66" t="str">
        <x:v>SEV580</x:v>
      </x:c>
      <x:c r="B1990" s="66" t="str">
        <x:v>祁腾蜂赢1号</x:v>
      </x:c>
      <x:c r="C1990" s="72" t="n">
        <x:v>43882</x:v>
      </x:c>
      <x:c r="D1990" s="73" t="n">
        <x:v>1.0267</x:v>
      </x:c>
      <x:c r="E1990" s="73" t="n">
        <x:v>1.1291</x:v>
      </x:c>
      <x:c r="F1990" s="73" t="n">
        <x:v>1.1342</x:v>
      </x:c>
      <x:c r="G1990" s="74" t="n">
        <x:v>-0.0013</x:v>
      </x:c>
      <x:c r="H1990" s="66" t="str">
        <x:v>祁腾蜂赢1号净值20260911.xlsx</x:v>
      </x:c>
      <x:c r="I1990" s="73" t="str">
        <x:f>""</x:f>
      </x:c>
      <x:c r="J1990" s="74" t="str">
        <x:f>""</x:f>
      </x:c>
      <x:c r="K1990" s="73" t="str">
        <x:f>""</x:f>
      </x:c>
      <x:c r="L1990" s="74" t="str">
        <x:f>""</x:f>
      </x:c>
      <x:c r="M1990" s="73" t="n">
        <x:f>MAX(M1989,F1990)</x:f>
        <x:v>1.1357</x:v>
      </x:c>
      <x:c r="N1990" s="74" t="n">
        <x:f>1-F1990/M1990</x:f>
        <x:v>0.001320771330456827</x:v>
      </x:c>
    </x:row>
    <x:row r="1991" ht="27" customHeight="1">
      <x:c r="A1991" s="66" t="str">
        <x:v>SEV580</x:v>
      </x:c>
      <x:c r="B1991" s="66" t="str">
        <x:v>祁腾蜂赢1号</x:v>
      </x:c>
      <x:c r="C1991" s="72" t="n">
        <x:v>43885</x:v>
      </x:c>
      <x:c r="D1991" s="73" t="n">
        <x:v>1.0278</x:v>
      </x:c>
      <x:c r="E1991" s="73" t="n">
        <x:v>1.1302</x:v>
      </x:c>
      <x:c r="F1991" s="73" t="n">
        <x:v>1.1354</x:v>
      </x:c>
      <x:c r="G1991" s="74" t="n">
        <x:v>0.0011</x:v>
      </x:c>
      <x:c r="H1991" s="66" t="str">
        <x:v>祁腾蜂赢1号净值20260911.xlsx</x:v>
      </x:c>
      <x:c r="I1991" s="73" t="str">
        <x:f>""</x:f>
      </x:c>
      <x:c r="J1991" s="74" t="str">
        <x:f>""</x:f>
      </x:c>
      <x:c r="K1991" s="73" t="str">
        <x:f>""</x:f>
      </x:c>
      <x:c r="L1991" s="74" t="str">
        <x:f>""</x:f>
      </x:c>
      <x:c r="M1991" s="73" t="n">
        <x:f>MAX(M1990,F1991)</x:f>
        <x:v>1.1357</x:v>
      </x:c>
      <x:c r="N1991" s="74" t="n">
        <x:f>1-F1991/M1991</x:f>
        <x:v>0.0002641542660913876</x:v>
      </x:c>
    </x:row>
    <x:row r="1992" ht="27" customHeight="1">
      <x:c r="A1992" s="66" t="str">
        <x:v>SEV580</x:v>
      </x:c>
      <x:c r="B1992" s="66" t="str">
        <x:v>祁腾蜂赢1号</x:v>
      </x:c>
      <x:c r="C1992" s="72" t="n">
        <x:v>43886</x:v>
      </x:c>
      <x:c r="D1992" s="73" t="n">
        <x:v>1.0296</x:v>
      </x:c>
      <x:c r="E1992" s="73" t="n">
        <x:v>1.132</x:v>
      </x:c>
      <x:c r="F1992" s="73" t="n">
        <x:v>1.1374</x:v>
      </x:c>
      <x:c r="G1992" s="74" t="n">
        <x:v>0.0018</x:v>
      </x:c>
      <x:c r="H1992" s="66" t="str">
        <x:v>祁腾蜂赢1号净值20260911.xlsx</x:v>
      </x:c>
      <x:c r="I1992" s="73" t="str">
        <x:f>""</x:f>
      </x:c>
      <x:c r="J1992" s="74" t="str">
        <x:f>""</x:f>
      </x:c>
      <x:c r="K1992" s="73" t="str">
        <x:f>""</x:f>
      </x:c>
      <x:c r="L1992" s="74" t="str">
        <x:f>""</x:f>
      </x:c>
      <x:c r="M1992" s="73" t="n">
        <x:f>MAX(M1991,F1992)</x:f>
        <x:v>1.1374</x:v>
      </x:c>
      <x:c r="N1992" s="74" t="n">
        <x:f>1-F1992/M1992</x:f>
        <x:v>0</x:v>
      </x:c>
    </x:row>
    <x:row r="1993" ht="27" customHeight="1">
      <x:c r="A1993" s="66" t="str">
        <x:v>SEV580</x:v>
      </x:c>
      <x:c r="B1993" s="66" t="str">
        <x:v>祁腾蜂赢1号</x:v>
      </x:c>
      <x:c r="C1993" s="72" t="n">
        <x:v>43887</x:v>
      </x:c>
      <x:c r="D1993" s="73" t="n">
        <x:v>1.0307</x:v>
      </x:c>
      <x:c r="E1993" s="73" t="n">
        <x:v>1.1331</x:v>
      </x:c>
      <x:c r="F1993" s="73" t="n">
        <x:v>1.1386</x:v>
      </x:c>
      <x:c r="G1993" s="74" t="n">
        <x:v>0.0011</x:v>
      </x:c>
      <x:c r="H1993" s="66" t="str">
        <x:v>祁腾蜂赢1号净值20260911.xlsx</x:v>
      </x:c>
      <x:c r="I1993" s="73" t="str">
        <x:f>""</x:f>
      </x:c>
      <x:c r="J1993" s="74" t="str">
        <x:f>""</x:f>
      </x:c>
      <x:c r="K1993" s="73" t="str">
        <x:f>""</x:f>
      </x:c>
      <x:c r="L1993" s="74" t="str">
        <x:f>""</x:f>
      </x:c>
      <x:c r="M1993" s="73" t="n">
        <x:f>MAX(M1992,F1993)</x:f>
        <x:v>1.1386</x:v>
      </x:c>
      <x:c r="N1993" s="74" t="n">
        <x:f>1-F1993/M1993</x:f>
        <x:v>0</x:v>
      </x:c>
    </x:row>
    <x:row r="1994" ht="27" customHeight="1">
      <x:c r="A1994" s="66" t="str">
        <x:v>SEV580</x:v>
      </x:c>
      <x:c r="B1994" s="66" t="str">
        <x:v>祁腾蜂赢1号</x:v>
      </x:c>
      <x:c r="C1994" s="72" t="n">
        <x:v>43888</x:v>
      </x:c>
      <x:c r="D1994" s="73" t="n">
        <x:v>1.0312</x:v>
      </x:c>
      <x:c r="E1994" s="73" t="n">
        <x:v>1.1336</x:v>
      </x:c>
      <x:c r="F1994" s="73" t="n">
        <x:v>1.1392</x:v>
      </x:c>
      <x:c r="G1994" s="74" t="n">
        <x:v>0.0005</x:v>
      </x:c>
      <x:c r="H1994" s="66" t="str">
        <x:v>祁腾蜂赢1号净值20260911.xlsx</x:v>
      </x:c>
      <x:c r="I1994" s="73" t="str">
        <x:f>""</x:f>
      </x:c>
      <x:c r="J1994" s="74" t="str">
        <x:f>""</x:f>
      </x:c>
      <x:c r="K1994" s="73" t="str">
        <x:f>""</x:f>
      </x:c>
      <x:c r="L1994" s="74" t="str">
        <x:f>""</x:f>
      </x:c>
      <x:c r="M1994" s="73" t="n">
        <x:f>MAX(M1993,F1994)</x:f>
        <x:v>1.1392</x:v>
      </x:c>
      <x:c r="N1994" s="74" t="n">
        <x:f>1-F1994/M1994</x:f>
        <x:v>0</x:v>
      </x:c>
    </x:row>
    <x:row r="1995" ht="27" customHeight="1">
      <x:c r="A1995" s="66" t="str">
        <x:v>SEV580</x:v>
      </x:c>
      <x:c r="B1995" s="66" t="str">
        <x:v>祁腾蜂赢1号</x:v>
      </x:c>
      <x:c r="C1995" s="72" t="n">
        <x:v>43889</x:v>
      </x:c>
      <x:c r="D1995" s="73" t="n">
        <x:v>1.0346</x:v>
      </x:c>
      <x:c r="E1995" s="73" t="n">
        <x:v>1.137</x:v>
      </x:c>
      <x:c r="F1995" s="73" t="n">
        <x:v>1.1429</x:v>
      </x:c>
      <x:c r="G1995" s="74" t="n">
        <x:v>0.0033</x:v>
      </x:c>
      <x:c r="H1995" s="66" t="str">
        <x:v>祁腾蜂赢1号净值20260911.xlsx</x:v>
      </x:c>
      <x:c r="I1995" s="73" t="str">
        <x:f>""</x:f>
      </x:c>
      <x:c r="J1995" s="74" t="str">
        <x:f>""</x:f>
      </x:c>
      <x:c r="K1995" s="73" t="str">
        <x:f>""</x:f>
      </x:c>
      <x:c r="L1995" s="74" t="str">
        <x:f>""</x:f>
      </x:c>
      <x:c r="M1995" s="73" t="n">
        <x:f>MAX(M1994,F1995)</x:f>
        <x:v>1.1429</x:v>
      </x:c>
      <x:c r="N1995" s="74" t="n">
        <x:f>1-F1995/M1995</x:f>
        <x:v>0</x:v>
      </x:c>
    </x:row>
    <x:row r="1996" ht="27" customHeight="1">
      <x:c r="A1996" s="66" t="str">
        <x:v>SEV580</x:v>
      </x:c>
      <x:c r="B1996" s="66" t="str">
        <x:v>祁腾蜂赢1号</x:v>
      </x:c>
      <x:c r="C1996" s="72" t="n">
        <x:v>43892</x:v>
      </x:c>
      <x:c r="D1996" s="73" t="n">
        <x:v>1.0358</x:v>
      </x:c>
      <x:c r="E1996" s="73" t="n">
        <x:v>1.1382</x:v>
      </x:c>
      <x:c r="F1996" s="73" t="n">
        <x:v>1.1443</x:v>
      </x:c>
      <x:c r="G1996" s="74" t="n">
        <x:v>0.0012</x:v>
      </x:c>
      <x:c r="H1996" s="66" t="str">
        <x:v>祁腾蜂赢1号净值20260911.xlsx</x:v>
      </x:c>
      <x:c r="I1996" s="73" t="str">
        <x:f>""</x:f>
      </x:c>
      <x:c r="J1996" s="74" t="str">
        <x:f>""</x:f>
      </x:c>
      <x:c r="K1996" s="73" t="str">
        <x:f>""</x:f>
      </x:c>
      <x:c r="L1996" s="74" t="str">
        <x:f>""</x:f>
      </x:c>
      <x:c r="M1996" s="73" t="n">
        <x:f>MAX(M1995,F1996)</x:f>
        <x:v>1.1443</x:v>
      </x:c>
      <x:c r="N1996" s="74" t="n">
        <x:f>1-F1996/M1996</x:f>
        <x:v>0</x:v>
      </x:c>
    </x:row>
    <x:row r="1997" ht="27" customHeight="1">
      <x:c r="A1997" s="66" t="str">
        <x:v>SEV580</x:v>
      </x:c>
      <x:c r="B1997" s="66" t="str">
        <x:v>祁腾蜂赢1号</x:v>
      </x:c>
      <x:c r="C1997" s="72" t="n">
        <x:v>43893</x:v>
      </x:c>
      <x:c r="D1997" s="73" t="n">
        <x:v>1.0365</x:v>
      </x:c>
      <x:c r="E1997" s="73" t="n">
        <x:v>1.1389</x:v>
      </x:c>
      <x:c r="F1997" s="73" t="n">
        <x:v>1.145</x:v>
      </x:c>
      <x:c r="G1997" s="74" t="n">
        <x:v>0.0007000000000000001</x:v>
      </x:c>
      <x:c r="H1997" s="66" t="str">
        <x:v>祁腾蜂赢1号净值20260911.xlsx</x:v>
      </x:c>
      <x:c r="I1997" s="73" t="str">
        <x:f>""</x:f>
      </x:c>
      <x:c r="J1997" s="74" t="str">
        <x:f>""</x:f>
      </x:c>
      <x:c r="K1997" s="73" t="str">
        <x:f>""</x:f>
      </x:c>
      <x:c r="L1997" s="74" t="str">
        <x:f>""</x:f>
      </x:c>
      <x:c r="M1997" s="73" t="n">
        <x:f>MAX(M1996,F1997)</x:f>
        <x:v>1.145</x:v>
      </x:c>
      <x:c r="N1997" s="74" t="n">
        <x:f>1-F1997/M1997</x:f>
        <x:v>0</x:v>
      </x:c>
    </x:row>
    <x:row r="1998" ht="27" customHeight="1">
      <x:c r="A1998" s="66" t="str">
        <x:v>SEV580</x:v>
      </x:c>
      <x:c r="B1998" s="66" t="str">
        <x:v>祁腾蜂赢1号</x:v>
      </x:c>
      <x:c r="C1998" s="72" t="n">
        <x:v>43894</x:v>
      </x:c>
      <x:c r="D1998" s="73" t="n">
        <x:v>1.0362</x:v>
      </x:c>
      <x:c r="E1998" s="73" t="n">
        <x:v>1.1386</x:v>
      </x:c>
      <x:c r="F1998" s="73" t="n">
        <x:v>1.1447</x:v>
      </x:c>
      <x:c r="G1998" s="74" t="n">
        <x:v>-0.0003</x:v>
      </x:c>
      <x:c r="H1998" s="66" t="str">
        <x:v>祁腾蜂赢1号净值20260911.xlsx</x:v>
      </x:c>
      <x:c r="I1998" s="73" t="str">
        <x:f>""</x:f>
      </x:c>
      <x:c r="J1998" s="74" t="str">
        <x:f>""</x:f>
      </x:c>
      <x:c r="K1998" s="73" t="str">
        <x:f>""</x:f>
      </x:c>
      <x:c r="L1998" s="74" t="str">
        <x:f>""</x:f>
      </x:c>
      <x:c r="M1998" s="73" t="n">
        <x:f>MAX(M1997,F1998)</x:f>
        <x:v>1.145</x:v>
      </x:c>
      <x:c r="N1998" s="74" t="n">
        <x:f>1-F1998/M1998</x:f>
        <x:v>0.00026200873362447474</x:v>
      </x:c>
    </x:row>
    <x:row r="1999" ht="27" customHeight="1">
      <x:c r="A1999" s="66" t="str">
        <x:v>SEV580</x:v>
      </x:c>
      <x:c r="B1999" s="66" t="str">
        <x:v>祁腾蜂赢1号</x:v>
      </x:c>
      <x:c r="C1999" s="72" t="n">
        <x:v>43895</x:v>
      </x:c>
      <x:c r="D1999" s="73" t="n">
        <x:v>1.0434</x:v>
      </x:c>
      <x:c r="E1999" s="73" t="n">
        <x:v>1.1458</x:v>
      </x:c>
      <x:c r="F1999" s="73" t="n">
        <x:v>1.1527</x:v>
      </x:c>
      <x:c r="G1999" s="74" t="n">
        <x:v>0.0069</x:v>
      </x:c>
      <x:c r="H1999" s="66" t="str">
        <x:v>祁腾蜂赢1号净值20260911.xlsx</x:v>
      </x:c>
      <x:c r="I1999" s="73" t="str">
        <x:f>""</x:f>
      </x:c>
      <x:c r="J1999" s="74" t="str">
        <x:f>""</x:f>
      </x:c>
      <x:c r="K1999" s="73" t="str">
        <x:f>""</x:f>
      </x:c>
      <x:c r="L1999" s="74" t="str">
        <x:f>""</x:f>
      </x:c>
      <x:c r="M1999" s="73" t="n">
        <x:f>MAX(M1998,F1999)</x:f>
        <x:v>1.1527</x:v>
      </x:c>
      <x:c r="N1999" s="74" t="n">
        <x:f>1-F1999/M1999</x:f>
        <x:v>0</x:v>
      </x:c>
    </x:row>
    <x:row r="2000" ht="27" customHeight="1">
      <x:c r="A2000" s="66" t="str">
        <x:v>SEV580</x:v>
      </x:c>
      <x:c r="B2000" s="66" t="str">
        <x:v>祁腾蜂赢1号</x:v>
      </x:c>
      <x:c r="C2000" s="72" t="n">
        <x:v>43896</x:v>
      </x:c>
      <x:c r="D2000" s="73" t="n">
        <x:v>1.0432</x:v>
      </x:c>
      <x:c r="E2000" s="73" t="n">
        <x:v>1.1456</x:v>
      </x:c>
      <x:c r="F2000" s="73" t="n">
        <x:v>1.1524</x:v>
      </x:c>
      <x:c r="G2000" s="74" t="n">
        <x:v>-0.0002</x:v>
      </x:c>
      <x:c r="H2000" s="66" t="str">
        <x:v>祁腾蜂赢1号净值20260911.xlsx</x:v>
      </x:c>
      <x:c r="I2000" s="73" t="str">
        <x:f>""</x:f>
      </x:c>
      <x:c r="J2000" s="74" t="str">
        <x:f>""</x:f>
      </x:c>
      <x:c r="K2000" s="73" t="str">
        <x:f>""</x:f>
      </x:c>
      <x:c r="L2000" s="74" t="str">
        <x:f>""</x:f>
      </x:c>
      <x:c r="M2000" s="73" t="n">
        <x:f>MAX(M1999,F2000)</x:f>
        <x:v>1.1527</x:v>
      </x:c>
      <x:c r="N2000" s="74" t="n">
        <x:f>1-F2000/M2000</x:f>
        <x:v>0.0002602585234665611</x:v>
      </x:c>
    </x:row>
    <x:row r="2001" ht="27" customHeight="1">
      <x:c r="A2001" s="66" t="str">
        <x:v>SEV580</x:v>
      </x:c>
      <x:c r="B2001" s="66" t="str">
        <x:v>祁腾蜂赢1号</x:v>
      </x:c>
      <x:c r="C2001" s="72" t="n">
        <x:v>43899</x:v>
      </x:c>
      <x:c r="D2001" s="73" t="n">
        <x:v>1.0435</x:v>
      </x:c>
      <x:c r="E2001" s="73" t="n">
        <x:v>1.1459</x:v>
      </x:c>
      <x:c r="F2001" s="73" t="n">
        <x:v>1.1528</x:v>
      </x:c>
      <x:c r="G2001" s="74" t="n">
        <x:v>0.0003</x:v>
      </x:c>
      <x:c r="H2001" s="66" t="str">
        <x:v>祁腾蜂赢1号净值20260911.xlsx</x:v>
      </x:c>
      <x:c r="I2001" s="73" t="str">
        <x:f>""</x:f>
      </x:c>
      <x:c r="J2001" s="74" t="str">
        <x:f>""</x:f>
      </x:c>
      <x:c r="K2001" s="73" t="str">
        <x:f>""</x:f>
      </x:c>
      <x:c r="L2001" s="74" t="str">
        <x:f>""</x:f>
      </x:c>
      <x:c r="M2001" s="73" t="n">
        <x:f>MAX(M2000,F2001)</x:f>
        <x:v>1.1528</x:v>
      </x:c>
      <x:c r="N2001" s="74" t="n">
        <x:f>1-F2001/M2001</x:f>
        <x:v>0</x:v>
      </x:c>
    </x:row>
    <x:row r="2002" ht="27" customHeight="1">
      <x:c r="A2002" s="66" t="str">
        <x:v>SEV580</x:v>
      </x:c>
      <x:c r="B2002" s="66" t="str">
        <x:v>祁腾蜂赢1号</x:v>
      </x:c>
      <x:c r="C2002" s="72" t="n">
        <x:v>43900</x:v>
      </x:c>
      <x:c r="D2002" s="73" t="n">
        <x:v>1.0484</x:v>
      </x:c>
      <x:c r="E2002" s="73" t="n">
        <x:v>1.1508</x:v>
      </x:c>
      <x:c r="F2002" s="73" t="n">
        <x:v>1.1582</x:v>
      </x:c>
      <x:c r="G2002" s="74" t="n">
        <x:v>0.004699999999999999</x:v>
      </x:c>
      <x:c r="H2002" s="66" t="str">
        <x:v>祁腾蜂赢1号净值20260911.xlsx</x:v>
      </x:c>
      <x:c r="I2002" s="73" t="str">
        <x:f>""</x:f>
      </x:c>
      <x:c r="J2002" s="74" t="str">
        <x:f>""</x:f>
      </x:c>
      <x:c r="K2002" s="73" t="str">
        <x:f>""</x:f>
      </x:c>
      <x:c r="L2002" s="74" t="str">
        <x:f>""</x:f>
      </x:c>
      <x:c r="M2002" s="73" t="n">
        <x:f>MAX(M2001,F2002)</x:f>
        <x:v>1.1582</x:v>
      </x:c>
      <x:c r="N2002" s="74" t="n">
        <x:f>1-F2002/M2002</x:f>
        <x:v>0</x:v>
      </x:c>
    </x:row>
    <x:row r="2003" ht="27" customHeight="1">
      <x:c r="A2003" s="66" t="str">
        <x:v>SEV580</x:v>
      </x:c>
      <x:c r="B2003" s="66" t="str">
        <x:v>祁腾蜂赢1号</x:v>
      </x:c>
      <x:c r="C2003" s="72" t="n">
        <x:v>43901</x:v>
      </x:c>
      <x:c r="D2003" s="73" t="n">
        <x:v>1.0578</x:v>
      </x:c>
      <x:c r="E2003" s="73" t="n">
        <x:v>1.1602</x:v>
      </x:c>
      <x:c r="F2003" s="73" t="n">
        <x:v>1.1686</x:v>
      </x:c>
      <x:c r="G2003" s="74" t="n">
        <x:v>0.009000000000000001</x:v>
      </x:c>
      <x:c r="H2003" s="66" t="str">
        <x:v>祁腾蜂赢1号净值20260911.xlsx</x:v>
      </x:c>
      <x:c r="I2003" s="73" t="str">
        <x:f>""</x:f>
      </x:c>
      <x:c r="J2003" s="74" t="str">
        <x:f>""</x:f>
      </x:c>
      <x:c r="K2003" s="73" t="str">
        <x:f>""</x:f>
      </x:c>
      <x:c r="L2003" s="74" t="str">
        <x:f>""</x:f>
      </x:c>
      <x:c r="M2003" s="73" t="n">
        <x:f>MAX(M2002,F2003)</x:f>
        <x:v>1.1686</x:v>
      </x:c>
      <x:c r="N2003" s="74" t="n">
        <x:f>1-F2003/M2003</x:f>
        <x:v>0</x:v>
      </x:c>
    </x:row>
    <x:row r="2004" ht="27" customHeight="1">
      <x:c r="A2004" s="66" t="str">
        <x:v>SEV580</x:v>
      </x:c>
      <x:c r="B2004" s="66" t="str">
        <x:v>祁腾蜂赢1号</x:v>
      </x:c>
      <x:c r="C2004" s="72" t="n">
        <x:v>43902</x:v>
      </x:c>
      <x:c r="D2004" s="73" t="n">
        <x:v>1.0625</x:v>
      </x:c>
      <x:c r="E2004" s="73" t="n">
        <x:v>1.1649</x:v>
      </x:c>
      <x:c r="F2004" s="73" t="n">
        <x:v>1.1738</x:v>
      </x:c>
      <x:c r="G2004" s="74" t="n">
        <x:v>0.0044</x:v>
      </x:c>
      <x:c r="H2004" s="66" t="str">
        <x:v>祁腾蜂赢1号净值20260911.xlsx</x:v>
      </x:c>
      <x:c r="I2004" s="73" t="str">
        <x:f>""</x:f>
      </x:c>
      <x:c r="J2004" s="74" t="str">
        <x:f>""</x:f>
      </x:c>
      <x:c r="K2004" s="73" t="str">
        <x:f>""</x:f>
      </x:c>
      <x:c r="L2004" s="74" t="str">
        <x:f>""</x:f>
      </x:c>
      <x:c r="M2004" s="73" t="n">
        <x:f>MAX(M2003,F2004)</x:f>
        <x:v>1.1738</x:v>
      </x:c>
      <x:c r="N2004" s="74" t="n">
        <x:f>1-F2004/M2004</x:f>
        <x:v>0</x:v>
      </x:c>
    </x:row>
    <x:row r="2005" ht="27" customHeight="1">
      <x:c r="A2005" s="66" t="str">
        <x:v>SEV580</x:v>
      </x:c>
      <x:c r="B2005" s="66" t="str">
        <x:v>祁腾蜂赢1号</x:v>
      </x:c>
      <x:c r="C2005" s="72" t="n">
        <x:v>43903</x:v>
      </x:c>
      <x:c r="D2005" s="73" t="n">
        <x:v>1.0721</x:v>
      </x:c>
      <x:c r="E2005" s="73" t="n">
        <x:v>1.1745</x:v>
      </x:c>
      <x:c r="F2005" s="73" t="n">
        <x:v>1.1844</x:v>
      </x:c>
      <x:c r="G2005" s="74" t="n">
        <x:v>0.009000000000000001</x:v>
      </x:c>
      <x:c r="H2005" s="66" t="str">
        <x:v>祁腾蜂赢1号净值20260911.xlsx</x:v>
      </x:c>
      <x:c r="I2005" s="73" t="str">
        <x:f>""</x:f>
      </x:c>
      <x:c r="J2005" s="74" t="str">
        <x:f>""</x:f>
      </x:c>
      <x:c r="K2005" s="73" t="str">
        <x:f>""</x:f>
      </x:c>
      <x:c r="L2005" s="74" t="str">
        <x:f>""</x:f>
      </x:c>
      <x:c r="M2005" s="73" t="n">
        <x:f>MAX(M2004,F2005)</x:f>
        <x:v>1.1844</x:v>
      </x:c>
      <x:c r="N2005" s="74" t="n">
        <x:f>1-F2005/M2005</x:f>
        <x:v>0</x:v>
      </x:c>
    </x:row>
    <x:row r="2006" ht="27" customHeight="1">
      <x:c r="A2006" s="66" t="str">
        <x:v>SEV580</x:v>
      </x:c>
      <x:c r="B2006" s="66" t="str">
        <x:v>祁腾蜂赢1号</x:v>
      </x:c>
      <x:c r="C2006" s="72" t="n">
        <x:v>43906</x:v>
      </x:c>
      <x:c r="D2006" s="73" t="n">
        <x:v>1.0738</x:v>
      </x:c>
      <x:c r="E2006" s="73" t="n">
        <x:v>1.1762</x:v>
      </x:c>
      <x:c r="F2006" s="73" t="n">
        <x:v>1.1863</x:v>
      </x:c>
      <x:c r="G2006" s="74" t="n">
        <x:v>0.0016</x:v>
      </x:c>
      <x:c r="H2006" s="66" t="str">
        <x:v>祁腾蜂赢1号净值20260911.xlsx</x:v>
      </x:c>
      <x:c r="I2006" s="73" t="str">
        <x:f>""</x:f>
      </x:c>
      <x:c r="J2006" s="74" t="str">
        <x:f>""</x:f>
      </x:c>
      <x:c r="K2006" s="73" t="str">
        <x:f>""</x:f>
      </x:c>
      <x:c r="L2006" s="74" t="str">
        <x:f>""</x:f>
      </x:c>
      <x:c r="M2006" s="73" t="n">
        <x:f>MAX(M2005,F2006)</x:f>
        <x:v>1.1863</x:v>
      </x:c>
      <x:c r="N2006" s="74" t="n">
        <x:f>1-F2006/M2006</x:f>
        <x:v>0</x:v>
      </x:c>
    </x:row>
    <x:row r="2007" ht="27" customHeight="1">
      <x:c r="A2007" s="66" t="str">
        <x:v>SEV580</x:v>
      </x:c>
      <x:c r="B2007" s="66" t="str">
        <x:v>祁腾蜂赢1号</x:v>
      </x:c>
      <x:c r="C2007" s="72" t="n">
        <x:v>43907</x:v>
      </x:c>
      <x:c r="D2007" s="73" t="n">
        <x:v>1.0818</x:v>
      </x:c>
      <x:c r="E2007" s="73" t="n">
        <x:v>1.1842</x:v>
      </x:c>
      <x:c r="F2007" s="73" t="n">
        <x:v>1.1951</x:v>
      </x:c>
      <x:c r="G2007" s="74" t="n">
        <x:v>0.0075</x:v>
      </x:c>
      <x:c r="H2007" s="66" t="str">
        <x:v>祁腾蜂赢1号净值20260911.xlsx</x:v>
      </x:c>
      <x:c r="I2007" s="73" t="str">
        <x:f>""</x:f>
      </x:c>
      <x:c r="J2007" s="74" t="str">
        <x:f>""</x:f>
      </x:c>
      <x:c r="K2007" s="73" t="str">
        <x:f>""</x:f>
      </x:c>
      <x:c r="L2007" s="74" t="str">
        <x:f>""</x:f>
      </x:c>
      <x:c r="M2007" s="73" t="n">
        <x:f>MAX(M2006,F2007)</x:f>
        <x:v>1.1951</x:v>
      </x:c>
      <x:c r="N2007" s="74" t="n">
        <x:f>1-F2007/M2007</x:f>
        <x:v>0</x:v>
      </x:c>
    </x:row>
    <x:row r="2008" ht="27" customHeight="1">
      <x:c r="A2008" s="66" t="str">
        <x:v>SEV580</x:v>
      </x:c>
      <x:c r="B2008" s="66" t="str">
        <x:v>祁腾蜂赢1号</x:v>
      </x:c>
      <x:c r="C2008" s="72" t="n">
        <x:v>43908</x:v>
      </x:c>
      <x:c r="D2008" s="73" t="n">
        <x:v>1.0843</x:v>
      </x:c>
      <x:c r="E2008" s="73" t="n">
        <x:v>1.1867</x:v>
      </x:c>
      <x:c r="F2008" s="73" t="n">
        <x:v>1.1978</x:v>
      </x:c>
      <x:c r="G2008" s="74" t="n">
        <x:v>0.0023</x:v>
      </x:c>
      <x:c r="H2008" s="66" t="str">
        <x:v>祁腾蜂赢1号净值20260911.xlsx</x:v>
      </x:c>
      <x:c r="I2008" s="73" t="str">
        <x:f>""</x:f>
      </x:c>
      <x:c r="J2008" s="74" t="str">
        <x:f>""</x:f>
      </x:c>
      <x:c r="K2008" s="73" t="str">
        <x:f>""</x:f>
      </x:c>
      <x:c r="L2008" s="74" t="str">
        <x:f>""</x:f>
      </x:c>
      <x:c r="M2008" s="73" t="n">
        <x:f>MAX(M2007,F2008)</x:f>
        <x:v>1.1978</x:v>
      </x:c>
      <x:c r="N2008" s="74" t="n">
        <x:f>1-F2008/M2008</x:f>
        <x:v>0</x:v>
      </x:c>
    </x:row>
    <x:row r="2009" ht="27" customHeight="1">
      <x:c r="A2009" s="66" t="str">
        <x:v>SEV580</x:v>
      </x:c>
      <x:c r="B2009" s="66" t="str">
        <x:v>祁腾蜂赢1号</x:v>
      </x:c>
      <x:c r="C2009" s="72" t="n">
        <x:v>43909</x:v>
      </x:c>
      <x:c r="D2009" s="73" t="n">
        <x:v>1.0977</x:v>
      </x:c>
      <x:c r="E2009" s="73" t="n">
        <x:v>1.2001</x:v>
      </x:c>
      <x:c r="F2009" s="73" t="n">
        <x:v>1.2127</x:v>
      </x:c>
      <x:c r="G2009" s="74" t="n">
        <x:v>0.0124</x:v>
      </x:c>
      <x:c r="H2009" s="66" t="str">
        <x:v>祁腾蜂赢1号净值20260911.xlsx</x:v>
      </x:c>
      <x:c r="I2009" s="73" t="str">
        <x:f>""</x:f>
      </x:c>
      <x:c r="J2009" s="74" t="str">
        <x:f>""</x:f>
      </x:c>
      <x:c r="K2009" s="73" t="str">
        <x:f>""</x:f>
      </x:c>
      <x:c r="L2009" s="74" t="str">
        <x:f>""</x:f>
      </x:c>
      <x:c r="M2009" s="73" t="n">
        <x:f>MAX(M2008,F2009)</x:f>
        <x:v>1.2127</x:v>
      </x:c>
      <x:c r="N2009" s="74" t="n">
        <x:f>1-F2009/M2009</x:f>
        <x:v>0</x:v>
      </x:c>
    </x:row>
    <x:row r="2010" ht="27" customHeight="1">
      <x:c r="A2010" s="66" t="str">
        <x:v>SEV580</x:v>
      </x:c>
      <x:c r="B2010" s="66" t="str">
        <x:v>祁腾蜂赢1号</x:v>
      </x:c>
      <x:c r="C2010" s="72" t="n">
        <x:v>43910</x:v>
      </x:c>
      <x:c r="D2010" s="73" t="n">
        <x:v>1.1056</x:v>
      </x:c>
      <x:c r="E2010" s="73" t="n">
        <x:v>1.208</x:v>
      </x:c>
      <x:c r="F2010" s="73" t="n">
        <x:v>1.2214</x:v>
      </x:c>
      <x:c r="G2010" s="74" t="n">
        <x:v>0.0072</x:v>
      </x:c>
      <x:c r="H2010" s="66" t="str">
        <x:v>祁腾蜂赢1号净值20260911.xlsx</x:v>
      </x:c>
      <x:c r="I2010" s="73" t="str">
        <x:f>""</x:f>
      </x:c>
      <x:c r="J2010" s="74" t="str">
        <x:f>""</x:f>
      </x:c>
      <x:c r="K2010" s="73" t="str">
        <x:f>""</x:f>
      </x:c>
      <x:c r="L2010" s="74" t="str">
        <x:f>""</x:f>
      </x:c>
      <x:c r="M2010" s="73" t="n">
        <x:f>MAX(M2009,F2010)</x:f>
        <x:v>1.2214</x:v>
      </x:c>
      <x:c r="N2010" s="74" t="n">
        <x:f>1-F2010/M2010</x:f>
        <x:v>0</x:v>
      </x:c>
    </x:row>
    <x:row r="2011" ht="27" customHeight="1">
      <x:c r="A2011" s="66" t="str">
        <x:v>SEV580</x:v>
      </x:c>
      <x:c r="B2011" s="66" t="str">
        <x:v>祁腾蜂赢1号</x:v>
      </x:c>
      <x:c r="C2011" s="72" t="n">
        <x:v>43913</x:v>
      </x:c>
      <x:c r="D2011" s="73" t="n">
        <x:v>1.1151</x:v>
      </x:c>
      <x:c r="E2011" s="73" t="n">
        <x:v>1.2175</x:v>
      </x:c>
      <x:c r="F2011" s="73" t="n">
        <x:v>1.2319</x:v>
      </x:c>
      <x:c r="G2011" s="74" t="n">
        <x:v>0.0086</x:v>
      </x:c>
      <x:c r="H2011" s="66" t="str">
        <x:v>祁腾蜂赢1号净值20260911.xlsx</x:v>
      </x:c>
      <x:c r="I2011" s="73" t="str">
        <x:f>""</x:f>
      </x:c>
      <x:c r="J2011" s="74" t="str">
        <x:f>""</x:f>
      </x:c>
      <x:c r="K2011" s="73" t="str">
        <x:f>""</x:f>
      </x:c>
      <x:c r="L2011" s="74" t="str">
        <x:f>""</x:f>
      </x:c>
      <x:c r="M2011" s="73" t="n">
        <x:f>MAX(M2010,F2011)</x:f>
        <x:v>1.2319</x:v>
      </x:c>
      <x:c r="N2011" s="74" t="n">
        <x:f>1-F2011/M2011</x:f>
        <x:v>0</x:v>
      </x:c>
    </x:row>
    <x:row r="2012" ht="27" customHeight="1">
      <x:c r="A2012" s="66" t="str">
        <x:v>SEV580</x:v>
      </x:c>
      <x:c r="B2012" s="66" t="str">
        <x:v>祁腾蜂赢1号</x:v>
      </x:c>
      <x:c r="C2012" s="72" t="n">
        <x:v>43914</x:v>
      </x:c>
      <x:c r="D2012" s="73" t="n">
        <x:v>1.1125</x:v>
      </x:c>
      <x:c r="E2012" s="73" t="n">
        <x:v>1.2149</x:v>
      </x:c>
      <x:c r="F2012" s="73" t="n">
        <x:v>1.229</x:v>
      </x:c>
      <x:c r="G2012" s="74" t="n">
        <x:v>-0.0023</x:v>
      </x:c>
      <x:c r="H2012" s="66" t="str">
        <x:v>祁腾蜂赢1号净值20260911.xlsx</x:v>
      </x:c>
      <x:c r="I2012" s="73" t="str">
        <x:f>""</x:f>
      </x:c>
      <x:c r="J2012" s="74" t="str">
        <x:f>""</x:f>
      </x:c>
      <x:c r="K2012" s="73" t="str">
        <x:f>""</x:f>
      </x:c>
      <x:c r="L2012" s="74" t="str">
        <x:f>""</x:f>
      </x:c>
      <x:c r="M2012" s="73" t="n">
        <x:f>MAX(M2011,F2012)</x:f>
        <x:v>1.2319</x:v>
      </x:c>
      <x:c r="N2012" s="74" t="n">
        <x:f>1-F2012/M2012</x:f>
        <x:v>0.0023540871824010434</x:v>
      </x:c>
    </x:row>
    <x:row r="2013" ht="27" customHeight="1">
      <x:c r="A2013" s="66" t="str">
        <x:v>SEV580</x:v>
      </x:c>
      <x:c r="B2013" s="66" t="str">
        <x:v>祁腾蜂赢1号</x:v>
      </x:c>
      <x:c r="C2013" s="72" t="n">
        <x:v>43915</x:v>
      </x:c>
      <x:c r="D2013" s="73" t="n">
        <x:v>1.1192</x:v>
      </x:c>
      <x:c r="E2013" s="73" t="n">
        <x:v>1.2216</x:v>
      </x:c>
      <x:c r="F2013" s="73" t="n">
        <x:v>1.2364</x:v>
      </x:c>
      <x:c r="G2013" s="74" t="n">
        <x:v>0.006</x:v>
      </x:c>
      <x:c r="H2013" s="66" t="str">
        <x:v>祁腾蜂赢1号净值20260911.xlsx</x:v>
      </x:c>
      <x:c r="I2013" s="73" t="str">
        <x:f>""</x:f>
      </x:c>
      <x:c r="J2013" s="74" t="str">
        <x:f>""</x:f>
      </x:c>
      <x:c r="K2013" s="73" t="str">
        <x:f>""</x:f>
      </x:c>
      <x:c r="L2013" s="74" t="str">
        <x:f>""</x:f>
      </x:c>
      <x:c r="M2013" s="73" t="n">
        <x:f>MAX(M2012,F2013)</x:f>
        <x:v>1.2364</x:v>
      </x:c>
      <x:c r="N2013" s="74" t="n">
        <x:f>1-F2013/M2013</x:f>
        <x:v>0</x:v>
      </x:c>
    </x:row>
    <x:row r="2014" ht="27" customHeight="1">
      <x:c r="A2014" s="66" t="str">
        <x:v>SEV580</x:v>
      </x:c>
      <x:c r="B2014" s="66" t="str">
        <x:v>祁腾蜂赢1号</x:v>
      </x:c>
      <x:c r="C2014" s="72" t="n">
        <x:v>43916</x:v>
      </x:c>
      <x:c r="D2014" s="73" t="n">
        <x:v>1.1179</x:v>
      </x:c>
      <x:c r="E2014" s="73" t="n">
        <x:v>1.2203</x:v>
      </x:c>
      <x:c r="F2014" s="73" t="n">
        <x:v>1.235</x:v>
      </x:c>
      <x:c r="G2014" s="74" t="n">
        <x:v>-0.0012</x:v>
      </x:c>
      <x:c r="H2014" s="66" t="str">
        <x:v>祁腾蜂赢1号净值20260911.xlsx</x:v>
      </x:c>
      <x:c r="I2014" s="73" t="str">
        <x:f>""</x:f>
      </x:c>
      <x:c r="J2014" s="74" t="str">
        <x:f>""</x:f>
      </x:c>
      <x:c r="K2014" s="73" t="str">
        <x:f>""</x:f>
      </x:c>
      <x:c r="L2014" s="74" t="str">
        <x:f>""</x:f>
      </x:c>
      <x:c r="M2014" s="73" t="n">
        <x:f>MAX(M2013,F2014)</x:f>
        <x:v>1.2364</x:v>
      </x:c>
      <x:c r="N2014" s="74" t="n">
        <x:f>1-F2014/M2014</x:f>
        <x:v>0.0011323196376575861</x:v>
      </x:c>
    </x:row>
    <x:row r="2015" ht="27" customHeight="1">
      <x:c r="A2015" s="66" t="str">
        <x:v>SEV580</x:v>
      </x:c>
      <x:c r="B2015" s="66" t="str">
        <x:v>祁腾蜂赢1号</x:v>
      </x:c>
      <x:c r="C2015" s="72" t="n">
        <x:v>43917</x:v>
      </x:c>
      <x:c r="D2015" s="73" t="n">
        <x:v>1.1187</x:v>
      </x:c>
      <x:c r="E2015" s="73" t="n">
        <x:v>1.2211</x:v>
      </x:c>
      <x:c r="F2015" s="73" t="n">
        <x:v>1.2359</x:v>
      </x:c>
      <x:c r="G2015" s="74" t="n">
        <x:v>0.0007000000000000001</x:v>
      </x:c>
      <x:c r="H2015" s="66" t="str">
        <x:v>祁腾蜂赢1号净值20260911.xlsx</x:v>
      </x:c>
      <x:c r="I2015" s="73" t="str">
        <x:f>""</x:f>
      </x:c>
      <x:c r="J2015" s="74" t="str">
        <x:f>""</x:f>
      </x:c>
      <x:c r="K2015" s="73" t="str">
        <x:f>""</x:f>
      </x:c>
      <x:c r="L2015" s="74" t="str">
        <x:f>""</x:f>
      </x:c>
      <x:c r="M2015" s="73" t="n">
        <x:f>MAX(M2014,F2015)</x:f>
        <x:v>1.2364</x:v>
      </x:c>
      <x:c r="N2015" s="74" t="n">
        <x:f>1-F2015/M2015</x:f>
        <x:v>0.00040439987059204263</x:v>
      </x:c>
    </x:row>
    <x:row r="2016" ht="27" customHeight="1">
      <x:c r="A2016" s="66" t="str">
        <x:v>SEV580</x:v>
      </x:c>
      <x:c r="B2016" s="66" t="str">
        <x:v>祁腾蜂赢1号</x:v>
      </x:c>
      <x:c r="C2016" s="72" t="n">
        <x:v>43920</x:v>
      </x:c>
      <x:c r="D2016" s="73" t="n">
        <x:v>1.118</x:v>
      </x:c>
      <x:c r="E2016" s="73" t="n">
        <x:v>1.2204</x:v>
      </x:c>
      <x:c r="F2016" s="73" t="n">
        <x:v>1.2351</x:v>
      </x:c>
      <x:c r="G2016" s="74" t="n">
        <x:v>-0.0006</x:v>
      </x:c>
      <x:c r="H2016" s="66" t="str">
        <x:v>祁腾蜂赢1号净值20260911.xlsx</x:v>
      </x:c>
      <x:c r="I2016" s="73" t="str">
        <x:f>""</x:f>
      </x:c>
      <x:c r="J2016" s="74" t="str">
        <x:f>""</x:f>
      </x:c>
      <x:c r="K2016" s="73" t="str">
        <x:f>""</x:f>
      </x:c>
      <x:c r="L2016" s="74" t="str">
        <x:f>""</x:f>
      </x:c>
      <x:c r="M2016" s="73" t="n">
        <x:f>MAX(M2015,F2016)</x:f>
        <x:v>1.2364</x:v>
      </x:c>
      <x:c r="N2016" s="74" t="n">
        <x:f>1-F2016/M2016</x:f>
        <x:v>0.0010514396635391554</x:v>
      </x:c>
    </x:row>
    <x:row r="2017" ht="27" customHeight="1">
      <x:c r="A2017" s="66" t="str">
        <x:v>SEV580</x:v>
      </x:c>
      <x:c r="B2017" s="66" t="str">
        <x:v>祁腾蜂赢1号</x:v>
      </x:c>
      <x:c r="C2017" s="72" t="n">
        <x:v>43921</x:v>
      </x:c>
      <x:c r="D2017" s="73" t="n">
        <x:v>1.1221</x:v>
      </x:c>
      <x:c r="E2017" s="73" t="n">
        <x:v>1.2245</x:v>
      </x:c>
      <x:c r="F2017" s="73" t="n">
        <x:v>1.2396</x:v>
      </x:c>
      <x:c r="G2017" s="74" t="n">
        <x:v>0.0037</x:v>
      </x:c>
      <x:c r="H2017" s="66" t="str">
        <x:v>祁腾蜂赢1号净值20260911.xlsx</x:v>
      </x:c>
      <x:c r="I2017" s="73" t="str">
        <x:f>""</x:f>
      </x:c>
      <x:c r="J2017" s="74" t="str">
        <x:f>""</x:f>
      </x:c>
      <x:c r="K2017" s="73" t="str">
        <x:f>""</x:f>
      </x:c>
      <x:c r="L2017" s="74" t="str">
        <x:f>""</x:f>
      </x:c>
      <x:c r="M2017" s="73" t="n">
        <x:f>MAX(M2016,F2017)</x:f>
        <x:v>1.2396</x:v>
      </x:c>
      <x:c r="N2017" s="74" t="n">
        <x:f>1-F2017/M2017</x:f>
        <x:v>0</x:v>
      </x:c>
    </x:row>
    <x:row r="2018" ht="27" customHeight="1">
      <x:c r="A2018" s="66" t="str">
        <x:v>SEV580</x:v>
      </x:c>
      <x:c r="B2018" s="66" t="str">
        <x:v>祁腾蜂赢1号</x:v>
      </x:c>
      <x:c r="C2018" s="72" t="n">
        <x:v>43922</x:v>
      </x:c>
      <x:c r="D2018" s="73" t="n">
        <x:v>1.1206</x:v>
      </x:c>
      <x:c r="E2018" s="73" t="n">
        <x:v>1.223</x:v>
      </x:c>
      <x:c r="F2018" s="73" t="n">
        <x:v>1.238</x:v>
      </x:c>
      <x:c r="G2018" s="74" t="n">
        <x:v>-0.0013</x:v>
      </x:c>
      <x:c r="H2018" s="66" t="str">
        <x:v>祁腾蜂赢1号净值20260911.xlsx</x:v>
      </x:c>
      <x:c r="I2018" s="73" t="str">
        <x:f>""</x:f>
      </x:c>
      <x:c r="J2018" s="74" t="str">
        <x:f>""</x:f>
      </x:c>
      <x:c r="K2018" s="73" t="str">
        <x:f>""</x:f>
      </x:c>
      <x:c r="L2018" s="74" t="str">
        <x:f>""</x:f>
      </x:c>
      <x:c r="M2018" s="73" t="n">
        <x:f>MAX(M2017,F2018)</x:f>
        <x:v>1.2396</x:v>
      </x:c>
      <x:c r="N2018" s="74" t="n">
        <x:f>1-F2018/M2018</x:f>
        <x:v>0.001290738948047765</x:v>
      </x:c>
    </x:row>
    <x:row r="2019" ht="27" customHeight="1">
      <x:c r="A2019" s="66" t="str">
        <x:v>SEV580</x:v>
      </x:c>
      <x:c r="B2019" s="66" t="str">
        <x:v>祁腾蜂赢1号</x:v>
      </x:c>
      <x:c r="C2019" s="72" t="n">
        <x:v>43923</x:v>
      </x:c>
      <x:c r="D2019" s="73" t="n">
        <x:v>1.1282</x:v>
      </x:c>
      <x:c r="E2019" s="73" t="n">
        <x:v>1.2306</x:v>
      </x:c>
      <x:c r="F2019" s="73" t="n">
        <x:v>1.2463</x:v>
      </x:c>
      <x:c r="G2019" s="74" t="n">
        <x:v>0.0068000000000000005</x:v>
      </x:c>
      <x:c r="H2019" s="66" t="str">
        <x:v>祁腾蜂赢1号净值20260911.xlsx</x:v>
      </x:c>
      <x:c r="I2019" s="73" t="str">
        <x:f>""</x:f>
      </x:c>
      <x:c r="J2019" s="74" t="str">
        <x:f>""</x:f>
      </x:c>
      <x:c r="K2019" s="73" t="str">
        <x:f>""</x:f>
      </x:c>
      <x:c r="L2019" s="74" t="str">
        <x:f>""</x:f>
      </x:c>
      <x:c r="M2019" s="73" t="n">
        <x:f>MAX(M2018,F2019)</x:f>
        <x:v>1.2463</x:v>
      </x:c>
      <x:c r="N2019" s="74" t="n">
        <x:f>1-F2019/M2019</x:f>
        <x:v>0</x:v>
      </x:c>
    </x:row>
    <x:row r="2020" ht="27" customHeight="1">
      <x:c r="A2020" s="66" t="str">
        <x:v>SEV580</x:v>
      </x:c>
      <x:c r="B2020" s="66" t="str">
        <x:v>祁腾蜂赢1号</x:v>
      </x:c>
      <x:c r="C2020" s="72" t="n">
        <x:v>43924</x:v>
      </x:c>
      <x:c r="D2020" s="73" t="n">
        <x:v>1.1264</x:v>
      </x:c>
      <x:c r="E2020" s="73" t="n">
        <x:v>1.2288</x:v>
      </x:c>
      <x:c r="F2020" s="73" t="n">
        <x:v>1.2444</x:v>
      </x:c>
      <x:c r="G2020" s="74" t="n">
        <x:v>-0.0016</x:v>
      </x:c>
      <x:c r="H2020" s="66" t="str">
        <x:v>祁腾蜂赢1号净值20260911.xlsx</x:v>
      </x:c>
      <x:c r="I2020" s="73" t="str">
        <x:f>""</x:f>
      </x:c>
      <x:c r="J2020" s="74" t="str">
        <x:f>""</x:f>
      </x:c>
      <x:c r="K2020" s="73" t="str">
        <x:f>""</x:f>
      </x:c>
      <x:c r="L2020" s="74" t="str">
        <x:f>""</x:f>
      </x:c>
      <x:c r="M2020" s="73" t="n">
        <x:f>MAX(M2019,F2020)</x:f>
        <x:v>1.2463</x:v>
      </x:c>
      <x:c r="N2020" s="74" t="n">
        <x:f>1-F2020/M2020</x:f>
        <x:v>0.001524512557169233</x:v>
      </x:c>
    </x:row>
    <x:row r="2021" ht="27" customHeight="1">
      <x:c r="A2021" s="66" t="str">
        <x:v>SEV580</x:v>
      </x:c>
      <x:c r="B2021" s="66" t="str">
        <x:v>祁腾蜂赢1号</x:v>
      </x:c>
      <x:c r="C2021" s="72" t="n">
        <x:v>43928</x:v>
      </x:c>
      <x:c r="D2021" s="73" t="n">
        <x:v>1.1347</x:v>
      </x:c>
      <x:c r="E2021" s="73" t="n">
        <x:v>1.2371</x:v>
      </x:c>
      <x:c r="F2021" s="73" t="n">
        <x:v>1.2535</x:v>
      </x:c>
      <x:c r="G2021" s="74" t="n">
        <x:v>0.0074</x:v>
      </x:c>
      <x:c r="H2021" s="66" t="str">
        <x:v>祁腾蜂赢1号净值20260911.xlsx</x:v>
      </x:c>
      <x:c r="I2021" s="73" t="str">
        <x:f>""</x:f>
      </x:c>
      <x:c r="J2021" s="74" t="str">
        <x:f>""</x:f>
      </x:c>
      <x:c r="K2021" s="73" t="str">
        <x:f>""</x:f>
      </x:c>
      <x:c r="L2021" s="74" t="str">
        <x:f>""</x:f>
      </x:c>
      <x:c r="M2021" s="73" t="n">
        <x:f>MAX(M2020,F2021)</x:f>
        <x:v>1.2535</x:v>
      </x:c>
      <x:c r="N2021" s="74" t="n">
        <x:f>1-F2021/M2021</x:f>
        <x:v>0</x:v>
      </x:c>
    </x:row>
    <x:row r="2022" ht="27" customHeight="1">
      <x:c r="A2022" s="66" t="str">
        <x:v>SEV580</x:v>
      </x:c>
      <x:c r="B2022" s="66" t="str">
        <x:v>祁腾蜂赢1号</x:v>
      </x:c>
      <x:c r="C2022" s="72" t="n">
        <x:v>43929</x:v>
      </x:c>
      <x:c r="D2022" s="73" t="n">
        <x:v>1.1379</x:v>
      </x:c>
      <x:c r="E2022" s="73" t="n">
        <x:v>1.2403</x:v>
      </x:c>
      <x:c r="F2022" s="73" t="n">
        <x:v>1.2571</x:v>
      </x:c>
      <x:c r="G2022" s="74" t="n">
        <x:v>0.0028000000000000004</x:v>
      </x:c>
      <x:c r="H2022" s="66" t="str">
        <x:v>祁腾蜂赢1号净值20260911.xlsx</x:v>
      </x:c>
      <x:c r="I2022" s="73" t="str">
        <x:f>""</x:f>
      </x:c>
      <x:c r="J2022" s="74" t="str">
        <x:f>""</x:f>
      </x:c>
      <x:c r="K2022" s="73" t="str">
        <x:f>""</x:f>
      </x:c>
      <x:c r="L2022" s="74" t="str">
        <x:f>""</x:f>
      </x:c>
      <x:c r="M2022" s="73" t="n">
        <x:f>MAX(M2021,F2022)</x:f>
        <x:v>1.2571</x:v>
      </x:c>
      <x:c r="N2022" s="74" t="n">
        <x:f>1-F2022/M2022</x:f>
        <x:v>0</x:v>
      </x:c>
    </x:row>
    <x:row r="2023" ht="27" customHeight="1">
      <x:c r="A2023" s="66" t="str">
        <x:v>SEV580</x:v>
      </x:c>
      <x:c r="B2023" s="66" t="str">
        <x:v>祁腾蜂赢1号</x:v>
      </x:c>
      <x:c r="C2023" s="72" t="n">
        <x:v>43930</x:v>
      </x:c>
      <x:c r="D2023" s="73" t="n">
        <x:v>1.1354</x:v>
      </x:c>
      <x:c r="E2023" s="73" t="n">
        <x:v>1.2378</x:v>
      </x:c>
      <x:c r="F2023" s="73" t="n">
        <x:v>1.2543</x:v>
      </x:c>
      <x:c r="G2023" s="74" t="n">
        <x:v>-0.0022</x:v>
      </x:c>
      <x:c r="H2023" s="66" t="str">
        <x:v>祁腾蜂赢1号净值20260911.xlsx</x:v>
      </x:c>
      <x:c r="I2023" s="73" t="str">
        <x:f>""</x:f>
      </x:c>
      <x:c r="J2023" s="74" t="str">
        <x:f>""</x:f>
      </x:c>
      <x:c r="K2023" s="73" t="str">
        <x:f>""</x:f>
      </x:c>
      <x:c r="L2023" s="74" t="str">
        <x:f>""</x:f>
      </x:c>
      <x:c r="M2023" s="73" t="n">
        <x:f>MAX(M2022,F2023)</x:f>
        <x:v>1.2571</x:v>
      </x:c>
      <x:c r="N2023" s="74" t="n">
        <x:f>1-F2023/M2023</x:f>
        <x:v>0.002227348659613493</x:v>
      </x:c>
    </x:row>
    <x:row r="2024" ht="27" customHeight="1">
      <x:c r="A2024" s="66" t="str">
        <x:v>SEV580</x:v>
      </x:c>
      <x:c r="B2024" s="66" t="str">
        <x:v>祁腾蜂赢1号</x:v>
      </x:c>
      <x:c r="C2024" s="72" t="n">
        <x:v>43931</x:v>
      </x:c>
      <x:c r="D2024" s="73" t="n">
        <x:v>1.156</x:v>
      </x:c>
      <x:c r="E2024" s="73" t="n">
        <x:v>1.2584</x:v>
      </x:c>
      <x:c r="F2024" s="73" t="n">
        <x:v>1.2771</x:v>
      </x:c>
      <x:c r="G2024" s="74" t="n">
        <x:v>0.0181</x:v>
      </x:c>
      <x:c r="H2024" s="66" t="str">
        <x:v>祁腾蜂赢1号净值20260911.xlsx</x:v>
      </x:c>
      <x:c r="I2024" s="73" t="str">
        <x:f>""</x:f>
      </x:c>
      <x:c r="J2024" s="74" t="str">
        <x:f>""</x:f>
      </x:c>
      <x:c r="K2024" s="73" t="str">
        <x:f>""</x:f>
      </x:c>
      <x:c r="L2024" s="74" t="str">
        <x:f>""</x:f>
      </x:c>
      <x:c r="M2024" s="73" t="n">
        <x:f>MAX(M2023,F2024)</x:f>
        <x:v>1.2771</x:v>
      </x:c>
      <x:c r="N2024" s="74" t="n">
        <x:f>1-F2024/M2024</x:f>
        <x:v>0</x:v>
      </x:c>
    </x:row>
    <x:row r="2025" ht="27" customHeight="1">
      <x:c r="A2025" s="66" t="str">
        <x:v>SEV580</x:v>
      </x:c>
      <x:c r="B2025" s="66" t="str">
        <x:v>祁腾蜂赢1号</x:v>
      </x:c>
      <x:c r="C2025" s="72" t="n">
        <x:v>43934</x:v>
      </x:c>
      <x:c r="D2025" s="73" t="n">
        <x:v>1.1568</x:v>
      </x:c>
      <x:c r="E2025" s="73" t="n">
        <x:v>1.2592</x:v>
      </x:c>
      <x:c r="F2025" s="73" t="n">
        <x:v>1.2779</x:v>
      </x:c>
      <x:c r="G2025" s="74" t="n">
        <x:v>0.0007000000000000001</x:v>
      </x:c>
      <x:c r="H2025" s="66" t="str">
        <x:v>祁腾蜂赢1号净值20260911.xlsx</x:v>
      </x:c>
      <x:c r="I2025" s="73" t="str">
        <x:f>""</x:f>
      </x:c>
      <x:c r="J2025" s="74" t="str">
        <x:f>""</x:f>
      </x:c>
      <x:c r="K2025" s="73" t="str">
        <x:f>""</x:f>
      </x:c>
      <x:c r="L2025" s="74" t="str">
        <x:f>""</x:f>
      </x:c>
      <x:c r="M2025" s="73" t="n">
        <x:f>MAX(M2024,F2025)</x:f>
        <x:v>1.2779</x:v>
      </x:c>
      <x:c r="N2025" s="74" t="n">
        <x:f>1-F2025/M2025</x:f>
        <x:v>0</x:v>
      </x:c>
    </x:row>
    <x:row r="2026" ht="27" customHeight="1">
      <x:c r="A2026" s="66" t="str">
        <x:v>SEV580</x:v>
      </x:c>
      <x:c r="B2026" s="66" t="str">
        <x:v>祁腾蜂赢1号</x:v>
      </x:c>
      <x:c r="C2026" s="72" t="n">
        <x:v>43935</x:v>
      </x:c>
      <x:c r="D2026" s="73" t="n">
        <x:v>1.1541</x:v>
      </x:c>
      <x:c r="E2026" s="73" t="n">
        <x:v>1.2565</x:v>
      </x:c>
      <x:c r="F2026" s="73" t="n">
        <x:v>1.275</x:v>
      </x:c>
      <x:c r="G2026" s="74" t="n">
        <x:v>-0.0023</x:v>
      </x:c>
      <x:c r="H2026" s="66" t="str">
        <x:v>祁腾蜂赢1号净值20260911.xlsx</x:v>
      </x:c>
      <x:c r="I2026" s="73" t="str">
        <x:f>""</x:f>
      </x:c>
      <x:c r="J2026" s="74" t="str">
        <x:f>""</x:f>
      </x:c>
      <x:c r="K2026" s="73" t="str">
        <x:f>""</x:f>
      </x:c>
      <x:c r="L2026" s="74" t="str">
        <x:f>""</x:f>
      </x:c>
      <x:c r="M2026" s="73" t="n">
        <x:f>MAX(M2025,F2026)</x:f>
        <x:v>1.2779</x:v>
      </x:c>
      <x:c r="N2026" s="74" t="n">
        <x:f>1-F2026/M2026</x:f>
        <x:v>0.0022693481493075707</x:v>
      </x:c>
    </x:row>
    <x:row r="2027" ht="27" customHeight="1">
      <x:c r="A2027" s="66" t="str">
        <x:v>SEV580</x:v>
      </x:c>
      <x:c r="B2027" s="66" t="str">
        <x:v>祁腾蜂赢1号</x:v>
      </x:c>
      <x:c r="C2027" s="72" t="n">
        <x:v>43936</x:v>
      </x:c>
      <x:c r="D2027" s="73" t="n">
        <x:v>1.1533</x:v>
      </x:c>
      <x:c r="E2027" s="73" t="n">
        <x:v>1.2557</x:v>
      </x:c>
      <x:c r="F2027" s="73" t="n">
        <x:v>1.2741</x:v>
      </x:c>
      <x:c r="G2027" s="74" t="n">
        <x:v>-0.0007000000000000001</x:v>
      </x:c>
      <x:c r="H2027" s="66" t="str">
        <x:v>祁腾蜂赢1号净值20260911.xlsx</x:v>
      </x:c>
      <x:c r="I2027" s="73" t="str">
        <x:f>""</x:f>
      </x:c>
      <x:c r="J2027" s="74" t="str">
        <x:f>""</x:f>
      </x:c>
      <x:c r="K2027" s="73" t="str">
        <x:f>""</x:f>
      </x:c>
      <x:c r="L2027" s="74" t="str">
        <x:f>""</x:f>
      </x:c>
      <x:c r="M2027" s="73" t="n">
        <x:f>MAX(M2026,F2027)</x:f>
        <x:v>1.2779</x:v>
      </x:c>
      <x:c r="N2027" s="74" t="n">
        <x:f>1-F2027/M2027</x:f>
        <x:v>0.0029736286094373954</x:v>
      </x:c>
    </x:row>
    <x:row r="2028" ht="27" customHeight="1">
      <x:c r="A2028" s="66" t="str">
        <x:v>SEV580</x:v>
      </x:c>
      <x:c r="B2028" s="66" t="str">
        <x:v>祁腾蜂赢1号</x:v>
      </x:c>
      <x:c r="C2028" s="72" t="n">
        <x:v>43937</x:v>
      </x:c>
      <x:c r="D2028" s="73" t="n">
        <x:v>1.1471</x:v>
      </x:c>
      <x:c r="E2028" s="73" t="n">
        <x:v>1.2495</x:v>
      </x:c>
      <x:c r="F2028" s="73" t="n">
        <x:v>1.2672</x:v>
      </x:c>
      <x:c r="G2028" s="74" t="n">
        <x:v>-0.0054</x:v>
      </x:c>
      <x:c r="H2028" s="66" t="str">
        <x:v>祁腾蜂赢1号净值20260911.xlsx</x:v>
      </x:c>
      <x:c r="I2028" s="73" t="str">
        <x:f>""</x:f>
      </x:c>
      <x:c r="J2028" s="74" t="str">
        <x:f>""</x:f>
      </x:c>
      <x:c r="K2028" s="73" t="str">
        <x:f>""</x:f>
      </x:c>
      <x:c r="L2028" s="74" t="str">
        <x:f>""</x:f>
      </x:c>
      <x:c r="M2028" s="73" t="n">
        <x:f>MAX(M2027,F2028)</x:f>
        <x:v>1.2779</x:v>
      </x:c>
      <x:c r="N2028" s="74" t="n">
        <x:f>1-F2028/M2028</x:f>
        <x:v>0.008373112137099903</x:v>
      </x:c>
    </x:row>
    <x:row r="2029" ht="27" customHeight="1">
      <x:c r="A2029" s="66" t="str">
        <x:v>SEV580</x:v>
      </x:c>
      <x:c r="B2029" s="66" t="str">
        <x:v>祁腾蜂赢1号</x:v>
      </x:c>
      <x:c r="C2029" s="72" t="n">
        <x:v>43938</x:v>
      </x:c>
      <x:c r="D2029" s="73" t="n">
        <x:v>1.1476</x:v>
      </x:c>
      <x:c r="E2029" s="73" t="n">
        <x:v>1.25</x:v>
      </x:c>
      <x:c r="F2029" s="73" t="n">
        <x:v>1.2678</x:v>
      </x:c>
      <x:c r="G2029" s="74" t="n">
        <x:v>0.0004</x:v>
      </x:c>
      <x:c r="H2029" s="66" t="str">
        <x:v>祁腾蜂赢1号净值20260911.xlsx</x:v>
      </x:c>
      <x:c r="I2029" s="73" t="str">
        <x:f>""</x:f>
      </x:c>
      <x:c r="J2029" s="74" t="str">
        <x:f>""</x:f>
      </x:c>
      <x:c r="K2029" s="73" t="str">
        <x:f>""</x:f>
      </x:c>
      <x:c r="L2029" s="74" t="str">
        <x:f>""</x:f>
      </x:c>
      <x:c r="M2029" s="73" t="n">
        <x:f>MAX(M2028,F2029)</x:f>
        <x:v>1.2779</x:v>
      </x:c>
      <x:c r="N2029" s="74" t="n">
        <x:f>1-F2029/M2029</x:f>
        <x:v>0.007903591830346612</x:v>
      </x:c>
    </x:row>
    <x:row r="2030" ht="27" customHeight="1">
      <x:c r="A2030" s="66" t="str">
        <x:v>SEV580</x:v>
      </x:c>
      <x:c r="B2030" s="66" t="str">
        <x:v>祁腾蜂赢1号</x:v>
      </x:c>
      <x:c r="C2030" s="72" t="n">
        <x:v>43941</x:v>
      </x:c>
      <x:c r="D2030" s="73" t="n">
        <x:v>1.1506</x:v>
      </x:c>
      <x:c r="E2030" s="73" t="n">
        <x:v>1.253</x:v>
      </x:c>
      <x:c r="F2030" s="73" t="n">
        <x:v>1.2711</x:v>
      </x:c>
      <x:c r="G2030" s="74" t="n">
        <x:v>0.0026</x:v>
      </x:c>
      <x:c r="H2030" s="66" t="str">
        <x:v>祁腾蜂赢1号净值20260911.xlsx</x:v>
      </x:c>
      <x:c r="I2030" s="73" t="str">
        <x:f>""</x:f>
      </x:c>
      <x:c r="J2030" s="74" t="str">
        <x:f>""</x:f>
      </x:c>
      <x:c r="K2030" s="73" t="str">
        <x:f>""</x:f>
      </x:c>
      <x:c r="L2030" s="74" t="str">
        <x:f>""</x:f>
      </x:c>
      <x:c r="M2030" s="73" t="n">
        <x:f>MAX(M2029,F2030)</x:f>
        <x:v>1.2779</x:v>
      </x:c>
      <x:c r="N2030" s="74" t="n">
        <x:f>1-F2030/M2030</x:f>
        <x:v>0.005321230143203848</x:v>
      </x:c>
    </x:row>
    <x:row r="2031" ht="27" customHeight="1">
      <x:c r="A2031" s="66" t="str">
        <x:v>SEV580</x:v>
      </x:c>
      <x:c r="B2031" s="66" t="str">
        <x:v>祁腾蜂赢1号</x:v>
      </x:c>
      <x:c r="C2031" s="72" t="n">
        <x:v>43942</x:v>
      </x:c>
      <x:c r="D2031" s="73" t="n">
        <x:v>1.1585</x:v>
      </x:c>
      <x:c r="E2031" s="73" t="n">
        <x:v>1.2609</x:v>
      </x:c>
      <x:c r="F2031" s="73" t="n">
        <x:v>1.2798</x:v>
      </x:c>
      <x:c r="G2031" s="74" t="n">
        <x:v>0.0069</x:v>
      </x:c>
      <x:c r="H2031" s="66" t="str">
        <x:v>祁腾蜂赢1号净值20260911.xlsx</x:v>
      </x:c>
      <x:c r="I2031" s="73" t="str">
        <x:f>""</x:f>
      </x:c>
      <x:c r="J2031" s="74" t="str">
        <x:f>""</x:f>
      </x:c>
      <x:c r="K2031" s="73" t="str">
        <x:f>""</x:f>
      </x:c>
      <x:c r="L2031" s="74" t="str">
        <x:f>""</x:f>
      </x:c>
      <x:c r="M2031" s="73" t="n">
        <x:f>MAX(M2030,F2031)</x:f>
        <x:v>1.2798</x:v>
      </x:c>
      <x:c r="N2031" s="74" t="n">
        <x:f>1-F2031/M2031</x:f>
        <x:v>0</x:v>
      </x:c>
    </x:row>
    <x:row r="2032" ht="27" customHeight="1">
      <x:c r="A2032" s="66" t="str">
        <x:v>SEV580</x:v>
      </x:c>
      <x:c r="B2032" s="66" t="str">
        <x:v>祁腾蜂赢1号</x:v>
      </x:c>
      <x:c r="C2032" s="72" t="n">
        <x:v>43943</x:v>
      </x:c>
      <x:c r="D2032" s="73" t="n">
        <x:v>1.1523</x:v>
      </x:c>
      <x:c r="E2032" s="73" t="n">
        <x:v>1.2547</x:v>
      </x:c>
      <x:c r="F2032" s="73" t="n">
        <x:v>1.273</x:v>
      </x:c>
      <x:c r="G2032" s="74" t="n">
        <x:v>-0.0054</x:v>
      </x:c>
      <x:c r="H2032" s="66" t="str">
        <x:v>祁腾蜂赢1号净值20260911.xlsx</x:v>
      </x:c>
      <x:c r="I2032" s="73" t="str">
        <x:f>""</x:f>
      </x:c>
      <x:c r="J2032" s="74" t="str">
        <x:f>""</x:f>
      </x:c>
      <x:c r="K2032" s="73" t="str">
        <x:f>""</x:f>
      </x:c>
      <x:c r="L2032" s="74" t="str">
        <x:f>""</x:f>
      </x:c>
      <x:c r="M2032" s="73" t="n">
        <x:f>MAX(M2031,F2032)</x:f>
        <x:v>1.2798</x:v>
      </x:c>
      <x:c r="N2032" s="74" t="n">
        <x:f>1-F2032/M2032</x:f>
        <x:v>0.0053133302078450795</x:v>
      </x:c>
    </x:row>
    <x:row r="2033" ht="27" customHeight="1">
      <x:c r="A2033" s="66" t="str">
        <x:v>SEV580</x:v>
      </x:c>
      <x:c r="B2033" s="66" t="str">
        <x:v>祁腾蜂赢1号</x:v>
      </x:c>
      <x:c r="C2033" s="72" t="n">
        <x:v>43944</x:v>
      </x:c>
      <x:c r="D2033" s="73" t="n">
        <x:v>1.1553</x:v>
      </x:c>
      <x:c r="E2033" s="73" t="n">
        <x:v>1.2577</x:v>
      </x:c>
      <x:c r="F2033" s="73" t="n">
        <x:v>1.2763</x:v>
      </x:c>
      <x:c r="G2033" s="74" t="n">
        <x:v>0.0026</x:v>
      </x:c>
      <x:c r="H2033" s="66" t="str">
        <x:v>祁腾蜂赢1号净值20260911.xlsx</x:v>
      </x:c>
      <x:c r="I2033" s="73" t="str">
        <x:f>""</x:f>
      </x:c>
      <x:c r="J2033" s="74" t="str">
        <x:f>""</x:f>
      </x:c>
      <x:c r="K2033" s="73" t="str">
        <x:f>""</x:f>
      </x:c>
      <x:c r="L2033" s="74" t="str">
        <x:f>""</x:f>
      </x:c>
      <x:c r="M2033" s="73" t="n">
        <x:f>MAX(M2032,F2033)</x:f>
        <x:v>1.2798</x:v>
      </x:c>
      <x:c r="N2033" s="74" t="n">
        <x:f>1-F2033/M2033</x:f>
        <x:v>0.002734802312861384</x:v>
      </x:c>
    </x:row>
    <x:row r="2034" ht="27" customHeight="1">
      <x:c r="A2034" s="66" t="str">
        <x:v>SEV580</x:v>
      </x:c>
      <x:c r="B2034" s="66" t="str">
        <x:v>祁腾蜂赢1号</x:v>
      </x:c>
      <x:c r="C2034" s="72" t="n">
        <x:v>43945</x:v>
      </x:c>
      <x:c r="D2034" s="73" t="n">
        <x:v>1.1572</x:v>
      </x:c>
      <x:c r="E2034" s="73" t="n">
        <x:v>1.2596</x:v>
      </x:c>
      <x:c r="F2034" s="73" t="n">
        <x:v>1.2784</x:v>
      </x:c>
      <x:c r="G2034" s="74" t="n">
        <x:v>0.0016</x:v>
      </x:c>
      <x:c r="H2034" s="66" t="str">
        <x:v>祁腾蜂赢1号净值20260911.xlsx</x:v>
      </x:c>
      <x:c r="I2034" s="73" t="str">
        <x:f>""</x:f>
      </x:c>
      <x:c r="J2034" s="74" t="str">
        <x:f>""</x:f>
      </x:c>
      <x:c r="K2034" s="73" t="str">
        <x:f>""</x:f>
      </x:c>
      <x:c r="L2034" s="74" t="str">
        <x:f>""</x:f>
      </x:c>
      <x:c r="M2034" s="73" t="n">
        <x:f>MAX(M2033,F2034)</x:f>
        <x:v>1.2798</x:v>
      </x:c>
      <x:c r="N2034" s="74" t="n">
        <x:f>1-F2034/M2034</x:f>
        <x:v>0.001093920925144598</x:v>
      </x:c>
    </x:row>
    <x:row r="2035" ht="27" customHeight="1">
      <x:c r="A2035" s="66" t="str">
        <x:v>SEV580</x:v>
      </x:c>
      <x:c r="B2035" s="66" t="str">
        <x:v>祁腾蜂赢1号</x:v>
      </x:c>
      <x:c r="C2035" s="72" t="n">
        <x:v>43948</x:v>
      </x:c>
      <x:c r="D2035" s="73" t="n">
        <x:v>1.1602</x:v>
      </x:c>
      <x:c r="E2035" s="73" t="n">
        <x:v>1.2626</x:v>
      </x:c>
      <x:c r="F2035" s="73" t="n">
        <x:v>1.2817</x:v>
      </x:c>
      <x:c r="G2035" s="74" t="n">
        <x:v>0.0026</x:v>
      </x:c>
      <x:c r="H2035" s="66" t="str">
        <x:v>祁腾蜂赢1号净值20260911.xlsx</x:v>
      </x:c>
      <x:c r="I2035" s="73" t="str">
        <x:f>""</x:f>
      </x:c>
      <x:c r="J2035" s="74" t="str">
        <x:f>""</x:f>
      </x:c>
      <x:c r="K2035" s="73" t="str">
        <x:f>""</x:f>
      </x:c>
      <x:c r="L2035" s="74" t="str">
        <x:f>""</x:f>
      </x:c>
      <x:c r="M2035" s="73" t="n">
        <x:f>MAX(M2034,F2035)</x:f>
        <x:v>1.2817</x:v>
      </x:c>
      <x:c r="N2035" s="74" t="n">
        <x:f>1-F2035/M2035</x:f>
        <x:v>0</x:v>
      </x:c>
    </x:row>
    <x:row r="2036" ht="27" customHeight="1">
      <x:c r="A2036" s="66" t="str">
        <x:v>SEV580</x:v>
      </x:c>
      <x:c r="B2036" s="66" t="str">
        <x:v>祁腾蜂赢1号</x:v>
      </x:c>
      <x:c r="C2036" s="72" t="n">
        <x:v>43949</x:v>
      </x:c>
      <x:c r="D2036" s="73" t="n">
        <x:v>1.1535</x:v>
      </x:c>
      <x:c r="E2036" s="73" t="n">
        <x:v>1.2559</x:v>
      </x:c>
      <x:c r="F2036" s="73" t="n">
        <x:v>1.2743</x:v>
      </x:c>
      <x:c r="G2036" s="74" t="n">
        <x:v>-0.0058</x:v>
      </x:c>
      <x:c r="H2036" s="66" t="str">
        <x:v>祁腾蜂赢1号净值20260911.xlsx</x:v>
      </x:c>
      <x:c r="I2036" s="73" t="str">
        <x:f>""</x:f>
      </x:c>
      <x:c r="J2036" s="74" t="str">
        <x:f>""</x:f>
      </x:c>
      <x:c r="K2036" s="73" t="str">
        <x:f>""</x:f>
      </x:c>
      <x:c r="L2036" s="74" t="str">
        <x:f>""</x:f>
      </x:c>
      <x:c r="M2036" s="73" t="n">
        <x:f>MAX(M2035,F2036)</x:f>
        <x:v>1.2817</x:v>
      </x:c>
      <x:c r="N2036" s="74" t="n">
        <x:f>1-F2036/M2036</x:f>
        <x:v>0.005773581961457497</x:v>
      </x:c>
    </x:row>
    <x:row r="2037" ht="27" customHeight="1">
      <x:c r="A2037" s="66" t="str">
        <x:v>SEV580</x:v>
      </x:c>
      <x:c r="B2037" s="66" t="str">
        <x:v>祁腾蜂赢1号</x:v>
      </x:c>
      <x:c r="C2037" s="72" t="n">
        <x:v>43950</x:v>
      </x:c>
      <x:c r="D2037" s="73" t="n">
        <x:v>1.1465</x:v>
      </x:c>
      <x:c r="E2037" s="73" t="n">
        <x:v>1.2489</x:v>
      </x:c>
      <x:c r="F2037" s="73" t="n">
        <x:v>1.2666</x:v>
      </x:c>
      <x:c r="G2037" s="74" t="n">
        <x:v>-0.0060999999999999995</x:v>
      </x:c>
      <x:c r="H2037" s="66" t="str">
        <x:v>祁腾蜂赢1号净值20260911.xlsx</x:v>
      </x:c>
      <x:c r="I2037" s="73" t="str">
        <x:f>""</x:f>
      </x:c>
      <x:c r="J2037" s="74" t="str">
        <x:f>""</x:f>
      </x:c>
      <x:c r="K2037" s="73" t="str">
        <x:f>""</x:f>
      </x:c>
      <x:c r="L2037" s="74" t="str">
        <x:f>""</x:f>
      </x:c>
      <x:c r="M2037" s="73" t="n">
        <x:f>MAX(M2036,F2037)</x:f>
        <x:v>1.2817</x:v>
      </x:c>
      <x:c r="N2037" s="74" t="n">
        <x:f>1-F2037/M2037</x:f>
        <x:v>0.011781228056487514</x:v>
      </x:c>
    </x:row>
    <x:row r="2038" ht="27" customHeight="1">
      <x:c r="A2038" s="66" t="str">
        <x:v>SEV580</x:v>
      </x:c>
      <x:c r="B2038" s="66" t="str">
        <x:v>祁腾蜂赢1号</x:v>
      </x:c>
      <x:c r="C2038" s="72" t="n">
        <x:v>43951</x:v>
      </x:c>
      <x:c r="D2038" s="73" t="n">
        <x:v>1.1391</x:v>
      </x:c>
      <x:c r="E2038" s="73" t="n">
        <x:v>1.2415</x:v>
      </x:c>
      <x:c r="F2038" s="73" t="n">
        <x:v>1.2584</x:v>
      </x:c>
      <x:c r="G2038" s="74" t="n">
        <x:v>-0.006500000000000001</x:v>
      </x:c>
      <x:c r="H2038" s="66" t="str">
        <x:v>祁腾蜂赢1号净值20260911.xlsx</x:v>
      </x:c>
      <x:c r="I2038" s="73" t="str">
        <x:f>""</x:f>
      </x:c>
      <x:c r="J2038" s="74" t="str">
        <x:f>""</x:f>
      </x:c>
      <x:c r="K2038" s="73" t="str">
        <x:f>""</x:f>
      </x:c>
      <x:c r="L2038" s="74" t="str">
        <x:f>""</x:f>
      </x:c>
      <x:c r="M2038" s="73" t="n">
        <x:f>MAX(M2037,F2038)</x:f>
        <x:v>1.2817</x:v>
      </x:c>
      <x:c r="N2038" s="74" t="n">
        <x:f>1-F2038/M2038</x:f>
        <x:v>0.018178981040805287</x:v>
      </x:c>
    </x:row>
    <x:row r="2039" ht="27" customHeight="1">
      <x:c r="A2039" s="66" t="str">
        <x:v>SEV580</x:v>
      </x:c>
      <x:c r="B2039" s="66" t="str">
        <x:v>祁腾蜂赢1号</x:v>
      </x:c>
      <x:c r="C2039" s="72" t="n">
        <x:v>43957</x:v>
      </x:c>
      <x:c r="D2039" s="73" t="n">
        <x:v>1.1374</x:v>
      </x:c>
      <x:c r="E2039" s="73" t="n">
        <x:v>1.2398</x:v>
      </x:c>
      <x:c r="F2039" s="73" t="n">
        <x:v>1.2565</x:v>
      </x:c>
      <x:c r="G2039" s="74" t="n">
        <x:v>-0.0015</x:v>
      </x:c>
      <x:c r="H2039" s="66" t="str">
        <x:v>祁腾蜂赢1号净值20260911.xlsx</x:v>
      </x:c>
      <x:c r="I2039" s="73" t="str">
        <x:f>""</x:f>
      </x:c>
      <x:c r="J2039" s="74" t="str">
        <x:f>""</x:f>
      </x:c>
      <x:c r="K2039" s="73" t="str">
        <x:f>""</x:f>
      </x:c>
      <x:c r="L2039" s="74" t="str">
        <x:f>""</x:f>
      </x:c>
      <x:c r="M2039" s="73" t="n">
        <x:f>MAX(M2038,F2039)</x:f>
        <x:v>1.2817</x:v>
      </x:c>
      <x:c r="N2039" s="74" t="n">
        <x:f>1-F2039/M2039</x:f>
        <x:v>0.01966138722009836</x:v>
      </x:c>
    </x:row>
    <x:row r="2040" ht="27" customHeight="1">
      <x:c r="A2040" s="66" t="str">
        <x:v>SEV580</x:v>
      </x:c>
      <x:c r="B2040" s="66" t="str">
        <x:v>祁腾蜂赢1号</x:v>
      </x:c>
      <x:c r="C2040" s="72" t="n">
        <x:v>43958</x:v>
      </x:c>
      <x:c r="D2040" s="73" t="n">
        <x:v>1.1405</x:v>
      </x:c>
      <x:c r="E2040" s="73" t="n">
        <x:v>1.2429</x:v>
      </x:c>
      <x:c r="F2040" s="73" t="n">
        <x:v>1.2599</x:v>
      </x:c>
      <x:c r="G2040" s="74" t="n">
        <x:v>0.0027</x:v>
      </x:c>
      <x:c r="H2040" s="66" t="str">
        <x:v>祁腾蜂赢1号净值20260911.xlsx</x:v>
      </x:c>
      <x:c r="I2040" s="73" t="str">
        <x:f>""</x:f>
      </x:c>
      <x:c r="J2040" s="74" t="str">
        <x:f>""</x:f>
      </x:c>
      <x:c r="K2040" s="73" t="str">
        <x:f>""</x:f>
      </x:c>
      <x:c r="L2040" s="74" t="str">
        <x:f>""</x:f>
      </x:c>
      <x:c r="M2040" s="73" t="n">
        <x:f>MAX(M2039,F2040)</x:f>
        <x:v>1.2817</x:v>
      </x:c>
      <x:c r="N2040" s="74" t="n">
        <x:f>1-F2040/M2040</x:f>
        <x:v>0.01700866037294224</x:v>
      </x:c>
    </x:row>
    <x:row r="2041" ht="27" customHeight="1">
      <x:c r="A2041" s="66" t="str">
        <x:v>SEV580</x:v>
      </x:c>
      <x:c r="B2041" s="66" t="str">
        <x:v>祁腾蜂赢1号</x:v>
      </x:c>
      <x:c r="C2041" s="72" t="n">
        <x:v>43959</x:v>
      </x:c>
      <x:c r="D2041" s="73" t="n">
        <x:v>1.14</x:v>
      </x:c>
      <x:c r="E2041" s="73" t="n">
        <x:v>1.2424</x:v>
      </x:c>
      <x:c r="F2041" s="73" t="n">
        <x:v>1.2594</x:v>
      </x:c>
      <x:c r="G2041" s="74" t="n">
        <x:v>-0.0004</x:v>
      </x:c>
      <x:c r="H2041" s="66" t="str">
        <x:v>祁腾蜂赢1号净值20260911.xlsx</x:v>
      </x:c>
      <x:c r="I2041" s="73" t="str">
        <x:f>""</x:f>
      </x:c>
      <x:c r="J2041" s="74" t="str">
        <x:f>""</x:f>
      </x:c>
      <x:c r="K2041" s="73" t="str">
        <x:f>""</x:f>
      </x:c>
      <x:c r="L2041" s="74" t="str">
        <x:f>""</x:f>
      </x:c>
      <x:c r="M2041" s="73" t="n">
        <x:f>MAX(M2040,F2041)</x:f>
        <x:v>1.2817</x:v>
      </x:c>
      <x:c r="N2041" s="74" t="n">
        <x:f>1-F2041/M2041</x:f>
        <x:v>0.017398767262229886</x:v>
      </x:c>
    </x:row>
    <x:row r="2042" ht="27" customHeight="1">
      <x:c r="A2042" s="66" t="str">
        <x:v>SEV580</x:v>
      </x:c>
      <x:c r="B2042" s="66" t="str">
        <x:v>祁腾蜂赢1号</x:v>
      </x:c>
      <x:c r="C2042" s="72" t="n">
        <x:v>43962</x:v>
      </x:c>
      <x:c r="D2042" s="73" t="n">
        <x:v>1.1468</x:v>
      </x:c>
      <x:c r="E2042" s="73" t="n">
        <x:v>1.2492</x:v>
      </x:c>
      <x:c r="F2042" s="73" t="n">
        <x:v>1.2669</x:v>
      </x:c>
      <x:c r="G2042" s="74" t="n">
        <x:v>0.006</x:v>
      </x:c>
      <x:c r="H2042" s="66" t="str">
        <x:v>祁腾蜂赢1号净值20260911.xlsx</x:v>
      </x:c>
      <x:c r="I2042" s="73" t="str">
        <x:f>""</x:f>
      </x:c>
      <x:c r="J2042" s="74" t="str">
        <x:f>""</x:f>
      </x:c>
      <x:c r="K2042" s="73" t="str">
        <x:f>""</x:f>
      </x:c>
      <x:c r="L2042" s="74" t="str">
        <x:f>""</x:f>
      </x:c>
      <x:c r="M2042" s="73" t="n">
        <x:f>MAX(M2041,F2042)</x:f>
        <x:v>1.2817</x:v>
      </x:c>
      <x:c r="N2042" s="74" t="n">
        <x:f>1-F2042/M2042</x:f>
        <x:v>0.011547163922914994</x:v>
      </x:c>
    </x:row>
    <x:row r="2043" ht="27" customHeight="1">
      <x:c r="A2043" s="66" t="str">
        <x:v>SEV580</x:v>
      </x:c>
      <x:c r="B2043" s="66" t="str">
        <x:v>祁腾蜂赢1号</x:v>
      </x:c>
      <x:c r="C2043" s="72" t="n">
        <x:v>43963</x:v>
      </x:c>
      <x:c r="D2043" s="73" t="n">
        <x:v>1.1493</x:v>
      </x:c>
      <x:c r="E2043" s="73" t="n">
        <x:v>1.2517</x:v>
      </x:c>
      <x:c r="F2043" s="73" t="n">
        <x:v>1.2697</x:v>
      </x:c>
      <x:c r="G2043" s="74" t="n">
        <x:v>0.0022</x:v>
      </x:c>
      <x:c r="H2043" s="66" t="str">
        <x:v>祁腾蜂赢1号净值20260911.xlsx</x:v>
      </x:c>
      <x:c r="I2043" s="73" t="str">
        <x:f>""</x:f>
      </x:c>
      <x:c r="J2043" s="74" t="str">
        <x:f>""</x:f>
      </x:c>
      <x:c r="K2043" s="73" t="str">
        <x:f>""</x:f>
      </x:c>
      <x:c r="L2043" s="74" t="str">
        <x:f>""</x:f>
      </x:c>
      <x:c r="M2043" s="73" t="n">
        <x:f>MAX(M2042,F2043)</x:f>
        <x:v>1.2817</x:v>
      </x:c>
      <x:c r="N2043" s="74" t="n">
        <x:f>1-F2043/M2043</x:f>
        <x:v>0.009362565342903917</x:v>
      </x:c>
    </x:row>
    <x:row r="2044" ht="27" customHeight="1">
      <x:c r="A2044" s="66" t="str">
        <x:v>SEV580</x:v>
      </x:c>
      <x:c r="B2044" s="66" t="str">
        <x:v>祁腾蜂赢1号</x:v>
      </x:c>
      <x:c r="C2044" s="72" t="n">
        <x:v>43964</x:v>
      </x:c>
      <x:c r="D2044" s="73" t="n">
        <x:v>1.1496</x:v>
      </x:c>
      <x:c r="E2044" s="73" t="n">
        <x:v>1.252</x:v>
      </x:c>
      <x:c r="F2044" s="73" t="n">
        <x:v>1.27</x:v>
      </x:c>
      <x:c r="G2044" s="74" t="n">
        <x:v>0.0003</x:v>
      </x:c>
      <x:c r="H2044" s="66" t="str">
        <x:v>祁腾蜂赢1号净值20260911.xlsx</x:v>
      </x:c>
      <x:c r="I2044" s="73" t="str">
        <x:f>""</x:f>
      </x:c>
      <x:c r="J2044" s="74" t="str">
        <x:f>""</x:f>
      </x:c>
      <x:c r="K2044" s="73" t="str">
        <x:f>""</x:f>
      </x:c>
      <x:c r="L2044" s="74" t="str">
        <x:f>""</x:f>
      </x:c>
      <x:c r="M2044" s="73" t="n">
        <x:f>MAX(M2043,F2044)</x:f>
        <x:v>1.2817</x:v>
      </x:c>
      <x:c r="N2044" s="74" t="n">
        <x:f>1-F2044/M2044</x:f>
        <x:v>0.009128501209331397</x:v>
      </x:c>
    </x:row>
    <x:row r="2045" ht="27" customHeight="1">
      <x:c r="A2045" s="66" t="str">
        <x:v>SEV580</x:v>
      </x:c>
      <x:c r="B2045" s="66" t="str">
        <x:v>祁腾蜂赢1号</x:v>
      </x:c>
      <x:c r="C2045" s="72" t="n">
        <x:v>43965</x:v>
      </x:c>
      <x:c r="D2045" s="73" t="n">
        <x:v>1.1647</x:v>
      </x:c>
      <x:c r="E2045" s="73" t="n">
        <x:v>1.2671</x:v>
      </x:c>
      <x:c r="F2045" s="73" t="n">
        <x:v>1.2867</x:v>
      </x:c>
      <x:c r="G2045" s="74" t="n">
        <x:v>0.0131</x:v>
      </x:c>
      <x:c r="H2045" s="66" t="str">
        <x:v>祁腾蜂赢1号净值20260911.xlsx</x:v>
      </x:c>
      <x:c r="I2045" s="73" t="str">
        <x:f>""</x:f>
      </x:c>
      <x:c r="J2045" s="74" t="str">
        <x:f>""</x:f>
      </x:c>
      <x:c r="K2045" s="73" t="str">
        <x:f>""</x:f>
      </x:c>
      <x:c r="L2045" s="74" t="str">
        <x:f>""</x:f>
      </x:c>
      <x:c r="M2045" s="73" t="n">
        <x:f>MAX(M2044,F2045)</x:f>
        <x:v>1.2867</x:v>
      </x:c>
      <x:c r="N2045" s="74" t="n">
        <x:f>1-F2045/M2045</x:f>
        <x:v>0</x:v>
      </x:c>
    </x:row>
    <x:row r="2046" ht="27" customHeight="1">
      <x:c r="A2046" s="66" t="str">
        <x:v>SEV580</x:v>
      </x:c>
      <x:c r="B2046" s="66" t="str">
        <x:v>祁腾蜂赢1号</x:v>
      </x:c>
      <x:c r="C2046" s="72" t="n">
        <x:v>43966</x:v>
      </x:c>
      <x:c r="D2046" s="73" t="n">
        <x:v>1.1615</x:v>
      </x:c>
      <x:c r="E2046" s="73" t="n">
        <x:v>1.2639</x:v>
      </x:c>
      <x:c r="F2046" s="73" t="n">
        <x:v>1.2831</x:v>
      </x:c>
      <x:c r="G2046" s="74" t="n">
        <x:v>-0.0027</x:v>
      </x:c>
      <x:c r="H2046" s="66" t="str">
        <x:v>祁腾蜂赢1号净值20260911.xlsx</x:v>
      </x:c>
      <x:c r="I2046" s="73" t="str">
        <x:f>""</x:f>
      </x:c>
      <x:c r="J2046" s="74" t="str">
        <x:f>""</x:f>
      </x:c>
      <x:c r="K2046" s="73" t="str">
        <x:f>""</x:f>
      </x:c>
      <x:c r="L2046" s="74" t="str">
        <x:f>""</x:f>
      </x:c>
      <x:c r="M2046" s="73" t="n">
        <x:f>MAX(M2045,F2046)</x:f>
        <x:v>1.2867</x:v>
      </x:c>
      <x:c r="N2046" s="74" t="n">
        <x:f>1-F2046/M2046</x:f>
        <x:v>0.0027978549778503448</x:v>
      </x:c>
    </x:row>
    <x:row r="2047" ht="27" customHeight="1">
      <x:c r="A2047" s="66" t="str">
        <x:v>SEV580</x:v>
      </x:c>
      <x:c r="B2047" s="66" t="str">
        <x:v>祁腾蜂赢1号</x:v>
      </x:c>
      <x:c r="C2047" s="72" t="n">
        <x:v>43969</x:v>
      </x:c>
      <x:c r="D2047" s="73" t="n">
        <x:v>1.1587</x:v>
      </x:c>
      <x:c r="E2047" s="73" t="n">
        <x:v>1.2611</x:v>
      </x:c>
      <x:c r="F2047" s="73" t="n">
        <x:v>1.28</x:v>
      </x:c>
      <x:c r="G2047" s="74" t="n">
        <x:v>-0.0024</x:v>
      </x:c>
      <x:c r="H2047" s="66" t="str">
        <x:v>祁腾蜂赢1号净值20260911.xlsx</x:v>
      </x:c>
      <x:c r="I2047" s="73" t="str">
        <x:f>""</x:f>
      </x:c>
      <x:c r="J2047" s="74" t="str">
        <x:f>""</x:f>
      </x:c>
      <x:c r="K2047" s="73" t="str">
        <x:f>""</x:f>
      </x:c>
      <x:c r="L2047" s="74" t="str">
        <x:f>""</x:f>
      </x:c>
      <x:c r="M2047" s="73" t="n">
        <x:f>MAX(M2046,F2047)</x:f>
        <x:v>1.2867</x:v>
      </x:c>
      <x:c r="N2047" s="74" t="n">
        <x:f>1-F2047/M2047</x:f>
        <x:v>0.005207118986554682</x:v>
      </x:c>
    </x:row>
    <x:row r="2048" ht="27" customHeight="1">
      <x:c r="A2048" s="66" t="str">
        <x:v>SEV580</x:v>
      </x:c>
      <x:c r="B2048" s="66" t="str">
        <x:v>祁腾蜂赢1号</x:v>
      </x:c>
      <x:c r="C2048" s="72" t="n">
        <x:v>43970</x:v>
      </x:c>
      <x:c r="D2048" s="73" t="n">
        <x:v>1.1551</x:v>
      </x:c>
      <x:c r="E2048" s="73" t="n">
        <x:v>1.2575</x:v>
      </x:c>
      <x:c r="F2048" s="73" t="n">
        <x:v>1.2761</x:v>
      </x:c>
      <x:c r="G2048" s="74" t="n">
        <x:v>-0.0031</x:v>
      </x:c>
      <x:c r="H2048" s="66" t="str">
        <x:v>祁腾蜂赢1号净值20260911.xlsx</x:v>
      </x:c>
      <x:c r="I2048" s="73" t="str">
        <x:f>""</x:f>
      </x:c>
      <x:c r="J2048" s="74" t="str">
        <x:f>""</x:f>
      </x:c>
      <x:c r="K2048" s="73" t="str">
        <x:f>""</x:f>
      </x:c>
      <x:c r="L2048" s="74" t="str">
        <x:f>""</x:f>
      </x:c>
      <x:c r="M2048" s="73" t="n">
        <x:f>MAX(M2047,F2048)</x:f>
        <x:v>1.2867</x:v>
      </x:c>
      <x:c r="N2048" s="74" t="n">
        <x:f>1-F2048/M2048</x:f>
        <x:v>0.008238128545892565</x:v>
      </x:c>
    </x:row>
    <x:row r="2049" ht="27" customHeight="1">
      <x:c r="A2049" s="66" t="str">
        <x:v>SEV580</x:v>
      </x:c>
      <x:c r="B2049" s="66" t="str">
        <x:v>祁腾蜂赢1号</x:v>
      </x:c>
      <x:c r="C2049" s="72" t="n">
        <x:v>43971</x:v>
      </x:c>
      <x:c r="D2049" s="73" t="n">
        <x:v>1.1534</x:v>
      </x:c>
      <x:c r="E2049" s="73" t="n">
        <x:v>1.2558</x:v>
      </x:c>
      <x:c r="F2049" s="73" t="n">
        <x:v>1.2742</x:v>
      </x:c>
      <x:c r="G2049" s="74" t="n">
        <x:v>-0.0015</x:v>
      </x:c>
      <x:c r="H2049" s="66" t="str">
        <x:v>祁腾蜂赢1号净值20260911.xlsx</x:v>
      </x:c>
      <x:c r="I2049" s="73" t="str">
        <x:f>""</x:f>
      </x:c>
      <x:c r="J2049" s="74" t="str">
        <x:f>""</x:f>
      </x:c>
      <x:c r="K2049" s="73" t="str">
        <x:f>""</x:f>
      </x:c>
      <x:c r="L2049" s="74" t="str">
        <x:f>""</x:f>
      </x:c>
      <x:c r="M2049" s="73" t="n">
        <x:f>MAX(M2048,F2049)</x:f>
        <x:v>1.2867</x:v>
      </x:c>
      <x:c r="N2049" s="74" t="n">
        <x:f>1-F2049/M2049</x:f>
        <x:v>0.00971477422864686</x:v>
      </x:c>
    </x:row>
    <x:row r="2050" ht="27" customHeight="1">
      <x:c r="A2050" s="66" t="str">
        <x:v>SEV580</x:v>
      </x:c>
      <x:c r="B2050" s="66" t="str">
        <x:v>祁腾蜂赢1号</x:v>
      </x:c>
      <x:c r="C2050" s="72" t="n">
        <x:v>43972</x:v>
      </x:c>
      <x:c r="D2050" s="73" t="n">
        <x:v>1.1533</x:v>
      </x:c>
      <x:c r="E2050" s="73" t="n">
        <x:v>1.2557</x:v>
      </x:c>
      <x:c r="F2050" s="73" t="n">
        <x:v>1.2741</x:v>
      </x:c>
      <x:c r="G2050" s="74" t="n">
        <x:v>-0.0001</x:v>
      </x:c>
      <x:c r="H2050" s="66" t="str">
        <x:v>祁腾蜂赢1号净值20260911.xlsx</x:v>
      </x:c>
      <x:c r="I2050" s="73" t="str">
        <x:f>""</x:f>
      </x:c>
      <x:c r="J2050" s="74" t="str">
        <x:f>""</x:f>
      </x:c>
      <x:c r="K2050" s="73" t="str">
        <x:f>""</x:f>
      </x:c>
      <x:c r="L2050" s="74" t="str">
        <x:f>""</x:f>
      </x:c>
      <x:c r="M2050" s="73" t="n">
        <x:f>MAX(M2049,F2050)</x:f>
        <x:v>1.2867</x:v>
      </x:c>
      <x:c r="N2050" s="74" t="n">
        <x:f>1-F2050/M2050</x:f>
        <x:v>0.00979249242247604</x:v>
      </x:c>
    </x:row>
    <x:row r="2051" ht="27" customHeight="1">
      <x:c r="A2051" s="66" t="str">
        <x:v>SEV580</x:v>
      </x:c>
      <x:c r="B2051" s="66" t="str">
        <x:v>祁腾蜂赢1号</x:v>
      </x:c>
      <x:c r="C2051" s="72" t="n">
        <x:v>43973</x:v>
      </x:c>
      <x:c r="D2051" s="73" t="n">
        <x:v>1.1554</x:v>
      </x:c>
      <x:c r="E2051" s="73" t="n">
        <x:v>1.2578</x:v>
      </x:c>
      <x:c r="F2051" s="73" t="n">
        <x:v>1.2764</x:v>
      </x:c>
      <x:c r="G2051" s="74" t="n">
        <x:v>0.0018</x:v>
      </x:c>
      <x:c r="H2051" s="66" t="str">
        <x:v>祁腾蜂赢1号净值20260911.xlsx</x:v>
      </x:c>
      <x:c r="I2051" s="73" t="str">
        <x:f>""</x:f>
      </x:c>
      <x:c r="J2051" s="74" t="str">
        <x:f>""</x:f>
      </x:c>
      <x:c r="K2051" s="73" t="str">
        <x:f>""</x:f>
      </x:c>
      <x:c r="L2051" s="74" t="str">
        <x:f>""</x:f>
      </x:c>
      <x:c r="M2051" s="73" t="n">
        <x:f>MAX(M2050,F2051)</x:f>
        <x:v>1.2867</x:v>
      </x:c>
      <x:c r="N2051" s="74" t="n">
        <x:f>1-F2051/M2051</x:f>
        <x:v>0.008004973964405027</x:v>
      </x:c>
    </x:row>
    <x:row r="2052" ht="27" customHeight="1">
      <x:c r="A2052" s="66" t="str">
        <x:v>SEV580</x:v>
      </x:c>
      <x:c r="B2052" s="66" t="str">
        <x:v>祁腾蜂赢1号</x:v>
      </x:c>
      <x:c r="C2052" s="72" t="n">
        <x:v>43976</x:v>
      </x:c>
      <x:c r="D2052" s="73" t="n">
        <x:v>1.155</x:v>
      </x:c>
      <x:c r="E2052" s="73" t="n">
        <x:v>1.2574</x:v>
      </x:c>
      <x:c r="F2052" s="73" t="n">
        <x:v>1.276</x:v>
      </x:c>
      <x:c r="G2052" s="74" t="n">
        <x:v>-0.0003</x:v>
      </x:c>
      <x:c r="H2052" s="66" t="str">
        <x:v>祁腾蜂赢1号净值20260911.xlsx</x:v>
      </x:c>
      <x:c r="I2052" s="73" t="str">
        <x:f>""</x:f>
      </x:c>
      <x:c r="J2052" s="74" t="str">
        <x:f>""</x:f>
      </x:c>
      <x:c r="K2052" s="73" t="str">
        <x:f>""</x:f>
      </x:c>
      <x:c r="L2052" s="74" t="str">
        <x:f>""</x:f>
      </x:c>
      <x:c r="M2052" s="73" t="n">
        <x:f>MAX(M2051,F2052)</x:f>
        <x:v>1.2867</x:v>
      </x:c>
      <x:c r="N2052" s="74" t="n">
        <x:f>1-F2052/M2052</x:f>
        <x:v>0.008315846739721744</x:v>
      </x:c>
    </x:row>
    <x:row r="2053" ht="27" customHeight="1">
      <x:c r="A2053" s="66" t="str">
        <x:v>SEV580</x:v>
      </x:c>
      <x:c r="B2053" s="66" t="str">
        <x:v>祁腾蜂赢1号</x:v>
      </x:c>
      <x:c r="C2053" s="72" t="n">
        <x:v>43977</x:v>
      </x:c>
      <x:c r="D2053" s="73" t="n">
        <x:v>1.1542</x:v>
      </x:c>
      <x:c r="E2053" s="73" t="n">
        <x:v>1.2566</x:v>
      </x:c>
      <x:c r="F2053" s="73" t="n">
        <x:v>1.2751</x:v>
      </x:c>
      <x:c r="G2053" s="74" t="n">
        <x:v>-0.0007000000000000001</x:v>
      </x:c>
      <x:c r="H2053" s="66" t="str">
        <x:v>祁腾蜂赢1号净值20260911.xlsx</x:v>
      </x:c>
      <x:c r="I2053" s="73" t="str">
        <x:f>""</x:f>
      </x:c>
      <x:c r="J2053" s="74" t="str">
        <x:f>""</x:f>
      </x:c>
      <x:c r="K2053" s="73" t="str">
        <x:f>""</x:f>
      </x:c>
      <x:c r="L2053" s="74" t="str">
        <x:f>""</x:f>
      </x:c>
      <x:c r="M2053" s="73" t="n">
        <x:f>MAX(M2052,F2053)</x:f>
        <x:v>1.2867</x:v>
      </x:c>
      <x:c r="N2053" s="74" t="n">
        <x:f>1-F2053/M2053</x:f>
        <x:v>0.009015310484184358</x:v>
      </x:c>
    </x:row>
    <x:row r="2054" ht="27" customHeight="1">
      <x:c r="A2054" s="66" t="str">
        <x:v>SEV580</x:v>
      </x:c>
      <x:c r="B2054" s="66" t="str">
        <x:v>祁腾蜂赢1号</x:v>
      </x:c>
      <x:c r="C2054" s="72" t="n">
        <x:v>43978</x:v>
      </x:c>
      <x:c r="D2054" s="73" t="n">
        <x:v>1.1536</x:v>
      </x:c>
      <x:c r="E2054" s="73" t="n">
        <x:v>1.256</x:v>
      </x:c>
      <x:c r="F2054" s="73" t="n">
        <x:v>1.2744</x:v>
      </x:c>
      <x:c r="G2054" s="74" t="n">
        <x:v>-0.0005</x:v>
      </x:c>
      <x:c r="H2054" s="66" t="str">
        <x:v>祁腾蜂赢1号净值20260911.xlsx</x:v>
      </x:c>
      <x:c r="I2054" s="73" t="str">
        <x:f>""</x:f>
      </x:c>
      <x:c r="J2054" s="74" t="str">
        <x:f>""</x:f>
      </x:c>
      <x:c r="K2054" s="73" t="str">
        <x:f>""</x:f>
      </x:c>
      <x:c r="L2054" s="74" t="str">
        <x:f>""</x:f>
      </x:c>
      <x:c r="M2054" s="73" t="n">
        <x:f>MAX(M2053,F2054)</x:f>
        <x:v>1.2867</x:v>
      </x:c>
      <x:c r="N2054" s="74" t="n">
        <x:f>1-F2054/M2054</x:f>
        <x:v>0.009559337840988613</x:v>
      </x:c>
    </x:row>
    <x:row r="2055" ht="27" customHeight="1">
      <x:c r="A2055" s="66" t="str">
        <x:v>SEV580</x:v>
      </x:c>
      <x:c r="B2055" s="66" t="str">
        <x:v>祁腾蜂赢1号</x:v>
      </x:c>
      <x:c r="C2055" s="72" t="n">
        <x:v>43979</x:v>
      </x:c>
      <x:c r="D2055" s="73" t="n">
        <x:v>1.1545</x:v>
      </x:c>
      <x:c r="E2055" s="73" t="n">
        <x:v>1.2569</x:v>
      </x:c>
      <x:c r="F2055" s="73" t="n">
        <x:v>1.2754</x:v>
      </x:c>
      <x:c r="G2055" s="74" t="n">
        <x:v>0.0008</x:v>
      </x:c>
      <x:c r="H2055" s="66" t="str">
        <x:v>祁腾蜂赢1号净值20260911.xlsx</x:v>
      </x:c>
      <x:c r="I2055" s="73" t="str">
        <x:f>""</x:f>
      </x:c>
      <x:c r="J2055" s="74" t="str">
        <x:f>""</x:f>
      </x:c>
      <x:c r="K2055" s="73" t="str">
        <x:f>""</x:f>
      </x:c>
      <x:c r="L2055" s="74" t="str">
        <x:f>""</x:f>
      </x:c>
      <x:c r="M2055" s="73" t="n">
        <x:f>MAX(M2054,F2055)</x:f>
        <x:v>1.2867</x:v>
      </x:c>
      <x:c r="N2055" s="74" t="n">
        <x:f>1-F2055/M2055</x:f>
        <x:v>0.008782155902696709</x:v>
      </x:c>
    </x:row>
    <x:row r="2056" ht="27" customHeight="1">
      <x:c r="A2056" s="66" t="str">
        <x:v>SEV580</x:v>
      </x:c>
      <x:c r="B2056" s="66" t="str">
        <x:v>祁腾蜂赢1号</x:v>
      </x:c>
      <x:c r="C2056" s="72" t="n">
        <x:v>43980</x:v>
      </x:c>
      <x:c r="D2056" s="73" t="n">
        <x:v>1.1554</x:v>
      </x:c>
      <x:c r="E2056" s="73" t="n">
        <x:v>1.2578</x:v>
      </x:c>
      <x:c r="F2056" s="73" t="n">
        <x:v>1.2764</x:v>
      </x:c>
      <x:c r="G2056" s="74" t="n">
        <x:v>0.0008</x:v>
      </x:c>
      <x:c r="H2056" s="66" t="str">
        <x:v>祁腾蜂赢1号净值20260911.xlsx</x:v>
      </x:c>
      <x:c r="I2056" s="73" t="str">
        <x:f>""</x:f>
      </x:c>
      <x:c r="J2056" s="74" t="str">
        <x:f>""</x:f>
      </x:c>
      <x:c r="K2056" s="73" t="str">
        <x:f>""</x:f>
      </x:c>
      <x:c r="L2056" s="74" t="str">
        <x:f>""</x:f>
      </x:c>
      <x:c r="M2056" s="73" t="n">
        <x:f>MAX(M2055,F2056)</x:f>
        <x:v>1.2867</x:v>
      </x:c>
      <x:c r="N2056" s="74" t="n">
        <x:f>1-F2056/M2056</x:f>
        <x:v>0.008004973964405027</x:v>
      </x:c>
    </x:row>
    <x:row r="2057" ht="27" customHeight="1">
      <x:c r="A2057" s="66" t="str">
        <x:v>SEV580</x:v>
      </x:c>
      <x:c r="B2057" s="66" t="str">
        <x:v>祁腾蜂赢1号</x:v>
      </x:c>
      <x:c r="C2057" s="72" t="n">
        <x:v>43983</x:v>
      </x:c>
      <x:c r="D2057" s="73" t="n">
        <x:v>1.1565</x:v>
      </x:c>
      <x:c r="E2057" s="73" t="n">
        <x:v>1.2589</x:v>
      </x:c>
      <x:c r="F2057" s="73" t="n">
        <x:v>1.2776</x:v>
      </x:c>
      <x:c r="G2057" s="74" t="n">
        <x:v>0.001</x:v>
      </x:c>
      <x:c r="H2057" s="66" t="str">
        <x:v>祁腾蜂赢1号净值20260911.xlsx</x:v>
      </x:c>
      <x:c r="I2057" s="73" t="str">
        <x:f>""</x:f>
      </x:c>
      <x:c r="J2057" s="74" t="str">
        <x:f>""</x:f>
      </x:c>
      <x:c r="K2057" s="73" t="str">
        <x:f>""</x:f>
      </x:c>
      <x:c r="L2057" s="74" t="str">
        <x:f>""</x:f>
      </x:c>
      <x:c r="M2057" s="73" t="n">
        <x:f>MAX(M2056,F2057)</x:f>
        <x:v>1.2867</x:v>
      </x:c>
      <x:c r="N2057" s="74" t="n">
        <x:f>1-F2057/M2057</x:f>
        <x:v>0.007072355638454875</x:v>
      </x:c>
    </x:row>
    <x:row r="2058" ht="27" customHeight="1">
      <x:c r="A2058" s="66" t="str">
        <x:v>SEV580</x:v>
      </x:c>
      <x:c r="B2058" s="66" t="str">
        <x:v>祁腾蜂赢1号</x:v>
      </x:c>
      <x:c r="C2058" s="72" t="n">
        <x:v>43984</x:v>
      </x:c>
      <x:c r="D2058" s="73" t="n">
        <x:v>1.1571</x:v>
      </x:c>
      <x:c r="E2058" s="73" t="n">
        <x:v>1.2595</x:v>
      </x:c>
      <x:c r="F2058" s="73" t="n">
        <x:v>1.2783</x:v>
      </x:c>
      <x:c r="G2058" s="74" t="n">
        <x:v>0.0005</x:v>
      </x:c>
      <x:c r="H2058" s="66" t="str">
        <x:v>祁腾蜂赢1号净值20260911.xlsx</x:v>
      </x:c>
      <x:c r="I2058" s="73" t="str">
        <x:f>""</x:f>
      </x:c>
      <x:c r="J2058" s="74" t="str">
        <x:f>""</x:f>
      </x:c>
      <x:c r="K2058" s="73" t="str">
        <x:f>""</x:f>
      </x:c>
      <x:c r="L2058" s="74" t="str">
        <x:f>""</x:f>
      </x:c>
      <x:c r="M2058" s="73" t="n">
        <x:f>MAX(M2057,F2058)</x:f>
        <x:v>1.2867</x:v>
      </x:c>
      <x:c r="N2058" s="74" t="n">
        <x:f>1-F2058/M2058</x:f>
        <x:v>0.00652832828165073</x:v>
      </x:c>
    </x:row>
    <x:row r="2059" ht="27" customHeight="1">
      <x:c r="A2059" s="66" t="str">
        <x:v>SEV580</x:v>
      </x:c>
      <x:c r="B2059" s="66" t="str">
        <x:v>祁腾蜂赢1号</x:v>
      </x:c>
      <x:c r="C2059" s="72" t="n">
        <x:v>43985</x:v>
      </x:c>
      <x:c r="D2059" s="73" t="n">
        <x:v>1.1584</x:v>
      </x:c>
      <x:c r="E2059" s="73" t="n">
        <x:v>1.2608</x:v>
      </x:c>
      <x:c r="F2059" s="73" t="n">
        <x:v>1.2797</x:v>
      </x:c>
      <x:c r="G2059" s="74" t="n">
        <x:v>0.0011</x:v>
      </x:c>
      <x:c r="H2059" s="66" t="str">
        <x:v>祁腾蜂赢1号净值20260911.xlsx</x:v>
      </x:c>
      <x:c r="I2059" s="73" t="str">
        <x:f>""</x:f>
      </x:c>
      <x:c r="J2059" s="74" t="str">
        <x:f>""</x:f>
      </x:c>
      <x:c r="K2059" s="73" t="str">
        <x:f>""</x:f>
      </x:c>
      <x:c r="L2059" s="74" t="str">
        <x:f>""</x:f>
      </x:c>
      <x:c r="M2059" s="73" t="n">
        <x:f>MAX(M2058,F2059)</x:f>
        <x:v>1.2867</x:v>
      </x:c>
      <x:c r="N2059" s="74" t="n">
        <x:f>1-F2059/M2059</x:f>
        <x:v>0.00544027356804222</x:v>
      </x:c>
    </x:row>
    <x:row r="2060" ht="27" customHeight="1">
      <x:c r="A2060" s="66" t="str">
        <x:v>SEV580</x:v>
      </x:c>
      <x:c r="B2060" s="66" t="str">
        <x:v>祁腾蜂赢1号</x:v>
      </x:c>
      <x:c r="C2060" s="72" t="n">
        <x:v>43986</x:v>
      </x:c>
      <x:c r="D2060" s="73" t="n">
        <x:v>1.1622</x:v>
      </x:c>
      <x:c r="E2060" s="73" t="n">
        <x:v>1.2646</x:v>
      </x:c>
      <x:c r="F2060" s="73" t="n">
        <x:v>1.2839</x:v>
      </x:c>
      <x:c r="G2060" s="74" t="n">
        <x:v>0.0033</x:v>
      </x:c>
      <x:c r="H2060" s="66" t="str">
        <x:v>祁腾蜂赢1号净值20260911.xlsx</x:v>
      </x:c>
      <x:c r="I2060" s="73" t="str">
        <x:f>""</x:f>
      </x:c>
      <x:c r="J2060" s="74" t="str">
        <x:f>""</x:f>
      </x:c>
      <x:c r="K2060" s="73" t="str">
        <x:f>""</x:f>
      </x:c>
      <x:c r="L2060" s="74" t="str">
        <x:f>""</x:f>
      </x:c>
      <x:c r="M2060" s="73" t="n">
        <x:f>MAX(M2059,F2060)</x:f>
        <x:v>1.2867</x:v>
      </x:c>
      <x:c r="N2060" s="74" t="n">
        <x:f>1-F2060/M2060</x:f>
        <x:v>0.002176109427216799</x:v>
      </x:c>
    </x:row>
    <x:row r="2061" ht="27" customHeight="1">
      <x:c r="A2061" s="66" t="str">
        <x:v>SEV580</x:v>
      </x:c>
      <x:c r="B2061" s="66" t="str">
        <x:v>祁腾蜂赢1号</x:v>
      </x:c>
      <x:c r="C2061" s="72" t="n">
        <x:v>43987</x:v>
      </x:c>
      <x:c r="D2061" s="73" t="n">
        <x:v>1.1625</x:v>
      </x:c>
      <x:c r="E2061" s="73" t="n">
        <x:v>1.2649</x:v>
      </x:c>
      <x:c r="F2061" s="73" t="n">
        <x:v>1.2842</x:v>
      </x:c>
      <x:c r="G2061" s="74" t="n">
        <x:v>0.0003</x:v>
      </x:c>
      <x:c r="H2061" s="66" t="str">
        <x:v>祁腾蜂赢1号净值20260911.xlsx</x:v>
      </x:c>
      <x:c r="I2061" s="73" t="str">
        <x:f>""</x:f>
      </x:c>
      <x:c r="J2061" s="74" t="str">
        <x:f>""</x:f>
      </x:c>
      <x:c r="K2061" s="73" t="str">
        <x:f>""</x:f>
      </x:c>
      <x:c r="L2061" s="74" t="str">
        <x:f>""</x:f>
      </x:c>
      <x:c r="M2061" s="73" t="n">
        <x:f>MAX(M2060,F2061)</x:f>
        <x:v>1.2867</x:v>
      </x:c>
      <x:c r="N2061" s="74" t="n">
        <x:f>1-F2061/M2061</x:f>
        <x:v>0.0019429548457293722</x:v>
      </x:c>
    </x:row>
    <x:row r="2062" ht="27" customHeight="1">
      <x:c r="A2062" s="66" t="str">
        <x:v>SEV580</x:v>
      </x:c>
      <x:c r="B2062" s="66" t="str">
        <x:v>祁腾蜂赢1号</x:v>
      </x:c>
      <x:c r="C2062" s="72" t="n">
        <x:v>43990</x:v>
      </x:c>
      <x:c r="D2062" s="73" t="n">
        <x:v>1.1621</x:v>
      </x:c>
      <x:c r="E2062" s="73" t="n">
        <x:v>1.2645</x:v>
      </x:c>
      <x:c r="F2062" s="73" t="n">
        <x:v>1.2838</x:v>
      </x:c>
      <x:c r="G2062" s="74" t="n">
        <x:v>-0.0003</x:v>
      </x:c>
      <x:c r="H2062" s="66" t="str">
        <x:v>祁腾蜂赢1号净值20260911.xlsx</x:v>
      </x:c>
      <x:c r="I2062" s="73" t="str">
        <x:f>""</x:f>
      </x:c>
      <x:c r="J2062" s="74" t="str">
        <x:f>""</x:f>
      </x:c>
      <x:c r="K2062" s="73" t="str">
        <x:f>""</x:f>
      </x:c>
      <x:c r="L2062" s="74" t="str">
        <x:f>""</x:f>
      </x:c>
      <x:c r="M2062" s="73" t="n">
        <x:f>MAX(M2061,F2062)</x:f>
        <x:v>1.2867</x:v>
      </x:c>
      <x:c r="N2062" s="74" t="n">
        <x:f>1-F2062/M2062</x:f>
        <x:v>0.0022538276210459784</x:v>
      </x:c>
    </x:row>
    <x:row r="2063" ht="27" customHeight="1">
      <x:c r="A2063" s="66" t="str">
        <x:v>SEV580</x:v>
      </x:c>
      <x:c r="B2063" s="66" t="str">
        <x:v>祁腾蜂赢1号</x:v>
      </x:c>
      <x:c r="C2063" s="72" t="n">
        <x:v>43991</x:v>
      </x:c>
      <x:c r="D2063" s="73" t="n">
        <x:v>1.1651</x:v>
      </x:c>
      <x:c r="E2063" s="73" t="n">
        <x:v>1.2675</x:v>
      </x:c>
      <x:c r="F2063" s="73" t="n">
        <x:v>1.2871</x:v>
      </x:c>
      <x:c r="G2063" s="74" t="n">
        <x:v>0.0026</x:v>
      </x:c>
      <x:c r="H2063" s="66" t="str">
        <x:v>祁腾蜂赢1号净值20260911.xlsx</x:v>
      </x:c>
      <x:c r="I2063" s="73" t="str">
        <x:f>""</x:f>
      </x:c>
      <x:c r="J2063" s="74" t="str">
        <x:f>""</x:f>
      </x:c>
      <x:c r="K2063" s="73" t="str">
        <x:f>""</x:f>
      </x:c>
      <x:c r="L2063" s="74" t="str">
        <x:f>""</x:f>
      </x:c>
      <x:c r="M2063" s="73" t="n">
        <x:f>MAX(M2062,F2063)</x:f>
        <x:v>1.2871</x:v>
      </x:c>
      <x:c r="N2063" s="74" t="n">
        <x:f>1-F2063/M2063</x:f>
        <x:v>0</x:v>
      </x:c>
    </x:row>
    <x:row r="2064" ht="27" customHeight="1">
      <x:c r="A2064" s="66" t="str">
        <x:v>SEV580</x:v>
      </x:c>
      <x:c r="B2064" s="66" t="str">
        <x:v>祁腾蜂赢1号</x:v>
      </x:c>
      <x:c r="C2064" s="72" t="n">
        <x:v>43992</x:v>
      </x:c>
      <x:c r="D2064" s="73" t="n">
        <x:v>1.165</x:v>
      </x:c>
      <x:c r="E2064" s="73" t="n">
        <x:v>1.2674</x:v>
      </x:c>
      <x:c r="F2064" s="73" t="n">
        <x:v>1.287</x:v>
      </x:c>
      <x:c r="G2064" s="74" t="n">
        <x:v>-0.0001</x:v>
      </x:c>
      <x:c r="H2064" s="66" t="str">
        <x:v>祁腾蜂赢1号净值20260911.xlsx</x:v>
      </x:c>
      <x:c r="I2064" s="73" t="str">
        <x:f>""</x:f>
      </x:c>
      <x:c r="J2064" s="74" t="str">
        <x:f>""</x:f>
      </x:c>
      <x:c r="K2064" s="73" t="str">
        <x:f>""</x:f>
      </x:c>
      <x:c r="L2064" s="74" t="str">
        <x:f>""</x:f>
      </x:c>
      <x:c r="M2064" s="73" t="n">
        <x:f>MAX(M2063,F2064)</x:f>
        <x:v>1.2871</x:v>
      </x:c>
      <x:c r="N2064" s="74" t="n">
        <x:f>1-F2064/M2064</x:f>
        <x:v>0.00007769404086710452</x:v>
      </x:c>
    </x:row>
    <x:row r="2065" ht="27" customHeight="1">
      <x:c r="A2065" s="66" t="str">
        <x:v>SEV580</x:v>
      </x:c>
      <x:c r="B2065" s="66" t="str">
        <x:v>祁腾蜂赢1号</x:v>
      </x:c>
      <x:c r="C2065" s="72" t="n">
        <x:v>43993</x:v>
      </x:c>
      <x:c r="D2065" s="73" t="n">
        <x:v>1.1654</x:v>
      </x:c>
      <x:c r="E2065" s="73" t="n">
        <x:v>1.2678</x:v>
      </x:c>
      <x:c r="F2065" s="73" t="n">
        <x:v>1.2874</x:v>
      </x:c>
      <x:c r="G2065" s="74" t="n">
        <x:v>0.0003</x:v>
      </x:c>
      <x:c r="H2065" s="66" t="str">
        <x:v>祁腾蜂赢1号净值20260911.xlsx</x:v>
      </x:c>
      <x:c r="I2065" s="73" t="str">
        <x:f>""</x:f>
      </x:c>
      <x:c r="J2065" s="74" t="str">
        <x:f>""</x:f>
      </x:c>
      <x:c r="K2065" s="73" t="str">
        <x:f>""</x:f>
      </x:c>
      <x:c r="L2065" s="74" t="str">
        <x:f>""</x:f>
      </x:c>
      <x:c r="M2065" s="73" t="n">
        <x:f>MAX(M2064,F2065)</x:f>
        <x:v>1.2874</x:v>
      </x:c>
      <x:c r="N2065" s="74" t="n">
        <x:f>1-F2065/M2065</x:f>
        <x:v>0</x:v>
      </x:c>
    </x:row>
    <x:row r="2066" ht="27" customHeight="1">
      <x:c r="A2066" s="66" t="str">
        <x:v>SEV580</x:v>
      </x:c>
      <x:c r="B2066" s="66" t="str">
        <x:v>祁腾蜂赢1号</x:v>
      </x:c>
      <x:c r="C2066" s="72" t="n">
        <x:v>43994</x:v>
      </x:c>
      <x:c r="D2066" s="73" t="n">
        <x:v>1.1658</x:v>
      </x:c>
      <x:c r="E2066" s="73" t="n">
        <x:v>1.2682</x:v>
      </x:c>
      <x:c r="F2066" s="73" t="n">
        <x:v>1.2879</x:v>
      </x:c>
      <x:c r="G2066" s="74" t="n">
        <x:v>0.0003</x:v>
      </x:c>
      <x:c r="H2066" s="66" t="str">
        <x:v>祁腾蜂赢1号净值20260911.xlsx</x:v>
      </x:c>
      <x:c r="I2066" s="73" t="str">
        <x:f>""</x:f>
      </x:c>
      <x:c r="J2066" s="74" t="str">
        <x:f>""</x:f>
      </x:c>
      <x:c r="K2066" s="73" t="str">
        <x:f>""</x:f>
      </x:c>
      <x:c r="L2066" s="74" t="str">
        <x:f>""</x:f>
      </x:c>
      <x:c r="M2066" s="73" t="n">
        <x:f>MAX(M2065,F2066)</x:f>
        <x:v>1.2879</x:v>
      </x:c>
      <x:c r="N2066" s="74" t="n">
        <x:f>1-F2066/M2066</x:f>
        <x:v>0</x:v>
      </x:c>
    </x:row>
    <x:row r="2067" ht="27" customHeight="1">
      <x:c r="A2067" s="66" t="str">
        <x:v>SEV580</x:v>
      </x:c>
      <x:c r="B2067" s="66" t="str">
        <x:v>祁腾蜂赢1号</x:v>
      </x:c>
      <x:c r="C2067" s="72" t="n">
        <x:v>43997</x:v>
      </x:c>
      <x:c r="D2067" s="73" t="n">
        <x:v>1.1681</x:v>
      </x:c>
      <x:c r="E2067" s="73" t="n">
        <x:v>1.2705</x:v>
      </x:c>
      <x:c r="F2067" s="73" t="n">
        <x:v>1.2904</x:v>
      </x:c>
      <x:c r="G2067" s="74" t="n">
        <x:v>0.002</x:v>
      </x:c>
      <x:c r="H2067" s="66" t="str">
        <x:v>祁腾蜂赢1号净值20260911.xlsx</x:v>
      </x:c>
      <x:c r="I2067" s="73" t="str">
        <x:f>""</x:f>
      </x:c>
      <x:c r="J2067" s="74" t="str">
        <x:f>""</x:f>
      </x:c>
      <x:c r="K2067" s="73" t="str">
        <x:f>""</x:f>
      </x:c>
      <x:c r="L2067" s="74" t="str">
        <x:f>""</x:f>
      </x:c>
      <x:c r="M2067" s="73" t="n">
        <x:f>MAX(M2066,F2067)</x:f>
        <x:v>1.2904</x:v>
      </x:c>
      <x:c r="N2067" s="74" t="n">
        <x:f>1-F2067/M2067</x:f>
        <x:v>0</x:v>
      </x:c>
    </x:row>
    <x:row r="2068" ht="27" customHeight="1">
      <x:c r="A2068" s="66" t="str">
        <x:v>SEV580</x:v>
      </x:c>
      <x:c r="B2068" s="66" t="str">
        <x:v>祁腾蜂赢1号</x:v>
      </x:c>
      <x:c r="C2068" s="72" t="n">
        <x:v>43998</x:v>
      </x:c>
      <x:c r="D2068" s="73" t="n">
        <x:v>1.1674</x:v>
      </x:c>
      <x:c r="E2068" s="73" t="n">
        <x:v>1.2698</x:v>
      </x:c>
      <x:c r="F2068" s="73" t="n">
        <x:v>1.2897</x:v>
      </x:c>
      <x:c r="G2068" s="74" t="n">
        <x:v>-0.0006</x:v>
      </x:c>
      <x:c r="H2068" s="66" t="str">
        <x:v>祁腾蜂赢1号净值20260911.xlsx</x:v>
      </x:c>
      <x:c r="I2068" s="73" t="str">
        <x:f>""</x:f>
      </x:c>
      <x:c r="J2068" s="74" t="str">
        <x:f>""</x:f>
      </x:c>
      <x:c r="K2068" s="73" t="str">
        <x:f>""</x:f>
      </x:c>
      <x:c r="L2068" s="74" t="str">
        <x:f>""</x:f>
      </x:c>
      <x:c r="M2068" s="73" t="n">
        <x:f>MAX(M2067,F2068)</x:f>
        <x:v>1.2904</x:v>
      </x:c>
      <x:c r="N2068" s="74" t="n">
        <x:f>1-F2068/M2068</x:f>
        <x:v>0.000542467451952855</x:v>
      </x:c>
    </x:row>
    <x:row r="2069" ht="27" customHeight="1">
      <x:c r="A2069" s="66" t="str">
        <x:v>SEV580</x:v>
      </x:c>
      <x:c r="B2069" s="66" t="str">
        <x:v>祁腾蜂赢1号</x:v>
      </x:c>
      <x:c r="C2069" s="72" t="n">
        <x:v>43999</x:v>
      </x:c>
      <x:c r="D2069" s="73" t="n">
        <x:v>1.1663</x:v>
      </x:c>
      <x:c r="E2069" s="73" t="n">
        <x:v>1.2687</x:v>
      </x:c>
      <x:c r="F2069" s="73" t="n">
        <x:v>1.2884</x:v>
      </x:c>
      <x:c r="G2069" s="74" t="n">
        <x:v>-0.0009</x:v>
      </x:c>
      <x:c r="H2069" s="66" t="str">
        <x:v>祁腾蜂赢1号净值20260911.xlsx</x:v>
      </x:c>
      <x:c r="I2069" s="73" t="str">
        <x:f>""</x:f>
      </x:c>
      <x:c r="J2069" s="74" t="str">
        <x:f>""</x:f>
      </x:c>
      <x:c r="K2069" s="73" t="str">
        <x:f>""</x:f>
      </x:c>
      <x:c r="L2069" s="74" t="str">
        <x:f>""</x:f>
      </x:c>
      <x:c r="M2069" s="73" t="n">
        <x:f>MAX(M2068,F2069)</x:f>
        <x:v>1.2904</x:v>
      </x:c>
      <x:c r="N2069" s="74" t="n">
        <x:f>1-F2069/M2069</x:f>
        <x:v>0.0015499070055796649</x:v>
      </x:c>
    </x:row>
    <x:row r="2070" ht="27" customHeight="1">
      <x:c r="A2070" s="66" t="str">
        <x:v>SEV580</x:v>
      </x:c>
      <x:c r="B2070" s="66" t="str">
        <x:v>祁腾蜂赢1号</x:v>
      </x:c>
      <x:c r="C2070" s="72" t="n">
        <x:v>44000</x:v>
      </x:c>
      <x:c r="D2070" s="73" t="n">
        <x:v>1.1661</x:v>
      </x:c>
      <x:c r="E2070" s="73" t="n">
        <x:v>1.2685</x:v>
      </x:c>
      <x:c r="F2070" s="73" t="n">
        <x:v>1.2882</x:v>
      </x:c>
      <x:c r="G2070" s="74" t="n">
        <x:v>-0.0002</x:v>
      </x:c>
      <x:c r="H2070" s="66" t="str">
        <x:v>祁腾蜂赢1号净值20260911.xlsx</x:v>
      </x:c>
      <x:c r="I2070" s="73" t="str">
        <x:f>""</x:f>
      </x:c>
      <x:c r="J2070" s="74" t="str">
        <x:f>""</x:f>
      </x:c>
      <x:c r="K2070" s="73" t="str">
        <x:f>""</x:f>
      </x:c>
      <x:c r="L2070" s="74" t="str">
        <x:f>""</x:f>
      </x:c>
      <x:c r="M2070" s="73" t="n">
        <x:f>MAX(M2069,F2070)</x:f>
        <x:v>1.2904</x:v>
      </x:c>
      <x:c r="N2070" s="74" t="n">
        <x:f>1-F2070/M2070</x:f>
        <x:v>0.0017048977061375759</x:v>
      </x:c>
    </x:row>
    <x:row r="2071" ht="27" customHeight="1">
      <x:c r="A2071" s="66" t="str">
        <x:v>SEV580</x:v>
      </x:c>
      <x:c r="B2071" s="66" t="str">
        <x:v>祁腾蜂赢1号</x:v>
      </x:c>
      <x:c r="C2071" s="72" t="n">
        <x:v>44001</x:v>
      </x:c>
      <x:c r="D2071" s="73" t="n">
        <x:v>1</x:v>
      </x:c>
      <x:c r="E2071" s="73" t="n">
        <x:v>1.2697</x:v>
      </x:c>
      <x:c r="F2071" s="73" t="n">
        <x:v>1.2895</x:v>
      </x:c>
      <x:c r="G2071" s="74" t="n">
        <x:v>0.001</x:v>
      </x:c>
      <x:c r="H2071" s="66" t="str">
        <x:v>祁腾蜂赢1号净值20260911.xlsx</x:v>
      </x:c>
      <x:c r="I2071" s="73" t="str">
        <x:f>""</x:f>
      </x:c>
      <x:c r="J2071" s="74" t="str">
        <x:f>""</x:f>
      </x:c>
      <x:c r="K2071" s="73" t="str">
        <x:f>""</x:f>
      </x:c>
      <x:c r="L2071" s="74" t="str">
        <x:f>""</x:f>
      </x:c>
      <x:c r="M2071" s="73" t="n">
        <x:f>MAX(M2070,F2071)</x:f>
        <x:v>1.2904</x:v>
      </x:c>
      <x:c r="N2071" s="74" t="n">
        <x:f>1-F2071/M2071</x:f>
        <x:v>0.0006974581525107659</x:v>
      </x:c>
    </x:row>
    <x:row r="2072" ht="27" customHeight="1">
      <x:c r="A2072" s="66" t="str">
        <x:v>SEV580</x:v>
      </x:c>
      <x:c r="B2072" s="66" t="str">
        <x:v>祁腾蜂赢1号</x:v>
      </x:c>
      <x:c r="C2072" s="72" t="n">
        <x:v>44004</x:v>
      </x:c>
      <x:c r="D2072" s="73" t="n">
        <x:v>1.0005</x:v>
      </x:c>
      <x:c r="E2072" s="73" t="n">
        <x:v>1.2702</x:v>
      </x:c>
      <x:c r="F2072" s="73" t="n">
        <x:v>1.2902</x:v>
      </x:c>
      <x:c r="G2072" s="74" t="n">
        <x:v>0.0005</x:v>
      </x:c>
      <x:c r="H2072" s="66" t="str">
        <x:v>祁腾蜂赢1号净值20260911.xlsx</x:v>
      </x:c>
      <x:c r="I2072" s="73" t="str">
        <x:f>""</x:f>
      </x:c>
      <x:c r="J2072" s="74" t="str">
        <x:f>""</x:f>
      </x:c>
      <x:c r="K2072" s="73" t="str">
        <x:f>""</x:f>
      </x:c>
      <x:c r="L2072" s="74" t="str">
        <x:f>""</x:f>
      </x:c>
      <x:c r="M2072" s="73" t="n">
        <x:f>MAX(M2071,F2072)</x:f>
        <x:v>1.2904</x:v>
      </x:c>
      <x:c r="N2072" s="74" t="n">
        <x:f>1-F2072/M2072</x:f>
        <x:v>0.00015499070055791098</x:v>
      </x:c>
    </x:row>
    <x:row r="2073" ht="27" customHeight="1">
      <x:c r="A2073" s="66" t="str">
        <x:v>SEV580</x:v>
      </x:c>
      <x:c r="B2073" s="66" t="str">
        <x:v>祁腾蜂赢1号</x:v>
      </x:c>
      <x:c r="C2073" s="72" t="n">
        <x:v>44005</x:v>
      </x:c>
      <x:c r="D2073" s="73" t="n">
        <x:v>0.9989</x:v>
      </x:c>
      <x:c r="E2073" s="73" t="n">
        <x:v>1.2686</x:v>
      </x:c>
      <x:c r="F2073" s="73" t="n">
        <x:v>1.2881</x:v>
      </x:c>
      <x:c r="G2073" s="74" t="n">
        <x:v>-0.0016</x:v>
      </x:c>
      <x:c r="H2073" s="66" t="str">
        <x:v>祁腾蜂赢1号净值20260911.xlsx</x:v>
      </x:c>
      <x:c r="I2073" s="73" t="str">
        <x:f>""</x:f>
      </x:c>
      <x:c r="J2073" s="74" t="str">
        <x:f>""</x:f>
      </x:c>
      <x:c r="K2073" s="73" t="str">
        <x:f>""</x:f>
      </x:c>
      <x:c r="L2073" s="74" t="str">
        <x:f>""</x:f>
      </x:c>
      <x:c r="M2073" s="73" t="n">
        <x:f>MAX(M2072,F2073)</x:f>
        <x:v>1.2904</x:v>
      </x:c>
      <x:c r="N2073" s="74" t="n">
        <x:f>1-F2073/M2073</x:f>
        <x:v>0.0017823930564165869</x:v>
      </x:c>
    </x:row>
    <x:row r="2074" ht="27" customHeight="1">
      <x:c r="A2074" s="66" t="str">
        <x:v>SEV580</x:v>
      </x:c>
      <x:c r="B2074" s="66" t="str">
        <x:v>祁腾蜂赢1号</x:v>
      </x:c>
      <x:c r="C2074" s="72" t="n">
        <x:v>44006</x:v>
      </x:c>
      <x:c r="D2074" s="73" t="n">
        <x:v>0.9994</x:v>
      </x:c>
      <x:c r="E2074" s="73" t="n">
        <x:v>1.2691</x:v>
      </x:c>
      <x:c r="F2074" s="73" t="n">
        <x:v>1.2888</x:v>
      </x:c>
      <x:c r="G2074" s="74" t="n">
        <x:v>0.0005</x:v>
      </x:c>
      <x:c r="H2074" s="66" t="str">
        <x:v>祁腾蜂赢1号净值20260911.xlsx</x:v>
      </x:c>
      <x:c r="I2074" s="73" t="str">
        <x:f>""</x:f>
      </x:c>
      <x:c r="J2074" s="74" t="str">
        <x:f>""</x:f>
      </x:c>
      <x:c r="K2074" s="73" t="str">
        <x:f>""</x:f>
      </x:c>
      <x:c r="L2074" s="74" t="str">
        <x:f>""</x:f>
      </x:c>
      <x:c r="M2074" s="73" t="n">
        <x:f>MAX(M2073,F2074)</x:f>
        <x:v>1.2904</x:v>
      </x:c>
      <x:c r="N2074" s="74" t="n">
        <x:f>1-F2074/M2074</x:f>
        <x:v>0.001239925604463732</x:v>
      </x:c>
    </x:row>
    <x:row r="2075" ht="27" customHeight="1">
      <x:c r="A2075" s="66" t="str">
        <x:v>SEV580</x:v>
      </x:c>
      <x:c r="B2075" s="66" t="str">
        <x:v>祁腾蜂赢1号</x:v>
      </x:c>
      <x:c r="C2075" s="72" t="n">
        <x:v>44011</x:v>
      </x:c>
      <x:c r="D2075" s="73" t="n">
        <x:v>0.9989</x:v>
      </x:c>
      <x:c r="E2075" s="73" t="n">
        <x:v>1.2686</x:v>
      </x:c>
      <x:c r="F2075" s="73" t="n">
        <x:v>1.2881</x:v>
      </x:c>
      <x:c r="G2075" s="74" t="n">
        <x:v>-0.0005</x:v>
      </x:c>
      <x:c r="H2075" s="66" t="str">
        <x:v>祁腾蜂赢1号净值20260911.xlsx</x:v>
      </x:c>
      <x:c r="I2075" s="73" t="str">
        <x:f>""</x:f>
      </x:c>
      <x:c r="J2075" s="74" t="str">
        <x:f>""</x:f>
      </x:c>
      <x:c r="K2075" s="73" t="str">
        <x:f>""</x:f>
      </x:c>
      <x:c r="L2075" s="74" t="str">
        <x:f>""</x:f>
      </x:c>
      <x:c r="M2075" s="73" t="n">
        <x:f>MAX(M2074,F2075)</x:f>
        <x:v>1.2904</x:v>
      </x:c>
      <x:c r="N2075" s="74" t="n">
        <x:f>1-F2075/M2075</x:f>
        <x:v>0.0017823930564165869</x:v>
      </x:c>
    </x:row>
    <x:row r="2076" ht="27" customHeight="1">
      <x:c r="A2076" s="66" t="str">
        <x:v>SEV580</x:v>
      </x:c>
      <x:c r="B2076" s="66" t="str">
        <x:v>祁腾蜂赢1号</x:v>
      </x:c>
      <x:c r="C2076" s="72" t="n">
        <x:v>44012</x:v>
      </x:c>
      <x:c r="D2076" s="73" t="n">
        <x:v>0.9977</x:v>
      </x:c>
      <x:c r="E2076" s="73" t="n">
        <x:v>1.2674</x:v>
      </x:c>
      <x:c r="F2076" s="73" t="n">
        <x:v>1.2866</x:v>
      </x:c>
      <x:c r="G2076" s="74" t="n">
        <x:v>-0.0012</x:v>
      </x:c>
      <x:c r="H2076" s="66" t="str">
        <x:v>祁腾蜂赢1号净值20260911.xlsx</x:v>
      </x:c>
      <x:c r="I2076" s="73" t="str">
        <x:f>""</x:f>
      </x:c>
      <x:c r="J2076" s="74" t="str">
        <x:f>""</x:f>
      </x:c>
      <x:c r="K2076" s="73" t="str">
        <x:f>""</x:f>
      </x:c>
      <x:c r="L2076" s="74" t="str">
        <x:f>""</x:f>
      </x:c>
      <x:c r="M2076" s="73" t="n">
        <x:f>MAX(M2075,F2076)</x:f>
        <x:v>1.2904</x:v>
      </x:c>
      <x:c r="N2076" s="74" t="n">
        <x:f>1-F2076/M2076</x:f>
        <x:v>0.0029448233106014188</x:v>
      </x:c>
    </x:row>
    <x:row r="2077" ht="27" customHeight="1">
      <x:c r="A2077" s="66" t="str">
        <x:v>SEV580</x:v>
      </x:c>
      <x:c r="B2077" s="66" t="str">
        <x:v>祁腾蜂赢1号</x:v>
      </x:c>
      <x:c r="C2077" s="72" t="n">
        <x:v>44013</x:v>
      </x:c>
      <x:c r="D2077" s="73" t="n">
        <x:v>0.9983</x:v>
      </x:c>
      <x:c r="E2077" s="73" t="n">
        <x:v>1.268</x:v>
      </x:c>
      <x:c r="F2077" s="73" t="n">
        <x:v>1.2873</x:v>
      </x:c>
      <x:c r="G2077" s="74" t="n">
        <x:v>0.0006</x:v>
      </x:c>
      <x:c r="H2077" s="66" t="str">
        <x:v>祁腾蜂赢1号净值20260911.xlsx</x:v>
      </x:c>
      <x:c r="I2077" s="73" t="str">
        <x:f>""</x:f>
      </x:c>
      <x:c r="J2077" s="74" t="str">
        <x:f>""</x:f>
      </x:c>
      <x:c r="K2077" s="73" t="str">
        <x:f>""</x:f>
      </x:c>
      <x:c r="L2077" s="74" t="str">
        <x:f>""</x:f>
      </x:c>
      <x:c r="M2077" s="73" t="n">
        <x:f>MAX(M2076,F2077)</x:f>
        <x:v>1.2904</x:v>
      </x:c>
      <x:c r="N2077" s="74" t="n">
        <x:f>1-F2077/M2077</x:f>
        <x:v>0.0024023558586483418</x:v>
      </x:c>
    </x:row>
    <x:row r="2078" ht="27" customHeight="1">
      <x:c r="A2078" s="66" t="str">
        <x:v>SEV580</x:v>
      </x:c>
      <x:c r="B2078" s="66" t="str">
        <x:v>祁腾蜂赢1号</x:v>
      </x:c>
      <x:c r="C2078" s="72" t="n">
        <x:v>44014</x:v>
      </x:c>
      <x:c r="D2078" s="73" t="n">
        <x:v>0.9994</x:v>
      </x:c>
      <x:c r="E2078" s="73" t="n">
        <x:v>1.2691</x:v>
      </x:c>
      <x:c r="F2078" s="73" t="n">
        <x:v>1.2888</x:v>
      </x:c>
      <x:c r="G2078" s="74" t="n">
        <x:v>0.0011</x:v>
      </x:c>
      <x:c r="H2078" s="66" t="str">
        <x:v>祁腾蜂赢1号净值20260911.xlsx</x:v>
      </x:c>
      <x:c r="I2078" s="73" t="str">
        <x:f>""</x:f>
      </x:c>
      <x:c r="J2078" s="74" t="str">
        <x:f>""</x:f>
      </x:c>
      <x:c r="K2078" s="73" t="str">
        <x:f>""</x:f>
      </x:c>
      <x:c r="L2078" s="74" t="str">
        <x:f>""</x:f>
      </x:c>
      <x:c r="M2078" s="73" t="n">
        <x:f>MAX(M2077,F2078)</x:f>
        <x:v>1.2904</x:v>
      </x:c>
      <x:c r="N2078" s="74" t="n">
        <x:f>1-F2078/M2078</x:f>
        <x:v>0.001239925604463732</x:v>
      </x:c>
    </x:row>
    <x:row r="2079" ht="27" customHeight="1">
      <x:c r="A2079" s="66" t="str">
        <x:v>SEV580</x:v>
      </x:c>
      <x:c r="B2079" s="66" t="str">
        <x:v>祁腾蜂赢1号</x:v>
      </x:c>
      <x:c r="C2079" s="72" t="n">
        <x:v>44015</x:v>
      </x:c>
      <x:c r="D2079" s="73" t="n">
        <x:v>1</x:v>
      </x:c>
      <x:c r="E2079" s="73" t="n">
        <x:v>1.2697</x:v>
      </x:c>
      <x:c r="F2079" s="73" t="n">
        <x:v>1.2895</x:v>
      </x:c>
      <x:c r="G2079" s="74" t="n">
        <x:v>0.0006</x:v>
      </x:c>
      <x:c r="H2079" s="66" t="str">
        <x:v>祁腾蜂赢1号净值20260911.xlsx</x:v>
      </x:c>
      <x:c r="I2079" s="73" t="str">
        <x:f>""</x:f>
      </x:c>
      <x:c r="J2079" s="74" t="str">
        <x:f>""</x:f>
      </x:c>
      <x:c r="K2079" s="73" t="str">
        <x:f>""</x:f>
      </x:c>
      <x:c r="L2079" s="74" t="str">
        <x:f>""</x:f>
      </x:c>
      <x:c r="M2079" s="73" t="n">
        <x:f>MAX(M2078,F2079)</x:f>
        <x:v>1.2904</x:v>
      </x:c>
      <x:c r="N2079" s="74" t="n">
        <x:f>1-F2079/M2079</x:f>
        <x:v>0.0006974581525107659</x:v>
      </x:c>
    </x:row>
    <x:row r="2080" ht="27" customHeight="1">
      <x:c r="A2080" s="66" t="str">
        <x:v>SEV580</x:v>
      </x:c>
      <x:c r="B2080" s="66" t="str">
        <x:v>祁腾蜂赢1号</x:v>
      </x:c>
      <x:c r="C2080" s="72" t="n">
        <x:v>44018</x:v>
      </x:c>
      <x:c r="D2080" s="73" t="n">
        <x:v>1.005</x:v>
      </x:c>
      <x:c r="E2080" s="73" t="n">
        <x:v>1.2747</x:v>
      </x:c>
      <x:c r="F2080" s="73" t="n">
        <x:v>1.296</x:v>
      </x:c>
      <x:c r="G2080" s="74" t="n">
        <x:v>0.005</x:v>
      </x:c>
      <x:c r="H2080" s="66" t="str">
        <x:v>祁腾蜂赢1号净值20260911.xlsx</x:v>
      </x:c>
      <x:c r="I2080" s="73" t="str">
        <x:f>""</x:f>
      </x:c>
      <x:c r="J2080" s="74" t="str">
        <x:f>""</x:f>
      </x:c>
      <x:c r="K2080" s="73" t="str">
        <x:f>""</x:f>
      </x:c>
      <x:c r="L2080" s="74" t="str">
        <x:f>""</x:f>
      </x:c>
      <x:c r="M2080" s="73" t="n">
        <x:f>MAX(M2079,F2080)</x:f>
        <x:v>1.296</x:v>
      </x:c>
      <x:c r="N2080" s="74" t="n">
        <x:f>1-F2080/M2080</x:f>
        <x:v>0</x:v>
      </x:c>
    </x:row>
    <x:row r="2081" ht="27" customHeight="1">
      <x:c r="A2081" s="66" t="str">
        <x:v>SEV580</x:v>
      </x:c>
      <x:c r="B2081" s="66" t="str">
        <x:v>祁腾蜂赢1号</x:v>
      </x:c>
      <x:c r="C2081" s="72" t="n">
        <x:v>44019</x:v>
      </x:c>
      <x:c r="D2081" s="73" t="n">
        <x:v>1.0086</x:v>
      </x:c>
      <x:c r="E2081" s="73" t="n">
        <x:v>1.2783</x:v>
      </x:c>
      <x:c r="F2081" s="73" t="n">
        <x:v>1.3006</x:v>
      </x:c>
      <x:c r="G2081" s="74" t="n">
        <x:v>0.0036</x:v>
      </x:c>
      <x:c r="H2081" s="66" t="str">
        <x:v>祁腾蜂赢1号净值20260911.xlsx</x:v>
      </x:c>
      <x:c r="I2081" s="73" t="str">
        <x:f>""</x:f>
      </x:c>
      <x:c r="J2081" s="74" t="str">
        <x:f>""</x:f>
      </x:c>
      <x:c r="K2081" s="73" t="str">
        <x:f>""</x:f>
      </x:c>
      <x:c r="L2081" s="74" t="str">
        <x:f>""</x:f>
      </x:c>
      <x:c r="M2081" s="73" t="n">
        <x:f>MAX(M2080,F2081)</x:f>
        <x:v>1.3006</x:v>
      </x:c>
      <x:c r="N2081" s="74" t="n">
        <x:f>1-F2081/M2081</x:f>
        <x:v>0</x:v>
      </x:c>
    </x:row>
    <x:row r="2082" ht="27" customHeight="1">
      <x:c r="A2082" s="66" t="str">
        <x:v>SEV580</x:v>
      </x:c>
      <x:c r="B2082" s="66" t="str">
        <x:v>祁腾蜂赢1号</x:v>
      </x:c>
      <x:c r="C2082" s="72" t="n">
        <x:v>44020</x:v>
      </x:c>
      <x:c r="D2082" s="73" t="n">
        <x:v>1.0105</x:v>
      </x:c>
      <x:c r="E2082" s="73" t="n">
        <x:v>1.2802</x:v>
      </x:c>
      <x:c r="F2082" s="73" t="n">
        <x:v>1.3031</x:v>
      </x:c>
      <x:c r="G2082" s="74" t="n">
        <x:v>0.0019</x:v>
      </x:c>
      <x:c r="H2082" s="66" t="str">
        <x:v>祁腾蜂赢1号净值20260911.xlsx</x:v>
      </x:c>
      <x:c r="I2082" s="73" t="str">
        <x:f>""</x:f>
      </x:c>
      <x:c r="J2082" s="74" t="str">
        <x:f>""</x:f>
      </x:c>
      <x:c r="K2082" s="73" t="str">
        <x:f>""</x:f>
      </x:c>
      <x:c r="L2082" s="74" t="str">
        <x:f>""</x:f>
      </x:c>
      <x:c r="M2082" s="73" t="n">
        <x:f>MAX(M2081,F2082)</x:f>
        <x:v>1.3031</x:v>
      </x:c>
      <x:c r="N2082" s="74" t="n">
        <x:f>1-F2082/M2082</x:f>
        <x:v>0</x:v>
      </x:c>
    </x:row>
    <x:row r="2083" ht="27" customHeight="1">
      <x:c r="A2083" s="66" t="str">
        <x:v>SEV580</x:v>
      </x:c>
      <x:c r="B2083" s="66" t="str">
        <x:v>祁腾蜂赢1号</x:v>
      </x:c>
      <x:c r="C2083" s="72" t="n">
        <x:v>44021</x:v>
      </x:c>
      <x:c r="D2083" s="73" t="n">
        <x:v>1.015</x:v>
      </x:c>
      <x:c r="E2083" s="73" t="n">
        <x:v>1.2847</x:v>
      </x:c>
      <x:c r="F2083" s="73" t="n">
        <x:v>1.3089</x:v>
      </x:c>
      <x:c r="G2083" s="74" t="n">
        <x:v>0.0045000000000000005</x:v>
      </x:c>
      <x:c r="H2083" s="66" t="str">
        <x:v>祁腾蜂赢1号净值20260911.xlsx</x:v>
      </x:c>
      <x:c r="I2083" s="73" t="str">
        <x:f>""</x:f>
      </x:c>
      <x:c r="J2083" s="74" t="str">
        <x:f>""</x:f>
      </x:c>
      <x:c r="K2083" s="73" t="str">
        <x:f>""</x:f>
      </x:c>
      <x:c r="L2083" s="74" t="str">
        <x:f>""</x:f>
      </x:c>
      <x:c r="M2083" s="73" t="n">
        <x:f>MAX(M2082,F2083)</x:f>
        <x:v>1.3089</x:v>
      </x:c>
      <x:c r="N2083" s="74" t="n">
        <x:f>1-F2083/M2083</x:f>
        <x:v>0</x:v>
      </x:c>
    </x:row>
    <x:row r="2084" ht="27" customHeight="1">
      <x:c r="A2084" s="66" t="str">
        <x:v>SEV580</x:v>
      </x:c>
      <x:c r="B2084" s="66" t="str">
        <x:v>祁腾蜂赢1号</x:v>
      </x:c>
      <x:c r="C2084" s="72" t="n">
        <x:v>44022</x:v>
      </x:c>
      <x:c r="D2084" s="73" t="n">
        <x:v>1.0161</x:v>
      </x:c>
      <x:c r="E2084" s="73" t="n">
        <x:v>1.2858</x:v>
      </x:c>
      <x:c r="F2084" s="73" t="n">
        <x:v>1.3103</x:v>
      </x:c>
      <x:c r="G2084" s="74" t="n">
        <x:v>0.0011</x:v>
      </x:c>
      <x:c r="H2084" s="66" t="str">
        <x:v>祁腾蜂赢1号净值20260911.xlsx</x:v>
      </x:c>
      <x:c r="I2084" s="73" t="str">
        <x:f>""</x:f>
      </x:c>
      <x:c r="J2084" s="74" t="str">
        <x:f>""</x:f>
      </x:c>
      <x:c r="K2084" s="73" t="str">
        <x:f>""</x:f>
      </x:c>
      <x:c r="L2084" s="74" t="str">
        <x:f>""</x:f>
      </x:c>
      <x:c r="M2084" s="73" t="n">
        <x:f>MAX(M2083,F2084)</x:f>
        <x:v>1.3103</x:v>
      </x:c>
      <x:c r="N2084" s="74" t="n">
        <x:f>1-F2084/M2084</x:f>
        <x:v>0</x:v>
      </x:c>
    </x:row>
    <x:row r="2085" ht="27" customHeight="1">
      <x:c r="A2085" s="66" t="str">
        <x:v>SEV580</x:v>
      </x:c>
      <x:c r="B2085" s="66" t="str">
        <x:v>祁腾蜂赢1号</x:v>
      </x:c>
      <x:c r="C2085" s="72" t="n">
        <x:v>44025</x:v>
      </x:c>
      <x:c r="D2085" s="73" t="n">
        <x:v>1.0178</x:v>
      </x:c>
      <x:c r="E2085" s="73" t="n">
        <x:v>1.2875</x:v>
      </x:c>
      <x:c r="F2085" s="73" t="n">
        <x:v>1.3125</x:v>
      </x:c>
      <x:c r="G2085" s="74" t="n">
        <x:v>0.0017000000000000001</x:v>
      </x:c>
      <x:c r="H2085" s="66" t="str">
        <x:v>祁腾蜂赢1号净值20260911.xlsx</x:v>
      </x:c>
      <x:c r="I2085" s="73" t="str">
        <x:f>""</x:f>
      </x:c>
      <x:c r="J2085" s="74" t="str">
        <x:f>""</x:f>
      </x:c>
      <x:c r="K2085" s="73" t="str">
        <x:f>""</x:f>
      </x:c>
      <x:c r="L2085" s="74" t="str">
        <x:f>""</x:f>
      </x:c>
      <x:c r="M2085" s="73" t="n">
        <x:f>MAX(M2084,F2085)</x:f>
        <x:v>1.3125</x:v>
      </x:c>
      <x:c r="N2085" s="74" t="n">
        <x:f>1-F2085/M2085</x:f>
        <x:v>0</x:v>
      </x:c>
    </x:row>
    <x:row r="2086" ht="27" customHeight="1">
      <x:c r="A2086" s="66" t="str">
        <x:v>SEV580</x:v>
      </x:c>
      <x:c r="B2086" s="66" t="str">
        <x:v>祁腾蜂赢1号</x:v>
      </x:c>
      <x:c r="C2086" s="72" t="n">
        <x:v>44026</x:v>
      </x:c>
      <x:c r="D2086" s="73" t="n">
        <x:v>1.0208</x:v>
      </x:c>
      <x:c r="E2086" s="73" t="n">
        <x:v>1.2905</x:v>
      </x:c>
      <x:c r="F2086" s="73" t="n">
        <x:v>1.3164</x:v>
      </x:c>
      <x:c r="G2086" s="74" t="n">
        <x:v>0.0029</x:v>
      </x:c>
      <x:c r="H2086" s="66" t="str">
        <x:v>祁腾蜂赢1号净值20260911.xlsx</x:v>
      </x:c>
      <x:c r="I2086" s="73" t="str">
        <x:f>""</x:f>
      </x:c>
      <x:c r="J2086" s="74" t="str">
        <x:f>""</x:f>
      </x:c>
      <x:c r="K2086" s="73" t="str">
        <x:f>""</x:f>
      </x:c>
      <x:c r="L2086" s="74" t="str">
        <x:f>""</x:f>
      </x:c>
      <x:c r="M2086" s="73" t="n">
        <x:f>MAX(M2085,F2086)</x:f>
        <x:v>1.3164</x:v>
      </x:c>
      <x:c r="N2086" s="74" t="n">
        <x:f>1-F2086/M2086</x:f>
        <x:v>0</x:v>
      </x:c>
    </x:row>
    <x:row r="2087" ht="27" customHeight="1">
      <x:c r="A2087" s="66" t="str">
        <x:v>SEV580</x:v>
      </x:c>
      <x:c r="B2087" s="66" t="str">
        <x:v>祁腾蜂赢1号</x:v>
      </x:c>
      <x:c r="C2087" s="72" t="n">
        <x:v>44027</x:v>
      </x:c>
      <x:c r="D2087" s="73" t="n">
        <x:v>1.0227</x:v>
      </x:c>
      <x:c r="E2087" s="73" t="n">
        <x:v>1.2924</x:v>
      </x:c>
      <x:c r="F2087" s="73" t="n">
        <x:v>1.3188</x:v>
      </x:c>
      <x:c r="G2087" s="74" t="n">
        <x:v>0.0019</x:v>
      </x:c>
      <x:c r="H2087" s="66" t="str">
        <x:v>祁腾蜂赢1号净值20260911.xlsx</x:v>
      </x:c>
      <x:c r="I2087" s="73" t="str">
        <x:f>""</x:f>
      </x:c>
      <x:c r="J2087" s="74" t="str">
        <x:f>""</x:f>
      </x:c>
      <x:c r="K2087" s="73" t="str">
        <x:f>""</x:f>
      </x:c>
      <x:c r="L2087" s="74" t="str">
        <x:f>""</x:f>
      </x:c>
      <x:c r="M2087" s="73" t="n">
        <x:f>MAX(M2086,F2087)</x:f>
        <x:v>1.3188</x:v>
      </x:c>
      <x:c r="N2087" s="74" t="n">
        <x:f>1-F2087/M2087</x:f>
        <x:v>0</x:v>
      </x:c>
    </x:row>
    <x:row r="2088" ht="27" customHeight="1">
      <x:c r="A2088" s="66" t="str">
        <x:v>SEV580</x:v>
      </x:c>
      <x:c r="B2088" s="66" t="str">
        <x:v>祁腾蜂赢1号</x:v>
      </x:c>
      <x:c r="C2088" s="72" t="n">
        <x:v>44028</x:v>
      </x:c>
      <x:c r="D2088" s="73" t="n">
        <x:v>1.0249</x:v>
      </x:c>
      <x:c r="E2088" s="73" t="n">
        <x:v>1.2946</x:v>
      </x:c>
      <x:c r="F2088" s="73" t="n">
        <x:v>1.3217</x:v>
      </x:c>
      <x:c r="G2088" s="74" t="n">
        <x:v>0.0022</x:v>
      </x:c>
      <x:c r="H2088" s="66" t="str">
        <x:v>祁腾蜂赢1号净值20260911.xlsx</x:v>
      </x:c>
      <x:c r="I2088" s="73" t="str">
        <x:f>""</x:f>
      </x:c>
      <x:c r="J2088" s="74" t="str">
        <x:f>""</x:f>
      </x:c>
      <x:c r="K2088" s="73" t="str">
        <x:f>""</x:f>
      </x:c>
      <x:c r="L2088" s="74" t="str">
        <x:f>""</x:f>
      </x:c>
      <x:c r="M2088" s="73" t="n">
        <x:f>MAX(M2087,F2088)</x:f>
        <x:v>1.3217</x:v>
      </x:c>
      <x:c r="N2088" s="74" t="n">
        <x:f>1-F2088/M2088</x:f>
        <x:v>0</x:v>
      </x:c>
    </x:row>
    <x:row r="2089" ht="27" customHeight="1">
      <x:c r="A2089" s="66" t="str">
        <x:v>SEV580</x:v>
      </x:c>
      <x:c r="B2089" s="66" t="str">
        <x:v>祁腾蜂赢1号</x:v>
      </x:c>
      <x:c r="C2089" s="72" t="n">
        <x:v>44029</x:v>
      </x:c>
      <x:c r="D2089" s="73" t="n">
        <x:v>1.0268</x:v>
      </x:c>
      <x:c r="E2089" s="73" t="n">
        <x:v>1.2965</x:v>
      </x:c>
      <x:c r="F2089" s="73" t="n">
        <x:v>1.3241</x:v>
      </x:c>
      <x:c r="G2089" s="74" t="n">
        <x:v>0.0019</x:v>
      </x:c>
      <x:c r="H2089" s="66" t="str">
        <x:v>祁腾蜂赢1号净值20260911.xlsx</x:v>
      </x:c>
      <x:c r="I2089" s="73" t="str">
        <x:f>""</x:f>
      </x:c>
      <x:c r="J2089" s="74" t="str">
        <x:f>""</x:f>
      </x:c>
      <x:c r="K2089" s="73" t="str">
        <x:f>""</x:f>
      </x:c>
      <x:c r="L2089" s="74" t="str">
        <x:f>""</x:f>
      </x:c>
      <x:c r="M2089" s="73" t="n">
        <x:f>MAX(M2088,F2089)</x:f>
        <x:v>1.3241</x:v>
      </x:c>
      <x:c r="N2089" s="74" t="n">
        <x:f>1-F2089/M2089</x:f>
        <x:v>0</x:v>
      </x:c>
    </x:row>
    <x:row r="2090" ht="27" customHeight="1">
      <x:c r="A2090" s="66" t="str">
        <x:v>SEV580</x:v>
      </x:c>
      <x:c r="B2090" s="66" t="str">
        <x:v>祁腾蜂赢1号</x:v>
      </x:c>
      <x:c r="C2090" s="72" t="n">
        <x:v>44032</x:v>
      </x:c>
      <x:c r="D2090" s="73" t="n">
        <x:v>1.0282</x:v>
      </x:c>
      <x:c r="E2090" s="73" t="n">
        <x:v>1.2979</x:v>
      </x:c>
      <x:c r="F2090" s="73" t="n">
        <x:v>1.3259</x:v>
      </x:c>
      <x:c r="G2090" s="74" t="n">
        <x:v>0.0014000000000000002</x:v>
      </x:c>
      <x:c r="H2090" s="66" t="str">
        <x:v>祁腾蜂赢1号净值20260911.xlsx</x:v>
      </x:c>
      <x:c r="I2090" s="73" t="str">
        <x:f>""</x:f>
      </x:c>
      <x:c r="J2090" s="74" t="str">
        <x:f>""</x:f>
      </x:c>
      <x:c r="K2090" s="73" t="str">
        <x:f>""</x:f>
      </x:c>
      <x:c r="L2090" s="74" t="str">
        <x:f>""</x:f>
      </x:c>
      <x:c r="M2090" s="73" t="n">
        <x:f>MAX(M2089,F2090)</x:f>
        <x:v>1.3259</x:v>
      </x:c>
      <x:c r="N2090" s="74" t="n">
        <x:f>1-F2090/M2090</x:f>
        <x:v>0</x:v>
      </x:c>
    </x:row>
    <x:row r="2091" ht="27" customHeight="1">
      <x:c r="A2091" s="66" t="str">
        <x:v>SEV580</x:v>
      </x:c>
      <x:c r="B2091" s="66" t="str">
        <x:v>祁腾蜂赢1号</x:v>
      </x:c>
      <x:c r="C2091" s="72" t="n">
        <x:v>44033</x:v>
      </x:c>
      <x:c r="D2091" s="73" t="n">
        <x:v>1.029</x:v>
      </x:c>
      <x:c r="E2091" s="73" t="n">
        <x:v>1.2987</x:v>
      </x:c>
      <x:c r="F2091" s="73" t="n">
        <x:v>1.3269</x:v>
      </x:c>
      <x:c r="G2091" s="74" t="n">
        <x:v>0.0008</x:v>
      </x:c>
      <x:c r="H2091" s="66" t="str">
        <x:v>祁腾蜂赢1号净值20260911.xlsx</x:v>
      </x:c>
      <x:c r="I2091" s="73" t="str">
        <x:f>""</x:f>
      </x:c>
      <x:c r="J2091" s="74" t="str">
        <x:f>""</x:f>
      </x:c>
      <x:c r="K2091" s="73" t="str">
        <x:f>""</x:f>
      </x:c>
      <x:c r="L2091" s="74" t="str">
        <x:f>""</x:f>
      </x:c>
      <x:c r="M2091" s="73" t="n">
        <x:f>MAX(M2090,F2091)</x:f>
        <x:v>1.3269</x:v>
      </x:c>
      <x:c r="N2091" s="74" t="n">
        <x:f>1-F2091/M2091</x:f>
        <x:v>0</x:v>
      </x:c>
    </x:row>
    <x:row r="2092" ht="27" customHeight="1">
      <x:c r="A2092" s="66" t="str">
        <x:v>SEV580</x:v>
      </x:c>
      <x:c r="B2092" s="66" t="str">
        <x:v>祁腾蜂赢1号</x:v>
      </x:c>
      <x:c r="C2092" s="72" t="n">
        <x:v>44034</x:v>
      </x:c>
      <x:c r="D2092" s="73" t="n">
        <x:v>1.0301</x:v>
      </x:c>
      <x:c r="E2092" s="73" t="n">
        <x:v>1.2998</x:v>
      </x:c>
      <x:c r="F2092" s="73" t="n">
        <x:v>1.3284</x:v>
      </x:c>
      <x:c r="G2092" s="74" t="n">
        <x:v>0.0011</x:v>
      </x:c>
      <x:c r="H2092" s="66" t="str">
        <x:v>祁腾蜂赢1号净值20260911.xlsx</x:v>
      </x:c>
      <x:c r="I2092" s="73" t="str">
        <x:f>""</x:f>
      </x:c>
      <x:c r="J2092" s="74" t="str">
        <x:f>""</x:f>
      </x:c>
      <x:c r="K2092" s="73" t="str">
        <x:f>""</x:f>
      </x:c>
      <x:c r="L2092" s="74" t="str">
        <x:f>""</x:f>
      </x:c>
      <x:c r="M2092" s="73" t="n">
        <x:f>MAX(M2091,F2092)</x:f>
        <x:v>1.3284</x:v>
      </x:c>
      <x:c r="N2092" s="74" t="n">
        <x:f>1-F2092/M2092</x:f>
        <x:v>0</x:v>
      </x:c>
    </x:row>
    <x:row r="2093" ht="27" customHeight="1">
      <x:c r="A2093" s="66" t="str">
        <x:v>SEV580</x:v>
      </x:c>
      <x:c r="B2093" s="66" t="str">
        <x:v>祁腾蜂赢1号</x:v>
      </x:c>
      <x:c r="C2093" s="72" t="n">
        <x:v>44035</x:v>
      </x:c>
      <x:c r="D2093" s="73" t="n">
        <x:v>1.0317</x:v>
      </x:c>
      <x:c r="E2093" s="73" t="n">
        <x:v>1.3014</x:v>
      </x:c>
      <x:c r="F2093" s="73" t="n">
        <x:v>1.3304</x:v>
      </x:c>
      <x:c r="G2093" s="74" t="n">
        <x:v>0.0016</x:v>
      </x:c>
      <x:c r="H2093" s="66" t="str">
        <x:v>祁腾蜂赢1号净值20260911.xlsx</x:v>
      </x:c>
      <x:c r="I2093" s="73" t="str">
        <x:f>""</x:f>
      </x:c>
      <x:c r="J2093" s="74" t="str">
        <x:f>""</x:f>
      </x:c>
      <x:c r="K2093" s="73" t="str">
        <x:f>""</x:f>
      </x:c>
      <x:c r="L2093" s="74" t="str">
        <x:f>""</x:f>
      </x:c>
      <x:c r="M2093" s="73" t="n">
        <x:f>MAX(M2092,F2093)</x:f>
        <x:v>1.3304</x:v>
      </x:c>
      <x:c r="N2093" s="74" t="n">
        <x:f>1-F2093/M2093</x:f>
        <x:v>0</x:v>
      </x:c>
    </x:row>
    <x:row r="2094" ht="27" customHeight="1">
      <x:c r="A2094" s="66" t="str">
        <x:v>SEV580</x:v>
      </x:c>
      <x:c r="B2094" s="66" t="str">
        <x:v>祁腾蜂赢1号</x:v>
      </x:c>
      <x:c r="C2094" s="72" t="n">
        <x:v>44036</x:v>
      </x:c>
      <x:c r="D2094" s="73" t="n">
        <x:v>1.0338</x:v>
      </x:c>
      <x:c r="E2094" s="73" t="n">
        <x:v>1.3035</x:v>
      </x:c>
      <x:c r="F2094" s="73" t="n">
        <x:v>1.3331</x:v>
      </x:c>
      <x:c r="G2094" s="74" t="n">
        <x:v>0.002</x:v>
      </x:c>
      <x:c r="H2094" s="66" t="str">
        <x:v>祁腾蜂赢1号净值20260911.xlsx</x:v>
      </x:c>
      <x:c r="I2094" s="73" t="str">
        <x:f>""</x:f>
      </x:c>
      <x:c r="J2094" s="74" t="str">
        <x:f>""</x:f>
      </x:c>
      <x:c r="K2094" s="73" t="str">
        <x:f>""</x:f>
      </x:c>
      <x:c r="L2094" s="74" t="str">
        <x:f>""</x:f>
      </x:c>
      <x:c r="M2094" s="73" t="n">
        <x:f>MAX(M2093,F2094)</x:f>
        <x:v>1.3331</x:v>
      </x:c>
      <x:c r="N2094" s="74" t="n">
        <x:f>1-F2094/M2094</x:f>
        <x:v>0</x:v>
      </x:c>
    </x:row>
    <x:row r="2095" ht="27" customHeight="1">
      <x:c r="A2095" s="66" t="str">
        <x:v>SEV580</x:v>
      </x:c>
      <x:c r="B2095" s="66" t="str">
        <x:v>祁腾蜂赢1号</x:v>
      </x:c>
      <x:c r="C2095" s="72" t="n">
        <x:v>44039</x:v>
      </x:c>
      <x:c r="D2095" s="73" t="n">
        <x:v>1.0342</x:v>
      </x:c>
      <x:c r="E2095" s="73" t="n">
        <x:v>1.3039</x:v>
      </x:c>
      <x:c r="F2095" s="73" t="n">
        <x:v>1.3336</x:v>
      </x:c>
      <x:c r="G2095" s="74" t="n">
        <x:v>0.0004</x:v>
      </x:c>
      <x:c r="H2095" s="66" t="str">
        <x:v>祁腾蜂赢1号净值20260911.xlsx</x:v>
      </x:c>
      <x:c r="I2095" s="73" t="str">
        <x:f>""</x:f>
      </x:c>
      <x:c r="J2095" s="74" t="str">
        <x:f>""</x:f>
      </x:c>
      <x:c r="K2095" s="73" t="str">
        <x:f>""</x:f>
      </x:c>
      <x:c r="L2095" s="74" t="str">
        <x:f>""</x:f>
      </x:c>
      <x:c r="M2095" s="73" t="n">
        <x:f>MAX(M2094,F2095)</x:f>
        <x:v>1.3336</x:v>
      </x:c>
      <x:c r="N2095" s="74" t="n">
        <x:f>1-F2095/M2095</x:f>
        <x:v>0</x:v>
      </x:c>
    </x:row>
    <x:row r="2096" ht="27" customHeight="1">
      <x:c r="A2096" s="66" t="str">
        <x:v>SEV580</x:v>
      </x:c>
      <x:c r="B2096" s="66" t="str">
        <x:v>祁腾蜂赢1号</x:v>
      </x:c>
      <x:c r="C2096" s="72" t="n">
        <x:v>44040</x:v>
      </x:c>
      <x:c r="D2096" s="73" t="n">
        <x:v>1.0365</x:v>
      </x:c>
      <x:c r="E2096" s="73" t="n">
        <x:v>1.3062</x:v>
      </x:c>
      <x:c r="F2096" s="73" t="n">
        <x:v>1.3366</x:v>
      </x:c>
      <x:c r="G2096" s="74" t="n">
        <x:v>0.0022</x:v>
      </x:c>
      <x:c r="H2096" s="66" t="str">
        <x:v>祁腾蜂赢1号净值20260911.xlsx</x:v>
      </x:c>
      <x:c r="I2096" s="73" t="str">
        <x:f>""</x:f>
      </x:c>
      <x:c r="J2096" s="74" t="str">
        <x:f>""</x:f>
      </x:c>
      <x:c r="K2096" s="73" t="str">
        <x:f>""</x:f>
      </x:c>
      <x:c r="L2096" s="74" t="str">
        <x:f>""</x:f>
      </x:c>
      <x:c r="M2096" s="73" t="n">
        <x:f>MAX(M2095,F2096)</x:f>
        <x:v>1.3366</x:v>
      </x:c>
      <x:c r="N2096" s="74" t="n">
        <x:f>1-F2096/M2096</x:f>
        <x:v>0</x:v>
      </x:c>
    </x:row>
    <x:row r="2097" ht="27" customHeight="1">
      <x:c r="A2097" s="66" t="str">
        <x:v>SEV580</x:v>
      </x:c>
      <x:c r="B2097" s="66" t="str">
        <x:v>祁腾蜂赢1号</x:v>
      </x:c>
      <x:c r="C2097" s="72" t="n">
        <x:v>44041</x:v>
      </x:c>
      <x:c r="D2097" s="73" t="n">
        <x:v>1.0386</x:v>
      </x:c>
      <x:c r="E2097" s="73" t="n">
        <x:v>1.3083</x:v>
      </x:c>
      <x:c r="F2097" s="73" t="n">
        <x:v>1.3393</x:v>
      </x:c>
      <x:c r="G2097" s="74" t="n">
        <x:v>0.002</x:v>
      </x:c>
      <x:c r="H2097" s="66" t="str">
        <x:v>祁腾蜂赢1号净值20260911.xlsx</x:v>
      </x:c>
      <x:c r="I2097" s="73" t="str">
        <x:f>""</x:f>
      </x:c>
      <x:c r="J2097" s="74" t="str">
        <x:f>""</x:f>
      </x:c>
      <x:c r="K2097" s="73" t="str">
        <x:f>""</x:f>
      </x:c>
      <x:c r="L2097" s="74" t="str">
        <x:f>""</x:f>
      </x:c>
      <x:c r="M2097" s="73" t="n">
        <x:f>MAX(M2096,F2097)</x:f>
        <x:v>1.3393</x:v>
      </x:c>
      <x:c r="N2097" s="74" t="n">
        <x:f>1-F2097/M2097</x:f>
        <x:v>0</x:v>
      </x:c>
    </x:row>
    <x:row r="2098" ht="27" customHeight="1">
      <x:c r="A2098" s="66" t="str">
        <x:v>SEV580</x:v>
      </x:c>
      <x:c r="B2098" s="66" t="str">
        <x:v>祁腾蜂赢1号</x:v>
      </x:c>
      <x:c r="C2098" s="72" t="n">
        <x:v>44042</x:v>
      </x:c>
      <x:c r="D2098" s="73" t="n">
        <x:v>1.0392</x:v>
      </x:c>
      <x:c r="E2098" s="73" t="n">
        <x:v>1.3089</x:v>
      </x:c>
      <x:c r="F2098" s="73" t="n">
        <x:v>1.3401</x:v>
      </x:c>
      <x:c r="G2098" s="74" t="n">
        <x:v>0.0006</x:v>
      </x:c>
      <x:c r="H2098" s="66" t="str">
        <x:v>祁腾蜂赢1号净值20260911.xlsx</x:v>
      </x:c>
      <x:c r="I2098" s="73" t="str">
        <x:f>""</x:f>
      </x:c>
      <x:c r="J2098" s="74" t="str">
        <x:f>""</x:f>
      </x:c>
      <x:c r="K2098" s="73" t="str">
        <x:f>""</x:f>
      </x:c>
      <x:c r="L2098" s="74" t="str">
        <x:f>""</x:f>
      </x:c>
      <x:c r="M2098" s="73" t="n">
        <x:f>MAX(M2097,F2098)</x:f>
        <x:v>1.3401</x:v>
      </x:c>
      <x:c r="N2098" s="74" t="n">
        <x:f>1-F2098/M2098</x:f>
        <x:v>0</x:v>
      </x:c>
    </x:row>
    <x:row r="2099" ht="27" customHeight="1">
      <x:c r="A2099" s="66" t="str">
        <x:v>SEV580</x:v>
      </x:c>
      <x:c r="B2099" s="66" t="str">
        <x:v>祁腾蜂赢1号</x:v>
      </x:c>
      <x:c r="C2099" s="72" t="n">
        <x:v>44043</x:v>
      </x:c>
      <x:c r="D2099" s="73" t="n">
        <x:v>1.0426</x:v>
      </x:c>
      <x:c r="E2099" s="73" t="n">
        <x:v>1.3123</x:v>
      </x:c>
      <x:c r="F2099" s="73" t="n">
        <x:v>1.3445</x:v>
      </x:c>
      <x:c r="G2099" s="74" t="n">
        <x:v>0.0033</x:v>
      </x:c>
      <x:c r="H2099" s="66" t="str">
        <x:v>祁腾蜂赢1号净值20260911.xlsx</x:v>
      </x:c>
      <x:c r="I2099" s="73" t="str">
        <x:f>""</x:f>
      </x:c>
      <x:c r="J2099" s="74" t="str">
        <x:f>""</x:f>
      </x:c>
      <x:c r="K2099" s="73" t="str">
        <x:f>""</x:f>
      </x:c>
      <x:c r="L2099" s="74" t="str">
        <x:f>""</x:f>
      </x:c>
      <x:c r="M2099" s="73" t="n">
        <x:f>MAX(M2098,F2099)</x:f>
        <x:v>1.3445</x:v>
      </x:c>
      <x:c r="N2099" s="74" t="n">
        <x:f>1-F2099/M2099</x:f>
        <x:v>0</x:v>
      </x:c>
    </x:row>
    <x:row r="2100" ht="27" customHeight="1">
      <x:c r="A2100" s="66" t="str">
        <x:v>SEV580</x:v>
      </x:c>
      <x:c r="B2100" s="66" t="str">
        <x:v>祁腾蜂赢1号</x:v>
      </x:c>
      <x:c r="C2100" s="72" t="n">
        <x:v>44046</x:v>
      </x:c>
      <x:c r="D2100" s="73" t="n">
        <x:v>1.0434</x:v>
      </x:c>
      <x:c r="E2100" s="73" t="n">
        <x:v>1.3131</x:v>
      </x:c>
      <x:c r="F2100" s="73" t="n">
        <x:v>1.3455</x:v>
      </x:c>
      <x:c r="G2100" s="74" t="n">
        <x:v>0.0008</x:v>
      </x:c>
      <x:c r="H2100" s="66" t="str">
        <x:v>祁腾蜂赢1号净值20260911.xlsx</x:v>
      </x:c>
      <x:c r="I2100" s="73" t="str">
        <x:f>""</x:f>
      </x:c>
      <x:c r="J2100" s="74" t="str">
        <x:f>""</x:f>
      </x:c>
      <x:c r="K2100" s="73" t="str">
        <x:f>""</x:f>
      </x:c>
      <x:c r="L2100" s="74" t="str">
        <x:f>""</x:f>
      </x:c>
      <x:c r="M2100" s="73" t="n">
        <x:f>MAX(M2099,F2100)</x:f>
        <x:v>1.3455</x:v>
      </x:c>
      <x:c r="N2100" s="74" t="n">
        <x:f>1-F2100/M2100</x:f>
        <x:v>0</x:v>
      </x:c>
    </x:row>
    <x:row r="2101" ht="27" customHeight="1">
      <x:c r="A2101" s="66" t="str">
        <x:v>SEV580</x:v>
      </x:c>
      <x:c r="B2101" s="66" t="str">
        <x:v>祁腾蜂赢1号</x:v>
      </x:c>
      <x:c r="C2101" s="72" t="n">
        <x:v>44047</x:v>
      </x:c>
      <x:c r="D2101" s="73" t="n">
        <x:v>1.0425</x:v>
      </x:c>
      <x:c r="E2101" s="73" t="n">
        <x:v>1.3122</x:v>
      </x:c>
      <x:c r="F2101" s="73" t="n">
        <x:v>1.3443</x:v>
      </x:c>
      <x:c r="G2101" s="74" t="n">
        <x:v>-0.0009</x:v>
      </x:c>
      <x:c r="H2101" s="66" t="str">
        <x:v>祁腾蜂赢1号净值20260911.xlsx</x:v>
      </x:c>
      <x:c r="I2101" s="73" t="str">
        <x:f>""</x:f>
      </x:c>
      <x:c r="J2101" s="74" t="str">
        <x:f>""</x:f>
      </x:c>
      <x:c r="K2101" s="73" t="str">
        <x:f>""</x:f>
      </x:c>
      <x:c r="L2101" s="74" t="str">
        <x:f>""</x:f>
      </x:c>
      <x:c r="M2101" s="73" t="n">
        <x:f>MAX(M2100,F2101)</x:f>
        <x:v>1.3455</x:v>
      </x:c>
      <x:c r="N2101" s="74" t="n">
        <x:f>1-F2101/M2101</x:f>
        <x:v>0.0008918617614268598</x:v>
      </x:c>
    </x:row>
    <x:row r="2102" ht="27" customHeight="1">
      <x:c r="A2102" s="66" t="str">
        <x:v>SEV580</x:v>
      </x:c>
      <x:c r="B2102" s="66" t="str">
        <x:v>祁腾蜂赢1号</x:v>
      </x:c>
      <x:c r="C2102" s="72" t="n">
        <x:v>44048</x:v>
      </x:c>
      <x:c r="D2102" s="73" t="n">
        <x:v>1.0419</x:v>
      </x:c>
      <x:c r="E2102" s="73" t="n">
        <x:v>1.3116</x:v>
      </x:c>
      <x:c r="F2102" s="73" t="n">
        <x:v>1.3436</x:v>
      </x:c>
      <x:c r="G2102" s="74" t="n">
        <x:v>-0.0006</x:v>
      </x:c>
      <x:c r="H2102" s="66" t="str">
        <x:v>祁腾蜂赢1号净值20260911.xlsx</x:v>
      </x:c>
      <x:c r="I2102" s="73" t="str">
        <x:f>""</x:f>
      </x:c>
      <x:c r="J2102" s="74" t="str">
        <x:f>""</x:f>
      </x:c>
      <x:c r="K2102" s="73" t="str">
        <x:f>""</x:f>
      </x:c>
      <x:c r="L2102" s="74" t="str">
        <x:f>""</x:f>
      </x:c>
      <x:c r="M2102" s="73" t="n">
        <x:f>MAX(M2101,F2102)</x:f>
        <x:v>1.3455</x:v>
      </x:c>
      <x:c r="N2102" s="74" t="n">
        <x:f>1-F2102/M2102</x:f>
        <x:v>0.00141211445559275</x:v>
      </x:c>
    </x:row>
    <x:row r="2103" ht="27" customHeight="1">
      <x:c r="A2103" s="66" t="str">
        <x:v>SEV580</x:v>
      </x:c>
      <x:c r="B2103" s="66" t="str">
        <x:v>祁腾蜂赢1号</x:v>
      </x:c>
      <x:c r="C2103" s="72" t="n">
        <x:v>44049</x:v>
      </x:c>
      <x:c r="D2103" s="73" t="n">
        <x:v>1.0462</x:v>
      </x:c>
      <x:c r="E2103" s="73" t="n">
        <x:v>1.3159</x:v>
      </x:c>
      <x:c r="F2103" s="73" t="n">
        <x:v>1.3491</x:v>
      </x:c>
      <x:c r="G2103" s="74" t="n">
        <x:v>0.0040999999999999995</x:v>
      </x:c>
      <x:c r="H2103" s="66" t="str">
        <x:v>祁腾蜂赢1号净值20260911.xlsx</x:v>
      </x:c>
      <x:c r="I2103" s="73" t="str">
        <x:f>""</x:f>
      </x:c>
      <x:c r="J2103" s="74" t="str">
        <x:f>""</x:f>
      </x:c>
      <x:c r="K2103" s="73" t="str">
        <x:f>""</x:f>
      </x:c>
      <x:c r="L2103" s="74" t="str">
        <x:f>""</x:f>
      </x:c>
      <x:c r="M2103" s="73" t="n">
        <x:f>MAX(M2102,F2103)</x:f>
        <x:v>1.3491</x:v>
      </x:c>
      <x:c r="N2103" s="74" t="n">
        <x:f>1-F2103/M2103</x:f>
        <x:v>0</x:v>
      </x:c>
    </x:row>
    <x:row r="2104" ht="27" customHeight="1">
      <x:c r="A2104" s="66" t="str">
        <x:v>SEV580</x:v>
      </x:c>
      <x:c r="B2104" s="66" t="str">
        <x:v>祁腾蜂赢1号</x:v>
      </x:c>
      <x:c r="C2104" s="72" t="n">
        <x:v>44050</x:v>
      </x:c>
      <x:c r="D2104" s="73" t="n">
        <x:v>1.0474</x:v>
      </x:c>
      <x:c r="E2104" s="73" t="n">
        <x:v>1.3171</x:v>
      </x:c>
      <x:c r="F2104" s="73" t="n">
        <x:v>1.3507</x:v>
      </x:c>
      <x:c r="G2104" s="74" t="n">
        <x:v>0.0011</x:v>
      </x:c>
      <x:c r="H2104" s="66" t="str">
        <x:v>祁腾蜂赢1号净值20260911.xlsx</x:v>
      </x:c>
      <x:c r="I2104" s="73" t="str">
        <x:f>""</x:f>
      </x:c>
      <x:c r="J2104" s="74" t="str">
        <x:f>""</x:f>
      </x:c>
      <x:c r="K2104" s="73" t="str">
        <x:f>""</x:f>
      </x:c>
      <x:c r="L2104" s="74" t="str">
        <x:f>""</x:f>
      </x:c>
      <x:c r="M2104" s="73" t="n">
        <x:f>MAX(M2103,F2104)</x:f>
        <x:v>1.3507</x:v>
      </x:c>
      <x:c r="N2104" s="74" t="n">
        <x:f>1-F2104/M2104</x:f>
        <x:v>0</x:v>
      </x:c>
    </x:row>
    <x:row r="2105" ht="27" customHeight="1">
      <x:c r="A2105" s="66" t="str">
        <x:v>SEV580</x:v>
      </x:c>
      <x:c r="B2105" s="66" t="str">
        <x:v>祁腾蜂赢1号</x:v>
      </x:c>
      <x:c r="C2105" s="72" t="n">
        <x:v>44053</x:v>
      </x:c>
      <x:c r="D2105" s="73" t="n">
        <x:v>1.0506</x:v>
      </x:c>
      <x:c r="E2105" s="73" t="n">
        <x:v>1.3203</x:v>
      </x:c>
      <x:c r="F2105" s="73" t="n">
        <x:v>1.3548</x:v>
      </x:c>
      <x:c r="G2105" s="74" t="n">
        <x:v>0.0031</x:v>
      </x:c>
      <x:c r="H2105" s="66" t="str">
        <x:v>祁腾蜂赢1号净值20260911.xlsx</x:v>
      </x:c>
      <x:c r="I2105" s="73" t="str">
        <x:f>""</x:f>
      </x:c>
      <x:c r="J2105" s="74" t="str">
        <x:f>""</x:f>
      </x:c>
      <x:c r="K2105" s="73" t="str">
        <x:f>""</x:f>
      </x:c>
      <x:c r="L2105" s="74" t="str">
        <x:f>""</x:f>
      </x:c>
      <x:c r="M2105" s="73" t="n">
        <x:f>MAX(M2104,F2105)</x:f>
        <x:v>1.3548</x:v>
      </x:c>
      <x:c r="N2105" s="74" t="n">
        <x:f>1-F2105/M2105</x:f>
        <x:v>0</x:v>
      </x:c>
    </x:row>
    <x:row r="2106" ht="27" customHeight="1">
      <x:c r="A2106" s="66" t="str">
        <x:v>SEV580</x:v>
      </x:c>
      <x:c r="B2106" s="66" t="str">
        <x:v>祁腾蜂赢1号</x:v>
      </x:c>
      <x:c r="C2106" s="72" t="n">
        <x:v>44054</x:v>
      </x:c>
      <x:c r="D2106" s="73" t="n">
        <x:v>1.0508</x:v>
      </x:c>
      <x:c r="E2106" s="73" t="n">
        <x:v>1.3205</x:v>
      </x:c>
      <x:c r="F2106" s="73" t="n">
        <x:v>1.3551</x:v>
      </x:c>
      <x:c r="G2106" s="74" t="n">
        <x:v>0.0002</x:v>
      </x:c>
      <x:c r="H2106" s="66" t="str">
        <x:v>祁腾蜂赢1号净值20260911.xlsx</x:v>
      </x:c>
      <x:c r="I2106" s="73" t="str">
        <x:f>""</x:f>
      </x:c>
      <x:c r="J2106" s="74" t="str">
        <x:f>""</x:f>
      </x:c>
      <x:c r="K2106" s="73" t="str">
        <x:f>""</x:f>
      </x:c>
      <x:c r="L2106" s="74" t="str">
        <x:f>""</x:f>
      </x:c>
      <x:c r="M2106" s="73" t="n">
        <x:f>MAX(M2105,F2106)</x:f>
        <x:v>1.3551</x:v>
      </x:c>
      <x:c r="N2106" s="74" t="n">
        <x:f>1-F2106/M2106</x:f>
        <x:v>0</x:v>
      </x:c>
    </x:row>
    <x:row r="2107" ht="27" customHeight="1">
      <x:c r="A2107" s="66" t="str">
        <x:v>SEV580</x:v>
      </x:c>
      <x:c r="B2107" s="66" t="str">
        <x:v>祁腾蜂赢1号</x:v>
      </x:c>
      <x:c r="C2107" s="72" t="n">
        <x:v>44055</x:v>
      </x:c>
      <x:c r="D2107" s="73" t="n">
        <x:v>1.0528</x:v>
      </x:c>
      <x:c r="E2107" s="73" t="n">
        <x:v>1.3225</x:v>
      </x:c>
      <x:c r="F2107" s="73" t="n">
        <x:v>1.3576</x:v>
      </x:c>
      <x:c r="G2107" s="74" t="n">
        <x:v>0.0019</x:v>
      </x:c>
      <x:c r="H2107" s="66" t="str">
        <x:v>祁腾蜂赢1号净值20260911.xlsx</x:v>
      </x:c>
      <x:c r="I2107" s="73" t="str">
        <x:f>""</x:f>
      </x:c>
      <x:c r="J2107" s="74" t="str">
        <x:f>""</x:f>
      </x:c>
      <x:c r="K2107" s="73" t="str">
        <x:f>""</x:f>
      </x:c>
      <x:c r="L2107" s="74" t="str">
        <x:f>""</x:f>
      </x:c>
      <x:c r="M2107" s="73" t="n">
        <x:f>MAX(M2106,F2107)</x:f>
        <x:v>1.3576</x:v>
      </x:c>
      <x:c r="N2107" s="74" t="n">
        <x:f>1-F2107/M2107</x:f>
        <x:v>0</x:v>
      </x:c>
    </x:row>
    <x:row r="2108" ht="27" customHeight="1">
      <x:c r="A2108" s="66" t="str">
        <x:v>SEV580</x:v>
      </x:c>
      <x:c r="B2108" s="66" t="str">
        <x:v>祁腾蜂赢1号</x:v>
      </x:c>
      <x:c r="C2108" s="72" t="n">
        <x:v>44056</x:v>
      </x:c>
      <x:c r="D2108" s="73" t="n">
        <x:v>1.0536</x:v>
      </x:c>
      <x:c r="E2108" s="73" t="n">
        <x:v>1.3233</x:v>
      </x:c>
      <x:c r="F2108" s="73" t="n">
        <x:v>1.3587</x:v>
      </x:c>
      <x:c r="G2108" s="74" t="n">
        <x:v>0.0008</x:v>
      </x:c>
      <x:c r="H2108" s="66" t="str">
        <x:v>祁腾蜂赢1号净值20260911.xlsx</x:v>
      </x:c>
      <x:c r="I2108" s="73" t="str">
        <x:f>""</x:f>
      </x:c>
      <x:c r="J2108" s="74" t="str">
        <x:f>""</x:f>
      </x:c>
      <x:c r="K2108" s="73" t="str">
        <x:f>""</x:f>
      </x:c>
      <x:c r="L2108" s="74" t="str">
        <x:f>""</x:f>
      </x:c>
      <x:c r="M2108" s="73" t="n">
        <x:f>MAX(M2107,F2108)</x:f>
        <x:v>1.3587</x:v>
      </x:c>
      <x:c r="N2108" s="74" t="n">
        <x:f>1-F2108/M2108</x:f>
        <x:v>0</x:v>
      </x:c>
    </x:row>
    <x:row r="2109" ht="27" customHeight="1">
      <x:c r="A2109" s="66" t="str">
        <x:v>SEV580</x:v>
      </x:c>
      <x:c r="B2109" s="66" t="str">
        <x:v>祁腾蜂赢1号</x:v>
      </x:c>
      <x:c r="C2109" s="72" t="n">
        <x:v>44057</x:v>
      </x:c>
      <x:c r="D2109" s="73" t="n">
        <x:v>1.0544</x:v>
      </x:c>
      <x:c r="E2109" s="73" t="n">
        <x:v>1.3241</x:v>
      </x:c>
      <x:c r="F2109" s="73" t="n">
        <x:v>1.3597</x:v>
      </x:c>
      <x:c r="G2109" s="74" t="n">
        <x:v>0.0008</x:v>
      </x:c>
      <x:c r="H2109" s="66" t="str">
        <x:v>祁腾蜂赢1号净值20260911.xlsx</x:v>
      </x:c>
      <x:c r="I2109" s="73" t="str">
        <x:f>""</x:f>
      </x:c>
      <x:c r="J2109" s="74" t="str">
        <x:f>""</x:f>
      </x:c>
      <x:c r="K2109" s="73" t="str">
        <x:f>""</x:f>
      </x:c>
      <x:c r="L2109" s="74" t="str">
        <x:f>""</x:f>
      </x:c>
      <x:c r="M2109" s="73" t="n">
        <x:f>MAX(M2108,F2109)</x:f>
        <x:v>1.3597</x:v>
      </x:c>
      <x:c r="N2109" s="74" t="n">
        <x:f>1-F2109/M2109</x:f>
        <x:v>0</x:v>
      </x:c>
    </x:row>
    <x:row r="2110" ht="27" customHeight="1">
      <x:c r="A2110" s="66" t="str">
        <x:v>SEV580</x:v>
      </x:c>
      <x:c r="B2110" s="66" t="str">
        <x:v>祁腾蜂赢1号</x:v>
      </x:c>
      <x:c r="C2110" s="72" t="n">
        <x:v>44060</x:v>
      </x:c>
      <x:c r="D2110" s="73" t="n">
        <x:v>1.0558</x:v>
      </x:c>
      <x:c r="E2110" s="73" t="n">
        <x:v>1.3255</x:v>
      </x:c>
      <x:c r="F2110" s="73" t="n">
        <x:v>1.3615</x:v>
      </x:c>
      <x:c r="G2110" s="74" t="n">
        <x:v>0.0013</x:v>
      </x:c>
      <x:c r="H2110" s="66" t="str">
        <x:v>祁腾蜂赢1号净值20260911.xlsx</x:v>
      </x:c>
      <x:c r="I2110" s="73" t="str">
        <x:f>""</x:f>
      </x:c>
      <x:c r="J2110" s="74" t="str">
        <x:f>""</x:f>
      </x:c>
      <x:c r="K2110" s="73" t="str">
        <x:f>""</x:f>
      </x:c>
      <x:c r="L2110" s="74" t="str">
        <x:f>""</x:f>
      </x:c>
      <x:c r="M2110" s="73" t="n">
        <x:f>MAX(M2109,F2110)</x:f>
        <x:v>1.3615</x:v>
      </x:c>
      <x:c r="N2110" s="74" t="n">
        <x:f>1-F2110/M2110</x:f>
        <x:v>0</x:v>
      </x:c>
    </x:row>
    <x:row r="2111" ht="27" customHeight="1">
      <x:c r="A2111" s="66" t="str">
        <x:v>SEV580</x:v>
      </x:c>
      <x:c r="B2111" s="66" t="str">
        <x:v>祁腾蜂赢1号</x:v>
      </x:c>
      <x:c r="C2111" s="72" t="n">
        <x:v>44061</x:v>
      </x:c>
      <x:c r="D2111" s="73" t="n">
        <x:v>1.057</x:v>
      </x:c>
      <x:c r="E2111" s="73" t="n">
        <x:v>1.3267</x:v>
      </x:c>
      <x:c r="F2111" s="73" t="n">
        <x:v>1.363</x:v>
      </x:c>
      <x:c r="G2111" s="74" t="n">
        <x:v>0.0011</x:v>
      </x:c>
      <x:c r="H2111" s="66" t="str">
        <x:v>祁腾蜂赢1号净值20260911.xlsx</x:v>
      </x:c>
      <x:c r="I2111" s="73" t="str">
        <x:f>""</x:f>
      </x:c>
      <x:c r="J2111" s="74" t="str">
        <x:f>""</x:f>
      </x:c>
      <x:c r="K2111" s="73" t="str">
        <x:f>""</x:f>
      </x:c>
      <x:c r="L2111" s="74" t="str">
        <x:f>""</x:f>
      </x:c>
      <x:c r="M2111" s="73" t="n">
        <x:f>MAX(M2110,F2111)</x:f>
        <x:v>1.363</x:v>
      </x:c>
      <x:c r="N2111" s="74" t="n">
        <x:f>1-F2111/M2111</x:f>
        <x:v>0</x:v>
      </x:c>
    </x:row>
    <x:row r="2112" ht="27" customHeight="1">
      <x:c r="A2112" s="66" t="str">
        <x:v>SEV580</x:v>
      </x:c>
      <x:c r="B2112" s="66" t="str">
        <x:v>祁腾蜂赢1号</x:v>
      </x:c>
      <x:c r="C2112" s="72" t="n">
        <x:v>44062</x:v>
      </x:c>
      <x:c r="D2112" s="73" t="n">
        <x:v>1.0571</x:v>
      </x:c>
      <x:c r="E2112" s="73" t="n">
        <x:v>1.3268</x:v>
      </x:c>
      <x:c r="F2112" s="73" t="n">
        <x:v>1.3632</x:v>
      </x:c>
      <x:c r="G2112" s="74" t="n">
        <x:v>0.0001</x:v>
      </x:c>
      <x:c r="H2112" s="66" t="str">
        <x:v>祁腾蜂赢1号净值20260911.xlsx</x:v>
      </x:c>
      <x:c r="I2112" s="73" t="str">
        <x:f>""</x:f>
      </x:c>
      <x:c r="J2112" s="74" t="str">
        <x:f>""</x:f>
      </x:c>
      <x:c r="K2112" s="73" t="str">
        <x:f>""</x:f>
      </x:c>
      <x:c r="L2112" s="74" t="str">
        <x:f>""</x:f>
      </x:c>
      <x:c r="M2112" s="73" t="n">
        <x:f>MAX(M2111,F2112)</x:f>
        <x:v>1.3632</x:v>
      </x:c>
      <x:c r="N2112" s="74" t="n">
        <x:f>1-F2112/M2112</x:f>
        <x:v>0</x:v>
      </x:c>
    </x:row>
    <x:row r="2113" ht="27" customHeight="1">
      <x:c r="A2113" s="66" t="str">
        <x:v>SEV580</x:v>
      </x:c>
      <x:c r="B2113" s="66" t="str">
        <x:v>祁腾蜂赢1号</x:v>
      </x:c>
      <x:c r="C2113" s="72" t="n">
        <x:v>44063</x:v>
      </x:c>
      <x:c r="D2113" s="73" t="n">
        <x:v>1.0597</x:v>
      </x:c>
      <x:c r="E2113" s="73" t="n">
        <x:v>1.3294</x:v>
      </x:c>
      <x:c r="F2113" s="73" t="n">
        <x:v>1.3665</x:v>
      </x:c>
      <x:c r="G2113" s="74" t="n">
        <x:v>0.0025</x:v>
      </x:c>
      <x:c r="H2113" s="66" t="str">
        <x:v>祁腾蜂赢1号净值20260911.xlsx</x:v>
      </x:c>
      <x:c r="I2113" s="73" t="str">
        <x:f>""</x:f>
      </x:c>
      <x:c r="J2113" s="74" t="str">
        <x:f>""</x:f>
      </x:c>
      <x:c r="K2113" s="73" t="str">
        <x:f>""</x:f>
      </x:c>
      <x:c r="L2113" s="74" t="str">
        <x:f>""</x:f>
      </x:c>
      <x:c r="M2113" s="73" t="n">
        <x:f>MAX(M2112,F2113)</x:f>
        <x:v>1.3665</x:v>
      </x:c>
      <x:c r="N2113" s="74" t="n">
        <x:f>1-F2113/M2113</x:f>
        <x:v>0</x:v>
      </x:c>
    </x:row>
    <x:row r="2114" ht="27" customHeight="1">
      <x:c r="A2114" s="66" t="str">
        <x:v>SEV580</x:v>
      </x:c>
      <x:c r="B2114" s="66" t="str">
        <x:v>祁腾蜂赢1号</x:v>
      </x:c>
      <x:c r="C2114" s="72" t="n">
        <x:v>44064</x:v>
      </x:c>
      <x:c r="D2114" s="73" t="n">
        <x:v>1.0582</x:v>
      </x:c>
      <x:c r="E2114" s="73" t="n">
        <x:v>1.3279</x:v>
      </x:c>
      <x:c r="F2114" s="73" t="n">
        <x:v>1.3646</x:v>
      </x:c>
      <x:c r="G2114" s="74" t="n">
        <x:v>-0.0014000000000000002</x:v>
      </x:c>
      <x:c r="H2114" s="66" t="str">
        <x:v>祁腾蜂赢1号净值20260911.xlsx</x:v>
      </x:c>
      <x:c r="I2114" s="73" t="str">
        <x:f>""</x:f>
      </x:c>
      <x:c r="J2114" s="74" t="str">
        <x:f>""</x:f>
      </x:c>
      <x:c r="K2114" s="73" t="str">
        <x:f>""</x:f>
      </x:c>
      <x:c r="L2114" s="74" t="str">
        <x:f>""</x:f>
      </x:c>
      <x:c r="M2114" s="73" t="n">
        <x:f>MAX(M2113,F2114)</x:f>
        <x:v>1.3665</x:v>
      </x:c>
      <x:c r="N2114" s="74" t="n">
        <x:f>1-F2114/M2114</x:f>
        <x:v>0.0013904134650567501</x:v>
      </x:c>
    </x:row>
    <x:row r="2115" ht="27" customHeight="1">
      <x:c r="A2115" s="66" t="str">
        <x:v>SEV580</x:v>
      </x:c>
      <x:c r="B2115" s="66" t="str">
        <x:v>祁腾蜂赢1号</x:v>
      </x:c>
      <x:c r="C2115" s="72" t="n">
        <x:v>44067</x:v>
      </x:c>
      <x:c r="D2115" s="73" t="n">
        <x:v>1.057</x:v>
      </x:c>
      <x:c r="E2115" s="73" t="n">
        <x:v>1.3267</x:v>
      </x:c>
      <x:c r="F2115" s="73" t="n">
        <x:v>1.363</x:v>
      </x:c>
      <x:c r="G2115" s="74" t="n">
        <x:v>-0.0011</x:v>
      </x:c>
      <x:c r="H2115" s="66" t="str">
        <x:v>祁腾蜂赢1号净值20260911.xlsx</x:v>
      </x:c>
      <x:c r="I2115" s="73" t="str">
        <x:f>""</x:f>
      </x:c>
      <x:c r="J2115" s="74" t="str">
        <x:f>""</x:f>
      </x:c>
      <x:c r="K2115" s="73" t="str">
        <x:f>""</x:f>
      </x:c>
      <x:c r="L2115" s="74" t="str">
        <x:f>""</x:f>
      </x:c>
      <x:c r="M2115" s="73" t="n">
        <x:f>MAX(M2114,F2115)</x:f>
        <x:v>1.3665</x:v>
      </x:c>
      <x:c r="N2115" s="74" t="n">
        <x:f>1-F2115/M2115</x:f>
        <x:v>0.0025612879619466566</x:v>
      </x:c>
    </x:row>
    <x:row r="2116" ht="27" customHeight="1">
      <x:c r="A2116" s="66" t="str">
        <x:v>SEV580</x:v>
      </x:c>
      <x:c r="B2116" s="66" t="str">
        <x:v>祁腾蜂赢1号</x:v>
      </x:c>
      <x:c r="C2116" s="72" t="n">
        <x:v>44068</x:v>
      </x:c>
      <x:c r="D2116" s="73" t="n">
        <x:v>1.0578</x:v>
      </x:c>
      <x:c r="E2116" s="73" t="n">
        <x:v>1.3275</x:v>
      </x:c>
      <x:c r="F2116" s="73" t="n">
        <x:v>1.3641</x:v>
      </x:c>
      <x:c r="G2116" s="74" t="n">
        <x:v>0.0008</x:v>
      </x:c>
      <x:c r="H2116" s="66" t="str">
        <x:v>祁腾蜂赢1号净值20260911.xlsx</x:v>
      </x:c>
      <x:c r="I2116" s="73" t="str">
        <x:f>""</x:f>
      </x:c>
      <x:c r="J2116" s="74" t="str">
        <x:f>""</x:f>
      </x:c>
      <x:c r="K2116" s="73" t="str">
        <x:f>""</x:f>
      </x:c>
      <x:c r="L2116" s="74" t="str">
        <x:f>""</x:f>
      </x:c>
      <x:c r="M2116" s="73" t="n">
        <x:f>MAX(M2115,F2116)</x:f>
        <x:v>1.3665</x:v>
      </x:c>
      <x:c r="N2116" s="74" t="n">
        <x:f>1-F2116/M2116</x:f>
        <x:v>0.0017563117453347488</x:v>
      </x:c>
    </x:row>
    <x:row r="2117" ht="27" customHeight="1">
      <x:c r="A2117" s="66" t="str">
        <x:v>SEV580</x:v>
      </x:c>
      <x:c r="B2117" s="66" t="str">
        <x:v>祁腾蜂赢1号</x:v>
      </x:c>
      <x:c r="C2117" s="72" t="n">
        <x:v>44069</x:v>
      </x:c>
      <x:c r="D2117" s="73" t="n">
        <x:v>1.0586</x:v>
      </x:c>
      <x:c r="E2117" s="73" t="n">
        <x:v>1.3283</x:v>
      </x:c>
      <x:c r="F2117" s="73" t="n">
        <x:v>1.3651</x:v>
      </x:c>
      <x:c r="G2117" s="74" t="n">
        <x:v>0.0008</x:v>
      </x:c>
      <x:c r="H2117" s="66" t="str">
        <x:v>祁腾蜂赢1号净值20260911.xlsx</x:v>
      </x:c>
      <x:c r="I2117" s="73" t="str">
        <x:f>""</x:f>
      </x:c>
      <x:c r="J2117" s="74" t="str">
        <x:f>""</x:f>
      </x:c>
      <x:c r="K2117" s="73" t="str">
        <x:f>""</x:f>
      </x:c>
      <x:c r="L2117" s="74" t="str">
        <x:f>""</x:f>
      </x:c>
      <x:c r="M2117" s="73" t="n">
        <x:f>MAX(M2116,F2117)</x:f>
        <x:v>1.3665</x:v>
      </x:c>
      <x:c r="N2117" s="74" t="n">
        <x:f>1-F2117/M2117</x:f>
        <x:v>0.0010245151847786405</x:v>
      </x:c>
    </x:row>
    <x:row r="2118" ht="27" customHeight="1">
      <x:c r="A2118" s="66" t="str">
        <x:v>SEV580</x:v>
      </x:c>
      <x:c r="B2118" s="66" t="str">
        <x:v>祁腾蜂赢1号</x:v>
      </x:c>
      <x:c r="C2118" s="72" t="n">
        <x:v>44070</x:v>
      </x:c>
      <x:c r="D2118" s="73" t="n">
        <x:v>1.0588</x:v>
      </x:c>
      <x:c r="E2118" s="73" t="n">
        <x:v>1.3285</x:v>
      </x:c>
      <x:c r="F2118" s="73" t="n">
        <x:v>1.3654</x:v>
      </x:c>
      <x:c r="G2118" s="74" t="n">
        <x:v>0.0002</x:v>
      </x:c>
      <x:c r="H2118" s="66" t="str">
        <x:v>祁腾蜂赢1号净值20260911.xlsx</x:v>
      </x:c>
      <x:c r="I2118" s="73" t="str">
        <x:f>""</x:f>
      </x:c>
      <x:c r="J2118" s="74" t="str">
        <x:f>""</x:f>
      </x:c>
      <x:c r="K2118" s="73" t="str">
        <x:f>""</x:f>
      </x:c>
      <x:c r="L2118" s="74" t="str">
        <x:f>""</x:f>
      </x:c>
      <x:c r="M2118" s="73" t="n">
        <x:f>MAX(M2117,F2118)</x:f>
        <x:v>1.3665</x:v>
      </x:c>
      <x:c r="N2118" s="74" t="n">
        <x:f>1-F2118/M2118</x:f>
        <x:v>0.0008049762166119079</x:v>
      </x:c>
    </x:row>
    <x:row r="2119" ht="27" customHeight="1">
      <x:c r="A2119" s="66" t="str">
        <x:v>SEV580</x:v>
      </x:c>
      <x:c r="B2119" s="66" t="str">
        <x:v>祁腾蜂赢1号</x:v>
      </x:c>
      <x:c r="C2119" s="72" t="n">
        <x:v>44071</x:v>
      </x:c>
      <x:c r="D2119" s="73" t="n">
        <x:v>1.0594</x:v>
      </x:c>
      <x:c r="E2119" s="73" t="n">
        <x:v>1.3291</x:v>
      </x:c>
      <x:c r="F2119" s="73" t="n">
        <x:v>1.3661</x:v>
      </x:c>
      <x:c r="G2119" s="74" t="n">
        <x:v>0.0006</x:v>
      </x:c>
      <x:c r="H2119" s="66" t="str">
        <x:v>祁腾蜂赢1号净值20260911.xlsx</x:v>
      </x:c>
      <x:c r="I2119" s="73" t="str">
        <x:f>""</x:f>
      </x:c>
      <x:c r="J2119" s="74" t="str">
        <x:f>""</x:f>
      </x:c>
      <x:c r="K2119" s="73" t="str">
        <x:f>""</x:f>
      </x:c>
      <x:c r="L2119" s="74" t="str">
        <x:f>""</x:f>
      </x:c>
      <x:c r="M2119" s="73" t="n">
        <x:f>MAX(M2118,F2119)</x:f>
        <x:v>1.3665</x:v>
      </x:c>
      <x:c r="N2119" s="74" t="n">
        <x:f>1-F2119/M2119</x:f>
        <x:v>0.0002927186242224211</x:v>
      </x:c>
    </x:row>
    <x:row r="2120" ht="27" customHeight="1">
      <x:c r="A2120" s="66" t="str">
        <x:v>SEV580</x:v>
      </x:c>
      <x:c r="B2120" s="66" t="str">
        <x:v>祁腾蜂赢1号</x:v>
      </x:c>
      <x:c r="C2120" s="72" t="n">
        <x:v>44074</x:v>
      </x:c>
      <x:c r="D2120" s="73" t="n">
        <x:v>1.0584</x:v>
      </x:c>
      <x:c r="E2120" s="73" t="n">
        <x:v>1.3281</x:v>
      </x:c>
      <x:c r="F2120" s="73" t="n">
        <x:v>1.3649</x:v>
      </x:c>
      <x:c r="G2120" s="74" t="n">
        <x:v>-0.0009</x:v>
      </x:c>
      <x:c r="H2120" s="66" t="str">
        <x:v>祁腾蜂赢1号净值20260911.xlsx</x:v>
      </x:c>
      <x:c r="I2120" s="73" t="str">
        <x:f>""</x:f>
      </x:c>
      <x:c r="J2120" s="74" t="str">
        <x:f>""</x:f>
      </x:c>
      <x:c r="K2120" s="73" t="str">
        <x:f>""</x:f>
      </x:c>
      <x:c r="L2120" s="74" t="str">
        <x:f>""</x:f>
      </x:c>
      <x:c r="M2120" s="73" t="n">
        <x:f>MAX(M2119,F2120)</x:f>
        <x:v>1.3665</x:v>
      </x:c>
      <x:c r="N2120" s="74" t="n">
        <x:f>1-F2120/M2120</x:f>
        <x:v>0.0011708744968899065</x:v>
      </x:c>
    </x:row>
    <x:row r="2121" ht="27" customHeight="1">
      <x:c r="A2121" s="66" t="str">
        <x:v>SEV580</x:v>
      </x:c>
      <x:c r="B2121" s="66" t="str">
        <x:v>祁腾蜂赢1号</x:v>
      </x:c>
      <x:c r="C2121" s="72" t="n">
        <x:v>44075</x:v>
      </x:c>
      <x:c r="D2121" s="73" t="n">
        <x:v>1.0582</x:v>
      </x:c>
      <x:c r="E2121" s="73" t="n">
        <x:v>1.3279</x:v>
      </x:c>
      <x:c r="F2121" s="73" t="n">
        <x:v>1.3646</x:v>
      </x:c>
      <x:c r="G2121" s="74" t="n">
        <x:v>-0.0002</x:v>
      </x:c>
      <x:c r="H2121" s="66" t="str">
        <x:v>祁腾蜂赢1号净值20260911.xlsx</x:v>
      </x:c>
      <x:c r="I2121" s="73" t="str">
        <x:f>""</x:f>
      </x:c>
      <x:c r="J2121" s="74" t="str">
        <x:f>""</x:f>
      </x:c>
      <x:c r="K2121" s="73" t="str">
        <x:f>""</x:f>
      </x:c>
      <x:c r="L2121" s="74" t="str">
        <x:f>""</x:f>
      </x:c>
      <x:c r="M2121" s="73" t="n">
        <x:f>MAX(M2120,F2121)</x:f>
        <x:v>1.3665</x:v>
      </x:c>
      <x:c r="N2121" s="74" t="n">
        <x:f>1-F2121/M2121</x:f>
        <x:v>0.0013904134650567501</x:v>
      </x:c>
    </x:row>
    <x:row r="2122" ht="27" customHeight="1">
      <x:c r="A2122" s="66" t="str">
        <x:v>SEV580</x:v>
      </x:c>
      <x:c r="B2122" s="66" t="str">
        <x:v>祁腾蜂赢1号</x:v>
      </x:c>
      <x:c r="C2122" s="72" t="n">
        <x:v>44076</x:v>
      </x:c>
      <x:c r="D2122" s="73" t="n">
        <x:v>1.0579</x:v>
      </x:c>
      <x:c r="E2122" s="73" t="n">
        <x:v>1.3276</x:v>
      </x:c>
      <x:c r="F2122" s="73" t="n">
        <x:v>1.3642</x:v>
      </x:c>
      <x:c r="G2122" s="74" t="n">
        <x:v>-0.0003</x:v>
      </x:c>
      <x:c r="H2122" s="66" t="str">
        <x:v>祁腾蜂赢1号净值20260911.xlsx</x:v>
      </x:c>
      <x:c r="I2122" s="73" t="str">
        <x:f>""</x:f>
      </x:c>
      <x:c r="J2122" s="74" t="str">
        <x:f>""</x:f>
      </x:c>
      <x:c r="K2122" s="73" t="str">
        <x:f>""</x:f>
      </x:c>
      <x:c r="L2122" s="74" t="str">
        <x:f>""</x:f>
      </x:c>
      <x:c r="M2122" s="73" t="n">
        <x:f>MAX(M2121,F2122)</x:f>
        <x:v>1.3665</x:v>
      </x:c>
      <x:c r="N2122" s="74" t="n">
        <x:f>1-F2122/M2122</x:f>
        <x:v>0.0016831320892791712</x:v>
      </x:c>
    </x:row>
    <x:row r="2123" ht="27" customHeight="1">
      <x:c r="A2123" s="66" t="str">
        <x:v>SEV580</x:v>
      </x:c>
      <x:c r="B2123" s="66" t="str">
        <x:v>祁腾蜂赢1号</x:v>
      </x:c>
      <x:c r="C2123" s="72" t="n">
        <x:v>44077</x:v>
      </x:c>
      <x:c r="D2123" s="73" t="n">
        <x:v>1.0585</x:v>
      </x:c>
      <x:c r="E2123" s="73" t="n">
        <x:v>1.3282</x:v>
      </x:c>
      <x:c r="F2123" s="73" t="n">
        <x:v>1.365</x:v>
      </x:c>
      <x:c r="G2123" s="74" t="n">
        <x:v>0.0006</x:v>
      </x:c>
      <x:c r="H2123" s="66" t="str">
        <x:v>祁腾蜂赢1号净值20260911.xlsx</x:v>
      </x:c>
      <x:c r="I2123" s="73" t="str">
        <x:f>""</x:f>
      </x:c>
      <x:c r="J2123" s="74" t="str">
        <x:f>""</x:f>
      </x:c>
      <x:c r="K2123" s="73" t="str">
        <x:f>""</x:f>
      </x:c>
      <x:c r="L2123" s="74" t="str">
        <x:f>""</x:f>
      </x:c>
      <x:c r="M2123" s="73" t="n">
        <x:f>MAX(M2122,F2123)</x:f>
        <x:v>1.3665</x:v>
      </x:c>
      <x:c r="N2123" s="74" t="n">
        <x:f>1-F2123/M2123</x:f>
        <x:v>0.001097694840834329</x:v>
      </x:c>
    </x:row>
    <x:row r="2124" ht="27" customHeight="1">
      <x:c r="A2124" s="66" t="str">
        <x:v>SEV580</x:v>
      </x:c>
      <x:c r="B2124" s="66" t="str">
        <x:v>祁腾蜂赢1号</x:v>
      </x:c>
      <x:c r="C2124" s="72" t="n">
        <x:v>44078</x:v>
      </x:c>
      <x:c r="D2124" s="73" t="n">
        <x:v>1.063</x:v>
      </x:c>
      <x:c r="E2124" s="73" t="n">
        <x:v>1.3327</x:v>
      </x:c>
      <x:c r="F2124" s="73" t="n">
        <x:v>1.3708</x:v>
      </x:c>
      <x:c r="G2124" s="74" t="n">
        <x:v>0.0043</x:v>
      </x:c>
      <x:c r="H2124" s="66" t="str">
        <x:v>祁腾蜂赢1号净值20260911.xlsx</x:v>
      </x:c>
      <x:c r="I2124" s="73" t="str">
        <x:f>""</x:f>
      </x:c>
      <x:c r="J2124" s="74" t="str">
        <x:f>""</x:f>
      </x:c>
      <x:c r="K2124" s="73" t="str">
        <x:f>""</x:f>
      </x:c>
      <x:c r="L2124" s="74" t="str">
        <x:f>""</x:f>
      </x:c>
      <x:c r="M2124" s="73" t="n">
        <x:f>MAX(M2123,F2124)</x:f>
        <x:v>1.3708</x:v>
      </x:c>
      <x:c r="N2124" s="74" t="n">
        <x:f>1-F2124/M2124</x:f>
        <x:v>0</x:v>
      </x:c>
    </x:row>
    <x:row r="2125" ht="27" customHeight="1">
      <x:c r="A2125" s="66" t="str">
        <x:v>SEV580</x:v>
      </x:c>
      <x:c r="B2125" s="66" t="str">
        <x:v>祁腾蜂赢1号</x:v>
      </x:c>
      <x:c r="C2125" s="72" t="n">
        <x:v>44081</x:v>
      </x:c>
      <x:c r="D2125" s="73" t="n">
        <x:v>1.0645</x:v>
      </x:c>
      <x:c r="E2125" s="73" t="n">
        <x:v>1.3342</x:v>
      </x:c>
      <x:c r="F2125" s="73" t="n">
        <x:v>1.3727</x:v>
      </x:c>
      <x:c r="G2125" s="74" t="n">
        <x:v>0.0014000000000000002</x:v>
      </x:c>
      <x:c r="H2125" s="66" t="str">
        <x:v>祁腾蜂赢1号净值20260911.xlsx</x:v>
      </x:c>
      <x:c r="I2125" s="73" t="str">
        <x:f>""</x:f>
      </x:c>
      <x:c r="J2125" s="74" t="str">
        <x:f>""</x:f>
      </x:c>
      <x:c r="K2125" s="73" t="str">
        <x:f>""</x:f>
      </x:c>
      <x:c r="L2125" s="74" t="str">
        <x:f>""</x:f>
      </x:c>
      <x:c r="M2125" s="73" t="n">
        <x:f>MAX(M2124,F2125)</x:f>
        <x:v>1.3727</x:v>
      </x:c>
      <x:c r="N2125" s="74" t="n">
        <x:f>1-F2125/M2125</x:f>
        <x:v>0</x:v>
      </x:c>
    </x:row>
    <x:row r="2126" ht="27" customHeight="1">
      <x:c r="A2126" s="66" t="str">
        <x:v>SEV580</x:v>
      </x:c>
      <x:c r="B2126" s="66" t="str">
        <x:v>祁腾蜂赢1号</x:v>
      </x:c>
      <x:c r="C2126" s="72" t="n">
        <x:v>44082</x:v>
      </x:c>
      <x:c r="D2126" s="73" t="n">
        <x:v>1.0647</x:v>
      </x:c>
      <x:c r="E2126" s="73" t="n">
        <x:v>1.3344</x:v>
      </x:c>
      <x:c r="F2126" s="73" t="n">
        <x:v>1.373</x:v>
      </x:c>
      <x:c r="G2126" s="74" t="n">
        <x:v>0.0002</x:v>
      </x:c>
      <x:c r="H2126" s="66" t="str">
        <x:v>祁腾蜂赢1号净值20260911.xlsx</x:v>
      </x:c>
      <x:c r="I2126" s="73" t="str">
        <x:f>""</x:f>
      </x:c>
      <x:c r="J2126" s="74" t="str">
        <x:f>""</x:f>
      </x:c>
      <x:c r="K2126" s="73" t="str">
        <x:f>""</x:f>
      </x:c>
      <x:c r="L2126" s="74" t="str">
        <x:f>""</x:f>
      </x:c>
      <x:c r="M2126" s="73" t="n">
        <x:f>MAX(M2125,F2126)</x:f>
        <x:v>1.373</x:v>
      </x:c>
      <x:c r="N2126" s="74" t="n">
        <x:f>1-F2126/M2126</x:f>
        <x:v>0</x:v>
      </x:c>
    </x:row>
    <x:row r="2127" ht="27" customHeight="1">
      <x:c r="A2127" s="66" t="str">
        <x:v>SEV580</x:v>
      </x:c>
      <x:c r="B2127" s="66" t="str">
        <x:v>祁腾蜂赢1号</x:v>
      </x:c>
      <x:c r="C2127" s="72" t="n">
        <x:v>44083</x:v>
      </x:c>
      <x:c r="D2127" s="73" t="n">
        <x:v>1.0682</x:v>
      </x:c>
      <x:c r="E2127" s="73" t="n">
        <x:v>1.3379</x:v>
      </x:c>
      <x:c r="F2127" s="73" t="n">
        <x:v>1.3775</x:v>
      </x:c>
      <x:c r="G2127" s="74" t="n">
        <x:v>0.0033</x:v>
      </x:c>
      <x:c r="H2127" s="66" t="str">
        <x:v>祁腾蜂赢1号净值20260911.xlsx</x:v>
      </x:c>
      <x:c r="I2127" s="73" t="str">
        <x:f>""</x:f>
      </x:c>
      <x:c r="J2127" s="74" t="str">
        <x:f>""</x:f>
      </x:c>
      <x:c r="K2127" s="73" t="str">
        <x:f>""</x:f>
      </x:c>
      <x:c r="L2127" s="74" t="str">
        <x:f>""</x:f>
      </x:c>
      <x:c r="M2127" s="73" t="n">
        <x:f>MAX(M2126,F2127)</x:f>
        <x:v>1.3775</x:v>
      </x:c>
      <x:c r="N2127" s="74" t="n">
        <x:f>1-F2127/M2127</x:f>
        <x:v>0</x:v>
      </x:c>
    </x:row>
    <x:row r="2128" ht="27" customHeight="1">
      <x:c r="A2128" s="66" t="str">
        <x:v>SEV580</x:v>
      </x:c>
      <x:c r="B2128" s="66" t="str">
        <x:v>祁腾蜂赢1号</x:v>
      </x:c>
      <x:c r="C2128" s="72" t="n">
        <x:v>44084</x:v>
      </x:c>
      <x:c r="D2128" s="73" t="n">
        <x:v>1.0674</x:v>
      </x:c>
      <x:c r="E2128" s="73" t="n">
        <x:v>1.3371</x:v>
      </x:c>
      <x:c r="F2128" s="73" t="n">
        <x:v>1.3765</x:v>
      </x:c>
      <x:c r="G2128" s="74" t="n">
        <x:v>-0.0007000000000000001</x:v>
      </x:c>
      <x:c r="H2128" s="66" t="str">
        <x:v>祁腾蜂赢1号净值20260911.xlsx</x:v>
      </x:c>
      <x:c r="I2128" s="73" t="str">
        <x:f>""</x:f>
      </x:c>
      <x:c r="J2128" s="74" t="str">
        <x:f>""</x:f>
      </x:c>
      <x:c r="K2128" s="73" t="str">
        <x:f>""</x:f>
      </x:c>
      <x:c r="L2128" s="74" t="str">
        <x:f>""</x:f>
      </x:c>
      <x:c r="M2128" s="73" t="n">
        <x:f>MAX(M2127,F2128)</x:f>
        <x:v>1.3775</x:v>
      </x:c>
      <x:c r="N2128" s="74" t="n">
        <x:f>1-F2128/M2128</x:f>
        <x:v>0.0007259528130670878</x:v>
      </x:c>
    </x:row>
    <x:row r="2129" ht="27" customHeight="1">
      <x:c r="A2129" s="66" t="str">
        <x:v>SEV580</x:v>
      </x:c>
      <x:c r="B2129" s="66" t="str">
        <x:v>祁腾蜂赢1号</x:v>
      </x:c>
      <x:c r="C2129" s="72" t="n">
        <x:v>44085</x:v>
      </x:c>
      <x:c r="D2129" s="73" t="n">
        <x:v>1.0674</x:v>
      </x:c>
      <x:c r="E2129" s="73" t="n">
        <x:v>1.3371</x:v>
      </x:c>
      <x:c r="F2129" s="73" t="n">
        <x:v>1.3765</x:v>
      </x:c>
      <x:c r="G2129" s="74" t="n">
        <x:v>0</x:v>
      </x:c>
      <x:c r="H2129" s="66" t="str">
        <x:v>祁腾蜂赢1号净值20260911.xlsx</x:v>
      </x:c>
      <x:c r="I2129" s="73" t="str">
        <x:f>""</x:f>
      </x:c>
      <x:c r="J2129" s="74" t="str">
        <x:f>""</x:f>
      </x:c>
      <x:c r="K2129" s="73" t="str">
        <x:f>""</x:f>
      </x:c>
      <x:c r="L2129" s="74" t="str">
        <x:f>""</x:f>
      </x:c>
      <x:c r="M2129" s="73" t="n">
        <x:f>MAX(M2128,F2129)</x:f>
        <x:v>1.3775</x:v>
      </x:c>
      <x:c r="N2129" s="74" t="n">
        <x:f>1-F2129/M2129</x:f>
        <x:v>0.0007259528130670878</x:v>
      </x:c>
    </x:row>
    <x:row r="2130" ht="27" customHeight="1">
      <x:c r="A2130" s="66" t="str">
        <x:v>SEV580</x:v>
      </x:c>
      <x:c r="B2130" s="66" t="str">
        <x:v>祁腾蜂赢1号</x:v>
      </x:c>
      <x:c r="C2130" s="72" t="n">
        <x:v>44088</x:v>
      </x:c>
      <x:c r="D2130" s="73" t="n">
        <x:v>1.0675</x:v>
      </x:c>
      <x:c r="E2130" s="73" t="n">
        <x:v>1.3372</x:v>
      </x:c>
      <x:c r="F2130" s="73" t="n">
        <x:v>1.3766</x:v>
      </x:c>
      <x:c r="G2130" s="74" t="n">
        <x:v>0.0001</x:v>
      </x:c>
      <x:c r="H2130" s="66" t="str">
        <x:v>祁腾蜂赢1号净值20260911.xlsx</x:v>
      </x:c>
      <x:c r="I2130" s="73" t="str">
        <x:f>""</x:f>
      </x:c>
      <x:c r="J2130" s="74" t="str">
        <x:f>""</x:f>
      </x:c>
      <x:c r="K2130" s="73" t="str">
        <x:f>""</x:f>
      </x:c>
      <x:c r="L2130" s="74" t="str">
        <x:f>""</x:f>
      </x:c>
      <x:c r="M2130" s="73" t="n">
        <x:f>MAX(M2129,F2130)</x:f>
        <x:v>1.3775</x:v>
      </x:c>
      <x:c r="N2130" s="74" t="n">
        <x:f>1-F2130/M2130</x:f>
        <x:v>0.0006533575317603235</x:v>
      </x:c>
    </x:row>
    <x:row r="2131" ht="27" customHeight="1">
      <x:c r="A2131" s="66" t="str">
        <x:v>SEV580</x:v>
      </x:c>
      <x:c r="B2131" s="66" t="str">
        <x:v>祁腾蜂赢1号</x:v>
      </x:c>
      <x:c r="C2131" s="72" t="n">
        <x:v>44089</x:v>
      </x:c>
      <x:c r="D2131" s="73" t="n">
        <x:v>1.0676</x:v>
      </x:c>
      <x:c r="E2131" s="73" t="n">
        <x:v>1.3373</x:v>
      </x:c>
      <x:c r="F2131" s="73" t="n">
        <x:v>1.3767</x:v>
      </x:c>
      <x:c r="G2131" s="74" t="n">
        <x:v>0.0001</x:v>
      </x:c>
      <x:c r="H2131" s="66" t="str">
        <x:v>祁腾蜂赢1号净值20260911.xlsx</x:v>
      </x:c>
      <x:c r="I2131" s="73" t="str">
        <x:f>""</x:f>
      </x:c>
      <x:c r="J2131" s="74" t="str">
        <x:f>""</x:f>
      </x:c>
      <x:c r="K2131" s="73" t="str">
        <x:f>""</x:f>
      </x:c>
      <x:c r="L2131" s="74" t="str">
        <x:f>""</x:f>
      </x:c>
      <x:c r="M2131" s="73" t="n">
        <x:f>MAX(M2130,F2131)</x:f>
        <x:v>1.3775</x:v>
      </x:c>
      <x:c r="N2131" s="74" t="n">
        <x:f>1-F2131/M2131</x:f>
        <x:v>0.0005807622504536702</x:v>
      </x:c>
    </x:row>
    <x:row r="2132" ht="27" customHeight="1">
      <x:c r="A2132" s="66" t="str">
        <x:v>SEV580</x:v>
      </x:c>
      <x:c r="B2132" s="66" t="str">
        <x:v>祁腾蜂赢1号</x:v>
      </x:c>
      <x:c r="C2132" s="72" t="n">
        <x:v>44090</x:v>
      </x:c>
      <x:c r="D2132" s="73" t="n">
        <x:v>1.0678</x:v>
      </x:c>
      <x:c r="E2132" s="73" t="n">
        <x:v>1.3375</x:v>
      </x:c>
      <x:c r="F2132" s="73" t="n">
        <x:v>1.377</x:v>
      </x:c>
      <x:c r="G2132" s="74" t="n">
        <x:v>0.0002</x:v>
      </x:c>
      <x:c r="H2132" s="66" t="str">
        <x:v>祁腾蜂赢1号净值20260911.xlsx</x:v>
      </x:c>
      <x:c r="I2132" s="73" t="str">
        <x:f>""</x:f>
      </x:c>
      <x:c r="J2132" s="74" t="str">
        <x:f>""</x:f>
      </x:c>
      <x:c r="K2132" s="73" t="str">
        <x:f>""</x:f>
      </x:c>
      <x:c r="L2132" s="74" t="str">
        <x:f>""</x:f>
      </x:c>
      <x:c r="M2132" s="73" t="n">
        <x:f>MAX(M2131,F2132)</x:f>
        <x:v>1.3775</x:v>
      </x:c>
      <x:c r="N2132" s="74" t="n">
        <x:f>1-F2132/M2132</x:f>
        <x:v>0.0003629764065334884</x:v>
      </x:c>
    </x:row>
    <x:row r="2133" ht="27" customHeight="1">
      <x:c r="A2133" s="66" t="str">
        <x:v>SEV580</x:v>
      </x:c>
      <x:c r="B2133" s="66" t="str">
        <x:v>祁腾蜂赢1号</x:v>
      </x:c>
      <x:c r="C2133" s="72" t="n">
        <x:v>44091</x:v>
      </x:c>
      <x:c r="D2133" s="73" t="n">
        <x:v>1.0671</x:v>
      </x:c>
      <x:c r="E2133" s="73" t="n">
        <x:v>1.3368</x:v>
      </x:c>
      <x:c r="F2133" s="73" t="n">
        <x:v>1.3761</x:v>
      </x:c>
      <x:c r="G2133" s="74" t="n">
        <x:v>-0.0007000000000000001</x:v>
      </x:c>
      <x:c r="H2133" s="66" t="str">
        <x:v>祁腾蜂赢1号净值20260911.xlsx</x:v>
      </x:c>
      <x:c r="I2133" s="73" t="str">
        <x:f>""</x:f>
      </x:c>
      <x:c r="J2133" s="74" t="str">
        <x:f>""</x:f>
      </x:c>
      <x:c r="K2133" s="73" t="str">
        <x:f>""</x:f>
      </x:c>
      <x:c r="L2133" s="74" t="str">
        <x:f>""</x:f>
      </x:c>
      <x:c r="M2133" s="73" t="n">
        <x:f>MAX(M2132,F2133)</x:f>
        <x:v>1.3775</x:v>
      </x:c>
      <x:c r="N2133" s="74" t="n">
        <x:f>1-F2133/M2133</x:f>
        <x:v>0.001016333938293923</x:v>
      </x:c>
    </x:row>
    <x:row r="2134" ht="27" customHeight="1">
      <x:c r="A2134" s="66" t="str">
        <x:v>SEV580</x:v>
      </x:c>
      <x:c r="B2134" s="66" t="str">
        <x:v>祁腾蜂赢1号</x:v>
      </x:c>
      <x:c r="C2134" s="72" t="n">
        <x:v>44092</x:v>
      </x:c>
      <x:c r="D2134" s="73" t="n">
        <x:v>1.0668</x:v>
      </x:c>
      <x:c r="E2134" s="73" t="n">
        <x:v>1.3365</x:v>
      </x:c>
      <x:c r="F2134" s="73" t="n">
        <x:v>1.3757</x:v>
      </x:c>
      <x:c r="G2134" s="74" t="n">
        <x:v>-0.0003</x:v>
      </x:c>
      <x:c r="H2134" s="66" t="str">
        <x:v>祁腾蜂赢1号净值20260911.xlsx</x:v>
      </x:c>
      <x:c r="I2134" s="73" t="str">
        <x:f>""</x:f>
      </x:c>
      <x:c r="J2134" s="74" t="str">
        <x:f>""</x:f>
      </x:c>
      <x:c r="K2134" s="73" t="str">
        <x:f>""</x:f>
      </x:c>
      <x:c r="L2134" s="74" t="str">
        <x:f>""</x:f>
      </x:c>
      <x:c r="M2134" s="73" t="n">
        <x:f>MAX(M2133,F2134)</x:f>
        <x:v>1.3775</x:v>
      </x:c>
      <x:c r="N2134" s="74" t="n">
        <x:f>1-F2134/M2134</x:f>
        <x:v>0.001306715063520869</x:v>
      </x:c>
    </x:row>
    <x:row r="2135" ht="27" customHeight="1">
      <x:c r="A2135" s="66" t="str">
        <x:v>SEV580</x:v>
      </x:c>
      <x:c r="B2135" s="66" t="str">
        <x:v>祁腾蜂赢1号</x:v>
      </x:c>
      <x:c r="C2135" s="72" t="n">
        <x:v>44095</x:v>
      </x:c>
      <x:c r="D2135" s="73" t="n">
        <x:v>1.0661</x:v>
      </x:c>
      <x:c r="E2135" s="73" t="n">
        <x:v>1.3358</x:v>
      </x:c>
      <x:c r="F2135" s="73" t="n">
        <x:v>1.3748</x:v>
      </x:c>
      <x:c r="G2135" s="74" t="n">
        <x:v>-0.0007000000000000001</x:v>
      </x:c>
      <x:c r="H2135" s="66" t="str">
        <x:v>祁腾蜂赢1号净值20260911.xlsx</x:v>
      </x:c>
      <x:c r="I2135" s="73" t="str">
        <x:f>""</x:f>
      </x:c>
      <x:c r="J2135" s="74" t="str">
        <x:f>""</x:f>
      </x:c>
      <x:c r="K2135" s="73" t="str">
        <x:f>""</x:f>
      </x:c>
      <x:c r="L2135" s="74" t="str">
        <x:f>""</x:f>
      </x:c>
      <x:c r="M2135" s="73" t="n">
        <x:f>MAX(M2134,F2135)</x:f>
        <x:v>1.3775</x:v>
      </x:c>
      <x:c r="N2135" s="74" t="n">
        <x:f>1-F2135/M2135</x:f>
        <x:v>0.0019600725952813036</x:v>
      </x:c>
    </x:row>
    <x:row r="2136" ht="27" customHeight="1">
      <x:c r="A2136" s="66" t="str">
        <x:v>SEV580</x:v>
      </x:c>
      <x:c r="B2136" s="66" t="str">
        <x:v>祁腾蜂赢1号</x:v>
      </x:c>
      <x:c r="C2136" s="72" t="n">
        <x:v>44096</x:v>
      </x:c>
      <x:c r="D2136" s="73" t="n">
        <x:v>1.0668</x:v>
      </x:c>
      <x:c r="E2136" s="73" t="n">
        <x:v>1.3365</x:v>
      </x:c>
      <x:c r="F2136" s="73" t="n">
        <x:v>1.3757</x:v>
      </x:c>
      <x:c r="G2136" s="74" t="n">
        <x:v>0.0007000000000000001</x:v>
      </x:c>
      <x:c r="H2136" s="66" t="str">
        <x:v>祁腾蜂赢1号净值20260911.xlsx</x:v>
      </x:c>
      <x:c r="I2136" s="73" t="str">
        <x:f>""</x:f>
      </x:c>
      <x:c r="J2136" s="74" t="str">
        <x:f>""</x:f>
      </x:c>
      <x:c r="K2136" s="73" t="str">
        <x:f>""</x:f>
      </x:c>
      <x:c r="L2136" s="74" t="str">
        <x:f>""</x:f>
      </x:c>
      <x:c r="M2136" s="73" t="n">
        <x:f>MAX(M2135,F2136)</x:f>
        <x:v>1.3775</x:v>
      </x:c>
      <x:c r="N2136" s="74" t="n">
        <x:f>1-F2136/M2136</x:f>
        <x:v>0.001306715063520869</x:v>
      </x:c>
    </x:row>
    <x:row r="2137" ht="27" customHeight="1">
      <x:c r="A2137" s="66" t="str">
        <x:v>SEV580</x:v>
      </x:c>
      <x:c r="B2137" s="66" t="str">
        <x:v>祁腾蜂赢1号</x:v>
      </x:c>
      <x:c r="C2137" s="72" t="n">
        <x:v>44097</x:v>
      </x:c>
      <x:c r="D2137" s="73" t="n">
        <x:v>1.0658</x:v>
      </x:c>
      <x:c r="E2137" s="73" t="n">
        <x:v>1.3355</x:v>
      </x:c>
      <x:c r="F2137" s="73" t="n">
        <x:v>1.3744</x:v>
      </x:c>
      <x:c r="G2137" s="74" t="n">
        <x:v>-0.0009</x:v>
      </x:c>
      <x:c r="H2137" s="66" t="str">
        <x:v>祁腾蜂赢1号净值20260911.xlsx</x:v>
      </x:c>
      <x:c r="I2137" s="73" t="str">
        <x:f>""</x:f>
      </x:c>
      <x:c r="J2137" s="74" t="str">
        <x:f>""</x:f>
      </x:c>
      <x:c r="K2137" s="73" t="str">
        <x:f>""</x:f>
      </x:c>
      <x:c r="L2137" s="74" t="str">
        <x:f>""</x:f>
      </x:c>
      <x:c r="M2137" s="73" t="n">
        <x:f>MAX(M2136,F2137)</x:f>
        <x:v>1.3775</x:v>
      </x:c>
      <x:c r="N2137" s="74" t="n">
        <x:f>1-F2137/M2137</x:f>
        <x:v>0.0022504537205080277</x:v>
      </x:c>
    </x:row>
    <x:row r="2138" ht="27" customHeight="1">
      <x:c r="A2138" s="66" t="str">
        <x:v>SEV580</x:v>
      </x:c>
      <x:c r="B2138" s="66" t="str">
        <x:v>祁腾蜂赢1号</x:v>
      </x:c>
      <x:c r="C2138" s="72" t="n">
        <x:v>44098</x:v>
      </x:c>
      <x:c r="D2138" s="73" t="n">
        <x:v>1.0665</x:v>
      </x:c>
      <x:c r="E2138" s="73" t="n">
        <x:v>1.3362</x:v>
      </x:c>
      <x:c r="F2138" s="73" t="n">
        <x:v>1.3753</x:v>
      </x:c>
      <x:c r="G2138" s="74" t="n">
        <x:v>0.0007000000000000001</x:v>
      </x:c>
      <x:c r="H2138" s="66" t="str">
        <x:v>祁腾蜂赢1号净值20260911.xlsx</x:v>
      </x:c>
      <x:c r="I2138" s="73" t="str">
        <x:f>""</x:f>
      </x:c>
      <x:c r="J2138" s="74" t="str">
        <x:f>""</x:f>
      </x:c>
      <x:c r="K2138" s="73" t="str">
        <x:f>""</x:f>
      </x:c>
      <x:c r="L2138" s="74" t="str">
        <x:f>""</x:f>
      </x:c>
      <x:c r="M2138" s="73" t="n">
        <x:f>MAX(M2137,F2138)</x:f>
        <x:v>1.3775</x:v>
      </x:c>
      <x:c r="N2138" s="74" t="n">
        <x:f>1-F2138/M2138</x:f>
        <x:v>0.0015970961887477042</x:v>
      </x:c>
    </x:row>
    <x:row r="2139" ht="27" customHeight="1">
      <x:c r="A2139" s="66" t="str">
        <x:v>SEV580</x:v>
      </x:c>
      <x:c r="B2139" s="66" t="str">
        <x:v>祁腾蜂赢1号</x:v>
      </x:c>
      <x:c r="C2139" s="72" t="n">
        <x:v>44099</x:v>
      </x:c>
      <x:c r="D2139" s="73" t="n">
        <x:v>1.0637</x:v>
      </x:c>
      <x:c r="E2139" s="73" t="n">
        <x:v>1.3334</x:v>
      </x:c>
      <x:c r="F2139" s="73" t="n">
        <x:v>1.3717</x:v>
      </x:c>
      <x:c r="G2139" s="74" t="n">
        <x:v>-0.0026</x:v>
      </x:c>
      <x:c r="H2139" s="66" t="str">
        <x:v>祁腾蜂赢1号净值20260911.xlsx</x:v>
      </x:c>
      <x:c r="I2139" s="73" t="str">
        <x:f>""</x:f>
      </x:c>
      <x:c r="J2139" s="74" t="str">
        <x:f>""</x:f>
      </x:c>
      <x:c r="K2139" s="73" t="str">
        <x:f>""</x:f>
      </x:c>
      <x:c r="L2139" s="74" t="str">
        <x:f>""</x:f>
      </x:c>
      <x:c r="M2139" s="73" t="n">
        <x:f>MAX(M2138,F2139)</x:f>
        <x:v>1.3775</x:v>
      </x:c>
      <x:c r="N2139" s="74" t="n">
        <x:f>1-F2139/M2139</x:f>
        <x:v>0.004210526315789442</x:v>
      </x:c>
    </x:row>
    <x:row r="2140" ht="27" customHeight="1">
      <x:c r="A2140" s="66" t="str">
        <x:v>SEV580</x:v>
      </x:c>
      <x:c r="B2140" s="66" t="str">
        <x:v>祁腾蜂赢1号</x:v>
      </x:c>
      <x:c r="C2140" s="72" t="n">
        <x:v>44102</x:v>
      </x:c>
      <x:c r="D2140" s="73" t="n">
        <x:v>1.064</x:v>
      </x:c>
      <x:c r="E2140" s="73" t="n">
        <x:v>1.3337</x:v>
      </x:c>
      <x:c r="F2140" s="73" t="n">
        <x:v>1.3721</x:v>
      </x:c>
      <x:c r="G2140" s="74" t="n">
        <x:v>0.0003</x:v>
      </x:c>
      <x:c r="H2140" s="66" t="str">
        <x:v>祁腾蜂赢1号净值20260911.xlsx</x:v>
      </x:c>
      <x:c r="I2140" s="73" t="str">
        <x:f>""</x:f>
      </x:c>
      <x:c r="J2140" s="74" t="str">
        <x:f>""</x:f>
      </x:c>
      <x:c r="K2140" s="73" t="str">
        <x:f>""</x:f>
      </x:c>
      <x:c r="L2140" s="74" t="str">
        <x:f>""</x:f>
      </x:c>
      <x:c r="M2140" s="73" t="n">
        <x:f>MAX(M2139,F2140)</x:f>
        <x:v>1.3775</x:v>
      </x:c>
      <x:c r="N2140" s="74" t="n">
        <x:f>1-F2140/M2140</x:f>
        <x:v>0.003920145190562496</x:v>
      </x:c>
    </x:row>
    <x:row r="2141" ht="27" customHeight="1">
      <x:c r="A2141" s="66" t="str">
        <x:v>SEV580</x:v>
      </x:c>
      <x:c r="B2141" s="66" t="str">
        <x:v>祁腾蜂赢1号</x:v>
      </x:c>
      <x:c r="C2141" s="72" t="n">
        <x:v>44103</x:v>
      </x:c>
      <x:c r="D2141" s="73" t="n">
        <x:v>1.0629</x:v>
      </x:c>
      <x:c r="E2141" s="73" t="n">
        <x:v>1.3326</x:v>
      </x:c>
      <x:c r="F2141" s="73" t="n">
        <x:v>1.3707</x:v>
      </x:c>
      <x:c r="G2141" s="74" t="n">
        <x:v>-0.001</x:v>
      </x:c>
      <x:c r="H2141" s="66" t="str">
        <x:v>祁腾蜂赢1号净值20260911.xlsx</x:v>
      </x:c>
      <x:c r="I2141" s="73" t="str">
        <x:f>""</x:f>
      </x:c>
      <x:c r="J2141" s="74" t="str">
        <x:f>""</x:f>
      </x:c>
      <x:c r="K2141" s="73" t="str">
        <x:f>""</x:f>
      </x:c>
      <x:c r="L2141" s="74" t="str">
        <x:f>""</x:f>
      </x:c>
      <x:c r="M2141" s="73" t="n">
        <x:f>MAX(M2140,F2141)</x:f>
        <x:v>1.3775</x:v>
      </x:c>
      <x:c r="N2141" s="74" t="n">
        <x:f>1-F2141/M2141</x:f>
        <x:v>0.00493647912885653</x:v>
      </x:c>
    </x:row>
    <x:row r="2142" ht="27" customHeight="1">
      <x:c r="A2142" s="66" t="str">
        <x:v>SEV580</x:v>
      </x:c>
      <x:c r="B2142" s="66" t="str">
        <x:v>祁腾蜂赢1号</x:v>
      </x:c>
      <x:c r="C2142" s="72" t="n">
        <x:v>44104</x:v>
      </x:c>
      <x:c r="D2142" s="73" t="n">
        <x:v>1.0631</x:v>
      </x:c>
      <x:c r="E2142" s="73" t="n">
        <x:v>1.3328</x:v>
      </x:c>
      <x:c r="F2142" s="73" t="n">
        <x:v>1.3709</x:v>
      </x:c>
      <x:c r="G2142" s="74" t="n">
        <x:v>0.0002</x:v>
      </x:c>
      <x:c r="H2142" s="66" t="str">
        <x:v>祁腾蜂赢1号净值20260911.xlsx</x:v>
      </x:c>
      <x:c r="I2142" s="73" t="str">
        <x:f>""</x:f>
      </x:c>
      <x:c r="J2142" s="74" t="str">
        <x:f>""</x:f>
      </x:c>
      <x:c r="K2142" s="73" t="str">
        <x:f>""</x:f>
      </x:c>
      <x:c r="L2142" s="74" t="str">
        <x:f>""</x:f>
      </x:c>
      <x:c r="M2142" s="73" t="n">
        <x:f>MAX(M2141,F2142)</x:f>
        <x:v>1.3775</x:v>
      </x:c>
      <x:c r="N2142" s="74" t="n">
        <x:f>1-F2142/M2142</x:f>
        <x:v>0.004791288566243113</x:v>
      </x:c>
    </x:row>
    <x:row r="2143" ht="27" customHeight="1">
      <x:c r="A2143" s="66" t="str">
        <x:v>SEV580</x:v>
      </x:c>
      <x:c r="B2143" s="66" t="str">
        <x:v>祁腾蜂赢1号</x:v>
      </x:c>
      <x:c r="C2143" s="72" t="n">
        <x:v>44113</x:v>
      </x:c>
      <x:c r="D2143" s="73" t="n">
        <x:v>1.0613</x:v>
      </x:c>
      <x:c r="E2143" s="73" t="n">
        <x:v>1.331</x:v>
      </x:c>
      <x:c r="F2143" s="73" t="n">
        <x:v>1.3686</x:v>
      </x:c>
      <x:c r="G2143" s="74" t="n">
        <x:v>-0.0017000000000000001</x:v>
      </x:c>
      <x:c r="H2143" s="66" t="str">
        <x:v>祁腾蜂赢1号净值20260911.xlsx</x:v>
      </x:c>
      <x:c r="I2143" s="73" t="str">
        <x:f>""</x:f>
      </x:c>
      <x:c r="J2143" s="74" t="str">
        <x:f>""</x:f>
      </x:c>
      <x:c r="K2143" s="73" t="str">
        <x:f>""</x:f>
      </x:c>
      <x:c r="L2143" s="74" t="str">
        <x:f>""</x:f>
      </x:c>
      <x:c r="M2143" s="73" t="n">
        <x:f>MAX(M2142,F2143)</x:f>
        <x:v>1.3775</x:v>
      </x:c>
      <x:c r="N2143" s="74" t="n">
        <x:f>1-F2143/M2143</x:f>
        <x:v>0.006460980036297581</x:v>
      </x:c>
    </x:row>
    <x:row r="2144" ht="27" customHeight="1">
      <x:c r="A2144" s="66" t="str">
        <x:v>SEV580</x:v>
      </x:c>
      <x:c r="B2144" s="66" t="str">
        <x:v>祁腾蜂赢1号</x:v>
      </x:c>
      <x:c r="C2144" s="72" t="n">
        <x:v>44116</x:v>
      </x:c>
      <x:c r="D2144" s="73" t="n">
        <x:v>1.0609</x:v>
      </x:c>
      <x:c r="E2144" s="73" t="n">
        <x:v>1.3306</x:v>
      </x:c>
      <x:c r="F2144" s="73" t="n">
        <x:v>1.3681</x:v>
      </x:c>
      <x:c r="G2144" s="74" t="n">
        <x:v>-0.0004</x:v>
      </x:c>
      <x:c r="H2144" s="66" t="str">
        <x:v>祁腾蜂赢1号净值20260911.xlsx</x:v>
      </x:c>
      <x:c r="I2144" s="73" t="str">
        <x:f>""</x:f>
      </x:c>
      <x:c r="J2144" s="74" t="str">
        <x:f>""</x:f>
      </x:c>
      <x:c r="K2144" s="73" t="str">
        <x:f>""</x:f>
      </x:c>
      <x:c r="L2144" s="74" t="str">
        <x:f>""</x:f>
      </x:c>
      <x:c r="M2144" s="73" t="n">
        <x:f>MAX(M2143,F2144)</x:f>
        <x:v>1.3775</x:v>
      </x:c>
      <x:c r="N2144" s="74" t="n">
        <x:f>1-F2144/M2144</x:f>
        <x:v>0.0068239564428310695</x:v>
      </x:c>
    </x:row>
    <x:row r="2145" ht="27" customHeight="1">
      <x:c r="A2145" s="66" t="str">
        <x:v>SEV580</x:v>
      </x:c>
      <x:c r="B2145" s="66" t="str">
        <x:v>祁腾蜂赢1号</x:v>
      </x:c>
      <x:c r="C2145" s="72" t="n">
        <x:v>44117</x:v>
      </x:c>
      <x:c r="D2145" s="73" t="n">
        <x:v>1.061</x:v>
      </x:c>
      <x:c r="E2145" s="73" t="n">
        <x:v>1.3307</x:v>
      </x:c>
      <x:c r="F2145" s="73" t="n">
        <x:v>1.3682</x:v>
      </x:c>
      <x:c r="G2145" s="74" t="n">
        <x:v>0.0001</x:v>
      </x:c>
      <x:c r="H2145" s="66" t="str">
        <x:v>祁腾蜂赢1号净值20260911.xlsx</x:v>
      </x:c>
      <x:c r="I2145" s="73" t="str">
        <x:f>""</x:f>
      </x:c>
      <x:c r="J2145" s="74" t="str">
        <x:f>""</x:f>
      </x:c>
      <x:c r="K2145" s="73" t="str">
        <x:f>""</x:f>
      </x:c>
      <x:c r="L2145" s="74" t="str">
        <x:f>""</x:f>
      </x:c>
      <x:c r="M2145" s="73" t="n">
        <x:f>MAX(M2144,F2145)</x:f>
        <x:v>1.3775</x:v>
      </x:c>
      <x:c r="N2145" s="74" t="n">
        <x:f>1-F2145/M2145</x:f>
        <x:v>0.006751361161524416</x:v>
      </x:c>
    </x:row>
    <x:row r="2146" ht="27" customHeight="1">
      <x:c r="A2146" s="66" t="str">
        <x:v>SEV580</x:v>
      </x:c>
      <x:c r="B2146" s="66" t="str">
        <x:v>祁腾蜂赢1号</x:v>
      </x:c>
      <x:c r="C2146" s="72" t="n">
        <x:v>44118</x:v>
      </x:c>
      <x:c r="D2146" s="73" t="n">
        <x:v>1.0674</x:v>
      </x:c>
      <x:c r="E2146" s="73" t="n">
        <x:v>1.3371</x:v>
      </x:c>
      <x:c r="F2146" s="73" t="n">
        <x:v>1.3765</x:v>
      </x:c>
      <x:c r="G2146" s="74" t="n">
        <x:v>0.006</x:v>
      </x:c>
      <x:c r="H2146" s="66" t="str">
        <x:v>祁腾蜂赢1号净值20260911.xlsx</x:v>
      </x:c>
      <x:c r="I2146" s="73" t="str">
        <x:f>""</x:f>
      </x:c>
      <x:c r="J2146" s="74" t="str">
        <x:f>""</x:f>
      </x:c>
      <x:c r="K2146" s="73" t="str">
        <x:f>""</x:f>
      </x:c>
      <x:c r="L2146" s="74" t="str">
        <x:f>""</x:f>
      </x:c>
      <x:c r="M2146" s="73" t="n">
        <x:f>MAX(M2145,F2146)</x:f>
        <x:v>1.3775</x:v>
      </x:c>
      <x:c r="N2146" s="74" t="n">
        <x:f>1-F2146/M2146</x:f>
        <x:v>0.0007259528130670878</x:v>
      </x:c>
    </x:row>
    <x:row r="2147" ht="27" customHeight="1">
      <x:c r="A2147" s="66" t="str">
        <x:v>SEV580</x:v>
      </x:c>
      <x:c r="B2147" s="66" t="str">
        <x:v>祁腾蜂赢1号</x:v>
      </x:c>
      <x:c r="C2147" s="72" t="n">
        <x:v>44119</x:v>
      </x:c>
      <x:c r="D2147" s="73" t="n">
        <x:v>1.0658</x:v>
      </x:c>
      <x:c r="E2147" s="73" t="n">
        <x:v>1.3355</x:v>
      </x:c>
      <x:c r="F2147" s="73" t="n">
        <x:v>1.3744</x:v>
      </x:c>
      <x:c r="G2147" s="74" t="n">
        <x:v>-0.0015</x:v>
      </x:c>
      <x:c r="H2147" s="66" t="str">
        <x:v>祁腾蜂赢1号净值20260911.xlsx</x:v>
      </x:c>
      <x:c r="I2147" s="73" t="str">
        <x:f>""</x:f>
      </x:c>
      <x:c r="J2147" s="74" t="str">
        <x:f>""</x:f>
      </x:c>
      <x:c r="K2147" s="73" t="str">
        <x:f>""</x:f>
      </x:c>
      <x:c r="L2147" s="74" t="str">
        <x:f>""</x:f>
      </x:c>
      <x:c r="M2147" s="73" t="n">
        <x:f>MAX(M2146,F2147)</x:f>
        <x:v>1.3775</x:v>
      </x:c>
      <x:c r="N2147" s="74" t="n">
        <x:f>1-F2147/M2147</x:f>
        <x:v>0.0022504537205080277</x:v>
      </x:c>
    </x:row>
    <x:row r="2148" ht="27" customHeight="1">
      <x:c r="A2148" s="66" t="str">
        <x:v>SEV580</x:v>
      </x:c>
      <x:c r="B2148" s="66" t="str">
        <x:v>祁腾蜂赢1号</x:v>
      </x:c>
      <x:c r="C2148" s="72" t="n">
        <x:v>44120</x:v>
      </x:c>
      <x:c r="D2148" s="73" t="n">
        <x:v>1.0689</x:v>
      </x:c>
      <x:c r="E2148" s="73" t="n">
        <x:v>1.3386</x:v>
      </x:c>
      <x:c r="F2148" s="73" t="n">
        <x:v>1.3784</x:v>
      </x:c>
      <x:c r="G2148" s="74" t="n">
        <x:v>0.0029</x:v>
      </x:c>
      <x:c r="H2148" s="66" t="str">
        <x:v>祁腾蜂赢1号净值20260911.xlsx</x:v>
      </x:c>
      <x:c r="I2148" s="73" t="str">
        <x:f>""</x:f>
      </x:c>
      <x:c r="J2148" s="74" t="str">
        <x:f>""</x:f>
      </x:c>
      <x:c r="K2148" s="73" t="str">
        <x:f>""</x:f>
      </x:c>
      <x:c r="L2148" s="74" t="str">
        <x:f>""</x:f>
      </x:c>
      <x:c r="M2148" s="73" t="n">
        <x:f>MAX(M2147,F2148)</x:f>
        <x:v>1.3784</x:v>
      </x:c>
      <x:c r="N2148" s="74" t="n">
        <x:f>1-F2148/M2148</x:f>
        <x:v>0</x:v>
      </x:c>
    </x:row>
    <x:row r="2149" ht="27" customHeight="1">
      <x:c r="A2149" s="66" t="str">
        <x:v>SEV580</x:v>
      </x:c>
      <x:c r="B2149" s="66" t="str">
        <x:v>祁腾蜂赢1号</x:v>
      </x:c>
      <x:c r="C2149" s="72" t="n">
        <x:v>44123</x:v>
      </x:c>
      <x:c r="D2149" s="73" t="n">
        <x:v>1.071</x:v>
      </x:c>
      <x:c r="E2149" s="73" t="n">
        <x:v>1.3407</x:v>
      </x:c>
      <x:c r="F2149" s="73" t="n">
        <x:v>1.3811</x:v>
      </x:c>
      <x:c r="G2149" s="74" t="n">
        <x:v>0.002</x:v>
      </x:c>
      <x:c r="H2149" s="66" t="str">
        <x:v>祁腾蜂赢1号净值20260911.xlsx</x:v>
      </x:c>
      <x:c r="I2149" s="73" t="str">
        <x:f>""</x:f>
      </x:c>
      <x:c r="J2149" s="74" t="str">
        <x:f>""</x:f>
      </x:c>
      <x:c r="K2149" s="73" t="str">
        <x:f>""</x:f>
      </x:c>
      <x:c r="L2149" s="74" t="str">
        <x:f>""</x:f>
      </x:c>
      <x:c r="M2149" s="73" t="n">
        <x:f>MAX(M2148,F2149)</x:f>
        <x:v>1.3811</x:v>
      </x:c>
      <x:c r="N2149" s="74" t="n">
        <x:f>1-F2149/M2149</x:f>
        <x:v>0</x:v>
      </x:c>
    </x:row>
    <x:row r="2150" ht="27" customHeight="1">
      <x:c r="A2150" s="66" t="str">
        <x:v>SEV580</x:v>
      </x:c>
      <x:c r="B2150" s="66" t="str">
        <x:v>祁腾蜂赢1号</x:v>
      </x:c>
      <x:c r="C2150" s="72" t="n">
        <x:v>44124</x:v>
      </x:c>
      <x:c r="D2150" s="73" t="n">
        <x:v>1.0703</x:v>
      </x:c>
      <x:c r="E2150" s="73" t="n">
        <x:v>1.34</x:v>
      </x:c>
      <x:c r="F2150" s="73" t="n">
        <x:v>1.3802</x:v>
      </x:c>
      <x:c r="G2150" s="74" t="n">
        <x:v>-0.0007000000000000001</x:v>
      </x:c>
      <x:c r="H2150" s="66" t="str">
        <x:v>祁腾蜂赢1号净值20260911.xlsx</x:v>
      </x:c>
      <x:c r="I2150" s="73" t="str">
        <x:f>""</x:f>
      </x:c>
      <x:c r="J2150" s="74" t="str">
        <x:f>""</x:f>
      </x:c>
      <x:c r="K2150" s="73" t="str">
        <x:f>""</x:f>
      </x:c>
      <x:c r="L2150" s="74" t="str">
        <x:f>""</x:f>
      </x:c>
      <x:c r="M2150" s="73" t="n">
        <x:f>MAX(M2149,F2150)</x:f>
        <x:v>1.3811</x:v>
      </x:c>
      <x:c r="N2150" s="74" t="n">
        <x:f>1-F2150/M2150</x:f>
        <x:v>0.0006516544783142786</x:v>
      </x:c>
    </x:row>
    <x:row r="2151" ht="27" customHeight="1">
      <x:c r="A2151" s="66" t="str">
        <x:v>SEV580</x:v>
      </x:c>
      <x:c r="B2151" s="66" t="str">
        <x:v>祁腾蜂赢1号</x:v>
      </x:c>
      <x:c r="C2151" s="72" t="n">
        <x:v>44125</x:v>
      </x:c>
      <x:c r="D2151" s="73" t="n">
        <x:v>1.0702</x:v>
      </x:c>
      <x:c r="E2151" s="73" t="n">
        <x:v>1.3399</x:v>
      </x:c>
      <x:c r="F2151" s="73" t="n">
        <x:v>1.3801</x:v>
      </x:c>
      <x:c r="G2151" s="74" t="n">
        <x:v>-0.0001</x:v>
      </x:c>
      <x:c r="H2151" s="66" t="str">
        <x:v>祁腾蜂赢1号净值20260911.xlsx</x:v>
      </x:c>
      <x:c r="I2151" s="73" t="str">
        <x:f>""</x:f>
      </x:c>
      <x:c r="J2151" s="74" t="str">
        <x:f>""</x:f>
      </x:c>
      <x:c r="K2151" s="73" t="str">
        <x:f>""</x:f>
      </x:c>
      <x:c r="L2151" s="74" t="str">
        <x:f>""</x:f>
      </x:c>
      <x:c r="M2151" s="73" t="n">
        <x:f>MAX(M2150,F2151)</x:f>
        <x:v>1.3811</x:v>
      </x:c>
      <x:c r="N2151" s="74" t="n">
        <x:f>1-F2151/M2151</x:f>
        <x:v>0.0007240605314603465</x:v>
      </x:c>
    </x:row>
    <x:row r="2152" ht="27" customHeight="1">
      <x:c r="A2152" s="66" t="str">
        <x:v>SEV580</x:v>
      </x:c>
      <x:c r="B2152" s="66" t="str">
        <x:v>祁腾蜂赢1号</x:v>
      </x:c>
      <x:c r="C2152" s="72" t="n">
        <x:v>44126</x:v>
      </x:c>
      <x:c r="D2152" s="73" t="n">
        <x:v>1.0715</x:v>
      </x:c>
      <x:c r="E2152" s="73" t="n">
        <x:v>1.3412</x:v>
      </x:c>
      <x:c r="F2152" s="73" t="n">
        <x:v>1.3817</x:v>
      </x:c>
      <x:c r="G2152" s="74" t="n">
        <x:v>0.0012</x:v>
      </x:c>
      <x:c r="H2152" s="66" t="str">
        <x:v>祁腾蜂赢1号净值20260911.xlsx</x:v>
      </x:c>
      <x:c r="I2152" s="73" t="str">
        <x:f>""</x:f>
      </x:c>
      <x:c r="J2152" s="74" t="str">
        <x:f>""</x:f>
      </x:c>
      <x:c r="K2152" s="73" t="str">
        <x:f>""</x:f>
      </x:c>
      <x:c r="L2152" s="74" t="str">
        <x:f>""</x:f>
      </x:c>
      <x:c r="M2152" s="73" t="n">
        <x:f>MAX(M2151,F2152)</x:f>
        <x:v>1.3817</x:v>
      </x:c>
      <x:c r="N2152" s="74" t="n">
        <x:f>1-F2152/M2152</x:f>
        <x:v>0</x:v>
      </x:c>
    </x:row>
    <x:row r="2153" ht="27" customHeight="1">
      <x:c r="A2153" s="66" t="str">
        <x:v>SEV580</x:v>
      </x:c>
      <x:c r="B2153" s="66" t="str">
        <x:v>祁腾蜂赢1号</x:v>
      </x:c>
      <x:c r="C2153" s="72" t="n">
        <x:v>44127</x:v>
      </x:c>
      <x:c r="D2153" s="73" t="n">
        <x:v>1.0716</x:v>
      </x:c>
      <x:c r="E2153" s="73" t="n">
        <x:v>1.3413</x:v>
      </x:c>
      <x:c r="F2153" s="73" t="n">
        <x:v>1.3819</x:v>
      </x:c>
      <x:c r="G2153" s="74" t="n">
        <x:v>0.0001</x:v>
      </x:c>
      <x:c r="H2153" s="66" t="str">
        <x:v>祁腾蜂赢1号净值20260911.xlsx</x:v>
      </x:c>
      <x:c r="I2153" s="73" t="str">
        <x:f>""</x:f>
      </x:c>
      <x:c r="J2153" s="74" t="str">
        <x:f>""</x:f>
      </x:c>
      <x:c r="K2153" s="73" t="str">
        <x:f>""</x:f>
      </x:c>
      <x:c r="L2153" s="74" t="str">
        <x:f>""</x:f>
      </x:c>
      <x:c r="M2153" s="73" t="n">
        <x:f>MAX(M2152,F2153)</x:f>
        <x:v>1.3819</x:v>
      </x:c>
      <x:c r="N2153" s="74" t="n">
        <x:f>1-F2153/M2153</x:f>
        <x:v>0</x:v>
      </x:c>
    </x:row>
    <x:row r="2154" ht="27" customHeight="1">
      <x:c r="A2154" s="66" t="str">
        <x:v>SEV580</x:v>
      </x:c>
      <x:c r="B2154" s="66" t="str">
        <x:v>祁腾蜂赢1号</x:v>
      </x:c>
      <x:c r="C2154" s="72" t="n">
        <x:v>44130</x:v>
      </x:c>
      <x:c r="D2154" s="73" t="n">
        <x:v>1.0719</x:v>
      </x:c>
      <x:c r="E2154" s="73" t="n">
        <x:v>1.3416</x:v>
      </x:c>
      <x:c r="F2154" s="73" t="n">
        <x:v>1.3823</x:v>
      </x:c>
      <x:c r="G2154" s="74" t="n">
        <x:v>0.0003</x:v>
      </x:c>
      <x:c r="H2154" s="66" t="str">
        <x:v>祁腾蜂赢1号净值20260911.xlsx</x:v>
      </x:c>
      <x:c r="I2154" s="73" t="str">
        <x:f>""</x:f>
      </x:c>
      <x:c r="J2154" s="74" t="str">
        <x:f>""</x:f>
      </x:c>
      <x:c r="K2154" s="73" t="str">
        <x:f>""</x:f>
      </x:c>
      <x:c r="L2154" s="74" t="str">
        <x:f>""</x:f>
      </x:c>
      <x:c r="M2154" s="73" t="n">
        <x:f>MAX(M2153,F2154)</x:f>
        <x:v>1.3823</x:v>
      </x:c>
      <x:c r="N2154" s="74" t="n">
        <x:f>1-F2154/M2154</x:f>
        <x:v>0</x:v>
      </x:c>
    </x:row>
    <x:row r="2155" ht="27" customHeight="1">
      <x:c r="A2155" s="66" t="str">
        <x:v>SEV580</x:v>
      </x:c>
      <x:c r="B2155" s="66" t="str">
        <x:v>祁腾蜂赢1号</x:v>
      </x:c>
      <x:c r="C2155" s="72" t="n">
        <x:v>44131</x:v>
      </x:c>
      <x:c r="D2155" s="73" t="n">
        <x:v>1.0725</x:v>
      </x:c>
      <x:c r="E2155" s="73" t="n">
        <x:v>1.3422</x:v>
      </x:c>
      <x:c r="F2155" s="73" t="n">
        <x:v>1.383</x:v>
      </x:c>
      <x:c r="G2155" s="74" t="n">
        <x:v>0.0006</x:v>
      </x:c>
      <x:c r="H2155" s="66" t="str">
        <x:v>祁腾蜂赢1号净值20260911.xlsx</x:v>
      </x:c>
      <x:c r="I2155" s="73" t="str">
        <x:f>""</x:f>
      </x:c>
      <x:c r="J2155" s="74" t="str">
        <x:f>""</x:f>
      </x:c>
      <x:c r="K2155" s="73" t="str">
        <x:f>""</x:f>
      </x:c>
      <x:c r="L2155" s="74" t="str">
        <x:f>""</x:f>
      </x:c>
      <x:c r="M2155" s="73" t="n">
        <x:f>MAX(M2154,F2155)</x:f>
        <x:v>1.383</x:v>
      </x:c>
      <x:c r="N2155" s="74" t="n">
        <x:f>1-F2155/M2155</x:f>
        <x:v>0</x:v>
      </x:c>
    </x:row>
    <x:row r="2156" ht="27" customHeight="1">
      <x:c r="A2156" s="66" t="str">
        <x:v>SEV580</x:v>
      </x:c>
      <x:c r="B2156" s="66" t="str">
        <x:v>祁腾蜂赢1号</x:v>
      </x:c>
      <x:c r="C2156" s="72" t="n">
        <x:v>44132</x:v>
      </x:c>
      <x:c r="D2156" s="73" t="n">
        <x:v>1.075</x:v>
      </x:c>
      <x:c r="E2156" s="73" t="n">
        <x:v>1.3447</x:v>
      </x:c>
      <x:c r="F2156" s="73" t="n">
        <x:v>1.3863</x:v>
      </x:c>
      <x:c r="G2156" s="74" t="n">
        <x:v>0.0023</x:v>
      </x:c>
      <x:c r="H2156" s="66" t="str">
        <x:v>祁腾蜂赢1号净值20260911.xlsx</x:v>
      </x:c>
      <x:c r="I2156" s="73" t="str">
        <x:f>""</x:f>
      </x:c>
      <x:c r="J2156" s="74" t="str">
        <x:f>""</x:f>
      </x:c>
      <x:c r="K2156" s="73" t="str">
        <x:f>""</x:f>
      </x:c>
      <x:c r="L2156" s="74" t="str">
        <x:f>""</x:f>
      </x:c>
      <x:c r="M2156" s="73" t="n">
        <x:f>MAX(M2155,F2156)</x:f>
        <x:v>1.3863</x:v>
      </x:c>
      <x:c r="N2156" s="74" t="n">
        <x:f>1-F2156/M2156</x:f>
        <x:v>0</x:v>
      </x:c>
    </x:row>
    <x:row r="2157" ht="27" customHeight="1">
      <x:c r="A2157" s="66" t="str">
        <x:v>SEV580</x:v>
      </x:c>
      <x:c r="B2157" s="66" t="str">
        <x:v>祁腾蜂赢1号</x:v>
      </x:c>
      <x:c r="C2157" s="72" t="n">
        <x:v>44133</x:v>
      </x:c>
      <x:c r="D2157" s="73" t="n">
        <x:v>1.0756</x:v>
      </x:c>
      <x:c r="E2157" s="73" t="n">
        <x:v>1.3453</x:v>
      </x:c>
      <x:c r="F2157" s="73" t="n">
        <x:v>1.387</x:v>
      </x:c>
      <x:c r="G2157" s="74" t="n">
        <x:v>0.0006</x:v>
      </x:c>
      <x:c r="H2157" s="66" t="str">
        <x:v>祁腾蜂赢1号净值20260911.xlsx</x:v>
      </x:c>
      <x:c r="I2157" s="73" t="str">
        <x:f>""</x:f>
      </x:c>
      <x:c r="J2157" s="74" t="str">
        <x:f>""</x:f>
      </x:c>
      <x:c r="K2157" s="73" t="str">
        <x:f>""</x:f>
      </x:c>
      <x:c r="L2157" s="74" t="str">
        <x:f>""</x:f>
      </x:c>
      <x:c r="M2157" s="73" t="n">
        <x:f>MAX(M2156,F2157)</x:f>
        <x:v>1.387</x:v>
      </x:c>
      <x:c r="N2157" s="74" t="n">
        <x:f>1-F2157/M2157</x:f>
        <x:v>0</x:v>
      </x:c>
    </x:row>
    <x:row r="2158" ht="27" customHeight="1">
      <x:c r="A2158" s="66" t="str">
        <x:v>SEV580</x:v>
      </x:c>
      <x:c r="B2158" s="66" t="str">
        <x:v>祁腾蜂赢1号</x:v>
      </x:c>
      <x:c r="C2158" s="72" t="n">
        <x:v>44134</x:v>
      </x:c>
      <x:c r="D2158" s="73" t="n">
        <x:v>1.0785</x:v>
      </x:c>
      <x:c r="E2158" s="73" t="n">
        <x:v>1.3482</x:v>
      </x:c>
      <x:c r="F2158" s="73" t="n">
        <x:v>1.3908</x:v>
      </x:c>
      <x:c r="G2158" s="74" t="n">
        <x:v>0.0027</x:v>
      </x:c>
      <x:c r="H2158" s="66" t="str">
        <x:v>祁腾蜂赢1号净值20260911.xlsx</x:v>
      </x:c>
      <x:c r="I2158" s="73" t="str">
        <x:f>""</x:f>
      </x:c>
      <x:c r="J2158" s="74" t="str">
        <x:f>""</x:f>
      </x:c>
      <x:c r="K2158" s="73" t="str">
        <x:f>""</x:f>
      </x:c>
      <x:c r="L2158" s="74" t="str">
        <x:f>""</x:f>
      </x:c>
      <x:c r="M2158" s="73" t="n">
        <x:f>MAX(M2157,F2158)</x:f>
        <x:v>1.3908</x:v>
      </x:c>
      <x:c r="N2158" s="74" t="n">
        <x:f>1-F2158/M2158</x:f>
        <x:v>0</x:v>
      </x:c>
    </x:row>
    <x:row r="2159" ht="27" customHeight="1">
      <x:c r="A2159" s="66" t="str">
        <x:v>SEV580</x:v>
      </x:c>
      <x:c r="B2159" s="66" t="str">
        <x:v>祁腾蜂赢1号</x:v>
      </x:c>
      <x:c r="C2159" s="72" t="n">
        <x:v>44137</x:v>
      </x:c>
      <x:c r="D2159" s="73" t="n">
        <x:v>1.0847</x:v>
      </x:c>
      <x:c r="E2159" s="73" t="n">
        <x:v>1.3544</x:v>
      </x:c>
      <x:c r="F2159" s="73" t="n">
        <x:v>1.3988</x:v>
      </x:c>
      <x:c r="G2159" s="74" t="n">
        <x:v>0.005699999999999999</x:v>
      </x:c>
      <x:c r="H2159" s="66" t="str">
        <x:v>祁腾蜂赢1号净值20260911.xlsx</x:v>
      </x:c>
      <x:c r="I2159" s="73" t="str">
        <x:f>""</x:f>
      </x:c>
      <x:c r="J2159" s="74" t="str">
        <x:f>""</x:f>
      </x:c>
      <x:c r="K2159" s="73" t="str">
        <x:f>""</x:f>
      </x:c>
      <x:c r="L2159" s="74" t="str">
        <x:f>""</x:f>
      </x:c>
      <x:c r="M2159" s="73" t="n">
        <x:f>MAX(M2158,F2159)</x:f>
        <x:v>1.3988</x:v>
      </x:c>
      <x:c r="N2159" s="74" t="n">
        <x:f>1-F2159/M2159</x:f>
        <x:v>0</x:v>
      </x:c>
    </x:row>
    <x:row r="2160" ht="27" customHeight="1">
      <x:c r="A2160" s="66" t="str">
        <x:v>SEV580</x:v>
      </x:c>
      <x:c r="B2160" s="66" t="str">
        <x:v>祁腾蜂赢1号</x:v>
      </x:c>
      <x:c r="C2160" s="72" t="n">
        <x:v>44138</x:v>
      </x:c>
      <x:c r="D2160" s="73" t="n">
        <x:v>1.0878</x:v>
      </x:c>
      <x:c r="E2160" s="73" t="n">
        <x:v>1.3575</x:v>
      </x:c>
      <x:c r="F2160" s="73" t="n">
        <x:v>1.4028</x:v>
      </x:c>
      <x:c r="G2160" s="74" t="n">
        <x:v>0.0029</x:v>
      </x:c>
      <x:c r="H2160" s="66" t="str">
        <x:v>祁腾蜂赢1号净值20260911.xlsx</x:v>
      </x:c>
      <x:c r="I2160" s="73" t="str">
        <x:f>""</x:f>
      </x:c>
      <x:c r="J2160" s="74" t="str">
        <x:f>""</x:f>
      </x:c>
      <x:c r="K2160" s="73" t="str">
        <x:f>""</x:f>
      </x:c>
      <x:c r="L2160" s="74" t="str">
        <x:f>""</x:f>
      </x:c>
      <x:c r="M2160" s="73" t="n">
        <x:f>MAX(M2159,F2160)</x:f>
        <x:v>1.4028</x:v>
      </x:c>
      <x:c r="N2160" s="74" t="n">
        <x:f>1-F2160/M2160</x:f>
        <x:v>0</x:v>
      </x:c>
    </x:row>
    <x:row r="2161" ht="27" customHeight="1">
      <x:c r="A2161" s="66" t="str">
        <x:v>SEV580</x:v>
      </x:c>
      <x:c r="B2161" s="66" t="str">
        <x:v>祁腾蜂赢1号</x:v>
      </x:c>
      <x:c r="C2161" s="72" t="n">
        <x:v>44139</x:v>
      </x:c>
      <x:c r="D2161" s="73" t="n">
        <x:v>1.0873</x:v>
      </x:c>
      <x:c r="E2161" s="73" t="n">
        <x:v>1.357</x:v>
      </x:c>
      <x:c r="F2161" s="73" t="n">
        <x:v>1.4021</x:v>
      </x:c>
      <x:c r="G2161" s="74" t="n">
        <x:v>-0.0005</x:v>
      </x:c>
      <x:c r="H2161" s="66" t="str">
        <x:v>祁腾蜂赢1号净值20260911.xlsx</x:v>
      </x:c>
      <x:c r="I2161" s="73" t="str">
        <x:f>""</x:f>
      </x:c>
      <x:c r="J2161" s="74" t="str">
        <x:f>""</x:f>
      </x:c>
      <x:c r="K2161" s="73" t="str">
        <x:f>""</x:f>
      </x:c>
      <x:c r="L2161" s="74" t="str">
        <x:f>""</x:f>
      </x:c>
      <x:c r="M2161" s="73" t="n">
        <x:f>MAX(M2160,F2161)</x:f>
        <x:v>1.4028</x:v>
      </x:c>
      <x:c r="N2161" s="74" t="n">
        <x:f>1-F2161/M2161</x:f>
        <x:v>0.0004990019960080527</x:v>
      </x:c>
    </x:row>
    <x:row r="2162" ht="27" customHeight="1">
      <x:c r="A2162" s="66" t="str">
        <x:v>SEV580</x:v>
      </x:c>
      <x:c r="B2162" s="66" t="str">
        <x:v>祁腾蜂赢1号</x:v>
      </x:c>
      <x:c r="C2162" s="72" t="n">
        <x:v>44140</x:v>
      </x:c>
      <x:c r="D2162" s="73" t="n">
        <x:v>1.0891</x:v>
      </x:c>
      <x:c r="E2162" s="73" t="n">
        <x:v>1.3588</x:v>
      </x:c>
      <x:c r="F2162" s="73" t="n">
        <x:v>1.4044</x:v>
      </x:c>
      <x:c r="G2162" s="74" t="n">
        <x:v>0.0017000000000000001</x:v>
      </x:c>
      <x:c r="H2162" s="66" t="str">
        <x:v>祁腾蜂赢1号净值20260911.xlsx</x:v>
      </x:c>
      <x:c r="I2162" s="73" t="str">
        <x:f>""</x:f>
      </x:c>
      <x:c r="J2162" s="74" t="str">
        <x:f>""</x:f>
      </x:c>
      <x:c r="K2162" s="73" t="str">
        <x:f>""</x:f>
      </x:c>
      <x:c r="L2162" s="74" t="str">
        <x:f>""</x:f>
      </x:c>
      <x:c r="M2162" s="73" t="n">
        <x:f>MAX(M2161,F2162)</x:f>
        <x:v>1.4044</x:v>
      </x:c>
      <x:c r="N2162" s="74" t="n">
        <x:f>1-F2162/M2162</x:f>
        <x:v>0</x:v>
      </x:c>
    </x:row>
    <x:row r="2163" ht="27" customHeight="1">
      <x:c r="A2163" s="66" t="str">
        <x:v>SEV580</x:v>
      </x:c>
      <x:c r="B2163" s="66" t="str">
        <x:v>祁腾蜂赢1号</x:v>
      </x:c>
      <x:c r="C2163" s="72" t="n">
        <x:v>44141</x:v>
      </x:c>
      <x:c r="D2163" s="73" t="n">
        <x:v>1.0892</x:v>
      </x:c>
      <x:c r="E2163" s="73" t="n">
        <x:v>1.3589</x:v>
      </x:c>
      <x:c r="F2163" s="73" t="n">
        <x:v>1.4046</x:v>
      </x:c>
      <x:c r="G2163" s="74" t="n">
        <x:v>0.0001</x:v>
      </x:c>
      <x:c r="H2163" s="66" t="str">
        <x:v>祁腾蜂赢1号净值20260911.xlsx</x:v>
      </x:c>
      <x:c r="I2163" s="73" t="str">
        <x:f>""</x:f>
      </x:c>
      <x:c r="J2163" s="74" t="str">
        <x:f>""</x:f>
      </x:c>
      <x:c r="K2163" s="73" t="str">
        <x:f>""</x:f>
      </x:c>
      <x:c r="L2163" s="74" t="str">
        <x:f>""</x:f>
      </x:c>
      <x:c r="M2163" s="73" t="n">
        <x:f>MAX(M2162,F2163)</x:f>
        <x:v>1.4046</x:v>
      </x:c>
      <x:c r="N2163" s="74" t="n">
        <x:f>1-F2163/M2163</x:f>
        <x:v>0</x:v>
      </x:c>
    </x:row>
    <x:row r="2164" ht="27" customHeight="1">
      <x:c r="A2164" s="66" t="str">
        <x:v>SEV580</x:v>
      </x:c>
      <x:c r="B2164" s="66" t="str">
        <x:v>祁腾蜂赢1号</x:v>
      </x:c>
      <x:c r="C2164" s="72" t="n">
        <x:v>44144</x:v>
      </x:c>
      <x:c r="D2164" s="73" t="n">
        <x:v>1.0932</x:v>
      </x:c>
      <x:c r="E2164" s="73" t="n">
        <x:v>1.3629</x:v>
      </x:c>
      <x:c r="F2164" s="73" t="n">
        <x:v>1.4097</x:v>
      </x:c>
      <x:c r="G2164" s="74" t="n">
        <x:v>0.0037</x:v>
      </x:c>
      <x:c r="H2164" s="66" t="str">
        <x:v>祁腾蜂赢1号净值20260911.xlsx</x:v>
      </x:c>
      <x:c r="I2164" s="73" t="str">
        <x:f>""</x:f>
      </x:c>
      <x:c r="J2164" s="74" t="str">
        <x:f>""</x:f>
      </x:c>
      <x:c r="K2164" s="73" t="str">
        <x:f>""</x:f>
      </x:c>
      <x:c r="L2164" s="74" t="str">
        <x:f>""</x:f>
      </x:c>
      <x:c r="M2164" s="73" t="n">
        <x:f>MAX(M2163,F2164)</x:f>
        <x:v>1.4097</x:v>
      </x:c>
      <x:c r="N2164" s="74" t="n">
        <x:f>1-F2164/M2164</x:f>
        <x:v>0</x:v>
      </x:c>
    </x:row>
    <x:row r="2165" ht="27" customHeight="1">
      <x:c r="A2165" s="66" t="str">
        <x:v>SEV580</x:v>
      </x:c>
      <x:c r="B2165" s="66" t="str">
        <x:v>祁腾蜂赢1号</x:v>
      </x:c>
      <x:c r="C2165" s="72" t="n">
        <x:v>44145</x:v>
      </x:c>
      <x:c r="D2165" s="73" t="n">
        <x:v>1.0933</x:v>
      </x:c>
      <x:c r="E2165" s="73" t="n">
        <x:v>1.363</x:v>
      </x:c>
      <x:c r="F2165" s="73" t="n">
        <x:v>1.4099</x:v>
      </x:c>
      <x:c r="G2165" s="74" t="n">
        <x:v>0.0001</x:v>
      </x:c>
      <x:c r="H2165" s="66" t="str">
        <x:v>祁腾蜂赢1号净值20260911.xlsx</x:v>
      </x:c>
      <x:c r="I2165" s="73" t="str">
        <x:f>""</x:f>
      </x:c>
      <x:c r="J2165" s="74" t="str">
        <x:f>""</x:f>
      </x:c>
      <x:c r="K2165" s="73" t="str">
        <x:f>""</x:f>
      </x:c>
      <x:c r="L2165" s="74" t="str">
        <x:f>""</x:f>
      </x:c>
      <x:c r="M2165" s="73" t="n">
        <x:f>MAX(M2164,F2165)</x:f>
        <x:v>1.4099</x:v>
      </x:c>
      <x:c r="N2165" s="74" t="n">
        <x:f>1-F2165/M2165</x:f>
        <x:v>0</x:v>
      </x:c>
    </x:row>
    <x:row r="2166" ht="27" customHeight="1">
      <x:c r="A2166" s="66" t="str">
        <x:v>SEV580</x:v>
      </x:c>
      <x:c r="B2166" s="66" t="str">
        <x:v>祁腾蜂赢1号</x:v>
      </x:c>
      <x:c r="C2166" s="72" t="n">
        <x:v>44146</x:v>
      </x:c>
      <x:c r="D2166" s="73" t="n">
        <x:v>1.0955</x:v>
      </x:c>
      <x:c r="E2166" s="73" t="n">
        <x:v>1.3652</x:v>
      </x:c>
      <x:c r="F2166" s="73" t="n">
        <x:v>1.4127</x:v>
      </x:c>
      <x:c r="G2166" s="74" t="n">
        <x:v>0.002</x:v>
      </x:c>
      <x:c r="H2166" s="66" t="str">
        <x:v>祁腾蜂赢1号净值20260911.xlsx</x:v>
      </x:c>
      <x:c r="I2166" s="73" t="str">
        <x:f>""</x:f>
      </x:c>
      <x:c r="J2166" s="74" t="str">
        <x:f>""</x:f>
      </x:c>
      <x:c r="K2166" s="73" t="str">
        <x:f>""</x:f>
      </x:c>
      <x:c r="L2166" s="74" t="str">
        <x:f>""</x:f>
      </x:c>
      <x:c r="M2166" s="73" t="n">
        <x:f>MAX(M2165,F2166)</x:f>
        <x:v>1.4127</x:v>
      </x:c>
      <x:c r="N2166" s="74" t="n">
        <x:f>1-F2166/M2166</x:f>
        <x:v>0</x:v>
      </x:c>
    </x:row>
    <x:row r="2167" ht="27" customHeight="1">
      <x:c r="A2167" s="66" t="str">
        <x:v>SEV580</x:v>
      </x:c>
      <x:c r="B2167" s="66" t="str">
        <x:v>祁腾蜂赢1号</x:v>
      </x:c>
      <x:c r="C2167" s="72" t="n">
        <x:v>44147</x:v>
      </x:c>
      <x:c r="D2167" s="73" t="n">
        <x:v>1.0963</x:v>
      </x:c>
      <x:c r="E2167" s="73" t="n">
        <x:v>1.366</x:v>
      </x:c>
      <x:c r="F2167" s="73" t="n">
        <x:v>1.4137</x:v>
      </x:c>
      <x:c r="G2167" s="74" t="n">
        <x:v>0.0007000000000000001</x:v>
      </x:c>
      <x:c r="H2167" s="66" t="str">
        <x:v>祁腾蜂赢1号净值20260911.xlsx</x:v>
      </x:c>
      <x:c r="I2167" s="73" t="str">
        <x:f>""</x:f>
      </x:c>
      <x:c r="J2167" s="74" t="str">
        <x:f>""</x:f>
      </x:c>
      <x:c r="K2167" s="73" t="str">
        <x:f>""</x:f>
      </x:c>
      <x:c r="L2167" s="74" t="str">
        <x:f>""</x:f>
      </x:c>
      <x:c r="M2167" s="73" t="n">
        <x:f>MAX(M2166,F2167)</x:f>
        <x:v>1.4137</x:v>
      </x:c>
      <x:c r="N2167" s="74" t="n">
        <x:f>1-F2167/M2167</x:f>
        <x:v>0</x:v>
      </x:c>
    </x:row>
    <x:row r="2168" ht="27" customHeight="1">
      <x:c r="A2168" s="66" t="str">
        <x:v>SEV580</x:v>
      </x:c>
      <x:c r="B2168" s="66" t="str">
        <x:v>祁腾蜂赢1号</x:v>
      </x:c>
      <x:c r="C2168" s="72" t="n">
        <x:v>44148</x:v>
      </x:c>
      <x:c r="D2168" s="73" t="n">
        <x:v>1.0986</x:v>
      </x:c>
      <x:c r="E2168" s="73" t="n">
        <x:v>1.3683</x:v>
      </x:c>
      <x:c r="F2168" s="73" t="n">
        <x:v>1.4167</x:v>
      </x:c>
      <x:c r="G2168" s="74" t="n">
        <x:v>0.0021</x:v>
      </x:c>
      <x:c r="H2168" s="66" t="str">
        <x:v>祁腾蜂赢1号净值20260911.xlsx</x:v>
      </x:c>
      <x:c r="I2168" s="73" t="str">
        <x:f>""</x:f>
      </x:c>
      <x:c r="J2168" s="74" t="str">
        <x:f>""</x:f>
      </x:c>
      <x:c r="K2168" s="73" t="str">
        <x:f>""</x:f>
      </x:c>
      <x:c r="L2168" s="74" t="str">
        <x:f>""</x:f>
      </x:c>
      <x:c r="M2168" s="73" t="n">
        <x:f>MAX(M2167,F2168)</x:f>
        <x:v>1.4167</x:v>
      </x:c>
      <x:c r="N2168" s="74" t="n">
        <x:f>1-F2168/M2168</x:f>
        <x:v>0</x:v>
      </x:c>
    </x:row>
    <x:row r="2169" ht="27" customHeight="1">
      <x:c r="A2169" s="66" t="str">
        <x:v>SEV580</x:v>
      </x:c>
      <x:c r="B2169" s="66" t="str">
        <x:v>祁腾蜂赢1号</x:v>
      </x:c>
      <x:c r="C2169" s="72" t="n">
        <x:v>44151</x:v>
      </x:c>
      <x:c r="D2169" s="73" t="n">
        <x:v>1.0968</x:v>
      </x:c>
      <x:c r="E2169" s="73" t="n">
        <x:v>1.3665</x:v>
      </x:c>
      <x:c r="F2169" s="73" t="n">
        <x:v>1.4144</x:v>
      </x:c>
      <x:c r="G2169" s="74" t="n">
        <x:v>-0.0016</x:v>
      </x:c>
      <x:c r="H2169" s="66" t="str">
        <x:v>祁腾蜂赢1号净值20260911.xlsx</x:v>
      </x:c>
      <x:c r="I2169" s="73" t="str">
        <x:f>""</x:f>
      </x:c>
      <x:c r="J2169" s="74" t="str">
        <x:f>""</x:f>
      </x:c>
      <x:c r="K2169" s="73" t="str">
        <x:f>""</x:f>
      </x:c>
      <x:c r="L2169" s="74" t="str">
        <x:f>""</x:f>
      </x:c>
      <x:c r="M2169" s="73" t="n">
        <x:f>MAX(M2168,F2169)</x:f>
        <x:v>1.4167</x:v>
      </x:c>
      <x:c r="N2169" s="74" t="n">
        <x:f>1-F2169/M2169</x:f>
        <x:v>0.0016234912119714728</x:v>
      </x:c>
    </x:row>
    <x:row r="2170" ht="27" customHeight="1">
      <x:c r="A2170" s="66" t="str">
        <x:v>SEV580</x:v>
      </x:c>
      <x:c r="B2170" s="66" t="str">
        <x:v>祁腾蜂赢1号</x:v>
      </x:c>
      <x:c r="C2170" s="72" t="n">
        <x:v>44152</x:v>
      </x:c>
      <x:c r="D2170" s="73" t="n">
        <x:v>1.0983</x:v>
      </x:c>
      <x:c r="E2170" s="73" t="n">
        <x:v>1.368</x:v>
      </x:c>
      <x:c r="F2170" s="73" t="n">
        <x:v>1.4163</x:v>
      </x:c>
      <x:c r="G2170" s="74" t="n">
        <x:v>0.0014000000000000002</x:v>
      </x:c>
      <x:c r="H2170" s="66" t="str">
        <x:v>祁腾蜂赢1号净值20260911.xlsx</x:v>
      </x:c>
      <x:c r="I2170" s="73" t="str">
        <x:f>""</x:f>
      </x:c>
      <x:c r="J2170" s="74" t="str">
        <x:f>""</x:f>
      </x:c>
      <x:c r="K2170" s="73" t="str">
        <x:f>""</x:f>
      </x:c>
      <x:c r="L2170" s="74" t="str">
        <x:f>""</x:f>
      </x:c>
      <x:c r="M2170" s="73" t="n">
        <x:f>MAX(M2169,F2170)</x:f>
        <x:v>1.4167</x:v>
      </x:c>
      <x:c r="N2170" s="74" t="n">
        <x:f>1-F2170/M2170</x:f>
        <x:v>0.00028234629773427056</x:v>
      </x:c>
    </x:row>
    <x:row r="2171" ht="27" customHeight="1">
      <x:c r="A2171" s="66" t="str">
        <x:v>SEV580</x:v>
      </x:c>
      <x:c r="B2171" s="66" t="str">
        <x:v>祁腾蜂赢1号</x:v>
      </x:c>
      <x:c r="C2171" s="72" t="n">
        <x:v>44153</x:v>
      </x:c>
      <x:c r="D2171" s="73" t="n">
        <x:v>1.0983</x:v>
      </x:c>
      <x:c r="E2171" s="73" t="n">
        <x:v>1.368</x:v>
      </x:c>
      <x:c r="F2171" s="73" t="n">
        <x:v>1.4163</x:v>
      </x:c>
      <x:c r="G2171" s="74" t="n">
        <x:v>0</x:v>
      </x:c>
      <x:c r="H2171" s="66" t="str">
        <x:v>祁腾蜂赢1号净值20260911.xlsx</x:v>
      </x:c>
      <x:c r="I2171" s="73" t="str">
        <x:f>""</x:f>
      </x:c>
      <x:c r="J2171" s="74" t="str">
        <x:f>""</x:f>
      </x:c>
      <x:c r="K2171" s="73" t="str">
        <x:f>""</x:f>
      </x:c>
      <x:c r="L2171" s="74" t="str">
        <x:f>""</x:f>
      </x:c>
      <x:c r="M2171" s="73" t="n">
        <x:f>MAX(M2170,F2171)</x:f>
        <x:v>1.4167</x:v>
      </x:c>
      <x:c r="N2171" s="74" t="n">
        <x:f>1-F2171/M2171</x:f>
        <x:v>0.00028234629773427056</x:v>
      </x:c>
    </x:row>
    <x:row r="2172" ht="27" customHeight="1">
      <x:c r="A2172" s="66" t="str">
        <x:v>SEV580</x:v>
      </x:c>
      <x:c r="B2172" s="66" t="str">
        <x:v>祁腾蜂赢1号</x:v>
      </x:c>
      <x:c r="C2172" s="72" t="n">
        <x:v>44154</x:v>
      </x:c>
      <x:c r="D2172" s="73" t="n">
        <x:v>1.0993</x:v>
      </x:c>
      <x:c r="E2172" s="73" t="n">
        <x:v>1.369</x:v>
      </x:c>
      <x:c r="F2172" s="73" t="n">
        <x:v>1.4176</x:v>
      </x:c>
      <x:c r="G2172" s="74" t="n">
        <x:v>0.0009</x:v>
      </x:c>
      <x:c r="H2172" s="66" t="str">
        <x:v>祁腾蜂赢1号净值20260911.xlsx</x:v>
      </x:c>
      <x:c r="I2172" s="73" t="str">
        <x:f>""</x:f>
      </x:c>
      <x:c r="J2172" s="74" t="str">
        <x:f>""</x:f>
      </x:c>
      <x:c r="K2172" s="73" t="str">
        <x:f>""</x:f>
      </x:c>
      <x:c r="L2172" s="74" t="str">
        <x:f>""</x:f>
      </x:c>
      <x:c r="M2172" s="73" t="n">
        <x:f>MAX(M2171,F2172)</x:f>
        <x:v>1.4176</x:v>
      </x:c>
      <x:c r="N2172" s="74" t="n">
        <x:f>1-F2172/M2172</x:f>
        <x:v>0</x:v>
      </x:c>
    </x:row>
    <x:row r="2173" ht="27" customHeight="1">
      <x:c r="A2173" s="66" t="str">
        <x:v>SEV580</x:v>
      </x:c>
      <x:c r="B2173" s="66" t="str">
        <x:v>祁腾蜂赢1号</x:v>
      </x:c>
      <x:c r="C2173" s="72" t="n">
        <x:v>44155</x:v>
      </x:c>
      <x:c r="D2173" s="73" t="n">
        <x:v>1.0985</x:v>
      </x:c>
      <x:c r="E2173" s="73" t="n">
        <x:v>1.3682</x:v>
      </x:c>
      <x:c r="F2173" s="73" t="n">
        <x:v>1.4166</x:v>
      </x:c>
      <x:c r="G2173" s="74" t="n">
        <x:v>-0.0007000000000000001</x:v>
      </x:c>
      <x:c r="H2173" s="66" t="str">
        <x:v>祁腾蜂赢1号净值20260911.xlsx</x:v>
      </x:c>
      <x:c r="I2173" s="73" t="str">
        <x:f>""</x:f>
      </x:c>
      <x:c r="J2173" s="74" t="str">
        <x:f>""</x:f>
      </x:c>
      <x:c r="K2173" s="73" t="str">
        <x:f>""</x:f>
      </x:c>
      <x:c r="L2173" s="74" t="str">
        <x:f>""</x:f>
      </x:c>
      <x:c r="M2173" s="73" t="n">
        <x:f>MAX(M2172,F2173)</x:f>
        <x:v>1.4176</x:v>
      </x:c>
      <x:c r="N2173" s="74" t="n">
        <x:f>1-F2173/M2173</x:f>
        <x:v>0.0007054176072234242</x:v>
      </x:c>
    </x:row>
    <x:row r="2174" ht="27" customHeight="1">
      <x:c r="A2174" s="66" t="str">
        <x:v>SEV580</x:v>
      </x:c>
      <x:c r="B2174" s="66" t="str">
        <x:v>祁腾蜂赢1号</x:v>
      </x:c>
      <x:c r="C2174" s="72" t="n">
        <x:v>44158</x:v>
      </x:c>
      <x:c r="D2174" s="73" t="n">
        <x:v>1.097</x:v>
      </x:c>
      <x:c r="E2174" s="73" t="n">
        <x:v>1.3667</x:v>
      </x:c>
      <x:c r="F2174" s="73" t="n">
        <x:v>1.4146</x:v>
      </x:c>
      <x:c r="G2174" s="74" t="n">
        <x:v>-0.0014000000000000002</x:v>
      </x:c>
      <x:c r="H2174" s="66" t="str">
        <x:v>祁腾蜂赢1号净值20260911.xlsx</x:v>
      </x:c>
      <x:c r="I2174" s="73" t="str">
        <x:f>""</x:f>
      </x:c>
      <x:c r="J2174" s="74" t="str">
        <x:f>""</x:f>
      </x:c>
      <x:c r="K2174" s="73" t="str">
        <x:f>""</x:f>
      </x:c>
      <x:c r="L2174" s="74" t="str">
        <x:f>""</x:f>
      </x:c>
      <x:c r="M2174" s="73" t="n">
        <x:f>MAX(M2173,F2174)</x:f>
        <x:v>1.4176</x:v>
      </x:c>
      <x:c r="N2174" s="74" t="n">
        <x:f>1-F2174/M2174</x:f>
        <x:v>0.0021162528216703835</x:v>
      </x:c>
    </x:row>
    <x:row r="2175" ht="27" customHeight="1">
      <x:c r="A2175" s="66" t="str">
        <x:v>SEV580</x:v>
      </x:c>
      <x:c r="B2175" s="66" t="str">
        <x:v>祁腾蜂赢1号</x:v>
      </x:c>
      <x:c r="C2175" s="72" t="n">
        <x:v>44159</x:v>
      </x:c>
      <x:c r="D2175" s="73" t="n">
        <x:v>1.0977</x:v>
      </x:c>
      <x:c r="E2175" s="73" t="n">
        <x:v>1.3674</x:v>
      </x:c>
      <x:c r="F2175" s="73" t="n">
        <x:v>1.4155</x:v>
      </x:c>
      <x:c r="G2175" s="74" t="n">
        <x:v>0.0006</x:v>
      </x:c>
      <x:c r="H2175" s="66" t="str">
        <x:v>祁腾蜂赢1号净值20260911.xlsx</x:v>
      </x:c>
      <x:c r="I2175" s="73" t="str">
        <x:f>""</x:f>
      </x:c>
      <x:c r="J2175" s="74" t="str">
        <x:f>""</x:f>
      </x:c>
      <x:c r="K2175" s="73" t="str">
        <x:f>""</x:f>
      </x:c>
      <x:c r="L2175" s="74" t="str">
        <x:f>""</x:f>
      </x:c>
      <x:c r="M2175" s="73" t="n">
        <x:f>MAX(M2174,F2175)</x:f>
        <x:v>1.4176</x:v>
      </x:c>
      <x:c r="N2175" s="74" t="n">
        <x:f>1-F2175/M2175</x:f>
        <x:v>0.0014813769751692574</x:v>
      </x:c>
    </x:row>
    <x:row r="2176" ht="27" customHeight="1">
      <x:c r="A2176" s="66" t="str">
        <x:v>SEV580</x:v>
      </x:c>
      <x:c r="B2176" s="66" t="str">
        <x:v>祁腾蜂赢1号</x:v>
      </x:c>
      <x:c r="C2176" s="72" t="n">
        <x:v>44160</x:v>
      </x:c>
      <x:c r="D2176" s="73" t="n">
        <x:v>1.0953</x:v>
      </x:c>
      <x:c r="E2176" s="73" t="n">
        <x:v>1.365</x:v>
      </x:c>
      <x:c r="F2176" s="73" t="n">
        <x:v>1.4124</x:v>
      </x:c>
      <x:c r="G2176" s="74" t="n">
        <x:v>-0.0022</x:v>
      </x:c>
      <x:c r="H2176" s="66" t="str">
        <x:v>祁腾蜂赢1号净值20260911.xlsx</x:v>
      </x:c>
      <x:c r="I2176" s="73" t="str">
        <x:f>""</x:f>
      </x:c>
      <x:c r="J2176" s="74" t="str">
        <x:f>""</x:f>
      </x:c>
      <x:c r="K2176" s="73" t="str">
        <x:f>""</x:f>
      </x:c>
      <x:c r="L2176" s="74" t="str">
        <x:f>""</x:f>
      </x:c>
      <x:c r="M2176" s="73" t="n">
        <x:f>MAX(M2175,F2176)</x:f>
        <x:v>1.4176</x:v>
      </x:c>
      <x:c r="N2176" s="74" t="n">
        <x:f>1-F2176/M2176</x:f>
        <x:v>0.003668171557561939</x:v>
      </x:c>
    </x:row>
    <x:row r="2177" ht="27" customHeight="1">
      <x:c r="A2177" s="66" t="str">
        <x:v>SEV580</x:v>
      </x:c>
      <x:c r="B2177" s="66" t="str">
        <x:v>祁腾蜂赢1号</x:v>
      </x:c>
      <x:c r="C2177" s="72" t="n">
        <x:v>44161</x:v>
      </x:c>
      <x:c r="D2177" s="73" t="n">
        <x:v>1.0951</x:v>
      </x:c>
      <x:c r="E2177" s="73" t="n">
        <x:v>1.3648</x:v>
      </x:c>
      <x:c r="F2177" s="73" t="n">
        <x:v>1.4122</x:v>
      </x:c>
      <x:c r="G2177" s="74" t="n">
        <x:v>-0.0002</x:v>
      </x:c>
      <x:c r="H2177" s="66" t="str">
        <x:v>祁腾蜂赢1号净值20260911.xlsx</x:v>
      </x:c>
      <x:c r="I2177" s="73" t="str">
        <x:f>""</x:f>
      </x:c>
      <x:c r="J2177" s="74" t="str">
        <x:f>""</x:f>
      </x:c>
      <x:c r="K2177" s="73" t="str">
        <x:f>""</x:f>
      </x:c>
      <x:c r="L2177" s="74" t="str">
        <x:f>""</x:f>
      </x:c>
      <x:c r="M2177" s="73" t="n">
        <x:f>MAX(M2176,F2177)</x:f>
        <x:v>1.4176</x:v>
      </x:c>
      <x:c r="N2177" s="74" t="n">
        <x:f>1-F2177/M2177</x:f>
        <x:v>0.003809255079006868</x:v>
      </x:c>
    </x:row>
    <x:row r="2178" ht="27" customHeight="1">
      <x:c r="A2178" s="66" t="str">
        <x:v>SEV580</x:v>
      </x:c>
      <x:c r="B2178" s="66" t="str">
        <x:v>祁腾蜂赢1号</x:v>
      </x:c>
      <x:c r="C2178" s="72" t="n">
        <x:v>44162</x:v>
      </x:c>
      <x:c r="D2178" s="73" t="n">
        <x:v>1.0975</x:v>
      </x:c>
      <x:c r="E2178" s="73" t="n">
        <x:v>1.3672</x:v>
      </x:c>
      <x:c r="F2178" s="73" t="n">
        <x:v>1.4153</x:v>
      </x:c>
      <x:c r="G2178" s="74" t="n">
        <x:v>0.0022</x:v>
      </x:c>
      <x:c r="H2178" s="66" t="str">
        <x:v>祁腾蜂赢1号净值20260911.xlsx</x:v>
      </x:c>
      <x:c r="I2178" s="73" t="str">
        <x:f>""</x:f>
      </x:c>
      <x:c r="J2178" s="74" t="str">
        <x:f>""</x:f>
      </x:c>
      <x:c r="K2178" s="73" t="str">
        <x:f>""</x:f>
      </x:c>
      <x:c r="L2178" s="74" t="str">
        <x:f>""</x:f>
      </x:c>
      <x:c r="M2178" s="73" t="n">
        <x:f>MAX(M2177,F2178)</x:f>
        <x:v>1.4176</x:v>
      </x:c>
      <x:c r="N2178" s="74" t="n">
        <x:f>1-F2178/M2178</x:f>
        <x:v>0.0016224604966139644</x:v>
      </x:c>
    </x:row>
    <x:row r="2179" ht="27" customHeight="1">
      <x:c r="A2179" s="66" t="str">
        <x:v>SEV580</x:v>
      </x:c>
      <x:c r="B2179" s="66" t="str">
        <x:v>祁腾蜂赢1号</x:v>
      </x:c>
      <x:c r="C2179" s="72" t="n">
        <x:v>44165</x:v>
      </x:c>
      <x:c r="D2179" s="73" t="n">
        <x:v>1.0988</x:v>
      </x:c>
      <x:c r="E2179" s="73" t="n">
        <x:v>1.3685</x:v>
      </x:c>
      <x:c r="F2179" s="73" t="n">
        <x:v>1.4169</x:v>
      </x:c>
      <x:c r="G2179" s="74" t="n">
        <x:v>0.0012</x:v>
      </x:c>
      <x:c r="H2179" s="66" t="str">
        <x:v>祁腾蜂赢1号净值20260911.xlsx</x:v>
      </x:c>
      <x:c r="I2179" s="73" t="str">
        <x:f>""</x:f>
      </x:c>
      <x:c r="J2179" s="74" t="str">
        <x:f>""</x:f>
      </x:c>
      <x:c r="K2179" s="73" t="str">
        <x:f>""</x:f>
      </x:c>
      <x:c r="L2179" s="74" t="str">
        <x:f>""</x:f>
      </x:c>
      <x:c r="M2179" s="73" t="n">
        <x:f>MAX(M2178,F2179)</x:f>
        <x:v>1.4176</x:v>
      </x:c>
      <x:c r="N2179" s="74" t="n">
        <x:f>1-F2179/M2179</x:f>
        <x:v>0.0004937923250564191</x:v>
      </x:c>
    </x:row>
    <x:row r="2180" ht="27" customHeight="1">
      <x:c r="A2180" s="66" t="str">
        <x:v>SEV580</x:v>
      </x:c>
      <x:c r="B2180" s="66" t="str">
        <x:v>祁腾蜂赢1号</x:v>
      </x:c>
      <x:c r="C2180" s="72" t="n">
        <x:v>44166</x:v>
      </x:c>
      <x:c r="D2180" s="73" t="n">
        <x:v>1.0987</x:v>
      </x:c>
      <x:c r="E2180" s="73" t="n">
        <x:v>1.3684</x:v>
      </x:c>
      <x:c r="F2180" s="73" t="n">
        <x:v>1.4168</x:v>
      </x:c>
      <x:c r="G2180" s="74" t="n">
        <x:v>-0.0001</x:v>
      </x:c>
      <x:c r="H2180" s="66" t="str">
        <x:v>祁腾蜂赢1号净值20260911.xlsx</x:v>
      </x:c>
      <x:c r="I2180" s="73" t="str">
        <x:f>""</x:f>
      </x:c>
      <x:c r="J2180" s="74" t="str">
        <x:f>""</x:f>
      </x:c>
      <x:c r="K2180" s="73" t="str">
        <x:f>""</x:f>
      </x:c>
      <x:c r="L2180" s="74" t="str">
        <x:f>""</x:f>
      </x:c>
      <x:c r="M2180" s="73" t="n">
        <x:f>MAX(M2179,F2180)</x:f>
        <x:v>1.4176</x:v>
      </x:c>
      <x:c r="N2180" s="74" t="n">
        <x:f>1-F2180/M2180</x:f>
        <x:v>0.0005643340857787171</x:v>
      </x:c>
    </x:row>
    <x:row r="2181" ht="27" customHeight="1">
      <x:c r="A2181" s="66" t="str">
        <x:v>SEV580</x:v>
      </x:c>
      <x:c r="B2181" s="66" t="str">
        <x:v>祁腾蜂赢1号</x:v>
      </x:c>
      <x:c r="C2181" s="72" t="n">
        <x:v>44167</x:v>
      </x:c>
      <x:c r="D2181" s="73" t="n">
        <x:v>1.0983</x:v>
      </x:c>
      <x:c r="E2181" s="73" t="n">
        <x:v>1.368</x:v>
      </x:c>
      <x:c r="F2181" s="73" t="n">
        <x:v>1.4163</x:v>
      </x:c>
      <x:c r="G2181" s="74" t="n">
        <x:v>-0.0004</x:v>
      </x:c>
      <x:c r="H2181" s="66" t="str">
        <x:v>祁腾蜂赢1号净值20260911.xlsx</x:v>
      </x:c>
      <x:c r="I2181" s="73" t="str">
        <x:f>""</x:f>
      </x:c>
      <x:c r="J2181" s="74" t="str">
        <x:f>""</x:f>
      </x:c>
      <x:c r="K2181" s="73" t="str">
        <x:f>""</x:f>
      </x:c>
      <x:c r="L2181" s="74" t="str">
        <x:f>""</x:f>
      </x:c>
      <x:c r="M2181" s="73" t="n">
        <x:f>MAX(M2180,F2181)</x:f>
        <x:v>1.4176</x:v>
      </x:c>
      <x:c r="N2181" s="74" t="n">
        <x:f>1-F2181/M2181</x:f>
        <x:v>0.0009170428893905402</x:v>
      </x:c>
    </x:row>
    <x:row r="2182" ht="27" customHeight="1">
      <x:c r="A2182" s="66" t="str">
        <x:v>SEV580</x:v>
      </x:c>
      <x:c r="B2182" s="66" t="str">
        <x:v>祁腾蜂赢1号</x:v>
      </x:c>
      <x:c r="C2182" s="72" t="n">
        <x:v>44168</x:v>
      </x:c>
      <x:c r="D2182" s="73" t="n">
        <x:v>1.0967</x:v>
      </x:c>
      <x:c r="E2182" s="73" t="n">
        <x:v>1.3664</x:v>
      </x:c>
      <x:c r="F2182" s="73" t="n">
        <x:v>1.4142</x:v>
      </x:c>
      <x:c r="G2182" s="74" t="n">
        <x:v>-0.0015</x:v>
      </x:c>
      <x:c r="H2182" s="66" t="str">
        <x:v>祁腾蜂赢1号净值20260911.xlsx</x:v>
      </x:c>
      <x:c r="I2182" s="73" t="str">
        <x:f>""</x:f>
      </x:c>
      <x:c r="J2182" s="74" t="str">
        <x:f>""</x:f>
      </x:c>
      <x:c r="K2182" s="73" t="str">
        <x:f>""</x:f>
      </x:c>
      <x:c r="L2182" s="74" t="str">
        <x:f>""</x:f>
      </x:c>
      <x:c r="M2182" s="73" t="n">
        <x:f>MAX(M2181,F2182)</x:f>
        <x:v>1.4176</x:v>
      </x:c>
      <x:c r="N2182" s="74" t="n">
        <x:f>1-F2182/M2182</x:f>
        <x:v>0.0023984198645599086</x:v>
      </x:c>
    </x:row>
    <x:row r="2183" ht="27" customHeight="1">
      <x:c r="A2183" s="66" t="str">
        <x:v>SEV580</x:v>
      </x:c>
      <x:c r="B2183" s="66" t="str">
        <x:v>祁腾蜂赢1号</x:v>
      </x:c>
      <x:c r="C2183" s="72" t="n">
        <x:v>44169</x:v>
      </x:c>
      <x:c r="D2183" s="73" t="n">
        <x:v>1.1019</x:v>
      </x:c>
      <x:c r="E2183" s="73" t="n">
        <x:v>1.3716</x:v>
      </x:c>
      <x:c r="F2183" s="73" t="n">
        <x:v>1.4209</x:v>
      </x:c>
      <x:c r="G2183" s="74" t="n">
        <x:v>0.004699999999999999</x:v>
      </x:c>
      <x:c r="H2183" s="66" t="str">
        <x:v>祁腾蜂赢1号净值20260911.xlsx</x:v>
      </x:c>
      <x:c r="I2183" s="73" t="str">
        <x:f>""</x:f>
      </x:c>
      <x:c r="J2183" s="74" t="str">
        <x:f>""</x:f>
      </x:c>
      <x:c r="K2183" s="73" t="str">
        <x:f>""</x:f>
      </x:c>
      <x:c r="L2183" s="74" t="str">
        <x:f>""</x:f>
      </x:c>
      <x:c r="M2183" s="73" t="n">
        <x:f>MAX(M2182,F2183)</x:f>
        <x:v>1.4209</x:v>
      </x:c>
      <x:c r="N2183" s="74" t="n">
        <x:f>1-F2183/M2183</x:f>
        <x:v>0</x:v>
      </x:c>
    </x:row>
    <x:row r="2184" ht="27" customHeight="1">
      <x:c r="A2184" s="66" t="str">
        <x:v>SEV580</x:v>
      </x:c>
      <x:c r="B2184" s="66" t="str">
        <x:v>祁腾蜂赢1号</x:v>
      </x:c>
      <x:c r="C2184" s="72" t="n">
        <x:v>44172</x:v>
      </x:c>
      <x:c r="D2184" s="73" t="n">
        <x:v>1.1029</x:v>
      </x:c>
      <x:c r="E2184" s="73" t="n">
        <x:v>1.3726</x:v>
      </x:c>
      <x:c r="F2184" s="73" t="n">
        <x:v>1.4222</x:v>
      </x:c>
      <x:c r="G2184" s="74" t="n">
        <x:v>0.0009</x:v>
      </x:c>
      <x:c r="H2184" s="66" t="str">
        <x:v>祁腾蜂赢1号净值20260911.xlsx</x:v>
      </x:c>
      <x:c r="I2184" s="73" t="str">
        <x:f>""</x:f>
      </x:c>
      <x:c r="J2184" s="74" t="str">
        <x:f>""</x:f>
      </x:c>
      <x:c r="K2184" s="73" t="str">
        <x:f>""</x:f>
      </x:c>
      <x:c r="L2184" s="74" t="str">
        <x:f>""</x:f>
      </x:c>
      <x:c r="M2184" s="73" t="n">
        <x:f>MAX(M2183,F2184)</x:f>
        <x:v>1.4222</x:v>
      </x:c>
      <x:c r="N2184" s="74" t="n">
        <x:f>1-F2184/M2184</x:f>
        <x:v>0</x:v>
      </x:c>
    </x:row>
    <x:row r="2185" ht="27" customHeight="1">
      <x:c r="A2185" s="66" t="str">
        <x:v>SEV580</x:v>
      </x:c>
      <x:c r="B2185" s="66" t="str">
        <x:v>祁腾蜂赢1号</x:v>
      </x:c>
      <x:c r="C2185" s="72" t="n">
        <x:v>44173</x:v>
      </x:c>
      <x:c r="D2185" s="73" t="n">
        <x:v>1.1069</x:v>
      </x:c>
      <x:c r="E2185" s="73" t="n">
        <x:v>1.3766</x:v>
      </x:c>
      <x:c r="F2185" s="73" t="n">
        <x:v>1.4274</x:v>
      </x:c>
      <x:c r="G2185" s="74" t="n">
        <x:v>0.0036</x:v>
      </x:c>
      <x:c r="H2185" s="66" t="str">
        <x:v>祁腾蜂赢1号净值20260911.xlsx</x:v>
      </x:c>
      <x:c r="I2185" s="73" t="str">
        <x:f>""</x:f>
      </x:c>
      <x:c r="J2185" s="74" t="str">
        <x:f>""</x:f>
      </x:c>
      <x:c r="K2185" s="73" t="str">
        <x:f>""</x:f>
      </x:c>
      <x:c r="L2185" s="74" t="str">
        <x:f>""</x:f>
      </x:c>
      <x:c r="M2185" s="73" t="n">
        <x:f>MAX(M2184,F2185)</x:f>
        <x:v>1.4274</x:v>
      </x:c>
      <x:c r="N2185" s="74" t="n">
        <x:f>1-F2185/M2185</x:f>
        <x:v>0</x:v>
      </x:c>
    </x:row>
    <x:row r="2186" ht="27" customHeight="1">
      <x:c r="A2186" s="66" t="str">
        <x:v>SEV580</x:v>
      </x:c>
      <x:c r="B2186" s="66" t="str">
        <x:v>祁腾蜂赢1号</x:v>
      </x:c>
      <x:c r="C2186" s="72" t="n">
        <x:v>44174</x:v>
      </x:c>
      <x:c r="D2186" s="73" t="n">
        <x:v>1.1073</x:v>
      </x:c>
      <x:c r="E2186" s="73" t="n">
        <x:v>1.377</x:v>
      </x:c>
      <x:c r="F2186" s="73" t="n">
        <x:v>1.4279</x:v>
      </x:c>
      <x:c r="G2186" s="74" t="n">
        <x:v>0.0004</x:v>
      </x:c>
      <x:c r="H2186" s="66" t="str">
        <x:v>祁腾蜂赢1号净值20260911.xlsx</x:v>
      </x:c>
      <x:c r="I2186" s="73" t="str">
        <x:f>""</x:f>
      </x:c>
      <x:c r="J2186" s="74" t="str">
        <x:f>""</x:f>
      </x:c>
      <x:c r="K2186" s="73" t="str">
        <x:f>""</x:f>
      </x:c>
      <x:c r="L2186" s="74" t="str">
        <x:f>""</x:f>
      </x:c>
      <x:c r="M2186" s="73" t="n">
        <x:f>MAX(M2185,F2186)</x:f>
        <x:v>1.4279</x:v>
      </x:c>
      <x:c r="N2186" s="74" t="n">
        <x:f>1-F2186/M2186</x:f>
        <x:v>0</x:v>
      </x:c>
    </x:row>
    <x:row r="2187" ht="27" customHeight="1">
      <x:c r="A2187" s="66" t="str">
        <x:v>SEV580</x:v>
      </x:c>
      <x:c r="B2187" s="66" t="str">
        <x:v>祁腾蜂赢1号</x:v>
      </x:c>
      <x:c r="C2187" s="72" t="n">
        <x:v>44175</x:v>
      </x:c>
      <x:c r="D2187" s="73" t="n">
        <x:v>1.1074</x:v>
      </x:c>
      <x:c r="E2187" s="73" t="n">
        <x:v>1.3771</x:v>
      </x:c>
      <x:c r="F2187" s="73" t="n">
        <x:v>1.428</x:v>
      </x:c>
      <x:c r="G2187" s="74" t="n">
        <x:v>0.0001</x:v>
      </x:c>
      <x:c r="H2187" s="66" t="str">
        <x:v>祁腾蜂赢1号净值20260911.xlsx</x:v>
      </x:c>
      <x:c r="I2187" s="73" t="str">
        <x:f>""</x:f>
      </x:c>
      <x:c r="J2187" s="74" t="str">
        <x:f>""</x:f>
      </x:c>
      <x:c r="K2187" s="73" t="str">
        <x:f>""</x:f>
      </x:c>
      <x:c r="L2187" s="74" t="str">
        <x:f>""</x:f>
      </x:c>
      <x:c r="M2187" s="73" t="n">
        <x:f>MAX(M2186,F2187)</x:f>
        <x:v>1.428</x:v>
      </x:c>
      <x:c r="N2187" s="74" t="n">
        <x:f>1-F2187/M2187</x:f>
        <x:v>0</x:v>
      </x:c>
    </x:row>
    <x:row r="2188" ht="27" customHeight="1">
      <x:c r="A2188" s="66" t="str">
        <x:v>SEV580</x:v>
      </x:c>
      <x:c r="B2188" s="66" t="str">
        <x:v>祁腾蜂赢1号</x:v>
      </x:c>
      <x:c r="C2188" s="72" t="n">
        <x:v>44176</x:v>
      </x:c>
      <x:c r="D2188" s="73" t="n">
        <x:v>1.1083</x:v>
      </x:c>
      <x:c r="E2188" s="73" t="n">
        <x:v>1.378</x:v>
      </x:c>
      <x:c r="F2188" s="73" t="n">
        <x:v>1.4292</x:v>
      </x:c>
      <x:c r="G2188" s="74" t="n">
        <x:v>0.0008</x:v>
      </x:c>
      <x:c r="H2188" s="66" t="str">
        <x:v>祁腾蜂赢1号净值20260911.xlsx</x:v>
      </x:c>
      <x:c r="I2188" s="73" t="str">
        <x:f>""</x:f>
      </x:c>
      <x:c r="J2188" s="74" t="str">
        <x:f>""</x:f>
      </x:c>
      <x:c r="K2188" s="73" t="str">
        <x:f>""</x:f>
      </x:c>
      <x:c r="L2188" s="74" t="str">
        <x:f>""</x:f>
      </x:c>
      <x:c r="M2188" s="73" t="n">
        <x:f>MAX(M2187,F2188)</x:f>
        <x:v>1.4292</x:v>
      </x:c>
      <x:c r="N2188" s="74" t="n">
        <x:f>1-F2188/M2188</x:f>
        <x:v>0</x:v>
      </x:c>
    </x:row>
    <x:row r="2189" ht="27" customHeight="1">
      <x:c r="A2189" s="66" t="str">
        <x:v>SEV580</x:v>
      </x:c>
      <x:c r="B2189" s="66" t="str">
        <x:v>祁腾蜂赢1号</x:v>
      </x:c>
      <x:c r="C2189" s="72" t="n">
        <x:v>44179</x:v>
      </x:c>
      <x:c r="D2189" s="73" t="n">
        <x:v>1.1082</x:v>
      </x:c>
      <x:c r="E2189" s="73" t="n">
        <x:v>1.3779</x:v>
      </x:c>
      <x:c r="F2189" s="73" t="n">
        <x:v>1.4291</x:v>
      </x:c>
      <x:c r="G2189" s="74" t="n">
        <x:v>-0.0001</x:v>
      </x:c>
      <x:c r="H2189" s="66" t="str">
        <x:v>祁腾蜂赢1号净值20260911.xlsx</x:v>
      </x:c>
      <x:c r="I2189" s="73" t="str">
        <x:f>""</x:f>
      </x:c>
      <x:c r="J2189" s="74" t="str">
        <x:f>""</x:f>
      </x:c>
      <x:c r="K2189" s="73" t="str">
        <x:f>""</x:f>
      </x:c>
      <x:c r="L2189" s="74" t="str">
        <x:f>""</x:f>
      </x:c>
      <x:c r="M2189" s="73" t="n">
        <x:f>MAX(M2188,F2189)</x:f>
        <x:v>1.4292</x:v>
      </x:c>
      <x:c r="N2189" s="74" t="n">
        <x:f>1-F2189/M2189</x:f>
        <x:v>0.00006996921354607277</x:v>
      </x:c>
    </x:row>
    <x:row r="2190" ht="27" customHeight="1">
      <x:c r="A2190" s="66" t="str">
        <x:v>SEV580</x:v>
      </x:c>
      <x:c r="B2190" s="66" t="str">
        <x:v>祁腾蜂赢1号</x:v>
      </x:c>
      <x:c r="C2190" s="72" t="n">
        <x:v>44180</x:v>
      </x:c>
      <x:c r="D2190" s="73" t="n">
        <x:v>1.109</x:v>
      </x:c>
      <x:c r="E2190" s="73" t="n">
        <x:v>1.3787</x:v>
      </x:c>
      <x:c r="F2190" s="73" t="n">
        <x:v>1.4301</x:v>
      </x:c>
      <x:c r="G2190" s="74" t="n">
        <x:v>0.0007000000000000001</x:v>
      </x:c>
      <x:c r="H2190" s="66" t="str">
        <x:v>祁腾蜂赢1号净值20260911.xlsx</x:v>
      </x:c>
      <x:c r="I2190" s="73" t="str">
        <x:f>""</x:f>
      </x:c>
      <x:c r="J2190" s="74" t="str">
        <x:f>""</x:f>
      </x:c>
      <x:c r="K2190" s="73" t="str">
        <x:f>""</x:f>
      </x:c>
      <x:c r="L2190" s="74" t="str">
        <x:f>""</x:f>
      </x:c>
      <x:c r="M2190" s="73" t="n">
        <x:f>MAX(M2189,F2190)</x:f>
        <x:v>1.4301</x:v>
      </x:c>
      <x:c r="N2190" s="74" t="n">
        <x:f>1-F2190/M2190</x:f>
        <x:v>0</x:v>
      </x:c>
    </x:row>
    <x:row r="2191" ht="27" customHeight="1">
      <x:c r="A2191" s="66" t="str">
        <x:v>SEV580</x:v>
      </x:c>
      <x:c r="B2191" s="66" t="str">
        <x:v>祁腾蜂赢1号</x:v>
      </x:c>
      <x:c r="C2191" s="72" t="n">
        <x:v>44181</x:v>
      </x:c>
      <x:c r="D2191" s="73" t="n">
        <x:v>1.1084</x:v>
      </x:c>
      <x:c r="E2191" s="73" t="n">
        <x:v>1.3781</x:v>
      </x:c>
      <x:c r="F2191" s="73" t="n">
        <x:v>1.4293</x:v>
      </x:c>
      <x:c r="G2191" s="74" t="n">
        <x:v>-0.0005</x:v>
      </x:c>
      <x:c r="H2191" s="66" t="str">
        <x:v>祁腾蜂赢1号净值20260911.xlsx</x:v>
      </x:c>
      <x:c r="I2191" s="73" t="str">
        <x:f>""</x:f>
      </x:c>
      <x:c r="J2191" s="74" t="str">
        <x:f>""</x:f>
      </x:c>
      <x:c r="K2191" s="73" t="str">
        <x:f>""</x:f>
      </x:c>
      <x:c r="L2191" s="74" t="str">
        <x:f>""</x:f>
      </x:c>
      <x:c r="M2191" s="73" t="n">
        <x:f>MAX(M2190,F2191)</x:f>
        <x:v>1.4301</x:v>
      </x:c>
      <x:c r="N2191" s="74" t="n">
        <x:f>1-F2191/M2191</x:f>
        <x:v>0.0005594014404586289</x:v>
      </x:c>
    </x:row>
    <x:row r="2192" ht="27" customHeight="1">
      <x:c r="A2192" s="66" t="str">
        <x:v>SEV580</x:v>
      </x:c>
      <x:c r="B2192" s="66" t="str">
        <x:v>祁腾蜂赢1号</x:v>
      </x:c>
      <x:c r="C2192" s="72" t="n">
        <x:v>44182</x:v>
      </x:c>
      <x:c r="D2192" s="73" t="n">
        <x:v>1.1068</x:v>
      </x:c>
      <x:c r="E2192" s="73" t="n">
        <x:v>1.3765</x:v>
      </x:c>
      <x:c r="F2192" s="73" t="n">
        <x:v>1.4273</x:v>
      </x:c>
      <x:c r="G2192" s="74" t="n">
        <x:v>-0.0014000000000000002</x:v>
      </x:c>
      <x:c r="H2192" s="66" t="str">
        <x:v>祁腾蜂赢1号净值20260911.xlsx</x:v>
      </x:c>
      <x:c r="I2192" s="73" t="str">
        <x:f>""</x:f>
      </x:c>
      <x:c r="J2192" s="74" t="str">
        <x:f>""</x:f>
      </x:c>
      <x:c r="K2192" s="73" t="str">
        <x:f>""</x:f>
      </x:c>
      <x:c r="L2192" s="74" t="str">
        <x:f>""</x:f>
      </x:c>
      <x:c r="M2192" s="73" t="n">
        <x:f>MAX(M2191,F2192)</x:f>
        <x:v>1.4301</x:v>
      </x:c>
      <x:c r="N2192" s="74" t="n">
        <x:f>1-F2192/M2192</x:f>
        <x:v>0.0019579050416054233</x:v>
      </x:c>
    </x:row>
    <x:row r="2193" ht="27" customHeight="1">
      <x:c r="A2193" s="66" t="str">
        <x:v>SEV580</x:v>
      </x:c>
      <x:c r="B2193" s="66" t="str">
        <x:v>祁腾蜂赢1号</x:v>
      </x:c>
      <x:c r="C2193" s="72" t="n">
        <x:v>44183</x:v>
      </x:c>
      <x:c r="D2193" s="73" t="n">
        <x:v>1</x:v>
      </x:c>
      <x:c r="E2193" s="73" t="n">
        <x:v>1.3759</x:v>
      </x:c>
      <x:c r="F2193" s="73" t="n">
        <x:v>1.4265</x:v>
      </x:c>
      <x:c r="G2193" s="74" t="n">
        <x:v>-0.0005</x:v>
      </x:c>
      <x:c r="H2193" s="66" t="str">
        <x:v>祁腾蜂赢1号净值20260911.xlsx</x:v>
      </x:c>
      <x:c r="I2193" s="73" t="str">
        <x:f>""</x:f>
      </x:c>
      <x:c r="J2193" s="74" t="str">
        <x:f>""</x:f>
      </x:c>
      <x:c r="K2193" s="73" t="str">
        <x:f>""</x:f>
      </x:c>
      <x:c r="L2193" s="74" t="str">
        <x:f>""</x:f>
      </x:c>
      <x:c r="M2193" s="73" t="n">
        <x:f>MAX(M2192,F2193)</x:f>
        <x:v>1.4301</x:v>
      </x:c>
      <x:c r="N2193" s="74" t="n">
        <x:f>1-F2193/M2193</x:f>
        <x:v>0.0025173064820640523</x:v>
      </x:c>
    </x:row>
    <x:row r="2194" ht="27" customHeight="1">
      <x:c r="A2194" s="66" t="str">
        <x:v>SEV580</x:v>
      </x:c>
      <x:c r="B2194" s="66" t="str">
        <x:v>祁腾蜂赢1号</x:v>
      </x:c>
      <x:c r="C2194" s="72" t="n">
        <x:v>44186</x:v>
      </x:c>
      <x:c r="D2194" s="73" t="n">
        <x:v>1.0012</x:v>
      </x:c>
      <x:c r="E2194" s="73" t="n">
        <x:v>1.3771</x:v>
      </x:c>
      <x:c r="F2194" s="73" t="n">
        <x:v>1.4282</x:v>
      </x:c>
      <x:c r="G2194" s="74" t="n">
        <x:v>0.0012</x:v>
      </x:c>
      <x:c r="H2194" s="66" t="str">
        <x:v>祁腾蜂赢1号净值20260911.xlsx</x:v>
      </x:c>
      <x:c r="I2194" s="73" t="str">
        <x:f>""</x:f>
      </x:c>
      <x:c r="J2194" s="74" t="str">
        <x:f>""</x:f>
      </x:c>
      <x:c r="K2194" s="73" t="str">
        <x:f>""</x:f>
      </x:c>
      <x:c r="L2194" s="74" t="str">
        <x:f>""</x:f>
      </x:c>
      <x:c r="M2194" s="73" t="n">
        <x:f>MAX(M2193,F2194)</x:f>
        <x:v>1.4301</x:v>
      </x:c>
      <x:c r="N2194" s="74" t="n">
        <x:f>1-F2194/M2194</x:f>
        <x:v>0.0013285784210894658</x:v>
      </x:c>
    </x:row>
    <x:row r="2195" ht="27" customHeight="1">
      <x:c r="A2195" s="66" t="str">
        <x:v>SEV580</x:v>
      </x:c>
      <x:c r="B2195" s="66" t="str">
        <x:v>祁腾蜂赢1号</x:v>
      </x:c>
      <x:c r="C2195" s="72" t="n">
        <x:v>44187</x:v>
      </x:c>
      <x:c r="D2195" s="73" t="n">
        <x:v>1.0011</x:v>
      </x:c>
      <x:c r="E2195" s="73" t="n">
        <x:v>1.377</x:v>
      </x:c>
      <x:c r="F2195" s="73" t="n">
        <x:v>1.4281</x:v>
      </x:c>
      <x:c r="G2195" s="74" t="n">
        <x:v>-0.0001</x:v>
      </x:c>
      <x:c r="H2195" s="66" t="str">
        <x:v>祁腾蜂赢1号净值20260911.xlsx</x:v>
      </x:c>
      <x:c r="I2195" s="73" t="str">
        <x:f>""</x:f>
      </x:c>
      <x:c r="J2195" s="74" t="str">
        <x:f>""</x:f>
      </x:c>
      <x:c r="K2195" s="73" t="str">
        <x:f>""</x:f>
      </x:c>
      <x:c r="L2195" s="74" t="str">
        <x:f>""</x:f>
      </x:c>
      <x:c r="M2195" s="73" t="n">
        <x:f>MAX(M2194,F2195)</x:f>
        <x:v>1.4301</x:v>
      </x:c>
      <x:c r="N2195" s="74" t="n">
        <x:f>1-F2195/M2195</x:f>
        <x:v>0.0013985036011467944</x:v>
      </x:c>
    </x:row>
    <x:row r="2196" ht="27" customHeight="1">
      <x:c r="A2196" s="66" t="str">
        <x:v>SEV580</x:v>
      </x:c>
      <x:c r="B2196" s="66" t="str">
        <x:v>祁腾蜂赢1号</x:v>
      </x:c>
      <x:c r="C2196" s="72" t="n">
        <x:v>44188</x:v>
      </x:c>
      <x:c r="D2196" s="73" t="n">
        <x:v>1.0005</x:v>
      </x:c>
      <x:c r="E2196" s="73" t="n">
        <x:v>1.3764</x:v>
      </x:c>
      <x:c r="F2196" s="73" t="n">
        <x:v>1.4272</x:v>
      </x:c>
      <x:c r="G2196" s="74" t="n">
        <x:v>-0.0006</x:v>
      </x:c>
      <x:c r="H2196" s="66" t="str">
        <x:v>祁腾蜂赢1号净值20260911.xlsx</x:v>
      </x:c>
      <x:c r="I2196" s="73" t="str">
        <x:f>""</x:f>
      </x:c>
      <x:c r="J2196" s="74" t="str">
        <x:f>""</x:f>
      </x:c>
      <x:c r="K2196" s="73" t="str">
        <x:f>""</x:f>
      </x:c>
      <x:c r="L2196" s="74" t="str">
        <x:f>""</x:f>
      </x:c>
      <x:c r="M2196" s="73" t="n">
        <x:f>MAX(M2195,F2196)</x:f>
        <x:v>1.4301</x:v>
      </x:c>
      <x:c r="N2196" s="74" t="n">
        <x:f>1-F2196/M2196</x:f>
        <x:v>0.002027830221662752</x:v>
      </x:c>
    </x:row>
    <x:row r="2197" ht="27" customHeight="1">
      <x:c r="A2197" s="66" t="str">
        <x:v>SEV580</x:v>
      </x:c>
      <x:c r="B2197" s="66" t="str">
        <x:v>祁腾蜂赢1号</x:v>
      </x:c>
      <x:c r="C2197" s="72" t="n">
        <x:v>44189</x:v>
      </x:c>
      <x:c r="D2197" s="73" t="n">
        <x:v>1.0005</x:v>
      </x:c>
      <x:c r="E2197" s="73" t="n">
        <x:v>1.3764</x:v>
      </x:c>
      <x:c r="F2197" s="73" t="n">
        <x:v>1.4272</x:v>
      </x:c>
      <x:c r="G2197" s="74" t="n">
        <x:v>0</x:v>
      </x:c>
      <x:c r="H2197" s="66" t="str">
        <x:v>祁腾蜂赢1号净值20260911.xlsx</x:v>
      </x:c>
      <x:c r="I2197" s="73" t="str">
        <x:f>""</x:f>
      </x:c>
      <x:c r="J2197" s="74" t="str">
        <x:f>""</x:f>
      </x:c>
      <x:c r="K2197" s="73" t="str">
        <x:f>""</x:f>
      </x:c>
      <x:c r="L2197" s="74" t="str">
        <x:f>""</x:f>
      </x:c>
      <x:c r="M2197" s="73" t="n">
        <x:f>MAX(M2196,F2197)</x:f>
        <x:v>1.4301</x:v>
      </x:c>
      <x:c r="N2197" s="74" t="n">
        <x:f>1-F2197/M2197</x:f>
        <x:v>0.002027830221662752</x:v>
      </x:c>
    </x:row>
    <x:row r="2198" ht="27" customHeight="1">
      <x:c r="A2198" s="66" t="str">
        <x:v>SEV580</x:v>
      </x:c>
      <x:c r="B2198" s="66" t="str">
        <x:v>祁腾蜂赢1号</x:v>
      </x:c>
      <x:c r="C2198" s="72" t="n">
        <x:v>44190</x:v>
      </x:c>
      <x:c r="D2198" s="73" t="n">
        <x:v>1.0006</x:v>
      </x:c>
      <x:c r="E2198" s="73" t="n">
        <x:v>1.3765</x:v>
      </x:c>
      <x:c r="F2198" s="73" t="n">
        <x:v>1.4273</x:v>
      </x:c>
      <x:c r="G2198" s="74" t="n">
        <x:v>0.0001</x:v>
      </x:c>
      <x:c r="H2198" s="66" t="str">
        <x:v>祁腾蜂赢1号净值20260911.xlsx</x:v>
      </x:c>
      <x:c r="I2198" s="73" t="str">
        <x:f>""</x:f>
      </x:c>
      <x:c r="J2198" s="74" t="str">
        <x:f>""</x:f>
      </x:c>
      <x:c r="K2198" s="73" t="str">
        <x:f>""</x:f>
      </x:c>
      <x:c r="L2198" s="74" t="str">
        <x:f>""</x:f>
      </x:c>
      <x:c r="M2198" s="73" t="n">
        <x:f>MAX(M2197,F2198)</x:f>
        <x:v>1.4301</x:v>
      </x:c>
      <x:c r="N2198" s="74" t="n">
        <x:f>1-F2198/M2198</x:f>
        <x:v>0.0019579050416054233</x:v>
      </x:c>
    </x:row>
    <x:row r="2199" ht="27" customHeight="1">
      <x:c r="A2199" s="66" t="str">
        <x:v>SEV580</x:v>
      </x:c>
      <x:c r="B2199" s="66" t="str">
        <x:v>祁腾蜂赢1号</x:v>
      </x:c>
      <x:c r="C2199" s="72" t="n">
        <x:v>44193</x:v>
      </x:c>
      <x:c r="D2199" s="73" t="n">
        <x:v>0.9988</x:v>
      </x:c>
      <x:c r="E2199" s="73" t="n">
        <x:v>1.3747</x:v>
      </x:c>
      <x:c r="F2199" s="73" t="n">
        <x:v>1.4248</x:v>
      </x:c>
      <x:c r="G2199" s="74" t="n">
        <x:v>-0.0018</x:v>
      </x:c>
      <x:c r="H2199" s="66" t="str">
        <x:v>祁腾蜂赢1号净值20260911.xlsx</x:v>
      </x:c>
      <x:c r="I2199" s="73" t="str">
        <x:f>""</x:f>
      </x:c>
      <x:c r="J2199" s="74" t="str">
        <x:f>""</x:f>
      </x:c>
      <x:c r="K2199" s="73" t="str">
        <x:f>""</x:f>
      </x:c>
      <x:c r="L2199" s="74" t="str">
        <x:f>""</x:f>
      </x:c>
      <x:c r="M2199" s="73" t="n">
        <x:f>MAX(M2198,F2199)</x:f>
        <x:v>1.4301</x:v>
      </x:c>
      <x:c r="N2199" s="74" t="n">
        <x:f>1-F2199/M2199</x:f>
        <x:v>0.003706034543038861</x:v>
      </x:c>
    </x:row>
    <x:row r="2200" ht="27" customHeight="1">
      <x:c r="A2200" s="66" t="str">
        <x:v>SEV580</x:v>
      </x:c>
      <x:c r="B2200" s="66" t="str">
        <x:v>祁腾蜂赢1号</x:v>
      </x:c>
      <x:c r="C2200" s="72" t="n">
        <x:v>44194</x:v>
      </x:c>
      <x:c r="D2200" s="73" t="n">
        <x:v>0.999</x:v>
      </x:c>
      <x:c r="E2200" s="73" t="n">
        <x:v>1.3749</x:v>
      </x:c>
      <x:c r="F2200" s="73" t="n">
        <x:v>1.4251</x:v>
      </x:c>
      <x:c r="G2200" s="74" t="n">
        <x:v>0.0002</x:v>
      </x:c>
      <x:c r="H2200" s="66" t="str">
        <x:v>祁腾蜂赢1号净值20260911.xlsx</x:v>
      </x:c>
      <x:c r="I2200" s="73" t="str">
        <x:f>""</x:f>
      </x:c>
      <x:c r="J2200" s="74" t="str">
        <x:f>""</x:f>
      </x:c>
      <x:c r="K2200" s="73" t="str">
        <x:f>""</x:f>
      </x:c>
      <x:c r="L2200" s="74" t="str">
        <x:f>""</x:f>
      </x:c>
      <x:c r="M2200" s="73" t="n">
        <x:f>MAX(M2199,F2200)</x:f>
        <x:v>1.4301</x:v>
      </x:c>
      <x:c r="N2200" s="74" t="n">
        <x:f>1-F2200/M2200</x:f>
        <x:v>0.003496259002866875</x:v>
      </x:c>
    </x:row>
    <x:row r="2201" ht="27" customHeight="1">
      <x:c r="A2201" s="66" t="str">
        <x:v>SEV580</x:v>
      </x:c>
      <x:c r="B2201" s="66" t="str">
        <x:v>祁腾蜂赢1号</x:v>
      </x:c>
      <x:c r="C2201" s="72" t="n">
        <x:v>44195</x:v>
      </x:c>
      <x:c r="D2201" s="73" t="n">
        <x:v>0.999</x:v>
      </x:c>
      <x:c r="E2201" s="73" t="n">
        <x:v>1.3749</x:v>
      </x:c>
      <x:c r="F2201" s="73" t="n">
        <x:v>1.4251</x:v>
      </x:c>
      <x:c r="G2201" s="74" t="n">
        <x:v>0</x:v>
      </x:c>
      <x:c r="H2201" s="66" t="str">
        <x:v>祁腾蜂赢1号净值20260911.xlsx</x:v>
      </x:c>
      <x:c r="I2201" s="73" t="str">
        <x:f>""</x:f>
      </x:c>
      <x:c r="J2201" s="74" t="str">
        <x:f>""</x:f>
      </x:c>
      <x:c r="K2201" s="73" t="str">
        <x:f>""</x:f>
      </x:c>
      <x:c r="L2201" s="74" t="str">
        <x:f>""</x:f>
      </x:c>
      <x:c r="M2201" s="73" t="n">
        <x:f>MAX(M2200,F2201)</x:f>
        <x:v>1.4301</x:v>
      </x:c>
      <x:c r="N2201" s="74" t="n">
        <x:f>1-F2201/M2201</x:f>
        <x:v>0.003496259002866875</x:v>
      </x:c>
    </x:row>
    <x:row r="2202" ht="27" customHeight="1">
      <x:c r="A2202" s="66" t="str">
        <x:v>SEV580</x:v>
      </x:c>
      <x:c r="B2202" s="66" t="str">
        <x:v>祁腾蜂赢1号</x:v>
      </x:c>
      <x:c r="C2202" s="72" t="n">
        <x:v>44196</x:v>
      </x:c>
      <x:c r="D2202" s="73" t="n">
        <x:v>0.9989</x:v>
      </x:c>
      <x:c r="E2202" s="73" t="n">
        <x:v>1.3748</x:v>
      </x:c>
      <x:c r="F2202" s="73" t="n">
        <x:v>1.4249</x:v>
      </x:c>
      <x:c r="G2202" s="74" t="n">
        <x:v>-0.0001</x:v>
      </x:c>
      <x:c r="H2202" s="66" t="str">
        <x:v>祁腾蜂赢1号净值20260911.xlsx</x:v>
      </x:c>
      <x:c r="I2202" s="73" t="str">
        <x:f>""</x:f>
      </x:c>
      <x:c r="J2202" s="74" t="str">
        <x:f>""</x:f>
      </x:c>
      <x:c r="K2202" s="73" t="str">
        <x:f>""</x:f>
      </x:c>
      <x:c r="L2202" s="74" t="str">
        <x:f>""</x:f>
      </x:c>
      <x:c r="M2202" s="73" t="n">
        <x:f>MAX(M2201,F2202)</x:f>
        <x:v>1.4301</x:v>
      </x:c>
      <x:c r="N2202" s="74" t="n">
        <x:f>1-F2202/M2202</x:f>
        <x:v>0.003636109362981532</x:v>
      </x:c>
    </x:row>
    <x:row r="2203" ht="27" customHeight="1">
      <x:c r="A2203" s="66" t="str">
        <x:v>SEV580</x:v>
      </x:c>
      <x:c r="B2203" s="66" t="str">
        <x:v>祁腾蜂赢1号</x:v>
      </x:c>
      <x:c r="C2203" s="72" t="n">
        <x:v>44200</x:v>
      </x:c>
      <x:c r="D2203" s="73" t="n">
        <x:v>0.999</x:v>
      </x:c>
      <x:c r="E2203" s="73" t="n">
        <x:v>1.3749</x:v>
      </x:c>
      <x:c r="F2203" s="73" t="n">
        <x:v>1.4251</x:v>
      </x:c>
      <x:c r="G2203" s="74" t="n">
        <x:v>0.0001</x:v>
      </x:c>
      <x:c r="H2203" s="66" t="str">
        <x:v>祁腾蜂赢1号净值20260911.xlsx</x:v>
      </x:c>
      <x:c r="I2203" s="73" t="str">
        <x:f>""</x:f>
      </x:c>
      <x:c r="J2203" s="74" t="str">
        <x:f>""</x:f>
      </x:c>
      <x:c r="K2203" s="73" t="str">
        <x:f>""</x:f>
      </x:c>
      <x:c r="L2203" s="74" t="str">
        <x:f>""</x:f>
      </x:c>
      <x:c r="M2203" s="73" t="n">
        <x:f>MAX(M2202,F2203)</x:f>
        <x:v>1.4301</x:v>
      </x:c>
      <x:c r="N2203" s="74" t="n">
        <x:f>1-F2203/M2203</x:f>
        <x:v>0.003496259002866875</x:v>
      </x:c>
    </x:row>
    <x:row r="2204" ht="27" customHeight="1">
      <x:c r="A2204" s="66" t="str">
        <x:v>SEV580</x:v>
      </x:c>
      <x:c r="B2204" s="66" t="str">
        <x:v>祁腾蜂赢1号</x:v>
      </x:c>
      <x:c r="C2204" s="72" t="n">
        <x:v>44201</x:v>
      </x:c>
      <x:c r="D2204" s="73" t="n">
        <x:v>0.9992</x:v>
      </x:c>
      <x:c r="E2204" s="73" t="n">
        <x:v>1.3751</x:v>
      </x:c>
      <x:c r="F2204" s="73" t="n">
        <x:v>1.4253</x:v>
      </x:c>
      <x:c r="G2204" s="74" t="n">
        <x:v>0.0002</x:v>
      </x:c>
      <x:c r="H2204" s="66" t="str">
        <x:v>祁腾蜂赢1号净值20260911.xlsx</x:v>
      </x:c>
      <x:c r="I2204" s="73" t="str">
        <x:f>""</x:f>
      </x:c>
      <x:c r="J2204" s="74" t="str">
        <x:f>""</x:f>
      </x:c>
      <x:c r="K2204" s="73" t="str">
        <x:f>""</x:f>
      </x:c>
      <x:c r="L2204" s="74" t="str">
        <x:f>""</x:f>
      </x:c>
      <x:c r="M2204" s="73" t="n">
        <x:f>MAX(M2203,F2204)</x:f>
        <x:v>1.4301</x:v>
      </x:c>
      <x:c r="N2204" s="74" t="n">
        <x:f>1-F2204/M2204</x:f>
        <x:v>0.0033564086427522177</x:v>
      </x:c>
    </x:row>
    <x:row r="2205" ht="27" customHeight="1">
      <x:c r="A2205" s="66" t="str">
        <x:v>SEV580</x:v>
      </x:c>
      <x:c r="B2205" s="66" t="str">
        <x:v>祁腾蜂赢1号</x:v>
      </x:c>
      <x:c r="C2205" s="72" t="n">
        <x:v>44202</x:v>
      </x:c>
      <x:c r="D2205" s="73" t="n">
        <x:v>0.9998</x:v>
      </x:c>
      <x:c r="E2205" s="73" t="n">
        <x:v>1.3757</x:v>
      </x:c>
      <x:c r="F2205" s="73" t="n">
        <x:v>1.4262</x:v>
      </x:c>
      <x:c r="G2205" s="74" t="n">
        <x:v>0.0006</x:v>
      </x:c>
      <x:c r="H2205" s="66" t="str">
        <x:v>祁腾蜂赢1号净值20260911.xlsx</x:v>
      </x:c>
      <x:c r="I2205" s="73" t="str">
        <x:f>""</x:f>
      </x:c>
      <x:c r="J2205" s="74" t="str">
        <x:f>""</x:f>
      </x:c>
      <x:c r="K2205" s="73" t="str">
        <x:f>""</x:f>
      </x:c>
      <x:c r="L2205" s="74" t="str">
        <x:f>""</x:f>
      </x:c>
      <x:c r="M2205" s="73" t="n">
        <x:f>MAX(M2204,F2205)</x:f>
        <x:v>1.4301</x:v>
      </x:c>
      <x:c r="N2205" s="74" t="n">
        <x:f>1-F2205/M2205</x:f>
        <x:v>0.00272708202223626</x:v>
      </x:c>
    </x:row>
    <x:row r="2206" ht="27" customHeight="1">
      <x:c r="A2206" s="66" t="str">
        <x:v>SEV580</x:v>
      </x:c>
      <x:c r="B2206" s="66" t="str">
        <x:v>祁腾蜂赢1号</x:v>
      </x:c>
      <x:c r="C2206" s="72" t="n">
        <x:v>44203</x:v>
      </x:c>
      <x:c r="D2206" s="73" t="n">
        <x:v>1.0076</x:v>
      </x:c>
      <x:c r="E2206" s="73" t="n">
        <x:v>1.3835</x:v>
      </x:c>
      <x:c r="F2206" s="73" t="n">
        <x:v>1.4373</x:v>
      </x:c>
      <x:c r="G2206" s="74" t="n">
        <x:v>0.0078000000000000005</x:v>
      </x:c>
      <x:c r="H2206" s="66" t="str">
        <x:v>祁腾蜂赢1号净值20260911.xlsx</x:v>
      </x:c>
      <x:c r="I2206" s="73" t="str">
        <x:f>""</x:f>
      </x:c>
      <x:c r="J2206" s="74" t="str">
        <x:f>""</x:f>
      </x:c>
      <x:c r="K2206" s="73" t="str">
        <x:f>""</x:f>
      </x:c>
      <x:c r="L2206" s="74" t="str">
        <x:f>""</x:f>
      </x:c>
      <x:c r="M2206" s="73" t="n">
        <x:f>MAX(M2205,F2206)</x:f>
        <x:v>1.4373</x:v>
      </x:c>
      <x:c r="N2206" s="74" t="n">
        <x:f>1-F2206/M2206</x:f>
        <x:v>0</x:v>
      </x:c>
    </x:row>
    <x:row r="2207" ht="27" customHeight="1">
      <x:c r="A2207" s="66" t="str">
        <x:v>SEV580</x:v>
      </x:c>
      <x:c r="B2207" s="66" t="str">
        <x:v>祁腾蜂赢1号</x:v>
      </x:c>
      <x:c r="C2207" s="72" t="n">
        <x:v>44204</x:v>
      </x:c>
      <x:c r="D2207" s="73" t="n">
        <x:v>1.0091</x:v>
      </x:c>
      <x:c r="E2207" s="73" t="n">
        <x:v>1.385</x:v>
      </x:c>
      <x:c r="F2207" s="73" t="n">
        <x:v>1.4395</x:v>
      </x:c>
      <x:c r="G2207" s="74" t="n">
        <x:v>0.0015</x:v>
      </x:c>
      <x:c r="H2207" s="66" t="str">
        <x:v>祁腾蜂赢1号净值20260911.xlsx</x:v>
      </x:c>
      <x:c r="I2207" s="73" t="str">
        <x:f>""</x:f>
      </x:c>
      <x:c r="J2207" s="74" t="str">
        <x:f>""</x:f>
      </x:c>
      <x:c r="K2207" s="73" t="str">
        <x:f>""</x:f>
      </x:c>
      <x:c r="L2207" s="74" t="str">
        <x:f>""</x:f>
      </x:c>
      <x:c r="M2207" s="73" t="n">
        <x:f>MAX(M2206,F2207)</x:f>
        <x:v>1.4395</x:v>
      </x:c>
      <x:c r="N2207" s="74" t="n">
        <x:f>1-F2207/M2207</x:f>
        <x:v>0</x:v>
      </x:c>
    </x:row>
    <x:row r="2208" ht="27" customHeight="1">
      <x:c r="A2208" s="66" t="str">
        <x:v>SEV580</x:v>
      </x:c>
      <x:c r="B2208" s="66" t="str">
        <x:v>祁腾蜂赢1号</x:v>
      </x:c>
      <x:c r="C2208" s="72" t="n">
        <x:v>44207</x:v>
      </x:c>
      <x:c r="D2208" s="73" t="n">
        <x:v>1.0125</x:v>
      </x:c>
      <x:c r="E2208" s="73" t="n">
        <x:v>1.3884</x:v>
      </x:c>
      <x:c r="F2208" s="73" t="n">
        <x:v>1.4443</x:v>
      </x:c>
      <x:c r="G2208" s="74" t="n">
        <x:v>0.0034000000000000002</x:v>
      </x:c>
      <x:c r="H2208" s="66" t="str">
        <x:v>祁腾蜂赢1号净值20260911.xlsx</x:v>
      </x:c>
      <x:c r="I2208" s="73" t="str">
        <x:f>""</x:f>
      </x:c>
      <x:c r="J2208" s="74" t="str">
        <x:f>""</x:f>
      </x:c>
      <x:c r="K2208" s="73" t="str">
        <x:f>""</x:f>
      </x:c>
      <x:c r="L2208" s="74" t="str">
        <x:f>""</x:f>
      </x:c>
      <x:c r="M2208" s="73" t="n">
        <x:f>MAX(M2207,F2208)</x:f>
        <x:v>1.4443</x:v>
      </x:c>
      <x:c r="N2208" s="74" t="n">
        <x:f>1-F2208/M2208</x:f>
        <x:v>0</x:v>
      </x:c>
    </x:row>
    <x:row r="2209" ht="27" customHeight="1">
      <x:c r="A2209" s="66" t="str">
        <x:v>SEV580</x:v>
      </x:c>
      <x:c r="B2209" s="66" t="str">
        <x:v>祁腾蜂赢1号</x:v>
      </x:c>
      <x:c r="C2209" s="72" t="n">
        <x:v>44208</x:v>
      </x:c>
      <x:c r="D2209" s="73" t="n">
        <x:v>1.0145</x:v>
      </x:c>
      <x:c r="E2209" s="73" t="n">
        <x:v>1.3904</x:v>
      </x:c>
      <x:c r="F2209" s="73" t="n">
        <x:v>1.4472</x:v>
      </x:c>
      <x:c r="G2209" s="74" t="n">
        <x:v>0.002</x:v>
      </x:c>
      <x:c r="H2209" s="66" t="str">
        <x:v>祁腾蜂赢1号净值20260911.xlsx</x:v>
      </x:c>
      <x:c r="I2209" s="73" t="str">
        <x:f>""</x:f>
      </x:c>
      <x:c r="J2209" s="74" t="str">
        <x:f>""</x:f>
      </x:c>
      <x:c r="K2209" s="73" t="str">
        <x:f>""</x:f>
      </x:c>
      <x:c r="L2209" s="74" t="str">
        <x:f>""</x:f>
      </x:c>
      <x:c r="M2209" s="73" t="n">
        <x:f>MAX(M2208,F2209)</x:f>
        <x:v>1.4472</x:v>
      </x:c>
      <x:c r="N2209" s="74" t="n">
        <x:f>1-F2209/M2209</x:f>
        <x:v>0</x:v>
      </x:c>
    </x:row>
    <x:row r="2210" ht="27" customHeight="1">
      <x:c r="A2210" s="66" t="str">
        <x:v>SEV580</x:v>
      </x:c>
      <x:c r="B2210" s="66" t="str">
        <x:v>祁腾蜂赢1号</x:v>
      </x:c>
      <x:c r="C2210" s="72" t="n">
        <x:v>44209</x:v>
      </x:c>
      <x:c r="D2210" s="73" t="n">
        <x:v>1.0162</x:v>
      </x:c>
      <x:c r="E2210" s="73" t="n">
        <x:v>1.3921</x:v>
      </x:c>
      <x:c r="F2210" s="73" t="n">
        <x:v>1.4496</x:v>
      </x:c>
      <x:c r="G2210" s="74" t="n">
        <x:v>0.0017000000000000001</x:v>
      </x:c>
      <x:c r="H2210" s="66" t="str">
        <x:v>祁腾蜂赢1号净值20260911.xlsx</x:v>
      </x:c>
      <x:c r="I2210" s="73" t="str">
        <x:f>""</x:f>
      </x:c>
      <x:c r="J2210" s="74" t="str">
        <x:f>""</x:f>
      </x:c>
      <x:c r="K2210" s="73" t="str">
        <x:f>""</x:f>
      </x:c>
      <x:c r="L2210" s="74" t="str">
        <x:f>""</x:f>
      </x:c>
      <x:c r="M2210" s="73" t="n">
        <x:f>MAX(M2209,F2210)</x:f>
        <x:v>1.4496</x:v>
      </x:c>
      <x:c r="N2210" s="74" t="n">
        <x:f>1-F2210/M2210</x:f>
        <x:v>0</x:v>
      </x:c>
    </x:row>
    <x:row r="2211" ht="27" customHeight="1">
      <x:c r="A2211" s="66" t="str">
        <x:v>SEV580</x:v>
      </x:c>
      <x:c r="B2211" s="66" t="str">
        <x:v>祁腾蜂赢1号</x:v>
      </x:c>
      <x:c r="C2211" s="72" t="n">
        <x:v>44210</x:v>
      </x:c>
      <x:c r="D2211" s="73" t="n">
        <x:v>1.017</x:v>
      </x:c>
      <x:c r="E2211" s="73" t="n">
        <x:v>1.3929</x:v>
      </x:c>
      <x:c r="F2211" s="73" t="n">
        <x:v>1.4507</x:v>
      </x:c>
      <x:c r="G2211" s="74" t="n">
        <x:v>0.0008</x:v>
      </x:c>
      <x:c r="H2211" s="66" t="str">
        <x:v>祁腾蜂赢1号净值20260911.xlsx</x:v>
      </x:c>
      <x:c r="I2211" s="73" t="str">
        <x:f>""</x:f>
      </x:c>
      <x:c r="J2211" s="74" t="str">
        <x:f>""</x:f>
      </x:c>
      <x:c r="K2211" s="73" t="str">
        <x:f>""</x:f>
      </x:c>
      <x:c r="L2211" s="74" t="str">
        <x:f>""</x:f>
      </x:c>
      <x:c r="M2211" s="73" t="n">
        <x:f>MAX(M2210,F2211)</x:f>
        <x:v>1.4507</x:v>
      </x:c>
      <x:c r="N2211" s="74" t="n">
        <x:f>1-F2211/M2211</x:f>
        <x:v>0</x:v>
      </x:c>
    </x:row>
    <x:row r="2212" ht="27" customHeight="1">
      <x:c r="A2212" s="66" t="str">
        <x:v>SEV580</x:v>
      </x:c>
      <x:c r="B2212" s="66" t="str">
        <x:v>祁腾蜂赢1号</x:v>
      </x:c>
      <x:c r="C2212" s="72" t="n">
        <x:v>44211</x:v>
      </x:c>
      <x:c r="D2212" s="73" t="n">
        <x:v>1.0184</x:v>
      </x:c>
      <x:c r="E2212" s="73" t="n">
        <x:v>1.3943</x:v>
      </x:c>
      <x:c r="F2212" s="73" t="n">
        <x:v>1.4527</x:v>
      </x:c>
      <x:c r="G2212" s="74" t="n">
        <x:v>0.0014000000000000002</x:v>
      </x:c>
      <x:c r="H2212" s="66" t="str">
        <x:v>祁腾蜂赢1号净值20260911.xlsx</x:v>
      </x:c>
      <x:c r="I2212" s="73" t="str">
        <x:f>""</x:f>
      </x:c>
      <x:c r="J2212" s="74" t="str">
        <x:f>""</x:f>
      </x:c>
      <x:c r="K2212" s="73" t="str">
        <x:f>""</x:f>
      </x:c>
      <x:c r="L2212" s="74" t="str">
        <x:f>""</x:f>
      </x:c>
      <x:c r="M2212" s="73" t="n">
        <x:f>MAX(M2211,F2212)</x:f>
        <x:v>1.4527</x:v>
      </x:c>
      <x:c r="N2212" s="74" t="n">
        <x:f>1-F2212/M2212</x:f>
        <x:v>0</x:v>
      </x:c>
    </x:row>
    <x:row r="2213" ht="27" customHeight="1">
      <x:c r="A2213" s="66" t="str">
        <x:v>SEV580</x:v>
      </x:c>
      <x:c r="B2213" s="66" t="str">
        <x:v>祁腾蜂赢1号</x:v>
      </x:c>
      <x:c r="C2213" s="72" t="n">
        <x:v>44214</x:v>
      </x:c>
      <x:c r="D2213" s="73" t="n">
        <x:v>1.0194</x:v>
      </x:c>
      <x:c r="E2213" s="73" t="n">
        <x:v>1.3953</x:v>
      </x:c>
      <x:c r="F2213" s="73" t="n">
        <x:v>1.4542</x:v>
      </x:c>
      <x:c r="G2213" s="74" t="n">
        <x:v>0.001</x:v>
      </x:c>
      <x:c r="H2213" s="66" t="str">
        <x:v>祁腾蜂赢1号净值20260911.xlsx</x:v>
      </x:c>
      <x:c r="I2213" s="73" t="str">
        <x:f>""</x:f>
      </x:c>
      <x:c r="J2213" s="74" t="str">
        <x:f>""</x:f>
      </x:c>
      <x:c r="K2213" s="73" t="str">
        <x:f>""</x:f>
      </x:c>
      <x:c r="L2213" s="74" t="str">
        <x:f>""</x:f>
      </x:c>
      <x:c r="M2213" s="73" t="n">
        <x:f>MAX(M2212,F2213)</x:f>
        <x:v>1.4542</x:v>
      </x:c>
      <x:c r="N2213" s="74" t="n">
        <x:f>1-F2213/M2213</x:f>
        <x:v>0</x:v>
      </x:c>
    </x:row>
    <x:row r="2214" ht="27" customHeight="1">
      <x:c r="A2214" s="66" t="str">
        <x:v>SEV580</x:v>
      </x:c>
      <x:c r="B2214" s="66" t="str">
        <x:v>祁腾蜂赢1号</x:v>
      </x:c>
      <x:c r="C2214" s="72" t="n">
        <x:v>44215</x:v>
      </x:c>
      <x:c r="D2214" s="73" t="n">
        <x:v>1.0191</x:v>
      </x:c>
      <x:c r="E2214" s="73" t="n">
        <x:v>1.395</x:v>
      </x:c>
      <x:c r="F2214" s="73" t="n">
        <x:v>1.4537</x:v>
      </x:c>
      <x:c r="G2214" s="74" t="n">
        <x:v>-0.0003</x:v>
      </x:c>
      <x:c r="H2214" s="66" t="str">
        <x:v>祁腾蜂赢1号净值20260911.xlsx</x:v>
      </x:c>
      <x:c r="I2214" s="73" t="str">
        <x:f>""</x:f>
      </x:c>
      <x:c r="J2214" s="74" t="str">
        <x:f>""</x:f>
      </x:c>
      <x:c r="K2214" s="73" t="str">
        <x:f>""</x:f>
      </x:c>
      <x:c r="L2214" s="74" t="str">
        <x:f>""</x:f>
      </x:c>
      <x:c r="M2214" s="73" t="n">
        <x:f>MAX(M2213,F2214)</x:f>
        <x:v>1.4542</x:v>
      </x:c>
      <x:c r="N2214" s="74" t="n">
        <x:f>1-F2214/M2214</x:f>
        <x:v>0.0003438316600191671</x:v>
      </x:c>
    </x:row>
    <x:row r="2215" ht="27" customHeight="1">
      <x:c r="A2215" s="66" t="str">
        <x:v>SEV580</x:v>
      </x:c>
      <x:c r="B2215" s="66" t="str">
        <x:v>祁腾蜂赢1号</x:v>
      </x:c>
      <x:c r="C2215" s="72" t="n">
        <x:v>44216</x:v>
      </x:c>
      <x:c r="D2215" s="73" t="n">
        <x:v>1.0198</x:v>
      </x:c>
      <x:c r="E2215" s="73" t="n">
        <x:v>1.3957</x:v>
      </x:c>
      <x:c r="F2215" s="73" t="n">
        <x:v>1.4547</x:v>
      </x:c>
      <x:c r="G2215" s="74" t="n">
        <x:v>0.0007000000000000001</x:v>
      </x:c>
      <x:c r="H2215" s="66" t="str">
        <x:v>祁腾蜂赢1号净值20260911.xlsx</x:v>
      </x:c>
      <x:c r="I2215" s="73" t="str">
        <x:f>""</x:f>
      </x:c>
      <x:c r="J2215" s="74" t="str">
        <x:f>""</x:f>
      </x:c>
      <x:c r="K2215" s="73" t="str">
        <x:f>""</x:f>
      </x:c>
      <x:c r="L2215" s="74" t="str">
        <x:f>""</x:f>
      </x:c>
      <x:c r="M2215" s="73" t="n">
        <x:f>MAX(M2214,F2215)</x:f>
        <x:v>1.4547</x:v>
      </x:c>
      <x:c r="N2215" s="74" t="n">
        <x:f>1-F2215/M2215</x:f>
        <x:v>0</x:v>
      </x:c>
    </x:row>
    <x:row r="2216" ht="27" customHeight="1">
      <x:c r="A2216" s="66" t="str">
        <x:v>SEV580</x:v>
      </x:c>
      <x:c r="B2216" s="66" t="str">
        <x:v>祁腾蜂赢1号</x:v>
      </x:c>
      <x:c r="C2216" s="72" t="n">
        <x:v>44217</x:v>
      </x:c>
      <x:c r="D2216" s="73" t="n">
        <x:v>1.0196</x:v>
      </x:c>
      <x:c r="E2216" s="73" t="n">
        <x:v>1.3955</x:v>
      </x:c>
      <x:c r="F2216" s="73" t="n">
        <x:v>1.4545</x:v>
      </x:c>
      <x:c r="G2216" s="74" t="n">
        <x:v>-0.0002</x:v>
      </x:c>
      <x:c r="H2216" s="66" t="str">
        <x:v>祁腾蜂赢1号净值20260911.xlsx</x:v>
      </x:c>
      <x:c r="I2216" s="73" t="str">
        <x:f>""</x:f>
      </x:c>
      <x:c r="J2216" s="74" t="str">
        <x:f>""</x:f>
      </x:c>
      <x:c r="K2216" s="73" t="str">
        <x:f>""</x:f>
      </x:c>
      <x:c r="L2216" s="74" t="str">
        <x:f>""</x:f>
      </x:c>
      <x:c r="M2216" s="73" t="n">
        <x:f>MAX(M2215,F2216)</x:f>
        <x:v>1.4547</x:v>
      </x:c>
      <x:c r="N2216" s="74" t="n">
        <x:f>1-F2216/M2216</x:f>
        <x:v>0.00013748539217717237</x:v>
      </x:c>
    </x:row>
    <x:row r="2217" ht="27" customHeight="1">
      <x:c r="A2217" s="66" t="str">
        <x:v>SEV580</x:v>
      </x:c>
      <x:c r="B2217" s="66" t="str">
        <x:v>祁腾蜂赢1号</x:v>
      </x:c>
      <x:c r="C2217" s="72" t="n">
        <x:v>44218</x:v>
      </x:c>
      <x:c r="D2217" s="73" t="n">
        <x:v>1.0197</x:v>
      </x:c>
      <x:c r="E2217" s="73" t="n">
        <x:v>1.3956</x:v>
      </x:c>
      <x:c r="F2217" s="73" t="n">
        <x:v>1.4546</x:v>
      </x:c>
      <x:c r="G2217" s="74" t="n">
        <x:v>0.0001</x:v>
      </x:c>
      <x:c r="H2217" s="66" t="str">
        <x:v>祁腾蜂赢1号净值20260911.xlsx</x:v>
      </x:c>
      <x:c r="I2217" s="73" t="str">
        <x:f>""</x:f>
      </x:c>
      <x:c r="J2217" s="74" t="str">
        <x:f>""</x:f>
      </x:c>
      <x:c r="K2217" s="73" t="str">
        <x:f>""</x:f>
      </x:c>
      <x:c r="L2217" s="74" t="str">
        <x:f>""</x:f>
      </x:c>
      <x:c r="M2217" s="73" t="n">
        <x:f>MAX(M2216,F2217)</x:f>
        <x:v>1.4547</x:v>
      </x:c>
      <x:c r="N2217" s="74" t="n">
        <x:f>1-F2217/M2217</x:f>
        <x:v>0.00006874269608869721</x:v>
      </x:c>
    </x:row>
    <x:row r="2218" ht="27" customHeight="1">
      <x:c r="A2218" s="66" t="str">
        <x:v>SEV580</x:v>
      </x:c>
      <x:c r="B2218" s="66" t="str">
        <x:v>祁腾蜂赢1号</x:v>
      </x:c>
      <x:c r="C2218" s="72" t="n">
        <x:v>44221</x:v>
      </x:c>
      <x:c r="D2218" s="73" t="n">
        <x:v>1.0189</x:v>
      </x:c>
      <x:c r="E2218" s="73" t="n">
        <x:v>1.3948</x:v>
      </x:c>
      <x:c r="F2218" s="73" t="n">
        <x:v>1.4535</x:v>
      </x:c>
      <x:c r="G2218" s="74" t="n">
        <x:v>-0.0008</x:v>
      </x:c>
      <x:c r="H2218" s="66" t="str">
        <x:v>祁腾蜂赢1号净值20260911.xlsx</x:v>
      </x:c>
      <x:c r="I2218" s="73" t="str">
        <x:f>""</x:f>
      </x:c>
      <x:c r="J2218" s="74" t="str">
        <x:f>""</x:f>
      </x:c>
      <x:c r="K2218" s="73" t="str">
        <x:f>""</x:f>
      </x:c>
      <x:c r="L2218" s="74" t="str">
        <x:f>""</x:f>
      </x:c>
      <x:c r="M2218" s="73" t="n">
        <x:f>MAX(M2217,F2218)</x:f>
        <x:v>1.4547</x:v>
      </x:c>
      <x:c r="N2218" s="74" t="n">
        <x:f>1-F2218/M2218</x:f>
        <x:v>0.0008249123530625901</x:v>
      </x:c>
    </x:row>
    <x:row r="2219" ht="27" customHeight="1">
      <x:c r="A2219" s="66" t="str">
        <x:v>SEV580</x:v>
      </x:c>
      <x:c r="B2219" s="66" t="str">
        <x:v>祁腾蜂赢1号</x:v>
      </x:c>
      <x:c r="C2219" s="72" t="n">
        <x:v>44222</x:v>
      </x:c>
      <x:c r="D2219" s="73" t="n">
        <x:v>1.0204</x:v>
      </x:c>
      <x:c r="E2219" s="73" t="n">
        <x:v>1.3963</x:v>
      </x:c>
      <x:c r="F2219" s="73" t="n">
        <x:v>1.4556</x:v>
      </x:c>
      <x:c r="G2219" s="74" t="n">
        <x:v>0.0015</x:v>
      </x:c>
      <x:c r="H2219" s="66" t="str">
        <x:v>祁腾蜂赢1号净值20260911.xlsx</x:v>
      </x:c>
      <x:c r="I2219" s="73" t="str">
        <x:f>""</x:f>
      </x:c>
      <x:c r="J2219" s="74" t="str">
        <x:f>""</x:f>
      </x:c>
      <x:c r="K2219" s="73" t="str">
        <x:f>""</x:f>
      </x:c>
      <x:c r="L2219" s="74" t="str">
        <x:f>""</x:f>
      </x:c>
      <x:c r="M2219" s="73" t="n">
        <x:f>MAX(M2218,F2219)</x:f>
        <x:v>1.4556</x:v>
      </x:c>
      <x:c r="N2219" s="74" t="n">
        <x:f>1-F2219/M2219</x:f>
        <x:v>0</x:v>
      </x:c>
    </x:row>
    <x:row r="2220" ht="27" customHeight="1">
      <x:c r="A2220" s="66" t="str">
        <x:v>SEV580</x:v>
      </x:c>
      <x:c r="B2220" s="66" t="str">
        <x:v>祁腾蜂赢1号</x:v>
      </x:c>
      <x:c r="C2220" s="72" t="n">
        <x:v>44223</x:v>
      </x:c>
      <x:c r="D2220" s="73" t="n">
        <x:v>1.0204</x:v>
      </x:c>
      <x:c r="E2220" s="73" t="n">
        <x:v>1.3963</x:v>
      </x:c>
      <x:c r="F2220" s="73" t="n">
        <x:v>1.4556</x:v>
      </x:c>
      <x:c r="G2220" s="74" t="n">
        <x:v>0</x:v>
      </x:c>
      <x:c r="H2220" s="66" t="str">
        <x:v>祁腾蜂赢1号净值20260911.xlsx</x:v>
      </x:c>
      <x:c r="I2220" s="73" t="str">
        <x:f>""</x:f>
      </x:c>
      <x:c r="J2220" s="74" t="str">
        <x:f>""</x:f>
      </x:c>
      <x:c r="K2220" s="73" t="str">
        <x:f>""</x:f>
      </x:c>
      <x:c r="L2220" s="74" t="str">
        <x:f>""</x:f>
      </x:c>
      <x:c r="M2220" s="73" t="n">
        <x:f>MAX(M2219,F2220)</x:f>
        <x:v>1.4556</x:v>
      </x:c>
      <x:c r="N2220" s="74" t="n">
        <x:f>1-F2220/M2220</x:f>
        <x:v>0</x:v>
      </x:c>
    </x:row>
    <x:row r="2221" ht="27" customHeight="1">
      <x:c r="A2221" s="66" t="str">
        <x:v>SEV580</x:v>
      </x:c>
      <x:c r="B2221" s="66" t="str">
        <x:v>祁腾蜂赢1号</x:v>
      </x:c>
      <x:c r="C2221" s="72" t="n">
        <x:v>44224</x:v>
      </x:c>
      <x:c r="D2221" s="73" t="n">
        <x:v>1.0201</x:v>
      </x:c>
      <x:c r="E2221" s="73" t="n">
        <x:v>1.396</x:v>
      </x:c>
      <x:c r="F2221" s="73" t="n">
        <x:v>1.4552</x:v>
      </x:c>
      <x:c r="G2221" s="74" t="n">
        <x:v>-0.0003</x:v>
      </x:c>
      <x:c r="H2221" s="66" t="str">
        <x:v>祁腾蜂赢1号净值20260911.xlsx</x:v>
      </x:c>
      <x:c r="I2221" s="73" t="str">
        <x:f>""</x:f>
      </x:c>
      <x:c r="J2221" s="74" t="str">
        <x:f>""</x:f>
      </x:c>
      <x:c r="K2221" s="73" t="str">
        <x:f>""</x:f>
      </x:c>
      <x:c r="L2221" s="74" t="str">
        <x:f>""</x:f>
      </x:c>
      <x:c r="M2221" s="73" t="n">
        <x:f>MAX(M2220,F2221)</x:f>
        <x:v>1.4556</x:v>
      </x:c>
      <x:c r="N2221" s="74" t="n">
        <x:f>1-F2221/M2221</x:f>
        <x:v>0.0002748007694420851</x:v>
      </x:c>
    </x:row>
    <x:row r="2222" ht="27" customHeight="1">
      <x:c r="A2222" s="66" t="str">
        <x:v>SEV580</x:v>
      </x:c>
      <x:c r="B2222" s="66" t="str">
        <x:v>祁腾蜂赢1号</x:v>
      </x:c>
      <x:c r="C2222" s="72" t="n">
        <x:v>44225</x:v>
      </x:c>
      <x:c r="D2222" s="73" t="n">
        <x:v>1.0212</x:v>
      </x:c>
      <x:c r="E2222" s="73" t="n">
        <x:v>1.3971</x:v>
      </x:c>
      <x:c r="F2222" s="73" t="n">
        <x:v>1.4567</x:v>
      </x:c>
      <x:c r="G2222" s="74" t="n">
        <x:v>0.0011</x:v>
      </x:c>
      <x:c r="H2222" s="66" t="str">
        <x:v>祁腾蜂赢1号净值20260911.xlsx</x:v>
      </x:c>
      <x:c r="I2222" s="73" t="str">
        <x:f>""</x:f>
      </x:c>
      <x:c r="J2222" s="74" t="str">
        <x:f>""</x:f>
      </x:c>
      <x:c r="K2222" s="73" t="str">
        <x:f>""</x:f>
      </x:c>
      <x:c r="L2222" s="74" t="str">
        <x:f>""</x:f>
      </x:c>
      <x:c r="M2222" s="73" t="n">
        <x:f>MAX(M2221,F2222)</x:f>
        <x:v>1.4567</x:v>
      </x:c>
      <x:c r="N2222" s="74" t="n">
        <x:f>1-F2222/M2222</x:f>
        <x:v>0</x:v>
      </x:c>
    </x:row>
    <x:row r="2223" ht="27" customHeight="1">
      <x:c r="A2223" s="66" t="str">
        <x:v>SEV580</x:v>
      </x:c>
      <x:c r="B2223" s="66" t="str">
        <x:v>祁腾蜂赢1号</x:v>
      </x:c>
      <x:c r="C2223" s="72" t="n">
        <x:v>44228</x:v>
      </x:c>
      <x:c r="D2223" s="73" t="n">
        <x:v>1.0197</x:v>
      </x:c>
      <x:c r="E2223" s="73" t="n">
        <x:v>1.3956</x:v>
      </x:c>
      <x:c r="F2223" s="73" t="n">
        <x:v>1.4546</x:v>
      </x:c>
      <x:c r="G2223" s="74" t="n">
        <x:v>-0.0015</x:v>
      </x:c>
      <x:c r="H2223" s="66" t="str">
        <x:v>祁腾蜂赢1号净值20260911.xlsx</x:v>
      </x:c>
      <x:c r="I2223" s="73" t="str">
        <x:f>""</x:f>
      </x:c>
      <x:c r="J2223" s="74" t="str">
        <x:f>""</x:f>
      </x:c>
      <x:c r="K2223" s="73" t="str">
        <x:f>""</x:f>
      </x:c>
      <x:c r="L2223" s="74" t="str">
        <x:f>""</x:f>
      </x:c>
      <x:c r="M2223" s="73" t="n">
        <x:f>MAX(M2222,F2223)</x:f>
        <x:v>1.4567</x:v>
      </x:c>
      <x:c r="N2223" s="74" t="n">
        <x:f>1-F2223/M2223</x:f>
        <x:v>0.0014416146083615633</x:v>
      </x:c>
    </x:row>
    <x:row r="2224" ht="27" customHeight="1">
      <x:c r="A2224" s="66" t="str">
        <x:v>SEV580</x:v>
      </x:c>
      <x:c r="B2224" s="66" t="str">
        <x:v>祁腾蜂赢1号</x:v>
      </x:c>
      <x:c r="C2224" s="72" t="n">
        <x:v>44229</x:v>
      </x:c>
      <x:c r="D2224" s="73" t="n">
        <x:v>1.0199</x:v>
      </x:c>
      <x:c r="E2224" s="73" t="n">
        <x:v>1.3958</x:v>
      </x:c>
      <x:c r="F2224" s="73" t="n">
        <x:v>1.4549</x:v>
      </x:c>
      <x:c r="G2224" s="74" t="n">
        <x:v>0.0002</x:v>
      </x:c>
      <x:c r="H2224" s="66" t="str">
        <x:v>祁腾蜂赢1号净值20260911.xlsx</x:v>
      </x:c>
      <x:c r="I2224" s="73" t="str">
        <x:f>""</x:f>
      </x:c>
      <x:c r="J2224" s="74" t="str">
        <x:f>""</x:f>
      </x:c>
      <x:c r="K2224" s="73" t="str">
        <x:f>""</x:f>
      </x:c>
      <x:c r="L2224" s="74" t="str">
        <x:f>""</x:f>
      </x:c>
      <x:c r="M2224" s="73" t="n">
        <x:f>MAX(M2223,F2224)</x:f>
        <x:v>1.4567</x:v>
      </x:c>
      <x:c r="N2224" s="74" t="n">
        <x:f>1-F2224/M2224</x:f>
        <x:v>0.0012356696643097687</x:v>
      </x:c>
    </x:row>
    <x:row r="2225" ht="27" customHeight="1">
      <x:c r="A2225" s="66" t="str">
        <x:v>SEV580</x:v>
      </x:c>
      <x:c r="B2225" s="66" t="str">
        <x:v>祁腾蜂赢1号</x:v>
      </x:c>
      <x:c r="C2225" s="72" t="n">
        <x:v>44230</x:v>
      </x:c>
      <x:c r="D2225" s="73" t="n">
        <x:v>1.0196</x:v>
      </x:c>
      <x:c r="E2225" s="73" t="n">
        <x:v>1.3955</x:v>
      </x:c>
      <x:c r="F2225" s="73" t="n">
        <x:v>1.4545</x:v>
      </x:c>
      <x:c r="G2225" s="74" t="n">
        <x:v>-0.0003</x:v>
      </x:c>
      <x:c r="H2225" s="66" t="str">
        <x:v>祁腾蜂赢1号净值20260911.xlsx</x:v>
      </x:c>
      <x:c r="I2225" s="73" t="str">
        <x:f>""</x:f>
      </x:c>
      <x:c r="J2225" s="74" t="str">
        <x:f>""</x:f>
      </x:c>
      <x:c r="K2225" s="73" t="str">
        <x:f>""</x:f>
      </x:c>
      <x:c r="L2225" s="74" t="str">
        <x:f>""</x:f>
      </x:c>
      <x:c r="M2225" s="73" t="n">
        <x:f>MAX(M2224,F2225)</x:f>
        <x:v>1.4567</x:v>
      </x:c>
      <x:c r="N2225" s="74" t="n">
        <x:f>1-F2225/M2225</x:f>
        <x:v>0.0015102629230453468</x:v>
      </x:c>
    </x:row>
    <x:row r="2226" ht="27" customHeight="1">
      <x:c r="A2226" s="66" t="str">
        <x:v>SEV580</x:v>
      </x:c>
      <x:c r="B2226" s="66" t="str">
        <x:v>祁腾蜂赢1号</x:v>
      </x:c>
      <x:c r="C2226" s="72" t="n">
        <x:v>44231</x:v>
      </x:c>
      <x:c r="D2226" s="73" t="n">
        <x:v>1.0209</x:v>
      </x:c>
      <x:c r="E2226" s="73" t="n">
        <x:v>1.3968</x:v>
      </x:c>
      <x:c r="F2226" s="73" t="n">
        <x:v>1.4563</x:v>
      </x:c>
      <x:c r="G2226" s="74" t="n">
        <x:v>0.0013</x:v>
      </x:c>
      <x:c r="H2226" s="66" t="str">
        <x:v>祁腾蜂赢1号净值20260911.xlsx</x:v>
      </x:c>
      <x:c r="I2226" s="73" t="str">
        <x:f>""</x:f>
      </x:c>
      <x:c r="J2226" s="74" t="str">
        <x:f>""</x:f>
      </x:c>
      <x:c r="K2226" s="73" t="str">
        <x:f>""</x:f>
      </x:c>
      <x:c r="L2226" s="74" t="str">
        <x:f>""</x:f>
      </x:c>
      <x:c r="M2226" s="73" t="n">
        <x:f>MAX(M2225,F2226)</x:f>
        <x:v>1.4567</x:v>
      </x:c>
      <x:c r="N2226" s="74" t="n">
        <x:f>1-F2226/M2226</x:f>
        <x:v>0.00027459325873557816</x:v>
      </x:c>
    </x:row>
    <x:row r="2227" ht="27" customHeight="1">
      <x:c r="A2227" s="66" t="str">
        <x:v>SEV580</x:v>
      </x:c>
      <x:c r="B2227" s="66" t="str">
        <x:v>祁腾蜂赢1号</x:v>
      </x:c>
      <x:c r="C2227" s="72" t="n">
        <x:v>44232</x:v>
      </x:c>
      <x:c r="D2227" s="73" t="n">
        <x:v>1.0214</x:v>
      </x:c>
      <x:c r="E2227" s="73" t="n">
        <x:v>1.3973</x:v>
      </x:c>
      <x:c r="F2227" s="73" t="n">
        <x:v>1.457</x:v>
      </x:c>
      <x:c r="G2227" s="74" t="n">
        <x:v>0.0005</x:v>
      </x:c>
      <x:c r="H2227" s="66" t="str">
        <x:v>祁腾蜂赢1号净值20260911.xlsx</x:v>
      </x:c>
      <x:c r="I2227" s="73" t="str">
        <x:f>""</x:f>
      </x:c>
      <x:c r="J2227" s="74" t="str">
        <x:f>""</x:f>
      </x:c>
      <x:c r="K2227" s="73" t="str">
        <x:f>""</x:f>
      </x:c>
      <x:c r="L2227" s="74" t="str">
        <x:f>""</x:f>
      </x:c>
      <x:c r="M2227" s="73" t="n">
        <x:f>MAX(M2226,F2227)</x:f>
        <x:v>1.457</x:v>
      </x:c>
      <x:c r="N2227" s="74" t="n">
        <x:f>1-F2227/M2227</x:f>
        <x:v>0</x:v>
      </x:c>
    </x:row>
    <x:row r="2228" ht="27" customHeight="1">
      <x:c r="A2228" s="66" t="str">
        <x:v>SEV580</x:v>
      </x:c>
      <x:c r="B2228" s="66" t="str">
        <x:v>祁腾蜂赢1号</x:v>
      </x:c>
      <x:c r="C2228" s="72" t="n">
        <x:v>44235</x:v>
      </x:c>
      <x:c r="D2228" s="73" t="n">
        <x:v>1.0235</x:v>
      </x:c>
      <x:c r="E2228" s="73" t="n">
        <x:v>1.3994</x:v>
      </x:c>
      <x:c r="F2228" s="73" t="n">
        <x:v>1.46</x:v>
      </x:c>
      <x:c r="G2228" s="74" t="n">
        <x:v>0.0021</x:v>
      </x:c>
      <x:c r="H2228" s="66" t="str">
        <x:v>祁腾蜂赢1号净值20260911.xlsx</x:v>
      </x:c>
      <x:c r="I2228" s="73" t="str">
        <x:f>""</x:f>
      </x:c>
      <x:c r="J2228" s="74" t="str">
        <x:f>""</x:f>
      </x:c>
      <x:c r="K2228" s="73" t="str">
        <x:f>""</x:f>
      </x:c>
      <x:c r="L2228" s="74" t="str">
        <x:f>""</x:f>
      </x:c>
      <x:c r="M2228" s="73" t="n">
        <x:f>MAX(M2227,F2228)</x:f>
        <x:v>1.46</x:v>
      </x:c>
      <x:c r="N2228" s="74" t="n">
        <x:f>1-F2228/M2228</x:f>
        <x:v>0</x:v>
      </x:c>
    </x:row>
    <x:row r="2229" ht="27" customHeight="1">
      <x:c r="A2229" s="66" t="str">
        <x:v>SEV580</x:v>
      </x:c>
      <x:c r="B2229" s="66" t="str">
        <x:v>祁腾蜂赢1号</x:v>
      </x:c>
      <x:c r="C2229" s="72" t="n">
        <x:v>44236</x:v>
      </x:c>
      <x:c r="D2229" s="73" t="n">
        <x:v>1.0236</x:v>
      </x:c>
      <x:c r="E2229" s="73" t="n">
        <x:v>1.3995</x:v>
      </x:c>
      <x:c r="F2229" s="73" t="n">
        <x:v>1.4602</x:v>
      </x:c>
      <x:c r="G2229" s="74" t="n">
        <x:v>0.0001</x:v>
      </x:c>
      <x:c r="H2229" s="66" t="str">
        <x:v>祁腾蜂赢1号净值20260911.xlsx</x:v>
      </x:c>
      <x:c r="I2229" s="73" t="str">
        <x:f>""</x:f>
      </x:c>
      <x:c r="J2229" s="74" t="str">
        <x:f>""</x:f>
      </x:c>
      <x:c r="K2229" s="73" t="str">
        <x:f>""</x:f>
      </x:c>
      <x:c r="L2229" s="74" t="str">
        <x:f>""</x:f>
      </x:c>
      <x:c r="M2229" s="73" t="n">
        <x:f>MAX(M2228,F2229)</x:f>
        <x:v>1.4602</x:v>
      </x:c>
      <x:c r="N2229" s="74" t="n">
        <x:f>1-F2229/M2229</x:f>
        <x:v>0</x:v>
      </x:c>
    </x:row>
    <x:row r="2230" ht="27" customHeight="1">
      <x:c r="A2230" s="66" t="str">
        <x:v>SEV580</x:v>
      </x:c>
      <x:c r="B2230" s="66" t="str">
        <x:v>祁腾蜂赢1号</x:v>
      </x:c>
      <x:c r="C2230" s="72" t="n">
        <x:v>44237</x:v>
      </x:c>
      <x:c r="D2230" s="73" t="n">
        <x:v>1.0231</x:v>
      </x:c>
      <x:c r="E2230" s="73" t="n">
        <x:v>1.399</x:v>
      </x:c>
      <x:c r="F2230" s="73" t="n">
        <x:v>1.4594</x:v>
      </x:c>
      <x:c r="G2230" s="74" t="n">
        <x:v>-0.0005</x:v>
      </x:c>
      <x:c r="H2230" s="66" t="str">
        <x:v>祁腾蜂赢1号净值20260911.xlsx</x:v>
      </x:c>
      <x:c r="I2230" s="73" t="str">
        <x:f>""</x:f>
      </x:c>
      <x:c r="J2230" s="74" t="str">
        <x:f>""</x:f>
      </x:c>
      <x:c r="K2230" s="73" t="str">
        <x:f>""</x:f>
      </x:c>
      <x:c r="L2230" s="74" t="str">
        <x:f>""</x:f>
      </x:c>
      <x:c r="M2230" s="73" t="n">
        <x:f>MAX(M2229,F2230)</x:f>
        <x:v>1.4602</x:v>
      </x:c>
      <x:c r="N2230" s="74" t="n">
        <x:f>1-F2230/M2230</x:f>
        <x:v>0.0005478701547733111</x:v>
      </x:c>
    </x:row>
    <x:row r="2231" ht="27" customHeight="1">
      <x:c r="A2231" s="66" t="str">
        <x:v>SEV580</x:v>
      </x:c>
      <x:c r="B2231" s="66" t="str">
        <x:v>祁腾蜂赢1号</x:v>
      </x:c>
      <x:c r="C2231" s="72" t="n">
        <x:v>44245</x:v>
      </x:c>
      <x:c r="D2231" s="73" t="n">
        <x:v>1.0246</x:v>
      </x:c>
      <x:c r="E2231" s="73" t="n">
        <x:v>1.4005</x:v>
      </x:c>
      <x:c r="F2231" s="73" t="n">
        <x:v>1.4616</x:v>
      </x:c>
      <x:c r="G2231" s="74" t="n">
        <x:v>0.0015</x:v>
      </x:c>
      <x:c r="H2231" s="66" t="str">
        <x:v>祁腾蜂赢1号净值20260911.xlsx</x:v>
      </x:c>
      <x:c r="I2231" s="73" t="str">
        <x:f>""</x:f>
      </x:c>
      <x:c r="J2231" s="74" t="str">
        <x:f>""</x:f>
      </x:c>
      <x:c r="K2231" s="73" t="str">
        <x:f>""</x:f>
      </x:c>
      <x:c r="L2231" s="74" t="str">
        <x:f>""</x:f>
      </x:c>
      <x:c r="M2231" s="73" t="n">
        <x:f>MAX(M2230,F2231)</x:f>
        <x:v>1.4616</x:v>
      </x:c>
      <x:c r="N2231" s="74" t="n">
        <x:f>1-F2231/M2231</x:f>
        <x:v>0</x:v>
      </x:c>
    </x:row>
    <x:row r="2232" ht="27" customHeight="1">
      <x:c r="A2232" s="66" t="str">
        <x:v>SEV580</x:v>
      </x:c>
      <x:c r="B2232" s="66" t="str">
        <x:v>祁腾蜂赢1号</x:v>
      </x:c>
      <x:c r="C2232" s="72" t="n">
        <x:v>44246</x:v>
      </x:c>
      <x:c r="D2232" s="73" t="n">
        <x:v>1.0249</x:v>
      </x:c>
      <x:c r="E2232" s="73" t="n">
        <x:v>1.4008</x:v>
      </x:c>
      <x:c r="F2232" s="73" t="n">
        <x:v>1.462</x:v>
      </x:c>
      <x:c r="G2232" s="74" t="n">
        <x:v>0.0003</x:v>
      </x:c>
      <x:c r="H2232" s="66" t="str">
        <x:v>祁腾蜂赢1号净值20260911.xlsx</x:v>
      </x:c>
      <x:c r="I2232" s="73" t="str">
        <x:f>""</x:f>
      </x:c>
      <x:c r="J2232" s="74" t="str">
        <x:f>""</x:f>
      </x:c>
      <x:c r="K2232" s="73" t="str">
        <x:f>""</x:f>
      </x:c>
      <x:c r="L2232" s="74" t="str">
        <x:f>""</x:f>
      </x:c>
      <x:c r="M2232" s="73" t="n">
        <x:f>MAX(M2231,F2232)</x:f>
        <x:v>1.462</x:v>
      </x:c>
      <x:c r="N2232" s="74" t="n">
        <x:f>1-F2232/M2232</x:f>
        <x:v>0</x:v>
      </x:c>
    </x:row>
    <x:row r="2233" ht="27" customHeight="1">
      <x:c r="A2233" s="66" t="str">
        <x:v>SEV580</x:v>
      </x:c>
      <x:c r="B2233" s="66" t="str">
        <x:v>祁腾蜂赢1号</x:v>
      </x:c>
      <x:c r="C2233" s="72" t="n">
        <x:v>44249</x:v>
      </x:c>
      <x:c r="D2233" s="73" t="n">
        <x:v>1.025</x:v>
      </x:c>
      <x:c r="E2233" s="73" t="n">
        <x:v>1.4009</x:v>
      </x:c>
      <x:c r="F2233" s="73" t="n">
        <x:v>1.4622</x:v>
      </x:c>
      <x:c r="G2233" s="74" t="n">
        <x:v>0.0001</x:v>
      </x:c>
      <x:c r="H2233" s="66" t="str">
        <x:v>祁腾蜂赢1号净值20260911.xlsx</x:v>
      </x:c>
      <x:c r="I2233" s="73" t="str">
        <x:f>""</x:f>
      </x:c>
      <x:c r="J2233" s="74" t="str">
        <x:f>""</x:f>
      </x:c>
      <x:c r="K2233" s="73" t="str">
        <x:f>""</x:f>
      </x:c>
      <x:c r="L2233" s="74" t="str">
        <x:f>""</x:f>
      </x:c>
      <x:c r="M2233" s="73" t="n">
        <x:f>MAX(M2232,F2233)</x:f>
        <x:v>1.4622</x:v>
      </x:c>
      <x:c r="N2233" s="74" t="n">
        <x:f>1-F2233/M2233</x:f>
        <x:v>0</x:v>
      </x:c>
    </x:row>
    <x:row r="2234" ht="27" customHeight="1">
      <x:c r="A2234" s="66" t="str">
        <x:v>SEV580</x:v>
      </x:c>
      <x:c r="B2234" s="66" t="str">
        <x:v>祁腾蜂赢1号</x:v>
      </x:c>
      <x:c r="C2234" s="72" t="n">
        <x:v>44250</x:v>
      </x:c>
      <x:c r="D2234" s="73" t="n">
        <x:v>1.0275</x:v>
      </x:c>
      <x:c r="E2234" s="73" t="n">
        <x:v>1.4034</x:v>
      </x:c>
      <x:c r="F2234" s="73" t="n">
        <x:v>1.4657</x:v>
      </x:c>
      <x:c r="G2234" s="74" t="n">
        <x:v>0.0024</x:v>
      </x:c>
      <x:c r="H2234" s="66" t="str">
        <x:v>祁腾蜂赢1号净值20260911.xlsx</x:v>
      </x:c>
      <x:c r="I2234" s="73" t="str">
        <x:f>""</x:f>
      </x:c>
      <x:c r="J2234" s="74" t="str">
        <x:f>""</x:f>
      </x:c>
      <x:c r="K2234" s="73" t="str">
        <x:f>""</x:f>
      </x:c>
      <x:c r="L2234" s="74" t="str">
        <x:f>""</x:f>
      </x:c>
      <x:c r="M2234" s="73" t="n">
        <x:f>MAX(M2233,F2234)</x:f>
        <x:v>1.4657</x:v>
      </x:c>
      <x:c r="N2234" s="74" t="n">
        <x:f>1-F2234/M2234</x:f>
        <x:v>0</x:v>
      </x:c>
    </x:row>
    <x:row r="2235" ht="27" customHeight="1">
      <x:c r="A2235" s="66" t="str">
        <x:v>SEV580</x:v>
      </x:c>
      <x:c r="B2235" s="66" t="str">
        <x:v>祁腾蜂赢1号</x:v>
      </x:c>
      <x:c r="C2235" s="72" t="n">
        <x:v>44251</x:v>
      </x:c>
      <x:c r="D2235" s="73" t="n">
        <x:v>1.0279</x:v>
      </x:c>
      <x:c r="E2235" s="73" t="n">
        <x:v>1.4038</x:v>
      </x:c>
      <x:c r="F2235" s="73" t="n">
        <x:v>1.4663</x:v>
      </x:c>
      <x:c r="G2235" s="74" t="n">
        <x:v>0.0004</x:v>
      </x:c>
      <x:c r="H2235" s="66" t="str">
        <x:v>祁腾蜂赢1号净值20260911.xlsx</x:v>
      </x:c>
      <x:c r="I2235" s="73" t="str">
        <x:f>""</x:f>
      </x:c>
      <x:c r="J2235" s="74" t="str">
        <x:f>""</x:f>
      </x:c>
      <x:c r="K2235" s="73" t="str">
        <x:f>""</x:f>
      </x:c>
      <x:c r="L2235" s="74" t="str">
        <x:f>""</x:f>
      </x:c>
      <x:c r="M2235" s="73" t="n">
        <x:f>MAX(M2234,F2235)</x:f>
        <x:v>1.4663</x:v>
      </x:c>
      <x:c r="N2235" s="74" t="n">
        <x:f>1-F2235/M2235</x:f>
        <x:v>0</x:v>
      </x:c>
    </x:row>
    <x:row r="2236" ht="27" customHeight="1">
      <x:c r="A2236" s="66" t="str">
        <x:v>SEV580</x:v>
      </x:c>
      <x:c r="B2236" s="66" t="str">
        <x:v>祁腾蜂赢1号</x:v>
      </x:c>
      <x:c r="C2236" s="72" t="n">
        <x:v>44252</x:v>
      </x:c>
      <x:c r="D2236" s="73" t="n">
        <x:v>1.0303</x:v>
      </x:c>
      <x:c r="E2236" s="73" t="n">
        <x:v>1.4062</x:v>
      </x:c>
      <x:c r="F2236" s="73" t="n">
        <x:v>1.4697</x:v>
      </x:c>
      <x:c r="G2236" s="74" t="n">
        <x:v>0.0023</x:v>
      </x:c>
      <x:c r="H2236" s="66" t="str">
        <x:v>祁腾蜂赢1号净值20260911.xlsx</x:v>
      </x:c>
      <x:c r="I2236" s="73" t="str">
        <x:f>""</x:f>
      </x:c>
      <x:c r="J2236" s="74" t="str">
        <x:f>""</x:f>
      </x:c>
      <x:c r="K2236" s="73" t="str">
        <x:f>""</x:f>
      </x:c>
      <x:c r="L2236" s="74" t="str">
        <x:f>""</x:f>
      </x:c>
      <x:c r="M2236" s="73" t="n">
        <x:f>MAX(M2235,F2236)</x:f>
        <x:v>1.4697</x:v>
      </x:c>
      <x:c r="N2236" s="74" t="n">
        <x:f>1-F2236/M2236</x:f>
        <x:v>0</x:v>
      </x:c>
    </x:row>
    <x:row r="2237" ht="27" customHeight="1">
      <x:c r="A2237" s="66" t="str">
        <x:v>SEV580</x:v>
      </x:c>
      <x:c r="B2237" s="66" t="str">
        <x:v>祁腾蜂赢1号</x:v>
      </x:c>
      <x:c r="C2237" s="72" t="n">
        <x:v>44253</x:v>
      </x:c>
      <x:c r="D2237" s="73" t="n">
        <x:v>1.0329</x:v>
      </x:c>
      <x:c r="E2237" s="73" t="n">
        <x:v>1.4088</x:v>
      </x:c>
      <x:c r="F2237" s="73" t="n">
        <x:v>1.4734</x:v>
      </x:c>
      <x:c r="G2237" s="74" t="n">
        <x:v>0.0025</x:v>
      </x:c>
      <x:c r="H2237" s="66" t="str">
        <x:v>祁腾蜂赢1号净值20260911.xlsx</x:v>
      </x:c>
      <x:c r="I2237" s="73" t="str">
        <x:f>""</x:f>
      </x:c>
      <x:c r="J2237" s="74" t="str">
        <x:f>""</x:f>
      </x:c>
      <x:c r="K2237" s="73" t="str">
        <x:f>""</x:f>
      </x:c>
      <x:c r="L2237" s="74" t="str">
        <x:f>""</x:f>
      </x:c>
      <x:c r="M2237" s="73" t="n">
        <x:f>MAX(M2236,F2237)</x:f>
        <x:v>1.4734</x:v>
      </x:c>
      <x:c r="N2237" s="74" t="n">
        <x:f>1-F2237/M2237</x:f>
        <x:v>0</x:v>
      </x:c>
    </x:row>
    <x:row r="2238" ht="27" customHeight="1">
      <x:c r="A2238" s="66" t="str">
        <x:v>SEV580</x:v>
      </x:c>
      <x:c r="B2238" s="66" t="str">
        <x:v>祁腾蜂赢1号</x:v>
      </x:c>
      <x:c r="C2238" s="72" t="n">
        <x:v>44256</x:v>
      </x:c>
      <x:c r="D2238" s="73" t="n">
        <x:v>1.0314</x:v>
      </x:c>
      <x:c r="E2238" s="73" t="n">
        <x:v>1.4073</x:v>
      </x:c>
      <x:c r="F2238" s="73" t="n">
        <x:v>1.4713</x:v>
      </x:c>
      <x:c r="G2238" s="74" t="n">
        <x:v>-0.0015</x:v>
      </x:c>
      <x:c r="H2238" s="66" t="str">
        <x:v>祁腾蜂赢1号净值20260911.xlsx</x:v>
      </x:c>
      <x:c r="I2238" s="73" t="str">
        <x:f>""</x:f>
      </x:c>
      <x:c r="J2238" s="74" t="str">
        <x:f>""</x:f>
      </x:c>
      <x:c r="K2238" s="73" t="str">
        <x:f>""</x:f>
      </x:c>
      <x:c r="L2238" s="74" t="str">
        <x:f>""</x:f>
      </x:c>
      <x:c r="M2238" s="73" t="n">
        <x:f>MAX(M2237,F2238)</x:f>
        <x:v>1.4734</x:v>
      </x:c>
      <x:c r="N2238" s="74" t="n">
        <x:f>1-F2238/M2238</x:f>
        <x:v>0.0014252748744401078</x:v>
      </x:c>
    </x:row>
    <x:row r="2239" ht="27" customHeight="1">
      <x:c r="A2239" s="66" t="str">
        <x:v>SEV580</x:v>
      </x:c>
      <x:c r="B2239" s="66" t="str">
        <x:v>祁腾蜂赢1号</x:v>
      </x:c>
      <x:c r="C2239" s="72" t="n">
        <x:v>44257</x:v>
      </x:c>
      <x:c r="D2239" s="73" t="n">
        <x:v>1.0345</x:v>
      </x:c>
      <x:c r="E2239" s="73" t="n">
        <x:v>1.4104</x:v>
      </x:c>
      <x:c r="F2239" s="73" t="n">
        <x:v>1.4757</x:v>
      </x:c>
      <x:c r="G2239" s="74" t="n">
        <x:v>0.003</x:v>
      </x:c>
      <x:c r="H2239" s="66" t="str">
        <x:v>祁腾蜂赢1号净值20260911.xlsx</x:v>
      </x:c>
      <x:c r="I2239" s="73" t="str">
        <x:f>""</x:f>
      </x:c>
      <x:c r="J2239" s="74" t="str">
        <x:f>""</x:f>
      </x:c>
      <x:c r="K2239" s="73" t="str">
        <x:f>""</x:f>
      </x:c>
      <x:c r="L2239" s="74" t="str">
        <x:f>""</x:f>
      </x:c>
      <x:c r="M2239" s="73" t="n">
        <x:f>MAX(M2238,F2239)</x:f>
        <x:v>1.4757</x:v>
      </x:c>
      <x:c r="N2239" s="74" t="n">
        <x:f>1-F2239/M2239</x:f>
        <x:v>0</x:v>
      </x:c>
    </x:row>
    <x:row r="2240" ht="27" customHeight="1">
      <x:c r="A2240" s="66" t="str">
        <x:v>SEV580</x:v>
      </x:c>
      <x:c r="B2240" s="66" t="str">
        <x:v>祁腾蜂赢1号</x:v>
      </x:c>
      <x:c r="C2240" s="72" t="n">
        <x:v>44258</x:v>
      </x:c>
      <x:c r="D2240" s="73" t="n">
        <x:v>1.0358</x:v>
      </x:c>
      <x:c r="E2240" s="73" t="n">
        <x:v>1.4117</x:v>
      </x:c>
      <x:c r="F2240" s="73" t="n">
        <x:v>1.4776</x:v>
      </x:c>
      <x:c r="G2240" s="74" t="n">
        <x:v>0.0013</x:v>
      </x:c>
      <x:c r="H2240" s="66" t="str">
        <x:v>祁腾蜂赢1号净值20260911.xlsx</x:v>
      </x:c>
      <x:c r="I2240" s="73" t="str">
        <x:f>""</x:f>
      </x:c>
      <x:c r="J2240" s="74" t="str">
        <x:f>""</x:f>
      </x:c>
      <x:c r="K2240" s="73" t="str">
        <x:f>""</x:f>
      </x:c>
      <x:c r="L2240" s="74" t="str">
        <x:f>""</x:f>
      </x:c>
      <x:c r="M2240" s="73" t="n">
        <x:f>MAX(M2239,F2240)</x:f>
        <x:v>1.4776</x:v>
      </x:c>
      <x:c r="N2240" s="74" t="n">
        <x:f>1-F2240/M2240</x:f>
        <x:v>0</x:v>
      </x:c>
    </x:row>
    <x:row r="2241" ht="27" customHeight="1">
      <x:c r="A2241" s="66" t="str">
        <x:v>SEV580</x:v>
      </x:c>
      <x:c r="B2241" s="66" t="str">
        <x:v>祁腾蜂赢1号</x:v>
      </x:c>
      <x:c r="C2241" s="72" t="n">
        <x:v>44259</x:v>
      </x:c>
      <x:c r="D2241" s="73" t="n">
        <x:v>1.0367</x:v>
      </x:c>
      <x:c r="E2241" s="73" t="n">
        <x:v>1.4126</x:v>
      </x:c>
      <x:c r="F2241" s="73" t="n">
        <x:v>1.4788</x:v>
      </x:c>
      <x:c r="G2241" s="74" t="n">
        <x:v>0.0009</x:v>
      </x:c>
      <x:c r="H2241" s="66" t="str">
        <x:v>祁腾蜂赢1号净值20260911.xlsx</x:v>
      </x:c>
      <x:c r="I2241" s="73" t="str">
        <x:f>""</x:f>
      </x:c>
      <x:c r="J2241" s="74" t="str">
        <x:f>""</x:f>
      </x:c>
      <x:c r="K2241" s="73" t="str">
        <x:f>""</x:f>
      </x:c>
      <x:c r="L2241" s="74" t="str">
        <x:f>""</x:f>
      </x:c>
      <x:c r="M2241" s="73" t="n">
        <x:f>MAX(M2240,F2241)</x:f>
        <x:v>1.4788</x:v>
      </x:c>
      <x:c r="N2241" s="74" t="n">
        <x:f>1-F2241/M2241</x:f>
        <x:v>0</x:v>
      </x:c>
    </x:row>
    <x:row r="2242" ht="27" customHeight="1">
      <x:c r="A2242" s="66" t="str">
        <x:v>SEV580</x:v>
      </x:c>
      <x:c r="B2242" s="66" t="str">
        <x:v>祁腾蜂赢1号</x:v>
      </x:c>
      <x:c r="C2242" s="72" t="n">
        <x:v>44260</x:v>
      </x:c>
      <x:c r="D2242" s="73" t="n">
        <x:v>1.0371</x:v>
      </x:c>
      <x:c r="E2242" s="73" t="n">
        <x:v>1.413</x:v>
      </x:c>
      <x:c r="F2242" s="73" t="n">
        <x:v>1.4794</x:v>
      </x:c>
      <x:c r="G2242" s="74" t="n">
        <x:v>0.0004</x:v>
      </x:c>
      <x:c r="H2242" s="66" t="str">
        <x:v>祁腾蜂赢1号净值20260911.xlsx</x:v>
      </x:c>
      <x:c r="I2242" s="73" t="str">
        <x:f>""</x:f>
      </x:c>
      <x:c r="J2242" s="74" t="str">
        <x:f>""</x:f>
      </x:c>
      <x:c r="K2242" s="73" t="str">
        <x:f>""</x:f>
      </x:c>
      <x:c r="L2242" s="74" t="str">
        <x:f>""</x:f>
      </x:c>
      <x:c r="M2242" s="73" t="n">
        <x:f>MAX(M2241,F2242)</x:f>
        <x:v>1.4794</x:v>
      </x:c>
      <x:c r="N2242" s="74" t="n">
        <x:f>1-F2242/M2242</x:f>
        <x:v>0</x:v>
      </x:c>
    </x:row>
    <x:row r="2243" ht="27" customHeight="1">
      <x:c r="A2243" s="66" t="str">
        <x:v>SEV580</x:v>
      </x:c>
      <x:c r="B2243" s="66" t="str">
        <x:v>祁腾蜂赢1号</x:v>
      </x:c>
      <x:c r="C2243" s="72" t="n">
        <x:v>44263</x:v>
      </x:c>
      <x:c r="D2243" s="73" t="n">
        <x:v>1.04</x:v>
      </x:c>
      <x:c r="E2243" s="73" t="n">
        <x:v>1.4159</x:v>
      </x:c>
      <x:c r="F2243" s="73" t="n">
        <x:v>1.4836</x:v>
      </x:c>
      <x:c r="G2243" s="74" t="n">
        <x:v>0.0028000000000000004</x:v>
      </x:c>
      <x:c r="H2243" s="66" t="str">
        <x:v>祁腾蜂赢1号净值20260911.xlsx</x:v>
      </x:c>
      <x:c r="I2243" s="73" t="str">
        <x:f>""</x:f>
      </x:c>
      <x:c r="J2243" s="74" t="str">
        <x:f>""</x:f>
      </x:c>
      <x:c r="K2243" s="73" t="str">
        <x:f>""</x:f>
      </x:c>
      <x:c r="L2243" s="74" t="str">
        <x:f>""</x:f>
      </x:c>
      <x:c r="M2243" s="73" t="n">
        <x:f>MAX(M2242,F2243)</x:f>
        <x:v>1.4836</x:v>
      </x:c>
      <x:c r="N2243" s="74" t="n">
        <x:f>1-F2243/M2243</x:f>
        <x:v>0</x:v>
      </x:c>
    </x:row>
    <x:row r="2244" ht="27" customHeight="1">
      <x:c r="A2244" s="66" t="str">
        <x:v>SEV580</x:v>
      </x:c>
      <x:c r="B2244" s="66" t="str">
        <x:v>祁腾蜂赢1号</x:v>
      </x:c>
      <x:c r="C2244" s="72" t="n">
        <x:v>44264</x:v>
      </x:c>
      <x:c r="D2244" s="73" t="n">
        <x:v>1.0422</x:v>
      </x:c>
      <x:c r="E2244" s="73" t="n">
        <x:v>1.4181</x:v>
      </x:c>
      <x:c r="F2244" s="73" t="n">
        <x:v>1.4867</x:v>
      </x:c>
      <x:c r="G2244" s="74" t="n">
        <x:v>0.0021</x:v>
      </x:c>
      <x:c r="H2244" s="66" t="str">
        <x:v>祁腾蜂赢1号净值20260911.xlsx</x:v>
      </x:c>
      <x:c r="I2244" s="73" t="str">
        <x:f>""</x:f>
      </x:c>
      <x:c r="J2244" s="74" t="str">
        <x:f>""</x:f>
      </x:c>
      <x:c r="K2244" s="73" t="str">
        <x:f>""</x:f>
      </x:c>
      <x:c r="L2244" s="74" t="str">
        <x:f>""</x:f>
      </x:c>
      <x:c r="M2244" s="73" t="n">
        <x:f>MAX(M2243,F2244)</x:f>
        <x:v>1.4867</x:v>
      </x:c>
      <x:c r="N2244" s="74" t="n">
        <x:f>1-F2244/M2244</x:f>
        <x:v>0</x:v>
      </x:c>
    </x:row>
    <x:row r="2245" ht="27" customHeight="1">
      <x:c r="A2245" s="66" t="str">
        <x:v>SEV580</x:v>
      </x:c>
      <x:c r="B2245" s="66" t="str">
        <x:v>祁腾蜂赢1号</x:v>
      </x:c>
      <x:c r="C2245" s="72" t="n">
        <x:v>44265</x:v>
      </x:c>
      <x:c r="D2245" s="73" t="n">
        <x:v>1.0417</x:v>
      </x:c>
      <x:c r="E2245" s="73" t="n">
        <x:v>1.4176</x:v>
      </x:c>
      <x:c r="F2245" s="73" t="n">
        <x:v>1.486</x:v>
      </x:c>
      <x:c r="G2245" s="74" t="n">
        <x:v>-0.0005</x:v>
      </x:c>
      <x:c r="H2245" s="66" t="str">
        <x:v>祁腾蜂赢1号净值20260911.xlsx</x:v>
      </x:c>
      <x:c r="I2245" s="73" t="str">
        <x:f>""</x:f>
      </x:c>
      <x:c r="J2245" s="74" t="str">
        <x:f>""</x:f>
      </x:c>
      <x:c r="K2245" s="73" t="str">
        <x:f>""</x:f>
      </x:c>
      <x:c r="L2245" s="74" t="str">
        <x:f>""</x:f>
      </x:c>
      <x:c r="M2245" s="73" t="n">
        <x:f>MAX(M2244,F2245)</x:f>
        <x:v>1.4867</x:v>
      </x:c>
      <x:c r="N2245" s="74" t="n">
        <x:f>1-F2245/M2245</x:f>
        <x:v>0.00047084146095377477</x:v>
      </x:c>
    </x:row>
    <x:row r="2246" ht="27" customHeight="1">
      <x:c r="A2246" s="66" t="str">
        <x:v>SEV580</x:v>
      </x:c>
      <x:c r="B2246" s="66" t="str">
        <x:v>祁腾蜂赢1号</x:v>
      </x:c>
      <x:c r="C2246" s="72" t="n">
        <x:v>44266</x:v>
      </x:c>
      <x:c r="D2246" s="73" t="n">
        <x:v>1.0431</x:v>
      </x:c>
      <x:c r="E2246" s="73" t="n">
        <x:v>1.419</x:v>
      </x:c>
      <x:c r="F2246" s="73" t="n">
        <x:v>1.488</x:v>
      </x:c>
      <x:c r="G2246" s="74" t="n">
        <x:v>0.0013</x:v>
      </x:c>
      <x:c r="H2246" s="66" t="str">
        <x:v>祁腾蜂赢1号净值20260911.xlsx</x:v>
      </x:c>
      <x:c r="I2246" s="73" t="str">
        <x:f>""</x:f>
      </x:c>
      <x:c r="J2246" s="74" t="str">
        <x:f>""</x:f>
      </x:c>
      <x:c r="K2246" s="73" t="str">
        <x:f>""</x:f>
      </x:c>
      <x:c r="L2246" s="74" t="str">
        <x:f>""</x:f>
      </x:c>
      <x:c r="M2246" s="73" t="n">
        <x:f>MAX(M2245,F2246)</x:f>
        <x:v>1.488</x:v>
      </x:c>
      <x:c r="N2246" s="74" t="n">
        <x:f>1-F2246/M2246</x:f>
        <x:v>0</x:v>
      </x:c>
    </x:row>
    <x:row r="2247" ht="27" customHeight="1">
      <x:c r="A2247" s="66" t="str">
        <x:v>SEV580</x:v>
      </x:c>
      <x:c r="B2247" s="66" t="str">
        <x:v>祁腾蜂赢1号</x:v>
      </x:c>
      <x:c r="C2247" s="72" t="n">
        <x:v>44267</x:v>
      </x:c>
      <x:c r="D2247" s="73" t="n">
        <x:v>1.0431</x:v>
      </x:c>
      <x:c r="E2247" s="73" t="n">
        <x:v>1.419</x:v>
      </x:c>
      <x:c r="F2247" s="73" t="n">
        <x:v>1.488</x:v>
      </x:c>
      <x:c r="G2247" s="74" t="n">
        <x:v>0</x:v>
      </x:c>
      <x:c r="H2247" s="66" t="str">
        <x:v>祁腾蜂赢1号净值20260911.xlsx</x:v>
      </x:c>
      <x:c r="I2247" s="73" t="str">
        <x:f>""</x:f>
      </x:c>
      <x:c r="J2247" s="74" t="str">
        <x:f>""</x:f>
      </x:c>
      <x:c r="K2247" s="73" t="str">
        <x:f>""</x:f>
      </x:c>
      <x:c r="L2247" s="74" t="str">
        <x:f>""</x:f>
      </x:c>
      <x:c r="M2247" s="73" t="n">
        <x:f>MAX(M2246,F2247)</x:f>
        <x:v>1.488</x:v>
      </x:c>
      <x:c r="N2247" s="74" t="n">
        <x:f>1-F2247/M2247</x:f>
        <x:v>0</x:v>
      </x:c>
    </x:row>
    <x:row r="2248" ht="27" customHeight="1">
      <x:c r="A2248" s="66" t="str">
        <x:v>SEV580</x:v>
      </x:c>
      <x:c r="B2248" s="66" t="str">
        <x:v>祁腾蜂赢1号</x:v>
      </x:c>
      <x:c r="C2248" s="72" t="n">
        <x:v>44270</x:v>
      </x:c>
      <x:c r="D2248" s="73" t="n">
        <x:v>1.0438</x:v>
      </x:c>
      <x:c r="E2248" s="73" t="n">
        <x:v>1.4197</x:v>
      </x:c>
      <x:c r="F2248" s="73" t="n">
        <x:v>1.489</x:v>
      </x:c>
      <x:c r="G2248" s="74" t="n">
        <x:v>0.0007000000000000001</x:v>
      </x:c>
      <x:c r="H2248" s="66" t="str">
        <x:v>祁腾蜂赢1号净值20260911.xlsx</x:v>
      </x:c>
      <x:c r="I2248" s="73" t="str">
        <x:f>""</x:f>
      </x:c>
      <x:c r="J2248" s="74" t="str">
        <x:f>""</x:f>
      </x:c>
      <x:c r="K2248" s="73" t="str">
        <x:f>""</x:f>
      </x:c>
      <x:c r="L2248" s="74" t="str">
        <x:f>""</x:f>
      </x:c>
      <x:c r="M2248" s="73" t="n">
        <x:f>MAX(M2247,F2248)</x:f>
        <x:v>1.489</x:v>
      </x:c>
      <x:c r="N2248" s="74" t="n">
        <x:f>1-F2248/M2248</x:f>
        <x:v>0</x:v>
      </x:c>
    </x:row>
    <x:row r="2249" ht="27" customHeight="1">
      <x:c r="A2249" s="66" t="str">
        <x:v>SEV580</x:v>
      </x:c>
      <x:c r="B2249" s="66" t="str">
        <x:v>祁腾蜂赢1号</x:v>
      </x:c>
      <x:c r="C2249" s="72" t="n">
        <x:v>44271</x:v>
      </x:c>
      <x:c r="D2249" s="73" t="n">
        <x:v>1.0432</x:v>
      </x:c>
      <x:c r="E2249" s="73" t="n">
        <x:v>1.4191</x:v>
      </x:c>
      <x:c r="F2249" s="73" t="n">
        <x:v>1.4881</x:v>
      </x:c>
      <x:c r="G2249" s="74" t="n">
        <x:v>-0.0006</x:v>
      </x:c>
      <x:c r="H2249" s="66" t="str">
        <x:v>祁腾蜂赢1号净值20260911.xlsx</x:v>
      </x:c>
      <x:c r="I2249" s="73" t="str">
        <x:f>""</x:f>
      </x:c>
      <x:c r="J2249" s="74" t="str">
        <x:f>""</x:f>
      </x:c>
      <x:c r="K2249" s="73" t="str">
        <x:f>""</x:f>
      </x:c>
      <x:c r="L2249" s="74" t="str">
        <x:f>""</x:f>
      </x:c>
      <x:c r="M2249" s="73" t="n">
        <x:f>MAX(M2248,F2249)</x:f>
        <x:v>1.489</x:v>
      </x:c>
      <x:c r="N2249" s="74" t="n">
        <x:f>1-F2249/M2249</x:f>
        <x:v>0.0006044325050370558</x:v>
      </x:c>
    </x:row>
    <x:row r="2250" ht="27" customHeight="1">
      <x:c r="A2250" s="66" t="str">
        <x:v>SEV580</x:v>
      </x:c>
      <x:c r="B2250" s="66" t="str">
        <x:v>祁腾蜂赢1号</x:v>
      </x:c>
      <x:c r="C2250" s="72" t="n">
        <x:v>44272</x:v>
      </x:c>
      <x:c r="D2250" s="73" t="n">
        <x:v>1.0445</x:v>
      </x:c>
      <x:c r="E2250" s="73" t="n">
        <x:v>1.4204</x:v>
      </x:c>
      <x:c r="F2250" s="73" t="n">
        <x:v>1.49</x:v>
      </x:c>
      <x:c r="G2250" s="74" t="n">
        <x:v>0.0012</x:v>
      </x:c>
      <x:c r="H2250" s="66" t="str">
        <x:v>祁腾蜂赢1号净值20260911.xlsx</x:v>
      </x:c>
      <x:c r="I2250" s="73" t="str">
        <x:f>""</x:f>
      </x:c>
      <x:c r="J2250" s="74" t="str">
        <x:f>""</x:f>
      </x:c>
      <x:c r="K2250" s="73" t="str">
        <x:f>""</x:f>
      </x:c>
      <x:c r="L2250" s="74" t="str">
        <x:f>""</x:f>
      </x:c>
      <x:c r="M2250" s="73" t="n">
        <x:f>MAX(M2249,F2250)</x:f>
        <x:v>1.49</x:v>
      </x:c>
      <x:c r="N2250" s="74" t="n">
        <x:f>1-F2250/M2250</x:f>
        <x:v>0</x:v>
      </x:c>
    </x:row>
    <x:row r="2251" ht="27" customHeight="1">
      <x:c r="A2251" s="66" t="str">
        <x:v>SEV580</x:v>
      </x:c>
      <x:c r="B2251" s="66" t="str">
        <x:v>祁腾蜂赢1号</x:v>
      </x:c>
      <x:c r="C2251" s="72" t="n">
        <x:v>44273</x:v>
      </x:c>
      <x:c r="D2251" s="73" t="n">
        <x:v>1.0451</x:v>
      </x:c>
      <x:c r="E2251" s="73" t="n">
        <x:v>1.421</x:v>
      </x:c>
      <x:c r="F2251" s="73" t="n">
        <x:v>1.4908</x:v>
      </x:c>
      <x:c r="G2251" s="74" t="n">
        <x:v>0.0006</x:v>
      </x:c>
      <x:c r="H2251" s="66" t="str">
        <x:v>祁腾蜂赢1号净值20260911.xlsx</x:v>
      </x:c>
      <x:c r="I2251" s="73" t="str">
        <x:f>""</x:f>
      </x:c>
      <x:c r="J2251" s="74" t="str">
        <x:f>""</x:f>
      </x:c>
      <x:c r="K2251" s="73" t="str">
        <x:f>""</x:f>
      </x:c>
      <x:c r="L2251" s="74" t="str">
        <x:f>""</x:f>
      </x:c>
      <x:c r="M2251" s="73" t="n">
        <x:f>MAX(M2250,F2251)</x:f>
        <x:v>1.4908</x:v>
      </x:c>
      <x:c r="N2251" s="74" t="n">
        <x:f>1-F2251/M2251</x:f>
        <x:v>0</x:v>
      </x:c>
    </x:row>
    <x:row r="2252" ht="27" customHeight="1">
      <x:c r="A2252" s="66" t="str">
        <x:v>SEV580</x:v>
      </x:c>
      <x:c r="B2252" s="66" t="str">
        <x:v>祁腾蜂赢1号</x:v>
      </x:c>
      <x:c r="C2252" s="72" t="n">
        <x:v>44274</x:v>
      </x:c>
      <x:c r="D2252" s="73" t="n">
        <x:v>1.0463</x:v>
      </x:c>
      <x:c r="E2252" s="73" t="n">
        <x:v>1.4222</x:v>
      </x:c>
      <x:c r="F2252" s="73" t="n">
        <x:v>1.4925</x:v>
      </x:c>
      <x:c r="G2252" s="74" t="n">
        <x:v>0.0011</x:v>
      </x:c>
      <x:c r="H2252" s="66" t="str">
        <x:v>祁腾蜂赢1号净值20260911.xlsx</x:v>
      </x:c>
      <x:c r="I2252" s="73" t="str">
        <x:f>""</x:f>
      </x:c>
      <x:c r="J2252" s="74" t="str">
        <x:f>""</x:f>
      </x:c>
      <x:c r="K2252" s="73" t="str">
        <x:f>""</x:f>
      </x:c>
      <x:c r="L2252" s="74" t="str">
        <x:f>""</x:f>
      </x:c>
      <x:c r="M2252" s="73" t="n">
        <x:f>MAX(M2251,F2252)</x:f>
        <x:v>1.4925</x:v>
      </x:c>
      <x:c r="N2252" s="74" t="n">
        <x:f>1-F2252/M2252</x:f>
        <x:v>0</x:v>
      </x:c>
    </x:row>
    <x:row r="2253" ht="27" customHeight="1">
      <x:c r="A2253" s="66" t="str">
        <x:v>SEV580</x:v>
      </x:c>
      <x:c r="B2253" s="66" t="str">
        <x:v>祁腾蜂赢1号</x:v>
      </x:c>
      <x:c r="C2253" s="72" t="n">
        <x:v>44277</x:v>
      </x:c>
      <x:c r="D2253" s="73" t="n">
        <x:v>1.0462</x:v>
      </x:c>
      <x:c r="E2253" s="73" t="n">
        <x:v>1.4221</x:v>
      </x:c>
      <x:c r="F2253" s="73" t="n">
        <x:v>1.4924</x:v>
      </x:c>
      <x:c r="G2253" s="74" t="n">
        <x:v>-0.0001</x:v>
      </x:c>
      <x:c r="H2253" s="66" t="str">
        <x:v>祁腾蜂赢1号净值20260911.xlsx</x:v>
      </x:c>
      <x:c r="I2253" s="73" t="str">
        <x:f>""</x:f>
      </x:c>
      <x:c r="J2253" s="74" t="str">
        <x:f>""</x:f>
      </x:c>
      <x:c r="K2253" s="73" t="str">
        <x:f>""</x:f>
      </x:c>
      <x:c r="L2253" s="74" t="str">
        <x:f>""</x:f>
      </x:c>
      <x:c r="M2253" s="73" t="n">
        <x:f>MAX(M2252,F2253)</x:f>
        <x:v>1.4925</x:v>
      </x:c>
      <x:c r="N2253" s="74" t="n">
        <x:f>1-F2253/M2253</x:f>
        <x:v>0.00006700167504192223</x:v>
      </x:c>
    </x:row>
    <x:row r="2254" ht="27" customHeight="1">
      <x:c r="A2254" s="66" t="str">
        <x:v>SEV580</x:v>
      </x:c>
      <x:c r="B2254" s="66" t="str">
        <x:v>祁腾蜂赢1号</x:v>
      </x:c>
      <x:c r="C2254" s="72" t="n">
        <x:v>44278</x:v>
      </x:c>
      <x:c r="D2254" s="73" t="n">
        <x:v>1.0461</x:v>
      </x:c>
      <x:c r="E2254" s="73" t="n">
        <x:v>1.422</x:v>
      </x:c>
      <x:c r="F2254" s="73" t="n">
        <x:v>1.4923</x:v>
      </x:c>
      <x:c r="G2254" s="74" t="n">
        <x:v>-0.0001</x:v>
      </x:c>
      <x:c r="H2254" s="66" t="str">
        <x:v>祁腾蜂赢1号净值20260911.xlsx</x:v>
      </x:c>
      <x:c r="I2254" s="73" t="str">
        <x:f>""</x:f>
      </x:c>
      <x:c r="J2254" s="74" t="str">
        <x:f>""</x:f>
      </x:c>
      <x:c r="K2254" s="73" t="str">
        <x:f>""</x:f>
      </x:c>
      <x:c r="L2254" s="74" t="str">
        <x:f>""</x:f>
      </x:c>
      <x:c r="M2254" s="73" t="n">
        <x:f>MAX(M2253,F2254)</x:f>
        <x:v>1.4925</x:v>
      </x:c>
      <x:c r="N2254" s="74" t="n">
        <x:f>1-F2254/M2254</x:f>
        <x:v>0.00013400335008373343</x:v>
      </x:c>
    </x:row>
    <x:row r="2255" ht="27" customHeight="1">
      <x:c r="A2255" s="66" t="str">
        <x:v>SEV580</x:v>
      </x:c>
      <x:c r="B2255" s="66" t="str">
        <x:v>祁腾蜂赢1号</x:v>
      </x:c>
      <x:c r="C2255" s="72" t="n">
        <x:v>44279</x:v>
      </x:c>
      <x:c r="D2255" s="73" t="n">
        <x:v>1.0468</x:v>
      </x:c>
      <x:c r="E2255" s="73" t="n">
        <x:v>1.4227</x:v>
      </x:c>
      <x:c r="F2255" s="73" t="n">
        <x:v>1.4933</x:v>
      </x:c>
      <x:c r="G2255" s="74" t="n">
        <x:v>0.0007000000000000001</x:v>
      </x:c>
      <x:c r="H2255" s="66" t="str">
        <x:v>祁腾蜂赢1号净值20260911.xlsx</x:v>
      </x:c>
      <x:c r="I2255" s="73" t="str">
        <x:f>""</x:f>
      </x:c>
      <x:c r="J2255" s="74" t="str">
        <x:f>""</x:f>
      </x:c>
      <x:c r="K2255" s="73" t="str">
        <x:f>""</x:f>
      </x:c>
      <x:c r="L2255" s="74" t="str">
        <x:f>""</x:f>
      </x:c>
      <x:c r="M2255" s="73" t="n">
        <x:f>MAX(M2254,F2255)</x:f>
        <x:v>1.4933</x:v>
      </x:c>
      <x:c r="N2255" s="74" t="n">
        <x:f>1-F2255/M2255</x:f>
        <x:v>0</x:v>
      </x:c>
    </x:row>
    <x:row r="2256" ht="27" customHeight="1">
      <x:c r="A2256" s="66" t="str">
        <x:v>SEV580</x:v>
      </x:c>
      <x:c r="B2256" s="66" t="str">
        <x:v>祁腾蜂赢1号</x:v>
      </x:c>
      <x:c r="C2256" s="72" t="n">
        <x:v>44280</x:v>
      </x:c>
      <x:c r="D2256" s="73" t="n">
        <x:v>1.0471</x:v>
      </x:c>
      <x:c r="E2256" s="73" t="n">
        <x:v>1.423</x:v>
      </x:c>
      <x:c r="F2256" s="73" t="n">
        <x:v>1.4937</x:v>
      </x:c>
      <x:c r="G2256" s="74" t="n">
        <x:v>0.0003</x:v>
      </x:c>
      <x:c r="H2256" s="66" t="str">
        <x:v>祁腾蜂赢1号净值20260911.xlsx</x:v>
      </x:c>
      <x:c r="I2256" s="73" t="str">
        <x:f>""</x:f>
      </x:c>
      <x:c r="J2256" s="74" t="str">
        <x:f>""</x:f>
      </x:c>
      <x:c r="K2256" s="73" t="str">
        <x:f>""</x:f>
      </x:c>
      <x:c r="L2256" s="74" t="str">
        <x:f>""</x:f>
      </x:c>
      <x:c r="M2256" s="73" t="n">
        <x:f>MAX(M2255,F2256)</x:f>
        <x:v>1.4937</x:v>
      </x:c>
      <x:c r="N2256" s="74" t="n">
        <x:f>1-F2256/M2256</x:f>
        <x:v>0</x:v>
      </x:c>
    </x:row>
    <x:row r="2257" ht="27" customHeight="1">
      <x:c r="A2257" s="66" t="str">
        <x:v>SEV580</x:v>
      </x:c>
      <x:c r="B2257" s="66" t="str">
        <x:v>祁腾蜂赢1号</x:v>
      </x:c>
      <x:c r="C2257" s="72" t="n">
        <x:v>44281</x:v>
      </x:c>
      <x:c r="D2257" s="73" t="n">
        <x:v>1.0475</x:v>
      </x:c>
      <x:c r="E2257" s="73" t="n">
        <x:v>1.4234</x:v>
      </x:c>
      <x:c r="F2257" s="73" t="n">
        <x:v>1.4942</x:v>
      </x:c>
      <x:c r="G2257" s="74" t="n">
        <x:v>0.0004</x:v>
      </x:c>
      <x:c r="H2257" s="66" t="str">
        <x:v>祁腾蜂赢1号净值20260911.xlsx</x:v>
      </x:c>
      <x:c r="I2257" s="73" t="str">
        <x:f>""</x:f>
      </x:c>
      <x:c r="J2257" s="74" t="str">
        <x:f>""</x:f>
      </x:c>
      <x:c r="K2257" s="73" t="str">
        <x:f>""</x:f>
      </x:c>
      <x:c r="L2257" s="74" t="str">
        <x:f>""</x:f>
      </x:c>
      <x:c r="M2257" s="73" t="n">
        <x:f>MAX(M2256,F2257)</x:f>
        <x:v>1.4942</x:v>
      </x:c>
      <x:c r="N2257" s="74" t="n">
        <x:f>1-F2257/M2257</x:f>
        <x:v>0</x:v>
      </x:c>
    </x:row>
    <x:row r="2258" ht="27" customHeight="1">
      <x:c r="A2258" s="66" t="str">
        <x:v>SEV580</x:v>
      </x:c>
      <x:c r="B2258" s="66" t="str">
        <x:v>祁腾蜂赢1号</x:v>
      </x:c>
      <x:c r="C2258" s="72" t="n">
        <x:v>44284</x:v>
      </x:c>
      <x:c r="D2258" s="73" t="n">
        <x:v>1.0468</x:v>
      </x:c>
      <x:c r="E2258" s="73" t="n">
        <x:v>1.4227</x:v>
      </x:c>
      <x:c r="F2258" s="73" t="n">
        <x:v>1.4933</x:v>
      </x:c>
      <x:c r="G2258" s="74" t="n">
        <x:v>-0.0007000000000000001</x:v>
      </x:c>
      <x:c r="H2258" s="66" t="str">
        <x:v>祁腾蜂赢1号净值20260911.xlsx</x:v>
      </x:c>
      <x:c r="I2258" s="73" t="str">
        <x:f>""</x:f>
      </x:c>
      <x:c r="J2258" s="74" t="str">
        <x:f>""</x:f>
      </x:c>
      <x:c r="K2258" s="73" t="str">
        <x:f>""</x:f>
      </x:c>
      <x:c r="L2258" s="74" t="str">
        <x:f>""</x:f>
      </x:c>
      <x:c r="M2258" s="73" t="n">
        <x:f>MAX(M2257,F2258)</x:f>
        <x:v>1.4942</x:v>
      </x:c>
      <x:c r="N2258" s="74" t="n">
        <x:f>1-F2258/M2258</x:f>
        <x:v>0.000602329005487845</x:v>
      </x:c>
    </x:row>
    <x:row r="2259" ht="27" customHeight="1">
      <x:c r="A2259" s="66" t="str">
        <x:v>SEV580</x:v>
      </x:c>
      <x:c r="B2259" s="66" t="str">
        <x:v>祁腾蜂赢1号</x:v>
      </x:c>
      <x:c r="C2259" s="72" t="n">
        <x:v>44285</x:v>
      </x:c>
      <x:c r="D2259" s="73" t="n">
        <x:v>1.0467</x:v>
      </x:c>
      <x:c r="E2259" s="73" t="n">
        <x:v>1.4226</x:v>
      </x:c>
      <x:c r="F2259" s="73" t="n">
        <x:v>1.4931</x:v>
      </x:c>
      <x:c r="G2259" s="74" t="n">
        <x:v>-0.0001</x:v>
      </x:c>
      <x:c r="H2259" s="66" t="str">
        <x:v>祁腾蜂赢1号净值20260911.xlsx</x:v>
      </x:c>
      <x:c r="I2259" s="73" t="str">
        <x:f>""</x:f>
      </x:c>
      <x:c r="J2259" s="74" t="str">
        <x:f>""</x:f>
      </x:c>
      <x:c r="K2259" s="73" t="str">
        <x:f>""</x:f>
      </x:c>
      <x:c r="L2259" s="74" t="str">
        <x:f>""</x:f>
      </x:c>
      <x:c r="M2259" s="73" t="n">
        <x:f>MAX(M2258,F2259)</x:f>
        <x:v>1.4942</x:v>
      </x:c>
      <x:c r="N2259" s="74" t="n">
        <x:f>1-F2259/M2259</x:f>
        <x:v>0.0007361798955962673</x:v>
      </x:c>
    </x:row>
    <x:row r="2260" ht="27" customHeight="1">
      <x:c r="A2260" s="66" t="str">
        <x:v>SEV580</x:v>
      </x:c>
      <x:c r="B2260" s="66" t="str">
        <x:v>祁腾蜂赢1号</x:v>
      </x:c>
      <x:c r="C2260" s="72" t="n">
        <x:v>44286</x:v>
      </x:c>
      <x:c r="D2260" s="73" t="n">
        <x:v>1.0464</x:v>
      </x:c>
      <x:c r="E2260" s="73" t="n">
        <x:v>1.4223</x:v>
      </x:c>
      <x:c r="F2260" s="73" t="n">
        <x:v>1.4927</x:v>
      </x:c>
      <x:c r="G2260" s="74" t="n">
        <x:v>-0.0003</x:v>
      </x:c>
      <x:c r="H2260" s="66" t="str">
        <x:v>祁腾蜂赢1号净值20260911.xlsx</x:v>
      </x:c>
      <x:c r="I2260" s="73" t="str">
        <x:f>""</x:f>
      </x:c>
      <x:c r="J2260" s="74" t="str">
        <x:f>""</x:f>
      </x:c>
      <x:c r="K2260" s="73" t="str">
        <x:f>""</x:f>
      </x:c>
      <x:c r="L2260" s="74" t="str">
        <x:f>""</x:f>
      </x:c>
      <x:c r="M2260" s="73" t="n">
        <x:f>MAX(M2259,F2260)</x:f>
        <x:v>1.4942</x:v>
      </x:c>
      <x:c r="N2260" s="74" t="n">
        <x:f>1-F2260/M2260</x:f>
        <x:v>0.001003881675813223</x:v>
      </x:c>
    </x:row>
    <x:row r="2261" ht="27" customHeight="1">
      <x:c r="A2261" s="66" t="str">
        <x:v>SEV580</x:v>
      </x:c>
      <x:c r="B2261" s="66" t="str">
        <x:v>祁腾蜂赢1号</x:v>
      </x:c>
      <x:c r="C2261" s="72" t="n">
        <x:v>44287</x:v>
      </x:c>
      <x:c r="D2261" s="73" t="n">
        <x:v>1.0469</x:v>
      </x:c>
      <x:c r="E2261" s="73" t="n">
        <x:v>1.4228</x:v>
      </x:c>
      <x:c r="F2261" s="73" t="n">
        <x:v>1.4934</x:v>
      </x:c>
      <x:c r="G2261" s="74" t="n">
        <x:v>0.0005</x:v>
      </x:c>
      <x:c r="H2261" s="66" t="str">
        <x:v>祁腾蜂赢1号净值20260911.xlsx</x:v>
      </x:c>
      <x:c r="I2261" s="73" t="str">
        <x:f>""</x:f>
      </x:c>
      <x:c r="J2261" s="74" t="str">
        <x:f>""</x:f>
      </x:c>
      <x:c r="K2261" s="73" t="str">
        <x:f>""</x:f>
      </x:c>
      <x:c r="L2261" s="74" t="str">
        <x:f>""</x:f>
      </x:c>
      <x:c r="M2261" s="73" t="n">
        <x:f>MAX(M2260,F2261)</x:f>
        <x:v>1.4942</x:v>
      </x:c>
      <x:c r="N2261" s="74" t="n">
        <x:f>1-F2261/M2261</x:f>
        <x:v>0.0005354035604335783</x:v>
      </x:c>
    </x:row>
    <x:row r="2262" ht="27" customHeight="1">
      <x:c r="A2262" s="66" t="str">
        <x:v>SEV580</x:v>
      </x:c>
      <x:c r="B2262" s="66" t="str">
        <x:v>祁腾蜂赢1号</x:v>
      </x:c>
      <x:c r="C2262" s="72" t="n">
        <x:v>44288</x:v>
      </x:c>
      <x:c r="D2262" s="73" t="n">
        <x:v>1.0467</x:v>
      </x:c>
      <x:c r="E2262" s="73" t="n">
        <x:v>1.4226</x:v>
      </x:c>
      <x:c r="F2262" s="73" t="n">
        <x:v>1.4931</x:v>
      </x:c>
      <x:c r="G2262" s="74" t="n">
        <x:v>-0.0002</x:v>
      </x:c>
      <x:c r="H2262" s="66" t="str">
        <x:v>祁腾蜂赢1号净值20260911.xlsx</x:v>
      </x:c>
      <x:c r="I2262" s="73" t="str">
        <x:f>""</x:f>
      </x:c>
      <x:c r="J2262" s="74" t="str">
        <x:f>""</x:f>
      </x:c>
      <x:c r="K2262" s="73" t="str">
        <x:f>""</x:f>
      </x:c>
      <x:c r="L2262" s="74" t="str">
        <x:f>""</x:f>
      </x:c>
      <x:c r="M2262" s="73" t="n">
        <x:f>MAX(M2261,F2262)</x:f>
        <x:v>1.4942</x:v>
      </x:c>
      <x:c r="N2262" s="74" t="n">
        <x:f>1-F2262/M2262</x:f>
        <x:v>0.0007361798955962673</x:v>
      </x:c>
    </x:row>
    <x:row r="2263" ht="27" customHeight="1">
      <x:c r="A2263" s="66" t="str">
        <x:v>SEV580</x:v>
      </x:c>
      <x:c r="B2263" s="66" t="str">
        <x:v>祁腾蜂赢1号</x:v>
      </x:c>
      <x:c r="C2263" s="72" t="n">
        <x:v>44292</x:v>
      </x:c>
      <x:c r="D2263" s="73" t="n">
        <x:v>1.0464</x:v>
      </x:c>
      <x:c r="E2263" s="73" t="n">
        <x:v>1.4223</x:v>
      </x:c>
      <x:c r="F2263" s="73" t="n">
        <x:v>1.4927</x:v>
      </x:c>
      <x:c r="G2263" s="74" t="n">
        <x:v>-0.0003</x:v>
      </x:c>
      <x:c r="H2263" s="66" t="str">
        <x:v>祁腾蜂赢1号净值20260911.xlsx</x:v>
      </x:c>
      <x:c r="I2263" s="73" t="str">
        <x:f>""</x:f>
      </x:c>
      <x:c r="J2263" s="74" t="str">
        <x:f>""</x:f>
      </x:c>
      <x:c r="K2263" s="73" t="str">
        <x:f>""</x:f>
      </x:c>
      <x:c r="L2263" s="74" t="str">
        <x:f>""</x:f>
      </x:c>
      <x:c r="M2263" s="73" t="n">
        <x:f>MAX(M2262,F2263)</x:f>
        <x:v>1.4942</x:v>
      </x:c>
      <x:c r="N2263" s="74" t="n">
        <x:f>1-F2263/M2263</x:f>
        <x:v>0.001003881675813223</x:v>
      </x:c>
    </x:row>
    <x:row r="2264" ht="27" customHeight="1">
      <x:c r="A2264" s="66" t="str">
        <x:v>SEV580</x:v>
      </x:c>
      <x:c r="B2264" s="66" t="str">
        <x:v>祁腾蜂赢1号</x:v>
      </x:c>
      <x:c r="C2264" s="72" t="n">
        <x:v>44293</x:v>
      </x:c>
      <x:c r="D2264" s="73" t="n">
        <x:v>1.0488</x:v>
      </x:c>
      <x:c r="E2264" s="73" t="n">
        <x:v>1.4247</x:v>
      </x:c>
      <x:c r="F2264" s="73" t="n">
        <x:v>1.4961</x:v>
      </x:c>
      <x:c r="G2264" s="74" t="n">
        <x:v>0.0023</x:v>
      </x:c>
      <x:c r="H2264" s="66" t="str">
        <x:v>祁腾蜂赢1号净值20260911.xlsx</x:v>
      </x:c>
      <x:c r="I2264" s="73" t="str">
        <x:f>""</x:f>
      </x:c>
      <x:c r="J2264" s="74" t="str">
        <x:f>""</x:f>
      </x:c>
      <x:c r="K2264" s="73" t="str">
        <x:f>""</x:f>
      </x:c>
      <x:c r="L2264" s="74" t="str">
        <x:f>""</x:f>
      </x:c>
      <x:c r="M2264" s="73" t="n">
        <x:f>MAX(M2263,F2264)</x:f>
        <x:v>1.4961</x:v>
      </x:c>
      <x:c r="N2264" s="74" t="n">
        <x:f>1-F2264/M2264</x:f>
        <x:v>0</x:v>
      </x:c>
    </x:row>
    <x:row r="2265" ht="27" customHeight="1">
      <x:c r="A2265" s="66" t="str">
        <x:v>SEV580</x:v>
      </x:c>
      <x:c r="B2265" s="66" t="str">
        <x:v>祁腾蜂赢1号</x:v>
      </x:c>
      <x:c r="C2265" s="72" t="n">
        <x:v>44294</x:v>
      </x:c>
      <x:c r="D2265" s="73" t="n">
        <x:v>1.0488</x:v>
      </x:c>
      <x:c r="E2265" s="73" t="n">
        <x:v>1.4247</x:v>
      </x:c>
      <x:c r="F2265" s="73" t="n">
        <x:v>1.4961</x:v>
      </x:c>
      <x:c r="G2265" s="74" t="n">
        <x:v>0</x:v>
      </x:c>
      <x:c r="H2265" s="66" t="str">
        <x:v>祁腾蜂赢1号净值20260911.xlsx</x:v>
      </x:c>
      <x:c r="I2265" s="73" t="str">
        <x:f>""</x:f>
      </x:c>
      <x:c r="J2265" s="74" t="str">
        <x:f>""</x:f>
      </x:c>
      <x:c r="K2265" s="73" t="str">
        <x:f>""</x:f>
      </x:c>
      <x:c r="L2265" s="74" t="str">
        <x:f>""</x:f>
      </x:c>
      <x:c r="M2265" s="73" t="n">
        <x:f>MAX(M2264,F2265)</x:f>
        <x:v>1.4961</x:v>
      </x:c>
      <x:c r="N2265" s="74" t="n">
        <x:f>1-F2265/M2265</x:f>
        <x:v>0</x:v>
      </x:c>
    </x:row>
    <x:row r="2266" ht="27" customHeight="1">
      <x:c r="A2266" s="66" t="str">
        <x:v>SEV580</x:v>
      </x:c>
      <x:c r="B2266" s="66" t="str">
        <x:v>祁腾蜂赢1号</x:v>
      </x:c>
      <x:c r="C2266" s="72" t="n">
        <x:v>44295</x:v>
      </x:c>
      <x:c r="D2266" s="73" t="n">
        <x:v>1.0491</x:v>
      </x:c>
      <x:c r="E2266" s="73" t="n">
        <x:v>1.425</x:v>
      </x:c>
      <x:c r="F2266" s="73" t="n">
        <x:v>1.4965</x:v>
      </x:c>
      <x:c r="G2266" s="74" t="n">
        <x:v>0.0003</x:v>
      </x:c>
      <x:c r="H2266" s="66" t="str">
        <x:v>祁腾蜂赢1号净值20260911.xlsx</x:v>
      </x:c>
      <x:c r="I2266" s="73" t="str">
        <x:f>""</x:f>
      </x:c>
      <x:c r="J2266" s="74" t="str">
        <x:f>""</x:f>
      </x:c>
      <x:c r="K2266" s="73" t="str">
        <x:f>""</x:f>
      </x:c>
      <x:c r="L2266" s="74" t="str">
        <x:f>""</x:f>
      </x:c>
      <x:c r="M2266" s="73" t="n">
        <x:f>MAX(M2265,F2266)</x:f>
        <x:v>1.4965</x:v>
      </x:c>
      <x:c r="N2266" s="74" t="n">
        <x:f>1-F2266/M2266</x:f>
        <x:v>0</x:v>
      </x:c>
    </x:row>
    <x:row r="2267" ht="27" customHeight="1">
      <x:c r="A2267" s="66" t="str">
        <x:v>SEV580</x:v>
      </x:c>
      <x:c r="B2267" s="66" t="str">
        <x:v>祁腾蜂赢1号</x:v>
      </x:c>
      <x:c r="C2267" s="72" t="n">
        <x:v>44298</x:v>
      </x:c>
      <x:c r="D2267" s="73" t="n">
        <x:v>1.0501</x:v>
      </x:c>
      <x:c r="E2267" s="73" t="n">
        <x:v>1.426</x:v>
      </x:c>
      <x:c r="F2267" s="73" t="n">
        <x:v>1.498</x:v>
      </x:c>
      <x:c r="G2267" s="74" t="n">
        <x:v>0.001</x:v>
      </x:c>
      <x:c r="H2267" s="66" t="str">
        <x:v>祁腾蜂赢1号净值20260911.xlsx</x:v>
      </x:c>
      <x:c r="I2267" s="73" t="str">
        <x:f>""</x:f>
      </x:c>
      <x:c r="J2267" s="74" t="str">
        <x:f>""</x:f>
      </x:c>
      <x:c r="K2267" s="73" t="str">
        <x:f>""</x:f>
      </x:c>
      <x:c r="L2267" s="74" t="str">
        <x:f>""</x:f>
      </x:c>
      <x:c r="M2267" s="73" t="n">
        <x:f>MAX(M2266,F2267)</x:f>
        <x:v>1.498</x:v>
      </x:c>
      <x:c r="N2267" s="74" t="n">
        <x:f>1-F2267/M2267</x:f>
        <x:v>0</x:v>
      </x:c>
    </x:row>
    <x:row r="2268" ht="27" customHeight="1">
      <x:c r="A2268" s="66" t="str">
        <x:v>SEV580</x:v>
      </x:c>
      <x:c r="B2268" s="66" t="str">
        <x:v>祁腾蜂赢1号</x:v>
      </x:c>
      <x:c r="C2268" s="72" t="n">
        <x:v>44299</x:v>
      </x:c>
      <x:c r="D2268" s="73" t="n">
        <x:v>1.0511</x:v>
      </x:c>
      <x:c r="E2268" s="73" t="n">
        <x:v>1.427</x:v>
      </x:c>
      <x:c r="F2268" s="73" t="n">
        <x:v>1.4994</x:v>
      </x:c>
      <x:c r="G2268" s="74" t="n">
        <x:v>0.001</x:v>
      </x:c>
      <x:c r="H2268" s="66" t="str">
        <x:v>祁腾蜂赢1号净值20260911.xlsx</x:v>
      </x:c>
      <x:c r="I2268" s="73" t="str">
        <x:f>""</x:f>
      </x:c>
      <x:c r="J2268" s="74" t="str">
        <x:f>""</x:f>
      </x:c>
      <x:c r="K2268" s="73" t="str">
        <x:f>""</x:f>
      </x:c>
      <x:c r="L2268" s="74" t="str">
        <x:f>""</x:f>
      </x:c>
      <x:c r="M2268" s="73" t="n">
        <x:f>MAX(M2267,F2268)</x:f>
        <x:v>1.4994</x:v>
      </x:c>
      <x:c r="N2268" s="74" t="n">
        <x:f>1-F2268/M2268</x:f>
        <x:v>0</x:v>
      </x:c>
    </x:row>
    <x:row r="2269" ht="27" customHeight="1">
      <x:c r="A2269" s="66" t="str">
        <x:v>SEV580</x:v>
      </x:c>
      <x:c r="B2269" s="66" t="str">
        <x:v>祁腾蜂赢1号</x:v>
      </x:c>
      <x:c r="C2269" s="72" t="n">
        <x:v>44300</x:v>
      </x:c>
      <x:c r="D2269" s="73" t="n">
        <x:v>1.0518</x:v>
      </x:c>
      <x:c r="E2269" s="73" t="n">
        <x:v>1.4277</x:v>
      </x:c>
      <x:c r="F2269" s="73" t="n">
        <x:v>1.5004</x:v>
      </x:c>
      <x:c r="G2269" s="74" t="n">
        <x:v>0.0007000000000000001</x:v>
      </x:c>
      <x:c r="H2269" s="66" t="str">
        <x:v>祁腾蜂赢1号净值20260911.xlsx</x:v>
      </x:c>
      <x:c r="I2269" s="73" t="str">
        <x:f>""</x:f>
      </x:c>
      <x:c r="J2269" s="74" t="str">
        <x:f>""</x:f>
      </x:c>
      <x:c r="K2269" s="73" t="str">
        <x:f>""</x:f>
      </x:c>
      <x:c r="L2269" s="74" t="str">
        <x:f>""</x:f>
      </x:c>
      <x:c r="M2269" s="73" t="n">
        <x:f>MAX(M2268,F2269)</x:f>
        <x:v>1.5004</x:v>
      </x:c>
      <x:c r="N2269" s="74" t="n">
        <x:f>1-F2269/M2269</x:f>
        <x:v>0</x:v>
      </x:c>
    </x:row>
    <x:row r="2270" ht="27" customHeight="1">
      <x:c r="A2270" s="66" t="str">
        <x:v>SEV580</x:v>
      </x:c>
      <x:c r="B2270" s="66" t="str">
        <x:v>祁腾蜂赢1号</x:v>
      </x:c>
      <x:c r="C2270" s="72" t="n">
        <x:v>44301</x:v>
      </x:c>
      <x:c r="D2270" s="73" t="n">
        <x:v>1.0522</x:v>
      </x:c>
      <x:c r="E2270" s="73" t="n">
        <x:v>1.4281</x:v>
      </x:c>
      <x:c r="F2270" s="73" t="n">
        <x:v>1.501</x:v>
      </x:c>
      <x:c r="G2270" s="74" t="n">
        <x:v>0.0004</x:v>
      </x:c>
      <x:c r="H2270" s="66" t="str">
        <x:v>祁腾蜂赢1号净值20260911.xlsx</x:v>
      </x:c>
      <x:c r="I2270" s="73" t="str">
        <x:f>""</x:f>
      </x:c>
      <x:c r="J2270" s="74" t="str">
        <x:f>""</x:f>
      </x:c>
      <x:c r="K2270" s="73" t="str">
        <x:f>""</x:f>
      </x:c>
      <x:c r="L2270" s="74" t="str">
        <x:f>""</x:f>
      </x:c>
      <x:c r="M2270" s="73" t="n">
        <x:f>MAX(M2269,F2270)</x:f>
        <x:v>1.501</x:v>
      </x:c>
      <x:c r="N2270" s="74" t="n">
        <x:f>1-F2270/M2270</x:f>
        <x:v>0</x:v>
      </x:c>
    </x:row>
    <x:row r="2271" ht="27" customHeight="1">
      <x:c r="A2271" s="66" t="str">
        <x:v>SEV580</x:v>
      </x:c>
      <x:c r="B2271" s="66" t="str">
        <x:v>祁腾蜂赢1号</x:v>
      </x:c>
      <x:c r="C2271" s="72" t="n">
        <x:v>44302</x:v>
      </x:c>
      <x:c r="D2271" s="73" t="n">
        <x:v>1.0531</x:v>
      </x:c>
      <x:c r="E2271" s="73" t="n">
        <x:v>1.429</x:v>
      </x:c>
      <x:c r="F2271" s="73" t="n">
        <x:v>1.5022</x:v>
      </x:c>
      <x:c r="G2271" s="74" t="n">
        <x:v>0.0009</x:v>
      </x:c>
      <x:c r="H2271" s="66" t="str">
        <x:v>祁腾蜂赢1号净值20260911.xlsx</x:v>
      </x:c>
      <x:c r="I2271" s="73" t="str">
        <x:f>""</x:f>
      </x:c>
      <x:c r="J2271" s="74" t="str">
        <x:f>""</x:f>
      </x:c>
      <x:c r="K2271" s="73" t="str">
        <x:f>""</x:f>
      </x:c>
      <x:c r="L2271" s="74" t="str">
        <x:f>""</x:f>
      </x:c>
      <x:c r="M2271" s="73" t="n">
        <x:f>MAX(M2270,F2271)</x:f>
        <x:v>1.5022</x:v>
      </x:c>
      <x:c r="N2271" s="74" t="n">
        <x:f>1-F2271/M2271</x:f>
        <x:v>0</x:v>
      </x:c>
    </x:row>
    <x:row r="2272" ht="27" customHeight="1">
      <x:c r="A2272" s="66" t="str">
        <x:v>SEV580</x:v>
      </x:c>
      <x:c r="B2272" s="66" t="str">
        <x:v>祁腾蜂赢1号</x:v>
      </x:c>
      <x:c r="C2272" s="72" t="n">
        <x:v>44305</x:v>
      </x:c>
      <x:c r="D2272" s="73" t="n">
        <x:v>1.0529</x:v>
      </x:c>
      <x:c r="E2272" s="73" t="n">
        <x:v>1.4288</x:v>
      </x:c>
      <x:c r="F2272" s="73" t="n">
        <x:v>1.502</x:v>
      </x:c>
      <x:c r="G2272" s="74" t="n">
        <x:v>-0.0002</x:v>
      </x:c>
      <x:c r="H2272" s="66" t="str">
        <x:v>祁腾蜂赢1号净值20260911.xlsx</x:v>
      </x:c>
      <x:c r="I2272" s="73" t="str">
        <x:f>""</x:f>
      </x:c>
      <x:c r="J2272" s="74" t="str">
        <x:f>""</x:f>
      </x:c>
      <x:c r="K2272" s="73" t="str">
        <x:f>""</x:f>
      </x:c>
      <x:c r="L2272" s="74" t="str">
        <x:f>""</x:f>
      </x:c>
      <x:c r="M2272" s="73" t="n">
        <x:f>MAX(M2271,F2272)</x:f>
        <x:v>1.5022</x:v>
      </x:c>
      <x:c r="N2272" s="74" t="n">
        <x:f>1-F2272/M2272</x:f>
        <x:v>0.00013313806417247775</x:v>
      </x:c>
    </x:row>
    <x:row r="2273" ht="27" customHeight="1">
      <x:c r="A2273" s="66" t="str">
        <x:v>SEV580</x:v>
      </x:c>
      <x:c r="B2273" s="66" t="str">
        <x:v>祁腾蜂赢1号</x:v>
      </x:c>
      <x:c r="C2273" s="72" t="n">
        <x:v>44306</x:v>
      </x:c>
      <x:c r="D2273" s="73" t="n">
        <x:v>1.0519</x:v>
      </x:c>
      <x:c r="E2273" s="73" t="n">
        <x:v>1.4278</x:v>
      </x:c>
      <x:c r="F2273" s="73" t="n">
        <x:v>1.5005</x:v>
      </x:c>
      <x:c r="G2273" s="74" t="n">
        <x:v>-0.0009</x:v>
      </x:c>
      <x:c r="H2273" s="66" t="str">
        <x:v>祁腾蜂赢1号净值20260911.xlsx</x:v>
      </x:c>
      <x:c r="I2273" s="73" t="str">
        <x:f>""</x:f>
      </x:c>
      <x:c r="J2273" s="74" t="str">
        <x:f>""</x:f>
      </x:c>
      <x:c r="K2273" s="73" t="str">
        <x:f>""</x:f>
      </x:c>
      <x:c r="L2273" s="74" t="str">
        <x:f>""</x:f>
      </x:c>
      <x:c r="M2273" s="73" t="n">
        <x:f>MAX(M2272,F2273)</x:f>
        <x:v>1.5022</x:v>
      </x:c>
      <x:c r="N2273" s="74" t="n">
        <x:f>1-F2273/M2273</x:f>
        <x:v>0.001131673545466727</x:v>
      </x:c>
    </x:row>
    <x:row r="2274" ht="27" customHeight="1">
      <x:c r="A2274" s="66" t="str">
        <x:v>SEV580</x:v>
      </x:c>
      <x:c r="B2274" s="66" t="str">
        <x:v>祁腾蜂赢1号</x:v>
      </x:c>
      <x:c r="C2274" s="72" t="n">
        <x:v>44307</x:v>
      </x:c>
      <x:c r="D2274" s="73" t="n">
        <x:v>1.0526</x:v>
      </x:c>
      <x:c r="E2274" s="73" t="n">
        <x:v>1.4285</x:v>
      </x:c>
      <x:c r="F2274" s="73" t="n">
        <x:v>1.5015</x:v>
      </x:c>
      <x:c r="G2274" s="74" t="n">
        <x:v>0.0007000000000000001</x:v>
      </x:c>
      <x:c r="H2274" s="66" t="str">
        <x:v>祁腾蜂赢1号净值20260911.xlsx</x:v>
      </x:c>
      <x:c r="I2274" s="73" t="str">
        <x:f>""</x:f>
      </x:c>
      <x:c r="J2274" s="74" t="str">
        <x:f>""</x:f>
      </x:c>
      <x:c r="K2274" s="73" t="str">
        <x:f>""</x:f>
      </x:c>
      <x:c r="L2274" s="74" t="str">
        <x:f>""</x:f>
      </x:c>
      <x:c r="M2274" s="73" t="n">
        <x:f>MAX(M2273,F2274)</x:f>
        <x:v>1.5022</x:v>
      </x:c>
      <x:c r="N2274" s="74" t="n">
        <x:f>1-F2274/M2274</x:f>
        <x:v>0.0004659832246038942</x:v>
      </x:c>
    </x:row>
    <x:row r="2275" ht="27" customHeight="1">
      <x:c r="A2275" s="66" t="str">
        <x:v>SEV580</x:v>
      </x:c>
      <x:c r="B2275" s="66" t="str">
        <x:v>祁腾蜂赢1号</x:v>
      </x:c>
      <x:c r="C2275" s="72" t="n">
        <x:v>44308</x:v>
      </x:c>
      <x:c r="D2275" s="73" t="n">
        <x:v>1.0529</x:v>
      </x:c>
      <x:c r="E2275" s="73" t="n">
        <x:v>1.4288</x:v>
      </x:c>
      <x:c r="F2275" s="73" t="n">
        <x:v>1.502</x:v>
      </x:c>
      <x:c r="G2275" s="74" t="n">
        <x:v>0.0003</x:v>
      </x:c>
      <x:c r="H2275" s="66" t="str">
        <x:v>祁腾蜂赢1号净值20260911.xlsx</x:v>
      </x:c>
      <x:c r="I2275" s="73" t="str">
        <x:f>""</x:f>
      </x:c>
      <x:c r="J2275" s="74" t="str">
        <x:f>""</x:f>
      </x:c>
      <x:c r="K2275" s="73" t="str">
        <x:f>""</x:f>
      </x:c>
      <x:c r="L2275" s="74" t="str">
        <x:f>""</x:f>
      </x:c>
      <x:c r="M2275" s="73" t="n">
        <x:f>MAX(M2274,F2275)</x:f>
        <x:v>1.5022</x:v>
      </x:c>
      <x:c r="N2275" s="74" t="n">
        <x:f>1-F2275/M2275</x:f>
        <x:v>0.00013313806417247775</x:v>
      </x:c>
    </x:row>
    <x:row r="2276" ht="27" customHeight="1">
      <x:c r="A2276" s="66" t="str">
        <x:v>SEV580</x:v>
      </x:c>
      <x:c r="B2276" s="66" t="str">
        <x:v>祁腾蜂赢1号</x:v>
      </x:c>
      <x:c r="C2276" s="72" t="n">
        <x:v>44309</x:v>
      </x:c>
      <x:c r="D2276" s="73" t="n">
        <x:v>1.0527</x:v>
      </x:c>
      <x:c r="E2276" s="73" t="n">
        <x:v>1.4286</x:v>
      </x:c>
      <x:c r="F2276" s="73" t="n">
        <x:v>1.5017</x:v>
      </x:c>
      <x:c r="G2276" s="74" t="n">
        <x:v>-0.0002</x:v>
      </x:c>
      <x:c r="H2276" s="66" t="str">
        <x:v>祁腾蜂赢1号净值20260911.xlsx</x:v>
      </x:c>
      <x:c r="I2276" s="73" t="str">
        <x:f>""</x:f>
      </x:c>
      <x:c r="J2276" s="74" t="str">
        <x:f>""</x:f>
      </x:c>
      <x:c r="K2276" s="73" t="str">
        <x:f>""</x:f>
      </x:c>
      <x:c r="L2276" s="74" t="str">
        <x:f>""</x:f>
      </x:c>
      <x:c r="M2276" s="73" t="n">
        <x:f>MAX(M2275,F2276)</x:f>
        <x:v>1.5022</x:v>
      </x:c>
      <x:c r="N2276" s="74" t="n">
        <x:f>1-F2276/M2276</x:f>
        <x:v>0.0003328451604313054</x:v>
      </x:c>
    </x:row>
    <x:row r="2277" ht="27" customHeight="1">
      <x:c r="A2277" s="66" t="str">
        <x:v>SEV580</x:v>
      </x:c>
      <x:c r="B2277" s="66" t="str">
        <x:v>祁腾蜂赢1号</x:v>
      </x:c>
      <x:c r="C2277" s="72" t="n">
        <x:v>44312</x:v>
      </x:c>
      <x:c r="D2277" s="73" t="n">
        <x:v>1.0526</x:v>
      </x:c>
      <x:c r="E2277" s="73" t="n">
        <x:v>1.4285</x:v>
      </x:c>
      <x:c r="F2277" s="73" t="n">
        <x:v>1.5015</x:v>
      </x:c>
      <x:c r="G2277" s="74" t="n">
        <x:v>-0.0001</x:v>
      </x:c>
      <x:c r="H2277" s="66" t="str">
        <x:v>祁腾蜂赢1号净值20260911.xlsx</x:v>
      </x:c>
      <x:c r="I2277" s="73" t="str">
        <x:f>""</x:f>
      </x:c>
      <x:c r="J2277" s="74" t="str">
        <x:f>""</x:f>
      </x:c>
      <x:c r="K2277" s="73" t="str">
        <x:f>""</x:f>
      </x:c>
      <x:c r="L2277" s="74" t="str">
        <x:f>""</x:f>
      </x:c>
      <x:c r="M2277" s="73" t="n">
        <x:f>MAX(M2276,F2277)</x:f>
        <x:v>1.5022</x:v>
      </x:c>
      <x:c r="N2277" s="74" t="n">
        <x:f>1-F2277/M2277</x:f>
        <x:v>0.0004659832246038942</x:v>
      </x:c>
    </x:row>
    <x:row r="2278" ht="27" customHeight="1">
      <x:c r="A2278" s="66" t="str">
        <x:v>SEV580</x:v>
      </x:c>
      <x:c r="B2278" s="66" t="str">
        <x:v>祁腾蜂赢1号</x:v>
      </x:c>
      <x:c r="C2278" s="72" t="n">
        <x:v>44313</x:v>
      </x:c>
      <x:c r="D2278" s="73" t="n">
        <x:v>1.0534</x:v>
      </x:c>
      <x:c r="E2278" s="73" t="n">
        <x:v>1.4293</x:v>
      </x:c>
      <x:c r="F2278" s="73" t="n">
        <x:v>1.5027</x:v>
      </x:c>
      <x:c r="G2278" s="74" t="n">
        <x:v>0.0008</x:v>
      </x:c>
      <x:c r="H2278" s="66" t="str">
        <x:v>祁腾蜂赢1号净值20260911.xlsx</x:v>
      </x:c>
      <x:c r="I2278" s="73" t="str">
        <x:f>""</x:f>
      </x:c>
      <x:c r="J2278" s="74" t="str">
        <x:f>""</x:f>
      </x:c>
      <x:c r="K2278" s="73" t="str">
        <x:f>""</x:f>
      </x:c>
      <x:c r="L2278" s="74" t="str">
        <x:f>""</x:f>
      </x:c>
      <x:c r="M2278" s="73" t="n">
        <x:f>MAX(M2277,F2278)</x:f>
        <x:v>1.5027</x:v>
      </x:c>
      <x:c r="N2278" s="74" t="n">
        <x:f>1-F2278/M2278</x:f>
        <x:v>0</x:v>
      </x:c>
    </x:row>
    <x:row r="2279" ht="27" customHeight="1">
      <x:c r="A2279" s="66" t="str">
        <x:v>SEV580</x:v>
      </x:c>
      <x:c r="B2279" s="66" t="str">
        <x:v>祁腾蜂赢1号</x:v>
      </x:c>
      <x:c r="C2279" s="72" t="n">
        <x:v>44314</x:v>
      </x:c>
      <x:c r="D2279" s="73" t="n">
        <x:v>1.0533</x:v>
      </x:c>
      <x:c r="E2279" s="73" t="n">
        <x:v>1.4292</x:v>
      </x:c>
      <x:c r="F2279" s="73" t="n">
        <x:v>1.5025</x:v>
      </x:c>
      <x:c r="G2279" s="74" t="n">
        <x:v>-0.0001</x:v>
      </x:c>
      <x:c r="H2279" s="66" t="str">
        <x:v>祁腾蜂赢1号净值20260911.xlsx</x:v>
      </x:c>
      <x:c r="I2279" s="73" t="str">
        <x:f>""</x:f>
      </x:c>
      <x:c r="J2279" s="74" t="str">
        <x:f>""</x:f>
      </x:c>
      <x:c r="K2279" s="73" t="str">
        <x:f>""</x:f>
      </x:c>
      <x:c r="L2279" s="74" t="str">
        <x:f>""</x:f>
      </x:c>
      <x:c r="M2279" s="73" t="n">
        <x:f>MAX(M2278,F2279)</x:f>
        <x:v>1.5027</x:v>
      </x:c>
      <x:c r="N2279" s="74" t="n">
        <x:f>1-F2279/M2279</x:f>
        <x:v>0.00013309376455716837</x:v>
      </x:c>
    </x:row>
    <x:row r="2280" ht="27" customHeight="1">
      <x:c r="A2280" s="66" t="str">
        <x:v>SEV580</x:v>
      </x:c>
      <x:c r="B2280" s="66" t="str">
        <x:v>祁腾蜂赢1号</x:v>
      </x:c>
      <x:c r="C2280" s="72" t="n">
        <x:v>44315</x:v>
      </x:c>
      <x:c r="D2280" s="73" t="n">
        <x:v>1.0537</x:v>
      </x:c>
      <x:c r="E2280" s="73" t="n">
        <x:v>1.4296</x:v>
      </x:c>
      <x:c r="F2280" s="73" t="n">
        <x:v>1.5031</x:v>
      </x:c>
      <x:c r="G2280" s="74" t="n">
        <x:v>0.0004</x:v>
      </x:c>
      <x:c r="H2280" s="66" t="str">
        <x:v>祁腾蜂赢1号净值20260911.xlsx</x:v>
      </x:c>
      <x:c r="I2280" s="73" t="str">
        <x:f>""</x:f>
      </x:c>
      <x:c r="J2280" s="74" t="str">
        <x:f>""</x:f>
      </x:c>
      <x:c r="K2280" s="73" t="str">
        <x:f>""</x:f>
      </x:c>
      <x:c r="L2280" s="74" t="str">
        <x:f>""</x:f>
      </x:c>
      <x:c r="M2280" s="73" t="n">
        <x:f>MAX(M2279,F2280)</x:f>
        <x:v>1.5031</x:v>
      </x:c>
      <x:c r="N2280" s="74" t="n">
        <x:f>1-F2280/M2280</x:f>
        <x:v>0</x:v>
      </x:c>
    </x:row>
    <x:row r="2281" ht="27" customHeight="1">
      <x:c r="A2281" s="66" t="str">
        <x:v>SEV580</x:v>
      </x:c>
      <x:c r="B2281" s="66" t="str">
        <x:v>祁腾蜂赢1号</x:v>
      </x:c>
      <x:c r="C2281" s="72" t="n">
        <x:v>44316</x:v>
      </x:c>
      <x:c r="D2281" s="73" t="n">
        <x:v>1.0534</x:v>
      </x:c>
      <x:c r="E2281" s="73" t="n">
        <x:v>1.4293</x:v>
      </x:c>
      <x:c r="F2281" s="73" t="n">
        <x:v>1.5027</x:v>
      </x:c>
      <x:c r="G2281" s="74" t="n">
        <x:v>-0.0003</x:v>
      </x:c>
      <x:c r="H2281" s="66" t="str">
        <x:v>祁腾蜂赢1号净值20260911.xlsx</x:v>
      </x:c>
      <x:c r="I2281" s="73" t="str">
        <x:f>""</x:f>
      </x:c>
      <x:c r="J2281" s="74" t="str">
        <x:f>""</x:f>
      </x:c>
      <x:c r="K2281" s="73" t="str">
        <x:f>""</x:f>
      </x:c>
      <x:c r="L2281" s="74" t="str">
        <x:f>""</x:f>
      </x:c>
      <x:c r="M2281" s="73" t="n">
        <x:f>MAX(M2280,F2281)</x:f>
        <x:v>1.5031</x:v>
      </x:c>
      <x:c r="N2281" s="74" t="n">
        <x:f>1-F2281/M2281</x:f>
        <x:v>0.00026611669216958234</x:v>
      </x:c>
    </x:row>
    <x:row r="2282" ht="27" customHeight="1">
      <x:c r="A2282" s="66" t="str">
        <x:v>SEV580</x:v>
      </x:c>
      <x:c r="B2282" s="66" t="str">
        <x:v>祁腾蜂赢1号</x:v>
      </x:c>
      <x:c r="C2282" s="72" t="n">
        <x:v>44322</x:v>
      </x:c>
      <x:c r="D2282" s="73" t="n">
        <x:v>1.0541</x:v>
      </x:c>
      <x:c r="E2282" s="73" t="n">
        <x:v>1.43</x:v>
      </x:c>
      <x:c r="F2282" s="73" t="n">
        <x:v>1.5037</x:v>
      </x:c>
      <x:c r="G2282" s="74" t="n">
        <x:v>0.0007000000000000001</x:v>
      </x:c>
      <x:c r="H2282" s="66" t="str">
        <x:v>祁腾蜂赢1号净值20260911.xlsx</x:v>
      </x:c>
      <x:c r="I2282" s="73" t="str">
        <x:f>""</x:f>
      </x:c>
      <x:c r="J2282" s="74" t="str">
        <x:f>""</x:f>
      </x:c>
      <x:c r="K2282" s="73" t="str">
        <x:f>""</x:f>
      </x:c>
      <x:c r="L2282" s="74" t="str">
        <x:f>""</x:f>
      </x:c>
      <x:c r="M2282" s="73" t="n">
        <x:f>MAX(M2281,F2282)</x:f>
        <x:v>1.5037</x:v>
      </x:c>
      <x:c r="N2282" s="74" t="n">
        <x:f>1-F2282/M2282</x:f>
        <x:v>0</x:v>
      </x:c>
    </x:row>
    <x:row r="2283" ht="27" customHeight="1">
      <x:c r="A2283" s="66" t="str">
        <x:v>SEV580</x:v>
      </x:c>
      <x:c r="B2283" s="66" t="str">
        <x:v>祁腾蜂赢1号</x:v>
      </x:c>
      <x:c r="C2283" s="72" t="n">
        <x:v>44323</x:v>
      </x:c>
      <x:c r="D2283" s="73" t="n">
        <x:v>1.0537</x:v>
      </x:c>
      <x:c r="E2283" s="73" t="n">
        <x:v>1.4296</x:v>
      </x:c>
      <x:c r="F2283" s="73" t="n">
        <x:v>1.5031</x:v>
      </x:c>
      <x:c r="G2283" s="74" t="n">
        <x:v>-0.0004</x:v>
      </x:c>
      <x:c r="H2283" s="66" t="str">
        <x:v>祁腾蜂赢1号净值20260911.xlsx</x:v>
      </x:c>
      <x:c r="I2283" s="73" t="str">
        <x:f>""</x:f>
      </x:c>
      <x:c r="J2283" s="74" t="str">
        <x:f>""</x:f>
      </x:c>
      <x:c r="K2283" s="73" t="str">
        <x:f>""</x:f>
      </x:c>
      <x:c r="L2283" s="74" t="str">
        <x:f>""</x:f>
      </x:c>
      <x:c r="M2283" s="73" t="n">
        <x:f>MAX(M2282,F2283)</x:f>
        <x:v>1.5037</x:v>
      </x:c>
      <x:c r="N2283" s="74" t="n">
        <x:f>1-F2283/M2283</x:f>
        <x:v>0.00039901576112255643</x:v>
      </x:c>
    </x:row>
    <x:row r="2284" ht="27" customHeight="1">
      <x:c r="A2284" s="66" t="str">
        <x:v>SEV580</x:v>
      </x:c>
      <x:c r="B2284" s="66" t="str">
        <x:v>祁腾蜂赢1号</x:v>
      </x:c>
      <x:c r="C2284" s="72" t="n">
        <x:v>44326</x:v>
      </x:c>
      <x:c r="D2284" s="73" t="n">
        <x:v>1.054</x:v>
      </x:c>
      <x:c r="E2284" s="73" t="n">
        <x:v>1.4299</x:v>
      </x:c>
      <x:c r="F2284" s="73" t="n">
        <x:v>1.5035</x:v>
      </x:c>
      <x:c r="G2284" s="74" t="n">
        <x:v>0.0003</x:v>
      </x:c>
      <x:c r="H2284" s="66" t="str">
        <x:v>祁腾蜂赢1号净值20260911.xlsx</x:v>
      </x:c>
      <x:c r="I2284" s="73" t="str">
        <x:f>""</x:f>
      </x:c>
      <x:c r="J2284" s="74" t="str">
        <x:f>""</x:f>
      </x:c>
      <x:c r="K2284" s="73" t="str">
        <x:f>""</x:f>
      </x:c>
      <x:c r="L2284" s="74" t="str">
        <x:f>""</x:f>
      </x:c>
      <x:c r="M2284" s="73" t="n">
        <x:f>MAX(M2283,F2284)</x:f>
        <x:v>1.5037</x:v>
      </x:c>
      <x:c r="N2284" s="74" t="n">
        <x:f>1-F2284/M2284</x:f>
        <x:v>0.0001330052537075188</x:v>
      </x:c>
    </x:row>
    <x:row r="2285" ht="27" customHeight="1">
      <x:c r="A2285" s="66" t="str">
        <x:v>SEV580</x:v>
      </x:c>
      <x:c r="B2285" s="66" t="str">
        <x:v>祁腾蜂赢1号</x:v>
      </x:c>
      <x:c r="C2285" s="72" t="n">
        <x:v>44327</x:v>
      </x:c>
      <x:c r="D2285" s="73" t="n">
        <x:v>1.0559</x:v>
      </x:c>
      <x:c r="E2285" s="73" t="n">
        <x:v>1.4318</x:v>
      </x:c>
      <x:c r="F2285" s="73" t="n">
        <x:v>1.5062</x:v>
      </x:c>
      <x:c r="G2285" s="74" t="n">
        <x:v>0.0018</x:v>
      </x:c>
      <x:c r="H2285" s="66" t="str">
        <x:v>祁腾蜂赢1号净值20260911.xlsx</x:v>
      </x:c>
      <x:c r="I2285" s="73" t="str">
        <x:f>""</x:f>
      </x:c>
      <x:c r="J2285" s="74" t="str">
        <x:f>""</x:f>
      </x:c>
      <x:c r="K2285" s="73" t="str">
        <x:f>""</x:f>
      </x:c>
      <x:c r="L2285" s="74" t="str">
        <x:f>""</x:f>
      </x:c>
      <x:c r="M2285" s="73" t="n">
        <x:f>MAX(M2284,F2285)</x:f>
        <x:v>1.5062</x:v>
      </x:c>
      <x:c r="N2285" s="74" t="n">
        <x:f>1-F2285/M2285</x:f>
        <x:v>0</x:v>
      </x:c>
    </x:row>
    <x:row r="2286" ht="27" customHeight="1">
      <x:c r="A2286" s="66" t="str">
        <x:v>SEV580</x:v>
      </x:c>
      <x:c r="B2286" s="66" t="str">
        <x:v>祁腾蜂赢1号</x:v>
      </x:c>
      <x:c r="C2286" s="72" t="n">
        <x:v>44328</x:v>
      </x:c>
      <x:c r="D2286" s="73" t="n">
        <x:v>1.0568</x:v>
      </x:c>
      <x:c r="E2286" s="73" t="n">
        <x:v>1.4327</x:v>
      </x:c>
      <x:c r="F2286" s="73" t="n">
        <x:v>1.5075</x:v>
      </x:c>
      <x:c r="G2286" s="74" t="n">
        <x:v>0.0009</x:v>
      </x:c>
      <x:c r="H2286" s="66" t="str">
        <x:v>祁腾蜂赢1号净值20260911.xlsx</x:v>
      </x:c>
      <x:c r="I2286" s="73" t="str">
        <x:f>""</x:f>
      </x:c>
      <x:c r="J2286" s="74" t="str">
        <x:f>""</x:f>
      </x:c>
      <x:c r="K2286" s="73" t="str">
        <x:f>""</x:f>
      </x:c>
      <x:c r="L2286" s="74" t="str">
        <x:f>""</x:f>
      </x:c>
      <x:c r="M2286" s="73" t="n">
        <x:f>MAX(M2285,F2286)</x:f>
        <x:v>1.5075</x:v>
      </x:c>
      <x:c r="N2286" s="74" t="n">
        <x:f>1-F2286/M2286</x:f>
        <x:v>0</x:v>
      </x:c>
    </x:row>
    <x:row r="2287" ht="27" customHeight="1">
      <x:c r="A2287" s="66" t="str">
        <x:v>SEV580</x:v>
      </x:c>
      <x:c r="B2287" s="66" t="str">
        <x:v>祁腾蜂赢1号</x:v>
      </x:c>
      <x:c r="C2287" s="72" t="n">
        <x:v>44329</x:v>
      </x:c>
      <x:c r="D2287" s="73" t="n">
        <x:v>1.0573</x:v>
      </x:c>
      <x:c r="E2287" s="73" t="n">
        <x:v>1.4332</x:v>
      </x:c>
      <x:c r="F2287" s="73" t="n">
        <x:v>1.5082</x:v>
      </x:c>
      <x:c r="G2287" s="74" t="n">
        <x:v>0.0005</x:v>
      </x:c>
      <x:c r="H2287" s="66" t="str">
        <x:v>祁腾蜂赢1号净值20260911.xlsx</x:v>
      </x:c>
      <x:c r="I2287" s="73" t="str">
        <x:f>""</x:f>
      </x:c>
      <x:c r="J2287" s="74" t="str">
        <x:f>""</x:f>
      </x:c>
      <x:c r="K2287" s="73" t="str">
        <x:f>""</x:f>
      </x:c>
      <x:c r="L2287" s="74" t="str">
        <x:f>""</x:f>
      </x:c>
      <x:c r="M2287" s="73" t="n">
        <x:f>MAX(M2286,F2287)</x:f>
        <x:v>1.5082</x:v>
      </x:c>
      <x:c r="N2287" s="74" t="n">
        <x:f>1-F2287/M2287</x:f>
        <x:v>0</x:v>
      </x:c>
    </x:row>
    <x:row r="2288" ht="27" customHeight="1">
      <x:c r="A2288" s="66" t="str">
        <x:v>SEV580</x:v>
      </x:c>
      <x:c r="B2288" s="66" t="str">
        <x:v>祁腾蜂赢1号</x:v>
      </x:c>
      <x:c r="C2288" s="72" t="n">
        <x:v>44330</x:v>
      </x:c>
      <x:c r="D2288" s="73" t="n">
        <x:v>1.0574</x:v>
      </x:c>
      <x:c r="E2288" s="73" t="n">
        <x:v>1.4333</x:v>
      </x:c>
      <x:c r="F2288" s="73" t="n">
        <x:v>1.5084</x:v>
      </x:c>
      <x:c r="G2288" s="74" t="n">
        <x:v>0.0001</x:v>
      </x:c>
      <x:c r="H2288" s="66" t="str">
        <x:v>祁腾蜂赢1号净值20260911.xlsx</x:v>
      </x:c>
      <x:c r="I2288" s="73" t="str">
        <x:f>""</x:f>
      </x:c>
      <x:c r="J2288" s="74" t="str">
        <x:f>""</x:f>
      </x:c>
      <x:c r="K2288" s="73" t="str">
        <x:f>""</x:f>
      </x:c>
      <x:c r="L2288" s="74" t="str">
        <x:f>""</x:f>
      </x:c>
      <x:c r="M2288" s="73" t="n">
        <x:f>MAX(M2287,F2288)</x:f>
        <x:v>1.5084</x:v>
      </x:c>
      <x:c r="N2288" s="74" t="n">
        <x:f>1-F2288/M2288</x:f>
        <x:v>0</x:v>
      </x:c>
    </x:row>
    <x:row r="2289" ht="27" customHeight="1">
      <x:c r="A2289" s="66" t="str">
        <x:v>SEV580</x:v>
      </x:c>
      <x:c r="B2289" s="66" t="str">
        <x:v>祁腾蜂赢1号</x:v>
      </x:c>
      <x:c r="C2289" s="72" t="n">
        <x:v>44333</x:v>
      </x:c>
      <x:c r="D2289" s="73" t="n">
        <x:v>1.0578</x:v>
      </x:c>
      <x:c r="E2289" s="73" t="n">
        <x:v>1.4337</x:v>
      </x:c>
      <x:c r="F2289" s="73" t="n">
        <x:v>1.5089</x:v>
      </x:c>
      <x:c r="G2289" s="74" t="n">
        <x:v>0.0004</x:v>
      </x:c>
      <x:c r="H2289" s="66" t="str">
        <x:v>祁腾蜂赢1号净值20260911.xlsx</x:v>
      </x:c>
      <x:c r="I2289" s="73" t="str">
        <x:f>""</x:f>
      </x:c>
      <x:c r="J2289" s="74" t="str">
        <x:f>""</x:f>
      </x:c>
      <x:c r="K2289" s="73" t="str">
        <x:f>""</x:f>
      </x:c>
      <x:c r="L2289" s="74" t="str">
        <x:f>""</x:f>
      </x:c>
      <x:c r="M2289" s="73" t="n">
        <x:f>MAX(M2288,F2289)</x:f>
        <x:v>1.5089</x:v>
      </x:c>
      <x:c r="N2289" s="74" t="n">
        <x:f>1-F2289/M2289</x:f>
        <x:v>0</x:v>
      </x:c>
    </x:row>
    <x:row r="2290" ht="27" customHeight="1">
      <x:c r="A2290" s="66" t="str">
        <x:v>SEV580</x:v>
      </x:c>
      <x:c r="B2290" s="66" t="str">
        <x:v>祁腾蜂赢1号</x:v>
      </x:c>
      <x:c r="C2290" s="72" t="n">
        <x:v>44334</x:v>
      </x:c>
      <x:c r="D2290" s="73" t="n">
        <x:v>1.0572</x:v>
      </x:c>
      <x:c r="E2290" s="73" t="n">
        <x:v>1.4331</x:v>
      </x:c>
      <x:c r="F2290" s="73" t="n">
        <x:v>1.5081</x:v>
      </x:c>
      <x:c r="G2290" s="74" t="n">
        <x:v>-0.0006</x:v>
      </x:c>
      <x:c r="H2290" s="66" t="str">
        <x:v>祁腾蜂赢1号净值20260911.xlsx</x:v>
      </x:c>
      <x:c r="I2290" s="73" t="str">
        <x:f>""</x:f>
      </x:c>
      <x:c r="J2290" s="74" t="str">
        <x:f>""</x:f>
      </x:c>
      <x:c r="K2290" s="73" t="str">
        <x:f>""</x:f>
      </x:c>
      <x:c r="L2290" s="74" t="str">
        <x:f>""</x:f>
      </x:c>
      <x:c r="M2290" s="73" t="n">
        <x:f>MAX(M2289,F2290)</x:f>
        <x:v>1.5089</x:v>
      </x:c>
      <x:c r="N2290" s="74" t="n">
        <x:f>1-F2290/M2290</x:f>
        <x:v>0.0005301875538471501</x:v>
      </x:c>
    </x:row>
    <x:row r="2291" ht="27" customHeight="1">
      <x:c r="A2291" s="66" t="str">
        <x:v>SEV580</x:v>
      </x:c>
      <x:c r="B2291" s="66" t="str">
        <x:v>祁腾蜂赢1号</x:v>
      </x:c>
      <x:c r="C2291" s="72" t="n">
        <x:v>44335</x:v>
      </x:c>
      <x:c r="D2291" s="73" t="n">
        <x:v>1.0573</x:v>
      </x:c>
      <x:c r="E2291" s="73" t="n">
        <x:v>1.4332</x:v>
      </x:c>
      <x:c r="F2291" s="73" t="n">
        <x:v>1.5082</x:v>
      </x:c>
      <x:c r="G2291" s="74" t="n">
        <x:v>0.0001</x:v>
      </x:c>
      <x:c r="H2291" s="66" t="str">
        <x:v>祁腾蜂赢1号净值20260911.xlsx</x:v>
      </x:c>
      <x:c r="I2291" s="73" t="str">
        <x:f>""</x:f>
      </x:c>
      <x:c r="J2291" s="74" t="str">
        <x:f>""</x:f>
      </x:c>
      <x:c r="K2291" s="73" t="str">
        <x:f>""</x:f>
      </x:c>
      <x:c r="L2291" s="74" t="str">
        <x:f>""</x:f>
      </x:c>
      <x:c r="M2291" s="73" t="n">
        <x:f>MAX(M2290,F2291)</x:f>
        <x:v>1.5089</x:v>
      </x:c>
      <x:c r="N2291" s="74" t="n">
        <x:f>1-F2291/M2291</x:f>
        <x:v>0.0004639141096162147</x:v>
      </x:c>
    </x:row>
    <x:row r="2292" ht="27" customHeight="1">
      <x:c r="A2292" s="66" t="str">
        <x:v>SEV580</x:v>
      </x:c>
      <x:c r="B2292" s="66" t="str">
        <x:v>祁腾蜂赢1号</x:v>
      </x:c>
      <x:c r="C2292" s="72" t="n">
        <x:v>44336</x:v>
      </x:c>
      <x:c r="D2292" s="73" t="n">
        <x:v>1.0575</x:v>
      </x:c>
      <x:c r="E2292" s="73" t="n">
        <x:v>1.4334</x:v>
      </x:c>
      <x:c r="F2292" s="73" t="n">
        <x:v>1.5085</x:v>
      </x:c>
      <x:c r="G2292" s="74" t="n">
        <x:v>0.0002</x:v>
      </x:c>
      <x:c r="H2292" s="66" t="str">
        <x:v>祁腾蜂赢1号净值20260911.xlsx</x:v>
      </x:c>
      <x:c r="I2292" s="73" t="str">
        <x:f>""</x:f>
      </x:c>
      <x:c r="J2292" s="74" t="str">
        <x:f>""</x:f>
      </x:c>
      <x:c r="K2292" s="73" t="str">
        <x:f>""</x:f>
      </x:c>
      <x:c r="L2292" s="74" t="str">
        <x:f>""</x:f>
      </x:c>
      <x:c r="M2292" s="73" t="n">
        <x:f>MAX(M2291,F2292)</x:f>
        <x:v>1.5089</x:v>
      </x:c>
      <x:c r="N2292" s="74" t="n">
        <x:f>1-F2292/M2292</x:f>
        <x:v>0.00026509377692351954</x:v>
      </x:c>
    </x:row>
    <x:row r="2293" ht="27" customHeight="1">
      <x:c r="A2293" s="66" t="str">
        <x:v>SEV580</x:v>
      </x:c>
      <x:c r="B2293" s="66" t="str">
        <x:v>祁腾蜂赢1号</x:v>
      </x:c>
      <x:c r="C2293" s="72" t="n">
        <x:v>44337</x:v>
      </x:c>
      <x:c r="D2293" s="73" t="n">
        <x:v>1.0583</x:v>
      </x:c>
      <x:c r="E2293" s="73" t="n">
        <x:v>1.4342</x:v>
      </x:c>
      <x:c r="F2293" s="73" t="n">
        <x:v>1.5097</x:v>
      </x:c>
      <x:c r="G2293" s="74" t="n">
        <x:v>0.0008</x:v>
      </x:c>
      <x:c r="H2293" s="66" t="str">
        <x:v>祁腾蜂赢1号净值20260911.xlsx</x:v>
      </x:c>
      <x:c r="I2293" s="73" t="str">
        <x:f>""</x:f>
      </x:c>
      <x:c r="J2293" s="74" t="str">
        <x:f>""</x:f>
      </x:c>
      <x:c r="K2293" s="73" t="str">
        <x:f>""</x:f>
      </x:c>
      <x:c r="L2293" s="74" t="str">
        <x:f>""</x:f>
      </x:c>
      <x:c r="M2293" s="73" t="n">
        <x:f>MAX(M2292,F2293)</x:f>
        <x:v>1.5097</x:v>
      </x:c>
      <x:c r="N2293" s="74" t="n">
        <x:f>1-F2293/M2293</x:f>
        <x:v>0</x:v>
      </x:c>
    </x:row>
    <x:row r="2294" ht="27" customHeight="1">
      <x:c r="A2294" s="66" t="str">
        <x:v>SEV580</x:v>
      </x:c>
      <x:c r="B2294" s="66" t="str">
        <x:v>祁腾蜂赢1号</x:v>
      </x:c>
      <x:c r="C2294" s="72" t="n">
        <x:v>44340</x:v>
      </x:c>
      <x:c r="D2294" s="73" t="n">
        <x:v>1.0585</x:v>
      </x:c>
      <x:c r="E2294" s="73" t="n">
        <x:v>1.4344</x:v>
      </x:c>
      <x:c r="F2294" s="73" t="n">
        <x:v>1.5099</x:v>
      </x:c>
      <x:c r="G2294" s="74" t="n">
        <x:v>0.0002</x:v>
      </x:c>
      <x:c r="H2294" s="66" t="str">
        <x:v>祁腾蜂赢1号净值20260911.xlsx</x:v>
      </x:c>
      <x:c r="I2294" s="73" t="str">
        <x:f>""</x:f>
      </x:c>
      <x:c r="J2294" s="74" t="str">
        <x:f>""</x:f>
      </x:c>
      <x:c r="K2294" s="73" t="str">
        <x:f>""</x:f>
      </x:c>
      <x:c r="L2294" s="74" t="str">
        <x:f>""</x:f>
      </x:c>
      <x:c r="M2294" s="73" t="n">
        <x:f>MAX(M2293,F2294)</x:f>
        <x:v>1.5099</x:v>
      </x:c>
      <x:c r="N2294" s="74" t="n">
        <x:f>1-F2294/M2294</x:f>
        <x:v>0</x:v>
      </x:c>
    </x:row>
    <x:row r="2295" ht="27" customHeight="1">
      <x:c r="A2295" s="66" t="str">
        <x:v>SEV580</x:v>
      </x:c>
      <x:c r="B2295" s="66" t="str">
        <x:v>祁腾蜂赢1号</x:v>
      </x:c>
      <x:c r="C2295" s="72" t="n">
        <x:v>44341</x:v>
      </x:c>
      <x:c r="D2295" s="73" t="n">
        <x:v>1.0588</x:v>
      </x:c>
      <x:c r="E2295" s="73" t="n">
        <x:v>1.4347</x:v>
      </x:c>
      <x:c r="F2295" s="73" t="n">
        <x:v>1.5104</x:v>
      </x:c>
      <x:c r="G2295" s="74" t="n">
        <x:v>0.0003</x:v>
      </x:c>
      <x:c r="H2295" s="66" t="str">
        <x:v>祁腾蜂赢1号净值20260911.xlsx</x:v>
      </x:c>
      <x:c r="I2295" s="73" t="str">
        <x:f>""</x:f>
      </x:c>
      <x:c r="J2295" s="74" t="str">
        <x:f>""</x:f>
      </x:c>
      <x:c r="K2295" s="73" t="str">
        <x:f>""</x:f>
      </x:c>
      <x:c r="L2295" s="74" t="str">
        <x:f>""</x:f>
      </x:c>
      <x:c r="M2295" s="73" t="n">
        <x:f>MAX(M2294,F2295)</x:f>
        <x:v>1.5104</x:v>
      </x:c>
      <x:c r="N2295" s="74" t="n">
        <x:f>1-F2295/M2295</x:f>
        <x:v>0</x:v>
      </x:c>
    </x:row>
    <x:row r="2296" ht="27" customHeight="1">
      <x:c r="A2296" s="66" t="str">
        <x:v>SEV580</x:v>
      </x:c>
      <x:c r="B2296" s="66" t="str">
        <x:v>祁腾蜂赢1号</x:v>
      </x:c>
      <x:c r="C2296" s="72" t="n">
        <x:v>44342</x:v>
      </x:c>
      <x:c r="D2296" s="73" t="n">
        <x:v>1.0589</x:v>
      </x:c>
      <x:c r="E2296" s="73" t="n">
        <x:v>1.4348</x:v>
      </x:c>
      <x:c r="F2296" s="73" t="n">
        <x:v>1.5105</x:v>
      </x:c>
      <x:c r="G2296" s="74" t="n">
        <x:v>0.0001</x:v>
      </x:c>
      <x:c r="H2296" s="66" t="str">
        <x:v>祁腾蜂赢1号净值20260911.xlsx</x:v>
      </x:c>
      <x:c r="I2296" s="73" t="str">
        <x:f>""</x:f>
      </x:c>
      <x:c r="J2296" s="74" t="str">
        <x:f>""</x:f>
      </x:c>
      <x:c r="K2296" s="73" t="str">
        <x:f>""</x:f>
      </x:c>
      <x:c r="L2296" s="74" t="str">
        <x:f>""</x:f>
      </x:c>
      <x:c r="M2296" s="73" t="n">
        <x:f>MAX(M2295,F2296)</x:f>
        <x:v>1.5105</x:v>
      </x:c>
      <x:c r="N2296" s="74" t="n">
        <x:f>1-F2296/M2296</x:f>
        <x:v>0</x:v>
      </x:c>
    </x:row>
    <x:row r="2297" ht="27" customHeight="1">
      <x:c r="A2297" s="66" t="str">
        <x:v>SEV580</x:v>
      </x:c>
      <x:c r="B2297" s="66" t="str">
        <x:v>祁腾蜂赢1号</x:v>
      </x:c>
      <x:c r="C2297" s="72" t="n">
        <x:v>44343</x:v>
      </x:c>
      <x:c r="D2297" s="73" t="n">
        <x:v>1.0601</x:v>
      </x:c>
      <x:c r="E2297" s="73" t="n">
        <x:v>1.436</x:v>
      </x:c>
      <x:c r="F2297" s="73" t="n">
        <x:v>1.5122</x:v>
      </x:c>
      <x:c r="G2297" s="74" t="n">
        <x:v>0.0011</x:v>
      </x:c>
      <x:c r="H2297" s="66" t="str">
        <x:v>祁腾蜂赢1号净值20260911.xlsx</x:v>
      </x:c>
      <x:c r="I2297" s="73" t="str">
        <x:f>""</x:f>
      </x:c>
      <x:c r="J2297" s="74" t="str">
        <x:f>""</x:f>
      </x:c>
      <x:c r="K2297" s="73" t="str">
        <x:f>""</x:f>
      </x:c>
      <x:c r="L2297" s="74" t="str">
        <x:f>""</x:f>
      </x:c>
      <x:c r="M2297" s="73" t="n">
        <x:f>MAX(M2296,F2297)</x:f>
        <x:v>1.5122</x:v>
      </x:c>
      <x:c r="N2297" s="74" t="n">
        <x:f>1-F2297/M2297</x:f>
        <x:v>0</x:v>
      </x:c>
    </x:row>
    <x:row r="2298" ht="27" customHeight="1">
      <x:c r="A2298" s="66" t="str">
        <x:v>SEV580</x:v>
      </x:c>
      <x:c r="B2298" s="66" t="str">
        <x:v>祁腾蜂赢1号</x:v>
      </x:c>
      <x:c r="C2298" s="72" t="n">
        <x:v>44344</x:v>
      </x:c>
      <x:c r="D2298" s="73" t="n">
        <x:v>1.0607</x:v>
      </x:c>
      <x:c r="E2298" s="73" t="n">
        <x:v>1.4366</x:v>
      </x:c>
      <x:c r="F2298" s="73" t="n">
        <x:v>1.5131</x:v>
      </x:c>
      <x:c r="G2298" s="74" t="n">
        <x:v>0.0006</x:v>
      </x:c>
      <x:c r="H2298" s="66" t="str">
        <x:v>祁腾蜂赢1号净值20260911.xlsx</x:v>
      </x:c>
      <x:c r="I2298" s="73" t="str">
        <x:f>""</x:f>
      </x:c>
      <x:c r="J2298" s="74" t="str">
        <x:f>""</x:f>
      </x:c>
      <x:c r="K2298" s="73" t="str">
        <x:f>""</x:f>
      </x:c>
      <x:c r="L2298" s="74" t="str">
        <x:f>""</x:f>
      </x:c>
      <x:c r="M2298" s="73" t="n">
        <x:f>MAX(M2297,F2298)</x:f>
        <x:v>1.5131</x:v>
      </x:c>
      <x:c r="N2298" s="74" t="n">
        <x:f>1-F2298/M2298</x:f>
        <x:v>0</x:v>
      </x:c>
    </x:row>
    <x:row r="2299" ht="27" customHeight="1">
      <x:c r="A2299" s="66" t="str">
        <x:v>SEV580</x:v>
      </x:c>
      <x:c r="B2299" s="66" t="str">
        <x:v>祁腾蜂赢1号</x:v>
      </x:c>
      <x:c r="C2299" s="72" t="n">
        <x:v>44347</x:v>
      </x:c>
      <x:c r="D2299" s="73" t="n">
        <x:v>1.0613</x:v>
      </x:c>
      <x:c r="E2299" s="73" t="n">
        <x:v>1.4372</x:v>
      </x:c>
      <x:c r="F2299" s="73" t="n">
        <x:v>1.5139</x:v>
      </x:c>
      <x:c r="G2299" s="74" t="n">
        <x:v>0.0006</x:v>
      </x:c>
      <x:c r="H2299" s="66" t="str">
        <x:v>祁腾蜂赢1号净值20260911.xlsx</x:v>
      </x:c>
      <x:c r="I2299" s="73" t="str">
        <x:f>""</x:f>
      </x:c>
      <x:c r="J2299" s="74" t="str">
        <x:f>""</x:f>
      </x:c>
      <x:c r="K2299" s="73" t="str">
        <x:f>""</x:f>
      </x:c>
      <x:c r="L2299" s="74" t="str">
        <x:f>""</x:f>
      </x:c>
      <x:c r="M2299" s="73" t="n">
        <x:f>MAX(M2298,F2299)</x:f>
        <x:v>1.5139</x:v>
      </x:c>
      <x:c r="N2299" s="74" t="n">
        <x:f>1-F2299/M2299</x:f>
        <x:v>0</x:v>
      </x:c>
    </x:row>
    <x:row r="2300" ht="27" customHeight="1">
      <x:c r="A2300" s="66" t="str">
        <x:v>SEV580</x:v>
      </x:c>
      <x:c r="B2300" s="66" t="str">
        <x:v>祁腾蜂赢1号</x:v>
      </x:c>
      <x:c r="C2300" s="72" t="n">
        <x:v>44348</x:v>
      </x:c>
      <x:c r="D2300" s="73" t="n">
        <x:v>1.0612</x:v>
      </x:c>
      <x:c r="E2300" s="73" t="n">
        <x:v>1.4371</x:v>
      </x:c>
      <x:c r="F2300" s="73" t="n">
        <x:v>1.5138</x:v>
      </x:c>
      <x:c r="G2300" s="74" t="n">
        <x:v>-0.0001</x:v>
      </x:c>
      <x:c r="H2300" s="66" t="str">
        <x:v>祁腾蜂赢1号净值20260911.xlsx</x:v>
      </x:c>
      <x:c r="I2300" s="73" t="str">
        <x:f>""</x:f>
      </x:c>
      <x:c r="J2300" s="74" t="str">
        <x:f>""</x:f>
      </x:c>
      <x:c r="K2300" s="73" t="str">
        <x:f>""</x:f>
      </x:c>
      <x:c r="L2300" s="74" t="str">
        <x:f>""</x:f>
      </x:c>
      <x:c r="M2300" s="73" t="n">
        <x:f>MAX(M2299,F2300)</x:f>
        <x:v>1.5139</x:v>
      </x:c>
      <x:c r="N2300" s="74" t="n">
        <x:f>1-F2300/M2300</x:f>
        <x:v>0.00006605456106745233</x:v>
      </x:c>
    </x:row>
    <x:row r="2301" ht="27" customHeight="1">
      <x:c r="A2301" s="66" t="str">
        <x:v>SEV580</x:v>
      </x:c>
      <x:c r="B2301" s="66" t="str">
        <x:v>祁腾蜂赢1号</x:v>
      </x:c>
      <x:c r="C2301" s="72" t="n">
        <x:v>44349</x:v>
      </x:c>
      <x:c r="D2301" s="73" t="n">
        <x:v>1.0613</x:v>
      </x:c>
      <x:c r="E2301" s="73" t="n">
        <x:v>1.4372</x:v>
      </x:c>
      <x:c r="F2301" s="73" t="n">
        <x:v>1.5139</x:v>
      </x:c>
      <x:c r="G2301" s="74" t="n">
        <x:v>0.0001</x:v>
      </x:c>
      <x:c r="H2301" s="66" t="str">
        <x:v>祁腾蜂赢1号净值20260911.xlsx</x:v>
      </x:c>
      <x:c r="I2301" s="73" t="str">
        <x:f>""</x:f>
      </x:c>
      <x:c r="J2301" s="74" t="str">
        <x:f>""</x:f>
      </x:c>
      <x:c r="K2301" s="73" t="str">
        <x:f>""</x:f>
      </x:c>
      <x:c r="L2301" s="74" t="str">
        <x:f>""</x:f>
      </x:c>
      <x:c r="M2301" s="73" t="n">
        <x:f>MAX(M2300,F2301)</x:f>
        <x:v>1.5139</x:v>
      </x:c>
      <x:c r="N2301" s="74" t="n">
        <x:f>1-F2301/M2301</x:f>
        <x:v>0</x:v>
      </x:c>
    </x:row>
    <x:row r="2302" ht="27" customHeight="1">
      <x:c r="A2302" s="66" t="str">
        <x:v>SEV580</x:v>
      </x:c>
      <x:c r="B2302" s="66" t="str">
        <x:v>祁腾蜂赢1号</x:v>
      </x:c>
      <x:c r="C2302" s="72" t="n">
        <x:v>44350</x:v>
      </x:c>
      <x:c r="D2302" s="73" t="n">
        <x:v>1.0617</x:v>
      </x:c>
      <x:c r="E2302" s="73" t="n">
        <x:v>1.4376</x:v>
      </x:c>
      <x:c r="F2302" s="73" t="n">
        <x:v>1.5145</x:v>
      </x:c>
      <x:c r="G2302" s="74" t="n">
        <x:v>0.0004</x:v>
      </x:c>
      <x:c r="H2302" s="66" t="str">
        <x:v>祁腾蜂赢1号净值20260911.xlsx</x:v>
      </x:c>
      <x:c r="I2302" s="73" t="str">
        <x:f>""</x:f>
      </x:c>
      <x:c r="J2302" s="74" t="str">
        <x:f>""</x:f>
      </x:c>
      <x:c r="K2302" s="73" t="str">
        <x:f>""</x:f>
      </x:c>
      <x:c r="L2302" s="74" t="str">
        <x:f>""</x:f>
      </x:c>
      <x:c r="M2302" s="73" t="n">
        <x:f>MAX(M2301,F2302)</x:f>
        <x:v>1.5145</x:v>
      </x:c>
      <x:c r="N2302" s="74" t="n">
        <x:f>1-F2302/M2302</x:f>
        <x:v>0</x:v>
      </x:c>
    </x:row>
    <x:row r="2303" ht="27" customHeight="1">
      <x:c r="A2303" s="66" t="str">
        <x:v>SEV580</x:v>
      </x:c>
      <x:c r="B2303" s="66" t="str">
        <x:v>祁腾蜂赢1号</x:v>
      </x:c>
      <x:c r="C2303" s="72" t="n">
        <x:v>44351</x:v>
      </x:c>
      <x:c r="D2303" s="73" t="n">
        <x:v>1.0642</x:v>
      </x:c>
      <x:c r="E2303" s="73" t="n">
        <x:v>1.4401</x:v>
      </x:c>
      <x:c r="F2303" s="73" t="n">
        <x:v>1.5181</x:v>
      </x:c>
      <x:c r="G2303" s="74" t="n">
        <x:v>0.0024</x:v>
      </x:c>
      <x:c r="H2303" s="66" t="str">
        <x:v>祁腾蜂赢1号净值20260911.xlsx</x:v>
      </x:c>
      <x:c r="I2303" s="73" t="str">
        <x:f>""</x:f>
      </x:c>
      <x:c r="J2303" s="74" t="str">
        <x:f>""</x:f>
      </x:c>
      <x:c r="K2303" s="73" t="str">
        <x:f>""</x:f>
      </x:c>
      <x:c r="L2303" s="74" t="str">
        <x:f>""</x:f>
      </x:c>
      <x:c r="M2303" s="73" t="n">
        <x:f>MAX(M2302,F2303)</x:f>
        <x:v>1.5181</x:v>
      </x:c>
      <x:c r="N2303" s="74" t="n">
        <x:f>1-F2303/M2303</x:f>
        <x:v>0</x:v>
      </x:c>
    </x:row>
    <x:row r="2304" ht="27" customHeight="1">
      <x:c r="A2304" s="66" t="str">
        <x:v>SEV580</x:v>
      </x:c>
      <x:c r="B2304" s="66" t="str">
        <x:v>祁腾蜂赢1号</x:v>
      </x:c>
      <x:c r="C2304" s="72" t="n">
        <x:v>44354</x:v>
      </x:c>
      <x:c r="D2304" s="73" t="n">
        <x:v>1.0643</x:v>
      </x:c>
      <x:c r="E2304" s="73" t="n">
        <x:v>1.4402</x:v>
      </x:c>
      <x:c r="F2304" s="73" t="n">
        <x:v>1.5182</x:v>
      </x:c>
      <x:c r="G2304" s="74" t="n">
        <x:v>0.0001</x:v>
      </x:c>
      <x:c r="H2304" s="66" t="str">
        <x:v>祁腾蜂赢1号净值20260911.xlsx</x:v>
      </x:c>
      <x:c r="I2304" s="73" t="str">
        <x:f>""</x:f>
      </x:c>
      <x:c r="J2304" s="74" t="str">
        <x:f>""</x:f>
      </x:c>
      <x:c r="K2304" s="73" t="str">
        <x:f>""</x:f>
      </x:c>
      <x:c r="L2304" s="74" t="str">
        <x:f>""</x:f>
      </x:c>
      <x:c r="M2304" s="73" t="n">
        <x:f>MAX(M2303,F2304)</x:f>
        <x:v>1.5182</x:v>
      </x:c>
      <x:c r="N2304" s="74" t="n">
        <x:f>1-F2304/M2304</x:f>
        <x:v>0</x:v>
      </x:c>
    </x:row>
    <x:row r="2305" ht="27" customHeight="1">
      <x:c r="A2305" s="66" t="str">
        <x:v>SEV580</x:v>
      </x:c>
      <x:c r="B2305" s="66" t="str">
        <x:v>祁腾蜂赢1号</x:v>
      </x:c>
      <x:c r="C2305" s="72" t="n">
        <x:v>44355</x:v>
      </x:c>
      <x:c r="D2305" s="73" t="n">
        <x:v>1.0647</x:v>
      </x:c>
      <x:c r="E2305" s="73" t="n">
        <x:v>1.4406</x:v>
      </x:c>
      <x:c r="F2305" s="73" t="n">
        <x:v>1.5188</x:v>
      </x:c>
      <x:c r="G2305" s="74" t="n">
        <x:v>0.0004</x:v>
      </x:c>
      <x:c r="H2305" s="66" t="str">
        <x:v>祁腾蜂赢1号净值20260911.xlsx</x:v>
      </x:c>
      <x:c r="I2305" s="73" t="str">
        <x:f>""</x:f>
      </x:c>
      <x:c r="J2305" s="74" t="str">
        <x:f>""</x:f>
      </x:c>
      <x:c r="K2305" s="73" t="str">
        <x:f>""</x:f>
      </x:c>
      <x:c r="L2305" s="74" t="str">
        <x:f>""</x:f>
      </x:c>
      <x:c r="M2305" s="73" t="n">
        <x:f>MAX(M2304,F2305)</x:f>
        <x:v>1.5188</x:v>
      </x:c>
      <x:c r="N2305" s="74" t="n">
        <x:f>1-F2305/M2305</x:f>
        <x:v>0</x:v>
      </x:c>
    </x:row>
    <x:row r="2306" ht="27" customHeight="1">
      <x:c r="A2306" s="66" t="str">
        <x:v>SEV580</x:v>
      </x:c>
      <x:c r="B2306" s="66" t="str">
        <x:v>祁腾蜂赢1号</x:v>
      </x:c>
      <x:c r="C2306" s="72" t="n">
        <x:v>44356</x:v>
      </x:c>
      <x:c r="D2306" s="73" t="n">
        <x:v>1.0643</x:v>
      </x:c>
      <x:c r="E2306" s="73" t="n">
        <x:v>1.4402</x:v>
      </x:c>
      <x:c r="F2306" s="73" t="n">
        <x:v>1.5182</x:v>
      </x:c>
      <x:c r="G2306" s="74" t="n">
        <x:v>-0.0004</x:v>
      </x:c>
      <x:c r="H2306" s="66" t="str">
        <x:v>祁腾蜂赢1号净值20260911.xlsx</x:v>
      </x:c>
      <x:c r="I2306" s="73" t="str">
        <x:f>""</x:f>
      </x:c>
      <x:c r="J2306" s="74" t="str">
        <x:f>""</x:f>
      </x:c>
      <x:c r="K2306" s="73" t="str">
        <x:f>""</x:f>
      </x:c>
      <x:c r="L2306" s="74" t="str">
        <x:f>""</x:f>
      </x:c>
      <x:c r="M2306" s="73" t="n">
        <x:f>MAX(M2305,F2306)</x:f>
        <x:v>1.5188</x:v>
      </x:c>
      <x:c r="N2306" s="74" t="n">
        <x:f>1-F2306/M2306</x:f>
        <x:v>0.000395048722675706</x:v>
      </x:c>
    </x:row>
    <x:row r="2307" ht="27" customHeight="1">
      <x:c r="A2307" s="66" t="str">
        <x:v>SEV580</x:v>
      </x:c>
      <x:c r="B2307" s="66" t="str">
        <x:v>祁腾蜂赢1号</x:v>
      </x:c>
      <x:c r="C2307" s="72" t="n">
        <x:v>44357</x:v>
      </x:c>
      <x:c r="D2307" s="73" t="n">
        <x:v>1.0648</x:v>
      </x:c>
      <x:c r="E2307" s="73" t="n">
        <x:v>1.4407</x:v>
      </x:c>
      <x:c r="F2307" s="73" t="n">
        <x:v>1.5189</x:v>
      </x:c>
      <x:c r="G2307" s="74" t="n">
        <x:v>0.0005</x:v>
      </x:c>
      <x:c r="H2307" s="66" t="str">
        <x:v>祁腾蜂赢1号净值20260911.xlsx</x:v>
      </x:c>
      <x:c r="I2307" s="73" t="str">
        <x:f>""</x:f>
      </x:c>
      <x:c r="J2307" s="74" t="str">
        <x:f>""</x:f>
      </x:c>
      <x:c r="K2307" s="73" t="str">
        <x:f>""</x:f>
      </x:c>
      <x:c r="L2307" s="74" t="str">
        <x:f>""</x:f>
      </x:c>
      <x:c r="M2307" s="73" t="n">
        <x:f>MAX(M2306,F2307)</x:f>
        <x:v>1.5189</x:v>
      </x:c>
      <x:c r="N2307" s="74" t="n">
        <x:f>1-F2307/M2307</x:f>
        <x:v>0</x:v>
      </x:c>
    </x:row>
    <x:row r="2308" ht="27" customHeight="1">
      <x:c r="A2308" s="66" t="str">
        <x:v>SEV580</x:v>
      </x:c>
      <x:c r="B2308" s="66" t="str">
        <x:v>祁腾蜂赢1号</x:v>
      </x:c>
      <x:c r="C2308" s="72" t="n">
        <x:v>44358</x:v>
      </x:c>
      <x:c r="D2308" s="73" t="n">
        <x:v>1.0656</x:v>
      </x:c>
      <x:c r="E2308" s="73" t="n">
        <x:v>1.4415</x:v>
      </x:c>
      <x:c r="F2308" s="73" t="n">
        <x:v>1.5201</x:v>
      </x:c>
      <x:c r="G2308" s="74" t="n">
        <x:v>0.0008</x:v>
      </x:c>
      <x:c r="H2308" s="66" t="str">
        <x:v>祁腾蜂赢1号净值20260911.xlsx</x:v>
      </x:c>
      <x:c r="I2308" s="73" t="str">
        <x:f>""</x:f>
      </x:c>
      <x:c r="J2308" s="74" t="str">
        <x:f>""</x:f>
      </x:c>
      <x:c r="K2308" s="73" t="str">
        <x:f>""</x:f>
      </x:c>
      <x:c r="L2308" s="74" t="str">
        <x:f>""</x:f>
      </x:c>
      <x:c r="M2308" s="73" t="n">
        <x:f>MAX(M2307,F2308)</x:f>
        <x:v>1.5201</x:v>
      </x:c>
      <x:c r="N2308" s="74" t="n">
        <x:f>1-F2308/M2308</x:f>
        <x:v>0</x:v>
      </x:c>
    </x:row>
    <x:row r="2309" ht="27" customHeight="1">
      <x:c r="A2309" s="66" t="str">
        <x:v>SEV580</x:v>
      </x:c>
      <x:c r="B2309" s="66" t="str">
        <x:v>祁腾蜂赢1号</x:v>
      </x:c>
      <x:c r="C2309" s="72" t="n">
        <x:v>44362</x:v>
      </x:c>
      <x:c r="D2309" s="73" t="n">
        <x:v>1.0651</x:v>
      </x:c>
      <x:c r="E2309" s="73" t="n">
        <x:v>1.441</x:v>
      </x:c>
      <x:c r="F2309" s="73" t="n">
        <x:v>1.5194</x:v>
      </x:c>
      <x:c r="G2309" s="74" t="n">
        <x:v>-0.0005</x:v>
      </x:c>
      <x:c r="H2309" s="66" t="str">
        <x:v>祁腾蜂赢1号净值20260911.xlsx</x:v>
      </x:c>
      <x:c r="I2309" s="73" t="str">
        <x:f>""</x:f>
      </x:c>
      <x:c r="J2309" s="74" t="str">
        <x:f>""</x:f>
      </x:c>
      <x:c r="K2309" s="73" t="str">
        <x:f>""</x:f>
      </x:c>
      <x:c r="L2309" s="74" t="str">
        <x:f>""</x:f>
      </x:c>
      <x:c r="M2309" s="73" t="n">
        <x:f>MAX(M2308,F2309)</x:f>
        <x:v>1.5201</x:v>
      </x:c>
      <x:c r="N2309" s="74" t="n">
        <x:f>1-F2309/M2309</x:f>
        <x:v>0.0004604960199986463</x:v>
      </x:c>
    </x:row>
    <x:row r="2310" ht="27" customHeight="1">
      <x:c r="A2310" s="66" t="str">
        <x:v>SEV580</x:v>
      </x:c>
      <x:c r="B2310" s="66" t="str">
        <x:v>祁腾蜂赢1号</x:v>
      </x:c>
      <x:c r="C2310" s="72" t="n">
        <x:v>44363</x:v>
      </x:c>
      <x:c r="D2310" s="73" t="n">
        <x:v>1.0657</x:v>
      </x:c>
      <x:c r="E2310" s="73" t="n">
        <x:v>1.4416</x:v>
      </x:c>
      <x:c r="F2310" s="73" t="n">
        <x:v>1.5202</x:v>
      </x:c>
      <x:c r="G2310" s="74" t="n">
        <x:v>0.0006</x:v>
      </x:c>
      <x:c r="H2310" s="66" t="str">
        <x:v>祁腾蜂赢1号净值20260911.xlsx</x:v>
      </x:c>
      <x:c r="I2310" s="73" t="str">
        <x:f>""</x:f>
      </x:c>
      <x:c r="J2310" s="74" t="str">
        <x:f>""</x:f>
      </x:c>
      <x:c r="K2310" s="73" t="str">
        <x:f>""</x:f>
      </x:c>
      <x:c r="L2310" s="74" t="str">
        <x:f>""</x:f>
      </x:c>
      <x:c r="M2310" s="73" t="n">
        <x:f>MAX(M2309,F2310)</x:f>
        <x:v>1.5202</x:v>
      </x:c>
      <x:c r="N2310" s="74" t="n">
        <x:f>1-F2310/M2310</x:f>
        <x:v>0</x:v>
      </x:c>
    </x:row>
    <x:row r="2311" ht="27" customHeight="1">
      <x:c r="A2311" s="66" t="str">
        <x:v>SEV580</x:v>
      </x:c>
      <x:c r="B2311" s="66" t="str">
        <x:v>祁腾蜂赢1号</x:v>
      </x:c>
      <x:c r="C2311" s="72" t="n">
        <x:v>44364</x:v>
      </x:c>
      <x:c r="D2311" s="73" t="n">
        <x:v>1.0662</x:v>
      </x:c>
      <x:c r="E2311" s="73" t="n">
        <x:v>1.4421</x:v>
      </x:c>
      <x:c r="F2311" s="73" t="n">
        <x:v>1.5209</x:v>
      </x:c>
      <x:c r="G2311" s="74" t="n">
        <x:v>0.0005</x:v>
      </x:c>
      <x:c r="H2311" s="66" t="str">
        <x:v>祁腾蜂赢1号净值20260911.xlsx</x:v>
      </x:c>
      <x:c r="I2311" s="73" t="str">
        <x:f>""</x:f>
      </x:c>
      <x:c r="J2311" s="74" t="str">
        <x:f>""</x:f>
      </x:c>
      <x:c r="K2311" s="73" t="str">
        <x:f>""</x:f>
      </x:c>
      <x:c r="L2311" s="74" t="str">
        <x:f>""</x:f>
      </x:c>
      <x:c r="M2311" s="73" t="n">
        <x:f>MAX(M2310,F2311)</x:f>
        <x:v>1.5209</x:v>
      </x:c>
      <x:c r="N2311" s="74" t="n">
        <x:f>1-F2311/M2311</x:f>
        <x:v>0</x:v>
      </x:c>
    </x:row>
    <x:row r="2312" ht="27" customHeight="1">
      <x:c r="A2312" s="66" t="str">
        <x:v>SEV580</x:v>
      </x:c>
      <x:c r="B2312" s="66" t="str">
        <x:v>祁腾蜂赢1号</x:v>
      </x:c>
      <x:c r="C2312" s="72" t="n">
        <x:v>44365</x:v>
      </x:c>
      <x:c r="D2312" s="73" t="n">
        <x:v>1</x:v>
      </x:c>
      <x:c r="E2312" s="73" t="n">
        <x:v>1.4428</x:v>
      </x:c>
      <x:c r="F2312" s="73" t="n">
        <x:v>1.5219</x:v>
      </x:c>
      <x:c r="G2312" s="74" t="n">
        <x:v>0.0007000000000000001</x:v>
      </x:c>
      <x:c r="H2312" s="66" t="str">
        <x:v>祁腾蜂赢1号净值20260911.xlsx</x:v>
      </x:c>
      <x:c r="I2312" s="73" t="str">
        <x:f>""</x:f>
      </x:c>
      <x:c r="J2312" s="74" t="str">
        <x:f>""</x:f>
      </x:c>
      <x:c r="K2312" s="73" t="str">
        <x:f>""</x:f>
      </x:c>
      <x:c r="L2312" s="74" t="str">
        <x:f>""</x:f>
      </x:c>
      <x:c r="M2312" s="73" t="n">
        <x:f>MAX(M2311,F2312)</x:f>
        <x:v>1.5219</x:v>
      </x:c>
      <x:c r="N2312" s="74" t="n">
        <x:f>1-F2312/M2312</x:f>
        <x:v>0</x:v>
      </x:c>
    </x:row>
    <x:row r="2313" ht="27" customHeight="1">
      <x:c r="A2313" s="66" t="str">
        <x:v>SEV580</x:v>
      </x:c>
      <x:c r="B2313" s="66" t="str">
        <x:v>祁腾蜂赢1号</x:v>
      </x:c>
      <x:c r="C2313" s="72" t="n">
        <x:v>44368</x:v>
      </x:c>
      <x:c r="D2313" s="73" t="n">
        <x:v>0.9999</x:v>
      </x:c>
      <x:c r="E2313" s="73" t="n">
        <x:v>1.4427</x:v>
      </x:c>
      <x:c r="F2313" s="73" t="n">
        <x:v>1.5218</x:v>
      </x:c>
      <x:c r="G2313" s="74" t="n">
        <x:v>-0.0001</x:v>
      </x:c>
      <x:c r="H2313" s="66" t="str">
        <x:v>祁腾蜂赢1号净值20260911.xlsx</x:v>
      </x:c>
      <x:c r="I2313" s="73" t="str">
        <x:f>""</x:f>
      </x:c>
      <x:c r="J2313" s="74" t="str">
        <x:f>""</x:f>
      </x:c>
      <x:c r="K2313" s="73" t="str">
        <x:f>""</x:f>
      </x:c>
      <x:c r="L2313" s="74" t="str">
        <x:f>""</x:f>
      </x:c>
      <x:c r="M2313" s="73" t="n">
        <x:f>MAX(M2312,F2313)</x:f>
        <x:v>1.5219</x:v>
      </x:c>
      <x:c r="N2313" s="74" t="n">
        <x:f>1-F2313/M2313</x:f>
        <x:v>0.0000657073395098351</x:v>
      </x:c>
    </x:row>
    <x:row r="2314" ht="27" customHeight="1">
      <x:c r="A2314" s="66" t="str">
        <x:v>SEV580</x:v>
      </x:c>
      <x:c r="B2314" s="66" t="str">
        <x:v>祁腾蜂赢1号</x:v>
      </x:c>
      <x:c r="C2314" s="72" t="n">
        <x:v>44369</x:v>
      </x:c>
      <x:c r="D2314" s="73" t="n">
        <x:v>0.9996</x:v>
      </x:c>
      <x:c r="E2314" s="73" t="n">
        <x:v>1.4424</x:v>
      </x:c>
      <x:c r="F2314" s="73" t="n">
        <x:v>1.5213</x:v>
      </x:c>
      <x:c r="G2314" s="74" t="n">
        <x:v>-0.0003</x:v>
      </x:c>
      <x:c r="H2314" s="66" t="str">
        <x:v>祁腾蜂赢1号净值20260911.xlsx</x:v>
      </x:c>
      <x:c r="I2314" s="73" t="str">
        <x:f>""</x:f>
      </x:c>
      <x:c r="J2314" s="74" t="str">
        <x:f>""</x:f>
      </x:c>
      <x:c r="K2314" s="73" t="str">
        <x:f>""</x:f>
      </x:c>
      <x:c r="L2314" s="74" t="str">
        <x:f>""</x:f>
      </x:c>
      <x:c r="M2314" s="73" t="n">
        <x:f>MAX(M2313,F2314)</x:f>
        <x:v>1.5219</x:v>
      </x:c>
      <x:c r="N2314" s="74" t="n">
        <x:f>1-F2314/M2314</x:f>
        <x:v>0.00039424403705889954</x:v>
      </x:c>
    </x:row>
    <x:row r="2315" ht="27" customHeight="1">
      <x:c r="A2315" s="66" t="str">
        <x:v>SEV580</x:v>
      </x:c>
      <x:c r="B2315" s="66" t="str">
        <x:v>祁腾蜂赢1号</x:v>
      </x:c>
      <x:c r="C2315" s="72" t="n">
        <x:v>44370</x:v>
      </x:c>
      <x:c r="D2315" s="73" t="n">
        <x:v>0.9997</x:v>
      </x:c>
      <x:c r="E2315" s="73" t="n">
        <x:v>1.4425</x:v>
      </x:c>
      <x:c r="F2315" s="73" t="n">
        <x:v>1.5215</x:v>
      </x:c>
      <x:c r="G2315" s="74" t="n">
        <x:v>0.0001</x:v>
      </x:c>
      <x:c r="H2315" s="66" t="str">
        <x:v>祁腾蜂赢1号净值20260911.xlsx</x:v>
      </x:c>
      <x:c r="I2315" s="73" t="str">
        <x:f>""</x:f>
      </x:c>
      <x:c r="J2315" s="74" t="str">
        <x:f>""</x:f>
      </x:c>
      <x:c r="K2315" s="73" t="str">
        <x:f>""</x:f>
      </x:c>
      <x:c r="L2315" s="74" t="str">
        <x:f>""</x:f>
      </x:c>
      <x:c r="M2315" s="73" t="n">
        <x:f>MAX(M2314,F2315)</x:f>
        <x:v>1.5219</x:v>
      </x:c>
      <x:c r="N2315" s="74" t="n">
        <x:f>1-F2315/M2315</x:f>
        <x:v>0.00026282935803922935</x:v>
      </x:c>
    </x:row>
    <x:row r="2316" ht="27" customHeight="1">
      <x:c r="A2316" s="66" t="str">
        <x:v>SEV580</x:v>
      </x:c>
      <x:c r="B2316" s="66" t="str">
        <x:v>祁腾蜂赢1号</x:v>
      </x:c>
      <x:c r="C2316" s="72" t="n">
        <x:v>44371</x:v>
      </x:c>
      <x:c r="D2316" s="73" t="n">
        <x:v>1.0001</x:v>
      </x:c>
      <x:c r="E2316" s="73" t="n">
        <x:v>1.4429</x:v>
      </x:c>
      <x:c r="F2316" s="73" t="n">
        <x:v>1.5221</x:v>
      </x:c>
      <x:c r="G2316" s="74" t="n">
        <x:v>0.0004</x:v>
      </x:c>
      <x:c r="H2316" s="66" t="str">
        <x:v>祁腾蜂赢1号净值20260911.xlsx</x:v>
      </x:c>
      <x:c r="I2316" s="73" t="str">
        <x:f>""</x:f>
      </x:c>
      <x:c r="J2316" s="74" t="str">
        <x:f>""</x:f>
      </x:c>
      <x:c r="K2316" s="73" t="str">
        <x:f>""</x:f>
      </x:c>
      <x:c r="L2316" s="74" t="str">
        <x:f>""</x:f>
      </x:c>
      <x:c r="M2316" s="73" t="n">
        <x:f>MAX(M2315,F2316)</x:f>
        <x:v>1.5221</x:v>
      </x:c>
      <x:c r="N2316" s="74" t="n">
        <x:f>1-F2316/M2316</x:f>
        <x:v>0</x:v>
      </x:c>
    </x:row>
    <x:row r="2317" ht="27" customHeight="1">
      <x:c r="A2317" s="66" t="str">
        <x:v>SEV580</x:v>
      </x:c>
      <x:c r="B2317" s="66" t="str">
        <x:v>祁腾蜂赢1号</x:v>
      </x:c>
      <x:c r="C2317" s="72" t="n">
        <x:v>44372</x:v>
      </x:c>
      <x:c r="D2317" s="73" t="n">
        <x:v>1.0007</x:v>
      </x:c>
      <x:c r="E2317" s="73" t="n">
        <x:v>1.4435</x:v>
      </x:c>
      <x:c r="F2317" s="73" t="n">
        <x:v>1.523</x:v>
      </x:c>
      <x:c r="G2317" s="74" t="n">
        <x:v>0.0006</x:v>
      </x:c>
      <x:c r="H2317" s="66" t="str">
        <x:v>祁腾蜂赢1号净值20260911.xlsx</x:v>
      </x:c>
      <x:c r="I2317" s="73" t="str">
        <x:f>""</x:f>
      </x:c>
      <x:c r="J2317" s="74" t="str">
        <x:f>""</x:f>
      </x:c>
      <x:c r="K2317" s="73" t="str">
        <x:f>""</x:f>
      </x:c>
      <x:c r="L2317" s="74" t="str">
        <x:f>""</x:f>
      </x:c>
      <x:c r="M2317" s="73" t="n">
        <x:f>MAX(M2316,F2317)</x:f>
        <x:v>1.523</x:v>
      </x:c>
      <x:c r="N2317" s="74" t="n">
        <x:f>1-F2317/M2317</x:f>
        <x:v>0</x:v>
      </x:c>
    </x:row>
    <x:row r="2318" ht="27" customHeight="1">
      <x:c r="A2318" s="66" t="str">
        <x:v>SEV580</x:v>
      </x:c>
      <x:c r="B2318" s="66" t="str">
        <x:v>祁腾蜂赢1号</x:v>
      </x:c>
      <x:c r="C2318" s="72" t="n">
        <x:v>44375</x:v>
      </x:c>
      <x:c r="D2318" s="73" t="n">
        <x:v>1.001</x:v>
      </x:c>
      <x:c r="E2318" s="73" t="n">
        <x:v>1.4438</x:v>
      </x:c>
      <x:c r="F2318" s="73" t="n">
        <x:v>1.5234</x:v>
      </x:c>
      <x:c r="G2318" s="74" t="n">
        <x:v>0.0003</x:v>
      </x:c>
      <x:c r="H2318" s="66" t="str">
        <x:v>祁腾蜂赢1号净值20260911.xlsx</x:v>
      </x:c>
      <x:c r="I2318" s="73" t="str">
        <x:f>""</x:f>
      </x:c>
      <x:c r="J2318" s="74" t="str">
        <x:f>""</x:f>
      </x:c>
      <x:c r="K2318" s="73" t="str">
        <x:f>""</x:f>
      </x:c>
      <x:c r="L2318" s="74" t="str">
        <x:f>""</x:f>
      </x:c>
      <x:c r="M2318" s="73" t="n">
        <x:f>MAX(M2317,F2318)</x:f>
        <x:v>1.5234</x:v>
      </x:c>
      <x:c r="N2318" s="74" t="n">
        <x:f>1-F2318/M2318</x:f>
        <x:v>0</x:v>
      </x:c>
    </x:row>
    <x:row r="2319" ht="27" customHeight="1">
      <x:c r="A2319" s="66" t="str">
        <x:v>SEV580</x:v>
      </x:c>
      <x:c r="B2319" s="66" t="str">
        <x:v>祁腾蜂赢1号</x:v>
      </x:c>
      <x:c r="C2319" s="72" t="n">
        <x:v>44376</x:v>
      </x:c>
      <x:c r="D2319" s="73" t="n">
        <x:v>1.0009</x:v>
      </x:c>
      <x:c r="E2319" s="73" t="n">
        <x:v>1.4437</x:v>
      </x:c>
      <x:c r="F2319" s="73" t="n">
        <x:v>1.5233</x:v>
      </x:c>
      <x:c r="G2319" s="74" t="n">
        <x:v>-0.0001</x:v>
      </x:c>
      <x:c r="H2319" s="66" t="str">
        <x:v>祁腾蜂赢1号净值20260911.xlsx</x:v>
      </x:c>
      <x:c r="I2319" s="73" t="str">
        <x:f>""</x:f>
      </x:c>
      <x:c r="J2319" s="74" t="str">
        <x:f>""</x:f>
      </x:c>
      <x:c r="K2319" s="73" t="str">
        <x:f>""</x:f>
      </x:c>
      <x:c r="L2319" s="74" t="str">
        <x:f>""</x:f>
      </x:c>
      <x:c r="M2319" s="73" t="n">
        <x:f>MAX(M2318,F2319)</x:f>
        <x:v>1.5234</x:v>
      </x:c>
      <x:c r="N2319" s="74" t="n">
        <x:f>1-F2319/M2319</x:f>
        <x:v>0.0000656426414599176</x:v>
      </x:c>
    </x:row>
    <x:row r="2320" ht="27" customHeight="1">
      <x:c r="A2320" s="66" t="str">
        <x:v>SEV580</x:v>
      </x:c>
      <x:c r="B2320" s="66" t="str">
        <x:v>祁腾蜂赢1号</x:v>
      </x:c>
      <x:c r="C2320" s="72" t="n">
        <x:v>44377</x:v>
      </x:c>
      <x:c r="D2320" s="73" t="n">
        <x:v>1.0008</x:v>
      </x:c>
      <x:c r="E2320" s="73" t="n">
        <x:v>1.4436</x:v>
      </x:c>
      <x:c r="F2320" s="73" t="n">
        <x:v>1.5231</x:v>
      </x:c>
      <x:c r="G2320" s="74" t="n">
        <x:v>-0.0001</x:v>
      </x:c>
      <x:c r="H2320" s="66" t="str">
        <x:v>祁腾蜂赢1号净值20260911.xlsx</x:v>
      </x:c>
      <x:c r="I2320" s="73" t="str">
        <x:f>""</x:f>
      </x:c>
      <x:c r="J2320" s="74" t="str">
        <x:f>""</x:f>
      </x:c>
      <x:c r="K2320" s="73" t="str">
        <x:f>""</x:f>
      </x:c>
      <x:c r="L2320" s="74" t="str">
        <x:f>""</x:f>
      </x:c>
      <x:c r="M2320" s="73" t="n">
        <x:f>MAX(M2319,F2320)</x:f>
        <x:v>1.5234</x:v>
      </x:c>
      <x:c r="N2320" s="74" t="n">
        <x:f>1-F2320/M2320</x:f>
        <x:v>0.00019692792437975282</x:v>
      </x:c>
    </x:row>
    <x:row r="2321" ht="27" customHeight="1">
      <x:c r="A2321" s="66" t="str">
        <x:v>SEV580</x:v>
      </x:c>
      <x:c r="B2321" s="66" t="str">
        <x:v>祁腾蜂赢1号</x:v>
      </x:c>
      <x:c r="C2321" s="72" t="n">
        <x:v>44378</x:v>
      </x:c>
      <x:c r="D2321" s="73" t="n">
        <x:v>1.0014</x:v>
      </x:c>
      <x:c r="E2321" s="73" t="n">
        <x:v>1.4442</x:v>
      </x:c>
      <x:c r="F2321" s="73" t="n">
        <x:v>1.5241</x:v>
      </x:c>
      <x:c r="G2321" s="74" t="n">
        <x:v>0.0006</x:v>
      </x:c>
      <x:c r="H2321" s="66" t="str">
        <x:v>祁腾蜂赢1号净值20260911.xlsx</x:v>
      </x:c>
      <x:c r="I2321" s="73" t="str">
        <x:f>""</x:f>
      </x:c>
      <x:c r="J2321" s="74" t="str">
        <x:f>""</x:f>
      </x:c>
      <x:c r="K2321" s="73" t="str">
        <x:f>""</x:f>
      </x:c>
      <x:c r="L2321" s="74" t="str">
        <x:f>""</x:f>
      </x:c>
      <x:c r="M2321" s="73" t="n">
        <x:f>MAX(M2320,F2321)</x:f>
        <x:v>1.5241</x:v>
      </x:c>
      <x:c r="N2321" s="74" t="n">
        <x:f>1-F2321/M2321</x:f>
        <x:v>0</x:v>
      </x:c>
    </x:row>
    <x:row r="2322" ht="27" customHeight="1">
      <x:c r="A2322" s="66" t="str">
        <x:v>SEV580</x:v>
      </x:c>
      <x:c r="B2322" s="66" t="str">
        <x:v>祁腾蜂赢1号</x:v>
      </x:c>
      <x:c r="C2322" s="72" t="n">
        <x:v>44379</x:v>
      </x:c>
      <x:c r="D2322" s="73" t="n">
        <x:v>1.002</x:v>
      </x:c>
      <x:c r="E2322" s="73" t="n">
        <x:v>1.4448</x:v>
      </x:c>
      <x:c r="F2322" s="73" t="n">
        <x:v>1.525</x:v>
      </x:c>
      <x:c r="G2322" s="74" t="n">
        <x:v>0.0006</x:v>
      </x:c>
      <x:c r="H2322" s="66" t="str">
        <x:v>祁腾蜂赢1号净值20260911.xlsx</x:v>
      </x:c>
      <x:c r="I2322" s="73" t="str">
        <x:f>""</x:f>
      </x:c>
      <x:c r="J2322" s="74" t="str">
        <x:f>""</x:f>
      </x:c>
      <x:c r="K2322" s="73" t="str">
        <x:f>""</x:f>
      </x:c>
      <x:c r="L2322" s="74" t="str">
        <x:f>""</x:f>
      </x:c>
      <x:c r="M2322" s="73" t="n">
        <x:f>MAX(M2321,F2322)</x:f>
        <x:v>1.525</x:v>
      </x:c>
      <x:c r="N2322" s="74" t="n">
        <x:f>1-F2322/M2322</x:f>
        <x:v>0</x:v>
      </x:c>
    </x:row>
    <x:row r="2323" ht="27" customHeight="1">
      <x:c r="A2323" s="66" t="str">
        <x:v>SEV580</x:v>
      </x:c>
      <x:c r="B2323" s="66" t="str">
        <x:v>祁腾蜂赢1号</x:v>
      </x:c>
      <x:c r="C2323" s="72" t="n">
        <x:v>44382</x:v>
      </x:c>
      <x:c r="D2323" s="73" t="n">
        <x:v>1.0018</x:v>
      </x:c>
      <x:c r="E2323" s="73" t="n">
        <x:v>1.4446</x:v>
      </x:c>
      <x:c r="F2323" s="73" t="n">
        <x:v>1.5247</x:v>
      </x:c>
      <x:c r="G2323" s="74" t="n">
        <x:v>-0.0002</x:v>
      </x:c>
      <x:c r="H2323" s="66" t="str">
        <x:v>祁腾蜂赢1号净值20260911.xlsx</x:v>
      </x:c>
      <x:c r="I2323" s="73" t="str">
        <x:f>""</x:f>
      </x:c>
      <x:c r="J2323" s="74" t="str">
        <x:f>""</x:f>
      </x:c>
      <x:c r="K2323" s="73" t="str">
        <x:f>""</x:f>
      </x:c>
      <x:c r="L2323" s="74" t="str">
        <x:f>""</x:f>
      </x:c>
      <x:c r="M2323" s="73" t="n">
        <x:f>MAX(M2322,F2323)</x:f>
        <x:v>1.525</x:v>
      </x:c>
      <x:c r="N2323" s="74" t="n">
        <x:f>1-F2323/M2323</x:f>
        <x:v>0.00019672131147541183</x:v>
      </x:c>
    </x:row>
    <x:row r="2324" ht="27" customHeight="1">
      <x:c r="A2324" s="66" t="str">
        <x:v>SEV580</x:v>
      </x:c>
      <x:c r="B2324" s="66" t="str">
        <x:v>祁腾蜂赢1号</x:v>
      </x:c>
      <x:c r="C2324" s="72" t="n">
        <x:v>44383</x:v>
      </x:c>
      <x:c r="D2324" s="73" t="n">
        <x:v>1.0028</x:v>
      </x:c>
      <x:c r="E2324" s="73" t="n">
        <x:v>1.4456</x:v>
      </x:c>
      <x:c r="F2324" s="73" t="n">
        <x:v>1.5262</x:v>
      </x:c>
      <x:c r="G2324" s="74" t="n">
        <x:v>0.001</x:v>
      </x:c>
      <x:c r="H2324" s="66" t="str">
        <x:v>祁腾蜂赢1号净值20260911.xlsx</x:v>
      </x:c>
      <x:c r="I2324" s="73" t="str">
        <x:f>""</x:f>
      </x:c>
      <x:c r="J2324" s="74" t="str">
        <x:f>""</x:f>
      </x:c>
      <x:c r="K2324" s="73" t="str">
        <x:f>""</x:f>
      </x:c>
      <x:c r="L2324" s="74" t="str">
        <x:f>""</x:f>
      </x:c>
      <x:c r="M2324" s="73" t="n">
        <x:f>MAX(M2323,F2324)</x:f>
        <x:v>1.5262</x:v>
      </x:c>
      <x:c r="N2324" s="74" t="n">
        <x:f>1-F2324/M2324</x:f>
        <x:v>0</x:v>
      </x:c>
    </x:row>
    <x:row r="2325" ht="27" customHeight="1">
      <x:c r="A2325" s="66" t="str">
        <x:v>SEV580</x:v>
      </x:c>
      <x:c r="B2325" s="66" t="str">
        <x:v>祁腾蜂赢1号</x:v>
      </x:c>
      <x:c r="C2325" s="72" t="n">
        <x:v>44384</x:v>
      </x:c>
      <x:c r="D2325" s="73" t="n">
        <x:v>1.0024</x:v>
      </x:c>
      <x:c r="E2325" s="73" t="n">
        <x:v>1.4452</x:v>
      </x:c>
      <x:c r="F2325" s="73" t="n">
        <x:v>1.5256</x:v>
      </x:c>
      <x:c r="G2325" s="74" t="n">
        <x:v>-0.0004</x:v>
      </x:c>
      <x:c r="H2325" s="66" t="str">
        <x:v>祁腾蜂赢1号净值20260911.xlsx</x:v>
      </x:c>
      <x:c r="I2325" s="73" t="str">
        <x:f>""</x:f>
      </x:c>
      <x:c r="J2325" s="74" t="str">
        <x:f>""</x:f>
      </x:c>
      <x:c r="K2325" s="73" t="str">
        <x:f>""</x:f>
      </x:c>
      <x:c r="L2325" s="74" t="str">
        <x:f>""</x:f>
      </x:c>
      <x:c r="M2325" s="73" t="n">
        <x:f>MAX(M2324,F2325)</x:f>
        <x:v>1.5262</x:v>
      </x:c>
      <x:c r="N2325" s="74" t="n">
        <x:f>1-F2325/M2325</x:f>
        <x:v>0.0003931332721792691</x:v>
      </x:c>
    </x:row>
    <x:row r="2326" ht="27" customHeight="1">
      <x:c r="A2326" s="66" t="str">
        <x:v>SEV580</x:v>
      </x:c>
      <x:c r="B2326" s="66" t="str">
        <x:v>祁腾蜂赢1号</x:v>
      </x:c>
      <x:c r="C2326" s="72" t="n">
        <x:v>44385</x:v>
      </x:c>
      <x:c r="D2326" s="73" t="n">
        <x:v>1.0025</x:v>
      </x:c>
      <x:c r="E2326" s="73" t="n">
        <x:v>1.4453</x:v>
      </x:c>
      <x:c r="F2326" s="73" t="n">
        <x:v>1.5257</x:v>
      </x:c>
      <x:c r="G2326" s="74" t="n">
        <x:v>0.0001</x:v>
      </x:c>
      <x:c r="H2326" s="66" t="str">
        <x:v>祁腾蜂赢1号净值20260911.xlsx</x:v>
      </x:c>
      <x:c r="I2326" s="73" t="str">
        <x:f>""</x:f>
      </x:c>
      <x:c r="J2326" s="74" t="str">
        <x:f>""</x:f>
      </x:c>
      <x:c r="K2326" s="73" t="str">
        <x:f>""</x:f>
      </x:c>
      <x:c r="L2326" s="74" t="str">
        <x:f>""</x:f>
      </x:c>
      <x:c r="M2326" s="73" t="n">
        <x:f>MAX(M2325,F2326)</x:f>
        <x:v>1.5262</x:v>
      </x:c>
      <x:c r="N2326" s="74" t="n">
        <x:f>1-F2326/M2326</x:f>
        <x:v>0.0003276110601493354</x:v>
      </x:c>
    </x:row>
    <x:row r="2327" ht="27" customHeight="1">
      <x:c r="A2327" s="66" t="str">
        <x:v>SEV580</x:v>
      </x:c>
      <x:c r="B2327" s="66" t="str">
        <x:v>祁腾蜂赢1号</x:v>
      </x:c>
      <x:c r="C2327" s="72" t="n">
        <x:v>44386</x:v>
      </x:c>
      <x:c r="D2327" s="73" t="n">
        <x:v>1.0027</x:v>
      </x:c>
      <x:c r="E2327" s="73" t="n">
        <x:v>1.4455</x:v>
      </x:c>
      <x:c r="F2327" s="73" t="n">
        <x:v>1.526</x:v>
      </x:c>
      <x:c r="G2327" s="74" t="n">
        <x:v>0.0002</x:v>
      </x:c>
      <x:c r="H2327" s="66" t="str">
        <x:v>祁腾蜂赢1号净值20260911.xlsx</x:v>
      </x:c>
      <x:c r="I2327" s="73" t="str">
        <x:f>""</x:f>
      </x:c>
      <x:c r="J2327" s="74" t="str">
        <x:f>""</x:f>
      </x:c>
      <x:c r="K2327" s="73" t="str">
        <x:f>""</x:f>
      </x:c>
      <x:c r="L2327" s="74" t="str">
        <x:f>""</x:f>
      </x:c>
      <x:c r="M2327" s="73" t="n">
        <x:f>MAX(M2326,F2327)</x:f>
        <x:v>1.5262</x:v>
      </x:c>
      <x:c r="N2327" s="74" t="n">
        <x:f>1-F2327/M2327</x:f>
        <x:v>0.00013104442405975636</x:v>
      </x:c>
    </x:row>
    <x:row r="2328" ht="27" customHeight="1">
      <x:c r="A2328" s="66" t="str">
        <x:v>SEV580</x:v>
      </x:c>
      <x:c r="B2328" s="66" t="str">
        <x:v>祁腾蜂赢1号</x:v>
      </x:c>
      <x:c r="C2328" s="72" t="n">
        <x:v>44389</x:v>
      </x:c>
      <x:c r="D2328" s="73" t="n">
        <x:v>1.0036</x:v>
      </x:c>
      <x:c r="E2328" s="73" t="n">
        <x:v>1.4464</x:v>
      </x:c>
      <x:c r="F2328" s="73" t="n">
        <x:v>1.5274</x:v>
      </x:c>
      <x:c r="G2328" s="74" t="n">
        <x:v>0.0009</x:v>
      </x:c>
      <x:c r="H2328" s="66" t="str">
        <x:v>祁腾蜂赢1号净值20260911.xlsx</x:v>
      </x:c>
      <x:c r="I2328" s="73" t="str">
        <x:f>""</x:f>
      </x:c>
      <x:c r="J2328" s="74" t="str">
        <x:f>""</x:f>
      </x:c>
      <x:c r="K2328" s="73" t="str">
        <x:f>""</x:f>
      </x:c>
      <x:c r="L2328" s="74" t="str">
        <x:f>""</x:f>
      </x:c>
      <x:c r="M2328" s="73" t="n">
        <x:f>MAX(M2327,F2328)</x:f>
        <x:v>1.5274</x:v>
      </x:c>
      <x:c r="N2328" s="74" t="n">
        <x:f>1-F2328/M2328</x:f>
        <x:v>0</x:v>
      </x:c>
    </x:row>
    <x:row r="2329" ht="27" customHeight="1">
      <x:c r="A2329" s="66" t="str">
        <x:v>SEV580</x:v>
      </x:c>
      <x:c r="B2329" s="66" t="str">
        <x:v>祁腾蜂赢1号</x:v>
      </x:c>
      <x:c r="C2329" s="72" t="n">
        <x:v>44390</x:v>
      </x:c>
      <x:c r="D2329" s="73" t="n">
        <x:v>1.004</x:v>
      </x:c>
      <x:c r="E2329" s="73" t="n">
        <x:v>1.4468</x:v>
      </x:c>
      <x:c r="F2329" s="73" t="n">
        <x:v>1.528</x:v>
      </x:c>
      <x:c r="G2329" s="74" t="n">
        <x:v>0.0004</x:v>
      </x:c>
      <x:c r="H2329" s="66" t="str">
        <x:v>祁腾蜂赢1号净值20260911.xlsx</x:v>
      </x:c>
      <x:c r="I2329" s="73" t="str">
        <x:f>""</x:f>
      </x:c>
      <x:c r="J2329" s="74" t="str">
        <x:f>""</x:f>
      </x:c>
      <x:c r="K2329" s="73" t="str">
        <x:f>""</x:f>
      </x:c>
      <x:c r="L2329" s="74" t="str">
        <x:f>""</x:f>
      </x:c>
      <x:c r="M2329" s="73" t="n">
        <x:f>MAX(M2328,F2329)</x:f>
        <x:v>1.528</x:v>
      </x:c>
      <x:c r="N2329" s="74" t="n">
        <x:f>1-F2329/M2329</x:f>
        <x:v>0</x:v>
      </x:c>
    </x:row>
    <x:row r="2330" ht="27" customHeight="1">
      <x:c r="A2330" s="66" t="str">
        <x:v>SEV580</x:v>
      </x:c>
      <x:c r="B2330" s="66" t="str">
        <x:v>祁腾蜂赢1号</x:v>
      </x:c>
      <x:c r="C2330" s="72" t="n">
        <x:v>44391</x:v>
      </x:c>
      <x:c r="D2330" s="73" t="n">
        <x:v>1.0047</x:v>
      </x:c>
      <x:c r="E2330" s="73" t="n">
        <x:v>1.4475</x:v>
      </x:c>
      <x:c r="F2330" s="73" t="n">
        <x:v>1.5291</x:v>
      </x:c>
      <x:c r="G2330" s="74" t="n">
        <x:v>0.0007000000000000001</x:v>
      </x:c>
      <x:c r="H2330" s="66" t="str">
        <x:v>祁腾蜂赢1号净值20260911.xlsx</x:v>
      </x:c>
      <x:c r="I2330" s="73" t="str">
        <x:f>""</x:f>
      </x:c>
      <x:c r="J2330" s="74" t="str">
        <x:f>""</x:f>
      </x:c>
      <x:c r="K2330" s="73" t="str">
        <x:f>""</x:f>
      </x:c>
      <x:c r="L2330" s="74" t="str">
        <x:f>""</x:f>
      </x:c>
      <x:c r="M2330" s="73" t="n">
        <x:f>MAX(M2329,F2330)</x:f>
        <x:v>1.5291</x:v>
      </x:c>
      <x:c r="N2330" s="74" t="n">
        <x:f>1-F2330/M2330</x:f>
        <x:v>0</x:v>
      </x:c>
    </x:row>
    <x:row r="2331" ht="27" customHeight="1">
      <x:c r="A2331" s="66" t="str">
        <x:v>SEV580</x:v>
      </x:c>
      <x:c r="B2331" s="66" t="str">
        <x:v>祁腾蜂赢1号</x:v>
      </x:c>
      <x:c r="C2331" s="72" t="n">
        <x:v>44392</x:v>
      </x:c>
      <x:c r="D2331" s="73" t="n">
        <x:v>1.0057</x:v>
      </x:c>
      <x:c r="E2331" s="73" t="n">
        <x:v>1.4485</x:v>
      </x:c>
      <x:c r="F2331" s="73" t="n">
        <x:v>1.5306</x:v>
      </x:c>
      <x:c r="G2331" s="74" t="n">
        <x:v>0.001</x:v>
      </x:c>
      <x:c r="H2331" s="66" t="str">
        <x:v>祁腾蜂赢1号净值20260911.xlsx</x:v>
      </x:c>
      <x:c r="I2331" s="73" t="str">
        <x:f>""</x:f>
      </x:c>
      <x:c r="J2331" s="74" t="str">
        <x:f>""</x:f>
      </x:c>
      <x:c r="K2331" s="73" t="str">
        <x:f>""</x:f>
      </x:c>
      <x:c r="L2331" s="74" t="str">
        <x:f>""</x:f>
      </x:c>
      <x:c r="M2331" s="73" t="n">
        <x:f>MAX(M2330,F2331)</x:f>
        <x:v>1.5306</x:v>
      </x:c>
      <x:c r="N2331" s="74" t="n">
        <x:f>1-F2331/M2331</x:f>
        <x:v>0</x:v>
      </x:c>
    </x:row>
    <x:row r="2332" ht="27" customHeight="1">
      <x:c r="A2332" s="66" t="str">
        <x:v>SEV580</x:v>
      </x:c>
      <x:c r="B2332" s="66" t="str">
        <x:v>祁腾蜂赢1号</x:v>
      </x:c>
      <x:c r="C2332" s="72" t="n">
        <x:v>44393</x:v>
      </x:c>
      <x:c r="D2332" s="73" t="n">
        <x:v>1.0063</x:v>
      </x:c>
      <x:c r="E2332" s="73" t="n">
        <x:v>1.4491</x:v>
      </x:c>
      <x:c r="F2332" s="73" t="n">
        <x:v>1.5315</x:v>
      </x:c>
      <x:c r="G2332" s="74" t="n">
        <x:v>0.0006</x:v>
      </x:c>
      <x:c r="H2332" s="66" t="str">
        <x:v>祁腾蜂赢1号净值20260911.xlsx</x:v>
      </x:c>
      <x:c r="I2332" s="73" t="str">
        <x:f>""</x:f>
      </x:c>
      <x:c r="J2332" s="74" t="str">
        <x:f>""</x:f>
      </x:c>
      <x:c r="K2332" s="73" t="str">
        <x:f>""</x:f>
      </x:c>
      <x:c r="L2332" s="74" t="str">
        <x:f>""</x:f>
      </x:c>
      <x:c r="M2332" s="73" t="n">
        <x:f>MAX(M2331,F2332)</x:f>
        <x:v>1.5315</x:v>
      </x:c>
      <x:c r="N2332" s="74" t="n">
        <x:f>1-F2332/M2332</x:f>
        <x:v>0</x:v>
      </x:c>
    </x:row>
    <x:row r="2333" ht="27" customHeight="1">
      <x:c r="A2333" s="66" t="str">
        <x:v>SEV580</x:v>
      </x:c>
      <x:c r="B2333" s="66" t="str">
        <x:v>祁腾蜂赢1号</x:v>
      </x:c>
      <x:c r="C2333" s="72" t="n">
        <x:v>44396</x:v>
      </x:c>
      <x:c r="D2333" s="73" t="n">
        <x:v>1.0062</x:v>
      </x:c>
      <x:c r="E2333" s="73" t="n">
        <x:v>1.449</x:v>
      </x:c>
      <x:c r="F2333" s="73" t="n">
        <x:v>1.5314</x:v>
      </x:c>
      <x:c r="G2333" s="74" t="n">
        <x:v>-0.0001</x:v>
      </x:c>
      <x:c r="H2333" s="66" t="str">
        <x:v>祁腾蜂赢1号净值20260911.xlsx</x:v>
      </x:c>
      <x:c r="I2333" s="73" t="str">
        <x:f>""</x:f>
      </x:c>
      <x:c r="J2333" s="74" t="str">
        <x:f>""</x:f>
      </x:c>
      <x:c r="K2333" s="73" t="str">
        <x:f>""</x:f>
      </x:c>
      <x:c r="L2333" s="74" t="str">
        <x:f>""</x:f>
      </x:c>
      <x:c r="M2333" s="73" t="n">
        <x:f>MAX(M2332,F2333)</x:f>
        <x:v>1.5315</x:v>
      </x:c>
      <x:c r="N2333" s="74" t="n">
        <x:f>1-F2333/M2333</x:f>
        <x:v>0.00006529546196543112</x:v>
      </x:c>
    </x:row>
    <x:row r="2334" ht="27" customHeight="1">
      <x:c r="A2334" s="66" t="str">
        <x:v>SEV580</x:v>
      </x:c>
      <x:c r="B2334" s="66" t="str">
        <x:v>祁腾蜂赢1号</x:v>
      </x:c>
      <x:c r="C2334" s="72" t="n">
        <x:v>44397</x:v>
      </x:c>
      <x:c r="D2334" s="73" t="n">
        <x:v>1.0064</x:v>
      </x:c>
      <x:c r="E2334" s="73" t="n">
        <x:v>1.4492</x:v>
      </x:c>
      <x:c r="F2334" s="73" t="n">
        <x:v>1.5317</x:v>
      </x:c>
      <x:c r="G2334" s="74" t="n">
        <x:v>0.0002</x:v>
      </x:c>
      <x:c r="H2334" s="66" t="str">
        <x:v>祁腾蜂赢1号净值20260911.xlsx</x:v>
      </x:c>
      <x:c r="I2334" s="73" t="str">
        <x:f>""</x:f>
      </x:c>
      <x:c r="J2334" s="74" t="str">
        <x:f>""</x:f>
      </x:c>
      <x:c r="K2334" s="73" t="str">
        <x:f>""</x:f>
      </x:c>
      <x:c r="L2334" s="74" t="str">
        <x:f>""</x:f>
      </x:c>
      <x:c r="M2334" s="73" t="n">
        <x:f>MAX(M2333,F2334)</x:f>
        <x:v>1.5317</x:v>
      </x:c>
      <x:c r="N2334" s="74" t="n">
        <x:f>1-F2334/M2334</x:f>
        <x:v>0</x:v>
      </x:c>
    </x:row>
    <x:row r="2335" ht="27" customHeight="1">
      <x:c r="A2335" s="66" t="str">
        <x:v>SEV580</x:v>
      </x:c>
      <x:c r="B2335" s="66" t="str">
        <x:v>祁腾蜂赢1号</x:v>
      </x:c>
      <x:c r="C2335" s="72" t="n">
        <x:v>44398</x:v>
      </x:c>
      <x:c r="D2335" s="73" t="n">
        <x:v>1.0066</x:v>
      </x:c>
      <x:c r="E2335" s="73" t="n">
        <x:v>1.4494</x:v>
      </x:c>
      <x:c r="F2335" s="73" t="n">
        <x:v>1.532</x:v>
      </x:c>
      <x:c r="G2335" s="74" t="n">
        <x:v>0.0002</x:v>
      </x:c>
      <x:c r="H2335" s="66" t="str">
        <x:v>祁腾蜂赢1号净值20260911.xlsx</x:v>
      </x:c>
      <x:c r="I2335" s="73" t="str">
        <x:f>""</x:f>
      </x:c>
      <x:c r="J2335" s="74" t="str">
        <x:f>""</x:f>
      </x:c>
      <x:c r="K2335" s="73" t="str">
        <x:f>""</x:f>
      </x:c>
      <x:c r="L2335" s="74" t="str">
        <x:f>""</x:f>
      </x:c>
      <x:c r="M2335" s="73" t="n">
        <x:f>MAX(M2334,F2335)</x:f>
        <x:v>1.532</x:v>
      </x:c>
      <x:c r="N2335" s="74" t="n">
        <x:f>1-F2335/M2335</x:f>
        <x:v>0</x:v>
      </x:c>
    </x:row>
    <x:row r="2336" ht="27" customHeight="1">
      <x:c r="A2336" s="66" t="str">
        <x:v>SEV580</x:v>
      </x:c>
      <x:c r="B2336" s="66" t="str">
        <x:v>祁腾蜂赢1号</x:v>
      </x:c>
      <x:c r="C2336" s="72" t="n">
        <x:v>44399</x:v>
      </x:c>
      <x:c r="D2336" s="73" t="n">
        <x:v>1.0063</x:v>
      </x:c>
      <x:c r="E2336" s="73" t="n">
        <x:v>1.4491</x:v>
      </x:c>
      <x:c r="F2336" s="73" t="n">
        <x:v>1.5315</x:v>
      </x:c>
      <x:c r="G2336" s="74" t="n">
        <x:v>-0.0003</x:v>
      </x:c>
      <x:c r="H2336" s="66" t="str">
        <x:v>祁腾蜂赢1号净值20260911.xlsx</x:v>
      </x:c>
      <x:c r="I2336" s="73" t="str">
        <x:f>""</x:f>
      </x:c>
      <x:c r="J2336" s="74" t="str">
        <x:f>""</x:f>
      </x:c>
      <x:c r="K2336" s="73" t="str">
        <x:f>""</x:f>
      </x:c>
      <x:c r="L2336" s="74" t="str">
        <x:f>""</x:f>
      </x:c>
      <x:c r="M2336" s="73" t="n">
        <x:f>MAX(M2335,F2336)</x:f>
        <x:v>1.532</x:v>
      </x:c>
      <x:c r="N2336" s="74" t="n">
        <x:f>1-F2336/M2336</x:f>
        <x:v>0.00032637075718011666</x:v>
      </x:c>
    </x:row>
    <x:row r="2337" ht="27" customHeight="1">
      <x:c r="A2337" s="66" t="str">
        <x:v>SEV580</x:v>
      </x:c>
      <x:c r="B2337" s="66" t="str">
        <x:v>祁腾蜂赢1号</x:v>
      </x:c>
      <x:c r="C2337" s="72" t="n">
        <x:v>44400</x:v>
      </x:c>
      <x:c r="D2337" s="73" t="n">
        <x:v>1.0066</x:v>
      </x:c>
      <x:c r="E2337" s="73" t="n">
        <x:v>1.4494</x:v>
      </x:c>
      <x:c r="F2337" s="73" t="n">
        <x:v>1.532</x:v>
      </x:c>
      <x:c r="G2337" s="74" t="n">
        <x:v>0.0003</x:v>
      </x:c>
      <x:c r="H2337" s="66" t="str">
        <x:v>祁腾蜂赢1号净值20260911.xlsx</x:v>
      </x:c>
      <x:c r="I2337" s="73" t="str">
        <x:f>""</x:f>
      </x:c>
      <x:c r="J2337" s="74" t="str">
        <x:f>""</x:f>
      </x:c>
      <x:c r="K2337" s="73" t="str">
        <x:f>""</x:f>
      </x:c>
      <x:c r="L2337" s="74" t="str">
        <x:f>""</x:f>
      </x:c>
      <x:c r="M2337" s="73" t="n">
        <x:f>MAX(M2336,F2337)</x:f>
        <x:v>1.532</x:v>
      </x:c>
      <x:c r="N2337" s="74" t="n">
        <x:f>1-F2337/M2337</x:f>
        <x:v>0</x:v>
      </x:c>
    </x:row>
    <x:row r="2338" ht="27" customHeight="1">
      <x:c r="A2338" s="66" t="str">
        <x:v>SEV580</x:v>
      </x:c>
      <x:c r="B2338" s="66" t="str">
        <x:v>祁腾蜂赢1号</x:v>
      </x:c>
      <x:c r="C2338" s="72" t="n">
        <x:v>44403</x:v>
      </x:c>
      <x:c r="D2338" s="73" t="n">
        <x:v>1.0075</x:v>
      </x:c>
      <x:c r="E2338" s="73" t="n">
        <x:v>1.4503</x:v>
      </x:c>
      <x:c r="F2338" s="73" t="n">
        <x:v>1.5333</x:v>
      </x:c>
      <x:c r="G2338" s="74" t="n">
        <x:v>0.0009</x:v>
      </x:c>
      <x:c r="H2338" s="66" t="str">
        <x:v>祁腾蜂赢1号净值20260911.xlsx</x:v>
      </x:c>
      <x:c r="I2338" s="73" t="str">
        <x:f>""</x:f>
      </x:c>
      <x:c r="J2338" s="74" t="str">
        <x:f>""</x:f>
      </x:c>
      <x:c r="K2338" s="73" t="str">
        <x:f>""</x:f>
      </x:c>
      <x:c r="L2338" s="74" t="str">
        <x:f>""</x:f>
      </x:c>
      <x:c r="M2338" s="73" t="n">
        <x:f>MAX(M2337,F2338)</x:f>
        <x:v>1.5333</x:v>
      </x:c>
      <x:c r="N2338" s="74" t="n">
        <x:f>1-F2338/M2338</x:f>
        <x:v>0</x:v>
      </x:c>
    </x:row>
    <x:row r="2339" ht="27" customHeight="1">
      <x:c r="A2339" s="66" t="str">
        <x:v>SEV580</x:v>
      </x:c>
      <x:c r="B2339" s="66" t="str">
        <x:v>祁腾蜂赢1号</x:v>
      </x:c>
      <x:c r="C2339" s="72" t="n">
        <x:v>44404</x:v>
      </x:c>
      <x:c r="D2339" s="73" t="n">
        <x:v>1.0092</x:v>
      </x:c>
      <x:c r="E2339" s="73" t="n">
        <x:v>1.452</x:v>
      </x:c>
      <x:c r="F2339" s="73" t="n">
        <x:v>1.5359</x:v>
      </x:c>
      <x:c r="G2339" s="74" t="n">
        <x:v>0.0017000000000000001</x:v>
      </x:c>
      <x:c r="H2339" s="66" t="str">
        <x:v>祁腾蜂赢1号净值20260911.xlsx</x:v>
      </x:c>
      <x:c r="I2339" s="73" t="str">
        <x:f>""</x:f>
      </x:c>
      <x:c r="J2339" s="74" t="str">
        <x:f>""</x:f>
      </x:c>
      <x:c r="K2339" s="73" t="str">
        <x:f>""</x:f>
      </x:c>
      <x:c r="L2339" s="74" t="str">
        <x:f>""</x:f>
      </x:c>
      <x:c r="M2339" s="73" t="n">
        <x:f>MAX(M2338,F2339)</x:f>
        <x:v>1.5359</x:v>
      </x:c>
      <x:c r="N2339" s="74" t="n">
        <x:f>1-F2339/M2339</x:f>
        <x:v>0</x:v>
      </x:c>
    </x:row>
    <x:row r="2340" ht="27" customHeight="1">
      <x:c r="A2340" s="66" t="str">
        <x:v>SEV580</x:v>
      </x:c>
      <x:c r="B2340" s="66" t="str">
        <x:v>祁腾蜂赢1号</x:v>
      </x:c>
      <x:c r="C2340" s="72" t="n">
        <x:v>44405</x:v>
      </x:c>
      <x:c r="D2340" s="73" t="n">
        <x:v>1.0092</x:v>
      </x:c>
      <x:c r="E2340" s="73" t="n">
        <x:v>1.452</x:v>
      </x:c>
      <x:c r="F2340" s="73" t="n">
        <x:v>1.5359</x:v>
      </x:c>
      <x:c r="G2340" s="74" t="n">
        <x:v>0</x:v>
      </x:c>
      <x:c r="H2340" s="66" t="str">
        <x:v>祁腾蜂赢1号净值20260911.xlsx</x:v>
      </x:c>
      <x:c r="I2340" s="73" t="str">
        <x:f>""</x:f>
      </x:c>
      <x:c r="J2340" s="74" t="str">
        <x:f>""</x:f>
      </x:c>
      <x:c r="K2340" s="73" t="str">
        <x:f>""</x:f>
      </x:c>
      <x:c r="L2340" s="74" t="str">
        <x:f>""</x:f>
      </x:c>
      <x:c r="M2340" s="73" t="n">
        <x:f>MAX(M2339,F2340)</x:f>
        <x:v>1.5359</x:v>
      </x:c>
      <x:c r="N2340" s="74" t="n">
        <x:f>1-F2340/M2340</x:f>
        <x:v>0</x:v>
      </x:c>
    </x:row>
    <x:row r="2341" ht="27" customHeight="1">
      <x:c r="A2341" s="66" t="str">
        <x:v>SEV580</x:v>
      </x:c>
      <x:c r="B2341" s="66" t="str">
        <x:v>祁腾蜂赢1号</x:v>
      </x:c>
      <x:c r="C2341" s="72" t="n">
        <x:v>44406</x:v>
      </x:c>
      <x:c r="D2341" s="73" t="n">
        <x:v>1.0095</x:v>
      </x:c>
      <x:c r="E2341" s="73" t="n">
        <x:v>1.4523</x:v>
      </x:c>
      <x:c r="F2341" s="73" t="n">
        <x:v>1.5364</x:v>
      </x:c>
      <x:c r="G2341" s="74" t="n">
        <x:v>0.0003</x:v>
      </x:c>
      <x:c r="H2341" s="66" t="str">
        <x:v>祁腾蜂赢1号净值20260911.xlsx</x:v>
      </x:c>
      <x:c r="I2341" s="73" t="str">
        <x:f>""</x:f>
      </x:c>
      <x:c r="J2341" s="74" t="str">
        <x:f>""</x:f>
      </x:c>
      <x:c r="K2341" s="73" t="str">
        <x:f>""</x:f>
      </x:c>
      <x:c r="L2341" s="74" t="str">
        <x:f>""</x:f>
      </x:c>
      <x:c r="M2341" s="73" t="n">
        <x:f>MAX(M2340,F2341)</x:f>
        <x:v>1.5364</x:v>
      </x:c>
      <x:c r="N2341" s="74" t="n">
        <x:f>1-F2341/M2341</x:f>
        <x:v>0</x:v>
      </x:c>
    </x:row>
    <x:row r="2342" ht="27" customHeight="1">
      <x:c r="A2342" s="66" t="str">
        <x:v>SEV580</x:v>
      </x:c>
      <x:c r="B2342" s="66" t="str">
        <x:v>祁腾蜂赢1号</x:v>
      </x:c>
      <x:c r="C2342" s="72" t="n">
        <x:v>44407</x:v>
      </x:c>
      <x:c r="D2342" s="73" t="n">
        <x:v>1.0095</x:v>
      </x:c>
      <x:c r="E2342" s="73" t="n">
        <x:v>1.4523</x:v>
      </x:c>
      <x:c r="F2342" s="73" t="n">
        <x:v>1.5364</x:v>
      </x:c>
      <x:c r="G2342" s="74" t="n">
        <x:v>0</x:v>
      </x:c>
      <x:c r="H2342" s="66" t="str">
        <x:v>祁腾蜂赢1号净值20260911.xlsx</x:v>
      </x:c>
      <x:c r="I2342" s="73" t="str">
        <x:f>""</x:f>
      </x:c>
      <x:c r="J2342" s="74" t="str">
        <x:f>""</x:f>
      </x:c>
      <x:c r="K2342" s="73" t="str">
        <x:f>""</x:f>
      </x:c>
      <x:c r="L2342" s="74" t="str">
        <x:f>""</x:f>
      </x:c>
      <x:c r="M2342" s="73" t="n">
        <x:f>MAX(M2341,F2342)</x:f>
        <x:v>1.5364</x:v>
      </x:c>
      <x:c r="N2342" s="74" t="n">
        <x:f>1-F2342/M2342</x:f>
        <x:v>0</x:v>
      </x:c>
    </x:row>
    <x:row r="2343" ht="27" customHeight="1">
      <x:c r="A2343" s="66" t="str">
        <x:v>SEV580</x:v>
      </x:c>
      <x:c r="B2343" s="66" t="str">
        <x:v>祁腾蜂赢1号</x:v>
      </x:c>
      <x:c r="C2343" s="72" t="n">
        <x:v>44410</x:v>
      </x:c>
      <x:c r="D2343" s="73" t="n">
        <x:v>1.0101</x:v>
      </x:c>
      <x:c r="E2343" s="73" t="n">
        <x:v>1.4529</x:v>
      </x:c>
      <x:c r="F2343" s="73" t="n">
        <x:v>1.5373</x:v>
      </x:c>
      <x:c r="G2343" s="74" t="n">
        <x:v>0.0006</x:v>
      </x:c>
      <x:c r="H2343" s="66" t="str">
        <x:v>祁腾蜂赢1号净值20260911.xlsx</x:v>
      </x:c>
      <x:c r="I2343" s="73" t="str">
        <x:f>""</x:f>
      </x:c>
      <x:c r="J2343" s="74" t="str">
        <x:f>""</x:f>
      </x:c>
      <x:c r="K2343" s="73" t="str">
        <x:f>""</x:f>
      </x:c>
      <x:c r="L2343" s="74" t="str">
        <x:f>""</x:f>
      </x:c>
      <x:c r="M2343" s="73" t="n">
        <x:f>MAX(M2342,F2343)</x:f>
        <x:v>1.5373</x:v>
      </x:c>
      <x:c r="N2343" s="74" t="n">
        <x:f>1-F2343/M2343</x:f>
        <x:v>0</x:v>
      </x:c>
    </x:row>
    <x:row r="2344" ht="27" customHeight="1">
      <x:c r="A2344" s="66" t="str">
        <x:v>SEV580</x:v>
      </x:c>
      <x:c r="B2344" s="66" t="str">
        <x:v>祁腾蜂赢1号</x:v>
      </x:c>
      <x:c r="C2344" s="72" t="n">
        <x:v>44411</x:v>
      </x:c>
      <x:c r="D2344" s="73" t="n">
        <x:v>1.0097</x:v>
      </x:c>
      <x:c r="E2344" s="73" t="n">
        <x:v>1.4525</x:v>
      </x:c>
      <x:c r="F2344" s="73" t="n">
        <x:v>1.5367</x:v>
      </x:c>
      <x:c r="G2344" s="74" t="n">
        <x:v>-0.0004</x:v>
      </x:c>
      <x:c r="H2344" s="66" t="str">
        <x:v>祁腾蜂赢1号净值20260911.xlsx</x:v>
      </x:c>
      <x:c r="I2344" s="73" t="str">
        <x:f>""</x:f>
      </x:c>
      <x:c r="J2344" s="74" t="str">
        <x:f>""</x:f>
      </x:c>
      <x:c r="K2344" s="73" t="str">
        <x:f>""</x:f>
      </x:c>
      <x:c r="L2344" s="74" t="str">
        <x:f>""</x:f>
      </x:c>
      <x:c r="M2344" s="73" t="n">
        <x:f>MAX(M2343,F2344)</x:f>
        <x:v>1.5373</x:v>
      </x:c>
      <x:c r="N2344" s="74" t="n">
        <x:f>1-F2344/M2344</x:f>
        <x:v>0.0003902946724778644</x:v>
      </x:c>
    </x:row>
    <x:row r="2345" ht="27" customHeight="1">
      <x:c r="A2345" s="66" t="str">
        <x:v>SEV580</x:v>
      </x:c>
      <x:c r="B2345" s="66" t="str">
        <x:v>祁腾蜂赢1号</x:v>
      </x:c>
      <x:c r="C2345" s="72" t="n">
        <x:v>44412</x:v>
      </x:c>
      <x:c r="D2345" s="73" t="n">
        <x:v>1.0098</x:v>
      </x:c>
      <x:c r="E2345" s="73" t="n">
        <x:v>1.4526</x:v>
      </x:c>
      <x:c r="F2345" s="73" t="n">
        <x:v>1.5368</x:v>
      </x:c>
      <x:c r="G2345" s="74" t="n">
        <x:v>0.0001</x:v>
      </x:c>
      <x:c r="H2345" s="66" t="str">
        <x:v>祁腾蜂赢1号净值20260911.xlsx</x:v>
      </x:c>
      <x:c r="I2345" s="73" t="str">
        <x:f>""</x:f>
      </x:c>
      <x:c r="J2345" s="74" t="str">
        <x:f>""</x:f>
      </x:c>
      <x:c r="K2345" s="73" t="str">
        <x:f>""</x:f>
      </x:c>
      <x:c r="L2345" s="74" t="str">
        <x:f>""</x:f>
      </x:c>
      <x:c r="M2345" s="73" t="n">
        <x:f>MAX(M2344,F2345)</x:f>
        <x:v>1.5373</x:v>
      </x:c>
      <x:c r="N2345" s="74" t="n">
        <x:f>1-F2345/M2345</x:f>
        <x:v>0.00032524556039825736</x:v>
      </x:c>
    </x:row>
    <x:row r="2346" ht="27" customHeight="1">
      <x:c r="A2346" s="66" t="str">
        <x:v>SEV580</x:v>
      </x:c>
      <x:c r="B2346" s="66" t="str">
        <x:v>祁腾蜂赢1号</x:v>
      </x:c>
      <x:c r="C2346" s="72" t="n">
        <x:v>44413</x:v>
      </x:c>
      <x:c r="D2346" s="73" t="n">
        <x:v>1.0108</x:v>
      </x:c>
      <x:c r="E2346" s="73" t="n">
        <x:v>1.4536</x:v>
      </x:c>
      <x:c r="F2346" s="73" t="n">
        <x:v>1.5384</x:v>
      </x:c>
      <x:c r="G2346" s="74" t="n">
        <x:v>0.001</x:v>
      </x:c>
      <x:c r="H2346" s="66" t="str">
        <x:v>祁腾蜂赢1号净值20260911.xlsx</x:v>
      </x:c>
      <x:c r="I2346" s="73" t="str">
        <x:f>""</x:f>
      </x:c>
      <x:c r="J2346" s="74" t="str">
        <x:f>""</x:f>
      </x:c>
      <x:c r="K2346" s="73" t="str">
        <x:f>""</x:f>
      </x:c>
      <x:c r="L2346" s="74" t="str">
        <x:f>""</x:f>
      </x:c>
      <x:c r="M2346" s="73" t="n">
        <x:f>MAX(M2345,F2346)</x:f>
        <x:v>1.5384</x:v>
      </x:c>
      <x:c r="N2346" s="74" t="n">
        <x:f>1-F2346/M2346</x:f>
        <x:v>0</x:v>
      </x:c>
    </x:row>
    <x:row r="2347" ht="27" customHeight="1">
      <x:c r="A2347" s="66" t="str">
        <x:v>SEV580</x:v>
      </x:c>
      <x:c r="B2347" s="66" t="str">
        <x:v>祁腾蜂赢1号</x:v>
      </x:c>
      <x:c r="C2347" s="72" t="n">
        <x:v>44414</x:v>
      </x:c>
      <x:c r="D2347" s="73" t="n">
        <x:v>1.0109</x:v>
      </x:c>
      <x:c r="E2347" s="73" t="n">
        <x:v>1.4537</x:v>
      </x:c>
      <x:c r="F2347" s="73" t="n">
        <x:v>1.5385</x:v>
      </x:c>
      <x:c r="G2347" s="74" t="n">
        <x:v>0.0001</x:v>
      </x:c>
      <x:c r="H2347" s="66" t="str">
        <x:v>祁腾蜂赢1号净值20260911.xlsx</x:v>
      </x:c>
      <x:c r="I2347" s="73" t="str">
        <x:f>""</x:f>
      </x:c>
      <x:c r="J2347" s="74" t="str">
        <x:f>""</x:f>
      </x:c>
      <x:c r="K2347" s="73" t="str">
        <x:f>""</x:f>
      </x:c>
      <x:c r="L2347" s="74" t="str">
        <x:f>""</x:f>
      </x:c>
      <x:c r="M2347" s="73" t="n">
        <x:f>MAX(M2346,F2347)</x:f>
        <x:v>1.5385</x:v>
      </x:c>
      <x:c r="N2347" s="74" t="n">
        <x:f>1-F2347/M2347</x:f>
        <x:v>0</x:v>
      </x:c>
    </x:row>
    <x:row r="2348" ht="27" customHeight="1">
      <x:c r="A2348" s="66" t="str">
        <x:v>SEV580</x:v>
      </x:c>
      <x:c r="B2348" s="66" t="str">
        <x:v>祁腾蜂赢1号</x:v>
      </x:c>
      <x:c r="C2348" s="72" t="n">
        <x:v>44417</x:v>
      </x:c>
      <x:c r="D2348" s="73" t="n">
        <x:v>1.0114</x:v>
      </x:c>
      <x:c r="E2348" s="73" t="n">
        <x:v>1.4542</x:v>
      </x:c>
      <x:c r="F2348" s="73" t="n">
        <x:v>1.5393</x:v>
      </x:c>
      <x:c r="G2348" s="74" t="n">
        <x:v>0.0005</x:v>
      </x:c>
      <x:c r="H2348" s="66" t="str">
        <x:v>祁腾蜂赢1号净值20260911.xlsx</x:v>
      </x:c>
      <x:c r="I2348" s="73" t="str">
        <x:f>""</x:f>
      </x:c>
      <x:c r="J2348" s="74" t="str">
        <x:f>""</x:f>
      </x:c>
      <x:c r="K2348" s="73" t="str">
        <x:f>""</x:f>
      </x:c>
      <x:c r="L2348" s="74" t="str">
        <x:f>""</x:f>
      </x:c>
      <x:c r="M2348" s="73" t="n">
        <x:f>MAX(M2347,F2348)</x:f>
        <x:v>1.5393</x:v>
      </x:c>
      <x:c r="N2348" s="74" t="n">
        <x:f>1-F2348/M2348</x:f>
        <x:v>0</x:v>
      </x:c>
    </x:row>
    <x:row r="2349" ht="27" customHeight="1">
      <x:c r="A2349" s="66" t="str">
        <x:v>SEV580</x:v>
      </x:c>
      <x:c r="B2349" s="66" t="str">
        <x:v>祁腾蜂赢1号</x:v>
      </x:c>
      <x:c r="C2349" s="72" t="n">
        <x:v>44418</x:v>
      </x:c>
      <x:c r="D2349" s="73" t="n">
        <x:v>1.0113</x:v>
      </x:c>
      <x:c r="E2349" s="73" t="n">
        <x:v>1.4541</x:v>
      </x:c>
      <x:c r="F2349" s="73" t="n">
        <x:v>1.5391</x:v>
      </x:c>
      <x:c r="G2349" s="74" t="n">
        <x:v>-0.0001</x:v>
      </x:c>
      <x:c r="H2349" s="66" t="str">
        <x:v>祁腾蜂赢1号净值20260911.xlsx</x:v>
      </x:c>
      <x:c r="I2349" s="73" t="str">
        <x:f>""</x:f>
      </x:c>
      <x:c r="J2349" s="74" t="str">
        <x:f>""</x:f>
      </x:c>
      <x:c r="K2349" s="73" t="str">
        <x:f>""</x:f>
      </x:c>
      <x:c r="L2349" s="74" t="str">
        <x:f>""</x:f>
      </x:c>
      <x:c r="M2349" s="73" t="n">
        <x:f>MAX(M2348,F2349)</x:f>
        <x:v>1.5393</x:v>
      </x:c>
      <x:c r="N2349" s="74" t="n">
        <x:f>1-F2349/M2349</x:f>
        <x:v>0.00012992918859222602</x:v>
      </x:c>
    </x:row>
    <x:row r="2350" ht="27" customHeight="1">
      <x:c r="A2350" s="66" t="str">
        <x:v>SEV580</x:v>
      </x:c>
      <x:c r="B2350" s="66" t="str">
        <x:v>祁腾蜂赢1号</x:v>
      </x:c>
      <x:c r="C2350" s="72" t="n">
        <x:v>44419</x:v>
      </x:c>
      <x:c r="D2350" s="73" t="n">
        <x:v>1.0114</x:v>
      </x:c>
      <x:c r="E2350" s="73" t="n">
        <x:v>1.4542</x:v>
      </x:c>
      <x:c r="F2350" s="73" t="n">
        <x:v>1.5393</x:v>
      </x:c>
      <x:c r="G2350" s="74" t="n">
        <x:v>0.0001</x:v>
      </x:c>
      <x:c r="H2350" s="66" t="str">
        <x:v>祁腾蜂赢1号净值20260911.xlsx</x:v>
      </x:c>
      <x:c r="I2350" s="73" t="str">
        <x:f>""</x:f>
      </x:c>
      <x:c r="J2350" s="74" t="str">
        <x:f>""</x:f>
      </x:c>
      <x:c r="K2350" s="73" t="str">
        <x:f>""</x:f>
      </x:c>
      <x:c r="L2350" s="74" t="str">
        <x:f>""</x:f>
      </x:c>
      <x:c r="M2350" s="73" t="n">
        <x:f>MAX(M2349,F2350)</x:f>
        <x:v>1.5393</x:v>
      </x:c>
      <x:c r="N2350" s="74" t="n">
        <x:f>1-F2350/M2350</x:f>
        <x:v>0</x:v>
      </x:c>
    </x:row>
    <x:row r="2351" ht="27" customHeight="1">
      <x:c r="A2351" s="66" t="str">
        <x:v>SEV580</x:v>
      </x:c>
      <x:c r="B2351" s="66" t="str">
        <x:v>祁腾蜂赢1号</x:v>
      </x:c>
      <x:c r="C2351" s="72" t="n">
        <x:v>44420</x:v>
      </x:c>
      <x:c r="D2351" s="73" t="n">
        <x:v>1.0118</x:v>
      </x:c>
      <x:c r="E2351" s="73" t="n">
        <x:v>1.4546</x:v>
      </x:c>
      <x:c r="F2351" s="73" t="n">
        <x:v>1.5399</x:v>
      </x:c>
      <x:c r="G2351" s="74" t="n">
        <x:v>0.0004</x:v>
      </x:c>
      <x:c r="H2351" s="66" t="str">
        <x:v>祁腾蜂赢1号净值20260911.xlsx</x:v>
      </x:c>
      <x:c r="I2351" s="73" t="str">
        <x:f>""</x:f>
      </x:c>
      <x:c r="J2351" s="74" t="str">
        <x:f>""</x:f>
      </x:c>
      <x:c r="K2351" s="73" t="str">
        <x:f>""</x:f>
      </x:c>
      <x:c r="L2351" s="74" t="str">
        <x:f>""</x:f>
      </x:c>
      <x:c r="M2351" s="73" t="n">
        <x:f>MAX(M2350,F2351)</x:f>
        <x:v>1.5399</x:v>
      </x:c>
      <x:c r="N2351" s="74" t="n">
        <x:f>1-F2351/M2351</x:f>
        <x:v>0</x:v>
      </x:c>
    </x:row>
    <x:row r="2352" ht="27" customHeight="1">
      <x:c r="A2352" s="66" t="str">
        <x:v>SEV580</x:v>
      </x:c>
      <x:c r="B2352" s="66" t="str">
        <x:v>祁腾蜂赢1号</x:v>
      </x:c>
      <x:c r="C2352" s="72" t="n">
        <x:v>44421</x:v>
      </x:c>
      <x:c r="D2352" s="73" t="n">
        <x:v>1.0124</x:v>
      </x:c>
      <x:c r="E2352" s="73" t="n">
        <x:v>1.4552</x:v>
      </x:c>
      <x:c r="F2352" s="73" t="n">
        <x:v>1.5408</x:v>
      </x:c>
      <x:c r="G2352" s="74" t="n">
        <x:v>0.0006</x:v>
      </x:c>
      <x:c r="H2352" s="66" t="str">
        <x:v>祁腾蜂赢1号净值20260911.xlsx</x:v>
      </x:c>
      <x:c r="I2352" s="73" t="str">
        <x:f>""</x:f>
      </x:c>
      <x:c r="J2352" s="74" t="str">
        <x:f>""</x:f>
      </x:c>
      <x:c r="K2352" s="73" t="str">
        <x:f>""</x:f>
      </x:c>
      <x:c r="L2352" s="74" t="str">
        <x:f>""</x:f>
      </x:c>
      <x:c r="M2352" s="73" t="n">
        <x:f>MAX(M2351,F2352)</x:f>
        <x:v>1.5408</x:v>
      </x:c>
      <x:c r="N2352" s="74" t="n">
        <x:f>1-F2352/M2352</x:f>
        <x:v>0</x:v>
      </x:c>
    </x:row>
    <x:row r="2353" ht="27" customHeight="1">
      <x:c r="A2353" s="66" t="str">
        <x:v>SEV580</x:v>
      </x:c>
      <x:c r="B2353" s="66" t="str">
        <x:v>祁腾蜂赢1号</x:v>
      </x:c>
      <x:c r="C2353" s="72" t="n">
        <x:v>44424</x:v>
      </x:c>
      <x:c r="D2353" s="73" t="n">
        <x:v>1.0122</x:v>
      </x:c>
      <x:c r="E2353" s="73" t="n">
        <x:v>1.455</x:v>
      </x:c>
      <x:c r="F2353" s="73" t="n">
        <x:v>1.5405</x:v>
      </x:c>
      <x:c r="G2353" s="74" t="n">
        <x:v>-0.0002</x:v>
      </x:c>
      <x:c r="H2353" s="66" t="str">
        <x:v>祁腾蜂赢1号净值20260911.xlsx</x:v>
      </x:c>
      <x:c r="I2353" s="73" t="str">
        <x:f>""</x:f>
      </x:c>
      <x:c r="J2353" s="74" t="str">
        <x:f>""</x:f>
      </x:c>
      <x:c r="K2353" s="73" t="str">
        <x:f>""</x:f>
      </x:c>
      <x:c r="L2353" s="74" t="str">
        <x:f>""</x:f>
      </x:c>
      <x:c r="M2353" s="73" t="n">
        <x:f>MAX(M2352,F2353)</x:f>
        <x:v>1.5408</x:v>
      </x:c>
      <x:c r="N2353" s="74" t="n">
        <x:f>1-F2353/M2353</x:f>
        <x:v>0.00019470404984422984</x:v>
      </x:c>
    </x:row>
    <x:row r="2354" ht="27" customHeight="1">
      <x:c r="A2354" s="66" t="str">
        <x:v>SEV580</x:v>
      </x:c>
      <x:c r="B2354" s="66" t="str">
        <x:v>祁腾蜂赢1号</x:v>
      </x:c>
      <x:c r="C2354" s="72" t="n">
        <x:v>44425</x:v>
      </x:c>
      <x:c r="D2354" s="73" t="n">
        <x:v>1.0132</x:v>
      </x:c>
      <x:c r="E2354" s="73" t="n">
        <x:v>1.456</x:v>
      </x:c>
      <x:c r="F2354" s="73" t="n">
        <x:v>1.542</x:v>
      </x:c>
      <x:c r="G2354" s="74" t="n">
        <x:v>0.001</x:v>
      </x:c>
      <x:c r="H2354" s="66" t="str">
        <x:v>祁腾蜂赢1号净值20260911.xlsx</x:v>
      </x:c>
      <x:c r="I2354" s="73" t="str">
        <x:f>""</x:f>
      </x:c>
      <x:c r="J2354" s="74" t="str">
        <x:f>""</x:f>
      </x:c>
      <x:c r="K2354" s="73" t="str">
        <x:f>""</x:f>
      </x:c>
      <x:c r="L2354" s="74" t="str">
        <x:f>""</x:f>
      </x:c>
      <x:c r="M2354" s="73" t="n">
        <x:f>MAX(M2353,F2354)</x:f>
        <x:v>1.542</x:v>
      </x:c>
      <x:c r="N2354" s="74" t="n">
        <x:f>1-F2354/M2354</x:f>
        <x:v>0</x:v>
      </x:c>
    </x:row>
    <x:row r="2355" ht="27" customHeight="1">
      <x:c r="A2355" s="66" t="str">
        <x:v>SEV580</x:v>
      </x:c>
      <x:c r="B2355" s="66" t="str">
        <x:v>祁腾蜂赢1号</x:v>
      </x:c>
      <x:c r="C2355" s="72" t="n">
        <x:v>44426</x:v>
      </x:c>
      <x:c r="D2355" s="73" t="n">
        <x:v>1.0135</x:v>
      </x:c>
      <x:c r="E2355" s="73" t="n">
        <x:v>1.4563</x:v>
      </x:c>
      <x:c r="F2355" s="73" t="n">
        <x:v>1.5425</x:v>
      </x:c>
      <x:c r="G2355" s="74" t="n">
        <x:v>0.0003</x:v>
      </x:c>
      <x:c r="H2355" s="66" t="str">
        <x:v>祁腾蜂赢1号净值20260911.xlsx</x:v>
      </x:c>
      <x:c r="I2355" s="73" t="str">
        <x:f>""</x:f>
      </x:c>
      <x:c r="J2355" s="74" t="str">
        <x:f>""</x:f>
      </x:c>
      <x:c r="K2355" s="73" t="str">
        <x:f>""</x:f>
      </x:c>
      <x:c r="L2355" s="74" t="str">
        <x:f>""</x:f>
      </x:c>
      <x:c r="M2355" s="73" t="n">
        <x:f>MAX(M2354,F2355)</x:f>
        <x:v>1.5425</x:v>
      </x:c>
      <x:c r="N2355" s="74" t="n">
        <x:f>1-F2355/M2355</x:f>
        <x:v>0</x:v>
      </x:c>
    </x:row>
    <x:row r="2356" ht="27" customHeight="1">
      <x:c r="A2356" s="66" t="str">
        <x:v>SEV580</x:v>
      </x:c>
      <x:c r="B2356" s="66" t="str">
        <x:v>祁腾蜂赢1号</x:v>
      </x:c>
      <x:c r="C2356" s="72" t="n">
        <x:v>44427</x:v>
      </x:c>
      <x:c r="D2356" s="73" t="n">
        <x:v>1.0144</x:v>
      </x:c>
      <x:c r="E2356" s="73" t="n">
        <x:v>1.4572</x:v>
      </x:c>
      <x:c r="F2356" s="73" t="n">
        <x:v>1.5438</x:v>
      </x:c>
      <x:c r="G2356" s="74" t="n">
        <x:v>0.0009</x:v>
      </x:c>
      <x:c r="H2356" s="66" t="str">
        <x:v>祁腾蜂赢1号净值20260911.xlsx</x:v>
      </x:c>
      <x:c r="I2356" s="73" t="str">
        <x:f>""</x:f>
      </x:c>
      <x:c r="J2356" s="74" t="str">
        <x:f>""</x:f>
      </x:c>
      <x:c r="K2356" s="73" t="str">
        <x:f>""</x:f>
      </x:c>
      <x:c r="L2356" s="74" t="str">
        <x:f>""</x:f>
      </x:c>
      <x:c r="M2356" s="73" t="n">
        <x:f>MAX(M2355,F2356)</x:f>
        <x:v>1.5438</x:v>
      </x:c>
      <x:c r="N2356" s="74" t="n">
        <x:f>1-F2356/M2356</x:f>
        <x:v>0</x:v>
      </x:c>
    </x:row>
    <x:row r="2357" ht="27" customHeight="1">
      <x:c r="A2357" s="66" t="str">
        <x:v>SEV580</x:v>
      </x:c>
      <x:c r="B2357" s="66" t="str">
        <x:v>祁腾蜂赢1号</x:v>
      </x:c>
      <x:c r="C2357" s="72" t="n">
        <x:v>44428</x:v>
      </x:c>
      <x:c r="D2357" s="73" t="n">
        <x:v>1.0146</x:v>
      </x:c>
      <x:c r="E2357" s="73" t="n">
        <x:v>1.4574</x:v>
      </x:c>
      <x:c r="F2357" s="73" t="n">
        <x:v>1.5441</x:v>
      </x:c>
      <x:c r="G2357" s="74" t="n">
        <x:v>0.0002</x:v>
      </x:c>
      <x:c r="H2357" s="66" t="str">
        <x:v>祁腾蜂赢1号净值20260911.xlsx</x:v>
      </x:c>
      <x:c r="I2357" s="73" t="str">
        <x:f>""</x:f>
      </x:c>
      <x:c r="J2357" s="74" t="str">
        <x:f>""</x:f>
      </x:c>
      <x:c r="K2357" s="73" t="str">
        <x:f>""</x:f>
      </x:c>
      <x:c r="L2357" s="74" t="str">
        <x:f>""</x:f>
      </x:c>
      <x:c r="M2357" s="73" t="n">
        <x:f>MAX(M2356,F2357)</x:f>
        <x:v>1.5441</x:v>
      </x:c>
      <x:c r="N2357" s="74" t="n">
        <x:f>1-F2357/M2357</x:f>
        <x:v>0</x:v>
      </x:c>
    </x:row>
    <x:row r="2358" ht="27" customHeight="1">
      <x:c r="A2358" s="66" t="str">
        <x:v>SEV580</x:v>
      </x:c>
      <x:c r="B2358" s="66" t="str">
        <x:v>祁腾蜂赢1号</x:v>
      </x:c>
      <x:c r="C2358" s="72" t="n">
        <x:v>44431</x:v>
      </x:c>
      <x:c r="D2358" s="73" t="n">
        <x:v>1.0145</x:v>
      </x:c>
      <x:c r="E2358" s="73" t="n">
        <x:v>1.4573</x:v>
      </x:c>
      <x:c r="F2358" s="73" t="n">
        <x:v>1.544</x:v>
      </x:c>
      <x:c r="G2358" s="74" t="n">
        <x:v>-0.0001</x:v>
      </x:c>
      <x:c r="H2358" s="66" t="str">
        <x:v>祁腾蜂赢1号净值20260911.xlsx</x:v>
      </x:c>
      <x:c r="I2358" s="73" t="str">
        <x:f>""</x:f>
      </x:c>
      <x:c r="J2358" s="74" t="str">
        <x:f>""</x:f>
      </x:c>
      <x:c r="K2358" s="73" t="str">
        <x:f>""</x:f>
      </x:c>
      <x:c r="L2358" s="74" t="str">
        <x:f>""</x:f>
      </x:c>
      <x:c r="M2358" s="73" t="n">
        <x:f>MAX(M2357,F2358)</x:f>
        <x:v>1.5441</x:v>
      </x:c>
      <x:c r="N2358" s="74" t="n">
        <x:f>1-F2358/M2358</x:f>
        <x:v>0.00006476264490640204</x:v>
      </x:c>
    </x:row>
    <x:row r="2359" ht="27" customHeight="1">
      <x:c r="A2359" s="66" t="str">
        <x:v>SEV580</x:v>
      </x:c>
      <x:c r="B2359" s="66" t="str">
        <x:v>祁腾蜂赢1号</x:v>
      </x:c>
      <x:c r="C2359" s="72" t="n">
        <x:v>44432</x:v>
      </x:c>
      <x:c r="D2359" s="73" t="n">
        <x:v>1.0147</x:v>
      </x:c>
      <x:c r="E2359" s="73" t="n">
        <x:v>1.4575</x:v>
      </x:c>
      <x:c r="F2359" s="73" t="n">
        <x:v>1.5443</x:v>
      </x:c>
      <x:c r="G2359" s="74" t="n">
        <x:v>0.0002</x:v>
      </x:c>
      <x:c r="H2359" s="66" t="str">
        <x:v>祁腾蜂赢1号净值20260911.xlsx</x:v>
      </x:c>
      <x:c r="I2359" s="73" t="str">
        <x:f>""</x:f>
      </x:c>
      <x:c r="J2359" s="74" t="str">
        <x:f>""</x:f>
      </x:c>
      <x:c r="K2359" s="73" t="str">
        <x:f>""</x:f>
      </x:c>
      <x:c r="L2359" s="74" t="str">
        <x:f>""</x:f>
      </x:c>
      <x:c r="M2359" s="73" t="n">
        <x:f>MAX(M2358,F2359)</x:f>
        <x:v>1.5443</x:v>
      </x:c>
      <x:c r="N2359" s="74" t="n">
        <x:f>1-F2359/M2359</x:f>
        <x:v>0</x:v>
      </x:c>
    </x:row>
    <x:row r="2360" ht="27" customHeight="1">
      <x:c r="A2360" s="66" t="str">
        <x:v>SEV580</x:v>
      </x:c>
      <x:c r="B2360" s="66" t="str">
        <x:v>祁腾蜂赢1号</x:v>
      </x:c>
      <x:c r="C2360" s="72" t="n">
        <x:v>44433</x:v>
      </x:c>
      <x:c r="D2360" s="73" t="n">
        <x:v>1.0155</x:v>
      </x:c>
      <x:c r="E2360" s="73" t="n">
        <x:v>1.4583</x:v>
      </x:c>
      <x:c r="F2360" s="73" t="n">
        <x:v>1.5455</x:v>
      </x:c>
      <x:c r="G2360" s="74" t="n">
        <x:v>0.0008</x:v>
      </x:c>
      <x:c r="H2360" s="66" t="str">
        <x:v>祁腾蜂赢1号净值20260911.xlsx</x:v>
      </x:c>
      <x:c r="I2360" s="73" t="str">
        <x:f>""</x:f>
      </x:c>
      <x:c r="J2360" s="74" t="str">
        <x:f>""</x:f>
      </x:c>
      <x:c r="K2360" s="73" t="str">
        <x:f>""</x:f>
      </x:c>
      <x:c r="L2360" s="74" t="str">
        <x:f>""</x:f>
      </x:c>
      <x:c r="M2360" s="73" t="n">
        <x:f>MAX(M2359,F2360)</x:f>
        <x:v>1.5455</x:v>
      </x:c>
      <x:c r="N2360" s="74" t="n">
        <x:f>1-F2360/M2360</x:f>
        <x:v>0</x:v>
      </x:c>
    </x:row>
    <x:row r="2361" ht="27" customHeight="1">
      <x:c r="A2361" s="66" t="str">
        <x:v>SEV580</x:v>
      </x:c>
      <x:c r="B2361" s="66" t="str">
        <x:v>祁腾蜂赢1号</x:v>
      </x:c>
      <x:c r="C2361" s="72" t="n">
        <x:v>44434</x:v>
      </x:c>
      <x:c r="D2361" s="73" t="n">
        <x:v>1.0159</x:v>
      </x:c>
      <x:c r="E2361" s="73" t="n">
        <x:v>1.4587</x:v>
      </x:c>
      <x:c r="F2361" s="73" t="n">
        <x:v>1.5461</x:v>
      </x:c>
      <x:c r="G2361" s="74" t="n">
        <x:v>0.0004</x:v>
      </x:c>
      <x:c r="H2361" s="66" t="str">
        <x:v>祁腾蜂赢1号净值20260911.xlsx</x:v>
      </x:c>
      <x:c r="I2361" s="73" t="str">
        <x:f>""</x:f>
      </x:c>
      <x:c r="J2361" s="74" t="str">
        <x:f>""</x:f>
      </x:c>
      <x:c r="K2361" s="73" t="str">
        <x:f>""</x:f>
      </x:c>
      <x:c r="L2361" s="74" t="str">
        <x:f>""</x:f>
      </x:c>
      <x:c r="M2361" s="73" t="n">
        <x:f>MAX(M2360,F2361)</x:f>
        <x:v>1.5461</x:v>
      </x:c>
      <x:c r="N2361" s="74" t="n">
        <x:f>1-F2361/M2361</x:f>
        <x:v>0</x:v>
      </x:c>
    </x:row>
    <x:row r="2362" ht="27" customHeight="1">
      <x:c r="A2362" s="66" t="str">
        <x:v>SEV580</x:v>
      </x:c>
      <x:c r="B2362" s="66" t="str">
        <x:v>祁腾蜂赢1号</x:v>
      </x:c>
      <x:c r="C2362" s="72" t="n">
        <x:v>44435</x:v>
      </x:c>
      <x:c r="D2362" s="73" t="n">
        <x:v>1.0162</x:v>
      </x:c>
      <x:c r="E2362" s="73" t="n">
        <x:v>1.459</x:v>
      </x:c>
      <x:c r="F2362" s="73" t="n">
        <x:v>1.5466</x:v>
      </x:c>
      <x:c r="G2362" s="74" t="n">
        <x:v>0.0003</x:v>
      </x:c>
      <x:c r="H2362" s="66" t="str">
        <x:v>祁腾蜂赢1号净值20260911.xlsx</x:v>
      </x:c>
      <x:c r="I2362" s="73" t="str">
        <x:f>""</x:f>
      </x:c>
      <x:c r="J2362" s="74" t="str">
        <x:f>""</x:f>
      </x:c>
      <x:c r="K2362" s="73" t="str">
        <x:f>""</x:f>
      </x:c>
      <x:c r="L2362" s="74" t="str">
        <x:f>""</x:f>
      </x:c>
      <x:c r="M2362" s="73" t="n">
        <x:f>MAX(M2361,F2362)</x:f>
        <x:v>1.5466</x:v>
      </x:c>
      <x:c r="N2362" s="74" t="n">
        <x:f>1-F2362/M2362</x:f>
        <x:v>0</x:v>
      </x:c>
    </x:row>
    <x:row r="2363" ht="27" customHeight="1">
      <x:c r="A2363" s="66" t="str">
        <x:v>SEV580</x:v>
      </x:c>
      <x:c r="B2363" s="66" t="str">
        <x:v>祁腾蜂赢1号</x:v>
      </x:c>
      <x:c r="C2363" s="72" t="n">
        <x:v>44438</x:v>
      </x:c>
      <x:c r="D2363" s="73" t="n">
        <x:v>1.0165</x:v>
      </x:c>
      <x:c r="E2363" s="73" t="n">
        <x:v>1.4593</x:v>
      </x:c>
      <x:c r="F2363" s="73" t="n">
        <x:v>1.547</x:v>
      </x:c>
      <x:c r="G2363" s="74" t="n">
        <x:v>0.0003</x:v>
      </x:c>
      <x:c r="H2363" s="66" t="str">
        <x:v>祁腾蜂赢1号净值20260911.xlsx</x:v>
      </x:c>
      <x:c r="I2363" s="73" t="str">
        <x:f>""</x:f>
      </x:c>
      <x:c r="J2363" s="74" t="str">
        <x:f>""</x:f>
      </x:c>
      <x:c r="K2363" s="73" t="str">
        <x:f>""</x:f>
      </x:c>
      <x:c r="L2363" s="74" t="str">
        <x:f>""</x:f>
      </x:c>
      <x:c r="M2363" s="73" t="n">
        <x:f>MAX(M2362,F2363)</x:f>
        <x:v>1.547</x:v>
      </x:c>
      <x:c r="N2363" s="74" t="n">
        <x:f>1-F2363/M2363</x:f>
        <x:v>0</x:v>
      </x:c>
    </x:row>
    <x:row r="2364" ht="27" customHeight="1">
      <x:c r="A2364" s="66" t="str">
        <x:v>SEV580</x:v>
      </x:c>
      <x:c r="B2364" s="66" t="str">
        <x:v>祁腾蜂赢1号</x:v>
      </x:c>
      <x:c r="C2364" s="72" t="n">
        <x:v>44439</x:v>
      </x:c>
      <x:c r="D2364" s="73" t="n">
        <x:v>1.0176</x:v>
      </x:c>
      <x:c r="E2364" s="73" t="n">
        <x:v>1.4604</x:v>
      </x:c>
      <x:c r="F2364" s="73" t="n">
        <x:v>1.5487</x:v>
      </x:c>
      <x:c r="G2364" s="74" t="n">
        <x:v>0.0011</x:v>
      </x:c>
      <x:c r="H2364" s="66" t="str">
        <x:v>祁腾蜂赢1号净值20260911.xlsx</x:v>
      </x:c>
      <x:c r="I2364" s="73" t="str">
        <x:f>""</x:f>
      </x:c>
      <x:c r="J2364" s="74" t="str">
        <x:f>""</x:f>
      </x:c>
      <x:c r="K2364" s="73" t="str">
        <x:f>""</x:f>
      </x:c>
      <x:c r="L2364" s="74" t="str">
        <x:f>""</x:f>
      </x:c>
      <x:c r="M2364" s="73" t="n">
        <x:f>MAX(M2363,F2364)</x:f>
        <x:v>1.5487</x:v>
      </x:c>
      <x:c r="N2364" s="74" t="n">
        <x:f>1-F2364/M2364</x:f>
        <x:v>0</x:v>
      </x:c>
    </x:row>
    <x:row r="2365" ht="27" customHeight="1">
      <x:c r="A2365" s="66" t="str">
        <x:v>SEV580</x:v>
      </x:c>
      <x:c r="B2365" s="66" t="str">
        <x:v>祁腾蜂赢1号</x:v>
      </x:c>
      <x:c r="C2365" s="72" t="n">
        <x:v>44440</x:v>
      </x:c>
      <x:c r="D2365" s="73" t="n">
        <x:v>1.0176</x:v>
      </x:c>
      <x:c r="E2365" s="73" t="n">
        <x:v>1.4604</x:v>
      </x:c>
      <x:c r="F2365" s="73" t="n">
        <x:v>1.5487</x:v>
      </x:c>
      <x:c r="G2365" s="74" t="n">
        <x:v>0</x:v>
      </x:c>
      <x:c r="H2365" s="66" t="str">
        <x:v>祁腾蜂赢1号净值20260911.xlsx</x:v>
      </x:c>
      <x:c r="I2365" s="73" t="str">
        <x:f>""</x:f>
      </x:c>
      <x:c r="J2365" s="74" t="str">
        <x:f>""</x:f>
      </x:c>
      <x:c r="K2365" s="73" t="str">
        <x:f>""</x:f>
      </x:c>
      <x:c r="L2365" s="74" t="str">
        <x:f>""</x:f>
      </x:c>
      <x:c r="M2365" s="73" t="n">
        <x:f>MAX(M2364,F2365)</x:f>
        <x:v>1.5487</x:v>
      </x:c>
      <x:c r="N2365" s="74" t="n">
        <x:f>1-F2365/M2365</x:f>
        <x:v>0</x:v>
      </x:c>
    </x:row>
    <x:row r="2366" ht="27" customHeight="1">
      <x:c r="A2366" s="66" t="str">
        <x:v>SEV580</x:v>
      </x:c>
      <x:c r="B2366" s="66" t="str">
        <x:v>祁腾蜂赢1号</x:v>
      </x:c>
      <x:c r="C2366" s="72" t="n">
        <x:v>44441</x:v>
      </x:c>
      <x:c r="D2366" s="73" t="n">
        <x:v>1.018</x:v>
      </x:c>
      <x:c r="E2366" s="73" t="n">
        <x:v>1.4608</x:v>
      </x:c>
      <x:c r="F2366" s="73" t="n">
        <x:v>1.5493</x:v>
      </x:c>
      <x:c r="G2366" s="74" t="n">
        <x:v>0.0004</x:v>
      </x:c>
      <x:c r="H2366" s="66" t="str">
        <x:v>祁腾蜂赢1号净值20260911.xlsx</x:v>
      </x:c>
      <x:c r="I2366" s="73" t="str">
        <x:f>""</x:f>
      </x:c>
      <x:c r="J2366" s="74" t="str">
        <x:f>""</x:f>
      </x:c>
      <x:c r="K2366" s="73" t="str">
        <x:f>""</x:f>
      </x:c>
      <x:c r="L2366" s="74" t="str">
        <x:f>""</x:f>
      </x:c>
      <x:c r="M2366" s="73" t="n">
        <x:f>MAX(M2365,F2366)</x:f>
        <x:v>1.5493</x:v>
      </x:c>
      <x:c r="N2366" s="74" t="n">
        <x:f>1-F2366/M2366</x:f>
        <x:v>0</x:v>
      </x:c>
    </x:row>
    <x:row r="2367" ht="27" customHeight="1">
      <x:c r="A2367" s="66" t="str">
        <x:v>SEV580</x:v>
      </x:c>
      <x:c r="B2367" s="66" t="str">
        <x:v>祁腾蜂赢1号</x:v>
      </x:c>
      <x:c r="C2367" s="72" t="n">
        <x:v>44442</x:v>
      </x:c>
      <x:c r="D2367" s="73" t="n">
        <x:v>1.0183</x:v>
      </x:c>
      <x:c r="E2367" s="73" t="n">
        <x:v>1.4611</x:v>
      </x:c>
      <x:c r="F2367" s="73" t="n">
        <x:v>1.5498</x:v>
      </x:c>
      <x:c r="G2367" s="74" t="n">
        <x:v>0.0003</x:v>
      </x:c>
      <x:c r="H2367" s="66" t="str">
        <x:v>祁腾蜂赢1号净值20260911.xlsx</x:v>
      </x:c>
      <x:c r="I2367" s="73" t="str">
        <x:f>""</x:f>
      </x:c>
      <x:c r="J2367" s="74" t="str">
        <x:f>""</x:f>
      </x:c>
      <x:c r="K2367" s="73" t="str">
        <x:f>""</x:f>
      </x:c>
      <x:c r="L2367" s="74" t="str">
        <x:f>""</x:f>
      </x:c>
      <x:c r="M2367" s="73" t="n">
        <x:f>MAX(M2366,F2367)</x:f>
        <x:v>1.5498</x:v>
      </x:c>
      <x:c r="N2367" s="74" t="n">
        <x:f>1-F2367/M2367</x:f>
        <x:v>0</x:v>
      </x:c>
    </x:row>
    <x:row r="2368" ht="27" customHeight="1">
      <x:c r="A2368" s="66" t="str">
        <x:v>SEV580</x:v>
      </x:c>
      <x:c r="B2368" s="66" t="str">
        <x:v>祁腾蜂赢1号</x:v>
      </x:c>
      <x:c r="C2368" s="72" t="n">
        <x:v>44445</x:v>
      </x:c>
      <x:c r="D2368" s="73" t="n">
        <x:v>1.0197</x:v>
      </x:c>
      <x:c r="E2368" s="73" t="n">
        <x:v>1.4625</x:v>
      </x:c>
      <x:c r="F2368" s="73" t="n">
        <x:v>1.5519</x:v>
      </x:c>
      <x:c r="G2368" s="74" t="n">
        <x:v>0.0014000000000000002</x:v>
      </x:c>
      <x:c r="H2368" s="66" t="str">
        <x:v>祁腾蜂赢1号净值20260911.xlsx</x:v>
      </x:c>
      <x:c r="I2368" s="73" t="str">
        <x:f>""</x:f>
      </x:c>
      <x:c r="J2368" s="74" t="str">
        <x:f>""</x:f>
      </x:c>
      <x:c r="K2368" s="73" t="str">
        <x:f>""</x:f>
      </x:c>
      <x:c r="L2368" s="74" t="str">
        <x:f>""</x:f>
      </x:c>
      <x:c r="M2368" s="73" t="n">
        <x:f>MAX(M2367,F2368)</x:f>
        <x:v>1.5519</x:v>
      </x:c>
      <x:c r="N2368" s="74" t="n">
        <x:f>1-F2368/M2368</x:f>
        <x:v>0</x:v>
      </x:c>
    </x:row>
    <x:row r="2369" ht="27" customHeight="1">
      <x:c r="A2369" s="66" t="str">
        <x:v>SEV580</x:v>
      </x:c>
      <x:c r="B2369" s="66" t="str">
        <x:v>祁腾蜂赢1号</x:v>
      </x:c>
      <x:c r="C2369" s="72" t="n">
        <x:v>44446</x:v>
      </x:c>
      <x:c r="D2369" s="73" t="n">
        <x:v>1.0193</x:v>
      </x:c>
      <x:c r="E2369" s="73" t="n">
        <x:v>1.4621</x:v>
      </x:c>
      <x:c r="F2369" s="73" t="n">
        <x:v>1.5513</x:v>
      </x:c>
      <x:c r="G2369" s="74" t="n">
        <x:v>-0.0004</x:v>
      </x:c>
      <x:c r="H2369" s="66" t="str">
        <x:v>祁腾蜂赢1号净值20260911.xlsx</x:v>
      </x:c>
      <x:c r="I2369" s="73" t="str">
        <x:f>""</x:f>
      </x:c>
      <x:c r="J2369" s="74" t="str">
        <x:f>""</x:f>
      </x:c>
      <x:c r="K2369" s="73" t="str">
        <x:f>""</x:f>
      </x:c>
      <x:c r="L2369" s="74" t="str">
        <x:f>""</x:f>
      </x:c>
      <x:c r="M2369" s="73" t="n">
        <x:f>MAX(M2368,F2369)</x:f>
        <x:v>1.5519</x:v>
      </x:c>
      <x:c r="N2369" s="74" t="n">
        <x:f>1-F2369/M2369</x:f>
        <x:v>0.0003866228494104895</x:v>
      </x:c>
    </x:row>
    <x:row r="2370" ht="27" customHeight="1">
      <x:c r="A2370" s="66" t="str">
        <x:v>SEV580</x:v>
      </x:c>
      <x:c r="B2370" s="66" t="str">
        <x:v>祁腾蜂赢1号</x:v>
      </x:c>
      <x:c r="C2370" s="72" t="n">
        <x:v>44447</x:v>
      </x:c>
      <x:c r="D2370" s="73" t="n">
        <x:v>1.0194</x:v>
      </x:c>
      <x:c r="E2370" s="73" t="n">
        <x:v>1.4622</x:v>
      </x:c>
      <x:c r="F2370" s="73" t="n">
        <x:v>1.5514</x:v>
      </x:c>
      <x:c r="G2370" s="74" t="n">
        <x:v>0.0001</x:v>
      </x:c>
      <x:c r="H2370" s="66" t="str">
        <x:v>祁腾蜂赢1号净值20260911.xlsx</x:v>
      </x:c>
      <x:c r="I2370" s="73" t="str">
        <x:f>""</x:f>
      </x:c>
      <x:c r="J2370" s="74" t="str">
        <x:f>""</x:f>
      </x:c>
      <x:c r="K2370" s="73" t="str">
        <x:f>""</x:f>
      </x:c>
      <x:c r="L2370" s="74" t="str">
        <x:f>""</x:f>
      </x:c>
      <x:c r="M2370" s="73" t="n">
        <x:f>MAX(M2369,F2370)</x:f>
        <x:v>1.5519</x:v>
      </x:c>
      <x:c r="N2370" s="74" t="n">
        <x:f>1-F2370/M2370</x:f>
        <x:v>0.0003221857078421486</x:v>
      </x:c>
    </x:row>
    <x:row r="2371" ht="27" customHeight="1">
      <x:c r="A2371" s="66" t="str">
        <x:v>SEV580</x:v>
      </x:c>
      <x:c r="B2371" s="66" t="str">
        <x:v>祁腾蜂赢1号</x:v>
      </x:c>
      <x:c r="C2371" s="72" t="n">
        <x:v>44448</x:v>
      </x:c>
      <x:c r="D2371" s="73" t="n">
        <x:v>1.0201</x:v>
      </x:c>
      <x:c r="E2371" s="73" t="n">
        <x:v>1.4629</x:v>
      </x:c>
      <x:c r="F2371" s="73" t="n">
        <x:v>1.5525</x:v>
      </x:c>
      <x:c r="G2371" s="74" t="n">
        <x:v>0.0007000000000000001</x:v>
      </x:c>
      <x:c r="H2371" s="66" t="str">
        <x:v>祁腾蜂赢1号净值20260911.xlsx</x:v>
      </x:c>
      <x:c r="I2371" s="73" t="str">
        <x:f>""</x:f>
      </x:c>
      <x:c r="J2371" s="74" t="str">
        <x:f>""</x:f>
      </x:c>
      <x:c r="K2371" s="73" t="str">
        <x:f>""</x:f>
      </x:c>
      <x:c r="L2371" s="74" t="str">
        <x:f>""</x:f>
      </x:c>
      <x:c r="M2371" s="73" t="n">
        <x:f>MAX(M2370,F2371)</x:f>
        <x:v>1.5525</x:v>
      </x:c>
      <x:c r="N2371" s="74" t="n">
        <x:f>1-F2371/M2371</x:f>
        <x:v>0</x:v>
      </x:c>
    </x:row>
    <x:row r="2372" ht="27" customHeight="1">
      <x:c r="A2372" s="66" t="str">
        <x:v>SEV580</x:v>
      </x:c>
      <x:c r="B2372" s="66" t="str">
        <x:v>祁腾蜂赢1号</x:v>
      </x:c>
      <x:c r="C2372" s="72" t="n">
        <x:v>44449</x:v>
      </x:c>
      <x:c r="D2372" s="73" t="n">
        <x:v>1.0206</x:v>
      </x:c>
      <x:c r="E2372" s="73" t="n">
        <x:v>1.4634</x:v>
      </x:c>
      <x:c r="F2372" s="73" t="n">
        <x:v>1.5533</x:v>
      </x:c>
      <x:c r="G2372" s="74" t="n">
        <x:v>0.0005</x:v>
      </x:c>
      <x:c r="H2372" s="66" t="str">
        <x:v>祁腾蜂赢1号净值20260911.xlsx</x:v>
      </x:c>
      <x:c r="I2372" s="73" t="str">
        <x:f>""</x:f>
      </x:c>
      <x:c r="J2372" s="74" t="str">
        <x:f>""</x:f>
      </x:c>
      <x:c r="K2372" s="73" t="str">
        <x:f>""</x:f>
      </x:c>
      <x:c r="L2372" s="74" t="str">
        <x:f>""</x:f>
      </x:c>
      <x:c r="M2372" s="73" t="n">
        <x:f>MAX(M2371,F2372)</x:f>
        <x:v>1.5533</x:v>
      </x:c>
      <x:c r="N2372" s="74" t="n">
        <x:f>1-F2372/M2372</x:f>
        <x:v>0</x:v>
      </x:c>
    </x:row>
    <x:row r="2373" ht="27" customHeight="1">
      <x:c r="A2373" s="66" t="str">
        <x:v>SEV580</x:v>
      </x:c>
      <x:c r="B2373" s="66" t="str">
        <x:v>祁腾蜂赢1号</x:v>
      </x:c>
      <x:c r="C2373" s="72" t="n">
        <x:v>44452</x:v>
      </x:c>
      <x:c r="D2373" s="73" t="n">
        <x:v>1.0208</x:v>
      </x:c>
      <x:c r="E2373" s="73" t="n">
        <x:v>1.4636</x:v>
      </x:c>
      <x:c r="F2373" s="73" t="n">
        <x:v>1.5536</x:v>
      </x:c>
      <x:c r="G2373" s="74" t="n">
        <x:v>0.0002</x:v>
      </x:c>
      <x:c r="H2373" s="66" t="str">
        <x:v>祁腾蜂赢1号净值20260911.xlsx</x:v>
      </x:c>
      <x:c r="I2373" s="73" t="str">
        <x:f>""</x:f>
      </x:c>
      <x:c r="J2373" s="74" t="str">
        <x:f>""</x:f>
      </x:c>
      <x:c r="K2373" s="73" t="str">
        <x:f>""</x:f>
      </x:c>
      <x:c r="L2373" s="74" t="str">
        <x:f>""</x:f>
      </x:c>
      <x:c r="M2373" s="73" t="n">
        <x:f>MAX(M2372,F2373)</x:f>
        <x:v>1.5536</x:v>
      </x:c>
      <x:c r="N2373" s="74" t="n">
        <x:f>1-F2373/M2373</x:f>
        <x:v>0</x:v>
      </x:c>
    </x:row>
    <x:row r="2374" ht="27" customHeight="1">
      <x:c r="A2374" s="66" t="str">
        <x:v>SEV580</x:v>
      </x:c>
      <x:c r="B2374" s="66" t="str">
        <x:v>祁腾蜂赢1号</x:v>
      </x:c>
      <x:c r="C2374" s="72" t="n">
        <x:v>44453</x:v>
      </x:c>
      <x:c r="D2374" s="73" t="n">
        <x:v>1.022</x:v>
      </x:c>
      <x:c r="E2374" s="73" t="n">
        <x:v>1.4648</x:v>
      </x:c>
      <x:c r="F2374" s="73" t="n">
        <x:v>1.5554</x:v>
      </x:c>
      <x:c r="G2374" s="74" t="n">
        <x:v>0.0012</x:v>
      </x:c>
      <x:c r="H2374" s="66" t="str">
        <x:v>祁腾蜂赢1号净值20260911.xlsx</x:v>
      </x:c>
      <x:c r="I2374" s="73" t="str">
        <x:f>""</x:f>
      </x:c>
      <x:c r="J2374" s="74" t="str">
        <x:f>""</x:f>
      </x:c>
      <x:c r="K2374" s="73" t="str">
        <x:f>""</x:f>
      </x:c>
      <x:c r="L2374" s="74" t="str">
        <x:f>""</x:f>
      </x:c>
      <x:c r="M2374" s="73" t="n">
        <x:f>MAX(M2373,F2374)</x:f>
        <x:v>1.5554</x:v>
      </x:c>
      <x:c r="N2374" s="74" t="n">
        <x:f>1-F2374/M2374</x:f>
        <x:v>0</x:v>
      </x:c>
    </x:row>
    <x:row r="2375" ht="27" customHeight="1">
      <x:c r="A2375" s="66" t="str">
        <x:v>SEV580</x:v>
      </x:c>
      <x:c r="B2375" s="66" t="str">
        <x:v>祁腾蜂赢1号</x:v>
      </x:c>
      <x:c r="C2375" s="72" t="n">
        <x:v>44454</x:v>
      </x:c>
      <x:c r="D2375" s="73" t="n">
        <x:v>1.0228</x:v>
      </x:c>
      <x:c r="E2375" s="73" t="n">
        <x:v>1.4656</x:v>
      </x:c>
      <x:c r="F2375" s="73" t="n">
        <x:v>1.5566</x:v>
      </x:c>
      <x:c r="G2375" s="74" t="n">
        <x:v>0.0008</x:v>
      </x:c>
      <x:c r="H2375" s="66" t="str">
        <x:v>祁腾蜂赢1号净值20260911.xlsx</x:v>
      </x:c>
      <x:c r="I2375" s="73" t="str">
        <x:f>""</x:f>
      </x:c>
      <x:c r="J2375" s="74" t="str">
        <x:f>""</x:f>
      </x:c>
      <x:c r="K2375" s="73" t="str">
        <x:f>""</x:f>
      </x:c>
      <x:c r="L2375" s="74" t="str">
        <x:f>""</x:f>
      </x:c>
      <x:c r="M2375" s="73" t="n">
        <x:f>MAX(M2374,F2375)</x:f>
        <x:v>1.5566</x:v>
      </x:c>
      <x:c r="N2375" s="74" t="n">
        <x:f>1-F2375/M2375</x:f>
        <x:v>0</x:v>
      </x:c>
    </x:row>
    <x:row r="2376" ht="27" customHeight="1">
      <x:c r="A2376" s="66" t="str">
        <x:v>SEV580</x:v>
      </x:c>
      <x:c r="B2376" s="66" t="str">
        <x:v>祁腾蜂赢1号</x:v>
      </x:c>
      <x:c r="C2376" s="72" t="n">
        <x:v>44455</x:v>
      </x:c>
      <x:c r="D2376" s="73" t="n">
        <x:v>1.0232</x:v>
      </x:c>
      <x:c r="E2376" s="73" t="n">
        <x:v>1.466</x:v>
      </x:c>
      <x:c r="F2376" s="73" t="n">
        <x:v>1.5572</x:v>
      </x:c>
      <x:c r="G2376" s="74" t="n">
        <x:v>0.0004</x:v>
      </x:c>
      <x:c r="H2376" s="66" t="str">
        <x:v>祁腾蜂赢1号净值20260911.xlsx</x:v>
      </x:c>
      <x:c r="I2376" s="73" t="str">
        <x:f>""</x:f>
      </x:c>
      <x:c r="J2376" s="74" t="str">
        <x:f>""</x:f>
      </x:c>
      <x:c r="K2376" s="73" t="str">
        <x:f>""</x:f>
      </x:c>
      <x:c r="L2376" s="74" t="str">
        <x:f>""</x:f>
      </x:c>
      <x:c r="M2376" s="73" t="n">
        <x:f>MAX(M2375,F2376)</x:f>
        <x:v>1.5572</x:v>
      </x:c>
      <x:c r="N2376" s="74" t="n">
        <x:f>1-F2376/M2376</x:f>
        <x:v>0</x:v>
      </x:c>
    </x:row>
    <x:row r="2377" ht="27" customHeight="1">
      <x:c r="A2377" s="66" t="str">
        <x:v>SEV580</x:v>
      </x:c>
      <x:c r="B2377" s="66" t="str">
        <x:v>祁腾蜂赢1号</x:v>
      </x:c>
      <x:c r="C2377" s="72" t="n">
        <x:v>44456</x:v>
      </x:c>
      <x:c r="D2377" s="73" t="n">
        <x:v>1.0234</x:v>
      </x:c>
      <x:c r="E2377" s="73" t="n">
        <x:v>1.4662</x:v>
      </x:c>
      <x:c r="F2377" s="73" t="n">
        <x:v>1.5575</x:v>
      </x:c>
      <x:c r="G2377" s="74" t="n">
        <x:v>0.0002</x:v>
      </x:c>
      <x:c r="H2377" s="66" t="str">
        <x:v>祁腾蜂赢1号净值20260911.xlsx</x:v>
      </x:c>
      <x:c r="I2377" s="73" t="str">
        <x:f>""</x:f>
      </x:c>
      <x:c r="J2377" s="74" t="str">
        <x:f>""</x:f>
      </x:c>
      <x:c r="K2377" s="73" t="str">
        <x:f>""</x:f>
      </x:c>
      <x:c r="L2377" s="74" t="str">
        <x:f>""</x:f>
      </x:c>
      <x:c r="M2377" s="73" t="n">
        <x:f>MAX(M2376,F2377)</x:f>
        <x:v>1.5575</x:v>
      </x:c>
      <x:c r="N2377" s="74" t="n">
        <x:f>1-F2377/M2377</x:f>
        <x:v>0</x:v>
      </x:c>
    </x:row>
    <x:row r="2378" ht="27" customHeight="1">
      <x:c r="A2378" s="66" t="str">
        <x:v>SEV580</x:v>
      </x:c>
      <x:c r="B2378" s="66" t="str">
        <x:v>祁腾蜂赢1号</x:v>
      </x:c>
      <x:c r="C2378" s="72" t="n">
        <x:v>44461</x:v>
      </x:c>
      <x:c r="D2378" s="73" t="n">
        <x:v>1.0239</x:v>
      </x:c>
      <x:c r="E2378" s="73" t="n">
        <x:v>1.4667</x:v>
      </x:c>
      <x:c r="F2378" s="73" t="n">
        <x:v>1.5583</x:v>
      </x:c>
      <x:c r="G2378" s="74" t="n">
        <x:v>0.0005</x:v>
      </x:c>
      <x:c r="H2378" s="66" t="str">
        <x:v>祁腾蜂赢1号净值20260911.xlsx</x:v>
      </x:c>
      <x:c r="I2378" s="73" t="str">
        <x:f>""</x:f>
      </x:c>
      <x:c r="J2378" s="74" t="str">
        <x:f>""</x:f>
      </x:c>
      <x:c r="K2378" s="73" t="str">
        <x:f>""</x:f>
      </x:c>
      <x:c r="L2378" s="74" t="str">
        <x:f>""</x:f>
      </x:c>
      <x:c r="M2378" s="73" t="n">
        <x:f>MAX(M2377,F2378)</x:f>
        <x:v>1.5583</x:v>
      </x:c>
      <x:c r="N2378" s="74" t="n">
        <x:f>1-F2378/M2378</x:f>
        <x:v>0</x:v>
      </x:c>
    </x:row>
    <x:row r="2379" ht="27" customHeight="1">
      <x:c r="A2379" s="66" t="str">
        <x:v>SEV580</x:v>
      </x:c>
      <x:c r="B2379" s="66" t="str">
        <x:v>祁腾蜂赢1号</x:v>
      </x:c>
      <x:c r="C2379" s="72" t="n">
        <x:v>44462</x:v>
      </x:c>
      <x:c r="D2379" s="73" t="n">
        <x:v>1.024</x:v>
      </x:c>
      <x:c r="E2379" s="73" t="n">
        <x:v>1.4668</x:v>
      </x:c>
      <x:c r="F2379" s="73" t="n">
        <x:v>1.5584</x:v>
      </x:c>
      <x:c r="G2379" s="74" t="n">
        <x:v>0.0001</x:v>
      </x:c>
      <x:c r="H2379" s="66" t="str">
        <x:v>祁腾蜂赢1号净值20260911.xlsx</x:v>
      </x:c>
      <x:c r="I2379" s="73" t="str">
        <x:f>""</x:f>
      </x:c>
      <x:c r="J2379" s="74" t="str">
        <x:f>""</x:f>
      </x:c>
      <x:c r="K2379" s="73" t="str">
        <x:f>""</x:f>
      </x:c>
      <x:c r="L2379" s="74" t="str">
        <x:f>""</x:f>
      </x:c>
      <x:c r="M2379" s="73" t="n">
        <x:f>MAX(M2378,F2379)</x:f>
        <x:v>1.5584</x:v>
      </x:c>
      <x:c r="N2379" s="74" t="n">
        <x:f>1-F2379/M2379</x:f>
        <x:v>0</x:v>
      </x:c>
    </x:row>
    <x:row r="2380" ht="27" customHeight="1">
      <x:c r="A2380" s="66" t="str">
        <x:v>SEV580</x:v>
      </x:c>
      <x:c r="B2380" s="66" t="str">
        <x:v>祁腾蜂赢1号</x:v>
      </x:c>
      <x:c r="C2380" s="72" t="n">
        <x:v>44463</x:v>
      </x:c>
      <x:c r="D2380" s="73" t="n">
        <x:v>1.0244</x:v>
      </x:c>
      <x:c r="E2380" s="73" t="n">
        <x:v>1.4672</x:v>
      </x:c>
      <x:c r="F2380" s="73" t="n">
        <x:v>1.5591</x:v>
      </x:c>
      <x:c r="G2380" s="74" t="n">
        <x:v>0.0004</x:v>
      </x:c>
      <x:c r="H2380" s="66" t="str">
        <x:v>祁腾蜂赢1号净值20260911.xlsx</x:v>
      </x:c>
      <x:c r="I2380" s="73" t="str">
        <x:f>""</x:f>
      </x:c>
      <x:c r="J2380" s="74" t="str">
        <x:f>""</x:f>
      </x:c>
      <x:c r="K2380" s="73" t="str">
        <x:f>""</x:f>
      </x:c>
      <x:c r="L2380" s="74" t="str">
        <x:f>""</x:f>
      </x:c>
      <x:c r="M2380" s="73" t="n">
        <x:f>MAX(M2379,F2380)</x:f>
        <x:v>1.5591</x:v>
      </x:c>
      <x:c r="N2380" s="74" t="n">
        <x:f>1-F2380/M2380</x:f>
        <x:v>0</x:v>
      </x:c>
    </x:row>
    <x:row r="2381" ht="27" customHeight="1">
      <x:c r="A2381" s="66" t="str">
        <x:v>SEV580</x:v>
      </x:c>
      <x:c r="B2381" s="66" t="str">
        <x:v>祁腾蜂赢1号</x:v>
      </x:c>
      <x:c r="C2381" s="72" t="n">
        <x:v>44466</x:v>
      </x:c>
      <x:c r="D2381" s="73" t="n">
        <x:v>1.0249</x:v>
      </x:c>
      <x:c r="E2381" s="73" t="n">
        <x:v>1.4677</x:v>
      </x:c>
      <x:c r="F2381" s="73" t="n">
        <x:v>1.5598</x:v>
      </x:c>
      <x:c r="G2381" s="74" t="n">
        <x:v>0.0005</x:v>
      </x:c>
      <x:c r="H2381" s="66" t="str">
        <x:v>祁腾蜂赢1号净值20260911.xlsx</x:v>
      </x:c>
      <x:c r="I2381" s="73" t="str">
        <x:f>""</x:f>
      </x:c>
      <x:c r="J2381" s="74" t="str">
        <x:f>""</x:f>
      </x:c>
      <x:c r="K2381" s="73" t="str">
        <x:f>""</x:f>
      </x:c>
      <x:c r="L2381" s="74" t="str">
        <x:f>""</x:f>
      </x:c>
      <x:c r="M2381" s="73" t="n">
        <x:f>MAX(M2380,F2381)</x:f>
        <x:v>1.5598</x:v>
      </x:c>
      <x:c r="N2381" s="74" t="n">
        <x:f>1-F2381/M2381</x:f>
        <x:v>0</x:v>
      </x:c>
    </x:row>
    <x:row r="2382" ht="27" customHeight="1">
      <x:c r="A2382" s="66" t="str">
        <x:v>SEV580</x:v>
      </x:c>
      <x:c r="B2382" s="66" t="str">
        <x:v>祁腾蜂赢1号</x:v>
      </x:c>
      <x:c r="C2382" s="72" t="n">
        <x:v>44467</x:v>
      </x:c>
      <x:c r="D2382" s="73" t="n">
        <x:v>1.0247</x:v>
      </x:c>
      <x:c r="E2382" s="73" t="n">
        <x:v>1.4675</x:v>
      </x:c>
      <x:c r="F2382" s="73" t="n">
        <x:v>1.5595</x:v>
      </x:c>
      <x:c r="G2382" s="74" t="n">
        <x:v>-0.0002</x:v>
      </x:c>
      <x:c r="H2382" s="66" t="str">
        <x:v>祁腾蜂赢1号净值20260911.xlsx</x:v>
      </x:c>
      <x:c r="I2382" s="73" t="str">
        <x:f>""</x:f>
      </x:c>
      <x:c r="J2382" s="74" t="str">
        <x:f>""</x:f>
      </x:c>
      <x:c r="K2382" s="73" t="str">
        <x:f>""</x:f>
      </x:c>
      <x:c r="L2382" s="74" t="str">
        <x:f>""</x:f>
      </x:c>
      <x:c r="M2382" s="73" t="n">
        <x:f>MAX(M2381,F2382)</x:f>
        <x:v>1.5598</x:v>
      </x:c>
      <x:c r="N2382" s="74" t="n">
        <x:f>1-F2382/M2382</x:f>
        <x:v>0.00019233235030124973</x:v>
      </x:c>
    </x:row>
    <x:row r="2383" ht="27" customHeight="1">
      <x:c r="A2383" s="66" t="str">
        <x:v>SEV580</x:v>
      </x:c>
      <x:c r="B2383" s="66" t="str">
        <x:v>祁腾蜂赢1号</x:v>
      </x:c>
      <x:c r="C2383" s="72" t="n">
        <x:v>44468</x:v>
      </x:c>
      <x:c r="D2383" s="73" t="n">
        <x:v>1.0256</x:v>
      </x:c>
      <x:c r="E2383" s="73" t="n">
        <x:v>1.4684</x:v>
      </x:c>
      <x:c r="F2383" s="73" t="n">
        <x:v>1.5609</x:v>
      </x:c>
      <x:c r="G2383" s="74" t="n">
        <x:v>0.0009</x:v>
      </x:c>
      <x:c r="H2383" s="66" t="str">
        <x:v>祁腾蜂赢1号净值20260911.xlsx</x:v>
      </x:c>
      <x:c r="I2383" s="73" t="str">
        <x:f>""</x:f>
      </x:c>
      <x:c r="J2383" s="74" t="str">
        <x:f>""</x:f>
      </x:c>
      <x:c r="K2383" s="73" t="str">
        <x:f>""</x:f>
      </x:c>
      <x:c r="L2383" s="74" t="str">
        <x:f>""</x:f>
      </x:c>
      <x:c r="M2383" s="73" t="n">
        <x:f>MAX(M2382,F2383)</x:f>
        <x:v>1.5609</x:v>
      </x:c>
      <x:c r="N2383" s="74" t="n">
        <x:f>1-F2383/M2383</x:f>
        <x:v>0</x:v>
      </x:c>
    </x:row>
    <x:row r="2384" ht="27" customHeight="1">
      <x:c r="A2384" s="66" t="str">
        <x:v>SEV580</x:v>
      </x:c>
      <x:c r="B2384" s="66" t="str">
        <x:v>祁腾蜂赢1号</x:v>
      </x:c>
      <x:c r="C2384" s="72" t="n">
        <x:v>44469</x:v>
      </x:c>
      <x:c r="D2384" s="73" t="n">
        <x:v>1.0254</x:v>
      </x:c>
      <x:c r="E2384" s="73" t="n">
        <x:v>1.4682</x:v>
      </x:c>
      <x:c r="F2384" s="73" t="n">
        <x:v>1.5606</x:v>
      </x:c>
      <x:c r="G2384" s="74" t="n">
        <x:v>-0.0002</x:v>
      </x:c>
      <x:c r="H2384" s="66" t="str">
        <x:v>祁腾蜂赢1号净值20260911.xlsx</x:v>
      </x:c>
      <x:c r="I2384" s="73" t="str">
        <x:f>""</x:f>
      </x:c>
      <x:c r="J2384" s="74" t="str">
        <x:f>""</x:f>
      </x:c>
      <x:c r="K2384" s="73" t="str">
        <x:f>""</x:f>
      </x:c>
      <x:c r="L2384" s="74" t="str">
        <x:f>""</x:f>
      </x:c>
      <x:c r="M2384" s="73" t="n">
        <x:f>MAX(M2383,F2384)</x:f>
        <x:v>1.5609</x:v>
      </x:c>
      <x:c r="N2384" s="74" t="n">
        <x:f>1-F2384/M2384</x:f>
        <x:v>0.00019219680953297402</x:v>
      </x:c>
    </x:row>
    <x:row r="2385" ht="27" customHeight="1">
      <x:c r="A2385" s="66" t="str">
        <x:v>SEV580</x:v>
      </x:c>
      <x:c r="B2385" s="66" t="str">
        <x:v>祁腾蜂赢1号</x:v>
      </x:c>
      <x:c r="C2385" s="72" t="n">
        <x:v>44477</x:v>
      </x:c>
      <x:c r="D2385" s="73" t="n">
        <x:v>1.0258</x:v>
      </x:c>
      <x:c r="E2385" s="73" t="n">
        <x:v>1.4686</x:v>
      </x:c>
      <x:c r="F2385" s="73" t="n">
        <x:v>1.5612</x:v>
      </x:c>
      <x:c r="G2385" s="74" t="n">
        <x:v>0.0004</x:v>
      </x:c>
      <x:c r="H2385" s="66" t="str">
        <x:v>祁腾蜂赢1号净值20260911.xlsx</x:v>
      </x:c>
      <x:c r="I2385" s="73" t="str">
        <x:f>""</x:f>
      </x:c>
      <x:c r="J2385" s="74" t="str">
        <x:f>""</x:f>
      </x:c>
      <x:c r="K2385" s="73" t="str">
        <x:f>""</x:f>
      </x:c>
      <x:c r="L2385" s="74" t="str">
        <x:f>""</x:f>
      </x:c>
      <x:c r="M2385" s="73" t="n">
        <x:f>MAX(M2384,F2385)</x:f>
        <x:v>1.5612</x:v>
      </x:c>
      <x:c r="N2385" s="74" t="n">
        <x:f>1-F2385/M2385</x:f>
        <x:v>0</x:v>
      </x:c>
    </x:row>
    <x:row r="2386" ht="27" customHeight="1">
      <x:c r="A2386" s="66" t="str">
        <x:v>SEV580</x:v>
      </x:c>
      <x:c r="B2386" s="66" t="str">
        <x:v>祁腾蜂赢1号</x:v>
      </x:c>
      <x:c r="C2386" s="72" t="n">
        <x:v>44480</x:v>
      </x:c>
      <x:c r="D2386" s="73" t="n">
        <x:v>1.0259</x:v>
      </x:c>
      <x:c r="E2386" s="73" t="n">
        <x:v>1.4687</x:v>
      </x:c>
      <x:c r="F2386" s="73" t="n">
        <x:v>1.5613</x:v>
      </x:c>
      <x:c r="G2386" s="74" t="n">
        <x:v>0.0001</x:v>
      </x:c>
      <x:c r="H2386" s="66" t="str">
        <x:v>祁腾蜂赢1号净值20260911.xlsx</x:v>
      </x:c>
      <x:c r="I2386" s="73" t="str">
        <x:f>""</x:f>
      </x:c>
      <x:c r="J2386" s="74" t="str">
        <x:f>""</x:f>
      </x:c>
      <x:c r="K2386" s="73" t="str">
        <x:f>""</x:f>
      </x:c>
      <x:c r="L2386" s="74" t="str">
        <x:f>""</x:f>
      </x:c>
      <x:c r="M2386" s="73" t="n">
        <x:f>MAX(M2385,F2386)</x:f>
        <x:v>1.5613</x:v>
      </x:c>
      <x:c r="N2386" s="74" t="n">
        <x:f>1-F2386/M2386</x:f>
        <x:v>0</x:v>
      </x:c>
    </x:row>
    <x:row r="2387" ht="27" customHeight="1">
      <x:c r="A2387" s="66" t="str">
        <x:v>SEV580</x:v>
      </x:c>
      <x:c r="B2387" s="66" t="str">
        <x:v>祁腾蜂赢1号</x:v>
      </x:c>
      <x:c r="C2387" s="72" t="n">
        <x:v>44481</x:v>
      </x:c>
      <x:c r="D2387" s="73" t="n">
        <x:v>1.0269</x:v>
      </x:c>
      <x:c r="E2387" s="73" t="n">
        <x:v>1.4697</x:v>
      </x:c>
      <x:c r="F2387" s="73" t="n">
        <x:v>1.5629</x:v>
      </x:c>
      <x:c r="G2387" s="74" t="n">
        <x:v>0.001</x:v>
      </x:c>
      <x:c r="H2387" s="66" t="str">
        <x:v>祁腾蜂赢1号净值20260911.xlsx</x:v>
      </x:c>
      <x:c r="I2387" s="73" t="str">
        <x:f>""</x:f>
      </x:c>
      <x:c r="J2387" s="74" t="str">
        <x:f>""</x:f>
      </x:c>
      <x:c r="K2387" s="73" t="str">
        <x:f>""</x:f>
      </x:c>
      <x:c r="L2387" s="74" t="str">
        <x:f>""</x:f>
      </x:c>
      <x:c r="M2387" s="73" t="n">
        <x:f>MAX(M2386,F2387)</x:f>
        <x:v>1.5629</x:v>
      </x:c>
      <x:c r="N2387" s="74" t="n">
        <x:f>1-F2387/M2387</x:f>
        <x:v>0</x:v>
      </x:c>
    </x:row>
    <x:row r="2388" ht="27" customHeight="1">
      <x:c r="A2388" s="66" t="str">
        <x:v>SEV580</x:v>
      </x:c>
      <x:c r="B2388" s="66" t="str">
        <x:v>祁腾蜂赢1号</x:v>
      </x:c>
      <x:c r="C2388" s="72" t="n">
        <x:v>44482</x:v>
      </x:c>
      <x:c r="D2388" s="73" t="n">
        <x:v>1.0276</x:v>
      </x:c>
      <x:c r="E2388" s="73" t="n">
        <x:v>1.4704</x:v>
      </x:c>
      <x:c r="F2388" s="73" t="n">
        <x:v>1.5639</x:v>
      </x:c>
      <x:c r="G2388" s="74" t="n">
        <x:v>0.0007000000000000001</x:v>
      </x:c>
      <x:c r="H2388" s="66" t="str">
        <x:v>祁腾蜂赢1号净值20260911.xlsx</x:v>
      </x:c>
      <x:c r="I2388" s="73" t="str">
        <x:f>""</x:f>
      </x:c>
      <x:c r="J2388" s="74" t="str">
        <x:f>""</x:f>
      </x:c>
      <x:c r="K2388" s="73" t="str">
        <x:f>""</x:f>
      </x:c>
      <x:c r="L2388" s="74" t="str">
        <x:f>""</x:f>
      </x:c>
      <x:c r="M2388" s="73" t="n">
        <x:f>MAX(M2387,F2388)</x:f>
        <x:v>1.5639</x:v>
      </x:c>
      <x:c r="N2388" s="74" t="n">
        <x:f>1-F2388/M2388</x:f>
        <x:v>0</x:v>
      </x:c>
    </x:row>
    <x:row r="2389" ht="27" customHeight="1">
      <x:c r="A2389" s="66" t="str">
        <x:v>SEV580</x:v>
      </x:c>
      <x:c r="B2389" s="66" t="str">
        <x:v>祁腾蜂赢1号</x:v>
      </x:c>
      <x:c r="C2389" s="72" t="n">
        <x:v>44483</x:v>
      </x:c>
      <x:c r="D2389" s="73" t="n">
        <x:v>1.0336</x:v>
      </x:c>
      <x:c r="E2389" s="73" t="n">
        <x:v>1.4764</x:v>
      </x:c>
      <x:c r="F2389" s="73" t="n">
        <x:v>1.5731</x:v>
      </x:c>
      <x:c r="G2389" s="74" t="n">
        <x:v>0.0058</x:v>
      </x:c>
      <x:c r="H2389" s="66" t="str">
        <x:v>祁腾蜂赢1号净值20260911.xlsx</x:v>
      </x:c>
      <x:c r="I2389" s="73" t="str">
        <x:f>""</x:f>
      </x:c>
      <x:c r="J2389" s="74" t="str">
        <x:f>""</x:f>
      </x:c>
      <x:c r="K2389" s="73" t="str">
        <x:f>""</x:f>
      </x:c>
      <x:c r="L2389" s="74" t="str">
        <x:f>""</x:f>
      </x:c>
      <x:c r="M2389" s="73" t="n">
        <x:f>MAX(M2388,F2389)</x:f>
        <x:v>1.5731</x:v>
      </x:c>
      <x:c r="N2389" s="74" t="n">
        <x:f>1-F2389/M2389</x:f>
        <x:v>0</x:v>
      </x:c>
    </x:row>
    <x:row r="2390" ht="27" customHeight="1">
      <x:c r="A2390" s="66" t="str">
        <x:v>SEV580</x:v>
      </x:c>
      <x:c r="B2390" s="66" t="str">
        <x:v>祁腾蜂赢1号</x:v>
      </x:c>
      <x:c r="C2390" s="72" t="n">
        <x:v>44484</x:v>
      </x:c>
      <x:c r="D2390" s="73" t="n">
        <x:v>1.034</x:v>
      </x:c>
      <x:c r="E2390" s="73" t="n">
        <x:v>1.4768</x:v>
      </x:c>
      <x:c r="F2390" s="73" t="n">
        <x:v>1.5737</x:v>
      </x:c>
      <x:c r="G2390" s="74" t="n">
        <x:v>0.0004</x:v>
      </x:c>
      <x:c r="H2390" s="66" t="str">
        <x:v>祁腾蜂赢1号净值20260911.xlsx</x:v>
      </x:c>
      <x:c r="I2390" s="73" t="str">
        <x:f>""</x:f>
      </x:c>
      <x:c r="J2390" s="74" t="str">
        <x:f>""</x:f>
      </x:c>
      <x:c r="K2390" s="73" t="str">
        <x:f>""</x:f>
      </x:c>
      <x:c r="L2390" s="74" t="str">
        <x:f>""</x:f>
      </x:c>
      <x:c r="M2390" s="73" t="n">
        <x:f>MAX(M2389,F2390)</x:f>
        <x:v>1.5737</x:v>
      </x:c>
      <x:c r="N2390" s="74" t="n">
        <x:f>1-F2390/M2390</x:f>
        <x:v>0</x:v>
      </x:c>
    </x:row>
    <x:row r="2391" ht="27" customHeight="1">
      <x:c r="A2391" s="66" t="str">
        <x:v>SEV580</x:v>
      </x:c>
      <x:c r="B2391" s="66" t="str">
        <x:v>祁腾蜂赢1号</x:v>
      </x:c>
      <x:c r="C2391" s="72" t="n">
        <x:v>44487</x:v>
      </x:c>
      <x:c r="D2391" s="73" t="n">
        <x:v>1.0342</x:v>
      </x:c>
      <x:c r="E2391" s="73" t="n">
        <x:v>1.477</x:v>
      </x:c>
      <x:c r="F2391" s="73" t="n">
        <x:v>1.574</x:v>
      </x:c>
      <x:c r="G2391" s="74" t="n">
        <x:v>0.0002</x:v>
      </x:c>
      <x:c r="H2391" s="66" t="str">
        <x:v>祁腾蜂赢1号净值20260911.xlsx</x:v>
      </x:c>
      <x:c r="I2391" s="73" t="str">
        <x:f>""</x:f>
      </x:c>
      <x:c r="J2391" s="74" t="str">
        <x:f>""</x:f>
      </x:c>
      <x:c r="K2391" s="73" t="str">
        <x:f>""</x:f>
      </x:c>
      <x:c r="L2391" s="74" t="str">
        <x:f>""</x:f>
      </x:c>
      <x:c r="M2391" s="73" t="n">
        <x:f>MAX(M2390,F2391)</x:f>
        <x:v>1.574</x:v>
      </x:c>
      <x:c r="N2391" s="74" t="n">
        <x:f>1-F2391/M2391</x:f>
        <x:v>0</x:v>
      </x:c>
    </x:row>
    <x:row r="2392" ht="27" customHeight="1">
      <x:c r="A2392" s="66" t="str">
        <x:v>SEV580</x:v>
      </x:c>
      <x:c r="B2392" s="66" t="str">
        <x:v>祁腾蜂赢1号</x:v>
      </x:c>
      <x:c r="C2392" s="72" t="n">
        <x:v>44488</x:v>
      </x:c>
      <x:c r="D2392" s="73" t="n">
        <x:v>1.034</x:v>
      </x:c>
      <x:c r="E2392" s="73" t="n">
        <x:v>1.4768</x:v>
      </x:c>
      <x:c r="F2392" s="73" t="n">
        <x:v>1.5737</x:v>
      </x:c>
      <x:c r="G2392" s="74" t="n">
        <x:v>-0.0002</x:v>
      </x:c>
      <x:c r="H2392" s="66" t="str">
        <x:v>祁腾蜂赢1号净值20260911.xlsx</x:v>
      </x:c>
      <x:c r="I2392" s="73" t="str">
        <x:f>""</x:f>
      </x:c>
      <x:c r="J2392" s="74" t="str">
        <x:f>""</x:f>
      </x:c>
      <x:c r="K2392" s="73" t="str">
        <x:f>""</x:f>
      </x:c>
      <x:c r="L2392" s="74" t="str">
        <x:f>""</x:f>
      </x:c>
      <x:c r="M2392" s="73" t="n">
        <x:f>MAX(M2391,F2392)</x:f>
        <x:v>1.574</x:v>
      </x:c>
      <x:c r="N2392" s="74" t="n">
        <x:f>1-F2392/M2392</x:f>
        <x:v>0.000190597204574261</x:v>
      </x:c>
    </x:row>
    <x:row r="2393" ht="27" customHeight="1">
      <x:c r="A2393" s="66" t="str">
        <x:v>SEV580</x:v>
      </x:c>
      <x:c r="B2393" s="66" t="str">
        <x:v>祁腾蜂赢1号</x:v>
      </x:c>
      <x:c r="C2393" s="72" t="n">
        <x:v>44489</x:v>
      </x:c>
      <x:c r="D2393" s="73" t="n">
        <x:v>1.0337</x:v>
      </x:c>
      <x:c r="E2393" s="73" t="n">
        <x:v>1.4765</x:v>
      </x:c>
      <x:c r="F2393" s="73" t="n">
        <x:v>1.5732</x:v>
      </x:c>
      <x:c r="G2393" s="74" t="n">
        <x:v>-0.0003</x:v>
      </x:c>
      <x:c r="H2393" s="66" t="str">
        <x:v>祁腾蜂赢1号净值20260911.xlsx</x:v>
      </x:c>
      <x:c r="I2393" s="73" t="str">
        <x:f>""</x:f>
      </x:c>
      <x:c r="J2393" s="74" t="str">
        <x:f>""</x:f>
      </x:c>
      <x:c r="K2393" s="73" t="str">
        <x:f>""</x:f>
      </x:c>
      <x:c r="L2393" s="74" t="str">
        <x:f>""</x:f>
      </x:c>
      <x:c r="M2393" s="73" t="n">
        <x:f>MAX(M2392,F2393)</x:f>
        <x:v>1.574</x:v>
      </x:c>
      <x:c r="N2393" s="74" t="n">
        <x:f>1-F2393/M2393</x:f>
        <x:v>0.0005082592121983254</x:v>
      </x:c>
    </x:row>
    <x:row r="2394" ht="27" customHeight="1">
      <x:c r="A2394" s="66" t="str">
        <x:v>SEV580</x:v>
      </x:c>
      <x:c r="B2394" s="66" t="str">
        <x:v>祁腾蜂赢1号</x:v>
      </x:c>
      <x:c r="C2394" s="72" t="n">
        <x:v>44490</x:v>
      </x:c>
      <x:c r="D2394" s="73" t="n">
        <x:v>1.0339</x:v>
      </x:c>
      <x:c r="E2394" s="73" t="n">
        <x:v>1.4767</x:v>
      </x:c>
      <x:c r="F2394" s="73" t="n">
        <x:v>1.5735</x:v>
      </x:c>
      <x:c r="G2394" s="74" t="n">
        <x:v>0.0002</x:v>
      </x:c>
      <x:c r="H2394" s="66" t="str">
        <x:v>祁腾蜂赢1号净值20260911.xlsx</x:v>
      </x:c>
      <x:c r="I2394" s="73" t="str">
        <x:f>""</x:f>
      </x:c>
      <x:c r="J2394" s="74" t="str">
        <x:f>""</x:f>
      </x:c>
      <x:c r="K2394" s="73" t="str">
        <x:f>""</x:f>
      </x:c>
      <x:c r="L2394" s="74" t="str">
        <x:f>""</x:f>
      </x:c>
      <x:c r="M2394" s="73" t="n">
        <x:f>MAX(M2393,F2394)</x:f>
        <x:v>1.574</x:v>
      </x:c>
      <x:c r="N2394" s="74" t="n">
        <x:f>1-F2394/M2394</x:f>
        <x:v>0.00031766200762395336</x:v>
      </x:c>
    </x:row>
    <x:row r="2395" ht="27" customHeight="1">
      <x:c r="A2395" s="66" t="str">
        <x:v>SEV580</x:v>
      </x:c>
      <x:c r="B2395" s="66" t="str">
        <x:v>祁腾蜂赢1号</x:v>
      </x:c>
      <x:c r="C2395" s="72" t="n">
        <x:v>44491</x:v>
      </x:c>
      <x:c r="D2395" s="73" t="n">
        <x:v>1.0338</x:v>
      </x:c>
      <x:c r="E2395" s="73" t="n">
        <x:v>1.4766</x:v>
      </x:c>
      <x:c r="F2395" s="73" t="n">
        <x:v>1.5734</x:v>
      </x:c>
      <x:c r="G2395" s="74" t="n">
        <x:v>-0.0001</x:v>
      </x:c>
      <x:c r="H2395" s="66" t="str">
        <x:v>祁腾蜂赢1号净值20260911.xlsx</x:v>
      </x:c>
      <x:c r="I2395" s="73" t="str">
        <x:f>""</x:f>
      </x:c>
      <x:c r="J2395" s="74" t="str">
        <x:f>""</x:f>
      </x:c>
      <x:c r="K2395" s="73" t="str">
        <x:f>""</x:f>
      </x:c>
      <x:c r="L2395" s="74" t="str">
        <x:f>""</x:f>
      </x:c>
      <x:c r="M2395" s="73" t="n">
        <x:f>MAX(M2394,F2395)</x:f>
        <x:v>1.574</x:v>
      </x:c>
      <x:c r="N2395" s="74" t="n">
        <x:f>1-F2395/M2395</x:f>
        <x:v>0.00038119440914874403</x:v>
      </x:c>
    </x:row>
    <x:row r="2396" ht="27" customHeight="1">
      <x:c r="A2396" s="66" t="str">
        <x:v>SEV580</x:v>
      </x:c>
      <x:c r="B2396" s="66" t="str">
        <x:v>祁腾蜂赢1号</x:v>
      </x:c>
      <x:c r="C2396" s="72" t="n">
        <x:v>44494</x:v>
      </x:c>
      <x:c r="D2396" s="73" t="n">
        <x:v>1.0338</x:v>
      </x:c>
      <x:c r="E2396" s="73" t="n">
        <x:v>1.4766</x:v>
      </x:c>
      <x:c r="F2396" s="73" t="n">
        <x:v>1.5734</x:v>
      </x:c>
      <x:c r="G2396" s="74" t="n">
        <x:v>0</x:v>
      </x:c>
      <x:c r="H2396" s="66" t="str">
        <x:v>祁腾蜂赢1号净值20260911.xlsx</x:v>
      </x:c>
      <x:c r="I2396" s="73" t="str">
        <x:f>""</x:f>
      </x:c>
      <x:c r="J2396" s="74" t="str">
        <x:f>""</x:f>
      </x:c>
      <x:c r="K2396" s="73" t="str">
        <x:f>""</x:f>
      </x:c>
      <x:c r="L2396" s="74" t="str">
        <x:f>""</x:f>
      </x:c>
      <x:c r="M2396" s="73" t="n">
        <x:f>MAX(M2395,F2396)</x:f>
        <x:v>1.574</x:v>
      </x:c>
      <x:c r="N2396" s="74" t="n">
        <x:f>1-F2396/M2396</x:f>
        <x:v>0.00038119440914874403</x:v>
      </x:c>
    </x:row>
    <x:row r="2397" ht="27" customHeight="1">
      <x:c r="A2397" s="66" t="str">
        <x:v>SEV580</x:v>
      </x:c>
      <x:c r="B2397" s="66" t="str">
        <x:v>祁腾蜂赢1号</x:v>
      </x:c>
      <x:c r="C2397" s="72" t="n">
        <x:v>44495</x:v>
      </x:c>
      <x:c r="D2397" s="73" t="n">
        <x:v>1.0339</x:v>
      </x:c>
      <x:c r="E2397" s="73" t="n">
        <x:v>1.4767</x:v>
      </x:c>
      <x:c r="F2397" s="73" t="n">
        <x:v>1.5735</x:v>
      </x:c>
      <x:c r="G2397" s="74" t="n">
        <x:v>0.0001</x:v>
      </x:c>
      <x:c r="H2397" s="66" t="str">
        <x:v>祁腾蜂赢1号净值20260911.xlsx</x:v>
      </x:c>
      <x:c r="I2397" s="73" t="str">
        <x:f>""</x:f>
      </x:c>
      <x:c r="J2397" s="74" t="str">
        <x:f>""</x:f>
      </x:c>
      <x:c r="K2397" s="73" t="str">
        <x:f>""</x:f>
      </x:c>
      <x:c r="L2397" s="74" t="str">
        <x:f>""</x:f>
      </x:c>
      <x:c r="M2397" s="73" t="n">
        <x:f>MAX(M2396,F2397)</x:f>
        <x:v>1.574</x:v>
      </x:c>
      <x:c r="N2397" s="74" t="n">
        <x:f>1-F2397/M2397</x:f>
        <x:v>0.00031766200762395336</x:v>
      </x:c>
    </x:row>
    <x:row r="2398" ht="27" customHeight="1">
      <x:c r="A2398" s="66" t="str">
        <x:v>SEV580</x:v>
      </x:c>
      <x:c r="B2398" s="66" t="str">
        <x:v>祁腾蜂赢1号</x:v>
      </x:c>
      <x:c r="C2398" s="72" t="n">
        <x:v>44496</x:v>
      </x:c>
      <x:c r="D2398" s="73" t="n">
        <x:v>1.034</x:v>
      </x:c>
      <x:c r="E2398" s="73" t="n">
        <x:v>1.4768</x:v>
      </x:c>
      <x:c r="F2398" s="73" t="n">
        <x:v>1.5737</x:v>
      </x:c>
      <x:c r="G2398" s="74" t="n">
        <x:v>0.0001</x:v>
      </x:c>
      <x:c r="H2398" s="66" t="str">
        <x:v>祁腾蜂赢1号净值20260911.xlsx</x:v>
      </x:c>
      <x:c r="I2398" s="73" t="str">
        <x:f>""</x:f>
      </x:c>
      <x:c r="J2398" s="74" t="str">
        <x:f>""</x:f>
      </x:c>
      <x:c r="K2398" s="73" t="str">
        <x:f>""</x:f>
      </x:c>
      <x:c r="L2398" s="74" t="str">
        <x:f>""</x:f>
      </x:c>
      <x:c r="M2398" s="73" t="n">
        <x:f>MAX(M2397,F2398)</x:f>
        <x:v>1.574</x:v>
      </x:c>
      <x:c r="N2398" s="74" t="n">
        <x:f>1-F2398/M2398</x:f>
        <x:v>0.000190597204574261</x:v>
      </x:c>
    </x:row>
    <x:row r="2399" ht="27" customHeight="1">
      <x:c r="A2399" s="66" t="str">
        <x:v>SEV580</x:v>
      </x:c>
      <x:c r="B2399" s="66" t="str">
        <x:v>祁腾蜂赢1号</x:v>
      </x:c>
      <x:c r="C2399" s="72" t="n">
        <x:v>44497</x:v>
      </x:c>
      <x:c r="D2399" s="73" t="n">
        <x:v>1.0347</x:v>
      </x:c>
      <x:c r="E2399" s="73" t="n">
        <x:v>1.4775</x:v>
      </x:c>
      <x:c r="F2399" s="73" t="n">
        <x:v>1.5747</x:v>
      </x:c>
      <x:c r="G2399" s="74" t="n">
        <x:v>0.0007000000000000001</x:v>
      </x:c>
      <x:c r="H2399" s="66" t="str">
        <x:v>祁腾蜂赢1号净值20260911.xlsx</x:v>
      </x:c>
      <x:c r="I2399" s="73" t="str">
        <x:f>""</x:f>
      </x:c>
      <x:c r="J2399" s="74" t="str">
        <x:f>""</x:f>
      </x:c>
      <x:c r="K2399" s="73" t="str">
        <x:f>""</x:f>
      </x:c>
      <x:c r="L2399" s="74" t="str">
        <x:f>""</x:f>
      </x:c>
      <x:c r="M2399" s="73" t="n">
        <x:f>MAX(M2398,F2399)</x:f>
        <x:v>1.5747</x:v>
      </x:c>
      <x:c r="N2399" s="74" t="n">
        <x:f>1-F2399/M2399</x:f>
        <x:v>0</x:v>
      </x:c>
    </x:row>
    <x:row r="2400" ht="27" customHeight="1">
      <x:c r="A2400" s="66" t="str">
        <x:v>SEV580</x:v>
      </x:c>
      <x:c r="B2400" s="66" t="str">
        <x:v>祁腾蜂赢1号</x:v>
      </x:c>
      <x:c r="C2400" s="72" t="n">
        <x:v>44498</x:v>
      </x:c>
      <x:c r="D2400" s="73" t="n">
        <x:v>1.0357</x:v>
      </x:c>
      <x:c r="E2400" s="73" t="n">
        <x:v>1.4785</x:v>
      </x:c>
      <x:c r="F2400" s="73" t="n">
        <x:v>1.5763</x:v>
      </x:c>
      <x:c r="G2400" s="74" t="n">
        <x:v>0.001</x:v>
      </x:c>
      <x:c r="H2400" s="66" t="str">
        <x:v>祁腾蜂赢1号净值20260911.xlsx</x:v>
      </x:c>
      <x:c r="I2400" s="73" t="str">
        <x:f>""</x:f>
      </x:c>
      <x:c r="J2400" s="74" t="str">
        <x:f>""</x:f>
      </x:c>
      <x:c r="K2400" s="73" t="str">
        <x:f>""</x:f>
      </x:c>
      <x:c r="L2400" s="74" t="str">
        <x:f>""</x:f>
      </x:c>
      <x:c r="M2400" s="73" t="n">
        <x:f>MAX(M2399,F2400)</x:f>
        <x:v>1.5763</x:v>
      </x:c>
      <x:c r="N2400" s="74" t="n">
        <x:f>1-F2400/M2400</x:f>
        <x:v>0</x:v>
      </x:c>
    </x:row>
    <x:row r="2401" ht="27" customHeight="1">
      <x:c r="A2401" s="66" t="str">
        <x:v>SEV580</x:v>
      </x:c>
      <x:c r="B2401" s="66" t="str">
        <x:v>祁腾蜂赢1号</x:v>
      </x:c>
      <x:c r="C2401" s="72" t="n">
        <x:v>44501</x:v>
      </x:c>
      <x:c r="D2401" s="73" t="n">
        <x:v>1.036</x:v>
      </x:c>
      <x:c r="E2401" s="73" t="n">
        <x:v>1.4788</x:v>
      </x:c>
      <x:c r="F2401" s="73" t="n">
        <x:v>1.5767</x:v>
      </x:c>
      <x:c r="G2401" s="74" t="n">
        <x:v>0.0003</x:v>
      </x:c>
      <x:c r="H2401" s="66" t="str">
        <x:v>祁腾蜂赢1号净值20260911.xlsx</x:v>
      </x:c>
      <x:c r="I2401" s="73" t="str">
        <x:f>""</x:f>
      </x:c>
      <x:c r="J2401" s="74" t="str">
        <x:f>""</x:f>
      </x:c>
      <x:c r="K2401" s="73" t="str">
        <x:f>""</x:f>
      </x:c>
      <x:c r="L2401" s="74" t="str">
        <x:f>""</x:f>
      </x:c>
      <x:c r="M2401" s="73" t="n">
        <x:f>MAX(M2400,F2401)</x:f>
        <x:v>1.5767</x:v>
      </x:c>
      <x:c r="N2401" s="74" t="n">
        <x:f>1-F2401/M2401</x:f>
        <x:v>0</x:v>
      </x:c>
    </x:row>
    <x:row r="2402" ht="27" customHeight="1">
      <x:c r="A2402" s="66" t="str">
        <x:v>SEV580</x:v>
      </x:c>
      <x:c r="B2402" s="66" t="str">
        <x:v>祁腾蜂赢1号</x:v>
      </x:c>
      <x:c r="C2402" s="72" t="n">
        <x:v>44502</x:v>
      </x:c>
      <x:c r="D2402" s="73" t="n">
        <x:v>1.0364</x:v>
      </x:c>
      <x:c r="E2402" s="73" t="n">
        <x:v>1.4792</x:v>
      </x:c>
      <x:c r="F2402" s="73" t="n">
        <x:v>1.5773</x:v>
      </x:c>
      <x:c r="G2402" s="74" t="n">
        <x:v>0.0004</x:v>
      </x:c>
      <x:c r="H2402" s="66" t="str">
        <x:v>祁腾蜂赢1号净值20260911.xlsx</x:v>
      </x:c>
      <x:c r="I2402" s="73" t="str">
        <x:f>""</x:f>
      </x:c>
      <x:c r="J2402" s="74" t="str">
        <x:f>""</x:f>
      </x:c>
      <x:c r="K2402" s="73" t="str">
        <x:f>""</x:f>
      </x:c>
      <x:c r="L2402" s="74" t="str">
        <x:f>""</x:f>
      </x:c>
      <x:c r="M2402" s="73" t="n">
        <x:f>MAX(M2401,F2402)</x:f>
        <x:v>1.5773</x:v>
      </x:c>
      <x:c r="N2402" s="74" t="n">
        <x:f>1-F2402/M2402</x:f>
        <x:v>0</x:v>
      </x:c>
    </x:row>
    <x:row r="2403" ht="27" customHeight="1">
      <x:c r="A2403" s="66" t="str">
        <x:v>SEV580</x:v>
      </x:c>
      <x:c r="B2403" s="66" t="str">
        <x:v>祁腾蜂赢1号</x:v>
      </x:c>
      <x:c r="C2403" s="72" t="n">
        <x:v>44503</x:v>
      </x:c>
      <x:c r="D2403" s="73" t="n">
        <x:v>1.0363</x:v>
      </x:c>
      <x:c r="E2403" s="73" t="n">
        <x:v>1.4791</x:v>
      </x:c>
      <x:c r="F2403" s="73" t="n">
        <x:v>1.5772</x:v>
      </x:c>
      <x:c r="G2403" s="74" t="n">
        <x:v>-0.0001</x:v>
      </x:c>
      <x:c r="H2403" s="66" t="str">
        <x:v>祁腾蜂赢1号净值20260911.xlsx</x:v>
      </x:c>
      <x:c r="I2403" s="73" t="str">
        <x:f>""</x:f>
      </x:c>
      <x:c r="J2403" s="74" t="str">
        <x:f>""</x:f>
      </x:c>
      <x:c r="K2403" s="73" t="str">
        <x:f>""</x:f>
      </x:c>
      <x:c r="L2403" s="74" t="str">
        <x:f>""</x:f>
      </x:c>
      <x:c r="M2403" s="73" t="n">
        <x:f>MAX(M2402,F2403)</x:f>
        <x:v>1.5773</x:v>
      </x:c>
      <x:c r="N2403" s="74" t="n">
        <x:f>1-F2403/M2403</x:f>
        <x:v>0.00006339948012423768</x:v>
      </x:c>
    </x:row>
    <x:row r="2404" ht="27" customHeight="1">
      <x:c r="A2404" s="66" t="str">
        <x:v>SEV580</x:v>
      </x:c>
      <x:c r="B2404" s="66" t="str">
        <x:v>祁腾蜂赢1号</x:v>
      </x:c>
      <x:c r="C2404" s="72" t="n">
        <x:v>44504</x:v>
      </x:c>
      <x:c r="D2404" s="73" t="n">
        <x:v>1.0363</x:v>
      </x:c>
      <x:c r="E2404" s="73" t="n">
        <x:v>1.4791</x:v>
      </x:c>
      <x:c r="F2404" s="73" t="n">
        <x:v>1.5772</x:v>
      </x:c>
      <x:c r="G2404" s="74" t="n">
        <x:v>0</x:v>
      </x:c>
      <x:c r="H2404" s="66" t="str">
        <x:v>祁腾蜂赢1号净值20260911.xlsx</x:v>
      </x:c>
      <x:c r="I2404" s="73" t="str">
        <x:f>""</x:f>
      </x:c>
      <x:c r="J2404" s="74" t="str">
        <x:f>""</x:f>
      </x:c>
      <x:c r="K2404" s="73" t="str">
        <x:f>""</x:f>
      </x:c>
      <x:c r="L2404" s="74" t="str">
        <x:f>""</x:f>
      </x:c>
      <x:c r="M2404" s="73" t="n">
        <x:f>MAX(M2403,F2404)</x:f>
        <x:v>1.5773</x:v>
      </x:c>
      <x:c r="N2404" s="74" t="n">
        <x:f>1-F2404/M2404</x:f>
        <x:v>0.00006339948012423768</x:v>
      </x:c>
    </x:row>
    <x:row r="2405" ht="27" customHeight="1">
      <x:c r="A2405" s="66" t="str">
        <x:v>SEV580</x:v>
      </x:c>
      <x:c r="B2405" s="66" t="str">
        <x:v>祁腾蜂赢1号</x:v>
      </x:c>
      <x:c r="C2405" s="72" t="n">
        <x:v>44505</x:v>
      </x:c>
      <x:c r="D2405" s="73" t="n">
        <x:v>1.0362</x:v>
      </x:c>
      <x:c r="E2405" s="73" t="n">
        <x:v>1.479</x:v>
      </x:c>
      <x:c r="F2405" s="73" t="n">
        <x:v>1.577</x:v>
      </x:c>
      <x:c r="G2405" s="74" t="n">
        <x:v>-0.0001</x:v>
      </x:c>
      <x:c r="H2405" s="66" t="str">
        <x:v>祁腾蜂赢1号净值20260911.xlsx</x:v>
      </x:c>
      <x:c r="I2405" s="73" t="str">
        <x:f>""</x:f>
      </x:c>
      <x:c r="J2405" s="74" t="str">
        <x:f>""</x:f>
      </x:c>
      <x:c r="K2405" s="73" t="str">
        <x:f>""</x:f>
      </x:c>
      <x:c r="L2405" s="74" t="str">
        <x:f>""</x:f>
      </x:c>
      <x:c r="M2405" s="73" t="n">
        <x:f>MAX(M2404,F2405)</x:f>
        <x:v>1.5773</x:v>
      </x:c>
      <x:c r="N2405" s="74" t="n">
        <x:f>1-F2405/M2405</x:f>
        <x:v>0.00019019844037271305</x:v>
      </x:c>
    </x:row>
    <x:row r="2406" ht="27" customHeight="1">
      <x:c r="A2406" s="66" t="str">
        <x:v>SEV580</x:v>
      </x:c>
      <x:c r="B2406" s="66" t="str">
        <x:v>祁腾蜂赢1号</x:v>
      </x:c>
      <x:c r="C2406" s="72" t="n">
        <x:v>44508</x:v>
      </x:c>
      <x:c r="D2406" s="73" t="n">
        <x:v>1.0363</x:v>
      </x:c>
      <x:c r="E2406" s="73" t="n">
        <x:v>1.4791</x:v>
      </x:c>
      <x:c r="F2406" s="73" t="n">
        <x:v>1.5772</x:v>
      </x:c>
      <x:c r="G2406" s="74" t="n">
        <x:v>0.0001</x:v>
      </x:c>
      <x:c r="H2406" s="66" t="str">
        <x:v>祁腾蜂赢1号净值20260911.xlsx</x:v>
      </x:c>
      <x:c r="I2406" s="73" t="str">
        <x:f>""</x:f>
      </x:c>
      <x:c r="J2406" s="74" t="str">
        <x:f>""</x:f>
      </x:c>
      <x:c r="K2406" s="73" t="str">
        <x:f>""</x:f>
      </x:c>
      <x:c r="L2406" s="74" t="str">
        <x:f>""</x:f>
      </x:c>
      <x:c r="M2406" s="73" t="n">
        <x:f>MAX(M2405,F2406)</x:f>
        <x:v>1.5773</x:v>
      </x:c>
      <x:c r="N2406" s="74" t="n">
        <x:f>1-F2406/M2406</x:f>
        <x:v>0.00006339948012423768</x:v>
      </x:c>
    </x:row>
    <x:row r="2407" ht="27" customHeight="1">
      <x:c r="A2407" s="66" t="str">
        <x:v>SEV580</x:v>
      </x:c>
      <x:c r="B2407" s="66" t="str">
        <x:v>祁腾蜂赢1号</x:v>
      </x:c>
      <x:c r="C2407" s="72" t="n">
        <x:v>44509</x:v>
      </x:c>
      <x:c r="D2407" s="73" t="n">
        <x:v>1.036</x:v>
      </x:c>
      <x:c r="E2407" s="73" t="n">
        <x:v>1.4788</x:v>
      </x:c>
      <x:c r="F2407" s="73" t="n">
        <x:v>1.5767</x:v>
      </x:c>
      <x:c r="G2407" s="74" t="n">
        <x:v>-0.0003</x:v>
      </x:c>
      <x:c r="H2407" s="66" t="str">
        <x:v>祁腾蜂赢1号净值20260911.xlsx</x:v>
      </x:c>
      <x:c r="I2407" s="73" t="str">
        <x:f>""</x:f>
      </x:c>
      <x:c r="J2407" s="74" t="str">
        <x:f>""</x:f>
      </x:c>
      <x:c r="K2407" s="73" t="str">
        <x:f>""</x:f>
      </x:c>
      <x:c r="L2407" s="74" t="str">
        <x:f>""</x:f>
      </x:c>
      <x:c r="M2407" s="73" t="n">
        <x:f>MAX(M2406,F2407)</x:f>
        <x:v>1.5773</x:v>
      </x:c>
      <x:c r="N2407" s="74" t="n">
        <x:f>1-F2407/M2407</x:f>
        <x:v>0.0003803968807455371</x:v>
      </x:c>
    </x:row>
    <x:row r="2408" ht="27" customHeight="1">
      <x:c r="A2408" s="66" t="str">
        <x:v>SEV580</x:v>
      </x:c>
      <x:c r="B2408" s="66" t="str">
        <x:v>祁腾蜂赢1号</x:v>
      </x:c>
      <x:c r="C2408" s="72" t="n">
        <x:v>44510</x:v>
      </x:c>
      <x:c r="D2408" s="73" t="n">
        <x:v>1.0362</x:v>
      </x:c>
      <x:c r="E2408" s="73" t="n">
        <x:v>1.479</x:v>
      </x:c>
      <x:c r="F2408" s="73" t="n">
        <x:v>1.577</x:v>
      </x:c>
      <x:c r="G2408" s="74" t="n">
        <x:v>0.0002</x:v>
      </x:c>
      <x:c r="H2408" s="66" t="str">
        <x:v>祁腾蜂赢1号净值20260911.xlsx</x:v>
      </x:c>
      <x:c r="I2408" s="73" t="str">
        <x:f>""</x:f>
      </x:c>
      <x:c r="J2408" s="74" t="str">
        <x:f>""</x:f>
      </x:c>
      <x:c r="K2408" s="73" t="str">
        <x:f>""</x:f>
      </x:c>
      <x:c r="L2408" s="74" t="str">
        <x:f>""</x:f>
      </x:c>
      <x:c r="M2408" s="73" t="n">
        <x:f>MAX(M2407,F2408)</x:f>
        <x:v>1.5773</x:v>
      </x:c>
      <x:c r="N2408" s="74" t="n">
        <x:f>1-F2408/M2408</x:f>
        <x:v>0.00019019844037271305</x:v>
      </x:c>
    </x:row>
    <x:row r="2409" ht="27" customHeight="1">
      <x:c r="A2409" s="66" t="str">
        <x:v>SEV580</x:v>
      </x:c>
      <x:c r="B2409" s="66" t="str">
        <x:v>祁腾蜂赢1号</x:v>
      </x:c>
      <x:c r="C2409" s="72" t="n">
        <x:v>44511</x:v>
      </x:c>
      <x:c r="D2409" s="73" t="n">
        <x:v>1.0369</x:v>
      </x:c>
      <x:c r="E2409" s="73" t="n">
        <x:v>1.4797</x:v>
      </x:c>
      <x:c r="F2409" s="73" t="n">
        <x:v>1.5781</x:v>
      </x:c>
      <x:c r="G2409" s="74" t="n">
        <x:v>0.0007000000000000001</x:v>
      </x:c>
      <x:c r="H2409" s="66" t="str">
        <x:v>祁腾蜂赢1号净值20260911.xlsx</x:v>
      </x:c>
      <x:c r="I2409" s="73" t="str">
        <x:f>""</x:f>
      </x:c>
      <x:c r="J2409" s="74" t="str">
        <x:f>""</x:f>
      </x:c>
      <x:c r="K2409" s="73" t="str">
        <x:f>""</x:f>
      </x:c>
      <x:c r="L2409" s="74" t="str">
        <x:f>""</x:f>
      </x:c>
      <x:c r="M2409" s="73" t="n">
        <x:f>MAX(M2408,F2409)</x:f>
        <x:v>1.5781</x:v>
      </x:c>
      <x:c r="N2409" s="74" t="n">
        <x:f>1-F2409/M2409</x:f>
        <x:v>0</x:v>
      </x:c>
    </x:row>
    <x:row r="2410" ht="27" customHeight="1">
      <x:c r="A2410" s="66" t="str">
        <x:v>SEV580</x:v>
      </x:c>
      <x:c r="B2410" s="66" t="str">
        <x:v>祁腾蜂赢1号</x:v>
      </x:c>
      <x:c r="C2410" s="72" t="n">
        <x:v>44512</x:v>
      </x:c>
      <x:c r="D2410" s="73" t="n">
        <x:v>1.0403</x:v>
      </x:c>
      <x:c r="E2410" s="73" t="n">
        <x:v>1.4831</x:v>
      </x:c>
      <x:c r="F2410" s="73" t="n">
        <x:v>1.5833</x:v>
      </x:c>
      <x:c r="G2410" s="74" t="n">
        <x:v>0.0033</x:v>
      </x:c>
      <x:c r="H2410" s="66" t="str">
        <x:v>祁腾蜂赢1号净值20260911.xlsx</x:v>
      </x:c>
      <x:c r="I2410" s="73" t="str">
        <x:f>""</x:f>
      </x:c>
      <x:c r="J2410" s="74" t="str">
        <x:f>""</x:f>
      </x:c>
      <x:c r="K2410" s="73" t="str">
        <x:f>""</x:f>
      </x:c>
      <x:c r="L2410" s="74" t="str">
        <x:f>""</x:f>
      </x:c>
      <x:c r="M2410" s="73" t="n">
        <x:f>MAX(M2409,F2410)</x:f>
        <x:v>1.5833</x:v>
      </x:c>
      <x:c r="N2410" s="74" t="n">
        <x:f>1-F2410/M2410</x:f>
        <x:v>0</x:v>
      </x:c>
    </x:row>
    <x:row r="2411" ht="27" customHeight="1">
      <x:c r="A2411" s="66" t="str">
        <x:v>SEV580</x:v>
      </x:c>
      <x:c r="B2411" s="66" t="str">
        <x:v>祁腾蜂赢1号</x:v>
      </x:c>
      <x:c r="C2411" s="72" t="n">
        <x:v>44515</x:v>
      </x:c>
      <x:c r="D2411" s="73" t="n">
        <x:v>1.0401</x:v>
      </x:c>
      <x:c r="E2411" s="73" t="n">
        <x:v>1.4829</x:v>
      </x:c>
      <x:c r="F2411" s="73" t="n">
        <x:v>1.583</x:v>
      </x:c>
      <x:c r="G2411" s="74" t="n">
        <x:v>-0.0002</x:v>
      </x:c>
      <x:c r="H2411" s="66" t="str">
        <x:v>祁腾蜂赢1号净值20260911.xlsx</x:v>
      </x:c>
      <x:c r="I2411" s="73" t="str">
        <x:f>""</x:f>
      </x:c>
      <x:c r="J2411" s="74" t="str">
        <x:f>""</x:f>
      </x:c>
      <x:c r="K2411" s="73" t="str">
        <x:f>""</x:f>
      </x:c>
      <x:c r="L2411" s="74" t="str">
        <x:f>""</x:f>
      </x:c>
      <x:c r="M2411" s="73" t="n">
        <x:f>MAX(M2410,F2411)</x:f>
        <x:v>1.5833</x:v>
      </x:c>
      <x:c r="N2411" s="74" t="n">
        <x:f>1-F2411/M2411</x:f>
        <x:v>0.00018947767321420006</x:v>
      </x:c>
    </x:row>
    <x:row r="2412" ht="27" customHeight="1">
      <x:c r="A2412" s="66" t="str">
        <x:v>SEV580</x:v>
      </x:c>
      <x:c r="B2412" s="66" t="str">
        <x:v>祁腾蜂赢1号</x:v>
      </x:c>
      <x:c r="C2412" s="72" t="n">
        <x:v>44516</x:v>
      </x:c>
      <x:c r="D2412" s="73" t="n">
        <x:v>1.0403</x:v>
      </x:c>
      <x:c r="E2412" s="73" t="n">
        <x:v>1.4831</x:v>
      </x:c>
      <x:c r="F2412" s="73" t="n">
        <x:v>1.5833</x:v>
      </x:c>
      <x:c r="G2412" s="74" t="n">
        <x:v>0.0002</x:v>
      </x:c>
      <x:c r="H2412" s="66" t="str">
        <x:v>祁腾蜂赢1号净值20260911.xlsx</x:v>
      </x:c>
      <x:c r="I2412" s="73" t="str">
        <x:f>""</x:f>
      </x:c>
      <x:c r="J2412" s="74" t="str">
        <x:f>""</x:f>
      </x:c>
      <x:c r="K2412" s="73" t="str">
        <x:f>""</x:f>
      </x:c>
      <x:c r="L2412" s="74" t="str">
        <x:f>""</x:f>
      </x:c>
      <x:c r="M2412" s="73" t="n">
        <x:f>MAX(M2411,F2412)</x:f>
        <x:v>1.5833</x:v>
      </x:c>
      <x:c r="N2412" s="74" t="n">
        <x:f>1-F2412/M2412</x:f>
        <x:v>0</x:v>
      </x:c>
    </x:row>
    <x:row r="2413" ht="27" customHeight="1">
      <x:c r="A2413" s="66" t="str">
        <x:v>SEV580</x:v>
      </x:c>
      <x:c r="B2413" s="66" t="str">
        <x:v>祁腾蜂赢1号</x:v>
      </x:c>
      <x:c r="C2413" s="72" t="n">
        <x:v>44517</x:v>
      </x:c>
      <x:c r="D2413" s="73" t="n">
        <x:v>1.0403</x:v>
      </x:c>
      <x:c r="E2413" s="73" t="n">
        <x:v>1.4831</x:v>
      </x:c>
      <x:c r="F2413" s="73" t="n">
        <x:v>1.5833</x:v>
      </x:c>
      <x:c r="G2413" s="74" t="n">
        <x:v>0</x:v>
      </x:c>
      <x:c r="H2413" s="66" t="str">
        <x:v>祁腾蜂赢1号净值20260911.xlsx</x:v>
      </x:c>
      <x:c r="I2413" s="73" t="str">
        <x:f>""</x:f>
      </x:c>
      <x:c r="J2413" s="74" t="str">
        <x:f>""</x:f>
      </x:c>
      <x:c r="K2413" s="73" t="str">
        <x:f>""</x:f>
      </x:c>
      <x:c r="L2413" s="74" t="str">
        <x:f>""</x:f>
      </x:c>
      <x:c r="M2413" s="73" t="n">
        <x:f>MAX(M2412,F2413)</x:f>
        <x:v>1.5833</x:v>
      </x:c>
      <x:c r="N2413" s="74" t="n">
        <x:f>1-F2413/M2413</x:f>
        <x:v>0</x:v>
      </x:c>
    </x:row>
    <x:row r="2414" ht="27" customHeight="1">
      <x:c r="A2414" s="66" t="str">
        <x:v>SEV580</x:v>
      </x:c>
      <x:c r="B2414" s="66" t="str">
        <x:v>祁腾蜂赢1号</x:v>
      </x:c>
      <x:c r="C2414" s="72" t="n">
        <x:v>44518</x:v>
      </x:c>
      <x:c r="D2414" s="73" t="n">
        <x:v>1.0407</x:v>
      </x:c>
      <x:c r="E2414" s="73" t="n">
        <x:v>1.4835</x:v>
      </x:c>
      <x:c r="F2414" s="73" t="n">
        <x:v>1.5839</x:v>
      </x:c>
      <x:c r="G2414" s="74" t="n">
        <x:v>0.0004</x:v>
      </x:c>
      <x:c r="H2414" s="66" t="str">
        <x:v>祁腾蜂赢1号净值20260911.xlsx</x:v>
      </x:c>
      <x:c r="I2414" s="73" t="str">
        <x:f>""</x:f>
      </x:c>
      <x:c r="J2414" s="74" t="str">
        <x:f>""</x:f>
      </x:c>
      <x:c r="K2414" s="73" t="str">
        <x:f>""</x:f>
      </x:c>
      <x:c r="L2414" s="74" t="str">
        <x:f>""</x:f>
      </x:c>
      <x:c r="M2414" s="73" t="n">
        <x:f>MAX(M2413,F2414)</x:f>
        <x:v>1.5839</x:v>
      </x:c>
      <x:c r="N2414" s="74" t="n">
        <x:f>1-F2414/M2414</x:f>
        <x:v>0</x:v>
      </x:c>
    </x:row>
    <x:row r="2415" ht="27" customHeight="1">
      <x:c r="A2415" s="66" t="str">
        <x:v>SEV580</x:v>
      </x:c>
      <x:c r="B2415" s="66" t="str">
        <x:v>祁腾蜂赢1号</x:v>
      </x:c>
      <x:c r="C2415" s="72" t="n">
        <x:v>44519</x:v>
      </x:c>
      <x:c r="D2415" s="73" t="n">
        <x:v>1.0408</x:v>
      </x:c>
      <x:c r="E2415" s="73" t="n">
        <x:v>1.4836</x:v>
      </x:c>
      <x:c r="F2415" s="73" t="n">
        <x:v>1.584</x:v>
      </x:c>
      <x:c r="G2415" s="74" t="n">
        <x:v>0.0001</x:v>
      </x:c>
      <x:c r="H2415" s="66" t="str">
        <x:v>祁腾蜂赢1号净值20260911.xlsx</x:v>
      </x:c>
      <x:c r="I2415" s="73" t="str">
        <x:f>""</x:f>
      </x:c>
      <x:c r="J2415" s="74" t="str">
        <x:f>""</x:f>
      </x:c>
      <x:c r="K2415" s="73" t="str">
        <x:f>""</x:f>
      </x:c>
      <x:c r="L2415" s="74" t="str">
        <x:f>""</x:f>
      </x:c>
      <x:c r="M2415" s="73" t="n">
        <x:f>MAX(M2414,F2415)</x:f>
        <x:v>1.584</x:v>
      </x:c>
      <x:c r="N2415" s="74" t="n">
        <x:f>1-F2415/M2415</x:f>
        <x:v>0</x:v>
      </x:c>
    </x:row>
    <x:row r="2416" ht="27" customHeight="1">
      <x:c r="A2416" s="66" t="str">
        <x:v>SEV580</x:v>
      </x:c>
      <x:c r="B2416" s="66" t="str">
        <x:v>祁腾蜂赢1号</x:v>
      </x:c>
      <x:c r="C2416" s="72" t="n">
        <x:v>44522</x:v>
      </x:c>
      <x:c r="D2416" s="73" t="n">
        <x:v>1.0409</x:v>
      </x:c>
      <x:c r="E2416" s="73" t="n">
        <x:v>1.4837</x:v>
      </x:c>
      <x:c r="F2416" s="73" t="n">
        <x:v>1.5842</x:v>
      </x:c>
      <x:c r="G2416" s="74" t="n">
        <x:v>0.0001</x:v>
      </x:c>
      <x:c r="H2416" s="66" t="str">
        <x:v>祁腾蜂赢1号净值20260911.xlsx</x:v>
      </x:c>
      <x:c r="I2416" s="73" t="str">
        <x:f>""</x:f>
      </x:c>
      <x:c r="J2416" s="74" t="str">
        <x:f>""</x:f>
      </x:c>
      <x:c r="K2416" s="73" t="str">
        <x:f>""</x:f>
      </x:c>
      <x:c r="L2416" s="74" t="str">
        <x:f>""</x:f>
      </x:c>
      <x:c r="M2416" s="73" t="n">
        <x:f>MAX(M2415,F2416)</x:f>
        <x:v>1.5842</x:v>
      </x:c>
      <x:c r="N2416" s="74" t="n">
        <x:f>1-F2416/M2416</x:f>
        <x:v>0</x:v>
      </x:c>
    </x:row>
    <x:row r="2417" ht="27" customHeight="1">
      <x:c r="A2417" s="66" t="str">
        <x:v>SEV580</x:v>
      </x:c>
      <x:c r="B2417" s="66" t="str">
        <x:v>祁腾蜂赢1号</x:v>
      </x:c>
      <x:c r="C2417" s="72" t="n">
        <x:v>44523</x:v>
      </x:c>
      <x:c r="D2417" s="73" t="n">
        <x:v>1.0408</x:v>
      </x:c>
      <x:c r="E2417" s="73" t="n">
        <x:v>1.4836</x:v>
      </x:c>
      <x:c r="F2417" s="73" t="n">
        <x:v>1.584</x:v>
      </x:c>
      <x:c r="G2417" s="74" t="n">
        <x:v>-0.0001</x:v>
      </x:c>
      <x:c r="H2417" s="66" t="str">
        <x:v>祁腾蜂赢1号净值20260911.xlsx</x:v>
      </x:c>
      <x:c r="I2417" s="73" t="str">
        <x:f>""</x:f>
      </x:c>
      <x:c r="J2417" s="74" t="str">
        <x:f>""</x:f>
      </x:c>
      <x:c r="K2417" s="73" t="str">
        <x:f>""</x:f>
      </x:c>
      <x:c r="L2417" s="74" t="str">
        <x:f>""</x:f>
      </x:c>
      <x:c r="M2417" s="73" t="n">
        <x:f>MAX(M2416,F2417)</x:f>
        <x:v>1.5842</x:v>
      </x:c>
      <x:c r="N2417" s="74" t="n">
        <x:f>1-F2417/M2417</x:f>
        <x:v>0.000126246686024456</x:v>
      </x:c>
    </x:row>
    <x:row r="2418" ht="27" customHeight="1">
      <x:c r="A2418" s="66" t="str">
        <x:v>SEV580</x:v>
      </x:c>
      <x:c r="B2418" s="66" t="str">
        <x:v>祁腾蜂赢1号</x:v>
      </x:c>
      <x:c r="C2418" s="72" t="n">
        <x:v>44524</x:v>
      </x:c>
      <x:c r="D2418" s="73" t="n">
        <x:v>1.0408</x:v>
      </x:c>
      <x:c r="E2418" s="73" t="n">
        <x:v>1.4836</x:v>
      </x:c>
      <x:c r="F2418" s="73" t="n">
        <x:v>1.584</x:v>
      </x:c>
      <x:c r="G2418" s="74" t="n">
        <x:v>0</x:v>
      </x:c>
      <x:c r="H2418" s="66" t="str">
        <x:v>祁腾蜂赢1号净值20260911.xlsx</x:v>
      </x:c>
      <x:c r="I2418" s="73" t="str">
        <x:f>""</x:f>
      </x:c>
      <x:c r="J2418" s="74" t="str">
        <x:f>""</x:f>
      </x:c>
      <x:c r="K2418" s="73" t="str">
        <x:f>""</x:f>
      </x:c>
      <x:c r="L2418" s="74" t="str">
        <x:f>""</x:f>
      </x:c>
      <x:c r="M2418" s="73" t="n">
        <x:f>MAX(M2417,F2418)</x:f>
        <x:v>1.5842</x:v>
      </x:c>
      <x:c r="N2418" s="74" t="n">
        <x:f>1-F2418/M2418</x:f>
        <x:v>0.000126246686024456</x:v>
      </x:c>
    </x:row>
    <x:row r="2419" ht="27" customHeight="1">
      <x:c r="A2419" s="66" t="str">
        <x:v>SEV580</x:v>
      </x:c>
      <x:c r="B2419" s="66" t="str">
        <x:v>祁腾蜂赢1号</x:v>
      </x:c>
      <x:c r="C2419" s="72" t="n">
        <x:v>44525</x:v>
      </x:c>
      <x:c r="D2419" s="73" t="n">
        <x:v>1.0408</x:v>
      </x:c>
      <x:c r="E2419" s="73" t="n">
        <x:v>1.4836</x:v>
      </x:c>
      <x:c r="F2419" s="73" t="n">
        <x:v>1.584</x:v>
      </x:c>
      <x:c r="G2419" s="74" t="n">
        <x:v>0</x:v>
      </x:c>
      <x:c r="H2419" s="66" t="str">
        <x:v>祁腾蜂赢1号净值20260911.xlsx</x:v>
      </x:c>
      <x:c r="I2419" s="73" t="str">
        <x:f>""</x:f>
      </x:c>
      <x:c r="J2419" s="74" t="str">
        <x:f>""</x:f>
      </x:c>
      <x:c r="K2419" s="73" t="str">
        <x:f>""</x:f>
      </x:c>
      <x:c r="L2419" s="74" t="str">
        <x:f>""</x:f>
      </x:c>
      <x:c r="M2419" s="73" t="n">
        <x:f>MAX(M2418,F2419)</x:f>
        <x:v>1.5842</x:v>
      </x:c>
      <x:c r="N2419" s="74" t="n">
        <x:f>1-F2419/M2419</x:f>
        <x:v>0.000126246686024456</x:v>
      </x:c>
    </x:row>
    <x:row r="2420" ht="27" customHeight="1">
      <x:c r="A2420" s="66" t="str">
        <x:v>SEV580</x:v>
      </x:c>
      <x:c r="B2420" s="66" t="str">
        <x:v>祁腾蜂赢1号</x:v>
      </x:c>
      <x:c r="C2420" s="72" t="n">
        <x:v>44526</x:v>
      </x:c>
      <x:c r="D2420" s="73" t="n">
        <x:v>1.0407</x:v>
      </x:c>
      <x:c r="E2420" s="73" t="n">
        <x:v>1.4835</x:v>
      </x:c>
      <x:c r="F2420" s="73" t="n">
        <x:v>1.5839</x:v>
      </x:c>
      <x:c r="G2420" s="74" t="n">
        <x:v>-0.0001</x:v>
      </x:c>
      <x:c r="H2420" s="66" t="str">
        <x:v>祁腾蜂赢1号净值20260911.xlsx</x:v>
      </x:c>
      <x:c r="I2420" s="73" t="str">
        <x:f>""</x:f>
      </x:c>
      <x:c r="J2420" s="74" t="str">
        <x:f>""</x:f>
      </x:c>
      <x:c r="K2420" s="73" t="str">
        <x:f>""</x:f>
      </x:c>
      <x:c r="L2420" s="74" t="str">
        <x:f>""</x:f>
      </x:c>
      <x:c r="M2420" s="73" t="n">
        <x:f>MAX(M2419,F2420)</x:f>
        <x:v>1.5842</x:v>
      </x:c>
      <x:c r="N2420" s="74" t="n">
        <x:f>1-F2420/M2420</x:f>
        <x:v>0.0001893700290367395</x:v>
      </x:c>
    </x:row>
    <x:row r="2421" ht="27" customHeight="1">
      <x:c r="A2421" s="66" t="str">
        <x:v>SEV580</x:v>
      </x:c>
      <x:c r="B2421" s="66" t="str">
        <x:v>祁腾蜂赢1号</x:v>
      </x:c>
      <x:c r="C2421" s="72" t="n">
        <x:v>44529</x:v>
      </x:c>
      <x:c r="D2421" s="73" t="n">
        <x:v>1.0417</x:v>
      </x:c>
      <x:c r="E2421" s="73" t="n">
        <x:v>1.4845</x:v>
      </x:c>
      <x:c r="F2421" s="73" t="n">
        <x:v>1.5854</x:v>
      </x:c>
      <x:c r="G2421" s="74" t="n">
        <x:v>0.001</x:v>
      </x:c>
      <x:c r="H2421" s="66" t="str">
        <x:v>祁腾蜂赢1号净值20260911.xlsx</x:v>
      </x:c>
      <x:c r="I2421" s="73" t="str">
        <x:f>""</x:f>
      </x:c>
      <x:c r="J2421" s="74" t="str">
        <x:f>""</x:f>
      </x:c>
      <x:c r="K2421" s="73" t="str">
        <x:f>""</x:f>
      </x:c>
      <x:c r="L2421" s="74" t="str">
        <x:f>""</x:f>
      </x:c>
      <x:c r="M2421" s="73" t="n">
        <x:f>MAX(M2420,F2421)</x:f>
        <x:v>1.5854</x:v>
      </x:c>
      <x:c r="N2421" s="74" t="n">
        <x:f>1-F2421/M2421</x:f>
        <x:v>0</x:v>
      </x:c>
    </x:row>
    <x:row r="2422" ht="27" customHeight="1">
      <x:c r="A2422" s="66" t="str">
        <x:v>SEV580</x:v>
      </x:c>
      <x:c r="B2422" s="66" t="str">
        <x:v>祁腾蜂赢1号</x:v>
      </x:c>
      <x:c r="C2422" s="72" t="n">
        <x:v>44530</x:v>
      </x:c>
      <x:c r="D2422" s="73" t="n">
        <x:v>1.0419</x:v>
      </x:c>
      <x:c r="E2422" s="73" t="n">
        <x:v>1.4847</x:v>
      </x:c>
      <x:c r="F2422" s="73" t="n">
        <x:v>1.5857</x:v>
      </x:c>
      <x:c r="G2422" s="74" t="n">
        <x:v>0.0002</x:v>
      </x:c>
      <x:c r="H2422" s="66" t="str">
        <x:v>祁腾蜂赢1号净值20260911.xlsx</x:v>
      </x:c>
      <x:c r="I2422" s="73" t="str">
        <x:f>""</x:f>
      </x:c>
      <x:c r="J2422" s="74" t="str">
        <x:f>""</x:f>
      </x:c>
      <x:c r="K2422" s="73" t="str">
        <x:f>""</x:f>
      </x:c>
      <x:c r="L2422" s="74" t="str">
        <x:f>""</x:f>
      </x:c>
      <x:c r="M2422" s="73" t="n">
        <x:f>MAX(M2421,F2422)</x:f>
        <x:v>1.5857</x:v>
      </x:c>
      <x:c r="N2422" s="74" t="n">
        <x:f>1-F2422/M2422</x:f>
        <x:v>0</x:v>
      </x:c>
    </x:row>
    <x:row r="2423" ht="27" customHeight="1">
      <x:c r="A2423" s="66" t="str">
        <x:v>SEV580</x:v>
      </x:c>
      <x:c r="B2423" s="66" t="str">
        <x:v>祁腾蜂赢1号</x:v>
      </x:c>
      <x:c r="C2423" s="72" t="n">
        <x:v>44531</x:v>
      </x:c>
      <x:c r="D2423" s="73" t="n">
        <x:v>1.0418</x:v>
      </x:c>
      <x:c r="E2423" s="73" t="n">
        <x:v>1.4846</x:v>
      </x:c>
      <x:c r="F2423" s="73" t="n">
        <x:v>1.5855</x:v>
      </x:c>
      <x:c r="G2423" s="74" t="n">
        <x:v>-0.0001</x:v>
      </x:c>
      <x:c r="H2423" s="66" t="str">
        <x:v>祁腾蜂赢1号净值20260911.xlsx</x:v>
      </x:c>
      <x:c r="I2423" s="73" t="str">
        <x:f>""</x:f>
      </x:c>
      <x:c r="J2423" s="74" t="str">
        <x:f>""</x:f>
      </x:c>
      <x:c r="K2423" s="73" t="str">
        <x:f>""</x:f>
      </x:c>
      <x:c r="L2423" s="74" t="str">
        <x:f>""</x:f>
      </x:c>
      <x:c r="M2423" s="73" t="n">
        <x:f>MAX(M2422,F2423)</x:f>
        <x:v>1.5857</x:v>
      </x:c>
      <x:c r="N2423" s="74" t="n">
        <x:f>1-F2423/M2423</x:f>
        <x:v>0.00012612726240790462</x:v>
      </x:c>
    </x:row>
    <x:row r="2424" ht="27" customHeight="1">
      <x:c r="A2424" s="66" t="str">
        <x:v>SEV580</x:v>
      </x:c>
      <x:c r="B2424" s="66" t="str">
        <x:v>祁腾蜂赢1号</x:v>
      </x:c>
      <x:c r="C2424" s="72" t="n">
        <x:v>44532</x:v>
      </x:c>
      <x:c r="D2424" s="73" t="n">
        <x:v>1.0418</x:v>
      </x:c>
      <x:c r="E2424" s="73" t="n">
        <x:v>1.4846</x:v>
      </x:c>
      <x:c r="F2424" s="73" t="n">
        <x:v>1.5855</x:v>
      </x:c>
      <x:c r="G2424" s="74" t="n">
        <x:v>0</x:v>
      </x:c>
      <x:c r="H2424" s="66" t="str">
        <x:v>祁腾蜂赢1号净值20260911.xlsx</x:v>
      </x:c>
      <x:c r="I2424" s="73" t="str">
        <x:f>""</x:f>
      </x:c>
      <x:c r="J2424" s="74" t="str">
        <x:f>""</x:f>
      </x:c>
      <x:c r="K2424" s="73" t="str">
        <x:f>""</x:f>
      </x:c>
      <x:c r="L2424" s="74" t="str">
        <x:f>""</x:f>
      </x:c>
      <x:c r="M2424" s="73" t="n">
        <x:f>MAX(M2423,F2424)</x:f>
        <x:v>1.5857</x:v>
      </x:c>
      <x:c r="N2424" s="74" t="n">
        <x:f>1-F2424/M2424</x:f>
        <x:v>0.00012612726240790462</x:v>
      </x:c>
    </x:row>
    <x:row r="2425" ht="27" customHeight="1">
      <x:c r="A2425" s="66" t="str">
        <x:v>SEV580</x:v>
      </x:c>
      <x:c r="B2425" s="66" t="str">
        <x:v>祁腾蜂赢1号</x:v>
      </x:c>
      <x:c r="C2425" s="72" t="n">
        <x:v>44533</x:v>
      </x:c>
      <x:c r="D2425" s="73" t="n">
        <x:v>1.0419</x:v>
      </x:c>
      <x:c r="E2425" s="73" t="n">
        <x:v>1.4847</x:v>
      </x:c>
      <x:c r="F2425" s="73" t="n">
        <x:v>1.5857</x:v>
      </x:c>
      <x:c r="G2425" s="74" t="n">
        <x:v>0.0001</x:v>
      </x:c>
      <x:c r="H2425" s="66" t="str">
        <x:v>祁腾蜂赢1号净值20260911.xlsx</x:v>
      </x:c>
      <x:c r="I2425" s="73" t="str">
        <x:f>""</x:f>
      </x:c>
      <x:c r="J2425" s="74" t="str">
        <x:f>""</x:f>
      </x:c>
      <x:c r="K2425" s="73" t="str">
        <x:f>""</x:f>
      </x:c>
      <x:c r="L2425" s="74" t="str">
        <x:f>""</x:f>
      </x:c>
      <x:c r="M2425" s="73" t="n">
        <x:f>MAX(M2424,F2425)</x:f>
        <x:v>1.5857</x:v>
      </x:c>
      <x:c r="N2425" s="74" t="n">
        <x:f>1-F2425/M2425</x:f>
        <x:v>0</x:v>
      </x:c>
    </x:row>
    <x:row r="2426" ht="27" customHeight="1">
      <x:c r="A2426" s="66" t="str">
        <x:v>SEV580</x:v>
      </x:c>
      <x:c r="B2426" s="66" t="str">
        <x:v>祁腾蜂赢1号</x:v>
      </x:c>
      <x:c r="C2426" s="72" t="n">
        <x:v>44536</x:v>
      </x:c>
      <x:c r="D2426" s="73" t="n">
        <x:v>1.0421</x:v>
      </x:c>
      <x:c r="E2426" s="73" t="n">
        <x:v>1.4849</x:v>
      </x:c>
      <x:c r="F2426" s="73" t="n">
        <x:v>1.586</x:v>
      </x:c>
      <x:c r="G2426" s="74" t="n">
        <x:v>0.0002</x:v>
      </x:c>
      <x:c r="H2426" s="66" t="str">
        <x:v>祁腾蜂赢1号净值20260911.xlsx</x:v>
      </x:c>
      <x:c r="I2426" s="73" t="str">
        <x:f>""</x:f>
      </x:c>
      <x:c r="J2426" s="74" t="str">
        <x:f>""</x:f>
      </x:c>
      <x:c r="K2426" s="73" t="str">
        <x:f>""</x:f>
      </x:c>
      <x:c r="L2426" s="74" t="str">
        <x:f>""</x:f>
      </x:c>
      <x:c r="M2426" s="73" t="n">
        <x:f>MAX(M2425,F2426)</x:f>
        <x:v>1.586</x:v>
      </x:c>
      <x:c r="N2426" s="74" t="n">
        <x:f>1-F2426/M2426</x:f>
        <x:v>0</x:v>
      </x:c>
    </x:row>
    <x:row r="2427" ht="27" customHeight="1">
      <x:c r="A2427" s="66" t="str">
        <x:v>SEV580</x:v>
      </x:c>
      <x:c r="B2427" s="66" t="str">
        <x:v>祁腾蜂赢1号</x:v>
      </x:c>
      <x:c r="C2427" s="72" t="n">
        <x:v>44537</x:v>
      </x:c>
      <x:c r="D2427" s="73" t="n">
        <x:v>1.0421</x:v>
      </x:c>
      <x:c r="E2427" s="73" t="n">
        <x:v>1.4849</x:v>
      </x:c>
      <x:c r="F2427" s="73" t="n">
        <x:v>1.586</x:v>
      </x:c>
      <x:c r="G2427" s="74" t="n">
        <x:v>0</x:v>
      </x:c>
      <x:c r="H2427" s="66" t="str">
        <x:v>祁腾蜂赢1号净值20260911.xlsx</x:v>
      </x:c>
      <x:c r="I2427" s="73" t="str">
        <x:f>""</x:f>
      </x:c>
      <x:c r="J2427" s="74" t="str">
        <x:f>""</x:f>
      </x:c>
      <x:c r="K2427" s="73" t="str">
        <x:f>""</x:f>
      </x:c>
      <x:c r="L2427" s="74" t="str">
        <x:f>""</x:f>
      </x:c>
      <x:c r="M2427" s="73" t="n">
        <x:f>MAX(M2426,F2427)</x:f>
        <x:v>1.586</x:v>
      </x:c>
      <x:c r="N2427" s="74" t="n">
        <x:f>1-F2427/M2427</x:f>
        <x:v>0</x:v>
      </x:c>
    </x:row>
    <x:row r="2428" ht="27" customHeight="1">
      <x:c r="A2428" s="66" t="str">
        <x:v>SEV580</x:v>
      </x:c>
      <x:c r="B2428" s="66" t="str">
        <x:v>祁腾蜂赢1号</x:v>
      </x:c>
      <x:c r="C2428" s="72" t="n">
        <x:v>44538</x:v>
      </x:c>
      <x:c r="D2428" s="73" t="n">
        <x:v>1.0423</x:v>
      </x:c>
      <x:c r="E2428" s="73" t="n">
        <x:v>1.4851</x:v>
      </x:c>
      <x:c r="F2428" s="73" t="n">
        <x:v>1.5863</x:v>
      </x:c>
      <x:c r="G2428" s="74" t="n">
        <x:v>0.0002</x:v>
      </x:c>
      <x:c r="H2428" s="66" t="str">
        <x:v>祁腾蜂赢1号净值20260911.xlsx</x:v>
      </x:c>
      <x:c r="I2428" s="73" t="str">
        <x:f>""</x:f>
      </x:c>
      <x:c r="J2428" s="74" t="str">
        <x:f>""</x:f>
      </x:c>
      <x:c r="K2428" s="73" t="str">
        <x:f>""</x:f>
      </x:c>
      <x:c r="L2428" s="74" t="str">
        <x:f>""</x:f>
      </x:c>
      <x:c r="M2428" s="73" t="n">
        <x:f>MAX(M2427,F2428)</x:f>
        <x:v>1.5863</x:v>
      </x:c>
      <x:c r="N2428" s="74" t="n">
        <x:f>1-F2428/M2428</x:f>
        <x:v>0</x:v>
      </x:c>
    </x:row>
    <x:row r="2429" ht="27" customHeight="1">
      <x:c r="A2429" s="66" t="str">
        <x:v>SEV580</x:v>
      </x:c>
      <x:c r="B2429" s="66" t="str">
        <x:v>祁腾蜂赢1号</x:v>
      </x:c>
      <x:c r="C2429" s="72" t="n">
        <x:v>44539</x:v>
      </x:c>
      <x:c r="D2429" s="73" t="n">
        <x:v>1.0427</x:v>
      </x:c>
      <x:c r="E2429" s="73" t="n">
        <x:v>1.4855</x:v>
      </x:c>
      <x:c r="F2429" s="73" t="n">
        <x:v>1.5869</x:v>
      </x:c>
      <x:c r="G2429" s="74" t="n">
        <x:v>0.0004</x:v>
      </x:c>
      <x:c r="H2429" s="66" t="str">
        <x:v>祁腾蜂赢1号净值20260911.xlsx</x:v>
      </x:c>
      <x:c r="I2429" s="73" t="str">
        <x:f>""</x:f>
      </x:c>
      <x:c r="J2429" s="74" t="str">
        <x:f>""</x:f>
      </x:c>
      <x:c r="K2429" s="73" t="str">
        <x:f>""</x:f>
      </x:c>
      <x:c r="L2429" s="74" t="str">
        <x:f>""</x:f>
      </x:c>
      <x:c r="M2429" s="73" t="n">
        <x:f>MAX(M2428,F2429)</x:f>
        <x:v>1.5869</x:v>
      </x:c>
      <x:c r="N2429" s="74" t="n">
        <x:f>1-F2429/M2429</x:f>
        <x:v>0</x:v>
      </x:c>
    </x:row>
    <x:row r="2430" ht="27" customHeight="1">
      <x:c r="A2430" s="66" t="str">
        <x:v>SEV580</x:v>
      </x:c>
      <x:c r="B2430" s="66" t="str">
        <x:v>祁腾蜂赢1号</x:v>
      </x:c>
      <x:c r="C2430" s="72" t="n">
        <x:v>44540</x:v>
      </x:c>
      <x:c r="D2430" s="73" t="n">
        <x:v>1.0437</x:v>
      </x:c>
      <x:c r="E2430" s="73" t="n">
        <x:v>1.4865</x:v>
      </x:c>
      <x:c r="F2430" s="73" t="n">
        <x:v>1.5884</x:v>
      </x:c>
      <x:c r="G2430" s="74" t="n">
        <x:v>0.001</x:v>
      </x:c>
      <x:c r="H2430" s="66" t="str">
        <x:v>祁腾蜂赢1号净值20260911.xlsx</x:v>
      </x:c>
      <x:c r="I2430" s="73" t="str">
        <x:f>""</x:f>
      </x:c>
      <x:c r="J2430" s="74" t="str">
        <x:f>""</x:f>
      </x:c>
      <x:c r="K2430" s="73" t="str">
        <x:f>""</x:f>
      </x:c>
      <x:c r="L2430" s="74" t="str">
        <x:f>""</x:f>
      </x:c>
      <x:c r="M2430" s="73" t="n">
        <x:f>MAX(M2429,F2430)</x:f>
        <x:v>1.5884</x:v>
      </x:c>
      <x:c r="N2430" s="74" t="n">
        <x:f>1-F2430/M2430</x:f>
        <x:v>0</x:v>
      </x:c>
    </x:row>
    <x:row r="2431" ht="27" customHeight="1">
      <x:c r="A2431" s="66" t="str">
        <x:v>SEV580</x:v>
      </x:c>
      <x:c r="B2431" s="66" t="str">
        <x:v>祁腾蜂赢1号</x:v>
      </x:c>
      <x:c r="C2431" s="72" t="n">
        <x:v>44543</x:v>
      </x:c>
      <x:c r="D2431" s="73" t="n">
        <x:v>1.0442</x:v>
      </x:c>
      <x:c r="E2431" s="73" t="n">
        <x:v>1.487</x:v>
      </x:c>
      <x:c r="F2431" s="73" t="n">
        <x:v>1.5892</x:v>
      </x:c>
      <x:c r="G2431" s="74" t="n">
        <x:v>0.0005</x:v>
      </x:c>
      <x:c r="H2431" s="66" t="str">
        <x:v>祁腾蜂赢1号净值20260911.xlsx</x:v>
      </x:c>
      <x:c r="I2431" s="73" t="str">
        <x:f>""</x:f>
      </x:c>
      <x:c r="J2431" s="74" t="str">
        <x:f>""</x:f>
      </x:c>
      <x:c r="K2431" s="73" t="str">
        <x:f>""</x:f>
      </x:c>
      <x:c r="L2431" s="74" t="str">
        <x:f>""</x:f>
      </x:c>
      <x:c r="M2431" s="73" t="n">
        <x:f>MAX(M2430,F2431)</x:f>
        <x:v>1.5892</x:v>
      </x:c>
      <x:c r="N2431" s="74" t="n">
        <x:f>1-F2431/M2431</x:f>
        <x:v>0</x:v>
      </x:c>
    </x:row>
    <x:row r="2432" ht="27" customHeight="1">
      <x:c r="A2432" s="66" t="str">
        <x:v>SEV580</x:v>
      </x:c>
      <x:c r="B2432" s="66" t="str">
        <x:v>祁腾蜂赢1号</x:v>
      </x:c>
      <x:c r="C2432" s="72" t="n">
        <x:v>44544</x:v>
      </x:c>
      <x:c r="D2432" s="73" t="n">
        <x:v>1.0443</x:v>
      </x:c>
      <x:c r="E2432" s="73" t="n">
        <x:v>1.4871</x:v>
      </x:c>
      <x:c r="F2432" s="73" t="n">
        <x:v>1.5893</x:v>
      </x:c>
      <x:c r="G2432" s="74" t="n">
        <x:v>0.0001</x:v>
      </x:c>
      <x:c r="H2432" s="66" t="str">
        <x:v>祁腾蜂赢1号净值20260911.xlsx</x:v>
      </x:c>
      <x:c r="I2432" s="73" t="str">
        <x:f>""</x:f>
      </x:c>
      <x:c r="J2432" s="74" t="str">
        <x:f>""</x:f>
      </x:c>
      <x:c r="K2432" s="73" t="str">
        <x:f>""</x:f>
      </x:c>
      <x:c r="L2432" s="74" t="str">
        <x:f>""</x:f>
      </x:c>
      <x:c r="M2432" s="73" t="n">
        <x:f>MAX(M2431,F2432)</x:f>
        <x:v>1.5893</x:v>
      </x:c>
      <x:c r="N2432" s="74" t="n">
        <x:f>1-F2432/M2432</x:f>
        <x:v>0</x:v>
      </x:c>
    </x:row>
    <x:row r="2433" ht="27" customHeight="1">
      <x:c r="A2433" s="66" t="str">
        <x:v>SEV580</x:v>
      </x:c>
      <x:c r="B2433" s="66" t="str">
        <x:v>祁腾蜂赢1号</x:v>
      </x:c>
      <x:c r="C2433" s="72" t="n">
        <x:v>44545</x:v>
      </x:c>
      <x:c r="D2433" s="73" t="n">
        <x:v>1.0447</x:v>
      </x:c>
      <x:c r="E2433" s="73" t="n">
        <x:v>1.4875</x:v>
      </x:c>
      <x:c r="F2433" s="73" t="n">
        <x:v>1.59</x:v>
      </x:c>
      <x:c r="G2433" s="74" t="n">
        <x:v>0.0004</x:v>
      </x:c>
      <x:c r="H2433" s="66" t="str">
        <x:v>祁腾蜂赢1号净值20260911.xlsx</x:v>
      </x:c>
      <x:c r="I2433" s="73" t="str">
        <x:f>""</x:f>
      </x:c>
      <x:c r="J2433" s="74" t="str">
        <x:f>""</x:f>
      </x:c>
      <x:c r="K2433" s="73" t="str">
        <x:f>""</x:f>
      </x:c>
      <x:c r="L2433" s="74" t="str">
        <x:f>""</x:f>
      </x:c>
      <x:c r="M2433" s="73" t="n">
        <x:f>MAX(M2432,F2433)</x:f>
        <x:v>1.59</x:v>
      </x:c>
      <x:c r="N2433" s="74" t="n">
        <x:f>1-F2433/M2433</x:f>
        <x:v>0</x:v>
      </x:c>
    </x:row>
    <x:row r="2434" ht="27" customHeight="1">
      <x:c r="A2434" s="66" t="str">
        <x:v>SEV580</x:v>
      </x:c>
      <x:c r="B2434" s="66" t="str">
        <x:v>祁腾蜂赢1号</x:v>
      </x:c>
      <x:c r="C2434" s="72" t="n">
        <x:v>44546</x:v>
      </x:c>
      <x:c r="D2434" s="73" t="n">
        <x:v>1.0444</x:v>
      </x:c>
      <x:c r="E2434" s="73" t="n">
        <x:v>1.4872</x:v>
      </x:c>
      <x:c r="F2434" s="73" t="n">
        <x:v>1.5895</x:v>
      </x:c>
      <x:c r="G2434" s="74" t="n">
        <x:v>-0.0003</x:v>
      </x:c>
      <x:c r="H2434" s="66" t="str">
        <x:v>祁腾蜂赢1号净值20260911.xlsx</x:v>
      </x:c>
      <x:c r="I2434" s="73" t="str">
        <x:f>""</x:f>
      </x:c>
      <x:c r="J2434" s="74" t="str">
        <x:f>""</x:f>
      </x:c>
      <x:c r="K2434" s="73" t="str">
        <x:f>""</x:f>
      </x:c>
      <x:c r="L2434" s="74" t="str">
        <x:f>""</x:f>
      </x:c>
      <x:c r="M2434" s="73" t="n">
        <x:f>MAX(M2433,F2434)</x:f>
        <x:v>1.59</x:v>
      </x:c>
      <x:c r="N2434" s="74" t="n">
        <x:f>1-F2434/M2434</x:f>
        <x:v>0.0003144654088050869</x:v>
      </x:c>
    </x:row>
    <x:row r="2435" ht="27" customHeight="1">
      <x:c r="A2435" s="66" t="str">
        <x:v>SEV580</x:v>
      </x:c>
      <x:c r="B2435" s="66" t="str">
        <x:v>祁腾蜂赢1号</x:v>
      </x:c>
      <x:c r="C2435" s="72" t="n">
        <x:v>44547</x:v>
      </x:c>
      <x:c r="D2435" s="73" t="n">
        <x:v>1.045</x:v>
      </x:c>
      <x:c r="E2435" s="73" t="n">
        <x:v>1.4878</x:v>
      </x:c>
      <x:c r="F2435" s="73" t="n">
        <x:v>1.5904</x:v>
      </x:c>
      <x:c r="G2435" s="74" t="n">
        <x:v>0.0006</x:v>
      </x:c>
      <x:c r="H2435" s="66" t="str">
        <x:v>祁腾蜂赢1号净值20260911.xlsx</x:v>
      </x:c>
      <x:c r="I2435" s="73" t="str">
        <x:f>""</x:f>
      </x:c>
      <x:c r="J2435" s="74" t="str">
        <x:f>""</x:f>
      </x:c>
      <x:c r="K2435" s="73" t="str">
        <x:f>""</x:f>
      </x:c>
      <x:c r="L2435" s="74" t="str">
        <x:f>""</x:f>
      </x:c>
      <x:c r="M2435" s="73" t="n">
        <x:f>MAX(M2434,F2435)</x:f>
        <x:v>1.5904</x:v>
      </x:c>
      <x:c r="N2435" s="74" t="n">
        <x:f>1-F2435/M2435</x:f>
        <x:v>0</x:v>
      </x:c>
    </x:row>
    <x:row r="2436" ht="27" customHeight="1">
      <x:c r="A2436" s="66" t="str">
        <x:v>SEV580</x:v>
      </x:c>
      <x:c r="B2436" s="66" t="str">
        <x:v>祁腾蜂赢1号</x:v>
      </x:c>
      <x:c r="C2436" s="72" t="n">
        <x:v>44550</x:v>
      </x:c>
      <x:c r="D2436" s="73" t="n">
        <x:v>1</x:v>
      </x:c>
      <x:c r="E2436" s="73" t="n">
        <x:v>1.4876</x:v>
      </x:c>
      <x:c r="F2436" s="73" t="n">
        <x:v>1.5901</x:v>
      </x:c>
      <x:c r="G2436" s="74" t="n">
        <x:v>-0.0002</x:v>
      </x:c>
      <x:c r="H2436" s="66" t="str">
        <x:v>祁腾蜂赢1号净值20260911.xlsx</x:v>
      </x:c>
      <x:c r="I2436" s="73" t="str">
        <x:f>""</x:f>
      </x:c>
      <x:c r="J2436" s="74" t="str">
        <x:f>""</x:f>
      </x:c>
      <x:c r="K2436" s="73" t="str">
        <x:f>""</x:f>
      </x:c>
      <x:c r="L2436" s="74" t="str">
        <x:f>""</x:f>
      </x:c>
      <x:c r="M2436" s="73" t="n">
        <x:f>MAX(M2435,F2436)</x:f>
        <x:v>1.5904</x:v>
      </x:c>
      <x:c r="N2436" s="74" t="n">
        <x:f>1-F2436/M2436</x:f>
        <x:v>0.00018863179074446457</x:v>
      </x:c>
    </x:row>
    <x:row r="2437" ht="27" customHeight="1">
      <x:c r="A2437" s="66" t="str">
        <x:v>SEV580</x:v>
      </x:c>
      <x:c r="B2437" s="66" t="str">
        <x:v>祁腾蜂赢1号</x:v>
      </x:c>
      <x:c r="C2437" s="72" t="n">
        <x:v>44551</x:v>
      </x:c>
      <x:c r="D2437" s="73" t="n">
        <x:v>1.0002</x:v>
      </x:c>
      <x:c r="E2437" s="73" t="n">
        <x:v>1.4878</x:v>
      </x:c>
      <x:c r="F2437" s="73" t="n">
        <x:v>1.5904</x:v>
      </x:c>
      <x:c r="G2437" s="74" t="n">
        <x:v>0.0002</x:v>
      </x:c>
      <x:c r="H2437" s="66" t="str">
        <x:v>祁腾蜂赢1号净值20260911.xlsx</x:v>
      </x:c>
      <x:c r="I2437" s="73" t="str">
        <x:f>""</x:f>
      </x:c>
      <x:c r="J2437" s="74" t="str">
        <x:f>""</x:f>
      </x:c>
      <x:c r="K2437" s="73" t="str">
        <x:f>""</x:f>
      </x:c>
      <x:c r="L2437" s="74" t="str">
        <x:f>""</x:f>
      </x:c>
      <x:c r="M2437" s="73" t="n">
        <x:f>MAX(M2436,F2437)</x:f>
        <x:v>1.5904</x:v>
      </x:c>
      <x:c r="N2437" s="74" t="n">
        <x:f>1-F2437/M2437</x:f>
        <x:v>0</x:v>
      </x:c>
    </x:row>
    <x:row r="2438" ht="27" customHeight="1">
      <x:c r="A2438" s="66" t="str">
        <x:v>SEV580</x:v>
      </x:c>
      <x:c r="B2438" s="66" t="str">
        <x:v>祁腾蜂赢1号</x:v>
      </x:c>
      <x:c r="C2438" s="72" t="n">
        <x:v>44552</x:v>
      </x:c>
      <x:c r="D2438" s="73" t="n">
        <x:v>1.0002</x:v>
      </x:c>
      <x:c r="E2438" s="73" t="n">
        <x:v>1.4878</x:v>
      </x:c>
      <x:c r="F2438" s="73" t="n">
        <x:v>1.5904</x:v>
      </x:c>
      <x:c r="G2438" s="74" t="n">
        <x:v>0</x:v>
      </x:c>
      <x:c r="H2438" s="66" t="str">
        <x:v>祁腾蜂赢1号净值20260911.xlsx</x:v>
      </x:c>
      <x:c r="I2438" s="73" t="str">
        <x:f>""</x:f>
      </x:c>
      <x:c r="J2438" s="74" t="str">
        <x:f>""</x:f>
      </x:c>
      <x:c r="K2438" s="73" t="str">
        <x:f>""</x:f>
      </x:c>
      <x:c r="L2438" s="74" t="str">
        <x:f>""</x:f>
      </x:c>
      <x:c r="M2438" s="73" t="n">
        <x:f>MAX(M2437,F2438)</x:f>
        <x:v>1.5904</x:v>
      </x:c>
      <x:c r="N2438" s="74" t="n">
        <x:f>1-F2438/M2438</x:f>
        <x:v>0</x:v>
      </x:c>
    </x:row>
    <x:row r="2439" ht="27" customHeight="1">
      <x:c r="A2439" s="66" t="str">
        <x:v>SEV580</x:v>
      </x:c>
      <x:c r="B2439" s="66" t="str">
        <x:v>祁腾蜂赢1号</x:v>
      </x:c>
      <x:c r="C2439" s="72" t="n">
        <x:v>44553</x:v>
      </x:c>
      <x:c r="D2439" s="73" t="n">
        <x:v>0.9999</x:v>
      </x:c>
      <x:c r="E2439" s="73" t="n">
        <x:v>1.4875</x:v>
      </x:c>
      <x:c r="F2439" s="73" t="n">
        <x:v>1.5899</x:v>
      </x:c>
      <x:c r="G2439" s="74" t="n">
        <x:v>-0.0003</x:v>
      </x:c>
      <x:c r="H2439" s="66" t="str">
        <x:v>祁腾蜂赢1号净值20260911.xlsx</x:v>
      </x:c>
      <x:c r="I2439" s="73" t="str">
        <x:f>""</x:f>
      </x:c>
      <x:c r="J2439" s="74" t="str">
        <x:f>""</x:f>
      </x:c>
      <x:c r="K2439" s="73" t="str">
        <x:f>""</x:f>
      </x:c>
      <x:c r="L2439" s="74" t="str">
        <x:f>""</x:f>
      </x:c>
      <x:c r="M2439" s="73" t="n">
        <x:f>MAX(M2438,F2439)</x:f>
        <x:v>1.5904</x:v>
      </x:c>
      <x:c r="N2439" s="74" t="n">
        <x:f>1-F2439/M2439</x:f>
        <x:v>0.00031438631790736693</x:v>
      </x:c>
    </x:row>
    <x:row r="2440" ht="27" customHeight="1">
      <x:c r="A2440" s="66" t="str">
        <x:v>SEV580</x:v>
      </x:c>
      <x:c r="B2440" s="66" t="str">
        <x:v>祁腾蜂赢1号</x:v>
      </x:c>
      <x:c r="C2440" s="72" t="n">
        <x:v>44554</x:v>
      </x:c>
      <x:c r="D2440" s="73" t="n">
        <x:v>0.9997</x:v>
      </x:c>
      <x:c r="E2440" s="73" t="n">
        <x:v>1.4873</x:v>
      </x:c>
      <x:c r="F2440" s="73" t="n">
        <x:v>1.5896</x:v>
      </x:c>
      <x:c r="G2440" s="74" t="n">
        <x:v>-0.0002</x:v>
      </x:c>
      <x:c r="H2440" s="66" t="str">
        <x:v>祁腾蜂赢1号净值20260911.xlsx</x:v>
      </x:c>
      <x:c r="I2440" s="73" t="str">
        <x:f>""</x:f>
      </x:c>
      <x:c r="J2440" s="74" t="str">
        <x:f>""</x:f>
      </x:c>
      <x:c r="K2440" s="73" t="str">
        <x:f>""</x:f>
      </x:c>
      <x:c r="L2440" s="74" t="str">
        <x:f>""</x:f>
      </x:c>
      <x:c r="M2440" s="73" t="n">
        <x:f>MAX(M2439,F2440)</x:f>
        <x:v>1.5904</x:v>
      </x:c>
      <x:c r="N2440" s="74" t="n">
        <x:f>1-F2440/M2440</x:f>
        <x:v>0.0005030181086519425</x:v>
      </x:c>
    </x:row>
    <x:row r="2441" ht="27" customHeight="1">
      <x:c r="A2441" s="66" t="str">
        <x:v>SEV580</x:v>
      </x:c>
      <x:c r="B2441" s="66" t="str">
        <x:v>祁腾蜂赢1号</x:v>
      </x:c>
      <x:c r="C2441" s="72" t="n">
        <x:v>44557</x:v>
      </x:c>
      <x:c r="D2441" s="73" t="n">
        <x:v>0.9998</x:v>
      </x:c>
      <x:c r="E2441" s="73" t="n">
        <x:v>1.4874</x:v>
      </x:c>
      <x:c r="F2441" s="73" t="n">
        <x:v>1.5898</x:v>
      </x:c>
      <x:c r="G2441" s="74" t="n">
        <x:v>0.0001</x:v>
      </x:c>
      <x:c r="H2441" s="66" t="str">
        <x:v>祁腾蜂赢1号净值20260911.xlsx</x:v>
      </x:c>
      <x:c r="I2441" s="73" t="str">
        <x:f>""</x:f>
      </x:c>
      <x:c r="J2441" s="74" t="str">
        <x:f>""</x:f>
      </x:c>
      <x:c r="K2441" s="73" t="str">
        <x:f>""</x:f>
      </x:c>
      <x:c r="L2441" s="74" t="str">
        <x:f>""</x:f>
      </x:c>
      <x:c r="M2441" s="73" t="n">
        <x:f>MAX(M2440,F2441)</x:f>
        <x:v>1.5904</x:v>
      </x:c>
      <x:c r="N2441" s="74" t="n">
        <x:f>1-F2441/M2441</x:f>
        <x:v>0.00037726358148892913</x:v>
      </x:c>
    </x:row>
    <x:row r="2442" ht="27" customHeight="1">
      <x:c r="A2442" s="66" t="str">
        <x:v>SEV580</x:v>
      </x:c>
      <x:c r="B2442" s="66" t="str">
        <x:v>祁腾蜂赢1号</x:v>
      </x:c>
      <x:c r="C2442" s="72" t="n">
        <x:v>44558</x:v>
      </x:c>
      <x:c r="D2442" s="73" t="n">
        <x:v>1.0001</x:v>
      </x:c>
      <x:c r="E2442" s="73" t="n">
        <x:v>1.4877</x:v>
      </x:c>
      <x:c r="F2442" s="73" t="n">
        <x:v>1.5903</x:v>
      </x:c>
      <x:c r="G2442" s="74" t="n">
        <x:v>0.0003</x:v>
      </x:c>
      <x:c r="H2442" s="66" t="str">
        <x:v>祁腾蜂赢1号净值20260911.xlsx</x:v>
      </x:c>
      <x:c r="I2442" s="73" t="str">
        <x:f>""</x:f>
      </x:c>
      <x:c r="J2442" s="74" t="str">
        <x:f>""</x:f>
      </x:c>
      <x:c r="K2442" s="73" t="str">
        <x:f>""</x:f>
      </x:c>
      <x:c r="L2442" s="74" t="str">
        <x:f>""</x:f>
      </x:c>
      <x:c r="M2442" s="73" t="n">
        <x:f>MAX(M2441,F2442)</x:f>
        <x:v>1.5904</x:v>
      </x:c>
      <x:c r="N2442" s="74" t="n">
        <x:f>1-F2442/M2442</x:f>
        <x:v>0.00006287726358145118</x:v>
      </x:c>
    </x:row>
    <x:row r="2443" ht="27" customHeight="1">
      <x:c r="A2443" s="66" t="str">
        <x:v>SEV580</x:v>
      </x:c>
      <x:c r="B2443" s="66" t="str">
        <x:v>祁腾蜂赢1号</x:v>
      </x:c>
      <x:c r="C2443" s="72" t="n">
        <x:v>44559</x:v>
      </x:c>
      <x:c r="D2443" s="73" t="n">
        <x:v>0.9995</x:v>
      </x:c>
      <x:c r="E2443" s="73" t="n">
        <x:v>1.4871</x:v>
      </x:c>
      <x:c r="F2443" s="73" t="n">
        <x:v>1.5893</x:v>
      </x:c>
      <x:c r="G2443" s="74" t="n">
        <x:v>-0.0006</x:v>
      </x:c>
      <x:c r="H2443" s="66" t="str">
        <x:v>祁腾蜂赢1号净值20260911.xlsx</x:v>
      </x:c>
      <x:c r="I2443" s="73" t="str">
        <x:f>""</x:f>
      </x:c>
      <x:c r="J2443" s="74" t="str">
        <x:f>""</x:f>
      </x:c>
      <x:c r="K2443" s="73" t="str">
        <x:f>""</x:f>
      </x:c>
      <x:c r="L2443" s="74" t="str">
        <x:f>""</x:f>
      </x:c>
      <x:c r="M2443" s="73" t="n">
        <x:f>MAX(M2442,F2443)</x:f>
        <x:v>1.5904</x:v>
      </x:c>
      <x:c r="N2443" s="74" t="n">
        <x:f>1-F2443/M2443</x:f>
        <x:v>0.0006916498993964071</x:v>
      </x:c>
    </x:row>
    <x:row r="2444" ht="27" customHeight="1">
      <x:c r="A2444" s="66" t="str">
        <x:v>SEV580</x:v>
      </x:c>
      <x:c r="B2444" s="66" t="str">
        <x:v>祁腾蜂赢1号</x:v>
      </x:c>
      <x:c r="C2444" s="72" t="n">
        <x:v>44560</x:v>
      </x:c>
      <x:c r="D2444" s="73" t="n">
        <x:v>1.0002</x:v>
      </x:c>
      <x:c r="E2444" s="73" t="n">
        <x:v>1.4878</x:v>
      </x:c>
      <x:c r="F2444" s="73" t="n">
        <x:v>1.5904</x:v>
      </x:c>
      <x:c r="G2444" s="74" t="n">
        <x:v>0.0007000000000000001</x:v>
      </x:c>
      <x:c r="H2444" s="66" t="str">
        <x:v>祁腾蜂赢1号净值20260911.xlsx</x:v>
      </x:c>
      <x:c r="I2444" s="73" t="str">
        <x:f>""</x:f>
      </x:c>
      <x:c r="J2444" s="74" t="str">
        <x:f>""</x:f>
      </x:c>
      <x:c r="K2444" s="73" t="str">
        <x:f>""</x:f>
      </x:c>
      <x:c r="L2444" s="74" t="str">
        <x:f>""</x:f>
      </x:c>
      <x:c r="M2444" s="73" t="n">
        <x:f>MAX(M2443,F2444)</x:f>
        <x:v>1.5904</x:v>
      </x:c>
      <x:c r="N2444" s="74" t="n">
        <x:f>1-F2444/M2444</x:f>
        <x:v>0</x:v>
      </x:c>
    </x:row>
    <x:row r="2445" ht="27" customHeight="1">
      <x:c r="A2445" s="66" t="str">
        <x:v>SEV580</x:v>
      </x:c>
      <x:c r="B2445" s="66" t="str">
        <x:v>祁腾蜂赢1号</x:v>
      </x:c>
      <x:c r="C2445" s="72" t="n">
        <x:v>44561</x:v>
      </x:c>
      <x:c r="D2445" s="73" t="n">
        <x:v>0.9997</x:v>
      </x:c>
      <x:c r="E2445" s="73" t="n">
        <x:v>1.4873</x:v>
      </x:c>
      <x:c r="F2445" s="73" t="n">
        <x:v>1.5896</x:v>
      </x:c>
      <x:c r="G2445" s="74" t="n">
        <x:v>-0.0005</x:v>
      </x:c>
      <x:c r="H2445" s="66" t="str">
        <x:v>祁腾蜂赢1号净值20260911.xlsx</x:v>
      </x:c>
      <x:c r="I2445" s="73" t="str">
        <x:f>""</x:f>
      </x:c>
      <x:c r="J2445" s="74" t="str">
        <x:f>""</x:f>
      </x:c>
      <x:c r="K2445" s="73" t="str">
        <x:f>""</x:f>
      </x:c>
      <x:c r="L2445" s="74" t="str">
        <x:f>""</x:f>
      </x:c>
      <x:c r="M2445" s="73" t="n">
        <x:f>MAX(M2444,F2445)</x:f>
        <x:v>1.5904</x:v>
      </x:c>
      <x:c r="N2445" s="74" t="n">
        <x:f>1-F2445/M2445</x:f>
        <x:v>0.0005030181086519425</x:v>
      </x:c>
    </x:row>
    <x:row r="2446" ht="27" customHeight="1">
      <x:c r="A2446" s="66" t="str">
        <x:v>SEV580</x:v>
      </x:c>
      <x:c r="B2446" s="66" t="str">
        <x:v>祁腾蜂赢1号</x:v>
      </x:c>
      <x:c r="C2446" s="72" t="n">
        <x:v>44565</x:v>
      </x:c>
      <x:c r="D2446" s="73" t="n">
        <x:v>0.9998</x:v>
      </x:c>
      <x:c r="E2446" s="73" t="n">
        <x:v>1.4874</x:v>
      </x:c>
      <x:c r="F2446" s="73" t="n">
        <x:v>1.5898</x:v>
      </x:c>
      <x:c r="G2446" s="74" t="n">
        <x:v>0.0001</x:v>
      </x:c>
      <x:c r="H2446" s="66" t="str">
        <x:v>祁腾蜂赢1号净值20260911.xlsx</x:v>
      </x:c>
      <x:c r="I2446" s="73" t="str">
        <x:f>""</x:f>
      </x:c>
      <x:c r="J2446" s="74" t="str">
        <x:f>""</x:f>
      </x:c>
      <x:c r="K2446" s="73" t="str">
        <x:f>""</x:f>
      </x:c>
      <x:c r="L2446" s="74" t="str">
        <x:f>""</x:f>
      </x:c>
      <x:c r="M2446" s="73" t="n">
        <x:f>MAX(M2445,F2446)</x:f>
        <x:v>1.5904</x:v>
      </x:c>
      <x:c r="N2446" s="74" t="n">
        <x:f>1-F2446/M2446</x:f>
        <x:v>0.00037726358148892913</x:v>
      </x:c>
    </x:row>
    <x:row r="2447" ht="27" customHeight="1">
      <x:c r="A2447" s="66" t="str">
        <x:v>SEV580</x:v>
      </x:c>
      <x:c r="B2447" s="66" t="str">
        <x:v>祁腾蜂赢1号</x:v>
      </x:c>
      <x:c r="C2447" s="72" t="n">
        <x:v>44566</x:v>
      </x:c>
      <x:c r="D2447" s="73" t="n">
        <x:v>0.9993</x:v>
      </x:c>
      <x:c r="E2447" s="73" t="n">
        <x:v>1.4869</x:v>
      </x:c>
      <x:c r="F2447" s="73" t="n">
        <x:v>1.589</x:v>
      </x:c>
      <x:c r="G2447" s="74" t="n">
        <x:v>-0.0005</x:v>
      </x:c>
      <x:c r="H2447" s="66" t="str">
        <x:v>祁腾蜂赢1号净值20260911.xlsx</x:v>
      </x:c>
      <x:c r="I2447" s="73" t="str">
        <x:f>""</x:f>
      </x:c>
      <x:c r="J2447" s="74" t="str">
        <x:f>""</x:f>
      </x:c>
      <x:c r="K2447" s="73" t="str">
        <x:f>""</x:f>
      </x:c>
      <x:c r="L2447" s="74" t="str">
        <x:f>""</x:f>
      </x:c>
      <x:c r="M2447" s="73" t="n">
        <x:f>MAX(M2446,F2447)</x:f>
        <x:v>1.5904</x:v>
      </x:c>
      <x:c r="N2447" s="74" t="n">
        <x:f>1-F2447/M2447</x:f>
        <x:v>0.0008802816901408717</x:v>
      </x:c>
    </x:row>
    <x:row r="2448" ht="27" customHeight="1">
      <x:c r="A2448" s="66" t="str">
        <x:v>SEV580</x:v>
      </x:c>
      <x:c r="B2448" s="66" t="str">
        <x:v>祁腾蜂赢1号</x:v>
      </x:c>
      <x:c r="C2448" s="72" t="n">
        <x:v>44567</x:v>
      </x:c>
      <x:c r="D2448" s="73" t="n">
        <x:v>0.9989</x:v>
      </x:c>
      <x:c r="E2448" s="73" t="n">
        <x:v>1.4865</x:v>
      </x:c>
      <x:c r="F2448" s="73" t="n">
        <x:v>1.5884</x:v>
      </x:c>
      <x:c r="G2448" s="74" t="n">
        <x:v>-0.0004</x:v>
      </x:c>
      <x:c r="H2448" s="66" t="str">
        <x:v>祁腾蜂赢1号净值20260911.xlsx</x:v>
      </x:c>
      <x:c r="I2448" s="73" t="str">
        <x:f>""</x:f>
      </x:c>
      <x:c r="J2448" s="74" t="str">
        <x:f>""</x:f>
      </x:c>
      <x:c r="K2448" s="73" t="str">
        <x:f>""</x:f>
      </x:c>
      <x:c r="L2448" s="74" t="str">
        <x:f>""</x:f>
      </x:c>
      <x:c r="M2448" s="73" t="n">
        <x:f>MAX(M2447,F2448)</x:f>
        <x:v>1.5904</x:v>
      </x:c>
      <x:c r="N2448" s="74" t="n">
        <x:f>1-F2448/M2448</x:f>
        <x:v>0.0012575452716298008</x:v>
      </x:c>
    </x:row>
    <x:row r="2449" ht="27" customHeight="1">
      <x:c r="A2449" s="66" t="str">
        <x:v>SEV580</x:v>
      </x:c>
      <x:c r="B2449" s="66" t="str">
        <x:v>祁腾蜂赢1号</x:v>
      </x:c>
      <x:c r="C2449" s="72" t="n">
        <x:v>44568</x:v>
      </x:c>
      <x:c r="D2449" s="73" t="n">
        <x:v>0.9986</x:v>
      </x:c>
      <x:c r="E2449" s="73" t="n">
        <x:v>1.4862</x:v>
      </x:c>
      <x:c r="F2449" s="73" t="n">
        <x:v>1.5879</x:v>
      </x:c>
      <x:c r="G2449" s="74" t="n">
        <x:v>-0.0003</x:v>
      </x:c>
      <x:c r="H2449" s="66" t="str">
        <x:v>祁腾蜂赢1号净值20260911.xlsx</x:v>
      </x:c>
      <x:c r="I2449" s="73" t="str">
        <x:f>""</x:f>
      </x:c>
      <x:c r="J2449" s="74" t="str">
        <x:f>""</x:f>
      </x:c>
      <x:c r="K2449" s="73" t="str">
        <x:f>""</x:f>
      </x:c>
      <x:c r="L2449" s="74" t="str">
        <x:f>""</x:f>
      </x:c>
      <x:c r="M2449" s="73" t="n">
        <x:f>MAX(M2448,F2449)</x:f>
        <x:v>1.5904</x:v>
      </x:c>
      <x:c r="N2449" s="74" t="n">
        <x:f>1-F2449/M2449</x:f>
        <x:v>0.0015719315895371677</x:v>
      </x:c>
    </x:row>
    <x:row r="2450" ht="27" customHeight="1">
      <x:c r="A2450" s="66" t="str">
        <x:v>SEV580</x:v>
      </x:c>
      <x:c r="B2450" s="66" t="str">
        <x:v>祁腾蜂赢1号</x:v>
      </x:c>
      <x:c r="C2450" s="72" t="n">
        <x:v>44571</x:v>
      </x:c>
      <x:c r="D2450" s="73" t="n">
        <x:v>0.9987</x:v>
      </x:c>
      <x:c r="E2450" s="73" t="n">
        <x:v>1.4863</x:v>
      </x:c>
      <x:c r="F2450" s="73" t="n">
        <x:v>1.588</x:v>
      </x:c>
      <x:c r="G2450" s="74" t="n">
        <x:v>0.0001</x:v>
      </x:c>
      <x:c r="H2450" s="66" t="str">
        <x:v>祁腾蜂赢1号净值20260911.xlsx</x:v>
      </x:c>
      <x:c r="I2450" s="73" t="str">
        <x:f>""</x:f>
      </x:c>
      <x:c r="J2450" s="74" t="str">
        <x:f>""</x:f>
      </x:c>
      <x:c r="K2450" s="73" t="str">
        <x:f>""</x:f>
      </x:c>
      <x:c r="L2450" s="74" t="str">
        <x:f>""</x:f>
      </x:c>
      <x:c r="M2450" s="73" t="n">
        <x:f>MAX(M2449,F2450)</x:f>
        <x:v>1.5904</x:v>
      </x:c>
      <x:c r="N2450" s="74" t="n">
        <x:f>1-F2450/M2450</x:f>
        <x:v>0.0015090543259557165</x:v>
      </x:c>
    </x:row>
    <x:row r="2451" ht="27" customHeight="1">
      <x:c r="A2451" s="66" t="str">
        <x:v>SEV580</x:v>
      </x:c>
      <x:c r="B2451" s="66" t="str">
        <x:v>祁腾蜂赢1号</x:v>
      </x:c>
      <x:c r="C2451" s="72" t="n">
        <x:v>44572</x:v>
      </x:c>
      <x:c r="D2451" s="73" t="n">
        <x:v>0.9988</x:v>
      </x:c>
      <x:c r="E2451" s="73" t="n">
        <x:v>1.4864</x:v>
      </x:c>
      <x:c r="F2451" s="73" t="n">
        <x:v>1.5882</x:v>
      </x:c>
      <x:c r="G2451" s="74" t="n">
        <x:v>0.0001</x:v>
      </x:c>
      <x:c r="H2451" s="66" t="str">
        <x:v>祁腾蜂赢1号净值20260911.xlsx</x:v>
      </x:c>
      <x:c r="I2451" s="73" t="str">
        <x:f>""</x:f>
      </x:c>
      <x:c r="J2451" s="74" t="str">
        <x:f>""</x:f>
      </x:c>
      <x:c r="K2451" s="73" t="str">
        <x:f>""</x:f>
      </x:c>
      <x:c r="L2451" s="74" t="str">
        <x:f>""</x:f>
      </x:c>
      <x:c r="M2451" s="73" t="n">
        <x:f>MAX(M2450,F2451)</x:f>
        <x:v>1.5904</x:v>
      </x:c>
      <x:c r="N2451" s="74" t="n">
        <x:f>1-F2451/M2451</x:f>
        <x:v>0.0013832997987927032</x:v>
      </x:c>
    </x:row>
    <x:row r="2452" ht="27" customHeight="1">
      <x:c r="A2452" s="66" t="str">
        <x:v>SEV580</x:v>
      </x:c>
      <x:c r="B2452" s="66" t="str">
        <x:v>祁腾蜂赢1号</x:v>
      </x:c>
      <x:c r="C2452" s="72" t="n">
        <x:v>44573</x:v>
      </x:c>
      <x:c r="D2452" s="73" t="n">
        <x:v>1.0003</x:v>
      </x:c>
      <x:c r="E2452" s="73" t="n">
        <x:v>1.4879</x:v>
      </x:c>
      <x:c r="F2452" s="73" t="n">
        <x:v>1.5906</x:v>
      </x:c>
      <x:c r="G2452" s="74" t="n">
        <x:v>0.0015</x:v>
      </x:c>
      <x:c r="H2452" s="66" t="str">
        <x:v>祁腾蜂赢1号净值20260911.xlsx</x:v>
      </x:c>
      <x:c r="I2452" s="73" t="str">
        <x:f>""</x:f>
      </x:c>
      <x:c r="J2452" s="74" t="str">
        <x:f>""</x:f>
      </x:c>
      <x:c r="K2452" s="73" t="str">
        <x:f>""</x:f>
      </x:c>
      <x:c r="L2452" s="74" t="str">
        <x:f>""</x:f>
      </x:c>
      <x:c r="M2452" s="73" t="n">
        <x:f>MAX(M2451,F2452)</x:f>
        <x:v>1.5906</x:v>
      </x:c>
      <x:c r="N2452" s="74" t="n">
        <x:f>1-F2452/M2452</x:f>
        <x:v>0</x:v>
      </x:c>
    </x:row>
    <x:row r="2453" ht="27" customHeight="1">
      <x:c r="A2453" s="66" t="str">
        <x:v>SEV580</x:v>
      </x:c>
      <x:c r="B2453" s="66" t="str">
        <x:v>祁腾蜂赢1号</x:v>
      </x:c>
      <x:c r="C2453" s="72" t="n">
        <x:v>44574</x:v>
      </x:c>
      <x:c r="D2453" s="73" t="n">
        <x:v>1.0007</x:v>
      </x:c>
      <x:c r="E2453" s="73" t="n">
        <x:v>1.4883</x:v>
      </x:c>
      <x:c r="F2453" s="73" t="n">
        <x:v>1.5912</x:v>
      </x:c>
      <x:c r="G2453" s="74" t="n">
        <x:v>0.0004</x:v>
      </x:c>
      <x:c r="H2453" s="66" t="str">
        <x:v>祁腾蜂赢1号净值20260911.xlsx</x:v>
      </x:c>
      <x:c r="I2453" s="73" t="str">
        <x:f>""</x:f>
      </x:c>
      <x:c r="J2453" s="74" t="str">
        <x:f>""</x:f>
      </x:c>
      <x:c r="K2453" s="73" t="str">
        <x:f>""</x:f>
      </x:c>
      <x:c r="L2453" s="74" t="str">
        <x:f>""</x:f>
      </x:c>
      <x:c r="M2453" s="73" t="n">
        <x:f>MAX(M2452,F2453)</x:f>
        <x:v>1.5912</x:v>
      </x:c>
      <x:c r="N2453" s="74" t="n">
        <x:f>1-F2453/M2453</x:f>
        <x:v>0</x:v>
      </x:c>
    </x:row>
    <x:row r="2454" ht="27" customHeight="1">
      <x:c r="A2454" s="66" t="str">
        <x:v>SEV580</x:v>
      </x:c>
      <x:c r="B2454" s="66" t="str">
        <x:v>祁腾蜂赢1号</x:v>
      </x:c>
      <x:c r="C2454" s="72" t="n">
        <x:v>44575</x:v>
      </x:c>
      <x:c r="D2454" s="73" t="n">
        <x:v>1.0009</x:v>
      </x:c>
      <x:c r="E2454" s="73" t="n">
        <x:v>1.4885</x:v>
      </x:c>
      <x:c r="F2454" s="73" t="n">
        <x:v>1.5915</x:v>
      </x:c>
      <x:c r="G2454" s="74" t="n">
        <x:v>0.0002</x:v>
      </x:c>
      <x:c r="H2454" s="66" t="str">
        <x:v>祁腾蜂赢1号净值20260911.xlsx</x:v>
      </x:c>
      <x:c r="I2454" s="73" t="str">
        <x:f>""</x:f>
      </x:c>
      <x:c r="J2454" s="74" t="str">
        <x:f>""</x:f>
      </x:c>
      <x:c r="K2454" s="73" t="str">
        <x:f>""</x:f>
      </x:c>
      <x:c r="L2454" s="74" t="str">
        <x:f>""</x:f>
      </x:c>
      <x:c r="M2454" s="73" t="n">
        <x:f>MAX(M2453,F2454)</x:f>
        <x:v>1.5915</x:v>
      </x:c>
      <x:c r="N2454" s="74" t="n">
        <x:f>1-F2454/M2454</x:f>
        <x:v>0</x:v>
      </x:c>
    </x:row>
    <x:row r="2455" ht="27" customHeight="1">
      <x:c r="A2455" s="66" t="str">
        <x:v>SEV580</x:v>
      </x:c>
      <x:c r="B2455" s="66" t="str">
        <x:v>祁腾蜂赢1号</x:v>
      </x:c>
      <x:c r="C2455" s="72" t="n">
        <x:v>44578</x:v>
      </x:c>
      <x:c r="D2455" s="73" t="n">
        <x:v>1.0014</x:v>
      </x:c>
      <x:c r="E2455" s="73" t="n">
        <x:v>1.489</x:v>
      </x:c>
      <x:c r="F2455" s="73" t="n">
        <x:v>1.5923</x:v>
      </x:c>
      <x:c r="G2455" s="74" t="n">
        <x:v>0.0005</x:v>
      </x:c>
      <x:c r="H2455" s="66" t="str">
        <x:v>祁腾蜂赢1号净值20260911.xlsx</x:v>
      </x:c>
      <x:c r="I2455" s="73" t="str">
        <x:f>""</x:f>
      </x:c>
      <x:c r="J2455" s="74" t="str">
        <x:f>""</x:f>
      </x:c>
      <x:c r="K2455" s="73" t="str">
        <x:f>""</x:f>
      </x:c>
      <x:c r="L2455" s="74" t="str">
        <x:f>""</x:f>
      </x:c>
      <x:c r="M2455" s="73" t="n">
        <x:f>MAX(M2454,F2455)</x:f>
        <x:v>1.5923</x:v>
      </x:c>
      <x:c r="N2455" s="74" t="n">
        <x:f>1-F2455/M2455</x:f>
        <x:v>0</x:v>
      </x:c>
    </x:row>
    <x:row r="2456" ht="27" customHeight="1">
      <x:c r="A2456" s="66" t="str">
        <x:v>SEV580</x:v>
      </x:c>
      <x:c r="B2456" s="66" t="str">
        <x:v>祁腾蜂赢1号</x:v>
      </x:c>
      <x:c r="C2456" s="72" t="n">
        <x:v>44579</x:v>
      </x:c>
      <x:c r="D2456" s="73" t="n">
        <x:v>1.0017</x:v>
      </x:c>
      <x:c r="E2456" s="73" t="n">
        <x:v>1.4893</x:v>
      </x:c>
      <x:c r="F2456" s="73" t="n">
        <x:v>1.5928</x:v>
      </x:c>
      <x:c r="G2456" s="74" t="n">
        <x:v>0.0003</x:v>
      </x:c>
      <x:c r="H2456" s="66" t="str">
        <x:v>祁腾蜂赢1号净值20260911.xlsx</x:v>
      </x:c>
      <x:c r="I2456" s="73" t="str">
        <x:f>""</x:f>
      </x:c>
      <x:c r="J2456" s="74" t="str">
        <x:f>""</x:f>
      </x:c>
      <x:c r="K2456" s="73" t="str">
        <x:f>""</x:f>
      </x:c>
      <x:c r="L2456" s="74" t="str">
        <x:f>""</x:f>
      </x:c>
      <x:c r="M2456" s="73" t="n">
        <x:f>MAX(M2455,F2456)</x:f>
        <x:v>1.5928</x:v>
      </x:c>
      <x:c r="N2456" s="74" t="n">
        <x:f>1-F2456/M2456</x:f>
        <x:v>0</x:v>
      </x:c>
    </x:row>
    <x:row r="2457" ht="27" customHeight="1">
      <x:c r="A2457" s="66" t="str">
        <x:v>SEV580</x:v>
      </x:c>
      <x:c r="B2457" s="66" t="str">
        <x:v>祁腾蜂赢1号</x:v>
      </x:c>
      <x:c r="C2457" s="72" t="n">
        <x:v>44580</x:v>
      </x:c>
      <x:c r="D2457" s="73" t="n">
        <x:v>1.0018</x:v>
      </x:c>
      <x:c r="E2457" s="73" t="n">
        <x:v>1.4894</x:v>
      </x:c>
      <x:c r="F2457" s="73" t="n">
        <x:v>1.593</x:v>
      </x:c>
      <x:c r="G2457" s="74" t="n">
        <x:v>0.0001</x:v>
      </x:c>
      <x:c r="H2457" s="66" t="str">
        <x:v>祁腾蜂赢1号净值20260911.xlsx</x:v>
      </x:c>
      <x:c r="I2457" s="73" t="str">
        <x:f>""</x:f>
      </x:c>
      <x:c r="J2457" s="74" t="str">
        <x:f>""</x:f>
      </x:c>
      <x:c r="K2457" s="73" t="str">
        <x:f>""</x:f>
      </x:c>
      <x:c r="L2457" s="74" t="str">
        <x:f>""</x:f>
      </x:c>
      <x:c r="M2457" s="73" t="n">
        <x:f>MAX(M2456,F2457)</x:f>
        <x:v>1.593</x:v>
      </x:c>
      <x:c r="N2457" s="74" t="n">
        <x:f>1-F2457/M2457</x:f>
        <x:v>0</x:v>
      </x:c>
    </x:row>
    <x:row r="2458" ht="27" customHeight="1">
      <x:c r="A2458" s="66" t="str">
        <x:v>SEV580</x:v>
      </x:c>
      <x:c r="B2458" s="66" t="str">
        <x:v>祁腾蜂赢1号</x:v>
      </x:c>
      <x:c r="C2458" s="72" t="n">
        <x:v>44581</x:v>
      </x:c>
      <x:c r="D2458" s="73" t="n">
        <x:v>1.0017</x:v>
      </x:c>
      <x:c r="E2458" s="73" t="n">
        <x:v>1.4893</x:v>
      </x:c>
      <x:c r="F2458" s="73" t="n">
        <x:v>1.5928</x:v>
      </x:c>
      <x:c r="G2458" s="74" t="n">
        <x:v>-0.0001</x:v>
      </x:c>
      <x:c r="H2458" s="66" t="str">
        <x:v>祁腾蜂赢1号净值20260911.xlsx</x:v>
      </x:c>
      <x:c r="I2458" s="73" t="str">
        <x:f>""</x:f>
      </x:c>
      <x:c r="J2458" s="74" t="str">
        <x:f>""</x:f>
      </x:c>
      <x:c r="K2458" s="73" t="str">
        <x:f>""</x:f>
      </x:c>
      <x:c r="L2458" s="74" t="str">
        <x:f>""</x:f>
      </x:c>
      <x:c r="M2458" s="73" t="n">
        <x:f>MAX(M2457,F2458)</x:f>
        <x:v>1.593</x:v>
      </x:c>
      <x:c r="N2458" s="74" t="n">
        <x:f>1-F2458/M2458</x:f>
        <x:v>0.00012554927809160787</x:v>
      </x:c>
    </x:row>
    <x:row r="2459" ht="27" customHeight="1">
      <x:c r="A2459" s="66" t="str">
        <x:v>SEV580</x:v>
      </x:c>
      <x:c r="B2459" s="66" t="str">
        <x:v>祁腾蜂赢1号</x:v>
      </x:c>
      <x:c r="C2459" s="72" t="n">
        <x:v>44582</x:v>
      </x:c>
      <x:c r="D2459" s="73" t="n">
        <x:v>1.002</x:v>
      </x:c>
      <x:c r="E2459" s="73" t="n">
        <x:v>1.4896</x:v>
      </x:c>
      <x:c r="F2459" s="73" t="n">
        <x:v>1.5933</x:v>
      </x:c>
      <x:c r="G2459" s="74" t="n">
        <x:v>0.0003</x:v>
      </x:c>
      <x:c r="H2459" s="66" t="str">
        <x:v>祁腾蜂赢1号净值20260911.xlsx</x:v>
      </x:c>
      <x:c r="I2459" s="73" t="str">
        <x:f>""</x:f>
      </x:c>
      <x:c r="J2459" s="74" t="str">
        <x:f>""</x:f>
      </x:c>
      <x:c r="K2459" s="73" t="str">
        <x:f>""</x:f>
      </x:c>
      <x:c r="L2459" s="74" t="str">
        <x:f>""</x:f>
      </x:c>
      <x:c r="M2459" s="73" t="n">
        <x:f>MAX(M2458,F2459)</x:f>
        <x:v>1.5933</x:v>
      </x:c>
      <x:c r="N2459" s="74" t="n">
        <x:f>1-F2459/M2459</x:f>
        <x:v>0</x:v>
      </x:c>
    </x:row>
    <x:row r="2460" ht="27" customHeight="1">
      <x:c r="A2460" s="66" t="str">
        <x:v>SEV580</x:v>
      </x:c>
      <x:c r="B2460" s="66" t="str">
        <x:v>祁腾蜂赢1号</x:v>
      </x:c>
      <x:c r="C2460" s="72" t="n">
        <x:v>44585</x:v>
      </x:c>
      <x:c r="D2460" s="73" t="n">
        <x:v>1.002</x:v>
      </x:c>
      <x:c r="E2460" s="73" t="n">
        <x:v>1.4896</x:v>
      </x:c>
      <x:c r="F2460" s="73" t="n">
        <x:v>1.5933</x:v>
      </x:c>
      <x:c r="G2460" s="74" t="n">
        <x:v>0</x:v>
      </x:c>
      <x:c r="H2460" s="66" t="str">
        <x:v>祁腾蜂赢1号净值20260911.xlsx</x:v>
      </x:c>
      <x:c r="I2460" s="73" t="str">
        <x:f>""</x:f>
      </x:c>
      <x:c r="J2460" s="74" t="str">
        <x:f>""</x:f>
      </x:c>
      <x:c r="K2460" s="73" t="str">
        <x:f>""</x:f>
      </x:c>
      <x:c r="L2460" s="74" t="str">
        <x:f>""</x:f>
      </x:c>
      <x:c r="M2460" s="73" t="n">
        <x:f>MAX(M2459,F2460)</x:f>
        <x:v>1.5933</x:v>
      </x:c>
      <x:c r="N2460" s="74" t="n">
        <x:f>1-F2460/M2460</x:f>
        <x:v>0</x:v>
      </x:c>
    </x:row>
    <x:row r="2461" ht="27" customHeight="1">
      <x:c r="A2461" s="66" t="str">
        <x:v>SEV580</x:v>
      </x:c>
      <x:c r="B2461" s="66" t="str">
        <x:v>祁腾蜂赢1号</x:v>
      </x:c>
      <x:c r="C2461" s="72" t="n">
        <x:v>44586</x:v>
      </x:c>
      <x:c r="D2461" s="73" t="n">
        <x:v>1.0028</x:v>
      </x:c>
      <x:c r="E2461" s="73" t="n">
        <x:v>1.4904</x:v>
      </x:c>
      <x:c r="F2461" s="73" t="n">
        <x:v>1.5946</x:v>
      </x:c>
      <x:c r="G2461" s="74" t="n">
        <x:v>0.0008</x:v>
      </x:c>
      <x:c r="H2461" s="66" t="str">
        <x:v>祁腾蜂赢1号净值20260911.xlsx</x:v>
      </x:c>
      <x:c r="I2461" s="73" t="str">
        <x:f>""</x:f>
      </x:c>
      <x:c r="J2461" s="74" t="str">
        <x:f>""</x:f>
      </x:c>
      <x:c r="K2461" s="73" t="str">
        <x:f>""</x:f>
      </x:c>
      <x:c r="L2461" s="74" t="str">
        <x:f>""</x:f>
      </x:c>
      <x:c r="M2461" s="73" t="n">
        <x:f>MAX(M2460,F2461)</x:f>
        <x:v>1.5946</x:v>
      </x:c>
      <x:c r="N2461" s="74" t="n">
        <x:f>1-F2461/M2461</x:f>
        <x:v>0</x:v>
      </x:c>
    </x:row>
    <x:row r="2462" ht="27" customHeight="1">
      <x:c r="A2462" s="66" t="str">
        <x:v>SEV580</x:v>
      </x:c>
      <x:c r="B2462" s="66" t="str">
        <x:v>祁腾蜂赢1号</x:v>
      </x:c>
      <x:c r="C2462" s="72" t="n">
        <x:v>44587</x:v>
      </x:c>
      <x:c r="D2462" s="73" t="n">
        <x:v>1.0027</x:v>
      </x:c>
      <x:c r="E2462" s="73" t="n">
        <x:v>1.4903</x:v>
      </x:c>
      <x:c r="F2462" s="73" t="n">
        <x:v>1.5944</x:v>
      </x:c>
      <x:c r="G2462" s="74" t="n">
        <x:v>-0.0001</x:v>
      </x:c>
      <x:c r="H2462" s="66" t="str">
        <x:v>祁腾蜂赢1号净值20260911.xlsx</x:v>
      </x:c>
      <x:c r="I2462" s="73" t="str">
        <x:f>""</x:f>
      </x:c>
      <x:c r="J2462" s="74" t="str">
        <x:f>""</x:f>
      </x:c>
      <x:c r="K2462" s="73" t="str">
        <x:f>""</x:f>
      </x:c>
      <x:c r="L2462" s="74" t="str">
        <x:f>""</x:f>
      </x:c>
      <x:c r="M2462" s="73" t="n">
        <x:f>MAX(M2461,F2462)</x:f>
        <x:v>1.5946</x:v>
      </x:c>
      <x:c r="N2462" s="74" t="n">
        <x:f>1-F2462/M2462</x:f>
        <x:v>0.0001254233036498409</x:v>
      </x:c>
    </x:row>
    <x:row r="2463" ht="27" customHeight="1">
      <x:c r="A2463" s="66" t="str">
        <x:v>SEV580</x:v>
      </x:c>
      <x:c r="B2463" s="66" t="str">
        <x:v>祁腾蜂赢1号</x:v>
      </x:c>
      <x:c r="C2463" s="72" t="n">
        <x:v>44588</x:v>
      </x:c>
      <x:c r="D2463" s="73" t="n">
        <x:v>1.0034</x:v>
      </x:c>
      <x:c r="E2463" s="73" t="n">
        <x:v>1.491</x:v>
      </x:c>
      <x:c r="F2463" s="73" t="n">
        <x:v>1.5955</x:v>
      </x:c>
      <x:c r="G2463" s="74" t="n">
        <x:v>0.0007000000000000001</x:v>
      </x:c>
      <x:c r="H2463" s="66" t="str">
        <x:v>祁腾蜂赢1号净值20260911.xlsx</x:v>
      </x:c>
      <x:c r="I2463" s="73" t="str">
        <x:f>""</x:f>
      </x:c>
      <x:c r="J2463" s="74" t="str">
        <x:f>""</x:f>
      </x:c>
      <x:c r="K2463" s="73" t="str">
        <x:f>""</x:f>
      </x:c>
      <x:c r="L2463" s="74" t="str">
        <x:f>""</x:f>
      </x:c>
      <x:c r="M2463" s="73" t="n">
        <x:f>MAX(M2462,F2463)</x:f>
        <x:v>1.5955</x:v>
      </x:c>
      <x:c r="N2463" s="74" t="n">
        <x:f>1-F2463/M2463</x:f>
        <x:v>0</x:v>
      </x:c>
    </x:row>
    <x:row r="2464" ht="27" customHeight="1">
      <x:c r="A2464" s="66" t="str">
        <x:v>SEV580</x:v>
      </x:c>
      <x:c r="B2464" s="66" t="str">
        <x:v>祁腾蜂赢1号</x:v>
      </x:c>
      <x:c r="C2464" s="72" t="n">
        <x:v>44589</x:v>
      </x:c>
      <x:c r="D2464" s="73" t="n">
        <x:v>1.0052</x:v>
      </x:c>
      <x:c r="E2464" s="73" t="n">
        <x:v>1.4928</x:v>
      </x:c>
      <x:c r="F2464" s="73" t="n">
        <x:v>1.5984</x:v>
      </x:c>
      <x:c r="G2464" s="74" t="n">
        <x:v>0.0018</x:v>
      </x:c>
      <x:c r="H2464" s="66" t="str">
        <x:v>祁腾蜂赢1号净值20260911.xlsx</x:v>
      </x:c>
      <x:c r="I2464" s="73" t="str">
        <x:f>""</x:f>
      </x:c>
      <x:c r="J2464" s="74" t="str">
        <x:f>""</x:f>
      </x:c>
      <x:c r="K2464" s="73" t="str">
        <x:f>""</x:f>
      </x:c>
      <x:c r="L2464" s="74" t="str">
        <x:f>""</x:f>
      </x:c>
      <x:c r="M2464" s="73" t="n">
        <x:f>MAX(M2463,F2464)</x:f>
        <x:v>1.5984</x:v>
      </x:c>
      <x:c r="N2464" s="74" t="n">
        <x:f>1-F2464/M2464</x:f>
        <x:v>0</x:v>
      </x:c>
    </x:row>
    <x:row r="2465" ht="27" customHeight="1">
      <x:c r="A2465" s="66" t="str">
        <x:v>SEV580</x:v>
      </x:c>
      <x:c r="B2465" s="66" t="str">
        <x:v>祁腾蜂赢1号</x:v>
      </x:c>
      <x:c r="C2465" s="72" t="n">
        <x:v>44599</x:v>
      </x:c>
      <x:c r="D2465" s="73" t="n">
        <x:v>1.0051</x:v>
      </x:c>
      <x:c r="E2465" s="73" t="n">
        <x:v>1.4927</x:v>
      </x:c>
      <x:c r="F2465" s="73" t="n">
        <x:v>1.5982</x:v>
      </x:c>
      <x:c r="G2465" s="74" t="n">
        <x:v>-0.0001</x:v>
      </x:c>
      <x:c r="H2465" s="66" t="str">
        <x:v>祁腾蜂赢1号净值20260911.xlsx</x:v>
      </x:c>
      <x:c r="I2465" s="73" t="str">
        <x:f>""</x:f>
      </x:c>
      <x:c r="J2465" s="74" t="str">
        <x:f>""</x:f>
      </x:c>
      <x:c r="K2465" s="73" t="str">
        <x:f>""</x:f>
      </x:c>
      <x:c r="L2465" s="74" t="str">
        <x:f>""</x:f>
      </x:c>
      <x:c r="M2465" s="73" t="n">
        <x:f>MAX(M2464,F2465)</x:f>
        <x:v>1.5984</x:v>
      </x:c>
      <x:c r="N2465" s="74" t="n">
        <x:f>1-F2465/M2465</x:f>
        <x:v>0.00012512512512508067</x:v>
      </x:c>
    </x:row>
    <x:row r="2466" ht="27" customHeight="1">
      <x:c r="A2466" s="66" t="str">
        <x:v>SEV580</x:v>
      </x:c>
      <x:c r="B2466" s="66" t="str">
        <x:v>祁腾蜂赢1号</x:v>
      </x:c>
      <x:c r="C2466" s="72" t="n">
        <x:v>44600</x:v>
      </x:c>
      <x:c r="D2466" s="73" t="n">
        <x:v>1.0052</x:v>
      </x:c>
      <x:c r="E2466" s="73" t="n">
        <x:v>1.4928</x:v>
      </x:c>
      <x:c r="F2466" s="73" t="n">
        <x:v>1.5984</x:v>
      </x:c>
      <x:c r="G2466" s="74" t="n">
        <x:v>0.0001</x:v>
      </x:c>
      <x:c r="H2466" s="66" t="str">
        <x:v>祁腾蜂赢1号净值20260911.xlsx</x:v>
      </x:c>
      <x:c r="I2466" s="73" t="str">
        <x:f>""</x:f>
      </x:c>
      <x:c r="J2466" s="74" t="str">
        <x:f>""</x:f>
      </x:c>
      <x:c r="K2466" s="73" t="str">
        <x:f>""</x:f>
      </x:c>
      <x:c r="L2466" s="74" t="str">
        <x:f>""</x:f>
      </x:c>
      <x:c r="M2466" s="73" t="n">
        <x:f>MAX(M2465,F2466)</x:f>
        <x:v>1.5984</x:v>
      </x:c>
      <x:c r="N2466" s="74" t="n">
        <x:f>1-F2466/M2466</x:f>
        <x:v>0</x:v>
      </x:c>
    </x:row>
    <x:row r="2467" ht="27" customHeight="1">
      <x:c r="A2467" s="66" t="str">
        <x:v>SEV580</x:v>
      </x:c>
      <x:c r="B2467" s="66" t="str">
        <x:v>祁腾蜂赢1号</x:v>
      </x:c>
      <x:c r="C2467" s="72" t="n">
        <x:v>44601</x:v>
      </x:c>
      <x:c r="D2467" s="73" t="n">
        <x:v>1.005</x:v>
      </x:c>
      <x:c r="E2467" s="73" t="n">
        <x:v>1.4926</x:v>
      </x:c>
      <x:c r="F2467" s="73" t="n">
        <x:v>1.5981</x:v>
      </x:c>
      <x:c r="G2467" s="74" t="n">
        <x:v>-0.0002</x:v>
      </x:c>
      <x:c r="H2467" s="66" t="str">
        <x:v>祁腾蜂赢1号净值20260911.xlsx</x:v>
      </x:c>
      <x:c r="I2467" s="73" t="str">
        <x:f>""</x:f>
      </x:c>
      <x:c r="J2467" s="74" t="str">
        <x:f>""</x:f>
      </x:c>
      <x:c r="K2467" s="73" t="str">
        <x:f>""</x:f>
      </x:c>
      <x:c r="L2467" s="74" t="str">
        <x:f>""</x:f>
      </x:c>
      <x:c r="M2467" s="73" t="n">
        <x:f>MAX(M2466,F2467)</x:f>
        <x:v>1.5984</x:v>
      </x:c>
      <x:c r="N2467" s="74" t="n">
        <x:f>1-F2467/M2467</x:f>
        <x:v>0.000187687687687621</x:v>
      </x:c>
    </x:row>
    <x:row r="2468" ht="27" customHeight="1">
      <x:c r="A2468" s="66" t="str">
        <x:v>SEV580</x:v>
      </x:c>
      <x:c r="B2468" s="66" t="str">
        <x:v>祁腾蜂赢1号</x:v>
      </x:c>
      <x:c r="C2468" s="72" t="n">
        <x:v>44602</x:v>
      </x:c>
      <x:c r="D2468" s="73" t="n">
        <x:v>1.0052</x:v>
      </x:c>
      <x:c r="E2468" s="73" t="n">
        <x:v>1.4928</x:v>
      </x:c>
      <x:c r="F2468" s="73" t="n">
        <x:v>1.5984</x:v>
      </x:c>
      <x:c r="G2468" s="74" t="n">
        <x:v>0.0002</x:v>
      </x:c>
      <x:c r="H2468" s="66" t="str">
        <x:v>祁腾蜂赢1号净值20260911.xlsx</x:v>
      </x:c>
      <x:c r="I2468" s="73" t="str">
        <x:f>""</x:f>
      </x:c>
      <x:c r="J2468" s="74" t="str">
        <x:f>""</x:f>
      </x:c>
      <x:c r="K2468" s="73" t="str">
        <x:f>""</x:f>
      </x:c>
      <x:c r="L2468" s="74" t="str">
        <x:f>""</x:f>
      </x:c>
      <x:c r="M2468" s="73" t="n">
        <x:f>MAX(M2467,F2468)</x:f>
        <x:v>1.5984</x:v>
      </x:c>
      <x:c r="N2468" s="74" t="n">
        <x:f>1-F2468/M2468</x:f>
        <x:v>0</x:v>
      </x:c>
    </x:row>
    <x:row r="2469" ht="27" customHeight="1">
      <x:c r="A2469" s="66" t="str">
        <x:v>SEV580</x:v>
      </x:c>
      <x:c r="B2469" s="66" t="str">
        <x:v>祁腾蜂赢1号</x:v>
      </x:c>
      <x:c r="C2469" s="72" t="n">
        <x:v>44603</x:v>
      </x:c>
      <x:c r="D2469" s="73" t="n">
        <x:v>1.0055</x:v>
      </x:c>
      <x:c r="E2469" s="73" t="n">
        <x:v>1.4931</x:v>
      </x:c>
      <x:c r="F2469" s="73" t="n">
        <x:v>1.5989</x:v>
      </x:c>
      <x:c r="G2469" s="74" t="n">
        <x:v>0.0003</x:v>
      </x:c>
      <x:c r="H2469" s="66" t="str">
        <x:v>祁腾蜂赢1号净值20260911.xlsx</x:v>
      </x:c>
      <x:c r="I2469" s="73" t="str">
        <x:f>""</x:f>
      </x:c>
      <x:c r="J2469" s="74" t="str">
        <x:f>""</x:f>
      </x:c>
      <x:c r="K2469" s="73" t="str">
        <x:f>""</x:f>
      </x:c>
      <x:c r="L2469" s="74" t="str">
        <x:f>""</x:f>
      </x:c>
      <x:c r="M2469" s="73" t="n">
        <x:f>MAX(M2468,F2469)</x:f>
        <x:v>1.5989</x:v>
      </x:c>
      <x:c r="N2469" s="74" t="n">
        <x:f>1-F2469/M2469</x:f>
        <x:v>0</x:v>
      </x:c>
    </x:row>
    <x:row r="2470" ht="27" customHeight="1">
      <x:c r="A2470" s="66" t="str">
        <x:v>SEV580</x:v>
      </x:c>
      <x:c r="B2470" s="66" t="str">
        <x:v>祁腾蜂赢1号</x:v>
      </x:c>
      <x:c r="C2470" s="72" t="n">
        <x:v>44606</x:v>
      </x:c>
      <x:c r="D2470" s="73" t="n">
        <x:v>1.0052</x:v>
      </x:c>
      <x:c r="E2470" s="73" t="n">
        <x:v>1.4928</x:v>
      </x:c>
      <x:c r="F2470" s="73" t="n">
        <x:v>1.5984</x:v>
      </x:c>
      <x:c r="G2470" s="74" t="n">
        <x:v>-0.0003</x:v>
      </x:c>
      <x:c r="H2470" s="66" t="str">
        <x:v>祁腾蜂赢1号净值20260911.xlsx</x:v>
      </x:c>
      <x:c r="I2470" s="73" t="str">
        <x:f>""</x:f>
      </x:c>
      <x:c r="J2470" s="74" t="str">
        <x:f>""</x:f>
      </x:c>
      <x:c r="K2470" s="73" t="str">
        <x:f>""</x:f>
      </x:c>
      <x:c r="L2470" s="74" t="str">
        <x:f>""</x:f>
      </x:c>
      <x:c r="M2470" s="73" t="n">
        <x:f>MAX(M2469,F2470)</x:f>
        <x:v>1.5989</x:v>
      </x:c>
      <x:c r="N2470" s="74" t="n">
        <x:f>1-F2470/M2470</x:f>
        <x:v>0.0003127149915566063</x:v>
      </x:c>
    </x:row>
    <x:row r="2471" ht="27" customHeight="1">
      <x:c r="A2471" s="66" t="str">
        <x:v>SEV580</x:v>
      </x:c>
      <x:c r="B2471" s="66" t="str">
        <x:v>祁腾蜂赢1号</x:v>
      </x:c>
      <x:c r="C2471" s="72" t="n">
        <x:v>44607</x:v>
      </x:c>
      <x:c r="D2471" s="73" t="n">
        <x:v>1.0054</x:v>
      </x:c>
      <x:c r="E2471" s="73" t="n">
        <x:v>1.493</x:v>
      </x:c>
      <x:c r="F2471" s="73" t="n">
        <x:v>1.5987</x:v>
      </x:c>
      <x:c r="G2471" s="74" t="n">
        <x:v>0.0002</x:v>
      </x:c>
      <x:c r="H2471" s="66" t="str">
        <x:v>祁腾蜂赢1号净值20260911.xlsx</x:v>
      </x:c>
      <x:c r="I2471" s="73" t="str">
        <x:f>""</x:f>
      </x:c>
      <x:c r="J2471" s="74" t="str">
        <x:f>""</x:f>
      </x:c>
      <x:c r="K2471" s="73" t="str">
        <x:f>""</x:f>
      </x:c>
      <x:c r="L2471" s="74" t="str">
        <x:f>""</x:f>
      </x:c>
      <x:c r="M2471" s="73" t="n">
        <x:f>MAX(M2470,F2471)</x:f>
        <x:v>1.5989</x:v>
      </x:c>
      <x:c r="N2471" s="74" t="n">
        <x:f>1-F2471/M2471</x:f>
        <x:v>0.00012508599662264253</x:v>
      </x:c>
    </x:row>
    <x:row r="2472" ht="27" customHeight="1">
      <x:c r="A2472" s="66" t="str">
        <x:v>SEV580</x:v>
      </x:c>
      <x:c r="B2472" s="66" t="str">
        <x:v>祁腾蜂赢1号</x:v>
      </x:c>
      <x:c r="C2472" s="72" t="n">
        <x:v>44608</x:v>
      </x:c>
      <x:c r="D2472" s="73" t="n">
        <x:v>1.0074</x:v>
      </x:c>
      <x:c r="E2472" s="73" t="n">
        <x:v>1.495</x:v>
      </x:c>
      <x:c r="F2472" s="73" t="n">
        <x:v>1.6019</x:v>
      </x:c>
      <x:c r="G2472" s="74" t="n">
        <x:v>0.002</x:v>
      </x:c>
      <x:c r="H2472" s="66" t="str">
        <x:v>祁腾蜂赢1号净值20260911.xlsx</x:v>
      </x:c>
      <x:c r="I2472" s="73" t="str">
        <x:f>""</x:f>
      </x:c>
      <x:c r="J2472" s="74" t="str">
        <x:f>""</x:f>
      </x:c>
      <x:c r="K2472" s="73" t="str">
        <x:f>""</x:f>
      </x:c>
      <x:c r="L2472" s="74" t="str">
        <x:f>""</x:f>
      </x:c>
      <x:c r="M2472" s="73" t="n">
        <x:f>MAX(M2471,F2472)</x:f>
        <x:v>1.6019</x:v>
      </x:c>
      <x:c r="N2472" s="74" t="n">
        <x:f>1-F2472/M2472</x:f>
        <x:v>0</x:v>
      </x:c>
    </x:row>
    <x:row r="2473" ht="27" customHeight="1">
      <x:c r="A2473" s="66" t="str">
        <x:v>SEV580</x:v>
      </x:c>
      <x:c r="B2473" s="66" t="str">
        <x:v>祁腾蜂赢1号</x:v>
      </x:c>
      <x:c r="C2473" s="72" t="n">
        <x:v>44609</x:v>
      </x:c>
      <x:c r="D2473" s="73" t="n">
        <x:v>1.0077</x:v>
      </x:c>
      <x:c r="E2473" s="73" t="n">
        <x:v>1.4953</x:v>
      </x:c>
      <x:c r="F2473" s="73" t="n">
        <x:v>1.6023</x:v>
      </x:c>
      <x:c r="G2473" s="74" t="n">
        <x:v>0.0003</x:v>
      </x:c>
      <x:c r="H2473" s="66" t="str">
        <x:v>祁腾蜂赢1号净值20260911.xlsx</x:v>
      </x:c>
      <x:c r="I2473" s="73" t="str">
        <x:f>""</x:f>
      </x:c>
      <x:c r="J2473" s="74" t="str">
        <x:f>""</x:f>
      </x:c>
      <x:c r="K2473" s="73" t="str">
        <x:f>""</x:f>
      </x:c>
      <x:c r="L2473" s="74" t="str">
        <x:f>""</x:f>
      </x:c>
      <x:c r="M2473" s="73" t="n">
        <x:f>MAX(M2472,F2473)</x:f>
        <x:v>1.6023</x:v>
      </x:c>
      <x:c r="N2473" s="74" t="n">
        <x:f>1-F2473/M2473</x:f>
        <x:v>0</x:v>
      </x:c>
    </x:row>
    <x:row r="2474" ht="27" customHeight="1">
      <x:c r="A2474" s="66" t="str">
        <x:v>SEV580</x:v>
      </x:c>
      <x:c r="B2474" s="66" t="str">
        <x:v>祁腾蜂赢1号</x:v>
      </x:c>
      <x:c r="C2474" s="72" t="n">
        <x:v>44610</x:v>
      </x:c>
      <x:c r="D2474" s="73" t="n">
        <x:v>1.0081</x:v>
      </x:c>
      <x:c r="E2474" s="73" t="n">
        <x:v>1.4957</x:v>
      </x:c>
      <x:c r="F2474" s="73" t="n">
        <x:v>1.603</x:v>
      </x:c>
      <x:c r="G2474" s="74" t="n">
        <x:v>0.0004</x:v>
      </x:c>
      <x:c r="H2474" s="66" t="str">
        <x:v>祁腾蜂赢1号净值20260911.xlsx</x:v>
      </x:c>
      <x:c r="I2474" s="73" t="str">
        <x:f>""</x:f>
      </x:c>
      <x:c r="J2474" s="74" t="str">
        <x:f>""</x:f>
      </x:c>
      <x:c r="K2474" s="73" t="str">
        <x:f>""</x:f>
      </x:c>
      <x:c r="L2474" s="74" t="str">
        <x:f>""</x:f>
      </x:c>
      <x:c r="M2474" s="73" t="n">
        <x:f>MAX(M2473,F2474)</x:f>
        <x:v>1.603</x:v>
      </x:c>
      <x:c r="N2474" s="74" t="n">
        <x:f>1-F2474/M2474</x:f>
        <x:v>0</x:v>
      </x:c>
    </x:row>
    <x:row r="2475" ht="27" customHeight="1">
      <x:c r="A2475" s="66" t="str">
        <x:v>SEV580</x:v>
      </x:c>
      <x:c r="B2475" s="66" t="str">
        <x:v>祁腾蜂赢1号</x:v>
      </x:c>
      <x:c r="C2475" s="72" t="n">
        <x:v>44613</x:v>
      </x:c>
      <x:c r="D2475" s="73" t="n">
        <x:v>1.0078</x:v>
      </x:c>
      <x:c r="E2475" s="73" t="n">
        <x:v>1.4954</x:v>
      </x:c>
      <x:c r="F2475" s="73" t="n">
        <x:v>1.6025</x:v>
      </x:c>
      <x:c r="G2475" s="74" t="n">
        <x:v>-0.0003</x:v>
      </x:c>
      <x:c r="H2475" s="66" t="str">
        <x:v>祁腾蜂赢1号净值20260911.xlsx</x:v>
      </x:c>
      <x:c r="I2475" s="73" t="str">
        <x:f>""</x:f>
      </x:c>
      <x:c r="J2475" s="74" t="str">
        <x:f>""</x:f>
      </x:c>
      <x:c r="K2475" s="73" t="str">
        <x:f>""</x:f>
      </x:c>
      <x:c r="L2475" s="74" t="str">
        <x:f>""</x:f>
      </x:c>
      <x:c r="M2475" s="73" t="n">
        <x:f>MAX(M2474,F2475)</x:f>
        <x:v>1.603</x:v>
      </x:c>
      <x:c r="N2475" s="74" t="n">
        <x:f>1-F2475/M2475</x:f>
        <x:v>0.0003119151590766922</x:v>
      </x:c>
    </x:row>
    <x:row r="2476" ht="27" customHeight="1">
      <x:c r="A2476" s="66" t="str">
        <x:v>SEV580</x:v>
      </x:c>
      <x:c r="B2476" s="66" t="str">
        <x:v>祁腾蜂赢1号</x:v>
      </x:c>
      <x:c r="C2476" s="72" t="n">
        <x:v>44614</x:v>
      </x:c>
      <x:c r="D2476" s="73" t="n">
        <x:v>1.0082</x:v>
      </x:c>
      <x:c r="E2476" s="73" t="n">
        <x:v>1.4958</x:v>
      </x:c>
      <x:c r="F2476" s="73" t="n">
        <x:v>1.6031</x:v>
      </x:c>
      <x:c r="G2476" s="74" t="n">
        <x:v>0.0004</x:v>
      </x:c>
      <x:c r="H2476" s="66" t="str">
        <x:v>祁腾蜂赢1号净值20260911.xlsx</x:v>
      </x:c>
      <x:c r="I2476" s="73" t="str">
        <x:f>""</x:f>
      </x:c>
      <x:c r="J2476" s="74" t="str">
        <x:f>""</x:f>
      </x:c>
      <x:c r="K2476" s="73" t="str">
        <x:f>""</x:f>
      </x:c>
      <x:c r="L2476" s="74" t="str">
        <x:f>""</x:f>
      </x:c>
      <x:c r="M2476" s="73" t="n">
        <x:f>MAX(M2475,F2476)</x:f>
        <x:v>1.6031</x:v>
      </x:c>
      <x:c r="N2476" s="74" t="n">
        <x:f>1-F2476/M2476</x:f>
        <x:v>0</x:v>
      </x:c>
    </x:row>
    <x:row r="2477" ht="27" customHeight="1">
      <x:c r="A2477" s="66" t="str">
        <x:v>SEV580</x:v>
      </x:c>
      <x:c r="B2477" s="66" t="str">
        <x:v>祁腾蜂赢1号</x:v>
      </x:c>
      <x:c r="C2477" s="72" t="n">
        <x:v>44615</x:v>
      </x:c>
      <x:c r="D2477" s="73" t="n">
        <x:v>1.008</x:v>
      </x:c>
      <x:c r="E2477" s="73" t="n">
        <x:v>1.4956</x:v>
      </x:c>
      <x:c r="F2477" s="73" t="n">
        <x:v>1.6028</x:v>
      </x:c>
      <x:c r="G2477" s="74" t="n">
        <x:v>-0.0002</x:v>
      </x:c>
      <x:c r="H2477" s="66" t="str">
        <x:v>祁腾蜂赢1号净值20260911.xlsx</x:v>
      </x:c>
      <x:c r="I2477" s="73" t="str">
        <x:f>""</x:f>
      </x:c>
      <x:c r="J2477" s="74" t="str">
        <x:f>""</x:f>
      </x:c>
      <x:c r="K2477" s="73" t="str">
        <x:f>""</x:f>
      </x:c>
      <x:c r="L2477" s="74" t="str">
        <x:f>""</x:f>
      </x:c>
      <x:c r="M2477" s="73" t="n">
        <x:f>MAX(M2476,F2477)</x:f>
        <x:v>1.6031</x:v>
      </x:c>
      <x:c r="N2477" s="74" t="n">
        <x:f>1-F2477/M2477</x:f>
        <x:v>0.0001871374212463195</x:v>
      </x:c>
    </x:row>
    <x:row r="2478" ht="27" customHeight="1">
      <x:c r="A2478" s="66" t="str">
        <x:v>SEV580</x:v>
      </x:c>
      <x:c r="B2478" s="66" t="str">
        <x:v>祁腾蜂赢1号</x:v>
      </x:c>
      <x:c r="C2478" s="72" t="n">
        <x:v>44616</x:v>
      </x:c>
      <x:c r="D2478" s="73" t="n">
        <x:v>1.0092</x:v>
      </x:c>
      <x:c r="E2478" s="73" t="n">
        <x:v>1.4968</x:v>
      </x:c>
      <x:c r="F2478" s="73" t="n">
        <x:v>1.6047</x:v>
      </x:c>
      <x:c r="G2478" s="74" t="n">
        <x:v>0.0012</x:v>
      </x:c>
      <x:c r="H2478" s="66" t="str">
        <x:v>祁腾蜂赢1号净值20260911.xlsx</x:v>
      </x:c>
      <x:c r="I2478" s="73" t="str">
        <x:f>""</x:f>
      </x:c>
      <x:c r="J2478" s="74" t="str">
        <x:f>""</x:f>
      </x:c>
      <x:c r="K2478" s="73" t="str">
        <x:f>""</x:f>
      </x:c>
      <x:c r="L2478" s="74" t="str">
        <x:f>""</x:f>
      </x:c>
      <x:c r="M2478" s="73" t="n">
        <x:f>MAX(M2477,F2478)</x:f>
        <x:v>1.6047</x:v>
      </x:c>
      <x:c r="N2478" s="74" t="n">
        <x:f>1-F2478/M2478</x:f>
        <x:v>0</x:v>
      </x:c>
    </x:row>
    <x:row r="2479" ht="27" customHeight="1">
      <x:c r="A2479" s="66" t="str">
        <x:v>SEV580</x:v>
      </x:c>
      <x:c r="B2479" s="66" t="str">
        <x:v>祁腾蜂赢1号</x:v>
      </x:c>
      <x:c r="C2479" s="72" t="n">
        <x:v>44617</x:v>
      </x:c>
      <x:c r="D2479" s="73" t="n">
        <x:v>1.0089</x:v>
      </x:c>
      <x:c r="E2479" s="73" t="n">
        <x:v>1.4965</x:v>
      </x:c>
      <x:c r="F2479" s="73" t="n">
        <x:v>1.6043</x:v>
      </x:c>
      <x:c r="G2479" s="74" t="n">
        <x:v>-0.0003</x:v>
      </x:c>
      <x:c r="H2479" s="66" t="str">
        <x:v>祁腾蜂赢1号净值20260911.xlsx</x:v>
      </x:c>
      <x:c r="I2479" s="73" t="str">
        <x:f>""</x:f>
      </x:c>
      <x:c r="J2479" s="74" t="str">
        <x:f>""</x:f>
      </x:c>
      <x:c r="K2479" s="73" t="str">
        <x:f>""</x:f>
      </x:c>
      <x:c r="L2479" s="74" t="str">
        <x:f>""</x:f>
      </x:c>
      <x:c r="M2479" s="73" t="n">
        <x:f>MAX(M2478,F2479)</x:f>
        <x:v>1.6047</x:v>
      </x:c>
      <x:c r="N2479" s="74" t="n">
        <x:f>1-F2479/M2479</x:f>
        <x:v>0.00024926777590827953</x:v>
      </x:c>
    </x:row>
    <x:row r="2480" ht="27" customHeight="1">
      <x:c r="A2480" s="66" t="str">
        <x:v>SEV580</x:v>
      </x:c>
      <x:c r="B2480" s="66" t="str">
        <x:v>祁腾蜂赢1号</x:v>
      </x:c>
      <x:c r="C2480" s="72" t="n">
        <x:v>44620</x:v>
      </x:c>
      <x:c r="D2480" s="73" t="n">
        <x:v>1.0089</x:v>
      </x:c>
      <x:c r="E2480" s="73" t="n">
        <x:v>1.4965</x:v>
      </x:c>
      <x:c r="F2480" s="73" t="n">
        <x:v>1.6043</x:v>
      </x:c>
      <x:c r="G2480" s="74" t="n">
        <x:v>0</x:v>
      </x:c>
      <x:c r="H2480" s="66" t="str">
        <x:v>祁腾蜂赢1号净值20260911.xlsx</x:v>
      </x:c>
      <x:c r="I2480" s="73" t="str">
        <x:f>""</x:f>
      </x:c>
      <x:c r="J2480" s="74" t="str">
        <x:f>""</x:f>
      </x:c>
      <x:c r="K2480" s="73" t="str">
        <x:f>""</x:f>
      </x:c>
      <x:c r="L2480" s="74" t="str">
        <x:f>""</x:f>
      </x:c>
      <x:c r="M2480" s="73" t="n">
        <x:f>MAX(M2479,F2480)</x:f>
        <x:v>1.6047</x:v>
      </x:c>
      <x:c r="N2480" s="74" t="n">
        <x:f>1-F2480/M2480</x:f>
        <x:v>0.00024926777590827953</x:v>
      </x:c>
    </x:row>
    <x:row r="2481" ht="27" customHeight="1">
      <x:c r="A2481" s="66" t="str">
        <x:v>SEV580</x:v>
      </x:c>
      <x:c r="B2481" s="66" t="str">
        <x:v>祁腾蜂赢1号</x:v>
      </x:c>
      <x:c r="C2481" s="72" t="n">
        <x:v>44621</x:v>
      </x:c>
      <x:c r="D2481" s="73" t="n">
        <x:v>1.0088</x:v>
      </x:c>
      <x:c r="E2481" s="73" t="n">
        <x:v>1.4964</x:v>
      </x:c>
      <x:c r="F2481" s="73" t="n">
        <x:v>1.6041</x:v>
      </x:c>
      <x:c r="G2481" s="74" t="n">
        <x:v>-0.0001</x:v>
      </x:c>
      <x:c r="H2481" s="66" t="str">
        <x:v>祁腾蜂赢1号净值20260911.xlsx</x:v>
      </x:c>
      <x:c r="I2481" s="73" t="str">
        <x:f>""</x:f>
      </x:c>
      <x:c r="J2481" s="74" t="str">
        <x:f>""</x:f>
      </x:c>
      <x:c r="K2481" s="73" t="str">
        <x:f>""</x:f>
      </x:c>
      <x:c r="L2481" s="74" t="str">
        <x:f>""</x:f>
      </x:c>
      <x:c r="M2481" s="73" t="n">
        <x:f>MAX(M2480,F2481)</x:f>
        <x:v>1.6047</x:v>
      </x:c>
      <x:c r="N2481" s="74" t="n">
        <x:f>1-F2481/M2481</x:f>
        <x:v>0.0003739016638623083</x:v>
      </x:c>
    </x:row>
    <x:row r="2482" ht="27" customHeight="1">
      <x:c r="A2482" s="66" t="str">
        <x:v>SEV580</x:v>
      </x:c>
      <x:c r="B2482" s="66" t="str">
        <x:v>祁腾蜂赢1号</x:v>
      </x:c>
      <x:c r="C2482" s="72" t="n">
        <x:v>44622</x:v>
      </x:c>
      <x:c r="D2482" s="73" t="n">
        <x:v>1.0086</x:v>
      </x:c>
      <x:c r="E2482" s="73" t="n">
        <x:v>1.4962</x:v>
      </x:c>
      <x:c r="F2482" s="73" t="n">
        <x:v>1.6038</x:v>
      </x:c>
      <x:c r="G2482" s="74" t="n">
        <x:v>-0.0002</x:v>
      </x:c>
      <x:c r="H2482" s="66" t="str">
        <x:v>祁腾蜂赢1号净值20260911.xlsx</x:v>
      </x:c>
      <x:c r="I2482" s="73" t="str">
        <x:f>""</x:f>
      </x:c>
      <x:c r="J2482" s="74" t="str">
        <x:f>""</x:f>
      </x:c>
      <x:c r="K2482" s="73" t="str">
        <x:f>""</x:f>
      </x:c>
      <x:c r="L2482" s="74" t="str">
        <x:f>""</x:f>
      </x:c>
      <x:c r="M2482" s="73" t="n">
        <x:f>MAX(M2481,F2482)</x:f>
        <x:v>1.6047</x:v>
      </x:c>
      <x:c r="N2482" s="74" t="n">
        <x:f>1-F2482/M2482</x:f>
        <x:v>0.000560852495793629</x:v>
      </x:c>
    </x:row>
    <x:row r="2483" ht="27" customHeight="1">
      <x:c r="A2483" s="66" t="str">
        <x:v>SEV580</x:v>
      </x:c>
      <x:c r="B2483" s="66" t="str">
        <x:v>祁腾蜂赢1号</x:v>
      </x:c>
      <x:c r="C2483" s="72" t="n">
        <x:v>44623</x:v>
      </x:c>
      <x:c r="D2483" s="73" t="n">
        <x:v>1.0085</x:v>
      </x:c>
      <x:c r="E2483" s="73" t="n">
        <x:v>1.4961</x:v>
      </x:c>
      <x:c r="F2483" s="73" t="n">
        <x:v>1.6036</x:v>
      </x:c>
      <x:c r="G2483" s="74" t="n">
        <x:v>-0.0001</x:v>
      </x:c>
      <x:c r="H2483" s="66" t="str">
        <x:v>祁腾蜂赢1号净值20260911.xlsx</x:v>
      </x:c>
      <x:c r="I2483" s="73" t="str">
        <x:f>""</x:f>
      </x:c>
      <x:c r="J2483" s="74" t="str">
        <x:f>""</x:f>
      </x:c>
      <x:c r="K2483" s="73" t="str">
        <x:f>""</x:f>
      </x:c>
      <x:c r="L2483" s="74" t="str">
        <x:f>""</x:f>
      </x:c>
      <x:c r="M2483" s="73" t="n">
        <x:f>MAX(M2482,F2483)</x:f>
        <x:v>1.6047</x:v>
      </x:c>
      <x:c r="N2483" s="74" t="n">
        <x:f>1-F2483/M2483</x:f>
        <x:v>0.0006854863837477687</x:v>
      </x:c>
    </x:row>
    <x:row r="2484" ht="27" customHeight="1">
      <x:c r="A2484" s="66" t="str">
        <x:v>SEV580</x:v>
      </x:c>
      <x:c r="B2484" s="66" t="str">
        <x:v>祁腾蜂赢1号</x:v>
      </x:c>
      <x:c r="C2484" s="72" t="n">
        <x:v>44624</x:v>
      </x:c>
      <x:c r="D2484" s="73" t="n">
        <x:v>1.009</x:v>
      </x:c>
      <x:c r="E2484" s="73" t="n">
        <x:v>1.4966</x:v>
      </x:c>
      <x:c r="F2484" s="73" t="n">
        <x:v>1.6044</x:v>
      </x:c>
      <x:c r="G2484" s="74" t="n">
        <x:v>0.0005</x:v>
      </x:c>
      <x:c r="H2484" s="66" t="str">
        <x:v>祁腾蜂赢1号净值20260911.xlsx</x:v>
      </x:c>
      <x:c r="I2484" s="73" t="str">
        <x:f>""</x:f>
      </x:c>
      <x:c r="J2484" s="74" t="str">
        <x:f>""</x:f>
      </x:c>
      <x:c r="K2484" s="73" t="str">
        <x:f>""</x:f>
      </x:c>
      <x:c r="L2484" s="74" t="str">
        <x:f>""</x:f>
      </x:c>
      <x:c r="M2484" s="73" t="n">
        <x:f>MAX(M2483,F2484)</x:f>
        <x:v>1.6047</x:v>
      </x:c>
      <x:c r="N2484" s="74" t="n">
        <x:f>1-F2484/M2484</x:f>
        <x:v>0.00018695083193120965</x:v>
      </x:c>
    </x:row>
    <x:row r="2485" ht="27" customHeight="1">
      <x:c r="A2485" s="66" t="str">
        <x:v>SEV580</x:v>
      </x:c>
      <x:c r="B2485" s="66" t="str">
        <x:v>祁腾蜂赢1号</x:v>
      </x:c>
      <x:c r="C2485" s="72" t="n">
        <x:v>44627</x:v>
      </x:c>
      <x:c r="D2485" s="73" t="n">
        <x:v>1.0094</x:v>
      </x:c>
      <x:c r="E2485" s="73" t="n">
        <x:v>1.497</x:v>
      </x:c>
      <x:c r="F2485" s="73" t="n">
        <x:v>1.6051</x:v>
      </x:c>
      <x:c r="G2485" s="74" t="n">
        <x:v>0.0004</x:v>
      </x:c>
      <x:c r="H2485" s="66" t="str">
        <x:v>祁腾蜂赢1号净值20260911.xlsx</x:v>
      </x:c>
      <x:c r="I2485" s="73" t="str">
        <x:f>""</x:f>
      </x:c>
      <x:c r="J2485" s="74" t="str">
        <x:f>""</x:f>
      </x:c>
      <x:c r="K2485" s="73" t="str">
        <x:f>""</x:f>
      </x:c>
      <x:c r="L2485" s="74" t="str">
        <x:f>""</x:f>
      </x:c>
      <x:c r="M2485" s="73" t="n">
        <x:f>MAX(M2484,F2485)</x:f>
        <x:v>1.6051</x:v>
      </x:c>
      <x:c r="N2485" s="74" t="n">
        <x:f>1-F2485/M2485</x:f>
        <x:v>0</x:v>
      </x:c>
    </x:row>
    <x:row r="2486" ht="27" customHeight="1">
      <x:c r="A2486" s="66" t="str">
        <x:v>SEV580</x:v>
      </x:c>
      <x:c r="B2486" s="66" t="str">
        <x:v>祁腾蜂赢1号</x:v>
      </x:c>
      <x:c r="C2486" s="72" t="n">
        <x:v>44628</x:v>
      </x:c>
      <x:c r="D2486" s="73" t="n">
        <x:v>1.0113</x:v>
      </x:c>
      <x:c r="E2486" s="73" t="n">
        <x:v>1.4989</x:v>
      </x:c>
      <x:c r="F2486" s="73" t="n">
        <x:v>1.6081</x:v>
      </x:c>
      <x:c r="G2486" s="74" t="n">
        <x:v>0.0019</x:v>
      </x:c>
      <x:c r="H2486" s="66" t="str">
        <x:v>祁腾蜂赢1号净值20260911.xlsx</x:v>
      </x:c>
      <x:c r="I2486" s="73" t="str">
        <x:f>""</x:f>
      </x:c>
      <x:c r="J2486" s="74" t="str">
        <x:f>""</x:f>
      </x:c>
      <x:c r="K2486" s="73" t="str">
        <x:f>""</x:f>
      </x:c>
      <x:c r="L2486" s="74" t="str">
        <x:f>""</x:f>
      </x:c>
      <x:c r="M2486" s="73" t="n">
        <x:f>MAX(M2485,F2486)</x:f>
        <x:v>1.6081</x:v>
      </x:c>
      <x:c r="N2486" s="74" t="n">
        <x:f>1-F2486/M2486</x:f>
        <x:v>0</x:v>
      </x:c>
    </x:row>
    <x:row r="2487" ht="27" customHeight="1">
      <x:c r="A2487" s="66" t="str">
        <x:v>SEV580</x:v>
      </x:c>
      <x:c r="B2487" s="66" t="str">
        <x:v>祁腾蜂赢1号</x:v>
      </x:c>
      <x:c r="C2487" s="72" t="n">
        <x:v>44629</x:v>
      </x:c>
      <x:c r="D2487" s="73" t="n">
        <x:v>1.0186</x:v>
      </x:c>
      <x:c r="E2487" s="73" t="n">
        <x:v>1.5062</x:v>
      </x:c>
      <x:c r="F2487" s="73" t="n">
        <x:v>1.6197</x:v>
      </x:c>
      <x:c r="G2487" s="74" t="n">
        <x:v>0.0072</x:v>
      </x:c>
      <x:c r="H2487" s="66" t="str">
        <x:v>祁腾蜂赢1号净值20260911.xlsx</x:v>
      </x:c>
      <x:c r="I2487" s="73" t="str">
        <x:f>""</x:f>
      </x:c>
      <x:c r="J2487" s="74" t="str">
        <x:f>""</x:f>
      </x:c>
      <x:c r="K2487" s="73" t="str">
        <x:f>""</x:f>
      </x:c>
      <x:c r="L2487" s="74" t="str">
        <x:f>""</x:f>
      </x:c>
      <x:c r="M2487" s="73" t="n">
        <x:f>MAX(M2486,F2487)</x:f>
        <x:v>1.6197</x:v>
      </x:c>
      <x:c r="N2487" s="74" t="n">
        <x:f>1-F2487/M2487</x:f>
        <x:v>0</x:v>
      </x:c>
    </x:row>
    <x:row r="2488" ht="27" customHeight="1">
      <x:c r="A2488" s="66" t="str">
        <x:v>SEV580</x:v>
      </x:c>
      <x:c r="B2488" s="66" t="str">
        <x:v>祁腾蜂赢1号</x:v>
      </x:c>
      <x:c r="C2488" s="72" t="n">
        <x:v>44630</x:v>
      </x:c>
      <x:c r="D2488" s="73" t="n">
        <x:v>1.0197</x:v>
      </x:c>
      <x:c r="E2488" s="73" t="n">
        <x:v>1.5073</x:v>
      </x:c>
      <x:c r="F2488" s="73" t="n">
        <x:v>1.6214</x:v>
      </x:c>
      <x:c r="G2488" s="74" t="n">
        <x:v>0.0011</x:v>
      </x:c>
      <x:c r="H2488" s="66" t="str">
        <x:v>祁腾蜂赢1号净值20260911.xlsx</x:v>
      </x:c>
      <x:c r="I2488" s="73" t="str">
        <x:f>""</x:f>
      </x:c>
      <x:c r="J2488" s="74" t="str">
        <x:f>""</x:f>
      </x:c>
      <x:c r="K2488" s="73" t="str">
        <x:f>""</x:f>
      </x:c>
      <x:c r="L2488" s="74" t="str">
        <x:f>""</x:f>
      </x:c>
      <x:c r="M2488" s="73" t="n">
        <x:f>MAX(M2487,F2488)</x:f>
        <x:v>1.6214</x:v>
      </x:c>
      <x:c r="N2488" s="74" t="n">
        <x:f>1-F2488/M2488</x:f>
        <x:v>0</x:v>
      </x:c>
    </x:row>
    <x:row r="2489" ht="27" customHeight="1">
      <x:c r="A2489" s="66" t="str">
        <x:v>SEV580</x:v>
      </x:c>
      <x:c r="B2489" s="66" t="str">
        <x:v>祁腾蜂赢1号</x:v>
      </x:c>
      <x:c r="C2489" s="72" t="n">
        <x:v>44631</x:v>
      </x:c>
      <x:c r="D2489" s="73" t="n">
        <x:v>1.021</x:v>
      </x:c>
      <x:c r="E2489" s="73" t="n">
        <x:v>1.5086</x:v>
      </x:c>
      <x:c r="F2489" s="73" t="n">
        <x:v>1.6235</x:v>
      </x:c>
      <x:c r="G2489" s="74" t="n">
        <x:v>0.0013</x:v>
      </x:c>
      <x:c r="H2489" s="66" t="str">
        <x:v>祁腾蜂赢1号净值20260911.xlsx</x:v>
      </x:c>
      <x:c r="I2489" s="73" t="str">
        <x:f>""</x:f>
      </x:c>
      <x:c r="J2489" s="74" t="str">
        <x:f>""</x:f>
      </x:c>
      <x:c r="K2489" s="73" t="str">
        <x:f>""</x:f>
      </x:c>
      <x:c r="L2489" s="74" t="str">
        <x:f>""</x:f>
      </x:c>
      <x:c r="M2489" s="73" t="n">
        <x:f>MAX(M2488,F2489)</x:f>
        <x:v>1.6235</x:v>
      </x:c>
      <x:c r="N2489" s="74" t="n">
        <x:f>1-F2489/M2489</x:f>
        <x:v>0</x:v>
      </x:c>
    </x:row>
    <x:row r="2490" ht="27" customHeight="1">
      <x:c r="A2490" s="66" t="str">
        <x:v>SEV580</x:v>
      </x:c>
      <x:c r="B2490" s="66" t="str">
        <x:v>祁腾蜂赢1号</x:v>
      </x:c>
      <x:c r="C2490" s="72" t="n">
        <x:v>44634</x:v>
      </x:c>
      <x:c r="D2490" s="73" t="n">
        <x:v>1.0225</x:v>
      </x:c>
      <x:c r="E2490" s="73" t="n">
        <x:v>1.5101</x:v>
      </x:c>
      <x:c r="F2490" s="73" t="n">
        <x:v>1.6259</x:v>
      </x:c>
      <x:c r="G2490" s="74" t="n">
        <x:v>0.0015</x:v>
      </x:c>
      <x:c r="H2490" s="66" t="str">
        <x:v>祁腾蜂赢1号净值20260911.xlsx</x:v>
      </x:c>
      <x:c r="I2490" s="73" t="str">
        <x:f>""</x:f>
      </x:c>
      <x:c r="J2490" s="74" t="str">
        <x:f>""</x:f>
      </x:c>
      <x:c r="K2490" s="73" t="str">
        <x:f>""</x:f>
      </x:c>
      <x:c r="L2490" s="74" t="str">
        <x:f>""</x:f>
      </x:c>
      <x:c r="M2490" s="73" t="n">
        <x:f>MAX(M2489,F2490)</x:f>
        <x:v>1.6259</x:v>
      </x:c>
      <x:c r="N2490" s="74" t="n">
        <x:f>1-F2490/M2490</x:f>
        <x:v>0</x:v>
      </x:c>
    </x:row>
    <x:row r="2491" ht="27" customHeight="1">
      <x:c r="A2491" s="66" t="str">
        <x:v>SEV580</x:v>
      </x:c>
      <x:c r="B2491" s="66" t="str">
        <x:v>祁腾蜂赢1号</x:v>
      </x:c>
      <x:c r="C2491" s="72" t="n">
        <x:v>44635</x:v>
      </x:c>
      <x:c r="D2491" s="73" t="n">
        <x:v>1.0251</x:v>
      </x:c>
      <x:c r="E2491" s="73" t="n">
        <x:v>1.5127</x:v>
      </x:c>
      <x:c r="F2491" s="73" t="n">
        <x:v>1.63</x:v>
      </x:c>
      <x:c r="G2491" s="74" t="n">
        <x:v>0.0025</x:v>
      </x:c>
      <x:c r="H2491" s="66" t="str">
        <x:v>祁腾蜂赢1号净值20260911.xlsx</x:v>
      </x:c>
      <x:c r="I2491" s="73" t="str">
        <x:f>""</x:f>
      </x:c>
      <x:c r="J2491" s="74" t="str">
        <x:f>""</x:f>
      </x:c>
      <x:c r="K2491" s="73" t="str">
        <x:f>""</x:f>
      </x:c>
      <x:c r="L2491" s="74" t="str">
        <x:f>""</x:f>
      </x:c>
      <x:c r="M2491" s="73" t="n">
        <x:f>MAX(M2490,F2491)</x:f>
        <x:v>1.63</x:v>
      </x:c>
      <x:c r="N2491" s="74" t="n">
        <x:f>1-F2491/M2491</x:f>
        <x:v>0</x:v>
      </x:c>
    </x:row>
    <x:row r="2492" ht="27" customHeight="1">
      <x:c r="A2492" s="66" t="str">
        <x:v>SEV580</x:v>
      </x:c>
      <x:c r="B2492" s="66" t="str">
        <x:v>祁腾蜂赢1号</x:v>
      </x:c>
      <x:c r="C2492" s="72" t="n">
        <x:v>44636</x:v>
      </x:c>
      <x:c r="D2492" s="73" t="n">
        <x:v>1.0268</x:v>
      </x:c>
      <x:c r="E2492" s="73" t="n">
        <x:v>1.5144</x:v>
      </x:c>
      <x:c r="F2492" s="73" t="n">
        <x:v>1.6327</x:v>
      </x:c>
      <x:c r="G2492" s="74" t="n">
        <x:v>0.0017000000000000001</x:v>
      </x:c>
      <x:c r="H2492" s="66" t="str">
        <x:v>祁腾蜂赢1号净值20260911.xlsx</x:v>
      </x:c>
      <x:c r="I2492" s="73" t="str">
        <x:f>""</x:f>
      </x:c>
      <x:c r="J2492" s="74" t="str">
        <x:f>""</x:f>
      </x:c>
      <x:c r="K2492" s="73" t="str">
        <x:f>""</x:f>
      </x:c>
      <x:c r="L2492" s="74" t="str">
        <x:f>""</x:f>
      </x:c>
      <x:c r="M2492" s="73" t="n">
        <x:f>MAX(M2491,F2492)</x:f>
        <x:v>1.6327</x:v>
      </x:c>
      <x:c r="N2492" s="74" t="n">
        <x:f>1-F2492/M2492</x:f>
        <x:v>0</x:v>
      </x:c>
    </x:row>
    <x:row r="2493" ht="27" customHeight="1">
      <x:c r="A2493" s="66" t="str">
        <x:v>SEV580</x:v>
      </x:c>
      <x:c r="B2493" s="66" t="str">
        <x:v>祁腾蜂赢1号</x:v>
      </x:c>
      <x:c r="C2493" s="72" t="n">
        <x:v>44637</x:v>
      </x:c>
      <x:c r="D2493" s="73" t="n">
        <x:v>1.0282</x:v>
      </x:c>
      <x:c r="E2493" s="73" t="n">
        <x:v>1.5158</x:v>
      </x:c>
      <x:c r="F2493" s="73" t="n">
        <x:v>1.6349</x:v>
      </x:c>
      <x:c r="G2493" s="74" t="n">
        <x:v>0.0014000000000000002</x:v>
      </x:c>
      <x:c r="H2493" s="66" t="str">
        <x:v>祁腾蜂赢1号净值20260911.xlsx</x:v>
      </x:c>
      <x:c r="I2493" s="73" t="str">
        <x:f>""</x:f>
      </x:c>
      <x:c r="J2493" s="74" t="str">
        <x:f>""</x:f>
      </x:c>
      <x:c r="K2493" s="73" t="str">
        <x:f>""</x:f>
      </x:c>
      <x:c r="L2493" s="74" t="str">
        <x:f>""</x:f>
      </x:c>
      <x:c r="M2493" s="73" t="n">
        <x:f>MAX(M2492,F2493)</x:f>
        <x:v>1.6349</x:v>
      </x:c>
      <x:c r="N2493" s="74" t="n">
        <x:f>1-F2493/M2493</x:f>
        <x:v>0</x:v>
      </x:c>
    </x:row>
    <x:row r="2494" ht="27" customHeight="1">
      <x:c r="A2494" s="66" t="str">
        <x:v>SEV580</x:v>
      </x:c>
      <x:c r="B2494" s="66" t="str">
        <x:v>祁腾蜂赢1号</x:v>
      </x:c>
      <x:c r="C2494" s="72" t="n">
        <x:v>44638</x:v>
      </x:c>
      <x:c r="D2494" s="73" t="n">
        <x:v>1.0298</x:v>
      </x:c>
      <x:c r="E2494" s="73" t="n">
        <x:v>1.5174</x:v>
      </x:c>
      <x:c r="F2494" s="73" t="n">
        <x:v>1.6375</x:v>
      </x:c>
      <x:c r="G2494" s="74" t="n">
        <x:v>0.0016</x:v>
      </x:c>
      <x:c r="H2494" s="66" t="str">
        <x:v>祁腾蜂赢1号净值20260911.xlsx</x:v>
      </x:c>
      <x:c r="I2494" s="73" t="str">
        <x:f>""</x:f>
      </x:c>
      <x:c r="J2494" s="74" t="str">
        <x:f>""</x:f>
      </x:c>
      <x:c r="K2494" s="73" t="str">
        <x:f>""</x:f>
      </x:c>
      <x:c r="L2494" s="74" t="str">
        <x:f>""</x:f>
      </x:c>
      <x:c r="M2494" s="73" t="n">
        <x:f>MAX(M2493,F2494)</x:f>
        <x:v>1.6375</x:v>
      </x:c>
      <x:c r="N2494" s="74" t="n">
        <x:f>1-F2494/M2494</x:f>
        <x:v>0</x:v>
      </x:c>
    </x:row>
    <x:row r="2495" ht="27" customHeight="1">
      <x:c r="A2495" s="66" t="str">
        <x:v>SEV580</x:v>
      </x:c>
      <x:c r="B2495" s="66" t="str">
        <x:v>祁腾蜂赢1号</x:v>
      </x:c>
      <x:c r="C2495" s="72" t="n">
        <x:v>44641</x:v>
      </x:c>
      <x:c r="D2495" s="73" t="n">
        <x:v>1.0297</x:v>
      </x:c>
      <x:c r="E2495" s="73" t="n">
        <x:v>1.5173</x:v>
      </x:c>
      <x:c r="F2495" s="73" t="n">
        <x:v>1.6373</x:v>
      </x:c>
      <x:c r="G2495" s="74" t="n">
        <x:v>-0.0001</x:v>
      </x:c>
      <x:c r="H2495" s="66" t="str">
        <x:v>祁腾蜂赢1号净值20260911.xlsx</x:v>
      </x:c>
      <x:c r="I2495" s="73" t="str">
        <x:f>""</x:f>
      </x:c>
      <x:c r="J2495" s="74" t="str">
        <x:f>""</x:f>
      </x:c>
      <x:c r="K2495" s="73" t="str">
        <x:f>""</x:f>
      </x:c>
      <x:c r="L2495" s="74" t="str">
        <x:f>""</x:f>
      </x:c>
      <x:c r="M2495" s="73" t="n">
        <x:f>MAX(M2494,F2495)</x:f>
        <x:v>1.6375</x:v>
      </x:c>
      <x:c r="N2495" s="74" t="n">
        <x:f>1-F2495/M2495</x:f>
        <x:v>0.0001221374045801138</x:v>
      </x:c>
    </x:row>
    <x:row r="2496" ht="27" customHeight="1">
      <x:c r="A2496" s="66" t="str">
        <x:v>SEV580</x:v>
      </x:c>
      <x:c r="B2496" s="66" t="str">
        <x:v>祁腾蜂赢1号</x:v>
      </x:c>
      <x:c r="C2496" s="72" t="n">
        <x:v>44642</x:v>
      </x:c>
      <x:c r="D2496" s="73" t="n">
        <x:v>1.0299</x:v>
      </x:c>
      <x:c r="E2496" s="73" t="n">
        <x:v>1.5175</x:v>
      </x:c>
      <x:c r="F2496" s="73" t="n">
        <x:v>1.6376</x:v>
      </x:c>
      <x:c r="G2496" s="74" t="n">
        <x:v>0.0002</x:v>
      </x:c>
      <x:c r="H2496" s="66" t="str">
        <x:v>祁腾蜂赢1号净值20260911.xlsx</x:v>
      </x:c>
      <x:c r="I2496" s="73" t="str">
        <x:f>""</x:f>
      </x:c>
      <x:c r="J2496" s="74" t="str">
        <x:f>""</x:f>
      </x:c>
      <x:c r="K2496" s="73" t="str">
        <x:f>""</x:f>
      </x:c>
      <x:c r="L2496" s="74" t="str">
        <x:f>""</x:f>
      </x:c>
      <x:c r="M2496" s="73" t="n">
        <x:f>MAX(M2495,F2496)</x:f>
        <x:v>1.6376</x:v>
      </x:c>
      <x:c r="N2496" s="74" t="n">
        <x:f>1-F2496/M2496</x:f>
        <x:v>0</x:v>
      </x:c>
    </x:row>
    <x:row r="2497" ht="27" customHeight="1">
      <x:c r="A2497" s="66" t="str">
        <x:v>SEV580</x:v>
      </x:c>
      <x:c r="B2497" s="66" t="str">
        <x:v>祁腾蜂赢1号</x:v>
      </x:c>
      <x:c r="C2497" s="72" t="n">
        <x:v>44643</x:v>
      </x:c>
      <x:c r="D2497" s="73" t="n">
        <x:v>1.0305</x:v>
      </x:c>
      <x:c r="E2497" s="73" t="n">
        <x:v>1.5181</x:v>
      </x:c>
      <x:c r="F2497" s="73" t="n">
        <x:v>1.6386</x:v>
      </x:c>
      <x:c r="G2497" s="74" t="n">
        <x:v>0.0006</x:v>
      </x:c>
      <x:c r="H2497" s="66" t="str">
        <x:v>祁腾蜂赢1号净值20260911.xlsx</x:v>
      </x:c>
      <x:c r="I2497" s="73" t="str">
        <x:f>""</x:f>
      </x:c>
      <x:c r="J2497" s="74" t="str">
        <x:f>""</x:f>
      </x:c>
      <x:c r="K2497" s="73" t="str">
        <x:f>""</x:f>
      </x:c>
      <x:c r="L2497" s="74" t="str">
        <x:f>""</x:f>
      </x:c>
      <x:c r="M2497" s="73" t="n">
        <x:f>MAX(M2496,F2497)</x:f>
        <x:v>1.6386</x:v>
      </x:c>
      <x:c r="N2497" s="74" t="n">
        <x:f>1-F2497/M2497</x:f>
        <x:v>0</x:v>
      </x:c>
    </x:row>
    <x:row r="2498" ht="27" customHeight="1">
      <x:c r="A2498" s="66" t="str">
        <x:v>SEV580</x:v>
      </x:c>
      <x:c r="B2498" s="66" t="str">
        <x:v>祁腾蜂赢1号</x:v>
      </x:c>
      <x:c r="C2498" s="72" t="n">
        <x:v>44644</x:v>
      </x:c>
      <x:c r="D2498" s="73" t="n">
        <x:v>1.0307</x:v>
      </x:c>
      <x:c r="E2498" s="73" t="n">
        <x:v>1.5183</x:v>
      </x:c>
      <x:c r="F2498" s="73" t="n">
        <x:v>1.6389</x:v>
      </x:c>
      <x:c r="G2498" s="74" t="n">
        <x:v>0.0002</x:v>
      </x:c>
      <x:c r="H2498" s="66" t="str">
        <x:v>祁腾蜂赢1号净值20260911.xlsx</x:v>
      </x:c>
      <x:c r="I2498" s="73" t="str">
        <x:f>""</x:f>
      </x:c>
      <x:c r="J2498" s="74" t="str">
        <x:f>""</x:f>
      </x:c>
      <x:c r="K2498" s="73" t="str">
        <x:f>""</x:f>
      </x:c>
      <x:c r="L2498" s="74" t="str">
        <x:f>""</x:f>
      </x:c>
      <x:c r="M2498" s="73" t="n">
        <x:f>MAX(M2497,F2498)</x:f>
        <x:v>1.6389</x:v>
      </x:c>
      <x:c r="N2498" s="74" t="n">
        <x:f>1-F2498/M2498</x:f>
        <x:v>0</x:v>
      </x:c>
    </x:row>
    <x:row r="2499" ht="27" customHeight="1">
      <x:c r="A2499" s="66" t="str">
        <x:v>SEV580</x:v>
      </x:c>
      <x:c r="B2499" s="66" t="str">
        <x:v>祁腾蜂赢1号</x:v>
      </x:c>
      <x:c r="C2499" s="72" t="n">
        <x:v>44645</x:v>
      </x:c>
      <x:c r="D2499" s="73" t="n">
        <x:v>1.0305</x:v>
      </x:c>
      <x:c r="E2499" s="73" t="n">
        <x:v>1.5181</x:v>
      </x:c>
      <x:c r="F2499" s="73" t="n">
        <x:v>1.6386</x:v>
      </x:c>
      <x:c r="G2499" s="74" t="n">
        <x:v>-0.0002</x:v>
      </x:c>
      <x:c r="H2499" s="66" t="str">
        <x:v>祁腾蜂赢1号净值20260911.xlsx</x:v>
      </x:c>
      <x:c r="I2499" s="73" t="str">
        <x:f>""</x:f>
      </x:c>
      <x:c r="J2499" s="74" t="str">
        <x:f>""</x:f>
      </x:c>
      <x:c r="K2499" s="73" t="str">
        <x:f>""</x:f>
      </x:c>
      <x:c r="L2499" s="74" t="str">
        <x:f>""</x:f>
      </x:c>
      <x:c r="M2499" s="73" t="n">
        <x:f>MAX(M2498,F2499)</x:f>
        <x:v>1.6389</x:v>
      </x:c>
      <x:c r="N2499" s="74" t="n">
        <x:f>1-F2499/M2499</x:f>
        <x:v>0.00018304960644333068</x:v>
      </x:c>
    </x:row>
    <x:row r="2500" ht="27" customHeight="1">
      <x:c r="A2500" s="66" t="str">
        <x:v>SEV580</x:v>
      </x:c>
      <x:c r="B2500" s="66" t="str">
        <x:v>祁腾蜂赢1号</x:v>
      </x:c>
      <x:c r="C2500" s="72" t="n">
        <x:v>44648</x:v>
      </x:c>
      <x:c r="D2500" s="73" t="n">
        <x:v>1.0312</x:v>
      </x:c>
      <x:c r="E2500" s="73" t="n">
        <x:v>1.5188</x:v>
      </x:c>
      <x:c r="F2500" s="73" t="n">
        <x:v>1.6397</x:v>
      </x:c>
      <x:c r="G2500" s="74" t="n">
        <x:v>0.0007000000000000001</x:v>
      </x:c>
      <x:c r="H2500" s="66" t="str">
        <x:v>祁腾蜂赢1号净值20260911.xlsx</x:v>
      </x:c>
      <x:c r="I2500" s="73" t="str">
        <x:f>""</x:f>
      </x:c>
      <x:c r="J2500" s="74" t="str">
        <x:f>""</x:f>
      </x:c>
      <x:c r="K2500" s="73" t="str">
        <x:f>""</x:f>
      </x:c>
      <x:c r="L2500" s="74" t="str">
        <x:f>""</x:f>
      </x:c>
      <x:c r="M2500" s="73" t="n">
        <x:f>MAX(M2499,F2500)</x:f>
        <x:v>1.6397</x:v>
      </x:c>
      <x:c r="N2500" s="74" t="n">
        <x:f>1-F2500/M2500</x:f>
        <x:v>0</x:v>
      </x:c>
    </x:row>
    <x:row r="2501" ht="27" customHeight="1">
      <x:c r="A2501" s="66" t="str">
        <x:v>SEV580</x:v>
      </x:c>
      <x:c r="B2501" s="66" t="str">
        <x:v>祁腾蜂赢1号</x:v>
      </x:c>
      <x:c r="C2501" s="72" t="n">
        <x:v>44649</x:v>
      </x:c>
      <x:c r="D2501" s="73" t="n">
        <x:v>1.0309</x:v>
      </x:c>
      <x:c r="E2501" s="73" t="n">
        <x:v>1.5185</x:v>
      </x:c>
      <x:c r="F2501" s="73" t="n">
        <x:v>1.6392</x:v>
      </x:c>
      <x:c r="G2501" s="74" t="n">
        <x:v>-0.0003</x:v>
      </x:c>
      <x:c r="H2501" s="66" t="str">
        <x:v>祁腾蜂赢1号净值20260911.xlsx</x:v>
      </x:c>
      <x:c r="I2501" s="73" t="str">
        <x:f>""</x:f>
      </x:c>
      <x:c r="J2501" s="74" t="str">
        <x:f>""</x:f>
      </x:c>
      <x:c r="K2501" s="73" t="str">
        <x:f>""</x:f>
      </x:c>
      <x:c r="L2501" s="74" t="str">
        <x:f>""</x:f>
      </x:c>
      <x:c r="M2501" s="73" t="n">
        <x:f>MAX(M2500,F2501)</x:f>
        <x:v>1.6397</x:v>
      </x:c>
      <x:c r="N2501" s="74" t="n">
        <x:f>1-F2501/M2501</x:f>
        <x:v>0.0003049338293590331</x:v>
      </x:c>
    </x:row>
    <x:row r="2502" ht="27" customHeight="1">
      <x:c r="A2502" s="66" t="str">
        <x:v>SEV580</x:v>
      </x:c>
      <x:c r="B2502" s="66" t="str">
        <x:v>祁腾蜂赢1号</x:v>
      </x:c>
      <x:c r="C2502" s="72" t="n">
        <x:v>44650</x:v>
      </x:c>
      <x:c r="D2502" s="73" t="n">
        <x:v>1.0309</x:v>
      </x:c>
      <x:c r="E2502" s="73" t="n">
        <x:v>1.5185</x:v>
      </x:c>
      <x:c r="F2502" s="73" t="n">
        <x:v>1.6392</x:v>
      </x:c>
      <x:c r="G2502" s="74" t="n">
        <x:v>0</x:v>
      </x:c>
      <x:c r="H2502" s="66" t="str">
        <x:v>祁腾蜂赢1号净值20260911.xlsx</x:v>
      </x:c>
      <x:c r="I2502" s="73" t="str">
        <x:f>""</x:f>
      </x:c>
      <x:c r="J2502" s="74" t="str">
        <x:f>""</x:f>
      </x:c>
      <x:c r="K2502" s="73" t="str">
        <x:f>""</x:f>
      </x:c>
      <x:c r="L2502" s="74" t="str">
        <x:f>""</x:f>
      </x:c>
      <x:c r="M2502" s="73" t="n">
        <x:f>MAX(M2501,F2502)</x:f>
        <x:v>1.6397</x:v>
      </x:c>
      <x:c r="N2502" s="74" t="n">
        <x:f>1-F2502/M2502</x:f>
        <x:v>0.0003049338293590331</x:v>
      </x:c>
    </x:row>
    <x:row r="2503" ht="27" customHeight="1">
      <x:c r="A2503" s="66" t="str">
        <x:v>SEV580</x:v>
      </x:c>
      <x:c r="B2503" s="66" t="str">
        <x:v>祁腾蜂赢1号</x:v>
      </x:c>
      <x:c r="C2503" s="72" t="n">
        <x:v>44651</x:v>
      </x:c>
      <x:c r="D2503" s="73" t="n">
        <x:v>1.0309</x:v>
      </x:c>
      <x:c r="E2503" s="73" t="n">
        <x:v>1.5185</x:v>
      </x:c>
      <x:c r="F2503" s="73" t="n">
        <x:v>1.6392</x:v>
      </x:c>
      <x:c r="G2503" s="74" t="n">
        <x:v>0</x:v>
      </x:c>
      <x:c r="H2503" s="66" t="str">
        <x:v>祁腾蜂赢1号净值20260911.xlsx</x:v>
      </x:c>
      <x:c r="I2503" s="73" t="str">
        <x:f>""</x:f>
      </x:c>
      <x:c r="J2503" s="74" t="str">
        <x:f>""</x:f>
      </x:c>
      <x:c r="K2503" s="73" t="str">
        <x:f>""</x:f>
      </x:c>
      <x:c r="L2503" s="74" t="str">
        <x:f>""</x:f>
      </x:c>
      <x:c r="M2503" s="73" t="n">
        <x:f>MAX(M2502,F2503)</x:f>
        <x:v>1.6397</x:v>
      </x:c>
      <x:c r="N2503" s="74" t="n">
        <x:f>1-F2503/M2503</x:f>
        <x:v>0.0003049338293590331</x:v>
      </x:c>
    </x:row>
    <x:row r="2504" ht="27" customHeight="1">
      <x:c r="A2504" s="66" t="str">
        <x:v>SEV580</x:v>
      </x:c>
      <x:c r="B2504" s="66" t="str">
        <x:v>祁腾蜂赢1号</x:v>
      </x:c>
      <x:c r="C2504" s="72" t="n">
        <x:v>44652</x:v>
      </x:c>
      <x:c r="D2504" s="73" t="n">
        <x:v>1.0306</x:v>
      </x:c>
      <x:c r="E2504" s="73" t="n">
        <x:v>1.5182</x:v>
      </x:c>
      <x:c r="F2504" s="73" t="n">
        <x:v>1.6388</x:v>
      </x:c>
      <x:c r="G2504" s="74" t="n">
        <x:v>-0.0003</x:v>
      </x:c>
      <x:c r="H2504" s="66" t="str">
        <x:v>祁腾蜂赢1号净值20260911.xlsx</x:v>
      </x:c>
      <x:c r="I2504" s="73" t="str">
        <x:f>""</x:f>
      </x:c>
      <x:c r="J2504" s="74" t="str">
        <x:f>""</x:f>
      </x:c>
      <x:c r="K2504" s="73" t="str">
        <x:f>""</x:f>
      </x:c>
      <x:c r="L2504" s="74" t="str">
        <x:f>""</x:f>
      </x:c>
      <x:c r="M2504" s="73" t="n">
        <x:f>MAX(M2503,F2504)</x:f>
        <x:v>1.6397</x:v>
      </x:c>
      <x:c r="N2504" s="74" t="n">
        <x:f>1-F2504/M2504</x:f>
        <x:v>0.0005488808928462152</x:v>
      </x:c>
    </x:row>
    <x:row r="2505" ht="27" customHeight="1">
      <x:c r="A2505" s="66" t="str">
        <x:v>SEV580</x:v>
      </x:c>
      <x:c r="B2505" s="66" t="str">
        <x:v>祁腾蜂赢1号</x:v>
      </x:c>
      <x:c r="C2505" s="72" t="n">
        <x:v>44657</x:v>
      </x:c>
      <x:c r="D2505" s="73" t="n">
        <x:v>1.0303</x:v>
      </x:c>
      <x:c r="E2505" s="73" t="n">
        <x:v>1.5179</x:v>
      </x:c>
      <x:c r="F2505" s="73" t="n">
        <x:v>1.6383</x:v>
      </x:c>
      <x:c r="G2505" s="74" t="n">
        <x:v>-0.0003</x:v>
      </x:c>
      <x:c r="H2505" s="66" t="str">
        <x:v>祁腾蜂赢1号净值20260911.xlsx</x:v>
      </x:c>
      <x:c r="I2505" s="73" t="str">
        <x:f>""</x:f>
      </x:c>
      <x:c r="J2505" s="74" t="str">
        <x:f>""</x:f>
      </x:c>
      <x:c r="K2505" s="73" t="str">
        <x:f>""</x:f>
      </x:c>
      <x:c r="L2505" s="74" t="str">
        <x:f>""</x:f>
      </x:c>
      <x:c r="M2505" s="73" t="n">
        <x:f>MAX(M2504,F2505)</x:f>
        <x:v>1.6397</x:v>
      </x:c>
      <x:c r="N2505" s="74" t="n">
        <x:f>1-F2505/M2505</x:f>
        <x:v>0.0008538147222051373</x:v>
      </x:c>
    </x:row>
    <x:row r="2506" ht="27" customHeight="1">
      <x:c r="A2506" s="66" t="str">
        <x:v>SEV580</x:v>
      </x:c>
      <x:c r="B2506" s="66" t="str">
        <x:v>祁腾蜂赢1号</x:v>
      </x:c>
      <x:c r="C2506" s="72" t="n">
        <x:v>44658</x:v>
      </x:c>
      <x:c r="D2506" s="73" t="n">
        <x:v>1.0305</x:v>
      </x:c>
      <x:c r="E2506" s="73" t="n">
        <x:v>1.5181</x:v>
      </x:c>
      <x:c r="F2506" s="73" t="n">
        <x:v>1.6386</x:v>
      </x:c>
      <x:c r="G2506" s="74" t="n">
        <x:v>0.0002</x:v>
      </x:c>
      <x:c r="H2506" s="66" t="str">
        <x:v>祁腾蜂赢1号净值20260911.xlsx</x:v>
      </x:c>
      <x:c r="I2506" s="73" t="str">
        <x:f>""</x:f>
      </x:c>
      <x:c r="J2506" s="74" t="str">
        <x:f>""</x:f>
      </x:c>
      <x:c r="K2506" s="73" t="str">
        <x:f>""</x:f>
      </x:c>
      <x:c r="L2506" s="74" t="str">
        <x:f>""</x:f>
      </x:c>
      <x:c r="M2506" s="73" t="n">
        <x:f>MAX(M2505,F2506)</x:f>
        <x:v>1.6397</x:v>
      </x:c>
      <x:c r="N2506" s="74" t="n">
        <x:f>1-F2506/M2506</x:f>
        <x:v>0.0006708544245898063</x:v>
      </x:c>
    </x:row>
    <x:row r="2507" ht="27" customHeight="1">
      <x:c r="A2507" s="66" t="str">
        <x:v>SEV580</x:v>
      </x:c>
      <x:c r="B2507" s="66" t="str">
        <x:v>祁腾蜂赢1号</x:v>
      </x:c>
      <x:c r="C2507" s="72" t="n">
        <x:v>44659</x:v>
      </x:c>
      <x:c r="D2507" s="73" t="n">
        <x:v>1.0308</x:v>
      </x:c>
      <x:c r="E2507" s="73" t="n">
        <x:v>1.5184</x:v>
      </x:c>
      <x:c r="F2507" s="73" t="n">
        <x:v>1.6391</x:v>
      </x:c>
      <x:c r="G2507" s="74" t="n">
        <x:v>0.0003</x:v>
      </x:c>
      <x:c r="H2507" s="66" t="str">
        <x:v>祁腾蜂赢1号净值20260911.xlsx</x:v>
      </x:c>
      <x:c r="I2507" s="73" t="str">
        <x:f>""</x:f>
      </x:c>
      <x:c r="J2507" s="74" t="str">
        <x:f>""</x:f>
      </x:c>
      <x:c r="K2507" s="73" t="str">
        <x:f>""</x:f>
      </x:c>
      <x:c r="L2507" s="74" t="str">
        <x:f>""</x:f>
      </x:c>
      <x:c r="M2507" s="73" t="n">
        <x:f>MAX(M2506,F2507)</x:f>
        <x:v>1.6397</x:v>
      </x:c>
      <x:c r="N2507" s="74" t="n">
        <x:f>1-F2507/M2507</x:f>
        <x:v>0.00036592059523077314</x:v>
      </x:c>
    </x:row>
    <x:row r="2508" ht="27" customHeight="1">
      <x:c r="A2508" s="66" t="str">
        <x:v>SEV580</x:v>
      </x:c>
      <x:c r="B2508" s="66" t="str">
        <x:v>祁腾蜂赢1号</x:v>
      </x:c>
      <x:c r="C2508" s="72" t="n">
        <x:v>44662</x:v>
      </x:c>
      <x:c r="D2508" s="73" t="n">
        <x:v>1.0312</x:v>
      </x:c>
      <x:c r="E2508" s="73" t="n">
        <x:v>1.5188</x:v>
      </x:c>
      <x:c r="F2508" s="73" t="n">
        <x:v>1.6397</x:v>
      </x:c>
      <x:c r="G2508" s="74" t="n">
        <x:v>0.0004</x:v>
      </x:c>
      <x:c r="H2508" s="66" t="str">
        <x:v>祁腾蜂赢1号净值20260911.xlsx</x:v>
      </x:c>
      <x:c r="I2508" s="73" t="str">
        <x:f>""</x:f>
      </x:c>
      <x:c r="J2508" s="74" t="str">
        <x:f>""</x:f>
      </x:c>
      <x:c r="K2508" s="73" t="str">
        <x:f>""</x:f>
      </x:c>
      <x:c r="L2508" s="74" t="str">
        <x:f>""</x:f>
      </x:c>
      <x:c r="M2508" s="73" t="n">
        <x:f>MAX(M2507,F2508)</x:f>
        <x:v>1.6397</x:v>
      </x:c>
      <x:c r="N2508" s="74" t="n">
        <x:f>1-F2508/M2508</x:f>
        <x:v>0</x:v>
      </x:c>
    </x:row>
    <x:row r="2509" ht="27" customHeight="1">
      <x:c r="A2509" s="66" t="str">
        <x:v>SEV580</x:v>
      </x:c>
      <x:c r="B2509" s="66" t="str">
        <x:v>祁腾蜂赢1号</x:v>
      </x:c>
      <x:c r="C2509" s="72" t="n">
        <x:v>44663</x:v>
      </x:c>
      <x:c r="D2509" s="73" t="n">
        <x:v>1.0319</x:v>
      </x:c>
      <x:c r="E2509" s="73" t="n">
        <x:v>1.5195</x:v>
      </x:c>
      <x:c r="F2509" s="73" t="n">
        <x:v>1.6408</x:v>
      </x:c>
      <x:c r="G2509" s="74" t="n">
        <x:v>0.0007000000000000001</x:v>
      </x:c>
      <x:c r="H2509" s="66" t="str">
        <x:v>祁腾蜂赢1号净值20260911.xlsx</x:v>
      </x:c>
      <x:c r="I2509" s="73" t="str">
        <x:f>""</x:f>
      </x:c>
      <x:c r="J2509" s="74" t="str">
        <x:f>""</x:f>
      </x:c>
      <x:c r="K2509" s="73" t="str">
        <x:f>""</x:f>
      </x:c>
      <x:c r="L2509" s="74" t="str">
        <x:f>""</x:f>
      </x:c>
      <x:c r="M2509" s="73" t="n">
        <x:f>MAX(M2508,F2509)</x:f>
        <x:v>1.6408</x:v>
      </x:c>
      <x:c r="N2509" s="74" t="n">
        <x:f>1-F2509/M2509</x:f>
        <x:v>0</x:v>
      </x:c>
    </x:row>
    <x:row r="2510" ht="27" customHeight="1">
      <x:c r="A2510" s="66" t="str">
        <x:v>SEV580</x:v>
      </x:c>
      <x:c r="B2510" s="66" t="str">
        <x:v>祁腾蜂赢1号</x:v>
      </x:c>
      <x:c r="C2510" s="72" t="n">
        <x:v>44664</x:v>
      </x:c>
      <x:c r="D2510" s="73" t="n">
        <x:v>1.0328</x:v>
      </x:c>
      <x:c r="E2510" s="73" t="n">
        <x:v>1.5204</x:v>
      </x:c>
      <x:c r="F2510" s="73" t="n">
        <x:v>1.6423</x:v>
      </x:c>
      <x:c r="G2510" s="74" t="n">
        <x:v>0.0009</x:v>
      </x:c>
      <x:c r="H2510" s="66" t="str">
        <x:v>祁腾蜂赢1号净值20260911.xlsx</x:v>
      </x:c>
      <x:c r="I2510" s="73" t="str">
        <x:f>""</x:f>
      </x:c>
      <x:c r="J2510" s="74" t="str">
        <x:f>""</x:f>
      </x:c>
      <x:c r="K2510" s="73" t="str">
        <x:f>""</x:f>
      </x:c>
      <x:c r="L2510" s="74" t="str">
        <x:f>""</x:f>
      </x:c>
      <x:c r="M2510" s="73" t="n">
        <x:f>MAX(M2509,F2510)</x:f>
        <x:v>1.6423</x:v>
      </x:c>
      <x:c r="N2510" s="74" t="n">
        <x:f>1-F2510/M2510</x:f>
        <x:v>0</x:v>
      </x:c>
    </x:row>
    <x:row r="2511" ht="27" customHeight="1">
      <x:c r="A2511" s="66" t="str">
        <x:v>SEV580</x:v>
      </x:c>
      <x:c r="B2511" s="66" t="str">
        <x:v>祁腾蜂赢1号</x:v>
      </x:c>
      <x:c r="C2511" s="72" t="n">
        <x:v>44665</x:v>
      </x:c>
      <x:c r="D2511" s="73" t="n">
        <x:v>1.0335</x:v>
      </x:c>
      <x:c r="E2511" s="73" t="n">
        <x:v>1.5211</x:v>
      </x:c>
      <x:c r="F2511" s="73" t="n">
        <x:v>1.6434</x:v>
      </x:c>
      <x:c r="G2511" s="74" t="n">
        <x:v>0.0007000000000000001</x:v>
      </x:c>
      <x:c r="H2511" s="66" t="str">
        <x:v>祁腾蜂赢1号净值20260911.xlsx</x:v>
      </x:c>
      <x:c r="I2511" s="73" t="str">
        <x:f>""</x:f>
      </x:c>
      <x:c r="J2511" s="74" t="str">
        <x:f>""</x:f>
      </x:c>
      <x:c r="K2511" s="73" t="str">
        <x:f>""</x:f>
      </x:c>
      <x:c r="L2511" s="74" t="str">
        <x:f>""</x:f>
      </x:c>
      <x:c r="M2511" s="73" t="n">
        <x:f>MAX(M2510,F2511)</x:f>
        <x:v>1.6434</x:v>
      </x:c>
      <x:c r="N2511" s="74" t="n">
        <x:f>1-F2511/M2511</x:f>
        <x:v>0</x:v>
      </x:c>
    </x:row>
    <x:row r="2512" ht="27" customHeight="1">
      <x:c r="A2512" s="66" t="str">
        <x:v>SEV580</x:v>
      </x:c>
      <x:c r="B2512" s="66" t="str">
        <x:v>祁腾蜂赢1号</x:v>
      </x:c>
      <x:c r="C2512" s="72" t="n">
        <x:v>44666</x:v>
      </x:c>
      <x:c r="D2512" s="73" t="n">
        <x:v>1.0336</x:v>
      </x:c>
      <x:c r="E2512" s="73" t="n">
        <x:v>1.5212</x:v>
      </x:c>
      <x:c r="F2512" s="73" t="n">
        <x:v>1.6435</x:v>
      </x:c>
      <x:c r="G2512" s="74" t="n">
        <x:v>0.0001</x:v>
      </x:c>
      <x:c r="H2512" s="66" t="str">
        <x:v>祁腾蜂赢1号净值20260911.xlsx</x:v>
      </x:c>
      <x:c r="I2512" s="73" t="str">
        <x:f>""</x:f>
      </x:c>
      <x:c r="J2512" s="74" t="str">
        <x:f>""</x:f>
      </x:c>
      <x:c r="K2512" s="73" t="str">
        <x:f>""</x:f>
      </x:c>
      <x:c r="L2512" s="74" t="str">
        <x:f>""</x:f>
      </x:c>
      <x:c r="M2512" s="73" t="n">
        <x:f>MAX(M2511,F2512)</x:f>
        <x:v>1.6435</x:v>
      </x:c>
      <x:c r="N2512" s="74" t="n">
        <x:f>1-F2512/M2512</x:f>
        <x:v>0</x:v>
      </x:c>
    </x:row>
    <x:row r="2513" ht="27" customHeight="1">
      <x:c r="A2513" s="66" t="str">
        <x:v>SEV580</x:v>
      </x:c>
      <x:c r="B2513" s="66" t="str">
        <x:v>祁腾蜂赢1号</x:v>
      </x:c>
      <x:c r="C2513" s="72" t="n">
        <x:v>44669</x:v>
      </x:c>
      <x:c r="D2513" s="73" t="n">
        <x:v>1.0337</x:v>
      </x:c>
      <x:c r="E2513" s="73" t="n">
        <x:v>1.5213</x:v>
      </x:c>
      <x:c r="F2513" s="73" t="n">
        <x:v>1.6437</x:v>
      </x:c>
      <x:c r="G2513" s="74" t="n">
        <x:v>0.0001</x:v>
      </x:c>
      <x:c r="H2513" s="66" t="str">
        <x:v>祁腾蜂赢1号净值20260911.xlsx</x:v>
      </x:c>
      <x:c r="I2513" s="73" t="str">
        <x:f>""</x:f>
      </x:c>
      <x:c r="J2513" s="74" t="str">
        <x:f>""</x:f>
      </x:c>
      <x:c r="K2513" s="73" t="str">
        <x:f>""</x:f>
      </x:c>
      <x:c r="L2513" s="74" t="str">
        <x:f>""</x:f>
      </x:c>
      <x:c r="M2513" s="73" t="n">
        <x:f>MAX(M2512,F2513)</x:f>
        <x:v>1.6437</x:v>
      </x:c>
      <x:c r="N2513" s="74" t="n">
        <x:f>1-F2513/M2513</x:f>
        <x:v>0</x:v>
      </x:c>
    </x:row>
    <x:row r="2514" ht="27" customHeight="1">
      <x:c r="A2514" s="66" t="str">
        <x:v>SEV580</x:v>
      </x:c>
      <x:c r="B2514" s="66" t="str">
        <x:v>祁腾蜂赢1号</x:v>
      </x:c>
      <x:c r="C2514" s="72" t="n">
        <x:v>44670</x:v>
      </x:c>
      <x:c r="D2514" s="73" t="n">
        <x:v>1.0338</x:v>
      </x:c>
      <x:c r="E2514" s="73" t="n">
        <x:v>1.5214</x:v>
      </x:c>
      <x:c r="F2514" s="73" t="n">
        <x:v>1.6439</x:v>
      </x:c>
      <x:c r="G2514" s="74" t="n">
        <x:v>0.0001</x:v>
      </x:c>
      <x:c r="H2514" s="66" t="str">
        <x:v>祁腾蜂赢1号净值20260911.xlsx</x:v>
      </x:c>
      <x:c r="I2514" s="73" t="str">
        <x:f>""</x:f>
      </x:c>
      <x:c r="J2514" s="74" t="str">
        <x:f>""</x:f>
      </x:c>
      <x:c r="K2514" s="73" t="str">
        <x:f>""</x:f>
      </x:c>
      <x:c r="L2514" s="74" t="str">
        <x:f>""</x:f>
      </x:c>
      <x:c r="M2514" s="73" t="n">
        <x:f>MAX(M2513,F2514)</x:f>
        <x:v>1.6439</x:v>
      </x:c>
      <x:c r="N2514" s="74" t="n">
        <x:f>1-F2514/M2514</x:f>
        <x:v>0</x:v>
      </x:c>
    </x:row>
    <x:row r="2515" ht="27" customHeight="1">
      <x:c r="A2515" s="66" t="str">
        <x:v>SEV580</x:v>
      </x:c>
      <x:c r="B2515" s="66" t="str">
        <x:v>祁腾蜂赢1号</x:v>
      </x:c>
      <x:c r="C2515" s="72" t="n">
        <x:v>44671</x:v>
      </x:c>
      <x:c r="D2515" s="73" t="n">
        <x:v>1.0339</x:v>
      </x:c>
      <x:c r="E2515" s="73" t="n">
        <x:v>1.5215</x:v>
      </x:c>
      <x:c r="F2515" s="73" t="n">
        <x:v>1.644</x:v>
      </x:c>
      <x:c r="G2515" s="74" t="n">
        <x:v>0.0001</x:v>
      </x:c>
      <x:c r="H2515" s="66" t="str">
        <x:v>祁腾蜂赢1号净值20260911.xlsx</x:v>
      </x:c>
      <x:c r="I2515" s="73" t="str">
        <x:f>""</x:f>
      </x:c>
      <x:c r="J2515" s="74" t="str">
        <x:f>""</x:f>
      </x:c>
      <x:c r="K2515" s="73" t="str">
        <x:f>""</x:f>
      </x:c>
      <x:c r="L2515" s="74" t="str">
        <x:f>""</x:f>
      </x:c>
      <x:c r="M2515" s="73" t="n">
        <x:f>MAX(M2514,F2515)</x:f>
        <x:v>1.644</x:v>
      </x:c>
      <x:c r="N2515" s="74" t="n">
        <x:f>1-F2515/M2515</x:f>
        <x:v>0</x:v>
      </x:c>
    </x:row>
    <x:row r="2516" ht="27" customHeight="1">
      <x:c r="A2516" s="66" t="str">
        <x:v>SEV580</x:v>
      </x:c>
      <x:c r="B2516" s="66" t="str">
        <x:v>祁腾蜂赢1号</x:v>
      </x:c>
      <x:c r="C2516" s="72" t="n">
        <x:v>44672</x:v>
      </x:c>
      <x:c r="D2516" s="73" t="n">
        <x:v>1.0349</x:v>
      </x:c>
      <x:c r="E2516" s="73" t="n">
        <x:v>1.5225</x:v>
      </x:c>
      <x:c r="F2516" s="73" t="n">
        <x:v>1.6456</x:v>
      </x:c>
      <x:c r="G2516" s="74" t="n">
        <x:v>0.001</x:v>
      </x:c>
      <x:c r="H2516" s="66" t="str">
        <x:v>祁腾蜂赢1号净值20260911.xlsx</x:v>
      </x:c>
      <x:c r="I2516" s="73" t="str">
        <x:f>""</x:f>
      </x:c>
      <x:c r="J2516" s="74" t="str">
        <x:f>""</x:f>
      </x:c>
      <x:c r="K2516" s="73" t="str">
        <x:f>""</x:f>
      </x:c>
      <x:c r="L2516" s="74" t="str">
        <x:f>""</x:f>
      </x:c>
      <x:c r="M2516" s="73" t="n">
        <x:f>MAX(M2515,F2516)</x:f>
        <x:v>1.6456</x:v>
      </x:c>
      <x:c r="N2516" s="74" t="n">
        <x:f>1-F2516/M2516</x:f>
        <x:v>0</x:v>
      </x:c>
    </x:row>
    <x:row r="2517" ht="27" customHeight="1">
      <x:c r="A2517" s="66" t="str">
        <x:v>SEV580</x:v>
      </x:c>
      <x:c r="B2517" s="66" t="str">
        <x:v>祁腾蜂赢1号</x:v>
      </x:c>
      <x:c r="C2517" s="72" t="n">
        <x:v>44673</x:v>
      </x:c>
      <x:c r="D2517" s="73" t="n">
        <x:v>1.0347</x:v>
      </x:c>
      <x:c r="E2517" s="73" t="n">
        <x:v>1.5223</x:v>
      </x:c>
      <x:c r="F2517" s="73" t="n">
        <x:v>1.6453</x:v>
      </x:c>
      <x:c r="G2517" s="74" t="n">
        <x:v>-0.0002</x:v>
      </x:c>
      <x:c r="H2517" s="66" t="str">
        <x:v>祁腾蜂赢1号净值20260911.xlsx</x:v>
      </x:c>
      <x:c r="I2517" s="73" t="str">
        <x:f>""</x:f>
      </x:c>
      <x:c r="J2517" s="74" t="str">
        <x:f>""</x:f>
      </x:c>
      <x:c r="K2517" s="73" t="str">
        <x:f>""</x:f>
      </x:c>
      <x:c r="L2517" s="74" t="str">
        <x:f>""</x:f>
      </x:c>
      <x:c r="M2517" s="73" t="n">
        <x:f>MAX(M2516,F2517)</x:f>
        <x:v>1.6456</x:v>
      </x:c>
      <x:c r="N2517" s="74" t="n">
        <x:f>1-F2517/M2517</x:f>
        <x:v>0.00018230432668930874</x:v>
      </x:c>
    </x:row>
    <x:row r="2518" ht="27" customHeight="1">
      <x:c r="A2518" s="66" t="str">
        <x:v>SEV580</x:v>
      </x:c>
      <x:c r="B2518" s="66" t="str">
        <x:v>祁腾蜂赢1号</x:v>
      </x:c>
      <x:c r="C2518" s="72" t="n">
        <x:v>44676</x:v>
      </x:c>
      <x:c r="D2518" s="73" t="n">
        <x:v>1.0364</x:v>
      </x:c>
      <x:c r="E2518" s="73" t="n">
        <x:v>1.524</x:v>
      </x:c>
      <x:c r="F2518" s="73" t="n">
        <x:v>1.648</x:v>
      </x:c>
      <x:c r="G2518" s="74" t="n">
        <x:v>0.0016</x:v>
      </x:c>
      <x:c r="H2518" s="66" t="str">
        <x:v>祁腾蜂赢1号净值20260911.xlsx</x:v>
      </x:c>
      <x:c r="I2518" s="73" t="str">
        <x:f>""</x:f>
      </x:c>
      <x:c r="J2518" s="74" t="str">
        <x:f>""</x:f>
      </x:c>
      <x:c r="K2518" s="73" t="str">
        <x:f>""</x:f>
      </x:c>
      <x:c r="L2518" s="74" t="str">
        <x:f>""</x:f>
      </x:c>
      <x:c r="M2518" s="73" t="n">
        <x:f>MAX(M2517,F2518)</x:f>
        <x:v>1.648</x:v>
      </x:c>
      <x:c r="N2518" s="74" t="n">
        <x:f>1-F2518/M2518</x:f>
        <x:v>0</x:v>
      </x:c>
    </x:row>
    <x:row r="2519" ht="27" customHeight="1">
      <x:c r="A2519" s="66" t="str">
        <x:v>SEV580</x:v>
      </x:c>
      <x:c r="B2519" s="66" t="str">
        <x:v>祁腾蜂赢1号</x:v>
      </x:c>
      <x:c r="C2519" s="72" t="n">
        <x:v>44677</x:v>
      </x:c>
      <x:c r="D2519" s="73" t="n">
        <x:v>1.0384</x:v>
      </x:c>
      <x:c r="E2519" s="73" t="n">
        <x:v>1.526</x:v>
      </x:c>
      <x:c r="F2519" s="73" t="n">
        <x:v>1.6512</x:v>
      </x:c>
      <x:c r="G2519" s="74" t="n">
        <x:v>0.0019</x:v>
      </x:c>
      <x:c r="H2519" s="66" t="str">
        <x:v>祁腾蜂赢1号净值20260911.xlsx</x:v>
      </x:c>
      <x:c r="I2519" s="73" t="str">
        <x:f>""</x:f>
      </x:c>
      <x:c r="J2519" s="74" t="str">
        <x:f>""</x:f>
      </x:c>
      <x:c r="K2519" s="73" t="str">
        <x:f>""</x:f>
      </x:c>
      <x:c r="L2519" s="74" t="str">
        <x:f>""</x:f>
      </x:c>
      <x:c r="M2519" s="73" t="n">
        <x:f>MAX(M2518,F2519)</x:f>
        <x:v>1.6512</x:v>
      </x:c>
      <x:c r="N2519" s="74" t="n">
        <x:f>1-F2519/M2519</x:f>
        <x:v>0</x:v>
      </x:c>
    </x:row>
    <x:row r="2520" ht="27" customHeight="1">
      <x:c r="A2520" s="66" t="str">
        <x:v>SEV580</x:v>
      </x:c>
      <x:c r="B2520" s="66" t="str">
        <x:v>祁腾蜂赢1号</x:v>
      </x:c>
      <x:c r="C2520" s="72" t="n">
        <x:v>44678</x:v>
      </x:c>
      <x:c r="D2520" s="73" t="n">
        <x:v>1.0393</x:v>
      </x:c>
      <x:c r="E2520" s="73" t="n">
        <x:v>1.5269</x:v>
      </x:c>
      <x:c r="F2520" s="73" t="n">
        <x:v>1.6526</x:v>
      </x:c>
      <x:c r="G2520" s="74" t="n">
        <x:v>0.0009</x:v>
      </x:c>
      <x:c r="H2520" s="66" t="str">
        <x:v>祁腾蜂赢1号净值20260911.xlsx</x:v>
      </x:c>
      <x:c r="I2520" s="73" t="str">
        <x:f>""</x:f>
      </x:c>
      <x:c r="J2520" s="74" t="str">
        <x:f>""</x:f>
      </x:c>
      <x:c r="K2520" s="73" t="str">
        <x:f>""</x:f>
      </x:c>
      <x:c r="L2520" s="74" t="str">
        <x:f>""</x:f>
      </x:c>
      <x:c r="M2520" s="73" t="n">
        <x:f>MAX(M2519,F2520)</x:f>
        <x:v>1.6526</x:v>
      </x:c>
      <x:c r="N2520" s="74" t="n">
        <x:f>1-F2520/M2520</x:f>
        <x:v>0</x:v>
      </x:c>
    </x:row>
    <x:row r="2521" ht="27" customHeight="1">
      <x:c r="A2521" s="66" t="str">
        <x:v>SEV580</x:v>
      </x:c>
      <x:c r="B2521" s="66" t="str">
        <x:v>祁腾蜂赢1号</x:v>
      </x:c>
      <x:c r="C2521" s="72" t="n">
        <x:v>44679</x:v>
      </x:c>
      <x:c r="D2521" s="73" t="n">
        <x:v>1.0396</x:v>
      </x:c>
      <x:c r="E2521" s="73" t="n">
        <x:v>1.5272</x:v>
      </x:c>
      <x:c r="F2521" s="73" t="n">
        <x:v>1.6531</x:v>
      </x:c>
      <x:c r="G2521" s="74" t="n">
        <x:v>0.0003</x:v>
      </x:c>
      <x:c r="H2521" s="66" t="str">
        <x:v>祁腾蜂赢1号净值20260911.xlsx</x:v>
      </x:c>
      <x:c r="I2521" s="73" t="str">
        <x:f>""</x:f>
      </x:c>
      <x:c r="J2521" s="74" t="str">
        <x:f>""</x:f>
      </x:c>
      <x:c r="K2521" s="73" t="str">
        <x:f>""</x:f>
      </x:c>
      <x:c r="L2521" s="74" t="str">
        <x:f>""</x:f>
      </x:c>
      <x:c r="M2521" s="73" t="n">
        <x:f>MAX(M2520,F2521)</x:f>
        <x:v>1.6531</x:v>
      </x:c>
      <x:c r="N2521" s="74" t="n">
        <x:f>1-F2521/M2521</x:f>
        <x:v>0</x:v>
      </x:c>
    </x:row>
    <x:row r="2522" ht="27" customHeight="1">
      <x:c r="A2522" s="66" t="str">
        <x:v>SEV580</x:v>
      </x:c>
      <x:c r="B2522" s="66" t="str">
        <x:v>祁腾蜂赢1号</x:v>
      </x:c>
      <x:c r="C2522" s="72" t="n">
        <x:v>44680</x:v>
      </x:c>
      <x:c r="D2522" s="73" t="n">
        <x:v>1.0411</x:v>
      </x:c>
      <x:c r="E2522" s="73" t="n">
        <x:v>1.5287</x:v>
      </x:c>
      <x:c r="F2522" s="73" t="n">
        <x:v>1.6555</x:v>
      </x:c>
      <x:c r="G2522" s="74" t="n">
        <x:v>0.0014000000000000002</x:v>
      </x:c>
      <x:c r="H2522" s="66" t="str">
        <x:v>祁腾蜂赢1号净值20260911.xlsx</x:v>
      </x:c>
      <x:c r="I2522" s="73" t="str">
        <x:f>""</x:f>
      </x:c>
      <x:c r="J2522" s="74" t="str">
        <x:f>""</x:f>
      </x:c>
      <x:c r="K2522" s="73" t="str">
        <x:f>""</x:f>
      </x:c>
      <x:c r="L2522" s="74" t="str">
        <x:f>""</x:f>
      </x:c>
      <x:c r="M2522" s="73" t="n">
        <x:f>MAX(M2521,F2522)</x:f>
        <x:v>1.6555</x:v>
      </x:c>
      <x:c r="N2522" s="74" t="n">
        <x:f>1-F2522/M2522</x:f>
        <x:v>0</x:v>
      </x:c>
    </x:row>
    <x:row r="2523" ht="27" customHeight="1">
      <x:c r="A2523" s="66" t="str">
        <x:v>SEV580</x:v>
      </x:c>
      <x:c r="B2523" s="66" t="str">
        <x:v>祁腾蜂赢1号</x:v>
      </x:c>
      <x:c r="C2523" s="72" t="n">
        <x:v>44686</x:v>
      </x:c>
      <x:c r="D2523" s="73" t="n">
        <x:v>1.041</x:v>
      </x:c>
      <x:c r="E2523" s="73" t="n">
        <x:v>1.5286</x:v>
      </x:c>
      <x:c r="F2523" s="73" t="n">
        <x:v>1.6553</x:v>
      </x:c>
      <x:c r="G2523" s="74" t="n">
        <x:v>-0.0001</x:v>
      </x:c>
      <x:c r="H2523" s="66" t="str">
        <x:v>祁腾蜂赢1号净值20260911.xlsx</x:v>
      </x:c>
      <x:c r="I2523" s="73" t="str">
        <x:f>""</x:f>
      </x:c>
      <x:c r="J2523" s="74" t="str">
        <x:f>""</x:f>
      </x:c>
      <x:c r="K2523" s="73" t="str">
        <x:f>""</x:f>
      </x:c>
      <x:c r="L2523" s="74" t="str">
        <x:f>""</x:f>
      </x:c>
      <x:c r="M2523" s="73" t="n">
        <x:f>MAX(M2522,F2523)</x:f>
        <x:v>1.6555</x:v>
      </x:c>
      <x:c r="N2523" s="74" t="n">
        <x:f>1-F2523/M2523</x:f>
        <x:v>0.000120809423134971</x:v>
      </x:c>
    </x:row>
    <x:row r="2524" ht="27" customHeight="1">
      <x:c r="A2524" s="66" t="str">
        <x:v>SEV580</x:v>
      </x:c>
      <x:c r="B2524" s="66" t="str">
        <x:v>祁腾蜂赢1号</x:v>
      </x:c>
      <x:c r="C2524" s="72" t="n">
        <x:v>44687</x:v>
      </x:c>
      <x:c r="D2524" s="73" t="n">
        <x:v>1.0413</x:v>
      </x:c>
      <x:c r="E2524" s="73" t="n">
        <x:v>1.5289</x:v>
      </x:c>
      <x:c r="F2524" s="73" t="n">
        <x:v>1.6558</x:v>
      </x:c>
      <x:c r="G2524" s="74" t="n">
        <x:v>0.0003</x:v>
      </x:c>
      <x:c r="H2524" s="66" t="str">
        <x:v>祁腾蜂赢1号净值20260911.xlsx</x:v>
      </x:c>
      <x:c r="I2524" s="73" t="str">
        <x:f>""</x:f>
      </x:c>
      <x:c r="J2524" s="74" t="str">
        <x:f>""</x:f>
      </x:c>
      <x:c r="K2524" s="73" t="str">
        <x:f>""</x:f>
      </x:c>
      <x:c r="L2524" s="74" t="str">
        <x:f>""</x:f>
      </x:c>
      <x:c r="M2524" s="73" t="n">
        <x:f>MAX(M2523,F2524)</x:f>
        <x:v>1.6558</x:v>
      </x:c>
      <x:c r="N2524" s="74" t="n">
        <x:f>1-F2524/M2524</x:f>
        <x:v>0</x:v>
      </x:c>
    </x:row>
    <x:row r="2525" ht="27" customHeight="1">
      <x:c r="A2525" s="66" t="str">
        <x:v>SEV580</x:v>
      </x:c>
      <x:c r="B2525" s="66" t="str">
        <x:v>祁腾蜂赢1号</x:v>
      </x:c>
      <x:c r="C2525" s="72" t="n">
        <x:v>44690</x:v>
      </x:c>
      <x:c r="D2525" s="73" t="n">
        <x:v>1.0412</x:v>
      </x:c>
      <x:c r="E2525" s="73" t="n">
        <x:v>1.5288</x:v>
      </x:c>
      <x:c r="F2525" s="73" t="n">
        <x:v>1.6556</x:v>
      </x:c>
      <x:c r="G2525" s="74" t="n">
        <x:v>-0.0001</x:v>
      </x:c>
      <x:c r="H2525" s="66" t="str">
        <x:v>祁腾蜂赢1号净值20260911.xlsx</x:v>
      </x:c>
      <x:c r="I2525" s="73" t="str">
        <x:f>""</x:f>
      </x:c>
      <x:c r="J2525" s="74" t="str">
        <x:f>""</x:f>
      </x:c>
      <x:c r="K2525" s="73" t="str">
        <x:f>""</x:f>
      </x:c>
      <x:c r="L2525" s="74" t="str">
        <x:f>""</x:f>
      </x:c>
      <x:c r="M2525" s="73" t="n">
        <x:f>MAX(M2524,F2525)</x:f>
        <x:v>1.6558</x:v>
      </x:c>
      <x:c r="N2525" s="74" t="n">
        <x:f>1-F2525/M2525</x:f>
        <x:v>0.00012078753472644088</x:v>
      </x:c>
    </x:row>
    <x:row r="2526" ht="27" customHeight="1">
      <x:c r="A2526" s="66" t="str">
        <x:v>SEV580</x:v>
      </x:c>
      <x:c r="B2526" s="66" t="str">
        <x:v>祁腾蜂赢1号</x:v>
      </x:c>
      <x:c r="C2526" s="72" t="n">
        <x:v>44691</x:v>
      </x:c>
      <x:c r="D2526" s="73" t="n">
        <x:v>1.0416</x:v>
      </x:c>
      <x:c r="E2526" s="73" t="n">
        <x:v>1.5292</x:v>
      </x:c>
      <x:c r="F2526" s="73" t="n">
        <x:v>1.6563</x:v>
      </x:c>
      <x:c r="G2526" s="74" t="n">
        <x:v>0.0004</x:v>
      </x:c>
      <x:c r="H2526" s="66" t="str">
        <x:v>祁腾蜂赢1号净值20260911.xlsx</x:v>
      </x:c>
      <x:c r="I2526" s="73" t="str">
        <x:f>""</x:f>
      </x:c>
      <x:c r="J2526" s="74" t="str">
        <x:f>""</x:f>
      </x:c>
      <x:c r="K2526" s="73" t="str">
        <x:f>""</x:f>
      </x:c>
      <x:c r="L2526" s="74" t="str">
        <x:f>""</x:f>
      </x:c>
      <x:c r="M2526" s="73" t="n">
        <x:f>MAX(M2525,F2526)</x:f>
        <x:v>1.6563</x:v>
      </x:c>
      <x:c r="N2526" s="74" t="n">
        <x:f>1-F2526/M2526</x:f>
        <x:v>0</x:v>
      </x:c>
    </x:row>
    <x:row r="2527" ht="27" customHeight="1">
      <x:c r="A2527" s="66" t="str">
        <x:v>SEV580</x:v>
      </x:c>
      <x:c r="B2527" s="66" t="str">
        <x:v>祁腾蜂赢1号</x:v>
      </x:c>
      <x:c r="C2527" s="72" t="n">
        <x:v>44692</x:v>
      </x:c>
      <x:c r="D2527" s="73" t="n">
        <x:v>1.0417</x:v>
      </x:c>
      <x:c r="E2527" s="73" t="n">
        <x:v>1.5293</x:v>
      </x:c>
      <x:c r="F2527" s="73" t="n">
        <x:v>1.6564</x:v>
      </x:c>
      <x:c r="G2527" s="74" t="n">
        <x:v>0.0001</x:v>
      </x:c>
      <x:c r="H2527" s="66" t="str">
        <x:v>祁腾蜂赢1号净值20260911.xlsx</x:v>
      </x:c>
      <x:c r="I2527" s="73" t="str">
        <x:f>""</x:f>
      </x:c>
      <x:c r="J2527" s="74" t="str">
        <x:f>""</x:f>
      </x:c>
      <x:c r="K2527" s="73" t="str">
        <x:f>""</x:f>
      </x:c>
      <x:c r="L2527" s="74" t="str">
        <x:f>""</x:f>
      </x:c>
      <x:c r="M2527" s="73" t="n">
        <x:f>MAX(M2526,F2527)</x:f>
        <x:v>1.6564</x:v>
      </x:c>
      <x:c r="N2527" s="74" t="n">
        <x:f>1-F2527/M2527</x:f>
        <x:v>0</x:v>
      </x:c>
    </x:row>
    <x:row r="2528" ht="27" customHeight="1">
      <x:c r="A2528" s="66" t="str">
        <x:v>SEV580</x:v>
      </x:c>
      <x:c r="B2528" s="66" t="str">
        <x:v>祁腾蜂赢1号</x:v>
      </x:c>
      <x:c r="C2528" s="72" t="n">
        <x:v>44693</x:v>
      </x:c>
      <x:c r="D2528" s="73" t="n">
        <x:v>1.0417</x:v>
      </x:c>
      <x:c r="E2528" s="73" t="n">
        <x:v>1.5293</x:v>
      </x:c>
      <x:c r="F2528" s="73" t="n">
        <x:v>1.6564</x:v>
      </x:c>
      <x:c r="G2528" s="74" t="n">
        <x:v>0</x:v>
      </x:c>
      <x:c r="H2528" s="66" t="str">
        <x:v>祁腾蜂赢1号净值20260911.xlsx</x:v>
      </x:c>
      <x:c r="I2528" s="73" t="str">
        <x:f>""</x:f>
      </x:c>
      <x:c r="J2528" s="74" t="str">
        <x:f>""</x:f>
      </x:c>
      <x:c r="K2528" s="73" t="str">
        <x:f>""</x:f>
      </x:c>
      <x:c r="L2528" s="74" t="str">
        <x:f>""</x:f>
      </x:c>
      <x:c r="M2528" s="73" t="n">
        <x:f>MAX(M2527,F2528)</x:f>
        <x:v>1.6564</x:v>
      </x:c>
      <x:c r="N2528" s="74" t="n">
        <x:f>1-F2528/M2528</x:f>
        <x:v>0</x:v>
      </x:c>
    </x:row>
    <x:row r="2529" ht="27" customHeight="1">
      <x:c r="A2529" s="66" t="str">
        <x:v>SEV580</x:v>
      </x:c>
      <x:c r="B2529" s="66" t="str">
        <x:v>祁腾蜂赢1号</x:v>
      </x:c>
      <x:c r="C2529" s="72" t="n">
        <x:v>44694</x:v>
      </x:c>
      <x:c r="D2529" s="73" t="n">
        <x:v>1.0432</x:v>
      </x:c>
      <x:c r="E2529" s="73" t="n">
        <x:v>1.5308</x:v>
      </x:c>
      <x:c r="F2529" s="73" t="n">
        <x:v>1.6588</x:v>
      </x:c>
      <x:c r="G2529" s="74" t="n">
        <x:v>0.0014000000000000002</x:v>
      </x:c>
      <x:c r="H2529" s="66" t="str">
        <x:v>祁腾蜂赢1号净值20260911.xlsx</x:v>
      </x:c>
      <x:c r="I2529" s="73" t="str">
        <x:f>""</x:f>
      </x:c>
      <x:c r="J2529" s="74" t="str">
        <x:f>""</x:f>
      </x:c>
      <x:c r="K2529" s="73" t="str">
        <x:f>""</x:f>
      </x:c>
      <x:c r="L2529" s="74" t="str">
        <x:f>""</x:f>
      </x:c>
      <x:c r="M2529" s="73" t="n">
        <x:f>MAX(M2528,F2529)</x:f>
        <x:v>1.6588</x:v>
      </x:c>
      <x:c r="N2529" s="74" t="n">
        <x:f>1-F2529/M2529</x:f>
        <x:v>0</x:v>
      </x:c>
    </x:row>
    <x:row r="2530" ht="27" customHeight="1">
      <x:c r="A2530" s="66" t="str">
        <x:v>SEV580</x:v>
      </x:c>
      <x:c r="B2530" s="66" t="str">
        <x:v>祁腾蜂赢1号</x:v>
      </x:c>
      <x:c r="C2530" s="72" t="n">
        <x:v>44697</x:v>
      </x:c>
      <x:c r="D2530" s="73" t="n">
        <x:v>1.0435</x:v>
      </x:c>
      <x:c r="E2530" s="73" t="n">
        <x:v>1.5311</x:v>
      </x:c>
      <x:c r="F2530" s="73" t="n">
        <x:v>1.6593</x:v>
      </x:c>
      <x:c r="G2530" s="74" t="n">
        <x:v>0.0003</x:v>
      </x:c>
      <x:c r="H2530" s="66" t="str">
        <x:v>祁腾蜂赢1号净值20260911.xlsx</x:v>
      </x:c>
      <x:c r="I2530" s="73" t="str">
        <x:f>""</x:f>
      </x:c>
      <x:c r="J2530" s="74" t="str">
        <x:f>""</x:f>
      </x:c>
      <x:c r="K2530" s="73" t="str">
        <x:f>""</x:f>
      </x:c>
      <x:c r="L2530" s="74" t="str">
        <x:f>""</x:f>
      </x:c>
      <x:c r="M2530" s="73" t="n">
        <x:f>MAX(M2529,F2530)</x:f>
        <x:v>1.6593</x:v>
      </x:c>
      <x:c r="N2530" s="74" t="n">
        <x:f>1-F2530/M2530</x:f>
        <x:v>0</x:v>
      </x:c>
    </x:row>
    <x:row r="2531" ht="27" customHeight="1">
      <x:c r="A2531" s="66" t="str">
        <x:v>SEV580</x:v>
      </x:c>
      <x:c r="B2531" s="66" t="str">
        <x:v>祁腾蜂赢1号</x:v>
      </x:c>
      <x:c r="C2531" s="72" t="n">
        <x:v>44698</x:v>
      </x:c>
      <x:c r="D2531" s="73" t="n">
        <x:v>1.0433</x:v>
      </x:c>
      <x:c r="E2531" s="73" t="n">
        <x:v>1.5309</x:v>
      </x:c>
      <x:c r="F2531" s="73" t="n">
        <x:v>1.659</x:v>
      </x:c>
      <x:c r="G2531" s="74" t="n">
        <x:v>-0.0002</x:v>
      </x:c>
      <x:c r="H2531" s="66" t="str">
        <x:v>祁腾蜂赢1号净值20260911.xlsx</x:v>
      </x:c>
      <x:c r="I2531" s="73" t="str">
        <x:f>""</x:f>
      </x:c>
      <x:c r="J2531" s="74" t="str">
        <x:f>""</x:f>
      </x:c>
      <x:c r="K2531" s="73" t="str">
        <x:f>""</x:f>
      </x:c>
      <x:c r="L2531" s="74" t="str">
        <x:f>""</x:f>
      </x:c>
      <x:c r="M2531" s="73" t="n">
        <x:f>MAX(M2530,F2531)</x:f>
        <x:v>1.6593</x:v>
      </x:c>
      <x:c r="N2531" s="74" t="n">
        <x:f>1-F2531/M2531</x:f>
        <x:v>0.00018079913216417776</x:v>
      </x:c>
    </x:row>
    <x:row r="2532" ht="27" customHeight="1">
      <x:c r="A2532" s="66" t="str">
        <x:v>SEV580</x:v>
      </x:c>
      <x:c r="B2532" s="66" t="str">
        <x:v>祁腾蜂赢1号</x:v>
      </x:c>
      <x:c r="C2532" s="72" t="n">
        <x:v>44699</x:v>
      </x:c>
      <x:c r="D2532" s="73" t="n">
        <x:v>1.0432</x:v>
      </x:c>
      <x:c r="E2532" s="73" t="n">
        <x:v>1.5308</x:v>
      </x:c>
      <x:c r="F2532" s="73" t="n">
        <x:v>1.6588</x:v>
      </x:c>
      <x:c r="G2532" s="74" t="n">
        <x:v>-0.0001</x:v>
      </x:c>
      <x:c r="H2532" s="66" t="str">
        <x:v>祁腾蜂赢1号净值20260911.xlsx</x:v>
      </x:c>
      <x:c r="I2532" s="73" t="str">
        <x:f>""</x:f>
      </x:c>
      <x:c r="J2532" s="74" t="str">
        <x:f>""</x:f>
      </x:c>
      <x:c r="K2532" s="73" t="str">
        <x:f>""</x:f>
      </x:c>
      <x:c r="L2532" s="74" t="str">
        <x:f>""</x:f>
      </x:c>
      <x:c r="M2532" s="73" t="n">
        <x:f>MAX(M2531,F2532)</x:f>
        <x:v>1.6593</x:v>
      </x:c>
      <x:c r="N2532" s="74" t="n">
        <x:f>1-F2532/M2532</x:f>
        <x:v>0.00030133188694025925</x:v>
      </x:c>
    </x:row>
    <x:row r="2533" ht="27" customHeight="1">
      <x:c r="A2533" s="66" t="str">
        <x:v>SEV580</x:v>
      </x:c>
      <x:c r="B2533" s="66" t="str">
        <x:v>祁腾蜂赢1号</x:v>
      </x:c>
      <x:c r="C2533" s="72" t="n">
        <x:v>44700</x:v>
      </x:c>
      <x:c r="D2533" s="73" t="n">
        <x:v>1.0435</x:v>
      </x:c>
      <x:c r="E2533" s="73" t="n">
        <x:v>1.5311</x:v>
      </x:c>
      <x:c r="F2533" s="73" t="n">
        <x:v>1.6593</x:v>
      </x:c>
      <x:c r="G2533" s="74" t="n">
        <x:v>0.0003</x:v>
      </x:c>
      <x:c r="H2533" s="66" t="str">
        <x:v>祁腾蜂赢1号净值20260911.xlsx</x:v>
      </x:c>
      <x:c r="I2533" s="73" t="str">
        <x:f>""</x:f>
      </x:c>
      <x:c r="J2533" s="74" t="str">
        <x:f>""</x:f>
      </x:c>
      <x:c r="K2533" s="73" t="str">
        <x:f>""</x:f>
      </x:c>
      <x:c r="L2533" s="74" t="str">
        <x:f>""</x:f>
      </x:c>
      <x:c r="M2533" s="73" t="n">
        <x:f>MAX(M2532,F2533)</x:f>
        <x:v>1.6593</x:v>
      </x:c>
      <x:c r="N2533" s="74" t="n">
        <x:f>1-F2533/M2533</x:f>
        <x:v>0</x:v>
      </x:c>
    </x:row>
    <x:row r="2534" ht="27" customHeight="1">
      <x:c r="A2534" s="66" t="str">
        <x:v>SEV580</x:v>
      </x:c>
      <x:c r="B2534" s="66" t="str">
        <x:v>祁腾蜂赢1号</x:v>
      </x:c>
      <x:c r="C2534" s="72" t="n">
        <x:v>44701</x:v>
      </x:c>
      <x:c r="D2534" s="73" t="n">
        <x:v>1.0434</x:v>
      </x:c>
      <x:c r="E2534" s="73" t="n">
        <x:v>1.531</x:v>
      </x:c>
      <x:c r="F2534" s="73" t="n">
        <x:v>1.6591</x:v>
      </x:c>
      <x:c r="G2534" s="74" t="n">
        <x:v>-0.0001</x:v>
      </x:c>
      <x:c r="H2534" s="66" t="str">
        <x:v>祁腾蜂赢1号净值20260911.xlsx</x:v>
      </x:c>
      <x:c r="I2534" s="73" t="str">
        <x:f>""</x:f>
      </x:c>
      <x:c r="J2534" s="74" t="str">
        <x:f>""</x:f>
      </x:c>
      <x:c r="K2534" s="73" t="str">
        <x:f>""</x:f>
      </x:c>
      <x:c r="L2534" s="74" t="str">
        <x:f>""</x:f>
      </x:c>
      <x:c r="M2534" s="73" t="n">
        <x:f>MAX(M2533,F2534)</x:f>
        <x:v>1.6593</x:v>
      </x:c>
      <x:c r="N2534" s="74" t="n">
        <x:f>1-F2534/M2534</x:f>
        <x:v>0.0001205327547760815</x:v>
      </x:c>
    </x:row>
    <x:row r="2535" ht="27" customHeight="1">
      <x:c r="A2535" s="66" t="str">
        <x:v>SEV580</x:v>
      </x:c>
      <x:c r="B2535" s="66" t="str">
        <x:v>祁腾蜂赢1号</x:v>
      </x:c>
      <x:c r="C2535" s="72" t="n">
        <x:v>44704</x:v>
      </x:c>
      <x:c r="D2535" s="73" t="n">
        <x:v>1.0434</x:v>
      </x:c>
      <x:c r="E2535" s="73" t="n">
        <x:v>1.531</x:v>
      </x:c>
      <x:c r="F2535" s="73" t="n">
        <x:v>1.6591</x:v>
      </x:c>
      <x:c r="G2535" s="74" t="n">
        <x:v>0</x:v>
      </x:c>
      <x:c r="H2535" s="66" t="str">
        <x:v>祁腾蜂赢1号净值20260911.xlsx</x:v>
      </x:c>
      <x:c r="I2535" s="73" t="str">
        <x:f>""</x:f>
      </x:c>
      <x:c r="J2535" s="74" t="str">
        <x:f>""</x:f>
      </x:c>
      <x:c r="K2535" s="73" t="str">
        <x:f>""</x:f>
      </x:c>
      <x:c r="L2535" s="74" t="str">
        <x:f>""</x:f>
      </x:c>
      <x:c r="M2535" s="73" t="n">
        <x:f>MAX(M2534,F2535)</x:f>
        <x:v>1.6593</x:v>
      </x:c>
      <x:c r="N2535" s="74" t="n">
        <x:f>1-F2535/M2535</x:f>
        <x:v>0.0001205327547760815</x:v>
      </x:c>
    </x:row>
    <x:row r="2536" ht="27" customHeight="1">
      <x:c r="A2536" s="66" t="str">
        <x:v>SEV580</x:v>
      </x:c>
      <x:c r="B2536" s="66" t="str">
        <x:v>祁腾蜂赢1号</x:v>
      </x:c>
      <x:c r="C2536" s="72" t="n">
        <x:v>44705</x:v>
      </x:c>
      <x:c r="D2536" s="73" t="n">
        <x:v>1.0436</x:v>
      </x:c>
      <x:c r="E2536" s="73" t="n">
        <x:v>1.5312</x:v>
      </x:c>
      <x:c r="F2536" s="73" t="n">
        <x:v>1.6594</x:v>
      </x:c>
      <x:c r="G2536" s="74" t="n">
        <x:v>0.0002</x:v>
      </x:c>
      <x:c r="H2536" s="66" t="str">
        <x:v>祁腾蜂赢1号净值20260911.xlsx</x:v>
      </x:c>
      <x:c r="I2536" s="73" t="str">
        <x:f>""</x:f>
      </x:c>
      <x:c r="J2536" s="74" t="str">
        <x:f>""</x:f>
      </x:c>
      <x:c r="K2536" s="73" t="str">
        <x:f>""</x:f>
      </x:c>
      <x:c r="L2536" s="74" t="str">
        <x:f>""</x:f>
      </x:c>
      <x:c r="M2536" s="73" t="n">
        <x:f>MAX(M2535,F2536)</x:f>
        <x:v>1.6594</x:v>
      </x:c>
      <x:c r="N2536" s="74" t="n">
        <x:f>1-F2536/M2536</x:f>
        <x:v>0</x:v>
      </x:c>
    </x:row>
    <x:row r="2537" ht="27" customHeight="1">
      <x:c r="A2537" s="66" t="str">
        <x:v>SEV580</x:v>
      </x:c>
      <x:c r="B2537" s="66" t="str">
        <x:v>祁腾蜂赢1号</x:v>
      </x:c>
      <x:c r="C2537" s="72" t="n">
        <x:v>44706</x:v>
      </x:c>
      <x:c r="D2537" s="73" t="n">
        <x:v>1.0436</x:v>
      </x:c>
      <x:c r="E2537" s="73" t="n">
        <x:v>1.5312</x:v>
      </x:c>
      <x:c r="F2537" s="73" t="n">
        <x:v>1.6594</x:v>
      </x:c>
      <x:c r="G2537" s="74" t="n">
        <x:v>0</x:v>
      </x:c>
      <x:c r="H2537" s="66" t="str">
        <x:v>祁腾蜂赢1号净值20260911.xlsx</x:v>
      </x:c>
      <x:c r="I2537" s="73" t="str">
        <x:f>""</x:f>
      </x:c>
      <x:c r="J2537" s="74" t="str">
        <x:f>""</x:f>
      </x:c>
      <x:c r="K2537" s="73" t="str">
        <x:f>""</x:f>
      </x:c>
      <x:c r="L2537" s="74" t="str">
        <x:f>""</x:f>
      </x:c>
      <x:c r="M2537" s="73" t="n">
        <x:f>MAX(M2536,F2537)</x:f>
        <x:v>1.6594</x:v>
      </x:c>
      <x:c r="N2537" s="74" t="n">
        <x:f>1-F2537/M2537</x:f>
        <x:v>0</x:v>
      </x:c>
    </x:row>
    <x:row r="2538" ht="27" customHeight="1">
      <x:c r="A2538" s="66" t="str">
        <x:v>SEV580</x:v>
      </x:c>
      <x:c r="B2538" s="66" t="str">
        <x:v>祁腾蜂赢1号</x:v>
      </x:c>
      <x:c r="C2538" s="72" t="n">
        <x:v>44707</x:v>
      </x:c>
      <x:c r="D2538" s="73" t="n">
        <x:v>1.0437</x:v>
      </x:c>
      <x:c r="E2538" s="73" t="n">
        <x:v>1.5313</x:v>
      </x:c>
      <x:c r="F2538" s="73" t="n">
        <x:v>1.6596</x:v>
      </x:c>
      <x:c r="G2538" s="74" t="n">
        <x:v>0.0001</x:v>
      </x:c>
      <x:c r="H2538" s="66" t="str">
        <x:v>祁腾蜂赢1号净值20260911.xlsx</x:v>
      </x:c>
      <x:c r="I2538" s="73" t="str">
        <x:f>""</x:f>
      </x:c>
      <x:c r="J2538" s="74" t="str">
        <x:f>""</x:f>
      </x:c>
      <x:c r="K2538" s="73" t="str">
        <x:f>""</x:f>
      </x:c>
      <x:c r="L2538" s="74" t="str">
        <x:f>""</x:f>
      </x:c>
      <x:c r="M2538" s="73" t="n">
        <x:f>MAX(M2537,F2538)</x:f>
        <x:v>1.6596</x:v>
      </x:c>
      <x:c r="N2538" s="74" t="n">
        <x:f>1-F2538/M2538</x:f>
        <x:v>0</x:v>
      </x:c>
    </x:row>
    <x:row r="2539" ht="27" customHeight="1">
      <x:c r="A2539" s="66" t="str">
        <x:v>SEV580</x:v>
      </x:c>
      <x:c r="B2539" s="66" t="str">
        <x:v>祁腾蜂赢1号</x:v>
      </x:c>
      <x:c r="C2539" s="72" t="n">
        <x:v>44708</x:v>
      </x:c>
      <x:c r="D2539" s="73" t="n">
        <x:v>1.0434</x:v>
      </x:c>
      <x:c r="E2539" s="73" t="n">
        <x:v>1.531</x:v>
      </x:c>
      <x:c r="F2539" s="73" t="n">
        <x:v>1.6591</x:v>
      </x:c>
      <x:c r="G2539" s="74" t="n">
        <x:v>-0.0003</x:v>
      </x:c>
      <x:c r="H2539" s="66" t="str">
        <x:v>祁腾蜂赢1号净值20260911.xlsx</x:v>
      </x:c>
      <x:c r="I2539" s="73" t="str">
        <x:f>""</x:f>
      </x:c>
      <x:c r="J2539" s="74" t="str">
        <x:f>""</x:f>
      </x:c>
      <x:c r="K2539" s="73" t="str">
        <x:f>""</x:f>
      </x:c>
      <x:c r="L2539" s="74" t="str">
        <x:f>""</x:f>
      </x:c>
      <x:c r="M2539" s="73" t="n">
        <x:f>MAX(M2538,F2539)</x:f>
        <x:v>1.6596</x:v>
      </x:c>
      <x:c r="N2539" s="74" t="n">
        <x:f>1-F2539/M2539</x:f>
        <x:v>0.0003012774162448606</x:v>
      </x:c>
    </x:row>
    <x:row r="2540" ht="27" customHeight="1">
      <x:c r="A2540" s="66" t="str">
        <x:v>SEV580</x:v>
      </x:c>
      <x:c r="B2540" s="66" t="str">
        <x:v>祁腾蜂赢1号</x:v>
      </x:c>
      <x:c r="C2540" s="72" t="n">
        <x:v>44711</x:v>
      </x:c>
      <x:c r="D2540" s="73" t="n">
        <x:v>1.0434</x:v>
      </x:c>
      <x:c r="E2540" s="73" t="n">
        <x:v>1.531</x:v>
      </x:c>
      <x:c r="F2540" s="73" t="n">
        <x:v>1.6591</x:v>
      </x:c>
      <x:c r="G2540" s="74" t="n">
        <x:v>0</x:v>
      </x:c>
      <x:c r="H2540" s="66" t="str">
        <x:v>祁腾蜂赢1号净值20260911.xlsx</x:v>
      </x:c>
      <x:c r="I2540" s="73" t="str">
        <x:f>""</x:f>
      </x:c>
      <x:c r="J2540" s="74" t="str">
        <x:f>""</x:f>
      </x:c>
      <x:c r="K2540" s="73" t="str">
        <x:f>""</x:f>
      </x:c>
      <x:c r="L2540" s="74" t="str">
        <x:f>""</x:f>
      </x:c>
      <x:c r="M2540" s="73" t="n">
        <x:f>MAX(M2539,F2540)</x:f>
        <x:v>1.6596</x:v>
      </x:c>
      <x:c r="N2540" s="74" t="n">
        <x:f>1-F2540/M2540</x:f>
        <x:v>0.0003012774162448606</x:v>
      </x:c>
    </x:row>
    <x:row r="2541" ht="27" customHeight="1">
      <x:c r="A2541" s="66" t="str">
        <x:v>SEV580</x:v>
      </x:c>
      <x:c r="B2541" s="66" t="str">
        <x:v>祁腾蜂赢1号</x:v>
      </x:c>
      <x:c r="C2541" s="72" t="n">
        <x:v>44712</x:v>
      </x:c>
      <x:c r="D2541" s="73" t="n">
        <x:v>1.0435</x:v>
      </x:c>
      <x:c r="E2541" s="73" t="n">
        <x:v>1.5311</x:v>
      </x:c>
      <x:c r="F2541" s="73" t="n">
        <x:v>1.6593</x:v>
      </x:c>
      <x:c r="G2541" s="74" t="n">
        <x:v>0.0001</x:v>
      </x:c>
      <x:c r="H2541" s="66" t="str">
        <x:v>祁腾蜂赢1号净值20260911.xlsx</x:v>
      </x:c>
      <x:c r="I2541" s="73" t="str">
        <x:f>""</x:f>
      </x:c>
      <x:c r="J2541" s="74" t="str">
        <x:f>""</x:f>
      </x:c>
      <x:c r="K2541" s="73" t="str">
        <x:f>""</x:f>
      </x:c>
      <x:c r="L2541" s="74" t="str">
        <x:f>""</x:f>
      </x:c>
      <x:c r="M2541" s="73" t="n">
        <x:f>MAX(M2540,F2541)</x:f>
        <x:v>1.6596</x:v>
      </x:c>
      <x:c r="N2541" s="74" t="n">
        <x:f>1-F2541/M2541</x:f>
        <x:v>0.00018076644974696077</x:v>
      </x:c>
    </x:row>
    <x:row r="2542" ht="27" customHeight="1">
      <x:c r="A2542" s="66" t="str">
        <x:v>SEV580</x:v>
      </x:c>
      <x:c r="B2542" s="66" t="str">
        <x:v>祁腾蜂赢1号</x:v>
      </x:c>
      <x:c r="C2542" s="72" t="n">
        <x:v>44713</x:v>
      </x:c>
      <x:c r="D2542" s="73" t="n">
        <x:v>1.0435</x:v>
      </x:c>
      <x:c r="E2542" s="73" t="n">
        <x:v>1.5311</x:v>
      </x:c>
      <x:c r="F2542" s="73" t="n">
        <x:v>1.6593</x:v>
      </x:c>
      <x:c r="G2542" s="74" t="n">
        <x:v>0</x:v>
      </x:c>
      <x:c r="H2542" s="66" t="str">
        <x:v>祁腾蜂赢1号净值20260911.xlsx</x:v>
      </x:c>
      <x:c r="I2542" s="73" t="str">
        <x:f>""</x:f>
      </x:c>
      <x:c r="J2542" s="74" t="str">
        <x:f>""</x:f>
      </x:c>
      <x:c r="K2542" s="73" t="str">
        <x:f>""</x:f>
      </x:c>
      <x:c r="L2542" s="74" t="str">
        <x:f>""</x:f>
      </x:c>
      <x:c r="M2542" s="73" t="n">
        <x:f>MAX(M2541,F2542)</x:f>
        <x:v>1.6596</x:v>
      </x:c>
      <x:c r="N2542" s="74" t="n">
        <x:f>1-F2542/M2542</x:f>
        <x:v>0.00018076644974696077</x:v>
      </x:c>
    </x:row>
    <x:row r="2543" ht="27" customHeight="1">
      <x:c r="A2543" s="66" t="str">
        <x:v>SEV580</x:v>
      </x:c>
      <x:c r="B2543" s="66" t="str">
        <x:v>祁腾蜂赢1号</x:v>
      </x:c>
      <x:c r="C2543" s="72" t="n">
        <x:v>44714</x:v>
      </x:c>
      <x:c r="D2543" s="73" t="n">
        <x:v>1.0435</x:v>
      </x:c>
      <x:c r="E2543" s="73" t="n">
        <x:v>1.5311</x:v>
      </x:c>
      <x:c r="F2543" s="73" t="n">
        <x:v>1.6593</x:v>
      </x:c>
      <x:c r="G2543" s="74" t="n">
        <x:v>0</x:v>
      </x:c>
      <x:c r="H2543" s="66" t="str">
        <x:v>祁腾蜂赢1号净值20260911.xlsx</x:v>
      </x:c>
      <x:c r="I2543" s="73" t="str">
        <x:f>""</x:f>
      </x:c>
      <x:c r="J2543" s="74" t="str">
        <x:f>""</x:f>
      </x:c>
      <x:c r="K2543" s="73" t="str">
        <x:f>""</x:f>
      </x:c>
      <x:c r="L2543" s="74" t="str">
        <x:f>""</x:f>
      </x:c>
      <x:c r="M2543" s="73" t="n">
        <x:f>MAX(M2542,F2543)</x:f>
        <x:v>1.6596</x:v>
      </x:c>
      <x:c r="N2543" s="74" t="n">
        <x:f>1-F2543/M2543</x:f>
        <x:v>0.00018076644974696077</x:v>
      </x:c>
    </x:row>
    <x:row r="2544" ht="27" customHeight="1">
      <x:c r="A2544" s="66" t="str">
        <x:v>SEV580</x:v>
      </x:c>
      <x:c r="B2544" s="66" t="str">
        <x:v>祁腾蜂赢1号</x:v>
      </x:c>
      <x:c r="C2544" s="72" t="n">
        <x:v>44718</x:v>
      </x:c>
      <x:c r="D2544" s="73" t="n">
        <x:v>1.044</x:v>
      </x:c>
      <x:c r="E2544" s="73" t="n">
        <x:v>1.5316</x:v>
      </x:c>
      <x:c r="F2544" s="73" t="n">
        <x:v>1.6601</x:v>
      </x:c>
      <x:c r="G2544" s="74" t="n">
        <x:v>0.0005</x:v>
      </x:c>
      <x:c r="H2544" s="66" t="str">
        <x:v>祁腾蜂赢1号净值20260911.xlsx</x:v>
      </x:c>
      <x:c r="I2544" s="73" t="str">
        <x:f>""</x:f>
      </x:c>
      <x:c r="J2544" s="74" t="str">
        <x:f>""</x:f>
      </x:c>
      <x:c r="K2544" s="73" t="str">
        <x:f>""</x:f>
      </x:c>
      <x:c r="L2544" s="74" t="str">
        <x:f>""</x:f>
      </x:c>
      <x:c r="M2544" s="73" t="n">
        <x:f>MAX(M2543,F2544)</x:f>
        <x:v>1.6601</x:v>
      </x:c>
      <x:c r="N2544" s="74" t="n">
        <x:f>1-F2544/M2544</x:f>
        <x:v>0</x:v>
      </x:c>
    </x:row>
    <x:row r="2545" ht="27" customHeight="1">
      <x:c r="A2545" s="66" t="str">
        <x:v>SEV580</x:v>
      </x:c>
      <x:c r="B2545" s="66" t="str">
        <x:v>祁腾蜂赢1号</x:v>
      </x:c>
      <x:c r="C2545" s="72" t="n">
        <x:v>44719</x:v>
      </x:c>
      <x:c r="D2545" s="73" t="n">
        <x:v>1.0441</x:v>
      </x:c>
      <x:c r="E2545" s="73" t="n">
        <x:v>1.5317</x:v>
      </x:c>
      <x:c r="F2545" s="73" t="n">
        <x:v>1.6602</x:v>
      </x:c>
      <x:c r="G2545" s="74" t="n">
        <x:v>0.0001</x:v>
      </x:c>
      <x:c r="H2545" s="66" t="str">
        <x:v>祁腾蜂赢1号净值20260911.xlsx</x:v>
      </x:c>
      <x:c r="I2545" s="73" t="str">
        <x:f>""</x:f>
      </x:c>
      <x:c r="J2545" s="74" t="str">
        <x:f>""</x:f>
      </x:c>
      <x:c r="K2545" s="73" t="str">
        <x:f>""</x:f>
      </x:c>
      <x:c r="L2545" s="74" t="str">
        <x:f>""</x:f>
      </x:c>
      <x:c r="M2545" s="73" t="n">
        <x:f>MAX(M2544,F2545)</x:f>
        <x:v>1.6602</x:v>
      </x:c>
      <x:c r="N2545" s="74" t="n">
        <x:f>1-F2545/M2545</x:f>
        <x:v>0</x:v>
      </x:c>
    </x:row>
    <x:row r="2546" ht="27" customHeight="1">
      <x:c r="A2546" s="66" t="str">
        <x:v>SEV580</x:v>
      </x:c>
      <x:c r="B2546" s="66" t="str">
        <x:v>祁腾蜂赢1号</x:v>
      </x:c>
      <x:c r="C2546" s="72" t="n">
        <x:v>44720</x:v>
      </x:c>
      <x:c r="D2546" s="73" t="n">
        <x:v>1.0444</x:v>
      </x:c>
      <x:c r="E2546" s="73" t="n">
        <x:v>1.532</x:v>
      </x:c>
      <x:c r="F2546" s="73" t="n">
        <x:v>1.6607</x:v>
      </x:c>
      <x:c r="G2546" s="74" t="n">
        <x:v>0.0003</x:v>
      </x:c>
      <x:c r="H2546" s="66" t="str">
        <x:v>祁腾蜂赢1号净值20260911.xlsx</x:v>
      </x:c>
      <x:c r="I2546" s="73" t="str">
        <x:f>""</x:f>
      </x:c>
      <x:c r="J2546" s="74" t="str">
        <x:f>""</x:f>
      </x:c>
      <x:c r="K2546" s="73" t="str">
        <x:f>""</x:f>
      </x:c>
      <x:c r="L2546" s="74" t="str">
        <x:f>""</x:f>
      </x:c>
      <x:c r="M2546" s="73" t="n">
        <x:f>MAX(M2545,F2546)</x:f>
        <x:v>1.6607</x:v>
      </x:c>
      <x:c r="N2546" s="74" t="n">
        <x:f>1-F2546/M2546</x:f>
        <x:v>0</x:v>
      </x:c>
    </x:row>
    <x:row r="2547" ht="27" customHeight="1">
      <x:c r="A2547" s="66" t="str">
        <x:v>SEV580</x:v>
      </x:c>
      <x:c r="B2547" s="66" t="str">
        <x:v>祁腾蜂赢1号</x:v>
      </x:c>
      <x:c r="C2547" s="72" t="n">
        <x:v>44721</x:v>
      </x:c>
      <x:c r="D2547" s="73" t="n">
        <x:v>1.0444</x:v>
      </x:c>
      <x:c r="E2547" s="73" t="n">
        <x:v>1.532</x:v>
      </x:c>
      <x:c r="F2547" s="73" t="n">
        <x:v>1.6607</x:v>
      </x:c>
      <x:c r="G2547" s="74" t="n">
        <x:v>0</x:v>
      </x:c>
      <x:c r="H2547" s="66" t="str">
        <x:v>祁腾蜂赢1号净值20260911.xlsx</x:v>
      </x:c>
      <x:c r="I2547" s="73" t="str">
        <x:f>""</x:f>
      </x:c>
      <x:c r="J2547" s="74" t="str">
        <x:f>""</x:f>
      </x:c>
      <x:c r="K2547" s="73" t="str">
        <x:f>""</x:f>
      </x:c>
      <x:c r="L2547" s="74" t="str">
        <x:f>""</x:f>
      </x:c>
      <x:c r="M2547" s="73" t="n">
        <x:f>MAX(M2546,F2547)</x:f>
        <x:v>1.6607</x:v>
      </x:c>
      <x:c r="N2547" s="74" t="n">
        <x:f>1-F2547/M2547</x:f>
        <x:v>0</x:v>
      </x:c>
    </x:row>
    <x:row r="2548" ht="27" customHeight="1">
      <x:c r="A2548" s="66" t="str">
        <x:v>SEV580</x:v>
      </x:c>
      <x:c r="B2548" s="66" t="str">
        <x:v>祁腾蜂赢1号</x:v>
      </x:c>
      <x:c r="C2548" s="72" t="n">
        <x:v>44722</x:v>
      </x:c>
      <x:c r="D2548" s="73" t="n">
        <x:v>1.0458</x:v>
      </x:c>
      <x:c r="E2548" s="73" t="n">
        <x:v>1.5334</x:v>
      </x:c>
      <x:c r="F2548" s="73" t="n">
        <x:v>1.6629</x:v>
      </x:c>
      <x:c r="G2548" s="74" t="n">
        <x:v>0.0013</x:v>
      </x:c>
      <x:c r="H2548" s="66" t="str">
        <x:v>祁腾蜂赢1号净值20260911.xlsx</x:v>
      </x:c>
      <x:c r="I2548" s="73" t="str">
        <x:f>""</x:f>
      </x:c>
      <x:c r="J2548" s="74" t="str">
        <x:f>""</x:f>
      </x:c>
      <x:c r="K2548" s="73" t="str">
        <x:f>""</x:f>
      </x:c>
      <x:c r="L2548" s="74" t="str">
        <x:f>""</x:f>
      </x:c>
      <x:c r="M2548" s="73" t="n">
        <x:f>MAX(M2547,F2548)</x:f>
        <x:v>1.6629</x:v>
      </x:c>
      <x:c r="N2548" s="74" t="n">
        <x:f>1-F2548/M2548</x:f>
        <x:v>0</x:v>
      </x:c>
    </x:row>
    <x:row r="2549" ht="27" customHeight="1">
      <x:c r="A2549" s="66" t="str">
        <x:v>SEV580</x:v>
      </x:c>
      <x:c r="B2549" s="66" t="str">
        <x:v>祁腾蜂赢1号</x:v>
      </x:c>
      <x:c r="C2549" s="72" t="n">
        <x:v>44725</x:v>
      </x:c>
      <x:c r="D2549" s="73" t="n">
        <x:v>1.0456</x:v>
      </x:c>
      <x:c r="E2549" s="73" t="n">
        <x:v>1.5332</x:v>
      </x:c>
      <x:c r="F2549" s="73" t="n">
        <x:v>1.6626</x:v>
      </x:c>
      <x:c r="G2549" s="74" t="n">
        <x:v>-0.0002</x:v>
      </x:c>
      <x:c r="H2549" s="66" t="str">
        <x:v>祁腾蜂赢1号净值20260911.xlsx</x:v>
      </x:c>
      <x:c r="I2549" s="73" t="str">
        <x:f>""</x:f>
      </x:c>
      <x:c r="J2549" s="74" t="str">
        <x:f>""</x:f>
      </x:c>
      <x:c r="K2549" s="73" t="str">
        <x:f>""</x:f>
      </x:c>
      <x:c r="L2549" s="74" t="str">
        <x:f>""</x:f>
      </x:c>
      <x:c r="M2549" s="73" t="n">
        <x:f>MAX(M2548,F2549)</x:f>
        <x:v>1.6629</x:v>
      </x:c>
      <x:c r="N2549" s="74" t="n">
        <x:f>1-F2549/M2549</x:f>
        <x:v>0.00018040772145044848</x:v>
      </x:c>
    </x:row>
    <x:row r="2550" ht="27" customHeight="1">
      <x:c r="A2550" s="66" t="str">
        <x:v>SEV580</x:v>
      </x:c>
      <x:c r="B2550" s="66" t="str">
        <x:v>祁腾蜂赢1号</x:v>
      </x:c>
      <x:c r="C2550" s="72" t="n">
        <x:v>44726</x:v>
      </x:c>
      <x:c r="D2550" s="73" t="n">
        <x:v>1.0462</x:v>
      </x:c>
      <x:c r="E2550" s="73" t="n">
        <x:v>1.5338</x:v>
      </x:c>
      <x:c r="F2550" s="73" t="n">
        <x:v>1.6636</x:v>
      </x:c>
      <x:c r="G2550" s="74" t="n">
        <x:v>0.0006</x:v>
      </x:c>
      <x:c r="H2550" s="66" t="str">
        <x:v>祁腾蜂赢1号净值20260911.xlsx</x:v>
      </x:c>
      <x:c r="I2550" s="73" t="str">
        <x:f>""</x:f>
      </x:c>
      <x:c r="J2550" s="74" t="str">
        <x:f>""</x:f>
      </x:c>
      <x:c r="K2550" s="73" t="str">
        <x:f>""</x:f>
      </x:c>
      <x:c r="L2550" s="74" t="str">
        <x:f>""</x:f>
      </x:c>
      <x:c r="M2550" s="73" t="n">
        <x:f>MAX(M2549,F2550)</x:f>
        <x:v>1.6636</x:v>
      </x:c>
      <x:c r="N2550" s="74" t="n">
        <x:f>1-F2550/M2550</x:f>
        <x:v>0</x:v>
      </x:c>
    </x:row>
    <x:row r="2551" ht="27" customHeight="1">
      <x:c r="A2551" s="66" t="str">
        <x:v>SEV580</x:v>
      </x:c>
      <x:c r="B2551" s="66" t="str">
        <x:v>祁腾蜂赢1号</x:v>
      </x:c>
      <x:c r="C2551" s="72" t="n">
        <x:v>44727</x:v>
      </x:c>
      <x:c r="D2551" s="73" t="n">
        <x:v>1.0469</x:v>
      </x:c>
      <x:c r="E2551" s="73" t="n">
        <x:v>1.5345</x:v>
      </x:c>
      <x:c r="F2551" s="73" t="n">
        <x:v>1.6647</x:v>
      </x:c>
      <x:c r="G2551" s="74" t="n">
        <x:v>0.0007000000000000001</x:v>
      </x:c>
      <x:c r="H2551" s="66" t="str">
        <x:v>祁腾蜂赢1号净值20260911.xlsx</x:v>
      </x:c>
      <x:c r="I2551" s="73" t="str">
        <x:f>""</x:f>
      </x:c>
      <x:c r="J2551" s="74" t="str">
        <x:f>""</x:f>
      </x:c>
      <x:c r="K2551" s="73" t="str">
        <x:f>""</x:f>
      </x:c>
      <x:c r="L2551" s="74" t="str">
        <x:f>""</x:f>
      </x:c>
      <x:c r="M2551" s="73" t="n">
        <x:f>MAX(M2550,F2551)</x:f>
        <x:v>1.6647</x:v>
      </x:c>
      <x:c r="N2551" s="74" t="n">
        <x:f>1-F2551/M2551</x:f>
        <x:v>0</x:v>
      </x:c>
    </x:row>
    <x:row r="2552" ht="27" customHeight="1">
      <x:c r="A2552" s="66" t="str">
        <x:v>SEV580</x:v>
      </x:c>
      <x:c r="B2552" s="66" t="str">
        <x:v>祁腾蜂赢1号</x:v>
      </x:c>
      <x:c r="C2552" s="72" t="n">
        <x:v>44728</x:v>
      </x:c>
      <x:c r="D2552" s="73" t="n">
        <x:v>1.0471</x:v>
      </x:c>
      <x:c r="E2552" s="73" t="n">
        <x:v>1.5347</x:v>
      </x:c>
      <x:c r="F2552" s="73" t="n">
        <x:v>1.665</x:v>
      </x:c>
      <x:c r="G2552" s="74" t="n">
        <x:v>0.0002</x:v>
      </x:c>
      <x:c r="H2552" s="66" t="str">
        <x:v>祁腾蜂赢1号净值20260911.xlsx</x:v>
      </x:c>
      <x:c r="I2552" s="73" t="str">
        <x:f>""</x:f>
      </x:c>
      <x:c r="J2552" s="74" t="str">
        <x:f>""</x:f>
      </x:c>
      <x:c r="K2552" s="73" t="str">
        <x:f>""</x:f>
      </x:c>
      <x:c r="L2552" s="74" t="str">
        <x:f>""</x:f>
      </x:c>
      <x:c r="M2552" s="73" t="n">
        <x:f>MAX(M2551,F2552)</x:f>
        <x:v>1.665</x:v>
      </x:c>
      <x:c r="N2552" s="74" t="n">
        <x:f>1-F2552/M2552</x:f>
        <x:v>0</x:v>
      </x:c>
    </x:row>
    <x:row r="2553" ht="27" customHeight="1">
      <x:c r="A2553" s="66" t="str">
        <x:v>SEV580</x:v>
      </x:c>
      <x:c r="B2553" s="66" t="str">
        <x:v>祁腾蜂赢1号</x:v>
      </x:c>
      <x:c r="C2553" s="72" t="n">
        <x:v>44729</x:v>
      </x:c>
      <x:c r="D2553" s="73" t="n">
        <x:v>1</x:v>
      </x:c>
      <x:c r="E2553" s="73" t="n">
        <x:v>1.535</x:v>
      </x:c>
      <x:c r="F2553" s="73" t="n">
        <x:v>1.6655</x:v>
      </x:c>
      <x:c r="G2553" s="74" t="n">
        <x:v>0.0003</x:v>
      </x:c>
      <x:c r="H2553" s="66" t="str">
        <x:v>祁腾蜂赢1号净值20260911.xlsx</x:v>
      </x:c>
      <x:c r="I2553" s="73" t="str">
        <x:f>""</x:f>
      </x:c>
      <x:c r="J2553" s="74" t="str">
        <x:f>""</x:f>
      </x:c>
      <x:c r="K2553" s="73" t="str">
        <x:f>""</x:f>
      </x:c>
      <x:c r="L2553" s="74" t="str">
        <x:f>""</x:f>
      </x:c>
      <x:c r="M2553" s="73" t="n">
        <x:f>MAX(M2552,F2553)</x:f>
        <x:v>1.6655</x:v>
      </x:c>
      <x:c r="N2553" s="74" t="n">
        <x:f>1-F2553/M2553</x:f>
        <x:v>0</x:v>
      </x:c>
    </x:row>
    <x:row r="2554" ht="27" customHeight="1">
      <x:c r="A2554" s="66" t="str">
        <x:v>SEV580</x:v>
      </x:c>
      <x:c r="B2554" s="66" t="str">
        <x:v>祁腾蜂赢1号</x:v>
      </x:c>
      <x:c r="C2554" s="72" t="n">
        <x:v>44732</x:v>
      </x:c>
      <x:c r="D2554" s="73" t="n">
        <x:v>0.9998</x:v>
      </x:c>
      <x:c r="E2554" s="73" t="n">
        <x:v>1.5348</x:v>
      </x:c>
      <x:c r="F2554" s="73" t="n">
        <x:v>1.6651</x:v>
      </x:c>
      <x:c r="G2554" s="74" t="n">
        <x:v>-0.0002</x:v>
      </x:c>
      <x:c r="H2554" s="66" t="str">
        <x:v>祁腾蜂赢1号净值20260911.xlsx</x:v>
      </x:c>
      <x:c r="I2554" s="73" t="str">
        <x:f>""</x:f>
      </x:c>
      <x:c r="J2554" s="74" t="str">
        <x:f>""</x:f>
      </x:c>
      <x:c r="K2554" s="73" t="str">
        <x:f>""</x:f>
      </x:c>
      <x:c r="L2554" s="74" t="str">
        <x:f>""</x:f>
      </x:c>
      <x:c r="M2554" s="73" t="n">
        <x:f>MAX(M2553,F2554)</x:f>
        <x:v>1.6655</x:v>
      </x:c>
      <x:c r="N2554" s="74" t="n">
        <x:f>1-F2554/M2554</x:f>
        <x:v>0.00024016811768234891</x:v>
      </x:c>
    </x:row>
    <x:row r="2555" ht="27" customHeight="1">
      <x:c r="A2555" s="66" t="str">
        <x:v>SEV580</x:v>
      </x:c>
      <x:c r="B2555" s="66" t="str">
        <x:v>祁腾蜂赢1号</x:v>
      </x:c>
      <x:c r="C2555" s="72" t="n">
        <x:v>44733</x:v>
      </x:c>
      <x:c r="D2555" s="73" t="n">
        <x:v>1</x:v>
      </x:c>
      <x:c r="E2555" s="73" t="n">
        <x:v>1.535</x:v>
      </x:c>
      <x:c r="F2555" s="73" t="n">
        <x:v>1.6655</x:v>
      </x:c>
      <x:c r="G2555" s="74" t="n">
        <x:v>0.0002</x:v>
      </x:c>
      <x:c r="H2555" s="66" t="str">
        <x:v>祁腾蜂赢1号净值20260911.xlsx</x:v>
      </x:c>
      <x:c r="I2555" s="73" t="str">
        <x:f>""</x:f>
      </x:c>
      <x:c r="J2555" s="74" t="str">
        <x:f>""</x:f>
      </x:c>
      <x:c r="K2555" s="73" t="str">
        <x:f>""</x:f>
      </x:c>
      <x:c r="L2555" s="74" t="str">
        <x:f>""</x:f>
      </x:c>
      <x:c r="M2555" s="73" t="n">
        <x:f>MAX(M2554,F2555)</x:f>
        <x:v>1.6655</x:v>
      </x:c>
      <x:c r="N2555" s="74" t="n">
        <x:f>1-F2555/M2555</x:f>
        <x:v>0</x:v>
      </x:c>
    </x:row>
    <x:row r="2556" ht="27" customHeight="1">
      <x:c r="A2556" s="66" t="str">
        <x:v>SEV580</x:v>
      </x:c>
      <x:c r="B2556" s="66" t="str">
        <x:v>祁腾蜂赢1号</x:v>
      </x:c>
      <x:c r="C2556" s="72" t="n">
        <x:v>44734</x:v>
      </x:c>
      <x:c r="D2556" s="73" t="n">
        <x:v>1.0001</x:v>
      </x:c>
      <x:c r="E2556" s="73" t="n">
        <x:v>1.5351</x:v>
      </x:c>
      <x:c r="F2556" s="73" t="n">
        <x:v>1.6656</x:v>
      </x:c>
      <x:c r="G2556" s="74" t="n">
        <x:v>0.0001</x:v>
      </x:c>
      <x:c r="H2556" s="66" t="str">
        <x:v>祁腾蜂赢1号净值20260911.xlsx</x:v>
      </x:c>
      <x:c r="I2556" s="73" t="str">
        <x:f>""</x:f>
      </x:c>
      <x:c r="J2556" s="74" t="str">
        <x:f>""</x:f>
      </x:c>
      <x:c r="K2556" s="73" t="str">
        <x:f>""</x:f>
      </x:c>
      <x:c r="L2556" s="74" t="str">
        <x:f>""</x:f>
      </x:c>
      <x:c r="M2556" s="73" t="n">
        <x:f>MAX(M2555,F2556)</x:f>
        <x:v>1.6656</x:v>
      </x:c>
      <x:c r="N2556" s="74" t="n">
        <x:f>1-F2556/M2556</x:f>
        <x:v>0</x:v>
      </x:c>
    </x:row>
    <x:row r="2557" ht="27" customHeight="1">
      <x:c r="A2557" s="66" t="str">
        <x:v>SEV580</x:v>
      </x:c>
      <x:c r="B2557" s="66" t="str">
        <x:v>祁腾蜂赢1号</x:v>
      </x:c>
      <x:c r="C2557" s="72" t="n">
        <x:v>44735</x:v>
      </x:c>
      <x:c r="D2557" s="73" t="n">
        <x:v>1</x:v>
      </x:c>
      <x:c r="E2557" s="73" t="n">
        <x:v>1.535</x:v>
      </x:c>
      <x:c r="F2557" s="73" t="n">
        <x:v>1.6655</x:v>
      </x:c>
      <x:c r="G2557" s="74" t="n">
        <x:v>-0.0001</x:v>
      </x:c>
      <x:c r="H2557" s="66" t="str">
        <x:v>祁腾蜂赢1号净值20260911.xlsx</x:v>
      </x:c>
      <x:c r="I2557" s="73" t="str">
        <x:f>""</x:f>
      </x:c>
      <x:c r="J2557" s="74" t="str">
        <x:f>""</x:f>
      </x:c>
      <x:c r="K2557" s="73" t="str">
        <x:f>""</x:f>
      </x:c>
      <x:c r="L2557" s="74" t="str">
        <x:f>""</x:f>
      </x:c>
      <x:c r="M2557" s="73" t="n">
        <x:f>MAX(M2556,F2557)</x:f>
        <x:v>1.6656</x:v>
      </x:c>
      <x:c r="N2557" s="74" t="n">
        <x:f>1-F2557/M2557</x:f>
        <x:v>0.00006003842459167963</x:v>
      </x:c>
    </x:row>
    <x:row r="2558" ht="27" customHeight="1">
      <x:c r="A2558" s="66" t="str">
        <x:v>SEV580</x:v>
      </x:c>
      <x:c r="B2558" s="66" t="str">
        <x:v>祁腾蜂赢1号</x:v>
      </x:c>
      <x:c r="C2558" s="72" t="n">
        <x:v>44736</x:v>
      </x:c>
      <x:c r="D2558" s="73" t="n">
        <x:v>0.9999</x:v>
      </x:c>
      <x:c r="E2558" s="73" t="n">
        <x:v>1.5349</x:v>
      </x:c>
      <x:c r="F2558" s="73" t="n">
        <x:v>1.6653</x:v>
      </x:c>
      <x:c r="G2558" s="74" t="n">
        <x:v>-0.0001</x:v>
      </x:c>
      <x:c r="H2558" s="66" t="str">
        <x:v>祁腾蜂赢1号净值20260911.xlsx</x:v>
      </x:c>
      <x:c r="I2558" s="73" t="str">
        <x:f>""</x:f>
      </x:c>
      <x:c r="J2558" s="74" t="str">
        <x:f>""</x:f>
      </x:c>
      <x:c r="K2558" s="73" t="str">
        <x:f>""</x:f>
      </x:c>
      <x:c r="L2558" s="74" t="str">
        <x:f>""</x:f>
      </x:c>
      <x:c r="M2558" s="73" t="n">
        <x:f>MAX(M2557,F2558)</x:f>
        <x:v>1.6656</x:v>
      </x:c>
      <x:c r="N2558" s="74" t="n">
        <x:f>1-F2558/M2558</x:f>
        <x:v>0.0001801152737751499</x:v>
      </x:c>
    </x:row>
    <x:row r="2559" ht="27" customHeight="1">
      <x:c r="A2559" s="66" t="str">
        <x:v>SEV580</x:v>
      </x:c>
      <x:c r="B2559" s="66" t="str">
        <x:v>祁腾蜂赢1号</x:v>
      </x:c>
      <x:c r="C2559" s="72" t="n">
        <x:v>44739</x:v>
      </x:c>
      <x:c r="D2559" s="73" t="n">
        <x:v>0.9998</x:v>
      </x:c>
      <x:c r="E2559" s="73" t="n">
        <x:v>1.5348</x:v>
      </x:c>
      <x:c r="F2559" s="73" t="n">
        <x:v>1.6651</x:v>
      </x:c>
      <x:c r="G2559" s="74" t="n">
        <x:v>-0.0001</x:v>
      </x:c>
      <x:c r="H2559" s="66" t="str">
        <x:v>祁腾蜂赢1号净值20260911.xlsx</x:v>
      </x:c>
      <x:c r="I2559" s="73" t="str">
        <x:f>""</x:f>
      </x:c>
      <x:c r="J2559" s="74" t="str">
        <x:f>""</x:f>
      </x:c>
      <x:c r="K2559" s="73" t="str">
        <x:f>""</x:f>
      </x:c>
      <x:c r="L2559" s="74" t="str">
        <x:f>""</x:f>
      </x:c>
      <x:c r="M2559" s="73" t="n">
        <x:f>MAX(M2558,F2559)</x:f>
        <x:v>1.6656</x:v>
      </x:c>
      <x:c r="N2559" s="74" t="n">
        <x:f>1-F2559/M2559</x:f>
        <x:v>0.0003001921229586202</x:v>
      </x:c>
    </x:row>
    <x:row r="2560" ht="27" customHeight="1">
      <x:c r="A2560" s="66" t="str">
        <x:v>SEV580</x:v>
      </x:c>
      <x:c r="B2560" s="66" t="str">
        <x:v>祁腾蜂赢1号</x:v>
      </x:c>
      <x:c r="C2560" s="72" t="n">
        <x:v>44740</x:v>
      </x:c>
      <x:c r="D2560" s="73" t="n">
        <x:v>0.9998</x:v>
      </x:c>
      <x:c r="E2560" s="73" t="n">
        <x:v>1.5348</x:v>
      </x:c>
      <x:c r="F2560" s="73" t="n">
        <x:v>1.6651</x:v>
      </x:c>
      <x:c r="G2560" s="74" t="n">
        <x:v>0</x:v>
      </x:c>
      <x:c r="H2560" s="66" t="str">
        <x:v>祁腾蜂赢1号净值20260911.xlsx</x:v>
      </x:c>
      <x:c r="I2560" s="73" t="str">
        <x:f>""</x:f>
      </x:c>
      <x:c r="J2560" s="74" t="str">
        <x:f>""</x:f>
      </x:c>
      <x:c r="K2560" s="73" t="str">
        <x:f>""</x:f>
      </x:c>
      <x:c r="L2560" s="74" t="str">
        <x:f>""</x:f>
      </x:c>
      <x:c r="M2560" s="73" t="n">
        <x:f>MAX(M2559,F2560)</x:f>
        <x:v>1.6656</x:v>
      </x:c>
      <x:c r="N2560" s="74" t="n">
        <x:f>1-F2560/M2560</x:f>
        <x:v>0.0003001921229586202</x:v>
      </x:c>
    </x:row>
    <x:row r="2561" ht="27" customHeight="1">
      <x:c r="A2561" s="66" t="str">
        <x:v>SEV580</x:v>
      </x:c>
      <x:c r="B2561" s="66" t="str">
        <x:v>祁腾蜂赢1号</x:v>
      </x:c>
      <x:c r="C2561" s="72" t="n">
        <x:v>44741</x:v>
      </x:c>
      <x:c r="D2561" s="73" t="n">
        <x:v>0.9996</x:v>
      </x:c>
      <x:c r="E2561" s="73" t="n">
        <x:v>1.5346</x:v>
      </x:c>
      <x:c r="F2561" s="73" t="n">
        <x:v>1.6648</x:v>
      </x:c>
      <x:c r="G2561" s="74" t="n">
        <x:v>-0.0002</x:v>
      </x:c>
      <x:c r="H2561" s="66" t="str">
        <x:v>祁腾蜂赢1号净值20260911.xlsx</x:v>
      </x:c>
      <x:c r="I2561" s="73" t="str">
        <x:f>""</x:f>
      </x:c>
      <x:c r="J2561" s="74" t="str">
        <x:f>""</x:f>
      </x:c>
      <x:c r="K2561" s="73" t="str">
        <x:f>""</x:f>
      </x:c>
      <x:c r="L2561" s="74" t="str">
        <x:f>""</x:f>
      </x:c>
      <x:c r="M2561" s="73" t="n">
        <x:f>MAX(M2560,F2561)</x:f>
        <x:v>1.6656</x:v>
      </x:c>
      <x:c r="N2561" s="74" t="n">
        <x:f>1-F2561/M2561</x:f>
        <x:v>0.0004803073967338811</x:v>
      </x:c>
    </x:row>
    <x:row r="2562" ht="27" customHeight="1">
      <x:c r="A2562" s="66" t="str">
        <x:v>SEV580</x:v>
      </x:c>
      <x:c r="B2562" s="66" t="str">
        <x:v>祁腾蜂赢1号</x:v>
      </x:c>
      <x:c r="C2562" s="72" t="n">
        <x:v>44742</x:v>
      </x:c>
      <x:c r="D2562" s="73" t="n">
        <x:v>0.9998</x:v>
      </x:c>
      <x:c r="E2562" s="73" t="n">
        <x:v>1.5348</x:v>
      </x:c>
      <x:c r="F2562" s="73" t="n">
        <x:v>1.6651</x:v>
      </x:c>
      <x:c r="G2562" s="74" t="n">
        <x:v>0.0002</x:v>
      </x:c>
      <x:c r="H2562" s="66" t="str">
        <x:v>祁腾蜂赢1号净值20260911.xlsx</x:v>
      </x:c>
      <x:c r="I2562" s="73" t="str">
        <x:f>""</x:f>
      </x:c>
      <x:c r="J2562" s="74" t="str">
        <x:f>""</x:f>
      </x:c>
      <x:c r="K2562" s="73" t="str">
        <x:f>""</x:f>
      </x:c>
      <x:c r="L2562" s="74" t="str">
        <x:f>""</x:f>
      </x:c>
      <x:c r="M2562" s="73" t="n">
        <x:f>MAX(M2561,F2562)</x:f>
        <x:v>1.6656</x:v>
      </x:c>
      <x:c r="N2562" s="74" t="n">
        <x:f>1-F2562/M2562</x:f>
        <x:v>0.0003001921229586202</x:v>
      </x:c>
    </x:row>
    <x:row r="2563" ht="27" customHeight="1">
      <x:c r="A2563" s="66" t="str">
        <x:v>SEV580</x:v>
      </x:c>
      <x:c r="B2563" s="66" t="str">
        <x:v>祁腾蜂赢1号</x:v>
      </x:c>
      <x:c r="C2563" s="72" t="n">
        <x:v>44743</x:v>
      </x:c>
      <x:c r="D2563" s="73" t="n">
        <x:v>0.9997</x:v>
      </x:c>
      <x:c r="E2563" s="73" t="n">
        <x:v>1.5347</x:v>
      </x:c>
      <x:c r="F2563" s="73" t="n">
        <x:v>1.665</x:v>
      </x:c>
      <x:c r="G2563" s="74" t="n">
        <x:v>-0.0001</x:v>
      </x:c>
      <x:c r="H2563" s="66" t="str">
        <x:v>祁腾蜂赢1号净值20260911.xlsx</x:v>
      </x:c>
      <x:c r="I2563" s="73" t="str">
        <x:f>""</x:f>
      </x:c>
      <x:c r="J2563" s="74" t="str">
        <x:f>""</x:f>
      </x:c>
      <x:c r="K2563" s="73" t="str">
        <x:f>""</x:f>
      </x:c>
      <x:c r="L2563" s="74" t="str">
        <x:f>""</x:f>
      </x:c>
      <x:c r="M2563" s="73" t="n">
        <x:f>MAX(M2562,F2563)</x:f>
        <x:v>1.6656</x:v>
      </x:c>
      <x:c r="N2563" s="74" t="n">
        <x:f>1-F2563/M2563</x:f>
        <x:v>0.00036023054755041084</x:v>
      </x:c>
    </x:row>
    <x:row r="2564" ht="27" customHeight="1">
      <x:c r="A2564" s="66" t="str">
        <x:v>SEV580</x:v>
      </x:c>
      <x:c r="B2564" s="66" t="str">
        <x:v>祁腾蜂赢1号</x:v>
      </x:c>
      <x:c r="C2564" s="72" t="n">
        <x:v>44746</x:v>
      </x:c>
      <x:c r="D2564" s="73" t="n">
        <x:v>0.9996</x:v>
      </x:c>
      <x:c r="E2564" s="73" t="n">
        <x:v>1.5346</x:v>
      </x:c>
      <x:c r="F2564" s="73" t="n">
        <x:v>1.6648</x:v>
      </x:c>
      <x:c r="G2564" s="74" t="n">
        <x:v>-0.0001</x:v>
      </x:c>
      <x:c r="H2564" s="66" t="str">
        <x:v>祁腾蜂赢1号净值20260911.xlsx</x:v>
      </x:c>
      <x:c r="I2564" s="73" t="str">
        <x:f>""</x:f>
      </x:c>
      <x:c r="J2564" s="74" t="str">
        <x:f>""</x:f>
      </x:c>
      <x:c r="K2564" s="73" t="str">
        <x:f>""</x:f>
      </x:c>
      <x:c r="L2564" s="74" t="str">
        <x:f>""</x:f>
      </x:c>
      <x:c r="M2564" s="73" t="n">
        <x:f>MAX(M2563,F2564)</x:f>
        <x:v>1.6656</x:v>
      </x:c>
      <x:c r="N2564" s="74" t="n">
        <x:f>1-F2564/M2564</x:f>
        <x:v>0.0004803073967338811</x:v>
      </x:c>
    </x:row>
    <x:row r="2565" ht="27" customHeight="1">
      <x:c r="A2565" s="66" t="str">
        <x:v>SEV580</x:v>
      </x:c>
      <x:c r="B2565" s="66" t="str">
        <x:v>祁腾蜂赢1号</x:v>
      </x:c>
      <x:c r="C2565" s="72" t="n">
        <x:v>44747</x:v>
      </x:c>
      <x:c r="D2565" s="73" t="n">
        <x:v>0.9998</x:v>
      </x:c>
      <x:c r="E2565" s="73" t="n">
        <x:v>1.5348</x:v>
      </x:c>
      <x:c r="F2565" s="73" t="n">
        <x:v>1.6651</x:v>
      </x:c>
      <x:c r="G2565" s="74" t="n">
        <x:v>0.0002</x:v>
      </x:c>
      <x:c r="H2565" s="66" t="str">
        <x:v>祁腾蜂赢1号净值20260911.xlsx</x:v>
      </x:c>
      <x:c r="I2565" s="73" t="str">
        <x:f>""</x:f>
      </x:c>
      <x:c r="J2565" s="74" t="str">
        <x:f>""</x:f>
      </x:c>
      <x:c r="K2565" s="73" t="str">
        <x:f>""</x:f>
      </x:c>
      <x:c r="L2565" s="74" t="str">
        <x:f>""</x:f>
      </x:c>
      <x:c r="M2565" s="73" t="n">
        <x:f>MAX(M2564,F2565)</x:f>
        <x:v>1.6656</x:v>
      </x:c>
      <x:c r="N2565" s="74" t="n">
        <x:f>1-F2565/M2565</x:f>
        <x:v>0.0003001921229586202</x:v>
      </x:c>
    </x:row>
    <x:row r="2566" ht="27" customHeight="1">
      <x:c r="A2566" s="66" t="str">
        <x:v>SEV580</x:v>
      </x:c>
      <x:c r="B2566" s="66" t="str">
        <x:v>祁腾蜂赢1号</x:v>
      </x:c>
      <x:c r="C2566" s="72" t="n">
        <x:v>44748</x:v>
      </x:c>
      <x:c r="D2566" s="73" t="n">
        <x:v>1</x:v>
      </x:c>
      <x:c r="E2566" s="73" t="n">
        <x:v>1.535</x:v>
      </x:c>
      <x:c r="F2566" s="73" t="n">
        <x:v>1.6655</x:v>
      </x:c>
      <x:c r="G2566" s="74" t="n">
        <x:v>0.0002</x:v>
      </x:c>
      <x:c r="H2566" s="66" t="str">
        <x:v>祁腾蜂赢1号净值20260911.xlsx</x:v>
      </x:c>
      <x:c r="I2566" s="73" t="str">
        <x:f>""</x:f>
      </x:c>
      <x:c r="J2566" s="74" t="str">
        <x:f>""</x:f>
      </x:c>
      <x:c r="K2566" s="73" t="str">
        <x:f>""</x:f>
      </x:c>
      <x:c r="L2566" s="74" t="str">
        <x:f>""</x:f>
      </x:c>
      <x:c r="M2566" s="73" t="n">
        <x:f>MAX(M2565,F2566)</x:f>
        <x:v>1.6656</x:v>
      </x:c>
      <x:c r="N2566" s="74" t="n">
        <x:f>1-F2566/M2566</x:f>
        <x:v>0.00006003842459167963</x:v>
      </x:c>
    </x:row>
    <x:row r="2567" ht="27" customHeight="1">
      <x:c r="A2567" s="66" t="str">
        <x:v>SEV580</x:v>
      </x:c>
      <x:c r="B2567" s="66" t="str">
        <x:v>祁腾蜂赢1号</x:v>
      </x:c>
      <x:c r="C2567" s="72" t="n">
        <x:v>44749</x:v>
      </x:c>
      <x:c r="D2567" s="73" t="n">
        <x:v>0.9995</x:v>
      </x:c>
      <x:c r="E2567" s="73" t="n">
        <x:v>1.5345</x:v>
      </x:c>
      <x:c r="F2567" s="73" t="n">
        <x:v>1.6646</x:v>
      </x:c>
      <x:c r="G2567" s="74" t="n">
        <x:v>-0.0005</x:v>
      </x:c>
      <x:c r="H2567" s="66" t="str">
        <x:v>祁腾蜂赢1号净值20260911.xlsx</x:v>
      </x:c>
      <x:c r="I2567" s="73" t="str">
        <x:f>""</x:f>
      </x:c>
      <x:c r="J2567" s="74" t="str">
        <x:f>""</x:f>
      </x:c>
      <x:c r="K2567" s="73" t="str">
        <x:f>""</x:f>
      </x:c>
      <x:c r="L2567" s="74" t="str">
        <x:f>""</x:f>
      </x:c>
      <x:c r="M2567" s="73" t="n">
        <x:f>MAX(M2566,F2567)</x:f>
        <x:v>1.6656</x:v>
      </x:c>
      <x:c r="N2567" s="74" t="n">
        <x:f>1-F2567/M2567</x:f>
        <x:v>0.0006003842459173514</x:v>
      </x:c>
    </x:row>
    <x:row r="2568" ht="27" customHeight="1">
      <x:c r="A2568" s="66" t="str">
        <x:v>SEV580</x:v>
      </x:c>
      <x:c r="B2568" s="66" t="str">
        <x:v>祁腾蜂赢1号</x:v>
      </x:c>
      <x:c r="C2568" s="72" t="n">
        <x:v>44750</x:v>
      </x:c>
      <x:c r="D2568" s="73" t="n">
        <x:v>0.9995</x:v>
      </x:c>
      <x:c r="E2568" s="73" t="n">
        <x:v>1.5345</x:v>
      </x:c>
      <x:c r="F2568" s="73" t="n">
        <x:v>1.6646</x:v>
      </x:c>
      <x:c r="G2568" s="74" t="n">
        <x:v>0</x:v>
      </x:c>
      <x:c r="H2568" s="66" t="str">
        <x:v>祁腾蜂赢1号净值20260911.xlsx</x:v>
      </x:c>
      <x:c r="I2568" s="73" t="str">
        <x:f>""</x:f>
      </x:c>
      <x:c r="J2568" s="74" t="str">
        <x:f>""</x:f>
      </x:c>
      <x:c r="K2568" s="73" t="str">
        <x:f>""</x:f>
      </x:c>
      <x:c r="L2568" s="74" t="str">
        <x:f>""</x:f>
      </x:c>
      <x:c r="M2568" s="73" t="n">
        <x:f>MAX(M2567,F2568)</x:f>
        <x:v>1.6656</x:v>
      </x:c>
      <x:c r="N2568" s="74" t="n">
        <x:f>1-F2568/M2568</x:f>
        <x:v>0.0006003842459173514</x:v>
      </x:c>
    </x:row>
    <x:row r="2569" ht="27" customHeight="1">
      <x:c r="A2569" s="66" t="str">
        <x:v>SEV580</x:v>
      </x:c>
      <x:c r="B2569" s="66" t="str">
        <x:v>祁腾蜂赢1号</x:v>
      </x:c>
      <x:c r="C2569" s="72" t="n">
        <x:v>44753</x:v>
      </x:c>
      <x:c r="D2569" s="73" t="n">
        <x:v>0.9994</x:v>
      </x:c>
      <x:c r="E2569" s="73" t="n">
        <x:v>1.5344</x:v>
      </x:c>
      <x:c r="F2569" s="73" t="n">
        <x:v>1.6645</x:v>
      </x:c>
      <x:c r="G2569" s="74" t="n">
        <x:v>-0.0001</x:v>
      </x:c>
      <x:c r="H2569" s="66" t="str">
        <x:v>祁腾蜂赢1号净值20260911.xlsx</x:v>
      </x:c>
      <x:c r="I2569" s="73" t="str">
        <x:f>""</x:f>
      </x:c>
      <x:c r="J2569" s="74" t="str">
        <x:f>""</x:f>
      </x:c>
      <x:c r="K2569" s="73" t="str">
        <x:f>""</x:f>
      </x:c>
      <x:c r="L2569" s="74" t="str">
        <x:f>""</x:f>
      </x:c>
      <x:c r="M2569" s="73" t="n">
        <x:f>MAX(M2568,F2569)</x:f>
        <x:v>1.6656</x:v>
      </x:c>
      <x:c r="N2569" s="74" t="n">
        <x:f>1-F2569/M2569</x:f>
        <x:v>0.000660422670509031</x:v>
      </x:c>
    </x:row>
    <x:row r="2570" ht="27" customHeight="1">
      <x:c r="A2570" s="66" t="str">
        <x:v>SEV580</x:v>
      </x:c>
      <x:c r="B2570" s="66" t="str">
        <x:v>祁腾蜂赢1号</x:v>
      </x:c>
      <x:c r="C2570" s="72" t="n">
        <x:v>44754</x:v>
      </x:c>
      <x:c r="D2570" s="73" t="n">
        <x:v>1.0003</x:v>
      </x:c>
      <x:c r="E2570" s="73" t="n">
        <x:v>1.5353</x:v>
      </x:c>
      <x:c r="F2570" s="73" t="n">
        <x:v>1.666</x:v>
      </x:c>
      <x:c r="G2570" s="74" t="n">
        <x:v>0.0009</x:v>
      </x:c>
      <x:c r="H2570" s="66" t="str">
        <x:v>祁腾蜂赢1号净值20260911.xlsx</x:v>
      </x:c>
      <x:c r="I2570" s="73" t="str">
        <x:f>""</x:f>
      </x:c>
      <x:c r="J2570" s="74" t="str">
        <x:f>""</x:f>
      </x:c>
      <x:c r="K2570" s="73" t="str">
        <x:f>""</x:f>
      </x:c>
      <x:c r="L2570" s="74" t="str">
        <x:f>""</x:f>
      </x:c>
      <x:c r="M2570" s="73" t="n">
        <x:f>MAX(M2569,F2570)</x:f>
        <x:v>1.666</x:v>
      </x:c>
      <x:c r="N2570" s="74" t="n">
        <x:f>1-F2570/M2570</x:f>
        <x:v>0</x:v>
      </x:c>
    </x:row>
    <x:row r="2571" ht="27" customHeight="1">
      <x:c r="A2571" s="66" t="str">
        <x:v>SEV580</x:v>
      </x:c>
      <x:c r="B2571" s="66" t="str">
        <x:v>祁腾蜂赢1号</x:v>
      </x:c>
      <x:c r="C2571" s="72" t="n">
        <x:v>44755</x:v>
      </x:c>
      <x:c r="D2571" s="73" t="n">
        <x:v>1.0009</x:v>
      </x:c>
      <x:c r="E2571" s="73" t="n">
        <x:v>1.5359</x:v>
      </x:c>
      <x:c r="F2571" s="73" t="n">
        <x:v>1.667</x:v>
      </x:c>
      <x:c r="G2571" s="74" t="n">
        <x:v>0.0006</x:v>
      </x:c>
      <x:c r="H2571" s="66" t="str">
        <x:v>祁腾蜂赢1号净值20260911.xlsx</x:v>
      </x:c>
      <x:c r="I2571" s="73" t="str">
        <x:f>""</x:f>
      </x:c>
      <x:c r="J2571" s="74" t="str">
        <x:f>""</x:f>
      </x:c>
      <x:c r="K2571" s="73" t="str">
        <x:f>""</x:f>
      </x:c>
      <x:c r="L2571" s="74" t="str">
        <x:f>""</x:f>
      </x:c>
      <x:c r="M2571" s="73" t="n">
        <x:f>MAX(M2570,F2571)</x:f>
        <x:v>1.667</x:v>
      </x:c>
      <x:c r="N2571" s="74" t="n">
        <x:f>1-F2571/M2571</x:f>
        <x:v>0</x:v>
      </x:c>
    </x:row>
    <x:row r="2572" ht="27" customHeight="1">
      <x:c r="A2572" s="66" t="str">
        <x:v>SEV580</x:v>
      </x:c>
      <x:c r="B2572" s="66" t="str">
        <x:v>祁腾蜂赢1号</x:v>
      </x:c>
      <x:c r="C2572" s="72" t="n">
        <x:v>44756</x:v>
      </x:c>
      <x:c r="D2572" s="73" t="n">
        <x:v>1.0006</x:v>
      </x:c>
      <x:c r="E2572" s="73" t="n">
        <x:v>1.5356</x:v>
      </x:c>
      <x:c r="F2572" s="73" t="n">
        <x:v>1.6665</x:v>
      </x:c>
      <x:c r="G2572" s="74" t="n">
        <x:v>-0.0003</x:v>
      </x:c>
      <x:c r="H2572" s="66" t="str">
        <x:v>祁腾蜂赢1号净值20260911.xlsx</x:v>
      </x:c>
      <x:c r="I2572" s="73" t="str">
        <x:f>""</x:f>
      </x:c>
      <x:c r="J2572" s="74" t="str">
        <x:f>""</x:f>
      </x:c>
      <x:c r="K2572" s="73" t="str">
        <x:f>""</x:f>
      </x:c>
      <x:c r="L2572" s="74" t="str">
        <x:f>""</x:f>
      </x:c>
      <x:c r="M2572" s="73" t="n">
        <x:f>MAX(M2571,F2572)</x:f>
        <x:v>1.667</x:v>
      </x:c>
      <x:c r="N2572" s="74" t="n">
        <x:f>1-F2572/M2572</x:f>
        <x:v>0.00029994001199751263</x:v>
      </x:c>
    </x:row>
    <x:row r="2573" ht="27" customHeight="1">
      <x:c r="A2573" s="66" t="str">
        <x:v>SEV580</x:v>
      </x:c>
      <x:c r="B2573" s="66" t="str">
        <x:v>祁腾蜂赢1号</x:v>
      </x:c>
      <x:c r="C2573" s="72" t="n">
        <x:v>44757</x:v>
      </x:c>
      <x:c r="D2573" s="73" t="n">
        <x:v>1.0014</x:v>
      </x:c>
      <x:c r="E2573" s="73" t="n">
        <x:v>1.5364</x:v>
      </x:c>
      <x:c r="F2573" s="73" t="n">
        <x:v>1.6678</x:v>
      </x:c>
      <x:c r="G2573" s="74" t="n">
        <x:v>0.0008</x:v>
      </x:c>
      <x:c r="H2573" s="66" t="str">
        <x:v>祁腾蜂赢1号净值20260911.xlsx</x:v>
      </x:c>
      <x:c r="I2573" s="73" t="str">
        <x:f>""</x:f>
      </x:c>
      <x:c r="J2573" s="74" t="str">
        <x:f>""</x:f>
      </x:c>
      <x:c r="K2573" s="73" t="str">
        <x:f>""</x:f>
      </x:c>
      <x:c r="L2573" s="74" t="str">
        <x:f>""</x:f>
      </x:c>
      <x:c r="M2573" s="73" t="n">
        <x:f>MAX(M2572,F2573)</x:f>
        <x:v>1.6678</x:v>
      </x:c>
      <x:c r="N2573" s="74" t="n">
        <x:f>1-F2573/M2573</x:f>
        <x:v>0</x:v>
      </x:c>
    </x:row>
    <x:row r="2574" ht="27" customHeight="1">
      <x:c r="A2574" s="66" t="str">
        <x:v>SEV580</x:v>
      </x:c>
      <x:c r="B2574" s="66" t="str">
        <x:v>祁腾蜂赢1号</x:v>
      </x:c>
      <x:c r="C2574" s="72" t="n">
        <x:v>44760</x:v>
      </x:c>
      <x:c r="D2574" s="73" t="n">
        <x:v>1.0013</x:v>
      </x:c>
      <x:c r="E2574" s="73" t="n">
        <x:v>1.5363</x:v>
      </x:c>
      <x:c r="F2574" s="73" t="n">
        <x:v>1.6676</x:v>
      </x:c>
      <x:c r="G2574" s="74" t="n">
        <x:v>-0.0001</x:v>
      </x:c>
      <x:c r="H2574" s="66" t="str">
        <x:v>祁腾蜂赢1号净值20260911.xlsx</x:v>
      </x:c>
      <x:c r="I2574" s="73" t="str">
        <x:f>""</x:f>
      </x:c>
      <x:c r="J2574" s="74" t="str">
        <x:f>""</x:f>
      </x:c>
      <x:c r="K2574" s="73" t="str">
        <x:f>""</x:f>
      </x:c>
      <x:c r="L2574" s="74" t="str">
        <x:f>""</x:f>
      </x:c>
      <x:c r="M2574" s="73" t="n">
        <x:f>MAX(M2573,F2574)</x:f>
        <x:v>1.6678</x:v>
      </x:c>
      <x:c r="N2574" s="74" t="n">
        <x:f>1-F2574/M2574</x:f>
        <x:v>0.00011991845545022972</x:v>
      </x:c>
    </x:row>
    <x:row r="2575" ht="27" customHeight="1">
      <x:c r="A2575" s="66" t="str">
        <x:v>SEV580</x:v>
      </x:c>
      <x:c r="B2575" s="66" t="str">
        <x:v>祁腾蜂赢1号</x:v>
      </x:c>
      <x:c r="C2575" s="72" t="n">
        <x:v>44761</x:v>
      </x:c>
      <x:c r="D2575" s="73" t="n">
        <x:v>1.0013</x:v>
      </x:c>
      <x:c r="E2575" s="73" t="n">
        <x:v>1.5363</x:v>
      </x:c>
      <x:c r="F2575" s="73" t="n">
        <x:v>1.6676</x:v>
      </x:c>
      <x:c r="G2575" s="74" t="n">
        <x:v>0</x:v>
      </x:c>
      <x:c r="H2575" s="66" t="str">
        <x:v>祁腾蜂赢1号净值20260911.xlsx</x:v>
      </x:c>
      <x:c r="I2575" s="73" t="str">
        <x:f>""</x:f>
      </x:c>
      <x:c r="J2575" s="74" t="str">
        <x:f>""</x:f>
      </x:c>
      <x:c r="K2575" s="73" t="str">
        <x:f>""</x:f>
      </x:c>
      <x:c r="L2575" s="74" t="str">
        <x:f>""</x:f>
      </x:c>
      <x:c r="M2575" s="73" t="n">
        <x:f>MAX(M2574,F2575)</x:f>
        <x:v>1.6678</x:v>
      </x:c>
      <x:c r="N2575" s="74" t="n">
        <x:f>1-F2575/M2575</x:f>
        <x:v>0.00011991845545022972</x:v>
      </x:c>
    </x:row>
    <x:row r="2576" ht="27" customHeight="1">
      <x:c r="A2576" s="66" t="str">
        <x:v>SEV580</x:v>
      </x:c>
      <x:c r="B2576" s="66" t="str">
        <x:v>祁腾蜂赢1号</x:v>
      </x:c>
      <x:c r="C2576" s="72" t="n">
        <x:v>44762</x:v>
      </x:c>
      <x:c r="D2576" s="73" t="n">
        <x:v>1.001</x:v>
      </x:c>
      <x:c r="E2576" s="73" t="n">
        <x:v>1.536</x:v>
      </x:c>
      <x:c r="F2576" s="73" t="n">
        <x:v>1.6671</x:v>
      </x:c>
      <x:c r="G2576" s="74" t="n">
        <x:v>-0.0003</x:v>
      </x:c>
      <x:c r="H2576" s="66" t="str">
        <x:v>祁腾蜂赢1号净值20260911.xlsx</x:v>
      </x:c>
      <x:c r="I2576" s="73" t="str">
        <x:f>""</x:f>
      </x:c>
      <x:c r="J2576" s="74" t="str">
        <x:f>""</x:f>
      </x:c>
      <x:c r="K2576" s="73" t="str">
        <x:f>""</x:f>
      </x:c>
      <x:c r="L2576" s="74" t="str">
        <x:f>""</x:f>
      </x:c>
      <x:c r="M2576" s="73" t="n">
        <x:f>MAX(M2575,F2576)</x:f>
        <x:v>1.6678</x:v>
      </x:c>
      <x:c r="N2576" s="74" t="n">
        <x:f>1-F2576/M2576</x:f>
        <x:v>0.00041971459407597056</x:v>
      </x:c>
    </x:row>
    <x:row r="2577" ht="27" customHeight="1">
      <x:c r="A2577" s="66" t="str">
        <x:v>SEV580</x:v>
      </x:c>
      <x:c r="B2577" s="66" t="str">
        <x:v>祁腾蜂赢1号</x:v>
      </x:c>
      <x:c r="C2577" s="72" t="n">
        <x:v>44763</x:v>
      </x:c>
      <x:c r="D2577" s="73" t="n">
        <x:v>1.0009</x:v>
      </x:c>
      <x:c r="E2577" s="73" t="n">
        <x:v>1.5359</x:v>
      </x:c>
      <x:c r="F2577" s="73" t="n">
        <x:v>1.667</x:v>
      </x:c>
      <x:c r="G2577" s="74" t="n">
        <x:v>-0.0001</x:v>
      </x:c>
      <x:c r="H2577" s="66" t="str">
        <x:v>祁腾蜂赢1号净值20260911.xlsx</x:v>
      </x:c>
      <x:c r="I2577" s="73" t="str">
        <x:f>""</x:f>
      </x:c>
      <x:c r="J2577" s="74" t="str">
        <x:f>""</x:f>
      </x:c>
      <x:c r="K2577" s="73" t="str">
        <x:f>""</x:f>
      </x:c>
      <x:c r="L2577" s="74" t="str">
        <x:f>""</x:f>
      </x:c>
      <x:c r="M2577" s="73" t="n">
        <x:f>MAX(M2576,F2577)</x:f>
        <x:v>1.6678</x:v>
      </x:c>
      <x:c r="N2577" s="74" t="n">
        <x:f>1-F2577/M2577</x:f>
        <x:v>0.00047967382180114093</x:v>
      </x:c>
    </x:row>
    <x:row r="2578" ht="27" customHeight="1">
      <x:c r="A2578" s="66" t="str">
        <x:v>SEV580</x:v>
      </x:c>
      <x:c r="B2578" s="66" t="str">
        <x:v>祁腾蜂赢1号</x:v>
      </x:c>
      <x:c r="C2578" s="72" t="n">
        <x:v>44764</x:v>
      </x:c>
      <x:c r="D2578" s="73" t="n">
        <x:v>1.002</x:v>
      </x:c>
      <x:c r="E2578" s="73" t="n">
        <x:v>1.537</x:v>
      </x:c>
      <x:c r="F2578" s="73" t="n">
        <x:v>1.6688</x:v>
      </x:c>
      <x:c r="G2578" s="74" t="n">
        <x:v>0.0011</x:v>
      </x:c>
      <x:c r="H2578" s="66" t="str">
        <x:v>祁腾蜂赢1号净值20260911.xlsx</x:v>
      </x:c>
      <x:c r="I2578" s="73" t="str">
        <x:f>""</x:f>
      </x:c>
      <x:c r="J2578" s="74" t="str">
        <x:f>""</x:f>
      </x:c>
      <x:c r="K2578" s="73" t="str">
        <x:f>""</x:f>
      </x:c>
      <x:c r="L2578" s="74" t="str">
        <x:f>""</x:f>
      </x:c>
      <x:c r="M2578" s="73" t="n">
        <x:f>MAX(M2577,F2578)</x:f>
        <x:v>1.6688</x:v>
      </x:c>
      <x:c r="N2578" s="74" t="n">
        <x:f>1-F2578/M2578</x:f>
        <x:v>0</x:v>
      </x:c>
    </x:row>
    <x:row r="2579" ht="27" customHeight="1">
      <x:c r="A2579" s="66" t="str">
        <x:v>SEV580</x:v>
      </x:c>
      <x:c r="B2579" s="66" t="str">
        <x:v>祁腾蜂赢1号</x:v>
      </x:c>
      <x:c r="C2579" s="72" t="n">
        <x:v>44767</x:v>
      </x:c>
      <x:c r="D2579" s="73" t="n">
        <x:v>1.0021</x:v>
      </x:c>
      <x:c r="E2579" s="73" t="n">
        <x:v>1.5371</x:v>
      </x:c>
      <x:c r="F2579" s="73" t="n">
        <x:v>1.669</x:v>
      </x:c>
      <x:c r="G2579" s="74" t="n">
        <x:v>0.0001</x:v>
      </x:c>
      <x:c r="H2579" s="66" t="str">
        <x:v>祁腾蜂赢1号净值20260911.xlsx</x:v>
      </x:c>
      <x:c r="I2579" s="73" t="str">
        <x:f>""</x:f>
      </x:c>
      <x:c r="J2579" s="74" t="str">
        <x:f>""</x:f>
      </x:c>
      <x:c r="K2579" s="73" t="str">
        <x:f>""</x:f>
      </x:c>
      <x:c r="L2579" s="74" t="str">
        <x:f>""</x:f>
      </x:c>
      <x:c r="M2579" s="73" t="n">
        <x:f>MAX(M2578,F2579)</x:f>
        <x:v>1.669</x:v>
      </x:c>
      <x:c r="N2579" s="74" t="n">
        <x:f>1-F2579/M2579</x:f>
        <x:v>0</x:v>
      </x:c>
    </x:row>
    <x:row r="2580" ht="27" customHeight="1">
      <x:c r="A2580" s="66" t="str">
        <x:v>SEV580</x:v>
      </x:c>
      <x:c r="B2580" s="66" t="str">
        <x:v>祁腾蜂赢1号</x:v>
      </x:c>
      <x:c r="C2580" s="72" t="n">
        <x:v>44768</x:v>
      </x:c>
      <x:c r="D2580" s="73" t="n">
        <x:v>1.002</x:v>
      </x:c>
      <x:c r="E2580" s="73" t="n">
        <x:v>1.537</x:v>
      </x:c>
      <x:c r="F2580" s="73" t="n">
        <x:v>1.6688</x:v>
      </x:c>
      <x:c r="G2580" s="74" t="n">
        <x:v>-0.0001</x:v>
      </x:c>
      <x:c r="H2580" s="66" t="str">
        <x:v>祁腾蜂赢1号净值20260911.xlsx</x:v>
      </x:c>
      <x:c r="I2580" s="73" t="str">
        <x:f>""</x:f>
      </x:c>
      <x:c r="J2580" s="74" t="str">
        <x:f>""</x:f>
      </x:c>
      <x:c r="K2580" s="73" t="str">
        <x:f>""</x:f>
      </x:c>
      <x:c r="L2580" s="74" t="str">
        <x:f>""</x:f>
      </x:c>
      <x:c r="M2580" s="73" t="n">
        <x:f>MAX(M2579,F2580)</x:f>
        <x:v>1.669</x:v>
      </x:c>
      <x:c r="N2580" s="74" t="n">
        <x:f>1-F2580/M2580</x:f>
        <x:v>0.00011983223487121997</x:v>
      </x:c>
    </x:row>
    <x:row r="2581" ht="27" customHeight="1">
      <x:c r="A2581" s="66" t="str">
        <x:v>SEV580</x:v>
      </x:c>
      <x:c r="B2581" s="66" t="str">
        <x:v>祁腾蜂赢1号</x:v>
      </x:c>
      <x:c r="C2581" s="72" t="n">
        <x:v>44769</x:v>
      </x:c>
      <x:c r="D2581" s="73" t="n">
        <x:v>1.0016</x:v>
      </x:c>
      <x:c r="E2581" s="73" t="n">
        <x:v>1.5366</x:v>
      </x:c>
      <x:c r="F2581" s="73" t="n">
        <x:v>1.6681</x:v>
      </x:c>
      <x:c r="G2581" s="74" t="n">
        <x:v>-0.0004</x:v>
      </x:c>
      <x:c r="H2581" s="66" t="str">
        <x:v>祁腾蜂赢1号净值20260911.xlsx</x:v>
      </x:c>
      <x:c r="I2581" s="73" t="str">
        <x:f>""</x:f>
      </x:c>
      <x:c r="J2581" s="74" t="str">
        <x:f>""</x:f>
      </x:c>
      <x:c r="K2581" s="73" t="str">
        <x:f>""</x:f>
      </x:c>
      <x:c r="L2581" s="74" t="str">
        <x:f>""</x:f>
      </x:c>
      <x:c r="M2581" s="73" t="n">
        <x:f>MAX(M2580,F2581)</x:f>
        <x:v>1.669</x:v>
      </x:c>
      <x:c r="N2581" s="74" t="n">
        <x:f>1-F2581/M2581</x:f>
        <x:v>0.0005392450569203788</x:v>
      </x:c>
    </x:row>
    <x:row r="2582" ht="27" customHeight="1">
      <x:c r="A2582" s="66" t="str">
        <x:v>SEV580</x:v>
      </x:c>
      <x:c r="B2582" s="66" t="str">
        <x:v>祁腾蜂赢1号</x:v>
      </x:c>
      <x:c r="C2582" s="72" t="n">
        <x:v>44770</x:v>
      </x:c>
      <x:c r="D2582" s="73" t="n">
        <x:v>1.002</x:v>
      </x:c>
      <x:c r="E2582" s="73" t="n">
        <x:v>1.537</x:v>
      </x:c>
      <x:c r="F2582" s="73" t="n">
        <x:v>1.6688</x:v>
      </x:c>
      <x:c r="G2582" s="74" t="n">
        <x:v>0.0004</x:v>
      </x:c>
      <x:c r="H2582" s="66" t="str">
        <x:v>祁腾蜂赢1号净值20260911.xlsx</x:v>
      </x:c>
      <x:c r="I2582" s="73" t="str">
        <x:f>""</x:f>
      </x:c>
      <x:c r="J2582" s="74" t="str">
        <x:f>""</x:f>
      </x:c>
      <x:c r="K2582" s="73" t="str">
        <x:f>""</x:f>
      </x:c>
      <x:c r="L2582" s="74" t="str">
        <x:f>""</x:f>
      </x:c>
      <x:c r="M2582" s="73" t="n">
        <x:f>MAX(M2581,F2582)</x:f>
        <x:v>1.669</x:v>
      </x:c>
      <x:c r="N2582" s="74" t="n">
        <x:f>1-F2582/M2582</x:f>
        <x:v>0.00011983223487121997</x:v>
      </x:c>
    </x:row>
    <x:row r="2583" ht="27" customHeight="1">
      <x:c r="A2583" s="66" t="str">
        <x:v>SEV580</x:v>
      </x:c>
      <x:c r="B2583" s="66" t="str">
        <x:v>祁腾蜂赢1号</x:v>
      </x:c>
      <x:c r="C2583" s="72" t="n">
        <x:v>44771</x:v>
      </x:c>
      <x:c r="D2583" s="73" t="n">
        <x:v>1.0025</x:v>
      </x:c>
      <x:c r="E2583" s="73" t="n">
        <x:v>1.5375</x:v>
      </x:c>
      <x:c r="F2583" s="73" t="n">
        <x:v>1.6696</x:v>
      </x:c>
      <x:c r="G2583" s="74" t="n">
        <x:v>0.0005</x:v>
      </x:c>
      <x:c r="H2583" s="66" t="str">
        <x:v>祁腾蜂赢1号净值20260911.xlsx</x:v>
      </x:c>
      <x:c r="I2583" s="73" t="str">
        <x:f>""</x:f>
      </x:c>
      <x:c r="J2583" s="74" t="str">
        <x:f>""</x:f>
      </x:c>
      <x:c r="K2583" s="73" t="str">
        <x:f>""</x:f>
      </x:c>
      <x:c r="L2583" s="74" t="str">
        <x:f>""</x:f>
      </x:c>
      <x:c r="M2583" s="73" t="n">
        <x:f>MAX(M2582,F2583)</x:f>
        <x:v>1.6696</x:v>
      </x:c>
      <x:c r="N2583" s="74" t="n">
        <x:f>1-F2583/M2583</x:f>
        <x:v>0</x:v>
      </x:c>
    </x:row>
    <x:row r="2584" ht="27" customHeight="1">
      <x:c r="A2584" s="66" t="str">
        <x:v>SEV580</x:v>
      </x:c>
      <x:c r="B2584" s="66" t="str">
        <x:v>祁腾蜂赢1号</x:v>
      </x:c>
      <x:c r="C2584" s="72" t="n">
        <x:v>44774</x:v>
      </x:c>
      <x:c r="D2584" s="73" t="n">
        <x:v>1.0025</x:v>
      </x:c>
      <x:c r="E2584" s="73" t="n">
        <x:v>1.5375</x:v>
      </x:c>
      <x:c r="F2584" s="73" t="n">
        <x:v>1.6696</x:v>
      </x:c>
      <x:c r="G2584" s="74" t="n">
        <x:v>0</x:v>
      </x:c>
      <x:c r="H2584" s="66" t="str">
        <x:v>祁腾蜂赢1号净值20260911.xlsx</x:v>
      </x:c>
      <x:c r="I2584" s="73" t="str">
        <x:f>""</x:f>
      </x:c>
      <x:c r="J2584" s="74" t="str">
        <x:f>""</x:f>
      </x:c>
      <x:c r="K2584" s="73" t="str">
        <x:f>""</x:f>
      </x:c>
      <x:c r="L2584" s="74" t="str">
        <x:f>""</x:f>
      </x:c>
      <x:c r="M2584" s="73" t="n">
        <x:f>MAX(M2583,F2584)</x:f>
        <x:v>1.6696</x:v>
      </x:c>
      <x:c r="N2584" s="74" t="n">
        <x:f>1-F2584/M2584</x:f>
        <x:v>0</x:v>
      </x:c>
    </x:row>
    <x:row r="2585" ht="27" customHeight="1">
      <x:c r="A2585" s="66" t="str">
        <x:v>SEV580</x:v>
      </x:c>
      <x:c r="B2585" s="66" t="str">
        <x:v>祁腾蜂赢1号</x:v>
      </x:c>
      <x:c r="C2585" s="72" t="n">
        <x:v>44775</x:v>
      </x:c>
      <x:c r="D2585" s="73" t="n">
        <x:v>1.0031</x:v>
      </x:c>
      <x:c r="E2585" s="73" t="n">
        <x:v>1.5381</x:v>
      </x:c>
      <x:c r="F2585" s="73" t="n">
        <x:v>1.6706</x:v>
      </x:c>
      <x:c r="G2585" s="74" t="n">
        <x:v>0.0006</x:v>
      </x:c>
      <x:c r="H2585" s="66" t="str">
        <x:v>祁腾蜂赢1号净值20260911.xlsx</x:v>
      </x:c>
      <x:c r="I2585" s="73" t="str">
        <x:f>""</x:f>
      </x:c>
      <x:c r="J2585" s="74" t="str">
        <x:f>""</x:f>
      </x:c>
      <x:c r="K2585" s="73" t="str">
        <x:f>""</x:f>
      </x:c>
      <x:c r="L2585" s="74" t="str">
        <x:f>""</x:f>
      </x:c>
      <x:c r="M2585" s="73" t="n">
        <x:f>MAX(M2584,F2585)</x:f>
        <x:v>1.6706</x:v>
      </x:c>
      <x:c r="N2585" s="74" t="n">
        <x:f>1-F2585/M2585</x:f>
        <x:v>0</x:v>
      </x:c>
    </x:row>
    <x:row r="2586" ht="27" customHeight="1">
      <x:c r="A2586" s="66" t="str">
        <x:v>SEV580</x:v>
      </x:c>
      <x:c r="B2586" s="66" t="str">
        <x:v>祁腾蜂赢1号</x:v>
      </x:c>
      <x:c r="C2586" s="72" t="n">
        <x:v>44776</x:v>
      </x:c>
      <x:c r="D2586" s="73" t="n">
        <x:v>1.0038</x:v>
      </x:c>
      <x:c r="E2586" s="73" t="n">
        <x:v>1.5388</x:v>
      </x:c>
      <x:c r="F2586" s="73" t="n">
        <x:v>1.6718</x:v>
      </x:c>
      <x:c r="G2586" s="74" t="n">
        <x:v>0.0007000000000000001</x:v>
      </x:c>
      <x:c r="H2586" s="66" t="str">
        <x:v>祁腾蜂赢1号净值20260911.xlsx</x:v>
      </x:c>
      <x:c r="I2586" s="73" t="str">
        <x:f>""</x:f>
      </x:c>
      <x:c r="J2586" s="74" t="str">
        <x:f>""</x:f>
      </x:c>
      <x:c r="K2586" s="73" t="str">
        <x:f>""</x:f>
      </x:c>
      <x:c r="L2586" s="74" t="str">
        <x:f>""</x:f>
      </x:c>
      <x:c r="M2586" s="73" t="n">
        <x:f>MAX(M2585,F2586)</x:f>
        <x:v>1.6718</x:v>
      </x:c>
      <x:c r="N2586" s="74" t="n">
        <x:f>1-F2586/M2586</x:f>
        <x:v>0</x:v>
      </x:c>
    </x:row>
    <x:row r="2587" ht="27" customHeight="1">
      <x:c r="A2587" s="66" t="str">
        <x:v>SEV580</x:v>
      </x:c>
      <x:c r="B2587" s="66" t="str">
        <x:v>祁腾蜂赢1号</x:v>
      </x:c>
      <x:c r="C2587" s="72" t="n">
        <x:v>44777</x:v>
      </x:c>
      <x:c r="D2587" s="73" t="n">
        <x:v>1.0035</x:v>
      </x:c>
      <x:c r="E2587" s="73" t="n">
        <x:v>1.5385</x:v>
      </x:c>
      <x:c r="F2587" s="73" t="n">
        <x:v>1.6713</x:v>
      </x:c>
      <x:c r="G2587" s="74" t="n">
        <x:v>-0.0003</x:v>
      </x:c>
      <x:c r="H2587" s="66" t="str">
        <x:v>祁腾蜂赢1号净值20260911.xlsx</x:v>
      </x:c>
      <x:c r="I2587" s="73" t="str">
        <x:f>""</x:f>
      </x:c>
      <x:c r="J2587" s="74" t="str">
        <x:f>""</x:f>
      </x:c>
      <x:c r="K2587" s="73" t="str">
        <x:f>""</x:f>
      </x:c>
      <x:c r="L2587" s="74" t="str">
        <x:f>""</x:f>
      </x:c>
      <x:c r="M2587" s="73" t="n">
        <x:f>MAX(M2586,F2587)</x:f>
        <x:v>1.6718</x:v>
      </x:c>
      <x:c r="N2587" s="74" t="n">
        <x:f>1-F2587/M2587</x:f>
        <x:v>0.00029907883718149897</x:v>
      </x:c>
    </x:row>
    <x:row r="2588" ht="27" customHeight="1">
      <x:c r="A2588" s="66" t="str">
        <x:v>SEV580</x:v>
      </x:c>
      <x:c r="B2588" s="66" t="str">
        <x:v>祁腾蜂赢1号</x:v>
      </x:c>
      <x:c r="C2588" s="72" t="n">
        <x:v>44778</x:v>
      </x:c>
      <x:c r="D2588" s="73" t="n">
        <x:v>1.003</x:v>
      </x:c>
      <x:c r="E2588" s="73" t="n">
        <x:v>1.538</x:v>
      </x:c>
      <x:c r="F2588" s="73" t="n">
        <x:v>1.6705</x:v>
      </x:c>
      <x:c r="G2588" s="74" t="n">
        <x:v>-0.0005</x:v>
      </x:c>
      <x:c r="H2588" s="66" t="str">
        <x:v>祁腾蜂赢1号净值20260911.xlsx</x:v>
      </x:c>
      <x:c r="I2588" s="73" t="str">
        <x:f>""</x:f>
      </x:c>
      <x:c r="J2588" s="74" t="str">
        <x:f>""</x:f>
      </x:c>
      <x:c r="K2588" s="73" t="str">
        <x:f>""</x:f>
      </x:c>
      <x:c r="L2588" s="74" t="str">
        <x:f>""</x:f>
      </x:c>
      <x:c r="M2588" s="73" t="n">
        <x:f>MAX(M2587,F2588)</x:f>
        <x:v>1.6718</x:v>
      </x:c>
      <x:c r="N2588" s="74" t="n">
        <x:f>1-F2588/M2588</x:f>
        <x:v>0.0007776049766717863</x:v>
      </x:c>
    </x:row>
    <x:row r="2589" ht="27" customHeight="1">
      <x:c r="A2589" s="66" t="str">
        <x:v>SEV580</x:v>
      </x:c>
      <x:c r="B2589" s="66" t="str">
        <x:v>祁腾蜂赢1号</x:v>
      </x:c>
      <x:c r="C2589" s="72" t="n">
        <x:v>44781</x:v>
      </x:c>
      <x:c r="D2589" s="73" t="n">
        <x:v>1.0034</x:v>
      </x:c>
      <x:c r="E2589" s="73" t="n">
        <x:v>1.5384</x:v>
      </x:c>
      <x:c r="F2589" s="73" t="n">
        <x:v>1.6711</x:v>
      </x:c>
      <x:c r="G2589" s="74" t="n">
        <x:v>0.0004</x:v>
      </x:c>
      <x:c r="H2589" s="66" t="str">
        <x:v>祁腾蜂赢1号净值20260911.xlsx</x:v>
      </x:c>
      <x:c r="I2589" s="73" t="str">
        <x:f>""</x:f>
      </x:c>
      <x:c r="J2589" s="74" t="str">
        <x:f>""</x:f>
      </x:c>
      <x:c r="K2589" s="73" t="str">
        <x:f>""</x:f>
      </x:c>
      <x:c r="L2589" s="74" t="str">
        <x:f>""</x:f>
      </x:c>
      <x:c r="M2589" s="73" t="n">
        <x:f>MAX(M2588,F2589)</x:f>
        <x:v>1.6718</x:v>
      </x:c>
      <x:c r="N2589" s="74" t="n">
        <x:f>1-F2589/M2589</x:f>
        <x:v>0.00041871037205398753</x:v>
      </x:c>
    </x:row>
    <x:row r="2590" ht="27" customHeight="1">
      <x:c r="A2590" s="66" t="str">
        <x:v>SEV580</x:v>
      </x:c>
      <x:c r="B2590" s="66" t="str">
        <x:v>祁腾蜂赢1号</x:v>
      </x:c>
      <x:c r="C2590" s="72" t="n">
        <x:v>44782</x:v>
      </x:c>
      <x:c r="D2590" s="73" t="n">
        <x:v>1.0045</x:v>
      </x:c>
      <x:c r="E2590" s="73" t="n">
        <x:v>1.5395</x:v>
      </x:c>
      <x:c r="F2590" s="73" t="n">
        <x:v>1.673</x:v>
      </x:c>
      <x:c r="G2590" s="74" t="n">
        <x:v>0.0011</x:v>
      </x:c>
      <x:c r="H2590" s="66" t="str">
        <x:v>祁腾蜂赢1号净值20260911.xlsx</x:v>
      </x:c>
      <x:c r="I2590" s="73" t="str">
        <x:f>""</x:f>
      </x:c>
      <x:c r="J2590" s="74" t="str">
        <x:f>""</x:f>
      </x:c>
      <x:c r="K2590" s="73" t="str">
        <x:f>""</x:f>
      </x:c>
      <x:c r="L2590" s="74" t="str">
        <x:f>""</x:f>
      </x:c>
      <x:c r="M2590" s="73" t="n">
        <x:f>MAX(M2589,F2590)</x:f>
        <x:v>1.673</x:v>
      </x:c>
      <x:c r="N2590" s="74" t="n">
        <x:f>1-F2590/M2590</x:f>
        <x:v>0</x:v>
      </x:c>
    </x:row>
    <x:row r="2591" ht="27" customHeight="1">
      <x:c r="A2591" s="66" t="str">
        <x:v>SEV580</x:v>
      </x:c>
      <x:c r="B2591" s="66" t="str">
        <x:v>祁腾蜂赢1号</x:v>
      </x:c>
      <x:c r="C2591" s="72" t="n">
        <x:v>44783</x:v>
      </x:c>
      <x:c r="D2591" s="73" t="n">
        <x:v>1.0044</x:v>
      </x:c>
      <x:c r="E2591" s="73" t="n">
        <x:v>1.5394</x:v>
      </x:c>
      <x:c r="F2591" s="73" t="n">
        <x:v>1.6728</x:v>
      </x:c>
      <x:c r="G2591" s="74" t="n">
        <x:v>-0.0001</x:v>
      </x:c>
      <x:c r="H2591" s="66" t="str">
        <x:v>祁腾蜂赢1号净值20260911.xlsx</x:v>
      </x:c>
      <x:c r="I2591" s="73" t="str">
        <x:f>""</x:f>
      </x:c>
      <x:c r="J2591" s="74" t="str">
        <x:f>""</x:f>
      </x:c>
      <x:c r="K2591" s="73" t="str">
        <x:f>""</x:f>
      </x:c>
      <x:c r="L2591" s="74" t="str">
        <x:f>""</x:f>
      </x:c>
      <x:c r="M2591" s="73" t="n">
        <x:f>MAX(M2590,F2591)</x:f>
        <x:v>1.673</x:v>
      </x:c>
      <x:c r="N2591" s="74" t="n">
        <x:f>1-F2591/M2591</x:f>
        <x:v>0.00011954572624028881</x:v>
      </x:c>
    </x:row>
    <x:row r="2592" ht="27" customHeight="1">
      <x:c r="A2592" s="66" t="str">
        <x:v>SEV580</x:v>
      </x:c>
      <x:c r="B2592" s="66" t="str">
        <x:v>祁腾蜂赢1号</x:v>
      </x:c>
      <x:c r="C2592" s="72" t="n">
        <x:v>44784</x:v>
      </x:c>
      <x:c r="D2592" s="73" t="n">
        <x:v>1.0044</x:v>
      </x:c>
      <x:c r="E2592" s="73" t="n">
        <x:v>1.5394</x:v>
      </x:c>
      <x:c r="F2592" s="73" t="n">
        <x:v>1.6728</x:v>
      </x:c>
      <x:c r="G2592" s="74" t="n">
        <x:v>0</x:v>
      </x:c>
      <x:c r="H2592" s="66" t="str">
        <x:v>祁腾蜂赢1号净值20260911.xlsx</x:v>
      </x:c>
      <x:c r="I2592" s="73" t="str">
        <x:f>""</x:f>
      </x:c>
      <x:c r="J2592" s="74" t="str">
        <x:f>""</x:f>
      </x:c>
      <x:c r="K2592" s="73" t="str">
        <x:f>""</x:f>
      </x:c>
      <x:c r="L2592" s="74" t="str">
        <x:f>""</x:f>
      </x:c>
      <x:c r="M2592" s="73" t="n">
        <x:f>MAX(M2591,F2592)</x:f>
        <x:v>1.673</x:v>
      </x:c>
      <x:c r="N2592" s="74" t="n">
        <x:f>1-F2592/M2592</x:f>
        <x:v>0.00011954572624028881</x:v>
      </x:c>
    </x:row>
    <x:row r="2593" ht="27" customHeight="1">
      <x:c r="A2593" s="66" t="str">
        <x:v>SEV580</x:v>
      </x:c>
      <x:c r="B2593" s="66" t="str">
        <x:v>祁腾蜂赢1号</x:v>
      </x:c>
      <x:c r="C2593" s="72" t="n">
        <x:v>44785</x:v>
      </x:c>
      <x:c r="D2593" s="73" t="n">
        <x:v>1.0048</x:v>
      </x:c>
      <x:c r="E2593" s="73" t="n">
        <x:v>1.5398</x:v>
      </x:c>
      <x:c r="F2593" s="73" t="n">
        <x:v>1.6735</x:v>
      </x:c>
      <x:c r="G2593" s="74" t="n">
        <x:v>0.0004</x:v>
      </x:c>
      <x:c r="H2593" s="66" t="str">
        <x:v>祁腾蜂赢1号净值20260911.xlsx</x:v>
      </x:c>
      <x:c r="I2593" s="73" t="str">
        <x:f>""</x:f>
      </x:c>
      <x:c r="J2593" s="74" t="str">
        <x:f>""</x:f>
      </x:c>
      <x:c r="K2593" s="73" t="str">
        <x:f>""</x:f>
      </x:c>
      <x:c r="L2593" s="74" t="str">
        <x:f>""</x:f>
      </x:c>
      <x:c r="M2593" s="73" t="n">
        <x:f>MAX(M2592,F2593)</x:f>
        <x:v>1.6735</x:v>
      </x:c>
      <x:c r="N2593" s="74" t="n">
        <x:f>1-F2593/M2593</x:f>
        <x:v>0</x:v>
      </x:c>
    </x:row>
    <x:row r="2594" ht="27" customHeight="1">
      <x:c r="A2594" s="66" t="str">
        <x:v>SEV580</x:v>
      </x:c>
      <x:c r="B2594" s="66" t="str">
        <x:v>祁腾蜂赢1号</x:v>
      </x:c>
      <x:c r="C2594" s="72" t="n">
        <x:v>44788</x:v>
      </x:c>
      <x:c r="D2594" s="73" t="n">
        <x:v>1.0049</x:v>
      </x:c>
      <x:c r="E2594" s="73" t="n">
        <x:v>1.5399</x:v>
      </x:c>
      <x:c r="F2594" s="73" t="n">
        <x:v>1.6736</x:v>
      </x:c>
      <x:c r="G2594" s="74" t="n">
        <x:v>0.0001</x:v>
      </x:c>
      <x:c r="H2594" s="66" t="str">
        <x:v>祁腾蜂赢1号净值20260911.xlsx</x:v>
      </x:c>
      <x:c r="I2594" s="73" t="str">
        <x:f>""</x:f>
      </x:c>
      <x:c r="J2594" s="74" t="str">
        <x:f>""</x:f>
      </x:c>
      <x:c r="K2594" s="73" t="str">
        <x:f>""</x:f>
      </x:c>
      <x:c r="L2594" s="74" t="str">
        <x:f>""</x:f>
      </x:c>
      <x:c r="M2594" s="73" t="n">
        <x:f>MAX(M2593,F2594)</x:f>
        <x:v>1.6736</x:v>
      </x:c>
      <x:c r="N2594" s="74" t="n">
        <x:f>1-F2594/M2594</x:f>
        <x:v>0</x:v>
      </x:c>
    </x:row>
    <x:row r="2595" ht="27" customHeight="1">
      <x:c r="A2595" s="66" t="str">
        <x:v>SEV580</x:v>
      </x:c>
      <x:c r="B2595" s="66" t="str">
        <x:v>祁腾蜂赢1号</x:v>
      </x:c>
      <x:c r="C2595" s="72" t="n">
        <x:v>44789</x:v>
      </x:c>
      <x:c r="D2595" s="73" t="n">
        <x:v>1.0051</x:v>
      </x:c>
      <x:c r="E2595" s="73" t="n">
        <x:v>1.5401</x:v>
      </x:c>
      <x:c r="F2595" s="73" t="n">
        <x:v>1.674</x:v>
      </x:c>
      <x:c r="G2595" s="74" t="n">
        <x:v>0.0002</x:v>
      </x:c>
      <x:c r="H2595" s="66" t="str">
        <x:v>祁腾蜂赢1号净值20260911.xlsx</x:v>
      </x:c>
      <x:c r="I2595" s="73" t="str">
        <x:f>""</x:f>
      </x:c>
      <x:c r="J2595" s="74" t="str">
        <x:f>""</x:f>
      </x:c>
      <x:c r="K2595" s="73" t="str">
        <x:f>""</x:f>
      </x:c>
      <x:c r="L2595" s="74" t="str">
        <x:f>""</x:f>
      </x:c>
      <x:c r="M2595" s="73" t="n">
        <x:f>MAX(M2594,F2595)</x:f>
        <x:v>1.674</x:v>
      </x:c>
      <x:c r="N2595" s="74" t="n">
        <x:f>1-F2595/M2595</x:f>
        <x:v>0</x:v>
      </x:c>
    </x:row>
    <x:row r="2596" ht="27" customHeight="1">
      <x:c r="A2596" s="66" t="str">
        <x:v>SEV580</x:v>
      </x:c>
      <x:c r="B2596" s="66" t="str">
        <x:v>祁腾蜂赢1号</x:v>
      </x:c>
      <x:c r="C2596" s="72" t="n">
        <x:v>44790</x:v>
      </x:c>
      <x:c r="D2596" s="73" t="n">
        <x:v>1.005</x:v>
      </x:c>
      <x:c r="E2596" s="73" t="n">
        <x:v>1.54</x:v>
      </x:c>
      <x:c r="F2596" s="73" t="n">
        <x:v>1.6738</x:v>
      </x:c>
      <x:c r="G2596" s="74" t="n">
        <x:v>-0.0001</x:v>
      </x:c>
      <x:c r="H2596" s="66" t="str">
        <x:v>祁腾蜂赢1号净值20260911.xlsx</x:v>
      </x:c>
      <x:c r="I2596" s="73" t="str">
        <x:f>""</x:f>
      </x:c>
      <x:c r="J2596" s="74" t="str">
        <x:f>""</x:f>
      </x:c>
      <x:c r="K2596" s="73" t="str">
        <x:f>""</x:f>
      </x:c>
      <x:c r="L2596" s="74" t="str">
        <x:f>""</x:f>
      </x:c>
      <x:c r="M2596" s="73" t="n">
        <x:f>MAX(M2595,F2596)</x:f>
        <x:v>1.674</x:v>
      </x:c>
      <x:c r="N2596" s="74" t="n">
        <x:f>1-F2596/M2596</x:f>
        <x:v>0.00011947431302272715</x:v>
      </x:c>
    </x:row>
    <x:row r="2597" ht="27" customHeight="1">
      <x:c r="A2597" s="66" t="str">
        <x:v>SEV580</x:v>
      </x:c>
      <x:c r="B2597" s="66" t="str">
        <x:v>祁腾蜂赢1号</x:v>
      </x:c>
      <x:c r="C2597" s="72" t="n">
        <x:v>44791</x:v>
      </x:c>
      <x:c r="D2597" s="73" t="n">
        <x:v>1.0045</x:v>
      </x:c>
      <x:c r="E2597" s="73" t="n">
        <x:v>1.5395</x:v>
      </x:c>
      <x:c r="F2597" s="73" t="n">
        <x:v>1.673</x:v>
      </x:c>
      <x:c r="G2597" s="74" t="n">
        <x:v>-0.0005</x:v>
      </x:c>
      <x:c r="H2597" s="66" t="str">
        <x:v>祁腾蜂赢1号净值20260911.xlsx</x:v>
      </x:c>
      <x:c r="I2597" s="73" t="str">
        <x:f>""</x:f>
      </x:c>
      <x:c r="J2597" s="74" t="str">
        <x:f>""</x:f>
      </x:c>
      <x:c r="K2597" s="73" t="str">
        <x:f>""</x:f>
      </x:c>
      <x:c r="L2597" s="74" t="str">
        <x:f>""</x:f>
      </x:c>
      <x:c r="M2597" s="73" t="n">
        <x:f>MAX(M2596,F2597)</x:f>
        <x:v>1.674</x:v>
      </x:c>
      <x:c r="N2597" s="74" t="n">
        <x:f>1-F2597/M2597</x:f>
        <x:v>0.0005973715651134137</x:v>
      </x:c>
    </x:row>
    <x:row r="2598" ht="27" customHeight="1">
      <x:c r="A2598" s="66" t="str">
        <x:v>SEV580</x:v>
      </x:c>
      <x:c r="B2598" s="66" t="str">
        <x:v>祁腾蜂赢1号</x:v>
      </x:c>
      <x:c r="C2598" s="72" t="n">
        <x:v>44792</x:v>
      </x:c>
      <x:c r="D2598" s="73" t="n">
        <x:v>1.0046</x:v>
      </x:c>
      <x:c r="E2598" s="73" t="n">
        <x:v>1.5396</x:v>
      </x:c>
      <x:c r="F2598" s="73" t="n">
        <x:v>1.6731</x:v>
      </x:c>
      <x:c r="G2598" s="74" t="n">
        <x:v>0.0001</x:v>
      </x:c>
      <x:c r="H2598" s="66" t="str">
        <x:v>祁腾蜂赢1号净值20260911.xlsx</x:v>
      </x:c>
      <x:c r="I2598" s="73" t="str">
        <x:f>""</x:f>
      </x:c>
      <x:c r="J2598" s="74" t="str">
        <x:f>""</x:f>
      </x:c>
      <x:c r="K2598" s="73" t="str">
        <x:f>""</x:f>
      </x:c>
      <x:c r="L2598" s="74" t="str">
        <x:f>""</x:f>
      </x:c>
      <x:c r="M2598" s="73" t="n">
        <x:f>MAX(M2597,F2598)</x:f>
        <x:v>1.674</x:v>
      </x:c>
      <x:c r="N2598" s="74" t="n">
        <x:f>1-F2598/M2598</x:f>
        <x:v>0.0005376344086021057</x:v>
      </x:c>
    </x:row>
    <x:row r="2599" ht="27" customHeight="1">
      <x:c r="A2599" s="66" t="str">
        <x:v>SEV580</x:v>
      </x:c>
      <x:c r="B2599" s="66" t="str">
        <x:v>祁腾蜂赢1号</x:v>
      </x:c>
      <x:c r="C2599" s="72" t="n">
        <x:v>44795</x:v>
      </x:c>
      <x:c r="D2599" s="73" t="n">
        <x:v>1.0048</x:v>
      </x:c>
      <x:c r="E2599" s="73" t="n">
        <x:v>1.5398</x:v>
      </x:c>
      <x:c r="F2599" s="73" t="n">
        <x:v>1.6735</x:v>
      </x:c>
      <x:c r="G2599" s="74" t="n">
        <x:v>0.0002</x:v>
      </x:c>
      <x:c r="H2599" s="66" t="str">
        <x:v>祁腾蜂赢1号净值20260911.xlsx</x:v>
      </x:c>
      <x:c r="I2599" s="73" t="str">
        <x:f>""</x:f>
      </x:c>
      <x:c r="J2599" s="74" t="str">
        <x:f>""</x:f>
      </x:c>
      <x:c r="K2599" s="73" t="str">
        <x:f>""</x:f>
      </x:c>
      <x:c r="L2599" s="74" t="str">
        <x:f>""</x:f>
      </x:c>
      <x:c r="M2599" s="73" t="n">
        <x:f>MAX(M2598,F2599)</x:f>
        <x:v>1.674</x:v>
      </x:c>
      <x:c r="N2599" s="74" t="n">
        <x:f>1-F2599/M2599</x:f>
        <x:v>0.00029868578255676237</x:v>
      </x:c>
    </x:row>
    <x:row r="2600" ht="27" customHeight="1">
      <x:c r="A2600" s="66" t="str">
        <x:v>SEV580</x:v>
      </x:c>
      <x:c r="B2600" s="66" t="str">
        <x:v>祁腾蜂赢1号</x:v>
      </x:c>
      <x:c r="C2600" s="72" t="n">
        <x:v>44796</x:v>
      </x:c>
      <x:c r="D2600" s="73" t="n">
        <x:v>1.005</x:v>
      </x:c>
      <x:c r="E2600" s="73" t="n">
        <x:v>1.54</x:v>
      </x:c>
      <x:c r="F2600" s="73" t="n">
        <x:v>1.6738</x:v>
      </x:c>
      <x:c r="G2600" s="74" t="n">
        <x:v>0.0002</x:v>
      </x:c>
      <x:c r="H2600" s="66" t="str">
        <x:v>祁腾蜂赢1号净值20260911.xlsx</x:v>
      </x:c>
      <x:c r="I2600" s="73" t="str">
        <x:f>""</x:f>
      </x:c>
      <x:c r="J2600" s="74" t="str">
        <x:f>""</x:f>
      </x:c>
      <x:c r="K2600" s="73" t="str">
        <x:f>""</x:f>
      </x:c>
      <x:c r="L2600" s="74" t="str">
        <x:f>""</x:f>
      </x:c>
      <x:c r="M2600" s="73" t="n">
        <x:f>MAX(M2599,F2600)</x:f>
        <x:v>1.674</x:v>
      </x:c>
      <x:c r="N2600" s="74" t="n">
        <x:f>1-F2600/M2600</x:f>
        <x:v>0.00011947431302272715</x:v>
      </x:c>
    </x:row>
    <x:row r="2601" ht="27" customHeight="1">
      <x:c r="A2601" s="66" t="str">
        <x:v>SEV580</x:v>
      </x:c>
      <x:c r="B2601" s="66" t="str">
        <x:v>祁腾蜂赢1号</x:v>
      </x:c>
      <x:c r="C2601" s="72" t="n">
        <x:v>44797</x:v>
      </x:c>
      <x:c r="D2601" s="73" t="n">
        <x:v>1.005</x:v>
      </x:c>
      <x:c r="E2601" s="73" t="n">
        <x:v>1.54</x:v>
      </x:c>
      <x:c r="F2601" s="73" t="n">
        <x:v>1.6738</x:v>
      </x:c>
      <x:c r="G2601" s="74" t="n">
        <x:v>0</x:v>
      </x:c>
      <x:c r="H2601" s="66" t="str">
        <x:v>祁腾蜂赢1号净值20260911.xlsx</x:v>
      </x:c>
      <x:c r="I2601" s="73" t="str">
        <x:f>""</x:f>
      </x:c>
      <x:c r="J2601" s="74" t="str">
        <x:f>""</x:f>
      </x:c>
      <x:c r="K2601" s="73" t="str">
        <x:f>""</x:f>
      </x:c>
      <x:c r="L2601" s="74" t="str">
        <x:f>""</x:f>
      </x:c>
      <x:c r="M2601" s="73" t="n">
        <x:f>MAX(M2600,F2601)</x:f>
        <x:v>1.674</x:v>
      </x:c>
      <x:c r="N2601" s="74" t="n">
        <x:f>1-F2601/M2601</x:f>
        <x:v>0.00011947431302272715</x:v>
      </x:c>
    </x:row>
    <x:row r="2602" ht="27" customHeight="1">
      <x:c r="A2602" s="66" t="str">
        <x:v>SEV580</x:v>
      </x:c>
      <x:c r="B2602" s="66" t="str">
        <x:v>祁腾蜂赢1号</x:v>
      </x:c>
      <x:c r="C2602" s="72" t="n">
        <x:v>44798</x:v>
      </x:c>
      <x:c r="D2602" s="73" t="n">
        <x:v>1.0049</x:v>
      </x:c>
      <x:c r="E2602" s="73" t="n">
        <x:v>1.5399</x:v>
      </x:c>
      <x:c r="F2602" s="73" t="n">
        <x:v>1.6736</x:v>
      </x:c>
      <x:c r="G2602" s="74" t="n">
        <x:v>-0.0001</x:v>
      </x:c>
      <x:c r="H2602" s="66" t="str">
        <x:v>祁腾蜂赢1号净值20260911.xlsx</x:v>
      </x:c>
      <x:c r="I2602" s="73" t="str">
        <x:f>""</x:f>
      </x:c>
      <x:c r="J2602" s="74" t="str">
        <x:f>""</x:f>
      </x:c>
      <x:c r="K2602" s="73" t="str">
        <x:f>""</x:f>
      </x:c>
      <x:c r="L2602" s="74" t="str">
        <x:f>""</x:f>
      </x:c>
      <x:c r="M2602" s="73" t="n">
        <x:f>MAX(M2601,F2602)</x:f>
        <x:v>1.674</x:v>
      </x:c>
      <x:c r="N2602" s="74" t="n">
        <x:f>1-F2602/M2602</x:f>
        <x:v>0.00023894862604534328</x:v>
      </x:c>
    </x:row>
    <x:row r="2603" ht="27" customHeight="1">
      <x:c r="A2603" s="66" t="str">
        <x:v>SEV580</x:v>
      </x:c>
      <x:c r="B2603" s="66" t="str">
        <x:v>祁腾蜂赢1号</x:v>
      </x:c>
      <x:c r="C2603" s="72" t="n">
        <x:v>44799</x:v>
      </x:c>
      <x:c r="D2603" s="73" t="n">
        <x:v>1.0047</x:v>
      </x:c>
      <x:c r="E2603" s="73" t="n">
        <x:v>1.5397</x:v>
      </x:c>
      <x:c r="F2603" s="73" t="n">
        <x:v>1.6733</x:v>
      </x:c>
      <x:c r="G2603" s="74" t="n">
        <x:v>-0.0002</x:v>
      </x:c>
      <x:c r="H2603" s="66" t="str">
        <x:v>祁腾蜂赢1号净值20260911.xlsx</x:v>
      </x:c>
      <x:c r="I2603" s="73" t="str">
        <x:f>""</x:f>
      </x:c>
      <x:c r="J2603" s="74" t="str">
        <x:f>""</x:f>
      </x:c>
      <x:c r="K2603" s="73" t="str">
        <x:f>""</x:f>
      </x:c>
      <x:c r="L2603" s="74" t="str">
        <x:f>""</x:f>
      </x:c>
      <x:c r="M2603" s="73" t="n">
        <x:f>MAX(M2602,F2603)</x:f>
        <x:v>1.674</x:v>
      </x:c>
      <x:c r="N2603" s="74" t="n">
        <x:f>1-F2603/M2603</x:f>
        <x:v>0.0004181600955793785</x:v>
      </x:c>
    </x:row>
    <x:row r="2604" ht="27" customHeight="1">
      <x:c r="A2604" s="66" t="str">
        <x:v>SEV580</x:v>
      </x:c>
      <x:c r="B2604" s="66" t="str">
        <x:v>祁腾蜂赢1号</x:v>
      </x:c>
      <x:c r="C2604" s="72" t="n">
        <x:v>44802</x:v>
      </x:c>
      <x:c r="D2604" s="73" t="n">
        <x:v>1.0048</x:v>
      </x:c>
      <x:c r="E2604" s="73" t="n">
        <x:v>1.5398</x:v>
      </x:c>
      <x:c r="F2604" s="73" t="n">
        <x:v>1.6735</x:v>
      </x:c>
      <x:c r="G2604" s="74" t="n">
        <x:v>0.0001</x:v>
      </x:c>
      <x:c r="H2604" s="66" t="str">
        <x:v>祁腾蜂赢1号净值20260911.xlsx</x:v>
      </x:c>
      <x:c r="I2604" s="73" t="str">
        <x:f>""</x:f>
      </x:c>
      <x:c r="J2604" s="74" t="str">
        <x:f>""</x:f>
      </x:c>
      <x:c r="K2604" s="73" t="str">
        <x:f>""</x:f>
      </x:c>
      <x:c r="L2604" s="74" t="str">
        <x:f>""</x:f>
      </x:c>
      <x:c r="M2604" s="73" t="n">
        <x:f>MAX(M2603,F2604)</x:f>
        <x:v>1.674</x:v>
      </x:c>
      <x:c r="N2604" s="74" t="n">
        <x:f>1-F2604/M2604</x:f>
        <x:v>0.00029868578255676237</x:v>
      </x:c>
    </x:row>
    <x:row r="2605" ht="27" customHeight="1">
      <x:c r="A2605" s="66" t="str">
        <x:v>SEV580</x:v>
      </x:c>
      <x:c r="B2605" s="66" t="str">
        <x:v>祁腾蜂赢1号</x:v>
      </x:c>
      <x:c r="C2605" s="72" t="n">
        <x:v>44803</x:v>
      </x:c>
      <x:c r="D2605" s="73" t="n">
        <x:v>1.0043</x:v>
      </x:c>
      <x:c r="E2605" s="73" t="n">
        <x:v>1.5393</x:v>
      </x:c>
      <x:c r="F2605" s="73" t="n">
        <x:v>1.6726</x:v>
      </x:c>
      <x:c r="G2605" s="74" t="n">
        <x:v>-0.0005</x:v>
      </x:c>
      <x:c r="H2605" s="66" t="str">
        <x:v>祁腾蜂赢1号净值20260911.xlsx</x:v>
      </x:c>
      <x:c r="I2605" s="73" t="str">
        <x:f>""</x:f>
      </x:c>
      <x:c r="J2605" s="74" t="str">
        <x:f>""</x:f>
      </x:c>
      <x:c r="K2605" s="73" t="str">
        <x:f>""</x:f>
      </x:c>
      <x:c r="L2605" s="74" t="str">
        <x:f>""</x:f>
      </x:c>
      <x:c r="M2605" s="73" t="n">
        <x:f>MAX(M2604,F2605)</x:f>
        <x:v>1.674</x:v>
      </x:c>
      <x:c r="N2605" s="74" t="n">
        <x:f>1-F2605/M2605</x:f>
        <x:v>0.000836320191158757</x:v>
      </x:c>
    </x:row>
    <x:row r="2606" ht="27" customHeight="1">
      <x:c r="A2606" s="66" t="str">
        <x:v>SEV580</x:v>
      </x:c>
      <x:c r="B2606" s="66" t="str">
        <x:v>祁腾蜂赢1号</x:v>
      </x:c>
      <x:c r="C2606" s="72" t="n">
        <x:v>44804</x:v>
      </x:c>
      <x:c r="D2606" s="73" t="n">
        <x:v>1.005</x:v>
      </x:c>
      <x:c r="E2606" s="73" t="n">
        <x:v>1.54</x:v>
      </x:c>
      <x:c r="F2606" s="73" t="n">
        <x:v>1.6738</x:v>
      </x:c>
      <x:c r="G2606" s="74" t="n">
        <x:v>0.0007000000000000001</x:v>
      </x:c>
      <x:c r="H2606" s="66" t="str">
        <x:v>祁腾蜂赢1号净值20260911.xlsx</x:v>
      </x:c>
      <x:c r="I2606" s="73" t="str">
        <x:f>""</x:f>
      </x:c>
      <x:c r="J2606" s="74" t="str">
        <x:f>""</x:f>
      </x:c>
      <x:c r="K2606" s="73" t="str">
        <x:f>""</x:f>
      </x:c>
      <x:c r="L2606" s="74" t="str">
        <x:f>""</x:f>
      </x:c>
      <x:c r="M2606" s="73" t="n">
        <x:f>MAX(M2605,F2606)</x:f>
        <x:v>1.674</x:v>
      </x:c>
      <x:c r="N2606" s="74" t="n">
        <x:f>1-F2606/M2606</x:f>
        <x:v>0.00011947431302272715</x:v>
      </x:c>
    </x:row>
    <x:row r="2607" ht="27" customHeight="1">
      <x:c r="A2607" s="66" t="str">
        <x:v>SEV580</x:v>
      </x:c>
      <x:c r="B2607" s="66" t="str">
        <x:v>祁腾蜂赢1号</x:v>
      </x:c>
      <x:c r="C2607" s="72" t="n">
        <x:v>44805</x:v>
      </x:c>
      <x:c r="D2607" s="73" t="n">
        <x:v>1.0045</x:v>
      </x:c>
      <x:c r="E2607" s="73" t="n">
        <x:v>1.5395</x:v>
      </x:c>
      <x:c r="F2607" s="73" t="n">
        <x:v>1.673</x:v>
      </x:c>
      <x:c r="G2607" s="74" t="n">
        <x:v>-0.0005</x:v>
      </x:c>
      <x:c r="H2607" s="66" t="str">
        <x:v>祁腾蜂赢1号净值20260911.xlsx</x:v>
      </x:c>
      <x:c r="I2607" s="73" t="str">
        <x:f>""</x:f>
      </x:c>
      <x:c r="J2607" s="74" t="str">
        <x:f>""</x:f>
      </x:c>
      <x:c r="K2607" s="73" t="str">
        <x:f>""</x:f>
      </x:c>
      <x:c r="L2607" s="74" t="str">
        <x:f>""</x:f>
      </x:c>
      <x:c r="M2607" s="73" t="n">
        <x:f>MAX(M2606,F2607)</x:f>
        <x:v>1.674</x:v>
      </x:c>
      <x:c r="N2607" s="74" t="n">
        <x:f>1-F2607/M2607</x:f>
        <x:v>0.0005973715651134137</x:v>
      </x:c>
    </x:row>
    <x:row r="2608" ht="27" customHeight="1">
      <x:c r="A2608" s="66" t="str">
        <x:v>SEV580</x:v>
      </x:c>
      <x:c r="B2608" s="66" t="str">
        <x:v>祁腾蜂赢1号</x:v>
      </x:c>
      <x:c r="C2608" s="72" t="n">
        <x:v>44806</x:v>
      </x:c>
      <x:c r="D2608" s="73" t="n">
        <x:v>1.0043</x:v>
      </x:c>
      <x:c r="E2608" s="73" t="n">
        <x:v>1.5393</x:v>
      </x:c>
      <x:c r="F2608" s="73" t="n">
        <x:v>1.6726</x:v>
      </x:c>
      <x:c r="G2608" s="74" t="n">
        <x:v>-0.0002</x:v>
      </x:c>
      <x:c r="H2608" s="66" t="str">
        <x:v>祁腾蜂赢1号净值20260911.xlsx</x:v>
      </x:c>
      <x:c r="I2608" s="73" t="str">
        <x:f>""</x:f>
      </x:c>
      <x:c r="J2608" s="74" t="str">
        <x:f>""</x:f>
      </x:c>
      <x:c r="K2608" s="73" t="str">
        <x:f>""</x:f>
      </x:c>
      <x:c r="L2608" s="74" t="str">
        <x:f>""</x:f>
      </x:c>
      <x:c r="M2608" s="73" t="n">
        <x:f>MAX(M2607,F2608)</x:f>
        <x:v>1.674</x:v>
      </x:c>
      <x:c r="N2608" s="74" t="n">
        <x:f>1-F2608/M2608</x:f>
        <x:v>0.000836320191158757</x:v>
      </x:c>
    </x:row>
    <x:row r="2609" ht="27" customHeight="1">
      <x:c r="A2609" s="66" t="str">
        <x:v>SEV580</x:v>
      </x:c>
      <x:c r="B2609" s="66" t="str">
        <x:v>祁腾蜂赢1号</x:v>
      </x:c>
      <x:c r="C2609" s="72" t="n">
        <x:v>44809</x:v>
      </x:c>
      <x:c r="D2609" s="73" t="n">
        <x:v>1.0042</x:v>
      </x:c>
      <x:c r="E2609" s="73" t="n">
        <x:v>1.5392</x:v>
      </x:c>
      <x:c r="F2609" s="73" t="n">
        <x:v>1.6725</x:v>
      </x:c>
      <x:c r="G2609" s="74" t="n">
        <x:v>-0.0001</x:v>
      </x:c>
      <x:c r="H2609" s="66" t="str">
        <x:v>祁腾蜂赢1号净值20260911.xlsx</x:v>
      </x:c>
      <x:c r="I2609" s="73" t="str">
        <x:f>""</x:f>
      </x:c>
      <x:c r="J2609" s="74" t="str">
        <x:f>""</x:f>
      </x:c>
      <x:c r="K2609" s="73" t="str">
        <x:f>""</x:f>
      </x:c>
      <x:c r="L2609" s="74" t="str">
        <x:f>""</x:f>
      </x:c>
      <x:c r="M2609" s="73" t="n">
        <x:f>MAX(M2608,F2609)</x:f>
        <x:v>1.674</x:v>
      </x:c>
      <x:c r="N2609" s="74" t="n">
        <x:f>1-F2609/M2609</x:f>
        <x:v>0.0008960573476701761</x:v>
      </x:c>
    </x:row>
    <x:row r="2610" ht="27" customHeight="1">
      <x:c r="A2610" s="66" t="str">
        <x:v>SEV580</x:v>
      </x:c>
      <x:c r="B2610" s="66" t="str">
        <x:v>祁腾蜂赢1号</x:v>
      </x:c>
      <x:c r="C2610" s="72" t="n">
        <x:v>44810</x:v>
      </x:c>
      <x:c r="D2610" s="73" t="n">
        <x:v>1.0041</x:v>
      </x:c>
      <x:c r="E2610" s="73" t="n">
        <x:v>1.5391</x:v>
      </x:c>
      <x:c r="F2610" s="73" t="n">
        <x:v>1.6723</x:v>
      </x:c>
      <x:c r="G2610" s="74" t="n">
        <x:v>-0.0001</x:v>
      </x:c>
      <x:c r="H2610" s="66" t="str">
        <x:v>祁腾蜂赢1号净值20260911.xlsx</x:v>
      </x:c>
      <x:c r="I2610" s="73" t="str">
        <x:f>""</x:f>
      </x:c>
      <x:c r="J2610" s="74" t="str">
        <x:f>""</x:f>
      </x:c>
      <x:c r="K2610" s="73" t="str">
        <x:f>""</x:f>
      </x:c>
      <x:c r="L2610" s="74" t="str">
        <x:f>""</x:f>
      </x:c>
      <x:c r="M2610" s="73" t="n">
        <x:f>MAX(M2609,F2610)</x:f>
        <x:v>1.674</x:v>
      </x:c>
      <x:c r="N2610" s="74" t="n">
        <x:f>1-F2610/M2610</x:f>
        <x:v>0.0010155316606930143</x:v>
      </x:c>
    </x:row>
    <x:row r="2611" ht="27" customHeight="1">
      <x:c r="A2611" s="66" t="str">
        <x:v>SEV580</x:v>
      </x:c>
      <x:c r="B2611" s="66" t="str">
        <x:v>祁腾蜂赢1号</x:v>
      </x:c>
      <x:c r="C2611" s="72" t="n">
        <x:v>44811</x:v>
      </x:c>
      <x:c r="D2611" s="73" t="n">
        <x:v>1.0038</x:v>
      </x:c>
      <x:c r="E2611" s="73" t="n">
        <x:v>1.5388</x:v>
      </x:c>
      <x:c r="F2611" s="73" t="n">
        <x:v>1.6718</x:v>
      </x:c>
      <x:c r="G2611" s="74" t="n">
        <x:v>-0.0003</x:v>
      </x:c>
      <x:c r="H2611" s="66" t="str">
        <x:v>祁腾蜂赢1号净值20260911.xlsx</x:v>
      </x:c>
      <x:c r="I2611" s="73" t="str">
        <x:f>""</x:f>
      </x:c>
      <x:c r="J2611" s="74" t="str">
        <x:f>""</x:f>
      </x:c>
      <x:c r="K2611" s="73" t="str">
        <x:f>""</x:f>
      </x:c>
      <x:c r="L2611" s="74" t="str">
        <x:f>""</x:f>
      </x:c>
      <x:c r="M2611" s="73" t="n">
        <x:f>MAX(M2610,F2611)</x:f>
        <x:v>1.674</x:v>
      </x:c>
      <x:c r="N2611" s="74" t="n">
        <x:f>1-F2611/M2611</x:f>
        <x:v>0.0013142174432496656</x:v>
      </x:c>
    </x:row>
    <x:row r="2612" ht="27" customHeight="1">
      <x:c r="A2612" s="66" t="str">
        <x:v>SEV580</x:v>
      </x:c>
      <x:c r="B2612" s="66" t="str">
        <x:v>祁腾蜂赢1号</x:v>
      </x:c>
      <x:c r="C2612" s="72" t="n">
        <x:v>44812</x:v>
      </x:c>
      <x:c r="D2612" s="73" t="n">
        <x:v>1.004</x:v>
      </x:c>
      <x:c r="E2612" s="73" t="n">
        <x:v>1.539</x:v>
      </x:c>
      <x:c r="F2612" s="73" t="n">
        <x:v>1.6721</x:v>
      </x:c>
      <x:c r="G2612" s="74" t="n">
        <x:v>0.0002</x:v>
      </x:c>
      <x:c r="H2612" s="66" t="str">
        <x:v>祁腾蜂赢1号净值20260911.xlsx</x:v>
      </x:c>
      <x:c r="I2612" s="73" t="str">
        <x:f>""</x:f>
      </x:c>
      <x:c r="J2612" s="74" t="str">
        <x:f>""</x:f>
      </x:c>
      <x:c r="K2612" s="73" t="str">
        <x:f>""</x:f>
      </x:c>
      <x:c r="L2612" s="74" t="str">
        <x:f>""</x:f>
      </x:c>
      <x:c r="M2612" s="73" t="n">
        <x:f>MAX(M2611,F2612)</x:f>
        <x:v>1.674</x:v>
      </x:c>
      <x:c r="N2612" s="74" t="n">
        <x:f>1-F2612/M2612</x:f>
        <x:v>0.0011350059737156304</x:v>
      </x:c>
    </x:row>
    <x:row r="2613" ht="27" customHeight="1">
      <x:c r="A2613" s="66" t="str">
        <x:v>SEV580</x:v>
      </x:c>
      <x:c r="B2613" s="66" t="str">
        <x:v>祁腾蜂赢1号</x:v>
      </x:c>
      <x:c r="C2613" s="72" t="n">
        <x:v>44813</x:v>
      </x:c>
      <x:c r="D2613" s="73" t="n">
        <x:v>1.0051</x:v>
      </x:c>
      <x:c r="E2613" s="73" t="n">
        <x:v>1.5401</x:v>
      </x:c>
      <x:c r="F2613" s="73" t="n">
        <x:v>1.674</x:v>
      </x:c>
      <x:c r="G2613" s="74" t="n">
        <x:v>0.0011</x:v>
      </x:c>
      <x:c r="H2613" s="66" t="str">
        <x:v>祁腾蜂赢1号净值20260911.xlsx</x:v>
      </x:c>
      <x:c r="I2613" s="73" t="str">
        <x:f>""</x:f>
      </x:c>
      <x:c r="J2613" s="74" t="str">
        <x:f>""</x:f>
      </x:c>
      <x:c r="K2613" s="73" t="str">
        <x:f>""</x:f>
      </x:c>
      <x:c r="L2613" s="74" t="str">
        <x:f>""</x:f>
      </x:c>
      <x:c r="M2613" s="73" t="n">
        <x:f>MAX(M2612,F2613)</x:f>
        <x:v>1.674</x:v>
      </x:c>
      <x:c r="N2613" s="74" t="n">
        <x:f>1-F2613/M2613</x:f>
        <x:v>0</x:v>
      </x:c>
    </x:row>
    <x:row r="2614" ht="27" customHeight="1">
      <x:c r="A2614" s="66" t="str">
        <x:v>SEV580</x:v>
      </x:c>
      <x:c r="B2614" s="66" t="str">
        <x:v>祁腾蜂赢1号</x:v>
      </x:c>
      <x:c r="C2614" s="72" t="n">
        <x:v>44817</x:v>
      </x:c>
      <x:c r="D2614" s="73" t="n">
        <x:v>1.0052</x:v>
      </x:c>
      <x:c r="E2614" s="73" t="n">
        <x:v>1.5402</x:v>
      </x:c>
      <x:c r="F2614" s="73" t="n">
        <x:v>1.6741</x:v>
      </x:c>
      <x:c r="G2614" s="74" t="n">
        <x:v>0.0001</x:v>
      </x:c>
      <x:c r="H2614" s="66" t="str">
        <x:v>祁腾蜂赢1号净值20260911.xlsx</x:v>
      </x:c>
      <x:c r="I2614" s="73" t="str">
        <x:f>""</x:f>
      </x:c>
      <x:c r="J2614" s="74" t="str">
        <x:f>""</x:f>
      </x:c>
      <x:c r="K2614" s="73" t="str">
        <x:f>""</x:f>
      </x:c>
      <x:c r="L2614" s="74" t="str">
        <x:f>""</x:f>
      </x:c>
      <x:c r="M2614" s="73" t="n">
        <x:f>MAX(M2613,F2614)</x:f>
        <x:v>1.6741</x:v>
      </x:c>
      <x:c r="N2614" s="74" t="n">
        <x:f>1-F2614/M2614</x:f>
        <x:v>0</x:v>
      </x:c>
    </x:row>
    <x:row r="2615" ht="27" customHeight="1">
      <x:c r="A2615" s="66" t="str">
        <x:v>SEV580</x:v>
      </x:c>
      <x:c r="B2615" s="66" t="str">
        <x:v>祁腾蜂赢1号</x:v>
      </x:c>
      <x:c r="C2615" s="72" t="n">
        <x:v>44818</x:v>
      </x:c>
      <x:c r="D2615" s="73" t="n">
        <x:v>1.0049</x:v>
      </x:c>
      <x:c r="E2615" s="73" t="n">
        <x:v>1.5399</x:v>
      </x:c>
      <x:c r="F2615" s="73" t="n">
        <x:v>1.6736</x:v>
      </x:c>
      <x:c r="G2615" s="74" t="n">
        <x:v>-0.0003</x:v>
      </x:c>
      <x:c r="H2615" s="66" t="str">
        <x:v>祁腾蜂赢1号净值20260911.xlsx</x:v>
      </x:c>
      <x:c r="I2615" s="73" t="str">
        <x:f>""</x:f>
      </x:c>
      <x:c r="J2615" s="74" t="str">
        <x:f>""</x:f>
      </x:c>
      <x:c r="K2615" s="73" t="str">
        <x:f>""</x:f>
      </x:c>
      <x:c r="L2615" s="74" t="str">
        <x:f>""</x:f>
      </x:c>
      <x:c r="M2615" s="73" t="n">
        <x:f>MAX(M2614,F2615)</x:f>
        <x:v>1.6741</x:v>
      </x:c>
      <x:c r="N2615" s="74" t="n">
        <x:f>1-F2615/M2615</x:f>
        <x:v>0.0002986679409832105</x:v>
      </x:c>
    </x:row>
    <x:row r="2616" ht="27" customHeight="1">
      <x:c r="A2616" s="66" t="str">
        <x:v>SEV580</x:v>
      </x:c>
      <x:c r="B2616" s="66" t="str">
        <x:v>祁腾蜂赢1号</x:v>
      </x:c>
      <x:c r="C2616" s="72" t="n">
        <x:v>44819</x:v>
      </x:c>
      <x:c r="D2616" s="73" t="n">
        <x:v>1.0053</x:v>
      </x:c>
      <x:c r="E2616" s="73" t="n">
        <x:v>1.5403</x:v>
      </x:c>
      <x:c r="F2616" s="73" t="n">
        <x:v>1.6743</x:v>
      </x:c>
      <x:c r="G2616" s="74" t="n">
        <x:v>0.0004</x:v>
      </x:c>
      <x:c r="H2616" s="66" t="str">
        <x:v>祁腾蜂赢1号净值20260911.xlsx</x:v>
      </x:c>
      <x:c r="I2616" s="73" t="str">
        <x:f>""</x:f>
      </x:c>
      <x:c r="J2616" s="74" t="str">
        <x:f>""</x:f>
      </x:c>
      <x:c r="K2616" s="73" t="str">
        <x:f>""</x:f>
      </x:c>
      <x:c r="L2616" s="74" t="str">
        <x:f>""</x:f>
      </x:c>
      <x:c r="M2616" s="73" t="n">
        <x:f>MAX(M2615,F2616)</x:f>
        <x:v>1.6743</x:v>
      </x:c>
      <x:c r="N2616" s="74" t="n">
        <x:f>1-F2616/M2616</x:f>
        <x:v>0</x:v>
      </x:c>
    </x:row>
    <x:row r="2617" ht="27" customHeight="1">
      <x:c r="A2617" s="66" t="str">
        <x:v>SEV580</x:v>
      </x:c>
      <x:c r="B2617" s="66" t="str">
        <x:v>祁腾蜂赢1号</x:v>
      </x:c>
      <x:c r="C2617" s="72" t="n">
        <x:v>44820</x:v>
      </x:c>
      <x:c r="D2617" s="73" t="n">
        <x:v>1.0056</x:v>
      </x:c>
      <x:c r="E2617" s="73" t="n">
        <x:v>1.5406</x:v>
      </x:c>
      <x:c r="F2617" s="73" t="n">
        <x:v>1.6748</x:v>
      </x:c>
      <x:c r="G2617" s="74" t="n">
        <x:v>0.0003</x:v>
      </x:c>
      <x:c r="H2617" s="66" t="str">
        <x:v>祁腾蜂赢1号净值20260911.xlsx</x:v>
      </x:c>
      <x:c r="I2617" s="73" t="str">
        <x:f>""</x:f>
      </x:c>
      <x:c r="J2617" s="74" t="str">
        <x:f>""</x:f>
      </x:c>
      <x:c r="K2617" s="73" t="str">
        <x:f>""</x:f>
      </x:c>
      <x:c r="L2617" s="74" t="str">
        <x:f>""</x:f>
      </x:c>
      <x:c r="M2617" s="73" t="n">
        <x:f>MAX(M2616,F2617)</x:f>
        <x:v>1.6748</x:v>
      </x:c>
      <x:c r="N2617" s="74" t="n">
        <x:f>1-F2617/M2617</x:f>
        <x:v>0</x:v>
      </x:c>
    </x:row>
    <x:row r="2618" ht="27" customHeight="1">
      <x:c r="A2618" s="66" t="str">
        <x:v>SEV580</x:v>
      </x:c>
      <x:c r="B2618" s="66" t="str">
        <x:v>祁腾蜂赢1号</x:v>
      </x:c>
      <x:c r="C2618" s="72" t="n">
        <x:v>44823</x:v>
      </x:c>
      <x:c r="D2618" s="73" t="n">
        <x:v>1.0059</x:v>
      </x:c>
      <x:c r="E2618" s="73" t="n">
        <x:v>1.5409</x:v>
      </x:c>
      <x:c r="F2618" s="73" t="n">
        <x:v>1.6753</x:v>
      </x:c>
      <x:c r="G2618" s="74" t="n">
        <x:v>0.0003</x:v>
      </x:c>
      <x:c r="H2618" s="66" t="str">
        <x:v>祁腾蜂赢1号净值20260911.xlsx</x:v>
      </x:c>
      <x:c r="I2618" s="73" t="str">
        <x:f>""</x:f>
      </x:c>
      <x:c r="J2618" s="74" t="str">
        <x:f>""</x:f>
      </x:c>
      <x:c r="K2618" s="73" t="str">
        <x:f>""</x:f>
      </x:c>
      <x:c r="L2618" s="74" t="str">
        <x:f>""</x:f>
      </x:c>
      <x:c r="M2618" s="73" t="n">
        <x:f>MAX(M2617,F2618)</x:f>
        <x:v>1.6753</x:v>
      </x:c>
      <x:c r="N2618" s="74" t="n">
        <x:f>1-F2618/M2618</x:f>
        <x:v>0</x:v>
      </x:c>
    </x:row>
    <x:row r="2619" ht="27" customHeight="1">
      <x:c r="A2619" s="66" t="str">
        <x:v>SEV580</x:v>
      </x:c>
      <x:c r="B2619" s="66" t="str">
        <x:v>祁腾蜂赢1号</x:v>
      </x:c>
      <x:c r="C2619" s="72" t="n">
        <x:v>44824</x:v>
      </x:c>
      <x:c r="D2619" s="73" t="n">
        <x:v>1.0059</x:v>
      </x:c>
      <x:c r="E2619" s="73" t="n">
        <x:v>1.5409</x:v>
      </x:c>
      <x:c r="F2619" s="73" t="n">
        <x:v>1.6753</x:v>
      </x:c>
      <x:c r="G2619" s="74" t="n">
        <x:v>0</x:v>
      </x:c>
      <x:c r="H2619" s="66" t="str">
        <x:v>祁腾蜂赢1号净值20260911.xlsx</x:v>
      </x:c>
      <x:c r="I2619" s="73" t="str">
        <x:f>""</x:f>
      </x:c>
      <x:c r="J2619" s="74" t="str">
        <x:f>""</x:f>
      </x:c>
      <x:c r="K2619" s="73" t="str">
        <x:f>""</x:f>
      </x:c>
      <x:c r="L2619" s="74" t="str">
        <x:f>""</x:f>
      </x:c>
      <x:c r="M2619" s="73" t="n">
        <x:f>MAX(M2618,F2619)</x:f>
        <x:v>1.6753</x:v>
      </x:c>
      <x:c r="N2619" s="74" t="n">
        <x:f>1-F2619/M2619</x:f>
        <x:v>0</x:v>
      </x:c>
    </x:row>
    <x:row r="2620" ht="27" customHeight="1">
      <x:c r="A2620" s="66" t="str">
        <x:v>SEV580</x:v>
      </x:c>
      <x:c r="B2620" s="66" t="str">
        <x:v>祁腾蜂赢1号</x:v>
      </x:c>
      <x:c r="C2620" s="72" t="n">
        <x:v>44825</x:v>
      </x:c>
      <x:c r="D2620" s="73" t="n">
        <x:v>1.0057</x:v>
      </x:c>
      <x:c r="E2620" s="73" t="n">
        <x:v>1.5407</x:v>
      </x:c>
      <x:c r="F2620" s="73" t="n">
        <x:v>1.675</x:v>
      </x:c>
      <x:c r="G2620" s="74" t="n">
        <x:v>-0.0002</x:v>
      </x:c>
      <x:c r="H2620" s="66" t="str">
        <x:v>祁腾蜂赢1号净值20260911.xlsx</x:v>
      </x:c>
      <x:c r="I2620" s="73" t="str">
        <x:f>""</x:f>
      </x:c>
      <x:c r="J2620" s="74" t="str">
        <x:f>""</x:f>
      </x:c>
      <x:c r="K2620" s="73" t="str">
        <x:f>""</x:f>
      </x:c>
      <x:c r="L2620" s="74" t="str">
        <x:f>""</x:f>
      </x:c>
      <x:c r="M2620" s="73" t="n">
        <x:f>MAX(M2619,F2620)</x:f>
        <x:v>1.6753</x:v>
      </x:c>
      <x:c r="N2620" s="74" t="n">
        <x:f>1-F2620/M2620</x:f>
        <x:v>0.00017907240494241528</x:v>
      </x:c>
    </x:row>
    <x:row r="2621" ht="27" customHeight="1">
      <x:c r="A2621" s="66" t="str">
        <x:v>SEV580</x:v>
      </x:c>
      <x:c r="B2621" s="66" t="str">
        <x:v>祁腾蜂赢1号</x:v>
      </x:c>
      <x:c r="C2621" s="72" t="n">
        <x:v>44826</x:v>
      </x:c>
      <x:c r="D2621" s="73" t="n">
        <x:v>1.0059</x:v>
      </x:c>
      <x:c r="E2621" s="73" t="n">
        <x:v>1.5409</x:v>
      </x:c>
      <x:c r="F2621" s="73" t="n">
        <x:v>1.6753</x:v>
      </x:c>
      <x:c r="G2621" s="74" t="n">
        <x:v>0.0002</x:v>
      </x:c>
      <x:c r="H2621" s="66" t="str">
        <x:v>祁腾蜂赢1号净值20260911.xlsx</x:v>
      </x:c>
      <x:c r="I2621" s="73" t="str">
        <x:f>""</x:f>
      </x:c>
      <x:c r="J2621" s="74" t="str">
        <x:f>""</x:f>
      </x:c>
      <x:c r="K2621" s="73" t="str">
        <x:f>""</x:f>
      </x:c>
      <x:c r="L2621" s="74" t="str">
        <x:f>""</x:f>
      </x:c>
      <x:c r="M2621" s="73" t="n">
        <x:f>MAX(M2620,F2621)</x:f>
        <x:v>1.6753</x:v>
      </x:c>
      <x:c r="N2621" s="74" t="n">
        <x:f>1-F2621/M2621</x:f>
        <x:v>0</x:v>
      </x:c>
    </x:row>
    <x:row r="2622" ht="27" customHeight="1">
      <x:c r="A2622" s="66" t="str">
        <x:v>SEV580</x:v>
      </x:c>
      <x:c r="B2622" s="66" t="str">
        <x:v>祁腾蜂赢1号</x:v>
      </x:c>
      <x:c r="C2622" s="72" t="n">
        <x:v>44827</x:v>
      </x:c>
      <x:c r="D2622" s="73" t="n">
        <x:v>1.0065</x:v>
      </x:c>
      <x:c r="E2622" s="73" t="n">
        <x:v>1.5415</x:v>
      </x:c>
      <x:c r="F2622" s="73" t="n">
        <x:v>1.6763</x:v>
      </x:c>
      <x:c r="G2622" s="74" t="n">
        <x:v>0.0006</x:v>
      </x:c>
      <x:c r="H2622" s="66" t="str">
        <x:v>祁腾蜂赢1号净值20260911.xlsx</x:v>
      </x:c>
      <x:c r="I2622" s="73" t="str">
        <x:f>""</x:f>
      </x:c>
      <x:c r="J2622" s="74" t="str">
        <x:f>""</x:f>
      </x:c>
      <x:c r="K2622" s="73" t="str">
        <x:f>""</x:f>
      </x:c>
      <x:c r="L2622" s="74" t="str">
        <x:f>""</x:f>
      </x:c>
      <x:c r="M2622" s="73" t="n">
        <x:f>MAX(M2621,F2622)</x:f>
        <x:v>1.6763</x:v>
      </x:c>
      <x:c r="N2622" s="74" t="n">
        <x:f>1-F2622/M2622</x:f>
        <x:v>0</x:v>
      </x:c>
    </x:row>
    <x:row r="2623" ht="27" customHeight="1">
      <x:c r="A2623" s="66" t="str">
        <x:v>SEV580</x:v>
      </x:c>
      <x:c r="B2623" s="66" t="str">
        <x:v>祁腾蜂赢1号</x:v>
      </x:c>
      <x:c r="C2623" s="72" t="n">
        <x:v>44830</x:v>
      </x:c>
      <x:c r="D2623" s="73" t="n">
        <x:v>1.0063</x:v>
      </x:c>
      <x:c r="E2623" s="73" t="n">
        <x:v>1.5413</x:v>
      </x:c>
      <x:c r="F2623" s="73" t="n">
        <x:v>1.676</x:v>
      </x:c>
      <x:c r="G2623" s="74" t="n">
        <x:v>-0.0002</x:v>
      </x:c>
      <x:c r="H2623" s="66" t="str">
        <x:v>祁腾蜂赢1号净值20260911.xlsx</x:v>
      </x:c>
      <x:c r="I2623" s="73" t="str">
        <x:f>""</x:f>
      </x:c>
      <x:c r="J2623" s="74" t="str">
        <x:f>""</x:f>
      </x:c>
      <x:c r="K2623" s="73" t="str">
        <x:f>""</x:f>
      </x:c>
      <x:c r="L2623" s="74" t="str">
        <x:f>""</x:f>
      </x:c>
      <x:c r="M2623" s="73" t="n">
        <x:f>MAX(M2622,F2623)</x:f>
        <x:v>1.6763</x:v>
      </x:c>
      <x:c r="N2623" s="74" t="n">
        <x:f>1-F2623/M2623</x:f>
        <x:v>0.00017896557895358267</x:v>
      </x:c>
    </x:row>
    <x:row r="2624" ht="27" customHeight="1">
      <x:c r="A2624" s="66" t="str">
        <x:v>SEV580</x:v>
      </x:c>
      <x:c r="B2624" s="66" t="str">
        <x:v>祁腾蜂赢1号</x:v>
      </x:c>
      <x:c r="C2624" s="72" t="n">
        <x:v>44831</x:v>
      </x:c>
      <x:c r="D2624" s="73" t="n">
        <x:v>1.006</x:v>
      </x:c>
      <x:c r="E2624" s="73" t="n">
        <x:v>1.541</x:v>
      </x:c>
      <x:c r="F2624" s="73" t="n">
        <x:v>1.6755</x:v>
      </x:c>
      <x:c r="G2624" s="74" t="n">
        <x:v>-0.0003</x:v>
      </x:c>
      <x:c r="H2624" s="66" t="str">
        <x:v>祁腾蜂赢1号净值20260911.xlsx</x:v>
      </x:c>
      <x:c r="I2624" s="73" t="str">
        <x:f>""</x:f>
      </x:c>
      <x:c r="J2624" s="74" t="str">
        <x:f>""</x:f>
      </x:c>
      <x:c r="K2624" s="73" t="str">
        <x:f>""</x:f>
      </x:c>
      <x:c r="L2624" s="74" t="str">
        <x:f>""</x:f>
      </x:c>
      <x:c r="M2624" s="73" t="n">
        <x:f>MAX(M2623,F2624)</x:f>
        <x:v>1.6763</x:v>
      </x:c>
      <x:c r="N2624" s="74" t="n">
        <x:f>1-F2624/M2624</x:f>
        <x:v>0.00047724154387629447</x:v>
      </x:c>
    </x:row>
    <x:row r="2625" ht="27" customHeight="1">
      <x:c r="A2625" s="66" t="str">
        <x:v>SEV580</x:v>
      </x:c>
      <x:c r="B2625" s="66" t="str">
        <x:v>祁腾蜂赢1号</x:v>
      </x:c>
      <x:c r="C2625" s="72" t="n">
        <x:v>44832</x:v>
      </x:c>
      <x:c r="D2625" s="73" t="n">
        <x:v>1.006</x:v>
      </x:c>
      <x:c r="E2625" s="73" t="n">
        <x:v>1.541</x:v>
      </x:c>
      <x:c r="F2625" s="73" t="n">
        <x:v>1.6755</x:v>
      </x:c>
      <x:c r="G2625" s="74" t="n">
        <x:v>0</x:v>
      </x:c>
      <x:c r="H2625" s="66" t="str">
        <x:v>祁腾蜂赢1号净值20260911.xlsx</x:v>
      </x:c>
      <x:c r="I2625" s="73" t="str">
        <x:f>""</x:f>
      </x:c>
      <x:c r="J2625" s="74" t="str">
        <x:f>""</x:f>
      </x:c>
      <x:c r="K2625" s="73" t="str">
        <x:f>""</x:f>
      </x:c>
      <x:c r="L2625" s="74" t="str">
        <x:f>""</x:f>
      </x:c>
      <x:c r="M2625" s="73" t="n">
        <x:f>MAX(M2624,F2625)</x:f>
        <x:v>1.6763</x:v>
      </x:c>
      <x:c r="N2625" s="74" t="n">
        <x:f>1-F2625/M2625</x:f>
        <x:v>0.00047724154387629447</x:v>
      </x:c>
    </x:row>
    <x:row r="2626" ht="27" customHeight="1">
      <x:c r="A2626" s="66" t="str">
        <x:v>SEV580</x:v>
      </x:c>
      <x:c r="B2626" s="66" t="str">
        <x:v>祁腾蜂赢1号</x:v>
      </x:c>
      <x:c r="C2626" s="72" t="n">
        <x:v>44833</x:v>
      </x:c>
      <x:c r="D2626" s="73" t="n">
        <x:v>1.0056</x:v>
      </x:c>
      <x:c r="E2626" s="73" t="n">
        <x:v>1.5406</x:v>
      </x:c>
      <x:c r="F2626" s="73" t="n">
        <x:v>1.6748</x:v>
      </x:c>
      <x:c r="G2626" s="74" t="n">
        <x:v>-0.0004</x:v>
      </x:c>
      <x:c r="H2626" s="66" t="str">
        <x:v>祁腾蜂赢1号净值20260911.xlsx</x:v>
      </x:c>
      <x:c r="I2626" s="73" t="str">
        <x:f>""</x:f>
      </x:c>
      <x:c r="J2626" s="74" t="str">
        <x:f>""</x:f>
      </x:c>
      <x:c r="K2626" s="73" t="str">
        <x:f>""</x:f>
      </x:c>
      <x:c r="L2626" s="74" t="str">
        <x:f>""</x:f>
      </x:c>
      <x:c r="M2626" s="73" t="n">
        <x:f>MAX(M2625,F2626)</x:f>
        <x:v>1.6763</x:v>
      </x:c>
      <x:c r="N2626" s="74" t="n">
        <x:f>1-F2626/M2626</x:f>
        <x:v>0.0008948278947681354</x:v>
      </x:c>
    </x:row>
    <x:row r="2627" ht="27" customHeight="1">
      <x:c r="A2627" s="66" t="str">
        <x:v>SEV580</x:v>
      </x:c>
      <x:c r="B2627" s="66" t="str">
        <x:v>祁腾蜂赢1号</x:v>
      </x:c>
      <x:c r="C2627" s="72" t="n">
        <x:v>44834</x:v>
      </x:c>
      <x:c r="D2627" s="73" t="n">
        <x:v>1.0053</x:v>
      </x:c>
      <x:c r="E2627" s="73" t="n">
        <x:v>1.5403</x:v>
      </x:c>
      <x:c r="F2627" s="73" t="n">
        <x:v>1.6743</x:v>
      </x:c>
      <x:c r="G2627" s="74" t="n">
        <x:v>-0.0003</x:v>
      </x:c>
      <x:c r="H2627" s="66" t="str">
        <x:v>祁腾蜂赢1号净值20260911.xlsx</x:v>
      </x:c>
      <x:c r="I2627" s="73" t="str">
        <x:f>""</x:f>
      </x:c>
      <x:c r="J2627" s="74" t="str">
        <x:f>""</x:f>
      </x:c>
      <x:c r="K2627" s="73" t="str">
        <x:f>""</x:f>
      </x:c>
      <x:c r="L2627" s="74" t="str">
        <x:f>""</x:f>
      </x:c>
      <x:c r="M2627" s="73" t="n">
        <x:f>MAX(M2626,F2627)</x:f>
        <x:v>1.6763</x:v>
      </x:c>
      <x:c r="N2627" s="74" t="n">
        <x:f>1-F2627/M2627</x:f>
        <x:v>0.0011931038596909582</x:v>
      </x:c>
    </x:row>
    <x:row r="2628" ht="27" customHeight="1">
      <x:c r="A2628" s="66" t="str">
        <x:v>SEV580</x:v>
      </x:c>
      <x:c r="B2628" s="66" t="str">
        <x:v>祁腾蜂赢1号</x:v>
      </x:c>
      <x:c r="C2628" s="72" t="n">
        <x:v>44844</x:v>
      </x:c>
      <x:c r="D2628" s="73" t="n">
        <x:v>1.0052</x:v>
      </x:c>
      <x:c r="E2628" s="73" t="n">
        <x:v>1.5402</x:v>
      </x:c>
      <x:c r="F2628" s="73" t="n">
        <x:v>1.6741</x:v>
      </x:c>
      <x:c r="G2628" s="74" t="n">
        <x:v>-0.0001</x:v>
      </x:c>
      <x:c r="H2628" s="66" t="str">
        <x:v>祁腾蜂赢1号净值20260911.xlsx</x:v>
      </x:c>
      <x:c r="I2628" s="73" t="str">
        <x:f>""</x:f>
      </x:c>
      <x:c r="J2628" s="74" t="str">
        <x:f>""</x:f>
      </x:c>
      <x:c r="K2628" s="73" t="str">
        <x:f>""</x:f>
      </x:c>
      <x:c r="L2628" s="74" t="str">
        <x:f>""</x:f>
      </x:c>
      <x:c r="M2628" s="73" t="n">
        <x:f>MAX(M2627,F2628)</x:f>
        <x:v>1.6763</x:v>
      </x:c>
      <x:c r="N2628" s="74" t="n">
        <x:f>1-F2628/M2628</x:f>
        <x:v>0.0013124142456600874</x:v>
      </x:c>
    </x:row>
    <x:row r="2629" ht="27" customHeight="1">
      <x:c r="A2629" s="66" t="str">
        <x:v>SEV580</x:v>
      </x:c>
      <x:c r="B2629" s="66" t="str">
        <x:v>祁腾蜂赢1号</x:v>
      </x:c>
      <x:c r="C2629" s="72" t="n">
        <x:v>44845</x:v>
      </x:c>
      <x:c r="D2629" s="73" t="n">
        <x:v>1.0054</x:v>
      </x:c>
      <x:c r="E2629" s="73" t="n">
        <x:v>1.5404</x:v>
      </x:c>
      <x:c r="F2629" s="73" t="n">
        <x:v>1.6745</x:v>
      </x:c>
      <x:c r="G2629" s="74" t="n">
        <x:v>0.0002</x:v>
      </x:c>
      <x:c r="H2629" s="66" t="str">
        <x:v>祁腾蜂赢1号净值20260911.xlsx</x:v>
      </x:c>
      <x:c r="I2629" s="73" t="str">
        <x:f>""</x:f>
      </x:c>
      <x:c r="J2629" s="74" t="str">
        <x:f>""</x:f>
      </x:c>
      <x:c r="K2629" s="73" t="str">
        <x:f>""</x:f>
      </x:c>
      <x:c r="L2629" s="74" t="str">
        <x:f>""</x:f>
      </x:c>
      <x:c r="M2629" s="73" t="n">
        <x:f>MAX(M2628,F2629)</x:f>
        <x:v>1.6763</x:v>
      </x:c>
      <x:c r="N2629" s="74" t="n">
        <x:f>1-F2629/M2629</x:f>
        <x:v>0.001073793473721718</x:v>
      </x:c>
    </x:row>
    <x:row r="2630" ht="27" customHeight="1">
      <x:c r="A2630" s="66" t="str">
        <x:v>SEV580</x:v>
      </x:c>
      <x:c r="B2630" s="66" t="str">
        <x:v>祁腾蜂赢1号</x:v>
      </x:c>
      <x:c r="C2630" s="72" t="n">
        <x:v>44846</x:v>
      </x:c>
      <x:c r="D2630" s="73" t="n">
        <x:v>1.0064</x:v>
      </x:c>
      <x:c r="E2630" s="73" t="n">
        <x:v>1.5414</x:v>
      </x:c>
      <x:c r="F2630" s="73" t="n">
        <x:v>1.6761</x:v>
      </x:c>
      <x:c r="G2630" s="74" t="n">
        <x:v>0.001</x:v>
      </x:c>
      <x:c r="H2630" s="66" t="str">
        <x:v>祁腾蜂赢1号净值20260911.xlsx</x:v>
      </x:c>
      <x:c r="I2630" s="73" t="str">
        <x:f>""</x:f>
      </x:c>
      <x:c r="J2630" s="74" t="str">
        <x:f>""</x:f>
      </x:c>
      <x:c r="K2630" s="73" t="str">
        <x:f>""</x:f>
      </x:c>
      <x:c r="L2630" s="74" t="str">
        <x:f>""</x:f>
      </x:c>
      <x:c r="M2630" s="73" t="n">
        <x:f>MAX(M2629,F2630)</x:f>
        <x:v>1.6763</x:v>
      </x:c>
      <x:c r="N2630" s="74" t="n">
        <x:f>1-F2630/M2630</x:f>
        <x:v>0.00011931038596912913</x:v>
      </x:c>
    </x:row>
    <x:row r="2631" ht="27" customHeight="1">
      <x:c r="A2631" s="66" t="str">
        <x:v>SEV580</x:v>
      </x:c>
      <x:c r="B2631" s="66" t="str">
        <x:v>祁腾蜂赢1号</x:v>
      </x:c>
      <x:c r="C2631" s="72" t="n">
        <x:v>44847</x:v>
      </x:c>
      <x:c r="D2631" s="73" t="n">
        <x:v>1.0061</x:v>
      </x:c>
      <x:c r="E2631" s="73" t="n">
        <x:v>1.5411</x:v>
      </x:c>
      <x:c r="F2631" s="73" t="n">
        <x:v>1.6756</x:v>
      </x:c>
      <x:c r="G2631" s="74" t="n">
        <x:v>-0.0003</x:v>
      </x:c>
      <x:c r="H2631" s="66" t="str">
        <x:v>祁腾蜂赢1号净值20260911.xlsx</x:v>
      </x:c>
      <x:c r="I2631" s="73" t="str">
        <x:f>""</x:f>
      </x:c>
      <x:c r="J2631" s="74" t="str">
        <x:f>""</x:f>
      </x:c>
      <x:c r="K2631" s="73" t="str">
        <x:f>""</x:f>
      </x:c>
      <x:c r="L2631" s="74" t="str">
        <x:f>""</x:f>
      </x:c>
      <x:c r="M2631" s="73" t="n">
        <x:f>MAX(M2630,F2631)</x:f>
        <x:v>1.6763</x:v>
      </x:c>
      <x:c r="N2631" s="74" t="n">
        <x:f>1-F2631/M2631</x:f>
        <x:v>0.00041758635089184093</x:v>
      </x:c>
    </x:row>
    <x:row r="2632" ht="27" customHeight="1">
      <x:c r="A2632" s="66" t="str">
        <x:v>SEV580</x:v>
      </x:c>
      <x:c r="B2632" s="66" t="str">
        <x:v>祁腾蜂赢1号</x:v>
      </x:c>
      <x:c r="C2632" s="72" t="n">
        <x:v>44848</x:v>
      </x:c>
      <x:c r="D2632" s="73" t="n">
        <x:v>1.0063</x:v>
      </x:c>
      <x:c r="E2632" s="73" t="n">
        <x:v>1.5413</x:v>
      </x:c>
      <x:c r="F2632" s="73" t="n">
        <x:v>1.676</x:v>
      </x:c>
      <x:c r="G2632" s="74" t="n">
        <x:v>0.0002</x:v>
      </x:c>
      <x:c r="H2632" s="66" t="str">
        <x:v>祁腾蜂赢1号净值20260911.xlsx</x:v>
      </x:c>
      <x:c r="I2632" s="73" t="str">
        <x:f>""</x:f>
      </x:c>
      <x:c r="J2632" s="74" t="str">
        <x:f>""</x:f>
      </x:c>
      <x:c r="K2632" s="73" t="str">
        <x:f>""</x:f>
      </x:c>
      <x:c r="L2632" s="74" t="str">
        <x:f>""</x:f>
      </x:c>
      <x:c r="M2632" s="73" t="n">
        <x:f>MAX(M2631,F2632)</x:f>
        <x:v>1.6763</x:v>
      </x:c>
      <x:c r="N2632" s="74" t="n">
        <x:f>1-F2632/M2632</x:f>
        <x:v>0.00017896557895358267</x:v>
      </x:c>
    </x:row>
    <x:row r="2633" ht="27" customHeight="1">
      <x:c r="A2633" s="66" t="str">
        <x:v>SEV580</x:v>
      </x:c>
      <x:c r="B2633" s="66" t="str">
        <x:v>祁腾蜂赢1号</x:v>
      </x:c>
      <x:c r="C2633" s="72" t="n">
        <x:v>44851</x:v>
      </x:c>
      <x:c r="D2633" s="73" t="n">
        <x:v>1.0063</x:v>
      </x:c>
      <x:c r="E2633" s="73" t="n">
        <x:v>1.5413</x:v>
      </x:c>
      <x:c r="F2633" s="73" t="n">
        <x:v>1.676</x:v>
      </x:c>
      <x:c r="G2633" s="74" t="n">
        <x:v>0</x:v>
      </x:c>
      <x:c r="H2633" s="66" t="str">
        <x:v>祁腾蜂赢1号净值20260911.xlsx</x:v>
      </x:c>
      <x:c r="I2633" s="73" t="str">
        <x:f>""</x:f>
      </x:c>
      <x:c r="J2633" s="74" t="str">
        <x:f>""</x:f>
      </x:c>
      <x:c r="K2633" s="73" t="str">
        <x:f>""</x:f>
      </x:c>
      <x:c r="L2633" s="74" t="str">
        <x:f>""</x:f>
      </x:c>
      <x:c r="M2633" s="73" t="n">
        <x:f>MAX(M2632,F2633)</x:f>
        <x:v>1.6763</x:v>
      </x:c>
      <x:c r="N2633" s="74" t="n">
        <x:f>1-F2633/M2633</x:f>
        <x:v>0.00017896557895358267</x:v>
      </x:c>
    </x:row>
    <x:row r="2634" ht="27" customHeight="1">
      <x:c r="A2634" s="66" t="str">
        <x:v>SEV580</x:v>
      </x:c>
      <x:c r="B2634" s="66" t="str">
        <x:v>祁腾蜂赢1号</x:v>
      </x:c>
      <x:c r="C2634" s="72" t="n">
        <x:v>44852</x:v>
      </x:c>
      <x:c r="D2634" s="73" t="n">
        <x:v>1.0076</x:v>
      </x:c>
      <x:c r="E2634" s="73" t="n">
        <x:v>1.5426</x:v>
      </x:c>
      <x:c r="F2634" s="73" t="n">
        <x:v>1.6781</x:v>
      </x:c>
      <x:c r="G2634" s="74" t="n">
        <x:v>0.0013</x:v>
      </x:c>
      <x:c r="H2634" s="66" t="str">
        <x:v>祁腾蜂赢1号净值20260911.xlsx</x:v>
      </x:c>
      <x:c r="I2634" s="73" t="str">
        <x:f>""</x:f>
      </x:c>
      <x:c r="J2634" s="74" t="str">
        <x:f>""</x:f>
      </x:c>
      <x:c r="K2634" s="73" t="str">
        <x:f>""</x:f>
      </x:c>
      <x:c r="L2634" s="74" t="str">
        <x:f>""</x:f>
      </x:c>
      <x:c r="M2634" s="73" t="n">
        <x:f>MAX(M2633,F2634)</x:f>
        <x:v>1.6781</x:v>
      </x:c>
      <x:c r="N2634" s="74" t="n">
        <x:f>1-F2634/M2634</x:f>
        <x:v>0</x:v>
      </x:c>
    </x:row>
    <x:row r="2635" ht="27" customHeight="1">
      <x:c r="A2635" s="66" t="str">
        <x:v>SEV580</x:v>
      </x:c>
      <x:c r="B2635" s="66" t="str">
        <x:v>祁腾蜂赢1号</x:v>
      </x:c>
      <x:c r="C2635" s="72" t="n">
        <x:v>44853</x:v>
      </x:c>
      <x:c r="D2635" s="73" t="n">
        <x:v>1.0076</x:v>
      </x:c>
      <x:c r="E2635" s="73" t="n">
        <x:v>1.5426</x:v>
      </x:c>
      <x:c r="F2635" s="73" t="n">
        <x:v>1.6781</x:v>
      </x:c>
      <x:c r="G2635" s="74" t="n">
        <x:v>0</x:v>
      </x:c>
      <x:c r="H2635" s="66" t="str">
        <x:v>祁腾蜂赢1号净值20260911.xlsx</x:v>
      </x:c>
      <x:c r="I2635" s="73" t="str">
        <x:f>""</x:f>
      </x:c>
      <x:c r="J2635" s="74" t="str">
        <x:f>""</x:f>
      </x:c>
      <x:c r="K2635" s="73" t="str">
        <x:f>""</x:f>
      </x:c>
      <x:c r="L2635" s="74" t="str">
        <x:f>""</x:f>
      </x:c>
      <x:c r="M2635" s="73" t="n">
        <x:f>MAX(M2634,F2635)</x:f>
        <x:v>1.6781</x:v>
      </x:c>
      <x:c r="N2635" s="74" t="n">
        <x:f>1-F2635/M2635</x:f>
        <x:v>0</x:v>
      </x:c>
    </x:row>
    <x:row r="2636" ht="27" customHeight="1">
      <x:c r="A2636" s="66" t="str">
        <x:v>SEV580</x:v>
      </x:c>
      <x:c r="B2636" s="66" t="str">
        <x:v>祁腾蜂赢1号</x:v>
      </x:c>
      <x:c r="C2636" s="72" t="n">
        <x:v>44854</x:v>
      </x:c>
      <x:c r="D2636" s="73" t="n">
        <x:v>1.009</x:v>
      </x:c>
      <x:c r="E2636" s="73" t="n">
        <x:v>1.544</x:v>
      </x:c>
      <x:c r="F2636" s="73" t="n">
        <x:v>1.6805</x:v>
      </x:c>
      <x:c r="G2636" s="74" t="n">
        <x:v>0.0014000000000000002</x:v>
      </x:c>
      <x:c r="H2636" s="66" t="str">
        <x:v>祁腾蜂赢1号净值20260911.xlsx</x:v>
      </x:c>
      <x:c r="I2636" s="73" t="str">
        <x:f>""</x:f>
      </x:c>
      <x:c r="J2636" s="74" t="str">
        <x:f>""</x:f>
      </x:c>
      <x:c r="K2636" s="73" t="str">
        <x:f>""</x:f>
      </x:c>
      <x:c r="L2636" s="74" t="str">
        <x:f>""</x:f>
      </x:c>
      <x:c r="M2636" s="73" t="n">
        <x:f>MAX(M2635,F2636)</x:f>
        <x:v>1.6805</x:v>
      </x:c>
      <x:c r="N2636" s="74" t="n">
        <x:f>1-F2636/M2636</x:f>
        <x:v>0</x:v>
      </x:c>
    </x:row>
    <x:row r="2637" ht="27" customHeight="1">
      <x:c r="A2637" s="66" t="str">
        <x:v>SEV580</x:v>
      </x:c>
      <x:c r="B2637" s="66" t="str">
        <x:v>祁腾蜂赢1号</x:v>
      </x:c>
      <x:c r="C2637" s="72" t="n">
        <x:v>44855</x:v>
      </x:c>
      <x:c r="D2637" s="73" t="n">
        <x:v>1.0093</x:v>
      </x:c>
      <x:c r="E2637" s="73" t="n">
        <x:v>1.5443</x:v>
      </x:c>
      <x:c r="F2637" s="73" t="n">
        <x:v>1.681</x:v>
      </x:c>
      <x:c r="G2637" s="74" t="n">
        <x:v>0.0003</x:v>
      </x:c>
      <x:c r="H2637" s="66" t="str">
        <x:v>祁腾蜂赢1号净值20260911.xlsx</x:v>
      </x:c>
      <x:c r="I2637" s="73" t="str">
        <x:f>""</x:f>
      </x:c>
      <x:c r="J2637" s="74" t="str">
        <x:f>""</x:f>
      </x:c>
      <x:c r="K2637" s="73" t="str">
        <x:f>""</x:f>
      </x:c>
      <x:c r="L2637" s="74" t="str">
        <x:f>""</x:f>
      </x:c>
      <x:c r="M2637" s="73" t="n">
        <x:f>MAX(M2636,F2637)</x:f>
        <x:v>1.681</x:v>
      </x:c>
      <x:c r="N2637" s="74" t="n">
        <x:f>1-F2637/M2637</x:f>
        <x:v>0</x:v>
      </x:c>
    </x:row>
    <x:row r="2638" ht="27" customHeight="1">
      <x:c r="A2638" s="66" t="str">
        <x:v>SEV580</x:v>
      </x:c>
      <x:c r="B2638" s="66" t="str">
        <x:v>祁腾蜂赢1号</x:v>
      </x:c>
      <x:c r="C2638" s="72" t="n">
        <x:v>44858</x:v>
      </x:c>
      <x:c r="D2638" s="73" t="n">
        <x:v>1.0102</x:v>
      </x:c>
      <x:c r="E2638" s="73" t="n">
        <x:v>1.5452</x:v>
      </x:c>
      <x:c r="F2638" s="73" t="n">
        <x:v>1.6825</x:v>
      </x:c>
      <x:c r="G2638" s="74" t="n">
        <x:v>0.0009</x:v>
      </x:c>
      <x:c r="H2638" s="66" t="str">
        <x:v>祁腾蜂赢1号净值20260911.xlsx</x:v>
      </x:c>
      <x:c r="I2638" s="73" t="str">
        <x:f>""</x:f>
      </x:c>
      <x:c r="J2638" s="74" t="str">
        <x:f>""</x:f>
      </x:c>
      <x:c r="K2638" s="73" t="str">
        <x:f>""</x:f>
      </x:c>
      <x:c r="L2638" s="74" t="str">
        <x:f>""</x:f>
      </x:c>
      <x:c r="M2638" s="73" t="n">
        <x:f>MAX(M2637,F2638)</x:f>
        <x:v>1.6825</x:v>
      </x:c>
      <x:c r="N2638" s="74" t="n">
        <x:f>1-F2638/M2638</x:f>
        <x:v>0</x:v>
      </x:c>
    </x:row>
    <x:row r="2639" ht="27" customHeight="1">
      <x:c r="A2639" s="66" t="str">
        <x:v>SEV580</x:v>
      </x:c>
      <x:c r="B2639" s="66" t="str">
        <x:v>祁腾蜂赢1号</x:v>
      </x:c>
      <x:c r="C2639" s="72" t="n">
        <x:v>44859</x:v>
      </x:c>
      <x:c r="D2639" s="73" t="n">
        <x:v>1.0088</x:v>
      </x:c>
      <x:c r="E2639" s="73" t="n">
        <x:v>1.5438</x:v>
      </x:c>
      <x:c r="F2639" s="73" t="n">
        <x:v>1.6801</x:v>
      </x:c>
      <x:c r="G2639" s="74" t="n">
        <x:v>-0.0014000000000000002</x:v>
      </x:c>
      <x:c r="H2639" s="66" t="str">
        <x:v>祁腾蜂赢1号净值20260911.xlsx</x:v>
      </x:c>
      <x:c r="I2639" s="73" t="str">
        <x:f>""</x:f>
      </x:c>
      <x:c r="J2639" s="74" t="str">
        <x:f>""</x:f>
      </x:c>
      <x:c r="K2639" s="73" t="str">
        <x:f>""</x:f>
      </x:c>
      <x:c r="L2639" s="74" t="str">
        <x:f>""</x:f>
      </x:c>
      <x:c r="M2639" s="73" t="n">
        <x:f>MAX(M2638,F2639)</x:f>
        <x:v>1.6825</x:v>
      </x:c>
      <x:c r="N2639" s="74" t="n">
        <x:f>1-F2639/M2639</x:f>
        <x:v>0.0014264487369985979</x:v>
      </x:c>
    </x:row>
    <x:row r="2640" ht="27" customHeight="1">
      <x:c r="A2640" s="66" t="str">
        <x:v>SEV580</x:v>
      </x:c>
      <x:c r="B2640" s="66" t="str">
        <x:v>祁腾蜂赢1号</x:v>
      </x:c>
      <x:c r="C2640" s="72" t="n">
        <x:v>44860</x:v>
      </x:c>
      <x:c r="D2640" s="73" t="n">
        <x:v>1.0087</x:v>
      </x:c>
      <x:c r="E2640" s="73" t="n">
        <x:v>1.5437</x:v>
      </x:c>
      <x:c r="F2640" s="73" t="n">
        <x:v>1.68</x:v>
      </x:c>
      <x:c r="G2640" s="74" t="n">
        <x:v>-0.0001</x:v>
      </x:c>
      <x:c r="H2640" s="66" t="str">
        <x:v>祁腾蜂赢1号净值20260911.xlsx</x:v>
      </x:c>
      <x:c r="I2640" s="73" t="str">
        <x:f>""</x:f>
      </x:c>
      <x:c r="J2640" s="74" t="str">
        <x:f>""</x:f>
      </x:c>
      <x:c r="K2640" s="73" t="str">
        <x:f>""</x:f>
      </x:c>
      <x:c r="L2640" s="74" t="str">
        <x:f>""</x:f>
      </x:c>
      <x:c r="M2640" s="73" t="n">
        <x:f>MAX(M2639,F2640)</x:f>
        <x:v>1.6825</x:v>
      </x:c>
      <x:c r="N2640" s="74" t="n">
        <x:f>1-F2640/M2640</x:f>
        <x:v>0.0014858841010402246</x:v>
      </x:c>
    </x:row>
    <x:row r="2641" ht="27" customHeight="1">
      <x:c r="A2641" s="66" t="str">
        <x:v>SEV580</x:v>
      </x:c>
      <x:c r="B2641" s="66" t="str">
        <x:v>祁腾蜂赢1号</x:v>
      </x:c>
      <x:c r="C2641" s="72" t="n">
        <x:v>44861</x:v>
      </x:c>
      <x:c r="D2641" s="73" t="n">
        <x:v>1.0087</x:v>
      </x:c>
      <x:c r="E2641" s="73" t="n">
        <x:v>1.5437</x:v>
      </x:c>
      <x:c r="F2641" s="73" t="n">
        <x:v>1.68</x:v>
      </x:c>
      <x:c r="G2641" s="74" t="n">
        <x:v>0</x:v>
      </x:c>
      <x:c r="H2641" s="66" t="str">
        <x:v>祁腾蜂赢1号净值20260911.xlsx</x:v>
      </x:c>
      <x:c r="I2641" s="73" t="str">
        <x:f>""</x:f>
      </x:c>
      <x:c r="J2641" s="74" t="str">
        <x:f>""</x:f>
      </x:c>
      <x:c r="K2641" s="73" t="str">
        <x:f>""</x:f>
      </x:c>
      <x:c r="L2641" s="74" t="str">
        <x:f>""</x:f>
      </x:c>
      <x:c r="M2641" s="73" t="n">
        <x:f>MAX(M2640,F2641)</x:f>
        <x:v>1.6825</x:v>
      </x:c>
      <x:c r="N2641" s="74" t="n">
        <x:f>1-F2641/M2641</x:f>
        <x:v>0.0014858841010402246</x:v>
      </x:c>
    </x:row>
    <x:row r="2642" ht="27" customHeight="1">
      <x:c r="A2642" s="66" t="str">
        <x:v>SEV580</x:v>
      </x:c>
      <x:c r="B2642" s="66" t="str">
        <x:v>祁腾蜂赢1号</x:v>
      </x:c>
      <x:c r="C2642" s="72" t="n">
        <x:v>44862</x:v>
      </x:c>
      <x:c r="D2642" s="73" t="n">
        <x:v>1.0083</x:v>
      </x:c>
      <x:c r="E2642" s="73" t="n">
        <x:v>1.5433</x:v>
      </x:c>
      <x:c r="F2642" s="73" t="n">
        <x:v>1.6793</x:v>
      </x:c>
      <x:c r="G2642" s="74" t="n">
        <x:v>-0.0004</x:v>
      </x:c>
      <x:c r="H2642" s="66" t="str">
        <x:v>祁腾蜂赢1号净值20260911.xlsx</x:v>
      </x:c>
      <x:c r="I2642" s="73" t="str">
        <x:f>""</x:f>
      </x:c>
      <x:c r="J2642" s="74" t="str">
        <x:f>""</x:f>
      </x:c>
      <x:c r="K2642" s="73" t="str">
        <x:f>""</x:f>
      </x:c>
      <x:c r="L2642" s="74" t="str">
        <x:f>""</x:f>
      </x:c>
      <x:c r="M2642" s="73" t="n">
        <x:f>MAX(M2641,F2642)</x:f>
        <x:v>1.6825</x:v>
      </x:c>
      <x:c r="N2642" s="74" t="n">
        <x:f>1-F2642/M2642</x:f>
        <x:v>0.0019019316493313898</x:v>
      </x:c>
    </x:row>
    <x:row r="2643" ht="27" customHeight="1">
      <x:c r="A2643" s="66" t="str">
        <x:v>SEV580</x:v>
      </x:c>
      <x:c r="B2643" s="66" t="str">
        <x:v>祁腾蜂赢1号</x:v>
      </x:c>
      <x:c r="C2643" s="72" t="n">
        <x:v>44865</x:v>
      </x:c>
      <x:c r="D2643" s="73" t="n">
        <x:v>1.0083</x:v>
      </x:c>
      <x:c r="E2643" s="73" t="n">
        <x:v>1.5433</x:v>
      </x:c>
      <x:c r="F2643" s="73" t="n">
        <x:v>1.6793</x:v>
      </x:c>
      <x:c r="G2643" s="74" t="n">
        <x:v>0</x:v>
      </x:c>
      <x:c r="H2643" s="66" t="str">
        <x:v>祁腾蜂赢1号净值20260911.xlsx</x:v>
      </x:c>
      <x:c r="I2643" s="73" t="str">
        <x:f>""</x:f>
      </x:c>
      <x:c r="J2643" s="74" t="str">
        <x:f>""</x:f>
      </x:c>
      <x:c r="K2643" s="73" t="str">
        <x:f>""</x:f>
      </x:c>
      <x:c r="L2643" s="74" t="str">
        <x:f>""</x:f>
      </x:c>
      <x:c r="M2643" s="73" t="n">
        <x:f>MAX(M2642,F2643)</x:f>
        <x:v>1.6825</x:v>
      </x:c>
      <x:c r="N2643" s="74" t="n">
        <x:f>1-F2643/M2643</x:f>
        <x:v>0.0019019316493313898</x:v>
      </x:c>
    </x:row>
    <x:row r="2644" ht="27" customHeight="1">
      <x:c r="A2644" s="66" t="str">
        <x:v>SEV580</x:v>
      </x:c>
      <x:c r="B2644" s="66" t="str">
        <x:v>祁腾蜂赢1号</x:v>
      </x:c>
      <x:c r="C2644" s="72" t="n">
        <x:v>44866</x:v>
      </x:c>
      <x:c r="D2644" s="73" t="n">
        <x:v>1.0087</x:v>
      </x:c>
      <x:c r="E2644" s="73" t="n">
        <x:v>1.5437</x:v>
      </x:c>
      <x:c r="F2644" s="73" t="n">
        <x:v>1.68</x:v>
      </x:c>
      <x:c r="G2644" s="74" t="n">
        <x:v>0.0004</x:v>
      </x:c>
      <x:c r="H2644" s="66" t="str">
        <x:v>祁腾蜂赢1号净值20260911.xlsx</x:v>
      </x:c>
      <x:c r="I2644" s="73" t="str">
        <x:f>""</x:f>
      </x:c>
      <x:c r="J2644" s="74" t="str">
        <x:f>""</x:f>
      </x:c>
      <x:c r="K2644" s="73" t="str">
        <x:f>""</x:f>
      </x:c>
      <x:c r="L2644" s="74" t="str">
        <x:f>""</x:f>
      </x:c>
      <x:c r="M2644" s="73" t="n">
        <x:f>MAX(M2643,F2644)</x:f>
        <x:v>1.6825</x:v>
      </x:c>
      <x:c r="N2644" s="74" t="n">
        <x:f>1-F2644/M2644</x:f>
        <x:v>0.0014858841010402246</x:v>
      </x:c>
    </x:row>
    <x:row r="2645" ht="27" customHeight="1">
      <x:c r="A2645" s="66" t="str">
        <x:v>SEV580</x:v>
      </x:c>
      <x:c r="B2645" s="66" t="str">
        <x:v>祁腾蜂赢1号</x:v>
      </x:c>
      <x:c r="C2645" s="72" t="n">
        <x:v>44867</x:v>
      </x:c>
      <x:c r="D2645" s="73" t="n">
        <x:v>1.0079</x:v>
      </x:c>
      <x:c r="E2645" s="73" t="n">
        <x:v>1.5429</x:v>
      </x:c>
      <x:c r="F2645" s="73" t="n">
        <x:v>1.6786</x:v>
      </x:c>
      <x:c r="G2645" s="74" t="n">
        <x:v>-0.0008</x:v>
      </x:c>
      <x:c r="H2645" s="66" t="str">
        <x:v>祁腾蜂赢1号净值20260911.xlsx</x:v>
      </x:c>
      <x:c r="I2645" s="73" t="str">
        <x:f>""</x:f>
      </x:c>
      <x:c r="J2645" s="74" t="str">
        <x:f>""</x:f>
      </x:c>
      <x:c r="K2645" s="73" t="str">
        <x:f>""</x:f>
      </x:c>
      <x:c r="L2645" s="74" t="str">
        <x:f>""</x:f>
      </x:c>
      <x:c r="M2645" s="73" t="n">
        <x:f>MAX(M2644,F2645)</x:f>
        <x:v>1.6825</x:v>
      </x:c>
      <x:c r="N2645" s="74" t="n">
        <x:f>1-F2645/M2645</x:f>
        <x:v>0.002317979197622555</x:v>
      </x:c>
    </x:row>
    <x:row r="2646" ht="27" customHeight="1">
      <x:c r="A2646" s="66" t="str">
        <x:v>SEV580</x:v>
      </x:c>
      <x:c r="B2646" s="66" t="str">
        <x:v>祁腾蜂赢1号</x:v>
      </x:c>
      <x:c r="C2646" s="72" t="n">
        <x:v>44868</x:v>
      </x:c>
      <x:c r="D2646" s="73" t="n">
        <x:v>1.0081</x:v>
      </x:c>
      <x:c r="E2646" s="73" t="n">
        <x:v>1.5431</x:v>
      </x:c>
      <x:c r="F2646" s="73" t="n">
        <x:v>1.679</x:v>
      </x:c>
      <x:c r="G2646" s="74" t="n">
        <x:v>0.0002</x:v>
      </x:c>
      <x:c r="H2646" s="66" t="str">
        <x:v>祁腾蜂赢1号净值20260911.xlsx</x:v>
      </x:c>
      <x:c r="I2646" s="73" t="str">
        <x:f>""</x:f>
      </x:c>
      <x:c r="J2646" s="74" t="str">
        <x:f>""</x:f>
      </x:c>
      <x:c r="K2646" s="73" t="str">
        <x:f>""</x:f>
      </x:c>
      <x:c r="L2646" s="74" t="str">
        <x:f>""</x:f>
      </x:c>
      <x:c r="M2646" s="73" t="n">
        <x:f>MAX(M2645,F2646)</x:f>
        <x:v>1.6825</x:v>
      </x:c>
      <x:c r="N2646" s="74" t="n">
        <x:f>1-F2646/M2646</x:f>
        <x:v>0.002080237741456159</x:v>
      </x:c>
    </x:row>
    <x:row r="2647" ht="27" customHeight="1">
      <x:c r="A2647" s="66" t="str">
        <x:v>SEV580</x:v>
      </x:c>
      <x:c r="B2647" s="66" t="str">
        <x:v>祁腾蜂赢1号</x:v>
      </x:c>
      <x:c r="C2647" s="72" t="n">
        <x:v>44869</x:v>
      </x:c>
      <x:c r="D2647" s="73" t="n">
        <x:v>1.0086</x:v>
      </x:c>
      <x:c r="E2647" s="73" t="n">
        <x:v>1.5436</x:v>
      </x:c>
      <x:c r="F2647" s="73" t="n">
        <x:v>1.6798</x:v>
      </x:c>
      <x:c r="G2647" s="74" t="n">
        <x:v>0.0005</x:v>
      </x:c>
      <x:c r="H2647" s="66" t="str">
        <x:v>祁腾蜂赢1号净值20260911.xlsx</x:v>
      </x:c>
      <x:c r="I2647" s="73" t="str">
        <x:f>""</x:f>
      </x:c>
      <x:c r="J2647" s="74" t="str">
        <x:f>""</x:f>
      </x:c>
      <x:c r="K2647" s="73" t="str">
        <x:f>""</x:f>
      </x:c>
      <x:c r="L2647" s="74" t="str">
        <x:f>""</x:f>
      </x:c>
      <x:c r="M2647" s="73" t="n">
        <x:f>MAX(M2646,F2647)</x:f>
        <x:v>1.6825</x:v>
      </x:c>
      <x:c r="N2647" s="74" t="n">
        <x:f>1-F2647/M2647</x:f>
        <x:v>0.001604754829123367</x:v>
      </x:c>
    </x:row>
    <x:row r="2648" ht="27" customHeight="1">
      <x:c r="A2648" s="66" t="str">
        <x:v>SEV580</x:v>
      </x:c>
      <x:c r="B2648" s="66" t="str">
        <x:v>祁腾蜂赢1号</x:v>
      </x:c>
      <x:c r="C2648" s="72" t="n">
        <x:v>44872</x:v>
      </x:c>
      <x:c r="D2648" s="73" t="n">
        <x:v>1.0087</x:v>
      </x:c>
      <x:c r="E2648" s="73" t="n">
        <x:v>1.5437</x:v>
      </x:c>
      <x:c r="F2648" s="73" t="n">
        <x:v>1.68</x:v>
      </x:c>
      <x:c r="G2648" s="74" t="n">
        <x:v>0.0001</x:v>
      </x:c>
      <x:c r="H2648" s="66" t="str">
        <x:v>祁腾蜂赢1号净值20260911.xlsx</x:v>
      </x:c>
      <x:c r="I2648" s="73" t="str">
        <x:f>""</x:f>
      </x:c>
      <x:c r="J2648" s="74" t="str">
        <x:f>""</x:f>
      </x:c>
      <x:c r="K2648" s="73" t="str">
        <x:f>""</x:f>
      </x:c>
      <x:c r="L2648" s="74" t="str">
        <x:f>""</x:f>
      </x:c>
      <x:c r="M2648" s="73" t="n">
        <x:f>MAX(M2647,F2648)</x:f>
        <x:v>1.6825</x:v>
      </x:c>
      <x:c r="N2648" s="74" t="n">
        <x:f>1-F2648/M2648</x:f>
        <x:v>0.0014858841010402246</x:v>
      </x:c>
    </x:row>
    <x:row r="2649" ht="27" customHeight="1">
      <x:c r="A2649" s="66" t="str">
        <x:v>SEV580</x:v>
      </x:c>
      <x:c r="B2649" s="66" t="str">
        <x:v>祁腾蜂赢1号</x:v>
      </x:c>
      <x:c r="C2649" s="72" t="n">
        <x:v>44873</x:v>
      </x:c>
      <x:c r="D2649" s="73" t="n">
        <x:v>1.0082</x:v>
      </x:c>
      <x:c r="E2649" s="73" t="n">
        <x:v>1.5432</x:v>
      </x:c>
      <x:c r="F2649" s="73" t="n">
        <x:v>1.6791</x:v>
      </x:c>
      <x:c r="G2649" s="74" t="n">
        <x:v>-0.0005</x:v>
      </x:c>
      <x:c r="H2649" s="66" t="str">
        <x:v>祁腾蜂赢1号净值20260911.xlsx</x:v>
      </x:c>
      <x:c r="I2649" s="73" t="str">
        <x:f>""</x:f>
      </x:c>
      <x:c r="J2649" s="74" t="str">
        <x:f>""</x:f>
      </x:c>
      <x:c r="K2649" s="73" t="str">
        <x:f>""</x:f>
      </x:c>
      <x:c r="L2649" s="74" t="str">
        <x:f>""</x:f>
      </x:c>
      <x:c r="M2649" s="73" t="n">
        <x:f>MAX(M2648,F2649)</x:f>
        <x:v>1.6825</x:v>
      </x:c>
      <x:c r="N2649" s="74" t="n">
        <x:f>1-F2649/M2649</x:f>
        <x:v>0.0020208023774146433</x:v>
      </x:c>
    </x:row>
    <x:row r="2650" ht="27" customHeight="1">
      <x:c r="A2650" s="66" t="str">
        <x:v>SEV580</x:v>
      </x:c>
      <x:c r="B2650" s="66" t="str">
        <x:v>祁腾蜂赢1号</x:v>
      </x:c>
      <x:c r="C2650" s="72" t="n">
        <x:v>44874</x:v>
      </x:c>
      <x:c r="D2650" s="73" t="n">
        <x:v>1.0085</x:v>
      </x:c>
      <x:c r="E2650" s="73" t="n">
        <x:v>1.5435</x:v>
      </x:c>
      <x:c r="F2650" s="73" t="n">
        <x:v>1.6796</x:v>
      </x:c>
      <x:c r="G2650" s="74" t="n">
        <x:v>0.0003</x:v>
      </x:c>
      <x:c r="H2650" s="66" t="str">
        <x:v>祁腾蜂赢1号净值20260911.xlsx</x:v>
      </x:c>
      <x:c r="I2650" s="73" t="str">
        <x:f>""</x:f>
      </x:c>
      <x:c r="J2650" s="74" t="str">
        <x:f>""</x:f>
      </x:c>
      <x:c r="K2650" s="73" t="str">
        <x:f>""</x:f>
      </x:c>
      <x:c r="L2650" s="74" t="str">
        <x:f>""</x:f>
      </x:c>
      <x:c r="M2650" s="73" t="n">
        <x:f>MAX(M2649,F2650)</x:f>
        <x:v>1.6825</x:v>
      </x:c>
      <x:c r="N2650" s="74" t="n">
        <x:f>1-F2650/M2650</x:f>
        <x:v>0.0017236255572066206</x:v>
      </x:c>
    </x:row>
    <x:row r="2651" ht="27" customHeight="1">
      <x:c r="A2651" s="66" t="str">
        <x:v>SEV580</x:v>
      </x:c>
      <x:c r="B2651" s="66" t="str">
        <x:v>祁腾蜂赢1号</x:v>
      </x:c>
      <x:c r="C2651" s="72" t="n">
        <x:v>44875</x:v>
      </x:c>
      <x:c r="D2651" s="73" t="n">
        <x:v>1.0078</x:v>
      </x:c>
      <x:c r="E2651" s="73" t="n">
        <x:v>1.5428</x:v>
      </x:c>
      <x:c r="F2651" s="73" t="n">
        <x:v>1.6785</x:v>
      </x:c>
      <x:c r="G2651" s="74" t="n">
        <x:v>-0.0007000000000000001</x:v>
      </x:c>
      <x:c r="H2651" s="66" t="str">
        <x:v>祁腾蜂赢1号净值20260911.xlsx</x:v>
      </x:c>
      <x:c r="I2651" s="73" t="str">
        <x:f>""</x:f>
      </x:c>
      <x:c r="J2651" s="74" t="str">
        <x:f>""</x:f>
      </x:c>
      <x:c r="K2651" s="73" t="str">
        <x:f>""</x:f>
      </x:c>
      <x:c r="L2651" s="74" t="str">
        <x:f>""</x:f>
      </x:c>
      <x:c r="M2651" s="73" t="n">
        <x:f>MAX(M2650,F2651)</x:f>
        <x:v>1.6825</x:v>
      </x:c>
      <x:c r="N2651" s="74" t="n">
        <x:f>1-F2651/M2651</x:f>
        <x:v>0.0023774145616641817</x:v>
      </x:c>
    </x:row>
    <x:row r="2652" ht="27" customHeight="1">
      <x:c r="A2652" s="66" t="str">
        <x:v>SEV580</x:v>
      </x:c>
      <x:c r="B2652" s="66" t="str">
        <x:v>祁腾蜂赢1号</x:v>
      </x:c>
      <x:c r="C2652" s="72" t="n">
        <x:v>44876</x:v>
      </x:c>
      <x:c r="D2652" s="73" t="n">
        <x:v>1.0087</x:v>
      </x:c>
      <x:c r="E2652" s="73" t="n">
        <x:v>1.5437</x:v>
      </x:c>
      <x:c r="F2652" s="73" t="n">
        <x:v>1.68</x:v>
      </x:c>
      <x:c r="G2652" s="74" t="n">
        <x:v>0.0009</x:v>
      </x:c>
      <x:c r="H2652" s="66" t="str">
        <x:v>祁腾蜂赢1号净值20260911.xlsx</x:v>
      </x:c>
      <x:c r="I2652" s="73" t="str">
        <x:f>""</x:f>
      </x:c>
      <x:c r="J2652" s="74" t="str">
        <x:f>""</x:f>
      </x:c>
      <x:c r="K2652" s="73" t="str">
        <x:f>""</x:f>
      </x:c>
      <x:c r="L2652" s="74" t="str">
        <x:f>""</x:f>
      </x:c>
      <x:c r="M2652" s="73" t="n">
        <x:f>MAX(M2651,F2652)</x:f>
        <x:v>1.6825</x:v>
      </x:c>
      <x:c r="N2652" s="74" t="n">
        <x:f>1-F2652/M2652</x:f>
        <x:v>0.0014858841010402246</x:v>
      </x:c>
    </x:row>
    <x:row r="2653" ht="27" customHeight="1">
      <x:c r="A2653" s="66" t="str">
        <x:v>SEV580</x:v>
      </x:c>
      <x:c r="B2653" s="66" t="str">
        <x:v>祁腾蜂赢1号</x:v>
      </x:c>
      <x:c r="C2653" s="72" t="n">
        <x:v>44879</x:v>
      </x:c>
      <x:c r="D2653" s="73" t="n">
        <x:v>1.0076</x:v>
      </x:c>
      <x:c r="E2653" s="73" t="n">
        <x:v>1.5426</x:v>
      </x:c>
      <x:c r="F2653" s="73" t="n">
        <x:v>1.6781</x:v>
      </x:c>
      <x:c r="G2653" s="74" t="n">
        <x:v>-0.0011</x:v>
      </x:c>
      <x:c r="H2653" s="66" t="str">
        <x:v>祁腾蜂赢1号净值20260911.xlsx</x:v>
      </x:c>
      <x:c r="I2653" s="73" t="str">
        <x:f>""</x:f>
      </x:c>
      <x:c r="J2653" s="74" t="str">
        <x:f>""</x:f>
      </x:c>
      <x:c r="K2653" s="73" t="str">
        <x:f>""</x:f>
      </x:c>
      <x:c r="L2653" s="74" t="str">
        <x:f>""</x:f>
      </x:c>
      <x:c r="M2653" s="73" t="n">
        <x:f>MAX(M2652,F2653)</x:f>
        <x:v>1.6825</x:v>
      </x:c>
      <x:c r="N2653" s="74" t="n">
        <x:f>1-F2653/M2653</x:f>
        <x:v>0.0026151560178306887</x:v>
      </x:c>
    </x:row>
    <x:row r="2654" ht="27" customHeight="1">
      <x:c r="A2654" s="66" t="str">
        <x:v>SEV580</x:v>
      </x:c>
      <x:c r="B2654" s="66" t="str">
        <x:v>祁腾蜂赢1号</x:v>
      </x:c>
      <x:c r="C2654" s="72" t="n">
        <x:v>44880</x:v>
      </x:c>
      <x:c r="D2654" s="73" t="n">
        <x:v>1.0082</x:v>
      </x:c>
      <x:c r="E2654" s="73" t="n">
        <x:v>1.5432</x:v>
      </x:c>
      <x:c r="F2654" s="73" t="n">
        <x:v>1.6791</x:v>
      </x:c>
      <x:c r="G2654" s="74" t="n">
        <x:v>0.0006</x:v>
      </x:c>
      <x:c r="H2654" s="66" t="str">
        <x:v>祁腾蜂赢1号净值20260911.xlsx</x:v>
      </x:c>
      <x:c r="I2654" s="73" t="str">
        <x:f>""</x:f>
      </x:c>
      <x:c r="J2654" s="74" t="str">
        <x:f>""</x:f>
      </x:c>
      <x:c r="K2654" s="73" t="str">
        <x:f>""</x:f>
      </x:c>
      <x:c r="L2654" s="74" t="str">
        <x:f>""</x:f>
      </x:c>
      <x:c r="M2654" s="73" t="n">
        <x:f>MAX(M2653,F2654)</x:f>
        <x:v>1.6825</x:v>
      </x:c>
      <x:c r="N2654" s="74" t="n">
        <x:f>1-F2654/M2654</x:f>
        <x:v>0.0020208023774146433</x:v>
      </x:c>
    </x:row>
    <x:row r="2655" ht="27" customHeight="1">
      <x:c r="A2655" s="66" t="str">
        <x:v>SEV580</x:v>
      </x:c>
      <x:c r="B2655" s="66" t="str">
        <x:v>祁腾蜂赢1号</x:v>
      </x:c>
      <x:c r="C2655" s="72" t="n">
        <x:v>44881</x:v>
      </x:c>
      <x:c r="D2655" s="73" t="n">
        <x:v>1.0083</x:v>
      </x:c>
      <x:c r="E2655" s="73" t="n">
        <x:v>1.5433</x:v>
      </x:c>
      <x:c r="F2655" s="73" t="n">
        <x:v>1.6793</x:v>
      </x:c>
      <x:c r="G2655" s="74" t="n">
        <x:v>0.0001</x:v>
      </x:c>
      <x:c r="H2655" s="66" t="str">
        <x:v>祁腾蜂赢1号净值20260911.xlsx</x:v>
      </x:c>
      <x:c r="I2655" s="73" t="str">
        <x:f>""</x:f>
      </x:c>
      <x:c r="J2655" s="74" t="str">
        <x:f>""</x:f>
      </x:c>
      <x:c r="K2655" s="73" t="str">
        <x:f>""</x:f>
      </x:c>
      <x:c r="L2655" s="74" t="str">
        <x:f>""</x:f>
      </x:c>
      <x:c r="M2655" s="73" t="n">
        <x:f>MAX(M2654,F2655)</x:f>
        <x:v>1.6825</x:v>
      </x:c>
      <x:c r="N2655" s="74" t="n">
        <x:f>1-F2655/M2655</x:f>
        <x:v>0.0019019316493313898</x:v>
      </x:c>
    </x:row>
    <x:row r="2656" ht="27" customHeight="1">
      <x:c r="A2656" s="66" t="str">
        <x:v>SEV580</x:v>
      </x:c>
      <x:c r="B2656" s="66" t="str">
        <x:v>祁腾蜂赢1号</x:v>
      </x:c>
      <x:c r="C2656" s="72" t="n">
        <x:v>44882</x:v>
      </x:c>
      <x:c r="D2656" s="73" t="n">
        <x:v>1.0087</x:v>
      </x:c>
      <x:c r="E2656" s="73" t="n">
        <x:v>1.5437</x:v>
      </x:c>
      <x:c r="F2656" s="73" t="n">
        <x:v>1.68</x:v>
      </x:c>
      <x:c r="G2656" s="74" t="n">
        <x:v>0.0004</x:v>
      </x:c>
      <x:c r="H2656" s="66" t="str">
        <x:v>祁腾蜂赢1号净值20260911.xlsx</x:v>
      </x:c>
      <x:c r="I2656" s="73" t="str">
        <x:f>""</x:f>
      </x:c>
      <x:c r="J2656" s="74" t="str">
        <x:f>""</x:f>
      </x:c>
      <x:c r="K2656" s="73" t="str">
        <x:f>""</x:f>
      </x:c>
      <x:c r="L2656" s="74" t="str">
        <x:f>""</x:f>
      </x:c>
      <x:c r="M2656" s="73" t="n">
        <x:f>MAX(M2655,F2656)</x:f>
        <x:v>1.6825</x:v>
      </x:c>
      <x:c r="N2656" s="74" t="n">
        <x:f>1-F2656/M2656</x:f>
        <x:v>0.0014858841010402246</x:v>
      </x:c>
    </x:row>
    <x:row r="2657" ht="27" customHeight="1">
      <x:c r="A2657" s="66" t="str">
        <x:v>SEV580</x:v>
      </x:c>
      <x:c r="B2657" s="66" t="str">
        <x:v>祁腾蜂赢1号</x:v>
      </x:c>
      <x:c r="C2657" s="72" t="n">
        <x:v>44883</x:v>
      </x:c>
      <x:c r="D2657" s="73" t="n">
        <x:v>1.0085</x:v>
      </x:c>
      <x:c r="E2657" s="73" t="n">
        <x:v>1.5435</x:v>
      </x:c>
      <x:c r="F2657" s="73" t="n">
        <x:v>1.6796</x:v>
      </x:c>
      <x:c r="G2657" s="74" t="n">
        <x:v>-0.0002</x:v>
      </x:c>
      <x:c r="H2657" s="66" t="str">
        <x:v>祁腾蜂赢1号净值20260911.xlsx</x:v>
      </x:c>
      <x:c r="I2657" s="73" t="str">
        <x:f>""</x:f>
      </x:c>
      <x:c r="J2657" s="74" t="str">
        <x:f>""</x:f>
      </x:c>
      <x:c r="K2657" s="73" t="str">
        <x:f>""</x:f>
      </x:c>
      <x:c r="L2657" s="74" t="str">
        <x:f>""</x:f>
      </x:c>
      <x:c r="M2657" s="73" t="n">
        <x:f>MAX(M2656,F2657)</x:f>
        <x:v>1.6825</x:v>
      </x:c>
      <x:c r="N2657" s="74" t="n">
        <x:f>1-F2657/M2657</x:f>
        <x:v>0.0017236255572066206</x:v>
      </x:c>
    </x:row>
    <x:row r="2658" ht="27" customHeight="1">
      <x:c r="A2658" s="66" t="str">
        <x:v>SEV580</x:v>
      </x:c>
      <x:c r="B2658" s="66" t="str">
        <x:v>祁腾蜂赢1号</x:v>
      </x:c>
      <x:c r="C2658" s="72" t="n">
        <x:v>44886</x:v>
      </x:c>
      <x:c r="D2658" s="73" t="n">
        <x:v>1.0078</x:v>
      </x:c>
      <x:c r="E2658" s="73" t="n">
        <x:v>1.5428</x:v>
      </x:c>
      <x:c r="F2658" s="73" t="n">
        <x:v>1.6785</x:v>
      </x:c>
      <x:c r="G2658" s="74" t="n">
        <x:v>-0.0007000000000000001</x:v>
      </x:c>
      <x:c r="H2658" s="66" t="str">
        <x:v>祁腾蜂赢1号净值20260911.xlsx</x:v>
      </x:c>
      <x:c r="I2658" s="73" t="str">
        <x:f>""</x:f>
      </x:c>
      <x:c r="J2658" s="74" t="str">
        <x:f>""</x:f>
      </x:c>
      <x:c r="K2658" s="73" t="str">
        <x:f>""</x:f>
      </x:c>
      <x:c r="L2658" s="74" t="str">
        <x:f>""</x:f>
      </x:c>
      <x:c r="M2658" s="73" t="n">
        <x:f>MAX(M2657,F2658)</x:f>
        <x:v>1.6825</x:v>
      </x:c>
      <x:c r="N2658" s="74" t="n">
        <x:f>1-F2658/M2658</x:f>
        <x:v>0.0023774145616641817</x:v>
      </x:c>
    </x:row>
    <x:row r="2659" ht="27" customHeight="1">
      <x:c r="A2659" s="66" t="str">
        <x:v>SEV580</x:v>
      </x:c>
      <x:c r="B2659" s="66" t="str">
        <x:v>祁腾蜂赢1号</x:v>
      </x:c>
      <x:c r="C2659" s="72" t="n">
        <x:v>44887</x:v>
      </x:c>
      <x:c r="D2659" s="73" t="n">
        <x:v>1.0082</x:v>
      </x:c>
      <x:c r="E2659" s="73" t="n">
        <x:v>1.5432</x:v>
      </x:c>
      <x:c r="F2659" s="73" t="n">
        <x:v>1.6791</x:v>
      </x:c>
      <x:c r="G2659" s="74" t="n">
        <x:v>0.0004</x:v>
      </x:c>
      <x:c r="H2659" s="66" t="str">
        <x:v>祁腾蜂赢1号净值20260911.xlsx</x:v>
      </x:c>
      <x:c r="I2659" s="73" t="str">
        <x:f>""</x:f>
      </x:c>
      <x:c r="J2659" s="74" t="str">
        <x:f>""</x:f>
      </x:c>
      <x:c r="K2659" s="73" t="str">
        <x:f>""</x:f>
      </x:c>
      <x:c r="L2659" s="74" t="str">
        <x:f>""</x:f>
      </x:c>
      <x:c r="M2659" s="73" t="n">
        <x:f>MAX(M2658,F2659)</x:f>
        <x:v>1.6825</x:v>
      </x:c>
      <x:c r="N2659" s="74" t="n">
        <x:f>1-F2659/M2659</x:f>
        <x:v>0.0020208023774146433</x:v>
      </x:c>
    </x:row>
    <x:row r="2660" ht="27" customHeight="1">
      <x:c r="A2660" s="66" t="str">
        <x:v>SEV580</x:v>
      </x:c>
      <x:c r="B2660" s="66" t="str">
        <x:v>祁腾蜂赢1号</x:v>
      </x:c>
      <x:c r="C2660" s="72" t="n">
        <x:v>44888</x:v>
      </x:c>
      <x:c r="D2660" s="73" t="n">
        <x:v>1.0079</x:v>
      </x:c>
      <x:c r="E2660" s="73" t="n">
        <x:v>1.5429</x:v>
      </x:c>
      <x:c r="F2660" s="73" t="n">
        <x:v>1.6786</x:v>
      </x:c>
      <x:c r="G2660" s="74" t="n">
        <x:v>-0.0003</x:v>
      </x:c>
      <x:c r="H2660" s="66" t="str">
        <x:v>祁腾蜂赢1号净值20260911.xlsx</x:v>
      </x:c>
      <x:c r="I2660" s="73" t="str">
        <x:f>""</x:f>
      </x:c>
      <x:c r="J2660" s="74" t="str">
        <x:f>""</x:f>
      </x:c>
      <x:c r="K2660" s="73" t="str">
        <x:f>""</x:f>
      </x:c>
      <x:c r="L2660" s="74" t="str">
        <x:f>""</x:f>
      </x:c>
      <x:c r="M2660" s="73" t="n">
        <x:f>MAX(M2659,F2660)</x:f>
        <x:v>1.6825</x:v>
      </x:c>
      <x:c r="N2660" s="74" t="n">
        <x:f>1-F2660/M2660</x:f>
        <x:v>0.002317979197622555</x:v>
      </x:c>
    </x:row>
    <x:row r="2661" ht="27" customHeight="1">
      <x:c r="A2661" s="66" t="str">
        <x:v>SEV580</x:v>
      </x:c>
      <x:c r="B2661" s="66" t="str">
        <x:v>祁腾蜂赢1号</x:v>
      </x:c>
      <x:c r="C2661" s="72" t="n">
        <x:v>44889</x:v>
      </x:c>
      <x:c r="D2661" s="73" t="n">
        <x:v>1.0082</x:v>
      </x:c>
      <x:c r="E2661" s="73" t="n">
        <x:v>1.5432</x:v>
      </x:c>
      <x:c r="F2661" s="73" t="n">
        <x:v>1.6791</x:v>
      </x:c>
      <x:c r="G2661" s="74" t="n">
        <x:v>0.0003</x:v>
      </x:c>
      <x:c r="H2661" s="66" t="str">
        <x:v>祁腾蜂赢1号净值20260911.xlsx</x:v>
      </x:c>
      <x:c r="I2661" s="73" t="str">
        <x:f>""</x:f>
      </x:c>
      <x:c r="J2661" s="74" t="str">
        <x:f>""</x:f>
      </x:c>
      <x:c r="K2661" s="73" t="str">
        <x:f>""</x:f>
      </x:c>
      <x:c r="L2661" s="74" t="str">
        <x:f>""</x:f>
      </x:c>
      <x:c r="M2661" s="73" t="n">
        <x:f>MAX(M2660,F2661)</x:f>
        <x:v>1.6825</x:v>
      </x:c>
      <x:c r="N2661" s="74" t="n">
        <x:f>1-F2661/M2661</x:f>
        <x:v>0.0020208023774146433</x:v>
      </x:c>
    </x:row>
    <x:row r="2662" ht="27" customHeight="1">
      <x:c r="A2662" s="66" t="str">
        <x:v>SEV580</x:v>
      </x:c>
      <x:c r="B2662" s="66" t="str">
        <x:v>祁腾蜂赢1号</x:v>
      </x:c>
      <x:c r="C2662" s="72" t="n">
        <x:v>44890</x:v>
      </x:c>
      <x:c r="D2662" s="73" t="n">
        <x:v>1.0085</x:v>
      </x:c>
      <x:c r="E2662" s="73" t="n">
        <x:v>1.5435</x:v>
      </x:c>
      <x:c r="F2662" s="73" t="n">
        <x:v>1.6796</x:v>
      </x:c>
      <x:c r="G2662" s="74" t="n">
        <x:v>0.0003</x:v>
      </x:c>
      <x:c r="H2662" s="66" t="str">
        <x:v>祁腾蜂赢1号净值20260911.xlsx</x:v>
      </x:c>
      <x:c r="I2662" s="73" t="str">
        <x:f>""</x:f>
      </x:c>
      <x:c r="J2662" s="74" t="str">
        <x:f>""</x:f>
      </x:c>
      <x:c r="K2662" s="73" t="str">
        <x:f>""</x:f>
      </x:c>
      <x:c r="L2662" s="74" t="str">
        <x:f>""</x:f>
      </x:c>
      <x:c r="M2662" s="73" t="n">
        <x:f>MAX(M2661,F2662)</x:f>
        <x:v>1.6825</x:v>
      </x:c>
      <x:c r="N2662" s="74" t="n">
        <x:f>1-F2662/M2662</x:f>
        <x:v>0.0017236255572066206</x:v>
      </x:c>
    </x:row>
    <x:row r="2663" ht="27" customHeight="1">
      <x:c r="A2663" s="66" t="str">
        <x:v>SEV580</x:v>
      </x:c>
      <x:c r="B2663" s="66" t="str">
        <x:v>祁腾蜂赢1号</x:v>
      </x:c>
      <x:c r="C2663" s="72" t="n">
        <x:v>44893</x:v>
      </x:c>
      <x:c r="D2663" s="73" t="n">
        <x:v>1.0085</x:v>
      </x:c>
      <x:c r="E2663" s="73" t="n">
        <x:v>1.5435</x:v>
      </x:c>
      <x:c r="F2663" s="73" t="n">
        <x:v>1.6796</x:v>
      </x:c>
      <x:c r="G2663" s="74" t="n">
        <x:v>0</x:v>
      </x:c>
      <x:c r="H2663" s="66" t="str">
        <x:v>祁腾蜂赢1号净值20260911.xlsx</x:v>
      </x:c>
      <x:c r="I2663" s="73" t="str">
        <x:f>""</x:f>
      </x:c>
      <x:c r="J2663" s="74" t="str">
        <x:f>""</x:f>
      </x:c>
      <x:c r="K2663" s="73" t="str">
        <x:f>""</x:f>
      </x:c>
      <x:c r="L2663" s="74" t="str">
        <x:f>""</x:f>
      </x:c>
      <x:c r="M2663" s="73" t="n">
        <x:f>MAX(M2662,F2663)</x:f>
        <x:v>1.6825</x:v>
      </x:c>
      <x:c r="N2663" s="74" t="n">
        <x:f>1-F2663/M2663</x:f>
        <x:v>0.0017236255572066206</x:v>
      </x:c>
    </x:row>
    <x:row r="2664" ht="27" customHeight="1">
      <x:c r="A2664" s="66" t="str">
        <x:v>SEV580</x:v>
      </x:c>
      <x:c r="B2664" s="66" t="str">
        <x:v>祁腾蜂赢1号</x:v>
      </x:c>
      <x:c r="C2664" s="72" t="n">
        <x:v>44894</x:v>
      </x:c>
      <x:c r="D2664" s="73" t="n">
        <x:v>1.0087</x:v>
      </x:c>
      <x:c r="E2664" s="73" t="n">
        <x:v>1.5437</x:v>
      </x:c>
      <x:c r="F2664" s="73" t="n">
        <x:v>1.68</x:v>
      </x:c>
      <x:c r="G2664" s="74" t="n">
        <x:v>0.0002</x:v>
      </x:c>
      <x:c r="H2664" s="66" t="str">
        <x:v>祁腾蜂赢1号净值20260911.xlsx</x:v>
      </x:c>
      <x:c r="I2664" s="73" t="str">
        <x:f>""</x:f>
      </x:c>
      <x:c r="J2664" s="74" t="str">
        <x:f>""</x:f>
      </x:c>
      <x:c r="K2664" s="73" t="str">
        <x:f>""</x:f>
      </x:c>
      <x:c r="L2664" s="74" t="str">
        <x:f>""</x:f>
      </x:c>
      <x:c r="M2664" s="73" t="n">
        <x:f>MAX(M2663,F2664)</x:f>
        <x:v>1.6825</x:v>
      </x:c>
      <x:c r="N2664" s="74" t="n">
        <x:f>1-F2664/M2664</x:f>
        <x:v>0.0014858841010402246</x:v>
      </x:c>
    </x:row>
    <x:row r="2665" ht="27" customHeight="1">
      <x:c r="A2665" s="66" t="str">
        <x:v>SEV580</x:v>
      </x:c>
      <x:c r="B2665" s="66" t="str">
        <x:v>祁腾蜂赢1号</x:v>
      </x:c>
      <x:c r="C2665" s="72" t="n">
        <x:v>44895</x:v>
      </x:c>
      <x:c r="D2665" s="73" t="n">
        <x:v>1.0094</x:v>
      </x:c>
      <x:c r="E2665" s="73" t="n">
        <x:v>1.5444</x:v>
      </x:c>
      <x:c r="F2665" s="73" t="n">
        <x:v>1.6811</x:v>
      </x:c>
      <x:c r="G2665" s="74" t="n">
        <x:v>0.0007000000000000001</x:v>
      </x:c>
      <x:c r="H2665" s="66" t="str">
        <x:v>祁腾蜂赢1号净值20260911.xlsx</x:v>
      </x:c>
      <x:c r="I2665" s="73" t="str">
        <x:f>""</x:f>
      </x:c>
      <x:c r="J2665" s="74" t="str">
        <x:f>""</x:f>
      </x:c>
      <x:c r="K2665" s="73" t="str">
        <x:f>""</x:f>
      </x:c>
      <x:c r="L2665" s="74" t="str">
        <x:f>""</x:f>
      </x:c>
      <x:c r="M2665" s="73" t="n">
        <x:f>MAX(M2664,F2665)</x:f>
        <x:v>1.6825</x:v>
      </x:c>
      <x:c r="N2665" s="74" t="n">
        <x:f>1-F2665/M2665</x:f>
        <x:v>0.0008320950965825524</x:v>
      </x:c>
    </x:row>
    <x:row r="2666" ht="27" customHeight="1">
      <x:c r="A2666" s="66" t="str">
        <x:v>SEV580</x:v>
      </x:c>
      <x:c r="B2666" s="66" t="str">
        <x:v>祁腾蜂赢1号</x:v>
      </x:c>
      <x:c r="C2666" s="72" t="n">
        <x:v>44896</x:v>
      </x:c>
      <x:c r="D2666" s="73" t="n">
        <x:v>1.0119</x:v>
      </x:c>
      <x:c r="E2666" s="73" t="n">
        <x:v>1.5469</x:v>
      </x:c>
      <x:c r="F2666" s="73" t="n">
        <x:v>1.6853</x:v>
      </x:c>
      <x:c r="G2666" s="74" t="n">
        <x:v>0.0025</x:v>
      </x:c>
      <x:c r="H2666" s="66" t="str">
        <x:v>祁腾蜂赢1号净值20260911.xlsx</x:v>
      </x:c>
      <x:c r="I2666" s="73" t="str">
        <x:f>""</x:f>
      </x:c>
      <x:c r="J2666" s="74" t="str">
        <x:f>""</x:f>
      </x:c>
      <x:c r="K2666" s="73" t="str">
        <x:f>""</x:f>
      </x:c>
      <x:c r="L2666" s="74" t="str">
        <x:f>""</x:f>
      </x:c>
      <x:c r="M2666" s="73" t="n">
        <x:f>MAX(M2665,F2666)</x:f>
        <x:v>1.6853</x:v>
      </x:c>
      <x:c r="N2666" s="74" t="n">
        <x:f>1-F2666/M2666</x:f>
        <x:v>0</x:v>
      </x:c>
    </x:row>
    <x:row r="2667" ht="27" customHeight="1">
      <x:c r="A2667" s="66" t="str">
        <x:v>SEV580</x:v>
      </x:c>
      <x:c r="B2667" s="66" t="str">
        <x:v>祁腾蜂赢1号</x:v>
      </x:c>
      <x:c r="C2667" s="72" t="n">
        <x:v>44897</x:v>
      </x:c>
      <x:c r="D2667" s="73" t="n">
        <x:v>1.0114</x:v>
      </x:c>
      <x:c r="E2667" s="73" t="n">
        <x:v>1.5464</x:v>
      </x:c>
      <x:c r="F2667" s="73" t="n">
        <x:v>1.6845</x:v>
      </x:c>
      <x:c r="G2667" s="74" t="n">
        <x:v>-0.0005</x:v>
      </x:c>
      <x:c r="H2667" s="66" t="str">
        <x:v>祁腾蜂赢1号净值20260911.xlsx</x:v>
      </x:c>
      <x:c r="I2667" s="73" t="str">
        <x:f>""</x:f>
      </x:c>
      <x:c r="J2667" s="74" t="str">
        <x:f>""</x:f>
      </x:c>
      <x:c r="K2667" s="73" t="str">
        <x:f>""</x:f>
      </x:c>
      <x:c r="L2667" s="74" t="str">
        <x:f>""</x:f>
      </x:c>
      <x:c r="M2667" s="73" t="n">
        <x:f>MAX(M2666,F2667)</x:f>
        <x:v>1.6853</x:v>
      </x:c>
      <x:c r="N2667" s="74" t="n">
        <x:f>1-F2667/M2667</x:f>
        <x:v>0.00047469293300894666</x:v>
      </x:c>
    </x:row>
    <x:row r="2668" ht="27" customHeight="1">
      <x:c r="A2668" s="66" t="str">
        <x:v>SEV580</x:v>
      </x:c>
      <x:c r="B2668" s="66" t="str">
        <x:v>祁腾蜂赢1号</x:v>
      </x:c>
      <x:c r="C2668" s="72" t="n">
        <x:v>44900</x:v>
      </x:c>
      <x:c r="D2668" s="73" t="n">
        <x:v>1.0119</x:v>
      </x:c>
      <x:c r="E2668" s="73" t="n">
        <x:v>1.5469</x:v>
      </x:c>
      <x:c r="F2668" s="73" t="n">
        <x:v>1.6853</x:v>
      </x:c>
      <x:c r="G2668" s="74" t="n">
        <x:v>0.0005</x:v>
      </x:c>
      <x:c r="H2668" s="66" t="str">
        <x:v>祁腾蜂赢1号净值20260911.xlsx</x:v>
      </x:c>
      <x:c r="I2668" s="73" t="str">
        <x:f>""</x:f>
      </x:c>
      <x:c r="J2668" s="74" t="str">
        <x:f>""</x:f>
      </x:c>
      <x:c r="K2668" s="73" t="str">
        <x:f>""</x:f>
      </x:c>
      <x:c r="L2668" s="74" t="str">
        <x:f>""</x:f>
      </x:c>
      <x:c r="M2668" s="73" t="n">
        <x:f>MAX(M2667,F2668)</x:f>
        <x:v>1.6853</x:v>
      </x:c>
      <x:c r="N2668" s="74" t="n">
        <x:f>1-F2668/M2668</x:f>
        <x:v>0</x:v>
      </x:c>
    </x:row>
    <x:row r="2669" ht="27" customHeight="1">
      <x:c r="A2669" s="66" t="str">
        <x:v>SEV580</x:v>
      </x:c>
      <x:c r="B2669" s="66" t="str">
        <x:v>祁腾蜂赢1号</x:v>
      </x:c>
      <x:c r="C2669" s="72" t="n">
        <x:v>44901</x:v>
      </x:c>
      <x:c r="D2669" s="73" t="n">
        <x:v>1.0118</x:v>
      </x:c>
      <x:c r="E2669" s="73" t="n">
        <x:v>1.5468</x:v>
      </x:c>
      <x:c r="F2669" s="73" t="n">
        <x:v>1.6851</x:v>
      </x:c>
      <x:c r="G2669" s="74" t="n">
        <x:v>-0.0001</x:v>
      </x:c>
      <x:c r="H2669" s="66" t="str">
        <x:v>祁腾蜂赢1号净值20260911.xlsx</x:v>
      </x:c>
      <x:c r="I2669" s="73" t="str">
        <x:f>""</x:f>
      </x:c>
      <x:c r="J2669" s="74" t="str">
        <x:f>""</x:f>
      </x:c>
      <x:c r="K2669" s="73" t="str">
        <x:f>""</x:f>
      </x:c>
      <x:c r="L2669" s="74" t="str">
        <x:f>""</x:f>
      </x:c>
      <x:c r="M2669" s="73" t="n">
        <x:f>MAX(M2668,F2669)</x:f>
        <x:v>1.6853</x:v>
      </x:c>
      <x:c r="N2669" s="74" t="n">
        <x:f>1-F2669/M2669</x:f>
        <x:v>0.00011867323325220891</x:v>
      </x:c>
    </x:row>
    <x:row r="2670" ht="27" customHeight="1">
      <x:c r="A2670" s="66" t="str">
        <x:v>SEV580</x:v>
      </x:c>
      <x:c r="B2670" s="66" t="str">
        <x:v>祁腾蜂赢1号</x:v>
      </x:c>
      <x:c r="C2670" s="72" t="n">
        <x:v>44902</x:v>
      </x:c>
      <x:c r="D2670" s="73" t="n">
        <x:v>1.0122</x:v>
      </x:c>
      <x:c r="E2670" s="73" t="n">
        <x:v>1.5472</x:v>
      </x:c>
      <x:c r="F2670" s="73" t="n">
        <x:v>1.6858</x:v>
      </x:c>
      <x:c r="G2670" s="74" t="n">
        <x:v>0.0004</x:v>
      </x:c>
      <x:c r="H2670" s="66" t="str">
        <x:v>祁腾蜂赢1号净值20260911.xlsx</x:v>
      </x:c>
      <x:c r="I2670" s="73" t="str">
        <x:f>""</x:f>
      </x:c>
      <x:c r="J2670" s="74" t="str">
        <x:f>""</x:f>
      </x:c>
      <x:c r="K2670" s="73" t="str">
        <x:f>""</x:f>
      </x:c>
      <x:c r="L2670" s="74" t="str">
        <x:f>""</x:f>
      </x:c>
      <x:c r="M2670" s="73" t="n">
        <x:f>MAX(M2669,F2670)</x:f>
        <x:v>1.6858</x:v>
      </x:c>
      <x:c r="N2670" s="74" t="n">
        <x:f>1-F2670/M2670</x:f>
        <x:v>0</x:v>
      </x:c>
    </x:row>
    <x:row r="2671" ht="27" customHeight="1">
      <x:c r="A2671" s="66" t="str">
        <x:v>SEV580</x:v>
      </x:c>
      <x:c r="B2671" s="66" t="str">
        <x:v>祁腾蜂赢1号</x:v>
      </x:c>
      <x:c r="C2671" s="72" t="n">
        <x:v>44903</x:v>
      </x:c>
      <x:c r="D2671" s="73" t="n">
        <x:v>1.0117</x:v>
      </x:c>
      <x:c r="E2671" s="73" t="n">
        <x:v>1.5467</x:v>
      </x:c>
      <x:c r="F2671" s="73" t="n">
        <x:v>1.685</x:v>
      </x:c>
      <x:c r="G2671" s="74" t="n">
        <x:v>-0.0005</x:v>
      </x:c>
      <x:c r="H2671" s="66" t="str">
        <x:v>祁腾蜂赢1号净值20260911.xlsx</x:v>
      </x:c>
      <x:c r="I2671" s="73" t="str">
        <x:f>""</x:f>
      </x:c>
      <x:c r="J2671" s="74" t="str">
        <x:f>""</x:f>
      </x:c>
      <x:c r="K2671" s="73" t="str">
        <x:f>""</x:f>
      </x:c>
      <x:c r="L2671" s="74" t="str">
        <x:f>""</x:f>
      </x:c>
      <x:c r="M2671" s="73" t="n">
        <x:f>MAX(M2670,F2671)</x:f>
        <x:v>1.6858</x:v>
      </x:c>
      <x:c r="N2671" s="74" t="n">
        <x:f>1-F2671/M2671</x:f>
        <x:v>0.0004745521414164511</x:v>
      </x:c>
    </x:row>
    <x:row r="2672" ht="27" customHeight="1">
      <x:c r="A2672" s="66" t="str">
        <x:v>SEV580</x:v>
      </x:c>
      <x:c r="B2672" s="66" t="str">
        <x:v>祁腾蜂赢1号</x:v>
      </x:c>
      <x:c r="C2672" s="72" t="n">
        <x:v>44904</x:v>
      </x:c>
      <x:c r="D2672" s="73" t="n">
        <x:v>1.0127</x:v>
      </x:c>
      <x:c r="E2672" s="73" t="n">
        <x:v>1.5477</x:v>
      </x:c>
      <x:c r="F2672" s="73" t="n">
        <x:v>1.6866</x:v>
      </x:c>
      <x:c r="G2672" s="74" t="n">
        <x:v>0.001</x:v>
      </x:c>
      <x:c r="H2672" s="66" t="str">
        <x:v>祁腾蜂赢1号净值20260911.xlsx</x:v>
      </x:c>
      <x:c r="I2672" s="73" t="str">
        <x:f>""</x:f>
      </x:c>
      <x:c r="J2672" s="74" t="str">
        <x:f>""</x:f>
      </x:c>
      <x:c r="K2672" s="73" t="str">
        <x:f>""</x:f>
      </x:c>
      <x:c r="L2672" s="74" t="str">
        <x:f>""</x:f>
      </x:c>
      <x:c r="M2672" s="73" t="n">
        <x:f>MAX(M2671,F2672)</x:f>
        <x:v>1.6866</x:v>
      </x:c>
      <x:c r="N2672" s="74" t="n">
        <x:f>1-F2672/M2672</x:f>
        <x:v>0</x:v>
      </x:c>
    </x:row>
    <x:row r="2673" ht="27" customHeight="1">
      <x:c r="A2673" s="66" t="str">
        <x:v>SEV580</x:v>
      </x:c>
      <x:c r="B2673" s="66" t="str">
        <x:v>祁腾蜂赢1号</x:v>
      </x:c>
      <x:c r="C2673" s="72" t="n">
        <x:v>44907</x:v>
      </x:c>
      <x:c r="D2673" s="73" t="n">
        <x:v>1.0122</x:v>
      </x:c>
      <x:c r="E2673" s="73" t="n">
        <x:v>1.5472</x:v>
      </x:c>
      <x:c r="F2673" s="73" t="n">
        <x:v>1.6858</x:v>
      </x:c>
      <x:c r="G2673" s="74" t="n">
        <x:v>-0.0005</x:v>
      </x:c>
      <x:c r="H2673" s="66" t="str">
        <x:v>祁腾蜂赢1号净值20260911.xlsx</x:v>
      </x:c>
      <x:c r="I2673" s="73" t="str">
        <x:f>""</x:f>
      </x:c>
      <x:c r="J2673" s="74" t="str">
        <x:f>""</x:f>
      </x:c>
      <x:c r="K2673" s="73" t="str">
        <x:f>""</x:f>
      </x:c>
      <x:c r="L2673" s="74" t="str">
        <x:f>""</x:f>
      </x:c>
      <x:c r="M2673" s="73" t="n">
        <x:f>MAX(M2672,F2673)</x:f>
        <x:v>1.6866</x:v>
      </x:c>
      <x:c r="N2673" s="74" t="n">
        <x:f>1-F2673/M2673</x:f>
        <x:v>0.00047432704850003393</x:v>
      </x:c>
    </x:row>
    <x:row r="2674" ht="27" customHeight="1">
      <x:c r="A2674" s="66" t="str">
        <x:v>SEV580</x:v>
      </x:c>
      <x:c r="B2674" s="66" t="str">
        <x:v>祁腾蜂赢1号</x:v>
      </x:c>
      <x:c r="C2674" s="72" t="n">
        <x:v>44908</x:v>
      </x:c>
      <x:c r="D2674" s="73" t="n">
        <x:v>1.012</x:v>
      </x:c>
      <x:c r="E2674" s="73" t="n">
        <x:v>1.547</x:v>
      </x:c>
      <x:c r="F2674" s="73" t="n">
        <x:v>1.6855</x:v>
      </x:c>
      <x:c r="G2674" s="74" t="n">
        <x:v>-0.0002</x:v>
      </x:c>
      <x:c r="H2674" s="66" t="str">
        <x:v>祁腾蜂赢1号净值20260911.xlsx</x:v>
      </x:c>
      <x:c r="I2674" s="73" t="str">
        <x:f>""</x:f>
      </x:c>
      <x:c r="J2674" s="74" t="str">
        <x:f>""</x:f>
      </x:c>
      <x:c r="K2674" s="73" t="str">
        <x:f>""</x:f>
      </x:c>
      <x:c r="L2674" s="74" t="str">
        <x:f>""</x:f>
      </x:c>
      <x:c r="M2674" s="73" t="n">
        <x:f>MAX(M2673,F2674)</x:f>
        <x:v>1.6866</x:v>
      </x:c>
      <x:c r="N2674" s="74" t="n">
        <x:f>1-F2674/M2674</x:f>
        <x:v>0.000652199691687505</x:v>
      </x:c>
    </x:row>
    <x:row r="2675" ht="27" customHeight="1">
      <x:c r="A2675" s="66" t="str">
        <x:v>SEV580</x:v>
      </x:c>
      <x:c r="B2675" s="66" t="str">
        <x:v>祁腾蜂赢1号</x:v>
      </x:c>
      <x:c r="C2675" s="72" t="n">
        <x:v>44909</x:v>
      </x:c>
      <x:c r="D2675" s="73" t="n">
        <x:v>1.0119</x:v>
      </x:c>
      <x:c r="E2675" s="73" t="n">
        <x:v>1.5469</x:v>
      </x:c>
      <x:c r="F2675" s="73" t="n">
        <x:v>1.6853</x:v>
      </x:c>
      <x:c r="G2675" s="74" t="n">
        <x:v>-0.0001</x:v>
      </x:c>
      <x:c r="H2675" s="66" t="str">
        <x:v>祁腾蜂赢1号净值20260911.xlsx</x:v>
      </x:c>
      <x:c r="I2675" s="73" t="str">
        <x:f>""</x:f>
      </x:c>
      <x:c r="J2675" s="74" t="str">
        <x:f>""</x:f>
      </x:c>
      <x:c r="K2675" s="73" t="str">
        <x:f>""</x:f>
      </x:c>
      <x:c r="L2675" s="74" t="str">
        <x:f>""</x:f>
      </x:c>
      <x:c r="M2675" s="73" t="n">
        <x:f>MAX(M2674,F2675)</x:f>
        <x:v>1.6866</x:v>
      </x:c>
      <x:c r="N2675" s="74" t="n">
        <x:f>1-F2675/M2675</x:f>
        <x:v>0.0007707814538124858</x:v>
      </x:c>
    </x:row>
    <x:row r="2676" ht="27" customHeight="1">
      <x:c r="A2676" s="66" t="str">
        <x:v>SEV580</x:v>
      </x:c>
      <x:c r="B2676" s="66" t="str">
        <x:v>祁腾蜂赢1号</x:v>
      </x:c>
      <x:c r="C2676" s="72" t="n">
        <x:v>44910</x:v>
      </x:c>
      <x:c r="D2676" s="73" t="n">
        <x:v>1.0119</x:v>
      </x:c>
      <x:c r="E2676" s="73" t="n">
        <x:v>1.5469</x:v>
      </x:c>
      <x:c r="F2676" s="73" t="n">
        <x:v>1.6853</x:v>
      </x:c>
      <x:c r="G2676" s="74" t="n">
        <x:v>0</x:v>
      </x:c>
      <x:c r="H2676" s="66" t="str">
        <x:v>祁腾蜂赢1号净值20260911.xlsx</x:v>
      </x:c>
      <x:c r="I2676" s="73" t="str">
        <x:f>""</x:f>
      </x:c>
      <x:c r="J2676" s="74" t="str">
        <x:f>""</x:f>
      </x:c>
      <x:c r="K2676" s="73" t="str">
        <x:f>""</x:f>
      </x:c>
      <x:c r="L2676" s="74" t="str">
        <x:f>""</x:f>
      </x:c>
      <x:c r="M2676" s="73" t="n">
        <x:f>MAX(M2675,F2676)</x:f>
        <x:v>1.6866</x:v>
      </x:c>
      <x:c r="N2676" s="74" t="n">
        <x:f>1-F2676/M2676</x:f>
        <x:v>0.0007707814538124858</x:v>
      </x:c>
    </x:row>
    <x:row r="2677" ht="27" customHeight="1">
      <x:c r="A2677" s="66" t="str">
        <x:v>SEV580</x:v>
      </x:c>
      <x:c r="B2677" s="66" t="str">
        <x:v>祁腾蜂赢1号</x:v>
      </x:c>
      <x:c r="C2677" s="72" t="n">
        <x:v>44911</x:v>
      </x:c>
      <x:c r="D2677" s="73" t="n">
        <x:v>1.012</x:v>
      </x:c>
      <x:c r="E2677" s="73" t="n">
        <x:v>1.547</x:v>
      </x:c>
      <x:c r="F2677" s="73" t="n">
        <x:v>1.6855</x:v>
      </x:c>
      <x:c r="G2677" s="74" t="n">
        <x:v>0.0001</x:v>
      </x:c>
      <x:c r="H2677" s="66" t="str">
        <x:v>祁腾蜂赢1号净值20260911.xlsx</x:v>
      </x:c>
      <x:c r="I2677" s="73" t="str">
        <x:f>""</x:f>
      </x:c>
      <x:c r="J2677" s="74" t="str">
        <x:f>""</x:f>
      </x:c>
      <x:c r="K2677" s="73" t="str">
        <x:f>""</x:f>
      </x:c>
      <x:c r="L2677" s="74" t="str">
        <x:f>""</x:f>
      </x:c>
      <x:c r="M2677" s="73" t="n">
        <x:f>MAX(M2676,F2677)</x:f>
        <x:v>1.6866</x:v>
      </x:c>
      <x:c r="N2677" s="74" t="n">
        <x:f>1-F2677/M2677</x:f>
        <x:v>0.000652199691687505</x:v>
      </x:c>
    </x:row>
    <x:row r="2678" ht="27" customHeight="1">
      <x:c r="A2678" s="66" t="str">
        <x:v>SEV580</x:v>
      </x:c>
      <x:c r="B2678" s="66" t="str">
        <x:v>祁腾蜂赢1号</x:v>
      </x:c>
      <x:c r="C2678" s="72" t="n">
        <x:v>44914</x:v>
      </x:c>
      <x:c r="D2678" s="73" t="n">
        <x:v>1.0116</x:v>
      </x:c>
      <x:c r="E2678" s="73" t="n">
        <x:v>1.5466</x:v>
      </x:c>
      <x:c r="F2678" s="73" t="n">
        <x:v>1.6848</x:v>
      </x:c>
      <x:c r="G2678" s="74" t="n">
        <x:v>-0.0004</x:v>
      </x:c>
      <x:c r="H2678" s="66" t="str">
        <x:v>祁腾蜂赢1号净值20260911.xlsx</x:v>
      </x:c>
      <x:c r="I2678" s="73" t="str">
        <x:f>""</x:f>
      </x:c>
      <x:c r="J2678" s="74" t="str">
        <x:f>""</x:f>
      </x:c>
      <x:c r="K2678" s="73" t="str">
        <x:f>""</x:f>
      </x:c>
      <x:c r="L2678" s="74" t="str">
        <x:f>""</x:f>
      </x:c>
      <x:c r="M2678" s="73" t="n">
        <x:f>MAX(M2677,F2678)</x:f>
        <x:v>1.6866</x:v>
      </x:c>
      <x:c r="N2678" s="74" t="n">
        <x:f>1-F2678/M2678</x:f>
        <x:v>0.0010672358591248265</x:v>
      </x:c>
    </x:row>
    <x:row r="2679" ht="27" customHeight="1">
      <x:c r="A2679" s="66" t="str">
        <x:v>SEV580</x:v>
      </x:c>
      <x:c r="B2679" s="66" t="str">
        <x:v>祁腾蜂赢1号</x:v>
      </x:c>
      <x:c r="C2679" s="72" t="n">
        <x:v>44915</x:v>
      </x:c>
      <x:c r="D2679" s="73" t="n">
        <x:v>1</x:v>
      </x:c>
      <x:c r="E2679" s="73" t="n">
        <x:v>1.5467</x:v>
      </x:c>
      <x:c r="F2679" s="73" t="n">
        <x:v>1.685</x:v>
      </x:c>
      <x:c r="G2679" s="74" t="n">
        <x:v>0.0001</x:v>
      </x:c>
      <x:c r="H2679" s="66" t="str">
        <x:v>祁腾蜂赢1号净值20260911.xlsx</x:v>
      </x:c>
      <x:c r="I2679" s="73" t="str">
        <x:f>""</x:f>
      </x:c>
      <x:c r="J2679" s="74" t="str">
        <x:f>""</x:f>
      </x:c>
      <x:c r="K2679" s="73" t="str">
        <x:f>""</x:f>
      </x:c>
      <x:c r="L2679" s="74" t="str">
        <x:f>""</x:f>
      </x:c>
      <x:c r="M2679" s="73" t="n">
        <x:f>MAX(M2678,F2679)</x:f>
        <x:v>1.6866</x:v>
      </x:c>
      <x:c r="N2679" s="74" t="n">
        <x:f>1-F2679/M2679</x:f>
        <x:v>0.0009486540969999568</x:v>
      </x:c>
    </x:row>
    <x:row r="2680" ht="27" customHeight="1">
      <x:c r="A2680" s="66" t="str">
        <x:v>SEV580</x:v>
      </x:c>
      <x:c r="B2680" s="66" t="str">
        <x:v>祁腾蜂赢1号</x:v>
      </x:c>
      <x:c r="C2680" s="72" t="n">
        <x:v>44916</x:v>
      </x:c>
      <x:c r="D2680" s="73" t="n">
        <x:v>1.0013</x:v>
      </x:c>
      <x:c r="E2680" s="73" t="n">
        <x:v>1.548</x:v>
      </x:c>
      <x:c r="F2680" s="73" t="n">
        <x:v>1.6872</x:v>
      </x:c>
      <x:c r="G2680" s="74" t="n">
        <x:v>0.0013</x:v>
      </x:c>
      <x:c r="H2680" s="66" t="str">
        <x:v>祁腾蜂赢1号净值20260911.xlsx</x:v>
      </x:c>
      <x:c r="I2680" s="73" t="str">
        <x:f>""</x:f>
      </x:c>
      <x:c r="J2680" s="74" t="str">
        <x:f>""</x:f>
      </x:c>
      <x:c r="K2680" s="73" t="str">
        <x:f>""</x:f>
      </x:c>
      <x:c r="L2680" s="74" t="str">
        <x:f>""</x:f>
      </x:c>
      <x:c r="M2680" s="73" t="n">
        <x:f>MAX(M2679,F2680)</x:f>
        <x:v>1.6872</x:v>
      </x:c>
      <x:c r="N2680" s="74" t="n">
        <x:f>1-F2680/M2680</x:f>
        <x:v>0</x:v>
      </x:c>
    </x:row>
    <x:row r="2681" ht="27" customHeight="1">
      <x:c r="A2681" s="66" t="str">
        <x:v>SEV580</x:v>
      </x:c>
      <x:c r="B2681" s="66" t="str">
        <x:v>祁腾蜂赢1号</x:v>
      </x:c>
      <x:c r="C2681" s="72" t="n">
        <x:v>44917</x:v>
      </x:c>
      <x:c r="D2681" s="73" t="n">
        <x:v>1.0013</x:v>
      </x:c>
      <x:c r="E2681" s="73" t="n">
        <x:v>1.548</x:v>
      </x:c>
      <x:c r="F2681" s="73" t="n">
        <x:v>1.6872</x:v>
      </x:c>
      <x:c r="G2681" s="74" t="n">
        <x:v>0</x:v>
      </x:c>
      <x:c r="H2681" s="66" t="str">
        <x:v>祁腾蜂赢1号净值20260911.xlsx</x:v>
      </x:c>
      <x:c r="I2681" s="73" t="str">
        <x:f>""</x:f>
      </x:c>
      <x:c r="J2681" s="74" t="str">
        <x:f>""</x:f>
      </x:c>
      <x:c r="K2681" s="73" t="str">
        <x:f>""</x:f>
      </x:c>
      <x:c r="L2681" s="74" t="str">
        <x:f>""</x:f>
      </x:c>
      <x:c r="M2681" s="73" t="n">
        <x:f>MAX(M2680,F2681)</x:f>
        <x:v>1.6872</x:v>
      </x:c>
      <x:c r="N2681" s="74" t="n">
        <x:f>1-F2681/M2681</x:f>
        <x:v>0</x:v>
      </x:c>
    </x:row>
    <x:row r="2682" ht="27" customHeight="1">
      <x:c r="A2682" s="66" t="str">
        <x:v>SEV580</x:v>
      </x:c>
      <x:c r="B2682" s="66" t="str">
        <x:v>祁腾蜂赢1号</x:v>
      </x:c>
      <x:c r="C2682" s="72" t="n">
        <x:v>44918</x:v>
      </x:c>
      <x:c r="D2682" s="73" t="n">
        <x:v>1.0017</x:v>
      </x:c>
      <x:c r="E2682" s="73" t="n">
        <x:v>1.5484</x:v>
      </x:c>
      <x:c r="F2682" s="73" t="n">
        <x:v>1.6878</x:v>
      </x:c>
      <x:c r="G2682" s="74" t="n">
        <x:v>0.0004</x:v>
      </x:c>
      <x:c r="H2682" s="66" t="str">
        <x:v>祁腾蜂赢1号净值20260911.xlsx</x:v>
      </x:c>
      <x:c r="I2682" s="73" t="str">
        <x:f>""</x:f>
      </x:c>
      <x:c r="J2682" s="74" t="str">
        <x:f>""</x:f>
      </x:c>
      <x:c r="K2682" s="73" t="str">
        <x:f>""</x:f>
      </x:c>
      <x:c r="L2682" s="74" t="str">
        <x:f>""</x:f>
      </x:c>
      <x:c r="M2682" s="73" t="n">
        <x:f>MAX(M2681,F2682)</x:f>
        <x:v>1.6878</x:v>
      </x:c>
      <x:c r="N2682" s="74" t="n">
        <x:f>1-F2682/M2682</x:f>
        <x:v>0</x:v>
      </x:c>
    </x:row>
    <x:row r="2683" ht="27" customHeight="1">
      <x:c r="A2683" s="66" t="str">
        <x:v>SEV580</x:v>
      </x:c>
      <x:c r="B2683" s="66" t="str">
        <x:v>祁腾蜂赢1号</x:v>
      </x:c>
      <x:c r="C2683" s="72" t="n">
        <x:v>44921</x:v>
      </x:c>
      <x:c r="D2683" s="73" t="n">
        <x:v>1.0017</x:v>
      </x:c>
      <x:c r="E2683" s="73" t="n">
        <x:v>1.5484</x:v>
      </x:c>
      <x:c r="F2683" s="73" t="n">
        <x:v>1.6878</x:v>
      </x:c>
      <x:c r="G2683" s="74" t="n">
        <x:v>0</x:v>
      </x:c>
      <x:c r="H2683" s="66" t="str">
        <x:v>祁腾蜂赢1号净值20260911.xlsx</x:v>
      </x:c>
      <x:c r="I2683" s="73" t="str">
        <x:f>""</x:f>
      </x:c>
      <x:c r="J2683" s="74" t="str">
        <x:f>""</x:f>
      </x:c>
      <x:c r="K2683" s="73" t="str">
        <x:f>""</x:f>
      </x:c>
      <x:c r="L2683" s="74" t="str">
        <x:f>""</x:f>
      </x:c>
      <x:c r="M2683" s="73" t="n">
        <x:f>MAX(M2682,F2683)</x:f>
        <x:v>1.6878</x:v>
      </x:c>
      <x:c r="N2683" s="74" t="n">
        <x:f>1-F2683/M2683</x:f>
        <x:v>0</x:v>
      </x:c>
    </x:row>
    <x:row r="2684" ht="27" customHeight="1">
      <x:c r="A2684" s="66" t="str">
        <x:v>SEV580</x:v>
      </x:c>
      <x:c r="B2684" s="66" t="str">
        <x:v>祁腾蜂赢1号</x:v>
      </x:c>
      <x:c r="C2684" s="72" t="n">
        <x:v>44922</x:v>
      </x:c>
      <x:c r="D2684" s="73" t="n">
        <x:v>1.0022</x:v>
      </x:c>
      <x:c r="E2684" s="73" t="n">
        <x:v>1.5489</x:v>
      </x:c>
      <x:c r="F2684" s="73" t="n">
        <x:v>1.6887</x:v>
      </x:c>
      <x:c r="G2684" s="74" t="n">
        <x:v>0.0005</x:v>
      </x:c>
      <x:c r="H2684" s="66" t="str">
        <x:v>祁腾蜂赢1号净值20260911.xlsx</x:v>
      </x:c>
      <x:c r="I2684" s="73" t="str">
        <x:f>""</x:f>
      </x:c>
      <x:c r="J2684" s="74" t="str">
        <x:f>""</x:f>
      </x:c>
      <x:c r="K2684" s="73" t="str">
        <x:f>""</x:f>
      </x:c>
      <x:c r="L2684" s="74" t="str">
        <x:f>""</x:f>
      </x:c>
      <x:c r="M2684" s="73" t="n">
        <x:f>MAX(M2683,F2684)</x:f>
        <x:v>1.6887</x:v>
      </x:c>
      <x:c r="N2684" s="74" t="n">
        <x:f>1-F2684/M2684</x:f>
        <x:v>0</x:v>
      </x:c>
    </x:row>
    <x:row r="2685" ht="27" customHeight="1">
      <x:c r="A2685" s="66" t="str">
        <x:v>SEV580</x:v>
      </x:c>
      <x:c r="B2685" s="66" t="str">
        <x:v>祁腾蜂赢1号</x:v>
      </x:c>
      <x:c r="C2685" s="72" t="n">
        <x:v>44923</x:v>
      </x:c>
      <x:c r="D2685" s="73" t="n">
        <x:v>1.0024</x:v>
      </x:c>
      <x:c r="E2685" s="73" t="n">
        <x:v>1.5491</x:v>
      </x:c>
      <x:c r="F2685" s="73" t="n">
        <x:v>1.689</x:v>
      </x:c>
      <x:c r="G2685" s="74" t="n">
        <x:v>0.0002</x:v>
      </x:c>
      <x:c r="H2685" s="66" t="str">
        <x:v>祁腾蜂赢1号净值20260911.xlsx</x:v>
      </x:c>
      <x:c r="I2685" s="73" t="str">
        <x:f>""</x:f>
      </x:c>
      <x:c r="J2685" s="74" t="str">
        <x:f>""</x:f>
      </x:c>
      <x:c r="K2685" s="73" t="str">
        <x:f>""</x:f>
      </x:c>
      <x:c r="L2685" s="74" t="str">
        <x:f>""</x:f>
      </x:c>
      <x:c r="M2685" s="73" t="n">
        <x:f>MAX(M2684,F2685)</x:f>
        <x:v>1.689</x:v>
      </x:c>
      <x:c r="N2685" s="74" t="n">
        <x:f>1-F2685/M2685</x:f>
        <x:v>0</x:v>
      </x:c>
    </x:row>
    <x:row r="2686" ht="27" customHeight="1">
      <x:c r="A2686" s="66" t="str">
        <x:v>SEV580</x:v>
      </x:c>
      <x:c r="B2686" s="66" t="str">
        <x:v>祁腾蜂赢1号</x:v>
      </x:c>
      <x:c r="C2686" s="72" t="n">
        <x:v>44924</x:v>
      </x:c>
      <x:c r="D2686" s="73" t="n">
        <x:v>1.0024</x:v>
      </x:c>
      <x:c r="E2686" s="73" t="n">
        <x:v>1.5491</x:v>
      </x:c>
      <x:c r="F2686" s="73" t="n">
        <x:v>1.689</x:v>
      </x:c>
      <x:c r="G2686" s="74" t="n">
        <x:v>0</x:v>
      </x:c>
      <x:c r="H2686" s="66" t="str">
        <x:v>祁腾蜂赢1号净值20260911.xlsx</x:v>
      </x:c>
      <x:c r="I2686" s="73" t="str">
        <x:f>""</x:f>
      </x:c>
      <x:c r="J2686" s="74" t="str">
        <x:f>""</x:f>
      </x:c>
      <x:c r="K2686" s="73" t="str">
        <x:f>""</x:f>
      </x:c>
      <x:c r="L2686" s="74" t="str">
        <x:f>""</x:f>
      </x:c>
      <x:c r="M2686" s="73" t="n">
        <x:f>MAX(M2685,F2686)</x:f>
        <x:v>1.689</x:v>
      </x:c>
      <x:c r="N2686" s="74" t="n">
        <x:f>1-F2686/M2686</x:f>
        <x:v>0</x:v>
      </x:c>
    </x:row>
    <x:row r="2687" ht="27" customHeight="1">
      <x:c r="A2687" s="66" t="str">
        <x:v>SEV580</x:v>
      </x:c>
      <x:c r="B2687" s="66" t="str">
        <x:v>祁腾蜂赢1号</x:v>
      </x:c>
      <x:c r="C2687" s="72" t="n">
        <x:v>44925</x:v>
      </x:c>
      <x:c r="D2687" s="73" t="n">
        <x:v>1.0024</x:v>
      </x:c>
      <x:c r="E2687" s="73" t="n">
        <x:v>1.5491</x:v>
      </x:c>
      <x:c r="F2687" s="73" t="n">
        <x:v>1.689</x:v>
      </x:c>
      <x:c r="G2687" s="74" t="n">
        <x:v>0</x:v>
      </x:c>
      <x:c r="H2687" s="66" t="str">
        <x:v>祁腾蜂赢1号净值20260911.xlsx</x:v>
      </x:c>
      <x:c r="I2687" s="73" t="str">
        <x:f>""</x:f>
      </x:c>
      <x:c r="J2687" s="74" t="str">
        <x:f>""</x:f>
      </x:c>
      <x:c r="K2687" s="73" t="str">
        <x:f>""</x:f>
      </x:c>
      <x:c r="L2687" s="74" t="str">
        <x:f>""</x:f>
      </x:c>
      <x:c r="M2687" s="73" t="n">
        <x:f>MAX(M2686,F2687)</x:f>
        <x:v>1.689</x:v>
      </x:c>
      <x:c r="N2687" s="74" t="n">
        <x:f>1-F2687/M2687</x:f>
        <x:v>0</x:v>
      </x:c>
    </x:row>
    <x:row r="2688" ht="27" customHeight="1">
      <x:c r="A2688" s="66" t="str">
        <x:v>SEV580</x:v>
      </x:c>
      <x:c r="B2688" s="66" t="str">
        <x:v>祁腾蜂赢1号</x:v>
      </x:c>
      <x:c r="C2688" s="72" t="n">
        <x:v>44929</x:v>
      </x:c>
      <x:c r="D2688" s="73" t="n">
        <x:v>1.0021</x:v>
      </x:c>
      <x:c r="E2688" s="73" t="n">
        <x:v>1.5488</x:v>
      </x:c>
      <x:c r="F2688" s="73" t="n">
        <x:v>1.6885</x:v>
      </x:c>
      <x:c r="G2688" s="74" t="n">
        <x:v>-0.0003</x:v>
      </x:c>
      <x:c r="H2688" s="66" t="str">
        <x:v>祁腾蜂赢1号净值20260911.xlsx</x:v>
      </x:c>
      <x:c r="I2688" s="73" t="str">
        <x:f>""</x:f>
      </x:c>
      <x:c r="J2688" s="74" t="str">
        <x:f>""</x:f>
      </x:c>
      <x:c r="K2688" s="73" t="str">
        <x:f>""</x:f>
      </x:c>
      <x:c r="L2688" s="74" t="str">
        <x:f>""</x:f>
      </x:c>
      <x:c r="M2688" s="73" t="n">
        <x:f>MAX(M2687,F2688)</x:f>
        <x:v>1.689</x:v>
      </x:c>
      <x:c r="N2688" s="74" t="n">
        <x:f>1-F2688/M2688</x:f>
        <x:v>0.000296033155713582</x:v>
      </x:c>
    </x:row>
    <x:row r="2689" ht="27" customHeight="1">
      <x:c r="A2689" s="66" t="str">
        <x:v>SEV580</x:v>
      </x:c>
      <x:c r="B2689" s="66" t="str">
        <x:v>祁腾蜂赢1号</x:v>
      </x:c>
      <x:c r="C2689" s="72" t="n">
        <x:v>44930</x:v>
      </x:c>
      <x:c r="D2689" s="73" t="n">
        <x:v>1.0019</x:v>
      </x:c>
      <x:c r="E2689" s="73" t="n">
        <x:v>1.5486</x:v>
      </x:c>
      <x:c r="F2689" s="73" t="n">
        <x:v>1.6882</x:v>
      </x:c>
      <x:c r="G2689" s="74" t="n">
        <x:v>-0.0002</x:v>
      </x:c>
      <x:c r="H2689" s="66" t="str">
        <x:v>祁腾蜂赢1号净值20260911.xlsx</x:v>
      </x:c>
      <x:c r="I2689" s="73" t="str">
        <x:f>""</x:f>
      </x:c>
      <x:c r="J2689" s="74" t="str">
        <x:f>""</x:f>
      </x:c>
      <x:c r="K2689" s="73" t="str">
        <x:f>""</x:f>
      </x:c>
      <x:c r="L2689" s="74" t="str">
        <x:f>""</x:f>
      </x:c>
      <x:c r="M2689" s="73" t="n">
        <x:f>MAX(M2688,F2689)</x:f>
        <x:v>1.689</x:v>
      </x:c>
      <x:c r="N2689" s="74" t="n">
        <x:f>1-F2689/M2689</x:f>
        <x:v>0.000473653049141598</x:v>
      </x:c>
    </x:row>
    <x:row r="2690" ht="27" customHeight="1">
      <x:c r="A2690" s="66" t="str">
        <x:v>SEV580</x:v>
      </x:c>
      <x:c r="B2690" s="66" t="str">
        <x:v>祁腾蜂赢1号</x:v>
      </x:c>
      <x:c r="C2690" s="72" t="n">
        <x:v>44931</x:v>
      </x:c>
      <x:c r="D2690" s="73" t="n">
        <x:v>1.0018</x:v>
      </x:c>
      <x:c r="E2690" s="73" t="n">
        <x:v>1.5485</x:v>
      </x:c>
      <x:c r="F2690" s="73" t="n">
        <x:v>1.688</x:v>
      </x:c>
      <x:c r="G2690" s="74" t="n">
        <x:v>-0.0001</x:v>
      </x:c>
      <x:c r="H2690" s="66" t="str">
        <x:v>祁腾蜂赢1号净值20260911.xlsx</x:v>
      </x:c>
      <x:c r="I2690" s="73" t="str">
        <x:f>""</x:f>
      </x:c>
      <x:c r="J2690" s="74" t="str">
        <x:f>""</x:f>
      </x:c>
      <x:c r="K2690" s="73" t="str">
        <x:f>""</x:f>
      </x:c>
      <x:c r="L2690" s="74" t="str">
        <x:f>""</x:f>
      </x:c>
      <x:c r="M2690" s="73" t="n">
        <x:f>MAX(M2689,F2690)</x:f>
        <x:v>1.689</x:v>
      </x:c>
      <x:c r="N2690" s="74" t="n">
        <x:f>1-F2690/M2690</x:f>
        <x:v>0.000592066311426942</x:v>
      </x:c>
    </x:row>
    <x:row r="2691" ht="27" customHeight="1">
      <x:c r="A2691" s="66" t="str">
        <x:v>SEV580</x:v>
      </x:c>
      <x:c r="B2691" s="66" t="str">
        <x:v>祁腾蜂赢1号</x:v>
      </x:c>
      <x:c r="C2691" s="72" t="n">
        <x:v>44932</x:v>
      </x:c>
      <x:c r="D2691" s="73" t="n">
        <x:v>1.0016</x:v>
      </x:c>
      <x:c r="E2691" s="73" t="n">
        <x:v>1.5483</x:v>
      </x:c>
      <x:c r="F2691" s="73" t="n">
        <x:v>1.6877</x:v>
      </x:c>
      <x:c r="G2691" s="74" t="n">
        <x:v>-0.0002</x:v>
      </x:c>
      <x:c r="H2691" s="66" t="str">
        <x:v>祁腾蜂赢1号净值20260911.xlsx</x:v>
      </x:c>
      <x:c r="I2691" s="73" t="str">
        <x:f>""</x:f>
      </x:c>
      <x:c r="J2691" s="74" t="str">
        <x:f>""</x:f>
      </x:c>
      <x:c r="K2691" s="73" t="str">
        <x:f>""</x:f>
      </x:c>
      <x:c r="L2691" s="74" t="str">
        <x:f>""</x:f>
      </x:c>
      <x:c r="M2691" s="73" t="n">
        <x:f>MAX(M2690,F2691)</x:f>
        <x:v>1.689</x:v>
      </x:c>
      <x:c r="N2691" s="74" t="n">
        <x:f>1-F2691/M2691</x:f>
        <x:v>0.000769686204854958</x:v>
      </x:c>
    </x:row>
    <x:row r="2692" ht="27" customHeight="1">
      <x:c r="A2692" s="66" t="str">
        <x:v>SEV580</x:v>
      </x:c>
      <x:c r="B2692" s="66" t="str">
        <x:v>祁腾蜂赢1号</x:v>
      </x:c>
      <x:c r="C2692" s="72" t="n">
        <x:v>44935</x:v>
      </x:c>
      <x:c r="D2692" s="73" t="n">
        <x:v>1.0016</x:v>
      </x:c>
      <x:c r="E2692" s="73" t="n">
        <x:v>1.5483</x:v>
      </x:c>
      <x:c r="F2692" s="73" t="n">
        <x:v>1.6877</x:v>
      </x:c>
      <x:c r="G2692" s="74" t="n">
        <x:v>0</x:v>
      </x:c>
      <x:c r="H2692" s="66" t="str">
        <x:v>祁腾蜂赢1号净值20260911.xlsx</x:v>
      </x:c>
      <x:c r="I2692" s="73" t="str">
        <x:f>""</x:f>
      </x:c>
      <x:c r="J2692" s="74" t="str">
        <x:f>""</x:f>
      </x:c>
      <x:c r="K2692" s="73" t="str">
        <x:f>""</x:f>
      </x:c>
      <x:c r="L2692" s="74" t="str">
        <x:f>""</x:f>
      </x:c>
      <x:c r="M2692" s="73" t="n">
        <x:f>MAX(M2691,F2692)</x:f>
        <x:v>1.689</x:v>
      </x:c>
      <x:c r="N2692" s="74" t="n">
        <x:f>1-F2692/M2692</x:f>
        <x:v>0.000769686204854958</x:v>
      </x:c>
    </x:row>
    <x:row r="2693" ht="27" customHeight="1">
      <x:c r="A2693" s="66" t="str">
        <x:v>SEV580</x:v>
      </x:c>
      <x:c r="B2693" s="66" t="str">
        <x:v>祁腾蜂赢1号</x:v>
      </x:c>
      <x:c r="C2693" s="72" t="n">
        <x:v>44936</x:v>
      </x:c>
      <x:c r="D2693" s="73" t="n">
        <x:v>1.0014</x:v>
      </x:c>
      <x:c r="E2693" s="73" t="n">
        <x:v>1.5481</x:v>
      </x:c>
      <x:c r="F2693" s="73" t="n">
        <x:v>1.6873</x:v>
      </x:c>
      <x:c r="G2693" s="74" t="n">
        <x:v>-0.0002</x:v>
      </x:c>
      <x:c r="H2693" s="66" t="str">
        <x:v>祁腾蜂赢1号净值20260911.xlsx</x:v>
      </x:c>
      <x:c r="I2693" s="73" t="str">
        <x:f>""</x:f>
      </x:c>
      <x:c r="J2693" s="74" t="str">
        <x:f>""</x:f>
      </x:c>
      <x:c r="K2693" s="73" t="str">
        <x:f>""</x:f>
      </x:c>
      <x:c r="L2693" s="74" t="str">
        <x:f>""</x:f>
      </x:c>
      <x:c r="M2693" s="73" t="n">
        <x:f>MAX(M2692,F2693)</x:f>
        <x:v>1.689</x:v>
      </x:c>
      <x:c r="N2693" s="74" t="n">
        <x:f>1-F2693/M2693</x:f>
        <x:v>0.001006512729425757</x:v>
      </x:c>
    </x:row>
    <x:row r="2694" ht="27" customHeight="1">
      <x:c r="A2694" s="66" t="str">
        <x:v>SEV580</x:v>
      </x:c>
      <x:c r="B2694" s="66" t="str">
        <x:v>祁腾蜂赢1号</x:v>
      </x:c>
      <x:c r="C2694" s="72" t="n">
        <x:v>44937</x:v>
      </x:c>
      <x:c r="D2694" s="73" t="n">
        <x:v>1.0024</x:v>
      </x:c>
      <x:c r="E2694" s="73" t="n">
        <x:v>1.5491</x:v>
      </x:c>
      <x:c r="F2694" s="73" t="n">
        <x:v>1.689</x:v>
      </x:c>
      <x:c r="G2694" s="74" t="n">
        <x:v>0.001</x:v>
      </x:c>
      <x:c r="H2694" s="66" t="str">
        <x:v>祁腾蜂赢1号净值20260911.xlsx</x:v>
      </x:c>
      <x:c r="I2694" s="73" t="str">
        <x:f>""</x:f>
      </x:c>
      <x:c r="J2694" s="74" t="str">
        <x:f>""</x:f>
      </x:c>
      <x:c r="K2694" s="73" t="str">
        <x:f>""</x:f>
      </x:c>
      <x:c r="L2694" s="74" t="str">
        <x:f>""</x:f>
      </x:c>
      <x:c r="M2694" s="73" t="n">
        <x:f>MAX(M2693,F2694)</x:f>
        <x:v>1.689</x:v>
      </x:c>
      <x:c r="N2694" s="74" t="n">
        <x:f>1-F2694/M2694</x:f>
        <x:v>0</x:v>
      </x:c>
    </x:row>
    <x:row r="2695" ht="27" customHeight="1">
      <x:c r="A2695" s="66" t="str">
        <x:v>SEV580</x:v>
      </x:c>
      <x:c r="B2695" s="66" t="str">
        <x:v>祁腾蜂赢1号</x:v>
      </x:c>
      <x:c r="C2695" s="72" t="n">
        <x:v>44938</x:v>
      </x:c>
      <x:c r="D2695" s="73" t="n">
        <x:v>1.0021</x:v>
      </x:c>
      <x:c r="E2695" s="73" t="n">
        <x:v>1.5488</x:v>
      </x:c>
      <x:c r="F2695" s="73" t="n">
        <x:v>1.6885</x:v>
      </x:c>
      <x:c r="G2695" s="74" t="n">
        <x:v>-0.0003</x:v>
      </x:c>
      <x:c r="H2695" s="66" t="str">
        <x:v>祁腾蜂赢1号净值20260911.xlsx</x:v>
      </x:c>
      <x:c r="I2695" s="73" t="str">
        <x:f>""</x:f>
      </x:c>
      <x:c r="J2695" s="74" t="str">
        <x:f>""</x:f>
      </x:c>
      <x:c r="K2695" s="73" t="str">
        <x:f>""</x:f>
      </x:c>
      <x:c r="L2695" s="74" t="str">
        <x:f>""</x:f>
      </x:c>
      <x:c r="M2695" s="73" t="n">
        <x:f>MAX(M2694,F2695)</x:f>
        <x:v>1.689</x:v>
      </x:c>
      <x:c r="N2695" s="74" t="n">
        <x:f>1-F2695/M2695</x:f>
        <x:v>0.000296033155713582</x:v>
      </x:c>
    </x:row>
    <x:row r="2696" ht="27" customHeight="1">
      <x:c r="A2696" s="66" t="str">
        <x:v>SEV580</x:v>
      </x:c>
      <x:c r="B2696" s="66" t="str">
        <x:v>祁腾蜂赢1号</x:v>
      </x:c>
      <x:c r="C2696" s="72" t="n">
        <x:v>44939</x:v>
      </x:c>
      <x:c r="D2696" s="73" t="n">
        <x:v>1.0024</x:v>
      </x:c>
      <x:c r="E2696" s="73" t="n">
        <x:v>1.5491</x:v>
      </x:c>
      <x:c r="F2696" s="73" t="n">
        <x:v>1.689</x:v>
      </x:c>
      <x:c r="G2696" s="74" t="n">
        <x:v>0.0003</x:v>
      </x:c>
      <x:c r="H2696" s="66" t="str">
        <x:v>祁腾蜂赢1号净值20260911.xlsx</x:v>
      </x:c>
      <x:c r="I2696" s="73" t="str">
        <x:f>""</x:f>
      </x:c>
      <x:c r="J2696" s="74" t="str">
        <x:f>""</x:f>
      </x:c>
      <x:c r="K2696" s="73" t="str">
        <x:f>""</x:f>
      </x:c>
      <x:c r="L2696" s="74" t="str">
        <x:f>""</x:f>
      </x:c>
      <x:c r="M2696" s="73" t="n">
        <x:f>MAX(M2695,F2696)</x:f>
        <x:v>1.689</x:v>
      </x:c>
      <x:c r="N2696" s="74" t="n">
        <x:f>1-F2696/M2696</x:f>
        <x:v>0</x:v>
      </x:c>
    </x:row>
    <x:row r="2697" ht="27" customHeight="1">
      <x:c r="A2697" s="66" t="str">
        <x:v>SEV580</x:v>
      </x:c>
      <x:c r="B2697" s="66" t="str">
        <x:v>祁腾蜂赢1号</x:v>
      </x:c>
      <x:c r="C2697" s="72" t="n">
        <x:v>44942</x:v>
      </x:c>
      <x:c r="D2697" s="73" t="n">
        <x:v>1.0037</x:v>
      </x:c>
      <x:c r="E2697" s="73" t="n">
        <x:v>1.5504</x:v>
      </x:c>
      <x:c r="F2697" s="73" t="n">
        <x:v>1.6912</x:v>
      </x:c>
      <x:c r="G2697" s="74" t="n">
        <x:v>0.0013</x:v>
      </x:c>
      <x:c r="H2697" s="66" t="str">
        <x:v>祁腾蜂赢1号净值20260911.xlsx</x:v>
      </x:c>
      <x:c r="I2697" s="73" t="str">
        <x:f>""</x:f>
      </x:c>
      <x:c r="J2697" s="74" t="str">
        <x:f>""</x:f>
      </x:c>
      <x:c r="K2697" s="73" t="str">
        <x:f>""</x:f>
      </x:c>
      <x:c r="L2697" s="74" t="str">
        <x:f>""</x:f>
      </x:c>
      <x:c r="M2697" s="73" t="n">
        <x:f>MAX(M2696,F2697)</x:f>
        <x:v>1.6912</x:v>
      </x:c>
      <x:c r="N2697" s="74" t="n">
        <x:f>1-F2697/M2697</x:f>
        <x:v>0</x:v>
      </x:c>
    </x:row>
    <x:row r="2698" ht="27" customHeight="1">
      <x:c r="A2698" s="66" t="str">
        <x:v>SEV580</x:v>
      </x:c>
      <x:c r="B2698" s="66" t="str">
        <x:v>祁腾蜂赢1号</x:v>
      </x:c>
      <x:c r="C2698" s="72" t="n">
        <x:v>44943</x:v>
      </x:c>
      <x:c r="D2698" s="73" t="n">
        <x:v>1.0036</x:v>
      </x:c>
      <x:c r="E2698" s="73" t="n">
        <x:v>1.5503</x:v>
      </x:c>
      <x:c r="F2698" s="73" t="n">
        <x:v>1.691</x:v>
      </x:c>
      <x:c r="G2698" s="74" t="n">
        <x:v>-0.0001</x:v>
      </x:c>
      <x:c r="H2698" s="66" t="str">
        <x:v>祁腾蜂赢1号净值20260911.xlsx</x:v>
      </x:c>
      <x:c r="I2698" s="73" t="str">
        <x:f>""</x:f>
      </x:c>
      <x:c r="J2698" s="74" t="str">
        <x:f>""</x:f>
      </x:c>
      <x:c r="K2698" s="73" t="str">
        <x:f>""</x:f>
      </x:c>
      <x:c r="L2698" s="74" t="str">
        <x:f>""</x:f>
      </x:c>
      <x:c r="M2698" s="73" t="n">
        <x:f>MAX(M2697,F2698)</x:f>
        <x:v>1.6912</x:v>
      </x:c>
      <x:c r="N2698" s="74" t="n">
        <x:f>1-F2698/M2698</x:f>
        <x:v>0.00011825922421948576</x:v>
      </x:c>
    </x:row>
    <x:row r="2699" ht="27" customHeight="1">
      <x:c r="A2699" s="66" t="str">
        <x:v>SEV580</x:v>
      </x:c>
      <x:c r="B2699" s="66" t="str">
        <x:v>祁腾蜂赢1号</x:v>
      </x:c>
      <x:c r="C2699" s="72" t="n">
        <x:v>44944</x:v>
      </x:c>
      <x:c r="D2699" s="73" t="n">
        <x:v>1.0028</x:v>
      </x:c>
      <x:c r="E2699" s="73" t="n">
        <x:v>1.5495</x:v>
      </x:c>
      <x:c r="F2699" s="73" t="n">
        <x:v>1.6897</x:v>
      </x:c>
      <x:c r="G2699" s="74" t="n">
        <x:v>-0.0008</x:v>
      </x:c>
      <x:c r="H2699" s="66" t="str">
        <x:v>祁腾蜂赢1号净值20260911.xlsx</x:v>
      </x:c>
      <x:c r="I2699" s="73" t="str">
        <x:f>""</x:f>
      </x:c>
      <x:c r="J2699" s="74" t="str">
        <x:f>""</x:f>
      </x:c>
      <x:c r="K2699" s="73" t="str">
        <x:f>""</x:f>
      </x:c>
      <x:c r="L2699" s="74" t="str">
        <x:f>""</x:f>
      </x:c>
      <x:c r="M2699" s="73" t="n">
        <x:f>MAX(M2698,F2699)</x:f>
        <x:v>1.6912</x:v>
      </x:c>
      <x:c r="N2699" s="74" t="n">
        <x:f>1-F2699/M2699</x:f>
        <x:v>0.0008869441816462542</x:v>
      </x:c>
    </x:row>
    <x:row r="2700" ht="27" customHeight="1">
      <x:c r="A2700" s="66" t="str">
        <x:v>SEV580</x:v>
      </x:c>
      <x:c r="B2700" s="66" t="str">
        <x:v>祁腾蜂赢1号</x:v>
      </x:c>
      <x:c r="C2700" s="72" t="n">
        <x:v>44945</x:v>
      </x:c>
      <x:c r="D2700" s="73" t="n">
        <x:v>1.003</x:v>
      </x:c>
      <x:c r="E2700" s="73" t="n">
        <x:v>1.5497</x:v>
      </x:c>
      <x:c r="F2700" s="73" t="n">
        <x:v>1.69</x:v>
      </x:c>
      <x:c r="G2700" s="74" t="n">
        <x:v>0.0002</x:v>
      </x:c>
      <x:c r="H2700" s="66" t="str">
        <x:v>祁腾蜂赢1号净值20260911.xlsx</x:v>
      </x:c>
      <x:c r="I2700" s="73" t="str">
        <x:f>""</x:f>
      </x:c>
      <x:c r="J2700" s="74" t="str">
        <x:f>""</x:f>
      </x:c>
      <x:c r="K2700" s="73" t="str">
        <x:f>""</x:f>
      </x:c>
      <x:c r="L2700" s="74" t="str">
        <x:f>""</x:f>
      </x:c>
      <x:c r="M2700" s="73" t="n">
        <x:f>MAX(M2699,F2700)</x:f>
        <x:v>1.6912</x:v>
      </x:c>
      <x:c r="N2700" s="74" t="n">
        <x:f>1-F2700/M2700</x:f>
        <x:v>0.0007095553453170256</x:v>
      </x:c>
    </x:row>
    <x:row r="2701" ht="27" customHeight="1">
      <x:c r="A2701" s="66" t="str">
        <x:v>SEV580</x:v>
      </x:c>
      <x:c r="B2701" s="66" t="str">
        <x:v>祁腾蜂赢1号</x:v>
      </x:c>
      <x:c r="C2701" s="72" t="n">
        <x:v>44946</x:v>
      </x:c>
      <x:c r="D2701" s="73" t="n">
        <x:v>1.0023</x:v>
      </x:c>
      <x:c r="E2701" s="73" t="n">
        <x:v>1.549</x:v>
      </x:c>
      <x:c r="F2701" s="73" t="n">
        <x:v>1.6888</x:v>
      </x:c>
      <x:c r="G2701" s="74" t="n">
        <x:v>-0.0007000000000000001</x:v>
      </x:c>
      <x:c r="H2701" s="66" t="str">
        <x:v>祁腾蜂赢1号净值20260911.xlsx</x:v>
      </x:c>
      <x:c r="I2701" s="73" t="str">
        <x:f>""</x:f>
      </x:c>
      <x:c r="J2701" s="74" t="str">
        <x:f>""</x:f>
      </x:c>
      <x:c r="K2701" s="73" t="str">
        <x:f>""</x:f>
      </x:c>
      <x:c r="L2701" s="74" t="str">
        <x:f>""</x:f>
      </x:c>
      <x:c r="M2701" s="73" t="n">
        <x:f>MAX(M2700,F2701)</x:f>
        <x:v>1.6912</x:v>
      </x:c>
      <x:c r="N2701" s="74" t="n">
        <x:f>1-F2701/M2701</x:f>
        <x:v>0.001419110690633829</x:v>
      </x:c>
    </x:row>
    <x:row r="2702" ht="27" customHeight="1">
      <x:c r="A2702" s="66" t="str">
        <x:v>SEV580</x:v>
      </x:c>
      <x:c r="B2702" s="66" t="str">
        <x:v>祁腾蜂赢1号</x:v>
      </x:c>
      <x:c r="C2702" s="72" t="n">
        <x:v>44956</x:v>
      </x:c>
      <x:c r="D2702" s="73" t="n">
        <x:v>1.002</x:v>
      </x:c>
      <x:c r="E2702" s="73" t="n">
        <x:v>1.5487</x:v>
      </x:c>
      <x:c r="F2702" s="73" t="n">
        <x:v>1.6883</x:v>
      </x:c>
      <x:c r="G2702" s="74" t="n">
        <x:v>-0.0003</x:v>
      </x:c>
      <x:c r="H2702" s="66" t="str">
        <x:v>祁腾蜂赢1号净值20260911.xlsx</x:v>
      </x:c>
      <x:c r="I2702" s="73" t="str">
        <x:f>""</x:f>
      </x:c>
      <x:c r="J2702" s="74" t="str">
        <x:f>""</x:f>
      </x:c>
      <x:c r="K2702" s="73" t="str">
        <x:f>""</x:f>
      </x:c>
      <x:c r="L2702" s="74" t="str">
        <x:f>""</x:f>
      </x:c>
      <x:c r="M2702" s="73" t="n">
        <x:f>MAX(M2701,F2702)</x:f>
        <x:v>1.6912</x:v>
      </x:c>
      <x:c r="N2702" s="74" t="n">
        <x:f>1-F2702/M2702</x:f>
        <x:v>0.0017147587511826545</x:v>
      </x:c>
    </x:row>
    <x:row r="2703" ht="27" customHeight="1">
      <x:c r="A2703" s="66" t="str">
        <x:v>SEV580</x:v>
      </x:c>
      <x:c r="B2703" s="66" t="str">
        <x:v>祁腾蜂赢1号</x:v>
      </x:c>
      <x:c r="C2703" s="72" t="n">
        <x:v>44957</x:v>
      </x:c>
      <x:c r="D2703" s="73" t="n">
        <x:v>1.0019</x:v>
      </x:c>
      <x:c r="E2703" s="73" t="n">
        <x:v>1.5486</x:v>
      </x:c>
      <x:c r="F2703" s="73" t="n">
        <x:v>1.6882</x:v>
      </x:c>
      <x:c r="G2703" s="74" t="n">
        <x:v>-0.0001</x:v>
      </x:c>
      <x:c r="H2703" s="66" t="str">
        <x:v>祁腾蜂赢1号净值20260911.xlsx</x:v>
      </x:c>
      <x:c r="I2703" s="73" t="str">
        <x:f>""</x:f>
      </x:c>
      <x:c r="J2703" s="74" t="str">
        <x:f>""</x:f>
      </x:c>
      <x:c r="K2703" s="73" t="str">
        <x:f>""</x:f>
      </x:c>
      <x:c r="L2703" s="74" t="str">
        <x:f>""</x:f>
      </x:c>
      <x:c r="M2703" s="73" t="n">
        <x:f>MAX(M2702,F2703)</x:f>
        <x:v>1.6912</x:v>
      </x:c>
      <x:c r="N2703" s="74" t="n">
        <x:f>1-F2703/M2703</x:f>
        <x:v>0.0017738883632923974</x:v>
      </x:c>
    </x:row>
    <x:row r="2704" ht="27" customHeight="1">
      <x:c r="A2704" s="66" t="str">
        <x:v>SEV580</x:v>
      </x:c>
      <x:c r="B2704" s="66" t="str">
        <x:v>祁腾蜂赢1号</x:v>
      </x:c>
      <x:c r="C2704" s="72" t="n">
        <x:v>44958</x:v>
      </x:c>
      <x:c r="D2704" s="73" t="n">
        <x:v>1.0024</x:v>
      </x:c>
      <x:c r="E2704" s="73" t="n">
        <x:v>1.5491</x:v>
      </x:c>
      <x:c r="F2704" s="73" t="n">
        <x:v>1.689</x:v>
      </x:c>
      <x:c r="G2704" s="74" t="n">
        <x:v>0.0005</x:v>
      </x:c>
      <x:c r="H2704" s="66" t="str">
        <x:v>祁腾蜂赢1号净值20260911.xlsx</x:v>
      </x:c>
      <x:c r="I2704" s="73" t="str">
        <x:f>""</x:f>
      </x:c>
      <x:c r="J2704" s="74" t="str">
        <x:f>""</x:f>
      </x:c>
      <x:c r="K2704" s="73" t="str">
        <x:f>""</x:f>
      </x:c>
      <x:c r="L2704" s="74" t="str">
        <x:f>""</x:f>
      </x:c>
      <x:c r="M2704" s="73" t="n">
        <x:f>MAX(M2703,F2704)</x:f>
        <x:v>1.6912</x:v>
      </x:c>
      <x:c r="N2704" s="74" t="n">
        <x:f>1-F2704/M2704</x:f>
        <x:v>0.0013008514664143433</x:v>
      </x:c>
    </x:row>
    <x:row r="2705" ht="27" customHeight="1">
      <x:c r="A2705" s="66" t="str">
        <x:v>SEV580</x:v>
      </x:c>
      <x:c r="B2705" s="66" t="str">
        <x:v>祁腾蜂赢1号</x:v>
      </x:c>
      <x:c r="C2705" s="72" t="n">
        <x:v>44959</x:v>
      </x:c>
      <x:c r="D2705" s="73" t="n">
        <x:v>1.0024</x:v>
      </x:c>
      <x:c r="E2705" s="73" t="n">
        <x:v>1.5491</x:v>
      </x:c>
      <x:c r="F2705" s="73" t="n">
        <x:v>1.689</x:v>
      </x:c>
      <x:c r="G2705" s="74" t="n">
        <x:v>0</x:v>
      </x:c>
      <x:c r="H2705" s="66" t="str">
        <x:v>祁腾蜂赢1号净值20260911.xlsx</x:v>
      </x:c>
      <x:c r="I2705" s="73" t="str">
        <x:f>""</x:f>
      </x:c>
      <x:c r="J2705" s="74" t="str">
        <x:f>""</x:f>
      </x:c>
      <x:c r="K2705" s="73" t="str">
        <x:f>""</x:f>
      </x:c>
      <x:c r="L2705" s="74" t="str">
        <x:f>""</x:f>
      </x:c>
      <x:c r="M2705" s="73" t="n">
        <x:f>MAX(M2704,F2705)</x:f>
        <x:v>1.6912</x:v>
      </x:c>
      <x:c r="N2705" s="74" t="n">
        <x:f>1-F2705/M2705</x:f>
        <x:v>0.0013008514664143433</x:v>
      </x:c>
    </x:row>
    <x:row r="2706" ht="27" customHeight="1">
      <x:c r="A2706" s="66" t="str">
        <x:v>SEV580</x:v>
      </x:c>
      <x:c r="B2706" s="66" t="str">
        <x:v>祁腾蜂赢1号</x:v>
      </x:c>
      <x:c r="C2706" s="72" t="n">
        <x:v>44960</x:v>
      </x:c>
      <x:c r="D2706" s="73" t="n">
        <x:v>1.0027</x:v>
      </x:c>
      <x:c r="E2706" s="73" t="n">
        <x:v>1.5494</x:v>
      </x:c>
      <x:c r="F2706" s="73" t="n">
        <x:v>1.6895</x:v>
      </x:c>
      <x:c r="G2706" s="74" t="n">
        <x:v>0.0003</x:v>
      </x:c>
      <x:c r="H2706" s="66" t="str">
        <x:v>祁腾蜂赢1号净值20260911.xlsx</x:v>
      </x:c>
      <x:c r="I2706" s="73" t="str">
        <x:f>""</x:f>
      </x:c>
      <x:c r="J2706" s="74" t="str">
        <x:f>""</x:f>
      </x:c>
      <x:c r="K2706" s="73" t="str">
        <x:f>""</x:f>
      </x:c>
      <x:c r="L2706" s="74" t="str">
        <x:f>""</x:f>
      </x:c>
      <x:c r="M2706" s="73" t="n">
        <x:f>MAX(M2705,F2706)</x:f>
        <x:v>1.6912</x:v>
      </x:c>
      <x:c r="N2706" s="74" t="n">
        <x:f>1-F2706/M2706</x:f>
        <x:v>0.001005203405865629</x:v>
      </x:c>
    </x:row>
    <x:row r="2707" ht="27" customHeight="1">
      <x:c r="A2707" s="66" t="str">
        <x:v>SEV580</x:v>
      </x:c>
      <x:c r="B2707" s="66" t="str">
        <x:v>祁腾蜂赢1号</x:v>
      </x:c>
      <x:c r="C2707" s="72" t="n">
        <x:v>44963</x:v>
      </x:c>
      <x:c r="D2707" s="73" t="n">
        <x:v>1.0022</x:v>
      </x:c>
      <x:c r="E2707" s="73" t="n">
        <x:v>1.5489</x:v>
      </x:c>
      <x:c r="F2707" s="73" t="n">
        <x:v>1.6887</x:v>
      </x:c>
      <x:c r="G2707" s="74" t="n">
        <x:v>-0.0005</x:v>
      </x:c>
      <x:c r="H2707" s="66" t="str">
        <x:v>祁腾蜂赢1号净值20260911.xlsx</x:v>
      </x:c>
      <x:c r="I2707" s="73" t="str">
        <x:f>""</x:f>
      </x:c>
      <x:c r="J2707" s="74" t="str">
        <x:f>""</x:f>
      </x:c>
      <x:c r="K2707" s="73" t="str">
        <x:f>""</x:f>
      </x:c>
      <x:c r="L2707" s="74" t="str">
        <x:f>""</x:f>
      </x:c>
      <x:c r="M2707" s="73" t="n">
        <x:f>MAX(M2706,F2707)</x:f>
        <x:v>1.6912</x:v>
      </x:c>
      <x:c r="N2707" s="74" t="n">
        <x:f>1-F2707/M2707</x:f>
        <x:v>0.001478240302743572</x:v>
      </x:c>
    </x:row>
    <x:row r="2708" ht="27" customHeight="1">
      <x:c r="A2708" s="66" t="str">
        <x:v>SEV580</x:v>
      </x:c>
      <x:c r="B2708" s="66" t="str">
        <x:v>祁腾蜂赢1号</x:v>
      </x:c>
      <x:c r="C2708" s="72" t="n">
        <x:v>44964</x:v>
      </x:c>
      <x:c r="D2708" s="73" t="n">
        <x:v>1.0017</x:v>
      </x:c>
      <x:c r="E2708" s="73" t="n">
        <x:v>1.5484</x:v>
      </x:c>
      <x:c r="F2708" s="73" t="n">
        <x:v>1.6878</x:v>
      </x:c>
      <x:c r="G2708" s="74" t="n">
        <x:v>-0.0005</x:v>
      </x:c>
      <x:c r="H2708" s="66" t="str">
        <x:v>祁腾蜂赢1号净值20260911.xlsx</x:v>
      </x:c>
      <x:c r="I2708" s="73" t="str">
        <x:f>""</x:f>
      </x:c>
      <x:c r="J2708" s="74" t="str">
        <x:f>""</x:f>
      </x:c>
      <x:c r="K2708" s="73" t="str">
        <x:f>""</x:f>
      </x:c>
      <x:c r="L2708" s="74" t="str">
        <x:f>""</x:f>
      </x:c>
      <x:c r="M2708" s="73" t="n">
        <x:f>MAX(M2707,F2708)</x:f>
        <x:v>1.6912</x:v>
      </x:c>
      <x:c r="N2708" s="74" t="n">
        <x:f>1-F2708/M2708</x:f>
        <x:v>0.002010406811731369</x:v>
      </x:c>
    </x:row>
    <x:row r="2709" ht="27" customHeight="1">
      <x:c r="A2709" s="66" t="str">
        <x:v>SEV580</x:v>
      </x:c>
      <x:c r="B2709" s="66" t="str">
        <x:v>祁腾蜂赢1号</x:v>
      </x:c>
      <x:c r="C2709" s="72" t="n">
        <x:v>44965</x:v>
      </x:c>
      <x:c r="D2709" s="73" t="n">
        <x:v>1.0021</x:v>
      </x:c>
      <x:c r="E2709" s="73" t="n">
        <x:v>1.5488</x:v>
      </x:c>
      <x:c r="F2709" s="73" t="n">
        <x:v>1.6885</x:v>
      </x:c>
      <x:c r="G2709" s="74" t="n">
        <x:v>0.0004</x:v>
      </x:c>
      <x:c r="H2709" s="66" t="str">
        <x:v>祁腾蜂赢1号净值20260911.xlsx</x:v>
      </x:c>
      <x:c r="I2709" s="73" t="str">
        <x:f>""</x:f>
      </x:c>
      <x:c r="J2709" s="74" t="str">
        <x:f>""</x:f>
      </x:c>
      <x:c r="K2709" s="73" t="str">
        <x:f>""</x:f>
      </x:c>
      <x:c r="L2709" s="74" t="str">
        <x:f>""</x:f>
      </x:c>
      <x:c r="M2709" s="73" t="n">
        <x:f>MAX(M2708,F2709)</x:f>
        <x:v>1.6912</x:v>
      </x:c>
      <x:c r="N2709" s="74" t="n">
        <x:f>1-F2709/M2709</x:f>
        <x:v>0.0015964995269631688</x:v>
      </x:c>
    </x:row>
    <x:row r="2710" ht="27" customHeight="1">
      <x:c r="A2710" s="66" t="str">
        <x:v>SEV580</x:v>
      </x:c>
      <x:c r="B2710" s="66" t="str">
        <x:v>祁腾蜂赢1号</x:v>
      </x:c>
      <x:c r="C2710" s="72" t="n">
        <x:v>44966</x:v>
      </x:c>
      <x:c r="D2710" s="73" t="n">
        <x:v>1.0022</x:v>
      </x:c>
      <x:c r="E2710" s="73" t="n">
        <x:v>1.5489</x:v>
      </x:c>
      <x:c r="F2710" s="73" t="n">
        <x:v>1.6887</x:v>
      </x:c>
      <x:c r="G2710" s="74" t="n">
        <x:v>0.0001</x:v>
      </x:c>
      <x:c r="H2710" s="66" t="str">
        <x:v>祁腾蜂赢1号净值20260911.xlsx</x:v>
      </x:c>
      <x:c r="I2710" s="73" t="str">
        <x:f>""</x:f>
      </x:c>
      <x:c r="J2710" s="74" t="str">
        <x:f>""</x:f>
      </x:c>
      <x:c r="K2710" s="73" t="str">
        <x:f>""</x:f>
      </x:c>
      <x:c r="L2710" s="74" t="str">
        <x:f>""</x:f>
      </x:c>
      <x:c r="M2710" s="73" t="n">
        <x:f>MAX(M2709,F2710)</x:f>
        <x:v>1.6912</x:v>
      </x:c>
      <x:c r="N2710" s="74" t="n">
        <x:f>1-F2710/M2710</x:f>
        <x:v>0.001478240302743572</x:v>
      </x:c>
    </x:row>
    <x:row r="2711" ht="27" customHeight="1">
      <x:c r="A2711" s="66" t="str">
        <x:v>SEV580</x:v>
      </x:c>
      <x:c r="B2711" s="66" t="str">
        <x:v>祁腾蜂赢1号</x:v>
      </x:c>
      <x:c r="C2711" s="72" t="n">
        <x:v>44967</x:v>
      </x:c>
      <x:c r="D2711" s="73" t="n">
        <x:v>1.0026</x:v>
      </x:c>
      <x:c r="E2711" s="73" t="n">
        <x:v>1.5493</x:v>
      </x:c>
      <x:c r="F2711" s="73" t="n">
        <x:v>1.6893</x:v>
      </x:c>
      <x:c r="G2711" s="74" t="n">
        <x:v>0.0004</x:v>
      </x:c>
      <x:c r="H2711" s="66" t="str">
        <x:v>祁腾蜂赢1号净值20260911.xlsx</x:v>
      </x:c>
      <x:c r="I2711" s="73" t="str">
        <x:f>""</x:f>
      </x:c>
      <x:c r="J2711" s="74" t="str">
        <x:f>""</x:f>
      </x:c>
      <x:c r="K2711" s="73" t="str">
        <x:f>""</x:f>
      </x:c>
      <x:c r="L2711" s="74" t="str">
        <x:f>""</x:f>
      </x:c>
      <x:c r="M2711" s="73" t="n">
        <x:f>MAX(M2710,F2711)</x:f>
        <x:v>1.6912</x:v>
      </x:c>
      <x:c r="N2711" s="74" t="n">
        <x:f>1-F2711/M2711</x:f>
        <x:v>0.0011234626300851147</x:v>
      </x:c>
    </x:row>
    <x:row r="2712" ht="27" customHeight="1">
      <x:c r="A2712" s="66" t="str">
        <x:v>SEV580</x:v>
      </x:c>
      <x:c r="B2712" s="66" t="str">
        <x:v>祁腾蜂赢1号</x:v>
      </x:c>
      <x:c r="C2712" s="72" t="n">
        <x:v>44970</x:v>
      </x:c>
      <x:c r="D2712" s="73" t="n">
        <x:v>1.0029</x:v>
      </x:c>
      <x:c r="E2712" s="73" t="n">
        <x:v>1.5496</x:v>
      </x:c>
      <x:c r="F2712" s="73" t="n">
        <x:v>1.6898</x:v>
      </x:c>
      <x:c r="G2712" s="74" t="n">
        <x:v>0.0003</x:v>
      </x:c>
      <x:c r="H2712" s="66" t="str">
        <x:v>祁腾蜂赢1号净值20260911.xlsx</x:v>
      </x:c>
      <x:c r="I2712" s="73" t="str">
        <x:f>""</x:f>
      </x:c>
      <x:c r="J2712" s="74" t="str">
        <x:f>""</x:f>
      </x:c>
      <x:c r="K2712" s="73" t="str">
        <x:f>""</x:f>
      </x:c>
      <x:c r="L2712" s="74" t="str">
        <x:f>""</x:f>
      </x:c>
      <x:c r="M2712" s="73" t="n">
        <x:f>MAX(M2711,F2712)</x:f>
        <x:v>1.6912</x:v>
      </x:c>
      <x:c r="N2712" s="74" t="n">
        <x:f>1-F2712/M2712</x:f>
        <x:v>0.0008278145695365113</x:v>
      </x:c>
    </x:row>
    <x:row r="2713" ht="27" customHeight="1">
      <x:c r="A2713" s="66" t="str">
        <x:v>SEV580</x:v>
      </x:c>
      <x:c r="B2713" s="66" t="str">
        <x:v>祁腾蜂赢1号</x:v>
      </x:c>
      <x:c r="C2713" s="72" t="n">
        <x:v>44971</x:v>
      </x:c>
      <x:c r="D2713" s="73" t="n">
        <x:v>1.0029</x:v>
      </x:c>
      <x:c r="E2713" s="73" t="n">
        <x:v>1.5496</x:v>
      </x:c>
      <x:c r="F2713" s="73" t="n">
        <x:v>1.6898</x:v>
      </x:c>
      <x:c r="G2713" s="74" t="n">
        <x:v>0</x:v>
      </x:c>
      <x:c r="H2713" s="66" t="str">
        <x:v>祁腾蜂赢1号净值20260911.xlsx</x:v>
      </x:c>
      <x:c r="I2713" s="73" t="str">
        <x:f>""</x:f>
      </x:c>
      <x:c r="J2713" s="74" t="str">
        <x:f>""</x:f>
      </x:c>
      <x:c r="K2713" s="73" t="str">
        <x:f>""</x:f>
      </x:c>
      <x:c r="L2713" s="74" t="str">
        <x:f>""</x:f>
      </x:c>
      <x:c r="M2713" s="73" t="n">
        <x:f>MAX(M2712,F2713)</x:f>
        <x:v>1.6912</x:v>
      </x:c>
      <x:c r="N2713" s="74" t="n">
        <x:f>1-F2713/M2713</x:f>
        <x:v>0.0008278145695365113</x:v>
      </x:c>
    </x:row>
    <x:row r="2714" ht="27" customHeight="1">
      <x:c r="A2714" s="66" t="str">
        <x:v>SEV580</x:v>
      </x:c>
      <x:c r="B2714" s="66" t="str">
        <x:v>祁腾蜂赢1号</x:v>
      </x:c>
      <x:c r="C2714" s="72" t="n">
        <x:v>44972</x:v>
      </x:c>
      <x:c r="D2714" s="73" t="n">
        <x:v>1.0024</x:v>
      </x:c>
      <x:c r="E2714" s="73" t="n">
        <x:v>1.5491</x:v>
      </x:c>
      <x:c r="F2714" s="73" t="n">
        <x:v>1.689</x:v>
      </x:c>
      <x:c r="G2714" s="74" t="n">
        <x:v>-0.0005</x:v>
      </x:c>
      <x:c r="H2714" s="66" t="str">
        <x:v>祁腾蜂赢1号净值20260911.xlsx</x:v>
      </x:c>
      <x:c r="I2714" s="73" t="str">
        <x:f>""</x:f>
      </x:c>
      <x:c r="J2714" s="74" t="str">
        <x:f>""</x:f>
      </x:c>
      <x:c r="K2714" s="73" t="str">
        <x:f>""</x:f>
      </x:c>
      <x:c r="L2714" s="74" t="str">
        <x:f>""</x:f>
      </x:c>
      <x:c r="M2714" s="73" t="n">
        <x:f>MAX(M2713,F2714)</x:f>
        <x:v>1.6912</x:v>
      </x:c>
      <x:c r="N2714" s="74" t="n">
        <x:f>1-F2714/M2714</x:f>
        <x:v>0.0013008514664143433</x:v>
      </x:c>
    </x:row>
    <x:row r="2715" ht="27" customHeight="1">
      <x:c r="A2715" s="66" t="str">
        <x:v>SEV580</x:v>
      </x:c>
      <x:c r="B2715" s="66" t="str">
        <x:v>祁腾蜂赢1号</x:v>
      </x:c>
      <x:c r="C2715" s="72" t="n">
        <x:v>44973</x:v>
      </x:c>
      <x:c r="D2715" s="73" t="n">
        <x:v>1.0025</x:v>
      </x:c>
      <x:c r="E2715" s="73" t="n">
        <x:v>1.5492</x:v>
      </x:c>
      <x:c r="F2715" s="73" t="n">
        <x:v>1.6892</x:v>
      </x:c>
      <x:c r="G2715" s="74" t="n">
        <x:v>0.0001</x:v>
      </x:c>
      <x:c r="H2715" s="66" t="str">
        <x:v>祁腾蜂赢1号净值20260911.xlsx</x:v>
      </x:c>
      <x:c r="I2715" s="73" t="str">
        <x:f>""</x:f>
      </x:c>
      <x:c r="J2715" s="74" t="str">
        <x:f>""</x:f>
      </x:c>
      <x:c r="K2715" s="73" t="str">
        <x:f>""</x:f>
      </x:c>
      <x:c r="L2715" s="74" t="str">
        <x:f>""</x:f>
      </x:c>
      <x:c r="M2715" s="73" t="n">
        <x:f>MAX(M2714,F2715)</x:f>
        <x:v>1.6912</x:v>
      </x:c>
      <x:c r="N2715" s="74" t="n">
        <x:f>1-F2715/M2715</x:f>
        <x:v>0.0011825922421948576</x:v>
      </x:c>
    </x:row>
    <x:row r="2716" ht="27" customHeight="1">
      <x:c r="A2716" s="66" t="str">
        <x:v>SEV580</x:v>
      </x:c>
      <x:c r="B2716" s="66" t="str">
        <x:v>祁腾蜂赢1号</x:v>
      </x:c>
      <x:c r="C2716" s="72" t="n">
        <x:v>44974</x:v>
      </x:c>
      <x:c r="D2716" s="73" t="n">
        <x:v>1.0023</x:v>
      </x:c>
      <x:c r="E2716" s="73" t="n">
        <x:v>1.549</x:v>
      </x:c>
      <x:c r="F2716" s="73" t="n">
        <x:v>1.6888</x:v>
      </x:c>
      <x:c r="G2716" s="74" t="n">
        <x:v>-0.0002</x:v>
      </x:c>
      <x:c r="H2716" s="66" t="str">
        <x:v>祁腾蜂赢1号净值20260911.xlsx</x:v>
      </x:c>
      <x:c r="I2716" s="73" t="str">
        <x:f>""</x:f>
      </x:c>
      <x:c r="J2716" s="74" t="str">
        <x:f>""</x:f>
      </x:c>
      <x:c r="K2716" s="73" t="str">
        <x:f>""</x:f>
      </x:c>
      <x:c r="L2716" s="74" t="str">
        <x:f>""</x:f>
      </x:c>
      <x:c r="M2716" s="73" t="n">
        <x:f>MAX(M2715,F2716)</x:f>
        <x:v>1.6912</x:v>
      </x:c>
      <x:c r="N2716" s="74" t="n">
        <x:f>1-F2716/M2716</x:f>
        <x:v>0.001419110690633829</x:v>
      </x:c>
    </x:row>
    <x:row r="2717" ht="27" customHeight="1">
      <x:c r="A2717" s="66" t="str">
        <x:v>SEV580</x:v>
      </x:c>
      <x:c r="B2717" s="66" t="str">
        <x:v>祁腾蜂赢1号</x:v>
      </x:c>
      <x:c r="C2717" s="72" t="n">
        <x:v>44977</x:v>
      </x:c>
      <x:c r="D2717" s="73" t="n">
        <x:v>1.0024</x:v>
      </x:c>
      <x:c r="E2717" s="73" t="n">
        <x:v>1.5491</x:v>
      </x:c>
      <x:c r="F2717" s="73" t="n">
        <x:v>1.689</x:v>
      </x:c>
      <x:c r="G2717" s="74" t="n">
        <x:v>0.0001</x:v>
      </x:c>
      <x:c r="H2717" s="66" t="str">
        <x:v>祁腾蜂赢1号净值20260911.xlsx</x:v>
      </x:c>
      <x:c r="I2717" s="73" t="str">
        <x:f>""</x:f>
      </x:c>
      <x:c r="J2717" s="74" t="str">
        <x:f>""</x:f>
      </x:c>
      <x:c r="K2717" s="73" t="str">
        <x:f>""</x:f>
      </x:c>
      <x:c r="L2717" s="74" t="str">
        <x:f>""</x:f>
      </x:c>
      <x:c r="M2717" s="73" t="n">
        <x:f>MAX(M2716,F2717)</x:f>
        <x:v>1.6912</x:v>
      </x:c>
      <x:c r="N2717" s="74" t="n">
        <x:f>1-F2717/M2717</x:f>
        <x:v>0.0013008514664143433</x:v>
      </x:c>
    </x:row>
    <x:row r="2718" ht="27" customHeight="1">
      <x:c r="A2718" s="66" t="str">
        <x:v>SEV580</x:v>
      </x:c>
      <x:c r="B2718" s="66" t="str">
        <x:v>祁腾蜂赢1号</x:v>
      </x:c>
      <x:c r="C2718" s="72" t="n">
        <x:v>44978</x:v>
      </x:c>
      <x:c r="D2718" s="73" t="n">
        <x:v>1.0024</x:v>
      </x:c>
      <x:c r="E2718" s="73" t="n">
        <x:v>1.5491</x:v>
      </x:c>
      <x:c r="F2718" s="73" t="n">
        <x:v>1.689</x:v>
      </x:c>
      <x:c r="G2718" s="74" t="n">
        <x:v>0</x:v>
      </x:c>
      <x:c r="H2718" s="66" t="str">
        <x:v>祁腾蜂赢1号净值20260911.xlsx</x:v>
      </x:c>
      <x:c r="I2718" s="73" t="str">
        <x:f>""</x:f>
      </x:c>
      <x:c r="J2718" s="74" t="str">
        <x:f>""</x:f>
      </x:c>
      <x:c r="K2718" s="73" t="str">
        <x:f>""</x:f>
      </x:c>
      <x:c r="L2718" s="74" t="str">
        <x:f>""</x:f>
      </x:c>
      <x:c r="M2718" s="73" t="n">
        <x:f>MAX(M2717,F2718)</x:f>
        <x:v>1.6912</x:v>
      </x:c>
      <x:c r="N2718" s="74" t="n">
        <x:f>1-F2718/M2718</x:f>
        <x:v>0.0013008514664143433</x:v>
      </x:c>
    </x:row>
    <x:row r="2719" ht="27" customHeight="1">
      <x:c r="A2719" s="66" t="str">
        <x:v>SEV580</x:v>
      </x:c>
      <x:c r="B2719" s="66" t="str">
        <x:v>祁腾蜂赢1号</x:v>
      </x:c>
      <x:c r="C2719" s="72" t="n">
        <x:v>44979</x:v>
      </x:c>
      <x:c r="D2719" s="73" t="n">
        <x:v>1.0024</x:v>
      </x:c>
      <x:c r="E2719" s="73" t="n">
        <x:v>1.5491</x:v>
      </x:c>
      <x:c r="F2719" s="73" t="n">
        <x:v>1.689</x:v>
      </x:c>
      <x:c r="G2719" s="74" t="n">
        <x:v>0</x:v>
      </x:c>
      <x:c r="H2719" s="66" t="str">
        <x:v>祁腾蜂赢1号净值20260911.xlsx</x:v>
      </x:c>
      <x:c r="I2719" s="73" t="str">
        <x:f>""</x:f>
      </x:c>
      <x:c r="J2719" s="74" t="str">
        <x:f>""</x:f>
      </x:c>
      <x:c r="K2719" s="73" t="str">
        <x:f>""</x:f>
      </x:c>
      <x:c r="L2719" s="74" t="str">
        <x:f>""</x:f>
      </x:c>
      <x:c r="M2719" s="73" t="n">
        <x:f>MAX(M2718,F2719)</x:f>
        <x:v>1.6912</x:v>
      </x:c>
      <x:c r="N2719" s="74" t="n">
        <x:f>1-F2719/M2719</x:f>
        <x:v>0.0013008514664143433</x:v>
      </x:c>
    </x:row>
    <x:row r="2720" ht="27" customHeight="1">
      <x:c r="A2720" s="66" t="str">
        <x:v>SEV580</x:v>
      </x:c>
      <x:c r="B2720" s="66" t="str">
        <x:v>祁腾蜂赢1号</x:v>
      </x:c>
      <x:c r="C2720" s="72" t="n">
        <x:v>44980</x:v>
      </x:c>
      <x:c r="D2720" s="73" t="n">
        <x:v>1.0026</x:v>
      </x:c>
      <x:c r="E2720" s="73" t="n">
        <x:v>1.5493</x:v>
      </x:c>
      <x:c r="F2720" s="73" t="n">
        <x:v>1.6893</x:v>
      </x:c>
      <x:c r="G2720" s="74" t="n">
        <x:v>0.0002</x:v>
      </x:c>
      <x:c r="H2720" s="66" t="str">
        <x:v>祁腾蜂赢1号净值20260911.xlsx</x:v>
      </x:c>
      <x:c r="I2720" s="73" t="str">
        <x:f>""</x:f>
      </x:c>
      <x:c r="J2720" s="74" t="str">
        <x:f>""</x:f>
      </x:c>
      <x:c r="K2720" s="73" t="str">
        <x:f>""</x:f>
      </x:c>
      <x:c r="L2720" s="74" t="str">
        <x:f>""</x:f>
      </x:c>
      <x:c r="M2720" s="73" t="n">
        <x:f>MAX(M2719,F2720)</x:f>
        <x:v>1.6912</x:v>
      </x:c>
      <x:c r="N2720" s="74" t="n">
        <x:f>1-F2720/M2720</x:f>
        <x:v>0.0011234626300851147</x:v>
      </x:c>
    </x:row>
    <x:row r="2721" ht="27" customHeight="1">
      <x:c r="A2721" s="66" t="str">
        <x:v>SEV580</x:v>
      </x:c>
      <x:c r="B2721" s="66" t="str">
        <x:v>祁腾蜂赢1号</x:v>
      </x:c>
      <x:c r="C2721" s="72" t="n">
        <x:v>44981</x:v>
      </x:c>
      <x:c r="D2721" s="73" t="n">
        <x:v>1.0034</x:v>
      </x:c>
      <x:c r="E2721" s="73" t="n">
        <x:v>1.5501</x:v>
      </x:c>
      <x:c r="F2721" s="73" t="n">
        <x:v>1.6907</x:v>
      </x:c>
      <x:c r="G2721" s="74" t="n">
        <x:v>0.0008</x:v>
      </x:c>
      <x:c r="H2721" s="66" t="str">
        <x:v>祁腾蜂赢1号净值20260911.xlsx</x:v>
      </x:c>
      <x:c r="I2721" s="73" t="str">
        <x:f>""</x:f>
      </x:c>
      <x:c r="J2721" s="74" t="str">
        <x:f>""</x:f>
      </x:c>
      <x:c r="K2721" s="73" t="str">
        <x:f>""</x:f>
      </x:c>
      <x:c r="L2721" s="74" t="str">
        <x:f>""</x:f>
      </x:c>
      <x:c r="M2721" s="73" t="n">
        <x:f>MAX(M2720,F2721)</x:f>
        <x:v>1.6912</x:v>
      </x:c>
      <x:c r="N2721" s="74" t="n">
        <x:f>1-F2721/M2721</x:f>
        <x:v>0.0002956480605487144</x:v>
      </x:c>
    </x:row>
    <x:row r="2722" ht="27" customHeight="1">
      <x:c r="A2722" s="66" t="str">
        <x:v>SEV580</x:v>
      </x:c>
      <x:c r="B2722" s="66" t="str">
        <x:v>祁腾蜂赢1号</x:v>
      </x:c>
      <x:c r="C2722" s="72" t="n">
        <x:v>44984</x:v>
      </x:c>
      <x:c r="D2722" s="73" t="n">
        <x:v>1.0042</x:v>
      </x:c>
      <x:c r="E2722" s="73" t="n">
        <x:v>1.5509</x:v>
      </x:c>
      <x:c r="F2722" s="73" t="n">
        <x:v>1.692</x:v>
      </x:c>
      <x:c r="G2722" s="74" t="n">
        <x:v>0.0008</x:v>
      </x:c>
      <x:c r="H2722" s="66" t="str">
        <x:v>祁腾蜂赢1号净值20260911.xlsx</x:v>
      </x:c>
      <x:c r="I2722" s="73" t="str">
        <x:f>""</x:f>
      </x:c>
      <x:c r="J2722" s="74" t="str">
        <x:f>""</x:f>
      </x:c>
      <x:c r="K2722" s="73" t="str">
        <x:f>""</x:f>
      </x:c>
      <x:c r="L2722" s="74" t="str">
        <x:f>""</x:f>
      </x:c>
      <x:c r="M2722" s="73" t="n">
        <x:f>MAX(M2721,F2722)</x:f>
        <x:v>1.692</x:v>
      </x:c>
      <x:c r="N2722" s="74" t="n">
        <x:f>1-F2722/M2722</x:f>
        <x:v>0</x:v>
      </x:c>
    </x:row>
    <x:row r="2723" ht="27" customHeight="1">
      <x:c r="A2723" s="66" t="str">
        <x:v>SEV580</x:v>
      </x:c>
      <x:c r="B2723" s="66" t="str">
        <x:v>祁腾蜂赢1号</x:v>
      </x:c>
      <x:c r="C2723" s="72" t="n">
        <x:v>44985</x:v>
      </x:c>
      <x:c r="D2723" s="73" t="n">
        <x:v>1.0036</x:v>
      </x:c>
      <x:c r="E2723" s="73" t="n">
        <x:v>1.5503</x:v>
      </x:c>
      <x:c r="F2723" s="73" t="n">
        <x:v>1.691</x:v>
      </x:c>
      <x:c r="G2723" s="74" t="n">
        <x:v>-0.0006</x:v>
      </x:c>
      <x:c r="H2723" s="66" t="str">
        <x:v>祁腾蜂赢1号净值20260911.xlsx</x:v>
      </x:c>
      <x:c r="I2723" s="73" t="str">
        <x:f>""</x:f>
      </x:c>
      <x:c r="J2723" s="74" t="str">
        <x:f>""</x:f>
      </x:c>
      <x:c r="K2723" s="73" t="str">
        <x:f>""</x:f>
      </x:c>
      <x:c r="L2723" s="74" t="str">
        <x:f>""</x:f>
      </x:c>
      <x:c r="M2723" s="73" t="n">
        <x:f>MAX(M2722,F2723)</x:f>
        <x:v>1.692</x:v>
      </x:c>
      <x:c r="N2723" s="74" t="n">
        <x:f>1-F2723/M2723</x:f>
        <x:v>0.0005910165484632746</x:v>
      </x:c>
    </x:row>
    <x:row r="2724" ht="27" customHeight="1">
      <x:c r="A2724" s="66" t="str">
        <x:v>SEV580</x:v>
      </x:c>
      <x:c r="B2724" s="66" t="str">
        <x:v>祁腾蜂赢1号</x:v>
      </x:c>
      <x:c r="C2724" s="72" t="n">
        <x:v>44986</x:v>
      </x:c>
      <x:c r="D2724" s="73" t="n">
        <x:v>1.0044</x:v>
      </x:c>
      <x:c r="E2724" s="73" t="n">
        <x:v>1.5511</x:v>
      </x:c>
      <x:c r="F2724" s="73" t="n">
        <x:v>1.6924</x:v>
      </x:c>
      <x:c r="G2724" s="74" t="n">
        <x:v>0.0008</x:v>
      </x:c>
      <x:c r="H2724" s="66" t="str">
        <x:v>祁腾蜂赢1号净值20260911.xlsx</x:v>
      </x:c>
      <x:c r="I2724" s="73" t="str">
        <x:f>""</x:f>
      </x:c>
      <x:c r="J2724" s="74" t="str">
        <x:f>""</x:f>
      </x:c>
      <x:c r="K2724" s="73" t="str">
        <x:f>""</x:f>
      </x:c>
      <x:c r="L2724" s="74" t="str">
        <x:f>""</x:f>
      </x:c>
      <x:c r="M2724" s="73" t="n">
        <x:f>MAX(M2723,F2724)</x:f>
        <x:v>1.6924</x:v>
      </x:c>
      <x:c r="N2724" s="74" t="n">
        <x:f>1-F2724/M2724</x:f>
        <x:v>0</x:v>
      </x:c>
    </x:row>
    <x:row r="2725" ht="27" customHeight="1">
      <x:c r="A2725" s="66" t="str">
        <x:v>SEV580</x:v>
      </x:c>
      <x:c r="B2725" s="66" t="str">
        <x:v>祁腾蜂赢1号</x:v>
      </x:c>
      <x:c r="C2725" s="72" t="n">
        <x:v>44987</x:v>
      </x:c>
      <x:c r="D2725" s="73" t="n">
        <x:v>1.0048</x:v>
      </x:c>
      <x:c r="E2725" s="73" t="n">
        <x:v>1.5515</x:v>
      </x:c>
      <x:c r="F2725" s="73" t="n">
        <x:v>1.6931</x:v>
      </x:c>
      <x:c r="G2725" s="74" t="n">
        <x:v>0.0004</x:v>
      </x:c>
      <x:c r="H2725" s="66" t="str">
        <x:v>祁腾蜂赢1号净值20260911.xlsx</x:v>
      </x:c>
      <x:c r="I2725" s="73" t="str">
        <x:f>""</x:f>
      </x:c>
      <x:c r="J2725" s="74" t="str">
        <x:f>""</x:f>
      </x:c>
      <x:c r="K2725" s="73" t="str">
        <x:f>""</x:f>
      </x:c>
      <x:c r="L2725" s="74" t="str">
        <x:f>""</x:f>
      </x:c>
      <x:c r="M2725" s="73" t="n">
        <x:f>MAX(M2724,F2725)</x:f>
        <x:v>1.6931</x:v>
      </x:c>
      <x:c r="N2725" s="74" t="n">
        <x:f>1-F2725/M2725</x:f>
        <x:v>0</x:v>
      </x:c>
    </x:row>
    <x:row r="2726" ht="27" customHeight="1">
      <x:c r="A2726" s="66" t="str">
        <x:v>SEV580</x:v>
      </x:c>
      <x:c r="B2726" s="66" t="str">
        <x:v>祁腾蜂赢1号</x:v>
      </x:c>
      <x:c r="C2726" s="72" t="n">
        <x:v>44988</x:v>
      </x:c>
      <x:c r="D2726" s="73" t="n">
        <x:v>1.0046</x:v>
      </x:c>
      <x:c r="E2726" s="73" t="n">
        <x:v>1.5513</x:v>
      </x:c>
      <x:c r="F2726" s="73" t="n">
        <x:v>1.6927</x:v>
      </x:c>
      <x:c r="G2726" s="74" t="n">
        <x:v>-0.0002</x:v>
      </x:c>
      <x:c r="H2726" s="66" t="str">
        <x:v>祁腾蜂赢1号净值20260911.xlsx</x:v>
      </x:c>
      <x:c r="I2726" s="73" t="str">
        <x:f>""</x:f>
      </x:c>
      <x:c r="J2726" s="74" t="str">
        <x:f>""</x:f>
      </x:c>
      <x:c r="K2726" s="73" t="str">
        <x:f>""</x:f>
      </x:c>
      <x:c r="L2726" s="74" t="str">
        <x:f>""</x:f>
      </x:c>
      <x:c r="M2726" s="73" t="n">
        <x:f>MAX(M2725,F2726)</x:f>
        <x:v>1.6931</x:v>
      </x:c>
      <x:c r="N2726" s="74" t="n">
        <x:f>1-F2726/M2726</x:f>
        <x:v>0.0002362530269919283</x:v>
      </x:c>
    </x:row>
    <x:row r="2727" ht="27" customHeight="1">
      <x:c r="A2727" s="66" t="str">
        <x:v>SEV580</x:v>
      </x:c>
      <x:c r="B2727" s="66" t="str">
        <x:v>祁腾蜂赢1号</x:v>
      </x:c>
      <x:c r="C2727" s="72" t="n">
        <x:v>44991</x:v>
      </x:c>
      <x:c r="D2727" s="73" t="n">
        <x:v>1.0049</x:v>
      </x:c>
      <x:c r="E2727" s="73" t="n">
        <x:v>1.5516</x:v>
      </x:c>
      <x:c r="F2727" s="73" t="n">
        <x:v>1.6932</x:v>
      </x:c>
      <x:c r="G2727" s="74" t="n">
        <x:v>0.0003</x:v>
      </x:c>
      <x:c r="H2727" s="66" t="str">
        <x:v>祁腾蜂赢1号净值20260911.xlsx</x:v>
      </x:c>
      <x:c r="I2727" s="73" t="str">
        <x:f>""</x:f>
      </x:c>
      <x:c r="J2727" s="74" t="str">
        <x:f>""</x:f>
      </x:c>
      <x:c r="K2727" s="73" t="str">
        <x:f>""</x:f>
      </x:c>
      <x:c r="L2727" s="74" t="str">
        <x:f>""</x:f>
      </x:c>
      <x:c r="M2727" s="73" t="n">
        <x:f>MAX(M2726,F2727)</x:f>
        <x:v>1.6932</x:v>
      </x:c>
      <x:c r="N2727" s="74" t="n">
        <x:f>1-F2727/M2727</x:f>
        <x:v>0</x:v>
      </x:c>
    </x:row>
    <x:row r="2728" ht="27" customHeight="1">
      <x:c r="A2728" s="66" t="str">
        <x:v>SEV580</x:v>
      </x:c>
      <x:c r="B2728" s="66" t="str">
        <x:v>祁腾蜂赢1号</x:v>
      </x:c>
      <x:c r="C2728" s="72" t="n">
        <x:v>44992</x:v>
      </x:c>
      <x:c r="D2728" s="73" t="n">
        <x:v>1.005</x:v>
      </x:c>
      <x:c r="E2728" s="73" t="n">
        <x:v>1.5517</x:v>
      </x:c>
      <x:c r="F2728" s="73" t="n">
        <x:v>1.6934</x:v>
      </x:c>
      <x:c r="G2728" s="74" t="n">
        <x:v>0.0001</x:v>
      </x:c>
      <x:c r="H2728" s="66" t="str">
        <x:v>祁腾蜂赢1号净值20260911.xlsx</x:v>
      </x:c>
      <x:c r="I2728" s="73" t="str">
        <x:f>""</x:f>
      </x:c>
      <x:c r="J2728" s="74" t="str">
        <x:f>""</x:f>
      </x:c>
      <x:c r="K2728" s="73" t="str">
        <x:f>""</x:f>
      </x:c>
      <x:c r="L2728" s="74" t="str">
        <x:f>""</x:f>
      </x:c>
      <x:c r="M2728" s="73" t="n">
        <x:f>MAX(M2727,F2728)</x:f>
        <x:v>1.6934</x:v>
      </x:c>
      <x:c r="N2728" s="74" t="n">
        <x:f>1-F2728/M2728</x:f>
        <x:v>0</x:v>
      </x:c>
    </x:row>
    <x:row r="2729" ht="27" customHeight="1">
      <x:c r="A2729" s="66" t="str">
        <x:v>SEV580</x:v>
      </x:c>
      <x:c r="B2729" s="66" t="str">
        <x:v>祁腾蜂赢1号</x:v>
      </x:c>
      <x:c r="C2729" s="72" t="n">
        <x:v>44993</x:v>
      </x:c>
      <x:c r="D2729" s="73" t="n">
        <x:v>1.0057</x:v>
      </x:c>
      <x:c r="E2729" s="73" t="n">
        <x:v>1.5524</x:v>
      </x:c>
      <x:c r="F2729" s="73" t="n">
        <x:v>1.6946</x:v>
      </x:c>
      <x:c r="G2729" s="74" t="n">
        <x:v>0.0007000000000000001</x:v>
      </x:c>
      <x:c r="H2729" s="66" t="str">
        <x:v>祁腾蜂赢1号净值20260911.xlsx</x:v>
      </x:c>
      <x:c r="I2729" s="73" t="str">
        <x:f>""</x:f>
      </x:c>
      <x:c r="J2729" s="74" t="str">
        <x:f>""</x:f>
      </x:c>
      <x:c r="K2729" s="73" t="str">
        <x:f>""</x:f>
      </x:c>
      <x:c r="L2729" s="74" t="str">
        <x:f>""</x:f>
      </x:c>
      <x:c r="M2729" s="73" t="n">
        <x:f>MAX(M2728,F2729)</x:f>
        <x:v>1.6946</x:v>
      </x:c>
      <x:c r="N2729" s="74" t="n">
        <x:f>1-F2729/M2729</x:f>
        <x:v>0</x:v>
      </x:c>
    </x:row>
    <x:row r="2730" ht="27" customHeight="1">
      <x:c r="A2730" s="66" t="str">
        <x:v>SEV580</x:v>
      </x:c>
      <x:c r="B2730" s="66" t="str">
        <x:v>祁腾蜂赢1号</x:v>
      </x:c>
      <x:c r="C2730" s="72" t="n">
        <x:v>44994</x:v>
      </x:c>
      <x:c r="D2730" s="73" t="n">
        <x:v>1.0057</x:v>
      </x:c>
      <x:c r="E2730" s="73" t="n">
        <x:v>1.5524</x:v>
      </x:c>
      <x:c r="F2730" s="73" t="n">
        <x:v>1.6946</x:v>
      </x:c>
      <x:c r="G2730" s="74" t="n">
        <x:v>0</x:v>
      </x:c>
      <x:c r="H2730" s="66" t="str">
        <x:v>祁腾蜂赢1号净值20260911.xlsx</x:v>
      </x:c>
      <x:c r="I2730" s="73" t="str">
        <x:f>""</x:f>
      </x:c>
      <x:c r="J2730" s="74" t="str">
        <x:f>""</x:f>
      </x:c>
      <x:c r="K2730" s="73" t="str">
        <x:f>""</x:f>
      </x:c>
      <x:c r="L2730" s="74" t="str">
        <x:f>""</x:f>
      </x:c>
      <x:c r="M2730" s="73" t="n">
        <x:f>MAX(M2729,F2730)</x:f>
        <x:v>1.6946</x:v>
      </x:c>
      <x:c r="N2730" s="74" t="n">
        <x:f>1-F2730/M2730</x:f>
        <x:v>0</x:v>
      </x:c>
    </x:row>
    <x:row r="2731" ht="27" customHeight="1">
      <x:c r="A2731" s="66" t="str">
        <x:v>SEV580</x:v>
      </x:c>
      <x:c r="B2731" s="66" t="str">
        <x:v>祁腾蜂赢1号</x:v>
      </x:c>
      <x:c r="C2731" s="72" t="n">
        <x:v>44995</x:v>
      </x:c>
      <x:c r="D2731" s="73" t="n">
        <x:v>1.0055</x:v>
      </x:c>
      <x:c r="E2731" s="73" t="n">
        <x:v>1.5522</x:v>
      </x:c>
      <x:c r="F2731" s="73" t="n">
        <x:v>1.6942</x:v>
      </x:c>
      <x:c r="G2731" s="74" t="n">
        <x:v>-0.0002</x:v>
      </x:c>
      <x:c r="H2731" s="66" t="str">
        <x:v>祁腾蜂赢1号净值20260911.xlsx</x:v>
      </x:c>
      <x:c r="I2731" s="73" t="str">
        <x:f>""</x:f>
      </x:c>
      <x:c r="J2731" s="74" t="str">
        <x:f>""</x:f>
      </x:c>
      <x:c r="K2731" s="73" t="str">
        <x:f>""</x:f>
      </x:c>
      <x:c r="L2731" s="74" t="str">
        <x:f>""</x:f>
      </x:c>
      <x:c r="M2731" s="73" t="n">
        <x:f>MAX(M2730,F2731)</x:f>
        <x:v>1.6946</x:v>
      </x:c>
      <x:c r="N2731" s="74" t="n">
        <x:f>1-F2731/M2731</x:f>
        <x:v>0.0002360439041663165</x:v>
      </x:c>
    </x:row>
    <x:row r="2732" ht="27" customHeight="1">
      <x:c r="A2732" s="66" t="str">
        <x:v>SEV580</x:v>
      </x:c>
      <x:c r="B2732" s="66" t="str">
        <x:v>祁腾蜂赢1号</x:v>
      </x:c>
      <x:c r="C2732" s="72" t="n">
        <x:v>44998</x:v>
      </x:c>
      <x:c r="D2732" s="73" t="n">
        <x:v>1.0058</x:v>
      </x:c>
      <x:c r="E2732" s="73" t="n">
        <x:v>1.5525</x:v>
      </x:c>
      <x:c r="F2732" s="73" t="n">
        <x:v>1.6947</x:v>
      </x:c>
      <x:c r="G2732" s="74" t="n">
        <x:v>0.0003</x:v>
      </x:c>
      <x:c r="H2732" s="66" t="str">
        <x:v>祁腾蜂赢1号净值20260911.xlsx</x:v>
      </x:c>
      <x:c r="I2732" s="73" t="str">
        <x:f>""</x:f>
      </x:c>
      <x:c r="J2732" s="74" t="str">
        <x:f>""</x:f>
      </x:c>
      <x:c r="K2732" s="73" t="str">
        <x:f>""</x:f>
      </x:c>
      <x:c r="L2732" s="74" t="str">
        <x:f>""</x:f>
      </x:c>
      <x:c r="M2732" s="73" t="n">
        <x:f>MAX(M2731,F2732)</x:f>
        <x:v>1.6947</x:v>
      </x:c>
      <x:c r="N2732" s="74" t="n">
        <x:f>1-F2732/M2732</x:f>
        <x:v>0</x:v>
      </x:c>
    </x:row>
    <x:row r="2733" ht="27" customHeight="1">
      <x:c r="A2733" s="66" t="str">
        <x:v>SEV580</x:v>
      </x:c>
      <x:c r="B2733" s="66" t="str">
        <x:v>祁腾蜂赢1号</x:v>
      </x:c>
      <x:c r="C2733" s="72" t="n">
        <x:v>44999</x:v>
      </x:c>
      <x:c r="D2733" s="73" t="n">
        <x:v>1.0063</x:v>
      </x:c>
      <x:c r="E2733" s="73" t="n">
        <x:v>1.553</x:v>
      </x:c>
      <x:c r="F2733" s="73" t="n">
        <x:v>1.6956</x:v>
      </x:c>
      <x:c r="G2733" s="74" t="n">
        <x:v>0.0005</x:v>
      </x:c>
      <x:c r="H2733" s="66" t="str">
        <x:v>祁腾蜂赢1号净值20260911.xlsx</x:v>
      </x:c>
      <x:c r="I2733" s="73" t="str">
        <x:f>""</x:f>
      </x:c>
      <x:c r="J2733" s="74" t="str">
        <x:f>""</x:f>
      </x:c>
      <x:c r="K2733" s="73" t="str">
        <x:f>""</x:f>
      </x:c>
      <x:c r="L2733" s="74" t="str">
        <x:f>""</x:f>
      </x:c>
      <x:c r="M2733" s="73" t="n">
        <x:f>MAX(M2732,F2733)</x:f>
        <x:v>1.6956</x:v>
      </x:c>
      <x:c r="N2733" s="74" t="n">
        <x:f>1-F2733/M2733</x:f>
        <x:v>0</x:v>
      </x:c>
    </x:row>
    <x:row r="2734" ht="27" customHeight="1">
      <x:c r="A2734" s="66" t="str">
        <x:v>SEV580</x:v>
      </x:c>
      <x:c r="B2734" s="66" t="str">
        <x:v>祁腾蜂赢1号</x:v>
      </x:c>
      <x:c r="C2734" s="72" t="n">
        <x:v>45000</x:v>
      </x:c>
      <x:c r="D2734" s="73" t="n">
        <x:v>1.0066</x:v>
      </x:c>
      <x:c r="E2734" s="73" t="n">
        <x:v>1.5533</x:v>
      </x:c>
      <x:c r="F2734" s="73" t="n">
        <x:v>1.6961</x:v>
      </x:c>
      <x:c r="G2734" s="74" t="n">
        <x:v>0.0003</x:v>
      </x:c>
      <x:c r="H2734" s="66" t="str">
        <x:v>祁腾蜂赢1号净值20260911.xlsx</x:v>
      </x:c>
      <x:c r="I2734" s="73" t="str">
        <x:f>""</x:f>
      </x:c>
      <x:c r="J2734" s="74" t="str">
        <x:f>""</x:f>
      </x:c>
      <x:c r="K2734" s="73" t="str">
        <x:f>""</x:f>
      </x:c>
      <x:c r="L2734" s="74" t="str">
        <x:f>""</x:f>
      </x:c>
      <x:c r="M2734" s="73" t="n">
        <x:f>MAX(M2733,F2734)</x:f>
        <x:v>1.6961</x:v>
      </x:c>
      <x:c r="N2734" s="74" t="n">
        <x:f>1-F2734/M2734</x:f>
        <x:v>0</x:v>
      </x:c>
    </x:row>
    <x:row r="2735" ht="27" customHeight="1">
      <x:c r="A2735" s="66" t="str">
        <x:v>SEV580</x:v>
      </x:c>
      <x:c r="B2735" s="66" t="str">
        <x:v>祁腾蜂赢1号</x:v>
      </x:c>
      <x:c r="C2735" s="72" t="n">
        <x:v>45001</x:v>
      </x:c>
      <x:c r="D2735" s="73" t="n">
        <x:v>1.0074</x:v>
      </x:c>
      <x:c r="E2735" s="73" t="n">
        <x:v>1.5541</x:v>
      </x:c>
      <x:c r="F2735" s="73" t="n">
        <x:v>1.6974</x:v>
      </x:c>
      <x:c r="G2735" s="74" t="n">
        <x:v>0.0008</x:v>
      </x:c>
      <x:c r="H2735" s="66" t="str">
        <x:v>祁腾蜂赢1号净值20260911.xlsx</x:v>
      </x:c>
      <x:c r="I2735" s="73" t="str">
        <x:f>""</x:f>
      </x:c>
      <x:c r="J2735" s="74" t="str">
        <x:f>""</x:f>
      </x:c>
      <x:c r="K2735" s="73" t="str">
        <x:f>""</x:f>
      </x:c>
      <x:c r="L2735" s="74" t="str">
        <x:f>""</x:f>
      </x:c>
      <x:c r="M2735" s="73" t="n">
        <x:f>MAX(M2734,F2735)</x:f>
        <x:v>1.6974</x:v>
      </x:c>
      <x:c r="N2735" s="74" t="n">
        <x:f>1-F2735/M2735</x:f>
        <x:v>0</x:v>
      </x:c>
    </x:row>
    <x:row r="2736" ht="27" customHeight="1">
      <x:c r="A2736" s="66" t="str">
        <x:v>SEV580</x:v>
      </x:c>
      <x:c r="B2736" s="66" t="str">
        <x:v>祁腾蜂赢1号</x:v>
      </x:c>
      <x:c r="C2736" s="72" t="n">
        <x:v>45002</x:v>
      </x:c>
      <x:c r="D2736" s="73" t="n">
        <x:v>1.0062</x:v>
      </x:c>
      <x:c r="E2736" s="73" t="n">
        <x:v>1.5529</x:v>
      </x:c>
      <x:c r="F2736" s="73" t="n">
        <x:v>1.6954</x:v>
      </x:c>
      <x:c r="G2736" s="74" t="n">
        <x:v>-0.0012</x:v>
      </x:c>
      <x:c r="H2736" s="66" t="str">
        <x:v>祁腾蜂赢1号净值20260911.xlsx</x:v>
      </x:c>
      <x:c r="I2736" s="73" t="str">
        <x:f>""</x:f>
      </x:c>
      <x:c r="J2736" s="74" t="str">
        <x:f>""</x:f>
      </x:c>
      <x:c r="K2736" s="73" t="str">
        <x:f>""</x:f>
      </x:c>
      <x:c r="L2736" s="74" t="str">
        <x:f>""</x:f>
      </x:c>
      <x:c r="M2736" s="73" t="n">
        <x:f>MAX(M2735,F2736)</x:f>
        <x:v>1.6974</x:v>
      </x:c>
      <x:c r="N2736" s="74" t="n">
        <x:f>1-F2736/M2736</x:f>
        <x:v>0.0011782726522917564</x:v>
      </x:c>
    </x:row>
    <x:row r="2737" ht="27" customHeight="1">
      <x:c r="A2737" s="66" t="str">
        <x:v>SEV580</x:v>
      </x:c>
      <x:c r="B2737" s="66" t="str">
        <x:v>祁腾蜂赢1号</x:v>
      </x:c>
      <x:c r="C2737" s="72" t="n">
        <x:v>45005</x:v>
      </x:c>
      <x:c r="D2737" s="73" t="n">
        <x:v>1.0061</x:v>
      </x:c>
      <x:c r="E2737" s="73" t="n">
        <x:v>1.5528</x:v>
      </x:c>
      <x:c r="F2737" s="73" t="n">
        <x:v>1.6952</x:v>
      </x:c>
      <x:c r="G2737" s="74" t="n">
        <x:v>-0.0001</x:v>
      </x:c>
      <x:c r="H2737" s="66" t="str">
        <x:v>祁腾蜂赢1号净值20260911.xlsx</x:v>
      </x:c>
      <x:c r="I2737" s="73" t="str">
        <x:f>""</x:f>
      </x:c>
      <x:c r="J2737" s="74" t="str">
        <x:f>""</x:f>
      </x:c>
      <x:c r="K2737" s="73" t="str">
        <x:f>""</x:f>
      </x:c>
      <x:c r="L2737" s="74" t="str">
        <x:f>""</x:f>
      </x:c>
      <x:c r="M2737" s="73" t="n">
        <x:f>MAX(M2736,F2737)</x:f>
        <x:v>1.6974</x:v>
      </x:c>
      <x:c r="N2737" s="74" t="n">
        <x:f>1-F2737/M2737</x:f>
        <x:v>0.0012960999175208876</x:v>
      </x:c>
    </x:row>
    <x:row r="2738" ht="27" customHeight="1">
      <x:c r="A2738" s="66" t="str">
        <x:v>SEV580</x:v>
      </x:c>
      <x:c r="B2738" s="66" t="str">
        <x:v>祁腾蜂赢1号</x:v>
      </x:c>
      <x:c r="C2738" s="72" t="n">
        <x:v>45006</x:v>
      </x:c>
      <x:c r="D2738" s="73" t="n">
        <x:v>1.0075</x:v>
      </x:c>
      <x:c r="E2738" s="73" t="n">
        <x:v>1.5542</x:v>
      </x:c>
      <x:c r="F2738" s="73" t="n">
        <x:v>1.6976</x:v>
      </x:c>
      <x:c r="G2738" s="74" t="n">
        <x:v>0.0014000000000000002</x:v>
      </x:c>
      <x:c r="H2738" s="66" t="str">
        <x:v>祁腾蜂赢1号净值20260911.xlsx</x:v>
      </x:c>
      <x:c r="I2738" s="73" t="str">
        <x:f>""</x:f>
      </x:c>
      <x:c r="J2738" s="74" t="str">
        <x:f>""</x:f>
      </x:c>
      <x:c r="K2738" s="73" t="str">
        <x:f>""</x:f>
      </x:c>
      <x:c r="L2738" s="74" t="str">
        <x:f>""</x:f>
      </x:c>
      <x:c r="M2738" s="73" t="n">
        <x:f>MAX(M2737,F2738)</x:f>
        <x:v>1.6976</x:v>
      </x:c>
      <x:c r="N2738" s="74" t="n">
        <x:f>1-F2738/M2738</x:f>
        <x:v>0</x:v>
      </x:c>
    </x:row>
    <x:row r="2739" ht="27" customHeight="1">
      <x:c r="A2739" s="66" t="str">
        <x:v>SEV580</x:v>
      </x:c>
      <x:c r="B2739" s="66" t="str">
        <x:v>祁腾蜂赢1号</x:v>
      </x:c>
      <x:c r="C2739" s="72" t="n">
        <x:v>45007</x:v>
      </x:c>
      <x:c r="D2739" s="73" t="n">
        <x:v>1.0073</x:v>
      </x:c>
      <x:c r="E2739" s="73" t="n">
        <x:v>1.554</x:v>
      </x:c>
      <x:c r="F2739" s="73" t="n">
        <x:v>1.6973</x:v>
      </x:c>
      <x:c r="G2739" s="74" t="n">
        <x:v>-0.0002</x:v>
      </x:c>
      <x:c r="H2739" s="66" t="str">
        <x:v>祁腾蜂赢1号净值20260911.xlsx</x:v>
      </x:c>
      <x:c r="I2739" s="73" t="str">
        <x:f>""</x:f>
      </x:c>
      <x:c r="J2739" s="74" t="str">
        <x:f>""</x:f>
      </x:c>
      <x:c r="K2739" s="73" t="str">
        <x:f>""</x:f>
      </x:c>
      <x:c r="L2739" s="74" t="str">
        <x:f>""</x:f>
      </x:c>
      <x:c r="M2739" s="73" t="n">
        <x:f>MAX(M2738,F2739)</x:f>
        <x:v>1.6976</x:v>
      </x:c>
      <x:c r="N2739" s="74" t="n">
        <x:f>1-F2739/M2739</x:f>
        <x:v>0.00017672007540059376</x:v>
      </x:c>
    </x:row>
    <x:row r="2740" ht="27" customHeight="1">
      <x:c r="A2740" s="66" t="str">
        <x:v>SEV580</x:v>
      </x:c>
      <x:c r="B2740" s="66" t="str">
        <x:v>祁腾蜂赢1号</x:v>
      </x:c>
      <x:c r="C2740" s="72" t="n">
        <x:v>45008</x:v>
      </x:c>
      <x:c r="D2740" s="73" t="n">
        <x:v>1.0075</x:v>
      </x:c>
      <x:c r="E2740" s="73" t="n">
        <x:v>1.5542</x:v>
      </x:c>
      <x:c r="F2740" s="73" t="n">
        <x:v>1.6976</x:v>
      </x:c>
      <x:c r="G2740" s="74" t="n">
        <x:v>0.0002</x:v>
      </x:c>
      <x:c r="H2740" s="66" t="str">
        <x:v>祁腾蜂赢1号净值20260911.xlsx</x:v>
      </x:c>
      <x:c r="I2740" s="73" t="str">
        <x:f>""</x:f>
      </x:c>
      <x:c r="J2740" s="74" t="str">
        <x:f>""</x:f>
      </x:c>
      <x:c r="K2740" s="73" t="str">
        <x:f>""</x:f>
      </x:c>
      <x:c r="L2740" s="74" t="str">
        <x:f>""</x:f>
      </x:c>
      <x:c r="M2740" s="73" t="n">
        <x:f>MAX(M2739,F2740)</x:f>
        <x:v>1.6976</x:v>
      </x:c>
      <x:c r="N2740" s="74" t="n">
        <x:f>1-F2740/M2740</x:f>
        <x:v>0</x:v>
      </x:c>
    </x:row>
    <x:row r="2741" ht="27" customHeight="1">
      <x:c r="A2741" s="66" t="str">
        <x:v>SEV580</x:v>
      </x:c>
      <x:c r="B2741" s="66" t="str">
        <x:v>祁腾蜂赢1号</x:v>
      </x:c>
      <x:c r="C2741" s="72" t="n">
        <x:v>45009</x:v>
      </x:c>
      <x:c r="D2741" s="73" t="n">
        <x:v>1.007</x:v>
      </x:c>
      <x:c r="E2741" s="73" t="n">
        <x:v>1.5537</x:v>
      </x:c>
      <x:c r="F2741" s="73" t="n">
        <x:v>1.6968</x:v>
      </x:c>
      <x:c r="G2741" s="74" t="n">
        <x:v>-0.0005</x:v>
      </x:c>
      <x:c r="H2741" s="66" t="str">
        <x:v>祁腾蜂赢1号净值20260911.xlsx</x:v>
      </x:c>
      <x:c r="I2741" s="73" t="str">
        <x:f>""</x:f>
      </x:c>
      <x:c r="J2741" s="74" t="str">
        <x:f>""</x:f>
      </x:c>
      <x:c r="K2741" s="73" t="str">
        <x:f>""</x:f>
      </x:c>
      <x:c r="L2741" s="74" t="str">
        <x:f>""</x:f>
      </x:c>
      <x:c r="M2741" s="73" t="n">
        <x:f>MAX(M2740,F2741)</x:f>
        <x:v>1.6976</x:v>
      </x:c>
      <x:c r="N2741" s="74" t="n">
        <x:f>1-F2741/M2741</x:f>
        <x:v>0.00047125353440147233</x:v>
      </x:c>
    </x:row>
    <x:row r="2742" ht="27" customHeight="1">
      <x:c r="A2742" s="66" t="str">
        <x:v>SEV580</x:v>
      </x:c>
      <x:c r="B2742" s="66" t="str">
        <x:v>祁腾蜂赢1号</x:v>
      </x:c>
      <x:c r="C2742" s="72" t="n">
        <x:v>45012</x:v>
      </x:c>
      <x:c r="D2742" s="73" t="n">
        <x:v>1.0071</x:v>
      </x:c>
      <x:c r="E2742" s="73" t="n">
        <x:v>1.5538</x:v>
      </x:c>
      <x:c r="F2742" s="73" t="n">
        <x:v>1.6969</x:v>
      </x:c>
      <x:c r="G2742" s="74" t="n">
        <x:v>0.0001</x:v>
      </x:c>
      <x:c r="H2742" s="66" t="str">
        <x:v>祁腾蜂赢1号净值20260911.xlsx</x:v>
      </x:c>
      <x:c r="I2742" s="73" t="str">
        <x:f>""</x:f>
      </x:c>
      <x:c r="J2742" s="74" t="str">
        <x:f>""</x:f>
      </x:c>
      <x:c r="K2742" s="73" t="str">
        <x:f>""</x:f>
      </x:c>
      <x:c r="L2742" s="74" t="str">
        <x:f>""</x:f>
      </x:c>
      <x:c r="M2742" s="73" t="n">
        <x:f>MAX(M2741,F2742)</x:f>
        <x:v>1.6976</x:v>
      </x:c>
      <x:c r="N2742" s="74" t="n">
        <x:f>1-F2742/M2742</x:f>
        <x:v>0.0004123468426012744</x:v>
      </x:c>
    </x:row>
    <x:row r="2743" ht="27" customHeight="1">
      <x:c r="A2743" s="66" t="str">
        <x:v>SEV580</x:v>
      </x:c>
      <x:c r="B2743" s="66" t="str">
        <x:v>祁腾蜂赢1号</x:v>
      </x:c>
      <x:c r="C2743" s="72" t="n">
        <x:v>45013</x:v>
      </x:c>
      <x:c r="D2743" s="73" t="n">
        <x:v>1.0074</x:v>
      </x:c>
      <x:c r="E2743" s="73" t="n">
        <x:v>1.5541</x:v>
      </x:c>
      <x:c r="F2743" s="73" t="n">
        <x:v>1.6974</x:v>
      </x:c>
      <x:c r="G2743" s="74" t="n">
        <x:v>0.0003</x:v>
      </x:c>
      <x:c r="H2743" s="66" t="str">
        <x:v>祁腾蜂赢1号净值20260911.xlsx</x:v>
      </x:c>
      <x:c r="I2743" s="73" t="str">
        <x:f>""</x:f>
      </x:c>
      <x:c r="J2743" s="74" t="str">
        <x:f>""</x:f>
      </x:c>
      <x:c r="K2743" s="73" t="str">
        <x:f>""</x:f>
      </x:c>
      <x:c r="L2743" s="74" t="str">
        <x:f>""</x:f>
      </x:c>
      <x:c r="M2743" s="73" t="n">
        <x:f>MAX(M2742,F2743)</x:f>
        <x:v>1.6976</x:v>
      </x:c>
      <x:c r="N2743" s="74" t="n">
        <x:f>1-F2743/M2743</x:f>
        <x:v>0.00011781338360039584</x:v>
      </x:c>
    </x:row>
    <x:row r="2744" ht="27" customHeight="1">
      <x:c r="A2744" s="66" t="str">
        <x:v>SEV580</x:v>
      </x:c>
      <x:c r="B2744" s="66" t="str">
        <x:v>祁腾蜂赢1号</x:v>
      </x:c>
      <x:c r="C2744" s="72" t="n">
        <x:v>45014</x:v>
      </x:c>
      <x:c r="D2744" s="73" t="n">
        <x:v>1.0079</x:v>
      </x:c>
      <x:c r="E2744" s="73" t="n">
        <x:v>1.5546</x:v>
      </x:c>
      <x:c r="F2744" s="73" t="n">
        <x:v>1.6983</x:v>
      </x:c>
      <x:c r="G2744" s="74" t="n">
        <x:v>0.0005</x:v>
      </x:c>
      <x:c r="H2744" s="66" t="str">
        <x:v>祁腾蜂赢1号净值20260911.xlsx</x:v>
      </x:c>
      <x:c r="I2744" s="73" t="str">
        <x:f>""</x:f>
      </x:c>
      <x:c r="J2744" s="74" t="str">
        <x:f>""</x:f>
      </x:c>
      <x:c r="K2744" s="73" t="str">
        <x:f>""</x:f>
      </x:c>
      <x:c r="L2744" s="74" t="str">
        <x:f>""</x:f>
      </x:c>
      <x:c r="M2744" s="73" t="n">
        <x:f>MAX(M2743,F2744)</x:f>
        <x:v>1.6983</x:v>
      </x:c>
      <x:c r="N2744" s="74" t="n">
        <x:f>1-F2744/M2744</x:f>
        <x:v>0</x:v>
      </x:c>
    </x:row>
    <x:row r="2745" ht="27" customHeight="1">
      <x:c r="A2745" s="66" t="str">
        <x:v>SEV580</x:v>
      </x:c>
      <x:c r="B2745" s="66" t="str">
        <x:v>祁腾蜂赢1号</x:v>
      </x:c>
      <x:c r="C2745" s="72" t="n">
        <x:v>45015</x:v>
      </x:c>
      <x:c r="D2745" s="73" t="n">
        <x:v>1.0076</x:v>
      </x:c>
      <x:c r="E2745" s="73" t="n">
        <x:v>1.5543</x:v>
      </x:c>
      <x:c r="F2745" s="73" t="n">
        <x:v>1.6978</x:v>
      </x:c>
      <x:c r="G2745" s="74" t="n">
        <x:v>-0.0003</x:v>
      </x:c>
      <x:c r="H2745" s="66" t="str">
        <x:v>祁腾蜂赢1号净值20260911.xlsx</x:v>
      </x:c>
      <x:c r="I2745" s="73" t="str">
        <x:f>""</x:f>
      </x:c>
      <x:c r="J2745" s="74" t="str">
        <x:f>""</x:f>
      </x:c>
      <x:c r="K2745" s="73" t="str">
        <x:f>""</x:f>
      </x:c>
      <x:c r="L2745" s="74" t="str">
        <x:f>""</x:f>
      </x:c>
      <x:c r="M2745" s="73" t="n">
        <x:f>MAX(M2744,F2745)</x:f>
        <x:v>1.6983</x:v>
      </x:c>
      <x:c r="N2745" s="74" t="n">
        <x:f>1-F2745/M2745</x:f>
        <x:v>0.00029441205911795443</x:v>
      </x:c>
    </x:row>
    <x:row r="2746" ht="27" customHeight="1">
      <x:c r="A2746" s="66" t="str">
        <x:v>SEV580</x:v>
      </x:c>
      <x:c r="B2746" s="66" t="str">
        <x:v>祁腾蜂赢1号</x:v>
      </x:c>
      <x:c r="C2746" s="72" t="n">
        <x:v>45016</x:v>
      </x:c>
      <x:c r="D2746" s="73" t="n">
        <x:v>1.0073</x:v>
      </x:c>
      <x:c r="E2746" s="73" t="n">
        <x:v>1.554</x:v>
      </x:c>
      <x:c r="F2746" s="73" t="n">
        <x:v>1.6973</x:v>
      </x:c>
      <x:c r="G2746" s="74" t="n">
        <x:v>-0.0003</x:v>
      </x:c>
      <x:c r="H2746" s="66" t="str">
        <x:v>祁腾蜂赢1号净值20260911.xlsx</x:v>
      </x:c>
      <x:c r="I2746" s="73" t="str">
        <x:f>""</x:f>
      </x:c>
      <x:c r="J2746" s="74" t="str">
        <x:f>""</x:f>
      </x:c>
      <x:c r="K2746" s="73" t="str">
        <x:f>""</x:f>
      </x:c>
      <x:c r="L2746" s="74" t="str">
        <x:f>""</x:f>
      </x:c>
      <x:c r="M2746" s="73" t="n">
        <x:f>MAX(M2745,F2746)</x:f>
        <x:v>1.6983</x:v>
      </x:c>
      <x:c r="N2746" s="74" t="n">
        <x:f>1-F2746/M2746</x:f>
        <x:v>0.0005888241182357978</x:v>
      </x:c>
    </x:row>
    <x:row r="2747" ht="27" customHeight="1">
      <x:c r="A2747" s="66" t="str">
        <x:v>SEV580</x:v>
      </x:c>
      <x:c r="B2747" s="66" t="str">
        <x:v>祁腾蜂赢1号</x:v>
      </x:c>
      <x:c r="C2747" s="72" t="n">
        <x:v>45019</x:v>
      </x:c>
      <x:c r="D2747" s="73" t="n">
        <x:v>1.0072</x:v>
      </x:c>
      <x:c r="E2747" s="73" t="n">
        <x:v>1.5539</x:v>
      </x:c>
      <x:c r="F2747" s="73" t="n">
        <x:v>1.6971</x:v>
      </x:c>
      <x:c r="G2747" s="74" t="n">
        <x:v>-0.0001</x:v>
      </x:c>
      <x:c r="H2747" s="66" t="str">
        <x:v>祁腾蜂赢1号净值20260911.xlsx</x:v>
      </x:c>
      <x:c r="I2747" s="73" t="str">
        <x:f>""</x:f>
      </x:c>
      <x:c r="J2747" s="74" t="str">
        <x:f>""</x:f>
      </x:c>
      <x:c r="K2747" s="73" t="str">
        <x:f>""</x:f>
      </x:c>
      <x:c r="L2747" s="74" t="str">
        <x:f>""</x:f>
      </x:c>
      <x:c r="M2747" s="73" t="n">
        <x:f>MAX(M2746,F2747)</x:f>
        <x:v>1.6983</x:v>
      </x:c>
      <x:c r="N2747" s="74" t="n">
        <x:f>1-F2747/M2747</x:f>
        <x:v>0.000706588941883024</x:v>
      </x:c>
    </x:row>
    <x:row r="2748" ht="27" customHeight="1">
      <x:c r="A2748" s="66" t="str">
        <x:v>SEV580</x:v>
      </x:c>
      <x:c r="B2748" s="66" t="str">
        <x:v>祁腾蜂赢1号</x:v>
      </x:c>
      <x:c r="C2748" s="72" t="n">
        <x:v>45020</x:v>
      </x:c>
      <x:c r="D2748" s="73" t="n">
        <x:v>1.0073</x:v>
      </x:c>
      <x:c r="E2748" s="73" t="n">
        <x:v>1.554</x:v>
      </x:c>
      <x:c r="F2748" s="73" t="n">
        <x:v>1.6973</x:v>
      </x:c>
      <x:c r="G2748" s="74" t="n">
        <x:v>0.0001</x:v>
      </x:c>
      <x:c r="H2748" s="66" t="str">
        <x:v>祁腾蜂赢1号净值20260911.xlsx</x:v>
      </x:c>
      <x:c r="I2748" s="73" t="str">
        <x:f>""</x:f>
      </x:c>
      <x:c r="J2748" s="74" t="str">
        <x:f>""</x:f>
      </x:c>
      <x:c r="K2748" s="73" t="str">
        <x:f>""</x:f>
      </x:c>
      <x:c r="L2748" s="74" t="str">
        <x:f>""</x:f>
      </x:c>
      <x:c r="M2748" s="73" t="n">
        <x:f>MAX(M2747,F2748)</x:f>
        <x:v>1.6983</x:v>
      </x:c>
      <x:c r="N2748" s="74" t="n">
        <x:f>1-F2748/M2748</x:f>
        <x:v>0.0005888241182357978</x:v>
      </x:c>
    </x:row>
    <x:row r="2749" ht="27" customHeight="1">
      <x:c r="A2749" s="66" t="str">
        <x:v>SEV580</x:v>
      </x:c>
      <x:c r="B2749" s="66" t="str">
        <x:v>祁腾蜂赢1号</x:v>
      </x:c>
      <x:c r="C2749" s="72" t="n">
        <x:v>45022</x:v>
      </x:c>
      <x:c r="D2749" s="73" t="n">
        <x:v>1.0073</x:v>
      </x:c>
      <x:c r="E2749" s="73" t="n">
        <x:v>1.554</x:v>
      </x:c>
      <x:c r="F2749" s="73" t="n">
        <x:v>1.6973</x:v>
      </x:c>
      <x:c r="G2749" s="74" t="n">
        <x:v>0</x:v>
      </x:c>
      <x:c r="H2749" s="66" t="str">
        <x:v>祁腾蜂赢1号净值20260911.xlsx</x:v>
      </x:c>
      <x:c r="I2749" s="73" t="str">
        <x:f>""</x:f>
      </x:c>
      <x:c r="J2749" s="74" t="str">
        <x:f>""</x:f>
      </x:c>
      <x:c r="K2749" s="73" t="str">
        <x:f>""</x:f>
      </x:c>
      <x:c r="L2749" s="74" t="str">
        <x:f>""</x:f>
      </x:c>
      <x:c r="M2749" s="73" t="n">
        <x:f>MAX(M2748,F2749)</x:f>
        <x:v>1.6983</x:v>
      </x:c>
      <x:c r="N2749" s="74" t="n">
        <x:f>1-F2749/M2749</x:f>
        <x:v>0.0005888241182357978</x:v>
      </x:c>
    </x:row>
    <x:row r="2750" ht="27" customHeight="1">
      <x:c r="A2750" s="66" t="str">
        <x:v>SEV580</x:v>
      </x:c>
      <x:c r="B2750" s="66" t="str">
        <x:v>祁腾蜂赢1号</x:v>
      </x:c>
      <x:c r="C2750" s="72" t="n">
        <x:v>45023</x:v>
      </x:c>
      <x:c r="D2750" s="73" t="n">
        <x:v>1.0072</x:v>
      </x:c>
      <x:c r="E2750" s="73" t="n">
        <x:v>1.5539</x:v>
      </x:c>
      <x:c r="F2750" s="73" t="n">
        <x:v>1.6971</x:v>
      </x:c>
      <x:c r="G2750" s="74" t="n">
        <x:v>-0.0001</x:v>
      </x:c>
      <x:c r="H2750" s="66" t="str">
        <x:v>祁腾蜂赢1号净值20260911.xlsx</x:v>
      </x:c>
      <x:c r="I2750" s="73" t="str">
        <x:f>""</x:f>
      </x:c>
      <x:c r="J2750" s="74" t="str">
        <x:f>""</x:f>
      </x:c>
      <x:c r="K2750" s="73" t="str">
        <x:f>""</x:f>
      </x:c>
      <x:c r="L2750" s="74" t="str">
        <x:f>""</x:f>
      </x:c>
      <x:c r="M2750" s="73" t="n">
        <x:f>MAX(M2749,F2750)</x:f>
        <x:v>1.6983</x:v>
      </x:c>
      <x:c r="N2750" s="74" t="n">
        <x:f>1-F2750/M2750</x:f>
        <x:v>0.000706588941883024</x:v>
      </x:c>
    </x:row>
    <x:row r="2751" ht="27" customHeight="1">
      <x:c r="A2751" s="66" t="str">
        <x:v>SEV580</x:v>
      </x:c>
      <x:c r="B2751" s="66" t="str">
        <x:v>祁腾蜂赢1号</x:v>
      </x:c>
      <x:c r="C2751" s="72" t="n">
        <x:v>45026</x:v>
      </x:c>
      <x:c r="D2751" s="73" t="n">
        <x:v>1.0064</x:v>
      </x:c>
      <x:c r="E2751" s="73" t="n">
        <x:v>1.5531</x:v>
      </x:c>
      <x:c r="F2751" s="73" t="n">
        <x:v>1.6957</x:v>
      </x:c>
      <x:c r="G2751" s="74" t="n">
        <x:v>-0.0008</x:v>
      </x:c>
      <x:c r="H2751" s="66" t="str">
        <x:v>祁腾蜂赢1号净值20260911.xlsx</x:v>
      </x:c>
      <x:c r="I2751" s="73" t="str">
        <x:f>""</x:f>
      </x:c>
      <x:c r="J2751" s="74" t="str">
        <x:f>""</x:f>
      </x:c>
      <x:c r="K2751" s="73" t="str">
        <x:f>""</x:f>
      </x:c>
      <x:c r="L2751" s="74" t="str">
        <x:f>""</x:f>
      </x:c>
      <x:c r="M2751" s="73" t="n">
        <x:f>MAX(M2750,F2751)</x:f>
        <x:v>1.6983</x:v>
      </x:c>
      <x:c r="N2751" s="74" t="n">
        <x:f>1-F2751/M2751</x:f>
        <x:v>0.0015309427074132742</x:v>
      </x:c>
    </x:row>
    <x:row r="2752" ht="27" customHeight="1">
      <x:c r="A2752" s="66" t="str">
        <x:v>SEV580</x:v>
      </x:c>
      <x:c r="B2752" s="66" t="str">
        <x:v>祁腾蜂赢1号</x:v>
      </x:c>
      <x:c r="C2752" s="72" t="n">
        <x:v>45027</x:v>
      </x:c>
      <x:c r="D2752" s="73" t="n">
        <x:v>1.0065</x:v>
      </x:c>
      <x:c r="E2752" s="73" t="n">
        <x:v>1.5532</x:v>
      </x:c>
      <x:c r="F2752" s="73" t="n">
        <x:v>1.6959</x:v>
      </x:c>
      <x:c r="G2752" s="74" t="n">
        <x:v>0.0001</x:v>
      </x:c>
      <x:c r="H2752" s="66" t="str">
        <x:v>祁腾蜂赢1号净值20260911.xlsx</x:v>
      </x:c>
      <x:c r="I2752" s="73" t="str">
        <x:f>""</x:f>
      </x:c>
      <x:c r="J2752" s="74" t="str">
        <x:f>""</x:f>
      </x:c>
      <x:c r="K2752" s="73" t="str">
        <x:f>""</x:f>
      </x:c>
      <x:c r="L2752" s="74" t="str">
        <x:f>""</x:f>
      </x:c>
      <x:c r="M2752" s="73" t="n">
        <x:f>MAX(M2751,F2752)</x:f>
        <x:v>1.6983</x:v>
      </x:c>
      <x:c r="N2752" s="74" t="n">
        <x:f>1-F2752/M2752</x:f>
        <x:v>0.001413177883766048</x:v>
      </x:c>
    </x:row>
    <x:row r="2753" ht="27" customHeight="1">
      <x:c r="A2753" s="66" t="str">
        <x:v>SEV580</x:v>
      </x:c>
      <x:c r="B2753" s="66" t="str">
        <x:v>祁腾蜂赢1号</x:v>
      </x:c>
      <x:c r="C2753" s="72" t="n">
        <x:v>45028</x:v>
      </x:c>
      <x:c r="D2753" s="73" t="n">
        <x:v>1.0058</x:v>
      </x:c>
      <x:c r="E2753" s="73" t="n">
        <x:v>1.5525</x:v>
      </x:c>
      <x:c r="F2753" s="73" t="n">
        <x:v>1.6947</x:v>
      </x:c>
      <x:c r="G2753" s="74" t="n">
        <x:v>-0.0007000000000000001</x:v>
      </x:c>
      <x:c r="H2753" s="66" t="str">
        <x:v>祁腾蜂赢1号净值20260911.xlsx</x:v>
      </x:c>
      <x:c r="I2753" s="73" t="str">
        <x:f>""</x:f>
      </x:c>
      <x:c r="J2753" s="74" t="str">
        <x:f>""</x:f>
      </x:c>
      <x:c r="K2753" s="73" t="str">
        <x:f>""</x:f>
      </x:c>
      <x:c r="L2753" s="74" t="str">
        <x:f>""</x:f>
      </x:c>
      <x:c r="M2753" s="73" t="n">
        <x:f>MAX(M2752,F2753)</x:f>
        <x:v>1.6983</x:v>
      </x:c>
      <x:c r="N2753" s="74" t="n">
        <x:f>1-F2753/M2753</x:f>
        <x:v>0.002119766825649072</x:v>
      </x:c>
    </x:row>
    <x:row r="2754" ht="27" customHeight="1">
      <x:c r="A2754" s="66" t="str">
        <x:v>SEV580</x:v>
      </x:c>
      <x:c r="B2754" s="66" t="str">
        <x:v>祁腾蜂赢1号</x:v>
      </x:c>
      <x:c r="C2754" s="72" t="n">
        <x:v>45029</x:v>
      </x:c>
      <x:c r="D2754" s="73" t="n">
        <x:v>1.0056</x:v>
      </x:c>
      <x:c r="E2754" s="73" t="n">
        <x:v>1.5523</x:v>
      </x:c>
      <x:c r="F2754" s="73" t="n">
        <x:v>1.6944</x:v>
      </x:c>
      <x:c r="G2754" s="74" t="n">
        <x:v>-0.0002</x:v>
      </x:c>
      <x:c r="H2754" s="66" t="str">
        <x:v>祁腾蜂赢1号净值20260911.xlsx</x:v>
      </x:c>
      <x:c r="I2754" s="73" t="str">
        <x:f>""</x:f>
      </x:c>
      <x:c r="J2754" s="74" t="str">
        <x:f>""</x:f>
      </x:c>
      <x:c r="K2754" s="73" t="str">
        <x:f>""</x:f>
      </x:c>
      <x:c r="L2754" s="74" t="str">
        <x:f>""</x:f>
      </x:c>
      <x:c r="M2754" s="73" t="n">
        <x:f>MAX(M2753,F2754)</x:f>
        <x:v>1.6983</x:v>
      </x:c>
      <x:c r="N2754" s="74" t="n">
        <x:f>1-F2754/M2754</x:f>
        <x:v>0.0022964140611199113</x:v>
      </x:c>
    </x:row>
    <x:row r="2755" ht="27" customHeight="1">
      <x:c r="A2755" s="66" t="str">
        <x:v>SEV580</x:v>
      </x:c>
      <x:c r="B2755" s="66" t="str">
        <x:v>祁腾蜂赢1号</x:v>
      </x:c>
      <x:c r="C2755" s="72" t="n">
        <x:v>45030</x:v>
      </x:c>
      <x:c r="D2755" s="73" t="n">
        <x:v>1.0059</x:v>
      </x:c>
      <x:c r="E2755" s="73" t="n">
        <x:v>1.5526</x:v>
      </x:c>
      <x:c r="F2755" s="73" t="n">
        <x:v>1.6949</x:v>
      </x:c>
      <x:c r="G2755" s="74" t="n">
        <x:v>0.0003</x:v>
      </x:c>
      <x:c r="H2755" s="66" t="str">
        <x:v>祁腾蜂赢1号净值20260911.xlsx</x:v>
      </x:c>
      <x:c r="I2755" s="73" t="str">
        <x:f>""</x:f>
      </x:c>
      <x:c r="J2755" s="74" t="str">
        <x:f>""</x:f>
      </x:c>
      <x:c r="K2755" s="73" t="str">
        <x:f>""</x:f>
      </x:c>
      <x:c r="L2755" s="74" t="str">
        <x:f>""</x:f>
      </x:c>
      <x:c r="M2755" s="73" t="n">
        <x:f>MAX(M2754,F2755)</x:f>
        <x:v>1.6983</x:v>
      </x:c>
      <x:c r="N2755" s="74" t="n">
        <x:f>1-F2755/M2755</x:f>
        <x:v>0.002002002002001957</x:v>
      </x:c>
    </x:row>
    <x:row r="2756" ht="27" customHeight="1">
      <x:c r="A2756" s="66" t="str">
        <x:v>SEV580</x:v>
      </x:c>
      <x:c r="B2756" s="66" t="str">
        <x:v>祁腾蜂赢1号</x:v>
      </x:c>
      <x:c r="C2756" s="72" t="n">
        <x:v>45033</x:v>
      </x:c>
      <x:c r="D2756" s="73" t="n">
        <x:v>1.0065</x:v>
      </x:c>
      <x:c r="E2756" s="73" t="n">
        <x:v>1.5532</x:v>
      </x:c>
      <x:c r="F2756" s="73" t="n">
        <x:v>1.6959</x:v>
      </x:c>
      <x:c r="G2756" s="74" t="n">
        <x:v>0.0006</x:v>
      </x:c>
      <x:c r="H2756" s="66" t="str">
        <x:v>祁腾蜂赢1号净值20260911.xlsx</x:v>
      </x:c>
      <x:c r="I2756" s="73" t="str">
        <x:f>""</x:f>
      </x:c>
      <x:c r="J2756" s="74" t="str">
        <x:f>""</x:f>
      </x:c>
      <x:c r="K2756" s="73" t="str">
        <x:f>""</x:f>
      </x:c>
      <x:c r="L2756" s="74" t="str">
        <x:f>""</x:f>
      </x:c>
      <x:c r="M2756" s="73" t="n">
        <x:f>MAX(M2755,F2756)</x:f>
        <x:v>1.6983</x:v>
      </x:c>
      <x:c r="N2756" s="74" t="n">
        <x:f>1-F2756/M2756</x:f>
        <x:v>0.001413177883766048</x:v>
      </x:c>
    </x:row>
    <x:row r="2757" ht="27" customHeight="1">
      <x:c r="A2757" s="66" t="str">
        <x:v>SEV580</x:v>
      </x:c>
      <x:c r="B2757" s="66" t="str">
        <x:v>祁腾蜂赢1号</x:v>
      </x:c>
      <x:c r="C2757" s="72" t="n">
        <x:v>45034</x:v>
      </x:c>
      <x:c r="D2757" s="73" t="n">
        <x:v>1.0058</x:v>
      </x:c>
      <x:c r="E2757" s="73" t="n">
        <x:v>1.5525</x:v>
      </x:c>
      <x:c r="F2757" s="73" t="n">
        <x:v>1.6947</x:v>
      </x:c>
      <x:c r="G2757" s="74" t="n">
        <x:v>-0.0007000000000000001</x:v>
      </x:c>
      <x:c r="H2757" s="66" t="str">
        <x:v>祁腾蜂赢1号净值20260911.xlsx</x:v>
      </x:c>
      <x:c r="I2757" s="73" t="str">
        <x:f>""</x:f>
      </x:c>
      <x:c r="J2757" s="74" t="str">
        <x:f>""</x:f>
      </x:c>
      <x:c r="K2757" s="73" t="str">
        <x:f>""</x:f>
      </x:c>
      <x:c r="L2757" s="74" t="str">
        <x:f>""</x:f>
      </x:c>
      <x:c r="M2757" s="73" t="n">
        <x:f>MAX(M2756,F2757)</x:f>
        <x:v>1.6983</x:v>
      </x:c>
      <x:c r="N2757" s="74" t="n">
        <x:f>1-F2757/M2757</x:f>
        <x:v>0.002119766825649072</x:v>
      </x:c>
    </x:row>
    <x:row r="2758" ht="27" customHeight="1">
      <x:c r="A2758" s="66" t="str">
        <x:v>SEV580</x:v>
      </x:c>
      <x:c r="B2758" s="66" t="str">
        <x:v>祁腾蜂赢1号</x:v>
      </x:c>
      <x:c r="C2758" s="72" t="n">
        <x:v>45035</x:v>
      </x:c>
      <x:c r="D2758" s="73" t="n">
        <x:v>1.0058</x:v>
      </x:c>
      <x:c r="E2758" s="73" t="n">
        <x:v>1.5525</x:v>
      </x:c>
      <x:c r="F2758" s="73" t="n">
        <x:v>1.6947</x:v>
      </x:c>
      <x:c r="G2758" s="74" t="n">
        <x:v>0</x:v>
      </x:c>
      <x:c r="H2758" s="66" t="str">
        <x:v>祁腾蜂赢1号净值20260911.xlsx</x:v>
      </x:c>
      <x:c r="I2758" s="73" t="str">
        <x:f>""</x:f>
      </x:c>
      <x:c r="J2758" s="74" t="str">
        <x:f>""</x:f>
      </x:c>
      <x:c r="K2758" s="73" t="str">
        <x:f>""</x:f>
      </x:c>
      <x:c r="L2758" s="74" t="str">
        <x:f>""</x:f>
      </x:c>
      <x:c r="M2758" s="73" t="n">
        <x:f>MAX(M2757,F2758)</x:f>
        <x:v>1.6983</x:v>
      </x:c>
      <x:c r="N2758" s="74" t="n">
        <x:f>1-F2758/M2758</x:f>
        <x:v>0.002119766825649072</x:v>
      </x:c>
    </x:row>
    <x:row r="2759" ht="27" customHeight="1">
      <x:c r="A2759" s="66" t="str">
        <x:v>SEV580</x:v>
      </x:c>
      <x:c r="B2759" s="66" t="str">
        <x:v>祁腾蜂赢1号</x:v>
      </x:c>
      <x:c r="C2759" s="72" t="n">
        <x:v>45036</x:v>
      </x:c>
      <x:c r="D2759" s="73" t="n">
        <x:v>1.0058</x:v>
      </x:c>
      <x:c r="E2759" s="73" t="n">
        <x:v>1.5525</x:v>
      </x:c>
      <x:c r="F2759" s="73" t="n">
        <x:v>1.6947</x:v>
      </x:c>
      <x:c r="G2759" s="74" t="n">
        <x:v>0</x:v>
      </x:c>
      <x:c r="H2759" s="66" t="str">
        <x:v>祁腾蜂赢1号净值20260911.xlsx</x:v>
      </x:c>
      <x:c r="I2759" s="73" t="str">
        <x:f>""</x:f>
      </x:c>
      <x:c r="J2759" s="74" t="str">
        <x:f>""</x:f>
      </x:c>
      <x:c r="K2759" s="73" t="str">
        <x:f>""</x:f>
      </x:c>
      <x:c r="L2759" s="74" t="str">
        <x:f>""</x:f>
      </x:c>
      <x:c r="M2759" s="73" t="n">
        <x:f>MAX(M2758,F2759)</x:f>
        <x:v>1.6983</x:v>
      </x:c>
      <x:c r="N2759" s="74" t="n">
        <x:f>1-F2759/M2759</x:f>
        <x:v>0.002119766825649072</x:v>
      </x:c>
    </x:row>
    <x:row r="2760" ht="27" customHeight="1">
      <x:c r="A2760" s="66" t="str">
        <x:v>SEV580</x:v>
      </x:c>
      <x:c r="B2760" s="66" t="str">
        <x:v>祁腾蜂赢1号</x:v>
      </x:c>
      <x:c r="C2760" s="72" t="n">
        <x:v>45037</x:v>
      </x:c>
      <x:c r="D2760" s="73" t="n">
        <x:v>1.0065</x:v>
      </x:c>
      <x:c r="E2760" s="73" t="n">
        <x:v>1.5532</x:v>
      </x:c>
      <x:c r="F2760" s="73" t="n">
        <x:v>1.6959</x:v>
      </x:c>
      <x:c r="G2760" s="74" t="n">
        <x:v>0.0007000000000000001</x:v>
      </x:c>
      <x:c r="H2760" s="66" t="str">
        <x:v>祁腾蜂赢1号净值20260911.xlsx</x:v>
      </x:c>
      <x:c r="I2760" s="73" t="str">
        <x:f>""</x:f>
      </x:c>
      <x:c r="J2760" s="74" t="str">
        <x:f>""</x:f>
      </x:c>
      <x:c r="K2760" s="73" t="str">
        <x:f>""</x:f>
      </x:c>
      <x:c r="L2760" s="74" t="str">
        <x:f>""</x:f>
      </x:c>
      <x:c r="M2760" s="73" t="n">
        <x:f>MAX(M2759,F2760)</x:f>
        <x:v>1.6983</x:v>
      </x:c>
      <x:c r="N2760" s="74" t="n">
        <x:f>1-F2760/M2760</x:f>
        <x:v>0.001413177883766048</x:v>
      </x:c>
    </x:row>
    <x:row r="2761" ht="27" customHeight="1">
      <x:c r="A2761" s="66" t="str">
        <x:v>SEV580</x:v>
      </x:c>
      <x:c r="B2761" s="66" t="str">
        <x:v>祁腾蜂赢1号</x:v>
      </x:c>
      <x:c r="C2761" s="72" t="n">
        <x:v>45040</x:v>
      </x:c>
      <x:c r="D2761" s="73" t="n">
        <x:v>1.0082</x:v>
      </x:c>
      <x:c r="E2761" s="73" t="n">
        <x:v>1.5549</x:v>
      </x:c>
      <x:c r="F2761" s="73" t="n">
        <x:v>1.6988</x:v>
      </x:c>
      <x:c r="G2761" s="74" t="n">
        <x:v>0.0017000000000000001</x:v>
      </x:c>
      <x:c r="H2761" s="66" t="str">
        <x:v>祁腾蜂赢1号净值20260911.xlsx</x:v>
      </x:c>
      <x:c r="I2761" s="73" t="str">
        <x:f>""</x:f>
      </x:c>
      <x:c r="J2761" s="74" t="str">
        <x:f>""</x:f>
      </x:c>
      <x:c r="K2761" s="73" t="str">
        <x:f>""</x:f>
      </x:c>
      <x:c r="L2761" s="74" t="str">
        <x:f>""</x:f>
      </x:c>
      <x:c r="M2761" s="73" t="n">
        <x:f>MAX(M2760,F2761)</x:f>
        <x:v>1.6988</x:v>
      </x:c>
      <x:c r="N2761" s="74" t="n">
        <x:f>1-F2761/M2761</x:f>
        <x:v>0</x:v>
      </x:c>
    </x:row>
    <x:row r="2762" ht="27" customHeight="1">
      <x:c r="A2762" s="66" t="str">
        <x:v>SEV580</x:v>
      </x:c>
      <x:c r="B2762" s="66" t="str">
        <x:v>祁腾蜂赢1号</x:v>
      </x:c>
      <x:c r="C2762" s="72" t="n">
        <x:v>45041</x:v>
      </x:c>
      <x:c r="D2762" s="73" t="n">
        <x:v>1.0104</x:v>
      </x:c>
      <x:c r="E2762" s="73" t="n">
        <x:v>1.5571</x:v>
      </x:c>
      <x:c r="F2762" s="73" t="n">
        <x:v>1.7025</x:v>
      </x:c>
      <x:c r="G2762" s="74" t="n">
        <x:v>0.0022</x:v>
      </x:c>
      <x:c r="H2762" s="66" t="str">
        <x:v>祁腾蜂赢1号净值20260911.xlsx</x:v>
      </x:c>
      <x:c r="I2762" s="73" t="str">
        <x:f>""</x:f>
      </x:c>
      <x:c r="J2762" s="74" t="str">
        <x:f>""</x:f>
      </x:c>
      <x:c r="K2762" s="73" t="str">
        <x:f>""</x:f>
      </x:c>
      <x:c r="L2762" s="74" t="str">
        <x:f>""</x:f>
      </x:c>
      <x:c r="M2762" s="73" t="n">
        <x:f>MAX(M2761,F2762)</x:f>
        <x:v>1.7025</x:v>
      </x:c>
      <x:c r="N2762" s="74" t="n">
        <x:f>1-F2762/M2762</x:f>
        <x:v>0</x:v>
      </x:c>
    </x:row>
    <x:row r="2763" ht="27" customHeight="1">
      <x:c r="A2763" s="66" t="str">
        <x:v>SEV580</x:v>
      </x:c>
      <x:c r="B2763" s="66" t="str">
        <x:v>祁腾蜂赢1号</x:v>
      </x:c>
      <x:c r="C2763" s="72" t="n">
        <x:v>45042</x:v>
      </x:c>
      <x:c r="D2763" s="73" t="n">
        <x:v>1.01</x:v>
      </x:c>
      <x:c r="E2763" s="73" t="n">
        <x:v>1.5567</x:v>
      </x:c>
      <x:c r="F2763" s="73" t="n">
        <x:v>1.7018</x:v>
      </x:c>
      <x:c r="G2763" s="74" t="n">
        <x:v>-0.0004</x:v>
      </x:c>
      <x:c r="H2763" s="66" t="str">
        <x:v>祁腾蜂赢1号净值20260911.xlsx</x:v>
      </x:c>
      <x:c r="I2763" s="73" t="str">
        <x:f>""</x:f>
      </x:c>
      <x:c r="J2763" s="74" t="str">
        <x:f>""</x:f>
      </x:c>
      <x:c r="K2763" s="73" t="str">
        <x:f>""</x:f>
      </x:c>
      <x:c r="L2763" s="74" t="str">
        <x:f>""</x:f>
      </x:c>
      <x:c r="M2763" s="73" t="n">
        <x:f>MAX(M2762,F2763)</x:f>
        <x:v>1.7025</x:v>
      </x:c>
      <x:c r="N2763" s="74" t="n">
        <x:f>1-F2763/M2763</x:f>
        <x:v>0.00041116005873709227</x:v>
      </x:c>
    </x:row>
    <x:row r="2764" ht="27" customHeight="1">
      <x:c r="A2764" s="66" t="str">
        <x:v>SEV580</x:v>
      </x:c>
      <x:c r="B2764" s="66" t="str">
        <x:v>祁腾蜂赢1号</x:v>
      </x:c>
      <x:c r="C2764" s="72" t="n">
        <x:v>45043</x:v>
      </x:c>
      <x:c r="D2764" s="73" t="n">
        <x:v>1.0098</x:v>
      </x:c>
      <x:c r="E2764" s="73" t="n">
        <x:v>1.5565</x:v>
      </x:c>
      <x:c r="F2764" s="73" t="n">
        <x:v>1.7015</x:v>
      </x:c>
      <x:c r="G2764" s="74" t="n">
        <x:v>-0.0002</x:v>
      </x:c>
      <x:c r="H2764" s="66" t="str">
        <x:v>祁腾蜂赢1号净值20260911.xlsx</x:v>
      </x:c>
      <x:c r="I2764" s="73" t="str">
        <x:f>""</x:f>
      </x:c>
      <x:c r="J2764" s="74" t="str">
        <x:f>""</x:f>
      </x:c>
      <x:c r="K2764" s="73" t="str">
        <x:f>""</x:f>
      </x:c>
      <x:c r="L2764" s="74" t="str">
        <x:f>""</x:f>
      </x:c>
      <x:c r="M2764" s="73" t="n">
        <x:f>MAX(M2763,F2764)</x:f>
        <x:v>1.7025</x:v>
      </x:c>
      <x:c r="N2764" s="74" t="n">
        <x:f>1-F2764/M2764</x:f>
        <x:v>0.0005873715124815604</x:v>
      </x:c>
    </x:row>
    <x:row r="2765" ht="27" customHeight="1">
      <x:c r="A2765" s="66" t="str">
        <x:v>SEV580</x:v>
      </x:c>
      <x:c r="B2765" s="66" t="str">
        <x:v>祁腾蜂赢1号</x:v>
      </x:c>
      <x:c r="C2765" s="72" t="n">
        <x:v>45044</x:v>
      </x:c>
      <x:c r="D2765" s="73" t="n">
        <x:v>1.0096</x:v>
      </x:c>
      <x:c r="E2765" s="73" t="n">
        <x:v>1.5563</x:v>
      </x:c>
      <x:c r="F2765" s="73" t="n">
        <x:v>1.7011</x:v>
      </x:c>
      <x:c r="G2765" s="74" t="n">
        <x:v>-0.0002</x:v>
      </x:c>
      <x:c r="H2765" s="66" t="str">
        <x:v>祁腾蜂赢1号净值20260911.xlsx</x:v>
      </x:c>
      <x:c r="I2765" s="73" t="str">
        <x:f>""</x:f>
      </x:c>
      <x:c r="J2765" s="74" t="str">
        <x:f>""</x:f>
      </x:c>
      <x:c r="K2765" s="73" t="str">
        <x:f>""</x:f>
      </x:c>
      <x:c r="L2765" s="74" t="str">
        <x:f>""</x:f>
      </x:c>
      <x:c r="M2765" s="73" t="n">
        <x:f>MAX(M2764,F2765)</x:f>
        <x:v>1.7025</x:v>
      </x:c>
      <x:c r="N2765" s="74" t="n">
        <x:f>1-F2765/M2765</x:f>
        <x:v>0.0008223201174741845</x:v>
      </x:c>
    </x:row>
    <x:row r="2766" ht="27" customHeight="1">
      <x:c r="A2766" s="66" t="str">
        <x:v>SEV580</x:v>
      </x:c>
      <x:c r="B2766" s="66" t="str">
        <x:v>祁腾蜂赢1号</x:v>
      </x:c>
      <x:c r="C2766" s="72" t="n">
        <x:v>45050</x:v>
      </x:c>
      <x:c r="D2766" s="73" t="n">
        <x:v>1.0091</x:v>
      </x:c>
      <x:c r="E2766" s="73" t="n">
        <x:v>1.5558</x:v>
      </x:c>
      <x:c r="F2766" s="73" t="n">
        <x:v>1.7003</x:v>
      </x:c>
      <x:c r="G2766" s="74" t="n">
        <x:v>-0.0005</x:v>
      </x:c>
      <x:c r="H2766" s="66" t="str">
        <x:v>祁腾蜂赢1号净值20260911.xlsx</x:v>
      </x:c>
      <x:c r="I2766" s="73" t="str">
        <x:f>""</x:f>
      </x:c>
      <x:c r="J2766" s="74" t="str">
        <x:f>""</x:f>
      </x:c>
      <x:c r="K2766" s="73" t="str">
        <x:f>""</x:f>
      </x:c>
      <x:c r="L2766" s="74" t="str">
        <x:f>""</x:f>
      </x:c>
      <x:c r="M2766" s="73" t="n">
        <x:f>MAX(M2765,F2766)</x:f>
        <x:v>1.7025</x:v>
      </x:c>
      <x:c r="N2766" s="74" t="n">
        <x:f>1-F2766/M2766</x:f>
        <x:v>0.001292217327459655</x:v>
      </x:c>
    </x:row>
    <x:row r="2767" ht="27" customHeight="1">
      <x:c r="A2767" s="66" t="str">
        <x:v>SEV580</x:v>
      </x:c>
      <x:c r="B2767" s="66" t="str">
        <x:v>祁腾蜂赢1号</x:v>
      </x:c>
      <x:c r="C2767" s="72" t="n">
        <x:v>45051</x:v>
      </x:c>
      <x:c r="D2767" s="73" t="n">
        <x:v>1.0088</x:v>
      </x:c>
      <x:c r="E2767" s="73" t="n">
        <x:v>1.5555</x:v>
      </x:c>
      <x:c r="F2767" s="73" t="n">
        <x:v>1.6998</x:v>
      </x:c>
      <x:c r="G2767" s="74" t="n">
        <x:v>-0.0003</x:v>
      </x:c>
      <x:c r="H2767" s="66" t="str">
        <x:v>祁腾蜂赢1号净值20260911.xlsx</x:v>
      </x:c>
      <x:c r="I2767" s="73" t="str">
        <x:f>""</x:f>
      </x:c>
      <x:c r="J2767" s="74" t="str">
        <x:f>""</x:f>
      </x:c>
      <x:c r="K2767" s="73" t="str">
        <x:f>""</x:f>
      </x:c>
      <x:c r="L2767" s="74" t="str">
        <x:f>""</x:f>
      </x:c>
      <x:c r="M2767" s="73" t="n">
        <x:f>MAX(M2766,F2767)</x:f>
        <x:v>1.7025</x:v>
      </x:c>
      <x:c r="N2767" s="74" t="n">
        <x:f>1-F2767/M2767</x:f>
        <x:v>0.001585903083700435</x:v>
      </x:c>
    </x:row>
    <x:row r="2768" ht="27" customHeight="1">
      <x:c r="A2768" s="66" t="str">
        <x:v>SEV580</x:v>
      </x:c>
      <x:c r="B2768" s="66" t="str">
        <x:v>祁腾蜂赢1号</x:v>
      </x:c>
      <x:c r="C2768" s="72" t="n">
        <x:v>45054</x:v>
      </x:c>
      <x:c r="D2768" s="73" t="n">
        <x:v>1.009</x:v>
      </x:c>
      <x:c r="E2768" s="73" t="n">
        <x:v>1.5557</x:v>
      </x:c>
      <x:c r="F2768" s="73" t="n">
        <x:v>1.7001</x:v>
      </x:c>
      <x:c r="G2768" s="74" t="n">
        <x:v>0.0002</x:v>
      </x:c>
      <x:c r="H2768" s="66" t="str">
        <x:v>祁腾蜂赢1号净值20260911.xlsx</x:v>
      </x:c>
      <x:c r="I2768" s="73" t="str">
        <x:f>""</x:f>
      </x:c>
      <x:c r="J2768" s="74" t="str">
        <x:f>""</x:f>
      </x:c>
      <x:c r="K2768" s="73" t="str">
        <x:f>""</x:f>
      </x:c>
      <x:c r="L2768" s="74" t="str">
        <x:f>""</x:f>
      </x:c>
      <x:c r="M2768" s="73" t="n">
        <x:f>MAX(M2767,F2768)</x:f>
        <x:v>1.7025</x:v>
      </x:c>
      <x:c r="N2768" s="74" t="n">
        <x:f>1-F2768/M2768</x:f>
        <x:v>0.001409691629955967</x:v>
      </x:c>
    </x:row>
    <x:row r="2769" ht="27" customHeight="1">
      <x:c r="A2769" s="66" t="str">
        <x:v>SEV580</x:v>
      </x:c>
      <x:c r="B2769" s="66" t="str">
        <x:v>祁腾蜂赢1号</x:v>
      </x:c>
      <x:c r="C2769" s="72" t="n">
        <x:v>45055</x:v>
      </x:c>
      <x:c r="D2769" s="73" t="n">
        <x:v>1.0088</x:v>
      </x:c>
      <x:c r="E2769" s="73" t="n">
        <x:v>1.5555</x:v>
      </x:c>
      <x:c r="F2769" s="73" t="n">
        <x:v>1.6998</x:v>
      </x:c>
      <x:c r="G2769" s="74" t="n">
        <x:v>-0.0002</x:v>
      </x:c>
      <x:c r="H2769" s="66" t="str">
        <x:v>祁腾蜂赢1号净值20260911.xlsx</x:v>
      </x:c>
      <x:c r="I2769" s="73" t="str">
        <x:f>""</x:f>
      </x:c>
      <x:c r="J2769" s="74" t="str">
        <x:f>""</x:f>
      </x:c>
      <x:c r="K2769" s="73" t="str">
        <x:f>""</x:f>
      </x:c>
      <x:c r="L2769" s="74" t="str">
        <x:f>""</x:f>
      </x:c>
      <x:c r="M2769" s="73" t="n">
        <x:f>MAX(M2768,F2769)</x:f>
        <x:v>1.7025</x:v>
      </x:c>
      <x:c r="N2769" s="74" t="n">
        <x:f>1-F2769/M2769</x:f>
        <x:v>0.001585903083700435</x:v>
      </x:c>
    </x:row>
    <x:row r="2770" ht="27" customHeight="1">
      <x:c r="A2770" s="66" t="str">
        <x:v>SEV580</x:v>
      </x:c>
      <x:c r="B2770" s="66" t="str">
        <x:v>祁腾蜂赢1号</x:v>
      </x:c>
      <x:c r="C2770" s="72" t="n">
        <x:v>45056</x:v>
      </x:c>
      <x:c r="D2770" s="73" t="n">
        <x:v>1.0095</x:v>
      </x:c>
      <x:c r="E2770" s="73" t="n">
        <x:v>1.5562</x:v>
      </x:c>
      <x:c r="F2770" s="73" t="n">
        <x:v>1.701</x:v>
      </x:c>
      <x:c r="G2770" s="74" t="n">
        <x:v>0.0007000000000000001</x:v>
      </x:c>
      <x:c r="H2770" s="66" t="str">
        <x:v>祁腾蜂赢1号净值20260911.xlsx</x:v>
      </x:c>
      <x:c r="I2770" s="73" t="str">
        <x:f>""</x:f>
      </x:c>
      <x:c r="J2770" s="74" t="str">
        <x:f>""</x:f>
      </x:c>
      <x:c r="K2770" s="73" t="str">
        <x:f>""</x:f>
      </x:c>
      <x:c r="L2770" s="74" t="str">
        <x:f>""</x:f>
      </x:c>
      <x:c r="M2770" s="73" t="n">
        <x:f>MAX(M2769,F2770)</x:f>
        <x:v>1.7025</x:v>
      </x:c>
      <x:c r="N2770" s="74" t="n">
        <x:f>1-F2770/M2770</x:f>
        <x:v>0.0008810572687223406</x:v>
      </x:c>
    </x:row>
    <x:row r="2771" ht="27" customHeight="1">
      <x:c r="A2771" s="66" t="str">
        <x:v>SEV580</x:v>
      </x:c>
      <x:c r="B2771" s="66" t="str">
        <x:v>祁腾蜂赢1号</x:v>
      </x:c>
      <x:c r="C2771" s="72" t="n">
        <x:v>45057</x:v>
      </x:c>
      <x:c r="D2771" s="73" t="n">
        <x:v>1.0098</x:v>
      </x:c>
      <x:c r="E2771" s="73" t="n">
        <x:v>1.5565</x:v>
      </x:c>
      <x:c r="F2771" s="73" t="n">
        <x:v>1.7015</x:v>
      </x:c>
      <x:c r="G2771" s="74" t="n">
        <x:v>0.0003</x:v>
      </x:c>
      <x:c r="H2771" s="66" t="str">
        <x:v>祁腾蜂赢1号净值20260911.xlsx</x:v>
      </x:c>
      <x:c r="I2771" s="73" t="str">
        <x:f>""</x:f>
      </x:c>
      <x:c r="J2771" s="74" t="str">
        <x:f>""</x:f>
      </x:c>
      <x:c r="K2771" s="73" t="str">
        <x:f>""</x:f>
      </x:c>
      <x:c r="L2771" s="74" t="str">
        <x:f>""</x:f>
      </x:c>
      <x:c r="M2771" s="73" t="n">
        <x:f>MAX(M2770,F2771)</x:f>
        <x:v>1.7025</x:v>
      </x:c>
      <x:c r="N2771" s="74" t="n">
        <x:f>1-F2771/M2771</x:f>
        <x:v>0.0005873715124815604</x:v>
      </x:c>
    </x:row>
    <x:row r="2772" ht="27" customHeight="1">
      <x:c r="A2772" s="66" t="str">
        <x:v>SEV580</x:v>
      </x:c>
      <x:c r="B2772" s="66" t="str">
        <x:v>祁腾蜂赢1号</x:v>
      </x:c>
      <x:c r="C2772" s="72" t="n">
        <x:v>45058</x:v>
      </x:c>
      <x:c r="D2772" s="73" t="n">
        <x:v>1.01</x:v>
      </x:c>
      <x:c r="E2772" s="73" t="n">
        <x:v>1.5567</x:v>
      </x:c>
      <x:c r="F2772" s="73" t="n">
        <x:v>1.7018</x:v>
      </x:c>
      <x:c r="G2772" s="74" t="n">
        <x:v>0.0002</x:v>
      </x:c>
      <x:c r="H2772" s="66" t="str">
        <x:v>祁腾蜂赢1号净值20260911.xlsx</x:v>
      </x:c>
      <x:c r="I2772" s="73" t="str">
        <x:f>""</x:f>
      </x:c>
      <x:c r="J2772" s="74" t="str">
        <x:f>""</x:f>
      </x:c>
      <x:c r="K2772" s="73" t="str">
        <x:f>""</x:f>
      </x:c>
      <x:c r="L2772" s="74" t="str">
        <x:f>""</x:f>
      </x:c>
      <x:c r="M2772" s="73" t="n">
        <x:f>MAX(M2771,F2772)</x:f>
        <x:v>1.7025</x:v>
      </x:c>
      <x:c r="N2772" s="74" t="n">
        <x:f>1-F2772/M2772</x:f>
        <x:v>0.00041116005873709227</x:v>
      </x:c>
    </x:row>
    <x:row r="2773" ht="27" customHeight="1">
      <x:c r="A2773" s="66" t="str">
        <x:v>SEV580</x:v>
      </x:c>
      <x:c r="B2773" s="66" t="str">
        <x:v>祁腾蜂赢1号</x:v>
      </x:c>
      <x:c r="C2773" s="72" t="n">
        <x:v>45061</x:v>
      </x:c>
      <x:c r="D2773" s="73" t="n">
        <x:v>1.0111</x:v>
      </x:c>
      <x:c r="E2773" s="73" t="n">
        <x:v>1.5578</x:v>
      </x:c>
      <x:c r="F2773" s="73" t="n">
        <x:v>1.7037</x:v>
      </x:c>
      <x:c r="G2773" s="74" t="n">
        <x:v>0.0011</x:v>
      </x:c>
      <x:c r="H2773" s="66" t="str">
        <x:v>祁腾蜂赢1号净值20260911.xlsx</x:v>
      </x:c>
      <x:c r="I2773" s="73" t="str">
        <x:f>""</x:f>
      </x:c>
      <x:c r="J2773" s="74" t="str">
        <x:f>""</x:f>
      </x:c>
      <x:c r="K2773" s="73" t="str">
        <x:f>""</x:f>
      </x:c>
      <x:c r="L2773" s="74" t="str">
        <x:f>""</x:f>
      </x:c>
      <x:c r="M2773" s="73" t="n">
        <x:f>MAX(M2772,F2773)</x:f>
        <x:v>1.7037</x:v>
      </x:c>
      <x:c r="N2773" s="74" t="n">
        <x:f>1-F2773/M2773</x:f>
        <x:v>0</x:v>
      </x:c>
    </x:row>
    <x:row r="2774" ht="27" customHeight="1">
      <x:c r="A2774" s="66" t="str">
        <x:v>SEV580</x:v>
      </x:c>
      <x:c r="B2774" s="66" t="str">
        <x:v>祁腾蜂赢1号</x:v>
      </x:c>
      <x:c r="C2774" s="72" t="n">
        <x:v>45062</x:v>
      </x:c>
      <x:c r="D2774" s="73" t="n">
        <x:v>1.0104</x:v>
      </x:c>
      <x:c r="E2774" s="73" t="n">
        <x:v>1.5571</x:v>
      </x:c>
      <x:c r="F2774" s="73" t="n">
        <x:v>1.7025</x:v>
      </x:c>
      <x:c r="G2774" s="74" t="n">
        <x:v>-0.0007000000000000001</x:v>
      </x:c>
      <x:c r="H2774" s="66" t="str">
        <x:v>祁腾蜂赢1号净值20260911.xlsx</x:v>
      </x:c>
      <x:c r="I2774" s="73" t="str">
        <x:f>""</x:f>
      </x:c>
      <x:c r="J2774" s="74" t="str">
        <x:f>""</x:f>
      </x:c>
      <x:c r="K2774" s="73" t="str">
        <x:f>""</x:f>
      </x:c>
      <x:c r="L2774" s="74" t="str">
        <x:f>""</x:f>
      </x:c>
      <x:c r="M2774" s="73" t="n">
        <x:f>MAX(M2773,F2774)</x:f>
        <x:v>1.7037</x:v>
      </x:c>
      <x:c r="N2774" s="74" t="n">
        <x:f>1-F2774/M2774</x:f>
        <x:v>0.0007043493572812531</x:v>
      </x:c>
    </x:row>
    <x:row r="2775" ht="27" customHeight="1">
      <x:c r="A2775" s="66" t="str">
        <x:v>SEV580</x:v>
      </x:c>
      <x:c r="B2775" s="66" t="str">
        <x:v>祁腾蜂赢1号</x:v>
      </x:c>
      <x:c r="C2775" s="72" t="n">
        <x:v>45063</x:v>
      </x:c>
      <x:c r="D2775" s="73" t="n">
        <x:v>1.0103</x:v>
      </x:c>
      <x:c r="E2775" s="73" t="n">
        <x:v>1.557</x:v>
      </x:c>
      <x:c r="F2775" s="73" t="n">
        <x:v>1.7023</x:v>
      </x:c>
      <x:c r="G2775" s="74" t="n">
        <x:v>-0.0001</x:v>
      </x:c>
      <x:c r="H2775" s="66" t="str">
        <x:v>祁腾蜂赢1号净值20260911.xlsx</x:v>
      </x:c>
      <x:c r="I2775" s="73" t="str">
        <x:f>""</x:f>
      </x:c>
      <x:c r="J2775" s="74" t="str">
        <x:f>""</x:f>
      </x:c>
      <x:c r="K2775" s="73" t="str">
        <x:f>""</x:f>
      </x:c>
      <x:c r="L2775" s="74" t="str">
        <x:f>""</x:f>
      </x:c>
      <x:c r="M2775" s="73" t="n">
        <x:f>MAX(M2774,F2775)</x:f>
        <x:v>1.7037</x:v>
      </x:c>
      <x:c r="N2775" s="74" t="n">
        <x:f>1-F2775/M2775</x:f>
        <x:v>0.0008217409168280732</x:v>
      </x:c>
    </x:row>
    <x:row r="2776" ht="27" customHeight="1">
      <x:c r="A2776" s="66" t="str">
        <x:v>SEV580</x:v>
      </x:c>
      <x:c r="B2776" s="66" t="str">
        <x:v>祁腾蜂赢1号</x:v>
      </x:c>
      <x:c r="C2776" s="72" t="n">
        <x:v>45064</x:v>
      </x:c>
      <x:c r="D2776" s="73" t="n">
        <x:v>1.01</x:v>
      </x:c>
      <x:c r="E2776" s="73" t="n">
        <x:v>1.5567</x:v>
      </x:c>
      <x:c r="F2776" s="73" t="n">
        <x:v>1.7018</x:v>
      </x:c>
      <x:c r="G2776" s="74" t="n">
        <x:v>-0.0003</x:v>
      </x:c>
      <x:c r="H2776" s="66" t="str">
        <x:v>祁腾蜂赢1号净值20260911.xlsx</x:v>
      </x:c>
      <x:c r="I2776" s="73" t="str">
        <x:f>""</x:f>
      </x:c>
      <x:c r="J2776" s="74" t="str">
        <x:f>""</x:f>
      </x:c>
      <x:c r="K2776" s="73" t="str">
        <x:f>""</x:f>
      </x:c>
      <x:c r="L2776" s="74" t="str">
        <x:f>""</x:f>
      </x:c>
      <x:c r="M2776" s="73" t="n">
        <x:f>MAX(M2775,F2776)</x:f>
        <x:v>1.7037</x:v>
      </x:c>
      <x:c r="N2776" s="74" t="n">
        <x:f>1-F2776/M2776</x:f>
        <x:v>0.0011152198156952897</x:v>
      </x:c>
    </x:row>
    <x:row r="2777" ht="27" customHeight="1">
      <x:c r="A2777" s="66" t="str">
        <x:v>SEV580</x:v>
      </x:c>
      <x:c r="B2777" s="66" t="str">
        <x:v>祁腾蜂赢1号</x:v>
      </x:c>
      <x:c r="C2777" s="72" t="n">
        <x:v>45065</x:v>
      </x:c>
      <x:c r="D2777" s="73" t="n">
        <x:v>1.0102</x:v>
      </x:c>
      <x:c r="E2777" s="73" t="n">
        <x:v>1.5569</x:v>
      </x:c>
      <x:c r="F2777" s="73" t="n">
        <x:v>1.7021</x:v>
      </x:c>
      <x:c r="G2777" s="74" t="n">
        <x:v>0.0002</x:v>
      </x:c>
      <x:c r="H2777" s="66" t="str">
        <x:v>祁腾蜂赢1号净值20260911.xlsx</x:v>
      </x:c>
      <x:c r="I2777" s="73" t="str">
        <x:f>""</x:f>
      </x:c>
      <x:c r="J2777" s="74" t="str">
        <x:f>""</x:f>
      </x:c>
      <x:c r="K2777" s="73" t="str">
        <x:f>""</x:f>
      </x:c>
      <x:c r="L2777" s="74" t="str">
        <x:f>""</x:f>
      </x:c>
      <x:c r="M2777" s="73" t="n">
        <x:f>MAX(M2776,F2777)</x:f>
        <x:v>1.7037</x:v>
      </x:c>
      <x:c r="N2777" s="74" t="n">
        <x:f>1-F2777/M2777</x:f>
        <x:v>0.0009391324763750042</x:v>
      </x:c>
    </x:row>
    <x:row r="2778" ht="27" customHeight="1">
      <x:c r="A2778" s="66" t="str">
        <x:v>SEV580</x:v>
      </x:c>
      <x:c r="B2778" s="66" t="str">
        <x:v>祁腾蜂赢1号</x:v>
      </x:c>
      <x:c r="C2778" s="72" t="n">
        <x:v>45068</x:v>
      </x:c>
      <x:c r="D2778" s="73" t="n">
        <x:v>1.0102</x:v>
      </x:c>
      <x:c r="E2778" s="73" t="n">
        <x:v>1.5569</x:v>
      </x:c>
      <x:c r="F2778" s="73" t="n">
        <x:v>1.7021</x:v>
      </x:c>
      <x:c r="G2778" s="74" t="n">
        <x:v>0</x:v>
      </x:c>
      <x:c r="H2778" s="66" t="str">
        <x:v>祁腾蜂赢1号净值20260911.xlsx</x:v>
      </x:c>
      <x:c r="I2778" s="73" t="str">
        <x:f>""</x:f>
      </x:c>
      <x:c r="J2778" s="74" t="str">
        <x:f>""</x:f>
      </x:c>
      <x:c r="K2778" s="73" t="str">
        <x:f>""</x:f>
      </x:c>
      <x:c r="L2778" s="74" t="str">
        <x:f>""</x:f>
      </x:c>
      <x:c r="M2778" s="73" t="n">
        <x:f>MAX(M2777,F2778)</x:f>
        <x:v>1.7037</x:v>
      </x:c>
      <x:c r="N2778" s="74" t="n">
        <x:f>1-F2778/M2778</x:f>
        <x:v>0.0009391324763750042</x:v>
      </x:c>
    </x:row>
    <x:row r="2779" ht="27" customHeight="1">
      <x:c r="A2779" s="66" t="str">
        <x:v>SEV580</x:v>
      </x:c>
      <x:c r="B2779" s="66" t="str">
        <x:v>祁腾蜂赢1号</x:v>
      </x:c>
      <x:c r="C2779" s="72" t="n">
        <x:v>45069</x:v>
      </x:c>
      <x:c r="D2779" s="73" t="n">
        <x:v>1.0103</x:v>
      </x:c>
      <x:c r="E2779" s="73" t="n">
        <x:v>1.557</x:v>
      </x:c>
      <x:c r="F2779" s="73" t="n">
        <x:v>1.7023</x:v>
      </x:c>
      <x:c r="G2779" s="74" t="n">
        <x:v>0.0001</x:v>
      </x:c>
      <x:c r="H2779" s="66" t="str">
        <x:v>祁腾蜂赢1号净值20260911.xlsx</x:v>
      </x:c>
      <x:c r="I2779" s="73" t="str">
        <x:f>""</x:f>
      </x:c>
      <x:c r="J2779" s="74" t="str">
        <x:f>""</x:f>
      </x:c>
      <x:c r="K2779" s="73" t="str">
        <x:f>""</x:f>
      </x:c>
      <x:c r="L2779" s="74" t="str">
        <x:f>""</x:f>
      </x:c>
      <x:c r="M2779" s="73" t="n">
        <x:f>MAX(M2778,F2779)</x:f>
        <x:v>1.7037</x:v>
      </x:c>
      <x:c r="N2779" s="74" t="n">
        <x:f>1-F2779/M2779</x:f>
        <x:v>0.0008217409168280732</x:v>
      </x:c>
    </x:row>
    <x:row r="2780" ht="27" customHeight="1">
      <x:c r="A2780" s="66" t="str">
        <x:v>SEV580</x:v>
      </x:c>
      <x:c r="B2780" s="66" t="str">
        <x:v>祁腾蜂赢1号</x:v>
      </x:c>
      <x:c r="C2780" s="72" t="n">
        <x:v>45070</x:v>
      </x:c>
      <x:c r="D2780" s="73" t="n">
        <x:v>1.0119</x:v>
      </x:c>
      <x:c r="E2780" s="73" t="n">
        <x:v>1.5586</x:v>
      </x:c>
      <x:c r="F2780" s="73" t="n">
        <x:v>1.705</x:v>
      </x:c>
      <x:c r="G2780" s="74" t="n">
        <x:v>0.0016</x:v>
      </x:c>
      <x:c r="H2780" s="66" t="str">
        <x:v>祁腾蜂赢1号净值20260911.xlsx</x:v>
      </x:c>
      <x:c r="I2780" s="73" t="str">
        <x:f>""</x:f>
      </x:c>
      <x:c r="J2780" s="74" t="str">
        <x:f>""</x:f>
      </x:c>
      <x:c r="K2780" s="73" t="str">
        <x:f>""</x:f>
      </x:c>
      <x:c r="L2780" s="74" t="str">
        <x:f>""</x:f>
      </x:c>
      <x:c r="M2780" s="73" t="n">
        <x:f>MAX(M2779,F2780)</x:f>
        <x:v>1.705</x:v>
      </x:c>
      <x:c r="N2780" s="74" t="n">
        <x:f>1-F2780/M2780</x:f>
        <x:v>0</x:v>
      </x:c>
    </x:row>
    <x:row r="2781" ht="27" customHeight="1">
      <x:c r="A2781" s="66" t="str">
        <x:v>SEV580</x:v>
      </x:c>
      <x:c r="B2781" s="66" t="str">
        <x:v>祁腾蜂赢1号</x:v>
      </x:c>
      <x:c r="C2781" s="72" t="n">
        <x:v>45071</x:v>
      </x:c>
      <x:c r="D2781" s="73" t="n">
        <x:v>1.0123</x:v>
      </x:c>
      <x:c r="E2781" s="73" t="n">
        <x:v>1.559</x:v>
      </x:c>
      <x:c r="F2781" s="73" t="n">
        <x:v>1.7057</x:v>
      </x:c>
      <x:c r="G2781" s="74" t="n">
        <x:v>0.0004</x:v>
      </x:c>
      <x:c r="H2781" s="66" t="str">
        <x:v>祁腾蜂赢1号净值20260911.xlsx</x:v>
      </x:c>
      <x:c r="I2781" s="73" t="str">
        <x:f>""</x:f>
      </x:c>
      <x:c r="J2781" s="74" t="str">
        <x:f>""</x:f>
      </x:c>
      <x:c r="K2781" s="73" t="str">
        <x:f>""</x:f>
      </x:c>
      <x:c r="L2781" s="74" t="str">
        <x:f>""</x:f>
      </x:c>
      <x:c r="M2781" s="73" t="n">
        <x:f>MAX(M2780,F2781)</x:f>
        <x:v>1.7057</x:v>
      </x:c>
      <x:c r="N2781" s="74" t="n">
        <x:f>1-F2781/M2781</x:f>
        <x:v>0</x:v>
      </x:c>
    </x:row>
    <x:row r="2782" ht="27" customHeight="1">
      <x:c r="A2782" s="66" t="str">
        <x:v>SEV580</x:v>
      </x:c>
      <x:c r="B2782" s="66" t="str">
        <x:v>祁腾蜂赢1号</x:v>
      </x:c>
      <x:c r="C2782" s="72" t="n">
        <x:v>45072</x:v>
      </x:c>
      <x:c r="D2782" s="73" t="n">
        <x:v>1.0124</x:v>
      </x:c>
      <x:c r="E2782" s="73" t="n">
        <x:v>1.5591</x:v>
      </x:c>
      <x:c r="F2782" s="73" t="n">
        <x:v>1.7059</x:v>
      </x:c>
      <x:c r="G2782" s="74" t="n">
        <x:v>0.0001</x:v>
      </x:c>
      <x:c r="H2782" s="66" t="str">
        <x:v>祁腾蜂赢1号净值20260911.xlsx</x:v>
      </x:c>
      <x:c r="I2782" s="73" t="str">
        <x:f>""</x:f>
      </x:c>
      <x:c r="J2782" s="74" t="str">
        <x:f>""</x:f>
      </x:c>
      <x:c r="K2782" s="73" t="str">
        <x:f>""</x:f>
      </x:c>
      <x:c r="L2782" s="74" t="str">
        <x:f>""</x:f>
      </x:c>
      <x:c r="M2782" s="73" t="n">
        <x:f>MAX(M2781,F2782)</x:f>
        <x:v>1.7059</x:v>
      </x:c>
      <x:c r="N2782" s="74" t="n">
        <x:f>1-F2782/M2782</x:f>
        <x:v>0</x:v>
      </x:c>
    </x:row>
    <x:row r="2783" ht="27" customHeight="1">
      <x:c r="A2783" s="66" t="str">
        <x:v>SEV580</x:v>
      </x:c>
      <x:c r="B2783" s="66" t="str">
        <x:v>祁腾蜂赢1号</x:v>
      </x:c>
      <x:c r="C2783" s="72" t="n">
        <x:v>45075</x:v>
      </x:c>
      <x:c r="D2783" s="73" t="n">
        <x:v>1.0124</x:v>
      </x:c>
      <x:c r="E2783" s="73" t="n">
        <x:v>1.5591</x:v>
      </x:c>
      <x:c r="F2783" s="73" t="n">
        <x:v>1.7059</x:v>
      </x:c>
      <x:c r="G2783" s="74" t="n">
        <x:v>0</x:v>
      </x:c>
      <x:c r="H2783" s="66" t="str">
        <x:v>祁腾蜂赢1号净值20260911.xlsx</x:v>
      </x:c>
      <x:c r="I2783" s="73" t="str">
        <x:f>""</x:f>
      </x:c>
      <x:c r="J2783" s="74" t="str">
        <x:f>""</x:f>
      </x:c>
      <x:c r="K2783" s="73" t="str">
        <x:f>""</x:f>
      </x:c>
      <x:c r="L2783" s="74" t="str">
        <x:f>""</x:f>
      </x:c>
      <x:c r="M2783" s="73" t="n">
        <x:f>MAX(M2782,F2783)</x:f>
        <x:v>1.7059</x:v>
      </x:c>
      <x:c r="N2783" s="74" t="n">
        <x:f>1-F2783/M2783</x:f>
        <x:v>0</x:v>
      </x:c>
    </x:row>
    <x:row r="2784" ht="27" customHeight="1">
      <x:c r="A2784" s="66" t="str">
        <x:v>SEV580</x:v>
      </x:c>
      <x:c r="B2784" s="66" t="str">
        <x:v>祁腾蜂赢1号</x:v>
      </x:c>
      <x:c r="C2784" s="72" t="n">
        <x:v>45076</x:v>
      </x:c>
      <x:c r="D2784" s="73" t="n">
        <x:v>1.0127</x:v>
      </x:c>
      <x:c r="E2784" s="73" t="n">
        <x:v>1.5594</x:v>
      </x:c>
      <x:c r="F2784" s="73" t="n">
        <x:v>1.7064</x:v>
      </x:c>
      <x:c r="G2784" s="74" t="n">
        <x:v>0.0003</x:v>
      </x:c>
      <x:c r="H2784" s="66" t="str">
        <x:v>祁腾蜂赢1号净值20260911.xlsx</x:v>
      </x:c>
      <x:c r="I2784" s="73" t="str">
        <x:f>""</x:f>
      </x:c>
      <x:c r="J2784" s="74" t="str">
        <x:f>""</x:f>
      </x:c>
      <x:c r="K2784" s="73" t="str">
        <x:f>""</x:f>
      </x:c>
      <x:c r="L2784" s="74" t="str">
        <x:f>""</x:f>
      </x:c>
      <x:c r="M2784" s="73" t="n">
        <x:f>MAX(M2783,F2784)</x:f>
        <x:v>1.7064</x:v>
      </x:c>
      <x:c r="N2784" s="74" t="n">
        <x:f>1-F2784/M2784</x:f>
        <x:v>0</x:v>
      </x:c>
    </x:row>
    <x:row r="2785" ht="27" customHeight="1">
      <x:c r="A2785" s="66" t="str">
        <x:v>SEV580</x:v>
      </x:c>
      <x:c r="B2785" s="66" t="str">
        <x:v>祁腾蜂赢1号</x:v>
      </x:c>
      <x:c r="C2785" s="72" t="n">
        <x:v>45077</x:v>
      </x:c>
      <x:c r="D2785" s="73" t="n">
        <x:v>1.0124</x:v>
      </x:c>
      <x:c r="E2785" s="73" t="n">
        <x:v>1.5591</x:v>
      </x:c>
      <x:c r="F2785" s="73" t="n">
        <x:v>1.7059</x:v>
      </x:c>
      <x:c r="G2785" s="74" t="n">
        <x:v>-0.0003</x:v>
      </x:c>
      <x:c r="H2785" s="66" t="str">
        <x:v>祁腾蜂赢1号净值20260911.xlsx</x:v>
      </x:c>
      <x:c r="I2785" s="73" t="str">
        <x:f>""</x:f>
      </x:c>
      <x:c r="J2785" s="74" t="str">
        <x:f>""</x:f>
      </x:c>
      <x:c r="K2785" s="73" t="str">
        <x:f>""</x:f>
      </x:c>
      <x:c r="L2785" s="74" t="str">
        <x:f>""</x:f>
      </x:c>
      <x:c r="M2785" s="73" t="n">
        <x:f>MAX(M2784,F2785)</x:f>
        <x:v>1.7064</x:v>
      </x:c>
      <x:c r="N2785" s="74" t="n">
        <x:f>1-F2785/M2785</x:f>
        <x:v>0.00029301453352081896</x:v>
      </x:c>
    </x:row>
    <x:row r="2786" ht="27" customHeight="1">
      <x:c r="A2786" s="66" t="str">
        <x:v>SEV580</x:v>
      </x:c>
      <x:c r="B2786" s="66" t="str">
        <x:v>祁腾蜂赢1号</x:v>
      </x:c>
      <x:c r="C2786" s="72" t="n">
        <x:v>45078</x:v>
      </x:c>
      <x:c r="D2786" s="73" t="n">
        <x:v>1.0126</x:v>
      </x:c>
      <x:c r="E2786" s="73" t="n">
        <x:v>1.5593</x:v>
      </x:c>
      <x:c r="F2786" s="73" t="n">
        <x:v>1.7062</x:v>
      </x:c>
      <x:c r="G2786" s="74" t="n">
        <x:v>0.0002</x:v>
      </x:c>
      <x:c r="H2786" s="66" t="str">
        <x:v>祁腾蜂赢1号净值20260911.xlsx</x:v>
      </x:c>
      <x:c r="I2786" s="73" t="str">
        <x:f>""</x:f>
      </x:c>
      <x:c r="J2786" s="74" t="str">
        <x:f>""</x:f>
      </x:c>
      <x:c r="K2786" s="73" t="str">
        <x:f>""</x:f>
      </x:c>
      <x:c r="L2786" s="74" t="str">
        <x:f>""</x:f>
      </x:c>
      <x:c r="M2786" s="73" t="n">
        <x:f>MAX(M2785,F2786)</x:f>
        <x:v>1.7064</x:v>
      </x:c>
      <x:c r="N2786" s="74" t="n">
        <x:f>1-F2786/M2786</x:f>
        <x:v>0.00011720581340834979</x:v>
      </x:c>
    </x:row>
    <x:row r="2787" ht="27" customHeight="1">
      <x:c r="A2787" s="66" t="str">
        <x:v>SEV580</x:v>
      </x:c>
      <x:c r="B2787" s="66" t="str">
        <x:v>祁腾蜂赢1号</x:v>
      </x:c>
      <x:c r="C2787" s="72" t="n">
        <x:v>45079</x:v>
      </x:c>
      <x:c r="D2787" s="73" t="n">
        <x:v>1.0121</x:v>
      </x:c>
      <x:c r="E2787" s="73" t="n">
        <x:v>1.5588</x:v>
      </x:c>
      <x:c r="F2787" s="73" t="n">
        <x:v>1.7054</x:v>
      </x:c>
      <x:c r="G2787" s="74" t="n">
        <x:v>-0.0005</x:v>
      </x:c>
      <x:c r="H2787" s="66" t="str">
        <x:v>祁腾蜂赢1号净值20260911.xlsx</x:v>
      </x:c>
      <x:c r="I2787" s="73" t="str">
        <x:f>""</x:f>
      </x:c>
      <x:c r="J2787" s="74" t="str">
        <x:f>""</x:f>
      </x:c>
      <x:c r="K2787" s="73" t="str">
        <x:f>""</x:f>
      </x:c>
      <x:c r="L2787" s="74" t="str">
        <x:f>""</x:f>
      </x:c>
      <x:c r="M2787" s="73" t="n">
        <x:f>MAX(M2786,F2787)</x:f>
        <x:v>1.7064</x:v>
      </x:c>
      <x:c r="N2787" s="74" t="n">
        <x:f>1-F2787/M2787</x:f>
        <x:v>0.0005860290670416379</x:v>
      </x:c>
    </x:row>
    <x:row r="2788" ht="27" customHeight="1">
      <x:c r="A2788" s="66" t="str">
        <x:v>SEV580</x:v>
      </x:c>
      <x:c r="B2788" s="66" t="str">
        <x:v>祁腾蜂赢1号</x:v>
      </x:c>
      <x:c r="C2788" s="72" t="n">
        <x:v>45082</x:v>
      </x:c>
      <x:c r="D2788" s="73" t="n">
        <x:v>1.0121</x:v>
      </x:c>
      <x:c r="E2788" s="73" t="n">
        <x:v>1.5588</x:v>
      </x:c>
      <x:c r="F2788" s="73" t="n">
        <x:v>1.7054</x:v>
      </x:c>
      <x:c r="G2788" s="74" t="n">
        <x:v>0</x:v>
      </x:c>
      <x:c r="H2788" s="66" t="str">
        <x:v>祁腾蜂赢1号净值20260911.xlsx</x:v>
      </x:c>
      <x:c r="I2788" s="73" t="str">
        <x:f>""</x:f>
      </x:c>
      <x:c r="J2788" s="74" t="str">
        <x:f>""</x:f>
      </x:c>
      <x:c r="K2788" s="73" t="str">
        <x:f>""</x:f>
      </x:c>
      <x:c r="L2788" s="74" t="str">
        <x:f>""</x:f>
      </x:c>
      <x:c r="M2788" s="73" t="n">
        <x:f>MAX(M2787,F2788)</x:f>
        <x:v>1.7064</x:v>
      </x:c>
      <x:c r="N2788" s="74" t="n">
        <x:f>1-F2788/M2788</x:f>
        <x:v>0.0005860290670416379</x:v>
      </x:c>
    </x:row>
    <x:row r="2789" ht="27" customHeight="1">
      <x:c r="A2789" s="66" t="str">
        <x:v>SEV580</x:v>
      </x:c>
      <x:c r="B2789" s="66" t="str">
        <x:v>祁腾蜂赢1号</x:v>
      </x:c>
      <x:c r="C2789" s="72" t="n">
        <x:v>45083</x:v>
      </x:c>
      <x:c r="D2789" s="73" t="n">
        <x:v>1.0122</x:v>
      </x:c>
      <x:c r="E2789" s="73" t="n">
        <x:v>1.5589</x:v>
      </x:c>
      <x:c r="F2789" s="73" t="n">
        <x:v>1.7055</x:v>
      </x:c>
      <x:c r="G2789" s="74" t="n">
        <x:v>0.0001</x:v>
      </x:c>
      <x:c r="H2789" s="66" t="str">
        <x:v>祁腾蜂赢1号净值20260911.xlsx</x:v>
      </x:c>
      <x:c r="I2789" s="73" t="str">
        <x:f>""</x:f>
      </x:c>
      <x:c r="J2789" s="74" t="str">
        <x:f>""</x:f>
      </x:c>
      <x:c r="K2789" s="73" t="str">
        <x:f>""</x:f>
      </x:c>
      <x:c r="L2789" s="74" t="str">
        <x:f>""</x:f>
      </x:c>
      <x:c r="M2789" s="73" t="n">
        <x:f>MAX(M2788,F2789)</x:f>
        <x:v>1.7064</x:v>
      </x:c>
      <x:c r="N2789" s="74" t="n">
        <x:f>1-F2789/M2789</x:f>
        <x:v>0.0005274261603375185</x:v>
      </x:c>
    </x:row>
    <x:row r="2790" ht="27" customHeight="1">
      <x:c r="A2790" s="66" t="str">
        <x:v>SEV580</x:v>
      </x:c>
      <x:c r="B2790" s="66" t="str">
        <x:v>祁腾蜂赢1号</x:v>
      </x:c>
      <x:c r="C2790" s="72" t="n">
        <x:v>45084</x:v>
      </x:c>
      <x:c r="D2790" s="73" t="n">
        <x:v>1.0124</x:v>
      </x:c>
      <x:c r="E2790" s="73" t="n">
        <x:v>1.5591</x:v>
      </x:c>
      <x:c r="F2790" s="73" t="n">
        <x:v>1.7059</x:v>
      </x:c>
      <x:c r="G2790" s="74" t="n">
        <x:v>0.0002</x:v>
      </x:c>
      <x:c r="H2790" s="66" t="str">
        <x:v>祁腾蜂赢1号净值20260911.xlsx</x:v>
      </x:c>
      <x:c r="I2790" s="73" t="str">
        <x:f>""</x:f>
      </x:c>
      <x:c r="J2790" s="74" t="str">
        <x:f>""</x:f>
      </x:c>
      <x:c r="K2790" s="73" t="str">
        <x:f>""</x:f>
      </x:c>
      <x:c r="L2790" s="74" t="str">
        <x:f>""</x:f>
      </x:c>
      <x:c r="M2790" s="73" t="n">
        <x:f>MAX(M2789,F2790)</x:f>
        <x:v>1.7064</x:v>
      </x:c>
      <x:c r="N2790" s="74" t="n">
        <x:f>1-F2790/M2790</x:f>
        <x:v>0.00029301453352081896</x:v>
      </x:c>
    </x:row>
    <x:row r="2791" ht="27" customHeight="1">
      <x:c r="A2791" s="66" t="str">
        <x:v>SEV580</x:v>
      </x:c>
      <x:c r="B2791" s="66" t="str">
        <x:v>祁腾蜂赢1号</x:v>
      </x:c>
      <x:c r="C2791" s="72" t="n">
        <x:v>45085</x:v>
      </x:c>
      <x:c r="D2791" s="73" t="n">
        <x:v>1.0123</x:v>
      </x:c>
      <x:c r="E2791" s="73" t="n">
        <x:v>1.559</x:v>
      </x:c>
      <x:c r="F2791" s="73" t="n">
        <x:v>1.7057</x:v>
      </x:c>
      <x:c r="G2791" s="74" t="n">
        <x:v>-0.0001</x:v>
      </x:c>
      <x:c r="H2791" s="66" t="str">
        <x:v>祁腾蜂赢1号净值20260911.xlsx</x:v>
      </x:c>
      <x:c r="I2791" s="73" t="str">
        <x:f>""</x:f>
      </x:c>
      <x:c r="J2791" s="74" t="str">
        <x:f>""</x:f>
      </x:c>
      <x:c r="K2791" s="73" t="str">
        <x:f>""</x:f>
      </x:c>
      <x:c r="L2791" s="74" t="str">
        <x:f>""</x:f>
      </x:c>
      <x:c r="M2791" s="73" t="n">
        <x:f>MAX(M2790,F2791)</x:f>
        <x:v>1.7064</x:v>
      </x:c>
      <x:c r="N2791" s="74" t="n">
        <x:f>1-F2791/M2791</x:f>
        <x:v>0.00041022034692916876</x:v>
      </x:c>
    </x:row>
    <x:row r="2792" ht="27" customHeight="1">
      <x:c r="A2792" s="66" t="str">
        <x:v>SEV580</x:v>
      </x:c>
      <x:c r="B2792" s="66" t="str">
        <x:v>祁腾蜂赢1号</x:v>
      </x:c>
      <x:c r="C2792" s="72" t="n">
        <x:v>45086</x:v>
      </x:c>
      <x:c r="D2792" s="73" t="n">
        <x:v>1.0128</x:v>
      </x:c>
      <x:c r="E2792" s="73" t="n">
        <x:v>1.5595</x:v>
      </x:c>
      <x:c r="F2792" s="73" t="n">
        <x:v>1.7065</x:v>
      </x:c>
      <x:c r="G2792" s="74" t="n">
        <x:v>0.0005</x:v>
      </x:c>
      <x:c r="H2792" s="66" t="str">
        <x:v>祁腾蜂赢1号净值20260911.xlsx</x:v>
      </x:c>
      <x:c r="I2792" s="73" t="str">
        <x:f>""</x:f>
      </x:c>
      <x:c r="J2792" s="74" t="str">
        <x:f>""</x:f>
      </x:c>
      <x:c r="K2792" s="73" t="str">
        <x:f>""</x:f>
      </x:c>
      <x:c r="L2792" s="74" t="str">
        <x:f>""</x:f>
      </x:c>
      <x:c r="M2792" s="73" t="n">
        <x:f>MAX(M2791,F2792)</x:f>
        <x:v>1.7065</x:v>
      </x:c>
      <x:c r="N2792" s="74" t="n">
        <x:f>1-F2792/M2792</x:f>
        <x:v>0</x:v>
      </x:c>
    </x:row>
    <x:row r="2793" ht="27" customHeight="1">
      <x:c r="A2793" s="66" t="str">
        <x:v>SEV580</x:v>
      </x:c>
      <x:c r="B2793" s="66" t="str">
        <x:v>祁腾蜂赢1号</x:v>
      </x:c>
      <x:c r="C2793" s="72" t="n">
        <x:v>45089</x:v>
      </x:c>
      <x:c r="D2793" s="73" t="n">
        <x:v>1.0117</x:v>
      </x:c>
      <x:c r="E2793" s="73" t="n">
        <x:v>1.5584</x:v>
      </x:c>
      <x:c r="F2793" s="73" t="n">
        <x:v>1.7047</x:v>
      </x:c>
      <x:c r="G2793" s="74" t="n">
        <x:v>-0.0011</x:v>
      </x:c>
      <x:c r="H2793" s="66" t="str">
        <x:v>祁腾蜂赢1号净值20260911.xlsx</x:v>
      </x:c>
      <x:c r="I2793" s="73" t="str">
        <x:f>""</x:f>
      </x:c>
      <x:c r="J2793" s="74" t="str">
        <x:f>""</x:f>
      </x:c>
      <x:c r="K2793" s="73" t="str">
        <x:f>""</x:f>
      </x:c>
      <x:c r="L2793" s="74" t="str">
        <x:f>""</x:f>
      </x:c>
      <x:c r="M2793" s="73" t="n">
        <x:f>MAX(M2792,F2793)</x:f>
        <x:v>1.7065</x:v>
      </x:c>
      <x:c r="N2793" s="74" t="n">
        <x:f>1-F2793/M2793</x:f>
        <x:v>0.0010547905068852836</x:v>
      </x:c>
    </x:row>
    <x:row r="2794" ht="27" customHeight="1">
      <x:c r="A2794" s="66" t="str">
        <x:v>SEV580</x:v>
      </x:c>
      <x:c r="B2794" s="66" t="str">
        <x:v>祁腾蜂赢1号</x:v>
      </x:c>
      <x:c r="C2794" s="72" t="n">
        <x:v>45090</x:v>
      </x:c>
      <x:c r="D2794" s="73" t="n">
        <x:v>1.0116</x:v>
      </x:c>
      <x:c r="E2794" s="73" t="n">
        <x:v>1.5583</x:v>
      </x:c>
      <x:c r="F2794" s="73" t="n">
        <x:v>1.7045</x:v>
      </x:c>
      <x:c r="G2794" s="74" t="n">
        <x:v>-0.0001</x:v>
      </x:c>
      <x:c r="H2794" s="66" t="str">
        <x:v>祁腾蜂赢1号净值20260911.xlsx</x:v>
      </x:c>
      <x:c r="I2794" s="73" t="str">
        <x:f>""</x:f>
      </x:c>
      <x:c r="J2794" s="74" t="str">
        <x:f>""</x:f>
      </x:c>
      <x:c r="K2794" s="73" t="str">
        <x:f>""</x:f>
      </x:c>
      <x:c r="L2794" s="74" t="str">
        <x:f>""</x:f>
      </x:c>
      <x:c r="M2794" s="73" t="n">
        <x:f>MAX(M2793,F2794)</x:f>
        <x:v>1.7065</x:v>
      </x:c>
      <x:c r="N2794" s="74" t="n">
        <x:f>1-F2794/M2794</x:f>
        <x:v>0.001171989452094957</x:v>
      </x:c>
    </x:row>
    <x:row r="2795" ht="27" customHeight="1">
      <x:c r="A2795" s="66" t="str">
        <x:v>SEV580</x:v>
      </x:c>
      <x:c r="B2795" s="66" t="str">
        <x:v>祁腾蜂赢1号</x:v>
      </x:c>
      <x:c r="C2795" s="72" t="n">
        <x:v>45091</x:v>
      </x:c>
      <x:c r="D2795" s="73" t="n">
        <x:v>1.0122</x:v>
      </x:c>
      <x:c r="E2795" s="73" t="n">
        <x:v>1.5589</x:v>
      </x:c>
      <x:c r="F2795" s="73" t="n">
        <x:v>1.7055</x:v>
      </x:c>
      <x:c r="G2795" s="74" t="n">
        <x:v>0.0006</x:v>
      </x:c>
      <x:c r="H2795" s="66" t="str">
        <x:v>祁腾蜂赢1号净值20260911.xlsx</x:v>
      </x:c>
      <x:c r="I2795" s="73" t="str">
        <x:f>""</x:f>
      </x:c>
      <x:c r="J2795" s="74" t="str">
        <x:f>""</x:f>
      </x:c>
      <x:c r="K2795" s="73" t="str">
        <x:f>""</x:f>
      </x:c>
      <x:c r="L2795" s="74" t="str">
        <x:f>""</x:f>
      </x:c>
      <x:c r="M2795" s="73" t="n">
        <x:f>MAX(M2794,F2795)</x:f>
        <x:v>1.7065</x:v>
      </x:c>
      <x:c r="N2795" s="74" t="n">
        <x:f>1-F2795/M2795</x:f>
        <x:v>0.0005859947260473675</x:v>
      </x:c>
    </x:row>
    <x:row r="2796" ht="27" customHeight="1">
      <x:c r="A2796" s="66" t="str">
        <x:v>SEV580</x:v>
      </x:c>
      <x:c r="B2796" s="66" t="str">
        <x:v>祁腾蜂赢1号</x:v>
      </x:c>
      <x:c r="C2796" s="72" t="n">
        <x:v>45092</x:v>
      </x:c>
      <x:c r="D2796" s="73" t="n">
        <x:v>1.013</x:v>
      </x:c>
      <x:c r="E2796" s="73" t="n">
        <x:v>1.5597</x:v>
      </x:c>
      <x:c r="F2796" s="73" t="n">
        <x:v>1.7069</x:v>
      </x:c>
      <x:c r="G2796" s="74" t="n">
        <x:v>0.0008</x:v>
      </x:c>
      <x:c r="H2796" s="66" t="str">
        <x:v>祁腾蜂赢1号净值20260911.xlsx</x:v>
      </x:c>
      <x:c r="I2796" s="73" t="str">
        <x:f>""</x:f>
      </x:c>
      <x:c r="J2796" s="74" t="str">
        <x:f>""</x:f>
      </x:c>
      <x:c r="K2796" s="73" t="str">
        <x:f>""</x:f>
      </x:c>
      <x:c r="L2796" s="74" t="str">
        <x:f>""</x:f>
      </x:c>
      <x:c r="M2796" s="73" t="n">
        <x:f>MAX(M2795,F2796)</x:f>
        <x:v>1.7069</x:v>
      </x:c>
      <x:c r="N2796" s="74" t="n">
        <x:f>1-F2796/M2796</x:f>
        <x:v>0</x:v>
      </x:c>
    </x:row>
    <x:row r="2797" ht="27" customHeight="1">
      <x:c r="A2797" s="66" t="str">
        <x:v>SEV580</x:v>
      </x:c>
      <x:c r="B2797" s="66" t="str">
        <x:v>祁腾蜂赢1号</x:v>
      </x:c>
      <x:c r="C2797" s="72" t="n">
        <x:v>45093</x:v>
      </x:c>
      <x:c r="D2797" s="73" t="n">
        <x:v>1.0134</x:v>
      </x:c>
      <x:c r="E2797" s="73" t="n">
        <x:v>1.5601</x:v>
      </x:c>
      <x:c r="F2797" s="73" t="n">
        <x:v>1.7075</x:v>
      </x:c>
      <x:c r="G2797" s="74" t="n">
        <x:v>0.0004</x:v>
      </x:c>
      <x:c r="H2797" s="66" t="str">
        <x:v>祁腾蜂赢1号净值20260911.xlsx</x:v>
      </x:c>
      <x:c r="I2797" s="73" t="str">
        <x:f>""</x:f>
      </x:c>
      <x:c r="J2797" s="74" t="str">
        <x:f>""</x:f>
      </x:c>
      <x:c r="K2797" s="73" t="str">
        <x:f>""</x:f>
      </x:c>
      <x:c r="L2797" s="74" t="str">
        <x:f>""</x:f>
      </x:c>
      <x:c r="M2797" s="73" t="n">
        <x:f>MAX(M2796,F2797)</x:f>
        <x:v>1.7075</x:v>
      </x:c>
      <x:c r="N2797" s="74" t="n">
        <x:f>1-F2797/M2797</x:f>
        <x:v>0</x:v>
      </x:c>
    </x:row>
    <x:row r="2798" ht="27" customHeight="1">
      <x:c r="A2798" s="66" t="str">
        <x:v>SEV580</x:v>
      </x:c>
      <x:c r="B2798" s="66" t="str">
        <x:v>祁腾蜂赢1号</x:v>
      </x:c>
      <x:c r="C2798" s="72" t="n">
        <x:v>45096</x:v>
      </x:c>
      <x:c r="D2798" s="73" t="n">
        <x:v>1.0137</x:v>
      </x:c>
      <x:c r="E2798" s="73" t="n">
        <x:v>1.5604</x:v>
      </x:c>
      <x:c r="F2798" s="73" t="n">
        <x:v>1.708</x:v>
      </x:c>
      <x:c r="G2798" s="74" t="n">
        <x:v>0.0003</x:v>
      </x:c>
      <x:c r="H2798" s="66" t="str">
        <x:v>祁腾蜂赢1号净值20260911.xlsx</x:v>
      </x:c>
      <x:c r="I2798" s="73" t="str">
        <x:f>""</x:f>
      </x:c>
      <x:c r="J2798" s="74" t="str">
        <x:f>""</x:f>
      </x:c>
      <x:c r="K2798" s="73" t="str">
        <x:f>""</x:f>
      </x:c>
      <x:c r="L2798" s="74" t="str">
        <x:f>""</x:f>
      </x:c>
      <x:c r="M2798" s="73" t="n">
        <x:f>MAX(M2797,F2798)</x:f>
        <x:v>1.708</x:v>
      </x:c>
      <x:c r="N2798" s="74" t="n">
        <x:f>1-F2798/M2798</x:f>
        <x:v>0</x:v>
      </x:c>
    </x:row>
    <x:row r="2799" ht="27" customHeight="1">
      <x:c r="A2799" s="66" t="str">
        <x:v>SEV580</x:v>
      </x:c>
      <x:c r="B2799" s="66" t="str">
        <x:v>祁腾蜂赢1号</x:v>
      </x:c>
      <x:c r="C2799" s="72" t="n">
        <x:v>45097</x:v>
      </x:c>
      <x:c r="D2799" s="73" t="n">
        <x:v>1.0138</x:v>
      </x:c>
      <x:c r="E2799" s="73" t="n">
        <x:v>1.5605</x:v>
      </x:c>
      <x:c r="F2799" s="73" t="n">
        <x:v>1.7082</x:v>
      </x:c>
      <x:c r="G2799" s="74" t="n">
        <x:v>0.0001</x:v>
      </x:c>
      <x:c r="H2799" s="66" t="str">
        <x:v>祁腾蜂赢1号净值20260911.xlsx</x:v>
      </x:c>
      <x:c r="I2799" s="73" t="str">
        <x:f>""</x:f>
      </x:c>
      <x:c r="J2799" s="74" t="str">
        <x:f>""</x:f>
      </x:c>
      <x:c r="K2799" s="73" t="str">
        <x:f>""</x:f>
      </x:c>
      <x:c r="L2799" s="74" t="str">
        <x:f>""</x:f>
      </x:c>
      <x:c r="M2799" s="73" t="n">
        <x:f>MAX(M2798,F2799)</x:f>
        <x:v>1.7082</x:v>
      </x:c>
      <x:c r="N2799" s="74" t="n">
        <x:f>1-F2799/M2799</x:f>
        <x:v>0</x:v>
      </x:c>
    </x:row>
    <x:row r="2800" ht="27" customHeight="1">
      <x:c r="A2800" s="66" t="str">
        <x:v>SEV580</x:v>
      </x:c>
      <x:c r="B2800" s="66" t="str">
        <x:v>祁腾蜂赢1号</x:v>
      </x:c>
      <x:c r="C2800" s="72" t="n">
        <x:v>45098</x:v>
      </x:c>
      <x:c r="D2800" s="73" t="n">
        <x:v>1.016</x:v>
      </x:c>
      <x:c r="E2800" s="73" t="n">
        <x:v>1.5627</x:v>
      </x:c>
      <x:c r="F2800" s="73" t="n">
        <x:v>1.7119</x:v>
      </x:c>
      <x:c r="G2800" s="74" t="n">
        <x:v>0.0022</x:v>
      </x:c>
      <x:c r="H2800" s="66" t="str">
        <x:v>祁腾蜂赢1号净值20260911.xlsx</x:v>
      </x:c>
      <x:c r="I2800" s="73" t="str">
        <x:f>""</x:f>
      </x:c>
      <x:c r="J2800" s="74" t="str">
        <x:f>""</x:f>
      </x:c>
      <x:c r="K2800" s="73" t="str">
        <x:f>""</x:f>
      </x:c>
      <x:c r="L2800" s="74" t="str">
        <x:f>""</x:f>
      </x:c>
      <x:c r="M2800" s="73" t="n">
        <x:f>MAX(M2799,F2800)</x:f>
        <x:v>1.7119</x:v>
      </x:c>
      <x:c r="N2800" s="74" t="n">
        <x:f>1-F2800/M2800</x:f>
        <x:v>0</x:v>
      </x:c>
    </x:row>
    <x:row r="2801" ht="27" customHeight="1">
      <x:c r="A2801" s="66" t="str">
        <x:v>SEV580</x:v>
      </x:c>
      <x:c r="B2801" s="66" t="str">
        <x:v>祁腾蜂赢1号</x:v>
      </x:c>
      <x:c r="C2801" s="72" t="n">
        <x:v>45103</x:v>
      </x:c>
      <x:c r="D2801" s="73" t="n">
        <x:v>1.0159</x:v>
      </x:c>
      <x:c r="E2801" s="73" t="n">
        <x:v>1.5626</x:v>
      </x:c>
      <x:c r="F2801" s="73" t="n">
        <x:v>1.7118</x:v>
      </x:c>
      <x:c r="G2801" s="74" t="n">
        <x:v>-0.0001</x:v>
      </x:c>
      <x:c r="H2801" s="66" t="str">
        <x:v>祁腾蜂赢1号净值20260911.xlsx</x:v>
      </x:c>
      <x:c r="I2801" s="73" t="str">
        <x:f>""</x:f>
      </x:c>
      <x:c r="J2801" s="74" t="str">
        <x:f>""</x:f>
      </x:c>
      <x:c r="K2801" s="73" t="str">
        <x:f>""</x:f>
      </x:c>
      <x:c r="L2801" s="74" t="str">
        <x:f>""</x:f>
      </x:c>
      <x:c r="M2801" s="73" t="n">
        <x:f>MAX(M2800,F2801)</x:f>
        <x:v>1.7119</x:v>
      </x:c>
      <x:c r="N2801" s="74" t="n">
        <x:f>1-F2801/M2801</x:f>
        <x:v>0.000058414627022607135</x:v>
      </x:c>
    </x:row>
    <x:row r="2802" ht="27" customHeight="1">
      <x:c r="A2802" s="66" t="str">
        <x:v>SEV580</x:v>
      </x:c>
      <x:c r="B2802" s="66" t="str">
        <x:v>祁腾蜂赢1号</x:v>
      </x:c>
      <x:c r="C2802" s="72" t="n">
        <x:v>45104</x:v>
      </x:c>
      <x:c r="D2802" s="73" t="n">
        <x:v>1.0156</x:v>
      </x:c>
      <x:c r="E2802" s="73" t="n">
        <x:v>1.5623</x:v>
      </x:c>
      <x:c r="F2802" s="73" t="n">
        <x:v>1.7112</x:v>
      </x:c>
      <x:c r="G2802" s="74" t="n">
        <x:v>-0.0003</x:v>
      </x:c>
      <x:c r="H2802" s="66" t="str">
        <x:v>祁腾蜂赢1号净值20260911.xlsx</x:v>
      </x:c>
      <x:c r="I2802" s="73" t="str">
        <x:f>""</x:f>
      </x:c>
      <x:c r="J2802" s="74" t="str">
        <x:f>""</x:f>
      </x:c>
      <x:c r="K2802" s="73" t="str">
        <x:f>""</x:f>
      </x:c>
      <x:c r="L2802" s="74" t="str">
        <x:f>""</x:f>
      </x:c>
      <x:c r="M2802" s="73" t="n">
        <x:f>MAX(M2801,F2802)</x:f>
        <x:v>1.7119</x:v>
      </x:c>
      <x:c r="N2802" s="74" t="n">
        <x:f>1-F2802/M2802</x:f>
        <x:v>0.00040890238915824995</x:v>
      </x:c>
    </x:row>
    <x:row r="2803" ht="27" customHeight="1">
      <x:c r="A2803" s="66" t="str">
        <x:v>SEV580</x:v>
      </x:c>
      <x:c r="B2803" s="66" t="str">
        <x:v>祁腾蜂赢1号</x:v>
      </x:c>
      <x:c r="C2803" s="72" t="n">
        <x:v>45105</x:v>
      </x:c>
      <x:c r="D2803" s="73" t="n">
        <x:v>1.0162</x:v>
      </x:c>
      <x:c r="E2803" s="73" t="n">
        <x:v>1.5629</x:v>
      </x:c>
      <x:c r="F2803" s="73" t="n">
        <x:v>1.7123</x:v>
      </x:c>
      <x:c r="G2803" s="74" t="n">
        <x:v>0.0006</x:v>
      </x:c>
      <x:c r="H2803" s="66" t="str">
        <x:v>祁腾蜂赢1号净值20260911.xlsx</x:v>
      </x:c>
      <x:c r="I2803" s="73" t="str">
        <x:f>""</x:f>
      </x:c>
      <x:c r="J2803" s="74" t="str">
        <x:f>""</x:f>
      </x:c>
      <x:c r="K2803" s="73" t="str">
        <x:f>""</x:f>
      </x:c>
      <x:c r="L2803" s="74" t="str">
        <x:f>""</x:f>
      </x:c>
      <x:c r="M2803" s="73" t="n">
        <x:f>MAX(M2802,F2803)</x:f>
        <x:v>1.7123</x:v>
      </x:c>
      <x:c r="N2803" s="74" t="n">
        <x:f>1-F2803/M2803</x:f>
        <x:v>0</x:v>
      </x:c>
    </x:row>
    <x:row r="2804" ht="27" customHeight="1">
      <x:c r="A2804" s="66" t="str">
        <x:v>SEV580</x:v>
      </x:c>
      <x:c r="B2804" s="66" t="str">
        <x:v>祁腾蜂赢1号</x:v>
      </x:c>
      <x:c r="C2804" s="72" t="n">
        <x:v>45106</x:v>
      </x:c>
      <x:c r="D2804" s="73" t="n">
        <x:v>1.0195</x:v>
      </x:c>
      <x:c r="E2804" s="73" t="n">
        <x:v>1.5662</x:v>
      </x:c>
      <x:c r="F2804" s="73" t="n">
        <x:v>1.7178</x:v>
      </x:c>
      <x:c r="G2804" s="74" t="n">
        <x:v>0.0032</x:v>
      </x:c>
      <x:c r="H2804" s="66" t="str">
        <x:v>祁腾蜂赢1号净值20260911.xlsx</x:v>
      </x:c>
      <x:c r="I2804" s="73" t="str">
        <x:f>""</x:f>
      </x:c>
      <x:c r="J2804" s="74" t="str">
        <x:f>""</x:f>
      </x:c>
      <x:c r="K2804" s="73" t="str">
        <x:f>""</x:f>
      </x:c>
      <x:c r="L2804" s="74" t="str">
        <x:f>""</x:f>
      </x:c>
      <x:c r="M2804" s="73" t="n">
        <x:f>MAX(M2803,F2804)</x:f>
        <x:v>1.7178</x:v>
      </x:c>
      <x:c r="N2804" s="74" t="n">
        <x:f>1-F2804/M2804</x:f>
        <x:v>0</x:v>
      </x:c>
    </x:row>
    <x:row r="2805" ht="27" customHeight="1">
      <x:c r="A2805" s="66" t="str">
        <x:v>SEV580</x:v>
      </x:c>
      <x:c r="B2805" s="66" t="str">
        <x:v>祁腾蜂赢1号</x:v>
      </x:c>
      <x:c r="C2805" s="72" t="n">
        <x:v>45107</x:v>
      </x:c>
      <x:c r="D2805" s="73" t="n">
        <x:v>1.0199</x:v>
      </x:c>
      <x:c r="E2805" s="73" t="n">
        <x:v>1.5666</x:v>
      </x:c>
      <x:c r="F2805" s="73" t="n">
        <x:v>1.7185</x:v>
      </x:c>
      <x:c r="G2805" s="74" t="n">
        <x:v>0.0004</x:v>
      </x:c>
      <x:c r="H2805" s="66" t="str">
        <x:v>祁腾蜂赢1号净值20260911.xlsx</x:v>
      </x:c>
      <x:c r="I2805" s="73" t="str">
        <x:f>""</x:f>
      </x:c>
      <x:c r="J2805" s="74" t="str">
        <x:f>""</x:f>
      </x:c>
      <x:c r="K2805" s="73" t="str">
        <x:f>""</x:f>
      </x:c>
      <x:c r="L2805" s="74" t="str">
        <x:f>""</x:f>
      </x:c>
      <x:c r="M2805" s="73" t="n">
        <x:f>MAX(M2804,F2805)</x:f>
        <x:v>1.7185</x:v>
      </x:c>
      <x:c r="N2805" s="74" t="n">
        <x:f>1-F2805/M2805</x:f>
        <x:v>0</x:v>
      </x:c>
    </x:row>
    <x:row r="2806" ht="27" customHeight="1">
      <x:c r="A2806" s="66" t="str">
        <x:v>SEV580</x:v>
      </x:c>
      <x:c r="B2806" s="66" t="str">
        <x:v>祁腾蜂赢1号</x:v>
      </x:c>
      <x:c r="C2806" s="72" t="n">
        <x:v>45110</x:v>
      </x:c>
      <x:c r="D2806" s="73" t="n">
        <x:v>1</x:v>
      </x:c>
      <x:c r="E2806" s="73" t="n">
        <x:v>1.5663</x:v>
      </x:c>
      <x:c r="F2806" s="73" t="n">
        <x:v>1.718</x:v>
      </x:c>
      <x:c r="G2806" s="74" t="n">
        <x:v>-0.0003</x:v>
      </x:c>
      <x:c r="H2806" s="66" t="str">
        <x:v>祁腾蜂赢1号净值20260911.xlsx</x:v>
      </x:c>
      <x:c r="I2806" s="73" t="str">
        <x:f>""</x:f>
      </x:c>
      <x:c r="J2806" s="74" t="str">
        <x:f>""</x:f>
      </x:c>
      <x:c r="K2806" s="73" t="str">
        <x:f>""</x:f>
      </x:c>
      <x:c r="L2806" s="74" t="str">
        <x:f>""</x:f>
      </x:c>
      <x:c r="M2806" s="73" t="n">
        <x:f>MAX(M2805,F2806)</x:f>
        <x:v>1.7185</x:v>
      </x:c>
      <x:c r="N2806" s="74" t="n">
        <x:f>1-F2806/M2806</x:f>
        <x:v>0.0002909514111143485</x:v>
      </x:c>
    </x:row>
    <x:row r="2807" ht="27" customHeight="1">
      <x:c r="A2807" s="66" t="str">
        <x:v>SEV580</x:v>
      </x:c>
      <x:c r="B2807" s="66" t="str">
        <x:v>祁腾蜂赢1号</x:v>
      </x:c>
      <x:c r="C2807" s="72" t="n">
        <x:v>45111</x:v>
      </x:c>
      <x:c r="D2807" s="73" t="n">
        <x:v>0.9999</x:v>
      </x:c>
      <x:c r="E2807" s="73" t="n">
        <x:v>1.5662</x:v>
      </x:c>
      <x:c r="F2807" s="73" t="n">
        <x:v>1.7178</x:v>
      </x:c>
      <x:c r="G2807" s="74" t="n">
        <x:v>-0.0001</x:v>
      </x:c>
      <x:c r="H2807" s="66" t="str">
        <x:v>祁腾蜂赢1号净值20260911.xlsx</x:v>
      </x:c>
      <x:c r="I2807" s="73" t="str">
        <x:f>""</x:f>
      </x:c>
      <x:c r="J2807" s="74" t="str">
        <x:f>""</x:f>
      </x:c>
      <x:c r="K2807" s="73" t="str">
        <x:f>""</x:f>
      </x:c>
      <x:c r="L2807" s="74" t="str">
        <x:f>""</x:f>
      </x:c>
      <x:c r="M2807" s="73" t="n">
        <x:f>MAX(M2806,F2807)</x:f>
        <x:v>1.7185</x:v>
      </x:c>
      <x:c r="N2807" s="74" t="n">
        <x:f>1-F2807/M2807</x:f>
        <x:v>0.00040733197556008793</x:v>
      </x:c>
    </x:row>
    <x:row r="2808" ht="27" customHeight="1">
      <x:c r="A2808" s="66" t="str">
        <x:v>SEV580</x:v>
      </x:c>
      <x:c r="B2808" s="66" t="str">
        <x:v>祁腾蜂赢1号</x:v>
      </x:c>
      <x:c r="C2808" s="72" t="n">
        <x:v>45112</x:v>
      </x:c>
      <x:c r="D2808" s="73" t="n">
        <x:v>1.0001</x:v>
      </x:c>
      <x:c r="E2808" s="73" t="n">
        <x:v>1.5664</x:v>
      </x:c>
      <x:c r="F2808" s="73" t="n">
        <x:v>1.7182</x:v>
      </x:c>
      <x:c r="G2808" s="74" t="n">
        <x:v>0.0002</x:v>
      </x:c>
      <x:c r="H2808" s="66" t="str">
        <x:v>祁腾蜂赢1号净值20260911.xlsx</x:v>
      </x:c>
      <x:c r="I2808" s="73" t="str">
        <x:f>""</x:f>
      </x:c>
      <x:c r="J2808" s="74" t="str">
        <x:f>""</x:f>
      </x:c>
      <x:c r="K2808" s="73" t="str">
        <x:f>""</x:f>
      </x:c>
      <x:c r="L2808" s="74" t="str">
        <x:f>""</x:f>
      </x:c>
      <x:c r="M2808" s="73" t="n">
        <x:f>MAX(M2807,F2808)</x:f>
        <x:v>1.7185</x:v>
      </x:c>
      <x:c r="N2808" s="74" t="n">
        <x:f>1-F2808/M2808</x:f>
        <x:v>0.00017457084666860911</x:v>
      </x:c>
    </x:row>
    <x:row r="2809" ht="27" customHeight="1">
      <x:c r="A2809" s="66" t="str">
        <x:v>SEV580</x:v>
      </x:c>
      <x:c r="B2809" s="66" t="str">
        <x:v>祁腾蜂赢1号</x:v>
      </x:c>
      <x:c r="C2809" s="72" t="n">
        <x:v>45113</x:v>
      </x:c>
      <x:c r="D2809" s="73" t="n">
        <x:v>1.0004</x:v>
      </x:c>
      <x:c r="E2809" s="73" t="n">
        <x:v>1.5667</x:v>
      </x:c>
      <x:c r="F2809" s="73" t="n">
        <x:v>1.7187</x:v>
      </x:c>
      <x:c r="G2809" s="74" t="n">
        <x:v>0.0003</x:v>
      </x:c>
      <x:c r="H2809" s="66" t="str">
        <x:v>祁腾蜂赢1号净值20260911.xlsx</x:v>
      </x:c>
      <x:c r="I2809" s="73" t="str">
        <x:f>""</x:f>
      </x:c>
      <x:c r="J2809" s="74" t="str">
        <x:f>""</x:f>
      </x:c>
      <x:c r="K2809" s="73" t="str">
        <x:f>""</x:f>
      </x:c>
      <x:c r="L2809" s="74" t="str">
        <x:f>""</x:f>
      </x:c>
      <x:c r="M2809" s="73" t="n">
        <x:f>MAX(M2808,F2809)</x:f>
        <x:v>1.7187</x:v>
      </x:c>
      <x:c r="N2809" s="74" t="n">
        <x:f>1-F2809/M2809</x:f>
        <x:v>0</x:v>
      </x:c>
    </x:row>
    <x:row r="2810" ht="27" customHeight="1">
      <x:c r="A2810" s="66" t="str">
        <x:v>SEV580</x:v>
      </x:c>
      <x:c r="B2810" s="66" t="str">
        <x:v>祁腾蜂赢1号</x:v>
      </x:c>
      <x:c r="C2810" s="72" t="n">
        <x:v>45114</x:v>
      </x:c>
      <x:c r="D2810" s="73" t="n">
        <x:v>1.0005</x:v>
      </x:c>
      <x:c r="E2810" s="73" t="n">
        <x:v>1.5668</x:v>
      </x:c>
      <x:c r="F2810" s="73" t="n">
        <x:v>1.7188</x:v>
      </x:c>
      <x:c r="G2810" s="74" t="n">
        <x:v>0.0001</x:v>
      </x:c>
      <x:c r="H2810" s="66" t="str">
        <x:v>祁腾蜂赢1号净值20260911.xlsx</x:v>
      </x:c>
      <x:c r="I2810" s="73" t="str">
        <x:f>""</x:f>
      </x:c>
      <x:c r="J2810" s="74" t="str">
        <x:f>""</x:f>
      </x:c>
      <x:c r="K2810" s="73" t="str">
        <x:f>""</x:f>
      </x:c>
      <x:c r="L2810" s="74" t="str">
        <x:f>""</x:f>
      </x:c>
      <x:c r="M2810" s="73" t="n">
        <x:f>MAX(M2809,F2810)</x:f>
        <x:v>1.7188</x:v>
      </x:c>
      <x:c r="N2810" s="74" t="n">
        <x:f>1-F2810/M2810</x:f>
        <x:v>0</x:v>
      </x:c>
    </x:row>
    <x:row r="2811" ht="27" customHeight="1">
      <x:c r="A2811" s="66" t="str">
        <x:v>SEV580</x:v>
      </x:c>
      <x:c r="B2811" s="66" t="str">
        <x:v>祁腾蜂赢1号</x:v>
      </x:c>
      <x:c r="C2811" s="72" t="n">
        <x:v>45117</x:v>
      </x:c>
      <x:c r="D2811" s="73" t="n">
        <x:v>1.0009</x:v>
      </x:c>
      <x:c r="E2811" s="73" t="n">
        <x:v>1.5672</x:v>
      </x:c>
      <x:c r="F2811" s="73" t="n">
        <x:v>1.7195</x:v>
      </x:c>
      <x:c r="G2811" s="74" t="n">
        <x:v>0.0004</x:v>
      </x:c>
      <x:c r="H2811" s="66" t="str">
        <x:v>祁腾蜂赢1号净值20260911.xlsx</x:v>
      </x:c>
      <x:c r="I2811" s="73" t="str">
        <x:f>""</x:f>
      </x:c>
      <x:c r="J2811" s="74" t="str">
        <x:f>""</x:f>
      </x:c>
      <x:c r="K2811" s="73" t="str">
        <x:f>""</x:f>
      </x:c>
      <x:c r="L2811" s="74" t="str">
        <x:f>""</x:f>
      </x:c>
      <x:c r="M2811" s="73" t="n">
        <x:f>MAX(M2810,F2811)</x:f>
        <x:v>1.7195</x:v>
      </x:c>
      <x:c r="N2811" s="74" t="n">
        <x:f>1-F2811/M2811</x:f>
        <x:v>0</x:v>
      </x:c>
    </x:row>
    <x:row r="2812" ht="27" customHeight="1">
      <x:c r="A2812" s="66" t="str">
        <x:v>SEV580</x:v>
      </x:c>
      <x:c r="B2812" s="66" t="str">
        <x:v>祁腾蜂赢1号</x:v>
      </x:c>
      <x:c r="C2812" s="72" t="n">
        <x:v>45118</x:v>
      </x:c>
      <x:c r="D2812" s="73" t="n">
        <x:v>1.0009</x:v>
      </x:c>
      <x:c r="E2812" s="73" t="n">
        <x:v>1.5672</x:v>
      </x:c>
      <x:c r="F2812" s="73" t="n">
        <x:v>1.7195</x:v>
      </x:c>
      <x:c r="G2812" s="74" t="n">
        <x:v>0</x:v>
      </x:c>
      <x:c r="H2812" s="66" t="str">
        <x:v>祁腾蜂赢1号净值20260911.xlsx</x:v>
      </x:c>
      <x:c r="I2812" s="73" t="str">
        <x:f>""</x:f>
      </x:c>
      <x:c r="J2812" s="74" t="str">
        <x:f>""</x:f>
      </x:c>
      <x:c r="K2812" s="73" t="str">
        <x:f>""</x:f>
      </x:c>
      <x:c r="L2812" s="74" t="str">
        <x:f>""</x:f>
      </x:c>
      <x:c r="M2812" s="73" t="n">
        <x:f>MAX(M2811,F2812)</x:f>
        <x:v>1.7195</x:v>
      </x:c>
      <x:c r="N2812" s="74" t="n">
        <x:f>1-F2812/M2812</x:f>
        <x:v>0</x:v>
      </x:c>
    </x:row>
    <x:row r="2813" ht="27" customHeight="1">
      <x:c r="A2813" s="66" t="str">
        <x:v>SEV580</x:v>
      </x:c>
      <x:c r="B2813" s="66" t="str">
        <x:v>祁腾蜂赢1号</x:v>
      </x:c>
      <x:c r="C2813" s="72" t="n">
        <x:v>45119</x:v>
      </x:c>
      <x:c r="D2813" s="73" t="n">
        <x:v>1.0019</x:v>
      </x:c>
      <x:c r="E2813" s="73" t="n">
        <x:v>1.5682</x:v>
      </x:c>
      <x:c r="F2813" s="73" t="n">
        <x:v>1.7213</x:v>
      </x:c>
      <x:c r="G2813" s="74" t="n">
        <x:v>0.001</x:v>
      </x:c>
      <x:c r="H2813" s="66" t="str">
        <x:v>祁腾蜂赢1号净值20260911.xlsx</x:v>
      </x:c>
      <x:c r="I2813" s="73" t="str">
        <x:f>""</x:f>
      </x:c>
      <x:c r="J2813" s="74" t="str">
        <x:f>""</x:f>
      </x:c>
      <x:c r="K2813" s="73" t="str">
        <x:f>""</x:f>
      </x:c>
      <x:c r="L2813" s="74" t="str">
        <x:f>""</x:f>
      </x:c>
      <x:c r="M2813" s="73" t="n">
        <x:f>MAX(M2812,F2813)</x:f>
        <x:v>1.7213</x:v>
      </x:c>
      <x:c r="N2813" s="74" t="n">
        <x:f>1-F2813/M2813</x:f>
        <x:v>0</x:v>
      </x:c>
    </x:row>
    <x:row r="2814" ht="27" customHeight="1">
      <x:c r="A2814" s="66" t="str">
        <x:v>SEV580</x:v>
      </x:c>
      <x:c r="B2814" s="66" t="str">
        <x:v>祁腾蜂赢1号</x:v>
      </x:c>
      <x:c r="C2814" s="72" t="n">
        <x:v>45120</x:v>
      </x:c>
      <x:c r="D2814" s="73" t="n">
        <x:v>1.0029</x:v>
      </x:c>
      <x:c r="E2814" s="73" t="n">
        <x:v>1.5692</x:v>
      </x:c>
      <x:c r="F2814" s="73" t="n">
        <x:v>1.723</x:v>
      </x:c>
      <x:c r="G2814" s="74" t="n">
        <x:v>0.001</x:v>
      </x:c>
      <x:c r="H2814" s="66" t="str">
        <x:v>祁腾蜂赢1号净值20260911.xlsx</x:v>
      </x:c>
      <x:c r="I2814" s="73" t="str">
        <x:f>""</x:f>
      </x:c>
      <x:c r="J2814" s="74" t="str">
        <x:f>""</x:f>
      </x:c>
      <x:c r="K2814" s="73" t="str">
        <x:f>""</x:f>
      </x:c>
      <x:c r="L2814" s="74" t="str">
        <x:f>""</x:f>
      </x:c>
      <x:c r="M2814" s="73" t="n">
        <x:f>MAX(M2813,F2814)</x:f>
        <x:v>1.723</x:v>
      </x:c>
      <x:c r="N2814" s="74" t="n">
        <x:f>1-F2814/M2814</x:f>
        <x:v>0</x:v>
      </x:c>
    </x:row>
    <x:row r="2815" ht="27" customHeight="1">
      <x:c r="A2815" s="66" t="str">
        <x:v>SEV580</x:v>
      </x:c>
      <x:c r="B2815" s="66" t="str">
        <x:v>祁腾蜂赢1号</x:v>
      </x:c>
      <x:c r="C2815" s="72" t="n">
        <x:v>45121</x:v>
      </x:c>
      <x:c r="D2815" s="73" t="n">
        <x:v>1.0026</x:v>
      </x:c>
      <x:c r="E2815" s="73" t="n">
        <x:v>1.5689</x:v>
      </x:c>
      <x:c r="F2815" s="73" t="n">
        <x:v>1.7225</x:v>
      </x:c>
      <x:c r="G2815" s="74" t="n">
        <x:v>-0.0003</x:v>
      </x:c>
      <x:c r="H2815" s="66" t="str">
        <x:v>祁腾蜂赢1号净值20260911.xlsx</x:v>
      </x:c>
      <x:c r="I2815" s="73" t="str">
        <x:f>""</x:f>
      </x:c>
      <x:c r="J2815" s="74" t="str">
        <x:f>""</x:f>
      </x:c>
      <x:c r="K2815" s="73" t="str">
        <x:f>""</x:f>
      </x:c>
      <x:c r="L2815" s="74" t="str">
        <x:f>""</x:f>
      </x:c>
      <x:c r="M2815" s="73" t="n">
        <x:f>MAX(M2814,F2815)</x:f>
        <x:v>1.723</x:v>
      </x:c>
      <x:c r="N2815" s="74" t="n">
        <x:f>1-F2815/M2815</x:f>
        <x:v>0.0002901915264075239</x:v>
      </x:c>
    </x:row>
    <x:row r="2816" ht="27" customHeight="1">
      <x:c r="A2816" s="66" t="str">
        <x:v>SEV580</x:v>
      </x:c>
      <x:c r="B2816" s="66" t="str">
        <x:v>祁腾蜂赢1号</x:v>
      </x:c>
      <x:c r="C2816" s="72" t="n">
        <x:v>45124</x:v>
      </x:c>
      <x:c r="D2816" s="73" t="n">
        <x:v>1.0029</x:v>
      </x:c>
      <x:c r="E2816" s="73" t="n">
        <x:v>1.5692</x:v>
      </x:c>
      <x:c r="F2816" s="73" t="n">
        <x:v>1.723</x:v>
      </x:c>
      <x:c r="G2816" s="74" t="n">
        <x:v>0.0003</x:v>
      </x:c>
      <x:c r="H2816" s="66" t="str">
        <x:v>祁腾蜂赢1号净值20260911.xlsx</x:v>
      </x:c>
      <x:c r="I2816" s="73" t="str">
        <x:f>""</x:f>
      </x:c>
      <x:c r="J2816" s="74" t="str">
        <x:f>""</x:f>
      </x:c>
      <x:c r="K2816" s="73" t="str">
        <x:f>""</x:f>
      </x:c>
      <x:c r="L2816" s="74" t="str">
        <x:f>""</x:f>
      </x:c>
      <x:c r="M2816" s="73" t="n">
        <x:f>MAX(M2815,F2816)</x:f>
        <x:v>1.723</x:v>
      </x:c>
      <x:c r="N2816" s="74" t="n">
        <x:f>1-F2816/M2816</x:f>
        <x:v>0</x:v>
      </x:c>
    </x:row>
    <x:row r="2817" ht="27" customHeight="1">
      <x:c r="A2817" s="66" t="str">
        <x:v>SEV580</x:v>
      </x:c>
      <x:c r="B2817" s="66" t="str">
        <x:v>祁腾蜂赢1号</x:v>
      </x:c>
      <x:c r="C2817" s="72" t="n">
        <x:v>45125</x:v>
      </x:c>
      <x:c r="D2817" s="73" t="n">
        <x:v>1.0029</x:v>
      </x:c>
      <x:c r="E2817" s="73" t="n">
        <x:v>1.5692</x:v>
      </x:c>
      <x:c r="F2817" s="73" t="n">
        <x:v>1.723</x:v>
      </x:c>
      <x:c r="G2817" s="74" t="n">
        <x:v>0</x:v>
      </x:c>
      <x:c r="H2817" s="66" t="str">
        <x:v>祁腾蜂赢1号净值20260911.xlsx</x:v>
      </x:c>
      <x:c r="I2817" s="73" t="str">
        <x:f>""</x:f>
      </x:c>
      <x:c r="J2817" s="74" t="str">
        <x:f>""</x:f>
      </x:c>
      <x:c r="K2817" s="73" t="str">
        <x:f>""</x:f>
      </x:c>
      <x:c r="L2817" s="74" t="str">
        <x:f>""</x:f>
      </x:c>
      <x:c r="M2817" s="73" t="n">
        <x:f>MAX(M2816,F2817)</x:f>
        <x:v>1.723</x:v>
      </x:c>
      <x:c r="N2817" s="74" t="n">
        <x:f>1-F2817/M2817</x:f>
        <x:v>0</x:v>
      </x:c>
    </x:row>
    <x:row r="2818" ht="27" customHeight="1">
      <x:c r="A2818" s="66" t="str">
        <x:v>SEV580</x:v>
      </x:c>
      <x:c r="B2818" s="66" t="str">
        <x:v>祁腾蜂赢1号</x:v>
      </x:c>
      <x:c r="C2818" s="72" t="n">
        <x:v>45126</x:v>
      </x:c>
      <x:c r="D2818" s="73" t="n">
        <x:v>1.0029</x:v>
      </x:c>
      <x:c r="E2818" s="73" t="n">
        <x:v>1.5692</x:v>
      </x:c>
      <x:c r="F2818" s="73" t="n">
        <x:v>1.723</x:v>
      </x:c>
      <x:c r="G2818" s="74" t="n">
        <x:v>0</x:v>
      </x:c>
      <x:c r="H2818" s="66" t="str">
        <x:v>祁腾蜂赢1号净值20260911.xlsx</x:v>
      </x:c>
      <x:c r="I2818" s="73" t="str">
        <x:f>""</x:f>
      </x:c>
      <x:c r="J2818" s="74" t="str">
        <x:f>""</x:f>
      </x:c>
      <x:c r="K2818" s="73" t="str">
        <x:f>""</x:f>
      </x:c>
      <x:c r="L2818" s="74" t="str">
        <x:f>""</x:f>
      </x:c>
      <x:c r="M2818" s="73" t="n">
        <x:f>MAX(M2817,F2818)</x:f>
        <x:v>1.723</x:v>
      </x:c>
      <x:c r="N2818" s="74" t="n">
        <x:f>1-F2818/M2818</x:f>
        <x:v>0</x:v>
      </x:c>
    </x:row>
    <x:row r="2819" ht="27" customHeight="1">
      <x:c r="A2819" s="66" t="str">
        <x:v>SEV580</x:v>
      </x:c>
      <x:c r="B2819" s="66" t="str">
        <x:v>祁腾蜂赢1号</x:v>
      </x:c>
      <x:c r="C2819" s="72" t="n">
        <x:v>45127</x:v>
      </x:c>
      <x:c r="D2819" s="73" t="n">
        <x:v>1.0046</x:v>
      </x:c>
      <x:c r="E2819" s="73" t="n">
        <x:v>1.5709</x:v>
      </x:c>
      <x:c r="F2819" s="73" t="n">
        <x:v>1.7259</x:v>
      </x:c>
      <x:c r="G2819" s="74" t="n">
        <x:v>0.0017000000000000001</x:v>
      </x:c>
      <x:c r="H2819" s="66" t="str">
        <x:v>祁腾蜂赢1号净值20260911.xlsx</x:v>
      </x:c>
      <x:c r="I2819" s="73" t="str">
        <x:f>""</x:f>
      </x:c>
      <x:c r="J2819" s="74" t="str">
        <x:f>""</x:f>
      </x:c>
      <x:c r="K2819" s="73" t="str">
        <x:f>""</x:f>
      </x:c>
      <x:c r="L2819" s="74" t="str">
        <x:f>""</x:f>
      </x:c>
      <x:c r="M2819" s="73" t="n">
        <x:f>MAX(M2818,F2819)</x:f>
        <x:v>1.7259</x:v>
      </x:c>
      <x:c r="N2819" s="74" t="n">
        <x:f>1-F2819/M2819</x:f>
        <x:v>0</x:v>
      </x:c>
    </x:row>
    <x:row r="2820" ht="27" customHeight="1">
      <x:c r="A2820" s="66" t="str">
        <x:v>SEV580</x:v>
      </x:c>
      <x:c r="B2820" s="66" t="str">
        <x:v>祁腾蜂赢1号</x:v>
      </x:c>
      <x:c r="C2820" s="72" t="n">
        <x:v>45128</x:v>
      </x:c>
      <x:c r="D2820" s="73" t="n">
        <x:v>1.0044</x:v>
      </x:c>
      <x:c r="E2820" s="73" t="n">
        <x:v>1.5707</x:v>
      </x:c>
      <x:c r="F2820" s="73" t="n">
        <x:v>1.7255</x:v>
      </x:c>
      <x:c r="G2820" s="74" t="n">
        <x:v>-0.0002</x:v>
      </x:c>
      <x:c r="H2820" s="66" t="str">
        <x:v>祁腾蜂赢1号净值20260911.xlsx</x:v>
      </x:c>
      <x:c r="I2820" s="73" t="str">
        <x:f>""</x:f>
      </x:c>
      <x:c r="J2820" s="74" t="str">
        <x:f>""</x:f>
      </x:c>
      <x:c r="K2820" s="73" t="str">
        <x:f>""</x:f>
      </x:c>
      <x:c r="L2820" s="74" t="str">
        <x:f>""</x:f>
      </x:c>
      <x:c r="M2820" s="73" t="n">
        <x:f>MAX(M2819,F2820)</x:f>
        <x:v>1.7259</x:v>
      </x:c>
      <x:c r="N2820" s="74" t="n">
        <x:f>1-F2820/M2820</x:f>
        <x:v>0.0002317631380728269</x:v>
      </x:c>
    </x:row>
    <x:row r="2821" ht="27" customHeight="1">
      <x:c r="A2821" s="66" t="str">
        <x:v>SEV580</x:v>
      </x:c>
      <x:c r="B2821" s="66" t="str">
        <x:v>祁腾蜂赢1号</x:v>
      </x:c>
      <x:c r="C2821" s="72" t="n">
        <x:v>45131</x:v>
      </x:c>
      <x:c r="D2821" s="73" t="n">
        <x:v>1.0044</x:v>
      </x:c>
      <x:c r="E2821" s="73" t="n">
        <x:v>1.5707</x:v>
      </x:c>
      <x:c r="F2821" s="73" t="n">
        <x:v>1.7255</x:v>
      </x:c>
      <x:c r="G2821" s="74" t="n">
        <x:v>0</x:v>
      </x:c>
      <x:c r="H2821" s="66" t="str">
        <x:v>祁腾蜂赢1号净值20260911.xlsx</x:v>
      </x:c>
      <x:c r="I2821" s="73" t="str">
        <x:f>""</x:f>
      </x:c>
      <x:c r="J2821" s="74" t="str">
        <x:f>""</x:f>
      </x:c>
      <x:c r="K2821" s="73" t="str">
        <x:f>""</x:f>
      </x:c>
      <x:c r="L2821" s="74" t="str">
        <x:f>""</x:f>
      </x:c>
      <x:c r="M2821" s="73" t="n">
        <x:f>MAX(M2820,F2821)</x:f>
        <x:v>1.7259</x:v>
      </x:c>
      <x:c r="N2821" s="74" t="n">
        <x:f>1-F2821/M2821</x:f>
        <x:v>0.0002317631380728269</x:v>
      </x:c>
    </x:row>
    <x:row r="2822" ht="27" customHeight="1">
      <x:c r="A2822" s="66" t="str">
        <x:v>SEV580</x:v>
      </x:c>
      <x:c r="B2822" s="66" t="str">
        <x:v>祁腾蜂赢1号</x:v>
      </x:c>
      <x:c r="C2822" s="72" t="n">
        <x:v>45132</x:v>
      </x:c>
      <x:c r="D2822" s="73" t="n">
        <x:v>1.0046</x:v>
      </x:c>
      <x:c r="E2822" s="73" t="n">
        <x:v>1.5709</x:v>
      </x:c>
      <x:c r="F2822" s="73" t="n">
        <x:v>1.7259</x:v>
      </x:c>
      <x:c r="G2822" s="74" t="n">
        <x:v>0.0002</x:v>
      </x:c>
      <x:c r="H2822" s="66" t="str">
        <x:v>祁腾蜂赢1号净值20260911.xlsx</x:v>
      </x:c>
      <x:c r="I2822" s="73" t="str">
        <x:f>""</x:f>
      </x:c>
      <x:c r="J2822" s="74" t="str">
        <x:f>""</x:f>
      </x:c>
      <x:c r="K2822" s="73" t="str">
        <x:f>""</x:f>
      </x:c>
      <x:c r="L2822" s="74" t="str">
        <x:f>""</x:f>
      </x:c>
      <x:c r="M2822" s="73" t="n">
        <x:f>MAX(M2821,F2822)</x:f>
        <x:v>1.7259</x:v>
      </x:c>
      <x:c r="N2822" s="74" t="n">
        <x:f>1-F2822/M2822</x:f>
        <x:v>0</x:v>
      </x:c>
    </x:row>
    <x:row r="2823" ht="27" customHeight="1">
      <x:c r="A2823" s="66" t="str">
        <x:v>SEV580</x:v>
      </x:c>
      <x:c r="B2823" s="66" t="str">
        <x:v>祁腾蜂赢1号</x:v>
      </x:c>
      <x:c r="C2823" s="72" t="n">
        <x:v>45133</x:v>
      </x:c>
      <x:c r="D2823" s="73" t="n">
        <x:v>1.0046</x:v>
      </x:c>
      <x:c r="E2823" s="73" t="n">
        <x:v>1.5709</x:v>
      </x:c>
      <x:c r="F2823" s="73" t="n">
        <x:v>1.7259</x:v>
      </x:c>
      <x:c r="G2823" s="74" t="n">
        <x:v>0</x:v>
      </x:c>
      <x:c r="H2823" s="66" t="str">
        <x:v>祁腾蜂赢1号净值20260911.xlsx</x:v>
      </x:c>
      <x:c r="I2823" s="73" t="str">
        <x:f>""</x:f>
      </x:c>
      <x:c r="J2823" s="74" t="str">
        <x:f>""</x:f>
      </x:c>
      <x:c r="K2823" s="73" t="str">
        <x:f>""</x:f>
      </x:c>
      <x:c r="L2823" s="74" t="str">
        <x:f>""</x:f>
      </x:c>
      <x:c r="M2823" s="73" t="n">
        <x:f>MAX(M2822,F2823)</x:f>
        <x:v>1.7259</x:v>
      </x:c>
      <x:c r="N2823" s="74" t="n">
        <x:f>1-F2823/M2823</x:f>
        <x:v>0</x:v>
      </x:c>
    </x:row>
    <x:row r="2824" ht="27" customHeight="1">
      <x:c r="A2824" s="66" t="str">
        <x:v>SEV580</x:v>
      </x:c>
      <x:c r="B2824" s="66" t="str">
        <x:v>祁腾蜂赢1号</x:v>
      </x:c>
      <x:c r="C2824" s="72" t="n">
        <x:v>45134</x:v>
      </x:c>
      <x:c r="D2824" s="73" t="n">
        <x:v>1.0041</x:v>
      </x:c>
      <x:c r="E2824" s="73" t="n">
        <x:v>1.5704</x:v>
      </x:c>
      <x:c r="F2824" s="73" t="n">
        <x:v>1.725</x:v>
      </x:c>
      <x:c r="G2824" s="74" t="n">
        <x:v>-0.0005</x:v>
      </x:c>
      <x:c r="H2824" s="66" t="str">
        <x:v>祁腾蜂赢1号净值20260911.xlsx</x:v>
      </x:c>
      <x:c r="I2824" s="73" t="str">
        <x:f>""</x:f>
      </x:c>
      <x:c r="J2824" s="74" t="str">
        <x:f>""</x:f>
      </x:c>
      <x:c r="K2824" s="73" t="str">
        <x:f>""</x:f>
      </x:c>
      <x:c r="L2824" s="74" t="str">
        <x:f>""</x:f>
      </x:c>
      <x:c r="M2824" s="73" t="n">
        <x:f>MAX(M2823,F2824)</x:f>
        <x:v>1.7259</x:v>
      </x:c>
      <x:c r="N2824" s="74" t="n">
        <x:f>1-F2824/M2824</x:f>
        <x:v>0.000521467060663916</x:v>
      </x:c>
    </x:row>
    <x:row r="2825" ht="27" customHeight="1">
      <x:c r="A2825" s="66" t="str">
        <x:v>SEV580</x:v>
      </x:c>
      <x:c r="B2825" s="66" t="str">
        <x:v>祁腾蜂赢1号</x:v>
      </x:c>
      <x:c r="C2825" s="72" t="n">
        <x:v>45135</x:v>
      </x:c>
      <x:c r="D2825" s="73" t="n">
        <x:v>1.0049</x:v>
      </x:c>
      <x:c r="E2825" s="73" t="n">
        <x:v>1.5712</x:v>
      </x:c>
      <x:c r="F2825" s="73" t="n">
        <x:v>1.7264</x:v>
      </x:c>
      <x:c r="G2825" s="74" t="n">
        <x:v>0.0008</x:v>
      </x:c>
      <x:c r="H2825" s="66" t="str">
        <x:v>祁腾蜂赢1号净值20260911.xlsx</x:v>
      </x:c>
      <x:c r="I2825" s="73" t="str">
        <x:f>""</x:f>
      </x:c>
      <x:c r="J2825" s="74" t="str">
        <x:f>""</x:f>
      </x:c>
      <x:c r="K2825" s="73" t="str">
        <x:f>""</x:f>
      </x:c>
      <x:c r="L2825" s="74" t="str">
        <x:f>""</x:f>
      </x:c>
      <x:c r="M2825" s="73" t="n">
        <x:f>MAX(M2824,F2825)</x:f>
        <x:v>1.7264</x:v>
      </x:c>
      <x:c r="N2825" s="74" t="n">
        <x:f>1-F2825/M2825</x:f>
        <x:v>0</x:v>
      </x:c>
    </x:row>
    <x:row r="2826" ht="27" customHeight="1">
      <x:c r="A2826" s="66" t="str">
        <x:v>SEV580</x:v>
      </x:c>
      <x:c r="B2826" s="66" t="str">
        <x:v>祁腾蜂赢1号</x:v>
      </x:c>
      <x:c r="C2826" s="72" t="n">
        <x:v>45138</x:v>
      </x:c>
      <x:c r="D2826" s="73" t="n">
        <x:v>1.0057</x:v>
      </x:c>
      <x:c r="E2826" s="73" t="n">
        <x:v>1.572</x:v>
      </x:c>
      <x:c r="F2826" s="73" t="n">
        <x:v>1.7278</x:v>
      </x:c>
      <x:c r="G2826" s="74" t="n">
        <x:v>0.0008</x:v>
      </x:c>
      <x:c r="H2826" s="66" t="str">
        <x:v>祁腾蜂赢1号净值20260911.xlsx</x:v>
      </x:c>
      <x:c r="I2826" s="73" t="str">
        <x:f>""</x:f>
      </x:c>
      <x:c r="J2826" s="74" t="str">
        <x:f>""</x:f>
      </x:c>
      <x:c r="K2826" s="73" t="str">
        <x:f>""</x:f>
      </x:c>
      <x:c r="L2826" s="74" t="str">
        <x:f>""</x:f>
      </x:c>
      <x:c r="M2826" s="73" t="n">
        <x:f>MAX(M2825,F2826)</x:f>
        <x:v>1.7278</x:v>
      </x:c>
      <x:c r="N2826" s="74" t="n">
        <x:f>1-F2826/M2826</x:f>
        <x:v>0</x:v>
      </x:c>
    </x:row>
    <x:row r="2827" ht="27" customHeight="1">
      <x:c r="A2827" s="66" t="str">
        <x:v>SEV580</x:v>
      </x:c>
      <x:c r="B2827" s="66" t="str">
        <x:v>祁腾蜂赢1号</x:v>
      </x:c>
      <x:c r="C2827" s="72" t="n">
        <x:v>45139</x:v>
      </x:c>
      <x:c r="D2827" s="73" t="n">
        <x:v>1.0053</x:v>
      </x:c>
      <x:c r="E2827" s="73" t="n">
        <x:v>1.5716</x:v>
      </x:c>
      <x:c r="F2827" s="73" t="n">
        <x:v>1.7271</x:v>
      </x:c>
      <x:c r="G2827" s="74" t="n">
        <x:v>-0.0004</x:v>
      </x:c>
      <x:c r="H2827" s="66" t="str">
        <x:v>祁腾蜂赢1号净值20260911.xlsx</x:v>
      </x:c>
      <x:c r="I2827" s="73" t="str">
        <x:f>""</x:f>
      </x:c>
      <x:c r="J2827" s="74" t="str">
        <x:f>""</x:f>
      </x:c>
      <x:c r="K2827" s="73" t="str">
        <x:f>""</x:f>
      </x:c>
      <x:c r="L2827" s="74" t="str">
        <x:f>""</x:f>
      </x:c>
      <x:c r="M2827" s="73" t="n">
        <x:f>MAX(M2826,F2827)</x:f>
        <x:v>1.7278</x:v>
      </x:c>
      <x:c r="N2827" s="74" t="n">
        <x:f>1-F2827/M2827</x:f>
        <x:v>0.0004051394837365496</x:v>
      </x:c>
    </x:row>
    <x:row r="2828" ht="27" customHeight="1">
      <x:c r="A2828" s="66" t="str">
        <x:v>SEV580</x:v>
      </x:c>
      <x:c r="B2828" s="66" t="str">
        <x:v>祁腾蜂赢1号</x:v>
      </x:c>
      <x:c r="C2828" s="72" t="n">
        <x:v>45140</x:v>
      </x:c>
      <x:c r="D2828" s="73" t="n">
        <x:v>1.0061</x:v>
      </x:c>
      <x:c r="E2828" s="73" t="n">
        <x:v>1.5724</x:v>
      </x:c>
      <x:c r="F2828" s="73" t="n">
        <x:v>1.7285</x:v>
      </x:c>
      <x:c r="G2828" s="74" t="n">
        <x:v>0.0008</x:v>
      </x:c>
      <x:c r="H2828" s="66" t="str">
        <x:v>祁腾蜂赢1号净值20260911.xlsx</x:v>
      </x:c>
      <x:c r="I2828" s="73" t="str">
        <x:f>""</x:f>
      </x:c>
      <x:c r="J2828" s="74" t="str">
        <x:f>""</x:f>
      </x:c>
      <x:c r="K2828" s="73" t="str">
        <x:f>""</x:f>
      </x:c>
      <x:c r="L2828" s="74" t="str">
        <x:f>""</x:f>
      </x:c>
      <x:c r="M2828" s="73" t="n">
        <x:f>MAX(M2827,F2828)</x:f>
        <x:v>1.7285</x:v>
      </x:c>
      <x:c r="N2828" s="74" t="n">
        <x:f>1-F2828/M2828</x:f>
        <x:v>0</x:v>
      </x:c>
    </x:row>
    <x:row r="2829" ht="27" customHeight="1">
      <x:c r="A2829" s="66" t="str">
        <x:v>SEV580</x:v>
      </x:c>
      <x:c r="B2829" s="66" t="str">
        <x:v>祁腾蜂赢1号</x:v>
      </x:c>
      <x:c r="C2829" s="72" t="n">
        <x:v>45141</x:v>
      </x:c>
      <x:c r="D2829" s="73" t="n">
        <x:v>1.0064</x:v>
      </x:c>
      <x:c r="E2829" s="73" t="n">
        <x:v>1.5727</x:v>
      </x:c>
      <x:c r="F2829" s="73" t="n">
        <x:v>1.729</x:v>
      </x:c>
      <x:c r="G2829" s="74" t="n">
        <x:v>0.0003</x:v>
      </x:c>
      <x:c r="H2829" s="66" t="str">
        <x:v>祁腾蜂赢1号净值20260911.xlsx</x:v>
      </x:c>
      <x:c r="I2829" s="73" t="str">
        <x:f>""</x:f>
      </x:c>
      <x:c r="J2829" s="74" t="str">
        <x:f>""</x:f>
      </x:c>
      <x:c r="K2829" s="73" t="str">
        <x:f>""</x:f>
      </x:c>
      <x:c r="L2829" s="74" t="str">
        <x:f>""</x:f>
      </x:c>
      <x:c r="M2829" s="73" t="n">
        <x:f>MAX(M2828,F2829)</x:f>
        <x:v>1.729</x:v>
      </x:c>
      <x:c r="N2829" s="74" t="n">
        <x:f>1-F2829/M2829</x:f>
        <x:v>0</x:v>
      </x:c>
    </x:row>
    <x:row r="2830" ht="27" customHeight="1">
      <x:c r="A2830" s="66" t="str">
        <x:v>SEV580</x:v>
      </x:c>
      <x:c r="B2830" s="66" t="str">
        <x:v>祁腾蜂赢1号</x:v>
      </x:c>
      <x:c r="C2830" s="72" t="n">
        <x:v>45142</x:v>
      </x:c>
      <x:c r="D2830" s="73" t="n">
        <x:v>1.0076</x:v>
      </x:c>
      <x:c r="E2830" s="73" t="n">
        <x:v>1.5739</x:v>
      </x:c>
      <x:c r="F2830" s="73" t="n">
        <x:v>1.731</x:v>
      </x:c>
      <x:c r="G2830" s="74" t="n">
        <x:v>0.0012</x:v>
      </x:c>
      <x:c r="H2830" s="66" t="str">
        <x:v>祁腾蜂赢1号净值20260911.xlsx</x:v>
      </x:c>
      <x:c r="I2830" s="73" t="str">
        <x:f>""</x:f>
      </x:c>
      <x:c r="J2830" s="74" t="str">
        <x:f>""</x:f>
      </x:c>
      <x:c r="K2830" s="73" t="str">
        <x:f>""</x:f>
      </x:c>
      <x:c r="L2830" s="74" t="str">
        <x:f>""</x:f>
      </x:c>
      <x:c r="M2830" s="73" t="n">
        <x:f>MAX(M2829,F2830)</x:f>
        <x:v>1.731</x:v>
      </x:c>
      <x:c r="N2830" s="74" t="n">
        <x:f>1-F2830/M2830</x:f>
        <x:v>0</x:v>
      </x:c>
    </x:row>
    <x:row r="2831" ht="27" customHeight="1">
      <x:c r="A2831" s="66" t="str">
        <x:v>SEV580</x:v>
      </x:c>
      <x:c r="B2831" s="66" t="str">
        <x:v>祁腾蜂赢1号</x:v>
      </x:c>
      <x:c r="C2831" s="72" t="n">
        <x:v>45145</x:v>
      </x:c>
      <x:c r="D2831" s="73" t="n">
        <x:v>1.0076</x:v>
      </x:c>
      <x:c r="E2831" s="73" t="n">
        <x:v>1.5739</x:v>
      </x:c>
      <x:c r="F2831" s="73" t="n">
        <x:v>1.731</x:v>
      </x:c>
      <x:c r="G2831" s="74" t="n">
        <x:v>0</x:v>
      </x:c>
      <x:c r="H2831" s="66" t="str">
        <x:v>祁腾蜂赢1号净值20260911.xlsx</x:v>
      </x:c>
      <x:c r="I2831" s="73" t="str">
        <x:f>""</x:f>
      </x:c>
      <x:c r="J2831" s="74" t="str">
        <x:f>""</x:f>
      </x:c>
      <x:c r="K2831" s="73" t="str">
        <x:f>""</x:f>
      </x:c>
      <x:c r="L2831" s="74" t="str">
        <x:f>""</x:f>
      </x:c>
      <x:c r="M2831" s="73" t="n">
        <x:f>MAX(M2830,F2831)</x:f>
        <x:v>1.731</x:v>
      </x:c>
      <x:c r="N2831" s="74" t="n">
        <x:f>1-F2831/M2831</x:f>
        <x:v>0</x:v>
      </x:c>
    </x:row>
    <x:row r="2832" ht="27" customHeight="1">
      <x:c r="A2832" s="66" t="str">
        <x:v>SEV580</x:v>
      </x:c>
      <x:c r="B2832" s="66" t="str">
        <x:v>祁腾蜂赢1号</x:v>
      </x:c>
      <x:c r="C2832" s="72" t="n">
        <x:v>45146</x:v>
      </x:c>
      <x:c r="D2832" s="73" t="n">
        <x:v>1.0077</x:v>
      </x:c>
      <x:c r="E2832" s="73" t="n">
        <x:v>1.574</x:v>
      </x:c>
      <x:c r="F2832" s="73" t="n">
        <x:v>1.7312</x:v>
      </x:c>
      <x:c r="G2832" s="74" t="n">
        <x:v>0.0001</x:v>
      </x:c>
      <x:c r="H2832" s="66" t="str">
        <x:v>祁腾蜂赢1号净值20260911.xlsx</x:v>
      </x:c>
      <x:c r="I2832" s="73" t="str">
        <x:f>""</x:f>
      </x:c>
      <x:c r="J2832" s="74" t="str">
        <x:f>""</x:f>
      </x:c>
      <x:c r="K2832" s="73" t="str">
        <x:f>""</x:f>
      </x:c>
      <x:c r="L2832" s="74" t="str">
        <x:f>""</x:f>
      </x:c>
      <x:c r="M2832" s="73" t="n">
        <x:f>MAX(M2831,F2832)</x:f>
        <x:v>1.7312</x:v>
      </x:c>
      <x:c r="N2832" s="74" t="n">
        <x:f>1-F2832/M2832</x:f>
        <x:v>0</x:v>
      </x:c>
    </x:row>
    <x:row r="2833" ht="27" customHeight="1">
      <x:c r="A2833" s="66" t="str">
        <x:v>SEV580</x:v>
      </x:c>
      <x:c r="B2833" s="66" t="str">
        <x:v>祁腾蜂赢1号</x:v>
      </x:c>
      <x:c r="C2833" s="72" t="n">
        <x:v>45147</x:v>
      </x:c>
      <x:c r="D2833" s="73" t="n">
        <x:v>1.0074</x:v>
      </x:c>
      <x:c r="E2833" s="73" t="n">
        <x:v>1.5737</x:v>
      </x:c>
      <x:c r="F2833" s="73" t="n">
        <x:v>1.7307</x:v>
      </x:c>
      <x:c r="G2833" s="74" t="n">
        <x:v>-0.0003</x:v>
      </x:c>
      <x:c r="H2833" s="66" t="str">
        <x:v>祁腾蜂赢1号净值20260911.xlsx</x:v>
      </x:c>
      <x:c r="I2833" s="73" t="str">
        <x:f>""</x:f>
      </x:c>
      <x:c r="J2833" s="74" t="str">
        <x:f>""</x:f>
      </x:c>
      <x:c r="K2833" s="73" t="str">
        <x:f>""</x:f>
      </x:c>
      <x:c r="L2833" s="74" t="str">
        <x:f>""</x:f>
      </x:c>
      <x:c r="M2833" s="73" t="n">
        <x:f>MAX(M2832,F2833)</x:f>
        <x:v>1.7312</x:v>
      </x:c>
      <x:c r="N2833" s="74" t="n">
        <x:f>1-F2833/M2833</x:f>
        <x:v>0.00028881700554539425</x:v>
      </x:c>
    </x:row>
    <x:row r="2834" ht="27" customHeight="1">
      <x:c r="A2834" s="66" t="str">
        <x:v>SEV580</x:v>
      </x:c>
      <x:c r="B2834" s="66" t="str">
        <x:v>祁腾蜂赢1号</x:v>
      </x:c>
      <x:c r="C2834" s="72" t="n">
        <x:v>45148</x:v>
      </x:c>
      <x:c r="D2834" s="73" t="n">
        <x:v>1.0078</x:v>
      </x:c>
      <x:c r="E2834" s="73" t="n">
        <x:v>1.5741</x:v>
      </x:c>
      <x:c r="F2834" s="73" t="n">
        <x:v>1.7314</x:v>
      </x:c>
      <x:c r="G2834" s="74" t="n">
        <x:v>0.0004</x:v>
      </x:c>
      <x:c r="H2834" s="66" t="str">
        <x:v>祁腾蜂赢1号净值20260911.xlsx</x:v>
      </x:c>
      <x:c r="I2834" s="73" t="str">
        <x:f>""</x:f>
      </x:c>
      <x:c r="J2834" s="74" t="str">
        <x:f>""</x:f>
      </x:c>
      <x:c r="K2834" s="73" t="str">
        <x:f>""</x:f>
      </x:c>
      <x:c r="L2834" s="74" t="str">
        <x:f>""</x:f>
      </x:c>
      <x:c r="M2834" s="73" t="n">
        <x:f>MAX(M2833,F2834)</x:f>
        <x:v>1.7314</x:v>
      </x:c>
      <x:c r="N2834" s="74" t="n">
        <x:f>1-F2834/M2834</x:f>
        <x:v>0</x:v>
      </x:c>
    </x:row>
    <x:row r="2835" ht="27" customHeight="1">
      <x:c r="A2835" s="66" t="str">
        <x:v>SEV580</x:v>
      </x:c>
      <x:c r="B2835" s="66" t="str">
        <x:v>祁腾蜂赢1号</x:v>
      </x:c>
      <x:c r="C2835" s="72" t="n">
        <x:v>45149</x:v>
      </x:c>
      <x:c r="D2835" s="73" t="n">
        <x:v>1.0086</x:v>
      </x:c>
      <x:c r="E2835" s="73" t="n">
        <x:v>1.5749</x:v>
      </x:c>
      <x:c r="F2835" s="73" t="n">
        <x:v>1.7328</x:v>
      </x:c>
      <x:c r="G2835" s="74" t="n">
        <x:v>0.0008</x:v>
      </x:c>
      <x:c r="H2835" s="66" t="str">
        <x:v>祁腾蜂赢1号净值20260911.xlsx</x:v>
      </x:c>
      <x:c r="I2835" s="73" t="str">
        <x:f>""</x:f>
      </x:c>
      <x:c r="J2835" s="74" t="str">
        <x:f>""</x:f>
      </x:c>
      <x:c r="K2835" s="73" t="str">
        <x:f>""</x:f>
      </x:c>
      <x:c r="L2835" s="74" t="str">
        <x:f>""</x:f>
      </x:c>
      <x:c r="M2835" s="73" t="n">
        <x:f>MAX(M2834,F2835)</x:f>
        <x:v>1.7328</x:v>
      </x:c>
      <x:c r="N2835" s="74" t="n">
        <x:f>1-F2835/M2835</x:f>
        <x:v>0</x:v>
      </x:c>
    </x:row>
    <x:row r="2836" ht="27" customHeight="1">
      <x:c r="A2836" s="66" t="str">
        <x:v>SEV580</x:v>
      </x:c>
      <x:c r="B2836" s="66" t="str">
        <x:v>祁腾蜂赢1号</x:v>
      </x:c>
      <x:c r="C2836" s="72" t="n">
        <x:v>45152</x:v>
      </x:c>
      <x:c r="D2836" s="73" t="n">
        <x:v>1.0076</x:v>
      </x:c>
      <x:c r="E2836" s="73" t="n">
        <x:v>1.5739</x:v>
      </x:c>
      <x:c r="F2836" s="73" t="n">
        <x:v>1.731</x:v>
      </x:c>
      <x:c r="G2836" s="74" t="n">
        <x:v>-0.001</x:v>
      </x:c>
      <x:c r="H2836" s="66" t="str">
        <x:v>祁腾蜂赢1号净值20260911.xlsx</x:v>
      </x:c>
      <x:c r="I2836" s="73" t="str">
        <x:f>""</x:f>
      </x:c>
      <x:c r="J2836" s="74" t="str">
        <x:f>""</x:f>
      </x:c>
      <x:c r="K2836" s="73" t="str">
        <x:f>""</x:f>
      </x:c>
      <x:c r="L2836" s="74" t="str">
        <x:f>""</x:f>
      </x:c>
      <x:c r="M2836" s="73" t="n">
        <x:f>MAX(M2835,F2836)</x:f>
        <x:v>1.7328</x:v>
      </x:c>
      <x:c r="N2836" s="74" t="n">
        <x:f>1-F2836/M2836</x:f>
        <x:v>0.0010387811634348099</x:v>
      </x:c>
    </x:row>
    <x:row r="2837" ht="27" customHeight="1">
      <x:c r="A2837" s="66" t="str">
        <x:v>SEV580</x:v>
      </x:c>
      <x:c r="B2837" s="66" t="str">
        <x:v>祁腾蜂赢1号</x:v>
      </x:c>
      <x:c r="C2837" s="72" t="n">
        <x:v>45153</x:v>
      </x:c>
      <x:c r="D2837" s="73" t="n">
        <x:v>1.0093</x:v>
      </x:c>
      <x:c r="E2837" s="73" t="n">
        <x:v>1.5756</x:v>
      </x:c>
      <x:c r="F2837" s="73" t="n">
        <x:v>1.734</x:v>
      </x:c>
      <x:c r="G2837" s="74" t="n">
        <x:v>0.0017000000000000001</x:v>
      </x:c>
      <x:c r="H2837" s="66" t="str">
        <x:v>祁腾蜂赢1号净值20260911.xlsx</x:v>
      </x:c>
      <x:c r="I2837" s="73" t="str">
        <x:f>""</x:f>
      </x:c>
      <x:c r="J2837" s="74" t="str">
        <x:f>""</x:f>
      </x:c>
      <x:c r="K2837" s="73" t="str">
        <x:f>""</x:f>
      </x:c>
      <x:c r="L2837" s="74" t="str">
        <x:f>""</x:f>
      </x:c>
      <x:c r="M2837" s="73" t="n">
        <x:f>MAX(M2836,F2837)</x:f>
        <x:v>1.734</x:v>
      </x:c>
      <x:c r="N2837" s="74" t="n">
        <x:f>1-F2837/M2837</x:f>
        <x:v>0</x:v>
      </x:c>
    </x:row>
    <x:row r="2838" ht="27" customHeight="1">
      <x:c r="A2838" s="66" t="str">
        <x:v>SEV580</x:v>
      </x:c>
      <x:c r="B2838" s="66" t="str">
        <x:v>祁腾蜂赢1号</x:v>
      </x:c>
      <x:c r="C2838" s="72" t="n">
        <x:v>45154</x:v>
      </x:c>
      <x:c r="D2838" s="73" t="n">
        <x:v>1.0097</x:v>
      </x:c>
      <x:c r="E2838" s="73" t="n">
        <x:v>1.576</x:v>
      </x:c>
      <x:c r="F2838" s="73" t="n">
        <x:v>1.7347</x:v>
      </x:c>
      <x:c r="G2838" s="74" t="n">
        <x:v>0.0004</x:v>
      </x:c>
      <x:c r="H2838" s="66" t="str">
        <x:v>祁腾蜂赢1号净值20260911.xlsx</x:v>
      </x:c>
      <x:c r="I2838" s="73" t="str">
        <x:f>""</x:f>
      </x:c>
      <x:c r="J2838" s="74" t="str">
        <x:f>""</x:f>
      </x:c>
      <x:c r="K2838" s="73" t="str">
        <x:f>""</x:f>
      </x:c>
      <x:c r="L2838" s="74" t="str">
        <x:f>""</x:f>
      </x:c>
      <x:c r="M2838" s="73" t="n">
        <x:f>MAX(M2837,F2838)</x:f>
        <x:v>1.7347</x:v>
      </x:c>
      <x:c r="N2838" s="74" t="n">
        <x:f>1-F2838/M2838</x:f>
        <x:v>0</x:v>
      </x:c>
    </x:row>
    <x:row r="2839" ht="27" customHeight="1">
      <x:c r="A2839" s="66" t="str">
        <x:v>SEV580</x:v>
      </x:c>
      <x:c r="B2839" s="66" t="str">
        <x:v>祁腾蜂赢1号</x:v>
      </x:c>
      <x:c r="C2839" s="72" t="n">
        <x:v>45155</x:v>
      </x:c>
      <x:c r="D2839" s="73" t="n">
        <x:v>1.0098</x:v>
      </x:c>
      <x:c r="E2839" s="73" t="n">
        <x:v>1.5761</x:v>
      </x:c>
      <x:c r="F2839" s="73" t="n">
        <x:v>1.7348</x:v>
      </x:c>
      <x:c r="G2839" s="74" t="n">
        <x:v>0.0001</x:v>
      </x:c>
      <x:c r="H2839" s="66" t="str">
        <x:v>祁腾蜂赢1号净值20260911.xlsx</x:v>
      </x:c>
      <x:c r="I2839" s="73" t="str">
        <x:f>""</x:f>
      </x:c>
      <x:c r="J2839" s="74" t="str">
        <x:f>""</x:f>
      </x:c>
      <x:c r="K2839" s="73" t="str">
        <x:f>""</x:f>
      </x:c>
      <x:c r="L2839" s="74" t="str">
        <x:f>""</x:f>
      </x:c>
      <x:c r="M2839" s="73" t="n">
        <x:f>MAX(M2838,F2839)</x:f>
        <x:v>1.7348</x:v>
      </x:c>
      <x:c r="N2839" s="74" t="n">
        <x:f>1-F2839/M2839</x:f>
        <x:v>0</x:v>
      </x:c>
    </x:row>
    <x:row r="2840" ht="27" customHeight="1">
      <x:c r="A2840" s="66" t="str">
        <x:v>SEV580</x:v>
      </x:c>
      <x:c r="B2840" s="66" t="str">
        <x:v>祁腾蜂赢1号</x:v>
      </x:c>
      <x:c r="C2840" s="72" t="n">
        <x:v>45156</x:v>
      </x:c>
      <x:c r="D2840" s="73" t="n">
        <x:v>1.0103</x:v>
      </x:c>
      <x:c r="E2840" s="73" t="n">
        <x:v>1.5766</x:v>
      </x:c>
      <x:c r="F2840" s="73" t="n">
        <x:v>1.7357</x:v>
      </x:c>
      <x:c r="G2840" s="74" t="n">
        <x:v>0.0005</x:v>
      </x:c>
      <x:c r="H2840" s="66" t="str">
        <x:v>祁腾蜂赢1号净值20260911.xlsx</x:v>
      </x:c>
      <x:c r="I2840" s="73" t="str">
        <x:f>""</x:f>
      </x:c>
      <x:c r="J2840" s="74" t="str">
        <x:f>""</x:f>
      </x:c>
      <x:c r="K2840" s="73" t="str">
        <x:f>""</x:f>
      </x:c>
      <x:c r="L2840" s="74" t="str">
        <x:f>""</x:f>
      </x:c>
      <x:c r="M2840" s="73" t="n">
        <x:f>MAX(M2839,F2840)</x:f>
        <x:v>1.7357</x:v>
      </x:c>
      <x:c r="N2840" s="74" t="n">
        <x:f>1-F2840/M2840</x:f>
        <x:v>0</x:v>
      </x:c>
    </x:row>
    <x:row r="2841" ht="27" customHeight="1">
      <x:c r="A2841" s="66" t="str">
        <x:v>SEV580</x:v>
      </x:c>
      <x:c r="B2841" s="66" t="str">
        <x:v>祁腾蜂赢1号</x:v>
      </x:c>
      <x:c r="C2841" s="72" t="n">
        <x:v>45159</x:v>
      </x:c>
      <x:c r="D2841" s="73" t="n">
        <x:v>1.0123</x:v>
      </x:c>
      <x:c r="E2841" s="73" t="n">
        <x:v>1.5786</x:v>
      </x:c>
      <x:c r="F2841" s="73" t="n">
        <x:v>1.7391</x:v>
      </x:c>
      <x:c r="G2841" s="74" t="n">
        <x:v>0.002</x:v>
      </x:c>
      <x:c r="H2841" s="66" t="str">
        <x:v>祁腾蜂赢1号净值20260911.xlsx</x:v>
      </x:c>
      <x:c r="I2841" s="73" t="str">
        <x:f>""</x:f>
      </x:c>
      <x:c r="J2841" s="74" t="str">
        <x:f>""</x:f>
      </x:c>
      <x:c r="K2841" s="73" t="str">
        <x:f>""</x:f>
      </x:c>
      <x:c r="L2841" s="74" t="str">
        <x:f>""</x:f>
      </x:c>
      <x:c r="M2841" s="73" t="n">
        <x:f>MAX(M2840,F2841)</x:f>
        <x:v>1.7391</x:v>
      </x:c>
      <x:c r="N2841" s="74" t="n">
        <x:f>1-F2841/M2841</x:f>
        <x:v>0</x:v>
      </x:c>
    </x:row>
    <x:row r="2842" ht="27" customHeight="1">
      <x:c r="A2842" s="66" t="str">
        <x:v>SEV580</x:v>
      </x:c>
      <x:c r="B2842" s="66" t="str">
        <x:v>祁腾蜂赢1号</x:v>
      </x:c>
      <x:c r="C2842" s="72" t="n">
        <x:v>45160</x:v>
      </x:c>
      <x:c r="D2842" s="73" t="n">
        <x:v>1.0116</x:v>
      </x:c>
      <x:c r="E2842" s="73" t="n">
        <x:v>1.5779</x:v>
      </x:c>
      <x:c r="F2842" s="73" t="n">
        <x:v>1.7379</x:v>
      </x:c>
      <x:c r="G2842" s="74" t="n">
        <x:v>-0.0007000000000000001</x:v>
      </x:c>
      <x:c r="H2842" s="66" t="str">
        <x:v>祁腾蜂赢1号净值20260911.xlsx</x:v>
      </x:c>
      <x:c r="I2842" s="73" t="str">
        <x:f>""</x:f>
      </x:c>
      <x:c r="J2842" s="74" t="str">
        <x:f>""</x:f>
      </x:c>
      <x:c r="K2842" s="73" t="str">
        <x:f>""</x:f>
      </x:c>
      <x:c r="L2842" s="74" t="str">
        <x:f>""</x:f>
      </x:c>
      <x:c r="M2842" s="73" t="n">
        <x:f>MAX(M2841,F2842)</x:f>
        <x:v>1.7391</x:v>
      </x:c>
      <x:c r="N2842" s="74" t="n">
        <x:f>1-F2842/M2842</x:f>
        <x:v>0.0006900120752113548</x:v>
      </x:c>
    </x:row>
    <x:row r="2843" ht="27" customHeight="1">
      <x:c r="A2843" s="66" t="str">
        <x:v>SEV580</x:v>
      </x:c>
      <x:c r="B2843" s="66" t="str">
        <x:v>祁腾蜂赢1号</x:v>
      </x:c>
      <x:c r="C2843" s="72" t="n">
        <x:v>45161</x:v>
      </x:c>
      <x:c r="D2843" s="73" t="n">
        <x:v>1.0118</x:v>
      </x:c>
      <x:c r="E2843" s="73" t="n">
        <x:v>1.5781</x:v>
      </x:c>
      <x:c r="F2843" s="73" t="n">
        <x:v>1.7383</x:v>
      </x:c>
      <x:c r="G2843" s="74" t="n">
        <x:v>0.0002</x:v>
      </x:c>
      <x:c r="H2843" s="66" t="str">
        <x:v>祁腾蜂赢1号净值20260911.xlsx</x:v>
      </x:c>
      <x:c r="I2843" s="73" t="str">
        <x:f>""</x:f>
      </x:c>
      <x:c r="J2843" s="74" t="str">
        <x:f>""</x:f>
      </x:c>
      <x:c r="K2843" s="73" t="str">
        <x:f>""</x:f>
      </x:c>
      <x:c r="L2843" s="74" t="str">
        <x:f>""</x:f>
      </x:c>
      <x:c r="M2843" s="73" t="n">
        <x:f>MAX(M2842,F2843)</x:f>
        <x:v>1.7391</x:v>
      </x:c>
      <x:c r="N2843" s="74" t="n">
        <x:f>1-F2843/M2843</x:f>
        <x:v>0.0004600080501409032</x:v>
      </x:c>
    </x:row>
    <x:row r="2844" ht="27" customHeight="1">
      <x:c r="A2844" s="66" t="str">
        <x:v>SEV580</x:v>
      </x:c>
      <x:c r="B2844" s="66" t="str">
        <x:v>祁腾蜂赢1号</x:v>
      </x:c>
      <x:c r="C2844" s="72" t="n">
        <x:v>45162</x:v>
      </x:c>
      <x:c r="D2844" s="73" t="n">
        <x:v>1.0113</x:v>
      </x:c>
      <x:c r="E2844" s="73" t="n">
        <x:v>1.5776</x:v>
      </x:c>
      <x:c r="F2844" s="73" t="n">
        <x:v>1.7374</x:v>
      </x:c>
      <x:c r="G2844" s="74" t="n">
        <x:v>-0.0005</x:v>
      </x:c>
      <x:c r="H2844" s="66" t="str">
        <x:v>祁腾蜂赢1号净值20260911.xlsx</x:v>
      </x:c>
      <x:c r="I2844" s="73" t="str">
        <x:f>""</x:f>
      </x:c>
      <x:c r="J2844" s="74" t="str">
        <x:f>""</x:f>
      </x:c>
      <x:c r="K2844" s="73" t="str">
        <x:f>""</x:f>
      </x:c>
      <x:c r="L2844" s="74" t="str">
        <x:f>""</x:f>
      </x:c>
      <x:c r="M2844" s="73" t="n">
        <x:f>MAX(M2843,F2844)</x:f>
        <x:v>1.7391</x:v>
      </x:c>
      <x:c r="N2844" s="74" t="n">
        <x:f>1-F2844/M2844</x:f>
        <x:v>0.0009775171065493637</x:v>
      </x:c>
    </x:row>
    <x:row r="2845" ht="27" customHeight="1">
      <x:c r="A2845" s="66" t="str">
        <x:v>SEV580</x:v>
      </x:c>
      <x:c r="B2845" s="66" t="str">
        <x:v>祁腾蜂赢1号</x:v>
      </x:c>
      <x:c r="C2845" s="72" t="n">
        <x:v>45163</x:v>
      </x:c>
      <x:c r="D2845" s="73" t="n">
        <x:v>1.0124</x:v>
      </x:c>
      <x:c r="E2845" s="73" t="n">
        <x:v>1.5787</x:v>
      </x:c>
      <x:c r="F2845" s="73" t="n">
        <x:v>1.7393</x:v>
      </x:c>
      <x:c r="G2845" s="74" t="n">
        <x:v>0.0011</x:v>
      </x:c>
      <x:c r="H2845" s="66" t="str">
        <x:v>祁腾蜂赢1号净值20260911.xlsx</x:v>
      </x:c>
      <x:c r="I2845" s="73" t="str">
        <x:f>""</x:f>
      </x:c>
      <x:c r="J2845" s="74" t="str">
        <x:f>""</x:f>
      </x:c>
      <x:c r="K2845" s="73" t="str">
        <x:f>""</x:f>
      </x:c>
      <x:c r="L2845" s="74" t="str">
        <x:f>""</x:f>
      </x:c>
      <x:c r="M2845" s="73" t="n">
        <x:f>MAX(M2844,F2845)</x:f>
        <x:v>1.7393</x:v>
      </x:c>
      <x:c r="N2845" s="74" t="n">
        <x:f>1-F2845/M2845</x:f>
        <x:v>0</x:v>
      </x:c>
    </x:row>
    <x:row r="2846" ht="27" customHeight="1">
      <x:c r="A2846" s="66" t="str">
        <x:v>SEV580</x:v>
      </x:c>
      <x:c r="B2846" s="66" t="str">
        <x:v>祁腾蜂赢1号</x:v>
      </x:c>
      <x:c r="C2846" s="72" t="n">
        <x:v>45166</x:v>
      </x:c>
      <x:c r="D2846" s="73" t="n">
        <x:v>1.0137</x:v>
      </x:c>
      <x:c r="E2846" s="73" t="n">
        <x:v>1.58</x:v>
      </x:c>
      <x:c r="F2846" s="73" t="n">
        <x:v>1.7415</x:v>
      </x:c>
      <x:c r="G2846" s="74" t="n">
        <x:v>0.0013</x:v>
      </x:c>
      <x:c r="H2846" s="66" t="str">
        <x:v>祁腾蜂赢1号净值20260911.xlsx</x:v>
      </x:c>
      <x:c r="I2846" s="73" t="str">
        <x:f>""</x:f>
      </x:c>
      <x:c r="J2846" s="74" t="str">
        <x:f>""</x:f>
      </x:c>
      <x:c r="K2846" s="73" t="str">
        <x:f>""</x:f>
      </x:c>
      <x:c r="L2846" s="74" t="str">
        <x:f>""</x:f>
      </x:c>
      <x:c r="M2846" s="73" t="n">
        <x:f>MAX(M2845,F2846)</x:f>
        <x:v>1.7415</x:v>
      </x:c>
      <x:c r="N2846" s="74" t="n">
        <x:f>1-F2846/M2846</x:f>
        <x:v>0</x:v>
      </x:c>
    </x:row>
    <x:row r="2847" ht="27" customHeight="1">
      <x:c r="A2847" s="66" t="str">
        <x:v>SEV580</x:v>
      </x:c>
      <x:c r="B2847" s="66" t="str">
        <x:v>祁腾蜂赢1号</x:v>
      </x:c>
      <x:c r="C2847" s="72" t="n">
        <x:v>45167</x:v>
      </x:c>
      <x:c r="D2847" s="73" t="n">
        <x:v>1.0136</x:v>
      </x:c>
      <x:c r="E2847" s="73" t="n">
        <x:v>1.5799</x:v>
      </x:c>
      <x:c r="F2847" s="73" t="n">
        <x:v>1.7414</x:v>
      </x:c>
      <x:c r="G2847" s="74" t="n">
        <x:v>-0.0001</x:v>
      </x:c>
      <x:c r="H2847" s="66" t="str">
        <x:v>祁腾蜂赢1号净值20260911.xlsx</x:v>
      </x:c>
      <x:c r="I2847" s="73" t="str">
        <x:f>""</x:f>
      </x:c>
      <x:c r="J2847" s="74" t="str">
        <x:f>""</x:f>
      </x:c>
      <x:c r="K2847" s="73" t="str">
        <x:f>""</x:f>
      </x:c>
      <x:c r="L2847" s="74" t="str">
        <x:f>""</x:f>
      </x:c>
      <x:c r="M2847" s="73" t="n">
        <x:f>MAX(M2846,F2847)</x:f>
        <x:v>1.7415</x:v>
      </x:c>
      <x:c r="N2847" s="74" t="n">
        <x:f>1-F2847/M2847</x:f>
        <x:v>0.00005742176284806444</x:v>
      </x:c>
    </x:row>
    <x:row r="2848" ht="27" customHeight="1">
      <x:c r="A2848" s="66" t="str">
        <x:v>SEV580</x:v>
      </x:c>
      <x:c r="B2848" s="66" t="str">
        <x:v>祁腾蜂赢1号</x:v>
      </x:c>
      <x:c r="C2848" s="72" t="n">
        <x:v>45168</x:v>
      </x:c>
      <x:c r="D2848" s="73" t="n">
        <x:v>1.0132</x:v>
      </x:c>
      <x:c r="E2848" s="73" t="n">
        <x:v>1.5795</x:v>
      </x:c>
      <x:c r="F2848" s="73" t="n">
        <x:v>1.7407</x:v>
      </x:c>
      <x:c r="G2848" s="74" t="n">
        <x:v>-0.0004</x:v>
      </x:c>
      <x:c r="H2848" s="66" t="str">
        <x:v>祁腾蜂赢1号净值20260911.xlsx</x:v>
      </x:c>
      <x:c r="I2848" s="73" t="str">
        <x:f>""</x:f>
      </x:c>
      <x:c r="J2848" s="74" t="str">
        <x:f>""</x:f>
      </x:c>
      <x:c r="K2848" s="73" t="str">
        <x:f>""</x:f>
      </x:c>
      <x:c r="L2848" s="74" t="str">
        <x:f>""</x:f>
      </x:c>
      <x:c r="M2848" s="73" t="n">
        <x:f>MAX(M2847,F2848)</x:f>
        <x:v>1.7415</x:v>
      </x:c>
      <x:c r="N2848" s="74" t="n">
        <x:f>1-F2848/M2848</x:f>
        <x:v>0.0004593741027850706</x:v>
      </x:c>
    </x:row>
    <x:row r="2849" ht="27" customHeight="1">
      <x:c r="A2849" s="66" t="str">
        <x:v>SEV580</x:v>
      </x:c>
      <x:c r="B2849" s="66" t="str">
        <x:v>祁腾蜂赢1号</x:v>
      </x:c>
      <x:c r="C2849" s="72" t="n">
        <x:v>45169</x:v>
      </x:c>
      <x:c r="D2849" s="73" t="n">
        <x:v>1.0132</x:v>
      </x:c>
      <x:c r="E2849" s="73" t="n">
        <x:v>1.5795</x:v>
      </x:c>
      <x:c r="F2849" s="73" t="n">
        <x:v>1.7407</x:v>
      </x:c>
      <x:c r="G2849" s="74" t="n">
        <x:v>0</x:v>
      </x:c>
      <x:c r="H2849" s="66" t="str">
        <x:v>祁腾蜂赢1号净值20260911.xlsx</x:v>
      </x:c>
      <x:c r="I2849" s="73" t="str">
        <x:f>""</x:f>
      </x:c>
      <x:c r="J2849" s="74" t="str">
        <x:f>""</x:f>
      </x:c>
      <x:c r="K2849" s="73" t="str">
        <x:f>""</x:f>
      </x:c>
      <x:c r="L2849" s="74" t="str">
        <x:f>""</x:f>
      </x:c>
      <x:c r="M2849" s="73" t="n">
        <x:f>MAX(M2848,F2849)</x:f>
        <x:v>1.7415</x:v>
      </x:c>
      <x:c r="N2849" s="74" t="n">
        <x:f>1-F2849/M2849</x:f>
        <x:v>0.0004593741027850706</x:v>
      </x:c>
    </x:row>
    <x:row r="2850" ht="27" customHeight="1">
      <x:c r="A2850" s="66" t="str">
        <x:v>SEV580</x:v>
      </x:c>
      <x:c r="B2850" s="66" t="str">
        <x:v>祁腾蜂赢1号</x:v>
      </x:c>
      <x:c r="C2850" s="72" t="n">
        <x:v>45170</x:v>
      </x:c>
      <x:c r="D2850" s="73" t="n">
        <x:v>1.0129</x:v>
      </x:c>
      <x:c r="E2850" s="73" t="n">
        <x:v>1.5792</x:v>
      </x:c>
      <x:c r="F2850" s="73" t="n">
        <x:v>1.7401</x:v>
      </x:c>
      <x:c r="G2850" s="74" t="n">
        <x:v>-0.0003</x:v>
      </x:c>
      <x:c r="H2850" s="66" t="str">
        <x:v>祁腾蜂赢1号净值20260911.xlsx</x:v>
      </x:c>
      <x:c r="I2850" s="73" t="str">
        <x:f>""</x:f>
      </x:c>
      <x:c r="J2850" s="74" t="str">
        <x:f>""</x:f>
      </x:c>
      <x:c r="K2850" s="73" t="str">
        <x:f>""</x:f>
      </x:c>
      <x:c r="L2850" s="74" t="str">
        <x:f>""</x:f>
      </x:c>
      <x:c r="M2850" s="73" t="n">
        <x:f>MAX(M2849,F2850)</x:f>
        <x:v>1.7415</x:v>
      </x:c>
      <x:c r="N2850" s="74" t="n">
        <x:f>1-F2850/M2850</x:f>
        <x:v>0.0008039046798736793</x:v>
      </x:c>
    </x:row>
    <x:row r="2851" ht="27" customHeight="1">
      <x:c r="A2851" s="66" t="str">
        <x:v>SEV580</x:v>
      </x:c>
      <x:c r="B2851" s="66" t="str">
        <x:v>祁腾蜂赢1号</x:v>
      </x:c>
      <x:c r="C2851" s="72" t="n">
        <x:v>45173</x:v>
      </x:c>
      <x:c r="D2851" s="73" t="n">
        <x:v>1.0135</x:v>
      </x:c>
      <x:c r="E2851" s="73" t="n">
        <x:v>1.5798</x:v>
      </x:c>
      <x:c r="F2851" s="73" t="n">
        <x:v>1.7412</x:v>
      </x:c>
      <x:c r="G2851" s="74" t="n">
        <x:v>0.0006</x:v>
      </x:c>
      <x:c r="H2851" s="66" t="str">
        <x:v>祁腾蜂赢1号净值20260911.xlsx</x:v>
      </x:c>
      <x:c r="I2851" s="73" t="str">
        <x:f>""</x:f>
      </x:c>
      <x:c r="J2851" s="74" t="str">
        <x:f>""</x:f>
      </x:c>
      <x:c r="K2851" s="73" t="str">
        <x:f>""</x:f>
      </x:c>
      <x:c r="L2851" s="74" t="str">
        <x:f>""</x:f>
      </x:c>
      <x:c r="M2851" s="73" t="n">
        <x:f>MAX(M2850,F2851)</x:f>
        <x:v>1.7415</x:v>
      </x:c>
      <x:c r="N2851" s="74" t="n">
        <x:f>1-F2851/M2851</x:f>
        <x:v>0.00017226528854430434</x:v>
      </x:c>
    </x:row>
    <x:row r="2852" ht="27" customHeight="1">
      <x:c r="A2852" s="66" t="str">
        <x:v>SEV580</x:v>
      </x:c>
      <x:c r="B2852" s="66" t="str">
        <x:v>祁腾蜂赢1号</x:v>
      </x:c>
      <x:c r="C2852" s="72" t="n">
        <x:v>45174</x:v>
      </x:c>
      <x:c r="D2852" s="73" t="n">
        <x:v>1.0135</x:v>
      </x:c>
      <x:c r="E2852" s="73" t="n">
        <x:v>1.5798</x:v>
      </x:c>
      <x:c r="F2852" s="73" t="n">
        <x:v>1.7412</x:v>
      </x:c>
      <x:c r="G2852" s="74" t="n">
        <x:v>0</x:v>
      </x:c>
      <x:c r="H2852" s="66" t="str">
        <x:v>祁腾蜂赢1号净值20260911.xlsx</x:v>
      </x:c>
      <x:c r="I2852" s="73" t="str">
        <x:f>""</x:f>
      </x:c>
      <x:c r="J2852" s="74" t="str">
        <x:f>""</x:f>
      </x:c>
      <x:c r="K2852" s="73" t="str">
        <x:f>""</x:f>
      </x:c>
      <x:c r="L2852" s="74" t="str">
        <x:f>""</x:f>
      </x:c>
      <x:c r="M2852" s="73" t="n">
        <x:f>MAX(M2851,F2852)</x:f>
        <x:v>1.7415</x:v>
      </x:c>
      <x:c r="N2852" s="74" t="n">
        <x:f>1-F2852/M2852</x:f>
        <x:v>0.00017226528854430434</x:v>
      </x:c>
    </x:row>
    <x:row r="2853" ht="27" customHeight="1">
      <x:c r="A2853" s="66" t="str">
        <x:v>SEV580</x:v>
      </x:c>
      <x:c r="B2853" s="66" t="str">
        <x:v>祁腾蜂赢1号</x:v>
      </x:c>
      <x:c r="C2853" s="72" t="n">
        <x:v>45175</x:v>
      </x:c>
      <x:c r="D2853" s="73" t="n">
        <x:v>1.0139</x:v>
      </x:c>
      <x:c r="E2853" s="73" t="n">
        <x:v>1.5802</x:v>
      </x:c>
      <x:c r="F2853" s="73" t="n">
        <x:v>1.7419</x:v>
      </x:c>
      <x:c r="G2853" s="74" t="n">
        <x:v>0.0004</x:v>
      </x:c>
      <x:c r="H2853" s="66" t="str">
        <x:v>祁腾蜂赢1号净值20260911.xlsx</x:v>
      </x:c>
      <x:c r="I2853" s="73" t="str">
        <x:f>""</x:f>
      </x:c>
      <x:c r="J2853" s="74" t="str">
        <x:f>""</x:f>
      </x:c>
      <x:c r="K2853" s="73" t="str">
        <x:f>""</x:f>
      </x:c>
      <x:c r="L2853" s="74" t="str">
        <x:f>""</x:f>
      </x:c>
      <x:c r="M2853" s="73" t="n">
        <x:f>MAX(M2852,F2853)</x:f>
        <x:v>1.7419</x:v>
      </x:c>
      <x:c r="N2853" s="74" t="n">
        <x:f>1-F2853/M2853</x:f>
        <x:v>0</x:v>
      </x:c>
    </x:row>
    <x:row r="2854" ht="27" customHeight="1">
      <x:c r="A2854" s="66" t="str">
        <x:v>SEV580</x:v>
      </x:c>
      <x:c r="B2854" s="66" t="str">
        <x:v>祁腾蜂赢1号</x:v>
      </x:c>
      <x:c r="C2854" s="72" t="n">
        <x:v>45176</x:v>
      </x:c>
      <x:c r="D2854" s="73" t="n">
        <x:v>1.0141</x:v>
      </x:c>
      <x:c r="E2854" s="73" t="n">
        <x:v>1.5804</x:v>
      </x:c>
      <x:c r="F2854" s="73" t="n">
        <x:v>1.7422</x:v>
      </x:c>
      <x:c r="G2854" s="74" t="n">
        <x:v>0.0002</x:v>
      </x:c>
      <x:c r="H2854" s="66" t="str">
        <x:v>祁腾蜂赢1号净值20260911.xlsx</x:v>
      </x:c>
      <x:c r="I2854" s="73" t="str">
        <x:f>""</x:f>
      </x:c>
      <x:c r="J2854" s="74" t="str">
        <x:f>""</x:f>
      </x:c>
      <x:c r="K2854" s="73" t="str">
        <x:f>""</x:f>
      </x:c>
      <x:c r="L2854" s="74" t="str">
        <x:f>""</x:f>
      </x:c>
      <x:c r="M2854" s="73" t="n">
        <x:f>MAX(M2853,F2854)</x:f>
        <x:v>1.7422</x:v>
      </x:c>
      <x:c r="N2854" s="74" t="n">
        <x:f>1-F2854/M2854</x:f>
        <x:v>0</x:v>
      </x:c>
    </x:row>
    <x:row r="2855" ht="27" customHeight="1">
      <x:c r="A2855" s="66" t="str">
        <x:v>SEV580</x:v>
      </x:c>
      <x:c r="B2855" s="66" t="str">
        <x:v>祁腾蜂赢1号</x:v>
      </x:c>
      <x:c r="C2855" s="72" t="n">
        <x:v>45177</x:v>
      </x:c>
      <x:c r="D2855" s="73" t="n">
        <x:v>1.0143</x:v>
      </x:c>
      <x:c r="E2855" s="73" t="n">
        <x:v>1.5806</x:v>
      </x:c>
      <x:c r="F2855" s="73" t="n">
        <x:v>1.7426</x:v>
      </x:c>
      <x:c r="G2855" s="74" t="n">
        <x:v>0.0002</x:v>
      </x:c>
      <x:c r="H2855" s="66" t="str">
        <x:v>祁腾蜂赢1号净值20260911.xlsx</x:v>
      </x:c>
      <x:c r="I2855" s="73" t="str">
        <x:f>""</x:f>
      </x:c>
      <x:c r="J2855" s="74" t="str">
        <x:f>""</x:f>
      </x:c>
      <x:c r="K2855" s="73" t="n">
        <x:f>F2855</x:f>
        <x:v>1.7426</x:v>
      </x:c>
      <x:c r="L2855" s="74" t="n">
        <x:f>1-F2855/K2855</x:f>
        <x:v>0</x:v>
      </x:c>
      <x:c r="M2855" s="73" t="n">
        <x:f>MAX(M2854,F2855)</x:f>
        <x:v>1.7426</x:v>
      </x:c>
      <x:c r="N2855" s="74" t="n">
        <x:f>1-F2855/M2855</x:f>
        <x:v>0</x:v>
      </x:c>
    </x:row>
    <x:row r="2856" ht="27" customHeight="1">
      <x:c r="A2856" s="66" t="str">
        <x:v>SEV580</x:v>
      </x:c>
      <x:c r="B2856" s="66" t="str">
        <x:v>祁腾蜂赢1号</x:v>
      </x:c>
      <x:c r="C2856" s="72" t="n">
        <x:v>45180</x:v>
      </x:c>
      <x:c r="D2856" s="73" t="n">
        <x:v>1.0146</x:v>
      </x:c>
      <x:c r="E2856" s="73" t="n">
        <x:v>1.5809</x:v>
      </x:c>
      <x:c r="F2856" s="73" t="n">
        <x:v>1.7431</x:v>
      </x:c>
      <x:c r="G2856" s="74" t="n">
        <x:v>0.0003</x:v>
      </x:c>
      <x:c r="H2856" s="66" t="str">
        <x:v>祁腾蜂赢1号净值20260911.xlsx</x:v>
      </x:c>
      <x:c r="I2856" s="73" t="str">
        <x:f>""</x:f>
      </x:c>
      <x:c r="J2856" s="74" t="str">
        <x:f>""</x:f>
      </x:c>
      <x:c r="K2856" s="73" t="n">
        <x:f>MAX(K2855,F2856)</x:f>
        <x:v>1.7431</x:v>
      </x:c>
      <x:c r="L2856" s="74" t="n">
        <x:f>1-F2856/K2856</x:f>
        <x:v>0</x:v>
      </x:c>
      <x:c r="M2856" s="73" t="n">
        <x:f>MAX(M2855,F2856)</x:f>
        <x:v>1.7431</x:v>
      </x:c>
      <x:c r="N2856" s="74" t="n">
        <x:f>1-F2856/M2856</x:f>
        <x:v>0</x:v>
      </x:c>
    </x:row>
    <x:row r="2857" ht="27" customHeight="1">
      <x:c r="A2857" s="66" t="str">
        <x:v>SEV580</x:v>
      </x:c>
      <x:c r="B2857" s="66" t="str">
        <x:v>祁腾蜂赢1号</x:v>
      </x:c>
      <x:c r="C2857" s="72" t="n">
        <x:v>45181</x:v>
      </x:c>
      <x:c r="D2857" s="73" t="n">
        <x:v>1.0149</x:v>
      </x:c>
      <x:c r="E2857" s="73" t="n">
        <x:v>1.5812</x:v>
      </x:c>
      <x:c r="F2857" s="73" t="n">
        <x:v>1.7436</x:v>
      </x:c>
      <x:c r="G2857" s="74" t="n">
        <x:v>0.0003</x:v>
      </x:c>
      <x:c r="H2857" s="66" t="str">
        <x:v>祁腾蜂赢1号净值20260911.xlsx</x:v>
      </x:c>
      <x:c r="I2857" s="73" t="str">
        <x:f>""</x:f>
      </x:c>
      <x:c r="J2857" s="74" t="str">
        <x:f>""</x:f>
      </x:c>
      <x:c r="K2857" s="73" t="n">
        <x:f>MAX(K2856,F2857)</x:f>
        <x:v>1.7436</x:v>
      </x:c>
      <x:c r="L2857" s="74" t="n">
        <x:f>1-F2857/K2857</x:f>
        <x:v>0</x:v>
      </x:c>
      <x:c r="M2857" s="73" t="n">
        <x:f>MAX(M2856,F2857)</x:f>
        <x:v>1.7436</x:v>
      </x:c>
      <x:c r="N2857" s="74" t="n">
        <x:f>1-F2857/M2857</x:f>
        <x:v>0</x:v>
      </x:c>
    </x:row>
    <x:row r="2858" ht="27" customHeight="1">
      <x:c r="A2858" s="66" t="str">
        <x:v>SEV580</x:v>
      </x:c>
      <x:c r="B2858" s="66" t="str">
        <x:v>祁腾蜂赢1号</x:v>
      </x:c>
      <x:c r="C2858" s="72" t="n">
        <x:v>45182</x:v>
      </x:c>
      <x:c r="D2858" s="73" t="n">
        <x:v>1.0149</x:v>
      </x:c>
      <x:c r="E2858" s="73" t="n">
        <x:v>1.5812</x:v>
      </x:c>
      <x:c r="F2858" s="73" t="n">
        <x:v>1.7436</x:v>
      </x:c>
      <x:c r="G2858" s="74" t="n">
        <x:v>0</x:v>
      </x:c>
      <x:c r="H2858" s="66" t="str">
        <x:v>祁腾蜂赢1号净值20260911.xlsx</x:v>
      </x:c>
      <x:c r="I2858" s="73" t="str">
        <x:f>""</x:f>
      </x:c>
      <x:c r="J2858" s="74" t="str">
        <x:f>""</x:f>
      </x:c>
      <x:c r="K2858" s="73" t="n">
        <x:f>MAX(K2857,F2858)</x:f>
        <x:v>1.7436</x:v>
      </x:c>
      <x:c r="L2858" s="74" t="n">
        <x:f>1-F2858/K2858</x:f>
        <x:v>0</x:v>
      </x:c>
      <x:c r="M2858" s="73" t="n">
        <x:f>MAX(M2857,F2858)</x:f>
        <x:v>1.7436</x:v>
      </x:c>
      <x:c r="N2858" s="74" t="n">
        <x:f>1-F2858/M2858</x:f>
        <x:v>0</x:v>
      </x:c>
    </x:row>
    <x:row r="2859" ht="27" customHeight="1">
      <x:c r="A2859" s="66" t="str">
        <x:v>SEV580</x:v>
      </x:c>
      <x:c r="B2859" s="66" t="str">
        <x:v>祁腾蜂赢1号</x:v>
      </x:c>
      <x:c r="C2859" s="72" t="n">
        <x:v>45183</x:v>
      </x:c>
      <x:c r="D2859" s="73" t="n">
        <x:v>1.0148</x:v>
      </x:c>
      <x:c r="E2859" s="73" t="n">
        <x:v>1.5811</x:v>
      </x:c>
      <x:c r="F2859" s="73" t="n">
        <x:v>1.7434</x:v>
      </x:c>
      <x:c r="G2859" s="74" t="n">
        <x:v>-0.0001</x:v>
      </x:c>
      <x:c r="H2859" s="66" t="str">
        <x:v>祁腾蜂赢1号净值20260911.xlsx</x:v>
      </x:c>
      <x:c r="I2859" s="73" t="str">
        <x:f>""</x:f>
      </x:c>
      <x:c r="J2859" s="74" t="str">
        <x:f>""</x:f>
      </x:c>
      <x:c r="K2859" s="73" t="n">
        <x:f>MAX(K2858,F2859)</x:f>
        <x:v>1.7436</x:v>
      </x:c>
      <x:c r="L2859" s="74" t="n">
        <x:f>1-F2859/K2859</x:f>
        <x:v>0.00011470520761636127</x:v>
      </x:c>
      <x:c r="M2859" s="73" t="n">
        <x:f>MAX(M2858,F2859)</x:f>
        <x:v>1.7436</x:v>
      </x:c>
      <x:c r="N2859" s="74" t="n">
        <x:f>1-F2859/M2859</x:f>
        <x:v>0.00011470520761636127</x:v>
      </x:c>
    </x:row>
    <x:row r="2860" ht="27" customHeight="1">
      <x:c r="A2860" s="66" t="str">
        <x:v>SEV580</x:v>
      </x:c>
      <x:c r="B2860" s="66" t="str">
        <x:v>祁腾蜂赢1号</x:v>
      </x:c>
      <x:c r="C2860" s="72" t="n">
        <x:v>45184</x:v>
      </x:c>
      <x:c r="D2860" s="73" t="n">
        <x:v>1.015</x:v>
      </x:c>
      <x:c r="E2860" s="73" t="n">
        <x:v>1.5813</x:v>
      </x:c>
      <x:c r="F2860" s="73" t="n">
        <x:v>1.7438</x:v>
      </x:c>
      <x:c r="G2860" s="74" t="n">
        <x:v>0.0002</x:v>
      </x:c>
      <x:c r="H2860" s="66" t="str">
        <x:v>祁腾蜂赢1号净值20260911.xlsx</x:v>
      </x:c>
      <x:c r="I2860" s="73" t="str">
        <x:f>""</x:f>
      </x:c>
      <x:c r="J2860" s="74" t="str">
        <x:f>""</x:f>
      </x:c>
      <x:c r="K2860" s="73" t="n">
        <x:f>MAX(K2859,F2860)</x:f>
        <x:v>1.7438</x:v>
      </x:c>
      <x:c r="L2860" s="74" t="n">
        <x:f>1-F2860/K2860</x:f>
        <x:v>0</x:v>
      </x:c>
      <x:c r="M2860" s="73" t="n">
        <x:f>MAX(M2859,F2860)</x:f>
        <x:v>1.7438</x:v>
      </x:c>
      <x:c r="N2860" s="74" t="n">
        <x:f>1-F2860/M2860</x:f>
        <x:v>0</x:v>
      </x:c>
    </x:row>
    <x:row r="2861" ht="27" customHeight="1">
      <x:c r="A2861" s="66" t="str">
        <x:v>SEV580</x:v>
      </x:c>
      <x:c r="B2861" s="66" t="str">
        <x:v>祁腾蜂赢1号</x:v>
      </x:c>
      <x:c r="C2861" s="72" t="n">
        <x:v>45187</x:v>
      </x:c>
      <x:c r="D2861" s="73" t="n">
        <x:v>1.0149</x:v>
      </x:c>
      <x:c r="E2861" s="73" t="n">
        <x:v>1.5812</x:v>
      </x:c>
      <x:c r="F2861" s="73" t="n">
        <x:v>1.7436</x:v>
      </x:c>
      <x:c r="G2861" s="74" t="n">
        <x:v>-0.0001</x:v>
      </x:c>
      <x:c r="H2861" s="66" t="str">
        <x:v>祁腾蜂赢1号净值20260911.xlsx</x:v>
      </x:c>
      <x:c r="I2861" s="73" t="str">
        <x:f>""</x:f>
      </x:c>
      <x:c r="J2861" s="74" t="str">
        <x:f>""</x:f>
      </x:c>
      <x:c r="K2861" s="73" t="n">
        <x:f>MAX(K2860,F2861)</x:f>
        <x:v>1.7438</x:v>
      </x:c>
      <x:c r="L2861" s="74" t="n">
        <x:f>1-F2861/K2861</x:f>
        <x:v>0.00011469205184078124</x:v>
      </x:c>
      <x:c r="M2861" s="73" t="n">
        <x:f>MAX(M2860,F2861)</x:f>
        <x:v>1.7438</x:v>
      </x:c>
      <x:c r="N2861" s="74" t="n">
        <x:f>1-F2861/M2861</x:f>
        <x:v>0.00011469205184078124</x:v>
      </x:c>
    </x:row>
    <x:row r="2862" ht="27" customHeight="1">
      <x:c r="A2862" s="66" t="str">
        <x:v>SEV580</x:v>
      </x:c>
      <x:c r="B2862" s="66" t="str">
        <x:v>祁腾蜂赢1号</x:v>
      </x:c>
      <x:c r="C2862" s="72" t="n">
        <x:v>45188</x:v>
      </x:c>
      <x:c r="D2862" s="73" t="n">
        <x:v>1.0148</x:v>
      </x:c>
      <x:c r="E2862" s="73" t="n">
        <x:v>1.5811</x:v>
      </x:c>
      <x:c r="F2862" s="73" t="n">
        <x:v>1.7434</x:v>
      </x:c>
      <x:c r="G2862" s="74" t="n">
        <x:v>-0.0001</x:v>
      </x:c>
      <x:c r="H2862" s="66" t="str">
        <x:v>祁腾蜂赢1号净值20260911.xlsx</x:v>
      </x:c>
      <x:c r="I2862" s="73" t="str">
        <x:f>""</x:f>
      </x:c>
      <x:c r="J2862" s="74" t="str">
        <x:f>""</x:f>
      </x:c>
      <x:c r="K2862" s="73" t="n">
        <x:f>MAX(K2861,F2862)</x:f>
        <x:v>1.7438</x:v>
      </x:c>
      <x:c r="L2862" s="74" t="n">
        <x:f>1-F2862/K2862</x:f>
        <x:v>0.00022938410368156248</x:v>
      </x:c>
      <x:c r="M2862" s="73" t="n">
        <x:f>MAX(M2861,F2862)</x:f>
        <x:v>1.7438</x:v>
      </x:c>
      <x:c r="N2862" s="74" t="n">
        <x:f>1-F2862/M2862</x:f>
        <x:v>0.00022938410368156248</x:v>
      </x:c>
    </x:row>
    <x:row r="2863" ht="27" customHeight="1">
      <x:c r="A2863" s="66" t="str">
        <x:v>SEV580</x:v>
      </x:c>
      <x:c r="B2863" s="66" t="str">
        <x:v>祁腾蜂赢1号</x:v>
      </x:c>
      <x:c r="C2863" s="72" t="n">
        <x:v>45189</x:v>
      </x:c>
      <x:c r="D2863" s="73" t="n">
        <x:v>1.0148</x:v>
      </x:c>
      <x:c r="E2863" s="73" t="n">
        <x:v>1.5811</x:v>
      </x:c>
      <x:c r="F2863" s="73" t="n">
        <x:v>1.7434</x:v>
      </x:c>
      <x:c r="G2863" s="74" t="n">
        <x:v>0</x:v>
      </x:c>
      <x:c r="H2863" s="66" t="str">
        <x:v>祁腾蜂赢1号净值20260911.xlsx</x:v>
      </x:c>
      <x:c r="I2863" s="73" t="str">
        <x:f>""</x:f>
      </x:c>
      <x:c r="J2863" s="74" t="str">
        <x:f>""</x:f>
      </x:c>
      <x:c r="K2863" s="73" t="n">
        <x:f>MAX(K2862,F2863)</x:f>
        <x:v>1.7438</x:v>
      </x:c>
      <x:c r="L2863" s="74" t="n">
        <x:f>1-F2863/K2863</x:f>
        <x:v>0.00022938410368156248</x:v>
      </x:c>
      <x:c r="M2863" s="73" t="n">
        <x:f>MAX(M2862,F2863)</x:f>
        <x:v>1.7438</x:v>
      </x:c>
      <x:c r="N2863" s="74" t="n">
        <x:f>1-F2863/M2863</x:f>
        <x:v>0.00022938410368156248</x:v>
      </x:c>
    </x:row>
    <x:row r="2864" ht="27" customHeight="1">
      <x:c r="A2864" s="66" t="str">
        <x:v>SEV580</x:v>
      </x:c>
      <x:c r="B2864" s="66" t="str">
        <x:v>祁腾蜂赢1号</x:v>
      </x:c>
      <x:c r="C2864" s="72" t="n">
        <x:v>45190</x:v>
      </x:c>
      <x:c r="D2864" s="73" t="n">
        <x:v>1.0181</x:v>
      </x:c>
      <x:c r="E2864" s="73" t="n">
        <x:v>1.5844</x:v>
      </x:c>
      <x:c r="F2864" s="73" t="n">
        <x:v>1.7491</x:v>
      </x:c>
      <x:c r="G2864" s="74" t="n">
        <x:v>0.0033</x:v>
      </x:c>
      <x:c r="H2864" s="66" t="str">
        <x:v>祁腾蜂赢1号净值20260911.xlsx</x:v>
      </x:c>
      <x:c r="I2864" s="73" t="str">
        <x:f>""</x:f>
      </x:c>
      <x:c r="J2864" s="74" t="str">
        <x:f>""</x:f>
      </x:c>
      <x:c r="K2864" s="73" t="n">
        <x:f>MAX(K2863,F2864)</x:f>
        <x:v>1.7491</x:v>
      </x:c>
      <x:c r="L2864" s="74" t="n">
        <x:f>1-F2864/K2864</x:f>
        <x:v>0</x:v>
      </x:c>
      <x:c r="M2864" s="73" t="n">
        <x:f>MAX(M2863,F2864)</x:f>
        <x:v>1.7491</x:v>
      </x:c>
      <x:c r="N2864" s="74" t="n">
        <x:f>1-F2864/M2864</x:f>
        <x:v>0</x:v>
      </x:c>
    </x:row>
    <x:row r="2865" ht="27" customHeight="1">
      <x:c r="A2865" s="66" t="str">
        <x:v>SEV580</x:v>
      </x:c>
      <x:c r="B2865" s="66" t="str">
        <x:v>祁腾蜂赢1号</x:v>
      </x:c>
      <x:c r="C2865" s="72" t="n">
        <x:v>45191</x:v>
      </x:c>
      <x:c r="D2865" s="73" t="n">
        <x:v>1.0182</x:v>
      </x:c>
      <x:c r="E2865" s="73" t="n">
        <x:v>1.5845</x:v>
      </x:c>
      <x:c r="F2865" s="73" t="n">
        <x:v>1.7493</x:v>
      </x:c>
      <x:c r="G2865" s="74" t="n">
        <x:v>0.0001</x:v>
      </x:c>
      <x:c r="H2865" s="66" t="str">
        <x:v>祁腾蜂赢1号净值20260911.xlsx</x:v>
      </x:c>
      <x:c r="I2865" s="73" t="str">
        <x:f>""</x:f>
      </x:c>
      <x:c r="J2865" s="74" t="str">
        <x:f>""</x:f>
      </x:c>
      <x:c r="K2865" s="73" t="n">
        <x:f>MAX(K2864,F2865)</x:f>
        <x:v>1.7493</x:v>
      </x:c>
      <x:c r="L2865" s="74" t="n">
        <x:f>1-F2865/K2865</x:f>
        <x:v>0</x:v>
      </x:c>
      <x:c r="M2865" s="73" t="n">
        <x:f>MAX(M2864,F2865)</x:f>
        <x:v>1.7493</x:v>
      </x:c>
      <x:c r="N2865" s="74" t="n">
        <x:f>1-F2865/M2865</x:f>
        <x:v>0</x:v>
      </x:c>
    </x:row>
    <x:row r="2866" ht="27" customHeight="1">
      <x:c r="A2866" s="66" t="str">
        <x:v>SEV580</x:v>
      </x:c>
      <x:c r="B2866" s="66" t="str">
        <x:v>祁腾蜂赢1号</x:v>
      </x:c>
      <x:c r="C2866" s="72" t="n">
        <x:v>45194</x:v>
      </x:c>
      <x:c r="D2866" s="73" t="n">
        <x:v>1.0178</x:v>
      </x:c>
      <x:c r="E2866" s="73" t="n">
        <x:v>1.5841</x:v>
      </x:c>
      <x:c r="F2866" s="73" t="n">
        <x:v>1.7486</x:v>
      </x:c>
      <x:c r="G2866" s="74" t="n">
        <x:v>-0.0004</x:v>
      </x:c>
      <x:c r="H2866" s="66" t="str">
        <x:v>祁腾蜂赢1号净值20260911.xlsx</x:v>
      </x:c>
      <x:c r="I2866" s="73" t="str">
        <x:f>""</x:f>
      </x:c>
      <x:c r="J2866" s="74" t="str">
        <x:f>""</x:f>
      </x:c>
      <x:c r="K2866" s="73" t="n">
        <x:f>MAX(K2865,F2866)</x:f>
        <x:v>1.7493</x:v>
      </x:c>
      <x:c r="L2866" s="74" t="n">
        <x:f>1-F2866/K2866</x:f>
        <x:v>0.0004001600640256564</x:v>
      </x:c>
      <x:c r="M2866" s="73" t="n">
        <x:f>MAX(M2865,F2866)</x:f>
        <x:v>1.7493</x:v>
      </x:c>
      <x:c r="N2866" s="74" t="n">
        <x:f>1-F2866/M2866</x:f>
        <x:v>0.0004001600640256564</x:v>
      </x:c>
    </x:row>
    <x:row r="2867" ht="27" customHeight="1">
      <x:c r="A2867" s="66" t="str">
        <x:v>SEV580</x:v>
      </x:c>
      <x:c r="B2867" s="66" t="str">
        <x:v>祁腾蜂赢1号</x:v>
      </x:c>
      <x:c r="C2867" s="72" t="n">
        <x:v>45195</x:v>
      </x:c>
      <x:c r="D2867" s="73" t="n">
        <x:v>1.0176</x:v>
      </x:c>
      <x:c r="E2867" s="73" t="n">
        <x:v>1.5839</x:v>
      </x:c>
      <x:c r="F2867" s="73" t="n">
        <x:v>1.7482</x:v>
      </x:c>
      <x:c r="G2867" s="74" t="n">
        <x:v>-0.0002</x:v>
      </x:c>
      <x:c r="H2867" s="66" t="str">
        <x:v>祁腾蜂赢1号净值20260911.xlsx</x:v>
      </x:c>
      <x:c r="I2867" s="73" t="str">
        <x:f>""</x:f>
      </x:c>
      <x:c r="J2867" s="74" t="str">
        <x:f>""</x:f>
      </x:c>
      <x:c r="K2867" s="73" t="n">
        <x:f>MAX(K2866,F2867)</x:f>
        <x:v>1.7493</x:v>
      </x:c>
      <x:c r="L2867" s="74" t="n">
        <x:f>1-F2867/K2867</x:f>
        <x:v>0.0006288229577545712</x:v>
      </x:c>
      <x:c r="M2867" s="73" t="n">
        <x:f>MAX(M2866,F2867)</x:f>
        <x:v>1.7493</x:v>
      </x:c>
      <x:c r="N2867" s="74" t="n">
        <x:f>1-F2867/M2867</x:f>
        <x:v>0.0006288229577545712</x:v>
      </x:c>
    </x:row>
    <x:row r="2868" ht="27" customHeight="1">
      <x:c r="A2868" s="66" t="str">
        <x:v>SEV580</x:v>
      </x:c>
      <x:c r="B2868" s="66" t="str">
        <x:v>祁腾蜂赢1号</x:v>
      </x:c>
      <x:c r="C2868" s="72" t="n">
        <x:v>45196</x:v>
      </x:c>
      <x:c r="D2868" s="73" t="n">
        <x:v>1.0191</x:v>
      </x:c>
      <x:c r="E2868" s="73" t="n">
        <x:v>1.5854</x:v>
      </x:c>
      <x:c r="F2868" s="73" t="n">
        <x:v>1.7508</x:v>
      </x:c>
      <x:c r="G2868" s="74" t="n">
        <x:v>0.0015</x:v>
      </x:c>
      <x:c r="H2868" s="66" t="str">
        <x:v>祁腾蜂赢1号净值20260911.xlsx</x:v>
      </x:c>
      <x:c r="I2868" s="73" t="str">
        <x:f>""</x:f>
      </x:c>
      <x:c r="J2868" s="74" t="str">
        <x:f>""</x:f>
      </x:c>
      <x:c r="K2868" s="73" t="n">
        <x:f>MAX(K2867,F2868)</x:f>
        <x:v>1.7508</x:v>
      </x:c>
      <x:c r="L2868" s="74" t="n">
        <x:f>1-F2868/K2868</x:f>
        <x:v>0</x:v>
      </x:c>
      <x:c r="M2868" s="73" t="n">
        <x:f>MAX(M2867,F2868)</x:f>
        <x:v>1.7508</x:v>
      </x:c>
      <x:c r="N2868" s="74" t="n">
        <x:f>1-F2868/M2868</x:f>
        <x:v>0</x:v>
      </x:c>
    </x:row>
    <x:row r="2869" ht="27" customHeight="1">
      <x:c r="A2869" s="66" t="str">
        <x:v>SEV580</x:v>
      </x:c>
      <x:c r="B2869" s="66" t="str">
        <x:v>祁腾蜂赢1号</x:v>
      </x:c>
      <x:c r="C2869" s="72" t="n">
        <x:v>45197</x:v>
      </x:c>
      <x:c r="D2869" s="73" t="n">
        <x:v>1.019</x:v>
      </x:c>
      <x:c r="E2869" s="73" t="n">
        <x:v>1.5853</x:v>
      </x:c>
      <x:c r="F2869" s="73" t="n">
        <x:v>1.7506</x:v>
      </x:c>
      <x:c r="G2869" s="74" t="n">
        <x:v>-0.0001</x:v>
      </x:c>
      <x:c r="H2869" s="66" t="str">
        <x:v>祁腾蜂赢1号净值20260911.xlsx</x:v>
      </x:c>
      <x:c r="I2869" s="73" t="str">
        <x:f>""</x:f>
      </x:c>
      <x:c r="J2869" s="74" t="str">
        <x:f>""</x:f>
      </x:c>
      <x:c r="K2869" s="73" t="n">
        <x:f>MAX(K2868,F2869)</x:f>
        <x:v>1.7508</x:v>
      </x:c>
      <x:c r="L2869" s="74" t="n">
        <x:f>1-F2869/K2869</x:f>
        <x:v>0.00011423349326022958</x:v>
      </x:c>
      <x:c r="M2869" s="73" t="n">
        <x:f>MAX(M2868,F2869)</x:f>
        <x:v>1.7508</x:v>
      </x:c>
      <x:c r="N2869" s="74" t="n">
        <x:f>1-F2869/M2869</x:f>
        <x:v>0.00011423349326022958</x:v>
      </x:c>
    </x:row>
    <x:row r="2870" ht="27" customHeight="1">
      <x:c r="A2870" s="66" t="str">
        <x:v>SEV580</x:v>
      </x:c>
      <x:c r="B2870" s="66" t="str">
        <x:v>祁腾蜂赢1号</x:v>
      </x:c>
      <x:c r="C2870" s="72" t="n">
        <x:v>45208</x:v>
      </x:c>
      <x:c r="D2870" s="73" t="n">
        <x:v>1.0195</x:v>
      </x:c>
      <x:c r="E2870" s="73" t="n">
        <x:v>1.5858</x:v>
      </x:c>
      <x:c r="F2870" s="73" t="n">
        <x:v>1.7515</x:v>
      </x:c>
      <x:c r="G2870" s="74" t="n">
        <x:v>0.0005</x:v>
      </x:c>
      <x:c r="H2870" s="66" t="str">
        <x:v>祁腾蜂赢1号净值20260911.xlsx</x:v>
      </x:c>
      <x:c r="I2870" s="73" t="str">
        <x:f>""</x:f>
      </x:c>
      <x:c r="J2870" s="74" t="str">
        <x:f>""</x:f>
      </x:c>
      <x:c r="K2870" s="73" t="n">
        <x:f>MAX(K2869,F2870)</x:f>
        <x:v>1.7515</x:v>
      </x:c>
      <x:c r="L2870" s="74" t="n">
        <x:f>1-F2870/K2870</x:f>
        <x:v>0</x:v>
      </x:c>
      <x:c r="M2870" s="73" t="n">
        <x:f>MAX(M2869,F2870)</x:f>
        <x:v>1.7515</x:v>
      </x:c>
      <x:c r="N2870" s="74" t="n">
        <x:f>1-F2870/M2870</x:f>
        <x:v>0</x:v>
      </x:c>
    </x:row>
    <x:row r="2871" ht="27" customHeight="1">
      <x:c r="A2871" s="66" t="str">
        <x:v>SEV580</x:v>
      </x:c>
      <x:c r="B2871" s="66" t="str">
        <x:v>祁腾蜂赢1号</x:v>
      </x:c>
      <x:c r="C2871" s="72" t="n">
        <x:v>45209</x:v>
      </x:c>
      <x:c r="D2871" s="73" t="n">
        <x:v>1.0194</x:v>
      </x:c>
      <x:c r="E2871" s="73" t="n">
        <x:v>1.5857</x:v>
      </x:c>
      <x:c r="F2871" s="73" t="n">
        <x:v>1.7513</x:v>
      </x:c>
      <x:c r="G2871" s="74" t="n">
        <x:v>-0.0001</x:v>
      </x:c>
      <x:c r="H2871" s="66" t="str">
        <x:v>祁腾蜂赢1号净值20260911.xlsx</x:v>
      </x:c>
      <x:c r="I2871" s="73" t="str">
        <x:f>""</x:f>
      </x:c>
      <x:c r="J2871" s="74" t="str">
        <x:f>""</x:f>
      </x:c>
      <x:c r="K2871" s="73" t="n">
        <x:f>MAX(K2870,F2871)</x:f>
        <x:v>1.7515</x:v>
      </x:c>
      <x:c r="L2871" s="74" t="n">
        <x:f>1-F2871/K2871</x:f>
        <x:v>0.00011418783899508345</x:v>
      </x:c>
      <x:c r="M2871" s="73" t="n">
        <x:f>MAX(M2870,F2871)</x:f>
        <x:v>1.7515</x:v>
      </x:c>
      <x:c r="N2871" s="74" t="n">
        <x:f>1-F2871/M2871</x:f>
        <x:v>0.00011418783899508345</x:v>
      </x:c>
    </x:row>
    <x:row r="2872" ht="27" customHeight="1">
      <x:c r="A2872" s="66" t="str">
        <x:v>SEV580</x:v>
      </x:c>
      <x:c r="B2872" s="66" t="str">
        <x:v>祁腾蜂赢1号</x:v>
      </x:c>
      <x:c r="C2872" s="72" t="n">
        <x:v>45210</x:v>
      </x:c>
      <x:c r="D2872" s="73" t="n">
        <x:v>1.0198</x:v>
      </x:c>
      <x:c r="E2872" s="73" t="n">
        <x:v>1.5861</x:v>
      </x:c>
      <x:c r="F2872" s="73" t="n">
        <x:v>1.752</x:v>
      </x:c>
      <x:c r="G2872" s="74" t="n">
        <x:v>0.0004</x:v>
      </x:c>
      <x:c r="H2872" s="66" t="str">
        <x:v>祁腾蜂赢1号净值20260911.xlsx</x:v>
      </x:c>
      <x:c r="I2872" s="73" t="str">
        <x:f>""</x:f>
      </x:c>
      <x:c r="J2872" s="74" t="str">
        <x:f>""</x:f>
      </x:c>
      <x:c r="K2872" s="73" t="n">
        <x:f>MAX(K2871,F2872)</x:f>
        <x:v>1.752</x:v>
      </x:c>
      <x:c r="L2872" s="74" t="n">
        <x:f>1-F2872/K2872</x:f>
        <x:v>0</x:v>
      </x:c>
      <x:c r="M2872" s="73" t="n">
        <x:f>MAX(M2871,F2872)</x:f>
        <x:v>1.752</x:v>
      </x:c>
      <x:c r="N2872" s="74" t="n">
        <x:f>1-F2872/M2872</x:f>
        <x:v>0</x:v>
      </x:c>
    </x:row>
    <x:row r="2873" ht="27" customHeight="1">
      <x:c r="A2873" s="66" t="str">
        <x:v>SEV580</x:v>
      </x:c>
      <x:c r="B2873" s="66" t="str">
        <x:v>祁腾蜂赢1号</x:v>
      </x:c>
      <x:c r="C2873" s="72" t="n">
        <x:v>45211</x:v>
      </x:c>
      <x:c r="D2873" s="73" t="n">
        <x:v>1.0199</x:v>
      </x:c>
      <x:c r="E2873" s="73" t="n">
        <x:v>1.5862</x:v>
      </x:c>
      <x:c r="F2873" s="73" t="n">
        <x:v>1.7522</x:v>
      </x:c>
      <x:c r="G2873" s="74" t="n">
        <x:v>0.0001</x:v>
      </x:c>
      <x:c r="H2873" s="66" t="str">
        <x:v>祁腾蜂赢1号净值20260911.xlsx</x:v>
      </x:c>
      <x:c r="I2873" s="73" t="str">
        <x:f>""</x:f>
      </x:c>
      <x:c r="J2873" s="74" t="str">
        <x:f>""</x:f>
      </x:c>
      <x:c r="K2873" s="73" t="n">
        <x:f>MAX(K2872,F2873)</x:f>
        <x:v>1.7522</x:v>
      </x:c>
      <x:c r="L2873" s="74" t="n">
        <x:f>1-F2873/K2873</x:f>
        <x:v>0</x:v>
      </x:c>
      <x:c r="M2873" s="73" t="n">
        <x:f>MAX(M2872,F2873)</x:f>
        <x:v>1.7522</x:v>
      </x:c>
      <x:c r="N2873" s="74" t="n">
        <x:f>1-F2873/M2873</x:f>
        <x:v>0</x:v>
      </x:c>
    </x:row>
    <x:row r="2874" ht="27" customHeight="1">
      <x:c r="A2874" s="66" t="str">
        <x:v>SEV580</x:v>
      </x:c>
      <x:c r="B2874" s="66" t="str">
        <x:v>祁腾蜂赢1号</x:v>
      </x:c>
      <x:c r="C2874" s="72" t="n">
        <x:v>45212</x:v>
      </x:c>
      <x:c r="D2874" s="73" t="n">
        <x:v>1.0204</x:v>
      </x:c>
      <x:c r="E2874" s="73" t="n">
        <x:v>1.5867</x:v>
      </x:c>
      <x:c r="F2874" s="73" t="n">
        <x:v>1.753</x:v>
      </x:c>
      <x:c r="G2874" s="74" t="n">
        <x:v>0.0005</x:v>
      </x:c>
      <x:c r="H2874" s="66" t="str">
        <x:v>祁腾蜂赢1号净值20260911.xlsx</x:v>
      </x:c>
      <x:c r="I2874" s="73" t="str">
        <x:f>""</x:f>
      </x:c>
      <x:c r="J2874" s="74" t="str">
        <x:f>""</x:f>
      </x:c>
      <x:c r="K2874" s="73" t="n">
        <x:f>MAX(K2873,F2874)</x:f>
        <x:v>1.753</x:v>
      </x:c>
      <x:c r="L2874" s="74" t="n">
        <x:f>1-F2874/K2874</x:f>
        <x:v>0</x:v>
      </x:c>
      <x:c r="M2874" s="73" t="n">
        <x:f>MAX(M2873,F2874)</x:f>
        <x:v>1.753</x:v>
      </x:c>
      <x:c r="N2874" s="74" t="n">
        <x:f>1-F2874/M2874</x:f>
        <x:v>0</x:v>
      </x:c>
    </x:row>
    <x:row r="2875" ht="27" customHeight="1">
      <x:c r="A2875" s="66" t="str">
        <x:v>SEV580</x:v>
      </x:c>
      <x:c r="B2875" s="66" t="str">
        <x:v>祁腾蜂赢1号</x:v>
      </x:c>
      <x:c r="C2875" s="72" t="n">
        <x:v>45215</x:v>
      </x:c>
      <x:c r="D2875" s="73" t="n">
        <x:v>1.0204</x:v>
      </x:c>
      <x:c r="E2875" s="73" t="n">
        <x:v>1.5867</x:v>
      </x:c>
      <x:c r="F2875" s="73" t="n">
        <x:v>1.753</x:v>
      </x:c>
      <x:c r="G2875" s="74" t="n">
        <x:v>0</x:v>
      </x:c>
      <x:c r="H2875" s="66" t="str">
        <x:v>祁腾蜂赢1号净值20260911.xlsx</x:v>
      </x:c>
      <x:c r="I2875" s="73" t="str">
        <x:f>""</x:f>
      </x:c>
      <x:c r="J2875" s="74" t="str">
        <x:f>""</x:f>
      </x:c>
      <x:c r="K2875" s="73" t="n">
        <x:f>MAX(K2874,F2875)</x:f>
        <x:v>1.753</x:v>
      </x:c>
      <x:c r="L2875" s="74" t="n">
        <x:f>1-F2875/K2875</x:f>
        <x:v>0</x:v>
      </x:c>
      <x:c r="M2875" s="73" t="n">
        <x:f>MAX(M2874,F2875)</x:f>
        <x:v>1.753</x:v>
      </x:c>
      <x:c r="N2875" s="74" t="n">
        <x:f>1-F2875/M2875</x:f>
        <x:v>0</x:v>
      </x:c>
    </x:row>
    <x:row r="2876" ht="27" customHeight="1">
      <x:c r="A2876" s="66" t="str">
        <x:v>SEV580</x:v>
      </x:c>
      <x:c r="B2876" s="66" t="str">
        <x:v>祁腾蜂赢1号</x:v>
      </x:c>
      <x:c r="C2876" s="72" t="n">
        <x:v>45216</x:v>
      </x:c>
      <x:c r="D2876" s="73" t="n">
        <x:v>1.0203</x:v>
      </x:c>
      <x:c r="E2876" s="73" t="n">
        <x:v>1.5866</x:v>
      </x:c>
      <x:c r="F2876" s="73" t="n">
        <x:v>1.7529</x:v>
      </x:c>
      <x:c r="G2876" s="74" t="n">
        <x:v>-0.0001</x:v>
      </x:c>
      <x:c r="H2876" s="66" t="str">
        <x:v>祁腾蜂赢1号净值20260911.xlsx</x:v>
      </x:c>
      <x:c r="I2876" s="73" t="str">
        <x:f>""</x:f>
      </x:c>
      <x:c r="J2876" s="74" t="str">
        <x:f>""</x:f>
      </x:c>
      <x:c r="K2876" s="73" t="n">
        <x:f>MAX(K2875,F2876)</x:f>
        <x:v>1.753</x:v>
      </x:c>
      <x:c r="L2876" s="74" t="n">
        <x:f>1-F2876/K2876</x:f>
        <x:v>0.000057045065601779577</x:v>
      </x:c>
      <x:c r="M2876" s="73" t="n">
        <x:f>MAX(M2875,F2876)</x:f>
        <x:v>1.753</x:v>
      </x:c>
      <x:c r="N2876" s="74" t="n">
        <x:f>1-F2876/M2876</x:f>
        <x:v>0.000057045065601779577</x:v>
      </x:c>
    </x:row>
    <x:row r="2877" ht="27" customHeight="1">
      <x:c r="A2877" s="66" t="str">
        <x:v>SEV580</x:v>
      </x:c>
      <x:c r="B2877" s="66" t="str">
        <x:v>祁腾蜂赢1号</x:v>
      </x:c>
      <x:c r="C2877" s="72" t="n">
        <x:v>45217</x:v>
      </x:c>
      <x:c r="D2877" s="73" t="n">
        <x:v>1.0207</x:v>
      </x:c>
      <x:c r="E2877" s="73" t="n">
        <x:v>1.587</x:v>
      </x:c>
      <x:c r="F2877" s="73" t="n">
        <x:v>1.7536</x:v>
      </x:c>
      <x:c r="G2877" s="74" t="n">
        <x:v>0.0004</x:v>
      </x:c>
      <x:c r="H2877" s="66" t="str">
        <x:v>祁腾蜂赢1号净值20260911.xlsx</x:v>
      </x:c>
      <x:c r="I2877" s="73" t="str">
        <x:f>""</x:f>
      </x:c>
      <x:c r="J2877" s="74" t="str">
        <x:f>""</x:f>
      </x:c>
      <x:c r="K2877" s="73" t="n">
        <x:f>MAX(K2876,F2877)</x:f>
        <x:v>1.7536</x:v>
      </x:c>
      <x:c r="L2877" s="74" t="n">
        <x:f>1-F2877/K2877</x:f>
        <x:v>0</x:v>
      </x:c>
      <x:c r="M2877" s="73" t="n">
        <x:f>MAX(M2876,F2877)</x:f>
        <x:v>1.7536</x:v>
      </x:c>
      <x:c r="N2877" s="74" t="n">
        <x:f>1-F2877/M2877</x:f>
        <x:v>0</x:v>
      </x:c>
    </x:row>
    <x:row r="2878" ht="27" customHeight="1">
      <x:c r="A2878" s="66" t="str">
        <x:v>SEV580</x:v>
      </x:c>
      <x:c r="B2878" s="66" t="str">
        <x:v>祁腾蜂赢1号</x:v>
      </x:c>
      <x:c r="C2878" s="72" t="n">
        <x:v>45218</x:v>
      </x:c>
      <x:c r="D2878" s="73" t="n">
        <x:v>1.0194</x:v>
      </x:c>
      <x:c r="E2878" s="73" t="n">
        <x:v>1.5857</x:v>
      </x:c>
      <x:c r="F2878" s="73" t="n">
        <x:v>1.7513</x:v>
      </x:c>
      <x:c r="G2878" s="74" t="n">
        <x:v>-0.0013</x:v>
      </x:c>
      <x:c r="H2878" s="66" t="str">
        <x:v>祁腾蜂赢1号净值20260911.xlsx</x:v>
      </x:c>
      <x:c r="I2878" s="73" t="str">
        <x:f>""</x:f>
      </x:c>
      <x:c r="J2878" s="74" t="str">
        <x:f>""</x:f>
      </x:c>
      <x:c r="K2878" s="73" t="n">
        <x:f>MAX(K2877,F2878)</x:f>
        <x:v>1.7536</x:v>
      </x:c>
      <x:c r="L2878" s="74" t="n">
        <x:f>1-F2878/K2878</x:f>
        <x:v>0.001311587591240837</x:v>
      </x:c>
      <x:c r="M2878" s="73" t="n">
        <x:f>MAX(M2877,F2878)</x:f>
        <x:v>1.7536</x:v>
      </x:c>
      <x:c r="N2878" s="74" t="n">
        <x:f>1-F2878/M2878</x:f>
        <x:v>0.001311587591240837</x:v>
      </x:c>
    </x:row>
    <x:row r="2879" ht="27" customHeight="1">
      <x:c r="A2879" s="66" t="str">
        <x:v>SEV580</x:v>
      </x:c>
      <x:c r="B2879" s="66" t="str">
        <x:v>祁腾蜂赢1号</x:v>
      </x:c>
      <x:c r="C2879" s="72" t="n">
        <x:v>45219</x:v>
      </x:c>
      <x:c r="D2879" s="73" t="n">
        <x:v>1.0193</x:v>
      </x:c>
      <x:c r="E2879" s="73" t="n">
        <x:v>1.5856</x:v>
      </x:c>
      <x:c r="F2879" s="73" t="n">
        <x:v>1.7511</x:v>
      </x:c>
      <x:c r="G2879" s="74" t="n">
        <x:v>-0.0001</x:v>
      </x:c>
      <x:c r="H2879" s="66" t="str">
        <x:v>祁腾蜂赢1号净值20260911.xlsx</x:v>
      </x:c>
      <x:c r="I2879" s="73" t="str">
        <x:f>""</x:f>
      </x:c>
      <x:c r="J2879" s="74" t="str">
        <x:f>""</x:f>
      </x:c>
      <x:c r="K2879" s="73" t="n">
        <x:f>MAX(K2878,F2879)</x:f>
        <x:v>1.7536</x:v>
      </x:c>
      <x:c r="L2879" s="74" t="n">
        <x:f>1-F2879/K2879</x:f>
        <x:v>0.0014256386861313253</x:v>
      </x:c>
      <x:c r="M2879" s="73" t="n">
        <x:f>MAX(M2878,F2879)</x:f>
        <x:v>1.7536</x:v>
      </x:c>
      <x:c r="N2879" s="74" t="n">
        <x:f>1-F2879/M2879</x:f>
        <x:v>0.0014256386861313253</x:v>
      </x:c>
    </x:row>
    <x:row r="2880" ht="27" customHeight="1">
      <x:c r="A2880" s="66" t="str">
        <x:v>SEV580</x:v>
      </x:c>
      <x:c r="B2880" s="66" t="str">
        <x:v>祁腾蜂赢1号</x:v>
      </x:c>
      <x:c r="C2880" s="72" t="n">
        <x:v>45222</x:v>
      </x:c>
      <x:c r="D2880" s="73" t="n">
        <x:v>1.0187</x:v>
      </x:c>
      <x:c r="E2880" s="73" t="n">
        <x:v>1.585</x:v>
      </x:c>
      <x:c r="F2880" s="73" t="n">
        <x:v>1.7501</x:v>
      </x:c>
      <x:c r="G2880" s="74" t="n">
        <x:v>-0.0006</x:v>
      </x:c>
      <x:c r="H2880" s="66" t="str">
        <x:v>祁腾蜂赢1号净值20260911.xlsx</x:v>
      </x:c>
      <x:c r="I2880" s="73" t="str">
        <x:f>""</x:f>
      </x:c>
      <x:c r="J2880" s="74" t="str">
        <x:f>""</x:f>
      </x:c>
      <x:c r="K2880" s="73" t="n">
        <x:f>MAX(K2879,F2880)</x:f>
        <x:v>1.7536</x:v>
      </x:c>
      <x:c r="L2880" s="74" t="n">
        <x:f>1-F2880/K2880</x:f>
        <x:v>0.0019958941605839886</x:v>
      </x:c>
      <x:c r="M2880" s="73" t="n">
        <x:f>MAX(M2879,F2880)</x:f>
        <x:v>1.7536</x:v>
      </x:c>
      <x:c r="N2880" s="74" t="n">
        <x:f>1-F2880/M2880</x:f>
        <x:v>0.0019958941605839886</x:v>
      </x:c>
    </x:row>
    <x:row r="2881" ht="27" customHeight="1">
      <x:c r="A2881" s="66" t="str">
        <x:v>SEV580</x:v>
      </x:c>
      <x:c r="B2881" s="66" t="str">
        <x:v>祁腾蜂赢1号</x:v>
      </x:c>
      <x:c r="C2881" s="72" t="n">
        <x:v>45223</x:v>
      </x:c>
      <x:c r="D2881" s="73" t="n">
        <x:v>1.0211</x:v>
      </x:c>
      <x:c r="E2881" s="73" t="n">
        <x:v>1.5874</x:v>
      </x:c>
      <x:c r="F2881" s="73" t="n">
        <x:v>1.7542</x:v>
      </x:c>
      <x:c r="G2881" s="74" t="n">
        <x:v>0.0024</x:v>
      </x:c>
      <x:c r="H2881" s="66" t="str">
        <x:v>祁腾蜂赢1号净值20260911.xlsx</x:v>
      </x:c>
      <x:c r="I2881" s="73" t="str">
        <x:f>""</x:f>
      </x:c>
      <x:c r="J2881" s="74" t="str">
        <x:f>""</x:f>
      </x:c>
      <x:c r="K2881" s="73" t="n">
        <x:f>MAX(K2880,F2881)</x:f>
        <x:v>1.7542</x:v>
      </x:c>
      <x:c r="L2881" s="74" t="n">
        <x:f>1-F2881/K2881</x:f>
        <x:v>0</x:v>
      </x:c>
      <x:c r="M2881" s="73" t="n">
        <x:f>MAX(M2880,F2881)</x:f>
        <x:v>1.7542</x:v>
      </x:c>
      <x:c r="N2881" s="74" t="n">
        <x:f>1-F2881/M2881</x:f>
        <x:v>0</x:v>
      </x:c>
    </x:row>
    <x:row r="2882" ht="27" customHeight="1">
      <x:c r="A2882" s="66" t="str">
        <x:v>SEV580</x:v>
      </x:c>
      <x:c r="B2882" s="66" t="str">
        <x:v>祁腾蜂赢1号</x:v>
      </x:c>
      <x:c r="C2882" s="72" t="n">
        <x:v>45224</x:v>
      </x:c>
      <x:c r="D2882" s="73" t="n">
        <x:v>1.0213</x:v>
      </x:c>
      <x:c r="E2882" s="73" t="n">
        <x:v>1.5876</x:v>
      </x:c>
      <x:c r="F2882" s="73" t="n">
        <x:v>1.7546</x:v>
      </x:c>
      <x:c r="G2882" s="74" t="n">
        <x:v>0.0002</x:v>
      </x:c>
      <x:c r="H2882" s="66" t="str">
        <x:v>祁腾蜂赢1号净值20260911.xlsx</x:v>
      </x:c>
      <x:c r="I2882" s="73" t="str">
        <x:f>""</x:f>
      </x:c>
      <x:c r="J2882" s="74" t="str">
        <x:f>""</x:f>
      </x:c>
      <x:c r="K2882" s="73" t="n">
        <x:f>MAX(K2881,F2882)</x:f>
        <x:v>1.7546</x:v>
      </x:c>
      <x:c r="L2882" s="74" t="n">
        <x:f>1-F2882/K2882</x:f>
        <x:v>0</x:v>
      </x:c>
      <x:c r="M2882" s="73" t="n">
        <x:f>MAX(M2881,F2882)</x:f>
        <x:v>1.7546</x:v>
      </x:c>
      <x:c r="N2882" s="74" t="n">
        <x:f>1-F2882/M2882</x:f>
        <x:v>0</x:v>
      </x:c>
    </x:row>
    <x:row r="2883" ht="27" customHeight="1">
      <x:c r="A2883" s="66" t="str">
        <x:v>SEV580</x:v>
      </x:c>
      <x:c r="B2883" s="66" t="str">
        <x:v>祁腾蜂赢1号</x:v>
      </x:c>
      <x:c r="C2883" s="72" t="n">
        <x:v>45225</x:v>
      </x:c>
      <x:c r="D2883" s="73" t="n">
        <x:v>1.0221</x:v>
      </x:c>
      <x:c r="E2883" s="73" t="n">
        <x:v>1.5884</x:v>
      </x:c>
      <x:c r="F2883" s="73" t="n">
        <x:v>1.756</x:v>
      </x:c>
      <x:c r="G2883" s="74" t="n">
        <x:v>0.0008</x:v>
      </x:c>
      <x:c r="H2883" s="66" t="str">
        <x:v>祁腾蜂赢1号净值20260911.xlsx</x:v>
      </x:c>
      <x:c r="I2883" s="73" t="str">
        <x:f>""</x:f>
      </x:c>
      <x:c r="J2883" s="74" t="str">
        <x:f>""</x:f>
      </x:c>
      <x:c r="K2883" s="73" t="n">
        <x:f>MAX(K2882,F2883)</x:f>
        <x:v>1.756</x:v>
      </x:c>
      <x:c r="L2883" s="74" t="n">
        <x:f>1-F2883/K2883</x:f>
        <x:v>0</x:v>
      </x:c>
      <x:c r="M2883" s="73" t="n">
        <x:f>MAX(M2882,F2883)</x:f>
        <x:v>1.756</x:v>
      </x:c>
      <x:c r="N2883" s="74" t="n">
        <x:f>1-F2883/M2883</x:f>
        <x:v>0</x:v>
      </x:c>
    </x:row>
    <x:row r="2884" ht="27" customHeight="1">
      <x:c r="A2884" s="66" t="str">
        <x:v>SEV580</x:v>
      </x:c>
      <x:c r="B2884" s="66" t="str">
        <x:v>祁腾蜂赢1号</x:v>
      </x:c>
      <x:c r="C2884" s="72" t="n">
        <x:v>45226</x:v>
      </x:c>
      <x:c r="D2884" s="73" t="n">
        <x:v>1.0214</x:v>
      </x:c>
      <x:c r="E2884" s="73" t="n">
        <x:v>1.5877</x:v>
      </x:c>
      <x:c r="F2884" s="73" t="n">
        <x:v>1.7548</x:v>
      </x:c>
      <x:c r="G2884" s="74" t="n">
        <x:v>-0.0007000000000000001</x:v>
      </x:c>
      <x:c r="H2884" s="66" t="str">
        <x:v>祁腾蜂赢1号净值20260911.xlsx</x:v>
      </x:c>
      <x:c r="I2884" s="73" t="str">
        <x:f>""</x:f>
      </x:c>
      <x:c r="J2884" s="74" t="str">
        <x:f>""</x:f>
      </x:c>
      <x:c r="K2884" s="73" t="n">
        <x:f>MAX(K2883,F2884)</x:f>
        <x:v>1.756</x:v>
      </x:c>
      <x:c r="L2884" s="74" t="n">
        <x:f>1-F2884/K2884</x:f>
        <x:v>0.0006833712984055662</x:v>
      </x:c>
      <x:c r="M2884" s="73" t="n">
        <x:f>MAX(M2883,F2884)</x:f>
        <x:v>1.756</x:v>
      </x:c>
      <x:c r="N2884" s="74" t="n">
        <x:f>1-F2884/M2884</x:f>
        <x:v>0.0006833712984055662</x:v>
      </x:c>
    </x:row>
    <x:row r="2885" ht="27" customHeight="1">
      <x:c r="A2885" s="66" t="str">
        <x:v>SEV580</x:v>
      </x:c>
      <x:c r="B2885" s="66" t="str">
        <x:v>祁腾蜂赢1号</x:v>
      </x:c>
      <x:c r="C2885" s="72" t="n">
        <x:v>45229</x:v>
      </x:c>
      <x:c r="D2885" s="73" t="n">
        <x:v>1.0215</x:v>
      </x:c>
      <x:c r="E2885" s="73" t="n">
        <x:v>1.5878</x:v>
      </x:c>
      <x:c r="F2885" s="73" t="n">
        <x:v>1.7549</x:v>
      </x:c>
      <x:c r="G2885" s="74" t="n">
        <x:v>0.0001</x:v>
      </x:c>
      <x:c r="H2885" s="66" t="str">
        <x:v>祁腾蜂赢1号净值20260911.xlsx</x:v>
      </x:c>
      <x:c r="I2885" s="73" t="str">
        <x:f>""</x:f>
      </x:c>
      <x:c r="J2885" s="74" t="str">
        <x:f>""</x:f>
      </x:c>
      <x:c r="K2885" s="73" t="n">
        <x:f>MAX(K2884,F2885)</x:f>
        <x:v>1.756</x:v>
      </x:c>
      <x:c r="L2885" s="74" t="n">
        <x:f>1-F2885/K2885</x:f>
        <x:v>0.0006264236902050468</x:v>
      </x:c>
      <x:c r="M2885" s="73" t="n">
        <x:f>MAX(M2884,F2885)</x:f>
        <x:v>1.756</x:v>
      </x:c>
      <x:c r="N2885" s="74" t="n">
        <x:f>1-F2885/M2885</x:f>
        <x:v>0.0006264236902050468</x:v>
      </x:c>
    </x:row>
    <x:row r="2886" ht="27" customHeight="1">
      <x:c r="A2886" s="66" t="str">
        <x:v>SEV580</x:v>
      </x:c>
      <x:c r="B2886" s="66" t="str">
        <x:v>祁腾蜂赢1号</x:v>
      </x:c>
      <x:c r="C2886" s="72" t="n">
        <x:v>45230</x:v>
      </x:c>
      <x:c r="D2886" s="73" t="n">
        <x:v>1.0214</x:v>
      </x:c>
      <x:c r="E2886" s="73" t="n">
        <x:v>1.5877</x:v>
      </x:c>
      <x:c r="F2886" s="73" t="n">
        <x:v>1.7548</x:v>
      </x:c>
      <x:c r="G2886" s="74" t="n">
        <x:v>-0.0001</x:v>
      </x:c>
      <x:c r="H2886" s="66" t="str">
        <x:v>祁腾蜂赢1号净值20260911.xlsx</x:v>
      </x:c>
      <x:c r="I2886" s="73" t="str">
        <x:f>""</x:f>
      </x:c>
      <x:c r="J2886" s="74" t="str">
        <x:f>""</x:f>
      </x:c>
      <x:c r="K2886" s="73" t="n">
        <x:f>MAX(K2885,F2886)</x:f>
        <x:v>1.756</x:v>
      </x:c>
      <x:c r="L2886" s="74" t="n">
        <x:f>1-F2886/K2886</x:f>
        <x:v>0.0006833712984055662</x:v>
      </x:c>
      <x:c r="M2886" s="73" t="n">
        <x:f>MAX(M2885,F2886)</x:f>
        <x:v>1.756</x:v>
      </x:c>
      <x:c r="N2886" s="74" t="n">
        <x:f>1-F2886/M2886</x:f>
        <x:v>0.0006833712984055662</x:v>
      </x:c>
    </x:row>
    <x:row r="2887" ht="27" customHeight="1">
      <x:c r="A2887" s="66" t="str">
        <x:v>SEV580</x:v>
      </x:c>
      <x:c r="B2887" s="66" t="str">
        <x:v>祁腾蜂赢1号</x:v>
      </x:c>
      <x:c r="C2887" s="72" t="n">
        <x:v>45231</x:v>
      </x:c>
      <x:c r="D2887" s="73" t="n">
        <x:v>1.0218</x:v>
      </x:c>
      <x:c r="E2887" s="73" t="n">
        <x:v>1.5881</x:v>
      </x:c>
      <x:c r="F2887" s="73" t="n">
        <x:v>1.7554</x:v>
      </x:c>
      <x:c r="G2887" s="74" t="n">
        <x:v>0.0004</x:v>
      </x:c>
      <x:c r="H2887" s="66" t="str">
        <x:v>祁腾蜂赢1号净值20260911.xlsx</x:v>
      </x:c>
      <x:c r="I2887" s="73" t="str">
        <x:f>""</x:f>
      </x:c>
      <x:c r="J2887" s="74" t="str">
        <x:f>""</x:f>
      </x:c>
      <x:c r="K2887" s="73" t="n">
        <x:f>MAX(K2886,F2887)</x:f>
        <x:v>1.756</x:v>
      </x:c>
      <x:c r="L2887" s="74" t="n">
        <x:f>1-F2887/K2887</x:f>
        <x:v>0.0003416856492026721</x:v>
      </x:c>
      <x:c r="M2887" s="73" t="n">
        <x:f>MAX(M2886,F2887)</x:f>
        <x:v>1.756</x:v>
      </x:c>
      <x:c r="N2887" s="74" t="n">
        <x:f>1-F2887/M2887</x:f>
        <x:v>0.0003416856492026721</x:v>
      </x:c>
    </x:row>
    <x:row r="2888" ht="27" customHeight="1">
      <x:c r="A2888" s="66" t="str">
        <x:v>SEV580</x:v>
      </x:c>
      <x:c r="B2888" s="66" t="str">
        <x:v>祁腾蜂赢1号</x:v>
      </x:c>
      <x:c r="C2888" s="72" t="n">
        <x:v>45232</x:v>
      </x:c>
      <x:c r="D2888" s="73" t="n">
        <x:v>1.0218</x:v>
      </x:c>
      <x:c r="E2888" s="73" t="n">
        <x:v>1.5881</x:v>
      </x:c>
      <x:c r="F2888" s="73" t="n">
        <x:v>1.7554</x:v>
      </x:c>
      <x:c r="G2888" s="74" t="n">
        <x:v>0</x:v>
      </x:c>
      <x:c r="H2888" s="66" t="str">
        <x:v>祁腾蜂赢1号净值20260911.xlsx</x:v>
      </x:c>
      <x:c r="I2888" s="73" t="str">
        <x:f>""</x:f>
      </x:c>
      <x:c r="J2888" s="74" t="str">
        <x:f>""</x:f>
      </x:c>
      <x:c r="K2888" s="73" t="n">
        <x:f>MAX(K2887,F2888)</x:f>
        <x:v>1.756</x:v>
      </x:c>
      <x:c r="L2888" s="74" t="n">
        <x:f>1-F2888/K2888</x:f>
        <x:v>0.0003416856492026721</x:v>
      </x:c>
      <x:c r="M2888" s="73" t="n">
        <x:f>MAX(M2887,F2888)</x:f>
        <x:v>1.756</x:v>
      </x:c>
      <x:c r="N2888" s="74" t="n">
        <x:f>1-F2888/M2888</x:f>
        <x:v>0.0003416856492026721</x:v>
      </x:c>
    </x:row>
    <x:row r="2889" ht="27" customHeight="1">
      <x:c r="A2889" s="66" t="str">
        <x:v>SEV580</x:v>
      </x:c>
      <x:c r="B2889" s="66" t="str">
        <x:v>祁腾蜂赢1号</x:v>
      </x:c>
      <x:c r="C2889" s="72" t="n">
        <x:v>45233</x:v>
      </x:c>
      <x:c r="D2889" s="73" t="n">
        <x:v>1.0214</x:v>
      </x:c>
      <x:c r="E2889" s="73" t="n">
        <x:v>1.5877</x:v>
      </x:c>
      <x:c r="F2889" s="73" t="n">
        <x:v>1.7548</x:v>
      </x:c>
      <x:c r="G2889" s="74" t="n">
        <x:v>-0.0004</x:v>
      </x:c>
      <x:c r="H2889" s="66" t="str">
        <x:v>祁腾蜂赢1号净值20260911.xlsx</x:v>
      </x:c>
      <x:c r="I2889" s="73" t="str">
        <x:f>""</x:f>
      </x:c>
      <x:c r="J2889" s="74" t="str">
        <x:f>""</x:f>
      </x:c>
      <x:c r="K2889" s="73" t="n">
        <x:f>MAX(K2888,F2889)</x:f>
        <x:v>1.756</x:v>
      </x:c>
      <x:c r="L2889" s="74" t="n">
        <x:f>1-F2889/K2889</x:f>
        <x:v>0.0006833712984055662</x:v>
      </x:c>
      <x:c r="M2889" s="73" t="n">
        <x:f>MAX(M2888,F2889)</x:f>
        <x:v>1.756</x:v>
      </x:c>
      <x:c r="N2889" s="74" t="n">
        <x:f>1-F2889/M2889</x:f>
        <x:v>0.0006833712984055662</x:v>
      </x:c>
    </x:row>
    <x:row r="2890" ht="27" customHeight="1">
      <x:c r="A2890" s="66" t="str">
        <x:v>SEV580</x:v>
      </x:c>
      <x:c r="B2890" s="66" t="str">
        <x:v>祁腾蜂赢1号</x:v>
      </x:c>
      <x:c r="C2890" s="72" t="n">
        <x:v>45236</x:v>
      </x:c>
      <x:c r="D2890" s="73" t="n">
        <x:v>1.0218</x:v>
      </x:c>
      <x:c r="E2890" s="73" t="n">
        <x:v>1.5881</x:v>
      </x:c>
      <x:c r="F2890" s="73" t="n">
        <x:v>1.7554</x:v>
      </x:c>
      <x:c r="G2890" s="74" t="n">
        <x:v>0.0004</x:v>
      </x:c>
      <x:c r="H2890" s="66" t="str">
        <x:v>祁腾蜂赢1号净值20260911.xlsx</x:v>
      </x:c>
      <x:c r="I2890" s="73" t="str">
        <x:f>""</x:f>
      </x:c>
      <x:c r="J2890" s="74" t="str">
        <x:f>""</x:f>
      </x:c>
      <x:c r="K2890" s="73" t="n">
        <x:f>MAX(K2889,F2890)</x:f>
        <x:v>1.756</x:v>
      </x:c>
      <x:c r="L2890" s="74" t="n">
        <x:f>1-F2890/K2890</x:f>
        <x:v>0.0003416856492026721</x:v>
      </x:c>
      <x:c r="M2890" s="73" t="n">
        <x:f>MAX(M2889,F2890)</x:f>
        <x:v>1.756</x:v>
      </x:c>
      <x:c r="N2890" s="74" t="n">
        <x:f>1-F2890/M2890</x:f>
        <x:v>0.0003416856492026721</x:v>
      </x:c>
    </x:row>
    <x:row r="2891" ht="27" customHeight="1">
      <x:c r="A2891" s="66" t="str">
        <x:v>SEV580</x:v>
      </x:c>
      <x:c r="B2891" s="66" t="str">
        <x:v>祁腾蜂赢1号</x:v>
      </x:c>
      <x:c r="C2891" s="72" t="n">
        <x:v>45237</x:v>
      </x:c>
      <x:c r="D2891" s="73" t="n">
        <x:v>1.0218</x:v>
      </x:c>
      <x:c r="E2891" s="73" t="n">
        <x:v>1.5881</x:v>
      </x:c>
      <x:c r="F2891" s="73" t="n">
        <x:v>1.7554</x:v>
      </x:c>
      <x:c r="G2891" s="74" t="n">
        <x:v>0</x:v>
      </x:c>
      <x:c r="H2891" s="66" t="str">
        <x:v>祁腾蜂赢1号净值20260911.xlsx</x:v>
      </x:c>
      <x:c r="I2891" s="73" t="str">
        <x:f>""</x:f>
      </x:c>
      <x:c r="J2891" s="74" t="str">
        <x:f>""</x:f>
      </x:c>
      <x:c r="K2891" s="73" t="n">
        <x:f>MAX(K2890,F2891)</x:f>
        <x:v>1.756</x:v>
      </x:c>
      <x:c r="L2891" s="74" t="n">
        <x:f>1-F2891/K2891</x:f>
        <x:v>0.0003416856492026721</x:v>
      </x:c>
      <x:c r="M2891" s="73" t="n">
        <x:f>MAX(M2890,F2891)</x:f>
        <x:v>1.756</x:v>
      </x:c>
      <x:c r="N2891" s="74" t="n">
        <x:f>1-F2891/M2891</x:f>
        <x:v>0.0003416856492026721</x:v>
      </x:c>
    </x:row>
    <x:row r="2892" ht="27" customHeight="1">
      <x:c r="A2892" s="66" t="str">
        <x:v>SEV580</x:v>
      </x:c>
      <x:c r="B2892" s="66" t="str">
        <x:v>祁腾蜂赢1号</x:v>
      </x:c>
      <x:c r="C2892" s="72" t="n">
        <x:v>45238</x:v>
      </x:c>
      <x:c r="D2892" s="73" t="n">
        <x:v>1.0223</x:v>
      </x:c>
      <x:c r="E2892" s="73" t="n">
        <x:v>1.5886</x:v>
      </x:c>
      <x:c r="F2892" s="73" t="n">
        <x:v>1.7563</x:v>
      </x:c>
      <x:c r="G2892" s="74" t="n">
        <x:v>0.0005</x:v>
      </x:c>
      <x:c r="H2892" s="66" t="str">
        <x:v>祁腾蜂赢1号净值20260911.xlsx</x:v>
      </x:c>
      <x:c r="I2892" s="73" t="str">
        <x:f>""</x:f>
      </x:c>
      <x:c r="J2892" s="74" t="str">
        <x:f>""</x:f>
      </x:c>
      <x:c r="K2892" s="73" t="n">
        <x:f>MAX(K2891,F2892)</x:f>
        <x:v>1.7563</x:v>
      </x:c>
      <x:c r="L2892" s="74" t="n">
        <x:f>1-F2892/K2892</x:f>
        <x:v>0</x:v>
      </x:c>
      <x:c r="M2892" s="73" t="n">
        <x:f>MAX(M2891,F2892)</x:f>
        <x:v>1.7563</x:v>
      </x:c>
      <x:c r="N2892" s="74" t="n">
        <x:f>1-F2892/M2892</x:f>
        <x:v>0</x:v>
      </x:c>
    </x:row>
    <x:row r="2893" ht="27" customHeight="1">
      <x:c r="A2893" s="66" t="str">
        <x:v>SEV580</x:v>
      </x:c>
      <x:c r="B2893" s="66" t="str">
        <x:v>祁腾蜂赢1号</x:v>
      </x:c>
      <x:c r="C2893" s="72" t="n">
        <x:v>45239</x:v>
      </x:c>
      <x:c r="D2893" s="73" t="n">
        <x:v>1.0218</x:v>
      </x:c>
      <x:c r="E2893" s="73" t="n">
        <x:v>1.5881</x:v>
      </x:c>
      <x:c r="F2893" s="73" t="n">
        <x:v>1.7554</x:v>
      </x:c>
      <x:c r="G2893" s="74" t="n">
        <x:v>-0.0005</x:v>
      </x:c>
      <x:c r="H2893" s="66" t="str">
        <x:v>祁腾蜂赢1号净值20260911.xlsx</x:v>
      </x:c>
      <x:c r="I2893" s="73" t="str">
        <x:f>""</x:f>
      </x:c>
      <x:c r="J2893" s="74" t="str">
        <x:f>""</x:f>
      </x:c>
      <x:c r="K2893" s="73" t="n">
        <x:f>MAX(K2892,F2893)</x:f>
        <x:v>1.7563</x:v>
      </x:c>
      <x:c r="L2893" s="74" t="n">
        <x:f>1-F2893/K2893</x:f>
        <x:v>0.0005124409269486874</x:v>
      </x:c>
      <x:c r="M2893" s="73" t="n">
        <x:f>MAX(M2892,F2893)</x:f>
        <x:v>1.7563</x:v>
      </x:c>
      <x:c r="N2893" s="74" t="n">
        <x:f>1-F2893/M2893</x:f>
        <x:v>0.0005124409269486874</x:v>
      </x:c>
    </x:row>
    <x:row r="2894" ht="27" customHeight="1">
      <x:c r="A2894" s="66" t="str">
        <x:v>SEV580</x:v>
      </x:c>
      <x:c r="B2894" s="66" t="str">
        <x:v>祁腾蜂赢1号</x:v>
      </x:c>
      <x:c r="C2894" s="72" t="n">
        <x:v>45240</x:v>
      </x:c>
      <x:c r="D2894" s="73" t="n">
        <x:v>1.0219</x:v>
      </x:c>
      <x:c r="E2894" s="73" t="n">
        <x:v>1.5882</x:v>
      </x:c>
      <x:c r="F2894" s="73" t="n">
        <x:v>1.7556</x:v>
      </x:c>
      <x:c r="G2894" s="74" t="n">
        <x:v>0.0001</x:v>
      </x:c>
      <x:c r="H2894" s="66" t="str">
        <x:v>祁腾蜂赢1号净值20260911.xlsx</x:v>
      </x:c>
      <x:c r="I2894" s="73" t="str">
        <x:f>""</x:f>
      </x:c>
      <x:c r="J2894" s="74" t="str">
        <x:f>""</x:f>
      </x:c>
      <x:c r="K2894" s="73" t="n">
        <x:f>MAX(K2893,F2894)</x:f>
        <x:v>1.7563</x:v>
      </x:c>
      <x:c r="L2894" s="74" t="n">
        <x:f>1-F2894/K2894</x:f>
        <x:v>0.0003985651654044853</x:v>
      </x:c>
      <x:c r="M2894" s="73" t="n">
        <x:f>MAX(M2893,F2894)</x:f>
        <x:v>1.7563</x:v>
      </x:c>
      <x:c r="N2894" s="74" t="n">
        <x:f>1-F2894/M2894</x:f>
        <x:v>0.0003985651654044853</x:v>
      </x:c>
    </x:row>
    <x:row r="2895" ht="27" customHeight="1">
      <x:c r="A2895" s="66" t="str">
        <x:v>SEV580</x:v>
      </x:c>
      <x:c r="B2895" s="66" t="str">
        <x:v>祁腾蜂赢1号</x:v>
      </x:c>
      <x:c r="C2895" s="72" t="n">
        <x:v>45243</x:v>
      </x:c>
      <x:c r="D2895" s="73" t="n">
        <x:v>1.0214</x:v>
      </x:c>
      <x:c r="E2895" s="73" t="n">
        <x:v>1.5877</x:v>
      </x:c>
      <x:c r="F2895" s="73" t="n">
        <x:v>1.7548</x:v>
      </x:c>
      <x:c r="G2895" s="74" t="n">
        <x:v>-0.0005</x:v>
      </x:c>
      <x:c r="H2895" s="66" t="str">
        <x:v>祁腾蜂赢1号净值20260911.xlsx</x:v>
      </x:c>
      <x:c r="I2895" s="73" t="str">
        <x:f>""</x:f>
      </x:c>
      <x:c r="J2895" s="74" t="str">
        <x:f>""</x:f>
      </x:c>
      <x:c r="K2895" s="73" t="n">
        <x:f>MAX(K2894,F2895)</x:f>
        <x:v>1.7563</x:v>
      </x:c>
      <x:c r="L2895" s="74" t="n">
        <x:f>1-F2895/K2895</x:f>
        <x:v>0.0008540682115811826</x:v>
      </x:c>
      <x:c r="M2895" s="73" t="n">
        <x:f>MAX(M2894,F2895)</x:f>
        <x:v>1.7563</x:v>
      </x:c>
      <x:c r="N2895" s="74" t="n">
        <x:f>1-F2895/M2895</x:f>
        <x:v>0.0008540682115811826</x:v>
      </x:c>
    </x:row>
    <x:row r="2896" ht="27" customHeight="1">
      <x:c r="A2896" s="66" t="str">
        <x:v>SEV580</x:v>
      </x:c>
      <x:c r="B2896" s="66" t="str">
        <x:v>祁腾蜂赢1号</x:v>
      </x:c>
      <x:c r="C2896" s="72" t="n">
        <x:v>45244</x:v>
      </x:c>
      <x:c r="D2896" s="73" t="n">
        <x:v>1.0214</x:v>
      </x:c>
      <x:c r="E2896" s="73" t="n">
        <x:v>1.5877</x:v>
      </x:c>
      <x:c r="F2896" s="73" t="n">
        <x:v>1.7548</x:v>
      </x:c>
      <x:c r="G2896" s="74" t="n">
        <x:v>0</x:v>
      </x:c>
      <x:c r="H2896" s="66" t="str">
        <x:v>祁腾蜂赢1号净值20260911.xlsx</x:v>
      </x:c>
      <x:c r="I2896" s="73" t="str">
        <x:f>""</x:f>
      </x:c>
      <x:c r="J2896" s="74" t="str">
        <x:f>""</x:f>
      </x:c>
      <x:c r="K2896" s="73" t="n">
        <x:f>MAX(K2895,F2896)</x:f>
        <x:v>1.7563</x:v>
      </x:c>
      <x:c r="L2896" s="74" t="n">
        <x:f>1-F2896/K2896</x:f>
        <x:v>0.0008540682115811826</x:v>
      </x:c>
      <x:c r="M2896" s="73" t="n">
        <x:f>MAX(M2895,F2896)</x:f>
        <x:v>1.7563</x:v>
      </x:c>
      <x:c r="N2896" s="74" t="n">
        <x:f>1-F2896/M2896</x:f>
        <x:v>0.0008540682115811826</x:v>
      </x:c>
    </x:row>
    <x:row r="2897" ht="27" customHeight="1">
      <x:c r="A2897" s="66" t="str">
        <x:v>SEV580</x:v>
      </x:c>
      <x:c r="B2897" s="66" t="str">
        <x:v>祁腾蜂赢1号</x:v>
      </x:c>
      <x:c r="C2897" s="72" t="n">
        <x:v>45245</x:v>
      </x:c>
      <x:c r="D2897" s="73" t="n">
        <x:v>1.0208</x:v>
      </x:c>
      <x:c r="E2897" s="73" t="n">
        <x:v>1.5871</x:v>
      </x:c>
      <x:c r="F2897" s="73" t="n">
        <x:v>1.7537</x:v>
      </x:c>
      <x:c r="G2897" s="74" t="n">
        <x:v>-0.0006</x:v>
      </x:c>
      <x:c r="H2897" s="66" t="str">
        <x:v>祁腾蜂赢1号净值20260911.xlsx</x:v>
      </x:c>
      <x:c r="I2897" s="73" t="str">
        <x:f>""</x:f>
      </x:c>
      <x:c r="J2897" s="74" t="str">
        <x:f>""</x:f>
      </x:c>
      <x:c r="K2897" s="73" t="n">
        <x:f>MAX(K2896,F2897)</x:f>
        <x:v>1.7563</x:v>
      </x:c>
      <x:c r="L2897" s="74" t="n">
        <x:f>1-F2897/K2897</x:f>
        <x:v>0.001480384900073961</x:v>
      </x:c>
      <x:c r="M2897" s="73" t="n">
        <x:f>MAX(M2896,F2897)</x:f>
        <x:v>1.7563</x:v>
      </x:c>
      <x:c r="N2897" s="74" t="n">
        <x:f>1-F2897/M2897</x:f>
        <x:v>0.001480384900073961</x:v>
      </x:c>
    </x:row>
    <x:row r="2898" ht="27" customHeight="1">
      <x:c r="A2898" s="66" t="str">
        <x:v>SEV580</x:v>
      </x:c>
      <x:c r="B2898" s="66" t="str">
        <x:v>祁腾蜂赢1号</x:v>
      </x:c>
      <x:c r="C2898" s="72" t="n">
        <x:v>45246</x:v>
      </x:c>
      <x:c r="D2898" s="73" t="n">
        <x:v>1.0207</x:v>
      </x:c>
      <x:c r="E2898" s="73" t="n">
        <x:v>1.587</x:v>
      </x:c>
      <x:c r="F2898" s="73" t="n">
        <x:v>1.7536</x:v>
      </x:c>
      <x:c r="G2898" s="74" t="n">
        <x:v>-0.0001</x:v>
      </x:c>
      <x:c r="H2898" s="66" t="str">
        <x:v>祁腾蜂赢1号净值20260911.xlsx</x:v>
      </x:c>
      <x:c r="I2898" s="73" t="str">
        <x:f>""</x:f>
      </x:c>
      <x:c r="J2898" s="74" t="str">
        <x:f>""</x:f>
      </x:c>
      <x:c r="K2898" s="73" t="n">
        <x:f>MAX(K2897,F2898)</x:f>
        <x:v>1.7563</x:v>
      </x:c>
      <x:c r="L2898" s="74" t="n">
        <x:f>1-F2898/K2898</x:f>
        <x:v>0.0015373227808460621</x:v>
      </x:c>
      <x:c r="M2898" s="73" t="n">
        <x:f>MAX(M2897,F2898)</x:f>
        <x:v>1.7563</x:v>
      </x:c>
      <x:c r="N2898" s="74" t="n">
        <x:f>1-F2898/M2898</x:f>
        <x:v>0.0015373227808460621</x:v>
      </x:c>
    </x:row>
    <x:row r="2899" ht="27" customHeight="1">
      <x:c r="A2899" s="66" t="str">
        <x:v>SEV580</x:v>
      </x:c>
      <x:c r="B2899" s="66" t="str">
        <x:v>祁腾蜂赢1号</x:v>
      </x:c>
      <x:c r="C2899" s="72" t="n">
        <x:v>45247</x:v>
      </x:c>
      <x:c r="D2899" s="73" t="n">
        <x:v>1.0207</x:v>
      </x:c>
      <x:c r="E2899" s="73" t="n">
        <x:v>1.587</x:v>
      </x:c>
      <x:c r="F2899" s="73" t="n">
        <x:v>1.7536</x:v>
      </x:c>
      <x:c r="G2899" s="74" t="n">
        <x:v>0</x:v>
      </x:c>
      <x:c r="H2899" s="66" t="str">
        <x:v>祁腾蜂赢1号净值20260911.xlsx</x:v>
      </x:c>
      <x:c r="I2899" s="73" t="str">
        <x:f>""</x:f>
      </x:c>
      <x:c r="J2899" s="74" t="str">
        <x:f>""</x:f>
      </x:c>
      <x:c r="K2899" s="73" t="n">
        <x:f>MAX(K2898,F2899)</x:f>
        <x:v>1.7563</x:v>
      </x:c>
      <x:c r="L2899" s="74" t="n">
        <x:f>1-F2899/K2899</x:f>
        <x:v>0.0015373227808460621</x:v>
      </x:c>
      <x:c r="M2899" s="73" t="n">
        <x:f>MAX(M2898,F2899)</x:f>
        <x:v>1.7563</x:v>
      </x:c>
      <x:c r="N2899" s="74" t="n">
        <x:f>1-F2899/M2899</x:f>
        <x:v>0.0015373227808460621</x:v>
      </x:c>
    </x:row>
    <x:row r="2900" ht="27" customHeight="1">
      <x:c r="A2900" s="66" t="str">
        <x:v>SEV580</x:v>
      </x:c>
      <x:c r="B2900" s="66" t="str">
        <x:v>祁腾蜂赢1号</x:v>
      </x:c>
      <x:c r="C2900" s="72" t="n">
        <x:v>45250</x:v>
      </x:c>
      <x:c r="D2900" s="73" t="n">
        <x:v>1.0206</x:v>
      </x:c>
      <x:c r="E2900" s="73" t="n">
        <x:v>1.5869</x:v>
      </x:c>
      <x:c r="F2900" s="73" t="n">
        <x:v>1.7534</x:v>
      </x:c>
      <x:c r="G2900" s="74" t="n">
        <x:v>-0.0001</x:v>
      </x:c>
      <x:c r="H2900" s="66" t="str">
        <x:v>祁腾蜂赢1号净值20260911.xlsx</x:v>
      </x:c>
      <x:c r="I2900" s="73" t="str">
        <x:f>""</x:f>
      </x:c>
      <x:c r="J2900" s="74" t="str">
        <x:f>""</x:f>
      </x:c>
      <x:c r="K2900" s="73" t="n">
        <x:f>MAX(K2899,F2900)</x:f>
        <x:v>1.7563</x:v>
      </x:c>
      <x:c r="L2900" s="74" t="n">
        <x:f>1-F2900/K2900</x:f>
        <x:v>0.0016511985423901532</x:v>
      </x:c>
      <x:c r="M2900" s="73" t="n">
        <x:f>MAX(M2899,F2900)</x:f>
        <x:v>1.7563</x:v>
      </x:c>
      <x:c r="N2900" s="74" t="n">
        <x:f>1-F2900/M2900</x:f>
        <x:v>0.0016511985423901532</x:v>
      </x:c>
    </x:row>
    <x:row r="2901" ht="27" customHeight="1">
      <x:c r="A2901" s="66" t="str">
        <x:v>SEV580</x:v>
      </x:c>
      <x:c r="B2901" s="66" t="str">
        <x:v>祁腾蜂赢1号</x:v>
      </x:c>
      <x:c r="C2901" s="72" t="n">
        <x:v>45251</x:v>
      </x:c>
      <x:c r="D2901" s="73" t="n">
        <x:v>1.0209</x:v>
      </x:c>
      <x:c r="E2901" s="73" t="n">
        <x:v>1.5872</x:v>
      </x:c>
      <x:c r="F2901" s="73" t="n">
        <x:v>1.7539</x:v>
      </x:c>
      <x:c r="G2901" s="74" t="n">
        <x:v>0.0003</x:v>
      </x:c>
      <x:c r="H2901" s="66" t="str">
        <x:v>祁腾蜂赢1号净值20260911.xlsx</x:v>
      </x:c>
      <x:c r="I2901" s="73" t="str">
        <x:f>""</x:f>
      </x:c>
      <x:c r="J2901" s="74" t="str">
        <x:f>""</x:f>
      </x:c>
      <x:c r="K2901" s="73" t="n">
        <x:f>MAX(K2900,F2901)</x:f>
        <x:v>1.7563</x:v>
      </x:c>
      <x:c r="L2901" s="74" t="n">
        <x:f>1-F2901/K2901</x:f>
        <x:v>0.00136650913852987</x:v>
      </x:c>
      <x:c r="M2901" s="73" t="n">
        <x:f>MAX(M2900,F2901)</x:f>
        <x:v>1.7563</x:v>
      </x:c>
      <x:c r="N2901" s="74" t="n">
        <x:f>1-F2901/M2901</x:f>
        <x:v>0.00136650913852987</x:v>
      </x:c>
    </x:row>
    <x:row r="2902" ht="27" customHeight="1">
      <x:c r="A2902" s="66" t="str">
        <x:v>SEV580</x:v>
      </x:c>
      <x:c r="B2902" s="66" t="str">
        <x:v>祁腾蜂赢1号</x:v>
      </x:c>
      <x:c r="C2902" s="72" t="n">
        <x:v>45252</x:v>
      </x:c>
      <x:c r="D2902" s="73" t="n">
        <x:v>1.0214</x:v>
      </x:c>
      <x:c r="E2902" s="73" t="n">
        <x:v>1.5877</x:v>
      </x:c>
      <x:c r="F2902" s="73" t="n">
        <x:v>1.7548</x:v>
      </x:c>
      <x:c r="G2902" s="74" t="n">
        <x:v>0.0005</x:v>
      </x:c>
      <x:c r="H2902" s="66" t="str">
        <x:v>祁腾蜂赢1号净值20260911.xlsx</x:v>
      </x:c>
      <x:c r="I2902" s="73" t="str">
        <x:f>""</x:f>
      </x:c>
      <x:c r="J2902" s="74" t="str">
        <x:f>""</x:f>
      </x:c>
      <x:c r="K2902" s="73" t="n">
        <x:f>MAX(K2901,F2902)</x:f>
        <x:v>1.7563</x:v>
      </x:c>
      <x:c r="L2902" s="74" t="n">
        <x:f>1-F2902/K2902</x:f>
        <x:v>0.0008540682115811826</x:v>
      </x:c>
      <x:c r="M2902" s="73" t="n">
        <x:f>MAX(M2901,F2902)</x:f>
        <x:v>1.7563</x:v>
      </x:c>
      <x:c r="N2902" s="74" t="n">
        <x:f>1-F2902/M2902</x:f>
        <x:v>0.0008540682115811826</x:v>
      </x:c>
    </x:row>
    <x:row r="2903" ht="27" customHeight="1">
      <x:c r="A2903" s="66" t="str">
        <x:v>SEV580</x:v>
      </x:c>
      <x:c r="B2903" s="66" t="str">
        <x:v>祁腾蜂赢1号</x:v>
      </x:c>
      <x:c r="C2903" s="72" t="n">
        <x:v>45253</x:v>
      </x:c>
      <x:c r="D2903" s="73" t="n">
        <x:v>1.0215</x:v>
      </x:c>
      <x:c r="E2903" s="73" t="n">
        <x:v>1.5878</x:v>
      </x:c>
      <x:c r="F2903" s="73" t="n">
        <x:v>1.7549</x:v>
      </x:c>
      <x:c r="G2903" s="74" t="n">
        <x:v>0.0001</x:v>
      </x:c>
      <x:c r="H2903" s="66" t="str">
        <x:v>祁腾蜂赢1号净值20260911.xlsx</x:v>
      </x:c>
      <x:c r="I2903" s="73" t="str">
        <x:f>""</x:f>
      </x:c>
      <x:c r="J2903" s="74" t="str">
        <x:f>""</x:f>
      </x:c>
      <x:c r="K2903" s="73" t="n">
        <x:f>MAX(K2902,F2903)</x:f>
        <x:v>1.7563</x:v>
      </x:c>
      <x:c r="L2903" s="74" t="n">
        <x:f>1-F2903/K2903</x:f>
        <x:v>0.0007971303308090816</x:v>
      </x:c>
      <x:c r="M2903" s="73" t="n">
        <x:f>MAX(M2902,F2903)</x:f>
        <x:v>1.7563</x:v>
      </x:c>
      <x:c r="N2903" s="74" t="n">
        <x:f>1-F2903/M2903</x:f>
        <x:v>0.0007971303308090816</x:v>
      </x:c>
    </x:row>
    <x:row r="2904" ht="27" customHeight="1">
      <x:c r="A2904" s="66" t="str">
        <x:v>SEV580</x:v>
      </x:c>
      <x:c r="B2904" s="66" t="str">
        <x:v>祁腾蜂赢1号</x:v>
      </x:c>
      <x:c r="C2904" s="72" t="n">
        <x:v>45254</x:v>
      </x:c>
      <x:c r="D2904" s="73" t="n">
        <x:v>1.0236</x:v>
      </x:c>
      <x:c r="E2904" s="73" t="n">
        <x:v>1.5899</x:v>
      </x:c>
      <x:c r="F2904" s="73" t="n">
        <x:v>1.7585</x:v>
      </x:c>
      <x:c r="G2904" s="74" t="n">
        <x:v>0.0021</x:v>
      </x:c>
      <x:c r="H2904" s="66" t="str">
        <x:v>祁腾蜂赢1号净值20260911.xlsx</x:v>
      </x:c>
      <x:c r="I2904" s="73" t="str">
        <x:f>""</x:f>
      </x:c>
      <x:c r="J2904" s="74" t="str">
        <x:f>""</x:f>
      </x:c>
      <x:c r="K2904" s="73" t="n">
        <x:f>MAX(K2903,F2904)</x:f>
        <x:v>1.7585</x:v>
      </x:c>
      <x:c r="L2904" s="74" t="n">
        <x:f>1-F2904/K2904</x:f>
        <x:v>0</x:v>
      </x:c>
      <x:c r="M2904" s="73" t="n">
        <x:f>MAX(M2903,F2904)</x:f>
        <x:v>1.7585</x:v>
      </x:c>
      <x:c r="N2904" s="74" t="n">
        <x:f>1-F2904/M2904</x:f>
        <x:v>0</x:v>
      </x:c>
    </x:row>
    <x:row r="2905" ht="27" customHeight="1">
      <x:c r="A2905" s="66" t="str">
        <x:v>SEV580</x:v>
      </x:c>
      <x:c r="B2905" s="66" t="str">
        <x:v>祁腾蜂赢1号</x:v>
      </x:c>
      <x:c r="C2905" s="72" t="n">
        <x:v>45257</x:v>
      </x:c>
      <x:c r="D2905" s="73" t="n">
        <x:v>1.0241</x:v>
      </x:c>
      <x:c r="E2905" s="73" t="n">
        <x:v>1.5904</x:v>
      </x:c>
      <x:c r="F2905" s="73" t="n">
        <x:v>1.7594</x:v>
      </x:c>
      <x:c r="G2905" s="74" t="n">
        <x:v>0.0005</x:v>
      </x:c>
      <x:c r="H2905" s="66" t="str">
        <x:v>祁腾蜂赢1号净值20260911.xlsx</x:v>
      </x:c>
      <x:c r="I2905" s="73" t="str">
        <x:f>""</x:f>
      </x:c>
      <x:c r="J2905" s="74" t="str">
        <x:f>""</x:f>
      </x:c>
      <x:c r="K2905" s="73" t="n">
        <x:f>MAX(K2904,F2905)</x:f>
        <x:v>1.7594</x:v>
      </x:c>
      <x:c r="L2905" s="74" t="n">
        <x:f>1-F2905/K2905</x:f>
        <x:v>0</x:v>
      </x:c>
      <x:c r="M2905" s="73" t="n">
        <x:f>MAX(M2904,F2905)</x:f>
        <x:v>1.7594</x:v>
      </x:c>
      <x:c r="N2905" s="74" t="n">
        <x:f>1-F2905/M2905</x:f>
        <x:v>0</x:v>
      </x:c>
    </x:row>
    <x:row r="2906" ht="27" customHeight="1">
      <x:c r="A2906" s="66" t="str">
        <x:v>SEV580</x:v>
      </x:c>
      <x:c r="B2906" s="66" t="str">
        <x:v>祁腾蜂赢1号</x:v>
      </x:c>
      <x:c r="C2906" s="72" t="n">
        <x:v>45258</x:v>
      </x:c>
      <x:c r="D2906" s="73" t="n">
        <x:v>1.0239</x:v>
      </x:c>
      <x:c r="E2906" s="73" t="n">
        <x:v>1.5902</x:v>
      </x:c>
      <x:c r="F2906" s="73" t="n">
        <x:v>1.759</x:v>
      </x:c>
      <x:c r="G2906" s="74" t="n">
        <x:v>-0.0002</x:v>
      </x:c>
      <x:c r="H2906" s="66" t="str">
        <x:v>祁腾蜂赢1号净值20260911.xlsx</x:v>
      </x:c>
      <x:c r="I2906" s="73" t="str">
        <x:f>""</x:f>
      </x:c>
      <x:c r="J2906" s="74" t="str">
        <x:f>""</x:f>
      </x:c>
      <x:c r="K2906" s="73" t="n">
        <x:f>MAX(K2905,F2906)</x:f>
        <x:v>1.7594</x:v>
      </x:c>
      <x:c r="L2906" s="74" t="n">
        <x:f>1-F2906/K2906</x:f>
        <x:v>0.00022735023303410706</x:v>
      </x:c>
      <x:c r="M2906" s="73" t="n">
        <x:f>MAX(M2905,F2906)</x:f>
        <x:v>1.7594</x:v>
      </x:c>
      <x:c r="N2906" s="74" t="n">
        <x:f>1-F2906/M2906</x:f>
        <x:v>0.00022735023303410706</x:v>
      </x:c>
    </x:row>
    <x:row r="2907" ht="27" customHeight="1">
      <x:c r="A2907" s="66" t="str">
        <x:v>SEV580</x:v>
      </x:c>
      <x:c r="B2907" s="66" t="str">
        <x:v>祁腾蜂赢1号</x:v>
      </x:c>
      <x:c r="C2907" s="72" t="n">
        <x:v>45259</x:v>
      </x:c>
      <x:c r="D2907" s="73" t="n">
        <x:v>1.0245</x:v>
      </x:c>
      <x:c r="E2907" s="73" t="n">
        <x:v>1.5908</x:v>
      </x:c>
      <x:c r="F2907" s="73" t="n">
        <x:v>1.7601</x:v>
      </x:c>
      <x:c r="G2907" s="74" t="n">
        <x:v>0.0006</x:v>
      </x:c>
      <x:c r="H2907" s="66" t="str">
        <x:v>祁腾蜂赢1号净值20260911.xlsx</x:v>
      </x:c>
      <x:c r="I2907" s="73" t="str">
        <x:f>""</x:f>
      </x:c>
      <x:c r="J2907" s="74" t="str">
        <x:f>""</x:f>
      </x:c>
      <x:c r="K2907" s="73" t="n">
        <x:f>MAX(K2906,F2907)</x:f>
        <x:v>1.7601</x:v>
      </x:c>
      <x:c r="L2907" s="74" t="n">
        <x:f>1-F2907/K2907</x:f>
        <x:v>0</x:v>
      </x:c>
      <x:c r="M2907" s="73" t="n">
        <x:f>MAX(M2906,F2907)</x:f>
        <x:v>1.7601</x:v>
      </x:c>
      <x:c r="N2907" s="74" t="n">
        <x:f>1-F2907/M2907</x:f>
        <x:v>0</x:v>
      </x:c>
    </x:row>
    <x:row r="2908" ht="27" customHeight="1">
      <x:c r="A2908" s="66" t="str">
        <x:v>SEV580</x:v>
      </x:c>
      <x:c r="B2908" s="66" t="str">
        <x:v>祁腾蜂赢1号</x:v>
      </x:c>
      <x:c r="C2908" s="72" t="n">
        <x:v>45260</x:v>
      </x:c>
      <x:c r="D2908" s="73" t="n">
        <x:v>1.0245</x:v>
      </x:c>
      <x:c r="E2908" s="73" t="n">
        <x:v>1.5908</x:v>
      </x:c>
      <x:c r="F2908" s="73" t="n">
        <x:v>1.7601</x:v>
      </x:c>
      <x:c r="G2908" s="74" t="n">
        <x:v>0</x:v>
      </x:c>
      <x:c r="H2908" s="66" t="str">
        <x:v>祁腾蜂赢1号净值20260911.xlsx</x:v>
      </x:c>
      <x:c r="I2908" s="73" t="str">
        <x:f>""</x:f>
      </x:c>
      <x:c r="J2908" s="74" t="str">
        <x:f>""</x:f>
      </x:c>
      <x:c r="K2908" s="73" t="n">
        <x:f>MAX(K2907,F2908)</x:f>
        <x:v>1.7601</x:v>
      </x:c>
      <x:c r="L2908" s="74" t="n">
        <x:f>1-F2908/K2908</x:f>
        <x:v>0</x:v>
      </x:c>
      <x:c r="M2908" s="73" t="n">
        <x:f>MAX(M2907,F2908)</x:f>
        <x:v>1.7601</x:v>
      </x:c>
      <x:c r="N2908" s="74" t="n">
        <x:f>1-F2908/M2908</x:f>
        <x:v>0</x:v>
      </x:c>
    </x:row>
    <x:row r="2909" ht="27" customHeight="1">
      <x:c r="A2909" s="66" t="str">
        <x:v>SEV580</x:v>
      </x:c>
      <x:c r="B2909" s="66" t="str">
        <x:v>祁腾蜂赢1号</x:v>
      </x:c>
      <x:c r="C2909" s="72" t="n">
        <x:v>45261</x:v>
      </x:c>
      <x:c r="D2909" s="73" t="n">
        <x:v>1.0237</x:v>
      </x:c>
      <x:c r="E2909" s="73" t="n">
        <x:v>1.59</x:v>
      </x:c>
      <x:c r="F2909" s="73" t="n">
        <x:v>1.7587</x:v>
      </x:c>
      <x:c r="G2909" s="74" t="n">
        <x:v>-0.0008</x:v>
      </x:c>
      <x:c r="H2909" s="66" t="str">
        <x:v>祁腾蜂赢1号净值20260911.xlsx</x:v>
      </x:c>
      <x:c r="I2909" s="73" t="str">
        <x:f>""</x:f>
      </x:c>
      <x:c r="J2909" s="74" t="str">
        <x:f>""</x:f>
      </x:c>
      <x:c r="K2909" s="73" t="n">
        <x:f>MAX(K2908,F2909)</x:f>
        <x:v>1.7601</x:v>
      </x:c>
      <x:c r="L2909" s="74" t="n">
        <x:f>1-F2909/K2909</x:f>
        <x:v>0.0007954093517413829</x:v>
      </x:c>
      <x:c r="M2909" s="73" t="n">
        <x:f>MAX(M2908,F2909)</x:f>
        <x:v>1.7601</x:v>
      </x:c>
      <x:c r="N2909" s="74" t="n">
        <x:f>1-F2909/M2909</x:f>
        <x:v>0.0007954093517413829</x:v>
      </x:c>
    </x:row>
    <x:row r="2910" ht="27" customHeight="1">
      <x:c r="A2910" s="66" t="str">
        <x:v>SEV580</x:v>
      </x:c>
      <x:c r="B2910" s="66" t="str">
        <x:v>祁腾蜂赢1号</x:v>
      </x:c>
      <x:c r="C2910" s="72" t="n">
        <x:v>45264</x:v>
      </x:c>
      <x:c r="D2910" s="73" t="n">
        <x:v>1.024</x:v>
      </x:c>
      <x:c r="E2910" s="73" t="n">
        <x:v>1.5903</x:v>
      </x:c>
      <x:c r="F2910" s="73" t="n">
        <x:v>1.7592</x:v>
      </x:c>
      <x:c r="G2910" s="74" t="n">
        <x:v>0.0003</x:v>
      </x:c>
      <x:c r="H2910" s="66" t="str">
        <x:v>祁腾蜂赢1号净值20260911.xlsx</x:v>
      </x:c>
      <x:c r="I2910" s="73" t="str">
        <x:f>""</x:f>
      </x:c>
      <x:c r="J2910" s="74" t="str">
        <x:f>""</x:f>
      </x:c>
      <x:c r="K2910" s="73" t="n">
        <x:f>MAX(K2909,F2910)</x:f>
        <x:v>1.7601</x:v>
      </x:c>
      <x:c r="L2910" s="74" t="n">
        <x:f>1-F2910/K2910</x:f>
        <x:v>0.0005113345832622462</x:v>
      </x:c>
      <x:c r="M2910" s="73" t="n">
        <x:f>MAX(M2909,F2910)</x:f>
        <x:v>1.7601</x:v>
      </x:c>
      <x:c r="N2910" s="74" t="n">
        <x:f>1-F2910/M2910</x:f>
        <x:v>0.0005113345832622462</x:v>
      </x:c>
    </x:row>
    <x:row r="2911" ht="27" customHeight="1">
      <x:c r="A2911" s="66" t="str">
        <x:v>SEV580</x:v>
      </x:c>
      <x:c r="B2911" s="66" t="str">
        <x:v>祁腾蜂赢1号</x:v>
      </x:c>
      <x:c r="C2911" s="72" t="n">
        <x:v>45265</x:v>
      </x:c>
      <x:c r="D2911" s="73" t="n">
        <x:v>1.0256</x:v>
      </x:c>
      <x:c r="E2911" s="73" t="n">
        <x:v>1.5919</x:v>
      </x:c>
      <x:c r="F2911" s="73" t="n">
        <x:v>1.762</x:v>
      </x:c>
      <x:c r="G2911" s="74" t="n">
        <x:v>0.0016</x:v>
      </x:c>
      <x:c r="H2911" s="66" t="str">
        <x:v>祁腾蜂赢1号净值20260911.xlsx</x:v>
      </x:c>
      <x:c r="I2911" s="73" t="str">
        <x:f>""</x:f>
      </x:c>
      <x:c r="J2911" s="74" t="str">
        <x:f>""</x:f>
      </x:c>
      <x:c r="K2911" s="73" t="n">
        <x:f>MAX(K2910,F2911)</x:f>
        <x:v>1.762</x:v>
      </x:c>
      <x:c r="L2911" s="74" t="n">
        <x:f>1-F2911/K2911</x:f>
        <x:v>0</x:v>
      </x:c>
      <x:c r="M2911" s="73" t="n">
        <x:f>MAX(M2910,F2911)</x:f>
        <x:v>1.762</x:v>
      </x:c>
      <x:c r="N2911" s="74" t="n">
        <x:f>1-F2911/M2911</x:f>
        <x:v>0</x:v>
      </x:c>
    </x:row>
    <x:row r="2912" ht="27" customHeight="1">
      <x:c r="A2912" s="66" t="str">
        <x:v>SEV580</x:v>
      </x:c>
      <x:c r="B2912" s="66" t="str">
        <x:v>祁腾蜂赢1号</x:v>
      </x:c>
      <x:c r="C2912" s="72" t="n">
        <x:v>45266</x:v>
      </x:c>
      <x:c r="D2912" s="73" t="n">
        <x:v>1.0257</x:v>
      </x:c>
      <x:c r="E2912" s="73" t="n">
        <x:v>1.592</x:v>
      </x:c>
      <x:c r="F2912" s="73" t="n">
        <x:v>1.7621</x:v>
      </x:c>
      <x:c r="G2912" s="74" t="n">
        <x:v>0.0001</x:v>
      </x:c>
      <x:c r="H2912" s="66" t="str">
        <x:v>祁腾蜂赢1号净值20260911.xlsx</x:v>
      </x:c>
      <x:c r="I2912" s="73" t="str">
        <x:f>""</x:f>
      </x:c>
      <x:c r="J2912" s="74" t="str">
        <x:f>""</x:f>
      </x:c>
      <x:c r="K2912" s="73" t="n">
        <x:f>MAX(K2911,F2912)</x:f>
        <x:v>1.7621</x:v>
      </x:c>
      <x:c r="L2912" s="74" t="n">
        <x:f>1-F2912/K2912</x:f>
        <x:v>0</x:v>
      </x:c>
      <x:c r="M2912" s="73" t="n">
        <x:f>MAX(M2911,F2912)</x:f>
        <x:v>1.7621</x:v>
      </x:c>
      <x:c r="N2912" s="74" t="n">
        <x:f>1-F2912/M2912</x:f>
        <x:v>0</x:v>
      </x:c>
    </x:row>
    <x:row r="2913" ht="27" customHeight="1">
      <x:c r="A2913" s="66" t="str">
        <x:v>SEV580</x:v>
      </x:c>
      <x:c r="B2913" s="66" t="str">
        <x:v>祁腾蜂赢1号</x:v>
      </x:c>
      <x:c r="C2913" s="72" t="n">
        <x:v>45267</x:v>
      </x:c>
      <x:c r="D2913" s="73" t="n">
        <x:v>1.0264</x:v>
      </x:c>
      <x:c r="E2913" s="73" t="n">
        <x:v>1.5927</x:v>
      </x:c>
      <x:c r="F2913" s="73" t="n">
        <x:v>1.7633</x:v>
      </x:c>
      <x:c r="G2913" s="74" t="n">
        <x:v>0.0007000000000000001</x:v>
      </x:c>
      <x:c r="H2913" s="66" t="str">
        <x:v>祁腾蜂赢1号净值20260911.xlsx</x:v>
      </x:c>
      <x:c r="I2913" s="73" t="str">
        <x:f>""</x:f>
      </x:c>
      <x:c r="J2913" s="74" t="str">
        <x:f>""</x:f>
      </x:c>
      <x:c r="K2913" s="73" t="n">
        <x:f>MAX(K2912,F2913)</x:f>
        <x:v>1.7633</x:v>
      </x:c>
      <x:c r="L2913" s="74" t="n">
        <x:f>1-F2913/K2913</x:f>
        <x:v>0</x:v>
      </x:c>
      <x:c r="M2913" s="73" t="n">
        <x:f>MAX(M2912,F2913)</x:f>
        <x:v>1.7633</x:v>
      </x:c>
      <x:c r="N2913" s="74" t="n">
        <x:f>1-F2913/M2913</x:f>
        <x:v>0</x:v>
      </x:c>
    </x:row>
    <x:row r="2914" ht="27" customHeight="1">
      <x:c r="A2914" s="66" t="str">
        <x:v>SEV580</x:v>
      </x:c>
      <x:c r="B2914" s="66" t="str">
        <x:v>祁腾蜂赢1号</x:v>
      </x:c>
      <x:c r="C2914" s="72" t="n">
        <x:v>45268</x:v>
      </x:c>
      <x:c r="D2914" s="73" t="n">
        <x:v>1.0239</x:v>
      </x:c>
      <x:c r="E2914" s="73" t="n">
        <x:v>1.5902</x:v>
      </x:c>
      <x:c r="F2914" s="73" t="n">
        <x:v>1.759</x:v>
      </x:c>
      <x:c r="G2914" s="74" t="n">
        <x:v>-0.0024</x:v>
      </x:c>
      <x:c r="H2914" s="66" t="str">
        <x:v>祁腾蜂赢1号净值20260911.xlsx</x:v>
      </x:c>
      <x:c r="I2914" s="73" t="str">
        <x:f>""</x:f>
      </x:c>
      <x:c r="J2914" s="74" t="str">
        <x:f>""</x:f>
      </x:c>
      <x:c r="K2914" s="73" t="n">
        <x:f>MAX(K2913,F2914)</x:f>
        <x:v>1.7633</x:v>
      </x:c>
      <x:c r="L2914" s="74" t="n">
        <x:f>1-F2914/K2914</x:f>
        <x:v>0.0024386094255091084</x:v>
      </x:c>
      <x:c r="M2914" s="73" t="n">
        <x:f>MAX(M2913,F2914)</x:f>
        <x:v>1.7633</x:v>
      </x:c>
      <x:c r="N2914" s="74" t="n">
        <x:f>1-F2914/M2914</x:f>
        <x:v>0.0024386094255091084</x:v>
      </x:c>
    </x:row>
    <x:row r="2915" ht="27" customHeight="1">
      <x:c r="A2915" s="66" t="str">
        <x:v>SEV580</x:v>
      </x:c>
      <x:c r="B2915" s="66" t="str">
        <x:v>祁腾蜂赢1号</x:v>
      </x:c>
      <x:c r="C2915" s="72" t="n">
        <x:v>45271</x:v>
      </x:c>
      <x:c r="D2915" s="73" t="n">
        <x:v>1.0239</x:v>
      </x:c>
      <x:c r="E2915" s="73" t="n">
        <x:v>1.5902</x:v>
      </x:c>
      <x:c r="F2915" s="73" t="n">
        <x:v>1.759</x:v>
      </x:c>
      <x:c r="G2915" s="74" t="n">
        <x:v>0</x:v>
      </x:c>
      <x:c r="H2915" s="66" t="str">
        <x:v>祁腾蜂赢1号净值20260911.xlsx</x:v>
      </x:c>
      <x:c r="I2915" s="73" t="str">
        <x:f>""</x:f>
      </x:c>
      <x:c r="J2915" s="74" t="str">
        <x:f>""</x:f>
      </x:c>
      <x:c r="K2915" s="73" t="n">
        <x:f>MAX(K2914,F2915)</x:f>
        <x:v>1.7633</x:v>
      </x:c>
      <x:c r="L2915" s="74" t="n">
        <x:f>1-F2915/K2915</x:f>
        <x:v>0.0024386094255091084</x:v>
      </x:c>
      <x:c r="M2915" s="73" t="n">
        <x:f>MAX(M2914,F2915)</x:f>
        <x:v>1.7633</x:v>
      </x:c>
      <x:c r="N2915" s="74" t="n">
        <x:f>1-F2915/M2915</x:f>
        <x:v>0.0024386094255091084</x:v>
      </x:c>
    </x:row>
    <x:row r="2916" ht="27" customHeight="1">
      <x:c r="A2916" s="66" t="str">
        <x:v>SEV580</x:v>
      </x:c>
      <x:c r="B2916" s="66" t="str">
        <x:v>祁腾蜂赢1号</x:v>
      </x:c>
      <x:c r="C2916" s="72" t="n">
        <x:v>45272</x:v>
      </x:c>
      <x:c r="D2916" s="73" t="n">
        <x:v>1.0242</x:v>
      </x:c>
      <x:c r="E2916" s="73" t="n">
        <x:v>1.5905</x:v>
      </x:c>
      <x:c r="F2916" s="73" t="n">
        <x:v>1.7596</x:v>
      </x:c>
      <x:c r="G2916" s="74" t="n">
        <x:v>0.0003</x:v>
      </x:c>
      <x:c r="H2916" s="66" t="str">
        <x:v>祁腾蜂赢1号净值20260911.xlsx</x:v>
      </x:c>
      <x:c r="I2916" s="73" t="str">
        <x:f>""</x:f>
      </x:c>
      <x:c r="J2916" s="74" t="str">
        <x:f>""</x:f>
      </x:c>
      <x:c r="K2916" s="73" t="n">
        <x:f>MAX(K2915,F2916)</x:f>
        <x:v>1.7633</x:v>
      </x:c>
      <x:c r="L2916" s="74" t="n">
        <x:f>1-F2916/K2916</x:f>
        <x:v>0.0020983383428798685</x:v>
      </x:c>
      <x:c r="M2916" s="73" t="n">
        <x:f>MAX(M2915,F2916)</x:f>
        <x:v>1.7633</x:v>
      </x:c>
      <x:c r="N2916" s="74" t="n">
        <x:f>1-F2916/M2916</x:f>
        <x:v>0.0020983383428798685</x:v>
      </x:c>
    </x:row>
    <x:row r="2917" ht="27" customHeight="1">
      <x:c r="A2917" s="66" t="str">
        <x:v>SEV580</x:v>
      </x:c>
      <x:c r="B2917" s="66" t="str">
        <x:v>祁腾蜂赢1号</x:v>
      </x:c>
      <x:c r="C2917" s="72" t="n">
        <x:v>45273</x:v>
      </x:c>
      <x:c r="D2917" s="73" t="n">
        <x:v>1.0242</x:v>
      </x:c>
      <x:c r="E2917" s="73" t="n">
        <x:v>1.5905</x:v>
      </x:c>
      <x:c r="F2917" s="73" t="n">
        <x:v>1.7596</x:v>
      </x:c>
      <x:c r="G2917" s="74" t="n">
        <x:v>0</x:v>
      </x:c>
      <x:c r="H2917" s="66" t="str">
        <x:v>祁腾蜂赢1号净值20260911.xlsx</x:v>
      </x:c>
      <x:c r="I2917" s="73" t="str">
        <x:f>""</x:f>
      </x:c>
      <x:c r="J2917" s="74" t="str">
        <x:f>""</x:f>
      </x:c>
      <x:c r="K2917" s="73" t="n">
        <x:f>MAX(K2916,F2917)</x:f>
        <x:v>1.7633</x:v>
      </x:c>
      <x:c r="L2917" s="74" t="n">
        <x:f>1-F2917/K2917</x:f>
        <x:v>0.0020983383428798685</x:v>
      </x:c>
      <x:c r="M2917" s="73" t="n">
        <x:f>MAX(M2916,F2917)</x:f>
        <x:v>1.7633</x:v>
      </x:c>
      <x:c r="N2917" s="74" t="n">
        <x:f>1-F2917/M2917</x:f>
        <x:v>0.0020983383428798685</x:v>
      </x:c>
    </x:row>
    <x:row r="2918" ht="27" customHeight="1">
      <x:c r="A2918" s="66" t="str">
        <x:v>SEV580</x:v>
      </x:c>
      <x:c r="B2918" s="66" t="str">
        <x:v>祁腾蜂赢1号</x:v>
      </x:c>
      <x:c r="C2918" s="72" t="n">
        <x:v>45274</x:v>
      </x:c>
      <x:c r="D2918" s="73" t="n">
        <x:v>1.0235</x:v>
      </x:c>
      <x:c r="E2918" s="73" t="n">
        <x:v>1.5898</x:v>
      </x:c>
      <x:c r="F2918" s="73" t="n">
        <x:v>1.7584</x:v>
      </x:c>
      <x:c r="G2918" s="74" t="n">
        <x:v>-0.0007000000000000001</x:v>
      </x:c>
      <x:c r="H2918" s="66" t="str">
        <x:v>祁腾蜂赢1号净值20260911.xlsx</x:v>
      </x:c>
      <x:c r="I2918" s="73" t="str">
        <x:f>""</x:f>
      </x:c>
      <x:c r="J2918" s="74" t="str">
        <x:f>""</x:f>
      </x:c>
      <x:c r="K2918" s="73" t="n">
        <x:f>MAX(K2917,F2918)</x:f>
        <x:v>1.7633</x:v>
      </x:c>
      <x:c r="L2918" s="74" t="n">
        <x:f>1-F2918/K2918</x:f>
        <x:v>0.0027788805081382373</x:v>
      </x:c>
      <x:c r="M2918" s="73" t="n">
        <x:f>MAX(M2917,F2918)</x:f>
        <x:v>1.7633</x:v>
      </x:c>
      <x:c r="N2918" s="74" t="n">
        <x:f>1-F2918/M2918</x:f>
        <x:v>0.0027788805081382373</x:v>
      </x:c>
    </x:row>
    <x:row r="2919" ht="27" customHeight="1">
      <x:c r="A2919" s="66" t="str">
        <x:v>SEV580</x:v>
      </x:c>
      <x:c r="B2919" s="66" t="str">
        <x:v>祁腾蜂赢1号</x:v>
      </x:c>
      <x:c r="C2919" s="72" t="n">
        <x:v>45275</x:v>
      </x:c>
      <x:c r="D2919" s="73" t="n">
        <x:v>1.0236</x:v>
      </x:c>
      <x:c r="E2919" s="73" t="n">
        <x:v>1.5899</x:v>
      </x:c>
      <x:c r="F2919" s="73" t="n">
        <x:v>1.7585</x:v>
      </x:c>
      <x:c r="G2919" s="74" t="n">
        <x:v>0.0001</x:v>
      </x:c>
      <x:c r="H2919" s="66" t="str">
        <x:v>祁腾蜂赢1号净值20260911.xlsx</x:v>
      </x:c>
      <x:c r="I2919" s="73" t="str">
        <x:f>""</x:f>
      </x:c>
      <x:c r="J2919" s="74" t="str">
        <x:f>""</x:f>
      </x:c>
      <x:c r="K2919" s="73" t="n">
        <x:f>MAX(K2918,F2919)</x:f>
        <x:v>1.7633</x:v>
      </x:c>
      <x:c r="L2919" s="74" t="n">
        <x:f>1-F2919/K2919</x:f>
        <x:v>0.002722168661033364</x:v>
      </x:c>
      <x:c r="M2919" s="73" t="n">
        <x:f>MAX(M2918,F2919)</x:f>
        <x:v>1.7633</x:v>
      </x:c>
      <x:c r="N2919" s="74" t="n">
        <x:f>1-F2919/M2919</x:f>
        <x:v>0.002722168661033364</x:v>
      </x:c>
    </x:row>
    <x:row r="2920" ht="27" customHeight="1">
      <x:c r="A2920" s="66" t="str">
        <x:v>SEV580</x:v>
      </x:c>
      <x:c r="B2920" s="66" t="str">
        <x:v>祁腾蜂赢1号</x:v>
      </x:c>
      <x:c r="C2920" s="72" t="n">
        <x:v>45278</x:v>
      </x:c>
      <x:c r="D2920" s="73" t="n">
        <x:v>1.0216</x:v>
      </x:c>
      <x:c r="E2920" s="73" t="n">
        <x:v>1.5879</x:v>
      </x:c>
      <x:c r="F2920" s="73" t="n">
        <x:v>1.7551</x:v>
      </x:c>
      <x:c r="G2920" s="74" t="n">
        <x:v>-0.002</x:v>
      </x:c>
      <x:c r="H2920" s="66" t="str">
        <x:v>祁腾蜂赢1号净值20260911.xlsx</x:v>
      </x:c>
      <x:c r="I2920" s="73" t="str">
        <x:f>""</x:f>
      </x:c>
      <x:c r="J2920" s="74" t="str">
        <x:f>""</x:f>
      </x:c>
      <x:c r="K2920" s="73" t="n">
        <x:f>MAX(K2919,F2920)</x:f>
        <x:v>1.7633</x:v>
      </x:c>
      <x:c r="L2920" s="74" t="n">
        <x:f>1-F2920/K2920</x:f>
        <x:v>0.0046503714625985015</x:v>
      </x:c>
      <x:c r="M2920" s="73" t="n">
        <x:f>MAX(M2919,F2920)</x:f>
        <x:v>1.7633</x:v>
      </x:c>
      <x:c r="N2920" s="74" t="n">
        <x:f>1-F2920/M2920</x:f>
        <x:v>0.0046503714625985015</x:v>
      </x:c>
    </x:row>
    <x:row r="2921" ht="27" customHeight="1">
      <x:c r="A2921" s="66" t="str">
        <x:v>SEV580</x:v>
      </x:c>
      <x:c r="B2921" s="66" t="str">
        <x:v>祁腾蜂赢1号</x:v>
      </x:c>
      <x:c r="C2921" s="72" t="n">
        <x:v>45279</x:v>
      </x:c>
      <x:c r="D2921" s="73" t="n">
        <x:v>1.0219</x:v>
      </x:c>
      <x:c r="E2921" s="73" t="n">
        <x:v>1.5882</x:v>
      </x:c>
      <x:c r="F2921" s="73" t="n">
        <x:v>1.7556</x:v>
      </x:c>
      <x:c r="G2921" s="74" t="n">
        <x:v>0.0003</x:v>
      </x:c>
      <x:c r="H2921" s="66" t="str">
        <x:v>祁腾蜂赢1号净值20260911.xlsx</x:v>
      </x:c>
      <x:c r="I2921" s="73" t="str">
        <x:f>""</x:f>
      </x:c>
      <x:c r="J2921" s="74" t="str">
        <x:f>""</x:f>
      </x:c>
      <x:c r="K2921" s="73" t="n">
        <x:f>MAX(K2920,F2921)</x:f>
        <x:v>1.7633</x:v>
      </x:c>
      <x:c r="L2921" s="74" t="n">
        <x:f>1-F2921/K2921</x:f>
        <x:v>0.004366812227074246</x:v>
      </x:c>
      <x:c r="M2921" s="73" t="n">
        <x:f>MAX(M2920,F2921)</x:f>
        <x:v>1.7633</x:v>
      </x:c>
      <x:c r="N2921" s="74" t="n">
        <x:f>1-F2921/M2921</x:f>
        <x:v>0.004366812227074246</x:v>
      </x:c>
    </x:row>
    <x:row r="2922" ht="27" customHeight="1">
      <x:c r="A2922" s="66" t="str">
        <x:v>SEV580</x:v>
      </x:c>
      <x:c r="B2922" s="66" t="str">
        <x:v>祁腾蜂赢1号</x:v>
      </x:c>
      <x:c r="C2922" s="72" t="n">
        <x:v>45280</x:v>
      </x:c>
      <x:c r="D2922" s="73" t="n">
        <x:v>1.021</x:v>
      </x:c>
      <x:c r="E2922" s="73" t="n">
        <x:v>1.5873</x:v>
      </x:c>
      <x:c r="F2922" s="73" t="n">
        <x:v>1.7541</x:v>
      </x:c>
      <x:c r="G2922" s="74" t="n">
        <x:v>-0.0009</x:v>
      </x:c>
      <x:c r="H2922" s="66" t="str">
        <x:v>祁腾蜂赢1号净值20260911.xlsx</x:v>
      </x:c>
      <x:c r="I2922" s="73" t="str">
        <x:f>""</x:f>
      </x:c>
      <x:c r="J2922" s="74" t="str">
        <x:f>""</x:f>
      </x:c>
      <x:c r="K2922" s="73" t="n">
        <x:f>MAX(K2921,F2922)</x:f>
        <x:v>1.7633</x:v>
      </x:c>
      <x:c r="L2922" s="74" t="n">
        <x:f>1-F2922/K2922</x:f>
        <x:v>0.005217489933647235</x:v>
      </x:c>
      <x:c r="M2922" s="73" t="n">
        <x:f>MAX(M2921,F2922)</x:f>
        <x:v>1.7633</x:v>
      </x:c>
      <x:c r="N2922" s="74" t="n">
        <x:f>1-F2922/M2922</x:f>
        <x:v>0.005217489933647235</x:v>
      </x:c>
    </x:row>
    <x:row r="2923" ht="27" customHeight="1">
      <x:c r="A2923" s="66" t="str">
        <x:v>SEV580</x:v>
      </x:c>
      <x:c r="B2923" s="66" t="str">
        <x:v>祁腾蜂赢1号</x:v>
      </x:c>
      <x:c r="C2923" s="72" t="n">
        <x:v>45281</x:v>
      </x:c>
      <x:c r="D2923" s="73" t="n">
        <x:v>1.0214</x:v>
      </x:c>
      <x:c r="E2923" s="73" t="n">
        <x:v>1.5877</x:v>
      </x:c>
      <x:c r="F2923" s="73" t="n">
        <x:v>1.7548</x:v>
      </x:c>
      <x:c r="G2923" s="74" t="n">
        <x:v>0.0004</x:v>
      </x:c>
      <x:c r="H2923" s="66" t="str">
        <x:v>祁腾蜂赢1号净值20260911.xlsx</x:v>
      </x:c>
      <x:c r="I2923" s="73" t="str">
        <x:f>""</x:f>
      </x:c>
      <x:c r="J2923" s="74" t="str">
        <x:f>""</x:f>
      </x:c>
      <x:c r="K2923" s="73" t="n">
        <x:f>MAX(K2922,F2923)</x:f>
        <x:v>1.7633</x:v>
      </x:c>
      <x:c r="L2923" s="74" t="n">
        <x:f>1-F2923/K2923</x:f>
        <x:v>0.0048205070039132325</x:v>
      </x:c>
      <x:c r="M2923" s="73" t="n">
        <x:f>MAX(M2922,F2923)</x:f>
        <x:v>1.7633</x:v>
      </x:c>
      <x:c r="N2923" s="74" t="n">
        <x:f>1-F2923/M2923</x:f>
        <x:v>0.0048205070039132325</x:v>
      </x:c>
    </x:row>
    <x:row r="2924" ht="27" customHeight="1">
      <x:c r="A2924" s="66" t="str">
        <x:v>SEV580</x:v>
      </x:c>
      <x:c r="B2924" s="66" t="str">
        <x:v>祁腾蜂赢1号</x:v>
      </x:c>
      <x:c r="C2924" s="72" t="n">
        <x:v>45282</x:v>
      </x:c>
      <x:c r="D2924" s="73" t="n">
        <x:v>1</x:v>
      </x:c>
      <x:c r="E2924" s="73" t="n">
        <x:v>1.5875</x:v>
      </x:c>
      <x:c r="F2924" s="73" t="n">
        <x:v>1.7544</x:v>
      </x:c>
      <x:c r="G2924" s="74" t="n">
        <x:v>-0.0002</x:v>
      </x:c>
      <x:c r="H2924" s="66" t="str">
        <x:v>祁腾蜂赢1号净值20260911.xlsx</x:v>
      </x:c>
      <x:c r="I2924" s="73" t="str">
        <x:f>""</x:f>
      </x:c>
      <x:c r="J2924" s="74" t="str">
        <x:f>""</x:f>
      </x:c>
      <x:c r="K2924" s="73" t="n">
        <x:f>MAX(K2923,F2924)</x:f>
        <x:v>1.7633</x:v>
      </x:c>
      <x:c r="L2924" s="74" t="n">
        <x:f>1-F2924/K2924</x:f>
        <x:v>0.005047354392332615</x:v>
      </x:c>
      <x:c r="M2924" s="73" t="n">
        <x:f>MAX(M2923,F2924)</x:f>
        <x:v>1.7633</x:v>
      </x:c>
      <x:c r="N2924" s="74" t="n">
        <x:f>1-F2924/M2924</x:f>
        <x:v>0.005047354392332615</x:v>
      </x:c>
    </x:row>
    <x:row r="2925" ht="27" customHeight="1">
      <x:c r="A2925" s="66" t="str">
        <x:v>SEV580</x:v>
      </x:c>
      <x:c r="B2925" s="66" t="str">
        <x:v>祁腾蜂赢1号</x:v>
      </x:c>
      <x:c r="C2925" s="72" t="n">
        <x:v>45285</x:v>
      </x:c>
      <x:c r="D2925" s="73" t="n">
        <x:v>0.9997</x:v>
      </x:c>
      <x:c r="E2925" s="73" t="n">
        <x:v>1.5872</x:v>
      </x:c>
      <x:c r="F2925" s="73" t="n">
        <x:v>1.7539</x:v>
      </x:c>
      <x:c r="G2925" s="74" t="n">
        <x:v>-0.0003</x:v>
      </x:c>
      <x:c r="H2925" s="66" t="str">
        <x:v>祁腾蜂赢1号净值20260911.xlsx</x:v>
      </x:c>
      <x:c r="I2925" s="73" t="str">
        <x:f>""</x:f>
      </x:c>
      <x:c r="J2925" s="74" t="str">
        <x:f>""</x:f>
      </x:c>
      <x:c r="K2925" s="73" t="n">
        <x:f>MAX(K2924,F2925)</x:f>
        <x:v>1.7633</x:v>
      </x:c>
      <x:c r="L2925" s="74" t="n">
        <x:f>1-F2925/K2925</x:f>
        <x:v>0.00533091362785687</x:v>
      </x:c>
      <x:c r="M2925" s="73" t="n">
        <x:f>MAX(M2924,F2925)</x:f>
        <x:v>1.7633</x:v>
      </x:c>
      <x:c r="N2925" s="74" t="n">
        <x:f>1-F2925/M2925</x:f>
        <x:v>0.00533091362785687</x:v>
      </x:c>
    </x:row>
    <x:row r="2926" ht="27" customHeight="1">
      <x:c r="A2926" s="66" t="str">
        <x:v>SEV580</x:v>
      </x:c>
      <x:c r="B2926" s="66" t="str">
        <x:v>祁腾蜂赢1号</x:v>
      </x:c>
      <x:c r="C2926" s="72" t="n">
        <x:v>45286</x:v>
      </x:c>
      <x:c r="D2926" s="73" t="n">
        <x:v>1.0021</x:v>
      </x:c>
      <x:c r="E2926" s="73" t="n">
        <x:v>1.5896</x:v>
      </x:c>
      <x:c r="F2926" s="73" t="n">
        <x:v>1.7581</x:v>
      </x:c>
      <x:c r="G2926" s="74" t="n">
        <x:v>0.0024</x:v>
      </x:c>
      <x:c r="H2926" s="66" t="str">
        <x:v>祁腾蜂赢1号净值20260911.xlsx</x:v>
      </x:c>
      <x:c r="I2926" s="73" t="str">
        <x:f>""</x:f>
      </x:c>
      <x:c r="J2926" s="74" t="str">
        <x:f>""</x:f>
      </x:c>
      <x:c r="K2926" s="73" t="n">
        <x:f>MAX(K2925,F2926)</x:f>
        <x:v>1.7633</x:v>
      </x:c>
      <x:c r="L2926" s="74" t="n">
        <x:f>1-F2926/K2926</x:f>
        <x:v>0.002949016049452746</x:v>
      </x:c>
      <x:c r="M2926" s="73" t="n">
        <x:f>MAX(M2925,F2926)</x:f>
        <x:v>1.7633</x:v>
      </x:c>
      <x:c r="N2926" s="74" t="n">
        <x:f>1-F2926/M2926</x:f>
        <x:v>0.002949016049452746</x:v>
      </x:c>
    </x:row>
    <x:row r="2927" ht="27" customHeight="1">
      <x:c r="A2927" s="66" t="str">
        <x:v>SEV580</x:v>
      </x:c>
      <x:c r="B2927" s="66" t="str">
        <x:v>祁腾蜂赢1号</x:v>
      </x:c>
      <x:c r="C2927" s="72" t="n">
        <x:v>45287</x:v>
      </x:c>
      <x:c r="D2927" s="73" t="n">
        <x:v>1.0018</x:v>
      </x:c>
      <x:c r="E2927" s="73" t="n">
        <x:v>1.5893</x:v>
      </x:c>
      <x:c r="F2927" s="73" t="n">
        <x:v>1.7576</x:v>
      </x:c>
      <x:c r="G2927" s="74" t="n">
        <x:v>-0.0003</x:v>
      </x:c>
      <x:c r="H2927" s="66" t="str">
        <x:v>祁腾蜂赢1号净值20260911.xlsx</x:v>
      </x:c>
      <x:c r="I2927" s="73" t="str">
        <x:f>""</x:f>
      </x:c>
      <x:c r="J2927" s="74" t="str">
        <x:f>""</x:f>
      </x:c>
      <x:c r="K2927" s="73" t="n">
        <x:f>MAX(K2926,F2927)</x:f>
        <x:v>1.7633</x:v>
      </x:c>
      <x:c r="L2927" s="74" t="n">
        <x:f>1-F2927/K2927</x:f>
        <x:v>0.0032325752849770018</x:v>
      </x:c>
      <x:c r="M2927" s="73" t="n">
        <x:f>MAX(M2926,F2927)</x:f>
        <x:v>1.7633</x:v>
      </x:c>
      <x:c r="N2927" s="74" t="n">
        <x:f>1-F2927/M2927</x:f>
        <x:v>0.0032325752849770018</x:v>
      </x:c>
    </x:row>
    <x:row r="2928" ht="27" customHeight="1">
      <x:c r="A2928" s="66" t="str">
        <x:v>SEV580</x:v>
      </x:c>
      <x:c r="B2928" s="66" t="str">
        <x:v>祁腾蜂赢1号</x:v>
      </x:c>
      <x:c r="C2928" s="72" t="n">
        <x:v>45288</x:v>
      </x:c>
      <x:c r="D2928" s="73" t="n">
        <x:v>1.0036</x:v>
      </x:c>
      <x:c r="E2928" s="73" t="n">
        <x:v>1.5911</x:v>
      </x:c>
      <x:c r="F2928" s="73" t="n">
        <x:v>1.7607</x:v>
      </x:c>
      <x:c r="G2928" s="74" t="n">
        <x:v>0.0018</x:v>
      </x:c>
      <x:c r="H2928" s="66" t="str">
        <x:v>祁腾蜂赢1号净值20260911.xlsx</x:v>
      </x:c>
      <x:c r="I2928" s="73" t="str">
        <x:f>""</x:f>
      </x:c>
      <x:c r="J2928" s="74" t="str">
        <x:f>""</x:f>
      </x:c>
      <x:c r="K2928" s="73" t="n">
        <x:f>MAX(K2927,F2928)</x:f>
        <x:v>1.7633</x:v>
      </x:c>
      <x:c r="L2928" s="74" t="n">
        <x:f>1-F2928/K2928</x:f>
        <x:v>0.0014745080247264841</x:v>
      </x:c>
      <x:c r="M2928" s="73" t="n">
        <x:f>MAX(M2927,F2928)</x:f>
        <x:v>1.7633</x:v>
      </x:c>
      <x:c r="N2928" s="74" t="n">
        <x:f>1-F2928/M2928</x:f>
        <x:v>0.0014745080247264841</x:v>
      </x:c>
    </x:row>
    <x:row r="2929" ht="27" customHeight="1">
      <x:c r="A2929" s="66" t="str">
        <x:v>SEV580</x:v>
      </x:c>
      <x:c r="B2929" s="66" t="str">
        <x:v>祁腾蜂赢1号</x:v>
      </x:c>
      <x:c r="C2929" s="72" t="n">
        <x:v>45289</x:v>
      </x:c>
      <x:c r="D2929" s="73" t="n">
        <x:v>1.003</x:v>
      </x:c>
      <x:c r="E2929" s="73" t="n">
        <x:v>1.5905</x:v>
      </x:c>
      <x:c r="F2929" s="73" t="n">
        <x:v>1.7597</x:v>
      </x:c>
      <x:c r="G2929" s="74" t="n">
        <x:v>-0.0006</x:v>
      </x:c>
      <x:c r="H2929" s="66" t="str">
        <x:v>祁腾蜂赢1号净值20260911.xlsx</x:v>
      </x:c>
      <x:c r="I2929" s="73" t="str">
        <x:f>""</x:f>
      </x:c>
      <x:c r="J2929" s="74" t="str">
        <x:f>""</x:f>
      </x:c>
      <x:c r="K2929" s="73" t="n">
        <x:f>MAX(K2928,F2929)</x:f>
        <x:v>1.7633</x:v>
      </x:c>
      <x:c r="L2929" s="74" t="n">
        <x:f>1-F2929/K2929</x:f>
        <x:v>0.0020416264957749952</x:v>
      </x:c>
      <x:c r="M2929" s="73" t="n">
        <x:f>MAX(M2928,F2929)</x:f>
        <x:v>1.7633</x:v>
      </x:c>
      <x:c r="N2929" s="74" t="n">
        <x:f>1-F2929/M2929</x:f>
        <x:v>0.0020416264957749952</x:v>
      </x:c>
    </x:row>
    <x:row r="2930" ht="27" customHeight="1">
      <x:c r="A2930" s="66" t="str">
        <x:v>SEV580</x:v>
      </x:c>
      <x:c r="B2930" s="66" t="str">
        <x:v>祁腾蜂赢1号</x:v>
      </x:c>
      <x:c r="C2930" s="72" t="n">
        <x:v>45293</x:v>
      </x:c>
      <x:c r="D2930" s="73" t="n">
        <x:v>1.0029</x:v>
      </x:c>
      <x:c r="E2930" s="73" t="n">
        <x:v>1.5904</x:v>
      </x:c>
      <x:c r="F2930" s="73" t="n">
        <x:v>1.7595</x:v>
      </x:c>
      <x:c r="G2930" s="74" t="n">
        <x:v>-0.0001</x:v>
      </x:c>
      <x:c r="H2930" s="66" t="str">
        <x:v>祁腾蜂赢1号净值20260911.xlsx</x:v>
      </x:c>
      <x:c r="I2930" s="73" t="str">
        <x:f>""</x:f>
      </x:c>
      <x:c r="J2930" s="74" t="str">
        <x:f>""</x:f>
      </x:c>
      <x:c r="K2930" s="73" t="n">
        <x:f>MAX(K2929,F2930)</x:f>
        <x:v>1.7633</x:v>
      </x:c>
      <x:c r="L2930" s="74" t="n">
        <x:f>1-F2930/K2930</x:f>
        <x:v>0.002155050189984742</x:v>
      </x:c>
      <x:c r="M2930" s="73" t="n">
        <x:f>MAX(M2929,F2930)</x:f>
        <x:v>1.7633</x:v>
      </x:c>
      <x:c r="N2930" s="74" t="n">
        <x:f>1-F2930/M2930</x:f>
        <x:v>0.002155050189984742</x:v>
      </x:c>
    </x:row>
    <x:row r="2931" ht="27" customHeight="1">
      <x:c r="A2931" s="66" t="str">
        <x:v>SEV580</x:v>
      </x:c>
      <x:c r="B2931" s="66" t="str">
        <x:v>祁腾蜂赢1号</x:v>
      </x:c>
      <x:c r="C2931" s="72" t="n">
        <x:v>45294</x:v>
      </x:c>
      <x:c r="D2931" s="73" t="n">
        <x:v>1.0041</x:v>
      </x:c>
      <x:c r="E2931" s="73" t="n">
        <x:v>1.5916</x:v>
      </x:c>
      <x:c r="F2931" s="73" t="n">
        <x:v>1.7616</x:v>
      </x:c>
      <x:c r="G2931" s="74" t="n">
        <x:v>0.0012</x:v>
      </x:c>
      <x:c r="H2931" s="66" t="str">
        <x:v>祁腾蜂赢1号净值20260911.xlsx</x:v>
      </x:c>
      <x:c r="I2931" s="73" t="str">
        <x:f>""</x:f>
      </x:c>
      <x:c r="J2931" s="74" t="str">
        <x:f>""</x:f>
      </x:c>
      <x:c r="K2931" s="73" t="n">
        <x:f>MAX(K2930,F2931)</x:f>
        <x:v>1.7633</x:v>
      </x:c>
      <x:c r="L2931" s="74" t="n">
        <x:f>1-F2931/K2931</x:f>
        <x:v>0.0009641014007826243</x:v>
      </x:c>
      <x:c r="M2931" s="73" t="n">
        <x:f>MAX(M2930,F2931)</x:f>
        <x:v>1.7633</x:v>
      </x:c>
      <x:c r="N2931" s="74" t="n">
        <x:f>1-F2931/M2931</x:f>
        <x:v>0.0009641014007826243</x:v>
      </x:c>
    </x:row>
    <x:row r="2932" ht="27" customHeight="1">
      <x:c r="A2932" s="66" t="str">
        <x:v>SEV580</x:v>
      </x:c>
      <x:c r="B2932" s="66" t="str">
        <x:v>祁腾蜂赢1号</x:v>
      </x:c>
      <x:c r="C2932" s="72" t="n">
        <x:v>45295</x:v>
      </x:c>
      <x:c r="D2932" s="73" t="n">
        <x:v>1.0062</x:v>
      </x:c>
      <x:c r="E2932" s="73" t="n">
        <x:v>1.5937</x:v>
      </x:c>
      <x:c r="F2932" s="73" t="n">
        <x:v>1.7653</x:v>
      </x:c>
      <x:c r="G2932" s="74" t="n">
        <x:v>0.0021</x:v>
      </x:c>
      <x:c r="H2932" s="66" t="str">
        <x:v>祁腾蜂赢1号净值20260911.xlsx</x:v>
      </x:c>
      <x:c r="I2932" s="73" t="str">
        <x:f>""</x:f>
      </x:c>
      <x:c r="J2932" s="74" t="str">
        <x:f>""</x:f>
      </x:c>
      <x:c r="K2932" s="73" t="n">
        <x:f>MAX(K2931,F2932)</x:f>
        <x:v>1.7653</x:v>
      </x:c>
      <x:c r="L2932" s="74" t="n">
        <x:f>1-F2932/K2932</x:f>
        <x:v>0</x:v>
      </x:c>
      <x:c r="M2932" s="73" t="n">
        <x:f>MAX(M2931,F2932)</x:f>
        <x:v>1.7653</x:v>
      </x:c>
      <x:c r="N2932" s="74" t="n">
        <x:f>1-F2932/M2932</x:f>
        <x:v>0</x:v>
      </x:c>
    </x:row>
    <x:row r="2933" ht="27" customHeight="1">
      <x:c r="A2933" s="66" t="str">
        <x:v>SEV580</x:v>
      </x:c>
      <x:c r="B2933" s="66" t="str">
        <x:v>祁腾蜂赢1号</x:v>
      </x:c>
      <x:c r="C2933" s="72" t="n">
        <x:v>45296</x:v>
      </x:c>
      <x:c r="D2933" s="73" t="n">
        <x:v>1.0057</x:v>
      </x:c>
      <x:c r="E2933" s="73" t="n">
        <x:v>1.5932</x:v>
      </x:c>
      <x:c r="F2933" s="73" t="n">
        <x:v>1.7644</x:v>
      </x:c>
      <x:c r="G2933" s="74" t="n">
        <x:v>-0.0005</x:v>
      </x:c>
      <x:c r="H2933" s="66" t="str">
        <x:v>祁腾蜂赢1号净值20260911.xlsx</x:v>
      </x:c>
      <x:c r="I2933" s="73" t="str">
        <x:f>""</x:f>
      </x:c>
      <x:c r="J2933" s="74" t="str">
        <x:f>""</x:f>
      </x:c>
      <x:c r="K2933" s="73" t="n">
        <x:f>MAX(K2932,F2933)</x:f>
        <x:v>1.7653</x:v>
      </x:c>
      <x:c r="L2933" s="74" t="n">
        <x:f>1-F2933/K2933</x:f>
        <x:v>0.000509828357786235</x:v>
      </x:c>
      <x:c r="M2933" s="73" t="n">
        <x:f>MAX(M2932,F2933)</x:f>
        <x:v>1.7653</x:v>
      </x:c>
      <x:c r="N2933" s="74" t="n">
        <x:f>1-F2933/M2933</x:f>
        <x:v>0.000509828357786235</x:v>
      </x:c>
    </x:row>
    <x:row r="2934" ht="27" customHeight="1">
      <x:c r="A2934" s="66" t="str">
        <x:v>SEV580</x:v>
      </x:c>
      <x:c r="B2934" s="66" t="str">
        <x:v>祁腾蜂赢1号</x:v>
      </x:c>
      <x:c r="C2934" s="72" t="n">
        <x:v>45299</x:v>
      </x:c>
      <x:c r="D2934" s="73" t="n">
        <x:v>1.0073</x:v>
      </x:c>
      <x:c r="E2934" s="73" t="n">
        <x:v>1.5948</x:v>
      </x:c>
      <x:c r="F2934" s="73" t="n">
        <x:v>1.7672</x:v>
      </x:c>
      <x:c r="G2934" s="74" t="n">
        <x:v>0.0016</x:v>
      </x:c>
      <x:c r="H2934" s="66" t="str">
        <x:v>祁腾蜂赢1号净值20260911.xlsx</x:v>
      </x:c>
      <x:c r="I2934" s="73" t="str">
        <x:f>""</x:f>
      </x:c>
      <x:c r="J2934" s="74" t="str">
        <x:f>""</x:f>
      </x:c>
      <x:c r="K2934" s="73" t="n">
        <x:f>MAX(K2933,F2934)</x:f>
        <x:v>1.7672</x:v>
      </x:c>
      <x:c r="L2934" s="74" t="n">
        <x:f>1-F2934/K2934</x:f>
        <x:v>0</x:v>
      </x:c>
      <x:c r="M2934" s="73" t="n">
        <x:f>MAX(M2933,F2934)</x:f>
        <x:v>1.7672</x:v>
      </x:c>
      <x:c r="N2934" s="74" t="n">
        <x:f>1-F2934/M2934</x:f>
        <x:v>0</x:v>
      </x:c>
    </x:row>
    <x:row r="2935" ht="27" customHeight="1">
      <x:c r="A2935" s="66" t="str">
        <x:v>SEV580</x:v>
      </x:c>
      <x:c r="B2935" s="66" t="str">
        <x:v>祁腾蜂赢1号</x:v>
      </x:c>
      <x:c r="C2935" s="72" t="n">
        <x:v>45300</x:v>
      </x:c>
      <x:c r="D2935" s="73" t="n">
        <x:v>1.0071</x:v>
      </x:c>
      <x:c r="E2935" s="73" t="n">
        <x:v>1.5946</x:v>
      </x:c>
      <x:c r="F2935" s="73" t="n">
        <x:v>1.7669</x:v>
      </x:c>
      <x:c r="G2935" s="74" t="n">
        <x:v>-0.0002</x:v>
      </x:c>
      <x:c r="H2935" s="66" t="str">
        <x:v>祁腾蜂赢1号净值20260911.xlsx</x:v>
      </x:c>
      <x:c r="I2935" s="73" t="str">
        <x:f>""</x:f>
      </x:c>
      <x:c r="J2935" s="74" t="str">
        <x:f>""</x:f>
      </x:c>
      <x:c r="K2935" s="73" t="n">
        <x:f>MAX(K2934,F2935)</x:f>
        <x:v>1.7672</x:v>
      </x:c>
      <x:c r="L2935" s="74" t="n">
        <x:f>1-F2935/K2935</x:f>
        <x:v>0.00016976007243107993</x:v>
      </x:c>
      <x:c r="M2935" s="73" t="n">
        <x:f>MAX(M2934,F2935)</x:f>
        <x:v>1.7672</x:v>
      </x:c>
      <x:c r="N2935" s="74" t="n">
        <x:f>1-F2935/M2935</x:f>
        <x:v>0.00016976007243107993</x:v>
      </x:c>
    </x:row>
    <x:row r="2936" ht="27" customHeight="1">
      <x:c r="A2936" s="66" t="str">
        <x:v>SEV580</x:v>
      </x:c>
      <x:c r="B2936" s="66" t="str">
        <x:v>祁腾蜂赢1号</x:v>
      </x:c>
      <x:c r="C2936" s="72" t="n">
        <x:v>45301</x:v>
      </x:c>
      <x:c r="D2936" s="73" t="n">
        <x:v>1.0077</x:v>
      </x:c>
      <x:c r="E2936" s="73" t="n">
        <x:v>1.5952</x:v>
      </x:c>
      <x:c r="F2936" s="73" t="n">
        <x:v>1.7679</x:v>
      </x:c>
      <x:c r="G2936" s="74" t="n">
        <x:v>0.0006</x:v>
      </x:c>
      <x:c r="H2936" s="66" t="str">
        <x:v>祁腾蜂赢1号净值20260911.xlsx</x:v>
      </x:c>
      <x:c r="I2936" s="73" t="str">
        <x:f>""</x:f>
      </x:c>
      <x:c r="J2936" s="74" t="str">
        <x:f>""</x:f>
      </x:c>
      <x:c r="K2936" s="73" t="n">
        <x:f>MAX(K2935,F2936)</x:f>
        <x:v>1.7679</x:v>
      </x:c>
      <x:c r="L2936" s="74" t="n">
        <x:f>1-F2936/K2936</x:f>
        <x:v>0</x:v>
      </x:c>
      <x:c r="M2936" s="73" t="n">
        <x:f>MAX(M2935,F2936)</x:f>
        <x:v>1.7679</x:v>
      </x:c>
      <x:c r="N2936" s="74" t="n">
        <x:f>1-F2936/M2936</x:f>
        <x:v>0</x:v>
      </x:c>
    </x:row>
    <x:row r="2937" ht="27" customHeight="1">
      <x:c r="A2937" s="66" t="str">
        <x:v>SEV580</x:v>
      </x:c>
      <x:c r="B2937" s="66" t="str">
        <x:v>祁腾蜂赢1号</x:v>
      </x:c>
      <x:c r="C2937" s="72" t="n">
        <x:v>45302</x:v>
      </x:c>
      <x:c r="D2937" s="73" t="n">
        <x:v>1.0077</x:v>
      </x:c>
      <x:c r="E2937" s="73" t="n">
        <x:v>1.5952</x:v>
      </x:c>
      <x:c r="F2937" s="73" t="n">
        <x:v>1.7679</x:v>
      </x:c>
      <x:c r="G2937" s="74" t="n">
        <x:v>0</x:v>
      </x:c>
      <x:c r="H2937" s="66" t="str">
        <x:v>祁腾蜂赢1号净值20260911.xlsx</x:v>
      </x:c>
      <x:c r="I2937" s="73" t="str">
        <x:f>""</x:f>
      </x:c>
      <x:c r="J2937" s="74" t="str">
        <x:f>""</x:f>
      </x:c>
      <x:c r="K2937" s="73" t="n">
        <x:f>MAX(K2936,F2937)</x:f>
        <x:v>1.7679</x:v>
      </x:c>
      <x:c r="L2937" s="74" t="n">
        <x:f>1-F2937/K2937</x:f>
        <x:v>0</x:v>
      </x:c>
      <x:c r="M2937" s="73" t="n">
        <x:f>MAX(M2936,F2937)</x:f>
        <x:v>1.7679</x:v>
      </x:c>
      <x:c r="N2937" s="74" t="n">
        <x:f>1-F2937/M2937</x:f>
        <x:v>0</x:v>
      </x:c>
    </x:row>
    <x:row r="2938" ht="27" customHeight="1">
      <x:c r="A2938" s="66" t="str">
        <x:v>SEV580</x:v>
      </x:c>
      <x:c r="B2938" s="66" t="str">
        <x:v>祁腾蜂赢1号</x:v>
      </x:c>
      <x:c r="C2938" s="72" t="n">
        <x:v>45303</x:v>
      </x:c>
      <x:c r="D2938" s="73" t="n">
        <x:v>1.0084</x:v>
      </x:c>
      <x:c r="E2938" s="73" t="n">
        <x:v>1.5959</x:v>
      </x:c>
      <x:c r="F2938" s="73" t="n">
        <x:v>1.7691</x:v>
      </x:c>
      <x:c r="G2938" s="74" t="n">
        <x:v>0.0007000000000000001</x:v>
      </x:c>
      <x:c r="H2938" s="66" t="str">
        <x:v>祁腾蜂赢1号净值20260911.xlsx</x:v>
      </x:c>
      <x:c r="I2938" s="73" t="str">
        <x:f>""</x:f>
      </x:c>
      <x:c r="J2938" s="74" t="str">
        <x:f>""</x:f>
      </x:c>
      <x:c r="K2938" s="73" t="n">
        <x:f>MAX(K2937,F2938)</x:f>
        <x:v>1.7691</x:v>
      </x:c>
      <x:c r="L2938" s="74" t="n">
        <x:f>1-F2938/K2938</x:f>
        <x:v>0</x:v>
      </x:c>
      <x:c r="M2938" s="73" t="n">
        <x:f>MAX(M2937,F2938)</x:f>
        <x:v>1.7691</x:v>
      </x:c>
      <x:c r="N2938" s="74" t="n">
        <x:f>1-F2938/M2938</x:f>
        <x:v>0</x:v>
      </x:c>
    </x:row>
    <x:row r="2939" ht="27" customHeight="1">
      <x:c r="A2939" s="66" t="str">
        <x:v>SEV580</x:v>
      </x:c>
      <x:c r="B2939" s="66" t="str">
        <x:v>祁腾蜂赢1号</x:v>
      </x:c>
      <x:c r="C2939" s="72" t="n">
        <x:v>45306</x:v>
      </x:c>
      <x:c r="D2939" s="73" t="n">
        <x:v>1.0081</x:v>
      </x:c>
      <x:c r="E2939" s="73" t="n">
        <x:v>1.5956</x:v>
      </x:c>
      <x:c r="F2939" s="73" t="n">
        <x:v>1.7686</x:v>
      </x:c>
      <x:c r="G2939" s="74" t="n">
        <x:v>-0.0003</x:v>
      </x:c>
      <x:c r="H2939" s="66" t="str">
        <x:v>祁腾蜂赢1号净值20260911.xlsx</x:v>
      </x:c>
      <x:c r="I2939" s="73" t="str">
        <x:f>""</x:f>
      </x:c>
      <x:c r="J2939" s="74" t="str">
        <x:f>""</x:f>
      </x:c>
      <x:c r="K2939" s="73" t="n">
        <x:f>MAX(K2938,F2939)</x:f>
        <x:v>1.7691</x:v>
      </x:c>
      <x:c r="L2939" s="74" t="n">
        <x:f>1-F2939/K2939</x:f>
        <x:v>0.0002826295856650507</x:v>
      </x:c>
      <x:c r="M2939" s="73" t="n">
        <x:f>MAX(M2938,F2939)</x:f>
        <x:v>1.7691</x:v>
      </x:c>
      <x:c r="N2939" s="74" t="n">
        <x:f>1-F2939/M2939</x:f>
        <x:v>0.0002826295856650507</x:v>
      </x:c>
    </x:row>
    <x:row r="2940" ht="27" customHeight="1">
      <x:c r="A2940" s="66" t="str">
        <x:v>SEV580</x:v>
      </x:c>
      <x:c r="B2940" s="66" t="str">
        <x:v>祁腾蜂赢1号</x:v>
      </x:c>
      <x:c r="C2940" s="72" t="n">
        <x:v>45307</x:v>
      </x:c>
      <x:c r="D2940" s="73" t="n">
        <x:v>1.0112</x:v>
      </x:c>
      <x:c r="E2940" s="73" t="n">
        <x:v>1.5987</x:v>
      </x:c>
      <x:c r="F2940" s="73" t="n">
        <x:v>1.7741</x:v>
      </x:c>
      <x:c r="G2940" s="74" t="n">
        <x:v>0.0031</x:v>
      </x:c>
      <x:c r="H2940" s="66" t="str">
        <x:v>祁腾蜂赢1号净值20260911.xlsx</x:v>
      </x:c>
      <x:c r="I2940" s="73" t="str">
        <x:f>""</x:f>
      </x:c>
      <x:c r="J2940" s="74" t="str">
        <x:f>""</x:f>
      </x:c>
      <x:c r="K2940" s="73" t="n">
        <x:f>MAX(K2939,F2940)</x:f>
        <x:v>1.7741</x:v>
      </x:c>
      <x:c r="L2940" s="74" t="n">
        <x:f>1-F2940/K2940</x:f>
        <x:v>0</x:v>
      </x:c>
      <x:c r="M2940" s="73" t="n">
        <x:f>MAX(M2939,F2940)</x:f>
        <x:v>1.7741</x:v>
      </x:c>
      <x:c r="N2940" s="74" t="n">
        <x:f>1-F2940/M2940</x:f>
        <x:v>0</x:v>
      </x:c>
    </x:row>
    <x:row r="2941" ht="27" customHeight="1">
      <x:c r="A2941" s="66" t="str">
        <x:v>SEV580</x:v>
      </x:c>
      <x:c r="B2941" s="66" t="str">
        <x:v>祁腾蜂赢1号</x:v>
      </x:c>
      <x:c r="C2941" s="72" t="n">
        <x:v>45308</x:v>
      </x:c>
      <x:c r="D2941" s="73" t="n">
        <x:v>1.0109</x:v>
      </x:c>
      <x:c r="E2941" s="73" t="n">
        <x:v>1.5984</x:v>
      </x:c>
      <x:c r="F2941" s="73" t="n">
        <x:v>1.7735</x:v>
      </x:c>
      <x:c r="G2941" s="74" t="n">
        <x:v>-0.0003</x:v>
      </x:c>
      <x:c r="H2941" s="66" t="str">
        <x:v>祁腾蜂赢1号净值20260911.xlsx</x:v>
      </x:c>
      <x:c r="I2941" s="73" t="str">
        <x:f>""</x:f>
      </x:c>
      <x:c r="J2941" s="74" t="str">
        <x:f>""</x:f>
      </x:c>
      <x:c r="K2941" s="73" t="n">
        <x:f>MAX(K2940,F2941)</x:f>
        <x:v>1.7741</x:v>
      </x:c>
      <x:c r="L2941" s="74" t="n">
        <x:f>1-F2941/K2941</x:f>
        <x:v>0.0003381996505269491</x:v>
      </x:c>
      <x:c r="M2941" s="73" t="n">
        <x:f>MAX(M2940,F2941)</x:f>
        <x:v>1.7741</x:v>
      </x:c>
      <x:c r="N2941" s="74" t="n">
        <x:f>1-F2941/M2941</x:f>
        <x:v>0.0003381996505269491</x:v>
      </x:c>
    </x:row>
    <x:row r="2942" ht="27" customHeight="1">
      <x:c r="A2942" s="66" t="str">
        <x:v>SEV580</x:v>
      </x:c>
      <x:c r="B2942" s="66" t="str">
        <x:v>祁腾蜂赢1号</x:v>
      </x:c>
      <x:c r="C2942" s="72" t="n">
        <x:v>45309</x:v>
      </x:c>
      <x:c r="D2942" s="73" t="n">
        <x:v>1.0061</x:v>
      </x:c>
      <x:c r="E2942" s="73" t="n">
        <x:v>1.5936</x:v>
      </x:c>
      <x:c r="F2942" s="73" t="n">
        <x:v>1.7651</x:v>
      </x:c>
      <x:c r="G2942" s="74" t="n">
        <x:v>-0.004699999999999999</x:v>
      </x:c>
      <x:c r="H2942" s="66" t="str">
        <x:v>祁腾蜂赢1号净值20260911.xlsx</x:v>
      </x:c>
      <x:c r="I2942" s="73" t="str">
        <x:f>""</x:f>
      </x:c>
      <x:c r="J2942" s="74" t="str">
        <x:f>""</x:f>
      </x:c>
      <x:c r="K2942" s="73" t="n">
        <x:f>MAX(K2941,F2942)</x:f>
        <x:v>1.7741</x:v>
      </x:c>
      <x:c r="L2942" s="74" t="n">
        <x:f>1-F2942/K2942</x:f>
        <x:v>0.005072994757905458</x:v>
      </x:c>
      <x:c r="M2942" s="73" t="n">
        <x:f>MAX(M2941,F2942)</x:f>
        <x:v>1.7741</x:v>
      </x:c>
      <x:c r="N2942" s="74" t="n">
        <x:f>1-F2942/M2942</x:f>
        <x:v>0.005072994757905458</x:v>
      </x:c>
    </x:row>
    <x:row r="2943" ht="27" customHeight="1">
      <x:c r="A2943" s="66" t="str">
        <x:v>SEV580</x:v>
      </x:c>
      <x:c r="B2943" s="66" t="str">
        <x:v>祁腾蜂赢1号</x:v>
      </x:c>
      <x:c r="C2943" s="72" t="n">
        <x:v>45310</x:v>
      </x:c>
      <x:c r="D2943" s="73" t="n">
        <x:v>1.0062</x:v>
      </x:c>
      <x:c r="E2943" s="73" t="n">
        <x:v>1.5937</x:v>
      </x:c>
      <x:c r="F2943" s="73" t="n">
        <x:v>1.7653</x:v>
      </x:c>
      <x:c r="G2943" s="74" t="n">
        <x:v>0.0001</x:v>
      </x:c>
      <x:c r="H2943" s="66" t="str">
        <x:v>祁腾蜂赢1号净值20260911.xlsx</x:v>
      </x:c>
      <x:c r="I2943" s="73" t="str">
        <x:f>""</x:f>
      </x:c>
      <x:c r="J2943" s="74" t="str">
        <x:f>""</x:f>
      </x:c>
      <x:c r="K2943" s="73" t="n">
        <x:f>MAX(K2942,F2943)</x:f>
        <x:v>1.7741</x:v>
      </x:c>
      <x:c r="L2943" s="74" t="n">
        <x:f>1-F2943/K2943</x:f>
        <x:v>0.0049602615410629936</x:v>
      </x:c>
      <x:c r="M2943" s="73" t="n">
        <x:f>MAX(M2942,F2943)</x:f>
        <x:v>1.7741</x:v>
      </x:c>
      <x:c r="N2943" s="74" t="n">
        <x:f>1-F2943/M2943</x:f>
        <x:v>0.0049602615410629936</x:v>
      </x:c>
    </x:row>
    <x:row r="2944" ht="27" customHeight="1">
      <x:c r="A2944" s="66" t="str">
        <x:v>SEV580</x:v>
      </x:c>
      <x:c r="B2944" s="66" t="str">
        <x:v>祁腾蜂赢1号</x:v>
      </x:c>
      <x:c r="C2944" s="72" t="n">
        <x:v>45313</x:v>
      </x:c>
      <x:c r="D2944" s="73" t="n">
        <x:v>1.0105</x:v>
      </x:c>
      <x:c r="E2944" s="73" t="n">
        <x:v>1.598</x:v>
      </x:c>
      <x:c r="F2944" s="73" t="n">
        <x:v>1.7728</x:v>
      </x:c>
      <x:c r="G2944" s="74" t="n">
        <x:v>0.0043</x:v>
      </x:c>
      <x:c r="H2944" s="66" t="str">
        <x:v>祁腾蜂赢1号净值20260911.xlsx</x:v>
      </x:c>
      <x:c r="I2944" s="73" t="str">
        <x:f>""</x:f>
      </x:c>
      <x:c r="J2944" s="74" t="str">
        <x:f>""</x:f>
      </x:c>
      <x:c r="K2944" s="73" t="n">
        <x:f>MAX(K2943,F2944)</x:f>
        <x:v>1.7741</x:v>
      </x:c>
      <x:c r="L2944" s="74" t="n">
        <x:f>1-F2944/K2944</x:f>
        <x:v>0.0007327659094752415</x:v>
      </x:c>
      <x:c r="M2944" s="73" t="n">
        <x:f>MAX(M2943,F2944)</x:f>
        <x:v>1.7741</x:v>
      </x:c>
      <x:c r="N2944" s="74" t="n">
        <x:f>1-F2944/M2944</x:f>
        <x:v>0.0007327659094752415</x:v>
      </x:c>
    </x:row>
    <x:row r="2945" ht="27" customHeight="1">
      <x:c r="A2945" s="66" t="str">
        <x:v>SEV580</x:v>
      </x:c>
      <x:c r="B2945" s="66" t="str">
        <x:v>祁腾蜂赢1号</x:v>
      </x:c>
      <x:c r="C2945" s="72" t="n">
        <x:v>45314</x:v>
      </x:c>
      <x:c r="D2945" s="73" t="n">
        <x:v>1.0086</x:v>
      </x:c>
      <x:c r="E2945" s="73" t="n">
        <x:v>1.5961</x:v>
      </x:c>
      <x:c r="F2945" s="73" t="n">
        <x:v>1.7695</x:v>
      </x:c>
      <x:c r="G2945" s="74" t="n">
        <x:v>-0.0019</x:v>
      </x:c>
      <x:c r="H2945" s="66" t="str">
        <x:v>祁腾蜂赢1号净值20260911.xlsx</x:v>
      </x:c>
      <x:c r="I2945" s="73" t="str">
        <x:f>""</x:f>
      </x:c>
      <x:c r="J2945" s="74" t="str">
        <x:f>""</x:f>
      </x:c>
      <x:c r="K2945" s="73" t="n">
        <x:f>MAX(K2944,F2945)</x:f>
        <x:v>1.7741</x:v>
      </x:c>
      <x:c r="L2945" s="74" t="n">
        <x:f>1-F2945/K2945</x:f>
        <x:v>0.0025928639873737946</x:v>
      </x:c>
      <x:c r="M2945" s="73" t="n">
        <x:f>MAX(M2944,F2945)</x:f>
        <x:v>1.7741</x:v>
      </x:c>
      <x:c r="N2945" s="74" t="n">
        <x:f>1-F2945/M2945</x:f>
        <x:v>0.0025928639873737946</x:v>
      </x:c>
    </x:row>
    <x:row r="2946" ht="27" customHeight="1">
      <x:c r="A2946" s="66" t="str">
        <x:v>SEV580</x:v>
      </x:c>
      <x:c r="B2946" s="66" t="str">
        <x:v>祁腾蜂赢1号</x:v>
      </x:c>
      <x:c r="C2946" s="72" t="n">
        <x:v>45315</x:v>
      </x:c>
      <x:c r="D2946" s="73" t="n">
        <x:v>1.0089</x:v>
      </x:c>
      <x:c r="E2946" s="73" t="n">
        <x:v>1.5964</x:v>
      </x:c>
      <x:c r="F2946" s="73" t="n">
        <x:v>1.77</x:v>
      </x:c>
      <x:c r="G2946" s="74" t="n">
        <x:v>0.0003</x:v>
      </x:c>
      <x:c r="H2946" s="66" t="str">
        <x:v>祁腾蜂赢1号净值20260911.xlsx</x:v>
      </x:c>
      <x:c r="I2946" s="73" t="str">
        <x:f>""</x:f>
      </x:c>
      <x:c r="J2946" s="74" t="str">
        <x:f>""</x:f>
      </x:c>
      <x:c r="K2946" s="73" t="n">
        <x:f>MAX(K2945,F2946)</x:f>
        <x:v>1.7741</x:v>
      </x:c>
      <x:c r="L2946" s="74" t="n">
        <x:f>1-F2946/K2946</x:f>
        <x:v>0.0023110309452679667</x:v>
      </x:c>
      <x:c r="M2946" s="73" t="n">
        <x:f>MAX(M2945,F2946)</x:f>
        <x:v>1.7741</x:v>
      </x:c>
      <x:c r="N2946" s="74" t="n">
        <x:f>1-F2946/M2946</x:f>
        <x:v>0.0023110309452679667</x:v>
      </x:c>
    </x:row>
    <x:row r="2947" ht="27" customHeight="1">
      <x:c r="A2947" s="66" t="str">
        <x:v>SEV580</x:v>
      </x:c>
      <x:c r="B2947" s="66" t="str">
        <x:v>祁腾蜂赢1号</x:v>
      </x:c>
      <x:c r="C2947" s="72" t="n">
        <x:v>45316</x:v>
      </x:c>
      <x:c r="D2947" s="73" t="n">
        <x:v>1.009</x:v>
      </x:c>
      <x:c r="E2947" s="73" t="n">
        <x:v>1.5965</x:v>
      </x:c>
      <x:c r="F2947" s="73" t="n">
        <x:v>1.7702</x:v>
      </x:c>
      <x:c r="G2947" s="74" t="n">
        <x:v>0.0001</x:v>
      </x:c>
      <x:c r="H2947" s="66" t="str">
        <x:v>祁腾蜂赢1号净值20260911.xlsx</x:v>
      </x:c>
      <x:c r="I2947" s="73" t="str">
        <x:f>""</x:f>
      </x:c>
      <x:c r="J2947" s="74" t="str">
        <x:f>""</x:f>
      </x:c>
      <x:c r="K2947" s="73" t="n">
        <x:f>MAX(K2946,F2947)</x:f>
        <x:v>1.7741</x:v>
      </x:c>
      <x:c r="L2947" s="74" t="n">
        <x:f>1-F2947/K2947</x:f>
        <x:v>0.0021982977284257244</x:v>
      </x:c>
      <x:c r="M2947" s="73" t="n">
        <x:f>MAX(M2946,F2947)</x:f>
        <x:v>1.7741</x:v>
      </x:c>
      <x:c r="N2947" s="74" t="n">
        <x:f>1-F2947/M2947</x:f>
        <x:v>0.0021982977284257244</x:v>
      </x:c>
    </x:row>
    <x:row r="2948" ht="27" customHeight="1">
      <x:c r="A2948" s="66" t="str">
        <x:v>SEV580</x:v>
      </x:c>
      <x:c r="B2948" s="66" t="str">
        <x:v>祁腾蜂赢1号</x:v>
      </x:c>
      <x:c r="C2948" s="72" t="n">
        <x:v>45317</x:v>
      </x:c>
      <x:c r="D2948" s="73" t="n">
        <x:v>1.0102</x:v>
      </x:c>
      <x:c r="E2948" s="73" t="n">
        <x:v>1.5977</x:v>
      </x:c>
      <x:c r="F2948" s="73" t="n">
        <x:v>1.7723</x:v>
      </x:c>
      <x:c r="G2948" s="74" t="n">
        <x:v>0.0012</x:v>
      </x:c>
      <x:c r="H2948" s="66" t="str">
        <x:v>祁腾蜂赢1号净值20260911.xlsx</x:v>
      </x:c>
      <x:c r="I2948" s="73" t="str">
        <x:f>""</x:f>
      </x:c>
      <x:c r="J2948" s="74" t="str">
        <x:f>""</x:f>
      </x:c>
      <x:c r="K2948" s="73" t="n">
        <x:f>MAX(K2947,F2948)</x:f>
        <x:v>1.7741</x:v>
      </x:c>
      <x:c r="L2948" s="74" t="n">
        <x:f>1-F2948/K2948</x:f>
        <x:v>0.0010145989515810694</x:v>
      </x:c>
      <x:c r="M2948" s="73" t="n">
        <x:f>MAX(M2947,F2948)</x:f>
        <x:v>1.7741</x:v>
      </x:c>
      <x:c r="N2948" s="74" t="n">
        <x:f>1-F2948/M2948</x:f>
        <x:v>0.0010145989515810694</x:v>
      </x:c>
    </x:row>
    <x:row r="2949" ht="27" customHeight="1">
      <x:c r="A2949" s="66" t="str">
        <x:v>SEV580</x:v>
      </x:c>
      <x:c r="B2949" s="66" t="str">
        <x:v>祁腾蜂赢1号</x:v>
      </x:c>
      <x:c r="C2949" s="72" t="n">
        <x:v>45320</x:v>
      </x:c>
      <x:c r="D2949" s="73" t="n">
        <x:v>1.0115</x:v>
      </x:c>
      <x:c r="E2949" s="73" t="n">
        <x:v>1.599</x:v>
      </x:c>
      <x:c r="F2949" s="73" t="n">
        <x:v>1.7746</x:v>
      </x:c>
      <x:c r="G2949" s="74" t="n">
        <x:v>0.0013</x:v>
      </x:c>
      <x:c r="H2949" s="66" t="str">
        <x:v>祁腾蜂赢1号净值20260911.xlsx</x:v>
      </x:c>
      <x:c r="I2949" s="73" t="str">
        <x:f>""</x:f>
      </x:c>
      <x:c r="J2949" s="74" t="str">
        <x:f>""</x:f>
      </x:c>
      <x:c r="K2949" s="73" t="n">
        <x:f>MAX(K2948,F2949)</x:f>
        <x:v>1.7746</x:v>
      </x:c>
      <x:c r="L2949" s="74" t="n">
        <x:f>1-F2949/K2949</x:f>
        <x:v>0</x:v>
      </x:c>
      <x:c r="M2949" s="73" t="n">
        <x:f>MAX(M2948,F2949)</x:f>
        <x:v>1.7746</x:v>
      </x:c>
      <x:c r="N2949" s="74" t="n">
        <x:f>1-F2949/M2949</x:f>
        <x:v>0</x:v>
      </x:c>
    </x:row>
    <x:row r="2950" ht="27" customHeight="1">
      <x:c r="A2950" s="66" t="str">
        <x:v>SEV580</x:v>
      </x:c>
      <x:c r="B2950" s="66" t="str">
        <x:v>祁腾蜂赢1号</x:v>
      </x:c>
      <x:c r="C2950" s="72" t="n">
        <x:v>45321</x:v>
      </x:c>
      <x:c r="D2950" s="73" t="n">
        <x:v>1.0134</x:v>
      </x:c>
      <x:c r="E2950" s="73" t="n">
        <x:v>1.6009</x:v>
      </x:c>
      <x:c r="F2950" s="73" t="n">
        <x:v>1.7779</x:v>
      </x:c>
      <x:c r="G2950" s="74" t="n">
        <x:v>0.0019</x:v>
      </x:c>
      <x:c r="H2950" s="66" t="str">
        <x:v>祁腾蜂赢1号净值20260911.xlsx</x:v>
      </x:c>
      <x:c r="I2950" s="73" t="str">
        <x:f>""</x:f>
      </x:c>
      <x:c r="J2950" s="74" t="str">
        <x:f>""</x:f>
      </x:c>
      <x:c r="K2950" s="73" t="n">
        <x:f>MAX(K2949,F2950)</x:f>
        <x:v>1.7779</x:v>
      </x:c>
      <x:c r="L2950" s="74" t="n">
        <x:f>1-F2950/K2950</x:f>
        <x:v>0</x:v>
      </x:c>
      <x:c r="M2950" s="73" t="n">
        <x:f>MAX(M2949,F2950)</x:f>
        <x:v>1.7779</x:v>
      </x:c>
      <x:c r="N2950" s="74" t="n">
        <x:f>1-F2950/M2950</x:f>
        <x:v>0</x:v>
      </x:c>
    </x:row>
    <x:row r="2951" ht="27" customHeight="1">
      <x:c r="A2951" s="66" t="str">
        <x:v>SEV580</x:v>
      </x:c>
      <x:c r="B2951" s="66" t="str">
        <x:v>祁腾蜂赢1号</x:v>
      </x:c>
      <x:c r="C2951" s="72" t="n">
        <x:v>45322</x:v>
      </x:c>
      <x:c r="D2951" s="73" t="n">
        <x:v>1.0127</x:v>
      </x:c>
      <x:c r="E2951" s="73" t="n">
        <x:v>1.6002</x:v>
      </x:c>
      <x:c r="F2951" s="73" t="n">
        <x:v>1.7767</x:v>
      </x:c>
      <x:c r="G2951" s="74" t="n">
        <x:v>-0.0007000000000000001</x:v>
      </x:c>
      <x:c r="H2951" s="66" t="str">
        <x:v>祁腾蜂赢1号净值20260911.xlsx</x:v>
      </x:c>
      <x:c r="I2951" s="73" t="str">
        <x:f>""</x:f>
      </x:c>
      <x:c r="J2951" s="74" t="str">
        <x:f>""</x:f>
      </x:c>
      <x:c r="K2951" s="73" t="n">
        <x:f>MAX(K2950,F2951)</x:f>
        <x:v>1.7779</x:v>
      </x:c>
      <x:c r="L2951" s="74" t="n">
        <x:f>1-F2951/K2951</x:f>
        <x:v>0.0006749535969402531</x:v>
      </x:c>
      <x:c r="M2951" s="73" t="n">
        <x:f>MAX(M2950,F2951)</x:f>
        <x:v>1.7779</x:v>
      </x:c>
      <x:c r="N2951" s="74" t="n">
        <x:f>1-F2951/M2951</x:f>
        <x:v>0.0006749535969402531</x:v>
      </x:c>
    </x:row>
    <x:row r="2952" ht="27" customHeight="1">
      <x:c r="A2952" s="66" t="str">
        <x:v>SEV580</x:v>
      </x:c>
      <x:c r="B2952" s="66" t="str">
        <x:v>祁腾蜂赢1号</x:v>
      </x:c>
      <x:c r="C2952" s="72" t="n">
        <x:v>45323</x:v>
      </x:c>
      <x:c r="D2952" s="73" t="n">
        <x:v>1.0153</x:v>
      </x:c>
      <x:c r="E2952" s="73" t="n">
        <x:v>1.6028</x:v>
      </x:c>
      <x:c r="F2952" s="73" t="n">
        <x:v>1.7813</x:v>
      </x:c>
      <x:c r="G2952" s="74" t="n">
        <x:v>0.0026</x:v>
      </x:c>
      <x:c r="H2952" s="66" t="str">
        <x:v>祁腾蜂赢1号净值20260911.xlsx</x:v>
      </x:c>
      <x:c r="I2952" s="73" t="str">
        <x:f>""</x:f>
      </x:c>
      <x:c r="J2952" s="74" t="str">
        <x:f>""</x:f>
      </x:c>
      <x:c r="K2952" s="73" t="n">
        <x:f>MAX(K2951,F2952)</x:f>
        <x:v>1.7813</x:v>
      </x:c>
      <x:c r="L2952" s="74" t="n">
        <x:f>1-F2952/K2952</x:f>
        <x:v>0</x:v>
      </x:c>
      <x:c r="M2952" s="73" t="n">
        <x:f>MAX(M2951,F2952)</x:f>
        <x:v>1.7813</x:v>
      </x:c>
      <x:c r="N2952" s="74" t="n">
        <x:f>1-F2952/M2952</x:f>
        <x:v>0</x:v>
      </x:c>
    </x:row>
    <x:row r="2953" ht="27" customHeight="1">
      <x:c r="A2953" s="66" t="str">
        <x:v>SEV580</x:v>
      </x:c>
      <x:c r="B2953" s="66" t="str">
        <x:v>祁腾蜂赢1号</x:v>
      </x:c>
      <x:c r="C2953" s="72" t="n">
        <x:v>45324</x:v>
      </x:c>
      <x:c r="D2953" s="73" t="n">
        <x:v>1.0158</x:v>
      </x:c>
      <x:c r="E2953" s="73" t="n">
        <x:v>1.6033</x:v>
      </x:c>
      <x:c r="F2953" s="73" t="n">
        <x:v>1.7821</x:v>
      </x:c>
      <x:c r="G2953" s="74" t="n">
        <x:v>0.0005</x:v>
      </x:c>
      <x:c r="H2953" s="66" t="str">
        <x:v>祁腾蜂赢1号净值20260911.xlsx</x:v>
      </x:c>
      <x:c r="I2953" s="73" t="str">
        <x:f>""</x:f>
      </x:c>
      <x:c r="J2953" s="74" t="str">
        <x:f>""</x:f>
      </x:c>
      <x:c r="K2953" s="73" t="n">
        <x:f>MAX(K2952,F2953)</x:f>
        <x:v>1.7821</x:v>
      </x:c>
      <x:c r="L2953" s="74" t="n">
        <x:f>1-F2953/K2953</x:f>
        <x:v>0</x:v>
      </x:c>
      <x:c r="M2953" s="73" t="n">
        <x:f>MAX(M2952,F2953)</x:f>
        <x:v>1.7821</x:v>
      </x:c>
      <x:c r="N2953" s="74" t="n">
        <x:f>1-F2953/M2953</x:f>
        <x:v>0</x:v>
      </x:c>
    </x:row>
    <x:row r="2954" ht="27" customHeight="1">
      <x:c r="A2954" s="66" t="str">
        <x:v>SEV580</x:v>
      </x:c>
      <x:c r="B2954" s="66" t="str">
        <x:v>祁腾蜂赢1号</x:v>
      </x:c>
      <x:c r="C2954" s="72" t="n">
        <x:v>45327</x:v>
      </x:c>
      <x:c r="D2954" s="73" t="n">
        <x:v>1.0194</x:v>
      </x:c>
      <x:c r="E2954" s="73" t="n">
        <x:v>1.6069</x:v>
      </x:c>
      <x:c r="F2954" s="73" t="n">
        <x:v>1.7884</x:v>
      </x:c>
      <x:c r="G2954" s="74" t="n">
        <x:v>0.0034999999999999996</x:v>
      </x:c>
      <x:c r="H2954" s="66" t="str">
        <x:v>祁腾蜂赢1号净值20260911.xlsx</x:v>
      </x:c>
      <x:c r="I2954" s="73" t="str">
        <x:f>""</x:f>
      </x:c>
      <x:c r="J2954" s="74" t="str">
        <x:f>""</x:f>
      </x:c>
      <x:c r="K2954" s="73" t="n">
        <x:f>MAX(K2953,F2954)</x:f>
        <x:v>1.7884</x:v>
      </x:c>
      <x:c r="L2954" s="74" t="n">
        <x:f>1-F2954/K2954</x:f>
        <x:v>0</x:v>
      </x:c>
      <x:c r="M2954" s="73" t="n">
        <x:f>MAX(M2953,F2954)</x:f>
        <x:v>1.7884</x:v>
      </x:c>
      <x:c r="N2954" s="74" t="n">
        <x:f>1-F2954/M2954</x:f>
        <x:v>0</x:v>
      </x:c>
    </x:row>
    <x:row r="2955" ht="27" customHeight="1">
      <x:c r="A2955" s="66" t="str">
        <x:v>SEV580</x:v>
      </x:c>
      <x:c r="B2955" s="66" t="str">
        <x:v>祁腾蜂赢1号</x:v>
      </x:c>
      <x:c r="C2955" s="72" t="n">
        <x:v>45328</x:v>
      </x:c>
      <x:c r="D2955" s="73" t="n">
        <x:v>1.0233</x:v>
      </x:c>
      <x:c r="E2955" s="73" t="n">
        <x:v>1.6108</x:v>
      </x:c>
      <x:c r="F2955" s="73" t="n">
        <x:v>1.7953</x:v>
      </x:c>
      <x:c r="G2955" s="74" t="n">
        <x:v>0.0038</x:v>
      </x:c>
      <x:c r="H2955" s="66" t="str">
        <x:v>祁腾蜂赢1号净值20260911.xlsx</x:v>
      </x:c>
      <x:c r="I2955" s="73" t="str">
        <x:f>""</x:f>
      </x:c>
      <x:c r="J2955" s="74" t="str">
        <x:f>""</x:f>
      </x:c>
      <x:c r="K2955" s="73" t="n">
        <x:f>MAX(K2954,F2955)</x:f>
        <x:v>1.7953</x:v>
      </x:c>
      <x:c r="L2955" s="74" t="n">
        <x:f>1-F2955/K2955</x:f>
        <x:v>0</x:v>
      </x:c>
      <x:c r="M2955" s="73" t="n">
        <x:f>MAX(M2954,F2955)</x:f>
        <x:v>1.7953</x:v>
      </x:c>
      <x:c r="N2955" s="74" t="n">
        <x:f>1-F2955/M2955</x:f>
        <x:v>0</x:v>
      </x:c>
    </x:row>
    <x:row r="2956" ht="27" customHeight="1">
      <x:c r="A2956" s="66" t="str">
        <x:v>SEV580</x:v>
      </x:c>
      <x:c r="B2956" s="66" t="str">
        <x:v>祁腾蜂赢1号</x:v>
      </x:c>
      <x:c r="C2956" s="72" t="n">
        <x:v>45329</x:v>
      </x:c>
      <x:c r="D2956" s="73" t="n">
        <x:v>1.0239</x:v>
      </x:c>
      <x:c r="E2956" s="73" t="n">
        <x:v>1.6114</x:v>
      </x:c>
      <x:c r="F2956" s="73" t="n">
        <x:v>1.7963</x:v>
      </x:c>
      <x:c r="G2956" s="74" t="n">
        <x:v>0.0006</x:v>
      </x:c>
      <x:c r="H2956" s="66" t="str">
        <x:v>祁腾蜂赢1号净值20260911.xlsx</x:v>
      </x:c>
      <x:c r="I2956" s="73" t="str">
        <x:f>""</x:f>
      </x:c>
      <x:c r="J2956" s="74" t="str">
        <x:f>""</x:f>
      </x:c>
      <x:c r="K2956" s="73" t="n">
        <x:f>MAX(K2955,F2956)</x:f>
        <x:v>1.7963</x:v>
      </x:c>
      <x:c r="L2956" s="74" t="n">
        <x:f>1-F2956/K2956</x:f>
        <x:v>0</x:v>
      </x:c>
      <x:c r="M2956" s="73" t="n">
        <x:f>MAX(M2955,F2956)</x:f>
        <x:v>1.7963</x:v>
      </x:c>
      <x:c r="N2956" s="74" t="n">
        <x:f>1-F2956/M2956</x:f>
        <x:v>0</x:v>
      </x:c>
    </x:row>
    <x:row r="2957" ht="27" customHeight="1">
      <x:c r="A2957" s="66" t="str">
        <x:v>SEV580</x:v>
      </x:c>
      <x:c r="B2957" s="66" t="str">
        <x:v>祁腾蜂赢1号</x:v>
      </x:c>
      <x:c r="C2957" s="72" t="n">
        <x:v>45330</x:v>
      </x:c>
      <x:c r="D2957" s="73" t="n">
        <x:v>1.0231</x:v>
      </x:c>
      <x:c r="E2957" s="73" t="n">
        <x:v>1.6106</x:v>
      </x:c>
      <x:c r="F2957" s="73" t="n">
        <x:v>1.7949</x:v>
      </x:c>
      <x:c r="G2957" s="74" t="n">
        <x:v>-0.0008</x:v>
      </x:c>
      <x:c r="H2957" s="66" t="str">
        <x:v>祁腾蜂赢1号净值20260911.xlsx</x:v>
      </x:c>
      <x:c r="I2957" s="73" t="str">
        <x:f>""</x:f>
      </x:c>
      <x:c r="J2957" s="74" t="str">
        <x:f>""</x:f>
      </x:c>
      <x:c r="K2957" s="73" t="n">
        <x:f>MAX(K2956,F2957)</x:f>
        <x:v>1.7963</x:v>
      </x:c>
      <x:c r="L2957" s="74" t="n">
        <x:f>1-F2957/K2957</x:f>
        <x:v>0.0007793798363302518</x:v>
      </x:c>
      <x:c r="M2957" s="73" t="n">
        <x:f>MAX(M2956,F2957)</x:f>
        <x:v>1.7963</x:v>
      </x:c>
      <x:c r="N2957" s="74" t="n">
        <x:f>1-F2957/M2957</x:f>
        <x:v>0.0007793798363302518</x:v>
      </x:c>
    </x:row>
    <x:row r="2958" ht="27" customHeight="1">
      <x:c r="A2958" s="66" t="str">
        <x:v>SEV580</x:v>
      </x:c>
      <x:c r="B2958" s="66" t="str">
        <x:v>祁腾蜂赢1号</x:v>
      </x:c>
      <x:c r="C2958" s="72" t="n">
        <x:v>45341</x:v>
      </x:c>
      <x:c r="D2958" s="73" t="n">
        <x:v>1.0231</x:v>
      </x:c>
      <x:c r="E2958" s="73" t="n">
        <x:v>1.6106</x:v>
      </x:c>
      <x:c r="F2958" s="73" t="n">
        <x:v>1.7949</x:v>
      </x:c>
      <x:c r="G2958" s="74" t="n">
        <x:v>0</x:v>
      </x:c>
      <x:c r="H2958" s="66" t="str">
        <x:v>祁腾蜂赢1号净值20260911.xlsx</x:v>
      </x:c>
      <x:c r="I2958" s="73" t="str">
        <x:f>""</x:f>
      </x:c>
      <x:c r="J2958" s="74" t="str">
        <x:f>""</x:f>
      </x:c>
      <x:c r="K2958" s="73" t="n">
        <x:f>MAX(K2957,F2958)</x:f>
        <x:v>1.7963</x:v>
      </x:c>
      <x:c r="L2958" s="74" t="n">
        <x:f>1-F2958/K2958</x:f>
        <x:v>0.0007793798363302518</x:v>
      </x:c>
      <x:c r="M2958" s="73" t="n">
        <x:f>MAX(M2957,F2958)</x:f>
        <x:v>1.7963</x:v>
      </x:c>
      <x:c r="N2958" s="74" t="n">
        <x:f>1-F2958/M2958</x:f>
        <x:v>0.0007793798363302518</x:v>
      </x:c>
    </x:row>
    <x:row r="2959" ht="27" customHeight="1">
      <x:c r="A2959" s="66" t="str">
        <x:v>SEV580</x:v>
      </x:c>
      <x:c r="B2959" s="66" t="str">
        <x:v>祁腾蜂赢1号</x:v>
      </x:c>
      <x:c r="C2959" s="72" t="n">
        <x:v>45342</x:v>
      </x:c>
      <x:c r="D2959" s="73" t="n">
        <x:v>1.0247</x:v>
      </x:c>
      <x:c r="E2959" s="73" t="n">
        <x:v>1.6122</x:v>
      </x:c>
      <x:c r="F2959" s="73" t="n">
        <x:v>1.7977</x:v>
      </x:c>
      <x:c r="G2959" s="74" t="n">
        <x:v>0.0016</x:v>
      </x:c>
      <x:c r="H2959" s="66" t="str">
        <x:v>祁腾蜂赢1号净值20260911.xlsx</x:v>
      </x:c>
      <x:c r="I2959" s="73" t="str">
        <x:f>""</x:f>
      </x:c>
      <x:c r="J2959" s="74" t="str">
        <x:f>""</x:f>
      </x:c>
      <x:c r="K2959" s="73" t="n">
        <x:f>MAX(K2958,F2959)</x:f>
        <x:v>1.7977</x:v>
      </x:c>
      <x:c r="L2959" s="74" t="n">
        <x:f>1-F2959/K2959</x:f>
        <x:v>0</x:v>
      </x:c>
      <x:c r="M2959" s="73" t="n">
        <x:f>MAX(M2958,F2959)</x:f>
        <x:v>1.7977</x:v>
      </x:c>
      <x:c r="N2959" s="74" t="n">
        <x:f>1-F2959/M2959</x:f>
        <x:v>0</x:v>
      </x:c>
    </x:row>
    <x:row r="2960" ht="27" customHeight="1">
      <x:c r="A2960" s="66" t="str">
        <x:v>SEV580</x:v>
      </x:c>
      <x:c r="B2960" s="66" t="str">
        <x:v>祁腾蜂赢1号</x:v>
      </x:c>
      <x:c r="C2960" s="72" t="n">
        <x:v>45343</x:v>
      </x:c>
      <x:c r="D2960" s="73" t="n">
        <x:v>1.0256</x:v>
      </x:c>
      <x:c r="E2960" s="73" t="n">
        <x:v>1.6131</x:v>
      </x:c>
      <x:c r="F2960" s="73" t="n">
        <x:v>1.7993</x:v>
      </x:c>
      <x:c r="G2960" s="74" t="n">
        <x:v>0.0009</x:v>
      </x:c>
      <x:c r="H2960" s="66" t="str">
        <x:v>祁腾蜂赢1号净值20260911.xlsx</x:v>
      </x:c>
      <x:c r="I2960" s="73" t="str">
        <x:f>""</x:f>
      </x:c>
      <x:c r="J2960" s="74" t="str">
        <x:f>""</x:f>
      </x:c>
      <x:c r="K2960" s="73" t="n">
        <x:f>MAX(K2959,F2960)</x:f>
        <x:v>1.7993</x:v>
      </x:c>
      <x:c r="L2960" s="74" t="n">
        <x:f>1-F2960/K2960</x:f>
        <x:v>0</x:v>
      </x:c>
      <x:c r="M2960" s="73" t="n">
        <x:f>MAX(M2959,F2960)</x:f>
        <x:v>1.7993</x:v>
      </x:c>
      <x:c r="N2960" s="74" t="n">
        <x:f>1-F2960/M2960</x:f>
        <x:v>0</x:v>
      </x:c>
    </x:row>
    <x:row r="2961" ht="27" customHeight="1">
      <x:c r="A2961" s="66" t="str">
        <x:v>SEV580</x:v>
      </x:c>
      <x:c r="B2961" s="66" t="str">
        <x:v>祁腾蜂赢1号</x:v>
      </x:c>
      <x:c r="C2961" s="72" t="n">
        <x:v>45344</x:v>
      </x:c>
      <x:c r="D2961" s="73" t="n">
        <x:v>1.0257</x:v>
      </x:c>
      <x:c r="E2961" s="73" t="n">
        <x:v>1.6132</x:v>
      </x:c>
      <x:c r="F2961" s="73" t="n">
        <x:v>1.7995</x:v>
      </x:c>
      <x:c r="G2961" s="74" t="n">
        <x:v>0.0001</x:v>
      </x:c>
      <x:c r="H2961" s="66" t="str">
        <x:v>祁腾蜂赢1号净值20260911.xlsx</x:v>
      </x:c>
      <x:c r="I2961" s="73" t="str">
        <x:f>""</x:f>
      </x:c>
      <x:c r="J2961" s="74" t="str">
        <x:f>""</x:f>
      </x:c>
      <x:c r="K2961" s="73" t="n">
        <x:f>MAX(K2960,F2961)</x:f>
        <x:v>1.7995</x:v>
      </x:c>
      <x:c r="L2961" s="74" t="n">
        <x:f>1-F2961/K2961</x:f>
        <x:v>0</x:v>
      </x:c>
      <x:c r="M2961" s="73" t="n">
        <x:f>MAX(M2960,F2961)</x:f>
        <x:v>1.7995</x:v>
      </x:c>
      <x:c r="N2961" s="74" t="n">
        <x:f>1-F2961/M2961</x:f>
        <x:v>0</x:v>
      </x:c>
    </x:row>
    <x:row r="2962" ht="27" customHeight="1">
      <x:c r="A2962" s="66" t="str">
        <x:v>SEV580</x:v>
      </x:c>
      <x:c r="B2962" s="66" t="str">
        <x:v>祁腾蜂赢1号</x:v>
      </x:c>
      <x:c r="C2962" s="72" t="n">
        <x:v>45345</x:v>
      </x:c>
      <x:c r="D2962" s="73" t="n">
        <x:v>1.0263</x:v>
      </x:c>
      <x:c r="E2962" s="73" t="n">
        <x:v>1.6138</x:v>
      </x:c>
      <x:c r="F2962" s="73" t="n">
        <x:v>1.8005</x:v>
      </x:c>
      <x:c r="G2962" s="74" t="n">
        <x:v>0.0006</x:v>
      </x:c>
      <x:c r="H2962" s="66" t="str">
        <x:v>祁腾蜂赢1号净值20260911.xlsx</x:v>
      </x:c>
      <x:c r="I2962" s="73" t="str">
        <x:f>""</x:f>
      </x:c>
      <x:c r="J2962" s="74" t="str">
        <x:f>""</x:f>
      </x:c>
      <x:c r="K2962" s="73" t="n">
        <x:f>MAX(K2961,F2962)</x:f>
        <x:v>1.8005</x:v>
      </x:c>
      <x:c r="L2962" s="74" t="n">
        <x:f>1-F2962/K2962</x:f>
        <x:v>0</x:v>
      </x:c>
      <x:c r="M2962" s="73" t="n">
        <x:f>MAX(M2961,F2962)</x:f>
        <x:v>1.8005</x:v>
      </x:c>
      <x:c r="N2962" s="74" t="n">
        <x:f>1-F2962/M2962</x:f>
        <x:v>0</x:v>
      </x:c>
    </x:row>
    <x:row r="2963" ht="27" customHeight="1">
      <x:c r="A2963" s="66" t="str">
        <x:v>SEV580</x:v>
      </x:c>
      <x:c r="B2963" s="66" t="str">
        <x:v>祁腾蜂赢1号</x:v>
      </x:c>
      <x:c r="C2963" s="72" t="n">
        <x:v>45348</x:v>
      </x:c>
      <x:c r="D2963" s="73" t="n">
        <x:v>1.0269</x:v>
      </x:c>
      <x:c r="E2963" s="73" t="n">
        <x:v>1.6144</x:v>
      </x:c>
      <x:c r="F2963" s="73" t="n">
        <x:v>1.8016</x:v>
      </x:c>
      <x:c r="G2963" s="74" t="n">
        <x:v>0.0006</x:v>
      </x:c>
      <x:c r="H2963" s="66" t="str">
        <x:v>祁腾蜂赢1号净值20260911.xlsx</x:v>
      </x:c>
      <x:c r="I2963" s="73" t="str">
        <x:f>""</x:f>
      </x:c>
      <x:c r="J2963" s="74" t="str">
        <x:f>""</x:f>
      </x:c>
      <x:c r="K2963" s="73" t="n">
        <x:f>MAX(K2962,F2963)</x:f>
        <x:v>1.8016</x:v>
      </x:c>
      <x:c r="L2963" s="74" t="n">
        <x:f>1-F2963/K2963</x:f>
        <x:v>0</x:v>
      </x:c>
      <x:c r="M2963" s="73" t="n">
        <x:f>MAX(M2962,F2963)</x:f>
        <x:v>1.8016</x:v>
      </x:c>
      <x:c r="N2963" s="74" t="n">
        <x:f>1-F2963/M2963</x:f>
        <x:v>0</x:v>
      </x:c>
    </x:row>
    <x:row r="2964" ht="27" customHeight="1">
      <x:c r="A2964" s="66" t="str">
        <x:v>SEV580</x:v>
      </x:c>
      <x:c r="B2964" s="66" t="str">
        <x:v>祁腾蜂赢1号</x:v>
      </x:c>
      <x:c r="C2964" s="72" t="n">
        <x:v>45349</x:v>
      </x:c>
      <x:c r="D2964" s="73" t="n">
        <x:v>1.0306</x:v>
      </x:c>
      <x:c r="E2964" s="73" t="n">
        <x:v>1.6181</x:v>
      </x:c>
      <x:c r="F2964" s="73" t="n">
        <x:v>1.8081</x:v>
      </x:c>
      <x:c r="G2964" s="74" t="n">
        <x:v>0.0036</x:v>
      </x:c>
      <x:c r="H2964" s="66" t="str">
        <x:v>祁腾蜂赢1号净值20260911.xlsx</x:v>
      </x:c>
      <x:c r="I2964" s="73" t="str">
        <x:f>""</x:f>
      </x:c>
      <x:c r="J2964" s="74" t="str">
        <x:f>""</x:f>
      </x:c>
      <x:c r="K2964" s="73" t="n">
        <x:f>MAX(K2963,F2964)</x:f>
        <x:v>1.8081</x:v>
      </x:c>
      <x:c r="L2964" s="74" t="n">
        <x:f>1-F2964/K2964</x:f>
        <x:v>0</x:v>
      </x:c>
      <x:c r="M2964" s="73" t="n">
        <x:f>MAX(M2963,F2964)</x:f>
        <x:v>1.8081</x:v>
      </x:c>
      <x:c r="N2964" s="74" t="n">
        <x:f>1-F2964/M2964</x:f>
        <x:v>0</x:v>
      </x:c>
    </x:row>
    <x:row r="2965" ht="27" customHeight="1">
      <x:c r="A2965" s="66" t="str">
        <x:v>SEV580</x:v>
      </x:c>
      <x:c r="B2965" s="66" t="str">
        <x:v>祁腾蜂赢1号</x:v>
      </x:c>
      <x:c r="C2965" s="72" t="n">
        <x:v>45350</x:v>
      </x:c>
      <x:c r="D2965" s="73" t="n">
        <x:v>1.0307</x:v>
      </x:c>
      <x:c r="E2965" s="73" t="n">
        <x:v>1.6182</x:v>
      </x:c>
      <x:c r="F2965" s="73" t="n">
        <x:v>1.8083</x:v>
      </x:c>
      <x:c r="G2965" s="74" t="n">
        <x:v>0.0001</x:v>
      </x:c>
      <x:c r="H2965" s="66" t="str">
        <x:v>祁腾蜂赢1号净值20260911.xlsx</x:v>
      </x:c>
      <x:c r="I2965" s="73" t="str">
        <x:f>""</x:f>
      </x:c>
      <x:c r="J2965" s="74" t="str">
        <x:f>""</x:f>
      </x:c>
      <x:c r="K2965" s="73" t="n">
        <x:f>MAX(K2964,F2965)</x:f>
        <x:v>1.8083</x:v>
      </x:c>
      <x:c r="L2965" s="74" t="n">
        <x:f>1-F2965/K2965</x:f>
        <x:v>0</x:v>
      </x:c>
      <x:c r="M2965" s="73" t="n">
        <x:f>MAX(M2964,F2965)</x:f>
        <x:v>1.8083</x:v>
      </x:c>
      <x:c r="N2965" s="74" t="n">
        <x:f>1-F2965/M2965</x:f>
        <x:v>0</x:v>
      </x:c>
    </x:row>
    <x:row r="2966" ht="27" customHeight="1">
      <x:c r="A2966" s="66" t="str">
        <x:v>SEV580</x:v>
      </x:c>
      <x:c r="B2966" s="66" t="str">
        <x:v>祁腾蜂赢1号</x:v>
      </x:c>
      <x:c r="C2966" s="72" t="n">
        <x:v>45351</x:v>
      </x:c>
      <x:c r="D2966" s="73" t="n">
        <x:v>1.0326</x:v>
      </x:c>
      <x:c r="E2966" s="73" t="n">
        <x:v>1.6201</x:v>
      </x:c>
      <x:c r="F2966" s="73" t="n">
        <x:v>1.8116</x:v>
      </x:c>
      <x:c r="G2966" s="74" t="n">
        <x:v>0.0018</x:v>
      </x:c>
      <x:c r="H2966" s="66" t="str">
        <x:v>祁腾蜂赢1号净值20260911.xlsx</x:v>
      </x:c>
      <x:c r="I2966" s="73" t="str">
        <x:f>""</x:f>
      </x:c>
      <x:c r="J2966" s="74" t="str">
        <x:f>""</x:f>
      </x:c>
      <x:c r="K2966" s="73" t="n">
        <x:f>MAX(K2965,F2966)</x:f>
        <x:v>1.8116</x:v>
      </x:c>
      <x:c r="L2966" s="74" t="n">
        <x:f>1-F2966/K2966</x:f>
        <x:v>0</x:v>
      </x:c>
      <x:c r="M2966" s="73" t="n">
        <x:f>MAX(M2965,F2966)</x:f>
        <x:v>1.8116</x:v>
      </x:c>
      <x:c r="N2966" s="74" t="n">
        <x:f>1-F2966/M2966</x:f>
        <x:v>0</x:v>
      </x:c>
    </x:row>
    <x:row r="2967" ht="27" customHeight="1">
      <x:c r="A2967" s="66" t="str">
        <x:v>SEV580</x:v>
      </x:c>
      <x:c r="B2967" s="66" t="str">
        <x:v>祁腾蜂赢1号</x:v>
      </x:c>
      <x:c r="C2967" s="72" t="n">
        <x:v>45352</x:v>
      </x:c>
      <x:c r="D2967" s="73" t="n">
        <x:v>1.0332</x:v>
      </x:c>
      <x:c r="E2967" s="73" t="n">
        <x:v>1.6207</x:v>
      </x:c>
      <x:c r="F2967" s="73" t="n">
        <x:v>1.8127</x:v>
      </x:c>
      <x:c r="G2967" s="74" t="n">
        <x:v>0.0006</x:v>
      </x:c>
      <x:c r="H2967" s="66" t="str">
        <x:v>祁腾蜂赢1号净值20260911.xlsx</x:v>
      </x:c>
      <x:c r="I2967" s="73" t="str">
        <x:f>""</x:f>
      </x:c>
      <x:c r="J2967" s="74" t="str">
        <x:f>""</x:f>
      </x:c>
      <x:c r="K2967" s="73" t="n">
        <x:f>MAX(K2966,F2967)</x:f>
        <x:v>1.8127</x:v>
      </x:c>
      <x:c r="L2967" s="74" t="n">
        <x:f>1-F2967/K2967</x:f>
        <x:v>0</x:v>
      </x:c>
      <x:c r="M2967" s="73" t="n">
        <x:f>MAX(M2966,F2967)</x:f>
        <x:v>1.8127</x:v>
      </x:c>
      <x:c r="N2967" s="74" t="n">
        <x:f>1-F2967/M2967</x:f>
        <x:v>0</x:v>
      </x:c>
    </x:row>
    <x:row r="2968" ht="27" customHeight="1">
      <x:c r="A2968" s="66" t="str">
        <x:v>SEV580</x:v>
      </x:c>
      <x:c r="B2968" s="66" t="str">
        <x:v>祁腾蜂赢1号</x:v>
      </x:c>
      <x:c r="C2968" s="72" t="n">
        <x:v>45355</x:v>
      </x:c>
      <x:c r="D2968" s="73" t="n">
        <x:v>1.0334</x:v>
      </x:c>
      <x:c r="E2968" s="73" t="n">
        <x:v>1.6209</x:v>
      </x:c>
      <x:c r="F2968" s="73" t="n">
        <x:v>1.813</x:v>
      </x:c>
      <x:c r="G2968" s="74" t="n">
        <x:v>0.0002</x:v>
      </x:c>
      <x:c r="H2968" s="66" t="str">
        <x:v>祁腾蜂赢1号净值20260911.xlsx</x:v>
      </x:c>
      <x:c r="I2968" s="73" t="str">
        <x:f>""</x:f>
      </x:c>
      <x:c r="J2968" s="74" t="str">
        <x:f>""</x:f>
      </x:c>
      <x:c r="K2968" s="73" t="n">
        <x:f>MAX(K2967,F2968)</x:f>
        <x:v>1.813</x:v>
      </x:c>
      <x:c r="L2968" s="74" t="n">
        <x:f>1-F2968/K2968</x:f>
        <x:v>0</x:v>
      </x:c>
      <x:c r="M2968" s="73" t="n">
        <x:f>MAX(M2967,F2968)</x:f>
        <x:v>1.813</x:v>
      </x:c>
      <x:c r="N2968" s="74" t="n">
        <x:f>1-F2968/M2968</x:f>
        <x:v>0</x:v>
      </x:c>
    </x:row>
    <x:row r="2969" ht="27" customHeight="1">
      <x:c r="A2969" s="66" t="str">
        <x:v>SEV580</x:v>
      </x:c>
      <x:c r="B2969" s="66" t="str">
        <x:v>祁腾蜂赢1号</x:v>
      </x:c>
      <x:c r="C2969" s="72" t="n">
        <x:v>45356</x:v>
      </x:c>
      <x:c r="D2969" s="73" t="n">
        <x:v>1.0337</x:v>
      </x:c>
      <x:c r="E2969" s="73" t="n">
        <x:v>1.6212</x:v>
      </x:c>
      <x:c r="F2969" s="73" t="n">
        <x:v>1.8135</x:v>
      </x:c>
      <x:c r="G2969" s="74" t="n">
        <x:v>0.0003</x:v>
      </x:c>
      <x:c r="H2969" s="66" t="str">
        <x:v>祁腾蜂赢1号净值20260911.xlsx</x:v>
      </x:c>
      <x:c r="I2969" s="73" t="str">
        <x:f>""</x:f>
      </x:c>
      <x:c r="J2969" s="74" t="str">
        <x:f>""</x:f>
      </x:c>
      <x:c r="K2969" s="73" t="n">
        <x:f>MAX(K2968,F2969)</x:f>
        <x:v>1.8135</x:v>
      </x:c>
      <x:c r="L2969" s="74" t="n">
        <x:f>1-F2969/K2969</x:f>
        <x:v>0</x:v>
      </x:c>
      <x:c r="M2969" s="73" t="n">
        <x:f>MAX(M2968,F2969)</x:f>
        <x:v>1.8135</x:v>
      </x:c>
      <x:c r="N2969" s="74" t="n">
        <x:f>1-F2969/M2969</x:f>
        <x:v>0</x:v>
      </x:c>
    </x:row>
    <x:row r="2970" ht="27" customHeight="1">
      <x:c r="A2970" s="66" t="str">
        <x:v>SEV580</x:v>
      </x:c>
      <x:c r="B2970" s="66" t="str">
        <x:v>祁腾蜂赢1号</x:v>
      </x:c>
      <x:c r="C2970" s="72" t="n">
        <x:v>45357</x:v>
      </x:c>
      <x:c r="D2970" s="73" t="n">
        <x:v>1.0329</x:v>
      </x:c>
      <x:c r="E2970" s="73" t="n">
        <x:v>1.6204</x:v>
      </x:c>
      <x:c r="F2970" s="73" t="n">
        <x:v>1.8121</x:v>
      </x:c>
      <x:c r="G2970" s="74" t="n">
        <x:v>-0.0008</x:v>
      </x:c>
      <x:c r="H2970" s="66" t="str">
        <x:v>祁腾蜂赢1号净值20260911.xlsx</x:v>
      </x:c>
      <x:c r="I2970" s="73" t="str">
        <x:f>""</x:f>
      </x:c>
      <x:c r="J2970" s="74" t="str">
        <x:f>""</x:f>
      </x:c>
      <x:c r="K2970" s="73" t="n">
        <x:f>MAX(K2969,F2970)</x:f>
        <x:v>1.8135</x:v>
      </x:c>
      <x:c r="L2970" s="74" t="n">
        <x:f>1-F2970/K2970</x:f>
        <x:v>0.0007719878687619808</x:v>
      </x:c>
      <x:c r="M2970" s="73" t="n">
        <x:f>MAX(M2969,F2970)</x:f>
        <x:v>1.8135</x:v>
      </x:c>
      <x:c r="N2970" s="74" t="n">
        <x:f>1-F2970/M2970</x:f>
        <x:v>0.0007719878687619808</x:v>
      </x:c>
    </x:row>
    <x:row r="2971" ht="27" customHeight="1">
      <x:c r="A2971" s="66" t="str">
        <x:v>SEV580</x:v>
      </x:c>
      <x:c r="B2971" s="66" t="str">
        <x:v>祁腾蜂赢1号</x:v>
      </x:c>
      <x:c r="C2971" s="72" t="n">
        <x:v>45358</x:v>
      </x:c>
      <x:c r="D2971" s="73" t="n">
        <x:v>1.0335</x:v>
      </x:c>
      <x:c r="E2971" s="73" t="n">
        <x:v>1.621</x:v>
      </x:c>
      <x:c r="F2971" s="73" t="n">
        <x:v>1.8132</x:v>
      </x:c>
      <x:c r="G2971" s="74" t="n">
        <x:v>0.0006</x:v>
      </x:c>
      <x:c r="H2971" s="66" t="str">
        <x:v>祁腾蜂赢1号净值20260911.xlsx</x:v>
      </x:c>
      <x:c r="I2971" s="73" t="str">
        <x:f>""</x:f>
      </x:c>
      <x:c r="J2971" s="74" t="str">
        <x:f>""</x:f>
      </x:c>
      <x:c r="K2971" s="73" t="n">
        <x:f>MAX(K2970,F2971)</x:f>
        <x:v>1.8135</x:v>
      </x:c>
      <x:c r="L2971" s="74" t="n">
        <x:f>1-F2971/K2971</x:f>
        <x:v>0.00016542597187751973</x:v>
      </x:c>
      <x:c r="M2971" s="73" t="n">
        <x:f>MAX(M2970,F2971)</x:f>
        <x:v>1.8135</x:v>
      </x:c>
      <x:c r="N2971" s="74" t="n">
        <x:f>1-F2971/M2971</x:f>
        <x:v>0.00016542597187751973</x:v>
      </x:c>
    </x:row>
    <x:row r="2972" ht="27" customHeight="1">
      <x:c r="A2972" s="66" t="str">
        <x:v>SEV580</x:v>
      </x:c>
      <x:c r="B2972" s="66" t="str">
        <x:v>祁腾蜂赢1号</x:v>
      </x:c>
      <x:c r="C2972" s="72" t="n">
        <x:v>45359</x:v>
      </x:c>
      <x:c r="D2972" s="73" t="n">
        <x:v>1.0338</x:v>
      </x:c>
      <x:c r="E2972" s="73" t="n">
        <x:v>1.6213</x:v>
      </x:c>
      <x:c r="F2972" s="73" t="n">
        <x:v>1.8137</x:v>
      </x:c>
      <x:c r="G2972" s="74" t="n">
        <x:v>0.0003</x:v>
      </x:c>
      <x:c r="H2972" s="66" t="str">
        <x:v>祁腾蜂赢1号净值20260911.xlsx</x:v>
      </x:c>
      <x:c r="I2972" s="73" t="str">
        <x:f>""</x:f>
      </x:c>
      <x:c r="J2972" s="74" t="str">
        <x:f>""</x:f>
      </x:c>
      <x:c r="K2972" s="73" t="n">
        <x:f>MAX(K2971,F2972)</x:f>
        <x:v>1.8137</x:v>
      </x:c>
      <x:c r="L2972" s="74" t="n">
        <x:f>1-F2972/K2972</x:f>
        <x:v>0</x:v>
      </x:c>
      <x:c r="M2972" s="73" t="n">
        <x:f>MAX(M2971,F2972)</x:f>
        <x:v>1.8137</x:v>
      </x:c>
      <x:c r="N2972" s="74" t="n">
        <x:f>1-F2972/M2972</x:f>
        <x:v>0</x:v>
      </x:c>
    </x:row>
    <x:row r="2973" ht="27" customHeight="1">
      <x:c r="A2973" s="66" t="str">
        <x:v>SEV580</x:v>
      </x:c>
      <x:c r="B2973" s="66" t="str">
        <x:v>祁腾蜂赢1号</x:v>
      </x:c>
      <x:c r="C2973" s="72" t="n">
        <x:v>45362</x:v>
      </x:c>
      <x:c r="D2973" s="73" t="n">
        <x:v>1.0338</x:v>
      </x:c>
      <x:c r="E2973" s="73" t="n">
        <x:v>1.6213</x:v>
      </x:c>
      <x:c r="F2973" s="73" t="n">
        <x:v>1.8137</x:v>
      </x:c>
      <x:c r="G2973" s="74" t="n">
        <x:v>0</x:v>
      </x:c>
      <x:c r="H2973" s="66" t="str">
        <x:v>祁腾蜂赢1号净值20260911.xlsx</x:v>
      </x:c>
      <x:c r="I2973" s="73" t="str">
        <x:f>""</x:f>
      </x:c>
      <x:c r="J2973" s="74" t="str">
        <x:f>""</x:f>
      </x:c>
      <x:c r="K2973" s="73" t="n">
        <x:f>MAX(K2972,F2973)</x:f>
        <x:v>1.8137</x:v>
      </x:c>
      <x:c r="L2973" s="74" t="n">
        <x:f>1-F2973/K2973</x:f>
        <x:v>0</x:v>
      </x:c>
      <x:c r="M2973" s="73" t="n">
        <x:f>MAX(M2972,F2973)</x:f>
        <x:v>1.8137</x:v>
      </x:c>
      <x:c r="N2973" s="74" t="n">
        <x:f>1-F2973/M2973</x:f>
        <x:v>0</x:v>
      </x:c>
    </x:row>
    <x:row r="2974" ht="27" customHeight="1">
      <x:c r="A2974" s="66" t="str">
        <x:v>SEV580</x:v>
      </x:c>
      <x:c r="B2974" s="66" t="str">
        <x:v>祁腾蜂赢1号</x:v>
      </x:c>
      <x:c r="C2974" s="72" t="n">
        <x:v>45363</x:v>
      </x:c>
      <x:c r="D2974" s="73" t="n">
        <x:v>1.0345</x:v>
      </x:c>
      <x:c r="E2974" s="73" t="n">
        <x:v>1.622</x:v>
      </x:c>
      <x:c r="F2974" s="73" t="n">
        <x:v>1.8149</x:v>
      </x:c>
      <x:c r="G2974" s="74" t="n">
        <x:v>0.0007000000000000001</x:v>
      </x:c>
      <x:c r="H2974" s="66" t="str">
        <x:v>祁腾蜂赢1号净值20260911.xlsx</x:v>
      </x:c>
      <x:c r="I2974" s="73" t="str">
        <x:f>""</x:f>
      </x:c>
      <x:c r="J2974" s="74" t="str">
        <x:f>""</x:f>
      </x:c>
      <x:c r="K2974" s="73" t="n">
        <x:f>MAX(K2973,F2974)</x:f>
        <x:v>1.8149</x:v>
      </x:c>
      <x:c r="L2974" s="74" t="n">
        <x:f>1-F2974/K2974</x:f>
        <x:v>0</x:v>
      </x:c>
      <x:c r="M2974" s="73" t="n">
        <x:f>MAX(M2973,F2974)</x:f>
        <x:v>1.8149</x:v>
      </x:c>
      <x:c r="N2974" s="74" t="n">
        <x:f>1-F2974/M2974</x:f>
        <x:v>0</x:v>
      </x:c>
    </x:row>
    <x:row r="2975" ht="27" customHeight="1">
      <x:c r="A2975" s="66" t="str">
        <x:v>SEV580</x:v>
      </x:c>
      <x:c r="B2975" s="66" t="str">
        <x:v>祁腾蜂赢1号</x:v>
      </x:c>
      <x:c r="C2975" s="72" t="n">
        <x:v>45364</x:v>
      </x:c>
      <x:c r="D2975" s="73" t="n">
        <x:v>1.0356</x:v>
      </x:c>
      <x:c r="E2975" s="73" t="n">
        <x:v>1.6231</x:v>
      </x:c>
      <x:c r="F2975" s="73" t="n">
        <x:v>1.8169</x:v>
      </x:c>
      <x:c r="G2975" s="74" t="n">
        <x:v>0.0011</x:v>
      </x:c>
      <x:c r="H2975" s="66" t="str">
        <x:v>祁腾蜂赢1号净值20260911.xlsx</x:v>
      </x:c>
      <x:c r="I2975" s="73" t="str">
        <x:f>""</x:f>
      </x:c>
      <x:c r="J2975" s="74" t="str">
        <x:f>""</x:f>
      </x:c>
      <x:c r="K2975" s="73" t="n">
        <x:f>MAX(K2974,F2975)</x:f>
        <x:v>1.8169</x:v>
      </x:c>
      <x:c r="L2975" s="74" t="n">
        <x:f>1-F2975/K2975</x:f>
        <x:v>0</x:v>
      </x:c>
      <x:c r="M2975" s="73" t="n">
        <x:f>MAX(M2974,F2975)</x:f>
        <x:v>1.8169</x:v>
      </x:c>
      <x:c r="N2975" s="74" t="n">
        <x:f>1-F2975/M2975</x:f>
        <x:v>0</x:v>
      </x:c>
    </x:row>
    <x:row r="2976" ht="27" customHeight="1">
      <x:c r="A2976" s="66" t="str">
        <x:v>SEV580</x:v>
      </x:c>
      <x:c r="B2976" s="66" t="str">
        <x:v>祁腾蜂赢1号</x:v>
      </x:c>
      <x:c r="C2976" s="72" t="n">
        <x:v>45365</x:v>
      </x:c>
      <x:c r="D2976" s="73" t="n">
        <x:v>1.0358</x:v>
      </x:c>
      <x:c r="E2976" s="73" t="n">
        <x:v>1.6233</x:v>
      </x:c>
      <x:c r="F2976" s="73" t="n">
        <x:v>1.8172</x:v>
      </x:c>
      <x:c r="G2976" s="74" t="n">
        <x:v>0.0002</x:v>
      </x:c>
      <x:c r="H2976" s="66" t="str">
        <x:v>祁腾蜂赢1号净值20260911.xlsx</x:v>
      </x:c>
      <x:c r="I2976" s="73" t="str">
        <x:f>""</x:f>
      </x:c>
      <x:c r="J2976" s="74" t="str">
        <x:f>""</x:f>
      </x:c>
      <x:c r="K2976" s="73" t="n">
        <x:f>MAX(K2975,F2976)</x:f>
        <x:v>1.8172</x:v>
      </x:c>
      <x:c r="L2976" s="74" t="n">
        <x:f>1-F2976/K2976</x:f>
        <x:v>0</x:v>
      </x:c>
      <x:c r="M2976" s="73" t="n">
        <x:f>MAX(M2975,F2976)</x:f>
        <x:v>1.8172</x:v>
      </x:c>
      <x:c r="N2976" s="74" t="n">
        <x:f>1-F2976/M2976</x:f>
        <x:v>0</x:v>
      </x:c>
    </x:row>
    <x:row r="2977" ht="27" customHeight="1">
      <x:c r="A2977" s="66" t="str">
        <x:v>SEV580</x:v>
      </x:c>
      <x:c r="B2977" s="66" t="str">
        <x:v>祁腾蜂赢1号</x:v>
      </x:c>
      <x:c r="C2977" s="72" t="n">
        <x:v>45366</x:v>
      </x:c>
      <x:c r="D2977" s="73" t="n">
        <x:v>1.0366</x:v>
      </x:c>
      <x:c r="E2977" s="73" t="n">
        <x:v>1.6241</x:v>
      </x:c>
      <x:c r="F2977" s="73" t="n">
        <x:v>1.8186</x:v>
      </x:c>
      <x:c r="G2977" s="74" t="n">
        <x:v>0.0008</x:v>
      </x:c>
      <x:c r="H2977" s="66" t="str">
        <x:v>祁腾蜂赢1号净值20260911.xlsx</x:v>
      </x:c>
      <x:c r="I2977" s="73" t="str">
        <x:f>""</x:f>
      </x:c>
      <x:c r="J2977" s="74" t="str">
        <x:f>""</x:f>
      </x:c>
      <x:c r="K2977" s="73" t="n">
        <x:f>MAX(K2976,F2977)</x:f>
        <x:v>1.8186</x:v>
      </x:c>
      <x:c r="L2977" s="74" t="n">
        <x:f>1-F2977/K2977</x:f>
        <x:v>0</x:v>
      </x:c>
      <x:c r="M2977" s="73" t="n">
        <x:f>MAX(M2976,F2977)</x:f>
        <x:v>1.8186</x:v>
      </x:c>
      <x:c r="N2977" s="74" t="n">
        <x:f>1-F2977/M2977</x:f>
        <x:v>0</x:v>
      </x:c>
    </x:row>
    <x:row r="2978" ht="27" customHeight="1">
      <x:c r="A2978" s="66" t="str">
        <x:v>SEV580</x:v>
      </x:c>
      <x:c r="B2978" s="66" t="str">
        <x:v>祁腾蜂赢1号</x:v>
      </x:c>
      <x:c r="C2978" s="72" t="n">
        <x:v>45369</x:v>
      </x:c>
      <x:c r="D2978" s="73" t="n">
        <x:v>1.0358</x:v>
      </x:c>
      <x:c r="E2978" s="73" t="n">
        <x:v>1.6233</x:v>
      </x:c>
      <x:c r="F2978" s="73" t="n">
        <x:v>1.8172</x:v>
      </x:c>
      <x:c r="G2978" s="74" t="n">
        <x:v>-0.0008</x:v>
      </x:c>
      <x:c r="H2978" s="66" t="str">
        <x:v>祁腾蜂赢1号净值20260911.xlsx</x:v>
      </x:c>
      <x:c r="I2978" s="73" t="str">
        <x:f>""</x:f>
      </x:c>
      <x:c r="J2978" s="74" t="str">
        <x:f>""</x:f>
      </x:c>
      <x:c r="K2978" s="73" t="n">
        <x:f>MAX(K2977,F2978)</x:f>
        <x:v>1.8186</x:v>
      </x:c>
      <x:c r="L2978" s="74" t="n">
        <x:f>1-F2978/K2978</x:f>
        <x:v>0.0007698229407236967</x:v>
      </x:c>
      <x:c r="M2978" s="73" t="n">
        <x:f>MAX(M2977,F2978)</x:f>
        <x:v>1.8186</x:v>
      </x:c>
      <x:c r="N2978" s="74" t="n">
        <x:f>1-F2978/M2978</x:f>
        <x:v>0.0007698229407236967</x:v>
      </x:c>
    </x:row>
    <x:row r="2979" ht="27" customHeight="1">
      <x:c r="A2979" s="66" t="str">
        <x:v>SEV580</x:v>
      </x:c>
      <x:c r="B2979" s="66" t="str">
        <x:v>祁腾蜂赢1号</x:v>
      </x:c>
      <x:c r="C2979" s="72" t="n">
        <x:v>45370</x:v>
      </x:c>
      <x:c r="D2979" s="73" t="n">
        <x:v>1.0365</x:v>
      </x:c>
      <x:c r="E2979" s="73" t="n">
        <x:v>1.624</x:v>
      </x:c>
      <x:c r="F2979" s="73" t="n">
        <x:v>1.8184</x:v>
      </x:c>
      <x:c r="G2979" s="74" t="n">
        <x:v>0.0007000000000000001</x:v>
      </x:c>
      <x:c r="H2979" s="66" t="str">
        <x:v>祁腾蜂赢1号净值20260911.xlsx</x:v>
      </x:c>
      <x:c r="I2979" s="73" t="str">
        <x:f>""</x:f>
      </x:c>
      <x:c r="J2979" s="74" t="str">
        <x:f>""</x:f>
      </x:c>
      <x:c r="K2979" s="73" t="n">
        <x:f>MAX(K2978,F2979)</x:f>
        <x:v>1.8186</x:v>
      </x:c>
      <x:c r="L2979" s="74" t="n">
        <x:f>1-F2979/K2979</x:f>
        <x:v>0.00010997470581763924</x:v>
      </x:c>
      <x:c r="M2979" s="73" t="n">
        <x:f>MAX(M2978,F2979)</x:f>
        <x:v>1.8186</x:v>
      </x:c>
      <x:c r="N2979" s="74" t="n">
        <x:f>1-F2979/M2979</x:f>
        <x:v>0.00010997470581763924</x:v>
      </x:c>
    </x:row>
    <x:row r="2980" ht="27" customHeight="1">
      <x:c r="A2980" s="66" t="str">
        <x:v>SEV580</x:v>
      </x:c>
      <x:c r="B2980" s="66" t="str">
        <x:v>祁腾蜂赢1号</x:v>
      </x:c>
      <x:c r="C2980" s="72" t="n">
        <x:v>45371</x:v>
      </x:c>
      <x:c r="D2980" s="73" t="n">
        <x:v>1.0369</x:v>
      </x:c>
      <x:c r="E2980" s="73" t="n">
        <x:v>1.6244</x:v>
      </x:c>
      <x:c r="F2980" s="73" t="n">
        <x:v>1.8191</x:v>
      </x:c>
      <x:c r="G2980" s="74" t="n">
        <x:v>0.0004</x:v>
      </x:c>
      <x:c r="H2980" s="66" t="str">
        <x:v>祁腾蜂赢1号净值20260911.xlsx</x:v>
      </x:c>
      <x:c r="I2980" s="73" t="str">
        <x:f>""</x:f>
      </x:c>
      <x:c r="J2980" s="74" t="str">
        <x:f>""</x:f>
      </x:c>
      <x:c r="K2980" s="73" t="n">
        <x:f>MAX(K2979,F2980)</x:f>
        <x:v>1.8191</x:v>
      </x:c>
      <x:c r="L2980" s="74" t="n">
        <x:f>1-F2980/K2980</x:f>
        <x:v>0</x:v>
      </x:c>
      <x:c r="M2980" s="73" t="n">
        <x:f>MAX(M2979,F2980)</x:f>
        <x:v>1.8191</x:v>
      </x:c>
      <x:c r="N2980" s="74" t="n">
        <x:f>1-F2980/M2980</x:f>
        <x:v>0</x:v>
      </x:c>
    </x:row>
    <x:row r="2981" ht="27" customHeight="1">
      <x:c r="A2981" s="66" t="str">
        <x:v>SEV580</x:v>
      </x:c>
      <x:c r="B2981" s="66" t="str">
        <x:v>祁腾蜂赢1号</x:v>
      </x:c>
      <x:c r="C2981" s="72" t="n">
        <x:v>45372</x:v>
      </x:c>
      <x:c r="D2981" s="73" t="n">
        <x:v>1.0366</x:v>
      </x:c>
      <x:c r="E2981" s="73" t="n">
        <x:v>1.6241</x:v>
      </x:c>
      <x:c r="F2981" s="73" t="n">
        <x:v>1.8186</x:v>
      </x:c>
      <x:c r="G2981" s="74" t="n">
        <x:v>-0.0003</x:v>
      </x:c>
      <x:c r="H2981" s="66" t="str">
        <x:v>祁腾蜂赢1号净值20260911.xlsx</x:v>
      </x:c>
      <x:c r="I2981" s="73" t="str">
        <x:f>""</x:f>
      </x:c>
      <x:c r="J2981" s="74" t="str">
        <x:f>""</x:f>
      </x:c>
      <x:c r="K2981" s="73" t="n">
        <x:f>MAX(K2980,F2981)</x:f>
        <x:v>1.8191</x:v>
      </x:c>
      <x:c r="L2981" s="74" t="n">
        <x:f>1-F2981/K2981</x:f>
        <x:v>0.0002748611950964541</x:v>
      </x:c>
      <x:c r="M2981" s="73" t="n">
        <x:f>MAX(M2980,F2981)</x:f>
        <x:v>1.8191</x:v>
      </x:c>
      <x:c r="N2981" s="74" t="n">
        <x:f>1-F2981/M2981</x:f>
        <x:v>0.0002748611950964541</x:v>
      </x:c>
    </x:row>
    <x:row r="2982" ht="27" customHeight="1">
      <x:c r="A2982" s="66" t="str">
        <x:v>SEV580</x:v>
      </x:c>
      <x:c r="B2982" s="66" t="str">
        <x:v>祁腾蜂赢1号</x:v>
      </x:c>
      <x:c r="C2982" s="72" t="n">
        <x:v>45373</x:v>
      </x:c>
      <x:c r="D2982" s="73" t="n">
        <x:v>1.0369</x:v>
      </x:c>
      <x:c r="E2982" s="73" t="n">
        <x:v>1.6244</x:v>
      </x:c>
      <x:c r="F2982" s="73" t="n">
        <x:v>1.8191</x:v>
      </x:c>
      <x:c r="G2982" s="74" t="n">
        <x:v>0.0003</x:v>
      </x:c>
      <x:c r="H2982" s="66" t="str">
        <x:v>祁腾蜂赢1号净值20260911.xlsx</x:v>
      </x:c>
      <x:c r="I2982" s="73" t="str">
        <x:f>""</x:f>
      </x:c>
      <x:c r="J2982" s="74" t="str">
        <x:f>""</x:f>
      </x:c>
      <x:c r="K2982" s="73" t="n">
        <x:f>MAX(K2981,F2982)</x:f>
        <x:v>1.8191</x:v>
      </x:c>
      <x:c r="L2982" s="74" t="n">
        <x:f>1-F2982/K2982</x:f>
        <x:v>0</x:v>
      </x:c>
      <x:c r="M2982" s="73" t="n">
        <x:f>MAX(M2981,F2982)</x:f>
        <x:v>1.8191</x:v>
      </x:c>
      <x:c r="N2982" s="74" t="n">
        <x:f>1-F2982/M2982</x:f>
        <x:v>0</x:v>
      </x:c>
    </x:row>
    <x:row r="2983" ht="27" customHeight="1">
      <x:c r="A2983" s="66" t="str">
        <x:v>SEV580</x:v>
      </x:c>
      <x:c r="B2983" s="66" t="str">
        <x:v>祁腾蜂赢1号</x:v>
      </x:c>
      <x:c r="C2983" s="72" t="n">
        <x:v>45376</x:v>
      </x:c>
      <x:c r="D2983" s="73" t="n">
        <x:v>1.0379</x:v>
      </x:c>
      <x:c r="E2983" s="73" t="n">
        <x:v>1.6254</x:v>
      </x:c>
      <x:c r="F2983" s="73" t="n">
        <x:v>1.8209</x:v>
      </x:c>
      <x:c r="G2983" s="74" t="n">
        <x:v>0.001</x:v>
      </x:c>
      <x:c r="H2983" s="66" t="str">
        <x:v>祁腾蜂赢1号净值20260911.xlsx</x:v>
      </x:c>
      <x:c r="I2983" s="73" t="str">
        <x:f>""</x:f>
      </x:c>
      <x:c r="J2983" s="74" t="str">
        <x:f>""</x:f>
      </x:c>
      <x:c r="K2983" s="73" t="n">
        <x:f>MAX(K2982,F2983)</x:f>
        <x:v>1.8209</x:v>
      </x:c>
      <x:c r="L2983" s="74" t="n">
        <x:f>1-F2983/K2983</x:f>
        <x:v>0</x:v>
      </x:c>
      <x:c r="M2983" s="73" t="n">
        <x:f>MAX(M2982,F2983)</x:f>
        <x:v>1.8209</x:v>
      </x:c>
      <x:c r="N2983" s="74" t="n">
        <x:f>1-F2983/M2983</x:f>
        <x:v>0</x:v>
      </x:c>
    </x:row>
    <x:row r="2984" ht="27" customHeight="1">
      <x:c r="A2984" s="66" t="str">
        <x:v>SEV580</x:v>
      </x:c>
      <x:c r="B2984" s="66" t="str">
        <x:v>祁腾蜂赢1号</x:v>
      </x:c>
      <x:c r="C2984" s="72" t="n">
        <x:v>45377</x:v>
      </x:c>
      <x:c r="D2984" s="73" t="n">
        <x:v>1.0376</x:v>
      </x:c>
      <x:c r="E2984" s="73" t="n">
        <x:v>1.6251</x:v>
      </x:c>
      <x:c r="F2984" s="73" t="n">
        <x:v>1.8204</x:v>
      </x:c>
      <x:c r="G2984" s="74" t="n">
        <x:v>-0.0003</x:v>
      </x:c>
      <x:c r="H2984" s="66" t="str">
        <x:v>祁腾蜂赢1号净值20260911.xlsx</x:v>
      </x:c>
      <x:c r="I2984" s="73" t="str">
        <x:f>""</x:f>
      </x:c>
      <x:c r="J2984" s="74" t="str">
        <x:f>""</x:f>
      </x:c>
      <x:c r="K2984" s="73" t="n">
        <x:f>MAX(K2983,F2984)</x:f>
        <x:v>1.8209</x:v>
      </x:c>
      <x:c r="L2984" s="74" t="n">
        <x:f>1-F2984/K2984</x:f>
        <x:v>0.00027458948871439404</x:v>
      </x:c>
      <x:c r="M2984" s="73" t="n">
        <x:f>MAX(M2983,F2984)</x:f>
        <x:v>1.8209</x:v>
      </x:c>
      <x:c r="N2984" s="74" t="n">
        <x:f>1-F2984/M2984</x:f>
        <x:v>0.00027458948871439404</x:v>
      </x:c>
    </x:row>
    <x:row r="2985" ht="27" customHeight="1">
      <x:c r="A2985" s="66" t="str">
        <x:v>SEV580</x:v>
      </x:c>
      <x:c r="B2985" s="66" t="str">
        <x:v>祁腾蜂赢1号</x:v>
      </x:c>
      <x:c r="C2985" s="72" t="n">
        <x:v>45378</x:v>
      </x:c>
      <x:c r="D2985" s="73" t="n">
        <x:v>1.038</x:v>
      </x:c>
      <x:c r="E2985" s="73" t="n">
        <x:v>1.6255</x:v>
      </x:c>
      <x:c r="F2985" s="73" t="n">
        <x:v>1.8211</x:v>
      </x:c>
      <x:c r="G2985" s="74" t="n">
        <x:v>0.0004</x:v>
      </x:c>
      <x:c r="H2985" s="66" t="str">
        <x:v>祁腾蜂赢1号净值20260911.xlsx</x:v>
      </x:c>
      <x:c r="I2985" s="73" t="str">
        <x:f>""</x:f>
      </x:c>
      <x:c r="J2985" s="74" t="str">
        <x:f>""</x:f>
      </x:c>
      <x:c r="K2985" s="73" t="n">
        <x:f>MAX(K2984,F2985)</x:f>
        <x:v>1.8211</x:v>
      </x:c>
      <x:c r="L2985" s="74" t="n">
        <x:f>1-F2985/K2985</x:f>
        <x:v>0</x:v>
      </x:c>
      <x:c r="M2985" s="73" t="n">
        <x:f>MAX(M2984,F2985)</x:f>
        <x:v>1.8211</x:v>
      </x:c>
      <x:c r="N2985" s="74" t="n">
        <x:f>1-F2985/M2985</x:f>
        <x:v>0</x:v>
      </x:c>
    </x:row>
    <x:row r="2986" ht="27" customHeight="1">
      <x:c r="A2986" s="66" t="str">
        <x:v>SEV580</x:v>
      </x:c>
      <x:c r="B2986" s="66" t="str">
        <x:v>祁腾蜂赢1号</x:v>
      </x:c>
      <x:c r="C2986" s="72" t="n">
        <x:v>45379</x:v>
      </x:c>
      <x:c r="D2986" s="73" t="n">
        <x:v>1.041</x:v>
      </x:c>
      <x:c r="E2986" s="73" t="n">
        <x:v>1.6285</x:v>
      </x:c>
      <x:c r="F2986" s="73" t="n">
        <x:v>1.8263</x:v>
      </x:c>
      <x:c r="G2986" s="74" t="n">
        <x:v>0.0029</x:v>
      </x:c>
      <x:c r="H2986" s="66" t="str">
        <x:v>祁腾蜂赢1号净值20260911.xlsx</x:v>
      </x:c>
      <x:c r="I2986" s="73" t="str">
        <x:f>""</x:f>
      </x:c>
      <x:c r="J2986" s="74" t="str">
        <x:f>""</x:f>
      </x:c>
      <x:c r="K2986" s="73" t="n">
        <x:f>MAX(K2985,F2986)</x:f>
        <x:v>1.8263</x:v>
      </x:c>
      <x:c r="L2986" s="74" t="n">
        <x:f>1-F2986/K2986</x:f>
        <x:v>0</x:v>
      </x:c>
      <x:c r="M2986" s="73" t="n">
        <x:f>MAX(M2985,F2986)</x:f>
        <x:v>1.8263</x:v>
      </x:c>
      <x:c r="N2986" s="74" t="n">
        <x:f>1-F2986/M2986</x:f>
        <x:v>0</x:v>
      </x:c>
    </x:row>
    <x:row r="2987" ht="27" customHeight="1">
      <x:c r="A2987" s="66" t="str">
        <x:v>SEV580</x:v>
      </x:c>
      <x:c r="B2987" s="66" t="str">
        <x:v>祁腾蜂赢1号</x:v>
      </x:c>
      <x:c r="C2987" s="72" t="n">
        <x:v>45380</x:v>
      </x:c>
      <x:c r="D2987" s="73" t="n">
        <x:v>1.0422</x:v>
      </x:c>
      <x:c r="E2987" s="73" t="n">
        <x:v>1.6297</x:v>
      </x:c>
      <x:c r="F2987" s="73" t="n">
        <x:v>1.8284</x:v>
      </x:c>
      <x:c r="G2987" s="74" t="n">
        <x:v>0.0012</x:v>
      </x:c>
      <x:c r="H2987" s="66" t="str">
        <x:v>祁腾蜂赢1号净值20260911.xlsx</x:v>
      </x:c>
      <x:c r="I2987" s="73" t="str">
        <x:f>""</x:f>
      </x:c>
      <x:c r="J2987" s="74" t="str">
        <x:f>""</x:f>
      </x:c>
      <x:c r="K2987" s="73" t="n">
        <x:f>MAX(K2986,F2987)</x:f>
        <x:v>1.8284</x:v>
      </x:c>
      <x:c r="L2987" s="74" t="n">
        <x:f>1-F2987/K2987</x:f>
        <x:v>0</x:v>
      </x:c>
      <x:c r="M2987" s="73" t="n">
        <x:f>MAX(M2986,F2987)</x:f>
        <x:v>1.8284</x:v>
      </x:c>
      <x:c r="N2987" s="74" t="n">
        <x:f>1-F2987/M2987</x:f>
        <x:v>0</x:v>
      </x:c>
    </x:row>
    <x:row r="2988" ht="27" customHeight="1">
      <x:c r="A2988" s="66" t="str">
        <x:v>SEV580</x:v>
      </x:c>
      <x:c r="B2988" s="66" t="str">
        <x:v>祁腾蜂赢1号</x:v>
      </x:c>
      <x:c r="C2988" s="72" t="n">
        <x:v>45383</x:v>
      </x:c>
      <x:c r="D2988" s="73" t="n">
        <x:v>1.0413</x:v>
      </x:c>
      <x:c r="E2988" s="73" t="n">
        <x:v>1.6288</x:v>
      </x:c>
      <x:c r="F2988" s="73" t="n">
        <x:v>1.8269</x:v>
      </x:c>
      <x:c r="G2988" s="74" t="n">
        <x:v>-0.0009</x:v>
      </x:c>
      <x:c r="H2988" s="66" t="str">
        <x:v>祁腾蜂赢1号净值20260911.xlsx</x:v>
      </x:c>
      <x:c r="I2988" s="73" t="str">
        <x:f>""</x:f>
      </x:c>
      <x:c r="J2988" s="74" t="str">
        <x:f>""</x:f>
      </x:c>
      <x:c r="K2988" s="73" t="n">
        <x:f>MAX(K2987,F2988)</x:f>
        <x:v>1.8284</x:v>
      </x:c>
      <x:c r="L2988" s="74" t="n">
        <x:f>1-F2988/K2988</x:f>
        <x:v>0.0008203894115073052</x:v>
      </x:c>
      <x:c r="M2988" s="73" t="n">
        <x:f>MAX(M2987,F2988)</x:f>
        <x:v>1.8284</x:v>
      </x:c>
      <x:c r="N2988" s="74" t="n">
        <x:f>1-F2988/M2988</x:f>
        <x:v>0.0008203894115073052</x:v>
      </x:c>
    </x:row>
    <x:row r="2989" ht="27" customHeight="1">
      <x:c r="A2989" s="66" t="str">
        <x:v>SEV580</x:v>
      </x:c>
      <x:c r="B2989" s="66" t="str">
        <x:v>祁腾蜂赢1号</x:v>
      </x:c>
      <x:c r="C2989" s="72" t="n">
        <x:v>45384</x:v>
      </x:c>
      <x:c r="D2989" s="73" t="n">
        <x:v>1.0415</x:v>
      </x:c>
      <x:c r="E2989" s="73" t="n">
        <x:v>1.629</x:v>
      </x:c>
      <x:c r="F2989" s="73" t="n">
        <x:v>1.8272</x:v>
      </x:c>
      <x:c r="G2989" s="74" t="n">
        <x:v>0.0002</x:v>
      </x:c>
      <x:c r="H2989" s="66" t="str">
        <x:v>祁腾蜂赢1号净值20260911.xlsx</x:v>
      </x:c>
      <x:c r="I2989" s="73" t="str">
        <x:f>""</x:f>
      </x:c>
      <x:c r="J2989" s="74" t="str">
        <x:f>""</x:f>
      </x:c>
      <x:c r="K2989" s="73" t="n">
        <x:f>MAX(K2988,F2989)</x:f>
        <x:v>1.8284</x:v>
      </x:c>
      <x:c r="L2989" s="74" t="n">
        <x:f>1-F2989/K2989</x:f>
        <x:v>0.0006563115292058663</x:v>
      </x:c>
      <x:c r="M2989" s="73" t="n">
        <x:f>MAX(M2988,F2989)</x:f>
        <x:v>1.8284</x:v>
      </x:c>
      <x:c r="N2989" s="74" t="n">
        <x:f>1-F2989/M2989</x:f>
        <x:v>0.0006563115292058663</x:v>
      </x:c>
    </x:row>
    <x:row r="2990" ht="27" customHeight="1">
      <x:c r="A2990" s="66" t="str">
        <x:v>SEV580</x:v>
      </x:c>
      <x:c r="B2990" s="66" t="str">
        <x:v>祁腾蜂赢1号</x:v>
      </x:c>
      <x:c r="C2990" s="72" t="n">
        <x:v>45385</x:v>
      </x:c>
      <x:c r="D2990" s="73" t="n">
        <x:v>1.0413</x:v>
      </x:c>
      <x:c r="E2990" s="73" t="n">
        <x:v>1.6288</x:v>
      </x:c>
      <x:c r="F2990" s="73" t="n">
        <x:v>1.8269</x:v>
      </x:c>
      <x:c r="G2990" s="74" t="n">
        <x:v>-0.0002</x:v>
      </x:c>
      <x:c r="H2990" s="66" t="str">
        <x:v>祁腾蜂赢1号净值20260911.xlsx</x:v>
      </x:c>
      <x:c r="I2990" s="73" t="str">
        <x:f>""</x:f>
      </x:c>
      <x:c r="J2990" s="74" t="str">
        <x:f>""</x:f>
      </x:c>
      <x:c r="K2990" s="73" t="n">
        <x:f>MAX(K2989,F2990)</x:f>
        <x:v>1.8284</x:v>
      </x:c>
      <x:c r="L2990" s="74" t="n">
        <x:f>1-F2990/K2990</x:f>
        <x:v>0.0008203894115073052</x:v>
      </x:c>
      <x:c r="M2990" s="73" t="n">
        <x:f>MAX(M2989,F2990)</x:f>
        <x:v>1.8284</x:v>
      </x:c>
      <x:c r="N2990" s="74" t="n">
        <x:f>1-F2990/M2990</x:f>
        <x:v>0.0008203894115073052</x:v>
      </x:c>
    </x:row>
    <x:row r="2991" ht="27" customHeight="1">
      <x:c r="A2991" s="66" t="str">
        <x:v>SEV580</x:v>
      </x:c>
      <x:c r="B2991" s="66" t="str">
        <x:v>祁腾蜂赢1号</x:v>
      </x:c>
      <x:c r="C2991" s="72" t="n">
        <x:v>45390</x:v>
      </x:c>
      <x:c r="D2991" s="73" t="n">
        <x:v>1.0414</x:v>
      </x:c>
      <x:c r="E2991" s="73" t="n">
        <x:v>1.6289</x:v>
      </x:c>
      <x:c r="F2991" s="73" t="n">
        <x:v>1.827</x:v>
      </x:c>
      <x:c r="G2991" s="74" t="n">
        <x:v>0.0001</x:v>
      </x:c>
      <x:c r="H2991" s="66" t="str">
        <x:v>祁腾蜂赢1号净值20260911.xlsx</x:v>
      </x:c>
      <x:c r="I2991" s="73" t="str">
        <x:f>""</x:f>
      </x:c>
      <x:c r="J2991" s="74" t="str">
        <x:f>""</x:f>
      </x:c>
      <x:c r="K2991" s="73" t="n">
        <x:f>MAX(K2990,F2991)</x:f>
        <x:v>1.8284</x:v>
      </x:c>
      <x:c r="L2991" s="74" t="n">
        <x:f>1-F2991/K2991</x:f>
        <x:v>0.0007656967840735662</x:v>
      </x:c>
      <x:c r="M2991" s="73" t="n">
        <x:f>MAX(M2990,F2991)</x:f>
        <x:v>1.8284</x:v>
      </x:c>
      <x:c r="N2991" s="74" t="n">
        <x:f>1-F2991/M2991</x:f>
        <x:v>0.0007656967840735662</x:v>
      </x:c>
    </x:row>
    <x:row r="2992" ht="27" customHeight="1">
      <x:c r="A2992" s="66" t="str">
        <x:v>SEV580</x:v>
      </x:c>
      <x:c r="B2992" s="66" t="str">
        <x:v>祁腾蜂赢1号</x:v>
      </x:c>
      <x:c r="C2992" s="72" t="n">
        <x:v>45391</x:v>
      </x:c>
      <x:c r="D2992" s="73" t="n">
        <x:v>1.041</x:v>
      </x:c>
      <x:c r="E2992" s="73" t="n">
        <x:v>1.6285</x:v>
      </x:c>
      <x:c r="F2992" s="73" t="n">
        <x:v>1.8263</x:v>
      </x:c>
      <x:c r="G2992" s="74" t="n">
        <x:v>-0.0004</x:v>
      </x:c>
      <x:c r="H2992" s="66" t="str">
        <x:v>祁腾蜂赢1号净值20260911.xlsx</x:v>
      </x:c>
      <x:c r="I2992" s="73" t="str">
        <x:f>""</x:f>
      </x:c>
      <x:c r="J2992" s="74" t="str">
        <x:f>""</x:f>
      </x:c>
      <x:c r="K2992" s="73" t="n">
        <x:f>MAX(K2991,F2992)</x:f>
        <x:v>1.8284</x:v>
      </x:c>
      <x:c r="L2992" s="74" t="n">
        <x:f>1-F2992/K2992</x:f>
        <x:v>0.0011485451761102938</x:v>
      </x:c>
      <x:c r="M2992" s="73" t="n">
        <x:f>MAX(M2991,F2992)</x:f>
        <x:v>1.8284</x:v>
      </x:c>
      <x:c r="N2992" s="74" t="n">
        <x:f>1-F2992/M2992</x:f>
        <x:v>0.0011485451761102938</x:v>
      </x:c>
    </x:row>
    <x:row r="2993" ht="27" customHeight="1">
      <x:c r="A2993" s="66" t="str">
        <x:v>SEV580</x:v>
      </x:c>
      <x:c r="B2993" s="66" t="str">
        <x:v>祁腾蜂赢1号</x:v>
      </x:c>
      <x:c r="C2993" s="72" t="n">
        <x:v>45392</x:v>
      </x:c>
      <x:c r="D2993" s="73" t="n">
        <x:v>1.0422</x:v>
      </x:c>
      <x:c r="E2993" s="73" t="n">
        <x:v>1.6297</x:v>
      </x:c>
      <x:c r="F2993" s="73" t="n">
        <x:v>1.8284</x:v>
      </x:c>
      <x:c r="G2993" s="74" t="n">
        <x:v>0.0012</x:v>
      </x:c>
      <x:c r="H2993" s="66" t="str">
        <x:v>祁腾蜂赢1号净值20260911.xlsx</x:v>
      </x:c>
      <x:c r="I2993" s="73" t="str">
        <x:f>""</x:f>
      </x:c>
      <x:c r="J2993" s="74" t="str">
        <x:f>""</x:f>
      </x:c>
      <x:c r="K2993" s="73" t="n">
        <x:f>MAX(K2992,F2993)</x:f>
        <x:v>1.8284</x:v>
      </x:c>
      <x:c r="L2993" s="74" t="n">
        <x:f>1-F2993/K2993</x:f>
        <x:v>0</x:v>
      </x:c>
      <x:c r="M2993" s="73" t="n">
        <x:f>MAX(M2992,F2993)</x:f>
        <x:v>1.8284</x:v>
      </x:c>
      <x:c r="N2993" s="74" t="n">
        <x:f>1-F2993/M2993</x:f>
        <x:v>0</x:v>
      </x:c>
    </x:row>
    <x:row r="2994" ht="27" customHeight="1">
      <x:c r="A2994" s="66" t="str">
        <x:v>SEV580</x:v>
      </x:c>
      <x:c r="B2994" s="66" t="str">
        <x:v>祁腾蜂赢1号</x:v>
      </x:c>
      <x:c r="C2994" s="72" t="n">
        <x:v>45393</x:v>
      </x:c>
      <x:c r="D2994" s="73" t="n">
        <x:v>1.0424</x:v>
      </x:c>
      <x:c r="E2994" s="73" t="n">
        <x:v>1.6299</x:v>
      </x:c>
      <x:c r="F2994" s="73" t="n">
        <x:v>1.8288</x:v>
      </x:c>
      <x:c r="G2994" s="74" t="n">
        <x:v>0.0002</x:v>
      </x:c>
      <x:c r="H2994" s="66" t="str">
        <x:v>祁腾蜂赢1号净值20260911.xlsx</x:v>
      </x:c>
      <x:c r="I2994" s="73" t="str">
        <x:f>""</x:f>
      </x:c>
      <x:c r="J2994" s="74" t="str">
        <x:f>""</x:f>
      </x:c>
      <x:c r="K2994" s="73" t="n">
        <x:f>MAX(K2993,F2994)</x:f>
        <x:v>1.8288</x:v>
      </x:c>
      <x:c r="L2994" s="74" t="n">
        <x:f>1-F2994/K2994</x:f>
        <x:v>0</x:v>
      </x:c>
      <x:c r="M2994" s="73" t="n">
        <x:f>MAX(M2993,F2994)</x:f>
        <x:v>1.8288</x:v>
      </x:c>
      <x:c r="N2994" s="74" t="n">
        <x:f>1-F2994/M2994</x:f>
        <x:v>0</x:v>
      </x:c>
    </x:row>
    <x:row r="2995" ht="27" customHeight="1">
      <x:c r="A2995" s="66" t="str">
        <x:v>SEV580</x:v>
      </x:c>
      <x:c r="B2995" s="66" t="str">
        <x:v>祁腾蜂赢1号</x:v>
      </x:c>
      <x:c r="C2995" s="72" t="n">
        <x:v>45394</x:v>
      </x:c>
      <x:c r="D2995" s="73" t="n">
        <x:v>1.0424</x:v>
      </x:c>
      <x:c r="E2995" s="73" t="n">
        <x:v>1.6299</x:v>
      </x:c>
      <x:c r="F2995" s="73" t="n">
        <x:v>1.8288</x:v>
      </x:c>
      <x:c r="G2995" s="74" t="n">
        <x:v>0</x:v>
      </x:c>
      <x:c r="H2995" s="66" t="str">
        <x:v>祁腾蜂赢1号净值20260911.xlsx</x:v>
      </x:c>
      <x:c r="I2995" s="73" t="str">
        <x:f>""</x:f>
      </x:c>
      <x:c r="J2995" s="74" t="str">
        <x:f>""</x:f>
      </x:c>
      <x:c r="K2995" s="73" t="n">
        <x:f>MAX(K2994,F2995)</x:f>
        <x:v>1.8288</x:v>
      </x:c>
      <x:c r="L2995" s="74" t="n">
        <x:f>1-F2995/K2995</x:f>
        <x:v>0</x:v>
      </x:c>
      <x:c r="M2995" s="73" t="n">
        <x:f>MAX(M2994,F2995)</x:f>
        <x:v>1.8288</x:v>
      </x:c>
      <x:c r="N2995" s="74" t="n">
        <x:f>1-F2995/M2995</x:f>
        <x:v>0</x:v>
      </x:c>
    </x:row>
    <x:row r="2996" ht="27" customHeight="1">
      <x:c r="A2996" s="66" t="str">
        <x:v>SEV580</x:v>
      </x:c>
      <x:c r="B2996" s="66" t="str">
        <x:v>祁腾蜂赢1号</x:v>
      </x:c>
      <x:c r="C2996" s="72" t="n">
        <x:v>45397</x:v>
      </x:c>
      <x:c r="D2996" s="73" t="n">
        <x:v>1.0452</x:v>
      </x:c>
      <x:c r="E2996" s="73" t="n">
        <x:v>1.6327</x:v>
      </x:c>
      <x:c r="F2996" s="73" t="n">
        <x:v>1.8337</x:v>
      </x:c>
      <x:c r="G2996" s="74" t="n">
        <x:v>0.0027</x:v>
      </x:c>
      <x:c r="H2996" s="66" t="str">
        <x:v>祁腾蜂赢1号净值20260911.xlsx</x:v>
      </x:c>
      <x:c r="I2996" s="73" t="str">
        <x:f>""</x:f>
      </x:c>
      <x:c r="J2996" s="74" t="str">
        <x:f>""</x:f>
      </x:c>
      <x:c r="K2996" s="73" t="n">
        <x:f>MAX(K2995,F2996)</x:f>
        <x:v>1.8337</x:v>
      </x:c>
      <x:c r="L2996" s="74" t="n">
        <x:f>1-F2996/K2996</x:f>
        <x:v>0</x:v>
      </x:c>
      <x:c r="M2996" s="73" t="n">
        <x:f>MAX(M2995,F2996)</x:f>
        <x:v>1.8337</x:v>
      </x:c>
      <x:c r="N2996" s="74" t="n">
        <x:f>1-F2996/M2996</x:f>
        <x:v>0</x:v>
      </x:c>
    </x:row>
    <x:row r="2997" ht="27" customHeight="1">
      <x:c r="A2997" s="66" t="str">
        <x:v>SEV580</x:v>
      </x:c>
      <x:c r="B2997" s="66" t="str">
        <x:v>祁腾蜂赢1号</x:v>
      </x:c>
      <x:c r="C2997" s="72" t="n">
        <x:v>45398</x:v>
      </x:c>
      <x:c r="D2997" s="73" t="n">
        <x:v>1.0469</x:v>
      </x:c>
      <x:c r="E2997" s="73" t="n">
        <x:v>1.6344</x:v>
      </x:c>
      <x:c r="F2997" s="73" t="n">
        <x:v>1.8367</x:v>
      </x:c>
      <x:c r="G2997" s="74" t="n">
        <x:v>0.0016</x:v>
      </x:c>
      <x:c r="H2997" s="66" t="str">
        <x:v>祁腾蜂赢1号净值20260911.xlsx</x:v>
      </x:c>
      <x:c r="I2997" s="73" t="str">
        <x:f>""</x:f>
      </x:c>
      <x:c r="J2997" s="74" t="str">
        <x:f>""</x:f>
      </x:c>
      <x:c r="K2997" s="73" t="n">
        <x:f>MAX(K2996,F2997)</x:f>
        <x:v>1.8367</x:v>
      </x:c>
      <x:c r="L2997" s="74" t="n">
        <x:f>1-F2997/K2997</x:f>
        <x:v>0</x:v>
      </x:c>
      <x:c r="M2997" s="73" t="n">
        <x:f>MAX(M2996,F2997)</x:f>
        <x:v>1.8367</x:v>
      </x:c>
      <x:c r="N2997" s="74" t="n">
        <x:f>1-F2997/M2997</x:f>
        <x:v>0</x:v>
      </x:c>
    </x:row>
    <x:row r="2998" ht="27" customHeight="1">
      <x:c r="A2998" s="66" t="str">
        <x:v>SEV580</x:v>
      </x:c>
      <x:c r="B2998" s="66" t="str">
        <x:v>祁腾蜂赢1号</x:v>
      </x:c>
      <x:c r="C2998" s="72" t="n">
        <x:v>45399</x:v>
      </x:c>
      <x:c r="D2998" s="73" t="n">
        <x:v>1.0492</x:v>
      </x:c>
      <x:c r="E2998" s="73" t="n">
        <x:v>1.6367</x:v>
      </x:c>
      <x:c r="F2998" s="73" t="n">
        <x:v>1.8407</x:v>
      </x:c>
      <x:c r="G2998" s="74" t="n">
        <x:v>0.0022</x:v>
      </x:c>
      <x:c r="H2998" s="66" t="str">
        <x:v>祁腾蜂赢1号净值20260911.xlsx</x:v>
      </x:c>
      <x:c r="I2998" s="73" t="str">
        <x:f>""</x:f>
      </x:c>
      <x:c r="J2998" s="74" t="str">
        <x:f>""</x:f>
      </x:c>
      <x:c r="K2998" s="73" t="n">
        <x:f>MAX(K2997,F2998)</x:f>
        <x:v>1.8407</x:v>
      </x:c>
      <x:c r="L2998" s="74" t="n">
        <x:f>1-F2998/K2998</x:f>
        <x:v>0</x:v>
      </x:c>
      <x:c r="M2998" s="73" t="n">
        <x:f>MAX(M2997,F2998)</x:f>
        <x:v>1.8407</x:v>
      </x:c>
      <x:c r="N2998" s="74" t="n">
        <x:f>1-F2998/M2998</x:f>
        <x:v>0</x:v>
      </x:c>
    </x:row>
    <x:row r="2999" ht="27" customHeight="1">
      <x:c r="A2999" s="66" t="str">
        <x:v>SEV580</x:v>
      </x:c>
      <x:c r="B2999" s="66" t="str">
        <x:v>祁腾蜂赢1号</x:v>
      </x:c>
      <x:c r="C2999" s="72" t="n">
        <x:v>45400</x:v>
      </x:c>
      <x:c r="D2999" s="73" t="n">
        <x:v>1.049</x:v>
      </x:c>
      <x:c r="E2999" s="73" t="n">
        <x:v>1.6365</x:v>
      </x:c>
      <x:c r="F2999" s="73" t="n">
        <x:v>1.8404</x:v>
      </x:c>
      <x:c r="G2999" s="74" t="n">
        <x:v>-0.0002</x:v>
      </x:c>
      <x:c r="H2999" s="66" t="str">
        <x:v>祁腾蜂赢1号净值20260911.xlsx</x:v>
      </x:c>
      <x:c r="I2999" s="73" t="str">
        <x:f>""</x:f>
      </x:c>
      <x:c r="J2999" s="74" t="str">
        <x:f>""</x:f>
      </x:c>
      <x:c r="K2999" s="73" t="n">
        <x:f>MAX(K2998,F2999)</x:f>
        <x:v>1.8407</x:v>
      </x:c>
      <x:c r="L2999" s="74" t="n">
        <x:f>1-F2999/K2999</x:f>
        <x:v>0.0001629814744390501</x:v>
      </x:c>
      <x:c r="M2999" s="73" t="n">
        <x:f>MAX(M2998,F2999)</x:f>
        <x:v>1.8407</x:v>
      </x:c>
      <x:c r="N2999" s="74" t="n">
        <x:f>1-F2999/M2999</x:f>
        <x:v>0.0001629814744390501</x:v>
      </x:c>
    </x:row>
    <x:row r="3000" ht="27" customHeight="1">
      <x:c r="A3000" s="66" t="str">
        <x:v>SEV580</x:v>
      </x:c>
      <x:c r="B3000" s="66" t="str">
        <x:v>祁腾蜂赢1号</x:v>
      </x:c>
      <x:c r="C3000" s="72" t="n">
        <x:v>45401</x:v>
      </x:c>
      <x:c r="D3000" s="73" t="n">
        <x:v>1.0498</x:v>
      </x:c>
      <x:c r="E3000" s="73" t="n">
        <x:v>1.6373</x:v>
      </x:c>
      <x:c r="F3000" s="73" t="n">
        <x:v>1.8418</x:v>
      </x:c>
      <x:c r="G3000" s="74" t="n">
        <x:v>0.0008</x:v>
      </x:c>
      <x:c r="H3000" s="66" t="str">
        <x:v>祁腾蜂赢1号净值20260911.xlsx</x:v>
      </x:c>
      <x:c r="I3000" s="73" t="str">
        <x:f>""</x:f>
      </x:c>
      <x:c r="J3000" s="74" t="str">
        <x:f>""</x:f>
      </x:c>
      <x:c r="K3000" s="73" t="n">
        <x:f>MAX(K2999,F3000)</x:f>
        <x:v>1.8418</x:v>
      </x:c>
      <x:c r="L3000" s="74" t="n">
        <x:f>1-F3000/K3000</x:f>
        <x:v>0</x:v>
      </x:c>
      <x:c r="M3000" s="73" t="n">
        <x:f>MAX(M2999,F3000)</x:f>
        <x:v>1.8418</x:v>
      </x:c>
      <x:c r="N3000" s="74" t="n">
        <x:f>1-F3000/M3000</x:f>
        <x:v>0</x:v>
      </x:c>
    </x:row>
    <x:row r="3001" ht="27" customHeight="1">
      <x:c r="A3001" s="66" t="str">
        <x:v>SEV580</x:v>
      </x:c>
      <x:c r="B3001" s="66" t="str">
        <x:v>祁腾蜂赢1号</x:v>
      </x:c>
      <x:c r="C3001" s="72" t="n">
        <x:v>45404</x:v>
      </x:c>
      <x:c r="D3001" s="73" t="n">
        <x:v>1.0499</x:v>
      </x:c>
      <x:c r="E3001" s="73" t="n">
        <x:v>1.6374</x:v>
      </x:c>
      <x:c r="F3001" s="73" t="n">
        <x:v>1.842</x:v>
      </x:c>
      <x:c r="G3001" s="74" t="n">
        <x:v>0.0001</x:v>
      </x:c>
      <x:c r="H3001" s="66" t="str">
        <x:v>祁腾蜂赢1号净值20260911.xlsx</x:v>
      </x:c>
      <x:c r="I3001" s="73" t="str">
        <x:f>""</x:f>
      </x:c>
      <x:c r="J3001" s="74" t="str">
        <x:f>""</x:f>
      </x:c>
      <x:c r="K3001" s="73" t="n">
        <x:f>MAX(K3000,F3001)</x:f>
        <x:v>1.842</x:v>
      </x:c>
      <x:c r="L3001" s="74" t="n">
        <x:f>1-F3001/K3001</x:f>
        <x:v>0</x:v>
      </x:c>
      <x:c r="M3001" s="73" t="n">
        <x:f>MAX(M3000,F3001)</x:f>
        <x:v>1.842</x:v>
      </x:c>
      <x:c r="N3001" s="74" t="n">
        <x:f>1-F3001/M3001</x:f>
        <x:v>0</x:v>
      </x:c>
    </x:row>
    <x:row r="3002" ht="27" customHeight="1">
      <x:c r="A3002" s="66" t="str">
        <x:v>SEV580</x:v>
      </x:c>
      <x:c r="B3002" s="66" t="str">
        <x:v>祁腾蜂赢1号</x:v>
      </x:c>
      <x:c r="C3002" s="72" t="n">
        <x:v>45405</x:v>
      </x:c>
      <x:c r="D3002" s="73" t="n">
        <x:v>1.0492</x:v>
      </x:c>
      <x:c r="E3002" s="73" t="n">
        <x:v>1.6367</x:v>
      </x:c>
      <x:c r="F3002" s="73" t="n">
        <x:v>1.8407</x:v>
      </x:c>
      <x:c r="G3002" s="74" t="n">
        <x:v>-0.0007000000000000001</x:v>
      </x:c>
      <x:c r="H3002" s="66" t="str">
        <x:v>祁腾蜂赢1号净值20260911.xlsx</x:v>
      </x:c>
      <x:c r="I3002" s="73" t="str">
        <x:f>""</x:f>
      </x:c>
      <x:c r="J3002" s="74" t="str">
        <x:f>""</x:f>
      </x:c>
      <x:c r="K3002" s="73" t="n">
        <x:f>MAX(K3001,F3002)</x:f>
        <x:v>1.842</x:v>
      </x:c>
      <x:c r="L3002" s="74" t="n">
        <x:f>1-F3002/K3002</x:f>
        <x:v>0.0007057546145494697</x:v>
      </x:c>
      <x:c r="M3002" s="73" t="n">
        <x:f>MAX(M3001,F3002)</x:f>
        <x:v>1.842</x:v>
      </x:c>
      <x:c r="N3002" s="74" t="n">
        <x:f>1-F3002/M3002</x:f>
        <x:v>0.0007057546145494697</x:v>
      </x:c>
    </x:row>
    <x:row r="3003" ht="27" customHeight="1">
      <x:c r="A3003" s="66" t="str">
        <x:v>SEV580</x:v>
      </x:c>
      <x:c r="B3003" s="66" t="str">
        <x:v>祁腾蜂赢1号</x:v>
      </x:c>
      <x:c r="C3003" s="72" t="n">
        <x:v>45406</x:v>
      </x:c>
      <x:c r="D3003" s="73" t="n">
        <x:v>1.05</x:v>
      </x:c>
      <x:c r="E3003" s="73" t="n">
        <x:v>1.6375</x:v>
      </x:c>
      <x:c r="F3003" s="73" t="n">
        <x:v>1.8421</x:v>
      </x:c>
      <x:c r="G3003" s="74" t="n">
        <x:v>0.0008</x:v>
      </x:c>
      <x:c r="H3003" s="66" t="str">
        <x:v>祁腾蜂赢1号净值20260911.xlsx</x:v>
      </x:c>
      <x:c r="I3003" s="73" t="str">
        <x:f>""</x:f>
      </x:c>
      <x:c r="J3003" s="74" t="str">
        <x:f>""</x:f>
      </x:c>
      <x:c r="K3003" s="73" t="n">
        <x:f>MAX(K3002,F3003)</x:f>
        <x:v>1.8421</x:v>
      </x:c>
      <x:c r="L3003" s="74" t="n">
        <x:f>1-F3003/K3003</x:f>
        <x:v>0</x:v>
      </x:c>
      <x:c r="M3003" s="73" t="n">
        <x:f>MAX(M3002,F3003)</x:f>
        <x:v>1.8421</x:v>
      </x:c>
      <x:c r="N3003" s="74" t="n">
        <x:f>1-F3003/M3003</x:f>
        <x:v>0</x:v>
      </x:c>
    </x:row>
    <x:row r="3004" ht="27" customHeight="1">
      <x:c r="A3004" s="66" t="str">
        <x:v>SEV580</x:v>
      </x:c>
      <x:c r="B3004" s="66" t="str">
        <x:v>祁腾蜂赢1号</x:v>
      </x:c>
      <x:c r="C3004" s="72" t="n">
        <x:v>45407</x:v>
      </x:c>
      <x:c r="D3004" s="73" t="n">
        <x:v>1.0504</x:v>
      </x:c>
      <x:c r="E3004" s="73" t="n">
        <x:v>1.6379</x:v>
      </x:c>
      <x:c r="F3004" s="73" t="n">
        <x:v>1.8428</x:v>
      </x:c>
      <x:c r="G3004" s="74" t="n">
        <x:v>0.0004</x:v>
      </x:c>
      <x:c r="H3004" s="66" t="str">
        <x:v>祁腾蜂赢1号净值20260911.xlsx</x:v>
      </x:c>
      <x:c r="I3004" s="73" t="str">
        <x:f>""</x:f>
      </x:c>
      <x:c r="J3004" s="74" t="str">
        <x:f>""</x:f>
      </x:c>
      <x:c r="K3004" s="73" t="n">
        <x:f>MAX(K3003,F3004)</x:f>
        <x:v>1.8428</x:v>
      </x:c>
      <x:c r="L3004" s="74" t="n">
        <x:f>1-F3004/K3004</x:f>
        <x:v>0</x:v>
      </x:c>
      <x:c r="M3004" s="73" t="n">
        <x:f>MAX(M3003,F3004)</x:f>
        <x:v>1.8428</x:v>
      </x:c>
      <x:c r="N3004" s="74" t="n">
        <x:f>1-F3004/M3004</x:f>
        <x:v>0</x:v>
      </x:c>
    </x:row>
    <x:row r="3005" ht="27" customHeight="1">
      <x:c r="A3005" s="66" t="str">
        <x:v>SEV580</x:v>
      </x:c>
      <x:c r="B3005" s="66" t="str">
        <x:v>祁腾蜂赢1号</x:v>
      </x:c>
      <x:c r="C3005" s="72" t="n">
        <x:v>45408</x:v>
      </x:c>
      <x:c r="D3005" s="73" t="n">
        <x:v>1.0504</x:v>
      </x:c>
      <x:c r="E3005" s="73" t="n">
        <x:v>1.6379</x:v>
      </x:c>
      <x:c r="F3005" s="73" t="n">
        <x:v>1.8428</x:v>
      </x:c>
      <x:c r="G3005" s="74" t="n">
        <x:v>0</x:v>
      </x:c>
      <x:c r="H3005" s="66" t="str">
        <x:v>祁腾蜂赢1号净值20260911.xlsx</x:v>
      </x:c>
      <x:c r="I3005" s="73" t="str">
        <x:f>""</x:f>
      </x:c>
      <x:c r="J3005" s="74" t="str">
        <x:f>""</x:f>
      </x:c>
      <x:c r="K3005" s="73" t="n">
        <x:f>MAX(K3004,F3005)</x:f>
        <x:v>1.8428</x:v>
      </x:c>
      <x:c r="L3005" s="74" t="n">
        <x:f>1-F3005/K3005</x:f>
        <x:v>0</x:v>
      </x:c>
      <x:c r="M3005" s="73" t="n">
        <x:f>MAX(M3004,F3005)</x:f>
        <x:v>1.8428</x:v>
      </x:c>
      <x:c r="N3005" s="74" t="n">
        <x:f>1-F3005/M3005</x:f>
        <x:v>0</x:v>
      </x:c>
    </x:row>
    <x:row r="3006" ht="27" customHeight="1">
      <x:c r="A3006" s="66" t="str">
        <x:v>SEV580</x:v>
      </x:c>
      <x:c r="B3006" s="66" t="str">
        <x:v>祁腾蜂赢1号</x:v>
      </x:c>
      <x:c r="C3006" s="72" t="n">
        <x:v>45411</x:v>
      </x:c>
      <x:c r="D3006" s="73" t="n">
        <x:v>1.0487</x:v>
      </x:c>
      <x:c r="E3006" s="73" t="n">
        <x:v>1.6362</x:v>
      </x:c>
      <x:c r="F3006" s="73" t="n">
        <x:v>1.8398</x:v>
      </x:c>
      <x:c r="G3006" s="74" t="n">
        <x:v>-0.0016</x:v>
      </x:c>
      <x:c r="H3006" s="66" t="str">
        <x:v>祁腾蜂赢1号净值20260911.xlsx</x:v>
      </x:c>
      <x:c r="I3006" s="73" t="str">
        <x:f>""</x:f>
      </x:c>
      <x:c r="J3006" s="74" t="str">
        <x:f>""</x:f>
      </x:c>
      <x:c r="K3006" s="73" t="n">
        <x:f>MAX(K3005,F3006)</x:f>
        <x:v>1.8428</x:v>
      </x:c>
      <x:c r="L3006" s="74" t="n">
        <x:f>1-F3006/K3006</x:f>
        <x:v>0.0016279574560450483</x:v>
      </x:c>
      <x:c r="M3006" s="73" t="n">
        <x:f>MAX(M3005,F3006)</x:f>
        <x:v>1.8428</x:v>
      </x:c>
      <x:c r="N3006" s="74" t="n">
        <x:f>1-F3006/M3006</x:f>
        <x:v>0.0016279574560450483</x:v>
      </x:c>
    </x:row>
    <x:row r="3007" ht="27" customHeight="1">
      <x:c r="A3007" s="66" t="str">
        <x:v>SEV580</x:v>
      </x:c>
      <x:c r="B3007" s="66" t="str">
        <x:v>祁腾蜂赢1号</x:v>
      </x:c>
      <x:c r="C3007" s="72" t="n">
        <x:v>45412</x:v>
      </x:c>
      <x:c r="D3007" s="73" t="n">
        <x:v>1.0482</x:v>
      </x:c>
      <x:c r="E3007" s="73" t="n">
        <x:v>1.6357</x:v>
      </x:c>
      <x:c r="F3007" s="73" t="n">
        <x:v>1.839</x:v>
      </x:c>
      <x:c r="G3007" s="74" t="n">
        <x:v>-0.0005</x:v>
      </x:c>
      <x:c r="H3007" s="66" t="str">
        <x:v>祁腾蜂赢1号净值20260911.xlsx</x:v>
      </x:c>
      <x:c r="I3007" s="73" t="str">
        <x:f>""</x:f>
      </x:c>
      <x:c r="J3007" s="74" t="str">
        <x:f>""</x:f>
      </x:c>
      <x:c r="K3007" s="73" t="n">
        <x:f>MAX(K3006,F3007)</x:f>
        <x:v>1.8428</x:v>
      </x:c>
      <x:c r="L3007" s="74" t="n">
        <x:f>1-F3007/K3007</x:f>
        <x:v>0.0020620794443239054</x:v>
      </x:c>
      <x:c r="M3007" s="73" t="n">
        <x:f>MAX(M3006,F3007)</x:f>
        <x:v>1.8428</x:v>
      </x:c>
      <x:c r="N3007" s="74" t="n">
        <x:f>1-F3007/M3007</x:f>
        <x:v>0.0020620794443239054</x:v>
      </x:c>
    </x:row>
    <x:row r="3008" ht="27" customHeight="1">
      <x:c r="A3008" s="66" t="str">
        <x:v>SEV580</x:v>
      </x:c>
      <x:c r="B3008" s="66" t="str">
        <x:v>祁腾蜂赢1号</x:v>
      </x:c>
      <x:c r="C3008" s="72" t="n">
        <x:v>45418</x:v>
      </x:c>
      <x:c r="D3008" s="73" t="n">
        <x:v>1.0476</x:v>
      </x:c>
      <x:c r="E3008" s="73" t="n">
        <x:v>1.6351</x:v>
      </x:c>
      <x:c r="F3008" s="73" t="n">
        <x:v>1.8379</x:v>
      </x:c>
      <x:c r="G3008" s="74" t="n">
        <x:v>-0.0006</x:v>
      </x:c>
      <x:c r="H3008" s="66" t="str">
        <x:v>祁腾蜂赢1号净值20260911.xlsx</x:v>
      </x:c>
      <x:c r="I3008" s="73" t="str">
        <x:f>""</x:f>
      </x:c>
      <x:c r="J3008" s="74" t="str">
        <x:f>""</x:f>
      </x:c>
      <x:c r="K3008" s="73" t="n">
        <x:f>MAX(K3007,F3008)</x:f>
        <x:v>1.8428</x:v>
      </x:c>
      <x:c r="L3008" s="74" t="n">
        <x:f>1-F3008/K3008</x:f>
        <x:v>0.0026589971782070565</x:v>
      </x:c>
      <x:c r="M3008" s="73" t="n">
        <x:f>MAX(M3007,F3008)</x:f>
        <x:v>1.8428</x:v>
      </x:c>
      <x:c r="N3008" s="74" t="n">
        <x:f>1-F3008/M3008</x:f>
        <x:v>0.0026589971782070565</x:v>
      </x:c>
    </x:row>
    <x:row r="3009" ht="27" customHeight="1">
      <x:c r="A3009" s="66" t="str">
        <x:v>SEV580</x:v>
      </x:c>
      <x:c r="B3009" s="66" t="str">
        <x:v>祁腾蜂赢1号</x:v>
      </x:c>
      <x:c r="C3009" s="72" t="n">
        <x:v>45419</x:v>
      </x:c>
      <x:c r="D3009" s="73" t="n">
        <x:v>1.0473</x:v>
      </x:c>
      <x:c r="E3009" s="73" t="n">
        <x:v>1.6348</x:v>
      </x:c>
      <x:c r="F3009" s="73" t="n">
        <x:v>1.8374</x:v>
      </x:c>
      <x:c r="G3009" s="74" t="n">
        <x:v>-0.0003</x:v>
      </x:c>
      <x:c r="H3009" s="66" t="str">
        <x:v>祁腾蜂赢1号净值20260911.xlsx</x:v>
      </x:c>
      <x:c r="I3009" s="73" t="str">
        <x:f>""</x:f>
      </x:c>
      <x:c r="J3009" s="74" t="str">
        <x:f>""</x:f>
      </x:c>
      <x:c r="K3009" s="73" t="n">
        <x:f>MAX(K3008,F3009)</x:f>
        <x:v>1.8428</x:v>
      </x:c>
      <x:c r="L3009" s="74" t="n">
        <x:f>1-F3009/K3009</x:f>
        <x:v>0.0029303234208812867</x:v>
      </x:c>
      <x:c r="M3009" s="73" t="n">
        <x:f>MAX(M3008,F3009)</x:f>
        <x:v>1.8428</x:v>
      </x:c>
      <x:c r="N3009" s="74" t="n">
        <x:f>1-F3009/M3009</x:f>
        <x:v>0.0029303234208812867</x:v>
      </x:c>
    </x:row>
    <x:row r="3010" ht="27" customHeight="1">
      <x:c r="A3010" s="66" t="str">
        <x:v>SEV580</x:v>
      </x:c>
      <x:c r="B3010" s="66" t="str">
        <x:v>祁腾蜂赢1号</x:v>
      </x:c>
      <x:c r="C3010" s="72" t="n">
        <x:v>45420</x:v>
      </x:c>
      <x:c r="D3010" s="73" t="n">
        <x:v>1.0466</x:v>
      </x:c>
      <x:c r="E3010" s="73" t="n">
        <x:v>1.6341</x:v>
      </x:c>
      <x:c r="F3010" s="73" t="n">
        <x:v>1.8362</x:v>
      </x:c>
      <x:c r="G3010" s="74" t="n">
        <x:v>-0.0007000000000000001</x:v>
      </x:c>
      <x:c r="H3010" s="66" t="str">
        <x:v>祁腾蜂赢1号净值20260911.xlsx</x:v>
      </x:c>
      <x:c r="I3010" s="73" t="str">
        <x:f>""</x:f>
      </x:c>
      <x:c r="J3010" s="74" t="str">
        <x:f>""</x:f>
      </x:c>
      <x:c r="K3010" s="73" t="n">
        <x:f>MAX(K3009,F3010)</x:f>
        <x:v>1.8428</x:v>
      </x:c>
      <x:c r="L3010" s="74" t="n">
        <x:f>1-F3010/K3010</x:f>
        <x:v>0.0035815064032992394</x:v>
      </x:c>
      <x:c r="M3010" s="73" t="n">
        <x:f>MAX(M3009,F3010)</x:f>
        <x:v>1.8428</x:v>
      </x:c>
      <x:c r="N3010" s="74" t="n">
        <x:f>1-F3010/M3010</x:f>
        <x:v>0.0035815064032992394</x:v>
      </x:c>
    </x:row>
    <x:row r="3011" ht="27" customHeight="1">
      <x:c r="A3011" s="66" t="str">
        <x:v>SEV580</x:v>
      </x:c>
      <x:c r="B3011" s="66" t="str">
        <x:v>祁腾蜂赢1号</x:v>
      </x:c>
      <x:c r="C3011" s="72" t="n">
        <x:v>45421</x:v>
      </x:c>
      <x:c r="D3011" s="73" t="n">
        <x:v>1.0466</x:v>
      </x:c>
      <x:c r="E3011" s="73" t="n">
        <x:v>1.6341</x:v>
      </x:c>
      <x:c r="F3011" s="73" t="n">
        <x:v>1.8362</x:v>
      </x:c>
      <x:c r="G3011" s="74" t="n">
        <x:v>0</x:v>
      </x:c>
      <x:c r="H3011" s="66" t="str">
        <x:v>祁腾蜂赢1号净值20260911.xlsx</x:v>
      </x:c>
      <x:c r="I3011" s="73" t="str">
        <x:f>""</x:f>
      </x:c>
      <x:c r="J3011" s="74" t="str">
        <x:f>""</x:f>
      </x:c>
      <x:c r="K3011" s="73" t="n">
        <x:f>MAX(K3010,F3011)</x:f>
        <x:v>1.8428</x:v>
      </x:c>
      <x:c r="L3011" s="74" t="n">
        <x:f>1-F3011/K3011</x:f>
        <x:v>0.0035815064032992394</x:v>
      </x:c>
      <x:c r="M3011" s="73" t="n">
        <x:f>MAX(M3010,F3011)</x:f>
        <x:v>1.8428</x:v>
      </x:c>
      <x:c r="N3011" s="74" t="n">
        <x:f>1-F3011/M3011</x:f>
        <x:v>0.0035815064032992394</x:v>
      </x:c>
    </x:row>
    <x:row r="3012" ht="27" customHeight="1">
      <x:c r="A3012" s="66" t="str">
        <x:v>SEV580</x:v>
      </x:c>
      <x:c r="B3012" s="66" t="str">
        <x:v>祁腾蜂赢1号</x:v>
      </x:c>
      <x:c r="C3012" s="72" t="n">
        <x:v>45422</x:v>
      </x:c>
      <x:c r="D3012" s="73" t="n">
        <x:v>1.0466</x:v>
      </x:c>
      <x:c r="E3012" s="73" t="n">
        <x:v>1.6341</x:v>
      </x:c>
      <x:c r="F3012" s="73" t="n">
        <x:v>1.8362</x:v>
      </x:c>
      <x:c r="G3012" s="74" t="n">
        <x:v>0</x:v>
      </x:c>
      <x:c r="H3012" s="66" t="str">
        <x:v>祁腾蜂赢1号净值20260911.xlsx</x:v>
      </x:c>
      <x:c r="I3012" s="73" t="str">
        <x:f>""</x:f>
      </x:c>
      <x:c r="J3012" s="74" t="str">
        <x:f>""</x:f>
      </x:c>
      <x:c r="K3012" s="73" t="n">
        <x:f>MAX(K3011,F3012)</x:f>
        <x:v>1.8428</x:v>
      </x:c>
      <x:c r="L3012" s="74" t="n">
        <x:f>1-F3012/K3012</x:f>
        <x:v>0.0035815064032992394</x:v>
      </x:c>
      <x:c r="M3012" s="73" t="n">
        <x:f>MAX(M3011,F3012)</x:f>
        <x:v>1.8428</x:v>
      </x:c>
      <x:c r="N3012" s="74" t="n">
        <x:f>1-F3012/M3012</x:f>
        <x:v>0.0035815064032992394</x:v>
      </x:c>
    </x:row>
    <x:row r="3013" ht="27" customHeight="1">
      <x:c r="A3013" s="66" t="str">
        <x:v>SEV580</x:v>
      </x:c>
      <x:c r="B3013" s="66" t="str">
        <x:v>祁腾蜂赢1号</x:v>
      </x:c>
      <x:c r="C3013" s="72" t="n">
        <x:v>45425</x:v>
      </x:c>
      <x:c r="D3013" s="73" t="n">
        <x:v>1.0467</x:v>
      </x:c>
      <x:c r="E3013" s="73" t="n">
        <x:v>1.6342</x:v>
      </x:c>
      <x:c r="F3013" s="73" t="n">
        <x:v>1.8363</x:v>
      </x:c>
      <x:c r="G3013" s="74" t="n">
        <x:v>0.0001</x:v>
      </x:c>
      <x:c r="H3013" s="66" t="str">
        <x:v>祁腾蜂赢1号净值20260911.xlsx</x:v>
      </x:c>
      <x:c r="I3013" s="73" t="str">
        <x:f>""</x:f>
      </x:c>
      <x:c r="J3013" s="74" t="str">
        <x:f>""</x:f>
      </x:c>
      <x:c r="K3013" s="73" t="n">
        <x:f>MAX(K3012,F3013)</x:f>
        <x:v>1.8428</x:v>
      </x:c>
      <x:c r="L3013" s="74" t="n">
        <x:f>1-F3013/K3013</x:f>
        <x:v>0.0035272411547644378</x:v>
      </x:c>
      <x:c r="M3013" s="73" t="n">
        <x:f>MAX(M3012,F3013)</x:f>
        <x:v>1.8428</x:v>
      </x:c>
      <x:c r="N3013" s="74" t="n">
        <x:f>1-F3013/M3013</x:f>
        <x:v>0.0035272411547644378</x:v>
      </x:c>
    </x:row>
    <x:row r="3014" ht="27" customHeight="1">
      <x:c r="A3014" s="66" t="str">
        <x:v>SEV580</x:v>
      </x:c>
      <x:c r="B3014" s="66" t="str">
        <x:v>祁腾蜂赢1号</x:v>
      </x:c>
      <x:c r="C3014" s="72" t="n">
        <x:v>45426</x:v>
      </x:c>
      <x:c r="D3014" s="73" t="n">
        <x:v>1.0472</x:v>
      </x:c>
      <x:c r="E3014" s="73" t="n">
        <x:v>1.6347</x:v>
      </x:c>
      <x:c r="F3014" s="73" t="n">
        <x:v>1.8372</x:v>
      </x:c>
      <x:c r="G3014" s="74" t="n">
        <x:v>0.0005</x:v>
      </x:c>
      <x:c r="H3014" s="66" t="str">
        <x:v>祁腾蜂赢1号净值20260911.xlsx</x:v>
      </x:c>
      <x:c r="I3014" s="73" t="str">
        <x:f>""</x:f>
      </x:c>
      <x:c r="J3014" s="74" t="str">
        <x:f>""</x:f>
      </x:c>
      <x:c r="K3014" s="73" t="n">
        <x:f>MAX(K3013,F3014)</x:f>
        <x:v>1.8428</x:v>
      </x:c>
      <x:c r="L3014" s="74" t="n">
        <x:f>1-F3014/K3014</x:f>
        <x:v>0.003038853917951001</x:v>
      </x:c>
      <x:c r="M3014" s="73" t="n">
        <x:f>MAX(M3013,F3014)</x:f>
        <x:v>1.8428</x:v>
      </x:c>
      <x:c r="N3014" s="74" t="n">
        <x:f>1-F3014/M3014</x:f>
        <x:v>0.003038853917951001</x:v>
      </x:c>
    </x:row>
    <x:row r="3015" ht="27" customHeight="1">
      <x:c r="A3015" s="66" t="str">
        <x:v>SEV580</x:v>
      </x:c>
      <x:c r="B3015" s="66" t="str">
        <x:v>祁腾蜂赢1号</x:v>
      </x:c>
      <x:c r="C3015" s="72" t="n">
        <x:v>45427</x:v>
      </x:c>
      <x:c r="D3015" s="73" t="n">
        <x:v>1.0471</x:v>
      </x:c>
      <x:c r="E3015" s="73" t="n">
        <x:v>1.6346</x:v>
      </x:c>
      <x:c r="F3015" s="73" t="n">
        <x:v>1.837</x:v>
      </x:c>
      <x:c r="G3015" s="74" t="n">
        <x:v>-0.0001</x:v>
      </x:c>
      <x:c r="H3015" s="66" t="str">
        <x:v>祁腾蜂赢1号净值20260911.xlsx</x:v>
      </x:c>
      <x:c r="I3015" s="73" t="str">
        <x:f>""</x:f>
      </x:c>
      <x:c r="J3015" s="74" t="str">
        <x:f>""</x:f>
      </x:c>
      <x:c r="K3015" s="73" t="n">
        <x:f>MAX(K3014,F3015)</x:f>
        <x:v>1.8428</x:v>
      </x:c>
      <x:c r="L3015" s="74" t="n">
        <x:f>1-F3015/K3015</x:f>
        <x:v>0.0031473844150206043</x:v>
      </x:c>
      <x:c r="M3015" s="73" t="n">
        <x:f>MAX(M3014,F3015)</x:f>
        <x:v>1.8428</x:v>
      </x:c>
      <x:c r="N3015" s="74" t="n">
        <x:f>1-F3015/M3015</x:f>
        <x:v>0.0031473844150206043</x:v>
      </x:c>
    </x:row>
    <x:row r="3016" ht="27" customHeight="1">
      <x:c r="A3016" s="66" t="str">
        <x:v>SEV580</x:v>
      </x:c>
      <x:c r="B3016" s="66" t="str">
        <x:v>祁腾蜂赢1号</x:v>
      </x:c>
      <x:c r="C3016" s="72" t="n">
        <x:v>45428</x:v>
      </x:c>
      <x:c r="D3016" s="73" t="n">
        <x:v>1.0464</x:v>
      </x:c>
      <x:c r="E3016" s="73" t="n">
        <x:v>1.6339</x:v>
      </x:c>
      <x:c r="F3016" s="73" t="n">
        <x:v>1.8358</x:v>
      </x:c>
      <x:c r="G3016" s="74" t="n">
        <x:v>-0.0007000000000000001</x:v>
      </x:c>
      <x:c r="H3016" s="66" t="str">
        <x:v>祁腾蜂赢1号净值20260911.xlsx</x:v>
      </x:c>
      <x:c r="I3016" s="73" t="str">
        <x:f>""</x:f>
      </x:c>
      <x:c r="J3016" s="74" t="str">
        <x:f>""</x:f>
      </x:c>
      <x:c r="K3016" s="73" t="n">
        <x:f>MAX(K3015,F3016)</x:f>
        <x:v>1.8428</x:v>
      </x:c>
      <x:c r="L3016" s="74" t="n">
        <x:f>1-F3016/K3016</x:f>
        <x:v>0.003798567397438668</x:v>
      </x:c>
      <x:c r="M3016" s="73" t="n">
        <x:f>MAX(M3015,F3016)</x:f>
        <x:v>1.8428</x:v>
      </x:c>
      <x:c r="N3016" s="74" t="n">
        <x:f>1-F3016/M3016</x:f>
        <x:v>0.003798567397438668</x:v>
      </x:c>
    </x:row>
    <x:row r="3017" ht="27" customHeight="1">
      <x:c r="A3017" s="66" t="str">
        <x:v>SEV580</x:v>
      </x:c>
      <x:c r="B3017" s="66" t="str">
        <x:v>祁腾蜂赢1号</x:v>
      </x:c>
      <x:c r="C3017" s="72" t="n">
        <x:v>45429</x:v>
      </x:c>
      <x:c r="D3017" s="73" t="n">
        <x:v>1.0473</x:v>
      </x:c>
      <x:c r="E3017" s="73" t="n">
        <x:v>1.6348</x:v>
      </x:c>
      <x:c r="F3017" s="73" t="n">
        <x:v>1.8374</x:v>
      </x:c>
      <x:c r="G3017" s="74" t="n">
        <x:v>0.0009</x:v>
      </x:c>
      <x:c r="H3017" s="66" t="str">
        <x:v>祁腾蜂赢1号净值20260911.xlsx</x:v>
      </x:c>
      <x:c r="I3017" s="73" t="str">
        <x:f>""</x:f>
      </x:c>
      <x:c r="J3017" s="74" t="str">
        <x:f>""</x:f>
      </x:c>
      <x:c r="K3017" s="73" t="n">
        <x:f>MAX(K3016,F3017)</x:f>
        <x:v>1.8428</x:v>
      </x:c>
      <x:c r="L3017" s="74" t="n">
        <x:f>1-F3017/K3017</x:f>
        <x:v>0.0029303234208812867</x:v>
      </x:c>
      <x:c r="M3017" s="73" t="n">
        <x:f>MAX(M3016,F3017)</x:f>
        <x:v>1.8428</x:v>
      </x:c>
      <x:c r="N3017" s="74" t="n">
        <x:f>1-F3017/M3017</x:f>
        <x:v>0.0029303234208812867</x:v>
      </x:c>
    </x:row>
    <x:row r="3018" ht="27" customHeight="1">
      <x:c r="A3018" s="66" t="str">
        <x:v>SEV580</x:v>
      </x:c>
      <x:c r="B3018" s="66" t="str">
        <x:v>祁腾蜂赢1号</x:v>
      </x:c>
      <x:c r="C3018" s="72" t="n">
        <x:v>45432</x:v>
      </x:c>
      <x:c r="D3018" s="73" t="n">
        <x:v>1.0464</x:v>
      </x:c>
      <x:c r="E3018" s="73" t="n">
        <x:v>1.6339</x:v>
      </x:c>
      <x:c r="F3018" s="73" t="n">
        <x:v>1.8358</x:v>
      </x:c>
      <x:c r="G3018" s="74" t="n">
        <x:v>-0.0009</x:v>
      </x:c>
      <x:c r="H3018" s="66" t="str">
        <x:v>祁腾蜂赢1号净值20260911.xlsx</x:v>
      </x:c>
      <x:c r="I3018" s="73" t="str">
        <x:f>""</x:f>
      </x:c>
      <x:c r="J3018" s="74" t="str">
        <x:f>""</x:f>
      </x:c>
      <x:c r="K3018" s="73" t="n">
        <x:f>MAX(K3017,F3018)</x:f>
        <x:v>1.8428</x:v>
      </x:c>
      <x:c r="L3018" s="74" t="n">
        <x:f>1-F3018/K3018</x:f>
        <x:v>0.003798567397438668</x:v>
      </x:c>
      <x:c r="M3018" s="73" t="n">
        <x:f>MAX(M3017,F3018)</x:f>
        <x:v>1.8428</x:v>
      </x:c>
      <x:c r="N3018" s="74" t="n">
        <x:f>1-F3018/M3018</x:f>
        <x:v>0.003798567397438668</x:v>
      </x:c>
    </x:row>
    <x:row r="3019" ht="27" customHeight="1">
      <x:c r="A3019" s="66" t="str">
        <x:v>SEV580</x:v>
      </x:c>
      <x:c r="B3019" s="66" t="str">
        <x:v>祁腾蜂赢1号</x:v>
      </x:c>
      <x:c r="C3019" s="72" t="n">
        <x:v>45433</x:v>
      </x:c>
      <x:c r="D3019" s="73" t="n">
        <x:v>1.0467</x:v>
      </x:c>
      <x:c r="E3019" s="73" t="n">
        <x:v>1.6342</x:v>
      </x:c>
      <x:c r="F3019" s="73" t="n">
        <x:v>1.8363</x:v>
      </x:c>
      <x:c r="G3019" s="74" t="n">
        <x:v>0.0003</x:v>
      </x:c>
      <x:c r="H3019" s="66" t="str">
        <x:v>祁腾蜂赢1号净值20260911.xlsx</x:v>
      </x:c>
      <x:c r="I3019" s="73" t="str">
        <x:f>""</x:f>
      </x:c>
      <x:c r="J3019" s="74" t="str">
        <x:f>""</x:f>
      </x:c>
      <x:c r="K3019" s="73" t="n">
        <x:f>MAX(K3018,F3019)</x:f>
        <x:v>1.8428</x:v>
      </x:c>
      <x:c r="L3019" s="74" t="n">
        <x:f>1-F3019/K3019</x:f>
        <x:v>0.0035272411547644378</x:v>
      </x:c>
      <x:c r="M3019" s="73" t="n">
        <x:f>MAX(M3018,F3019)</x:f>
        <x:v>1.8428</x:v>
      </x:c>
      <x:c r="N3019" s="74" t="n">
        <x:f>1-F3019/M3019</x:f>
        <x:v>0.0035272411547644378</x:v>
      </x:c>
    </x:row>
    <x:row r="3020" ht="27" customHeight="1">
      <x:c r="A3020" s="66" t="str">
        <x:v>SEV580</x:v>
      </x:c>
      <x:c r="B3020" s="66" t="str">
        <x:v>祁腾蜂赢1号</x:v>
      </x:c>
      <x:c r="C3020" s="72" t="n">
        <x:v>45434</x:v>
      </x:c>
      <x:c r="D3020" s="73" t="n">
        <x:v>1.0466</x:v>
      </x:c>
      <x:c r="E3020" s="73" t="n">
        <x:v>1.6341</x:v>
      </x:c>
      <x:c r="F3020" s="73" t="n">
        <x:v>1.8362</x:v>
      </x:c>
      <x:c r="G3020" s="74" t="n">
        <x:v>-0.0001</x:v>
      </x:c>
      <x:c r="H3020" s="66" t="str">
        <x:v>祁腾蜂赢1号净值20260911.xlsx</x:v>
      </x:c>
      <x:c r="I3020" s="73" t="str">
        <x:f>""</x:f>
      </x:c>
      <x:c r="J3020" s="74" t="str">
        <x:f>""</x:f>
      </x:c>
      <x:c r="K3020" s="73" t="n">
        <x:f>MAX(K3019,F3020)</x:f>
        <x:v>1.8428</x:v>
      </x:c>
      <x:c r="L3020" s="74" t="n">
        <x:f>1-F3020/K3020</x:f>
        <x:v>0.0035815064032992394</x:v>
      </x:c>
      <x:c r="M3020" s="73" t="n">
        <x:f>MAX(M3019,F3020)</x:f>
        <x:v>1.8428</x:v>
      </x:c>
      <x:c r="N3020" s="74" t="n">
        <x:f>1-F3020/M3020</x:f>
        <x:v>0.0035815064032992394</x:v>
      </x:c>
    </x:row>
    <x:row r="3021" ht="27" customHeight="1">
      <x:c r="A3021" s="66" t="str">
        <x:v>SEV580</x:v>
      </x:c>
      <x:c r="B3021" s="66" t="str">
        <x:v>祁腾蜂赢1号</x:v>
      </x:c>
      <x:c r="C3021" s="72" t="n">
        <x:v>45435</x:v>
      </x:c>
      <x:c r="D3021" s="73" t="n">
        <x:v>1.0466</x:v>
      </x:c>
      <x:c r="E3021" s="73" t="n">
        <x:v>1.6341</x:v>
      </x:c>
      <x:c r="F3021" s="73" t="n">
        <x:v>1.8362</x:v>
      </x:c>
      <x:c r="G3021" s="74" t="n">
        <x:v>0</x:v>
      </x:c>
      <x:c r="H3021" s="66" t="str">
        <x:v>祁腾蜂赢1号净值20260911.xlsx</x:v>
      </x:c>
      <x:c r="I3021" s="73" t="str">
        <x:f>""</x:f>
      </x:c>
      <x:c r="J3021" s="74" t="str">
        <x:f>""</x:f>
      </x:c>
      <x:c r="K3021" s="73" t="n">
        <x:f>MAX(K3020,F3021)</x:f>
        <x:v>1.8428</x:v>
      </x:c>
      <x:c r="L3021" s="74" t="n">
        <x:f>1-F3021/K3021</x:f>
        <x:v>0.0035815064032992394</x:v>
      </x:c>
      <x:c r="M3021" s="73" t="n">
        <x:f>MAX(M3020,F3021)</x:f>
        <x:v>1.8428</x:v>
      </x:c>
      <x:c r="N3021" s="74" t="n">
        <x:f>1-F3021/M3021</x:f>
        <x:v>0.0035815064032992394</x:v>
      </x:c>
    </x:row>
    <x:row r="3022" ht="27" customHeight="1">
      <x:c r="A3022" s="66" t="str">
        <x:v>SEV580</x:v>
      </x:c>
      <x:c r="B3022" s="66" t="str">
        <x:v>祁腾蜂赢1号</x:v>
      </x:c>
      <x:c r="C3022" s="72" t="n">
        <x:v>45436</x:v>
      </x:c>
      <x:c r="D3022" s="73" t="n">
        <x:v>1.0464</x:v>
      </x:c>
      <x:c r="E3022" s="73" t="n">
        <x:v>1.6339</x:v>
      </x:c>
      <x:c r="F3022" s="73" t="n">
        <x:v>1.8358</x:v>
      </x:c>
      <x:c r="G3022" s="74" t="n">
        <x:v>-0.0002</x:v>
      </x:c>
      <x:c r="H3022" s="66" t="str">
        <x:v>祁腾蜂赢1号净值20260911.xlsx</x:v>
      </x:c>
      <x:c r="I3022" s="73" t="str">
        <x:f>""</x:f>
      </x:c>
      <x:c r="J3022" s="74" t="str">
        <x:f>""</x:f>
      </x:c>
      <x:c r="K3022" s="73" t="n">
        <x:f>MAX(K3021,F3022)</x:f>
        <x:v>1.8428</x:v>
      </x:c>
      <x:c r="L3022" s="74" t="n">
        <x:f>1-F3022/K3022</x:f>
        <x:v>0.003798567397438668</x:v>
      </x:c>
      <x:c r="M3022" s="73" t="n">
        <x:f>MAX(M3021,F3022)</x:f>
        <x:v>1.8428</x:v>
      </x:c>
      <x:c r="N3022" s="74" t="n">
        <x:f>1-F3022/M3022</x:f>
        <x:v>0.003798567397438668</x:v>
      </x:c>
    </x:row>
    <x:row r="3023" ht="27" customHeight="1">
      <x:c r="A3023" s="66" t="str">
        <x:v>SEV580</x:v>
      </x:c>
      <x:c r="B3023" s="66" t="str">
        <x:v>祁腾蜂赢1号</x:v>
      </x:c>
      <x:c r="C3023" s="72" t="n">
        <x:v>45439</x:v>
      </x:c>
      <x:c r="D3023" s="73" t="n">
        <x:v>1.0468</x:v>
      </x:c>
      <x:c r="E3023" s="73" t="n">
        <x:v>1.6343</x:v>
      </x:c>
      <x:c r="F3023" s="73" t="n">
        <x:v>1.8365</x:v>
      </x:c>
      <x:c r="G3023" s="74" t="n">
        <x:v>0.0004</x:v>
      </x:c>
      <x:c r="H3023" s="66" t="str">
        <x:v>祁腾蜂赢1号净值20260911.xlsx</x:v>
      </x:c>
      <x:c r="I3023" s="73" t="str">
        <x:f>""</x:f>
      </x:c>
      <x:c r="J3023" s="74" t="str">
        <x:f>""</x:f>
      </x:c>
      <x:c r="K3023" s="73" t="n">
        <x:f>MAX(K3022,F3023)</x:f>
        <x:v>1.8428</x:v>
      </x:c>
      <x:c r="L3023" s="74" t="n">
        <x:f>1-F3023/K3023</x:f>
        <x:v>0.0034187106576948345</x:v>
      </x:c>
      <x:c r="M3023" s="73" t="n">
        <x:f>MAX(M3022,F3023)</x:f>
        <x:v>1.8428</x:v>
      </x:c>
      <x:c r="N3023" s="74" t="n">
        <x:f>1-F3023/M3023</x:f>
        <x:v>0.0034187106576948345</x:v>
      </x:c>
    </x:row>
    <x:row r="3024" ht="27" customHeight="1">
      <x:c r="A3024" s="66" t="str">
        <x:v>SEV580</x:v>
      </x:c>
      <x:c r="B3024" s="66" t="str">
        <x:v>祁腾蜂赢1号</x:v>
      </x:c>
      <x:c r="C3024" s="72" t="n">
        <x:v>45440</x:v>
      </x:c>
      <x:c r="D3024" s="73" t="n">
        <x:v>1.0465</x:v>
      </x:c>
      <x:c r="E3024" s="73" t="n">
        <x:v>1.634</x:v>
      </x:c>
      <x:c r="F3024" s="73" t="n">
        <x:v>1.836</x:v>
      </x:c>
      <x:c r="G3024" s="74" t="n">
        <x:v>-0.0003</x:v>
      </x:c>
      <x:c r="H3024" s="66" t="str">
        <x:v>祁腾蜂赢1号净值20260911.xlsx</x:v>
      </x:c>
      <x:c r="I3024" s="73" t="str">
        <x:f>""</x:f>
      </x:c>
      <x:c r="J3024" s="74" t="str">
        <x:f>""</x:f>
      </x:c>
      <x:c r="K3024" s="73" t="n">
        <x:f>MAX(K3023,F3024)</x:f>
        <x:v>1.8428</x:v>
      </x:c>
      <x:c r="L3024" s="74" t="n">
        <x:f>1-F3024/K3024</x:f>
        <x:v>0.0036900369003689537</x:v>
      </x:c>
      <x:c r="M3024" s="73" t="n">
        <x:f>MAX(M3023,F3024)</x:f>
        <x:v>1.8428</x:v>
      </x:c>
      <x:c r="N3024" s="74" t="n">
        <x:f>1-F3024/M3024</x:f>
        <x:v>0.0036900369003689537</x:v>
      </x:c>
    </x:row>
    <x:row r="3025" ht="27" customHeight="1">
      <x:c r="A3025" s="66" t="str">
        <x:v>SEV580</x:v>
      </x:c>
      <x:c r="B3025" s="66" t="str">
        <x:v>祁腾蜂赢1号</x:v>
      </x:c>
      <x:c r="C3025" s="72" t="n">
        <x:v>45441</x:v>
      </x:c>
      <x:c r="D3025" s="73" t="n">
        <x:v>1.0457</x:v>
      </x:c>
      <x:c r="E3025" s="73" t="n">
        <x:v>1.6332</x:v>
      </x:c>
      <x:c r="F3025" s="73" t="n">
        <x:v>1.8346</x:v>
      </x:c>
      <x:c r="G3025" s="74" t="n">
        <x:v>-0.0008</x:v>
      </x:c>
      <x:c r="H3025" s="66" t="str">
        <x:v>祁腾蜂赢1号净值20260911.xlsx</x:v>
      </x:c>
      <x:c r="I3025" s="73" t="str">
        <x:f>""</x:f>
      </x:c>
      <x:c r="J3025" s="74" t="str">
        <x:f>""</x:f>
      </x:c>
      <x:c r="K3025" s="73" t="n">
        <x:f>MAX(K3024,F3025)</x:f>
        <x:v>1.8428</x:v>
      </x:c>
      <x:c r="L3025" s="74" t="n">
        <x:f>1-F3025/K3025</x:f>
        <x:v>0.004449750379856732</x:v>
      </x:c>
      <x:c r="M3025" s="73" t="n">
        <x:f>MAX(M3024,F3025)</x:f>
        <x:v>1.8428</x:v>
      </x:c>
      <x:c r="N3025" s="74" t="n">
        <x:f>1-F3025/M3025</x:f>
        <x:v>0.004449750379856732</x:v>
      </x:c>
    </x:row>
    <x:row r="3026" ht="27" customHeight="1">
      <x:c r="A3026" s="66" t="str">
        <x:v>SEV580</x:v>
      </x:c>
      <x:c r="B3026" s="66" t="str">
        <x:v>祁腾蜂赢1号</x:v>
      </x:c>
      <x:c r="C3026" s="72" t="n">
        <x:v>45442</x:v>
      </x:c>
      <x:c r="D3026" s="73" t="n">
        <x:v>1.0461</x:v>
      </x:c>
      <x:c r="E3026" s="73" t="n">
        <x:v>1.6336</x:v>
      </x:c>
      <x:c r="F3026" s="73" t="n">
        <x:v>1.8353</x:v>
      </x:c>
      <x:c r="G3026" s="74" t="n">
        <x:v>0.0004</x:v>
      </x:c>
      <x:c r="H3026" s="66" t="str">
        <x:v>祁腾蜂赢1号净值20260911.xlsx</x:v>
      </x:c>
      <x:c r="I3026" s="73" t="str">
        <x:f>""</x:f>
      </x:c>
      <x:c r="J3026" s="74" t="str">
        <x:f>""</x:f>
      </x:c>
      <x:c r="K3026" s="73" t="n">
        <x:f>MAX(K3025,F3026)</x:f>
        <x:v>1.8428</x:v>
      </x:c>
      <x:c r="L3026" s="74" t="n">
        <x:f>1-F3026/K3026</x:f>
        <x:v>0.004069893640112898</x:v>
      </x:c>
      <x:c r="M3026" s="73" t="n">
        <x:f>MAX(M3025,F3026)</x:f>
        <x:v>1.8428</x:v>
      </x:c>
      <x:c r="N3026" s="74" t="n">
        <x:f>1-F3026/M3026</x:f>
        <x:v>0.004069893640112898</x:v>
      </x:c>
    </x:row>
    <x:row r="3027" ht="27" customHeight="1">
      <x:c r="A3027" s="66" t="str">
        <x:v>SEV580</x:v>
      </x:c>
      <x:c r="B3027" s="66" t="str">
        <x:v>祁腾蜂赢1号</x:v>
      </x:c>
      <x:c r="C3027" s="72" t="n">
        <x:v>45443</x:v>
      </x:c>
      <x:c r="D3027" s="73" t="n">
        <x:v>1.0457</x:v>
      </x:c>
      <x:c r="E3027" s="73" t="n">
        <x:v>1.6332</x:v>
      </x:c>
      <x:c r="F3027" s="73" t="n">
        <x:v>1.8346</x:v>
      </x:c>
      <x:c r="G3027" s="74" t="n">
        <x:v>-0.0004</x:v>
      </x:c>
      <x:c r="H3027" s="66" t="str">
        <x:v>祁腾蜂赢1号净值20260911.xlsx</x:v>
      </x:c>
      <x:c r="I3027" s="73" t="str">
        <x:f>""</x:f>
      </x:c>
      <x:c r="J3027" s="74" t="str">
        <x:f>""</x:f>
      </x:c>
      <x:c r="K3027" s="73" t="n">
        <x:f>MAX(K3026,F3027)</x:f>
        <x:v>1.8428</x:v>
      </x:c>
      <x:c r="L3027" s="74" t="n">
        <x:f>1-F3027/K3027</x:f>
        <x:v>0.004449750379856732</x:v>
      </x:c>
      <x:c r="M3027" s="73" t="n">
        <x:f>MAX(M3026,F3027)</x:f>
        <x:v>1.8428</x:v>
      </x:c>
      <x:c r="N3027" s="74" t="n">
        <x:f>1-F3027/M3027</x:f>
        <x:v>0.004449750379856732</x:v>
      </x:c>
    </x:row>
    <x:row r="3028" ht="27" customHeight="1">
      <x:c r="A3028" s="66" t="str">
        <x:v>SEV580</x:v>
      </x:c>
      <x:c r="B3028" s="66" t="str">
        <x:v>祁腾蜂赢1号</x:v>
      </x:c>
      <x:c r="C3028" s="72" t="n">
        <x:v>45446</x:v>
      </x:c>
      <x:c r="D3028" s="73" t="n">
        <x:v>1.0453</x:v>
      </x:c>
      <x:c r="E3028" s="73" t="n">
        <x:v>1.6328</x:v>
      </x:c>
      <x:c r="F3028" s="73" t="n">
        <x:v>1.8339</x:v>
      </x:c>
      <x:c r="G3028" s="74" t="n">
        <x:v>-0.0004</x:v>
      </x:c>
      <x:c r="H3028" s="66" t="str">
        <x:v>祁腾蜂赢1号净值20260911.xlsx</x:v>
      </x:c>
      <x:c r="I3028" s="73" t="str">
        <x:f>""</x:f>
      </x:c>
      <x:c r="J3028" s="74" t="str">
        <x:f>""</x:f>
      </x:c>
      <x:c r="K3028" s="73" t="n">
        <x:f>MAX(K3027,F3028)</x:f>
        <x:v>1.8428</x:v>
      </x:c>
      <x:c r="L3028" s="74" t="n">
        <x:f>1-F3028/K3028</x:f>
        <x:v>0.004829607119600565</x:v>
      </x:c>
      <x:c r="M3028" s="73" t="n">
        <x:f>MAX(M3027,F3028)</x:f>
        <x:v>1.8428</x:v>
      </x:c>
      <x:c r="N3028" s="74" t="n">
        <x:f>1-F3028/M3028</x:f>
        <x:v>0.004829607119600565</x:v>
      </x:c>
    </x:row>
    <x:row r="3029" ht="27" customHeight="1">
      <x:c r="A3029" s="66" t="str">
        <x:v>SEV580</x:v>
      </x:c>
      <x:c r="B3029" s="66" t="str">
        <x:v>祁腾蜂赢1号</x:v>
      </x:c>
      <x:c r="C3029" s="72" t="n">
        <x:v>45447</x:v>
      </x:c>
      <x:c r="D3029" s="73" t="n">
        <x:v>1.0453</x:v>
      </x:c>
      <x:c r="E3029" s="73" t="n">
        <x:v>1.6328</x:v>
      </x:c>
      <x:c r="F3029" s="73" t="n">
        <x:v>1.8339</x:v>
      </x:c>
      <x:c r="G3029" s="74" t="n">
        <x:v>0</x:v>
      </x:c>
      <x:c r="H3029" s="66" t="str">
        <x:v>祁腾蜂赢1号净值20260911.xlsx</x:v>
      </x:c>
      <x:c r="I3029" s="73" t="str">
        <x:f>""</x:f>
      </x:c>
      <x:c r="J3029" s="74" t="str">
        <x:f>""</x:f>
      </x:c>
      <x:c r="K3029" s="73" t="n">
        <x:f>MAX(K3028,F3029)</x:f>
        <x:v>1.8428</x:v>
      </x:c>
      <x:c r="L3029" s="74" t="n">
        <x:f>1-F3029/K3029</x:f>
        <x:v>0.004829607119600565</x:v>
      </x:c>
      <x:c r="M3029" s="73" t="n">
        <x:f>MAX(M3028,F3029)</x:f>
        <x:v>1.8428</x:v>
      </x:c>
      <x:c r="N3029" s="74" t="n">
        <x:f>1-F3029/M3029</x:f>
        <x:v>0.004829607119600565</x:v>
      </x:c>
    </x:row>
    <x:row r="3030" ht="27" customHeight="1">
      <x:c r="A3030" s="66" t="str">
        <x:v>SEV580</x:v>
      </x:c>
      <x:c r="B3030" s="66" t="str">
        <x:v>祁腾蜂赢1号</x:v>
      </x:c>
      <x:c r="C3030" s="72" t="n">
        <x:v>45448</x:v>
      </x:c>
      <x:c r="D3030" s="73" t="n">
        <x:v>1.045</x:v>
      </x:c>
      <x:c r="E3030" s="73" t="n">
        <x:v>1.6325</x:v>
      </x:c>
      <x:c r="F3030" s="73" t="n">
        <x:v>1.8334</x:v>
      </x:c>
      <x:c r="G3030" s="74" t="n">
        <x:v>-0.0003</x:v>
      </x:c>
      <x:c r="H3030" s="66" t="str">
        <x:v>祁腾蜂赢1号净值20260911.xlsx</x:v>
      </x:c>
      <x:c r="I3030" s="73" t="str">
        <x:f>""</x:f>
      </x:c>
      <x:c r="J3030" s="74" t="str">
        <x:f>""</x:f>
      </x:c>
      <x:c r="K3030" s="73" t="n">
        <x:f>MAX(K3029,F3030)</x:f>
        <x:v>1.8428</x:v>
      </x:c>
      <x:c r="L3030" s="74" t="n">
        <x:f>1-F3030/K3030</x:f>
        <x:v>0.0051009333622747954</x:v>
      </x:c>
      <x:c r="M3030" s="73" t="n">
        <x:f>MAX(M3029,F3030)</x:f>
        <x:v>1.8428</x:v>
      </x:c>
      <x:c r="N3030" s="74" t="n">
        <x:f>1-F3030/M3030</x:f>
        <x:v>0.0051009333622747954</x:v>
      </x:c>
    </x:row>
    <x:row r="3031" ht="27" customHeight="1">
      <x:c r="A3031" s="66" t="str">
        <x:v>SEV580</x:v>
      </x:c>
      <x:c r="B3031" s="66" t="str">
        <x:v>祁腾蜂赢1号</x:v>
      </x:c>
      <x:c r="C3031" s="72" t="n">
        <x:v>45449</x:v>
      </x:c>
      <x:c r="D3031" s="73" t="n">
        <x:v>1.0456</x:v>
      </x:c>
      <x:c r="E3031" s="73" t="n">
        <x:v>1.6331</x:v>
      </x:c>
      <x:c r="F3031" s="73" t="n">
        <x:v>1.8344</x:v>
      </x:c>
      <x:c r="G3031" s="74" t="n">
        <x:v>0.0006</x:v>
      </x:c>
      <x:c r="H3031" s="66" t="str">
        <x:v>祁腾蜂赢1号净值20260911.xlsx</x:v>
      </x:c>
      <x:c r="I3031" s="73" t="str">
        <x:f>""</x:f>
      </x:c>
      <x:c r="J3031" s="74" t="str">
        <x:f>""</x:f>
      </x:c>
      <x:c r="K3031" s="73" t="n">
        <x:f>MAX(K3030,F3031)</x:f>
        <x:v>1.8428</x:v>
      </x:c>
      <x:c r="L3031" s="74" t="n">
        <x:f>1-F3031/K3031</x:f>
        <x:v>0.004558280876926446</x:v>
      </x:c>
      <x:c r="M3031" s="73" t="n">
        <x:f>MAX(M3030,F3031)</x:f>
        <x:v>1.8428</x:v>
      </x:c>
      <x:c r="N3031" s="74" t="n">
        <x:f>1-F3031/M3031</x:f>
        <x:v>0.004558280876926446</x:v>
      </x:c>
    </x:row>
    <x:row r="3032" ht="27" customHeight="1">
      <x:c r="A3032" s="66" t="str">
        <x:v>SEV580</x:v>
      </x:c>
      <x:c r="B3032" s="66" t="str">
        <x:v>祁腾蜂赢1号</x:v>
      </x:c>
      <x:c r="C3032" s="72" t="n">
        <x:v>45450</x:v>
      </x:c>
      <x:c r="D3032" s="73" t="n">
        <x:v>1.0456</x:v>
      </x:c>
      <x:c r="E3032" s="73" t="n">
        <x:v>1.6331</x:v>
      </x:c>
      <x:c r="F3032" s="73" t="n">
        <x:v>1.8344</x:v>
      </x:c>
      <x:c r="G3032" s="74" t="n">
        <x:v>0</x:v>
      </x:c>
      <x:c r="H3032" s="66" t="str">
        <x:v>祁腾蜂赢1号净值20260911.xlsx</x:v>
      </x:c>
      <x:c r="I3032" s="73" t="str">
        <x:f>""</x:f>
      </x:c>
      <x:c r="J3032" s="74" t="str">
        <x:f>""</x:f>
      </x:c>
      <x:c r="K3032" s="73" t="n">
        <x:f>MAX(K3031,F3032)</x:f>
        <x:v>1.8428</x:v>
      </x:c>
      <x:c r="L3032" s="74" t="n">
        <x:f>1-F3032/K3032</x:f>
        <x:v>0.004558280876926446</x:v>
      </x:c>
      <x:c r="M3032" s="73" t="n">
        <x:f>MAX(M3031,F3032)</x:f>
        <x:v>1.8428</x:v>
      </x:c>
      <x:c r="N3032" s="74" t="n">
        <x:f>1-F3032/M3032</x:f>
        <x:v>0.004558280876926446</x:v>
      </x:c>
    </x:row>
    <x:row r="3033" ht="27" customHeight="1">
      <x:c r="A3033" s="66" t="str">
        <x:v>SEV580</x:v>
      </x:c>
      <x:c r="B3033" s="66" t="str">
        <x:v>祁腾蜂赢1号</x:v>
      </x:c>
      <x:c r="C3033" s="72" t="n">
        <x:v>45454</x:v>
      </x:c>
      <x:c r="D3033" s="73" t="n">
        <x:v>1.0459</x:v>
      </x:c>
      <x:c r="E3033" s="73" t="n">
        <x:v>1.6334</x:v>
      </x:c>
      <x:c r="F3033" s="73" t="n">
        <x:v>1.8349</x:v>
      </x:c>
      <x:c r="G3033" s="74" t="n">
        <x:v>0.0003</x:v>
      </x:c>
      <x:c r="H3033" s="66" t="str">
        <x:v>祁腾蜂赢1号净值20260911.xlsx</x:v>
      </x:c>
      <x:c r="I3033" s="73" t="str">
        <x:f>""</x:f>
      </x:c>
      <x:c r="J3033" s="74" t="str">
        <x:f>""</x:f>
      </x:c>
      <x:c r="K3033" s="73" t="n">
        <x:f>MAX(K3032,F3033)</x:f>
        <x:v>1.8428</x:v>
      </x:c>
      <x:c r="L3033" s="74" t="n">
        <x:f>1-F3033/K3033</x:f>
        <x:v>0.004286954634252216</x:v>
      </x:c>
      <x:c r="M3033" s="73" t="n">
        <x:f>MAX(M3032,F3033)</x:f>
        <x:v>1.8428</x:v>
      </x:c>
      <x:c r="N3033" s="74" t="n">
        <x:f>1-F3033/M3033</x:f>
        <x:v>0.004286954634252216</x:v>
      </x:c>
    </x:row>
    <x:row r="3034" ht="27" customHeight="1">
      <x:c r="A3034" s="66" t="str">
        <x:v>SEV580</x:v>
      </x:c>
      <x:c r="B3034" s="66" t="str">
        <x:v>祁腾蜂赢1号</x:v>
      </x:c>
      <x:c r="C3034" s="72" t="n">
        <x:v>45455</x:v>
      </x:c>
      <x:c r="D3034" s="73" t="n">
        <x:v>1.0463</x:v>
      </x:c>
      <x:c r="E3034" s="73" t="n">
        <x:v>1.6338</x:v>
      </x:c>
      <x:c r="F3034" s="73" t="n">
        <x:v>1.8356</x:v>
      </x:c>
      <x:c r="G3034" s="74" t="n">
        <x:v>0.0004</x:v>
      </x:c>
      <x:c r="H3034" s="66" t="str">
        <x:v>祁腾蜂赢1号净值20260911.xlsx</x:v>
      </x:c>
      <x:c r="I3034" s="73" t="str">
        <x:f>""</x:f>
      </x:c>
      <x:c r="J3034" s="74" t="str">
        <x:f>""</x:f>
      </x:c>
      <x:c r="K3034" s="73" t="n">
        <x:f>MAX(K3033,F3034)</x:f>
        <x:v>1.8428</x:v>
      </x:c>
      <x:c r="L3034" s="74" t="n">
        <x:f>1-F3034/K3034</x:f>
        <x:v>0.003907097894508382</x:v>
      </x:c>
      <x:c r="M3034" s="73" t="n">
        <x:f>MAX(M3033,F3034)</x:f>
        <x:v>1.8428</x:v>
      </x:c>
      <x:c r="N3034" s="74" t="n">
        <x:f>1-F3034/M3034</x:f>
        <x:v>0.003907097894508382</x:v>
      </x:c>
    </x:row>
    <x:row r="3035" ht="27" customHeight="1">
      <x:c r="A3035" s="66" t="str">
        <x:v>SEV580</x:v>
      </x:c>
      <x:c r="B3035" s="66" t="str">
        <x:v>祁腾蜂赢1号</x:v>
      </x:c>
      <x:c r="C3035" s="72" t="n">
        <x:v>45456</x:v>
      </x:c>
      <x:c r="D3035" s="73" t="n">
        <x:v>1.0462</x:v>
      </x:c>
      <x:c r="E3035" s="73" t="n">
        <x:v>1.6337</x:v>
      </x:c>
      <x:c r="F3035" s="73" t="n">
        <x:v>1.8355</x:v>
      </x:c>
      <x:c r="G3035" s="74" t="n">
        <x:v>-0.0001</x:v>
      </x:c>
      <x:c r="H3035" s="66" t="str">
        <x:v>祁腾蜂赢1号净值20260911.xlsx</x:v>
      </x:c>
      <x:c r="I3035" s="73" t="str">
        <x:f>""</x:f>
      </x:c>
      <x:c r="J3035" s="74" t="str">
        <x:f>""</x:f>
      </x:c>
      <x:c r="K3035" s="73" t="n">
        <x:f>MAX(K3034,F3035)</x:f>
        <x:v>1.8428</x:v>
      </x:c>
      <x:c r="L3035" s="74" t="n">
        <x:f>1-F3035/K3035</x:f>
        <x:v>0.003961363143043295</x:v>
      </x:c>
      <x:c r="M3035" s="73" t="n">
        <x:f>MAX(M3034,F3035)</x:f>
        <x:v>1.8428</x:v>
      </x:c>
      <x:c r="N3035" s="74" t="n">
        <x:f>1-F3035/M3035</x:f>
        <x:v>0.003961363143043295</x:v>
      </x:c>
    </x:row>
    <x:row r="3036" ht="27" customHeight="1">
      <x:c r="A3036" s="66" t="str">
        <x:v>SEV580</x:v>
      </x:c>
      <x:c r="B3036" s="66" t="str">
        <x:v>祁腾蜂赢1号</x:v>
      </x:c>
      <x:c r="C3036" s="72" t="n">
        <x:v>45457</x:v>
      </x:c>
      <x:c r="D3036" s="73" t="n">
        <x:v>1.046</x:v>
      </x:c>
      <x:c r="E3036" s="73" t="n">
        <x:v>1.6335</x:v>
      </x:c>
      <x:c r="F3036" s="73" t="n">
        <x:v>1.8351</x:v>
      </x:c>
      <x:c r="G3036" s="74" t="n">
        <x:v>-0.0002</x:v>
      </x:c>
      <x:c r="H3036" s="66" t="str">
        <x:v>祁腾蜂赢1号净值20260911.xlsx</x:v>
      </x:c>
      <x:c r="I3036" s="73" t="str">
        <x:f>""</x:f>
      </x:c>
      <x:c r="J3036" s="74" t="str">
        <x:f>""</x:f>
      </x:c>
      <x:c r="K3036" s="73" t="n">
        <x:f>MAX(K3035,F3036)</x:f>
        <x:v>1.8428</x:v>
      </x:c>
      <x:c r="L3036" s="74" t="n">
        <x:f>1-F3036/K3036</x:f>
        <x:v>0.0041784241371826125</x:v>
      </x:c>
      <x:c r="M3036" s="73" t="n">
        <x:f>MAX(M3035,F3036)</x:f>
        <x:v>1.8428</x:v>
      </x:c>
      <x:c r="N3036" s="74" t="n">
        <x:f>1-F3036/M3036</x:f>
        <x:v>0.0041784241371826125</x:v>
      </x:c>
    </x:row>
    <x:row r="3037" ht="27" customHeight="1">
      <x:c r="A3037" s="66" t="str">
        <x:v>SEV580</x:v>
      </x:c>
      <x:c r="B3037" s="66" t="str">
        <x:v>祁腾蜂赢1号</x:v>
      </x:c>
      <x:c r="C3037" s="72" t="n">
        <x:v>45460</x:v>
      </x:c>
      <x:c r="D3037" s="73" t="n">
        <x:v>1.0458</x:v>
      </x:c>
      <x:c r="E3037" s="73" t="n">
        <x:v>1.6333</x:v>
      </x:c>
      <x:c r="F3037" s="73" t="n">
        <x:v>1.8348</x:v>
      </x:c>
      <x:c r="G3037" s="74" t="n">
        <x:v>-0.0002</x:v>
      </x:c>
      <x:c r="H3037" s="66" t="str">
        <x:v>祁腾蜂赢1号净值20260911.xlsx</x:v>
      </x:c>
      <x:c r="I3037" s="73" t="str">
        <x:f>""</x:f>
      </x:c>
      <x:c r="J3037" s="74" t="str">
        <x:f>""</x:f>
      </x:c>
      <x:c r="K3037" s="73" t="n">
        <x:f>MAX(K3036,F3037)</x:f>
        <x:v>1.8428</x:v>
      </x:c>
      <x:c r="L3037" s="74" t="n">
        <x:f>1-F3037/K3037</x:f>
        <x:v>0.004341219882787017</x:v>
      </x:c>
      <x:c r="M3037" s="73" t="n">
        <x:f>MAX(M3036,F3037)</x:f>
        <x:v>1.8428</x:v>
      </x:c>
      <x:c r="N3037" s="74" t="n">
        <x:f>1-F3037/M3037</x:f>
        <x:v>0.004341219882787017</x:v>
      </x:c>
    </x:row>
    <x:row r="3038" ht="27" customHeight="1">
      <x:c r="A3038" s="66" t="str">
        <x:v>SEV580</x:v>
      </x:c>
      <x:c r="B3038" s="66" t="str">
        <x:v>祁腾蜂赢1号</x:v>
      </x:c>
      <x:c r="C3038" s="72" t="n">
        <x:v>45461</x:v>
      </x:c>
      <x:c r="D3038" s="73" t="n">
        <x:v>1.0461</x:v>
      </x:c>
      <x:c r="E3038" s="73" t="n">
        <x:v>1.6336</x:v>
      </x:c>
      <x:c r="F3038" s="73" t="n">
        <x:v>1.8353</x:v>
      </x:c>
      <x:c r="G3038" s="74" t="n">
        <x:v>0.0003</x:v>
      </x:c>
      <x:c r="H3038" s="66" t="str">
        <x:v>祁腾蜂赢1号净值20260911.xlsx</x:v>
      </x:c>
      <x:c r="I3038" s="73" t="str">
        <x:f>""</x:f>
      </x:c>
      <x:c r="J3038" s="74" t="str">
        <x:f>""</x:f>
      </x:c>
      <x:c r="K3038" s="73" t="n">
        <x:f>MAX(K3037,F3038)</x:f>
        <x:v>1.8428</x:v>
      </x:c>
      <x:c r="L3038" s="74" t="n">
        <x:f>1-F3038/K3038</x:f>
        <x:v>0.004069893640112898</x:v>
      </x:c>
      <x:c r="M3038" s="73" t="n">
        <x:f>MAX(M3037,F3038)</x:f>
        <x:v>1.8428</x:v>
      </x:c>
      <x:c r="N3038" s="74" t="n">
        <x:f>1-F3038/M3038</x:f>
        <x:v>0.004069893640112898</x:v>
      </x:c>
    </x:row>
    <x:row r="3039" ht="27" customHeight="1">
      <x:c r="A3039" s="66" t="str">
        <x:v>SEV580</x:v>
      </x:c>
      <x:c r="B3039" s="66" t="str">
        <x:v>祁腾蜂赢1号</x:v>
      </x:c>
      <x:c r="C3039" s="72" t="n">
        <x:v>45462</x:v>
      </x:c>
      <x:c r="D3039" s="73" t="n">
        <x:v>1.0461</x:v>
      </x:c>
      <x:c r="E3039" s="73" t="n">
        <x:v>1.6336</x:v>
      </x:c>
      <x:c r="F3039" s="73" t="n">
        <x:v>1.8353</x:v>
      </x:c>
      <x:c r="G3039" s="74" t="n">
        <x:v>0</x:v>
      </x:c>
      <x:c r="H3039" s="66" t="str">
        <x:v>祁腾蜂赢1号净值20260911.xlsx</x:v>
      </x:c>
      <x:c r="I3039" s="73" t="str">
        <x:f>""</x:f>
      </x:c>
      <x:c r="J3039" s="74" t="str">
        <x:f>""</x:f>
      </x:c>
      <x:c r="K3039" s="73" t="n">
        <x:f>MAX(K3038,F3039)</x:f>
        <x:v>1.8428</x:v>
      </x:c>
      <x:c r="L3039" s="74" t="n">
        <x:f>1-F3039/K3039</x:f>
        <x:v>0.004069893640112898</x:v>
      </x:c>
      <x:c r="M3039" s="73" t="n">
        <x:f>MAX(M3038,F3039)</x:f>
        <x:v>1.8428</x:v>
      </x:c>
      <x:c r="N3039" s="74" t="n">
        <x:f>1-F3039/M3039</x:f>
        <x:v>0.004069893640112898</x:v>
      </x:c>
    </x:row>
    <x:row r="3040" ht="27" customHeight="1">
      <x:c r="A3040" s="66" t="str">
        <x:v>SEV580</x:v>
      </x:c>
      <x:c r="B3040" s="66" t="str">
        <x:v>祁腾蜂赢1号</x:v>
      </x:c>
      <x:c r="C3040" s="72" t="n">
        <x:v>45463</x:v>
      </x:c>
      <x:c r="D3040" s="73" t="n">
        <x:v>1.0462</x:v>
      </x:c>
      <x:c r="E3040" s="73" t="n">
        <x:v>1.6337</x:v>
      </x:c>
      <x:c r="F3040" s="73" t="n">
        <x:v>1.8355</x:v>
      </x:c>
      <x:c r="G3040" s="74" t="n">
        <x:v>0.0001</x:v>
      </x:c>
      <x:c r="H3040" s="66" t="str">
        <x:v>祁腾蜂赢1号净值20260911.xlsx</x:v>
      </x:c>
      <x:c r="I3040" s="73" t="str">
        <x:f>""</x:f>
      </x:c>
      <x:c r="J3040" s="74" t="str">
        <x:f>""</x:f>
      </x:c>
      <x:c r="K3040" s="73" t="n">
        <x:f>MAX(K3039,F3040)</x:f>
        <x:v>1.8428</x:v>
      </x:c>
      <x:c r="L3040" s="74" t="n">
        <x:f>1-F3040/K3040</x:f>
        <x:v>0.003961363143043295</x:v>
      </x:c>
      <x:c r="M3040" s="73" t="n">
        <x:f>MAX(M3039,F3040)</x:f>
        <x:v>1.8428</x:v>
      </x:c>
      <x:c r="N3040" s="74" t="n">
        <x:f>1-F3040/M3040</x:f>
        <x:v>0.003961363143043295</x:v>
      </x:c>
    </x:row>
    <x:row r="3041" ht="27" customHeight="1">
      <x:c r="A3041" s="66" t="str">
        <x:v>SEV580</x:v>
      </x:c>
      <x:c r="B3041" s="66" t="str">
        <x:v>祁腾蜂赢1号</x:v>
      </x:c>
      <x:c r="C3041" s="72" t="n">
        <x:v>45464</x:v>
      </x:c>
      <x:c r="D3041" s="73" t="n">
        <x:v>1.0471</x:v>
      </x:c>
      <x:c r="E3041" s="73" t="n">
        <x:v>1.6346</x:v>
      </x:c>
      <x:c r="F3041" s="73" t="n">
        <x:v>1.837</x:v>
      </x:c>
      <x:c r="G3041" s="74" t="n">
        <x:v>0.0009</x:v>
      </x:c>
      <x:c r="H3041" s="66" t="str">
        <x:v>祁腾蜂赢1号净值20260911.xlsx</x:v>
      </x:c>
      <x:c r="I3041" s="73" t="str">
        <x:f>""</x:f>
      </x:c>
      <x:c r="J3041" s="74" t="str">
        <x:f>""</x:f>
      </x:c>
      <x:c r="K3041" s="73" t="n">
        <x:f>MAX(K3040,F3041)</x:f>
        <x:v>1.8428</x:v>
      </x:c>
      <x:c r="L3041" s="74" t="n">
        <x:f>1-F3041/K3041</x:f>
        <x:v>0.0031473844150206043</x:v>
      </x:c>
      <x:c r="M3041" s="73" t="n">
        <x:f>MAX(M3040,F3041)</x:f>
        <x:v>1.8428</x:v>
      </x:c>
      <x:c r="N3041" s="74" t="n">
        <x:f>1-F3041/M3041</x:f>
        <x:v>0.0031473844150206043</x:v>
      </x:c>
    </x:row>
    <x:row r="3042" ht="27" customHeight="1">
      <x:c r="A3042" s="66" t="str">
        <x:v>SEV580</x:v>
      </x:c>
      <x:c r="B3042" s="66" t="str">
        <x:v>祁腾蜂赢1号</x:v>
      </x:c>
      <x:c r="C3042" s="72" t="n">
        <x:v>45467</x:v>
      </x:c>
      <x:c r="D3042" s="73" t="n">
        <x:v>1.0474</x:v>
      </x:c>
      <x:c r="E3042" s="73" t="n">
        <x:v>1.6349</x:v>
      </x:c>
      <x:c r="F3042" s="73" t="n">
        <x:v>1.8376</x:v>
      </x:c>
      <x:c r="G3042" s="74" t="n">
        <x:v>0.0003</x:v>
      </x:c>
      <x:c r="H3042" s="66" t="str">
        <x:v>祁腾蜂赢1号净值20260911.xlsx</x:v>
      </x:c>
      <x:c r="I3042" s="73" t="str">
        <x:f>""</x:f>
      </x:c>
      <x:c r="J3042" s="74" t="str">
        <x:f>""</x:f>
      </x:c>
      <x:c r="K3042" s="73" t="n">
        <x:f>MAX(K3041,F3042)</x:f>
        <x:v>1.8428</x:v>
      </x:c>
      <x:c r="L3042" s="74" t="n">
        <x:f>1-F3042/K3042</x:f>
        <x:v>0.0028217929238116835</x:v>
      </x:c>
      <x:c r="M3042" s="73" t="n">
        <x:f>MAX(M3041,F3042)</x:f>
        <x:v>1.8428</x:v>
      </x:c>
      <x:c r="N3042" s="74" t="n">
        <x:f>1-F3042/M3042</x:f>
        <x:v>0.0028217929238116835</x:v>
      </x:c>
    </x:row>
    <x:row r="3043" ht="27" customHeight="1">
      <x:c r="A3043" s="66" t="str">
        <x:v>SEV580</x:v>
      </x:c>
      <x:c r="B3043" s="66" t="str">
        <x:v>祁腾蜂赢1号</x:v>
      </x:c>
      <x:c r="C3043" s="72" t="n">
        <x:v>45468</x:v>
      </x:c>
      <x:c r="D3043" s="73" t="n">
        <x:v>1.0484</x:v>
      </x:c>
      <x:c r="E3043" s="73" t="n">
        <x:v>1.6359</x:v>
      </x:c>
      <x:c r="F3043" s="73" t="n">
        <x:v>1.8393</x:v>
      </x:c>
      <x:c r="G3043" s="74" t="n">
        <x:v>0.001</x:v>
      </x:c>
      <x:c r="H3043" s="66" t="str">
        <x:v>祁腾蜂赢1号净值20260911.xlsx</x:v>
      </x:c>
      <x:c r="I3043" s="73" t="str">
        <x:f>""</x:f>
      </x:c>
      <x:c r="J3043" s="74" t="str">
        <x:f>""</x:f>
      </x:c>
      <x:c r="K3043" s="73" t="n">
        <x:f>MAX(K3042,F3043)</x:f>
        <x:v>1.8428</x:v>
      </x:c>
      <x:c r="L3043" s="74" t="n">
        <x:f>1-F3043/K3043</x:f>
        <x:v>0.0018992836987193895</x:v>
      </x:c>
      <x:c r="M3043" s="73" t="n">
        <x:f>MAX(M3042,F3043)</x:f>
        <x:v>1.8428</x:v>
      </x:c>
      <x:c r="N3043" s="74" t="n">
        <x:f>1-F3043/M3043</x:f>
        <x:v>0.0018992836987193895</x:v>
      </x:c>
    </x:row>
    <x:row r="3044" ht="27" customHeight="1">
      <x:c r="A3044" s="66" t="str">
        <x:v>SEV580</x:v>
      </x:c>
      <x:c r="B3044" s="66" t="str">
        <x:v>祁腾蜂赢1号</x:v>
      </x:c>
      <x:c r="C3044" s="72" t="n">
        <x:v>45469</x:v>
      </x:c>
      <x:c r="D3044" s="73" t="n">
        <x:v>1.0477</x:v>
      </x:c>
      <x:c r="E3044" s="73" t="n">
        <x:v>1.6352</x:v>
      </x:c>
      <x:c r="F3044" s="73" t="n">
        <x:v>1.8381</x:v>
      </x:c>
      <x:c r="G3044" s="74" t="n">
        <x:v>-0.0007000000000000001</x:v>
      </x:c>
      <x:c r="H3044" s="66" t="str">
        <x:v>祁腾蜂赢1号净值20260911.xlsx</x:v>
      </x:c>
      <x:c r="I3044" s="73" t="str">
        <x:f>""</x:f>
      </x:c>
      <x:c r="J3044" s="74" t="str">
        <x:f>""</x:f>
      </x:c>
      <x:c r="K3044" s="73" t="n">
        <x:f>MAX(K3043,F3044)</x:f>
        <x:v>1.8428</x:v>
      </x:c>
      <x:c r="L3044" s="74" t="n">
        <x:f>1-F3044/K3044</x:f>
        <x:v>0.002550466681137342</x:v>
      </x:c>
      <x:c r="M3044" s="73" t="n">
        <x:f>MAX(M3043,F3044)</x:f>
        <x:v>1.8428</x:v>
      </x:c>
      <x:c r="N3044" s="74" t="n">
        <x:f>1-F3044/M3044</x:f>
        <x:v>0.002550466681137342</x:v>
      </x:c>
    </x:row>
    <x:row r="3045" ht="27" customHeight="1">
      <x:c r="A3045" s="66" t="str">
        <x:v>SEV580</x:v>
      </x:c>
      <x:c r="B3045" s="66" t="str">
        <x:v>祁腾蜂赢1号</x:v>
      </x:c>
      <x:c r="C3045" s="72" t="n">
        <x:v>45470</x:v>
      </x:c>
      <x:c r="D3045" s="73" t="n">
        <x:v>1</x:v>
      </x:c>
      <x:c r="E3045" s="73" t="n">
        <x:v>1.6379</x:v>
      </x:c>
      <x:c r="F3045" s="73" t="n">
        <x:v>1.8428</x:v>
      </x:c>
      <x:c r="G3045" s="74" t="n">
        <x:v>0.0026</x:v>
      </x:c>
      <x:c r="H3045" s="66" t="str">
        <x:v>祁腾蜂赢1号净值20260911.xlsx</x:v>
      </x:c>
      <x:c r="I3045" s="73" t="str">
        <x:f>""</x:f>
      </x:c>
      <x:c r="J3045" s="74" t="str">
        <x:f>""</x:f>
      </x:c>
      <x:c r="K3045" s="73" t="n">
        <x:f>MAX(K3044,F3045)</x:f>
        <x:v>1.8428</x:v>
      </x:c>
      <x:c r="L3045" s="74" t="n">
        <x:f>1-F3045/K3045</x:f>
        <x:v>0</x:v>
      </x:c>
      <x:c r="M3045" s="73" t="n">
        <x:f>MAX(M3044,F3045)</x:f>
        <x:v>1.8428</x:v>
      </x:c>
      <x:c r="N3045" s="74" t="n">
        <x:f>1-F3045/M3045</x:f>
        <x:v>0</x:v>
      </x:c>
    </x:row>
    <x:row r="3046" ht="27" customHeight="1">
      <x:c r="A3046" s="66" t="str">
        <x:v>SEV580</x:v>
      </x:c>
      <x:c r="B3046" s="66" t="str">
        <x:v>祁腾蜂赢1号</x:v>
      </x:c>
      <x:c r="C3046" s="72" t="n">
        <x:v>45471</x:v>
      </x:c>
      <x:c r="D3046" s="73" t="n">
        <x:v>0.9993</x:v>
      </x:c>
      <x:c r="E3046" s="73" t="n">
        <x:v>1.6372</x:v>
      </x:c>
      <x:c r="F3046" s="73" t="n">
        <x:v>1.8415</x:v>
      </x:c>
      <x:c r="G3046" s="74" t="n">
        <x:v>-0.0007000000000000001</x:v>
      </x:c>
      <x:c r="H3046" s="66" t="str">
        <x:v>祁腾蜂赢1号净值20260911.xlsx</x:v>
      </x:c>
      <x:c r="I3046" s="73" t="str">
        <x:f>""</x:f>
      </x:c>
      <x:c r="J3046" s="74" t="str">
        <x:f>""</x:f>
      </x:c>
      <x:c r="K3046" s="73" t="n">
        <x:f>MAX(K3045,F3046)</x:f>
        <x:v>1.8428</x:v>
      </x:c>
      <x:c r="L3046" s="74" t="n">
        <x:f>1-F3046/K3046</x:f>
        <x:v>0.0007054482309529764</x:v>
      </x:c>
      <x:c r="M3046" s="73" t="n">
        <x:f>MAX(M3045,F3046)</x:f>
        <x:v>1.8428</x:v>
      </x:c>
      <x:c r="N3046" s="74" t="n">
        <x:f>1-F3046/M3046</x:f>
        <x:v>0.0007054482309529764</x:v>
      </x:c>
    </x:row>
    <x:row r="3047" ht="27" customHeight="1">
      <x:c r="A3047" s="66" t="str">
        <x:v>SEV580</x:v>
      </x:c>
      <x:c r="B3047" s="66" t="str">
        <x:v>祁腾蜂赢1号</x:v>
      </x:c>
      <x:c r="C3047" s="72" t="n">
        <x:v>45474</x:v>
      </x:c>
      <x:c r="D3047" s="73" t="n">
        <x:v>0.9998</x:v>
      </x:c>
      <x:c r="E3047" s="73" t="n">
        <x:v>1.6377</x:v>
      </x:c>
      <x:c r="F3047" s="73" t="n">
        <x:v>1.8425</x:v>
      </x:c>
      <x:c r="G3047" s="74" t="n">
        <x:v>0.0005</x:v>
      </x:c>
      <x:c r="H3047" s="66" t="str">
        <x:v>祁腾蜂赢1号净值20260911.xlsx</x:v>
      </x:c>
      <x:c r="I3047" s="73" t="str">
        <x:f>""</x:f>
      </x:c>
      <x:c r="J3047" s="74" t="str">
        <x:f>""</x:f>
      </x:c>
      <x:c r="K3047" s="73" t="n">
        <x:f>MAX(K3046,F3047)</x:f>
        <x:v>1.8428</x:v>
      </x:c>
      <x:c r="L3047" s="74" t="n">
        <x:f>1-F3047/K3047</x:f>
        <x:v>0.00016279574560451593</x:v>
      </x:c>
      <x:c r="M3047" s="73" t="n">
        <x:f>MAX(M3046,F3047)</x:f>
        <x:v>1.8428</x:v>
      </x:c>
      <x:c r="N3047" s="74" t="n">
        <x:f>1-F3047/M3047</x:f>
        <x:v>0.00016279574560451593</x:v>
      </x:c>
    </x:row>
    <x:row r="3048" ht="27" customHeight="1">
      <x:c r="A3048" s="66" t="str">
        <x:v>SEV580</x:v>
      </x:c>
      <x:c r="B3048" s="66" t="str">
        <x:v>祁腾蜂赢1号</x:v>
      </x:c>
      <x:c r="C3048" s="72" t="n">
        <x:v>45475</x:v>
      </x:c>
      <x:c r="D3048" s="73" t="n">
        <x:v>0.9994</x:v>
      </x:c>
      <x:c r="E3048" s="73" t="n">
        <x:v>1.6373</x:v>
      </x:c>
      <x:c r="F3048" s="73" t="n">
        <x:v>1.8417</x:v>
      </x:c>
      <x:c r="G3048" s="74" t="n">
        <x:v>-0.0004</x:v>
      </x:c>
      <x:c r="H3048" s="66" t="str">
        <x:v>祁腾蜂赢1号净值20260911.xlsx</x:v>
      </x:c>
      <x:c r="I3048" s="73" t="str">
        <x:f>""</x:f>
      </x:c>
      <x:c r="J3048" s="74" t="str">
        <x:f>""</x:f>
      </x:c>
      <x:c r="K3048" s="73" t="n">
        <x:f>MAX(K3047,F3048)</x:f>
        <x:v>1.8428</x:v>
      </x:c>
      <x:c r="L3048" s="74" t="n">
        <x:f>1-F3048/K3048</x:f>
        <x:v>0.0005969177338832621</x:v>
      </x:c>
      <x:c r="M3048" s="73" t="n">
        <x:f>MAX(M3047,F3048)</x:f>
        <x:v>1.8428</x:v>
      </x:c>
      <x:c r="N3048" s="74" t="n">
        <x:f>1-F3048/M3048</x:f>
        <x:v>0.0005969177338832621</x:v>
      </x:c>
    </x:row>
    <x:row r="3049" ht="27" customHeight="1">
      <x:c r="A3049" s="66" t="str">
        <x:v>SEV580</x:v>
      </x:c>
      <x:c r="B3049" s="66" t="str">
        <x:v>祁腾蜂赢1号</x:v>
      </x:c>
      <x:c r="C3049" s="72" t="n">
        <x:v>45476</x:v>
      </x:c>
      <x:c r="D3049" s="73" t="n">
        <x:v>0.9995</x:v>
      </x:c>
      <x:c r="E3049" s="73" t="n">
        <x:v>1.6374</x:v>
      </x:c>
      <x:c r="F3049" s="73" t="n">
        <x:v>1.8419</x:v>
      </x:c>
      <x:c r="G3049" s="74" t="n">
        <x:v>0.0001</x:v>
      </x:c>
      <x:c r="H3049" s="66" t="str">
        <x:v>祁腾蜂赢1号净值20260911.xlsx</x:v>
      </x:c>
      <x:c r="I3049" s="73" t="str">
        <x:f>""</x:f>
      </x:c>
      <x:c r="J3049" s="74" t="str">
        <x:f>""</x:f>
      </x:c>
      <x:c r="K3049" s="73" t="n">
        <x:f>MAX(K3048,F3049)</x:f>
        <x:v>1.8428</x:v>
      </x:c>
      <x:c r="L3049" s="74" t="n">
        <x:f>1-F3049/K3049</x:f>
        <x:v>0.0004883872368134368</x:v>
      </x:c>
      <x:c r="M3049" s="73" t="n">
        <x:f>MAX(M3048,F3049)</x:f>
        <x:v>1.8428</x:v>
      </x:c>
      <x:c r="N3049" s="74" t="n">
        <x:f>1-F3049/M3049</x:f>
        <x:v>0.0004883872368134368</x:v>
      </x:c>
    </x:row>
    <x:row r="3050" ht="27" customHeight="1">
      <x:c r="A3050" s="66" t="str">
        <x:v>SEV580</x:v>
      </x:c>
      <x:c r="B3050" s="66" t="str">
        <x:v>祁腾蜂赢1号</x:v>
      </x:c>
      <x:c r="C3050" s="72" t="n">
        <x:v>45477</x:v>
      </x:c>
      <x:c r="D3050" s="73" t="n">
        <x:v>0.9994</x:v>
      </x:c>
      <x:c r="E3050" s="73" t="n">
        <x:v>1.6373</x:v>
      </x:c>
      <x:c r="F3050" s="73" t="n">
        <x:v>1.8417</x:v>
      </x:c>
      <x:c r="G3050" s="74" t="n">
        <x:v>-0.0001</x:v>
      </x:c>
      <x:c r="H3050" s="66" t="str">
        <x:v>祁腾蜂赢1号净值20260911.xlsx</x:v>
      </x:c>
      <x:c r="I3050" s="73" t="str">
        <x:f>""</x:f>
      </x:c>
      <x:c r="J3050" s="74" t="str">
        <x:f>""</x:f>
      </x:c>
      <x:c r="K3050" s="73" t="n">
        <x:f>MAX(K3049,F3050)</x:f>
        <x:v>1.8428</x:v>
      </x:c>
      <x:c r="L3050" s="74" t="n">
        <x:f>1-F3050/K3050</x:f>
        <x:v>0.0005969177338832621</x:v>
      </x:c>
      <x:c r="M3050" s="73" t="n">
        <x:f>MAX(M3049,F3050)</x:f>
        <x:v>1.8428</x:v>
      </x:c>
      <x:c r="N3050" s="74" t="n">
        <x:f>1-F3050/M3050</x:f>
        <x:v>0.0005969177338832621</x:v>
      </x:c>
    </x:row>
    <x:row r="3051" ht="27" customHeight="1">
      <x:c r="A3051" s="66" t="str">
        <x:v>SEV580</x:v>
      </x:c>
      <x:c r="B3051" s="66" t="str">
        <x:v>祁腾蜂赢1号</x:v>
      </x:c>
      <x:c r="C3051" s="72" t="n">
        <x:v>45478</x:v>
      </x:c>
      <x:c r="D3051" s="73" t="n">
        <x:v>1.0016</x:v>
      </x:c>
      <x:c r="E3051" s="73" t="n">
        <x:v>1.6395</x:v>
      </x:c>
      <x:c r="F3051" s="73" t="n">
        <x:v>1.8458</x:v>
      </x:c>
      <x:c r="G3051" s="74" t="n">
        <x:v>0.0022</x:v>
      </x:c>
      <x:c r="H3051" s="66" t="str">
        <x:v>祁腾蜂赢1号净值20260911.xlsx</x:v>
      </x:c>
      <x:c r="I3051" s="73" t="str">
        <x:f>""</x:f>
      </x:c>
      <x:c r="J3051" s="74" t="str">
        <x:f>""</x:f>
      </x:c>
      <x:c r="K3051" s="73" t="n">
        <x:f>MAX(K3050,F3051)</x:f>
        <x:v>1.8458</x:v>
      </x:c>
      <x:c r="L3051" s="74" t="n">
        <x:f>1-F3051/K3051</x:f>
        <x:v>0</x:v>
      </x:c>
      <x:c r="M3051" s="73" t="n">
        <x:f>MAX(M3050,F3051)</x:f>
        <x:v>1.8458</x:v>
      </x:c>
      <x:c r="N3051" s="74" t="n">
        <x:f>1-F3051/M3051</x:f>
        <x:v>0</x:v>
      </x:c>
    </x:row>
    <x:row r="3052" ht="27" customHeight="1">
      <x:c r="A3052" s="66" t="str">
        <x:v>SEV580</x:v>
      </x:c>
      <x:c r="B3052" s="66" t="str">
        <x:v>祁腾蜂赢1号</x:v>
      </x:c>
      <x:c r="C3052" s="72" t="n">
        <x:v>45481</x:v>
      </x:c>
      <x:c r="D3052" s="73" t="n">
        <x:v>1.0016</x:v>
      </x:c>
      <x:c r="E3052" s="73" t="n">
        <x:v>1.6395</x:v>
      </x:c>
      <x:c r="F3052" s="73" t="n">
        <x:v>1.8458</x:v>
      </x:c>
      <x:c r="G3052" s="74" t="n">
        <x:v>0</x:v>
      </x:c>
      <x:c r="H3052" s="66" t="str">
        <x:v>祁腾蜂赢1号净值20260911.xlsx</x:v>
      </x:c>
      <x:c r="I3052" s="73" t="str">
        <x:f>""</x:f>
      </x:c>
      <x:c r="J3052" s="74" t="str">
        <x:f>""</x:f>
      </x:c>
      <x:c r="K3052" s="73" t="n">
        <x:f>MAX(K3051,F3052)</x:f>
        <x:v>1.8458</x:v>
      </x:c>
      <x:c r="L3052" s="74" t="n">
        <x:f>1-F3052/K3052</x:f>
        <x:v>0</x:v>
      </x:c>
      <x:c r="M3052" s="73" t="n">
        <x:f>MAX(M3051,F3052)</x:f>
        <x:v>1.8458</x:v>
      </x:c>
      <x:c r="N3052" s="74" t="n">
        <x:f>1-F3052/M3052</x:f>
        <x:v>0</x:v>
      </x:c>
    </x:row>
    <x:row r="3053" ht="27" customHeight="1">
      <x:c r="A3053" s="66" t="str">
        <x:v>SEV580</x:v>
      </x:c>
      <x:c r="B3053" s="66" t="str">
        <x:v>祁腾蜂赢1号</x:v>
      </x:c>
      <x:c r="C3053" s="72" t="n">
        <x:v>45482</x:v>
      </x:c>
      <x:c r="D3053" s="73" t="n">
        <x:v>1.0024</x:v>
      </x:c>
      <x:c r="E3053" s="73" t="n">
        <x:v>1.6403</x:v>
      </x:c>
      <x:c r="F3053" s="73" t="n">
        <x:v>1.8473</x:v>
      </x:c>
      <x:c r="G3053" s="74" t="n">
        <x:v>0.0008</x:v>
      </x:c>
      <x:c r="H3053" s="66" t="str">
        <x:v>祁腾蜂赢1号净值20260911.xlsx</x:v>
      </x:c>
      <x:c r="I3053" s="73" t="str">
        <x:f>""</x:f>
      </x:c>
      <x:c r="J3053" s="74" t="str">
        <x:f>""</x:f>
      </x:c>
      <x:c r="K3053" s="73" t="n">
        <x:f>MAX(K3052,F3053)</x:f>
        <x:v>1.8473</x:v>
      </x:c>
      <x:c r="L3053" s="74" t="n">
        <x:f>1-F3053/K3053</x:f>
        <x:v>0</x:v>
      </x:c>
      <x:c r="M3053" s="73" t="n">
        <x:f>MAX(M3052,F3053)</x:f>
        <x:v>1.8473</x:v>
      </x:c>
      <x:c r="N3053" s="74" t="n">
        <x:f>1-F3053/M3053</x:f>
        <x:v>0</x:v>
      </x:c>
    </x:row>
    <x:row r="3054" ht="27" customHeight="1">
      <x:c r="A3054" s="66" t="str">
        <x:v>SEV580</x:v>
      </x:c>
      <x:c r="B3054" s="66" t="str">
        <x:v>祁腾蜂赢1号</x:v>
      </x:c>
      <x:c r="C3054" s="72" t="n">
        <x:v>45483</x:v>
      </x:c>
      <x:c r="D3054" s="73" t="n">
        <x:v>1.0027</x:v>
      </x:c>
      <x:c r="E3054" s="73" t="n">
        <x:v>1.6406</x:v>
      </x:c>
      <x:c r="F3054" s="73" t="n">
        <x:v>1.8478</x:v>
      </x:c>
      <x:c r="G3054" s="74" t="n">
        <x:v>0.0003</x:v>
      </x:c>
      <x:c r="H3054" s="66" t="str">
        <x:v>祁腾蜂赢1号净值20260911.xlsx</x:v>
      </x:c>
      <x:c r="I3054" s="73" t="str">
        <x:f>""</x:f>
      </x:c>
      <x:c r="J3054" s="74" t="str">
        <x:f>""</x:f>
      </x:c>
      <x:c r="K3054" s="73" t="n">
        <x:f>MAX(K3053,F3054)</x:f>
        <x:v>1.8478</x:v>
      </x:c>
      <x:c r="L3054" s="74" t="n">
        <x:f>1-F3054/K3054</x:f>
        <x:v>0</x:v>
      </x:c>
      <x:c r="M3054" s="73" t="n">
        <x:f>MAX(M3053,F3054)</x:f>
        <x:v>1.8478</x:v>
      </x:c>
      <x:c r="N3054" s="74" t="n">
        <x:f>1-F3054/M3054</x:f>
        <x:v>0</x:v>
      </x:c>
    </x:row>
    <x:row r="3055" ht="27" customHeight="1">
      <x:c r="A3055" s="66" t="str">
        <x:v>SEV580</x:v>
      </x:c>
      <x:c r="B3055" s="66" t="str">
        <x:v>祁腾蜂赢1号</x:v>
      </x:c>
      <x:c r="C3055" s="72" t="n">
        <x:v>45484</x:v>
      </x:c>
      <x:c r="D3055" s="73" t="n">
        <x:v>1.0028</x:v>
      </x:c>
      <x:c r="E3055" s="73" t="n">
        <x:v>1.6407</x:v>
      </x:c>
      <x:c r="F3055" s="73" t="n">
        <x:v>1.848</x:v>
      </x:c>
      <x:c r="G3055" s="74" t="n">
        <x:v>0.0001</x:v>
      </x:c>
      <x:c r="H3055" s="66" t="str">
        <x:v>祁腾蜂赢1号净值20260911.xlsx</x:v>
      </x:c>
      <x:c r="I3055" s="73" t="str">
        <x:f>""</x:f>
      </x:c>
      <x:c r="J3055" s="74" t="str">
        <x:f>""</x:f>
      </x:c>
      <x:c r="K3055" s="73" t="n">
        <x:f>MAX(K3054,F3055)</x:f>
        <x:v>1.848</x:v>
      </x:c>
      <x:c r="L3055" s="74" t="n">
        <x:f>1-F3055/K3055</x:f>
        <x:v>0</x:v>
      </x:c>
      <x:c r="M3055" s="73" t="n">
        <x:f>MAX(M3054,F3055)</x:f>
        <x:v>1.848</x:v>
      </x:c>
      <x:c r="N3055" s="74" t="n">
        <x:f>1-F3055/M3055</x:f>
        <x:v>0</x:v>
      </x:c>
    </x:row>
    <x:row r="3056" ht="27" customHeight="1">
      <x:c r="A3056" s="66" t="str">
        <x:v>SEV580</x:v>
      </x:c>
      <x:c r="B3056" s="66" t="str">
        <x:v>祁腾蜂赢1号</x:v>
      </x:c>
      <x:c r="C3056" s="72" t="n">
        <x:v>45485</x:v>
      </x:c>
      <x:c r="D3056" s="73" t="n">
        <x:v>1.0054</x:v>
      </x:c>
      <x:c r="E3056" s="73" t="n">
        <x:v>1.6433</x:v>
      </x:c>
      <x:c r="F3056" s="73" t="n">
        <x:v>1.8528</x:v>
      </x:c>
      <x:c r="G3056" s="74" t="n">
        <x:v>0.0026</x:v>
      </x:c>
      <x:c r="H3056" s="66" t="str">
        <x:v>祁腾蜂赢1号净值20260911.xlsx</x:v>
      </x:c>
      <x:c r="I3056" s="73" t="str">
        <x:f>""</x:f>
      </x:c>
      <x:c r="J3056" s="74" t="str">
        <x:f>""</x:f>
      </x:c>
      <x:c r="K3056" s="73" t="n">
        <x:f>MAX(K3055,F3056)</x:f>
        <x:v>1.8528</x:v>
      </x:c>
      <x:c r="L3056" s="74" t="n">
        <x:f>1-F3056/K3056</x:f>
        <x:v>0</x:v>
      </x:c>
      <x:c r="M3056" s="73" t="n">
        <x:f>MAX(M3055,F3056)</x:f>
        <x:v>1.8528</x:v>
      </x:c>
      <x:c r="N3056" s="74" t="n">
        <x:f>1-F3056/M3056</x:f>
        <x:v>0</x:v>
      </x:c>
    </x:row>
    <x:row r="3057" ht="27" customHeight="1">
      <x:c r="A3057" s="66" t="str">
        <x:v>SEV580</x:v>
      </x:c>
      <x:c r="B3057" s="66" t="str">
        <x:v>祁腾蜂赢1号</x:v>
      </x:c>
      <x:c r="C3057" s="72" t="n">
        <x:v>45488</x:v>
      </x:c>
      <x:c r="D3057" s="73" t="n">
        <x:v>1.0047</x:v>
      </x:c>
      <x:c r="E3057" s="73" t="n">
        <x:v>1.6426</x:v>
      </x:c>
      <x:c r="F3057" s="73" t="n">
        <x:v>1.8515</x:v>
      </x:c>
      <x:c r="G3057" s="74" t="n">
        <x:v>-0.0007000000000000001</x:v>
      </x:c>
      <x:c r="H3057" s="66" t="str">
        <x:v>祁腾蜂赢1号净值20260911.xlsx</x:v>
      </x:c>
      <x:c r="I3057" s="73" t="str">
        <x:f>""</x:f>
      </x:c>
      <x:c r="J3057" s="74" t="str">
        <x:f>""</x:f>
      </x:c>
      <x:c r="K3057" s="73" t="n">
        <x:f>MAX(K3056,F3057)</x:f>
        <x:v>1.8528</x:v>
      </x:c>
      <x:c r="L3057" s="74" t="n">
        <x:f>1-F3057/K3057</x:f>
        <x:v>0.0007016407599309549</x:v>
      </x:c>
      <x:c r="M3057" s="73" t="n">
        <x:f>MAX(M3056,F3057)</x:f>
        <x:v>1.8528</x:v>
      </x:c>
      <x:c r="N3057" s="74" t="n">
        <x:f>1-F3057/M3057</x:f>
        <x:v>0.0007016407599309549</x:v>
      </x:c>
    </x:row>
    <x:row r="3058" ht="27" customHeight="1">
      <x:c r="A3058" s="66" t="str">
        <x:v>SEV580</x:v>
      </x:c>
      <x:c r="B3058" s="66" t="str">
        <x:v>祁腾蜂赢1号</x:v>
      </x:c>
      <x:c r="C3058" s="72" t="n">
        <x:v>45489</x:v>
      </x:c>
      <x:c r="D3058" s="73" t="n">
        <x:v>1.0036</x:v>
      </x:c>
      <x:c r="E3058" s="73" t="n">
        <x:v>1.6415</x:v>
      </x:c>
      <x:c r="F3058" s="73" t="n">
        <x:v>1.8495</x:v>
      </x:c>
      <x:c r="G3058" s="74" t="n">
        <x:v>-0.0011</x:v>
      </x:c>
      <x:c r="H3058" s="66" t="str">
        <x:v>祁腾蜂赢1号净值20260911.xlsx</x:v>
      </x:c>
      <x:c r="I3058" s="73" t="str">
        <x:f>""</x:f>
      </x:c>
      <x:c r="J3058" s="74" t="str">
        <x:f>""</x:f>
      </x:c>
      <x:c r="K3058" s="73" t="n">
        <x:f>MAX(K3057,F3058)</x:f>
        <x:v>1.8528</x:v>
      </x:c>
      <x:c r="L3058" s="74" t="n">
        <x:f>1-F3058/K3058</x:f>
        <x:v>0.0017810880829015607</x:v>
      </x:c>
      <x:c r="M3058" s="73" t="n">
        <x:f>MAX(M3057,F3058)</x:f>
        <x:v>1.8528</x:v>
      </x:c>
      <x:c r="N3058" s="74" t="n">
        <x:f>1-F3058/M3058</x:f>
        <x:v>0.0017810880829015607</x:v>
      </x:c>
    </x:row>
    <x:row r="3059" ht="27" customHeight="1">
      <x:c r="A3059" s="66" t="str">
        <x:v>SEV580</x:v>
      </x:c>
      <x:c r="B3059" s="66" t="str">
        <x:v>祁腾蜂赢1号</x:v>
      </x:c>
      <x:c r="C3059" s="72" t="n">
        <x:v>45490</x:v>
      </x:c>
      <x:c r="D3059" s="73" t="n">
        <x:v>1.0031</x:v>
      </x:c>
      <x:c r="E3059" s="73" t="n">
        <x:v>1.641</x:v>
      </x:c>
      <x:c r="F3059" s="73" t="n">
        <x:v>1.8485</x:v>
      </x:c>
      <x:c r="G3059" s="74" t="n">
        <x:v>-0.0005</x:v>
      </x:c>
      <x:c r="H3059" s="66" t="str">
        <x:v>祁腾蜂赢1号净值20260911.xlsx</x:v>
      </x:c>
      <x:c r="I3059" s="73" t="str">
        <x:f>""</x:f>
      </x:c>
      <x:c r="J3059" s="74" t="str">
        <x:f>""</x:f>
      </x:c>
      <x:c r="K3059" s="73" t="n">
        <x:f>MAX(K3058,F3059)</x:f>
        <x:v>1.8528</x:v>
      </x:c>
      <x:c r="L3059" s="74" t="n">
        <x:f>1-F3059/K3059</x:f>
        <x:v>0.002320811744386808</x:v>
      </x:c>
      <x:c r="M3059" s="73" t="n">
        <x:f>MAX(M3058,F3059)</x:f>
        <x:v>1.8528</x:v>
      </x:c>
      <x:c r="N3059" s="74" t="n">
        <x:f>1-F3059/M3059</x:f>
        <x:v>0.002320811744386808</x:v>
      </x:c>
    </x:row>
    <x:row r="3060" ht="27" customHeight="1">
      <x:c r="A3060" s="66" t="str">
        <x:v>SEV580</x:v>
      </x:c>
      <x:c r="B3060" s="66" t="str">
        <x:v>祁腾蜂赢1号</x:v>
      </x:c>
      <x:c r="C3060" s="72" t="n">
        <x:v>45491</x:v>
      </x:c>
      <x:c r="D3060" s="73" t="n">
        <x:v>1.0037</x:v>
      </x:c>
      <x:c r="E3060" s="73" t="n">
        <x:v>1.6416</x:v>
      </x:c>
      <x:c r="F3060" s="73" t="n">
        <x:v>1.8496</x:v>
      </x:c>
      <x:c r="G3060" s="74" t="n">
        <x:v>0.0006</x:v>
      </x:c>
      <x:c r="H3060" s="66" t="str">
        <x:v>祁腾蜂赢1号净值20260911.xlsx</x:v>
      </x:c>
      <x:c r="I3060" s="73" t="str">
        <x:f>""</x:f>
      </x:c>
      <x:c r="J3060" s="74" t="str">
        <x:f>""</x:f>
      </x:c>
      <x:c r="K3060" s="73" t="n">
        <x:f>MAX(K3059,F3060)</x:f>
        <x:v>1.8528</x:v>
      </x:c>
      <x:c r="L3060" s="74" t="n">
        <x:f>1-F3060/K3060</x:f>
        <x:v>0.0017271157167531026</x:v>
      </x:c>
      <x:c r="M3060" s="73" t="n">
        <x:f>MAX(M3059,F3060)</x:f>
        <x:v>1.8528</x:v>
      </x:c>
      <x:c r="N3060" s="74" t="n">
        <x:f>1-F3060/M3060</x:f>
        <x:v>0.0017271157167531026</x:v>
      </x:c>
    </x:row>
    <x:row r="3061" ht="27" customHeight="1">
      <x:c r="A3061" s="66" t="str">
        <x:v>SEV580</x:v>
      </x:c>
      <x:c r="B3061" s="66" t="str">
        <x:v>祁腾蜂赢1号</x:v>
      </x:c>
      <x:c r="C3061" s="72" t="n">
        <x:v>45492</x:v>
      </x:c>
      <x:c r="D3061" s="73" t="n">
        <x:v>1.0061</x:v>
      </x:c>
      <x:c r="E3061" s="73" t="n">
        <x:v>1.644</x:v>
      </x:c>
      <x:c r="F3061" s="73" t="n">
        <x:v>1.8541</x:v>
      </x:c>
      <x:c r="G3061" s="74" t="n">
        <x:v>0.0024</x:v>
      </x:c>
      <x:c r="H3061" s="66" t="str">
        <x:v>祁腾蜂赢1号净值20260911.xlsx</x:v>
      </x:c>
      <x:c r="I3061" s="73" t="str">
        <x:f>""</x:f>
      </x:c>
      <x:c r="J3061" s="74" t="str">
        <x:f>""</x:f>
      </x:c>
      <x:c r="K3061" s="73" t="n">
        <x:f>MAX(K3060,F3061)</x:f>
        <x:v>1.8541</x:v>
      </x:c>
      <x:c r="L3061" s="74" t="n">
        <x:f>1-F3061/K3061</x:f>
        <x:v>0</x:v>
      </x:c>
      <x:c r="M3061" s="73" t="n">
        <x:f>MAX(M3060,F3061)</x:f>
        <x:v>1.8541</x:v>
      </x:c>
      <x:c r="N3061" s="74" t="n">
        <x:f>1-F3061/M3061</x:f>
        <x:v>0</x:v>
      </x:c>
    </x:row>
    <x:row r="3062" ht="27" customHeight="1">
      <x:c r="A3062" s="66" t="str">
        <x:v>SEV580</x:v>
      </x:c>
      <x:c r="B3062" s="66" t="str">
        <x:v>祁腾蜂赢1号</x:v>
      </x:c>
      <x:c r="C3062" s="72" t="n">
        <x:v>45495</x:v>
      </x:c>
      <x:c r="D3062" s="73" t="n">
        <x:v>1.0062</x:v>
      </x:c>
      <x:c r="E3062" s="73" t="n">
        <x:v>1.6441</x:v>
      </x:c>
      <x:c r="F3062" s="73" t="n">
        <x:v>1.8543</x:v>
      </x:c>
      <x:c r="G3062" s="74" t="n">
        <x:v>0.0001</x:v>
      </x:c>
      <x:c r="H3062" s="66" t="str">
        <x:v>祁腾蜂赢1号净值20260911.xlsx</x:v>
      </x:c>
      <x:c r="I3062" s="73" t="str">
        <x:f>""</x:f>
      </x:c>
      <x:c r="J3062" s="74" t="str">
        <x:f>""</x:f>
      </x:c>
      <x:c r="K3062" s="73" t="n">
        <x:f>MAX(K3061,F3062)</x:f>
        <x:v>1.8543</x:v>
      </x:c>
      <x:c r="L3062" s="74" t="n">
        <x:f>1-F3062/K3062</x:f>
        <x:v>0</x:v>
      </x:c>
      <x:c r="M3062" s="73" t="n">
        <x:f>MAX(M3061,F3062)</x:f>
        <x:v>1.8543</x:v>
      </x:c>
      <x:c r="N3062" s="74" t="n">
        <x:f>1-F3062/M3062</x:f>
        <x:v>0</x:v>
      </x:c>
    </x:row>
    <x:row r="3063" ht="27" customHeight="1">
      <x:c r="A3063" s="66" t="str">
        <x:v>SEV580</x:v>
      </x:c>
      <x:c r="B3063" s="66" t="str">
        <x:v>祁腾蜂赢1号</x:v>
      </x:c>
      <x:c r="C3063" s="72" t="n">
        <x:v>45496</x:v>
      </x:c>
      <x:c r="D3063" s="73" t="n">
        <x:v>1.0063</x:v>
      </x:c>
      <x:c r="E3063" s="73" t="n">
        <x:v>1.6442</x:v>
      </x:c>
      <x:c r="F3063" s="73" t="n">
        <x:v>1.8544</x:v>
      </x:c>
      <x:c r="G3063" s="74" t="n">
        <x:v>0.0001</x:v>
      </x:c>
      <x:c r="H3063" s="66" t="str">
        <x:v>祁腾蜂赢1号净值20260911.xlsx</x:v>
      </x:c>
      <x:c r="I3063" s="73" t="str">
        <x:f>""</x:f>
      </x:c>
      <x:c r="J3063" s="74" t="str">
        <x:f>""</x:f>
      </x:c>
      <x:c r="K3063" s="73" t="n">
        <x:f>MAX(K3062,F3063)</x:f>
        <x:v>1.8544</x:v>
      </x:c>
      <x:c r="L3063" s="74" t="n">
        <x:f>1-F3063/K3063</x:f>
        <x:v>0</x:v>
      </x:c>
      <x:c r="M3063" s="73" t="n">
        <x:f>MAX(M3062,F3063)</x:f>
        <x:v>1.8544</x:v>
      </x:c>
      <x:c r="N3063" s="74" t="n">
        <x:f>1-F3063/M3063</x:f>
        <x:v>0</x:v>
      </x:c>
    </x:row>
    <x:row r="3064" ht="27" customHeight="1">
      <x:c r="A3064" s="66" t="str">
        <x:v>SEV580</x:v>
      </x:c>
      <x:c r="B3064" s="66" t="str">
        <x:v>祁腾蜂赢1号</x:v>
      </x:c>
      <x:c r="C3064" s="72" t="n">
        <x:v>45497</x:v>
      </x:c>
      <x:c r="D3064" s="73" t="n">
        <x:v>1.0066</x:v>
      </x:c>
      <x:c r="E3064" s="73" t="n">
        <x:v>1.6445</x:v>
      </x:c>
      <x:c r="F3064" s="73" t="n">
        <x:v>1.855</x:v>
      </x:c>
      <x:c r="G3064" s="74" t="n">
        <x:v>0.0003</x:v>
      </x:c>
      <x:c r="H3064" s="66" t="str">
        <x:v>祁腾蜂赢1号净值20260911.xlsx</x:v>
      </x:c>
      <x:c r="I3064" s="73" t="str">
        <x:f>""</x:f>
      </x:c>
      <x:c r="J3064" s="74" t="str">
        <x:f>""</x:f>
      </x:c>
      <x:c r="K3064" s="73" t="n">
        <x:f>MAX(K3063,F3064)</x:f>
        <x:v>1.855</x:v>
      </x:c>
      <x:c r="L3064" s="74" t="n">
        <x:f>1-F3064/K3064</x:f>
        <x:v>0</x:v>
      </x:c>
      <x:c r="M3064" s="73" t="n">
        <x:f>MAX(M3063,F3064)</x:f>
        <x:v>1.855</x:v>
      </x:c>
      <x:c r="N3064" s="74" t="n">
        <x:f>1-F3064/M3064</x:f>
        <x:v>0</x:v>
      </x:c>
    </x:row>
    <x:row r="3065" ht="27" customHeight="1">
      <x:c r="A3065" s="66" t="str">
        <x:v>SEV580</x:v>
      </x:c>
      <x:c r="B3065" s="66" t="str">
        <x:v>祁腾蜂赢1号</x:v>
      </x:c>
      <x:c r="C3065" s="72" t="n">
        <x:v>45498</x:v>
      </x:c>
      <x:c r="D3065" s="73" t="n">
        <x:v>1.0066</x:v>
      </x:c>
      <x:c r="E3065" s="73" t="n">
        <x:v>1.6445</x:v>
      </x:c>
      <x:c r="F3065" s="73" t="n">
        <x:v>1.855</x:v>
      </x:c>
      <x:c r="G3065" s="74" t="n">
        <x:v>0</x:v>
      </x:c>
      <x:c r="H3065" s="66" t="str">
        <x:v>祁腾蜂赢1号净值20260911.xlsx</x:v>
      </x:c>
      <x:c r="I3065" s="73" t="str">
        <x:f>""</x:f>
      </x:c>
      <x:c r="J3065" s="74" t="str">
        <x:f>""</x:f>
      </x:c>
      <x:c r="K3065" s="73" t="n">
        <x:f>MAX(K3064,F3065)</x:f>
        <x:v>1.855</x:v>
      </x:c>
      <x:c r="L3065" s="74" t="n">
        <x:f>1-F3065/K3065</x:f>
        <x:v>0</x:v>
      </x:c>
      <x:c r="M3065" s="73" t="n">
        <x:f>MAX(M3064,F3065)</x:f>
        <x:v>1.855</x:v>
      </x:c>
      <x:c r="N3065" s="74" t="n">
        <x:f>1-F3065/M3065</x:f>
        <x:v>0</x:v>
      </x:c>
    </x:row>
    <x:row r="3066" ht="27" customHeight="1">
      <x:c r="A3066" s="66" t="str">
        <x:v>SEV580</x:v>
      </x:c>
      <x:c r="B3066" s="66" t="str">
        <x:v>祁腾蜂赢1号</x:v>
      </x:c>
      <x:c r="C3066" s="72" t="n">
        <x:v>45499</x:v>
      </x:c>
      <x:c r="D3066" s="73" t="n">
        <x:v>1.0067</x:v>
      </x:c>
      <x:c r="E3066" s="73" t="n">
        <x:v>1.6446</x:v>
      </x:c>
      <x:c r="F3066" s="73" t="n">
        <x:v>1.8552</x:v>
      </x:c>
      <x:c r="G3066" s="74" t="n">
        <x:v>0.0001</x:v>
      </x:c>
      <x:c r="H3066" s="66" t="str">
        <x:v>祁腾蜂赢1号净值20260911.xlsx</x:v>
      </x:c>
      <x:c r="I3066" s="73" t="str">
        <x:f>""</x:f>
      </x:c>
      <x:c r="J3066" s="74" t="str">
        <x:f>""</x:f>
      </x:c>
      <x:c r="K3066" s="73" t="n">
        <x:f>MAX(K3065,F3066)</x:f>
        <x:v>1.8552</x:v>
      </x:c>
      <x:c r="L3066" s="74" t="n">
        <x:f>1-F3066/K3066</x:f>
        <x:v>0</x:v>
      </x:c>
      <x:c r="M3066" s="73" t="n">
        <x:f>MAX(M3065,F3066)</x:f>
        <x:v>1.8552</x:v>
      </x:c>
      <x:c r="N3066" s="74" t="n">
        <x:f>1-F3066/M3066</x:f>
        <x:v>0</x:v>
      </x:c>
    </x:row>
    <x:row r="3067" ht="27" customHeight="1">
      <x:c r="A3067" s="66" t="str">
        <x:v>SEV580</x:v>
      </x:c>
      <x:c r="B3067" s="66" t="str">
        <x:v>祁腾蜂赢1号</x:v>
      </x:c>
      <x:c r="C3067" s="72" t="n">
        <x:v>45502</x:v>
      </x:c>
      <x:c r="D3067" s="73" t="n">
        <x:v>1.0059</x:v>
      </x:c>
      <x:c r="E3067" s="73" t="n">
        <x:v>1.6438</x:v>
      </x:c>
      <x:c r="F3067" s="73" t="n">
        <x:v>1.8537</x:v>
      </x:c>
      <x:c r="G3067" s="74" t="n">
        <x:v>-0.0008</x:v>
      </x:c>
      <x:c r="H3067" s="66" t="str">
        <x:v>祁腾蜂赢1号净值20260911.xlsx</x:v>
      </x:c>
      <x:c r="I3067" s="73" t="str">
        <x:f>""</x:f>
      </x:c>
      <x:c r="J3067" s="74" t="str">
        <x:f>""</x:f>
      </x:c>
      <x:c r="K3067" s="73" t="n">
        <x:f>MAX(K3066,F3067)</x:f>
        <x:v>1.8552</x:v>
      </x:c>
      <x:c r="L3067" s="74" t="n">
        <x:f>1-F3067/K3067</x:f>
        <x:v>0.0008085381630013044</x:v>
      </x:c>
      <x:c r="M3067" s="73" t="n">
        <x:f>MAX(M3066,F3067)</x:f>
        <x:v>1.8552</x:v>
      </x:c>
      <x:c r="N3067" s="74" t="n">
        <x:f>1-F3067/M3067</x:f>
        <x:v>0.0008085381630013044</x:v>
      </x:c>
    </x:row>
    <x:row r="3068" ht="27" customHeight="1">
      <x:c r="A3068" s="66" t="str">
        <x:v>SEV580</x:v>
      </x:c>
      <x:c r="B3068" s="66" t="str">
        <x:v>祁腾蜂赢1号</x:v>
      </x:c>
      <x:c r="C3068" s="72" t="n">
        <x:v>45503</x:v>
      </x:c>
      <x:c r="D3068" s="73" t="n">
        <x:v>1.0067</x:v>
      </x:c>
      <x:c r="E3068" s="73" t="n">
        <x:v>1.6446</x:v>
      </x:c>
      <x:c r="F3068" s="73" t="n">
        <x:v>1.8552</x:v>
      </x:c>
      <x:c r="G3068" s="74" t="n">
        <x:v>0.0008</x:v>
      </x:c>
      <x:c r="H3068" s="66" t="str">
        <x:v>祁腾蜂赢1号净值20260911.xlsx</x:v>
      </x:c>
      <x:c r="I3068" s="73" t="str">
        <x:f>""</x:f>
      </x:c>
      <x:c r="J3068" s="74" t="str">
        <x:f>""</x:f>
      </x:c>
      <x:c r="K3068" s="73" t="n">
        <x:f>MAX(K3067,F3068)</x:f>
        <x:v>1.8552</x:v>
      </x:c>
      <x:c r="L3068" s="74" t="n">
        <x:f>1-F3068/K3068</x:f>
        <x:v>0</x:v>
      </x:c>
      <x:c r="M3068" s="73" t="n">
        <x:f>MAX(M3067,F3068)</x:f>
        <x:v>1.8552</x:v>
      </x:c>
      <x:c r="N3068" s="74" t="n">
        <x:f>1-F3068/M3068</x:f>
        <x:v>0</x:v>
      </x:c>
    </x:row>
    <x:row r="3069" ht="27" customHeight="1">
      <x:c r="A3069" s="66" t="str">
        <x:v>SEV580</x:v>
      </x:c>
      <x:c r="B3069" s="66" t="str">
        <x:v>祁腾蜂赢1号</x:v>
      </x:c>
      <x:c r="C3069" s="72" t="n">
        <x:v>45504</x:v>
      </x:c>
      <x:c r="D3069" s="73" t="n">
        <x:v>1.0056</x:v>
      </x:c>
      <x:c r="E3069" s="73" t="n">
        <x:v>1.6435</x:v>
      </x:c>
      <x:c r="F3069" s="73" t="n">
        <x:v>1.8532</x:v>
      </x:c>
      <x:c r="G3069" s="74" t="n">
        <x:v>-0.0011</x:v>
      </x:c>
      <x:c r="H3069" s="66" t="str">
        <x:v>祁腾蜂赢1号净值20260911.xlsx</x:v>
      </x:c>
      <x:c r="I3069" s="73" t="str">
        <x:f>""</x:f>
      </x:c>
      <x:c r="J3069" s="74" t="str">
        <x:f>""</x:f>
      </x:c>
      <x:c r="K3069" s="73" t="n">
        <x:f>MAX(K3068,F3069)</x:f>
        <x:v>1.8552</x:v>
      </x:c>
      <x:c r="L3069" s="74" t="n">
        <x:f>1-F3069/K3069</x:f>
        <x:v>0.0010780508840017022</x:v>
      </x:c>
      <x:c r="M3069" s="73" t="n">
        <x:f>MAX(M3068,F3069)</x:f>
        <x:v>1.8552</x:v>
      </x:c>
      <x:c r="N3069" s="74" t="n">
        <x:f>1-F3069/M3069</x:f>
        <x:v>0.0010780508840017022</x:v>
      </x:c>
    </x:row>
    <x:row r="3070" ht="27" customHeight="1">
      <x:c r="A3070" s="66" t="str">
        <x:v>SEV580</x:v>
      </x:c>
      <x:c r="B3070" s="66" t="str">
        <x:v>祁腾蜂赢1号</x:v>
      </x:c>
      <x:c r="C3070" s="72" t="n">
        <x:v>45505</x:v>
      </x:c>
      <x:c r="D3070" s="73" t="n">
        <x:v>1.0066</x:v>
      </x:c>
      <x:c r="E3070" s="73" t="n">
        <x:v>1.6445</x:v>
      </x:c>
      <x:c r="F3070" s="73" t="n">
        <x:v>1.855</x:v>
      </x:c>
      <x:c r="G3070" s="74" t="n">
        <x:v>0.001</x:v>
      </x:c>
      <x:c r="H3070" s="66" t="str">
        <x:v>祁腾蜂赢1号净值20260911.xlsx</x:v>
      </x:c>
      <x:c r="I3070" s="73" t="str">
        <x:f>""</x:f>
      </x:c>
      <x:c r="J3070" s="74" t="str">
        <x:f>""</x:f>
      </x:c>
      <x:c r="K3070" s="73" t="n">
        <x:f>MAX(K3069,F3070)</x:f>
        <x:v>1.8552</x:v>
      </x:c>
      <x:c r="L3070" s="74" t="n">
        <x:f>1-F3070/K3070</x:f>
        <x:v>0.00010780508840013692</x:v>
      </x:c>
      <x:c r="M3070" s="73" t="n">
        <x:f>MAX(M3069,F3070)</x:f>
        <x:v>1.8552</x:v>
      </x:c>
      <x:c r="N3070" s="74" t="n">
        <x:f>1-F3070/M3070</x:f>
        <x:v>0.00010780508840013692</x:v>
      </x:c>
    </x:row>
    <x:row r="3071" ht="27" customHeight="1">
      <x:c r="A3071" s="66" t="str">
        <x:v>SEV580</x:v>
      </x:c>
      <x:c r="B3071" s="66" t="str">
        <x:v>祁腾蜂赢1号</x:v>
      </x:c>
      <x:c r="C3071" s="72" t="n">
        <x:v>45506</x:v>
      </x:c>
      <x:c r="D3071" s="73" t="n">
        <x:v>1.0067</x:v>
      </x:c>
      <x:c r="E3071" s="73" t="n">
        <x:v>1.6446</x:v>
      </x:c>
      <x:c r="F3071" s="73" t="n">
        <x:v>1.8552</x:v>
      </x:c>
      <x:c r="G3071" s="74" t="n">
        <x:v>0.0001</x:v>
      </x:c>
      <x:c r="H3071" s="66" t="str">
        <x:v>祁腾蜂赢1号净值20260911.xlsx</x:v>
      </x:c>
      <x:c r="I3071" s="73" t="str">
        <x:f>""</x:f>
      </x:c>
      <x:c r="J3071" s="74" t="str">
        <x:f>""</x:f>
      </x:c>
      <x:c r="K3071" s="73" t="n">
        <x:f>MAX(K3070,F3071)</x:f>
        <x:v>1.8552</x:v>
      </x:c>
      <x:c r="L3071" s="74" t="n">
        <x:f>1-F3071/K3071</x:f>
        <x:v>0</x:v>
      </x:c>
      <x:c r="M3071" s="73" t="n">
        <x:f>MAX(M3070,F3071)</x:f>
        <x:v>1.8552</x:v>
      </x:c>
      <x:c r="N3071" s="74" t="n">
        <x:f>1-F3071/M3071</x:f>
        <x:v>0</x:v>
      </x:c>
    </x:row>
    <x:row r="3072" ht="27" customHeight="1">
      <x:c r="A3072" s="66" t="str">
        <x:v>SEV580</x:v>
      </x:c>
      <x:c r="B3072" s="66" t="str">
        <x:v>祁腾蜂赢1号</x:v>
      </x:c>
      <x:c r="C3072" s="72" t="n">
        <x:v>45509</x:v>
      </x:c>
      <x:c r="D3072" s="73" t="n">
        <x:v>1.0081</x:v>
      </x:c>
      <x:c r="E3072" s="73" t="n">
        <x:v>1.646</x:v>
      </x:c>
      <x:c r="F3072" s="73" t="n">
        <x:v>1.8578</x:v>
      </x:c>
      <x:c r="G3072" s="74" t="n">
        <x:v>0.0014000000000000002</x:v>
      </x:c>
      <x:c r="H3072" s="66" t="str">
        <x:v>祁腾蜂赢1号净值20260911.xlsx</x:v>
      </x:c>
      <x:c r="I3072" s="73" t="str">
        <x:f>""</x:f>
      </x:c>
      <x:c r="J3072" s="74" t="str">
        <x:f>""</x:f>
      </x:c>
      <x:c r="K3072" s="73" t="n">
        <x:f>MAX(K3071,F3072)</x:f>
        <x:v>1.8578</x:v>
      </x:c>
      <x:c r="L3072" s="74" t="n">
        <x:f>1-F3072/K3072</x:f>
        <x:v>0</x:v>
      </x:c>
      <x:c r="M3072" s="73" t="n">
        <x:f>MAX(M3071,F3072)</x:f>
        <x:v>1.8578</x:v>
      </x:c>
      <x:c r="N3072" s="74" t="n">
        <x:f>1-F3072/M3072</x:f>
        <x:v>0</x:v>
      </x:c>
    </x:row>
    <x:row r="3073" ht="27" customHeight="1">
      <x:c r="A3073" s="66" t="str">
        <x:v>SEV580</x:v>
      </x:c>
      <x:c r="B3073" s="66" t="str">
        <x:v>祁腾蜂赢1号</x:v>
      </x:c>
      <x:c r="C3073" s="72" t="n">
        <x:v>45510</x:v>
      </x:c>
      <x:c r="D3073" s="73" t="n">
        <x:v>1.0085</x:v>
      </x:c>
      <x:c r="E3073" s="73" t="n">
        <x:v>1.6464</x:v>
      </x:c>
      <x:c r="F3073" s="73" t="n">
        <x:v>1.8585</x:v>
      </x:c>
      <x:c r="G3073" s="74" t="n">
        <x:v>0.0004</x:v>
      </x:c>
      <x:c r="H3073" s="66" t="str">
        <x:v>祁腾蜂赢1号净值20260911.xlsx</x:v>
      </x:c>
      <x:c r="I3073" s="73" t="str">
        <x:f>""</x:f>
      </x:c>
      <x:c r="J3073" s="74" t="str">
        <x:f>""</x:f>
      </x:c>
      <x:c r="K3073" s="73" t="n">
        <x:f>MAX(K3072,F3073)</x:f>
        <x:v>1.8585</x:v>
      </x:c>
      <x:c r="L3073" s="74" t="n">
        <x:f>1-F3073/K3073</x:f>
        <x:v>0</x:v>
      </x:c>
      <x:c r="M3073" s="73" t="n">
        <x:f>MAX(M3072,F3073)</x:f>
        <x:v>1.8585</x:v>
      </x:c>
      <x:c r="N3073" s="74" t="n">
        <x:f>1-F3073/M3073</x:f>
        <x:v>0</x:v>
      </x:c>
    </x:row>
    <x:row r="3074" ht="27" customHeight="1">
      <x:c r="A3074" s="66" t="str">
        <x:v>SEV580</x:v>
      </x:c>
      <x:c r="B3074" s="66" t="str">
        <x:v>祁腾蜂赢1号</x:v>
      </x:c>
      <x:c r="C3074" s="72" t="n">
        <x:v>45511</x:v>
      </x:c>
      <x:c r="D3074" s="73" t="n">
        <x:v>1.0086</x:v>
      </x:c>
      <x:c r="E3074" s="73" t="n">
        <x:v>1.6465</x:v>
      </x:c>
      <x:c r="F3074" s="73" t="n">
        <x:v>1.8587</x:v>
      </x:c>
      <x:c r="G3074" s="74" t="n">
        <x:v>0.0001</x:v>
      </x:c>
      <x:c r="H3074" s="66" t="str">
        <x:v>祁腾蜂赢1号净值20260911.xlsx</x:v>
      </x:c>
      <x:c r="I3074" s="73" t="str">
        <x:f>""</x:f>
      </x:c>
      <x:c r="J3074" s="74" t="str">
        <x:f>""</x:f>
      </x:c>
      <x:c r="K3074" s="73" t="n">
        <x:f>MAX(K3073,F3074)</x:f>
        <x:v>1.8587</x:v>
      </x:c>
      <x:c r="L3074" s="74" t="n">
        <x:f>1-F3074/K3074</x:f>
        <x:v>0</x:v>
      </x:c>
      <x:c r="M3074" s="73" t="n">
        <x:f>MAX(M3073,F3074)</x:f>
        <x:v>1.8587</x:v>
      </x:c>
      <x:c r="N3074" s="74" t="n">
        <x:f>1-F3074/M3074</x:f>
        <x:v>0</x:v>
      </x:c>
    </x:row>
    <x:row r="3075" ht="27" customHeight="1">
      <x:c r="A3075" s="66" t="str">
        <x:v>SEV580</x:v>
      </x:c>
      <x:c r="B3075" s="66" t="str">
        <x:v>祁腾蜂赢1号</x:v>
      </x:c>
      <x:c r="C3075" s="72" t="n">
        <x:v>45512</x:v>
      </x:c>
      <x:c r="D3075" s="73" t="n">
        <x:v>1.0089</x:v>
      </x:c>
      <x:c r="E3075" s="73" t="n">
        <x:v>1.6468</x:v>
      </x:c>
      <x:c r="F3075" s="73" t="n">
        <x:v>1.8592</x:v>
      </x:c>
      <x:c r="G3075" s="74" t="n">
        <x:v>0.0003</x:v>
      </x:c>
      <x:c r="H3075" s="66" t="str">
        <x:v>祁腾蜂赢1号净值20260911.xlsx</x:v>
      </x:c>
      <x:c r="I3075" s="73" t="str">
        <x:f>""</x:f>
      </x:c>
      <x:c r="J3075" s="74" t="str">
        <x:f>""</x:f>
      </x:c>
      <x:c r="K3075" s="73" t="n">
        <x:f>MAX(K3074,F3075)</x:f>
        <x:v>1.8592</x:v>
      </x:c>
      <x:c r="L3075" s="74" t="n">
        <x:f>1-F3075/K3075</x:f>
        <x:v>0</x:v>
      </x:c>
      <x:c r="M3075" s="73" t="n">
        <x:f>MAX(M3074,F3075)</x:f>
        <x:v>1.8592</x:v>
      </x:c>
      <x:c r="N3075" s="74" t="n">
        <x:f>1-F3075/M3075</x:f>
        <x:v>0</x:v>
      </x:c>
    </x:row>
    <x:row r="3076" ht="27" customHeight="1">
      <x:c r="A3076" s="66" t="str">
        <x:v>SEV580</x:v>
      </x:c>
      <x:c r="B3076" s="66" t="str">
        <x:v>祁腾蜂赢1号</x:v>
      </x:c>
      <x:c r="C3076" s="72" t="n">
        <x:v>45513</x:v>
      </x:c>
      <x:c r="D3076" s="73" t="n">
        <x:v>1.0093</x:v>
      </x:c>
      <x:c r="E3076" s="73" t="n">
        <x:v>1.6472</x:v>
      </x:c>
      <x:c r="F3076" s="73" t="n">
        <x:v>1.86</x:v>
      </x:c>
      <x:c r="G3076" s="74" t="n">
        <x:v>0.0004</x:v>
      </x:c>
      <x:c r="H3076" s="66" t="str">
        <x:v>祁腾蜂赢1号净值20260911.xlsx</x:v>
      </x:c>
      <x:c r="I3076" s="73" t="str">
        <x:f>""</x:f>
      </x:c>
      <x:c r="J3076" s="74" t="str">
        <x:f>""</x:f>
      </x:c>
      <x:c r="K3076" s="73" t="n">
        <x:f>MAX(K3075,F3076)</x:f>
        <x:v>1.86</x:v>
      </x:c>
      <x:c r="L3076" s="74" t="n">
        <x:f>1-F3076/K3076</x:f>
        <x:v>0</x:v>
      </x:c>
      <x:c r="M3076" s="73" t="n">
        <x:f>MAX(M3075,F3076)</x:f>
        <x:v>1.86</x:v>
      </x:c>
      <x:c r="N3076" s="74" t="n">
        <x:f>1-F3076/M3076</x:f>
        <x:v>0</x:v>
      </x:c>
    </x:row>
    <x:row r="3077" ht="27" customHeight="1">
      <x:c r="A3077" s="66" t="str">
        <x:v>SEV580</x:v>
      </x:c>
      <x:c r="B3077" s="66" t="str">
        <x:v>祁腾蜂赢1号</x:v>
      </x:c>
      <x:c r="C3077" s="72" t="n">
        <x:v>45516</x:v>
      </x:c>
      <x:c r="D3077" s="73" t="n">
        <x:v>1.0086</x:v>
      </x:c>
      <x:c r="E3077" s="73" t="n">
        <x:v>1.6465</x:v>
      </x:c>
      <x:c r="F3077" s="73" t="n">
        <x:v>1.8587</x:v>
      </x:c>
      <x:c r="G3077" s="74" t="n">
        <x:v>-0.0007000000000000001</x:v>
      </x:c>
      <x:c r="H3077" s="66" t="str">
        <x:v>祁腾蜂赢1号净值20260911.xlsx</x:v>
      </x:c>
      <x:c r="I3077" s="73" t="str">
        <x:f>""</x:f>
      </x:c>
      <x:c r="J3077" s="74" t="str">
        <x:f>""</x:f>
      </x:c>
      <x:c r="K3077" s="73" t="n">
        <x:f>MAX(K3076,F3077)</x:f>
        <x:v>1.86</x:v>
      </x:c>
      <x:c r="L3077" s="74" t="n">
        <x:f>1-F3077/K3077</x:f>
        <x:v>0.0006989247311828262</x:v>
      </x:c>
      <x:c r="M3077" s="73" t="n">
        <x:f>MAX(M3076,F3077)</x:f>
        <x:v>1.86</x:v>
      </x:c>
      <x:c r="N3077" s="74" t="n">
        <x:f>1-F3077/M3077</x:f>
        <x:v>0.0006989247311828262</x:v>
      </x:c>
    </x:row>
    <x:row r="3078" ht="27" customHeight="1">
      <x:c r="A3078" s="66" t="str">
        <x:v>SEV580</x:v>
      </x:c>
      <x:c r="B3078" s="66" t="str">
        <x:v>祁腾蜂赢1号</x:v>
      </x:c>
      <x:c r="C3078" s="72" t="n">
        <x:v>45517</x:v>
      </x:c>
      <x:c r="D3078" s="73" t="n">
        <x:v>1.0109</x:v>
      </x:c>
      <x:c r="E3078" s="73" t="n">
        <x:v>1.6488</x:v>
      </x:c>
      <x:c r="F3078" s="73" t="n">
        <x:v>1.8629</x:v>
      </x:c>
      <x:c r="G3078" s="74" t="n">
        <x:v>0.0023</x:v>
      </x:c>
      <x:c r="H3078" s="66" t="str">
        <x:v>祁腾蜂赢1号净值20260911.xlsx</x:v>
      </x:c>
      <x:c r="I3078" s="73" t="str">
        <x:f>""</x:f>
      </x:c>
      <x:c r="J3078" s="74" t="str">
        <x:f>""</x:f>
      </x:c>
      <x:c r="K3078" s="73" t="n">
        <x:f>MAX(K3077,F3078)</x:f>
        <x:v>1.8629</x:v>
      </x:c>
      <x:c r="L3078" s="74" t="n">
        <x:f>1-F3078/K3078</x:f>
        <x:v>0</x:v>
      </x:c>
      <x:c r="M3078" s="73" t="n">
        <x:f>MAX(M3077,F3078)</x:f>
        <x:v>1.8629</x:v>
      </x:c>
      <x:c r="N3078" s="74" t="n">
        <x:f>1-F3078/M3078</x:f>
        <x:v>0</x:v>
      </x:c>
    </x:row>
    <x:row r="3079" ht="27" customHeight="1">
      <x:c r="A3079" s="66" t="str">
        <x:v>SEV580</x:v>
      </x:c>
      <x:c r="B3079" s="66" t="str">
        <x:v>祁腾蜂赢1号</x:v>
      </x:c>
      <x:c r="C3079" s="72" t="n">
        <x:v>45518</x:v>
      </x:c>
      <x:c r="D3079" s="73" t="n">
        <x:v>1.0108</x:v>
      </x:c>
      <x:c r="E3079" s="73" t="n">
        <x:v>1.6487</x:v>
      </x:c>
      <x:c r="F3079" s="73" t="n">
        <x:v>1.8627</x:v>
      </x:c>
      <x:c r="G3079" s="74" t="n">
        <x:v>-0.0001</x:v>
      </x:c>
      <x:c r="H3079" s="66" t="str">
        <x:v>祁腾蜂赢1号净值20260911.xlsx</x:v>
      </x:c>
      <x:c r="I3079" s="73" t="str">
        <x:f>""</x:f>
      </x:c>
      <x:c r="J3079" s="74" t="str">
        <x:f>""</x:f>
      </x:c>
      <x:c r="K3079" s="73" t="n">
        <x:f>MAX(K3078,F3079)</x:f>
        <x:v>1.8629</x:v>
      </x:c>
      <x:c r="L3079" s="74" t="n">
        <x:f>1-F3079/K3079</x:f>
        <x:v>0.0001073594932631261</x:v>
      </x:c>
      <x:c r="M3079" s="73" t="n">
        <x:f>MAX(M3078,F3079)</x:f>
        <x:v>1.8629</x:v>
      </x:c>
      <x:c r="N3079" s="74" t="n">
        <x:f>1-F3079/M3079</x:f>
        <x:v>0.0001073594932631261</x:v>
      </x:c>
    </x:row>
    <x:row r="3080" ht="27" customHeight="1">
      <x:c r="A3080" s="66" t="str">
        <x:v>SEV580</x:v>
      </x:c>
      <x:c r="B3080" s="66" t="str">
        <x:v>祁腾蜂赢1号</x:v>
      </x:c>
      <x:c r="C3080" s="72" t="n">
        <x:v>45519</x:v>
      </x:c>
      <x:c r="D3080" s="73" t="n">
        <x:v>1.0112</x:v>
      </x:c>
      <x:c r="E3080" s="73" t="n">
        <x:v>1.6491</x:v>
      </x:c>
      <x:c r="F3080" s="73" t="n">
        <x:v>1.8635</x:v>
      </x:c>
      <x:c r="G3080" s="74" t="n">
        <x:v>0.0004</x:v>
      </x:c>
      <x:c r="H3080" s="66" t="str">
        <x:v>祁腾蜂赢1号净值20260911.xlsx</x:v>
      </x:c>
      <x:c r="I3080" s="73" t="str">
        <x:f>""</x:f>
      </x:c>
      <x:c r="J3080" s="74" t="str">
        <x:f>""</x:f>
      </x:c>
      <x:c r="K3080" s="73" t="n">
        <x:f>MAX(K3079,F3080)</x:f>
        <x:v>1.8635</x:v>
      </x:c>
      <x:c r="L3080" s="74" t="n">
        <x:f>1-F3080/K3080</x:f>
        <x:v>0</x:v>
      </x:c>
      <x:c r="M3080" s="73" t="n">
        <x:f>MAX(M3079,F3080)</x:f>
        <x:v>1.8635</x:v>
      </x:c>
      <x:c r="N3080" s="74" t="n">
        <x:f>1-F3080/M3080</x:f>
        <x:v>0</x:v>
      </x:c>
    </x:row>
    <x:row r="3081" ht="27" customHeight="1">
      <x:c r="A3081" s="66" t="str">
        <x:v>SEV580</x:v>
      </x:c>
      <x:c r="B3081" s="66" t="str">
        <x:v>祁腾蜂赢1号</x:v>
      </x:c>
      <x:c r="C3081" s="72" t="n">
        <x:v>45520</x:v>
      </x:c>
      <x:c r="D3081" s="73" t="n">
        <x:v>1.0159</x:v>
      </x:c>
      <x:c r="E3081" s="73" t="n">
        <x:v>1.6538</x:v>
      </x:c>
      <x:c r="F3081" s="73" t="n">
        <x:v>1.8721</x:v>
      </x:c>
      <x:c r="G3081" s="74" t="n">
        <x:v>0.0046</x:v>
      </x:c>
      <x:c r="H3081" s="66" t="str">
        <x:v>祁腾蜂赢1号净值20260911.xlsx</x:v>
      </x:c>
      <x:c r="I3081" s="73" t="str">
        <x:f>""</x:f>
      </x:c>
      <x:c r="J3081" s="74" t="str">
        <x:f>""</x:f>
      </x:c>
      <x:c r="K3081" s="73" t="n">
        <x:f>MAX(K3080,F3081)</x:f>
        <x:v>1.8721</x:v>
      </x:c>
      <x:c r="L3081" s="74" t="n">
        <x:f>1-F3081/K3081</x:f>
        <x:v>0</x:v>
      </x:c>
      <x:c r="M3081" s="73" t="n">
        <x:f>MAX(M3080,F3081)</x:f>
        <x:v>1.8721</x:v>
      </x:c>
      <x:c r="N3081" s="74" t="n">
        <x:f>1-F3081/M3081</x:f>
        <x:v>0</x:v>
      </x:c>
    </x:row>
    <x:row r="3082" ht="27" customHeight="1">
      <x:c r="A3082" s="66" t="str">
        <x:v>SEV580</x:v>
      </x:c>
      <x:c r="B3082" s="66" t="str">
        <x:v>祁腾蜂赢1号</x:v>
      </x:c>
      <x:c r="C3082" s="72" t="n">
        <x:v>45523</x:v>
      </x:c>
      <x:c r="D3082" s="73" t="n">
        <x:v>1.0159</x:v>
      </x:c>
      <x:c r="E3082" s="73" t="n">
        <x:v>1.6538</x:v>
      </x:c>
      <x:c r="F3082" s="73" t="n">
        <x:v>1.8721</x:v>
      </x:c>
      <x:c r="G3082" s="74" t="n">
        <x:v>0</x:v>
      </x:c>
      <x:c r="H3082" s="66" t="str">
        <x:v>祁腾蜂赢1号净值20260911.xlsx</x:v>
      </x:c>
      <x:c r="I3082" s="73" t="str">
        <x:f>""</x:f>
      </x:c>
      <x:c r="J3082" s="74" t="str">
        <x:f>""</x:f>
      </x:c>
      <x:c r="K3082" s="73" t="n">
        <x:f>MAX(K3081,F3082)</x:f>
        <x:v>1.8721</x:v>
      </x:c>
      <x:c r="L3082" s="74" t="n">
        <x:f>1-F3082/K3082</x:f>
        <x:v>0</x:v>
      </x:c>
      <x:c r="M3082" s="73" t="n">
        <x:f>MAX(M3081,F3082)</x:f>
        <x:v>1.8721</x:v>
      </x:c>
      <x:c r="N3082" s="74" t="n">
        <x:f>1-F3082/M3082</x:f>
        <x:v>0</x:v>
      </x:c>
    </x:row>
    <x:row r="3083" ht="27" customHeight="1">
      <x:c r="A3083" s="66" t="str">
        <x:v>SEV580</x:v>
      </x:c>
      <x:c r="B3083" s="66" t="str">
        <x:v>祁腾蜂赢1号</x:v>
      </x:c>
      <x:c r="C3083" s="72" t="n">
        <x:v>45524</x:v>
      </x:c>
      <x:c r="D3083" s="73" t="n">
        <x:v>1.0183</x:v>
      </x:c>
      <x:c r="E3083" s="73" t="n">
        <x:v>1.6562</x:v>
      </x:c>
      <x:c r="F3083" s="73" t="n">
        <x:v>1.8766</x:v>
      </x:c>
      <x:c r="G3083" s="74" t="n">
        <x:v>0.0024</x:v>
      </x:c>
      <x:c r="H3083" s="66" t="str">
        <x:v>祁腾蜂赢1号净值20260911.xlsx</x:v>
      </x:c>
      <x:c r="I3083" s="73" t="str">
        <x:f>""</x:f>
      </x:c>
      <x:c r="J3083" s="74" t="str">
        <x:f>""</x:f>
      </x:c>
      <x:c r="K3083" s="73" t="n">
        <x:f>MAX(K3082,F3083)</x:f>
        <x:v>1.8766</x:v>
      </x:c>
      <x:c r="L3083" s="74" t="n">
        <x:f>1-F3083/K3083</x:f>
        <x:v>0</x:v>
      </x:c>
      <x:c r="M3083" s="73" t="n">
        <x:f>MAX(M3082,F3083)</x:f>
        <x:v>1.8766</x:v>
      </x:c>
      <x:c r="N3083" s="74" t="n">
        <x:f>1-F3083/M3083</x:f>
        <x:v>0</x:v>
      </x:c>
    </x:row>
    <x:row r="3084" ht="27" customHeight="1">
      <x:c r="A3084" s="66" t="str">
        <x:v>SEV580</x:v>
      </x:c>
      <x:c r="B3084" s="66" t="str">
        <x:v>祁腾蜂赢1号</x:v>
      </x:c>
      <x:c r="C3084" s="72" t="n">
        <x:v>45525</x:v>
      </x:c>
      <x:c r="D3084" s="73" t="n">
        <x:v>1.0184</x:v>
      </x:c>
      <x:c r="E3084" s="73" t="n">
        <x:v>1.6563</x:v>
      </x:c>
      <x:c r="F3084" s="73" t="n">
        <x:v>1.8767</x:v>
      </x:c>
      <x:c r="G3084" s="74" t="n">
        <x:v>0.0001</x:v>
      </x:c>
      <x:c r="H3084" s="66" t="str">
        <x:v>祁腾蜂赢1号净值20260911.xlsx</x:v>
      </x:c>
      <x:c r="I3084" s="73" t="str">
        <x:f>""</x:f>
      </x:c>
      <x:c r="J3084" s="74" t="str">
        <x:f>""</x:f>
      </x:c>
      <x:c r="K3084" s="73" t="n">
        <x:f>MAX(K3083,F3084)</x:f>
        <x:v>1.8767</x:v>
      </x:c>
      <x:c r="L3084" s="74" t="n">
        <x:f>1-F3084/K3084</x:f>
        <x:v>0</x:v>
      </x:c>
      <x:c r="M3084" s="73" t="n">
        <x:f>MAX(M3083,F3084)</x:f>
        <x:v>1.8767</x:v>
      </x:c>
      <x:c r="N3084" s="74" t="n">
        <x:f>1-F3084/M3084</x:f>
        <x:v>0</x:v>
      </x:c>
    </x:row>
    <x:row r="3085" ht="27" customHeight="1">
      <x:c r="A3085" s="66" t="str">
        <x:v>SEV580</x:v>
      </x:c>
      <x:c r="B3085" s="66" t="str">
        <x:v>祁腾蜂赢1号</x:v>
      </x:c>
      <x:c r="C3085" s="72" t="n">
        <x:v>45526</x:v>
      </x:c>
      <x:c r="D3085" s="73" t="n">
        <x:v>1.0186</x:v>
      </x:c>
      <x:c r="E3085" s="73" t="n">
        <x:v>1.6565</x:v>
      </x:c>
      <x:c r="F3085" s="73" t="n">
        <x:v>1.8771</x:v>
      </x:c>
      <x:c r="G3085" s="74" t="n">
        <x:v>0.0002</x:v>
      </x:c>
      <x:c r="H3085" s="66" t="str">
        <x:v>祁腾蜂赢1号净值20260911.xlsx</x:v>
      </x:c>
      <x:c r="I3085" s="73" t="str">
        <x:f>""</x:f>
      </x:c>
      <x:c r="J3085" s="74" t="str">
        <x:f>""</x:f>
      </x:c>
      <x:c r="K3085" s="73" t="n">
        <x:f>MAX(K3084,F3085)</x:f>
        <x:v>1.8771</x:v>
      </x:c>
      <x:c r="L3085" s="74" t="n">
        <x:f>1-F3085/K3085</x:f>
        <x:v>0</x:v>
      </x:c>
      <x:c r="M3085" s="73" t="n">
        <x:f>MAX(M3084,F3085)</x:f>
        <x:v>1.8771</x:v>
      </x:c>
      <x:c r="N3085" s="74" t="n">
        <x:f>1-F3085/M3085</x:f>
        <x:v>0</x:v>
      </x:c>
    </x:row>
    <x:row r="3086" ht="27" customHeight="1">
      <x:c r="A3086" s="66" t="str">
        <x:v>SEV580</x:v>
      </x:c>
      <x:c r="B3086" s="66" t="str">
        <x:v>祁腾蜂赢1号</x:v>
      </x:c>
      <x:c r="C3086" s="72" t="n">
        <x:v>45527</x:v>
      </x:c>
      <x:c r="D3086" s="73" t="n">
        <x:v>1.019</x:v>
      </x:c>
      <x:c r="E3086" s="73" t="n">
        <x:v>1.6569</x:v>
      </x:c>
      <x:c r="F3086" s="73" t="n">
        <x:v>1.8778</x:v>
      </x:c>
      <x:c r="G3086" s="74" t="n">
        <x:v>0.0004</x:v>
      </x:c>
      <x:c r="H3086" s="66" t="str">
        <x:v>祁腾蜂赢1号净值20260911.xlsx</x:v>
      </x:c>
      <x:c r="I3086" s="73" t="str">
        <x:f>""</x:f>
      </x:c>
      <x:c r="J3086" s="74" t="str">
        <x:f>""</x:f>
      </x:c>
      <x:c r="K3086" s="73" t="n">
        <x:f>MAX(K3085,F3086)</x:f>
        <x:v>1.8778</x:v>
      </x:c>
      <x:c r="L3086" s="74" t="n">
        <x:f>1-F3086/K3086</x:f>
        <x:v>0</x:v>
      </x:c>
      <x:c r="M3086" s="73" t="n">
        <x:f>MAX(M3085,F3086)</x:f>
        <x:v>1.8778</x:v>
      </x:c>
      <x:c r="N3086" s="74" t="n">
        <x:f>1-F3086/M3086</x:f>
        <x:v>0</x:v>
      </x:c>
    </x:row>
    <x:row r="3087" ht="27" customHeight="1">
      <x:c r="A3087" s="66" t="str">
        <x:v>SEV580</x:v>
      </x:c>
      <x:c r="B3087" s="66" t="str">
        <x:v>祁腾蜂赢1号</x:v>
      </x:c>
      <x:c r="C3087" s="72" t="n">
        <x:v>45530</x:v>
      </x:c>
      <x:c r="D3087" s="73" t="n">
        <x:v>1.0189</x:v>
      </x:c>
      <x:c r="E3087" s="73" t="n">
        <x:v>1.6568</x:v>
      </x:c>
      <x:c r="F3087" s="73" t="n">
        <x:v>1.8777</x:v>
      </x:c>
      <x:c r="G3087" s="74" t="n">
        <x:v>-0.0001</x:v>
      </x:c>
      <x:c r="H3087" s="66" t="str">
        <x:v>祁腾蜂赢1号净值20260911.xlsx</x:v>
      </x:c>
      <x:c r="I3087" s="73" t="str">
        <x:f>""</x:f>
      </x:c>
      <x:c r="J3087" s="74" t="str">
        <x:f>""</x:f>
      </x:c>
      <x:c r="K3087" s="73" t="n">
        <x:f>MAX(K3086,F3087)</x:f>
        <x:v>1.8778</x:v>
      </x:c>
      <x:c r="L3087" s="74" t="n">
        <x:f>1-F3087/K3087</x:f>
        <x:v>0.00005325380764720222</x:v>
      </x:c>
      <x:c r="M3087" s="73" t="n">
        <x:f>MAX(M3086,F3087)</x:f>
        <x:v>1.8778</x:v>
      </x:c>
      <x:c r="N3087" s="74" t="n">
        <x:f>1-F3087/M3087</x:f>
        <x:v>0.00005325380764720222</x:v>
      </x:c>
    </x:row>
    <x:row r="3088" ht="27" customHeight="1">
      <x:c r="A3088" s="66" t="str">
        <x:v>SEV580</x:v>
      </x:c>
      <x:c r="B3088" s="66" t="str">
        <x:v>祁腾蜂赢1号</x:v>
      </x:c>
      <x:c r="C3088" s="72" t="n">
        <x:v>45531</x:v>
      </x:c>
      <x:c r="D3088" s="73" t="n">
        <x:v>1.0207</x:v>
      </x:c>
      <x:c r="E3088" s="73" t="n">
        <x:v>1.6586</x:v>
      </x:c>
      <x:c r="F3088" s="73" t="n">
        <x:v>1.881</x:v>
      </x:c>
      <x:c r="G3088" s="74" t="n">
        <x:v>0.0018</x:v>
      </x:c>
      <x:c r="H3088" s="66" t="str">
        <x:v>祁腾蜂赢1号净值20260911.xlsx</x:v>
      </x:c>
      <x:c r="I3088" s="73" t="str">
        <x:f>""</x:f>
      </x:c>
      <x:c r="J3088" s="74" t="str">
        <x:f>""</x:f>
      </x:c>
      <x:c r="K3088" s="73" t="n">
        <x:f>MAX(K3087,F3088)</x:f>
        <x:v>1.881</x:v>
      </x:c>
      <x:c r="L3088" s="74" t="n">
        <x:f>1-F3088/K3088</x:f>
        <x:v>0</x:v>
      </x:c>
      <x:c r="M3088" s="73" t="n">
        <x:f>MAX(M3087,F3088)</x:f>
        <x:v>1.881</x:v>
      </x:c>
      <x:c r="N3088" s="74" t="n">
        <x:f>1-F3088/M3088</x:f>
        <x:v>0</x:v>
      </x:c>
    </x:row>
    <x:row r="3089" ht="27" customHeight="1">
      <x:c r="A3089" s="66" t="str">
        <x:v>SEV580</x:v>
      </x:c>
      <x:c r="B3089" s="66" t="str">
        <x:v>祁腾蜂赢1号</x:v>
      </x:c>
      <x:c r="C3089" s="72" t="n">
        <x:v>45532</x:v>
      </x:c>
      <x:c r="D3089" s="73" t="n">
        <x:v>1.0211</x:v>
      </x:c>
      <x:c r="E3089" s="73" t="n">
        <x:v>1.659</x:v>
      </x:c>
      <x:c r="F3089" s="73" t="n">
        <x:v>1.8817</x:v>
      </x:c>
      <x:c r="G3089" s="74" t="n">
        <x:v>0.0004</x:v>
      </x:c>
      <x:c r="H3089" s="66" t="str">
        <x:v>祁腾蜂赢1号净值20260911.xlsx</x:v>
      </x:c>
      <x:c r="I3089" s="73" t="str">
        <x:f>""</x:f>
      </x:c>
      <x:c r="J3089" s="74" t="str">
        <x:f>""</x:f>
      </x:c>
      <x:c r="K3089" s="73" t="n">
        <x:f>MAX(K3088,F3089)</x:f>
        <x:v>1.8817</x:v>
      </x:c>
      <x:c r="L3089" s="74" t="n">
        <x:f>1-F3089/K3089</x:f>
        <x:v>0</x:v>
      </x:c>
      <x:c r="M3089" s="73" t="n">
        <x:f>MAX(M3088,F3089)</x:f>
        <x:v>1.8817</x:v>
      </x:c>
      <x:c r="N3089" s="74" t="n">
        <x:f>1-F3089/M3089</x:f>
        <x:v>0</x:v>
      </x:c>
    </x:row>
    <x:row r="3090" ht="27" customHeight="1">
      <x:c r="A3090" s="66" t="str">
        <x:v>SEV580</x:v>
      </x:c>
      <x:c r="B3090" s="66" t="str">
        <x:v>祁腾蜂赢1号</x:v>
      </x:c>
      <x:c r="C3090" s="72" t="n">
        <x:v>45533</x:v>
      </x:c>
      <x:c r="D3090" s="73" t="n">
        <x:v>1.0211</x:v>
      </x:c>
      <x:c r="E3090" s="73" t="n">
        <x:v>1.659</x:v>
      </x:c>
      <x:c r="F3090" s="73" t="n">
        <x:v>1.8817</x:v>
      </x:c>
      <x:c r="G3090" s="74" t="n">
        <x:v>0</x:v>
      </x:c>
      <x:c r="H3090" s="66" t="str">
        <x:v>祁腾蜂赢1号净值20260911.xlsx</x:v>
      </x:c>
      <x:c r="I3090" s="73" t="str">
        <x:f>""</x:f>
      </x:c>
      <x:c r="J3090" s="74" t="str">
        <x:f>""</x:f>
      </x:c>
      <x:c r="K3090" s="73" t="n">
        <x:f>MAX(K3089,F3090)</x:f>
        <x:v>1.8817</x:v>
      </x:c>
      <x:c r="L3090" s="74" t="n">
        <x:f>1-F3090/K3090</x:f>
        <x:v>0</x:v>
      </x:c>
      <x:c r="M3090" s="73" t="n">
        <x:f>MAX(M3089,F3090)</x:f>
        <x:v>1.8817</x:v>
      </x:c>
      <x:c r="N3090" s="74" t="n">
        <x:f>1-F3090/M3090</x:f>
        <x:v>0</x:v>
      </x:c>
    </x:row>
    <x:row r="3091" ht="27" customHeight="1">
      <x:c r="A3091" s="66" t="str">
        <x:v>SEV580</x:v>
      </x:c>
      <x:c r="B3091" s="66" t="str">
        <x:v>祁腾蜂赢1号</x:v>
      </x:c>
      <x:c r="C3091" s="72" t="n">
        <x:v>45534</x:v>
      </x:c>
      <x:c r="D3091" s="73" t="n">
        <x:v>1.0217</x:v>
      </x:c>
      <x:c r="E3091" s="73" t="n">
        <x:v>1.6596</x:v>
      </x:c>
      <x:c r="F3091" s="73" t="n">
        <x:v>1.8828</x:v>
      </x:c>
      <x:c r="G3091" s="74" t="n">
        <x:v>0.0006</x:v>
      </x:c>
      <x:c r="H3091" s="66" t="str">
        <x:v>祁腾蜂赢1号净值20260911.xlsx</x:v>
      </x:c>
      <x:c r="I3091" s="73" t="str">
        <x:f>""</x:f>
      </x:c>
      <x:c r="J3091" s="74" t="str">
        <x:f>""</x:f>
      </x:c>
      <x:c r="K3091" s="73" t="n">
        <x:f>MAX(K3090,F3091)</x:f>
        <x:v>1.8828</x:v>
      </x:c>
      <x:c r="L3091" s="74" t="n">
        <x:f>1-F3091/K3091</x:f>
        <x:v>0</x:v>
      </x:c>
      <x:c r="M3091" s="73" t="n">
        <x:f>MAX(M3090,F3091)</x:f>
        <x:v>1.8828</x:v>
      </x:c>
      <x:c r="N3091" s="74" t="n">
        <x:f>1-F3091/M3091</x:f>
        <x:v>0</x:v>
      </x:c>
    </x:row>
    <x:row r="3092" ht="27" customHeight="1">
      <x:c r="A3092" s="66" t="str">
        <x:v>SEV580</x:v>
      </x:c>
      <x:c r="B3092" s="66" t="str">
        <x:v>祁腾蜂赢1号</x:v>
      </x:c>
      <x:c r="C3092" s="72" t="n">
        <x:v>45537</x:v>
      </x:c>
      <x:c r="D3092" s="73" t="n">
        <x:v>1.0215</x:v>
      </x:c>
      <x:c r="E3092" s="73" t="n">
        <x:v>1.6594</x:v>
      </x:c>
      <x:c r="F3092" s="73" t="n">
        <x:v>1.8825</x:v>
      </x:c>
      <x:c r="G3092" s="74" t="n">
        <x:v>-0.0002</x:v>
      </x:c>
      <x:c r="H3092" s="66" t="str">
        <x:v>祁腾蜂赢1号净值20260911.xlsx</x:v>
      </x:c>
      <x:c r="I3092" s="73" t="str">
        <x:f>""</x:f>
      </x:c>
      <x:c r="J3092" s="74" t="str">
        <x:f>""</x:f>
      </x:c>
      <x:c r="K3092" s="73" t="n">
        <x:f>MAX(K3091,F3092)</x:f>
        <x:v>1.8828</x:v>
      </x:c>
      <x:c r="L3092" s="74" t="n">
        <x:f>1-F3092/K3092</x:f>
        <x:v>0.00015933715742511012</x:v>
      </x:c>
      <x:c r="M3092" s="73" t="n">
        <x:f>MAX(M3091,F3092)</x:f>
        <x:v>1.8828</x:v>
      </x:c>
      <x:c r="N3092" s="74" t="n">
        <x:f>1-F3092/M3092</x:f>
        <x:v>0.00015933715742511012</x:v>
      </x:c>
    </x:row>
    <x:row r="3093" ht="27" customHeight="1">
      <x:c r="A3093" s="66" t="str">
        <x:v>SEV580</x:v>
      </x:c>
      <x:c r="B3093" s="66" t="str">
        <x:v>祁腾蜂赢1号</x:v>
      </x:c>
      <x:c r="C3093" s="72" t="n">
        <x:v>45538</x:v>
      </x:c>
      <x:c r="D3093" s="73" t="n">
        <x:v>1.021</x:v>
      </x:c>
      <x:c r="E3093" s="73" t="n">
        <x:v>1.6589</x:v>
      </x:c>
      <x:c r="F3093" s="73" t="n">
        <x:v>1.8815</x:v>
      </x:c>
      <x:c r="G3093" s="74" t="n">
        <x:v>-0.0005</x:v>
      </x:c>
      <x:c r="H3093" s="66" t="str">
        <x:v>祁腾蜂赢1号净值20260911.xlsx</x:v>
      </x:c>
      <x:c r="I3093" s="73" t="str">
        <x:f>""</x:f>
      </x:c>
      <x:c r="J3093" s="74" t="str">
        <x:f>""</x:f>
      </x:c>
      <x:c r="K3093" s="73" t="n">
        <x:f>MAX(K3092,F3093)</x:f>
        <x:v>1.8828</x:v>
      </x:c>
      <x:c r="L3093" s="74" t="n">
        <x:f>1-F3093/K3093</x:f>
        <x:v>0.0006904610155088475</x:v>
      </x:c>
      <x:c r="M3093" s="73" t="n">
        <x:f>MAX(M3092,F3093)</x:f>
        <x:v>1.8828</x:v>
      </x:c>
      <x:c r="N3093" s="74" t="n">
        <x:f>1-F3093/M3093</x:f>
        <x:v>0.0006904610155088475</x:v>
      </x:c>
    </x:row>
    <x:row r="3094" ht="27" customHeight="1">
      <x:c r="A3094" s="66" t="str">
        <x:v>SEV580</x:v>
      </x:c>
      <x:c r="B3094" s="66" t="str">
        <x:v>祁腾蜂赢1号</x:v>
      </x:c>
      <x:c r="C3094" s="72" t="n">
        <x:v>45539</x:v>
      </x:c>
      <x:c r="D3094" s="73" t="n">
        <x:v>1.0212</x:v>
      </x:c>
      <x:c r="E3094" s="73" t="n">
        <x:v>1.6591</x:v>
      </x:c>
      <x:c r="F3094" s="73" t="n">
        <x:v>1.8819</x:v>
      </x:c>
      <x:c r="G3094" s="74" t="n">
        <x:v>0.0002</x:v>
      </x:c>
      <x:c r="H3094" s="66" t="str">
        <x:v>祁腾蜂赢1号净值20260911.xlsx</x:v>
      </x:c>
      <x:c r="I3094" s="73" t="str">
        <x:f>""</x:f>
      </x:c>
      <x:c r="J3094" s="74" t="str">
        <x:f>""</x:f>
      </x:c>
      <x:c r="K3094" s="73" t="n">
        <x:f>MAX(K3093,F3094)</x:f>
        <x:v>1.8828</x:v>
      </x:c>
      <x:c r="L3094" s="74" t="n">
        <x:f>1-F3094/K3094</x:f>
        <x:v>0.0004780114722754414</x:v>
      </x:c>
      <x:c r="M3094" s="73" t="n">
        <x:f>MAX(M3093,F3094)</x:f>
        <x:v>1.8828</x:v>
      </x:c>
      <x:c r="N3094" s="74" t="n">
        <x:f>1-F3094/M3094</x:f>
        <x:v>0.0004780114722754414</x:v>
      </x:c>
    </x:row>
    <x:row r="3095" ht="27" customHeight="1">
      <x:c r="A3095" s="66" t="str">
        <x:v>SEV580</x:v>
      </x:c>
      <x:c r="B3095" s="66" t="str">
        <x:v>祁腾蜂赢1号</x:v>
      </x:c>
      <x:c r="C3095" s="72" t="n">
        <x:v>45540</x:v>
      </x:c>
      <x:c r="D3095" s="73" t="n">
        <x:v>1.0212</x:v>
      </x:c>
      <x:c r="E3095" s="73" t="n">
        <x:v>1.6591</x:v>
      </x:c>
      <x:c r="F3095" s="73" t="n">
        <x:v>1.8819</x:v>
      </x:c>
      <x:c r="G3095" s="74" t="n">
        <x:v>0</x:v>
      </x:c>
      <x:c r="H3095" s="66" t="str">
        <x:v>祁腾蜂赢1号净值20260911.xlsx</x:v>
      </x:c>
      <x:c r="I3095" s="73" t="str">
        <x:f>""</x:f>
      </x:c>
      <x:c r="J3095" s="74" t="str">
        <x:f>""</x:f>
      </x:c>
      <x:c r="K3095" s="73" t="n">
        <x:f>MAX(K3094,F3095)</x:f>
        <x:v>1.8828</x:v>
      </x:c>
      <x:c r="L3095" s="74" t="n">
        <x:f>1-F3095/K3095</x:f>
        <x:v>0.0004780114722754414</x:v>
      </x:c>
      <x:c r="M3095" s="73" t="n">
        <x:f>MAX(M3094,F3095)</x:f>
        <x:v>1.8828</x:v>
      </x:c>
      <x:c r="N3095" s="74" t="n">
        <x:f>1-F3095/M3095</x:f>
        <x:v>0.0004780114722754414</x:v>
      </x:c>
    </x:row>
    <x:row r="3096" ht="27" customHeight="1">
      <x:c r="A3096" s="66" t="str">
        <x:v>SEV580</x:v>
      </x:c>
      <x:c r="B3096" s="66" t="str">
        <x:v>祁腾蜂赢1号</x:v>
      </x:c>
      <x:c r="C3096" s="72" t="n">
        <x:v>45541</x:v>
      </x:c>
      <x:c r="D3096" s="73" t="n">
        <x:v>1.0212</x:v>
      </x:c>
      <x:c r="E3096" s="73" t="n">
        <x:v>1.6591</x:v>
      </x:c>
      <x:c r="F3096" s="73" t="n">
        <x:v>1.8819</x:v>
      </x:c>
      <x:c r="G3096" s="74" t="n">
        <x:v>0</x:v>
      </x:c>
      <x:c r="H3096" s="66" t="str">
        <x:v>祁腾蜂赢1号净值20260911.xlsx</x:v>
      </x:c>
      <x:c r="I3096" s="73" t="str">
        <x:f>""</x:f>
      </x:c>
      <x:c r="J3096" s="74" t="str">
        <x:f>""</x:f>
      </x:c>
      <x:c r="K3096" s="73" t="n">
        <x:f>MAX(K3095,F3096)</x:f>
        <x:v>1.8828</x:v>
      </x:c>
      <x:c r="L3096" s="74" t="n">
        <x:f>1-F3096/K3096</x:f>
        <x:v>0.0004780114722754414</x:v>
      </x:c>
      <x:c r="M3096" s="73" t="n">
        <x:f>MAX(M3095,F3096)</x:f>
        <x:v>1.8828</x:v>
      </x:c>
      <x:c r="N3096" s="74" t="n">
        <x:f>1-F3096/M3096</x:f>
        <x:v>0.0004780114722754414</x:v>
      </x:c>
    </x:row>
    <x:row r="3097" ht="27" customHeight="1">
      <x:c r="A3097" s="66" t="str">
        <x:v>SEV580</x:v>
      </x:c>
      <x:c r="B3097" s="66" t="str">
        <x:v>祁腾蜂赢1号</x:v>
      </x:c>
      <x:c r="C3097" s="72" t="n">
        <x:v>45544</x:v>
      </x:c>
      <x:c r="D3097" s="73" t="n">
        <x:v>1.021</x:v>
      </x:c>
      <x:c r="E3097" s="73" t="n">
        <x:v>1.6589</x:v>
      </x:c>
      <x:c r="F3097" s="73" t="n">
        <x:v>1.8815</x:v>
      </x:c>
      <x:c r="G3097" s="74" t="n">
        <x:v>-0.0002</x:v>
      </x:c>
      <x:c r="H3097" s="66" t="str">
        <x:v>祁腾蜂赢1号净值20260911.xlsx</x:v>
      </x:c>
      <x:c r="I3097" s="73" t="str">
        <x:f>""</x:f>
      </x:c>
      <x:c r="J3097" s="74" t="str">
        <x:f>""</x:f>
      </x:c>
      <x:c r="K3097" s="73" t="n">
        <x:f>MAX(K3096,F3097)</x:f>
        <x:v>1.8828</x:v>
      </x:c>
      <x:c r="L3097" s="74" t="n">
        <x:f>1-F3097/K3097</x:f>
        <x:v>0.0006904610155088475</x:v>
      </x:c>
      <x:c r="M3097" s="73" t="n">
        <x:f>MAX(M3096,F3097)</x:f>
        <x:v>1.8828</x:v>
      </x:c>
      <x:c r="N3097" s="74" t="n">
        <x:f>1-F3097/M3097</x:f>
        <x:v>0.0006904610155088475</x:v>
      </x:c>
    </x:row>
    <x:row r="3098" ht="27" customHeight="1">
      <x:c r="A3098" s="66" t="str">
        <x:v>SEV580</x:v>
      </x:c>
      <x:c r="B3098" s="66" t="str">
        <x:v>祁腾蜂赢1号</x:v>
      </x:c>
      <x:c r="C3098" s="72" t="n">
        <x:v>45545</x:v>
      </x:c>
      <x:c r="D3098" s="73" t="n">
        <x:v>1.0215</x:v>
      </x:c>
      <x:c r="E3098" s="73" t="n">
        <x:v>1.6594</x:v>
      </x:c>
      <x:c r="F3098" s="73" t="n">
        <x:v>1.8825</x:v>
      </x:c>
      <x:c r="G3098" s="74" t="n">
        <x:v>0.0005</x:v>
      </x:c>
      <x:c r="H3098" s="66" t="str">
        <x:v>祁腾蜂赢1号净值20260911.xlsx</x:v>
      </x:c>
      <x:c r="I3098" s="73" t="str">
        <x:f>""</x:f>
      </x:c>
      <x:c r="J3098" s="74" t="str">
        <x:f>""</x:f>
      </x:c>
      <x:c r="K3098" s="73" t="n">
        <x:f>MAX(K3097,F3098)</x:f>
        <x:v>1.8828</x:v>
      </x:c>
      <x:c r="L3098" s="74" t="n">
        <x:f>1-F3098/K3098</x:f>
        <x:v>0.00015933715742511012</x:v>
      </x:c>
      <x:c r="M3098" s="73" t="n">
        <x:f>MAX(M3097,F3098)</x:f>
        <x:v>1.8828</x:v>
      </x:c>
      <x:c r="N3098" s="74" t="n">
        <x:f>1-F3098/M3098</x:f>
        <x:v>0.00015933715742511012</x:v>
      </x:c>
    </x:row>
    <x:row r="3099" ht="27" customHeight="1">
      <x:c r="A3099" s="66" t="str">
        <x:v>SEV580</x:v>
      </x:c>
      <x:c r="B3099" s="66" t="str">
        <x:v>祁腾蜂赢1号</x:v>
      </x:c>
      <x:c r="C3099" s="72" t="n">
        <x:v>45546</x:v>
      </x:c>
      <x:c r="D3099" s="73" t="n">
        <x:v>1.0219</x:v>
      </x:c>
      <x:c r="E3099" s="73" t="n">
        <x:v>1.6598</x:v>
      </x:c>
      <x:c r="F3099" s="73" t="n">
        <x:v>1.8832</x:v>
      </x:c>
      <x:c r="G3099" s="74" t="n">
        <x:v>0.0004</x:v>
      </x:c>
      <x:c r="H3099" s="66" t="str">
        <x:v>祁腾蜂赢1号净值20260911.xlsx</x:v>
      </x:c>
      <x:c r="I3099" s="73" t="str">
        <x:f>""</x:f>
      </x:c>
      <x:c r="J3099" s="74" t="str">
        <x:f>""</x:f>
      </x:c>
      <x:c r="K3099" s="73" t="n">
        <x:f>MAX(K3098,F3099)</x:f>
        <x:v>1.8832</x:v>
      </x:c>
      <x:c r="L3099" s="74" t="n">
        <x:f>1-F3099/K3099</x:f>
        <x:v>0</x:v>
      </x:c>
      <x:c r="M3099" s="73" t="n">
        <x:f>MAX(M3098,F3099)</x:f>
        <x:v>1.8832</x:v>
      </x:c>
      <x:c r="N3099" s="74" t="n">
        <x:f>1-F3099/M3099</x:f>
        <x:v>0</x:v>
      </x:c>
    </x:row>
    <x:row r="3100" ht="27" customHeight="1">
      <x:c r="A3100" s="66" t="str">
        <x:v>SEV580</x:v>
      </x:c>
      <x:c r="B3100" s="66" t="str">
        <x:v>祁腾蜂赢1号</x:v>
      </x:c>
      <x:c r="C3100" s="72" t="n">
        <x:v>45547</x:v>
      </x:c>
      <x:c r="D3100" s="73" t="n">
        <x:v>1.0216</x:v>
      </x:c>
      <x:c r="E3100" s="73" t="n">
        <x:v>1.6595</x:v>
      </x:c>
      <x:c r="F3100" s="73" t="n">
        <x:v>1.8826</x:v>
      </x:c>
      <x:c r="G3100" s="74" t="n">
        <x:v>-0.0003</x:v>
      </x:c>
      <x:c r="H3100" s="66" t="str">
        <x:v>祁腾蜂赢1号净值20260911.xlsx</x:v>
      </x:c>
      <x:c r="I3100" s="73" t="str">
        <x:f>""</x:f>
      </x:c>
      <x:c r="J3100" s="74" t="str">
        <x:f>""</x:f>
      </x:c>
      <x:c r="K3100" s="73" t="n">
        <x:f>MAX(K3099,F3100)</x:f>
        <x:v>1.8832</x:v>
      </x:c>
      <x:c r="L3100" s="74" t="n">
        <x:f>1-F3100/K3100</x:f>
        <x:v>0.0003186066270177701</x:v>
      </x:c>
      <x:c r="M3100" s="73" t="n">
        <x:f>MAX(M3099,F3100)</x:f>
        <x:v>1.8832</x:v>
      </x:c>
      <x:c r="N3100" s="74" t="n">
        <x:f>1-F3100/M3100</x:f>
        <x:v>0.0003186066270177701</x:v>
      </x:c>
    </x:row>
    <x:row r="3101" ht="27" customHeight="1">
      <x:c r="A3101" s="66" t="str">
        <x:v>SEV580</x:v>
      </x:c>
      <x:c r="B3101" s="66" t="str">
        <x:v>祁腾蜂赢1号</x:v>
      </x:c>
      <x:c r="C3101" s="72" t="n">
        <x:v>45548</x:v>
      </x:c>
      <x:c r="D3101" s="73" t="n">
        <x:v>1.0237</x:v>
      </x:c>
      <x:c r="E3101" s="73" t="n">
        <x:v>1.6616</x:v>
      </x:c>
      <x:c r="F3101" s="73" t="n">
        <x:v>1.8865</x:v>
      </x:c>
      <x:c r="G3101" s="74" t="n">
        <x:v>0.0021</x:v>
      </x:c>
      <x:c r="H3101" s="66" t="str">
        <x:v>祁腾蜂赢1号净值20260911.xlsx</x:v>
      </x:c>
      <x:c r="I3101" s="73" t="str">
        <x:f>""</x:f>
      </x:c>
      <x:c r="J3101" s="74" t="str">
        <x:f>""</x:f>
      </x:c>
      <x:c r="K3101" s="73" t="n">
        <x:f>MAX(K3100,F3101)</x:f>
        <x:v>1.8865</x:v>
      </x:c>
      <x:c r="L3101" s="74" t="n">
        <x:f>1-F3101/K3101</x:f>
        <x:v>0</x:v>
      </x:c>
      <x:c r="M3101" s="73" t="n">
        <x:f>MAX(M3100,F3101)</x:f>
        <x:v>1.8865</x:v>
      </x:c>
      <x:c r="N3101" s="74" t="n">
        <x:f>1-F3101/M3101</x:f>
        <x:v>0</x:v>
      </x:c>
    </x:row>
    <x:row r="3102" ht="27" customHeight="1">
      <x:c r="A3102" s="66" t="str">
        <x:v>SEV580</x:v>
      </x:c>
      <x:c r="B3102" s="66" t="str">
        <x:v>祁腾蜂赢1号</x:v>
      </x:c>
      <x:c r="C3102" s="72" t="n">
        <x:v>45553</x:v>
      </x:c>
      <x:c r="D3102" s="73" t="n">
        <x:v>1.024</x:v>
      </x:c>
      <x:c r="E3102" s="73" t="n">
        <x:v>1.6619</x:v>
      </x:c>
      <x:c r="F3102" s="73" t="n">
        <x:v>1.8871</x:v>
      </x:c>
      <x:c r="G3102" s="74" t="n">
        <x:v>0.0003</x:v>
      </x:c>
      <x:c r="H3102" s="66" t="str">
        <x:v>祁腾蜂赢1号净值20260911.xlsx</x:v>
      </x:c>
      <x:c r="I3102" s="73" t="str">
        <x:f>""</x:f>
      </x:c>
      <x:c r="J3102" s="74" t="str">
        <x:f>""</x:f>
      </x:c>
      <x:c r="K3102" s="73" t="n">
        <x:f>MAX(K3101,F3102)</x:f>
        <x:v>1.8871</x:v>
      </x:c>
      <x:c r="L3102" s="74" t="n">
        <x:f>1-F3102/K3102</x:f>
        <x:v>0</x:v>
      </x:c>
      <x:c r="M3102" s="73" t="n">
        <x:f>MAX(M3101,F3102)</x:f>
        <x:v>1.8871</x:v>
      </x:c>
      <x:c r="N3102" s="74" t="n">
        <x:f>1-F3102/M3102</x:f>
        <x:v>0</x:v>
      </x:c>
    </x:row>
    <x:row r="3103" ht="27" customHeight="1">
      <x:c r="A3103" s="66" t="str">
        <x:v>SEV580</x:v>
      </x:c>
      <x:c r="B3103" s="66" t="str">
        <x:v>祁腾蜂赢1号</x:v>
      </x:c>
      <x:c r="C3103" s="72" t="n">
        <x:v>45554</x:v>
      </x:c>
      <x:c r="D3103" s="73" t="n">
        <x:v>1.0259</x:v>
      </x:c>
      <x:c r="E3103" s="73" t="n">
        <x:v>1.6638</x:v>
      </x:c>
      <x:c r="F3103" s="73" t="n">
        <x:v>1.8906</x:v>
      </x:c>
      <x:c r="G3103" s="74" t="n">
        <x:v>0.0019</x:v>
      </x:c>
      <x:c r="H3103" s="66" t="str">
        <x:v>祁腾蜂赢1号净值20260911.xlsx</x:v>
      </x:c>
      <x:c r="I3103" s="73" t="str">
        <x:f>""</x:f>
      </x:c>
      <x:c r="J3103" s="74" t="str">
        <x:f>""</x:f>
      </x:c>
      <x:c r="K3103" s="73" t="n">
        <x:f>MAX(K3102,F3103)</x:f>
        <x:v>1.8906</x:v>
      </x:c>
      <x:c r="L3103" s="74" t="n">
        <x:f>1-F3103/K3103</x:f>
        <x:v>0</x:v>
      </x:c>
      <x:c r="M3103" s="73" t="n">
        <x:f>MAX(M3102,F3103)</x:f>
        <x:v>1.8906</x:v>
      </x:c>
      <x:c r="N3103" s="74" t="n">
        <x:f>1-F3103/M3103</x:f>
        <x:v>0</x:v>
      </x:c>
    </x:row>
    <x:row r="3104" ht="27" customHeight="1">
      <x:c r="A3104" s="66" t="str">
        <x:v>SEV580</x:v>
      </x:c>
      <x:c r="B3104" s="66" t="str">
        <x:v>祁腾蜂赢1号</x:v>
      </x:c>
      <x:c r="C3104" s="72" t="n">
        <x:v>45555</x:v>
      </x:c>
      <x:c r="D3104" s="73" t="n">
        <x:v>1.026</x:v>
      </x:c>
      <x:c r="E3104" s="73" t="n">
        <x:v>1.6639</x:v>
      </x:c>
      <x:c r="F3104" s="73" t="n">
        <x:v>1.8907</x:v>
      </x:c>
      <x:c r="G3104" s="74" t="n">
        <x:v>0.0001</x:v>
      </x:c>
      <x:c r="H3104" s="66" t="str">
        <x:v>祁腾蜂赢1号净值20260911.xlsx</x:v>
      </x:c>
      <x:c r="I3104" s="73" t="str">
        <x:f>""</x:f>
      </x:c>
      <x:c r="J3104" s="74" t="str">
        <x:f>""</x:f>
      </x:c>
      <x:c r="K3104" s="73" t="n">
        <x:f>MAX(K3103,F3104)</x:f>
        <x:v>1.8907</x:v>
      </x:c>
      <x:c r="L3104" s="74" t="n">
        <x:f>1-F3104/K3104</x:f>
        <x:v>0</x:v>
      </x:c>
      <x:c r="M3104" s="73" t="n">
        <x:f>MAX(M3103,F3104)</x:f>
        <x:v>1.8907</x:v>
      </x:c>
      <x:c r="N3104" s="74" t="n">
        <x:f>1-F3104/M3104</x:f>
        <x:v>0</x:v>
      </x:c>
    </x:row>
    <x:row r="3105" ht="27" customHeight="1">
      <x:c r="A3105" s="66" t="str">
        <x:v>SEV580</x:v>
      </x:c>
      <x:c r="B3105" s="66" t="str">
        <x:v>祁腾蜂赢1号</x:v>
      </x:c>
      <x:c r="C3105" s="72" t="n">
        <x:v>45558</x:v>
      </x:c>
      <x:c r="D3105" s="73" t="n">
        <x:v>1.0268</x:v>
      </x:c>
      <x:c r="E3105" s="73" t="n">
        <x:v>1.6647</x:v>
      </x:c>
      <x:c r="F3105" s="73" t="n">
        <x:v>1.8922</x:v>
      </x:c>
      <x:c r="G3105" s="74" t="n">
        <x:v>0.0008</x:v>
      </x:c>
      <x:c r="H3105" s="66" t="str">
        <x:v>祁腾蜂赢1号净值20260911.xlsx</x:v>
      </x:c>
      <x:c r="I3105" s="73" t="str">
        <x:f>""</x:f>
      </x:c>
      <x:c r="J3105" s="74" t="str">
        <x:f>""</x:f>
      </x:c>
      <x:c r="K3105" s="73" t="n">
        <x:f>MAX(K3104,F3105)</x:f>
        <x:v>1.8922</x:v>
      </x:c>
      <x:c r="L3105" s="74" t="n">
        <x:f>1-F3105/K3105</x:f>
        <x:v>0</x:v>
      </x:c>
      <x:c r="M3105" s="73" t="n">
        <x:f>MAX(M3104,F3105)</x:f>
        <x:v>1.8922</x:v>
      </x:c>
      <x:c r="N3105" s="74" t="n">
        <x:f>1-F3105/M3105</x:f>
        <x:v>0</x:v>
      </x:c>
    </x:row>
    <x:row r="3106" ht="27" customHeight="1">
      <x:c r="A3106" s="66" t="str">
        <x:v>SEV580</x:v>
      </x:c>
      <x:c r="B3106" s="66" t="str">
        <x:v>祁腾蜂赢1号</x:v>
      </x:c>
      <x:c r="C3106" s="72" t="n">
        <x:v>45559</x:v>
      </x:c>
      <x:c r="D3106" s="73" t="n">
        <x:v>1.0276</x:v>
      </x:c>
      <x:c r="E3106" s="73" t="n">
        <x:v>1.6655</x:v>
      </x:c>
      <x:c r="F3106" s="73" t="n">
        <x:v>1.8937</x:v>
      </x:c>
      <x:c r="G3106" s="74" t="n">
        <x:v>0.0008</x:v>
      </x:c>
      <x:c r="H3106" s="66" t="str">
        <x:v>祁腾蜂赢1号净值20260911.xlsx</x:v>
      </x:c>
      <x:c r="I3106" s="73" t="str">
        <x:f>""</x:f>
      </x:c>
      <x:c r="J3106" s="74" t="str">
        <x:f>""</x:f>
      </x:c>
      <x:c r="K3106" s="73" t="n">
        <x:f>MAX(K3105,F3106)</x:f>
        <x:v>1.8937</x:v>
      </x:c>
      <x:c r="L3106" s="74" t="n">
        <x:f>1-F3106/K3106</x:f>
        <x:v>0</x:v>
      </x:c>
      <x:c r="M3106" s="73" t="n">
        <x:f>MAX(M3105,F3106)</x:f>
        <x:v>1.8937</x:v>
      </x:c>
      <x:c r="N3106" s="74" t="n">
        <x:f>1-F3106/M3106</x:f>
        <x:v>0</x:v>
      </x:c>
    </x:row>
    <x:row r="3107" ht="27" customHeight="1">
      <x:c r="A3107" s="66" t="str">
        <x:v>SEV580</x:v>
      </x:c>
      <x:c r="B3107" s="66" t="str">
        <x:v>祁腾蜂赢1号</x:v>
      </x:c>
      <x:c r="C3107" s="72" t="n">
        <x:v>45560</x:v>
      </x:c>
      <x:c r="D3107" s="73" t="n">
        <x:v>1.029</x:v>
      </x:c>
      <x:c r="E3107" s="73" t="n">
        <x:v>1.6669</x:v>
      </x:c>
      <x:c r="F3107" s="73" t="n">
        <x:v>1.8963</x:v>
      </x:c>
      <x:c r="G3107" s="74" t="n">
        <x:v>0.0014000000000000002</x:v>
      </x:c>
      <x:c r="H3107" s="66" t="str">
        <x:v>祁腾蜂赢1号净值20260911.xlsx</x:v>
      </x:c>
      <x:c r="I3107" s="73" t="str">
        <x:f>""</x:f>
      </x:c>
      <x:c r="J3107" s="74" t="str">
        <x:f>""</x:f>
      </x:c>
      <x:c r="K3107" s="73" t="n">
        <x:f>MAX(K3106,F3107)</x:f>
        <x:v>1.8963</x:v>
      </x:c>
      <x:c r="L3107" s="74" t="n">
        <x:f>1-F3107/K3107</x:f>
        <x:v>0</x:v>
      </x:c>
      <x:c r="M3107" s="73" t="n">
        <x:f>MAX(M3106,F3107)</x:f>
        <x:v>1.8963</x:v>
      </x:c>
      <x:c r="N3107" s="74" t="n">
        <x:f>1-F3107/M3107</x:f>
        <x:v>0</x:v>
      </x:c>
    </x:row>
    <x:row r="3108" ht="27" customHeight="1">
      <x:c r="A3108" s="66" t="str">
        <x:v>SEV580</x:v>
      </x:c>
      <x:c r="B3108" s="66" t="str">
        <x:v>祁腾蜂赢1号</x:v>
      </x:c>
      <x:c r="C3108" s="72" t="n">
        <x:v>45561</x:v>
      </x:c>
      <x:c r="D3108" s="73" t="n">
        <x:v>1.0303</x:v>
      </x:c>
      <x:c r="E3108" s="73" t="n">
        <x:v>1.6682</x:v>
      </x:c>
      <x:c r="F3108" s="73" t="n">
        <x:v>1.8987</x:v>
      </x:c>
      <x:c r="G3108" s="74" t="n">
        <x:v>0.0013</x:v>
      </x:c>
      <x:c r="H3108" s="66" t="str">
        <x:v>祁腾蜂赢1号净值20260911.xlsx</x:v>
      </x:c>
      <x:c r="I3108" s="73" t="str">
        <x:f>""</x:f>
      </x:c>
      <x:c r="J3108" s="74" t="str">
        <x:f>""</x:f>
      </x:c>
      <x:c r="K3108" s="73" t="n">
        <x:f>MAX(K3107,F3108)</x:f>
        <x:v>1.8987</x:v>
      </x:c>
      <x:c r="L3108" s="74" t="n">
        <x:f>1-F3108/K3108</x:f>
        <x:v>0</x:v>
      </x:c>
      <x:c r="M3108" s="73" t="n">
        <x:f>MAX(M3107,F3108)</x:f>
        <x:v>1.8987</x:v>
      </x:c>
      <x:c r="N3108" s="74" t="n">
        <x:f>1-F3108/M3108</x:f>
        <x:v>0</x:v>
      </x:c>
    </x:row>
    <x:row r="3109" ht="27" customHeight="1">
      <x:c r="A3109" s="66" t="str">
        <x:v>SEV580</x:v>
      </x:c>
      <x:c r="B3109" s="66" t="str">
        <x:v>祁腾蜂赢1号</x:v>
      </x:c>
      <x:c r="C3109" s="72" t="n">
        <x:v>45562</x:v>
      </x:c>
      <x:c r="D3109" s="73" t="n">
        <x:v>1.0345</x:v>
      </x:c>
      <x:c r="E3109" s="73" t="n">
        <x:v>1.6724</x:v>
      </x:c>
      <x:c r="F3109" s="73" t="n">
        <x:v>1.9064</x:v>
      </x:c>
      <x:c r="G3109" s="74" t="n">
        <x:v>0.0040999999999999995</x:v>
      </x:c>
      <x:c r="H3109" s="66" t="str">
        <x:v>祁腾蜂赢1号净值20260911.xlsx</x:v>
      </x:c>
      <x:c r="I3109" s="73" t="str">
        <x:f>""</x:f>
      </x:c>
      <x:c r="J3109" s="74" t="str">
        <x:f>""</x:f>
      </x:c>
      <x:c r="K3109" s="73" t="n">
        <x:f>MAX(K3108,F3109)</x:f>
        <x:v>1.9064</x:v>
      </x:c>
      <x:c r="L3109" s="74" t="n">
        <x:f>1-F3109/K3109</x:f>
        <x:v>0</x:v>
      </x:c>
      <x:c r="M3109" s="73" t="n">
        <x:f>MAX(M3108,F3109)</x:f>
        <x:v>1.9064</x:v>
      </x:c>
      <x:c r="N3109" s="74" t="n">
        <x:f>1-F3109/M3109</x:f>
        <x:v>0</x:v>
      </x:c>
    </x:row>
    <x:row r="3110" ht="27" customHeight="1">
      <x:c r="A3110" s="66" t="str">
        <x:v>SEV580</x:v>
      </x:c>
      <x:c r="B3110" s="66" t="str">
        <x:v>祁腾蜂赢1号</x:v>
      </x:c>
      <x:c r="C3110" s="72" t="n">
        <x:v>45565</x:v>
      </x:c>
      <x:c r="D3110" s="73" t="n">
        <x:v>1.0484</x:v>
      </x:c>
      <x:c r="E3110" s="73" t="n">
        <x:v>1.6863</x:v>
      </x:c>
      <x:c r="F3110" s="73" t="n">
        <x:v>1.932</x:v>
      </x:c>
      <x:c r="G3110" s="74" t="n">
        <x:v>0.0134</x:v>
      </x:c>
      <x:c r="H3110" s="66" t="str">
        <x:v>祁腾蜂赢1号净值20260911.xlsx</x:v>
      </x:c>
      <x:c r="I3110" s="73" t="str">
        <x:f>""</x:f>
      </x:c>
      <x:c r="J3110" s="74" t="str">
        <x:f>""</x:f>
      </x:c>
      <x:c r="K3110" s="73" t="n">
        <x:f>MAX(K3109,F3110)</x:f>
        <x:v>1.932</x:v>
      </x:c>
      <x:c r="L3110" s="74" t="n">
        <x:f>1-F3110/K3110</x:f>
        <x:v>0</x:v>
      </x:c>
      <x:c r="M3110" s="73" t="n">
        <x:f>MAX(M3109,F3110)</x:f>
        <x:v>1.932</x:v>
      </x:c>
      <x:c r="N3110" s="74" t="n">
        <x:f>1-F3110/M3110</x:f>
        <x:v>0</x:v>
      </x:c>
    </x:row>
    <x:row r="3111" ht="27" customHeight="1">
      <x:c r="A3111" s="66" t="str">
        <x:v>SEV580</x:v>
      </x:c>
      <x:c r="B3111" s="66" t="str">
        <x:v>祁腾蜂赢1号</x:v>
      </x:c>
      <x:c r="C3111" s="72" t="n">
        <x:v>45573</x:v>
      </x:c>
      <x:c r="D3111" s="73" t="n">
        <x:v>1.0812</x:v>
      </x:c>
      <x:c r="E3111" s="73" t="n">
        <x:v>1.7191</x:v>
      </x:c>
      <x:c r="F3111" s="73" t="n">
        <x:v>1.9925</x:v>
      </x:c>
      <x:c r="G3111" s="74" t="n">
        <x:v>0.0313</x:v>
      </x:c>
      <x:c r="H3111" s="66" t="str">
        <x:v>祁腾蜂赢1号净值20260911.xlsx</x:v>
      </x:c>
      <x:c r="I3111" s="73" t="str">
        <x:f>""</x:f>
      </x:c>
      <x:c r="J3111" s="74" t="str">
        <x:f>""</x:f>
      </x:c>
      <x:c r="K3111" s="73" t="n">
        <x:f>MAX(K3110,F3111)</x:f>
        <x:v>1.9925</x:v>
      </x:c>
      <x:c r="L3111" s="74" t="n">
        <x:f>1-F3111/K3111</x:f>
        <x:v>0</x:v>
      </x:c>
      <x:c r="M3111" s="73" t="n">
        <x:f>MAX(M3110,F3111)</x:f>
        <x:v>1.9925</x:v>
      </x:c>
      <x:c r="N3111" s="74" t="n">
        <x:f>1-F3111/M3111</x:f>
        <x:v>0</x:v>
      </x:c>
    </x:row>
    <x:row r="3112" ht="27" customHeight="1">
      <x:c r="A3112" s="66" t="str">
        <x:v>SEV580</x:v>
      </x:c>
      <x:c r="B3112" s="66" t="str">
        <x:v>祁腾蜂赢1号</x:v>
      </x:c>
      <x:c r="C3112" s="72" t="n">
        <x:v>45574</x:v>
      </x:c>
      <x:c r="D3112" s="73" t="n">
        <x:v>1.0996</x:v>
      </x:c>
      <x:c r="E3112" s="73" t="n">
        <x:v>1.7375</x:v>
      </x:c>
      <x:c r="F3112" s="73" t="n">
        <x:v>2.0264</x:v>
      </x:c>
      <x:c r="G3112" s="74" t="n">
        <x:v>0.017</x:v>
      </x:c>
      <x:c r="H3112" s="66" t="str">
        <x:v>祁腾蜂赢1号净值20260911.xlsx</x:v>
      </x:c>
      <x:c r="I3112" s="73" t="str">
        <x:f>""</x:f>
      </x:c>
      <x:c r="J3112" s="74" t="str">
        <x:f>""</x:f>
      </x:c>
      <x:c r="K3112" s="73" t="n">
        <x:f>MAX(K3111,F3112)</x:f>
        <x:v>2.0264</x:v>
      </x:c>
      <x:c r="L3112" s="74" t="n">
        <x:f>1-F3112/K3112</x:f>
        <x:v>0</x:v>
      </x:c>
      <x:c r="M3112" s="73" t="n">
        <x:f>MAX(M3111,F3112)</x:f>
        <x:v>2.0264</x:v>
      </x:c>
      <x:c r="N3112" s="74" t="n">
        <x:f>1-F3112/M3112</x:f>
        <x:v>0</x:v>
      </x:c>
    </x:row>
    <x:row r="3113" ht="27" customHeight="1">
      <x:c r="A3113" s="66" t="str">
        <x:v>SEV580</x:v>
      </x:c>
      <x:c r="B3113" s="66" t="str">
        <x:v>祁腾蜂赢1号</x:v>
      </x:c>
      <x:c r="C3113" s="72" t="n">
        <x:v>45575</x:v>
      </x:c>
      <x:c r="D3113" s="73" t="n">
        <x:v>1.104</x:v>
      </x:c>
      <x:c r="E3113" s="73" t="n">
        <x:v>1.7419</x:v>
      </x:c>
      <x:c r="F3113" s="73" t="n">
        <x:v>2.0345</x:v>
      </x:c>
      <x:c r="G3113" s="74" t="n">
        <x:v>0.004</x:v>
      </x:c>
      <x:c r="H3113" s="66" t="str">
        <x:v>祁腾蜂赢1号净值20260911.xlsx</x:v>
      </x:c>
      <x:c r="I3113" s="73" t="str">
        <x:f>""</x:f>
      </x:c>
      <x:c r="J3113" s="74" t="str">
        <x:f>""</x:f>
      </x:c>
      <x:c r="K3113" s="73" t="n">
        <x:f>MAX(K3112,F3113)</x:f>
        <x:v>2.0345</x:v>
      </x:c>
      <x:c r="L3113" s="74" t="n">
        <x:f>1-F3113/K3113</x:f>
        <x:v>0</x:v>
      </x:c>
      <x:c r="M3113" s="73" t="n">
        <x:f>MAX(M3112,F3113)</x:f>
        <x:v>2.0345</x:v>
      </x:c>
      <x:c r="N3113" s="74" t="n">
        <x:f>1-F3113/M3113</x:f>
        <x:v>0</x:v>
      </x:c>
    </x:row>
    <x:row r="3114" ht="27" customHeight="1">
      <x:c r="A3114" s="66" t="str">
        <x:v>SEV580</x:v>
      </x:c>
      <x:c r="B3114" s="66" t="str">
        <x:v>祁腾蜂赢1号</x:v>
      </x:c>
      <x:c r="C3114" s="72" t="n">
        <x:v>45576</x:v>
      </x:c>
      <x:c r="D3114" s="73" t="n">
        <x:v>1.104</x:v>
      </x:c>
      <x:c r="E3114" s="73" t="n">
        <x:v>1.7419</x:v>
      </x:c>
      <x:c r="F3114" s="73" t="n">
        <x:v>2.0345</x:v>
      </x:c>
      <x:c r="G3114" s="74" t="n">
        <x:v>0</x:v>
      </x:c>
      <x:c r="H3114" s="66" t="str">
        <x:v>祁腾蜂赢1号净值20260911.xlsx</x:v>
      </x:c>
      <x:c r="I3114" s="73" t="str">
        <x:f>""</x:f>
      </x:c>
      <x:c r="J3114" s="74" t="str">
        <x:f>""</x:f>
      </x:c>
      <x:c r="K3114" s="73" t="n">
        <x:f>MAX(K3113,F3114)</x:f>
        <x:v>2.0345</x:v>
      </x:c>
      <x:c r="L3114" s="74" t="n">
        <x:f>1-F3114/K3114</x:f>
        <x:v>0</x:v>
      </x:c>
      <x:c r="M3114" s="73" t="n">
        <x:f>MAX(M3113,F3114)</x:f>
        <x:v>2.0345</x:v>
      </x:c>
      <x:c r="N3114" s="74" t="n">
        <x:f>1-F3114/M3114</x:f>
        <x:v>0</x:v>
      </x:c>
    </x:row>
    <x:row r="3115" ht="27" customHeight="1">
      <x:c r="A3115" s="66" t="str">
        <x:v>SEV580</x:v>
      </x:c>
      <x:c r="B3115" s="66" t="str">
        <x:v>祁腾蜂赢1号</x:v>
      </x:c>
      <x:c r="C3115" s="72" t="n">
        <x:v>45579</x:v>
      </x:c>
      <x:c r="D3115" s="73" t="n">
        <x:v>1.106</x:v>
      </x:c>
      <x:c r="E3115" s="73" t="n">
        <x:v>1.7439</x:v>
      </x:c>
      <x:c r="F3115" s="73" t="n">
        <x:v>2.0382</x:v>
      </x:c>
      <x:c r="G3115" s="74" t="n">
        <x:v>0.0018</x:v>
      </x:c>
      <x:c r="H3115" s="66" t="str">
        <x:v>祁腾蜂赢1号净值20260911.xlsx</x:v>
      </x:c>
      <x:c r="I3115" s="73" t="str">
        <x:f>""</x:f>
      </x:c>
      <x:c r="J3115" s="74" t="str">
        <x:f>""</x:f>
      </x:c>
      <x:c r="K3115" s="73" t="n">
        <x:f>MAX(K3114,F3115)</x:f>
        <x:v>2.0382</x:v>
      </x:c>
      <x:c r="L3115" s="74" t="n">
        <x:f>1-F3115/K3115</x:f>
        <x:v>0</x:v>
      </x:c>
      <x:c r="M3115" s="73" t="n">
        <x:f>MAX(M3114,F3115)</x:f>
        <x:v>2.0382</x:v>
      </x:c>
      <x:c r="N3115" s="74" t="n">
        <x:f>1-F3115/M3115</x:f>
        <x:v>0</x:v>
      </x:c>
    </x:row>
    <x:row r="3116" ht="27" customHeight="1">
      <x:c r="A3116" s="66" t="str">
        <x:v>SEV580</x:v>
      </x:c>
      <x:c r="B3116" s="66" t="str">
        <x:v>祁腾蜂赢1号</x:v>
      </x:c>
      <x:c r="C3116" s="72" t="n">
        <x:v>45580</x:v>
      </x:c>
      <x:c r="D3116" s="73" t="n">
        <x:v>1.1086</x:v>
      </x:c>
      <x:c r="E3116" s="73" t="n">
        <x:v>1.7465</x:v>
      </x:c>
      <x:c r="F3116" s="73" t="n">
        <x:v>2.043</x:v>
      </x:c>
      <x:c r="G3116" s="74" t="n">
        <x:v>0.0024</x:v>
      </x:c>
      <x:c r="H3116" s="66" t="str">
        <x:v>祁腾蜂赢1号净值20260911.xlsx</x:v>
      </x:c>
      <x:c r="I3116" s="73" t="str">
        <x:f>""</x:f>
      </x:c>
      <x:c r="J3116" s="74" t="str">
        <x:f>""</x:f>
      </x:c>
      <x:c r="K3116" s="73" t="n">
        <x:f>MAX(K3115,F3116)</x:f>
        <x:v>2.043</x:v>
      </x:c>
      <x:c r="L3116" s="74" t="n">
        <x:f>1-F3116/K3116</x:f>
        <x:v>0</x:v>
      </x:c>
      <x:c r="M3116" s="73" t="n">
        <x:f>MAX(M3115,F3116)</x:f>
        <x:v>2.043</x:v>
      </x:c>
      <x:c r="N3116" s="74" t="n">
        <x:f>1-F3116/M3116</x:f>
        <x:v>0</x:v>
      </x:c>
    </x:row>
    <x:row r="3117" ht="27" customHeight="1">
      <x:c r="A3117" s="66" t="str">
        <x:v>SEV580</x:v>
      </x:c>
      <x:c r="B3117" s="66" t="str">
        <x:v>祁腾蜂赢1号</x:v>
      </x:c>
      <x:c r="C3117" s="72" t="n">
        <x:v>45581</x:v>
      </x:c>
      <x:c r="D3117" s="73" t="n">
        <x:v>1.1102</x:v>
      </x:c>
      <x:c r="E3117" s="73" t="n">
        <x:v>1.7481</x:v>
      </x:c>
      <x:c r="F3117" s="73" t="n">
        <x:v>2.0459</x:v>
      </x:c>
      <x:c r="G3117" s="74" t="n">
        <x:v>0.0014000000000000002</x:v>
      </x:c>
      <x:c r="H3117" s="66" t="str">
        <x:v>祁腾蜂赢1号净值20260911.xlsx</x:v>
      </x:c>
      <x:c r="I3117" s="73" t="str">
        <x:f>""</x:f>
      </x:c>
      <x:c r="J3117" s="74" t="str">
        <x:f>""</x:f>
      </x:c>
      <x:c r="K3117" s="73" t="n">
        <x:f>MAX(K3116,F3117)</x:f>
        <x:v>2.0459</x:v>
      </x:c>
      <x:c r="L3117" s="74" t="n">
        <x:f>1-F3117/K3117</x:f>
        <x:v>0</x:v>
      </x:c>
      <x:c r="M3117" s="73" t="n">
        <x:f>MAX(M3116,F3117)</x:f>
        <x:v>2.0459</x:v>
      </x:c>
      <x:c r="N3117" s="74" t="n">
        <x:f>1-F3117/M3117</x:f>
        <x:v>0</x:v>
      </x:c>
    </x:row>
    <x:row r="3118" ht="27" customHeight="1">
      <x:c r="A3118" s="66" t="str">
        <x:v>SEV580</x:v>
      </x:c>
      <x:c r="B3118" s="66" t="str">
        <x:v>祁腾蜂赢1号</x:v>
      </x:c>
      <x:c r="C3118" s="72" t="n">
        <x:v>45582</x:v>
      </x:c>
      <x:c r="D3118" s="73" t="n">
        <x:v>1.1109</x:v>
      </x:c>
      <x:c r="E3118" s="73" t="n">
        <x:v>1.7488</x:v>
      </x:c>
      <x:c r="F3118" s="73" t="n">
        <x:v>2.0472</x:v>
      </x:c>
      <x:c r="G3118" s="74" t="n">
        <x:v>0.0006</x:v>
      </x:c>
      <x:c r="H3118" s="66" t="str">
        <x:v>祁腾蜂赢1号净值20260911.xlsx</x:v>
      </x:c>
      <x:c r="I3118" s="73" t="str">
        <x:f>""</x:f>
      </x:c>
      <x:c r="J3118" s="74" t="str">
        <x:f>""</x:f>
      </x:c>
      <x:c r="K3118" s="73" t="n">
        <x:f>MAX(K3117,F3118)</x:f>
        <x:v>2.0472</x:v>
      </x:c>
      <x:c r="L3118" s="74" t="n">
        <x:f>1-F3118/K3118</x:f>
        <x:v>0</x:v>
      </x:c>
      <x:c r="M3118" s="73" t="n">
        <x:f>MAX(M3117,F3118)</x:f>
        <x:v>2.0472</x:v>
      </x:c>
      <x:c r="N3118" s="74" t="n">
        <x:f>1-F3118/M3118</x:f>
        <x:v>0</x:v>
      </x:c>
    </x:row>
    <x:row r="3119" ht="27" customHeight="1">
      <x:c r="A3119" s="66" t="str">
        <x:v>SEV580</x:v>
      </x:c>
      <x:c r="B3119" s="66" t="str">
        <x:v>祁腾蜂赢1号</x:v>
      </x:c>
      <x:c r="C3119" s="72" t="n">
        <x:v>45583</x:v>
      </x:c>
      <x:c r="D3119" s="73" t="n">
        <x:v>1.1112</x:v>
      </x:c>
      <x:c r="E3119" s="73" t="n">
        <x:v>1.7491</x:v>
      </x:c>
      <x:c r="F3119" s="73" t="n">
        <x:v>2.0478</x:v>
      </x:c>
      <x:c r="G3119" s="74" t="n">
        <x:v>0.0003</x:v>
      </x:c>
      <x:c r="H3119" s="66" t="str">
        <x:v>祁腾蜂赢1号净值20260911.xlsx</x:v>
      </x:c>
      <x:c r="I3119" s="73" t="str">
        <x:f>""</x:f>
      </x:c>
      <x:c r="J3119" s="74" t="str">
        <x:f>""</x:f>
      </x:c>
      <x:c r="K3119" s="73" t="n">
        <x:f>MAX(K3118,F3119)</x:f>
        <x:v>2.0478</x:v>
      </x:c>
      <x:c r="L3119" s="74" t="n">
        <x:f>1-F3119/K3119</x:f>
        <x:v>0</x:v>
      </x:c>
      <x:c r="M3119" s="73" t="n">
        <x:f>MAX(M3118,F3119)</x:f>
        <x:v>2.0478</x:v>
      </x:c>
      <x:c r="N3119" s="74" t="n">
        <x:f>1-F3119/M3119</x:f>
        <x:v>0</x:v>
      </x:c>
    </x:row>
    <x:row r="3120" ht="27" customHeight="1">
      <x:c r="A3120" s="66" t="str">
        <x:v>SEV580</x:v>
      </x:c>
      <x:c r="B3120" s="66" t="str">
        <x:v>祁腾蜂赢1号</x:v>
      </x:c>
      <x:c r="C3120" s="72" t="n">
        <x:v>45586</x:v>
      </x:c>
      <x:c r="D3120" s="73" t="n">
        <x:v>1.1101</x:v>
      </x:c>
      <x:c r="E3120" s="73" t="n">
        <x:v>1.748</x:v>
      </x:c>
      <x:c r="F3120" s="73" t="n">
        <x:v>2.0457</x:v>
      </x:c>
      <x:c r="G3120" s="74" t="n">
        <x:v>-0.001</x:v>
      </x:c>
      <x:c r="H3120" s="66" t="str">
        <x:v>祁腾蜂赢1号净值20260911.xlsx</x:v>
      </x:c>
      <x:c r="I3120" s="73" t="str">
        <x:f>""</x:f>
      </x:c>
      <x:c r="J3120" s="74" t="str">
        <x:f>""</x:f>
      </x:c>
      <x:c r="K3120" s="73" t="n">
        <x:f>MAX(K3119,F3120)</x:f>
        <x:v>2.0478</x:v>
      </x:c>
      <x:c r="L3120" s="74" t="n">
        <x:f>1-F3120/K3120</x:f>
        <x:v>0.001025490770583115</x:v>
      </x:c>
      <x:c r="M3120" s="73" t="n">
        <x:f>MAX(M3119,F3120)</x:f>
        <x:v>2.0478</x:v>
      </x:c>
      <x:c r="N3120" s="74" t="n">
        <x:f>1-F3120/M3120</x:f>
        <x:v>0.001025490770583115</x:v>
      </x:c>
    </x:row>
    <x:row r="3121" ht="27" customHeight="1">
      <x:c r="A3121" s="66" t="str">
        <x:v>SEV580</x:v>
      </x:c>
      <x:c r="B3121" s="66" t="str">
        <x:v>祁腾蜂赢1号</x:v>
      </x:c>
      <x:c r="C3121" s="72" t="n">
        <x:v>45587</x:v>
      </x:c>
      <x:c r="D3121" s="73" t="n">
        <x:v>1.1086</x:v>
      </x:c>
      <x:c r="E3121" s="73" t="n">
        <x:v>1.7465</x:v>
      </x:c>
      <x:c r="F3121" s="73" t="n">
        <x:v>2.043</x:v>
      </x:c>
      <x:c r="G3121" s="74" t="n">
        <x:v>-0.0014000000000000002</x:v>
      </x:c>
      <x:c r="H3121" s="66" t="str">
        <x:v>祁腾蜂赢1号净值20260911.xlsx</x:v>
      </x:c>
      <x:c r="I3121" s="73" t="str">
        <x:f>""</x:f>
      </x:c>
      <x:c r="J3121" s="74" t="str">
        <x:f>""</x:f>
      </x:c>
      <x:c r="K3121" s="73" t="n">
        <x:f>MAX(K3120,F3121)</x:f>
        <x:v>2.0478</x:v>
      </x:c>
      <x:c r="L3121" s="74" t="n">
        <x:f>1-F3121/K3121</x:f>
        <x:v>0.002343978904189803</x:v>
      </x:c>
      <x:c r="M3121" s="73" t="n">
        <x:f>MAX(M3120,F3121)</x:f>
        <x:v>2.0478</x:v>
      </x:c>
      <x:c r="N3121" s="74" t="n">
        <x:f>1-F3121/M3121</x:f>
        <x:v>0.002343978904189803</x:v>
      </x:c>
    </x:row>
    <x:row r="3122" ht="27" customHeight="1">
      <x:c r="A3122" s="66" t="str">
        <x:v>SEV580</x:v>
      </x:c>
      <x:c r="B3122" s="66" t="str">
        <x:v>祁腾蜂赢1号</x:v>
      </x:c>
      <x:c r="C3122" s="72" t="n">
        <x:v>45588</x:v>
      </x:c>
      <x:c r="D3122" s="73" t="n">
        <x:v>1.1117</x:v>
      </x:c>
      <x:c r="E3122" s="73" t="n">
        <x:v>1.7496</x:v>
      </x:c>
      <x:c r="F3122" s="73" t="n">
        <x:v>2.0487</x:v>
      </x:c>
      <x:c r="G3122" s="74" t="n">
        <x:v>0.0028000000000000004</x:v>
      </x:c>
      <x:c r="H3122" s="66" t="str">
        <x:v>祁腾蜂赢1号净值20260911.xlsx</x:v>
      </x:c>
      <x:c r="I3122" s="73" t="str">
        <x:f>""</x:f>
      </x:c>
      <x:c r="J3122" s="74" t="str">
        <x:f>""</x:f>
      </x:c>
      <x:c r="K3122" s="73" t="n">
        <x:f>MAX(K3121,F3122)</x:f>
        <x:v>2.0487</x:v>
      </x:c>
      <x:c r="L3122" s="74" t="n">
        <x:f>1-F3122/K3122</x:f>
        <x:v>0</x:v>
      </x:c>
      <x:c r="M3122" s="73" t="n">
        <x:f>MAX(M3121,F3122)</x:f>
        <x:v>2.0487</x:v>
      </x:c>
      <x:c r="N3122" s="74" t="n">
        <x:f>1-F3122/M3122</x:f>
        <x:v>0</x:v>
      </x:c>
    </x:row>
    <x:row r="3123" ht="27" customHeight="1">
      <x:c r="A3123" s="66" t="str">
        <x:v>SEV580</x:v>
      </x:c>
      <x:c r="B3123" s="66" t="str">
        <x:v>祁腾蜂赢1号</x:v>
      </x:c>
      <x:c r="C3123" s="72" t="n">
        <x:v>45589</x:v>
      </x:c>
      <x:c r="D3123" s="73" t="n">
        <x:v>1.1117</x:v>
      </x:c>
      <x:c r="E3123" s="73" t="n">
        <x:v>1.7496</x:v>
      </x:c>
      <x:c r="F3123" s="73" t="n">
        <x:v>2.0487</x:v>
      </x:c>
      <x:c r="G3123" s="74" t="n">
        <x:v>0</x:v>
      </x:c>
      <x:c r="H3123" s="66" t="str">
        <x:v>祁腾蜂赢1号净值20260911.xlsx</x:v>
      </x:c>
      <x:c r="I3123" s="73" t="str">
        <x:f>""</x:f>
      </x:c>
      <x:c r="J3123" s="74" t="str">
        <x:f>""</x:f>
      </x:c>
      <x:c r="K3123" s="73" t="n">
        <x:f>MAX(K3122,F3123)</x:f>
        <x:v>2.0487</x:v>
      </x:c>
      <x:c r="L3123" s="74" t="n">
        <x:f>1-F3123/K3123</x:f>
        <x:v>0</x:v>
      </x:c>
      <x:c r="M3123" s="73" t="n">
        <x:f>MAX(M3122,F3123)</x:f>
        <x:v>2.0487</x:v>
      </x:c>
      <x:c r="N3123" s="74" t="n">
        <x:f>1-F3123/M3123</x:f>
        <x:v>0</x:v>
      </x:c>
    </x:row>
    <x:row r="3124" ht="27" customHeight="1">
      <x:c r="A3124" s="66" t="str">
        <x:v>SEV580</x:v>
      </x:c>
      <x:c r="B3124" s="66" t="str">
        <x:v>祁腾蜂赢1号</x:v>
      </x:c>
      <x:c r="C3124" s="72" t="n">
        <x:v>45590</x:v>
      </x:c>
      <x:c r="D3124" s="73" t="n">
        <x:v>1.1121</x:v>
      </x:c>
      <x:c r="E3124" s="73" t="n">
        <x:v>1.75</x:v>
      </x:c>
      <x:c r="F3124" s="73" t="n">
        <x:v>2.0494</x:v>
      </x:c>
      <x:c r="G3124" s="74" t="n">
        <x:v>0.0004</x:v>
      </x:c>
      <x:c r="H3124" s="66" t="str">
        <x:v>祁腾蜂赢1号净值20260911.xlsx</x:v>
      </x:c>
      <x:c r="I3124" s="73" t="str">
        <x:f>""</x:f>
      </x:c>
      <x:c r="J3124" s="74" t="str">
        <x:f>""</x:f>
      </x:c>
      <x:c r="K3124" s="73" t="n">
        <x:f>MAX(K3123,F3124)</x:f>
        <x:v>2.0494</x:v>
      </x:c>
      <x:c r="L3124" s="74" t="n">
        <x:f>1-F3124/K3124</x:f>
        <x:v>0</x:v>
      </x:c>
      <x:c r="M3124" s="73" t="n">
        <x:f>MAX(M3123,F3124)</x:f>
        <x:v>2.0494</x:v>
      </x:c>
      <x:c r="N3124" s="74" t="n">
        <x:f>1-F3124/M3124</x:f>
        <x:v>0</x:v>
      </x:c>
    </x:row>
    <x:row r="3125" ht="27" customHeight="1">
      <x:c r="A3125" s="66" t="str">
        <x:v>SEV580</x:v>
      </x:c>
      <x:c r="B3125" s="66" t="str">
        <x:v>祁腾蜂赢1号</x:v>
      </x:c>
      <x:c r="C3125" s="72" t="n">
        <x:v>45593</x:v>
      </x:c>
      <x:c r="D3125" s="73" t="n">
        <x:v>1.1117</x:v>
      </x:c>
      <x:c r="E3125" s="73" t="n">
        <x:v>1.7496</x:v>
      </x:c>
      <x:c r="F3125" s="73" t="n">
        <x:v>2.0487</x:v>
      </x:c>
      <x:c r="G3125" s="74" t="n">
        <x:v>-0.0004</x:v>
      </x:c>
      <x:c r="H3125" s="66" t="str">
        <x:v>祁腾蜂赢1号净值20260911.xlsx</x:v>
      </x:c>
      <x:c r="I3125" s="73" t="str">
        <x:f>""</x:f>
      </x:c>
      <x:c r="J3125" s="74" t="str">
        <x:f>""</x:f>
      </x:c>
      <x:c r="K3125" s="73" t="n">
        <x:f>MAX(K3124,F3125)</x:f>
        <x:v>2.0494</x:v>
      </x:c>
      <x:c r="L3125" s="74" t="n">
        <x:f>1-F3125/K3125</x:f>
        <x:v>0.0003415633844050525</x:v>
      </x:c>
      <x:c r="M3125" s="73" t="n">
        <x:f>MAX(M3124,F3125)</x:f>
        <x:v>2.0494</x:v>
      </x:c>
      <x:c r="N3125" s="74" t="n">
        <x:f>1-F3125/M3125</x:f>
        <x:v>0.0003415633844050525</x:v>
      </x:c>
    </x:row>
    <x:row r="3126" ht="27" customHeight="1">
      <x:c r="A3126" s="66" t="str">
        <x:v>SEV580</x:v>
      </x:c>
      <x:c r="B3126" s="66" t="str">
        <x:v>祁腾蜂赢1号</x:v>
      </x:c>
      <x:c r="C3126" s="72" t="n">
        <x:v>45594</x:v>
      </x:c>
      <x:c r="D3126" s="73" t="n">
        <x:v>1.1149</x:v>
      </x:c>
      <x:c r="E3126" s="73" t="n">
        <x:v>1.7528</x:v>
      </x:c>
      <x:c r="F3126" s="73" t="n">
        <x:v>2.0546</x:v>
      </x:c>
      <x:c r="G3126" s="74" t="n">
        <x:v>0.0029</x:v>
      </x:c>
      <x:c r="H3126" s="66" t="str">
        <x:v>祁腾蜂赢1号净值20260911.xlsx</x:v>
      </x:c>
      <x:c r="I3126" s="73" t="str">
        <x:f>""</x:f>
      </x:c>
      <x:c r="J3126" s="74" t="str">
        <x:f>""</x:f>
      </x:c>
      <x:c r="K3126" s="73" t="n">
        <x:f>MAX(K3125,F3126)</x:f>
        <x:v>2.0546</x:v>
      </x:c>
      <x:c r="L3126" s="74" t="n">
        <x:f>1-F3126/K3126</x:f>
        <x:v>0</x:v>
      </x:c>
      <x:c r="M3126" s="73" t="n">
        <x:f>MAX(M3125,F3126)</x:f>
        <x:v>2.0546</x:v>
      </x:c>
      <x:c r="N3126" s="74" t="n">
        <x:f>1-F3126/M3126</x:f>
        <x:v>0</x:v>
      </x:c>
    </x:row>
    <x:row r="3127" ht="27" customHeight="1">
      <x:c r="A3127" s="66" t="str">
        <x:v>SEV580</x:v>
      </x:c>
      <x:c r="B3127" s="66" t="str">
        <x:v>祁腾蜂赢1号</x:v>
      </x:c>
      <x:c r="C3127" s="72" t="n">
        <x:v>45595</x:v>
      </x:c>
      <x:c r="D3127" s="73" t="n">
        <x:v>1.1154</x:v>
      </x:c>
      <x:c r="E3127" s="73" t="n">
        <x:v>1.7533</x:v>
      </x:c>
      <x:c r="F3127" s="73" t="n">
        <x:v>2.0555</x:v>
      </x:c>
      <x:c r="G3127" s="74" t="n">
        <x:v>0.0004</x:v>
      </x:c>
      <x:c r="H3127" s="66" t="str">
        <x:v>祁腾蜂赢1号净值20260911.xlsx</x:v>
      </x:c>
      <x:c r="I3127" s="73" t="str">
        <x:f>""</x:f>
      </x:c>
      <x:c r="J3127" s="74" t="str">
        <x:f>""</x:f>
      </x:c>
      <x:c r="K3127" s="73" t="n">
        <x:f>MAX(K3126,F3127)</x:f>
        <x:v>2.0555</x:v>
      </x:c>
      <x:c r="L3127" s="74" t="n">
        <x:f>1-F3127/K3127</x:f>
        <x:v>0</x:v>
      </x:c>
      <x:c r="M3127" s="73" t="n">
        <x:f>MAX(M3126,F3127)</x:f>
        <x:v>2.0555</x:v>
      </x:c>
      <x:c r="N3127" s="74" t="n">
        <x:f>1-F3127/M3127</x:f>
        <x:v>0</x:v>
      </x:c>
    </x:row>
    <x:row r="3128" ht="27" customHeight="1">
      <x:c r="A3128" s="66" t="str">
        <x:v>SEV580</x:v>
      </x:c>
      <x:c r="B3128" s="66" t="str">
        <x:v>祁腾蜂赢1号</x:v>
      </x:c>
      <x:c r="C3128" s="72" t="n">
        <x:v>45596</x:v>
      </x:c>
      <x:c r="D3128" s="73" t="n">
        <x:v>1.1155</x:v>
      </x:c>
      <x:c r="E3128" s="73" t="n">
        <x:v>1.7534</x:v>
      </x:c>
      <x:c r="F3128" s="73" t="n">
        <x:v>2.0557</x:v>
      </x:c>
      <x:c r="G3128" s="74" t="n">
        <x:v>0.0001</x:v>
      </x:c>
      <x:c r="H3128" s="66" t="str">
        <x:v>祁腾蜂赢1号净值20260911.xlsx</x:v>
      </x:c>
      <x:c r="I3128" s="73" t="str">
        <x:f>""</x:f>
      </x:c>
      <x:c r="J3128" s="74" t="str">
        <x:f>""</x:f>
      </x:c>
      <x:c r="K3128" s="73" t="n">
        <x:f>MAX(K3127,F3128)</x:f>
        <x:v>2.0557</x:v>
      </x:c>
      <x:c r="L3128" s="74" t="n">
        <x:f>1-F3128/K3128</x:f>
        <x:v>0</x:v>
      </x:c>
      <x:c r="M3128" s="73" t="n">
        <x:f>MAX(M3127,F3128)</x:f>
        <x:v>2.0557</x:v>
      </x:c>
      <x:c r="N3128" s="74" t="n">
        <x:f>1-F3128/M3128</x:f>
        <x:v>0</x:v>
      </x:c>
    </x:row>
    <x:row r="3129" ht="27" customHeight="1">
      <x:c r="A3129" s="66" t="str">
        <x:v>SEV580</x:v>
      </x:c>
      <x:c r="B3129" s="66" t="str">
        <x:v>祁腾蜂赢1号</x:v>
      </x:c>
      <x:c r="C3129" s="72" t="n">
        <x:v>45597</x:v>
      </x:c>
      <x:c r="D3129" s="73" t="n">
        <x:v>1.1154</x:v>
      </x:c>
      <x:c r="E3129" s="73" t="n">
        <x:v>1.7533</x:v>
      </x:c>
      <x:c r="F3129" s="73" t="n">
        <x:v>2.0555</x:v>
      </x:c>
      <x:c r="G3129" s="74" t="n">
        <x:v>-0.0001</x:v>
      </x:c>
      <x:c r="H3129" s="66" t="str">
        <x:v>祁腾蜂赢1号净值20260911.xlsx</x:v>
      </x:c>
      <x:c r="I3129" s="73" t="str">
        <x:f>""</x:f>
      </x:c>
      <x:c r="J3129" s="74" t="str">
        <x:f>""</x:f>
      </x:c>
      <x:c r="K3129" s="73" t="n">
        <x:f>MAX(K3128,F3129)</x:f>
        <x:v>2.0557</x:v>
      </x:c>
      <x:c r="L3129" s="74" t="n">
        <x:f>1-F3129/K3129</x:f>
        <x:v>0.00009729046067030733</x:v>
      </x:c>
      <x:c r="M3129" s="73" t="n">
        <x:f>MAX(M3128,F3129)</x:f>
        <x:v>2.0557</x:v>
      </x:c>
      <x:c r="N3129" s="74" t="n">
        <x:f>1-F3129/M3129</x:f>
        <x:v>0.00009729046067030733</x:v>
      </x:c>
    </x:row>
    <x:row r="3130" ht="27" customHeight="1">
      <x:c r="A3130" s="66" t="str">
        <x:v>SEV580</x:v>
      </x:c>
      <x:c r="B3130" s="66" t="str">
        <x:v>祁腾蜂赢1号</x:v>
      </x:c>
      <x:c r="C3130" s="72" t="n">
        <x:v>45600</x:v>
      </x:c>
      <x:c r="D3130" s="73" t="n">
        <x:v>1.1153</x:v>
      </x:c>
      <x:c r="E3130" s="73" t="n">
        <x:v>1.7532</x:v>
      </x:c>
      <x:c r="F3130" s="73" t="n">
        <x:v>2.0553</x:v>
      </x:c>
      <x:c r="G3130" s="74" t="n">
        <x:v>-0.0001</x:v>
      </x:c>
      <x:c r="H3130" s="66" t="str">
        <x:v>祁腾蜂赢1号净值20260911.xlsx</x:v>
      </x:c>
      <x:c r="I3130" s="73" t="str">
        <x:f>""</x:f>
      </x:c>
      <x:c r="J3130" s="74" t="str">
        <x:f>""</x:f>
      </x:c>
      <x:c r="K3130" s="73" t="n">
        <x:f>MAX(K3129,F3130)</x:f>
        <x:v>2.0557</x:v>
      </x:c>
      <x:c r="L3130" s="74" t="n">
        <x:f>1-F3130/K3130</x:f>
        <x:v>0.00019458092134061467</x:v>
      </x:c>
      <x:c r="M3130" s="73" t="n">
        <x:f>MAX(M3129,F3130)</x:f>
        <x:v>2.0557</x:v>
      </x:c>
      <x:c r="N3130" s="74" t="n">
        <x:f>1-F3130/M3130</x:f>
        <x:v>0.00019458092134061467</x:v>
      </x:c>
    </x:row>
    <x:row r="3131" ht="27" customHeight="1">
      <x:c r="A3131" s="66" t="str">
        <x:v>SEV580</x:v>
      </x:c>
      <x:c r="B3131" s="66" t="str">
        <x:v>祁腾蜂赢1号</x:v>
      </x:c>
      <x:c r="C3131" s="72" t="n">
        <x:v>45601</x:v>
      </x:c>
      <x:c r="D3131" s="73" t="n">
        <x:v>1.115</x:v>
      </x:c>
      <x:c r="E3131" s="73" t="n">
        <x:v>1.7529</x:v>
      </x:c>
      <x:c r="F3131" s="73" t="n">
        <x:v>2.0548</x:v>
      </x:c>
      <x:c r="G3131" s="74" t="n">
        <x:v>-0.0003</x:v>
      </x:c>
      <x:c r="H3131" s="66" t="str">
        <x:v>祁腾蜂赢1号净值20260911.xlsx</x:v>
      </x:c>
      <x:c r="I3131" s="73" t="str">
        <x:f>""</x:f>
      </x:c>
      <x:c r="J3131" s="74" t="str">
        <x:f>""</x:f>
      </x:c>
      <x:c r="K3131" s="73" t="n">
        <x:f>MAX(K3130,F3131)</x:f>
        <x:v>2.0557</x:v>
      </x:c>
      <x:c r="L3131" s="74" t="n">
        <x:f>1-F3131/K3131</x:f>
        <x:v>0.0004378070730163275</x:v>
      </x:c>
      <x:c r="M3131" s="73" t="n">
        <x:f>MAX(M3130,F3131)</x:f>
        <x:v>2.0557</x:v>
      </x:c>
      <x:c r="N3131" s="74" t="n">
        <x:f>1-F3131/M3131</x:f>
        <x:v>0.0004378070730163275</x:v>
      </x:c>
    </x:row>
    <x:row r="3132" ht="27" customHeight="1">
      <x:c r="A3132" s="66" t="str">
        <x:v>SEV580</x:v>
      </x:c>
      <x:c r="B3132" s="66" t="str">
        <x:v>祁腾蜂赢1号</x:v>
      </x:c>
      <x:c r="C3132" s="72" t="n">
        <x:v>45602</x:v>
      </x:c>
      <x:c r="D3132" s="73" t="n">
        <x:v>1.1152</x:v>
      </x:c>
      <x:c r="E3132" s="73" t="n">
        <x:v>1.7531</x:v>
      </x:c>
      <x:c r="F3132" s="73" t="n">
        <x:v>2.0551</x:v>
      </x:c>
      <x:c r="G3132" s="74" t="n">
        <x:v>0.0002</x:v>
      </x:c>
      <x:c r="H3132" s="66" t="str">
        <x:v>祁腾蜂赢1号净值20260911.xlsx</x:v>
      </x:c>
      <x:c r="I3132" s="73" t="str">
        <x:f>""</x:f>
      </x:c>
      <x:c r="J3132" s="74" t="str">
        <x:f>""</x:f>
      </x:c>
      <x:c r="K3132" s="73" t="n">
        <x:f>MAX(K3131,F3132)</x:f>
        <x:v>2.0557</x:v>
      </x:c>
      <x:c r="L3132" s="74" t="n">
        <x:f>1-F3132/K3132</x:f>
        <x:v>0.000291871382010922</x:v>
      </x:c>
      <x:c r="M3132" s="73" t="n">
        <x:f>MAX(M3131,F3132)</x:f>
        <x:v>2.0557</x:v>
      </x:c>
      <x:c r="N3132" s="74" t="n">
        <x:f>1-F3132/M3132</x:f>
        <x:v>0.000291871382010922</x:v>
      </x:c>
    </x:row>
    <x:row r="3133" ht="27" customHeight="1">
      <x:c r="A3133" s="66" t="str">
        <x:v>SEV580</x:v>
      </x:c>
      <x:c r="B3133" s="66" t="str">
        <x:v>祁腾蜂赢1号</x:v>
      </x:c>
      <x:c r="C3133" s="72" t="n">
        <x:v>45603</x:v>
      </x:c>
      <x:c r="D3133" s="73" t="n">
        <x:v>1.1159</x:v>
      </x:c>
      <x:c r="E3133" s="73" t="n">
        <x:v>1.7538</x:v>
      </x:c>
      <x:c r="F3133" s="73" t="n">
        <x:v>2.0564</x:v>
      </x:c>
      <x:c r="G3133" s="74" t="n">
        <x:v>0.0006</x:v>
      </x:c>
      <x:c r="H3133" s="66" t="str">
        <x:v>祁腾蜂赢1号净值20260911.xlsx</x:v>
      </x:c>
      <x:c r="I3133" s="73" t="str">
        <x:f>""</x:f>
      </x:c>
      <x:c r="J3133" s="74" t="str">
        <x:f>""</x:f>
      </x:c>
      <x:c r="K3133" s="73" t="n">
        <x:f>MAX(K3132,F3133)</x:f>
        <x:v>2.0564</x:v>
      </x:c>
      <x:c r="L3133" s="74" t="n">
        <x:f>1-F3133/K3133</x:f>
        <x:v>0</x:v>
      </x:c>
      <x:c r="M3133" s="73" t="n">
        <x:f>MAX(M3132,F3133)</x:f>
        <x:v>2.0564</x:v>
      </x:c>
      <x:c r="N3133" s="74" t="n">
        <x:f>1-F3133/M3133</x:f>
        <x:v>0</x:v>
      </x:c>
    </x:row>
    <x:row r="3134" ht="27" customHeight="1">
      <x:c r="A3134" s="66" t="str">
        <x:v>SEV580</x:v>
      </x:c>
      <x:c r="B3134" s="66" t="str">
        <x:v>祁腾蜂赢1号</x:v>
      </x:c>
      <x:c r="C3134" s="72" t="n">
        <x:v>45604</x:v>
      </x:c>
      <x:c r="D3134" s="73" t="n">
        <x:v>1.1162</x:v>
      </x:c>
      <x:c r="E3134" s="73" t="n">
        <x:v>1.7541</x:v>
      </x:c>
      <x:c r="F3134" s="73" t="n">
        <x:v>2.057</x:v>
      </x:c>
      <x:c r="G3134" s="74" t="n">
        <x:v>0.0003</x:v>
      </x:c>
      <x:c r="H3134" s="66" t="str">
        <x:v>祁腾蜂赢1号净值20260911.xlsx</x:v>
      </x:c>
      <x:c r="I3134" s="73" t="str">
        <x:f>""</x:f>
      </x:c>
      <x:c r="J3134" s="74" t="str">
        <x:f>""</x:f>
      </x:c>
      <x:c r="K3134" s="73" t="n">
        <x:f>MAX(K3133,F3134)</x:f>
        <x:v>2.057</x:v>
      </x:c>
      <x:c r="L3134" s="74" t="n">
        <x:f>1-F3134/K3134</x:f>
        <x:v>0</x:v>
      </x:c>
      <x:c r="M3134" s="73" t="n">
        <x:f>MAX(M3133,F3134)</x:f>
        <x:v>2.057</x:v>
      </x:c>
      <x:c r="N3134" s="74" t="n">
        <x:f>1-F3134/M3134</x:f>
        <x:v>0</x:v>
      </x:c>
    </x:row>
    <x:row r="3135" ht="27" customHeight="1">
      <x:c r="A3135" s="66" t="str">
        <x:v>SEV580</x:v>
      </x:c>
      <x:c r="B3135" s="66" t="str">
        <x:v>祁腾蜂赢1号</x:v>
      </x:c>
      <x:c r="C3135" s="72" t="n">
        <x:v>45607</x:v>
      </x:c>
      <x:c r="D3135" s="73" t="n">
        <x:v>1.116</x:v>
      </x:c>
      <x:c r="E3135" s="73" t="n">
        <x:v>1.7539</x:v>
      </x:c>
      <x:c r="F3135" s="73" t="n">
        <x:v>2.0566</x:v>
      </x:c>
      <x:c r="G3135" s="74" t="n">
        <x:v>-0.0002</x:v>
      </x:c>
      <x:c r="H3135" s="66" t="str">
        <x:v>祁腾蜂赢1号净值20260911.xlsx</x:v>
      </x:c>
      <x:c r="I3135" s="73" t="str">
        <x:f>""</x:f>
      </x:c>
      <x:c r="J3135" s="74" t="str">
        <x:f>""</x:f>
      </x:c>
      <x:c r="K3135" s="73" t="n">
        <x:f>MAX(K3134,F3135)</x:f>
        <x:v>2.057</x:v>
      </x:c>
      <x:c r="L3135" s="74" t="n">
        <x:f>1-F3135/K3135</x:f>
        <x:v>0.0001944579484686182</x:v>
      </x:c>
      <x:c r="M3135" s="73" t="n">
        <x:f>MAX(M3134,F3135)</x:f>
        <x:v>2.057</x:v>
      </x:c>
      <x:c r="N3135" s="74" t="n">
        <x:f>1-F3135/M3135</x:f>
        <x:v>0.0001944579484686182</x:v>
      </x:c>
    </x:row>
    <x:row r="3136" ht="27" customHeight="1">
      <x:c r="A3136" s="66" t="str">
        <x:v>SEV580</x:v>
      </x:c>
      <x:c r="B3136" s="66" t="str">
        <x:v>祁腾蜂赢1号</x:v>
      </x:c>
      <x:c r="C3136" s="72" t="n">
        <x:v>45608</x:v>
      </x:c>
      <x:c r="D3136" s="73" t="n">
        <x:v>1.1167</x:v>
      </x:c>
      <x:c r="E3136" s="73" t="n">
        <x:v>1.7546</x:v>
      </x:c>
      <x:c r="F3136" s="73" t="n">
        <x:v>2.0579</x:v>
      </x:c>
      <x:c r="G3136" s="74" t="n">
        <x:v>0.0006</x:v>
      </x:c>
      <x:c r="H3136" s="66" t="str">
        <x:v>祁腾蜂赢1号净值20260911.xlsx</x:v>
      </x:c>
      <x:c r="I3136" s="73" t="str">
        <x:f>""</x:f>
      </x:c>
      <x:c r="J3136" s="74" t="str">
        <x:f>""</x:f>
      </x:c>
      <x:c r="K3136" s="73" t="n">
        <x:f>MAX(K3135,F3136)</x:f>
        <x:v>2.0579</x:v>
      </x:c>
      <x:c r="L3136" s="74" t="n">
        <x:f>1-F3136/K3136</x:f>
        <x:v>0</x:v>
      </x:c>
      <x:c r="M3136" s="73" t="n">
        <x:f>MAX(M3135,F3136)</x:f>
        <x:v>2.0579</x:v>
      </x:c>
      <x:c r="N3136" s="74" t="n">
        <x:f>1-F3136/M3136</x:f>
        <x:v>0</x:v>
      </x:c>
    </x:row>
    <x:row r="3137" ht="27" customHeight="1">
      <x:c r="A3137" s="66" t="str">
        <x:v>SEV580</x:v>
      </x:c>
      <x:c r="B3137" s="66" t="str">
        <x:v>祁腾蜂赢1号</x:v>
      </x:c>
      <x:c r="C3137" s="72" t="n">
        <x:v>45609</x:v>
      </x:c>
      <x:c r="D3137" s="73" t="n">
        <x:v>1.1168</x:v>
      </x:c>
      <x:c r="E3137" s="73" t="n">
        <x:v>1.7547</x:v>
      </x:c>
      <x:c r="F3137" s="73" t="n">
        <x:v>2.0581</x:v>
      </x:c>
      <x:c r="G3137" s="74" t="n">
        <x:v>0.0001</x:v>
      </x:c>
      <x:c r="H3137" s="66" t="str">
        <x:v>祁腾蜂赢1号净值20260911.xlsx</x:v>
      </x:c>
      <x:c r="I3137" s="73" t="str">
        <x:f>""</x:f>
      </x:c>
      <x:c r="J3137" s="74" t="str">
        <x:f>""</x:f>
      </x:c>
      <x:c r="K3137" s="73" t="n">
        <x:f>MAX(K3136,F3137)</x:f>
        <x:v>2.0581</x:v>
      </x:c>
      <x:c r="L3137" s="74" t="n">
        <x:f>1-F3137/K3137</x:f>
        <x:v>0</x:v>
      </x:c>
      <x:c r="M3137" s="73" t="n">
        <x:f>MAX(M3136,F3137)</x:f>
        <x:v>2.0581</x:v>
      </x:c>
      <x:c r="N3137" s="74" t="n">
        <x:f>1-F3137/M3137</x:f>
        <x:v>0</x:v>
      </x:c>
    </x:row>
    <x:row r="3138" ht="27" customHeight="1">
      <x:c r="A3138" s="66" t="str">
        <x:v>SEV580</x:v>
      </x:c>
      <x:c r="B3138" s="66" t="str">
        <x:v>祁腾蜂赢1号</x:v>
      </x:c>
      <x:c r="C3138" s="72" t="n">
        <x:v>45610</x:v>
      </x:c>
      <x:c r="D3138" s="73" t="n">
        <x:v>1.116</x:v>
      </x:c>
      <x:c r="E3138" s="73" t="n">
        <x:v>1.7539</x:v>
      </x:c>
      <x:c r="F3138" s="73" t="n">
        <x:v>2.0566</x:v>
      </x:c>
      <x:c r="G3138" s="74" t="n">
        <x:v>-0.0007000000000000001</x:v>
      </x:c>
      <x:c r="H3138" s="66" t="str">
        <x:v>祁腾蜂赢1号净值20260911.xlsx</x:v>
      </x:c>
      <x:c r="I3138" s="73" t="str">
        <x:f>""</x:f>
      </x:c>
      <x:c r="J3138" s="74" t="str">
        <x:f>""</x:f>
      </x:c>
      <x:c r="K3138" s="73" t="n">
        <x:f>MAX(K3137,F3138)</x:f>
        <x:v>2.0581</x:v>
      </x:c>
      <x:c r="L3138" s="74" t="n">
        <x:f>1-F3138/K3138</x:f>
        <x:v>0.0007288275593995142</x:v>
      </x:c>
      <x:c r="M3138" s="73" t="n">
        <x:f>MAX(M3137,F3138)</x:f>
        <x:v>2.0581</x:v>
      </x:c>
      <x:c r="N3138" s="74" t="n">
        <x:f>1-F3138/M3138</x:f>
        <x:v>0.0007288275593995142</x:v>
      </x:c>
    </x:row>
    <x:row r="3139" ht="27" customHeight="1">
      <x:c r="A3139" s="66" t="str">
        <x:v>SEV580</x:v>
      </x:c>
      <x:c r="B3139" s="66" t="str">
        <x:v>祁腾蜂赢1号</x:v>
      </x:c>
      <x:c r="C3139" s="72" t="n">
        <x:v>45611</x:v>
      </x:c>
      <x:c r="D3139" s="73" t="n">
        <x:v>1.1155</x:v>
      </x:c>
      <x:c r="E3139" s="73" t="n">
        <x:v>1.7534</x:v>
      </x:c>
      <x:c r="F3139" s="73" t="n">
        <x:v>2.0557</x:v>
      </x:c>
      <x:c r="G3139" s="74" t="n">
        <x:v>-0.0004</x:v>
      </x:c>
      <x:c r="H3139" s="66" t="str">
        <x:v>祁腾蜂赢1号净值20260911.xlsx</x:v>
      </x:c>
      <x:c r="I3139" s="73" t="str">
        <x:f>""</x:f>
      </x:c>
      <x:c r="J3139" s="74" t="str">
        <x:f>""</x:f>
      </x:c>
      <x:c r="K3139" s="73" t="n">
        <x:f>MAX(K3138,F3139)</x:f>
        <x:v>2.0581</x:v>
      </x:c>
      <x:c r="L3139" s="74" t="n">
        <x:f>1-F3139/K3139</x:f>
        <x:v>0.0011661240950392449</x:v>
      </x:c>
      <x:c r="M3139" s="73" t="n">
        <x:f>MAX(M3138,F3139)</x:f>
        <x:v>2.0581</x:v>
      </x:c>
      <x:c r="N3139" s="74" t="n">
        <x:f>1-F3139/M3139</x:f>
        <x:v>0.0011661240950392449</x:v>
      </x:c>
    </x:row>
    <x:row r="3140" ht="27" customHeight="1">
      <x:c r="A3140" s="66" t="str">
        <x:v>SEV580</x:v>
      </x:c>
      <x:c r="B3140" s="66" t="str">
        <x:v>祁腾蜂赢1号</x:v>
      </x:c>
      <x:c r="C3140" s="72" t="n">
        <x:v>45614</x:v>
      </x:c>
      <x:c r="D3140" s="73" t="n">
        <x:v>1.1167</x:v>
      </x:c>
      <x:c r="E3140" s="73" t="n">
        <x:v>1.7546</x:v>
      </x:c>
      <x:c r="F3140" s="73" t="n">
        <x:v>2.0579</x:v>
      </x:c>
      <x:c r="G3140" s="74" t="n">
        <x:v>0.0011</x:v>
      </x:c>
      <x:c r="H3140" s="66" t="str">
        <x:v>祁腾蜂赢1号净值20260911.xlsx</x:v>
      </x:c>
      <x:c r="I3140" s="73" t="str">
        <x:f>""</x:f>
      </x:c>
      <x:c r="J3140" s="74" t="str">
        <x:f>""</x:f>
      </x:c>
      <x:c r="K3140" s="73" t="n">
        <x:f>MAX(K3139,F3140)</x:f>
        <x:v>2.0581</x:v>
      </x:c>
      <x:c r="L3140" s="74" t="n">
        <x:f>1-F3140/K3140</x:f>
        <x:v>0.00009717700791989081</x:v>
      </x:c>
      <x:c r="M3140" s="73" t="n">
        <x:f>MAX(M3139,F3140)</x:f>
        <x:v>2.0581</x:v>
      </x:c>
      <x:c r="N3140" s="74" t="n">
        <x:f>1-F3140/M3140</x:f>
        <x:v>0.00009717700791989081</x:v>
      </x:c>
    </x:row>
    <x:row r="3141" ht="27" customHeight="1">
      <x:c r="A3141" s="66" t="str">
        <x:v>SEV580</x:v>
      </x:c>
      <x:c r="B3141" s="66" t="str">
        <x:v>祁腾蜂赢1号</x:v>
      </x:c>
      <x:c r="C3141" s="72" t="n">
        <x:v>45615</x:v>
      </x:c>
      <x:c r="D3141" s="73" t="n">
        <x:v>1.1179</x:v>
      </x:c>
      <x:c r="E3141" s="73" t="n">
        <x:v>1.7558</x:v>
      </x:c>
      <x:c r="F3141" s="73" t="n">
        <x:v>2.0601</x:v>
      </x:c>
      <x:c r="G3141" s="74" t="n">
        <x:v>0.0011</x:v>
      </x:c>
      <x:c r="H3141" s="66" t="str">
        <x:v>祁腾蜂赢1号净值20260911.xlsx</x:v>
      </x:c>
      <x:c r="I3141" s="73" t="str">
        <x:f>""</x:f>
      </x:c>
      <x:c r="J3141" s="74" t="str">
        <x:f>""</x:f>
      </x:c>
      <x:c r="K3141" s="73" t="n">
        <x:f>MAX(K3140,F3141)</x:f>
        <x:v>2.0601</x:v>
      </x:c>
      <x:c r="L3141" s="74" t="n">
        <x:f>1-F3141/K3141</x:f>
        <x:v>0</x:v>
      </x:c>
      <x:c r="M3141" s="73" t="n">
        <x:f>MAX(M3140,F3141)</x:f>
        <x:v>2.0601</x:v>
      </x:c>
      <x:c r="N3141" s="74" t="n">
        <x:f>1-F3141/M3141</x:f>
        <x:v>0</x:v>
      </x:c>
    </x:row>
    <x:row r="3142" ht="27" customHeight="1">
      <x:c r="A3142" s="66" t="str">
        <x:v>SEV580</x:v>
      </x:c>
      <x:c r="B3142" s="66" t="str">
        <x:v>祁腾蜂赢1号</x:v>
      </x:c>
      <x:c r="C3142" s="72" t="n">
        <x:v>45616</x:v>
      </x:c>
      <x:c r="D3142" s="73" t="n">
        <x:v>1.1183</x:v>
      </x:c>
      <x:c r="E3142" s="73" t="n">
        <x:v>1.7562</x:v>
      </x:c>
      <x:c r="F3142" s="73" t="n">
        <x:v>2.0608</x:v>
      </x:c>
      <x:c r="G3142" s="74" t="n">
        <x:v>0.0004</x:v>
      </x:c>
      <x:c r="H3142" s="66" t="str">
        <x:v>祁腾蜂赢1号净值20260911.xlsx</x:v>
      </x:c>
      <x:c r="I3142" s="73" t="str">
        <x:f>""</x:f>
      </x:c>
      <x:c r="J3142" s="74" t="str">
        <x:f>""</x:f>
      </x:c>
      <x:c r="K3142" s="73" t="n">
        <x:f>MAX(K3141,F3142)</x:f>
        <x:v>2.0608</x:v>
      </x:c>
      <x:c r="L3142" s="74" t="n">
        <x:f>1-F3142/K3142</x:f>
        <x:v>0</x:v>
      </x:c>
      <x:c r="M3142" s="73" t="n">
        <x:f>MAX(M3141,F3142)</x:f>
        <x:v>2.0608</x:v>
      </x:c>
      <x:c r="N3142" s="74" t="n">
        <x:f>1-F3142/M3142</x:f>
        <x:v>0</x:v>
      </x:c>
    </x:row>
    <x:row r="3143" ht="27" customHeight="1">
      <x:c r="A3143" s="66" t="str">
        <x:v>SEV580</x:v>
      </x:c>
      <x:c r="B3143" s="66" t="str">
        <x:v>祁腾蜂赢1号</x:v>
      </x:c>
      <x:c r="C3143" s="72" t="n">
        <x:v>45617</x:v>
      </x:c>
      <x:c r="D3143" s="73" t="n">
        <x:v>1.1176</x:v>
      </x:c>
      <x:c r="E3143" s="73" t="n">
        <x:v>1.7555</x:v>
      </x:c>
      <x:c r="F3143" s="73" t="n">
        <x:v>2.0595</x:v>
      </x:c>
      <x:c r="G3143" s="74" t="n">
        <x:v>-0.0006</x:v>
      </x:c>
      <x:c r="H3143" s="66" t="str">
        <x:v>祁腾蜂赢1号净值20260911.xlsx</x:v>
      </x:c>
      <x:c r="I3143" s="73" t="str">
        <x:f>""</x:f>
      </x:c>
      <x:c r="J3143" s="74" t="str">
        <x:f>""</x:f>
      </x:c>
      <x:c r="K3143" s="73" t="n">
        <x:f>MAX(K3142,F3143)</x:f>
        <x:v>2.0608</x:v>
      </x:c>
      <x:c r="L3143" s="74" t="n">
        <x:f>1-F3143/K3143</x:f>
        <x:v>0.0006308229813665189</x:v>
      </x:c>
      <x:c r="M3143" s="73" t="n">
        <x:f>MAX(M3142,F3143)</x:f>
        <x:v>2.0608</x:v>
      </x:c>
      <x:c r="N3143" s="74" t="n">
        <x:f>1-F3143/M3143</x:f>
        <x:v>0.0006308229813665189</x:v>
      </x:c>
    </x:row>
    <x:row r="3144" ht="27" customHeight="1">
      <x:c r="A3144" s="66" t="str">
        <x:v>SEV580</x:v>
      </x:c>
      <x:c r="B3144" s="66" t="str">
        <x:v>祁腾蜂赢1号</x:v>
      </x:c>
      <x:c r="C3144" s="72" t="n">
        <x:v>45618</x:v>
      </x:c>
      <x:c r="D3144" s="73" t="n">
        <x:v>1.1186</x:v>
      </x:c>
      <x:c r="E3144" s="73" t="n">
        <x:v>1.7565</x:v>
      </x:c>
      <x:c r="F3144" s="73" t="n">
        <x:v>2.0614</x:v>
      </x:c>
      <x:c r="G3144" s="74" t="n">
        <x:v>0.0009</x:v>
      </x:c>
      <x:c r="H3144" s="66" t="str">
        <x:v>祁腾蜂赢1号净值20260911.xlsx</x:v>
      </x:c>
      <x:c r="I3144" s="73" t="str">
        <x:f>""</x:f>
      </x:c>
      <x:c r="J3144" s="74" t="str">
        <x:f>""</x:f>
      </x:c>
      <x:c r="K3144" s="73" t="n">
        <x:f>MAX(K3143,F3144)</x:f>
        <x:v>2.0614</x:v>
      </x:c>
      <x:c r="L3144" s="74" t="n">
        <x:f>1-F3144/K3144</x:f>
        <x:v>0</x:v>
      </x:c>
      <x:c r="M3144" s="73" t="n">
        <x:f>MAX(M3143,F3144)</x:f>
        <x:v>2.0614</x:v>
      </x:c>
      <x:c r="N3144" s="74" t="n">
        <x:f>1-F3144/M3144</x:f>
        <x:v>0</x:v>
      </x:c>
    </x:row>
    <x:row r="3145" ht="27" customHeight="1">
      <x:c r="A3145" s="66" t="str">
        <x:v>SEV580</x:v>
      </x:c>
      <x:c r="B3145" s="66" t="str">
        <x:v>祁腾蜂赢1号</x:v>
      </x:c>
      <x:c r="C3145" s="72" t="n">
        <x:v>45621</x:v>
      </x:c>
      <x:c r="D3145" s="73" t="n">
        <x:v>1.119</x:v>
      </x:c>
      <x:c r="E3145" s="73" t="n">
        <x:v>1.7569</x:v>
      </x:c>
      <x:c r="F3145" s="73" t="n">
        <x:v>2.0621</x:v>
      </x:c>
      <x:c r="G3145" s="74" t="n">
        <x:v>0.0004</x:v>
      </x:c>
      <x:c r="H3145" s="66" t="str">
        <x:v>祁腾蜂赢1号净值20260911.xlsx</x:v>
      </x:c>
      <x:c r="I3145" s="73" t="str">
        <x:f>""</x:f>
      </x:c>
      <x:c r="J3145" s="74" t="str">
        <x:f>""</x:f>
      </x:c>
      <x:c r="K3145" s="73" t="n">
        <x:f>MAX(K3144,F3145)</x:f>
        <x:v>2.0621</x:v>
      </x:c>
      <x:c r="L3145" s="74" t="n">
        <x:f>1-F3145/K3145</x:f>
        <x:v>0</x:v>
      </x:c>
      <x:c r="M3145" s="73" t="n">
        <x:f>MAX(M3144,F3145)</x:f>
        <x:v>2.0621</x:v>
      </x:c>
      <x:c r="N3145" s="74" t="n">
        <x:f>1-F3145/M3145</x:f>
        <x:v>0</x:v>
      </x:c>
    </x:row>
    <x:row r="3146" ht="27" customHeight="1">
      <x:c r="A3146" s="66" t="str">
        <x:v>SEV580</x:v>
      </x:c>
      <x:c r="B3146" s="66" t="str">
        <x:v>祁腾蜂赢1号</x:v>
      </x:c>
      <x:c r="C3146" s="72" t="n">
        <x:v>45622</x:v>
      </x:c>
      <x:c r="D3146" s="73" t="n">
        <x:v>1.1202</x:v>
      </x:c>
      <x:c r="E3146" s="73" t="n">
        <x:v>1.7581</x:v>
      </x:c>
      <x:c r="F3146" s="73" t="n">
        <x:v>2.0643</x:v>
      </x:c>
      <x:c r="G3146" s="74" t="n">
        <x:v>0.0011</x:v>
      </x:c>
      <x:c r="H3146" s="66" t="str">
        <x:v>祁腾蜂赢1号净值20260911.xlsx</x:v>
      </x:c>
      <x:c r="I3146" s="73" t="str">
        <x:f>""</x:f>
      </x:c>
      <x:c r="J3146" s="74" t="str">
        <x:f>""</x:f>
      </x:c>
      <x:c r="K3146" s="73" t="n">
        <x:f>MAX(K3145,F3146)</x:f>
        <x:v>2.0643</x:v>
      </x:c>
      <x:c r="L3146" s="74" t="n">
        <x:f>1-F3146/K3146</x:f>
        <x:v>0</x:v>
      </x:c>
      <x:c r="M3146" s="73" t="n">
        <x:f>MAX(M3145,F3146)</x:f>
        <x:v>2.0643</x:v>
      </x:c>
      <x:c r="N3146" s="74" t="n">
        <x:f>1-F3146/M3146</x:f>
        <x:v>0</x:v>
      </x:c>
    </x:row>
    <x:row r="3147" ht="27" customHeight="1">
      <x:c r="A3147" s="66" t="str">
        <x:v>SEV580</x:v>
      </x:c>
      <x:c r="B3147" s="66" t="str">
        <x:v>祁腾蜂赢1号</x:v>
      </x:c>
      <x:c r="C3147" s="72" t="n">
        <x:v>45623</x:v>
      </x:c>
      <x:c r="D3147" s="73" t="n">
        <x:v>1.1335</x:v>
      </x:c>
      <x:c r="E3147" s="73" t="n">
        <x:v>1.7714</x:v>
      </x:c>
      <x:c r="F3147" s="73" t="n">
        <x:v>2.0888</x:v>
      </x:c>
      <x:c r="G3147" s="74" t="n">
        <x:v>0.011899999999999999</x:v>
      </x:c>
      <x:c r="H3147" s="66" t="str">
        <x:v>祁腾蜂赢1号净值20260911.xlsx</x:v>
      </x:c>
      <x:c r="I3147" s="73" t="str">
        <x:f>""</x:f>
      </x:c>
      <x:c r="J3147" s="74" t="str">
        <x:f>""</x:f>
      </x:c>
      <x:c r="K3147" s="73" t="n">
        <x:f>MAX(K3146,F3147)</x:f>
        <x:v>2.0888</x:v>
      </x:c>
      <x:c r="L3147" s="74" t="n">
        <x:f>1-F3147/K3147</x:f>
        <x:v>0</x:v>
      </x:c>
      <x:c r="M3147" s="73" t="n">
        <x:f>MAX(M3146,F3147)</x:f>
        <x:v>2.0888</x:v>
      </x:c>
      <x:c r="N3147" s="74" t="n">
        <x:f>1-F3147/M3147</x:f>
        <x:v>0</x:v>
      </x:c>
    </x:row>
    <x:row r="3148" ht="27" customHeight="1">
      <x:c r="A3148" s="66" t="str">
        <x:v>SEV580</x:v>
      </x:c>
      <x:c r="B3148" s="66" t="str">
        <x:v>祁腾蜂赢1号</x:v>
      </x:c>
      <x:c r="C3148" s="72" t="n">
        <x:v>45624</x:v>
      </x:c>
      <x:c r="D3148" s="73" t="n">
        <x:v>1.133</x:v>
      </x:c>
      <x:c r="E3148" s="73" t="n">
        <x:v>1.7709</x:v>
      </x:c>
      <x:c r="F3148" s="73" t="n">
        <x:v>2.0879</x:v>
      </x:c>
      <x:c r="G3148" s="74" t="n">
        <x:v>-0.0004</x:v>
      </x:c>
      <x:c r="H3148" s="66" t="str">
        <x:v>祁腾蜂赢1号净值20260911.xlsx</x:v>
      </x:c>
      <x:c r="I3148" s="73" t="str">
        <x:f>""</x:f>
      </x:c>
      <x:c r="J3148" s="74" t="str">
        <x:f>""</x:f>
      </x:c>
      <x:c r="K3148" s="73" t="n">
        <x:f>MAX(K3147,F3148)</x:f>
        <x:v>2.0888</x:v>
      </x:c>
      <x:c r="L3148" s="74" t="n">
        <x:f>1-F3148/K3148</x:f>
        <x:v>0.0004308693986978529</x:v>
      </x:c>
      <x:c r="M3148" s="73" t="n">
        <x:f>MAX(M3147,F3148)</x:f>
        <x:v>2.0888</x:v>
      </x:c>
      <x:c r="N3148" s="74" t="n">
        <x:f>1-F3148/M3148</x:f>
        <x:v>0.0004308693986978529</x:v>
      </x:c>
    </x:row>
    <x:row r="3149" ht="27" customHeight="1">
      <x:c r="A3149" s="66" t="str">
        <x:v>SEV580</x:v>
      </x:c>
      <x:c r="B3149" s="66" t="str">
        <x:v>祁腾蜂赢1号</x:v>
      </x:c>
      <x:c r="C3149" s="72" t="n">
        <x:v>45625</x:v>
      </x:c>
      <x:c r="D3149" s="73" t="n">
        <x:v>1.1331</x:v>
      </x:c>
      <x:c r="E3149" s="73" t="n">
        <x:v>1.771</x:v>
      </x:c>
      <x:c r="F3149" s="73" t="n">
        <x:v>2.0881</x:v>
      </x:c>
      <x:c r="G3149" s="74" t="n">
        <x:v>0.0001</x:v>
      </x:c>
      <x:c r="H3149" s="66" t="str">
        <x:v>祁腾蜂赢1号净值20260911.xlsx</x:v>
      </x:c>
      <x:c r="I3149" s="73" t="str">
        <x:f>""</x:f>
      </x:c>
      <x:c r="J3149" s="74" t="str">
        <x:f>""</x:f>
      </x:c>
      <x:c r="K3149" s="73" t="n">
        <x:f>MAX(K3148,F3149)</x:f>
        <x:v>2.0888</x:v>
      </x:c>
      <x:c r="L3149" s="74" t="n">
        <x:f>1-F3149/K3149</x:f>
        <x:v>0.00033512064343166337</x:v>
      </x:c>
      <x:c r="M3149" s="73" t="n">
        <x:f>MAX(M3148,F3149)</x:f>
        <x:v>2.0888</x:v>
      </x:c>
      <x:c r="N3149" s="74" t="n">
        <x:f>1-F3149/M3149</x:f>
        <x:v>0.00033512064343166337</x:v>
      </x:c>
    </x:row>
    <x:row r="3150" ht="27" customHeight="1">
      <x:c r="A3150" s="66" t="str">
        <x:v>SEV580</x:v>
      </x:c>
      <x:c r="B3150" s="66" t="str">
        <x:v>祁腾蜂赢1号</x:v>
      </x:c>
      <x:c r="C3150" s="72" t="n">
        <x:v>45628</x:v>
      </x:c>
      <x:c r="D3150" s="73" t="n">
        <x:v>1.1332</x:v>
      </x:c>
      <x:c r="E3150" s="73" t="n">
        <x:v>1.7711</x:v>
      </x:c>
      <x:c r="F3150" s="73" t="n">
        <x:v>2.0883</x:v>
      </x:c>
      <x:c r="G3150" s="74" t="n">
        <x:v>0.0001</x:v>
      </x:c>
      <x:c r="H3150" s="66" t="str">
        <x:v>祁腾蜂赢1号净值20260911.xlsx</x:v>
      </x:c>
      <x:c r="I3150" s="73" t="str">
        <x:f>""</x:f>
      </x:c>
      <x:c r="J3150" s="74" t="str">
        <x:f>""</x:f>
      </x:c>
      <x:c r="K3150" s="73" t="n">
        <x:f>MAX(K3149,F3150)</x:f>
        <x:v>2.0888</x:v>
      </x:c>
      <x:c r="L3150" s="74" t="n">
        <x:f>1-F3150/K3150</x:f>
        <x:v>0.00023937188816558486</x:v>
      </x:c>
      <x:c r="M3150" s="73" t="n">
        <x:f>MAX(M3149,F3150)</x:f>
        <x:v>2.0888</x:v>
      </x:c>
      <x:c r="N3150" s="74" t="n">
        <x:f>1-F3150/M3150</x:f>
        <x:v>0.00023937188816558486</x:v>
      </x:c>
    </x:row>
    <x:row r="3151" ht="27" customHeight="1">
      <x:c r="A3151" s="66" t="str">
        <x:v>SEV580</x:v>
      </x:c>
      <x:c r="B3151" s="66" t="str">
        <x:v>祁腾蜂赢1号</x:v>
      </x:c>
      <x:c r="C3151" s="72" t="n">
        <x:v>45629</x:v>
      </x:c>
      <x:c r="D3151" s="73" t="n">
        <x:v>1.1318</x:v>
      </x:c>
      <x:c r="E3151" s="73" t="n">
        <x:v>1.7697</x:v>
      </x:c>
      <x:c r="F3151" s="73" t="n">
        <x:v>2.0857</x:v>
      </x:c>
      <x:c r="G3151" s="74" t="n">
        <x:v>-0.0012</x:v>
      </x:c>
      <x:c r="H3151" s="66" t="str">
        <x:v>祁腾蜂赢1号净值20260911.xlsx</x:v>
      </x:c>
      <x:c r="I3151" s="73" t="str">
        <x:f>""</x:f>
      </x:c>
      <x:c r="J3151" s="74" t="str">
        <x:f>""</x:f>
      </x:c>
      <x:c r="K3151" s="73" t="n">
        <x:f>MAX(K3150,F3151)</x:f>
        <x:v>2.0888</x:v>
      </x:c>
      <x:c r="L3151" s="74" t="n">
        <x:f>1-F3151/K3151</x:f>
        <x:v>0.0014841057066257157</x:v>
      </x:c>
      <x:c r="M3151" s="73" t="n">
        <x:f>MAX(M3150,F3151)</x:f>
        <x:v>2.0888</x:v>
      </x:c>
      <x:c r="N3151" s="74" t="n">
        <x:f>1-F3151/M3151</x:f>
        <x:v>0.0014841057066257157</x:v>
      </x:c>
    </x:row>
    <x:row r="3152" ht="27" customHeight="1">
      <x:c r="A3152" s="66" t="str">
        <x:v>SEV580</x:v>
      </x:c>
      <x:c r="B3152" s="66" t="str">
        <x:v>祁腾蜂赢1号</x:v>
      </x:c>
      <x:c r="C3152" s="72" t="n">
        <x:v>45630</x:v>
      </x:c>
      <x:c r="D3152" s="73" t="n">
        <x:v>1.1316</x:v>
      </x:c>
      <x:c r="E3152" s="73" t="n">
        <x:v>1.7695</x:v>
      </x:c>
      <x:c r="F3152" s="73" t="n">
        <x:v>2.0853</x:v>
      </x:c>
      <x:c r="G3152" s="74" t="n">
        <x:v>-0.0002</x:v>
      </x:c>
      <x:c r="H3152" s="66" t="str">
        <x:v>祁腾蜂赢1号净值20260911.xlsx</x:v>
      </x:c>
      <x:c r="I3152" s="73" t="str">
        <x:f>""</x:f>
      </x:c>
      <x:c r="J3152" s="74" t="str">
        <x:f>""</x:f>
      </x:c>
      <x:c r="K3152" s="73" t="n">
        <x:f>MAX(K3151,F3152)</x:f>
        <x:v>2.0888</x:v>
      </x:c>
      <x:c r="L3152" s="74" t="n">
        <x:f>1-F3152/K3152</x:f>
        <x:v>0.0016756032171580948</x:v>
      </x:c>
      <x:c r="M3152" s="73" t="n">
        <x:f>MAX(M3151,F3152)</x:f>
        <x:v>2.0888</x:v>
      </x:c>
      <x:c r="N3152" s="74" t="n">
        <x:f>1-F3152/M3152</x:f>
        <x:v>0.0016756032171580948</x:v>
      </x:c>
    </x:row>
    <x:row r="3153" ht="27" customHeight="1">
      <x:c r="A3153" s="66" t="str">
        <x:v>SEV580</x:v>
      </x:c>
      <x:c r="B3153" s="66" t="str">
        <x:v>祁腾蜂赢1号</x:v>
      </x:c>
      <x:c r="C3153" s="72" t="n">
        <x:v>45631</x:v>
      </x:c>
      <x:c r="D3153" s="73" t="n">
        <x:v>1.1322</x:v>
      </x:c>
      <x:c r="E3153" s="73" t="n">
        <x:v>1.7701</x:v>
      </x:c>
      <x:c r="F3153" s="73" t="n">
        <x:v>2.0865</x:v>
      </x:c>
      <x:c r="G3153" s="74" t="n">
        <x:v>0.0005</x:v>
      </x:c>
      <x:c r="H3153" s="66" t="str">
        <x:v>祁腾蜂赢1号净值20260911.xlsx</x:v>
      </x:c>
      <x:c r="I3153" s="73" t="str">
        <x:f>""</x:f>
      </x:c>
      <x:c r="J3153" s="74" t="str">
        <x:f>""</x:f>
      </x:c>
      <x:c r="K3153" s="73" t="n">
        <x:f>MAX(K3152,F3153)</x:f>
        <x:v>2.0888</x:v>
      </x:c>
      <x:c r="L3153" s="74" t="n">
        <x:f>1-F3153/K3153</x:f>
        <x:v>0.0011011106855610686</x:v>
      </x:c>
      <x:c r="M3153" s="73" t="n">
        <x:f>MAX(M3152,F3153)</x:f>
        <x:v>2.0888</x:v>
      </x:c>
      <x:c r="N3153" s="74" t="n">
        <x:f>1-F3153/M3153</x:f>
        <x:v>0.0011011106855610686</x:v>
      </x:c>
    </x:row>
    <x:row r="3154" ht="27" customHeight="1">
      <x:c r="A3154" s="66" t="str">
        <x:v>SEV580</x:v>
      </x:c>
      <x:c r="B3154" s="66" t="str">
        <x:v>祁腾蜂赢1号</x:v>
      </x:c>
      <x:c r="C3154" s="72" t="n">
        <x:v>45632</x:v>
      </x:c>
      <x:c r="D3154" s="73" t="n">
        <x:v>1.1317</x:v>
      </x:c>
      <x:c r="E3154" s="73" t="n">
        <x:v>1.7696</x:v>
      </x:c>
      <x:c r="F3154" s="73" t="n">
        <x:v>2.0855</x:v>
      </x:c>
      <x:c r="G3154" s="74" t="n">
        <x:v>-0.0004</x:v>
      </x:c>
      <x:c r="H3154" s="66" t="str">
        <x:v>祁腾蜂赢1号净值20260911.xlsx</x:v>
      </x:c>
      <x:c r="I3154" s="73" t="str">
        <x:f>""</x:f>
      </x:c>
      <x:c r="J3154" s="74" t="str">
        <x:f>""</x:f>
      </x:c>
      <x:c r="K3154" s="73" t="n">
        <x:f>MAX(K3153,F3154)</x:f>
        <x:v>2.0888</x:v>
      </x:c>
      <x:c r="L3154" s="74" t="n">
        <x:f>1-F3154/K3154</x:f>
        <x:v>0.0015798544618919053</x:v>
      </x:c>
      <x:c r="M3154" s="73" t="n">
        <x:f>MAX(M3153,F3154)</x:f>
        <x:v>2.0888</x:v>
      </x:c>
      <x:c r="N3154" s="74" t="n">
        <x:f>1-F3154/M3154</x:f>
        <x:v>0.0015798544618919053</x:v>
      </x:c>
    </x:row>
    <x:row r="3155" ht="27" customHeight="1">
      <x:c r="A3155" s="66" t="str">
        <x:v>SEV580</x:v>
      </x:c>
      <x:c r="B3155" s="66" t="str">
        <x:v>祁腾蜂赢1号</x:v>
      </x:c>
      <x:c r="C3155" s="72" t="n">
        <x:v>45635</x:v>
      </x:c>
      <x:c r="D3155" s="73" t="n">
        <x:v>1.1325</x:v>
      </x:c>
      <x:c r="E3155" s="73" t="n">
        <x:v>1.7704</x:v>
      </x:c>
      <x:c r="F3155" s="73" t="n">
        <x:v>2.087</x:v>
      </x:c>
      <x:c r="G3155" s="74" t="n">
        <x:v>0.0007000000000000001</x:v>
      </x:c>
      <x:c r="H3155" s="66" t="str">
        <x:v>祁腾蜂赢1号净值20260911.xlsx</x:v>
      </x:c>
      <x:c r="I3155" s="73" t="str">
        <x:f>""</x:f>
      </x:c>
      <x:c r="J3155" s="74" t="str">
        <x:f>""</x:f>
      </x:c>
      <x:c r="K3155" s="73" t="n">
        <x:f>MAX(K3154,F3155)</x:f>
        <x:v>2.0888</x:v>
      </x:c>
      <x:c r="L3155" s="74" t="n">
        <x:f>1-F3155/K3155</x:f>
        <x:v>0.0008617387973954838</x:v>
      </x:c>
      <x:c r="M3155" s="73" t="n">
        <x:f>MAX(M3154,F3155)</x:f>
        <x:v>2.0888</x:v>
      </x:c>
      <x:c r="N3155" s="74" t="n">
        <x:f>1-F3155/M3155</x:f>
        <x:v>0.0008617387973954838</x:v>
      </x:c>
    </x:row>
    <x:row r="3156" ht="27" customHeight="1">
      <x:c r="A3156" s="66" t="str">
        <x:v>SEV580</x:v>
      </x:c>
      <x:c r="B3156" s="66" t="str">
        <x:v>祁腾蜂赢1号</x:v>
      </x:c>
      <x:c r="C3156" s="72" t="n">
        <x:v>45636</x:v>
      </x:c>
      <x:c r="D3156" s="73" t="n">
        <x:v>1.133</x:v>
      </x:c>
      <x:c r="E3156" s="73" t="n">
        <x:v>1.7709</x:v>
      </x:c>
      <x:c r="F3156" s="73" t="n">
        <x:v>2.0879</x:v>
      </x:c>
      <x:c r="G3156" s="74" t="n">
        <x:v>0.0004</x:v>
      </x:c>
      <x:c r="H3156" s="66" t="str">
        <x:v>祁腾蜂赢1号净值20260911.xlsx</x:v>
      </x:c>
      <x:c r="I3156" s="73" t="str">
        <x:f>""</x:f>
      </x:c>
      <x:c r="J3156" s="74" t="str">
        <x:f>""</x:f>
      </x:c>
      <x:c r="K3156" s="73" t="n">
        <x:f>MAX(K3155,F3156)</x:f>
        <x:v>2.0888</x:v>
      </x:c>
      <x:c r="L3156" s="74" t="n">
        <x:f>1-F3156/K3156</x:f>
        <x:v>0.0004308693986978529</x:v>
      </x:c>
      <x:c r="M3156" s="73" t="n">
        <x:f>MAX(M3155,F3156)</x:f>
        <x:v>2.0888</x:v>
      </x:c>
      <x:c r="N3156" s="74" t="n">
        <x:f>1-F3156/M3156</x:f>
        <x:v>0.0004308693986978529</x:v>
      </x:c>
    </x:row>
    <x:row r="3157" ht="27" customHeight="1">
      <x:c r="A3157" s="66" t="str">
        <x:v>SEV580</x:v>
      </x:c>
      <x:c r="B3157" s="66" t="str">
        <x:v>祁腾蜂赢1号</x:v>
      </x:c>
      <x:c r="C3157" s="72" t="n">
        <x:v>45637</x:v>
      </x:c>
      <x:c r="D3157" s="73" t="n">
        <x:v>1.1332</x:v>
      </x:c>
      <x:c r="E3157" s="73" t="n">
        <x:v>1.7711</x:v>
      </x:c>
      <x:c r="F3157" s="73" t="n">
        <x:v>2.0883</x:v>
      </x:c>
      <x:c r="G3157" s="74" t="n">
        <x:v>0.0002</x:v>
      </x:c>
      <x:c r="H3157" s="66" t="str">
        <x:v>祁腾蜂赢1号净值20260911.xlsx</x:v>
      </x:c>
      <x:c r="I3157" s="73" t="str">
        <x:f>""</x:f>
      </x:c>
      <x:c r="J3157" s="74" t="str">
        <x:f>""</x:f>
      </x:c>
      <x:c r="K3157" s="73" t="n">
        <x:f>MAX(K3156,F3157)</x:f>
        <x:v>2.0888</x:v>
      </x:c>
      <x:c r="L3157" s="74" t="n">
        <x:f>1-F3157/K3157</x:f>
        <x:v>0.00023937188816558486</x:v>
      </x:c>
      <x:c r="M3157" s="73" t="n">
        <x:f>MAX(M3156,F3157)</x:f>
        <x:v>2.0888</x:v>
      </x:c>
      <x:c r="N3157" s="74" t="n">
        <x:f>1-F3157/M3157</x:f>
        <x:v>0.00023937188816558486</x:v>
      </x:c>
    </x:row>
    <x:row r="3158" ht="27" customHeight="1">
      <x:c r="A3158" s="66" t="str">
        <x:v>SEV580</x:v>
      </x:c>
      <x:c r="B3158" s="66" t="str">
        <x:v>祁腾蜂赢1号</x:v>
      </x:c>
      <x:c r="C3158" s="72" t="n">
        <x:v>45638</x:v>
      </x:c>
      <x:c r="D3158" s="73" t="n">
        <x:v>1.1339</x:v>
      </x:c>
      <x:c r="E3158" s="73" t="n">
        <x:v>1.7718</x:v>
      </x:c>
      <x:c r="F3158" s="73" t="n">
        <x:v>2.0896</x:v>
      </x:c>
      <x:c r="G3158" s="74" t="n">
        <x:v>0.0006</x:v>
      </x:c>
      <x:c r="H3158" s="66" t="str">
        <x:v>祁腾蜂赢1号净值20260911.xlsx</x:v>
      </x:c>
      <x:c r="I3158" s="73" t="str">
        <x:f>""</x:f>
      </x:c>
      <x:c r="J3158" s="74" t="str">
        <x:f>""</x:f>
      </x:c>
      <x:c r="K3158" s="73" t="n">
        <x:f>MAX(K3157,F3158)</x:f>
        <x:v>2.0896</x:v>
      </x:c>
      <x:c r="L3158" s="74" t="n">
        <x:f>1-F3158/K3158</x:f>
        <x:v>0</x:v>
      </x:c>
      <x:c r="M3158" s="73" t="n">
        <x:f>MAX(M3157,F3158)</x:f>
        <x:v>2.0896</x:v>
      </x:c>
      <x:c r="N3158" s="74" t="n">
        <x:f>1-F3158/M3158</x:f>
        <x:v>0</x:v>
      </x:c>
    </x:row>
    <x:row r="3159" ht="27" customHeight="1">
      <x:c r="A3159" s="66" t="str">
        <x:v>SEV580</x:v>
      </x:c>
      <x:c r="B3159" s="66" t="str">
        <x:v>祁腾蜂赢1号</x:v>
      </x:c>
      <x:c r="C3159" s="72" t="n">
        <x:v>45639</x:v>
      </x:c>
      <x:c r="D3159" s="73" t="n">
        <x:v>1.1354</x:v>
      </x:c>
      <x:c r="E3159" s="73" t="n">
        <x:v>1.7733</x:v>
      </x:c>
      <x:c r="F3159" s="73" t="n">
        <x:v>2.0924</x:v>
      </x:c>
      <x:c r="G3159" s="74" t="n">
        <x:v>0.0013</x:v>
      </x:c>
      <x:c r="H3159" s="66" t="str">
        <x:v>祁腾蜂赢1号净值20260911.xlsx</x:v>
      </x:c>
      <x:c r="I3159" s="73" t="str">
        <x:f>""</x:f>
      </x:c>
      <x:c r="J3159" s="74" t="str">
        <x:f>""</x:f>
      </x:c>
      <x:c r="K3159" s="73" t="n">
        <x:f>MAX(K3158,F3159)</x:f>
        <x:v>2.0924</x:v>
      </x:c>
      <x:c r="L3159" s="74" t="n">
        <x:f>1-F3159/K3159</x:f>
        <x:v>0</x:v>
      </x:c>
      <x:c r="M3159" s="73" t="n">
        <x:f>MAX(M3158,F3159)</x:f>
        <x:v>2.0924</x:v>
      </x:c>
      <x:c r="N3159" s="74" t="n">
        <x:f>1-F3159/M3159</x:f>
        <x:v>0</x:v>
      </x:c>
    </x:row>
    <x:row r="3160" ht="27" customHeight="1">
      <x:c r="A3160" s="66" t="str">
        <x:v>SEV580</x:v>
      </x:c>
      <x:c r="B3160" s="66" t="str">
        <x:v>祁腾蜂赢1号</x:v>
      </x:c>
      <x:c r="C3160" s="72" t="n">
        <x:v>45642</x:v>
      </x:c>
      <x:c r="D3160" s="73" t="n">
        <x:v>1.1362</x:v>
      </x:c>
      <x:c r="E3160" s="73" t="n">
        <x:v>1.7741</x:v>
      </x:c>
      <x:c r="F3160" s="73" t="n">
        <x:v>2.0938</x:v>
      </x:c>
      <x:c r="G3160" s="74" t="n">
        <x:v>0.0007000000000000001</x:v>
      </x:c>
      <x:c r="H3160" s="66" t="str">
        <x:v>祁腾蜂赢1号净值20260911.xlsx</x:v>
      </x:c>
      <x:c r="I3160" s="73" t="str">
        <x:f>""</x:f>
      </x:c>
      <x:c r="J3160" s="74" t="str">
        <x:f>""</x:f>
      </x:c>
      <x:c r="K3160" s="73" t="n">
        <x:f>MAX(K3159,F3160)</x:f>
        <x:v>2.0938</x:v>
      </x:c>
      <x:c r="L3160" s="74" t="n">
        <x:f>1-F3160/K3160</x:f>
        <x:v>0</x:v>
      </x:c>
      <x:c r="M3160" s="73" t="n">
        <x:f>MAX(M3159,F3160)</x:f>
        <x:v>2.0938</x:v>
      </x:c>
      <x:c r="N3160" s="74" t="n">
        <x:f>1-F3160/M3160</x:f>
        <x:v>0</x:v>
      </x:c>
    </x:row>
    <x:row r="3161" ht="27" customHeight="1">
      <x:c r="A3161" s="66" t="str">
        <x:v>SEV580</x:v>
      </x:c>
      <x:c r="B3161" s="66" t="str">
        <x:v>祁腾蜂赢1号</x:v>
      </x:c>
      <x:c r="C3161" s="72" t="n">
        <x:v>45643</x:v>
      </x:c>
      <x:c r="D3161" s="73" t="n">
        <x:v>1.1375</x:v>
      </x:c>
      <x:c r="E3161" s="73" t="n">
        <x:v>1.7754</x:v>
      </x:c>
      <x:c r="F3161" s="73" t="n">
        <x:v>2.0962</x:v>
      </x:c>
      <x:c r="G3161" s="74" t="n">
        <x:v>0.0011</x:v>
      </x:c>
      <x:c r="H3161" s="66" t="str">
        <x:v>祁腾蜂赢1号净值20260911.xlsx</x:v>
      </x:c>
      <x:c r="I3161" s="73" t="str">
        <x:f>""</x:f>
      </x:c>
      <x:c r="J3161" s="74" t="str">
        <x:f>""</x:f>
      </x:c>
      <x:c r="K3161" s="73" t="n">
        <x:f>MAX(K3160,F3161)</x:f>
        <x:v>2.0962</x:v>
      </x:c>
      <x:c r="L3161" s="74" t="n">
        <x:f>1-F3161/K3161</x:f>
        <x:v>0</x:v>
      </x:c>
      <x:c r="M3161" s="73" t="n">
        <x:f>MAX(M3160,F3161)</x:f>
        <x:v>2.0962</x:v>
      </x:c>
      <x:c r="N3161" s="74" t="n">
        <x:f>1-F3161/M3161</x:f>
        <x:v>0</x:v>
      </x:c>
    </x:row>
    <x:row r="3162" ht="27" customHeight="1">
      <x:c r="A3162" s="66" t="str">
        <x:v>SEV580</x:v>
      </x:c>
      <x:c r="B3162" s="66" t="str">
        <x:v>祁腾蜂赢1号</x:v>
      </x:c>
      <x:c r="C3162" s="72" t="n">
        <x:v>45644</x:v>
      </x:c>
      <x:c r="D3162" s="73" t="n">
        <x:v>1.1381</x:v>
      </x:c>
      <x:c r="E3162" s="73" t="n">
        <x:v>1.776</x:v>
      </x:c>
      <x:c r="F3162" s="73" t="n">
        <x:v>2.0973</x:v>
      </x:c>
      <x:c r="G3162" s="74" t="n">
        <x:v>0.0005</x:v>
      </x:c>
      <x:c r="H3162" s="66" t="str">
        <x:v>祁腾蜂赢1号净值20260911.xlsx</x:v>
      </x:c>
      <x:c r="I3162" s="73" t="str">
        <x:f>""</x:f>
      </x:c>
      <x:c r="J3162" s="74" t="str">
        <x:f>""</x:f>
      </x:c>
      <x:c r="K3162" s="73" t="n">
        <x:f>MAX(K3161,F3162)</x:f>
        <x:v>2.0973</x:v>
      </x:c>
      <x:c r="L3162" s="74" t="n">
        <x:f>1-F3162/K3162</x:f>
        <x:v>0</x:v>
      </x:c>
      <x:c r="M3162" s="73" t="n">
        <x:f>MAX(M3161,F3162)</x:f>
        <x:v>2.0973</x:v>
      </x:c>
      <x:c r="N3162" s="74" t="n">
        <x:f>1-F3162/M3162</x:f>
        <x:v>0</x:v>
      </x:c>
    </x:row>
    <x:row r="3163" ht="27" customHeight="1">
      <x:c r="A3163" s="66" t="str">
        <x:v>SEV580</x:v>
      </x:c>
      <x:c r="B3163" s="66" t="str">
        <x:v>祁腾蜂赢1号</x:v>
      </x:c>
      <x:c r="C3163" s="72" t="n">
        <x:v>45645</x:v>
      </x:c>
      <x:c r="D3163" s="73" t="n">
        <x:v>1.1382</x:v>
      </x:c>
      <x:c r="E3163" s="73" t="n">
        <x:v>1.7761</x:v>
      </x:c>
      <x:c r="F3163" s="73" t="n">
        <x:v>2.0975</x:v>
      </x:c>
      <x:c r="G3163" s="74" t="n">
        <x:v>0.0001</x:v>
      </x:c>
      <x:c r="H3163" s="66" t="str">
        <x:v>祁腾蜂赢1号净值20260911.xlsx</x:v>
      </x:c>
      <x:c r="I3163" s="73" t="str">
        <x:f>""</x:f>
      </x:c>
      <x:c r="J3163" s="74" t="str">
        <x:f>""</x:f>
      </x:c>
      <x:c r="K3163" s="73" t="n">
        <x:f>MAX(K3162,F3163)</x:f>
        <x:v>2.0975</x:v>
      </x:c>
      <x:c r="L3163" s="74" t="n">
        <x:f>1-F3163/K3163</x:f>
        <x:v>0</x:v>
      </x:c>
      <x:c r="M3163" s="73" t="n">
        <x:f>MAX(M3162,F3163)</x:f>
        <x:v>2.0975</x:v>
      </x:c>
      <x:c r="N3163" s="74" t="n">
        <x:f>1-F3163/M3163</x:f>
        <x:v>0</x:v>
      </x:c>
    </x:row>
    <x:row r="3164" ht="27" customHeight="1">
      <x:c r="A3164" s="66" t="str">
        <x:v>SEV580</x:v>
      </x:c>
      <x:c r="B3164" s="66" t="str">
        <x:v>祁腾蜂赢1号</x:v>
      </x:c>
      <x:c r="C3164" s="72" t="n">
        <x:v>45646</x:v>
      </x:c>
      <x:c r="D3164" s="73" t="n">
        <x:v>1</x:v>
      </x:c>
      <x:c r="E3164" s="73" t="n">
        <x:v>1.7761</x:v>
      </x:c>
      <x:c r="F3164" s="73" t="n">
        <x:v>2.0975</x:v>
      </x:c>
      <x:c r="G3164" s="74" t="n">
        <x:v>0</x:v>
      </x:c>
      <x:c r="H3164" s="66" t="str">
        <x:v>祁腾蜂赢1号净值20260911.xlsx</x:v>
      </x:c>
      <x:c r="I3164" s="73" t="str">
        <x:f>""</x:f>
      </x:c>
      <x:c r="J3164" s="74" t="str">
        <x:f>""</x:f>
      </x:c>
      <x:c r="K3164" s="73" t="n">
        <x:f>MAX(K3163,F3164)</x:f>
        <x:v>2.0975</x:v>
      </x:c>
      <x:c r="L3164" s="74" t="n">
        <x:f>1-F3164/K3164</x:f>
        <x:v>0</x:v>
      </x:c>
      <x:c r="M3164" s="73" t="n">
        <x:f>MAX(M3163,F3164)</x:f>
        <x:v>2.0975</x:v>
      </x:c>
      <x:c r="N3164" s="74" t="n">
        <x:f>1-F3164/M3164</x:f>
        <x:v>0</x:v>
      </x:c>
    </x:row>
    <x:row r="3165" ht="27" customHeight="1">
      <x:c r="A3165" s="66" t="str">
        <x:v>SEV580</x:v>
      </x:c>
      <x:c r="B3165" s="66" t="str">
        <x:v>祁腾蜂赢1号</x:v>
      </x:c>
      <x:c r="C3165" s="72" t="n">
        <x:v>45649</x:v>
      </x:c>
      <x:c r="D3165" s="73" t="n">
        <x:v>1.0016</x:v>
      </x:c>
      <x:c r="E3165" s="73" t="n">
        <x:v>1.7777</x:v>
      </x:c>
      <x:c r="F3165" s="73" t="n">
        <x:v>2.1009</x:v>
      </x:c>
      <x:c r="G3165" s="74" t="n">
        <x:v>0.0016</x:v>
      </x:c>
      <x:c r="H3165" s="66" t="str">
        <x:v>祁腾蜂赢1号净值20260911.xlsx</x:v>
      </x:c>
      <x:c r="I3165" s="73" t="str">
        <x:f>""</x:f>
      </x:c>
      <x:c r="J3165" s="74" t="str">
        <x:f>""</x:f>
      </x:c>
      <x:c r="K3165" s="73" t="n">
        <x:f>MAX(K3164,F3165)</x:f>
        <x:v>2.1009</x:v>
      </x:c>
      <x:c r="L3165" s="74" t="n">
        <x:f>1-F3165/K3165</x:f>
        <x:v>0</x:v>
      </x:c>
      <x:c r="M3165" s="73" t="n">
        <x:f>MAX(M3164,F3165)</x:f>
        <x:v>2.1009</x:v>
      </x:c>
      <x:c r="N3165" s="74" t="n">
        <x:f>1-F3165/M3165</x:f>
        <x:v>0</x:v>
      </x:c>
    </x:row>
    <x:row r="3166" ht="27" customHeight="1">
      <x:c r="A3166" s="66" t="str">
        <x:v>SEV580</x:v>
      </x:c>
      <x:c r="B3166" s="66" t="str">
        <x:v>祁腾蜂赢1号</x:v>
      </x:c>
      <x:c r="C3166" s="72" t="n">
        <x:v>45650</x:v>
      </x:c>
      <x:c r="D3166" s="73" t="n">
        <x:v>1.0013</x:v>
      </x:c>
      <x:c r="E3166" s="73" t="n">
        <x:v>1.7774</x:v>
      </x:c>
      <x:c r="F3166" s="73" t="n">
        <x:v>2.1002</x:v>
      </x:c>
      <x:c r="G3166" s="74" t="n">
        <x:v>-0.0003</x:v>
      </x:c>
      <x:c r="H3166" s="66" t="str">
        <x:v>祁腾蜂赢1号净值20260911.xlsx</x:v>
      </x:c>
      <x:c r="I3166" s="73" t="str">
        <x:f>""</x:f>
      </x:c>
      <x:c r="J3166" s="74" t="str">
        <x:f>""</x:f>
      </x:c>
      <x:c r="K3166" s="73" t="n">
        <x:f>MAX(K3165,F3166)</x:f>
        <x:v>2.1009</x:v>
      </x:c>
      <x:c r="L3166" s="74" t="n">
        <x:f>1-F3166/K3166</x:f>
        <x:v>0.00033319053738878335</x:v>
      </x:c>
      <x:c r="M3166" s="73" t="n">
        <x:f>MAX(M3165,F3166)</x:f>
        <x:v>2.1009</x:v>
      </x:c>
      <x:c r="N3166" s="74" t="n">
        <x:f>1-F3166/M3166</x:f>
        <x:v>0.00033319053738878335</x:v>
      </x:c>
    </x:row>
    <x:row r="3167" ht="27" customHeight="1">
      <x:c r="A3167" s="66" t="str">
        <x:v>SEV580</x:v>
      </x:c>
      <x:c r="B3167" s="66" t="str">
        <x:v>祁腾蜂赢1号</x:v>
      </x:c>
      <x:c r="C3167" s="72" t="n">
        <x:v>45651</x:v>
      </x:c>
      <x:c r="D3167" s="73" t="n">
        <x:v>1.0014</x:v>
      </x:c>
      <x:c r="E3167" s="73" t="n">
        <x:v>1.7775</x:v>
      </x:c>
      <x:c r="F3167" s="73" t="n">
        <x:v>2.1004</x:v>
      </x:c>
      <x:c r="G3167" s="74" t="n">
        <x:v>0.0001</x:v>
      </x:c>
      <x:c r="H3167" s="66" t="str">
        <x:v>祁腾蜂赢1号净值20260911.xlsx</x:v>
      </x:c>
      <x:c r="I3167" s="73" t="str">
        <x:f>""</x:f>
      </x:c>
      <x:c r="J3167" s="74" t="str">
        <x:f>""</x:f>
      </x:c>
      <x:c r="K3167" s="73" t="n">
        <x:f>MAX(K3166,F3167)</x:f>
        <x:v>2.1009</x:v>
      </x:c>
      <x:c r="L3167" s="74" t="n">
        <x:f>1-F3167/K3167</x:f>
        <x:v>0.00023799324099205155</x:v>
      </x:c>
      <x:c r="M3167" s="73" t="n">
        <x:f>MAX(M3166,F3167)</x:f>
        <x:v>2.1009</x:v>
      </x:c>
      <x:c r="N3167" s="74" t="n">
        <x:f>1-F3167/M3167</x:f>
        <x:v>0.00023799324099205155</x:v>
      </x:c>
    </x:row>
    <x:row r="3168" ht="27" customHeight="1">
      <x:c r="A3168" s="66" t="str">
        <x:v>SEV580</x:v>
      </x:c>
      <x:c r="B3168" s="66" t="str">
        <x:v>祁腾蜂赢1号</x:v>
      </x:c>
      <x:c r="C3168" s="72" t="n">
        <x:v>45652</x:v>
      </x:c>
      <x:c r="D3168" s="73" t="n">
        <x:v>1.0014</x:v>
      </x:c>
      <x:c r="E3168" s="73" t="n">
        <x:v>1.7775</x:v>
      </x:c>
      <x:c r="F3168" s="73" t="n">
        <x:v>2.1004</x:v>
      </x:c>
      <x:c r="G3168" s="74" t="n">
        <x:v>0</x:v>
      </x:c>
      <x:c r="H3168" s="66" t="str">
        <x:v>祁腾蜂赢1号净值20260911.xlsx</x:v>
      </x:c>
      <x:c r="I3168" s="73" t="str">
        <x:f>""</x:f>
      </x:c>
      <x:c r="J3168" s="74" t="str">
        <x:f>""</x:f>
      </x:c>
      <x:c r="K3168" s="73" t="n">
        <x:f>MAX(K3167,F3168)</x:f>
        <x:v>2.1009</x:v>
      </x:c>
      <x:c r="L3168" s="74" t="n">
        <x:f>1-F3168/K3168</x:f>
        <x:v>0.00023799324099205155</x:v>
      </x:c>
      <x:c r="M3168" s="73" t="n">
        <x:f>MAX(M3167,F3168)</x:f>
        <x:v>2.1009</x:v>
      </x:c>
      <x:c r="N3168" s="74" t="n">
        <x:f>1-F3168/M3168</x:f>
        <x:v>0.00023799324099205155</x:v>
      </x:c>
    </x:row>
    <x:row r="3169" ht="27" customHeight="1">
      <x:c r="A3169" s="66" t="str">
        <x:v>SEV580</x:v>
      </x:c>
      <x:c r="B3169" s="66" t="str">
        <x:v>祁腾蜂赢1号</x:v>
      </x:c>
      <x:c r="C3169" s="72" t="n">
        <x:v>45653</x:v>
      </x:c>
      <x:c r="D3169" s="73" t="n">
        <x:v>1.002</x:v>
      </x:c>
      <x:c r="E3169" s="73" t="n">
        <x:v>1.7781</x:v>
      </x:c>
      <x:c r="F3169" s="73" t="n">
        <x:v>2.1017</x:v>
      </x:c>
      <x:c r="G3169" s="74" t="n">
        <x:v>0.0006</x:v>
      </x:c>
      <x:c r="H3169" s="66" t="str">
        <x:v>祁腾蜂赢1号净值20260911.xlsx</x:v>
      </x:c>
      <x:c r="I3169" s="73" t="str">
        <x:f>""</x:f>
      </x:c>
      <x:c r="J3169" s="74" t="str">
        <x:f>""</x:f>
      </x:c>
      <x:c r="K3169" s="73" t="n">
        <x:f>MAX(K3168,F3169)</x:f>
        <x:v>2.1017</x:v>
      </x:c>
      <x:c r="L3169" s="74" t="n">
        <x:f>1-F3169/K3169</x:f>
        <x:v>0</x:v>
      </x:c>
      <x:c r="M3169" s="73" t="n">
        <x:f>MAX(M3168,F3169)</x:f>
        <x:v>2.1017</x:v>
      </x:c>
      <x:c r="N3169" s="74" t="n">
        <x:f>1-F3169/M3169</x:f>
        <x:v>0</x:v>
      </x:c>
    </x:row>
    <x:row r="3170" ht="27" customHeight="1">
      <x:c r="A3170" s="66" t="str">
        <x:v>SEV580</x:v>
      </x:c>
      <x:c r="B3170" s="66" t="str">
        <x:v>祁腾蜂赢1号</x:v>
      </x:c>
      <x:c r="C3170" s="72" t="n">
        <x:v>45656</x:v>
      </x:c>
      <x:c r="D3170" s="73" t="n">
        <x:v>1.0024</x:v>
      </x:c>
      <x:c r="E3170" s="73" t="n">
        <x:v>1.7785</x:v>
      </x:c>
      <x:c r="F3170" s="73" t="n">
        <x:v>2.1025</x:v>
      </x:c>
      <x:c r="G3170" s="74" t="n">
        <x:v>0.0004</x:v>
      </x:c>
      <x:c r="H3170" s="66" t="str">
        <x:v>祁腾蜂赢1号净值20260911.xlsx</x:v>
      </x:c>
      <x:c r="I3170" s="73" t="str">
        <x:f>""</x:f>
      </x:c>
      <x:c r="J3170" s="74" t="str">
        <x:f>""</x:f>
      </x:c>
      <x:c r="K3170" s="73" t="n">
        <x:f>MAX(K3169,F3170)</x:f>
        <x:v>2.1025</x:v>
      </x:c>
      <x:c r="L3170" s="74" t="n">
        <x:f>1-F3170/K3170</x:f>
        <x:v>0</x:v>
      </x:c>
      <x:c r="M3170" s="73" t="n">
        <x:f>MAX(M3169,F3170)</x:f>
        <x:v>2.1025</x:v>
      </x:c>
      <x:c r="N3170" s="74" t="n">
        <x:f>1-F3170/M3170</x:f>
        <x:v>0</x:v>
      </x:c>
    </x:row>
    <x:row r="3171" ht="27" customHeight="1">
      <x:c r="A3171" s="66" t="str">
        <x:v>SEV580</x:v>
      </x:c>
      <x:c r="B3171" s="66" t="str">
        <x:v>祁腾蜂赢1号</x:v>
      </x:c>
      <x:c r="C3171" s="72" t="n">
        <x:v>45657</x:v>
      </x:c>
      <x:c r="D3171" s="73" t="n">
        <x:v>1.003</x:v>
      </x:c>
      <x:c r="E3171" s="73" t="n">
        <x:v>1.7791</x:v>
      </x:c>
      <x:c r="F3171" s="73" t="n">
        <x:v>2.1038</x:v>
      </x:c>
      <x:c r="G3171" s="74" t="n">
        <x:v>0.0006</x:v>
      </x:c>
      <x:c r="H3171" s="66" t="str">
        <x:v>祁腾蜂赢1号净值20260911.xlsx</x:v>
      </x:c>
      <x:c r="I3171" s="73" t="str">
        <x:f>""</x:f>
      </x:c>
      <x:c r="J3171" s="74" t="str">
        <x:f>""</x:f>
      </x:c>
      <x:c r="K3171" s="73" t="n">
        <x:f>MAX(K3170,F3171)</x:f>
        <x:v>2.1038</x:v>
      </x:c>
      <x:c r="L3171" s="74" t="n">
        <x:f>1-F3171/K3171</x:f>
        <x:v>0</x:v>
      </x:c>
      <x:c r="M3171" s="73" t="n">
        <x:f>MAX(M3170,F3171)</x:f>
        <x:v>2.1038</x:v>
      </x:c>
      <x:c r="N3171" s="74" t="n">
        <x:f>1-F3171/M3171</x:f>
        <x:v>0</x:v>
      </x:c>
    </x:row>
    <x:row r="3172" ht="27" customHeight="1">
      <x:c r="A3172" s="66" t="str">
        <x:v>SEV580</x:v>
      </x:c>
      <x:c r="B3172" s="66" t="str">
        <x:v>祁腾蜂赢1号</x:v>
      </x:c>
      <x:c r="C3172" s="72" t="n">
        <x:v>45659</x:v>
      </x:c>
      <x:c r="D3172" s="73" t="n">
        <x:v>1.0035</x:v>
      </x:c>
      <x:c r="E3172" s="73" t="n">
        <x:v>1.7796</x:v>
      </x:c>
      <x:c r="F3172" s="73" t="n">
        <x:v>2.1049</x:v>
      </x:c>
      <x:c r="G3172" s="74" t="n">
        <x:v>0.0005</x:v>
      </x:c>
      <x:c r="H3172" s="66" t="str">
        <x:v>祁腾蜂赢1号净值20260911.xlsx</x:v>
      </x:c>
      <x:c r="I3172" s="73" t="str">
        <x:f>""</x:f>
      </x:c>
      <x:c r="J3172" s="74" t="str">
        <x:f>""</x:f>
      </x:c>
      <x:c r="K3172" s="73" t="n">
        <x:f>MAX(K3171,F3172)</x:f>
        <x:v>2.1049</x:v>
      </x:c>
      <x:c r="L3172" s="74" t="n">
        <x:f>1-F3172/K3172</x:f>
        <x:v>0</x:v>
      </x:c>
      <x:c r="M3172" s="73" t="n">
        <x:f>MAX(M3171,F3172)</x:f>
        <x:v>2.1049</x:v>
      </x:c>
      <x:c r="N3172" s="74" t="n">
        <x:f>1-F3172/M3172</x:f>
        <x:v>0</x:v>
      </x:c>
    </x:row>
    <x:row r="3173" ht="27" customHeight="1">
      <x:c r="A3173" s="66" t="str">
        <x:v>SEV580</x:v>
      </x:c>
      <x:c r="B3173" s="66" t="str">
        <x:v>祁腾蜂赢1号</x:v>
      </x:c>
      <x:c r="C3173" s="72" t="n">
        <x:v>45660</x:v>
      </x:c>
      <x:c r="D3173" s="73" t="n">
        <x:v>1.0035</x:v>
      </x:c>
      <x:c r="E3173" s="73" t="n">
        <x:v>1.7796</x:v>
      </x:c>
      <x:c r="F3173" s="73" t="n">
        <x:v>2.1049</x:v>
      </x:c>
      <x:c r="G3173" s="74" t="n">
        <x:v>0</x:v>
      </x:c>
      <x:c r="H3173" s="66" t="str">
        <x:v>祁腾蜂赢1号净值20260911.xlsx</x:v>
      </x:c>
      <x:c r="I3173" s="73" t="str">
        <x:f>""</x:f>
      </x:c>
      <x:c r="J3173" s="74" t="str">
        <x:f>""</x:f>
      </x:c>
      <x:c r="K3173" s="73" t="n">
        <x:f>MAX(K3172,F3173)</x:f>
        <x:v>2.1049</x:v>
      </x:c>
      <x:c r="L3173" s="74" t="n">
        <x:f>1-F3173/K3173</x:f>
        <x:v>0</x:v>
      </x:c>
      <x:c r="M3173" s="73" t="n">
        <x:f>MAX(M3172,F3173)</x:f>
        <x:v>2.1049</x:v>
      </x:c>
      <x:c r="N3173" s="74" t="n">
        <x:f>1-F3173/M3173</x:f>
        <x:v>0</x:v>
      </x:c>
    </x:row>
    <x:row r="3174" ht="27" customHeight="1">
      <x:c r="A3174" s="66" t="str">
        <x:v>SEV580</x:v>
      </x:c>
      <x:c r="B3174" s="66" t="str">
        <x:v>祁腾蜂赢1号</x:v>
      </x:c>
      <x:c r="C3174" s="72" t="n">
        <x:v>45663</x:v>
      </x:c>
      <x:c r="D3174" s="73" t="n">
        <x:v>1.0036</x:v>
      </x:c>
      <x:c r="E3174" s="73" t="n">
        <x:v>1.7797</x:v>
      </x:c>
      <x:c r="F3174" s="73" t="n">
        <x:v>2.1051</x:v>
      </x:c>
      <x:c r="G3174" s="74" t="n">
        <x:v>0.0001</x:v>
      </x:c>
      <x:c r="H3174" s="66" t="str">
        <x:v>祁腾蜂赢1号净值20260911.xlsx</x:v>
      </x:c>
      <x:c r="I3174" s="73" t="str">
        <x:f>""</x:f>
      </x:c>
      <x:c r="J3174" s="74" t="str">
        <x:f>""</x:f>
      </x:c>
      <x:c r="K3174" s="73" t="n">
        <x:f>MAX(K3173,F3174)</x:f>
        <x:v>2.1051</x:v>
      </x:c>
      <x:c r="L3174" s="74" t="n">
        <x:f>1-F3174/K3174</x:f>
        <x:v>0</x:v>
      </x:c>
      <x:c r="M3174" s="73" t="n">
        <x:f>MAX(M3173,F3174)</x:f>
        <x:v>2.1051</x:v>
      </x:c>
      <x:c r="N3174" s="74" t="n">
        <x:f>1-F3174/M3174</x:f>
        <x:v>0</x:v>
      </x:c>
    </x:row>
    <x:row r="3175" ht="27" customHeight="1">
      <x:c r="A3175" s="66" t="str">
        <x:v>SEV580</x:v>
      </x:c>
      <x:c r="B3175" s="66" t="str">
        <x:v>祁腾蜂赢1号</x:v>
      </x:c>
      <x:c r="C3175" s="72" t="n">
        <x:v>45664</x:v>
      </x:c>
      <x:c r="D3175" s="73" t="n">
        <x:v>1.0037</x:v>
      </x:c>
      <x:c r="E3175" s="73" t="n">
        <x:v>1.7798</x:v>
      </x:c>
      <x:c r="F3175" s="73" t="n">
        <x:v>2.1053</x:v>
      </x:c>
      <x:c r="G3175" s="74" t="n">
        <x:v>0.0001</x:v>
      </x:c>
      <x:c r="H3175" s="66" t="str">
        <x:v>祁腾蜂赢1号净值20260911.xlsx</x:v>
      </x:c>
      <x:c r="I3175" s="73" t="str">
        <x:f>""</x:f>
      </x:c>
      <x:c r="J3175" s="74" t="str">
        <x:f>""</x:f>
      </x:c>
      <x:c r="K3175" s="73" t="n">
        <x:f>MAX(K3174,F3175)</x:f>
        <x:v>2.1053</x:v>
      </x:c>
      <x:c r="L3175" s="74" t="n">
        <x:f>1-F3175/K3175</x:f>
        <x:v>0</x:v>
      </x:c>
      <x:c r="M3175" s="73" t="n">
        <x:f>MAX(M3174,F3175)</x:f>
        <x:v>2.1053</x:v>
      </x:c>
      <x:c r="N3175" s="74" t="n">
        <x:f>1-F3175/M3175</x:f>
        <x:v>0</x:v>
      </x:c>
    </x:row>
    <x:row r="3176" ht="27" customHeight="1">
      <x:c r="A3176" s="66" t="str">
        <x:v>SEV580</x:v>
      </x:c>
      <x:c r="B3176" s="66" t="str">
        <x:v>祁腾蜂赢1号</x:v>
      </x:c>
      <x:c r="C3176" s="72" t="n">
        <x:v>45665</x:v>
      </x:c>
      <x:c r="D3176" s="73" t="n">
        <x:v>1.0038</x:v>
      </x:c>
      <x:c r="E3176" s="73" t="n">
        <x:v>1.7799</x:v>
      </x:c>
      <x:c r="F3176" s="73" t="n">
        <x:v>2.1055</x:v>
      </x:c>
      <x:c r="G3176" s="74" t="n">
        <x:v>0.0001</x:v>
      </x:c>
      <x:c r="H3176" s="66" t="str">
        <x:v>祁腾蜂赢1号净值20260911.xlsx</x:v>
      </x:c>
      <x:c r="I3176" s="73" t="str">
        <x:f>""</x:f>
      </x:c>
      <x:c r="J3176" s="74" t="str">
        <x:f>""</x:f>
      </x:c>
      <x:c r="K3176" s="73" t="n">
        <x:f>MAX(K3175,F3176)</x:f>
        <x:v>2.1055</x:v>
      </x:c>
      <x:c r="L3176" s="74" t="n">
        <x:f>1-F3176/K3176</x:f>
        <x:v>0</x:v>
      </x:c>
      <x:c r="M3176" s="73" t="n">
        <x:f>MAX(M3175,F3176)</x:f>
        <x:v>2.1055</x:v>
      </x:c>
      <x:c r="N3176" s="74" t="n">
        <x:f>1-F3176/M3176</x:f>
        <x:v>0</x:v>
      </x:c>
    </x:row>
    <x:row r="3177" ht="27" customHeight="1">
      <x:c r="A3177" s="66" t="str">
        <x:v>SEV580</x:v>
      </x:c>
      <x:c r="B3177" s="66" t="str">
        <x:v>祁腾蜂赢1号</x:v>
      </x:c>
      <x:c r="C3177" s="72" t="n">
        <x:v>45666</x:v>
      </x:c>
      <x:c r="D3177" s="73" t="n">
        <x:v>1.0033</x:v>
      </x:c>
      <x:c r="E3177" s="73" t="n">
        <x:v>1.7794</x:v>
      </x:c>
      <x:c r="F3177" s="73" t="n">
        <x:v>2.1044</x:v>
      </x:c>
      <x:c r="G3177" s="74" t="n">
        <x:v>-0.0005</x:v>
      </x:c>
      <x:c r="H3177" s="66" t="str">
        <x:v>祁腾蜂赢1号净值20260911.xlsx</x:v>
      </x:c>
      <x:c r="I3177" s="73" t="str">
        <x:f>""</x:f>
      </x:c>
      <x:c r="J3177" s="74" t="str">
        <x:f>""</x:f>
      </x:c>
      <x:c r="K3177" s="73" t="n">
        <x:f>MAX(K3176,F3177)</x:f>
        <x:v>2.1055</x:v>
      </x:c>
      <x:c r="L3177" s="74" t="n">
        <x:f>1-F3177/K3177</x:f>
        <x:v>0.000522441225362158</x:v>
      </x:c>
      <x:c r="M3177" s="73" t="n">
        <x:f>MAX(M3176,F3177)</x:f>
        <x:v>2.1055</x:v>
      </x:c>
      <x:c r="N3177" s="74" t="n">
        <x:f>1-F3177/M3177</x:f>
        <x:v>0.000522441225362158</x:v>
      </x:c>
    </x:row>
    <x:row r="3178" ht="27" customHeight="1">
      <x:c r="A3178" s="66" t="str">
        <x:v>SEV580</x:v>
      </x:c>
      <x:c r="B3178" s="66" t="str">
        <x:v>祁腾蜂赢1号</x:v>
      </x:c>
      <x:c r="C3178" s="72" t="n">
        <x:v>45667</x:v>
      </x:c>
      <x:c r="D3178" s="73" t="n">
        <x:v>1.0042</x:v>
      </x:c>
      <x:c r="E3178" s="73" t="n">
        <x:v>1.7803</x:v>
      </x:c>
      <x:c r="F3178" s="73" t="n">
        <x:v>2.1063</x:v>
      </x:c>
      <x:c r="G3178" s="74" t="n">
        <x:v>0.0009</x:v>
      </x:c>
      <x:c r="H3178" s="66" t="str">
        <x:v>祁腾蜂赢1号净值20260911.xlsx</x:v>
      </x:c>
      <x:c r="I3178" s="73" t="str">
        <x:f>""</x:f>
      </x:c>
      <x:c r="J3178" s="74" t="str">
        <x:f>""</x:f>
      </x:c>
      <x:c r="K3178" s="73" t="n">
        <x:f>MAX(K3177,F3178)</x:f>
        <x:v>2.1063</x:v>
      </x:c>
      <x:c r="L3178" s="74" t="n">
        <x:f>1-F3178/K3178</x:f>
        <x:v>0</x:v>
      </x:c>
      <x:c r="M3178" s="73" t="n">
        <x:f>MAX(M3177,F3178)</x:f>
        <x:v>2.1063</x:v>
      </x:c>
      <x:c r="N3178" s="74" t="n">
        <x:f>1-F3178/M3178</x:f>
        <x:v>0</x:v>
      </x:c>
    </x:row>
    <x:row r="3179" ht="27" customHeight="1">
      <x:c r="A3179" s="66" t="str">
        <x:v>SEV580</x:v>
      </x:c>
      <x:c r="B3179" s="66" t="str">
        <x:v>祁腾蜂赢1号</x:v>
      </x:c>
      <x:c r="C3179" s="72" t="n">
        <x:v>45670</x:v>
      </x:c>
      <x:c r="D3179" s="73" t="n">
        <x:v>1.0042</x:v>
      </x:c>
      <x:c r="E3179" s="73" t="n">
        <x:v>1.7803</x:v>
      </x:c>
      <x:c r="F3179" s="73" t="n">
        <x:v>2.1063</x:v>
      </x:c>
      <x:c r="G3179" s="74" t="n">
        <x:v>0</x:v>
      </x:c>
      <x:c r="H3179" s="66" t="str">
        <x:v>祁腾蜂赢1号净值20260911.xlsx</x:v>
      </x:c>
      <x:c r="I3179" s="73" t="str">
        <x:f>""</x:f>
      </x:c>
      <x:c r="J3179" s="74" t="str">
        <x:f>""</x:f>
      </x:c>
      <x:c r="K3179" s="73" t="n">
        <x:f>MAX(K3178,F3179)</x:f>
        <x:v>2.1063</x:v>
      </x:c>
      <x:c r="L3179" s="74" t="n">
        <x:f>1-F3179/K3179</x:f>
        <x:v>0</x:v>
      </x:c>
      <x:c r="M3179" s="73" t="n">
        <x:f>MAX(M3178,F3179)</x:f>
        <x:v>2.1063</x:v>
      </x:c>
      <x:c r="N3179" s="74" t="n">
        <x:f>1-F3179/M3179</x:f>
        <x:v>0</x:v>
      </x:c>
    </x:row>
    <x:row r="3180" ht="27" customHeight="1">
      <x:c r="A3180" s="66" t="str">
        <x:v>SEV580</x:v>
      </x:c>
      <x:c r="B3180" s="66" t="str">
        <x:v>祁腾蜂赢1号</x:v>
      </x:c>
      <x:c r="C3180" s="72" t="n">
        <x:v>45671</x:v>
      </x:c>
      <x:c r="D3180" s="73" t="n">
        <x:v>1.0049</x:v>
      </x:c>
      <x:c r="E3180" s="73" t="n">
        <x:v>1.781</x:v>
      </x:c>
      <x:c r="F3180" s="73" t="n">
        <x:v>2.1078</x:v>
      </x:c>
      <x:c r="G3180" s="74" t="n">
        <x:v>0.0007000000000000001</x:v>
      </x:c>
      <x:c r="H3180" s="66" t="str">
        <x:v>祁腾蜂赢1号净值20260911.xlsx</x:v>
      </x:c>
      <x:c r="I3180" s="73" t="str">
        <x:f>""</x:f>
      </x:c>
      <x:c r="J3180" s="74" t="str">
        <x:f>""</x:f>
      </x:c>
      <x:c r="K3180" s="73" t="n">
        <x:f>MAX(K3179,F3180)</x:f>
        <x:v>2.1078</x:v>
      </x:c>
      <x:c r="L3180" s="74" t="n">
        <x:f>1-F3180/K3180</x:f>
        <x:v>0</x:v>
      </x:c>
      <x:c r="M3180" s="73" t="n">
        <x:f>MAX(M3179,F3180)</x:f>
        <x:v>2.1078</x:v>
      </x:c>
      <x:c r="N3180" s="74" t="n">
        <x:f>1-F3180/M3180</x:f>
        <x:v>0</x:v>
      </x:c>
    </x:row>
    <x:row r="3181" ht="27" customHeight="1">
      <x:c r="A3181" s="66" t="str">
        <x:v>SEV580</x:v>
      </x:c>
      <x:c r="B3181" s="66" t="str">
        <x:v>祁腾蜂赢1号</x:v>
      </x:c>
      <x:c r="C3181" s="72" t="n">
        <x:v>45672</x:v>
      </x:c>
      <x:c r="D3181" s="73" t="n">
        <x:v>1.0044</x:v>
      </x:c>
      <x:c r="E3181" s="73" t="n">
        <x:v>1.7805</x:v>
      </x:c>
      <x:c r="F3181" s="73" t="n">
        <x:v>2.1067</x:v>
      </x:c>
      <x:c r="G3181" s="74" t="n">
        <x:v>-0.0005</x:v>
      </x:c>
      <x:c r="H3181" s="66" t="str">
        <x:v>祁腾蜂赢1号净值20260911.xlsx</x:v>
      </x:c>
      <x:c r="I3181" s="73" t="str">
        <x:f>""</x:f>
      </x:c>
      <x:c r="J3181" s="74" t="str">
        <x:f>""</x:f>
      </x:c>
      <x:c r="K3181" s="73" t="n">
        <x:f>MAX(K3180,F3181)</x:f>
        <x:v>2.1078</x:v>
      </x:c>
      <x:c r="L3181" s="74" t="n">
        <x:f>1-F3181/K3181</x:f>
        <x:v>0.0005218711452700253</x:v>
      </x:c>
      <x:c r="M3181" s="73" t="n">
        <x:f>MAX(M3180,F3181)</x:f>
        <x:v>2.1078</x:v>
      </x:c>
      <x:c r="N3181" s="74" t="n">
        <x:f>1-F3181/M3181</x:f>
        <x:v>0.0005218711452700253</x:v>
      </x:c>
    </x:row>
    <x:row r="3182" ht="27" customHeight="1">
      <x:c r="A3182" s="66" t="str">
        <x:v>SEV580</x:v>
      </x:c>
      <x:c r="B3182" s="66" t="str">
        <x:v>祁腾蜂赢1号</x:v>
      </x:c>
      <x:c r="C3182" s="72" t="n">
        <x:v>45673</x:v>
      </x:c>
      <x:c r="D3182" s="73" t="n">
        <x:v>1.0054</x:v>
      </x:c>
      <x:c r="E3182" s="73" t="n">
        <x:v>1.7815</x:v>
      </x:c>
      <x:c r="F3182" s="73" t="n">
        <x:v>2.1088</x:v>
      </x:c>
      <x:c r="G3182" s="74" t="n">
        <x:v>0.001</x:v>
      </x:c>
      <x:c r="H3182" s="66" t="str">
        <x:v>祁腾蜂赢1号净值20260911.xlsx</x:v>
      </x:c>
      <x:c r="I3182" s="73" t="str">
        <x:f>""</x:f>
      </x:c>
      <x:c r="J3182" s="74" t="str">
        <x:f>""</x:f>
      </x:c>
      <x:c r="K3182" s="73" t="n">
        <x:f>MAX(K3181,F3182)</x:f>
        <x:v>2.1088</x:v>
      </x:c>
      <x:c r="L3182" s="74" t="n">
        <x:f>1-F3182/K3182</x:f>
        <x:v>0</x:v>
      </x:c>
      <x:c r="M3182" s="73" t="n">
        <x:f>MAX(M3181,F3182)</x:f>
        <x:v>2.1088</x:v>
      </x:c>
      <x:c r="N3182" s="74" t="n">
        <x:f>1-F3182/M3182</x:f>
        <x:v>0</x:v>
      </x:c>
    </x:row>
    <x:row r="3183" ht="27" customHeight="1">
      <x:c r="A3183" s="66" t="str">
        <x:v>SEV580</x:v>
      </x:c>
      <x:c r="B3183" s="66" t="str">
        <x:v>祁腾蜂赢1号</x:v>
      </x:c>
      <x:c r="C3183" s="72" t="n">
        <x:v>45674</x:v>
      </x:c>
      <x:c r="D3183" s="73" t="n">
        <x:v>1.0064</x:v>
      </x:c>
      <x:c r="E3183" s="73" t="n">
        <x:v>1.7825</x:v>
      </x:c>
      <x:c r="F3183" s="73" t="n">
        <x:v>2.1109</x:v>
      </x:c>
      <x:c r="G3183" s="74" t="n">
        <x:v>0.001</x:v>
      </x:c>
      <x:c r="H3183" s="66" t="str">
        <x:v>祁腾蜂赢1号净值20260911.xlsx</x:v>
      </x:c>
      <x:c r="I3183" s="73" t="str">
        <x:f>""</x:f>
      </x:c>
      <x:c r="J3183" s="74" t="str">
        <x:f>""</x:f>
      </x:c>
      <x:c r="K3183" s="73" t="n">
        <x:f>MAX(K3182,F3183)</x:f>
        <x:v>2.1109</x:v>
      </x:c>
      <x:c r="L3183" s="74" t="n">
        <x:f>1-F3183/K3183</x:f>
        <x:v>0</x:v>
      </x:c>
      <x:c r="M3183" s="73" t="n">
        <x:f>MAX(M3182,F3183)</x:f>
        <x:v>2.1109</x:v>
      </x:c>
      <x:c r="N3183" s="74" t="n">
        <x:f>1-F3183/M3183</x:f>
        <x:v>0</x:v>
      </x:c>
    </x:row>
    <x:row r="3184" ht="27" customHeight="1">
      <x:c r="A3184" s="66" t="str">
        <x:v>SEV580</x:v>
      </x:c>
      <x:c r="B3184" s="66" t="str">
        <x:v>祁腾蜂赢1号</x:v>
      </x:c>
      <x:c r="C3184" s="72" t="n">
        <x:v>45677</x:v>
      </x:c>
      <x:c r="D3184" s="73" t="n">
        <x:v>1.0069</x:v>
      </x:c>
      <x:c r="E3184" s="73" t="n">
        <x:v>1.783</x:v>
      </x:c>
      <x:c r="F3184" s="73" t="n">
        <x:v>2.112</x:v>
      </x:c>
      <x:c r="G3184" s="74" t="n">
        <x:v>0.0005</x:v>
      </x:c>
      <x:c r="H3184" s="66" t="str">
        <x:v>祁腾蜂赢1号净值20260911.xlsx</x:v>
      </x:c>
      <x:c r="I3184" s="73" t="str">
        <x:f>""</x:f>
      </x:c>
      <x:c r="J3184" s="74" t="str">
        <x:f>""</x:f>
      </x:c>
      <x:c r="K3184" s="73" t="n">
        <x:f>MAX(K3183,F3184)</x:f>
        <x:v>2.112</x:v>
      </x:c>
      <x:c r="L3184" s="74" t="n">
        <x:f>1-F3184/K3184</x:f>
        <x:v>0</x:v>
      </x:c>
      <x:c r="M3184" s="73" t="n">
        <x:f>MAX(M3183,F3184)</x:f>
        <x:v>2.112</x:v>
      </x:c>
      <x:c r="N3184" s="74" t="n">
        <x:f>1-F3184/M3184</x:f>
        <x:v>0</x:v>
      </x:c>
    </x:row>
    <x:row r="3185" ht="27" customHeight="1">
      <x:c r="A3185" s="66" t="str">
        <x:v>SEV580</x:v>
      </x:c>
      <x:c r="B3185" s="66" t="str">
        <x:v>祁腾蜂赢1号</x:v>
      </x:c>
      <x:c r="C3185" s="72" t="n">
        <x:v>45678</x:v>
      </x:c>
      <x:c r="D3185" s="73" t="n">
        <x:v>1.0067</x:v>
      </x:c>
      <x:c r="E3185" s="73" t="n">
        <x:v>1.7828</x:v>
      </x:c>
      <x:c r="F3185" s="73" t="n">
        <x:v>2.1116</x:v>
      </x:c>
      <x:c r="G3185" s="74" t="n">
        <x:v>-0.0002</x:v>
      </x:c>
      <x:c r="H3185" s="66" t="str">
        <x:v>祁腾蜂赢1号净值20260911.xlsx</x:v>
      </x:c>
      <x:c r="I3185" s="73" t="str">
        <x:f>""</x:f>
      </x:c>
      <x:c r="J3185" s="74" t="str">
        <x:f>""</x:f>
      </x:c>
      <x:c r="K3185" s="73" t="n">
        <x:f>MAX(K3184,F3185)</x:f>
        <x:v>2.112</x:v>
      </x:c>
      <x:c r="L3185" s="74" t="n">
        <x:f>1-F3185/K3185</x:f>
        <x:v>0.00018939393939387816</x:v>
      </x:c>
      <x:c r="M3185" s="73" t="n">
        <x:f>MAX(M3184,F3185)</x:f>
        <x:v>2.112</x:v>
      </x:c>
      <x:c r="N3185" s="74" t="n">
        <x:f>1-F3185/M3185</x:f>
        <x:v>0.00018939393939387816</x:v>
      </x:c>
    </x:row>
    <x:row r="3186" ht="27" customHeight="1">
      <x:c r="A3186" s="66" t="str">
        <x:v>SEV580</x:v>
      </x:c>
      <x:c r="B3186" s="66" t="str">
        <x:v>祁腾蜂赢1号</x:v>
      </x:c>
      <x:c r="C3186" s="72" t="n">
        <x:v>45679</x:v>
      </x:c>
      <x:c r="D3186" s="73" t="n">
        <x:v>1.0067</x:v>
      </x:c>
      <x:c r="E3186" s="73" t="n">
        <x:v>1.7828</x:v>
      </x:c>
      <x:c r="F3186" s="73" t="n">
        <x:v>2.1116</x:v>
      </x:c>
      <x:c r="G3186" s="74" t="n">
        <x:v>0</x:v>
      </x:c>
      <x:c r="H3186" s="66" t="str">
        <x:v>祁腾蜂赢1号净值20260911.xlsx</x:v>
      </x:c>
      <x:c r="I3186" s="73" t="str">
        <x:f>""</x:f>
      </x:c>
      <x:c r="J3186" s="74" t="str">
        <x:f>""</x:f>
      </x:c>
      <x:c r="K3186" s="73" t="n">
        <x:f>MAX(K3185,F3186)</x:f>
        <x:v>2.112</x:v>
      </x:c>
      <x:c r="L3186" s="74" t="n">
        <x:f>1-F3186/K3186</x:f>
        <x:v>0.00018939393939387816</x:v>
      </x:c>
      <x:c r="M3186" s="73" t="n">
        <x:f>MAX(M3185,F3186)</x:f>
        <x:v>2.112</x:v>
      </x:c>
      <x:c r="N3186" s="74" t="n">
        <x:f>1-F3186/M3186</x:f>
        <x:v>0.00018939393939387816</x:v>
      </x:c>
    </x:row>
    <x:row r="3187" ht="27" customHeight="1">
      <x:c r="A3187" s="66" t="str">
        <x:v>SEV580</x:v>
      </x:c>
      <x:c r="B3187" s="66" t="str">
        <x:v>祁腾蜂赢1号</x:v>
      </x:c>
      <x:c r="C3187" s="72" t="n">
        <x:v>45680</x:v>
      </x:c>
      <x:c r="D3187" s="73" t="n">
        <x:v>1.0078</x:v>
      </x:c>
      <x:c r="E3187" s="73" t="n">
        <x:v>1.7839</x:v>
      </x:c>
      <x:c r="F3187" s="73" t="n">
        <x:v>2.1139</x:v>
      </x:c>
      <x:c r="G3187" s="74" t="n">
        <x:v>0.0011</x:v>
      </x:c>
      <x:c r="H3187" s="66" t="str">
        <x:v>祁腾蜂赢1号净值20260911.xlsx</x:v>
      </x:c>
      <x:c r="I3187" s="73" t="str">
        <x:f>""</x:f>
      </x:c>
      <x:c r="J3187" s="74" t="str">
        <x:f>""</x:f>
      </x:c>
      <x:c r="K3187" s="73" t="n">
        <x:f>MAX(K3186,F3187)</x:f>
        <x:v>2.1139</x:v>
      </x:c>
      <x:c r="L3187" s="74" t="n">
        <x:f>1-F3187/K3187</x:f>
        <x:v>0</x:v>
      </x:c>
      <x:c r="M3187" s="73" t="n">
        <x:f>MAX(M3186,F3187)</x:f>
        <x:v>2.1139</x:v>
      </x:c>
      <x:c r="N3187" s="74" t="n">
        <x:f>1-F3187/M3187</x:f>
        <x:v>0</x:v>
      </x:c>
    </x:row>
    <x:row r="3188" ht="27" customHeight="1">
      <x:c r="A3188" s="66" t="str">
        <x:v>SEV580</x:v>
      </x:c>
      <x:c r="B3188" s="66" t="str">
        <x:v>祁腾蜂赢1号</x:v>
      </x:c>
      <x:c r="C3188" s="72" t="n">
        <x:v>45681</x:v>
      </x:c>
      <x:c r="D3188" s="73" t="n">
        <x:v>1.0076</x:v>
      </x:c>
      <x:c r="E3188" s="73" t="n">
        <x:v>1.7837</x:v>
      </x:c>
      <x:c r="F3188" s="73" t="n">
        <x:v>2.1135</x:v>
      </x:c>
      <x:c r="G3188" s="74" t="n">
        <x:v>-0.0002</x:v>
      </x:c>
      <x:c r="H3188" s="66" t="str">
        <x:v>祁腾蜂赢1号净值20260911.xlsx</x:v>
      </x:c>
      <x:c r="I3188" s="73" t="str">
        <x:f>""</x:f>
      </x:c>
      <x:c r="J3188" s="74" t="str">
        <x:f>""</x:f>
      </x:c>
      <x:c r="K3188" s="73" t="n">
        <x:f>MAX(K3187,F3188)</x:f>
        <x:v>2.1139</x:v>
      </x:c>
      <x:c r="L3188" s="74" t="n">
        <x:f>1-F3188/K3188</x:f>
        <x:v>0.0001892237097308458</x:v>
      </x:c>
      <x:c r="M3188" s="73" t="n">
        <x:f>MAX(M3187,F3188)</x:f>
        <x:v>2.1139</x:v>
      </x:c>
      <x:c r="N3188" s="74" t="n">
        <x:f>1-F3188/M3188</x:f>
        <x:v>0.0001892237097308458</x:v>
      </x:c>
    </x:row>
    <x:row r="3189" ht="27" customHeight="1">
      <x:c r="A3189" s="66" t="str">
        <x:v>SEV580</x:v>
      </x:c>
      <x:c r="B3189" s="66" t="str">
        <x:v>祁腾蜂赢1号</x:v>
      </x:c>
      <x:c r="C3189" s="72" t="n">
        <x:v>45684</x:v>
      </x:c>
      <x:c r="D3189" s="73" t="n">
        <x:v>1.008</x:v>
      </x:c>
      <x:c r="E3189" s="73" t="n">
        <x:v>1.7841</x:v>
      </x:c>
      <x:c r="F3189" s="73" t="n">
        <x:v>2.1143</x:v>
      </x:c>
      <x:c r="G3189" s="74" t="n">
        <x:v>0.0004</x:v>
      </x:c>
      <x:c r="H3189" s="66" t="str">
        <x:v>祁腾蜂赢1号净值20260911.xlsx</x:v>
      </x:c>
      <x:c r="I3189" s="73" t="str">
        <x:f>""</x:f>
      </x:c>
      <x:c r="J3189" s="74" t="str">
        <x:f>""</x:f>
      </x:c>
      <x:c r="K3189" s="73" t="n">
        <x:f>MAX(K3188,F3189)</x:f>
        <x:v>2.1143</x:v>
      </x:c>
      <x:c r="L3189" s="74" t="n">
        <x:f>1-F3189/K3189</x:f>
        <x:v>0</x:v>
      </x:c>
      <x:c r="M3189" s="73" t="n">
        <x:f>MAX(M3188,F3189)</x:f>
        <x:v>2.1143</x:v>
      </x:c>
      <x:c r="N3189" s="74" t="n">
        <x:f>1-F3189/M3189</x:f>
        <x:v>0</x:v>
      </x:c>
    </x:row>
    <x:row r="3190" ht="27" customHeight="1">
      <x:c r="A3190" s="66" t="str">
        <x:v>SEV580</x:v>
      </x:c>
      <x:c r="B3190" s="66" t="str">
        <x:v>祁腾蜂赢1号</x:v>
      </x:c>
      <x:c r="C3190" s="72" t="n">
        <x:v>45693</x:v>
      </x:c>
      <x:c r="D3190" s="73" t="n">
        <x:v>1.0082</x:v>
      </x:c>
      <x:c r="E3190" s="73" t="n">
        <x:v>1.7843</x:v>
      </x:c>
      <x:c r="F3190" s="73" t="n">
        <x:v>2.1147</x:v>
      </x:c>
      <x:c r="G3190" s="74" t="n">
        <x:v>0.0002</x:v>
      </x:c>
      <x:c r="H3190" s="66" t="str">
        <x:v>祁腾蜂赢1号净值20260911.xlsx</x:v>
      </x:c>
      <x:c r="I3190" s="73" t="str">
        <x:f>""</x:f>
      </x:c>
      <x:c r="J3190" s="74" t="str">
        <x:f>""</x:f>
      </x:c>
      <x:c r="K3190" s="73" t="n">
        <x:f>MAX(K3189,F3190)</x:f>
        <x:v>2.1147</x:v>
      </x:c>
      <x:c r="L3190" s="74" t="n">
        <x:f>1-F3190/K3190</x:f>
        <x:v>0</x:v>
      </x:c>
      <x:c r="M3190" s="73" t="n">
        <x:f>MAX(M3189,F3190)</x:f>
        <x:v>2.1147</x:v>
      </x:c>
      <x:c r="N3190" s="74" t="n">
        <x:f>1-F3190/M3190</x:f>
        <x:v>0</x:v>
      </x:c>
    </x:row>
    <x:row r="3191" ht="27" customHeight="1">
      <x:c r="A3191" s="66" t="str">
        <x:v>SEV580</x:v>
      </x:c>
      <x:c r="B3191" s="66" t="str">
        <x:v>祁腾蜂赢1号</x:v>
      </x:c>
      <x:c r="C3191" s="72" t="n">
        <x:v>45694</x:v>
      </x:c>
      <x:c r="D3191" s="73" t="n">
        <x:v>1.0089</x:v>
      </x:c>
      <x:c r="E3191" s="73" t="n">
        <x:v>1.785</x:v>
      </x:c>
      <x:c r="F3191" s="73" t="n">
        <x:v>2.1162</x:v>
      </x:c>
      <x:c r="G3191" s="74" t="n">
        <x:v>0.0007000000000000001</x:v>
      </x:c>
      <x:c r="H3191" s="66" t="str">
        <x:v>祁腾蜂赢1号净值20260911.xlsx</x:v>
      </x:c>
      <x:c r="I3191" s="73" t="str">
        <x:f>""</x:f>
      </x:c>
      <x:c r="J3191" s="74" t="str">
        <x:f>""</x:f>
      </x:c>
      <x:c r="K3191" s="73" t="n">
        <x:f>MAX(K3190,F3191)</x:f>
        <x:v>2.1162</x:v>
      </x:c>
      <x:c r="L3191" s="74" t="n">
        <x:f>1-F3191/K3191</x:f>
        <x:v>0</x:v>
      </x:c>
      <x:c r="M3191" s="73" t="n">
        <x:f>MAX(M3190,F3191)</x:f>
        <x:v>2.1162</x:v>
      </x:c>
      <x:c r="N3191" s="74" t="n">
        <x:f>1-F3191/M3191</x:f>
        <x:v>0</x:v>
      </x:c>
    </x:row>
    <x:row r="3192" ht="27" customHeight="1">
      <x:c r="A3192" s="66" t="str">
        <x:v>SEV580</x:v>
      </x:c>
      <x:c r="B3192" s="66" t="str">
        <x:v>祁腾蜂赢1号</x:v>
      </x:c>
      <x:c r="C3192" s="72" t="n">
        <x:v>45695</x:v>
      </x:c>
      <x:c r="D3192" s="73" t="n">
        <x:v>1.0093</x:v>
      </x:c>
      <x:c r="E3192" s="73" t="n">
        <x:v>1.7854</x:v>
      </x:c>
      <x:c r="F3192" s="73" t="n">
        <x:v>2.117</x:v>
      </x:c>
      <x:c r="G3192" s="74" t="n">
        <x:v>0.0004</x:v>
      </x:c>
      <x:c r="H3192" s="66" t="str">
        <x:v>祁腾蜂赢1号净值20260911.xlsx</x:v>
      </x:c>
      <x:c r="I3192" s="73" t="str">
        <x:f>""</x:f>
      </x:c>
      <x:c r="J3192" s="74" t="str">
        <x:f>""</x:f>
      </x:c>
      <x:c r="K3192" s="73" t="n">
        <x:f>MAX(K3191,F3192)</x:f>
        <x:v>2.117</x:v>
      </x:c>
      <x:c r="L3192" s="74" t="n">
        <x:f>1-F3192/K3192</x:f>
        <x:v>0</x:v>
      </x:c>
      <x:c r="M3192" s="73" t="n">
        <x:f>MAX(M3191,F3192)</x:f>
        <x:v>2.117</x:v>
      </x:c>
      <x:c r="N3192" s="74" t="n">
        <x:f>1-F3192/M3192</x:f>
        <x:v>0</x:v>
      </x:c>
    </x:row>
    <x:row r="3193" ht="27" customHeight="1">
      <x:c r="A3193" s="66" t="str">
        <x:v>SEV580</x:v>
      </x:c>
      <x:c r="B3193" s="66" t="str">
        <x:v>祁腾蜂赢1号</x:v>
      </x:c>
      <x:c r="C3193" s="72" t="n">
        <x:v>45698</x:v>
      </x:c>
      <x:c r="D3193" s="73" t="n">
        <x:v>1.0087</x:v>
      </x:c>
      <x:c r="E3193" s="73" t="n">
        <x:v>1.7848</x:v>
      </x:c>
      <x:c r="F3193" s="73" t="n">
        <x:v>2.1158</x:v>
      </x:c>
      <x:c r="G3193" s="74" t="n">
        <x:v>-0.0006</x:v>
      </x:c>
      <x:c r="H3193" s="66" t="str">
        <x:v>祁腾蜂赢1号净值20260911.xlsx</x:v>
      </x:c>
      <x:c r="I3193" s="73" t="str">
        <x:f>""</x:f>
      </x:c>
      <x:c r="J3193" s="74" t="str">
        <x:f>""</x:f>
      </x:c>
      <x:c r="K3193" s="73" t="n">
        <x:f>MAX(K3192,F3193)</x:f>
        <x:v>2.117</x:v>
      </x:c>
      <x:c r="L3193" s="74" t="n">
        <x:f>1-F3193/K3193</x:f>
        <x:v>0.0005668398677373121</x:v>
      </x:c>
      <x:c r="M3193" s="73" t="n">
        <x:f>MAX(M3192,F3193)</x:f>
        <x:v>2.117</x:v>
      </x:c>
      <x:c r="N3193" s="74" t="n">
        <x:f>1-F3193/M3193</x:f>
        <x:v>0.0005668398677373121</x:v>
      </x:c>
    </x:row>
    <x:row r="3194" ht="27" customHeight="1">
      <x:c r="A3194" s="66" t="str">
        <x:v>SEV580</x:v>
      </x:c>
      <x:c r="B3194" s="66" t="str">
        <x:v>祁腾蜂赢1号</x:v>
      </x:c>
      <x:c r="C3194" s="72" t="n">
        <x:v>45699</x:v>
      </x:c>
      <x:c r="D3194" s="73" t="n">
        <x:v>1.0096</x:v>
      </x:c>
      <x:c r="E3194" s="73" t="n">
        <x:v>1.7857</x:v>
      </x:c>
      <x:c r="F3194" s="73" t="n">
        <x:v>2.1176</x:v>
      </x:c>
      <x:c r="G3194" s="74" t="n">
        <x:v>0.0009</x:v>
      </x:c>
      <x:c r="H3194" s="66" t="str">
        <x:v>祁腾蜂赢1号净值20260911.xlsx</x:v>
      </x:c>
      <x:c r="I3194" s="73" t="str">
        <x:f>""</x:f>
      </x:c>
      <x:c r="J3194" s="74" t="str">
        <x:f>""</x:f>
      </x:c>
      <x:c r="K3194" s="73" t="n">
        <x:f>MAX(K3193,F3194)</x:f>
        <x:v>2.1176</x:v>
      </x:c>
      <x:c r="L3194" s="74" t="n">
        <x:f>1-F3194/K3194</x:f>
        <x:v>0</x:v>
      </x:c>
      <x:c r="M3194" s="73" t="n">
        <x:f>MAX(M3193,F3194)</x:f>
        <x:v>2.1176</x:v>
      </x:c>
      <x:c r="N3194" s="74" t="n">
        <x:f>1-F3194/M3194</x:f>
        <x:v>0</x:v>
      </x:c>
    </x:row>
    <x:row r="3195" ht="27" customHeight="1">
      <x:c r="A3195" s="66" t="str">
        <x:v>SEV580</x:v>
      </x:c>
      <x:c r="B3195" s="66" t="str">
        <x:v>祁腾蜂赢1号</x:v>
      </x:c>
      <x:c r="C3195" s="72" t="n">
        <x:v>45700</x:v>
      </x:c>
      <x:c r="D3195" s="73" t="n">
        <x:v>1.0095</x:v>
      </x:c>
      <x:c r="E3195" s="73" t="n">
        <x:v>1.7856</x:v>
      </x:c>
      <x:c r="F3195" s="73" t="n">
        <x:v>2.1174</x:v>
      </x:c>
      <x:c r="G3195" s="74" t="n">
        <x:v>-0.0001</x:v>
      </x:c>
      <x:c r="H3195" s="66" t="str">
        <x:v>祁腾蜂赢1号净值20260911.xlsx</x:v>
      </x:c>
      <x:c r="I3195" s="73" t="str">
        <x:f>""</x:f>
      </x:c>
      <x:c r="J3195" s="74" t="str">
        <x:f>""</x:f>
      </x:c>
      <x:c r="K3195" s="73" t="n">
        <x:f>MAX(K3194,F3195)</x:f>
        <x:v>2.1176</x:v>
      </x:c>
      <x:c r="L3195" s="74" t="n">
        <x:f>1-F3195/K3195</x:f>
        <x:v>0.00009444654325652113</x:v>
      </x:c>
      <x:c r="M3195" s="73" t="n">
        <x:f>MAX(M3194,F3195)</x:f>
        <x:v>2.1176</x:v>
      </x:c>
      <x:c r="N3195" s="74" t="n">
        <x:f>1-F3195/M3195</x:f>
        <x:v>0.00009444654325652113</x:v>
      </x:c>
    </x:row>
    <x:row r="3196" ht="27" customHeight="1">
      <x:c r="A3196" s="66" t="str">
        <x:v>SEV580</x:v>
      </x:c>
      <x:c r="B3196" s="66" t="str">
        <x:v>祁腾蜂赢1号</x:v>
      </x:c>
      <x:c r="C3196" s="72" t="n">
        <x:v>45701</x:v>
      </x:c>
      <x:c r="D3196" s="73" t="n">
        <x:v>1.0096</x:v>
      </x:c>
      <x:c r="E3196" s="73" t="n">
        <x:v>1.7857</x:v>
      </x:c>
      <x:c r="F3196" s="73" t="n">
        <x:v>2.1176</x:v>
      </x:c>
      <x:c r="G3196" s="74" t="n">
        <x:v>0.0001</x:v>
      </x:c>
      <x:c r="H3196" s="66" t="str">
        <x:v>祁腾蜂赢1号净值20260911.xlsx</x:v>
      </x:c>
      <x:c r="I3196" s="73" t="str">
        <x:f>""</x:f>
      </x:c>
      <x:c r="J3196" s="74" t="str">
        <x:f>""</x:f>
      </x:c>
      <x:c r="K3196" s="73" t="n">
        <x:f>MAX(K3195,F3196)</x:f>
        <x:v>2.1176</x:v>
      </x:c>
      <x:c r="L3196" s="74" t="n">
        <x:f>1-F3196/K3196</x:f>
        <x:v>0</x:v>
      </x:c>
      <x:c r="M3196" s="73" t="n">
        <x:f>MAX(M3195,F3196)</x:f>
        <x:v>2.1176</x:v>
      </x:c>
      <x:c r="N3196" s="74" t="n">
        <x:f>1-F3196/M3196</x:f>
        <x:v>0</x:v>
      </x:c>
    </x:row>
    <x:row r="3197" ht="27" customHeight="1">
      <x:c r="A3197" s="66" t="str">
        <x:v>SEV580</x:v>
      </x:c>
      <x:c r="B3197" s="66" t="str">
        <x:v>祁腾蜂赢1号</x:v>
      </x:c>
      <x:c r="C3197" s="72" t="n">
        <x:v>45702</x:v>
      </x:c>
      <x:c r="D3197" s="73" t="n">
        <x:v>1.0094</x:v>
      </x:c>
      <x:c r="E3197" s="73" t="n">
        <x:v>1.7855</x:v>
      </x:c>
      <x:c r="F3197" s="73" t="n">
        <x:v>2.1172</x:v>
      </x:c>
      <x:c r="G3197" s="74" t="n">
        <x:v>-0.0002</x:v>
      </x:c>
      <x:c r="H3197" s="66" t="str">
        <x:v>祁腾蜂赢1号净值20260911.xlsx</x:v>
      </x:c>
      <x:c r="I3197" s="73" t="str">
        <x:f>""</x:f>
      </x:c>
      <x:c r="J3197" s="74" t="str">
        <x:f>""</x:f>
      </x:c>
      <x:c r="K3197" s="73" t="n">
        <x:f>MAX(K3196,F3197)</x:f>
        <x:v>2.1176</x:v>
      </x:c>
      <x:c r="L3197" s="74" t="n">
        <x:f>1-F3197/K3197</x:f>
        <x:v>0.00018889308651304226</x:v>
      </x:c>
      <x:c r="M3197" s="73" t="n">
        <x:f>MAX(M3196,F3197)</x:f>
        <x:v>2.1176</x:v>
      </x:c>
      <x:c r="N3197" s="74" t="n">
        <x:f>1-F3197/M3197</x:f>
        <x:v>0.00018889308651304226</x:v>
      </x:c>
    </x:row>
    <x:row r="3198" ht="27" customHeight="1">
      <x:c r="A3198" s="66" t="str">
        <x:v>SEV580</x:v>
      </x:c>
      <x:c r="B3198" s="66" t="str">
        <x:v>祁腾蜂赢1号</x:v>
      </x:c>
      <x:c r="C3198" s="72" t="n">
        <x:v>45705</x:v>
      </x:c>
      <x:c r="D3198" s="73" t="n">
        <x:v>1.0094</x:v>
      </x:c>
      <x:c r="E3198" s="73" t="n">
        <x:v>1.7855</x:v>
      </x:c>
      <x:c r="F3198" s="73" t="n">
        <x:v>2.1172</x:v>
      </x:c>
      <x:c r="G3198" s="74" t="n">
        <x:v>0</x:v>
      </x:c>
      <x:c r="H3198" s="66" t="str">
        <x:v>祁腾蜂赢1号净值20260911.xlsx</x:v>
      </x:c>
      <x:c r="I3198" s="73" t="str">
        <x:f>""</x:f>
      </x:c>
      <x:c r="J3198" s="74" t="str">
        <x:f>""</x:f>
      </x:c>
      <x:c r="K3198" s="73" t="n">
        <x:f>MAX(K3197,F3198)</x:f>
        <x:v>2.1176</x:v>
      </x:c>
      <x:c r="L3198" s="74" t="n">
        <x:f>1-F3198/K3198</x:f>
        <x:v>0.00018889308651304226</x:v>
      </x:c>
      <x:c r="M3198" s="73" t="n">
        <x:f>MAX(M3197,F3198)</x:f>
        <x:v>2.1176</x:v>
      </x:c>
      <x:c r="N3198" s="74" t="n">
        <x:f>1-F3198/M3198</x:f>
        <x:v>0.00018889308651304226</x:v>
      </x:c>
    </x:row>
    <x:row r="3199" ht="27" customHeight="1">
      <x:c r="A3199" s="66" t="str">
        <x:v>SEV580</x:v>
      </x:c>
      <x:c r="B3199" s="66" t="str">
        <x:v>祁腾蜂赢1号</x:v>
      </x:c>
      <x:c r="C3199" s="72" t="n">
        <x:v>45706</x:v>
      </x:c>
      <x:c r="D3199" s="73" t="n">
        <x:v>1.0099</x:v>
      </x:c>
      <x:c r="E3199" s="73" t="n">
        <x:v>1.786</x:v>
      </x:c>
      <x:c r="F3199" s="73" t="n">
        <x:v>2.1183</x:v>
      </x:c>
      <x:c r="G3199" s="74" t="n">
        <x:v>0.0005</x:v>
      </x:c>
      <x:c r="H3199" s="66" t="str">
        <x:v>祁腾蜂赢1号净值20260911.xlsx</x:v>
      </x:c>
      <x:c r="I3199" s="73" t="str">
        <x:f>""</x:f>
      </x:c>
      <x:c r="J3199" s="74" t="str">
        <x:f>""</x:f>
      </x:c>
      <x:c r="K3199" s="73" t="n">
        <x:f>MAX(K3198,F3199)</x:f>
        <x:v>2.1183</x:v>
      </x:c>
      <x:c r="L3199" s="74" t="n">
        <x:f>1-F3199/K3199</x:f>
        <x:v>0</x:v>
      </x:c>
      <x:c r="M3199" s="73" t="n">
        <x:f>MAX(M3198,F3199)</x:f>
        <x:v>2.1183</x:v>
      </x:c>
      <x:c r="N3199" s="74" t="n">
        <x:f>1-F3199/M3199</x:f>
        <x:v>0</x:v>
      </x:c>
    </x:row>
    <x:row r="3200" ht="27" customHeight="1">
      <x:c r="A3200" s="66" t="str">
        <x:v>SEV580</x:v>
      </x:c>
      <x:c r="B3200" s="66" t="str">
        <x:v>祁腾蜂赢1号</x:v>
      </x:c>
      <x:c r="C3200" s="72" t="n">
        <x:v>45707</x:v>
      </x:c>
      <x:c r="D3200" s="73" t="n">
        <x:v>1.0101</x:v>
      </x:c>
      <x:c r="E3200" s="73" t="n">
        <x:v>1.7862</x:v>
      </x:c>
      <x:c r="F3200" s="73" t="n">
        <x:v>2.1187</x:v>
      </x:c>
      <x:c r="G3200" s="74" t="n">
        <x:v>0.0002</x:v>
      </x:c>
      <x:c r="H3200" s="66" t="str">
        <x:v>祁腾蜂赢1号净值20260911.xlsx</x:v>
      </x:c>
      <x:c r="I3200" s="73" t="str">
        <x:f>""</x:f>
      </x:c>
      <x:c r="J3200" s="74" t="str">
        <x:f>""</x:f>
      </x:c>
      <x:c r="K3200" s="73" t="n">
        <x:f>MAX(K3199,F3200)</x:f>
        <x:v>2.1187</x:v>
      </x:c>
      <x:c r="L3200" s="74" t="n">
        <x:f>1-F3200/K3200</x:f>
        <x:v>0</x:v>
      </x:c>
      <x:c r="M3200" s="73" t="n">
        <x:f>MAX(M3199,F3200)</x:f>
        <x:v>2.1187</x:v>
      </x:c>
      <x:c r="N3200" s="74" t="n">
        <x:f>1-F3200/M3200</x:f>
        <x:v>0</x:v>
      </x:c>
    </x:row>
    <x:row r="3201" ht="27" customHeight="1">
      <x:c r="A3201" s="66" t="str">
        <x:v>SEV580</x:v>
      </x:c>
      <x:c r="B3201" s="66" t="str">
        <x:v>祁腾蜂赢1号</x:v>
      </x:c>
      <x:c r="C3201" s="72" t="n">
        <x:v>45708</x:v>
      </x:c>
      <x:c r="D3201" s="73" t="n">
        <x:v>1.0104</x:v>
      </x:c>
      <x:c r="E3201" s="73" t="n">
        <x:v>1.7865</x:v>
      </x:c>
      <x:c r="F3201" s="73" t="n">
        <x:v>2.1193</x:v>
      </x:c>
      <x:c r="G3201" s="74" t="n">
        <x:v>0.0003</x:v>
      </x:c>
      <x:c r="H3201" s="66" t="str">
        <x:v>祁腾蜂赢1号净值20260911.xlsx</x:v>
      </x:c>
      <x:c r="I3201" s="73" t="str">
        <x:f>""</x:f>
      </x:c>
      <x:c r="J3201" s="74" t="str">
        <x:f>""</x:f>
      </x:c>
      <x:c r="K3201" s="73" t="n">
        <x:f>MAX(K3200,F3201)</x:f>
        <x:v>2.1193</x:v>
      </x:c>
      <x:c r="L3201" s="74" t="n">
        <x:f>1-F3201/K3201</x:f>
        <x:v>0</x:v>
      </x:c>
      <x:c r="M3201" s="73" t="n">
        <x:f>MAX(M3200,F3201)</x:f>
        <x:v>2.1193</x:v>
      </x:c>
      <x:c r="N3201" s="74" t="n">
        <x:f>1-F3201/M3201</x:f>
        <x:v>0</x:v>
      </x:c>
    </x:row>
    <x:row r="3202" ht="27" customHeight="1">
      <x:c r="A3202" s="66" t="str">
        <x:v>SEV580</x:v>
      </x:c>
      <x:c r="B3202" s="66" t="str">
        <x:v>祁腾蜂赢1号</x:v>
      </x:c>
      <x:c r="C3202" s="72" t="n">
        <x:v>45709</x:v>
      </x:c>
      <x:c r="D3202" s="73" t="n">
        <x:v>1.011</x:v>
      </x:c>
      <x:c r="E3202" s="73" t="n">
        <x:v>1.7871</x:v>
      </x:c>
      <x:c r="F3202" s="73" t="n">
        <x:v>2.1206</x:v>
      </x:c>
      <x:c r="G3202" s="74" t="n">
        <x:v>0.0006</x:v>
      </x:c>
      <x:c r="H3202" s="66" t="str">
        <x:v>祁腾蜂赢1号净值20260911.xlsx</x:v>
      </x:c>
      <x:c r="I3202" s="73" t="str">
        <x:f>""</x:f>
      </x:c>
      <x:c r="J3202" s="74" t="str">
        <x:f>""</x:f>
      </x:c>
      <x:c r="K3202" s="73" t="n">
        <x:f>MAX(K3201,F3202)</x:f>
        <x:v>2.1206</x:v>
      </x:c>
      <x:c r="L3202" s="74" t="n">
        <x:f>1-F3202/K3202</x:f>
        <x:v>0</x:v>
      </x:c>
      <x:c r="M3202" s="73" t="n">
        <x:f>MAX(M3201,F3202)</x:f>
        <x:v>2.1206</x:v>
      </x:c>
      <x:c r="N3202" s="74" t="n">
        <x:f>1-F3202/M3202</x:f>
        <x:v>0</x:v>
      </x:c>
    </x:row>
    <x:row r="3203" ht="27" customHeight="1">
      <x:c r="A3203" s="66" t="str">
        <x:v>SEV580</x:v>
      </x:c>
      <x:c r="B3203" s="66" t="str">
        <x:v>祁腾蜂赢1号</x:v>
      </x:c>
      <x:c r="C3203" s="72" t="n">
        <x:v>45712</x:v>
      </x:c>
      <x:c r="D3203" s="73" t="n">
        <x:v>1.0107</x:v>
      </x:c>
      <x:c r="E3203" s="73" t="n">
        <x:v>1.7868</x:v>
      </x:c>
      <x:c r="F3203" s="73" t="n">
        <x:v>2.12</x:v>
      </x:c>
      <x:c r="G3203" s="74" t="n">
        <x:v>-0.0003</x:v>
      </x:c>
      <x:c r="H3203" s="66" t="str">
        <x:v>祁腾蜂赢1号净值20260911.xlsx</x:v>
      </x:c>
      <x:c r="I3203" s="73" t="str">
        <x:f>""</x:f>
      </x:c>
      <x:c r="J3203" s="74" t="str">
        <x:f>""</x:f>
      </x:c>
      <x:c r="K3203" s="73" t="n">
        <x:f>MAX(K3202,F3203)</x:f>
        <x:v>2.1206</x:v>
      </x:c>
      <x:c r="L3203" s="74" t="n">
        <x:f>1-F3203/K3203</x:f>
        <x:v>0.00028293879090823815</x:v>
      </x:c>
      <x:c r="M3203" s="73" t="n">
        <x:f>MAX(M3202,F3203)</x:f>
        <x:v>2.1206</x:v>
      </x:c>
      <x:c r="N3203" s="74" t="n">
        <x:f>1-F3203/M3203</x:f>
        <x:v>0.00028293879090823815</x:v>
      </x:c>
    </x:row>
    <x:row r="3204" ht="27" customHeight="1">
      <x:c r="A3204" s="66" t="str">
        <x:v>SEV580</x:v>
      </x:c>
      <x:c r="B3204" s="66" t="str">
        <x:v>祁腾蜂赢1号</x:v>
      </x:c>
      <x:c r="C3204" s="72" t="n">
        <x:v>45713</x:v>
      </x:c>
      <x:c r="D3204" s="73" t="n">
        <x:v>1.0108</x:v>
      </x:c>
      <x:c r="E3204" s="73" t="n">
        <x:v>1.7869</x:v>
      </x:c>
      <x:c r="F3204" s="73" t="n">
        <x:v>2.1202</x:v>
      </x:c>
      <x:c r="G3204" s="74" t="n">
        <x:v>0.0001</x:v>
      </x:c>
      <x:c r="H3204" s="66" t="str">
        <x:v>祁腾蜂赢1号净值20260911.xlsx</x:v>
      </x:c>
      <x:c r="I3204" s="73" t="str">
        <x:f>""</x:f>
      </x:c>
      <x:c r="J3204" s="74" t="str">
        <x:f>""</x:f>
      </x:c>
      <x:c r="K3204" s="73" t="n">
        <x:f>MAX(K3203,F3204)</x:f>
        <x:v>2.1206</x:v>
      </x:c>
      <x:c r="L3204" s="74" t="n">
        <x:f>1-F3204/K3204</x:f>
        <x:v>0.00018862586060541808</x:v>
      </x:c>
      <x:c r="M3204" s="73" t="n">
        <x:f>MAX(M3203,F3204)</x:f>
        <x:v>2.1206</x:v>
      </x:c>
      <x:c r="N3204" s="74" t="n">
        <x:f>1-F3204/M3204</x:f>
        <x:v>0.00018862586060541808</x:v>
      </x:c>
    </x:row>
    <x:row r="3205" ht="27" customHeight="1">
      <x:c r="A3205" s="66" t="str">
        <x:v>SEV580</x:v>
      </x:c>
      <x:c r="B3205" s="66" t="str">
        <x:v>祁腾蜂赢1号</x:v>
      </x:c>
      <x:c r="C3205" s="72" t="n">
        <x:v>45714</x:v>
      </x:c>
      <x:c r="D3205" s="73" t="n">
        <x:v>1.0117</x:v>
      </x:c>
      <x:c r="E3205" s="73" t="n">
        <x:v>1.7878</x:v>
      </x:c>
      <x:c r="F3205" s="73" t="n">
        <x:v>2.1221</x:v>
      </x:c>
      <x:c r="G3205" s="74" t="n">
        <x:v>0.0009</x:v>
      </x:c>
      <x:c r="H3205" s="66" t="str">
        <x:v>祁腾蜂赢1号净值20260911.xlsx</x:v>
      </x:c>
      <x:c r="I3205" s="73" t="str">
        <x:f>""</x:f>
      </x:c>
      <x:c r="J3205" s="74" t="str">
        <x:f>""</x:f>
      </x:c>
      <x:c r="K3205" s="73" t="n">
        <x:f>MAX(K3204,F3205)</x:f>
        <x:v>2.1221</x:v>
      </x:c>
      <x:c r="L3205" s="74" t="n">
        <x:f>1-F3205/K3205</x:f>
        <x:v>0</x:v>
      </x:c>
      <x:c r="M3205" s="73" t="n">
        <x:f>MAX(M3204,F3205)</x:f>
        <x:v>2.1221</x:v>
      </x:c>
      <x:c r="N3205" s="74" t="n">
        <x:f>1-F3205/M3205</x:f>
        <x:v>0</x:v>
      </x:c>
    </x:row>
    <x:row r="3206" ht="27" customHeight="1">
      <x:c r="A3206" s="66" t="str">
        <x:v>SEV580</x:v>
      </x:c>
      <x:c r="B3206" s="66" t="str">
        <x:v>祁腾蜂赢1号</x:v>
      </x:c>
      <x:c r="C3206" s="72" t="n">
        <x:v>45715</x:v>
      </x:c>
      <x:c r="D3206" s="73" t="n">
        <x:v>1.0105</x:v>
      </x:c>
      <x:c r="E3206" s="73" t="n">
        <x:v>1.7866</x:v>
      </x:c>
      <x:c r="F3206" s="73" t="n">
        <x:v>2.1195</x:v>
      </x:c>
      <x:c r="G3206" s="74" t="n">
        <x:v>-0.0012</x:v>
      </x:c>
      <x:c r="H3206" s="66" t="str">
        <x:v>祁腾蜂赢1号净值20260911.xlsx</x:v>
      </x:c>
      <x:c r="I3206" s="73" t="str">
        <x:f>""</x:f>
      </x:c>
      <x:c r="J3206" s="74" t="str">
        <x:f>""</x:f>
      </x:c>
      <x:c r="K3206" s="73" t="n">
        <x:f>MAX(K3205,F3206)</x:f>
        <x:v>2.1221</x:v>
      </x:c>
      <x:c r="L3206" s="74" t="n">
        <x:f>1-F3206/K3206</x:f>
        <x:v>0.001225201451392599</x:v>
      </x:c>
      <x:c r="M3206" s="73" t="n">
        <x:f>MAX(M3205,F3206)</x:f>
        <x:v>2.1221</x:v>
      </x:c>
      <x:c r="N3206" s="74" t="n">
        <x:f>1-F3206/M3206</x:f>
        <x:v>0.001225201451392599</x:v>
      </x:c>
    </x:row>
    <x:row r="3207" ht="27" customHeight="1">
      <x:c r="A3207" s="66" t="str">
        <x:v>SEV580</x:v>
      </x:c>
      <x:c r="B3207" s="66" t="str">
        <x:v>祁腾蜂赢1号</x:v>
      </x:c>
      <x:c r="C3207" s="72" t="n">
        <x:v>45716</x:v>
      </x:c>
      <x:c r="D3207" s="73" t="n">
        <x:v>1.0107</x:v>
      </x:c>
      <x:c r="E3207" s="73" t="n">
        <x:v>1.7868</x:v>
      </x:c>
      <x:c r="F3207" s="73" t="n">
        <x:v>2.12</x:v>
      </x:c>
      <x:c r="G3207" s="74" t="n">
        <x:v>0.0002</x:v>
      </x:c>
      <x:c r="H3207" s="66" t="str">
        <x:v>祁腾蜂赢1号净值20260911.xlsx</x:v>
      </x:c>
      <x:c r="I3207" s="73" t="str">
        <x:f>""</x:f>
      </x:c>
      <x:c r="J3207" s="74" t="str">
        <x:f>""</x:f>
      </x:c>
      <x:c r="K3207" s="73" t="n">
        <x:f>MAX(K3206,F3207)</x:f>
        <x:v>2.1221</x:v>
      </x:c>
      <x:c r="L3207" s="74" t="n">
        <x:f>1-F3207/K3207</x:f>
        <x:v>0.000989585787663172</x:v>
      </x:c>
      <x:c r="M3207" s="73" t="n">
        <x:f>MAX(M3206,F3207)</x:f>
        <x:v>2.1221</x:v>
      </x:c>
      <x:c r="N3207" s="74" t="n">
        <x:f>1-F3207/M3207</x:f>
        <x:v>0.000989585787663172</x:v>
      </x:c>
    </x:row>
    <x:row r="3208" ht="27" customHeight="1">
      <x:c r="A3208" s="66" t="str">
        <x:v>SEV580</x:v>
      </x:c>
      <x:c r="B3208" s="66" t="str">
        <x:v>祁腾蜂赢1号</x:v>
      </x:c>
      <x:c r="C3208" s="72" t="n">
        <x:v>45719</x:v>
      </x:c>
      <x:c r="D3208" s="73" t="n">
        <x:v>1.0112</x:v>
      </x:c>
      <x:c r="E3208" s="73" t="n">
        <x:v>1.7873</x:v>
      </x:c>
      <x:c r="F3208" s="73" t="n">
        <x:v>2.121</x:v>
      </x:c>
      <x:c r="G3208" s="74" t="n">
        <x:v>0.0005</x:v>
      </x:c>
      <x:c r="H3208" s="66" t="str">
        <x:v>祁腾蜂赢1号净值20260911.xlsx</x:v>
      </x:c>
      <x:c r="I3208" s="73" t="str">
        <x:f>""</x:f>
      </x:c>
      <x:c r="J3208" s="74" t="str">
        <x:f>""</x:f>
      </x:c>
      <x:c r="K3208" s="73" t="n">
        <x:f>MAX(K3207,F3208)</x:f>
        <x:v>2.1221</x:v>
      </x:c>
      <x:c r="L3208" s="74" t="n">
        <x:f>1-F3208/K3208</x:f>
        <x:v>0.0005183544602045398</x:v>
      </x:c>
      <x:c r="M3208" s="73" t="n">
        <x:f>MAX(M3207,F3208)</x:f>
        <x:v>2.1221</x:v>
      </x:c>
      <x:c r="N3208" s="74" t="n">
        <x:f>1-F3208/M3208</x:f>
        <x:v>0.0005183544602045398</x:v>
      </x:c>
    </x:row>
    <x:row r="3209" ht="27" customHeight="1">
      <x:c r="A3209" s="66" t="str">
        <x:v>SEV580</x:v>
      </x:c>
      <x:c r="B3209" s="66" t="str">
        <x:v>祁腾蜂赢1号</x:v>
      </x:c>
      <x:c r="C3209" s="72" t="n">
        <x:v>45720</x:v>
      </x:c>
      <x:c r="D3209" s="73" t="n">
        <x:v>1.0113</x:v>
      </x:c>
      <x:c r="E3209" s="73" t="n">
        <x:v>1.7874</x:v>
      </x:c>
      <x:c r="F3209" s="73" t="n">
        <x:v>2.1212</x:v>
      </x:c>
      <x:c r="G3209" s="74" t="n">
        <x:v>0.0001</x:v>
      </x:c>
      <x:c r="H3209" s="66" t="str">
        <x:v>祁腾蜂赢1号净值20260911.xlsx</x:v>
      </x:c>
      <x:c r="I3209" s="73" t="str">
        <x:f>""</x:f>
      </x:c>
      <x:c r="J3209" s="74" t="str">
        <x:f>""</x:f>
      </x:c>
      <x:c r="K3209" s="73" t="n">
        <x:f>MAX(K3208,F3209)</x:f>
        <x:v>2.1221</x:v>
      </x:c>
      <x:c r="L3209" s="74" t="n">
        <x:f>1-F3209/K3209</x:f>
        <x:v>0.00042410819471283556</x:v>
      </x:c>
      <x:c r="M3209" s="73" t="n">
        <x:f>MAX(M3208,F3209)</x:f>
        <x:v>2.1221</x:v>
      </x:c>
      <x:c r="N3209" s="74" t="n">
        <x:f>1-F3209/M3209</x:f>
        <x:v>0.00042410819471283556</x:v>
      </x:c>
    </x:row>
    <x:row r="3210" ht="27" customHeight="1">
      <x:c r="A3210" s="66" t="str">
        <x:v>SEV580</x:v>
      </x:c>
      <x:c r="B3210" s="66" t="str">
        <x:v>祁腾蜂赢1号</x:v>
      </x:c>
      <x:c r="C3210" s="72" t="n">
        <x:v>45721</x:v>
      </x:c>
      <x:c r="D3210" s="73" t="n">
        <x:v>1.0114</x:v>
      </x:c>
      <x:c r="E3210" s="73" t="n">
        <x:v>1.7875</x:v>
      </x:c>
      <x:c r="F3210" s="73" t="n">
        <x:v>2.1214</x:v>
      </x:c>
      <x:c r="G3210" s="74" t="n">
        <x:v>0.0001</x:v>
      </x:c>
      <x:c r="H3210" s="66" t="str">
        <x:v>祁腾蜂赢1号净值20260911.xlsx</x:v>
      </x:c>
      <x:c r="I3210" s="73" t="str">
        <x:f>""</x:f>
      </x:c>
      <x:c r="J3210" s="74" t="str">
        <x:f>""</x:f>
      </x:c>
      <x:c r="K3210" s="73" t="n">
        <x:f>MAX(K3209,F3210)</x:f>
        <x:v>2.1221</x:v>
      </x:c>
      <x:c r="L3210" s="74" t="n">
        <x:f>1-F3210/K3210</x:f>
        <x:v>0.00032986192922113133</x:v>
      </x:c>
      <x:c r="M3210" s="73" t="n">
        <x:f>MAX(M3209,F3210)</x:f>
        <x:v>2.1221</x:v>
      </x:c>
      <x:c r="N3210" s="74" t="n">
        <x:f>1-F3210/M3210</x:f>
        <x:v>0.00032986192922113133</x:v>
      </x:c>
    </x:row>
    <x:row r="3211" ht="27" customHeight="1">
      <x:c r="A3211" s="66" t="str">
        <x:v>SEV580</x:v>
      </x:c>
      <x:c r="B3211" s="66" t="str">
        <x:v>祁腾蜂赢1号</x:v>
      </x:c>
      <x:c r="C3211" s="72" t="n">
        <x:v>45722</x:v>
      </x:c>
      <x:c r="D3211" s="73" t="n">
        <x:v>1.0111</x:v>
      </x:c>
      <x:c r="E3211" s="73" t="n">
        <x:v>1.7872</x:v>
      </x:c>
      <x:c r="F3211" s="73" t="n">
        <x:v>2.1208</x:v>
      </x:c>
      <x:c r="G3211" s="74" t="n">
        <x:v>-0.0003</x:v>
      </x:c>
      <x:c r="H3211" s="66" t="str">
        <x:v>祁腾蜂赢1号净值20260911.xlsx</x:v>
      </x:c>
      <x:c r="I3211" s="73" t="str">
        <x:f>""</x:f>
      </x:c>
      <x:c r="J3211" s="74" t="str">
        <x:f>""</x:f>
      </x:c>
      <x:c r="K3211" s="73" t="n">
        <x:f>MAX(K3210,F3211)</x:f>
        <x:v>2.1221</x:v>
      </x:c>
      <x:c r="L3211" s="74" t="n">
        <x:f>1-F3211/K3211</x:f>
        <x:v>0.000612600725696244</x:v>
      </x:c>
      <x:c r="M3211" s="73" t="n">
        <x:f>MAX(M3210,F3211)</x:f>
        <x:v>2.1221</x:v>
      </x:c>
      <x:c r="N3211" s="74" t="n">
        <x:f>1-F3211/M3211</x:f>
        <x:v>0.000612600725696244</x:v>
      </x:c>
    </x:row>
    <x:row r="3212" ht="27" customHeight="1">
      <x:c r="A3212" s="66" t="str">
        <x:v>SEV580</x:v>
      </x:c>
      <x:c r="B3212" s="66" t="str">
        <x:v>祁腾蜂赢1号</x:v>
      </x:c>
      <x:c r="C3212" s="72" t="n">
        <x:v>45723</x:v>
      </x:c>
      <x:c r="D3212" s="73" t="n">
        <x:v>1.0111</x:v>
      </x:c>
      <x:c r="E3212" s="73" t="n">
        <x:v>1.7872</x:v>
      </x:c>
      <x:c r="F3212" s="73" t="n">
        <x:v>2.1208</x:v>
      </x:c>
      <x:c r="G3212" s="74" t="n">
        <x:v>0</x:v>
      </x:c>
      <x:c r="H3212" s="66" t="str">
        <x:v>祁腾蜂赢1号净值20260911.xlsx</x:v>
      </x:c>
      <x:c r="I3212" s="73" t="str">
        <x:f>""</x:f>
      </x:c>
      <x:c r="J3212" s="74" t="str">
        <x:f>""</x:f>
      </x:c>
      <x:c r="K3212" s="73" t="n">
        <x:f>MAX(K3211,F3212)</x:f>
        <x:v>2.1221</x:v>
      </x:c>
      <x:c r="L3212" s="74" t="n">
        <x:f>1-F3212/K3212</x:f>
        <x:v>0.000612600725696244</x:v>
      </x:c>
      <x:c r="M3212" s="73" t="n">
        <x:f>MAX(M3211,F3212)</x:f>
        <x:v>2.1221</x:v>
      </x:c>
      <x:c r="N3212" s="74" t="n">
        <x:f>1-F3212/M3212</x:f>
        <x:v>0.000612600725696244</x:v>
      </x:c>
    </x:row>
    <x:row r="3213" ht="27" customHeight="1">
      <x:c r="A3213" s="66" t="str">
        <x:v>SEV580</x:v>
      </x:c>
      <x:c r="B3213" s="66" t="str">
        <x:v>祁腾蜂赢1号</x:v>
      </x:c>
      <x:c r="C3213" s="72" t="n">
        <x:v>45726</x:v>
      </x:c>
      <x:c r="D3213" s="73" t="n">
        <x:v>1.0106</x:v>
      </x:c>
      <x:c r="E3213" s="73" t="n">
        <x:v>1.7867</x:v>
      </x:c>
      <x:c r="F3213" s="73" t="n">
        <x:v>2.1197</x:v>
      </x:c>
      <x:c r="G3213" s="74" t="n">
        <x:v>-0.0005</x:v>
      </x:c>
      <x:c r="H3213" s="66" t="str">
        <x:v>祁腾蜂赢1号净值20260911.xlsx</x:v>
      </x:c>
      <x:c r="I3213" s="73" t="str">
        <x:f>""</x:f>
      </x:c>
      <x:c r="J3213" s="74" t="str">
        <x:f>""</x:f>
      </x:c>
      <x:c r="K3213" s="73" t="n">
        <x:f>MAX(K3212,F3213)</x:f>
        <x:v>2.1221</x:v>
      </x:c>
      <x:c r="L3213" s="74" t="n">
        <x:f>1-F3213/K3213</x:f>
        <x:v>0.0011309551859008948</x:v>
      </x:c>
      <x:c r="M3213" s="73" t="n">
        <x:f>MAX(M3212,F3213)</x:f>
        <x:v>2.1221</x:v>
      </x:c>
      <x:c r="N3213" s="74" t="n">
        <x:f>1-F3213/M3213</x:f>
        <x:v>0.0011309551859008948</x:v>
      </x:c>
    </x:row>
    <x:row r="3214" ht="27" customHeight="1">
      <x:c r="A3214" s="66" t="str">
        <x:v>SEV580</x:v>
      </x:c>
      <x:c r="B3214" s="66" t="str">
        <x:v>祁腾蜂赢1号</x:v>
      </x:c>
      <x:c r="C3214" s="72" t="n">
        <x:v>45727</x:v>
      </x:c>
      <x:c r="D3214" s="73" t="n">
        <x:v>1.0106</x:v>
      </x:c>
      <x:c r="E3214" s="73" t="n">
        <x:v>1.7867</x:v>
      </x:c>
      <x:c r="F3214" s="73" t="n">
        <x:v>2.1197</x:v>
      </x:c>
      <x:c r="G3214" s="74" t="n">
        <x:v>0</x:v>
      </x:c>
      <x:c r="H3214" s="66" t="str">
        <x:v>祁腾蜂赢1号净值20260911.xlsx</x:v>
      </x:c>
      <x:c r="I3214" s="73" t="str">
        <x:f>""</x:f>
      </x:c>
      <x:c r="J3214" s="74" t="str">
        <x:f>""</x:f>
      </x:c>
      <x:c r="K3214" s="73" t="n">
        <x:f>MAX(K3213,F3214)</x:f>
        <x:v>2.1221</x:v>
      </x:c>
      <x:c r="L3214" s="74" t="n">
        <x:f>1-F3214/K3214</x:f>
        <x:v>0.0011309551859008948</x:v>
      </x:c>
      <x:c r="M3214" s="73" t="n">
        <x:f>MAX(M3213,F3214)</x:f>
        <x:v>2.1221</x:v>
      </x:c>
      <x:c r="N3214" s="74" t="n">
        <x:f>1-F3214/M3214</x:f>
        <x:v>0.0011309551859008948</x:v>
      </x:c>
    </x:row>
    <x:row r="3215" ht="27" customHeight="1">
      <x:c r="A3215" s="66" t="str">
        <x:v>SEV580</x:v>
      </x:c>
      <x:c r="B3215" s="66" t="str">
        <x:v>祁腾蜂赢1号</x:v>
      </x:c>
      <x:c r="C3215" s="72" t="n">
        <x:v>45728</x:v>
      </x:c>
      <x:c r="D3215" s="73" t="n">
        <x:v>1.0104</x:v>
      </x:c>
      <x:c r="E3215" s="73" t="n">
        <x:v>1.7865</x:v>
      </x:c>
      <x:c r="F3215" s="73" t="n">
        <x:v>2.1193</x:v>
      </x:c>
      <x:c r="G3215" s="74" t="n">
        <x:v>-0.0002</x:v>
      </x:c>
      <x:c r="H3215" s="66" t="str">
        <x:v>祁腾蜂赢1号净值20260911.xlsx</x:v>
      </x:c>
      <x:c r="I3215" s="73" t="str">
        <x:f>""</x:f>
      </x:c>
      <x:c r="J3215" s="74" t="str">
        <x:f>""</x:f>
      </x:c>
      <x:c r="K3215" s="73" t="n">
        <x:f>MAX(K3214,F3215)</x:f>
        <x:v>2.1221</x:v>
      </x:c>
      <x:c r="L3215" s="74" t="n">
        <x:f>1-F3215/K3215</x:f>
        <x:v>0.0013194477168843033</x:v>
      </x:c>
      <x:c r="M3215" s="73" t="n">
        <x:f>MAX(M3214,F3215)</x:f>
        <x:v>2.1221</x:v>
      </x:c>
      <x:c r="N3215" s="74" t="n">
        <x:f>1-F3215/M3215</x:f>
        <x:v>0.0013194477168843033</x:v>
      </x:c>
    </x:row>
    <x:row r="3216" ht="27" customHeight="1">
      <x:c r="A3216" s="66" t="str">
        <x:v>SEV580</x:v>
      </x:c>
      <x:c r="B3216" s="66" t="str">
        <x:v>祁腾蜂赢1号</x:v>
      </x:c>
      <x:c r="C3216" s="72" t="n">
        <x:v>45729</x:v>
      </x:c>
      <x:c r="D3216" s="73" t="n">
        <x:v>1.0095</x:v>
      </x:c>
      <x:c r="E3216" s="73" t="n">
        <x:v>1.7856</x:v>
      </x:c>
      <x:c r="F3216" s="73" t="n">
        <x:v>2.1174</x:v>
      </x:c>
      <x:c r="G3216" s="74" t="n">
        <x:v>-0.0009</x:v>
      </x:c>
      <x:c r="H3216" s="66" t="str">
        <x:v>祁腾蜂赢1号净值20260911.xlsx</x:v>
      </x:c>
      <x:c r="I3216" s="73" t="str">
        <x:f>""</x:f>
      </x:c>
      <x:c r="J3216" s="74" t="str">
        <x:f>""</x:f>
      </x:c>
      <x:c r="K3216" s="73" t="n">
        <x:f>MAX(K3215,F3216)</x:f>
        <x:v>2.1221</x:v>
      </x:c>
      <x:c r="L3216" s="74" t="n">
        <x:f>1-F3216/K3216</x:f>
        <x:v>0.002214787239055771</x:v>
      </x:c>
      <x:c r="M3216" s="73" t="n">
        <x:f>MAX(M3215,F3216)</x:f>
        <x:v>2.1221</x:v>
      </x:c>
      <x:c r="N3216" s="74" t="n">
        <x:f>1-F3216/M3216</x:f>
        <x:v>0.002214787239055771</x:v>
      </x:c>
    </x:row>
    <x:row r="3217" ht="27" customHeight="1">
      <x:c r="A3217" s="66" t="str">
        <x:v>SEV580</x:v>
      </x:c>
      <x:c r="B3217" s="66" t="str">
        <x:v>祁腾蜂赢1号</x:v>
      </x:c>
      <x:c r="C3217" s="72" t="n">
        <x:v>45730</x:v>
      </x:c>
      <x:c r="D3217" s="73" t="n">
        <x:v>1.01</x:v>
      </x:c>
      <x:c r="E3217" s="73" t="n">
        <x:v>1.7861</x:v>
      </x:c>
      <x:c r="F3217" s="73" t="n">
        <x:v>2.1185</x:v>
      </x:c>
      <x:c r="G3217" s="74" t="n">
        <x:v>0.0005</x:v>
      </x:c>
      <x:c r="H3217" s="66" t="str">
        <x:v>祁腾蜂赢1号净值20260911.xlsx</x:v>
      </x:c>
      <x:c r="I3217" s="73" t="str">
        <x:f>""</x:f>
      </x:c>
      <x:c r="J3217" s="74" t="str">
        <x:f>""</x:f>
      </x:c>
      <x:c r="K3217" s="73" t="n">
        <x:f>MAX(K3216,F3217)</x:f>
        <x:v>2.1221</x:v>
      </x:c>
      <x:c r="L3217" s="74" t="n">
        <x:f>1-F3217/K3217</x:f>
        <x:v>0.0016964327788511202</x:v>
      </x:c>
      <x:c r="M3217" s="73" t="n">
        <x:f>MAX(M3216,F3217)</x:f>
        <x:v>2.1221</x:v>
      </x:c>
      <x:c r="N3217" s="74" t="n">
        <x:f>1-F3217/M3217</x:f>
        <x:v>0.0016964327788511202</x:v>
      </x:c>
    </x:row>
    <x:row r="3218" ht="27" customHeight="1">
      <x:c r="A3218" s="66" t="str">
        <x:v>SEV580</x:v>
      </x:c>
      <x:c r="B3218" s="66" t="str">
        <x:v>祁腾蜂赢1号</x:v>
      </x:c>
      <x:c r="C3218" s="72" t="n">
        <x:v>45733</x:v>
      </x:c>
      <x:c r="D3218" s="73" t="n">
        <x:v>1.0094</x:v>
      </x:c>
      <x:c r="E3218" s="73" t="n">
        <x:v>1.7855</x:v>
      </x:c>
      <x:c r="F3218" s="73" t="n">
        <x:v>2.1172</x:v>
      </x:c>
      <x:c r="G3218" s="74" t="n">
        <x:v>-0.0006</x:v>
      </x:c>
      <x:c r="H3218" s="66" t="str">
        <x:v>祁腾蜂赢1号净值20260911.xlsx</x:v>
      </x:c>
      <x:c r="I3218" s="73" t="str">
        <x:f>""</x:f>
      </x:c>
      <x:c r="J3218" s="74" t="str">
        <x:f>""</x:f>
      </x:c>
      <x:c r="K3218" s="73" t="n">
        <x:f>MAX(K3217,F3218)</x:f>
        <x:v>2.1221</x:v>
      </x:c>
      <x:c r="L3218" s="74" t="n">
        <x:f>1-F3218/K3218</x:f>
        <x:v>0.0023090335045474752</x:v>
      </x:c>
      <x:c r="M3218" s="73" t="n">
        <x:f>MAX(M3217,F3218)</x:f>
        <x:v>2.1221</x:v>
      </x:c>
      <x:c r="N3218" s="74" t="n">
        <x:f>1-F3218/M3218</x:f>
        <x:v>0.0023090335045474752</x:v>
      </x:c>
    </x:row>
    <x:row r="3219" ht="27" customHeight="1">
      <x:c r="A3219" s="66" t="str">
        <x:v>SEV580</x:v>
      </x:c>
      <x:c r="B3219" s="66" t="str">
        <x:v>祁腾蜂赢1号</x:v>
      </x:c>
      <x:c r="C3219" s="72" t="n">
        <x:v>45734</x:v>
      </x:c>
      <x:c r="D3219" s="73" t="n">
        <x:v>1.0095</x:v>
      </x:c>
      <x:c r="E3219" s="73" t="n">
        <x:v>1.7856</x:v>
      </x:c>
      <x:c r="F3219" s="73" t="n">
        <x:v>2.1174</x:v>
      </x:c>
      <x:c r="G3219" s="74" t="n">
        <x:v>0.0001</x:v>
      </x:c>
      <x:c r="H3219" s="66" t="str">
        <x:v>祁腾蜂赢1号净值20260911.xlsx</x:v>
      </x:c>
      <x:c r="I3219" s="73" t="str">
        <x:f>""</x:f>
      </x:c>
      <x:c r="J3219" s="74" t="str">
        <x:f>""</x:f>
      </x:c>
      <x:c r="K3219" s="73" t="n">
        <x:f>MAX(K3218,F3219)</x:f>
        <x:v>2.1221</x:v>
      </x:c>
      <x:c r="L3219" s="74" t="n">
        <x:f>1-F3219/K3219</x:f>
        <x:v>0.002214787239055771</x:v>
      </x:c>
      <x:c r="M3219" s="73" t="n">
        <x:f>MAX(M3218,F3219)</x:f>
        <x:v>2.1221</x:v>
      </x:c>
      <x:c r="N3219" s="74" t="n">
        <x:f>1-F3219/M3219</x:f>
        <x:v>0.002214787239055771</x:v>
      </x:c>
    </x:row>
    <x:row r="3220" ht="27" customHeight="1">
      <x:c r="A3220" s="66" t="str">
        <x:v>SEV580</x:v>
      </x:c>
      <x:c r="B3220" s="66" t="str">
        <x:v>祁腾蜂赢1号</x:v>
      </x:c>
      <x:c r="C3220" s="72" t="n">
        <x:v>45735</x:v>
      </x:c>
      <x:c r="D3220" s="73" t="n">
        <x:v>1.0098</x:v>
      </x:c>
      <x:c r="E3220" s="73" t="n">
        <x:v>1.7859</x:v>
      </x:c>
      <x:c r="F3220" s="73" t="n">
        <x:v>2.1181</x:v>
      </x:c>
      <x:c r="G3220" s="74" t="n">
        <x:v>0.0003</x:v>
      </x:c>
      <x:c r="H3220" s="66" t="str">
        <x:v>祁腾蜂赢1号净值20260911.xlsx</x:v>
      </x:c>
      <x:c r="I3220" s="73" t="str">
        <x:f>""</x:f>
      </x:c>
      <x:c r="J3220" s="74" t="str">
        <x:f>""</x:f>
      </x:c>
      <x:c r="K3220" s="73" t="n">
        <x:f>MAX(K3219,F3220)</x:f>
        <x:v>2.1221</x:v>
      </x:c>
      <x:c r="L3220" s="74" t="n">
        <x:f>1-F3220/K3220</x:f>
        <x:v>0.0018849253098346397</x:v>
      </x:c>
      <x:c r="M3220" s="73" t="n">
        <x:f>MAX(M3219,F3220)</x:f>
        <x:v>2.1221</x:v>
      </x:c>
      <x:c r="N3220" s="74" t="n">
        <x:f>1-F3220/M3220</x:f>
        <x:v>0.0018849253098346397</x:v>
      </x:c>
    </x:row>
    <x:row r="3221" ht="27" customHeight="1">
      <x:c r="A3221" s="66" t="str">
        <x:v>SEV580</x:v>
      </x:c>
      <x:c r="B3221" s="66" t="str">
        <x:v>祁腾蜂赢1号</x:v>
      </x:c>
      <x:c r="C3221" s="72" t="n">
        <x:v>45736</x:v>
      </x:c>
      <x:c r="D3221" s="73" t="n">
        <x:v>1.0097</x:v>
      </x:c>
      <x:c r="E3221" s="73" t="n">
        <x:v>1.7858</x:v>
      </x:c>
      <x:c r="F3221" s="73" t="n">
        <x:v>2.1179</x:v>
      </x:c>
      <x:c r="G3221" s="74" t="n">
        <x:v>-0.0001</x:v>
      </x:c>
      <x:c r="H3221" s="66" t="str">
        <x:v>祁腾蜂赢1号净值20260911.xlsx</x:v>
      </x:c>
      <x:c r="I3221" s="73" t="str">
        <x:f>""</x:f>
      </x:c>
      <x:c r="J3221" s="74" t="str">
        <x:f>""</x:f>
      </x:c>
      <x:c r="K3221" s="73" t="n">
        <x:f>MAX(K3220,F3221)</x:f>
        <x:v>2.1221</x:v>
      </x:c>
      <x:c r="L3221" s="74" t="n">
        <x:f>1-F3221/K3221</x:f>
        <x:v>0.001979171575326344</x:v>
      </x:c>
      <x:c r="M3221" s="73" t="n">
        <x:f>MAX(M3220,F3221)</x:f>
        <x:v>2.1221</x:v>
      </x:c>
      <x:c r="N3221" s="74" t="n">
        <x:f>1-F3221/M3221</x:f>
        <x:v>0.001979171575326344</x:v>
      </x:c>
    </x:row>
    <x:row r="3222" ht="27" customHeight="1">
      <x:c r="A3222" s="66" t="str">
        <x:v>SEV580</x:v>
      </x:c>
      <x:c r="B3222" s="66" t="str">
        <x:v>祁腾蜂赢1号</x:v>
      </x:c>
      <x:c r="C3222" s="72" t="n">
        <x:v>45737</x:v>
      </x:c>
      <x:c r="D3222" s="73" t="n">
        <x:v>1.0109</x:v>
      </x:c>
      <x:c r="E3222" s="73" t="n">
        <x:v>1.787</x:v>
      </x:c>
      <x:c r="F3222" s="73" t="n">
        <x:v>2.1204</x:v>
      </x:c>
      <x:c r="G3222" s="74" t="n">
        <x:v>0.0012</x:v>
      </x:c>
      <x:c r="H3222" s="66" t="str">
        <x:v>祁腾蜂赢1号净值20260911.xlsx</x:v>
      </x:c>
      <x:c r="I3222" s="73" t="str">
        <x:f>""</x:f>
      </x:c>
      <x:c r="J3222" s="74" t="str">
        <x:f>""</x:f>
      </x:c>
      <x:c r="K3222" s="73" t="n">
        <x:f>MAX(K3221,F3222)</x:f>
        <x:v>2.1221</x:v>
      </x:c>
      <x:c r="L3222" s="74" t="n">
        <x:f>1-F3222/K3222</x:f>
        <x:v>0.0008010932566797635</x:v>
      </x:c>
      <x:c r="M3222" s="73" t="n">
        <x:f>MAX(M3221,F3222)</x:f>
        <x:v>2.1221</x:v>
      </x:c>
      <x:c r="N3222" s="74" t="n">
        <x:f>1-F3222/M3222</x:f>
        <x:v>0.0008010932566797635</x:v>
      </x:c>
    </x:row>
    <x:row r="3223" ht="27" customHeight="1">
      <x:c r="A3223" s="66" t="str">
        <x:v>SEV580</x:v>
      </x:c>
      <x:c r="B3223" s="66" t="str">
        <x:v>祁腾蜂赢1号</x:v>
      </x:c>
      <x:c r="C3223" s="72" t="n">
        <x:v>45740</x:v>
      </x:c>
      <x:c r="D3223" s="73" t="n">
        <x:v>1.0109</x:v>
      </x:c>
      <x:c r="E3223" s="73" t="n">
        <x:v>1.787</x:v>
      </x:c>
      <x:c r="F3223" s="73" t="n">
        <x:v>2.1204</x:v>
      </x:c>
      <x:c r="G3223" s="74" t="n">
        <x:v>0</x:v>
      </x:c>
      <x:c r="H3223" s="66" t="str">
        <x:v>祁腾蜂赢1号净值20260911.xlsx</x:v>
      </x:c>
      <x:c r="I3223" s="73" t="str">
        <x:f>""</x:f>
      </x:c>
      <x:c r="J3223" s="74" t="str">
        <x:f>""</x:f>
      </x:c>
      <x:c r="K3223" s="73" t="n">
        <x:f>MAX(K3222,F3223)</x:f>
        <x:v>2.1221</x:v>
      </x:c>
      <x:c r="L3223" s="74" t="n">
        <x:f>1-F3223/K3223</x:f>
        <x:v>0.0008010932566797635</x:v>
      </x:c>
      <x:c r="M3223" s="73" t="n">
        <x:f>MAX(M3222,F3223)</x:f>
        <x:v>2.1221</x:v>
      </x:c>
      <x:c r="N3223" s="74" t="n">
        <x:f>1-F3223/M3223</x:f>
        <x:v>0.0008010932566797635</x:v>
      </x:c>
    </x:row>
    <x:row r="3224" ht="27" customHeight="1">
      <x:c r="A3224" s="66" t="str">
        <x:v>SEV580</x:v>
      </x:c>
      <x:c r="B3224" s="66" t="str">
        <x:v>祁腾蜂赢1号</x:v>
      </x:c>
      <x:c r="C3224" s="72" t="n">
        <x:v>45741</x:v>
      </x:c>
      <x:c r="D3224" s="73" t="n">
        <x:v>1.0108</x:v>
      </x:c>
      <x:c r="E3224" s="73" t="n">
        <x:v>1.7869</x:v>
      </x:c>
      <x:c r="F3224" s="73" t="n">
        <x:v>2.1202</x:v>
      </x:c>
      <x:c r="G3224" s="74" t="n">
        <x:v>-0.0001</x:v>
      </x:c>
      <x:c r="H3224" s="66" t="str">
        <x:v>祁腾蜂赢1号净值20260911.xlsx</x:v>
      </x:c>
      <x:c r="I3224" s="73" t="str">
        <x:f>""</x:f>
      </x:c>
      <x:c r="J3224" s="74" t="str">
        <x:f>""</x:f>
      </x:c>
      <x:c r="K3224" s="73" t="n">
        <x:f>MAX(K3223,F3224)</x:f>
        <x:v>2.1221</x:v>
      </x:c>
      <x:c r="L3224" s="74" t="n">
        <x:f>1-F3224/K3224</x:f>
        <x:v>0.0008953395221714677</x:v>
      </x:c>
      <x:c r="M3224" s="73" t="n">
        <x:f>MAX(M3223,F3224)</x:f>
        <x:v>2.1221</x:v>
      </x:c>
      <x:c r="N3224" s="74" t="n">
        <x:f>1-F3224/M3224</x:f>
        <x:v>0.0008953395221714677</x:v>
      </x:c>
    </x:row>
    <x:row r="3225" ht="27" customHeight="1">
      <x:c r="A3225" s="66" t="str">
        <x:v>SEV580</x:v>
      </x:c>
      <x:c r="B3225" s="66" t="str">
        <x:v>祁腾蜂赢1号</x:v>
      </x:c>
      <x:c r="C3225" s="72" t="n">
        <x:v>45742</x:v>
      </x:c>
      <x:c r="D3225" s="73" t="n">
        <x:v>1.0106</x:v>
      </x:c>
      <x:c r="E3225" s="73" t="n">
        <x:v>1.7867</x:v>
      </x:c>
      <x:c r="F3225" s="73" t="n">
        <x:v>2.1197</x:v>
      </x:c>
      <x:c r="G3225" s="74" t="n">
        <x:v>-0.0002</x:v>
      </x:c>
      <x:c r="H3225" s="66" t="str">
        <x:v>祁腾蜂赢1号净值20260911.xlsx</x:v>
      </x:c>
      <x:c r="I3225" s="73" t="str">
        <x:f>""</x:f>
      </x:c>
      <x:c r="J3225" s="74" t="str">
        <x:f>""</x:f>
      </x:c>
      <x:c r="K3225" s="73" t="n">
        <x:f>MAX(K3224,F3225)</x:f>
        <x:v>2.1221</x:v>
      </x:c>
      <x:c r="L3225" s="74" t="n">
        <x:f>1-F3225/K3225</x:f>
        <x:v>0.0011309551859008948</x:v>
      </x:c>
      <x:c r="M3225" s="73" t="n">
        <x:f>MAX(M3224,F3225)</x:f>
        <x:v>2.1221</x:v>
      </x:c>
      <x:c r="N3225" s="74" t="n">
        <x:f>1-F3225/M3225</x:f>
        <x:v>0.0011309551859008948</x:v>
      </x:c>
    </x:row>
    <x:row r="3226" ht="27" customHeight="1">
      <x:c r="A3226" s="66" t="str">
        <x:v>SEV580</x:v>
      </x:c>
      <x:c r="B3226" s="66" t="str">
        <x:v>祁腾蜂赢1号</x:v>
      </x:c>
      <x:c r="C3226" s="72" t="n">
        <x:v>45743</x:v>
      </x:c>
      <x:c r="D3226" s="73" t="n">
        <x:v>1.0116</x:v>
      </x:c>
      <x:c r="E3226" s="73" t="n">
        <x:v>1.7877</x:v>
      </x:c>
      <x:c r="F3226" s="73" t="n">
        <x:v>2.1218</x:v>
      </x:c>
      <x:c r="G3226" s="74" t="n">
        <x:v>0.001</x:v>
      </x:c>
      <x:c r="H3226" s="66" t="str">
        <x:v>祁腾蜂赢1号净值20260911.xlsx</x:v>
      </x:c>
      <x:c r="I3226" s="73" t="str">
        <x:f>""</x:f>
      </x:c>
      <x:c r="J3226" s="74" t="str">
        <x:f>""</x:f>
      </x:c>
      <x:c r="K3226" s="73" t="n">
        <x:f>MAX(K3225,F3226)</x:f>
        <x:v>2.1221</x:v>
      </x:c>
      <x:c r="L3226" s="74" t="n">
        <x:f>1-F3226/K3226</x:f>
        <x:v>0.00014136939823772288</x:v>
      </x:c>
      <x:c r="M3226" s="73" t="n">
        <x:f>MAX(M3225,F3226)</x:f>
        <x:v>2.1221</x:v>
      </x:c>
      <x:c r="N3226" s="74" t="n">
        <x:f>1-F3226/M3226</x:f>
        <x:v>0.00014136939823772288</x:v>
      </x:c>
    </x:row>
    <x:row r="3227" ht="27" customHeight="1">
      <x:c r="A3227" s="66" t="str">
        <x:v>SEV580</x:v>
      </x:c>
      <x:c r="B3227" s="66" t="str">
        <x:v>祁腾蜂赢1号</x:v>
      </x:c>
      <x:c r="C3227" s="72" t="n">
        <x:v>45744</x:v>
      </x:c>
      <x:c r="D3227" s="73" t="n">
        <x:v>1.0117</x:v>
      </x:c>
      <x:c r="E3227" s="73" t="n">
        <x:v>1.7878</x:v>
      </x:c>
      <x:c r="F3227" s="73" t="n">
        <x:v>2.1221</x:v>
      </x:c>
      <x:c r="G3227" s="74" t="n">
        <x:v>0.0001</x:v>
      </x:c>
      <x:c r="H3227" s="66" t="str">
        <x:v>祁腾蜂赢1号净值20260911.xlsx</x:v>
      </x:c>
      <x:c r="I3227" s="73" t="str">
        <x:f>""</x:f>
      </x:c>
      <x:c r="J3227" s="74" t="str">
        <x:f>""</x:f>
      </x:c>
      <x:c r="K3227" s="73" t="n">
        <x:f>MAX(K3226,F3227)</x:f>
        <x:v>2.1221</x:v>
      </x:c>
      <x:c r="L3227" s="74" t="n">
        <x:f>1-F3227/K3227</x:f>
        <x:v>0</x:v>
      </x:c>
      <x:c r="M3227" s="73" t="n">
        <x:f>MAX(M3226,F3227)</x:f>
        <x:v>2.1221</x:v>
      </x:c>
      <x:c r="N3227" s="74" t="n">
        <x:f>1-F3227/M3227</x:f>
        <x:v>0</x:v>
      </x:c>
    </x:row>
    <x:row r="3228" ht="27" customHeight="1">
      <x:c r="A3228" s="66" t="str">
        <x:v>SEV580</x:v>
      </x:c>
      <x:c r="B3228" s="66" t="str">
        <x:v>祁腾蜂赢1号</x:v>
      </x:c>
      <x:c r="C3228" s="72" t="n">
        <x:v>45747</x:v>
      </x:c>
      <x:c r="D3228" s="73" t="n">
        <x:v>1.0118</x:v>
      </x:c>
      <x:c r="E3228" s="73" t="n">
        <x:v>1.7879</x:v>
      </x:c>
      <x:c r="F3228" s="73" t="n">
        <x:v>2.1223</x:v>
      </x:c>
      <x:c r="G3228" s="74" t="n">
        <x:v>0.0001</x:v>
      </x:c>
      <x:c r="H3228" s="66" t="str">
        <x:v>祁腾蜂赢1号净值20260911.xlsx</x:v>
      </x:c>
      <x:c r="I3228" s="73" t="str">
        <x:f>""</x:f>
      </x:c>
      <x:c r="J3228" s="74" t="str">
        <x:f>""</x:f>
      </x:c>
      <x:c r="K3228" s="73" t="n">
        <x:f>MAX(K3227,F3228)</x:f>
        <x:v>2.1223</x:v>
      </x:c>
      <x:c r="L3228" s="74" t="n">
        <x:f>1-F3228/K3228</x:f>
        <x:v>0</x:v>
      </x:c>
      <x:c r="M3228" s="73" t="n">
        <x:f>MAX(M3227,F3228)</x:f>
        <x:v>2.1223</x:v>
      </x:c>
      <x:c r="N3228" s="74" t="n">
        <x:f>1-F3228/M3228</x:f>
        <x:v>0</x:v>
      </x:c>
    </x:row>
    <x:row r="3229" ht="27" customHeight="1">
      <x:c r="A3229" s="66" t="str">
        <x:v>SEV580</x:v>
      </x:c>
      <x:c r="B3229" s="66" t="str">
        <x:v>祁腾蜂赢1号</x:v>
      </x:c>
      <x:c r="C3229" s="72" t="n">
        <x:v>45748</x:v>
      </x:c>
      <x:c r="D3229" s="73" t="n">
        <x:v>1.0118</x:v>
      </x:c>
      <x:c r="E3229" s="73" t="n">
        <x:v>1.7879</x:v>
      </x:c>
      <x:c r="F3229" s="73" t="n">
        <x:v>2.1223</x:v>
      </x:c>
      <x:c r="G3229" s="74" t="n">
        <x:v>0</x:v>
      </x:c>
      <x:c r="H3229" s="66" t="str">
        <x:v>祁腾蜂赢1号净值20260911.xlsx</x:v>
      </x:c>
      <x:c r="I3229" s="73" t="str">
        <x:f>""</x:f>
      </x:c>
      <x:c r="J3229" s="74" t="str">
        <x:f>""</x:f>
      </x:c>
      <x:c r="K3229" s="73" t="n">
        <x:f>MAX(K3228,F3229)</x:f>
        <x:v>2.1223</x:v>
      </x:c>
      <x:c r="L3229" s="74" t="n">
        <x:f>1-F3229/K3229</x:f>
        <x:v>0</x:v>
      </x:c>
      <x:c r="M3229" s="73" t="n">
        <x:f>MAX(M3228,F3229)</x:f>
        <x:v>2.1223</x:v>
      </x:c>
      <x:c r="N3229" s="74" t="n">
        <x:f>1-F3229/M3229</x:f>
        <x:v>0</x:v>
      </x:c>
    </x:row>
    <x:row r="3230" ht="27" customHeight="1">
      <x:c r="A3230" s="66" t="str">
        <x:v>SEV580</x:v>
      </x:c>
      <x:c r="B3230" s="66" t="str">
        <x:v>祁腾蜂赢1号</x:v>
      </x:c>
      <x:c r="C3230" s="72" t="n">
        <x:v>45749</x:v>
      </x:c>
      <x:c r="D3230" s="73" t="n">
        <x:v>1.0117</x:v>
      </x:c>
      <x:c r="E3230" s="73" t="n">
        <x:v>1.7878</x:v>
      </x:c>
      <x:c r="F3230" s="73" t="n">
        <x:v>2.1221</x:v>
      </x:c>
      <x:c r="G3230" s="74" t="n">
        <x:v>-0.0001</x:v>
      </x:c>
      <x:c r="H3230" s="66" t="str">
        <x:v>祁腾蜂赢1号净值20260911.xlsx</x:v>
      </x:c>
      <x:c r="I3230" s="73" t="str">
        <x:f>""</x:f>
      </x:c>
      <x:c r="J3230" s="74" t="str">
        <x:f>""</x:f>
      </x:c>
      <x:c r="K3230" s="73" t="n">
        <x:f>MAX(K3229,F3230)</x:f>
        <x:v>2.1223</x:v>
      </x:c>
      <x:c r="L3230" s="74" t="n">
        <x:f>1-F3230/K3230</x:f>
        <x:v>0.000094237383970186</x:v>
      </x:c>
      <x:c r="M3230" s="73" t="n">
        <x:f>MAX(M3229,F3230)</x:f>
        <x:v>2.1223</x:v>
      </x:c>
      <x:c r="N3230" s="74" t="n">
        <x:f>1-F3230/M3230</x:f>
        <x:v>0.000094237383970186</x:v>
      </x:c>
    </x:row>
    <x:row r="3231" ht="27" customHeight="1">
      <x:c r="A3231" s="66" t="str">
        <x:v>SEV580</x:v>
      </x:c>
      <x:c r="B3231" s="66" t="str">
        <x:v>祁腾蜂赢1号</x:v>
      </x:c>
      <x:c r="C3231" s="72" t="n">
        <x:v>45750</x:v>
      </x:c>
      <x:c r="D3231" s="73" t="n">
        <x:v>1.0119</x:v>
      </x:c>
      <x:c r="E3231" s="73" t="n">
        <x:v>1.788</x:v>
      </x:c>
      <x:c r="F3231" s="73" t="n">
        <x:v>2.1225</x:v>
      </x:c>
      <x:c r="G3231" s="74" t="n">
        <x:v>0.0002</x:v>
      </x:c>
      <x:c r="H3231" s="66" t="str">
        <x:v>祁腾蜂赢1号净值20260911.xlsx</x:v>
      </x:c>
      <x:c r="I3231" s="73" t="str">
        <x:f>""</x:f>
      </x:c>
      <x:c r="J3231" s="74" t="str">
        <x:f>""</x:f>
      </x:c>
      <x:c r="K3231" s="73" t="n">
        <x:f>MAX(K3230,F3231)</x:f>
        <x:v>2.1225</x:v>
      </x:c>
      <x:c r="L3231" s="74" t="n">
        <x:f>1-F3231/K3231</x:f>
        <x:v>0</x:v>
      </x:c>
      <x:c r="M3231" s="73" t="n">
        <x:f>MAX(M3230,F3231)</x:f>
        <x:v>2.1225</x:v>
      </x:c>
      <x:c r="N3231" s="74" t="n">
        <x:f>1-F3231/M3231</x:f>
        <x:v>0</x:v>
      </x:c>
    </x:row>
    <x:row r="3232" ht="27" customHeight="1">
      <x:c r="A3232" s="66" t="str">
        <x:v>SEV580</x:v>
      </x:c>
      <x:c r="B3232" s="66" t="str">
        <x:v>祁腾蜂赢1号</x:v>
      </x:c>
      <x:c r="C3232" s="72" t="n">
        <x:v>45754</x:v>
      </x:c>
      <x:c r="D3232" s="73" t="n">
        <x:v>1.0151</x:v>
      </x:c>
      <x:c r="E3232" s="73" t="n">
        <x:v>1.7912</x:v>
      </x:c>
      <x:c r="F3232" s="73" t="n">
        <x:v>2.1292</x:v>
      </x:c>
      <x:c r="G3232" s="74" t="n">
        <x:v>0.0032</x:v>
      </x:c>
      <x:c r="H3232" s="66" t="str">
        <x:v>祁腾蜂赢1号净值20260911.xlsx</x:v>
      </x:c>
      <x:c r="I3232" s="73" t="str">
        <x:f>""</x:f>
      </x:c>
      <x:c r="J3232" s="74" t="str">
        <x:f>""</x:f>
      </x:c>
      <x:c r="K3232" s="73" t="n">
        <x:f>MAX(K3231,F3232)</x:f>
        <x:v>2.1292</x:v>
      </x:c>
      <x:c r="L3232" s="74" t="n">
        <x:f>1-F3232/K3232</x:f>
        <x:v>0</x:v>
      </x:c>
      <x:c r="M3232" s="73" t="n">
        <x:f>MAX(M3231,F3232)</x:f>
        <x:v>2.1292</x:v>
      </x:c>
      <x:c r="N3232" s="74" t="n">
        <x:f>1-F3232/M3232</x:f>
        <x:v>0</x:v>
      </x:c>
    </x:row>
    <x:row r="3233" ht="27" customHeight="1">
      <x:c r="A3233" s="66" t="str">
        <x:v>SEV580</x:v>
      </x:c>
      <x:c r="B3233" s="66" t="str">
        <x:v>祁腾蜂赢1号</x:v>
      </x:c>
      <x:c r="C3233" s="72" t="n">
        <x:v>45755</x:v>
      </x:c>
      <x:c r="D3233" s="73" t="n">
        <x:v>1.0163</x:v>
      </x:c>
      <x:c r="E3233" s="73" t="n">
        <x:v>1.7924</x:v>
      </x:c>
      <x:c r="F3233" s="73" t="n">
        <x:v>2.1317</x:v>
      </x:c>
      <x:c r="G3233" s="74" t="n">
        <x:v>0.0012</x:v>
      </x:c>
      <x:c r="H3233" s="66" t="str">
        <x:v>祁腾蜂赢1号净值20260911.xlsx</x:v>
      </x:c>
      <x:c r="I3233" s="73" t="str">
        <x:f>""</x:f>
      </x:c>
      <x:c r="J3233" s="74" t="str">
        <x:f>""</x:f>
      </x:c>
      <x:c r="K3233" s="73" t="n">
        <x:f>MAX(K3232,F3233)</x:f>
        <x:v>2.1317</x:v>
      </x:c>
      <x:c r="L3233" s="74" t="n">
        <x:f>1-F3233/K3233</x:f>
        <x:v>0</x:v>
      </x:c>
      <x:c r="M3233" s="73" t="n">
        <x:f>MAX(M3232,F3233)</x:f>
        <x:v>2.1317</x:v>
      </x:c>
      <x:c r="N3233" s="74" t="n">
        <x:f>1-F3233/M3233</x:f>
        <x:v>0</x:v>
      </x:c>
    </x:row>
    <x:row r="3234" ht="27" customHeight="1">
      <x:c r="A3234" s="66" t="str">
        <x:v>SEV580</x:v>
      </x:c>
      <x:c r="B3234" s="66" t="str">
        <x:v>祁腾蜂赢1号</x:v>
      </x:c>
      <x:c r="C3234" s="72" t="n">
        <x:v>45756</x:v>
      </x:c>
      <x:c r="D3234" s="73" t="n">
        <x:v>1.0176</x:v>
      </x:c>
      <x:c r="E3234" s="73" t="n">
        <x:v>1.7937</x:v>
      </x:c>
      <x:c r="F3234" s="73" t="n">
        <x:v>2.1344</x:v>
      </x:c>
      <x:c r="G3234" s="74" t="n">
        <x:v>0.0013</x:v>
      </x:c>
      <x:c r="H3234" s="66" t="str">
        <x:v>祁腾蜂赢1号净值20260911.xlsx</x:v>
      </x:c>
      <x:c r="I3234" s="73" t="str">
        <x:f>""</x:f>
      </x:c>
      <x:c r="J3234" s="74" t="str">
        <x:f>""</x:f>
      </x:c>
      <x:c r="K3234" s="73" t="n">
        <x:f>MAX(K3233,F3234)</x:f>
        <x:v>2.1344</x:v>
      </x:c>
      <x:c r="L3234" s="74" t="n">
        <x:f>1-F3234/K3234</x:f>
        <x:v>0</x:v>
      </x:c>
      <x:c r="M3234" s="73" t="n">
        <x:f>MAX(M3233,F3234)</x:f>
        <x:v>2.1344</x:v>
      </x:c>
      <x:c r="N3234" s="74" t="n">
        <x:f>1-F3234/M3234</x:f>
        <x:v>0</x:v>
      </x:c>
    </x:row>
    <x:row r="3235" ht="27" customHeight="1">
      <x:c r="A3235" s="66" t="str">
        <x:v>SEV580</x:v>
      </x:c>
      <x:c r="B3235" s="66" t="str">
        <x:v>祁腾蜂赢1号</x:v>
      </x:c>
      <x:c r="C3235" s="72" t="n">
        <x:v>45757</x:v>
      </x:c>
      <x:c r="D3235" s="73" t="n">
        <x:v>1.0177</x:v>
      </x:c>
      <x:c r="E3235" s="73" t="n">
        <x:v>1.7938</x:v>
      </x:c>
      <x:c r="F3235" s="73" t="n">
        <x:v>2.1346</x:v>
      </x:c>
      <x:c r="G3235" s="74" t="n">
        <x:v>0.0001</x:v>
      </x:c>
      <x:c r="H3235" s="66" t="str">
        <x:v>祁腾蜂赢1号净值20260911.xlsx</x:v>
      </x:c>
      <x:c r="I3235" s="73" t="str">
        <x:f>""</x:f>
      </x:c>
      <x:c r="J3235" s="74" t="str">
        <x:f>""</x:f>
      </x:c>
      <x:c r="K3235" s="73" t="n">
        <x:f>MAX(K3234,F3235)</x:f>
        <x:v>2.1346</x:v>
      </x:c>
      <x:c r="L3235" s="74" t="n">
        <x:f>1-F3235/K3235</x:f>
        <x:v>0</x:v>
      </x:c>
      <x:c r="M3235" s="73" t="n">
        <x:f>MAX(M3234,F3235)</x:f>
        <x:v>2.1346</x:v>
      </x:c>
      <x:c r="N3235" s="74" t="n">
        <x:f>1-F3235/M3235</x:f>
        <x:v>0</x:v>
      </x:c>
    </x:row>
    <x:row r="3236" ht="27" customHeight="1">
      <x:c r="A3236" s="66" t="str">
        <x:v>SEV580</x:v>
      </x:c>
      <x:c r="B3236" s="66" t="str">
        <x:v>祁腾蜂赢1号</x:v>
      </x:c>
      <x:c r="C3236" s="72" t="n">
        <x:v>45758</x:v>
      </x:c>
      <x:c r="D3236" s="73" t="n">
        <x:v>1.0177</x:v>
      </x:c>
      <x:c r="E3236" s="73" t="n">
        <x:v>1.7938</x:v>
      </x:c>
      <x:c r="F3236" s="73" t="n">
        <x:v>2.1346</x:v>
      </x:c>
      <x:c r="G3236" s="74" t="n">
        <x:v>0</x:v>
      </x:c>
      <x:c r="H3236" s="66" t="str">
        <x:v>祁腾蜂赢1号净值20260911.xlsx</x:v>
      </x:c>
      <x:c r="I3236" s="73" t="str">
        <x:f>""</x:f>
      </x:c>
      <x:c r="J3236" s="74" t="str">
        <x:f>""</x:f>
      </x:c>
      <x:c r="K3236" s="73" t="n">
        <x:f>MAX(K3235,F3236)</x:f>
        <x:v>2.1346</x:v>
      </x:c>
      <x:c r="L3236" s="74" t="n">
        <x:f>1-F3236/K3236</x:f>
        <x:v>0</x:v>
      </x:c>
      <x:c r="M3236" s="73" t="n">
        <x:f>MAX(M3235,F3236)</x:f>
        <x:v>2.1346</x:v>
      </x:c>
      <x:c r="N3236" s="74" t="n">
        <x:f>1-F3236/M3236</x:f>
        <x:v>0</x:v>
      </x:c>
    </x:row>
    <x:row r="3237" ht="27" customHeight="1">
      <x:c r="A3237" s="66" t="str">
        <x:v>SEV580</x:v>
      </x:c>
      <x:c r="B3237" s="66" t="str">
        <x:v>祁腾蜂赢1号</x:v>
      </x:c>
      <x:c r="C3237" s="72" t="n">
        <x:v>45761</x:v>
      </x:c>
      <x:c r="D3237" s="73" t="n">
        <x:v>1.0174</x:v>
      </x:c>
      <x:c r="E3237" s="73" t="n">
        <x:v>1.7935</x:v>
      </x:c>
      <x:c r="F3237" s="73" t="n">
        <x:v>2.134</x:v>
      </x:c>
      <x:c r="G3237" s="74" t="n">
        <x:v>-0.0003</x:v>
      </x:c>
      <x:c r="H3237" s="66" t="str">
        <x:v>祁腾蜂赢1号净值20260911.xlsx</x:v>
      </x:c>
      <x:c r="I3237" s="73" t="str">
        <x:f>""</x:f>
      </x:c>
      <x:c r="J3237" s="74" t="str">
        <x:f>""</x:f>
      </x:c>
      <x:c r="K3237" s="73" t="n">
        <x:f>MAX(K3236,F3237)</x:f>
        <x:v>2.1346</x:v>
      </x:c>
      <x:c r="L3237" s="74" t="n">
        <x:f>1-F3237/K3237</x:f>
        <x:v>0.0002810831069052222</x:v>
      </x:c>
      <x:c r="M3237" s="73" t="n">
        <x:f>MAX(M3236,F3237)</x:f>
        <x:v>2.1346</x:v>
      </x:c>
      <x:c r="N3237" s="74" t="n">
        <x:f>1-F3237/M3237</x:f>
        <x:v>0.0002810831069052222</x:v>
      </x:c>
    </x:row>
    <x:row r="3238" ht="27" customHeight="1">
      <x:c r="A3238" s="66" t="str">
        <x:v>SEV580</x:v>
      </x:c>
      <x:c r="B3238" s="66" t="str">
        <x:v>祁腾蜂赢1号</x:v>
      </x:c>
      <x:c r="C3238" s="72" t="n">
        <x:v>45762</x:v>
      </x:c>
      <x:c r="D3238" s="73" t="n">
        <x:v>1.0172</x:v>
      </x:c>
      <x:c r="E3238" s="73" t="n">
        <x:v>1.7933</x:v>
      </x:c>
      <x:c r="F3238" s="73" t="n">
        <x:v>2.1336</x:v>
      </x:c>
      <x:c r="G3238" s="74" t="n">
        <x:v>-0.0002</x:v>
      </x:c>
      <x:c r="H3238" s="66" t="str">
        <x:v>祁腾蜂赢1号净值20260911.xlsx</x:v>
      </x:c>
      <x:c r="I3238" s="73" t="str">
        <x:f>""</x:f>
      </x:c>
      <x:c r="J3238" s="74" t="str">
        <x:f>""</x:f>
      </x:c>
      <x:c r="K3238" s="73" t="n">
        <x:f>MAX(K3237,F3238)</x:f>
        <x:v>2.1346</x:v>
      </x:c>
      <x:c r="L3238" s="74" t="n">
        <x:f>1-F3238/K3238</x:f>
        <x:v>0.000468471844842111</x:v>
      </x:c>
      <x:c r="M3238" s="73" t="n">
        <x:f>MAX(M3237,F3238)</x:f>
        <x:v>2.1346</x:v>
      </x:c>
      <x:c r="N3238" s="74" t="n">
        <x:f>1-F3238/M3238</x:f>
        <x:v>0.000468471844842111</x:v>
      </x:c>
    </x:row>
    <x:row r="3239" ht="27" customHeight="1">
      <x:c r="A3239" s="66" t="str">
        <x:v>SEV580</x:v>
      </x:c>
      <x:c r="B3239" s="66" t="str">
        <x:v>祁腾蜂赢1号</x:v>
      </x:c>
      <x:c r="C3239" s="72" t="n">
        <x:v>45763</x:v>
      </x:c>
      <x:c r="D3239" s="73" t="n">
        <x:v>1.0171</x:v>
      </x:c>
      <x:c r="E3239" s="73" t="n">
        <x:v>1.7932</x:v>
      </x:c>
      <x:c r="F3239" s="73" t="n">
        <x:v>2.1334</x:v>
      </x:c>
      <x:c r="G3239" s="74" t="n">
        <x:v>-0.0001</x:v>
      </x:c>
      <x:c r="H3239" s="66" t="str">
        <x:v>祁腾蜂赢1号净值20260911.xlsx</x:v>
      </x:c>
      <x:c r="I3239" s="73" t="str">
        <x:f>""</x:f>
      </x:c>
      <x:c r="J3239" s="74" t="str">
        <x:f>""</x:f>
      </x:c>
      <x:c r="K3239" s="73" t="n">
        <x:f>MAX(K3238,F3239)</x:f>
        <x:v>2.1346</x:v>
      </x:c>
      <x:c r="L3239" s="74" t="n">
        <x:f>1-F3239/K3239</x:f>
        <x:v>0.0005621662138104444</x:v>
      </x:c>
      <x:c r="M3239" s="73" t="n">
        <x:f>MAX(M3238,F3239)</x:f>
        <x:v>2.1346</x:v>
      </x:c>
      <x:c r="N3239" s="74" t="n">
        <x:f>1-F3239/M3239</x:f>
        <x:v>0.0005621662138104444</x:v>
      </x:c>
    </x:row>
    <x:row r="3240" ht="27" customHeight="1">
      <x:c r="A3240" s="66" t="str">
        <x:v>SEV580</x:v>
      </x:c>
      <x:c r="B3240" s="66" t="str">
        <x:v>祁腾蜂赢1号</x:v>
      </x:c>
      <x:c r="C3240" s="72" t="n">
        <x:v>45764</x:v>
      </x:c>
      <x:c r="D3240" s="73" t="n">
        <x:v>1.0171</x:v>
      </x:c>
      <x:c r="E3240" s="73" t="n">
        <x:v>1.7932</x:v>
      </x:c>
      <x:c r="F3240" s="73" t="n">
        <x:v>2.1334</x:v>
      </x:c>
      <x:c r="G3240" s="74" t="n">
        <x:v>0</x:v>
      </x:c>
      <x:c r="H3240" s="66" t="str">
        <x:v>祁腾蜂赢1号净值20260911.xlsx</x:v>
      </x:c>
      <x:c r="I3240" s="73" t="str">
        <x:f>""</x:f>
      </x:c>
      <x:c r="J3240" s="74" t="str">
        <x:f>""</x:f>
      </x:c>
      <x:c r="K3240" s="73" t="n">
        <x:f>MAX(K3239,F3240)</x:f>
        <x:v>2.1346</x:v>
      </x:c>
      <x:c r="L3240" s="74" t="n">
        <x:f>1-F3240/K3240</x:f>
        <x:v>0.0005621662138104444</x:v>
      </x:c>
      <x:c r="M3240" s="73" t="n">
        <x:f>MAX(M3239,F3240)</x:f>
        <x:v>2.1346</x:v>
      </x:c>
      <x:c r="N3240" s="74" t="n">
        <x:f>1-F3240/M3240</x:f>
        <x:v>0.0005621662138104444</x:v>
      </x:c>
    </x:row>
    <x:row r="3241" ht="27" customHeight="1">
      <x:c r="A3241" s="66" t="str">
        <x:v>SEV580</x:v>
      </x:c>
      <x:c r="B3241" s="66" t="str">
        <x:v>祁腾蜂赢1号</x:v>
      </x:c>
      <x:c r="C3241" s="72" t="n">
        <x:v>45765</x:v>
      </x:c>
      <x:c r="D3241" s="73" t="n">
        <x:v>1.0166</x:v>
      </x:c>
      <x:c r="E3241" s="73" t="n">
        <x:v>1.7927</x:v>
      </x:c>
      <x:c r="F3241" s="73" t="n">
        <x:v>2.1323</x:v>
      </x:c>
      <x:c r="G3241" s="74" t="n">
        <x:v>-0.0005</x:v>
      </x:c>
      <x:c r="H3241" s="66" t="str">
        <x:v>祁腾蜂赢1号净值20260911.xlsx</x:v>
      </x:c>
      <x:c r="I3241" s="73" t="str">
        <x:f>""</x:f>
      </x:c>
      <x:c r="J3241" s="74" t="str">
        <x:f>""</x:f>
      </x:c>
      <x:c r="K3241" s="73" t="n">
        <x:f>MAX(K3240,F3241)</x:f>
        <x:v>2.1346</x:v>
      </x:c>
      <x:c r="L3241" s="74" t="n">
        <x:f>1-F3241/K3241</x:f>
        <x:v>0.0010774852431368886</x:v>
      </x:c>
      <x:c r="M3241" s="73" t="n">
        <x:f>MAX(M3240,F3241)</x:f>
        <x:v>2.1346</x:v>
      </x:c>
      <x:c r="N3241" s="74" t="n">
        <x:f>1-F3241/M3241</x:f>
        <x:v>0.0010774852431368886</x:v>
      </x:c>
    </x:row>
    <x:row r="3242" ht="27" customHeight="1">
      <x:c r="A3242" s="66" t="str">
        <x:v>SEV580</x:v>
      </x:c>
      <x:c r="B3242" s="66" t="str">
        <x:v>祁腾蜂赢1号</x:v>
      </x:c>
      <x:c r="C3242" s="72" t="n">
        <x:v>45768</x:v>
      </x:c>
      <x:c r="D3242" s="73" t="n">
        <x:v>1.0165</x:v>
      </x:c>
      <x:c r="E3242" s="73" t="n">
        <x:v>1.7926</x:v>
      </x:c>
      <x:c r="F3242" s="73" t="n">
        <x:v>2.1321</x:v>
      </x:c>
      <x:c r="G3242" s="74" t="n">
        <x:v>-0.0001</x:v>
      </x:c>
      <x:c r="H3242" s="66" t="str">
        <x:v>祁腾蜂赢1号净值20260911.xlsx</x:v>
      </x:c>
      <x:c r="I3242" s="73" t="str">
        <x:f>""</x:f>
      </x:c>
      <x:c r="J3242" s="74" t="str">
        <x:f>""</x:f>
      </x:c>
      <x:c r="K3242" s="73" t="n">
        <x:f>MAX(K3241,F3242)</x:f>
        <x:v>2.1346</x:v>
      </x:c>
      <x:c r="L3242" s="74" t="n">
        <x:f>1-F3242/K3242</x:f>
        <x:v>0.001171179612105333</x:v>
      </x:c>
      <x:c r="M3242" s="73" t="n">
        <x:f>MAX(M3241,F3242)</x:f>
        <x:v>2.1346</x:v>
      </x:c>
      <x:c r="N3242" s="74" t="n">
        <x:f>1-F3242/M3242</x:f>
        <x:v>0.001171179612105333</x:v>
      </x:c>
    </x:row>
    <x:row r="3243" ht="27" customHeight="1">
      <x:c r="A3243" s="66" t="str">
        <x:v>SEV580</x:v>
      </x:c>
      <x:c r="B3243" s="66" t="str">
        <x:v>祁腾蜂赢1号</x:v>
      </x:c>
      <x:c r="C3243" s="72" t="n">
        <x:v>45769</x:v>
      </x:c>
      <x:c r="D3243" s="73" t="n">
        <x:v>1.0167</x:v>
      </x:c>
      <x:c r="E3243" s="73" t="n">
        <x:v>1.7928</x:v>
      </x:c>
      <x:c r="F3243" s="73" t="n">
        <x:v>2.1325</x:v>
      </x:c>
      <x:c r="G3243" s="74" t="n">
        <x:v>0.0002</x:v>
      </x:c>
      <x:c r="H3243" s="66" t="str">
        <x:v>祁腾蜂赢1号净值20260911.xlsx</x:v>
      </x:c>
      <x:c r="I3243" s="73" t="str">
        <x:f>""</x:f>
      </x:c>
      <x:c r="J3243" s="74" t="str">
        <x:f>""</x:f>
      </x:c>
      <x:c r="K3243" s="73" t="n">
        <x:f>MAX(K3242,F3243)</x:f>
        <x:v>2.1346</x:v>
      </x:c>
      <x:c r="L3243" s="74" t="n">
        <x:f>1-F3243/K3243</x:f>
        <x:v>0.0009837908741684442</x:v>
      </x:c>
      <x:c r="M3243" s="73" t="n">
        <x:f>MAX(M3242,F3243)</x:f>
        <x:v>2.1346</x:v>
      </x:c>
      <x:c r="N3243" s="74" t="n">
        <x:f>1-F3243/M3243</x:f>
        <x:v>0.0009837908741684442</x:v>
      </x:c>
    </x:row>
    <x:row r="3244" ht="27" customHeight="1">
      <x:c r="A3244" s="66" t="str">
        <x:v>SEV580</x:v>
      </x:c>
      <x:c r="B3244" s="66" t="str">
        <x:v>祁腾蜂赢1号</x:v>
      </x:c>
      <x:c r="C3244" s="72" t="n">
        <x:v>45770</x:v>
      </x:c>
      <x:c r="D3244" s="73" t="n">
        <x:v>1.0169</x:v>
      </x:c>
      <x:c r="E3244" s="73" t="n">
        <x:v>1.793</x:v>
      </x:c>
      <x:c r="F3244" s="73" t="n">
        <x:v>2.133</x:v>
      </x:c>
      <x:c r="G3244" s="74" t="n">
        <x:v>0.0002</x:v>
      </x:c>
      <x:c r="H3244" s="66" t="str">
        <x:v>祁腾蜂赢1号净值20260911.xlsx</x:v>
      </x:c>
      <x:c r="I3244" s="73" t="str">
        <x:f>""</x:f>
      </x:c>
      <x:c r="J3244" s="74" t="str">
        <x:f>""</x:f>
      </x:c>
      <x:c r="K3244" s="73" t="n">
        <x:f>MAX(K3243,F3244)</x:f>
        <x:v>2.1346</x:v>
      </x:c>
      <x:c r="L3244" s="74" t="n">
        <x:f>1-F3244/K3244</x:f>
        <x:v>0.0007495549517473332</x:v>
      </x:c>
      <x:c r="M3244" s="73" t="n">
        <x:f>MAX(M3243,F3244)</x:f>
        <x:v>2.1346</x:v>
      </x:c>
      <x:c r="N3244" s="74" t="n">
        <x:f>1-F3244/M3244</x:f>
        <x:v>0.0007495549517473332</x:v>
      </x:c>
    </x:row>
    <x:row r="3245" ht="27" customHeight="1">
      <x:c r="A3245" s="66" t="str">
        <x:v>SEV580</x:v>
      </x:c>
      <x:c r="B3245" s="66" t="str">
        <x:v>祁腾蜂赢1号</x:v>
      </x:c>
      <x:c r="C3245" s="72" t="n">
        <x:v>45771</x:v>
      </x:c>
      <x:c r="D3245" s="73" t="n">
        <x:v>1.0172</x:v>
      </x:c>
      <x:c r="E3245" s="73" t="n">
        <x:v>1.7933</x:v>
      </x:c>
      <x:c r="F3245" s="73" t="n">
        <x:v>2.1336</x:v>
      </x:c>
      <x:c r="G3245" s="74" t="n">
        <x:v>0.0003</x:v>
      </x:c>
      <x:c r="H3245" s="66" t="str">
        <x:v>祁腾蜂赢1号净值20260911.xlsx</x:v>
      </x:c>
      <x:c r="I3245" s="73" t="str">
        <x:f>""</x:f>
      </x:c>
      <x:c r="J3245" s="74" t="str">
        <x:f>""</x:f>
      </x:c>
      <x:c r="K3245" s="73" t="n">
        <x:f>MAX(K3244,F3245)</x:f>
        <x:v>2.1346</x:v>
      </x:c>
      <x:c r="L3245" s="74" t="n">
        <x:f>1-F3245/K3245</x:f>
        <x:v>0.000468471844842111</x:v>
      </x:c>
      <x:c r="M3245" s="73" t="n">
        <x:f>MAX(M3244,F3245)</x:f>
        <x:v>2.1346</x:v>
      </x:c>
      <x:c r="N3245" s="74" t="n">
        <x:f>1-F3245/M3245</x:f>
        <x:v>0.000468471844842111</x:v>
      </x:c>
    </x:row>
    <x:row r="3246" ht="27" customHeight="1">
      <x:c r="A3246" s="66" t="str">
        <x:v>SEV580</x:v>
      </x:c>
      <x:c r="B3246" s="66" t="str">
        <x:v>祁腾蜂赢1号</x:v>
      </x:c>
      <x:c r="C3246" s="72" t="n">
        <x:v>45772</x:v>
      </x:c>
      <x:c r="D3246" s="73" t="n">
        <x:v>1.0174</x:v>
      </x:c>
      <x:c r="E3246" s="73" t="n">
        <x:v>1.7935</x:v>
      </x:c>
      <x:c r="F3246" s="73" t="n">
        <x:v>2.134</x:v>
      </x:c>
      <x:c r="G3246" s="74" t="n">
        <x:v>0.0002</x:v>
      </x:c>
      <x:c r="H3246" s="66" t="str">
        <x:v>祁腾蜂赢1号净值20260911.xlsx</x:v>
      </x:c>
      <x:c r="I3246" s="73" t="str">
        <x:f>""</x:f>
      </x:c>
      <x:c r="J3246" s="74" t="str">
        <x:f>""</x:f>
      </x:c>
      <x:c r="K3246" s="73" t="n">
        <x:f>MAX(K3245,F3246)</x:f>
        <x:v>2.1346</x:v>
      </x:c>
      <x:c r="L3246" s="74" t="n">
        <x:f>1-F3246/K3246</x:f>
        <x:v>0.0002810831069052222</x:v>
      </x:c>
      <x:c r="M3246" s="73" t="n">
        <x:f>MAX(M3245,F3246)</x:f>
        <x:v>2.1346</x:v>
      </x:c>
      <x:c r="N3246" s="74" t="n">
        <x:f>1-F3246/M3246</x:f>
        <x:v>0.0002810831069052222</x:v>
      </x:c>
    </x:row>
    <x:row r="3247" ht="27" customHeight="1">
      <x:c r="A3247" s="66" t="str">
        <x:v>SEV580</x:v>
      </x:c>
      <x:c r="B3247" s="66" t="str">
        <x:v>祁腾蜂赢1号</x:v>
      </x:c>
      <x:c r="C3247" s="72" t="n">
        <x:v>45775</x:v>
      </x:c>
      <x:c r="D3247" s="73" t="n">
        <x:v>1.0181</x:v>
      </x:c>
      <x:c r="E3247" s="73" t="n">
        <x:v>1.7942</x:v>
      </x:c>
      <x:c r="F3247" s="73" t="n">
        <x:v>2.1355</x:v>
      </x:c>
      <x:c r="G3247" s="74" t="n">
        <x:v>0.0007000000000000001</x:v>
      </x:c>
      <x:c r="H3247" s="66" t="str">
        <x:v>祁腾蜂赢1号净值20260911.xlsx</x:v>
      </x:c>
      <x:c r="I3247" s="73" t="str">
        <x:f>""</x:f>
      </x:c>
      <x:c r="J3247" s="74" t="str">
        <x:f>""</x:f>
      </x:c>
      <x:c r="K3247" s="73" t="n">
        <x:f>MAX(K3246,F3247)</x:f>
        <x:v>2.1355</x:v>
      </x:c>
      <x:c r="L3247" s="74" t="n">
        <x:f>1-F3247/K3247</x:f>
        <x:v>0</x:v>
      </x:c>
      <x:c r="M3247" s="73" t="n">
        <x:f>MAX(M3246,F3247)</x:f>
        <x:v>2.1355</x:v>
      </x:c>
      <x:c r="N3247" s="74" t="n">
        <x:f>1-F3247/M3247</x:f>
        <x:v>0</x:v>
      </x:c>
    </x:row>
    <x:row r="3248" ht="27" customHeight="1">
      <x:c r="A3248" s="66" t="str">
        <x:v>SEV580</x:v>
      </x:c>
      <x:c r="B3248" s="66" t="str">
        <x:v>祁腾蜂赢1号</x:v>
      </x:c>
      <x:c r="C3248" s="72" t="n">
        <x:v>45776</x:v>
      </x:c>
      <x:c r="D3248" s="73" t="n">
        <x:v>1.0183</x:v>
      </x:c>
      <x:c r="E3248" s="73" t="n">
        <x:v>1.7944</x:v>
      </x:c>
      <x:c r="F3248" s="73" t="n">
        <x:v>2.1359</x:v>
      </x:c>
      <x:c r="G3248" s="74" t="n">
        <x:v>0.0002</x:v>
      </x:c>
      <x:c r="H3248" s="66" t="str">
        <x:v>祁腾蜂赢1号净值20260911.xlsx</x:v>
      </x:c>
      <x:c r="I3248" s="73" t="str">
        <x:f>""</x:f>
      </x:c>
      <x:c r="J3248" s="74" t="str">
        <x:f>""</x:f>
      </x:c>
      <x:c r="K3248" s="73" t="n">
        <x:f>MAX(K3247,F3248)</x:f>
        <x:v>2.1359</x:v>
      </x:c>
      <x:c r="L3248" s="74" t="n">
        <x:f>1-F3248/K3248</x:f>
        <x:v>0</x:v>
      </x:c>
      <x:c r="M3248" s="73" t="n">
        <x:f>MAX(M3247,F3248)</x:f>
        <x:v>2.1359</x:v>
      </x:c>
      <x:c r="N3248" s="74" t="n">
        <x:f>1-F3248/M3248</x:f>
        <x:v>0</x:v>
      </x:c>
    </x:row>
    <x:row r="3249" ht="27" customHeight="1">
      <x:c r="A3249" s="66" t="str">
        <x:v>SEV580</x:v>
      </x:c>
      <x:c r="B3249" s="66" t="str">
        <x:v>祁腾蜂赢1号</x:v>
      </x:c>
      <x:c r="C3249" s="72" t="n">
        <x:v>45777</x:v>
      </x:c>
      <x:c r="D3249" s="73" t="n">
        <x:v>1.0184</x:v>
      </x:c>
      <x:c r="E3249" s="73" t="n">
        <x:v>1.7945</x:v>
      </x:c>
      <x:c r="F3249" s="73" t="n">
        <x:v>2.1361</x:v>
      </x:c>
      <x:c r="G3249" s="74" t="n">
        <x:v>0.0001</x:v>
      </x:c>
      <x:c r="H3249" s="66" t="str">
        <x:v>祁腾蜂赢1号净值20260911.xlsx</x:v>
      </x:c>
      <x:c r="I3249" s="73" t="str">
        <x:f>""</x:f>
      </x:c>
      <x:c r="J3249" s="74" t="str">
        <x:f>""</x:f>
      </x:c>
      <x:c r="K3249" s="73" t="n">
        <x:f>MAX(K3248,F3249)</x:f>
        <x:v>2.1361</x:v>
      </x:c>
      <x:c r="L3249" s="74" t="n">
        <x:f>1-F3249/K3249</x:f>
        <x:v>0</x:v>
      </x:c>
      <x:c r="M3249" s="73" t="n">
        <x:f>MAX(M3248,F3249)</x:f>
        <x:v>2.1361</x:v>
      </x:c>
      <x:c r="N3249" s="74" t="n">
        <x:f>1-F3249/M3249</x:f>
        <x:v>0</x:v>
      </x:c>
    </x:row>
    <x:row r="3250" ht="27" customHeight="1">
      <x:c r="A3250" s="66" t="str">
        <x:v>SEV580</x:v>
      </x:c>
      <x:c r="B3250" s="66" t="str">
        <x:v>祁腾蜂赢1号</x:v>
      </x:c>
      <x:c r="C3250" s="72" t="n">
        <x:v>45783</x:v>
      </x:c>
      <x:c r="D3250" s="73" t="n">
        <x:v>1.018</x:v>
      </x:c>
      <x:c r="E3250" s="73" t="n">
        <x:v>1.7941</x:v>
      </x:c>
      <x:c r="F3250" s="73" t="n">
        <x:v>2.1353</x:v>
      </x:c>
      <x:c r="G3250" s="74" t="n">
        <x:v>-0.0004</x:v>
      </x:c>
      <x:c r="H3250" s="66" t="str">
        <x:v>祁腾蜂赢1号净值20260911.xlsx</x:v>
      </x:c>
      <x:c r="I3250" s="73" t="str">
        <x:f>""</x:f>
      </x:c>
      <x:c r="J3250" s="74" t="str">
        <x:f>""</x:f>
      </x:c>
      <x:c r="K3250" s="73" t="n">
        <x:f>MAX(K3249,F3250)</x:f>
        <x:v>2.1361</x:v>
      </x:c>
      <x:c r="L3250" s="74" t="n">
        <x:f>1-F3250/K3250</x:f>
        <x:v>0.0003745143017648278</x:v>
      </x:c>
      <x:c r="M3250" s="73" t="n">
        <x:f>MAX(M3249,F3250)</x:f>
        <x:v>2.1361</x:v>
      </x:c>
      <x:c r="N3250" s="74" t="n">
        <x:f>1-F3250/M3250</x:f>
        <x:v>0.0003745143017648278</x:v>
      </x:c>
    </x:row>
    <x:row r="3251" ht="27" customHeight="1">
      <x:c r="A3251" s="66" t="str">
        <x:v>SEV580</x:v>
      </x:c>
      <x:c r="B3251" s="66" t="str">
        <x:v>祁腾蜂赢1号</x:v>
      </x:c>
      <x:c r="C3251" s="72" t="n">
        <x:v>45784</x:v>
      </x:c>
      <x:c r="D3251" s="73" t="n">
        <x:v>1.0182</x:v>
      </x:c>
      <x:c r="E3251" s="73" t="n">
        <x:v>1.7943</x:v>
      </x:c>
      <x:c r="F3251" s="73" t="n">
        <x:v>2.1357</x:v>
      </x:c>
      <x:c r="G3251" s="74" t="n">
        <x:v>0.0002</x:v>
      </x:c>
      <x:c r="H3251" s="66" t="str">
        <x:v>祁腾蜂赢1号净值20260911.xlsx</x:v>
      </x:c>
      <x:c r="I3251" s="73" t="str">
        <x:f>""</x:f>
      </x:c>
      <x:c r="J3251" s="74" t="str">
        <x:f>""</x:f>
      </x:c>
      <x:c r="K3251" s="73" t="n">
        <x:f>MAX(K3250,F3251)</x:f>
        <x:v>2.1361</x:v>
      </x:c>
      <x:c r="L3251" s="74" t="n">
        <x:f>1-F3251/K3251</x:f>
        <x:v>0.0001872571508824139</x:v>
      </x:c>
      <x:c r="M3251" s="73" t="n">
        <x:f>MAX(M3250,F3251)</x:f>
        <x:v>2.1361</x:v>
      </x:c>
      <x:c r="N3251" s="74" t="n">
        <x:f>1-F3251/M3251</x:f>
        <x:v>0.0001872571508824139</x:v>
      </x:c>
    </x:row>
    <x:row r="3252" ht="27" customHeight="1">
      <x:c r="A3252" s="66" t="str">
        <x:v>SEV580</x:v>
      </x:c>
      <x:c r="B3252" s="66" t="str">
        <x:v>祁腾蜂赢1号</x:v>
      </x:c>
      <x:c r="C3252" s="72" t="n">
        <x:v>45785</x:v>
      </x:c>
      <x:c r="D3252" s="73" t="n">
        <x:v>1.018</x:v>
      </x:c>
      <x:c r="E3252" s="73" t="n">
        <x:v>1.7941</x:v>
      </x:c>
      <x:c r="F3252" s="73" t="n">
        <x:v>2.1353</x:v>
      </x:c>
      <x:c r="G3252" s="74" t="n">
        <x:v>-0.0002</x:v>
      </x:c>
      <x:c r="H3252" s="66" t="str">
        <x:v>祁腾蜂赢1号净值20260911.xlsx</x:v>
      </x:c>
      <x:c r="I3252" s="73" t="str">
        <x:f>""</x:f>
      </x:c>
      <x:c r="J3252" s="74" t="str">
        <x:f>""</x:f>
      </x:c>
      <x:c r="K3252" s="73" t="n">
        <x:f>MAX(K3251,F3252)</x:f>
        <x:v>2.1361</x:v>
      </x:c>
      <x:c r="L3252" s="74" t="n">
        <x:f>1-F3252/K3252</x:f>
        <x:v>0.0003745143017648278</x:v>
      </x:c>
      <x:c r="M3252" s="73" t="n">
        <x:f>MAX(M3251,F3252)</x:f>
        <x:v>2.1361</x:v>
      </x:c>
      <x:c r="N3252" s="74" t="n">
        <x:f>1-F3252/M3252</x:f>
        <x:v>0.0003745143017648278</x:v>
      </x:c>
    </x:row>
    <x:row r="3253" ht="27" customHeight="1">
      <x:c r="A3253" s="66" t="str">
        <x:v>SEV580</x:v>
      </x:c>
      <x:c r="B3253" s="66" t="str">
        <x:v>祁腾蜂赢1号</x:v>
      </x:c>
      <x:c r="C3253" s="72" t="n">
        <x:v>45786</x:v>
      </x:c>
      <x:c r="D3253" s="73" t="n">
        <x:v>1.0181</x:v>
      </x:c>
      <x:c r="E3253" s="73" t="n">
        <x:v>1.7942</x:v>
      </x:c>
      <x:c r="F3253" s="73" t="n">
        <x:v>2.1355</x:v>
      </x:c>
      <x:c r="G3253" s="74" t="n">
        <x:v>0.0001</x:v>
      </x:c>
      <x:c r="H3253" s="66" t="str">
        <x:v>祁腾蜂赢1号净值20260911.xlsx</x:v>
      </x:c>
      <x:c r="I3253" s="73" t="str">
        <x:f>""</x:f>
      </x:c>
      <x:c r="J3253" s="74" t="str">
        <x:f>""</x:f>
      </x:c>
      <x:c r="K3253" s="73" t="n">
        <x:f>MAX(K3252,F3253)</x:f>
        <x:v>2.1361</x:v>
      </x:c>
      <x:c r="L3253" s="74" t="n">
        <x:f>1-F3253/K3253</x:f>
        <x:v>0.00028088572632367637</x:v>
      </x:c>
      <x:c r="M3253" s="73" t="n">
        <x:f>MAX(M3252,F3253)</x:f>
        <x:v>2.1361</x:v>
      </x:c>
      <x:c r="N3253" s="74" t="n">
        <x:f>1-F3253/M3253</x:f>
        <x:v>0.00028088572632367637</x:v>
      </x:c>
    </x:row>
    <x:row r="3254" ht="27" customHeight="1">
      <x:c r="A3254" s="66" t="str">
        <x:v>SEV580</x:v>
      </x:c>
      <x:c r="B3254" s="66" t="str">
        <x:v>祁腾蜂赢1号</x:v>
      </x:c>
      <x:c r="C3254" s="72" t="n">
        <x:v>45789</x:v>
      </x:c>
      <x:c r="D3254" s="73" t="n">
        <x:v>1.0176</x:v>
      </x:c>
      <x:c r="E3254" s="73" t="n">
        <x:v>1.7937</x:v>
      </x:c>
      <x:c r="F3254" s="73" t="n">
        <x:v>2.1344</x:v>
      </x:c>
      <x:c r="G3254" s="74" t="n">
        <x:v>-0.0005</x:v>
      </x:c>
      <x:c r="H3254" s="66" t="str">
        <x:v>祁腾蜂赢1号净值20260911.xlsx</x:v>
      </x:c>
      <x:c r="I3254" s="73" t="str">
        <x:f>""</x:f>
      </x:c>
      <x:c r="J3254" s="74" t="str">
        <x:f>""</x:f>
      </x:c>
      <x:c r="K3254" s="73" t="n">
        <x:f>MAX(K3253,F3254)</x:f>
        <x:v>2.1361</x:v>
      </x:c>
      <x:c r="L3254" s="74" t="n">
        <x:f>1-F3254/K3254</x:f>
        <x:v>0.0007958428912504534</x:v>
      </x:c>
      <x:c r="M3254" s="73" t="n">
        <x:f>MAX(M3253,F3254)</x:f>
        <x:v>2.1361</x:v>
      </x:c>
      <x:c r="N3254" s="74" t="n">
        <x:f>1-F3254/M3254</x:f>
        <x:v>0.0007958428912504534</x:v>
      </x:c>
    </x:row>
    <x:row r="3255" ht="27" customHeight="1">
      <x:c r="A3255" s="66" t="str">
        <x:v>SEV580</x:v>
      </x:c>
      <x:c r="B3255" s="66" t="str">
        <x:v>祁腾蜂赢1号</x:v>
      </x:c>
      <x:c r="C3255" s="72" t="n">
        <x:v>45790</x:v>
      </x:c>
      <x:c r="D3255" s="73" t="n">
        <x:v>1.0174</x:v>
      </x:c>
      <x:c r="E3255" s="73" t="n">
        <x:v>1.7935</x:v>
      </x:c>
      <x:c r="F3255" s="73" t="n">
        <x:v>2.134</x:v>
      </x:c>
      <x:c r="G3255" s="74" t="n">
        <x:v>-0.0002</x:v>
      </x:c>
      <x:c r="H3255" s="66" t="str">
        <x:v>祁腾蜂赢1号净值20260911.xlsx</x:v>
      </x:c>
      <x:c r="I3255" s="73" t="str">
        <x:f>""</x:f>
      </x:c>
      <x:c r="J3255" s="74" t="str">
        <x:f>""</x:f>
      </x:c>
      <x:c r="K3255" s="73" t="n">
        <x:f>MAX(K3254,F3255)</x:f>
        <x:v>2.1361</x:v>
      </x:c>
      <x:c r="L3255" s="74" t="n">
        <x:f>1-F3255/K3255</x:f>
        <x:v>0.0009831000421328673</x:v>
      </x:c>
      <x:c r="M3255" s="73" t="n">
        <x:f>MAX(M3254,F3255)</x:f>
        <x:v>2.1361</x:v>
      </x:c>
      <x:c r="N3255" s="74" t="n">
        <x:f>1-F3255/M3255</x:f>
        <x:v>0.0009831000421328673</x:v>
      </x:c>
    </x:row>
    <x:row r="3256" ht="27" customHeight="1">
      <x:c r="A3256" s="66" t="str">
        <x:v>SEV580</x:v>
      </x:c>
      <x:c r="B3256" s="66" t="str">
        <x:v>祁腾蜂赢1号</x:v>
      </x:c>
      <x:c r="C3256" s="72" t="n">
        <x:v>45791</x:v>
      </x:c>
      <x:c r="D3256" s="73" t="n">
        <x:v>1.0174</x:v>
      </x:c>
      <x:c r="E3256" s="73" t="n">
        <x:v>1.7935</x:v>
      </x:c>
      <x:c r="F3256" s="73" t="n">
        <x:v>2.134</x:v>
      </x:c>
      <x:c r="G3256" s="74" t="n">
        <x:v>0</x:v>
      </x:c>
      <x:c r="H3256" s="66" t="str">
        <x:v>祁腾蜂赢1号净值20260911.xlsx</x:v>
      </x:c>
      <x:c r="I3256" s="73" t="str">
        <x:f>""</x:f>
      </x:c>
      <x:c r="J3256" s="74" t="str">
        <x:f>""</x:f>
      </x:c>
      <x:c r="K3256" s="73" t="n">
        <x:f>MAX(K3255,F3256)</x:f>
        <x:v>2.1361</x:v>
      </x:c>
      <x:c r="L3256" s="74" t="n">
        <x:f>1-F3256/K3256</x:f>
        <x:v>0.0009831000421328673</x:v>
      </x:c>
      <x:c r="M3256" s="73" t="n">
        <x:f>MAX(M3255,F3256)</x:f>
        <x:v>2.1361</x:v>
      </x:c>
      <x:c r="N3256" s="74" t="n">
        <x:f>1-F3256/M3256</x:f>
        <x:v>0.0009831000421328673</x:v>
      </x:c>
    </x:row>
    <x:row r="3257" ht="27" customHeight="1">
      <x:c r="A3257" s="66" t="str">
        <x:v>SEV580</x:v>
      </x:c>
      <x:c r="B3257" s="66" t="str">
        <x:v>祁腾蜂赢1号</x:v>
      </x:c>
      <x:c r="C3257" s="72" t="n">
        <x:v>45792</x:v>
      </x:c>
      <x:c r="D3257" s="73" t="n">
        <x:v>1.0182</x:v>
      </x:c>
      <x:c r="E3257" s="73" t="n">
        <x:v>1.7943</x:v>
      </x:c>
      <x:c r="F3257" s="73" t="n">
        <x:v>2.1357</x:v>
      </x:c>
      <x:c r="G3257" s="74" t="n">
        <x:v>0.0008</x:v>
      </x:c>
      <x:c r="H3257" s="66" t="str">
        <x:v>祁腾蜂赢1号净值20260911.xlsx</x:v>
      </x:c>
      <x:c r="I3257" s="73" t="str">
        <x:f>""</x:f>
      </x:c>
      <x:c r="J3257" s="74" t="str">
        <x:f>""</x:f>
      </x:c>
      <x:c r="K3257" s="73" t="n">
        <x:f>MAX(K3256,F3257)</x:f>
        <x:v>2.1361</x:v>
      </x:c>
      <x:c r="L3257" s="74" t="n">
        <x:f>1-F3257/K3257</x:f>
        <x:v>0.0001872571508824139</x:v>
      </x:c>
      <x:c r="M3257" s="73" t="n">
        <x:f>MAX(M3256,F3257)</x:f>
        <x:v>2.1361</x:v>
      </x:c>
      <x:c r="N3257" s="74" t="n">
        <x:f>1-F3257/M3257</x:f>
        <x:v>0.0001872571508824139</x:v>
      </x:c>
    </x:row>
    <x:row r="3258" ht="27" customHeight="1">
      <x:c r="A3258" s="66" t="str">
        <x:v>SEV580</x:v>
      </x:c>
      <x:c r="B3258" s="66" t="str">
        <x:v>祁腾蜂赢1号</x:v>
      </x:c>
      <x:c r="C3258" s="72" t="n">
        <x:v>45793</x:v>
      </x:c>
      <x:c r="D3258" s="73" t="n">
        <x:v>1.0172</x:v>
      </x:c>
      <x:c r="E3258" s="73" t="n">
        <x:v>1.7933</x:v>
      </x:c>
      <x:c r="F3258" s="73" t="n">
        <x:v>2.1336</x:v>
      </x:c>
      <x:c r="G3258" s="74" t="n">
        <x:v>-0.001</x:v>
      </x:c>
      <x:c r="H3258" s="66" t="str">
        <x:v>祁腾蜂赢1号净值20260911.xlsx</x:v>
      </x:c>
      <x:c r="I3258" s="73" t="str">
        <x:f>""</x:f>
      </x:c>
      <x:c r="J3258" s="74" t="str">
        <x:f>""</x:f>
      </x:c>
      <x:c r="K3258" s="73" t="n">
        <x:f>MAX(K3257,F3258)</x:f>
        <x:v>2.1361</x:v>
      </x:c>
      <x:c r="L3258" s="74" t="n">
        <x:f>1-F3258/K3258</x:f>
        <x:v>0.0011703571930152812</x:v>
      </x:c>
      <x:c r="M3258" s="73" t="n">
        <x:f>MAX(M3257,F3258)</x:f>
        <x:v>2.1361</x:v>
      </x:c>
      <x:c r="N3258" s="74" t="n">
        <x:f>1-F3258/M3258</x:f>
        <x:v>0.0011703571930152812</x:v>
      </x:c>
    </x:row>
    <x:row r="3259" ht="27" customHeight="1">
      <x:c r="A3259" s="66" t="str">
        <x:v>SEV580</x:v>
      </x:c>
      <x:c r="B3259" s="66" t="str">
        <x:v>祁腾蜂赢1号</x:v>
      </x:c>
      <x:c r="C3259" s="72" t="n">
        <x:v>45796</x:v>
      </x:c>
      <x:c r="D3259" s="73" t="n">
        <x:v>1.017</x:v>
      </x:c>
      <x:c r="E3259" s="73" t="n">
        <x:v>1.7931</x:v>
      </x:c>
      <x:c r="F3259" s="73" t="n">
        <x:v>2.1332</x:v>
      </x:c>
      <x:c r="G3259" s="74" t="n">
        <x:v>-0.0002</x:v>
      </x:c>
      <x:c r="H3259" s="66" t="str">
        <x:v>祁腾蜂赢1号净值20260911.xlsx</x:v>
      </x:c>
      <x:c r="I3259" s="73" t="str">
        <x:f>""</x:f>
      </x:c>
      <x:c r="J3259" s="74" t="str">
        <x:f>""</x:f>
      </x:c>
      <x:c r="K3259" s="73" t="n">
        <x:f>MAX(K3258,F3259)</x:f>
        <x:v>2.1361</x:v>
      </x:c>
      <x:c r="L3259" s="74" t="n">
        <x:f>1-F3259/K3259</x:f>
        <x:v>0.001357614343897695</x:v>
      </x:c>
      <x:c r="M3259" s="73" t="n">
        <x:f>MAX(M3258,F3259)</x:f>
        <x:v>2.1361</x:v>
      </x:c>
      <x:c r="N3259" s="74" t="n">
        <x:f>1-F3259/M3259</x:f>
        <x:v>0.001357614343897695</x:v>
      </x:c>
    </x:row>
    <x:row r="3260" ht="27" customHeight="1">
      <x:c r="A3260" s="66" t="str">
        <x:v>SEV580</x:v>
      </x:c>
      <x:c r="B3260" s="66" t="str">
        <x:v>祁腾蜂赢1号</x:v>
      </x:c>
      <x:c r="C3260" s="72" t="n">
        <x:v>45797</x:v>
      </x:c>
      <x:c r="D3260" s="73" t="n">
        <x:v>1.0168</x:v>
      </x:c>
      <x:c r="E3260" s="73" t="n">
        <x:v>1.7929</x:v>
      </x:c>
      <x:c r="F3260" s="73" t="n">
        <x:v>2.1327</x:v>
      </x:c>
      <x:c r="G3260" s="74" t="n">
        <x:v>-0.0002</x:v>
      </x:c>
      <x:c r="H3260" s="66" t="str">
        <x:v>祁腾蜂赢1号净值20260911.xlsx</x:v>
      </x:c>
      <x:c r="I3260" s="73" t="str">
        <x:f>""</x:f>
      </x:c>
      <x:c r="J3260" s="74" t="str">
        <x:f>""</x:f>
      </x:c>
      <x:c r="K3260" s="73" t="n">
        <x:f>MAX(K3259,F3260)</x:f>
        <x:v>2.1361</x:v>
      </x:c>
      <x:c r="L3260" s="74" t="n">
        <x:f>1-F3260/K3260</x:f>
        <x:v>0.0015916857825009068</x:v>
      </x:c>
      <x:c r="M3260" s="73" t="n">
        <x:f>MAX(M3259,F3260)</x:f>
        <x:v>2.1361</x:v>
      </x:c>
      <x:c r="N3260" s="74" t="n">
        <x:f>1-F3260/M3260</x:f>
        <x:v>0.0015916857825009068</x:v>
      </x:c>
    </x:row>
    <x:row r="3261" ht="27" customHeight="1">
      <x:c r="A3261" s="66" t="str">
        <x:v>SEV580</x:v>
      </x:c>
      <x:c r="B3261" s="66" t="str">
        <x:v>祁腾蜂赢1号</x:v>
      </x:c>
      <x:c r="C3261" s="72" t="n">
        <x:v>45798</x:v>
      </x:c>
      <x:c r="D3261" s="73" t="n">
        <x:v>1.0165</x:v>
      </x:c>
      <x:c r="E3261" s="73" t="n">
        <x:v>1.7926</x:v>
      </x:c>
      <x:c r="F3261" s="73" t="n">
        <x:v>2.1321</x:v>
      </x:c>
      <x:c r="G3261" s="74" t="n">
        <x:v>-0.0003</x:v>
      </x:c>
      <x:c r="H3261" s="66" t="str">
        <x:v>祁腾蜂赢1号净值20260911.xlsx</x:v>
      </x:c>
      <x:c r="I3261" s="73" t="str">
        <x:f>""</x:f>
      </x:c>
      <x:c r="J3261" s="74" t="str">
        <x:f>""</x:f>
      </x:c>
      <x:c r="K3261" s="73" t="n">
        <x:f>MAX(K3260,F3261)</x:f>
        <x:v>2.1361</x:v>
      </x:c>
      <x:c r="L3261" s="74" t="n">
        <x:f>1-F3261/K3261</x:f>
        <x:v>0.001872571508824472</x:v>
      </x:c>
      <x:c r="M3261" s="73" t="n">
        <x:f>MAX(M3260,F3261)</x:f>
        <x:v>2.1361</x:v>
      </x:c>
      <x:c r="N3261" s="74" t="n">
        <x:f>1-F3261/M3261</x:f>
        <x:v>0.001872571508824472</x:v>
      </x:c>
    </x:row>
    <x:row r="3262" ht="27" customHeight="1">
      <x:c r="A3262" s="66" t="str">
        <x:v>SEV580</x:v>
      </x:c>
      <x:c r="B3262" s="66" t="str">
        <x:v>祁腾蜂赢1号</x:v>
      </x:c>
      <x:c r="C3262" s="72" t="n">
        <x:v>45799</x:v>
      </x:c>
      <x:c r="D3262" s="73" t="n">
        <x:v>1.0165</x:v>
      </x:c>
      <x:c r="E3262" s="73" t="n">
        <x:v>1.7926</x:v>
      </x:c>
      <x:c r="F3262" s="73" t="n">
        <x:v>2.1321</x:v>
      </x:c>
      <x:c r="G3262" s="74" t="n">
        <x:v>0</x:v>
      </x:c>
      <x:c r="H3262" s="66" t="str">
        <x:v>祁腾蜂赢1号净值20260911.xlsx</x:v>
      </x:c>
      <x:c r="I3262" s="73" t="str">
        <x:f>""</x:f>
      </x:c>
      <x:c r="J3262" s="74" t="str">
        <x:f>""</x:f>
      </x:c>
      <x:c r="K3262" s="73" t="n">
        <x:f>MAX(K3261,F3262)</x:f>
        <x:v>2.1361</x:v>
      </x:c>
      <x:c r="L3262" s="74" t="n">
        <x:f>1-F3262/K3262</x:f>
        <x:v>0.001872571508824472</x:v>
      </x:c>
      <x:c r="M3262" s="73" t="n">
        <x:f>MAX(M3261,F3262)</x:f>
        <x:v>2.1361</x:v>
      </x:c>
      <x:c r="N3262" s="74" t="n">
        <x:f>1-F3262/M3262</x:f>
        <x:v>0.001872571508824472</x:v>
      </x:c>
    </x:row>
    <x:row r="3263" ht="27" customHeight="1">
      <x:c r="A3263" s="66" t="str">
        <x:v>SEV580</x:v>
      </x:c>
      <x:c r="B3263" s="66" t="str">
        <x:v>祁腾蜂赢1号</x:v>
      </x:c>
      <x:c r="C3263" s="72" t="n">
        <x:v>45800</x:v>
      </x:c>
      <x:c r="D3263" s="73" t="n">
        <x:v>1.0167</x:v>
      </x:c>
      <x:c r="E3263" s="73" t="n">
        <x:v>1.7928</x:v>
      </x:c>
      <x:c r="F3263" s="73" t="n">
        <x:v>2.1325</x:v>
      </x:c>
      <x:c r="G3263" s="74" t="n">
        <x:v>0.0002</x:v>
      </x:c>
      <x:c r="H3263" s="66" t="str">
        <x:v>祁腾蜂赢1号净值20260911.xlsx</x:v>
      </x:c>
      <x:c r="I3263" s="73" t="str">
        <x:f>""</x:f>
      </x:c>
      <x:c r="J3263" s="74" t="str">
        <x:f>""</x:f>
      </x:c>
      <x:c r="K3263" s="73" t="n">
        <x:f>MAX(K3262,F3263)</x:f>
        <x:v>2.1361</x:v>
      </x:c>
      <x:c r="L3263" s="74" t="n">
        <x:f>1-F3263/K3263</x:f>
        <x:v>0.0016853143579420582</x:v>
      </x:c>
      <x:c r="M3263" s="73" t="n">
        <x:f>MAX(M3262,F3263)</x:f>
        <x:v>2.1361</x:v>
      </x:c>
      <x:c r="N3263" s="74" t="n">
        <x:f>1-F3263/M3263</x:f>
        <x:v>0.0016853143579420582</x:v>
      </x:c>
    </x:row>
    <x:row r="3264" ht="27" customHeight="1">
      <x:c r="A3264" s="66" t="str">
        <x:v>SEV580</x:v>
      </x:c>
      <x:c r="B3264" s="66" t="str">
        <x:v>祁腾蜂赢1号</x:v>
      </x:c>
      <x:c r="C3264" s="72" t="n">
        <x:v>45803</x:v>
      </x:c>
      <x:c r="D3264" s="73" t="n">
        <x:v>1.0166</x:v>
      </x:c>
      <x:c r="E3264" s="73" t="n">
        <x:v>1.7927</x:v>
      </x:c>
      <x:c r="F3264" s="73" t="n">
        <x:v>2.1323</x:v>
      </x:c>
      <x:c r="G3264" s="74" t="n">
        <x:v>-0.0001</x:v>
      </x:c>
      <x:c r="H3264" s="66" t="str">
        <x:v>祁腾蜂赢1号净值20260911.xlsx</x:v>
      </x:c>
      <x:c r="I3264" s="73" t="str">
        <x:f>""</x:f>
      </x:c>
      <x:c r="J3264" s="74" t="str">
        <x:f>""</x:f>
      </x:c>
      <x:c r="K3264" s="73" t="n">
        <x:f>MAX(K3263,F3264)</x:f>
        <x:v>2.1361</x:v>
      </x:c>
      <x:c r="L3264" s="74" t="n">
        <x:f>1-F3264/K3264</x:f>
        <x:v>0.0017789429333833207</x:v>
      </x:c>
      <x:c r="M3264" s="73" t="n">
        <x:f>MAX(M3263,F3264)</x:f>
        <x:v>2.1361</x:v>
      </x:c>
      <x:c r="N3264" s="74" t="n">
        <x:f>1-F3264/M3264</x:f>
        <x:v>0.0017789429333833207</x:v>
      </x:c>
    </x:row>
    <x:row r="3265" ht="27" customHeight="1">
      <x:c r="A3265" s="66" t="str">
        <x:v>SEV580</x:v>
      </x:c>
      <x:c r="B3265" s="66" t="str">
        <x:v>祁腾蜂赢1号</x:v>
      </x:c>
      <x:c r="C3265" s="72" t="n">
        <x:v>45804</x:v>
      </x:c>
      <x:c r="D3265" s="73" t="n">
        <x:v>1.0165</x:v>
      </x:c>
      <x:c r="E3265" s="73" t="n">
        <x:v>1.7926</x:v>
      </x:c>
      <x:c r="F3265" s="73" t="n">
        <x:v>2.1321</x:v>
      </x:c>
      <x:c r="G3265" s="74" t="n">
        <x:v>-0.0001</x:v>
      </x:c>
      <x:c r="H3265" s="66" t="str">
        <x:v>祁腾蜂赢1号净值20260911.xlsx</x:v>
      </x:c>
      <x:c r="I3265" s="73" t="str">
        <x:f>""</x:f>
      </x:c>
      <x:c r="J3265" s="74" t="str">
        <x:f>""</x:f>
      </x:c>
      <x:c r="K3265" s="73" t="n">
        <x:f>MAX(K3264,F3265)</x:f>
        <x:v>2.1361</x:v>
      </x:c>
      <x:c r="L3265" s="74" t="n">
        <x:f>1-F3265/K3265</x:f>
        <x:v>0.001872571508824472</x:v>
      </x:c>
      <x:c r="M3265" s="73" t="n">
        <x:f>MAX(M3264,F3265)</x:f>
        <x:v>2.1361</x:v>
      </x:c>
      <x:c r="N3265" s="74" t="n">
        <x:f>1-F3265/M3265</x:f>
        <x:v>0.001872571508824472</x:v>
      </x:c>
    </x:row>
    <x:row r="3266" ht="27" customHeight="1">
      <x:c r="A3266" s="66" t="str">
        <x:v>SEV580</x:v>
      </x:c>
      <x:c r="B3266" s="66" t="str">
        <x:v>祁腾蜂赢1号</x:v>
      </x:c>
      <x:c r="C3266" s="72" t="n">
        <x:v>45805</x:v>
      </x:c>
      <x:c r="D3266" s="73" t="n">
        <x:v>1.0172</x:v>
      </x:c>
      <x:c r="E3266" s="73" t="n">
        <x:v>1.7933</x:v>
      </x:c>
      <x:c r="F3266" s="73" t="n">
        <x:v>2.1336</x:v>
      </x:c>
      <x:c r="G3266" s="74" t="n">
        <x:v>0.0007000000000000001</x:v>
      </x:c>
      <x:c r="H3266" s="66" t="str">
        <x:v>祁腾蜂赢1号净值20260911.xlsx</x:v>
      </x:c>
      <x:c r="I3266" s="73" t="str">
        <x:f>""</x:f>
      </x:c>
      <x:c r="J3266" s="74" t="str">
        <x:f>""</x:f>
      </x:c>
      <x:c r="K3266" s="73" t="n">
        <x:f>MAX(K3265,F3266)</x:f>
        <x:v>2.1361</x:v>
      </x:c>
      <x:c r="L3266" s="74" t="n">
        <x:f>1-F3266/K3266</x:f>
        <x:v>0.0011703571930152812</x:v>
      </x:c>
      <x:c r="M3266" s="73" t="n">
        <x:f>MAX(M3265,F3266)</x:f>
        <x:v>2.1361</x:v>
      </x:c>
      <x:c r="N3266" s="74" t="n">
        <x:f>1-F3266/M3266</x:f>
        <x:v>0.0011703571930152812</x:v>
      </x:c>
    </x:row>
    <x:row r="3267" ht="27" customHeight="1">
      <x:c r="A3267" s="66" t="str">
        <x:v>SEV580</x:v>
      </x:c>
      <x:c r="B3267" s="66" t="str">
        <x:v>祁腾蜂赢1号</x:v>
      </x:c>
      <x:c r="C3267" s="72" t="n">
        <x:v>45806</x:v>
      </x:c>
      <x:c r="D3267" s="73" t="n">
        <x:v>1.0174</x:v>
      </x:c>
      <x:c r="E3267" s="73" t="n">
        <x:v>1.7935</x:v>
      </x:c>
      <x:c r="F3267" s="73" t="n">
        <x:v>2.134</x:v>
      </x:c>
      <x:c r="G3267" s="74" t="n">
        <x:v>0.0002</x:v>
      </x:c>
      <x:c r="H3267" s="66" t="str">
        <x:v>祁腾蜂赢1号净值20260911.xlsx</x:v>
      </x:c>
      <x:c r="I3267" s="73" t="str">
        <x:f>""</x:f>
      </x:c>
      <x:c r="J3267" s="74" t="str">
        <x:f>""</x:f>
      </x:c>
      <x:c r="K3267" s="73" t="n">
        <x:f>MAX(K3266,F3267)</x:f>
        <x:v>2.1361</x:v>
      </x:c>
      <x:c r="L3267" s="74" t="n">
        <x:f>1-F3267/K3267</x:f>
        <x:v>0.0009831000421328673</x:v>
      </x:c>
      <x:c r="M3267" s="73" t="n">
        <x:f>MAX(M3266,F3267)</x:f>
        <x:v>2.1361</x:v>
      </x:c>
      <x:c r="N3267" s="74" t="n">
        <x:f>1-F3267/M3267</x:f>
        <x:v>0.0009831000421328673</x:v>
      </x:c>
    </x:row>
    <x:row r="3268" ht="27" customHeight="1">
      <x:c r="A3268" s="66" t="str">
        <x:v>SEV580</x:v>
      </x:c>
      <x:c r="B3268" s="66" t="str">
        <x:v>祁腾蜂赢1号</x:v>
      </x:c>
      <x:c r="C3268" s="72" t="n">
        <x:v>45807</x:v>
      </x:c>
      <x:c r="D3268" s="73" t="n">
        <x:v>1.0173</x:v>
      </x:c>
      <x:c r="E3268" s="73" t="n">
        <x:v>1.7934</x:v>
      </x:c>
      <x:c r="F3268" s="73" t="n">
        <x:v>2.1338</x:v>
      </x:c>
      <x:c r="G3268" s="74" t="n">
        <x:v>-0.0001</x:v>
      </x:c>
      <x:c r="H3268" s="66" t="str">
        <x:v>祁腾蜂赢1号净值20260911.xlsx</x:v>
      </x:c>
      <x:c r="I3268" s="73" t="str">
        <x:f>""</x:f>
      </x:c>
      <x:c r="J3268" s="74" t="str">
        <x:f>""</x:f>
      </x:c>
      <x:c r="K3268" s="73" t="n">
        <x:f>MAX(K3267,F3268)</x:f>
        <x:v>2.1361</x:v>
      </x:c>
      <x:c r="L3268" s="74" t="n">
        <x:f>1-F3268/K3268</x:f>
        <x:v>0.0010767286175740187</x:v>
      </x:c>
      <x:c r="M3268" s="73" t="n">
        <x:f>MAX(M3267,F3268)</x:f>
        <x:v>2.1361</x:v>
      </x:c>
      <x:c r="N3268" s="74" t="n">
        <x:f>1-F3268/M3268</x:f>
        <x:v>0.0010767286175740187</x:v>
      </x:c>
    </x:row>
    <x:row r="3269" ht="27" customHeight="1">
      <x:c r="A3269" s="66" t="str">
        <x:v>SEV580</x:v>
      </x:c>
      <x:c r="B3269" s="66" t="str">
        <x:v>祁腾蜂赢1号</x:v>
      </x:c>
      <x:c r="C3269" s="72" t="n">
        <x:v>45811</x:v>
      </x:c>
      <x:c r="D3269" s="73" t="n">
        <x:v>1.017</x:v>
      </x:c>
      <x:c r="E3269" s="73" t="n">
        <x:v>1.7931</x:v>
      </x:c>
      <x:c r="F3269" s="73" t="n">
        <x:v>2.1332</x:v>
      </x:c>
      <x:c r="G3269" s="74" t="n">
        <x:v>-0.0003</x:v>
      </x:c>
      <x:c r="H3269" s="66" t="str">
        <x:v>祁腾蜂赢1号净值20260911.xlsx</x:v>
      </x:c>
      <x:c r="I3269" s="73" t="str">
        <x:f>""</x:f>
      </x:c>
      <x:c r="J3269" s="74" t="str">
        <x:f>""</x:f>
      </x:c>
      <x:c r="K3269" s="73" t="n">
        <x:f>MAX(K3268,F3269)</x:f>
        <x:v>2.1361</x:v>
      </x:c>
      <x:c r="L3269" s="74" t="n">
        <x:f>1-F3269/K3269</x:f>
        <x:v>0.001357614343897695</x:v>
      </x:c>
      <x:c r="M3269" s="73" t="n">
        <x:f>MAX(M3268,F3269)</x:f>
        <x:v>2.1361</x:v>
      </x:c>
      <x:c r="N3269" s="74" t="n">
        <x:f>1-F3269/M3269</x:f>
        <x:v>0.001357614343897695</x:v>
      </x:c>
    </x:row>
    <x:row r="3270" ht="27" customHeight="1">
      <x:c r="A3270" s="66" t="str">
        <x:v>SEV580</x:v>
      </x:c>
      <x:c r="B3270" s="66" t="str">
        <x:v>祁腾蜂赢1号</x:v>
      </x:c>
      <x:c r="C3270" s="72" t="n">
        <x:v>45812</x:v>
      </x:c>
      <x:c r="D3270" s="73" t="n">
        <x:v>1.0168</x:v>
      </x:c>
      <x:c r="E3270" s="73" t="n">
        <x:v>1.7929</x:v>
      </x:c>
      <x:c r="F3270" s="73" t="n">
        <x:v>2.1327</x:v>
      </x:c>
      <x:c r="G3270" s="74" t="n">
        <x:v>-0.0002</x:v>
      </x:c>
      <x:c r="H3270" s="66" t="str">
        <x:v>祁腾蜂赢1号净值20260911.xlsx</x:v>
      </x:c>
      <x:c r="I3270" s="73" t="str">
        <x:f>""</x:f>
      </x:c>
      <x:c r="J3270" s="74" t="str">
        <x:f>""</x:f>
      </x:c>
      <x:c r="K3270" s="73" t="n">
        <x:f>MAX(K3269,F3270)</x:f>
        <x:v>2.1361</x:v>
      </x:c>
      <x:c r="L3270" s="74" t="n">
        <x:f>1-F3270/K3270</x:f>
        <x:v>0.0015916857825009068</x:v>
      </x:c>
      <x:c r="M3270" s="73" t="n">
        <x:f>MAX(M3269,F3270)</x:f>
        <x:v>2.1361</x:v>
      </x:c>
      <x:c r="N3270" s="74" t="n">
        <x:f>1-F3270/M3270</x:f>
        <x:v>0.0015916857825009068</x:v>
      </x:c>
    </x:row>
    <x:row r="3271" ht="27" customHeight="1">
      <x:c r="A3271" s="66" t="str">
        <x:v>SEV580</x:v>
      </x:c>
      <x:c r="B3271" s="66" t="str">
        <x:v>祁腾蜂赢1号</x:v>
      </x:c>
      <x:c r="C3271" s="72" t="n">
        <x:v>45813</x:v>
      </x:c>
      <x:c r="D3271" s="73" t="n">
        <x:v>1.0168</x:v>
      </x:c>
      <x:c r="E3271" s="73" t="n">
        <x:v>1.7929</x:v>
      </x:c>
      <x:c r="F3271" s="73" t="n">
        <x:v>2.1327</x:v>
      </x:c>
      <x:c r="G3271" s="74" t="n">
        <x:v>0</x:v>
      </x:c>
      <x:c r="H3271" s="66" t="str">
        <x:v>祁腾蜂赢1号净值20260911.xlsx</x:v>
      </x:c>
      <x:c r="I3271" s="73" t="str">
        <x:f>""</x:f>
      </x:c>
      <x:c r="J3271" s="74" t="str">
        <x:f>""</x:f>
      </x:c>
      <x:c r="K3271" s="73" t="n">
        <x:f>MAX(K3270,F3271)</x:f>
        <x:v>2.1361</x:v>
      </x:c>
      <x:c r="L3271" s="74" t="n">
        <x:f>1-F3271/K3271</x:f>
        <x:v>0.0015916857825009068</x:v>
      </x:c>
      <x:c r="M3271" s="73" t="n">
        <x:f>MAX(M3270,F3271)</x:f>
        <x:v>2.1361</x:v>
      </x:c>
      <x:c r="N3271" s="74" t="n">
        <x:f>1-F3271/M3271</x:f>
        <x:v>0.0015916857825009068</x:v>
      </x:c>
    </x:row>
    <x:row r="3272" ht="27" customHeight="1">
      <x:c r="A3272" s="66" t="str">
        <x:v>SEV580</x:v>
      </x:c>
      <x:c r="B3272" s="66" t="str">
        <x:v>祁腾蜂赢1号</x:v>
      </x:c>
      <x:c r="C3272" s="72" t="n">
        <x:v>45814</x:v>
      </x:c>
      <x:c r="D3272" s="73" t="n">
        <x:v>1.0168</x:v>
      </x:c>
      <x:c r="E3272" s="73" t="n">
        <x:v>1.7929</x:v>
      </x:c>
      <x:c r="F3272" s="73" t="n">
        <x:v>2.1327</x:v>
      </x:c>
      <x:c r="G3272" s="74" t="n">
        <x:v>0</x:v>
      </x:c>
      <x:c r="H3272" s="66" t="str">
        <x:v>祁腾蜂赢1号净值20260911.xlsx</x:v>
      </x:c>
      <x:c r="I3272" s="73" t="str">
        <x:f>""</x:f>
      </x:c>
      <x:c r="J3272" s="74" t="str">
        <x:f>""</x:f>
      </x:c>
      <x:c r="K3272" s="73" t="n">
        <x:f>MAX(K3271,F3272)</x:f>
        <x:v>2.1361</x:v>
      </x:c>
      <x:c r="L3272" s="74" t="n">
        <x:f>1-F3272/K3272</x:f>
        <x:v>0.0015916857825009068</x:v>
      </x:c>
      <x:c r="M3272" s="73" t="n">
        <x:f>MAX(M3271,F3272)</x:f>
        <x:v>2.1361</x:v>
      </x:c>
      <x:c r="N3272" s="74" t="n">
        <x:f>1-F3272/M3272</x:f>
        <x:v>0.0015916857825009068</x:v>
      </x:c>
    </x:row>
    <x:row r="3273" ht="27" customHeight="1">
      <x:c r="A3273" s="66" t="str">
        <x:v>SEV580</x:v>
      </x:c>
      <x:c r="B3273" s="66" t="str">
        <x:v>祁腾蜂赢1号</x:v>
      </x:c>
      <x:c r="C3273" s="72" t="n">
        <x:v>45817</x:v>
      </x:c>
      <x:c r="D3273" s="73" t="n">
        <x:v>1.0169</x:v>
      </x:c>
      <x:c r="E3273" s="73" t="n">
        <x:v>1.793</x:v>
      </x:c>
      <x:c r="F3273" s="73" t="n">
        <x:v>2.133</x:v>
      </x:c>
      <x:c r="G3273" s="74" t="n">
        <x:v>0.0001</x:v>
      </x:c>
      <x:c r="H3273" s="66" t="str">
        <x:v>祁腾蜂赢1号净值20260911.xlsx</x:v>
      </x:c>
      <x:c r="I3273" s="73" t="str">
        <x:f>""</x:f>
      </x:c>
      <x:c r="J3273" s="74" t="str">
        <x:f>""</x:f>
      </x:c>
      <x:c r="K3273" s="73" t="n">
        <x:f>MAX(K3272,F3273)</x:f>
        <x:v>2.1361</x:v>
      </x:c>
      <x:c r="L3273" s="74" t="n">
        <x:f>1-F3273/K3273</x:f>
        <x:v>0.0014512429193389575</x:v>
      </x:c>
      <x:c r="M3273" s="73" t="n">
        <x:f>MAX(M3272,F3273)</x:f>
        <x:v>2.1361</x:v>
      </x:c>
      <x:c r="N3273" s="74" t="n">
        <x:f>1-F3273/M3273</x:f>
        <x:v>0.0014512429193389575</x:v>
      </x:c>
    </x:row>
    <x:row r="3274" ht="27" customHeight="1">
      <x:c r="A3274" s="66" t="str">
        <x:v>SEV580</x:v>
      </x:c>
      <x:c r="B3274" s="66" t="str">
        <x:v>祁腾蜂赢1号</x:v>
      </x:c>
      <x:c r="C3274" s="72" t="n">
        <x:v>45818</x:v>
      </x:c>
      <x:c r="D3274" s="73" t="n">
        <x:v>1.0169</x:v>
      </x:c>
      <x:c r="E3274" s="73" t="n">
        <x:v>1.793</x:v>
      </x:c>
      <x:c r="F3274" s="73" t="n">
        <x:v>2.133</x:v>
      </x:c>
      <x:c r="G3274" s="74" t="n">
        <x:v>0</x:v>
      </x:c>
      <x:c r="H3274" s="66" t="str">
        <x:v>祁腾蜂赢1号净值20260911.xlsx</x:v>
      </x:c>
      <x:c r="I3274" s="73" t="str">
        <x:f>""</x:f>
      </x:c>
      <x:c r="J3274" s="74" t="str">
        <x:f>""</x:f>
      </x:c>
      <x:c r="K3274" s="73" t="n">
        <x:f>MAX(K3273,F3274)</x:f>
        <x:v>2.1361</x:v>
      </x:c>
      <x:c r="L3274" s="74" t="n">
        <x:f>1-F3274/K3274</x:f>
        <x:v>0.0014512429193389575</x:v>
      </x:c>
      <x:c r="M3274" s="73" t="n">
        <x:f>MAX(M3273,F3274)</x:f>
        <x:v>2.1361</x:v>
      </x:c>
      <x:c r="N3274" s="74" t="n">
        <x:f>1-F3274/M3274</x:f>
        <x:v>0.0014512429193389575</x:v>
      </x:c>
    </x:row>
    <x:row r="3275" ht="27" customHeight="1">
      <x:c r="A3275" s="66" t="str">
        <x:v>SEV580</x:v>
      </x:c>
      <x:c r="B3275" s="66" t="str">
        <x:v>祁腾蜂赢1号</x:v>
      </x:c>
      <x:c r="C3275" s="72" t="n">
        <x:v>45819</x:v>
      </x:c>
      <x:c r="D3275" s="73" t="n">
        <x:v>1.0171</x:v>
      </x:c>
      <x:c r="E3275" s="73" t="n">
        <x:v>1.7932</x:v>
      </x:c>
      <x:c r="F3275" s="73" t="n">
        <x:v>2.1334</x:v>
      </x:c>
      <x:c r="G3275" s="74" t="n">
        <x:v>0.0002</x:v>
      </x:c>
      <x:c r="H3275" s="66" t="str">
        <x:v>祁腾蜂赢1号净值20260911.xlsx</x:v>
      </x:c>
      <x:c r="I3275" s="73" t="str">
        <x:f>""</x:f>
      </x:c>
      <x:c r="J3275" s="74" t="str">
        <x:f>""</x:f>
      </x:c>
      <x:c r="K3275" s="73" t="n">
        <x:f>MAX(K3274,F3275)</x:f>
        <x:v>2.1361</x:v>
      </x:c>
      <x:c r="L3275" s="74" t="n">
        <x:f>1-F3275/K3275</x:f>
        <x:v>0.0012639857684565436</x:v>
      </x:c>
      <x:c r="M3275" s="73" t="n">
        <x:f>MAX(M3274,F3275)</x:f>
        <x:v>2.1361</x:v>
      </x:c>
      <x:c r="N3275" s="74" t="n">
        <x:f>1-F3275/M3275</x:f>
        <x:v>0.0012639857684565436</x:v>
      </x:c>
    </x:row>
    <x:row r="3276" ht="27" customHeight="1">
      <x:c r="A3276" s="66" t="str">
        <x:v>SEV580</x:v>
      </x:c>
      <x:c r="B3276" s="66" t="str">
        <x:v>祁腾蜂赢1号</x:v>
      </x:c>
      <x:c r="C3276" s="72" t="n">
        <x:v>45820</x:v>
      </x:c>
      <x:c r="D3276" s="73" t="n">
        <x:v>1.0164</x:v>
      </x:c>
      <x:c r="E3276" s="73" t="n">
        <x:v>1.7925</x:v>
      </x:c>
      <x:c r="F3276" s="73" t="n">
        <x:v>2.1319</x:v>
      </x:c>
      <x:c r="G3276" s="74" t="n">
        <x:v>-0.0007000000000000001</x:v>
      </x:c>
      <x:c r="H3276" s="66" t="str">
        <x:v>祁腾蜂赢1号净值20260911.xlsx</x:v>
      </x:c>
      <x:c r="I3276" s="73" t="str">
        <x:f>""</x:f>
      </x:c>
      <x:c r="J3276" s="74" t="str">
        <x:f>""</x:f>
      </x:c>
      <x:c r="K3276" s="73" t="n">
        <x:f>MAX(K3275,F3276)</x:f>
        <x:v>2.1361</x:v>
      </x:c>
      <x:c r="L3276" s="74" t="n">
        <x:f>1-F3276/K3276</x:f>
        <x:v>0.0019662000842657346</x:v>
      </x:c>
      <x:c r="M3276" s="73" t="n">
        <x:f>MAX(M3275,F3276)</x:f>
        <x:v>2.1361</x:v>
      </x:c>
      <x:c r="N3276" s="74" t="n">
        <x:f>1-F3276/M3276</x:f>
        <x:v>0.0019662000842657346</x:v>
      </x:c>
    </x:row>
    <x:row r="3277" ht="27" customHeight="1">
      <x:c r="A3277" s="66" t="str">
        <x:v>SEV580</x:v>
      </x:c>
      <x:c r="B3277" s="66" t="str">
        <x:v>祁腾蜂赢1号</x:v>
      </x:c>
      <x:c r="C3277" s="72" t="n">
        <x:v>45821</x:v>
      </x:c>
      <x:c r="D3277" s="73" t="n">
        <x:v>1.0165</x:v>
      </x:c>
      <x:c r="E3277" s="73" t="n">
        <x:v>1.7926</x:v>
      </x:c>
      <x:c r="F3277" s="73" t="n">
        <x:v>2.1321</x:v>
      </x:c>
      <x:c r="G3277" s="74" t="n">
        <x:v>0.0001</x:v>
      </x:c>
      <x:c r="H3277" s="66" t="str">
        <x:v>祁腾蜂赢1号净值20260911.xlsx</x:v>
      </x:c>
      <x:c r="I3277" s="73" t="str">
        <x:f>""</x:f>
      </x:c>
      <x:c r="J3277" s="74" t="str">
        <x:f>""</x:f>
      </x:c>
      <x:c r="K3277" s="73" t="n">
        <x:f>MAX(K3276,F3277)</x:f>
        <x:v>2.1361</x:v>
      </x:c>
      <x:c r="L3277" s="74" t="n">
        <x:f>1-F3277/K3277</x:f>
        <x:v>0.001872571508824472</x:v>
      </x:c>
      <x:c r="M3277" s="73" t="n">
        <x:f>MAX(M3276,F3277)</x:f>
        <x:v>2.1361</x:v>
      </x:c>
      <x:c r="N3277" s="74" t="n">
        <x:f>1-F3277/M3277</x:f>
        <x:v>0.001872571508824472</x:v>
      </x:c>
    </x:row>
    <x:row r="3278" ht="27" customHeight="1">
      <x:c r="A3278" s="66" t="str">
        <x:v>SEV580</x:v>
      </x:c>
      <x:c r="B3278" s="66" t="str">
        <x:v>祁腾蜂赢1号</x:v>
      </x:c>
      <x:c r="C3278" s="72" t="n">
        <x:v>45824</x:v>
      </x:c>
      <x:c r="D3278" s="73" t="n">
        <x:v>1.0163</x:v>
      </x:c>
      <x:c r="E3278" s="73" t="n">
        <x:v>1.7924</x:v>
      </x:c>
      <x:c r="F3278" s="73" t="n">
        <x:v>2.1317</x:v>
      </x:c>
      <x:c r="G3278" s="74" t="n">
        <x:v>-0.0002</x:v>
      </x:c>
      <x:c r="H3278" s="66" t="str">
        <x:v>祁腾蜂赢1号净值20260911.xlsx</x:v>
      </x:c>
      <x:c r="I3278" s="73" t="str">
        <x:f>""</x:f>
      </x:c>
      <x:c r="J3278" s="74" t="str">
        <x:f>""</x:f>
      </x:c>
      <x:c r="K3278" s="73" t="n">
        <x:f>MAX(K3277,F3278)</x:f>
        <x:v>2.1361</x:v>
      </x:c>
      <x:c r="L3278" s="74" t="n">
        <x:f>1-F3278/K3278</x:f>
        <x:v>0.002059828659706886</x:v>
      </x:c>
      <x:c r="M3278" s="73" t="n">
        <x:f>MAX(M3277,F3278)</x:f>
        <x:v>2.1361</x:v>
      </x:c>
      <x:c r="N3278" s="74" t="n">
        <x:f>1-F3278/M3278</x:f>
        <x:v>0.002059828659706886</x:v>
      </x:c>
    </x:row>
    <x:row r="3279" ht="27" customHeight="1">
      <x:c r="A3279" s="66" t="str">
        <x:v>SEV580</x:v>
      </x:c>
      <x:c r="B3279" s="66" t="str">
        <x:v>祁腾蜂赢1号</x:v>
      </x:c>
      <x:c r="C3279" s="72" t="n">
        <x:v>45825</x:v>
      </x:c>
      <x:c r="D3279" s="73" t="n">
        <x:v>1.0165</x:v>
      </x:c>
      <x:c r="E3279" s="73" t="n">
        <x:v>1.7926</x:v>
      </x:c>
      <x:c r="F3279" s="73" t="n">
        <x:v>2.1321</x:v>
      </x:c>
      <x:c r="G3279" s="74" t="n">
        <x:v>0.0002</x:v>
      </x:c>
      <x:c r="H3279" s="66" t="str">
        <x:v>祁腾蜂赢1号净值20260911.xlsx</x:v>
      </x:c>
      <x:c r="I3279" s="73" t="str">
        <x:f>""</x:f>
      </x:c>
      <x:c r="J3279" s="74" t="str">
        <x:f>""</x:f>
      </x:c>
      <x:c r="K3279" s="73" t="n">
        <x:f>MAX(K3278,F3279)</x:f>
        <x:v>2.1361</x:v>
      </x:c>
      <x:c r="L3279" s="74" t="n">
        <x:f>1-F3279/K3279</x:f>
        <x:v>0.001872571508824472</x:v>
      </x:c>
      <x:c r="M3279" s="73" t="n">
        <x:f>MAX(M3278,F3279)</x:f>
        <x:v>2.1361</x:v>
      </x:c>
      <x:c r="N3279" s="74" t="n">
        <x:f>1-F3279/M3279</x:f>
        <x:v>0.001872571508824472</x:v>
      </x:c>
    </x:row>
    <x:row r="3280" ht="27" customHeight="1">
      <x:c r="A3280" s="66" t="str">
        <x:v>SEV580</x:v>
      </x:c>
      <x:c r="B3280" s="66" t="str">
        <x:v>祁腾蜂赢1号</x:v>
      </x:c>
      <x:c r="C3280" s="72" t="n">
        <x:v>45826</x:v>
      </x:c>
      <x:c r="D3280" s="73" t="n">
        <x:v>1.0159</x:v>
      </x:c>
      <x:c r="E3280" s="73" t="n">
        <x:v>1.792</x:v>
      </x:c>
      <x:c r="F3280" s="73" t="n">
        <x:v>2.1309</x:v>
      </x:c>
      <x:c r="G3280" s="74" t="n">
        <x:v>-0.0006</x:v>
      </x:c>
      <x:c r="H3280" s="66" t="str">
        <x:v>祁腾蜂赢1号净值20260911.xlsx</x:v>
      </x:c>
      <x:c r="I3280" s="73" t="str">
        <x:f>""</x:f>
      </x:c>
      <x:c r="J3280" s="74" t="str">
        <x:f>""</x:f>
      </x:c>
      <x:c r="K3280" s="73" t="n">
        <x:f>MAX(K3279,F3280)</x:f>
        <x:v>2.1361</x:v>
      </x:c>
      <x:c r="L3280" s="74" t="n">
        <x:f>1-F3280/K3280</x:f>
        <x:v>0.002434342961471825</x:v>
      </x:c>
      <x:c r="M3280" s="73" t="n">
        <x:f>MAX(M3279,F3280)</x:f>
        <x:v>2.1361</x:v>
      </x:c>
      <x:c r="N3280" s="74" t="n">
        <x:f>1-F3280/M3280</x:f>
        <x:v>0.002434342961471825</x:v>
      </x:c>
    </x:row>
    <x:row r="3281" ht="27" customHeight="1">
      <x:c r="A3281" s="66" t="str">
        <x:v>SEV580</x:v>
      </x:c>
      <x:c r="B3281" s="66" t="str">
        <x:v>祁腾蜂赢1号</x:v>
      </x:c>
      <x:c r="C3281" s="72" t="n">
        <x:v>45827</x:v>
      </x:c>
      <x:c r="D3281" s="73" t="n">
        <x:v>1.0162</x:v>
      </x:c>
      <x:c r="E3281" s="73" t="n">
        <x:v>1.7923</x:v>
      </x:c>
      <x:c r="F3281" s="73" t="n">
        <x:v>2.1315</x:v>
      </x:c>
      <x:c r="G3281" s="74" t="n">
        <x:v>0.0003</x:v>
      </x:c>
      <x:c r="H3281" s="66" t="str">
        <x:v>祁腾蜂赢1号净值20260911.xlsx</x:v>
      </x:c>
      <x:c r="I3281" s="73" t="str">
        <x:f>""</x:f>
      </x:c>
      <x:c r="J3281" s="74" t="str">
        <x:f>""</x:f>
      </x:c>
      <x:c r="K3281" s="73" t="n">
        <x:f>MAX(K3280,F3281)</x:f>
        <x:v>2.1361</x:v>
      </x:c>
      <x:c r="L3281" s="74" t="n">
        <x:f>1-F3281/K3281</x:f>
        <x:v>0.0021534572351481485</x:v>
      </x:c>
      <x:c r="M3281" s="73" t="n">
        <x:f>MAX(M3280,F3281)</x:f>
        <x:v>2.1361</x:v>
      </x:c>
      <x:c r="N3281" s="74" t="n">
        <x:f>1-F3281/M3281</x:f>
        <x:v>0.0021534572351481485</x:v>
      </x:c>
    </x:row>
    <x:row r="3282" ht="27" customHeight="1">
      <x:c r="A3282" s="66" t="str">
        <x:v>SEV580</x:v>
      </x:c>
      <x:c r="B3282" s="66" t="str">
        <x:v>祁腾蜂赢1号</x:v>
      </x:c>
      <x:c r="C3282" s="72" t="n">
        <x:v>45828</x:v>
      </x:c>
      <x:c r="D3282" s="73" t="n">
        <x:v>1.0161</x:v>
      </x:c>
      <x:c r="E3282" s="73" t="n">
        <x:v>1.7922</x:v>
      </x:c>
      <x:c r="F3282" s="73" t="n">
        <x:v>2.1313</x:v>
      </x:c>
      <x:c r="G3282" s="74" t="n">
        <x:v>-0.0001</x:v>
      </x:c>
      <x:c r="H3282" s="66" t="str">
        <x:v>祁腾蜂赢1号净值20260911.xlsx</x:v>
      </x:c>
      <x:c r="I3282" s="73" t="str">
        <x:f>""</x:f>
      </x:c>
      <x:c r="J3282" s="74" t="str">
        <x:f>""</x:f>
      </x:c>
      <x:c r="K3282" s="73" t="n">
        <x:f>MAX(K3281,F3282)</x:f>
        <x:v>2.1361</x:v>
      </x:c>
      <x:c r="L3282" s="74" t="n">
        <x:f>1-F3282/K3282</x:f>
        <x:v>0.0022470858105893</x:v>
      </x:c>
      <x:c r="M3282" s="73" t="n">
        <x:f>MAX(M3281,F3282)</x:f>
        <x:v>2.1361</x:v>
      </x:c>
      <x:c r="N3282" s="74" t="n">
        <x:f>1-F3282/M3282</x:f>
        <x:v>0.0022470858105893</x:v>
      </x:c>
    </x:row>
    <x:row r="3283" ht="27" customHeight="1">
      <x:c r="A3283" s="66" t="str">
        <x:v>SEV580</x:v>
      </x:c>
      <x:c r="B3283" s="66" t="str">
        <x:v>祁腾蜂赢1号</x:v>
      </x:c>
      <x:c r="C3283" s="72" t="n">
        <x:v>45831</x:v>
      </x:c>
      <x:c r="D3283" s="73" t="n">
        <x:v>1.0176</x:v>
      </x:c>
      <x:c r="E3283" s="73" t="n">
        <x:v>1.7937</x:v>
      </x:c>
      <x:c r="F3283" s="73" t="n">
        <x:v>2.1344</x:v>
      </x:c>
      <x:c r="G3283" s="74" t="n">
        <x:v>0.0015</x:v>
      </x:c>
      <x:c r="H3283" s="66" t="str">
        <x:v>祁腾蜂赢1号净值20260911.xlsx</x:v>
      </x:c>
      <x:c r="I3283" s="73" t="str">
        <x:f>""</x:f>
      </x:c>
      <x:c r="J3283" s="74" t="str">
        <x:f>""</x:f>
      </x:c>
      <x:c r="K3283" s="73" t="n">
        <x:f>MAX(K3282,F3283)</x:f>
        <x:v>2.1361</x:v>
      </x:c>
      <x:c r="L3283" s="74" t="n">
        <x:f>1-F3283/K3283</x:f>
        <x:v>0.0007958428912504534</x:v>
      </x:c>
      <x:c r="M3283" s="73" t="n">
        <x:f>MAX(M3282,F3283)</x:f>
        <x:v>2.1361</x:v>
      </x:c>
      <x:c r="N3283" s="74" t="n">
        <x:f>1-F3283/M3283</x:f>
        <x:v>0.0007958428912504534</x:v>
      </x:c>
    </x:row>
    <x:row r="3284" ht="27" customHeight="1">
      <x:c r="A3284" s="66" t="str">
        <x:v>SEV580</x:v>
      </x:c>
      <x:c r="B3284" s="66" t="str">
        <x:v>祁腾蜂赢1号</x:v>
      </x:c>
      <x:c r="C3284" s="72" t="n">
        <x:v>45832</x:v>
      </x:c>
      <x:c r="D3284" s="73" t="n">
        <x:v>1.0173</x:v>
      </x:c>
      <x:c r="E3284" s="73" t="n">
        <x:v>1.7934</x:v>
      </x:c>
      <x:c r="F3284" s="73" t="n">
        <x:v>2.1338</x:v>
      </x:c>
      <x:c r="G3284" s="74" t="n">
        <x:v>-0.0003</x:v>
      </x:c>
      <x:c r="H3284" s="66" t="str">
        <x:v>祁腾蜂赢1号净值20260911.xlsx</x:v>
      </x:c>
      <x:c r="I3284" s="73" t="str">
        <x:f>""</x:f>
      </x:c>
      <x:c r="J3284" s="74" t="str">
        <x:f>""</x:f>
      </x:c>
      <x:c r="K3284" s="73" t="n">
        <x:f>MAX(K3283,F3284)</x:f>
        <x:v>2.1361</x:v>
      </x:c>
      <x:c r="L3284" s="74" t="n">
        <x:f>1-F3284/K3284</x:f>
        <x:v>0.0010767286175740187</x:v>
      </x:c>
      <x:c r="M3284" s="73" t="n">
        <x:f>MAX(M3283,F3284)</x:f>
        <x:v>2.1361</x:v>
      </x:c>
      <x:c r="N3284" s="74" t="n">
        <x:f>1-F3284/M3284</x:f>
        <x:v>0.0010767286175740187</x:v>
      </x:c>
    </x:row>
    <x:row r="3285" ht="27" customHeight="1">
      <x:c r="A3285" s="66" t="str">
        <x:v>SEV580</x:v>
      </x:c>
      <x:c r="B3285" s="66" t="str">
        <x:v>祁腾蜂赢1号</x:v>
      </x:c>
      <x:c r="C3285" s="72" t="n">
        <x:v>45833</x:v>
      </x:c>
      <x:c r="D3285" s="73" t="n">
        <x:v>1.017</x:v>
      </x:c>
      <x:c r="E3285" s="73" t="n">
        <x:v>1.7931</x:v>
      </x:c>
      <x:c r="F3285" s="73" t="n">
        <x:v>2.1332</x:v>
      </x:c>
      <x:c r="G3285" s="74" t="n">
        <x:v>-0.0003</x:v>
      </x:c>
      <x:c r="H3285" s="66" t="str">
        <x:v>祁腾蜂赢1号净值20260911.xlsx</x:v>
      </x:c>
      <x:c r="I3285" s="73" t="str">
        <x:f>""</x:f>
      </x:c>
      <x:c r="J3285" s="74" t="str">
        <x:f>""</x:f>
      </x:c>
      <x:c r="K3285" s="73" t="n">
        <x:f>MAX(K3284,F3285)</x:f>
        <x:v>2.1361</x:v>
      </x:c>
      <x:c r="L3285" s="74" t="n">
        <x:f>1-F3285/K3285</x:f>
        <x:v>0.001357614343897695</x:v>
      </x:c>
      <x:c r="M3285" s="73" t="n">
        <x:f>MAX(M3284,F3285)</x:f>
        <x:v>2.1361</x:v>
      </x:c>
      <x:c r="N3285" s="74" t="n">
        <x:f>1-F3285/M3285</x:f>
        <x:v>0.001357614343897695</x:v>
      </x:c>
    </x:row>
    <x:row r="3286" ht="27" customHeight="1">
      <x:c r="A3286" s="66" t="str">
        <x:v>SEV580</x:v>
      </x:c>
      <x:c r="B3286" s="66" t="str">
        <x:v>祁腾蜂赢1号</x:v>
      </x:c>
      <x:c r="C3286" s="72" t="n">
        <x:v>45834</x:v>
      </x:c>
      <x:c r="D3286" s="73" t="n">
        <x:v>1.0173</x:v>
      </x:c>
      <x:c r="E3286" s="73" t="n">
        <x:v>1.7934</x:v>
      </x:c>
      <x:c r="F3286" s="73" t="n">
        <x:v>2.1338</x:v>
      </x:c>
      <x:c r="G3286" s="74" t="n">
        <x:v>0.0003</x:v>
      </x:c>
      <x:c r="H3286" s="66" t="str">
        <x:v>祁腾蜂赢1号净值20260911.xlsx</x:v>
      </x:c>
      <x:c r="I3286" s="73" t="str">
        <x:f>""</x:f>
      </x:c>
      <x:c r="J3286" s="74" t="str">
        <x:f>""</x:f>
      </x:c>
      <x:c r="K3286" s="73" t="n">
        <x:f>MAX(K3285,F3286)</x:f>
        <x:v>2.1361</x:v>
      </x:c>
      <x:c r="L3286" s="74" t="n">
        <x:f>1-F3286/K3286</x:f>
        <x:v>0.0010767286175740187</x:v>
      </x:c>
      <x:c r="M3286" s="73" t="n">
        <x:f>MAX(M3285,F3286)</x:f>
        <x:v>2.1361</x:v>
      </x:c>
      <x:c r="N3286" s="74" t="n">
        <x:f>1-F3286/M3286</x:f>
        <x:v>0.0010767286175740187</x:v>
      </x:c>
    </x:row>
    <x:row r="3287" ht="27" customHeight="1">
      <x:c r="A3287" s="66" t="str">
        <x:v>SEV580</x:v>
      </x:c>
      <x:c r="B3287" s="66" t="str">
        <x:v>祁腾蜂赢1号</x:v>
      </x:c>
      <x:c r="C3287" s="72" t="n">
        <x:v>45835</x:v>
      </x:c>
      <x:c r="D3287" s="73" t="n">
        <x:v>1.0176</x:v>
      </x:c>
      <x:c r="E3287" s="73" t="n">
        <x:v>1.7937</x:v>
      </x:c>
      <x:c r="F3287" s="73" t="n">
        <x:v>2.1344</x:v>
      </x:c>
      <x:c r="G3287" s="74" t="n">
        <x:v>0.0003</x:v>
      </x:c>
      <x:c r="H3287" s="66" t="str">
        <x:v>祁腾蜂赢1号净值20260911.xlsx</x:v>
      </x:c>
      <x:c r="I3287" s="73" t="str">
        <x:f>""</x:f>
      </x:c>
      <x:c r="J3287" s="74" t="str">
        <x:f>""</x:f>
      </x:c>
      <x:c r="K3287" s="73" t="n">
        <x:f>MAX(K3286,F3287)</x:f>
        <x:v>2.1361</x:v>
      </x:c>
      <x:c r="L3287" s="74" t="n">
        <x:f>1-F3287/K3287</x:f>
        <x:v>0.0007958428912504534</x:v>
      </x:c>
      <x:c r="M3287" s="73" t="n">
        <x:f>MAX(M3286,F3287)</x:f>
        <x:v>2.1361</x:v>
      </x:c>
      <x:c r="N3287" s="74" t="n">
        <x:f>1-F3287/M3287</x:f>
        <x:v>0.0007958428912504534</x:v>
      </x:c>
    </x:row>
    <x:row r="3288" ht="27" customHeight="1">
      <x:c r="A3288" s="66" t="str">
        <x:v>SEV580</x:v>
      </x:c>
      <x:c r="B3288" s="66" t="str">
        <x:v>祁腾蜂赢1号</x:v>
      </x:c>
      <x:c r="C3288" s="72" t="n">
        <x:v>45838</x:v>
      </x:c>
      <x:c r="D3288" s="73" t="n">
        <x:v>1.0171</x:v>
      </x:c>
      <x:c r="E3288" s="73" t="n">
        <x:v>1.7932</x:v>
      </x:c>
      <x:c r="F3288" s="73" t="n">
        <x:v>2.1334</x:v>
      </x:c>
      <x:c r="G3288" s="74" t="n">
        <x:v>-0.0005</x:v>
      </x:c>
      <x:c r="H3288" s="66" t="str">
        <x:v>祁腾蜂赢1号净值20260911.xlsx</x:v>
      </x:c>
      <x:c r="I3288" s="73" t="str">
        <x:f>""</x:f>
      </x:c>
      <x:c r="J3288" s="74" t="str">
        <x:f>""</x:f>
      </x:c>
      <x:c r="K3288" s="73" t="n">
        <x:f>MAX(K3287,F3288)</x:f>
        <x:v>2.1361</x:v>
      </x:c>
      <x:c r="L3288" s="74" t="n">
        <x:f>1-F3288/K3288</x:f>
        <x:v>0.0012639857684565436</x:v>
      </x:c>
      <x:c r="M3288" s="73" t="n">
        <x:f>MAX(M3287,F3288)</x:f>
        <x:v>2.1361</x:v>
      </x:c>
      <x:c r="N3288" s="74" t="n">
        <x:f>1-F3288/M3288</x:f>
        <x:v>0.0012639857684565436</x:v>
      </x:c>
    </x:row>
    <x:row r="3289" ht="27" customHeight="1">
      <x:c r="A3289" s="66" t="str">
        <x:v>SEV580</x:v>
      </x:c>
      <x:c r="B3289" s="66" t="str">
        <x:v>祁腾蜂赢1号</x:v>
      </x:c>
      <x:c r="C3289" s="72" t="n">
        <x:v>45839</x:v>
      </x:c>
      <x:c r="D3289" s="73" t="n">
        <x:v>1.0173</x:v>
      </x:c>
      <x:c r="E3289" s="73" t="n">
        <x:v>1.7934</x:v>
      </x:c>
      <x:c r="F3289" s="73" t="n">
        <x:v>2.1338</x:v>
      </x:c>
      <x:c r="G3289" s="74" t="n">
        <x:v>0.0002</x:v>
      </x:c>
      <x:c r="H3289" s="66" t="str">
        <x:v>祁腾蜂赢1号净值20260911.xlsx</x:v>
      </x:c>
      <x:c r="I3289" s="73" t="str">
        <x:f>""</x:f>
      </x:c>
      <x:c r="J3289" s="74" t="str">
        <x:f>""</x:f>
      </x:c>
      <x:c r="K3289" s="73" t="n">
        <x:f>MAX(K3288,F3289)</x:f>
        <x:v>2.1361</x:v>
      </x:c>
      <x:c r="L3289" s="74" t="n">
        <x:f>1-F3289/K3289</x:f>
        <x:v>0.0010767286175740187</x:v>
      </x:c>
      <x:c r="M3289" s="73" t="n">
        <x:f>MAX(M3288,F3289)</x:f>
        <x:v>2.1361</x:v>
      </x:c>
      <x:c r="N3289" s="74" t="n">
        <x:f>1-F3289/M3289</x:f>
        <x:v>0.0010767286175740187</x:v>
      </x:c>
    </x:row>
    <x:row r="3290" ht="27" customHeight="1">
      <x:c r="A3290" s="66" t="str">
        <x:v>SEV580</x:v>
      </x:c>
      <x:c r="B3290" s="66" t="str">
        <x:v>祁腾蜂赢1号</x:v>
      </x:c>
      <x:c r="C3290" s="72" t="n">
        <x:v>45840</x:v>
      </x:c>
      <x:c r="D3290" s="73" t="n">
        <x:v>1</x:v>
      </x:c>
      <x:c r="E3290" s="73" t="n">
        <x:v>1.7935</x:v>
      </x:c>
      <x:c r="F3290" s="73" t="n">
        <x:v>2.134</x:v>
      </x:c>
      <x:c r="G3290" s="74" t="n">
        <x:v>0.0001</x:v>
      </x:c>
      <x:c r="H3290" s="66" t="str">
        <x:v>祁腾蜂赢1号净值20260911.xlsx</x:v>
      </x:c>
      <x:c r="I3290" s="73" t="str">
        <x:f>""</x:f>
      </x:c>
      <x:c r="J3290" s="74" t="str">
        <x:f>""</x:f>
      </x:c>
      <x:c r="K3290" s="73" t="n">
        <x:f>MAX(K3289,F3290)</x:f>
        <x:v>2.1361</x:v>
      </x:c>
      <x:c r="L3290" s="74" t="n">
        <x:f>1-F3290/K3290</x:f>
        <x:v>0.0009831000421328673</x:v>
      </x:c>
      <x:c r="M3290" s="73" t="n">
        <x:f>MAX(M3289,F3290)</x:f>
        <x:v>2.1361</x:v>
      </x:c>
      <x:c r="N3290" s="74" t="n">
        <x:f>1-F3290/M3290</x:f>
        <x:v>0.0009831000421328673</x:v>
      </x:c>
    </x:row>
    <x:row r="3291" ht="27" customHeight="1">
      <x:c r="A3291" s="66" t="str">
        <x:v>SEV580</x:v>
      </x:c>
      <x:c r="B3291" s="66" t="str">
        <x:v>祁腾蜂赢1号</x:v>
      </x:c>
      <x:c r="C3291" s="72" t="n">
        <x:v>45841</x:v>
      </x:c>
      <x:c r="D3291" s="73" t="n">
        <x:v>1</x:v>
      </x:c>
      <x:c r="E3291" s="73" t="n">
        <x:v>1.7935</x:v>
      </x:c>
      <x:c r="F3291" s="73" t="n">
        <x:v>2.134</x:v>
      </x:c>
      <x:c r="G3291" s="74" t="n">
        <x:v>0</x:v>
      </x:c>
      <x:c r="H3291" s="66" t="str">
        <x:v>祁腾蜂赢1号净值20260911.xlsx</x:v>
      </x:c>
      <x:c r="I3291" s="73" t="str">
        <x:f>""</x:f>
      </x:c>
      <x:c r="J3291" s="74" t="str">
        <x:f>""</x:f>
      </x:c>
      <x:c r="K3291" s="73" t="n">
        <x:f>MAX(K3290,F3291)</x:f>
        <x:v>2.1361</x:v>
      </x:c>
      <x:c r="L3291" s="74" t="n">
        <x:f>1-F3291/K3291</x:f>
        <x:v>0.0009831000421328673</x:v>
      </x:c>
      <x:c r="M3291" s="73" t="n">
        <x:f>MAX(M3290,F3291)</x:f>
        <x:v>2.1361</x:v>
      </x:c>
      <x:c r="N3291" s="74" t="n">
        <x:f>1-F3291/M3291</x:f>
        <x:v>0.0009831000421328673</x:v>
      </x:c>
    </x:row>
    <x:row r="3292" ht="27" customHeight="1">
      <x:c r="A3292" s="66" t="str">
        <x:v>SEV580</x:v>
      </x:c>
      <x:c r="B3292" s="66" t="str">
        <x:v>祁腾蜂赢1号</x:v>
      </x:c>
      <x:c r="C3292" s="72" t="n">
        <x:v>45842</x:v>
      </x:c>
      <x:c r="D3292" s="73" t="n">
        <x:v>0.9996</x:v>
      </x:c>
      <x:c r="E3292" s="73" t="n">
        <x:v>1.7931</x:v>
      </x:c>
      <x:c r="F3292" s="73" t="n">
        <x:v>2.1332</x:v>
      </x:c>
      <x:c r="G3292" s="74" t="n">
        <x:v>-0.0004</x:v>
      </x:c>
      <x:c r="H3292" s="66" t="str">
        <x:v>祁腾蜂赢1号净值20260911.xlsx</x:v>
      </x:c>
      <x:c r="I3292" s="73" t="str">
        <x:f>""</x:f>
      </x:c>
      <x:c r="J3292" s="74" t="str">
        <x:f>""</x:f>
      </x:c>
      <x:c r="K3292" s="73" t="n">
        <x:f>MAX(K3291,F3292)</x:f>
        <x:v>2.1361</x:v>
      </x:c>
      <x:c r="L3292" s="74" t="n">
        <x:f>1-F3292/K3292</x:f>
        <x:v>0.001357614343897695</x:v>
      </x:c>
      <x:c r="M3292" s="73" t="n">
        <x:f>MAX(M3291,F3292)</x:f>
        <x:v>2.1361</x:v>
      </x:c>
      <x:c r="N3292" s="74" t="n">
        <x:f>1-F3292/M3292</x:f>
        <x:v>0.001357614343897695</x:v>
      </x:c>
    </x:row>
    <x:row r="3293" ht="27" customHeight="1">
      <x:c r="A3293" s="66" t="str">
        <x:v>SEV580</x:v>
      </x:c>
      <x:c r="B3293" s="66" t="str">
        <x:v>祁腾蜂赢1号</x:v>
      </x:c>
      <x:c r="C3293" s="72" t="n">
        <x:v>45845</x:v>
      </x:c>
      <x:c r="D3293" s="73" t="n">
        <x:v>0.9995</x:v>
      </x:c>
      <x:c r="E3293" s="73" t="n">
        <x:v>1.793</x:v>
      </x:c>
      <x:c r="F3293" s="73" t="n">
        <x:v>2.1329</x:v>
      </x:c>
      <x:c r="G3293" s="74" t="n">
        <x:v>-0.0001</x:v>
      </x:c>
      <x:c r="H3293" s="66" t="str">
        <x:v>祁腾蜂赢1号净值20260911.xlsx</x:v>
      </x:c>
      <x:c r="I3293" s="73" t="str">
        <x:f>""</x:f>
      </x:c>
      <x:c r="J3293" s="74" t="str">
        <x:f>""</x:f>
      </x:c>
      <x:c r="K3293" s="73" t="n">
        <x:f>MAX(K3292,F3293)</x:f>
        <x:v>2.1361</x:v>
      </x:c>
      <x:c r="L3293" s="74" t="n">
        <x:f>1-F3293/K3293</x:f>
        <x:v>0.0014980572070596443</x:v>
      </x:c>
      <x:c r="M3293" s="73" t="n">
        <x:f>MAX(M3292,F3293)</x:f>
        <x:v>2.1361</x:v>
      </x:c>
      <x:c r="N3293" s="74" t="n">
        <x:f>1-F3293/M3293</x:f>
        <x:v>0.0014980572070596443</x:v>
      </x:c>
    </x:row>
    <x:row r="3294" ht="27" customHeight="1">
      <x:c r="A3294" s="66" t="str">
        <x:v>SEV580</x:v>
      </x:c>
      <x:c r="B3294" s="66" t="str">
        <x:v>祁腾蜂赢1号</x:v>
      </x:c>
      <x:c r="C3294" s="72" t="n">
        <x:v>45846</x:v>
      </x:c>
      <x:c r="D3294" s="73" t="n">
        <x:v>0.9996</x:v>
      </x:c>
      <x:c r="E3294" s="73" t="n">
        <x:v>1.7931</x:v>
      </x:c>
      <x:c r="F3294" s="73" t="n">
        <x:v>2.1332</x:v>
      </x:c>
      <x:c r="G3294" s="74" t="n">
        <x:v>0.0001</x:v>
      </x:c>
      <x:c r="H3294" s="66" t="str">
        <x:v>祁腾蜂赢1号净值20260911.xlsx</x:v>
      </x:c>
      <x:c r="I3294" s="73" t="str">
        <x:f>""</x:f>
      </x:c>
      <x:c r="J3294" s="74" t="str">
        <x:f>""</x:f>
      </x:c>
      <x:c r="K3294" s="73" t="n">
        <x:f>MAX(K3293,F3294)</x:f>
        <x:v>2.1361</x:v>
      </x:c>
      <x:c r="L3294" s="74" t="n">
        <x:f>1-F3294/K3294</x:f>
        <x:v>0.001357614343897695</x:v>
      </x:c>
      <x:c r="M3294" s="73" t="n">
        <x:f>MAX(M3293,F3294)</x:f>
        <x:v>2.1361</x:v>
      </x:c>
      <x:c r="N3294" s="74" t="n">
        <x:f>1-F3294/M3294</x:f>
        <x:v>0.001357614343897695</x:v>
      </x:c>
    </x:row>
    <x:row r="3295" ht="27" customHeight="1">
      <x:c r="A3295" s="66" t="str">
        <x:v>SEV580</x:v>
      </x:c>
      <x:c r="B3295" s="66" t="str">
        <x:v>祁腾蜂赢1号</x:v>
      </x:c>
      <x:c r="C3295" s="72" t="n">
        <x:v>45847</x:v>
      </x:c>
      <x:c r="D3295" s="73" t="n">
        <x:v>0.9995</x:v>
      </x:c>
      <x:c r="E3295" s="73" t="n">
        <x:v>1.793</x:v>
      </x:c>
      <x:c r="F3295" s="73" t="n">
        <x:v>2.1329</x:v>
      </x:c>
      <x:c r="G3295" s="74" t="n">
        <x:v>-0.0001</x:v>
      </x:c>
      <x:c r="H3295" s="66" t="str">
        <x:v>祁腾蜂赢1号净值20260911.xlsx</x:v>
      </x:c>
      <x:c r="I3295" s="73" t="str">
        <x:f>""</x:f>
      </x:c>
      <x:c r="J3295" s="74" t="str">
        <x:f>""</x:f>
      </x:c>
      <x:c r="K3295" s="73" t="n">
        <x:f>MAX(K3294,F3295)</x:f>
        <x:v>2.1361</x:v>
      </x:c>
      <x:c r="L3295" s="74" t="n">
        <x:f>1-F3295/K3295</x:f>
        <x:v>0.0014980572070596443</x:v>
      </x:c>
      <x:c r="M3295" s="73" t="n">
        <x:f>MAX(M3294,F3295)</x:f>
        <x:v>2.1361</x:v>
      </x:c>
      <x:c r="N3295" s="74" t="n">
        <x:f>1-F3295/M3295</x:f>
        <x:v>0.0014980572070596443</x:v>
      </x:c>
    </x:row>
    <x:row r="3296" ht="27" customHeight="1">
      <x:c r="A3296" s="66" t="str">
        <x:v>SEV580</x:v>
      </x:c>
      <x:c r="B3296" s="66" t="str">
        <x:v>祁腾蜂赢1号</x:v>
      </x:c>
      <x:c r="C3296" s="72" t="n">
        <x:v>45848</x:v>
      </x:c>
      <x:c r="D3296" s="73" t="n">
        <x:v>0.9995</x:v>
      </x:c>
      <x:c r="E3296" s="73" t="n">
        <x:v>1.793</x:v>
      </x:c>
      <x:c r="F3296" s="73" t="n">
        <x:v>2.1329</x:v>
      </x:c>
      <x:c r="G3296" s="74" t="n">
        <x:v>0</x:v>
      </x:c>
      <x:c r="H3296" s="66" t="str">
        <x:v>祁腾蜂赢1号净值20260911.xlsx</x:v>
      </x:c>
      <x:c r="I3296" s="73" t="str">
        <x:f>""</x:f>
      </x:c>
      <x:c r="J3296" s="74" t="str">
        <x:f>""</x:f>
      </x:c>
      <x:c r="K3296" s="73" t="n">
        <x:f>MAX(K3295,F3296)</x:f>
        <x:v>2.1361</x:v>
      </x:c>
      <x:c r="L3296" s="74" t="n">
        <x:f>1-F3296/K3296</x:f>
        <x:v>0.0014980572070596443</x:v>
      </x:c>
      <x:c r="M3296" s="73" t="n">
        <x:f>MAX(M3295,F3296)</x:f>
        <x:v>2.1361</x:v>
      </x:c>
      <x:c r="N3296" s="74" t="n">
        <x:f>1-F3296/M3296</x:f>
        <x:v>0.0014980572070596443</x:v>
      </x:c>
    </x:row>
    <x:row r="3297" ht="27" customHeight="1">
      <x:c r="A3297" s="66" t="str">
        <x:v>SEV580</x:v>
      </x:c>
      <x:c r="B3297" s="66" t="str">
        <x:v>祁腾蜂赢1号</x:v>
      </x:c>
      <x:c r="C3297" s="72" t="n">
        <x:v>45849</x:v>
      </x:c>
      <x:c r="D3297" s="73" t="n">
        <x:v>0.9991</x:v>
      </x:c>
      <x:c r="E3297" s="73" t="n">
        <x:v>1.7926</x:v>
      </x:c>
      <x:c r="F3297" s="73" t="n">
        <x:v>2.1321</x:v>
      </x:c>
      <x:c r="G3297" s="74" t="n">
        <x:v>-0.0004</x:v>
      </x:c>
      <x:c r="H3297" s="66" t="str">
        <x:v>祁腾蜂赢1号净值20260911.xlsx</x:v>
      </x:c>
      <x:c r="I3297" s="73" t="str">
        <x:f>""</x:f>
      </x:c>
      <x:c r="J3297" s="74" t="str">
        <x:f>""</x:f>
      </x:c>
      <x:c r="K3297" s="73" t="n">
        <x:f>MAX(K3296,F3297)</x:f>
        <x:v>2.1361</x:v>
      </x:c>
      <x:c r="L3297" s="74" t="n">
        <x:f>1-F3297/K3297</x:f>
        <x:v>0.001872571508824472</x:v>
      </x:c>
      <x:c r="M3297" s="73" t="n">
        <x:f>MAX(M3296,F3297)</x:f>
        <x:v>2.1361</x:v>
      </x:c>
      <x:c r="N3297" s="74" t="n">
        <x:f>1-F3297/M3297</x:f>
        <x:v>0.001872571508824472</x:v>
      </x:c>
    </x:row>
    <x:row r="3298" ht="27" customHeight="1">
      <x:c r="A3298" s="66" t="str">
        <x:v>SEV580</x:v>
      </x:c>
      <x:c r="B3298" s="66" t="str">
        <x:v>祁腾蜂赢1号</x:v>
      </x:c>
      <x:c r="C3298" s="72" t="n">
        <x:v>45852</x:v>
      </x:c>
      <x:c r="D3298" s="73" t="n">
        <x:v>0.9991</x:v>
      </x:c>
      <x:c r="E3298" s="73" t="n">
        <x:v>1.7926</x:v>
      </x:c>
      <x:c r="F3298" s="73" t="n">
        <x:v>2.1321</x:v>
      </x:c>
      <x:c r="G3298" s="74" t="n">
        <x:v>0</x:v>
      </x:c>
      <x:c r="H3298" s="66" t="str">
        <x:v>祁腾蜂赢1号净值20260911.xlsx</x:v>
      </x:c>
      <x:c r="I3298" s="73" t="str">
        <x:f>""</x:f>
      </x:c>
      <x:c r="J3298" s="74" t="str">
        <x:f>""</x:f>
      </x:c>
      <x:c r="K3298" s="73" t="n">
        <x:f>MAX(K3297,F3298)</x:f>
        <x:v>2.1361</x:v>
      </x:c>
      <x:c r="L3298" s="74" t="n">
        <x:f>1-F3298/K3298</x:f>
        <x:v>0.001872571508824472</x:v>
      </x:c>
      <x:c r="M3298" s="73" t="n">
        <x:f>MAX(M3297,F3298)</x:f>
        <x:v>2.1361</x:v>
      </x:c>
      <x:c r="N3298" s="74" t="n">
        <x:f>1-F3298/M3298</x:f>
        <x:v>0.001872571508824472</x:v>
      </x:c>
    </x:row>
    <x:row r="3299" ht="27" customHeight="1">
      <x:c r="A3299" s="66" t="str">
        <x:v>SEV580</x:v>
      </x:c>
      <x:c r="B3299" s="66" t="str">
        <x:v>祁腾蜂赢1号</x:v>
      </x:c>
      <x:c r="C3299" s="72" t="n">
        <x:v>45853</x:v>
      </x:c>
      <x:c r="D3299" s="73" t="n">
        <x:v>0.9992</x:v>
      </x:c>
      <x:c r="E3299" s="73" t="n">
        <x:v>1.7927</x:v>
      </x:c>
      <x:c r="F3299" s="73" t="n">
        <x:v>2.1323</x:v>
      </x:c>
      <x:c r="G3299" s="74" t="n">
        <x:v>0.0001</x:v>
      </x:c>
      <x:c r="H3299" s="66" t="str">
        <x:v>祁腾蜂赢1号净值20260911.xlsx</x:v>
      </x:c>
      <x:c r="I3299" s="73" t="str">
        <x:f>""</x:f>
      </x:c>
      <x:c r="J3299" s="74" t="str">
        <x:f>""</x:f>
      </x:c>
      <x:c r="K3299" s="73" t="n">
        <x:f>MAX(K3298,F3299)</x:f>
        <x:v>2.1361</x:v>
      </x:c>
      <x:c r="L3299" s="74" t="n">
        <x:f>1-F3299/K3299</x:f>
        <x:v>0.0017789429333833207</x:v>
      </x:c>
      <x:c r="M3299" s="73" t="n">
        <x:f>MAX(M3298,F3299)</x:f>
        <x:v>2.1361</x:v>
      </x:c>
      <x:c r="N3299" s="74" t="n">
        <x:f>1-F3299/M3299</x:f>
        <x:v>0.0017789429333833207</x:v>
      </x:c>
    </x:row>
    <x:row r="3300" ht="27" customHeight="1">
      <x:c r="A3300" s="66" t="str">
        <x:v>SEV580</x:v>
      </x:c>
      <x:c r="B3300" s="66" t="str">
        <x:v>祁腾蜂赢1号</x:v>
      </x:c>
      <x:c r="C3300" s="72" t="n">
        <x:v>45854</x:v>
      </x:c>
      <x:c r="D3300" s="73" t="n">
        <x:v>0.9995</x:v>
      </x:c>
      <x:c r="E3300" s="73" t="n">
        <x:v>1.793</x:v>
      </x:c>
      <x:c r="F3300" s="73" t="n">
        <x:v>2.1329</x:v>
      </x:c>
      <x:c r="G3300" s="74" t="n">
        <x:v>0.0003</x:v>
      </x:c>
      <x:c r="H3300" s="66" t="str">
        <x:v>祁腾蜂赢1号净值20260911.xlsx</x:v>
      </x:c>
      <x:c r="I3300" s="73" t="str">
        <x:f>""</x:f>
      </x:c>
      <x:c r="J3300" s="74" t="str">
        <x:f>""</x:f>
      </x:c>
      <x:c r="K3300" s="73" t="n">
        <x:f>MAX(K3299,F3300)</x:f>
        <x:v>2.1361</x:v>
      </x:c>
      <x:c r="L3300" s="74" t="n">
        <x:f>1-F3300/K3300</x:f>
        <x:v>0.0014980572070596443</x:v>
      </x:c>
      <x:c r="M3300" s="73" t="n">
        <x:f>MAX(M3299,F3300)</x:f>
        <x:v>2.1361</x:v>
      </x:c>
      <x:c r="N3300" s="74" t="n">
        <x:f>1-F3300/M3300</x:f>
        <x:v>0.0014980572070596443</x:v>
      </x:c>
    </x:row>
    <x:row r="3301" ht="27" customHeight="1">
      <x:c r="A3301" s="66" t="str">
        <x:v>SEV580</x:v>
      </x:c>
      <x:c r="B3301" s="66" t="str">
        <x:v>祁腾蜂赢1号</x:v>
      </x:c>
      <x:c r="C3301" s="72" t="n">
        <x:v>45855</x:v>
      </x:c>
      <x:c r="D3301" s="73" t="n">
        <x:v>0.9998</x:v>
      </x:c>
      <x:c r="E3301" s="73" t="n">
        <x:v>1.7933</x:v>
      </x:c>
      <x:c r="F3301" s="73" t="n">
        <x:v>2.1336</x:v>
      </x:c>
      <x:c r="G3301" s="74" t="n">
        <x:v>0.0003</x:v>
      </x:c>
      <x:c r="H3301" s="66" t="str">
        <x:v>祁腾蜂赢1号净值20260911.xlsx</x:v>
      </x:c>
      <x:c r="I3301" s="73" t="str">
        <x:f>""</x:f>
      </x:c>
      <x:c r="J3301" s="74" t="str">
        <x:f>""</x:f>
      </x:c>
      <x:c r="K3301" s="73" t="n">
        <x:f>MAX(K3300,F3301)</x:f>
        <x:v>2.1361</x:v>
      </x:c>
      <x:c r="L3301" s="74" t="n">
        <x:f>1-F3301/K3301</x:f>
        <x:v>0.0011703571930152812</x:v>
      </x:c>
      <x:c r="M3301" s="73" t="n">
        <x:f>MAX(M3300,F3301)</x:f>
        <x:v>2.1361</x:v>
      </x:c>
      <x:c r="N3301" s="74" t="n">
        <x:f>1-F3301/M3301</x:f>
        <x:v>0.0011703571930152812</x:v>
      </x:c>
    </x:row>
    <x:row r="3302" ht="27" customHeight="1">
      <x:c r="A3302" s="66" t="str">
        <x:v>SEV580</x:v>
      </x:c>
      <x:c r="B3302" s="66" t="str">
        <x:v>祁腾蜂赢1号</x:v>
      </x:c>
      <x:c r="C3302" s="72" t="n">
        <x:v>45856</x:v>
      </x:c>
      <x:c r="D3302" s="73" t="n">
        <x:v>0.9994</x:v>
      </x:c>
      <x:c r="E3302" s="73" t="n">
        <x:v>1.7929</x:v>
      </x:c>
      <x:c r="F3302" s="73" t="n">
        <x:v>2.1327</x:v>
      </x:c>
      <x:c r="G3302" s="74" t="n">
        <x:v>-0.0004</x:v>
      </x:c>
      <x:c r="H3302" s="66" t="str">
        <x:v>祁腾蜂赢1号净值20260911.xlsx</x:v>
      </x:c>
      <x:c r="I3302" s="73" t="str">
        <x:f>""</x:f>
      </x:c>
      <x:c r="J3302" s="74" t="str">
        <x:f>""</x:f>
      </x:c>
      <x:c r="K3302" s="73" t="n">
        <x:f>MAX(K3301,F3302)</x:f>
        <x:v>2.1361</x:v>
      </x:c>
      <x:c r="L3302" s="74" t="n">
        <x:f>1-F3302/K3302</x:f>
        <x:v>0.0015916857825009068</x:v>
      </x:c>
      <x:c r="M3302" s="73" t="n">
        <x:f>MAX(M3301,F3302)</x:f>
        <x:v>2.1361</x:v>
      </x:c>
      <x:c r="N3302" s="74" t="n">
        <x:f>1-F3302/M3302</x:f>
        <x:v>0.0015916857825009068</x:v>
      </x:c>
    </x:row>
    <x:row r="3303" ht="27" customHeight="1">
      <x:c r="A3303" s="66" t="str">
        <x:v>SEV580</x:v>
      </x:c>
      <x:c r="B3303" s="66" t="str">
        <x:v>祁腾蜂赢1号</x:v>
      </x:c>
      <x:c r="C3303" s="72" t="n">
        <x:v>45859</x:v>
      </x:c>
      <x:c r="D3303" s="73" t="n">
        <x:v>0.9996</x:v>
      </x:c>
      <x:c r="E3303" s="73" t="n">
        <x:v>1.7931</x:v>
      </x:c>
      <x:c r="F3303" s="73" t="n">
        <x:v>2.1332</x:v>
      </x:c>
      <x:c r="G3303" s="74" t="n">
        <x:v>0.0002</x:v>
      </x:c>
      <x:c r="H3303" s="66" t="str">
        <x:v>祁腾蜂赢1号净值20260911.xlsx</x:v>
      </x:c>
      <x:c r="I3303" s="73" t="str">
        <x:f>""</x:f>
      </x:c>
      <x:c r="J3303" s="74" t="str">
        <x:f>""</x:f>
      </x:c>
      <x:c r="K3303" s="73" t="n">
        <x:f>MAX(K3302,F3303)</x:f>
        <x:v>2.1361</x:v>
      </x:c>
      <x:c r="L3303" s="74" t="n">
        <x:f>1-F3303/K3303</x:f>
        <x:v>0.001357614343897695</x:v>
      </x:c>
      <x:c r="M3303" s="73" t="n">
        <x:f>MAX(M3302,F3303)</x:f>
        <x:v>2.1361</x:v>
      </x:c>
      <x:c r="N3303" s="74" t="n">
        <x:f>1-F3303/M3303</x:f>
        <x:v>0.001357614343897695</x:v>
      </x:c>
    </x:row>
    <x:row r="3304" ht="27" customHeight="1">
      <x:c r="A3304" s="66" t="str">
        <x:v>SEV580</x:v>
      </x:c>
      <x:c r="B3304" s="66" t="str">
        <x:v>祁腾蜂赢1号</x:v>
      </x:c>
      <x:c r="C3304" s="72" t="n">
        <x:v>45860</x:v>
      </x:c>
      <x:c r="D3304" s="73" t="n">
        <x:v>0.9995</x:v>
      </x:c>
      <x:c r="E3304" s="73" t="n">
        <x:v>1.793</x:v>
      </x:c>
      <x:c r="F3304" s="73" t="n">
        <x:v>2.1329</x:v>
      </x:c>
      <x:c r="G3304" s="74" t="n">
        <x:v>-0.0001</x:v>
      </x:c>
      <x:c r="H3304" s="66" t="str">
        <x:v>祁腾蜂赢1号净值20260911.xlsx</x:v>
      </x:c>
      <x:c r="I3304" s="73" t="str">
        <x:f>""</x:f>
      </x:c>
      <x:c r="J3304" s="74" t="str">
        <x:f>""</x:f>
      </x:c>
      <x:c r="K3304" s="73" t="n">
        <x:f>MAX(K3303,F3304)</x:f>
        <x:v>2.1361</x:v>
      </x:c>
      <x:c r="L3304" s="74" t="n">
        <x:f>1-F3304/K3304</x:f>
        <x:v>0.0014980572070596443</x:v>
      </x:c>
      <x:c r="M3304" s="73" t="n">
        <x:f>MAX(M3303,F3304)</x:f>
        <x:v>2.1361</x:v>
      </x:c>
      <x:c r="N3304" s="74" t="n">
        <x:f>1-F3304/M3304</x:f>
        <x:v>0.0014980572070596443</x:v>
      </x:c>
    </x:row>
    <x:row r="3305" ht="27" customHeight="1">
      <x:c r="A3305" s="66" t="str">
        <x:v>SEV580</x:v>
      </x:c>
      <x:c r="B3305" s="66" t="str">
        <x:v>祁腾蜂赢1号</x:v>
      </x:c>
      <x:c r="C3305" s="72" t="n">
        <x:v>45861</x:v>
      </x:c>
      <x:c r="D3305" s="73" t="n">
        <x:v>0.9995</x:v>
      </x:c>
      <x:c r="E3305" s="73" t="n">
        <x:v>1.793</x:v>
      </x:c>
      <x:c r="F3305" s="73" t="n">
        <x:v>2.1329</x:v>
      </x:c>
      <x:c r="G3305" s="74" t="n">
        <x:v>0</x:v>
      </x:c>
      <x:c r="H3305" s="66" t="str">
        <x:v>祁腾蜂赢1号净值20260911.xlsx</x:v>
      </x:c>
      <x:c r="I3305" s="73" t="str">
        <x:f>""</x:f>
      </x:c>
      <x:c r="J3305" s="74" t="str">
        <x:f>""</x:f>
      </x:c>
      <x:c r="K3305" s="73" t="n">
        <x:f>MAX(K3304,F3305)</x:f>
        <x:v>2.1361</x:v>
      </x:c>
      <x:c r="L3305" s="74" t="n">
        <x:f>1-F3305/K3305</x:f>
        <x:v>0.0014980572070596443</x:v>
      </x:c>
      <x:c r="M3305" s="73" t="n">
        <x:f>MAX(M3304,F3305)</x:f>
        <x:v>2.1361</x:v>
      </x:c>
      <x:c r="N3305" s="74" t="n">
        <x:f>1-F3305/M3305</x:f>
        <x:v>0.0014980572070596443</x:v>
      </x:c>
    </x:row>
    <x:row r="3306" ht="27" customHeight="1">
      <x:c r="A3306" s="66" t="str">
        <x:v>SEV580</x:v>
      </x:c>
      <x:c r="B3306" s="66" t="str">
        <x:v>祁腾蜂赢1号</x:v>
      </x:c>
      <x:c r="C3306" s="72" t="n">
        <x:v>45862</x:v>
      </x:c>
      <x:c r="D3306" s="73" t="n">
        <x:v>0.9995</x:v>
      </x:c>
      <x:c r="E3306" s="73" t="n">
        <x:v>1.793</x:v>
      </x:c>
      <x:c r="F3306" s="73" t="n">
        <x:v>2.1329</x:v>
      </x:c>
      <x:c r="G3306" s="74" t="n">
        <x:v>0</x:v>
      </x:c>
      <x:c r="H3306" s="66" t="str">
        <x:v>祁腾蜂赢1号净值20260911.xlsx</x:v>
      </x:c>
      <x:c r="I3306" s="73" t="str">
        <x:f>""</x:f>
      </x:c>
      <x:c r="J3306" s="74" t="str">
        <x:f>""</x:f>
      </x:c>
      <x:c r="K3306" s="73" t="n">
        <x:f>MAX(K3305,F3306)</x:f>
        <x:v>2.1361</x:v>
      </x:c>
      <x:c r="L3306" s="74" t="n">
        <x:f>1-F3306/K3306</x:f>
        <x:v>0.0014980572070596443</x:v>
      </x:c>
      <x:c r="M3306" s="73" t="n">
        <x:f>MAX(M3305,F3306)</x:f>
        <x:v>2.1361</x:v>
      </x:c>
      <x:c r="N3306" s="74" t="n">
        <x:f>1-F3306/M3306</x:f>
        <x:v>0.0014980572070596443</x:v>
      </x:c>
    </x:row>
    <x:row r="3307" ht="27" customHeight="1">
      <x:c r="A3307" s="66" t="str">
        <x:v>SEV580</x:v>
      </x:c>
      <x:c r="B3307" s="66" t="str">
        <x:v>祁腾蜂赢1号</x:v>
      </x:c>
      <x:c r="C3307" s="72" t="n">
        <x:v>45863</x:v>
      </x:c>
      <x:c r="D3307" s="73" t="n">
        <x:v>0.9992</x:v>
      </x:c>
      <x:c r="E3307" s="73" t="n">
        <x:v>1.7927</x:v>
      </x:c>
      <x:c r="F3307" s="73" t="n">
        <x:v>2.1323</x:v>
      </x:c>
      <x:c r="G3307" s="74" t="n">
        <x:v>-0.0003</x:v>
      </x:c>
      <x:c r="H3307" s="66" t="str">
        <x:v>祁腾蜂赢1号净值20260911.xlsx</x:v>
      </x:c>
      <x:c r="I3307" s="73" t="str">
        <x:f>""</x:f>
      </x:c>
      <x:c r="J3307" s="74" t="str">
        <x:f>""</x:f>
      </x:c>
      <x:c r="K3307" s="73" t="n">
        <x:f>MAX(K3306,F3307)</x:f>
        <x:v>2.1361</x:v>
      </x:c>
      <x:c r="L3307" s="74" t="n">
        <x:f>1-F3307/K3307</x:f>
        <x:v>0.0017789429333833207</x:v>
      </x:c>
      <x:c r="M3307" s="73" t="n">
        <x:f>MAX(M3306,F3307)</x:f>
        <x:v>2.1361</x:v>
      </x:c>
      <x:c r="N3307" s="74" t="n">
        <x:f>1-F3307/M3307</x:f>
        <x:v>0.0017789429333833207</x:v>
      </x:c>
    </x:row>
    <x:row r="3308" ht="27" customHeight="1">
      <x:c r="A3308" s="66" t="str">
        <x:v>SEV580</x:v>
      </x:c>
      <x:c r="B3308" s="66" t="str">
        <x:v>祁腾蜂赢1号</x:v>
      </x:c>
      <x:c r="C3308" s="72" t="n">
        <x:v>45866</x:v>
      </x:c>
      <x:c r="D3308" s="73" t="n">
        <x:v>0.9991</x:v>
      </x:c>
      <x:c r="E3308" s="73" t="n">
        <x:v>1.7926</x:v>
      </x:c>
      <x:c r="F3308" s="73" t="n">
        <x:v>2.1321</x:v>
      </x:c>
      <x:c r="G3308" s="74" t="n">
        <x:v>-0.0001</x:v>
      </x:c>
      <x:c r="H3308" s="66" t="str">
        <x:v>祁腾蜂赢1号净值20260911.xlsx</x:v>
      </x:c>
      <x:c r="I3308" s="73" t="str">
        <x:f>""</x:f>
      </x:c>
      <x:c r="J3308" s="74" t="str">
        <x:f>""</x:f>
      </x:c>
      <x:c r="K3308" s="73" t="n">
        <x:f>MAX(K3307,F3308)</x:f>
        <x:v>2.1361</x:v>
      </x:c>
      <x:c r="L3308" s="74" t="n">
        <x:f>1-F3308/K3308</x:f>
        <x:v>0.001872571508824472</x:v>
      </x:c>
      <x:c r="M3308" s="73" t="n">
        <x:f>MAX(M3307,F3308)</x:f>
        <x:v>2.1361</x:v>
      </x:c>
      <x:c r="N3308" s="74" t="n">
        <x:f>1-F3308/M3308</x:f>
        <x:v>0.001872571508824472</x:v>
      </x:c>
    </x:row>
    <x:row r="3309" ht="27" customHeight="1">
      <x:c r="A3309" s="66" t="str">
        <x:v>SEV580</x:v>
      </x:c>
      <x:c r="B3309" s="66" t="str">
        <x:v>祁腾蜂赢1号</x:v>
      </x:c>
      <x:c r="C3309" s="72" t="n">
        <x:v>45867</x:v>
      </x:c>
      <x:c r="D3309" s="73" t="n">
        <x:v>0.9995</x:v>
      </x:c>
      <x:c r="E3309" s="73" t="n">
        <x:v>1.793</x:v>
      </x:c>
      <x:c r="F3309" s="73" t="n">
        <x:v>2.1329</x:v>
      </x:c>
      <x:c r="G3309" s="74" t="n">
        <x:v>0.0004</x:v>
      </x:c>
      <x:c r="H3309" s="66" t="str">
        <x:v>祁腾蜂赢1号净值20260911.xlsx</x:v>
      </x:c>
      <x:c r="I3309" s="73" t="str">
        <x:f>""</x:f>
      </x:c>
      <x:c r="J3309" s="74" t="str">
        <x:f>""</x:f>
      </x:c>
      <x:c r="K3309" s="73" t="n">
        <x:f>MAX(K3308,F3309)</x:f>
        <x:v>2.1361</x:v>
      </x:c>
      <x:c r="L3309" s="74" t="n">
        <x:f>1-F3309/K3309</x:f>
        <x:v>0.0014980572070596443</x:v>
      </x:c>
      <x:c r="M3309" s="73" t="n">
        <x:f>MAX(M3308,F3309)</x:f>
        <x:v>2.1361</x:v>
      </x:c>
      <x:c r="N3309" s="74" t="n">
        <x:f>1-F3309/M3309</x:f>
        <x:v>0.0014980572070596443</x:v>
      </x:c>
    </x:row>
    <x:row r="3310" ht="27" customHeight="1">
      <x:c r="A3310" s="66" t="str">
        <x:v>SEV580</x:v>
      </x:c>
      <x:c r="B3310" s="66" t="str">
        <x:v>祁腾蜂赢1号</x:v>
      </x:c>
      <x:c r="C3310" s="72" t="n">
        <x:v>45868</x:v>
      </x:c>
      <x:c r="D3310" s="73" t="n">
        <x:v>0.9995</x:v>
      </x:c>
      <x:c r="E3310" s="73" t="n">
        <x:v>1.793</x:v>
      </x:c>
      <x:c r="F3310" s="73" t="n">
        <x:v>2.1329</x:v>
      </x:c>
      <x:c r="G3310" s="74" t="n">
        <x:v>0</x:v>
      </x:c>
      <x:c r="H3310" s="66" t="str">
        <x:v>祁腾蜂赢1号净值20260911.xlsx</x:v>
      </x:c>
      <x:c r="I3310" s="73" t="str">
        <x:f>""</x:f>
      </x:c>
      <x:c r="J3310" s="74" t="str">
        <x:f>""</x:f>
      </x:c>
      <x:c r="K3310" s="73" t="n">
        <x:f>MAX(K3309,F3310)</x:f>
        <x:v>2.1361</x:v>
      </x:c>
      <x:c r="L3310" s="74" t="n">
        <x:f>1-F3310/K3310</x:f>
        <x:v>0.0014980572070596443</x:v>
      </x:c>
      <x:c r="M3310" s="73" t="n">
        <x:f>MAX(M3309,F3310)</x:f>
        <x:v>2.1361</x:v>
      </x:c>
      <x:c r="N3310" s="74" t="n">
        <x:f>1-F3310/M3310</x:f>
        <x:v>0.0014980572070596443</x:v>
      </x:c>
    </x:row>
    <x:row r="3311" ht="27" customHeight="1">
      <x:c r="A3311" s="66" t="str">
        <x:v>SEV580</x:v>
      </x:c>
      <x:c r="B3311" s="66" t="str">
        <x:v>祁腾蜂赢1号</x:v>
      </x:c>
      <x:c r="C3311" s="72" t="n">
        <x:v>45869</x:v>
      </x:c>
      <x:c r="D3311" s="73" t="n">
        <x:v>0.9993</x:v>
      </x:c>
      <x:c r="E3311" s="73" t="n">
        <x:v>1.7928</x:v>
      </x:c>
      <x:c r="F3311" s="73" t="n">
        <x:v>2.1325</x:v>
      </x:c>
      <x:c r="G3311" s="74" t="n">
        <x:v>-0.0002</x:v>
      </x:c>
      <x:c r="H3311" s="66" t="str">
        <x:v>祁腾蜂赢1号净值20260911.xlsx</x:v>
      </x:c>
      <x:c r="I3311" s="73" t="str">
        <x:f>""</x:f>
      </x:c>
      <x:c r="J3311" s="74" t="str">
        <x:f>""</x:f>
      </x:c>
      <x:c r="K3311" s="73" t="n">
        <x:f>MAX(K3310,F3311)</x:f>
        <x:v>2.1361</x:v>
      </x:c>
      <x:c r="L3311" s="74" t="n">
        <x:f>1-F3311/K3311</x:f>
        <x:v>0.0016853143579420582</x:v>
      </x:c>
      <x:c r="M3311" s="73" t="n">
        <x:f>MAX(M3310,F3311)</x:f>
        <x:v>2.1361</x:v>
      </x:c>
      <x:c r="N3311" s="74" t="n">
        <x:f>1-F3311/M3311</x:f>
        <x:v>0.0016853143579420582</x:v>
      </x:c>
    </x:row>
    <x:row r="3312" ht="27" customHeight="1">
      <x:c r="A3312" s="66" t="str">
        <x:v>SEV580</x:v>
      </x:c>
      <x:c r="B3312" s="66" t="str">
        <x:v>祁腾蜂赢1号</x:v>
      </x:c>
      <x:c r="C3312" s="72" t="n">
        <x:v>45870</x:v>
      </x:c>
      <x:c r="D3312" s="73" t="n">
        <x:v>0.999</x:v>
      </x:c>
      <x:c r="E3312" s="73" t="n">
        <x:v>1.7925</x:v>
      </x:c>
      <x:c r="F3312" s="73" t="n">
        <x:v>2.1319</x:v>
      </x:c>
      <x:c r="G3312" s="74" t="n">
        <x:v>-0.0003</x:v>
      </x:c>
      <x:c r="H3312" s="66" t="str">
        <x:v>祁腾蜂赢1号净值20260911.xlsx</x:v>
      </x:c>
      <x:c r="I3312" s="73" t="str">
        <x:f>""</x:f>
      </x:c>
      <x:c r="J3312" s="74" t="str">
        <x:f>""</x:f>
      </x:c>
      <x:c r="K3312" s="73" t="n">
        <x:f>MAX(K3311,F3312)</x:f>
        <x:v>2.1361</x:v>
      </x:c>
      <x:c r="L3312" s="74" t="n">
        <x:f>1-F3312/K3312</x:f>
        <x:v>0.0019662000842657346</x:v>
      </x:c>
      <x:c r="M3312" s="73" t="n">
        <x:f>MAX(M3311,F3312)</x:f>
        <x:v>2.1361</x:v>
      </x:c>
      <x:c r="N3312" s="74" t="n">
        <x:f>1-F3312/M3312</x:f>
        <x:v>0.0019662000842657346</x:v>
      </x:c>
    </x:row>
    <x:row r="3313" ht="27" customHeight="1">
      <x:c r="A3313" s="66" t="str">
        <x:v>SEV580</x:v>
      </x:c>
      <x:c r="B3313" s="66" t="str">
        <x:v>祁腾蜂赢1号</x:v>
      </x:c>
      <x:c r="C3313" s="72" t="n">
        <x:v>45873</x:v>
      </x:c>
      <x:c r="D3313" s="73" t="n">
        <x:v>0.9989</x:v>
      </x:c>
      <x:c r="E3313" s="73" t="n">
        <x:v>1.7924</x:v>
      </x:c>
      <x:c r="F3313" s="73" t="n">
        <x:v>2.1317</x:v>
      </x:c>
      <x:c r="G3313" s="74" t="n">
        <x:v>-0.0001</x:v>
      </x:c>
      <x:c r="H3313" s="66" t="str">
        <x:v>祁腾蜂赢1号净值20260911.xlsx</x:v>
      </x:c>
      <x:c r="I3313" s="73" t="str">
        <x:f>""</x:f>
      </x:c>
      <x:c r="J3313" s="74" t="str">
        <x:f>""</x:f>
      </x:c>
      <x:c r="K3313" s="73" t="n">
        <x:f>MAX(K3312,F3313)</x:f>
        <x:v>2.1361</x:v>
      </x:c>
      <x:c r="L3313" s="74" t="n">
        <x:f>1-F3313/K3313</x:f>
        <x:v>0.002059828659706886</x:v>
      </x:c>
      <x:c r="M3313" s="73" t="n">
        <x:f>MAX(M3312,F3313)</x:f>
        <x:v>2.1361</x:v>
      </x:c>
      <x:c r="N3313" s="74" t="n">
        <x:f>1-F3313/M3313</x:f>
        <x:v>0.002059828659706886</x:v>
      </x:c>
    </x:row>
    <x:row r="3314" ht="27" customHeight="1">
      <x:c r="A3314" s="66" t="str">
        <x:v>SEV580</x:v>
      </x:c>
      <x:c r="B3314" s="66" t="str">
        <x:v>祁腾蜂赢1号</x:v>
      </x:c>
      <x:c r="C3314" s="72" t="n">
        <x:v>45874</x:v>
      </x:c>
      <x:c r="D3314" s="73" t="n">
        <x:v>0.9988</x:v>
      </x:c>
      <x:c r="E3314" s="73" t="n">
        <x:v>1.7923</x:v>
      </x:c>
      <x:c r="F3314" s="73" t="n">
        <x:v>2.1314</x:v>
      </x:c>
      <x:c r="G3314" s="74" t="n">
        <x:v>-0.0001</x:v>
      </x:c>
      <x:c r="H3314" s="66" t="str">
        <x:v>祁腾蜂赢1号净值20260911.xlsx</x:v>
      </x:c>
      <x:c r="I3314" s="73" t="str">
        <x:f>""</x:f>
      </x:c>
      <x:c r="J3314" s="74" t="str">
        <x:f>""</x:f>
      </x:c>
      <x:c r="K3314" s="73" t="n">
        <x:f>MAX(K3313,F3314)</x:f>
        <x:v>2.1361</x:v>
      </x:c>
      <x:c r="L3314" s="74" t="n">
        <x:f>1-F3314/K3314</x:f>
        <x:v>0.002200271522868613</x:v>
      </x:c>
      <x:c r="M3314" s="73" t="n">
        <x:f>MAX(M3313,F3314)</x:f>
        <x:v>2.1361</x:v>
      </x:c>
      <x:c r="N3314" s="74" t="n">
        <x:f>1-F3314/M3314</x:f>
        <x:v>0.002200271522868613</x:v>
      </x:c>
    </x:row>
    <x:row r="3315" ht="27" customHeight="1">
      <x:c r="A3315" s="66" t="str">
        <x:v>SEV580</x:v>
      </x:c>
      <x:c r="B3315" s="66" t="str">
        <x:v>祁腾蜂赢1号</x:v>
      </x:c>
      <x:c r="C3315" s="72" t="n">
        <x:v>45875</x:v>
      </x:c>
      <x:c r="D3315" s="73" t="n">
        <x:v>0.9986</x:v>
      </x:c>
      <x:c r="E3315" s="73" t="n">
        <x:v>1.7921</x:v>
      </x:c>
      <x:c r="F3315" s="73" t="n">
        <x:v>2.131</x:v>
      </x:c>
      <x:c r="G3315" s="74" t="n">
        <x:v>-0.0002</x:v>
      </x:c>
      <x:c r="H3315" s="66" t="str">
        <x:v>祁腾蜂赢1号净值20260911.xlsx</x:v>
      </x:c>
      <x:c r="I3315" s="73" t="str">
        <x:f>""</x:f>
      </x:c>
      <x:c r="J3315" s="74" t="str">
        <x:f>""</x:f>
      </x:c>
      <x:c r="K3315" s="73" t="n">
        <x:f>MAX(K3314,F3315)</x:f>
        <x:v>2.1361</x:v>
      </x:c>
      <x:c r="L3315" s="74" t="n">
        <x:f>1-F3315/K3315</x:f>
        <x:v>0.002387528673751249</x:v>
      </x:c>
      <x:c r="M3315" s="73" t="n">
        <x:f>MAX(M3314,F3315)</x:f>
        <x:v>2.1361</x:v>
      </x:c>
      <x:c r="N3315" s="74" t="n">
        <x:f>1-F3315/M3315</x:f>
        <x:v>0.002387528673751249</x:v>
      </x:c>
    </x:row>
    <x:row r="3316" ht="27" customHeight="1">
      <x:c r="A3316" s="66" t="str">
        <x:v>SEV580</x:v>
      </x:c>
      <x:c r="B3316" s="66" t="str">
        <x:v>祁腾蜂赢1号</x:v>
      </x:c>
      <x:c r="C3316" s="72" t="n">
        <x:v>45876</x:v>
      </x:c>
      <x:c r="D3316" s="73" t="n">
        <x:v>0.9988</x:v>
      </x:c>
      <x:c r="E3316" s="73" t="n">
        <x:v>1.7923</x:v>
      </x:c>
      <x:c r="F3316" s="73" t="n">
        <x:v>2.1314</x:v>
      </x:c>
      <x:c r="G3316" s="74" t="n">
        <x:v>0.0002</x:v>
      </x:c>
      <x:c r="H3316" s="66" t="str">
        <x:v>祁腾蜂赢1号净值20260911.xlsx</x:v>
      </x:c>
      <x:c r="I3316" s="73" t="str">
        <x:f>""</x:f>
      </x:c>
      <x:c r="J3316" s="74" t="str">
        <x:f>""</x:f>
      </x:c>
      <x:c r="K3316" s="73" t="n">
        <x:f>MAX(K3315,F3316)</x:f>
        <x:v>2.1361</x:v>
      </x:c>
      <x:c r="L3316" s="74" t="n">
        <x:f>1-F3316/K3316</x:f>
        <x:v>0.002200271522868613</x:v>
      </x:c>
      <x:c r="M3316" s="73" t="n">
        <x:f>MAX(M3315,F3316)</x:f>
        <x:v>2.1361</x:v>
      </x:c>
      <x:c r="N3316" s="74" t="n">
        <x:f>1-F3316/M3316</x:f>
        <x:v>0.002200271522868613</x:v>
      </x:c>
    </x:row>
    <x:row r="3317" ht="27" customHeight="1">
      <x:c r="A3317" s="66" t="str">
        <x:v>SEV580</x:v>
      </x:c>
      <x:c r="B3317" s="66" t="str">
        <x:v>祁腾蜂赢1号</x:v>
      </x:c>
      <x:c r="C3317" s="72" t="n">
        <x:v>45877</x:v>
      </x:c>
      <x:c r="D3317" s="73" t="n">
        <x:v>0.9987</x:v>
      </x:c>
      <x:c r="E3317" s="73" t="n">
        <x:v>1.7922</x:v>
      </x:c>
      <x:c r="F3317" s="73" t="n">
        <x:v>2.1312</x:v>
      </x:c>
      <x:c r="G3317" s="74" t="n">
        <x:v>-0.0001</x:v>
      </x:c>
      <x:c r="H3317" s="66" t="str">
        <x:v>祁腾蜂赢1号净值20260911.xlsx</x:v>
      </x:c>
      <x:c r="I3317" s="73" t="str">
        <x:f>""</x:f>
      </x:c>
      <x:c r="J3317" s="74" t="str">
        <x:f>""</x:f>
      </x:c>
      <x:c r="K3317" s="73" t="n">
        <x:f>MAX(K3316,F3317)</x:f>
        <x:v>2.1361</x:v>
      </x:c>
      <x:c r="L3317" s="74" t="n">
        <x:f>1-F3317/K3317</x:f>
        <x:v>0.0022939000983098756</x:v>
      </x:c>
      <x:c r="M3317" s="73" t="n">
        <x:f>MAX(M3316,F3317)</x:f>
        <x:v>2.1361</x:v>
      </x:c>
      <x:c r="N3317" s="74" t="n">
        <x:f>1-F3317/M3317</x:f>
        <x:v>0.0022939000983098756</x:v>
      </x:c>
    </x:row>
    <x:row r="3318" ht="27" customHeight="1">
      <x:c r="A3318" s="66" t="str">
        <x:v>SEV580</x:v>
      </x:c>
      <x:c r="B3318" s="66" t="str">
        <x:v>祁腾蜂赢1号</x:v>
      </x:c>
      <x:c r="C3318" s="72" t="n">
        <x:v>45880</x:v>
      </x:c>
      <x:c r="D3318" s="73" t="n">
        <x:v>0.9989</x:v>
      </x:c>
      <x:c r="E3318" s="73" t="n">
        <x:v>1.7924</x:v>
      </x:c>
      <x:c r="F3318" s="73" t="n">
        <x:v>2.1317</x:v>
      </x:c>
      <x:c r="G3318" s="74" t="n">
        <x:v>0.0002</x:v>
      </x:c>
      <x:c r="H3318" s="66" t="str">
        <x:v>祁腾蜂赢1号净值20260911.xlsx</x:v>
      </x:c>
      <x:c r="I3318" s="73" t="str">
        <x:f>""</x:f>
      </x:c>
      <x:c r="J3318" s="74" t="str">
        <x:f>""</x:f>
      </x:c>
      <x:c r="K3318" s="73" t="n">
        <x:f>MAX(K3317,F3318)</x:f>
        <x:v>2.1361</x:v>
      </x:c>
      <x:c r="L3318" s="74" t="n">
        <x:f>1-F3318/K3318</x:f>
        <x:v>0.002059828659706886</x:v>
      </x:c>
      <x:c r="M3318" s="73" t="n">
        <x:f>MAX(M3317,F3318)</x:f>
        <x:v>2.1361</x:v>
      </x:c>
      <x:c r="N3318" s="74" t="n">
        <x:f>1-F3318/M3318</x:f>
        <x:v>0.002059828659706886</x:v>
      </x:c>
    </x:row>
    <x:row r="3319" ht="27" customHeight="1">
      <x:c r="A3319" s="66" t="str">
        <x:v>SEV580</x:v>
      </x:c>
      <x:c r="B3319" s="66" t="str">
        <x:v>祁腾蜂赢1号</x:v>
      </x:c>
      <x:c r="C3319" s="72" t="n">
        <x:v>45881</x:v>
      </x:c>
      <x:c r="D3319" s="73" t="n">
        <x:v>0.9988</x:v>
      </x:c>
      <x:c r="E3319" s="73" t="n">
        <x:v>1.7923</x:v>
      </x:c>
      <x:c r="F3319" s="73" t="n">
        <x:v>2.1314</x:v>
      </x:c>
      <x:c r="G3319" s="74" t="n">
        <x:v>-0.0001</x:v>
      </x:c>
      <x:c r="H3319" s="66" t="str">
        <x:v>祁腾蜂赢1号净值20260911.xlsx</x:v>
      </x:c>
      <x:c r="I3319" s="73" t="str">
        <x:f>""</x:f>
      </x:c>
      <x:c r="J3319" s="74" t="str">
        <x:f>""</x:f>
      </x:c>
      <x:c r="K3319" s="73" t="n">
        <x:f>MAX(K3318,F3319)</x:f>
        <x:v>2.1361</x:v>
      </x:c>
      <x:c r="L3319" s="74" t="n">
        <x:f>1-F3319/K3319</x:f>
        <x:v>0.002200271522868613</x:v>
      </x:c>
      <x:c r="M3319" s="73" t="n">
        <x:f>MAX(M3318,F3319)</x:f>
        <x:v>2.1361</x:v>
      </x:c>
      <x:c r="N3319" s="74" t="n">
        <x:f>1-F3319/M3319</x:f>
        <x:v>0.002200271522868613</x:v>
      </x:c>
    </x:row>
    <x:row r="3320" ht="27" customHeight="1">
      <x:c r="A3320" s="66" t="str">
        <x:v>SEV580</x:v>
      </x:c>
      <x:c r="B3320" s="66" t="str">
        <x:v>祁腾蜂赢1号</x:v>
      </x:c>
      <x:c r="C3320" s="72" t="n">
        <x:v>45882</x:v>
      </x:c>
      <x:c r="D3320" s="73" t="n">
        <x:v>0.9992</x:v>
      </x:c>
      <x:c r="E3320" s="73" t="n">
        <x:v>1.7927</x:v>
      </x:c>
      <x:c r="F3320" s="73" t="n">
        <x:v>2.1323</x:v>
      </x:c>
      <x:c r="G3320" s="74" t="n">
        <x:v>0.0004</x:v>
      </x:c>
      <x:c r="H3320" s="66" t="str">
        <x:v>祁腾蜂赢1号净值20260911.xlsx</x:v>
      </x:c>
      <x:c r="I3320" s="73" t="str">
        <x:f>""</x:f>
      </x:c>
      <x:c r="J3320" s="74" t="str">
        <x:f>""</x:f>
      </x:c>
      <x:c r="K3320" s="73" t="n">
        <x:f>MAX(K3319,F3320)</x:f>
        <x:v>2.1361</x:v>
      </x:c>
      <x:c r="L3320" s="74" t="n">
        <x:f>1-F3320/K3320</x:f>
        <x:v>0.0017789429333833207</x:v>
      </x:c>
      <x:c r="M3320" s="73" t="n">
        <x:f>MAX(M3319,F3320)</x:f>
        <x:v>2.1361</x:v>
      </x:c>
      <x:c r="N3320" s="74" t="n">
        <x:f>1-F3320/M3320</x:f>
        <x:v>0.0017789429333833207</x:v>
      </x:c>
    </x:row>
    <x:row r="3321" ht="27" customHeight="1">
      <x:c r="A3321" s="66" t="str">
        <x:v>SEV580</x:v>
      </x:c>
      <x:c r="B3321" s="66" t="str">
        <x:v>祁腾蜂赢1号</x:v>
      </x:c>
      <x:c r="C3321" s="72" t="n">
        <x:v>45883</x:v>
      </x:c>
      <x:c r="D3321" s="73" t="n">
        <x:v>0.9982</x:v>
      </x:c>
      <x:c r="E3321" s="73" t="n">
        <x:v>1.7917</x:v>
      </x:c>
      <x:c r="F3321" s="73" t="n">
        <x:v>2.1302</x:v>
      </x:c>
      <x:c r="G3321" s="74" t="n">
        <x:v>-0.001</x:v>
      </x:c>
      <x:c r="H3321" s="66" t="str">
        <x:v>祁腾蜂赢1号净值20260911.xlsx</x:v>
      </x:c>
      <x:c r="I3321" s="73" t="str">
        <x:f>""</x:f>
      </x:c>
      <x:c r="J3321" s="74" t="str">
        <x:f>""</x:f>
      </x:c>
      <x:c r="K3321" s="73" t="n">
        <x:f>MAX(K3320,F3321)</x:f>
        <x:v>2.1361</x:v>
      </x:c>
      <x:c r="L3321" s="74" t="n">
        <x:f>1-F3321/K3321</x:f>
        <x:v>0.002762042975516188</x:v>
      </x:c>
      <x:c r="M3321" s="73" t="n">
        <x:f>MAX(M3320,F3321)</x:f>
        <x:v>2.1361</x:v>
      </x:c>
      <x:c r="N3321" s="74" t="n">
        <x:f>1-F3321/M3321</x:f>
        <x:v>0.002762042975516188</x:v>
      </x:c>
    </x:row>
    <x:row r="3322" ht="27" customHeight="1">
      <x:c r="A3322" s="66" t="str">
        <x:v>SEV580</x:v>
      </x:c>
      <x:c r="B3322" s="66" t="str">
        <x:v>祁腾蜂赢1号</x:v>
      </x:c>
      <x:c r="C3322" s="72" t="n">
        <x:v>45884</x:v>
      </x:c>
      <x:c r="D3322" s="73" t="n">
        <x:v>0.9979</x:v>
      </x:c>
      <x:c r="E3322" s="73" t="n">
        <x:v>1.7914</x:v>
      </x:c>
      <x:c r="F3322" s="73" t="n">
        <x:v>2.1295</x:v>
      </x:c>
      <x:c r="G3322" s="74" t="n">
        <x:v>-0.0003</x:v>
      </x:c>
      <x:c r="H3322" s="66" t="str">
        <x:v>祁腾蜂赢1号净值20260911.xlsx</x:v>
      </x:c>
      <x:c r="I3322" s="73" t="str">
        <x:f>""</x:f>
      </x:c>
      <x:c r="J3322" s="74" t="str">
        <x:f>""</x:f>
      </x:c>
      <x:c r="K3322" s="73" t="n">
        <x:f>MAX(K3321,F3322)</x:f>
        <x:v>2.1361</x:v>
      </x:c>
      <x:c r="L3322" s="74" t="n">
        <x:f>1-F3322/K3322</x:f>
        <x:v>0.003089742989560329</x:v>
      </x:c>
      <x:c r="M3322" s="73" t="n">
        <x:f>MAX(M3321,F3322)</x:f>
        <x:v>2.1361</x:v>
      </x:c>
      <x:c r="N3322" s="74" t="n">
        <x:f>1-F3322/M3322</x:f>
        <x:v>0.003089742989560329</x:v>
      </x:c>
    </x:row>
    <x:row r="3323" ht="27" customHeight="1">
      <x:c r="A3323" s="66" t="str">
        <x:v>SEV580</x:v>
      </x:c>
      <x:c r="B3323" s="66" t="str">
        <x:v>祁腾蜂赢1号</x:v>
      </x:c>
      <x:c r="C3323" s="72" t="n">
        <x:v>45887</x:v>
      </x:c>
      <x:c r="D3323" s="73" t="n">
        <x:v>0.9975</x:v>
      </x:c>
      <x:c r="E3323" s="73" t="n">
        <x:v>1.791</x:v>
      </x:c>
      <x:c r="F3323" s="73" t="n">
        <x:v>2.1287</x:v>
      </x:c>
      <x:c r="G3323" s="74" t="n">
        <x:v>-0.0004</x:v>
      </x:c>
      <x:c r="H3323" s="66" t="str">
        <x:v>祁腾蜂赢1号净值20260911.xlsx</x:v>
      </x:c>
      <x:c r="I3323" s="73" t="str">
        <x:f>""</x:f>
      </x:c>
      <x:c r="J3323" s="74" t="str">
        <x:f>""</x:f>
      </x:c>
      <x:c r="K3323" s="73" t="n">
        <x:f>MAX(K3322,F3323)</x:f>
        <x:v>2.1361</x:v>
      </x:c>
      <x:c r="L3323" s="74" t="n">
        <x:f>1-F3323/K3323</x:f>
        <x:v>0.003464257291325379</x:v>
      </x:c>
      <x:c r="M3323" s="73" t="n">
        <x:f>MAX(M3322,F3323)</x:f>
        <x:v>2.1361</x:v>
      </x:c>
      <x:c r="N3323" s="74" t="n">
        <x:f>1-F3323/M3323</x:f>
        <x:v>0.003464257291325379</x:v>
      </x:c>
    </x:row>
    <x:row r="3324" ht="27" customHeight="1">
      <x:c r="A3324" s="66" t="str">
        <x:v>SEV580</x:v>
      </x:c>
      <x:c r="B3324" s="66" t="str">
        <x:v>祁腾蜂赢1号</x:v>
      </x:c>
      <x:c r="C3324" s="72" t="n">
        <x:v>45888</x:v>
      </x:c>
      <x:c r="D3324" s="73" t="n">
        <x:v>0.9983</x:v>
      </x:c>
      <x:c r="E3324" s="73" t="n">
        <x:v>1.7918</x:v>
      </x:c>
      <x:c r="F3324" s="73" t="n">
        <x:v>2.1304</x:v>
      </x:c>
      <x:c r="G3324" s="74" t="n">
        <x:v>0.0008</x:v>
      </x:c>
      <x:c r="H3324" s="66" t="str">
        <x:v>祁腾蜂赢1号净值20260911.xlsx</x:v>
      </x:c>
      <x:c r="I3324" s="73" t="str">
        <x:f>""</x:f>
      </x:c>
      <x:c r="J3324" s="74" t="str">
        <x:f>""</x:f>
      </x:c>
      <x:c r="K3324" s="73" t="n">
        <x:f>MAX(K3323,F3324)</x:f>
        <x:v>2.1361</x:v>
      </x:c>
      <x:c r="L3324" s="74" t="n">
        <x:f>1-F3324/K3324</x:f>
        <x:v>0.0026684144000749255</x:v>
      </x:c>
      <x:c r="M3324" s="73" t="n">
        <x:f>MAX(M3323,F3324)</x:f>
        <x:v>2.1361</x:v>
      </x:c>
      <x:c r="N3324" s="74" t="n">
        <x:f>1-F3324/M3324</x:f>
        <x:v>0.0026684144000749255</x:v>
      </x:c>
    </x:row>
    <x:row r="3325" ht="27" customHeight="1">
      <x:c r="A3325" s="66" t="str">
        <x:v>SEV580</x:v>
      </x:c>
      <x:c r="B3325" s="66" t="str">
        <x:v>祁腾蜂赢1号</x:v>
      </x:c>
      <x:c r="C3325" s="72" t="n">
        <x:v>45889</x:v>
      </x:c>
      <x:c r="D3325" s="73" t="n">
        <x:v>0.9995</x:v>
      </x:c>
      <x:c r="E3325" s="73" t="n">
        <x:v>1.793</x:v>
      </x:c>
      <x:c r="F3325" s="73" t="n">
        <x:v>2.1329</x:v>
      </x:c>
      <x:c r="G3325" s="74" t="n">
        <x:v>0.0012</x:v>
      </x:c>
      <x:c r="H3325" s="66" t="str">
        <x:v>祁腾蜂赢1号净值20260911.xlsx</x:v>
      </x:c>
      <x:c r="I3325" s="73" t="str">
        <x:f>""</x:f>
      </x:c>
      <x:c r="J3325" s="74" t="str">
        <x:f>""</x:f>
      </x:c>
      <x:c r="K3325" s="73" t="n">
        <x:f>MAX(K3324,F3325)</x:f>
        <x:v>2.1361</x:v>
      </x:c>
      <x:c r="L3325" s="74" t="n">
        <x:f>1-F3325/K3325</x:f>
        <x:v>0.0014980572070596443</x:v>
      </x:c>
      <x:c r="M3325" s="73" t="n">
        <x:f>MAX(M3324,F3325)</x:f>
        <x:v>2.1361</x:v>
      </x:c>
      <x:c r="N3325" s="74" t="n">
        <x:f>1-F3325/M3325</x:f>
        <x:v>0.0014980572070596443</x:v>
      </x:c>
    </x:row>
    <x:row r="3326" ht="27" customHeight="1">
      <x:c r="A3326" s="66" t="str">
        <x:v>SEV580</x:v>
      </x:c>
      <x:c r="B3326" s="66" t="str">
        <x:v>祁腾蜂赢1号</x:v>
      </x:c>
      <x:c r="C3326" s="72" t="n">
        <x:v>45890</x:v>
      </x:c>
      <x:c r="D3326" s="73" t="n">
        <x:v>1.0006</x:v>
      </x:c>
      <x:c r="E3326" s="73" t="n">
        <x:v>1.7941</x:v>
      </x:c>
      <x:c r="F3326" s="73" t="n">
        <x:v>2.1353</x:v>
      </x:c>
      <x:c r="G3326" s="74" t="n">
        <x:v>0.0011</x:v>
      </x:c>
      <x:c r="H3326" s="66" t="str">
        <x:v>祁腾蜂赢1号净值20260911.xlsx</x:v>
      </x:c>
      <x:c r="I3326" s="73" t="str">
        <x:f>""</x:f>
      </x:c>
      <x:c r="J3326" s="74" t="str">
        <x:f>""</x:f>
      </x:c>
      <x:c r="K3326" s="73" t="n">
        <x:f>MAX(K3325,F3326)</x:f>
        <x:v>2.1361</x:v>
      </x:c>
      <x:c r="L3326" s="74" t="n">
        <x:f>1-F3326/K3326</x:f>
        <x:v>0.0003745143017648278</x:v>
      </x:c>
      <x:c r="M3326" s="73" t="n">
        <x:f>MAX(M3325,F3326)</x:f>
        <x:v>2.1361</x:v>
      </x:c>
      <x:c r="N3326" s="74" t="n">
        <x:f>1-F3326/M3326</x:f>
        <x:v>0.0003745143017648278</x:v>
      </x:c>
    </x:row>
    <x:row r="3327" ht="27" customHeight="1">
      <x:c r="A3327" s="66" t="str">
        <x:v>SEV580</x:v>
      </x:c>
      <x:c r="B3327" s="66" t="str">
        <x:v>祁腾蜂赢1号</x:v>
      </x:c>
      <x:c r="C3327" s="72" t="n">
        <x:v>45891</x:v>
      </x:c>
      <x:c r="D3327" s="73" t="n">
        <x:v>1.0011</x:v>
      </x:c>
      <x:c r="E3327" s="73" t="n">
        <x:v>1.7946</x:v>
      </x:c>
      <x:c r="F3327" s="73" t="n">
        <x:v>2.1364</x:v>
      </x:c>
      <x:c r="G3327" s="74" t="n">
        <x:v>0.0005</x:v>
      </x:c>
      <x:c r="H3327" s="66" t="str">
        <x:v>祁腾蜂赢1号净值20260911.xlsx</x:v>
      </x:c>
      <x:c r="I3327" s="73" t="str">
        <x:f>""</x:f>
      </x:c>
      <x:c r="J3327" s="74" t="str">
        <x:f>""</x:f>
      </x:c>
      <x:c r="K3327" s="73" t="n">
        <x:f>MAX(K3326,F3327)</x:f>
        <x:v>2.1364</x:v>
      </x:c>
      <x:c r="L3327" s="74" t="n">
        <x:f>1-F3327/K3327</x:f>
        <x:v>0</x:v>
      </x:c>
      <x:c r="M3327" s="73" t="n">
        <x:f>MAX(M3326,F3327)</x:f>
        <x:v>2.1364</x:v>
      </x:c>
      <x:c r="N3327" s="74" t="n">
        <x:f>1-F3327/M3327</x:f>
        <x:v>0</x:v>
      </x:c>
    </x:row>
    <x:row r="3328" ht="27" customHeight="1">
      <x:c r="A3328" s="66" t="str">
        <x:v>SEV580</x:v>
      </x:c>
      <x:c r="B3328" s="66" t="str">
        <x:v>祁腾蜂赢1号</x:v>
      </x:c>
      <x:c r="C3328" s="72" t="n">
        <x:v>45894</x:v>
      </x:c>
      <x:c r="D3328" s="73" t="n">
        <x:v>1.002</x:v>
      </x:c>
      <x:c r="E3328" s="73" t="n">
        <x:v>1.7955</x:v>
      </x:c>
      <x:c r="F3328" s="73" t="n">
        <x:v>2.1383</x:v>
      </x:c>
      <x:c r="G3328" s="74" t="n">
        <x:v>0.0009</x:v>
      </x:c>
      <x:c r="H3328" s="66" t="str">
        <x:v>祁腾蜂赢1号净值20260911.xlsx</x:v>
      </x:c>
      <x:c r="I3328" s="73" t="str">
        <x:f>""</x:f>
      </x:c>
      <x:c r="J3328" s="74" t="str">
        <x:f>""</x:f>
      </x:c>
      <x:c r="K3328" s="73" t="n">
        <x:f>MAX(K3327,F3328)</x:f>
        <x:v>2.1383</x:v>
      </x:c>
      <x:c r="L3328" s="74" t="n">
        <x:f>1-F3328/K3328</x:f>
        <x:v>0</x:v>
      </x:c>
      <x:c r="M3328" s="73" t="n">
        <x:f>MAX(M3327,F3328)</x:f>
        <x:v>2.1383</x:v>
      </x:c>
      <x:c r="N3328" s="74" t="n">
        <x:f>1-F3328/M3328</x:f>
        <x:v>0</x:v>
      </x:c>
    </x:row>
    <x:row r="3329" ht="27" customHeight="1">
      <x:c r="A3329" s="66" t="str">
        <x:v>SEV580</x:v>
      </x:c>
      <x:c r="B3329" s="66" t="str">
        <x:v>祁腾蜂赢1号</x:v>
      </x:c>
      <x:c r="C3329" s="72" t="n">
        <x:v>45895</x:v>
      </x:c>
      <x:c r="D3329" s="73" t="n">
        <x:v>1.0019</x:v>
      </x:c>
      <x:c r="E3329" s="73" t="n">
        <x:v>1.7954</x:v>
      </x:c>
      <x:c r="F3329" s="73" t="n">
        <x:v>2.1381</x:v>
      </x:c>
      <x:c r="G3329" s="74" t="n">
        <x:v>-0.0001</x:v>
      </x:c>
      <x:c r="H3329" s="66" t="str">
        <x:v>祁腾蜂赢1号净值20260911.xlsx</x:v>
      </x:c>
      <x:c r="I3329" s="73" t="str">
        <x:f>""</x:f>
      </x:c>
      <x:c r="J3329" s="74" t="str">
        <x:f>""</x:f>
      </x:c>
      <x:c r="K3329" s="73" t="n">
        <x:f>MAX(K3328,F3329)</x:f>
        <x:v>2.1383</x:v>
      </x:c>
      <x:c r="L3329" s="74" t="n">
        <x:f>1-F3329/K3329</x:f>
        <x:v>0.00009353224524155657</x:v>
      </x:c>
      <x:c r="M3329" s="73" t="n">
        <x:f>MAX(M3328,F3329)</x:f>
        <x:v>2.1383</x:v>
      </x:c>
      <x:c r="N3329" s="74" t="n">
        <x:f>1-F3329/M3329</x:f>
        <x:v>0.00009353224524155657</x:v>
      </x:c>
    </x:row>
    <x:row r="3330" ht="27" customHeight="1">
      <x:c r="A3330" s="66" t="str">
        <x:v>SEV580</x:v>
      </x:c>
      <x:c r="B3330" s="66" t="str">
        <x:v>祁腾蜂赢1号</x:v>
      </x:c>
      <x:c r="C3330" s="72" t="n">
        <x:v>45896</x:v>
      </x:c>
      <x:c r="D3330" s="73" t="n">
        <x:v>1.0036</x:v>
      </x:c>
      <x:c r="E3330" s="73" t="n">
        <x:v>1.7971</x:v>
      </x:c>
      <x:c r="F3330" s="73" t="n">
        <x:v>2.1417</x:v>
      </x:c>
      <x:c r="G3330" s="74" t="n">
        <x:v>0.0017000000000000001</x:v>
      </x:c>
      <x:c r="H3330" s="66" t="str">
        <x:v>祁腾蜂赢1号净值20260911.xlsx</x:v>
      </x:c>
      <x:c r="I3330" s="73" t="str">
        <x:f>""</x:f>
      </x:c>
      <x:c r="J3330" s="74" t="str">
        <x:f>""</x:f>
      </x:c>
      <x:c r="K3330" s="73" t="n">
        <x:f>MAX(K3329,F3330)</x:f>
        <x:v>2.1417</x:v>
      </x:c>
      <x:c r="L3330" s="74" t="n">
        <x:f>1-F3330/K3330</x:f>
        <x:v>0</x:v>
      </x:c>
      <x:c r="M3330" s="73" t="n">
        <x:f>MAX(M3329,F3330)</x:f>
        <x:v>2.1417</x:v>
      </x:c>
      <x:c r="N3330" s="74" t="n">
        <x:f>1-F3330/M3330</x:f>
        <x:v>0</x:v>
      </x:c>
    </x:row>
    <x:row r="3331" ht="27" customHeight="1">
      <x:c r="A3331" s="66" t="str">
        <x:v>SEV580</x:v>
      </x:c>
      <x:c r="B3331" s="66" t="str">
        <x:v>祁腾蜂赢1号</x:v>
      </x:c>
      <x:c r="C3331" s="72" t="n">
        <x:v>45897</x:v>
      </x:c>
      <x:c r="D3331" s="73" t="n">
        <x:v>1.0055</x:v>
      </x:c>
      <x:c r="E3331" s="73" t="n">
        <x:v>1.799</x:v>
      </x:c>
      <x:c r="F3331" s="73" t="n">
        <x:v>2.1457</x:v>
      </x:c>
      <x:c r="G3331" s="74" t="n">
        <x:v>0.0019</x:v>
      </x:c>
      <x:c r="H3331" s="66" t="str">
        <x:v>祁腾蜂赢1号净值20260911.xlsx</x:v>
      </x:c>
      <x:c r="I3331" s="73" t="str">
        <x:f>""</x:f>
      </x:c>
      <x:c r="J3331" s="74" t="str">
        <x:f>""</x:f>
      </x:c>
      <x:c r="K3331" s="73" t="n">
        <x:f>MAX(K3330,F3331)</x:f>
        <x:v>2.1457</x:v>
      </x:c>
      <x:c r="L3331" s="74" t="n">
        <x:f>1-F3331/K3331</x:f>
        <x:v>0</x:v>
      </x:c>
      <x:c r="M3331" s="73" t="n">
        <x:f>MAX(M3330,F3331)</x:f>
        <x:v>2.1457</x:v>
      </x:c>
      <x:c r="N3331" s="74" t="n">
        <x:f>1-F3331/M3331</x:f>
        <x:v>0</x:v>
      </x:c>
    </x:row>
    <x:row r="3332" ht="27" customHeight="1">
      <x:c r="A3332" s="66" t="str">
        <x:v>SEV580</x:v>
      </x:c>
      <x:c r="B3332" s="66" t="str">
        <x:v>祁腾蜂赢1号</x:v>
      </x:c>
      <x:c r="C3332" s="72" t="n">
        <x:v>45898</x:v>
      </x:c>
      <x:c r="D3332" s="73" t="n">
        <x:v>1.0056</x:v>
      </x:c>
      <x:c r="E3332" s="73" t="n">
        <x:v>1.7991</x:v>
      </x:c>
      <x:c r="F3332" s="73" t="n">
        <x:v>2.146</x:v>
      </x:c>
      <x:c r="G3332" s="74" t="n">
        <x:v>0.0001</x:v>
      </x:c>
      <x:c r="H3332" s="66" t="str">
        <x:v>祁腾蜂赢1号净值20260911.xlsx</x:v>
      </x:c>
      <x:c r="I3332" s="73" t="str">
        <x:f>""</x:f>
      </x:c>
      <x:c r="J3332" s="74" t="str">
        <x:f>""</x:f>
      </x:c>
      <x:c r="K3332" s="73" t="n">
        <x:f>MAX(K3331,F3332)</x:f>
        <x:v>2.146</x:v>
      </x:c>
      <x:c r="L3332" s="74" t="n">
        <x:f>1-F3332/K3332</x:f>
        <x:v>0</x:v>
      </x:c>
      <x:c r="M3332" s="73" t="n">
        <x:f>MAX(M3331,F3332)</x:f>
        <x:v>2.146</x:v>
      </x:c>
      <x:c r="N3332" s="74" t="n">
        <x:f>1-F3332/M3332</x:f>
        <x:v>0</x:v>
      </x:c>
    </x:row>
    <x:row r="3333" ht="27" customHeight="1">
      <x:c r="A3333" s="66" t="str">
        <x:v>SEV580</x:v>
      </x:c>
      <x:c r="B3333" s="66" t="str">
        <x:v>祁腾蜂赢1号</x:v>
      </x:c>
      <x:c r="C3333" s="72" t="n">
        <x:v>45901</x:v>
      </x:c>
      <x:c r="D3333" s="73" t="n">
        <x:v>1.0055</x:v>
      </x:c>
      <x:c r="E3333" s="73" t="n">
        <x:v>1.799</x:v>
      </x:c>
      <x:c r="F3333" s="73" t="n">
        <x:v>2.1457</x:v>
      </x:c>
      <x:c r="G3333" s="74" t="n">
        <x:v>-0.0001</x:v>
      </x:c>
      <x:c r="H3333" s="66" t="str">
        <x:v>祁腾蜂赢1号净值20260911.xlsx</x:v>
      </x:c>
      <x:c r="I3333" s="73" t="str">
        <x:f>""</x:f>
      </x:c>
      <x:c r="J3333" s="74" t="str">
        <x:f>""</x:f>
      </x:c>
      <x:c r="K3333" s="73" t="n">
        <x:f>MAX(K3332,F3333)</x:f>
        <x:v>2.146</x:v>
      </x:c>
      <x:c r="L3333" s="74" t="n">
        <x:f>1-F3333/K3333</x:f>
        <x:v>0.00013979496738103503</x:v>
      </x:c>
      <x:c r="M3333" s="73" t="n">
        <x:f>MAX(M3332,F3333)</x:f>
        <x:v>2.146</x:v>
      </x:c>
      <x:c r="N3333" s="74" t="n">
        <x:f>1-F3333/M3333</x:f>
        <x:v>0.00013979496738103503</x:v>
      </x:c>
    </x:row>
    <x:row r="3334" ht="27" customHeight="1">
      <x:c r="A3334" s="66" t="str">
        <x:v>SEV580</x:v>
      </x:c>
      <x:c r="B3334" s="66" t="str">
        <x:v>祁腾蜂赢1号</x:v>
      </x:c>
      <x:c r="C3334" s="72" t="n">
        <x:v>45902</x:v>
      </x:c>
      <x:c r="D3334" s="73" t="n">
        <x:v>1.0055</x:v>
      </x:c>
      <x:c r="E3334" s="73" t="n">
        <x:v>1.799</x:v>
      </x:c>
      <x:c r="F3334" s="73" t="n">
        <x:v>2.1457</x:v>
      </x:c>
      <x:c r="G3334" s="74" t="n">
        <x:v>0</x:v>
      </x:c>
      <x:c r="H3334" s="66" t="str">
        <x:v>祁腾蜂赢1号净值20260911.xlsx</x:v>
      </x:c>
      <x:c r="I3334" s="73" t="str">
        <x:f>""</x:f>
      </x:c>
      <x:c r="J3334" s="74" t="str">
        <x:f>""</x:f>
      </x:c>
      <x:c r="K3334" s="73" t="n">
        <x:f>MAX(K3333,F3334)</x:f>
        <x:v>2.146</x:v>
      </x:c>
      <x:c r="L3334" s="74" t="n">
        <x:f>1-F3334/K3334</x:f>
        <x:v>0.00013979496738103503</x:v>
      </x:c>
      <x:c r="M3334" s="73" t="n">
        <x:f>MAX(M3333,F3334)</x:f>
        <x:v>2.146</x:v>
      </x:c>
      <x:c r="N3334" s="74" t="n">
        <x:f>1-F3334/M3334</x:f>
        <x:v>0.00013979496738103503</x:v>
      </x:c>
    </x:row>
    <x:row r="3335" ht="27" customHeight="1">
      <x:c r="A3335" s="66" t="str">
        <x:v>SEV580</x:v>
      </x:c>
      <x:c r="B3335" s="66" t="str">
        <x:v>祁腾蜂赢1号</x:v>
      </x:c>
      <x:c r="C3335" s="72" t="n">
        <x:v>45903</x:v>
      </x:c>
      <x:c r="D3335" s="73" t="n">
        <x:v>1.0066</x:v>
      </x:c>
      <x:c r="E3335" s="73" t="n">
        <x:v>1.8001</x:v>
      </x:c>
      <x:c r="F3335" s="73" t="n">
        <x:v>2.1481</x:v>
      </x:c>
      <x:c r="G3335" s="74" t="n">
        <x:v>0.0011</x:v>
      </x:c>
      <x:c r="H3335" s="66" t="str">
        <x:v>祁腾蜂赢1号净值20260911.xlsx</x:v>
      </x:c>
      <x:c r="I3335" s="73" t="str">
        <x:f>""</x:f>
      </x:c>
      <x:c r="J3335" s="74" t="str">
        <x:f>""</x:f>
      </x:c>
      <x:c r="K3335" s="73" t="n">
        <x:f>MAX(K3334,F3335)</x:f>
        <x:v>2.1481</x:v>
      </x:c>
      <x:c r="L3335" s="74" t="n">
        <x:f>1-F3335/K3335</x:f>
        <x:v>0</x:v>
      </x:c>
      <x:c r="M3335" s="73" t="n">
        <x:f>MAX(M3334,F3335)</x:f>
        <x:v>2.1481</x:v>
      </x:c>
      <x:c r="N3335" s="74" t="n">
        <x:f>1-F3335/M3335</x:f>
        <x:v>0</x:v>
      </x:c>
    </x:row>
    <x:row r="3336" ht="27" customHeight="1">
      <x:c r="A3336" s="66" t="str">
        <x:v>SEV580</x:v>
      </x:c>
      <x:c r="B3336" s="66" t="str">
        <x:v>祁腾蜂赢1号</x:v>
      </x:c>
      <x:c r="C3336" s="72" t="n">
        <x:v>45904</x:v>
      </x:c>
      <x:c r="D3336" s="73" t="n">
        <x:v>1.0075</x:v>
      </x:c>
      <x:c r="E3336" s="73" t="n">
        <x:v>1.801</x:v>
      </x:c>
      <x:c r="F3336" s="73" t="n">
        <x:v>2.15</x:v>
      </x:c>
      <x:c r="G3336" s="74" t="n">
        <x:v>0.0009</x:v>
      </x:c>
      <x:c r="H3336" s="66" t="str">
        <x:v>祁腾蜂赢1号净值20260911.xlsx</x:v>
      </x:c>
      <x:c r="I3336" s="73" t="str">
        <x:f>""</x:f>
      </x:c>
      <x:c r="J3336" s="74" t="str">
        <x:f>""</x:f>
      </x:c>
      <x:c r="K3336" s="73" t="n">
        <x:f>MAX(K3335,F3336)</x:f>
        <x:v>2.15</x:v>
      </x:c>
      <x:c r="L3336" s="74" t="n">
        <x:f>1-F3336/K3336</x:f>
        <x:v>0</x:v>
      </x:c>
      <x:c r="M3336" s="73" t="n">
        <x:f>MAX(M3335,F3336)</x:f>
        <x:v>2.15</x:v>
      </x:c>
      <x:c r="N3336" s="74" t="n">
        <x:f>1-F3336/M3336</x:f>
        <x:v>0</x:v>
      </x:c>
    </x:row>
    <x:row r="3337" ht="27" customHeight="1">
      <x:c r="A3337" s="66" t="str">
        <x:v>SEV580</x:v>
      </x:c>
      <x:c r="B3337" s="66" t="str">
        <x:v>祁腾蜂赢1号</x:v>
      </x:c>
      <x:c r="C3337" s="72" t="n">
        <x:v>45905</x:v>
      </x:c>
      <x:c r="D3337" s="73" t="n">
        <x:v>1.0069</x:v>
      </x:c>
      <x:c r="E3337" s="73" t="n">
        <x:v>1.8004</x:v>
      </x:c>
      <x:c r="F3337" s="73" t="n">
        <x:v>2.1487</x:v>
      </x:c>
      <x:c r="G3337" s="74" t="n">
        <x:v>-0.0006</x:v>
      </x:c>
      <x:c r="H3337" s="66" t="str">
        <x:v>祁腾蜂赢1号净值20260911.xlsx</x:v>
      </x:c>
      <x:c r="I3337" s="73" t="str">
        <x:f>""</x:f>
      </x:c>
      <x:c r="J3337" s="74" t="str">
        <x:f>""</x:f>
      </x:c>
      <x:c r="K3337" s="73" t="n">
        <x:f>MAX(K3336,F3337)</x:f>
        <x:v>2.15</x:v>
      </x:c>
      <x:c r="L3337" s="74" t="n">
        <x:f>1-F3337/K3337</x:f>
        <x:v>0.0006046511627907369</x:v>
      </x:c>
      <x:c r="M3337" s="73" t="n">
        <x:f>MAX(M3336,F3337)</x:f>
        <x:v>2.15</x:v>
      </x:c>
      <x:c r="N3337" s="74" t="n">
        <x:f>1-F3337/M3337</x:f>
        <x:v>0.0006046511627907369</x:v>
      </x:c>
    </x:row>
    <x:row r="3338" ht="27" customHeight="1">
      <x:c r="A3338" s="66" t="str">
        <x:v>SEV580</x:v>
      </x:c>
      <x:c r="B3338" s="66" t="str">
        <x:v>祁腾蜂赢1号</x:v>
      </x:c>
      <x:c r="C3338" s="72" t="n">
        <x:v>45908</x:v>
      </x:c>
      <x:c r="D3338" s="73" t="n">
        <x:v>1.0074</x:v>
      </x:c>
      <x:c r="E3338" s="73" t="n">
        <x:v>1.8009</x:v>
      </x:c>
      <x:c r="F3338" s="73" t="n">
        <x:v>2.1498</x:v>
      </x:c>
      <x:c r="G3338" s="74" t="n">
        <x:v>0.0005</x:v>
      </x:c>
      <x:c r="H3338" s="66" t="str">
        <x:v>祁腾蜂赢1号净值20260911.xlsx</x:v>
      </x:c>
      <x:c r="I3338" s="73" t="str">
        <x:f>""</x:f>
      </x:c>
      <x:c r="J3338" s="74" t="str">
        <x:f>""</x:f>
      </x:c>
      <x:c r="K3338" s="73" t="n">
        <x:f>MAX(K3337,F3338)</x:f>
        <x:v>2.15</x:v>
      </x:c>
      <x:c r="L3338" s="74" t="n">
        <x:f>1-F3338/K3338</x:f>
        <x:v>0.00009302325581395099</x:v>
      </x:c>
      <x:c r="M3338" s="73" t="n">
        <x:f>MAX(M3337,F3338)</x:f>
        <x:v>2.15</x:v>
      </x:c>
      <x:c r="N3338" s="74" t="n">
        <x:f>1-F3338/M3338</x:f>
        <x:v>0.00009302325581395099</x:v>
      </x:c>
    </x:row>
    <x:row r="3339" ht="27" customHeight="1">
      <x:c r="A3339" s="66" t="str">
        <x:v>SEV580</x:v>
      </x:c>
      <x:c r="B3339" s="66" t="str">
        <x:v>祁腾蜂赢1号</x:v>
      </x:c>
      <x:c r="C3339" s="72" t="n">
        <x:v>45909</x:v>
      </x:c>
      <x:c r="D3339" s="73" t="n">
        <x:v>1.0076</x:v>
      </x:c>
      <x:c r="E3339" s="73" t="n">
        <x:v>1.8011</x:v>
      </x:c>
      <x:c r="F3339" s="73" t="n">
        <x:v>2.1502</x:v>
      </x:c>
      <x:c r="G3339" s="74" t="n">
        <x:v>0.0002</x:v>
      </x:c>
      <x:c r="H3339" s="66" t="str">
        <x:v>祁腾蜂赢1号净值20260911.xlsx</x:v>
      </x:c>
      <x:c r="I3339" s="73" t="str">
        <x:f>""</x:f>
      </x:c>
      <x:c r="J3339" s="74" t="str">
        <x:f>""</x:f>
      </x:c>
      <x:c r="K3339" s="73" t="n">
        <x:f>MAX(K3338,F3339)</x:f>
        <x:v>2.1502</x:v>
      </x:c>
      <x:c r="L3339" s="74" t="n">
        <x:f>1-F3339/K3339</x:f>
        <x:v>0</x:v>
      </x:c>
      <x:c r="M3339" s="73" t="n">
        <x:f>MAX(M3338,F3339)</x:f>
        <x:v>2.1502</x:v>
      </x:c>
      <x:c r="N3339" s="74" t="n">
        <x:f>1-F3339/M3339</x:f>
        <x:v>0</x:v>
      </x:c>
    </x:row>
    <x:row r="3340" ht="27" customHeight="1">
      <x:c r="A3340" s="66" t="str">
        <x:v>SEV580</x:v>
      </x:c>
      <x:c r="B3340" s="66" t="str">
        <x:v>祁腾蜂赢1号</x:v>
      </x:c>
      <x:c r="C3340" s="72" t="n">
        <x:v>45910</x:v>
      </x:c>
      <x:c r="D3340" s="73" t="n">
        <x:v>1.0077</x:v>
      </x:c>
      <x:c r="E3340" s="73" t="n">
        <x:v>1.8012</x:v>
      </x:c>
      <x:c r="F3340" s="73" t="n">
        <x:v>2.1504</x:v>
      </x:c>
      <x:c r="G3340" s="74" t="n">
        <x:v>0.0001</x:v>
      </x:c>
      <x:c r="H3340" s="66" t="str">
        <x:v>祁腾蜂赢1号净值20260911.xlsx</x:v>
      </x:c>
      <x:c r="I3340" s="73" t="n">
        <x:f>F3340</x:f>
        <x:v>2.1504</x:v>
      </x:c>
      <x:c r="J3340" s="74" t="n">
        <x:f>1-F3340/I3340</x:f>
        <x:v>0</x:v>
      </x:c>
      <x:c r="K3340" s="73" t="n">
        <x:f>MAX(K3339,F3340)</x:f>
        <x:v>2.1504</x:v>
      </x:c>
      <x:c r="L3340" s="74" t="n">
        <x:f>1-F3340/K3340</x:f>
        <x:v>0</x:v>
      </x:c>
      <x:c r="M3340" s="73" t="n">
        <x:f>MAX(M3339,F3340)</x:f>
        <x:v>2.1504</x:v>
      </x:c>
      <x:c r="N3340" s="74" t="n">
        <x:f>1-F3340/M3340</x:f>
        <x:v>0</x:v>
      </x:c>
    </x:row>
    <x:row r="3341" ht="27" customHeight="1">
      <x:c r="A3341" s="66" t="str">
        <x:v>SEV580</x:v>
      </x:c>
      <x:c r="B3341" s="66" t="str">
        <x:v>祁腾蜂赢1号</x:v>
      </x:c>
      <x:c r="C3341" s="72" t="n">
        <x:v>45911</x:v>
      </x:c>
      <x:c r="D3341" s="73" t="n">
        <x:v>1.0083</x:v>
      </x:c>
      <x:c r="E3341" s="73" t="n">
        <x:v>1.8018</x:v>
      </x:c>
      <x:c r="F3341" s="73" t="n">
        <x:v>2.1517</x:v>
      </x:c>
      <x:c r="G3341" s="74" t="n">
        <x:v>0.0006</x:v>
      </x:c>
      <x:c r="H3341" s="66" t="str">
        <x:v>祁腾蜂赢1号净值20260911.xlsx</x:v>
      </x:c>
      <x:c r="I3341" s="73" t="n">
        <x:f>MAX(I3340,F3341)</x:f>
        <x:v>2.1517</x:v>
      </x:c>
      <x:c r="J3341" s="74" t="n">
        <x:f>1-F3341/I3341</x:f>
        <x:v>0</x:v>
      </x:c>
      <x:c r="K3341" s="73" t="n">
        <x:f>MAX(K3340,F3341)</x:f>
        <x:v>2.1517</x:v>
      </x:c>
      <x:c r="L3341" s="74" t="n">
        <x:f>1-F3341/K3341</x:f>
        <x:v>0</x:v>
      </x:c>
      <x:c r="M3341" s="73" t="n">
        <x:f>MAX(M3340,F3341)</x:f>
        <x:v>2.1517</x:v>
      </x:c>
      <x:c r="N3341" s="74" t="n">
        <x:f>1-F3341/M3341</x:f>
        <x:v>0</x:v>
      </x:c>
    </x:row>
    <x:row r="3342" ht="27" customHeight="1">
      <x:c r="A3342" s="66" t="str">
        <x:v>SEV580</x:v>
      </x:c>
      <x:c r="B3342" s="66" t="str">
        <x:v>祁腾蜂赢1号</x:v>
      </x:c>
      <x:c r="C3342" s="72" t="n">
        <x:v>45912</x:v>
      </x:c>
      <x:c r="D3342" s="73" t="n">
        <x:v>1.0075</x:v>
      </x:c>
      <x:c r="E3342" s="73" t="n">
        <x:v>1.801</x:v>
      </x:c>
      <x:c r="F3342" s="73" t="n">
        <x:v>2.15</x:v>
      </x:c>
      <x:c r="G3342" s="74" t="n">
        <x:v>-0.0008</x:v>
      </x:c>
      <x:c r="H3342" s="66" t="str">
        <x:v>祁腾蜂赢1号净值20260911.xlsx</x:v>
      </x:c>
      <x:c r="I3342" s="73" t="n">
        <x:f>MAX(I3341,F3342)</x:f>
        <x:v>2.1517</x:v>
      </x:c>
      <x:c r="J3342" s="74" t="n">
        <x:f>1-F3342/I3342</x:f>
        <x:v>0.0007900729655621053</x:v>
      </x:c>
      <x:c r="K3342" s="73" t="n">
        <x:f>MAX(K3341,F3342)</x:f>
        <x:v>2.1517</x:v>
      </x:c>
      <x:c r="L3342" s="74" t="n">
        <x:f>1-F3342/K3342</x:f>
        <x:v>0.0007900729655621053</x:v>
      </x:c>
      <x:c r="M3342" s="73" t="n">
        <x:f>MAX(M3341,F3342)</x:f>
        <x:v>2.1517</x:v>
      </x:c>
      <x:c r="N3342" s="74" t="n">
        <x:f>1-F3342/M3342</x:f>
        <x:v>0.0007900729655621053</x:v>
      </x:c>
    </x:row>
    <x:row r="3343" ht="27" customHeight="1">
      <x:c r="A3343" s="66" t="str">
        <x:v>SEV580</x:v>
      </x:c>
      <x:c r="B3343" s="66" t="str">
        <x:v>祁腾蜂赢1号</x:v>
      </x:c>
      <x:c r="C3343" s="72" t="n">
        <x:v>45915</x:v>
      </x:c>
      <x:c r="D3343" s="73" t="n">
        <x:v>1.0073</x:v>
      </x:c>
      <x:c r="E3343" s="73" t="n">
        <x:v>1.8008</x:v>
      </x:c>
      <x:c r="F3343" s="73" t="n">
        <x:v>2.1496</x:v>
      </x:c>
      <x:c r="G3343" s="74" t="n">
        <x:v>-0.0002</x:v>
      </x:c>
      <x:c r="H3343" s="66" t="str">
        <x:v>祁腾蜂赢1号净值20260911.xlsx</x:v>
      </x:c>
      <x:c r="I3343" s="73" t="n">
        <x:f>MAX(I3342,F3343)</x:f>
        <x:v>2.1517</x:v>
      </x:c>
      <x:c r="J3343" s="74" t="n">
        <x:f>1-F3343/I3343</x:f>
        <x:v>0.0009759724868708686</x:v>
      </x:c>
      <x:c r="K3343" s="73" t="n">
        <x:f>MAX(K3342,F3343)</x:f>
        <x:v>2.1517</x:v>
      </x:c>
      <x:c r="L3343" s="74" t="n">
        <x:f>1-F3343/K3343</x:f>
        <x:v>0.0009759724868708686</x:v>
      </x:c>
      <x:c r="M3343" s="73" t="n">
        <x:f>MAX(M3342,F3343)</x:f>
        <x:v>2.1517</x:v>
      </x:c>
      <x:c r="N3343" s="74" t="n">
        <x:f>1-F3343/M3343</x:f>
        <x:v>0.0009759724868708686</x:v>
      </x:c>
    </x:row>
    <x:row r="3344" ht="27" customHeight="1">
      <x:c r="A3344" s="66" t="str">
        <x:v>SEV580</x:v>
      </x:c>
      <x:c r="B3344" s="66" t="str">
        <x:v>祁腾蜂赢1号</x:v>
      </x:c>
      <x:c r="C3344" s="72" t="n">
        <x:v>45916</x:v>
      </x:c>
      <x:c r="D3344" s="73" t="n">
        <x:v>1.008</x:v>
      </x:c>
      <x:c r="E3344" s="73" t="n">
        <x:v>1.8015</x:v>
      </x:c>
      <x:c r="F3344" s="73" t="n">
        <x:v>2.1511</x:v>
      </x:c>
      <x:c r="G3344" s="74" t="n">
        <x:v>0.0007000000000000001</x:v>
      </x:c>
      <x:c r="H3344" s="66" t="str">
        <x:v>祁腾蜂赢1号净值20260911.xlsx</x:v>
      </x:c>
      <x:c r="I3344" s="73" t="n">
        <x:f>MAX(I3343,F3344)</x:f>
        <x:v>2.1517</x:v>
      </x:c>
      <x:c r="J3344" s="74" t="n">
        <x:f>1-F3344/I3344</x:f>
        <x:v>0.00027884928196308945</x:v>
      </x:c>
      <x:c r="K3344" s="73" t="n">
        <x:f>MAX(K3343,F3344)</x:f>
        <x:v>2.1517</x:v>
      </x:c>
      <x:c r="L3344" s="74" t="n">
        <x:f>1-F3344/K3344</x:f>
        <x:v>0.00027884928196308945</x:v>
      </x:c>
      <x:c r="M3344" s="73" t="n">
        <x:f>MAX(M3343,F3344)</x:f>
        <x:v>2.1517</x:v>
      </x:c>
      <x:c r="N3344" s="74" t="n">
        <x:f>1-F3344/M3344</x:f>
        <x:v>0.00027884928196308945</x:v>
      </x:c>
    </x:row>
    <x:row r="3345" ht="27" customHeight="1">
      <x:c r="A3345" s="66" t="str">
        <x:v>SEV580</x:v>
      </x:c>
      <x:c r="B3345" s="66" t="str">
        <x:v>祁腾蜂赢1号</x:v>
      </x:c>
      <x:c r="C3345" s="72" t="n">
        <x:v>45917</x:v>
      </x:c>
      <x:c r="D3345" s="73" t="n">
        <x:v>1.0082</x:v>
      </x:c>
      <x:c r="E3345" s="73" t="n">
        <x:v>1.8017</x:v>
      </x:c>
      <x:c r="F3345" s="73" t="n">
        <x:v>2.1515</x:v>
      </x:c>
      <x:c r="G3345" s="74" t="n">
        <x:v>0.0002</x:v>
      </x:c>
      <x:c r="H3345" s="66" t="str">
        <x:v>祁腾蜂赢1号净值20260911.xlsx</x:v>
      </x:c>
      <x:c r="I3345" s="73" t="n">
        <x:f>MAX(I3344,F3345)</x:f>
        <x:v>2.1517</x:v>
      </x:c>
      <x:c r="J3345" s="74" t="n">
        <x:f>1-F3345/I3345</x:f>
        <x:v>0.00009294976065432614</x:v>
      </x:c>
      <x:c r="K3345" s="73" t="n">
        <x:f>MAX(K3344,F3345)</x:f>
        <x:v>2.1517</x:v>
      </x:c>
      <x:c r="L3345" s="74" t="n">
        <x:f>1-F3345/K3345</x:f>
        <x:v>0.00009294976065432614</x:v>
      </x:c>
      <x:c r="M3345" s="73" t="n">
        <x:f>MAX(M3344,F3345)</x:f>
        <x:v>2.1517</x:v>
      </x:c>
      <x:c r="N3345" s="74" t="n">
        <x:f>1-F3345/M3345</x:f>
        <x:v>0.00009294976065432614</x:v>
      </x:c>
    </x:row>
    <x:row r="3346" ht="27" customHeight="1">
      <x:c r="A3346" s="66" t="str">
        <x:v>SEV580</x:v>
      </x:c>
      <x:c r="B3346" s="66" t="str">
        <x:v>祁腾蜂赢1号</x:v>
      </x:c>
      <x:c r="C3346" s="72" t="n">
        <x:v>45918</x:v>
      </x:c>
      <x:c r="D3346" s="73" t="n">
        <x:v>1.0108</x:v>
      </x:c>
      <x:c r="E3346" s="73" t="n">
        <x:v>1.8043</x:v>
      </x:c>
      <x:c r="F3346" s="73" t="n">
        <x:v>2.1571</x:v>
      </x:c>
      <x:c r="G3346" s="74" t="n">
        <x:v>0.0026</x:v>
      </x:c>
      <x:c r="H3346" s="66" t="str">
        <x:v>祁腾蜂赢1号净值20260911.xlsx</x:v>
      </x:c>
      <x:c r="I3346" s="73" t="n">
        <x:f>MAX(I3345,F3346)</x:f>
        <x:v>2.1571</x:v>
      </x:c>
      <x:c r="J3346" s="74" t="n">
        <x:f>1-F3346/I3346</x:f>
        <x:v>0</x:v>
      </x:c>
      <x:c r="K3346" s="73" t="n">
        <x:f>MAX(K3345,F3346)</x:f>
        <x:v>2.1571</x:v>
      </x:c>
      <x:c r="L3346" s="74" t="n">
        <x:f>1-F3346/K3346</x:f>
        <x:v>0</x:v>
      </x:c>
      <x:c r="M3346" s="73" t="n">
        <x:f>MAX(M3345,F3346)</x:f>
        <x:v>2.1571</x:v>
      </x:c>
      <x:c r="N3346" s="74" t="n">
        <x:f>1-F3346/M3346</x:f>
        <x:v>0</x:v>
      </x:c>
    </x:row>
    <x:row r="3347" ht="27" customHeight="1">
      <x:c r="A3347" s="66" t="str">
        <x:v>SEV580</x:v>
      </x:c>
      <x:c r="B3347" s="66" t="str">
        <x:v>祁腾蜂赢1号</x:v>
      </x:c>
      <x:c r="C3347" s="72" t="n">
        <x:v>45919</x:v>
      </x:c>
      <x:c r="D3347" s="73" t="n">
        <x:v>1.0111</x:v>
      </x:c>
      <x:c r="E3347" s="73" t="n">
        <x:v>1.8046</x:v>
      </x:c>
      <x:c r="F3347" s="73" t="n">
        <x:v>2.1577</x:v>
      </x:c>
      <x:c r="G3347" s="74" t="n">
        <x:v>0.0003</x:v>
      </x:c>
      <x:c r="H3347" s="66" t="str">
        <x:v>祁腾蜂赢1号净值20260911.xlsx</x:v>
      </x:c>
      <x:c r="I3347" s="73" t="n">
        <x:f>MAX(I3346,F3347)</x:f>
        <x:v>2.1577</x:v>
      </x:c>
      <x:c r="J3347" s="74" t="n">
        <x:f>1-F3347/I3347</x:f>
        <x:v>0</x:v>
      </x:c>
      <x:c r="K3347" s="73" t="n">
        <x:f>MAX(K3346,F3347)</x:f>
        <x:v>2.1577</x:v>
      </x:c>
      <x:c r="L3347" s="74" t="n">
        <x:f>1-F3347/K3347</x:f>
        <x:v>0</x:v>
      </x:c>
      <x:c r="M3347" s="73" t="n">
        <x:f>MAX(M3346,F3347)</x:f>
        <x:v>2.1577</x:v>
      </x:c>
      <x:c r="N3347" s="74" t="n">
        <x:f>1-F3347/M3347</x:f>
        <x:v>0</x:v>
      </x:c>
    </x:row>
    <x:row r="3348" ht="27" customHeight="1">
      <x:c r="A3348" s="66" t="str">
        <x:v>SEV580</x:v>
      </x:c>
      <x:c r="B3348" s="66" t="str">
        <x:v>祁腾蜂赢1号</x:v>
      </x:c>
      <x:c r="C3348" s="72" t="n">
        <x:v>45922</x:v>
      </x:c>
      <x:c r="D3348" s="73" t="n">
        <x:v>1.0133</x:v>
      </x:c>
      <x:c r="E3348" s="73" t="n">
        <x:v>1.8068</x:v>
      </x:c>
      <x:c r="F3348" s="73" t="n">
        <x:v>2.1624</x:v>
      </x:c>
      <x:c r="G3348" s="74" t="n">
        <x:v>0.0022</x:v>
      </x:c>
      <x:c r="H3348" s="66" t="str">
        <x:v>祁腾蜂赢1号净值20260911.xlsx</x:v>
      </x:c>
      <x:c r="I3348" s="73" t="n">
        <x:f>MAX(I3347,F3348)</x:f>
        <x:v>2.1624</x:v>
      </x:c>
      <x:c r="J3348" s="74" t="n">
        <x:f>1-F3348/I3348</x:f>
        <x:v>0</x:v>
      </x:c>
      <x:c r="K3348" s="73" t="n">
        <x:f>MAX(K3347,F3348)</x:f>
        <x:v>2.1624</x:v>
      </x:c>
      <x:c r="L3348" s="74" t="n">
        <x:f>1-F3348/K3348</x:f>
        <x:v>0</x:v>
      </x:c>
      <x:c r="M3348" s="73" t="n">
        <x:f>MAX(M3347,F3348)</x:f>
        <x:v>2.1624</x:v>
      </x:c>
      <x:c r="N3348" s="74" t="n">
        <x:f>1-F3348/M3348</x:f>
        <x:v>0</x:v>
      </x:c>
    </x:row>
    <x:row r="3349" ht="27" customHeight="1">
      <x:c r="A3349" s="66" t="str">
        <x:v>SEV580</x:v>
      </x:c>
      <x:c r="B3349" s="66" t="str">
        <x:v>祁腾蜂赢1号</x:v>
      </x:c>
      <x:c r="C3349" s="72" t="n">
        <x:v>45923</x:v>
      </x:c>
      <x:c r="D3349" s="73" t="n">
        <x:v>1.0145</x:v>
      </x:c>
      <x:c r="E3349" s="73" t="n">
        <x:v>1.808</x:v>
      </x:c>
      <x:c r="F3349" s="73" t="n">
        <x:v>2.165</x:v>
      </x:c>
      <x:c r="G3349" s="74" t="n">
        <x:v>0.0012</x:v>
      </x:c>
      <x:c r="H3349" s="66" t="str">
        <x:v>祁腾蜂赢1号净值20260911.xlsx</x:v>
      </x:c>
      <x:c r="I3349" s="73" t="n">
        <x:f>MAX(I3348,F3349)</x:f>
        <x:v>2.165</x:v>
      </x:c>
      <x:c r="J3349" s="74" t="n">
        <x:f>1-F3349/I3349</x:f>
        <x:v>0</x:v>
      </x:c>
      <x:c r="K3349" s="73" t="n">
        <x:f>MAX(K3348,F3349)</x:f>
        <x:v>2.165</x:v>
      </x:c>
      <x:c r="L3349" s="74" t="n">
        <x:f>1-F3349/K3349</x:f>
        <x:v>0</x:v>
      </x:c>
      <x:c r="M3349" s="73" t="n">
        <x:f>MAX(M3348,F3349)</x:f>
        <x:v>2.165</x:v>
      </x:c>
      <x:c r="N3349" s="74" t="n">
        <x:f>1-F3349/M3349</x:f>
        <x:v>0</x:v>
      </x:c>
    </x:row>
    <x:row r="3350" ht="27" customHeight="1">
      <x:c r="A3350" s="66" t="str">
        <x:v>SEV580</x:v>
      </x:c>
      <x:c r="B3350" s="66" t="str">
        <x:v>祁腾蜂赢1号</x:v>
      </x:c>
      <x:c r="C3350" s="72" t="n">
        <x:v>45924</x:v>
      </x:c>
      <x:c r="D3350" s="73" t="n">
        <x:v>1.0141</x:v>
      </x:c>
      <x:c r="E3350" s="73" t="n">
        <x:v>1.8076</x:v>
      </x:c>
      <x:c r="F3350" s="73" t="n">
        <x:v>2.1641</x:v>
      </x:c>
      <x:c r="G3350" s="74" t="n">
        <x:v>-0.0004</x:v>
      </x:c>
      <x:c r="H3350" s="66" t="str">
        <x:v>祁腾蜂赢1号净值20260911.xlsx</x:v>
      </x:c>
      <x:c r="I3350" s="73" t="n">
        <x:f>MAX(I3349,F3350)</x:f>
        <x:v>2.165</x:v>
      </x:c>
      <x:c r="J3350" s="74" t="n">
        <x:f>1-F3350/I3350</x:f>
        <x:v>0.00041570438799076737</x:v>
      </x:c>
      <x:c r="K3350" s="73" t="n">
        <x:f>MAX(K3349,F3350)</x:f>
        <x:v>2.165</x:v>
      </x:c>
      <x:c r="L3350" s="74" t="n">
        <x:f>1-F3350/K3350</x:f>
        <x:v>0.00041570438799076737</x:v>
      </x:c>
      <x:c r="M3350" s="73" t="n">
        <x:f>MAX(M3349,F3350)</x:f>
        <x:v>2.165</x:v>
      </x:c>
      <x:c r="N3350" s="74" t="n">
        <x:f>1-F3350/M3350</x:f>
        <x:v>0.00041570438799076737</x:v>
      </x:c>
    </x:row>
    <x:row r="3351" ht="27" customHeight="1">
      <x:c r="A3351" s="66" t="str">
        <x:v>SEV580</x:v>
      </x:c>
      <x:c r="B3351" s="66" t="str">
        <x:v>祁腾蜂赢1号</x:v>
      </x:c>
      <x:c r="C3351" s="72" t="n">
        <x:v>45925</x:v>
      </x:c>
      <x:c r="D3351" s="73" t="n">
        <x:v>1.0141</x:v>
      </x:c>
      <x:c r="E3351" s="73" t="n">
        <x:v>1.8076</x:v>
      </x:c>
      <x:c r="F3351" s="73" t="n">
        <x:v>2.1641</x:v>
      </x:c>
      <x:c r="G3351" s="74" t="n">
        <x:v>0</x:v>
      </x:c>
      <x:c r="H3351" s="66" t="str">
        <x:v>祁腾蜂赢1号净值20260911.xlsx</x:v>
      </x:c>
      <x:c r="I3351" s="73" t="n">
        <x:f>MAX(I3350,F3351)</x:f>
        <x:v>2.165</x:v>
      </x:c>
      <x:c r="J3351" s="74" t="n">
        <x:f>1-F3351/I3351</x:f>
        <x:v>0.00041570438799076737</x:v>
      </x:c>
      <x:c r="K3351" s="73" t="n">
        <x:f>MAX(K3350,F3351)</x:f>
        <x:v>2.165</x:v>
      </x:c>
      <x:c r="L3351" s="74" t="n">
        <x:f>1-F3351/K3351</x:f>
        <x:v>0.00041570438799076737</x:v>
      </x:c>
      <x:c r="M3351" s="73" t="n">
        <x:f>MAX(M3350,F3351)</x:f>
        <x:v>2.165</x:v>
      </x:c>
      <x:c r="N3351" s="74" t="n">
        <x:f>1-F3351/M3351</x:f>
        <x:v>0.00041570438799076737</x:v>
      </x:c>
    </x:row>
    <x:row r="3352" ht="27" customHeight="1">
      <x:c r="A3352" s="66" t="str">
        <x:v>SEV580</x:v>
      </x:c>
      <x:c r="B3352" s="66" t="str">
        <x:v>祁腾蜂赢1号</x:v>
      </x:c>
      <x:c r="C3352" s="72" t="n">
        <x:v>45926</x:v>
      </x:c>
      <x:c r="D3352" s="73" t="n">
        <x:v>1.0149</x:v>
      </x:c>
      <x:c r="E3352" s="73" t="n">
        <x:v>1.8084</x:v>
      </x:c>
      <x:c r="F3352" s="73" t="n">
        <x:v>2.1658</x:v>
      </x:c>
      <x:c r="G3352" s="74" t="n">
        <x:v>0.0008</x:v>
      </x:c>
      <x:c r="H3352" s="66" t="str">
        <x:v>祁腾蜂赢1号净值20260911.xlsx</x:v>
      </x:c>
      <x:c r="I3352" s="73" t="n">
        <x:f>MAX(I3351,F3352)</x:f>
        <x:v>2.1658</x:v>
      </x:c>
      <x:c r="J3352" s="74" t="n">
        <x:f>1-F3352/I3352</x:f>
        <x:v>0</x:v>
      </x:c>
      <x:c r="K3352" s="73" t="n">
        <x:f>MAX(K3351,F3352)</x:f>
        <x:v>2.1658</x:v>
      </x:c>
      <x:c r="L3352" s="74" t="n">
        <x:f>1-F3352/K3352</x:f>
        <x:v>0</x:v>
      </x:c>
      <x:c r="M3352" s="73" t="n">
        <x:f>MAX(M3351,F3352)</x:f>
        <x:v>2.1658</x:v>
      </x:c>
      <x:c r="N3352" s="74" t="n">
        <x:f>1-F3352/M3352</x:f>
        <x:v>0</x:v>
      </x:c>
    </x:row>
    <x:row r="3353" ht="27" customHeight="1">
      <x:c r="A3353" s="66" t="str">
        <x:v>SEV580</x:v>
      </x:c>
      <x:c r="B3353" s="66" t="str">
        <x:v>祁腾蜂赢1号</x:v>
      </x:c>
      <x:c r="C3353" s="72" t="n">
        <x:v>45929</x:v>
      </x:c>
      <x:c r="D3353" s="73" t="n">
        <x:v>1.0154</x:v>
      </x:c>
      <x:c r="E3353" s="73" t="n">
        <x:v>1.8089</x:v>
      </x:c>
      <x:c r="F3353" s="73" t="n">
        <x:v>2.1669</x:v>
      </x:c>
      <x:c r="G3353" s="74" t="n">
        <x:v>0.0005</x:v>
      </x:c>
      <x:c r="H3353" s="66" t="str">
        <x:v>祁腾蜂赢1号净值20260911.xlsx</x:v>
      </x:c>
      <x:c r="I3353" s="73" t="n">
        <x:f>MAX(I3352,F3353)</x:f>
        <x:v>2.1669</x:v>
      </x:c>
      <x:c r="J3353" s="74" t="n">
        <x:f>1-F3353/I3353</x:f>
        <x:v>0</x:v>
      </x:c>
      <x:c r="K3353" s="73" t="n">
        <x:f>MAX(K3352,F3353)</x:f>
        <x:v>2.1669</x:v>
      </x:c>
      <x:c r="L3353" s="74" t="n">
        <x:f>1-F3353/K3353</x:f>
        <x:v>0</x:v>
      </x:c>
      <x:c r="M3353" s="73" t="n">
        <x:f>MAX(M3352,F3353)</x:f>
        <x:v>2.1669</x:v>
      </x:c>
      <x:c r="N3353" s="74" t="n">
        <x:f>1-F3353/M3353</x:f>
        <x:v>0</x:v>
      </x:c>
    </x:row>
    <x:row r="3354" ht="27" customHeight="1">
      <x:c r="A3354" s="66" t="str">
        <x:v>SEV580</x:v>
      </x:c>
      <x:c r="B3354" s="66" t="str">
        <x:v>祁腾蜂赢1号</x:v>
      </x:c>
      <x:c r="C3354" s="72" t="n">
        <x:v>45930</x:v>
      </x:c>
      <x:c r="D3354" s="73" t="n">
        <x:v>1.0152</x:v>
      </x:c>
      <x:c r="E3354" s="73" t="n">
        <x:v>1.8087</x:v>
      </x:c>
      <x:c r="F3354" s="73" t="n">
        <x:v>2.1664</x:v>
      </x:c>
      <x:c r="G3354" s="74" t="n">
        <x:v>-0.0002</x:v>
      </x:c>
      <x:c r="H3354" s="66" t="str">
        <x:v>祁腾蜂赢1号净值20260911.xlsx</x:v>
      </x:c>
      <x:c r="I3354" s="73" t="n">
        <x:f>MAX(I3353,F3354)</x:f>
        <x:v>2.1669</x:v>
      </x:c>
      <x:c r="J3354" s="74" t="n">
        <x:f>1-F3354/I3354</x:f>
        <x:v>0.00023074438137438147</x:v>
      </x:c>
      <x:c r="K3354" s="73" t="n">
        <x:f>MAX(K3353,F3354)</x:f>
        <x:v>2.1669</x:v>
      </x:c>
      <x:c r="L3354" s="74" t="n">
        <x:f>1-F3354/K3354</x:f>
        <x:v>0.00023074438137438147</x:v>
      </x:c>
      <x:c r="M3354" s="73" t="n">
        <x:f>MAX(M3353,F3354)</x:f>
        <x:v>2.1669</x:v>
      </x:c>
      <x:c r="N3354" s="74" t="n">
        <x:f>1-F3354/M3354</x:f>
        <x:v>0.00023074438137438147</x:v>
      </x:c>
    </x:row>
    <x:row r="3355" ht="27" customHeight="1">
      <x:c r="A3355" s="66" t="str">
        <x:v>SEV580</x:v>
      </x:c>
      <x:c r="B3355" s="66" t="str">
        <x:v>祁腾蜂赢1号</x:v>
      </x:c>
      <x:c r="C3355" s="72" t="n">
        <x:v>45939</x:v>
      </x:c>
      <x:c r="D3355" s="73" t="n">
        <x:v>1.0154</x:v>
      </x:c>
      <x:c r="E3355" s="73" t="n">
        <x:v>1.8089</x:v>
      </x:c>
      <x:c r="F3355" s="73" t="n">
        <x:v>2.1669</x:v>
      </x:c>
      <x:c r="G3355" s="74" t="n">
        <x:v>0.0002</x:v>
      </x:c>
      <x:c r="H3355" s="66" t="str">
        <x:v>祁腾蜂赢1号净值20260911.xlsx</x:v>
      </x:c>
      <x:c r="I3355" s="73" t="n">
        <x:f>MAX(I3354,F3355)</x:f>
        <x:v>2.1669</x:v>
      </x:c>
      <x:c r="J3355" s="74" t="n">
        <x:f>1-F3355/I3355</x:f>
        <x:v>0</x:v>
      </x:c>
      <x:c r="K3355" s="73" t="n">
        <x:f>MAX(K3354,F3355)</x:f>
        <x:v>2.1669</x:v>
      </x:c>
      <x:c r="L3355" s="74" t="n">
        <x:f>1-F3355/K3355</x:f>
        <x:v>0</x:v>
      </x:c>
      <x:c r="M3355" s="73" t="n">
        <x:f>MAX(M3354,F3355)</x:f>
        <x:v>2.1669</x:v>
      </x:c>
      <x:c r="N3355" s="74" t="n">
        <x:f>1-F3355/M3355</x:f>
        <x:v>0</x:v>
      </x:c>
    </x:row>
    <x:row r="3356" ht="27" customHeight="1">
      <x:c r="A3356" s="66" t="str">
        <x:v>SEV580</x:v>
      </x:c>
      <x:c r="B3356" s="66" t="str">
        <x:v>祁腾蜂赢1号</x:v>
      </x:c>
      <x:c r="C3356" s="72" t="n">
        <x:v>45940</x:v>
      </x:c>
      <x:c r="D3356" s="73" t="n">
        <x:v>1.0147</x:v>
      </x:c>
      <x:c r="E3356" s="73" t="n">
        <x:v>1.8082</x:v>
      </x:c>
      <x:c r="F3356" s="73" t="n">
        <x:v>2.1654</x:v>
      </x:c>
      <x:c r="G3356" s="74" t="n">
        <x:v>-0.0007000000000000001</x:v>
      </x:c>
      <x:c r="H3356" s="66" t="str">
        <x:v>祁腾蜂赢1号净值20260911.xlsx</x:v>
      </x:c>
      <x:c r="I3356" s="73" t="n">
        <x:f>MAX(I3355,F3356)</x:f>
        <x:v>2.1669</x:v>
      </x:c>
      <x:c r="J3356" s="74" t="n">
        <x:f>1-F3356/I3356</x:f>
        <x:v>0.0006922331441229224</x:v>
      </x:c>
      <x:c r="K3356" s="73" t="n">
        <x:f>MAX(K3355,F3356)</x:f>
        <x:v>2.1669</x:v>
      </x:c>
      <x:c r="L3356" s="74" t="n">
        <x:f>1-F3356/K3356</x:f>
        <x:v>0.0006922331441229224</x:v>
      </x:c>
      <x:c r="M3356" s="73" t="n">
        <x:f>MAX(M3355,F3356)</x:f>
        <x:v>2.1669</x:v>
      </x:c>
      <x:c r="N3356" s="74" t="n">
        <x:f>1-F3356/M3356</x:f>
        <x:v>0.0006922331441229224</x:v>
      </x:c>
    </x:row>
    <x:row r="3357" ht="27" customHeight="1">
      <x:c r="A3357" s="66" t="str">
        <x:v>SEV580</x:v>
      </x:c>
      <x:c r="B3357" s="66" t="str">
        <x:v>祁腾蜂赢1号</x:v>
      </x:c>
      <x:c r="C3357" s="72" t="n">
        <x:v>45943</x:v>
      </x:c>
      <x:c r="D3357" s="73" t="n">
        <x:v>1.0157</x:v>
      </x:c>
      <x:c r="E3357" s="73" t="n">
        <x:v>1.8092</x:v>
      </x:c>
      <x:c r="F3357" s="73" t="n">
        <x:v>2.1675</x:v>
      </x:c>
      <x:c r="G3357" s="74" t="n">
        <x:v>0.001</x:v>
      </x:c>
      <x:c r="H3357" s="66" t="str">
        <x:v>祁腾蜂赢1号净值20260911.xlsx</x:v>
      </x:c>
      <x:c r="I3357" s="73" t="n">
        <x:f>MAX(I3356,F3357)</x:f>
        <x:v>2.1675</x:v>
      </x:c>
      <x:c r="J3357" s="74" t="n">
        <x:f>1-F3357/I3357</x:f>
        <x:v>0</x:v>
      </x:c>
      <x:c r="K3357" s="73" t="n">
        <x:f>MAX(K3356,F3357)</x:f>
        <x:v>2.1675</x:v>
      </x:c>
      <x:c r="L3357" s="74" t="n">
        <x:f>1-F3357/K3357</x:f>
        <x:v>0</x:v>
      </x:c>
      <x:c r="M3357" s="73" t="n">
        <x:f>MAX(M3356,F3357)</x:f>
        <x:v>2.1675</x:v>
      </x:c>
      <x:c r="N3357" s="74" t="n">
        <x:f>1-F3357/M3357</x:f>
        <x:v>0</x:v>
      </x:c>
    </x:row>
    <x:row r="3358" ht="27" customHeight="1">
      <x:c r="A3358" s="66" t="str">
        <x:v>SEV580</x:v>
      </x:c>
      <x:c r="B3358" s="66" t="str">
        <x:v>祁腾蜂赢1号</x:v>
      </x:c>
      <x:c r="C3358" s="72" t="n">
        <x:v>45944</x:v>
      </x:c>
      <x:c r="D3358" s="73" t="n">
        <x:v>1.0172</x:v>
      </x:c>
      <x:c r="E3358" s="73" t="n">
        <x:v>1.8107</x:v>
      </x:c>
      <x:c r="F3358" s="73" t="n">
        <x:v>2.1707</x:v>
      </x:c>
      <x:c r="G3358" s="74" t="n">
        <x:v>0.0015</x:v>
      </x:c>
      <x:c r="H3358" s="66" t="str">
        <x:v>祁腾蜂赢1号净值20260911.xlsx</x:v>
      </x:c>
      <x:c r="I3358" s="73" t="n">
        <x:f>MAX(I3357,F3358)</x:f>
        <x:v>2.1707</x:v>
      </x:c>
      <x:c r="J3358" s="74" t="n">
        <x:f>1-F3358/I3358</x:f>
        <x:v>0</x:v>
      </x:c>
      <x:c r="K3358" s="73" t="n">
        <x:f>MAX(K3357,F3358)</x:f>
        <x:v>2.1707</x:v>
      </x:c>
      <x:c r="L3358" s="74" t="n">
        <x:f>1-F3358/K3358</x:f>
        <x:v>0</x:v>
      </x:c>
      <x:c r="M3358" s="73" t="n">
        <x:f>MAX(M3357,F3358)</x:f>
        <x:v>2.1707</x:v>
      </x:c>
      <x:c r="N3358" s="74" t="n">
        <x:f>1-F3358/M3358</x:f>
        <x:v>0</x:v>
      </x:c>
    </x:row>
    <x:row r="3359" ht="27" customHeight="1">
      <x:c r="A3359" s="66" t="str">
        <x:v>SEV580</x:v>
      </x:c>
      <x:c r="B3359" s="66" t="str">
        <x:v>祁腾蜂赢1号</x:v>
      </x:c>
      <x:c r="C3359" s="72" t="n">
        <x:v>45945</x:v>
      </x:c>
      <x:c r="D3359" s="73" t="n">
        <x:v>1.0173</x:v>
      </x:c>
      <x:c r="E3359" s="73" t="n">
        <x:v>1.8108</x:v>
      </x:c>
      <x:c r="F3359" s="73" t="n">
        <x:v>2.1709</x:v>
      </x:c>
      <x:c r="G3359" s="74" t="n">
        <x:v>0.0001</x:v>
      </x:c>
      <x:c r="H3359" s="66" t="str">
        <x:v>祁腾蜂赢1号净值20260911.xlsx</x:v>
      </x:c>
      <x:c r="I3359" s="73" t="n">
        <x:f>MAX(I3358,F3359)</x:f>
        <x:v>2.1709</x:v>
      </x:c>
      <x:c r="J3359" s="74" t="n">
        <x:f>1-F3359/I3359</x:f>
        <x:v>0</x:v>
      </x:c>
      <x:c r="K3359" s="73" t="n">
        <x:f>MAX(K3358,F3359)</x:f>
        <x:v>2.1709</x:v>
      </x:c>
      <x:c r="L3359" s="74" t="n">
        <x:f>1-F3359/K3359</x:f>
        <x:v>0</x:v>
      </x:c>
      <x:c r="M3359" s="73" t="n">
        <x:f>MAX(M3358,F3359)</x:f>
        <x:v>2.1709</x:v>
      </x:c>
      <x:c r="N3359" s="74" t="n">
        <x:f>1-F3359/M3359</x:f>
        <x:v>0</x:v>
      </x:c>
    </x:row>
    <x:row r="3360" ht="27" customHeight="1">
      <x:c r="A3360" s="66" t="str">
        <x:v>SEV580</x:v>
      </x:c>
      <x:c r="B3360" s="66" t="str">
        <x:v>祁腾蜂赢1号</x:v>
      </x:c>
      <x:c r="C3360" s="72" t="n">
        <x:v>45946</x:v>
      </x:c>
      <x:c r="D3360" s="73" t="n">
        <x:v>1.017</x:v>
      </x:c>
      <x:c r="E3360" s="73" t="n">
        <x:v>1.8105</x:v>
      </x:c>
      <x:c r="F3360" s="73" t="n">
        <x:v>2.1703</x:v>
      </x:c>
      <x:c r="G3360" s="74" t="n">
        <x:v>-0.0003</x:v>
      </x:c>
      <x:c r="H3360" s="66" t="str">
        <x:v>祁腾蜂赢1号净值20260911.xlsx</x:v>
      </x:c>
      <x:c r="I3360" s="73" t="n">
        <x:f>MAX(I3359,F3360)</x:f>
        <x:v>2.1709</x:v>
      </x:c>
      <x:c r="J3360" s="74" t="n">
        <x:f>1-F3360/I3360</x:f>
        <x:v>0.0002763830669307854</x:v>
      </x:c>
      <x:c r="K3360" s="73" t="n">
        <x:f>MAX(K3359,F3360)</x:f>
        <x:v>2.1709</x:v>
      </x:c>
      <x:c r="L3360" s="74" t="n">
        <x:f>1-F3360/K3360</x:f>
        <x:v>0.0002763830669307854</x:v>
      </x:c>
      <x:c r="M3360" s="73" t="n">
        <x:f>MAX(M3359,F3360)</x:f>
        <x:v>2.1709</x:v>
      </x:c>
      <x:c r="N3360" s="74" t="n">
        <x:f>1-F3360/M3360</x:f>
        <x:v>0.0002763830669307854</x:v>
      </x:c>
    </x:row>
    <x:row r="3361" ht="27" customHeight="1">
      <x:c r="A3361" s="66" t="str">
        <x:v>SEV580</x:v>
      </x:c>
      <x:c r="B3361" s="66" t="str">
        <x:v>祁腾蜂赢1号</x:v>
      </x:c>
      <x:c r="C3361" s="72" t="n">
        <x:v>45947</x:v>
      </x:c>
      <x:c r="D3361" s="73" t="n">
        <x:v>1.0167</x:v>
      </x:c>
      <x:c r="E3361" s="73" t="n">
        <x:v>1.8102</x:v>
      </x:c>
      <x:c r="F3361" s="73" t="n">
        <x:v>2.1696</x:v>
      </x:c>
      <x:c r="G3361" s="74" t="n">
        <x:v>-0.0003</x:v>
      </x:c>
      <x:c r="H3361" s="66" t="str">
        <x:v>祁腾蜂赢1号净值20260911.xlsx</x:v>
      </x:c>
      <x:c r="I3361" s="73" t="n">
        <x:f>MAX(I3360,F3361)</x:f>
        <x:v>2.1709</x:v>
      </x:c>
      <x:c r="J3361" s="74" t="n">
        <x:f>1-F3361/I3361</x:f>
        <x:v>0.000598829978350035</x:v>
      </x:c>
      <x:c r="K3361" s="73" t="n">
        <x:f>MAX(K3360,F3361)</x:f>
        <x:v>2.1709</x:v>
      </x:c>
      <x:c r="L3361" s="74" t="n">
        <x:f>1-F3361/K3361</x:f>
        <x:v>0.000598829978350035</x:v>
      </x:c>
      <x:c r="M3361" s="73" t="n">
        <x:f>MAX(M3360,F3361)</x:f>
        <x:v>2.1709</x:v>
      </x:c>
      <x:c r="N3361" s="74" t="n">
        <x:f>1-F3361/M3361</x:f>
        <x:v>0.000598829978350035</x:v>
      </x:c>
    </x:row>
    <x:row r="3362" ht="27" customHeight="1">
      <x:c r="A3362" s="66" t="str">
        <x:v>SEV580</x:v>
      </x:c>
      <x:c r="B3362" s="66" t="str">
        <x:v>祁腾蜂赢1号</x:v>
      </x:c>
      <x:c r="C3362" s="72" t="n">
        <x:v>45950</x:v>
      </x:c>
      <x:c r="D3362" s="73" t="n">
        <x:v>1.0165</x:v>
      </x:c>
      <x:c r="E3362" s="73" t="n">
        <x:v>1.81</x:v>
      </x:c>
      <x:c r="F3362" s="73" t="n">
        <x:v>2.1692</x:v>
      </x:c>
      <x:c r="G3362" s="74" t="n">
        <x:v>-0.0002</x:v>
      </x:c>
      <x:c r="H3362" s="66" t="str">
        <x:v>祁腾蜂赢1号净值20260911.xlsx</x:v>
      </x:c>
      <x:c r="I3362" s="73" t="n">
        <x:f>MAX(I3361,F3362)</x:f>
        <x:v>2.1709</x:v>
      </x:c>
      <x:c r="J3362" s="74" t="n">
        <x:f>1-F3362/I3362</x:f>
        <x:v>0.000783085356303892</x:v>
      </x:c>
      <x:c r="K3362" s="73" t="n">
        <x:f>MAX(K3361,F3362)</x:f>
        <x:v>2.1709</x:v>
      </x:c>
      <x:c r="L3362" s="74" t="n">
        <x:f>1-F3362/K3362</x:f>
        <x:v>0.000783085356303892</x:v>
      </x:c>
      <x:c r="M3362" s="73" t="n">
        <x:f>MAX(M3361,F3362)</x:f>
        <x:v>2.1709</x:v>
      </x:c>
      <x:c r="N3362" s="74" t="n">
        <x:f>1-F3362/M3362</x:f>
        <x:v>0.000783085356303892</x:v>
      </x:c>
    </x:row>
    <x:row r="3363" ht="27" customHeight="1">
      <x:c r="A3363" s="66" t="str">
        <x:v>SEV580</x:v>
      </x:c>
      <x:c r="B3363" s="66" t="str">
        <x:v>祁腾蜂赢1号</x:v>
      </x:c>
      <x:c r="C3363" s="72" t="n">
        <x:v>45951</x:v>
      </x:c>
      <x:c r="D3363" s="73" t="n">
        <x:v>1.0162</x:v>
      </x:c>
      <x:c r="E3363" s="73" t="n">
        <x:v>1.8097</x:v>
      </x:c>
      <x:c r="F3363" s="73" t="n">
        <x:v>2.1686</x:v>
      </x:c>
      <x:c r="G3363" s="74" t="n">
        <x:v>-0.0003</x:v>
      </x:c>
      <x:c r="H3363" s="66" t="str">
        <x:v>祁腾蜂赢1号净值20260911.xlsx</x:v>
      </x:c>
      <x:c r="I3363" s="73" t="n">
        <x:f>MAX(I3362,F3363)</x:f>
        <x:v>2.1709</x:v>
      </x:c>
      <x:c r="J3363" s="74" t="n">
        <x:f>1-F3363/I3363</x:f>
        <x:v>0.0010594684232345664</x:v>
      </x:c>
      <x:c r="K3363" s="73" t="n">
        <x:f>MAX(K3362,F3363)</x:f>
        <x:v>2.1709</x:v>
      </x:c>
      <x:c r="L3363" s="74" t="n">
        <x:f>1-F3363/K3363</x:f>
        <x:v>0.0010594684232345664</x:v>
      </x:c>
      <x:c r="M3363" s="73" t="n">
        <x:f>MAX(M3362,F3363)</x:f>
        <x:v>2.1709</x:v>
      </x:c>
      <x:c r="N3363" s="74" t="n">
        <x:f>1-F3363/M3363</x:f>
        <x:v>0.0010594684232345664</x:v>
      </x:c>
    </x:row>
    <x:row r="3364" ht="27" customHeight="1">
      <x:c r="A3364" s="66" t="str">
        <x:v>SEV580</x:v>
      </x:c>
      <x:c r="B3364" s="66" t="str">
        <x:v>祁腾蜂赢1号</x:v>
      </x:c>
      <x:c r="C3364" s="72" t="n">
        <x:v>45952</x:v>
      </x:c>
      <x:c r="D3364" s="73" t="n">
        <x:v>1.0163</x:v>
      </x:c>
      <x:c r="E3364" s="73" t="n">
        <x:v>1.8098</x:v>
      </x:c>
      <x:c r="F3364" s="73" t="n">
        <x:v>2.1688</x:v>
      </x:c>
      <x:c r="G3364" s="74" t="n">
        <x:v>0.0001</x:v>
      </x:c>
      <x:c r="H3364" s="66" t="str">
        <x:v>祁腾蜂赢1号净值20260911.xlsx</x:v>
      </x:c>
      <x:c r="I3364" s="73" t="n">
        <x:f>MAX(I3363,F3364)</x:f>
        <x:v>2.1709</x:v>
      </x:c>
      <x:c r="J3364" s="74" t="n">
        <x:f>1-F3364/I3364</x:f>
        <x:v>0.0009673407342576379</x:v>
      </x:c>
      <x:c r="K3364" s="73" t="n">
        <x:f>MAX(K3363,F3364)</x:f>
        <x:v>2.1709</x:v>
      </x:c>
      <x:c r="L3364" s="74" t="n">
        <x:f>1-F3364/K3364</x:f>
        <x:v>0.0009673407342576379</x:v>
      </x:c>
      <x:c r="M3364" s="73" t="n">
        <x:f>MAX(M3363,F3364)</x:f>
        <x:v>2.1709</x:v>
      </x:c>
      <x:c r="N3364" s="74" t="n">
        <x:f>1-F3364/M3364</x:f>
        <x:v>0.0009673407342576379</x:v>
      </x:c>
    </x:row>
    <x:row r="3365" ht="27" customHeight="1">
      <x:c r="A3365" s="66" t="str">
        <x:v>SEV580</x:v>
      </x:c>
      <x:c r="B3365" s="66" t="str">
        <x:v>祁腾蜂赢1号</x:v>
      </x:c>
      <x:c r="C3365" s="72" t="n">
        <x:v>45953</x:v>
      </x:c>
      <x:c r="D3365" s="73" t="n">
        <x:v>1.0166</x:v>
      </x:c>
      <x:c r="E3365" s="73" t="n">
        <x:v>1.8101</x:v>
      </x:c>
      <x:c r="F3365" s="73" t="n">
        <x:v>2.1694</x:v>
      </x:c>
      <x:c r="G3365" s="74" t="n">
        <x:v>0.0003</x:v>
      </x:c>
      <x:c r="H3365" s="66" t="str">
        <x:v>祁腾蜂赢1号净值20260911.xlsx</x:v>
      </x:c>
      <x:c r="I3365" s="73" t="n">
        <x:f>MAX(I3364,F3365)</x:f>
        <x:v>2.1709</x:v>
      </x:c>
      <x:c r="J3365" s="74" t="n">
        <x:f>1-F3365/I3365</x:f>
        <x:v>0.0006909576673269635</x:v>
      </x:c>
      <x:c r="K3365" s="73" t="n">
        <x:f>MAX(K3364,F3365)</x:f>
        <x:v>2.1709</x:v>
      </x:c>
      <x:c r="L3365" s="74" t="n">
        <x:f>1-F3365/K3365</x:f>
        <x:v>0.0006909576673269635</x:v>
      </x:c>
      <x:c r="M3365" s="73" t="n">
        <x:f>MAX(M3364,F3365)</x:f>
        <x:v>2.1709</x:v>
      </x:c>
      <x:c r="N3365" s="74" t="n">
        <x:f>1-F3365/M3365</x:f>
        <x:v>0.0006909576673269635</x:v>
      </x:c>
    </x:row>
    <x:row r="3366" ht="27" customHeight="1">
      <x:c r="A3366" s="66" t="str">
        <x:v>SEV580</x:v>
      </x:c>
      <x:c r="B3366" s="66" t="str">
        <x:v>祁腾蜂赢1号</x:v>
      </x:c>
      <x:c r="C3366" s="72" t="n">
        <x:v>45954</x:v>
      </x:c>
      <x:c r="D3366" s="73" t="n">
        <x:v>1.0173</x:v>
      </x:c>
      <x:c r="E3366" s="73" t="n">
        <x:v>1.8108</x:v>
      </x:c>
      <x:c r="F3366" s="73" t="n">
        <x:v>2.1709</x:v>
      </x:c>
      <x:c r="G3366" s="74" t="n">
        <x:v>0.0007000000000000001</x:v>
      </x:c>
      <x:c r="H3366" s="66" t="str">
        <x:v>祁腾蜂赢1号净值20260911.xlsx</x:v>
      </x:c>
      <x:c r="I3366" s="73" t="n">
        <x:f>MAX(I3365,F3366)</x:f>
        <x:v>2.1709</x:v>
      </x:c>
      <x:c r="J3366" s="74" t="n">
        <x:f>1-F3366/I3366</x:f>
        <x:v>0</x:v>
      </x:c>
      <x:c r="K3366" s="73" t="n">
        <x:f>MAX(K3365,F3366)</x:f>
        <x:v>2.1709</x:v>
      </x:c>
      <x:c r="L3366" s="74" t="n">
        <x:f>1-F3366/K3366</x:f>
        <x:v>0</x:v>
      </x:c>
      <x:c r="M3366" s="73" t="n">
        <x:f>MAX(M3365,F3366)</x:f>
        <x:v>2.1709</x:v>
      </x:c>
      <x:c r="N3366" s="74" t="n">
        <x:f>1-F3366/M3366</x:f>
        <x:v>0</x:v>
      </x:c>
    </x:row>
    <x:row r="3367" ht="27" customHeight="1">
      <x:c r="A3367" s="66" t="str">
        <x:v>SEV580</x:v>
      </x:c>
      <x:c r="B3367" s="66" t="str">
        <x:v>祁腾蜂赢1号</x:v>
      </x:c>
      <x:c r="C3367" s="72" t="n">
        <x:v>45957</x:v>
      </x:c>
      <x:c r="D3367" s="73" t="n">
        <x:v>1.0176</x:v>
      </x:c>
      <x:c r="E3367" s="73" t="n">
        <x:v>1.8111</x:v>
      </x:c>
      <x:c r="F3367" s="73" t="n">
        <x:v>2.1716</x:v>
      </x:c>
      <x:c r="G3367" s="74" t="n">
        <x:v>0.0003</x:v>
      </x:c>
      <x:c r="H3367" s="66" t="str">
        <x:v>祁腾蜂赢1号净值20260911.xlsx</x:v>
      </x:c>
      <x:c r="I3367" s="73" t="n">
        <x:f>MAX(I3366,F3367)</x:f>
        <x:v>2.1716</x:v>
      </x:c>
      <x:c r="J3367" s="74" t="n">
        <x:f>1-F3367/I3367</x:f>
        <x:v>0</x:v>
      </x:c>
      <x:c r="K3367" s="73" t="n">
        <x:f>MAX(K3366,F3367)</x:f>
        <x:v>2.1716</x:v>
      </x:c>
      <x:c r="L3367" s="74" t="n">
        <x:f>1-F3367/K3367</x:f>
        <x:v>0</x:v>
      </x:c>
      <x:c r="M3367" s="73" t="n">
        <x:f>MAX(M3366,F3367)</x:f>
        <x:v>2.1716</x:v>
      </x:c>
      <x:c r="N3367" s="74" t="n">
        <x:f>1-F3367/M3367</x:f>
        <x:v>0</x:v>
      </x:c>
    </x:row>
    <x:row r="3368" ht="27" customHeight="1">
      <x:c r="A3368" s="66" t="str">
        <x:v>SEV580</x:v>
      </x:c>
      <x:c r="B3368" s="66" t="str">
        <x:v>祁腾蜂赢1号</x:v>
      </x:c>
      <x:c r="C3368" s="72" t="n">
        <x:v>45958</x:v>
      </x:c>
      <x:c r="D3368" s="73" t="n">
        <x:v>1.0174</x:v>
      </x:c>
      <x:c r="E3368" s="73" t="n">
        <x:v>1.8109</x:v>
      </x:c>
      <x:c r="F3368" s="73" t="n">
        <x:v>2.1711</x:v>
      </x:c>
      <x:c r="G3368" s="74" t="n">
        <x:v>-0.0002</x:v>
      </x:c>
      <x:c r="H3368" s="66" t="str">
        <x:v>祁腾蜂赢1号净值20260911.xlsx</x:v>
      </x:c>
      <x:c r="I3368" s="73" t="n">
        <x:f>MAX(I3367,F3368)</x:f>
        <x:v>2.1716</x:v>
      </x:c>
      <x:c r="J3368" s="74" t="n">
        <x:f>1-F3368/I3368</x:f>
        <x:v>0.00023024498065948862</x:v>
      </x:c>
      <x:c r="K3368" s="73" t="n">
        <x:f>MAX(K3367,F3368)</x:f>
        <x:v>2.1716</x:v>
      </x:c>
      <x:c r="L3368" s="74" t="n">
        <x:f>1-F3368/K3368</x:f>
        <x:v>0.00023024498065948862</x:v>
      </x:c>
      <x:c r="M3368" s="73" t="n">
        <x:f>MAX(M3367,F3368)</x:f>
        <x:v>2.1716</x:v>
      </x:c>
      <x:c r="N3368" s="74" t="n">
        <x:f>1-F3368/M3368</x:f>
        <x:v>0.00023024498065948862</x:v>
      </x:c>
    </x:row>
    <x:row r="3369" ht="27" customHeight="1">
      <x:c r="A3369" s="66" t="str">
        <x:v>SEV580</x:v>
      </x:c>
      <x:c r="B3369" s="66" t="str">
        <x:v>祁腾蜂赢1号</x:v>
      </x:c>
      <x:c r="C3369" s="72" t="n">
        <x:v>45959</x:v>
      </x:c>
      <x:c r="D3369" s="73" t="n">
        <x:v>1.0184</x:v>
      </x:c>
      <x:c r="E3369" s="73" t="n">
        <x:v>1.8119</x:v>
      </x:c>
      <x:c r="F3369" s="73" t="n">
        <x:v>2.1733</x:v>
      </x:c>
      <x:c r="G3369" s="74" t="n">
        <x:v>0.001</x:v>
      </x:c>
      <x:c r="H3369" s="66" t="str">
        <x:v>祁腾蜂赢1号净值20260911.xlsx</x:v>
      </x:c>
      <x:c r="I3369" s="73" t="n">
        <x:f>MAX(I3368,F3369)</x:f>
        <x:v>2.1733</x:v>
      </x:c>
      <x:c r="J3369" s="74" t="n">
        <x:f>1-F3369/I3369</x:f>
        <x:v>0</x:v>
      </x:c>
      <x:c r="K3369" s="73" t="n">
        <x:f>MAX(K3368,F3369)</x:f>
        <x:v>2.1733</x:v>
      </x:c>
      <x:c r="L3369" s="74" t="n">
        <x:f>1-F3369/K3369</x:f>
        <x:v>0</x:v>
      </x:c>
      <x:c r="M3369" s="73" t="n">
        <x:f>MAX(M3368,F3369)</x:f>
        <x:v>2.1733</x:v>
      </x:c>
      <x:c r="N3369" s="74" t="n">
        <x:f>1-F3369/M3369</x:f>
        <x:v>0</x:v>
      </x:c>
    </x:row>
    <x:row r="3370" ht="27" customHeight="1">
      <x:c r="A3370" s="66" t="str">
        <x:v>SEV580</x:v>
      </x:c>
      <x:c r="B3370" s="66" t="str">
        <x:v>祁腾蜂赢1号</x:v>
      </x:c>
      <x:c r="C3370" s="72" t="n">
        <x:v>45960</x:v>
      </x:c>
      <x:c r="D3370" s="73" t="n">
        <x:v>1.0188</x:v>
      </x:c>
      <x:c r="E3370" s="73" t="n">
        <x:v>1.8123</x:v>
      </x:c>
      <x:c r="F3370" s="73" t="n">
        <x:v>2.1741</x:v>
      </x:c>
      <x:c r="G3370" s="74" t="n">
        <x:v>0.0004</x:v>
      </x:c>
      <x:c r="H3370" s="66" t="str">
        <x:v>祁腾蜂赢1号净值20260911.xlsx</x:v>
      </x:c>
      <x:c r="I3370" s="73" t="n">
        <x:f>MAX(I3369,F3370)</x:f>
        <x:v>2.1741</x:v>
      </x:c>
      <x:c r="J3370" s="74" t="n">
        <x:f>1-F3370/I3370</x:f>
        <x:v>0</x:v>
      </x:c>
      <x:c r="K3370" s="73" t="n">
        <x:f>MAX(K3369,F3370)</x:f>
        <x:v>2.1741</x:v>
      </x:c>
      <x:c r="L3370" s="74" t="n">
        <x:f>1-F3370/K3370</x:f>
        <x:v>0</x:v>
      </x:c>
      <x:c r="M3370" s="73" t="n">
        <x:f>MAX(M3369,F3370)</x:f>
        <x:v>2.1741</x:v>
      </x:c>
      <x:c r="N3370" s="74" t="n">
        <x:f>1-F3370/M3370</x:f>
        <x:v>0</x:v>
      </x:c>
    </x:row>
    <x:row r="3371" ht="27" customHeight="1">
      <x:c r="A3371" s="66" t="str">
        <x:v>SEV580</x:v>
      </x:c>
      <x:c r="B3371" s="66" t="str">
        <x:v>祁腾蜂赢1号</x:v>
      </x:c>
      <x:c r="C3371" s="72" t="n">
        <x:v>45961</x:v>
      </x:c>
      <x:c r="D3371" s="73" t="n">
        <x:v>1.019</x:v>
      </x:c>
      <x:c r="E3371" s="73" t="n">
        <x:v>1.8125</x:v>
      </x:c>
      <x:c r="F3371" s="73" t="n">
        <x:v>2.1746</x:v>
      </x:c>
      <x:c r="G3371" s="74" t="n">
        <x:v>0.0002</x:v>
      </x:c>
      <x:c r="H3371" s="66" t="str">
        <x:v>祁腾蜂赢1号净值20260911.xlsx</x:v>
      </x:c>
      <x:c r="I3371" s="73" t="n">
        <x:f>MAX(I3370,F3371)</x:f>
        <x:v>2.1746</x:v>
      </x:c>
      <x:c r="J3371" s="74" t="n">
        <x:f>1-F3371/I3371</x:f>
        <x:v>0</x:v>
      </x:c>
      <x:c r="K3371" s="73" t="n">
        <x:f>MAX(K3370,F3371)</x:f>
        <x:v>2.1746</x:v>
      </x:c>
      <x:c r="L3371" s="74" t="n">
        <x:f>1-F3371/K3371</x:f>
        <x:v>0</x:v>
      </x:c>
      <x:c r="M3371" s="73" t="n">
        <x:f>MAX(M3370,F3371)</x:f>
        <x:v>2.1746</x:v>
      </x:c>
      <x:c r="N3371" s="74" t="n">
        <x:f>1-F3371/M3371</x:f>
        <x:v>0</x:v>
      </x:c>
    </x:row>
    <x:row r="3372" ht="27" customHeight="1">
      <x:c r="A3372" s="66" t="str">
        <x:v>SEV580</x:v>
      </x:c>
      <x:c r="B3372" s="66" t="str">
        <x:v>祁腾蜂赢1号</x:v>
      </x:c>
      <x:c r="C3372" s="72" t="n">
        <x:v>45964</x:v>
      </x:c>
      <x:c r="D3372" s="73" t="n">
        <x:v>1.0187</x:v>
      </x:c>
      <x:c r="E3372" s="73" t="n">
        <x:v>1.8122</x:v>
      </x:c>
      <x:c r="F3372" s="73" t="n">
        <x:v>2.1739</x:v>
      </x:c>
      <x:c r="G3372" s="74" t="n">
        <x:v>-0.0003</x:v>
      </x:c>
      <x:c r="H3372" s="66" t="str">
        <x:v>祁腾蜂赢1号净值20260911.xlsx</x:v>
      </x:c>
      <x:c r="I3372" s="73" t="n">
        <x:f>MAX(I3371,F3372)</x:f>
        <x:v>2.1746</x:v>
      </x:c>
      <x:c r="J3372" s="74" t="n">
        <x:f>1-F3372/I3372</x:f>
        <x:v>0.0003218982801432846</x:v>
      </x:c>
      <x:c r="K3372" s="73" t="n">
        <x:f>MAX(K3371,F3372)</x:f>
        <x:v>2.1746</x:v>
      </x:c>
      <x:c r="L3372" s="74" t="n">
        <x:f>1-F3372/K3372</x:f>
        <x:v>0.0003218982801432846</x:v>
      </x:c>
      <x:c r="M3372" s="73" t="n">
        <x:f>MAX(M3371,F3372)</x:f>
        <x:v>2.1746</x:v>
      </x:c>
      <x:c r="N3372" s="74" t="n">
        <x:f>1-F3372/M3372</x:f>
        <x:v>0.0003218982801432846</x:v>
      </x:c>
    </x:row>
    <x:row r="3373" ht="27" customHeight="1">
      <x:c r="A3373" s="66" t="str">
        <x:v>SEV580</x:v>
      </x:c>
      <x:c r="B3373" s="66" t="str">
        <x:v>祁腾蜂赢1号</x:v>
      </x:c>
      <x:c r="C3373" s="72" t="n">
        <x:v>45965</x:v>
      </x:c>
      <x:c r="D3373" s="73" t="n">
        <x:v>1.0189</x:v>
      </x:c>
      <x:c r="E3373" s="73" t="n">
        <x:v>1.8124</x:v>
      </x:c>
      <x:c r="F3373" s="73" t="n">
        <x:v>2.1743</x:v>
      </x:c>
      <x:c r="G3373" s="74" t="n">
        <x:v>0.0002</x:v>
      </x:c>
      <x:c r="H3373" s="66" t="str">
        <x:v>祁腾蜂赢1号净值20260911.xlsx</x:v>
      </x:c>
      <x:c r="I3373" s="73" t="n">
        <x:f>MAX(I3372,F3373)</x:f>
        <x:v>2.1746</x:v>
      </x:c>
      <x:c r="J3373" s="74" t="n">
        <x:f>1-F3373/I3373</x:f>
        <x:v>0.00013795640577562995</x:v>
      </x:c>
      <x:c r="K3373" s="73" t="n">
        <x:f>MAX(K3372,F3373)</x:f>
        <x:v>2.1746</x:v>
      </x:c>
      <x:c r="L3373" s="74" t="n">
        <x:f>1-F3373/K3373</x:f>
        <x:v>0.00013795640577562995</x:v>
      </x:c>
      <x:c r="M3373" s="73" t="n">
        <x:f>MAX(M3372,F3373)</x:f>
        <x:v>2.1746</x:v>
      </x:c>
      <x:c r="N3373" s="74" t="n">
        <x:f>1-F3373/M3373</x:f>
        <x:v>0.00013795640577562995</x:v>
      </x:c>
    </x:row>
    <x:row r="3374" ht="27" customHeight="1">
      <x:c r="A3374" s="66" t="str">
        <x:v>SEV580</x:v>
      </x:c>
      <x:c r="B3374" s="66" t="str">
        <x:v>祁腾蜂赢1号</x:v>
      </x:c>
      <x:c r="C3374" s="72" t="n">
        <x:v>45966</x:v>
      </x:c>
      <x:c r="D3374" s="73" t="n">
        <x:v>1.019</x:v>
      </x:c>
      <x:c r="E3374" s="73" t="n">
        <x:v>1.8125</x:v>
      </x:c>
      <x:c r="F3374" s="73" t="n">
        <x:v>2.1746</x:v>
      </x:c>
      <x:c r="G3374" s="74" t="n">
        <x:v>0.0001</x:v>
      </x:c>
      <x:c r="H3374" s="66" t="str">
        <x:v>祁腾蜂赢1号净值20260911.xlsx</x:v>
      </x:c>
      <x:c r="I3374" s="73" t="n">
        <x:f>MAX(I3373,F3374)</x:f>
        <x:v>2.1746</x:v>
      </x:c>
      <x:c r="J3374" s="74" t="n">
        <x:f>1-F3374/I3374</x:f>
        <x:v>0</x:v>
      </x:c>
      <x:c r="K3374" s="73" t="n">
        <x:f>MAX(K3373,F3374)</x:f>
        <x:v>2.1746</x:v>
      </x:c>
      <x:c r="L3374" s="74" t="n">
        <x:f>1-F3374/K3374</x:f>
        <x:v>0</x:v>
      </x:c>
      <x:c r="M3374" s="73" t="n">
        <x:f>MAX(M3373,F3374)</x:f>
        <x:v>2.1746</x:v>
      </x:c>
      <x:c r="N3374" s="74" t="n">
        <x:f>1-F3374/M3374</x:f>
        <x:v>0</x:v>
      </x:c>
    </x:row>
    <x:row r="3375" ht="27" customHeight="1">
      <x:c r="A3375" s="66" t="str">
        <x:v>SEV580</x:v>
      </x:c>
      <x:c r="B3375" s="66" t="str">
        <x:v>祁腾蜂赢1号</x:v>
      </x:c>
      <x:c r="C3375" s="72" t="n">
        <x:v>45967</x:v>
      </x:c>
      <x:c r="D3375" s="73" t="n">
        <x:v>1.0195</x:v>
      </x:c>
      <x:c r="E3375" s="73" t="n">
        <x:v>1.813</x:v>
      </x:c>
      <x:c r="F3375" s="73" t="n">
        <x:v>2.1756</x:v>
      </x:c>
      <x:c r="G3375" s="74" t="n">
        <x:v>0.0005</x:v>
      </x:c>
      <x:c r="H3375" s="66" t="str">
        <x:v>祁腾蜂赢1号净值20260911.xlsx</x:v>
      </x:c>
      <x:c r="I3375" s="73" t="n">
        <x:f>MAX(I3374,F3375)</x:f>
        <x:v>2.1756</x:v>
      </x:c>
      <x:c r="J3375" s="74" t="n">
        <x:f>1-F3375/I3375</x:f>
        <x:v>0</x:v>
      </x:c>
      <x:c r="K3375" s="73" t="n">
        <x:f>MAX(K3374,F3375)</x:f>
        <x:v>2.1756</x:v>
      </x:c>
      <x:c r="L3375" s="74" t="n">
        <x:f>1-F3375/K3375</x:f>
        <x:v>0</x:v>
      </x:c>
      <x:c r="M3375" s="73" t="n">
        <x:f>MAX(M3374,F3375)</x:f>
        <x:v>2.1756</x:v>
      </x:c>
      <x:c r="N3375" s="74" t="n">
        <x:f>1-F3375/M3375</x:f>
        <x:v>0</x:v>
      </x:c>
    </x:row>
    <x:row r="3376" ht="27" customHeight="1">
      <x:c r="A3376" s="66" t="str">
        <x:v>SEV580</x:v>
      </x:c>
      <x:c r="B3376" s="66" t="str">
        <x:v>祁腾蜂赢1号</x:v>
      </x:c>
      <x:c r="C3376" s="72" t="n">
        <x:v>45968</x:v>
      </x:c>
      <x:c r="D3376" s="73" t="n">
        <x:v>1.0195</x:v>
      </x:c>
      <x:c r="E3376" s="73" t="n">
        <x:v>1.813</x:v>
      </x:c>
      <x:c r="F3376" s="73" t="n">
        <x:v>2.1756</x:v>
      </x:c>
      <x:c r="G3376" s="74" t="n">
        <x:v>0</x:v>
      </x:c>
      <x:c r="H3376" s="66" t="str">
        <x:v>祁腾蜂赢1号净值20260911.xlsx</x:v>
      </x:c>
      <x:c r="I3376" s="73" t="n">
        <x:f>MAX(I3375,F3376)</x:f>
        <x:v>2.1756</x:v>
      </x:c>
      <x:c r="J3376" s="74" t="n">
        <x:f>1-F3376/I3376</x:f>
        <x:v>0</x:v>
      </x:c>
      <x:c r="K3376" s="73" t="n">
        <x:f>MAX(K3375,F3376)</x:f>
        <x:v>2.1756</x:v>
      </x:c>
      <x:c r="L3376" s="74" t="n">
        <x:f>1-F3376/K3376</x:f>
        <x:v>0</x:v>
      </x:c>
      <x:c r="M3376" s="73" t="n">
        <x:f>MAX(M3375,F3376)</x:f>
        <x:v>2.1756</x:v>
      </x:c>
      <x:c r="N3376" s="74" t="n">
        <x:f>1-F3376/M3376</x:f>
        <x:v>0</x:v>
      </x:c>
    </x:row>
    <x:row r="3377" ht="27" customHeight="1">
      <x:c r="A3377" s="66" t="str">
        <x:v>SEV580</x:v>
      </x:c>
      <x:c r="B3377" s="66" t="str">
        <x:v>祁腾蜂赢1号</x:v>
      </x:c>
      <x:c r="C3377" s="72" t="n">
        <x:v>45971</x:v>
      </x:c>
      <x:c r="D3377" s="73" t="n">
        <x:v>1.0195</x:v>
      </x:c>
      <x:c r="E3377" s="73" t="n">
        <x:v>1.813</x:v>
      </x:c>
      <x:c r="F3377" s="73" t="n">
        <x:v>2.1756</x:v>
      </x:c>
      <x:c r="G3377" s="74" t="n">
        <x:v>0</x:v>
      </x:c>
      <x:c r="H3377" s="66" t="str">
        <x:v>祁腾蜂赢1号净值20260911.xlsx</x:v>
      </x:c>
      <x:c r="I3377" s="73" t="n">
        <x:f>MAX(I3376,F3377)</x:f>
        <x:v>2.1756</x:v>
      </x:c>
      <x:c r="J3377" s="74" t="n">
        <x:f>1-F3377/I3377</x:f>
        <x:v>0</x:v>
      </x:c>
      <x:c r="K3377" s="73" t="n">
        <x:f>MAX(K3376,F3377)</x:f>
        <x:v>2.1756</x:v>
      </x:c>
      <x:c r="L3377" s="74" t="n">
        <x:f>1-F3377/K3377</x:f>
        <x:v>0</x:v>
      </x:c>
      <x:c r="M3377" s="73" t="n">
        <x:f>MAX(M3376,F3377)</x:f>
        <x:v>2.1756</x:v>
      </x:c>
      <x:c r="N3377" s="74" t="n">
        <x:f>1-F3377/M3377</x:f>
        <x:v>0</x:v>
      </x:c>
    </x:row>
    <x:row r="3378" ht="27" customHeight="1">
      <x:c r="A3378" s="66" t="str">
        <x:v>SEV580</x:v>
      </x:c>
      <x:c r="B3378" s="66" t="str">
        <x:v>祁腾蜂赢1号</x:v>
      </x:c>
      <x:c r="C3378" s="72" t="n">
        <x:v>45972</x:v>
      </x:c>
      <x:c r="D3378" s="73" t="n">
        <x:v>1.0199</x:v>
      </x:c>
      <x:c r="E3378" s="73" t="n">
        <x:v>1.8134</x:v>
      </x:c>
      <x:c r="F3378" s="73" t="n">
        <x:v>2.1765</x:v>
      </x:c>
      <x:c r="G3378" s="74" t="n">
        <x:v>0.0004</x:v>
      </x:c>
      <x:c r="H3378" s="66" t="str">
        <x:v>祁腾蜂赢1号净值20260911.xlsx</x:v>
      </x:c>
      <x:c r="I3378" s="73" t="n">
        <x:f>MAX(I3377,F3378)</x:f>
        <x:v>2.1765</x:v>
      </x:c>
      <x:c r="J3378" s="74" t="n">
        <x:f>1-F3378/I3378</x:f>
        <x:v>0</x:v>
      </x:c>
      <x:c r="K3378" s="73" t="n">
        <x:f>MAX(K3377,F3378)</x:f>
        <x:v>2.1765</x:v>
      </x:c>
      <x:c r="L3378" s="74" t="n">
        <x:f>1-F3378/K3378</x:f>
        <x:v>0</x:v>
      </x:c>
      <x:c r="M3378" s="73" t="n">
        <x:f>MAX(M3377,F3378)</x:f>
        <x:v>2.1765</x:v>
      </x:c>
      <x:c r="N3378" s="74" t="n">
        <x:f>1-F3378/M3378</x:f>
        <x:v>0</x:v>
      </x:c>
    </x:row>
    <x:row r="3379" ht="27" customHeight="1">
      <x:c r="A3379" s="66" t="str">
        <x:v>SEV580</x:v>
      </x:c>
      <x:c r="B3379" s="66" t="str">
        <x:v>祁腾蜂赢1号</x:v>
      </x:c>
      <x:c r="C3379" s="72" t="n">
        <x:v>45973</x:v>
      </x:c>
      <x:c r="D3379" s="73" t="n">
        <x:v>1.0197</x:v>
      </x:c>
      <x:c r="E3379" s="73" t="n">
        <x:v>1.8132</x:v>
      </x:c>
      <x:c r="F3379" s="73" t="n">
        <x:v>2.176</x:v>
      </x:c>
      <x:c r="G3379" s="74" t="n">
        <x:v>-0.0002</x:v>
      </x:c>
      <x:c r="H3379" s="66" t="str">
        <x:v>祁腾蜂赢1号净值20260911.xlsx</x:v>
      </x:c>
      <x:c r="I3379" s="73" t="n">
        <x:f>MAX(I3378,F3379)</x:f>
        <x:v>2.1765</x:v>
      </x:c>
      <x:c r="J3379" s="74" t="n">
        <x:f>1-F3379/I3379</x:f>
        <x:v>0.0002297266253157293</x:v>
      </x:c>
      <x:c r="K3379" s="73" t="n">
        <x:f>MAX(K3378,F3379)</x:f>
        <x:v>2.1765</x:v>
      </x:c>
      <x:c r="L3379" s="74" t="n">
        <x:f>1-F3379/K3379</x:f>
        <x:v>0.0002297266253157293</x:v>
      </x:c>
      <x:c r="M3379" s="73" t="n">
        <x:f>MAX(M3378,F3379)</x:f>
        <x:v>2.1765</x:v>
      </x:c>
      <x:c r="N3379" s="74" t="n">
        <x:f>1-F3379/M3379</x:f>
        <x:v>0.0002297266253157293</x:v>
      </x:c>
    </x:row>
    <x:row r="3380" ht="27" customHeight="1">
      <x:c r="A3380" s="66" t="str">
        <x:v>SEV580</x:v>
      </x:c>
      <x:c r="B3380" s="66" t="str">
        <x:v>祁腾蜂赢1号</x:v>
      </x:c>
      <x:c r="C3380" s="72" t="n">
        <x:v>45974</x:v>
      </x:c>
      <x:c r="D3380" s="73" t="n">
        <x:v>1.0196</x:v>
      </x:c>
      <x:c r="E3380" s="73" t="n">
        <x:v>1.8131</x:v>
      </x:c>
      <x:c r="F3380" s="73" t="n">
        <x:v>2.1758</x:v>
      </x:c>
      <x:c r="G3380" s="74" t="n">
        <x:v>-0.0001</x:v>
      </x:c>
      <x:c r="H3380" s="66" t="str">
        <x:v>祁腾蜂赢1号净值20260911.xlsx</x:v>
      </x:c>
      <x:c r="I3380" s="73" t="n">
        <x:f>MAX(I3379,F3380)</x:f>
        <x:v>2.1765</x:v>
      </x:c>
      <x:c r="J3380" s="74" t="n">
        <x:f>1-F3380/I3380</x:f>
        <x:v>0.00032161727544210983</x:v>
      </x:c>
      <x:c r="K3380" s="73" t="n">
        <x:f>MAX(K3379,F3380)</x:f>
        <x:v>2.1765</x:v>
      </x:c>
      <x:c r="L3380" s="74" t="n">
        <x:f>1-F3380/K3380</x:f>
        <x:v>0.00032161727544210983</x:v>
      </x:c>
      <x:c r="M3380" s="73" t="n">
        <x:f>MAX(M3379,F3380)</x:f>
        <x:v>2.1765</x:v>
      </x:c>
      <x:c r="N3380" s="74" t="n">
        <x:f>1-F3380/M3380</x:f>
        <x:v>0.00032161727544210983</x:v>
      </x:c>
    </x:row>
    <x:row r="3381" ht="27" customHeight="1">
      <x:c r="A3381" s="66" t="str">
        <x:v>SEV580</x:v>
      </x:c>
      <x:c r="B3381" s="66" t="str">
        <x:v>祁腾蜂赢1号</x:v>
      </x:c>
      <x:c r="C3381" s="72" t="n">
        <x:v>45975</x:v>
      </x:c>
      <x:c r="D3381" s="73" t="n">
        <x:v>1.0196</x:v>
      </x:c>
      <x:c r="E3381" s="73" t="n">
        <x:v>1.8131</x:v>
      </x:c>
      <x:c r="F3381" s="73" t="n">
        <x:v>2.1758</x:v>
      </x:c>
      <x:c r="G3381" s="74" t="n">
        <x:v>0</x:v>
      </x:c>
      <x:c r="H3381" s="66" t="str">
        <x:v>祁腾蜂赢1号净值20260911.xlsx</x:v>
      </x:c>
      <x:c r="I3381" s="73" t="n">
        <x:f>MAX(I3380,F3381)</x:f>
        <x:v>2.1765</x:v>
      </x:c>
      <x:c r="J3381" s="74" t="n">
        <x:f>1-F3381/I3381</x:f>
        <x:v>0.00032161727544210983</x:v>
      </x:c>
      <x:c r="K3381" s="73" t="n">
        <x:f>MAX(K3380,F3381)</x:f>
        <x:v>2.1765</x:v>
      </x:c>
      <x:c r="L3381" s="74" t="n">
        <x:f>1-F3381/K3381</x:f>
        <x:v>0.00032161727544210983</x:v>
      </x:c>
      <x:c r="M3381" s="73" t="n">
        <x:f>MAX(M3380,F3381)</x:f>
        <x:v>2.1765</x:v>
      </x:c>
      <x:c r="N3381" s="74" t="n">
        <x:f>1-F3381/M3381</x:f>
        <x:v>0.00032161727544210983</x:v>
      </x:c>
    </x:row>
    <x:row r="3382" ht="27" customHeight="1">
      <x:c r="A3382" s="66" t="str">
        <x:v>SEV580</x:v>
      </x:c>
      <x:c r="B3382" s="66" t="str">
        <x:v>祁腾蜂赢1号</x:v>
      </x:c>
      <x:c r="C3382" s="72" t="n">
        <x:v>45978</x:v>
      </x:c>
      <x:c r="D3382" s="73" t="n">
        <x:v>1.0197</x:v>
      </x:c>
      <x:c r="E3382" s="73" t="n">
        <x:v>1.8132</x:v>
      </x:c>
      <x:c r="F3382" s="73" t="n">
        <x:v>2.176</x:v>
      </x:c>
      <x:c r="G3382" s="74" t="n">
        <x:v>0.0001</x:v>
      </x:c>
      <x:c r="H3382" s="66" t="str">
        <x:v>祁腾蜂赢1号净值20260911.xlsx</x:v>
      </x:c>
      <x:c r="I3382" s="73" t="n">
        <x:f>MAX(I3381,F3382)</x:f>
        <x:v>2.1765</x:v>
      </x:c>
      <x:c r="J3382" s="74" t="n">
        <x:f>1-F3382/I3382</x:f>
        <x:v>0.0002297266253157293</x:v>
      </x:c>
      <x:c r="K3382" s="73" t="n">
        <x:f>MAX(K3381,F3382)</x:f>
        <x:v>2.1765</x:v>
      </x:c>
      <x:c r="L3382" s="74" t="n">
        <x:f>1-F3382/K3382</x:f>
        <x:v>0.0002297266253157293</x:v>
      </x:c>
      <x:c r="M3382" s="73" t="n">
        <x:f>MAX(M3381,F3382)</x:f>
        <x:v>2.1765</x:v>
      </x:c>
      <x:c r="N3382" s="74" t="n">
        <x:f>1-F3382/M3382</x:f>
        <x:v>0.0002297266253157293</x:v>
      </x:c>
    </x:row>
    <x:row r="3383" ht="27" customHeight="1">
      <x:c r="A3383" s="66" t="str">
        <x:v>SEV580</x:v>
      </x:c>
      <x:c r="B3383" s="66" t="str">
        <x:v>祁腾蜂赢1号</x:v>
      </x:c>
      <x:c r="C3383" s="72" t="n">
        <x:v>45979</x:v>
      </x:c>
      <x:c r="D3383" s="73" t="n">
        <x:v>1.02</x:v>
      </x:c>
      <x:c r="E3383" s="73" t="n">
        <x:v>1.8135</x:v>
      </x:c>
      <x:c r="F3383" s="73" t="n">
        <x:v>2.1767</x:v>
      </x:c>
      <x:c r="G3383" s="74" t="n">
        <x:v>0.0003</x:v>
      </x:c>
      <x:c r="H3383" s="66" t="str">
        <x:v>祁腾蜂赢1号净值20260911.xlsx</x:v>
      </x:c>
      <x:c r="I3383" s="73" t="n">
        <x:f>MAX(I3382,F3383)</x:f>
        <x:v>2.1767</x:v>
      </x:c>
      <x:c r="J3383" s="74" t="n">
        <x:f>1-F3383/I3383</x:f>
        <x:v>0</x:v>
      </x:c>
      <x:c r="K3383" s="73" t="n">
        <x:f>MAX(K3382,F3383)</x:f>
        <x:v>2.1767</x:v>
      </x:c>
      <x:c r="L3383" s="74" t="n">
        <x:f>1-F3383/K3383</x:f>
        <x:v>0</x:v>
      </x:c>
      <x:c r="M3383" s="73" t="n">
        <x:f>MAX(M3382,F3383)</x:f>
        <x:v>2.1767</x:v>
      </x:c>
      <x:c r="N3383" s="74" t="n">
        <x:f>1-F3383/M3383</x:f>
        <x:v>0</x:v>
      </x:c>
    </x:row>
    <x:row r="3384" ht="27" customHeight="1">
      <x:c r="A3384" s="66" t="str">
        <x:v>SEV580</x:v>
      </x:c>
      <x:c r="B3384" s="66" t="str">
        <x:v>祁腾蜂赢1号</x:v>
      </x:c>
      <x:c r="C3384" s="72" t="n">
        <x:v>45980</x:v>
      </x:c>
      <x:c r="D3384" s="73" t="n">
        <x:v>1.02</x:v>
      </x:c>
      <x:c r="E3384" s="73" t="n">
        <x:v>1.8135</x:v>
      </x:c>
      <x:c r="F3384" s="73" t="n">
        <x:v>2.1767</x:v>
      </x:c>
      <x:c r="G3384" s="74" t="n">
        <x:v>0</x:v>
      </x:c>
      <x:c r="H3384" s="66" t="str">
        <x:v>祁腾蜂赢1号净值20260911.xlsx</x:v>
      </x:c>
      <x:c r="I3384" s="73" t="n">
        <x:f>MAX(I3383,F3384)</x:f>
        <x:v>2.1767</x:v>
      </x:c>
      <x:c r="J3384" s="74" t="n">
        <x:f>1-F3384/I3384</x:f>
        <x:v>0</x:v>
      </x:c>
      <x:c r="K3384" s="73" t="n">
        <x:f>MAX(K3383,F3384)</x:f>
        <x:v>2.1767</x:v>
      </x:c>
      <x:c r="L3384" s="74" t="n">
        <x:f>1-F3384/K3384</x:f>
        <x:v>0</x:v>
      </x:c>
      <x:c r="M3384" s="73" t="n">
        <x:f>MAX(M3383,F3384)</x:f>
        <x:v>2.1767</x:v>
      </x:c>
      <x:c r="N3384" s="74" t="n">
        <x:f>1-F3384/M3384</x:f>
        <x:v>0</x:v>
      </x:c>
    </x:row>
    <x:row r="3385" ht="27" customHeight="1">
      <x:c r="A3385" s="66" t="str">
        <x:v>SEV580</x:v>
      </x:c>
      <x:c r="B3385" s="66" t="str">
        <x:v>祁腾蜂赢1号</x:v>
      </x:c>
      <x:c r="C3385" s="72" t="n">
        <x:v>45981</x:v>
      </x:c>
      <x:c r="D3385" s="73" t="n">
        <x:v>1.0202</x:v>
      </x:c>
      <x:c r="E3385" s="73" t="n">
        <x:v>1.8137</x:v>
      </x:c>
      <x:c r="F3385" s="73" t="n">
        <x:v>2.1771</x:v>
      </x:c>
      <x:c r="G3385" s="74" t="n">
        <x:v>0.0002</x:v>
      </x:c>
      <x:c r="H3385" s="66" t="str">
        <x:v>祁腾蜂赢1号净值20260911.xlsx</x:v>
      </x:c>
      <x:c r="I3385" s="73" t="n">
        <x:f>MAX(I3384,F3385)</x:f>
        <x:v>2.1771</x:v>
      </x:c>
      <x:c r="J3385" s="74" t="n">
        <x:f>1-F3385/I3385</x:f>
        <x:v>0</x:v>
      </x:c>
      <x:c r="K3385" s="73" t="n">
        <x:f>MAX(K3384,F3385)</x:f>
        <x:v>2.1771</x:v>
      </x:c>
      <x:c r="L3385" s="74" t="n">
        <x:f>1-F3385/K3385</x:f>
        <x:v>0</x:v>
      </x:c>
      <x:c r="M3385" s="73" t="n">
        <x:f>MAX(M3384,F3385)</x:f>
        <x:v>2.1771</x:v>
      </x:c>
      <x:c r="N3385" s="74" t="n">
        <x:f>1-F3385/M3385</x:f>
        <x:v>0</x:v>
      </x:c>
    </x:row>
    <x:row r="3386" ht="27" customHeight="1">
      <x:c r="A3386" s="66" t="str">
        <x:v>SEV580</x:v>
      </x:c>
      <x:c r="B3386" s="66" t="str">
        <x:v>祁腾蜂赢1号</x:v>
      </x:c>
      <x:c r="C3386" s="72" t="n">
        <x:v>45982</x:v>
      </x:c>
      <x:c r="D3386" s="73" t="n">
        <x:v>1.0211</x:v>
      </x:c>
      <x:c r="E3386" s="73" t="n">
        <x:v>1.8146</x:v>
      </x:c>
      <x:c r="F3386" s="73" t="n">
        <x:v>2.179</x:v>
      </x:c>
      <x:c r="G3386" s="74" t="n">
        <x:v>0.0009</x:v>
      </x:c>
      <x:c r="H3386" s="66" t="str">
        <x:v>祁腾蜂赢1号净值20260911.xlsx</x:v>
      </x:c>
      <x:c r="I3386" s="73" t="n">
        <x:f>MAX(I3385,F3386)</x:f>
        <x:v>2.179</x:v>
      </x:c>
      <x:c r="J3386" s="74" t="n">
        <x:f>1-F3386/I3386</x:f>
        <x:v>0</x:v>
      </x:c>
      <x:c r="K3386" s="73" t="n">
        <x:f>MAX(K3385,F3386)</x:f>
        <x:v>2.179</x:v>
      </x:c>
      <x:c r="L3386" s="74" t="n">
        <x:f>1-F3386/K3386</x:f>
        <x:v>0</x:v>
      </x:c>
      <x:c r="M3386" s="73" t="n">
        <x:f>MAX(M3385,F3386)</x:f>
        <x:v>2.179</x:v>
      </x:c>
      <x:c r="N3386" s="74" t="n">
        <x:f>1-F3386/M3386</x:f>
        <x:v>0</x:v>
      </x:c>
    </x:row>
    <x:row r="3387" ht="27" customHeight="1">
      <x:c r="A3387" s="66" t="str">
        <x:v>SEV580</x:v>
      </x:c>
      <x:c r="B3387" s="66" t="str">
        <x:v>祁腾蜂赢1号</x:v>
      </x:c>
      <x:c r="C3387" s="72" t="n">
        <x:v>45985</x:v>
      </x:c>
      <x:c r="D3387" s="73" t="n">
        <x:v>1.0211</x:v>
      </x:c>
      <x:c r="E3387" s="73" t="n">
        <x:v>1.8146</x:v>
      </x:c>
      <x:c r="F3387" s="73" t="n">
        <x:v>2.179</x:v>
      </x:c>
      <x:c r="G3387" s="74" t="n">
        <x:v>0</x:v>
      </x:c>
      <x:c r="H3387" s="66" t="str">
        <x:v>祁腾蜂赢1号净值20260911.xlsx</x:v>
      </x:c>
      <x:c r="I3387" s="73" t="n">
        <x:f>MAX(I3386,F3387)</x:f>
        <x:v>2.179</x:v>
      </x:c>
      <x:c r="J3387" s="74" t="n">
        <x:f>1-F3387/I3387</x:f>
        <x:v>0</x:v>
      </x:c>
      <x:c r="K3387" s="73" t="n">
        <x:f>MAX(K3386,F3387)</x:f>
        <x:v>2.179</x:v>
      </x:c>
      <x:c r="L3387" s="74" t="n">
        <x:f>1-F3387/K3387</x:f>
        <x:v>0</x:v>
      </x:c>
      <x:c r="M3387" s="73" t="n">
        <x:f>MAX(M3386,F3387)</x:f>
        <x:v>2.179</x:v>
      </x:c>
      <x:c r="N3387" s="74" t="n">
        <x:f>1-F3387/M3387</x:f>
        <x:v>0</x:v>
      </x:c>
    </x:row>
    <x:row r="3388" ht="27" customHeight="1">
      <x:c r="A3388" s="66" t="str">
        <x:v>SEV580</x:v>
      </x:c>
      <x:c r="B3388" s="66" t="str">
        <x:v>祁腾蜂赢1号</x:v>
      </x:c>
      <x:c r="C3388" s="72" t="n">
        <x:v>45986</x:v>
      </x:c>
      <x:c r="D3388" s="73" t="n">
        <x:v>1.0209</x:v>
      </x:c>
      <x:c r="E3388" s="73" t="n">
        <x:v>1.8144</x:v>
      </x:c>
      <x:c r="F3388" s="73" t="n">
        <x:v>2.1786</x:v>
      </x:c>
      <x:c r="G3388" s="74" t="n">
        <x:v>-0.0002</x:v>
      </x:c>
      <x:c r="H3388" s="66" t="str">
        <x:v>祁腾蜂赢1号净值20260911.xlsx</x:v>
      </x:c>
      <x:c r="I3388" s="73" t="n">
        <x:f>MAX(I3387,F3388)</x:f>
        <x:v>2.179</x:v>
      </x:c>
      <x:c r="J3388" s="74" t="n">
        <x:f>1-F3388/I3388</x:f>
        <x:v>0.00018357044515826537</x:v>
      </x:c>
      <x:c r="K3388" s="73" t="n">
        <x:f>MAX(K3387,F3388)</x:f>
        <x:v>2.179</x:v>
      </x:c>
      <x:c r="L3388" s="74" t="n">
        <x:f>1-F3388/K3388</x:f>
        <x:v>0.00018357044515826537</x:v>
      </x:c>
      <x:c r="M3388" s="73" t="n">
        <x:f>MAX(M3387,F3388)</x:f>
        <x:v>2.179</x:v>
      </x:c>
      <x:c r="N3388" s="74" t="n">
        <x:f>1-F3388/M3388</x:f>
        <x:v>0.00018357044515826537</x:v>
      </x:c>
    </x:row>
    <x:row r="3389" ht="27" customHeight="1">
      <x:c r="A3389" s="66" t="str">
        <x:v>SEV580</x:v>
      </x:c>
      <x:c r="B3389" s="66" t="str">
        <x:v>祁腾蜂赢1号</x:v>
      </x:c>
      <x:c r="C3389" s="72" t="n">
        <x:v>45987</x:v>
      </x:c>
      <x:c r="D3389" s="73" t="n">
        <x:v>1.0216</x:v>
      </x:c>
      <x:c r="E3389" s="73" t="n">
        <x:v>1.8151</x:v>
      </x:c>
      <x:c r="F3389" s="73" t="n">
        <x:v>2.1801</x:v>
      </x:c>
      <x:c r="G3389" s="74" t="n">
        <x:v>0.0007000000000000001</x:v>
      </x:c>
      <x:c r="H3389" s="66" t="str">
        <x:v>祁腾蜂赢1号净值20260911.xlsx</x:v>
      </x:c>
      <x:c r="I3389" s="73" t="n">
        <x:f>MAX(I3388,F3389)</x:f>
        <x:v>2.1801</x:v>
      </x:c>
      <x:c r="J3389" s="74" t="n">
        <x:f>1-F3389/I3389</x:f>
        <x:v>0</x:v>
      </x:c>
      <x:c r="K3389" s="73" t="n">
        <x:f>MAX(K3388,F3389)</x:f>
        <x:v>2.1801</x:v>
      </x:c>
      <x:c r="L3389" s="74" t="n">
        <x:f>1-F3389/K3389</x:f>
        <x:v>0</x:v>
      </x:c>
      <x:c r="M3389" s="73" t="n">
        <x:f>MAX(M3388,F3389)</x:f>
        <x:v>2.1801</x:v>
      </x:c>
      <x:c r="N3389" s="74" t="n">
        <x:f>1-F3389/M3389</x:f>
        <x:v>0</x:v>
      </x:c>
    </x:row>
    <x:row r="3390" ht="27" customHeight="1">
      <x:c r="A3390" s="66" t="str">
        <x:v>SEV580</x:v>
      </x:c>
      <x:c r="B3390" s="66" t="str">
        <x:v>祁腾蜂赢1号</x:v>
      </x:c>
      <x:c r="C3390" s="72" t="n">
        <x:v>45988</x:v>
      </x:c>
      <x:c r="D3390" s="73" t="n">
        <x:v>1.0215</x:v>
      </x:c>
      <x:c r="E3390" s="73" t="n">
        <x:v>1.815</x:v>
      </x:c>
      <x:c r="F3390" s="73" t="n">
        <x:v>2.1799</x:v>
      </x:c>
      <x:c r="G3390" s="74" t="n">
        <x:v>-0.0001</x:v>
      </x:c>
      <x:c r="H3390" s="66" t="str">
        <x:v>祁腾蜂赢1号净值20260911.xlsx</x:v>
      </x:c>
      <x:c r="I3390" s="73" t="n">
        <x:f>MAX(I3389,F3390)</x:f>
        <x:v>2.1801</x:v>
      </x:c>
      <x:c r="J3390" s="74" t="n">
        <x:f>1-F3390/I3390</x:f>
        <x:v>0.0000917389110590694</x:v>
      </x:c>
      <x:c r="K3390" s="73" t="n">
        <x:f>MAX(K3389,F3390)</x:f>
        <x:v>2.1801</x:v>
      </x:c>
      <x:c r="L3390" s="74" t="n">
        <x:f>1-F3390/K3390</x:f>
        <x:v>0.0000917389110590694</x:v>
      </x:c>
      <x:c r="M3390" s="73" t="n">
        <x:f>MAX(M3389,F3390)</x:f>
        <x:v>2.1801</x:v>
      </x:c>
      <x:c r="N3390" s="74" t="n">
        <x:f>1-F3390/M3390</x:f>
        <x:v>0.0000917389110590694</x:v>
      </x:c>
    </x:row>
    <x:row r="3391" ht="27" customHeight="1">
      <x:c r="A3391" s="66" t="str">
        <x:v>SEV580</x:v>
      </x:c>
      <x:c r="B3391" s="66" t="str">
        <x:v>祁腾蜂赢1号</x:v>
      </x:c>
      <x:c r="C3391" s="72" t="n">
        <x:v>45989</x:v>
      </x:c>
      <x:c r="D3391" s="73" t="n">
        <x:v>1.0214</x:v>
      </x:c>
      <x:c r="E3391" s="73" t="n">
        <x:v>1.8149</x:v>
      </x:c>
      <x:c r="F3391" s="73" t="n">
        <x:v>2.1797</x:v>
      </x:c>
      <x:c r="G3391" s="74" t="n">
        <x:v>-0.0001</x:v>
      </x:c>
      <x:c r="H3391" s="66" t="str">
        <x:v>祁腾蜂赢1号净值20260911.xlsx</x:v>
      </x:c>
      <x:c r="I3391" s="73" t="n">
        <x:f>MAX(I3390,F3391)</x:f>
        <x:v>2.1801</x:v>
      </x:c>
      <x:c r="J3391" s="74" t="n">
        <x:f>1-F3391/I3391</x:f>
        <x:v>0.0001834778221182498</x:v>
      </x:c>
      <x:c r="K3391" s="73" t="n">
        <x:f>MAX(K3390,F3391)</x:f>
        <x:v>2.1801</x:v>
      </x:c>
      <x:c r="L3391" s="74" t="n">
        <x:f>1-F3391/K3391</x:f>
        <x:v>0.0001834778221182498</x:v>
      </x:c>
      <x:c r="M3391" s="73" t="n">
        <x:f>MAX(M3390,F3391)</x:f>
        <x:v>2.1801</x:v>
      </x:c>
      <x:c r="N3391" s="74" t="n">
        <x:f>1-F3391/M3391</x:f>
        <x:v>0.0001834778221182498</x:v>
      </x:c>
    </x:row>
    <x:row r="3392" ht="27" customHeight="1">
      <x:c r="A3392" s="66" t="str">
        <x:v>SEV580</x:v>
      </x:c>
      <x:c r="B3392" s="66" t="str">
        <x:v>祁腾蜂赢1号</x:v>
      </x:c>
      <x:c r="C3392" s="72" t="n">
        <x:v>45992</x:v>
      </x:c>
      <x:c r="D3392" s="73" t="n">
        <x:v>1.0214</x:v>
      </x:c>
      <x:c r="E3392" s="73" t="n">
        <x:v>1.8149</x:v>
      </x:c>
      <x:c r="F3392" s="73" t="n">
        <x:v>2.1797</x:v>
      </x:c>
      <x:c r="G3392" s="74" t="n">
        <x:v>0</x:v>
      </x:c>
      <x:c r="H3392" s="66" t="str">
        <x:v>祁腾蜂赢1号净值20260911.xlsx</x:v>
      </x:c>
      <x:c r="I3392" s="73" t="n">
        <x:f>MAX(I3391,F3392)</x:f>
        <x:v>2.1801</x:v>
      </x:c>
      <x:c r="J3392" s="74" t="n">
        <x:f>1-F3392/I3392</x:f>
        <x:v>0.0001834778221182498</x:v>
      </x:c>
      <x:c r="K3392" s="73" t="n">
        <x:f>MAX(K3391,F3392)</x:f>
        <x:v>2.1801</x:v>
      </x:c>
      <x:c r="L3392" s="74" t="n">
        <x:f>1-F3392/K3392</x:f>
        <x:v>0.0001834778221182498</x:v>
      </x:c>
      <x:c r="M3392" s="73" t="n">
        <x:f>MAX(M3391,F3392)</x:f>
        <x:v>2.1801</x:v>
      </x:c>
      <x:c r="N3392" s="74" t="n">
        <x:f>1-F3392/M3392</x:f>
        <x:v>0.0001834778221182498</x:v>
      </x:c>
    </x:row>
    <x:row r="3393" ht="27" customHeight="1">
      <x:c r="A3393" s="66" t="str">
        <x:v>SEV580</x:v>
      </x:c>
      <x:c r="B3393" s="66" t="str">
        <x:v>祁腾蜂赢1号</x:v>
      </x:c>
      <x:c r="C3393" s="72" t="n">
        <x:v>45993</x:v>
      </x:c>
      <x:c r="D3393" s="73" t="n">
        <x:v>1.0206</x:v>
      </x:c>
      <x:c r="E3393" s="73" t="n">
        <x:v>1.8141</x:v>
      </x:c>
      <x:c r="F3393" s="73" t="n">
        <x:v>2.178</x:v>
      </x:c>
      <x:c r="G3393" s="74" t="n">
        <x:v>-0.0008</x:v>
      </x:c>
      <x:c r="H3393" s="66" t="str">
        <x:v>祁腾蜂赢1号净值20260911.xlsx</x:v>
      </x:c>
      <x:c r="I3393" s="73" t="n">
        <x:f>MAX(I3392,F3393)</x:f>
        <x:v>2.1801</x:v>
      </x:c>
      <x:c r="J3393" s="74" t="n">
        <x:f>1-F3393/I3393</x:f>
        <x:v>0.0009632585661207838</x:v>
      </x:c>
      <x:c r="K3393" s="73" t="n">
        <x:f>MAX(K3392,F3393)</x:f>
        <x:v>2.1801</x:v>
      </x:c>
      <x:c r="L3393" s="74" t="n">
        <x:f>1-F3393/K3393</x:f>
        <x:v>0.0009632585661207838</x:v>
      </x:c>
      <x:c r="M3393" s="73" t="n">
        <x:f>MAX(M3392,F3393)</x:f>
        <x:v>2.1801</x:v>
      </x:c>
      <x:c r="N3393" s="74" t="n">
        <x:f>1-F3393/M3393</x:f>
        <x:v>0.0009632585661207838</x:v>
      </x:c>
    </x:row>
    <x:row r="3394" ht="27" customHeight="1">
      <x:c r="A3394" s="66" t="str">
        <x:v>SEV580</x:v>
      </x:c>
      <x:c r="B3394" s="66" t="str">
        <x:v>祁腾蜂赢1号</x:v>
      </x:c>
      <x:c r="C3394" s="72" t="n">
        <x:v>45994</x:v>
      </x:c>
      <x:c r="D3394" s="73" t="n">
        <x:v>1.0206</x:v>
      </x:c>
      <x:c r="E3394" s="73" t="n">
        <x:v>1.8141</x:v>
      </x:c>
      <x:c r="F3394" s="73" t="n">
        <x:v>2.178</x:v>
      </x:c>
      <x:c r="G3394" s="74" t="n">
        <x:v>0</x:v>
      </x:c>
      <x:c r="H3394" s="66" t="str">
        <x:v>祁腾蜂赢1号净值20260911.xlsx</x:v>
      </x:c>
      <x:c r="I3394" s="73" t="n">
        <x:f>MAX(I3393,F3394)</x:f>
        <x:v>2.1801</x:v>
      </x:c>
      <x:c r="J3394" s="74" t="n">
        <x:f>1-F3394/I3394</x:f>
        <x:v>0.0009632585661207838</x:v>
      </x:c>
      <x:c r="K3394" s="73" t="n">
        <x:f>MAX(K3393,F3394)</x:f>
        <x:v>2.1801</x:v>
      </x:c>
      <x:c r="L3394" s="74" t="n">
        <x:f>1-F3394/K3394</x:f>
        <x:v>0.0009632585661207838</x:v>
      </x:c>
      <x:c r="M3394" s="73" t="n">
        <x:f>MAX(M3393,F3394)</x:f>
        <x:v>2.1801</x:v>
      </x:c>
      <x:c r="N3394" s="74" t="n">
        <x:f>1-F3394/M3394</x:f>
        <x:v>0.0009632585661207838</x:v>
      </x:c>
    </x:row>
    <x:row r="3395" ht="27" customHeight="1">
      <x:c r="A3395" s="66" t="str">
        <x:v>SEV580</x:v>
      </x:c>
      <x:c r="B3395" s="66" t="str">
        <x:v>祁腾蜂赢1号</x:v>
      </x:c>
      <x:c r="C3395" s="72" t="n">
        <x:v>45995</x:v>
      </x:c>
      <x:c r="D3395" s="73" t="n">
        <x:v>1.0206</x:v>
      </x:c>
      <x:c r="E3395" s="73" t="n">
        <x:v>1.8141</x:v>
      </x:c>
      <x:c r="F3395" s="73" t="n">
        <x:v>2.178</x:v>
      </x:c>
      <x:c r="G3395" s="74" t="n">
        <x:v>0</x:v>
      </x:c>
      <x:c r="H3395" s="66" t="str">
        <x:v>祁腾蜂赢1号净值20260911.xlsx</x:v>
      </x:c>
      <x:c r="I3395" s="73" t="n">
        <x:f>MAX(I3394,F3395)</x:f>
        <x:v>2.1801</x:v>
      </x:c>
      <x:c r="J3395" s="74" t="n">
        <x:f>1-F3395/I3395</x:f>
        <x:v>0.0009632585661207838</x:v>
      </x:c>
      <x:c r="K3395" s="73" t="n">
        <x:f>MAX(K3394,F3395)</x:f>
        <x:v>2.1801</x:v>
      </x:c>
      <x:c r="L3395" s="74" t="n">
        <x:f>1-F3395/K3395</x:f>
        <x:v>0.0009632585661207838</x:v>
      </x:c>
      <x:c r="M3395" s="73" t="n">
        <x:f>MAX(M3394,F3395)</x:f>
        <x:v>2.1801</x:v>
      </x:c>
      <x:c r="N3395" s="74" t="n">
        <x:f>1-F3395/M3395</x:f>
        <x:v>0.0009632585661207838</x:v>
      </x:c>
    </x:row>
    <x:row r="3396" ht="27" customHeight="1">
      <x:c r="A3396" s="66" t="str">
        <x:v>SEV580</x:v>
      </x:c>
      <x:c r="B3396" s="66" t="str">
        <x:v>祁腾蜂赢1号</x:v>
      </x:c>
      <x:c r="C3396" s="72" t="n">
        <x:v>45996</x:v>
      </x:c>
      <x:c r="D3396" s="73" t="n">
        <x:v>1.0204</x:v>
      </x:c>
      <x:c r="E3396" s="73" t="n">
        <x:v>1.8139</x:v>
      </x:c>
      <x:c r="F3396" s="73" t="n">
        <x:v>2.1775</x:v>
      </x:c>
      <x:c r="G3396" s="74" t="n">
        <x:v>-0.0002</x:v>
      </x:c>
      <x:c r="H3396" s="66" t="str">
        <x:v>祁腾蜂赢1号净值20260911.xlsx</x:v>
      </x:c>
      <x:c r="I3396" s="73" t="n">
        <x:f>MAX(I3395,F3396)</x:f>
        <x:v>2.1801</x:v>
      </x:c>
      <x:c r="J3396" s="74" t="n">
        <x:f>1-F3396/I3396</x:f>
        <x:v>0.0011926058437684572</x:v>
      </x:c>
      <x:c r="K3396" s="73" t="n">
        <x:f>MAX(K3395,F3396)</x:f>
        <x:v>2.1801</x:v>
      </x:c>
      <x:c r="L3396" s="74" t="n">
        <x:f>1-F3396/K3396</x:f>
        <x:v>0.0011926058437684572</x:v>
      </x:c>
      <x:c r="M3396" s="73" t="n">
        <x:f>MAX(M3395,F3396)</x:f>
        <x:v>2.1801</x:v>
      </x:c>
      <x:c r="N3396" s="74" t="n">
        <x:f>1-F3396/M3396</x:f>
        <x:v>0.0011926058437684572</x:v>
      </x:c>
    </x:row>
    <x:row r="3397" ht="27" customHeight="1">
      <x:c r="A3397" s="66" t="str">
        <x:v>SEV580</x:v>
      </x:c>
      <x:c r="B3397" s="66" t="str">
        <x:v>祁腾蜂赢1号</x:v>
      </x:c>
      <x:c r="C3397" s="72" t="n">
        <x:v>45999</x:v>
      </x:c>
      <x:c r="D3397" s="73" t="n">
        <x:v>1.0203</x:v>
      </x:c>
      <x:c r="E3397" s="73" t="n">
        <x:v>1.8138</x:v>
      </x:c>
      <x:c r="F3397" s="73" t="n">
        <x:v>2.1773</x:v>
      </x:c>
      <x:c r="G3397" s="74" t="n">
        <x:v>-0.0001</x:v>
      </x:c>
      <x:c r="H3397" s="66" t="str">
        <x:v>祁腾蜂赢1号净值20260911.xlsx</x:v>
      </x:c>
      <x:c r="I3397" s="73" t="n">
        <x:f>MAX(I3396,F3397)</x:f>
        <x:v>2.1801</x:v>
      </x:c>
      <x:c r="J3397" s="74" t="n">
        <x:f>1-F3397/I3397</x:f>
        <x:v>0.0012843447548278597</x:v>
      </x:c>
      <x:c r="K3397" s="73" t="n">
        <x:f>MAX(K3396,F3397)</x:f>
        <x:v>2.1801</x:v>
      </x:c>
      <x:c r="L3397" s="74" t="n">
        <x:f>1-F3397/K3397</x:f>
        <x:v>0.0012843447548278597</x:v>
      </x:c>
      <x:c r="M3397" s="73" t="n">
        <x:f>MAX(M3396,F3397)</x:f>
        <x:v>2.1801</x:v>
      </x:c>
      <x:c r="N3397" s="74" t="n">
        <x:f>1-F3397/M3397</x:f>
        <x:v>0.0012843447548278597</x:v>
      </x:c>
    </x:row>
    <x:row r="3398" ht="27" customHeight="1">
      <x:c r="A3398" s="66" t="str">
        <x:v>SEV580</x:v>
      </x:c>
      <x:c r="B3398" s="66" t="str">
        <x:v>祁腾蜂赢1号</x:v>
      </x:c>
      <x:c r="C3398" s="72" t="n">
        <x:v>46000</x:v>
      </x:c>
      <x:c r="D3398" s="73" t="n">
        <x:v>1.0204</x:v>
      </x:c>
      <x:c r="E3398" s="73" t="n">
        <x:v>1.8139</x:v>
      </x:c>
      <x:c r="F3398" s="73" t="n">
        <x:v>2.1775</x:v>
      </x:c>
      <x:c r="G3398" s="74" t="n">
        <x:v>0.0001</x:v>
      </x:c>
      <x:c r="H3398" s="66" t="str">
        <x:v>祁腾蜂赢1号净值20260911.xlsx</x:v>
      </x:c>
      <x:c r="I3398" s="73" t="n">
        <x:f>MAX(I3397,F3398)</x:f>
        <x:v>2.1801</x:v>
      </x:c>
      <x:c r="J3398" s="74" t="n">
        <x:f>1-F3398/I3398</x:f>
        <x:v>0.0011926058437684572</x:v>
      </x:c>
      <x:c r="K3398" s="73" t="n">
        <x:f>MAX(K3397,F3398)</x:f>
        <x:v>2.1801</x:v>
      </x:c>
      <x:c r="L3398" s="74" t="n">
        <x:f>1-F3398/K3398</x:f>
        <x:v>0.0011926058437684572</x:v>
      </x:c>
      <x:c r="M3398" s="73" t="n">
        <x:f>MAX(M3397,F3398)</x:f>
        <x:v>2.1801</x:v>
      </x:c>
      <x:c r="N3398" s="74" t="n">
        <x:f>1-F3398/M3398</x:f>
        <x:v>0.0011926058437684572</x:v>
      </x:c>
    </x:row>
    <x:row r="3399" ht="27" customHeight="1">
      <x:c r="A3399" s="66" t="str">
        <x:v>SEV580</x:v>
      </x:c>
      <x:c r="B3399" s="66" t="str">
        <x:v>祁腾蜂赢1号</x:v>
      </x:c>
      <x:c r="C3399" s="72" t="n">
        <x:v>46001</x:v>
      </x:c>
      <x:c r="D3399" s="73" t="n">
        <x:v>1.02</x:v>
      </x:c>
      <x:c r="E3399" s="73" t="n">
        <x:v>1.8135</x:v>
      </x:c>
      <x:c r="F3399" s="73" t="n">
        <x:v>2.1767</x:v>
      </x:c>
      <x:c r="G3399" s="74" t="n">
        <x:v>-0.0004</x:v>
      </x:c>
      <x:c r="H3399" s="66" t="str">
        <x:v>祁腾蜂赢1号净值20260911.xlsx</x:v>
      </x:c>
      <x:c r="I3399" s="73" t="n">
        <x:f>MAX(I3398,F3399)</x:f>
        <x:v>2.1801</x:v>
      </x:c>
      <x:c r="J3399" s="74" t="n">
        <x:f>1-F3399/I3399</x:f>
        <x:v>0.001559561488005179</x:v>
      </x:c>
      <x:c r="K3399" s="73" t="n">
        <x:f>MAX(K3398,F3399)</x:f>
        <x:v>2.1801</x:v>
      </x:c>
      <x:c r="L3399" s="74" t="n">
        <x:f>1-F3399/K3399</x:f>
        <x:v>0.001559561488005179</x:v>
      </x:c>
      <x:c r="M3399" s="73" t="n">
        <x:f>MAX(M3398,F3399)</x:f>
        <x:v>2.1801</x:v>
      </x:c>
      <x:c r="N3399" s="74" t="n">
        <x:f>1-F3399/M3399</x:f>
        <x:v>0.001559561488005179</x:v>
      </x:c>
    </x:row>
    <x:row r="3400" ht="27" customHeight="1">
      <x:c r="A3400" s="66" t="str">
        <x:v>SEV580</x:v>
      </x:c>
      <x:c r="B3400" s="66" t="str">
        <x:v>祁腾蜂赢1号</x:v>
      </x:c>
      <x:c r="C3400" s="72" t="n">
        <x:v>46002</x:v>
      </x:c>
      <x:c r="D3400" s="73" t="n">
        <x:v>1.0196</x:v>
      </x:c>
      <x:c r="E3400" s="73" t="n">
        <x:v>1.8131</x:v>
      </x:c>
      <x:c r="F3400" s="73" t="n">
        <x:v>2.1758</x:v>
      </x:c>
      <x:c r="G3400" s="74" t="n">
        <x:v>-0.0004</x:v>
      </x:c>
      <x:c r="H3400" s="66" t="str">
        <x:v>祁腾蜂赢1号净值20260911.xlsx</x:v>
      </x:c>
      <x:c r="I3400" s="73" t="n">
        <x:f>MAX(I3399,F3400)</x:f>
        <x:v>2.1801</x:v>
      </x:c>
      <x:c r="J3400" s="74" t="n">
        <x:f>1-F3400/I3400</x:f>
        <x:v>0.001972386587771102</x:v>
      </x:c>
      <x:c r="K3400" s="73" t="n">
        <x:f>MAX(K3399,F3400)</x:f>
        <x:v>2.1801</x:v>
      </x:c>
      <x:c r="L3400" s="74" t="n">
        <x:f>1-F3400/K3400</x:f>
        <x:v>0.001972386587771102</x:v>
      </x:c>
      <x:c r="M3400" s="73" t="n">
        <x:f>MAX(M3399,F3400)</x:f>
        <x:v>2.1801</x:v>
      </x:c>
      <x:c r="N3400" s="74" t="n">
        <x:f>1-F3400/M3400</x:f>
        <x:v>0.001972386587771102</x:v>
      </x:c>
    </x:row>
    <x:row r="3401" ht="27" customHeight="1">
      <x:c r="A3401" s="66" t="str">
        <x:v>SEV580</x:v>
      </x:c>
      <x:c r="B3401" s="66" t="str">
        <x:v>祁腾蜂赢1号</x:v>
      </x:c>
      <x:c r="C3401" s="72" t="n">
        <x:v>46003</x:v>
      </x:c>
      <x:c r="D3401" s="73" t="n">
        <x:v>1.0198</x:v>
      </x:c>
      <x:c r="E3401" s="73" t="n">
        <x:v>1.8133</x:v>
      </x:c>
      <x:c r="F3401" s="73" t="n">
        <x:v>2.1763</x:v>
      </x:c>
      <x:c r="G3401" s="74" t="n">
        <x:v>0.0002</x:v>
      </x:c>
      <x:c r="H3401" s="66" t="str">
        <x:v>祁腾蜂赢1号净值20260911.xlsx</x:v>
      </x:c>
      <x:c r="I3401" s="73" t="n">
        <x:f>MAX(I3400,F3401)</x:f>
        <x:v>2.1801</x:v>
      </x:c>
      <x:c r="J3401" s="74" t="n">
        <x:f>1-F3401/I3401</x:f>
        <x:v>0.0017430393101234287</x:v>
      </x:c>
      <x:c r="K3401" s="73" t="n">
        <x:f>MAX(K3400,F3401)</x:f>
        <x:v>2.1801</x:v>
      </x:c>
      <x:c r="L3401" s="74" t="n">
        <x:f>1-F3401/K3401</x:f>
        <x:v>0.0017430393101234287</x:v>
      </x:c>
      <x:c r="M3401" s="73" t="n">
        <x:f>MAX(M3400,F3401)</x:f>
        <x:v>2.1801</x:v>
      </x:c>
      <x:c r="N3401" s="74" t="n">
        <x:f>1-F3401/M3401</x:f>
        <x:v>0.0017430393101234287</x:v>
      </x:c>
    </x:row>
    <x:row r="3402" ht="27" customHeight="1">
      <x:c r="A3402" s="66" t="str">
        <x:v>SEV580</x:v>
      </x:c>
      <x:c r="B3402" s="66" t="str">
        <x:v>祁腾蜂赢1号</x:v>
      </x:c>
      <x:c r="C3402" s="72" t="n">
        <x:v>46006</x:v>
      </x:c>
      <x:c r="D3402" s="73" t="n">
        <x:v>1.0198</x:v>
      </x:c>
      <x:c r="E3402" s="73" t="n">
        <x:v>1.8133</x:v>
      </x:c>
      <x:c r="F3402" s="73" t="n">
        <x:v>2.1763</x:v>
      </x:c>
      <x:c r="G3402" s="74" t="n">
        <x:v>0</x:v>
      </x:c>
      <x:c r="H3402" s="66" t="str">
        <x:v>祁腾蜂赢1号净值20260911.xlsx</x:v>
      </x:c>
      <x:c r="I3402" s="73" t="n">
        <x:f>MAX(I3401,F3402)</x:f>
        <x:v>2.1801</x:v>
      </x:c>
      <x:c r="J3402" s="74" t="n">
        <x:f>1-F3402/I3402</x:f>
        <x:v>0.0017430393101234287</x:v>
      </x:c>
      <x:c r="K3402" s="73" t="n">
        <x:f>MAX(K3401,F3402)</x:f>
        <x:v>2.1801</x:v>
      </x:c>
      <x:c r="L3402" s="74" t="n">
        <x:f>1-F3402/K3402</x:f>
        <x:v>0.0017430393101234287</x:v>
      </x:c>
      <x:c r="M3402" s="73" t="n">
        <x:f>MAX(M3401,F3402)</x:f>
        <x:v>2.1801</x:v>
      </x:c>
      <x:c r="N3402" s="74" t="n">
        <x:f>1-F3402/M3402</x:f>
        <x:v>0.0017430393101234287</x:v>
      </x:c>
    </x:row>
    <x:row r="3403" ht="27" customHeight="1">
      <x:c r="A3403" s="66" t="str">
        <x:v>SEV580</x:v>
      </x:c>
      <x:c r="B3403" s="66" t="str">
        <x:v>祁腾蜂赢1号</x:v>
      </x:c>
      <x:c r="C3403" s="72" t="n">
        <x:v>46007</x:v>
      </x:c>
      <x:c r="D3403" s="73" t="n">
        <x:v>1.0199</x:v>
      </x:c>
      <x:c r="E3403" s="73" t="n">
        <x:v>1.8134</x:v>
      </x:c>
      <x:c r="F3403" s="73" t="n">
        <x:v>2.1765</x:v>
      </x:c>
      <x:c r="G3403" s="74" t="n">
        <x:v>0.0001</x:v>
      </x:c>
      <x:c r="H3403" s="66" t="str">
        <x:v>祁腾蜂赢1号净值20260911.xlsx</x:v>
      </x:c>
      <x:c r="I3403" s="73" t="n">
        <x:f>MAX(I3402,F3403)</x:f>
        <x:v>2.1801</x:v>
      </x:c>
      <x:c r="J3403" s="74" t="n">
        <x:f>1-F3403/I3403</x:f>
        <x:v>0.0016513003990642483</x:v>
      </x:c>
      <x:c r="K3403" s="73" t="n">
        <x:f>MAX(K3402,F3403)</x:f>
        <x:v>2.1801</x:v>
      </x:c>
      <x:c r="L3403" s="74" t="n">
        <x:f>1-F3403/K3403</x:f>
        <x:v>0.0016513003990642483</x:v>
      </x:c>
      <x:c r="M3403" s="73" t="n">
        <x:f>MAX(M3402,F3403)</x:f>
        <x:v>2.1801</x:v>
      </x:c>
      <x:c r="N3403" s="74" t="n">
        <x:f>1-F3403/M3403</x:f>
        <x:v>0.0016513003990642483</x:v>
      </x:c>
    </x:row>
    <x:row r="3404" ht="27" customHeight="1">
      <x:c r="A3404" s="66" t="str">
        <x:v>SEV580</x:v>
      </x:c>
      <x:c r="B3404" s="66" t="str">
        <x:v>祁腾蜂赢1号</x:v>
      </x:c>
      <x:c r="C3404" s="72" t="n">
        <x:v>46008</x:v>
      </x:c>
      <x:c r="D3404" s="73" t="n">
        <x:v>1.0201</x:v>
      </x:c>
      <x:c r="E3404" s="73" t="n">
        <x:v>1.8136</x:v>
      </x:c>
      <x:c r="F3404" s="73" t="n">
        <x:v>2.1769</x:v>
      </x:c>
      <x:c r="G3404" s="74" t="n">
        <x:v>0.0002</x:v>
      </x:c>
      <x:c r="H3404" s="66" t="str">
        <x:v>祁腾蜂赢1号净值20260911.xlsx</x:v>
      </x:c>
      <x:c r="I3404" s="73" t="n">
        <x:f>MAX(I3403,F3404)</x:f>
        <x:v>2.1801</x:v>
      </x:c>
      <x:c r="J3404" s="74" t="n">
        <x:f>1-F3404/I3404</x:f>
        <x:v>0.0014678225769459985</x:v>
      </x:c>
      <x:c r="K3404" s="73" t="n">
        <x:f>MAX(K3403,F3404)</x:f>
        <x:v>2.1801</x:v>
      </x:c>
      <x:c r="L3404" s="74" t="n">
        <x:f>1-F3404/K3404</x:f>
        <x:v>0.0014678225769459985</x:v>
      </x:c>
      <x:c r="M3404" s="73" t="n">
        <x:f>MAX(M3403,F3404)</x:f>
        <x:v>2.1801</x:v>
      </x:c>
      <x:c r="N3404" s="74" t="n">
        <x:f>1-F3404/M3404</x:f>
        <x:v>0.0014678225769459985</x:v>
      </x:c>
    </x:row>
    <x:row r="3405" ht="27" customHeight="1">
      <x:c r="A3405" s="66" t="str">
        <x:v>SEV580</x:v>
      </x:c>
      <x:c r="B3405" s="66" t="str">
        <x:v>祁腾蜂赢1号</x:v>
      </x:c>
      <x:c r="C3405" s="72" t="n">
        <x:v>46009</x:v>
      </x:c>
      <x:c r="D3405" s="73" t="n">
        <x:v>1.02</x:v>
      </x:c>
      <x:c r="E3405" s="73" t="n">
        <x:v>1.8135</x:v>
      </x:c>
      <x:c r="F3405" s="73" t="n">
        <x:v>2.1767</x:v>
      </x:c>
      <x:c r="G3405" s="74" t="n">
        <x:v>-0.0001</x:v>
      </x:c>
      <x:c r="H3405" s="66" t="str">
        <x:v>祁腾蜂赢1号净值20260911.xlsx</x:v>
      </x:c>
      <x:c r="I3405" s="73" t="n">
        <x:f>MAX(I3404,F3405)</x:f>
        <x:v>2.1801</x:v>
      </x:c>
      <x:c r="J3405" s="74" t="n">
        <x:f>1-F3405/I3405</x:f>
        <x:v>0.001559561488005179</x:v>
      </x:c>
      <x:c r="K3405" s="73" t="n">
        <x:f>MAX(K3404,F3405)</x:f>
        <x:v>2.1801</x:v>
      </x:c>
      <x:c r="L3405" s="74" t="n">
        <x:f>1-F3405/K3405</x:f>
        <x:v>0.001559561488005179</x:v>
      </x:c>
      <x:c r="M3405" s="73" t="n">
        <x:f>MAX(M3404,F3405)</x:f>
        <x:v>2.1801</x:v>
      </x:c>
      <x:c r="N3405" s="74" t="n">
        <x:f>1-F3405/M3405</x:f>
        <x:v>0.001559561488005179</x:v>
      </x:c>
    </x:row>
    <x:row r="3406" ht="27" customHeight="1">
      <x:c r="A3406" s="66" t="str">
        <x:v>SEV580</x:v>
      </x:c>
      <x:c r="B3406" s="66" t="str">
        <x:v>祁腾蜂赢1号</x:v>
      </x:c>
      <x:c r="C3406" s="72" t="n">
        <x:v>46010</x:v>
      </x:c>
      <x:c r="D3406" s="73" t="n">
        <x:v>1.0201</x:v>
      </x:c>
      <x:c r="E3406" s="73" t="n">
        <x:v>1.8136</x:v>
      </x:c>
      <x:c r="F3406" s="73" t="n">
        <x:v>2.1769</x:v>
      </x:c>
      <x:c r="G3406" s="74" t="n">
        <x:v>0.0001</x:v>
      </x:c>
      <x:c r="H3406" s="66" t="str">
        <x:v>祁腾蜂赢1号净值20260911.xlsx</x:v>
      </x:c>
      <x:c r="I3406" s="73" t="n">
        <x:f>MAX(I3405,F3406)</x:f>
        <x:v>2.1801</x:v>
      </x:c>
      <x:c r="J3406" s="74" t="n">
        <x:f>1-F3406/I3406</x:f>
        <x:v>0.0014678225769459985</x:v>
      </x:c>
      <x:c r="K3406" s="73" t="n">
        <x:f>MAX(K3405,F3406)</x:f>
        <x:v>2.1801</x:v>
      </x:c>
      <x:c r="L3406" s="74" t="n">
        <x:f>1-F3406/K3406</x:f>
        <x:v>0.0014678225769459985</x:v>
      </x:c>
      <x:c r="M3406" s="73" t="n">
        <x:f>MAX(M3405,F3406)</x:f>
        <x:v>2.1801</x:v>
      </x:c>
      <x:c r="N3406" s="74" t="n">
        <x:f>1-F3406/M3406</x:f>
        <x:v>0.0014678225769459985</x:v>
      </x:c>
    </x:row>
    <x:row r="3407" ht="27" customHeight="1">
      <x:c r="A3407" s="66" t="str">
        <x:v>SEV580</x:v>
      </x:c>
      <x:c r="B3407" s="66" t="str">
        <x:v>祁腾蜂赢1号</x:v>
      </x:c>
      <x:c r="C3407" s="72" t="n">
        <x:v>46013</x:v>
      </x:c>
      <x:c r="D3407" s="73" t="n">
        <x:v>1.0207</x:v>
      </x:c>
      <x:c r="E3407" s="73" t="n">
        <x:v>1.8142</x:v>
      </x:c>
      <x:c r="F3407" s="73" t="n">
        <x:v>2.1782</x:v>
      </x:c>
      <x:c r="G3407" s="74" t="n">
        <x:v>0.0006</x:v>
      </x:c>
      <x:c r="H3407" s="66" t="str">
        <x:v>祁腾蜂赢1号净值20260911.xlsx</x:v>
      </x:c>
      <x:c r="I3407" s="73" t="n">
        <x:f>MAX(I3406,F3407)</x:f>
        <x:v>2.1801</x:v>
      </x:c>
      <x:c r="J3407" s="74" t="n">
        <x:f>1-F3407/I3407</x:f>
        <x:v>0.0008715196550617144</x:v>
      </x:c>
      <x:c r="K3407" s="73" t="n">
        <x:f>MAX(K3406,F3407)</x:f>
        <x:v>2.1801</x:v>
      </x:c>
      <x:c r="L3407" s="74" t="n">
        <x:f>1-F3407/K3407</x:f>
        <x:v>0.0008715196550617144</x:v>
      </x:c>
      <x:c r="M3407" s="73" t="n">
        <x:f>MAX(M3406,F3407)</x:f>
        <x:v>2.1801</x:v>
      </x:c>
      <x:c r="N3407" s="74" t="n">
        <x:f>1-F3407/M3407</x:f>
        <x:v>0.0008715196550617144</x:v>
      </x:c>
    </x:row>
    <x:row r="3408" ht="27" customHeight="1">
      <x:c r="A3408" s="66" t="str">
        <x:v>SEV580</x:v>
      </x:c>
      <x:c r="B3408" s="66" t="str">
        <x:v>祁腾蜂赢1号</x:v>
      </x:c>
      <x:c r="C3408" s="72" t="n">
        <x:v>46014</x:v>
      </x:c>
      <x:c r="D3408" s="73" t="n">
        <x:v>1.0209</x:v>
      </x:c>
      <x:c r="E3408" s="73" t="n">
        <x:v>1.8144</x:v>
      </x:c>
      <x:c r="F3408" s="73" t="n">
        <x:v>2.1786</x:v>
      </x:c>
      <x:c r="G3408" s="74" t="n">
        <x:v>0.0002</x:v>
      </x:c>
      <x:c r="H3408" s="66" t="str">
        <x:v>祁腾蜂赢1号净值20260911.xlsx</x:v>
      </x:c>
      <x:c r="I3408" s="73" t="n">
        <x:f>MAX(I3407,F3408)</x:f>
        <x:v>2.1801</x:v>
      </x:c>
      <x:c r="J3408" s="74" t="n">
        <x:f>1-F3408/I3408</x:f>
        <x:v>0.0006880418329434645</x:v>
      </x:c>
      <x:c r="K3408" s="73" t="n">
        <x:f>MAX(K3407,F3408)</x:f>
        <x:v>2.1801</x:v>
      </x:c>
      <x:c r="L3408" s="74" t="n">
        <x:f>1-F3408/K3408</x:f>
        <x:v>0.0006880418329434645</x:v>
      </x:c>
      <x:c r="M3408" s="73" t="n">
        <x:f>MAX(M3407,F3408)</x:f>
        <x:v>2.1801</x:v>
      </x:c>
      <x:c r="N3408" s="74" t="n">
        <x:f>1-F3408/M3408</x:f>
        <x:v>0.0006880418329434645</x:v>
      </x:c>
    </x:row>
    <x:row r="3409" ht="27" customHeight="1">
      <x:c r="A3409" s="66" t="str">
        <x:v>SEV580</x:v>
      </x:c>
      <x:c r="B3409" s="66" t="str">
        <x:v>祁腾蜂赢1号</x:v>
      </x:c>
      <x:c r="C3409" s="72" t="n">
        <x:v>46015</x:v>
      </x:c>
      <x:c r="D3409" s="73" t="n">
        <x:v>1.021</x:v>
      </x:c>
      <x:c r="E3409" s="73" t="n">
        <x:v>1.8145</x:v>
      </x:c>
      <x:c r="F3409" s="73" t="n">
        <x:v>2.1788</x:v>
      </x:c>
      <x:c r="G3409" s="74" t="n">
        <x:v>0.0001</x:v>
      </x:c>
      <x:c r="H3409" s="66" t="str">
        <x:v>祁腾蜂赢1号净值20260911.xlsx</x:v>
      </x:c>
      <x:c r="I3409" s="73" t="n">
        <x:f>MAX(I3408,F3409)</x:f>
        <x:v>2.1801</x:v>
      </x:c>
      <x:c r="J3409" s="74" t="n">
        <x:f>1-F3409/I3409</x:f>
        <x:v>0.0005963029218843952</x:v>
      </x:c>
      <x:c r="K3409" s="73" t="n">
        <x:f>MAX(K3408,F3409)</x:f>
        <x:v>2.1801</x:v>
      </x:c>
      <x:c r="L3409" s="74" t="n">
        <x:f>1-F3409/K3409</x:f>
        <x:v>0.0005963029218843952</x:v>
      </x:c>
      <x:c r="M3409" s="73" t="n">
        <x:f>MAX(M3408,F3409)</x:f>
        <x:v>2.1801</x:v>
      </x:c>
      <x:c r="N3409" s="74" t="n">
        <x:f>1-F3409/M3409</x:f>
        <x:v>0.0005963029218843952</x:v>
      </x:c>
    </x:row>
    <x:row r="3410" ht="27" customHeight="1">
      <x:c r="A3410" s="66" t="str">
        <x:v>SEV580</x:v>
      </x:c>
      <x:c r="B3410" s="66" t="str">
        <x:v>祁腾蜂赢1号</x:v>
      </x:c>
      <x:c r="C3410" s="72" t="n">
        <x:v>46016</x:v>
      </x:c>
      <x:c r="D3410" s="73" t="n">
        <x:v>1.0211</x:v>
      </x:c>
      <x:c r="E3410" s="73" t="n">
        <x:v>1.8146</x:v>
      </x:c>
      <x:c r="F3410" s="73" t="n">
        <x:v>2.179</x:v>
      </x:c>
      <x:c r="G3410" s="74" t="n">
        <x:v>0.0001</x:v>
      </x:c>
      <x:c r="H3410" s="66" t="str">
        <x:v>祁腾蜂赢1号净值20260911.xlsx</x:v>
      </x:c>
      <x:c r="I3410" s="73" t="n">
        <x:f>MAX(I3409,F3410)</x:f>
        <x:v>2.1801</x:v>
      </x:c>
      <x:c r="J3410" s="74" t="n">
        <x:f>1-F3410/I3410</x:f>
        <x:v>0.0005045640108252147</x:v>
      </x:c>
      <x:c r="K3410" s="73" t="n">
        <x:f>MAX(K3409,F3410)</x:f>
        <x:v>2.1801</x:v>
      </x:c>
      <x:c r="L3410" s="74" t="n">
        <x:f>1-F3410/K3410</x:f>
        <x:v>0.0005045640108252147</x:v>
      </x:c>
      <x:c r="M3410" s="73" t="n">
        <x:f>MAX(M3409,F3410)</x:f>
        <x:v>2.1801</x:v>
      </x:c>
      <x:c r="N3410" s="74" t="n">
        <x:f>1-F3410/M3410</x:f>
        <x:v>0.0005045640108252147</x:v>
      </x:c>
    </x:row>
    <x:row r="3411" ht="27" customHeight="1">
      <x:c r="A3411" s="66" t="str">
        <x:v>SEV580</x:v>
      </x:c>
      <x:c r="B3411" s="66" t="str">
        <x:v>祁腾蜂赢1号</x:v>
      </x:c>
      <x:c r="C3411" s="72" t="n">
        <x:v>46017</x:v>
      </x:c>
      <x:c r="D3411" s="73" t="n">
        <x:v>1.021</x:v>
      </x:c>
      <x:c r="E3411" s="73" t="n">
        <x:v>1.8145</x:v>
      </x:c>
      <x:c r="F3411" s="73" t="n">
        <x:v>2.1788</x:v>
      </x:c>
      <x:c r="G3411" s="74" t="n">
        <x:v>-0.0001</x:v>
      </x:c>
      <x:c r="H3411" s="66" t="str">
        <x:v>祁腾蜂赢1号净值20260911.xlsx</x:v>
      </x:c>
      <x:c r="I3411" s="73" t="n">
        <x:f>MAX(I3410,F3411)</x:f>
        <x:v>2.1801</x:v>
      </x:c>
      <x:c r="J3411" s="74" t="n">
        <x:f>1-F3411/I3411</x:f>
        <x:v>0.0005963029218843952</x:v>
      </x:c>
      <x:c r="K3411" s="73" t="n">
        <x:f>MAX(K3410,F3411)</x:f>
        <x:v>2.1801</x:v>
      </x:c>
      <x:c r="L3411" s="74" t="n">
        <x:f>1-F3411/K3411</x:f>
        <x:v>0.0005963029218843952</x:v>
      </x:c>
      <x:c r="M3411" s="73" t="n">
        <x:f>MAX(M3410,F3411)</x:f>
        <x:v>2.1801</x:v>
      </x:c>
      <x:c r="N3411" s="74" t="n">
        <x:f>1-F3411/M3411</x:f>
        <x:v>0.0005963029218843952</x:v>
      </x:c>
    </x:row>
    <x:row r="3412" ht="27" customHeight="1">
      <x:c r="A3412" s="66" t="str">
        <x:v>SEV580</x:v>
      </x:c>
      <x:c r="B3412" s="66" t="str">
        <x:v>祁腾蜂赢1号</x:v>
      </x:c>
      <x:c r="C3412" s="72" t="n">
        <x:v>46020</x:v>
      </x:c>
      <x:c r="D3412" s="73" t="n">
        <x:v>1.0234</x:v>
      </x:c>
      <x:c r="E3412" s="73" t="n">
        <x:v>1.8169</x:v>
      </x:c>
      <x:c r="F3412" s="73" t="n">
        <x:v>2.1839</x:v>
      </x:c>
      <x:c r="G3412" s="74" t="n">
        <x:v>0.0024</x:v>
      </x:c>
      <x:c r="H3412" s="66" t="str">
        <x:v>祁腾蜂赢1号净值20260911.xlsx</x:v>
      </x:c>
      <x:c r="I3412" s="73" t="n">
        <x:f>MAX(I3411,F3412)</x:f>
        <x:v>2.1839</x:v>
      </x:c>
      <x:c r="J3412" s="74" t="n">
        <x:f>1-F3412/I3412</x:f>
        <x:v>0</x:v>
      </x:c>
      <x:c r="K3412" s="73" t="n">
        <x:f>MAX(K3411,F3412)</x:f>
        <x:v>2.1839</x:v>
      </x:c>
      <x:c r="L3412" s="74" t="n">
        <x:f>1-F3412/K3412</x:f>
        <x:v>0</x:v>
      </x:c>
      <x:c r="M3412" s="73" t="n">
        <x:f>MAX(M3411,F3412)</x:f>
        <x:v>2.1839</x:v>
      </x:c>
      <x:c r="N3412" s="74" t="n">
        <x:f>1-F3412/M3412</x:f>
        <x:v>0</x:v>
      </x:c>
    </x:row>
    <x:row r="3413" ht="27" customHeight="1">
      <x:c r="A3413" s="66" t="str">
        <x:v>SEV580</x:v>
      </x:c>
      <x:c r="B3413" s="66" t="str">
        <x:v>祁腾蜂赢1号</x:v>
      </x:c>
      <x:c r="C3413" s="72" t="n">
        <x:v>46021</x:v>
      </x:c>
      <x:c r="D3413" s="73" t="n">
        <x:v>1.025</x:v>
      </x:c>
      <x:c r="E3413" s="73" t="n">
        <x:v>1.8185</x:v>
      </x:c>
      <x:c r="F3413" s="73" t="n">
        <x:v>2.1874</x:v>
      </x:c>
      <x:c r="G3413" s="74" t="n">
        <x:v>0.0016</x:v>
      </x:c>
      <x:c r="H3413" s="66" t="str">
        <x:v>祁腾蜂赢1号净值20260911.xlsx</x:v>
      </x:c>
      <x:c r="I3413" s="73" t="n">
        <x:f>MAX(I3412,F3413)</x:f>
        <x:v>2.1874</x:v>
      </x:c>
      <x:c r="J3413" s="74" t="n">
        <x:f>1-F3413/I3413</x:f>
        <x:v>0</x:v>
      </x:c>
      <x:c r="K3413" s="73" t="n">
        <x:f>MAX(K3412,F3413)</x:f>
        <x:v>2.1874</x:v>
      </x:c>
      <x:c r="L3413" s="74" t="n">
        <x:f>1-F3413/K3413</x:f>
        <x:v>0</x:v>
      </x:c>
      <x:c r="M3413" s="73" t="n">
        <x:f>MAX(M3412,F3413)</x:f>
        <x:v>2.1874</x:v>
      </x:c>
      <x:c r="N3413" s="74" t="n">
        <x:f>1-F3413/M3413</x:f>
        <x:v>0</x:v>
      </x:c>
    </x:row>
    <x:row r="3414" ht="27" customHeight="1">
      <x:c r="A3414" s="66" t="str">
        <x:v>SEV580</x:v>
      </x:c>
      <x:c r="B3414" s="66" t="str">
        <x:v>祁腾蜂赢1号</x:v>
      </x:c>
      <x:c r="C3414" s="72" t="n">
        <x:v>46022</x:v>
      </x:c>
      <x:c r="D3414" s="73" t="n">
        <x:v>1.025</x:v>
      </x:c>
      <x:c r="E3414" s="73" t="n">
        <x:v>1.8185</x:v>
      </x:c>
      <x:c r="F3414" s="73" t="n">
        <x:v>2.1874</x:v>
      </x:c>
      <x:c r="G3414" s="74" t="n">
        <x:v>0</x:v>
      </x:c>
      <x:c r="H3414" s="66" t="str">
        <x:v>祁腾蜂赢1号净值20260911.xlsx</x:v>
      </x:c>
      <x:c r="I3414" s="73" t="n">
        <x:f>MAX(I3413,F3414)</x:f>
        <x:v>2.1874</x:v>
      </x:c>
      <x:c r="J3414" s="74" t="n">
        <x:f>1-F3414/I3414</x:f>
        <x:v>0</x:v>
      </x:c>
      <x:c r="K3414" s="73" t="n">
        <x:f>MAX(K3413,F3414)</x:f>
        <x:v>2.1874</x:v>
      </x:c>
      <x:c r="L3414" s="74" t="n">
        <x:f>1-F3414/K3414</x:f>
        <x:v>0</x:v>
      </x:c>
      <x:c r="M3414" s="73" t="n">
        <x:f>MAX(M3413,F3414)</x:f>
        <x:v>2.1874</x:v>
      </x:c>
      <x:c r="N3414" s="74" t="n">
        <x:f>1-F3414/M3414</x:f>
        <x:v>0</x:v>
      </x:c>
    </x:row>
    <x:row r="3415" ht="27" customHeight="1">
      <x:c r="A3415" s="66" t="str">
        <x:v>SEV580</x:v>
      </x:c>
      <x:c r="B3415" s="66" t="str">
        <x:v>祁腾蜂赢1号</x:v>
      </x:c>
      <x:c r="C3415" s="72" t="n">
        <x:v>46027</x:v>
      </x:c>
      <x:c r="D3415" s="73" t="n">
        <x:v>1</x:v>
      </x:c>
      <x:c r="E3415" s="73" t="n">
        <x:v>1.8173</x:v>
      </x:c>
      <x:c r="F3415" s="73" t="n">
        <x:v>2.1848</x:v>
      </x:c>
      <x:c r="G3415" s="74" t="n">
        <x:v>-0.0012</x:v>
      </x:c>
      <x:c r="H3415" s="66" t="str">
        <x:v>祁腾蜂赢1号净值20260911.xlsx</x:v>
      </x:c>
      <x:c r="I3415" s="73" t="n">
        <x:f>MAX(I3414,F3415)</x:f>
        <x:v>2.1874</x:v>
      </x:c>
      <x:c r="J3415" s="74" t="n">
        <x:f>1-F3415/I3415</x:f>
        <x:v>0.001188625765749185</x:v>
      </x:c>
      <x:c r="K3415" s="73" t="n">
        <x:f>MAX(K3414,F3415)</x:f>
        <x:v>2.1874</x:v>
      </x:c>
      <x:c r="L3415" s="74" t="n">
        <x:f>1-F3415/K3415</x:f>
        <x:v>0.001188625765749185</x:v>
      </x:c>
      <x:c r="M3415" s="73" t="n">
        <x:f>MAX(M3414,F3415)</x:f>
        <x:v>2.1874</x:v>
      </x:c>
      <x:c r="N3415" s="74" t="n">
        <x:f>1-F3415/M3415</x:f>
        <x:v>0.001188625765749185</x:v>
      </x:c>
    </x:row>
    <x:row r="3416" ht="27" customHeight="1">
      <x:c r="A3416" s="66" t="str">
        <x:v>SEV580</x:v>
      </x:c>
      <x:c r="B3416" s="66" t="str">
        <x:v>祁腾蜂赢1号</x:v>
      </x:c>
      <x:c r="C3416" s="72" t="n">
        <x:v>46028</x:v>
      </x:c>
      <x:c r="D3416" s="73" t="n">
        <x:v>1.0018</x:v>
      </x:c>
      <x:c r="E3416" s="73" t="n">
        <x:v>1.8191</x:v>
      </x:c>
      <x:c r="F3416" s="73" t="n">
        <x:v>2.1887</x:v>
      </x:c>
      <x:c r="G3416" s="74" t="n">
        <x:v>0.0018</x:v>
      </x:c>
      <x:c r="H3416" s="66" t="str">
        <x:v>祁腾蜂赢1号净值20260911.xlsx</x:v>
      </x:c>
      <x:c r="I3416" s="73" t="n">
        <x:f>MAX(I3415,F3416)</x:f>
        <x:v>2.1887</x:v>
      </x:c>
      <x:c r="J3416" s="74" t="n">
        <x:f>1-F3416/I3416</x:f>
        <x:v>0</x:v>
      </x:c>
      <x:c r="K3416" s="73" t="n">
        <x:f>MAX(K3415,F3416)</x:f>
        <x:v>2.1887</x:v>
      </x:c>
      <x:c r="L3416" s="74" t="n">
        <x:f>1-F3416/K3416</x:f>
        <x:v>0</x:v>
      </x:c>
      <x:c r="M3416" s="73" t="n">
        <x:f>MAX(M3415,F3416)</x:f>
        <x:v>2.1887</x:v>
      </x:c>
      <x:c r="N3416" s="74" t="n">
        <x:f>1-F3416/M3416</x:f>
        <x:v>0</x:v>
      </x:c>
    </x:row>
    <x:row r="3417" ht="27" customHeight="1">
      <x:c r="A3417" s="66" t="str">
        <x:v>SEV580</x:v>
      </x:c>
      <x:c r="B3417" s="66" t="str">
        <x:v>祁腾蜂赢1号</x:v>
      </x:c>
      <x:c r="C3417" s="72" t="n">
        <x:v>46029</x:v>
      </x:c>
      <x:c r="D3417" s="73" t="n">
        <x:v>1.0013</x:v>
      </x:c>
      <x:c r="E3417" s="73" t="n">
        <x:v>1.8186</x:v>
      </x:c>
      <x:c r="F3417" s="73" t="n">
        <x:v>2.1876</x:v>
      </x:c>
      <x:c r="G3417" s="74" t="n">
        <x:v>-0.0005</x:v>
      </x:c>
      <x:c r="H3417" s="66" t="str">
        <x:v>祁腾蜂赢1号净值20260911.xlsx</x:v>
      </x:c>
      <x:c r="I3417" s="73" t="n">
        <x:f>MAX(I3416,F3417)</x:f>
        <x:v>2.1887</x:v>
      </x:c>
      <x:c r="J3417" s="74" t="n">
        <x:f>1-F3417/I3417</x:f>
        <x:v>0.0005025814410378748</x:v>
      </x:c>
      <x:c r="K3417" s="73" t="n">
        <x:f>MAX(K3416,F3417)</x:f>
        <x:v>2.1887</x:v>
      </x:c>
      <x:c r="L3417" s="74" t="n">
        <x:f>1-F3417/K3417</x:f>
        <x:v>0.0005025814410378748</x:v>
      </x:c>
      <x:c r="M3417" s="73" t="n">
        <x:f>MAX(M3416,F3417)</x:f>
        <x:v>2.1887</x:v>
      </x:c>
      <x:c r="N3417" s="74" t="n">
        <x:f>1-F3417/M3417</x:f>
        <x:v>0.0005025814410378748</x:v>
      </x:c>
    </x:row>
    <x:row r="3418" ht="27" customHeight="1">
      <x:c r="A3418" s="66" t="str">
        <x:v>SEV580</x:v>
      </x:c>
      <x:c r="B3418" s="66" t="str">
        <x:v>祁腾蜂赢1号</x:v>
      </x:c>
      <x:c r="C3418" s="72" t="n">
        <x:v>46030</x:v>
      </x:c>
      <x:c r="D3418" s="73" t="n">
        <x:v>1.002</x:v>
      </x:c>
      <x:c r="E3418" s="73" t="n">
        <x:v>1.8193</x:v>
      </x:c>
      <x:c r="F3418" s="73" t="n">
        <x:v>2.1892</x:v>
      </x:c>
      <x:c r="G3418" s="74" t="n">
        <x:v>0.0007000000000000001</x:v>
      </x:c>
      <x:c r="H3418" s="66" t="str">
        <x:v>祁腾蜂赢1号净值20260911.xlsx</x:v>
      </x:c>
      <x:c r="I3418" s="73" t="n">
        <x:f>MAX(I3417,F3418)</x:f>
        <x:v>2.1892</x:v>
      </x:c>
      <x:c r="J3418" s="74" t="n">
        <x:f>1-F3418/I3418</x:f>
        <x:v>0</x:v>
      </x:c>
      <x:c r="K3418" s="73" t="n">
        <x:f>MAX(K3417,F3418)</x:f>
        <x:v>2.1892</x:v>
      </x:c>
      <x:c r="L3418" s="74" t="n">
        <x:f>1-F3418/K3418</x:f>
        <x:v>0</x:v>
      </x:c>
      <x:c r="M3418" s="73" t="n">
        <x:f>MAX(M3417,F3418)</x:f>
        <x:v>2.1892</x:v>
      </x:c>
      <x:c r="N3418" s="74" t="n">
        <x:f>1-F3418/M3418</x:f>
        <x:v>0</x:v>
      </x:c>
    </x:row>
    <x:row r="3419" ht="27" customHeight="1">
      <x:c r="A3419" s="66" t="str">
        <x:v>SEV580</x:v>
      </x:c>
      <x:c r="B3419" s="66" t="str">
        <x:v>祁腾蜂赢1号</x:v>
      </x:c>
      <x:c r="C3419" s="72" t="n">
        <x:v>46031</x:v>
      </x:c>
      <x:c r="D3419" s="73" t="n">
        <x:v>1.003</x:v>
      </x:c>
      <x:c r="E3419" s="73" t="n">
        <x:v>1.8203</x:v>
      </x:c>
      <x:c r="F3419" s="73" t="n">
        <x:v>2.1914</x:v>
      </x:c>
      <x:c r="G3419" s="74" t="n">
        <x:v>0.001</x:v>
      </x:c>
      <x:c r="H3419" s="66" t="str">
        <x:v>祁腾蜂赢1号净值20260911.xlsx</x:v>
      </x:c>
      <x:c r="I3419" s="73" t="n">
        <x:f>MAX(I3418,F3419)</x:f>
        <x:v>2.1914</x:v>
      </x:c>
      <x:c r="J3419" s="74" t="n">
        <x:f>1-F3419/I3419</x:f>
        <x:v>0</x:v>
      </x:c>
      <x:c r="K3419" s="73" t="n">
        <x:f>MAX(K3418,F3419)</x:f>
        <x:v>2.1914</x:v>
      </x:c>
      <x:c r="L3419" s="74" t="n">
        <x:f>1-F3419/K3419</x:f>
        <x:v>0</x:v>
      </x:c>
      <x:c r="M3419" s="73" t="n">
        <x:f>MAX(M3418,F3419)</x:f>
        <x:v>2.1914</x:v>
      </x:c>
      <x:c r="N3419" s="74" t="n">
        <x:f>1-F3419/M3419</x:f>
        <x:v>0</x:v>
      </x:c>
    </x:row>
    <x:row r="3420" ht="27" customHeight="1">
      <x:c r="A3420" s="66" t="str">
        <x:v>SEV580</x:v>
      </x:c>
      <x:c r="B3420" s="66" t="str">
        <x:v>祁腾蜂赢1号</x:v>
      </x:c>
      <x:c r="C3420" s="72" t="n">
        <x:v>46034</x:v>
      </x:c>
      <x:c r="D3420" s="73" t="n">
        <x:v>1.0045</x:v>
      </x:c>
      <x:c r="E3420" s="73" t="n">
        <x:v>1.8218</x:v>
      </x:c>
      <x:c r="F3420" s="73" t="n">
        <x:v>2.1946</x:v>
      </x:c>
      <x:c r="G3420" s="74" t="n">
        <x:v>0.0015</x:v>
      </x:c>
      <x:c r="H3420" s="66" t="str">
        <x:v>祁腾蜂赢1号净值20260911.xlsx</x:v>
      </x:c>
      <x:c r="I3420" s="73" t="n">
        <x:f>MAX(I3419,F3420)</x:f>
        <x:v>2.1946</x:v>
      </x:c>
      <x:c r="J3420" s="74" t="n">
        <x:f>1-F3420/I3420</x:f>
        <x:v>0</x:v>
      </x:c>
      <x:c r="K3420" s="73" t="n">
        <x:f>MAX(K3419,F3420)</x:f>
        <x:v>2.1946</x:v>
      </x:c>
      <x:c r="L3420" s="74" t="n">
        <x:f>1-F3420/K3420</x:f>
        <x:v>0</x:v>
      </x:c>
      <x:c r="M3420" s="73" t="n">
        <x:f>MAX(M3419,F3420)</x:f>
        <x:v>2.1946</x:v>
      </x:c>
      <x:c r="N3420" s="74" t="n">
        <x:f>1-F3420/M3420</x:f>
        <x:v>0</x:v>
      </x:c>
    </x:row>
    <x:row r="3421" ht="27" customHeight="1">
      <x:c r="A3421" s="66" t="str">
        <x:v>SEV580</x:v>
      </x:c>
      <x:c r="B3421" s="66" t="str">
        <x:v>祁腾蜂赢1号</x:v>
      </x:c>
      <x:c r="C3421" s="72" t="n">
        <x:v>46035</x:v>
      </x:c>
      <x:c r="D3421" s="73" t="n">
        <x:v>1.0055</x:v>
      </x:c>
      <x:c r="E3421" s="73" t="n">
        <x:v>1.8228</x:v>
      </x:c>
      <x:c r="F3421" s="73" t="n">
        <x:v>2.1968</x:v>
      </x:c>
      <x:c r="G3421" s="74" t="n">
        <x:v>0.001</x:v>
      </x:c>
      <x:c r="H3421" s="66" t="str">
        <x:v>祁腾蜂赢1号净值20260911.xlsx</x:v>
      </x:c>
      <x:c r="I3421" s="73" t="n">
        <x:f>MAX(I3420,F3421)</x:f>
        <x:v>2.1968</x:v>
      </x:c>
      <x:c r="J3421" s="74" t="n">
        <x:f>1-F3421/I3421</x:f>
        <x:v>0</x:v>
      </x:c>
      <x:c r="K3421" s="73" t="n">
        <x:f>MAX(K3420,F3421)</x:f>
        <x:v>2.1968</x:v>
      </x:c>
      <x:c r="L3421" s="74" t="n">
        <x:f>1-F3421/K3421</x:f>
        <x:v>0</x:v>
      </x:c>
      <x:c r="M3421" s="73" t="n">
        <x:f>MAX(M3420,F3421)</x:f>
        <x:v>2.1968</x:v>
      </x:c>
      <x:c r="N3421" s="74" t="n">
        <x:f>1-F3421/M3421</x:f>
        <x:v>0</x:v>
      </x:c>
    </x:row>
    <x:row r="3422" ht="27" customHeight="1">
      <x:c r="A3422" s="66" t="str">
        <x:v>SEV580</x:v>
      </x:c>
      <x:c r="B3422" s="66" t="str">
        <x:v>祁腾蜂赢1号</x:v>
      </x:c>
      <x:c r="C3422" s="72" t="n">
        <x:v>46036</x:v>
      </x:c>
      <x:c r="D3422" s="73" t="n">
        <x:v>1.0051</x:v>
      </x:c>
      <x:c r="E3422" s="73" t="n">
        <x:v>1.8224</x:v>
      </x:c>
      <x:c r="F3422" s="73" t="n">
        <x:v>2.1959</x:v>
      </x:c>
      <x:c r="G3422" s="74" t="n">
        <x:v>-0.0004</x:v>
      </x:c>
      <x:c r="H3422" s="66" t="str">
        <x:v>祁腾蜂赢1号净值20260911.xlsx</x:v>
      </x:c>
      <x:c r="I3422" s="73" t="n">
        <x:f>MAX(I3421,F3422)</x:f>
        <x:v>2.1968</x:v>
      </x:c>
      <x:c r="J3422" s="74" t="n">
        <x:f>1-F3422/I3422</x:f>
        <x:v>0.0004096868171886703</x:v>
      </x:c>
      <x:c r="K3422" s="73" t="n">
        <x:f>MAX(K3421,F3422)</x:f>
        <x:v>2.1968</x:v>
      </x:c>
      <x:c r="L3422" s="74" t="n">
        <x:f>1-F3422/K3422</x:f>
        <x:v>0.0004096868171886703</x:v>
      </x:c>
      <x:c r="M3422" s="73" t="n">
        <x:f>MAX(M3421,F3422)</x:f>
        <x:v>2.1968</x:v>
      </x:c>
      <x:c r="N3422" s="74" t="n">
        <x:f>1-F3422/M3422</x:f>
        <x:v>0.0004096868171886703</x:v>
      </x:c>
    </x:row>
    <x:row r="3423" ht="27" customHeight="1">
      <x:c r="A3423" s="66" t="str">
        <x:v>SEV580</x:v>
      </x:c>
      <x:c r="B3423" s="66" t="str">
        <x:v>祁腾蜂赢1号</x:v>
      </x:c>
      <x:c r="C3423" s="72" t="n">
        <x:v>46037</x:v>
      </x:c>
      <x:c r="D3423" s="73" t="n">
        <x:v>1.0063</x:v>
      </x:c>
      <x:c r="E3423" s="73" t="n">
        <x:v>1.8236</x:v>
      </x:c>
      <x:c r="F3423" s="73" t="n">
        <x:v>2.1986</x:v>
      </x:c>
      <x:c r="G3423" s="74" t="n">
        <x:v>0.0012</x:v>
      </x:c>
      <x:c r="H3423" s="66" t="str">
        <x:v>祁腾蜂赢1号净值20260911.xlsx</x:v>
      </x:c>
      <x:c r="I3423" s="73" t="n">
        <x:f>MAX(I3422,F3423)</x:f>
        <x:v>2.1986</x:v>
      </x:c>
      <x:c r="J3423" s="74" t="n">
        <x:f>1-F3423/I3423</x:f>
        <x:v>0</x:v>
      </x:c>
      <x:c r="K3423" s="73" t="n">
        <x:f>MAX(K3422,F3423)</x:f>
        <x:v>2.1986</x:v>
      </x:c>
      <x:c r="L3423" s="74" t="n">
        <x:f>1-F3423/K3423</x:f>
        <x:v>0</x:v>
      </x:c>
      <x:c r="M3423" s="73" t="n">
        <x:f>MAX(M3422,F3423)</x:f>
        <x:v>2.1986</x:v>
      </x:c>
      <x:c r="N3423" s="74" t="n">
        <x:f>1-F3423/M3423</x:f>
        <x:v>0</x:v>
      </x:c>
    </x:row>
    <x:row r="3424" ht="27" customHeight="1">
      <x:c r="A3424" s="66" t="str">
        <x:v>SEV580</x:v>
      </x:c>
      <x:c r="B3424" s="66" t="str">
        <x:v>祁腾蜂赢1号</x:v>
      </x:c>
      <x:c r="C3424" s="72" t="n">
        <x:v>46038</x:v>
      </x:c>
      <x:c r="D3424" s="73" t="n">
        <x:v>1.0076</x:v>
      </x:c>
      <x:c r="E3424" s="73" t="n">
        <x:v>1.8249</x:v>
      </x:c>
      <x:c r="F3424" s="73" t="n">
        <x:v>2.2014</x:v>
      </x:c>
      <x:c r="G3424" s="74" t="n">
        <x:v>0.0013</x:v>
      </x:c>
      <x:c r="H3424" s="66" t="str">
        <x:v>祁腾蜂赢1号净值20260911.xlsx</x:v>
      </x:c>
      <x:c r="I3424" s="73" t="n">
        <x:f>MAX(I3423,F3424)</x:f>
        <x:v>2.2014</x:v>
      </x:c>
      <x:c r="J3424" s="74" t="n">
        <x:f>1-F3424/I3424</x:f>
        <x:v>0</x:v>
      </x:c>
      <x:c r="K3424" s="73" t="n">
        <x:f>MAX(K3423,F3424)</x:f>
        <x:v>2.2014</x:v>
      </x:c>
      <x:c r="L3424" s="74" t="n">
        <x:f>1-F3424/K3424</x:f>
        <x:v>0</x:v>
      </x:c>
      <x:c r="M3424" s="73" t="n">
        <x:f>MAX(M3423,F3424)</x:f>
        <x:v>2.2014</x:v>
      </x:c>
      <x:c r="N3424" s="74" t="n">
        <x:f>1-F3424/M3424</x:f>
        <x:v>0</x:v>
      </x:c>
    </x:row>
    <x:row r="3425" ht="27" customHeight="1">
      <x:c r="A3425" s="66" t="str">
        <x:v>SEV580</x:v>
      </x:c>
      <x:c r="B3425" s="66" t="str">
        <x:v>祁腾蜂赢1号</x:v>
      </x:c>
      <x:c r="C3425" s="72" t="n">
        <x:v>46041</x:v>
      </x:c>
      <x:c r="D3425" s="73" t="n">
        <x:v>1.0074</x:v>
      </x:c>
      <x:c r="E3425" s="73" t="n">
        <x:v>1.8247</x:v>
      </x:c>
      <x:c r="F3425" s="73" t="n">
        <x:v>2.201</x:v>
      </x:c>
      <x:c r="G3425" s="74" t="n">
        <x:v>-0.0002</x:v>
      </x:c>
      <x:c r="H3425" s="66" t="str">
        <x:v>祁腾蜂赢1号净值20260911.xlsx</x:v>
      </x:c>
      <x:c r="I3425" s="73" t="n">
        <x:f>MAX(I3424,F3425)</x:f>
        <x:v>2.2014</x:v>
      </x:c>
      <x:c r="J3425" s="74" t="n">
        <x:f>1-F3425/I3425</x:f>
        <x:v>0.00018170255292082604</x:v>
      </x:c>
      <x:c r="K3425" s="73" t="n">
        <x:f>MAX(K3424,F3425)</x:f>
        <x:v>2.2014</x:v>
      </x:c>
      <x:c r="L3425" s="74" t="n">
        <x:f>1-F3425/K3425</x:f>
        <x:v>0.00018170255292082604</x:v>
      </x:c>
      <x:c r="M3425" s="73" t="n">
        <x:f>MAX(M3424,F3425)</x:f>
        <x:v>2.2014</x:v>
      </x:c>
      <x:c r="N3425" s="74" t="n">
        <x:f>1-F3425/M3425</x:f>
        <x:v>0.00018170255292082604</x:v>
      </x:c>
    </x:row>
    <x:row r="3426" ht="27" customHeight="1">
      <x:c r="A3426" s="66" t="str">
        <x:v>SEV580</x:v>
      </x:c>
      <x:c r="B3426" s="66" t="str">
        <x:v>祁腾蜂赢1号</x:v>
      </x:c>
      <x:c r="C3426" s="72" t="n">
        <x:v>46042</x:v>
      </x:c>
      <x:c r="D3426" s="73" t="n">
        <x:v>1.0096</x:v>
      </x:c>
      <x:c r="E3426" s="73" t="n">
        <x:v>1.8269</x:v>
      </x:c>
      <x:c r="F3426" s="73" t="n">
        <x:v>2.2058</x:v>
      </x:c>
      <x:c r="G3426" s="74" t="n">
        <x:v>0.0022</x:v>
      </x:c>
      <x:c r="H3426" s="66" t="str">
        <x:v>祁腾蜂赢1号净值20260911.xlsx</x:v>
      </x:c>
      <x:c r="I3426" s="73" t="n">
        <x:f>MAX(I3425,F3426)</x:f>
        <x:v>2.2058</x:v>
      </x:c>
      <x:c r="J3426" s="74" t="n">
        <x:f>1-F3426/I3426</x:f>
        <x:v>0</x:v>
      </x:c>
      <x:c r="K3426" s="73" t="n">
        <x:f>MAX(K3425,F3426)</x:f>
        <x:v>2.2058</x:v>
      </x:c>
      <x:c r="L3426" s="74" t="n">
        <x:f>1-F3426/K3426</x:f>
        <x:v>0</x:v>
      </x:c>
      <x:c r="M3426" s="73" t="n">
        <x:f>MAX(M3425,F3426)</x:f>
        <x:v>2.2058</x:v>
      </x:c>
      <x:c r="N3426" s="74" t="n">
        <x:f>1-F3426/M3426</x:f>
        <x:v>0</x:v>
      </x:c>
    </x:row>
    <x:row r="3427" ht="27" customHeight="1">
      <x:c r="A3427" s="66" t="str">
        <x:v>SEV580</x:v>
      </x:c>
      <x:c r="B3427" s="66" t="str">
        <x:v>祁腾蜂赢1号</x:v>
      </x:c>
      <x:c r="C3427" s="72" t="n">
        <x:v>46043</x:v>
      </x:c>
      <x:c r="D3427" s="73" t="n">
        <x:v>1.0107</x:v>
      </x:c>
      <x:c r="E3427" s="73" t="n">
        <x:v>1.828</x:v>
      </x:c>
      <x:c r="F3427" s="73" t="n">
        <x:v>2.2082</x:v>
      </x:c>
      <x:c r="G3427" s="74" t="n">
        <x:v>0.0011</x:v>
      </x:c>
      <x:c r="H3427" s="66" t="str">
        <x:v>祁腾蜂赢1号净值20260911.xlsx</x:v>
      </x:c>
      <x:c r="I3427" s="73" t="n">
        <x:f>MAX(I3426,F3427)</x:f>
        <x:v>2.2082</x:v>
      </x:c>
      <x:c r="J3427" s="74" t="n">
        <x:f>1-F3427/I3427</x:f>
        <x:v>0</x:v>
      </x:c>
      <x:c r="K3427" s="73" t="n">
        <x:f>MAX(K3426,F3427)</x:f>
        <x:v>2.2082</x:v>
      </x:c>
      <x:c r="L3427" s="74" t="n">
        <x:f>1-F3427/K3427</x:f>
        <x:v>0</x:v>
      </x:c>
      <x:c r="M3427" s="73" t="n">
        <x:f>MAX(M3426,F3427)</x:f>
        <x:v>2.2082</x:v>
      </x:c>
      <x:c r="N3427" s="74" t="n">
        <x:f>1-F3427/M3427</x:f>
        <x:v>0</x:v>
      </x:c>
    </x:row>
    <x:row r="3428" ht="27" customHeight="1">
      <x:c r="A3428" s="66" t="str">
        <x:v>SEV580</x:v>
      </x:c>
      <x:c r="B3428" s="66" t="str">
        <x:v>祁腾蜂赢1号</x:v>
      </x:c>
      <x:c r="C3428" s="72" t="n">
        <x:v>46044</x:v>
      </x:c>
      <x:c r="D3428" s="73" t="n">
        <x:v>1.0112</x:v>
      </x:c>
      <x:c r="E3428" s="73" t="n">
        <x:v>1.8285</x:v>
      </x:c>
      <x:c r="F3428" s="73" t="n">
        <x:v>2.2093</x:v>
      </x:c>
      <x:c r="G3428" s="74" t="n">
        <x:v>0.0005</x:v>
      </x:c>
      <x:c r="H3428" s="66" t="str">
        <x:v>祁腾蜂赢1号净值20260911.xlsx</x:v>
      </x:c>
      <x:c r="I3428" s="73" t="n">
        <x:f>MAX(I3427,F3428)</x:f>
        <x:v>2.2093</x:v>
      </x:c>
      <x:c r="J3428" s="74" t="n">
        <x:f>1-F3428/I3428</x:f>
        <x:v>0</x:v>
      </x:c>
      <x:c r="K3428" s="73" t="n">
        <x:f>MAX(K3427,F3428)</x:f>
        <x:v>2.2093</x:v>
      </x:c>
      <x:c r="L3428" s="74" t="n">
        <x:f>1-F3428/K3428</x:f>
        <x:v>0</x:v>
      </x:c>
      <x:c r="M3428" s="73" t="n">
        <x:f>MAX(M3427,F3428)</x:f>
        <x:v>2.2093</x:v>
      </x:c>
      <x:c r="N3428" s="74" t="n">
        <x:f>1-F3428/M3428</x:f>
        <x:v>0</x:v>
      </x:c>
    </x:row>
    <x:row r="3429" ht="27" customHeight="1">
      <x:c r="A3429" s="66" t="str">
        <x:v>SEV580</x:v>
      </x:c>
      <x:c r="B3429" s="66" t="str">
        <x:v>祁腾蜂赢1号</x:v>
      </x:c>
      <x:c r="C3429" s="72" t="n">
        <x:v>46045</x:v>
      </x:c>
      <x:c r="D3429" s="73" t="n">
        <x:v>1.0121</x:v>
      </x:c>
      <x:c r="E3429" s="73" t="n">
        <x:v>1.8294</x:v>
      </x:c>
      <x:c r="F3429" s="73" t="n">
        <x:v>2.2112</x:v>
      </x:c>
      <x:c r="G3429" s="74" t="n">
        <x:v>0.0009</x:v>
      </x:c>
      <x:c r="H3429" s="66" t="str">
        <x:v>祁腾蜂赢1号净值20260911.xlsx</x:v>
      </x:c>
      <x:c r="I3429" s="73" t="n">
        <x:f>MAX(I3428,F3429)</x:f>
        <x:v>2.2112</x:v>
      </x:c>
      <x:c r="J3429" s="74" t="n">
        <x:f>1-F3429/I3429</x:f>
        <x:v>0</x:v>
      </x:c>
      <x:c r="K3429" s="73" t="n">
        <x:f>MAX(K3428,F3429)</x:f>
        <x:v>2.2112</x:v>
      </x:c>
      <x:c r="L3429" s="74" t="n">
        <x:f>1-F3429/K3429</x:f>
        <x:v>0</x:v>
      </x:c>
      <x:c r="M3429" s="73" t="n">
        <x:f>MAX(M3428,F3429)</x:f>
        <x:v>2.2112</x:v>
      </x:c>
      <x:c r="N3429" s="74" t="n">
        <x:f>1-F3429/M3429</x:f>
        <x:v>0</x:v>
      </x:c>
    </x:row>
    <x:row r="3430" ht="27" customHeight="1">
      <x:c r="A3430" s="66" t="str">
        <x:v>SEV580</x:v>
      </x:c>
      <x:c r="B3430" s="66" t="str">
        <x:v>祁腾蜂赢1号</x:v>
      </x:c>
      <x:c r="C3430" s="72" t="n">
        <x:v>46048</x:v>
      </x:c>
      <x:c r="D3430" s="73" t="n">
        <x:v>1.0135</x:v>
      </x:c>
      <x:c r="E3430" s="73" t="n">
        <x:v>1.8308</x:v>
      </x:c>
      <x:c r="F3430" s="73" t="n">
        <x:v>2.2143</x:v>
      </x:c>
      <x:c r="G3430" s="74" t="n">
        <x:v>0.0014000000000000002</x:v>
      </x:c>
      <x:c r="H3430" s="66" t="str">
        <x:v>祁腾蜂赢1号净值20260911.xlsx</x:v>
      </x:c>
      <x:c r="I3430" s="73" t="n">
        <x:f>MAX(I3429,F3430)</x:f>
        <x:v>2.2143</x:v>
      </x:c>
      <x:c r="J3430" s="74" t="n">
        <x:f>1-F3430/I3430</x:f>
        <x:v>0</x:v>
      </x:c>
      <x:c r="K3430" s="73" t="n">
        <x:f>MAX(K3429,F3430)</x:f>
        <x:v>2.2143</x:v>
      </x:c>
      <x:c r="L3430" s="74" t="n">
        <x:f>1-F3430/K3430</x:f>
        <x:v>0</x:v>
      </x:c>
      <x:c r="M3430" s="73" t="n">
        <x:f>MAX(M3429,F3430)</x:f>
        <x:v>2.2143</x:v>
      </x:c>
      <x:c r="N3430" s="74" t="n">
        <x:f>1-F3430/M3430</x:f>
        <x:v>0</x:v>
      </x:c>
    </x:row>
    <x:row r="3431" ht="27" customHeight="1">
      <x:c r="A3431" s="66" t="str">
        <x:v>SEV580</x:v>
      </x:c>
      <x:c r="B3431" s="66" t="str">
        <x:v>祁腾蜂赢1号</x:v>
      </x:c>
      <x:c r="C3431" s="72" t="n">
        <x:v>46049</x:v>
      </x:c>
      <x:c r="D3431" s="73" t="n">
        <x:v>1.0172</x:v>
      </x:c>
      <x:c r="E3431" s="73" t="n">
        <x:v>1.8345</x:v>
      </x:c>
      <x:c r="F3431" s="73" t="n">
        <x:v>2.2224</x:v>
      </x:c>
      <x:c r="G3431" s="74" t="n">
        <x:v>0.0037</x:v>
      </x:c>
      <x:c r="H3431" s="66" t="str">
        <x:v>祁腾蜂赢1号净值20260911.xlsx</x:v>
      </x:c>
      <x:c r="I3431" s="73" t="n">
        <x:f>MAX(I3430,F3431)</x:f>
        <x:v>2.2224</x:v>
      </x:c>
      <x:c r="J3431" s="74" t="n">
        <x:f>1-F3431/I3431</x:f>
        <x:v>0</x:v>
      </x:c>
      <x:c r="K3431" s="73" t="n">
        <x:f>MAX(K3430,F3431)</x:f>
        <x:v>2.2224</x:v>
      </x:c>
      <x:c r="L3431" s="74" t="n">
        <x:f>1-F3431/K3431</x:f>
        <x:v>0</x:v>
      </x:c>
      <x:c r="M3431" s="73" t="n">
        <x:f>MAX(M3430,F3431)</x:f>
        <x:v>2.2224</x:v>
      </x:c>
      <x:c r="N3431" s="74" t="n">
        <x:f>1-F3431/M3431</x:f>
        <x:v>0</x:v>
      </x:c>
    </x:row>
    <x:row r="3432" ht="27" customHeight="1">
      <x:c r="A3432" s="66" t="str">
        <x:v>SEV580</x:v>
      </x:c>
      <x:c r="B3432" s="66" t="str">
        <x:v>祁腾蜂赢1号</x:v>
      </x:c>
      <x:c r="C3432" s="72" t="n">
        <x:v>46050</x:v>
      </x:c>
      <x:c r="D3432" s="73" t="n">
        <x:v>1.0212</x:v>
      </x:c>
      <x:c r="E3432" s="73" t="n">
        <x:v>1.8385</x:v>
      </x:c>
      <x:c r="F3432" s="73" t="n">
        <x:v>2.2311</x:v>
      </x:c>
      <x:c r="G3432" s="74" t="n">
        <x:v>0.0039000000000000003</x:v>
      </x:c>
      <x:c r="H3432" s="66" t="str">
        <x:v>祁腾蜂赢1号净值20260911.xlsx</x:v>
      </x:c>
      <x:c r="I3432" s="73" t="n">
        <x:f>MAX(I3431,F3432)</x:f>
        <x:v>2.2311</x:v>
      </x:c>
      <x:c r="J3432" s="74" t="n">
        <x:f>1-F3432/I3432</x:f>
        <x:v>0</x:v>
      </x:c>
      <x:c r="K3432" s="73" t="n">
        <x:f>MAX(K3431,F3432)</x:f>
        <x:v>2.2311</x:v>
      </x:c>
      <x:c r="L3432" s="74" t="n">
        <x:f>1-F3432/K3432</x:f>
        <x:v>0</x:v>
      </x:c>
      <x:c r="M3432" s="73" t="n">
        <x:f>MAX(M3431,F3432)</x:f>
        <x:v>2.2311</x:v>
      </x:c>
      <x:c r="N3432" s="74" t="n">
        <x:f>1-F3432/M3432</x:f>
        <x:v>0</x:v>
      </x:c>
    </x:row>
    <x:row r="3433" ht="27" customHeight="1">
      <x:c r="A3433" s="66" t="str">
        <x:v>SEV580</x:v>
      </x:c>
      <x:c r="B3433" s="66" t="str">
        <x:v>祁腾蜂赢1号</x:v>
      </x:c>
      <x:c r="C3433" s="72" t="n">
        <x:v>46051</x:v>
      </x:c>
      <x:c r="D3433" s="73" t="n">
        <x:v>1.0198</x:v>
      </x:c>
      <x:c r="E3433" s="73" t="n">
        <x:v>1.8371</x:v>
      </x:c>
      <x:c r="F3433" s="73" t="n">
        <x:v>2.2281</x:v>
      </x:c>
      <x:c r="G3433" s="74" t="n">
        <x:v>-0.0014000000000000002</x:v>
      </x:c>
      <x:c r="H3433" s="66" t="str">
        <x:v>祁腾蜂赢1号净值20260911.xlsx</x:v>
      </x:c>
      <x:c r="I3433" s="73" t="n">
        <x:f>MAX(I3432,F3433)</x:f>
        <x:v>2.2311</x:v>
      </x:c>
      <x:c r="J3433" s="74" t="n">
        <x:f>1-F3433/I3433</x:f>
        <x:v>0.001344628210299903</x:v>
      </x:c>
      <x:c r="K3433" s="73" t="n">
        <x:f>MAX(K3432,F3433)</x:f>
        <x:v>2.2311</x:v>
      </x:c>
      <x:c r="L3433" s="74" t="n">
        <x:f>1-F3433/K3433</x:f>
        <x:v>0.001344628210299903</x:v>
      </x:c>
      <x:c r="M3433" s="73" t="n">
        <x:f>MAX(M3432,F3433)</x:f>
        <x:v>2.2311</x:v>
      </x:c>
      <x:c r="N3433" s="74" t="n">
        <x:f>1-F3433/M3433</x:f>
        <x:v>0.001344628210299903</x:v>
      </x:c>
    </x:row>
    <x:row r="3434" ht="27" customHeight="1">
      <x:c r="A3434" s="66" t="str">
        <x:v>SEV580</x:v>
      </x:c>
      <x:c r="B3434" s="66" t="str">
        <x:v>祁腾蜂赢1号</x:v>
      </x:c>
      <x:c r="C3434" s="72" t="n">
        <x:v>46052</x:v>
      </x:c>
      <x:c r="D3434" s="73" t="n">
        <x:v>1.0462</x:v>
      </x:c>
      <x:c r="E3434" s="73" t="n">
        <x:v>1.8635</x:v>
      </x:c>
      <x:c r="F3434" s="73" t="n">
        <x:v>2.2857</x:v>
      </x:c>
      <x:c r="G3434" s="74" t="n">
        <x:v>0.0259</x:v>
      </x:c>
      <x:c r="H3434" s="66" t="str">
        <x:v>祁腾蜂赢1号净值20260911.xlsx</x:v>
      </x:c>
      <x:c r="I3434" s="73" t="n">
        <x:f>MAX(I3433,F3434)</x:f>
        <x:v>2.2857</x:v>
      </x:c>
      <x:c r="J3434" s="74" t="n">
        <x:f>1-F3434/I3434</x:f>
        <x:v>0</x:v>
      </x:c>
      <x:c r="K3434" s="73" t="n">
        <x:f>MAX(K3433,F3434)</x:f>
        <x:v>2.2857</x:v>
      </x:c>
      <x:c r="L3434" s="74" t="n">
        <x:f>1-F3434/K3434</x:f>
        <x:v>0</x:v>
      </x:c>
      <x:c r="M3434" s="73" t="n">
        <x:f>MAX(M3433,F3434)</x:f>
        <x:v>2.2857</x:v>
      </x:c>
      <x:c r="N3434" s="74" t="n">
        <x:f>1-F3434/M3434</x:f>
        <x:v>0</x:v>
      </x:c>
    </x:row>
    <x:row r="3435" ht="27" customHeight="1">
      <x:c r="A3435" s="66" t="str">
        <x:v>SEV580</x:v>
      </x:c>
      <x:c r="B3435" s="66" t="str">
        <x:v>祁腾蜂赢1号</x:v>
      </x:c>
      <x:c r="C3435" s="72" t="n">
        <x:v>46055</x:v>
      </x:c>
      <x:c r="D3435" s="73" t="n">
        <x:v>1.0485</x:v>
      </x:c>
      <x:c r="E3435" s="73" t="n">
        <x:v>1.8658</x:v>
      </x:c>
      <x:c r="F3435" s="73" t="n">
        <x:v>2.2908</x:v>
      </x:c>
      <x:c r="G3435" s="74" t="n">
        <x:v>0.0022</x:v>
      </x:c>
      <x:c r="H3435" s="66" t="str">
        <x:v>祁腾蜂赢1号净值20260911.xlsx</x:v>
      </x:c>
      <x:c r="I3435" s="73" t="n">
        <x:f>MAX(I3434,F3435)</x:f>
        <x:v>2.2908</x:v>
      </x:c>
      <x:c r="J3435" s="74" t="n">
        <x:f>1-F3435/I3435</x:f>
        <x:v>0</x:v>
      </x:c>
      <x:c r="K3435" s="73" t="n">
        <x:f>MAX(K3434,F3435)</x:f>
        <x:v>2.2908</x:v>
      </x:c>
      <x:c r="L3435" s="74" t="n">
        <x:f>1-F3435/K3435</x:f>
        <x:v>0</x:v>
      </x:c>
      <x:c r="M3435" s="73" t="n">
        <x:f>MAX(M3434,F3435)</x:f>
        <x:v>2.2908</x:v>
      </x:c>
      <x:c r="N3435" s="74" t="n">
        <x:f>1-F3435/M3435</x:f>
        <x:v>0</x:v>
      </x:c>
    </x:row>
    <x:row r="3436" ht="27" customHeight="1">
      <x:c r="A3436" s="66" t="str">
        <x:v>SEV580</x:v>
      </x:c>
      <x:c r="B3436" s="66" t="str">
        <x:v>祁腾蜂赢1号</x:v>
      </x:c>
      <x:c r="C3436" s="72" t="n">
        <x:v>46056</x:v>
      </x:c>
      <x:c r="D3436" s="73" t="n">
        <x:v>1.053</x:v>
      </x:c>
      <x:c r="E3436" s="73" t="n">
        <x:v>1.8703</x:v>
      </x:c>
      <x:c r="F3436" s="73" t="n">
        <x:v>2.3006</x:v>
      </x:c>
      <x:c r="G3436" s="74" t="n">
        <x:v>0.0043</x:v>
      </x:c>
      <x:c r="H3436" s="66" t="str">
        <x:v>祁腾蜂赢1号净值20260911.xlsx</x:v>
      </x:c>
      <x:c r="I3436" s="73" t="n">
        <x:f>MAX(I3435,F3436)</x:f>
        <x:v>2.3006</x:v>
      </x:c>
      <x:c r="J3436" s="74" t="n">
        <x:f>1-F3436/I3436</x:f>
        <x:v>0</x:v>
      </x:c>
      <x:c r="K3436" s="73" t="n">
        <x:f>MAX(K3435,F3436)</x:f>
        <x:v>2.3006</x:v>
      </x:c>
      <x:c r="L3436" s="74" t="n">
        <x:f>1-F3436/K3436</x:f>
        <x:v>0</x:v>
      </x:c>
      <x:c r="M3436" s="73" t="n">
        <x:f>MAX(M3435,F3436)</x:f>
        <x:v>2.3006</x:v>
      </x:c>
      <x:c r="N3436" s="74" t="n">
        <x:f>1-F3436/M3436</x:f>
        <x:v>0</x:v>
      </x:c>
    </x:row>
    <x:row r="3437" ht="27" customHeight="1">
      <x:c r="A3437" s="66" t="str">
        <x:v>SEV580</x:v>
      </x:c>
      <x:c r="B3437" s="66" t="str">
        <x:v>祁腾蜂赢1号</x:v>
      </x:c>
      <x:c r="C3437" s="72" t="n">
        <x:v>46057</x:v>
      </x:c>
      <x:c r="D3437" s="73" t="n">
        <x:v>1.0568</x:v>
      </x:c>
      <x:c r="E3437" s="73" t="n">
        <x:v>1.8741</x:v>
      </x:c>
      <x:c r="F3437" s="73" t="n">
        <x:v>2.3089</x:v>
      </x:c>
      <x:c r="G3437" s="74" t="n">
        <x:v>0.0036</x:v>
      </x:c>
      <x:c r="H3437" s="66" t="str">
        <x:v>祁腾蜂赢1号净值20260911.xlsx</x:v>
      </x:c>
      <x:c r="I3437" s="73" t="n">
        <x:f>MAX(I3436,F3437)</x:f>
        <x:v>2.3089</x:v>
      </x:c>
      <x:c r="J3437" s="74" t="n">
        <x:f>1-F3437/I3437</x:f>
        <x:v>0</x:v>
      </x:c>
      <x:c r="K3437" s="73" t="n">
        <x:f>MAX(K3436,F3437)</x:f>
        <x:v>2.3089</x:v>
      </x:c>
      <x:c r="L3437" s="74" t="n">
        <x:f>1-F3437/K3437</x:f>
        <x:v>0</x:v>
      </x:c>
      <x:c r="M3437" s="73" t="n">
        <x:f>MAX(M3436,F3437)</x:f>
        <x:v>2.3089</x:v>
      </x:c>
      <x:c r="N3437" s="74" t="n">
        <x:f>1-F3437/M3437</x:f>
        <x:v>0</x:v>
      </x:c>
    </x:row>
    <x:row r="3438" ht="27" customHeight="1">
      <x:c r="A3438" s="66" t="str">
        <x:v>SEV580</x:v>
      </x:c>
      <x:c r="B3438" s="66" t="str">
        <x:v>祁腾蜂赢1号</x:v>
      </x:c>
      <x:c r="C3438" s="72" t="n">
        <x:v>46058</x:v>
      </x:c>
      <x:c r="D3438" s="73" t="n">
        <x:v>1.0678</x:v>
      </x:c>
      <x:c r="E3438" s="73" t="n">
        <x:v>1.8851</x:v>
      </x:c>
      <x:c r="F3438" s="73" t="n">
        <x:v>2.3329</x:v>
      </x:c>
      <x:c r="G3438" s="74" t="n">
        <x:v>0.0104</x:v>
      </x:c>
      <x:c r="H3438" s="66" t="str">
        <x:v>祁腾蜂赢1号净值20260911.xlsx</x:v>
      </x:c>
      <x:c r="I3438" s="73" t="n">
        <x:f>MAX(I3437,F3438)</x:f>
        <x:v>2.3329</x:v>
      </x:c>
      <x:c r="J3438" s="74" t="n">
        <x:f>1-F3438/I3438</x:f>
        <x:v>0</x:v>
      </x:c>
      <x:c r="K3438" s="73" t="n">
        <x:f>MAX(K3437,F3438)</x:f>
        <x:v>2.3329</x:v>
      </x:c>
      <x:c r="L3438" s="74" t="n">
        <x:f>1-F3438/K3438</x:f>
        <x:v>0</x:v>
      </x:c>
      <x:c r="M3438" s="73" t="n">
        <x:f>MAX(M3437,F3438)</x:f>
        <x:v>2.3329</x:v>
      </x:c>
      <x:c r="N3438" s="74" t="n">
        <x:f>1-F3438/M3438</x:f>
        <x:v>0</x:v>
      </x:c>
    </x:row>
    <x:row r="3439" ht="27" customHeight="1">
      <x:c r="A3439" s="66" t="str">
        <x:v>SEV580</x:v>
      </x:c>
      <x:c r="B3439" s="66" t="str">
        <x:v>祁腾蜂赢1号</x:v>
      </x:c>
      <x:c r="C3439" s="72" t="n">
        <x:v>46059</x:v>
      </x:c>
      <x:c r="D3439" s="73" t="n">
        <x:v>1.0699</x:v>
      </x:c>
      <x:c r="E3439" s="73" t="n">
        <x:v>1.8872</x:v>
      </x:c>
      <x:c r="F3439" s="73" t="n">
        <x:v>2.3375</x:v>
      </x:c>
      <x:c r="G3439" s="74" t="n">
        <x:v>0.002</x:v>
      </x:c>
      <x:c r="H3439" s="66" t="str">
        <x:v>祁腾蜂赢1号净值20260911.xlsx</x:v>
      </x:c>
      <x:c r="I3439" s="73" t="n">
        <x:f>MAX(I3438,F3439)</x:f>
        <x:v>2.3375</x:v>
      </x:c>
      <x:c r="J3439" s="74" t="n">
        <x:f>1-F3439/I3439</x:f>
        <x:v>0</x:v>
      </x:c>
      <x:c r="K3439" s="73" t="n">
        <x:f>MAX(K3438,F3439)</x:f>
        <x:v>2.3375</x:v>
      </x:c>
      <x:c r="L3439" s="74" t="n">
        <x:f>1-F3439/K3439</x:f>
        <x:v>0</x:v>
      </x:c>
      <x:c r="M3439" s="73" t="n">
        <x:f>MAX(M3438,F3439)</x:f>
        <x:v>2.3375</x:v>
      </x:c>
      <x:c r="N3439" s="74" t="n">
        <x:f>1-F3439/M3439</x:f>
        <x:v>0</x:v>
      </x:c>
    </x:row>
    <x:row r="3440" ht="27" customHeight="1">
      <x:c r="A3440" s="66" t="str">
        <x:v>SEV580</x:v>
      </x:c>
      <x:c r="B3440" s="66" t="str">
        <x:v>祁腾蜂赢1号</x:v>
      </x:c>
      <x:c r="C3440" s="72" t="n">
        <x:v>46062</x:v>
      </x:c>
      <x:c r="D3440" s="73" t="n">
        <x:v>1.0724</x:v>
      </x:c>
      <x:c r="E3440" s="73" t="n">
        <x:v>1.8897</x:v>
      </x:c>
      <x:c r="F3440" s="73" t="n">
        <x:v>2.343</x:v>
      </x:c>
      <x:c r="G3440" s="74" t="n">
        <x:v>0.0023</x:v>
      </x:c>
      <x:c r="H3440" s="66" t="str">
        <x:v>祁腾蜂赢1号净值20260911.xlsx</x:v>
      </x:c>
      <x:c r="I3440" s="73" t="n">
        <x:f>MAX(I3439,F3440)</x:f>
        <x:v>2.343</x:v>
      </x:c>
      <x:c r="J3440" s="74" t="n">
        <x:f>1-F3440/I3440</x:f>
        <x:v>0</x:v>
      </x:c>
      <x:c r="K3440" s="73" t="n">
        <x:f>MAX(K3439,F3440)</x:f>
        <x:v>2.343</x:v>
      </x:c>
      <x:c r="L3440" s="74" t="n">
        <x:f>1-F3440/K3440</x:f>
        <x:v>0</x:v>
      </x:c>
      <x:c r="M3440" s="73" t="n">
        <x:f>MAX(M3439,F3440)</x:f>
        <x:v>2.343</x:v>
      </x:c>
      <x:c r="N3440" s="74" t="n">
        <x:f>1-F3440/M3440</x:f>
        <x:v>0</x:v>
      </x:c>
    </x:row>
    <x:row r="3441" ht="27" customHeight="1">
      <x:c r="A3441" s="66" t="str">
        <x:v>SEV580</x:v>
      </x:c>
      <x:c r="B3441" s="66" t="str">
        <x:v>祁腾蜂赢1号</x:v>
      </x:c>
      <x:c r="C3441" s="72" t="n">
        <x:v>46063</x:v>
      </x:c>
      <x:c r="D3441" s="73" t="n">
        <x:v>1.0725</x:v>
      </x:c>
      <x:c r="E3441" s="73" t="n">
        <x:v>1.8898</x:v>
      </x:c>
      <x:c r="F3441" s="73" t="n">
        <x:v>2.3432</x:v>
      </x:c>
      <x:c r="G3441" s="74" t="n">
        <x:v>0.0001</x:v>
      </x:c>
      <x:c r="H3441" s="66" t="str">
        <x:v>祁腾蜂赢1号净值20260911.xlsx</x:v>
      </x:c>
      <x:c r="I3441" s="73" t="n">
        <x:f>MAX(I3440,F3441)</x:f>
        <x:v>2.3432</x:v>
      </x:c>
      <x:c r="J3441" s="74" t="n">
        <x:f>1-F3441/I3441</x:f>
        <x:v>0</x:v>
      </x:c>
      <x:c r="K3441" s="73" t="n">
        <x:f>MAX(K3440,F3441)</x:f>
        <x:v>2.3432</x:v>
      </x:c>
      <x:c r="L3441" s="74" t="n">
        <x:f>1-F3441/K3441</x:f>
        <x:v>0</x:v>
      </x:c>
      <x:c r="M3441" s="73" t="n">
        <x:f>MAX(M3440,F3441)</x:f>
        <x:v>2.3432</x:v>
      </x:c>
      <x:c r="N3441" s="74" t="n">
        <x:f>1-F3441/M3441</x:f>
        <x:v>0</x:v>
      </x:c>
    </x:row>
    <x:row r="3442" ht="27" customHeight="1">
      <x:c r="A3442" s="66" t="str">
        <x:v>SEV580</x:v>
      </x:c>
      <x:c r="B3442" s="66" t="str">
        <x:v>祁腾蜂赢1号</x:v>
      </x:c>
      <x:c r="C3442" s="72" t="n">
        <x:v>46064</x:v>
      </x:c>
      <x:c r="D3442" s="73" t="n">
        <x:v>1.0727</x:v>
      </x:c>
      <x:c r="E3442" s="73" t="n">
        <x:v>1.89</x:v>
      </x:c>
      <x:c r="F3442" s="73" t="n">
        <x:v>2.3436</x:v>
      </x:c>
      <x:c r="G3442" s="74" t="n">
        <x:v>0.0002</x:v>
      </x:c>
      <x:c r="H3442" s="66" t="str">
        <x:v>祁腾蜂赢1号净值20260911.xlsx</x:v>
      </x:c>
      <x:c r="I3442" s="73" t="n">
        <x:f>MAX(I3441,F3442)</x:f>
        <x:v>2.3436</x:v>
      </x:c>
      <x:c r="J3442" s="74" t="n">
        <x:f>1-F3442/I3442</x:f>
        <x:v>0</x:v>
      </x:c>
      <x:c r="K3442" s="73" t="n">
        <x:f>MAX(K3441,F3442)</x:f>
        <x:v>2.3436</x:v>
      </x:c>
      <x:c r="L3442" s="74" t="n">
        <x:f>1-F3442/K3442</x:f>
        <x:v>0</x:v>
      </x:c>
      <x:c r="M3442" s="73" t="n">
        <x:f>MAX(M3441,F3442)</x:f>
        <x:v>2.3436</x:v>
      </x:c>
      <x:c r="N3442" s="74" t="n">
        <x:f>1-F3442/M3442</x:f>
        <x:v>0</x:v>
      </x:c>
    </x:row>
    <x:row r="3443" ht="27" customHeight="1">
      <x:c r="A3443" s="66" t="str">
        <x:v>SEV580</x:v>
      </x:c>
      <x:c r="B3443" s="66" t="str">
        <x:v>祁腾蜂赢1号</x:v>
      </x:c>
      <x:c r="C3443" s="72" t="n">
        <x:v>46065</x:v>
      </x:c>
      <x:c r="D3443" s="73" t="n">
        <x:v>1.073</x:v>
      </x:c>
      <x:c r="E3443" s="73" t="n">
        <x:v>1.8903</x:v>
      </x:c>
      <x:c r="F3443" s="73" t="n">
        <x:v>2.3443</x:v>
      </x:c>
      <x:c r="G3443" s="74" t="n">
        <x:v>0.0003</x:v>
      </x:c>
      <x:c r="H3443" s="66" t="str">
        <x:v>祁腾蜂赢1号净值20260911.xlsx</x:v>
      </x:c>
      <x:c r="I3443" s="73" t="n">
        <x:f>MAX(I3442,F3443)</x:f>
        <x:v>2.3443</x:v>
      </x:c>
      <x:c r="J3443" s="74" t="n">
        <x:f>1-F3443/I3443</x:f>
        <x:v>0</x:v>
      </x:c>
      <x:c r="K3443" s="73" t="n">
        <x:f>MAX(K3442,F3443)</x:f>
        <x:v>2.3443</x:v>
      </x:c>
      <x:c r="L3443" s="74" t="n">
        <x:f>1-F3443/K3443</x:f>
        <x:v>0</x:v>
      </x:c>
      <x:c r="M3443" s="73" t="n">
        <x:f>MAX(M3442,F3443)</x:f>
        <x:v>2.3443</x:v>
      </x:c>
      <x:c r="N3443" s="74" t="n">
        <x:f>1-F3443/M3443</x:f>
        <x:v>0</x:v>
      </x:c>
    </x:row>
    <x:row r="3444" ht="27" customHeight="1">
      <x:c r="A3444" s="66" t="str">
        <x:v>SEV580</x:v>
      </x:c>
      <x:c r="B3444" s="66" t="str">
        <x:v>祁腾蜂赢1号</x:v>
      </x:c>
      <x:c r="C3444" s="72" t="n">
        <x:v>46066</x:v>
      </x:c>
      <x:c r="D3444" s="73" t="n">
        <x:v>1.0805</x:v>
      </x:c>
      <x:c r="E3444" s="73" t="n">
        <x:v>1.8978</x:v>
      </x:c>
      <x:c r="F3444" s="73" t="n">
        <x:v>2.3607</x:v>
      </x:c>
      <x:c r="G3444" s="74" t="n">
        <x:v>0.006999999999999999</x:v>
      </x:c>
      <x:c r="H3444" s="66" t="str">
        <x:v>祁腾蜂赢1号净值20260911.xlsx</x:v>
      </x:c>
      <x:c r="I3444" s="73" t="n">
        <x:f>MAX(I3443,F3444)</x:f>
        <x:v>2.3607</x:v>
      </x:c>
      <x:c r="J3444" s="74" t="n">
        <x:f>1-F3444/I3444</x:f>
        <x:v>0</x:v>
      </x:c>
      <x:c r="K3444" s="73" t="n">
        <x:f>MAX(K3443,F3444)</x:f>
        <x:v>2.3607</x:v>
      </x:c>
      <x:c r="L3444" s="74" t="n">
        <x:f>1-F3444/K3444</x:f>
        <x:v>0</x:v>
      </x:c>
      <x:c r="M3444" s="73" t="n">
        <x:f>MAX(M3443,F3444)</x:f>
        <x:v>2.3607</x:v>
      </x:c>
      <x:c r="N3444" s="74" t="n">
        <x:f>1-F3444/M3444</x:f>
        <x:v>0</x:v>
      </x:c>
    </x:row>
    <x:row r="3445" ht="27" customHeight="1">
      <x:c r="A3445" s="66" t="str">
        <x:v>SEV580</x:v>
      </x:c>
      <x:c r="B3445" s="66" t="str">
        <x:v>祁腾蜂赢1号</x:v>
      </x:c>
      <x:c r="C3445" s="72" t="n">
        <x:v>46077</x:v>
      </x:c>
      <x:c r="D3445" s="73" t="n">
        <x:v>1.0804</x:v>
      </x:c>
      <x:c r="E3445" s="73" t="n">
        <x:v>1.8977</x:v>
      </x:c>
      <x:c r="F3445" s="73" t="n">
        <x:v>2.3605</x:v>
      </x:c>
      <x:c r="G3445" s="74" t="n">
        <x:v>-0.0001</x:v>
      </x:c>
      <x:c r="H3445" s="66" t="str">
        <x:v>祁腾蜂赢1号净值20260911.xlsx</x:v>
      </x:c>
      <x:c r="I3445" s="73" t="n">
        <x:f>MAX(I3444,F3445)</x:f>
        <x:v>2.3607</x:v>
      </x:c>
      <x:c r="J3445" s="74" t="n">
        <x:f>1-F3445/I3445</x:f>
        <x:v>0.00008472063371034455</x:v>
      </x:c>
      <x:c r="K3445" s="73" t="n">
        <x:f>MAX(K3444,F3445)</x:f>
        <x:v>2.3607</x:v>
      </x:c>
      <x:c r="L3445" s="74" t="n">
        <x:f>1-F3445/K3445</x:f>
        <x:v>0.00008472063371034455</x:v>
      </x:c>
      <x:c r="M3445" s="73" t="n">
        <x:f>MAX(M3444,F3445)</x:f>
        <x:v>2.3607</x:v>
      </x:c>
      <x:c r="N3445" s="74" t="n">
        <x:f>1-F3445/M3445</x:f>
        <x:v>0.00008472063371034455</x:v>
      </x:c>
    </x:row>
    <x:row r="3446" ht="27" customHeight="1">
      <x:c r="A3446" s="66" t="str">
        <x:v>SEV580</x:v>
      </x:c>
      <x:c r="B3446" s="66" t="str">
        <x:v>祁腾蜂赢1号</x:v>
      </x:c>
      <x:c r="C3446" s="72" t="n">
        <x:v>46078</x:v>
      </x:c>
      <x:c r="D3446" s="73" t="n">
        <x:v>1.0804</x:v>
      </x:c>
      <x:c r="E3446" s="73" t="n">
        <x:v>1.8977</x:v>
      </x:c>
      <x:c r="F3446" s="73" t="n">
        <x:v>2.3605</x:v>
      </x:c>
      <x:c r="G3446" s="74" t="n">
        <x:v>0</x:v>
      </x:c>
      <x:c r="H3446" s="66" t="str">
        <x:v>祁腾蜂赢1号净值20260911.xlsx</x:v>
      </x:c>
      <x:c r="I3446" s="73" t="n">
        <x:f>MAX(I3445,F3446)</x:f>
        <x:v>2.3607</x:v>
      </x:c>
      <x:c r="J3446" s="74" t="n">
        <x:f>1-F3446/I3446</x:f>
        <x:v>0.00008472063371034455</x:v>
      </x:c>
      <x:c r="K3446" s="73" t="n">
        <x:f>MAX(K3445,F3446)</x:f>
        <x:v>2.3607</x:v>
      </x:c>
      <x:c r="L3446" s="74" t="n">
        <x:f>1-F3446/K3446</x:f>
        <x:v>0.00008472063371034455</x:v>
      </x:c>
      <x:c r="M3446" s="73" t="n">
        <x:f>MAX(M3445,F3446)</x:f>
        <x:v>2.3607</x:v>
      </x:c>
      <x:c r="N3446" s="74" t="n">
        <x:f>1-F3446/M3446</x:f>
        <x:v>0.00008472063371034455</x:v>
      </x:c>
    </x:row>
    <x:row r="3447" ht="27" customHeight="1">
      <x:c r="A3447" s="66" t="str">
        <x:v>SEV580</x:v>
      </x:c>
      <x:c r="B3447" s="66" t="str">
        <x:v>祁腾蜂赢1号</x:v>
      </x:c>
      <x:c r="C3447" s="72" t="n">
        <x:v>46079</x:v>
      </x:c>
      <x:c r="D3447" s="73" t="n">
        <x:v>1.0806</x:v>
      </x:c>
      <x:c r="E3447" s="73" t="n">
        <x:v>1.8979</x:v>
      </x:c>
      <x:c r="F3447" s="73" t="n">
        <x:v>2.3609</x:v>
      </x:c>
      <x:c r="G3447" s="74" t="n">
        <x:v>0.0002</x:v>
      </x:c>
      <x:c r="H3447" s="66" t="str">
        <x:v>祁腾蜂赢1号净值20260911.xlsx</x:v>
      </x:c>
      <x:c r="I3447" s="73" t="n">
        <x:f>MAX(I3446,F3447)</x:f>
        <x:v>2.3609</x:v>
      </x:c>
      <x:c r="J3447" s="74" t="n">
        <x:f>1-F3447/I3447</x:f>
        <x:v>0</x:v>
      </x:c>
      <x:c r="K3447" s="73" t="n">
        <x:f>MAX(K3446,F3447)</x:f>
        <x:v>2.3609</x:v>
      </x:c>
      <x:c r="L3447" s="74" t="n">
        <x:f>1-F3447/K3447</x:f>
        <x:v>0</x:v>
      </x:c>
      <x:c r="M3447" s="73" t="n">
        <x:f>MAX(M3446,F3447)</x:f>
        <x:v>2.3609</x:v>
      </x:c>
      <x:c r="N3447" s="74" t="n">
        <x:f>1-F3447/M3447</x:f>
        <x:v>0</x:v>
      </x:c>
    </x:row>
    <x:row r="3448" ht="27" customHeight="1">
      <x:c r="A3448" s="66" t="str">
        <x:v>SEV580</x:v>
      </x:c>
      <x:c r="B3448" s="66" t="str">
        <x:v>祁腾蜂赢1号</x:v>
      </x:c>
      <x:c r="C3448" s="72" t="n">
        <x:v>46080</x:v>
      </x:c>
      <x:c r="D3448" s="73" t="n">
        <x:v>1.0817</x:v>
      </x:c>
      <x:c r="E3448" s="73" t="n">
        <x:v>1.899</x:v>
      </x:c>
      <x:c r="F3448" s="73" t="n">
        <x:v>2.3633</x:v>
      </x:c>
      <x:c r="G3448" s="74" t="n">
        <x:v>0.001</x:v>
      </x:c>
      <x:c r="H3448" s="66" t="str">
        <x:v>祁腾蜂赢1号净值20260911.xlsx</x:v>
      </x:c>
      <x:c r="I3448" s="73" t="n">
        <x:f>MAX(I3447,F3448)</x:f>
        <x:v>2.3633</x:v>
      </x:c>
      <x:c r="J3448" s="74" t="n">
        <x:f>1-F3448/I3448</x:f>
        <x:v>0</x:v>
      </x:c>
      <x:c r="K3448" s="73" t="n">
        <x:f>MAX(K3447,F3448)</x:f>
        <x:v>2.3633</x:v>
      </x:c>
      <x:c r="L3448" s="74" t="n">
        <x:f>1-F3448/K3448</x:f>
        <x:v>0</x:v>
      </x:c>
      <x:c r="M3448" s="73" t="n">
        <x:f>MAX(M3447,F3448)</x:f>
        <x:v>2.3633</x:v>
      </x:c>
      <x:c r="N3448" s="74" t="n">
        <x:f>1-F3448/M3448</x:f>
        <x:v>0</x:v>
      </x:c>
    </x:row>
    <x:row r="3449" ht="27" customHeight="1">
      <x:c r="A3449" s="66" t="str">
        <x:v>SEV580</x:v>
      </x:c>
      <x:c r="B3449" s="66" t="str">
        <x:v>祁腾蜂赢1号</x:v>
      </x:c>
      <x:c r="C3449" s="72" t="n">
        <x:v>46083</x:v>
      </x:c>
      <x:c r="D3449" s="73" t="n">
        <x:v>1.0823</x:v>
      </x:c>
      <x:c r="E3449" s="73" t="n">
        <x:v>1.8996</x:v>
      </x:c>
      <x:c r="F3449" s="73" t="n">
        <x:v>2.3646</x:v>
      </x:c>
      <x:c r="G3449" s="74" t="n">
        <x:v>0.0006</x:v>
      </x:c>
      <x:c r="H3449" s="66" t="str">
        <x:v>祁腾蜂赢1号净值20260911.xlsx</x:v>
      </x:c>
      <x:c r="I3449" s="73" t="n">
        <x:f>MAX(I3448,F3449)</x:f>
        <x:v>2.3646</x:v>
      </x:c>
      <x:c r="J3449" s="74" t="n">
        <x:f>1-F3449/I3449</x:f>
        <x:v>0</x:v>
      </x:c>
      <x:c r="K3449" s="73" t="n">
        <x:f>MAX(K3448,F3449)</x:f>
        <x:v>2.3646</x:v>
      </x:c>
      <x:c r="L3449" s="74" t="n">
        <x:f>1-F3449/K3449</x:f>
        <x:v>0</x:v>
      </x:c>
      <x:c r="M3449" s="73" t="n">
        <x:f>MAX(M3448,F3449)</x:f>
        <x:v>2.3646</x:v>
      </x:c>
      <x:c r="N3449" s="74" t="n">
        <x:f>1-F3449/M3449</x:f>
        <x:v>0</x:v>
      </x:c>
    </x:row>
    <x:row r="3450" ht="27" customHeight="1">
      <x:c r="A3450" s="66" t="str">
        <x:v>SEV580</x:v>
      </x:c>
      <x:c r="B3450" s="66" t="str">
        <x:v>祁腾蜂赢1号</x:v>
      </x:c>
      <x:c r="C3450" s="72" t="n">
        <x:v>46084</x:v>
      </x:c>
      <x:c r="D3450" s="73" t="n">
        <x:v>1.0829</x:v>
      </x:c>
      <x:c r="E3450" s="73" t="n">
        <x:v>1.9002</x:v>
      </x:c>
      <x:c r="F3450" s="73" t="n">
        <x:v>2.3659</x:v>
      </x:c>
      <x:c r="G3450" s="74" t="n">
        <x:v>0.0006</x:v>
      </x:c>
      <x:c r="H3450" s="66" t="str">
        <x:v>祁腾蜂赢1号净值20260911.xlsx</x:v>
      </x:c>
      <x:c r="I3450" s="73" t="n">
        <x:f>MAX(I3449,F3450)</x:f>
        <x:v>2.3659</x:v>
      </x:c>
      <x:c r="J3450" s="74" t="n">
        <x:f>1-F3450/I3450</x:f>
        <x:v>0</x:v>
      </x:c>
      <x:c r="K3450" s="73" t="n">
        <x:f>MAX(K3449,F3450)</x:f>
        <x:v>2.3659</x:v>
      </x:c>
      <x:c r="L3450" s="74" t="n">
        <x:f>1-F3450/K3450</x:f>
        <x:v>0</x:v>
      </x:c>
      <x:c r="M3450" s="73" t="n">
        <x:f>MAX(M3449,F3450)</x:f>
        <x:v>2.3659</x:v>
      </x:c>
      <x:c r="N3450" s="74" t="n">
        <x:f>1-F3450/M3450</x:f>
        <x:v>0</x:v>
      </x:c>
    </x:row>
    <x:row r="3451" ht="27" customHeight="1">
      <x:c r="A3451" s="66" t="str">
        <x:v>SEV580</x:v>
      </x:c>
      <x:c r="B3451" s="66" t="str">
        <x:v>祁腾蜂赢1号</x:v>
      </x:c>
      <x:c r="C3451" s="72" t="n">
        <x:v>46085</x:v>
      </x:c>
      <x:c r="D3451" s="73" t="n">
        <x:v>1.0843</x:v>
      </x:c>
      <x:c r="E3451" s="73" t="n">
        <x:v>1.9016</x:v>
      </x:c>
      <x:c r="F3451" s="73" t="n">
        <x:v>2.369</x:v>
      </x:c>
      <x:c r="G3451" s="74" t="n">
        <x:v>0.0013</x:v>
      </x:c>
      <x:c r="H3451" s="66" t="str">
        <x:v>祁腾蜂赢1号净值20260911.xlsx</x:v>
      </x:c>
      <x:c r="I3451" s="73" t="n">
        <x:f>MAX(I3450,F3451)</x:f>
        <x:v>2.369</x:v>
      </x:c>
      <x:c r="J3451" s="74" t="n">
        <x:f>1-F3451/I3451</x:f>
        <x:v>0</x:v>
      </x:c>
      <x:c r="K3451" s="73" t="n">
        <x:f>MAX(K3450,F3451)</x:f>
        <x:v>2.369</x:v>
      </x:c>
      <x:c r="L3451" s="74" t="n">
        <x:f>1-F3451/K3451</x:f>
        <x:v>0</x:v>
      </x:c>
      <x:c r="M3451" s="73" t="n">
        <x:f>MAX(M3450,F3451)</x:f>
        <x:v>2.369</x:v>
      </x:c>
      <x:c r="N3451" s="74" t="n">
        <x:f>1-F3451/M3451</x:f>
        <x:v>0</x:v>
      </x:c>
    </x:row>
    <x:row r="3452" ht="27" customHeight="1">
      <x:c r="A3452" s="66" t="str">
        <x:v>SEV580</x:v>
      </x:c>
      <x:c r="B3452" s="66" t="str">
        <x:v>祁腾蜂赢1号</x:v>
      </x:c>
      <x:c r="C3452" s="72" t="n">
        <x:v>46086</x:v>
      </x:c>
      <x:c r="D3452" s="73" t="n">
        <x:v>1.0834</x:v>
      </x:c>
      <x:c r="E3452" s="73" t="n">
        <x:v>1.9007</x:v>
      </x:c>
      <x:c r="F3452" s="73" t="n">
        <x:v>2.367</x:v>
      </x:c>
      <x:c r="G3452" s="74" t="n">
        <x:v>-0.0008</x:v>
      </x:c>
      <x:c r="H3452" s="66" t="str">
        <x:v>祁腾蜂赢1号净值20260911.xlsx</x:v>
      </x:c>
      <x:c r="I3452" s="73" t="n">
        <x:f>MAX(I3451,F3452)</x:f>
        <x:v>2.369</x:v>
      </x:c>
      <x:c r="J3452" s="74" t="n">
        <x:f>1-F3452/I3452</x:f>
        <x:v>0.000844238075137338</x:v>
      </x:c>
      <x:c r="K3452" s="73" t="n">
        <x:f>MAX(K3451,F3452)</x:f>
        <x:v>2.369</x:v>
      </x:c>
      <x:c r="L3452" s="74" t="n">
        <x:f>1-F3452/K3452</x:f>
        <x:v>0.000844238075137338</x:v>
      </x:c>
      <x:c r="M3452" s="73" t="n">
        <x:f>MAX(M3451,F3452)</x:f>
        <x:v>2.369</x:v>
      </x:c>
      <x:c r="N3452" s="74" t="n">
        <x:f>1-F3452/M3452</x:f>
        <x:v>0.000844238075137338</x:v>
      </x:c>
    </x:row>
    <x:row r="3453" ht="27" customHeight="1">
      <x:c r="A3453" s="66" t="str">
        <x:v>SEV580</x:v>
      </x:c>
      <x:c r="B3453" s="66" t="str">
        <x:v>祁腾蜂赢1号</x:v>
      </x:c>
      <x:c r="C3453" s="72" t="n">
        <x:v>46087</x:v>
      </x:c>
      <x:c r="D3453" s="73" t="n">
        <x:v>1.0839</x:v>
      </x:c>
      <x:c r="E3453" s="73" t="n">
        <x:v>1.9012</x:v>
      </x:c>
      <x:c r="F3453" s="73" t="n">
        <x:v>2.3681</x:v>
      </x:c>
      <x:c r="G3453" s="74" t="n">
        <x:v>0.0005</x:v>
      </x:c>
      <x:c r="H3453" s="66" t="str">
        <x:v>祁腾蜂赢1号净值20260911.xlsx</x:v>
      </x:c>
      <x:c r="I3453" s="73" t="n">
        <x:f>MAX(I3452,F3453)</x:f>
        <x:v>2.369</x:v>
      </x:c>
      <x:c r="J3453" s="74" t="n">
        <x:f>1-F3453/I3453</x:f>
        <x:v>0.0003799071338117521</x:v>
      </x:c>
      <x:c r="K3453" s="73" t="n">
        <x:f>MAX(K3452,F3453)</x:f>
        <x:v>2.369</x:v>
      </x:c>
      <x:c r="L3453" s="74" t="n">
        <x:f>1-F3453/K3453</x:f>
        <x:v>0.0003799071338117521</x:v>
      </x:c>
      <x:c r="M3453" s="73" t="n">
        <x:f>MAX(M3452,F3453)</x:f>
        <x:v>2.369</x:v>
      </x:c>
      <x:c r="N3453" s="74" t="n">
        <x:f>1-F3453/M3453</x:f>
        <x:v>0.0003799071338117521</x:v>
      </x:c>
    </x:row>
    <x:row r="3454" ht="27" customHeight="1">
      <x:c r="A3454" s="66" t="str">
        <x:v>SEV580</x:v>
      </x:c>
      <x:c r="B3454" s="66" t="str">
        <x:v>祁腾蜂赢1号</x:v>
      </x:c>
      <x:c r="C3454" s="72" t="n">
        <x:v>46090</x:v>
      </x:c>
      <x:c r="D3454" s="73" t="n">
        <x:v>1.0885</x:v>
      </x:c>
      <x:c r="E3454" s="73" t="n">
        <x:v>1.9058</x:v>
      </x:c>
      <x:c r="F3454" s="73" t="n">
        <x:v>2.3782</x:v>
      </x:c>
      <x:c r="G3454" s="74" t="n">
        <x:v>0.0042</x:v>
      </x:c>
      <x:c r="H3454" s="66" t="str">
        <x:v>祁腾蜂赢1号净值20260911.xlsx</x:v>
      </x:c>
      <x:c r="I3454" s="73" t="n">
        <x:f>MAX(I3453,F3454)</x:f>
        <x:v>2.3782</x:v>
      </x:c>
      <x:c r="J3454" s="74" t="n">
        <x:f>1-F3454/I3454</x:f>
        <x:v>0</x:v>
      </x:c>
      <x:c r="K3454" s="73" t="n">
        <x:f>MAX(K3453,F3454)</x:f>
        <x:v>2.3782</x:v>
      </x:c>
      <x:c r="L3454" s="74" t="n">
        <x:f>1-F3454/K3454</x:f>
        <x:v>0</x:v>
      </x:c>
      <x:c r="M3454" s="73" t="n">
        <x:f>MAX(M3453,F3454)</x:f>
        <x:v>2.3782</x:v>
      </x:c>
      <x:c r="N3454" s="74" t="n">
        <x:f>1-F3454/M3454</x:f>
        <x:v>0</x:v>
      </x:c>
    </x:row>
    <x:row r="3455" ht="27" customHeight="1">
      <x:c r="A3455" s="66" t="str">
        <x:v>SEV580</x:v>
      </x:c>
      <x:c r="B3455" s="66" t="str">
        <x:v>祁腾蜂赢1号</x:v>
      </x:c>
      <x:c r="C3455" s="72" t="n">
        <x:v>46091</x:v>
      </x:c>
      <x:c r="D3455" s="73" t="n">
        <x:v>1.0893</x:v>
      </x:c>
      <x:c r="E3455" s="73" t="n">
        <x:v>1.9066</x:v>
      </x:c>
      <x:c r="F3455" s="73" t="n">
        <x:v>2.3799</x:v>
      </x:c>
      <x:c r="G3455" s="74" t="n">
        <x:v>0.0007000000000000001</x:v>
      </x:c>
      <x:c r="H3455" s="66" t="str">
        <x:v>祁腾蜂赢1号净值20260911.xlsx</x:v>
      </x:c>
      <x:c r="I3455" s="73" t="n">
        <x:f>MAX(I3454,F3455)</x:f>
        <x:v>2.3799</x:v>
      </x:c>
      <x:c r="J3455" s="74" t="n">
        <x:f>1-F3455/I3455</x:f>
        <x:v>0</x:v>
      </x:c>
      <x:c r="K3455" s="73" t="n">
        <x:f>MAX(K3454,F3455)</x:f>
        <x:v>2.3799</x:v>
      </x:c>
      <x:c r="L3455" s="74" t="n">
        <x:f>1-F3455/K3455</x:f>
        <x:v>0</x:v>
      </x:c>
      <x:c r="M3455" s="73" t="n">
        <x:f>MAX(M3454,F3455)</x:f>
        <x:v>2.3799</x:v>
      </x:c>
      <x:c r="N3455" s="74" t="n">
        <x:f>1-F3455/M3455</x:f>
        <x:v>0</x:v>
      </x:c>
    </x:row>
    <x:row r="3456" ht="27" customHeight="1">
      <x:c r="A3456" s="66" t="str">
        <x:v>SEV580</x:v>
      </x:c>
      <x:c r="B3456" s="66" t="str">
        <x:v>祁腾蜂赢1号</x:v>
      </x:c>
      <x:c r="C3456" s="72" t="n">
        <x:v>46092</x:v>
      </x:c>
      <x:c r="D3456" s="73" t="n">
        <x:v>1.0888</x:v>
      </x:c>
      <x:c r="E3456" s="73" t="n">
        <x:v>1.9061</x:v>
      </x:c>
      <x:c r="F3456" s="73" t="n">
        <x:v>2.3788</x:v>
      </x:c>
      <x:c r="G3456" s="74" t="n">
        <x:v>-0.0005</x:v>
      </x:c>
      <x:c r="H3456" s="66" t="str">
        <x:v>祁腾蜂赢1号净值20260911.xlsx</x:v>
      </x:c>
      <x:c r="I3456" s="73" t="n">
        <x:f>MAX(I3455,F3456)</x:f>
        <x:v>2.3799</x:v>
      </x:c>
      <x:c r="J3456" s="74" t="n">
        <x:f>1-F3456/I3456</x:f>
        <x:v>0.0004622042942981075</x:v>
      </x:c>
      <x:c r="K3456" s="73" t="n">
        <x:f>MAX(K3455,F3456)</x:f>
        <x:v>2.3799</x:v>
      </x:c>
      <x:c r="L3456" s="74" t="n">
        <x:f>1-F3456/K3456</x:f>
        <x:v>0.0004622042942981075</x:v>
      </x:c>
      <x:c r="M3456" s="73" t="n">
        <x:f>MAX(M3455,F3456)</x:f>
        <x:v>2.3799</x:v>
      </x:c>
      <x:c r="N3456" s="74" t="n">
        <x:f>1-F3456/M3456</x:f>
        <x:v>0.0004622042942981075</x:v>
      </x:c>
    </x:row>
    <x:row r="3457" ht="27" customHeight="1">
      <x:c r="A3457" s="66" t="str">
        <x:v>SEV580</x:v>
      </x:c>
      <x:c r="B3457" s="66" t="str">
        <x:v>祁腾蜂赢1号</x:v>
      </x:c>
      <x:c r="C3457" s="72" t="n">
        <x:v>46093</x:v>
      </x:c>
      <x:c r="D3457" s="73" t="n">
        <x:v>1.0912</x:v>
      </x:c>
      <x:c r="E3457" s="73" t="n">
        <x:v>1.9085</x:v>
      </x:c>
      <x:c r="F3457" s="73" t="n">
        <x:v>2.384</x:v>
      </x:c>
      <x:c r="G3457" s="74" t="n">
        <x:v>0.0022</x:v>
      </x:c>
      <x:c r="H3457" s="66" t="str">
        <x:v>祁腾蜂赢1号净值20260911.xlsx</x:v>
      </x:c>
      <x:c r="I3457" s="73" t="n">
        <x:f>MAX(I3456,F3457)</x:f>
        <x:v>2.384</x:v>
      </x:c>
      <x:c r="J3457" s="74" t="n">
        <x:f>1-F3457/I3457</x:f>
        <x:v>0</x:v>
      </x:c>
      <x:c r="K3457" s="73" t="n">
        <x:f>MAX(K3456,F3457)</x:f>
        <x:v>2.384</x:v>
      </x:c>
      <x:c r="L3457" s="74" t="n">
        <x:f>1-F3457/K3457</x:f>
        <x:v>0</x:v>
      </x:c>
      <x:c r="M3457" s="73" t="n">
        <x:f>MAX(M3456,F3457)</x:f>
        <x:v>2.384</x:v>
      </x:c>
      <x:c r="N3457" s="74" t="n">
        <x:f>1-F3457/M3457</x:f>
        <x:v>0</x:v>
      </x:c>
    </x:row>
    <x:row r="3458" ht="27" customHeight="1">
      <x:c r="A3458" s="66" t="str">
        <x:v>SEV580</x:v>
      </x:c>
      <x:c r="B3458" s="66" t="str">
        <x:v>祁腾蜂赢1号</x:v>
      </x:c>
      <x:c r="C3458" s="72" t="n">
        <x:v>46094</x:v>
      </x:c>
      <x:c r="D3458" s="73" t="n">
        <x:v>1.0915</x:v>
      </x:c>
      <x:c r="E3458" s="73" t="n">
        <x:v>1.9088</x:v>
      </x:c>
      <x:c r="F3458" s="73" t="n">
        <x:v>2.3847</x:v>
      </x:c>
      <x:c r="G3458" s="74" t="n">
        <x:v>0.0003</x:v>
      </x:c>
      <x:c r="H3458" s="66" t="str">
        <x:v>祁腾蜂赢1号净值20260911.xlsx</x:v>
      </x:c>
      <x:c r="I3458" s="73" t="n">
        <x:f>MAX(I3457,F3458)</x:f>
        <x:v>2.3847</x:v>
      </x:c>
      <x:c r="J3458" s="74" t="n">
        <x:f>1-F3458/I3458</x:f>
        <x:v>0</x:v>
      </x:c>
      <x:c r="K3458" s="73" t="n">
        <x:f>MAX(K3457,F3458)</x:f>
        <x:v>2.3847</x:v>
      </x:c>
      <x:c r="L3458" s="74" t="n">
        <x:f>1-F3458/K3458</x:f>
        <x:v>0</x:v>
      </x:c>
      <x:c r="M3458" s="73" t="n">
        <x:f>MAX(M3457,F3458)</x:f>
        <x:v>2.3847</x:v>
      </x:c>
      <x:c r="N3458" s="74" t="n">
        <x:f>1-F3458/M3458</x:f>
        <x:v>0</x:v>
      </x:c>
    </x:row>
    <x:row r="3459" ht="27" customHeight="1">
      <x:c r="A3459" s="66" t="str">
        <x:v>SEV580</x:v>
      </x:c>
      <x:c r="B3459" s="66" t="str">
        <x:v>祁腾蜂赢1号</x:v>
      </x:c>
      <x:c r="C3459" s="72" t="n">
        <x:v>46097</x:v>
      </x:c>
      <x:c r="D3459" s="73" t="n">
        <x:v>1.0931</x:v>
      </x:c>
      <x:c r="E3459" s="73" t="n">
        <x:v>1.9104</x:v>
      </x:c>
      <x:c r="F3459" s="73" t="n">
        <x:v>2.3882</x:v>
      </x:c>
      <x:c r="G3459" s="74" t="n">
        <x:v>0.0015</x:v>
      </x:c>
      <x:c r="H3459" s="66" t="str">
        <x:v>祁腾蜂赢1号净值20260911.xlsx</x:v>
      </x:c>
      <x:c r="I3459" s="73" t="n">
        <x:f>MAX(I3458,F3459)</x:f>
        <x:v>2.3882</x:v>
      </x:c>
      <x:c r="J3459" s="74" t="n">
        <x:f>1-F3459/I3459</x:f>
        <x:v>0</x:v>
      </x:c>
      <x:c r="K3459" s="73" t="n">
        <x:f>MAX(K3458,F3459)</x:f>
        <x:v>2.3882</x:v>
      </x:c>
      <x:c r="L3459" s="74" t="n">
        <x:f>1-F3459/K3459</x:f>
        <x:v>0</x:v>
      </x:c>
      <x:c r="M3459" s="73" t="n">
        <x:f>MAX(M3458,F3459)</x:f>
        <x:v>2.3882</x:v>
      </x:c>
      <x:c r="N3459" s="74" t="n">
        <x:f>1-F3459/M3459</x:f>
        <x:v>0</x:v>
      </x:c>
    </x:row>
    <x:row r="3460" ht="27" customHeight="1">
      <x:c r="A3460" s="66" t="str">
        <x:v>SEV580</x:v>
      </x:c>
      <x:c r="B3460" s="66" t="str">
        <x:v>祁腾蜂赢1号</x:v>
      </x:c>
      <x:c r="C3460" s="72" t="n">
        <x:v>46098</x:v>
      </x:c>
      <x:c r="D3460" s="73" t="n">
        <x:v>1.0934</x:v>
      </x:c>
      <x:c r="E3460" s="73" t="n">
        <x:v>1.9107</x:v>
      </x:c>
      <x:c r="F3460" s="73" t="n">
        <x:v>2.3889</x:v>
      </x:c>
      <x:c r="G3460" s="74" t="n">
        <x:v>0.0003</x:v>
      </x:c>
      <x:c r="H3460" s="66" t="str">
        <x:v>祁腾蜂赢1号净值20260911.xlsx</x:v>
      </x:c>
      <x:c r="I3460" s="73" t="n">
        <x:f>MAX(I3459,F3460)</x:f>
        <x:v>2.3889</x:v>
      </x:c>
      <x:c r="J3460" s="74" t="n">
        <x:f>1-F3460/I3460</x:f>
        <x:v>0</x:v>
      </x:c>
      <x:c r="K3460" s="73" t="n">
        <x:f>MAX(K3459,F3460)</x:f>
        <x:v>2.3889</x:v>
      </x:c>
      <x:c r="L3460" s="74" t="n">
        <x:f>1-F3460/K3460</x:f>
        <x:v>0</x:v>
      </x:c>
      <x:c r="M3460" s="73" t="n">
        <x:f>MAX(M3459,F3460)</x:f>
        <x:v>2.3889</x:v>
      </x:c>
      <x:c r="N3460" s="74" t="n">
        <x:f>1-F3460/M3460</x:f>
        <x:v>0</x:v>
      </x:c>
    </x:row>
    <x:row r="3461" ht="27" customHeight="1">
      <x:c r="A3461" s="66" t="str">
        <x:v>SEV580</x:v>
      </x:c>
      <x:c r="B3461" s="66" t="str">
        <x:v>祁腾蜂赢1号</x:v>
      </x:c>
      <x:c r="C3461" s="72" t="n">
        <x:v>46099</x:v>
      </x:c>
      <x:c r="D3461" s="73" t="n">
        <x:v>1.0947</x:v>
      </x:c>
      <x:c r="E3461" s="73" t="n">
        <x:v>1.912</x:v>
      </x:c>
      <x:c r="F3461" s="73" t="n">
        <x:v>2.3917</x:v>
      </x:c>
      <x:c r="G3461" s="74" t="n">
        <x:v>0.0012</x:v>
      </x:c>
      <x:c r="H3461" s="66" t="str">
        <x:v>祁腾蜂赢1号净值20260911.xlsx</x:v>
      </x:c>
      <x:c r="I3461" s="73" t="n">
        <x:f>MAX(I3460,F3461)</x:f>
        <x:v>2.3917</x:v>
      </x:c>
      <x:c r="J3461" s="74" t="n">
        <x:f>1-F3461/I3461</x:f>
        <x:v>0</x:v>
      </x:c>
      <x:c r="K3461" s="73" t="n">
        <x:f>MAX(K3460,F3461)</x:f>
        <x:v>2.3917</x:v>
      </x:c>
      <x:c r="L3461" s="74" t="n">
        <x:f>1-F3461/K3461</x:f>
        <x:v>0</x:v>
      </x:c>
      <x:c r="M3461" s="73" t="n">
        <x:f>MAX(M3460,F3461)</x:f>
        <x:v>2.3917</x:v>
      </x:c>
      <x:c r="N3461" s="74" t="n">
        <x:f>1-F3461/M3461</x:f>
        <x:v>0</x:v>
      </x:c>
    </x:row>
    <x:row r="3462" ht="27" customHeight="1">
      <x:c r="A3462" s="66" t="str">
        <x:v>SEV580</x:v>
      </x:c>
      <x:c r="B3462" s="66" t="str">
        <x:v>祁腾蜂赢1号</x:v>
      </x:c>
      <x:c r="C3462" s="72" t="n">
        <x:v>46100</x:v>
      </x:c>
      <x:c r="D3462" s="73" t="n">
        <x:v>1.1004</x:v>
      </x:c>
      <x:c r="E3462" s="73" t="n">
        <x:v>1.9177</x:v>
      </x:c>
      <x:c r="F3462" s="73" t="n">
        <x:v>2.4042</x:v>
      </x:c>
      <x:c r="G3462" s="74" t="n">
        <x:v>0.0052</x:v>
      </x:c>
      <x:c r="H3462" s="66" t="str">
        <x:v>祁腾蜂赢1号净值20260911.xlsx</x:v>
      </x:c>
      <x:c r="I3462" s="73" t="n">
        <x:f>MAX(I3461,F3462)</x:f>
        <x:v>2.4042</x:v>
      </x:c>
      <x:c r="J3462" s="74" t="n">
        <x:f>1-F3462/I3462</x:f>
        <x:v>0</x:v>
      </x:c>
      <x:c r="K3462" s="73" t="n">
        <x:f>MAX(K3461,F3462)</x:f>
        <x:v>2.4042</x:v>
      </x:c>
      <x:c r="L3462" s="74" t="n">
        <x:f>1-F3462/K3462</x:f>
        <x:v>0</x:v>
      </x:c>
      <x:c r="M3462" s="73" t="n">
        <x:f>MAX(M3461,F3462)</x:f>
        <x:v>2.4042</x:v>
      </x:c>
      <x:c r="N3462" s="74" t="n">
        <x:f>1-F3462/M3462</x:f>
        <x:v>0</x:v>
      </x:c>
    </x:row>
    <x:row r="3463" ht="27" customHeight="1">
      <x:c r="A3463" s="66" t="str">
        <x:v>SEV580</x:v>
      </x:c>
      <x:c r="B3463" s="66" t="str">
        <x:v>祁腾蜂赢1号</x:v>
      </x:c>
      <x:c r="C3463" s="72" t="n">
        <x:v>46101</x:v>
      </x:c>
      <x:c r="D3463" s="73" t="n">
        <x:v>1.1027</x:v>
      </x:c>
      <x:c r="E3463" s="73" t="n">
        <x:v>1.92</x:v>
      </x:c>
      <x:c r="F3463" s="73" t="n">
        <x:v>2.4092</x:v>
      </x:c>
      <x:c r="G3463" s="74" t="n">
        <x:v>0.0021</x:v>
      </x:c>
      <x:c r="H3463" s="66" t="str">
        <x:v>祁腾蜂赢1号净值20260911.xlsx</x:v>
      </x:c>
      <x:c r="I3463" s="73" t="n">
        <x:f>MAX(I3462,F3463)</x:f>
        <x:v>2.4092</x:v>
      </x:c>
      <x:c r="J3463" s="74" t="n">
        <x:f>1-F3463/I3463</x:f>
        <x:v>0</x:v>
      </x:c>
      <x:c r="K3463" s="73" t="n">
        <x:f>MAX(K3462,F3463)</x:f>
        <x:v>2.4092</x:v>
      </x:c>
      <x:c r="L3463" s="74" t="n">
        <x:f>1-F3463/K3463</x:f>
        <x:v>0</x:v>
      </x:c>
      <x:c r="M3463" s="73" t="n">
        <x:f>MAX(M3462,F3463)</x:f>
        <x:v>2.4092</x:v>
      </x:c>
      <x:c r="N3463" s="74" t="n">
        <x:f>1-F3463/M3463</x:f>
        <x:v>0</x:v>
      </x:c>
    </x:row>
    <x:row r="3464" ht="27" customHeight="1">
      <x:c r="A3464" s="66" t="str">
        <x:v>SEV580</x:v>
      </x:c>
      <x:c r="B3464" s="66" t="str">
        <x:v>祁腾蜂赢1号</x:v>
      </x:c>
      <x:c r="C3464" s="72" t="n">
        <x:v>46104</x:v>
      </x:c>
      <x:c r="D3464" s="73" t="n">
        <x:v>1.1067</x:v>
      </x:c>
      <x:c r="E3464" s="73" t="n">
        <x:v>1.924</x:v>
      </x:c>
      <x:c r="F3464" s="73" t="n">
        <x:v>2.4179</x:v>
      </x:c>
      <x:c r="G3464" s="74" t="n">
        <x:v>0.0036</x:v>
      </x:c>
      <x:c r="H3464" s="66" t="str">
        <x:v>祁腾蜂赢1号净值20260911.xlsx</x:v>
      </x:c>
      <x:c r="I3464" s="73" t="n">
        <x:f>MAX(I3463,F3464)</x:f>
        <x:v>2.4179</x:v>
      </x:c>
      <x:c r="J3464" s="74" t="n">
        <x:f>1-F3464/I3464</x:f>
        <x:v>0</x:v>
      </x:c>
      <x:c r="K3464" s="73" t="n">
        <x:f>MAX(K3463,F3464)</x:f>
        <x:v>2.4179</x:v>
      </x:c>
      <x:c r="L3464" s="74" t="n">
        <x:f>1-F3464/K3464</x:f>
        <x:v>0</x:v>
      </x:c>
      <x:c r="M3464" s="73" t="n">
        <x:f>MAX(M3463,F3464)</x:f>
        <x:v>2.4179</x:v>
      </x:c>
      <x:c r="N3464" s="74" t="n">
        <x:f>1-F3464/M3464</x:f>
        <x:v>0</x:v>
      </x:c>
    </x:row>
    <x:row r="3465" ht="27" customHeight="1">
      <x:c r="A3465" s="66" t="str">
        <x:v>SEV580</x:v>
      </x:c>
      <x:c r="B3465" s="66" t="str">
        <x:v>祁腾蜂赢1号</x:v>
      </x:c>
      <x:c r="C3465" s="72" t="n">
        <x:v>46105</x:v>
      </x:c>
      <x:c r="D3465" s="73" t="n">
        <x:v>1.1078</x:v>
      </x:c>
      <x:c r="E3465" s="73" t="n">
        <x:v>1.9251</x:v>
      </x:c>
      <x:c r="F3465" s="73" t="n">
        <x:v>2.4203</x:v>
      </x:c>
      <x:c r="G3465" s="74" t="n">
        <x:v>0.001</x:v>
      </x:c>
      <x:c r="H3465" s="66" t="str">
        <x:v>祁腾蜂赢1号净值20260911.xlsx</x:v>
      </x:c>
      <x:c r="I3465" s="73" t="n">
        <x:f>MAX(I3464,F3465)</x:f>
        <x:v>2.4203</x:v>
      </x:c>
      <x:c r="J3465" s="74" t="n">
        <x:f>1-F3465/I3465</x:f>
        <x:v>0</x:v>
      </x:c>
      <x:c r="K3465" s="73" t="n">
        <x:f>MAX(K3464,F3465)</x:f>
        <x:v>2.4203</x:v>
      </x:c>
      <x:c r="L3465" s="74" t="n">
        <x:f>1-F3465/K3465</x:f>
        <x:v>0</x:v>
      </x:c>
      <x:c r="M3465" s="73" t="n">
        <x:f>MAX(M3464,F3465)</x:f>
        <x:v>2.4203</x:v>
      </x:c>
      <x:c r="N3465" s="74" t="n">
        <x:f>1-F3465/M3465</x:f>
        <x:v>0</x:v>
      </x:c>
    </x:row>
    <x:row r="3466" ht="27" customHeight="1">
      <x:c r="A3466" s="66" t="str">
        <x:v>SEV580</x:v>
      </x:c>
      <x:c r="B3466" s="66" t="str">
        <x:v>祁腾蜂赢1号</x:v>
      </x:c>
      <x:c r="C3466" s="72" t="n">
        <x:v>46106</x:v>
      </x:c>
      <x:c r="D3466" s="73" t="n">
        <x:v>1.1077</x:v>
      </x:c>
      <x:c r="E3466" s="73" t="n">
        <x:v>1.925</x:v>
      </x:c>
      <x:c r="F3466" s="73" t="n">
        <x:v>2.4201</x:v>
      </x:c>
      <x:c r="G3466" s="74" t="n">
        <x:v>-0.0001</x:v>
      </x:c>
      <x:c r="H3466" s="66" t="str">
        <x:v>祁腾蜂赢1号净值20260911.xlsx</x:v>
      </x:c>
      <x:c r="I3466" s="73" t="n">
        <x:f>MAX(I3465,F3466)</x:f>
        <x:v>2.4203</x:v>
      </x:c>
      <x:c r="J3466" s="74" t="n">
        <x:f>1-F3466/I3466</x:f>
        <x:v>0.0000826343841672239</x:v>
      </x:c>
      <x:c r="K3466" s="73" t="n">
        <x:f>MAX(K3465,F3466)</x:f>
        <x:v>2.4203</x:v>
      </x:c>
      <x:c r="L3466" s="74" t="n">
        <x:f>1-F3466/K3466</x:f>
        <x:v>0.0000826343841672239</x:v>
      </x:c>
      <x:c r="M3466" s="73" t="n">
        <x:f>MAX(M3465,F3466)</x:f>
        <x:v>2.4203</x:v>
      </x:c>
      <x:c r="N3466" s="74" t="n">
        <x:f>1-F3466/M3466</x:f>
        <x:v>0.0000826343841672239</x:v>
      </x:c>
    </x:row>
    <x:row r="3467" ht="27" customHeight="1">
      <x:c r="A3467" s="66" t="str">
        <x:v>SEV580</x:v>
      </x:c>
      <x:c r="B3467" s="66" t="str">
        <x:v>祁腾蜂赢1号</x:v>
      </x:c>
      <x:c r="C3467" s="72" t="n">
        <x:v>46107</x:v>
      </x:c>
      <x:c r="D3467" s="73" t="n">
        <x:v>1.1081</x:v>
      </x:c>
      <x:c r="E3467" s="73" t="n">
        <x:v>1.9254</x:v>
      </x:c>
      <x:c r="F3467" s="73" t="n">
        <x:v>2.421</x:v>
      </x:c>
      <x:c r="G3467" s="74" t="n">
        <x:v>0.0004</x:v>
      </x:c>
      <x:c r="H3467" s="66" t="str">
        <x:v>祁腾蜂赢1号净值20260911.xlsx</x:v>
      </x:c>
      <x:c r="I3467" s="73" t="n">
        <x:f>MAX(I3466,F3467)</x:f>
        <x:v>2.421</x:v>
      </x:c>
      <x:c r="J3467" s="74" t="n">
        <x:f>1-F3467/I3467</x:f>
        <x:v>0</x:v>
      </x:c>
      <x:c r="K3467" s="73" t="n">
        <x:f>MAX(K3466,F3467)</x:f>
        <x:v>2.421</x:v>
      </x:c>
      <x:c r="L3467" s="74" t="n">
        <x:f>1-F3467/K3467</x:f>
        <x:v>0</x:v>
      </x:c>
      <x:c r="M3467" s="73" t="n">
        <x:f>MAX(M3466,F3467)</x:f>
        <x:v>2.421</x:v>
      </x:c>
      <x:c r="N3467" s="74" t="n">
        <x:f>1-F3467/M3467</x:f>
        <x:v>0</x:v>
      </x:c>
    </x:row>
    <x:row r="3468" ht="27" customHeight="1">
      <x:c r="A3468" s="66" t="str">
        <x:v>SEV580</x:v>
      </x:c>
      <x:c r="B3468" s="66" t="str">
        <x:v>祁腾蜂赢1号</x:v>
      </x:c>
      <x:c r="C3468" s="72" t="n">
        <x:v>46108</x:v>
      </x:c>
      <x:c r="D3468" s="73" t="n">
        <x:v>1.1085</x:v>
      </x:c>
      <x:c r="E3468" s="73" t="n">
        <x:v>1.9258</x:v>
      </x:c>
      <x:c r="F3468" s="73" t="n">
        <x:v>2.4218</x:v>
      </x:c>
      <x:c r="G3468" s="74" t="n">
        <x:v>0.0004</x:v>
      </x:c>
      <x:c r="H3468" s="66" t="str">
        <x:v>祁腾蜂赢1号净值20260911.xlsx</x:v>
      </x:c>
      <x:c r="I3468" s="73" t="n">
        <x:f>MAX(I3467,F3468)</x:f>
        <x:v>2.4218</x:v>
      </x:c>
      <x:c r="J3468" s="74" t="n">
        <x:f>1-F3468/I3468</x:f>
        <x:v>0</x:v>
      </x:c>
      <x:c r="K3468" s="73" t="n">
        <x:f>MAX(K3467,F3468)</x:f>
        <x:v>2.4218</x:v>
      </x:c>
      <x:c r="L3468" s="74" t="n">
        <x:f>1-F3468/K3468</x:f>
        <x:v>0</x:v>
      </x:c>
      <x:c r="M3468" s="73" t="n">
        <x:f>MAX(M3467,F3468)</x:f>
        <x:v>2.4218</x:v>
      </x:c>
      <x:c r="N3468" s="74" t="n">
        <x:f>1-F3468/M3468</x:f>
        <x:v>0</x:v>
      </x:c>
    </x:row>
    <x:row r="3469" ht="27" customHeight="1">
      <x:c r="A3469" s="66" t="str">
        <x:v>SEV580</x:v>
      </x:c>
      <x:c r="B3469" s="66" t="str">
        <x:v>祁腾蜂赢1号</x:v>
      </x:c>
      <x:c r="C3469" s="72" t="n">
        <x:v>46111</x:v>
      </x:c>
      <x:c r="D3469" s="73" t="n">
        <x:v>1.1084</x:v>
      </x:c>
      <x:c r="E3469" s="73" t="n">
        <x:v>1.9257</x:v>
      </x:c>
      <x:c r="F3469" s="73" t="n">
        <x:v>2.4216</x:v>
      </x:c>
      <x:c r="G3469" s="74" t="n">
        <x:v>-0.0001</x:v>
      </x:c>
      <x:c r="H3469" s="66" t="str">
        <x:v>祁腾蜂赢1号净值20260911.xlsx</x:v>
      </x:c>
      <x:c r="I3469" s="73" t="n">
        <x:f>MAX(I3468,F3469)</x:f>
        <x:v>2.4218</x:v>
      </x:c>
      <x:c r="J3469" s="74" t="n">
        <x:f>1-F3469/I3469</x:f>
        <x:v>0.00008258320257659157</x:v>
      </x:c>
      <x:c r="K3469" s="73" t="n">
        <x:f>MAX(K3468,F3469)</x:f>
        <x:v>2.4218</x:v>
      </x:c>
      <x:c r="L3469" s="74" t="n">
        <x:f>1-F3469/K3469</x:f>
        <x:v>0.00008258320257659157</x:v>
      </x:c>
      <x:c r="M3469" s="73" t="n">
        <x:f>MAX(M3468,F3469)</x:f>
        <x:v>2.4218</x:v>
      </x:c>
      <x:c r="N3469" s="74" t="n">
        <x:f>1-F3469/M3469</x:f>
        <x:v>0.00008258320257659157</x:v>
      </x:c>
    </x:row>
    <x:row r="3470" ht="27" customHeight="1">
      <x:c r="A3470" s="66" t="str">
        <x:v>SEV580</x:v>
      </x:c>
      <x:c r="B3470" s="66" t="str">
        <x:v>祁腾蜂赢1号</x:v>
      </x:c>
      <x:c r="C3470" s="72" t="n">
        <x:v>46112</x:v>
      </x:c>
      <x:c r="D3470" s="73" t="n">
        <x:v>1.11</x:v>
      </x:c>
      <x:c r="E3470" s="73" t="n">
        <x:v>1.9273</x:v>
      </x:c>
      <x:c r="F3470" s="73" t="n">
        <x:v>2.4251</x:v>
      </x:c>
      <x:c r="G3470" s="74" t="n">
        <x:v>0.0014000000000000002</x:v>
      </x:c>
      <x:c r="H3470" s="66" t="str">
        <x:v>祁腾蜂赢1号净值20260911.xlsx</x:v>
      </x:c>
      <x:c r="I3470" s="73" t="n">
        <x:f>MAX(I3469,F3470)</x:f>
        <x:v>2.4251</x:v>
      </x:c>
      <x:c r="J3470" s="74" t="n">
        <x:f>1-F3470/I3470</x:f>
        <x:v>0</x:v>
      </x:c>
      <x:c r="K3470" s="73" t="n">
        <x:f>MAX(K3469,F3470)</x:f>
        <x:v>2.4251</x:v>
      </x:c>
      <x:c r="L3470" s="74" t="n">
        <x:f>1-F3470/K3470</x:f>
        <x:v>0</x:v>
      </x:c>
      <x:c r="M3470" s="73" t="n">
        <x:f>MAX(M3469,F3470)</x:f>
        <x:v>2.4251</x:v>
      </x:c>
      <x:c r="N3470" s="74" t="n">
        <x:f>1-F3470/M3470</x:f>
        <x:v>0</x:v>
      </x:c>
    </x:row>
    <x:row r="3471" ht="27" customHeight="1">
      <x:c r="A3471" s="66" t="str">
        <x:v>SEV580</x:v>
      </x:c>
      <x:c r="B3471" s="66" t="str">
        <x:v>祁腾蜂赢1号</x:v>
      </x:c>
      <x:c r="C3471" s="72" t="n">
        <x:v>46113</x:v>
      </x:c>
      <x:c r="D3471" s="73" t="n">
        <x:v>1.1106</x:v>
      </x:c>
      <x:c r="E3471" s="73" t="n">
        <x:v>1.9279</x:v>
      </x:c>
      <x:c r="F3471" s="73" t="n">
        <x:v>2.4264</x:v>
      </x:c>
      <x:c r="G3471" s="74" t="n">
        <x:v>0.0005</x:v>
      </x:c>
      <x:c r="H3471" s="66" t="str">
        <x:v>祁腾蜂赢1号净值20260911.xlsx</x:v>
      </x:c>
      <x:c r="I3471" s="73" t="n">
        <x:f>MAX(I3470,F3471)</x:f>
        <x:v>2.4264</x:v>
      </x:c>
      <x:c r="J3471" s="74" t="n">
        <x:f>1-F3471/I3471</x:f>
        <x:v>0</x:v>
      </x:c>
      <x:c r="K3471" s="73" t="n">
        <x:f>MAX(K3470,F3471)</x:f>
        <x:v>2.4264</x:v>
      </x:c>
      <x:c r="L3471" s="74" t="n">
        <x:f>1-F3471/K3471</x:f>
        <x:v>0</x:v>
      </x:c>
      <x:c r="M3471" s="73" t="n">
        <x:f>MAX(M3470,F3471)</x:f>
        <x:v>2.4264</x:v>
      </x:c>
      <x:c r="N3471" s="74" t="n">
        <x:f>1-F3471/M3471</x:f>
        <x:v>0</x:v>
      </x:c>
    </x:row>
    <x:row r="3472" ht="27" customHeight="1">
      <x:c r="A3472" s="66" t="str">
        <x:v>SEV580</x:v>
      </x:c>
      <x:c r="B3472" s="66" t="str">
        <x:v>祁腾蜂赢1号</x:v>
      </x:c>
      <x:c r="C3472" s="72" t="n">
        <x:v>46114</x:v>
      </x:c>
      <x:c r="D3472" s="73" t="n">
        <x:v>1.1089</x:v>
      </x:c>
      <x:c r="E3472" s="73" t="n">
        <x:v>1.9262</x:v>
      </x:c>
      <x:c r="F3472" s="73" t="n">
        <x:v>2.4227</x:v>
      </x:c>
      <x:c r="G3472" s="74" t="n">
        <x:v>-0.0015</x:v>
      </x:c>
      <x:c r="H3472" s="66" t="str">
        <x:v>祁腾蜂赢1号净值20260911.xlsx</x:v>
      </x:c>
      <x:c r="I3472" s="73" t="n">
        <x:f>MAX(I3471,F3472)</x:f>
        <x:v>2.4264</x:v>
      </x:c>
      <x:c r="J3472" s="74" t="n">
        <x:f>1-F3472/I3472</x:f>
        <x:v>0.0015248928453677202</x:v>
      </x:c>
      <x:c r="K3472" s="73" t="n">
        <x:f>MAX(K3471,F3472)</x:f>
        <x:v>2.4264</x:v>
      </x:c>
      <x:c r="L3472" s="74" t="n">
        <x:f>1-F3472/K3472</x:f>
        <x:v>0.0015248928453677202</x:v>
      </x:c>
      <x:c r="M3472" s="73" t="n">
        <x:f>MAX(M3471,F3472)</x:f>
        <x:v>2.4264</x:v>
      </x:c>
      <x:c r="N3472" s="74" t="n">
        <x:f>1-F3472/M3472</x:f>
        <x:v>0.0015248928453677202</x:v>
      </x:c>
    </x:row>
    <x:row r="3473" ht="27" customHeight="1">
      <x:c r="A3473" s="66" t="str">
        <x:v>SEV580</x:v>
      </x:c>
      <x:c r="B3473" s="66" t="str">
        <x:v>祁腾蜂赢1号</x:v>
      </x:c>
      <x:c r="C3473" s="72" t="n">
        <x:v>46115</x:v>
      </x:c>
      <x:c r="D3473" s="73" t="n">
        <x:v>1.1088</x:v>
      </x:c>
      <x:c r="E3473" s="73" t="n">
        <x:v>1.9261</x:v>
      </x:c>
      <x:c r="F3473" s="73" t="n">
        <x:v>2.4225</x:v>
      </x:c>
      <x:c r="G3473" s="74" t="n">
        <x:v>-0.0001</x:v>
      </x:c>
      <x:c r="H3473" s="66" t="str">
        <x:v>祁腾蜂赢1号净值20260911.xlsx</x:v>
      </x:c>
      <x:c r="I3473" s="73" t="n">
        <x:f>MAX(I3472,F3473)</x:f>
        <x:v>2.4264</x:v>
      </x:c>
      <x:c r="J3473" s="74" t="n">
        <x:f>1-F3473/I3473</x:f>
        <x:v>0.0016073194856578432</x:v>
      </x:c>
      <x:c r="K3473" s="73" t="n">
        <x:f>MAX(K3472,F3473)</x:f>
        <x:v>2.4264</x:v>
      </x:c>
      <x:c r="L3473" s="74" t="n">
        <x:f>1-F3473/K3473</x:f>
        <x:v>0.0016073194856578432</x:v>
      </x:c>
      <x:c r="M3473" s="73" t="n">
        <x:f>MAX(M3472,F3473)</x:f>
        <x:v>2.4264</x:v>
      </x:c>
      <x:c r="N3473" s="74" t="n">
        <x:f>1-F3473/M3473</x:f>
        <x:v>0.0016073194856578432</x:v>
      </x:c>
    </x:row>
    <x:row r="3474" ht="27" customHeight="1">
      <x:c r="A3474" s="66" t="str">
        <x:v>SEV580</x:v>
      </x:c>
      <x:c r="B3474" s="66" t="str">
        <x:v>祁腾蜂赢1号</x:v>
      </x:c>
      <x:c r="C3474" s="72" t="n">
        <x:v>46119</x:v>
      </x:c>
      <x:c r="D3474" s="73" t="n">
        <x:v>1.1084</x:v>
      </x:c>
      <x:c r="E3474" s="73" t="n">
        <x:v>1.9257</x:v>
      </x:c>
      <x:c r="F3474" s="73" t="n">
        <x:v>2.4216</x:v>
      </x:c>
      <x:c r="G3474" s="74" t="n">
        <x:v>-0.0004</x:v>
      </x:c>
      <x:c r="H3474" s="66" t="str">
        <x:v>祁腾蜂赢1号净值20260911.xlsx</x:v>
      </x:c>
      <x:c r="I3474" s="73" t="n">
        <x:f>MAX(I3473,F3474)</x:f>
        <x:v>2.4264</x:v>
      </x:c>
      <x:c r="J3474" s="74" t="n">
        <x:f>1-F3474/I3474</x:f>
        <x:v>0.001978239366963397</x:v>
      </x:c>
      <x:c r="K3474" s="73" t="n">
        <x:f>MAX(K3473,F3474)</x:f>
        <x:v>2.4264</x:v>
      </x:c>
      <x:c r="L3474" s="74" t="n">
        <x:f>1-F3474/K3474</x:f>
        <x:v>0.001978239366963397</x:v>
      </x:c>
      <x:c r="M3474" s="73" t="n">
        <x:f>MAX(M3473,F3474)</x:f>
        <x:v>2.4264</x:v>
      </x:c>
      <x:c r="N3474" s="74" t="n">
        <x:f>1-F3474/M3474</x:f>
        <x:v>0.001978239366963397</x:v>
      </x:c>
    </x:row>
    <x:row r="3475" ht="27" customHeight="1">
      <x:c r="A3475" s="66" t="str">
        <x:v>SEV580</x:v>
      </x:c>
      <x:c r="B3475" s="66" t="str">
        <x:v>祁腾蜂赢1号</x:v>
      </x:c>
      <x:c r="C3475" s="72" t="n">
        <x:v>46120</x:v>
      </x:c>
      <x:c r="D3475" s="73" t="n">
        <x:v>1.1092</x:v>
      </x:c>
      <x:c r="E3475" s="73" t="n">
        <x:v>1.9265</x:v>
      </x:c>
      <x:c r="F3475" s="73" t="n">
        <x:v>2.4234</x:v>
      </x:c>
      <x:c r="G3475" s="74" t="n">
        <x:v>0.0007000000000000001</x:v>
      </x:c>
      <x:c r="H3475" s="66" t="str">
        <x:v>祁腾蜂赢1号净值20260911.xlsx</x:v>
      </x:c>
      <x:c r="I3475" s="73" t="n">
        <x:f>MAX(I3474,F3475)</x:f>
        <x:v>2.4264</x:v>
      </x:c>
      <x:c r="J3475" s="74" t="n">
        <x:f>1-F3475/I3475</x:f>
        <x:v>0.0012363996043521785</x:v>
      </x:c>
      <x:c r="K3475" s="73" t="n">
        <x:f>MAX(K3474,F3475)</x:f>
        <x:v>2.4264</x:v>
      </x:c>
      <x:c r="L3475" s="74" t="n">
        <x:f>1-F3475/K3475</x:f>
        <x:v>0.0012363996043521785</x:v>
      </x:c>
      <x:c r="M3475" s="73" t="n">
        <x:f>MAX(M3474,F3475)</x:f>
        <x:v>2.4264</x:v>
      </x:c>
      <x:c r="N3475" s="74" t="n">
        <x:f>1-F3475/M3475</x:f>
        <x:v>0.0012363996043521785</x:v>
      </x:c>
    </x:row>
    <x:row r="3476" ht="27" customHeight="1">
      <x:c r="A3476" s="66" t="str">
        <x:v>SEV580</x:v>
      </x:c>
      <x:c r="B3476" s="66" t="str">
        <x:v>祁腾蜂赢1号</x:v>
      </x:c>
      <x:c r="C3476" s="72" t="n">
        <x:v>46121</x:v>
      </x:c>
      <x:c r="D3476" s="73" t="n">
        <x:v>1.1084</x:v>
      </x:c>
      <x:c r="E3476" s="73" t="n">
        <x:v>1.9257</x:v>
      </x:c>
      <x:c r="F3476" s="73" t="n">
        <x:v>2.4216</x:v>
      </x:c>
      <x:c r="G3476" s="74" t="n">
        <x:v>-0.0007000000000000001</x:v>
      </x:c>
      <x:c r="H3476" s="66" t="str">
        <x:v>祁腾蜂赢1号净值20260911.xlsx</x:v>
      </x:c>
      <x:c r="I3476" s="73" t="n">
        <x:f>MAX(I3475,F3476)</x:f>
        <x:v>2.4264</x:v>
      </x:c>
      <x:c r="J3476" s="74" t="n">
        <x:f>1-F3476/I3476</x:f>
        <x:v>0.001978239366963397</x:v>
      </x:c>
      <x:c r="K3476" s="73" t="n">
        <x:f>MAX(K3475,F3476)</x:f>
        <x:v>2.4264</x:v>
      </x:c>
      <x:c r="L3476" s="74" t="n">
        <x:f>1-F3476/K3476</x:f>
        <x:v>0.001978239366963397</x:v>
      </x:c>
      <x:c r="M3476" s="73" t="n">
        <x:f>MAX(M3475,F3476)</x:f>
        <x:v>2.4264</x:v>
      </x:c>
      <x:c r="N3476" s="74" t="n">
        <x:f>1-F3476/M3476</x:f>
        <x:v>0.001978239366963397</x:v>
      </x:c>
    </x:row>
    <x:row r="3477" ht="27" customHeight="1">
      <x:c r="A3477" s="66" t="str">
        <x:v>SEV580</x:v>
      </x:c>
      <x:c r="B3477" s="66" t="str">
        <x:v>祁腾蜂赢1号</x:v>
      </x:c>
      <x:c r="C3477" s="72" t="n">
        <x:v>46122</x:v>
      </x:c>
      <x:c r="D3477" s="73" t="n">
        <x:v>1.1087</x:v>
      </x:c>
      <x:c r="E3477" s="73" t="n">
        <x:v>1.926</x:v>
      </x:c>
      <x:c r="F3477" s="73" t="n">
        <x:v>2.4223</x:v>
      </x:c>
      <x:c r="G3477" s="74" t="n">
        <x:v>0.0003</x:v>
      </x:c>
      <x:c r="H3477" s="66" t="str">
        <x:v>祁腾蜂赢1号净值20260911.xlsx</x:v>
      </x:c>
      <x:c r="I3477" s="73" t="n">
        <x:f>MAX(I3476,F3477)</x:f>
        <x:v>2.4264</x:v>
      </x:c>
      <x:c r="J3477" s="74" t="n">
        <x:f>1-F3477/I3477</x:f>
        <x:v>0.0016897461259479662</x:v>
      </x:c>
      <x:c r="K3477" s="73" t="n">
        <x:f>MAX(K3476,F3477)</x:f>
        <x:v>2.4264</x:v>
      </x:c>
      <x:c r="L3477" s="74" t="n">
        <x:f>1-F3477/K3477</x:f>
        <x:v>0.0016897461259479662</x:v>
      </x:c>
      <x:c r="M3477" s="73" t="n">
        <x:f>MAX(M3476,F3477)</x:f>
        <x:v>2.4264</x:v>
      </x:c>
      <x:c r="N3477" s="74" t="n">
        <x:f>1-F3477/M3477</x:f>
        <x:v>0.0016897461259479662</x:v>
      </x:c>
    </x:row>
    <x:row r="3478" ht="27" customHeight="1">
      <x:c r="A3478" s="66" t="str">
        <x:v>SEV580</x:v>
      </x:c>
      <x:c r="B3478" s="66" t="str">
        <x:v>祁腾蜂赢1号</x:v>
      </x:c>
      <x:c r="C3478" s="72" t="n">
        <x:v>46125</x:v>
      </x:c>
      <x:c r="D3478" s="73" t="n">
        <x:v>1.1087</x:v>
      </x:c>
      <x:c r="E3478" s="73" t="n">
        <x:v>1.926</x:v>
      </x:c>
      <x:c r="F3478" s="73" t="n">
        <x:v>2.4223</x:v>
      </x:c>
      <x:c r="G3478" s="74" t="n">
        <x:v>0</x:v>
      </x:c>
      <x:c r="H3478" s="66" t="str">
        <x:v>祁腾蜂赢1号净值20260911.xlsx</x:v>
      </x:c>
      <x:c r="I3478" s="73" t="n">
        <x:f>MAX(I3477,F3478)</x:f>
        <x:v>2.4264</x:v>
      </x:c>
      <x:c r="J3478" s="74" t="n">
        <x:f>1-F3478/I3478</x:f>
        <x:v>0.0016897461259479662</x:v>
      </x:c>
      <x:c r="K3478" s="73" t="n">
        <x:f>MAX(K3477,F3478)</x:f>
        <x:v>2.4264</x:v>
      </x:c>
      <x:c r="L3478" s="74" t="n">
        <x:f>1-F3478/K3478</x:f>
        <x:v>0.0016897461259479662</x:v>
      </x:c>
      <x:c r="M3478" s="73" t="n">
        <x:f>MAX(M3477,F3478)</x:f>
        <x:v>2.4264</x:v>
      </x:c>
      <x:c r="N3478" s="74" t="n">
        <x:f>1-F3478/M3478</x:f>
        <x:v>0.0016897461259479662</x:v>
      </x:c>
    </x:row>
    <x:row r="3479" ht="27" customHeight="1">
      <x:c r="A3479" s="66" t="str">
        <x:v>SEV580</x:v>
      </x:c>
      <x:c r="B3479" s="66" t="str">
        <x:v>祁腾蜂赢1号</x:v>
      </x:c>
      <x:c r="C3479" s="72" t="n">
        <x:v>46126</x:v>
      </x:c>
      <x:c r="D3479" s="73" t="n">
        <x:v>1.1086</x:v>
      </x:c>
      <x:c r="E3479" s="73" t="n">
        <x:v>1.9259</x:v>
      </x:c>
      <x:c r="F3479" s="73" t="n">
        <x:v>2.4221</x:v>
      </x:c>
      <x:c r="G3479" s="74" t="n">
        <x:v>-0.0001</x:v>
      </x:c>
      <x:c r="H3479" s="66" t="str">
        <x:v>祁腾蜂赢1号净值20260911.xlsx</x:v>
      </x:c>
      <x:c r="I3479" s="73" t="n">
        <x:f>MAX(I3478,F3479)</x:f>
        <x:v>2.4264</x:v>
      </x:c>
      <x:c r="J3479" s="74" t="n">
        <x:f>1-F3479/I3479</x:f>
        <x:v>0.0017721727662380893</x:v>
      </x:c>
      <x:c r="K3479" s="73" t="n">
        <x:f>MAX(K3478,F3479)</x:f>
        <x:v>2.4264</x:v>
      </x:c>
      <x:c r="L3479" s="74" t="n">
        <x:f>1-F3479/K3479</x:f>
        <x:v>0.0017721727662380893</x:v>
      </x:c>
      <x:c r="M3479" s="73" t="n">
        <x:f>MAX(M3478,F3479)</x:f>
        <x:v>2.4264</x:v>
      </x:c>
      <x:c r="N3479" s="74" t="n">
        <x:f>1-F3479/M3479</x:f>
        <x:v>0.0017721727662380893</x:v>
      </x:c>
    </x:row>
    <x:row r="3480" ht="27" customHeight="1">
      <x:c r="A3480" s="66" t="str">
        <x:v>SEV580</x:v>
      </x:c>
      <x:c r="B3480" s="66" t="str">
        <x:v>祁腾蜂赢1号</x:v>
      </x:c>
      <x:c r="C3480" s="72" t="n">
        <x:v>46127</x:v>
      </x:c>
      <x:c r="D3480" s="73" t="n">
        <x:v>1.1086</x:v>
      </x:c>
      <x:c r="E3480" s="73" t="n">
        <x:v>1.9259</x:v>
      </x:c>
      <x:c r="F3480" s="73" t="n">
        <x:v>2.4221</x:v>
      </x:c>
      <x:c r="G3480" s="74" t="n">
        <x:v>0</x:v>
      </x:c>
      <x:c r="H3480" s="66" t="str">
        <x:v>祁腾蜂赢1号净值20260911.xlsx</x:v>
      </x:c>
      <x:c r="I3480" s="73" t="n">
        <x:f>MAX(I3479,F3480)</x:f>
        <x:v>2.4264</x:v>
      </x:c>
      <x:c r="J3480" s="74" t="n">
        <x:f>1-F3480/I3480</x:f>
        <x:v>0.0017721727662380893</x:v>
      </x:c>
      <x:c r="K3480" s="73" t="n">
        <x:f>MAX(K3479,F3480)</x:f>
        <x:v>2.4264</x:v>
      </x:c>
      <x:c r="L3480" s="74" t="n">
        <x:f>1-F3480/K3480</x:f>
        <x:v>0.0017721727662380893</x:v>
      </x:c>
      <x:c r="M3480" s="73" t="n">
        <x:f>MAX(M3479,F3480)</x:f>
        <x:v>2.4264</x:v>
      </x:c>
      <x:c r="N3480" s="74" t="n">
        <x:f>1-F3480/M3480</x:f>
        <x:v>0.0017721727662380893</x:v>
      </x:c>
    </x:row>
    <x:row r="3481" ht="27" customHeight="1">
      <x:c r="A3481" s="66" t="str">
        <x:v>SEV580</x:v>
      </x:c>
      <x:c r="B3481" s="66" t="str">
        <x:v>祁腾蜂赢1号</x:v>
      </x:c>
      <x:c r="C3481" s="72" t="n">
        <x:v>46128</x:v>
      </x:c>
      <x:c r="D3481" s="73" t="n">
        <x:v>1.1088</x:v>
      </x:c>
      <x:c r="E3481" s="73" t="n">
        <x:v>1.9261</x:v>
      </x:c>
      <x:c r="F3481" s="73" t="n">
        <x:v>2.4225</x:v>
      </x:c>
      <x:c r="G3481" s="74" t="n">
        <x:v>0.0002</x:v>
      </x:c>
      <x:c r="H3481" s="66" t="str">
        <x:v>祁腾蜂赢1号净值20260911.xlsx</x:v>
      </x:c>
      <x:c r="I3481" s="73" t="n">
        <x:f>MAX(I3480,F3481)</x:f>
        <x:v>2.4264</x:v>
      </x:c>
      <x:c r="J3481" s="74" t="n">
        <x:f>1-F3481/I3481</x:f>
        <x:v>0.0016073194856578432</x:v>
      </x:c>
      <x:c r="K3481" s="73" t="n">
        <x:f>MAX(K3480,F3481)</x:f>
        <x:v>2.4264</x:v>
      </x:c>
      <x:c r="L3481" s="74" t="n">
        <x:f>1-F3481/K3481</x:f>
        <x:v>0.0016073194856578432</x:v>
      </x:c>
      <x:c r="M3481" s="73" t="n">
        <x:f>MAX(M3480,F3481)</x:f>
        <x:v>2.4264</x:v>
      </x:c>
      <x:c r="N3481" s="74" t="n">
        <x:f>1-F3481/M3481</x:f>
        <x:v>0.0016073194856578432</x:v>
      </x:c>
    </x:row>
    <x:row r="3482" ht="27" customHeight="1">
      <x:c r="A3482" s="66" t="str">
        <x:v>SEV580</x:v>
      </x:c>
      <x:c r="B3482" s="66" t="str">
        <x:v>祁腾蜂赢1号</x:v>
      </x:c>
      <x:c r="C3482" s="72" t="n">
        <x:v>46129</x:v>
      </x:c>
      <x:c r="D3482" s="73" t="n">
        <x:v>1.1085</x:v>
      </x:c>
      <x:c r="E3482" s="73" t="n">
        <x:v>1.9258</x:v>
      </x:c>
      <x:c r="F3482" s="73" t="n">
        <x:v>2.4218</x:v>
      </x:c>
      <x:c r="G3482" s="74" t="n">
        <x:v>-0.0003</x:v>
      </x:c>
      <x:c r="H3482" s="66" t="str">
        <x:v>祁腾蜂赢1号净值20260911.xlsx</x:v>
      </x:c>
      <x:c r="I3482" s="73" t="n">
        <x:f>MAX(I3481,F3482)</x:f>
        <x:v>2.4264</x:v>
      </x:c>
      <x:c r="J3482" s="74" t="n">
        <x:f>1-F3482/I3482</x:f>
        <x:v>0.0018958127266732738</x:v>
      </x:c>
      <x:c r="K3482" s="73" t="n">
        <x:f>MAX(K3481,F3482)</x:f>
        <x:v>2.4264</x:v>
      </x:c>
      <x:c r="L3482" s="74" t="n">
        <x:f>1-F3482/K3482</x:f>
        <x:v>0.0018958127266732738</x:v>
      </x:c>
      <x:c r="M3482" s="73" t="n">
        <x:f>MAX(M3481,F3482)</x:f>
        <x:v>2.4264</x:v>
      </x:c>
      <x:c r="N3482" s="74" t="n">
        <x:f>1-F3482/M3482</x:f>
        <x:v>0.0018958127266732738</x:v>
      </x:c>
    </x:row>
    <x:row r="3483" ht="27" customHeight="1">
      <x:c r="A3483" s="66" t="str">
        <x:v>SEV580</x:v>
      </x:c>
      <x:c r="B3483" s="66" t="str">
        <x:v>祁腾蜂赢1号</x:v>
      </x:c>
      <x:c r="C3483" s="72" t="n">
        <x:v>46132</x:v>
      </x:c>
      <x:c r="D3483" s="73" t="n">
        <x:v>1.108</x:v>
      </x:c>
      <x:c r="E3483" s="73" t="n">
        <x:v>1.9253</x:v>
      </x:c>
      <x:c r="F3483" s="73" t="n">
        <x:v>2.4208</x:v>
      </x:c>
      <x:c r="G3483" s="74" t="n">
        <x:v>-0.0005</x:v>
      </x:c>
      <x:c r="H3483" s="66" t="str">
        <x:v>祁腾蜂赢1号净值20260911.xlsx</x:v>
      </x:c>
      <x:c r="I3483" s="73" t="n">
        <x:f>MAX(I3482,F3483)</x:f>
        <x:v>2.4264</x:v>
      </x:c>
      <x:c r="J3483" s="74" t="n">
        <x:f>1-F3483/I3483</x:f>
        <x:v>0.002307945928124111</x:v>
      </x:c>
      <x:c r="K3483" s="73" t="n">
        <x:f>MAX(K3482,F3483)</x:f>
        <x:v>2.4264</x:v>
      </x:c>
      <x:c r="L3483" s="74" t="n">
        <x:f>1-F3483/K3483</x:f>
        <x:v>0.002307945928124111</x:v>
      </x:c>
      <x:c r="M3483" s="73" t="n">
        <x:f>MAX(M3482,F3483)</x:f>
        <x:v>2.4264</x:v>
      </x:c>
      <x:c r="N3483" s="74" t="n">
        <x:f>1-F3483/M3483</x:f>
        <x:v>0.002307945928124111</x:v>
      </x:c>
    </x:row>
    <x:row r="3484" ht="27" customHeight="1">
      <x:c r="A3484" s="66" t="str">
        <x:v>SEV580</x:v>
      </x:c>
      <x:c r="B3484" s="66" t="str">
        <x:v>祁腾蜂赢1号</x:v>
      </x:c>
      <x:c r="C3484" s="72" t="n">
        <x:v>46133</x:v>
      </x:c>
      <x:c r="D3484" s="73" t="n">
        <x:v>1.1088</x:v>
      </x:c>
      <x:c r="E3484" s="73" t="n">
        <x:v>1.9261</x:v>
      </x:c>
      <x:c r="F3484" s="73" t="n">
        <x:v>2.4225</x:v>
      </x:c>
      <x:c r="G3484" s="74" t="n">
        <x:v>0.0007000000000000001</x:v>
      </x:c>
      <x:c r="H3484" s="66" t="str">
        <x:v>祁腾蜂赢1号净值20260911.xlsx</x:v>
      </x:c>
      <x:c r="I3484" s="73" t="n">
        <x:f>MAX(I3483,F3484)</x:f>
        <x:v>2.4264</x:v>
      </x:c>
      <x:c r="J3484" s="74" t="n">
        <x:f>1-F3484/I3484</x:f>
        <x:v>0.0016073194856578432</x:v>
      </x:c>
      <x:c r="K3484" s="73" t="n">
        <x:f>MAX(K3483,F3484)</x:f>
        <x:v>2.4264</x:v>
      </x:c>
      <x:c r="L3484" s="74" t="n">
        <x:f>1-F3484/K3484</x:f>
        <x:v>0.0016073194856578432</x:v>
      </x:c>
      <x:c r="M3484" s="73" t="n">
        <x:f>MAX(M3483,F3484)</x:f>
        <x:v>2.4264</x:v>
      </x:c>
      <x:c r="N3484" s="74" t="n">
        <x:f>1-F3484/M3484</x:f>
        <x:v>0.0016073194856578432</x:v>
      </x:c>
    </x:row>
    <x:row r="3485" ht="27" customHeight="1">
      <x:c r="A3485" s="66" t="str">
        <x:v>SEV580</x:v>
      </x:c>
      <x:c r="B3485" s="66" t="str">
        <x:v>祁腾蜂赢1号</x:v>
      </x:c>
      <x:c r="C3485" s="72" t="n">
        <x:v>46134</x:v>
      </x:c>
      <x:c r="D3485" s="73" t="n">
        <x:v>1.1089</x:v>
      </x:c>
      <x:c r="E3485" s="73" t="n">
        <x:v>1.9262</x:v>
      </x:c>
      <x:c r="F3485" s="73" t="n">
        <x:v>2.4227</x:v>
      </x:c>
      <x:c r="G3485" s="74" t="n">
        <x:v>0.0001</x:v>
      </x:c>
      <x:c r="H3485" s="66" t="str">
        <x:v>祁腾蜂赢1号净值20260911.xlsx</x:v>
      </x:c>
      <x:c r="I3485" s="73" t="n">
        <x:f>MAX(I3484,F3485)</x:f>
        <x:v>2.4264</x:v>
      </x:c>
      <x:c r="J3485" s="74" t="n">
        <x:f>1-F3485/I3485</x:f>
        <x:v>0.0015248928453677202</x:v>
      </x:c>
      <x:c r="K3485" s="73" t="n">
        <x:f>MAX(K3484,F3485)</x:f>
        <x:v>2.4264</x:v>
      </x:c>
      <x:c r="L3485" s="74" t="n">
        <x:f>1-F3485/K3485</x:f>
        <x:v>0.0015248928453677202</x:v>
      </x:c>
      <x:c r="M3485" s="73" t="n">
        <x:f>MAX(M3484,F3485)</x:f>
        <x:v>2.4264</x:v>
      </x:c>
      <x:c r="N3485" s="74" t="n">
        <x:f>1-F3485/M3485</x:f>
        <x:v>0.0015248928453677202</x:v>
      </x:c>
    </x:row>
    <x:row r="3486" ht="27" customHeight="1">
      <x:c r="A3486" s="66" t="str">
        <x:v>SEV580</x:v>
      </x:c>
      <x:c r="B3486" s="66" t="str">
        <x:v>祁腾蜂赢1号</x:v>
      </x:c>
      <x:c r="C3486" s="72" t="n">
        <x:v>46135</x:v>
      </x:c>
      <x:c r="D3486" s="73" t="n">
        <x:v>1.109</x:v>
      </x:c>
      <x:c r="E3486" s="73" t="n">
        <x:v>1.9263</x:v>
      </x:c>
      <x:c r="F3486" s="73" t="n">
        <x:v>2.4229</x:v>
      </x:c>
      <x:c r="G3486" s="74" t="n">
        <x:v>0.0001</x:v>
      </x:c>
      <x:c r="H3486" s="66" t="str">
        <x:v>祁腾蜂赢1号净值20260911.xlsx</x:v>
      </x:c>
      <x:c r="I3486" s="73" t="n">
        <x:f>MAX(I3485,F3486)</x:f>
        <x:v>2.4264</x:v>
      </x:c>
      <x:c r="J3486" s="74" t="n">
        <x:f>1-F3486/I3486</x:f>
        <x:v>0.0014424662050775972</x:v>
      </x:c>
      <x:c r="K3486" s="73" t="n">
        <x:f>MAX(K3485,F3486)</x:f>
        <x:v>2.4264</x:v>
      </x:c>
      <x:c r="L3486" s="74" t="n">
        <x:f>1-F3486/K3486</x:f>
        <x:v>0.0014424662050775972</x:v>
      </x:c>
      <x:c r="M3486" s="73" t="n">
        <x:f>MAX(M3485,F3486)</x:f>
        <x:v>2.4264</x:v>
      </x:c>
      <x:c r="N3486" s="74" t="n">
        <x:f>1-F3486/M3486</x:f>
        <x:v>0.0014424662050775972</x:v>
      </x:c>
    </x:row>
    <x:row r="3487" ht="27" customHeight="1">
      <x:c r="A3487" s="66" t="str">
        <x:v>SEV580</x:v>
      </x:c>
      <x:c r="B3487" s="66" t="str">
        <x:v>祁腾蜂赢1号</x:v>
      </x:c>
      <x:c r="C3487" s="72" t="n">
        <x:v>46136</x:v>
      </x:c>
      <x:c r="D3487" s="73" t="n">
        <x:v>1.1094</x:v>
      </x:c>
      <x:c r="E3487" s="73" t="n">
        <x:v>1.9267</x:v>
      </x:c>
      <x:c r="F3487" s="73" t="n">
        <x:v>2.4238</x:v>
      </x:c>
      <x:c r="G3487" s="74" t="n">
        <x:v>0.0004</x:v>
      </x:c>
      <x:c r="H3487" s="66" t="str">
        <x:v>祁腾蜂赢1号净值20260911.xlsx</x:v>
      </x:c>
      <x:c r="I3487" s="73" t="n">
        <x:f>MAX(I3486,F3487)</x:f>
        <x:v>2.4264</x:v>
      </x:c>
      <x:c r="J3487" s="74" t="n">
        <x:f>1-F3487/I3487</x:f>
        <x:v>0.0010715463237719325</x:v>
      </x:c>
      <x:c r="K3487" s="73" t="n">
        <x:f>MAX(K3486,F3487)</x:f>
        <x:v>2.4264</x:v>
      </x:c>
      <x:c r="L3487" s="74" t="n">
        <x:f>1-F3487/K3487</x:f>
        <x:v>0.0010715463237719325</x:v>
      </x:c>
      <x:c r="M3487" s="73" t="n">
        <x:f>MAX(M3486,F3487)</x:f>
        <x:v>2.4264</x:v>
      </x:c>
      <x:c r="N3487" s="74" t="n">
        <x:f>1-F3487/M3487</x:f>
        <x:v>0.0010715463237719325</x:v>
      </x:c>
    </x:row>
    <x:row r="3488" ht="27" customHeight="1">
      <x:c r="A3488" s="66" t="str">
        <x:v>SEV580</x:v>
      </x:c>
      <x:c r="B3488" s="66" t="str">
        <x:v>祁腾蜂赢1号</x:v>
      </x:c>
      <x:c r="C3488" s="72" t="n">
        <x:v>46139</x:v>
      </x:c>
      <x:c r="D3488" s="73" t="n">
        <x:v>1.1091</x:v>
      </x:c>
      <x:c r="E3488" s="73" t="n">
        <x:v>1.9264</x:v>
      </x:c>
      <x:c r="F3488" s="73" t="n">
        <x:v>2.4232</x:v>
      </x:c>
      <x:c r="G3488" s="74" t="n">
        <x:v>-0.0003</x:v>
      </x:c>
      <x:c r="H3488" s="66" t="str">
        <x:v>祁腾蜂赢1号净值20260911.xlsx</x:v>
      </x:c>
      <x:c r="I3488" s="73" t="n">
        <x:f>MAX(I3487,F3488)</x:f>
        <x:v>2.4264</x:v>
      </x:c>
      <x:c r="J3488" s="74" t="n">
        <x:f>1-F3488/I3488</x:f>
        <x:v>0.0013188262446423016</x:v>
      </x:c>
      <x:c r="K3488" s="73" t="n">
        <x:f>MAX(K3487,F3488)</x:f>
        <x:v>2.4264</x:v>
      </x:c>
      <x:c r="L3488" s="74" t="n">
        <x:f>1-F3488/K3488</x:f>
        <x:v>0.0013188262446423016</x:v>
      </x:c>
      <x:c r="M3488" s="73" t="n">
        <x:f>MAX(M3487,F3488)</x:f>
        <x:v>2.4264</x:v>
      </x:c>
      <x:c r="N3488" s="74" t="n">
        <x:f>1-F3488/M3488</x:f>
        <x:v>0.0013188262446423016</x:v>
      </x:c>
    </x:row>
    <x:row r="3489" ht="27" customHeight="1">
      <x:c r="A3489" s="66" t="str">
        <x:v>SEV580</x:v>
      </x:c>
      <x:c r="B3489" s="66" t="str">
        <x:v>祁腾蜂赢1号</x:v>
      </x:c>
      <x:c r="C3489" s="72" t="n">
        <x:v>46140</x:v>
      </x:c>
      <x:c r="D3489" s="73" t="n">
        <x:v>1.109</x:v>
      </x:c>
      <x:c r="E3489" s="73" t="n">
        <x:v>1.9263</x:v>
      </x:c>
      <x:c r="F3489" s="73" t="n">
        <x:v>2.4229</x:v>
      </x:c>
      <x:c r="G3489" s="74" t="n">
        <x:v>-0.0001</x:v>
      </x:c>
      <x:c r="H3489" s="66" t="str">
        <x:v>祁腾蜂赢1号净值20260911.xlsx</x:v>
      </x:c>
      <x:c r="I3489" s="73" t="n">
        <x:f>MAX(I3488,F3489)</x:f>
        <x:v>2.4264</x:v>
      </x:c>
      <x:c r="J3489" s="74" t="n">
        <x:f>1-F3489/I3489</x:f>
        <x:v>0.0014424662050775972</x:v>
      </x:c>
      <x:c r="K3489" s="73" t="n">
        <x:f>MAX(K3488,F3489)</x:f>
        <x:v>2.4264</x:v>
      </x:c>
      <x:c r="L3489" s="74" t="n">
        <x:f>1-F3489/K3489</x:f>
        <x:v>0.0014424662050775972</x:v>
      </x:c>
      <x:c r="M3489" s="73" t="n">
        <x:f>MAX(M3488,F3489)</x:f>
        <x:v>2.4264</x:v>
      </x:c>
      <x:c r="N3489" s="74" t="n">
        <x:f>1-F3489/M3489</x:f>
        <x:v>0.0014424662050775972</x:v>
      </x:c>
    </x:row>
    <x:row r="3490" ht="27" customHeight="1">
      <x:c r="A3490" s="66" t="str">
        <x:v>SEV580</x:v>
      </x:c>
      <x:c r="B3490" s="66" t="str">
        <x:v>祁腾蜂赢1号</x:v>
      </x:c>
      <x:c r="C3490" s="72" t="n">
        <x:v>46141</x:v>
      </x:c>
      <x:c r="D3490" s="73" t="n">
        <x:v>1.1086</x:v>
      </x:c>
      <x:c r="E3490" s="73" t="n">
        <x:v>1.9259</x:v>
      </x:c>
      <x:c r="F3490" s="73" t="n">
        <x:v>2.4221</x:v>
      </x:c>
      <x:c r="G3490" s="74" t="n">
        <x:v>-0.0004</x:v>
      </x:c>
      <x:c r="H3490" s="66" t="str">
        <x:v>祁腾蜂赢1号净值20260911.xlsx</x:v>
      </x:c>
      <x:c r="I3490" s="73" t="n">
        <x:f>MAX(I3489,F3490)</x:f>
        <x:v>2.4264</x:v>
      </x:c>
      <x:c r="J3490" s="74" t="n">
        <x:f>1-F3490/I3490</x:f>
        <x:v>0.0017721727662380893</x:v>
      </x:c>
      <x:c r="K3490" s="73" t="n">
        <x:f>MAX(K3489,F3490)</x:f>
        <x:v>2.4264</x:v>
      </x:c>
      <x:c r="L3490" s="74" t="n">
        <x:f>1-F3490/K3490</x:f>
        <x:v>0.0017721727662380893</x:v>
      </x:c>
      <x:c r="M3490" s="73" t="n">
        <x:f>MAX(M3489,F3490)</x:f>
        <x:v>2.4264</x:v>
      </x:c>
      <x:c r="N3490" s="74" t="n">
        <x:f>1-F3490/M3490</x:f>
        <x:v>0.0017721727662380893</x:v>
      </x:c>
    </x:row>
    <x:row r="3491" ht="27" customHeight="1">
      <x:c r="A3491" s="66" t="str">
        <x:v>SEV580</x:v>
      </x:c>
      <x:c r="B3491" s="66" t="str">
        <x:v>祁腾蜂赢1号</x:v>
      </x:c>
      <x:c r="C3491" s="72" t="n">
        <x:v>46142</x:v>
      </x:c>
      <x:c r="D3491" s="73" t="n">
        <x:v>1.1086</x:v>
      </x:c>
      <x:c r="E3491" s="73" t="n">
        <x:v>1.9259</x:v>
      </x:c>
      <x:c r="F3491" s="73" t="n">
        <x:v>2.4221</x:v>
      </x:c>
      <x:c r="G3491" s="74" t="n">
        <x:v>0</x:v>
      </x:c>
      <x:c r="H3491" s="66" t="str">
        <x:v>祁腾蜂赢1号净值20260911.xlsx</x:v>
      </x:c>
      <x:c r="I3491" s="73" t="n">
        <x:f>MAX(I3490,F3491)</x:f>
        <x:v>2.4264</x:v>
      </x:c>
      <x:c r="J3491" s="74" t="n">
        <x:f>1-F3491/I3491</x:f>
        <x:v>0.0017721727662380893</x:v>
      </x:c>
      <x:c r="K3491" s="73" t="n">
        <x:f>MAX(K3490,F3491)</x:f>
        <x:v>2.4264</x:v>
      </x:c>
      <x:c r="L3491" s="74" t="n">
        <x:f>1-F3491/K3491</x:f>
        <x:v>0.0017721727662380893</x:v>
      </x:c>
      <x:c r="M3491" s="73" t="n">
        <x:f>MAX(M3490,F3491)</x:f>
        <x:v>2.4264</x:v>
      </x:c>
      <x:c r="N3491" s="74" t="n">
        <x:f>1-F3491/M3491</x:f>
        <x:v>0.0017721727662380893</x:v>
      </x:c>
    </x:row>
    <x:row r="3492" ht="27" customHeight="1">
      <x:c r="A3492" s="66" t="str">
        <x:v>SEV580</x:v>
      </x:c>
      <x:c r="B3492" s="66" t="str">
        <x:v>祁腾蜂赢1号</x:v>
      </x:c>
      <x:c r="C3492" s="72" t="n">
        <x:v>46148</x:v>
      </x:c>
      <x:c r="D3492" s="73" t="n">
        <x:v>1.1064</x:v>
      </x:c>
      <x:c r="E3492" s="73" t="n">
        <x:v>1.9237</x:v>
      </x:c>
      <x:c r="F3492" s="73" t="n">
        <x:v>2.4173</x:v>
      </x:c>
      <x:c r="G3492" s="74" t="n">
        <x:v>-0.002</x:v>
      </x:c>
      <x:c r="H3492" s="66" t="str">
        <x:v>祁腾蜂赢1号净值20260911.xlsx</x:v>
      </x:c>
      <x:c r="I3492" s="73" t="n">
        <x:f>MAX(I3491,F3492)</x:f>
        <x:v>2.4264</x:v>
      </x:c>
      <x:c r="J3492" s="74" t="n">
        <x:f>1-F3492/I3492</x:f>
        <x:v>0.003750412133201486</x:v>
      </x:c>
      <x:c r="K3492" s="73" t="n">
        <x:f>MAX(K3491,F3492)</x:f>
        <x:v>2.4264</x:v>
      </x:c>
      <x:c r="L3492" s="74" t="n">
        <x:f>1-F3492/K3492</x:f>
        <x:v>0.003750412133201486</x:v>
      </x:c>
      <x:c r="M3492" s="73" t="n">
        <x:f>MAX(M3491,F3492)</x:f>
        <x:v>2.4264</x:v>
      </x:c>
      <x:c r="N3492" s="74" t="n">
        <x:f>1-F3492/M3492</x:f>
        <x:v>0.003750412133201486</x:v>
      </x:c>
    </x:row>
    <x:row r="3493" ht="27" customHeight="1">
      <x:c r="A3493" s="66" t="str">
        <x:v>SEV580</x:v>
      </x:c>
      <x:c r="B3493" s="66" t="str">
        <x:v>祁腾蜂赢1号</x:v>
      </x:c>
      <x:c r="C3493" s="72" t="n">
        <x:v>46149</x:v>
      </x:c>
      <x:c r="D3493" s="73" t="n">
        <x:v>1.1064</x:v>
      </x:c>
      <x:c r="E3493" s="73" t="n">
        <x:v>1.9237</x:v>
      </x:c>
      <x:c r="F3493" s="73" t="n">
        <x:v>2.4173</x:v>
      </x:c>
      <x:c r="G3493" s="74" t="n">
        <x:v>0</x:v>
      </x:c>
      <x:c r="H3493" s="66" t="str">
        <x:v>祁腾蜂赢1号净值20260911.xlsx</x:v>
      </x:c>
      <x:c r="I3493" s="73" t="n">
        <x:f>MAX(I3492,F3493)</x:f>
        <x:v>2.4264</x:v>
      </x:c>
      <x:c r="J3493" s="74" t="n">
        <x:f>1-F3493/I3493</x:f>
        <x:v>0.003750412133201486</x:v>
      </x:c>
      <x:c r="K3493" s="73" t="n">
        <x:f>MAX(K3492,F3493)</x:f>
        <x:v>2.4264</x:v>
      </x:c>
      <x:c r="L3493" s="74" t="n">
        <x:f>1-F3493/K3493</x:f>
        <x:v>0.003750412133201486</x:v>
      </x:c>
      <x:c r="M3493" s="73" t="n">
        <x:f>MAX(M3492,F3493)</x:f>
        <x:v>2.4264</x:v>
      </x:c>
      <x:c r="N3493" s="74" t="n">
        <x:f>1-F3493/M3493</x:f>
        <x:v>0.003750412133201486</x:v>
      </x:c>
    </x:row>
    <x:row r="3494" ht="27" customHeight="1">
      <x:c r="A3494" s="66" t="str">
        <x:v>SEV580</x:v>
      </x:c>
      <x:c r="B3494" s="66" t="str">
        <x:v>祁腾蜂赢1号</x:v>
      </x:c>
      <x:c r="C3494" s="72" t="n">
        <x:v>46150</x:v>
      </x:c>
      <x:c r="D3494" s="73" t="n">
        <x:v>1.1063</x:v>
      </x:c>
      <x:c r="E3494" s="73" t="n">
        <x:v>1.9236</x:v>
      </x:c>
      <x:c r="F3494" s="73" t="n">
        <x:v>2.417</x:v>
      </x:c>
      <x:c r="G3494" s="74" t="n">
        <x:v>-0.0001</x:v>
      </x:c>
      <x:c r="H3494" s="66" t="str">
        <x:v>祁腾蜂赢1号净值20260911.xlsx</x:v>
      </x:c>
      <x:c r="I3494" s="73" t="n">
        <x:f>MAX(I3493,F3494)</x:f>
        <x:v>2.4264</x:v>
      </x:c>
      <x:c r="J3494" s="74" t="n">
        <x:f>1-F3494/I3494</x:f>
        <x:v>0.0038740520936367817</x:v>
      </x:c>
      <x:c r="K3494" s="73" t="n">
        <x:f>MAX(K3493,F3494)</x:f>
        <x:v>2.4264</x:v>
      </x:c>
      <x:c r="L3494" s="74" t="n">
        <x:f>1-F3494/K3494</x:f>
        <x:v>0.0038740520936367817</x:v>
      </x:c>
      <x:c r="M3494" s="73" t="n">
        <x:f>MAX(M3493,F3494)</x:f>
        <x:v>2.4264</x:v>
      </x:c>
      <x:c r="N3494" s="74" t="n">
        <x:f>1-F3494/M3494</x:f>
        <x:v>0.0038740520936367817</x:v>
      </x:c>
    </x:row>
    <x:row r="3495" ht="27" customHeight="1">
      <x:c r="A3495" s="66" t="str">
        <x:v>SEV580</x:v>
      </x:c>
      <x:c r="B3495" s="66" t="str">
        <x:v>祁腾蜂赢1号</x:v>
      </x:c>
      <x:c r="C3495" s="72" t="n">
        <x:v>46153</x:v>
      </x:c>
      <x:c r="D3495" s="73" t="n">
        <x:v>1.1063</x:v>
      </x:c>
      <x:c r="E3495" s="73" t="n">
        <x:v>1.9236</x:v>
      </x:c>
      <x:c r="F3495" s="73" t="n">
        <x:v>2.417</x:v>
      </x:c>
      <x:c r="G3495" s="74" t="n">
        <x:v>0</x:v>
      </x:c>
      <x:c r="H3495" s="66" t="str">
        <x:v>祁腾蜂赢1号净值20260911.xlsx</x:v>
      </x:c>
      <x:c r="I3495" s="73" t="n">
        <x:f>MAX(I3494,F3495)</x:f>
        <x:v>2.4264</x:v>
      </x:c>
      <x:c r="J3495" s="74" t="n">
        <x:f>1-F3495/I3495</x:f>
        <x:v>0.0038740520936367817</x:v>
      </x:c>
      <x:c r="K3495" s="73" t="n">
        <x:f>MAX(K3494,F3495)</x:f>
        <x:v>2.4264</x:v>
      </x:c>
      <x:c r="L3495" s="74" t="n">
        <x:f>1-F3495/K3495</x:f>
        <x:v>0.0038740520936367817</x:v>
      </x:c>
      <x:c r="M3495" s="73" t="n">
        <x:f>MAX(M3494,F3495)</x:f>
        <x:v>2.4264</x:v>
      </x:c>
      <x:c r="N3495" s="74" t="n">
        <x:f>1-F3495/M3495</x:f>
        <x:v>0.0038740520936367817</x:v>
      </x:c>
    </x:row>
    <x:row r="3496" ht="27" customHeight="1">
      <x:c r="A3496" s="66" t="str">
        <x:v>SEV580</x:v>
      </x:c>
      <x:c r="B3496" s="66" t="str">
        <x:v>祁腾蜂赢1号</x:v>
      </x:c>
      <x:c r="C3496" s="72" t="n">
        <x:v>46154</x:v>
      </x:c>
      <x:c r="D3496" s="73" t="n">
        <x:v>1.1058</x:v>
      </x:c>
      <x:c r="E3496" s="73" t="n">
        <x:v>1.9231</x:v>
      </x:c>
      <x:c r="F3496" s="73" t="n">
        <x:v>2.4159</x:v>
      </x:c>
      <x:c r="G3496" s="74" t="n">
        <x:v>-0.0005</x:v>
      </x:c>
      <x:c r="H3496" s="66" t="str">
        <x:v>祁腾蜂赢1号净值20260911.xlsx</x:v>
      </x:c>
      <x:c r="I3496" s="73" t="n">
        <x:f>MAX(I3495,F3496)</x:f>
        <x:v>2.4264</x:v>
      </x:c>
      <x:c r="J3496" s="74" t="n">
        <x:f>1-F3496/I3496</x:f>
        <x:v>0.004327398615232458</x:v>
      </x:c>
      <x:c r="K3496" s="73" t="n">
        <x:f>MAX(K3495,F3496)</x:f>
        <x:v>2.4264</x:v>
      </x:c>
      <x:c r="L3496" s="74" t="n">
        <x:f>1-F3496/K3496</x:f>
        <x:v>0.004327398615232458</x:v>
      </x:c>
      <x:c r="M3496" s="73" t="n">
        <x:f>MAX(M3495,F3496)</x:f>
        <x:v>2.4264</x:v>
      </x:c>
      <x:c r="N3496" s="74" t="n">
        <x:f>1-F3496/M3496</x:f>
        <x:v>0.004327398615232458</x:v>
      </x:c>
    </x:row>
    <x:row r="3497" ht="27" customHeight="1">
      <x:c r="A3497" s="66" t="str">
        <x:v>SEV580</x:v>
      </x:c>
      <x:c r="B3497" s="66" t="str">
        <x:v>祁腾蜂赢1号</x:v>
      </x:c>
      <x:c r="C3497" s="72" t="n">
        <x:v>46155</x:v>
      </x:c>
      <x:c r="D3497" s="73" t="n">
        <x:v>1.1052</x:v>
      </x:c>
      <x:c r="E3497" s="73" t="n">
        <x:v>1.9225</x:v>
      </x:c>
      <x:c r="F3497" s="73" t="n">
        <x:v>2.4146</x:v>
      </x:c>
      <x:c r="G3497" s="74" t="n">
        <x:v>-0.0005</x:v>
      </x:c>
      <x:c r="H3497" s="66" t="str">
        <x:v>祁腾蜂赢1号净值20260911.xlsx</x:v>
      </x:c>
      <x:c r="I3497" s="73" t="n">
        <x:f>MAX(I3496,F3497)</x:f>
        <x:v>2.4264</x:v>
      </x:c>
      <x:c r="J3497" s="74" t="n">
        <x:f>1-F3497/I3497</x:f>
        <x:v>0.004863171777118369</x:v>
      </x:c>
      <x:c r="K3497" s="73" t="n">
        <x:f>MAX(K3496,F3497)</x:f>
        <x:v>2.4264</x:v>
      </x:c>
      <x:c r="L3497" s="74" t="n">
        <x:f>1-F3497/K3497</x:f>
        <x:v>0.004863171777118369</x:v>
      </x:c>
      <x:c r="M3497" s="73" t="n">
        <x:f>MAX(M3496,F3497)</x:f>
        <x:v>2.4264</x:v>
      </x:c>
      <x:c r="N3497" s="74" t="n">
        <x:f>1-F3497/M3497</x:f>
        <x:v>0.004863171777118369</x:v>
      </x:c>
    </x:row>
    <x:row r="3498" ht="27" customHeight="1">
      <x:c r="A3498" s="66" t="str">
        <x:v>SEV580</x:v>
      </x:c>
      <x:c r="B3498" s="66" t="str">
        <x:v>祁腾蜂赢1号</x:v>
      </x:c>
      <x:c r="C3498" s="72" t="n">
        <x:v>46156</x:v>
      </x:c>
      <x:c r="D3498" s="73" t="n">
        <x:v>1.1055</x:v>
      </x:c>
      <x:c r="E3498" s="73" t="n">
        <x:v>1.9228</x:v>
      </x:c>
      <x:c r="F3498" s="73" t="n">
        <x:v>2.4153</x:v>
      </x:c>
      <x:c r="G3498" s="74" t="n">
        <x:v>0.0003</x:v>
      </x:c>
      <x:c r="H3498" s="66" t="str">
        <x:v>祁腾蜂赢1号净值20260911.xlsx</x:v>
      </x:c>
      <x:c r="I3498" s="73" t="n">
        <x:f>MAX(I3497,F3498)</x:f>
        <x:v>2.4264</x:v>
      </x:c>
      <x:c r="J3498" s="74" t="n">
        <x:f>1-F3498/I3498</x:f>
        <x:v>0.0045746785361030495</x:v>
      </x:c>
      <x:c r="K3498" s="73" t="n">
        <x:f>MAX(K3497,F3498)</x:f>
        <x:v>2.4264</x:v>
      </x:c>
      <x:c r="L3498" s="74" t="n">
        <x:f>1-F3498/K3498</x:f>
        <x:v>0.0045746785361030495</x:v>
      </x:c>
      <x:c r="M3498" s="73" t="n">
        <x:f>MAX(M3497,F3498)</x:f>
        <x:v>2.4264</x:v>
      </x:c>
      <x:c r="N3498" s="74" t="n">
        <x:f>1-F3498/M3498</x:f>
        <x:v>0.0045746785361030495</x:v>
      </x:c>
    </x:row>
    <x:row r="3499" ht="27" customHeight="1">
      <x:c r="A3499" s="66" t="str">
        <x:v>SEV580</x:v>
      </x:c>
      <x:c r="B3499" s="66" t="str">
        <x:v>祁腾蜂赢1号</x:v>
      </x:c>
      <x:c r="C3499" s="72" t="n">
        <x:v>46157</x:v>
      </x:c>
      <x:c r="D3499" s="73" t="n">
        <x:v>1.107</x:v>
      </x:c>
      <x:c r="E3499" s="73" t="n">
        <x:v>1.9243</x:v>
      </x:c>
      <x:c r="F3499" s="73" t="n">
        <x:v>2.4186</x:v>
      </x:c>
      <x:c r="G3499" s="74" t="n">
        <x:v>0.0014000000000000002</x:v>
      </x:c>
      <x:c r="H3499" s="66" t="str">
        <x:v>祁腾蜂赢1号净值20260911.xlsx</x:v>
      </x:c>
      <x:c r="I3499" s="73" t="n">
        <x:f>MAX(I3498,F3499)</x:f>
        <x:v>2.4264</x:v>
      </x:c>
      <x:c r="J3499" s="74" t="n">
        <x:f>1-F3499/I3499</x:f>
        <x:v>0.0032146389713155754</x:v>
      </x:c>
      <x:c r="K3499" s="73" t="n">
        <x:f>MAX(K3498,F3499)</x:f>
        <x:v>2.4264</x:v>
      </x:c>
      <x:c r="L3499" s="74" t="n">
        <x:f>1-F3499/K3499</x:f>
        <x:v>0.0032146389713155754</x:v>
      </x:c>
      <x:c r="M3499" s="73" t="n">
        <x:f>MAX(M3498,F3499)</x:f>
        <x:v>2.4264</x:v>
      </x:c>
      <x:c r="N3499" s="74" t="n">
        <x:f>1-F3499/M3499</x:f>
        <x:v>0.0032146389713155754</x:v>
      </x:c>
    </x:row>
    <x:row r="3500" ht="27" customHeight="1">
      <x:c r="A3500" s="66" t="str">
        <x:v>SEV580</x:v>
      </x:c>
      <x:c r="B3500" s="66" t="str">
        <x:v>祁腾蜂赢1号</x:v>
      </x:c>
      <x:c r="C3500" s="72" t="n">
        <x:v>46160</x:v>
      </x:c>
      <x:c r="D3500" s="73" t="n">
        <x:v>1.1065</x:v>
      </x:c>
      <x:c r="E3500" s="73" t="n">
        <x:v>1.9238</x:v>
      </x:c>
      <x:c r="F3500" s="73" t="n">
        <x:v>2.4175</x:v>
      </x:c>
      <x:c r="G3500" s="74" t="n">
        <x:v>-0.0005</x:v>
      </x:c>
      <x:c r="H3500" s="66" t="str">
        <x:v>祁腾蜂赢1号净值20260911.xlsx</x:v>
      </x:c>
      <x:c r="I3500" s="73" t="n">
        <x:f>MAX(I3499,F3500)</x:f>
        <x:v>2.4264</x:v>
      </x:c>
      <x:c r="J3500" s="74" t="n">
        <x:f>1-F3500/I3500</x:f>
        <x:v>0.003667985492911363</x:v>
      </x:c>
      <x:c r="K3500" s="73" t="n">
        <x:f>MAX(K3499,F3500)</x:f>
        <x:v>2.4264</x:v>
      </x:c>
      <x:c r="L3500" s="74" t="n">
        <x:f>1-F3500/K3500</x:f>
        <x:v>0.003667985492911363</x:v>
      </x:c>
      <x:c r="M3500" s="73" t="n">
        <x:f>MAX(M3499,F3500)</x:f>
        <x:v>2.4264</x:v>
      </x:c>
      <x:c r="N3500" s="74" t="n">
        <x:f>1-F3500/M3500</x:f>
        <x:v>0.003667985492911363</x:v>
      </x:c>
    </x:row>
    <x:row r="3501" ht="27" customHeight="1">
      <x:c r="A3501" s="66" t="str">
        <x:v>SEV580</x:v>
      </x:c>
      <x:c r="B3501" s="66" t="str">
        <x:v>祁腾蜂赢1号</x:v>
      </x:c>
      <x:c r="C3501" s="72" t="n">
        <x:v>46161</x:v>
      </x:c>
      <x:c r="D3501" s="73" t="n">
        <x:v>1.1072</x:v>
      </x:c>
      <x:c r="E3501" s="73" t="n">
        <x:v>1.9245</x:v>
      </x:c>
      <x:c r="F3501" s="73" t="n">
        <x:v>2.419</x:v>
      </x:c>
      <x:c r="G3501" s="74" t="n">
        <x:v>0.0006</x:v>
      </x:c>
      <x:c r="H3501" s="66" t="str">
        <x:v>祁腾蜂赢1号净值20260911.xlsx</x:v>
      </x:c>
      <x:c r="I3501" s="73" t="n">
        <x:f>MAX(I3500,F3501)</x:f>
        <x:v>2.4264</x:v>
      </x:c>
      <x:c r="J3501" s="74" t="n">
        <x:f>1-F3501/I3501</x:f>
        <x:v>0.0030497856907353293</x:v>
      </x:c>
      <x:c r="K3501" s="73" t="n">
        <x:f>MAX(K3500,F3501)</x:f>
        <x:v>2.4264</x:v>
      </x:c>
      <x:c r="L3501" s="74" t="n">
        <x:f>1-F3501/K3501</x:f>
        <x:v>0.0030497856907353293</x:v>
      </x:c>
      <x:c r="M3501" s="73" t="n">
        <x:f>MAX(M3500,F3501)</x:f>
        <x:v>2.4264</x:v>
      </x:c>
      <x:c r="N3501" s="74" t="n">
        <x:f>1-F3501/M3501</x:f>
        <x:v>0.0030497856907353293</x:v>
      </x:c>
    </x:row>
    <x:row r="3502" ht="27" customHeight="1">
      <x:c r="A3502" s="66" t="str">
        <x:v>SEV580</x:v>
      </x:c>
      <x:c r="B3502" s="66" t="str">
        <x:v>祁腾蜂赢1号</x:v>
      </x:c>
      <x:c r="C3502" s="72" t="n">
        <x:v>46162</x:v>
      </x:c>
      <x:c r="D3502" s="73" t="n">
        <x:v>1.1073</x:v>
      </x:c>
      <x:c r="E3502" s="73" t="n">
        <x:v>1.9246</x:v>
      </x:c>
      <x:c r="F3502" s="73" t="n">
        <x:v>2.4192</x:v>
      </x:c>
      <x:c r="G3502" s="74" t="n">
        <x:v>0.0001</x:v>
      </x:c>
      <x:c r="H3502" s="66" t="str">
        <x:v>祁腾蜂赢1号净值20260911.xlsx</x:v>
      </x:c>
      <x:c r="I3502" s="73" t="n">
        <x:f>MAX(I3501,F3502)</x:f>
        <x:v>2.4264</x:v>
      </x:c>
      <x:c r="J3502" s="74" t="n">
        <x:f>1-F3502/I3502</x:f>
        <x:v>0.0029673590504450953</x:v>
      </x:c>
      <x:c r="K3502" s="73" t="n">
        <x:f>MAX(K3501,F3502)</x:f>
        <x:v>2.4264</x:v>
      </x:c>
      <x:c r="L3502" s="74" t="n">
        <x:f>1-F3502/K3502</x:f>
        <x:v>0.0029673590504450953</x:v>
      </x:c>
      <x:c r="M3502" s="73" t="n">
        <x:f>MAX(M3501,F3502)</x:f>
        <x:v>2.4264</x:v>
      </x:c>
      <x:c r="N3502" s="74" t="n">
        <x:f>1-F3502/M3502</x:f>
        <x:v>0.0029673590504450953</x:v>
      </x:c>
    </x:row>
    <x:row r="3503" ht="27" customHeight="1">
      <x:c r="A3503" s="66" t="str">
        <x:v>SEV580</x:v>
      </x:c>
      <x:c r="B3503" s="66" t="str">
        <x:v>祁腾蜂赢1号</x:v>
      </x:c>
      <x:c r="C3503" s="72" t="n">
        <x:v>46163</x:v>
      </x:c>
      <x:c r="D3503" s="73" t="n">
        <x:v>1.108</x:v>
      </x:c>
      <x:c r="E3503" s="73" t="n">
        <x:v>1.9253</x:v>
      </x:c>
      <x:c r="F3503" s="73" t="n">
        <x:v>2.4208</x:v>
      </x:c>
      <x:c r="G3503" s="74" t="n">
        <x:v>0.0006</x:v>
      </x:c>
      <x:c r="H3503" s="66" t="str">
        <x:v>祁腾蜂赢1号净值20260911.xlsx</x:v>
      </x:c>
      <x:c r="I3503" s="73" t="n">
        <x:f>MAX(I3502,F3503)</x:f>
        <x:v>2.4264</x:v>
      </x:c>
      <x:c r="J3503" s="74" t="n">
        <x:f>1-F3503/I3503</x:f>
        <x:v>0.002307945928124111</x:v>
      </x:c>
      <x:c r="K3503" s="73" t="n">
        <x:f>MAX(K3502,F3503)</x:f>
        <x:v>2.4264</x:v>
      </x:c>
      <x:c r="L3503" s="74" t="n">
        <x:f>1-F3503/K3503</x:f>
        <x:v>0.002307945928124111</x:v>
      </x:c>
      <x:c r="M3503" s="73" t="n">
        <x:f>MAX(M3502,F3503)</x:f>
        <x:v>2.4264</x:v>
      </x:c>
      <x:c r="N3503" s="74" t="n">
        <x:f>1-F3503/M3503</x:f>
        <x:v>0.002307945928124111</x:v>
      </x:c>
    </x:row>
    <x:row r="3504" ht="27" customHeight="1">
      <x:c r="A3504" s="66" t="str">
        <x:v>SEV580</x:v>
      </x:c>
      <x:c r="B3504" s="66" t="str">
        <x:v>祁腾蜂赢1号</x:v>
      </x:c>
      <x:c r="C3504" s="72" t="n">
        <x:v>46164</x:v>
      </x:c>
      <x:c r="D3504" s="73" t="n">
        <x:v>1.1079</x:v>
      </x:c>
      <x:c r="E3504" s="73" t="n">
        <x:v>1.9252</x:v>
      </x:c>
      <x:c r="F3504" s="73" t="n">
        <x:v>2.4205</x:v>
      </x:c>
      <x:c r="G3504" s="74" t="n">
        <x:v>-0.0001</x:v>
      </x:c>
      <x:c r="H3504" s="66" t="str">
        <x:v>祁腾蜂赢1号净值20260911.xlsx</x:v>
      </x:c>
      <x:c r="I3504" s="73" t="n">
        <x:f>MAX(I3503,F3504)</x:f>
        <x:v>2.4264</x:v>
      </x:c>
      <x:c r="J3504" s="74" t="n">
        <x:f>1-F3504/I3504</x:f>
        <x:v>0.0024315858885591846</x:v>
      </x:c>
      <x:c r="K3504" s="73" t="n">
        <x:f>MAX(K3503,F3504)</x:f>
        <x:v>2.4264</x:v>
      </x:c>
      <x:c r="L3504" s="74" t="n">
        <x:f>1-F3504/K3504</x:f>
        <x:v>0.0024315858885591846</x:v>
      </x:c>
      <x:c r="M3504" s="73" t="n">
        <x:f>MAX(M3503,F3504)</x:f>
        <x:v>2.4264</x:v>
      </x:c>
      <x:c r="N3504" s="74" t="n">
        <x:f>1-F3504/M3504</x:f>
        <x:v>0.0024315858885591846</x:v>
      </x:c>
    </x:row>
    <x:row r="3505" ht="27" customHeight="1">
      <x:c r="A3505" s="66" t="str">
        <x:v>SEV580</x:v>
      </x:c>
      <x:c r="B3505" s="66" t="str">
        <x:v>祁腾蜂赢1号</x:v>
      </x:c>
      <x:c r="C3505" s="72" t="n">
        <x:v>46167</x:v>
      </x:c>
      <x:c r="D3505" s="73" t="n">
        <x:v>1.108</x:v>
      </x:c>
      <x:c r="E3505" s="73" t="n">
        <x:v>1.9253</x:v>
      </x:c>
      <x:c r="F3505" s="73" t="n">
        <x:v>2.4208</x:v>
      </x:c>
      <x:c r="G3505" s="74" t="n">
        <x:v>0.0001</x:v>
      </x:c>
      <x:c r="H3505" s="66" t="str">
        <x:v>祁腾蜂赢1号净值20260911.xlsx</x:v>
      </x:c>
      <x:c r="I3505" s="73" t="n">
        <x:f>MAX(I3504,F3505)</x:f>
        <x:v>2.4264</x:v>
      </x:c>
      <x:c r="J3505" s="74" t="n">
        <x:f>1-F3505/I3505</x:f>
        <x:v>0.002307945928124111</x:v>
      </x:c>
      <x:c r="K3505" s="73" t="n">
        <x:f>MAX(K3504,F3505)</x:f>
        <x:v>2.4264</x:v>
      </x:c>
      <x:c r="L3505" s="74" t="n">
        <x:f>1-F3505/K3505</x:f>
        <x:v>0.002307945928124111</x:v>
      </x:c>
      <x:c r="M3505" s="73" t="n">
        <x:f>MAX(M3504,F3505)</x:f>
        <x:v>2.4264</x:v>
      </x:c>
      <x:c r="N3505" s="74" t="n">
        <x:f>1-F3505/M3505</x:f>
        <x:v>0.002307945928124111</x:v>
      </x:c>
    </x:row>
    <x:row r="3506" ht="27" customHeight="1">
      <x:c r="A3506" s="66" t="str">
        <x:v>SEV580</x:v>
      </x:c>
      <x:c r="B3506" s="66" t="str">
        <x:v>祁腾蜂赢1号</x:v>
      </x:c>
      <x:c r="C3506" s="72" t="n">
        <x:v>46168</x:v>
      </x:c>
      <x:c r="D3506" s="73" t="n">
        <x:v>1.1082</x:v>
      </x:c>
      <x:c r="E3506" s="73" t="n">
        <x:v>1.9255</x:v>
      </x:c>
      <x:c r="F3506" s="73" t="n">
        <x:v>2.4212</x:v>
      </x:c>
      <x:c r="G3506" s="74" t="n">
        <x:v>0.0002</x:v>
      </x:c>
      <x:c r="H3506" s="66" t="str">
        <x:v>祁腾蜂赢1号净值20260911.xlsx</x:v>
      </x:c>
      <x:c r="I3506" s="73" t="n">
        <x:f>MAX(I3505,F3506)</x:f>
        <x:v>2.4264</x:v>
      </x:c>
      <x:c r="J3506" s="74" t="n">
        <x:f>1-F3506/I3506</x:f>
        <x:v>0.002143092647543865</x:v>
      </x:c>
      <x:c r="K3506" s="73" t="n">
        <x:f>MAX(K3505,F3506)</x:f>
        <x:v>2.4264</x:v>
      </x:c>
      <x:c r="L3506" s="74" t="n">
        <x:f>1-F3506/K3506</x:f>
        <x:v>0.002143092647543865</x:v>
      </x:c>
      <x:c r="M3506" s="73" t="n">
        <x:f>MAX(M3505,F3506)</x:f>
        <x:v>2.4264</x:v>
      </x:c>
      <x:c r="N3506" s="74" t="n">
        <x:f>1-F3506/M3506</x:f>
        <x:v>0.002143092647543865</x:v>
      </x:c>
    </x:row>
    <x:row r="3507" ht="27" customHeight="1">
      <x:c r="A3507" s="66" t="str">
        <x:v>SEV580</x:v>
      </x:c>
      <x:c r="B3507" s="66" t="str">
        <x:v>祁腾蜂赢1号</x:v>
      </x:c>
      <x:c r="C3507" s="72" t="n">
        <x:v>46169</x:v>
      </x:c>
      <x:c r="D3507" s="73" t="n">
        <x:v>1.1091</x:v>
      </x:c>
      <x:c r="E3507" s="73" t="n">
        <x:v>1.9264</x:v>
      </x:c>
      <x:c r="F3507" s="73" t="n">
        <x:v>2.4232</x:v>
      </x:c>
      <x:c r="G3507" s="74" t="n">
        <x:v>0.0008</x:v>
      </x:c>
      <x:c r="H3507" s="66" t="str">
        <x:v>祁腾蜂赢1号净值20260911.xlsx</x:v>
      </x:c>
      <x:c r="I3507" s="73" t="n">
        <x:f>MAX(I3506,F3507)</x:f>
        <x:v>2.4264</x:v>
      </x:c>
      <x:c r="J3507" s="74" t="n">
        <x:f>1-F3507/I3507</x:f>
        <x:v>0.0013188262446423016</x:v>
      </x:c>
      <x:c r="K3507" s="73" t="n">
        <x:f>MAX(K3506,F3507)</x:f>
        <x:v>2.4264</x:v>
      </x:c>
      <x:c r="L3507" s="74" t="n">
        <x:f>1-F3507/K3507</x:f>
        <x:v>0.0013188262446423016</x:v>
      </x:c>
      <x:c r="M3507" s="73" t="n">
        <x:f>MAX(M3506,F3507)</x:f>
        <x:v>2.4264</x:v>
      </x:c>
      <x:c r="N3507" s="74" t="n">
        <x:f>1-F3507/M3507</x:f>
        <x:v>0.0013188262446423016</x:v>
      </x:c>
    </x:row>
    <x:row r="3508" ht="27" customHeight="1">
      <x:c r="A3508" s="66" t="str">
        <x:v>SEV580</x:v>
      </x:c>
      <x:c r="B3508" s="66" t="str">
        <x:v>祁腾蜂赢1号</x:v>
      </x:c>
      <x:c r="C3508" s="72" t="n">
        <x:v>46170</x:v>
      </x:c>
      <x:c r="D3508" s="73" t="n">
        <x:v>1.109</x:v>
      </x:c>
      <x:c r="E3508" s="73" t="n">
        <x:v>1.9263</x:v>
      </x:c>
      <x:c r="F3508" s="73" t="n">
        <x:v>2.4229</x:v>
      </x:c>
      <x:c r="G3508" s="74" t="n">
        <x:v>-0.0001</x:v>
      </x:c>
      <x:c r="H3508" s="66" t="str">
        <x:v>祁腾蜂赢1号净值20260911.xlsx</x:v>
      </x:c>
      <x:c r="I3508" s="73" t="n">
        <x:f>MAX(I3507,F3508)</x:f>
        <x:v>2.4264</x:v>
      </x:c>
      <x:c r="J3508" s="74" t="n">
        <x:f>1-F3508/I3508</x:f>
        <x:v>0.0014424662050775972</x:v>
      </x:c>
      <x:c r="K3508" s="73" t="n">
        <x:f>MAX(K3507,F3508)</x:f>
        <x:v>2.4264</x:v>
      </x:c>
      <x:c r="L3508" s="74" t="n">
        <x:f>1-F3508/K3508</x:f>
        <x:v>0.0014424662050775972</x:v>
      </x:c>
      <x:c r="M3508" s="73" t="n">
        <x:f>MAX(M3507,F3508)</x:f>
        <x:v>2.4264</x:v>
      </x:c>
      <x:c r="N3508" s="74" t="n">
        <x:f>1-F3508/M3508</x:f>
        <x:v>0.0014424662050775972</x:v>
      </x:c>
    </x:row>
    <x:row r="3509" ht="27" customHeight="1">
      <x:c r="A3509" s="66" t="str">
        <x:v>SEV580</x:v>
      </x:c>
      <x:c r="B3509" s="66" t="str">
        <x:v>祁腾蜂赢1号</x:v>
      </x:c>
      <x:c r="C3509" s="72" t="n">
        <x:v>46171</x:v>
      </x:c>
      <x:c r="D3509" s="73" t="n">
        <x:v>1.1095</x:v>
      </x:c>
      <x:c r="E3509" s="73" t="n">
        <x:v>1.9268</x:v>
      </x:c>
      <x:c r="F3509" s="73" t="n">
        <x:v>2.424</x:v>
      </x:c>
      <x:c r="G3509" s="74" t="n">
        <x:v>0.0005</x:v>
      </x:c>
      <x:c r="H3509" s="66" t="str">
        <x:v>祁腾蜂赢1号净值20260911.xlsx</x:v>
      </x:c>
      <x:c r="I3509" s="73" t="n">
        <x:f>MAX(I3508,F3509)</x:f>
        <x:v>2.4264</x:v>
      </x:c>
      <x:c r="J3509" s="74" t="n">
        <x:f>1-F3509/I3509</x:f>
        <x:v>0.0009891196834818095</x:v>
      </x:c>
      <x:c r="K3509" s="73" t="n">
        <x:f>MAX(K3508,F3509)</x:f>
        <x:v>2.4264</x:v>
      </x:c>
      <x:c r="L3509" s="74" t="n">
        <x:f>1-F3509/K3509</x:f>
        <x:v>0.0009891196834818095</x:v>
      </x:c>
      <x:c r="M3509" s="73" t="n">
        <x:f>MAX(M3508,F3509)</x:f>
        <x:v>2.4264</x:v>
      </x:c>
      <x:c r="N3509" s="74" t="n">
        <x:f>1-F3509/M3509</x:f>
        <x:v>0.0009891196834818095</x:v>
      </x:c>
    </x:row>
    <x:row r="3510" ht="27" customHeight="1">
      <x:c r="A3510" s="66" t="str">
        <x:v>SEV580</x:v>
      </x:c>
      <x:c r="B3510" s="66" t="str">
        <x:v>祁腾蜂赢1号</x:v>
      </x:c>
      <x:c r="C3510" s="72" t="n">
        <x:v>46174</x:v>
      </x:c>
      <x:c r="D3510" s="73" t="n">
        <x:v>1.1093</x:v>
      </x:c>
      <x:c r="E3510" s="73" t="n">
        <x:v>1.9266</x:v>
      </x:c>
      <x:c r="F3510" s="73" t="n">
        <x:v>2.4236</x:v>
      </x:c>
      <x:c r="G3510" s="74" t="n">
        <x:v>-0.0002</x:v>
      </x:c>
      <x:c r="H3510" s="66" t="str">
        <x:v>祁腾蜂赢1号净值20260911.xlsx</x:v>
      </x:c>
      <x:c r="I3510" s="73" t="n">
        <x:f>MAX(I3509,F3510)</x:f>
        <x:v>2.4264</x:v>
      </x:c>
      <x:c r="J3510" s="74" t="n">
        <x:f>1-F3510/I3510</x:f>
        <x:v>0.0011539729640620555</x:v>
      </x:c>
      <x:c r="K3510" s="73" t="n">
        <x:f>MAX(K3509,F3510)</x:f>
        <x:v>2.4264</x:v>
      </x:c>
      <x:c r="L3510" s="74" t="n">
        <x:f>1-F3510/K3510</x:f>
        <x:v>0.0011539729640620555</x:v>
      </x:c>
      <x:c r="M3510" s="73" t="n">
        <x:f>MAX(M3509,F3510)</x:f>
        <x:v>2.4264</x:v>
      </x:c>
      <x:c r="N3510" s="74" t="n">
        <x:f>1-F3510/M3510</x:f>
        <x:v>0.0011539729640620555</x:v>
      </x:c>
    </x:row>
    <x:row r="3511" ht="27" customHeight="1">
      <x:c r="A3511" s="66" t="str">
        <x:v>SEV580</x:v>
      </x:c>
      <x:c r="B3511" s="66" t="str">
        <x:v>祁腾蜂赢1号</x:v>
      </x:c>
      <x:c r="C3511" s="72" t="n">
        <x:v>46175</x:v>
      </x:c>
      <x:c r="D3511" s="73" t="n">
        <x:v>1.1095</x:v>
      </x:c>
      <x:c r="E3511" s="73" t="n">
        <x:v>1.9268</x:v>
      </x:c>
      <x:c r="F3511" s="73" t="n">
        <x:v>2.424</x:v>
      </x:c>
      <x:c r="G3511" s="74" t="n">
        <x:v>0.0002</x:v>
      </x:c>
      <x:c r="H3511" s="66" t="str">
        <x:v>祁腾蜂赢1号净值20260911.xlsx</x:v>
      </x:c>
      <x:c r="I3511" s="73" t="n">
        <x:f>MAX(I3510,F3511)</x:f>
        <x:v>2.4264</x:v>
      </x:c>
      <x:c r="J3511" s="74" t="n">
        <x:f>1-F3511/I3511</x:f>
        <x:v>0.0009891196834818095</x:v>
      </x:c>
      <x:c r="K3511" s="73" t="n">
        <x:f>MAX(K3510,F3511)</x:f>
        <x:v>2.4264</x:v>
      </x:c>
      <x:c r="L3511" s="74" t="n">
        <x:f>1-F3511/K3511</x:f>
        <x:v>0.0009891196834818095</x:v>
      </x:c>
      <x:c r="M3511" s="73" t="n">
        <x:f>MAX(M3510,F3511)</x:f>
        <x:v>2.4264</x:v>
      </x:c>
      <x:c r="N3511" s="74" t="n">
        <x:f>1-F3511/M3511</x:f>
        <x:v>0.0009891196834818095</x:v>
      </x:c>
    </x:row>
    <x:row r="3512" ht="27" customHeight="1">
      <x:c r="A3512" s="66" t="str">
        <x:v>SEV580</x:v>
      </x:c>
      <x:c r="B3512" s="66" t="str">
        <x:v>祁腾蜂赢1号</x:v>
      </x:c>
      <x:c r="C3512" s="72" t="n">
        <x:v>46176</x:v>
      </x:c>
      <x:c r="D3512" s="73" t="n">
        <x:v>1.11</x:v>
      </x:c>
      <x:c r="E3512" s="73" t="n">
        <x:v>1.9273</x:v>
      </x:c>
      <x:c r="F3512" s="73" t="n">
        <x:v>2.4251</x:v>
      </x:c>
      <x:c r="G3512" s="74" t="n">
        <x:v>0.0005</x:v>
      </x:c>
      <x:c r="H3512" s="66" t="str">
        <x:v>祁腾蜂赢1号净值20260911.xlsx</x:v>
      </x:c>
      <x:c r="I3512" s="73" t="n">
        <x:f>MAX(I3511,F3512)</x:f>
        <x:v>2.4264</x:v>
      </x:c>
      <x:c r="J3512" s="74" t="n">
        <x:f>1-F3512/I3512</x:f>
        <x:v>0.0005357731618859107</x:v>
      </x:c>
      <x:c r="K3512" s="73" t="n">
        <x:f>MAX(K3511,F3512)</x:f>
        <x:v>2.4264</x:v>
      </x:c>
      <x:c r="L3512" s="74" t="n">
        <x:f>1-F3512/K3512</x:f>
        <x:v>0.0005357731618859107</x:v>
      </x:c>
      <x:c r="M3512" s="73" t="n">
        <x:f>MAX(M3511,F3512)</x:f>
        <x:v>2.4264</x:v>
      </x:c>
      <x:c r="N3512" s="74" t="n">
        <x:f>1-F3512/M3512</x:f>
        <x:v>0.0005357731618859107</x:v>
      </x:c>
    </x:row>
    <x:row r="3513" ht="27" customHeight="1">
      <x:c r="A3513" s="66" t="str">
        <x:v>SEV580</x:v>
      </x:c>
      <x:c r="B3513" s="66" t="str">
        <x:v>祁腾蜂赢1号</x:v>
      </x:c>
      <x:c r="C3513" s="72" t="n">
        <x:v>46177</x:v>
      </x:c>
      <x:c r="D3513" s="73" t="n">
        <x:v>1.1099</x:v>
      </x:c>
      <x:c r="E3513" s="73" t="n">
        <x:v>1.9272</x:v>
      </x:c>
      <x:c r="F3513" s="73" t="n">
        <x:v>2.4249</x:v>
      </x:c>
      <x:c r="G3513" s="74" t="n">
        <x:v>-0.0001</x:v>
      </x:c>
      <x:c r="H3513" s="66" t="str">
        <x:v>祁腾蜂赢1号净值20260911.xlsx</x:v>
      </x:c>
      <x:c r="I3513" s="73" t="n">
        <x:f>MAX(I3512,F3513)</x:f>
        <x:v>2.4264</x:v>
      </x:c>
      <x:c r="J3513" s="74" t="n">
        <x:f>1-F3513/I3513</x:f>
        <x:v>0.0006181998021760338</x:v>
      </x:c>
      <x:c r="K3513" s="73" t="n">
        <x:f>MAX(K3512,F3513)</x:f>
        <x:v>2.4264</x:v>
      </x:c>
      <x:c r="L3513" s="74" t="n">
        <x:f>1-F3513/K3513</x:f>
        <x:v>0.0006181998021760338</x:v>
      </x:c>
      <x:c r="M3513" s="73" t="n">
        <x:f>MAX(M3512,F3513)</x:f>
        <x:v>2.4264</x:v>
      </x:c>
      <x:c r="N3513" s="74" t="n">
        <x:f>1-F3513/M3513</x:f>
        <x:v>0.0006181998021760338</x:v>
      </x:c>
    </x:row>
    <x:row r="3514" ht="27" customHeight="1">
      <x:c r="A3514" s="66" t="str">
        <x:v>SEV580</x:v>
      </x:c>
      <x:c r="B3514" s="66" t="str">
        <x:v>祁腾蜂赢1号</x:v>
      </x:c>
      <x:c r="C3514" s="72" t="n">
        <x:v>46178</x:v>
      </x:c>
      <x:c r="D3514" s="73" t="n">
        <x:v>1.1103</x:v>
      </x:c>
      <x:c r="E3514" s="73" t="n">
        <x:v>1.9276</x:v>
      </x:c>
      <x:c r="F3514" s="73" t="n">
        <x:v>2.4258</x:v>
      </x:c>
      <x:c r="G3514" s="74" t="n">
        <x:v>0.0004</x:v>
      </x:c>
      <x:c r="H3514" s="66" t="str">
        <x:v>祁腾蜂赢1号净值20260911.xlsx</x:v>
      </x:c>
      <x:c r="I3514" s="73" t="n">
        <x:f>MAX(I3513,F3514)</x:f>
        <x:v>2.4264</x:v>
      </x:c>
      <x:c r="J3514" s="74" t="n">
        <x:f>1-F3514/I3514</x:f>
        <x:v>0.0002472799208703691</x:v>
      </x:c>
      <x:c r="K3514" s="73" t="n">
        <x:f>MAX(K3513,F3514)</x:f>
        <x:v>2.4264</x:v>
      </x:c>
      <x:c r="L3514" s="74" t="n">
        <x:f>1-F3514/K3514</x:f>
        <x:v>0.0002472799208703691</x:v>
      </x:c>
      <x:c r="M3514" s="73" t="n">
        <x:f>MAX(M3513,F3514)</x:f>
        <x:v>2.4264</x:v>
      </x:c>
      <x:c r="N3514" s="74" t="n">
        <x:f>1-F3514/M3514</x:f>
        <x:v>0.0002472799208703691</x:v>
      </x:c>
    </x:row>
    <x:row r="3515" ht="27" customHeight="1">
      <x:c r="A3515" s="66" t="str">
        <x:v>SEV580</x:v>
      </x:c>
      <x:c r="B3515" s="66" t="str">
        <x:v>祁腾蜂赢1号</x:v>
      </x:c>
      <x:c r="C3515" s="72" t="n">
        <x:v>46181</x:v>
      </x:c>
      <x:c r="D3515" s="73" t="n">
        <x:v>1.1107</x:v>
      </x:c>
      <x:c r="E3515" s="73" t="n">
        <x:v>1.928</x:v>
      </x:c>
      <x:c r="F3515" s="73" t="n">
        <x:v>2.4267</x:v>
      </x:c>
      <x:c r="G3515" s="74" t="n">
        <x:v>0.0004</x:v>
      </x:c>
      <x:c r="H3515" s="66" t="str">
        <x:v>祁腾蜂赢1号净值20260911.xlsx</x:v>
      </x:c>
      <x:c r="I3515" s="73" t="n">
        <x:f>MAX(I3514,F3515)</x:f>
        <x:v>2.4267</x:v>
      </x:c>
      <x:c r="J3515" s="74" t="n">
        <x:f>1-F3515/I3515</x:f>
        <x:v>0</x:v>
      </x:c>
      <x:c r="K3515" s="73" t="n">
        <x:f>MAX(K3514,F3515)</x:f>
        <x:v>2.4267</x:v>
      </x:c>
      <x:c r="L3515" s="74" t="n">
        <x:f>1-F3515/K3515</x:f>
        <x:v>0</x:v>
      </x:c>
      <x:c r="M3515" s="73" t="n">
        <x:f>MAX(M3514,F3515)</x:f>
        <x:v>2.4267</x:v>
      </x:c>
      <x:c r="N3515" s="74" t="n">
        <x:f>1-F3515/M3515</x:f>
        <x:v>0</x:v>
      </x:c>
    </x:row>
    <x:row r="3516" ht="27" customHeight="1">
      <x:c r="A3516" s="66" t="str">
        <x:v>SEV580</x:v>
      </x:c>
      <x:c r="B3516" s="66" t="str">
        <x:v>祁腾蜂赢1号</x:v>
      </x:c>
      <x:c r="C3516" s="72" t="n">
        <x:v>46182</x:v>
      </x:c>
      <x:c r="D3516" s="73" t="n">
        <x:v>1.1108</x:v>
      </x:c>
      <x:c r="E3516" s="73" t="n">
        <x:v>1.9281</x:v>
      </x:c>
      <x:c r="F3516" s="73" t="n">
        <x:v>2.4269</x:v>
      </x:c>
      <x:c r="G3516" s="74" t="n">
        <x:v>0.0001</x:v>
      </x:c>
      <x:c r="H3516" s="66" t="str">
        <x:v>祁腾蜂赢1号净值20260911.xlsx</x:v>
      </x:c>
      <x:c r="I3516" s="73" t="n">
        <x:f>MAX(I3515,F3516)</x:f>
        <x:v>2.4269</x:v>
      </x:c>
      <x:c r="J3516" s="74" t="n">
        <x:f>1-F3516/I3516</x:f>
        <x:v>0</x:v>
      </x:c>
      <x:c r="K3516" s="73" t="n">
        <x:f>MAX(K3515,F3516)</x:f>
        <x:v>2.4269</x:v>
      </x:c>
      <x:c r="L3516" s="74" t="n">
        <x:f>1-F3516/K3516</x:f>
        <x:v>0</x:v>
      </x:c>
      <x:c r="M3516" s="73" t="n">
        <x:f>MAX(M3515,F3516)</x:f>
        <x:v>2.4269</x:v>
      </x:c>
      <x:c r="N3516" s="74" t="n">
        <x:f>1-F3516/M3516</x:f>
        <x:v>0</x:v>
      </x:c>
    </x:row>
    <x:row r="3517" ht="27" customHeight="1">
      <x:c r="A3517" s="66" t="str">
        <x:v>SEV580</x:v>
      </x:c>
      <x:c r="B3517" s="66" t="str">
        <x:v>祁腾蜂赢1号</x:v>
      </x:c>
      <x:c r="C3517" s="72" t="n">
        <x:v>46183</x:v>
      </x:c>
      <x:c r="D3517" s="73" t="n">
        <x:v>1.1106</x:v>
      </x:c>
      <x:c r="E3517" s="73" t="n">
        <x:v>1.9279</x:v>
      </x:c>
      <x:c r="F3517" s="73" t="n">
        <x:v>2.4264</x:v>
      </x:c>
      <x:c r="G3517" s="74" t="n">
        <x:v>-0.0002</x:v>
      </x:c>
      <x:c r="H3517" s="66" t="str">
        <x:v>祁腾蜂赢1号净值20260911.xlsx</x:v>
      </x:c>
      <x:c r="I3517" s="73" t="n">
        <x:f>MAX(I3516,F3517)</x:f>
        <x:v>2.4269</x:v>
      </x:c>
      <x:c r="J3517" s="74" t="n">
        <x:f>1-F3517/I3517</x:f>
        <x:v>0.0002060241460297707</x:v>
      </x:c>
      <x:c r="K3517" s="73" t="n">
        <x:f>MAX(K3516,F3517)</x:f>
        <x:v>2.4269</x:v>
      </x:c>
      <x:c r="L3517" s="74" t="n">
        <x:f>1-F3517/K3517</x:f>
        <x:v>0.0002060241460297707</x:v>
      </x:c>
      <x:c r="M3517" s="73" t="n">
        <x:f>MAX(M3516,F3517)</x:f>
        <x:v>2.4269</x:v>
      </x:c>
      <x:c r="N3517" s="74" t="n">
        <x:f>1-F3517/M3517</x:f>
        <x:v>0.0002060241460297707</x:v>
      </x:c>
    </x:row>
    <x:row r="3518" ht="27" customHeight="1">
      <x:c r="A3518" s="66" t="str">
        <x:v>SEV580</x:v>
      </x:c>
      <x:c r="B3518" s="66" t="str">
        <x:v>祁腾蜂赢1号</x:v>
      </x:c>
      <x:c r="C3518" s="72" t="n">
        <x:v>46184</x:v>
      </x:c>
      <x:c r="D3518" s="73" t="n">
        <x:v>1.1112</x:v>
      </x:c>
      <x:c r="E3518" s="73" t="n">
        <x:v>1.9285</x:v>
      </x:c>
      <x:c r="F3518" s="73" t="n">
        <x:v>2.4277</x:v>
      </x:c>
      <x:c r="G3518" s="74" t="n">
        <x:v>0.0005</x:v>
      </x:c>
      <x:c r="H3518" s="66" t="str">
        <x:v>祁腾蜂赢1号净值20260911.xlsx</x:v>
      </x:c>
      <x:c r="I3518" s="73" t="n">
        <x:f>MAX(I3517,F3518)</x:f>
        <x:v>2.4277</x:v>
      </x:c>
      <x:c r="J3518" s="74" t="n">
        <x:f>1-F3518/I3518</x:f>
        <x:v>0</x:v>
      </x:c>
      <x:c r="K3518" s="73" t="n">
        <x:f>MAX(K3517,F3518)</x:f>
        <x:v>2.4277</x:v>
      </x:c>
      <x:c r="L3518" s="74" t="n">
        <x:f>1-F3518/K3518</x:f>
        <x:v>0</x:v>
      </x:c>
      <x:c r="M3518" s="73" t="n">
        <x:f>MAX(M3517,F3518)</x:f>
        <x:v>2.4277</x:v>
      </x:c>
      <x:c r="N3518" s="74" t="n">
        <x:f>1-F3518/M3518</x:f>
        <x:v>0</x:v>
      </x:c>
    </x:row>
    <x:row r="3519" ht="27" customHeight="1">
      <x:c r="A3519" s="66" t="str">
        <x:v>SEV580</x:v>
      </x:c>
      <x:c r="B3519" s="66" t="str">
        <x:v>祁腾蜂赢1号</x:v>
      </x:c>
      <x:c r="C3519" s="72" t="n">
        <x:v>46185</x:v>
      </x:c>
      <x:c r="D3519" s="73" t="n">
        <x:v>1.1118</x:v>
      </x:c>
      <x:c r="E3519" s="73" t="n">
        <x:v>1.9291</x:v>
      </x:c>
      <x:c r="F3519" s="73" t="n">
        <x:v>2.4291</x:v>
      </x:c>
      <x:c r="G3519" s="74" t="n">
        <x:v>0.0005</x:v>
      </x:c>
      <x:c r="H3519" s="66" t="str">
        <x:v>祁腾蜂赢1号净值20260911.xlsx</x:v>
      </x:c>
      <x:c r="I3519" s="73" t="n">
        <x:f>MAX(I3518,F3519)</x:f>
        <x:v>2.4291</x:v>
      </x:c>
      <x:c r="J3519" s="74" t="n">
        <x:f>1-F3519/I3519</x:f>
        <x:v>0</x:v>
      </x:c>
      <x:c r="K3519" s="73" t="n">
        <x:f>MAX(K3518,F3519)</x:f>
        <x:v>2.4291</x:v>
      </x:c>
      <x:c r="L3519" s="74" t="n">
        <x:f>1-F3519/K3519</x:f>
        <x:v>0</x:v>
      </x:c>
      <x:c r="M3519" s="73" t="n">
        <x:f>MAX(M3518,F3519)</x:f>
        <x:v>2.4291</x:v>
      </x:c>
      <x:c r="N3519" s="74" t="n">
        <x:f>1-F3519/M3519</x:f>
        <x:v>0</x:v>
      </x:c>
    </x:row>
    <x:row r="3520" ht="27" customHeight="1">
      <x:c r="A3520" s="66" t="str">
        <x:v>SEV580</x:v>
      </x:c>
      <x:c r="B3520" s="66" t="str">
        <x:v>祁腾蜂赢1号</x:v>
      </x:c>
      <x:c r="C3520" s="72" t="n">
        <x:v>46188</x:v>
      </x:c>
      <x:c r="D3520" s="73" t="n">
        <x:v>1.1123</x:v>
      </x:c>
      <x:c r="E3520" s="73" t="n">
        <x:v>1.9296</x:v>
      </x:c>
      <x:c r="F3520" s="73" t="n">
        <x:v>2.4301</x:v>
      </x:c>
      <x:c r="G3520" s="74" t="n">
        <x:v>0.0004</x:v>
      </x:c>
      <x:c r="H3520" s="66" t="str">
        <x:v>祁腾蜂赢1号净值20260911.xlsx</x:v>
      </x:c>
      <x:c r="I3520" s="73" t="n">
        <x:f>MAX(I3519,F3520)</x:f>
        <x:v>2.4301</x:v>
      </x:c>
      <x:c r="J3520" s="74" t="n">
        <x:f>1-F3520/I3520</x:f>
        <x:v>0</x:v>
      </x:c>
      <x:c r="K3520" s="73" t="n">
        <x:f>MAX(K3519,F3520)</x:f>
        <x:v>2.4301</x:v>
      </x:c>
      <x:c r="L3520" s="74" t="n">
        <x:f>1-F3520/K3520</x:f>
        <x:v>0</x:v>
      </x:c>
      <x:c r="M3520" s="73" t="n">
        <x:f>MAX(M3519,F3520)</x:f>
        <x:v>2.4301</x:v>
      </x:c>
      <x:c r="N3520" s="74" t="n">
        <x:f>1-F3520/M3520</x:f>
        <x:v>0</x:v>
      </x:c>
    </x:row>
    <x:row r="3521" ht="27" customHeight="1">
      <x:c r="A3521" s="66" t="str">
        <x:v>SEV580</x:v>
      </x:c>
      <x:c r="B3521" s="66" t="str">
        <x:v>祁腾蜂赢1号</x:v>
      </x:c>
      <x:c r="C3521" s="72" t="n">
        <x:v>46189</x:v>
      </x:c>
      <x:c r="D3521" s="73" t="n">
        <x:v>1.1135</x:v>
      </x:c>
      <x:c r="E3521" s="73" t="n">
        <x:v>1.9308</x:v>
      </x:c>
      <x:c r="F3521" s="73" t="n">
        <x:v>2.4328</x:v>
      </x:c>
      <x:c r="G3521" s="74" t="n">
        <x:v>0.0011</x:v>
      </x:c>
      <x:c r="H3521" s="66" t="str">
        <x:v>祁腾蜂赢1号净值20260911.xlsx</x:v>
      </x:c>
      <x:c r="I3521" s="73" t="n">
        <x:f>MAX(I3520,F3521)</x:f>
        <x:v>2.4328</x:v>
      </x:c>
      <x:c r="J3521" s="74" t="n">
        <x:f>1-F3521/I3521</x:f>
        <x:v>0</x:v>
      </x:c>
      <x:c r="K3521" s="73" t="n">
        <x:f>MAX(K3520,F3521)</x:f>
        <x:v>2.4328</x:v>
      </x:c>
      <x:c r="L3521" s="74" t="n">
        <x:f>1-F3521/K3521</x:f>
        <x:v>0</x:v>
      </x:c>
      <x:c r="M3521" s="73" t="n">
        <x:f>MAX(M3520,F3521)</x:f>
        <x:v>2.4328</x:v>
      </x:c>
      <x:c r="N3521" s="74" t="n">
        <x:f>1-F3521/M3521</x:f>
        <x:v>0</x:v>
      </x:c>
    </x:row>
    <x:row r="3522" ht="27" customHeight="1">
      <x:c r="A3522" s="66" t="str">
        <x:v>SEV580</x:v>
      </x:c>
      <x:c r="B3522" s="66" t="str">
        <x:v>祁腾蜂赢1号</x:v>
      </x:c>
      <x:c r="C3522" s="72" t="n">
        <x:v>46190</x:v>
      </x:c>
      <x:c r="D3522" s="73" t="n">
        <x:v>1.1134</x:v>
      </x:c>
      <x:c r="E3522" s="73" t="n">
        <x:v>1.9307</x:v>
      </x:c>
      <x:c r="F3522" s="73" t="n">
        <x:v>2.4326</x:v>
      </x:c>
      <x:c r="G3522" s="74" t="n">
        <x:v>-0.0001</x:v>
      </x:c>
      <x:c r="H3522" s="66" t="str">
        <x:v>祁腾蜂赢1号净值20260911.xlsx</x:v>
      </x:c>
      <x:c r="I3522" s="73" t="n">
        <x:f>MAX(I3521,F3522)</x:f>
        <x:v>2.4328</x:v>
      </x:c>
      <x:c r="J3522" s="74" t="n">
        <x:f>1-F3522/I3522</x:f>
        <x:v>0.00008220979940809503</x:v>
      </x:c>
      <x:c r="K3522" s="73" t="n">
        <x:f>MAX(K3521,F3522)</x:f>
        <x:v>2.4328</x:v>
      </x:c>
      <x:c r="L3522" s="74" t="n">
        <x:f>1-F3522/K3522</x:f>
        <x:v>0.00008220979940809503</x:v>
      </x:c>
      <x:c r="M3522" s="73" t="n">
        <x:f>MAX(M3521,F3522)</x:f>
        <x:v>2.4328</x:v>
      </x:c>
      <x:c r="N3522" s="74" t="n">
        <x:f>1-F3522/M3522</x:f>
        <x:v>0.00008220979940809503</x:v>
      </x:c>
    </x:row>
    <x:row r="3523" ht="27" customHeight="1">
      <x:c r="A3523" s="66" t="str">
        <x:v>SEV580</x:v>
      </x:c>
      <x:c r="B3523" s="66" t="str">
        <x:v>祁腾蜂赢1号</x:v>
      </x:c>
      <x:c r="C3523" s="72" t="n">
        <x:v>46191</x:v>
      </x:c>
      <x:c r="D3523" s="73" t="n">
        <x:v>1.1132</x:v>
      </x:c>
      <x:c r="E3523" s="73" t="n">
        <x:v>1.9305</x:v>
      </x:c>
      <x:c r="F3523" s="73" t="n">
        <x:v>2.4321</x:v>
      </x:c>
      <x:c r="G3523" s="74" t="n">
        <x:v>-0.0002</x:v>
      </x:c>
      <x:c r="H3523" s="66" t="str">
        <x:v>祁腾蜂赢1号净值20260911.xlsx</x:v>
      </x:c>
      <x:c r="I3523" s="73" t="n">
        <x:f>MAX(I3522,F3523)</x:f>
        <x:v>2.4328</x:v>
      </x:c>
      <x:c r="J3523" s="74" t="n">
        <x:f>1-F3523/I3523</x:f>
        <x:v>0.00028773429792816607</x:v>
      </x:c>
      <x:c r="K3523" s="73" t="n">
        <x:f>MAX(K3522,F3523)</x:f>
        <x:v>2.4328</x:v>
      </x:c>
      <x:c r="L3523" s="74" t="n">
        <x:f>1-F3523/K3523</x:f>
        <x:v>0.00028773429792816607</x:v>
      </x:c>
      <x:c r="M3523" s="73" t="n">
        <x:f>MAX(M3522,F3523)</x:f>
        <x:v>2.4328</x:v>
      </x:c>
      <x:c r="N3523" s="74" t="n">
        <x:f>1-F3523/M3523</x:f>
        <x:v>0.00028773429792816607</x:v>
      </x:c>
    </x:row>
    <x:row r="3524" ht="27" customHeight="1">
      <x:c r="A3524" s="66" t="str">
        <x:v>SEV580</x:v>
      </x:c>
      <x:c r="B3524" s="66" t="str">
        <x:v>祁腾蜂赢1号</x:v>
      </x:c>
      <x:c r="C3524" s="72" t="n">
        <x:v>46195</x:v>
      </x:c>
      <x:c r="D3524" s="73" t="n">
        <x:v>1.1124</x:v>
      </x:c>
      <x:c r="E3524" s="73" t="n">
        <x:v>1.9297</x:v>
      </x:c>
      <x:c r="F3524" s="73" t="n">
        <x:v>2.4304</x:v>
      </x:c>
      <x:c r="G3524" s="74" t="n">
        <x:v>-0.0007000000000000001</x:v>
      </x:c>
      <x:c r="H3524" s="66" t="str">
        <x:v>祁腾蜂赢1号净值20260911.xlsx</x:v>
      </x:c>
      <x:c r="I3524" s="73" t="n">
        <x:f>MAX(I3523,F3524)</x:f>
        <x:v>2.4328</x:v>
      </x:c>
      <x:c r="J3524" s="74" t="n">
        <x:f>1-F3524/I3524</x:f>
        <x:v>0.0009865175928969183</x:v>
      </x:c>
      <x:c r="K3524" s="73" t="n">
        <x:f>MAX(K3523,F3524)</x:f>
        <x:v>2.4328</x:v>
      </x:c>
      <x:c r="L3524" s="74" t="n">
        <x:f>1-F3524/K3524</x:f>
        <x:v>0.0009865175928969183</x:v>
      </x:c>
      <x:c r="M3524" s="73" t="n">
        <x:f>MAX(M3523,F3524)</x:f>
        <x:v>2.4328</x:v>
      </x:c>
      <x:c r="N3524" s="74" t="n">
        <x:f>1-F3524/M3524</x:f>
        <x:v>0.0009865175928969183</x:v>
      </x:c>
    </x:row>
    <x:row r="3525" ht="27" customHeight="1">
      <x:c r="A3525" s="66" t="str">
        <x:v>SEV580</x:v>
      </x:c>
      <x:c r="B3525" s="66" t="str">
        <x:v>祁腾蜂赢1号</x:v>
      </x:c>
      <x:c r="C3525" s="72" t="n">
        <x:v>46196</x:v>
      </x:c>
      <x:c r="D3525" s="73" t="n">
        <x:v>1.1127</x:v>
      </x:c>
      <x:c r="E3525" s="73" t="n">
        <x:v>1.93</x:v>
      </x:c>
      <x:c r="F3525" s="73" t="n">
        <x:v>2.431</x:v>
      </x:c>
      <x:c r="G3525" s="74" t="n">
        <x:v>0.0003</x:v>
      </x:c>
      <x:c r="H3525" s="66" t="str">
        <x:v>祁腾蜂赢1号净值20260911.xlsx</x:v>
      </x:c>
      <x:c r="I3525" s="73" t="n">
        <x:f>MAX(I3524,F3525)</x:f>
        <x:v>2.4328</x:v>
      </x:c>
      <x:c r="J3525" s="74" t="n">
        <x:f>1-F3525/I3525</x:f>
        <x:v>0.0007398881946727442</x:v>
      </x:c>
      <x:c r="K3525" s="73" t="n">
        <x:f>MAX(K3524,F3525)</x:f>
        <x:v>2.4328</x:v>
      </x:c>
      <x:c r="L3525" s="74" t="n">
        <x:f>1-F3525/K3525</x:f>
        <x:v>0.0007398881946727442</x:v>
      </x:c>
      <x:c r="M3525" s="73" t="n">
        <x:f>MAX(M3524,F3525)</x:f>
        <x:v>2.4328</x:v>
      </x:c>
      <x:c r="N3525" s="74" t="n">
        <x:f>1-F3525/M3525</x:f>
        <x:v>0.0007398881946727442</x:v>
      </x:c>
    </x:row>
    <x:row r="3526" ht="27" customHeight="1">
      <x:c r="A3526" s="66" t="str">
        <x:v>SEV580</x:v>
      </x:c>
      <x:c r="B3526" s="66" t="str">
        <x:v>祁腾蜂赢1号</x:v>
      </x:c>
      <x:c r="C3526" s="72" t="n">
        <x:v>46197</x:v>
      </x:c>
      <x:c r="D3526" s="73" t="n">
        <x:v>1.1133</x:v>
      </x:c>
      <x:c r="E3526" s="73" t="n">
        <x:v>1.9306</x:v>
      </x:c>
      <x:c r="F3526" s="73" t="n">
        <x:v>2.4323</x:v>
      </x:c>
      <x:c r="G3526" s="74" t="n">
        <x:v>0.0005</x:v>
      </x:c>
      <x:c r="H3526" s="66" t="str">
        <x:v>祁腾蜂赢1号净值20260911.xlsx</x:v>
      </x:c>
      <x:c r="I3526" s="73" t="n">
        <x:f>MAX(I3525,F3526)</x:f>
        <x:v>2.4328</x:v>
      </x:c>
      <x:c r="J3526" s="74" t="n">
        <x:f>1-F3526/I3526</x:f>
        <x:v>0.00020552449852007104</x:v>
      </x:c>
      <x:c r="K3526" s="73" t="n">
        <x:f>MAX(K3525,F3526)</x:f>
        <x:v>2.4328</x:v>
      </x:c>
      <x:c r="L3526" s="74" t="n">
        <x:f>1-F3526/K3526</x:f>
        <x:v>0.00020552449852007104</x:v>
      </x:c>
      <x:c r="M3526" s="73" t="n">
        <x:f>MAX(M3525,F3526)</x:f>
        <x:v>2.4328</x:v>
      </x:c>
      <x:c r="N3526" s="74" t="n">
        <x:f>1-F3526/M3526</x:f>
        <x:v>0.00020552449852007104</x:v>
      </x:c>
    </x:row>
    <x:row r="3527" ht="27" customHeight="1">
      <x:c r="A3527" s="66" t="str">
        <x:v>SEV580</x:v>
      </x:c>
      <x:c r="B3527" s="66" t="str">
        <x:v>祁腾蜂赢1号</x:v>
      </x:c>
      <x:c r="C3527" s="72" t="n">
        <x:v>46198</x:v>
      </x:c>
      <x:c r="D3527" s="73" t="n">
        <x:v>1.114</x:v>
      </x:c>
      <x:c r="E3527" s="73" t="n">
        <x:v>1.9313</x:v>
      </x:c>
      <x:c r="F3527" s="73" t="n">
        <x:v>2.4339</x:v>
      </x:c>
      <x:c r="G3527" s="74" t="n">
        <x:v>0.0006</x:v>
      </x:c>
      <x:c r="H3527" s="66" t="str">
        <x:v>祁腾蜂赢1号净值20260911.xlsx</x:v>
      </x:c>
      <x:c r="I3527" s="73" t="n">
        <x:f>MAX(I3526,F3527)</x:f>
        <x:v>2.4339</x:v>
      </x:c>
      <x:c r="J3527" s="74" t="n">
        <x:f>1-F3527/I3527</x:f>
        <x:v>0</x:v>
      </x:c>
      <x:c r="K3527" s="73" t="n">
        <x:f>MAX(K3526,F3527)</x:f>
        <x:v>2.4339</x:v>
      </x:c>
      <x:c r="L3527" s="74" t="n">
        <x:f>1-F3527/K3527</x:f>
        <x:v>0</x:v>
      </x:c>
      <x:c r="M3527" s="73" t="n">
        <x:f>MAX(M3526,F3527)</x:f>
        <x:v>2.4339</x:v>
      </x:c>
      <x:c r="N3527" s="74" t="n">
        <x:f>1-F3527/M3527</x:f>
        <x:v>0</x:v>
      </x:c>
    </x:row>
    <x:row r="3528" ht="27" customHeight="1">
      <x:c r="A3528" s="66" t="str">
        <x:v>SEV580</x:v>
      </x:c>
      <x:c r="B3528" s="66" t="str">
        <x:v>祁腾蜂赢1号</x:v>
      </x:c>
      <x:c r="C3528" s="72" t="n">
        <x:v>46199</x:v>
      </x:c>
      <x:c r="D3528" s="73" t="n">
        <x:v>1</x:v>
      </x:c>
      <x:c r="E3528" s="73" t="n">
        <x:v>1.9322</x:v>
      </x:c>
      <x:c r="F3528" s="73" t="n">
        <x:v>2.4358</x:v>
      </x:c>
      <x:c r="G3528" s="74" t="n">
        <x:v>0.0008</x:v>
      </x:c>
      <x:c r="H3528" s="66" t="str">
        <x:v>祁腾蜂赢1号净值20260911.xlsx</x:v>
      </x:c>
      <x:c r="I3528" s="73" t="n">
        <x:f>MAX(I3527,F3528)</x:f>
        <x:v>2.4358</x:v>
      </x:c>
      <x:c r="J3528" s="74" t="n">
        <x:f>1-F3528/I3528</x:f>
        <x:v>0</x:v>
      </x:c>
      <x:c r="K3528" s="73" t="n">
        <x:f>MAX(K3527,F3528)</x:f>
        <x:v>2.4358</x:v>
      </x:c>
      <x:c r="L3528" s="74" t="n">
        <x:f>1-F3528/K3528</x:f>
        <x:v>0</x:v>
      </x:c>
      <x:c r="M3528" s="73" t="n">
        <x:f>MAX(M3527,F3528)</x:f>
        <x:v>2.4358</x:v>
      </x:c>
      <x:c r="N3528" s="74" t="n">
        <x:f>1-F3528/M3528</x:f>
        <x:v>0</x:v>
      </x:c>
    </x:row>
    <x:row r="3529" ht="27" customHeight="1">
      <x:c r="A3529" s="66" t="str">
        <x:v>SEV580</x:v>
      </x:c>
      <x:c r="B3529" s="66" t="str">
        <x:v>祁腾蜂赢1号</x:v>
      </x:c>
      <x:c r="C3529" s="72" t="n">
        <x:v>46202</x:v>
      </x:c>
      <x:c r="D3529" s="73" t="n">
        <x:v>0.9996</x:v>
      </x:c>
      <x:c r="E3529" s="73" t="n">
        <x:v>1.9318</x:v>
      </x:c>
      <x:c r="F3529" s="73" t="n">
        <x:v>2.4349</x:v>
      </x:c>
      <x:c r="G3529" s="74" t="n">
        <x:v>-0.0004</x:v>
      </x:c>
      <x:c r="H3529" s="66" t="str">
        <x:v>祁腾蜂赢1号净值20260911.xlsx</x:v>
      </x:c>
      <x:c r="I3529" s="73" t="n">
        <x:f>MAX(I3528,F3529)</x:f>
        <x:v>2.4358</x:v>
      </x:c>
      <x:c r="J3529" s="74" t="n">
        <x:f>1-F3529/I3529</x:f>
        <x:v>0.0003694884637491791</x:v>
      </x:c>
      <x:c r="K3529" s="73" t="n">
        <x:f>MAX(K3528,F3529)</x:f>
        <x:v>2.4358</x:v>
      </x:c>
      <x:c r="L3529" s="74" t="n">
        <x:f>1-F3529/K3529</x:f>
        <x:v>0.0003694884637491791</x:v>
      </x:c>
      <x:c r="M3529" s="73" t="n">
        <x:f>MAX(M3528,F3529)</x:f>
        <x:v>2.4358</x:v>
      </x:c>
      <x:c r="N3529" s="74" t="n">
        <x:f>1-F3529/M3529</x:f>
        <x:v>0.0003694884637491791</x:v>
      </x:c>
    </x:row>
    <x:row r="3530" ht="27" customHeight="1">
      <x:c r="A3530" s="66" t="str">
        <x:v>SEV580</x:v>
      </x:c>
      <x:c r="B3530" s="66" t="str">
        <x:v>祁腾蜂赢1号</x:v>
      </x:c>
      <x:c r="C3530" s="72" t="n">
        <x:v>46203</x:v>
      </x:c>
      <x:c r="D3530" s="73" t="n">
        <x:v>1.0003</x:v>
      </x:c>
      <x:c r="E3530" s="73" t="n">
        <x:v>1.9325</x:v>
      </x:c>
      <x:c r="F3530" s="73" t="n">
        <x:v>2.4366</x:v>
      </x:c>
      <x:c r="G3530" s="74" t="n">
        <x:v>0.0007000000000000001</x:v>
      </x:c>
      <x:c r="H3530" s="66" t="str">
        <x:v>祁腾蜂赢1号净值20260911.xlsx</x:v>
      </x:c>
      <x:c r="I3530" s="73" t="n">
        <x:f>MAX(I3529,F3530)</x:f>
        <x:v>2.4366</x:v>
      </x:c>
      <x:c r="J3530" s="74" t="n">
        <x:f>1-F3530/I3530</x:f>
        <x:v>0</x:v>
      </x:c>
      <x:c r="K3530" s="73" t="n">
        <x:f>MAX(K3529,F3530)</x:f>
        <x:v>2.4366</x:v>
      </x:c>
      <x:c r="L3530" s="74" t="n">
        <x:f>1-F3530/K3530</x:f>
        <x:v>0</x:v>
      </x:c>
      <x:c r="M3530" s="73" t="n">
        <x:f>MAX(M3529,F3530)</x:f>
        <x:v>2.4366</x:v>
      </x:c>
      <x:c r="N3530" s="74" t="n">
        <x:f>1-F3530/M3530</x:f>
        <x:v>0</x:v>
      </x:c>
    </x:row>
    <x:row r="3531" ht="27" customHeight="1">
      <x:c r="A3531" s="66" t="str">
        <x:v>SEV580</x:v>
      </x:c>
      <x:c r="B3531" s="66" t="str">
        <x:v>祁腾蜂赢1号</x:v>
      </x:c>
      <x:c r="C3531" s="72" t="n">
        <x:v>46204</x:v>
      </x:c>
      <x:c r="D3531" s="73" t="n">
        <x:v>1.0001</x:v>
      </x:c>
      <x:c r="E3531" s="73" t="n">
        <x:v>1.9323</x:v>
      </x:c>
      <x:c r="F3531" s="73" t="n">
        <x:v>2.4361</x:v>
      </x:c>
      <x:c r="G3531" s="74" t="n">
        <x:v>-0.0002</x:v>
      </x:c>
      <x:c r="H3531" s="66" t="str">
        <x:v>祁腾蜂赢1号净值20260911.xlsx</x:v>
      </x:c>
      <x:c r="I3531" s="73" t="n">
        <x:f>MAX(I3530,F3531)</x:f>
        <x:v>2.4366</x:v>
      </x:c>
      <x:c r="J3531" s="74" t="n">
        <x:f>1-F3531/I3531</x:f>
        <x:v>0.00020520397274881308</x:v>
      </x:c>
      <x:c r="K3531" s="73" t="n">
        <x:f>MAX(K3530,F3531)</x:f>
        <x:v>2.4366</x:v>
      </x:c>
      <x:c r="L3531" s="74" t="n">
        <x:f>1-F3531/K3531</x:f>
        <x:v>0.00020520397274881308</x:v>
      </x:c>
      <x:c r="M3531" s="73" t="n">
        <x:f>MAX(M3530,F3531)</x:f>
        <x:v>2.4366</x:v>
      </x:c>
      <x:c r="N3531" s="74" t="n">
        <x:f>1-F3531/M3531</x:f>
        <x:v>0.00020520397274881308</x:v>
      </x:c>
    </x:row>
    <x:row r="3532" ht="27" customHeight="1">
      <x:c r="A3532" s="66" t="str">
        <x:v>SEV580</x:v>
      </x:c>
      <x:c r="B3532" s="66" t="str">
        <x:v>祁腾蜂赢1号</x:v>
      </x:c>
      <x:c r="C3532" s="72" t="n">
        <x:v>46205</x:v>
      </x:c>
      <x:c r="D3532" s="73" t="n">
        <x:v>1.0001</x:v>
      </x:c>
      <x:c r="E3532" s="73" t="n">
        <x:v>1.9323</x:v>
      </x:c>
      <x:c r="F3532" s="73" t="n">
        <x:v>2.4361</x:v>
      </x:c>
      <x:c r="G3532" s="74" t="n">
        <x:v>0</x:v>
      </x:c>
      <x:c r="H3532" s="66" t="str">
        <x:v>祁腾蜂赢1号净值20260911.xlsx</x:v>
      </x:c>
      <x:c r="I3532" s="73" t="n">
        <x:f>MAX(I3531,F3532)</x:f>
        <x:v>2.4366</x:v>
      </x:c>
      <x:c r="J3532" s="74" t="n">
        <x:f>1-F3532/I3532</x:f>
        <x:v>0.00020520397274881308</x:v>
      </x:c>
      <x:c r="K3532" s="73" t="n">
        <x:f>MAX(K3531,F3532)</x:f>
        <x:v>2.4366</x:v>
      </x:c>
      <x:c r="L3532" s="74" t="n">
        <x:f>1-F3532/K3532</x:f>
        <x:v>0.00020520397274881308</x:v>
      </x:c>
      <x:c r="M3532" s="73" t="n">
        <x:f>MAX(M3531,F3532)</x:f>
        <x:v>2.4366</x:v>
      </x:c>
      <x:c r="N3532" s="74" t="n">
        <x:f>1-F3532/M3532</x:f>
        <x:v>0.00020520397274881308</x:v>
      </x:c>
    </x:row>
    <x:row r="3533" ht="27" customHeight="1">
      <x:c r="A3533" s="66" t="str">
        <x:v>SEV580</x:v>
      </x:c>
      <x:c r="B3533" s="66" t="str">
        <x:v>祁腾蜂赢1号</x:v>
      </x:c>
      <x:c r="C3533" s="72" t="n">
        <x:v>46206</x:v>
      </x:c>
      <x:c r="D3533" s="73" t="n">
        <x:v>1.0007</x:v>
      </x:c>
      <x:c r="E3533" s="73" t="n">
        <x:v>1.9329</x:v>
      </x:c>
      <x:c r="F3533" s="73" t="n">
        <x:v>2.4375</x:v>
      </x:c>
      <x:c r="G3533" s="74" t="n">
        <x:v>0.0006</x:v>
      </x:c>
      <x:c r="H3533" s="66" t="str">
        <x:v>祁腾蜂赢1号净值20260911.xlsx</x:v>
      </x:c>
      <x:c r="I3533" s="73" t="n">
        <x:f>MAX(I3532,F3533)</x:f>
        <x:v>2.4375</x:v>
      </x:c>
      <x:c r="J3533" s="74" t="n">
        <x:f>1-F3533/I3533</x:f>
        <x:v>0</x:v>
      </x:c>
      <x:c r="K3533" s="73" t="n">
        <x:f>MAX(K3532,F3533)</x:f>
        <x:v>2.4375</x:v>
      </x:c>
      <x:c r="L3533" s="74" t="n">
        <x:f>1-F3533/K3533</x:f>
        <x:v>0</x:v>
      </x:c>
      <x:c r="M3533" s="73" t="n">
        <x:f>MAX(M3532,F3533)</x:f>
        <x:v>2.4375</x:v>
      </x:c>
      <x:c r="N3533" s="74" t="n">
        <x:f>1-F3533/M3533</x:f>
        <x:v>0</x:v>
      </x:c>
    </x:row>
    <x:row r="3534" ht="27" customHeight="1">
      <x:c r="A3534" s="66" t="str">
        <x:v>SEV580</x:v>
      </x:c>
      <x:c r="B3534" s="66" t="str">
        <x:v>祁腾蜂赢1号</x:v>
      </x:c>
      <x:c r="C3534" s="72" t="n">
        <x:v>46209</x:v>
      </x:c>
      <x:c r="D3534" s="73" t="n">
        <x:v>1.0001</x:v>
      </x:c>
      <x:c r="E3534" s="73" t="n">
        <x:v>1.9323</x:v>
      </x:c>
      <x:c r="F3534" s="73" t="n">
        <x:v>2.4361</x:v>
      </x:c>
      <x:c r="G3534" s="74" t="n">
        <x:v>-0.0006</x:v>
      </x:c>
      <x:c r="H3534" s="66" t="str">
        <x:v>祁腾蜂赢1号净值20260911.xlsx</x:v>
      </x:c>
      <x:c r="I3534" s="73" t="n">
        <x:f>MAX(I3533,F3534)</x:f>
        <x:v>2.4375</x:v>
      </x:c>
      <x:c r="J3534" s="74" t="n">
        <x:f>1-F3534/I3534</x:f>
        <x:v>0.0005743589743588684</x:v>
      </x:c>
      <x:c r="K3534" s="73" t="n">
        <x:f>MAX(K3533,F3534)</x:f>
        <x:v>2.4375</x:v>
      </x:c>
      <x:c r="L3534" s="74" t="n">
        <x:f>1-F3534/K3534</x:f>
        <x:v>0.0005743589743588684</x:v>
      </x:c>
      <x:c r="M3534" s="73" t="n">
        <x:f>MAX(M3533,F3534)</x:f>
        <x:v>2.4375</x:v>
      </x:c>
      <x:c r="N3534" s="74" t="n">
        <x:f>1-F3534/M3534</x:f>
        <x:v>0.0005743589743588684</x:v>
      </x:c>
    </x:row>
    <x:row r="3535" ht="27" customHeight="1">
      <x:c r="A3535" s="66" t="str">
        <x:v>SEV580</x:v>
      </x:c>
      <x:c r="B3535" s="66" t="str">
        <x:v>祁腾蜂赢1号</x:v>
      </x:c>
      <x:c r="C3535" s="72" t="n">
        <x:v>46210</x:v>
      </x:c>
      <x:c r="D3535" s="73" t="n">
        <x:v>1.0005</x:v>
      </x:c>
      <x:c r="E3535" s="73" t="n">
        <x:v>1.9327</x:v>
      </x:c>
      <x:c r="F3535" s="73" t="n">
        <x:v>2.437</x:v>
      </x:c>
      <x:c r="G3535" s="74" t="n">
        <x:v>0.0004</x:v>
      </x:c>
      <x:c r="H3535" s="66" t="str">
        <x:v>祁腾蜂赢1号净值20260911.xlsx</x:v>
      </x:c>
      <x:c r="I3535" s="73" t="n">
        <x:f>MAX(I3534,F3535)</x:f>
        <x:v>2.4375</x:v>
      </x:c>
      <x:c r="J3535" s="74" t="n">
        <x:f>1-F3535/I3535</x:f>
        <x:v>0.0002051282051283021</x:v>
      </x:c>
      <x:c r="K3535" s="73" t="n">
        <x:f>MAX(K3534,F3535)</x:f>
        <x:v>2.4375</x:v>
      </x:c>
      <x:c r="L3535" s="74" t="n">
        <x:f>1-F3535/K3535</x:f>
        <x:v>0.0002051282051283021</x:v>
      </x:c>
      <x:c r="M3535" s="73" t="n">
        <x:f>MAX(M3534,F3535)</x:f>
        <x:v>2.4375</x:v>
      </x:c>
      <x:c r="N3535" s="74" t="n">
        <x:f>1-F3535/M3535</x:f>
        <x:v>0.0002051282051283021</x:v>
      </x:c>
    </x:row>
    <x:row r="3536" ht="27" customHeight="1">
      <x:c r="A3536" s="66" t="str">
        <x:v>SEV580</x:v>
      </x:c>
      <x:c r="B3536" s="66" t="str">
        <x:v>祁腾蜂赢1号</x:v>
      </x:c>
      <x:c r="C3536" s="72" t="n">
        <x:v>46211</x:v>
      </x:c>
      <x:c r="D3536" s="73" t="n">
        <x:v>1.0004</x:v>
      </x:c>
      <x:c r="E3536" s="73" t="n">
        <x:v>1.9326</x:v>
      </x:c>
      <x:c r="F3536" s="73" t="n">
        <x:v>2.4368</x:v>
      </x:c>
      <x:c r="G3536" s="74" t="n">
        <x:v>-0.0001</x:v>
      </x:c>
      <x:c r="H3536" s="66" t="str">
        <x:v>祁腾蜂赢1号净值20260911.xlsx</x:v>
      </x:c>
      <x:c r="I3536" s="73" t="n">
        <x:f>MAX(I3535,F3536)</x:f>
        <x:v>2.4375</x:v>
      </x:c>
      <x:c r="J3536" s="74" t="n">
        <x:f>1-F3536/I3536</x:f>
        <x:v>0.00028717948717960073</x:v>
      </x:c>
      <x:c r="K3536" s="73" t="n">
        <x:f>MAX(K3535,F3536)</x:f>
        <x:v>2.4375</x:v>
      </x:c>
      <x:c r="L3536" s="74" t="n">
        <x:f>1-F3536/K3536</x:f>
        <x:v>0.00028717948717960073</x:v>
      </x:c>
      <x:c r="M3536" s="73" t="n">
        <x:f>MAX(M3535,F3536)</x:f>
        <x:v>2.4375</x:v>
      </x:c>
      <x:c r="N3536" s="74" t="n">
        <x:f>1-F3536/M3536</x:f>
        <x:v>0.00028717948717960073</x:v>
      </x:c>
    </x:row>
    <x:row r="3537" ht="27" customHeight="1">
      <x:c r="A3537" s="66" t="str">
        <x:v>SEV580</x:v>
      </x:c>
      <x:c r="B3537" s="66" t="str">
        <x:v>祁腾蜂赢1号</x:v>
      </x:c>
      <x:c r="C3537" s="72" t="n">
        <x:v>46212</x:v>
      </x:c>
      <x:c r="D3537" s="73" t="n">
        <x:v>1.0015</x:v>
      </x:c>
      <x:c r="E3537" s="73" t="n">
        <x:v>1.9337</x:v>
      </x:c>
      <x:c r="F3537" s="73" t="n">
        <x:v>2.4395</x:v>
      </x:c>
      <x:c r="G3537" s="74" t="n">
        <x:v>0.0011</x:v>
      </x:c>
      <x:c r="H3537" s="66" t="str">
        <x:v>祁腾蜂赢1号净值20260911.xlsx</x:v>
      </x:c>
      <x:c r="I3537" s="73" t="n">
        <x:f>MAX(I3536,F3537)</x:f>
        <x:v>2.4395</x:v>
      </x:c>
      <x:c r="J3537" s="74" t="n">
        <x:f>1-F3537/I3537</x:f>
        <x:v>0</x:v>
      </x:c>
      <x:c r="K3537" s="73" t="n">
        <x:f>MAX(K3536,F3537)</x:f>
        <x:v>2.4395</x:v>
      </x:c>
      <x:c r="L3537" s="74" t="n">
        <x:f>1-F3537/K3537</x:f>
        <x:v>0</x:v>
      </x:c>
      <x:c r="M3537" s="73" t="n">
        <x:f>MAX(M3536,F3537)</x:f>
        <x:v>2.4395</x:v>
      </x:c>
      <x:c r="N3537" s="74" t="n">
        <x:f>1-F3537/M3537</x:f>
        <x:v>0</x:v>
      </x:c>
    </x:row>
    <x:row r="3538" ht="27" customHeight="1">
      <x:c r="A3538" s="66" t="str">
        <x:v>SEV580</x:v>
      </x:c>
      <x:c r="B3538" s="66" t="str">
        <x:v>祁腾蜂赢1号</x:v>
      </x:c>
      <x:c r="C3538" s="72" t="n">
        <x:v>46213</x:v>
      </x:c>
      <x:c r="D3538" s="73" t="n">
        <x:v>1.0023</x:v>
      </x:c>
      <x:c r="E3538" s="73" t="n">
        <x:v>1.9345</x:v>
      </x:c>
      <x:c r="F3538" s="73" t="n">
        <x:v>2.4414</x:v>
      </x:c>
      <x:c r="G3538" s="74" t="n">
        <x:v>0.0008</x:v>
      </x:c>
      <x:c r="H3538" s="66" t="str">
        <x:v>祁腾蜂赢1号净值20260911.xlsx</x:v>
      </x:c>
      <x:c r="I3538" s="73" t="n">
        <x:f>MAX(I3537,F3538)</x:f>
        <x:v>2.4414</x:v>
      </x:c>
      <x:c r="J3538" s="74" t="n">
        <x:f>1-F3538/I3538</x:f>
        <x:v>0</x:v>
      </x:c>
      <x:c r="K3538" s="73" t="n">
        <x:f>MAX(K3537,F3538)</x:f>
        <x:v>2.4414</x:v>
      </x:c>
      <x:c r="L3538" s="74" t="n">
        <x:f>1-F3538/K3538</x:f>
        <x:v>0</x:v>
      </x:c>
      <x:c r="M3538" s="73" t="n">
        <x:f>MAX(M3537,F3538)</x:f>
        <x:v>2.4414</x:v>
      </x:c>
      <x:c r="N3538" s="74" t="n">
        <x:f>1-F3538/M3538</x:f>
        <x:v>0</x:v>
      </x:c>
    </x:row>
    <x:row r="3539" ht="27" customHeight="1">
      <x:c r="A3539" s="66" t="str">
        <x:v>SEV580</x:v>
      </x:c>
      <x:c r="B3539" s="66" t="str">
        <x:v>祁腾蜂赢1号</x:v>
      </x:c>
      <x:c r="C3539" s="72" t="n">
        <x:v>46216</x:v>
      </x:c>
      <x:c r="D3539" s="73" t="n">
        <x:v>1.0032</x:v>
      </x:c>
      <x:c r="E3539" s="73" t="n">
        <x:v>1.9354</x:v>
      </x:c>
      <x:c r="F3539" s="73" t="n">
        <x:v>2.4436</x:v>
      </x:c>
      <x:c r="G3539" s="74" t="n">
        <x:v>0.0009</x:v>
      </x:c>
      <x:c r="H3539" s="66" t="str">
        <x:v>祁腾蜂赢1号净值20260911.xlsx</x:v>
      </x:c>
      <x:c r="I3539" s="73" t="n">
        <x:f>MAX(I3538,F3539)</x:f>
        <x:v>2.4436</x:v>
      </x:c>
      <x:c r="J3539" s="74" t="n">
        <x:f>1-F3539/I3539</x:f>
        <x:v>0</x:v>
      </x:c>
      <x:c r="K3539" s="73" t="n">
        <x:f>MAX(K3538,F3539)</x:f>
        <x:v>2.4436</x:v>
      </x:c>
      <x:c r="L3539" s="74" t="n">
        <x:f>1-F3539/K3539</x:f>
        <x:v>0</x:v>
      </x:c>
      <x:c r="M3539" s="73" t="n">
        <x:f>MAX(M3538,F3539)</x:f>
        <x:v>2.4436</x:v>
      </x:c>
      <x:c r="N3539" s="74" t="n">
        <x:f>1-F3539/M3539</x:f>
        <x:v>0</x:v>
      </x:c>
    </x:row>
    <x:row r="3540" ht="27" customHeight="1">
      <x:c r="A3540" s="66" t="str">
        <x:v>SEV580</x:v>
      </x:c>
      <x:c r="B3540" s="66" t="str">
        <x:v>祁腾蜂赢1号</x:v>
      </x:c>
      <x:c r="C3540" s="72" t="n">
        <x:v>46217</x:v>
      </x:c>
      <x:c r="D3540" s="73" t="n">
        <x:v>1.0038</x:v>
      </x:c>
      <x:c r="E3540" s="73" t="n">
        <x:v>1.936</x:v>
      </x:c>
      <x:c r="F3540" s="73" t="n">
        <x:v>2.4451</x:v>
      </x:c>
      <x:c r="G3540" s="74" t="n">
        <x:v>0.0006</x:v>
      </x:c>
      <x:c r="H3540" s="66" t="str">
        <x:v>祁腾蜂赢1号净值20260911.xlsx</x:v>
      </x:c>
      <x:c r="I3540" s="73" t="n">
        <x:f>MAX(I3539,F3540)</x:f>
        <x:v>2.4451</x:v>
      </x:c>
      <x:c r="J3540" s="74" t="n">
        <x:f>1-F3540/I3540</x:f>
        <x:v>0</x:v>
      </x:c>
      <x:c r="K3540" s="73" t="n">
        <x:f>MAX(K3539,F3540)</x:f>
        <x:v>2.4451</x:v>
      </x:c>
      <x:c r="L3540" s="74" t="n">
        <x:f>1-F3540/K3540</x:f>
        <x:v>0</x:v>
      </x:c>
      <x:c r="M3540" s="73" t="n">
        <x:f>MAX(M3539,F3540)</x:f>
        <x:v>2.4451</x:v>
      </x:c>
      <x:c r="N3540" s="74" t="n">
        <x:f>1-F3540/M3540</x:f>
        <x:v>0</x:v>
      </x:c>
    </x:row>
    <x:row r="3541" ht="27" customHeight="1">
      <x:c r="A3541" s="66" t="str">
        <x:v>SEV580</x:v>
      </x:c>
      <x:c r="B3541" s="66" t="str">
        <x:v>祁腾蜂赢1号</x:v>
      </x:c>
      <x:c r="C3541" s="72" t="n">
        <x:v>46218</x:v>
      </x:c>
      <x:c r="D3541" s="73" t="n">
        <x:v>1.004</x:v>
      </x:c>
      <x:c r="E3541" s="73" t="n">
        <x:v>1.9362</x:v>
      </x:c>
      <x:c r="F3541" s="73" t="n">
        <x:v>2.4456</x:v>
      </x:c>
      <x:c r="G3541" s="74" t="n">
        <x:v>0.0002</x:v>
      </x:c>
      <x:c r="H3541" s="66" t="str">
        <x:v>祁腾蜂赢1号净值20260911.xlsx</x:v>
      </x:c>
      <x:c r="I3541" s="73" t="n">
        <x:f>MAX(I3540,F3541)</x:f>
        <x:v>2.4456</x:v>
      </x:c>
      <x:c r="J3541" s="74" t="n">
        <x:f>1-F3541/I3541</x:f>
        <x:v>0</x:v>
      </x:c>
      <x:c r="K3541" s="73" t="n">
        <x:f>MAX(K3540,F3541)</x:f>
        <x:v>2.4456</x:v>
      </x:c>
      <x:c r="L3541" s="74" t="n">
        <x:f>1-F3541/K3541</x:f>
        <x:v>0</x:v>
      </x:c>
      <x:c r="M3541" s="73" t="n">
        <x:f>MAX(M3540,F3541)</x:f>
        <x:v>2.4456</x:v>
      </x:c>
      <x:c r="N3541" s="74" t="n">
        <x:f>1-F3541/M3541</x:f>
        <x:v>0</x:v>
      </x:c>
    </x:row>
    <x:row r="3542" ht="27" customHeight="1">
      <x:c r="A3542" s="66" t="str">
        <x:v>SEV580</x:v>
      </x:c>
      <x:c r="B3542" s="66" t="str">
        <x:v>祁腾蜂赢1号</x:v>
      </x:c>
      <x:c r="C3542" s="72" t="n">
        <x:v>46219</x:v>
      </x:c>
      <x:c r="D3542" s="73" t="n">
        <x:v>1.0037</x:v>
      </x:c>
      <x:c r="E3542" s="73" t="n">
        <x:v>1.9359</x:v>
      </x:c>
      <x:c r="F3542" s="73" t="n">
        <x:v>2.4448</x:v>
      </x:c>
      <x:c r="G3542" s="74" t="n">
        <x:v>-0.0003</x:v>
      </x:c>
      <x:c r="H3542" s="66" t="str">
        <x:v>祁腾蜂赢1号净值20260911.xlsx</x:v>
      </x:c>
      <x:c r="I3542" s="73" t="n">
        <x:f>MAX(I3541,F3542)</x:f>
        <x:v>2.4456</x:v>
      </x:c>
      <x:c r="J3542" s="74" t="n">
        <x:f>1-F3542/I3542</x:f>
        <x:v>0.00032711808963048483</x:v>
      </x:c>
      <x:c r="K3542" s="73" t="n">
        <x:f>MAX(K3541,F3542)</x:f>
        <x:v>2.4456</x:v>
      </x:c>
      <x:c r="L3542" s="74" t="n">
        <x:f>1-F3542/K3542</x:f>
        <x:v>0.00032711808963048483</x:v>
      </x:c>
      <x:c r="M3542" s="73" t="n">
        <x:f>MAX(M3541,F3542)</x:f>
        <x:v>2.4456</x:v>
      </x:c>
      <x:c r="N3542" s="74" t="n">
        <x:f>1-F3542/M3542</x:f>
        <x:v>0.00032711808963048483</x:v>
      </x:c>
    </x:row>
    <x:row r="3543" ht="27" customHeight="1">
      <x:c r="A3543" s="66" t="str">
        <x:v>SEV580</x:v>
      </x:c>
      <x:c r="B3543" s="66" t="str">
        <x:v>祁腾蜂赢1号</x:v>
      </x:c>
      <x:c r="C3543" s="72" t="n">
        <x:v>46220</x:v>
      </x:c>
      <x:c r="D3543" s="73" t="n">
        <x:v>1.0048</x:v>
      </x:c>
      <x:c r="E3543" s="73" t="n">
        <x:v>1.937</x:v>
      </x:c>
      <x:c r="F3543" s="73" t="n">
        <x:v>2.4475</x:v>
      </x:c>
      <x:c r="G3543" s="74" t="n">
        <x:v>0.0011</x:v>
      </x:c>
      <x:c r="H3543" s="66" t="str">
        <x:v>祁腾蜂赢1号净值20260911.xlsx</x:v>
      </x:c>
      <x:c r="I3543" s="73" t="n">
        <x:f>MAX(I3542,F3543)</x:f>
        <x:v>2.4475</x:v>
      </x:c>
      <x:c r="J3543" s="74" t="n">
        <x:f>1-F3543/I3543</x:f>
        <x:v>0</x:v>
      </x:c>
      <x:c r="K3543" s="73" t="n">
        <x:f>MAX(K3542,F3543)</x:f>
        <x:v>2.4475</x:v>
      </x:c>
      <x:c r="L3543" s="74" t="n">
        <x:f>1-F3543/K3543</x:f>
        <x:v>0</x:v>
      </x:c>
      <x:c r="M3543" s="73" t="n">
        <x:f>MAX(M3542,F3543)</x:f>
        <x:v>2.4475</x:v>
      </x:c>
      <x:c r="N3543" s="74" t="n">
        <x:f>1-F3543/M3543</x:f>
        <x:v>0</x:v>
      </x:c>
    </x:row>
    <x:row r="3544" ht="27" customHeight="1">
      <x:c r="A3544" s="66" t="str">
        <x:v>SEV580</x:v>
      </x:c>
      <x:c r="B3544" s="66" t="str">
        <x:v>祁腾蜂赢1号</x:v>
      </x:c>
      <x:c r="C3544" s="72" t="n">
        <x:v>46223</x:v>
      </x:c>
      <x:c r="D3544" s="73" t="n">
        <x:v>1.0053</x:v>
      </x:c>
      <x:c r="E3544" s="73" t="n">
        <x:v>1.9375</x:v>
      </x:c>
      <x:c r="F3544" s="73" t="n">
        <x:v>2.4487</x:v>
      </x:c>
      <x:c r="G3544" s="74" t="n">
        <x:v>0.0005</x:v>
      </x:c>
      <x:c r="H3544" s="66" t="str">
        <x:v>祁腾蜂赢1号净值20260911.xlsx</x:v>
      </x:c>
      <x:c r="I3544" s="73" t="n">
        <x:f>MAX(I3543,F3544)</x:f>
        <x:v>2.4487</x:v>
      </x:c>
      <x:c r="J3544" s="74" t="n">
        <x:f>1-F3544/I3544</x:f>
        <x:v>0</x:v>
      </x:c>
      <x:c r="K3544" s="73" t="n">
        <x:f>MAX(K3543,F3544)</x:f>
        <x:v>2.4487</x:v>
      </x:c>
      <x:c r="L3544" s="74" t="n">
        <x:f>1-F3544/K3544</x:f>
        <x:v>0</x:v>
      </x:c>
      <x:c r="M3544" s="73" t="n">
        <x:f>MAX(M3543,F3544)</x:f>
        <x:v>2.4487</x:v>
      </x:c>
      <x:c r="N3544" s="74" t="n">
        <x:f>1-F3544/M3544</x:f>
        <x:v>0</x:v>
      </x:c>
    </x:row>
    <x:row r="3545" ht="27" customHeight="1">
      <x:c r="A3545" s="66" t="str">
        <x:v>SEV580</x:v>
      </x:c>
      <x:c r="B3545" s="66" t="str">
        <x:v>祁腾蜂赢1号</x:v>
      </x:c>
      <x:c r="C3545" s="72" t="n">
        <x:v>46224</x:v>
      </x:c>
      <x:c r="D3545" s="73" t="n">
        <x:v>1.0056</x:v>
      </x:c>
      <x:c r="E3545" s="73" t="n">
        <x:v>1.9378</x:v>
      </x:c>
      <x:c r="F3545" s="73" t="n">
        <x:v>2.4495</x:v>
      </x:c>
      <x:c r="G3545" s="74" t="n">
        <x:v>0.0003</x:v>
      </x:c>
      <x:c r="H3545" s="66" t="str">
        <x:v>祁腾蜂赢1号净值20260911.xlsx</x:v>
      </x:c>
      <x:c r="I3545" s="73" t="n">
        <x:f>MAX(I3544,F3545)</x:f>
        <x:v>2.4495</x:v>
      </x:c>
      <x:c r="J3545" s="74" t="n">
        <x:f>1-F3545/I3545</x:f>
        <x:v>0</x:v>
      </x:c>
      <x:c r="K3545" s="73" t="n">
        <x:f>MAX(K3544,F3545)</x:f>
        <x:v>2.4495</x:v>
      </x:c>
      <x:c r="L3545" s="74" t="n">
        <x:f>1-F3545/K3545</x:f>
        <x:v>0</x:v>
      </x:c>
      <x:c r="M3545" s="73" t="n">
        <x:f>MAX(M3544,F3545)</x:f>
        <x:v>2.4495</x:v>
      </x:c>
      <x:c r="N3545" s="74" t="n">
        <x:f>1-F3545/M3545</x:f>
        <x:v>0</x:v>
      </x:c>
    </x:row>
    <x:row r="3546" ht="27" customHeight="1">
      <x:c r="A3546" s="66" t="str">
        <x:v>SEV580</x:v>
      </x:c>
      <x:c r="B3546" s="66" t="str">
        <x:v>祁腾蜂赢1号</x:v>
      </x:c>
      <x:c r="C3546" s="72" t="n">
        <x:v>46225</x:v>
      </x:c>
      <x:c r="D3546" s="73" t="n">
        <x:v>1.0056</x:v>
      </x:c>
      <x:c r="E3546" s="73" t="n">
        <x:v>1.9378</x:v>
      </x:c>
      <x:c r="F3546" s="73" t="n">
        <x:v>2.4495</x:v>
      </x:c>
      <x:c r="G3546" s="74" t="n">
        <x:v>0</x:v>
      </x:c>
      <x:c r="H3546" s="66" t="str">
        <x:v>祁腾蜂赢1号净值20260911.xlsx</x:v>
      </x:c>
      <x:c r="I3546" s="73" t="n">
        <x:f>MAX(I3545,F3546)</x:f>
        <x:v>2.4495</x:v>
      </x:c>
      <x:c r="J3546" s="74" t="n">
        <x:f>1-F3546/I3546</x:f>
        <x:v>0</x:v>
      </x:c>
      <x:c r="K3546" s="73" t="n">
        <x:f>MAX(K3545,F3546)</x:f>
        <x:v>2.4495</x:v>
      </x:c>
      <x:c r="L3546" s="74" t="n">
        <x:f>1-F3546/K3546</x:f>
        <x:v>0</x:v>
      </x:c>
      <x:c r="M3546" s="73" t="n">
        <x:f>MAX(M3545,F3546)</x:f>
        <x:v>2.4495</x:v>
      </x:c>
      <x:c r="N3546" s="74" t="n">
        <x:f>1-F3546/M3546</x:f>
        <x:v>0</x:v>
      </x:c>
    </x:row>
    <x:row r="3547" ht="27" customHeight="1">
      <x:c r="A3547" s="66" t="str">
        <x:v>SEV580</x:v>
      </x:c>
      <x:c r="B3547" s="66" t="str">
        <x:v>祁腾蜂赢1号</x:v>
      </x:c>
      <x:c r="C3547" s="72" t="n">
        <x:v>46226</x:v>
      </x:c>
      <x:c r="D3547" s="73" t="n">
        <x:v>1.0056</x:v>
      </x:c>
      <x:c r="E3547" s="73" t="n">
        <x:v>1.9378</x:v>
      </x:c>
      <x:c r="F3547" s="73" t="n">
        <x:v>2.4495</x:v>
      </x:c>
      <x:c r="G3547" s="74" t="n">
        <x:v>0</x:v>
      </x:c>
      <x:c r="H3547" s="66" t="str">
        <x:v>祁腾蜂赢1号净值20260911.xlsx</x:v>
      </x:c>
      <x:c r="I3547" s="73" t="n">
        <x:f>MAX(I3546,F3547)</x:f>
        <x:v>2.4495</x:v>
      </x:c>
      <x:c r="J3547" s="74" t="n">
        <x:f>1-F3547/I3547</x:f>
        <x:v>0</x:v>
      </x:c>
      <x:c r="K3547" s="73" t="n">
        <x:f>MAX(K3546,F3547)</x:f>
        <x:v>2.4495</x:v>
      </x:c>
      <x:c r="L3547" s="74" t="n">
        <x:f>1-F3547/K3547</x:f>
        <x:v>0</x:v>
      </x:c>
      <x:c r="M3547" s="73" t="n">
        <x:f>MAX(M3546,F3547)</x:f>
        <x:v>2.4495</x:v>
      </x:c>
      <x:c r="N3547" s="74" t="n">
        <x:f>1-F3547/M3547</x:f>
        <x:v>0</x:v>
      </x:c>
    </x:row>
    <x:row r="3548" ht="27" customHeight="1">
      <x:c r="A3548" s="66" t="str">
        <x:v>SEV580</x:v>
      </x:c>
      <x:c r="B3548" s="66" t="str">
        <x:v>祁腾蜂赢1号</x:v>
      </x:c>
      <x:c r="C3548" s="72" t="n">
        <x:v>46227</x:v>
      </x:c>
      <x:c r="D3548" s="73" t="n">
        <x:v>1.0064</x:v>
      </x:c>
      <x:c r="E3548" s="73" t="n">
        <x:v>1.9386</x:v>
      </x:c>
      <x:c r="F3548" s="73" t="n">
        <x:v>2.4514</x:v>
      </x:c>
      <x:c r="G3548" s="74" t="n">
        <x:v>0.0008</x:v>
      </x:c>
      <x:c r="H3548" s="66" t="str">
        <x:v>祁腾蜂赢1号净值20260911.xlsx</x:v>
      </x:c>
      <x:c r="I3548" s="73" t="n">
        <x:f>MAX(I3547,F3548)</x:f>
        <x:v>2.4514</x:v>
      </x:c>
      <x:c r="J3548" s="74" t="n">
        <x:f>1-F3548/I3548</x:f>
        <x:v>0</x:v>
      </x:c>
      <x:c r="K3548" s="73" t="n">
        <x:f>MAX(K3547,F3548)</x:f>
        <x:v>2.4514</x:v>
      </x:c>
      <x:c r="L3548" s="74" t="n">
        <x:f>1-F3548/K3548</x:f>
        <x:v>0</x:v>
      </x:c>
      <x:c r="M3548" s="73" t="n">
        <x:f>MAX(M3547,F3548)</x:f>
        <x:v>2.4514</x:v>
      </x:c>
      <x:c r="N3548" s="74" t="n">
        <x:f>1-F3548/M3548</x:f>
        <x:v>0</x:v>
      </x:c>
    </x:row>
    <x:row r="3549" ht="27" customHeight="1">
      <x:c r="A3549" s="66" t="str">
        <x:v>SEV580</x:v>
      </x:c>
      <x:c r="B3549" s="66" t="str">
        <x:v>祁腾蜂赢1号</x:v>
      </x:c>
      <x:c r="C3549" s="72" t="n">
        <x:v>46230</x:v>
      </x:c>
      <x:c r="D3549" s="73" t="n">
        <x:v>1.0061</x:v>
      </x:c>
      <x:c r="E3549" s="73" t="n">
        <x:v>1.9383</x:v>
      </x:c>
      <x:c r="F3549" s="73" t="n">
        <x:v>2.4507</x:v>
      </x:c>
      <x:c r="G3549" s="74" t="n">
        <x:v>-0.0003</x:v>
      </x:c>
      <x:c r="H3549" s="66" t="str">
        <x:v>祁腾蜂赢1号净值20260911.xlsx</x:v>
      </x:c>
      <x:c r="I3549" s="73" t="n">
        <x:f>MAX(I3548,F3549)</x:f>
        <x:v>2.4514</x:v>
      </x:c>
      <x:c r="J3549" s="74" t="n">
        <x:f>1-F3549/I3549</x:f>
        <x:v>0.0002855511136493627</x:v>
      </x:c>
      <x:c r="K3549" s="73" t="n">
        <x:f>MAX(K3548,F3549)</x:f>
        <x:v>2.4514</x:v>
      </x:c>
      <x:c r="L3549" s="74" t="n">
        <x:f>1-F3549/K3549</x:f>
        <x:v>0.0002855511136493627</x:v>
      </x:c>
      <x:c r="M3549" s="73" t="n">
        <x:f>MAX(M3548,F3549)</x:f>
        <x:v>2.4514</x:v>
      </x:c>
      <x:c r="N3549" s="74" t="n">
        <x:f>1-F3549/M3549</x:f>
        <x:v>0.0002855511136493627</x:v>
      </x:c>
    </x:row>
    <x:row r="3550" ht="27" customHeight="1">
      <x:c r="A3550" s="66" t="str">
        <x:v>SEV580</x:v>
      </x:c>
      <x:c r="B3550" s="66" t="str">
        <x:v>祁腾蜂赢1号</x:v>
      </x:c>
      <x:c r="C3550" s="72" t="n">
        <x:v>46231</x:v>
      </x:c>
      <x:c r="D3550" s="73" t="n">
        <x:v>1.0063</x:v>
      </x:c>
      <x:c r="E3550" s="73" t="n">
        <x:v>1.9385</x:v>
      </x:c>
      <x:c r="F3550" s="73" t="n">
        <x:v>2.4512</x:v>
      </x:c>
      <x:c r="G3550" s="74" t="n">
        <x:v>0.0002</x:v>
      </x:c>
      <x:c r="H3550" s="66" t="str">
        <x:v>祁腾蜂赢1号净值20260911.xlsx</x:v>
      </x:c>
      <x:c r="I3550" s="73" t="n">
        <x:f>MAX(I3549,F3550)</x:f>
        <x:v>2.4514</x:v>
      </x:c>
      <x:c r="J3550" s="74" t="n">
        <x:f>1-F3550/I3550</x:f>
        <x:v>0.00008158603247121476</x:v>
      </x:c>
      <x:c r="K3550" s="73" t="n">
        <x:f>MAX(K3549,F3550)</x:f>
        <x:v>2.4514</x:v>
      </x:c>
      <x:c r="L3550" s="74" t="n">
        <x:f>1-F3550/K3550</x:f>
        <x:v>0.00008158603247121476</x:v>
      </x:c>
      <x:c r="M3550" s="73" t="n">
        <x:f>MAX(M3549,F3550)</x:f>
        <x:v>2.4514</x:v>
      </x:c>
      <x:c r="N3550" s="74" t="n">
        <x:f>1-F3550/M3550</x:f>
        <x:v>0.00008158603247121476</x:v>
      </x:c>
    </x:row>
    <x:row r="3551" ht="27" customHeight="1">
      <x:c r="A3551" s="66" t="str">
        <x:v>SEV580</x:v>
      </x:c>
      <x:c r="B3551" s="66" t="str">
        <x:v>祁腾蜂赢1号</x:v>
      </x:c>
      <x:c r="C3551" s="72" t="n">
        <x:v>46232</x:v>
      </x:c>
      <x:c r="D3551" s="73" t="n">
        <x:v>1.0069</x:v>
      </x:c>
      <x:c r="E3551" s="73" t="n">
        <x:v>1.9391</x:v>
      </x:c>
      <x:c r="F3551" s="73" t="n">
        <x:v>2.4526</x:v>
      </x:c>
      <x:c r="G3551" s="74" t="n">
        <x:v>0.0006</x:v>
      </x:c>
      <x:c r="H3551" s="66" t="str">
        <x:v>祁腾蜂赢1号净值20260911.xlsx</x:v>
      </x:c>
      <x:c r="I3551" s="73" t="n">
        <x:f>MAX(I3550,F3551)</x:f>
        <x:v>2.4526</x:v>
      </x:c>
      <x:c r="J3551" s="74" t="n">
        <x:f>1-F3551/I3551</x:f>
        <x:v>0</x:v>
      </x:c>
      <x:c r="K3551" s="73" t="n">
        <x:f>MAX(K3550,F3551)</x:f>
        <x:v>2.4526</x:v>
      </x:c>
      <x:c r="L3551" s="74" t="n">
        <x:f>1-F3551/K3551</x:f>
        <x:v>0</x:v>
      </x:c>
      <x:c r="M3551" s="73" t="n">
        <x:f>MAX(M3550,F3551)</x:f>
        <x:v>2.4526</x:v>
      </x:c>
      <x:c r="N3551" s="74" t="n">
        <x:f>1-F3551/M3551</x:f>
        <x:v>0</x:v>
      </x:c>
    </x:row>
    <x:row r="3552" ht="27" customHeight="1">
      <x:c r="A3552" s="66" t="str">
        <x:v>SEV580</x:v>
      </x:c>
      <x:c r="B3552" s="66" t="str">
        <x:v>祁腾蜂赢1号</x:v>
      </x:c>
      <x:c r="C3552" s="72" t="n">
        <x:v>46233</x:v>
      </x:c>
      <x:c r="D3552" s="73" t="n">
        <x:v>1.006</x:v>
      </x:c>
      <x:c r="E3552" s="73" t="n">
        <x:v>1.9382</x:v>
      </x:c>
      <x:c r="F3552" s="73" t="n">
        <x:v>2.4504</x:v>
      </x:c>
      <x:c r="G3552" s="74" t="n">
        <x:v>-0.0009</x:v>
      </x:c>
      <x:c r="H3552" s="66" t="str">
        <x:v>祁腾蜂赢1号净值20260911.xlsx</x:v>
      </x:c>
      <x:c r="I3552" s="73" t="n">
        <x:f>MAX(I3551,F3552)</x:f>
        <x:v>2.4526</x:v>
      </x:c>
      <x:c r="J3552" s="74" t="n">
        <x:f>1-F3552/I3552</x:f>
        <x:v>0.0008970072576041099</x:v>
      </x:c>
      <x:c r="K3552" s="73" t="n">
        <x:f>MAX(K3551,F3552)</x:f>
        <x:v>2.4526</x:v>
      </x:c>
      <x:c r="L3552" s="74" t="n">
        <x:f>1-F3552/K3552</x:f>
        <x:v>0.0008970072576041099</x:v>
      </x:c>
      <x:c r="M3552" s="73" t="n">
        <x:f>MAX(M3551,F3552)</x:f>
        <x:v>2.4526</x:v>
      </x:c>
      <x:c r="N3552" s="74" t="n">
        <x:f>1-F3552/M3552</x:f>
        <x:v>0.0008970072576041099</x:v>
      </x:c>
    </x:row>
    <x:row r="3553" ht="27" customHeight="1">
      <x:c r="A3553" s="66" t="str">
        <x:v>SEV580</x:v>
      </x:c>
      <x:c r="B3553" s="66" t="str">
        <x:v>祁腾蜂赢1号</x:v>
      </x:c>
      <x:c r="C3553" s="72" t="n">
        <x:v>46234</x:v>
      </x:c>
      <x:c r="D3553" s="73" t="n">
        <x:v>1.0071</x:v>
      </x:c>
      <x:c r="E3553" s="73" t="n">
        <x:v>1.9393</x:v>
      </x:c>
      <x:c r="F3553" s="73" t="n">
        <x:v>2.4531</x:v>
      </x:c>
      <x:c r="G3553" s="74" t="n">
        <x:v>0.0011</x:v>
      </x:c>
      <x:c r="H3553" s="66" t="str">
        <x:v>祁腾蜂赢1号净值20260911.xlsx</x:v>
      </x:c>
      <x:c r="I3553" s="73" t="n">
        <x:f>MAX(I3552,F3553)</x:f>
        <x:v>2.4531</x:v>
      </x:c>
      <x:c r="J3553" s="74" t="n">
        <x:f>1-F3553/I3553</x:f>
        <x:v>0</x:v>
      </x:c>
      <x:c r="K3553" s="73" t="n">
        <x:f>MAX(K3552,F3553)</x:f>
        <x:v>2.4531</x:v>
      </x:c>
      <x:c r="L3553" s="74" t="n">
        <x:f>1-F3553/K3553</x:f>
        <x:v>0</x:v>
      </x:c>
      <x:c r="M3553" s="73" t="n">
        <x:f>MAX(M3552,F3553)</x:f>
        <x:v>2.4531</x:v>
      </x:c>
      <x:c r="N3553" s="74" t="n">
        <x:f>1-F3553/M3553</x:f>
        <x:v>0</x:v>
      </x:c>
    </x:row>
    <x:row r="3554" ht="27" customHeight="1">
      <x:c r="A3554" s="66" t="str">
        <x:v>SEV580</x:v>
      </x:c>
      <x:c r="B3554" s="66" t="str">
        <x:v>祁腾蜂赢1号</x:v>
      </x:c>
      <x:c r="C3554" s="72" t="n">
        <x:v>46237</x:v>
      </x:c>
      <x:c r="D3554" s="73" t="n">
        <x:v>1.0071</x:v>
      </x:c>
      <x:c r="E3554" s="73" t="n">
        <x:v>1.9393</x:v>
      </x:c>
      <x:c r="F3554" s="73" t="n">
        <x:v>2.4531</x:v>
      </x:c>
      <x:c r="G3554" s="74" t="n">
        <x:v>0</x:v>
      </x:c>
      <x:c r="H3554" s="66" t="str">
        <x:v>祁腾蜂赢1号净值20260911.xlsx</x:v>
      </x:c>
      <x:c r="I3554" s="73" t="n">
        <x:f>MAX(I3553,F3554)</x:f>
        <x:v>2.4531</x:v>
      </x:c>
      <x:c r="J3554" s="74" t="n">
        <x:f>1-F3554/I3554</x:f>
        <x:v>0</x:v>
      </x:c>
      <x:c r="K3554" s="73" t="n">
        <x:f>MAX(K3553,F3554)</x:f>
        <x:v>2.4531</x:v>
      </x:c>
      <x:c r="L3554" s="74" t="n">
        <x:f>1-F3554/K3554</x:f>
        <x:v>0</x:v>
      </x:c>
      <x:c r="M3554" s="73" t="n">
        <x:f>MAX(M3553,F3554)</x:f>
        <x:v>2.4531</x:v>
      </x:c>
      <x:c r="N3554" s="74" t="n">
        <x:f>1-F3554/M3554</x:f>
        <x:v>0</x:v>
      </x:c>
    </x:row>
    <x:row r="3555" ht="27" customHeight="1">
      <x:c r="A3555" s="66" t="str">
        <x:v>SEV580</x:v>
      </x:c>
      <x:c r="B3555" s="66" t="str">
        <x:v>祁腾蜂赢1号</x:v>
      </x:c>
      <x:c r="C3555" s="72" t="n">
        <x:v>46238</x:v>
      </x:c>
      <x:c r="D3555" s="73" t="n">
        <x:v>1.0071</x:v>
      </x:c>
      <x:c r="E3555" s="73" t="n">
        <x:v>1.9393</x:v>
      </x:c>
      <x:c r="F3555" s="73" t="n">
        <x:v>2.4531</x:v>
      </x:c>
      <x:c r="G3555" s="74" t="n">
        <x:v>0</x:v>
      </x:c>
      <x:c r="H3555" s="66" t="str">
        <x:v>祁腾蜂赢1号净值20260911.xlsx</x:v>
      </x:c>
      <x:c r="I3555" s="73" t="n">
        <x:f>MAX(I3554,F3555)</x:f>
        <x:v>2.4531</x:v>
      </x:c>
      <x:c r="J3555" s="74" t="n">
        <x:f>1-F3555/I3555</x:f>
        <x:v>0</x:v>
      </x:c>
      <x:c r="K3555" s="73" t="n">
        <x:f>MAX(K3554,F3555)</x:f>
        <x:v>2.4531</x:v>
      </x:c>
      <x:c r="L3555" s="74" t="n">
        <x:f>1-F3555/K3555</x:f>
        <x:v>0</x:v>
      </x:c>
      <x:c r="M3555" s="73" t="n">
        <x:f>MAX(M3554,F3555)</x:f>
        <x:v>2.4531</x:v>
      </x:c>
      <x:c r="N3555" s="74" t="n">
        <x:f>1-F3555/M3555</x:f>
        <x:v>0</x:v>
      </x:c>
    </x:row>
    <x:row r="3556" ht="27" customHeight="1">
      <x:c r="A3556" s="66" t="str">
        <x:v>SEV580</x:v>
      </x:c>
      <x:c r="B3556" s="66" t="str">
        <x:v>祁腾蜂赢1号</x:v>
      </x:c>
      <x:c r="C3556" s="72" t="n">
        <x:v>46239</x:v>
      </x:c>
      <x:c r="D3556" s="73" t="n">
        <x:v>1.0069</x:v>
      </x:c>
      <x:c r="E3556" s="73" t="n">
        <x:v>1.9391</x:v>
      </x:c>
      <x:c r="F3556" s="73" t="n">
        <x:v>2.4526</x:v>
      </x:c>
      <x:c r="G3556" s="74" t="n">
        <x:v>-0.0002</x:v>
      </x:c>
      <x:c r="H3556" s="66" t="str">
        <x:v>祁腾蜂赢1号净值20260911.xlsx</x:v>
      </x:c>
      <x:c r="I3556" s="73" t="n">
        <x:f>MAX(I3555,F3556)</x:f>
        <x:v>2.4531</x:v>
      </x:c>
      <x:c r="J3556" s="74" t="n">
        <x:f>1-F3556/I3556</x:f>
        <x:v>0.00020382373323557523</x:v>
      </x:c>
      <x:c r="K3556" s="73" t="n">
        <x:f>MAX(K3555,F3556)</x:f>
        <x:v>2.4531</x:v>
      </x:c>
      <x:c r="L3556" s="74" t="n">
        <x:f>1-F3556/K3556</x:f>
        <x:v>0.00020382373323557523</x:v>
      </x:c>
      <x:c r="M3556" s="73" t="n">
        <x:f>MAX(M3555,F3556)</x:f>
        <x:v>2.4531</x:v>
      </x:c>
      <x:c r="N3556" s="74" t="n">
        <x:f>1-F3556/M3556</x:f>
        <x:v>0.00020382373323557523</x:v>
      </x:c>
    </x:row>
    <x:row r="3557" ht="27" customHeight="1">
      <x:c r="A3557" s="66" t="str">
        <x:v>SEV580</x:v>
      </x:c>
      <x:c r="B3557" s="66" t="str">
        <x:v>祁腾蜂赢1号</x:v>
      </x:c>
      <x:c r="C3557" s="72" t="n">
        <x:v>46240</x:v>
      </x:c>
      <x:c r="D3557" s="73" t="n">
        <x:v>1.0072</x:v>
      </x:c>
      <x:c r="E3557" s="73" t="n">
        <x:v>1.9394</x:v>
      </x:c>
      <x:c r="F3557" s="73" t="n">
        <x:v>2.4534</x:v>
      </x:c>
      <x:c r="G3557" s="74" t="n">
        <x:v>0.0003</x:v>
      </x:c>
      <x:c r="H3557" s="66" t="str">
        <x:v>祁腾蜂赢1号净值20260911.xlsx</x:v>
      </x:c>
      <x:c r="I3557" s="73" t="n">
        <x:f>MAX(I3556,F3557)</x:f>
        <x:v>2.4534</x:v>
      </x:c>
      <x:c r="J3557" s="74" t="n">
        <x:f>1-F3557/I3557</x:f>
        <x:v>0</x:v>
      </x:c>
      <x:c r="K3557" s="73" t="n">
        <x:f>MAX(K3556,F3557)</x:f>
        <x:v>2.4534</x:v>
      </x:c>
      <x:c r="L3557" s="74" t="n">
        <x:f>1-F3557/K3557</x:f>
        <x:v>0</x:v>
      </x:c>
      <x:c r="M3557" s="73" t="n">
        <x:f>MAX(M3556,F3557)</x:f>
        <x:v>2.4534</x:v>
      </x:c>
      <x:c r="N3557" s="74" t="n">
        <x:f>1-F3557/M3557</x:f>
        <x:v>0</x:v>
      </x:c>
    </x:row>
    <x:row r="3558" ht="27" customHeight="1">
      <x:c r="A3558" s="66" t="str">
        <x:v>SEV580</x:v>
      </x:c>
      <x:c r="B3558" s="66" t="str">
        <x:v>祁腾蜂赢1号</x:v>
      </x:c>
      <x:c r="C3558" s="72" t="n">
        <x:v>46241</x:v>
      </x:c>
      <x:c r="D3558" s="73" t="n">
        <x:v>1.0068</x:v>
      </x:c>
      <x:c r="E3558" s="73" t="n">
        <x:v>1.939</x:v>
      </x:c>
      <x:c r="F3558" s="73" t="n">
        <x:v>2.4524</x:v>
      </x:c>
      <x:c r="G3558" s="74" t="n">
        <x:v>-0.0004</x:v>
      </x:c>
      <x:c r="H3558" s="66" t="str">
        <x:v>祁腾蜂赢1号净值20260911.xlsx</x:v>
      </x:c>
      <x:c r="I3558" s="73" t="n">
        <x:f>MAX(I3557,F3558)</x:f>
        <x:v>2.4534</x:v>
      </x:c>
      <x:c r="J3558" s="74" t="n">
        <x:f>1-F3558/I3558</x:f>
        <x:v>0.0004075976196298292</x:v>
      </x:c>
      <x:c r="K3558" s="73" t="n">
        <x:f>MAX(K3557,F3558)</x:f>
        <x:v>2.4534</x:v>
      </x:c>
      <x:c r="L3558" s="74" t="n">
        <x:f>1-F3558/K3558</x:f>
        <x:v>0.0004075976196298292</x:v>
      </x:c>
      <x:c r="M3558" s="73" t="n">
        <x:f>MAX(M3557,F3558)</x:f>
        <x:v>2.4534</x:v>
      </x:c>
      <x:c r="N3558" s="74" t="n">
        <x:f>1-F3558/M3558</x:f>
        <x:v>0.0004075976196298292</x:v>
      </x:c>
    </x:row>
    <x:row r="3559" ht="27" customHeight="1">
      <x:c r="A3559" s="66" t="str">
        <x:v>SEV580</x:v>
      </x:c>
      <x:c r="B3559" s="66" t="str">
        <x:v>祁腾蜂赢1号</x:v>
      </x:c>
      <x:c r="C3559" s="72" t="n">
        <x:v>46244</x:v>
      </x:c>
      <x:c r="D3559" s="73" t="n">
        <x:v>1.0065</x:v>
      </x:c>
      <x:c r="E3559" s="73" t="n">
        <x:v>1.9387</x:v>
      </x:c>
      <x:c r="F3559" s="73" t="n">
        <x:v>2.4517</x:v>
      </x:c>
      <x:c r="G3559" s="74" t="n">
        <x:v>-0.0003</x:v>
      </x:c>
      <x:c r="H3559" s="66" t="str">
        <x:v>祁腾蜂赢1号净值20260911.xlsx</x:v>
      </x:c>
      <x:c r="I3559" s="73" t="n">
        <x:f>MAX(I3558,F3559)</x:f>
        <x:v>2.4534</x:v>
      </x:c>
      <x:c r="J3559" s="74" t="n">
        <x:f>1-F3559/I3559</x:f>
        <x:v>0.0006929159533706208</x:v>
      </x:c>
      <x:c r="K3559" s="73" t="n">
        <x:f>MAX(K3558,F3559)</x:f>
        <x:v>2.4534</x:v>
      </x:c>
      <x:c r="L3559" s="74" t="n">
        <x:f>1-F3559/K3559</x:f>
        <x:v>0.0006929159533706208</x:v>
      </x:c>
      <x:c r="M3559" s="73" t="n">
        <x:f>MAX(M3558,F3559)</x:f>
        <x:v>2.4534</x:v>
      </x:c>
      <x:c r="N3559" s="74" t="n">
        <x:f>1-F3559/M3559</x:f>
        <x:v>0.0006929159533706208</x:v>
      </x:c>
    </x:row>
    <x:row r="3560" ht="27" customHeight="1">
      <x:c r="A3560" s="66" t="str">
        <x:v>SEV580</x:v>
      </x:c>
      <x:c r="B3560" s="66" t="str">
        <x:v>祁腾蜂赢1号</x:v>
      </x:c>
      <x:c r="C3560" s="72" t="n">
        <x:v>46245</x:v>
      </x:c>
      <x:c r="D3560" s="73" t="n">
        <x:v>1.0063</x:v>
      </x:c>
      <x:c r="E3560" s="73" t="n">
        <x:v>1.9385</x:v>
      </x:c>
      <x:c r="F3560" s="73" t="n">
        <x:v>2.4512</x:v>
      </x:c>
      <x:c r="G3560" s="74" t="n">
        <x:v>-0.0002</x:v>
      </x:c>
      <x:c r="H3560" s="66" t="str">
        <x:v>祁腾蜂赢1号净值20260911.xlsx</x:v>
      </x:c>
      <x:c r="I3560" s="73" t="n">
        <x:f>MAX(I3559,F3560)</x:f>
        <x:v>2.4534</x:v>
      </x:c>
      <x:c r="J3560" s="74" t="n">
        <x:f>1-F3560/I3560</x:f>
        <x:v>0.0008967147631856465</x:v>
      </x:c>
      <x:c r="K3560" s="73" t="n">
        <x:f>MAX(K3559,F3560)</x:f>
        <x:v>2.4534</x:v>
      </x:c>
      <x:c r="L3560" s="74" t="n">
        <x:f>1-F3560/K3560</x:f>
        <x:v>0.0008967147631856465</x:v>
      </x:c>
      <x:c r="M3560" s="73" t="n">
        <x:f>MAX(M3559,F3560)</x:f>
        <x:v>2.4534</x:v>
      </x:c>
      <x:c r="N3560" s="74" t="n">
        <x:f>1-F3560/M3560</x:f>
        <x:v>0.0008967147631856465</x:v>
      </x:c>
    </x:row>
    <x:row r="3561" ht="27" customHeight="1">
      <x:c r="A3561" s="66" t="str">
        <x:v>SEV580</x:v>
      </x:c>
      <x:c r="B3561" s="66" t="str">
        <x:v>祁腾蜂赢1号</x:v>
      </x:c>
      <x:c r="C3561" s="72" t="n">
        <x:v>46246</x:v>
      </x:c>
      <x:c r="D3561" s="73" t="n">
        <x:v>1.0061</x:v>
      </x:c>
      <x:c r="E3561" s="73" t="n">
        <x:v>1.9383</x:v>
      </x:c>
      <x:c r="F3561" s="73" t="n">
        <x:v>2.4507</x:v>
      </x:c>
      <x:c r="G3561" s="74" t="n">
        <x:v>-0.0002</x:v>
      </x:c>
      <x:c r="H3561" s="66" t="str">
        <x:v>祁腾蜂赢1号净值20260911.xlsx</x:v>
      </x:c>
      <x:c r="I3561" s="73" t="n">
        <x:f>MAX(I3560,F3561)</x:f>
        <x:v>2.4534</x:v>
      </x:c>
      <x:c r="J3561" s="74" t="n">
        <x:f>1-F3561/I3561</x:f>
        <x:v>0.001100513573000672</x:v>
      </x:c>
      <x:c r="K3561" s="73" t="n">
        <x:f>MAX(K3560,F3561)</x:f>
        <x:v>2.4534</x:v>
      </x:c>
      <x:c r="L3561" s="74" t="n">
        <x:f>1-F3561/K3561</x:f>
        <x:v>0.001100513573000672</x:v>
      </x:c>
      <x:c r="M3561" s="73" t="n">
        <x:f>MAX(M3560,F3561)</x:f>
        <x:v>2.4534</x:v>
      </x:c>
      <x:c r="N3561" s="74" t="n">
        <x:f>1-F3561/M3561</x:f>
        <x:v>0.001100513573000672</x:v>
      </x:c>
    </x:row>
    <x:row r="3562" ht="27" customHeight="1">
      <x:c r="A3562" s="66" t="str">
        <x:v>SEV580</x:v>
      </x:c>
      <x:c r="B3562" s="66" t="str">
        <x:v>祁腾蜂赢1号</x:v>
      </x:c>
      <x:c r="C3562" s="72" t="n">
        <x:v>46247</x:v>
      </x:c>
      <x:c r="D3562" s="73" t="n">
        <x:v>1.0062</x:v>
      </x:c>
      <x:c r="E3562" s="73" t="n">
        <x:v>1.9384</x:v>
      </x:c>
      <x:c r="F3562" s="73" t="n">
        <x:v>2.4509</x:v>
      </x:c>
      <x:c r="G3562" s="74" t="n">
        <x:v>0.0001</x:v>
      </x:c>
      <x:c r="H3562" s="66" t="str">
        <x:v>祁腾蜂赢1号净值20260911.xlsx</x:v>
      </x:c>
      <x:c r="I3562" s="73" t="n">
        <x:f>MAX(I3561,F3562)</x:f>
        <x:v>2.4534</x:v>
      </x:c>
      <x:c r="J3562" s="74" t="n">
        <x:f>1-F3562/I3562</x:f>
        <x:v>0.001018994049074684</x:v>
      </x:c>
      <x:c r="K3562" s="73" t="n">
        <x:f>MAX(K3561,F3562)</x:f>
        <x:v>2.4534</x:v>
      </x:c>
      <x:c r="L3562" s="74" t="n">
        <x:f>1-F3562/K3562</x:f>
        <x:v>0.001018994049074684</x:v>
      </x:c>
      <x:c r="M3562" s="73" t="n">
        <x:f>MAX(M3561,F3562)</x:f>
        <x:v>2.4534</x:v>
      </x:c>
      <x:c r="N3562" s="74" t="n">
        <x:f>1-F3562/M3562</x:f>
        <x:v>0.001018994049074684</x:v>
      </x:c>
    </x:row>
    <x:row r="3563" ht="27" customHeight="1">
      <x:c r="A3563" s="66" t="str">
        <x:v>SEV580</x:v>
      </x:c>
      <x:c r="B3563" s="66" t="str">
        <x:v>祁腾蜂赢1号</x:v>
      </x:c>
      <x:c r="C3563" s="72" t="n">
        <x:v>46248</x:v>
      </x:c>
      <x:c r="D3563" s="73" t="n">
        <x:v>1.0064</x:v>
      </x:c>
      <x:c r="E3563" s="73" t="n">
        <x:v>1.9386</x:v>
      </x:c>
      <x:c r="F3563" s="73" t="n">
        <x:v>2.4514</x:v>
      </x:c>
      <x:c r="G3563" s="74" t="n">
        <x:v>0.0002</x:v>
      </x:c>
      <x:c r="H3563" s="66" t="str">
        <x:v>祁腾蜂赢1号净值20260911.xlsx</x:v>
      </x:c>
      <x:c r="I3563" s="73" t="n">
        <x:f>MAX(I3562,F3563)</x:f>
        <x:v>2.4534</x:v>
      </x:c>
      <x:c r="J3563" s="74" t="n">
        <x:f>1-F3563/I3563</x:f>
        <x:v>0.0008151952392596584</x:v>
      </x:c>
      <x:c r="K3563" s="73" t="n">
        <x:f>MAX(K3562,F3563)</x:f>
        <x:v>2.4534</x:v>
      </x:c>
      <x:c r="L3563" s="74" t="n">
        <x:f>1-F3563/K3563</x:f>
        <x:v>0.0008151952392596584</x:v>
      </x:c>
      <x:c r="M3563" s="73" t="n">
        <x:f>MAX(M3562,F3563)</x:f>
        <x:v>2.4534</x:v>
      </x:c>
      <x:c r="N3563" s="74" t="n">
        <x:f>1-F3563/M3563</x:f>
        <x:v>0.0008151952392596584</x:v>
      </x:c>
    </x:row>
    <x:row r="3564" ht="27" customHeight="1">
      <x:c r="A3564" s="66" t="str">
        <x:v>SEV580</x:v>
      </x:c>
      <x:c r="B3564" s="66" t="str">
        <x:v>祁腾蜂赢1号</x:v>
      </x:c>
      <x:c r="C3564" s="72" t="n">
        <x:v>46251</x:v>
      </x:c>
      <x:c r="D3564" s="73" t="n">
        <x:v>1.0059</x:v>
      </x:c>
      <x:c r="E3564" s="73" t="n">
        <x:v>1.9381</x:v>
      </x:c>
      <x:c r="F3564" s="73" t="n">
        <x:v>2.4502</x:v>
      </x:c>
      <x:c r="G3564" s="74" t="n">
        <x:v>-0.0005</x:v>
      </x:c>
      <x:c r="H3564" s="66" t="str">
        <x:v>祁腾蜂赢1号净值20260911.xlsx</x:v>
      </x:c>
      <x:c r="I3564" s="73" t="n">
        <x:f>MAX(I3563,F3564)</x:f>
        <x:v>2.4534</x:v>
      </x:c>
      <x:c r="J3564" s="74" t="n">
        <x:f>1-F3564/I3564</x:f>
        <x:v>0.0013043123828155867</x:v>
      </x:c>
      <x:c r="K3564" s="73" t="n">
        <x:f>MAX(K3563,F3564)</x:f>
        <x:v>2.4534</x:v>
      </x:c>
      <x:c r="L3564" s="74" t="n">
        <x:f>1-F3564/K3564</x:f>
        <x:v>0.0013043123828155867</x:v>
      </x:c>
      <x:c r="M3564" s="73" t="n">
        <x:f>MAX(M3563,F3564)</x:f>
        <x:v>2.4534</x:v>
      </x:c>
      <x:c r="N3564" s="74" t="n">
        <x:f>1-F3564/M3564</x:f>
        <x:v>0.0013043123828155867</x:v>
      </x:c>
    </x:row>
    <x:row r="3565" ht="27" customHeight="1">
      <x:c r="A3565" s="66" t="str">
        <x:v>SEV580</x:v>
      </x:c>
      <x:c r="B3565" s="66" t="str">
        <x:v>祁腾蜂赢1号</x:v>
      </x:c>
      <x:c r="C3565" s="72" t="n">
        <x:v>46252</x:v>
      </x:c>
      <x:c r="D3565" s="73" t="n">
        <x:v>1.0057</x:v>
      </x:c>
      <x:c r="E3565" s="73" t="n">
        <x:v>1.9379</x:v>
      </x:c>
      <x:c r="F3565" s="73" t="n">
        <x:v>2.4497</x:v>
      </x:c>
      <x:c r="G3565" s="74" t="n">
        <x:v>-0.0002</x:v>
      </x:c>
      <x:c r="H3565" s="66" t="str">
        <x:v>祁腾蜂赢1号净值20260911.xlsx</x:v>
      </x:c>
      <x:c r="I3565" s="73" t="n">
        <x:f>MAX(I3564,F3565)</x:f>
        <x:v>2.4534</x:v>
      </x:c>
      <x:c r="J3565" s="74" t="n">
        <x:f>1-F3565/I3565</x:f>
        <x:v>0.0015081111926306123</x:v>
      </x:c>
      <x:c r="K3565" s="73" t="n">
        <x:f>MAX(K3564,F3565)</x:f>
        <x:v>2.4534</x:v>
      </x:c>
      <x:c r="L3565" s="74" t="n">
        <x:f>1-F3565/K3565</x:f>
        <x:v>0.0015081111926306123</x:v>
      </x:c>
      <x:c r="M3565" s="73" t="n">
        <x:f>MAX(M3564,F3565)</x:f>
        <x:v>2.4534</x:v>
      </x:c>
      <x:c r="N3565" s="74" t="n">
        <x:f>1-F3565/M3565</x:f>
        <x:v>0.0015081111926306123</x:v>
      </x:c>
    </x:row>
    <x:row r="3566" ht="27" customHeight="1">
      <x:c r="A3566" s="66" t="str">
        <x:v>SEV580</x:v>
      </x:c>
      <x:c r="B3566" s="66" t="str">
        <x:v>祁腾蜂赢1号</x:v>
      </x:c>
      <x:c r="C3566" s="72" t="n">
        <x:v>46253</x:v>
      </x:c>
      <x:c r="D3566" s="73" t="n">
        <x:v>1.0057</x:v>
      </x:c>
      <x:c r="E3566" s="73" t="n">
        <x:v>1.9379</x:v>
      </x:c>
      <x:c r="F3566" s="73" t="n">
        <x:v>2.4497</x:v>
      </x:c>
      <x:c r="G3566" s="74" t="n">
        <x:v>0</x:v>
      </x:c>
      <x:c r="H3566" s="66" t="str">
        <x:v>祁腾蜂赢1号净值20260911.xlsx</x:v>
      </x:c>
      <x:c r="I3566" s="73" t="n">
        <x:f>MAX(I3565,F3566)</x:f>
        <x:v>2.4534</x:v>
      </x:c>
      <x:c r="J3566" s="74" t="n">
        <x:f>1-F3566/I3566</x:f>
        <x:v>0.0015081111926306123</x:v>
      </x:c>
      <x:c r="K3566" s="73" t="n">
        <x:f>MAX(K3565,F3566)</x:f>
        <x:v>2.4534</x:v>
      </x:c>
      <x:c r="L3566" s="74" t="n">
        <x:f>1-F3566/K3566</x:f>
        <x:v>0.0015081111926306123</x:v>
      </x:c>
      <x:c r="M3566" s="73" t="n">
        <x:f>MAX(M3565,F3566)</x:f>
        <x:v>2.4534</x:v>
      </x:c>
      <x:c r="N3566" s="74" t="n">
        <x:f>1-F3566/M3566</x:f>
        <x:v>0.0015081111926306123</x:v>
      </x:c>
    </x:row>
    <x:row r="3567" ht="27" customHeight="1">
      <x:c r="A3567" s="66" t="str">
        <x:v>SEV580</x:v>
      </x:c>
      <x:c r="B3567" s="66" t="str">
        <x:v>祁腾蜂赢1号</x:v>
      </x:c>
      <x:c r="C3567" s="72" t="n">
        <x:v>46254</x:v>
      </x:c>
      <x:c r="D3567" s="73" t="n">
        <x:v>1.0055</x:v>
      </x:c>
      <x:c r="E3567" s="73" t="n">
        <x:v>1.9377</x:v>
      </x:c>
      <x:c r="F3567" s="73" t="n">
        <x:v>2.4492</x:v>
      </x:c>
      <x:c r="G3567" s="74" t="n">
        <x:v>-0.0002</x:v>
      </x:c>
      <x:c r="H3567" s="66" t="str">
        <x:v>祁腾蜂赢1号净值20260911.xlsx</x:v>
      </x:c>
      <x:c r="I3567" s="73" t="n">
        <x:f>MAX(I3566,F3567)</x:f>
        <x:v>2.4534</x:v>
      </x:c>
      <x:c r="J3567" s="74" t="n">
        <x:f>1-F3567/I3567</x:f>
        <x:v>0.001711910002445527</x:v>
      </x:c>
      <x:c r="K3567" s="73" t="n">
        <x:f>MAX(K3566,F3567)</x:f>
        <x:v>2.4534</x:v>
      </x:c>
      <x:c r="L3567" s="74" t="n">
        <x:f>1-F3567/K3567</x:f>
        <x:v>0.001711910002445527</x:v>
      </x:c>
      <x:c r="M3567" s="73" t="n">
        <x:f>MAX(M3566,F3567)</x:f>
        <x:v>2.4534</x:v>
      </x:c>
      <x:c r="N3567" s="74" t="n">
        <x:f>1-F3567/M3567</x:f>
        <x:v>0.001711910002445527</x:v>
      </x:c>
    </x:row>
    <x:row r="3568" ht="27" customHeight="1">
      <x:c r="A3568" s="66" t="str">
        <x:v>SEV580</x:v>
      </x:c>
      <x:c r="B3568" s="66" t="str">
        <x:v>祁腾蜂赢1号</x:v>
      </x:c>
      <x:c r="C3568" s="72" t="n">
        <x:v>46255</x:v>
      </x:c>
      <x:c r="D3568" s="73" t="n">
        <x:v>1.0055</x:v>
      </x:c>
      <x:c r="E3568" s="73" t="n">
        <x:v>1.9377</x:v>
      </x:c>
      <x:c r="F3568" s="73" t="n">
        <x:v>2.4492</x:v>
      </x:c>
      <x:c r="G3568" s="74" t="n">
        <x:v>0</x:v>
      </x:c>
      <x:c r="H3568" s="66" t="str">
        <x:v>祁腾蜂赢1号净值20260911.xlsx</x:v>
      </x:c>
      <x:c r="I3568" s="73" t="n">
        <x:f>MAX(I3567,F3568)</x:f>
        <x:v>2.4534</x:v>
      </x:c>
      <x:c r="J3568" s="74" t="n">
        <x:f>1-F3568/I3568</x:f>
        <x:v>0.001711910002445527</x:v>
      </x:c>
      <x:c r="K3568" s="73" t="n">
        <x:f>MAX(K3567,F3568)</x:f>
        <x:v>2.4534</x:v>
      </x:c>
      <x:c r="L3568" s="74" t="n">
        <x:f>1-F3568/K3568</x:f>
        <x:v>0.001711910002445527</x:v>
      </x:c>
      <x:c r="M3568" s="73" t="n">
        <x:f>MAX(M3567,F3568)</x:f>
        <x:v>2.4534</x:v>
      </x:c>
      <x:c r="N3568" s="74" t="n">
        <x:f>1-F3568/M3568</x:f>
        <x:v>0.001711910002445527</x:v>
      </x:c>
    </x:row>
    <x:row r="3569" ht="27" customHeight="1">
      <x:c r="A3569" s="66" t="str">
        <x:v>SEV580</x:v>
      </x:c>
      <x:c r="B3569" s="66" t="str">
        <x:v>祁腾蜂赢1号</x:v>
      </x:c>
      <x:c r="C3569" s="72" t="n">
        <x:v>46258</x:v>
      </x:c>
      <x:c r="D3569" s="73" t="n">
        <x:v>1.0058</x:v>
      </x:c>
      <x:c r="E3569" s="73" t="n">
        <x:v>1.938</x:v>
      </x:c>
      <x:c r="F3569" s="73" t="n">
        <x:v>2.45</x:v>
      </x:c>
      <x:c r="G3569" s="74" t="n">
        <x:v>0.0003</x:v>
      </x:c>
      <x:c r="H3569" s="66" t="str">
        <x:v>祁腾蜂赢1号净值20260911.xlsx</x:v>
      </x:c>
      <x:c r="I3569" s="73" t="n">
        <x:f>MAX(I3568,F3569)</x:f>
        <x:v>2.4534</x:v>
      </x:c>
      <x:c r="J3569" s="74" t="n">
        <x:f>1-F3569/I3569</x:f>
        <x:v>0.0013858319067414637</x:v>
      </x:c>
      <x:c r="K3569" s="73" t="n">
        <x:f>MAX(K3568,F3569)</x:f>
        <x:v>2.4534</x:v>
      </x:c>
      <x:c r="L3569" s="74" t="n">
        <x:f>1-F3569/K3569</x:f>
        <x:v>0.0013858319067414637</x:v>
      </x:c>
      <x:c r="M3569" s="73" t="n">
        <x:f>MAX(M3568,F3569)</x:f>
        <x:v>2.4534</x:v>
      </x:c>
      <x:c r="N3569" s="74" t="n">
        <x:f>1-F3569/M3569</x:f>
        <x:v>0.0013858319067414637</x:v>
      </x:c>
    </x:row>
    <x:row r="3570" ht="27" customHeight="1">
      <x:c r="A3570" s="66" t="str">
        <x:v>SEV580</x:v>
      </x:c>
      <x:c r="B3570" s="66" t="str">
        <x:v>祁腾蜂赢1号</x:v>
      </x:c>
      <x:c r="C3570" s="72" t="n">
        <x:v>46259</x:v>
      </x:c>
      <x:c r="D3570" s="73" t="n">
        <x:v>1.0052</x:v>
      </x:c>
      <x:c r="E3570" s="73" t="n">
        <x:v>1.9374</x:v>
      </x:c>
      <x:c r="F3570" s="73" t="n">
        <x:v>2.4485</x:v>
      </x:c>
      <x:c r="G3570" s="74" t="n">
        <x:v>-0.0006</x:v>
      </x:c>
      <x:c r="H3570" s="66" t="str">
        <x:v>祁腾蜂赢1号净值20260911.xlsx</x:v>
      </x:c>
      <x:c r="I3570" s="73" t="n">
        <x:f>MAX(I3569,F3570)</x:f>
        <x:v>2.4534</x:v>
      </x:c>
      <x:c r="J3570" s="74" t="n">
        <x:f>1-F3570/I3570</x:f>
        <x:v>0.0019972283361864296</x:v>
      </x:c>
      <x:c r="K3570" s="73" t="n">
        <x:f>MAX(K3569,F3570)</x:f>
        <x:v>2.4534</x:v>
      </x:c>
      <x:c r="L3570" s="74" t="n">
        <x:f>1-F3570/K3570</x:f>
        <x:v>0.0019972283361864296</x:v>
      </x:c>
      <x:c r="M3570" s="73" t="n">
        <x:f>MAX(M3569,F3570)</x:f>
        <x:v>2.4534</x:v>
      </x:c>
      <x:c r="N3570" s="74" t="n">
        <x:f>1-F3570/M3570</x:f>
        <x:v>0.0019972283361864296</x:v>
      </x:c>
    </x:row>
    <x:row r="3571" ht="27" customHeight="1">
      <x:c r="A3571" s="66" t="str">
        <x:v>SEV580</x:v>
      </x:c>
      <x:c r="B3571" s="66" t="str">
        <x:v>祁腾蜂赢1号</x:v>
      </x:c>
      <x:c r="C3571" s="72" t="n">
        <x:v>46260</x:v>
      </x:c>
      <x:c r="D3571" s="73" t="n">
        <x:v>1.0053</x:v>
      </x:c>
      <x:c r="E3571" s="73" t="n">
        <x:v>1.9375</x:v>
      </x:c>
      <x:c r="F3571" s="73" t="n">
        <x:v>2.4487</x:v>
      </x:c>
      <x:c r="G3571" s="74" t="n">
        <x:v>0.0001</x:v>
      </x:c>
      <x:c r="H3571" s="66" t="str">
        <x:v>祁腾蜂赢1号净值20260911.xlsx</x:v>
      </x:c>
      <x:c r="I3571" s="73" t="n">
        <x:f>MAX(I3570,F3571)</x:f>
        <x:v>2.4534</x:v>
      </x:c>
      <x:c r="J3571" s="74" t="n">
        <x:f>1-F3571/I3571</x:f>
        <x:v>0.0019157088122604415</x:v>
      </x:c>
      <x:c r="K3571" s="73" t="n">
        <x:f>MAX(K3570,F3571)</x:f>
        <x:v>2.4534</x:v>
      </x:c>
      <x:c r="L3571" s="74" t="n">
        <x:f>1-F3571/K3571</x:f>
        <x:v>0.0019157088122604415</x:v>
      </x:c>
      <x:c r="M3571" s="73" t="n">
        <x:f>MAX(M3570,F3571)</x:f>
        <x:v>2.4534</x:v>
      </x:c>
      <x:c r="N3571" s="74" t="n">
        <x:f>1-F3571/M3571</x:f>
        <x:v>0.0019157088122604415</x:v>
      </x:c>
    </x:row>
    <x:row r="3572" ht="27" customHeight="1">
      <x:c r="A3572" s="66" t="str">
        <x:v>SEV580</x:v>
      </x:c>
      <x:c r="B3572" s="66" t="str">
        <x:v>祁腾蜂赢1号</x:v>
      </x:c>
      <x:c r="C3572" s="72" t="n">
        <x:v>46261</x:v>
      </x:c>
      <x:c r="D3572" s="73" t="n">
        <x:v>1.006</x:v>
      </x:c>
      <x:c r="E3572" s="73" t="n">
        <x:v>1.9382</x:v>
      </x:c>
      <x:c r="F3572" s="73" t="n">
        <x:v>2.4504</x:v>
      </x:c>
      <x:c r="G3572" s="74" t="n">
        <x:v>0.0007000000000000001</x:v>
      </x:c>
      <x:c r="H3572" s="66" t="str">
        <x:v>祁腾蜂赢1号净值20260911.xlsx</x:v>
      </x:c>
      <x:c r="I3572" s="73" t="n">
        <x:f>MAX(I3571,F3572)</x:f>
        <x:v>2.4534</x:v>
      </x:c>
      <x:c r="J3572" s="74" t="n">
        <x:f>1-F3572/I3572</x:f>
        <x:v>0.0012227928588895987</x:v>
      </x:c>
      <x:c r="K3572" s="73" t="n">
        <x:f>MAX(K3571,F3572)</x:f>
        <x:v>2.4534</x:v>
      </x:c>
      <x:c r="L3572" s="74" t="n">
        <x:f>1-F3572/K3572</x:f>
        <x:v>0.0012227928588895987</x:v>
      </x:c>
      <x:c r="M3572" s="73" t="n">
        <x:f>MAX(M3571,F3572)</x:f>
        <x:v>2.4534</x:v>
      </x:c>
      <x:c r="N3572" s="74" t="n">
        <x:f>1-F3572/M3572</x:f>
        <x:v>0.0012227928588895987</x:v>
      </x:c>
    </x:row>
    <x:row r="3573" ht="27" customHeight="1">
      <x:c r="A3573" s="66" t="str">
        <x:v>SEV580</x:v>
      </x:c>
      <x:c r="B3573" s="66" t="str">
        <x:v>祁腾蜂赢1号</x:v>
      </x:c>
      <x:c r="C3573" s="72" t="n">
        <x:v>46262</x:v>
      </x:c>
      <x:c r="D3573" s="73" t="n">
        <x:v>1.0056</x:v>
      </x:c>
      <x:c r="E3573" s="73" t="n">
        <x:v>1.9378</x:v>
      </x:c>
      <x:c r="F3573" s="73" t="n">
        <x:v>2.4495</x:v>
      </x:c>
      <x:c r="G3573" s="74" t="n">
        <x:v>-0.0004</x:v>
      </x:c>
      <x:c r="H3573" s="66" t="str">
        <x:v>祁腾蜂赢1号净值20260911.xlsx</x:v>
      </x:c>
      <x:c r="I3573" s="73" t="n">
        <x:f>MAX(I3572,F3573)</x:f>
        <x:v>2.4534</x:v>
      </x:c>
      <x:c r="J3573" s="74" t="n">
        <x:f>1-F3573/I3573</x:f>
        <x:v>0.0015896307165564894</x:v>
      </x:c>
      <x:c r="K3573" s="73" t="n">
        <x:f>MAX(K3572,F3573)</x:f>
        <x:v>2.4534</x:v>
      </x:c>
      <x:c r="L3573" s="74" t="n">
        <x:f>1-F3573/K3573</x:f>
        <x:v>0.0015896307165564894</x:v>
      </x:c>
      <x:c r="M3573" s="73" t="n">
        <x:f>MAX(M3572,F3573)</x:f>
        <x:v>2.4534</x:v>
      </x:c>
      <x:c r="N3573" s="74" t="n">
        <x:f>1-F3573/M3573</x:f>
        <x:v>0.0015896307165564894</x:v>
      </x:c>
    </x:row>
    <x:row r="3574" ht="27" customHeight="1">
      <x:c r="A3574" s="66" t="str">
        <x:v>SEV580</x:v>
      </x:c>
      <x:c r="B3574" s="66" t="str">
        <x:v>祁腾蜂赢1号</x:v>
      </x:c>
      <x:c r="C3574" s="72" t="n">
        <x:v>46265</x:v>
      </x:c>
      <x:c r="D3574" s="73" t="n">
        <x:v>1.005</x:v>
      </x:c>
      <x:c r="E3574" s="73" t="n">
        <x:v>1.9372</x:v>
      </x:c>
      <x:c r="F3574" s="73" t="n">
        <x:v>2.448</x:v>
      </x:c>
      <x:c r="G3574" s="74" t="n">
        <x:v>-0.0006</x:v>
      </x:c>
      <x:c r="H3574" s="66" t="str">
        <x:v>祁腾蜂赢1号净值20260911.xlsx</x:v>
      </x:c>
      <x:c r="I3574" s="73" t="n">
        <x:f>MAX(I3573,F3574)</x:f>
        <x:v>2.4534</x:v>
      </x:c>
      <x:c r="J3574" s="74" t="n">
        <x:f>1-F3574/I3574</x:f>
        <x:v>0.002201027146001455</x:v>
      </x:c>
      <x:c r="K3574" s="73" t="n">
        <x:f>MAX(K3573,F3574)</x:f>
        <x:v>2.4534</x:v>
      </x:c>
      <x:c r="L3574" s="74" t="n">
        <x:f>1-F3574/K3574</x:f>
        <x:v>0.002201027146001455</x:v>
      </x:c>
      <x:c r="M3574" s="73" t="n">
        <x:f>MAX(M3573,F3574)</x:f>
        <x:v>2.4534</x:v>
      </x:c>
      <x:c r="N3574" s="74" t="n">
        <x:f>1-F3574/M3574</x:f>
        <x:v>0.002201027146001455</x:v>
      </x:c>
    </x:row>
    <x:row r="3575" ht="27" customHeight="1">
      <x:c r="A3575" s="66" t="str">
        <x:v>SEV580</x:v>
      </x:c>
      <x:c r="B3575" s="66" t="str">
        <x:v>祁腾蜂赢1号</x:v>
      </x:c>
      <x:c r="C3575" s="72" t="n">
        <x:v>46266</x:v>
      </x:c>
      <x:c r="D3575" s="73" t="n">
        <x:v>1.0051</x:v>
      </x:c>
      <x:c r="E3575" s="73" t="n">
        <x:v>1.9373</x:v>
      </x:c>
      <x:c r="F3575" s="73" t="n">
        <x:v>2.4483</x:v>
      </x:c>
      <x:c r="G3575" s="74" t="n">
        <x:v>0.0001</x:v>
      </x:c>
      <x:c r="H3575" s="66" t="str">
        <x:v>祁腾蜂赢1号净值20260911.xlsx</x:v>
      </x:c>
      <x:c r="I3575" s="73" t="n">
        <x:f>MAX(I3574,F3575)</x:f>
        <x:v>2.4534</x:v>
      </x:c>
      <x:c r="J3575" s="74" t="n">
        <x:f>1-F3575/I3575</x:f>
        <x:v>0.0020787478601123066</x:v>
      </x:c>
      <x:c r="K3575" s="73" t="n">
        <x:f>MAX(K3574,F3575)</x:f>
        <x:v>2.4534</x:v>
      </x:c>
      <x:c r="L3575" s="74" t="n">
        <x:f>1-F3575/K3575</x:f>
        <x:v>0.0020787478601123066</x:v>
      </x:c>
      <x:c r="M3575" s="73" t="n">
        <x:f>MAX(M3574,F3575)</x:f>
        <x:v>2.4534</x:v>
      </x:c>
      <x:c r="N3575" s="74" t="n">
        <x:f>1-F3575/M3575</x:f>
        <x:v>0.0020787478601123066</x:v>
      </x:c>
    </x:row>
    <x:row r="3576" ht="27" customHeight="1">
      <x:c r="A3576" s="66" t="str">
        <x:v>SEV580</x:v>
      </x:c>
      <x:c r="B3576" s="66" t="str">
        <x:v>祁腾蜂赢1号</x:v>
      </x:c>
      <x:c r="C3576" s="72" t="n">
        <x:v>46267</x:v>
      </x:c>
      <x:c r="D3576" s="73" t="n">
        <x:v>1.005</x:v>
      </x:c>
      <x:c r="E3576" s="73" t="n">
        <x:v>1.9372</x:v>
      </x:c>
      <x:c r="F3576" s="73" t="n">
        <x:v>2.448</x:v>
      </x:c>
      <x:c r="G3576" s="74" t="n">
        <x:v>-0.0001</x:v>
      </x:c>
      <x:c r="H3576" s="66" t="str">
        <x:v>祁腾蜂赢1号净值20260911.xlsx</x:v>
      </x:c>
      <x:c r="I3576" s="73" t="n">
        <x:f>MAX(I3575,F3576)</x:f>
        <x:v>2.4534</x:v>
      </x:c>
      <x:c r="J3576" s="74" t="n">
        <x:f>1-F3576/I3576</x:f>
        <x:v>0.002201027146001455</x:v>
      </x:c>
      <x:c r="K3576" s="73" t="n">
        <x:f>MAX(K3575,F3576)</x:f>
        <x:v>2.4534</x:v>
      </x:c>
      <x:c r="L3576" s="74" t="n">
        <x:f>1-F3576/K3576</x:f>
        <x:v>0.002201027146001455</x:v>
      </x:c>
      <x:c r="M3576" s="73" t="n">
        <x:f>MAX(M3575,F3576)</x:f>
        <x:v>2.4534</x:v>
      </x:c>
      <x:c r="N3576" s="74" t="n">
        <x:f>1-F3576/M3576</x:f>
        <x:v>0.002201027146001455</x:v>
      </x:c>
    </x:row>
    <x:row r="3577" ht="27" customHeight="1">
      <x:c r="A3577" s="66" t="str">
        <x:v>SEV580</x:v>
      </x:c>
      <x:c r="B3577" s="66" t="str">
        <x:v>祁腾蜂赢1号</x:v>
      </x:c>
      <x:c r="C3577" s="72" t="n">
        <x:v>46268</x:v>
      </x:c>
      <x:c r="D3577" s="73" t="n">
        <x:v>1.0047</x:v>
      </x:c>
      <x:c r="E3577" s="73" t="n">
        <x:v>1.9369</x:v>
      </x:c>
      <x:c r="F3577" s="73" t="n">
        <x:v>2.4473</x:v>
      </x:c>
      <x:c r="G3577" s="74" t="n">
        <x:v>-0.0003</x:v>
      </x:c>
      <x:c r="H3577" s="66" t="str">
        <x:v>祁腾蜂赢1号净值20260911.xlsx</x:v>
      </x:c>
      <x:c r="I3577" s="73" t="n">
        <x:f>MAX(I3576,F3577)</x:f>
        <x:v>2.4534</x:v>
      </x:c>
      <x:c r="J3577" s="74" t="n">
        <x:f>1-F3577/I3577</x:f>
        <x:v>0.002486345479742358</x:v>
      </x:c>
      <x:c r="K3577" s="73" t="n">
        <x:f>MAX(K3576,F3577)</x:f>
        <x:v>2.4534</x:v>
      </x:c>
      <x:c r="L3577" s="74" t="n">
        <x:f>1-F3577/K3577</x:f>
        <x:v>0.002486345479742358</x:v>
      </x:c>
      <x:c r="M3577" s="73" t="n">
        <x:f>MAX(M3576,F3577)</x:f>
        <x:v>2.4534</x:v>
      </x:c>
      <x:c r="N3577" s="74" t="n">
        <x:f>1-F3577/M3577</x:f>
        <x:v>0.002486345479742358</x:v>
      </x:c>
    </x:row>
    <x:row r="3578" ht="27" customHeight="1">
      <x:c r="A3578" s="66" t="str">
        <x:v>SEV580</x:v>
      </x:c>
      <x:c r="B3578" s="66" t="str">
        <x:v>祁腾蜂赢1号</x:v>
      </x:c>
      <x:c r="C3578" s="72" t="n">
        <x:v>46269</x:v>
      </x:c>
      <x:c r="D3578" s="73" t="n">
        <x:v>1.0048</x:v>
      </x:c>
      <x:c r="E3578" s="73" t="n">
        <x:v>1.937</x:v>
      </x:c>
      <x:c r="F3578" s="73" t="n">
        <x:v>2.4475</x:v>
      </x:c>
      <x:c r="G3578" s="74" t="n">
        <x:v>0.0001</x:v>
      </x:c>
      <x:c r="H3578" s="66" t="str">
        <x:v>祁腾蜂赢1号净值20260911.xlsx</x:v>
      </x:c>
      <x:c r="I3578" s="73" t="n">
        <x:f>MAX(I3577,F3578)</x:f>
        <x:v>2.4534</x:v>
      </x:c>
      <x:c r="J3578" s="74" t="n">
        <x:f>1-F3578/I3578</x:f>
        <x:v>0.00240482595581637</x:v>
      </x:c>
      <x:c r="K3578" s="73" t="n">
        <x:f>MAX(K3577,F3578)</x:f>
        <x:v>2.4534</x:v>
      </x:c>
      <x:c r="L3578" s="74" t="n">
        <x:f>1-F3578/K3578</x:f>
        <x:v>0.00240482595581637</x:v>
      </x:c>
      <x:c r="M3578" s="73" t="n">
        <x:f>MAX(M3577,F3578)</x:f>
        <x:v>2.4534</x:v>
      </x:c>
      <x:c r="N3578" s="74" t="n">
        <x:f>1-F3578/M3578</x:f>
        <x:v>0.00240482595581637</x:v>
      </x:c>
    </x:row>
    <x:row r="3579" ht="27" customHeight="1">
      <x:c r="A3579" s="66" t="str">
        <x:v>SEV580</x:v>
      </x:c>
      <x:c r="B3579" s="66" t="str">
        <x:v>祁腾蜂赢1号</x:v>
      </x:c>
      <x:c r="C3579" s="72" t="n">
        <x:v>46272</x:v>
      </x:c>
      <x:c r="D3579" s="73" t="n">
        <x:v>1.0052</x:v>
      </x:c>
      <x:c r="E3579" s="73" t="n">
        <x:v>1.9374</x:v>
      </x:c>
      <x:c r="F3579" s="73" t="n">
        <x:v>2.4485</x:v>
      </x:c>
      <x:c r="G3579" s="74" t="n">
        <x:v>0.0004</x:v>
      </x:c>
      <x:c r="H3579" s="66" t="str">
        <x:v>祁腾蜂赢1号净值20260911.xlsx</x:v>
      </x:c>
      <x:c r="I3579" s="73" t="n">
        <x:f>MAX(I3578,F3579)</x:f>
        <x:v>2.4534</x:v>
      </x:c>
      <x:c r="J3579" s="74" t="n">
        <x:f>1-F3579/I3579</x:f>
        <x:v>0.0019972283361864296</x:v>
      </x:c>
      <x:c r="K3579" s="73" t="n">
        <x:f>MAX(K3578,F3579)</x:f>
        <x:v>2.4534</x:v>
      </x:c>
      <x:c r="L3579" s="74" t="n">
        <x:f>1-F3579/K3579</x:f>
        <x:v>0.0019972283361864296</x:v>
      </x:c>
      <x:c r="M3579" s="73" t="n">
        <x:f>MAX(M3578,F3579)</x:f>
        <x:v>2.4534</x:v>
      </x:c>
      <x:c r="N3579" s="74" t="n">
        <x:f>1-F3579/M3579</x:f>
        <x:v>0.0019972283361864296</x:v>
      </x:c>
    </x:row>
    <x:row r="3580" ht="27" customHeight="1">
      <x:c r="A3580" s="66" t="str">
        <x:v>SEV580</x:v>
      </x:c>
      <x:c r="B3580" s="66" t="str">
        <x:v>祁腾蜂赢1号</x:v>
      </x:c>
      <x:c r="C3580" s="72" t="n">
        <x:v>46273</x:v>
      </x:c>
      <x:c r="D3580" s="73" t="n">
        <x:v>1.0052</x:v>
      </x:c>
      <x:c r="E3580" s="73" t="n">
        <x:v>1.9374</x:v>
      </x:c>
      <x:c r="F3580" s="73" t="n">
        <x:v>2.4485</x:v>
      </x:c>
      <x:c r="G3580" s="74" t="n">
        <x:v>0</x:v>
      </x:c>
      <x:c r="H3580" s="66" t="str">
        <x:v>祁腾蜂赢1号净值20260911.xlsx</x:v>
      </x:c>
      <x:c r="I3580" s="73" t="n">
        <x:f>MAX(I3579,F3580)</x:f>
        <x:v>2.4534</x:v>
      </x:c>
      <x:c r="J3580" s="74" t="n">
        <x:f>1-F3580/I3580</x:f>
        <x:v>0.0019972283361864296</x:v>
      </x:c>
      <x:c r="K3580" s="73" t="n">
        <x:f>MAX(K3579,F3580)</x:f>
        <x:v>2.4534</x:v>
      </x:c>
      <x:c r="L3580" s="74" t="n">
        <x:f>1-F3580/K3580</x:f>
        <x:v>0.0019972283361864296</x:v>
      </x:c>
      <x:c r="M3580" s="73" t="n">
        <x:f>MAX(M3579,F3580)</x:f>
        <x:v>2.4534</x:v>
      </x:c>
      <x:c r="N3580" s="74" t="n">
        <x:f>1-F3580/M3580</x:f>
        <x:v>0.0019972283361864296</x:v>
      </x:c>
    </x:row>
    <x:row r="3581" ht="27" customHeight="1">
      <x:c r="A3581" s="66" t="str">
        <x:v>SEV580</x:v>
      </x:c>
      <x:c r="B3581" s="66" t="str">
        <x:v>祁腾蜂赢1号</x:v>
      </x:c>
      <x:c r="C3581" s="72" t="n">
        <x:v>46274</x:v>
      </x:c>
      <x:c r="D3581" s="73" t="n">
        <x:v>1.0045</x:v>
      </x:c>
      <x:c r="E3581" s="73" t="n">
        <x:v>1.9367</x:v>
      </x:c>
      <x:c r="F3581" s="73" t="n">
        <x:v>2.4468</x:v>
      </x:c>
      <x:c r="G3581" s="74" t="n">
        <x:v>-0.0007000000000000001</x:v>
      </x:c>
      <x:c r="H3581" s="66" t="str">
        <x:v>祁腾蜂赢1号净值20260911.xlsx</x:v>
      </x:c>
      <x:c r="I3581" s="73" t="n">
        <x:f>MAX(I3580,F3581)</x:f>
        <x:v>2.4534</x:v>
      </x:c>
      <x:c r="J3581" s="74" t="n">
        <x:f>1-F3581/I3581</x:f>
        <x:v>0.0026901442895572725</x:v>
      </x:c>
      <x:c r="K3581" s="73" t="n">
        <x:f>MAX(K3580,F3581)</x:f>
        <x:v>2.4534</x:v>
      </x:c>
      <x:c r="L3581" s="74" t="n">
        <x:f>1-F3581/K3581</x:f>
        <x:v>0.0026901442895572725</x:v>
      </x:c>
      <x:c r="M3581" s="73" t="n">
        <x:f>MAX(M3580,F3581)</x:f>
        <x:v>2.4534</x:v>
      </x:c>
      <x:c r="N3581" s="74" t="n">
        <x:f>1-F3581/M3581</x:f>
        <x:v>0.0026901442895572725</x:v>
      </x:c>
    </x:row>
    <x:row r="3582" ht="27" customHeight="1">
      <x:c r="A3582" s="66" t="str">
        <x:v>SEV580</x:v>
      </x:c>
      <x:c r="B3582" s="66" t="str">
        <x:v>祁腾蜂赢1号</x:v>
      </x:c>
      <x:c r="C3582" s="72" t="n">
        <x:v>46275</x:v>
      </x:c>
      <x:c r="D3582" s="73" t="n">
        <x:v>1.0048</x:v>
      </x:c>
      <x:c r="E3582" s="73" t="n">
        <x:v>1.937</x:v>
      </x:c>
      <x:c r="F3582" s="73" t="n">
        <x:v>2.4475</x:v>
      </x:c>
      <x:c r="G3582" s="74" t="n">
        <x:v>0.0003</x:v>
      </x:c>
      <x:c r="H3582" s="66" t="str">
        <x:v>祁腾蜂赢1号净值20260911.xlsx</x:v>
      </x:c>
      <x:c r="I3582" s="73" t="n">
        <x:f>MAX(I3581,F3582)</x:f>
        <x:v>2.4534</x:v>
      </x:c>
      <x:c r="J3582" s="74" t="n">
        <x:f>1-F3582/I3582</x:f>
        <x:v>0.00240482595581637</x:v>
      </x:c>
      <x:c r="K3582" s="73" t="n">
        <x:f>MAX(K3581,F3582)</x:f>
        <x:v>2.4534</x:v>
      </x:c>
      <x:c r="L3582" s="74" t="n">
        <x:f>1-F3582/K3582</x:f>
        <x:v>0.00240482595581637</x:v>
      </x:c>
      <x:c r="M3582" s="73" t="n">
        <x:f>MAX(M3581,F3582)</x:f>
        <x:v>2.4534</x:v>
      </x:c>
      <x:c r="N3582" s="74" t="n">
        <x:f>1-F3582/M3582</x:f>
        <x:v>0.00240482595581637</x:v>
      </x:c>
    </x:row>
    <x:row r="3583" ht="27" customHeight="1">
      <x:c r="A3583" s="66" t="str">
        <x:v>SXT086</x:v>
      </x:c>
      <x:c r="B3583" s="66" t="str">
        <x:v>系数CTA套利五号</x:v>
      </x:c>
      <x:c r="C3583" s="72" t="n">
        <x:v>44883</x:v>
      </x:c>
      <x:c r="D3583" s="73" t="n">
        <x:v>0.9999</x:v>
      </x:c>
      <x:c r="E3583" s="73" t="n">
        <x:v>0.9999</x:v>
      </x:c>
      <x:c r="F3583" s="73" t="n">
        <x:v>0.9999</x:v>
      </x:c>
      <x:c r="G3583" s="74"/>
      <x:c r="H3583" s="66" t="str">
        <x:v>系数CTA套利五号净值20260911.xlsx</x:v>
      </x:c>
      <x:c r="I3583" s="73" t="str">
        <x:f>""</x:f>
      </x:c>
      <x:c r="J3583" s="74" t="str">
        <x:f>""</x:f>
      </x:c>
      <x:c r="K3583" s="73" t="str">
        <x:f>""</x:f>
      </x:c>
      <x:c r="L3583" s="74" t="str">
        <x:f>""</x:f>
      </x:c>
      <x:c r="M3583" s="73" t="str">
        <x:f>""</x:f>
      </x:c>
      <x:c r="N3583" s="74" t="str">
        <x:f>""</x:f>
      </x:c>
    </x:row>
    <x:row r="3584" ht="27" customHeight="1">
      <x:c r="A3584" s="66" t="str">
        <x:v>SXT086</x:v>
      </x:c>
      <x:c r="B3584" s="66" t="str">
        <x:v>系数CTA套利五号</x:v>
      </x:c>
      <x:c r="C3584" s="72" t="n">
        <x:v>44890</x:v>
      </x:c>
      <x:c r="D3584" s="73" t="n">
        <x:v>0.9997</x:v>
      </x:c>
      <x:c r="E3584" s="73" t="n">
        <x:v>0.9997</x:v>
      </x:c>
      <x:c r="F3584" s="73" t="n">
        <x:v>0.9997</x:v>
      </x:c>
      <x:c r="G3584" s="74" t="n">
        <x:v>-0.0002</x:v>
      </x:c>
      <x:c r="H3584" s="66" t="str">
        <x:v>系数CTA套利五号净值20260911.xlsx</x:v>
      </x:c>
      <x:c r="I3584" s="73" t="str">
        <x:f>""</x:f>
      </x:c>
      <x:c r="J3584" s="74" t="str">
        <x:f>""</x:f>
      </x:c>
      <x:c r="K3584" s="73" t="str">
        <x:f>""</x:f>
      </x:c>
      <x:c r="L3584" s="74" t="str">
        <x:f>""</x:f>
      </x:c>
      <x:c r="M3584" s="73" t="str">
        <x:f>""</x:f>
      </x:c>
      <x:c r="N3584" s="74" t="str">
        <x:f>""</x:f>
      </x:c>
    </x:row>
    <x:row r="3585" ht="27" customHeight="1">
      <x:c r="A3585" s="66" t="str">
        <x:v>SXT086</x:v>
      </x:c>
      <x:c r="B3585" s="66" t="str">
        <x:v>系数CTA套利五号</x:v>
      </x:c>
      <x:c r="C3585" s="72" t="n">
        <x:v>44897</x:v>
      </x:c>
      <x:c r="D3585" s="73" t="n">
        <x:v>0.9995</x:v>
      </x:c>
      <x:c r="E3585" s="73" t="n">
        <x:v>0.9995</x:v>
      </x:c>
      <x:c r="F3585" s="73" t="n">
        <x:v>0.9995</x:v>
      </x:c>
      <x:c r="G3585" s="74" t="n">
        <x:v>-0.0002</x:v>
      </x:c>
      <x:c r="H3585" s="66" t="str">
        <x:v>系数CTA套利五号净值20260911.xlsx</x:v>
      </x:c>
      <x:c r="I3585" s="73" t="str">
        <x:f>""</x:f>
      </x:c>
      <x:c r="J3585" s="74" t="str">
        <x:f>""</x:f>
      </x:c>
      <x:c r="K3585" s="73" t="str">
        <x:f>""</x:f>
      </x:c>
      <x:c r="L3585" s="74" t="str">
        <x:f>""</x:f>
      </x:c>
      <x:c r="M3585" s="73" t="str">
        <x:f>""</x:f>
      </x:c>
      <x:c r="N3585" s="74" t="str">
        <x:f>""</x:f>
      </x:c>
    </x:row>
    <x:row r="3586" ht="27" customHeight="1">
      <x:c r="A3586" s="66" t="str">
        <x:v>SXT086</x:v>
      </x:c>
      <x:c r="B3586" s="66" t="str">
        <x:v>系数CTA套利五号</x:v>
      </x:c>
      <x:c r="C3586" s="72" t="n">
        <x:v>44904</x:v>
      </x:c>
      <x:c r="D3586" s="73" t="n">
        <x:v>0.9975</x:v>
      </x:c>
      <x:c r="E3586" s="73" t="n">
        <x:v>0.9975</x:v>
      </x:c>
      <x:c r="F3586" s="73" t="n">
        <x:v>0.9975</x:v>
      </x:c>
      <x:c r="G3586" s="74" t="n">
        <x:v>-0.002</x:v>
      </x:c>
      <x:c r="H3586" s="66" t="str">
        <x:v>系数CTA套利五号净值20260911.xlsx</x:v>
      </x:c>
      <x:c r="I3586" s="73" t="str">
        <x:f>""</x:f>
      </x:c>
      <x:c r="J3586" s="74" t="str">
        <x:f>""</x:f>
      </x:c>
      <x:c r="K3586" s="73" t="str">
        <x:f>""</x:f>
      </x:c>
      <x:c r="L3586" s="74" t="str">
        <x:f>""</x:f>
      </x:c>
      <x:c r="M3586" s="73" t="str">
        <x:f>""</x:f>
      </x:c>
      <x:c r="N3586" s="74" t="str">
        <x:f>""</x:f>
      </x:c>
    </x:row>
    <x:row r="3587" ht="27" customHeight="1">
      <x:c r="A3587" s="66" t="str">
        <x:v>SXT086</x:v>
      </x:c>
      <x:c r="B3587" s="66" t="str">
        <x:v>系数CTA套利五号</x:v>
      </x:c>
      <x:c r="C3587" s="72" t="n">
        <x:v>44911</x:v>
      </x:c>
      <x:c r="D3587" s="73" t="n">
        <x:v>0.9952</x:v>
      </x:c>
      <x:c r="E3587" s="73" t="n">
        <x:v>0.9952</x:v>
      </x:c>
      <x:c r="F3587" s="73" t="n">
        <x:v>0.9952</x:v>
      </x:c>
      <x:c r="G3587" s="74" t="n">
        <x:v>-0.0023</x:v>
      </x:c>
      <x:c r="H3587" s="66" t="str">
        <x:v>系数CTA套利五号净值20260911.xlsx</x:v>
      </x:c>
      <x:c r="I3587" s="73" t="str">
        <x:f>""</x:f>
      </x:c>
      <x:c r="J3587" s="74" t="str">
        <x:f>""</x:f>
      </x:c>
      <x:c r="K3587" s="73" t="str">
        <x:f>""</x:f>
      </x:c>
      <x:c r="L3587" s="74" t="str">
        <x:f>""</x:f>
      </x:c>
      <x:c r="M3587" s="73" t="str">
        <x:f>""</x:f>
      </x:c>
      <x:c r="N3587" s="74" t="str">
        <x:f>""</x:f>
      </x:c>
    </x:row>
    <x:row r="3588" ht="27" customHeight="1">
      <x:c r="A3588" s="66" t="str">
        <x:v>SXT086</x:v>
      </x:c>
      <x:c r="B3588" s="66" t="str">
        <x:v>系数CTA套利五号</x:v>
      </x:c>
      <x:c r="C3588" s="72" t="n">
        <x:v>44918</x:v>
      </x:c>
      <x:c r="D3588" s="73" t="n">
        <x:v>0.9948</x:v>
      </x:c>
      <x:c r="E3588" s="73" t="n">
        <x:v>0.9948</x:v>
      </x:c>
      <x:c r="F3588" s="73" t="n">
        <x:v>0.9948</x:v>
      </x:c>
      <x:c r="G3588" s="74" t="n">
        <x:v>-0.0004</x:v>
      </x:c>
      <x:c r="H3588" s="66" t="str">
        <x:v>系数CTA套利五号净值20260911.xlsx</x:v>
      </x:c>
      <x:c r="I3588" s="73" t="str">
        <x:f>""</x:f>
      </x:c>
      <x:c r="J3588" s="74" t="str">
        <x:f>""</x:f>
      </x:c>
      <x:c r="K3588" s="73" t="str">
        <x:f>""</x:f>
      </x:c>
      <x:c r="L3588" s="74" t="str">
        <x:f>""</x:f>
      </x:c>
      <x:c r="M3588" s="73" t="str">
        <x:f>""</x:f>
      </x:c>
      <x:c r="N3588" s="74" t="str">
        <x:f>""</x:f>
      </x:c>
    </x:row>
    <x:row r="3589" ht="27" customHeight="1">
      <x:c r="A3589" s="66" t="str">
        <x:v>SXT086</x:v>
      </x:c>
      <x:c r="B3589" s="66" t="str">
        <x:v>系数CTA套利五号</x:v>
      </x:c>
      <x:c r="C3589" s="72" t="n">
        <x:v>44925</x:v>
      </x:c>
      <x:c r="D3589" s="73" t="n">
        <x:v>0.9931</x:v>
      </x:c>
      <x:c r="E3589" s="73" t="n">
        <x:v>0.9931</x:v>
      </x:c>
      <x:c r="F3589" s="73" t="n">
        <x:v>0.9931</x:v>
      </x:c>
      <x:c r="G3589" s="74" t="n">
        <x:v>-0.0017000000000000001</x:v>
      </x:c>
      <x:c r="H3589" s="66" t="str">
        <x:v>系数CTA套利五号净值20260911.xlsx</x:v>
      </x:c>
      <x:c r="I3589" s="73" t="str">
        <x:f>""</x:f>
      </x:c>
      <x:c r="J3589" s="74" t="str">
        <x:f>""</x:f>
      </x:c>
      <x:c r="K3589" s="73" t="str">
        <x:f>""</x:f>
      </x:c>
      <x:c r="L3589" s="74" t="str">
        <x:f>""</x:f>
      </x:c>
      <x:c r="M3589" s="73" t="str">
        <x:f>""</x:f>
      </x:c>
      <x:c r="N3589" s="74" t="str">
        <x:f>""</x:f>
      </x:c>
    </x:row>
    <x:row r="3590" ht="27" customHeight="1">
      <x:c r="A3590" s="66" t="str">
        <x:v>SXT086</x:v>
      </x:c>
      <x:c r="B3590" s="66" t="str">
        <x:v>系数CTA套利五号</x:v>
      </x:c>
      <x:c r="C3590" s="72" t="n">
        <x:v>44932</x:v>
      </x:c>
      <x:c r="D3590" s="73" t="n">
        <x:v>0.9959</x:v>
      </x:c>
      <x:c r="E3590" s="73" t="n">
        <x:v>0.9959</x:v>
      </x:c>
      <x:c r="F3590" s="73" t="n">
        <x:v>0.9959</x:v>
      </x:c>
      <x:c r="G3590" s="74" t="n">
        <x:v>0.0028000000000000004</x:v>
      </x:c>
      <x:c r="H3590" s="66" t="str">
        <x:v>系数CTA套利五号净值20260911.xlsx</x:v>
      </x:c>
      <x:c r="I3590" s="73" t="str">
        <x:f>""</x:f>
      </x:c>
      <x:c r="J3590" s="74" t="str">
        <x:f>""</x:f>
      </x:c>
      <x:c r="K3590" s="73" t="str">
        <x:f>""</x:f>
      </x:c>
      <x:c r="L3590" s="74" t="str">
        <x:f>""</x:f>
      </x:c>
      <x:c r="M3590" s="73" t="str">
        <x:f>""</x:f>
      </x:c>
      <x:c r="N3590" s="74" t="str">
        <x:f>""</x:f>
      </x:c>
    </x:row>
    <x:row r="3591" ht="27" customHeight="1">
      <x:c r="A3591" s="66" t="str">
        <x:v>SXT086</x:v>
      </x:c>
      <x:c r="B3591" s="66" t="str">
        <x:v>系数CTA套利五号</x:v>
      </x:c>
      <x:c r="C3591" s="72" t="n">
        <x:v>44939</x:v>
      </x:c>
      <x:c r="D3591" s="73" t="n">
        <x:v>0.9987</x:v>
      </x:c>
      <x:c r="E3591" s="73" t="n">
        <x:v>0.9987</x:v>
      </x:c>
      <x:c r="F3591" s="73" t="n">
        <x:v>0.9987</x:v>
      </x:c>
      <x:c r="G3591" s="74" t="n">
        <x:v>0.0028000000000000004</x:v>
      </x:c>
      <x:c r="H3591" s="66" t="str">
        <x:v>系数CTA套利五号净值20260911.xlsx</x:v>
      </x:c>
      <x:c r="I3591" s="73" t="str">
        <x:f>""</x:f>
      </x:c>
      <x:c r="J3591" s="74" t="str">
        <x:f>""</x:f>
      </x:c>
      <x:c r="K3591" s="73" t="str">
        <x:f>""</x:f>
      </x:c>
      <x:c r="L3591" s="74" t="str">
        <x:f>""</x:f>
      </x:c>
      <x:c r="M3591" s="73" t="str">
        <x:f>""</x:f>
      </x:c>
      <x:c r="N3591" s="74" t="str">
        <x:f>""</x:f>
      </x:c>
    </x:row>
    <x:row r="3592" ht="27" customHeight="1">
      <x:c r="A3592" s="66" t="str">
        <x:v>SXT086</x:v>
      </x:c>
      <x:c r="B3592" s="66" t="str">
        <x:v>系数CTA套利五号</x:v>
      </x:c>
      <x:c r="C3592" s="72" t="n">
        <x:v>44946</x:v>
      </x:c>
      <x:c r="D3592" s="73" t="n">
        <x:v>1.003</x:v>
      </x:c>
      <x:c r="E3592" s="73" t="n">
        <x:v>1.003</x:v>
      </x:c>
      <x:c r="F3592" s="73" t="n">
        <x:v>1.003</x:v>
      </x:c>
      <x:c r="G3592" s="74" t="n">
        <x:v>0.0043</x:v>
      </x:c>
      <x:c r="H3592" s="66" t="str">
        <x:v>系数CTA套利五号净值20260911.xlsx</x:v>
      </x:c>
      <x:c r="I3592" s="73" t="str">
        <x:f>""</x:f>
      </x:c>
      <x:c r="J3592" s="74" t="str">
        <x:f>""</x:f>
      </x:c>
      <x:c r="K3592" s="73" t="str">
        <x:f>""</x:f>
      </x:c>
      <x:c r="L3592" s="74" t="str">
        <x:f>""</x:f>
      </x:c>
      <x:c r="M3592" s="73" t="str">
        <x:f>""</x:f>
      </x:c>
      <x:c r="N3592" s="74" t="str">
        <x:f>""</x:f>
      </x:c>
    </x:row>
    <x:row r="3593" ht="27" customHeight="1">
      <x:c r="A3593" s="66" t="str">
        <x:v>SXT086</x:v>
      </x:c>
      <x:c r="B3593" s="66" t="str">
        <x:v>系数CTA套利五号</x:v>
      </x:c>
      <x:c r="C3593" s="72" t="n">
        <x:v>44960</x:v>
      </x:c>
      <x:c r="D3593" s="73" t="n">
        <x:v>1.0091</x:v>
      </x:c>
      <x:c r="E3593" s="73" t="n">
        <x:v>1.0091</x:v>
      </x:c>
      <x:c r="F3593" s="73" t="n">
        <x:v>1.0091</x:v>
      </x:c>
      <x:c r="G3593" s="74" t="n">
        <x:v>0.0060999999999999995</x:v>
      </x:c>
      <x:c r="H3593" s="66" t="str">
        <x:v>系数CTA套利五号净值20260911.xlsx</x:v>
      </x:c>
      <x:c r="I3593" s="73" t="str">
        <x:f>""</x:f>
      </x:c>
      <x:c r="J3593" s="74" t="str">
        <x:f>""</x:f>
      </x:c>
      <x:c r="K3593" s="73" t="str">
        <x:f>""</x:f>
      </x:c>
      <x:c r="L3593" s="74" t="str">
        <x:f>""</x:f>
      </x:c>
      <x:c r="M3593" s="73" t="str">
        <x:f>""</x:f>
      </x:c>
      <x:c r="N3593" s="74" t="str">
        <x:f>""</x:f>
      </x:c>
    </x:row>
    <x:row r="3594" ht="27" customHeight="1">
      <x:c r="A3594" s="66" t="str">
        <x:v>SXT086</x:v>
      </x:c>
      <x:c r="B3594" s="66" t="str">
        <x:v>系数CTA套利五号</x:v>
      </x:c>
      <x:c r="C3594" s="72" t="n">
        <x:v>44967</x:v>
      </x:c>
      <x:c r="D3594" s="73" t="n">
        <x:v>1.0119</x:v>
      </x:c>
      <x:c r="E3594" s="73" t="n">
        <x:v>1.0119</x:v>
      </x:c>
      <x:c r="F3594" s="73" t="n">
        <x:v>1.0119</x:v>
      </x:c>
      <x:c r="G3594" s="74" t="n">
        <x:v>0.0028000000000000004</x:v>
      </x:c>
      <x:c r="H3594" s="66" t="str">
        <x:v>系数CTA套利五号净值20260911.xlsx</x:v>
      </x:c>
      <x:c r="I3594" s="73" t="str">
        <x:f>""</x:f>
      </x:c>
      <x:c r="J3594" s="74" t="str">
        <x:f>""</x:f>
      </x:c>
      <x:c r="K3594" s="73" t="str">
        <x:f>""</x:f>
      </x:c>
      <x:c r="L3594" s="74" t="str">
        <x:f>""</x:f>
      </x:c>
      <x:c r="M3594" s="73" t="str">
        <x:f>""</x:f>
      </x:c>
      <x:c r="N3594" s="74" t="str">
        <x:f>""</x:f>
      </x:c>
    </x:row>
    <x:row r="3595" ht="27" customHeight="1">
      <x:c r="A3595" s="66" t="str">
        <x:v>SXT086</x:v>
      </x:c>
      <x:c r="B3595" s="66" t="str">
        <x:v>系数CTA套利五号</x:v>
      </x:c>
      <x:c r="C3595" s="72" t="n">
        <x:v>44974</x:v>
      </x:c>
      <x:c r="D3595" s="73" t="n">
        <x:v>1.0151</x:v>
      </x:c>
      <x:c r="E3595" s="73" t="n">
        <x:v>1.0151</x:v>
      </x:c>
      <x:c r="F3595" s="73" t="n">
        <x:v>1.0151</x:v>
      </x:c>
      <x:c r="G3595" s="74" t="n">
        <x:v>0.0032</x:v>
      </x:c>
      <x:c r="H3595" s="66" t="str">
        <x:v>系数CTA套利五号净值20260911.xlsx</x:v>
      </x:c>
      <x:c r="I3595" s="73" t="str">
        <x:f>""</x:f>
      </x:c>
      <x:c r="J3595" s="74" t="str">
        <x:f>""</x:f>
      </x:c>
      <x:c r="K3595" s="73" t="str">
        <x:f>""</x:f>
      </x:c>
      <x:c r="L3595" s="74" t="str">
        <x:f>""</x:f>
      </x:c>
      <x:c r="M3595" s="73" t="str">
        <x:f>""</x:f>
      </x:c>
      <x:c r="N3595" s="74" t="str">
        <x:f>""</x:f>
      </x:c>
    </x:row>
    <x:row r="3596" ht="27" customHeight="1">
      <x:c r="A3596" s="66" t="str">
        <x:v>SXT086</x:v>
      </x:c>
      <x:c r="B3596" s="66" t="str">
        <x:v>系数CTA套利五号</x:v>
      </x:c>
      <x:c r="C3596" s="72" t="n">
        <x:v>44981</x:v>
      </x:c>
      <x:c r="D3596" s="73" t="n">
        <x:v>1.0144</x:v>
      </x:c>
      <x:c r="E3596" s="73" t="n">
        <x:v>1.0144</x:v>
      </x:c>
      <x:c r="F3596" s="73" t="n">
        <x:v>1.0144</x:v>
      </x:c>
      <x:c r="G3596" s="74" t="n">
        <x:v>-0.0007000000000000001</x:v>
      </x:c>
      <x:c r="H3596" s="66" t="str">
        <x:v>系数CTA套利五号净值20260911.xlsx</x:v>
      </x:c>
      <x:c r="I3596" s="73" t="str">
        <x:f>""</x:f>
      </x:c>
      <x:c r="J3596" s="74" t="str">
        <x:f>""</x:f>
      </x:c>
      <x:c r="K3596" s="73" t="str">
        <x:f>""</x:f>
      </x:c>
      <x:c r="L3596" s="74" t="str">
        <x:f>""</x:f>
      </x:c>
      <x:c r="M3596" s="73" t="str">
        <x:f>""</x:f>
      </x:c>
      <x:c r="N3596" s="74" t="str">
        <x:f>""</x:f>
      </x:c>
    </x:row>
    <x:row r="3597" ht="27" customHeight="1">
      <x:c r="A3597" s="66" t="str">
        <x:v>SXT086</x:v>
      </x:c>
      <x:c r="B3597" s="66" t="str">
        <x:v>系数CTA套利五号</x:v>
      </x:c>
      <x:c r="C3597" s="72" t="n">
        <x:v>44988</x:v>
      </x:c>
      <x:c r="D3597" s="73" t="n">
        <x:v>1.0149</x:v>
      </x:c>
      <x:c r="E3597" s="73" t="n">
        <x:v>1.0149</x:v>
      </x:c>
      <x:c r="F3597" s="73" t="n">
        <x:v>1.0149</x:v>
      </x:c>
      <x:c r="G3597" s="74" t="n">
        <x:v>0.0005</x:v>
      </x:c>
      <x:c r="H3597" s="66" t="str">
        <x:v>系数CTA套利五号净值20260911.xlsx</x:v>
      </x:c>
      <x:c r="I3597" s="73" t="str">
        <x:f>""</x:f>
      </x:c>
      <x:c r="J3597" s="74" t="str">
        <x:f>""</x:f>
      </x:c>
      <x:c r="K3597" s="73" t="str">
        <x:f>""</x:f>
      </x:c>
      <x:c r="L3597" s="74" t="str">
        <x:f>""</x:f>
      </x:c>
      <x:c r="M3597" s="73" t="str">
        <x:f>""</x:f>
      </x:c>
      <x:c r="N3597" s="74" t="str">
        <x:f>""</x:f>
      </x:c>
    </x:row>
    <x:row r="3598" ht="27" customHeight="1">
      <x:c r="A3598" s="66" t="str">
        <x:v>SXT086</x:v>
      </x:c>
      <x:c r="B3598" s="66" t="str">
        <x:v>系数CTA套利五号</x:v>
      </x:c>
      <x:c r="C3598" s="72" t="n">
        <x:v>44995</x:v>
      </x:c>
      <x:c r="D3598" s="73" t="n">
        <x:v>1.0138</x:v>
      </x:c>
      <x:c r="E3598" s="73" t="n">
        <x:v>1.0138</x:v>
      </x:c>
      <x:c r="F3598" s="73" t="n">
        <x:v>1.0138</x:v>
      </x:c>
      <x:c r="G3598" s="74" t="n">
        <x:v>-0.0011</x:v>
      </x:c>
      <x:c r="H3598" s="66" t="str">
        <x:v>系数CTA套利五号净值20260911.xlsx</x:v>
      </x:c>
      <x:c r="I3598" s="73" t="str">
        <x:f>""</x:f>
      </x:c>
      <x:c r="J3598" s="74" t="str">
        <x:f>""</x:f>
      </x:c>
      <x:c r="K3598" s="73" t="str">
        <x:f>""</x:f>
      </x:c>
      <x:c r="L3598" s="74" t="str">
        <x:f>""</x:f>
      </x:c>
      <x:c r="M3598" s="73" t="str">
        <x:f>""</x:f>
      </x:c>
      <x:c r="N3598" s="74" t="str">
        <x:f>""</x:f>
      </x:c>
    </x:row>
    <x:row r="3599" ht="27" customHeight="1">
      <x:c r="A3599" s="66" t="str">
        <x:v>SXT086</x:v>
      </x:c>
      <x:c r="B3599" s="66" t="str">
        <x:v>系数CTA套利五号</x:v>
      </x:c>
      <x:c r="C3599" s="72" t="n">
        <x:v>45002</x:v>
      </x:c>
      <x:c r="D3599" s="73" t="n">
        <x:v>1.0125</x:v>
      </x:c>
      <x:c r="E3599" s="73" t="n">
        <x:v>1.0125</x:v>
      </x:c>
      <x:c r="F3599" s="73" t="n">
        <x:v>1.0125</x:v>
      </x:c>
      <x:c r="G3599" s="74" t="n">
        <x:v>-0.0013</x:v>
      </x:c>
      <x:c r="H3599" s="66" t="str">
        <x:v>系数CTA套利五号净值20260911.xlsx</x:v>
      </x:c>
      <x:c r="I3599" s="73" t="str">
        <x:f>""</x:f>
      </x:c>
      <x:c r="J3599" s="74" t="str">
        <x:f>""</x:f>
      </x:c>
      <x:c r="K3599" s="73" t="str">
        <x:f>""</x:f>
      </x:c>
      <x:c r="L3599" s="74" t="str">
        <x:f>""</x:f>
      </x:c>
      <x:c r="M3599" s="73" t="str">
        <x:f>""</x:f>
      </x:c>
      <x:c r="N3599" s="74" t="str">
        <x:f>""</x:f>
      </x:c>
    </x:row>
    <x:row r="3600" ht="27" customHeight="1">
      <x:c r="A3600" s="66" t="str">
        <x:v>SXT086</x:v>
      </x:c>
      <x:c r="B3600" s="66" t="str">
        <x:v>系数CTA套利五号</x:v>
      </x:c>
      <x:c r="C3600" s="72" t="n">
        <x:v>45009</x:v>
      </x:c>
      <x:c r="D3600" s="73" t="n">
        <x:v>1.0168</x:v>
      </x:c>
      <x:c r="E3600" s="73" t="n">
        <x:v>1.0168</x:v>
      </x:c>
      <x:c r="F3600" s="73" t="n">
        <x:v>1.0168</x:v>
      </x:c>
      <x:c r="G3600" s="74" t="n">
        <x:v>0.0042</x:v>
      </x:c>
      <x:c r="H3600" s="66" t="str">
        <x:v>系数CTA套利五号净值20260911.xlsx</x:v>
      </x:c>
      <x:c r="I3600" s="73" t="str">
        <x:f>""</x:f>
      </x:c>
      <x:c r="J3600" s="74" t="str">
        <x:f>""</x:f>
      </x:c>
      <x:c r="K3600" s="73" t="str">
        <x:f>""</x:f>
      </x:c>
      <x:c r="L3600" s="74" t="str">
        <x:f>""</x:f>
      </x:c>
      <x:c r="M3600" s="73" t="str">
        <x:f>""</x:f>
      </x:c>
      <x:c r="N3600" s="74" t="str">
        <x:f>""</x:f>
      </x:c>
    </x:row>
    <x:row r="3601" ht="27" customHeight="1">
      <x:c r="A3601" s="66" t="str">
        <x:v>SXT086</x:v>
      </x:c>
      <x:c r="B3601" s="66" t="str">
        <x:v>系数CTA套利五号</x:v>
      </x:c>
      <x:c r="C3601" s="72" t="n">
        <x:v>45016</x:v>
      </x:c>
      <x:c r="D3601" s="73" t="n">
        <x:v>1.0195</x:v>
      </x:c>
      <x:c r="E3601" s="73" t="n">
        <x:v>1.0195</x:v>
      </x:c>
      <x:c r="F3601" s="73" t="n">
        <x:v>1.0195</x:v>
      </x:c>
      <x:c r="G3601" s="74" t="n">
        <x:v>0.0027</x:v>
      </x:c>
      <x:c r="H3601" s="66" t="str">
        <x:v>系数CTA套利五号净值20260911.xlsx</x:v>
      </x:c>
      <x:c r="I3601" s="73" t="str">
        <x:f>""</x:f>
      </x:c>
      <x:c r="J3601" s="74" t="str">
        <x:f>""</x:f>
      </x:c>
      <x:c r="K3601" s="73" t="str">
        <x:f>""</x:f>
      </x:c>
      <x:c r="L3601" s="74" t="str">
        <x:f>""</x:f>
      </x:c>
      <x:c r="M3601" s="73" t="str">
        <x:f>""</x:f>
      </x:c>
      <x:c r="N3601" s="74" t="str">
        <x:f>""</x:f>
      </x:c>
    </x:row>
    <x:row r="3602" ht="27" customHeight="1">
      <x:c r="A3602" s="66" t="str">
        <x:v>SXT086</x:v>
      </x:c>
      <x:c r="B3602" s="66" t="str">
        <x:v>系数CTA套利五号</x:v>
      </x:c>
      <x:c r="C3602" s="72" t="n">
        <x:v>45023</x:v>
      </x:c>
      <x:c r="D3602" s="73" t="n">
        <x:v>1.0248</x:v>
      </x:c>
      <x:c r="E3602" s="73" t="n">
        <x:v>1.0248</x:v>
      </x:c>
      <x:c r="F3602" s="73" t="n">
        <x:v>1.0248</x:v>
      </x:c>
      <x:c r="G3602" s="74" t="n">
        <x:v>0.0052</x:v>
      </x:c>
      <x:c r="H3602" s="66" t="str">
        <x:v>系数CTA套利五号净值20260911.xlsx</x:v>
      </x:c>
      <x:c r="I3602" s="73" t="str">
        <x:f>""</x:f>
      </x:c>
      <x:c r="J3602" s="74" t="str">
        <x:f>""</x:f>
      </x:c>
      <x:c r="K3602" s="73" t="str">
        <x:f>""</x:f>
      </x:c>
      <x:c r="L3602" s="74" t="str">
        <x:f>""</x:f>
      </x:c>
      <x:c r="M3602" s="73" t="str">
        <x:f>""</x:f>
      </x:c>
      <x:c r="N3602" s="74" t="str">
        <x:f>""</x:f>
      </x:c>
    </x:row>
    <x:row r="3603" ht="27" customHeight="1">
      <x:c r="A3603" s="66" t="str">
        <x:v>SXT086</x:v>
      </x:c>
      <x:c r="B3603" s="66" t="str">
        <x:v>系数CTA套利五号</x:v>
      </x:c>
      <x:c r="C3603" s="72" t="n">
        <x:v>45030</x:v>
      </x:c>
      <x:c r="D3603" s="73" t="n">
        <x:v>1.0282</x:v>
      </x:c>
      <x:c r="E3603" s="73" t="n">
        <x:v>1.0282</x:v>
      </x:c>
      <x:c r="F3603" s="73" t="n">
        <x:v>1.0282</x:v>
      </x:c>
      <x:c r="G3603" s="74" t="n">
        <x:v>0.0033</x:v>
      </x:c>
      <x:c r="H3603" s="66" t="str">
        <x:v>系数CTA套利五号净值20260911.xlsx</x:v>
      </x:c>
      <x:c r="I3603" s="73" t="str">
        <x:f>""</x:f>
      </x:c>
      <x:c r="J3603" s="74" t="str">
        <x:f>""</x:f>
      </x:c>
      <x:c r="K3603" s="73" t="str">
        <x:f>""</x:f>
      </x:c>
      <x:c r="L3603" s="74" t="str">
        <x:f>""</x:f>
      </x:c>
      <x:c r="M3603" s="73" t="str">
        <x:f>""</x:f>
      </x:c>
      <x:c r="N3603" s="74" t="str">
        <x:f>""</x:f>
      </x:c>
    </x:row>
    <x:row r="3604" ht="27" customHeight="1">
      <x:c r="A3604" s="66" t="str">
        <x:v>SXT086</x:v>
      </x:c>
      <x:c r="B3604" s="66" t="str">
        <x:v>系数CTA套利五号</x:v>
      </x:c>
      <x:c r="C3604" s="72" t="n">
        <x:v>45037</x:v>
      </x:c>
      <x:c r="D3604" s="73" t="n">
        <x:v>1.0278</x:v>
      </x:c>
      <x:c r="E3604" s="73" t="n">
        <x:v>1.0278</x:v>
      </x:c>
      <x:c r="F3604" s="73" t="n">
        <x:v>1.0278</x:v>
      </x:c>
      <x:c r="G3604" s="74" t="n">
        <x:v>-0.0004</x:v>
      </x:c>
      <x:c r="H3604" s="66" t="str">
        <x:v>系数CTA套利五号净值20260911.xlsx</x:v>
      </x:c>
      <x:c r="I3604" s="73" t="str">
        <x:f>""</x:f>
      </x:c>
      <x:c r="J3604" s="74" t="str">
        <x:f>""</x:f>
      </x:c>
      <x:c r="K3604" s="73" t="str">
        <x:f>""</x:f>
      </x:c>
      <x:c r="L3604" s="74" t="str">
        <x:f>""</x:f>
      </x:c>
      <x:c r="M3604" s="73" t="str">
        <x:f>""</x:f>
      </x:c>
      <x:c r="N3604" s="74" t="str">
        <x:f>""</x:f>
      </x:c>
    </x:row>
    <x:row r="3605" ht="27" customHeight="1">
      <x:c r="A3605" s="66" t="str">
        <x:v>SXT086</x:v>
      </x:c>
      <x:c r="B3605" s="66" t="str">
        <x:v>系数CTA套利五号</x:v>
      </x:c>
      <x:c r="C3605" s="72" t="n">
        <x:v>45044</x:v>
      </x:c>
      <x:c r="D3605" s="73" t="n">
        <x:v>1.0253</x:v>
      </x:c>
      <x:c r="E3605" s="73" t="n">
        <x:v>1.0253</x:v>
      </x:c>
      <x:c r="F3605" s="73" t="n">
        <x:v>1.0253</x:v>
      </x:c>
      <x:c r="G3605" s="74" t="n">
        <x:v>-0.0024</x:v>
      </x:c>
      <x:c r="H3605" s="66" t="str">
        <x:v>系数CTA套利五号净值20260911.xlsx</x:v>
      </x:c>
      <x:c r="I3605" s="73" t="str">
        <x:f>""</x:f>
      </x:c>
      <x:c r="J3605" s="74" t="str">
        <x:f>""</x:f>
      </x:c>
      <x:c r="K3605" s="73" t="str">
        <x:f>""</x:f>
      </x:c>
      <x:c r="L3605" s="74" t="str">
        <x:f>""</x:f>
      </x:c>
      <x:c r="M3605" s="73" t="str">
        <x:f>""</x:f>
      </x:c>
      <x:c r="N3605" s="74" t="str">
        <x:f>""</x:f>
      </x:c>
    </x:row>
    <x:row r="3606" ht="27" customHeight="1">
      <x:c r="A3606" s="66" t="str">
        <x:v>SXT086</x:v>
      </x:c>
      <x:c r="B3606" s="66" t="str">
        <x:v>系数CTA套利五号</x:v>
      </x:c>
      <x:c r="C3606" s="72" t="n">
        <x:v>45051</x:v>
      </x:c>
      <x:c r="D3606" s="73" t="n">
        <x:v>1.0288</x:v>
      </x:c>
      <x:c r="E3606" s="73" t="n">
        <x:v>1.0288</x:v>
      </x:c>
      <x:c r="F3606" s="73" t="n">
        <x:v>1.0288</x:v>
      </x:c>
      <x:c r="G3606" s="74" t="n">
        <x:v>0.0034000000000000002</x:v>
      </x:c>
      <x:c r="H3606" s="66" t="str">
        <x:v>系数CTA套利五号净值20260911.xlsx</x:v>
      </x:c>
      <x:c r="I3606" s="73" t="str">
        <x:f>""</x:f>
      </x:c>
      <x:c r="J3606" s="74" t="str">
        <x:f>""</x:f>
      </x:c>
      <x:c r="K3606" s="73" t="str">
        <x:f>""</x:f>
      </x:c>
      <x:c r="L3606" s="74" t="str">
        <x:f>""</x:f>
      </x:c>
      <x:c r="M3606" s="73" t="str">
        <x:f>""</x:f>
      </x:c>
      <x:c r="N3606" s="74" t="str">
        <x:f>""</x:f>
      </x:c>
    </x:row>
    <x:row r="3607" ht="27" customHeight="1">
      <x:c r="A3607" s="66" t="str">
        <x:v>SXT086</x:v>
      </x:c>
      <x:c r="B3607" s="66" t="str">
        <x:v>系数CTA套利五号</x:v>
      </x:c>
      <x:c r="C3607" s="72" t="n">
        <x:v>45058</x:v>
      </x:c>
      <x:c r="D3607" s="73" t="n">
        <x:v>1.0301</x:v>
      </x:c>
      <x:c r="E3607" s="73" t="n">
        <x:v>1.0301</x:v>
      </x:c>
      <x:c r="F3607" s="73" t="n">
        <x:v>1.0301</x:v>
      </x:c>
      <x:c r="G3607" s="74" t="n">
        <x:v>0.0013</x:v>
      </x:c>
      <x:c r="H3607" s="66" t="str">
        <x:v>系数CTA套利五号净值20260911.xlsx</x:v>
      </x:c>
      <x:c r="I3607" s="73" t="str">
        <x:f>""</x:f>
      </x:c>
      <x:c r="J3607" s="74" t="str">
        <x:f>""</x:f>
      </x:c>
      <x:c r="K3607" s="73" t="str">
        <x:f>""</x:f>
      </x:c>
      <x:c r="L3607" s="74" t="str">
        <x:f>""</x:f>
      </x:c>
      <x:c r="M3607" s="73" t="str">
        <x:f>""</x:f>
      </x:c>
      <x:c r="N3607" s="74" t="str">
        <x:f>""</x:f>
      </x:c>
    </x:row>
    <x:row r="3608" ht="27" customHeight="1">
      <x:c r="A3608" s="66" t="str">
        <x:v>SXT086</x:v>
      </x:c>
      <x:c r="B3608" s="66" t="str">
        <x:v>系数CTA套利五号</x:v>
      </x:c>
      <x:c r="C3608" s="72" t="n">
        <x:v>45065</x:v>
      </x:c>
      <x:c r="D3608" s="73" t="n">
        <x:v>1.0258</x:v>
      </x:c>
      <x:c r="E3608" s="73" t="n">
        <x:v>1.0258</x:v>
      </x:c>
      <x:c r="F3608" s="73" t="n">
        <x:v>1.0258</x:v>
      </x:c>
      <x:c r="G3608" s="74" t="n">
        <x:v>-0.0042</x:v>
      </x:c>
      <x:c r="H3608" s="66" t="str">
        <x:v>系数CTA套利五号净值20260911.xlsx</x:v>
      </x:c>
      <x:c r="I3608" s="73" t="str">
        <x:f>""</x:f>
      </x:c>
      <x:c r="J3608" s="74" t="str">
        <x:f>""</x:f>
      </x:c>
      <x:c r="K3608" s="73" t="str">
        <x:f>""</x:f>
      </x:c>
      <x:c r="L3608" s="74" t="str">
        <x:f>""</x:f>
      </x:c>
      <x:c r="M3608" s="73" t="str">
        <x:f>""</x:f>
      </x:c>
      <x:c r="N3608" s="74" t="str">
        <x:f>""</x:f>
      </x:c>
    </x:row>
    <x:row r="3609" ht="27" customHeight="1">
      <x:c r="A3609" s="66" t="str">
        <x:v>SXT086</x:v>
      </x:c>
      <x:c r="B3609" s="66" t="str">
        <x:v>系数CTA套利五号</x:v>
      </x:c>
      <x:c r="C3609" s="72" t="n">
        <x:v>45072</x:v>
      </x:c>
      <x:c r="D3609" s="73" t="n">
        <x:v>1.0265</x:v>
      </x:c>
      <x:c r="E3609" s="73" t="n">
        <x:v>1.0265</x:v>
      </x:c>
      <x:c r="F3609" s="73" t="n">
        <x:v>1.0265</x:v>
      </x:c>
      <x:c r="G3609" s="74" t="n">
        <x:v>0.0007000000000000001</x:v>
      </x:c>
      <x:c r="H3609" s="66" t="str">
        <x:v>系数CTA套利五号净值20260911.xlsx</x:v>
      </x:c>
      <x:c r="I3609" s="73" t="str">
        <x:f>""</x:f>
      </x:c>
      <x:c r="J3609" s="74" t="str">
        <x:f>""</x:f>
      </x:c>
      <x:c r="K3609" s="73" t="str">
        <x:f>""</x:f>
      </x:c>
      <x:c r="L3609" s="74" t="str">
        <x:f>""</x:f>
      </x:c>
      <x:c r="M3609" s="73" t="str">
        <x:f>""</x:f>
      </x:c>
      <x:c r="N3609" s="74" t="str">
        <x:f>""</x:f>
      </x:c>
    </x:row>
    <x:row r="3610" ht="27" customHeight="1">
      <x:c r="A3610" s="66" t="str">
        <x:v>SXT086</x:v>
      </x:c>
      <x:c r="B3610" s="66" t="str">
        <x:v>系数CTA套利五号</x:v>
      </x:c>
      <x:c r="C3610" s="72" t="n">
        <x:v>45079</x:v>
      </x:c>
      <x:c r="D3610" s="73" t="n">
        <x:v>1.0287</x:v>
      </x:c>
      <x:c r="E3610" s="73" t="n">
        <x:v>1.0287</x:v>
      </x:c>
      <x:c r="F3610" s="73" t="n">
        <x:v>1.0287</x:v>
      </x:c>
      <x:c r="G3610" s="74" t="n">
        <x:v>0.0021</x:v>
      </x:c>
      <x:c r="H3610" s="66" t="str">
        <x:v>系数CTA套利五号净值20260911.xlsx</x:v>
      </x:c>
      <x:c r="I3610" s="73" t="str">
        <x:f>""</x:f>
      </x:c>
      <x:c r="J3610" s="74" t="str">
        <x:f>""</x:f>
      </x:c>
      <x:c r="K3610" s="73" t="str">
        <x:f>""</x:f>
      </x:c>
      <x:c r="L3610" s="74" t="str">
        <x:f>""</x:f>
      </x:c>
      <x:c r="M3610" s="73" t="str">
        <x:f>""</x:f>
      </x:c>
      <x:c r="N3610" s="74" t="str">
        <x:f>""</x:f>
      </x:c>
    </x:row>
    <x:row r="3611" ht="27" customHeight="1">
      <x:c r="A3611" s="66" t="str">
        <x:v>SXT086</x:v>
      </x:c>
      <x:c r="B3611" s="66" t="str">
        <x:v>系数CTA套利五号</x:v>
      </x:c>
      <x:c r="C3611" s="72" t="n">
        <x:v>45086</x:v>
      </x:c>
      <x:c r="D3611" s="73" t="n">
        <x:v>1.027</x:v>
      </x:c>
      <x:c r="E3611" s="73" t="n">
        <x:v>1.027</x:v>
      </x:c>
      <x:c r="F3611" s="73" t="n">
        <x:v>1.027</x:v>
      </x:c>
      <x:c r="G3611" s="74" t="n">
        <x:v>-0.0017000000000000001</x:v>
      </x:c>
      <x:c r="H3611" s="66" t="str">
        <x:v>系数CTA套利五号净值20260911.xlsx</x:v>
      </x:c>
      <x:c r="I3611" s="73" t="str">
        <x:f>""</x:f>
      </x:c>
      <x:c r="J3611" s="74" t="str">
        <x:f>""</x:f>
      </x:c>
      <x:c r="K3611" s="73" t="str">
        <x:f>""</x:f>
      </x:c>
      <x:c r="L3611" s="74" t="str">
        <x:f>""</x:f>
      </x:c>
      <x:c r="M3611" s="73" t="str">
        <x:f>""</x:f>
      </x:c>
      <x:c r="N3611" s="74" t="str">
        <x:f>""</x:f>
      </x:c>
    </x:row>
    <x:row r="3612" ht="27" customHeight="1">
      <x:c r="A3612" s="66" t="str">
        <x:v>SXT086</x:v>
      </x:c>
      <x:c r="B3612" s="66" t="str">
        <x:v>系数CTA套利五号</x:v>
      </x:c>
      <x:c r="C3612" s="72" t="n">
        <x:v>45093</x:v>
      </x:c>
      <x:c r="D3612" s="73" t="n">
        <x:v>1.0244</x:v>
      </x:c>
      <x:c r="E3612" s="73" t="n">
        <x:v>1.0244</x:v>
      </x:c>
      <x:c r="F3612" s="73" t="n">
        <x:v>1.0244</x:v>
      </x:c>
      <x:c r="G3612" s="74" t="n">
        <x:v>-0.0025</x:v>
      </x:c>
      <x:c r="H3612" s="66" t="str">
        <x:v>系数CTA套利五号净值20260911.xlsx</x:v>
      </x:c>
      <x:c r="I3612" s="73" t="str">
        <x:f>""</x:f>
      </x:c>
      <x:c r="J3612" s="74" t="str">
        <x:f>""</x:f>
      </x:c>
      <x:c r="K3612" s="73" t="str">
        <x:f>""</x:f>
      </x:c>
      <x:c r="L3612" s="74" t="str">
        <x:f>""</x:f>
      </x:c>
      <x:c r="M3612" s="73" t="str">
        <x:f>""</x:f>
      </x:c>
      <x:c r="N3612" s="74" t="str">
        <x:f>""</x:f>
      </x:c>
    </x:row>
    <x:row r="3613" ht="27" customHeight="1">
      <x:c r="A3613" s="66" t="str">
        <x:v>SXT086</x:v>
      </x:c>
      <x:c r="B3613" s="66" t="str">
        <x:v>系数CTA套利五号</x:v>
      </x:c>
      <x:c r="C3613" s="72" t="n">
        <x:v>45098</x:v>
      </x:c>
      <x:c r="D3613" s="73" t="n">
        <x:v>1.0263</x:v>
      </x:c>
      <x:c r="E3613" s="73" t="n">
        <x:v>1.0263</x:v>
      </x:c>
      <x:c r="F3613" s="73" t="n">
        <x:v>1.0263</x:v>
      </x:c>
      <x:c r="G3613" s="74" t="n">
        <x:v>0.0019</x:v>
      </x:c>
      <x:c r="H3613" s="66" t="str">
        <x:v>系数CTA套利五号净值20260911.xlsx</x:v>
      </x:c>
      <x:c r="I3613" s="73" t="str">
        <x:f>""</x:f>
      </x:c>
      <x:c r="J3613" s="74" t="str">
        <x:f>""</x:f>
      </x:c>
      <x:c r="K3613" s="73" t="str">
        <x:f>""</x:f>
      </x:c>
      <x:c r="L3613" s="74" t="str">
        <x:f>""</x:f>
      </x:c>
      <x:c r="M3613" s="73" t="str">
        <x:f>""</x:f>
      </x:c>
      <x:c r="N3613" s="74" t="str">
        <x:f>""</x:f>
      </x:c>
    </x:row>
    <x:row r="3614" ht="27" customHeight="1">
      <x:c r="A3614" s="66" t="str">
        <x:v>SXT086</x:v>
      </x:c>
      <x:c r="B3614" s="66" t="str">
        <x:v>系数CTA套利五号</x:v>
      </x:c>
      <x:c r="C3614" s="72" t="n">
        <x:v>45107</x:v>
      </x:c>
      <x:c r="D3614" s="73" t="n">
        <x:v>1.0219</x:v>
      </x:c>
      <x:c r="E3614" s="73" t="n">
        <x:v>1.0219</x:v>
      </x:c>
      <x:c r="F3614" s="73" t="n">
        <x:v>1.0219</x:v>
      </x:c>
      <x:c r="G3614" s="74" t="n">
        <x:v>-0.0043</x:v>
      </x:c>
      <x:c r="H3614" s="66" t="str">
        <x:v>系数CTA套利五号净值20260911.xlsx</x:v>
      </x:c>
      <x:c r="I3614" s="73" t="str">
        <x:f>""</x:f>
      </x:c>
      <x:c r="J3614" s="74" t="str">
        <x:f>""</x:f>
      </x:c>
      <x:c r="K3614" s="73" t="str">
        <x:f>""</x:f>
      </x:c>
      <x:c r="L3614" s="74" t="str">
        <x:f>""</x:f>
      </x:c>
      <x:c r="M3614" s="73" t="str">
        <x:f>""</x:f>
      </x:c>
      <x:c r="N3614" s="74" t="str">
        <x:f>""</x:f>
      </x:c>
    </x:row>
    <x:row r="3615" ht="27" customHeight="1">
      <x:c r="A3615" s="66" t="str">
        <x:v>SXT086</x:v>
      </x:c>
      <x:c r="B3615" s="66" t="str">
        <x:v>系数CTA套利五号</x:v>
      </x:c>
      <x:c r="C3615" s="72" t="n">
        <x:v>45114</x:v>
      </x:c>
      <x:c r="D3615" s="73" t="n">
        <x:v>1.0262</x:v>
      </x:c>
      <x:c r="E3615" s="73" t="n">
        <x:v>1.0262</x:v>
      </x:c>
      <x:c r="F3615" s="73" t="n">
        <x:v>1.0262</x:v>
      </x:c>
      <x:c r="G3615" s="74" t="n">
        <x:v>0.0042</x:v>
      </x:c>
      <x:c r="H3615" s="66" t="str">
        <x:v>系数CTA套利五号净值20260911.xlsx</x:v>
      </x:c>
      <x:c r="I3615" s="73" t="str">
        <x:f>""</x:f>
      </x:c>
      <x:c r="J3615" s="74" t="str">
        <x:f>""</x:f>
      </x:c>
      <x:c r="K3615" s="73" t="str">
        <x:f>""</x:f>
      </x:c>
      <x:c r="L3615" s="74" t="str">
        <x:f>""</x:f>
      </x:c>
      <x:c r="M3615" s="73" t="str">
        <x:f>""</x:f>
      </x:c>
      <x:c r="N3615" s="74" t="str">
        <x:f>""</x:f>
      </x:c>
    </x:row>
    <x:row r="3616" ht="27" customHeight="1">
      <x:c r="A3616" s="66" t="str">
        <x:v>SXT086</x:v>
      </x:c>
      <x:c r="B3616" s="66" t="str">
        <x:v>系数CTA套利五号</x:v>
      </x:c>
      <x:c r="C3616" s="72" t="n">
        <x:v>45121</x:v>
      </x:c>
      <x:c r="D3616" s="73" t="n">
        <x:v>1.0263</x:v>
      </x:c>
      <x:c r="E3616" s="73" t="n">
        <x:v>1.0263</x:v>
      </x:c>
      <x:c r="F3616" s="73" t="n">
        <x:v>1.0263</x:v>
      </x:c>
      <x:c r="G3616" s="74" t="n">
        <x:v>0.0001</x:v>
      </x:c>
      <x:c r="H3616" s="66" t="str">
        <x:v>系数CTA套利五号净值20260911.xlsx</x:v>
      </x:c>
      <x:c r="I3616" s="73" t="str">
        <x:f>""</x:f>
      </x:c>
      <x:c r="J3616" s="74" t="str">
        <x:f>""</x:f>
      </x:c>
      <x:c r="K3616" s="73" t="str">
        <x:f>""</x:f>
      </x:c>
      <x:c r="L3616" s="74" t="str">
        <x:f>""</x:f>
      </x:c>
      <x:c r="M3616" s="73" t="str">
        <x:f>""</x:f>
      </x:c>
      <x:c r="N3616" s="74" t="str">
        <x:f>""</x:f>
      </x:c>
    </x:row>
    <x:row r="3617" ht="27" customHeight="1">
      <x:c r="A3617" s="66" t="str">
        <x:v>SXT086</x:v>
      </x:c>
      <x:c r="B3617" s="66" t="str">
        <x:v>系数CTA套利五号</x:v>
      </x:c>
      <x:c r="C3617" s="72" t="n">
        <x:v>45128</x:v>
      </x:c>
      <x:c r="D3617" s="73" t="n">
        <x:v>1.0193</x:v>
      </x:c>
      <x:c r="E3617" s="73" t="n">
        <x:v>1.0193</x:v>
      </x:c>
      <x:c r="F3617" s="73" t="n">
        <x:v>1.0193</x:v>
      </x:c>
      <x:c r="G3617" s="74" t="n">
        <x:v>-0.0068000000000000005</x:v>
      </x:c>
      <x:c r="H3617" s="66" t="str">
        <x:v>系数CTA套利五号净值20260911.xlsx</x:v>
      </x:c>
      <x:c r="I3617" s="73" t="str">
        <x:f>""</x:f>
      </x:c>
      <x:c r="J3617" s="74" t="str">
        <x:f>""</x:f>
      </x:c>
      <x:c r="K3617" s="73" t="str">
        <x:f>""</x:f>
      </x:c>
      <x:c r="L3617" s="74" t="str">
        <x:f>""</x:f>
      </x:c>
      <x:c r="M3617" s="73" t="str">
        <x:f>""</x:f>
      </x:c>
      <x:c r="N3617" s="74" t="str">
        <x:f>""</x:f>
      </x:c>
    </x:row>
    <x:row r="3618" ht="27" customHeight="1">
      <x:c r="A3618" s="66" t="str">
        <x:v>SXT086</x:v>
      </x:c>
      <x:c r="B3618" s="66" t="str">
        <x:v>系数CTA套利五号</x:v>
      </x:c>
      <x:c r="C3618" s="72" t="n">
        <x:v>45135</x:v>
      </x:c>
      <x:c r="D3618" s="73" t="n">
        <x:v>1.0255</x:v>
      </x:c>
      <x:c r="E3618" s="73" t="n">
        <x:v>1.0255</x:v>
      </x:c>
      <x:c r="F3618" s="73" t="n">
        <x:v>1.0255</x:v>
      </x:c>
      <x:c r="G3618" s="74" t="n">
        <x:v>0.0060999999999999995</x:v>
      </x:c>
      <x:c r="H3618" s="66" t="str">
        <x:v>系数CTA套利五号净值20260911.xlsx</x:v>
      </x:c>
      <x:c r="I3618" s="73" t="str">
        <x:f>""</x:f>
      </x:c>
      <x:c r="J3618" s="74" t="str">
        <x:f>""</x:f>
      </x:c>
      <x:c r="K3618" s="73" t="str">
        <x:f>""</x:f>
      </x:c>
      <x:c r="L3618" s="74" t="str">
        <x:f>""</x:f>
      </x:c>
      <x:c r="M3618" s="73" t="str">
        <x:f>""</x:f>
      </x:c>
      <x:c r="N3618" s="74" t="str">
        <x:f>""</x:f>
      </x:c>
    </x:row>
    <x:row r="3619" ht="27" customHeight="1">
      <x:c r="A3619" s="66" t="str">
        <x:v>SXT086</x:v>
      </x:c>
      <x:c r="B3619" s="66" t="str">
        <x:v>系数CTA套利五号</x:v>
      </x:c>
      <x:c r="C3619" s="72" t="n">
        <x:v>45142</x:v>
      </x:c>
      <x:c r="D3619" s="73" t="n">
        <x:v>1.0129</x:v>
      </x:c>
      <x:c r="E3619" s="73" t="n">
        <x:v>1.0129</x:v>
      </x:c>
      <x:c r="F3619" s="73" t="n">
        <x:v>1.0129</x:v>
      </x:c>
      <x:c r="G3619" s="74" t="n">
        <x:v>-0.0123</x:v>
      </x:c>
      <x:c r="H3619" s="66" t="str">
        <x:v>系数CTA套利五号净值20260911.xlsx</x:v>
      </x:c>
      <x:c r="I3619" s="73" t="str">
        <x:f>""</x:f>
      </x:c>
      <x:c r="J3619" s="74" t="str">
        <x:f>""</x:f>
      </x:c>
      <x:c r="K3619" s="73" t="str">
        <x:f>""</x:f>
      </x:c>
      <x:c r="L3619" s="74" t="str">
        <x:f>""</x:f>
      </x:c>
      <x:c r="M3619" s="73" t="str">
        <x:f>""</x:f>
      </x:c>
      <x:c r="N3619" s="74" t="str">
        <x:f>""</x:f>
      </x:c>
    </x:row>
    <x:row r="3620" ht="27" customHeight="1">
      <x:c r="A3620" s="66" t="str">
        <x:v>SXT086</x:v>
      </x:c>
      <x:c r="B3620" s="66" t="str">
        <x:v>系数CTA套利五号</x:v>
      </x:c>
      <x:c r="C3620" s="72" t="n">
        <x:v>45149</x:v>
      </x:c>
      <x:c r="D3620" s="73" t="n">
        <x:v>1.0113</x:v>
      </x:c>
      <x:c r="E3620" s="73" t="n">
        <x:v>1.0113</x:v>
      </x:c>
      <x:c r="F3620" s="73" t="n">
        <x:v>1.0113</x:v>
      </x:c>
      <x:c r="G3620" s="74" t="n">
        <x:v>-0.0016</x:v>
      </x:c>
      <x:c r="H3620" s="66" t="str">
        <x:v>系数CTA套利五号净值20260911.xlsx</x:v>
      </x:c>
      <x:c r="I3620" s="73" t="str">
        <x:f>""</x:f>
      </x:c>
      <x:c r="J3620" s="74" t="str">
        <x:f>""</x:f>
      </x:c>
      <x:c r="K3620" s="73" t="str">
        <x:f>""</x:f>
      </x:c>
      <x:c r="L3620" s="74" t="str">
        <x:f>""</x:f>
      </x:c>
      <x:c r="M3620" s="73" t="str">
        <x:f>""</x:f>
      </x:c>
      <x:c r="N3620" s="74" t="str">
        <x:f>""</x:f>
      </x:c>
    </x:row>
    <x:row r="3621" ht="27" customHeight="1">
      <x:c r="A3621" s="66" t="str">
        <x:v>SXT086</x:v>
      </x:c>
      <x:c r="B3621" s="66" t="str">
        <x:v>系数CTA套利五号</x:v>
      </x:c>
      <x:c r="C3621" s="72" t="n">
        <x:v>45156</x:v>
      </x:c>
      <x:c r="D3621" s="73" t="n">
        <x:v>1.0152</x:v>
      </x:c>
      <x:c r="E3621" s="73" t="n">
        <x:v>1.0152</x:v>
      </x:c>
      <x:c r="F3621" s="73" t="n">
        <x:v>1.0152</x:v>
      </x:c>
      <x:c r="G3621" s="74" t="n">
        <x:v>0.0039000000000000003</x:v>
      </x:c>
      <x:c r="H3621" s="66" t="str">
        <x:v>系数CTA套利五号净值20260911.xlsx</x:v>
      </x:c>
      <x:c r="I3621" s="73" t="str">
        <x:f>""</x:f>
      </x:c>
      <x:c r="J3621" s="74" t="str">
        <x:f>""</x:f>
      </x:c>
      <x:c r="K3621" s="73" t="str">
        <x:f>""</x:f>
      </x:c>
      <x:c r="L3621" s="74" t="str">
        <x:f>""</x:f>
      </x:c>
      <x:c r="M3621" s="73" t="str">
        <x:f>""</x:f>
      </x:c>
      <x:c r="N3621" s="74" t="str">
        <x:f>""</x:f>
      </x:c>
    </x:row>
    <x:row r="3622" ht="27" customHeight="1">
      <x:c r="A3622" s="66" t="str">
        <x:v>SXT086</x:v>
      </x:c>
      <x:c r="B3622" s="66" t="str">
        <x:v>系数CTA套利五号</x:v>
      </x:c>
      <x:c r="C3622" s="72" t="n">
        <x:v>45163</x:v>
      </x:c>
      <x:c r="D3622" s="73" t="n">
        <x:v>1.0144</x:v>
      </x:c>
      <x:c r="E3622" s="73" t="n">
        <x:v>1.0144</x:v>
      </x:c>
      <x:c r="F3622" s="73" t="n">
        <x:v>1.0144</x:v>
      </x:c>
      <x:c r="G3622" s="74" t="n">
        <x:v>-0.0008</x:v>
      </x:c>
      <x:c r="H3622" s="66" t="str">
        <x:v>系数CTA套利五号净值20260911.xlsx</x:v>
      </x:c>
      <x:c r="I3622" s="73" t="str">
        <x:f>""</x:f>
      </x:c>
      <x:c r="J3622" s="74" t="str">
        <x:f>""</x:f>
      </x:c>
      <x:c r="K3622" s="73" t="str">
        <x:f>""</x:f>
      </x:c>
      <x:c r="L3622" s="74" t="str">
        <x:f>""</x:f>
      </x:c>
      <x:c r="M3622" s="73" t="str">
        <x:f>""</x:f>
      </x:c>
      <x:c r="N3622" s="74" t="str">
        <x:f>""</x:f>
      </x:c>
    </x:row>
    <x:row r="3623" ht="27" customHeight="1">
      <x:c r="A3623" s="66" t="str">
        <x:v>SXT086</x:v>
      </x:c>
      <x:c r="B3623" s="66" t="str">
        <x:v>系数CTA套利五号</x:v>
      </x:c>
      <x:c r="C3623" s="72" t="n">
        <x:v>45170</x:v>
      </x:c>
      <x:c r="D3623" s="73" t="n">
        <x:v>1.0117</x:v>
      </x:c>
      <x:c r="E3623" s="73" t="n">
        <x:v>1.0117</x:v>
      </x:c>
      <x:c r="F3623" s="73" t="n">
        <x:v>1.0117</x:v>
      </x:c>
      <x:c r="G3623" s="74" t="n">
        <x:v>-0.0027</x:v>
      </x:c>
      <x:c r="H3623" s="66" t="str">
        <x:v>系数CTA套利五号净值20260911.xlsx</x:v>
      </x:c>
      <x:c r="I3623" s="73" t="str">
        <x:f>""</x:f>
      </x:c>
      <x:c r="J3623" s="74" t="str">
        <x:f>""</x:f>
      </x:c>
      <x:c r="K3623" s="73" t="n">
        <x:f>F3623</x:f>
        <x:v>1.0117</x:v>
      </x:c>
      <x:c r="L3623" s="74" t="n">
        <x:f>1-F3623/K3623</x:f>
        <x:v>0</x:v>
      </x:c>
      <x:c r="M3623" s="73" t="str">
        <x:f>""</x:f>
      </x:c>
      <x:c r="N3623" s="74" t="str">
        <x:f>""</x:f>
      </x:c>
    </x:row>
    <x:row r="3624" ht="27" customHeight="1">
      <x:c r="A3624" s="66" t="str">
        <x:v>SXT086</x:v>
      </x:c>
      <x:c r="B3624" s="66" t="str">
        <x:v>系数CTA套利五号</x:v>
      </x:c>
      <x:c r="C3624" s="72" t="n">
        <x:v>45177</x:v>
      </x:c>
      <x:c r="D3624" s="73" t="n">
        <x:v>1.0138</x:v>
      </x:c>
      <x:c r="E3624" s="73" t="n">
        <x:v>1.0138</x:v>
      </x:c>
      <x:c r="F3624" s="73" t="n">
        <x:v>1.0138</x:v>
      </x:c>
      <x:c r="G3624" s="74" t="n">
        <x:v>0.0021</x:v>
      </x:c>
      <x:c r="H3624" s="66" t="str">
        <x:v>系数CTA套利五号净值20260911.xlsx</x:v>
      </x:c>
      <x:c r="I3624" s="73" t="str">
        <x:f>""</x:f>
      </x:c>
      <x:c r="J3624" s="74" t="str">
        <x:f>""</x:f>
      </x:c>
      <x:c r="K3624" s="73" t="n">
        <x:f>MAX(K3623,F3624)</x:f>
        <x:v>1.0138</x:v>
      </x:c>
      <x:c r="L3624" s="74" t="n">
        <x:f>1-F3624/K3624</x:f>
        <x:v>0</x:v>
      </x:c>
      <x:c r="M3624" s="73" t="str">
        <x:f>""</x:f>
      </x:c>
      <x:c r="N3624" s="74" t="str">
        <x:f>""</x:f>
      </x:c>
    </x:row>
    <x:row r="3625" ht="27" customHeight="1">
      <x:c r="A3625" s="66" t="str">
        <x:v>SXT086</x:v>
      </x:c>
      <x:c r="B3625" s="66" t="str">
        <x:v>系数CTA套利五号</x:v>
      </x:c>
      <x:c r="C3625" s="72" t="n">
        <x:v>45184</x:v>
      </x:c>
      <x:c r="D3625" s="73" t="n">
        <x:v>1.0162</x:v>
      </x:c>
      <x:c r="E3625" s="73" t="n">
        <x:v>1.0162</x:v>
      </x:c>
      <x:c r="F3625" s="73" t="n">
        <x:v>1.0162</x:v>
      </x:c>
      <x:c r="G3625" s="74" t="n">
        <x:v>0.0024</x:v>
      </x:c>
      <x:c r="H3625" s="66" t="str">
        <x:v>系数CTA套利五号净值20260911.xlsx</x:v>
      </x:c>
      <x:c r="I3625" s="73" t="str">
        <x:f>""</x:f>
      </x:c>
      <x:c r="J3625" s="74" t="str">
        <x:f>""</x:f>
      </x:c>
      <x:c r="K3625" s="73" t="n">
        <x:f>MAX(K3624,F3625)</x:f>
        <x:v>1.0162</x:v>
      </x:c>
      <x:c r="L3625" s="74" t="n">
        <x:f>1-F3625/K3625</x:f>
        <x:v>0</x:v>
      </x:c>
      <x:c r="M3625" s="73" t="str">
        <x:f>""</x:f>
      </x:c>
      <x:c r="N3625" s="74" t="str">
        <x:f>""</x:f>
      </x:c>
    </x:row>
    <x:row r="3626" ht="27" customHeight="1">
      <x:c r="A3626" s="66" t="str">
        <x:v>SXT086</x:v>
      </x:c>
      <x:c r="B3626" s="66" t="str">
        <x:v>系数CTA套利五号</x:v>
      </x:c>
      <x:c r="C3626" s="72" t="n">
        <x:v>45191</x:v>
      </x:c>
      <x:c r="D3626" s="73" t="n">
        <x:v>1.0265</x:v>
      </x:c>
      <x:c r="E3626" s="73" t="n">
        <x:v>1.0265</x:v>
      </x:c>
      <x:c r="F3626" s="73" t="n">
        <x:v>1.0265</x:v>
      </x:c>
      <x:c r="G3626" s="74" t="n">
        <x:v>0.0101</x:v>
      </x:c>
      <x:c r="H3626" s="66" t="str">
        <x:v>系数CTA套利五号净值20260911.xlsx</x:v>
      </x:c>
      <x:c r="I3626" s="73" t="str">
        <x:f>""</x:f>
      </x:c>
      <x:c r="J3626" s="74" t="str">
        <x:f>""</x:f>
      </x:c>
      <x:c r="K3626" s="73" t="n">
        <x:f>MAX(K3625,F3626)</x:f>
        <x:v>1.0265</x:v>
      </x:c>
      <x:c r="L3626" s="74" t="n">
        <x:f>1-F3626/K3626</x:f>
        <x:v>0</x:v>
      </x:c>
      <x:c r="M3626" s="73" t="str">
        <x:f>""</x:f>
      </x:c>
      <x:c r="N3626" s="74" t="str">
        <x:f>""</x:f>
      </x:c>
    </x:row>
    <x:row r="3627" ht="27" customHeight="1">
      <x:c r="A3627" s="66" t="str">
        <x:v>SXT086</x:v>
      </x:c>
      <x:c r="B3627" s="66" t="str">
        <x:v>系数CTA套利五号</x:v>
      </x:c>
      <x:c r="C3627" s="72" t="n">
        <x:v>45197</x:v>
      </x:c>
      <x:c r="D3627" s="73" t="n">
        <x:v>1.0275</x:v>
      </x:c>
      <x:c r="E3627" s="73" t="n">
        <x:v>1.0275</x:v>
      </x:c>
      <x:c r="F3627" s="73" t="n">
        <x:v>1.0275</x:v>
      </x:c>
      <x:c r="G3627" s="74" t="n">
        <x:v>0.001</x:v>
      </x:c>
      <x:c r="H3627" s="66" t="str">
        <x:v>系数CTA套利五号净值20260911.xlsx</x:v>
      </x:c>
      <x:c r="I3627" s="73" t="str">
        <x:f>""</x:f>
      </x:c>
      <x:c r="J3627" s="74" t="str">
        <x:f>""</x:f>
      </x:c>
      <x:c r="K3627" s="73" t="n">
        <x:f>MAX(K3626,F3627)</x:f>
        <x:v>1.0275</x:v>
      </x:c>
      <x:c r="L3627" s="74" t="n">
        <x:f>1-F3627/K3627</x:f>
        <x:v>0</x:v>
      </x:c>
      <x:c r="M3627" s="73" t="str">
        <x:f>""</x:f>
      </x:c>
      <x:c r="N3627" s="74" t="str">
        <x:f>""</x:f>
      </x:c>
    </x:row>
    <x:row r="3628" ht="27" customHeight="1">
      <x:c r="A3628" s="66" t="str">
        <x:v>SXT086</x:v>
      </x:c>
      <x:c r="B3628" s="66" t="str">
        <x:v>系数CTA套利五号</x:v>
      </x:c>
      <x:c r="C3628" s="72" t="n">
        <x:v>45212</x:v>
      </x:c>
      <x:c r="D3628" s="73" t="n">
        <x:v>1.0319</x:v>
      </x:c>
      <x:c r="E3628" s="73" t="n">
        <x:v>1.0319</x:v>
      </x:c>
      <x:c r="F3628" s="73" t="n">
        <x:v>1.0319</x:v>
      </x:c>
      <x:c r="G3628" s="74" t="n">
        <x:v>0.0043</x:v>
      </x:c>
      <x:c r="H3628" s="66" t="str">
        <x:v>系数CTA套利五号净值20260911.xlsx</x:v>
      </x:c>
      <x:c r="I3628" s="73" t="str">
        <x:f>""</x:f>
      </x:c>
      <x:c r="J3628" s="74" t="str">
        <x:f>""</x:f>
      </x:c>
      <x:c r="K3628" s="73" t="n">
        <x:f>MAX(K3627,F3628)</x:f>
        <x:v>1.0319</x:v>
      </x:c>
      <x:c r="L3628" s="74" t="n">
        <x:f>1-F3628/K3628</x:f>
        <x:v>0</x:v>
      </x:c>
      <x:c r="M3628" s="73" t="str">
        <x:f>""</x:f>
      </x:c>
      <x:c r="N3628" s="74" t="str">
        <x:f>""</x:f>
      </x:c>
    </x:row>
    <x:row r="3629" ht="27" customHeight="1">
      <x:c r="A3629" s="66" t="str">
        <x:v>SXT086</x:v>
      </x:c>
      <x:c r="B3629" s="66" t="str">
        <x:v>系数CTA套利五号</x:v>
      </x:c>
      <x:c r="C3629" s="72" t="n">
        <x:v>45219</x:v>
      </x:c>
      <x:c r="D3629" s="73" t="n">
        <x:v>1.0423</x:v>
      </x:c>
      <x:c r="E3629" s="73" t="n">
        <x:v>1.0423</x:v>
      </x:c>
      <x:c r="F3629" s="73" t="n">
        <x:v>1.0423</x:v>
      </x:c>
      <x:c r="G3629" s="74" t="n">
        <x:v>0.0101</x:v>
      </x:c>
      <x:c r="H3629" s="66" t="str">
        <x:v>系数CTA套利五号净值20260911.xlsx</x:v>
      </x:c>
      <x:c r="I3629" s="73" t="str">
        <x:f>""</x:f>
      </x:c>
      <x:c r="J3629" s="74" t="str">
        <x:f>""</x:f>
      </x:c>
      <x:c r="K3629" s="73" t="n">
        <x:f>MAX(K3628,F3629)</x:f>
        <x:v>1.0423</x:v>
      </x:c>
      <x:c r="L3629" s="74" t="n">
        <x:f>1-F3629/K3629</x:f>
        <x:v>0</x:v>
      </x:c>
      <x:c r="M3629" s="73" t="str">
        <x:f>""</x:f>
      </x:c>
      <x:c r="N3629" s="74" t="str">
        <x:f>""</x:f>
      </x:c>
    </x:row>
    <x:row r="3630" ht="27" customHeight="1">
      <x:c r="A3630" s="66" t="str">
        <x:v>SXT086</x:v>
      </x:c>
      <x:c r="B3630" s="66" t="str">
        <x:v>系数CTA套利五号</x:v>
      </x:c>
      <x:c r="C3630" s="72" t="n">
        <x:v>45226</x:v>
      </x:c>
      <x:c r="D3630" s="73" t="n">
        <x:v>1.0384</x:v>
      </x:c>
      <x:c r="E3630" s="73" t="n">
        <x:v>1.0384</x:v>
      </x:c>
      <x:c r="F3630" s="73" t="n">
        <x:v>1.0384</x:v>
      </x:c>
      <x:c r="G3630" s="74" t="n">
        <x:v>-0.0037</x:v>
      </x:c>
      <x:c r="H3630" s="66" t="str">
        <x:v>系数CTA套利五号净值20260911.xlsx</x:v>
      </x:c>
      <x:c r="I3630" s="73" t="str">
        <x:f>""</x:f>
      </x:c>
      <x:c r="J3630" s="74" t="str">
        <x:f>""</x:f>
      </x:c>
      <x:c r="K3630" s="73" t="n">
        <x:f>MAX(K3629,F3630)</x:f>
        <x:v>1.0423</x:v>
      </x:c>
      <x:c r="L3630" s="74" t="n">
        <x:f>1-F3630/K3630</x:f>
        <x:v>0.003741725031181087</x:v>
      </x:c>
      <x:c r="M3630" s="73" t="str">
        <x:f>""</x:f>
      </x:c>
      <x:c r="N3630" s="74" t="str">
        <x:f>""</x:f>
      </x:c>
    </x:row>
    <x:row r="3631" ht="27" customHeight="1">
      <x:c r="A3631" s="66" t="str">
        <x:v>SXT086</x:v>
      </x:c>
      <x:c r="B3631" s="66" t="str">
        <x:v>系数CTA套利五号</x:v>
      </x:c>
      <x:c r="C3631" s="72" t="n">
        <x:v>45233</x:v>
      </x:c>
      <x:c r="D3631" s="73" t="n">
        <x:v>1.0313</x:v>
      </x:c>
      <x:c r="E3631" s="73" t="n">
        <x:v>1.0313</x:v>
      </x:c>
      <x:c r="F3631" s="73" t="n">
        <x:v>1.0313</x:v>
      </x:c>
      <x:c r="G3631" s="74" t="n">
        <x:v>-0.0068000000000000005</x:v>
      </x:c>
      <x:c r="H3631" s="66" t="str">
        <x:v>系数CTA套利五号净值20260911.xlsx</x:v>
      </x:c>
      <x:c r="I3631" s="73" t="str">
        <x:f>""</x:f>
      </x:c>
      <x:c r="J3631" s="74" t="str">
        <x:f>""</x:f>
      </x:c>
      <x:c r="K3631" s="73" t="n">
        <x:f>MAX(K3630,F3631)</x:f>
        <x:v>1.0423</x:v>
      </x:c>
      <x:c r="L3631" s="74" t="n">
        <x:f>1-F3631/K3631</x:f>
        <x:v>0.010553583421279766</x:v>
      </x:c>
      <x:c r="M3631" s="73" t="str">
        <x:f>""</x:f>
      </x:c>
      <x:c r="N3631" s="74" t="str">
        <x:f>""</x:f>
      </x:c>
    </x:row>
    <x:row r="3632" ht="27" customHeight="1">
      <x:c r="A3632" s="66" t="str">
        <x:v>SXT086</x:v>
      </x:c>
      <x:c r="B3632" s="66" t="str">
        <x:v>系数CTA套利五号</x:v>
      </x:c>
      <x:c r="C3632" s="72" t="n">
        <x:v>45240</x:v>
      </x:c>
      <x:c r="D3632" s="73" t="n">
        <x:v>1.0453</x:v>
      </x:c>
      <x:c r="E3632" s="73" t="n">
        <x:v>1.0453</x:v>
      </x:c>
      <x:c r="F3632" s="73" t="n">
        <x:v>1.0453</x:v>
      </x:c>
      <x:c r="G3632" s="74" t="n">
        <x:v>0.013600000000000001</x:v>
      </x:c>
      <x:c r="H3632" s="66" t="str">
        <x:v>系数CTA套利五号净值20260911.xlsx</x:v>
      </x:c>
      <x:c r="I3632" s="73" t="str">
        <x:f>""</x:f>
      </x:c>
      <x:c r="J3632" s="74" t="str">
        <x:f>""</x:f>
      </x:c>
      <x:c r="K3632" s="73" t="n">
        <x:f>MAX(K3631,F3632)</x:f>
        <x:v>1.0453</x:v>
      </x:c>
      <x:c r="L3632" s="74" t="n">
        <x:f>1-F3632/K3632</x:f>
        <x:v>0</x:v>
      </x:c>
      <x:c r="M3632" s="73" t="str">
        <x:f>""</x:f>
      </x:c>
      <x:c r="N3632" s="74" t="str">
        <x:f>""</x:f>
      </x:c>
    </x:row>
    <x:row r="3633" ht="27" customHeight="1">
      <x:c r="A3633" s="66" t="str">
        <x:v>SXT086</x:v>
      </x:c>
      <x:c r="B3633" s="66" t="str">
        <x:v>系数CTA套利五号</x:v>
      </x:c>
      <x:c r="C3633" s="72" t="n">
        <x:v>45247</x:v>
      </x:c>
      <x:c r="D3633" s="73" t="n">
        <x:v>1.0519</x:v>
      </x:c>
      <x:c r="E3633" s="73" t="n">
        <x:v>1.0519</x:v>
      </x:c>
      <x:c r="F3633" s="73" t="n">
        <x:v>1.0519</x:v>
      </x:c>
      <x:c r="G3633" s="74" t="n">
        <x:v>0.0063</x:v>
      </x:c>
      <x:c r="H3633" s="66" t="str">
        <x:v>系数CTA套利五号净值20260911.xlsx</x:v>
      </x:c>
      <x:c r="I3633" s="73" t="str">
        <x:f>""</x:f>
      </x:c>
      <x:c r="J3633" s="74" t="str">
        <x:f>""</x:f>
      </x:c>
      <x:c r="K3633" s="73" t="n">
        <x:f>MAX(K3632,F3633)</x:f>
        <x:v>1.0519</x:v>
      </x:c>
      <x:c r="L3633" s="74" t="n">
        <x:f>1-F3633/K3633</x:f>
        <x:v>0</x:v>
      </x:c>
      <x:c r="M3633" s="73" t="str">
        <x:f>""</x:f>
      </x:c>
      <x:c r="N3633" s="74" t="str">
        <x:f>""</x:f>
      </x:c>
    </x:row>
    <x:row r="3634" ht="27" customHeight="1">
      <x:c r="A3634" s="66" t="str">
        <x:v>SXT086</x:v>
      </x:c>
      <x:c r="B3634" s="66" t="str">
        <x:v>系数CTA套利五号</x:v>
      </x:c>
      <x:c r="C3634" s="72" t="n">
        <x:v>45254</x:v>
      </x:c>
      <x:c r="D3634" s="73" t="n">
        <x:v>1.0557</x:v>
      </x:c>
      <x:c r="E3634" s="73" t="n">
        <x:v>1.0557</x:v>
      </x:c>
      <x:c r="F3634" s="73" t="n">
        <x:v>1.0557</x:v>
      </x:c>
      <x:c r="G3634" s="74" t="n">
        <x:v>0.0036</x:v>
      </x:c>
      <x:c r="H3634" s="66" t="str">
        <x:v>系数CTA套利五号净值20260911.xlsx</x:v>
      </x:c>
      <x:c r="I3634" s="73" t="str">
        <x:f>""</x:f>
      </x:c>
      <x:c r="J3634" s="74" t="str">
        <x:f>""</x:f>
      </x:c>
      <x:c r="K3634" s="73" t="n">
        <x:f>MAX(K3633,F3634)</x:f>
        <x:v>1.0557</x:v>
      </x:c>
      <x:c r="L3634" s="74" t="n">
        <x:f>1-F3634/K3634</x:f>
        <x:v>0</x:v>
      </x:c>
      <x:c r="M3634" s="73" t="str">
        <x:f>""</x:f>
      </x:c>
      <x:c r="N3634" s="74" t="str">
        <x:f>""</x:f>
      </x:c>
    </x:row>
    <x:row r="3635" ht="27" customHeight="1">
      <x:c r="A3635" s="66" t="str">
        <x:v>SXT086</x:v>
      </x:c>
      <x:c r="B3635" s="66" t="str">
        <x:v>系数CTA套利五号</x:v>
      </x:c>
      <x:c r="C3635" s="72" t="n">
        <x:v>45261</x:v>
      </x:c>
      <x:c r="D3635" s="73" t="n">
        <x:v>1.0435</x:v>
      </x:c>
      <x:c r="E3635" s="73" t="n">
        <x:v>1.0435</x:v>
      </x:c>
      <x:c r="F3635" s="73" t="n">
        <x:v>1.0435</x:v>
      </x:c>
      <x:c r="G3635" s="74" t="n">
        <x:v>-0.0116</x:v>
      </x:c>
      <x:c r="H3635" s="66" t="str">
        <x:v>系数CTA套利五号净值20260911.xlsx</x:v>
      </x:c>
      <x:c r="I3635" s="73" t="str">
        <x:f>""</x:f>
      </x:c>
      <x:c r="J3635" s="74" t="str">
        <x:f>""</x:f>
      </x:c>
      <x:c r="K3635" s="73" t="n">
        <x:f>MAX(K3634,F3635)</x:f>
        <x:v>1.0557</x:v>
      </x:c>
      <x:c r="L3635" s="74" t="n">
        <x:f>1-F3635/K3635</x:f>
        <x:v>0.011556313346594682</x:v>
      </x:c>
      <x:c r="M3635" s="73" t="str">
        <x:f>""</x:f>
      </x:c>
      <x:c r="N3635" s="74" t="str">
        <x:f>""</x:f>
      </x:c>
    </x:row>
    <x:row r="3636" ht="27" customHeight="1">
      <x:c r="A3636" s="66" t="str">
        <x:v>SXT086</x:v>
      </x:c>
      <x:c r="B3636" s="66" t="str">
        <x:v>系数CTA套利五号</x:v>
      </x:c>
      <x:c r="C3636" s="72" t="n">
        <x:v>45268</x:v>
      </x:c>
      <x:c r="D3636" s="73" t="n">
        <x:v>1.0515</x:v>
      </x:c>
      <x:c r="E3636" s="73" t="n">
        <x:v>1.0515</x:v>
      </x:c>
      <x:c r="F3636" s="73" t="n">
        <x:v>1.0515</x:v>
      </x:c>
      <x:c r="G3636" s="74" t="n">
        <x:v>0.0077</x:v>
      </x:c>
      <x:c r="H3636" s="66" t="str">
        <x:v>系数CTA套利五号净值20260911.xlsx</x:v>
      </x:c>
      <x:c r="I3636" s="73" t="str">
        <x:f>""</x:f>
      </x:c>
      <x:c r="J3636" s="74" t="str">
        <x:f>""</x:f>
      </x:c>
      <x:c r="K3636" s="73" t="n">
        <x:f>MAX(K3635,F3636)</x:f>
        <x:v>1.0557</x:v>
      </x:c>
      <x:c r="L3636" s="74" t="n">
        <x:f>1-F3636/K3636</x:f>
        <x:v>0.003978402955384985</x:v>
      </x:c>
      <x:c r="M3636" s="73" t="str">
        <x:f>""</x:f>
      </x:c>
      <x:c r="N3636" s="74" t="str">
        <x:f>""</x:f>
      </x:c>
    </x:row>
    <x:row r="3637" ht="27" customHeight="1">
      <x:c r="A3637" s="66" t="str">
        <x:v>SXT086</x:v>
      </x:c>
      <x:c r="B3637" s="66" t="str">
        <x:v>系数CTA套利五号</x:v>
      </x:c>
      <x:c r="C3637" s="72" t="n">
        <x:v>45275</x:v>
      </x:c>
      <x:c r="D3637" s="73" t="n">
        <x:v>1.1078</x:v>
      </x:c>
      <x:c r="E3637" s="73" t="n">
        <x:v>1.1078</x:v>
      </x:c>
      <x:c r="F3637" s="73" t="n">
        <x:v>1.1078</x:v>
      </x:c>
      <x:c r="G3637" s="74" t="n">
        <x:v>0.0535</x:v>
      </x:c>
      <x:c r="H3637" s="66" t="str">
        <x:v>系数CTA套利五号净值20260911.xlsx</x:v>
      </x:c>
      <x:c r="I3637" s="73" t="str">
        <x:f>""</x:f>
      </x:c>
      <x:c r="J3637" s="74" t="str">
        <x:f>""</x:f>
      </x:c>
      <x:c r="K3637" s="73" t="n">
        <x:f>MAX(K3636,F3637)</x:f>
        <x:v>1.1078</x:v>
      </x:c>
      <x:c r="L3637" s="74" t="n">
        <x:f>1-F3637/K3637</x:f>
        <x:v>0</x:v>
      </x:c>
      <x:c r="M3637" s="73" t="str">
        <x:f>""</x:f>
      </x:c>
      <x:c r="N3637" s="74" t="str">
        <x:f>""</x:f>
      </x:c>
    </x:row>
    <x:row r="3638" ht="27" customHeight="1">
      <x:c r="A3638" s="66" t="str">
        <x:v>SXT086</x:v>
      </x:c>
      <x:c r="B3638" s="66" t="str">
        <x:v>系数CTA套利五号</x:v>
      </x:c>
      <x:c r="C3638" s="72" t="n">
        <x:v>45282</x:v>
      </x:c>
      <x:c r="D3638" s="73" t="n">
        <x:v>1.1018</x:v>
      </x:c>
      <x:c r="E3638" s="73" t="n">
        <x:v>1.1018</x:v>
      </x:c>
      <x:c r="F3638" s="73" t="n">
        <x:v>1.1018</x:v>
      </x:c>
      <x:c r="G3638" s="74" t="n">
        <x:v>-0.0054</x:v>
      </x:c>
      <x:c r="H3638" s="66" t="str">
        <x:v>系数CTA套利五号净值20260911.xlsx</x:v>
      </x:c>
      <x:c r="I3638" s="73" t="str">
        <x:f>""</x:f>
      </x:c>
      <x:c r="J3638" s="74" t="str">
        <x:f>""</x:f>
      </x:c>
      <x:c r="K3638" s="73" t="n">
        <x:f>MAX(K3637,F3638)</x:f>
        <x:v>1.1078</x:v>
      </x:c>
      <x:c r="L3638" s="74" t="n">
        <x:f>1-F3638/K3638</x:f>
        <x:v>0.005416140097490474</x:v>
      </x:c>
      <x:c r="M3638" s="73" t="str">
        <x:f>""</x:f>
      </x:c>
      <x:c r="N3638" s="74" t="str">
        <x:f>""</x:f>
      </x:c>
    </x:row>
    <x:row r="3639" ht="27" customHeight="1">
      <x:c r="A3639" s="66" t="str">
        <x:v>SXT086</x:v>
      </x:c>
      <x:c r="B3639" s="66" t="str">
        <x:v>系数CTA套利五号</x:v>
      </x:c>
      <x:c r="C3639" s="72" t="n">
        <x:v>45289</x:v>
      </x:c>
      <x:c r="D3639" s="73" t="n">
        <x:v>1.0855</x:v>
      </x:c>
      <x:c r="E3639" s="73" t="n">
        <x:v>1.0855</x:v>
      </x:c>
      <x:c r="F3639" s="73" t="n">
        <x:v>1.0855</x:v>
      </x:c>
      <x:c r="G3639" s="74" t="n">
        <x:v>-0.0148</x:v>
      </x:c>
      <x:c r="H3639" s="66" t="str">
        <x:v>系数CTA套利五号净值20260911.xlsx</x:v>
      </x:c>
      <x:c r="I3639" s="73" t="str">
        <x:f>""</x:f>
      </x:c>
      <x:c r="J3639" s="74" t="str">
        <x:f>""</x:f>
      </x:c>
      <x:c r="K3639" s="73" t="n">
        <x:f>MAX(K3638,F3639)</x:f>
        <x:v>1.1078</x:v>
      </x:c>
      <x:c r="L3639" s="74" t="n">
        <x:f>1-F3639/K3639</x:f>
        <x:v>0.02012998736233973</x:v>
      </x:c>
      <x:c r="M3639" s="73" t="str">
        <x:f>""</x:f>
      </x:c>
      <x:c r="N3639" s="74" t="str">
        <x:f>""</x:f>
      </x:c>
    </x:row>
    <x:row r="3640" ht="27" customHeight="1">
      <x:c r="A3640" s="66" t="str">
        <x:v>SXT086</x:v>
      </x:c>
      <x:c r="B3640" s="66" t="str">
        <x:v>系数CTA套利五号</x:v>
      </x:c>
      <x:c r="C3640" s="72" t="n">
        <x:v>45296</x:v>
      </x:c>
      <x:c r="D3640" s="73" t="n">
        <x:v>1.0927</x:v>
      </x:c>
      <x:c r="E3640" s="73" t="n">
        <x:v>1.0927</x:v>
      </x:c>
      <x:c r="F3640" s="73" t="n">
        <x:v>1.0927</x:v>
      </x:c>
      <x:c r="G3640" s="74" t="n">
        <x:v>0.0066</x:v>
      </x:c>
      <x:c r="H3640" s="66" t="str">
        <x:v>系数CTA套利五号净值20260911.xlsx</x:v>
      </x:c>
      <x:c r="I3640" s="73" t="str">
        <x:f>""</x:f>
      </x:c>
      <x:c r="J3640" s="74" t="str">
        <x:f>""</x:f>
      </x:c>
      <x:c r="K3640" s="73" t="n">
        <x:f>MAX(K3639,F3640)</x:f>
        <x:v>1.1078</x:v>
      </x:c>
      <x:c r="L3640" s="74" t="n">
        <x:f>1-F3640/K3640</x:f>
        <x:v>0.013630619245351028</x:v>
      </x:c>
      <x:c r="M3640" s="73" t="str">
        <x:f>""</x:f>
      </x:c>
      <x:c r="N3640" s="74" t="str">
        <x:f>""</x:f>
      </x:c>
    </x:row>
    <x:row r="3641" ht="27" customHeight="1">
      <x:c r="A3641" s="66" t="str">
        <x:v>SXT086</x:v>
      </x:c>
      <x:c r="B3641" s="66" t="str">
        <x:v>系数CTA套利五号</x:v>
      </x:c>
      <x:c r="C3641" s="72" t="n">
        <x:v>45303</x:v>
      </x:c>
      <x:c r="D3641" s="73" t="n">
        <x:v>1.1027</x:v>
      </x:c>
      <x:c r="E3641" s="73" t="n">
        <x:v>1.1027</x:v>
      </x:c>
      <x:c r="F3641" s="73" t="n">
        <x:v>1.1027</x:v>
      </x:c>
      <x:c r="G3641" s="74" t="n">
        <x:v>0.0092</x:v>
      </x:c>
      <x:c r="H3641" s="66" t="str">
        <x:v>系数CTA套利五号净值20260911.xlsx</x:v>
      </x:c>
      <x:c r="I3641" s="73" t="str">
        <x:f>""</x:f>
      </x:c>
      <x:c r="J3641" s="74" t="str">
        <x:f>""</x:f>
      </x:c>
      <x:c r="K3641" s="73" t="n">
        <x:f>MAX(K3640,F3641)</x:f>
        <x:v>1.1078</x:v>
      </x:c>
      <x:c r="L3641" s="74" t="n">
        <x:f>1-F3641/K3641</x:f>
        <x:v>0.004603719082866831</x:v>
      </x:c>
      <x:c r="M3641" s="73" t="str">
        <x:f>""</x:f>
      </x:c>
      <x:c r="N3641" s="74" t="str">
        <x:f>""</x:f>
      </x:c>
    </x:row>
    <x:row r="3642" ht="27" customHeight="1">
      <x:c r="A3642" s="66" t="str">
        <x:v>SXT086</x:v>
      </x:c>
      <x:c r="B3642" s="66" t="str">
        <x:v>系数CTA套利五号</x:v>
      </x:c>
      <x:c r="C3642" s="72" t="n">
        <x:v>45310</x:v>
      </x:c>
      <x:c r="D3642" s="73" t="n">
        <x:v>1.0977</x:v>
      </x:c>
      <x:c r="E3642" s="73" t="n">
        <x:v>1.0977</x:v>
      </x:c>
      <x:c r="F3642" s="73" t="n">
        <x:v>1.0977</x:v>
      </x:c>
      <x:c r="G3642" s="74" t="n">
        <x:v>-0.0045000000000000005</x:v>
      </x:c>
      <x:c r="H3642" s="66" t="str">
        <x:v>系数CTA套利五号净值20260911.xlsx</x:v>
      </x:c>
      <x:c r="I3642" s="73" t="str">
        <x:f>""</x:f>
      </x:c>
      <x:c r="J3642" s="74" t="str">
        <x:f>""</x:f>
      </x:c>
      <x:c r="K3642" s="73" t="n">
        <x:f>MAX(K3641,F3642)</x:f>
        <x:v>1.1078</x:v>
      </x:c>
      <x:c r="L3642" s="74" t="n">
        <x:f>1-F3642/K3642</x:f>
        <x:v>0.009117169164109096</x:v>
      </x:c>
      <x:c r="M3642" s="73" t="str">
        <x:f>""</x:f>
      </x:c>
      <x:c r="N3642" s="74" t="str">
        <x:f>""</x:f>
      </x:c>
    </x:row>
    <x:row r="3643" ht="27" customHeight="1">
      <x:c r="A3643" s="66" t="str">
        <x:v>SXT086</x:v>
      </x:c>
      <x:c r="B3643" s="66" t="str">
        <x:v>系数CTA套利五号</x:v>
      </x:c>
      <x:c r="C3643" s="72" t="n">
        <x:v>45317</x:v>
      </x:c>
      <x:c r="D3643" s="73" t="n">
        <x:v>1.0986</x:v>
      </x:c>
      <x:c r="E3643" s="73" t="n">
        <x:v>1.0986</x:v>
      </x:c>
      <x:c r="F3643" s="73" t="n">
        <x:v>1.0986</x:v>
      </x:c>
      <x:c r="G3643" s="74" t="n">
        <x:v>0.0008</x:v>
      </x:c>
      <x:c r="H3643" s="66" t="str">
        <x:v>系数CTA套利五号净值20260911.xlsx</x:v>
      </x:c>
      <x:c r="I3643" s="73" t="str">
        <x:f>""</x:f>
      </x:c>
      <x:c r="J3643" s="74" t="str">
        <x:f>""</x:f>
      </x:c>
      <x:c r="K3643" s="73" t="n">
        <x:f>MAX(K3642,F3643)</x:f>
        <x:v>1.1078</x:v>
      </x:c>
      <x:c r="L3643" s="74" t="n">
        <x:f>1-F3643/K3643</x:f>
        <x:v>0.008304748149485341</x:v>
      </x:c>
      <x:c r="M3643" s="73" t="str">
        <x:f>""</x:f>
      </x:c>
      <x:c r="N3643" s="74" t="str">
        <x:f>""</x:f>
      </x:c>
    </x:row>
    <x:row r="3644" ht="27" customHeight="1">
      <x:c r="A3644" s="66" t="str">
        <x:v>SXT086</x:v>
      </x:c>
      <x:c r="B3644" s="66" t="str">
        <x:v>系数CTA套利五号</x:v>
      </x:c>
      <x:c r="C3644" s="72" t="n">
        <x:v>45324</x:v>
      </x:c>
      <x:c r="D3644" s="73" t="n">
        <x:v>1.1055</x:v>
      </x:c>
      <x:c r="E3644" s="73" t="n">
        <x:v>1.1055</x:v>
      </x:c>
      <x:c r="F3644" s="73" t="n">
        <x:v>1.1055</x:v>
      </x:c>
      <x:c r="G3644" s="74" t="n">
        <x:v>0.0063</x:v>
      </x:c>
      <x:c r="H3644" s="66" t="str">
        <x:v>系数CTA套利五号净值20260911.xlsx</x:v>
      </x:c>
      <x:c r="I3644" s="73" t="str">
        <x:f>""</x:f>
      </x:c>
      <x:c r="J3644" s="74" t="str">
        <x:f>""</x:f>
      </x:c>
      <x:c r="K3644" s="73" t="n">
        <x:f>MAX(K3643,F3644)</x:f>
        <x:v>1.1078</x:v>
      </x:c>
      <x:c r="L3644" s="74" t="n">
        <x:f>1-F3644/K3644</x:f>
        <x:v>0.0020761870373713354</x:v>
      </x:c>
      <x:c r="M3644" s="73" t="str">
        <x:f>""</x:f>
      </x:c>
      <x:c r="N3644" s="74" t="str">
        <x:f>""</x:f>
      </x:c>
    </x:row>
    <x:row r="3645" ht="27" customHeight="1">
      <x:c r="A3645" s="66" t="str">
        <x:v>SXT086</x:v>
      </x:c>
      <x:c r="B3645" s="66" t="str">
        <x:v>系数CTA套利五号</x:v>
      </x:c>
      <x:c r="C3645" s="72" t="n">
        <x:v>45330</x:v>
      </x:c>
      <x:c r="D3645" s="73" t="n">
        <x:v>1.0945</x:v>
      </x:c>
      <x:c r="E3645" s="73" t="n">
        <x:v>1.0945</x:v>
      </x:c>
      <x:c r="F3645" s="73" t="n">
        <x:v>1.0945</x:v>
      </x:c>
      <x:c r="G3645" s="74" t="n">
        <x:v>-0.01</x:v>
      </x:c>
      <x:c r="H3645" s="66" t="str">
        <x:v>系数CTA套利五号净值20260911.xlsx</x:v>
      </x:c>
      <x:c r="I3645" s="73" t="str">
        <x:f>""</x:f>
      </x:c>
      <x:c r="J3645" s="74" t="str">
        <x:f>""</x:f>
      </x:c>
      <x:c r="K3645" s="73" t="n">
        <x:f>MAX(K3644,F3645)</x:f>
        <x:v>1.1078</x:v>
      </x:c>
      <x:c r="L3645" s="74" t="n">
        <x:f>1-F3645/K3645</x:f>
        <x:v>0.012005777216103852</x:v>
      </x:c>
      <x:c r="M3645" s="73" t="str">
        <x:f>""</x:f>
      </x:c>
      <x:c r="N3645" s="74" t="str">
        <x:f>""</x:f>
      </x:c>
    </x:row>
    <x:row r="3646" ht="27" customHeight="1">
      <x:c r="A3646" s="66" t="str">
        <x:v>SXT086</x:v>
      </x:c>
      <x:c r="B3646" s="66" t="str">
        <x:v>系数CTA套利五号</x:v>
      </x:c>
      <x:c r="C3646" s="72" t="n">
        <x:v>45345</x:v>
      </x:c>
      <x:c r="D3646" s="73" t="n">
        <x:v>1.0973</x:v>
      </x:c>
      <x:c r="E3646" s="73" t="n">
        <x:v>1.0973</x:v>
      </x:c>
      <x:c r="F3646" s="73" t="n">
        <x:v>1.0973</x:v>
      </x:c>
      <x:c r="G3646" s="74" t="n">
        <x:v>0.0026</x:v>
      </x:c>
      <x:c r="H3646" s="66" t="str">
        <x:v>系数CTA套利五号净值20260911.xlsx</x:v>
      </x:c>
      <x:c r="I3646" s="73" t="str">
        <x:f>""</x:f>
      </x:c>
      <x:c r="J3646" s="74" t="str">
        <x:f>""</x:f>
      </x:c>
      <x:c r="K3646" s="73" t="n">
        <x:f>MAX(K3645,F3646)</x:f>
        <x:v>1.1078</x:v>
      </x:c>
      <x:c r="L3646" s="74" t="n">
        <x:f>1-F3646/K3646</x:f>
        <x:v>0.009478245170608357</x:v>
      </x:c>
      <x:c r="M3646" s="73" t="str">
        <x:f>""</x:f>
      </x:c>
      <x:c r="N3646" s="74" t="str">
        <x:f>""</x:f>
      </x:c>
    </x:row>
    <x:row r="3647" ht="27" customHeight="1">
      <x:c r="A3647" s="66" t="str">
        <x:v>SXT086</x:v>
      </x:c>
      <x:c r="B3647" s="66" t="str">
        <x:v>系数CTA套利五号</x:v>
      </x:c>
      <x:c r="C3647" s="72" t="n">
        <x:v>45352</x:v>
      </x:c>
      <x:c r="D3647" s="73" t="n">
        <x:v>1.1116</x:v>
      </x:c>
      <x:c r="E3647" s="73" t="n">
        <x:v>1.1116</x:v>
      </x:c>
      <x:c r="F3647" s="73" t="n">
        <x:v>1.1116</x:v>
      </x:c>
      <x:c r="G3647" s="74" t="n">
        <x:v>0.013000000000000001</x:v>
      </x:c>
      <x:c r="H3647" s="66" t="str">
        <x:v>系数CTA套利五号净值20260911.xlsx</x:v>
      </x:c>
      <x:c r="I3647" s="73" t="str">
        <x:f>""</x:f>
      </x:c>
      <x:c r="J3647" s="74" t="str">
        <x:f>""</x:f>
      </x:c>
      <x:c r="K3647" s="73" t="n">
        <x:f>MAX(K3646,F3647)</x:f>
        <x:v>1.1116</x:v>
      </x:c>
      <x:c r="L3647" s="74" t="n">
        <x:f>1-F3647/K3647</x:f>
        <x:v>0</x:v>
      </x:c>
      <x:c r="M3647" s="73" t="str">
        <x:f>""</x:f>
      </x:c>
      <x:c r="N3647" s="74" t="str">
        <x:f>""</x:f>
      </x:c>
    </x:row>
    <x:row r="3648" ht="27" customHeight="1">
      <x:c r="A3648" s="66" t="str">
        <x:v>SXT086</x:v>
      </x:c>
      <x:c r="B3648" s="66" t="str">
        <x:v>系数CTA套利五号</x:v>
      </x:c>
      <x:c r="C3648" s="72" t="n">
        <x:v>45359</x:v>
      </x:c>
      <x:c r="D3648" s="73" t="n">
        <x:v>1.1068</x:v>
      </x:c>
      <x:c r="E3648" s="73" t="n">
        <x:v>1.1068</x:v>
      </x:c>
      <x:c r="F3648" s="73" t="n">
        <x:v>1.1068</x:v>
      </x:c>
      <x:c r="G3648" s="74" t="n">
        <x:v>-0.0043</x:v>
      </x:c>
      <x:c r="H3648" s="66" t="str">
        <x:v>系数CTA套利五号净值20260911.xlsx</x:v>
      </x:c>
      <x:c r="I3648" s="73" t="str">
        <x:f>""</x:f>
      </x:c>
      <x:c r="J3648" s="74" t="str">
        <x:f>""</x:f>
      </x:c>
      <x:c r="K3648" s="73" t="n">
        <x:f>MAX(K3647,F3648)</x:f>
        <x:v>1.1116</x:v>
      </x:c>
      <x:c r="L3648" s="74" t="n">
        <x:f>1-F3648/K3648</x:f>
        <x:v>0.004318100035984096</x:v>
      </x:c>
      <x:c r="M3648" s="73" t="str">
        <x:f>""</x:f>
      </x:c>
      <x:c r="N3648" s="74" t="str">
        <x:f>""</x:f>
      </x:c>
    </x:row>
    <x:row r="3649" ht="27" customHeight="1">
      <x:c r="A3649" s="66" t="str">
        <x:v>SXT086</x:v>
      </x:c>
      <x:c r="B3649" s="66" t="str">
        <x:v>系数CTA套利五号</x:v>
      </x:c>
      <x:c r="C3649" s="72" t="n">
        <x:v>45366</x:v>
      </x:c>
      <x:c r="D3649" s="73" t="n">
        <x:v>1.1021</x:v>
      </x:c>
      <x:c r="E3649" s="73" t="n">
        <x:v>1.1021</x:v>
      </x:c>
      <x:c r="F3649" s="73" t="n">
        <x:v>1.1021</x:v>
      </x:c>
      <x:c r="G3649" s="74" t="n">
        <x:v>-0.0042</x:v>
      </x:c>
      <x:c r="H3649" s="66" t="str">
        <x:v>系数CTA套利五号净值20260911.xlsx</x:v>
      </x:c>
      <x:c r="I3649" s="73" t="str">
        <x:f>""</x:f>
      </x:c>
      <x:c r="J3649" s="74" t="str">
        <x:f>""</x:f>
      </x:c>
      <x:c r="K3649" s="73" t="n">
        <x:f>MAX(K3648,F3649)</x:f>
        <x:v>1.1116</x:v>
      </x:c>
      <x:c r="L3649" s="74" t="n">
        <x:f>1-F3649/K3649</x:f>
        <x:v>0.008546239654551813</x:v>
      </x:c>
      <x:c r="M3649" s="73" t="str">
        <x:f>""</x:f>
      </x:c>
      <x:c r="N3649" s="74" t="str">
        <x:f>""</x:f>
      </x:c>
    </x:row>
    <x:row r="3650" ht="27" customHeight="1">
      <x:c r="A3650" s="66" t="str">
        <x:v>SXT086</x:v>
      </x:c>
      <x:c r="B3650" s="66" t="str">
        <x:v>系数CTA套利五号</x:v>
      </x:c>
      <x:c r="C3650" s="72" t="n">
        <x:v>45373</x:v>
      </x:c>
      <x:c r="D3650" s="73" t="n">
        <x:v>1.1076</x:v>
      </x:c>
      <x:c r="E3650" s="73" t="n">
        <x:v>1.1076</x:v>
      </x:c>
      <x:c r="F3650" s="73" t="n">
        <x:v>1.1076</x:v>
      </x:c>
      <x:c r="G3650" s="74" t="n">
        <x:v>0.005</x:v>
      </x:c>
      <x:c r="H3650" s="66" t="str">
        <x:v>系数CTA套利五号净值20260911.xlsx</x:v>
      </x:c>
      <x:c r="I3650" s="73" t="str">
        <x:f>""</x:f>
      </x:c>
      <x:c r="J3650" s="74" t="str">
        <x:f>""</x:f>
      </x:c>
      <x:c r="K3650" s="73" t="n">
        <x:f>MAX(K3649,F3650)</x:f>
        <x:v>1.1116</x:v>
      </x:c>
      <x:c r="L3650" s="74" t="n">
        <x:f>1-F3650/K3650</x:f>
        <x:v>0.003598416696653506</x:v>
      </x:c>
      <x:c r="M3650" s="73" t="str">
        <x:f>""</x:f>
      </x:c>
      <x:c r="N3650" s="74" t="str">
        <x:f>""</x:f>
      </x:c>
    </x:row>
    <x:row r="3651" ht="27" customHeight="1">
      <x:c r="A3651" s="66" t="str">
        <x:v>SXT086</x:v>
      </x:c>
      <x:c r="B3651" s="66" t="str">
        <x:v>系数CTA套利五号</x:v>
      </x:c>
      <x:c r="C3651" s="72" t="n">
        <x:v>45380</x:v>
      </x:c>
      <x:c r="D3651" s="73" t="n">
        <x:v>1.0887</x:v>
      </x:c>
      <x:c r="E3651" s="73" t="n">
        <x:v>1.0887</x:v>
      </x:c>
      <x:c r="F3651" s="73" t="n">
        <x:v>1.0887</x:v>
      </x:c>
      <x:c r="G3651" s="74" t="n">
        <x:v>-0.0171</x:v>
      </x:c>
      <x:c r="H3651" s="66" t="str">
        <x:v>系数CTA套利五号净值20260911.xlsx</x:v>
      </x:c>
      <x:c r="I3651" s="73" t="str">
        <x:f>""</x:f>
      </x:c>
      <x:c r="J3651" s="74" t="str">
        <x:f>""</x:f>
      </x:c>
      <x:c r="K3651" s="73" t="n">
        <x:f>MAX(K3650,F3651)</x:f>
        <x:v>1.1116</x:v>
      </x:c>
      <x:c r="L3651" s="74" t="n">
        <x:f>1-F3651/K3651</x:f>
        <x:v>0.020600935588341085</x:v>
      </x:c>
      <x:c r="M3651" s="73" t="str">
        <x:f>""</x:f>
      </x:c>
      <x:c r="N3651" s="74" t="str">
        <x:f>""</x:f>
      </x:c>
    </x:row>
    <x:row r="3652" ht="27" customHeight="1">
      <x:c r="A3652" s="66" t="str">
        <x:v>SXT086</x:v>
      </x:c>
      <x:c r="B3652" s="66" t="str">
        <x:v>系数CTA套利五号</x:v>
      </x:c>
      <x:c r="C3652" s="72" t="n">
        <x:v>45385</x:v>
      </x:c>
      <x:c r="D3652" s="73" t="n">
        <x:v>1.087</x:v>
      </x:c>
      <x:c r="E3652" s="73" t="n">
        <x:v>1.087</x:v>
      </x:c>
      <x:c r="F3652" s="73" t="n">
        <x:v>1.087</x:v>
      </x:c>
      <x:c r="G3652" s="74" t="n">
        <x:v>-0.0016</x:v>
      </x:c>
      <x:c r="H3652" s="66" t="str">
        <x:v>系数CTA套利五号净值20260911.xlsx</x:v>
      </x:c>
      <x:c r="I3652" s="73" t="str">
        <x:f>""</x:f>
      </x:c>
      <x:c r="J3652" s="74" t="str">
        <x:f>""</x:f>
      </x:c>
      <x:c r="K3652" s="73" t="n">
        <x:f>MAX(K3651,F3652)</x:f>
        <x:v>1.1116</x:v>
      </x:c>
      <x:c r="L3652" s="74" t="n">
        <x:f>1-F3652/K3652</x:f>
        <x:v>0.022130262684418867</x:v>
      </x:c>
      <x:c r="M3652" s="73" t="str">
        <x:f>""</x:f>
      </x:c>
      <x:c r="N3652" s="74" t="str">
        <x:f>""</x:f>
      </x:c>
    </x:row>
    <x:row r="3653" ht="27" customHeight="1">
      <x:c r="A3653" s="66" t="str">
        <x:v>SXT086</x:v>
      </x:c>
      <x:c r="B3653" s="66" t="str">
        <x:v>系数CTA套利五号</x:v>
      </x:c>
      <x:c r="C3653" s="72" t="n">
        <x:v>45394</x:v>
      </x:c>
      <x:c r="D3653" s="73" t="n">
        <x:v>1.0822</x:v>
      </x:c>
      <x:c r="E3653" s="73" t="n">
        <x:v>1.0822</x:v>
      </x:c>
      <x:c r="F3653" s="73" t="n">
        <x:v>1.0822</x:v>
      </x:c>
      <x:c r="G3653" s="74" t="n">
        <x:v>-0.0044</x:v>
      </x:c>
      <x:c r="H3653" s="66" t="str">
        <x:v>系数CTA套利五号净值20260911.xlsx</x:v>
      </x:c>
      <x:c r="I3653" s="73" t="str">
        <x:f>""</x:f>
      </x:c>
      <x:c r="J3653" s="74" t="str">
        <x:f>""</x:f>
      </x:c>
      <x:c r="K3653" s="73" t="n">
        <x:f>MAX(K3652,F3653)</x:f>
        <x:v>1.1116</x:v>
      </x:c>
      <x:c r="L3653" s="74" t="n">
        <x:f>1-F3653/K3653</x:f>
        <x:v>0.026448362720402963</x:v>
      </x:c>
      <x:c r="M3653" s="73" t="str">
        <x:f>""</x:f>
      </x:c>
      <x:c r="N3653" s="74" t="str">
        <x:f>""</x:f>
      </x:c>
    </x:row>
    <x:row r="3654" ht="27" customHeight="1">
      <x:c r="A3654" s="66" t="str">
        <x:v>SXT086</x:v>
      </x:c>
      <x:c r="B3654" s="66" t="str">
        <x:v>系数CTA套利五号</x:v>
      </x:c>
      <x:c r="C3654" s="72" t="n">
        <x:v>45401</x:v>
      </x:c>
      <x:c r="D3654" s="73" t="n">
        <x:v>1.0787</x:v>
      </x:c>
      <x:c r="E3654" s="73" t="n">
        <x:v>1.0787</x:v>
      </x:c>
      <x:c r="F3654" s="73" t="n">
        <x:v>1.0787</x:v>
      </x:c>
      <x:c r="G3654" s="74" t="n">
        <x:v>-0.0032</x:v>
      </x:c>
      <x:c r="H3654" s="66" t="str">
        <x:v>系数CTA套利五号净值20260911.xlsx</x:v>
      </x:c>
      <x:c r="I3654" s="73" t="str">
        <x:f>""</x:f>
      </x:c>
      <x:c r="J3654" s="74" t="str">
        <x:f>""</x:f>
      </x:c>
      <x:c r="K3654" s="73" t="n">
        <x:f>MAX(K3653,F3654)</x:f>
        <x:v>1.1116</x:v>
      </x:c>
      <x:c r="L3654" s="74" t="n">
        <x:f>1-F3654/K3654</x:f>
        <x:v>0.029596977329974794</x:v>
      </x:c>
      <x:c r="M3654" s="73" t="str">
        <x:f>""</x:f>
      </x:c>
      <x:c r="N3654" s="74" t="str">
        <x:f>""</x:f>
      </x:c>
    </x:row>
    <x:row r="3655" ht="27" customHeight="1">
      <x:c r="A3655" s="66" t="str">
        <x:v>SXT086</x:v>
      </x:c>
      <x:c r="B3655" s="66" t="str">
        <x:v>系数CTA套利五号</x:v>
      </x:c>
      <x:c r="C3655" s="72" t="n">
        <x:v>45408</x:v>
      </x:c>
      <x:c r="D3655" s="73" t="n">
        <x:v>1.0797</x:v>
      </x:c>
      <x:c r="E3655" s="73" t="n">
        <x:v>1.0797</x:v>
      </x:c>
      <x:c r="F3655" s="73" t="n">
        <x:v>1.0797</x:v>
      </x:c>
      <x:c r="G3655" s="74" t="n">
        <x:v>0.0009</x:v>
      </x:c>
      <x:c r="H3655" s="66" t="str">
        <x:v>系数CTA套利五号净值20260911.xlsx</x:v>
      </x:c>
      <x:c r="I3655" s="73" t="str">
        <x:f>""</x:f>
      </x:c>
      <x:c r="J3655" s="74" t="str">
        <x:f>""</x:f>
      </x:c>
      <x:c r="K3655" s="73" t="n">
        <x:f>MAX(K3654,F3655)</x:f>
        <x:v>1.1116</x:v>
      </x:c>
      <x:c r="L3655" s="74" t="n">
        <x:f>1-F3655/K3655</x:f>
        <x:v>0.028697373155811334</x:v>
      </x:c>
      <x:c r="M3655" s="73" t="str">
        <x:f>""</x:f>
      </x:c>
      <x:c r="N3655" s="74" t="str">
        <x:f>""</x:f>
      </x:c>
    </x:row>
    <x:row r="3656" ht="27" customHeight="1">
      <x:c r="A3656" s="66" t="str">
        <x:v>SXT086</x:v>
      </x:c>
      <x:c r="B3656" s="66" t="str">
        <x:v>系数CTA套利五号</x:v>
      </x:c>
      <x:c r="C3656" s="72" t="n">
        <x:v>45412</x:v>
      </x:c>
      <x:c r="D3656" s="73" t="n">
        <x:v>1.0871</x:v>
      </x:c>
      <x:c r="E3656" s="73" t="n">
        <x:v>1.0871</x:v>
      </x:c>
      <x:c r="F3656" s="73" t="n">
        <x:v>1.0871</x:v>
      </x:c>
      <x:c r="G3656" s="74" t="n">
        <x:v>0.0069</x:v>
      </x:c>
      <x:c r="H3656" s="66" t="str">
        <x:v>系数CTA套利五号净值20260911.xlsx</x:v>
      </x:c>
      <x:c r="I3656" s="73" t="str">
        <x:f>""</x:f>
      </x:c>
      <x:c r="J3656" s="74" t="str">
        <x:f>""</x:f>
      </x:c>
      <x:c r="K3656" s="73" t="n">
        <x:f>MAX(K3655,F3656)</x:f>
        <x:v>1.1116</x:v>
      </x:c>
      <x:c r="L3656" s="74" t="n">
        <x:f>1-F3656/K3656</x:f>
        <x:v>0.022040302267002487</x:v>
      </x:c>
      <x:c r="M3656" s="73" t="str">
        <x:f>""</x:f>
      </x:c>
      <x:c r="N3656" s="74" t="str">
        <x:f>""</x:f>
      </x:c>
    </x:row>
    <x:row r="3657" ht="27" customHeight="1">
      <x:c r="A3657" s="66" t="str">
        <x:v>SXT086</x:v>
      </x:c>
      <x:c r="B3657" s="66" t="str">
        <x:v>系数CTA套利五号</x:v>
      </x:c>
      <x:c r="C3657" s="72" t="n">
        <x:v>45422</x:v>
      </x:c>
      <x:c r="D3657" s="73" t="n">
        <x:v>1.0861</x:v>
      </x:c>
      <x:c r="E3657" s="73" t="n">
        <x:v>1.0861</x:v>
      </x:c>
      <x:c r="F3657" s="73" t="n">
        <x:v>1.0861</x:v>
      </x:c>
      <x:c r="G3657" s="74" t="n">
        <x:v>-0.0009</x:v>
      </x:c>
      <x:c r="H3657" s="66" t="str">
        <x:v>系数CTA套利五号净值20260911.xlsx</x:v>
      </x:c>
      <x:c r="I3657" s="73" t="str">
        <x:f>""</x:f>
      </x:c>
      <x:c r="J3657" s="74" t="str">
        <x:f>""</x:f>
      </x:c>
      <x:c r="K3657" s="73" t="n">
        <x:f>MAX(K3656,F3657)</x:f>
        <x:v>1.1116</x:v>
      </x:c>
      <x:c r="L3657" s="74" t="n">
        <x:f>1-F3657/K3657</x:f>
        <x:v>0.022939906441165725</x:v>
      </x:c>
      <x:c r="M3657" s="73" t="str">
        <x:f>""</x:f>
      </x:c>
      <x:c r="N3657" s="74" t="str">
        <x:f>""</x:f>
      </x:c>
    </x:row>
    <x:row r="3658" ht="27" customHeight="1">
      <x:c r="A3658" s="66" t="str">
        <x:v>SXT086</x:v>
      </x:c>
      <x:c r="B3658" s="66" t="str">
        <x:v>系数CTA套利五号</x:v>
      </x:c>
      <x:c r="C3658" s="72" t="n">
        <x:v>45429</x:v>
      </x:c>
      <x:c r="D3658" s="73" t="n">
        <x:v>1.0716</x:v>
      </x:c>
      <x:c r="E3658" s="73" t="n">
        <x:v>1.0716</x:v>
      </x:c>
      <x:c r="F3658" s="73" t="n">
        <x:v>1.0716</x:v>
      </x:c>
      <x:c r="G3658" s="74" t="n">
        <x:v>-0.0134</x:v>
      </x:c>
      <x:c r="H3658" s="66" t="str">
        <x:v>系数CTA套利五号净值20260911.xlsx</x:v>
      </x:c>
      <x:c r="I3658" s="73" t="str">
        <x:f>""</x:f>
      </x:c>
      <x:c r="J3658" s="74" t="str">
        <x:f>""</x:f>
      </x:c>
      <x:c r="K3658" s="73" t="n">
        <x:f>MAX(K3657,F3658)</x:f>
        <x:v>1.1116</x:v>
      </x:c>
      <x:c r="L3658" s="74" t="n">
        <x:f>1-F3658/K3658</x:f>
        <x:v>0.035984166966534614</x:v>
      </x:c>
      <x:c r="M3658" s="73" t="str">
        <x:f>""</x:f>
      </x:c>
      <x:c r="N3658" s="74" t="str">
        <x:f>""</x:f>
      </x:c>
    </x:row>
    <x:row r="3659" ht="27" customHeight="1">
      <x:c r="A3659" s="66" t="str">
        <x:v>SXT086</x:v>
      </x:c>
      <x:c r="B3659" s="66" t="str">
        <x:v>系数CTA套利五号</x:v>
      </x:c>
      <x:c r="C3659" s="72" t="n">
        <x:v>45436</x:v>
      </x:c>
      <x:c r="D3659" s="73" t="n">
        <x:v>1.0672</x:v>
      </x:c>
      <x:c r="E3659" s="73" t="n">
        <x:v>1.0672</x:v>
      </x:c>
      <x:c r="F3659" s="73" t="n">
        <x:v>1.0672</x:v>
      </x:c>
      <x:c r="G3659" s="74" t="n">
        <x:v>-0.0040999999999999995</x:v>
      </x:c>
      <x:c r="H3659" s="66" t="str">
        <x:v>系数CTA套利五号净值20260911.xlsx</x:v>
      </x:c>
      <x:c r="I3659" s="73" t="str">
        <x:f>""</x:f>
      </x:c>
      <x:c r="J3659" s="74" t="str">
        <x:f>""</x:f>
      </x:c>
      <x:c r="K3659" s="73" t="n">
        <x:f>MAX(K3658,F3659)</x:f>
        <x:v>1.1116</x:v>
      </x:c>
      <x:c r="L3659" s="74" t="n">
        <x:f>1-F3659/K3659</x:f>
        <x:v>0.039942425332853526</x:v>
      </x:c>
      <x:c r="M3659" s="73" t="str">
        <x:f>""</x:f>
      </x:c>
      <x:c r="N3659" s="74" t="str">
        <x:f>""</x:f>
      </x:c>
    </x:row>
    <x:row r="3660" ht="27" customHeight="1">
      <x:c r="A3660" s="66" t="str">
        <x:v>SXT086</x:v>
      </x:c>
      <x:c r="B3660" s="66" t="str">
        <x:v>系数CTA套利五号</x:v>
      </x:c>
      <x:c r="C3660" s="72" t="n">
        <x:v>45443</x:v>
      </x:c>
      <x:c r="D3660" s="73" t="n">
        <x:v>1.069</x:v>
      </x:c>
      <x:c r="E3660" s="73" t="n">
        <x:v>1.069</x:v>
      </x:c>
      <x:c r="F3660" s="73" t="n">
        <x:v>1.069</x:v>
      </x:c>
      <x:c r="G3660" s="74" t="n">
        <x:v>0.0017000000000000001</x:v>
      </x:c>
      <x:c r="H3660" s="66" t="str">
        <x:v>系数CTA套利五号净值20260911.xlsx</x:v>
      </x:c>
      <x:c r="I3660" s="73" t="str">
        <x:f>""</x:f>
      </x:c>
      <x:c r="J3660" s="74" t="str">
        <x:f>""</x:f>
      </x:c>
      <x:c r="K3660" s="73" t="n">
        <x:f>MAX(K3659,F3660)</x:f>
        <x:v>1.1116</x:v>
      </x:c>
      <x:c r="L3660" s="74" t="n">
        <x:f>1-F3660/K3660</x:f>
        <x:v>0.038323137819359476</x:v>
      </x:c>
      <x:c r="M3660" s="73" t="str">
        <x:f>""</x:f>
      </x:c>
      <x:c r="N3660" s="74" t="str">
        <x:f>""</x:f>
      </x:c>
    </x:row>
    <x:row r="3661" ht="27" customHeight="1">
      <x:c r="A3661" s="66" t="str">
        <x:v>SXT086</x:v>
      </x:c>
      <x:c r="B3661" s="66" t="str">
        <x:v>系数CTA套利五号</x:v>
      </x:c>
      <x:c r="C3661" s="72" t="n">
        <x:v>45450</x:v>
      </x:c>
      <x:c r="D3661" s="73" t="n">
        <x:v>1.079</x:v>
      </x:c>
      <x:c r="E3661" s="73" t="n">
        <x:v>1.079</x:v>
      </x:c>
      <x:c r="F3661" s="73" t="n">
        <x:v>1.079</x:v>
      </x:c>
      <x:c r="G3661" s="74" t="n">
        <x:v>0.009399999999999999</x:v>
      </x:c>
      <x:c r="H3661" s="66" t="str">
        <x:v>系数CTA套利五号净值20260911.xlsx</x:v>
      </x:c>
      <x:c r="I3661" s="73" t="str">
        <x:f>""</x:f>
      </x:c>
      <x:c r="J3661" s="74" t="str">
        <x:f>""</x:f>
      </x:c>
      <x:c r="K3661" s="73" t="n">
        <x:f>MAX(K3660,F3661)</x:f>
        <x:v>1.1116</x:v>
      </x:c>
      <x:c r="L3661" s="74" t="n">
        <x:f>1-F3661/K3661</x:f>
        <x:v>0.029327096077725767</x:v>
      </x:c>
      <x:c r="M3661" s="73" t="str">
        <x:f>""</x:f>
      </x:c>
      <x:c r="N3661" s="74" t="str">
        <x:f>""</x:f>
      </x:c>
    </x:row>
    <x:row r="3662" ht="27" customHeight="1">
      <x:c r="A3662" s="66" t="str">
        <x:v>SXT086</x:v>
      </x:c>
      <x:c r="B3662" s="66" t="str">
        <x:v>系数CTA套利五号</x:v>
      </x:c>
      <x:c r="C3662" s="72" t="n">
        <x:v>45457</x:v>
      </x:c>
      <x:c r="D3662" s="73" t="n">
        <x:v>1.0801</x:v>
      </x:c>
      <x:c r="E3662" s="73" t="n">
        <x:v>1.0801</x:v>
      </x:c>
      <x:c r="F3662" s="73" t="n">
        <x:v>1.0801</x:v>
      </x:c>
      <x:c r="G3662" s="74" t="n">
        <x:v>0.001</x:v>
      </x:c>
      <x:c r="H3662" s="66" t="str">
        <x:v>系数CTA套利五号净值20260911.xlsx</x:v>
      </x:c>
      <x:c r="I3662" s="73" t="str">
        <x:f>""</x:f>
      </x:c>
      <x:c r="J3662" s="74" t="str">
        <x:f>""</x:f>
      </x:c>
      <x:c r="K3662" s="73" t="n">
        <x:f>MAX(K3661,F3662)</x:f>
        <x:v>1.1116</x:v>
      </x:c>
      <x:c r="L3662" s="74" t="n">
        <x:f>1-F3662/K3662</x:f>
        <x:v>0.028337531486145928</x:v>
      </x:c>
      <x:c r="M3662" s="73" t="str">
        <x:f>""</x:f>
      </x:c>
      <x:c r="N3662" s="74" t="str">
        <x:f>""</x:f>
      </x:c>
    </x:row>
    <x:row r="3663" ht="27" customHeight="1">
      <x:c r="A3663" s="66" t="str">
        <x:v>SXT086</x:v>
      </x:c>
      <x:c r="B3663" s="66" t="str">
        <x:v>系数CTA套利五号</x:v>
      </x:c>
      <x:c r="C3663" s="72" t="n">
        <x:v>45464</x:v>
      </x:c>
      <x:c r="D3663" s="73" t="n">
        <x:v>1.0867</x:v>
      </x:c>
      <x:c r="E3663" s="73" t="n">
        <x:v>1.0867</x:v>
      </x:c>
      <x:c r="F3663" s="73" t="n">
        <x:v>1.0867</x:v>
      </x:c>
      <x:c r="G3663" s="74" t="n">
        <x:v>0.0060999999999999995</x:v>
      </x:c>
      <x:c r="H3663" s="66" t="str">
        <x:v>系数CTA套利五号净值20260911.xlsx</x:v>
      </x:c>
      <x:c r="I3663" s="73" t="str">
        <x:f>""</x:f>
      </x:c>
      <x:c r="J3663" s="74" t="str">
        <x:f>""</x:f>
      </x:c>
      <x:c r="K3663" s="73" t="n">
        <x:f>MAX(K3662,F3663)</x:f>
        <x:v>1.1116</x:v>
      </x:c>
      <x:c r="L3663" s="74" t="n">
        <x:f>1-F3663/K3663</x:f>
        <x:v>0.022400143936667782</x:v>
      </x:c>
      <x:c r="M3663" s="73" t="str">
        <x:f>""</x:f>
      </x:c>
      <x:c r="N3663" s="74" t="str">
        <x:f>""</x:f>
      </x:c>
    </x:row>
    <x:row r="3664" ht="27" customHeight="1">
      <x:c r="A3664" s="66" t="str">
        <x:v>SXT086</x:v>
      </x:c>
      <x:c r="B3664" s="66" t="str">
        <x:v>系数CTA套利五号</x:v>
      </x:c>
      <x:c r="C3664" s="72" t="n">
        <x:v>45471</x:v>
      </x:c>
      <x:c r="D3664" s="73" t="n">
        <x:v>1.0927</x:v>
      </x:c>
      <x:c r="E3664" s="73" t="n">
        <x:v>1.0927</x:v>
      </x:c>
      <x:c r="F3664" s="73" t="n">
        <x:v>1.0927</x:v>
      </x:c>
      <x:c r="G3664" s="74" t="n">
        <x:v>0.0055000000000000005</x:v>
      </x:c>
      <x:c r="H3664" s="66" t="str">
        <x:v>系数CTA套利五号净值20260911.xlsx</x:v>
      </x:c>
      <x:c r="I3664" s="73" t="str">
        <x:f>""</x:f>
      </x:c>
      <x:c r="J3664" s="74" t="str">
        <x:f>""</x:f>
      </x:c>
      <x:c r="K3664" s="73" t="n">
        <x:f>MAX(K3663,F3664)</x:f>
        <x:v>1.1116</x:v>
      </x:c>
      <x:c r="L3664" s="74" t="n">
        <x:f>1-F3664/K3664</x:f>
        <x:v>0.01700251889168758</x:v>
      </x:c>
      <x:c r="M3664" s="73" t="str">
        <x:f>""</x:f>
      </x:c>
      <x:c r="N3664" s="74" t="str">
        <x:f>""</x:f>
      </x:c>
    </x:row>
    <x:row r="3665" ht="27" customHeight="1">
      <x:c r="A3665" s="66" t="str">
        <x:v>SXT086</x:v>
      </x:c>
      <x:c r="B3665" s="66" t="str">
        <x:v>系数CTA套利五号</x:v>
      </x:c>
      <x:c r="C3665" s="72" t="n">
        <x:v>45478</x:v>
      </x:c>
      <x:c r="D3665" s="73" t="n">
        <x:v>1.0934</x:v>
      </x:c>
      <x:c r="E3665" s="73" t="n">
        <x:v>1.0934</x:v>
      </x:c>
      <x:c r="F3665" s="73" t="n">
        <x:v>1.0934</x:v>
      </x:c>
      <x:c r="G3665" s="74" t="n">
        <x:v>0.0006</x:v>
      </x:c>
      <x:c r="H3665" s="66" t="str">
        <x:v>系数CTA套利五号净值20260911.xlsx</x:v>
      </x:c>
      <x:c r="I3665" s="73" t="str">
        <x:f>""</x:f>
      </x:c>
      <x:c r="J3665" s="74" t="str">
        <x:f>""</x:f>
      </x:c>
      <x:c r="K3665" s="73" t="n">
        <x:f>MAX(K3664,F3665)</x:f>
        <x:v>1.1116</x:v>
      </x:c>
      <x:c r="L3665" s="74" t="n">
        <x:f>1-F3665/K3665</x:f>
        <x:v>0.016372795969773257</x:v>
      </x:c>
      <x:c r="M3665" s="73" t="str">
        <x:f>""</x:f>
      </x:c>
      <x:c r="N3665" s="74" t="str">
        <x:f>""</x:f>
      </x:c>
    </x:row>
    <x:row r="3666" ht="27" customHeight="1">
      <x:c r="A3666" s="66" t="str">
        <x:v>SXT086</x:v>
      </x:c>
      <x:c r="B3666" s="66" t="str">
        <x:v>系数CTA套利五号</x:v>
      </x:c>
      <x:c r="C3666" s="72" t="n">
        <x:v>45485</x:v>
      </x:c>
      <x:c r="D3666" s="73" t="n">
        <x:v>1.1067</x:v>
      </x:c>
      <x:c r="E3666" s="73" t="n">
        <x:v>1.1067</x:v>
      </x:c>
      <x:c r="F3666" s="73" t="n">
        <x:v>1.1067</x:v>
      </x:c>
      <x:c r="G3666" s="74" t="n">
        <x:v>0.012199999999999999</x:v>
      </x:c>
      <x:c r="H3666" s="66" t="str">
        <x:v>系数CTA套利五号净值20260911.xlsx</x:v>
      </x:c>
      <x:c r="I3666" s="73" t="str">
        <x:f>""</x:f>
      </x:c>
      <x:c r="J3666" s="74" t="str">
        <x:f>""</x:f>
      </x:c>
      <x:c r="K3666" s="73" t="n">
        <x:f>MAX(K3665,F3666)</x:f>
        <x:v>1.1116</x:v>
      </x:c>
      <x:c r="L3666" s="74" t="n">
        <x:f>1-F3666/K3666</x:f>
        <x:v>0.004408060453400364</x:v>
      </x:c>
      <x:c r="M3666" s="73" t="str">
        <x:f>""</x:f>
      </x:c>
      <x:c r="N3666" s="74" t="str">
        <x:f>""</x:f>
      </x:c>
    </x:row>
    <x:row r="3667" ht="27" customHeight="1">
      <x:c r="A3667" s="66" t="str">
        <x:v>SXT086</x:v>
      </x:c>
      <x:c r="B3667" s="66" t="str">
        <x:v>系数CTA套利五号</x:v>
      </x:c>
      <x:c r="C3667" s="72" t="n">
        <x:v>45492</x:v>
      </x:c>
      <x:c r="D3667" s="73" t="n">
        <x:v>1.1115</x:v>
      </x:c>
      <x:c r="E3667" s="73" t="n">
        <x:v>1.1115</x:v>
      </x:c>
      <x:c r="F3667" s="73" t="n">
        <x:v>1.1115</x:v>
      </x:c>
      <x:c r="G3667" s="74" t="n">
        <x:v>0.0043</x:v>
      </x:c>
      <x:c r="H3667" s="66" t="str">
        <x:v>系数CTA套利五号净值20260911.xlsx</x:v>
      </x:c>
      <x:c r="I3667" s="73" t="str">
        <x:f>""</x:f>
      </x:c>
      <x:c r="J3667" s="74" t="str">
        <x:f>""</x:f>
      </x:c>
      <x:c r="K3667" s="73" t="n">
        <x:f>MAX(K3666,F3667)</x:f>
        <x:v>1.1116</x:v>
      </x:c>
      <x:c r="L3667" s="74" t="n">
        <x:f>1-F3667/K3667</x:f>
        <x:v>0.00008996041741637928</x:v>
      </x:c>
      <x:c r="M3667" s="73" t="str">
        <x:f>""</x:f>
      </x:c>
      <x:c r="N3667" s="74" t="str">
        <x:f>""</x:f>
      </x:c>
    </x:row>
    <x:row r="3668" ht="27" customHeight="1">
      <x:c r="A3668" s="66" t="str">
        <x:v>SXT086</x:v>
      </x:c>
      <x:c r="B3668" s="66" t="str">
        <x:v>系数CTA套利五号</x:v>
      </x:c>
      <x:c r="C3668" s="72" t="n">
        <x:v>45499</x:v>
      </x:c>
      <x:c r="D3668" s="73" t="n">
        <x:v>1.1222</x:v>
      </x:c>
      <x:c r="E3668" s="73" t="n">
        <x:v>1.1222</x:v>
      </x:c>
      <x:c r="F3668" s="73" t="n">
        <x:v>1.1222</x:v>
      </x:c>
      <x:c r="G3668" s="74" t="n">
        <x:v>0.0096</x:v>
      </x:c>
      <x:c r="H3668" s="66" t="str">
        <x:v>系数CTA套利五号净值20260911.xlsx</x:v>
      </x:c>
      <x:c r="I3668" s="73" t="str">
        <x:f>""</x:f>
      </x:c>
      <x:c r="J3668" s="74" t="str">
        <x:f>""</x:f>
      </x:c>
      <x:c r="K3668" s="73" t="n">
        <x:f>MAX(K3667,F3668)</x:f>
        <x:v>1.1222</x:v>
      </x:c>
      <x:c r="L3668" s="74" t="n">
        <x:f>1-F3668/K3668</x:f>
        <x:v>0</x:v>
      </x:c>
      <x:c r="M3668" s="73" t="str">
        <x:f>""</x:f>
      </x:c>
      <x:c r="N3668" s="74" t="str">
        <x:f>""</x:f>
      </x:c>
    </x:row>
    <x:row r="3669" ht="27" customHeight="1">
      <x:c r="A3669" s="66" t="str">
        <x:v>SXT086</x:v>
      </x:c>
      <x:c r="B3669" s="66" t="str">
        <x:v>系数CTA套利五号</x:v>
      </x:c>
      <x:c r="C3669" s="72" t="n">
        <x:v>45506</x:v>
      </x:c>
      <x:c r="D3669" s="73" t="n">
        <x:v>1.1256</x:v>
      </x:c>
      <x:c r="E3669" s="73" t="n">
        <x:v>1.1256</x:v>
      </x:c>
      <x:c r="F3669" s="73" t="n">
        <x:v>1.1256</x:v>
      </x:c>
      <x:c r="G3669" s="74" t="n">
        <x:v>0.003</x:v>
      </x:c>
      <x:c r="H3669" s="66" t="str">
        <x:v>系数CTA套利五号净值20260911.xlsx</x:v>
      </x:c>
      <x:c r="I3669" s="73" t="str">
        <x:f>""</x:f>
      </x:c>
      <x:c r="J3669" s="74" t="str">
        <x:f>""</x:f>
      </x:c>
      <x:c r="K3669" s="73" t="n">
        <x:f>MAX(K3668,F3669)</x:f>
        <x:v>1.1256</x:v>
      </x:c>
      <x:c r="L3669" s="74" t="n">
        <x:f>1-F3669/K3669</x:f>
        <x:v>0</x:v>
      </x:c>
      <x:c r="M3669" s="73" t="str">
        <x:f>""</x:f>
      </x:c>
      <x:c r="N3669" s="74" t="str">
        <x:f>""</x:f>
      </x:c>
    </x:row>
    <x:row r="3670" ht="27" customHeight="1">
      <x:c r="A3670" s="66" t="str">
        <x:v>SXT086</x:v>
      </x:c>
      <x:c r="B3670" s="66" t="str">
        <x:v>系数CTA套利五号</x:v>
      </x:c>
      <x:c r="C3670" s="72" t="n">
        <x:v>45513</x:v>
      </x:c>
      <x:c r="D3670" s="73" t="n">
        <x:v>1.1311</x:v>
      </x:c>
      <x:c r="E3670" s="73" t="n">
        <x:v>1.1311</x:v>
      </x:c>
      <x:c r="F3670" s="73" t="n">
        <x:v>1.1311</x:v>
      </x:c>
      <x:c r="G3670" s="74" t="n">
        <x:v>0.0049</x:v>
      </x:c>
      <x:c r="H3670" s="66" t="str">
        <x:v>系数CTA套利五号净值20260911.xlsx</x:v>
      </x:c>
      <x:c r="I3670" s="73" t="str">
        <x:f>""</x:f>
      </x:c>
      <x:c r="J3670" s="74" t="str">
        <x:f>""</x:f>
      </x:c>
      <x:c r="K3670" s="73" t="n">
        <x:f>MAX(K3669,F3670)</x:f>
        <x:v>1.1311</x:v>
      </x:c>
      <x:c r="L3670" s="74" t="n">
        <x:f>1-F3670/K3670</x:f>
        <x:v>0</x:v>
      </x:c>
      <x:c r="M3670" s="73" t="str">
        <x:f>""</x:f>
      </x:c>
      <x:c r="N3670" s="74" t="str">
        <x:f>""</x:f>
      </x:c>
    </x:row>
    <x:row r="3671" ht="27" customHeight="1">
      <x:c r="A3671" s="66" t="str">
        <x:v>SXT086</x:v>
      </x:c>
      <x:c r="B3671" s="66" t="str">
        <x:v>系数CTA套利五号</x:v>
      </x:c>
      <x:c r="C3671" s="72" t="n">
        <x:v>45520</x:v>
      </x:c>
      <x:c r="D3671" s="73" t="n">
        <x:v>1.1476</x:v>
      </x:c>
      <x:c r="E3671" s="73" t="n">
        <x:v>1.1476</x:v>
      </x:c>
      <x:c r="F3671" s="73" t="n">
        <x:v>1.1476</x:v>
      </x:c>
      <x:c r="G3671" s="74" t="n">
        <x:v>0.0146</x:v>
      </x:c>
      <x:c r="H3671" s="66" t="str">
        <x:v>系数CTA套利五号净值20260911.xlsx</x:v>
      </x:c>
      <x:c r="I3671" s="73" t="str">
        <x:f>""</x:f>
      </x:c>
      <x:c r="J3671" s="74" t="str">
        <x:f>""</x:f>
      </x:c>
      <x:c r="K3671" s="73" t="n">
        <x:f>MAX(K3670,F3671)</x:f>
        <x:v>1.1476</x:v>
      </x:c>
      <x:c r="L3671" s="74" t="n">
        <x:f>1-F3671/K3671</x:f>
        <x:v>0</x:v>
      </x:c>
      <x:c r="M3671" s="73" t="str">
        <x:f>""</x:f>
      </x:c>
      <x:c r="N3671" s="74" t="str">
        <x:f>""</x:f>
      </x:c>
    </x:row>
    <x:row r="3672" ht="27" customHeight="1">
      <x:c r="A3672" s="66" t="str">
        <x:v>SXT086</x:v>
      </x:c>
      <x:c r="B3672" s="66" t="str">
        <x:v>系数CTA套利五号</x:v>
      </x:c>
      <x:c r="C3672" s="72" t="n">
        <x:v>45527</x:v>
      </x:c>
      <x:c r="D3672" s="73" t="n">
        <x:v>1.1343</x:v>
      </x:c>
      <x:c r="E3672" s="73" t="n">
        <x:v>1.1343</x:v>
      </x:c>
      <x:c r="F3672" s="73" t="n">
        <x:v>1.1343</x:v>
      </x:c>
      <x:c r="G3672" s="74" t="n">
        <x:v>-0.0116</x:v>
      </x:c>
      <x:c r="H3672" s="66" t="str">
        <x:v>系数CTA套利五号净值20260911.xlsx</x:v>
      </x:c>
      <x:c r="I3672" s="73" t="str">
        <x:f>""</x:f>
      </x:c>
      <x:c r="J3672" s="74" t="str">
        <x:f>""</x:f>
      </x:c>
      <x:c r="K3672" s="73" t="n">
        <x:f>MAX(K3671,F3672)</x:f>
        <x:v>1.1476</x:v>
      </x:c>
      <x:c r="L3672" s="74" t="n">
        <x:f>1-F3672/K3672</x:f>
        <x:v>0.011589403973509826</x:v>
      </x:c>
      <x:c r="M3672" s="73" t="str">
        <x:f>""</x:f>
      </x:c>
      <x:c r="N3672" s="74" t="str">
        <x:f>""</x:f>
      </x:c>
    </x:row>
    <x:row r="3673" ht="27" customHeight="1">
      <x:c r="A3673" s="66" t="str">
        <x:v>SXT086</x:v>
      </x:c>
      <x:c r="B3673" s="66" t="str">
        <x:v>系数CTA套利五号</x:v>
      </x:c>
      <x:c r="C3673" s="72" t="n">
        <x:v>45534</x:v>
      </x:c>
      <x:c r="D3673" s="73" t="n">
        <x:v>1.1346</x:v>
      </x:c>
      <x:c r="E3673" s="73" t="n">
        <x:v>1.1346</x:v>
      </x:c>
      <x:c r="F3673" s="73" t="n">
        <x:v>1.1346</x:v>
      </x:c>
      <x:c r="G3673" s="74" t="n">
        <x:v>0.0003</x:v>
      </x:c>
      <x:c r="H3673" s="66" t="str">
        <x:v>系数CTA套利五号净值20260911.xlsx</x:v>
      </x:c>
      <x:c r="I3673" s="73" t="str">
        <x:f>""</x:f>
      </x:c>
      <x:c r="J3673" s="74" t="str">
        <x:f>""</x:f>
      </x:c>
      <x:c r="K3673" s="73" t="n">
        <x:f>MAX(K3672,F3673)</x:f>
        <x:v>1.1476</x:v>
      </x:c>
      <x:c r="L3673" s="74" t="n">
        <x:f>1-F3673/K3673</x:f>
        <x:v>0.011327988846287829</x:v>
      </x:c>
      <x:c r="M3673" s="73" t="str">
        <x:f>""</x:f>
      </x:c>
      <x:c r="N3673" s="74" t="str">
        <x:f>""</x:f>
      </x:c>
    </x:row>
    <x:row r="3674" ht="27" customHeight="1">
      <x:c r="A3674" s="66" t="str">
        <x:v>SXT086</x:v>
      </x:c>
      <x:c r="B3674" s="66" t="str">
        <x:v>系数CTA套利五号</x:v>
      </x:c>
      <x:c r="C3674" s="72" t="n">
        <x:v>45541</x:v>
      </x:c>
      <x:c r="D3674" s="73" t="n">
        <x:v>1.1458</x:v>
      </x:c>
      <x:c r="E3674" s="73" t="n">
        <x:v>1.1458</x:v>
      </x:c>
      <x:c r="F3674" s="73" t="n">
        <x:v>1.1458</x:v>
      </x:c>
      <x:c r="G3674" s="74" t="n">
        <x:v>0.009899999999999999</x:v>
      </x:c>
      <x:c r="H3674" s="66" t="str">
        <x:v>系数CTA套利五号净值20260911.xlsx</x:v>
      </x:c>
      <x:c r="I3674" s="73" t="str">
        <x:f>""</x:f>
      </x:c>
      <x:c r="J3674" s="74" t="str">
        <x:f>""</x:f>
      </x:c>
      <x:c r="K3674" s="73" t="n">
        <x:f>MAX(K3673,F3674)</x:f>
        <x:v>1.1476</x:v>
      </x:c>
      <x:c r="L3674" s="74" t="n">
        <x:f>1-F3674/K3674</x:f>
        <x:v>0.0015684907633322087</x:v>
      </x:c>
      <x:c r="M3674" s="73" t="str">
        <x:f>""</x:f>
      </x:c>
      <x:c r="N3674" s="74" t="str">
        <x:f>""</x:f>
      </x:c>
    </x:row>
    <x:row r="3675" ht="27" customHeight="1">
      <x:c r="A3675" s="66" t="str">
        <x:v>SXT086</x:v>
      </x:c>
      <x:c r="B3675" s="66" t="str">
        <x:v>系数CTA套利五号</x:v>
      </x:c>
      <x:c r="C3675" s="72" t="n">
        <x:v>45548</x:v>
      </x:c>
      <x:c r="D3675" s="73" t="n">
        <x:v>1.1502</x:v>
      </x:c>
      <x:c r="E3675" s="73" t="n">
        <x:v>1.1502</x:v>
      </x:c>
      <x:c r="F3675" s="73" t="n">
        <x:v>1.1502</x:v>
      </x:c>
      <x:c r="G3675" s="74" t="n">
        <x:v>0.0038</x:v>
      </x:c>
      <x:c r="H3675" s="66" t="str">
        <x:v>系数CTA套利五号净值20260911.xlsx</x:v>
      </x:c>
      <x:c r="I3675" s="73" t="str">
        <x:f>""</x:f>
      </x:c>
      <x:c r="J3675" s="74" t="str">
        <x:f>""</x:f>
      </x:c>
      <x:c r="K3675" s="73" t="n">
        <x:f>MAX(K3674,F3675)</x:f>
        <x:v>1.1502</x:v>
      </x:c>
      <x:c r="L3675" s="74" t="n">
        <x:f>1-F3675/K3675</x:f>
        <x:v>0</x:v>
      </x:c>
      <x:c r="M3675" s="73" t="str">
        <x:f>""</x:f>
      </x:c>
      <x:c r="N3675" s="74" t="str">
        <x:f>""</x:f>
      </x:c>
    </x:row>
    <x:row r="3676" ht="27" customHeight="1">
      <x:c r="A3676" s="66" t="str">
        <x:v>SXT086</x:v>
      </x:c>
      <x:c r="B3676" s="66" t="str">
        <x:v>系数CTA套利五号</x:v>
      </x:c>
      <x:c r="C3676" s="72" t="n">
        <x:v>45555</x:v>
      </x:c>
      <x:c r="D3676" s="73" t="n">
        <x:v>1.1504</x:v>
      </x:c>
      <x:c r="E3676" s="73" t="n">
        <x:v>1.1504</x:v>
      </x:c>
      <x:c r="F3676" s="73" t="n">
        <x:v>1.1504</x:v>
      </x:c>
      <x:c r="G3676" s="74" t="n">
        <x:v>0.0002</x:v>
      </x:c>
      <x:c r="H3676" s="66" t="str">
        <x:v>系数CTA套利五号净值20260911.xlsx</x:v>
      </x:c>
      <x:c r="I3676" s="73" t="str">
        <x:f>""</x:f>
      </x:c>
      <x:c r="J3676" s="74" t="str">
        <x:f>""</x:f>
      </x:c>
      <x:c r="K3676" s="73" t="n">
        <x:f>MAX(K3675,F3676)</x:f>
        <x:v>1.1504</x:v>
      </x:c>
      <x:c r="L3676" s="74" t="n">
        <x:f>1-F3676/K3676</x:f>
        <x:v>0</x:v>
      </x:c>
      <x:c r="M3676" s="73" t="str">
        <x:f>""</x:f>
      </x:c>
      <x:c r="N3676" s="74" t="str">
        <x:f>""</x:f>
      </x:c>
    </x:row>
    <x:row r="3677" ht="27" customHeight="1">
      <x:c r="A3677" s="66" t="str">
        <x:v>SXT086</x:v>
      </x:c>
      <x:c r="B3677" s="66" t="str">
        <x:v>系数CTA套利五号</x:v>
      </x:c>
      <x:c r="C3677" s="72" t="n">
        <x:v>45562</x:v>
      </x:c>
      <x:c r="D3677" s="73" t="n">
        <x:v>1.1366</x:v>
      </x:c>
      <x:c r="E3677" s="73" t="n">
        <x:v>1.1366</x:v>
      </x:c>
      <x:c r="F3677" s="73" t="n">
        <x:v>1.1366</x:v>
      </x:c>
      <x:c r="G3677" s="74" t="n">
        <x:v>-0.012</x:v>
      </x:c>
      <x:c r="H3677" s="66" t="str">
        <x:v>系数CTA套利五号净值20260911.xlsx</x:v>
      </x:c>
      <x:c r="I3677" s="73" t="str">
        <x:f>""</x:f>
      </x:c>
      <x:c r="J3677" s="74" t="str">
        <x:f>""</x:f>
      </x:c>
      <x:c r="K3677" s="73" t="n">
        <x:f>MAX(K3676,F3677)</x:f>
        <x:v>1.1504</x:v>
      </x:c>
      <x:c r="L3677" s="74" t="n">
        <x:f>1-F3677/K3677</x:f>
        <x:v>0.011995827538247572</x:v>
      </x:c>
      <x:c r="M3677" s="73" t="str">
        <x:f>""</x:f>
      </x:c>
      <x:c r="N3677" s="74" t="str">
        <x:f>""</x:f>
      </x:c>
    </x:row>
    <x:row r="3678" ht="27" customHeight="1">
      <x:c r="A3678" s="66" t="str">
        <x:v>SXT086</x:v>
      </x:c>
      <x:c r="B3678" s="66" t="str">
        <x:v>系数CTA套利五号</x:v>
      </x:c>
      <x:c r="C3678" s="72" t="n">
        <x:v>45565</x:v>
      </x:c>
      <x:c r="D3678" s="73" t="n">
        <x:v>1.1354</x:v>
      </x:c>
      <x:c r="E3678" s="73" t="n">
        <x:v>1.1354</x:v>
      </x:c>
      <x:c r="F3678" s="73" t="n">
        <x:v>1.1354</x:v>
      </x:c>
      <x:c r="G3678" s="74" t="n">
        <x:v>-0.0011</x:v>
      </x:c>
      <x:c r="H3678" s="66" t="str">
        <x:v>系数CTA套利五号净值20260911.xlsx</x:v>
      </x:c>
      <x:c r="I3678" s="73" t="str">
        <x:f>""</x:f>
      </x:c>
      <x:c r="J3678" s="74" t="str">
        <x:f>""</x:f>
      </x:c>
      <x:c r="K3678" s="73" t="n">
        <x:f>MAX(K3677,F3678)</x:f>
        <x:v>1.1504</x:v>
      </x:c>
      <x:c r="L3678" s="74" t="n">
        <x:f>1-F3678/K3678</x:f>
        <x:v>0.013038942976356105</x:v>
      </x:c>
      <x:c r="M3678" s="73" t="str">
        <x:f>""</x:f>
      </x:c>
      <x:c r="N3678" s="74" t="str">
        <x:f>""</x:f>
      </x:c>
    </x:row>
    <x:row r="3679" ht="27" customHeight="1">
      <x:c r="A3679" s="66" t="str">
        <x:v>SXT086</x:v>
      </x:c>
      <x:c r="B3679" s="66" t="str">
        <x:v>系数CTA套利五号</x:v>
      </x:c>
      <x:c r="C3679" s="72" t="n">
        <x:v>45576</x:v>
      </x:c>
      <x:c r="D3679" s="73" t="n">
        <x:v>1.1531</x:v>
      </x:c>
      <x:c r="E3679" s="73" t="n">
        <x:v>1.1531</x:v>
      </x:c>
      <x:c r="F3679" s="73" t="n">
        <x:v>1.1531</x:v>
      </x:c>
      <x:c r="G3679" s="74" t="n">
        <x:v>0.015600000000000001</x:v>
      </x:c>
      <x:c r="H3679" s="66" t="str">
        <x:v>系数CTA套利五号净值20260911.xlsx</x:v>
      </x:c>
      <x:c r="I3679" s="73" t="str">
        <x:f>""</x:f>
      </x:c>
      <x:c r="J3679" s="74" t="str">
        <x:f>""</x:f>
      </x:c>
      <x:c r="K3679" s="73" t="n">
        <x:f>MAX(K3678,F3679)</x:f>
        <x:v>1.1531</x:v>
      </x:c>
      <x:c r="L3679" s="74" t="n">
        <x:f>1-F3679/K3679</x:f>
        <x:v>0</x:v>
      </x:c>
      <x:c r="M3679" s="73" t="str">
        <x:f>""</x:f>
      </x:c>
      <x:c r="N3679" s="74" t="str">
        <x:f>""</x:f>
      </x:c>
    </x:row>
    <x:row r="3680" ht="27" customHeight="1">
      <x:c r="A3680" s="66" t="str">
        <x:v>SXT086</x:v>
      </x:c>
      <x:c r="B3680" s="66" t="str">
        <x:v>系数CTA套利五号</x:v>
      </x:c>
      <x:c r="C3680" s="72" t="n">
        <x:v>45583</x:v>
      </x:c>
      <x:c r="D3680" s="73" t="n">
        <x:v>1.1459</x:v>
      </x:c>
      <x:c r="E3680" s="73" t="n">
        <x:v>1.1459</x:v>
      </x:c>
      <x:c r="F3680" s="73" t="n">
        <x:v>1.1459</x:v>
      </x:c>
      <x:c r="G3680" s="74" t="n">
        <x:v>-0.0062</x:v>
      </x:c>
      <x:c r="H3680" s="66" t="str">
        <x:v>系数CTA套利五号净值20260911.xlsx</x:v>
      </x:c>
      <x:c r="I3680" s="73" t="str">
        <x:f>""</x:f>
      </x:c>
      <x:c r="J3680" s="74" t="str">
        <x:f>""</x:f>
      </x:c>
      <x:c r="K3680" s="73" t="n">
        <x:f>MAX(K3679,F3680)</x:f>
        <x:v>1.1531</x:v>
      </x:c>
      <x:c r="L3680" s="74" t="n">
        <x:f>1-F3680/K3680</x:f>
        <x:v>0.006244037811117931</x:v>
      </x:c>
      <x:c r="M3680" s="73" t="str">
        <x:f>""</x:f>
      </x:c>
      <x:c r="N3680" s="74" t="str">
        <x:f>""</x:f>
      </x:c>
    </x:row>
    <x:row r="3681" ht="27" customHeight="1">
      <x:c r="A3681" s="66" t="str">
        <x:v>SXT086</x:v>
      </x:c>
      <x:c r="B3681" s="66" t="str">
        <x:v>系数CTA套利五号</x:v>
      </x:c>
      <x:c r="C3681" s="72" t="n">
        <x:v>45590</x:v>
      </x:c>
      <x:c r="D3681" s="73" t="n">
        <x:v>1.1544</x:v>
      </x:c>
      <x:c r="E3681" s="73" t="n">
        <x:v>1.1544</x:v>
      </x:c>
      <x:c r="F3681" s="73" t="n">
        <x:v>1.1544</x:v>
      </x:c>
      <x:c r="G3681" s="74" t="n">
        <x:v>0.0074</x:v>
      </x:c>
      <x:c r="H3681" s="66" t="str">
        <x:v>系数CTA套利五号净值20260911.xlsx</x:v>
      </x:c>
      <x:c r="I3681" s="73" t="str">
        <x:f>""</x:f>
      </x:c>
      <x:c r="J3681" s="74" t="str">
        <x:f>""</x:f>
      </x:c>
      <x:c r="K3681" s="73" t="n">
        <x:f>MAX(K3680,F3681)</x:f>
        <x:v>1.1544</x:v>
      </x:c>
      <x:c r="L3681" s="74" t="n">
        <x:f>1-F3681/K3681</x:f>
        <x:v>0</x:v>
      </x:c>
      <x:c r="M3681" s="73" t="str">
        <x:f>""</x:f>
      </x:c>
      <x:c r="N3681" s="74" t="str">
        <x:f>""</x:f>
      </x:c>
    </x:row>
    <x:row r="3682" ht="27" customHeight="1">
      <x:c r="A3682" s="66" t="str">
        <x:v>SXT086</x:v>
      </x:c>
      <x:c r="B3682" s="66" t="str">
        <x:v>系数CTA套利五号</x:v>
      </x:c>
      <x:c r="C3682" s="72" t="n">
        <x:v>45597</x:v>
      </x:c>
      <x:c r="D3682" s="73" t="n">
        <x:v>1.1634</x:v>
      </x:c>
      <x:c r="E3682" s="73" t="n">
        <x:v>1.1634</x:v>
      </x:c>
      <x:c r="F3682" s="73" t="n">
        <x:v>1.1634</x:v>
      </x:c>
      <x:c r="G3682" s="74" t="n">
        <x:v>0.0078000000000000005</x:v>
      </x:c>
      <x:c r="H3682" s="66" t="str">
        <x:v>系数CTA套利五号净值20260911.xlsx</x:v>
      </x:c>
      <x:c r="I3682" s="73" t="str">
        <x:f>""</x:f>
      </x:c>
      <x:c r="J3682" s="74" t="str">
        <x:f>""</x:f>
      </x:c>
      <x:c r="K3682" s="73" t="n">
        <x:f>MAX(K3681,F3682)</x:f>
        <x:v>1.1634</x:v>
      </x:c>
      <x:c r="L3682" s="74" t="n">
        <x:f>1-F3682/K3682</x:f>
        <x:v>0</x:v>
      </x:c>
      <x:c r="M3682" s="73" t="str">
        <x:f>""</x:f>
      </x:c>
      <x:c r="N3682" s="74" t="str">
        <x:f>""</x:f>
      </x:c>
    </x:row>
    <x:row r="3683" ht="27" customHeight="1">
      <x:c r="A3683" s="66" t="str">
        <x:v>SXT086</x:v>
      </x:c>
      <x:c r="B3683" s="66" t="str">
        <x:v>系数CTA套利五号</x:v>
      </x:c>
      <x:c r="C3683" s="72" t="n">
        <x:v>45604</x:v>
      </x:c>
      <x:c r="D3683" s="73" t="n">
        <x:v>1.1731</x:v>
      </x:c>
      <x:c r="E3683" s="73" t="n">
        <x:v>1.1731</x:v>
      </x:c>
      <x:c r="F3683" s="73" t="n">
        <x:v>1.1731</x:v>
      </x:c>
      <x:c r="G3683" s="74" t="n">
        <x:v>0.0083</x:v>
      </x:c>
      <x:c r="H3683" s="66" t="str">
        <x:v>系数CTA套利五号净值20260911.xlsx</x:v>
      </x:c>
      <x:c r="I3683" s="73" t="str">
        <x:f>""</x:f>
      </x:c>
      <x:c r="J3683" s="74" t="str">
        <x:f>""</x:f>
      </x:c>
      <x:c r="K3683" s="73" t="n">
        <x:f>MAX(K3682,F3683)</x:f>
        <x:v>1.1731</x:v>
      </x:c>
      <x:c r="L3683" s="74" t="n">
        <x:f>1-F3683/K3683</x:f>
        <x:v>0</x:v>
      </x:c>
      <x:c r="M3683" s="73" t="str">
        <x:f>""</x:f>
      </x:c>
      <x:c r="N3683" s="74" t="str">
        <x:f>""</x:f>
      </x:c>
    </x:row>
    <x:row r="3684" ht="27" customHeight="1">
      <x:c r="A3684" s="66" t="str">
        <x:v>SXT086</x:v>
      </x:c>
      <x:c r="B3684" s="66" t="str">
        <x:v>系数CTA套利五号</x:v>
      </x:c>
      <x:c r="C3684" s="72" t="n">
        <x:v>45611</x:v>
      </x:c>
      <x:c r="D3684" s="73" t="n">
        <x:v>1.1749</x:v>
      </x:c>
      <x:c r="E3684" s="73" t="n">
        <x:v>1.1749</x:v>
      </x:c>
      <x:c r="F3684" s="73" t="n">
        <x:v>1.1749</x:v>
      </x:c>
      <x:c r="G3684" s="74" t="n">
        <x:v>0.0015</x:v>
      </x:c>
      <x:c r="H3684" s="66" t="str">
        <x:v>系数CTA套利五号净值20260911.xlsx</x:v>
      </x:c>
      <x:c r="I3684" s="73" t="str">
        <x:f>""</x:f>
      </x:c>
      <x:c r="J3684" s="74" t="str">
        <x:f>""</x:f>
      </x:c>
      <x:c r="K3684" s="73" t="n">
        <x:f>MAX(K3683,F3684)</x:f>
        <x:v>1.1749</x:v>
      </x:c>
      <x:c r="L3684" s="74" t="n">
        <x:f>1-F3684/K3684</x:f>
        <x:v>0</x:v>
      </x:c>
      <x:c r="M3684" s="73" t="str">
        <x:f>""</x:f>
      </x:c>
      <x:c r="N3684" s="74" t="str">
        <x:f>""</x:f>
      </x:c>
    </x:row>
    <x:row r="3685" ht="27" customHeight="1">
      <x:c r="A3685" s="66" t="str">
        <x:v>SXT086</x:v>
      </x:c>
      <x:c r="B3685" s="66" t="str">
        <x:v>系数CTA套利五号</x:v>
      </x:c>
      <x:c r="C3685" s="72" t="n">
        <x:v>45618</x:v>
      </x:c>
      <x:c r="D3685" s="73" t="n">
        <x:v>1.1809</x:v>
      </x:c>
      <x:c r="E3685" s="73" t="n">
        <x:v>1.1809</x:v>
      </x:c>
      <x:c r="F3685" s="73" t="n">
        <x:v>1.1809</x:v>
      </x:c>
      <x:c r="G3685" s="74" t="n">
        <x:v>0.0051</x:v>
      </x:c>
      <x:c r="H3685" s="66" t="str">
        <x:v>系数CTA套利五号净值20260911.xlsx</x:v>
      </x:c>
      <x:c r="I3685" s="73" t="str">
        <x:f>""</x:f>
      </x:c>
      <x:c r="J3685" s="74" t="str">
        <x:f>""</x:f>
      </x:c>
      <x:c r="K3685" s="73" t="n">
        <x:f>MAX(K3684,F3685)</x:f>
        <x:v>1.1809</x:v>
      </x:c>
      <x:c r="L3685" s="74" t="n">
        <x:f>1-F3685/K3685</x:f>
        <x:v>0</x:v>
      </x:c>
      <x:c r="M3685" s="73" t="str">
        <x:f>""</x:f>
      </x:c>
      <x:c r="N3685" s="74" t="str">
        <x:f>""</x:f>
      </x:c>
    </x:row>
    <x:row r="3686" ht="27" customHeight="1">
      <x:c r="A3686" s="66" t="str">
        <x:v>SXT086</x:v>
      </x:c>
      <x:c r="B3686" s="66" t="str">
        <x:v>系数CTA套利五号</x:v>
      </x:c>
      <x:c r="C3686" s="72" t="n">
        <x:v>45625</x:v>
      </x:c>
      <x:c r="D3686" s="73" t="n">
        <x:v>1.1844</x:v>
      </x:c>
      <x:c r="E3686" s="73" t="n">
        <x:v>1.1844</x:v>
      </x:c>
      <x:c r="F3686" s="73" t="n">
        <x:v>1.1844</x:v>
      </x:c>
      <x:c r="G3686" s="74" t="n">
        <x:v>0.003</x:v>
      </x:c>
      <x:c r="H3686" s="66" t="str">
        <x:v>系数CTA套利五号净值20260911.xlsx</x:v>
      </x:c>
      <x:c r="I3686" s="73" t="str">
        <x:f>""</x:f>
      </x:c>
      <x:c r="J3686" s="74" t="str">
        <x:f>""</x:f>
      </x:c>
      <x:c r="K3686" s="73" t="n">
        <x:f>MAX(K3685,F3686)</x:f>
        <x:v>1.1844</x:v>
      </x:c>
      <x:c r="L3686" s="74" t="n">
        <x:f>1-F3686/K3686</x:f>
        <x:v>0</x:v>
      </x:c>
      <x:c r="M3686" s="73" t="str">
        <x:f>""</x:f>
      </x:c>
      <x:c r="N3686" s="74" t="str">
        <x:f>""</x:f>
      </x:c>
    </x:row>
    <x:row r="3687" ht="27" customHeight="1">
      <x:c r="A3687" s="66" t="str">
        <x:v>SXT086</x:v>
      </x:c>
      <x:c r="B3687" s="66" t="str">
        <x:v>系数CTA套利五号</x:v>
      </x:c>
      <x:c r="C3687" s="72" t="n">
        <x:v>45632</x:v>
      </x:c>
      <x:c r="D3687" s="73" t="n">
        <x:v>1.1844</x:v>
      </x:c>
      <x:c r="E3687" s="73" t="n">
        <x:v>1.1844</x:v>
      </x:c>
      <x:c r="F3687" s="73" t="n">
        <x:v>1.1844</x:v>
      </x:c>
      <x:c r="G3687" s="74" t="n">
        <x:v>0</x:v>
      </x:c>
      <x:c r="H3687" s="66" t="str">
        <x:v>系数CTA套利五号净值20260911.xlsx</x:v>
      </x:c>
      <x:c r="I3687" s="73" t="str">
        <x:f>""</x:f>
      </x:c>
      <x:c r="J3687" s="74" t="str">
        <x:f>""</x:f>
      </x:c>
      <x:c r="K3687" s="73" t="n">
        <x:f>MAX(K3686,F3687)</x:f>
        <x:v>1.1844</x:v>
      </x:c>
      <x:c r="L3687" s="74" t="n">
        <x:f>1-F3687/K3687</x:f>
        <x:v>0</x:v>
      </x:c>
      <x:c r="M3687" s="73" t="str">
        <x:f>""</x:f>
      </x:c>
      <x:c r="N3687" s="74" t="str">
        <x:f>""</x:f>
      </x:c>
    </x:row>
    <x:row r="3688" ht="27" customHeight="1">
      <x:c r="A3688" s="66" t="str">
        <x:v>SXT086</x:v>
      </x:c>
      <x:c r="B3688" s="66" t="str">
        <x:v>系数CTA套利五号</x:v>
      </x:c>
      <x:c r="C3688" s="72" t="n">
        <x:v>45639</x:v>
      </x:c>
      <x:c r="D3688" s="73" t="n">
        <x:v>1.1853</x:v>
      </x:c>
      <x:c r="E3688" s="73" t="n">
        <x:v>1.1853</x:v>
      </x:c>
      <x:c r="F3688" s="73" t="n">
        <x:v>1.1853</x:v>
      </x:c>
      <x:c r="G3688" s="74" t="n">
        <x:v>0.0008</x:v>
      </x:c>
      <x:c r="H3688" s="66" t="str">
        <x:v>系数CTA套利五号净值20260911.xlsx</x:v>
      </x:c>
      <x:c r="I3688" s="73" t="str">
        <x:f>""</x:f>
      </x:c>
      <x:c r="J3688" s="74" t="str">
        <x:f>""</x:f>
      </x:c>
      <x:c r="K3688" s="73" t="n">
        <x:f>MAX(K3687,F3688)</x:f>
        <x:v>1.1853</x:v>
      </x:c>
      <x:c r="L3688" s="74" t="n">
        <x:f>1-F3688/K3688</x:f>
        <x:v>0</x:v>
      </x:c>
      <x:c r="M3688" s="73" t="str">
        <x:f>""</x:f>
      </x:c>
      <x:c r="N3688" s="74" t="str">
        <x:f>""</x:f>
      </x:c>
    </x:row>
    <x:row r="3689" ht="27" customHeight="1">
      <x:c r="A3689" s="66" t="str">
        <x:v>SXT086</x:v>
      </x:c>
      <x:c r="B3689" s="66" t="str">
        <x:v>系数CTA套利五号</x:v>
      </x:c>
      <x:c r="C3689" s="72" t="n">
        <x:v>45646</x:v>
      </x:c>
      <x:c r="D3689" s="73" t="n">
        <x:v>1.1934</x:v>
      </x:c>
      <x:c r="E3689" s="73" t="n">
        <x:v>1.1934</x:v>
      </x:c>
      <x:c r="F3689" s="73" t="n">
        <x:v>1.1934</x:v>
      </x:c>
      <x:c r="G3689" s="74" t="n">
        <x:v>0.0068000000000000005</x:v>
      </x:c>
      <x:c r="H3689" s="66" t="str">
        <x:v>系数CTA套利五号净值20260911.xlsx</x:v>
      </x:c>
      <x:c r="I3689" s="73" t="str">
        <x:f>""</x:f>
      </x:c>
      <x:c r="J3689" s="74" t="str">
        <x:f>""</x:f>
      </x:c>
      <x:c r="K3689" s="73" t="n">
        <x:f>MAX(K3688,F3689)</x:f>
        <x:v>1.1934</x:v>
      </x:c>
      <x:c r="L3689" s="74" t="n">
        <x:f>1-F3689/K3689</x:f>
        <x:v>0</x:v>
      </x:c>
      <x:c r="M3689" s="73" t="str">
        <x:f>""</x:f>
      </x:c>
      <x:c r="N3689" s="74" t="str">
        <x:f>""</x:f>
      </x:c>
    </x:row>
    <x:row r="3690" ht="27" customHeight="1">
      <x:c r="A3690" s="66" t="str">
        <x:v>SXT086</x:v>
      </x:c>
      <x:c r="B3690" s="66" t="str">
        <x:v>系数CTA套利五号</x:v>
      </x:c>
      <x:c r="C3690" s="72" t="n">
        <x:v>45653</x:v>
      </x:c>
      <x:c r="D3690" s="73" t="n">
        <x:v>1.2</x:v>
      </x:c>
      <x:c r="E3690" s="73" t="n">
        <x:v>1.2</x:v>
      </x:c>
      <x:c r="F3690" s="73" t="n">
        <x:v>1.2</x:v>
      </x:c>
      <x:c r="G3690" s="74" t="n">
        <x:v>0.0055000000000000005</x:v>
      </x:c>
      <x:c r="H3690" s="66" t="str">
        <x:v>系数CTA套利五号净值20260911.xlsx</x:v>
      </x:c>
      <x:c r="I3690" s="73" t="str">
        <x:f>""</x:f>
      </x:c>
      <x:c r="J3690" s="74" t="str">
        <x:f>""</x:f>
      </x:c>
      <x:c r="K3690" s="73" t="n">
        <x:f>MAX(K3689,F3690)</x:f>
        <x:v>1.2</x:v>
      </x:c>
      <x:c r="L3690" s="74" t="n">
        <x:f>1-F3690/K3690</x:f>
        <x:v>0</x:v>
      </x:c>
      <x:c r="M3690" s="73" t="str">
        <x:f>""</x:f>
      </x:c>
      <x:c r="N3690" s="74" t="str">
        <x:f>""</x:f>
      </x:c>
    </x:row>
    <x:row r="3691" ht="27" customHeight="1">
      <x:c r="A3691" s="66" t="str">
        <x:v>SXT086</x:v>
      </x:c>
      <x:c r="B3691" s="66" t="str">
        <x:v>系数CTA套利五号</x:v>
      </x:c>
      <x:c r="C3691" s="72" t="n">
        <x:v>45660</x:v>
      </x:c>
      <x:c r="D3691" s="73" t="n">
        <x:v>1.1874</x:v>
      </x:c>
      <x:c r="E3691" s="73" t="n">
        <x:v>1.1874</x:v>
      </x:c>
      <x:c r="F3691" s="73" t="n">
        <x:v>1.1874</x:v>
      </x:c>
      <x:c r="G3691" s="74" t="n">
        <x:v>-0.0105</x:v>
      </x:c>
      <x:c r="H3691" s="66" t="str">
        <x:v>系数CTA套利五号净值20260911.xlsx</x:v>
      </x:c>
      <x:c r="I3691" s="73" t="str">
        <x:f>""</x:f>
      </x:c>
      <x:c r="J3691" s="74" t="str">
        <x:f>""</x:f>
      </x:c>
      <x:c r="K3691" s="73" t="n">
        <x:f>MAX(K3690,F3691)</x:f>
        <x:v>1.2</x:v>
      </x:c>
      <x:c r="L3691" s="74" t="n">
        <x:f>1-F3691/K3691</x:f>
        <x:v>0.010499999999999954</x:v>
      </x:c>
      <x:c r="M3691" s="73" t="str">
        <x:f>""</x:f>
      </x:c>
      <x:c r="N3691" s="74" t="str">
        <x:f>""</x:f>
      </x:c>
    </x:row>
    <x:row r="3692" ht="27" customHeight="1">
      <x:c r="A3692" s="66" t="str">
        <x:v>SXT086</x:v>
      </x:c>
      <x:c r="B3692" s="66" t="str">
        <x:v>系数CTA套利五号</x:v>
      </x:c>
      <x:c r="C3692" s="72" t="n">
        <x:v>45667</x:v>
      </x:c>
      <x:c r="D3692" s="73" t="n">
        <x:v>1.2004</x:v>
      </x:c>
      <x:c r="E3692" s="73" t="n">
        <x:v>1.2004</x:v>
      </x:c>
      <x:c r="F3692" s="73" t="n">
        <x:v>1.2004</x:v>
      </x:c>
      <x:c r="G3692" s="74" t="n">
        <x:v>0.0109</x:v>
      </x:c>
      <x:c r="H3692" s="66" t="str">
        <x:v>系数CTA套利五号净值20260911.xlsx</x:v>
      </x:c>
      <x:c r="I3692" s="73" t="str">
        <x:f>""</x:f>
      </x:c>
      <x:c r="J3692" s="74" t="str">
        <x:f>""</x:f>
      </x:c>
      <x:c r="K3692" s="73" t="n">
        <x:f>MAX(K3691,F3692)</x:f>
        <x:v>1.2004</x:v>
      </x:c>
      <x:c r="L3692" s="74" t="n">
        <x:f>1-F3692/K3692</x:f>
        <x:v>0</x:v>
      </x:c>
      <x:c r="M3692" s="73" t="str">
        <x:f>""</x:f>
      </x:c>
      <x:c r="N3692" s="74" t="str">
        <x:f>""</x:f>
      </x:c>
    </x:row>
    <x:row r="3693" ht="27" customHeight="1">
      <x:c r="A3693" s="66" t="str">
        <x:v>SXT086</x:v>
      </x:c>
      <x:c r="B3693" s="66" t="str">
        <x:v>系数CTA套利五号</x:v>
      </x:c>
      <x:c r="C3693" s="72" t="n">
        <x:v>45674</x:v>
      </x:c>
      <x:c r="D3693" s="73" t="n">
        <x:v>1.2232</x:v>
      </x:c>
      <x:c r="E3693" s="73" t="n">
        <x:v>1.2232</x:v>
      </x:c>
      <x:c r="F3693" s="73" t="n">
        <x:v>1.2232</x:v>
      </x:c>
      <x:c r="G3693" s="74" t="n">
        <x:v>0.019</x:v>
      </x:c>
      <x:c r="H3693" s="66" t="str">
        <x:v>系数CTA套利五号净值20260911.xlsx</x:v>
      </x:c>
      <x:c r="I3693" s="73" t="str">
        <x:f>""</x:f>
      </x:c>
      <x:c r="J3693" s="74" t="str">
        <x:f>""</x:f>
      </x:c>
      <x:c r="K3693" s="73" t="n">
        <x:f>MAX(K3692,F3693)</x:f>
        <x:v>1.2232</x:v>
      </x:c>
      <x:c r="L3693" s="74" t="n">
        <x:f>1-F3693/K3693</x:f>
        <x:v>0</x:v>
      </x:c>
      <x:c r="M3693" s="73" t="str">
        <x:f>""</x:f>
      </x:c>
      <x:c r="N3693" s="74" t="str">
        <x:f>""</x:f>
      </x:c>
    </x:row>
    <x:row r="3694" ht="27" customHeight="1">
      <x:c r="A3694" s="66" t="str">
        <x:v>SXT086</x:v>
      </x:c>
      <x:c r="B3694" s="66" t="str">
        <x:v>系数CTA套利五号</x:v>
      </x:c>
      <x:c r="C3694" s="72" t="n">
        <x:v>45681</x:v>
      </x:c>
      <x:c r="D3694" s="73" t="n">
        <x:v>1.2341</x:v>
      </x:c>
      <x:c r="E3694" s="73" t="n">
        <x:v>1.2341</x:v>
      </x:c>
      <x:c r="F3694" s="73" t="n">
        <x:v>1.2341</x:v>
      </x:c>
      <x:c r="G3694" s="74" t="n">
        <x:v>0.0089</x:v>
      </x:c>
      <x:c r="H3694" s="66" t="str">
        <x:v>系数CTA套利五号净值20260911.xlsx</x:v>
      </x:c>
      <x:c r="I3694" s="73" t="str">
        <x:f>""</x:f>
      </x:c>
      <x:c r="J3694" s="74" t="str">
        <x:f>""</x:f>
      </x:c>
      <x:c r="K3694" s="73" t="n">
        <x:f>MAX(K3693,F3694)</x:f>
        <x:v>1.2341</x:v>
      </x:c>
      <x:c r="L3694" s="74" t="n">
        <x:f>1-F3694/K3694</x:f>
        <x:v>0</x:v>
      </x:c>
      <x:c r="M3694" s="73" t="str">
        <x:f>""</x:f>
      </x:c>
      <x:c r="N3694" s="74" t="str">
        <x:f>""</x:f>
      </x:c>
    </x:row>
    <x:row r="3695" ht="27" customHeight="1">
      <x:c r="A3695" s="66" t="str">
        <x:v>SXT086</x:v>
      </x:c>
      <x:c r="B3695" s="66" t="str">
        <x:v>系数CTA套利五号</x:v>
      </x:c>
      <x:c r="C3695" s="72" t="n">
        <x:v>45684</x:v>
      </x:c>
      <x:c r="D3695" s="73" t="n">
        <x:v>1.2346</x:v>
      </x:c>
      <x:c r="E3695" s="73" t="n">
        <x:v>1.2346</x:v>
      </x:c>
      <x:c r="F3695" s="73" t="n">
        <x:v>1.2346</x:v>
      </x:c>
      <x:c r="G3695" s="74" t="n">
        <x:v>0.0004</x:v>
      </x:c>
      <x:c r="H3695" s="66" t="str">
        <x:v>系数CTA套利五号净值20260911.xlsx</x:v>
      </x:c>
      <x:c r="I3695" s="73" t="str">
        <x:f>""</x:f>
      </x:c>
      <x:c r="J3695" s="74" t="str">
        <x:f>""</x:f>
      </x:c>
      <x:c r="K3695" s="73" t="n">
        <x:f>MAX(K3694,F3695)</x:f>
        <x:v>1.2346</x:v>
      </x:c>
      <x:c r="L3695" s="74" t="n">
        <x:f>1-F3695/K3695</x:f>
        <x:v>0</x:v>
      </x:c>
      <x:c r="M3695" s="73" t="str">
        <x:f>""</x:f>
      </x:c>
      <x:c r="N3695" s="74" t="str">
        <x:f>""</x:f>
      </x:c>
    </x:row>
    <x:row r="3696" ht="27" customHeight="1">
      <x:c r="A3696" s="66" t="str">
        <x:v>SXT086</x:v>
      </x:c>
      <x:c r="B3696" s="66" t="str">
        <x:v>系数CTA套利五号</x:v>
      </x:c>
      <x:c r="C3696" s="72" t="n">
        <x:v>45695</x:v>
      </x:c>
      <x:c r="D3696" s="73" t="n">
        <x:v>1.2333</x:v>
      </x:c>
      <x:c r="E3696" s="73" t="n">
        <x:v>1.2333</x:v>
      </x:c>
      <x:c r="F3696" s="73" t="n">
        <x:v>1.2333</x:v>
      </x:c>
      <x:c r="G3696" s="74" t="n">
        <x:v>-0.0011</x:v>
      </x:c>
      <x:c r="H3696" s="66" t="str">
        <x:v>系数CTA套利五号净值20260911.xlsx</x:v>
      </x:c>
      <x:c r="I3696" s="73" t="str">
        <x:f>""</x:f>
      </x:c>
      <x:c r="J3696" s="74" t="str">
        <x:f>""</x:f>
      </x:c>
      <x:c r="K3696" s="73" t="n">
        <x:f>MAX(K3695,F3696)</x:f>
        <x:v>1.2346</x:v>
      </x:c>
      <x:c r="L3696" s="74" t="n">
        <x:f>1-F3696/K3696</x:f>
        <x:v>0.0010529726227116454</x:v>
      </x:c>
      <x:c r="M3696" s="73" t="str">
        <x:f>""</x:f>
      </x:c>
      <x:c r="N3696" s="74" t="str">
        <x:f>""</x:f>
      </x:c>
    </x:row>
    <x:row r="3697" ht="27" customHeight="1">
      <x:c r="A3697" s="66" t="str">
        <x:v>SXT086</x:v>
      </x:c>
      <x:c r="B3697" s="66" t="str">
        <x:v>系数CTA套利五号</x:v>
      </x:c>
      <x:c r="C3697" s="72" t="n">
        <x:v>45702</x:v>
      </x:c>
      <x:c r="D3697" s="73" t="n">
        <x:v>1.2249</x:v>
      </x:c>
      <x:c r="E3697" s="73" t="n">
        <x:v>1.2249</x:v>
      </x:c>
      <x:c r="F3697" s="73" t="n">
        <x:v>1.2249</x:v>
      </x:c>
      <x:c r="G3697" s="74" t="n">
        <x:v>-0.0068000000000000005</x:v>
      </x:c>
      <x:c r="H3697" s="66" t="str">
        <x:v>系数CTA套利五号净值20260911.xlsx</x:v>
      </x:c>
      <x:c r="I3697" s="73" t="str">
        <x:f>""</x:f>
      </x:c>
      <x:c r="J3697" s="74" t="str">
        <x:f>""</x:f>
      </x:c>
      <x:c r="K3697" s="73" t="n">
        <x:f>MAX(K3696,F3697)</x:f>
        <x:v>1.2346</x:v>
      </x:c>
      <x:c r="L3697" s="74" t="n">
        <x:f>1-F3697/K3697</x:f>
        <x:v>0.007856795723310994</x:v>
      </x:c>
      <x:c r="M3697" s="73" t="str">
        <x:f>""</x:f>
      </x:c>
      <x:c r="N3697" s="74" t="str">
        <x:f>""</x:f>
      </x:c>
    </x:row>
    <x:row r="3698" ht="27" customHeight="1">
      <x:c r="A3698" s="66" t="str">
        <x:v>SXT086</x:v>
      </x:c>
      <x:c r="B3698" s="66" t="str">
        <x:v>系数CTA套利五号</x:v>
      </x:c>
      <x:c r="C3698" s="72" t="n">
        <x:v>45709</x:v>
      </x:c>
      <x:c r="D3698" s="73" t="n">
        <x:v>1.224</x:v>
      </x:c>
      <x:c r="E3698" s="73" t="n">
        <x:v>1.224</x:v>
      </x:c>
      <x:c r="F3698" s="73" t="n">
        <x:v>1.224</x:v>
      </x:c>
      <x:c r="G3698" s="74" t="n">
        <x:v>-0.0007000000000000001</x:v>
      </x:c>
      <x:c r="H3698" s="66" t="str">
        <x:v>系数CTA套利五号净值20260911.xlsx</x:v>
      </x:c>
      <x:c r="I3698" s="73" t="str">
        <x:f>""</x:f>
      </x:c>
      <x:c r="J3698" s="74" t="str">
        <x:f>""</x:f>
      </x:c>
      <x:c r="K3698" s="73" t="n">
        <x:f>MAX(K3697,F3698)</x:f>
        <x:v>1.2346</x:v>
      </x:c>
      <x:c r="L3698" s="74" t="n">
        <x:f>1-F3698/K3698</x:f>
        <x:v>0.008585776769803988</x:v>
      </x:c>
      <x:c r="M3698" s="73" t="str">
        <x:f>""</x:f>
      </x:c>
      <x:c r="N3698" s="74" t="str">
        <x:f>""</x:f>
      </x:c>
    </x:row>
    <x:row r="3699" ht="27" customHeight="1">
      <x:c r="A3699" s="66" t="str">
        <x:v>SXT086</x:v>
      </x:c>
      <x:c r="B3699" s="66" t="str">
        <x:v>系数CTA套利五号</x:v>
      </x:c>
      <x:c r="C3699" s="72" t="n">
        <x:v>45716</x:v>
      </x:c>
      <x:c r="D3699" s="73" t="n">
        <x:v>1.219</x:v>
      </x:c>
      <x:c r="E3699" s="73" t="n">
        <x:v>1.219</x:v>
      </x:c>
      <x:c r="F3699" s="73" t="n">
        <x:v>1.219</x:v>
      </x:c>
      <x:c r="G3699" s="74" t="n">
        <x:v>-0.0040999999999999995</x:v>
      </x:c>
      <x:c r="H3699" s="66" t="str">
        <x:v>系数CTA套利五号净值20260911.xlsx</x:v>
      </x:c>
      <x:c r="I3699" s="73" t="str">
        <x:f>""</x:f>
      </x:c>
      <x:c r="J3699" s="74" t="str">
        <x:f>""</x:f>
      </x:c>
      <x:c r="K3699" s="73" t="n">
        <x:f>MAX(K3698,F3699)</x:f>
        <x:v>1.2346</x:v>
      </x:c>
      <x:c r="L3699" s="74" t="n">
        <x:f>1-F3699/K3699</x:f>
        <x:v>0.012635671472541632</x:v>
      </x:c>
      <x:c r="M3699" s="73" t="str">
        <x:f>""</x:f>
      </x:c>
      <x:c r="N3699" s="74" t="str">
        <x:f>""</x:f>
      </x:c>
    </x:row>
    <x:row r="3700" ht="27" customHeight="1">
      <x:c r="A3700" s="66" t="str">
        <x:v>SXT086</x:v>
      </x:c>
      <x:c r="B3700" s="66" t="str">
        <x:v>系数CTA套利五号</x:v>
      </x:c>
      <x:c r="C3700" s="72" t="n">
        <x:v>45723</x:v>
      </x:c>
      <x:c r="D3700" s="73" t="n">
        <x:v>1.2212</x:v>
      </x:c>
      <x:c r="E3700" s="73" t="n">
        <x:v>1.2212</x:v>
      </x:c>
      <x:c r="F3700" s="73" t="n">
        <x:v>1.2212</x:v>
      </x:c>
      <x:c r="G3700" s="74" t="n">
        <x:v>0.0018</x:v>
      </x:c>
      <x:c r="H3700" s="66" t="str">
        <x:v>系数CTA套利五号净值20260911.xlsx</x:v>
      </x:c>
      <x:c r="I3700" s="73" t="str">
        <x:f>""</x:f>
      </x:c>
      <x:c r="J3700" s="74" t="str">
        <x:f>""</x:f>
      </x:c>
      <x:c r="K3700" s="73" t="n">
        <x:f>MAX(K3699,F3700)</x:f>
        <x:v>1.2346</x:v>
      </x:c>
      <x:c r="L3700" s="74" t="n">
        <x:f>1-F3700/K3700</x:f>
        <x:v>0.010853717803336993</x:v>
      </x:c>
      <x:c r="M3700" s="73" t="str">
        <x:f>""</x:f>
      </x:c>
      <x:c r="N3700" s="74" t="str">
        <x:f>""</x:f>
      </x:c>
    </x:row>
    <x:row r="3701" ht="27" customHeight="1">
      <x:c r="A3701" s="66" t="str">
        <x:v>SXT086</x:v>
      </x:c>
      <x:c r="B3701" s="66" t="str">
        <x:v>系数CTA套利五号</x:v>
      </x:c>
      <x:c r="C3701" s="72" t="n">
        <x:v>45730</x:v>
      </x:c>
      <x:c r="D3701" s="73" t="n">
        <x:v>1.2295</x:v>
      </x:c>
      <x:c r="E3701" s="73" t="n">
        <x:v>1.2295</x:v>
      </x:c>
      <x:c r="F3701" s="73" t="n">
        <x:v>1.2295</x:v>
      </x:c>
      <x:c r="G3701" s="74" t="n">
        <x:v>0.0068000000000000005</x:v>
      </x:c>
      <x:c r="H3701" s="66" t="str">
        <x:v>系数CTA套利五号净值20260911.xlsx</x:v>
      </x:c>
      <x:c r="I3701" s="73" t="str">
        <x:f>""</x:f>
      </x:c>
      <x:c r="J3701" s="74" t="str">
        <x:f>""</x:f>
      </x:c>
      <x:c r="K3701" s="73" t="n">
        <x:f>MAX(K3700,F3701)</x:f>
        <x:v>1.2346</x:v>
      </x:c>
      <x:c r="L3701" s="74" t="n">
        <x:f>1-F3701/K3701</x:f>
        <x:v>0.004130892596792335</x:v>
      </x:c>
      <x:c r="M3701" s="73" t="str">
        <x:f>""</x:f>
      </x:c>
      <x:c r="N3701" s="74" t="str">
        <x:f>""</x:f>
      </x:c>
    </x:row>
    <x:row r="3702" ht="27" customHeight="1">
      <x:c r="A3702" s="66" t="str">
        <x:v>SXT086</x:v>
      </x:c>
      <x:c r="B3702" s="66" t="str">
        <x:v>系数CTA套利五号</x:v>
      </x:c>
      <x:c r="C3702" s="72" t="n">
        <x:v>45737</x:v>
      </x:c>
      <x:c r="D3702" s="73" t="n">
        <x:v>1.2325</x:v>
      </x:c>
      <x:c r="E3702" s="73" t="n">
        <x:v>1.2325</x:v>
      </x:c>
      <x:c r="F3702" s="73" t="n">
        <x:v>1.2325</x:v>
      </x:c>
      <x:c r="G3702" s="74" t="n">
        <x:v>0.0024</x:v>
      </x:c>
      <x:c r="H3702" s="66" t="str">
        <x:v>系数CTA套利五号净值20260911.xlsx</x:v>
      </x:c>
      <x:c r="I3702" s="73" t="str">
        <x:f>""</x:f>
      </x:c>
      <x:c r="J3702" s="74" t="str">
        <x:f>""</x:f>
      </x:c>
      <x:c r="K3702" s="73" t="n">
        <x:f>MAX(K3701,F3702)</x:f>
        <x:v>1.2346</x:v>
      </x:c>
      <x:c r="L3702" s="74" t="n">
        <x:f>1-F3702/K3702</x:f>
        <x:v>0.0017009557751498372</x:v>
      </x:c>
      <x:c r="M3702" s="73" t="str">
        <x:f>""</x:f>
      </x:c>
      <x:c r="N3702" s="74" t="str">
        <x:f>""</x:f>
      </x:c>
    </x:row>
    <x:row r="3703" ht="27" customHeight="1">
      <x:c r="A3703" s="66" t="str">
        <x:v>SXT086</x:v>
      </x:c>
      <x:c r="B3703" s="66" t="str">
        <x:v>系数CTA套利五号</x:v>
      </x:c>
      <x:c r="C3703" s="72" t="n">
        <x:v>45744</x:v>
      </x:c>
      <x:c r="D3703" s="73" t="n">
        <x:v>1.2211</x:v>
      </x:c>
      <x:c r="E3703" s="73" t="n">
        <x:v>1.2211</x:v>
      </x:c>
      <x:c r="F3703" s="73" t="n">
        <x:v>1.2211</x:v>
      </x:c>
      <x:c r="G3703" s="74" t="n">
        <x:v>-0.0092</x:v>
      </x:c>
      <x:c r="H3703" s="66" t="str">
        <x:v>系数CTA套利五号净值20260911.xlsx</x:v>
      </x:c>
      <x:c r="I3703" s="73" t="str">
        <x:f>""</x:f>
      </x:c>
      <x:c r="J3703" s="74" t="str">
        <x:f>""</x:f>
      </x:c>
      <x:c r="K3703" s="73" t="n">
        <x:f>MAX(K3702,F3703)</x:f>
        <x:v>1.2346</x:v>
      </x:c>
      <x:c r="L3703" s="74" t="n">
        <x:f>1-F3703/K3703</x:f>
        <x:v>0.010934715697391795</x:v>
      </x:c>
      <x:c r="M3703" s="73" t="str">
        <x:f>""</x:f>
      </x:c>
      <x:c r="N3703" s="74" t="str">
        <x:f>""</x:f>
      </x:c>
    </x:row>
    <x:row r="3704" ht="27" customHeight="1">
      <x:c r="A3704" s="66" t="str">
        <x:v>SXT086</x:v>
      </x:c>
      <x:c r="B3704" s="66" t="str">
        <x:v>系数CTA套利五号</x:v>
      </x:c>
      <x:c r="C3704" s="72" t="n">
        <x:v>45750</x:v>
      </x:c>
      <x:c r="D3704" s="73" t="n">
        <x:v>1.2316</x:v>
      </x:c>
      <x:c r="E3704" s="73" t="n">
        <x:v>1.2316</x:v>
      </x:c>
      <x:c r="F3704" s="73" t="n">
        <x:v>1.2316</x:v>
      </x:c>
      <x:c r="G3704" s="74" t="n">
        <x:v>0.0086</x:v>
      </x:c>
      <x:c r="H3704" s="66" t="str">
        <x:v>系数CTA套利五号净值20260911.xlsx</x:v>
      </x:c>
      <x:c r="I3704" s="73" t="str">
        <x:f>""</x:f>
      </x:c>
      <x:c r="J3704" s="74" t="str">
        <x:f>""</x:f>
      </x:c>
      <x:c r="K3704" s="73" t="n">
        <x:f>MAX(K3703,F3704)</x:f>
        <x:v>1.2346</x:v>
      </x:c>
      <x:c r="L3704" s="74" t="n">
        <x:f>1-F3704/K3704</x:f>
        <x:v>0.0024299368216424977</x:v>
      </x:c>
      <x:c r="M3704" s="73" t="str">
        <x:f>""</x:f>
      </x:c>
      <x:c r="N3704" s="74" t="str">
        <x:f>""</x:f>
      </x:c>
    </x:row>
    <x:row r="3705" ht="27" customHeight="1">
      <x:c r="A3705" s="66" t="str">
        <x:v>SXT086</x:v>
      </x:c>
      <x:c r="B3705" s="66" t="str">
        <x:v>系数CTA套利五号</x:v>
      </x:c>
      <x:c r="C3705" s="72" t="n">
        <x:v>45758</x:v>
      </x:c>
      <x:c r="D3705" s="73" t="n">
        <x:v>1.2406</x:v>
      </x:c>
      <x:c r="E3705" s="73" t="n">
        <x:v>1.2406</x:v>
      </x:c>
      <x:c r="F3705" s="73" t="n">
        <x:v>1.2406</x:v>
      </x:c>
      <x:c r="G3705" s="74" t="n">
        <x:v>0.0073</x:v>
      </x:c>
      <x:c r="H3705" s="66" t="str">
        <x:v>系数CTA套利五号净值20260911.xlsx</x:v>
      </x:c>
      <x:c r="I3705" s="73" t="str">
        <x:f>""</x:f>
      </x:c>
      <x:c r="J3705" s="74" t="str">
        <x:f>""</x:f>
      </x:c>
      <x:c r="K3705" s="73" t="n">
        <x:f>MAX(K3704,F3705)</x:f>
        <x:v>1.2406</x:v>
      </x:c>
      <x:c r="L3705" s="74" t="n">
        <x:f>1-F3705/K3705</x:f>
        <x:v>0</x:v>
      </x:c>
      <x:c r="M3705" s="73" t="str">
        <x:f>""</x:f>
      </x:c>
      <x:c r="N3705" s="74" t="str">
        <x:f>""</x:f>
      </x:c>
    </x:row>
    <x:row r="3706" ht="27" customHeight="1">
      <x:c r="A3706" s="66" t="str">
        <x:v>SXT086</x:v>
      </x:c>
      <x:c r="B3706" s="66" t="str">
        <x:v>系数CTA套利五号</x:v>
      </x:c>
      <x:c r="C3706" s="72" t="n">
        <x:v>45765</x:v>
      </x:c>
      <x:c r="D3706" s="73" t="n">
        <x:v>1.2537</x:v>
      </x:c>
      <x:c r="E3706" s="73" t="n">
        <x:v>1.2537</x:v>
      </x:c>
      <x:c r="F3706" s="73" t="n">
        <x:v>1.2537</x:v>
      </x:c>
      <x:c r="G3706" s="74" t="n">
        <x:v>0.0106</x:v>
      </x:c>
      <x:c r="H3706" s="66" t="str">
        <x:v>系数CTA套利五号净值20260911.xlsx</x:v>
      </x:c>
      <x:c r="I3706" s="73" t="str">
        <x:f>""</x:f>
      </x:c>
      <x:c r="J3706" s="74" t="str">
        <x:f>""</x:f>
      </x:c>
      <x:c r="K3706" s="73" t="n">
        <x:f>MAX(K3705,F3706)</x:f>
        <x:v>1.2537</x:v>
      </x:c>
      <x:c r="L3706" s="74" t="n">
        <x:f>1-F3706/K3706</x:f>
        <x:v>0</x:v>
      </x:c>
      <x:c r="M3706" s="73" t="str">
        <x:f>""</x:f>
      </x:c>
      <x:c r="N3706" s="74" t="str">
        <x:f>""</x:f>
      </x:c>
    </x:row>
    <x:row r="3707" ht="27" customHeight="1">
      <x:c r="A3707" s="66" t="str">
        <x:v>SXT086</x:v>
      </x:c>
      <x:c r="B3707" s="66" t="str">
        <x:v>系数CTA套利五号</x:v>
      </x:c>
      <x:c r="C3707" s="72" t="n">
        <x:v>45772</x:v>
      </x:c>
      <x:c r="D3707" s="73" t="n">
        <x:v>1.2602</x:v>
      </x:c>
      <x:c r="E3707" s="73" t="n">
        <x:v>1.2602</x:v>
      </x:c>
      <x:c r="F3707" s="73" t="n">
        <x:v>1.2602</x:v>
      </x:c>
      <x:c r="G3707" s="74" t="n">
        <x:v>0.0052</x:v>
      </x:c>
      <x:c r="H3707" s="66" t="str">
        <x:v>系数CTA套利五号净值20260911.xlsx</x:v>
      </x:c>
      <x:c r="I3707" s="73" t="str">
        <x:f>""</x:f>
      </x:c>
      <x:c r="J3707" s="74" t="str">
        <x:f>""</x:f>
      </x:c>
      <x:c r="K3707" s="73" t="n">
        <x:f>MAX(K3706,F3707)</x:f>
        <x:v>1.2602</x:v>
      </x:c>
      <x:c r="L3707" s="74" t="n">
        <x:f>1-F3707/K3707</x:f>
        <x:v>0</x:v>
      </x:c>
      <x:c r="M3707" s="73" t="str">
        <x:f>""</x:f>
      </x:c>
      <x:c r="N3707" s="74" t="str">
        <x:f>""</x:f>
      </x:c>
    </x:row>
    <x:row r="3708" ht="27" customHeight="1">
      <x:c r="A3708" s="66" t="str">
        <x:v>SXT086</x:v>
      </x:c>
      <x:c r="B3708" s="66" t="str">
        <x:v>系数CTA套利五号</x:v>
      </x:c>
      <x:c r="C3708" s="72" t="n">
        <x:v>45777</x:v>
      </x:c>
      <x:c r="D3708" s="73" t="n">
        <x:v>1.2712</x:v>
      </x:c>
      <x:c r="E3708" s="73" t="n">
        <x:v>1.2712</x:v>
      </x:c>
      <x:c r="F3708" s="73" t="n">
        <x:v>1.2712</x:v>
      </x:c>
      <x:c r="G3708" s="74" t="n">
        <x:v>0.0087</x:v>
      </x:c>
      <x:c r="H3708" s="66" t="str">
        <x:v>系数CTA套利五号净值20260911.xlsx</x:v>
      </x:c>
      <x:c r="I3708" s="73" t="str">
        <x:f>""</x:f>
      </x:c>
      <x:c r="J3708" s="74" t="str">
        <x:f>""</x:f>
      </x:c>
      <x:c r="K3708" s="73" t="n">
        <x:f>MAX(K3707,F3708)</x:f>
        <x:v>1.2712</x:v>
      </x:c>
      <x:c r="L3708" s="74" t="n">
        <x:f>1-F3708/K3708</x:f>
        <x:v>0</x:v>
      </x:c>
      <x:c r="M3708" s="73" t="str">
        <x:f>""</x:f>
      </x:c>
      <x:c r="N3708" s="74" t="str">
        <x:f>""</x:f>
      </x:c>
    </x:row>
    <x:row r="3709" ht="27" customHeight="1">
      <x:c r="A3709" s="66" t="str">
        <x:v>SXT086</x:v>
      </x:c>
      <x:c r="B3709" s="66" t="str">
        <x:v>系数CTA套利五号</x:v>
      </x:c>
      <x:c r="C3709" s="72" t="n">
        <x:v>45786</x:v>
      </x:c>
      <x:c r="D3709" s="73" t="n">
        <x:v>1.2763</x:v>
      </x:c>
      <x:c r="E3709" s="73" t="n">
        <x:v>1.2763</x:v>
      </x:c>
      <x:c r="F3709" s="73" t="n">
        <x:v>1.2763</x:v>
      </x:c>
      <x:c r="G3709" s="74" t="n">
        <x:v>0.004</x:v>
      </x:c>
      <x:c r="H3709" s="66" t="str">
        <x:v>系数CTA套利五号净值20260911.xlsx</x:v>
      </x:c>
      <x:c r="I3709" s="73" t="str">
        <x:f>""</x:f>
      </x:c>
      <x:c r="J3709" s="74" t="str">
        <x:f>""</x:f>
      </x:c>
      <x:c r="K3709" s="73" t="n">
        <x:f>MAX(K3708,F3709)</x:f>
        <x:v>1.2763</x:v>
      </x:c>
      <x:c r="L3709" s="74" t="n">
        <x:f>1-F3709/K3709</x:f>
        <x:v>0</x:v>
      </x:c>
      <x:c r="M3709" s="73" t="str">
        <x:f>""</x:f>
      </x:c>
      <x:c r="N3709" s="74" t="str">
        <x:f>""</x:f>
      </x:c>
    </x:row>
    <x:row r="3710" ht="27" customHeight="1">
      <x:c r="A3710" s="66" t="str">
        <x:v>SXT086</x:v>
      </x:c>
      <x:c r="B3710" s="66" t="str">
        <x:v>系数CTA套利五号</x:v>
      </x:c>
      <x:c r="C3710" s="72" t="n">
        <x:v>45793</x:v>
      </x:c>
      <x:c r="D3710" s="73" t="n">
        <x:v>1.2934</x:v>
      </x:c>
      <x:c r="E3710" s="73" t="n">
        <x:v>1.2934</x:v>
      </x:c>
      <x:c r="F3710" s="73" t="n">
        <x:v>1.2934</x:v>
      </x:c>
      <x:c r="G3710" s="74" t="n">
        <x:v>0.0134</x:v>
      </x:c>
      <x:c r="H3710" s="66" t="str">
        <x:v>系数CTA套利五号净值20260911.xlsx</x:v>
      </x:c>
      <x:c r="I3710" s="73" t="str">
        <x:f>""</x:f>
      </x:c>
      <x:c r="J3710" s="74" t="str">
        <x:f>""</x:f>
      </x:c>
      <x:c r="K3710" s="73" t="n">
        <x:f>MAX(K3709,F3710)</x:f>
        <x:v>1.2934</x:v>
      </x:c>
      <x:c r="L3710" s="74" t="n">
        <x:f>1-F3710/K3710</x:f>
        <x:v>0</x:v>
      </x:c>
      <x:c r="M3710" s="73" t="str">
        <x:f>""</x:f>
      </x:c>
      <x:c r="N3710" s="74" t="str">
        <x:f>""</x:f>
      </x:c>
    </x:row>
    <x:row r="3711" ht="27" customHeight="1">
      <x:c r="A3711" s="66" t="str">
        <x:v>SXT086</x:v>
      </x:c>
      <x:c r="B3711" s="66" t="str">
        <x:v>系数CTA套利五号</x:v>
      </x:c>
      <x:c r="C3711" s="72" t="n">
        <x:v>45800</x:v>
      </x:c>
      <x:c r="D3711" s="73" t="n">
        <x:v>1.2863</x:v>
      </x:c>
      <x:c r="E3711" s="73" t="n">
        <x:v>1.2863</x:v>
      </x:c>
      <x:c r="F3711" s="73" t="n">
        <x:v>1.2863</x:v>
      </x:c>
      <x:c r="G3711" s="74" t="n">
        <x:v>-0.0055000000000000005</x:v>
      </x:c>
      <x:c r="H3711" s="66" t="str">
        <x:v>系数CTA套利五号净值20260911.xlsx</x:v>
      </x:c>
      <x:c r="I3711" s="73" t="str">
        <x:f>""</x:f>
      </x:c>
      <x:c r="J3711" s="74" t="str">
        <x:f>""</x:f>
      </x:c>
      <x:c r="K3711" s="73" t="n">
        <x:f>MAX(K3710,F3711)</x:f>
        <x:v>1.2934</x:v>
      </x:c>
      <x:c r="L3711" s="74" t="n">
        <x:f>1-F3711/K3711</x:f>
        <x:v>0.00548940776248652</x:v>
      </x:c>
      <x:c r="M3711" s="73" t="str">
        <x:f>""</x:f>
      </x:c>
      <x:c r="N3711" s="74" t="str">
        <x:f>""</x:f>
      </x:c>
    </x:row>
    <x:row r="3712" ht="27" customHeight="1">
      <x:c r="A3712" s="66" t="str">
        <x:v>SXT086</x:v>
      </x:c>
      <x:c r="B3712" s="66" t="str">
        <x:v>系数CTA套利五号</x:v>
      </x:c>
      <x:c r="C3712" s="72" t="n">
        <x:v>45807</x:v>
      </x:c>
      <x:c r="D3712" s="73" t="n">
        <x:v>1.2957</x:v>
      </x:c>
      <x:c r="E3712" s="73" t="n">
        <x:v>1.2957</x:v>
      </x:c>
      <x:c r="F3712" s="73" t="n">
        <x:v>1.2957</x:v>
      </x:c>
      <x:c r="G3712" s="74" t="n">
        <x:v>0.0073</x:v>
      </x:c>
      <x:c r="H3712" s="66" t="str">
        <x:v>系数CTA套利五号净值20260911.xlsx</x:v>
      </x:c>
      <x:c r="I3712" s="73" t="str">
        <x:f>""</x:f>
      </x:c>
      <x:c r="J3712" s="74" t="str">
        <x:f>""</x:f>
      </x:c>
      <x:c r="K3712" s="73" t="n">
        <x:f>MAX(K3711,F3712)</x:f>
        <x:v>1.2957</x:v>
      </x:c>
      <x:c r="L3712" s="74" t="n">
        <x:f>1-F3712/K3712</x:f>
        <x:v>0</x:v>
      </x:c>
      <x:c r="M3712" s="73" t="str">
        <x:f>""</x:f>
      </x:c>
      <x:c r="N3712" s="74" t="str">
        <x:f>""</x:f>
      </x:c>
    </x:row>
    <x:row r="3713" ht="27" customHeight="1">
      <x:c r="A3713" s="66" t="str">
        <x:v>SXT086</x:v>
      </x:c>
      <x:c r="B3713" s="66" t="str">
        <x:v>系数CTA套利五号</x:v>
      </x:c>
      <x:c r="C3713" s="72" t="n">
        <x:v>45814</x:v>
      </x:c>
      <x:c r="D3713" s="73" t="n">
        <x:v>1.291</x:v>
      </x:c>
      <x:c r="E3713" s="73" t="n">
        <x:v>1.291</x:v>
      </x:c>
      <x:c r="F3713" s="73" t="n">
        <x:v>1.291</x:v>
      </x:c>
      <x:c r="G3713" s="74" t="n">
        <x:v>-0.0036</x:v>
      </x:c>
      <x:c r="H3713" s="66" t="str">
        <x:v>系数CTA套利五号净值20260911.xlsx</x:v>
      </x:c>
      <x:c r="I3713" s="73" t="str">
        <x:f>""</x:f>
      </x:c>
      <x:c r="J3713" s="74" t="str">
        <x:f>""</x:f>
      </x:c>
      <x:c r="K3713" s="73" t="n">
        <x:f>MAX(K3712,F3713)</x:f>
        <x:v>1.2957</x:v>
      </x:c>
      <x:c r="L3713" s="74" t="n">
        <x:f>1-F3713/K3713</x:f>
        <x:v>0.0036273828818400577</x:v>
      </x:c>
      <x:c r="M3713" s="73" t="str">
        <x:f>""</x:f>
      </x:c>
      <x:c r="N3713" s="74" t="str">
        <x:f>""</x:f>
      </x:c>
    </x:row>
    <x:row r="3714" ht="27" customHeight="1">
      <x:c r="A3714" s="66" t="str">
        <x:v>SXT086</x:v>
      </x:c>
      <x:c r="B3714" s="66" t="str">
        <x:v>系数CTA套利五号</x:v>
      </x:c>
      <x:c r="C3714" s="72" t="n">
        <x:v>45821</x:v>
      </x:c>
      <x:c r="D3714" s="73" t="n">
        <x:v>1.2947</x:v>
      </x:c>
      <x:c r="E3714" s="73" t="n">
        <x:v>1.2947</x:v>
      </x:c>
      <x:c r="F3714" s="73" t="n">
        <x:v>1.2947</x:v>
      </x:c>
      <x:c r="G3714" s="74" t="n">
        <x:v>0.0029</x:v>
      </x:c>
      <x:c r="H3714" s="66" t="str">
        <x:v>系数CTA套利五号净值20260911.xlsx</x:v>
      </x:c>
      <x:c r="I3714" s="73" t="str">
        <x:f>""</x:f>
      </x:c>
      <x:c r="J3714" s="74" t="str">
        <x:f>""</x:f>
      </x:c>
      <x:c r="K3714" s="73" t="n">
        <x:f>MAX(K3713,F3714)</x:f>
        <x:v>1.2957</x:v>
      </x:c>
      <x:c r="L3714" s="74" t="n">
        <x:f>1-F3714/K3714</x:f>
        <x:v>0.0007717835918809035</x:v>
      </x:c>
      <x:c r="M3714" s="73" t="str">
        <x:f>""</x:f>
      </x:c>
      <x:c r="N3714" s="74" t="str">
        <x:f>""</x:f>
      </x:c>
    </x:row>
    <x:row r="3715" ht="27" customHeight="1">
      <x:c r="A3715" s="66" t="str">
        <x:v>SXT086</x:v>
      </x:c>
      <x:c r="B3715" s="66" t="str">
        <x:v>系数CTA套利五号</x:v>
      </x:c>
      <x:c r="C3715" s="72" t="n">
        <x:v>45828</x:v>
      </x:c>
      <x:c r="D3715" s="73" t="n">
        <x:v>1.3101</x:v>
      </x:c>
      <x:c r="E3715" s="73" t="n">
        <x:v>1.3101</x:v>
      </x:c>
      <x:c r="F3715" s="73" t="n">
        <x:v>1.3101</x:v>
      </x:c>
      <x:c r="G3715" s="74" t="n">
        <x:v>0.011899999999999999</x:v>
      </x:c>
      <x:c r="H3715" s="66" t="str">
        <x:v>系数CTA套利五号净值20260911.xlsx</x:v>
      </x:c>
      <x:c r="I3715" s="73" t="str">
        <x:f>""</x:f>
      </x:c>
      <x:c r="J3715" s="74" t="str">
        <x:f>""</x:f>
      </x:c>
      <x:c r="K3715" s="73" t="n">
        <x:f>MAX(K3714,F3715)</x:f>
        <x:v>1.3101</x:v>
      </x:c>
      <x:c r="L3715" s="74" t="n">
        <x:f>1-F3715/K3715</x:f>
        <x:v>0</x:v>
      </x:c>
      <x:c r="M3715" s="73" t="str">
        <x:f>""</x:f>
      </x:c>
      <x:c r="N3715" s="74" t="str">
        <x:f>""</x:f>
      </x:c>
    </x:row>
    <x:row r="3716" ht="27" customHeight="1">
      <x:c r="A3716" s="66" t="str">
        <x:v>SXT086</x:v>
      </x:c>
      <x:c r="B3716" s="66" t="str">
        <x:v>系数CTA套利五号</x:v>
      </x:c>
      <x:c r="C3716" s="72" t="n">
        <x:v>45835</x:v>
      </x:c>
      <x:c r="D3716" s="73" t="n">
        <x:v>1.3014</x:v>
      </x:c>
      <x:c r="E3716" s="73" t="n">
        <x:v>1.3014</x:v>
      </x:c>
      <x:c r="F3716" s="73" t="n">
        <x:v>1.3014</x:v>
      </x:c>
      <x:c r="G3716" s="74" t="n">
        <x:v>-0.0066</x:v>
      </x:c>
      <x:c r="H3716" s="66" t="str">
        <x:v>系数CTA套利五号净值20260911.xlsx</x:v>
      </x:c>
      <x:c r="I3716" s="73" t="str">
        <x:f>""</x:f>
      </x:c>
      <x:c r="J3716" s="74" t="str">
        <x:f>""</x:f>
      </x:c>
      <x:c r="K3716" s="73" t="n">
        <x:f>MAX(K3715,F3716)</x:f>
        <x:v>1.3101</x:v>
      </x:c>
      <x:c r="L3716" s="74" t="n">
        <x:f>1-F3716/K3716</x:f>
        <x:v>0.006640714449278828</x:v>
      </x:c>
      <x:c r="M3716" s="73" t="str">
        <x:f>""</x:f>
      </x:c>
      <x:c r="N3716" s="74" t="str">
        <x:f>""</x:f>
      </x:c>
    </x:row>
    <x:row r="3717" ht="27" customHeight="1">
      <x:c r="A3717" s="66" t="str">
        <x:v>SXT086</x:v>
      </x:c>
      <x:c r="B3717" s="66" t="str">
        <x:v>系数CTA套利五号</x:v>
      </x:c>
      <x:c r="C3717" s="72" t="n">
        <x:v>45842</x:v>
      </x:c>
      <x:c r="D3717" s="73" t="n">
        <x:v>1.2979</x:v>
      </x:c>
      <x:c r="E3717" s="73" t="n">
        <x:v>1.2979</x:v>
      </x:c>
      <x:c r="F3717" s="73" t="n">
        <x:v>1.2979</x:v>
      </x:c>
      <x:c r="G3717" s="74" t="n">
        <x:v>-0.0027</x:v>
      </x:c>
      <x:c r="H3717" s="66" t="str">
        <x:v>系数CTA套利五号净值20260911.xlsx</x:v>
      </x:c>
      <x:c r="I3717" s="73" t="str">
        <x:f>""</x:f>
      </x:c>
      <x:c r="J3717" s="74" t="str">
        <x:f>""</x:f>
      </x:c>
      <x:c r="K3717" s="73" t="n">
        <x:f>MAX(K3716,F3717)</x:f>
        <x:v>1.3101</x:v>
      </x:c>
      <x:c r="L3717" s="74" t="n">
        <x:f>1-F3717/K3717</x:f>
        <x:v>0.009312266239218325</x:v>
      </x:c>
      <x:c r="M3717" s="73" t="str">
        <x:f>""</x:f>
      </x:c>
      <x:c r="N3717" s="74" t="str">
        <x:f>""</x:f>
      </x:c>
    </x:row>
    <x:row r="3718" ht="27" customHeight="1">
      <x:c r="A3718" s="66" t="str">
        <x:v>SXT086</x:v>
      </x:c>
      <x:c r="B3718" s="66" t="str">
        <x:v>系数CTA套利五号</x:v>
      </x:c>
      <x:c r="C3718" s="72" t="n">
        <x:v>45849</x:v>
      </x:c>
      <x:c r="D3718" s="73" t="n">
        <x:v>1.3013</x:v>
      </x:c>
      <x:c r="E3718" s="73" t="n">
        <x:v>1.3013</x:v>
      </x:c>
      <x:c r="F3718" s="73" t="n">
        <x:v>1.3013</x:v>
      </x:c>
      <x:c r="G3718" s="74" t="n">
        <x:v>0.0026</x:v>
      </x:c>
      <x:c r="H3718" s="66" t="str">
        <x:v>系数CTA套利五号净值20260911.xlsx</x:v>
      </x:c>
      <x:c r="I3718" s="73" t="str">
        <x:f>""</x:f>
      </x:c>
      <x:c r="J3718" s="74" t="str">
        <x:f>""</x:f>
      </x:c>
      <x:c r="K3718" s="73" t="n">
        <x:f>MAX(K3717,F3718)</x:f>
        <x:v>1.3101</x:v>
      </x:c>
      <x:c r="L3718" s="74" t="n">
        <x:f>1-F3718/K3718</x:f>
        <x:v>0.0067170445004198776</x:v>
      </x:c>
      <x:c r="M3718" s="73" t="str">
        <x:f>""</x:f>
      </x:c>
      <x:c r="N3718" s="74" t="str">
        <x:f>""</x:f>
      </x:c>
    </x:row>
    <x:row r="3719" ht="27" customHeight="1">
      <x:c r="A3719" s="66" t="str">
        <x:v>SXT086</x:v>
      </x:c>
      <x:c r="B3719" s="66" t="str">
        <x:v>系数CTA套利五号</x:v>
      </x:c>
      <x:c r="C3719" s="72" t="n">
        <x:v>45856</x:v>
      </x:c>
      <x:c r="D3719" s="73" t="n">
        <x:v>1.3042</x:v>
      </x:c>
      <x:c r="E3719" s="73" t="n">
        <x:v>1.3042</x:v>
      </x:c>
      <x:c r="F3719" s="73" t="n">
        <x:v>1.3042</x:v>
      </x:c>
      <x:c r="G3719" s="74" t="n">
        <x:v>0.0022</x:v>
      </x:c>
      <x:c r="H3719" s="66" t="str">
        <x:v>系数CTA套利五号净值20260911.xlsx</x:v>
      </x:c>
      <x:c r="I3719" s="73" t="str">
        <x:f>""</x:f>
      </x:c>
      <x:c r="J3719" s="74" t="str">
        <x:f>""</x:f>
      </x:c>
      <x:c r="K3719" s="73" t="n">
        <x:f>MAX(K3718,F3719)</x:f>
        <x:v>1.3101</x:v>
      </x:c>
      <x:c r="L3719" s="74" t="n">
        <x:f>1-F3719/K3719</x:f>
        <x:v>0.004503473017326898</x:v>
      </x:c>
      <x:c r="M3719" s="73" t="str">
        <x:f>""</x:f>
      </x:c>
      <x:c r="N3719" s="74" t="str">
        <x:f>""</x:f>
      </x:c>
    </x:row>
    <x:row r="3720" ht="27" customHeight="1">
      <x:c r="A3720" s="66" t="str">
        <x:v>SXT086</x:v>
      </x:c>
      <x:c r="B3720" s="66" t="str">
        <x:v>系数CTA套利五号</x:v>
      </x:c>
      <x:c r="C3720" s="72" t="n">
        <x:v>45863</x:v>
      </x:c>
      <x:c r="D3720" s="73" t="n">
        <x:v>1.3172</x:v>
      </x:c>
      <x:c r="E3720" s="73" t="n">
        <x:v>1.3172</x:v>
      </x:c>
      <x:c r="F3720" s="73" t="n">
        <x:v>1.3172</x:v>
      </x:c>
      <x:c r="G3720" s="74" t="n">
        <x:v>0.01</x:v>
      </x:c>
      <x:c r="H3720" s="66" t="str">
        <x:v>系数CTA套利五号净值20260911.xlsx</x:v>
      </x:c>
      <x:c r="I3720" s="73" t="str">
        <x:f>""</x:f>
      </x:c>
      <x:c r="J3720" s="74" t="str">
        <x:f>""</x:f>
      </x:c>
      <x:c r="K3720" s="73" t="n">
        <x:f>MAX(K3719,F3720)</x:f>
        <x:v>1.3172</x:v>
      </x:c>
      <x:c r="L3720" s="74" t="n">
        <x:f>1-F3720/K3720</x:f>
        <x:v>0</x:v>
      </x:c>
      <x:c r="M3720" s="73" t="str">
        <x:f>""</x:f>
      </x:c>
      <x:c r="N3720" s="74" t="str">
        <x:f>""</x:f>
      </x:c>
    </x:row>
    <x:row r="3721" ht="27" customHeight="1">
      <x:c r="A3721" s="66" t="str">
        <x:v>SXT086</x:v>
      </x:c>
      <x:c r="B3721" s="66" t="str">
        <x:v>系数CTA套利五号</x:v>
      </x:c>
      <x:c r="C3721" s="72" t="n">
        <x:v>45870</x:v>
      </x:c>
      <x:c r="D3721" s="73" t="n">
        <x:v>1.2965</x:v>
      </x:c>
      <x:c r="E3721" s="73" t="n">
        <x:v>1.2965</x:v>
      </x:c>
      <x:c r="F3721" s="73" t="n">
        <x:v>1.2965</x:v>
      </x:c>
      <x:c r="G3721" s="74" t="n">
        <x:v>-0.015700000000000002</x:v>
      </x:c>
      <x:c r="H3721" s="66" t="str">
        <x:v>系数CTA套利五号净值20260911.xlsx</x:v>
      </x:c>
      <x:c r="I3721" s="73" t="str">
        <x:f>""</x:f>
      </x:c>
      <x:c r="J3721" s="74" t="str">
        <x:f>""</x:f>
      </x:c>
      <x:c r="K3721" s="73" t="n">
        <x:f>MAX(K3720,F3721)</x:f>
        <x:v>1.3172</x:v>
      </x:c>
      <x:c r="L3721" s="74" t="n">
        <x:f>1-F3721/K3721</x:f>
        <x:v>0.015715153355602696</x:v>
      </x:c>
      <x:c r="M3721" s="73" t="str">
        <x:f>""</x:f>
      </x:c>
      <x:c r="N3721" s="74" t="str">
        <x:f>""</x:f>
      </x:c>
    </x:row>
    <x:row r="3722" ht="27" customHeight="1">
      <x:c r="A3722" s="66" t="str">
        <x:v>SXT086</x:v>
      </x:c>
      <x:c r="B3722" s="66" t="str">
        <x:v>系数CTA套利五号</x:v>
      </x:c>
      <x:c r="C3722" s="72" t="n">
        <x:v>45877</x:v>
      </x:c>
      <x:c r="D3722" s="73" t="n">
        <x:v>1.2958</x:v>
      </x:c>
      <x:c r="E3722" s="73" t="n">
        <x:v>1.2958</x:v>
      </x:c>
      <x:c r="F3722" s="73" t="n">
        <x:v>1.2958</x:v>
      </x:c>
      <x:c r="G3722" s="74" t="n">
        <x:v>-0.0005</x:v>
      </x:c>
      <x:c r="H3722" s="66" t="str">
        <x:v>系数CTA套利五号净值20260911.xlsx</x:v>
      </x:c>
      <x:c r="I3722" s="73" t="str">
        <x:f>""</x:f>
      </x:c>
      <x:c r="J3722" s="74" t="str">
        <x:f>""</x:f>
      </x:c>
      <x:c r="K3722" s="73" t="n">
        <x:f>MAX(K3721,F3722)</x:f>
        <x:v>1.3172</x:v>
      </x:c>
      <x:c r="L3722" s="74" t="n">
        <x:f>1-F3722/K3722</x:f>
        <x:v>0.016246583662313907</x:v>
      </x:c>
      <x:c r="M3722" s="73" t="str">
        <x:f>""</x:f>
      </x:c>
      <x:c r="N3722" s="74" t="str">
        <x:f>""</x:f>
      </x:c>
    </x:row>
    <x:row r="3723" ht="27" customHeight="1">
      <x:c r="A3723" s="66" t="str">
        <x:v>SXT086</x:v>
      </x:c>
      <x:c r="B3723" s="66" t="str">
        <x:v>系数CTA套利五号</x:v>
      </x:c>
      <x:c r="C3723" s="72" t="n">
        <x:v>45884</x:v>
      </x:c>
      <x:c r="D3723" s="73" t="n">
        <x:v>1.3138</x:v>
      </x:c>
      <x:c r="E3723" s="73" t="n">
        <x:v>1.3138</x:v>
      </x:c>
      <x:c r="F3723" s="73" t="n">
        <x:v>1.3138</x:v>
      </x:c>
      <x:c r="G3723" s="74" t="n">
        <x:v>0.0139</x:v>
      </x:c>
      <x:c r="H3723" s="66" t="str">
        <x:v>系数CTA套利五号净值20260911.xlsx</x:v>
      </x:c>
      <x:c r="I3723" s="73" t="str">
        <x:f>""</x:f>
      </x:c>
      <x:c r="J3723" s="74" t="str">
        <x:f>""</x:f>
      </x:c>
      <x:c r="K3723" s="73" t="n">
        <x:f>MAX(K3722,F3723)</x:f>
        <x:v>1.3172</x:v>
      </x:c>
      <x:c r="L3723" s="74" t="n">
        <x:f>1-F3723/K3723</x:f>
        <x:v>0.0025812329183114713</x:v>
      </x:c>
      <x:c r="M3723" s="73" t="str">
        <x:f>""</x:f>
      </x:c>
      <x:c r="N3723" s="74" t="str">
        <x:f>""</x:f>
      </x:c>
    </x:row>
    <x:row r="3724" ht="27" customHeight="1">
      <x:c r="A3724" s="66" t="str">
        <x:v>SXT086</x:v>
      </x:c>
      <x:c r="B3724" s="66" t="str">
        <x:v>系数CTA套利五号</x:v>
      </x:c>
      <x:c r="C3724" s="72" t="n">
        <x:v>45891</x:v>
      </x:c>
      <x:c r="D3724" s="73" t="n">
        <x:v>1.3163</x:v>
      </x:c>
      <x:c r="E3724" s="73" t="n">
        <x:v>1.3163</x:v>
      </x:c>
      <x:c r="F3724" s="73" t="n">
        <x:v>1.3163</x:v>
      </x:c>
      <x:c r="G3724" s="74" t="n">
        <x:v>0.0019</x:v>
      </x:c>
      <x:c r="H3724" s="66" t="str">
        <x:v>系数CTA套利五号净值20260911.xlsx</x:v>
      </x:c>
      <x:c r="I3724" s="73" t="str">
        <x:f>""</x:f>
      </x:c>
      <x:c r="J3724" s="74" t="str">
        <x:f>""</x:f>
      </x:c>
      <x:c r="K3724" s="73" t="n">
        <x:f>MAX(K3723,F3724)</x:f>
        <x:v>1.3172</x:v>
      </x:c>
      <x:c r="L3724" s="74" t="n">
        <x:f>1-F3724/K3724</x:f>
        <x:v>0.0006832675372000496</x:v>
      </x:c>
      <x:c r="M3724" s="73" t="str">
        <x:f>""</x:f>
      </x:c>
      <x:c r="N3724" s="74" t="str">
        <x:f>""</x:f>
      </x:c>
    </x:row>
    <x:row r="3725" ht="27" customHeight="1">
      <x:c r="A3725" s="66" t="str">
        <x:v>SXT086</x:v>
      </x:c>
      <x:c r="B3725" s="66" t="str">
        <x:v>系数CTA套利五号</x:v>
      </x:c>
      <x:c r="C3725" s="72" t="n">
        <x:v>45898</x:v>
      </x:c>
      <x:c r="D3725" s="73" t="n">
        <x:v>1.3123</x:v>
      </x:c>
      <x:c r="E3725" s="73" t="n">
        <x:v>1.3123</x:v>
      </x:c>
      <x:c r="F3725" s="73" t="n">
        <x:v>1.3123</x:v>
      </x:c>
      <x:c r="G3725" s="74" t="n">
        <x:v>-0.003</x:v>
      </x:c>
      <x:c r="H3725" s="66" t="str">
        <x:v>系数CTA套利五号净值20260911.xlsx</x:v>
      </x:c>
      <x:c r="I3725" s="73" t="n">
        <x:f>F3725</x:f>
        <x:v>1.3123</x:v>
      </x:c>
      <x:c r="J3725" s="74" t="n">
        <x:f>1-F3725/I3725</x:f>
        <x:v>0</x:v>
      </x:c>
      <x:c r="K3725" s="73" t="n">
        <x:f>MAX(K3724,F3725)</x:f>
        <x:v>1.3172</x:v>
      </x:c>
      <x:c r="L3725" s="74" t="n">
        <x:f>1-F3725/K3725</x:f>
        <x:v>0.0037200121469783687</x:v>
      </x:c>
      <x:c r="M3725" s="73" t="str">
        <x:f>""</x:f>
      </x:c>
      <x:c r="N3725" s="74" t="str">
        <x:f>""</x:f>
      </x:c>
    </x:row>
    <x:row r="3726" ht="27" customHeight="1">
      <x:c r="A3726" s="66" t="str">
        <x:v>SXT086</x:v>
      </x:c>
      <x:c r="B3726" s="66" t="str">
        <x:v>系数CTA套利五号</x:v>
      </x:c>
      <x:c r="C3726" s="72" t="n">
        <x:v>45905</x:v>
      </x:c>
      <x:c r="D3726" s="73" t="n">
        <x:v>1.317</x:v>
      </x:c>
      <x:c r="E3726" s="73" t="n">
        <x:v>1.317</x:v>
      </x:c>
      <x:c r="F3726" s="73" t="n">
        <x:v>1.317</x:v>
      </x:c>
      <x:c r="G3726" s="74" t="n">
        <x:v>0.0036</x:v>
      </x:c>
      <x:c r="H3726" s="66" t="str">
        <x:v>系数CTA套利五号净值20260911.xlsx</x:v>
      </x:c>
      <x:c r="I3726" s="73" t="n">
        <x:f>MAX(I3725,F3726)</x:f>
        <x:v>1.317</x:v>
      </x:c>
      <x:c r="J3726" s="74" t="n">
        <x:f>1-F3726/I3726</x:f>
        <x:v>0</x:v>
      </x:c>
      <x:c r="K3726" s="73" t="n">
        <x:f>MAX(K3725,F3726)</x:f>
        <x:v>1.3172</x:v>
      </x:c>
      <x:c r="L3726" s="74" t="n">
        <x:f>1-F3726/K3726</x:f>
        <x:v>0.00015183723048894926</x:v>
      </x:c>
      <x:c r="M3726" s="73" t="str">
        <x:f>""</x:f>
      </x:c>
      <x:c r="N3726" s="74" t="str">
        <x:f>""</x:f>
      </x:c>
    </x:row>
    <x:row r="3727" ht="27" customHeight="1">
      <x:c r="A3727" s="66" t="str">
        <x:v>SXT086</x:v>
      </x:c>
      <x:c r="B3727" s="66" t="str">
        <x:v>系数CTA套利五号</x:v>
      </x:c>
      <x:c r="C3727" s="72" t="n">
        <x:v>45912</x:v>
      </x:c>
      <x:c r="D3727" s="73" t="n">
        <x:v>1.302</x:v>
      </x:c>
      <x:c r="E3727" s="73" t="n">
        <x:v>1.302</x:v>
      </x:c>
      <x:c r="F3727" s="73" t="n">
        <x:v>1.302</x:v>
      </x:c>
      <x:c r="G3727" s="74" t="n">
        <x:v>-0.011399999999999999</x:v>
      </x:c>
      <x:c r="H3727" s="66" t="str">
        <x:v>系数CTA套利五号净值20260911.xlsx</x:v>
      </x:c>
      <x:c r="I3727" s="73" t="n">
        <x:f>MAX(I3726,F3727)</x:f>
        <x:v>1.317</x:v>
      </x:c>
      <x:c r="J3727" s="74" t="n">
        <x:f>1-F3727/I3727</x:f>
        <x:v>0.011389521640090994</x:v>
      </x:c>
      <x:c r="K3727" s="73" t="n">
        <x:f>MAX(K3726,F3727)</x:f>
        <x:v>1.3172</x:v>
      </x:c>
      <x:c r="L3727" s="74" t="n">
        <x:f>1-F3727/K3727</x:f>
        <x:v>0.01153962951715748</x:v>
      </x:c>
      <x:c r="M3727" s="73" t="str">
        <x:f>""</x:f>
      </x:c>
      <x:c r="N3727" s="74" t="str">
        <x:f>""</x:f>
      </x:c>
    </x:row>
    <x:row r="3728" ht="27" customHeight="1">
      <x:c r="A3728" s="66" t="str">
        <x:v>SXT086</x:v>
      </x:c>
      <x:c r="B3728" s="66" t="str">
        <x:v>系数CTA套利五号</x:v>
      </x:c>
      <x:c r="C3728" s="72" t="n">
        <x:v>45919</x:v>
      </x:c>
      <x:c r="D3728" s="73" t="n">
        <x:v>1.304</x:v>
      </x:c>
      <x:c r="E3728" s="73" t="n">
        <x:v>1.304</x:v>
      </x:c>
      <x:c r="F3728" s="73" t="n">
        <x:v>1.304</x:v>
      </x:c>
      <x:c r="G3728" s="74" t="n">
        <x:v>0.0015</x:v>
      </x:c>
      <x:c r="H3728" s="66" t="str">
        <x:v>系数CTA套利五号净值20260911.xlsx</x:v>
      </x:c>
      <x:c r="I3728" s="73" t="n">
        <x:f>MAX(I3727,F3728)</x:f>
        <x:v>1.317</x:v>
      </x:c>
      <x:c r="J3728" s="74" t="n">
        <x:f>1-F3728/I3728</x:f>
        <x:v>0.00987091875474555</x:v>
      </x:c>
      <x:c r="K3728" s="73" t="n">
        <x:f>MAX(K3727,F3728)</x:f>
        <x:v>1.3172</x:v>
      </x:c>
      <x:c r="L3728" s="74" t="n">
        <x:f>1-F3728/K3728</x:f>
        <x:v>0.01002125721226832</x:v>
      </x:c>
      <x:c r="M3728" s="73" t="str">
        <x:f>""</x:f>
      </x:c>
      <x:c r="N3728" s="74" t="str">
        <x:f>""</x:f>
      </x:c>
    </x:row>
    <x:row r="3729" ht="27" customHeight="1">
      <x:c r="A3729" s="66" t="str">
        <x:v>SXT086</x:v>
      </x:c>
      <x:c r="B3729" s="66" t="str">
        <x:v>系数CTA套利五号</x:v>
      </x:c>
      <x:c r="C3729" s="72" t="n">
        <x:v>45926</x:v>
      </x:c>
      <x:c r="D3729" s="73" t="n">
        <x:v>1.3103</x:v>
      </x:c>
      <x:c r="E3729" s="73" t="n">
        <x:v>1.3103</x:v>
      </x:c>
      <x:c r="F3729" s="73" t="n">
        <x:v>1.3103</x:v>
      </x:c>
      <x:c r="G3729" s="74" t="n">
        <x:v>0.0048</x:v>
      </x:c>
      <x:c r="H3729" s="66" t="str">
        <x:v>系数CTA套利五号净值20260911.xlsx</x:v>
      </x:c>
      <x:c r="I3729" s="73" t="n">
        <x:f>MAX(I3728,F3729)</x:f>
        <x:v>1.317</x:v>
      </x:c>
      <x:c r="J3729" s="74" t="n">
        <x:f>1-F3729/I3729</x:f>
        <x:v>0.005087319665907364</x:v>
      </x:c>
      <x:c r="K3729" s="73" t="n">
        <x:f>MAX(K3728,F3729)</x:f>
        <x:v>1.3172</x:v>
      </x:c>
      <x:c r="L3729" s="74" t="n">
        <x:f>1-F3729/K3729</x:f>
        <x:v>0.005238384451867528</x:v>
      </x:c>
      <x:c r="M3729" s="73" t="str">
        <x:f>""</x:f>
      </x:c>
      <x:c r="N3729" s="74" t="str">
        <x:f>""</x:f>
      </x:c>
    </x:row>
    <x:row r="3730" ht="27" customHeight="1">
      <x:c r="A3730" s="66" t="str">
        <x:v>SXT086</x:v>
      </x:c>
      <x:c r="B3730" s="66" t="str">
        <x:v>系数CTA套利五号</x:v>
      </x:c>
      <x:c r="C3730" s="72" t="n">
        <x:v>45930</x:v>
      </x:c>
      <x:c r="D3730" s="73" t="n">
        <x:v>1.3148</x:v>
      </x:c>
      <x:c r="E3730" s="73" t="n">
        <x:v>1.3148</x:v>
      </x:c>
      <x:c r="F3730" s="73" t="n">
        <x:v>1.3148</x:v>
      </x:c>
      <x:c r="G3730" s="74" t="n">
        <x:v>0.0034000000000000002</x:v>
      </x:c>
      <x:c r="H3730" s="66" t="str">
        <x:v>系数CTA套利五号净值20260911.xlsx</x:v>
      </x:c>
      <x:c r="I3730" s="73" t="n">
        <x:f>MAX(I3729,F3730)</x:f>
        <x:v>1.317</x:v>
      </x:c>
      <x:c r="J3730" s="74" t="n">
        <x:f>1-F3730/I3730</x:f>
        <x:v>0.001670463173879977</x:v>
      </x:c>
      <x:c r="K3730" s="73" t="n">
        <x:f>MAX(K3729,F3730)</x:f>
        <x:v>1.3172</x:v>
      </x:c>
      <x:c r="L3730" s="74" t="n">
        <x:f>1-F3730/K3730</x:f>
        <x:v>0.001822046765866947</x:v>
      </x:c>
      <x:c r="M3730" s="73" t="str">
        <x:f>""</x:f>
      </x:c>
      <x:c r="N3730" s="74" t="str">
        <x:f>""</x:f>
      </x:c>
    </x:row>
    <x:row r="3731" ht="27" customHeight="1">
      <x:c r="A3731" s="66" t="str">
        <x:v>SXT086</x:v>
      </x:c>
      <x:c r="B3731" s="66" t="str">
        <x:v>系数CTA套利五号</x:v>
      </x:c>
      <x:c r="C3731" s="72" t="n">
        <x:v>45940</x:v>
      </x:c>
      <x:c r="D3731" s="73" t="n">
        <x:v>1.3029</x:v>
      </x:c>
      <x:c r="E3731" s="73" t="n">
        <x:v>1.3029</x:v>
      </x:c>
      <x:c r="F3731" s="73" t="n">
        <x:v>1.3029</x:v>
      </x:c>
      <x:c r="G3731" s="74" t="n">
        <x:v>-0.0091</x:v>
      </x:c>
      <x:c r="H3731" s="66" t="str">
        <x:v>系数CTA套利五号净值20260911.xlsx</x:v>
      </x:c>
      <x:c r="I3731" s="73" t="n">
        <x:f>MAX(I3730,F3731)</x:f>
        <x:v>1.317</x:v>
      </x:c>
      <x:c r="J3731" s="74" t="n">
        <x:f>1-F3731/I3731</x:f>
        <x:v>0.01070615034168565</x:v>
      </x:c>
      <x:c r="K3731" s="73" t="n">
        <x:f>MAX(K3730,F3731)</x:f>
        <x:v>1.3172</x:v>
      </x:c>
      <x:c r="L3731" s="74" t="n">
        <x:f>1-F3731/K3731</x:f>
        <x:v>0.01085636197995743</x:v>
      </x:c>
      <x:c r="M3731" s="73" t="str">
        <x:f>""</x:f>
      </x:c>
      <x:c r="N3731" s="74" t="str">
        <x:f>""</x:f>
      </x:c>
    </x:row>
    <x:row r="3732" ht="27" customHeight="1">
      <x:c r="A3732" s="66" t="str">
        <x:v>SXT086</x:v>
      </x:c>
      <x:c r="B3732" s="66" t="str">
        <x:v>系数CTA套利五号</x:v>
      </x:c>
      <x:c r="C3732" s="72" t="n">
        <x:v>45947</x:v>
      </x:c>
      <x:c r="D3732" s="73" t="n">
        <x:v>1.3117</x:v>
      </x:c>
      <x:c r="E3732" s="73" t="n">
        <x:v>1.3117</x:v>
      </x:c>
      <x:c r="F3732" s="73" t="n">
        <x:v>1.3117</x:v>
      </x:c>
      <x:c r="G3732" s="74" t="n">
        <x:v>0.0068000000000000005</x:v>
      </x:c>
      <x:c r="H3732" s="66" t="str">
        <x:v>系数CTA套利五号净值20260911.xlsx</x:v>
      </x:c>
      <x:c r="I3732" s="73" t="n">
        <x:f>MAX(I3731,F3732)</x:f>
        <x:v>1.317</x:v>
      </x:c>
      <x:c r="J3732" s="74" t="n">
        <x:f>1-F3732/I3732</x:f>
        <x:v>0.004024297646165409</x:v>
      </x:c>
      <x:c r="K3732" s="73" t="n">
        <x:f>MAX(K3731,F3732)</x:f>
        <x:v>1.3172</x:v>
      </x:c>
      <x:c r="L3732" s="74" t="n">
        <x:f>1-F3732/K3732</x:f>
        <x:v>0.0041755238384451054</x:v>
      </x:c>
      <x:c r="M3732" s="73" t="str">
        <x:f>""</x:f>
      </x:c>
      <x:c r="N3732" s="74" t="str">
        <x:f>""</x:f>
      </x:c>
    </x:row>
    <x:row r="3733" ht="27" customHeight="1">
      <x:c r="A3733" s="66" t="str">
        <x:v>SXT086</x:v>
      </x:c>
      <x:c r="B3733" s="66" t="str">
        <x:v>系数CTA套利五号</x:v>
      </x:c>
      <x:c r="C3733" s="72" t="n">
        <x:v>45954</x:v>
      </x:c>
      <x:c r="D3733" s="73" t="n">
        <x:v>1.3095</x:v>
      </x:c>
      <x:c r="E3733" s="73" t="n">
        <x:v>1.3095</x:v>
      </x:c>
      <x:c r="F3733" s="73" t="n">
        <x:v>1.3095</x:v>
      </x:c>
      <x:c r="G3733" s="74" t="n">
        <x:v>-0.0017000000000000001</x:v>
      </x:c>
      <x:c r="H3733" s="66" t="str">
        <x:v>系数CTA套利五号净值20260911.xlsx</x:v>
      </x:c>
      <x:c r="I3733" s="73" t="n">
        <x:f>MAX(I3732,F3733)</x:f>
        <x:v>1.317</x:v>
      </x:c>
      <x:c r="J3733" s="74" t="n">
        <x:f>1-F3733/I3733</x:f>
        <x:v>0.005694760820045386</x:v>
      </x:c>
      <x:c r="K3733" s="73" t="n">
        <x:f>MAX(K3732,F3733)</x:f>
        <x:v>1.3172</x:v>
      </x:c>
      <x:c r="L3733" s="74" t="n">
        <x:f>1-F3733/K3733</x:f>
        <x:v>0.005845733373823103</x:v>
      </x:c>
      <x:c r="M3733" s="73" t="str">
        <x:f>""</x:f>
      </x:c>
      <x:c r="N3733" s="74" t="str">
        <x:f>""</x:f>
      </x:c>
    </x:row>
    <x:row r="3734" ht="27" customHeight="1">
      <x:c r="A3734" s="66" t="str">
        <x:v>SXT086</x:v>
      </x:c>
      <x:c r="B3734" s="66" t="str">
        <x:v>系数CTA套利五号</x:v>
      </x:c>
      <x:c r="C3734" s="72" t="n">
        <x:v>45961</x:v>
      </x:c>
      <x:c r="D3734" s="73" t="n">
        <x:v>1.3043</x:v>
      </x:c>
      <x:c r="E3734" s="73" t="n">
        <x:v>1.3043</x:v>
      </x:c>
      <x:c r="F3734" s="73" t="n">
        <x:v>1.3043</x:v>
      </x:c>
      <x:c r="G3734" s="74" t="n">
        <x:v>-0.004</x:v>
      </x:c>
      <x:c r="H3734" s="66" t="str">
        <x:v>系数CTA套利五号净值20260911.xlsx</x:v>
      </x:c>
      <x:c r="I3734" s="73" t="n">
        <x:f>MAX(I3733,F3734)</x:f>
        <x:v>1.317</x:v>
      </x:c>
      <x:c r="J3734" s="74" t="n">
        <x:f>1-F3734/I3734</x:f>
        <x:v>0.009643128321943806</x:v>
      </x:c>
      <x:c r="K3734" s="73" t="n">
        <x:f>MAX(K3733,F3734)</x:f>
        <x:v>1.3172</x:v>
      </x:c>
      <x:c r="L3734" s="74" t="n">
        <x:f>1-F3734/K3734</x:f>
        <x:v>0.009793501366535007</x:v>
      </x:c>
      <x:c r="M3734" s="73" t="str">
        <x:f>""</x:f>
      </x:c>
      <x:c r="N3734" s="74" t="str">
        <x:f>""</x:f>
      </x:c>
    </x:row>
    <x:row r="3735" ht="27" customHeight="1">
      <x:c r="A3735" s="66" t="str">
        <x:v>SXT086</x:v>
      </x:c>
      <x:c r="B3735" s="66" t="str">
        <x:v>系数CTA套利五号</x:v>
      </x:c>
      <x:c r="C3735" s="72" t="n">
        <x:v>45968</x:v>
      </x:c>
      <x:c r="D3735" s="73" t="n">
        <x:v>1.3037</x:v>
      </x:c>
      <x:c r="E3735" s="73" t="n">
        <x:v>1.3037</x:v>
      </x:c>
      <x:c r="F3735" s="73" t="n">
        <x:v>1.3037</x:v>
      </x:c>
      <x:c r="G3735" s="74" t="n">
        <x:v>-0.0005</x:v>
      </x:c>
      <x:c r="H3735" s="66" t="str">
        <x:v>系数CTA套利五号净值20260911.xlsx</x:v>
      </x:c>
      <x:c r="I3735" s="73" t="n">
        <x:f>MAX(I3734,F3735)</x:f>
        <x:v>1.317</x:v>
      </x:c>
      <x:c r="J3735" s="74" t="n">
        <x:f>1-F3735/I3735</x:f>
        <x:v>0.010098709187547406</x:v>
      </x:c>
      <x:c r="K3735" s="73" t="n">
        <x:f>MAX(K3734,F3735)</x:f>
        <x:v>1.3172</x:v>
      </x:c>
      <x:c r="L3735" s="74" t="n">
        <x:f>1-F3735/K3735</x:f>
        <x:v>0.010249013058001744</x:v>
      </x:c>
      <x:c r="M3735" s="73" t="str">
        <x:f>""</x:f>
      </x:c>
      <x:c r="N3735" s="74" t="str">
        <x:f>""</x:f>
      </x:c>
    </x:row>
    <x:row r="3736" ht="27" customHeight="1">
      <x:c r="A3736" s="66" t="str">
        <x:v>SXT086</x:v>
      </x:c>
      <x:c r="B3736" s="66" t="str">
        <x:v>系数CTA套利五号</x:v>
      </x:c>
      <x:c r="C3736" s="72" t="n">
        <x:v>45975</x:v>
      </x:c>
      <x:c r="D3736" s="73" t="n">
        <x:v>1.3043</x:v>
      </x:c>
      <x:c r="E3736" s="73" t="n">
        <x:v>1.3043</x:v>
      </x:c>
      <x:c r="F3736" s="73" t="n">
        <x:v>1.3043</x:v>
      </x:c>
      <x:c r="G3736" s="74" t="n">
        <x:v>0.0005</x:v>
      </x:c>
      <x:c r="H3736" s="66" t="str">
        <x:v>系数CTA套利五号净值20260911.xlsx</x:v>
      </x:c>
      <x:c r="I3736" s="73" t="n">
        <x:f>MAX(I3735,F3736)</x:f>
        <x:v>1.317</x:v>
      </x:c>
      <x:c r="J3736" s="74" t="n">
        <x:f>1-F3736/I3736</x:f>
        <x:v>0.009643128321943806</x:v>
      </x:c>
      <x:c r="K3736" s="73" t="n">
        <x:f>MAX(K3735,F3736)</x:f>
        <x:v>1.3172</x:v>
      </x:c>
      <x:c r="L3736" s="74" t="n">
        <x:f>1-F3736/K3736</x:f>
        <x:v>0.009793501366535007</x:v>
      </x:c>
      <x:c r="M3736" s="73" t="str">
        <x:f>""</x:f>
      </x:c>
      <x:c r="N3736" s="74" t="str">
        <x:f>""</x:f>
      </x:c>
    </x:row>
    <x:row r="3737" ht="27" customHeight="1">
      <x:c r="A3737" s="66" t="str">
        <x:v>SXT086</x:v>
      </x:c>
      <x:c r="B3737" s="66" t="str">
        <x:v>系数CTA套利五号</x:v>
      </x:c>
      <x:c r="C3737" s="72" t="n">
        <x:v>45982</x:v>
      </x:c>
      <x:c r="D3737" s="73" t="n">
        <x:v>1.3091</x:v>
      </x:c>
      <x:c r="E3737" s="73" t="n">
        <x:v>1.3091</x:v>
      </x:c>
      <x:c r="F3737" s="73" t="n">
        <x:v>1.3091</x:v>
      </x:c>
      <x:c r="G3737" s="74" t="n">
        <x:v>0.0037</x:v>
      </x:c>
      <x:c r="H3737" s="66" t="str">
        <x:v>系数CTA套利五号净值20260911.xlsx</x:v>
      </x:c>
      <x:c r="I3737" s="73" t="n">
        <x:f>MAX(I3736,F3737)</x:f>
        <x:v>1.317</x:v>
      </x:c>
      <x:c r="J3737" s="74" t="n">
        <x:f>1-F3737/I3737</x:f>
        <x:v>0.005998481397114674</x:v>
      </x:c>
      <x:c r="K3737" s="73" t="n">
        <x:f>MAX(K3736,F3737)</x:f>
        <x:v>1.3172</x:v>
      </x:c>
      <x:c r="L3737" s="74" t="n">
        <x:f>1-F3737/K3737</x:f>
        <x:v>0.006149407834801113</x:v>
      </x:c>
      <x:c r="M3737" s="73" t="str">
        <x:f>""</x:f>
      </x:c>
      <x:c r="N3737" s="74" t="str">
        <x:f>""</x:f>
      </x:c>
    </x:row>
    <x:row r="3738" ht="27" customHeight="1">
      <x:c r="A3738" s="66" t="str">
        <x:v>SXT086</x:v>
      </x:c>
      <x:c r="B3738" s="66" t="str">
        <x:v>系数CTA套利五号</x:v>
      </x:c>
      <x:c r="C3738" s="72" t="n">
        <x:v>45989</x:v>
      </x:c>
      <x:c r="D3738" s="73" t="n">
        <x:v>1.2896</x:v>
      </x:c>
      <x:c r="E3738" s="73" t="n">
        <x:v>1.2896</x:v>
      </x:c>
      <x:c r="F3738" s="73" t="n">
        <x:v>1.2896</x:v>
      </x:c>
      <x:c r="G3738" s="74" t="n">
        <x:v>-0.0149</x:v>
      </x:c>
      <x:c r="H3738" s="66" t="str">
        <x:v>系数CTA套利五号净值20260911.xlsx</x:v>
      </x:c>
      <x:c r="I3738" s="73" t="n">
        <x:f>MAX(I3737,F3738)</x:f>
        <x:v>1.317</x:v>
      </x:c>
      <x:c r="J3738" s="74" t="n">
        <x:f>1-F3738/I3738</x:f>
        <x:v>0.020804859529233055</x:v>
      </x:c>
      <x:c r="K3738" s="73" t="n">
        <x:f>MAX(K3737,F3738)</x:f>
        <x:v>1.3172</x:v>
      </x:c>
      <x:c r="L3738" s="74" t="n">
        <x:f>1-F3738/K3738</x:f>
        <x:v>0.020953537807470224</x:v>
      </x:c>
      <x:c r="M3738" s="73" t="str">
        <x:f>""</x:f>
      </x:c>
      <x:c r="N3738" s="74" t="str">
        <x:f>""</x:f>
      </x:c>
    </x:row>
    <x:row r="3739" ht="27" customHeight="1">
      <x:c r="A3739" s="66" t="str">
        <x:v>SXT086</x:v>
      </x:c>
      <x:c r="B3739" s="66" t="str">
        <x:v>系数CTA套利五号</x:v>
      </x:c>
      <x:c r="C3739" s="72" t="n">
        <x:v>45996</x:v>
      </x:c>
      <x:c r="D3739" s="73" t="n">
        <x:v>1.2893</x:v>
      </x:c>
      <x:c r="E3739" s="73" t="n">
        <x:v>1.2893</x:v>
      </x:c>
      <x:c r="F3739" s="73" t="n">
        <x:v>1.2893</x:v>
      </x:c>
      <x:c r="G3739" s="74" t="n">
        <x:v>-0.0002</x:v>
      </x:c>
      <x:c r="H3739" s="66" t="str">
        <x:v>系数CTA套利五号净值20260911.xlsx</x:v>
      </x:c>
      <x:c r="I3739" s="73" t="n">
        <x:f>MAX(I3738,F3739)</x:f>
        <x:v>1.317</x:v>
      </x:c>
      <x:c r="J3739" s="74" t="n">
        <x:f>1-F3739/I3739</x:f>
        <x:v>0.02103264996203502</x:v>
      </x:c>
      <x:c r="K3739" s="73" t="n">
        <x:f>MAX(K3738,F3739)</x:f>
        <x:v>1.3172</x:v>
      </x:c>
      <x:c r="L3739" s="74" t="n">
        <x:f>1-F3739/K3739</x:f>
        <x:v>0.02118129365320376</x:v>
      </x:c>
      <x:c r="M3739" s="73" t="str">
        <x:f>""</x:f>
      </x:c>
      <x:c r="N3739" s="74" t="str">
        <x:f>""</x:f>
      </x:c>
    </x:row>
    <x:row r="3740" ht="27" customHeight="1">
      <x:c r="A3740" s="66" t="str">
        <x:v>SXT086</x:v>
      </x:c>
      <x:c r="B3740" s="66" t="str">
        <x:v>系数CTA套利五号</x:v>
      </x:c>
      <x:c r="C3740" s="72" t="n">
        <x:v>46003</x:v>
      </x:c>
      <x:c r="D3740" s="73" t="n">
        <x:v>1.2817</x:v>
      </x:c>
      <x:c r="E3740" s="73" t="n">
        <x:v>1.2817</x:v>
      </x:c>
      <x:c r="F3740" s="73" t="n">
        <x:v>1.2817</x:v>
      </x:c>
      <x:c r="G3740" s="74" t="n">
        <x:v>-0.0059</x:v>
      </x:c>
      <x:c r="H3740" s="66" t="str">
        <x:v>系数CTA套利五号净值20260911.xlsx</x:v>
      </x:c>
      <x:c r="I3740" s="73" t="n">
        <x:f>MAX(I3739,F3740)</x:f>
        <x:v>1.317</x:v>
      </x:c>
      <x:c r="J3740" s="74" t="n">
        <x:f>1-F3740/I3740</x:f>
        <x:v>0.02680334092634773</x:v>
      </x:c>
      <x:c r="K3740" s="73" t="n">
        <x:f>MAX(K3739,F3740)</x:f>
        <x:v>1.3172</x:v>
      </x:c>
      <x:c r="L3740" s="74" t="n">
        <x:f>1-F3740/K3740</x:f>
        <x:v>0.0269511084117825</x:v>
      </x:c>
      <x:c r="M3740" s="73" t="str">
        <x:f>""</x:f>
      </x:c>
      <x:c r="N3740" s="74" t="str">
        <x:f>""</x:f>
      </x:c>
    </x:row>
    <x:row r="3741" ht="27" customHeight="1">
      <x:c r="A3741" s="66" t="str">
        <x:v>SXT086</x:v>
      </x:c>
      <x:c r="B3741" s="66" t="str">
        <x:v>系数CTA套利五号</x:v>
      </x:c>
      <x:c r="C3741" s="72" t="n">
        <x:v>46010</x:v>
      </x:c>
      <x:c r="D3741" s="73" t="n">
        <x:v>1.2753</x:v>
      </x:c>
      <x:c r="E3741" s="73" t="n">
        <x:v>1.2753</x:v>
      </x:c>
      <x:c r="F3741" s="73" t="n">
        <x:v>1.2753</x:v>
      </x:c>
      <x:c r="G3741" s="74" t="n">
        <x:v>-0.005</x:v>
      </x:c>
      <x:c r="H3741" s="66" t="str">
        <x:v>系数CTA套利五号净值20260911.xlsx</x:v>
      </x:c>
      <x:c r="I3741" s="73" t="n">
        <x:f>MAX(I3740,F3741)</x:f>
        <x:v>1.317</x:v>
      </x:c>
      <x:c r="J3741" s="74" t="n">
        <x:f>1-F3741/I3741</x:f>
        <x:v>0.03166287015945324</x:v>
      </x:c>
      <x:c r="K3741" s="73" t="n">
        <x:f>MAX(K3740,F3741)</x:f>
        <x:v>1.3172</x:v>
      </x:c>
      <x:c r="L3741" s="74" t="n">
        <x:f>1-F3741/K3741</x:f>
        <x:v>0.031809899787427764</x:v>
      </x:c>
      <x:c r="M3741" s="73" t="str">
        <x:f>""</x:f>
      </x:c>
      <x:c r="N3741" s="74" t="str">
        <x:f>""</x:f>
      </x:c>
    </x:row>
    <x:row r="3742" ht="27" customHeight="1">
      <x:c r="A3742" s="66" t="str">
        <x:v>SXT086</x:v>
      </x:c>
      <x:c r="B3742" s="66" t="str">
        <x:v>系数CTA套利五号</x:v>
      </x:c>
      <x:c r="C3742" s="72" t="n">
        <x:v>46017</x:v>
      </x:c>
      <x:c r="D3742" s="73" t="n">
        <x:v>1.2718</x:v>
      </x:c>
      <x:c r="E3742" s="73" t="n">
        <x:v>1.2718</x:v>
      </x:c>
      <x:c r="F3742" s="73" t="n">
        <x:v>1.2718</x:v>
      </x:c>
      <x:c r="G3742" s="74" t="n">
        <x:v>-0.0027</x:v>
      </x:c>
      <x:c r="H3742" s="66" t="str">
        <x:v>系数CTA套利五号净值20260911.xlsx</x:v>
      </x:c>
      <x:c r="I3742" s="73" t="n">
        <x:f>MAX(I3741,F3742)</x:f>
        <x:v>1.317</x:v>
      </x:c>
      <x:c r="J3742" s="74" t="n">
        <x:f>1-F3742/I3742</x:f>
        <x:v>0.03432042520880785</x:v>
      </x:c>
      <x:c r="K3742" s="73" t="n">
        <x:f>MAX(K3741,F3742)</x:f>
        <x:v>1.3172</x:v>
      </x:c>
      <x:c r="L3742" s="74" t="n">
        <x:f>1-F3742/K3742</x:f>
        <x:v>0.03446705132098382</x:v>
      </x:c>
      <x:c r="M3742" s="73" t="str">
        <x:f>""</x:f>
      </x:c>
      <x:c r="N3742" s="74" t="str">
        <x:f>""</x:f>
      </x:c>
    </x:row>
    <x:row r="3743" ht="27" customHeight="1">
      <x:c r="A3743" s="66" t="str">
        <x:v>SXT086</x:v>
      </x:c>
      <x:c r="B3743" s="66" t="str">
        <x:v>系数CTA套利五号</x:v>
      </x:c>
      <x:c r="C3743" s="72" t="n">
        <x:v>46022</x:v>
      </x:c>
      <x:c r="D3743" s="73" t="n">
        <x:v>1.2823</x:v>
      </x:c>
      <x:c r="E3743" s="73" t="n">
        <x:v>1.2823</x:v>
      </x:c>
      <x:c r="F3743" s="73" t="n">
        <x:v>1.2823</x:v>
      </x:c>
      <x:c r="G3743" s="74" t="n">
        <x:v>0.0083</x:v>
      </x:c>
      <x:c r="H3743" s="66" t="str">
        <x:v>系数CTA套利五号净值20260911.xlsx</x:v>
      </x:c>
      <x:c r="I3743" s="73" t="n">
        <x:f>MAX(I3742,F3743)</x:f>
        <x:v>1.317</x:v>
      </x:c>
      <x:c r="J3743" s="74" t="n">
        <x:f>1-F3743/I3743</x:f>
        <x:v>0.02634776006074413</x:v>
      </x:c>
      <x:c r="K3743" s="73" t="n">
        <x:f>MAX(K3742,F3743)</x:f>
        <x:v>1.3172</x:v>
      </x:c>
      <x:c r="L3743" s="74" t="n">
        <x:f>1-F3743/K3743</x:f>
        <x:v>0.02649559672031576</x:v>
      </x:c>
      <x:c r="M3743" s="73" t="str">
        <x:f>""</x:f>
      </x:c>
      <x:c r="N3743" s="74" t="str">
        <x:f>""</x:f>
      </x:c>
    </x:row>
    <x:row r="3744" ht="27" customHeight="1">
      <x:c r="A3744" s="66" t="str">
        <x:v>SXT086</x:v>
      </x:c>
      <x:c r="B3744" s="66" t="str">
        <x:v>系数CTA套利五号</x:v>
      </x:c>
      <x:c r="C3744" s="72" t="n">
        <x:v>46031</x:v>
      </x:c>
      <x:c r="D3744" s="73" t="n">
        <x:v>1.2803</x:v>
      </x:c>
      <x:c r="E3744" s="73" t="n">
        <x:v>1.2803</x:v>
      </x:c>
      <x:c r="F3744" s="73" t="n">
        <x:v>1.2803</x:v>
      </x:c>
      <x:c r="G3744" s="74" t="n">
        <x:v>-0.0016</x:v>
      </x:c>
      <x:c r="H3744" s="66" t="str">
        <x:v>系数CTA套利五号净值20260911.xlsx</x:v>
      </x:c>
      <x:c r="I3744" s="73" t="n">
        <x:f>MAX(I3743,F3744)</x:f>
        <x:v>1.317</x:v>
      </x:c>
      <x:c r="J3744" s="74" t="n">
        <x:f>1-F3744/I3744</x:f>
        <x:v>0.027866362946089573</x:v>
      </x:c>
      <x:c r="K3744" s="73" t="n">
        <x:f>MAX(K3743,F3744)</x:f>
        <x:v>1.3172</x:v>
      </x:c>
      <x:c r="L3744" s="74" t="n">
        <x:f>1-F3744/K3744</x:f>
        <x:v>0.02801396902520492</x:v>
      </x:c>
      <x:c r="M3744" s="73" t="str">
        <x:f>""</x:f>
      </x:c>
      <x:c r="N3744" s="74" t="str">
        <x:f>""</x:f>
      </x:c>
    </x:row>
    <x:row r="3745" ht="27" customHeight="1">
      <x:c r="A3745" s="66" t="str">
        <x:v>SXT086</x:v>
      </x:c>
      <x:c r="B3745" s="66" t="str">
        <x:v>系数CTA套利五号</x:v>
      </x:c>
      <x:c r="C3745" s="72" t="n">
        <x:v>46038</x:v>
      </x:c>
      <x:c r="D3745" s="73" t="n">
        <x:v>1.2782</x:v>
      </x:c>
      <x:c r="E3745" s="73" t="n">
        <x:v>1.2782</x:v>
      </x:c>
      <x:c r="F3745" s="73" t="n">
        <x:v>1.2782</x:v>
      </x:c>
      <x:c r="G3745" s="74" t="n">
        <x:v>-0.0016</x:v>
      </x:c>
      <x:c r="H3745" s="66" t="str">
        <x:v>系数CTA套利五号净值20260911.xlsx</x:v>
      </x:c>
      <x:c r="I3745" s="73" t="n">
        <x:f>MAX(I3744,F3745)</x:f>
        <x:v>1.317</x:v>
      </x:c>
      <x:c r="J3745" s="74" t="n">
        <x:f>1-F3745/I3745</x:f>
        <x:v>0.02946089597570234</x:v>
      </x:c>
      <x:c r="K3745" s="73" t="n">
        <x:f>MAX(K3744,F3745)</x:f>
        <x:v>1.3172</x:v>
      </x:c>
      <x:c r="L3745" s="74" t="n">
        <x:f>1-F3745/K3745</x:f>
        <x:v>0.029608259945338555</x:v>
      </x:c>
      <x:c r="M3745" s="73" t="str">
        <x:f>""</x:f>
      </x:c>
      <x:c r="N3745" s="74" t="str">
        <x:f>""</x:f>
      </x:c>
    </x:row>
    <x:row r="3746" ht="27" customHeight="1">
      <x:c r="A3746" s="66" t="str">
        <x:v>SXT086</x:v>
      </x:c>
      <x:c r="B3746" s="66" t="str">
        <x:v>系数CTA套利五号</x:v>
      </x:c>
      <x:c r="C3746" s="72" t="n">
        <x:v>46045</x:v>
      </x:c>
      <x:c r="D3746" s="73" t="n">
        <x:v>1.2766</x:v>
      </x:c>
      <x:c r="E3746" s="73" t="n">
        <x:v>1.2766</x:v>
      </x:c>
      <x:c r="F3746" s="73" t="n">
        <x:v>1.2766</x:v>
      </x:c>
      <x:c r="G3746" s="74" t="n">
        <x:v>-0.0013</x:v>
      </x:c>
      <x:c r="H3746" s="66" t="str">
        <x:v>系数CTA套利五号净值20260911.xlsx</x:v>
      </x:c>
      <x:c r="I3746" s="73" t="n">
        <x:f>MAX(I3745,F3746)</x:f>
        <x:v>1.317</x:v>
      </x:c>
      <x:c r="J3746" s="74" t="n">
        <x:f>1-F3746/I3746</x:f>
        <x:v>0.030675778283978716</x:v>
      </x:c>
      <x:c r="K3746" s="73" t="n">
        <x:f>MAX(K3745,F3746)</x:f>
        <x:v>1.3172</x:v>
      </x:c>
      <x:c r="L3746" s="74" t="n">
        <x:f>1-F3746/K3746</x:f>
        <x:v>0.030822957789249927</x:v>
      </x:c>
      <x:c r="M3746" s="73" t="str">
        <x:f>""</x:f>
      </x:c>
      <x:c r="N3746" s="74" t="str">
        <x:f>""</x:f>
      </x:c>
    </x:row>
    <x:row r="3747" ht="27" customHeight="1">
      <x:c r="A3747" s="66" t="str">
        <x:v>SXT086</x:v>
      </x:c>
      <x:c r="B3747" s="66" t="str">
        <x:v>系数CTA套利五号</x:v>
      </x:c>
      <x:c r="C3747" s="72" t="n">
        <x:v>46052</x:v>
      </x:c>
      <x:c r="D3747" s="73" t="n">
        <x:v>1.3333</x:v>
      </x:c>
      <x:c r="E3747" s="73" t="n">
        <x:v>1.3333</x:v>
      </x:c>
      <x:c r="F3747" s="73" t="n">
        <x:v>1.3333</x:v>
      </x:c>
      <x:c r="G3747" s="74" t="n">
        <x:v>0.0444</x:v>
      </x:c>
      <x:c r="H3747" s="66" t="str">
        <x:v>系数CTA套利五号净值20260911.xlsx</x:v>
      </x:c>
      <x:c r="I3747" s="73" t="n">
        <x:f>MAX(I3746,F3747)</x:f>
        <x:v>1.3333</x:v>
      </x:c>
      <x:c r="J3747" s="74" t="n">
        <x:f>1-F3747/I3747</x:f>
        <x:v>0</x:v>
      </x:c>
      <x:c r="K3747" s="73" t="n">
        <x:f>MAX(K3746,F3747)</x:f>
        <x:v>1.3333</x:v>
      </x:c>
      <x:c r="L3747" s="74" t="n">
        <x:f>1-F3747/K3747</x:f>
        <x:v>0</x:v>
      </x:c>
      <x:c r="M3747" s="73" t="str">
        <x:f>""</x:f>
      </x:c>
      <x:c r="N3747" s="74" t="str">
        <x:f>""</x:f>
      </x:c>
    </x:row>
    <x:row r="3748" ht="27" customHeight="1">
      <x:c r="A3748" s="66" t="str">
        <x:v>SXT086</x:v>
      </x:c>
      <x:c r="B3748" s="66" t="str">
        <x:v>系数CTA套利五号</x:v>
      </x:c>
      <x:c r="C3748" s="72" t="n">
        <x:v>46059</x:v>
      </x:c>
      <x:c r="D3748" s="73" t="n">
        <x:v>1.3318</x:v>
      </x:c>
      <x:c r="E3748" s="73" t="n">
        <x:v>1.3318</x:v>
      </x:c>
      <x:c r="F3748" s="73" t="n">
        <x:v>1.3318</x:v>
      </x:c>
      <x:c r="G3748" s="74" t="n">
        <x:v>-0.0011</x:v>
      </x:c>
      <x:c r="H3748" s="66" t="str">
        <x:v>系数CTA套利五号净值20260911.xlsx</x:v>
      </x:c>
      <x:c r="I3748" s="73" t="n">
        <x:f>MAX(I3747,F3748)</x:f>
        <x:v>1.3333</x:v>
      </x:c>
      <x:c r="J3748" s="74" t="n">
        <x:f>1-F3748/I3748</x:f>
        <x:v>0.0011250281257030315</x:v>
      </x:c>
      <x:c r="K3748" s="73" t="n">
        <x:f>MAX(K3747,F3748)</x:f>
        <x:v>1.3333</x:v>
      </x:c>
      <x:c r="L3748" s="74" t="n">
        <x:f>1-F3748/K3748</x:f>
        <x:v>0.0011250281257030315</x:v>
      </x:c>
      <x:c r="M3748" s="73" t="str">
        <x:f>""</x:f>
      </x:c>
      <x:c r="N3748" s="74" t="str">
        <x:f>""</x:f>
      </x:c>
    </x:row>
    <x:row r="3749" ht="27" customHeight="1">
      <x:c r="A3749" s="66" t="str">
        <x:v>SXT086</x:v>
      </x:c>
      <x:c r="B3749" s="66" t="str">
        <x:v>系数CTA套利五号</x:v>
      </x:c>
      <x:c r="C3749" s="72" t="n">
        <x:v>46066</x:v>
      </x:c>
      <x:c r="D3749" s="73" t="n">
        <x:v>1.3357</x:v>
      </x:c>
      <x:c r="E3749" s="73" t="n">
        <x:v>1.3357</x:v>
      </x:c>
      <x:c r="F3749" s="73" t="n">
        <x:v>1.3357</x:v>
      </x:c>
      <x:c r="G3749" s="74" t="n">
        <x:v>0.0029</x:v>
      </x:c>
      <x:c r="H3749" s="66" t="str">
        <x:v>系数CTA套利五号净值20260911.xlsx</x:v>
      </x:c>
      <x:c r="I3749" s="73" t="n">
        <x:f>MAX(I3748,F3749)</x:f>
        <x:v>1.3357</x:v>
      </x:c>
      <x:c r="J3749" s="74" t="n">
        <x:f>1-F3749/I3749</x:f>
        <x:v>0</x:v>
      </x:c>
      <x:c r="K3749" s="73" t="n">
        <x:f>MAX(K3748,F3749)</x:f>
        <x:v>1.3357</x:v>
      </x:c>
      <x:c r="L3749" s="74" t="n">
        <x:f>1-F3749/K3749</x:f>
        <x:v>0</x:v>
      </x:c>
      <x:c r="M3749" s="73" t="str">
        <x:f>""</x:f>
      </x:c>
      <x:c r="N3749" s="74" t="str">
        <x:f>""</x:f>
      </x:c>
    </x:row>
    <x:row r="3750" ht="27" customHeight="1">
      <x:c r="A3750" s="66" t="str">
        <x:v>SXT086</x:v>
      </x:c>
      <x:c r="B3750" s="66" t="str">
        <x:v>系数CTA套利五号</x:v>
      </x:c>
      <x:c r="C3750" s="72" t="n">
        <x:v>46080</x:v>
      </x:c>
      <x:c r="D3750" s="73" t="n">
        <x:v>1.3342</x:v>
      </x:c>
      <x:c r="E3750" s="73" t="n">
        <x:v>1.3342</x:v>
      </x:c>
      <x:c r="F3750" s="73" t="n">
        <x:v>1.3342</x:v>
      </x:c>
      <x:c r="G3750" s="74" t="n">
        <x:v>-0.0011</x:v>
      </x:c>
      <x:c r="H3750" s="66" t="str">
        <x:v>系数CTA套利五号净值20260911.xlsx</x:v>
      </x:c>
      <x:c r="I3750" s="73" t="n">
        <x:f>MAX(I3749,F3750)</x:f>
        <x:v>1.3357</x:v>
      </x:c>
      <x:c r="J3750" s="74" t="n">
        <x:f>1-F3750/I3750</x:f>
        <x:v>0.0011230066631728874</x:v>
      </x:c>
      <x:c r="K3750" s="73" t="n">
        <x:f>MAX(K3749,F3750)</x:f>
        <x:v>1.3357</x:v>
      </x:c>
      <x:c r="L3750" s="74" t="n">
        <x:f>1-F3750/K3750</x:f>
        <x:v>0.0011230066631728874</x:v>
      </x:c>
      <x:c r="M3750" s="73" t="str">
        <x:f>""</x:f>
      </x:c>
      <x:c r="N3750" s="74" t="str">
        <x:f>""</x:f>
      </x:c>
    </x:row>
    <x:row r="3751" ht="27" customHeight="1">
      <x:c r="A3751" s="66" t="str">
        <x:v>SXT086</x:v>
      </x:c>
      <x:c r="B3751" s="66" t="str">
        <x:v>系数CTA套利五号</x:v>
      </x:c>
      <x:c r="C3751" s="72" t="n">
        <x:v>46087</x:v>
      </x:c>
      <x:c r="D3751" s="73" t="n">
        <x:v>1.3425</x:v>
      </x:c>
      <x:c r="E3751" s="73" t="n">
        <x:v>1.3425</x:v>
      </x:c>
      <x:c r="F3751" s="73" t="n">
        <x:v>1.3425</x:v>
      </x:c>
      <x:c r="G3751" s="74" t="n">
        <x:v>0.0062</x:v>
      </x:c>
      <x:c r="H3751" s="66" t="str">
        <x:v>系数CTA套利五号净值20260911.xlsx</x:v>
      </x:c>
      <x:c r="I3751" s="73" t="n">
        <x:f>MAX(I3750,F3751)</x:f>
        <x:v>1.3425</x:v>
      </x:c>
      <x:c r="J3751" s="74" t="n">
        <x:f>1-F3751/I3751</x:f>
        <x:v>0</x:v>
      </x:c>
      <x:c r="K3751" s="73" t="n">
        <x:f>MAX(K3750,F3751)</x:f>
        <x:v>1.3425</x:v>
      </x:c>
      <x:c r="L3751" s="74" t="n">
        <x:f>1-F3751/K3751</x:f>
        <x:v>0</x:v>
      </x:c>
      <x:c r="M3751" s="73" t="str">
        <x:f>""</x:f>
      </x:c>
      <x:c r="N3751" s="74" t="str">
        <x:f>""</x:f>
      </x:c>
    </x:row>
    <x:row r="3752" ht="27" customHeight="1">
      <x:c r="A3752" s="66" t="str">
        <x:v>SXT086</x:v>
      </x:c>
      <x:c r="B3752" s="66" t="str">
        <x:v>系数CTA套利五号</x:v>
      </x:c>
      <x:c r="C3752" s="72" t="n">
        <x:v>46094</x:v>
      </x:c>
      <x:c r="D3752" s="73" t="n">
        <x:v>1.3522</x:v>
      </x:c>
      <x:c r="E3752" s="73" t="n">
        <x:v>1.3522</x:v>
      </x:c>
      <x:c r="F3752" s="73" t="n">
        <x:v>1.3522</x:v>
      </x:c>
      <x:c r="G3752" s="74" t="n">
        <x:v>0.0072</x:v>
      </x:c>
      <x:c r="H3752" s="66" t="str">
        <x:v>系数CTA套利五号净值20260911.xlsx</x:v>
      </x:c>
      <x:c r="I3752" s="73" t="n">
        <x:f>MAX(I3751,F3752)</x:f>
        <x:v>1.3522</x:v>
      </x:c>
      <x:c r="J3752" s="74" t="n">
        <x:f>1-F3752/I3752</x:f>
        <x:v>0</x:v>
      </x:c>
      <x:c r="K3752" s="73" t="n">
        <x:f>MAX(K3751,F3752)</x:f>
        <x:v>1.3522</x:v>
      </x:c>
      <x:c r="L3752" s="74" t="n">
        <x:f>1-F3752/K3752</x:f>
        <x:v>0</x:v>
      </x:c>
      <x:c r="M3752" s="73" t="str">
        <x:f>""</x:f>
      </x:c>
      <x:c r="N3752" s="74" t="str">
        <x:f>""</x:f>
      </x:c>
    </x:row>
    <x:row r="3753" ht="27" customHeight="1">
      <x:c r="A3753" s="66" t="str">
        <x:v>SXT086</x:v>
      </x:c>
      <x:c r="B3753" s="66" t="str">
        <x:v>系数CTA套利五号</x:v>
      </x:c>
      <x:c r="C3753" s="72" t="n">
        <x:v>46101</x:v>
      </x:c>
      <x:c r="D3753" s="73" t="n">
        <x:v>1.3337</x:v>
      </x:c>
      <x:c r="E3753" s="73" t="n">
        <x:v>1.3337</x:v>
      </x:c>
      <x:c r="F3753" s="73" t="n">
        <x:v>1.3337</x:v>
      </x:c>
      <x:c r="G3753" s="74" t="n">
        <x:v>-0.0137</x:v>
      </x:c>
      <x:c r="H3753" s="66" t="str">
        <x:v>系数CTA套利五号净值20260911.xlsx</x:v>
      </x:c>
      <x:c r="I3753" s="73" t="n">
        <x:f>MAX(I3752,F3753)</x:f>
        <x:v>1.3522</x:v>
      </x:c>
      <x:c r="J3753" s="74" t="n">
        <x:f>1-F3753/I3753</x:f>
        <x:v>0.013681408075728374</x:v>
      </x:c>
      <x:c r="K3753" s="73" t="n">
        <x:f>MAX(K3752,F3753)</x:f>
        <x:v>1.3522</x:v>
      </x:c>
      <x:c r="L3753" s="74" t="n">
        <x:f>1-F3753/K3753</x:f>
        <x:v>0.013681408075728374</x:v>
      </x:c>
      <x:c r="M3753" s="73" t="str">
        <x:f>""</x:f>
      </x:c>
      <x:c r="N3753" s="74" t="str">
        <x:f>""</x:f>
      </x:c>
    </x:row>
    <x:row r="3754" ht="27" customHeight="1">
      <x:c r="A3754" s="66" t="str">
        <x:v>SXT086</x:v>
      </x:c>
      <x:c r="B3754" s="66" t="str">
        <x:v>系数CTA套利五号</x:v>
      </x:c>
      <x:c r="C3754" s="72" t="n">
        <x:v>46108</x:v>
      </x:c>
      <x:c r="D3754" s="73" t="n">
        <x:v>1.323</x:v>
      </x:c>
      <x:c r="E3754" s="73" t="n">
        <x:v>1.323</x:v>
      </x:c>
      <x:c r="F3754" s="73" t="n">
        <x:v>1.323</x:v>
      </x:c>
      <x:c r="G3754" s="74" t="n">
        <x:v>-0.008</x:v>
      </x:c>
      <x:c r="H3754" s="66" t="str">
        <x:v>系数CTA套利五号净值20260911.xlsx</x:v>
      </x:c>
      <x:c r="I3754" s="73" t="n">
        <x:f>MAX(I3753,F3754)</x:f>
        <x:v>1.3522</x:v>
      </x:c>
      <x:c r="J3754" s="74" t="n">
        <x:f>1-F3754/I3754</x:f>
        <x:v>0.021594438692501217</x:v>
      </x:c>
      <x:c r="K3754" s="73" t="n">
        <x:f>MAX(K3753,F3754)</x:f>
        <x:v>1.3522</x:v>
      </x:c>
      <x:c r="L3754" s="74" t="n">
        <x:f>1-F3754/K3754</x:f>
        <x:v>0.021594438692501217</x:v>
      </x:c>
      <x:c r="M3754" s="73" t="str">
        <x:f>""</x:f>
      </x:c>
      <x:c r="N3754" s="74" t="str">
        <x:f>""</x:f>
      </x:c>
    </x:row>
    <x:row r="3755" ht="27" customHeight="1">
      <x:c r="A3755" s="66" t="str">
        <x:v>SXT086</x:v>
      </x:c>
      <x:c r="B3755" s="66" t="str">
        <x:v>系数CTA套利五号</x:v>
      </x:c>
      <x:c r="C3755" s="72" t="n">
        <x:v>46115</x:v>
      </x:c>
      <x:c r="D3755" s="73" t="n">
        <x:v>1.3221</x:v>
      </x:c>
      <x:c r="E3755" s="73" t="n">
        <x:v>1.3221</x:v>
      </x:c>
      <x:c r="F3755" s="73" t="n">
        <x:v>1.3221</x:v>
      </x:c>
      <x:c r="G3755" s="74" t="n">
        <x:v>-0.0007000000000000001</x:v>
      </x:c>
      <x:c r="H3755" s="66" t="str">
        <x:v>系数CTA套利五号净值20260911.xlsx</x:v>
      </x:c>
      <x:c r="I3755" s="73" t="n">
        <x:f>MAX(I3754,F3755)</x:f>
        <x:v>1.3522</x:v>
      </x:c>
      <x:c r="J3755" s="74" t="n">
        <x:f>1-F3755/I3755</x:f>
        <x:v>0.022260020706996064</x:v>
      </x:c>
      <x:c r="K3755" s="73" t="n">
        <x:f>MAX(K3754,F3755)</x:f>
        <x:v>1.3522</x:v>
      </x:c>
      <x:c r="L3755" s="74" t="n">
        <x:f>1-F3755/K3755</x:f>
        <x:v>0.022260020706996064</x:v>
      </x:c>
      <x:c r="M3755" s="73" t="str">
        <x:f>""</x:f>
      </x:c>
      <x:c r="N3755" s="74" t="str">
        <x:f>""</x:f>
      </x:c>
    </x:row>
    <x:row r="3756" ht="27" customHeight="1">
      <x:c r="A3756" s="66" t="str">
        <x:v>SXT086</x:v>
      </x:c>
      <x:c r="B3756" s="66" t="str">
        <x:v>系数CTA套利五号</x:v>
      </x:c>
      <x:c r="C3756" s="72" t="n">
        <x:v>46122</x:v>
      </x:c>
      <x:c r="D3756" s="73" t="n">
        <x:v>1.3223</x:v>
      </x:c>
      <x:c r="E3756" s="73" t="n">
        <x:v>1.3223</x:v>
      </x:c>
      <x:c r="F3756" s="73" t="n">
        <x:v>1.3223</x:v>
      </x:c>
      <x:c r="G3756" s="74" t="n">
        <x:v>0.0002</x:v>
      </x:c>
      <x:c r="H3756" s="66" t="str">
        <x:v>系数CTA套利五号净值20260911.xlsx</x:v>
      </x:c>
      <x:c r="I3756" s="73" t="n">
        <x:f>MAX(I3755,F3756)</x:f>
        <x:v>1.3522</x:v>
      </x:c>
      <x:c r="J3756" s="74" t="n">
        <x:f>1-F3756/I3756</x:f>
        <x:v>0.02211211359266385</x:v>
      </x:c>
      <x:c r="K3756" s="73" t="n">
        <x:f>MAX(K3755,F3756)</x:f>
        <x:v>1.3522</x:v>
      </x:c>
      <x:c r="L3756" s="74" t="n">
        <x:f>1-F3756/K3756</x:f>
        <x:v>0.02211211359266385</x:v>
      </x:c>
      <x:c r="M3756" s="73" t="str">
        <x:f>""</x:f>
      </x:c>
      <x:c r="N3756" s="74" t="str">
        <x:f>""</x:f>
      </x:c>
    </x:row>
    <x:row r="3757" ht="27" customHeight="1">
      <x:c r="A3757" s="66" t="str">
        <x:v>SXT086</x:v>
      </x:c>
      <x:c r="B3757" s="66" t="str">
        <x:v>系数CTA套利五号</x:v>
      </x:c>
      <x:c r="C3757" s="72" t="n">
        <x:v>46129</x:v>
      </x:c>
      <x:c r="D3757" s="73" t="n">
        <x:v>1.3212</x:v>
      </x:c>
      <x:c r="E3757" s="73" t="n">
        <x:v>1.3212</x:v>
      </x:c>
      <x:c r="F3757" s="73" t="n">
        <x:v>1.3212</x:v>
      </x:c>
      <x:c r="G3757" s="74" t="n">
        <x:v>-0.0008</x:v>
      </x:c>
      <x:c r="H3757" s="66" t="str">
        <x:v>系数CTA套利五号净值20260911.xlsx</x:v>
      </x:c>
      <x:c r="I3757" s="73" t="n">
        <x:f>MAX(I3756,F3757)</x:f>
        <x:v>1.3522</x:v>
      </x:c>
      <x:c r="J3757" s="74" t="n">
        <x:f>1-F3757/I3757</x:f>
        <x:v>0.022925602721491023</x:v>
      </x:c>
      <x:c r="K3757" s="73" t="n">
        <x:f>MAX(K3756,F3757)</x:f>
        <x:v>1.3522</x:v>
      </x:c>
      <x:c r="L3757" s="74" t="n">
        <x:f>1-F3757/K3757</x:f>
        <x:v>0.022925602721491023</x:v>
      </x:c>
      <x:c r="M3757" s="73" t="str">
        <x:f>""</x:f>
      </x:c>
      <x:c r="N3757" s="74" t="str">
        <x:f>""</x:f>
      </x:c>
    </x:row>
    <x:row r="3758" ht="27" customHeight="1">
      <x:c r="A3758" s="66" t="str">
        <x:v>SXT086</x:v>
      </x:c>
      <x:c r="B3758" s="66" t="str">
        <x:v>系数CTA套利五号</x:v>
      </x:c>
      <x:c r="C3758" s="72" t="n">
        <x:v>46136</x:v>
      </x:c>
      <x:c r="D3758" s="73" t="n">
        <x:v>1.3237</x:v>
      </x:c>
      <x:c r="E3758" s="73" t="n">
        <x:v>1.3237</x:v>
      </x:c>
      <x:c r="F3758" s="73" t="n">
        <x:v>1.3237</x:v>
      </x:c>
      <x:c r="G3758" s="74" t="n">
        <x:v>0.0019</x:v>
      </x:c>
      <x:c r="H3758" s="66" t="str">
        <x:v>系数CTA套利五号净值20260911.xlsx</x:v>
      </x:c>
      <x:c r="I3758" s="73" t="n">
        <x:f>MAX(I3757,F3758)</x:f>
        <x:v>1.3522</x:v>
      </x:c>
      <x:c r="J3758" s="74" t="n">
        <x:f>1-F3758/I3758</x:f>
        <x:v>0.02107676379233836</x:v>
      </x:c>
      <x:c r="K3758" s="73" t="n">
        <x:f>MAX(K3757,F3758)</x:f>
        <x:v>1.3522</x:v>
      </x:c>
      <x:c r="L3758" s="74" t="n">
        <x:f>1-F3758/K3758</x:f>
        <x:v>0.02107676379233836</x:v>
      </x:c>
      <x:c r="M3758" s="73" t="str">
        <x:f>""</x:f>
      </x:c>
      <x:c r="N3758" s="74" t="str">
        <x:f>""</x:f>
      </x:c>
    </x:row>
    <x:row r="3759" ht="27" customHeight="1">
      <x:c r="A3759" s="66" t="str">
        <x:v>SXT086</x:v>
      </x:c>
      <x:c r="B3759" s="66" t="str">
        <x:v>系数CTA套利五号</x:v>
      </x:c>
      <x:c r="C3759" s="72" t="n">
        <x:v>46142</x:v>
      </x:c>
      <x:c r="D3759" s="73" t="n">
        <x:v>1.3271</x:v>
      </x:c>
      <x:c r="E3759" s="73" t="n">
        <x:v>1.3271</x:v>
      </x:c>
      <x:c r="F3759" s="73" t="n">
        <x:v>1.3271</x:v>
      </x:c>
      <x:c r="G3759" s="74" t="n">
        <x:v>0.0026</x:v>
      </x:c>
      <x:c r="H3759" s="66" t="str">
        <x:v>系数CTA套利五号净值20260911.xlsx</x:v>
      </x:c>
      <x:c r="I3759" s="73" t="n">
        <x:f>MAX(I3758,F3759)</x:f>
        <x:v>1.3522</x:v>
      </x:c>
      <x:c r="J3759" s="74" t="n">
        <x:f>1-F3759/I3759</x:f>
        <x:v>0.01856234284869107</x:v>
      </x:c>
      <x:c r="K3759" s="73" t="n">
        <x:f>MAX(K3758,F3759)</x:f>
        <x:v>1.3522</x:v>
      </x:c>
      <x:c r="L3759" s="74" t="n">
        <x:f>1-F3759/K3759</x:f>
        <x:v>0.01856234284869107</x:v>
      </x:c>
      <x:c r="M3759" s="73" t="str">
        <x:f>""</x:f>
      </x:c>
      <x:c r="N3759" s="74" t="str">
        <x:f>""</x:f>
      </x:c>
    </x:row>
    <x:row r="3760" ht="27" customHeight="1">
      <x:c r="A3760" s="66" t="str">
        <x:v>SXT086</x:v>
      </x:c>
      <x:c r="B3760" s="66" t="str">
        <x:v>系数CTA套利五号</x:v>
      </x:c>
      <x:c r="C3760" s="72" t="n">
        <x:v>46150</x:v>
      </x:c>
      <x:c r="D3760" s="73" t="n">
        <x:v>1.3251</x:v>
      </x:c>
      <x:c r="E3760" s="73" t="n">
        <x:v>1.3251</x:v>
      </x:c>
      <x:c r="F3760" s="73" t="n">
        <x:v>1.3251</x:v>
      </x:c>
      <x:c r="G3760" s="74" t="n">
        <x:v>-0.0015</x:v>
      </x:c>
      <x:c r="H3760" s="66" t="str">
        <x:v>系数CTA套利五号净值20260911.xlsx</x:v>
      </x:c>
      <x:c r="I3760" s="73" t="n">
        <x:f>MAX(I3759,F3760)</x:f>
        <x:v>1.3522</x:v>
      </x:c>
      <x:c r="J3760" s="74" t="n">
        <x:f>1-F3760/I3760</x:f>
        <x:v>0.02004141399201309</x:v>
      </x:c>
      <x:c r="K3760" s="73" t="n">
        <x:f>MAX(K3759,F3760)</x:f>
        <x:v>1.3522</x:v>
      </x:c>
      <x:c r="L3760" s="74" t="n">
        <x:f>1-F3760/K3760</x:f>
        <x:v>0.02004141399201309</x:v>
      </x:c>
      <x:c r="M3760" s="73" t="str">
        <x:f>""</x:f>
      </x:c>
      <x:c r="N3760" s="74" t="str">
        <x:f>""</x:f>
      </x:c>
    </x:row>
    <x:row r="3761" ht="27" customHeight="1">
      <x:c r="A3761" s="66" t="str">
        <x:v>SXT086</x:v>
      </x:c>
      <x:c r="B3761" s="66" t="str">
        <x:v>系数CTA套利五号</x:v>
      </x:c>
      <x:c r="C3761" s="72" t="n">
        <x:v>46157</x:v>
      </x:c>
      <x:c r="D3761" s="73" t="n">
        <x:v>1.3226</x:v>
      </x:c>
      <x:c r="E3761" s="73" t="n">
        <x:v>1.3226</x:v>
      </x:c>
      <x:c r="F3761" s="73" t="n">
        <x:v>1.3226</x:v>
      </x:c>
      <x:c r="G3761" s="74" t="n">
        <x:v>-0.0019</x:v>
      </x:c>
      <x:c r="H3761" s="66" t="str">
        <x:v>系数CTA套利五号净值20260911.xlsx</x:v>
      </x:c>
      <x:c r="I3761" s="73" t="n">
        <x:f>MAX(I3760,F3761)</x:f>
        <x:v>1.3522</x:v>
      </x:c>
      <x:c r="J3761" s="74" t="n">
        <x:f>1-F3761/I3761</x:f>
        <x:v>0.02189025292116553</x:v>
      </x:c>
      <x:c r="K3761" s="73" t="n">
        <x:f>MAX(K3760,F3761)</x:f>
        <x:v>1.3522</x:v>
      </x:c>
      <x:c r="L3761" s="74" t="n">
        <x:f>1-F3761/K3761</x:f>
        <x:v>0.02189025292116553</x:v>
      </x:c>
      <x:c r="M3761" s="73" t="str">
        <x:f>""</x:f>
      </x:c>
      <x:c r="N3761" s="74" t="str">
        <x:f>""</x:f>
      </x:c>
    </x:row>
    <x:row r="3762" ht="27" customHeight="1">
      <x:c r="A3762" s="66" t="str">
        <x:v>SXT086</x:v>
      </x:c>
      <x:c r="B3762" s="66" t="str">
        <x:v>系数CTA套利五号</x:v>
      </x:c>
      <x:c r="C3762" s="72" t="n">
        <x:v>46164</x:v>
      </x:c>
      <x:c r="D3762" s="73" t="n">
        <x:v>1.3107</x:v>
      </x:c>
      <x:c r="E3762" s="73" t="n">
        <x:v>1.3107</x:v>
      </x:c>
      <x:c r="F3762" s="73" t="n">
        <x:v>1.3107</x:v>
      </x:c>
      <x:c r="G3762" s="74" t="n">
        <x:v>-0.009000000000000001</x:v>
      </x:c>
      <x:c r="H3762" s="66" t="str">
        <x:v>系数CTA套利五号净值20260911.xlsx</x:v>
      </x:c>
      <x:c r="I3762" s="73" t="n">
        <x:f>MAX(I3761,F3762)</x:f>
        <x:v>1.3522</x:v>
      </x:c>
      <x:c r="J3762" s="74" t="n">
        <x:f>1-F3762/I3762</x:f>
        <x:v>0.03069072622393143</x:v>
      </x:c>
      <x:c r="K3762" s="73" t="n">
        <x:f>MAX(K3761,F3762)</x:f>
        <x:v>1.3522</x:v>
      </x:c>
      <x:c r="L3762" s="74" t="n">
        <x:f>1-F3762/K3762</x:f>
        <x:v>0.03069072622393143</x:v>
      </x:c>
      <x:c r="M3762" s="73" t="str">
        <x:f>""</x:f>
      </x:c>
      <x:c r="N3762" s="74" t="str">
        <x:f>""</x:f>
      </x:c>
    </x:row>
    <x:row r="3763" ht="27" customHeight="1">
      <x:c r="A3763" s="66" t="str">
        <x:v>SXT086</x:v>
      </x:c>
      <x:c r="B3763" s="66" t="str">
        <x:v>系数CTA套利五号</x:v>
      </x:c>
      <x:c r="C3763" s="72" t="n">
        <x:v>46171</x:v>
      </x:c>
      <x:c r="D3763" s="73" t="n">
        <x:v>1.3155</x:v>
      </x:c>
      <x:c r="E3763" s="73" t="n">
        <x:v>1.3155</x:v>
      </x:c>
      <x:c r="F3763" s="73" t="n">
        <x:v>1.3155</x:v>
      </x:c>
      <x:c r="G3763" s="74" t="n">
        <x:v>0.0037</x:v>
      </x:c>
      <x:c r="H3763" s="66" t="str">
        <x:v>系数CTA套利五号净值20260911.xlsx</x:v>
      </x:c>
      <x:c r="I3763" s="73" t="n">
        <x:f>MAX(I3762,F3763)</x:f>
        <x:v>1.3522</x:v>
      </x:c>
      <x:c r="J3763" s="74" t="n">
        <x:f>1-F3763/I3763</x:f>
        <x:v>0.02714095547995876</x:v>
      </x:c>
      <x:c r="K3763" s="73" t="n">
        <x:f>MAX(K3762,F3763)</x:f>
        <x:v>1.3522</x:v>
      </x:c>
      <x:c r="L3763" s="74" t="n">
        <x:f>1-F3763/K3763</x:f>
        <x:v>0.02714095547995876</x:v>
      </x:c>
      <x:c r="M3763" s="73" t="str">
        <x:f>""</x:f>
      </x:c>
      <x:c r="N3763" s="74" t="str">
        <x:f>""</x:f>
      </x:c>
    </x:row>
    <x:row r="3764" ht="27" customHeight="1">
      <x:c r="A3764" s="66" t="str">
        <x:v>SXT086</x:v>
      </x:c>
      <x:c r="B3764" s="66" t="str">
        <x:v>系数CTA套利五号</x:v>
      </x:c>
      <x:c r="C3764" s="72" t="n">
        <x:v>46178</x:v>
      </x:c>
      <x:c r="D3764" s="73" t="n">
        <x:v>1.3161</x:v>
      </x:c>
      <x:c r="E3764" s="73" t="n">
        <x:v>1.3161</x:v>
      </x:c>
      <x:c r="F3764" s="73" t="n">
        <x:v>1.3161</x:v>
      </x:c>
      <x:c r="G3764" s="74" t="n">
        <x:v>0.0005</x:v>
      </x:c>
      <x:c r="H3764" s="66" t="str">
        <x:v>系数CTA套利五号净值20260911.xlsx</x:v>
      </x:c>
      <x:c r="I3764" s="73" t="n">
        <x:f>MAX(I3763,F3764)</x:f>
        <x:v>1.3522</x:v>
      </x:c>
      <x:c r="J3764" s="74" t="n">
        <x:f>1-F3764/I3764</x:f>
        <x:v>0.02669723413696201</x:v>
      </x:c>
      <x:c r="K3764" s="73" t="n">
        <x:f>MAX(K3763,F3764)</x:f>
        <x:v>1.3522</x:v>
      </x:c>
      <x:c r="L3764" s="74" t="n">
        <x:f>1-F3764/K3764</x:f>
        <x:v>0.02669723413696201</x:v>
      </x:c>
      <x:c r="M3764" s="73" t="str">
        <x:f>""</x:f>
      </x:c>
      <x:c r="N3764" s="74" t="str">
        <x:f>""</x:f>
      </x:c>
    </x:row>
    <x:row r="3765" ht="27" customHeight="1">
      <x:c r="A3765" s="66" t="str">
        <x:v>SXT086</x:v>
      </x:c>
      <x:c r="B3765" s="66" t="str">
        <x:v>系数CTA套利五号</x:v>
      </x:c>
      <x:c r="C3765" s="72" t="n">
        <x:v>46185</x:v>
      </x:c>
      <x:c r="D3765" s="73" t="n">
        <x:v>1.3105</x:v>
      </x:c>
      <x:c r="E3765" s="73" t="n">
        <x:v>1.3105</x:v>
      </x:c>
      <x:c r="F3765" s="73" t="n">
        <x:v>1.3105</x:v>
      </x:c>
      <x:c r="G3765" s="74" t="n">
        <x:v>-0.0043</x:v>
      </x:c>
      <x:c r="H3765" s="66" t="str">
        <x:v>系数CTA套利五号净值20260911.xlsx</x:v>
      </x:c>
      <x:c r="I3765" s="73" t="n">
        <x:f>MAX(I3764,F3765)</x:f>
        <x:v>1.3522</x:v>
      </x:c>
      <x:c r="J3765" s="74" t="n">
        <x:f>1-F3765/I3765</x:f>
        <x:v>0.030838633338263644</x:v>
      </x:c>
      <x:c r="K3765" s="73" t="n">
        <x:f>MAX(K3764,F3765)</x:f>
        <x:v>1.3522</x:v>
      </x:c>
      <x:c r="L3765" s="74" t="n">
        <x:f>1-F3765/K3765</x:f>
        <x:v>0.030838633338263644</x:v>
      </x:c>
      <x:c r="M3765" s="73" t="str">
        <x:f>""</x:f>
      </x:c>
      <x:c r="N3765" s="74" t="str">
        <x:f>""</x:f>
      </x:c>
    </x:row>
    <x:row r="3766" ht="27" customHeight="1">
      <x:c r="A3766" s="66" t="str">
        <x:v>SXT086</x:v>
      </x:c>
      <x:c r="B3766" s="66" t="str">
        <x:v>系数CTA套利五号</x:v>
      </x:c>
      <x:c r="C3766" s="72" t="n">
        <x:v>46191</x:v>
      </x:c>
      <x:c r="D3766" s="73" t="n">
        <x:v>1.3132</x:v>
      </x:c>
      <x:c r="E3766" s="73" t="n">
        <x:v>1.3132</x:v>
      </x:c>
      <x:c r="F3766" s="73" t="n">
        <x:v>1.3132</x:v>
      </x:c>
      <x:c r="G3766" s="74" t="n">
        <x:v>0.0021</x:v>
      </x:c>
      <x:c r="H3766" s="66" t="str">
        <x:v>系数CTA套利五号净值20260911.xlsx</x:v>
      </x:c>
      <x:c r="I3766" s="73" t="n">
        <x:f>MAX(I3765,F3766)</x:f>
        <x:v>1.3522</x:v>
      </x:c>
      <x:c r="J3766" s="74" t="n">
        <x:f>1-F3766/I3766</x:f>
        <x:v>0.02884188729477899</x:v>
      </x:c>
      <x:c r="K3766" s="73" t="n">
        <x:f>MAX(K3765,F3766)</x:f>
        <x:v>1.3522</x:v>
      </x:c>
      <x:c r="L3766" s="74" t="n">
        <x:f>1-F3766/K3766</x:f>
        <x:v>0.02884188729477899</x:v>
      </x:c>
      <x:c r="M3766" s="73" t="str">
        <x:f>""</x:f>
      </x:c>
      <x:c r="N3766" s="74" t="str">
        <x:f>""</x:f>
      </x:c>
    </x:row>
    <x:row r="3767" ht="27" customHeight="1">
      <x:c r="A3767" s="66" t="str">
        <x:v>SXT086</x:v>
      </x:c>
      <x:c r="B3767" s="66" t="str">
        <x:v>系数CTA套利五号</x:v>
      </x:c>
      <x:c r="C3767" s="72" t="n">
        <x:v>46199</x:v>
      </x:c>
      <x:c r="D3767" s="73" t="n">
        <x:v>1.307</x:v>
      </x:c>
      <x:c r="E3767" s="73" t="n">
        <x:v>1.307</x:v>
      </x:c>
      <x:c r="F3767" s="73" t="n">
        <x:v>1.307</x:v>
      </x:c>
      <x:c r="G3767" s="74" t="n">
        <x:v>-0.004699999999999999</x:v>
      </x:c>
      <x:c r="H3767" s="66" t="str">
        <x:v>系数CTA套利五号净值20260911.xlsx</x:v>
      </x:c>
      <x:c r="I3767" s="73" t="n">
        <x:f>MAX(I3766,F3767)</x:f>
        <x:v>1.3522</x:v>
      </x:c>
      <x:c r="J3767" s="74" t="n">
        <x:f>1-F3767/I3767</x:f>
        <x:v>0.03342700783907715</x:v>
      </x:c>
      <x:c r="K3767" s="73" t="n">
        <x:f>MAX(K3766,F3767)</x:f>
        <x:v>1.3522</x:v>
      </x:c>
      <x:c r="L3767" s="74" t="n">
        <x:f>1-F3767/K3767</x:f>
        <x:v>0.03342700783907715</x:v>
      </x:c>
      <x:c r="M3767" s="73" t="str">
        <x:f>""</x:f>
      </x:c>
      <x:c r="N3767" s="74" t="str">
        <x:f>""</x:f>
      </x:c>
    </x:row>
    <x:row r="3768" ht="27" customHeight="1">
      <x:c r="A3768" s="66" t="str">
        <x:v>SXT086</x:v>
      </x:c>
      <x:c r="B3768" s="66" t="str">
        <x:v>系数CTA套利五号</x:v>
      </x:c>
      <x:c r="C3768" s="72" t="n">
        <x:v>46206</x:v>
      </x:c>
      <x:c r="D3768" s="73" t="n">
        <x:v>1.2939</x:v>
      </x:c>
      <x:c r="E3768" s="73" t="n">
        <x:v>1.2939</x:v>
      </x:c>
      <x:c r="F3768" s="73" t="n">
        <x:v>1.2939</x:v>
      </x:c>
      <x:c r="G3768" s="74" t="n">
        <x:v>-0.01</x:v>
      </x:c>
      <x:c r="H3768" s="66" t="str">
        <x:v>系数CTA套利五号净值20260911.xlsx</x:v>
      </x:c>
      <x:c r="I3768" s="73" t="n">
        <x:f>MAX(I3767,F3768)</x:f>
        <x:v>1.3522</x:v>
      </x:c>
      <x:c r="J3768" s="74" t="n">
        <x:f>1-F3768/I3768</x:f>
        <x:v>0.043114923827836105</x:v>
      </x:c>
      <x:c r="K3768" s="73" t="n">
        <x:f>MAX(K3767,F3768)</x:f>
        <x:v>1.3522</x:v>
      </x:c>
      <x:c r="L3768" s="74" t="n">
        <x:f>1-F3768/K3768</x:f>
        <x:v>0.043114923827836105</x:v>
      </x:c>
      <x:c r="M3768" s="73" t="str">
        <x:f>""</x:f>
      </x:c>
      <x:c r="N3768" s="74" t="str">
        <x:f>""</x:f>
      </x:c>
    </x:row>
    <x:row r="3769" ht="27" customHeight="1">
      <x:c r="A3769" s="66" t="str">
        <x:v>SXT086</x:v>
      </x:c>
      <x:c r="B3769" s="66" t="str">
        <x:v>系数CTA套利五号</x:v>
      </x:c>
      <x:c r="C3769" s="72" t="n">
        <x:v>46213</x:v>
      </x:c>
      <x:c r="D3769" s="73" t="n">
        <x:v>1.3021</x:v>
      </x:c>
      <x:c r="E3769" s="73" t="n">
        <x:v>1.3021</x:v>
      </x:c>
      <x:c r="F3769" s="73" t="n">
        <x:v>1.3021</x:v>
      </x:c>
      <x:c r="G3769" s="74" t="n">
        <x:v>0.0063</x:v>
      </x:c>
      <x:c r="H3769" s="66" t="str">
        <x:v>系数CTA套利五号净值20260911.xlsx</x:v>
      </x:c>
      <x:c r="I3769" s="73" t="n">
        <x:f>MAX(I3768,F3769)</x:f>
        <x:v>1.3522</x:v>
      </x:c>
      <x:c r="J3769" s="74" t="n">
        <x:f>1-F3769/I3769</x:f>
        <x:v>0.037050732140215925</x:v>
      </x:c>
      <x:c r="K3769" s="73" t="n">
        <x:f>MAX(K3768,F3769)</x:f>
        <x:v>1.3522</x:v>
      </x:c>
      <x:c r="L3769" s="74" t="n">
        <x:f>1-F3769/K3769</x:f>
        <x:v>0.037050732140215925</x:v>
      </x:c>
      <x:c r="M3769" s="73" t="str">
        <x:f>""</x:f>
      </x:c>
      <x:c r="N3769" s="74" t="str">
        <x:f>""</x:f>
      </x:c>
    </x:row>
    <x:row r="3770" ht="27" customHeight="1">
      <x:c r="A3770" s="66" t="str">
        <x:v>SXT086</x:v>
      </x:c>
      <x:c r="B3770" s="66" t="str">
        <x:v>系数CTA套利五号</x:v>
      </x:c>
      <x:c r="C3770" s="72" t="n">
        <x:v>46220</x:v>
      </x:c>
      <x:c r="D3770" s="73" t="n">
        <x:v>1.3153</x:v>
      </x:c>
      <x:c r="E3770" s="73" t="n">
        <x:v>1.3153</x:v>
      </x:c>
      <x:c r="F3770" s="73" t="n">
        <x:v>1.3153</x:v>
      </x:c>
      <x:c r="G3770" s="74" t="n">
        <x:v>0.0101</x:v>
      </x:c>
      <x:c r="H3770" s="66" t="str">
        <x:v>系数CTA套利五号净值20260911.xlsx</x:v>
      </x:c>
      <x:c r="I3770" s="73" t="n">
        <x:f>MAX(I3769,F3770)</x:f>
        <x:v>1.3522</x:v>
      </x:c>
      <x:c r="J3770" s="74" t="n">
        <x:f>1-F3770/I3770</x:f>
        <x:v>0.027288862594290864</x:v>
      </x:c>
      <x:c r="K3770" s="73" t="n">
        <x:f>MAX(K3769,F3770)</x:f>
        <x:v>1.3522</x:v>
      </x:c>
      <x:c r="L3770" s="74" t="n">
        <x:f>1-F3770/K3770</x:f>
        <x:v>0.027288862594290864</x:v>
      </x:c>
      <x:c r="M3770" s="73" t="str">
        <x:f>""</x:f>
      </x:c>
      <x:c r="N3770" s="74" t="str">
        <x:f>""</x:f>
      </x:c>
    </x:row>
    <x:row r="3771" ht="27" customHeight="1">
      <x:c r="A3771" s="66" t="str">
        <x:v>SXT086</x:v>
      </x:c>
      <x:c r="B3771" s="66" t="str">
        <x:v>系数CTA套利五号</x:v>
      </x:c>
      <x:c r="C3771" s="72" t="n">
        <x:v>46227</x:v>
      </x:c>
      <x:c r="D3771" s="73" t="n">
        <x:v>1.324</x:v>
      </x:c>
      <x:c r="E3771" s="73" t="n">
        <x:v>1.324</x:v>
      </x:c>
      <x:c r="F3771" s="73" t="n">
        <x:v>1.324</x:v>
      </x:c>
      <x:c r="G3771" s="74" t="n">
        <x:v>0.0066</x:v>
      </x:c>
      <x:c r="H3771" s="66" t="str">
        <x:v>系数CTA套利五号净值20260911.xlsx</x:v>
      </x:c>
      <x:c r="I3771" s="73" t="n">
        <x:f>MAX(I3770,F3771)</x:f>
        <x:v>1.3522</x:v>
      </x:c>
      <x:c r="J3771" s="74" t="n">
        <x:f>1-F3771/I3771</x:f>
        <x:v>0.02085490312084015</x:v>
      </x:c>
      <x:c r="K3771" s="73" t="n">
        <x:f>MAX(K3770,F3771)</x:f>
        <x:v>1.3522</x:v>
      </x:c>
      <x:c r="L3771" s="74" t="n">
        <x:f>1-F3771/K3771</x:f>
        <x:v>0.02085490312084015</x:v>
      </x:c>
      <x:c r="M3771" s="73" t="str">
        <x:f>""</x:f>
      </x:c>
      <x:c r="N3771" s="74" t="str">
        <x:f>""</x:f>
      </x:c>
    </x:row>
    <x:row r="3772" ht="27" customHeight="1">
      <x:c r="A3772" s="66" t="str">
        <x:v>SXT086</x:v>
      </x:c>
      <x:c r="B3772" s="66" t="str">
        <x:v>系数CTA套利五号</x:v>
      </x:c>
      <x:c r="C3772" s="72" t="n">
        <x:v>46234</x:v>
      </x:c>
      <x:c r="D3772" s="73" t="n">
        <x:v>1.323</x:v>
      </x:c>
      <x:c r="E3772" s="73" t="n">
        <x:v>1.323</x:v>
      </x:c>
      <x:c r="F3772" s="73" t="n">
        <x:v>1.323</x:v>
      </x:c>
      <x:c r="G3772" s="74" t="n">
        <x:v>-0.0008</x:v>
      </x:c>
      <x:c r="H3772" s="66" t="str">
        <x:v>系数CTA套利五号净值20260911.xlsx</x:v>
      </x:c>
      <x:c r="I3772" s="73" t="n">
        <x:f>MAX(I3771,F3772)</x:f>
        <x:v>1.3522</x:v>
      </x:c>
      <x:c r="J3772" s="74" t="n">
        <x:f>1-F3772/I3772</x:f>
        <x:v>0.021594438692501217</x:v>
      </x:c>
      <x:c r="K3772" s="73" t="n">
        <x:f>MAX(K3771,F3772)</x:f>
        <x:v>1.3522</x:v>
      </x:c>
      <x:c r="L3772" s="74" t="n">
        <x:f>1-F3772/K3772</x:f>
        <x:v>0.021594438692501217</x:v>
      </x:c>
      <x:c r="M3772" s="73" t="str">
        <x:f>""</x:f>
      </x:c>
      <x:c r="N3772" s="74" t="str">
        <x:f>""</x:f>
      </x:c>
    </x:row>
    <x:row r="3773" ht="27" customHeight="1">
      <x:c r="A3773" s="66" t="str">
        <x:v>SXT086</x:v>
      </x:c>
      <x:c r="B3773" s="66" t="str">
        <x:v>系数CTA套利五号</x:v>
      </x:c>
      <x:c r="C3773" s="72" t="n">
        <x:v>46241</x:v>
      </x:c>
      <x:c r="D3773" s="73" t="n">
        <x:v>1.3234</x:v>
      </x:c>
      <x:c r="E3773" s="73" t="n">
        <x:v>1.3234</x:v>
      </x:c>
      <x:c r="F3773" s="73" t="n">
        <x:v>1.3234</x:v>
      </x:c>
      <x:c r="G3773" s="74" t="n">
        <x:v>0.0003</x:v>
      </x:c>
      <x:c r="H3773" s="66" t="str">
        <x:v>系数CTA套利五号净值20260911.xlsx</x:v>
      </x:c>
      <x:c r="I3773" s="73" t="n">
        <x:f>MAX(I3772,F3773)</x:f>
        <x:v>1.3522</x:v>
      </x:c>
      <x:c r="J3773" s="74" t="n">
        <x:f>1-F3773/I3773</x:f>
        <x:v>0.02129862446383679</x:v>
      </x:c>
      <x:c r="K3773" s="73" t="n">
        <x:f>MAX(K3772,F3773)</x:f>
        <x:v>1.3522</x:v>
      </x:c>
      <x:c r="L3773" s="74" t="n">
        <x:f>1-F3773/K3773</x:f>
        <x:v>0.02129862446383679</x:v>
      </x:c>
      <x:c r="M3773" s="73" t="str">
        <x:f>""</x:f>
      </x:c>
      <x:c r="N3773" s="74" t="str">
        <x:f>""</x:f>
      </x:c>
    </x:row>
    <x:row r="3774" ht="27" customHeight="1">
      <x:c r="A3774" s="66" t="str">
        <x:v>SXT086</x:v>
      </x:c>
      <x:c r="B3774" s="66" t="str">
        <x:v>系数CTA套利五号</x:v>
      </x:c>
      <x:c r="C3774" s="72" t="n">
        <x:v>46248</x:v>
      </x:c>
      <x:c r="D3774" s="73" t="n">
        <x:v>1.3224</x:v>
      </x:c>
      <x:c r="E3774" s="73" t="n">
        <x:v>1.3224</x:v>
      </x:c>
      <x:c r="F3774" s="73" t="n">
        <x:v>1.3224</x:v>
      </x:c>
      <x:c r="G3774" s="74" t="n">
        <x:v>-0.0008</x:v>
      </x:c>
      <x:c r="H3774" s="66" t="str">
        <x:v>系数CTA套利五号净值20260911.xlsx</x:v>
      </x:c>
      <x:c r="I3774" s="73" t="n">
        <x:f>MAX(I3773,F3774)</x:f>
        <x:v>1.3522</x:v>
      </x:c>
      <x:c r="J3774" s="74" t="n">
        <x:f>1-F3774/I3774</x:f>
        <x:v>0.022038160035497745</x:v>
      </x:c>
      <x:c r="K3774" s="73" t="n">
        <x:f>MAX(K3773,F3774)</x:f>
        <x:v>1.3522</x:v>
      </x:c>
      <x:c r="L3774" s="74" t="n">
        <x:f>1-F3774/K3774</x:f>
        <x:v>0.022038160035497745</x:v>
      </x:c>
      <x:c r="M3774" s="73" t="str">
        <x:f>""</x:f>
      </x:c>
      <x:c r="N3774" s="74" t="str">
        <x:f>""</x:f>
      </x:c>
    </x:row>
    <x:row r="3775" ht="27" customHeight="1">
      <x:c r="A3775" s="66" t="str">
        <x:v>SXT086</x:v>
      </x:c>
      <x:c r="B3775" s="66" t="str">
        <x:v>系数CTA套利五号</x:v>
      </x:c>
      <x:c r="C3775" s="72" t="n">
        <x:v>46255</x:v>
      </x:c>
      <x:c r="D3775" s="73" t="n">
        <x:v>1.321</x:v>
      </x:c>
      <x:c r="E3775" s="73" t="n">
        <x:v>1.321</x:v>
      </x:c>
      <x:c r="F3775" s="73" t="n">
        <x:v>1.321</x:v>
      </x:c>
      <x:c r="G3775" s="74" t="n">
        <x:v>-0.0011</x:v>
      </x:c>
      <x:c r="H3775" s="66" t="str">
        <x:v>系数CTA套利五号净值20260911.xlsx</x:v>
      </x:c>
      <x:c r="I3775" s="73" t="n">
        <x:f>MAX(I3774,F3775)</x:f>
        <x:v>1.3522</x:v>
      </x:c>
      <x:c r="J3775" s="74" t="n">
        <x:f>1-F3775/I3775</x:f>
        <x:v>0.023073509835823236</x:v>
      </x:c>
      <x:c r="K3775" s="73" t="n">
        <x:f>MAX(K3774,F3775)</x:f>
        <x:v>1.3522</x:v>
      </x:c>
      <x:c r="L3775" s="74" t="n">
        <x:f>1-F3775/K3775</x:f>
        <x:v>0.023073509835823236</x:v>
      </x:c>
      <x:c r="M3775" s="73" t="str">
        <x:f>""</x:f>
      </x:c>
      <x:c r="N3775" s="74" t="str">
        <x:f>""</x:f>
      </x:c>
    </x:row>
    <x:row r="3776" ht="27" customHeight="1">
      <x:c r="A3776" s="66" t="str">
        <x:v>SXT086</x:v>
      </x:c>
      <x:c r="B3776" s="66" t="str">
        <x:v>系数CTA套利五号</x:v>
      </x:c>
      <x:c r="C3776" s="72" t="n">
        <x:v>46262</x:v>
      </x:c>
      <x:c r="D3776" s="73" t="n">
        <x:v>1.3197</x:v>
      </x:c>
      <x:c r="E3776" s="73" t="n">
        <x:v>1.3197</x:v>
      </x:c>
      <x:c r="F3776" s="73" t="n">
        <x:v>1.3197</x:v>
      </x:c>
      <x:c r="G3776" s="74" t="n">
        <x:v>-0.001</x:v>
      </x:c>
      <x:c r="H3776" s="66" t="str">
        <x:v>系数CTA套利五号净值20260911.xlsx</x:v>
      </x:c>
      <x:c r="I3776" s="73" t="n">
        <x:f>MAX(I3775,F3776)</x:f>
        <x:v>1.3522</x:v>
      </x:c>
      <x:c r="J3776" s="74" t="n">
        <x:f>1-F3776/I3776</x:f>
        <x:v>0.0240349060789824</x:v>
      </x:c>
      <x:c r="K3776" s="73" t="n">
        <x:f>MAX(K3775,F3776)</x:f>
        <x:v>1.3522</x:v>
      </x:c>
      <x:c r="L3776" s="74" t="n">
        <x:f>1-F3776/K3776</x:f>
        <x:v>0.0240349060789824</x:v>
      </x:c>
      <x:c r="M3776" s="73" t="str">
        <x:f>""</x:f>
      </x:c>
      <x:c r="N3776" s="74" t="str">
        <x:f>""</x:f>
      </x:c>
    </x:row>
    <x:row r="3777" ht="27" customHeight="1">
      <x:c r="A3777" s="66" t="str">
        <x:v>SXT086</x:v>
      </x:c>
      <x:c r="B3777" s="66" t="str">
        <x:v>系数CTA套利五号</x:v>
      </x:c>
      <x:c r="C3777" s="72" t="n">
        <x:v>46269</x:v>
      </x:c>
      <x:c r="D3777" s="73" t="n">
        <x:v>1.321</x:v>
      </x:c>
      <x:c r="E3777" s="73" t="n">
        <x:v>1.321</x:v>
      </x:c>
      <x:c r="F3777" s="73" t="n">
        <x:v>1.321</x:v>
      </x:c>
      <x:c r="G3777" s="74" t="n">
        <x:v>0.001</x:v>
      </x:c>
      <x:c r="H3777" s="66" t="str">
        <x:v>系数CTA套利五号净值20260911.xlsx</x:v>
      </x:c>
      <x:c r="I3777" s="73" t="n">
        <x:f>MAX(I3776,F3777)</x:f>
        <x:v>1.3522</x:v>
      </x:c>
      <x:c r="J3777" s="74" t="n">
        <x:f>1-F3777/I3777</x:f>
        <x:v>0.023073509835823236</x:v>
      </x:c>
      <x:c r="K3777" s="73" t="n">
        <x:f>MAX(K3776,F3777)</x:f>
        <x:v>1.3522</x:v>
      </x:c>
      <x:c r="L3777" s="74" t="n">
        <x:f>1-F3777/K3777</x:f>
        <x:v>0.023073509835823236</x:v>
      </x:c>
      <x:c r="M3777" s="73" t="str">
        <x:f>""</x:f>
      </x:c>
      <x:c r="N3777" s="74" t="str">
        <x:f>""</x:f>
      </x:c>
    </x:row>
    <x:row r="3778" ht="27" customHeight="1">
      <x:c r="A3778" s="66" t="str">
        <x:v>SNH457</x:v>
      </x:c>
      <x:c r="B3778" s="66" t="str">
        <x:v>量客投资金选套利1号</x:v>
      </x:c>
      <x:c r="C3778" s="72" t="n">
        <x:v>44196</x:v>
      </x:c>
      <x:c r="D3778" s="73" t="n">
        <x:v>1.0001</x:v>
      </x:c>
      <x:c r="E3778" s="73" t="n">
        <x:v>1.0001</x:v>
      </x:c>
      <x:c r="F3778" s="73" t="n">
        <x:v>1.0001</x:v>
      </x:c>
      <x:c r="G3778" s="74"/>
      <x:c r="H3778" s="66" t="str">
        <x:v>量客投资金选套利1号净值20260911.xlsx</x:v>
      </x:c>
      <x:c r="I3778" s="73" t="str">
        <x:f>""</x:f>
      </x:c>
      <x:c r="J3778" s="74" t="str">
        <x:f>""</x:f>
      </x:c>
      <x:c r="K3778" s="73" t="str">
        <x:f>""</x:f>
      </x:c>
      <x:c r="L3778" s="74" t="str">
        <x:f>""</x:f>
      </x:c>
      <x:c r="M3778" s="73" t="n">
        <x:f>F3778</x:f>
        <x:v>1.0001</x:v>
      </x:c>
      <x:c r="N3778" s="74" t="n">
        <x:f>1-F3778/M3778</x:f>
        <x:v>0</x:v>
      </x:c>
    </x:row>
    <x:row r="3779" ht="27" customHeight="1">
      <x:c r="A3779" s="66" t="str">
        <x:v>SNH457</x:v>
      </x:c>
      <x:c r="B3779" s="66" t="str">
        <x:v>量客投资金选套利1号</x:v>
      </x:c>
      <x:c r="C3779" s="72" t="n">
        <x:v>44204</x:v>
      </x:c>
      <x:c r="D3779" s="73" t="n">
        <x:v>1.0004</x:v>
      </x:c>
      <x:c r="E3779" s="73" t="n">
        <x:v>1.0004</x:v>
      </x:c>
      <x:c r="F3779" s="73" t="n">
        <x:v>1.0004</x:v>
      </x:c>
      <x:c r="G3779" s="74" t="n">
        <x:v>0.0003</x:v>
      </x:c>
      <x:c r="H3779" s="66" t="str">
        <x:v>量客投资金选套利1号净值20260911.xlsx</x:v>
      </x:c>
      <x:c r="I3779" s="73" t="str">
        <x:f>""</x:f>
      </x:c>
      <x:c r="J3779" s="74" t="str">
        <x:f>""</x:f>
      </x:c>
      <x:c r="K3779" s="73" t="str">
        <x:f>""</x:f>
      </x:c>
      <x:c r="L3779" s="74" t="str">
        <x:f>""</x:f>
      </x:c>
      <x:c r="M3779" s="73" t="n">
        <x:f>MAX(M3778,F3779)</x:f>
        <x:v>1.0004</x:v>
      </x:c>
      <x:c r="N3779" s="74" t="n">
        <x:f>1-F3779/M3779</x:f>
        <x:v>0</x:v>
      </x:c>
    </x:row>
    <x:row r="3780" ht="27" customHeight="1">
      <x:c r="A3780" s="66" t="str">
        <x:v>SNH457</x:v>
      </x:c>
      <x:c r="B3780" s="66" t="str">
        <x:v>量客投资金选套利1号</x:v>
      </x:c>
      <x:c r="C3780" s="72" t="n">
        <x:v>44211</x:v>
      </x:c>
      <x:c r="D3780" s="73" t="n">
        <x:v>1.0007</x:v>
      </x:c>
      <x:c r="E3780" s="73" t="n">
        <x:v>1.0007</x:v>
      </x:c>
      <x:c r="F3780" s="73" t="n">
        <x:v>1.0007</x:v>
      </x:c>
      <x:c r="G3780" s="74" t="n">
        <x:v>0.0003</x:v>
      </x:c>
      <x:c r="H3780" s="66" t="str">
        <x:v>量客投资金选套利1号净值20260911.xlsx</x:v>
      </x:c>
      <x:c r="I3780" s="73" t="str">
        <x:f>""</x:f>
      </x:c>
      <x:c r="J3780" s="74" t="str">
        <x:f>""</x:f>
      </x:c>
      <x:c r="K3780" s="73" t="str">
        <x:f>""</x:f>
      </x:c>
      <x:c r="L3780" s="74" t="str">
        <x:f>""</x:f>
      </x:c>
      <x:c r="M3780" s="73" t="n">
        <x:f>MAX(M3779,F3780)</x:f>
        <x:v>1.0007</x:v>
      </x:c>
      <x:c r="N3780" s="74" t="n">
        <x:f>1-F3780/M3780</x:f>
        <x:v>0</x:v>
      </x:c>
    </x:row>
    <x:row r="3781" ht="27" customHeight="1">
      <x:c r="A3781" s="66" t="str">
        <x:v>SNH457</x:v>
      </x:c>
      <x:c r="B3781" s="66" t="str">
        <x:v>量客投资金选套利1号</x:v>
      </x:c>
      <x:c r="C3781" s="72" t="n">
        <x:v>44218</x:v>
      </x:c>
      <x:c r="D3781" s="73" t="n">
        <x:v>1.0026</x:v>
      </x:c>
      <x:c r="E3781" s="73" t="n">
        <x:v>1.0026</x:v>
      </x:c>
      <x:c r="F3781" s="73" t="n">
        <x:v>1.0026</x:v>
      </x:c>
      <x:c r="G3781" s="74" t="n">
        <x:v>0.0019</x:v>
      </x:c>
      <x:c r="H3781" s="66" t="str">
        <x:v>量客投资金选套利1号净值20260911.xlsx</x:v>
      </x:c>
      <x:c r="I3781" s="73" t="str">
        <x:f>""</x:f>
      </x:c>
      <x:c r="J3781" s="74" t="str">
        <x:f>""</x:f>
      </x:c>
      <x:c r="K3781" s="73" t="str">
        <x:f>""</x:f>
      </x:c>
      <x:c r="L3781" s="74" t="str">
        <x:f>""</x:f>
      </x:c>
      <x:c r="M3781" s="73" t="n">
        <x:f>MAX(M3780,F3781)</x:f>
        <x:v>1.0026</x:v>
      </x:c>
      <x:c r="N3781" s="74" t="n">
        <x:f>1-F3781/M3781</x:f>
        <x:v>0</x:v>
      </x:c>
    </x:row>
    <x:row r="3782" ht="27" customHeight="1">
      <x:c r="A3782" s="66" t="str">
        <x:v>SNH457</x:v>
      </x:c>
      <x:c r="B3782" s="66" t="str">
        <x:v>量客投资金选套利1号</x:v>
      </x:c>
      <x:c r="C3782" s="72" t="n">
        <x:v>44225</x:v>
      </x:c>
      <x:c r="D3782" s="73" t="n">
        <x:v>1.0033</x:v>
      </x:c>
      <x:c r="E3782" s="73" t="n">
        <x:v>1.0033</x:v>
      </x:c>
      <x:c r="F3782" s="73" t="n">
        <x:v>1.0033</x:v>
      </x:c>
      <x:c r="G3782" s="74" t="n">
        <x:v>0.0007000000000000001</x:v>
      </x:c>
      <x:c r="H3782" s="66" t="str">
        <x:v>量客投资金选套利1号净值20260911.xlsx</x:v>
      </x:c>
      <x:c r="I3782" s="73" t="str">
        <x:f>""</x:f>
      </x:c>
      <x:c r="J3782" s="74" t="str">
        <x:f>""</x:f>
      </x:c>
      <x:c r="K3782" s="73" t="str">
        <x:f>""</x:f>
      </x:c>
      <x:c r="L3782" s="74" t="str">
        <x:f>""</x:f>
      </x:c>
      <x:c r="M3782" s="73" t="n">
        <x:f>MAX(M3781,F3782)</x:f>
        <x:v>1.0033</x:v>
      </x:c>
      <x:c r="N3782" s="74" t="n">
        <x:f>1-F3782/M3782</x:f>
        <x:v>0</x:v>
      </x:c>
    </x:row>
    <x:row r="3783" ht="27" customHeight="1">
      <x:c r="A3783" s="66" t="str">
        <x:v>SNH457</x:v>
      </x:c>
      <x:c r="B3783" s="66" t="str">
        <x:v>量客投资金选套利1号</x:v>
      </x:c>
      <x:c r="C3783" s="72" t="n">
        <x:v>44232</x:v>
      </x:c>
      <x:c r="D3783" s="73" t="n">
        <x:v>1.0036</x:v>
      </x:c>
      <x:c r="E3783" s="73" t="n">
        <x:v>1.0036</x:v>
      </x:c>
      <x:c r="F3783" s="73" t="n">
        <x:v>1.0036</x:v>
      </x:c>
      <x:c r="G3783" s="74" t="n">
        <x:v>0.0003</x:v>
      </x:c>
      <x:c r="H3783" s="66" t="str">
        <x:v>量客投资金选套利1号净值20260911.xlsx</x:v>
      </x:c>
      <x:c r="I3783" s="73" t="str">
        <x:f>""</x:f>
      </x:c>
      <x:c r="J3783" s="74" t="str">
        <x:f>""</x:f>
      </x:c>
      <x:c r="K3783" s="73" t="str">
        <x:f>""</x:f>
      </x:c>
      <x:c r="L3783" s="74" t="str">
        <x:f>""</x:f>
      </x:c>
      <x:c r="M3783" s="73" t="n">
        <x:f>MAX(M3782,F3783)</x:f>
        <x:v>1.0036</x:v>
      </x:c>
      <x:c r="N3783" s="74" t="n">
        <x:f>1-F3783/M3783</x:f>
        <x:v>0</x:v>
      </x:c>
    </x:row>
    <x:row r="3784" ht="27" customHeight="1">
      <x:c r="A3784" s="66" t="str">
        <x:v>SNH457</x:v>
      </x:c>
      <x:c r="B3784" s="66" t="str">
        <x:v>量客投资金选套利1号</x:v>
      </x:c>
      <x:c r="C3784" s="72" t="n">
        <x:v>44237</x:v>
      </x:c>
      <x:c r="D3784" s="73" t="n">
        <x:v>1.0051</x:v>
      </x:c>
      <x:c r="E3784" s="73" t="n">
        <x:v>1.0051</x:v>
      </x:c>
      <x:c r="F3784" s="73" t="n">
        <x:v>1.0051</x:v>
      </x:c>
      <x:c r="G3784" s="74" t="n">
        <x:v>0.0015</x:v>
      </x:c>
      <x:c r="H3784" s="66" t="str">
        <x:v>量客投资金选套利1号净值20260911.xlsx</x:v>
      </x:c>
      <x:c r="I3784" s="73" t="str">
        <x:f>""</x:f>
      </x:c>
      <x:c r="J3784" s="74" t="str">
        <x:f>""</x:f>
      </x:c>
      <x:c r="K3784" s="73" t="str">
        <x:f>""</x:f>
      </x:c>
      <x:c r="L3784" s="74" t="str">
        <x:f>""</x:f>
      </x:c>
      <x:c r="M3784" s="73" t="n">
        <x:f>MAX(M3783,F3784)</x:f>
        <x:v>1.0051</x:v>
      </x:c>
      <x:c r="N3784" s="74" t="n">
        <x:f>1-F3784/M3784</x:f>
        <x:v>0</x:v>
      </x:c>
    </x:row>
    <x:row r="3785" ht="27" customHeight="1">
      <x:c r="A3785" s="66" t="str">
        <x:v>SNH457</x:v>
      </x:c>
      <x:c r="B3785" s="66" t="str">
        <x:v>量客投资金选套利1号</x:v>
      </x:c>
      <x:c r="C3785" s="72" t="n">
        <x:v>44246</x:v>
      </x:c>
      <x:c r="D3785" s="73" t="n">
        <x:v>1.0059</x:v>
      </x:c>
      <x:c r="E3785" s="73" t="n">
        <x:v>1.0059</x:v>
      </x:c>
      <x:c r="F3785" s="73" t="n">
        <x:v>1.0059</x:v>
      </x:c>
      <x:c r="G3785" s="74" t="n">
        <x:v>0.0008</x:v>
      </x:c>
      <x:c r="H3785" s="66" t="str">
        <x:v>量客投资金选套利1号净值20260911.xlsx</x:v>
      </x:c>
      <x:c r="I3785" s="73" t="str">
        <x:f>""</x:f>
      </x:c>
      <x:c r="J3785" s="74" t="str">
        <x:f>""</x:f>
      </x:c>
      <x:c r="K3785" s="73" t="str">
        <x:f>""</x:f>
      </x:c>
      <x:c r="L3785" s="74" t="str">
        <x:f>""</x:f>
      </x:c>
      <x:c r="M3785" s="73" t="n">
        <x:f>MAX(M3784,F3785)</x:f>
        <x:v>1.0059</x:v>
      </x:c>
      <x:c r="N3785" s="74" t="n">
        <x:f>1-F3785/M3785</x:f>
        <x:v>0</x:v>
      </x:c>
    </x:row>
    <x:row r="3786" ht="27" customHeight="1">
      <x:c r="A3786" s="66" t="str">
        <x:v>SNH457</x:v>
      </x:c>
      <x:c r="B3786" s="66" t="str">
        <x:v>量客投资金选套利1号</x:v>
      </x:c>
      <x:c r="C3786" s="72" t="n">
        <x:v>44253</x:v>
      </x:c>
      <x:c r="D3786" s="73" t="n">
        <x:v>1.0098</x:v>
      </x:c>
      <x:c r="E3786" s="73" t="n">
        <x:v>1.0098</x:v>
      </x:c>
      <x:c r="F3786" s="73" t="n">
        <x:v>1.0098</x:v>
      </x:c>
      <x:c r="G3786" s="74" t="n">
        <x:v>0.0039000000000000003</x:v>
      </x:c>
      <x:c r="H3786" s="66" t="str">
        <x:v>量客投资金选套利1号净值20260911.xlsx</x:v>
      </x:c>
      <x:c r="I3786" s="73" t="str">
        <x:f>""</x:f>
      </x:c>
      <x:c r="J3786" s="74" t="str">
        <x:f>""</x:f>
      </x:c>
      <x:c r="K3786" s="73" t="str">
        <x:f>""</x:f>
      </x:c>
      <x:c r="L3786" s="74" t="str">
        <x:f>""</x:f>
      </x:c>
      <x:c r="M3786" s="73" t="n">
        <x:f>MAX(M3785,F3786)</x:f>
        <x:v>1.0098</x:v>
      </x:c>
      <x:c r="N3786" s="74" t="n">
        <x:f>1-F3786/M3786</x:f>
        <x:v>0</x:v>
      </x:c>
    </x:row>
    <x:row r="3787" ht="27" customHeight="1">
      <x:c r="A3787" s="66" t="str">
        <x:v>SNH457</x:v>
      </x:c>
      <x:c r="B3787" s="66" t="str">
        <x:v>量客投资金选套利1号</x:v>
      </x:c>
      <x:c r="C3787" s="72" t="n">
        <x:v>44260</x:v>
      </x:c>
      <x:c r="D3787" s="73" t="n">
        <x:v>1.0045</x:v>
      </x:c>
      <x:c r="E3787" s="73" t="n">
        <x:v>1.0045</x:v>
      </x:c>
      <x:c r="F3787" s="73" t="n">
        <x:v>1.0045</x:v>
      </x:c>
      <x:c r="G3787" s="74" t="n">
        <x:v>-0.0052</x:v>
      </x:c>
      <x:c r="H3787" s="66" t="str">
        <x:v>量客投资金选套利1号净值20260911.xlsx</x:v>
      </x:c>
      <x:c r="I3787" s="73" t="str">
        <x:f>""</x:f>
      </x:c>
      <x:c r="J3787" s="74" t="str">
        <x:f>""</x:f>
      </x:c>
      <x:c r="K3787" s="73" t="str">
        <x:f>""</x:f>
      </x:c>
      <x:c r="L3787" s="74" t="str">
        <x:f>""</x:f>
      </x:c>
      <x:c r="M3787" s="73" t="n">
        <x:f>MAX(M3786,F3787)</x:f>
        <x:v>1.0098</x:v>
      </x:c>
      <x:c r="N3787" s="74" t="n">
        <x:f>1-F3787/M3787</x:f>
        <x:v>0.00524856407209362</x:v>
      </x:c>
    </x:row>
    <x:row r="3788" ht="27" customHeight="1">
      <x:c r="A3788" s="66" t="str">
        <x:v>SNH457</x:v>
      </x:c>
      <x:c r="B3788" s="66" t="str">
        <x:v>量客投资金选套利1号</x:v>
      </x:c>
      <x:c r="C3788" s="72" t="n">
        <x:v>44267</x:v>
      </x:c>
      <x:c r="D3788" s="73" t="n">
        <x:v>1.0168</x:v>
      </x:c>
      <x:c r="E3788" s="73" t="n">
        <x:v>1.0168</x:v>
      </x:c>
      <x:c r="F3788" s="73" t="n">
        <x:v>1.0168</x:v>
      </x:c>
      <x:c r="G3788" s="74" t="n">
        <x:v>0.012199999999999999</x:v>
      </x:c>
      <x:c r="H3788" s="66" t="str">
        <x:v>量客投资金选套利1号净值20260911.xlsx</x:v>
      </x:c>
      <x:c r="I3788" s="73" t="str">
        <x:f>""</x:f>
      </x:c>
      <x:c r="J3788" s="74" t="str">
        <x:f>""</x:f>
      </x:c>
      <x:c r="K3788" s="73" t="str">
        <x:f>""</x:f>
      </x:c>
      <x:c r="L3788" s="74" t="str">
        <x:f>""</x:f>
      </x:c>
      <x:c r="M3788" s="73" t="n">
        <x:f>MAX(M3787,F3788)</x:f>
        <x:v>1.0168</x:v>
      </x:c>
      <x:c r="N3788" s="74" t="n">
        <x:f>1-F3788/M3788</x:f>
        <x:v>0</x:v>
      </x:c>
    </x:row>
    <x:row r="3789" ht="27" customHeight="1">
      <x:c r="A3789" s="66" t="str">
        <x:v>SNH457</x:v>
      </x:c>
      <x:c r="B3789" s="66" t="str">
        <x:v>量客投资金选套利1号</x:v>
      </x:c>
      <x:c r="C3789" s="72" t="n">
        <x:v>44274</x:v>
      </x:c>
      <x:c r="D3789" s="73" t="n">
        <x:v>1.0244</x:v>
      </x:c>
      <x:c r="E3789" s="73" t="n">
        <x:v>1.0244</x:v>
      </x:c>
      <x:c r="F3789" s="73" t="n">
        <x:v>1.0244</x:v>
      </x:c>
      <x:c r="G3789" s="74" t="n">
        <x:v>0.0075</x:v>
      </x:c>
      <x:c r="H3789" s="66" t="str">
        <x:v>量客投资金选套利1号净值20260911.xlsx</x:v>
      </x:c>
      <x:c r="I3789" s="73" t="str">
        <x:f>""</x:f>
      </x:c>
      <x:c r="J3789" s="74" t="str">
        <x:f>""</x:f>
      </x:c>
      <x:c r="K3789" s="73" t="str">
        <x:f>""</x:f>
      </x:c>
      <x:c r="L3789" s="74" t="str">
        <x:f>""</x:f>
      </x:c>
      <x:c r="M3789" s="73" t="n">
        <x:f>MAX(M3788,F3789)</x:f>
        <x:v>1.0244</x:v>
      </x:c>
      <x:c r="N3789" s="74" t="n">
        <x:f>1-F3789/M3789</x:f>
        <x:v>0</x:v>
      </x:c>
    </x:row>
    <x:row r="3790" ht="27" customHeight="1">
      <x:c r="A3790" s="66" t="str">
        <x:v>SNH457</x:v>
      </x:c>
      <x:c r="B3790" s="66" t="str">
        <x:v>量客投资金选套利1号</x:v>
      </x:c>
      <x:c r="C3790" s="72" t="n">
        <x:v>44281</x:v>
      </x:c>
      <x:c r="D3790" s="73" t="n">
        <x:v>1.0231</x:v>
      </x:c>
      <x:c r="E3790" s="73" t="n">
        <x:v>1.0231</x:v>
      </x:c>
      <x:c r="F3790" s="73" t="n">
        <x:v>1.0231</x:v>
      </x:c>
      <x:c r="G3790" s="74" t="n">
        <x:v>-0.0013</x:v>
      </x:c>
      <x:c r="H3790" s="66" t="str">
        <x:v>量客投资金选套利1号净值20260911.xlsx</x:v>
      </x:c>
      <x:c r="I3790" s="73" t="str">
        <x:f>""</x:f>
      </x:c>
      <x:c r="J3790" s="74" t="str">
        <x:f>""</x:f>
      </x:c>
      <x:c r="K3790" s="73" t="str">
        <x:f>""</x:f>
      </x:c>
      <x:c r="L3790" s="74" t="str">
        <x:f>""</x:f>
      </x:c>
      <x:c r="M3790" s="73" t="n">
        <x:f>MAX(M3789,F3790)</x:f>
        <x:v>1.0244</x:v>
      </x:c>
      <x:c r="N3790" s="74" t="n">
        <x:f>1-F3790/M3790</x:f>
        <x:v>0.0012690355329949554</x:v>
      </x:c>
    </x:row>
    <x:row r="3791" ht="27" customHeight="1">
      <x:c r="A3791" s="66" t="str">
        <x:v>SNH457</x:v>
      </x:c>
      <x:c r="B3791" s="66" t="str">
        <x:v>量客投资金选套利1号</x:v>
      </x:c>
      <x:c r="C3791" s="72" t="n">
        <x:v>44288</x:v>
      </x:c>
      <x:c r="D3791" s="73" t="n">
        <x:v>1.0219</x:v>
      </x:c>
      <x:c r="E3791" s="73" t="n">
        <x:v>1.0219</x:v>
      </x:c>
      <x:c r="F3791" s="73" t="n">
        <x:v>1.0219</x:v>
      </x:c>
      <x:c r="G3791" s="74" t="n">
        <x:v>-0.0012</x:v>
      </x:c>
      <x:c r="H3791" s="66" t="str">
        <x:v>量客投资金选套利1号净值20260911.xlsx</x:v>
      </x:c>
      <x:c r="I3791" s="73" t="str">
        <x:f>""</x:f>
      </x:c>
      <x:c r="J3791" s="74" t="str">
        <x:f>""</x:f>
      </x:c>
      <x:c r="K3791" s="73" t="str">
        <x:f>""</x:f>
      </x:c>
      <x:c r="L3791" s="74" t="str">
        <x:f>""</x:f>
      </x:c>
      <x:c r="M3791" s="73" t="n">
        <x:f>MAX(M3790,F3791)</x:f>
        <x:v>1.0244</x:v>
      </x:c>
      <x:c r="N3791" s="74" t="n">
        <x:f>1-F3791/M3791</x:f>
        <x:v>0.002440452948067162</x:v>
      </x:c>
    </x:row>
    <x:row r="3792" ht="27" customHeight="1">
      <x:c r="A3792" s="66" t="str">
        <x:v>SNH457</x:v>
      </x:c>
      <x:c r="B3792" s="66" t="str">
        <x:v>量客投资金选套利1号</x:v>
      </x:c>
      <x:c r="C3792" s="72" t="n">
        <x:v>44295</x:v>
      </x:c>
      <x:c r="D3792" s="73" t="n">
        <x:v>1.0229</x:v>
      </x:c>
      <x:c r="E3792" s="73" t="n">
        <x:v>1.0229</x:v>
      </x:c>
      <x:c r="F3792" s="73" t="n">
        <x:v>1.0229</x:v>
      </x:c>
      <x:c r="G3792" s="74" t="n">
        <x:v>0.001</x:v>
      </x:c>
      <x:c r="H3792" s="66" t="str">
        <x:v>量客投资金选套利1号净值20260911.xlsx</x:v>
      </x:c>
      <x:c r="I3792" s="73" t="str">
        <x:f>""</x:f>
      </x:c>
      <x:c r="J3792" s="74" t="str">
        <x:f>""</x:f>
      </x:c>
      <x:c r="K3792" s="73" t="str">
        <x:f>""</x:f>
      </x:c>
      <x:c r="L3792" s="74" t="str">
        <x:f>""</x:f>
      </x:c>
      <x:c r="M3792" s="73" t="n">
        <x:f>MAX(M3791,F3792)</x:f>
        <x:v>1.0244</x:v>
      </x:c>
      <x:c r="N3792" s="74" t="n">
        <x:f>1-F3792/M3792</x:f>
        <x:v>0.0014642717688403417</x:v>
      </x:c>
    </x:row>
    <x:row r="3793" ht="27" customHeight="1">
      <x:c r="A3793" s="66" t="str">
        <x:v>SNH457</x:v>
      </x:c>
      <x:c r="B3793" s="66" t="str">
        <x:v>量客投资金选套利1号</x:v>
      </x:c>
      <x:c r="C3793" s="72" t="n">
        <x:v>44302</x:v>
      </x:c>
      <x:c r="D3793" s="73" t="n">
        <x:v>1.023</x:v>
      </x:c>
      <x:c r="E3793" s="73" t="n">
        <x:v>1.023</x:v>
      </x:c>
      <x:c r="F3793" s="73" t="n">
        <x:v>1.023</x:v>
      </x:c>
      <x:c r="G3793" s="74" t="n">
        <x:v>0.0001</x:v>
      </x:c>
      <x:c r="H3793" s="66" t="str">
        <x:v>量客投资金选套利1号净值20260911.xlsx</x:v>
      </x:c>
      <x:c r="I3793" s="73" t="str">
        <x:f>""</x:f>
      </x:c>
      <x:c r="J3793" s="74" t="str">
        <x:f>""</x:f>
      </x:c>
      <x:c r="K3793" s="73" t="str">
        <x:f>""</x:f>
      </x:c>
      <x:c r="L3793" s="74" t="str">
        <x:f>""</x:f>
      </x:c>
      <x:c r="M3793" s="73" t="n">
        <x:f>MAX(M3792,F3793)</x:f>
        <x:v>1.0244</x:v>
      </x:c>
      <x:c r="N3793" s="74" t="n">
        <x:f>1-F3793/M3793</x:f>
        <x:v>0.001366653650917704</x:v>
      </x:c>
    </x:row>
    <x:row r="3794" ht="27" customHeight="1">
      <x:c r="A3794" s="66" t="str">
        <x:v>SNH457</x:v>
      </x:c>
      <x:c r="B3794" s="66" t="str">
        <x:v>量客投资金选套利1号</x:v>
      </x:c>
      <x:c r="C3794" s="72" t="n">
        <x:v>44309</x:v>
      </x:c>
      <x:c r="D3794" s="73" t="n">
        <x:v>1.0236</x:v>
      </x:c>
      <x:c r="E3794" s="73" t="n">
        <x:v>1.0236</x:v>
      </x:c>
      <x:c r="F3794" s="73" t="n">
        <x:v>1.0236</x:v>
      </x:c>
      <x:c r="G3794" s="74" t="n">
        <x:v>0.0006</x:v>
      </x:c>
      <x:c r="H3794" s="66" t="str">
        <x:v>量客投资金选套利1号净值20260911.xlsx</x:v>
      </x:c>
      <x:c r="I3794" s="73" t="str">
        <x:f>""</x:f>
      </x:c>
      <x:c r="J3794" s="74" t="str">
        <x:f>""</x:f>
      </x:c>
      <x:c r="K3794" s="73" t="str">
        <x:f>""</x:f>
      </x:c>
      <x:c r="L3794" s="74" t="str">
        <x:f>""</x:f>
      </x:c>
      <x:c r="M3794" s="73" t="n">
        <x:f>MAX(M3793,F3794)</x:f>
        <x:v>1.0244</x:v>
      </x:c>
      <x:c r="N3794" s="74" t="n">
        <x:f>1-F3794/M3794</x:f>
        <x:v>0.0007809449433814342</x:v>
      </x:c>
    </x:row>
    <x:row r="3795" ht="27" customHeight="1">
      <x:c r="A3795" s="66" t="str">
        <x:v>SNH457</x:v>
      </x:c>
      <x:c r="B3795" s="66" t="str">
        <x:v>量客投资金选套利1号</x:v>
      </x:c>
      <x:c r="C3795" s="72" t="n">
        <x:v>44316</x:v>
      </x:c>
      <x:c r="D3795" s="73" t="n">
        <x:v>1.0281</x:v>
      </x:c>
      <x:c r="E3795" s="73" t="n">
        <x:v>1.0281</x:v>
      </x:c>
      <x:c r="F3795" s="73" t="n">
        <x:v>1.0281</x:v>
      </x:c>
      <x:c r="G3795" s="74" t="n">
        <x:v>0.0044</x:v>
      </x:c>
      <x:c r="H3795" s="66" t="str">
        <x:v>量客投资金选套利1号净值20260911.xlsx</x:v>
      </x:c>
      <x:c r="I3795" s="73" t="str">
        <x:f>""</x:f>
      </x:c>
      <x:c r="J3795" s="74" t="str">
        <x:f>""</x:f>
      </x:c>
      <x:c r="K3795" s="73" t="str">
        <x:f>""</x:f>
      </x:c>
      <x:c r="L3795" s="74" t="str">
        <x:f>""</x:f>
      </x:c>
      <x:c r="M3795" s="73" t="n">
        <x:f>MAX(M3794,F3795)</x:f>
        <x:v>1.0281</x:v>
      </x:c>
      <x:c r="N3795" s="74" t="n">
        <x:f>1-F3795/M3795</x:f>
        <x:v>0</x:v>
      </x:c>
    </x:row>
    <x:row r="3796" ht="27" customHeight="1">
      <x:c r="A3796" s="66" t="str">
        <x:v>SNH457</x:v>
      </x:c>
      <x:c r="B3796" s="66" t="str">
        <x:v>量客投资金选套利1号</x:v>
      </x:c>
      <x:c r="C3796" s="72" t="n">
        <x:v>44323</x:v>
      </x:c>
      <x:c r="D3796" s="73" t="n">
        <x:v>1.0328</x:v>
      </x:c>
      <x:c r="E3796" s="73" t="n">
        <x:v>1.0328</x:v>
      </x:c>
      <x:c r="F3796" s="73" t="n">
        <x:v>1.0328</x:v>
      </x:c>
      <x:c r="G3796" s="74" t="n">
        <x:v>0.0046</x:v>
      </x:c>
      <x:c r="H3796" s="66" t="str">
        <x:v>量客投资金选套利1号净值20260911.xlsx</x:v>
      </x:c>
      <x:c r="I3796" s="73" t="str">
        <x:f>""</x:f>
      </x:c>
      <x:c r="J3796" s="74" t="str">
        <x:f>""</x:f>
      </x:c>
      <x:c r="K3796" s="73" t="str">
        <x:f>""</x:f>
      </x:c>
      <x:c r="L3796" s="74" t="str">
        <x:f>""</x:f>
      </x:c>
      <x:c r="M3796" s="73" t="n">
        <x:f>MAX(M3795,F3796)</x:f>
        <x:v>1.0328</x:v>
      </x:c>
      <x:c r="N3796" s="74" t="n">
        <x:f>1-F3796/M3796</x:f>
        <x:v>0</x:v>
      </x:c>
    </x:row>
    <x:row r="3797" ht="27" customHeight="1">
      <x:c r="A3797" s="66" t="str">
        <x:v>SNH457</x:v>
      </x:c>
      <x:c r="B3797" s="66" t="str">
        <x:v>量客投资金选套利1号</x:v>
      </x:c>
      <x:c r="C3797" s="72" t="n">
        <x:v>44330</x:v>
      </x:c>
      <x:c r="D3797" s="73" t="n">
        <x:v>1.0308</x:v>
      </x:c>
      <x:c r="E3797" s="73" t="n">
        <x:v>1.0308</x:v>
      </x:c>
      <x:c r="F3797" s="73" t="n">
        <x:v>1.0308</x:v>
      </x:c>
      <x:c r="G3797" s="74" t="n">
        <x:v>-0.0019</x:v>
      </x:c>
      <x:c r="H3797" s="66" t="str">
        <x:v>量客投资金选套利1号净值20260911.xlsx</x:v>
      </x:c>
      <x:c r="I3797" s="73" t="str">
        <x:f>""</x:f>
      </x:c>
      <x:c r="J3797" s="74" t="str">
        <x:f>""</x:f>
      </x:c>
      <x:c r="K3797" s="73" t="str">
        <x:f>""</x:f>
      </x:c>
      <x:c r="L3797" s="74" t="str">
        <x:f>""</x:f>
      </x:c>
      <x:c r="M3797" s="73" t="n">
        <x:f>MAX(M3796,F3797)</x:f>
        <x:v>1.0328</x:v>
      </x:c>
      <x:c r="N3797" s="74" t="n">
        <x:f>1-F3797/M3797</x:f>
        <x:v>0.0019364833462431896</x:v>
      </x:c>
    </x:row>
    <x:row r="3798" ht="27" customHeight="1">
      <x:c r="A3798" s="66" t="str">
        <x:v>SNH457</x:v>
      </x:c>
      <x:c r="B3798" s="66" t="str">
        <x:v>量客投资金选套利1号</x:v>
      </x:c>
      <x:c r="C3798" s="72" t="n">
        <x:v>44337</x:v>
      </x:c>
      <x:c r="D3798" s="73" t="n">
        <x:v>1.034</x:v>
      </x:c>
      <x:c r="E3798" s="73" t="n">
        <x:v>1.034</x:v>
      </x:c>
      <x:c r="F3798" s="73" t="n">
        <x:v>1.034</x:v>
      </x:c>
      <x:c r="G3798" s="74" t="n">
        <x:v>0.0031</x:v>
      </x:c>
      <x:c r="H3798" s="66" t="str">
        <x:v>量客投资金选套利1号净值20260911.xlsx</x:v>
      </x:c>
      <x:c r="I3798" s="73" t="str">
        <x:f>""</x:f>
      </x:c>
      <x:c r="J3798" s="74" t="str">
        <x:f>""</x:f>
      </x:c>
      <x:c r="K3798" s="73" t="str">
        <x:f>""</x:f>
      </x:c>
      <x:c r="L3798" s="74" t="str">
        <x:f>""</x:f>
      </x:c>
      <x:c r="M3798" s="73" t="n">
        <x:f>MAX(M3797,F3798)</x:f>
        <x:v>1.034</x:v>
      </x:c>
      <x:c r="N3798" s="74" t="n">
        <x:f>1-F3798/M3798</x:f>
        <x:v>0</x:v>
      </x:c>
    </x:row>
    <x:row r="3799" ht="27" customHeight="1">
      <x:c r="A3799" s="66" t="str">
        <x:v>SNH457</x:v>
      </x:c>
      <x:c r="B3799" s="66" t="str">
        <x:v>量客投资金选套利1号</x:v>
      </x:c>
      <x:c r="C3799" s="72" t="n">
        <x:v>44344</x:v>
      </x:c>
      <x:c r="D3799" s="73" t="n">
        <x:v>1.0378</x:v>
      </x:c>
      <x:c r="E3799" s="73" t="n">
        <x:v>1.0378</x:v>
      </x:c>
      <x:c r="F3799" s="73" t="n">
        <x:v>1.0378</x:v>
      </x:c>
      <x:c r="G3799" s="74" t="n">
        <x:v>0.0037</x:v>
      </x:c>
      <x:c r="H3799" s="66" t="str">
        <x:v>量客投资金选套利1号净值20260911.xlsx</x:v>
      </x:c>
      <x:c r="I3799" s="73" t="str">
        <x:f>""</x:f>
      </x:c>
      <x:c r="J3799" s="74" t="str">
        <x:f>""</x:f>
      </x:c>
      <x:c r="K3799" s="73" t="str">
        <x:f>""</x:f>
      </x:c>
      <x:c r="L3799" s="74" t="str">
        <x:f>""</x:f>
      </x:c>
      <x:c r="M3799" s="73" t="n">
        <x:f>MAX(M3798,F3799)</x:f>
        <x:v>1.0378</x:v>
      </x:c>
      <x:c r="N3799" s="74" t="n">
        <x:f>1-F3799/M3799</x:f>
        <x:v>0</x:v>
      </x:c>
    </x:row>
    <x:row r="3800" ht="27" customHeight="1">
      <x:c r="A3800" s="66" t="str">
        <x:v>SNH457</x:v>
      </x:c>
      <x:c r="B3800" s="66" t="str">
        <x:v>量客投资金选套利1号</x:v>
      </x:c>
      <x:c r="C3800" s="72" t="n">
        <x:v>44351</x:v>
      </x:c>
      <x:c r="D3800" s="73" t="n">
        <x:v>1.0404</x:v>
      </x:c>
      <x:c r="E3800" s="73" t="n">
        <x:v>1.0404</x:v>
      </x:c>
      <x:c r="F3800" s="73" t="n">
        <x:v>1.0404</x:v>
      </x:c>
      <x:c r="G3800" s="74" t="n">
        <x:v>0.0025</x:v>
      </x:c>
      <x:c r="H3800" s="66" t="str">
        <x:v>量客投资金选套利1号净值20260911.xlsx</x:v>
      </x:c>
      <x:c r="I3800" s="73" t="str">
        <x:f>""</x:f>
      </x:c>
      <x:c r="J3800" s="74" t="str">
        <x:f>""</x:f>
      </x:c>
      <x:c r="K3800" s="73" t="str">
        <x:f>""</x:f>
      </x:c>
      <x:c r="L3800" s="74" t="str">
        <x:f>""</x:f>
      </x:c>
      <x:c r="M3800" s="73" t="n">
        <x:f>MAX(M3799,F3800)</x:f>
        <x:v>1.0404</x:v>
      </x:c>
      <x:c r="N3800" s="74" t="n">
        <x:f>1-F3800/M3800</x:f>
        <x:v>0</x:v>
      </x:c>
    </x:row>
    <x:row r="3801" ht="27" customHeight="1">
      <x:c r="A3801" s="66" t="str">
        <x:v>SNH457</x:v>
      </x:c>
      <x:c r="B3801" s="66" t="str">
        <x:v>量客投资金选套利1号</x:v>
      </x:c>
      <x:c r="C3801" s="72" t="n">
        <x:v>44358</x:v>
      </x:c>
      <x:c r="D3801" s="73" t="n">
        <x:v>1.0424</x:v>
      </x:c>
      <x:c r="E3801" s="73" t="n">
        <x:v>1.0424</x:v>
      </x:c>
      <x:c r="F3801" s="73" t="n">
        <x:v>1.0424</x:v>
      </x:c>
      <x:c r="G3801" s="74" t="n">
        <x:v>0.0019</x:v>
      </x:c>
      <x:c r="H3801" s="66" t="str">
        <x:v>量客投资金选套利1号净值20260911.xlsx</x:v>
      </x:c>
      <x:c r="I3801" s="73" t="str">
        <x:f>""</x:f>
      </x:c>
      <x:c r="J3801" s="74" t="str">
        <x:f>""</x:f>
      </x:c>
      <x:c r="K3801" s="73" t="str">
        <x:f>""</x:f>
      </x:c>
      <x:c r="L3801" s="74" t="str">
        <x:f>""</x:f>
      </x:c>
      <x:c r="M3801" s="73" t="n">
        <x:f>MAX(M3800,F3801)</x:f>
        <x:v>1.0424</x:v>
      </x:c>
      <x:c r="N3801" s="74" t="n">
        <x:f>1-F3801/M3801</x:f>
        <x:v>0</x:v>
      </x:c>
    </x:row>
    <x:row r="3802" ht="27" customHeight="1">
      <x:c r="A3802" s="66" t="str">
        <x:v>SNH457</x:v>
      </x:c>
      <x:c r="B3802" s="66" t="str">
        <x:v>量客投资金选套利1号</x:v>
      </x:c>
      <x:c r="C3802" s="72" t="n">
        <x:v>44365</x:v>
      </x:c>
      <x:c r="D3802" s="73" t="n">
        <x:v>1.0438</x:v>
      </x:c>
      <x:c r="E3802" s="73" t="n">
        <x:v>1.0438</x:v>
      </x:c>
      <x:c r="F3802" s="73" t="n">
        <x:v>1.0438</x:v>
      </x:c>
      <x:c r="G3802" s="74" t="n">
        <x:v>0.0013</x:v>
      </x:c>
      <x:c r="H3802" s="66" t="str">
        <x:v>量客投资金选套利1号净值20260911.xlsx</x:v>
      </x:c>
      <x:c r="I3802" s="73" t="str">
        <x:f>""</x:f>
      </x:c>
      <x:c r="J3802" s="74" t="str">
        <x:f>""</x:f>
      </x:c>
      <x:c r="K3802" s="73" t="str">
        <x:f>""</x:f>
      </x:c>
      <x:c r="L3802" s="74" t="str">
        <x:f>""</x:f>
      </x:c>
      <x:c r="M3802" s="73" t="n">
        <x:f>MAX(M3801,F3802)</x:f>
        <x:v>1.0438</x:v>
      </x:c>
      <x:c r="N3802" s="74" t="n">
        <x:f>1-F3802/M3802</x:f>
        <x:v>0</x:v>
      </x:c>
    </x:row>
    <x:row r="3803" ht="27" customHeight="1">
      <x:c r="A3803" s="66" t="str">
        <x:v>SNH457</x:v>
      </x:c>
      <x:c r="B3803" s="66" t="str">
        <x:v>量客投资金选套利1号</x:v>
      </x:c>
      <x:c r="C3803" s="72" t="n">
        <x:v>44372</x:v>
      </x:c>
      <x:c r="D3803" s="73" t="n">
        <x:v>1.0448</x:v>
      </x:c>
      <x:c r="E3803" s="73" t="n">
        <x:v>1.0448</x:v>
      </x:c>
      <x:c r="F3803" s="73" t="n">
        <x:v>1.0448</x:v>
      </x:c>
      <x:c r="G3803" s="74" t="n">
        <x:v>0.001</x:v>
      </x:c>
      <x:c r="H3803" s="66" t="str">
        <x:v>量客投资金选套利1号净值20260911.xlsx</x:v>
      </x:c>
      <x:c r="I3803" s="73" t="str">
        <x:f>""</x:f>
      </x:c>
      <x:c r="J3803" s="74" t="str">
        <x:f>""</x:f>
      </x:c>
      <x:c r="K3803" s="73" t="str">
        <x:f>""</x:f>
      </x:c>
      <x:c r="L3803" s="74" t="str">
        <x:f>""</x:f>
      </x:c>
      <x:c r="M3803" s="73" t="n">
        <x:f>MAX(M3802,F3803)</x:f>
        <x:v>1.0448</x:v>
      </x:c>
      <x:c r="N3803" s="74" t="n">
        <x:f>1-F3803/M3803</x:f>
        <x:v>0</x:v>
      </x:c>
    </x:row>
    <x:row r="3804" ht="27" customHeight="1">
      <x:c r="A3804" s="66" t="str">
        <x:v>SNH457</x:v>
      </x:c>
      <x:c r="B3804" s="66" t="str">
        <x:v>量客投资金选套利1号</x:v>
      </x:c>
      <x:c r="C3804" s="72" t="n">
        <x:v>44379</x:v>
      </x:c>
      <x:c r="D3804" s="73" t="n">
        <x:v>1.0448</x:v>
      </x:c>
      <x:c r="E3804" s="73" t="n">
        <x:v>1.0448</x:v>
      </x:c>
      <x:c r="F3804" s="73" t="n">
        <x:v>1.0448</x:v>
      </x:c>
      <x:c r="G3804" s="74" t="n">
        <x:v>0</x:v>
      </x:c>
      <x:c r="H3804" s="66" t="str">
        <x:v>量客投资金选套利1号净值20260911.xlsx</x:v>
      </x:c>
      <x:c r="I3804" s="73" t="str">
        <x:f>""</x:f>
      </x:c>
      <x:c r="J3804" s="74" t="str">
        <x:f>""</x:f>
      </x:c>
      <x:c r="K3804" s="73" t="str">
        <x:f>""</x:f>
      </x:c>
      <x:c r="L3804" s="74" t="str">
        <x:f>""</x:f>
      </x:c>
      <x:c r="M3804" s="73" t="n">
        <x:f>MAX(M3803,F3804)</x:f>
        <x:v>1.0448</x:v>
      </x:c>
      <x:c r="N3804" s="74" t="n">
        <x:f>1-F3804/M3804</x:f>
        <x:v>0</x:v>
      </x:c>
    </x:row>
    <x:row r="3805" ht="27" customHeight="1">
      <x:c r="A3805" s="66" t="str">
        <x:v>SNH457</x:v>
      </x:c>
      <x:c r="B3805" s="66" t="str">
        <x:v>量客投资金选套利1号</x:v>
      </x:c>
      <x:c r="C3805" s="72" t="n">
        <x:v>44386</x:v>
      </x:c>
      <x:c r="D3805" s="73" t="n">
        <x:v>1.0489</x:v>
      </x:c>
      <x:c r="E3805" s="73" t="n">
        <x:v>1.0489</x:v>
      </x:c>
      <x:c r="F3805" s="73" t="n">
        <x:v>1.0489</x:v>
      </x:c>
      <x:c r="G3805" s="74" t="n">
        <x:v>0.0039000000000000003</x:v>
      </x:c>
      <x:c r="H3805" s="66" t="str">
        <x:v>量客投资金选套利1号净值20260911.xlsx</x:v>
      </x:c>
      <x:c r="I3805" s="73" t="str">
        <x:f>""</x:f>
      </x:c>
      <x:c r="J3805" s="74" t="str">
        <x:f>""</x:f>
      </x:c>
      <x:c r="K3805" s="73" t="str">
        <x:f>""</x:f>
      </x:c>
      <x:c r="L3805" s="74" t="str">
        <x:f>""</x:f>
      </x:c>
      <x:c r="M3805" s="73" t="n">
        <x:f>MAX(M3804,F3805)</x:f>
        <x:v>1.0489</x:v>
      </x:c>
      <x:c r="N3805" s="74" t="n">
        <x:f>1-F3805/M3805</x:f>
        <x:v>0</x:v>
      </x:c>
    </x:row>
    <x:row r="3806" ht="27" customHeight="1">
      <x:c r="A3806" s="66" t="str">
        <x:v>SNH457</x:v>
      </x:c>
      <x:c r="B3806" s="66" t="str">
        <x:v>量客投资金选套利1号</x:v>
      </x:c>
      <x:c r="C3806" s="72" t="n">
        <x:v>44393</x:v>
      </x:c>
      <x:c r="D3806" s="73" t="n">
        <x:v>1.0566</x:v>
      </x:c>
      <x:c r="E3806" s="73" t="n">
        <x:v>1.0566</x:v>
      </x:c>
      <x:c r="F3806" s="73" t="n">
        <x:v>1.0566</x:v>
      </x:c>
      <x:c r="G3806" s="74" t="n">
        <x:v>0.0073</x:v>
      </x:c>
      <x:c r="H3806" s="66" t="str">
        <x:v>量客投资金选套利1号净值20260911.xlsx</x:v>
      </x:c>
      <x:c r="I3806" s="73" t="str">
        <x:f>""</x:f>
      </x:c>
      <x:c r="J3806" s="74" t="str">
        <x:f>""</x:f>
      </x:c>
      <x:c r="K3806" s="73" t="str">
        <x:f>""</x:f>
      </x:c>
      <x:c r="L3806" s="74" t="str">
        <x:f>""</x:f>
      </x:c>
      <x:c r="M3806" s="73" t="n">
        <x:f>MAX(M3805,F3806)</x:f>
        <x:v>1.0566</x:v>
      </x:c>
      <x:c r="N3806" s="74" t="n">
        <x:f>1-F3806/M3806</x:f>
        <x:v>0</x:v>
      </x:c>
    </x:row>
    <x:row r="3807" ht="27" customHeight="1">
      <x:c r="A3807" s="66" t="str">
        <x:v>SNH457</x:v>
      </x:c>
      <x:c r="B3807" s="66" t="str">
        <x:v>量客投资金选套利1号</x:v>
      </x:c>
      <x:c r="C3807" s="72" t="n">
        <x:v>44400</x:v>
      </x:c>
      <x:c r="D3807" s="73" t="n">
        <x:v>1.0531</x:v>
      </x:c>
      <x:c r="E3807" s="73" t="n">
        <x:v>1.0531</x:v>
      </x:c>
      <x:c r="F3807" s="73" t="n">
        <x:v>1.0531</x:v>
      </x:c>
      <x:c r="G3807" s="74" t="n">
        <x:v>-0.0033</x:v>
      </x:c>
      <x:c r="H3807" s="66" t="str">
        <x:v>量客投资金选套利1号净值20260911.xlsx</x:v>
      </x:c>
      <x:c r="I3807" s="73" t="str">
        <x:f>""</x:f>
      </x:c>
      <x:c r="J3807" s="74" t="str">
        <x:f>""</x:f>
      </x:c>
      <x:c r="K3807" s="73" t="str">
        <x:f>""</x:f>
      </x:c>
      <x:c r="L3807" s="74" t="str">
        <x:f>""</x:f>
      </x:c>
      <x:c r="M3807" s="73" t="n">
        <x:f>MAX(M3806,F3807)</x:f>
        <x:v>1.0566</x:v>
      </x:c>
      <x:c r="N3807" s="74" t="n">
        <x:f>1-F3807/M3807</x:f>
        <x:v>0.0033125118303994894</x:v>
      </x:c>
    </x:row>
    <x:row r="3808" ht="27" customHeight="1">
      <x:c r="A3808" s="66" t="str">
        <x:v>SNH457</x:v>
      </x:c>
      <x:c r="B3808" s="66" t="str">
        <x:v>量客投资金选套利1号</x:v>
      </x:c>
      <x:c r="C3808" s="72" t="n">
        <x:v>44407</x:v>
      </x:c>
      <x:c r="D3808" s="73" t="n">
        <x:v>1.0611</x:v>
      </x:c>
      <x:c r="E3808" s="73" t="n">
        <x:v>1.0611</x:v>
      </x:c>
      <x:c r="F3808" s="73" t="n">
        <x:v>1.0611</x:v>
      </x:c>
      <x:c r="G3808" s="74" t="n">
        <x:v>0.0076</x:v>
      </x:c>
      <x:c r="H3808" s="66" t="str">
        <x:v>量客投资金选套利1号净值20260911.xlsx</x:v>
      </x:c>
      <x:c r="I3808" s="73" t="str">
        <x:f>""</x:f>
      </x:c>
      <x:c r="J3808" s="74" t="str">
        <x:f>""</x:f>
      </x:c>
      <x:c r="K3808" s="73" t="str">
        <x:f>""</x:f>
      </x:c>
      <x:c r="L3808" s="74" t="str">
        <x:f>""</x:f>
      </x:c>
      <x:c r="M3808" s="73" t="n">
        <x:f>MAX(M3807,F3808)</x:f>
        <x:v>1.0611</x:v>
      </x:c>
      <x:c r="N3808" s="74" t="n">
        <x:f>1-F3808/M3808</x:f>
        <x:v>0</x:v>
      </x:c>
    </x:row>
    <x:row r="3809" ht="27" customHeight="1">
      <x:c r="A3809" s="66" t="str">
        <x:v>SNH457</x:v>
      </x:c>
      <x:c r="B3809" s="66" t="str">
        <x:v>量客投资金选套利1号</x:v>
      </x:c>
      <x:c r="C3809" s="72" t="n">
        <x:v>44414</x:v>
      </x:c>
      <x:c r="D3809" s="73" t="n">
        <x:v>1.0617</x:v>
      </x:c>
      <x:c r="E3809" s="73" t="n">
        <x:v>1.0617</x:v>
      </x:c>
      <x:c r="F3809" s="73" t="n">
        <x:v>1.0617</x:v>
      </x:c>
      <x:c r="G3809" s="74" t="n">
        <x:v>0.0006</x:v>
      </x:c>
      <x:c r="H3809" s="66" t="str">
        <x:v>量客投资金选套利1号净值20260911.xlsx</x:v>
      </x:c>
      <x:c r="I3809" s="73" t="str">
        <x:f>""</x:f>
      </x:c>
      <x:c r="J3809" s="74" t="str">
        <x:f>""</x:f>
      </x:c>
      <x:c r="K3809" s="73" t="str">
        <x:f>""</x:f>
      </x:c>
      <x:c r="L3809" s="74" t="str">
        <x:f>""</x:f>
      </x:c>
      <x:c r="M3809" s="73" t="n">
        <x:f>MAX(M3808,F3809)</x:f>
        <x:v>1.0617</x:v>
      </x:c>
      <x:c r="N3809" s="74" t="n">
        <x:f>1-F3809/M3809</x:f>
        <x:v>0</x:v>
      </x:c>
    </x:row>
    <x:row r="3810" ht="27" customHeight="1">
      <x:c r="A3810" s="66" t="str">
        <x:v>SNH457</x:v>
      </x:c>
      <x:c r="B3810" s="66" t="str">
        <x:v>量客投资金选套利1号</x:v>
      </x:c>
      <x:c r="C3810" s="72" t="n">
        <x:v>44421</x:v>
      </x:c>
      <x:c r="D3810" s="73" t="n">
        <x:v>1.0685</x:v>
      </x:c>
      <x:c r="E3810" s="73" t="n">
        <x:v>1.0685</x:v>
      </x:c>
      <x:c r="F3810" s="73" t="n">
        <x:v>1.0685</x:v>
      </x:c>
      <x:c r="G3810" s="74" t="n">
        <x:v>0.0064</x:v>
      </x:c>
      <x:c r="H3810" s="66" t="str">
        <x:v>量客投资金选套利1号净值20260911.xlsx</x:v>
      </x:c>
      <x:c r="I3810" s="73" t="str">
        <x:f>""</x:f>
      </x:c>
      <x:c r="J3810" s="74" t="str">
        <x:f>""</x:f>
      </x:c>
      <x:c r="K3810" s="73" t="str">
        <x:f>""</x:f>
      </x:c>
      <x:c r="L3810" s="74" t="str">
        <x:f>""</x:f>
      </x:c>
      <x:c r="M3810" s="73" t="n">
        <x:f>MAX(M3809,F3810)</x:f>
        <x:v>1.0685</x:v>
      </x:c>
      <x:c r="N3810" s="74" t="n">
        <x:f>1-F3810/M3810</x:f>
        <x:v>0</x:v>
      </x:c>
    </x:row>
    <x:row r="3811" ht="27" customHeight="1">
      <x:c r="A3811" s="66" t="str">
        <x:v>SNH457</x:v>
      </x:c>
      <x:c r="B3811" s="66" t="str">
        <x:v>量客投资金选套利1号</x:v>
      </x:c>
      <x:c r="C3811" s="72" t="n">
        <x:v>44428</x:v>
      </x:c>
      <x:c r="D3811" s="73" t="n">
        <x:v>1.0726</x:v>
      </x:c>
      <x:c r="E3811" s="73" t="n">
        <x:v>1.0726</x:v>
      </x:c>
      <x:c r="F3811" s="73" t="n">
        <x:v>1.0726</x:v>
      </x:c>
      <x:c r="G3811" s="74" t="n">
        <x:v>0.0038</x:v>
      </x:c>
      <x:c r="H3811" s="66" t="str">
        <x:v>量客投资金选套利1号净值20260911.xlsx</x:v>
      </x:c>
      <x:c r="I3811" s="73" t="str">
        <x:f>""</x:f>
      </x:c>
      <x:c r="J3811" s="74" t="str">
        <x:f>""</x:f>
      </x:c>
      <x:c r="K3811" s="73" t="str">
        <x:f>""</x:f>
      </x:c>
      <x:c r="L3811" s="74" t="str">
        <x:f>""</x:f>
      </x:c>
      <x:c r="M3811" s="73" t="n">
        <x:f>MAX(M3810,F3811)</x:f>
        <x:v>1.0726</x:v>
      </x:c>
      <x:c r="N3811" s="74" t="n">
        <x:f>1-F3811/M3811</x:f>
        <x:v>0</x:v>
      </x:c>
    </x:row>
    <x:row r="3812" ht="27" customHeight="1">
      <x:c r="A3812" s="66" t="str">
        <x:v>SNH457</x:v>
      </x:c>
      <x:c r="B3812" s="66" t="str">
        <x:v>量客投资金选套利1号</x:v>
      </x:c>
      <x:c r="C3812" s="72" t="n">
        <x:v>44435</x:v>
      </x:c>
      <x:c r="D3812" s="73" t="n">
        <x:v>1.0705</x:v>
      </x:c>
      <x:c r="E3812" s="73" t="n">
        <x:v>1.0705</x:v>
      </x:c>
      <x:c r="F3812" s="73" t="n">
        <x:v>1.0705</x:v>
      </x:c>
      <x:c r="G3812" s="74" t="n">
        <x:v>-0.002</x:v>
      </x:c>
      <x:c r="H3812" s="66" t="str">
        <x:v>量客投资金选套利1号净值20260911.xlsx</x:v>
      </x:c>
      <x:c r="I3812" s="73" t="str">
        <x:f>""</x:f>
      </x:c>
      <x:c r="J3812" s="74" t="str">
        <x:f>""</x:f>
      </x:c>
      <x:c r="K3812" s="73" t="str">
        <x:f>""</x:f>
      </x:c>
      <x:c r="L3812" s="74" t="str">
        <x:f>""</x:f>
      </x:c>
      <x:c r="M3812" s="73" t="n">
        <x:f>MAX(M3811,F3812)</x:f>
        <x:v>1.0726</x:v>
      </x:c>
      <x:c r="N3812" s="74" t="n">
        <x:f>1-F3812/M3812</x:f>
        <x:v>0.00195785940704829</x:v>
      </x:c>
    </x:row>
    <x:row r="3813" ht="27" customHeight="1">
      <x:c r="A3813" s="66" t="str">
        <x:v>SNH457</x:v>
      </x:c>
      <x:c r="B3813" s="66" t="str">
        <x:v>量客投资金选套利1号</x:v>
      </x:c>
      <x:c r="C3813" s="72" t="n">
        <x:v>44442</x:v>
      </x:c>
      <x:c r="D3813" s="73" t="n">
        <x:v>1.073</x:v>
      </x:c>
      <x:c r="E3813" s="73" t="n">
        <x:v>1.073</x:v>
      </x:c>
      <x:c r="F3813" s="73" t="n">
        <x:v>1.073</x:v>
      </x:c>
      <x:c r="G3813" s="74" t="n">
        <x:v>0.0023</x:v>
      </x:c>
      <x:c r="H3813" s="66" t="str">
        <x:v>量客投资金选套利1号净值20260911.xlsx</x:v>
      </x:c>
      <x:c r="I3813" s="73" t="str">
        <x:f>""</x:f>
      </x:c>
      <x:c r="J3813" s="74" t="str">
        <x:f>""</x:f>
      </x:c>
      <x:c r="K3813" s="73" t="str">
        <x:f>""</x:f>
      </x:c>
      <x:c r="L3813" s="74" t="str">
        <x:f>""</x:f>
      </x:c>
      <x:c r="M3813" s="73" t="n">
        <x:f>MAX(M3812,F3813)</x:f>
        <x:v>1.073</x:v>
      </x:c>
      <x:c r="N3813" s="74" t="n">
        <x:f>1-F3813/M3813</x:f>
        <x:v>0</x:v>
      </x:c>
    </x:row>
    <x:row r="3814" ht="27" customHeight="1">
      <x:c r="A3814" s="66" t="str">
        <x:v>SNH457</x:v>
      </x:c>
      <x:c r="B3814" s="66" t="str">
        <x:v>量客投资金选套利1号</x:v>
      </x:c>
      <x:c r="C3814" s="72" t="n">
        <x:v>44449</x:v>
      </x:c>
      <x:c r="D3814" s="73" t="n">
        <x:v>1.0806</x:v>
      </x:c>
      <x:c r="E3814" s="73" t="n">
        <x:v>1.0806</x:v>
      </x:c>
      <x:c r="F3814" s="73" t="n">
        <x:v>1.0806</x:v>
      </x:c>
      <x:c r="G3814" s="74" t="n">
        <x:v>0.0070999999999999995</x:v>
      </x:c>
      <x:c r="H3814" s="66" t="str">
        <x:v>量客投资金选套利1号净值20260911.xlsx</x:v>
      </x:c>
      <x:c r="I3814" s="73" t="str">
        <x:f>""</x:f>
      </x:c>
      <x:c r="J3814" s="74" t="str">
        <x:f>""</x:f>
      </x:c>
      <x:c r="K3814" s="73" t="str">
        <x:f>""</x:f>
      </x:c>
      <x:c r="L3814" s="74" t="str">
        <x:f>""</x:f>
      </x:c>
      <x:c r="M3814" s="73" t="n">
        <x:f>MAX(M3813,F3814)</x:f>
        <x:v>1.0806</x:v>
      </x:c>
      <x:c r="N3814" s="74" t="n">
        <x:f>1-F3814/M3814</x:f>
        <x:v>0</x:v>
      </x:c>
    </x:row>
    <x:row r="3815" ht="27" customHeight="1">
      <x:c r="A3815" s="66" t="str">
        <x:v>SNH457</x:v>
      </x:c>
      <x:c r="B3815" s="66" t="str">
        <x:v>量客投资金选套利1号</x:v>
      </x:c>
      <x:c r="C3815" s="72" t="n">
        <x:v>44456</x:v>
      </x:c>
      <x:c r="D3815" s="73" t="n">
        <x:v>1.087</x:v>
      </x:c>
      <x:c r="E3815" s="73" t="n">
        <x:v>1.087</x:v>
      </x:c>
      <x:c r="F3815" s="73" t="n">
        <x:v>1.087</x:v>
      </x:c>
      <x:c r="G3815" s="74" t="n">
        <x:v>0.0059</x:v>
      </x:c>
      <x:c r="H3815" s="66" t="str">
        <x:v>量客投资金选套利1号净值20260911.xlsx</x:v>
      </x:c>
      <x:c r="I3815" s="73" t="str">
        <x:f>""</x:f>
      </x:c>
      <x:c r="J3815" s="74" t="str">
        <x:f>""</x:f>
      </x:c>
      <x:c r="K3815" s="73" t="str">
        <x:f>""</x:f>
      </x:c>
      <x:c r="L3815" s="74" t="str">
        <x:f>""</x:f>
      </x:c>
      <x:c r="M3815" s="73" t="n">
        <x:f>MAX(M3814,F3815)</x:f>
        <x:v>1.087</x:v>
      </x:c>
      <x:c r="N3815" s="74" t="n">
        <x:f>1-F3815/M3815</x:f>
        <x:v>0</x:v>
      </x:c>
    </x:row>
    <x:row r="3816" ht="27" customHeight="1">
      <x:c r="A3816" s="66" t="str">
        <x:v>SNH457</x:v>
      </x:c>
      <x:c r="B3816" s="66" t="str">
        <x:v>量客投资金选套利1号</x:v>
      </x:c>
      <x:c r="C3816" s="72" t="n">
        <x:v>44463</x:v>
      </x:c>
      <x:c r="D3816" s="73" t="n">
        <x:v>1.0882</x:v>
      </x:c>
      <x:c r="E3816" s="73" t="n">
        <x:v>1.0882</x:v>
      </x:c>
      <x:c r="F3816" s="73" t="n">
        <x:v>1.0882</x:v>
      </x:c>
      <x:c r="G3816" s="74" t="n">
        <x:v>0.0011</x:v>
      </x:c>
      <x:c r="H3816" s="66" t="str">
        <x:v>量客投资金选套利1号净值20260911.xlsx</x:v>
      </x:c>
      <x:c r="I3816" s="73" t="str">
        <x:f>""</x:f>
      </x:c>
      <x:c r="J3816" s="74" t="str">
        <x:f>""</x:f>
      </x:c>
      <x:c r="K3816" s="73" t="str">
        <x:f>""</x:f>
      </x:c>
      <x:c r="L3816" s="74" t="str">
        <x:f>""</x:f>
      </x:c>
      <x:c r="M3816" s="73" t="n">
        <x:f>MAX(M3815,F3816)</x:f>
        <x:v>1.0882</x:v>
      </x:c>
      <x:c r="N3816" s="74" t="n">
        <x:f>1-F3816/M3816</x:f>
        <x:v>0</x:v>
      </x:c>
    </x:row>
    <x:row r="3817" ht="27" customHeight="1">
      <x:c r="A3817" s="66" t="str">
        <x:v>SNH457</x:v>
      </x:c>
      <x:c r="B3817" s="66" t="str">
        <x:v>量客投资金选套利1号</x:v>
      </x:c>
      <x:c r="C3817" s="72" t="n">
        <x:v>44469</x:v>
      </x:c>
      <x:c r="D3817" s="73" t="n">
        <x:v>1.0886</x:v>
      </x:c>
      <x:c r="E3817" s="73" t="n">
        <x:v>1.0886</x:v>
      </x:c>
      <x:c r="F3817" s="73" t="n">
        <x:v>1.0886</x:v>
      </x:c>
      <x:c r="G3817" s="74" t="n">
        <x:v>0.0004</x:v>
      </x:c>
      <x:c r="H3817" s="66" t="str">
        <x:v>量客投资金选套利1号净值20260911.xlsx</x:v>
      </x:c>
      <x:c r="I3817" s="73" t="str">
        <x:f>""</x:f>
      </x:c>
      <x:c r="J3817" s="74" t="str">
        <x:f>""</x:f>
      </x:c>
      <x:c r="K3817" s="73" t="str">
        <x:f>""</x:f>
      </x:c>
      <x:c r="L3817" s="74" t="str">
        <x:f>""</x:f>
      </x:c>
      <x:c r="M3817" s="73" t="n">
        <x:f>MAX(M3816,F3817)</x:f>
        <x:v>1.0886</x:v>
      </x:c>
      <x:c r="N3817" s="74" t="n">
        <x:f>1-F3817/M3817</x:f>
        <x:v>0</x:v>
      </x:c>
    </x:row>
    <x:row r="3818" ht="27" customHeight="1">
      <x:c r="A3818" s="66" t="str">
        <x:v>SNH457</x:v>
      </x:c>
      <x:c r="B3818" s="66" t="str">
        <x:v>量客投资金选套利1号</x:v>
      </x:c>
      <x:c r="C3818" s="72" t="n">
        <x:v>44477</x:v>
      </x:c>
      <x:c r="D3818" s="73" t="n">
        <x:v>1.089</x:v>
      </x:c>
      <x:c r="E3818" s="73" t="n">
        <x:v>1.089</x:v>
      </x:c>
      <x:c r="F3818" s="73" t="n">
        <x:v>1.089</x:v>
      </x:c>
      <x:c r="G3818" s="74" t="n">
        <x:v>0.0004</x:v>
      </x:c>
      <x:c r="H3818" s="66" t="str">
        <x:v>量客投资金选套利1号净值20260911.xlsx</x:v>
      </x:c>
      <x:c r="I3818" s="73" t="str">
        <x:f>""</x:f>
      </x:c>
      <x:c r="J3818" s="74" t="str">
        <x:f>""</x:f>
      </x:c>
      <x:c r="K3818" s="73" t="str">
        <x:f>""</x:f>
      </x:c>
      <x:c r="L3818" s="74" t="str">
        <x:f>""</x:f>
      </x:c>
      <x:c r="M3818" s="73" t="n">
        <x:f>MAX(M3817,F3818)</x:f>
        <x:v>1.089</x:v>
      </x:c>
      <x:c r="N3818" s="74" t="n">
        <x:f>1-F3818/M3818</x:f>
        <x:v>0</x:v>
      </x:c>
    </x:row>
    <x:row r="3819" ht="27" customHeight="1">
      <x:c r="A3819" s="66" t="str">
        <x:v>SNH457</x:v>
      </x:c>
      <x:c r="B3819" s="66" t="str">
        <x:v>量客投资金选套利1号</x:v>
      </x:c>
      <x:c r="C3819" s="72" t="n">
        <x:v>44484</x:v>
      </x:c>
      <x:c r="D3819" s="73" t="n">
        <x:v>1.0908</x:v>
      </x:c>
      <x:c r="E3819" s="73" t="n">
        <x:v>1.0908</x:v>
      </x:c>
      <x:c r="F3819" s="73" t="n">
        <x:v>1.0908</x:v>
      </x:c>
      <x:c r="G3819" s="74" t="n">
        <x:v>0.0017000000000000001</x:v>
      </x:c>
      <x:c r="H3819" s="66" t="str">
        <x:v>量客投资金选套利1号净值20260911.xlsx</x:v>
      </x:c>
      <x:c r="I3819" s="73" t="str">
        <x:f>""</x:f>
      </x:c>
      <x:c r="J3819" s="74" t="str">
        <x:f>""</x:f>
      </x:c>
      <x:c r="K3819" s="73" t="str">
        <x:f>""</x:f>
      </x:c>
      <x:c r="L3819" s="74" t="str">
        <x:f>""</x:f>
      </x:c>
      <x:c r="M3819" s="73" t="n">
        <x:f>MAX(M3818,F3819)</x:f>
        <x:v>1.0908</x:v>
      </x:c>
      <x:c r="N3819" s="74" t="n">
        <x:f>1-F3819/M3819</x:f>
        <x:v>0</x:v>
      </x:c>
    </x:row>
    <x:row r="3820" ht="27" customHeight="1">
      <x:c r="A3820" s="66" t="str">
        <x:v>SNH457</x:v>
      </x:c>
      <x:c r="B3820" s="66" t="str">
        <x:v>量客投资金选套利1号</x:v>
      </x:c>
      <x:c r="C3820" s="72" t="n">
        <x:v>44491</x:v>
      </x:c>
      <x:c r="D3820" s="73" t="n">
        <x:v>1.0915</x:v>
      </x:c>
      <x:c r="E3820" s="73" t="n">
        <x:v>1.0915</x:v>
      </x:c>
      <x:c r="F3820" s="73" t="n">
        <x:v>1.0915</x:v>
      </x:c>
      <x:c r="G3820" s="74" t="n">
        <x:v>0.0006</x:v>
      </x:c>
      <x:c r="H3820" s="66" t="str">
        <x:v>量客投资金选套利1号净值20260911.xlsx</x:v>
      </x:c>
      <x:c r="I3820" s="73" t="str">
        <x:f>""</x:f>
      </x:c>
      <x:c r="J3820" s="74" t="str">
        <x:f>""</x:f>
      </x:c>
      <x:c r="K3820" s="73" t="str">
        <x:f>""</x:f>
      </x:c>
      <x:c r="L3820" s="74" t="str">
        <x:f>""</x:f>
      </x:c>
      <x:c r="M3820" s="73" t="n">
        <x:f>MAX(M3819,F3820)</x:f>
        <x:v>1.0915</x:v>
      </x:c>
      <x:c r="N3820" s="74" t="n">
        <x:f>1-F3820/M3820</x:f>
        <x:v>0</x:v>
      </x:c>
    </x:row>
    <x:row r="3821" ht="27" customHeight="1">
      <x:c r="A3821" s="66" t="str">
        <x:v>SNH457</x:v>
      </x:c>
      <x:c r="B3821" s="66" t="str">
        <x:v>量客投资金选套利1号</x:v>
      </x:c>
      <x:c r="C3821" s="72" t="n">
        <x:v>44498</x:v>
      </x:c>
      <x:c r="D3821" s="73" t="n">
        <x:v>1.0913</x:v>
      </x:c>
      <x:c r="E3821" s="73" t="n">
        <x:v>1.0913</x:v>
      </x:c>
      <x:c r="F3821" s="73" t="n">
        <x:v>1.0913</x:v>
      </x:c>
      <x:c r="G3821" s="74" t="n">
        <x:v>-0.0002</x:v>
      </x:c>
      <x:c r="H3821" s="66" t="str">
        <x:v>量客投资金选套利1号净值20260911.xlsx</x:v>
      </x:c>
      <x:c r="I3821" s="73" t="str">
        <x:f>""</x:f>
      </x:c>
      <x:c r="J3821" s="74" t="str">
        <x:f>""</x:f>
      </x:c>
      <x:c r="K3821" s="73" t="str">
        <x:f>""</x:f>
      </x:c>
      <x:c r="L3821" s="74" t="str">
        <x:f>""</x:f>
      </x:c>
      <x:c r="M3821" s="73" t="n">
        <x:f>MAX(M3820,F3821)</x:f>
        <x:v>1.0915</x:v>
      </x:c>
      <x:c r="N3821" s="74" t="n">
        <x:f>1-F3821/M3821</x:f>
        <x:v>0.0001832340815391964</x:v>
      </x:c>
    </x:row>
    <x:row r="3822" ht="27" customHeight="1">
      <x:c r="A3822" s="66" t="str">
        <x:v>SNH457</x:v>
      </x:c>
      <x:c r="B3822" s="66" t="str">
        <x:v>量客投资金选套利1号</x:v>
      </x:c>
      <x:c r="C3822" s="72" t="n">
        <x:v>44505</x:v>
      </x:c>
      <x:c r="D3822" s="73" t="n">
        <x:v>1.0937</x:v>
      </x:c>
      <x:c r="E3822" s="73" t="n">
        <x:v>1.0937</x:v>
      </x:c>
      <x:c r="F3822" s="73" t="n">
        <x:v>1.0937</x:v>
      </x:c>
      <x:c r="G3822" s="74" t="n">
        <x:v>0.0022</x:v>
      </x:c>
      <x:c r="H3822" s="66" t="str">
        <x:v>量客投资金选套利1号净值20260911.xlsx</x:v>
      </x:c>
      <x:c r="I3822" s="73" t="str">
        <x:f>""</x:f>
      </x:c>
      <x:c r="J3822" s="74" t="str">
        <x:f>""</x:f>
      </x:c>
      <x:c r="K3822" s="73" t="str">
        <x:f>""</x:f>
      </x:c>
      <x:c r="L3822" s="74" t="str">
        <x:f>""</x:f>
      </x:c>
      <x:c r="M3822" s="73" t="n">
        <x:f>MAX(M3821,F3822)</x:f>
        <x:v>1.0937</x:v>
      </x:c>
      <x:c r="N3822" s="74" t="n">
        <x:f>1-F3822/M3822</x:f>
        <x:v>0</x:v>
      </x:c>
    </x:row>
    <x:row r="3823" ht="27" customHeight="1">
      <x:c r="A3823" s="66" t="str">
        <x:v>SNH457</x:v>
      </x:c>
      <x:c r="B3823" s="66" t="str">
        <x:v>量客投资金选套利1号</x:v>
      </x:c>
      <x:c r="C3823" s="72" t="n">
        <x:v>44512</x:v>
      </x:c>
      <x:c r="D3823" s="73" t="n">
        <x:v>1.1006</x:v>
      </x:c>
      <x:c r="E3823" s="73" t="n">
        <x:v>1.1006</x:v>
      </x:c>
      <x:c r="F3823" s="73" t="n">
        <x:v>1.1006</x:v>
      </x:c>
      <x:c r="G3823" s="74" t="n">
        <x:v>0.0063</x:v>
      </x:c>
      <x:c r="H3823" s="66" t="str">
        <x:v>量客投资金选套利1号净值20260911.xlsx</x:v>
      </x:c>
      <x:c r="I3823" s="73" t="str">
        <x:f>""</x:f>
      </x:c>
      <x:c r="J3823" s="74" t="str">
        <x:f>""</x:f>
      </x:c>
      <x:c r="K3823" s="73" t="str">
        <x:f>""</x:f>
      </x:c>
      <x:c r="L3823" s="74" t="str">
        <x:f>""</x:f>
      </x:c>
      <x:c r="M3823" s="73" t="n">
        <x:f>MAX(M3822,F3823)</x:f>
        <x:v>1.1006</x:v>
      </x:c>
      <x:c r="N3823" s="74" t="n">
        <x:f>1-F3823/M3823</x:f>
        <x:v>0</x:v>
      </x:c>
    </x:row>
    <x:row r="3824" ht="27" customHeight="1">
      <x:c r="A3824" s="66" t="str">
        <x:v>SNH457</x:v>
      </x:c>
      <x:c r="B3824" s="66" t="str">
        <x:v>量客投资金选套利1号</x:v>
      </x:c>
      <x:c r="C3824" s="72" t="n">
        <x:v>44519</x:v>
      </x:c>
      <x:c r="D3824" s="73" t="n">
        <x:v>1.1029</x:v>
      </x:c>
      <x:c r="E3824" s="73" t="n">
        <x:v>1.1029</x:v>
      </x:c>
      <x:c r="F3824" s="73" t="n">
        <x:v>1.1029</x:v>
      </x:c>
      <x:c r="G3824" s="74" t="n">
        <x:v>0.0021</x:v>
      </x:c>
      <x:c r="H3824" s="66" t="str">
        <x:v>量客投资金选套利1号净值20260911.xlsx</x:v>
      </x:c>
      <x:c r="I3824" s="73" t="str">
        <x:f>""</x:f>
      </x:c>
      <x:c r="J3824" s="74" t="str">
        <x:f>""</x:f>
      </x:c>
      <x:c r="K3824" s="73" t="str">
        <x:f>""</x:f>
      </x:c>
      <x:c r="L3824" s="74" t="str">
        <x:f>""</x:f>
      </x:c>
      <x:c r="M3824" s="73" t="n">
        <x:f>MAX(M3823,F3824)</x:f>
        <x:v>1.1029</x:v>
      </x:c>
      <x:c r="N3824" s="74" t="n">
        <x:f>1-F3824/M3824</x:f>
        <x:v>0</x:v>
      </x:c>
    </x:row>
    <x:row r="3825" ht="27" customHeight="1">
      <x:c r="A3825" s="66" t="str">
        <x:v>SNH457</x:v>
      </x:c>
      <x:c r="B3825" s="66" t="str">
        <x:v>量客投资金选套利1号</x:v>
      </x:c>
      <x:c r="C3825" s="72" t="n">
        <x:v>44526</x:v>
      </x:c>
      <x:c r="D3825" s="73" t="n">
        <x:v>1.1015</x:v>
      </x:c>
      <x:c r="E3825" s="73" t="n">
        <x:v>1.1015</x:v>
      </x:c>
      <x:c r="F3825" s="73" t="n">
        <x:v>1.1015</x:v>
      </x:c>
      <x:c r="G3825" s="74" t="n">
        <x:v>-0.0013</x:v>
      </x:c>
      <x:c r="H3825" s="66" t="str">
        <x:v>量客投资金选套利1号净值20260911.xlsx</x:v>
      </x:c>
      <x:c r="I3825" s="73" t="str">
        <x:f>""</x:f>
      </x:c>
      <x:c r="J3825" s="74" t="str">
        <x:f>""</x:f>
      </x:c>
      <x:c r="K3825" s="73" t="str">
        <x:f>""</x:f>
      </x:c>
      <x:c r="L3825" s="74" t="str">
        <x:f>""</x:f>
      </x:c>
      <x:c r="M3825" s="73" t="n">
        <x:f>MAX(M3824,F3825)</x:f>
        <x:v>1.1029</x:v>
      </x:c>
      <x:c r="N3825" s="74" t="n">
        <x:f>1-F3825/M3825</x:f>
        <x:v>0.0012693807235470977</x:v>
      </x:c>
    </x:row>
    <x:row r="3826" ht="27" customHeight="1">
      <x:c r="A3826" s="66" t="str">
        <x:v>SNH457</x:v>
      </x:c>
      <x:c r="B3826" s="66" t="str">
        <x:v>量客投资金选套利1号</x:v>
      </x:c>
      <x:c r="C3826" s="72" t="n">
        <x:v>44533</x:v>
      </x:c>
      <x:c r="D3826" s="73" t="n">
        <x:v>1.1022</x:v>
      </x:c>
      <x:c r="E3826" s="73" t="n">
        <x:v>1.1022</x:v>
      </x:c>
      <x:c r="F3826" s="73" t="n">
        <x:v>1.1022</x:v>
      </x:c>
      <x:c r="G3826" s="74" t="n">
        <x:v>0.0006</x:v>
      </x:c>
      <x:c r="H3826" s="66" t="str">
        <x:v>量客投资金选套利1号净值20260911.xlsx</x:v>
      </x:c>
      <x:c r="I3826" s="73" t="str">
        <x:f>""</x:f>
      </x:c>
      <x:c r="J3826" s="74" t="str">
        <x:f>""</x:f>
      </x:c>
      <x:c r="K3826" s="73" t="str">
        <x:f>""</x:f>
      </x:c>
      <x:c r="L3826" s="74" t="str">
        <x:f>""</x:f>
      </x:c>
      <x:c r="M3826" s="73" t="n">
        <x:f>MAX(M3825,F3826)</x:f>
        <x:v>1.1029</x:v>
      </x:c>
      <x:c r="N3826" s="74" t="n">
        <x:f>1-F3826/M3826</x:f>
        <x:v>0.0006346903617734378</x:v>
      </x:c>
    </x:row>
    <x:row r="3827" ht="27" customHeight="1">
      <x:c r="A3827" s="66" t="str">
        <x:v>SNH457</x:v>
      </x:c>
      <x:c r="B3827" s="66" t="str">
        <x:v>量客投资金选套利1号</x:v>
      </x:c>
      <x:c r="C3827" s="72" t="n">
        <x:v>44540</x:v>
      </x:c>
      <x:c r="D3827" s="73" t="n">
        <x:v>1.1063</x:v>
      </x:c>
      <x:c r="E3827" s="73" t="n">
        <x:v>1.1063</x:v>
      </x:c>
      <x:c r="F3827" s="73" t="n">
        <x:v>1.1063</x:v>
      </x:c>
      <x:c r="G3827" s="74" t="n">
        <x:v>0.0037</x:v>
      </x:c>
      <x:c r="H3827" s="66" t="str">
        <x:v>量客投资金选套利1号净值20260911.xlsx</x:v>
      </x:c>
      <x:c r="I3827" s="73" t="str">
        <x:f>""</x:f>
      </x:c>
      <x:c r="J3827" s="74" t="str">
        <x:f>""</x:f>
      </x:c>
      <x:c r="K3827" s="73" t="str">
        <x:f>""</x:f>
      </x:c>
      <x:c r="L3827" s="74" t="str">
        <x:f>""</x:f>
      </x:c>
      <x:c r="M3827" s="73" t="n">
        <x:f>MAX(M3826,F3827)</x:f>
        <x:v>1.1063</x:v>
      </x:c>
      <x:c r="N3827" s="74" t="n">
        <x:f>1-F3827/M3827</x:f>
        <x:v>0</x:v>
      </x:c>
    </x:row>
    <x:row r="3828" ht="27" customHeight="1">
      <x:c r="A3828" s="66" t="str">
        <x:v>SNH457</x:v>
      </x:c>
      <x:c r="B3828" s="66" t="str">
        <x:v>量客投资金选套利1号</x:v>
      </x:c>
      <x:c r="C3828" s="72" t="n">
        <x:v>44547</x:v>
      </x:c>
      <x:c r="D3828" s="73" t="n">
        <x:v>1.1125</x:v>
      </x:c>
      <x:c r="E3828" s="73" t="n">
        <x:v>1.1125</x:v>
      </x:c>
      <x:c r="F3828" s="73" t="n">
        <x:v>1.1125</x:v>
      </x:c>
      <x:c r="G3828" s="74" t="n">
        <x:v>0.005600000000000001</x:v>
      </x:c>
      <x:c r="H3828" s="66" t="str">
        <x:v>量客投资金选套利1号净值20260911.xlsx</x:v>
      </x:c>
      <x:c r="I3828" s="73" t="str">
        <x:f>""</x:f>
      </x:c>
      <x:c r="J3828" s="74" t="str">
        <x:f>""</x:f>
      </x:c>
      <x:c r="K3828" s="73" t="str">
        <x:f>""</x:f>
      </x:c>
      <x:c r="L3828" s="74" t="str">
        <x:f>""</x:f>
      </x:c>
      <x:c r="M3828" s="73" t="n">
        <x:f>MAX(M3827,F3828)</x:f>
        <x:v>1.1125</x:v>
      </x:c>
      <x:c r="N3828" s="74" t="n">
        <x:f>1-F3828/M3828</x:f>
        <x:v>0</x:v>
      </x:c>
    </x:row>
    <x:row r="3829" ht="27" customHeight="1">
      <x:c r="A3829" s="66" t="str">
        <x:v>SNH457</x:v>
      </x:c>
      <x:c r="B3829" s="66" t="str">
        <x:v>量客投资金选套利1号</x:v>
      </x:c>
      <x:c r="C3829" s="72" t="n">
        <x:v>44554</x:v>
      </x:c>
      <x:c r="D3829" s="73" t="n">
        <x:v>1.1133</x:v>
      </x:c>
      <x:c r="E3829" s="73" t="n">
        <x:v>1.1133</x:v>
      </x:c>
      <x:c r="F3829" s="73" t="n">
        <x:v>1.1133</x:v>
      </x:c>
      <x:c r="G3829" s="74" t="n">
        <x:v>0.0007000000000000001</x:v>
      </x:c>
      <x:c r="H3829" s="66" t="str">
        <x:v>量客投资金选套利1号净值20260911.xlsx</x:v>
      </x:c>
      <x:c r="I3829" s="73" t="str">
        <x:f>""</x:f>
      </x:c>
      <x:c r="J3829" s="74" t="str">
        <x:f>""</x:f>
      </x:c>
      <x:c r="K3829" s="73" t="str">
        <x:f>""</x:f>
      </x:c>
      <x:c r="L3829" s="74" t="str">
        <x:f>""</x:f>
      </x:c>
      <x:c r="M3829" s="73" t="n">
        <x:f>MAX(M3828,F3829)</x:f>
        <x:v>1.1133</x:v>
      </x:c>
      <x:c r="N3829" s="74" t="n">
        <x:f>1-F3829/M3829</x:f>
        <x:v>0</x:v>
      </x:c>
    </x:row>
    <x:row r="3830" ht="27" customHeight="1">
      <x:c r="A3830" s="66" t="str">
        <x:v>SNH457</x:v>
      </x:c>
      <x:c r="B3830" s="66" t="str">
        <x:v>量客投资金选套利1号</x:v>
      </x:c>
      <x:c r="C3830" s="72" t="n">
        <x:v>44561</x:v>
      </x:c>
      <x:c r="D3830" s="73" t="n">
        <x:v>1.1157</x:v>
      </x:c>
      <x:c r="E3830" s="73" t="n">
        <x:v>1.1157</x:v>
      </x:c>
      <x:c r="F3830" s="73" t="n">
        <x:v>1.1157</x:v>
      </x:c>
      <x:c r="G3830" s="74" t="n">
        <x:v>0.0022</x:v>
      </x:c>
      <x:c r="H3830" s="66" t="str">
        <x:v>量客投资金选套利1号净值20260911.xlsx</x:v>
      </x:c>
      <x:c r="I3830" s="73" t="str">
        <x:f>""</x:f>
      </x:c>
      <x:c r="J3830" s="74" t="str">
        <x:f>""</x:f>
      </x:c>
      <x:c r="K3830" s="73" t="str">
        <x:f>""</x:f>
      </x:c>
      <x:c r="L3830" s="74" t="str">
        <x:f>""</x:f>
      </x:c>
      <x:c r="M3830" s="73" t="n">
        <x:f>MAX(M3829,F3830)</x:f>
        <x:v>1.1157</x:v>
      </x:c>
      <x:c r="N3830" s="74" t="n">
        <x:f>1-F3830/M3830</x:f>
        <x:v>0</x:v>
      </x:c>
    </x:row>
    <x:row r="3831" ht="27" customHeight="1">
      <x:c r="A3831" s="66" t="str">
        <x:v>SNH457</x:v>
      </x:c>
      <x:c r="B3831" s="66" t="str">
        <x:v>量客投资金选套利1号</x:v>
      </x:c>
      <x:c r="C3831" s="72" t="n">
        <x:v>44568</x:v>
      </x:c>
      <x:c r="D3831" s="73" t="n">
        <x:v>1.1181</x:v>
      </x:c>
      <x:c r="E3831" s="73" t="n">
        <x:v>1.1181</x:v>
      </x:c>
      <x:c r="F3831" s="73" t="n">
        <x:v>1.1181</x:v>
      </x:c>
      <x:c r="G3831" s="74" t="n">
        <x:v>0.0022</x:v>
      </x:c>
      <x:c r="H3831" s="66" t="str">
        <x:v>量客投资金选套利1号净值20260911.xlsx</x:v>
      </x:c>
      <x:c r="I3831" s="73" t="str">
        <x:f>""</x:f>
      </x:c>
      <x:c r="J3831" s="74" t="str">
        <x:f>""</x:f>
      </x:c>
      <x:c r="K3831" s="73" t="str">
        <x:f>""</x:f>
      </x:c>
      <x:c r="L3831" s="74" t="str">
        <x:f>""</x:f>
      </x:c>
      <x:c r="M3831" s="73" t="n">
        <x:f>MAX(M3830,F3831)</x:f>
        <x:v>1.1181</x:v>
      </x:c>
      <x:c r="N3831" s="74" t="n">
        <x:f>1-F3831/M3831</x:f>
        <x:v>0</x:v>
      </x:c>
    </x:row>
    <x:row r="3832" ht="27" customHeight="1">
      <x:c r="A3832" s="66" t="str">
        <x:v>SNH457</x:v>
      </x:c>
      <x:c r="B3832" s="66" t="str">
        <x:v>量客投资金选套利1号</x:v>
      </x:c>
      <x:c r="C3832" s="72" t="n">
        <x:v>44575</x:v>
      </x:c>
      <x:c r="D3832" s="73" t="n">
        <x:v>1.1224</x:v>
      </x:c>
      <x:c r="E3832" s="73" t="n">
        <x:v>1.1224</x:v>
      </x:c>
      <x:c r="F3832" s="73" t="n">
        <x:v>1.1224</x:v>
      </x:c>
      <x:c r="G3832" s="74" t="n">
        <x:v>0.0038</x:v>
      </x:c>
      <x:c r="H3832" s="66" t="str">
        <x:v>量客投资金选套利1号净值20260911.xlsx</x:v>
      </x:c>
      <x:c r="I3832" s="73" t="str">
        <x:f>""</x:f>
      </x:c>
      <x:c r="J3832" s="74" t="str">
        <x:f>""</x:f>
      </x:c>
      <x:c r="K3832" s="73" t="str">
        <x:f>""</x:f>
      </x:c>
      <x:c r="L3832" s="74" t="str">
        <x:f>""</x:f>
      </x:c>
      <x:c r="M3832" s="73" t="n">
        <x:f>MAX(M3831,F3832)</x:f>
        <x:v>1.1224</x:v>
      </x:c>
      <x:c r="N3832" s="74" t="n">
        <x:f>1-F3832/M3832</x:f>
        <x:v>0</x:v>
      </x:c>
    </x:row>
    <x:row r="3833" ht="27" customHeight="1">
      <x:c r="A3833" s="66" t="str">
        <x:v>SNH457</x:v>
      </x:c>
      <x:c r="B3833" s="66" t="str">
        <x:v>量客投资金选套利1号</x:v>
      </x:c>
      <x:c r="C3833" s="72" t="n">
        <x:v>44582</x:v>
      </x:c>
      <x:c r="D3833" s="73" t="n">
        <x:v>1.1239</x:v>
      </x:c>
      <x:c r="E3833" s="73" t="n">
        <x:v>1.1239</x:v>
      </x:c>
      <x:c r="F3833" s="73" t="n">
        <x:v>1.1239</x:v>
      </x:c>
      <x:c r="G3833" s="74" t="n">
        <x:v>0.0013</x:v>
      </x:c>
      <x:c r="H3833" s="66" t="str">
        <x:v>量客投资金选套利1号净值20260911.xlsx</x:v>
      </x:c>
      <x:c r="I3833" s="73" t="str">
        <x:f>""</x:f>
      </x:c>
      <x:c r="J3833" s="74" t="str">
        <x:f>""</x:f>
      </x:c>
      <x:c r="K3833" s="73" t="str">
        <x:f>""</x:f>
      </x:c>
      <x:c r="L3833" s="74" t="str">
        <x:f>""</x:f>
      </x:c>
      <x:c r="M3833" s="73" t="n">
        <x:f>MAX(M3832,F3833)</x:f>
        <x:v>1.1239</x:v>
      </x:c>
      <x:c r="N3833" s="74" t="n">
        <x:f>1-F3833/M3833</x:f>
        <x:v>0</x:v>
      </x:c>
    </x:row>
    <x:row r="3834" ht="27" customHeight="1">
      <x:c r="A3834" s="66" t="str">
        <x:v>SNH457</x:v>
      </x:c>
      <x:c r="B3834" s="66" t="str">
        <x:v>量客投资金选套利1号</x:v>
      </x:c>
      <x:c r="C3834" s="72" t="n">
        <x:v>44589</x:v>
      </x:c>
      <x:c r="D3834" s="73" t="n">
        <x:v>1.1303</x:v>
      </x:c>
      <x:c r="E3834" s="73" t="n">
        <x:v>1.1303</x:v>
      </x:c>
      <x:c r="F3834" s="73" t="n">
        <x:v>1.1303</x:v>
      </x:c>
      <x:c r="G3834" s="74" t="n">
        <x:v>0.005699999999999999</x:v>
      </x:c>
      <x:c r="H3834" s="66" t="str">
        <x:v>量客投资金选套利1号净值20260911.xlsx</x:v>
      </x:c>
      <x:c r="I3834" s="73" t="str">
        <x:f>""</x:f>
      </x:c>
      <x:c r="J3834" s="74" t="str">
        <x:f>""</x:f>
      </x:c>
      <x:c r="K3834" s="73" t="str">
        <x:f>""</x:f>
      </x:c>
      <x:c r="L3834" s="74" t="str">
        <x:f>""</x:f>
      </x:c>
      <x:c r="M3834" s="73" t="n">
        <x:f>MAX(M3833,F3834)</x:f>
        <x:v>1.1303</x:v>
      </x:c>
      <x:c r="N3834" s="74" t="n">
        <x:f>1-F3834/M3834</x:f>
        <x:v>0</x:v>
      </x:c>
    </x:row>
    <x:row r="3835" ht="27" customHeight="1">
      <x:c r="A3835" s="66" t="str">
        <x:v>SNH457</x:v>
      </x:c>
      <x:c r="B3835" s="66" t="str">
        <x:v>量客投资金选套利1号</x:v>
      </x:c>
      <x:c r="C3835" s="72" t="n">
        <x:v>44603</x:v>
      </x:c>
      <x:c r="D3835" s="73" t="n">
        <x:v>1.136</x:v>
      </x:c>
      <x:c r="E3835" s="73" t="n">
        <x:v>1.136</x:v>
      </x:c>
      <x:c r="F3835" s="73" t="n">
        <x:v>1.136</x:v>
      </x:c>
      <x:c r="G3835" s="74" t="n">
        <x:v>0.005</x:v>
      </x:c>
      <x:c r="H3835" s="66" t="str">
        <x:v>量客投资金选套利1号净值20260911.xlsx</x:v>
      </x:c>
      <x:c r="I3835" s="73" t="str">
        <x:f>""</x:f>
      </x:c>
      <x:c r="J3835" s="74" t="str">
        <x:f>""</x:f>
      </x:c>
      <x:c r="K3835" s="73" t="str">
        <x:f>""</x:f>
      </x:c>
      <x:c r="L3835" s="74" t="str">
        <x:f>""</x:f>
      </x:c>
      <x:c r="M3835" s="73" t="n">
        <x:f>MAX(M3834,F3835)</x:f>
        <x:v>1.136</x:v>
      </x:c>
      <x:c r="N3835" s="74" t="n">
        <x:f>1-F3835/M3835</x:f>
        <x:v>0</x:v>
      </x:c>
    </x:row>
    <x:row r="3836" ht="27" customHeight="1">
      <x:c r="A3836" s="66" t="str">
        <x:v>SNH457</x:v>
      </x:c>
      <x:c r="B3836" s="66" t="str">
        <x:v>量客投资金选套利1号</x:v>
      </x:c>
      <x:c r="C3836" s="72" t="n">
        <x:v>44610</x:v>
      </x:c>
      <x:c r="D3836" s="73" t="n">
        <x:v>1.1396</x:v>
      </x:c>
      <x:c r="E3836" s="73" t="n">
        <x:v>1.1396</x:v>
      </x:c>
      <x:c r="F3836" s="73" t="n">
        <x:v>1.1396</x:v>
      </x:c>
      <x:c r="G3836" s="74" t="n">
        <x:v>0.0032</x:v>
      </x:c>
      <x:c r="H3836" s="66" t="str">
        <x:v>量客投资金选套利1号净值20260911.xlsx</x:v>
      </x:c>
      <x:c r="I3836" s="73" t="str">
        <x:f>""</x:f>
      </x:c>
      <x:c r="J3836" s="74" t="str">
        <x:f>""</x:f>
      </x:c>
      <x:c r="K3836" s="73" t="str">
        <x:f>""</x:f>
      </x:c>
      <x:c r="L3836" s="74" t="str">
        <x:f>""</x:f>
      </x:c>
      <x:c r="M3836" s="73" t="n">
        <x:f>MAX(M3835,F3836)</x:f>
        <x:v>1.1396</x:v>
      </x:c>
      <x:c r="N3836" s="74" t="n">
        <x:f>1-F3836/M3836</x:f>
        <x:v>0</x:v>
      </x:c>
    </x:row>
    <x:row r="3837" ht="27" customHeight="1">
      <x:c r="A3837" s="66" t="str">
        <x:v>SNH457</x:v>
      </x:c>
      <x:c r="B3837" s="66" t="str">
        <x:v>量客投资金选套利1号</x:v>
      </x:c>
      <x:c r="C3837" s="72" t="n">
        <x:v>44617</x:v>
      </x:c>
      <x:c r="D3837" s="73" t="n">
        <x:v>1.1446</x:v>
      </x:c>
      <x:c r="E3837" s="73" t="n">
        <x:v>1.1446</x:v>
      </x:c>
      <x:c r="F3837" s="73" t="n">
        <x:v>1.1446</x:v>
      </x:c>
      <x:c r="G3837" s="74" t="n">
        <x:v>0.0044</x:v>
      </x:c>
      <x:c r="H3837" s="66" t="str">
        <x:v>量客投资金选套利1号净值20260911.xlsx</x:v>
      </x:c>
      <x:c r="I3837" s="73" t="str">
        <x:f>""</x:f>
      </x:c>
      <x:c r="J3837" s="74" t="str">
        <x:f>""</x:f>
      </x:c>
      <x:c r="K3837" s="73" t="str">
        <x:f>""</x:f>
      </x:c>
      <x:c r="L3837" s="74" t="str">
        <x:f>""</x:f>
      </x:c>
      <x:c r="M3837" s="73" t="n">
        <x:f>MAX(M3836,F3837)</x:f>
        <x:v>1.1446</x:v>
      </x:c>
      <x:c r="N3837" s="74" t="n">
        <x:f>1-F3837/M3837</x:f>
        <x:v>0</x:v>
      </x:c>
    </x:row>
    <x:row r="3838" ht="27" customHeight="1">
      <x:c r="A3838" s="66" t="str">
        <x:v>SNH457</x:v>
      </x:c>
      <x:c r="B3838" s="66" t="str">
        <x:v>量客投资金选套利1号</x:v>
      </x:c>
      <x:c r="C3838" s="72" t="n">
        <x:v>44624</x:v>
      </x:c>
      <x:c r="D3838" s="73" t="n">
        <x:v>1.1469</x:v>
      </x:c>
      <x:c r="E3838" s="73" t="n">
        <x:v>1.1469</x:v>
      </x:c>
      <x:c r="F3838" s="73" t="n">
        <x:v>1.1469</x:v>
      </x:c>
      <x:c r="G3838" s="74" t="n">
        <x:v>0.002</x:v>
      </x:c>
      <x:c r="H3838" s="66" t="str">
        <x:v>量客投资金选套利1号净值20260911.xlsx</x:v>
      </x:c>
      <x:c r="I3838" s="73" t="str">
        <x:f>""</x:f>
      </x:c>
      <x:c r="J3838" s="74" t="str">
        <x:f>""</x:f>
      </x:c>
      <x:c r="K3838" s="73" t="str">
        <x:f>""</x:f>
      </x:c>
      <x:c r="L3838" s="74" t="str">
        <x:f>""</x:f>
      </x:c>
      <x:c r="M3838" s="73" t="n">
        <x:f>MAX(M3837,F3838)</x:f>
        <x:v>1.1469</x:v>
      </x:c>
      <x:c r="N3838" s="74" t="n">
        <x:f>1-F3838/M3838</x:f>
        <x:v>0</x:v>
      </x:c>
    </x:row>
    <x:row r="3839" ht="27" customHeight="1">
      <x:c r="A3839" s="66" t="str">
        <x:v>SNH457</x:v>
      </x:c>
      <x:c r="B3839" s="66" t="str">
        <x:v>量客投资金选套利1号</x:v>
      </x:c>
      <x:c r="C3839" s="72" t="n">
        <x:v>44631</x:v>
      </x:c>
      <x:c r="D3839" s="73" t="n">
        <x:v>1.1624</x:v>
      </x:c>
      <x:c r="E3839" s="73" t="n">
        <x:v>1.1624</x:v>
      </x:c>
      <x:c r="F3839" s="73" t="n">
        <x:v>1.1624</x:v>
      </x:c>
      <x:c r="G3839" s="74" t="n">
        <x:v>0.013500000000000002</x:v>
      </x:c>
      <x:c r="H3839" s="66" t="str">
        <x:v>量客投资金选套利1号净值20260911.xlsx</x:v>
      </x:c>
      <x:c r="I3839" s="73" t="str">
        <x:f>""</x:f>
      </x:c>
      <x:c r="J3839" s="74" t="str">
        <x:f>""</x:f>
      </x:c>
      <x:c r="K3839" s="73" t="str">
        <x:f>""</x:f>
      </x:c>
      <x:c r="L3839" s="74" t="str">
        <x:f>""</x:f>
      </x:c>
      <x:c r="M3839" s="73" t="n">
        <x:f>MAX(M3838,F3839)</x:f>
        <x:v>1.1624</x:v>
      </x:c>
      <x:c r="N3839" s="74" t="n">
        <x:f>1-F3839/M3839</x:f>
        <x:v>0</x:v>
      </x:c>
    </x:row>
    <x:row r="3840" ht="27" customHeight="1">
      <x:c r="A3840" s="66" t="str">
        <x:v>SNH457</x:v>
      </x:c>
      <x:c r="B3840" s="66" t="str">
        <x:v>量客投资金选套利1号</x:v>
      </x:c>
      <x:c r="C3840" s="72" t="n">
        <x:v>44638</x:v>
      </x:c>
      <x:c r="D3840" s="73" t="n">
        <x:v>1.1798</x:v>
      </x:c>
      <x:c r="E3840" s="73" t="n">
        <x:v>1.1798</x:v>
      </x:c>
      <x:c r="F3840" s="73" t="n">
        <x:v>1.1798</x:v>
      </x:c>
      <x:c r="G3840" s="74" t="n">
        <x:v>0.015</x:v>
      </x:c>
      <x:c r="H3840" s="66" t="str">
        <x:v>量客投资金选套利1号净值20260911.xlsx</x:v>
      </x:c>
      <x:c r="I3840" s="73" t="str">
        <x:f>""</x:f>
      </x:c>
      <x:c r="J3840" s="74" t="str">
        <x:f>""</x:f>
      </x:c>
      <x:c r="K3840" s="73" t="str">
        <x:f>""</x:f>
      </x:c>
      <x:c r="L3840" s="74" t="str">
        <x:f>""</x:f>
      </x:c>
      <x:c r="M3840" s="73" t="n">
        <x:f>MAX(M3839,F3840)</x:f>
        <x:v>1.1798</x:v>
      </x:c>
      <x:c r="N3840" s="74" t="n">
        <x:f>1-F3840/M3840</x:f>
        <x:v>0</x:v>
      </x:c>
    </x:row>
    <x:row r="3841" ht="27" customHeight="1">
      <x:c r="A3841" s="66" t="str">
        <x:v>SNH457</x:v>
      </x:c>
      <x:c r="B3841" s="66" t="str">
        <x:v>量客投资金选套利1号</x:v>
      </x:c>
      <x:c r="C3841" s="72" t="n">
        <x:v>44645</x:v>
      </x:c>
      <x:c r="D3841" s="73" t="n">
        <x:v>1.0079</x:v>
      </x:c>
      <x:c r="E3841" s="73" t="n">
        <x:v>1.1877</x:v>
      </x:c>
      <x:c r="F3841" s="73" t="n">
        <x:v>1.1877</x:v>
      </x:c>
      <x:c r="G3841" s="74" t="n">
        <x:v>0.0067</x:v>
      </x:c>
      <x:c r="H3841" s="66" t="str">
        <x:v>量客投资金选套利1号净值20260911.xlsx</x:v>
      </x:c>
      <x:c r="I3841" s="73" t="str">
        <x:f>""</x:f>
      </x:c>
      <x:c r="J3841" s="74" t="str">
        <x:f>""</x:f>
      </x:c>
      <x:c r="K3841" s="73" t="str">
        <x:f>""</x:f>
      </x:c>
      <x:c r="L3841" s="74" t="str">
        <x:f>""</x:f>
      </x:c>
      <x:c r="M3841" s="73" t="n">
        <x:f>MAX(M3840,F3841)</x:f>
        <x:v>1.1877</x:v>
      </x:c>
      <x:c r="N3841" s="74" t="n">
        <x:f>1-F3841/M3841</x:f>
        <x:v>0</x:v>
      </x:c>
    </x:row>
    <x:row r="3842" ht="27" customHeight="1">
      <x:c r="A3842" s="66" t="str">
        <x:v>SNH457</x:v>
      </x:c>
      <x:c r="B3842" s="66" t="str">
        <x:v>量客投资金选套利1号</x:v>
      </x:c>
      <x:c r="C3842" s="72" t="n">
        <x:v>44652</x:v>
      </x:c>
      <x:c r="D3842" s="73" t="n">
        <x:v>1.014</x:v>
      </x:c>
      <x:c r="E3842" s="73" t="n">
        <x:v>1.1938</x:v>
      </x:c>
      <x:c r="F3842" s="73" t="n">
        <x:v>1.1949</x:v>
      </x:c>
      <x:c r="G3842" s="74" t="n">
        <x:v>0.0060999999999999995</x:v>
      </x:c>
      <x:c r="H3842" s="66" t="str">
        <x:v>量客投资金选套利1号净值20260911.xlsx</x:v>
      </x:c>
      <x:c r="I3842" s="73" t="str">
        <x:f>""</x:f>
      </x:c>
      <x:c r="J3842" s="74" t="str">
        <x:f>""</x:f>
      </x:c>
      <x:c r="K3842" s="73" t="str">
        <x:f>""</x:f>
      </x:c>
      <x:c r="L3842" s="74" t="str">
        <x:f>""</x:f>
      </x:c>
      <x:c r="M3842" s="73" t="n">
        <x:f>MAX(M3841,F3842)</x:f>
        <x:v>1.1949</x:v>
      </x:c>
      <x:c r="N3842" s="74" t="n">
        <x:f>1-F3842/M3842</x:f>
        <x:v>0</x:v>
      </x:c>
    </x:row>
    <x:row r="3843" ht="27" customHeight="1">
      <x:c r="A3843" s="66" t="str">
        <x:v>SNH457</x:v>
      </x:c>
      <x:c r="B3843" s="66" t="str">
        <x:v>量客投资金选套利1号</x:v>
      </x:c>
      <x:c r="C3843" s="72" t="n">
        <x:v>44659</x:v>
      </x:c>
      <x:c r="D3843" s="73" t="n">
        <x:v>1.0172</x:v>
      </x:c>
      <x:c r="E3843" s="73" t="n">
        <x:v>1.197</x:v>
      </x:c>
      <x:c r="F3843" s="73" t="n">
        <x:v>1.1987</x:v>
      </x:c>
      <x:c r="G3843" s="74" t="n">
        <x:v>0.0032</x:v>
      </x:c>
      <x:c r="H3843" s="66" t="str">
        <x:v>量客投资金选套利1号净值20260911.xlsx</x:v>
      </x:c>
      <x:c r="I3843" s="73" t="str">
        <x:f>""</x:f>
      </x:c>
      <x:c r="J3843" s="74" t="str">
        <x:f>""</x:f>
      </x:c>
      <x:c r="K3843" s="73" t="str">
        <x:f>""</x:f>
      </x:c>
      <x:c r="L3843" s="74" t="str">
        <x:f>""</x:f>
      </x:c>
      <x:c r="M3843" s="73" t="n">
        <x:f>MAX(M3842,F3843)</x:f>
        <x:v>1.1987</x:v>
      </x:c>
      <x:c r="N3843" s="74" t="n">
        <x:f>1-F3843/M3843</x:f>
        <x:v>0</x:v>
      </x:c>
    </x:row>
    <x:row r="3844" ht="27" customHeight="1">
      <x:c r="A3844" s="66" t="str">
        <x:v>SNH457</x:v>
      </x:c>
      <x:c r="B3844" s="66" t="str">
        <x:v>量客投资金选套利1号</x:v>
      </x:c>
      <x:c r="C3844" s="72" t="n">
        <x:v>44666</x:v>
      </x:c>
      <x:c r="D3844" s="73" t="n">
        <x:v>1.0206</x:v>
      </x:c>
      <x:c r="E3844" s="73" t="n">
        <x:v>1.2004</x:v>
      </x:c>
      <x:c r="F3844" s="73" t="n">
        <x:v>1.2027</x:v>
      </x:c>
      <x:c r="G3844" s="74" t="n">
        <x:v>0.0033</x:v>
      </x:c>
      <x:c r="H3844" s="66" t="str">
        <x:v>量客投资金选套利1号净值20260911.xlsx</x:v>
      </x:c>
      <x:c r="I3844" s="73" t="str">
        <x:f>""</x:f>
      </x:c>
      <x:c r="J3844" s="74" t="str">
        <x:f>""</x:f>
      </x:c>
      <x:c r="K3844" s="73" t="str">
        <x:f>""</x:f>
      </x:c>
      <x:c r="L3844" s="74" t="str">
        <x:f>""</x:f>
      </x:c>
      <x:c r="M3844" s="73" t="n">
        <x:f>MAX(M3843,F3844)</x:f>
        <x:v>1.2027</x:v>
      </x:c>
      <x:c r="N3844" s="74" t="n">
        <x:f>1-F3844/M3844</x:f>
        <x:v>0</x:v>
      </x:c>
    </x:row>
    <x:row r="3845" ht="27" customHeight="1">
      <x:c r="A3845" s="66" t="str">
        <x:v>SNH457</x:v>
      </x:c>
      <x:c r="B3845" s="66" t="str">
        <x:v>量客投资金选套利1号</x:v>
      </x:c>
      <x:c r="C3845" s="72" t="n">
        <x:v>44673</x:v>
      </x:c>
      <x:c r="D3845" s="73" t="n">
        <x:v>1.0304</x:v>
      </x:c>
      <x:c r="E3845" s="73" t="n">
        <x:v>1.2102</x:v>
      </x:c>
      <x:c r="F3845" s="73" t="n">
        <x:v>1.2142</x:v>
      </x:c>
      <x:c r="G3845" s="74" t="n">
        <x:v>0.0096</x:v>
      </x:c>
      <x:c r="H3845" s="66" t="str">
        <x:v>量客投资金选套利1号净值20260911.xlsx</x:v>
      </x:c>
      <x:c r="I3845" s="73" t="str">
        <x:f>""</x:f>
      </x:c>
      <x:c r="J3845" s="74" t="str">
        <x:f>""</x:f>
      </x:c>
      <x:c r="K3845" s="73" t="str">
        <x:f>""</x:f>
      </x:c>
      <x:c r="L3845" s="74" t="str">
        <x:f>""</x:f>
      </x:c>
      <x:c r="M3845" s="73" t="n">
        <x:f>MAX(M3844,F3845)</x:f>
        <x:v>1.2142</x:v>
      </x:c>
      <x:c r="N3845" s="74" t="n">
        <x:f>1-F3845/M3845</x:f>
        <x:v>0</x:v>
      </x:c>
    </x:row>
    <x:row r="3846" ht="27" customHeight="1">
      <x:c r="A3846" s="66" t="str">
        <x:v>SNH457</x:v>
      </x:c>
      <x:c r="B3846" s="66" t="str">
        <x:v>量客投资金选套利1号</x:v>
      </x:c>
      <x:c r="C3846" s="72" t="n">
        <x:v>44680</x:v>
      </x:c>
      <x:c r="D3846" s="73" t="n">
        <x:v>1.0452</x:v>
      </x:c>
      <x:c r="E3846" s="73" t="n">
        <x:v>1.225</x:v>
      </x:c>
      <x:c r="F3846" s="73" t="n">
        <x:v>1.2317</x:v>
      </x:c>
      <x:c r="G3846" s="74" t="n">
        <x:v>0.0144</x:v>
      </x:c>
      <x:c r="H3846" s="66" t="str">
        <x:v>量客投资金选套利1号净值20260911.xlsx</x:v>
      </x:c>
      <x:c r="I3846" s="73" t="str">
        <x:f>""</x:f>
      </x:c>
      <x:c r="J3846" s="74" t="str">
        <x:f>""</x:f>
      </x:c>
      <x:c r="K3846" s="73" t="str">
        <x:f>""</x:f>
      </x:c>
      <x:c r="L3846" s="74" t="str">
        <x:f>""</x:f>
      </x:c>
      <x:c r="M3846" s="73" t="n">
        <x:f>MAX(M3845,F3846)</x:f>
        <x:v>1.2317</x:v>
      </x:c>
      <x:c r="N3846" s="74" t="n">
        <x:f>1-F3846/M3846</x:f>
        <x:v>0</x:v>
      </x:c>
    </x:row>
    <x:row r="3847" ht="27" customHeight="1">
      <x:c r="A3847" s="66" t="str">
        <x:v>SNH457</x:v>
      </x:c>
      <x:c r="B3847" s="66" t="str">
        <x:v>量客投资金选套利1号</x:v>
      </x:c>
      <x:c r="C3847" s="72" t="n">
        <x:v>44687</x:v>
      </x:c>
      <x:c r="D3847" s="73" t="n">
        <x:v>1.0476</x:v>
      </x:c>
      <x:c r="E3847" s="73" t="n">
        <x:v>1.2274</x:v>
      </x:c>
      <x:c r="F3847" s="73" t="n">
        <x:v>1.2345</x:v>
      </x:c>
      <x:c r="G3847" s="74" t="n">
        <x:v>0.0023</x:v>
      </x:c>
      <x:c r="H3847" s="66" t="str">
        <x:v>量客投资金选套利1号净值20260911.xlsx</x:v>
      </x:c>
      <x:c r="I3847" s="73" t="str">
        <x:f>""</x:f>
      </x:c>
      <x:c r="J3847" s="74" t="str">
        <x:f>""</x:f>
      </x:c>
      <x:c r="K3847" s="73" t="str">
        <x:f>""</x:f>
      </x:c>
      <x:c r="L3847" s="74" t="str">
        <x:f>""</x:f>
      </x:c>
      <x:c r="M3847" s="73" t="n">
        <x:f>MAX(M3846,F3847)</x:f>
        <x:v>1.2345</x:v>
      </x:c>
      <x:c r="N3847" s="74" t="n">
        <x:f>1-F3847/M3847</x:f>
        <x:v>0</x:v>
      </x:c>
    </x:row>
    <x:row r="3848" ht="27" customHeight="1">
      <x:c r="A3848" s="66" t="str">
        <x:v>SNH457</x:v>
      </x:c>
      <x:c r="B3848" s="66" t="str">
        <x:v>量客投资金选套利1号</x:v>
      </x:c>
      <x:c r="C3848" s="72" t="n">
        <x:v>44694</x:v>
      </x:c>
      <x:c r="D3848" s="73" t="n">
        <x:v>1.0552</x:v>
      </x:c>
      <x:c r="E3848" s="73" t="n">
        <x:v>1.235</x:v>
      </x:c>
      <x:c r="F3848" s="73" t="n">
        <x:v>1.2434</x:v>
      </x:c>
      <x:c r="G3848" s="74" t="n">
        <x:v>0.0073</x:v>
      </x:c>
      <x:c r="H3848" s="66" t="str">
        <x:v>量客投资金选套利1号净值20260911.xlsx</x:v>
      </x:c>
      <x:c r="I3848" s="73" t="str">
        <x:f>""</x:f>
      </x:c>
      <x:c r="J3848" s="74" t="str">
        <x:f>""</x:f>
      </x:c>
      <x:c r="K3848" s="73" t="str">
        <x:f>""</x:f>
      </x:c>
      <x:c r="L3848" s="74" t="str">
        <x:f>""</x:f>
      </x:c>
      <x:c r="M3848" s="73" t="n">
        <x:f>MAX(M3847,F3848)</x:f>
        <x:v>1.2434</x:v>
      </x:c>
      <x:c r="N3848" s="74" t="n">
        <x:f>1-F3848/M3848</x:f>
        <x:v>0</x:v>
      </x:c>
    </x:row>
    <x:row r="3849" ht="27" customHeight="1">
      <x:c r="A3849" s="66" t="str">
        <x:v>SNH457</x:v>
      </x:c>
      <x:c r="B3849" s="66" t="str">
        <x:v>量客投资金选套利1号</x:v>
      </x:c>
      <x:c r="C3849" s="72" t="n">
        <x:v>44701</x:v>
      </x:c>
      <x:c r="D3849" s="73" t="n">
        <x:v>1.0607</x:v>
      </x:c>
      <x:c r="E3849" s="73" t="n">
        <x:v>1.2405</x:v>
      </x:c>
      <x:c r="F3849" s="73" t="n">
        <x:v>1.2499</x:v>
      </x:c>
      <x:c r="G3849" s="74" t="n">
        <x:v>0.0052</x:v>
      </x:c>
      <x:c r="H3849" s="66" t="str">
        <x:v>量客投资金选套利1号净值20260911.xlsx</x:v>
      </x:c>
      <x:c r="I3849" s="73" t="str">
        <x:f>""</x:f>
      </x:c>
      <x:c r="J3849" s="74" t="str">
        <x:f>""</x:f>
      </x:c>
      <x:c r="K3849" s="73" t="str">
        <x:f>""</x:f>
      </x:c>
      <x:c r="L3849" s="74" t="str">
        <x:f>""</x:f>
      </x:c>
      <x:c r="M3849" s="73" t="n">
        <x:f>MAX(M3848,F3849)</x:f>
        <x:v>1.2499</x:v>
      </x:c>
      <x:c r="N3849" s="74" t="n">
        <x:f>1-F3849/M3849</x:f>
        <x:v>0</x:v>
      </x:c>
    </x:row>
    <x:row r="3850" ht="27" customHeight="1">
      <x:c r="A3850" s="66" t="str">
        <x:v>SNH457</x:v>
      </x:c>
      <x:c r="B3850" s="66" t="str">
        <x:v>量客投资金选套利1号</x:v>
      </x:c>
      <x:c r="C3850" s="72" t="n">
        <x:v>44708</x:v>
      </x:c>
      <x:c r="D3850" s="73" t="n">
        <x:v>1.0635</x:v>
      </x:c>
      <x:c r="E3850" s="73" t="n">
        <x:v>1.2433</x:v>
      </x:c>
      <x:c r="F3850" s="73" t="n">
        <x:v>1.2532</x:v>
      </x:c>
      <x:c r="G3850" s="74" t="n">
        <x:v>0.0026</x:v>
      </x:c>
      <x:c r="H3850" s="66" t="str">
        <x:v>量客投资金选套利1号净值20260911.xlsx</x:v>
      </x:c>
      <x:c r="I3850" s="73" t="str">
        <x:f>""</x:f>
      </x:c>
      <x:c r="J3850" s="74" t="str">
        <x:f>""</x:f>
      </x:c>
      <x:c r="K3850" s="73" t="str">
        <x:f>""</x:f>
      </x:c>
      <x:c r="L3850" s="74" t="str">
        <x:f>""</x:f>
      </x:c>
      <x:c r="M3850" s="73" t="n">
        <x:f>MAX(M3849,F3850)</x:f>
        <x:v>1.2532</x:v>
      </x:c>
      <x:c r="N3850" s="74" t="n">
        <x:f>1-F3850/M3850</x:f>
        <x:v>0</x:v>
      </x:c>
    </x:row>
    <x:row r="3851" ht="27" customHeight="1">
      <x:c r="A3851" s="66" t="str">
        <x:v>SNH457</x:v>
      </x:c>
      <x:c r="B3851" s="66" t="str">
        <x:v>量客投资金选套利1号</x:v>
      </x:c>
      <x:c r="C3851" s="72" t="n">
        <x:v>44714</x:v>
      </x:c>
      <x:c r="D3851" s="73" t="n">
        <x:v>1.0642</x:v>
      </x:c>
      <x:c r="E3851" s="73" t="n">
        <x:v>1.244</x:v>
      </x:c>
      <x:c r="F3851" s="73" t="n">
        <x:v>1.254</x:v>
      </x:c>
      <x:c r="G3851" s="74" t="n">
        <x:v>0.0007000000000000001</x:v>
      </x:c>
      <x:c r="H3851" s="66" t="str">
        <x:v>量客投资金选套利1号净值20260911.xlsx</x:v>
      </x:c>
      <x:c r="I3851" s="73" t="str">
        <x:f>""</x:f>
      </x:c>
      <x:c r="J3851" s="74" t="str">
        <x:f>""</x:f>
      </x:c>
      <x:c r="K3851" s="73" t="str">
        <x:f>""</x:f>
      </x:c>
      <x:c r="L3851" s="74" t="str">
        <x:f>""</x:f>
      </x:c>
      <x:c r="M3851" s="73" t="n">
        <x:f>MAX(M3850,F3851)</x:f>
        <x:v>1.254</x:v>
      </x:c>
      <x:c r="N3851" s="74" t="n">
        <x:f>1-F3851/M3851</x:f>
        <x:v>0</x:v>
      </x:c>
    </x:row>
    <x:row r="3852" ht="27" customHeight="1">
      <x:c r="A3852" s="66" t="str">
        <x:v>SNH457</x:v>
      </x:c>
      <x:c r="B3852" s="66" t="str">
        <x:v>量客投资金选套利1号</x:v>
      </x:c>
      <x:c r="C3852" s="72" t="n">
        <x:v>44722</x:v>
      </x:c>
      <x:c r="D3852" s="73" t="n">
        <x:v>1.068</x:v>
      </x:c>
      <x:c r="E3852" s="73" t="n">
        <x:v>1.2478</x:v>
      </x:c>
      <x:c r="F3852" s="73" t="n">
        <x:v>1.2585</x:v>
      </x:c>
      <x:c r="G3852" s="74" t="n">
        <x:v>0.0036</x:v>
      </x:c>
      <x:c r="H3852" s="66" t="str">
        <x:v>量客投资金选套利1号净值20260911.xlsx</x:v>
      </x:c>
      <x:c r="I3852" s="73" t="str">
        <x:f>""</x:f>
      </x:c>
      <x:c r="J3852" s="74" t="str">
        <x:f>""</x:f>
      </x:c>
      <x:c r="K3852" s="73" t="str">
        <x:f>""</x:f>
      </x:c>
      <x:c r="L3852" s="74" t="str">
        <x:f>""</x:f>
      </x:c>
      <x:c r="M3852" s="73" t="n">
        <x:f>MAX(M3851,F3852)</x:f>
        <x:v>1.2585</x:v>
      </x:c>
      <x:c r="N3852" s="74" t="n">
        <x:f>1-F3852/M3852</x:f>
        <x:v>0</x:v>
      </x:c>
    </x:row>
    <x:row r="3853" ht="27" customHeight="1">
      <x:c r="A3853" s="66" t="str">
        <x:v>SNH457</x:v>
      </x:c>
      <x:c r="B3853" s="66" t="str">
        <x:v>量客投资金选套利1号</x:v>
      </x:c>
      <x:c r="C3853" s="72" t="n">
        <x:v>44729</x:v>
      </x:c>
      <x:c r="D3853" s="73" t="n">
        <x:v>1.0828</x:v>
      </x:c>
      <x:c r="E3853" s="73" t="n">
        <x:v>1.2626</x:v>
      </x:c>
      <x:c r="F3853" s="73" t="n">
        <x:v>1.276</x:v>
      </x:c>
      <x:c r="G3853" s="74" t="n">
        <x:v>0.0139</x:v>
      </x:c>
      <x:c r="H3853" s="66" t="str">
        <x:v>量客投资金选套利1号净值20260911.xlsx</x:v>
      </x:c>
      <x:c r="I3853" s="73" t="str">
        <x:f>""</x:f>
      </x:c>
      <x:c r="J3853" s="74" t="str">
        <x:f>""</x:f>
      </x:c>
      <x:c r="K3853" s="73" t="str">
        <x:f>""</x:f>
      </x:c>
      <x:c r="L3853" s="74" t="str">
        <x:f>""</x:f>
      </x:c>
      <x:c r="M3853" s="73" t="n">
        <x:f>MAX(M3852,F3853)</x:f>
        <x:v>1.276</x:v>
      </x:c>
      <x:c r="N3853" s="74" t="n">
        <x:f>1-F3853/M3853</x:f>
        <x:v>0</x:v>
      </x:c>
    </x:row>
    <x:row r="3854" ht="27" customHeight="1">
      <x:c r="A3854" s="66" t="str">
        <x:v>SNH457</x:v>
      </x:c>
      <x:c r="B3854" s="66" t="str">
        <x:v>量客投资金选套利1号</x:v>
      </x:c>
      <x:c r="C3854" s="72" t="n">
        <x:v>44736</x:v>
      </x:c>
      <x:c r="D3854" s="73" t="n">
        <x:v>1.0872</x:v>
      </x:c>
      <x:c r="E3854" s="73" t="n">
        <x:v>1.267</x:v>
      </x:c>
      <x:c r="F3854" s="73" t="n">
        <x:v>1.2811</x:v>
      </x:c>
      <x:c r="G3854" s="74" t="n">
        <x:v>0.0040999999999999995</x:v>
      </x:c>
      <x:c r="H3854" s="66" t="str">
        <x:v>量客投资金选套利1号净值20260911.xlsx</x:v>
      </x:c>
      <x:c r="I3854" s="73" t="str">
        <x:f>""</x:f>
      </x:c>
      <x:c r="J3854" s="74" t="str">
        <x:f>""</x:f>
      </x:c>
      <x:c r="K3854" s="73" t="str">
        <x:f>""</x:f>
      </x:c>
      <x:c r="L3854" s="74" t="str">
        <x:f>""</x:f>
      </x:c>
      <x:c r="M3854" s="73" t="n">
        <x:f>MAX(M3853,F3854)</x:f>
        <x:v>1.2811</x:v>
      </x:c>
      <x:c r="N3854" s="74" t="n">
        <x:f>1-F3854/M3854</x:f>
        <x:v>0</x:v>
      </x:c>
    </x:row>
    <x:row r="3855" ht="27" customHeight="1">
      <x:c r="A3855" s="66" t="str">
        <x:v>SNH457</x:v>
      </x:c>
      <x:c r="B3855" s="66" t="str">
        <x:v>量客投资金选套利1号</x:v>
      </x:c>
      <x:c r="C3855" s="72" t="n">
        <x:v>44743</x:v>
      </x:c>
      <x:c r="D3855" s="73" t="n">
        <x:v>1.093</x:v>
      </x:c>
      <x:c r="E3855" s="73" t="n">
        <x:v>1.2728</x:v>
      </x:c>
      <x:c r="F3855" s="73" t="n">
        <x:v>1.288</x:v>
      </x:c>
      <x:c r="G3855" s="74" t="n">
        <x:v>0.0053</x:v>
      </x:c>
      <x:c r="H3855" s="66" t="str">
        <x:v>量客投资金选套利1号净值20260911.xlsx</x:v>
      </x:c>
      <x:c r="I3855" s="73" t="str">
        <x:f>""</x:f>
      </x:c>
      <x:c r="J3855" s="74" t="str">
        <x:f>""</x:f>
      </x:c>
      <x:c r="K3855" s="73" t="str">
        <x:f>""</x:f>
      </x:c>
      <x:c r="L3855" s="74" t="str">
        <x:f>""</x:f>
      </x:c>
      <x:c r="M3855" s="73" t="n">
        <x:f>MAX(M3854,F3855)</x:f>
        <x:v>1.288</x:v>
      </x:c>
      <x:c r="N3855" s="74" t="n">
        <x:f>1-F3855/M3855</x:f>
        <x:v>0</x:v>
      </x:c>
    </x:row>
    <x:row r="3856" ht="27" customHeight="1">
      <x:c r="A3856" s="66" t="str">
        <x:v>SNH457</x:v>
      </x:c>
      <x:c r="B3856" s="66" t="str">
        <x:v>量客投资金选套利1号</x:v>
      </x:c>
      <x:c r="C3856" s="72" t="n">
        <x:v>44750</x:v>
      </x:c>
      <x:c r="D3856" s="73" t="n">
        <x:v>1.0976</x:v>
      </x:c>
      <x:c r="E3856" s="73" t="n">
        <x:v>1.2774</x:v>
      </x:c>
      <x:c r="F3856" s="73" t="n">
        <x:v>1.2934</x:v>
      </x:c>
      <x:c r="G3856" s="74" t="n">
        <x:v>0.0042</x:v>
      </x:c>
      <x:c r="H3856" s="66" t="str">
        <x:v>量客投资金选套利1号净值20260911.xlsx</x:v>
      </x:c>
      <x:c r="I3856" s="73" t="str">
        <x:f>""</x:f>
      </x:c>
      <x:c r="J3856" s="74" t="str">
        <x:f>""</x:f>
      </x:c>
      <x:c r="K3856" s="73" t="str">
        <x:f>""</x:f>
      </x:c>
      <x:c r="L3856" s="74" t="str">
        <x:f>""</x:f>
      </x:c>
      <x:c r="M3856" s="73" t="n">
        <x:f>MAX(M3855,F3856)</x:f>
        <x:v>1.2934</x:v>
      </x:c>
      <x:c r="N3856" s="74" t="n">
        <x:f>1-F3856/M3856</x:f>
        <x:v>0</x:v>
      </x:c>
    </x:row>
    <x:row r="3857" ht="27" customHeight="1">
      <x:c r="A3857" s="66" t="str">
        <x:v>SNH457</x:v>
      </x:c>
      <x:c r="B3857" s="66" t="str">
        <x:v>量客投资金选套利1号</x:v>
      </x:c>
      <x:c r="C3857" s="72" t="n">
        <x:v>44757</x:v>
      </x:c>
      <x:c r="D3857" s="73" t="n">
        <x:v>1.1044</x:v>
      </x:c>
      <x:c r="E3857" s="73" t="n">
        <x:v>1.2842</x:v>
      </x:c>
      <x:c r="F3857" s="73" t="n">
        <x:v>1.3014</x:v>
      </x:c>
      <x:c r="G3857" s="74" t="n">
        <x:v>0.0062</x:v>
      </x:c>
      <x:c r="H3857" s="66" t="str">
        <x:v>量客投资金选套利1号净值20260911.xlsx</x:v>
      </x:c>
      <x:c r="I3857" s="73" t="str">
        <x:f>""</x:f>
      </x:c>
      <x:c r="J3857" s="74" t="str">
        <x:f>""</x:f>
      </x:c>
      <x:c r="K3857" s="73" t="str">
        <x:f>""</x:f>
      </x:c>
      <x:c r="L3857" s="74" t="str">
        <x:f>""</x:f>
      </x:c>
      <x:c r="M3857" s="73" t="n">
        <x:f>MAX(M3856,F3857)</x:f>
        <x:v>1.3014</x:v>
      </x:c>
      <x:c r="N3857" s="74" t="n">
        <x:f>1-F3857/M3857</x:f>
        <x:v>0</x:v>
      </x:c>
    </x:row>
    <x:row r="3858" ht="27" customHeight="1">
      <x:c r="A3858" s="66" t="str">
        <x:v>SNH457</x:v>
      </x:c>
      <x:c r="B3858" s="66" t="str">
        <x:v>量客投资金选套利1号</x:v>
      </x:c>
      <x:c r="C3858" s="72" t="n">
        <x:v>44764</x:v>
      </x:c>
      <x:c r="D3858" s="73" t="n">
        <x:v>1.1066</x:v>
      </x:c>
      <x:c r="E3858" s="73" t="n">
        <x:v>1.2864</x:v>
      </x:c>
      <x:c r="F3858" s="73" t="n">
        <x:v>1.304</x:v>
      </x:c>
      <x:c r="G3858" s="74" t="n">
        <x:v>0.002</x:v>
      </x:c>
      <x:c r="H3858" s="66" t="str">
        <x:v>量客投资金选套利1号净值20260911.xlsx</x:v>
      </x:c>
      <x:c r="I3858" s="73" t="str">
        <x:f>""</x:f>
      </x:c>
      <x:c r="J3858" s="74" t="str">
        <x:f>""</x:f>
      </x:c>
      <x:c r="K3858" s="73" t="str">
        <x:f>""</x:f>
      </x:c>
      <x:c r="L3858" s="74" t="str">
        <x:f>""</x:f>
      </x:c>
      <x:c r="M3858" s="73" t="n">
        <x:f>MAX(M3857,F3858)</x:f>
        <x:v>1.304</x:v>
      </x:c>
      <x:c r="N3858" s="74" t="n">
        <x:f>1-F3858/M3858</x:f>
        <x:v>0</x:v>
      </x:c>
    </x:row>
    <x:row r="3859" ht="27" customHeight="1">
      <x:c r="A3859" s="66" t="str">
        <x:v>SNH457</x:v>
      </x:c>
      <x:c r="B3859" s="66" t="str">
        <x:v>量客投资金选套利1号</x:v>
      </x:c>
      <x:c r="C3859" s="72" t="n">
        <x:v>44771</x:v>
      </x:c>
      <x:c r="D3859" s="73" t="n">
        <x:v>1.1118</x:v>
      </x:c>
      <x:c r="E3859" s="73" t="n">
        <x:v>1.2916</x:v>
      </x:c>
      <x:c r="F3859" s="73" t="n">
        <x:v>1.3101</x:v>
      </x:c>
      <x:c r="G3859" s="74" t="n">
        <x:v>0.004699999999999999</x:v>
      </x:c>
      <x:c r="H3859" s="66" t="str">
        <x:v>量客投资金选套利1号净值20260911.xlsx</x:v>
      </x:c>
      <x:c r="I3859" s="73" t="str">
        <x:f>""</x:f>
      </x:c>
      <x:c r="J3859" s="74" t="str">
        <x:f>""</x:f>
      </x:c>
      <x:c r="K3859" s="73" t="str">
        <x:f>""</x:f>
      </x:c>
      <x:c r="L3859" s="74" t="str">
        <x:f>""</x:f>
      </x:c>
      <x:c r="M3859" s="73" t="n">
        <x:f>MAX(M3858,F3859)</x:f>
        <x:v>1.3101</x:v>
      </x:c>
      <x:c r="N3859" s="74" t="n">
        <x:f>1-F3859/M3859</x:f>
        <x:v>0</x:v>
      </x:c>
    </x:row>
    <x:row r="3860" ht="27" customHeight="1">
      <x:c r="A3860" s="66" t="str">
        <x:v>SNH457</x:v>
      </x:c>
      <x:c r="B3860" s="66" t="str">
        <x:v>量客投资金选套利1号</x:v>
      </x:c>
      <x:c r="C3860" s="72" t="n">
        <x:v>44778</x:v>
      </x:c>
      <x:c r="D3860" s="73" t="n">
        <x:v>1.1168</x:v>
      </x:c>
      <x:c r="E3860" s="73" t="n">
        <x:v>1.2966</x:v>
      </x:c>
      <x:c r="F3860" s="73" t="n">
        <x:v>1.316</x:v>
      </x:c>
      <x:c r="G3860" s="74" t="n">
        <x:v>0.0045000000000000005</x:v>
      </x:c>
      <x:c r="H3860" s="66" t="str">
        <x:v>量客投资金选套利1号净值20260911.xlsx</x:v>
      </x:c>
      <x:c r="I3860" s="73" t="str">
        <x:f>""</x:f>
      </x:c>
      <x:c r="J3860" s="74" t="str">
        <x:f>""</x:f>
      </x:c>
      <x:c r="K3860" s="73" t="str">
        <x:f>""</x:f>
      </x:c>
      <x:c r="L3860" s="74" t="str">
        <x:f>""</x:f>
      </x:c>
      <x:c r="M3860" s="73" t="n">
        <x:f>MAX(M3859,F3860)</x:f>
        <x:v>1.316</x:v>
      </x:c>
      <x:c r="N3860" s="74" t="n">
        <x:f>1-F3860/M3860</x:f>
        <x:v>0</x:v>
      </x:c>
    </x:row>
    <x:row r="3861" ht="27" customHeight="1">
      <x:c r="A3861" s="66" t="str">
        <x:v>SNH457</x:v>
      </x:c>
      <x:c r="B3861" s="66" t="str">
        <x:v>量客投资金选套利1号</x:v>
      </x:c>
      <x:c r="C3861" s="72" t="n">
        <x:v>44785</x:v>
      </x:c>
      <x:c r="D3861" s="73" t="n">
        <x:v>1.1205</x:v>
      </x:c>
      <x:c r="E3861" s="73" t="n">
        <x:v>1.3003</x:v>
      </x:c>
      <x:c r="F3861" s="73" t="n">
        <x:v>1.3204</x:v>
      </x:c>
      <x:c r="G3861" s="74" t="n">
        <x:v>0.0033</x:v>
      </x:c>
      <x:c r="H3861" s="66" t="str">
        <x:v>量客投资金选套利1号净值20260911.xlsx</x:v>
      </x:c>
      <x:c r="I3861" s="73" t="str">
        <x:f>""</x:f>
      </x:c>
      <x:c r="J3861" s="74" t="str">
        <x:f>""</x:f>
      </x:c>
      <x:c r="K3861" s="73" t="str">
        <x:f>""</x:f>
      </x:c>
      <x:c r="L3861" s="74" t="str">
        <x:f>""</x:f>
      </x:c>
      <x:c r="M3861" s="73" t="n">
        <x:f>MAX(M3860,F3861)</x:f>
        <x:v>1.3204</x:v>
      </x:c>
      <x:c r="N3861" s="74" t="n">
        <x:f>1-F3861/M3861</x:f>
        <x:v>0</x:v>
      </x:c>
    </x:row>
    <x:row r="3862" ht="27" customHeight="1">
      <x:c r="A3862" s="66" t="str">
        <x:v>SNH457</x:v>
      </x:c>
      <x:c r="B3862" s="66" t="str">
        <x:v>量客投资金选套利1号</x:v>
      </x:c>
      <x:c r="C3862" s="72" t="n">
        <x:v>44792</x:v>
      </x:c>
      <x:c r="D3862" s="73" t="n">
        <x:v>1.1241</x:v>
      </x:c>
      <x:c r="E3862" s="73" t="n">
        <x:v>1.3039</x:v>
      </x:c>
      <x:c r="F3862" s="73" t="n">
        <x:v>1.3246</x:v>
      </x:c>
      <x:c r="G3862" s="74" t="n">
        <x:v>0.0032</x:v>
      </x:c>
      <x:c r="H3862" s="66" t="str">
        <x:v>量客投资金选套利1号净值20260911.xlsx</x:v>
      </x:c>
      <x:c r="I3862" s="73" t="str">
        <x:f>""</x:f>
      </x:c>
      <x:c r="J3862" s="74" t="str">
        <x:f>""</x:f>
      </x:c>
      <x:c r="K3862" s="73" t="str">
        <x:f>""</x:f>
      </x:c>
      <x:c r="L3862" s="74" t="str">
        <x:f>""</x:f>
      </x:c>
      <x:c r="M3862" s="73" t="n">
        <x:f>MAX(M3861,F3862)</x:f>
        <x:v>1.3246</x:v>
      </x:c>
      <x:c r="N3862" s="74" t="n">
        <x:f>1-F3862/M3862</x:f>
        <x:v>0</x:v>
      </x:c>
    </x:row>
    <x:row r="3863" ht="27" customHeight="1">
      <x:c r="A3863" s="66" t="str">
        <x:v>SNH457</x:v>
      </x:c>
      <x:c r="B3863" s="66" t="str">
        <x:v>量客投资金选套利1号</x:v>
      </x:c>
      <x:c r="C3863" s="72" t="n">
        <x:v>44799</x:v>
      </x:c>
      <x:c r="D3863" s="73" t="n">
        <x:v>1.1271</x:v>
      </x:c>
      <x:c r="E3863" s="73" t="n">
        <x:v>1.3069</x:v>
      </x:c>
      <x:c r="F3863" s="73" t="n">
        <x:v>1.3282</x:v>
      </x:c>
      <x:c r="G3863" s="74" t="n">
        <x:v>0.0027</x:v>
      </x:c>
      <x:c r="H3863" s="66" t="str">
        <x:v>量客投资金选套利1号净值20260911.xlsx</x:v>
      </x:c>
      <x:c r="I3863" s="73" t="str">
        <x:f>""</x:f>
      </x:c>
      <x:c r="J3863" s="74" t="str">
        <x:f>""</x:f>
      </x:c>
      <x:c r="K3863" s="73" t="str">
        <x:f>""</x:f>
      </x:c>
      <x:c r="L3863" s="74" t="str">
        <x:f>""</x:f>
      </x:c>
      <x:c r="M3863" s="73" t="n">
        <x:f>MAX(M3862,F3863)</x:f>
        <x:v>1.3282</x:v>
      </x:c>
      <x:c r="N3863" s="74" t="n">
        <x:f>1-F3863/M3863</x:f>
        <x:v>0</x:v>
      </x:c>
    </x:row>
    <x:row r="3864" ht="27" customHeight="1">
      <x:c r="A3864" s="66" t="str">
        <x:v>SNH457</x:v>
      </x:c>
      <x:c r="B3864" s="66" t="str">
        <x:v>量客投资金选套利1号</x:v>
      </x:c>
      <x:c r="C3864" s="72" t="n">
        <x:v>44806</x:v>
      </x:c>
      <x:c r="D3864" s="73" t="n">
        <x:v>1.1309</x:v>
      </x:c>
      <x:c r="E3864" s="73" t="n">
        <x:v>1.3107</x:v>
      </x:c>
      <x:c r="F3864" s="73" t="n">
        <x:v>1.3326</x:v>
      </x:c>
      <x:c r="G3864" s="74" t="n">
        <x:v>0.0034000000000000002</x:v>
      </x:c>
      <x:c r="H3864" s="66" t="str">
        <x:v>量客投资金选套利1号净值20260911.xlsx</x:v>
      </x:c>
      <x:c r="I3864" s="73" t="str">
        <x:f>""</x:f>
      </x:c>
      <x:c r="J3864" s="74" t="str">
        <x:f>""</x:f>
      </x:c>
      <x:c r="K3864" s="73" t="str">
        <x:f>""</x:f>
      </x:c>
      <x:c r="L3864" s="74" t="str">
        <x:f>""</x:f>
      </x:c>
      <x:c r="M3864" s="73" t="n">
        <x:f>MAX(M3863,F3864)</x:f>
        <x:v>1.3326</x:v>
      </x:c>
      <x:c r="N3864" s="74" t="n">
        <x:f>1-F3864/M3864</x:f>
        <x:v>0</x:v>
      </x:c>
    </x:row>
    <x:row r="3865" ht="27" customHeight="1">
      <x:c r="A3865" s="66" t="str">
        <x:v>SNH457</x:v>
      </x:c>
      <x:c r="B3865" s="66" t="str">
        <x:v>量客投资金选套利1号</x:v>
      </x:c>
      <x:c r="C3865" s="72" t="n">
        <x:v>44813</x:v>
      </x:c>
      <x:c r="D3865" s="73" t="n">
        <x:v>1.1321</x:v>
      </x:c>
      <x:c r="E3865" s="73" t="n">
        <x:v>1.3119</x:v>
      </x:c>
      <x:c r="F3865" s="73" t="n">
        <x:v>1.3341</x:v>
      </x:c>
      <x:c r="G3865" s="74" t="n">
        <x:v>0.0011</x:v>
      </x:c>
      <x:c r="H3865" s="66" t="str">
        <x:v>量客投资金选套利1号净值20260911.xlsx</x:v>
      </x:c>
      <x:c r="I3865" s="73" t="str">
        <x:f>""</x:f>
      </x:c>
      <x:c r="J3865" s="74" t="str">
        <x:f>""</x:f>
      </x:c>
      <x:c r="K3865" s="73" t="str">
        <x:f>""</x:f>
      </x:c>
      <x:c r="L3865" s="74" t="str">
        <x:f>""</x:f>
      </x:c>
      <x:c r="M3865" s="73" t="n">
        <x:f>MAX(M3864,F3865)</x:f>
        <x:v>1.3341</x:v>
      </x:c>
      <x:c r="N3865" s="74" t="n">
        <x:f>1-F3865/M3865</x:f>
        <x:v>0</x:v>
      </x:c>
    </x:row>
    <x:row r="3866" ht="27" customHeight="1">
      <x:c r="A3866" s="66" t="str">
        <x:v>SNH457</x:v>
      </x:c>
      <x:c r="B3866" s="66" t="str">
        <x:v>量客投资金选套利1号</x:v>
      </x:c>
      <x:c r="C3866" s="72" t="n">
        <x:v>44820</x:v>
      </x:c>
      <x:c r="D3866" s="73" t="n">
        <x:v>1.1346</x:v>
      </x:c>
      <x:c r="E3866" s="73" t="n">
        <x:v>1.3144</x:v>
      </x:c>
      <x:c r="F3866" s="73" t="n">
        <x:v>1.337</x:v>
      </x:c>
      <x:c r="G3866" s="74" t="n">
        <x:v>0.0022</x:v>
      </x:c>
      <x:c r="H3866" s="66" t="str">
        <x:v>量客投资金选套利1号净值20260911.xlsx</x:v>
      </x:c>
      <x:c r="I3866" s="73" t="str">
        <x:f>""</x:f>
      </x:c>
      <x:c r="J3866" s="74" t="str">
        <x:f>""</x:f>
      </x:c>
      <x:c r="K3866" s="73" t="str">
        <x:f>""</x:f>
      </x:c>
      <x:c r="L3866" s="74" t="str">
        <x:f>""</x:f>
      </x:c>
      <x:c r="M3866" s="73" t="n">
        <x:f>MAX(M3865,F3866)</x:f>
        <x:v>1.337</x:v>
      </x:c>
      <x:c r="N3866" s="74" t="n">
        <x:f>1-F3866/M3866</x:f>
        <x:v>0</x:v>
      </x:c>
    </x:row>
    <x:row r="3867" ht="27" customHeight="1">
      <x:c r="A3867" s="66" t="str">
        <x:v>SNH457</x:v>
      </x:c>
      <x:c r="B3867" s="66" t="str">
        <x:v>量客投资金选套利1号</x:v>
      </x:c>
      <x:c r="C3867" s="72" t="n">
        <x:v>44827</x:v>
      </x:c>
      <x:c r="D3867" s="73" t="n">
        <x:v>1.1377</x:v>
      </x:c>
      <x:c r="E3867" s="73" t="n">
        <x:v>1.3175</x:v>
      </x:c>
      <x:c r="F3867" s="73" t="n">
        <x:v>1.3407</x:v>
      </x:c>
      <x:c r="G3867" s="74" t="n">
        <x:v>0.0027</x:v>
      </x:c>
      <x:c r="H3867" s="66" t="str">
        <x:v>量客投资金选套利1号净值20260911.xlsx</x:v>
      </x:c>
      <x:c r="I3867" s="73" t="str">
        <x:f>""</x:f>
      </x:c>
      <x:c r="J3867" s="74" t="str">
        <x:f>""</x:f>
      </x:c>
      <x:c r="K3867" s="73" t="str">
        <x:f>""</x:f>
      </x:c>
      <x:c r="L3867" s="74" t="str">
        <x:f>""</x:f>
      </x:c>
      <x:c r="M3867" s="73" t="n">
        <x:f>MAX(M3866,F3867)</x:f>
        <x:v>1.3407</x:v>
      </x:c>
      <x:c r="N3867" s="74" t="n">
        <x:f>1-F3867/M3867</x:f>
        <x:v>0</x:v>
      </x:c>
    </x:row>
    <x:row r="3868" ht="27" customHeight="1">
      <x:c r="A3868" s="66" t="str">
        <x:v>SNH457</x:v>
      </x:c>
      <x:c r="B3868" s="66" t="str">
        <x:v>量客投资金选套利1号</x:v>
      </x:c>
      <x:c r="C3868" s="72" t="n">
        <x:v>44834</x:v>
      </x:c>
      <x:c r="D3868" s="73" t="n">
        <x:v>1.143</x:v>
      </x:c>
      <x:c r="E3868" s="73" t="n">
        <x:v>1.3228</x:v>
      </x:c>
      <x:c r="F3868" s="73" t="n">
        <x:v>1.3469</x:v>
      </x:c>
      <x:c r="G3868" s="74" t="n">
        <x:v>0.004699999999999999</x:v>
      </x:c>
      <x:c r="H3868" s="66" t="str">
        <x:v>量客投资金选套利1号净值20260911.xlsx</x:v>
      </x:c>
      <x:c r="I3868" s="73" t="str">
        <x:f>""</x:f>
      </x:c>
      <x:c r="J3868" s="74" t="str">
        <x:f>""</x:f>
      </x:c>
      <x:c r="K3868" s="73" t="str">
        <x:f>""</x:f>
      </x:c>
      <x:c r="L3868" s="74" t="str">
        <x:f>""</x:f>
      </x:c>
      <x:c r="M3868" s="73" t="n">
        <x:f>MAX(M3867,F3868)</x:f>
        <x:v>1.3469</x:v>
      </x:c>
      <x:c r="N3868" s="74" t="n">
        <x:f>1-F3868/M3868</x:f>
        <x:v>0</x:v>
      </x:c>
    </x:row>
    <x:row r="3869" ht="27" customHeight="1">
      <x:c r="A3869" s="66" t="str">
        <x:v>SNH457</x:v>
      </x:c>
      <x:c r="B3869" s="66" t="str">
        <x:v>量客投资金选套利1号</x:v>
      </x:c>
      <x:c r="C3869" s="72" t="n">
        <x:v>44848</x:v>
      </x:c>
      <x:c r="D3869" s="73" t="n">
        <x:v>1.1504</x:v>
      </x:c>
      <x:c r="E3869" s="73" t="n">
        <x:v>1.3302</x:v>
      </x:c>
      <x:c r="F3869" s="73" t="n">
        <x:v>1.3556</x:v>
      </x:c>
      <x:c r="G3869" s="74" t="n">
        <x:v>0.006500000000000001</x:v>
      </x:c>
      <x:c r="H3869" s="66" t="str">
        <x:v>量客投资金选套利1号净值20260911.xlsx</x:v>
      </x:c>
      <x:c r="I3869" s="73" t="str">
        <x:f>""</x:f>
      </x:c>
      <x:c r="J3869" s="74" t="str">
        <x:f>""</x:f>
      </x:c>
      <x:c r="K3869" s="73" t="str">
        <x:f>""</x:f>
      </x:c>
      <x:c r="L3869" s="74" t="str">
        <x:f>""</x:f>
      </x:c>
      <x:c r="M3869" s="73" t="n">
        <x:f>MAX(M3868,F3869)</x:f>
        <x:v>1.3556</x:v>
      </x:c>
      <x:c r="N3869" s="74" t="n">
        <x:f>1-F3869/M3869</x:f>
        <x:v>0</x:v>
      </x:c>
    </x:row>
    <x:row r="3870" ht="27" customHeight="1">
      <x:c r="A3870" s="66" t="str">
        <x:v>SNH457</x:v>
      </x:c>
      <x:c r="B3870" s="66" t="str">
        <x:v>量客投资金选套利1号</x:v>
      </x:c>
      <x:c r="C3870" s="72" t="n">
        <x:v>44855</x:v>
      </x:c>
      <x:c r="D3870" s="73" t="n">
        <x:v>1.159</x:v>
      </x:c>
      <x:c r="E3870" s="73" t="n">
        <x:v>1.3388</x:v>
      </x:c>
      <x:c r="F3870" s="73" t="n">
        <x:v>1.3658</x:v>
      </x:c>
      <x:c r="G3870" s="74" t="n">
        <x:v>0.0075</x:v>
      </x:c>
      <x:c r="H3870" s="66" t="str">
        <x:v>量客投资金选套利1号净值20260911.xlsx</x:v>
      </x:c>
      <x:c r="I3870" s="73" t="str">
        <x:f>""</x:f>
      </x:c>
      <x:c r="J3870" s="74" t="str">
        <x:f>""</x:f>
      </x:c>
      <x:c r="K3870" s="73" t="str">
        <x:f>""</x:f>
      </x:c>
      <x:c r="L3870" s="74" t="str">
        <x:f>""</x:f>
      </x:c>
      <x:c r="M3870" s="73" t="n">
        <x:f>MAX(M3869,F3870)</x:f>
        <x:v>1.3658</x:v>
      </x:c>
      <x:c r="N3870" s="74" t="n">
        <x:f>1-F3870/M3870</x:f>
        <x:v>0</x:v>
      </x:c>
    </x:row>
    <x:row r="3871" ht="27" customHeight="1">
      <x:c r="A3871" s="66" t="str">
        <x:v>SNH457</x:v>
      </x:c>
      <x:c r="B3871" s="66" t="str">
        <x:v>量客投资金选套利1号</x:v>
      </x:c>
      <x:c r="C3871" s="72" t="n">
        <x:v>44862</x:v>
      </x:c>
      <x:c r="D3871" s="73" t="n">
        <x:v>1.159</x:v>
      </x:c>
      <x:c r="E3871" s="73" t="n">
        <x:v>1.3388</x:v>
      </x:c>
      <x:c r="F3871" s="73" t="n">
        <x:v>1.3658</x:v>
      </x:c>
      <x:c r="G3871" s="74" t="n">
        <x:v>0</x:v>
      </x:c>
      <x:c r="H3871" s="66" t="str">
        <x:v>量客投资金选套利1号净值20260911.xlsx</x:v>
      </x:c>
      <x:c r="I3871" s="73" t="str">
        <x:f>""</x:f>
      </x:c>
      <x:c r="J3871" s="74" t="str">
        <x:f>""</x:f>
      </x:c>
      <x:c r="K3871" s="73" t="str">
        <x:f>""</x:f>
      </x:c>
      <x:c r="L3871" s="74" t="str">
        <x:f>""</x:f>
      </x:c>
      <x:c r="M3871" s="73" t="n">
        <x:f>MAX(M3870,F3871)</x:f>
        <x:v>1.3658</x:v>
      </x:c>
      <x:c r="N3871" s="74" t="n">
        <x:f>1-F3871/M3871</x:f>
        <x:v>0</x:v>
      </x:c>
    </x:row>
    <x:row r="3872" ht="27" customHeight="1">
      <x:c r="A3872" s="66" t="str">
        <x:v>SNH457</x:v>
      </x:c>
      <x:c r="B3872" s="66" t="str">
        <x:v>量客投资金选套利1号</x:v>
      </x:c>
      <x:c r="C3872" s="72" t="n">
        <x:v>44869</x:v>
      </x:c>
      <x:c r="D3872" s="73" t="n">
        <x:v>1.1593</x:v>
      </x:c>
      <x:c r="E3872" s="73" t="n">
        <x:v>1.3391</x:v>
      </x:c>
      <x:c r="F3872" s="73" t="n">
        <x:v>1.3661</x:v>
      </x:c>
      <x:c r="G3872" s="74" t="n">
        <x:v>0.0003</x:v>
      </x:c>
      <x:c r="H3872" s="66" t="str">
        <x:v>量客投资金选套利1号净值20260911.xlsx</x:v>
      </x:c>
      <x:c r="I3872" s="73" t="str">
        <x:f>""</x:f>
      </x:c>
      <x:c r="J3872" s="74" t="str">
        <x:f>""</x:f>
      </x:c>
      <x:c r="K3872" s="73" t="str">
        <x:f>""</x:f>
      </x:c>
      <x:c r="L3872" s="74" t="str">
        <x:f>""</x:f>
      </x:c>
      <x:c r="M3872" s="73" t="n">
        <x:f>MAX(M3871,F3872)</x:f>
        <x:v>1.3661</x:v>
      </x:c>
      <x:c r="N3872" s="74" t="n">
        <x:f>1-F3872/M3872</x:f>
        <x:v>0</x:v>
      </x:c>
    </x:row>
    <x:row r="3873" ht="27" customHeight="1">
      <x:c r="A3873" s="66" t="str">
        <x:v>SNH457</x:v>
      </x:c>
      <x:c r="B3873" s="66" t="str">
        <x:v>量客投资金选套利1号</x:v>
      </x:c>
      <x:c r="C3873" s="72" t="n">
        <x:v>44876</x:v>
      </x:c>
      <x:c r="D3873" s="73" t="n">
        <x:v>1.1877</x:v>
      </x:c>
      <x:c r="E3873" s="73" t="n">
        <x:v>1.3675</x:v>
      </x:c>
      <x:c r="F3873" s="73" t="n">
        <x:v>1.3996</x:v>
      </x:c>
      <x:c r="G3873" s="74" t="n">
        <x:v>0.0245</x:v>
      </x:c>
      <x:c r="H3873" s="66" t="str">
        <x:v>量客投资金选套利1号净值20260911.xlsx</x:v>
      </x:c>
      <x:c r="I3873" s="73" t="str">
        <x:f>""</x:f>
      </x:c>
      <x:c r="J3873" s="74" t="str">
        <x:f>""</x:f>
      </x:c>
      <x:c r="K3873" s="73" t="str">
        <x:f>""</x:f>
      </x:c>
      <x:c r="L3873" s="74" t="str">
        <x:f>""</x:f>
      </x:c>
      <x:c r="M3873" s="73" t="n">
        <x:f>MAX(M3872,F3873)</x:f>
        <x:v>1.3996</x:v>
      </x:c>
      <x:c r="N3873" s="74" t="n">
        <x:f>1-F3873/M3873</x:f>
        <x:v>0</x:v>
      </x:c>
    </x:row>
    <x:row r="3874" ht="27" customHeight="1">
      <x:c r="A3874" s="66" t="str">
        <x:v>SNH457</x:v>
      </x:c>
      <x:c r="B3874" s="66" t="str">
        <x:v>量客投资金选套利1号</x:v>
      </x:c>
      <x:c r="C3874" s="72" t="n">
        <x:v>44883</x:v>
      </x:c>
      <x:c r="D3874" s="73" t="n">
        <x:v>1.1956</x:v>
      </x:c>
      <x:c r="E3874" s="73" t="n">
        <x:v>1.3754</x:v>
      </x:c>
      <x:c r="F3874" s="73" t="n">
        <x:v>1.4089</x:v>
      </x:c>
      <x:c r="G3874" s="74" t="n">
        <x:v>0.0067</x:v>
      </x:c>
      <x:c r="H3874" s="66" t="str">
        <x:v>量客投资金选套利1号净值20260911.xlsx</x:v>
      </x:c>
      <x:c r="I3874" s="73" t="str">
        <x:f>""</x:f>
      </x:c>
      <x:c r="J3874" s="74" t="str">
        <x:f>""</x:f>
      </x:c>
      <x:c r="K3874" s="73" t="str">
        <x:f>""</x:f>
      </x:c>
      <x:c r="L3874" s="74" t="str">
        <x:f>""</x:f>
      </x:c>
      <x:c r="M3874" s="73" t="n">
        <x:f>MAX(M3873,F3874)</x:f>
        <x:v>1.4089</x:v>
      </x:c>
      <x:c r="N3874" s="74" t="n">
        <x:f>1-F3874/M3874</x:f>
        <x:v>0</x:v>
      </x:c>
    </x:row>
    <x:row r="3875" ht="27" customHeight="1">
      <x:c r="A3875" s="66" t="str">
        <x:v>SNH457</x:v>
      </x:c>
      <x:c r="B3875" s="66" t="str">
        <x:v>量客投资金选套利1号</x:v>
      </x:c>
      <x:c r="C3875" s="72" t="n">
        <x:v>44890</x:v>
      </x:c>
      <x:c r="D3875" s="73" t="n">
        <x:v>1.2</x:v>
      </x:c>
      <x:c r="E3875" s="73" t="n">
        <x:v>1.3798</x:v>
      </x:c>
      <x:c r="F3875" s="73" t="n">
        <x:v>1.4141</x:v>
      </x:c>
      <x:c r="G3875" s="74" t="n">
        <x:v>0.0037</x:v>
      </x:c>
      <x:c r="H3875" s="66" t="str">
        <x:v>量客投资金选套利1号净值20260911.xlsx</x:v>
      </x:c>
      <x:c r="I3875" s="73" t="str">
        <x:f>""</x:f>
      </x:c>
      <x:c r="J3875" s="74" t="str">
        <x:f>""</x:f>
      </x:c>
      <x:c r="K3875" s="73" t="str">
        <x:f>""</x:f>
      </x:c>
      <x:c r="L3875" s="74" t="str">
        <x:f>""</x:f>
      </x:c>
      <x:c r="M3875" s="73" t="n">
        <x:f>MAX(M3874,F3875)</x:f>
        <x:v>1.4141</x:v>
      </x:c>
      <x:c r="N3875" s="74" t="n">
        <x:f>1-F3875/M3875</x:f>
        <x:v>0</x:v>
      </x:c>
    </x:row>
    <x:row r="3876" ht="27" customHeight="1">
      <x:c r="A3876" s="66" t="str">
        <x:v>SNH457</x:v>
      </x:c>
      <x:c r="B3876" s="66" t="str">
        <x:v>量客投资金选套利1号</x:v>
      </x:c>
      <x:c r="C3876" s="72" t="n">
        <x:v>44897</x:v>
      </x:c>
      <x:c r="D3876" s="73" t="n">
        <x:v>1.2018</x:v>
      </x:c>
      <x:c r="E3876" s="73" t="n">
        <x:v>1.3816</x:v>
      </x:c>
      <x:c r="F3876" s="73" t="n">
        <x:v>1.4162</x:v>
      </x:c>
      <x:c r="G3876" s="74" t="n">
        <x:v>0.0015</x:v>
      </x:c>
      <x:c r="H3876" s="66" t="str">
        <x:v>量客投资金选套利1号净值20260911.xlsx</x:v>
      </x:c>
      <x:c r="I3876" s="73" t="str">
        <x:f>""</x:f>
      </x:c>
      <x:c r="J3876" s="74" t="str">
        <x:f>""</x:f>
      </x:c>
      <x:c r="K3876" s="73" t="str">
        <x:f>""</x:f>
      </x:c>
      <x:c r="L3876" s="74" t="str">
        <x:f>""</x:f>
      </x:c>
      <x:c r="M3876" s="73" t="n">
        <x:f>MAX(M3875,F3876)</x:f>
        <x:v>1.4162</x:v>
      </x:c>
      <x:c r="N3876" s="74" t="n">
        <x:f>1-F3876/M3876</x:f>
        <x:v>0</x:v>
      </x:c>
    </x:row>
    <x:row r="3877" ht="27" customHeight="1">
      <x:c r="A3877" s="66" t="str">
        <x:v>SNH457</x:v>
      </x:c>
      <x:c r="B3877" s="66" t="str">
        <x:v>量客投资金选套利1号</x:v>
      </x:c>
      <x:c r="C3877" s="72" t="n">
        <x:v>44904</x:v>
      </x:c>
      <x:c r="D3877" s="73" t="n">
        <x:v>1.2173</x:v>
      </x:c>
      <x:c r="E3877" s="73" t="n">
        <x:v>1.3971</x:v>
      </x:c>
      <x:c r="F3877" s="73" t="n">
        <x:v>1.4345</x:v>
      </x:c>
      <x:c r="G3877" s="74" t="n">
        <x:v>0.0129</x:v>
      </x:c>
      <x:c r="H3877" s="66" t="str">
        <x:v>量客投资金选套利1号净值20260911.xlsx</x:v>
      </x:c>
      <x:c r="I3877" s="73" t="str">
        <x:f>""</x:f>
      </x:c>
      <x:c r="J3877" s="74" t="str">
        <x:f>""</x:f>
      </x:c>
      <x:c r="K3877" s="73" t="str">
        <x:f>""</x:f>
      </x:c>
      <x:c r="L3877" s="74" t="str">
        <x:f>""</x:f>
      </x:c>
      <x:c r="M3877" s="73" t="n">
        <x:f>MAX(M3876,F3877)</x:f>
        <x:v>1.4345</x:v>
      </x:c>
      <x:c r="N3877" s="74" t="n">
        <x:f>1-F3877/M3877</x:f>
        <x:v>0</x:v>
      </x:c>
    </x:row>
    <x:row r="3878" ht="27" customHeight="1">
      <x:c r="A3878" s="66" t="str">
        <x:v>SNH457</x:v>
      </x:c>
      <x:c r="B3878" s="66" t="str">
        <x:v>量客投资金选套利1号</x:v>
      </x:c>
      <x:c r="C3878" s="72" t="n">
        <x:v>44911</x:v>
      </x:c>
      <x:c r="D3878" s="73" t="n">
        <x:v>1.2199</x:v>
      </x:c>
      <x:c r="E3878" s="73" t="n">
        <x:v>1.3997</x:v>
      </x:c>
      <x:c r="F3878" s="73" t="n">
        <x:v>1.4375</x:v>
      </x:c>
      <x:c r="G3878" s="74" t="n">
        <x:v>0.0021</x:v>
      </x:c>
      <x:c r="H3878" s="66" t="str">
        <x:v>量客投资金选套利1号净值20260911.xlsx</x:v>
      </x:c>
      <x:c r="I3878" s="73" t="str">
        <x:f>""</x:f>
      </x:c>
      <x:c r="J3878" s="74" t="str">
        <x:f>""</x:f>
      </x:c>
      <x:c r="K3878" s="73" t="str">
        <x:f>""</x:f>
      </x:c>
      <x:c r="L3878" s="74" t="str">
        <x:f>""</x:f>
      </x:c>
      <x:c r="M3878" s="73" t="n">
        <x:f>MAX(M3877,F3878)</x:f>
        <x:v>1.4375</x:v>
      </x:c>
      <x:c r="N3878" s="74" t="n">
        <x:f>1-F3878/M3878</x:f>
        <x:v>0</x:v>
      </x:c>
    </x:row>
    <x:row r="3879" ht="27" customHeight="1">
      <x:c r="A3879" s="66" t="str">
        <x:v>SNH457</x:v>
      </x:c>
      <x:c r="B3879" s="66" t="str">
        <x:v>量客投资金选套利1号</x:v>
      </x:c>
      <x:c r="C3879" s="72" t="n">
        <x:v>44918</x:v>
      </x:c>
      <x:c r="D3879" s="73" t="n">
        <x:v>1.2216</x:v>
      </x:c>
      <x:c r="E3879" s="73" t="n">
        <x:v>1.4014</x:v>
      </x:c>
      <x:c r="F3879" s="73" t="n">
        <x:v>1.4395</x:v>
      </x:c>
      <x:c r="G3879" s="74" t="n">
        <x:v>0.0014000000000000002</x:v>
      </x:c>
      <x:c r="H3879" s="66" t="str">
        <x:v>量客投资金选套利1号净值20260911.xlsx</x:v>
      </x:c>
      <x:c r="I3879" s="73" t="str">
        <x:f>""</x:f>
      </x:c>
      <x:c r="J3879" s="74" t="str">
        <x:f>""</x:f>
      </x:c>
      <x:c r="K3879" s="73" t="str">
        <x:f>""</x:f>
      </x:c>
      <x:c r="L3879" s="74" t="str">
        <x:f>""</x:f>
      </x:c>
      <x:c r="M3879" s="73" t="n">
        <x:f>MAX(M3878,F3879)</x:f>
        <x:v>1.4395</x:v>
      </x:c>
      <x:c r="N3879" s="74" t="n">
        <x:f>1-F3879/M3879</x:f>
        <x:v>0</x:v>
      </x:c>
    </x:row>
    <x:row r="3880" ht="27" customHeight="1">
      <x:c r="A3880" s="66" t="str">
        <x:v>SNH457</x:v>
      </x:c>
      <x:c r="B3880" s="66" t="str">
        <x:v>量客投资金选套利1号</x:v>
      </x:c>
      <x:c r="C3880" s="72" t="n">
        <x:v>44925</x:v>
      </x:c>
      <x:c r="D3880" s="73" t="n">
        <x:v>1.221</x:v>
      </x:c>
      <x:c r="E3880" s="73" t="n">
        <x:v>1.4008</x:v>
      </x:c>
      <x:c r="F3880" s="73" t="n">
        <x:v>1.4388</x:v>
      </x:c>
      <x:c r="G3880" s="74" t="n">
        <x:v>-0.0005</x:v>
      </x:c>
      <x:c r="H3880" s="66" t="str">
        <x:v>量客投资金选套利1号净值20260911.xlsx</x:v>
      </x:c>
      <x:c r="I3880" s="73" t="str">
        <x:f>""</x:f>
      </x:c>
      <x:c r="J3880" s="74" t="str">
        <x:f>""</x:f>
      </x:c>
      <x:c r="K3880" s="73" t="str">
        <x:f>""</x:f>
      </x:c>
      <x:c r="L3880" s="74" t="str">
        <x:f>""</x:f>
      </x:c>
      <x:c r="M3880" s="73" t="n">
        <x:f>MAX(M3879,F3880)</x:f>
        <x:v>1.4395</x:v>
      </x:c>
      <x:c r="N3880" s="74" t="n">
        <x:f>1-F3880/M3880</x:f>
        <x:v>0.00048627995831884707</x:v>
      </x:c>
    </x:row>
    <x:row r="3881" ht="27" customHeight="1">
      <x:c r="A3881" s="66" t="str">
        <x:v>SNH457</x:v>
      </x:c>
      <x:c r="B3881" s="66" t="str">
        <x:v>量客投资金选套利1号</x:v>
      </x:c>
      <x:c r="C3881" s="72" t="n">
        <x:v>44932</x:v>
      </x:c>
      <x:c r="D3881" s="73" t="n">
        <x:v>1.2202</x:v>
      </x:c>
      <x:c r="E3881" s="73" t="n">
        <x:v>1.4</x:v>
      </x:c>
      <x:c r="F3881" s="73" t="n">
        <x:v>1.4379</x:v>
      </x:c>
      <x:c r="G3881" s="74" t="n">
        <x:v>-0.0007000000000000001</x:v>
      </x:c>
      <x:c r="H3881" s="66" t="str">
        <x:v>量客投资金选套利1号净值20260911.xlsx</x:v>
      </x:c>
      <x:c r="I3881" s="73" t="str">
        <x:f>""</x:f>
      </x:c>
      <x:c r="J3881" s="74" t="str">
        <x:f>""</x:f>
      </x:c>
      <x:c r="K3881" s="73" t="str">
        <x:f>""</x:f>
      </x:c>
      <x:c r="L3881" s="74" t="str">
        <x:f>""</x:f>
      </x:c>
      <x:c r="M3881" s="73" t="n">
        <x:f>MAX(M3880,F3881)</x:f>
        <x:v>1.4395</x:v>
      </x:c>
      <x:c r="N3881" s="74" t="n">
        <x:f>1-F3881/M3881</x:f>
        <x:v>0.001111497047585952</x:v>
      </x:c>
    </x:row>
    <x:row r="3882" ht="27" customHeight="1">
      <x:c r="A3882" s="66" t="str">
        <x:v>SNH457</x:v>
      </x:c>
      <x:c r="B3882" s="66" t="str">
        <x:v>量客投资金选套利1号</x:v>
      </x:c>
      <x:c r="C3882" s="72" t="n">
        <x:v>44939</x:v>
      </x:c>
      <x:c r="D3882" s="73" t="n">
        <x:v>1.2267</x:v>
      </x:c>
      <x:c r="E3882" s="73" t="n">
        <x:v>1.4065</x:v>
      </x:c>
      <x:c r="F3882" s="73" t="n">
        <x:v>1.4455</x:v>
      </x:c>
      <x:c r="G3882" s="74" t="n">
        <x:v>0.0053</x:v>
      </x:c>
      <x:c r="H3882" s="66" t="str">
        <x:v>量客投资金选套利1号净值20260911.xlsx</x:v>
      </x:c>
      <x:c r="I3882" s="73" t="str">
        <x:f>""</x:f>
      </x:c>
      <x:c r="J3882" s="74" t="str">
        <x:f>""</x:f>
      </x:c>
      <x:c r="K3882" s="73" t="str">
        <x:f>""</x:f>
      </x:c>
      <x:c r="L3882" s="74" t="str">
        <x:f>""</x:f>
      </x:c>
      <x:c r="M3882" s="73" t="n">
        <x:f>MAX(M3881,F3882)</x:f>
        <x:v>1.4455</x:v>
      </x:c>
      <x:c r="N3882" s="74" t="n">
        <x:f>1-F3882/M3882</x:f>
        <x:v>0</x:v>
      </x:c>
    </x:row>
    <x:row r="3883" ht="27" customHeight="1">
      <x:c r="A3883" s="66" t="str">
        <x:v>SNH457</x:v>
      </x:c>
      <x:c r="B3883" s="66" t="str">
        <x:v>量客投资金选套利1号</x:v>
      </x:c>
      <x:c r="C3883" s="72" t="n">
        <x:v>44946</x:v>
      </x:c>
      <x:c r="D3883" s="73" t="n">
        <x:v>1.2313</x:v>
      </x:c>
      <x:c r="E3883" s="73" t="n">
        <x:v>1.4111</x:v>
      </x:c>
      <x:c r="F3883" s="73" t="n">
        <x:v>1.451</x:v>
      </x:c>
      <x:c r="G3883" s="74" t="n">
        <x:v>0.0037</x:v>
      </x:c>
      <x:c r="H3883" s="66" t="str">
        <x:v>量客投资金选套利1号净值20260911.xlsx</x:v>
      </x:c>
      <x:c r="I3883" s="73" t="str">
        <x:f>""</x:f>
      </x:c>
      <x:c r="J3883" s="74" t="str">
        <x:f>""</x:f>
      </x:c>
      <x:c r="K3883" s="73" t="str">
        <x:f>""</x:f>
      </x:c>
      <x:c r="L3883" s="74" t="str">
        <x:f>""</x:f>
      </x:c>
      <x:c r="M3883" s="73" t="n">
        <x:f>MAX(M3882,F3883)</x:f>
        <x:v>1.451</x:v>
      </x:c>
      <x:c r="N3883" s="74" t="n">
        <x:f>1-F3883/M3883</x:f>
        <x:v>0</x:v>
      </x:c>
    </x:row>
    <x:row r="3884" ht="27" customHeight="1">
      <x:c r="A3884" s="66" t="str">
        <x:v>SNH457</x:v>
      </x:c>
      <x:c r="B3884" s="66" t="str">
        <x:v>量客投资金选套利1号</x:v>
      </x:c>
      <x:c r="C3884" s="72" t="n">
        <x:v>44960</x:v>
      </x:c>
      <x:c r="D3884" s="73" t="n">
        <x:v>1.2413</x:v>
      </x:c>
      <x:c r="E3884" s="73" t="n">
        <x:v>1.4211</x:v>
      </x:c>
      <x:c r="F3884" s="73" t="n">
        <x:v>1.4627</x:v>
      </x:c>
      <x:c r="G3884" s="74" t="n">
        <x:v>0.008100000000000001</x:v>
      </x:c>
      <x:c r="H3884" s="66" t="str">
        <x:v>量客投资金选套利1号净值20260911.xlsx</x:v>
      </x:c>
      <x:c r="I3884" s="73" t="str">
        <x:f>""</x:f>
      </x:c>
      <x:c r="J3884" s="74" t="str">
        <x:f>""</x:f>
      </x:c>
      <x:c r="K3884" s="73" t="str">
        <x:f>""</x:f>
      </x:c>
      <x:c r="L3884" s="74" t="str">
        <x:f>""</x:f>
      </x:c>
      <x:c r="M3884" s="73" t="n">
        <x:f>MAX(M3883,F3884)</x:f>
        <x:v>1.4627</x:v>
      </x:c>
      <x:c r="N3884" s="74" t="n">
        <x:f>1-F3884/M3884</x:f>
        <x:v>0</x:v>
      </x:c>
    </x:row>
    <x:row r="3885" ht="27" customHeight="1">
      <x:c r="A3885" s="66" t="str">
        <x:v>SNH457</x:v>
      </x:c>
      <x:c r="B3885" s="66" t="str">
        <x:v>量客投资金选套利1号</x:v>
      </x:c>
      <x:c r="C3885" s="72" t="n">
        <x:v>44967</x:v>
      </x:c>
      <x:c r="D3885" s="73" t="n">
        <x:v>1.2469</x:v>
      </x:c>
      <x:c r="E3885" s="73" t="n">
        <x:v>1.4267</x:v>
      </x:c>
      <x:c r="F3885" s="73" t="n">
        <x:v>1.4693</x:v>
      </x:c>
      <x:c r="G3885" s="74" t="n">
        <x:v>0.0045000000000000005</x:v>
      </x:c>
      <x:c r="H3885" s="66" t="str">
        <x:v>量客投资金选套利1号净值20260911.xlsx</x:v>
      </x:c>
      <x:c r="I3885" s="73" t="str">
        <x:f>""</x:f>
      </x:c>
      <x:c r="J3885" s="74" t="str">
        <x:f>""</x:f>
      </x:c>
      <x:c r="K3885" s="73" t="str">
        <x:f>""</x:f>
      </x:c>
      <x:c r="L3885" s="74" t="str">
        <x:f>""</x:f>
      </x:c>
      <x:c r="M3885" s="73" t="n">
        <x:f>MAX(M3884,F3885)</x:f>
        <x:v>1.4693</x:v>
      </x:c>
      <x:c r="N3885" s="74" t="n">
        <x:f>1-F3885/M3885</x:f>
        <x:v>0</x:v>
      </x:c>
    </x:row>
    <x:row r="3886" ht="27" customHeight="1">
      <x:c r="A3886" s="66" t="str">
        <x:v>SNH457</x:v>
      </x:c>
      <x:c r="B3886" s="66" t="str">
        <x:v>量客投资金选套利1号</x:v>
      </x:c>
      <x:c r="C3886" s="72" t="n">
        <x:v>44974</x:v>
      </x:c>
      <x:c r="D3886" s="73" t="n">
        <x:v>1.2496</x:v>
      </x:c>
      <x:c r="E3886" s="73" t="n">
        <x:v>1.4294</x:v>
      </x:c>
      <x:c r="F3886" s="73" t="n">
        <x:v>1.4725</x:v>
      </x:c>
      <x:c r="G3886" s="74" t="n">
        <x:v>0.0022</x:v>
      </x:c>
      <x:c r="H3886" s="66" t="str">
        <x:v>量客投资金选套利1号净值20260911.xlsx</x:v>
      </x:c>
      <x:c r="I3886" s="73" t="str">
        <x:f>""</x:f>
      </x:c>
      <x:c r="J3886" s="74" t="str">
        <x:f>""</x:f>
      </x:c>
      <x:c r="K3886" s="73" t="str">
        <x:f>""</x:f>
      </x:c>
      <x:c r="L3886" s="74" t="str">
        <x:f>""</x:f>
      </x:c>
      <x:c r="M3886" s="73" t="n">
        <x:f>MAX(M3885,F3886)</x:f>
        <x:v>1.4725</x:v>
      </x:c>
      <x:c r="N3886" s="74" t="n">
        <x:f>1-F3886/M3886</x:f>
        <x:v>0</x:v>
      </x:c>
    </x:row>
    <x:row r="3887" ht="27" customHeight="1">
      <x:c r="A3887" s="66" t="str">
        <x:v>SNH457</x:v>
      </x:c>
      <x:c r="B3887" s="66" t="str">
        <x:v>量客投资金选套利1号</x:v>
      </x:c>
      <x:c r="C3887" s="72" t="n">
        <x:v>44981</x:v>
      </x:c>
      <x:c r="D3887" s="73" t="n">
        <x:v>1.2558</x:v>
      </x:c>
      <x:c r="E3887" s="73" t="n">
        <x:v>1.4356</x:v>
      </x:c>
      <x:c r="F3887" s="73" t="n">
        <x:v>1.4798</x:v>
      </x:c>
      <x:c r="G3887" s="74" t="n">
        <x:v>0.005</x:v>
      </x:c>
      <x:c r="H3887" s="66" t="str">
        <x:v>量客投资金选套利1号净值20260911.xlsx</x:v>
      </x:c>
      <x:c r="I3887" s="73" t="str">
        <x:f>""</x:f>
      </x:c>
      <x:c r="J3887" s="74" t="str">
        <x:f>""</x:f>
      </x:c>
      <x:c r="K3887" s="73" t="str">
        <x:f>""</x:f>
      </x:c>
      <x:c r="L3887" s="74" t="str">
        <x:f>""</x:f>
      </x:c>
      <x:c r="M3887" s="73" t="n">
        <x:f>MAX(M3886,F3887)</x:f>
        <x:v>1.4798</x:v>
      </x:c>
      <x:c r="N3887" s="74" t="n">
        <x:f>1-F3887/M3887</x:f>
        <x:v>0</x:v>
      </x:c>
    </x:row>
    <x:row r="3888" ht="27" customHeight="1">
      <x:c r="A3888" s="66" t="str">
        <x:v>SNH457</x:v>
      </x:c>
      <x:c r="B3888" s="66" t="str">
        <x:v>量客投资金选套利1号</x:v>
      </x:c>
      <x:c r="C3888" s="72" t="n">
        <x:v>44988</x:v>
      </x:c>
      <x:c r="D3888" s="73" t="n">
        <x:v>1.2598</x:v>
      </x:c>
      <x:c r="E3888" s="73" t="n">
        <x:v>1.4396</x:v>
      </x:c>
      <x:c r="F3888" s="73" t="n">
        <x:v>1.4845</x:v>
      </x:c>
      <x:c r="G3888" s="74" t="n">
        <x:v>0.0032</x:v>
      </x:c>
      <x:c r="H3888" s="66" t="str">
        <x:v>量客投资金选套利1号净值20260911.xlsx</x:v>
      </x:c>
      <x:c r="I3888" s="73" t="str">
        <x:f>""</x:f>
      </x:c>
      <x:c r="J3888" s="74" t="str">
        <x:f>""</x:f>
      </x:c>
      <x:c r="K3888" s="73" t="str">
        <x:f>""</x:f>
      </x:c>
      <x:c r="L3888" s="74" t="str">
        <x:f>""</x:f>
      </x:c>
      <x:c r="M3888" s="73" t="n">
        <x:f>MAX(M3887,F3888)</x:f>
        <x:v>1.4845</x:v>
      </x:c>
      <x:c r="N3888" s="74" t="n">
        <x:f>1-F3888/M3888</x:f>
        <x:v>0</x:v>
      </x:c>
    </x:row>
    <x:row r="3889" ht="27" customHeight="1">
      <x:c r="A3889" s="66" t="str">
        <x:v>SNH457</x:v>
      </x:c>
      <x:c r="B3889" s="66" t="str">
        <x:v>量客投资金选套利1号</x:v>
      </x:c>
      <x:c r="C3889" s="72" t="n">
        <x:v>44995</x:v>
      </x:c>
      <x:c r="D3889" s="73" t="n">
        <x:v>1.2624</x:v>
      </x:c>
      <x:c r="E3889" s="73" t="n">
        <x:v>1.4422</x:v>
      </x:c>
      <x:c r="F3889" s="73" t="n">
        <x:v>1.4876</x:v>
      </x:c>
      <x:c r="G3889" s="74" t="n">
        <x:v>0.0021</x:v>
      </x:c>
      <x:c r="H3889" s="66" t="str">
        <x:v>量客投资金选套利1号净值20260911.xlsx</x:v>
      </x:c>
      <x:c r="I3889" s="73" t="str">
        <x:f>""</x:f>
      </x:c>
      <x:c r="J3889" s="74" t="str">
        <x:f>""</x:f>
      </x:c>
      <x:c r="K3889" s="73" t="str">
        <x:f>""</x:f>
      </x:c>
      <x:c r="L3889" s="74" t="str">
        <x:f>""</x:f>
      </x:c>
      <x:c r="M3889" s="73" t="n">
        <x:f>MAX(M3888,F3889)</x:f>
        <x:v>1.4876</x:v>
      </x:c>
      <x:c r="N3889" s="74" t="n">
        <x:f>1-F3889/M3889</x:f>
        <x:v>0</x:v>
      </x:c>
    </x:row>
    <x:row r="3890" ht="27" customHeight="1">
      <x:c r="A3890" s="66" t="str">
        <x:v>SNH457</x:v>
      </x:c>
      <x:c r="B3890" s="66" t="str">
        <x:v>量客投资金选套利1号</x:v>
      </x:c>
      <x:c r="C3890" s="72" t="n">
        <x:v>45002</x:v>
      </x:c>
      <x:c r="D3890" s="73" t="n">
        <x:v>1.2692</x:v>
      </x:c>
      <x:c r="E3890" s="73" t="n">
        <x:v>1.449</x:v>
      </x:c>
      <x:c r="F3890" s="73" t="n">
        <x:v>1.4956</x:v>
      </x:c>
      <x:c r="G3890" s="74" t="n">
        <x:v>0.0054</x:v>
      </x:c>
      <x:c r="H3890" s="66" t="str">
        <x:v>量客投资金选套利1号净值20260911.xlsx</x:v>
      </x:c>
      <x:c r="I3890" s="73" t="str">
        <x:f>""</x:f>
      </x:c>
      <x:c r="J3890" s="74" t="str">
        <x:f>""</x:f>
      </x:c>
      <x:c r="K3890" s="73" t="str">
        <x:f>""</x:f>
      </x:c>
      <x:c r="L3890" s="74" t="str">
        <x:f>""</x:f>
      </x:c>
      <x:c r="M3890" s="73" t="n">
        <x:f>MAX(M3889,F3890)</x:f>
        <x:v>1.4956</x:v>
      </x:c>
      <x:c r="N3890" s="74" t="n">
        <x:f>1-F3890/M3890</x:f>
        <x:v>0</x:v>
      </x:c>
    </x:row>
    <x:row r="3891" ht="27" customHeight="1">
      <x:c r="A3891" s="66" t="str">
        <x:v>SNH457</x:v>
      </x:c>
      <x:c r="B3891" s="66" t="str">
        <x:v>量客投资金选套利1号</x:v>
      </x:c>
      <x:c r="C3891" s="72" t="n">
        <x:v>45009</x:v>
      </x:c>
      <x:c r="D3891" s="73" t="n">
        <x:v>1.2712</x:v>
      </x:c>
      <x:c r="E3891" s="73" t="n">
        <x:v>1.451</x:v>
      </x:c>
      <x:c r="F3891" s="73" t="n">
        <x:v>1.498</x:v>
      </x:c>
      <x:c r="G3891" s="74" t="n">
        <x:v>0.0016</x:v>
      </x:c>
      <x:c r="H3891" s="66" t="str">
        <x:v>量客投资金选套利1号净值20260911.xlsx</x:v>
      </x:c>
      <x:c r="I3891" s="73" t="str">
        <x:f>""</x:f>
      </x:c>
      <x:c r="J3891" s="74" t="str">
        <x:f>""</x:f>
      </x:c>
      <x:c r="K3891" s="73" t="str">
        <x:f>""</x:f>
      </x:c>
      <x:c r="L3891" s="74" t="str">
        <x:f>""</x:f>
      </x:c>
      <x:c r="M3891" s="73" t="n">
        <x:f>MAX(M3890,F3891)</x:f>
        <x:v>1.498</x:v>
      </x:c>
      <x:c r="N3891" s="74" t="n">
        <x:f>1-F3891/M3891</x:f>
        <x:v>0</x:v>
      </x:c>
    </x:row>
    <x:row r="3892" ht="27" customHeight="1">
      <x:c r="A3892" s="66" t="str">
        <x:v>SNH457</x:v>
      </x:c>
      <x:c r="B3892" s="66" t="str">
        <x:v>量客投资金选套利1号</x:v>
      </x:c>
      <x:c r="C3892" s="72" t="n">
        <x:v>45016</x:v>
      </x:c>
      <x:c r="D3892" s="73" t="n">
        <x:v>1.2718</x:v>
      </x:c>
      <x:c r="E3892" s="73" t="n">
        <x:v>1.4516</x:v>
      </x:c>
      <x:c r="F3892" s="73" t="n">
        <x:v>1.4987</x:v>
      </x:c>
      <x:c r="G3892" s="74" t="n">
        <x:v>0.0005</x:v>
      </x:c>
      <x:c r="H3892" s="66" t="str">
        <x:v>量客投资金选套利1号净值20260911.xlsx</x:v>
      </x:c>
      <x:c r="I3892" s="73" t="str">
        <x:f>""</x:f>
      </x:c>
      <x:c r="J3892" s="74" t="str">
        <x:f>""</x:f>
      </x:c>
      <x:c r="K3892" s="73" t="str">
        <x:f>""</x:f>
      </x:c>
      <x:c r="L3892" s="74" t="str">
        <x:f>""</x:f>
      </x:c>
      <x:c r="M3892" s="73" t="n">
        <x:f>MAX(M3891,F3892)</x:f>
        <x:v>1.4987</x:v>
      </x:c>
      <x:c r="N3892" s="74" t="n">
        <x:f>1-F3892/M3892</x:f>
        <x:v>0</x:v>
      </x:c>
    </x:row>
    <x:row r="3893" ht="27" customHeight="1">
      <x:c r="A3893" s="66" t="str">
        <x:v>SNH457</x:v>
      </x:c>
      <x:c r="B3893" s="66" t="str">
        <x:v>量客投资金选套利1号</x:v>
      </x:c>
      <x:c r="C3893" s="72" t="n">
        <x:v>45023</x:v>
      </x:c>
      <x:c r="D3893" s="73" t="n">
        <x:v>1.271</x:v>
      </x:c>
      <x:c r="E3893" s="73" t="n">
        <x:v>1.4508</x:v>
      </x:c>
      <x:c r="F3893" s="73" t="n">
        <x:v>1.4977</x:v>
      </x:c>
      <x:c r="G3893" s="74" t="n">
        <x:v>-0.0006</x:v>
      </x:c>
      <x:c r="H3893" s="66" t="str">
        <x:v>量客投资金选套利1号净值20260911.xlsx</x:v>
      </x:c>
      <x:c r="I3893" s="73" t="str">
        <x:f>""</x:f>
      </x:c>
      <x:c r="J3893" s="74" t="str">
        <x:f>""</x:f>
      </x:c>
      <x:c r="K3893" s="73" t="str">
        <x:f>""</x:f>
      </x:c>
      <x:c r="L3893" s="74" t="str">
        <x:f>""</x:f>
      </x:c>
      <x:c r="M3893" s="73" t="n">
        <x:f>MAX(M3892,F3893)</x:f>
        <x:v>1.4987</x:v>
      </x:c>
      <x:c r="N3893" s="74" t="n">
        <x:f>1-F3893/M3893</x:f>
        <x:v>0.0006672449456194274</x:v>
      </x:c>
    </x:row>
    <x:row r="3894" ht="27" customHeight="1">
      <x:c r="A3894" s="66" t="str">
        <x:v>SNH457</x:v>
      </x:c>
      <x:c r="B3894" s="66" t="str">
        <x:v>量客投资金选套利1号</x:v>
      </x:c>
      <x:c r="C3894" s="72" t="n">
        <x:v>45030</x:v>
      </x:c>
      <x:c r="D3894" s="73" t="n">
        <x:v>1.2754</x:v>
      </x:c>
      <x:c r="E3894" s="73" t="n">
        <x:v>1.4552</x:v>
      </x:c>
      <x:c r="F3894" s="73" t="n">
        <x:v>1.5029</x:v>
      </x:c>
      <x:c r="G3894" s="74" t="n">
        <x:v>0.0034999999999999996</x:v>
      </x:c>
      <x:c r="H3894" s="66" t="str">
        <x:v>量客投资金选套利1号净值20260911.xlsx</x:v>
      </x:c>
      <x:c r="I3894" s="73" t="str">
        <x:f>""</x:f>
      </x:c>
      <x:c r="J3894" s="74" t="str">
        <x:f>""</x:f>
      </x:c>
      <x:c r="K3894" s="73" t="str">
        <x:f>""</x:f>
      </x:c>
      <x:c r="L3894" s="74" t="str">
        <x:f>""</x:f>
      </x:c>
      <x:c r="M3894" s="73" t="n">
        <x:f>MAX(M3893,F3894)</x:f>
        <x:v>1.5029</x:v>
      </x:c>
      <x:c r="N3894" s="74" t="n">
        <x:f>1-F3894/M3894</x:f>
        <x:v>0</x:v>
      </x:c>
    </x:row>
    <x:row r="3895" ht="27" customHeight="1">
      <x:c r="A3895" s="66" t="str">
        <x:v>SNH457</x:v>
      </x:c>
      <x:c r="B3895" s="66" t="str">
        <x:v>量客投资金选套利1号</x:v>
      </x:c>
      <x:c r="C3895" s="72" t="n">
        <x:v>45037</x:v>
      </x:c>
      <x:c r="D3895" s="73" t="n">
        <x:v>1.2745</x:v>
      </x:c>
      <x:c r="E3895" s="73" t="n">
        <x:v>1.4543</x:v>
      </x:c>
      <x:c r="F3895" s="73" t="n">
        <x:v>1.5019</x:v>
      </x:c>
      <x:c r="G3895" s="74" t="n">
        <x:v>-0.0007000000000000001</x:v>
      </x:c>
      <x:c r="H3895" s="66" t="str">
        <x:v>量客投资金选套利1号净值20260911.xlsx</x:v>
      </x:c>
      <x:c r="I3895" s="73" t="str">
        <x:f>""</x:f>
      </x:c>
      <x:c r="J3895" s="74" t="str">
        <x:f>""</x:f>
      </x:c>
      <x:c r="K3895" s="73" t="str">
        <x:f>""</x:f>
      </x:c>
      <x:c r="L3895" s="74" t="str">
        <x:f>""</x:f>
      </x:c>
      <x:c r="M3895" s="73" t="n">
        <x:f>MAX(M3894,F3895)</x:f>
        <x:v>1.5029</x:v>
      </x:c>
      <x:c r="N3895" s="74" t="n">
        <x:f>1-F3895/M3895</x:f>
        <x:v>0.0006653802648213247</x:v>
      </x:c>
    </x:row>
    <x:row r="3896" ht="27" customHeight="1">
      <x:c r="A3896" s="66" t="str">
        <x:v>SNH457</x:v>
      </x:c>
      <x:c r="B3896" s="66" t="str">
        <x:v>量客投资金选套利1号</x:v>
      </x:c>
      <x:c r="C3896" s="72" t="n">
        <x:v>45044</x:v>
      </x:c>
      <x:c r="D3896" s="73" t="n">
        <x:v>1.2811</x:v>
      </x:c>
      <x:c r="E3896" s="73" t="n">
        <x:v>1.4609</x:v>
      </x:c>
      <x:c r="F3896" s="73" t="n">
        <x:v>1.5096</x:v>
      </x:c>
      <x:c r="G3896" s="74" t="n">
        <x:v>0.0052</x:v>
      </x:c>
      <x:c r="H3896" s="66" t="str">
        <x:v>量客投资金选套利1号净值20260911.xlsx</x:v>
      </x:c>
      <x:c r="I3896" s="73" t="str">
        <x:f>""</x:f>
      </x:c>
      <x:c r="J3896" s="74" t="str">
        <x:f>""</x:f>
      </x:c>
      <x:c r="K3896" s="73" t="str">
        <x:f>""</x:f>
      </x:c>
      <x:c r="L3896" s="74" t="str">
        <x:f>""</x:f>
      </x:c>
      <x:c r="M3896" s="73" t="n">
        <x:f>MAX(M3895,F3896)</x:f>
        <x:v>1.5096</x:v>
      </x:c>
      <x:c r="N3896" s="74" t="n">
        <x:f>1-F3896/M3896</x:f>
        <x:v>0</x:v>
      </x:c>
    </x:row>
    <x:row r="3897" ht="27" customHeight="1">
      <x:c r="A3897" s="66" t="str">
        <x:v>SNH457</x:v>
      </x:c>
      <x:c r="B3897" s="66" t="str">
        <x:v>量客投资金选套利1号</x:v>
      </x:c>
      <x:c r="C3897" s="72" t="n">
        <x:v>45051</x:v>
      </x:c>
      <x:c r="D3897" s="73" t="n">
        <x:v>1.2807</x:v>
      </x:c>
      <x:c r="E3897" s="73" t="n">
        <x:v>1.4605</x:v>
      </x:c>
      <x:c r="F3897" s="73" t="n">
        <x:v>1.5092</x:v>
      </x:c>
      <x:c r="G3897" s="74" t="n">
        <x:v>-0.0003</x:v>
      </x:c>
      <x:c r="H3897" s="66" t="str">
        <x:v>量客投资金选套利1号净值20260911.xlsx</x:v>
      </x:c>
      <x:c r="I3897" s="73" t="str">
        <x:f>""</x:f>
      </x:c>
      <x:c r="J3897" s="74" t="str">
        <x:f>""</x:f>
      </x:c>
      <x:c r="K3897" s="73" t="str">
        <x:f>""</x:f>
      </x:c>
      <x:c r="L3897" s="74" t="str">
        <x:f>""</x:f>
      </x:c>
      <x:c r="M3897" s="73" t="n">
        <x:f>MAX(M3896,F3897)</x:f>
        <x:v>1.5096</x:v>
      </x:c>
      <x:c r="N3897" s="74" t="n">
        <x:f>1-F3897/M3897</x:f>
        <x:v>0.00026497085320609237</x:v>
      </x:c>
    </x:row>
    <x:row r="3898" ht="27" customHeight="1">
      <x:c r="A3898" s="66" t="str">
        <x:v>SNH457</x:v>
      </x:c>
      <x:c r="B3898" s="66" t="str">
        <x:v>量客投资金选套利1号</x:v>
      </x:c>
      <x:c r="C3898" s="72" t="n">
        <x:v>45058</x:v>
      </x:c>
      <x:c r="D3898" s="73" t="n">
        <x:v>1.2831</x:v>
      </x:c>
      <x:c r="E3898" s="73" t="n">
        <x:v>1.4629</x:v>
      </x:c>
      <x:c r="F3898" s="73" t="n">
        <x:v>1.512</x:v>
      </x:c>
      <x:c r="G3898" s="74" t="n">
        <x:v>0.0019</x:v>
      </x:c>
      <x:c r="H3898" s="66" t="str">
        <x:v>量客投资金选套利1号净值20260911.xlsx</x:v>
      </x:c>
      <x:c r="I3898" s="73" t="str">
        <x:f>""</x:f>
      </x:c>
      <x:c r="J3898" s="74" t="str">
        <x:f>""</x:f>
      </x:c>
      <x:c r="K3898" s="73" t="str">
        <x:f>""</x:f>
      </x:c>
      <x:c r="L3898" s="74" t="str">
        <x:f>""</x:f>
      </x:c>
      <x:c r="M3898" s="73" t="n">
        <x:f>MAX(M3897,F3898)</x:f>
        <x:v>1.512</x:v>
      </x:c>
      <x:c r="N3898" s="74" t="n">
        <x:f>1-F3898/M3898</x:f>
        <x:v>0</x:v>
      </x:c>
    </x:row>
    <x:row r="3899" ht="27" customHeight="1">
      <x:c r="A3899" s="66" t="str">
        <x:v>SNH457</x:v>
      </x:c>
      <x:c r="B3899" s="66" t="str">
        <x:v>量客投资金选套利1号</x:v>
      </x:c>
      <x:c r="C3899" s="72" t="n">
        <x:v>45065</x:v>
      </x:c>
      <x:c r="D3899" s="73" t="n">
        <x:v>1.2857</x:v>
      </x:c>
      <x:c r="E3899" s="73" t="n">
        <x:v>1.4655</x:v>
      </x:c>
      <x:c r="F3899" s="73" t="n">
        <x:v>1.5151</x:v>
      </x:c>
      <x:c r="G3899" s="74" t="n">
        <x:v>0.002</x:v>
      </x:c>
      <x:c r="H3899" s="66" t="str">
        <x:v>量客投资金选套利1号净值20260911.xlsx</x:v>
      </x:c>
      <x:c r="I3899" s="73" t="str">
        <x:f>""</x:f>
      </x:c>
      <x:c r="J3899" s="74" t="str">
        <x:f>""</x:f>
      </x:c>
      <x:c r="K3899" s="73" t="str">
        <x:f>""</x:f>
      </x:c>
      <x:c r="L3899" s="74" t="str">
        <x:f>""</x:f>
      </x:c>
      <x:c r="M3899" s="73" t="n">
        <x:f>MAX(M3898,F3899)</x:f>
        <x:v>1.5151</x:v>
      </x:c>
      <x:c r="N3899" s="74" t="n">
        <x:f>1-F3899/M3899</x:f>
        <x:v>0</x:v>
      </x:c>
    </x:row>
    <x:row r="3900" ht="27" customHeight="1">
      <x:c r="A3900" s="66" t="str">
        <x:v>SNH457</x:v>
      </x:c>
      <x:c r="B3900" s="66" t="str">
        <x:v>量客投资金选套利1号</x:v>
      </x:c>
      <x:c r="C3900" s="72" t="n">
        <x:v>45072</x:v>
      </x:c>
      <x:c r="D3900" s="73" t="n">
        <x:v>1.2919</x:v>
      </x:c>
      <x:c r="E3900" s="73" t="n">
        <x:v>1.4717</x:v>
      </x:c>
      <x:c r="F3900" s="73" t="n">
        <x:v>1.5224</x:v>
      </x:c>
      <x:c r="G3900" s="74" t="n">
        <x:v>0.0048</x:v>
      </x:c>
      <x:c r="H3900" s="66" t="str">
        <x:v>量客投资金选套利1号净值20260911.xlsx</x:v>
      </x:c>
      <x:c r="I3900" s="73" t="str">
        <x:f>""</x:f>
      </x:c>
      <x:c r="J3900" s="74" t="str">
        <x:f>""</x:f>
      </x:c>
      <x:c r="K3900" s="73" t="str">
        <x:f>""</x:f>
      </x:c>
      <x:c r="L3900" s="74" t="str">
        <x:f>""</x:f>
      </x:c>
      <x:c r="M3900" s="73" t="n">
        <x:f>MAX(M3899,F3900)</x:f>
        <x:v>1.5224</x:v>
      </x:c>
      <x:c r="N3900" s="74" t="n">
        <x:f>1-F3900/M3900</x:f>
        <x:v>0</x:v>
      </x:c>
    </x:row>
    <x:row r="3901" ht="27" customHeight="1">
      <x:c r="A3901" s="66" t="str">
        <x:v>SNH457</x:v>
      </x:c>
      <x:c r="B3901" s="66" t="str">
        <x:v>量客投资金选套利1号</x:v>
      </x:c>
      <x:c r="C3901" s="72" t="n">
        <x:v>45079</x:v>
      </x:c>
      <x:c r="D3901" s="73" t="n">
        <x:v>1.2927</x:v>
      </x:c>
      <x:c r="E3901" s="73" t="n">
        <x:v>1.4725</x:v>
      </x:c>
      <x:c r="F3901" s="73" t="n">
        <x:v>1.5233</x:v>
      </x:c>
      <x:c r="G3901" s="74" t="n">
        <x:v>0.0006</x:v>
      </x:c>
      <x:c r="H3901" s="66" t="str">
        <x:v>量客投资金选套利1号净值20260911.xlsx</x:v>
      </x:c>
      <x:c r="I3901" s="73" t="str">
        <x:f>""</x:f>
      </x:c>
      <x:c r="J3901" s="74" t="str">
        <x:f>""</x:f>
      </x:c>
      <x:c r="K3901" s="73" t="str">
        <x:f>""</x:f>
      </x:c>
      <x:c r="L3901" s="74" t="str">
        <x:f>""</x:f>
      </x:c>
      <x:c r="M3901" s="73" t="n">
        <x:f>MAX(M3900,F3901)</x:f>
        <x:v>1.5233</x:v>
      </x:c>
      <x:c r="N3901" s="74" t="n">
        <x:f>1-F3901/M3901</x:f>
        <x:v>0</x:v>
      </x:c>
    </x:row>
    <x:row r="3902" ht="27" customHeight="1">
      <x:c r="A3902" s="66" t="str">
        <x:v>SNH457</x:v>
      </x:c>
      <x:c r="B3902" s="66" t="str">
        <x:v>量客投资金选套利1号</x:v>
      </x:c>
      <x:c r="C3902" s="72" t="n">
        <x:v>45086</x:v>
      </x:c>
      <x:c r="D3902" s="73" t="n">
        <x:v>1.2977</x:v>
      </x:c>
      <x:c r="E3902" s="73" t="n">
        <x:v>1.4775</x:v>
      </x:c>
      <x:c r="F3902" s="73" t="n">
        <x:v>1.5292</x:v>
      </x:c>
      <x:c r="G3902" s="74" t="n">
        <x:v>0.0039000000000000003</x:v>
      </x:c>
      <x:c r="H3902" s="66" t="str">
        <x:v>量客投资金选套利1号净值20260911.xlsx</x:v>
      </x:c>
      <x:c r="I3902" s="73" t="str">
        <x:f>""</x:f>
      </x:c>
      <x:c r="J3902" s="74" t="str">
        <x:f>""</x:f>
      </x:c>
      <x:c r="K3902" s="73" t="str">
        <x:f>""</x:f>
      </x:c>
      <x:c r="L3902" s="74" t="str">
        <x:f>""</x:f>
      </x:c>
      <x:c r="M3902" s="73" t="n">
        <x:f>MAX(M3901,F3902)</x:f>
        <x:v>1.5292</x:v>
      </x:c>
      <x:c r="N3902" s="74" t="n">
        <x:f>1-F3902/M3902</x:f>
        <x:v>0</x:v>
      </x:c>
    </x:row>
    <x:row r="3903" ht="27" customHeight="1">
      <x:c r="A3903" s="66" t="str">
        <x:v>SNH457</x:v>
      </x:c>
      <x:c r="B3903" s="66" t="str">
        <x:v>量客投资金选套利1号</x:v>
      </x:c>
      <x:c r="C3903" s="72" t="n">
        <x:v>45093</x:v>
      </x:c>
      <x:c r="D3903" s="73" t="n">
        <x:v>1.2957</x:v>
      </x:c>
      <x:c r="E3903" s="73" t="n">
        <x:v>1.4755</x:v>
      </x:c>
      <x:c r="F3903" s="73" t="n">
        <x:v>1.5268</x:v>
      </x:c>
      <x:c r="G3903" s="74" t="n">
        <x:v>-0.0015</x:v>
      </x:c>
      <x:c r="H3903" s="66" t="str">
        <x:v>量客投资金选套利1号净值20260911.xlsx</x:v>
      </x:c>
      <x:c r="I3903" s="73" t="str">
        <x:f>""</x:f>
      </x:c>
      <x:c r="J3903" s="74" t="str">
        <x:f>""</x:f>
      </x:c>
      <x:c r="K3903" s="73" t="str">
        <x:f>""</x:f>
      </x:c>
      <x:c r="L3903" s="74" t="str">
        <x:f>""</x:f>
      </x:c>
      <x:c r="M3903" s="73" t="n">
        <x:f>MAX(M3902,F3903)</x:f>
        <x:v>1.5292</x:v>
      </x:c>
      <x:c r="N3903" s="74" t="n">
        <x:f>1-F3903/M3903</x:f>
        <x:v>0.0015694480774260944</x:v>
      </x:c>
    </x:row>
    <x:row r="3904" ht="27" customHeight="1">
      <x:c r="A3904" s="66" t="str">
        <x:v>SNH457</x:v>
      </x:c>
      <x:c r="B3904" s="66" t="str">
        <x:v>量客投资金选套利1号</x:v>
      </x:c>
      <x:c r="C3904" s="72" t="n">
        <x:v>45098</x:v>
      </x:c>
      <x:c r="D3904" s="73" t="n">
        <x:v>1.2951</x:v>
      </x:c>
      <x:c r="E3904" s="73" t="n">
        <x:v>1.4749</x:v>
      </x:c>
      <x:c r="F3904" s="73" t="n">
        <x:v>1.5261</x:v>
      </x:c>
      <x:c r="G3904" s="74" t="n">
        <x:v>-0.0005</x:v>
      </x:c>
      <x:c r="H3904" s="66" t="str">
        <x:v>量客投资金选套利1号净值20260911.xlsx</x:v>
      </x:c>
      <x:c r="I3904" s="73" t="str">
        <x:f>""</x:f>
      </x:c>
      <x:c r="J3904" s="74" t="str">
        <x:f>""</x:f>
      </x:c>
      <x:c r="K3904" s="73" t="str">
        <x:f>""</x:f>
      </x:c>
      <x:c r="L3904" s="74" t="str">
        <x:f>""</x:f>
      </x:c>
      <x:c r="M3904" s="73" t="n">
        <x:f>MAX(M3903,F3904)</x:f>
        <x:v>1.5292</x:v>
      </x:c>
      <x:c r="N3904" s="74" t="n">
        <x:f>1-F3904/M3904</x:f>
        <x:v>0.0020272037666753118</x:v>
      </x:c>
    </x:row>
    <x:row r="3905" ht="27" customHeight="1">
      <x:c r="A3905" s="66" t="str">
        <x:v>SNH457</x:v>
      </x:c>
      <x:c r="B3905" s="66" t="str">
        <x:v>量客投资金选套利1号</x:v>
      </x:c>
      <x:c r="C3905" s="72" t="n">
        <x:v>45107</x:v>
      </x:c>
      <x:c r="D3905" s="73" t="n">
        <x:v>1.2981</x:v>
      </x:c>
      <x:c r="E3905" s="73" t="n">
        <x:v>1.4779</x:v>
      </x:c>
      <x:c r="F3905" s="73" t="n">
        <x:v>1.5297</x:v>
      </x:c>
      <x:c r="G3905" s="74" t="n">
        <x:v>0.0023</x:v>
      </x:c>
      <x:c r="H3905" s="66" t="str">
        <x:v>量客投资金选套利1号净值20260911.xlsx</x:v>
      </x:c>
      <x:c r="I3905" s="73" t="str">
        <x:f>""</x:f>
      </x:c>
      <x:c r="J3905" s="74" t="str">
        <x:f>""</x:f>
      </x:c>
      <x:c r="K3905" s="73" t="str">
        <x:f>""</x:f>
      </x:c>
      <x:c r="L3905" s="74" t="str">
        <x:f>""</x:f>
      </x:c>
      <x:c r="M3905" s="73" t="n">
        <x:f>MAX(M3904,F3905)</x:f>
        <x:v>1.5297</x:v>
      </x:c>
      <x:c r="N3905" s="74" t="n">
        <x:f>1-F3905/M3905</x:f>
        <x:v>0</x:v>
      </x:c>
    </x:row>
    <x:row r="3906" ht="27" customHeight="1">
      <x:c r="A3906" s="66" t="str">
        <x:v>SNH457</x:v>
      </x:c>
      <x:c r="B3906" s="66" t="str">
        <x:v>量客投资金选套利1号</x:v>
      </x:c>
      <x:c r="C3906" s="72" t="n">
        <x:v>45114</x:v>
      </x:c>
      <x:c r="D3906" s="73" t="n">
        <x:v>1.2963</x:v>
      </x:c>
      <x:c r="E3906" s="73" t="n">
        <x:v>1.4761</x:v>
      </x:c>
      <x:c r="F3906" s="73" t="n">
        <x:v>1.5275</x:v>
      </x:c>
      <x:c r="G3906" s="74" t="n">
        <x:v>-0.0014000000000000002</x:v>
      </x:c>
      <x:c r="H3906" s="66" t="str">
        <x:v>量客投资金选套利1号净值20260911.xlsx</x:v>
      </x:c>
      <x:c r="I3906" s="73" t="str">
        <x:f>""</x:f>
      </x:c>
      <x:c r="J3906" s="74" t="str">
        <x:f>""</x:f>
      </x:c>
      <x:c r="K3906" s="73" t="str">
        <x:f>""</x:f>
      </x:c>
      <x:c r="L3906" s="74" t="str">
        <x:f>""</x:f>
      </x:c>
      <x:c r="M3906" s="73" t="n">
        <x:f>MAX(M3905,F3906)</x:f>
        <x:v>1.5297</x:v>
      </x:c>
      <x:c r="N3906" s="74" t="n">
        <x:f>1-F3906/M3906</x:f>
        <x:v>0.0014381904948682633</x:v>
      </x:c>
    </x:row>
    <x:row r="3907" ht="27" customHeight="1">
      <x:c r="A3907" s="66" t="str">
        <x:v>SNH457</x:v>
      </x:c>
      <x:c r="B3907" s="66" t="str">
        <x:v>量客投资金选套利1号</x:v>
      </x:c>
      <x:c r="C3907" s="72" t="n">
        <x:v>45121</x:v>
      </x:c>
      <x:c r="D3907" s="73" t="n">
        <x:v>1.2965</x:v>
      </x:c>
      <x:c r="E3907" s="73" t="n">
        <x:v>1.4763</x:v>
      </x:c>
      <x:c r="F3907" s="73" t="n">
        <x:v>1.5278</x:v>
      </x:c>
      <x:c r="G3907" s="74" t="n">
        <x:v>0.0002</x:v>
      </x:c>
      <x:c r="H3907" s="66" t="str">
        <x:v>量客投资金选套利1号净值20260911.xlsx</x:v>
      </x:c>
      <x:c r="I3907" s="73" t="str">
        <x:f>""</x:f>
      </x:c>
      <x:c r="J3907" s="74" t="str">
        <x:f>""</x:f>
      </x:c>
      <x:c r="K3907" s="73" t="str">
        <x:f>""</x:f>
      </x:c>
      <x:c r="L3907" s="74" t="str">
        <x:f>""</x:f>
      </x:c>
      <x:c r="M3907" s="73" t="n">
        <x:f>MAX(M3906,F3907)</x:f>
        <x:v>1.5297</x:v>
      </x:c>
      <x:c r="N3907" s="74" t="n">
        <x:f>1-F3907/M3907</x:f>
        <x:v>0.0012420736092044748</x:v>
      </x:c>
    </x:row>
    <x:row r="3908" ht="27" customHeight="1">
      <x:c r="A3908" s="66" t="str">
        <x:v>SNH457</x:v>
      </x:c>
      <x:c r="B3908" s="66" t="str">
        <x:v>量客投资金选套利1号</x:v>
      </x:c>
      <x:c r="C3908" s="72" t="n">
        <x:v>45128</x:v>
      </x:c>
      <x:c r="D3908" s="73" t="n">
        <x:v>1.2987</x:v>
      </x:c>
      <x:c r="E3908" s="73" t="n">
        <x:v>1.4785</x:v>
      </x:c>
      <x:c r="F3908" s="73" t="n">
        <x:v>1.5304</x:v>
      </x:c>
      <x:c r="G3908" s="74" t="n">
        <x:v>0.0017000000000000001</x:v>
      </x:c>
      <x:c r="H3908" s="66" t="str">
        <x:v>量客投资金选套利1号净值20260911.xlsx</x:v>
      </x:c>
      <x:c r="I3908" s="73" t="str">
        <x:f>""</x:f>
      </x:c>
      <x:c r="J3908" s="74" t="str">
        <x:f>""</x:f>
      </x:c>
      <x:c r="K3908" s="73" t="str">
        <x:f>""</x:f>
      </x:c>
      <x:c r="L3908" s="74" t="str">
        <x:f>""</x:f>
      </x:c>
      <x:c r="M3908" s="73" t="n">
        <x:f>MAX(M3907,F3908)</x:f>
        <x:v>1.5304</x:v>
      </x:c>
      <x:c r="N3908" s="74" t="n">
        <x:f>1-F3908/M3908</x:f>
        <x:v>0</x:v>
      </x:c>
    </x:row>
    <x:row r="3909" ht="27" customHeight="1">
      <x:c r="A3909" s="66" t="str">
        <x:v>SNH457</x:v>
      </x:c>
      <x:c r="B3909" s="66" t="str">
        <x:v>量客投资金选套利1号</x:v>
      </x:c>
      <x:c r="C3909" s="72" t="n">
        <x:v>45135</x:v>
      </x:c>
      <x:c r="D3909" s="73" t="n">
        <x:v>1.2996</x:v>
      </x:c>
      <x:c r="E3909" s="73" t="n">
        <x:v>1.4794</x:v>
      </x:c>
      <x:c r="F3909" s="73" t="n">
        <x:v>1.5314</x:v>
      </x:c>
      <x:c r="G3909" s="74" t="n">
        <x:v>0.0007000000000000001</x:v>
      </x:c>
      <x:c r="H3909" s="66" t="str">
        <x:v>量客投资金选套利1号净值20260911.xlsx</x:v>
      </x:c>
      <x:c r="I3909" s="73" t="str">
        <x:f>""</x:f>
      </x:c>
      <x:c r="J3909" s="74" t="str">
        <x:f>""</x:f>
      </x:c>
      <x:c r="K3909" s="73" t="str">
        <x:f>""</x:f>
      </x:c>
      <x:c r="L3909" s="74" t="str">
        <x:f>""</x:f>
      </x:c>
      <x:c r="M3909" s="73" t="n">
        <x:f>MAX(M3908,F3909)</x:f>
        <x:v>1.5314</x:v>
      </x:c>
      <x:c r="N3909" s="74" t="n">
        <x:f>1-F3909/M3909</x:f>
        <x:v>0</x:v>
      </x:c>
    </x:row>
    <x:row r="3910" ht="27" customHeight="1">
      <x:c r="A3910" s="66" t="str">
        <x:v>SNH457</x:v>
      </x:c>
      <x:c r="B3910" s="66" t="str">
        <x:v>量客投资金选套利1号</x:v>
      </x:c>
      <x:c r="C3910" s="72" t="n">
        <x:v>45142</x:v>
      </x:c>
      <x:c r="D3910" s="73" t="n">
        <x:v>1.2997</x:v>
      </x:c>
      <x:c r="E3910" s="73" t="n">
        <x:v>1.4795</x:v>
      </x:c>
      <x:c r="F3910" s="73" t="n">
        <x:v>1.5316</x:v>
      </x:c>
      <x:c r="G3910" s="74" t="n">
        <x:v>0.0001</x:v>
      </x:c>
      <x:c r="H3910" s="66" t="str">
        <x:v>量客投资金选套利1号净值20260911.xlsx</x:v>
      </x:c>
      <x:c r="I3910" s="73" t="str">
        <x:f>""</x:f>
      </x:c>
      <x:c r="J3910" s="74" t="str">
        <x:f>""</x:f>
      </x:c>
      <x:c r="K3910" s="73" t="str">
        <x:f>""</x:f>
      </x:c>
      <x:c r="L3910" s="74" t="str">
        <x:f>""</x:f>
      </x:c>
      <x:c r="M3910" s="73" t="n">
        <x:f>MAX(M3909,F3910)</x:f>
        <x:v>1.5316</x:v>
      </x:c>
      <x:c r="N3910" s="74" t="n">
        <x:f>1-F3910/M3910</x:f>
        <x:v>0</x:v>
      </x:c>
    </x:row>
    <x:row r="3911" ht="27" customHeight="1">
      <x:c r="A3911" s="66" t="str">
        <x:v>SNH457</x:v>
      </x:c>
      <x:c r="B3911" s="66" t="str">
        <x:v>量客投资金选套利1号</x:v>
      </x:c>
      <x:c r="C3911" s="72" t="n">
        <x:v>45149</x:v>
      </x:c>
      <x:c r="D3911" s="73" t="n">
        <x:v>1.3014</x:v>
      </x:c>
      <x:c r="E3911" s="73" t="n">
        <x:v>1.4812</x:v>
      </x:c>
      <x:c r="F3911" s="73" t="n">
        <x:v>1.5336</x:v>
      </x:c>
      <x:c r="G3911" s="74" t="n">
        <x:v>0.0013</x:v>
      </x:c>
      <x:c r="H3911" s="66" t="str">
        <x:v>量客投资金选套利1号净值20260911.xlsx</x:v>
      </x:c>
      <x:c r="I3911" s="73" t="str">
        <x:f>""</x:f>
      </x:c>
      <x:c r="J3911" s="74" t="str">
        <x:f>""</x:f>
      </x:c>
      <x:c r="K3911" s="73" t="str">
        <x:f>""</x:f>
      </x:c>
      <x:c r="L3911" s="74" t="str">
        <x:f>""</x:f>
      </x:c>
      <x:c r="M3911" s="73" t="n">
        <x:f>MAX(M3910,F3911)</x:f>
        <x:v>1.5336</x:v>
      </x:c>
      <x:c r="N3911" s="74" t="n">
        <x:f>1-F3911/M3911</x:f>
        <x:v>0</x:v>
      </x:c>
    </x:row>
    <x:row r="3912" ht="27" customHeight="1">
      <x:c r="A3912" s="66" t="str">
        <x:v>SNH457</x:v>
      </x:c>
      <x:c r="B3912" s="66" t="str">
        <x:v>量客投资金选套利1号</x:v>
      </x:c>
      <x:c r="C3912" s="72" t="n">
        <x:v>45156</x:v>
      </x:c>
      <x:c r="D3912" s="73" t="n">
        <x:v>1.3082</x:v>
      </x:c>
      <x:c r="E3912" s="73" t="n">
        <x:v>1.488</x:v>
      </x:c>
      <x:c r="F3912" s="73" t="n">
        <x:v>1.5416</x:v>
      </x:c>
      <x:c r="G3912" s="74" t="n">
        <x:v>0.0052</x:v>
      </x:c>
      <x:c r="H3912" s="66" t="str">
        <x:v>量客投资金选套利1号净值20260911.xlsx</x:v>
      </x:c>
      <x:c r="I3912" s="73" t="str">
        <x:f>""</x:f>
      </x:c>
      <x:c r="J3912" s="74" t="str">
        <x:f>""</x:f>
      </x:c>
      <x:c r="K3912" s="73" t="str">
        <x:f>""</x:f>
      </x:c>
      <x:c r="L3912" s="74" t="str">
        <x:f>""</x:f>
      </x:c>
      <x:c r="M3912" s="73" t="n">
        <x:f>MAX(M3911,F3912)</x:f>
        <x:v>1.5416</x:v>
      </x:c>
      <x:c r="N3912" s="74" t="n">
        <x:f>1-F3912/M3912</x:f>
        <x:v>0</x:v>
      </x:c>
    </x:row>
    <x:row r="3913" ht="27" customHeight="1">
      <x:c r="A3913" s="66" t="str">
        <x:v>SNH457</x:v>
      </x:c>
      <x:c r="B3913" s="66" t="str">
        <x:v>量客投资金选套利1号</x:v>
      </x:c>
      <x:c r="C3913" s="72" t="n">
        <x:v>45163</x:v>
      </x:c>
      <x:c r="D3913" s="73" t="n">
        <x:v>1.3099</x:v>
      </x:c>
      <x:c r="E3913" s="73" t="n">
        <x:v>1.4897</x:v>
      </x:c>
      <x:c r="F3913" s="73" t="n">
        <x:v>1.5436</x:v>
      </x:c>
      <x:c r="G3913" s="74" t="n">
        <x:v>0.0013</x:v>
      </x:c>
      <x:c r="H3913" s="66" t="str">
        <x:v>量客投资金选套利1号净值20260911.xlsx</x:v>
      </x:c>
      <x:c r="I3913" s="73" t="str">
        <x:f>""</x:f>
      </x:c>
      <x:c r="J3913" s="74" t="str">
        <x:f>""</x:f>
      </x:c>
      <x:c r="K3913" s="73" t="str">
        <x:f>""</x:f>
      </x:c>
      <x:c r="L3913" s="74" t="str">
        <x:f>""</x:f>
      </x:c>
      <x:c r="M3913" s="73" t="n">
        <x:f>MAX(M3912,F3913)</x:f>
        <x:v>1.5436</x:v>
      </x:c>
      <x:c r="N3913" s="74" t="n">
        <x:f>1-F3913/M3913</x:f>
        <x:v>0</x:v>
      </x:c>
    </x:row>
    <x:row r="3914" ht="27" customHeight="1">
      <x:c r="A3914" s="66" t="str">
        <x:v>SNH457</x:v>
      </x:c>
      <x:c r="B3914" s="66" t="str">
        <x:v>量客投资金选套利1号</x:v>
      </x:c>
      <x:c r="C3914" s="72" t="n">
        <x:v>45170</x:v>
      </x:c>
      <x:c r="D3914" s="73" t="n">
        <x:v>1.3159</x:v>
      </x:c>
      <x:c r="E3914" s="73" t="n">
        <x:v>1.4957</x:v>
      </x:c>
      <x:c r="F3914" s="73" t="n">
        <x:v>1.5506</x:v>
      </x:c>
      <x:c r="G3914" s="74" t="n">
        <x:v>0.0046</x:v>
      </x:c>
      <x:c r="H3914" s="66" t="str">
        <x:v>量客投资金选套利1号净值20260911.xlsx</x:v>
      </x:c>
      <x:c r="I3914" s="73" t="str">
        <x:f>""</x:f>
      </x:c>
      <x:c r="J3914" s="74" t="str">
        <x:f>""</x:f>
      </x:c>
      <x:c r="K3914" s="73" t="n">
        <x:f>F3914</x:f>
        <x:v>1.5506</x:v>
      </x:c>
      <x:c r="L3914" s="74" t="n">
        <x:f>1-F3914/K3914</x:f>
        <x:v>0</x:v>
      </x:c>
      <x:c r="M3914" s="73" t="n">
        <x:f>MAX(M3913,F3914)</x:f>
        <x:v>1.5506</x:v>
      </x:c>
      <x:c r="N3914" s="74" t="n">
        <x:f>1-F3914/M3914</x:f>
        <x:v>0</x:v>
      </x:c>
    </x:row>
    <x:row r="3915" ht="27" customHeight="1">
      <x:c r="A3915" s="66" t="str">
        <x:v>SNH457</x:v>
      </x:c>
      <x:c r="B3915" s="66" t="str">
        <x:v>量客投资金选套利1号</x:v>
      </x:c>
      <x:c r="C3915" s="72" t="n">
        <x:v>45177</x:v>
      </x:c>
      <x:c r="D3915" s="73" t="n">
        <x:v>1.3151</x:v>
      </x:c>
      <x:c r="E3915" s="73" t="n">
        <x:v>1.4949</x:v>
      </x:c>
      <x:c r="F3915" s="73" t="n">
        <x:v>1.5497</x:v>
      </x:c>
      <x:c r="G3915" s="74" t="n">
        <x:v>-0.0006</x:v>
      </x:c>
      <x:c r="H3915" s="66" t="str">
        <x:v>量客投资金选套利1号净值20260911.xlsx</x:v>
      </x:c>
      <x:c r="I3915" s="73" t="str">
        <x:f>""</x:f>
      </x:c>
      <x:c r="J3915" s="74" t="str">
        <x:f>""</x:f>
      </x:c>
      <x:c r="K3915" s="73" t="n">
        <x:f>MAX(K3914,F3915)</x:f>
        <x:v>1.5506</x:v>
      </x:c>
      <x:c r="L3915" s="74" t="n">
        <x:f>1-F3915/K3915</x:f>
        <x:v>0.0005804204823938175</x:v>
      </x:c>
      <x:c r="M3915" s="73" t="n">
        <x:f>MAX(M3914,F3915)</x:f>
        <x:v>1.5506</x:v>
      </x:c>
      <x:c r="N3915" s="74" t="n">
        <x:f>1-F3915/M3915</x:f>
        <x:v>0.0005804204823938175</x:v>
      </x:c>
    </x:row>
    <x:row r="3916" ht="27" customHeight="1">
      <x:c r="A3916" s="66" t="str">
        <x:v>SNH457</x:v>
      </x:c>
      <x:c r="B3916" s="66" t="str">
        <x:v>量客投资金选套利1号</x:v>
      </x:c>
      <x:c r="C3916" s="72" t="n">
        <x:v>45184</x:v>
      </x:c>
      <x:c r="D3916" s="73" t="n">
        <x:v>1.3164</x:v>
      </x:c>
      <x:c r="E3916" s="73" t="n">
        <x:v>1.4962</x:v>
      </x:c>
      <x:c r="F3916" s="73" t="n">
        <x:v>1.5512</x:v>
      </x:c>
      <x:c r="G3916" s="74" t="n">
        <x:v>0.001</x:v>
      </x:c>
      <x:c r="H3916" s="66" t="str">
        <x:v>量客投资金选套利1号净值20260911.xlsx</x:v>
      </x:c>
      <x:c r="I3916" s="73" t="str">
        <x:f>""</x:f>
      </x:c>
      <x:c r="J3916" s="74" t="str">
        <x:f>""</x:f>
      </x:c>
      <x:c r="K3916" s="73" t="n">
        <x:f>MAX(K3915,F3916)</x:f>
        <x:v>1.5512</x:v>
      </x:c>
      <x:c r="L3916" s="74" t="n">
        <x:f>1-F3916/K3916</x:f>
        <x:v>0</x:v>
      </x:c>
      <x:c r="M3916" s="73" t="n">
        <x:f>MAX(M3915,F3916)</x:f>
        <x:v>1.5512</x:v>
      </x:c>
      <x:c r="N3916" s="74" t="n">
        <x:f>1-F3916/M3916</x:f>
        <x:v>0</x:v>
      </x:c>
    </x:row>
    <x:row r="3917" ht="27" customHeight="1">
      <x:c r="A3917" s="66" t="str">
        <x:v>SNH457</x:v>
      </x:c>
      <x:c r="B3917" s="66" t="str">
        <x:v>量客投资金选套利1号</x:v>
      </x:c>
      <x:c r="C3917" s="72" t="n">
        <x:v>45191</x:v>
      </x:c>
      <x:c r="D3917" s="73" t="n">
        <x:v>1.3159</x:v>
      </x:c>
      <x:c r="E3917" s="73" t="n">
        <x:v>1.4957</x:v>
      </x:c>
      <x:c r="F3917" s="73" t="n">
        <x:v>1.5506</x:v>
      </x:c>
      <x:c r="G3917" s="74" t="n">
        <x:v>-0.0004</x:v>
      </x:c>
      <x:c r="H3917" s="66" t="str">
        <x:v>量客投资金选套利1号净值20260911.xlsx</x:v>
      </x:c>
      <x:c r="I3917" s="73" t="str">
        <x:f>""</x:f>
      </x:c>
      <x:c r="J3917" s="74" t="str">
        <x:f>""</x:f>
      </x:c>
      <x:c r="K3917" s="73" t="n">
        <x:f>MAX(K3916,F3917)</x:f>
        <x:v>1.5512</x:v>
      </x:c>
      <x:c r="L3917" s="74" t="n">
        <x:f>1-F3917/K3917</x:f>
        <x:v>0.0003867973182052342</x:v>
      </x:c>
      <x:c r="M3917" s="73" t="n">
        <x:f>MAX(M3916,F3917)</x:f>
        <x:v>1.5512</x:v>
      </x:c>
      <x:c r="N3917" s="74" t="n">
        <x:f>1-F3917/M3917</x:f>
        <x:v>0.0003867973182052342</x:v>
      </x:c>
    </x:row>
    <x:row r="3918" ht="27" customHeight="1">
      <x:c r="A3918" s="66" t="str">
        <x:v>SNH457</x:v>
      </x:c>
      <x:c r="B3918" s="66" t="str">
        <x:v>量客投资金选套利1号</x:v>
      </x:c>
      <x:c r="C3918" s="72" t="n">
        <x:v>45197</x:v>
      </x:c>
      <x:c r="D3918" s="73" t="n">
        <x:v>1.3153</x:v>
      </x:c>
      <x:c r="E3918" s="73" t="n">
        <x:v>1.4951</x:v>
      </x:c>
      <x:c r="F3918" s="73" t="n">
        <x:v>1.5499</x:v>
      </x:c>
      <x:c r="G3918" s="74" t="n">
        <x:v>-0.0005</x:v>
      </x:c>
      <x:c r="H3918" s="66" t="str">
        <x:v>量客投资金选套利1号净值20260911.xlsx</x:v>
      </x:c>
      <x:c r="I3918" s="73" t="str">
        <x:f>""</x:f>
      </x:c>
      <x:c r="J3918" s="74" t="str">
        <x:f>""</x:f>
      </x:c>
      <x:c r="K3918" s="73" t="n">
        <x:f>MAX(K3917,F3918)</x:f>
        <x:v>1.5512</x:v>
      </x:c>
      <x:c r="L3918" s="74" t="n">
        <x:f>1-F3918/K3918</x:f>
        <x:v>0.0008380608561112668</x:v>
      </x:c>
      <x:c r="M3918" s="73" t="n">
        <x:f>MAX(M3917,F3918)</x:f>
        <x:v>1.5512</x:v>
      </x:c>
      <x:c r="N3918" s="74" t="n">
        <x:f>1-F3918/M3918</x:f>
        <x:v>0.0008380608561112668</x:v>
      </x:c>
    </x:row>
    <x:row r="3919" ht="27" customHeight="1">
      <x:c r="A3919" s="66" t="str">
        <x:v>SNH457</x:v>
      </x:c>
      <x:c r="B3919" s="66" t="str">
        <x:v>量客投资金选套利1号</x:v>
      </x:c>
      <x:c r="C3919" s="72" t="n">
        <x:v>45212</x:v>
      </x:c>
      <x:c r="D3919" s="73" t="n">
        <x:v>1.3138</x:v>
      </x:c>
      <x:c r="E3919" s="73" t="n">
        <x:v>1.4936</x:v>
      </x:c>
      <x:c r="F3919" s="73" t="n">
        <x:v>1.5482</x:v>
      </x:c>
      <x:c r="G3919" s="74" t="n">
        <x:v>-0.0011</x:v>
      </x:c>
      <x:c r="H3919" s="66" t="str">
        <x:v>量客投资金选套利1号净值20260911.xlsx</x:v>
      </x:c>
      <x:c r="I3919" s="73" t="str">
        <x:f>""</x:f>
      </x:c>
      <x:c r="J3919" s="74" t="str">
        <x:f>""</x:f>
      </x:c>
      <x:c r="K3919" s="73" t="n">
        <x:f>MAX(K3918,F3919)</x:f>
        <x:v>1.5512</x:v>
      </x:c>
      <x:c r="L3919" s="74" t="n">
        <x:f>1-F3919/K3919</x:f>
        <x:v>0.0019339865910262821</x:v>
      </x:c>
      <x:c r="M3919" s="73" t="n">
        <x:f>MAX(M3918,F3919)</x:f>
        <x:v>1.5512</x:v>
      </x:c>
      <x:c r="N3919" s="74" t="n">
        <x:f>1-F3919/M3919</x:f>
        <x:v>0.0019339865910262821</x:v>
      </x:c>
    </x:row>
    <x:row r="3920" ht="27" customHeight="1">
      <x:c r="A3920" s="66" t="str">
        <x:v>SNH457</x:v>
      </x:c>
      <x:c r="B3920" s="66" t="str">
        <x:v>量客投资金选套利1号</x:v>
      </x:c>
      <x:c r="C3920" s="72" t="n">
        <x:v>45219</x:v>
      </x:c>
      <x:c r="D3920" s="73" t="n">
        <x:v>1.3155</x:v>
      </x:c>
      <x:c r="E3920" s="73" t="n">
        <x:v>1.4953</x:v>
      </x:c>
      <x:c r="F3920" s="73" t="n">
        <x:v>1.5502</x:v>
      </x:c>
      <x:c r="G3920" s="74" t="n">
        <x:v>0.0013</x:v>
      </x:c>
      <x:c r="H3920" s="66" t="str">
        <x:v>量客投资金选套利1号净值20260911.xlsx</x:v>
      </x:c>
      <x:c r="I3920" s="73" t="str">
        <x:f>""</x:f>
      </x:c>
      <x:c r="J3920" s="74" t="str">
        <x:f>""</x:f>
      </x:c>
      <x:c r="K3920" s="73" t="n">
        <x:f>MAX(K3919,F3920)</x:f>
        <x:v>1.5512</x:v>
      </x:c>
      <x:c r="L3920" s="74" t="n">
        <x:f>1-F3920/K3920</x:f>
        <x:v>0.0006446621970086497</x:v>
      </x:c>
      <x:c r="M3920" s="73" t="n">
        <x:f>MAX(M3919,F3920)</x:f>
        <x:v>1.5512</x:v>
      </x:c>
      <x:c r="N3920" s="74" t="n">
        <x:f>1-F3920/M3920</x:f>
        <x:v>0.0006446621970086497</x:v>
      </x:c>
    </x:row>
    <x:row r="3921" ht="27" customHeight="1">
      <x:c r="A3921" s="66" t="str">
        <x:v>SNH457</x:v>
      </x:c>
      <x:c r="B3921" s="66" t="str">
        <x:v>量客投资金选套利1号</x:v>
      </x:c>
      <x:c r="C3921" s="72" t="n">
        <x:v>45226</x:v>
      </x:c>
      <x:c r="D3921" s="73" t="n">
        <x:v>1.3188</x:v>
      </x:c>
      <x:c r="E3921" s="73" t="n">
        <x:v>1.4986</x:v>
      </x:c>
      <x:c r="F3921" s="73" t="n">
        <x:v>1.5541</x:v>
      </x:c>
      <x:c r="G3921" s="74" t="n">
        <x:v>0.0025</x:v>
      </x:c>
      <x:c r="H3921" s="66" t="str">
        <x:v>量客投资金选套利1号净值20260911.xlsx</x:v>
      </x:c>
      <x:c r="I3921" s="73" t="str">
        <x:f>""</x:f>
      </x:c>
      <x:c r="J3921" s="74" t="str">
        <x:f>""</x:f>
      </x:c>
      <x:c r="K3921" s="73" t="n">
        <x:f>MAX(K3920,F3921)</x:f>
        <x:v>1.5541</x:v>
      </x:c>
      <x:c r="L3921" s="74" t="n">
        <x:f>1-F3921/K3921</x:f>
        <x:v>0</x:v>
      </x:c>
      <x:c r="M3921" s="73" t="n">
        <x:f>MAX(M3920,F3921)</x:f>
        <x:v>1.5541</x:v>
      </x:c>
      <x:c r="N3921" s="74" t="n">
        <x:f>1-F3921/M3921</x:f>
        <x:v>0</x:v>
      </x:c>
    </x:row>
    <x:row r="3922" ht="27" customHeight="1">
      <x:c r="A3922" s="66" t="str">
        <x:v>SNH457</x:v>
      </x:c>
      <x:c r="B3922" s="66" t="str">
        <x:v>量客投资金选套利1号</x:v>
      </x:c>
      <x:c r="C3922" s="72" t="n">
        <x:v>45233</x:v>
      </x:c>
      <x:c r="D3922" s="73" t="n">
        <x:v>1.3178</x:v>
      </x:c>
      <x:c r="E3922" s="73" t="n">
        <x:v>1.4976</x:v>
      </x:c>
      <x:c r="F3922" s="73" t="n">
        <x:v>1.5529</x:v>
      </x:c>
      <x:c r="G3922" s="74" t="n">
        <x:v>-0.0008</x:v>
      </x:c>
      <x:c r="H3922" s="66" t="str">
        <x:v>量客投资金选套利1号净值20260911.xlsx</x:v>
      </x:c>
      <x:c r="I3922" s="73" t="str">
        <x:f>""</x:f>
      </x:c>
      <x:c r="J3922" s="74" t="str">
        <x:f>""</x:f>
      </x:c>
      <x:c r="K3922" s="73" t="n">
        <x:f>MAX(K3921,F3922)</x:f>
        <x:v>1.5541</x:v>
      </x:c>
      <x:c r="L3922" s="74" t="n">
        <x:f>1-F3922/K3922</x:f>
        <x:v>0.0007721510842289003</x:v>
      </x:c>
      <x:c r="M3922" s="73" t="n">
        <x:f>MAX(M3921,F3922)</x:f>
        <x:v>1.5541</x:v>
      </x:c>
      <x:c r="N3922" s="74" t="n">
        <x:f>1-F3922/M3922</x:f>
        <x:v>0.0007721510842289003</x:v>
      </x:c>
    </x:row>
    <x:row r="3923" ht="27" customHeight="1">
      <x:c r="A3923" s="66" t="str">
        <x:v>SNH457</x:v>
      </x:c>
      <x:c r="B3923" s="66" t="str">
        <x:v>量客投资金选套利1号</x:v>
      </x:c>
      <x:c r="C3923" s="72" t="n">
        <x:v>45240</x:v>
      </x:c>
      <x:c r="D3923" s="73" t="n">
        <x:v>1.3212</x:v>
      </x:c>
      <x:c r="E3923" s="73" t="n">
        <x:v>1.501</x:v>
      </x:c>
      <x:c r="F3923" s="73" t="n">
        <x:v>1.5569</x:v>
      </x:c>
      <x:c r="G3923" s="74" t="n">
        <x:v>0.0026</x:v>
      </x:c>
      <x:c r="H3923" s="66" t="str">
        <x:v>量客投资金选套利1号净值20260911.xlsx</x:v>
      </x:c>
      <x:c r="I3923" s="73" t="str">
        <x:f>""</x:f>
      </x:c>
      <x:c r="J3923" s="74" t="str">
        <x:f>""</x:f>
      </x:c>
      <x:c r="K3923" s="73" t="n">
        <x:f>MAX(K3922,F3923)</x:f>
        <x:v>1.5569</x:v>
      </x:c>
      <x:c r="L3923" s="74" t="n">
        <x:f>1-F3923/K3923</x:f>
        <x:v>0</x:v>
      </x:c>
      <x:c r="M3923" s="73" t="n">
        <x:f>MAX(M3922,F3923)</x:f>
        <x:v>1.5569</x:v>
      </x:c>
      <x:c r="N3923" s="74" t="n">
        <x:f>1-F3923/M3923</x:f>
        <x:v>0</x:v>
      </x:c>
    </x:row>
    <x:row r="3924" ht="27" customHeight="1">
      <x:c r="A3924" s="66" t="str">
        <x:v>SNH457</x:v>
      </x:c>
      <x:c r="B3924" s="66" t="str">
        <x:v>量客投资金选套利1号</x:v>
      </x:c>
      <x:c r="C3924" s="72" t="n">
        <x:v>45247</x:v>
      </x:c>
      <x:c r="D3924" s="73" t="n">
        <x:v>1.3218</x:v>
      </x:c>
      <x:c r="E3924" s="73" t="n">
        <x:v>1.5016</x:v>
      </x:c>
      <x:c r="F3924" s="73" t="n">
        <x:v>1.5576</x:v>
      </x:c>
      <x:c r="G3924" s="74" t="n">
        <x:v>0.0005</x:v>
      </x:c>
      <x:c r="H3924" s="66" t="str">
        <x:v>量客投资金选套利1号净值20260911.xlsx</x:v>
      </x:c>
      <x:c r="I3924" s="73" t="str">
        <x:f>""</x:f>
      </x:c>
      <x:c r="J3924" s="74" t="str">
        <x:f>""</x:f>
      </x:c>
      <x:c r="K3924" s="73" t="n">
        <x:f>MAX(K3923,F3924)</x:f>
        <x:v>1.5576</x:v>
      </x:c>
      <x:c r="L3924" s="74" t="n">
        <x:f>1-F3924/K3924</x:f>
        <x:v>0</x:v>
      </x:c>
      <x:c r="M3924" s="73" t="n">
        <x:f>MAX(M3923,F3924)</x:f>
        <x:v>1.5576</x:v>
      </x:c>
      <x:c r="N3924" s="74" t="n">
        <x:f>1-F3924/M3924</x:f>
        <x:v>0</x:v>
      </x:c>
    </x:row>
    <x:row r="3925" ht="27" customHeight="1">
      <x:c r="A3925" s="66" t="str">
        <x:v>SNH457</x:v>
      </x:c>
      <x:c r="B3925" s="66" t="str">
        <x:v>量客投资金选套利1号</x:v>
      </x:c>
      <x:c r="C3925" s="72" t="n">
        <x:v>45254</x:v>
      </x:c>
      <x:c r="D3925" s="73" t="n">
        <x:v>1.3185</x:v>
      </x:c>
      <x:c r="E3925" s="73" t="n">
        <x:v>1.4983</x:v>
      </x:c>
      <x:c r="F3925" s="73" t="n">
        <x:v>1.5537</x:v>
      </x:c>
      <x:c r="G3925" s="74" t="n">
        <x:v>-0.0025</x:v>
      </x:c>
      <x:c r="H3925" s="66" t="str">
        <x:v>量客投资金选套利1号净值20260911.xlsx</x:v>
      </x:c>
      <x:c r="I3925" s="73" t="str">
        <x:f>""</x:f>
      </x:c>
      <x:c r="J3925" s="74" t="str">
        <x:f>""</x:f>
      </x:c>
      <x:c r="K3925" s="73" t="n">
        <x:f>MAX(K3924,F3925)</x:f>
        <x:v>1.5576</x:v>
      </x:c>
      <x:c r="L3925" s="74" t="n">
        <x:f>1-F3925/K3925</x:f>
        <x:v>0.00250385208012327</x:v>
      </x:c>
      <x:c r="M3925" s="73" t="n">
        <x:f>MAX(M3924,F3925)</x:f>
        <x:v>1.5576</x:v>
      </x:c>
      <x:c r="N3925" s="74" t="n">
        <x:f>1-F3925/M3925</x:f>
        <x:v>0.00250385208012327</x:v>
      </x:c>
    </x:row>
    <x:row r="3926" ht="27" customHeight="1">
      <x:c r="A3926" s="66" t="str">
        <x:v>SNH457</x:v>
      </x:c>
      <x:c r="B3926" s="66" t="str">
        <x:v>量客投资金选套利1号</x:v>
      </x:c>
      <x:c r="C3926" s="72" t="n">
        <x:v>45261</x:v>
      </x:c>
      <x:c r="D3926" s="73" t="n">
        <x:v>1.3206</x:v>
      </x:c>
      <x:c r="E3926" s="73" t="n">
        <x:v>1.5004</x:v>
      </x:c>
      <x:c r="F3926" s="73" t="n">
        <x:v>1.5562</x:v>
      </x:c>
      <x:c r="G3926" s="74" t="n">
        <x:v>0.0016</x:v>
      </x:c>
      <x:c r="H3926" s="66" t="str">
        <x:v>量客投资金选套利1号净值20260911.xlsx</x:v>
      </x:c>
      <x:c r="I3926" s="73" t="str">
        <x:f>""</x:f>
      </x:c>
      <x:c r="J3926" s="74" t="str">
        <x:f>""</x:f>
      </x:c>
      <x:c r="K3926" s="73" t="n">
        <x:f>MAX(K3925,F3926)</x:f>
        <x:v>1.5576</x:v>
      </x:c>
      <x:c r="L3926" s="74" t="n">
        <x:f>1-F3926/K3926</x:f>
        <x:v>0.0008988186954289601</x:v>
      </x:c>
      <x:c r="M3926" s="73" t="n">
        <x:f>MAX(M3925,F3926)</x:f>
        <x:v>1.5576</x:v>
      </x:c>
      <x:c r="N3926" s="74" t="n">
        <x:f>1-F3926/M3926</x:f>
        <x:v>0.0008988186954289601</x:v>
      </x:c>
    </x:row>
    <x:row r="3927" ht="27" customHeight="1">
      <x:c r="A3927" s="66" t="str">
        <x:v>SNH457</x:v>
      </x:c>
      <x:c r="B3927" s="66" t="str">
        <x:v>量客投资金选套利1号</x:v>
      </x:c>
      <x:c r="C3927" s="72" t="n">
        <x:v>45268</x:v>
      </x:c>
      <x:c r="D3927" s="73" t="n">
        <x:v>1.3234</x:v>
      </x:c>
      <x:c r="E3927" s="73" t="n">
        <x:v>1.5032</x:v>
      </x:c>
      <x:c r="F3927" s="73" t="n">
        <x:v>1.5595</x:v>
      </x:c>
      <x:c r="G3927" s="74" t="n">
        <x:v>0.0021</x:v>
      </x:c>
      <x:c r="H3927" s="66" t="str">
        <x:v>量客投资金选套利1号净值20260911.xlsx</x:v>
      </x:c>
      <x:c r="I3927" s="73" t="str">
        <x:f>""</x:f>
      </x:c>
      <x:c r="J3927" s="74" t="str">
        <x:f>""</x:f>
      </x:c>
      <x:c r="K3927" s="73" t="n">
        <x:f>MAX(K3926,F3927)</x:f>
        <x:v>1.5595</x:v>
      </x:c>
      <x:c r="L3927" s="74" t="n">
        <x:f>1-F3927/K3927</x:f>
        <x:v>0</x:v>
      </x:c>
      <x:c r="M3927" s="73" t="n">
        <x:f>MAX(M3926,F3927)</x:f>
        <x:v>1.5595</x:v>
      </x:c>
      <x:c r="N3927" s="74" t="n">
        <x:f>1-F3927/M3927</x:f>
        <x:v>0</x:v>
      </x:c>
    </x:row>
    <x:row r="3928" ht="27" customHeight="1">
      <x:c r="A3928" s="66" t="str">
        <x:v>SNH457</x:v>
      </x:c>
      <x:c r="B3928" s="66" t="str">
        <x:v>量客投资金选套利1号</x:v>
      </x:c>
      <x:c r="C3928" s="72" t="n">
        <x:v>45275</x:v>
      </x:c>
      <x:c r="D3928" s="73" t="n">
        <x:v>1.325</x:v>
      </x:c>
      <x:c r="E3928" s="73" t="n">
        <x:v>1.5048</x:v>
      </x:c>
      <x:c r="F3928" s="73" t="n">
        <x:v>1.5614</x:v>
      </x:c>
      <x:c r="G3928" s="74" t="n">
        <x:v>0.0012</x:v>
      </x:c>
      <x:c r="H3928" s="66" t="str">
        <x:v>量客投资金选套利1号净值20260911.xlsx</x:v>
      </x:c>
      <x:c r="I3928" s="73" t="str">
        <x:f>""</x:f>
      </x:c>
      <x:c r="J3928" s="74" t="str">
        <x:f>""</x:f>
      </x:c>
      <x:c r="K3928" s="73" t="n">
        <x:f>MAX(K3927,F3928)</x:f>
        <x:v>1.5614</x:v>
      </x:c>
      <x:c r="L3928" s="74" t="n">
        <x:f>1-F3928/K3928</x:f>
        <x:v>0</x:v>
      </x:c>
      <x:c r="M3928" s="73" t="n">
        <x:f>MAX(M3927,F3928)</x:f>
        <x:v>1.5614</x:v>
      </x:c>
      <x:c r="N3928" s="74" t="n">
        <x:f>1-F3928/M3928</x:f>
        <x:v>0</x:v>
      </x:c>
    </x:row>
    <x:row r="3929" ht="27" customHeight="1">
      <x:c r="A3929" s="66" t="str">
        <x:v>SNH457</x:v>
      </x:c>
      <x:c r="B3929" s="66" t="str">
        <x:v>量客投资金选套利1号</x:v>
      </x:c>
      <x:c r="C3929" s="72" t="n">
        <x:v>45282</x:v>
      </x:c>
      <x:c r="D3929" s="73" t="n">
        <x:v>1.3318</x:v>
      </x:c>
      <x:c r="E3929" s="73" t="n">
        <x:v>1.5116</x:v>
      </x:c>
      <x:c r="F3929" s="73" t="n">
        <x:v>1.5694</x:v>
      </x:c>
      <x:c r="G3929" s="74" t="n">
        <x:v>0.0051</x:v>
      </x:c>
      <x:c r="H3929" s="66" t="str">
        <x:v>量客投资金选套利1号净值20260911.xlsx</x:v>
      </x:c>
      <x:c r="I3929" s="73" t="str">
        <x:f>""</x:f>
      </x:c>
      <x:c r="J3929" s="74" t="str">
        <x:f>""</x:f>
      </x:c>
      <x:c r="K3929" s="73" t="n">
        <x:f>MAX(K3928,F3929)</x:f>
        <x:v>1.5694</x:v>
      </x:c>
      <x:c r="L3929" s="74" t="n">
        <x:f>1-F3929/K3929</x:f>
        <x:v>0</x:v>
      </x:c>
      <x:c r="M3929" s="73" t="n">
        <x:f>MAX(M3928,F3929)</x:f>
        <x:v>1.5694</x:v>
      </x:c>
      <x:c r="N3929" s="74" t="n">
        <x:f>1-F3929/M3929</x:f>
        <x:v>0</x:v>
      </x:c>
    </x:row>
    <x:row r="3930" ht="27" customHeight="1">
      <x:c r="A3930" s="66" t="str">
        <x:v>SNH457</x:v>
      </x:c>
      <x:c r="B3930" s="66" t="str">
        <x:v>量客投资金选套利1号</x:v>
      </x:c>
      <x:c r="C3930" s="72" t="n">
        <x:v>45289</x:v>
      </x:c>
      <x:c r="D3930" s="73" t="n">
        <x:v>1.3357</x:v>
      </x:c>
      <x:c r="E3930" s="73" t="n">
        <x:v>1.5155</x:v>
      </x:c>
      <x:c r="F3930" s="73" t="n">
        <x:v>1.574</x:v>
      </x:c>
      <x:c r="G3930" s="74" t="n">
        <x:v>0.0029</x:v>
      </x:c>
      <x:c r="H3930" s="66" t="str">
        <x:v>量客投资金选套利1号净值20260911.xlsx</x:v>
      </x:c>
      <x:c r="I3930" s="73" t="str">
        <x:f>""</x:f>
      </x:c>
      <x:c r="J3930" s="74" t="str">
        <x:f>""</x:f>
      </x:c>
      <x:c r="K3930" s="73" t="n">
        <x:f>MAX(K3929,F3930)</x:f>
        <x:v>1.574</x:v>
      </x:c>
      <x:c r="L3930" s="74" t="n">
        <x:f>1-F3930/K3930</x:f>
        <x:v>0</x:v>
      </x:c>
      <x:c r="M3930" s="73" t="n">
        <x:f>MAX(M3929,F3930)</x:f>
        <x:v>1.574</x:v>
      </x:c>
      <x:c r="N3930" s="74" t="n">
        <x:f>1-F3930/M3930</x:f>
        <x:v>0</x:v>
      </x:c>
    </x:row>
    <x:row r="3931" ht="27" customHeight="1">
      <x:c r="A3931" s="66" t="str">
        <x:v>SNH457</x:v>
      </x:c>
      <x:c r="B3931" s="66" t="str">
        <x:v>量客投资金选套利1号</x:v>
      </x:c>
      <x:c r="C3931" s="72" t="n">
        <x:v>45296</x:v>
      </x:c>
      <x:c r="D3931" s="73" t="n">
        <x:v>1.3356</x:v>
      </x:c>
      <x:c r="E3931" s="73" t="n">
        <x:v>1.5154</x:v>
      </x:c>
      <x:c r="F3931" s="73" t="n">
        <x:v>1.5739</x:v>
      </x:c>
      <x:c r="G3931" s="74" t="n">
        <x:v>-0.0001</x:v>
      </x:c>
      <x:c r="H3931" s="66" t="str">
        <x:v>量客投资金选套利1号净值20260911.xlsx</x:v>
      </x:c>
      <x:c r="I3931" s="73" t="str">
        <x:f>""</x:f>
      </x:c>
      <x:c r="J3931" s="74" t="str">
        <x:f>""</x:f>
      </x:c>
      <x:c r="K3931" s="73" t="n">
        <x:f>MAX(K3930,F3931)</x:f>
        <x:v>1.574</x:v>
      </x:c>
      <x:c r="L3931" s="74" t="n">
        <x:f>1-F3931/K3931</x:f>
        <x:v>0.00006353240152479067</x:v>
      </x:c>
      <x:c r="M3931" s="73" t="n">
        <x:f>MAX(M3930,F3931)</x:f>
        <x:v>1.574</x:v>
      </x:c>
      <x:c r="N3931" s="74" t="n">
        <x:f>1-F3931/M3931</x:f>
        <x:v>0.00006353240152479067</x:v>
      </x:c>
    </x:row>
    <x:row r="3932" ht="27" customHeight="1">
      <x:c r="A3932" s="66" t="str">
        <x:v>SNH457</x:v>
      </x:c>
      <x:c r="B3932" s="66" t="str">
        <x:v>量客投资金选套利1号</x:v>
      </x:c>
      <x:c r="C3932" s="72" t="n">
        <x:v>45303</x:v>
      </x:c>
      <x:c r="D3932" s="73" t="n">
        <x:v>1.3377</x:v>
      </x:c>
      <x:c r="E3932" s="73" t="n">
        <x:v>1.5175</x:v>
      </x:c>
      <x:c r="F3932" s="73" t="n">
        <x:v>1.5763</x:v>
      </x:c>
      <x:c r="G3932" s="74" t="n">
        <x:v>0.0016</x:v>
      </x:c>
      <x:c r="H3932" s="66" t="str">
        <x:v>量客投资金选套利1号净值20260911.xlsx</x:v>
      </x:c>
      <x:c r="I3932" s="73" t="str">
        <x:f>""</x:f>
      </x:c>
      <x:c r="J3932" s="74" t="str">
        <x:f>""</x:f>
      </x:c>
      <x:c r="K3932" s="73" t="n">
        <x:f>MAX(K3931,F3932)</x:f>
        <x:v>1.5763</x:v>
      </x:c>
      <x:c r="L3932" s="74" t="n">
        <x:f>1-F3932/K3932</x:f>
        <x:v>0</x:v>
      </x:c>
      <x:c r="M3932" s="73" t="n">
        <x:f>MAX(M3931,F3932)</x:f>
        <x:v>1.5763</x:v>
      </x:c>
      <x:c r="N3932" s="74" t="n">
        <x:f>1-F3932/M3932</x:f>
        <x:v>0</x:v>
      </x:c>
    </x:row>
    <x:row r="3933" ht="27" customHeight="1">
      <x:c r="A3933" s="66" t="str">
        <x:v>SNH457</x:v>
      </x:c>
      <x:c r="B3933" s="66" t="str">
        <x:v>量客投资金选套利1号</x:v>
      </x:c>
      <x:c r="C3933" s="72" t="n">
        <x:v>45310</x:v>
      </x:c>
      <x:c r="D3933" s="73" t="n">
        <x:v>1.3442</x:v>
      </x:c>
      <x:c r="E3933" s="73" t="n">
        <x:v>1.524</x:v>
      </x:c>
      <x:c r="F3933" s="73" t="n">
        <x:v>1.584</x:v>
      </x:c>
      <x:c r="G3933" s="74" t="n">
        <x:v>0.0049</x:v>
      </x:c>
      <x:c r="H3933" s="66" t="str">
        <x:v>量客投资金选套利1号净值20260911.xlsx</x:v>
      </x:c>
      <x:c r="I3933" s="73" t="str">
        <x:f>""</x:f>
      </x:c>
      <x:c r="J3933" s="74" t="str">
        <x:f>""</x:f>
      </x:c>
      <x:c r="K3933" s="73" t="n">
        <x:f>MAX(K3932,F3933)</x:f>
        <x:v>1.584</x:v>
      </x:c>
      <x:c r="L3933" s="74" t="n">
        <x:f>1-F3933/K3933</x:f>
        <x:v>0</x:v>
      </x:c>
      <x:c r="M3933" s="73" t="n">
        <x:f>MAX(M3932,F3933)</x:f>
        <x:v>1.584</x:v>
      </x:c>
      <x:c r="N3933" s="74" t="n">
        <x:f>1-F3933/M3933</x:f>
        <x:v>0</x:v>
      </x:c>
    </x:row>
    <x:row r="3934" ht="27" customHeight="1">
      <x:c r="A3934" s="66" t="str">
        <x:v>SNH457</x:v>
      </x:c>
      <x:c r="B3934" s="66" t="str">
        <x:v>量客投资金选套利1号</x:v>
      </x:c>
      <x:c r="C3934" s="72" t="n">
        <x:v>45317</x:v>
      </x:c>
      <x:c r="D3934" s="73" t="n">
        <x:v>1.354</x:v>
      </x:c>
      <x:c r="E3934" s="73" t="n">
        <x:v>1.5338</x:v>
      </x:c>
      <x:c r="F3934" s="73" t="n">
        <x:v>1.5955</x:v>
      </x:c>
      <x:c r="G3934" s="74" t="n">
        <x:v>0.0073</x:v>
      </x:c>
      <x:c r="H3934" s="66" t="str">
        <x:v>量客投资金选套利1号净值20260911.xlsx</x:v>
      </x:c>
      <x:c r="I3934" s="73" t="str">
        <x:f>""</x:f>
      </x:c>
      <x:c r="J3934" s="74" t="str">
        <x:f>""</x:f>
      </x:c>
      <x:c r="K3934" s="73" t="n">
        <x:f>MAX(K3933,F3934)</x:f>
        <x:v>1.5955</x:v>
      </x:c>
      <x:c r="L3934" s="74" t="n">
        <x:f>1-F3934/K3934</x:f>
        <x:v>0</x:v>
      </x:c>
      <x:c r="M3934" s="73" t="n">
        <x:f>MAX(M3933,F3934)</x:f>
        <x:v>1.5955</x:v>
      </x:c>
      <x:c r="N3934" s="74" t="n">
        <x:f>1-F3934/M3934</x:f>
        <x:v>0</x:v>
      </x:c>
    </x:row>
    <x:row r="3935" ht="27" customHeight="1">
      <x:c r="A3935" s="66" t="str">
        <x:v>SNH457</x:v>
      </x:c>
      <x:c r="B3935" s="66" t="str">
        <x:v>量客投资金选套利1号</x:v>
      </x:c>
      <x:c r="C3935" s="72" t="n">
        <x:v>45324</x:v>
      </x:c>
      <x:c r="D3935" s="73" t="n">
        <x:v>1.3627</x:v>
      </x:c>
      <x:c r="E3935" s="73" t="n">
        <x:v>1.5425</x:v>
      </x:c>
      <x:c r="F3935" s="73" t="n">
        <x:v>1.6058</x:v>
      </x:c>
      <x:c r="G3935" s="74" t="n">
        <x:v>0.0064</x:v>
      </x:c>
      <x:c r="H3935" s="66" t="str">
        <x:v>量客投资金选套利1号净值20260911.xlsx</x:v>
      </x:c>
      <x:c r="I3935" s="73" t="str">
        <x:f>""</x:f>
      </x:c>
      <x:c r="J3935" s="74" t="str">
        <x:f>""</x:f>
      </x:c>
      <x:c r="K3935" s="73" t="n">
        <x:f>MAX(K3934,F3935)</x:f>
        <x:v>1.6058</x:v>
      </x:c>
      <x:c r="L3935" s="74" t="n">
        <x:f>1-F3935/K3935</x:f>
        <x:v>0</x:v>
      </x:c>
      <x:c r="M3935" s="73" t="n">
        <x:f>MAX(M3934,F3935)</x:f>
        <x:v>1.6058</x:v>
      </x:c>
      <x:c r="N3935" s="74" t="n">
        <x:f>1-F3935/M3935</x:f>
        <x:v>0</x:v>
      </x:c>
    </x:row>
    <x:row r="3936" ht="27" customHeight="1">
      <x:c r="A3936" s="66" t="str">
        <x:v>SNH457</x:v>
      </x:c>
      <x:c r="B3936" s="66" t="str">
        <x:v>量客投资金选套利1号</x:v>
      </x:c>
      <x:c r="C3936" s="72" t="n">
        <x:v>45330</x:v>
      </x:c>
      <x:c r="D3936" s="73" t="n">
        <x:v>1.3743</x:v>
      </x:c>
      <x:c r="E3936" s="73" t="n">
        <x:v>1.5541</x:v>
      </x:c>
      <x:c r="F3936" s="73" t="n">
        <x:v>1.6195</x:v>
      </x:c>
      <x:c r="G3936" s="74" t="n">
        <x:v>0.0085</x:v>
      </x:c>
      <x:c r="H3936" s="66" t="str">
        <x:v>量客投资金选套利1号净值20260911.xlsx</x:v>
      </x:c>
      <x:c r="I3936" s="73" t="str">
        <x:f>""</x:f>
      </x:c>
      <x:c r="J3936" s="74" t="str">
        <x:f>""</x:f>
      </x:c>
      <x:c r="K3936" s="73" t="n">
        <x:f>MAX(K3935,F3936)</x:f>
        <x:v>1.6195</x:v>
      </x:c>
      <x:c r="L3936" s="74" t="n">
        <x:f>1-F3936/K3936</x:f>
        <x:v>0</x:v>
      </x:c>
      <x:c r="M3936" s="73" t="n">
        <x:f>MAX(M3935,F3936)</x:f>
        <x:v>1.6195</x:v>
      </x:c>
      <x:c r="N3936" s="74" t="n">
        <x:f>1-F3936/M3936</x:f>
        <x:v>0</x:v>
      </x:c>
    </x:row>
    <x:row r="3937" ht="27" customHeight="1">
      <x:c r="A3937" s="66" t="str">
        <x:v>SNH457</x:v>
      </x:c>
      <x:c r="B3937" s="66" t="str">
        <x:v>量客投资金选套利1号</x:v>
      </x:c>
      <x:c r="C3937" s="72" t="n">
        <x:v>45345</x:v>
      </x:c>
      <x:c r="D3937" s="73" t="n">
        <x:v>1.3795</x:v>
      </x:c>
      <x:c r="E3937" s="73" t="n">
        <x:v>1.5593</x:v>
      </x:c>
      <x:c r="F3937" s="73" t="n">
        <x:v>1.6256</x:v>
      </x:c>
      <x:c r="G3937" s="74" t="n">
        <x:v>0.0038</x:v>
      </x:c>
      <x:c r="H3937" s="66" t="str">
        <x:v>量客投资金选套利1号净值20260911.xlsx</x:v>
      </x:c>
      <x:c r="I3937" s="73" t="str">
        <x:f>""</x:f>
      </x:c>
      <x:c r="J3937" s="74" t="str">
        <x:f>""</x:f>
      </x:c>
      <x:c r="K3937" s="73" t="n">
        <x:f>MAX(K3936,F3937)</x:f>
        <x:v>1.6256</x:v>
      </x:c>
      <x:c r="L3937" s="74" t="n">
        <x:f>1-F3937/K3937</x:f>
        <x:v>0</x:v>
      </x:c>
      <x:c r="M3937" s="73" t="n">
        <x:f>MAX(M3936,F3937)</x:f>
        <x:v>1.6256</x:v>
      </x:c>
      <x:c r="N3937" s="74" t="n">
        <x:f>1-F3937/M3937</x:f>
        <x:v>0</x:v>
      </x:c>
    </x:row>
    <x:row r="3938" ht="27" customHeight="1">
      <x:c r="A3938" s="66" t="str">
        <x:v>SNH457</x:v>
      </x:c>
      <x:c r="B3938" s="66" t="str">
        <x:v>量客投资金选套利1号</x:v>
      </x:c>
      <x:c r="C3938" s="72" t="n">
        <x:v>45352</x:v>
      </x:c>
      <x:c r="D3938" s="73" t="n">
        <x:v>1.3863</x:v>
      </x:c>
      <x:c r="E3938" s="73" t="n">
        <x:v>1.5661</x:v>
      </x:c>
      <x:c r="F3938" s="73" t="n">
        <x:v>1.6336</x:v>
      </x:c>
      <x:c r="G3938" s="74" t="n">
        <x:v>0.0049</x:v>
      </x:c>
      <x:c r="H3938" s="66" t="str">
        <x:v>量客投资金选套利1号净值20260911.xlsx</x:v>
      </x:c>
      <x:c r="I3938" s="73" t="str">
        <x:f>""</x:f>
      </x:c>
      <x:c r="J3938" s="74" t="str">
        <x:f>""</x:f>
      </x:c>
      <x:c r="K3938" s="73" t="n">
        <x:f>MAX(K3937,F3938)</x:f>
        <x:v>1.6336</x:v>
      </x:c>
      <x:c r="L3938" s="74" t="n">
        <x:f>1-F3938/K3938</x:f>
        <x:v>0</x:v>
      </x:c>
      <x:c r="M3938" s="73" t="n">
        <x:f>MAX(M3937,F3938)</x:f>
        <x:v>1.6336</x:v>
      </x:c>
      <x:c r="N3938" s="74" t="n">
        <x:f>1-F3938/M3938</x:f>
        <x:v>0</x:v>
      </x:c>
    </x:row>
    <x:row r="3939" ht="27" customHeight="1">
      <x:c r="A3939" s="66" t="str">
        <x:v>SNH457</x:v>
      </x:c>
      <x:c r="B3939" s="66" t="str">
        <x:v>量客投资金选套利1号</x:v>
      </x:c>
      <x:c r="C3939" s="72" t="n">
        <x:v>45359</x:v>
      </x:c>
      <x:c r="D3939" s="73" t="n">
        <x:v>1.3907</x:v>
      </x:c>
      <x:c r="E3939" s="73" t="n">
        <x:v>1.5705</x:v>
      </x:c>
      <x:c r="F3939" s="73" t="n">
        <x:v>1.6388</x:v>
      </x:c>
      <x:c r="G3939" s="74" t="n">
        <x:v>0.0032</x:v>
      </x:c>
      <x:c r="H3939" s="66" t="str">
        <x:v>量客投资金选套利1号净值20260911.xlsx</x:v>
      </x:c>
      <x:c r="I3939" s="73" t="str">
        <x:f>""</x:f>
      </x:c>
      <x:c r="J3939" s="74" t="str">
        <x:f>""</x:f>
      </x:c>
      <x:c r="K3939" s="73" t="n">
        <x:f>MAX(K3938,F3939)</x:f>
        <x:v>1.6388</x:v>
      </x:c>
      <x:c r="L3939" s="74" t="n">
        <x:f>1-F3939/K3939</x:f>
        <x:v>0</x:v>
      </x:c>
      <x:c r="M3939" s="73" t="n">
        <x:f>MAX(M3938,F3939)</x:f>
        <x:v>1.6388</x:v>
      </x:c>
      <x:c r="N3939" s="74" t="n">
        <x:f>1-F3939/M3939</x:f>
        <x:v>0</x:v>
      </x:c>
    </x:row>
    <x:row r="3940" ht="27" customHeight="1">
      <x:c r="A3940" s="66" t="str">
        <x:v>SNH457</x:v>
      </x:c>
      <x:c r="B3940" s="66" t="str">
        <x:v>量客投资金选套利1号</x:v>
      </x:c>
      <x:c r="C3940" s="72" t="n">
        <x:v>45366</x:v>
      </x:c>
      <x:c r="D3940" s="73" t="n">
        <x:v>1.0026</x:v>
      </x:c>
      <x:c r="E3940" s="73" t="n">
        <x:v>1.5726</x:v>
      </x:c>
      <x:c r="F3940" s="73" t="n">
        <x:v>1.6413</x:v>
      </x:c>
      <x:c r="G3940" s="74" t="n">
        <x:v>0.0015</x:v>
      </x:c>
      <x:c r="H3940" s="66" t="str">
        <x:v>量客投资金选套利1号净值20260911.xlsx</x:v>
      </x:c>
      <x:c r="I3940" s="73" t="str">
        <x:f>""</x:f>
      </x:c>
      <x:c r="J3940" s="74" t="str">
        <x:f>""</x:f>
      </x:c>
      <x:c r="K3940" s="73" t="n">
        <x:f>MAX(K3939,F3940)</x:f>
        <x:v>1.6413</x:v>
      </x:c>
      <x:c r="L3940" s="74" t="n">
        <x:f>1-F3940/K3940</x:f>
        <x:v>0</x:v>
      </x:c>
      <x:c r="M3940" s="73" t="n">
        <x:f>MAX(M3939,F3940)</x:f>
        <x:v>1.6413</x:v>
      </x:c>
      <x:c r="N3940" s="74" t="n">
        <x:f>1-F3940/M3940</x:f>
        <x:v>0</x:v>
      </x:c>
    </x:row>
    <x:row r="3941" ht="27" customHeight="1">
      <x:c r="A3941" s="66" t="str">
        <x:v>SNH457</x:v>
      </x:c>
      <x:c r="B3941" s="66" t="str">
        <x:v>量客投资金选套利1号</x:v>
      </x:c>
      <x:c r="C3941" s="72" t="n">
        <x:v>45373</x:v>
      </x:c>
      <x:c r="D3941" s="73" t="n">
        <x:v>1.0044</x:v>
      </x:c>
      <x:c r="E3941" s="73" t="n">
        <x:v>1.5744</x:v>
      </x:c>
      <x:c r="F3941" s="73" t="n">
        <x:v>1.6442</x:v>
      </x:c>
      <x:c r="G3941" s="74" t="n">
        <x:v>0.0018</x:v>
      </x:c>
      <x:c r="H3941" s="66" t="str">
        <x:v>量客投资金选套利1号净值20260911.xlsx</x:v>
      </x:c>
      <x:c r="I3941" s="73" t="str">
        <x:f>""</x:f>
      </x:c>
      <x:c r="J3941" s="74" t="str">
        <x:f>""</x:f>
      </x:c>
      <x:c r="K3941" s="73" t="n">
        <x:f>MAX(K3940,F3941)</x:f>
        <x:v>1.6442</x:v>
      </x:c>
      <x:c r="L3941" s="74" t="n">
        <x:f>1-F3941/K3941</x:f>
        <x:v>0</x:v>
      </x:c>
      <x:c r="M3941" s="73" t="n">
        <x:f>MAX(M3940,F3941)</x:f>
        <x:v>1.6442</x:v>
      </x:c>
      <x:c r="N3941" s="74" t="n">
        <x:f>1-F3941/M3941</x:f>
        <x:v>0</x:v>
      </x:c>
    </x:row>
    <x:row r="3942" ht="27" customHeight="1">
      <x:c r="A3942" s="66" t="str">
        <x:v>SNH457</x:v>
      </x:c>
      <x:c r="B3942" s="66" t="str">
        <x:v>量客投资金选套利1号</x:v>
      </x:c>
      <x:c r="C3942" s="72" t="n">
        <x:v>45380</x:v>
      </x:c>
      <x:c r="D3942" s="73" t="n">
        <x:v>1.0074</x:v>
      </x:c>
      <x:c r="E3942" s="73" t="n">
        <x:v>1.5774</x:v>
      </x:c>
      <x:c r="F3942" s="73" t="n">
        <x:v>1.6491</x:v>
      </x:c>
      <x:c r="G3942" s="74" t="n">
        <x:v>0.003</x:v>
      </x:c>
      <x:c r="H3942" s="66" t="str">
        <x:v>量客投资金选套利1号净值20260911.xlsx</x:v>
      </x:c>
      <x:c r="I3942" s="73" t="str">
        <x:f>""</x:f>
      </x:c>
      <x:c r="J3942" s="74" t="str">
        <x:f>""</x:f>
      </x:c>
      <x:c r="K3942" s="73" t="n">
        <x:f>MAX(K3941,F3942)</x:f>
        <x:v>1.6491</x:v>
      </x:c>
      <x:c r="L3942" s="74" t="n">
        <x:f>1-F3942/K3942</x:f>
        <x:v>0</x:v>
      </x:c>
      <x:c r="M3942" s="73" t="n">
        <x:f>MAX(M3941,F3942)</x:f>
        <x:v>1.6491</x:v>
      </x:c>
      <x:c r="N3942" s="74" t="n">
        <x:f>1-F3942/M3942</x:f>
        <x:v>0</x:v>
      </x:c>
    </x:row>
    <x:row r="3943" ht="27" customHeight="1">
      <x:c r="A3943" s="66" t="str">
        <x:v>SNH457</x:v>
      </x:c>
      <x:c r="B3943" s="66" t="str">
        <x:v>量客投资金选套利1号</x:v>
      </x:c>
      <x:c r="C3943" s="72" t="n">
        <x:v>45385</x:v>
      </x:c>
      <x:c r="D3943" s="73" t="n">
        <x:v>1.0073</x:v>
      </x:c>
      <x:c r="E3943" s="73" t="n">
        <x:v>1.5773</x:v>
      </x:c>
      <x:c r="F3943" s="73" t="n">
        <x:v>1.649</x:v>
      </x:c>
      <x:c r="G3943" s="74" t="n">
        <x:v>-0.0001</x:v>
      </x:c>
      <x:c r="H3943" s="66" t="str">
        <x:v>量客投资金选套利1号净值20260911.xlsx</x:v>
      </x:c>
      <x:c r="I3943" s="73" t="str">
        <x:f>""</x:f>
      </x:c>
      <x:c r="J3943" s="74" t="str">
        <x:f>""</x:f>
      </x:c>
      <x:c r="K3943" s="73" t="n">
        <x:f>MAX(K3942,F3943)</x:f>
        <x:v>1.6491</x:v>
      </x:c>
      <x:c r="L3943" s="74" t="n">
        <x:f>1-F3943/K3943</x:f>
        <x:v>0.000060639136498674695</x:v>
      </x:c>
      <x:c r="M3943" s="73" t="n">
        <x:f>MAX(M3942,F3943)</x:f>
        <x:v>1.6491</x:v>
      </x:c>
      <x:c r="N3943" s="74" t="n">
        <x:f>1-F3943/M3943</x:f>
        <x:v>0.000060639136498674695</x:v>
      </x:c>
    </x:row>
    <x:row r="3944" ht="27" customHeight="1">
      <x:c r="A3944" s="66" t="str">
        <x:v>SNH457</x:v>
      </x:c>
      <x:c r="B3944" s="66" t="str">
        <x:v>量客投资金选套利1号</x:v>
      </x:c>
      <x:c r="C3944" s="72" t="n">
        <x:v>45394</x:v>
      </x:c>
      <x:c r="D3944" s="73" t="n">
        <x:v>1.0074</x:v>
      </x:c>
      <x:c r="E3944" s="73" t="n">
        <x:v>1.5774</x:v>
      </x:c>
      <x:c r="F3944" s="73" t="n">
        <x:v>1.6491</x:v>
      </x:c>
      <x:c r="G3944" s="74" t="n">
        <x:v>0.0001</x:v>
      </x:c>
      <x:c r="H3944" s="66" t="str">
        <x:v>量客投资金选套利1号净值20260911.xlsx</x:v>
      </x:c>
      <x:c r="I3944" s="73" t="str">
        <x:f>""</x:f>
      </x:c>
      <x:c r="J3944" s="74" t="str">
        <x:f>""</x:f>
      </x:c>
      <x:c r="K3944" s="73" t="n">
        <x:f>MAX(K3943,F3944)</x:f>
        <x:v>1.6491</x:v>
      </x:c>
      <x:c r="L3944" s="74" t="n">
        <x:f>1-F3944/K3944</x:f>
        <x:v>0</x:v>
      </x:c>
      <x:c r="M3944" s="73" t="n">
        <x:f>MAX(M3943,F3944)</x:f>
        <x:v>1.6491</x:v>
      </x:c>
      <x:c r="N3944" s="74" t="n">
        <x:f>1-F3944/M3944</x:f>
        <x:v>0</x:v>
      </x:c>
    </x:row>
    <x:row r="3945" ht="27" customHeight="1">
      <x:c r="A3945" s="66" t="str">
        <x:v>SNH457</x:v>
      </x:c>
      <x:c r="B3945" s="66" t="str">
        <x:v>量客投资金选套利1号</x:v>
      </x:c>
      <x:c r="C3945" s="72" t="n">
        <x:v>45401</x:v>
      </x:c>
      <x:c r="D3945" s="73" t="n">
        <x:v>1.0134</x:v>
      </x:c>
      <x:c r="E3945" s="73" t="n">
        <x:v>1.5834</x:v>
      </x:c>
      <x:c r="F3945" s="73" t="n">
        <x:v>1.6589</x:v>
      </x:c>
      <x:c r="G3945" s="74" t="n">
        <x:v>0.006</x:v>
      </x:c>
      <x:c r="H3945" s="66" t="str">
        <x:v>量客投资金选套利1号净值20260911.xlsx</x:v>
      </x:c>
      <x:c r="I3945" s="73" t="str">
        <x:f>""</x:f>
      </x:c>
      <x:c r="J3945" s="74" t="str">
        <x:f>""</x:f>
      </x:c>
      <x:c r="K3945" s="73" t="n">
        <x:f>MAX(K3944,F3945)</x:f>
        <x:v>1.6589</x:v>
      </x:c>
      <x:c r="L3945" s="74" t="n">
        <x:f>1-F3945/K3945</x:f>
        <x:v>0</x:v>
      </x:c>
      <x:c r="M3945" s="73" t="n">
        <x:f>MAX(M3944,F3945)</x:f>
        <x:v>1.6589</x:v>
      </x:c>
      <x:c r="N3945" s="74" t="n">
        <x:f>1-F3945/M3945</x:f>
        <x:v>0</x:v>
      </x:c>
    </x:row>
    <x:row r="3946" ht="27" customHeight="1">
      <x:c r="A3946" s="66" t="str">
        <x:v>SNH457</x:v>
      </x:c>
      <x:c r="B3946" s="66" t="str">
        <x:v>量客投资金选套利1号</x:v>
      </x:c>
      <x:c r="C3946" s="72" t="n">
        <x:v>45408</x:v>
      </x:c>
      <x:c r="D3946" s="73" t="n">
        <x:v>1.0152</x:v>
      </x:c>
      <x:c r="E3946" s="73" t="n">
        <x:v>1.5852</x:v>
      </x:c>
      <x:c r="F3946" s="73" t="n">
        <x:v>1.6619</x:v>
      </x:c>
      <x:c r="G3946" s="74" t="n">
        <x:v>0.0018</x:v>
      </x:c>
      <x:c r="H3946" s="66" t="str">
        <x:v>量客投资金选套利1号净值20260911.xlsx</x:v>
      </x:c>
      <x:c r="I3946" s="73" t="str">
        <x:f>""</x:f>
      </x:c>
      <x:c r="J3946" s="74" t="str">
        <x:f>""</x:f>
      </x:c>
      <x:c r="K3946" s="73" t="n">
        <x:f>MAX(K3945,F3946)</x:f>
        <x:v>1.6619</x:v>
      </x:c>
      <x:c r="L3946" s="74" t="n">
        <x:f>1-F3946/K3946</x:f>
        <x:v>0</x:v>
      </x:c>
      <x:c r="M3946" s="73" t="n">
        <x:f>MAX(M3945,F3946)</x:f>
        <x:v>1.6619</x:v>
      </x:c>
      <x:c r="N3946" s="74" t="n">
        <x:f>1-F3946/M3946</x:f>
        <x:v>0</x:v>
      </x:c>
    </x:row>
    <x:row r="3947" ht="27" customHeight="1">
      <x:c r="A3947" s="66" t="str">
        <x:v>SNH457</x:v>
      </x:c>
      <x:c r="B3947" s="66" t="str">
        <x:v>量客投资金选套利1号</x:v>
      </x:c>
      <x:c r="C3947" s="72" t="n">
        <x:v>45412</x:v>
      </x:c>
      <x:c r="D3947" s="73" t="n">
        <x:v>1.015</x:v>
      </x:c>
      <x:c r="E3947" s="73" t="n">
        <x:v>1.585</x:v>
      </x:c>
      <x:c r="F3947" s="73" t="n">
        <x:v>1.6616</x:v>
      </x:c>
      <x:c r="G3947" s="74" t="n">
        <x:v>-0.0002</x:v>
      </x:c>
      <x:c r="H3947" s="66" t="str">
        <x:v>量客投资金选套利1号净值20260911.xlsx</x:v>
      </x:c>
      <x:c r="I3947" s="73" t="str">
        <x:f>""</x:f>
      </x:c>
      <x:c r="J3947" s="74" t="str">
        <x:f>""</x:f>
      </x:c>
      <x:c r="K3947" s="73" t="n">
        <x:f>MAX(K3946,F3947)</x:f>
        <x:v>1.6619</x:v>
      </x:c>
      <x:c r="L3947" s="74" t="n">
        <x:f>1-F3947/K3947</x:f>
        <x:v>0.00018051627655091274</x:v>
      </x:c>
      <x:c r="M3947" s="73" t="n">
        <x:f>MAX(M3946,F3947)</x:f>
        <x:v>1.6619</x:v>
      </x:c>
      <x:c r="N3947" s="74" t="n">
        <x:f>1-F3947/M3947</x:f>
        <x:v>0.00018051627655091274</x:v>
      </x:c>
    </x:row>
    <x:row r="3948" ht="27" customHeight="1">
      <x:c r="A3948" s="66" t="str">
        <x:v>SNH457</x:v>
      </x:c>
      <x:c r="B3948" s="66" t="str">
        <x:v>量客投资金选套利1号</x:v>
      </x:c>
      <x:c r="C3948" s="72" t="n">
        <x:v>45422</x:v>
      </x:c>
      <x:c r="D3948" s="73" t="n">
        <x:v>1.0144</x:v>
      </x:c>
      <x:c r="E3948" s="73" t="n">
        <x:v>1.5844</x:v>
      </x:c>
      <x:c r="F3948" s="73" t="n">
        <x:v>1.6606</x:v>
      </x:c>
      <x:c r="G3948" s="74" t="n">
        <x:v>-0.0006</x:v>
      </x:c>
      <x:c r="H3948" s="66" t="str">
        <x:v>量客投资金选套利1号净值20260911.xlsx</x:v>
      </x:c>
      <x:c r="I3948" s="73" t="str">
        <x:f>""</x:f>
      </x:c>
      <x:c r="J3948" s="74" t="str">
        <x:f>""</x:f>
      </x:c>
      <x:c r="K3948" s="73" t="n">
        <x:f>MAX(K3947,F3948)</x:f>
        <x:v>1.6619</x:v>
      </x:c>
      <x:c r="L3948" s="74" t="n">
        <x:f>1-F3948/K3948</x:f>
        <x:v>0.0007822371983873255</x:v>
      </x:c>
      <x:c r="M3948" s="73" t="n">
        <x:f>MAX(M3947,F3948)</x:f>
        <x:v>1.6619</x:v>
      </x:c>
      <x:c r="N3948" s="74" t="n">
        <x:f>1-F3948/M3948</x:f>
        <x:v>0.0007822371983873255</x:v>
      </x:c>
    </x:row>
    <x:row r="3949" ht="27" customHeight="1">
      <x:c r="A3949" s="66" t="str">
        <x:v>SNH457</x:v>
      </x:c>
      <x:c r="B3949" s="66" t="str">
        <x:v>量客投资金选套利1号</x:v>
      </x:c>
      <x:c r="C3949" s="72" t="n">
        <x:v>45429</x:v>
      </x:c>
      <x:c r="D3949" s="73" t="n">
        <x:v>1.0138</x:v>
      </x:c>
      <x:c r="E3949" s="73" t="n">
        <x:v>1.5838</x:v>
      </x:c>
      <x:c r="F3949" s="73" t="n">
        <x:v>1.6596</x:v>
      </x:c>
      <x:c r="G3949" s="74" t="n">
        <x:v>-0.0006</x:v>
      </x:c>
      <x:c r="H3949" s="66" t="str">
        <x:v>量客投资金选套利1号净值20260911.xlsx</x:v>
      </x:c>
      <x:c r="I3949" s="73" t="str">
        <x:f>""</x:f>
      </x:c>
      <x:c r="J3949" s="74" t="str">
        <x:f>""</x:f>
      </x:c>
      <x:c r="K3949" s="73" t="n">
        <x:f>MAX(K3948,F3949)</x:f>
        <x:v>1.6619</x:v>
      </x:c>
      <x:c r="L3949" s="74" t="n">
        <x:f>1-F3949/K3949</x:f>
        <x:v>0.0013839581202238493</x:v>
      </x:c>
      <x:c r="M3949" s="73" t="n">
        <x:f>MAX(M3948,F3949)</x:f>
        <x:v>1.6619</x:v>
      </x:c>
      <x:c r="N3949" s="74" t="n">
        <x:f>1-F3949/M3949</x:f>
        <x:v>0.0013839581202238493</x:v>
      </x:c>
    </x:row>
    <x:row r="3950" ht="27" customHeight="1">
      <x:c r="A3950" s="66" t="str">
        <x:v>SNH457</x:v>
      </x:c>
      <x:c r="B3950" s="66" t="str">
        <x:v>量客投资金选套利1号</x:v>
      </x:c>
      <x:c r="C3950" s="72" t="n">
        <x:v>45436</x:v>
      </x:c>
      <x:c r="D3950" s="73" t="n">
        <x:v>1.0128</x:v>
      </x:c>
      <x:c r="E3950" s="73" t="n">
        <x:v>1.5828</x:v>
      </x:c>
      <x:c r="F3950" s="73" t="n">
        <x:v>1.658</x:v>
      </x:c>
      <x:c r="G3950" s="74" t="n">
        <x:v>-0.001</x:v>
      </x:c>
      <x:c r="H3950" s="66" t="str">
        <x:v>量客投资金选套利1号净值20260911.xlsx</x:v>
      </x:c>
      <x:c r="I3950" s="73" t="str">
        <x:f>""</x:f>
      </x:c>
      <x:c r="J3950" s="74" t="str">
        <x:f>""</x:f>
      </x:c>
      <x:c r="K3950" s="73" t="n">
        <x:f>MAX(K3949,F3950)</x:f>
        <x:v>1.6619</x:v>
      </x:c>
      <x:c r="L3950" s="74" t="n">
        <x:f>1-F3950/K3950</x:f>
        <x:v>0.0023467115951621986</x:v>
      </x:c>
      <x:c r="M3950" s="73" t="n">
        <x:f>MAX(M3949,F3950)</x:f>
        <x:v>1.6619</x:v>
      </x:c>
      <x:c r="N3950" s="74" t="n">
        <x:f>1-F3950/M3950</x:f>
        <x:v>0.0023467115951621986</x:v>
      </x:c>
    </x:row>
    <x:row r="3951" ht="27" customHeight="1">
      <x:c r="A3951" s="66" t="str">
        <x:v>SNH457</x:v>
      </x:c>
      <x:c r="B3951" s="66" t="str">
        <x:v>量客投资金选套利1号</x:v>
      </x:c>
      <x:c r="C3951" s="72" t="n">
        <x:v>45443</x:v>
      </x:c>
      <x:c r="D3951" s="73" t="n">
        <x:v>1.0118</x:v>
      </x:c>
      <x:c r="E3951" s="73" t="n">
        <x:v>1.5818</x:v>
      </x:c>
      <x:c r="F3951" s="73" t="n">
        <x:v>1.6563</x:v>
      </x:c>
      <x:c r="G3951" s="74" t="n">
        <x:v>-0.001</x:v>
      </x:c>
      <x:c r="H3951" s="66" t="str">
        <x:v>量客投资金选套利1号净值20260911.xlsx</x:v>
      </x:c>
      <x:c r="I3951" s="73" t="str">
        <x:f>""</x:f>
      </x:c>
      <x:c r="J3951" s="74" t="str">
        <x:f>""</x:f>
      </x:c>
      <x:c r="K3951" s="73" t="n">
        <x:f>MAX(K3950,F3951)</x:f>
        <x:v>1.6619</x:v>
      </x:c>
      <x:c r="L3951" s="74" t="n">
        <x:f>1-F3951/K3951</x:f>
        <x:v>0.0033696371622840005</x:v>
      </x:c>
      <x:c r="M3951" s="73" t="n">
        <x:f>MAX(M3950,F3951)</x:f>
        <x:v>1.6619</x:v>
      </x:c>
      <x:c r="N3951" s="74" t="n">
        <x:f>1-F3951/M3951</x:f>
        <x:v>0.0033696371622840005</x:v>
      </x:c>
    </x:row>
    <x:row r="3952" ht="27" customHeight="1">
      <x:c r="A3952" s="66" t="str">
        <x:v>SNH457</x:v>
      </x:c>
      <x:c r="B3952" s="66" t="str">
        <x:v>量客投资金选套利1号</x:v>
      </x:c>
      <x:c r="C3952" s="72" t="n">
        <x:v>45450</x:v>
      </x:c>
      <x:c r="D3952" s="73" t="n">
        <x:v>1.0127</x:v>
      </x:c>
      <x:c r="E3952" s="73" t="n">
        <x:v>1.5827</x:v>
      </x:c>
      <x:c r="F3952" s="73" t="n">
        <x:v>1.6578</x:v>
      </x:c>
      <x:c r="G3952" s="74" t="n">
        <x:v>0.0009</x:v>
      </x:c>
      <x:c r="H3952" s="66" t="str">
        <x:v>量客投资金选套利1号净值20260911.xlsx</x:v>
      </x:c>
      <x:c r="I3952" s="73" t="str">
        <x:f>""</x:f>
      </x:c>
      <x:c r="J3952" s="74" t="str">
        <x:f>""</x:f>
      </x:c>
      <x:c r="K3952" s="73" t="n">
        <x:f>MAX(K3951,F3952)</x:f>
        <x:v>1.6619</x:v>
      </x:c>
      <x:c r="L3952" s="74" t="n">
        <x:f>1-F3952/K3952</x:f>
        <x:v>0.0024670557795294368</x:v>
      </x:c>
      <x:c r="M3952" s="73" t="n">
        <x:f>MAX(M3951,F3952)</x:f>
        <x:v>1.6619</x:v>
      </x:c>
      <x:c r="N3952" s="74" t="n">
        <x:f>1-F3952/M3952</x:f>
        <x:v>0.0024670557795294368</x:v>
      </x:c>
    </x:row>
    <x:row r="3953" ht="27" customHeight="1">
      <x:c r="A3953" s="66" t="str">
        <x:v>SNH457</x:v>
      </x:c>
      <x:c r="B3953" s="66" t="str">
        <x:v>量客投资金选套利1号</x:v>
      </x:c>
      <x:c r="C3953" s="72" t="n">
        <x:v>45457</x:v>
      </x:c>
      <x:c r="D3953" s="73" t="n">
        <x:v>1.0121</x:v>
      </x:c>
      <x:c r="E3953" s="73" t="n">
        <x:v>1.5821</x:v>
      </x:c>
      <x:c r="F3953" s="73" t="n">
        <x:v>1.6568</x:v>
      </x:c>
      <x:c r="G3953" s="74" t="n">
        <x:v>-0.0006</x:v>
      </x:c>
      <x:c r="H3953" s="66" t="str">
        <x:v>量客投资金选套利1号净值20260911.xlsx</x:v>
      </x:c>
      <x:c r="I3953" s="73" t="str">
        <x:f>""</x:f>
      </x:c>
      <x:c r="J3953" s="74" t="str">
        <x:f>""</x:f>
      </x:c>
      <x:c r="K3953" s="73" t="n">
        <x:f>MAX(K3952,F3953)</x:f>
        <x:v>1.6619</x:v>
      </x:c>
      <x:c r="L3953" s="74" t="n">
        <x:f>1-F3953/K3953</x:f>
        <x:v>0.0030687767013658496</x:v>
      </x:c>
      <x:c r="M3953" s="73" t="n">
        <x:f>MAX(M3952,F3953)</x:f>
        <x:v>1.6619</x:v>
      </x:c>
      <x:c r="N3953" s="74" t="n">
        <x:f>1-F3953/M3953</x:f>
        <x:v>0.0030687767013658496</x:v>
      </x:c>
    </x:row>
    <x:row r="3954" ht="27" customHeight="1">
      <x:c r="A3954" s="66" t="str">
        <x:v>SNH457</x:v>
      </x:c>
      <x:c r="B3954" s="66" t="str">
        <x:v>量客投资金选套利1号</x:v>
      </x:c>
      <x:c r="C3954" s="72" t="n">
        <x:v>45464</x:v>
      </x:c>
      <x:c r="D3954" s="73" t="n">
        <x:v>1.0121</x:v>
      </x:c>
      <x:c r="E3954" s="73" t="n">
        <x:v>1.5821</x:v>
      </x:c>
      <x:c r="F3954" s="73" t="n">
        <x:v>1.6568</x:v>
      </x:c>
      <x:c r="G3954" s="74" t="n">
        <x:v>0</x:v>
      </x:c>
      <x:c r="H3954" s="66" t="str">
        <x:v>量客投资金选套利1号净值20260911.xlsx</x:v>
      </x:c>
      <x:c r="I3954" s="73" t="str">
        <x:f>""</x:f>
      </x:c>
      <x:c r="J3954" s="74" t="str">
        <x:f>""</x:f>
      </x:c>
      <x:c r="K3954" s="73" t="n">
        <x:f>MAX(K3953,F3954)</x:f>
        <x:v>1.6619</x:v>
      </x:c>
      <x:c r="L3954" s="74" t="n">
        <x:f>1-F3954/K3954</x:f>
        <x:v>0.0030687767013658496</x:v>
      </x:c>
      <x:c r="M3954" s="73" t="n">
        <x:f>MAX(M3953,F3954)</x:f>
        <x:v>1.6619</x:v>
      </x:c>
      <x:c r="N3954" s="74" t="n">
        <x:f>1-F3954/M3954</x:f>
        <x:v>0.0030687767013658496</x:v>
      </x:c>
    </x:row>
    <x:row r="3955" ht="27" customHeight="1">
      <x:c r="A3955" s="66" t="str">
        <x:v>SNH457</x:v>
      </x:c>
      <x:c r="B3955" s="66" t="str">
        <x:v>量客投资金选套利1号</x:v>
      </x:c>
      <x:c r="C3955" s="72" t="n">
        <x:v>45471</x:v>
      </x:c>
      <x:c r="D3955" s="73" t="n">
        <x:v>1.0148</x:v>
      </x:c>
      <x:c r="E3955" s="73" t="n">
        <x:v>1.5848</x:v>
      </x:c>
      <x:c r="F3955" s="73" t="n">
        <x:v>1.6612</x:v>
      </x:c>
      <x:c r="G3955" s="74" t="n">
        <x:v>0.0027</x:v>
      </x:c>
      <x:c r="H3955" s="66" t="str">
        <x:v>量客投资金选套利1号净值20260911.xlsx</x:v>
      </x:c>
      <x:c r="I3955" s="73" t="str">
        <x:f>""</x:f>
      </x:c>
      <x:c r="J3955" s="74" t="str">
        <x:f>""</x:f>
      </x:c>
      <x:c r="K3955" s="73" t="n">
        <x:f>MAX(K3954,F3955)</x:f>
        <x:v>1.6619</x:v>
      </x:c>
      <x:c r="L3955" s="74" t="n">
        <x:f>1-F3955/K3955</x:f>
        <x:v>0.00042120464528550006</x:v>
      </x:c>
      <x:c r="M3955" s="73" t="n">
        <x:f>MAX(M3954,F3955)</x:f>
        <x:v>1.6619</x:v>
      </x:c>
      <x:c r="N3955" s="74" t="n">
        <x:f>1-F3955/M3955</x:f>
        <x:v>0.00042120464528550006</x:v>
      </x:c>
    </x:row>
    <x:row r="3956" ht="27" customHeight="1">
      <x:c r="A3956" s="66" t="str">
        <x:v>SNH457</x:v>
      </x:c>
      <x:c r="B3956" s="66" t="str">
        <x:v>量客投资金选套利1号</x:v>
      </x:c>
      <x:c r="C3956" s="72" t="n">
        <x:v>45478</x:v>
      </x:c>
      <x:c r="D3956" s="73" t="n">
        <x:v>1.0177</x:v>
      </x:c>
      <x:c r="E3956" s="73" t="n">
        <x:v>1.5877</x:v>
      </x:c>
      <x:c r="F3956" s="73" t="n">
        <x:v>1.666</x:v>
      </x:c>
      <x:c r="G3956" s="74" t="n">
        <x:v>0.0029</x:v>
      </x:c>
      <x:c r="H3956" s="66" t="str">
        <x:v>量客投资金选套利1号净值20260911.xlsx</x:v>
      </x:c>
      <x:c r="I3956" s="73" t="str">
        <x:f>""</x:f>
      </x:c>
      <x:c r="J3956" s="74" t="str">
        <x:f>""</x:f>
      </x:c>
      <x:c r="K3956" s="73" t="n">
        <x:f>MAX(K3955,F3956)</x:f>
        <x:v>1.666</x:v>
      </x:c>
      <x:c r="L3956" s="74" t="n">
        <x:f>1-F3956/K3956</x:f>
        <x:v>0</x:v>
      </x:c>
      <x:c r="M3956" s="73" t="n">
        <x:f>MAX(M3955,F3956)</x:f>
        <x:v>1.666</x:v>
      </x:c>
      <x:c r="N3956" s="74" t="n">
        <x:f>1-F3956/M3956</x:f>
        <x:v>0</x:v>
      </x:c>
    </x:row>
    <x:row r="3957" ht="27" customHeight="1">
      <x:c r="A3957" s="66" t="str">
        <x:v>SNH457</x:v>
      </x:c>
      <x:c r="B3957" s="66" t="str">
        <x:v>量客投资金选套利1号</x:v>
      </x:c>
      <x:c r="C3957" s="72" t="n">
        <x:v>45485</x:v>
      </x:c>
      <x:c r="D3957" s="73" t="n">
        <x:v>1.0183</x:v>
      </x:c>
      <x:c r="E3957" s="73" t="n">
        <x:v>1.5883</x:v>
      </x:c>
      <x:c r="F3957" s="73" t="n">
        <x:v>1.667</x:v>
      </x:c>
      <x:c r="G3957" s="74" t="n">
        <x:v>0.0006</x:v>
      </x:c>
      <x:c r="H3957" s="66" t="str">
        <x:v>量客投资金选套利1号净值20260911.xlsx</x:v>
      </x:c>
      <x:c r="I3957" s="73" t="str">
        <x:f>""</x:f>
      </x:c>
      <x:c r="J3957" s="74" t="str">
        <x:f>""</x:f>
      </x:c>
      <x:c r="K3957" s="73" t="n">
        <x:f>MAX(K3956,F3957)</x:f>
        <x:v>1.667</x:v>
      </x:c>
      <x:c r="L3957" s="74" t="n">
        <x:f>1-F3957/K3957</x:f>
        <x:v>0</x:v>
      </x:c>
      <x:c r="M3957" s="73" t="n">
        <x:f>MAX(M3956,F3957)</x:f>
        <x:v>1.667</x:v>
      </x:c>
      <x:c r="N3957" s="74" t="n">
        <x:f>1-F3957/M3957</x:f>
        <x:v>0</x:v>
      </x:c>
    </x:row>
    <x:row r="3958" ht="27" customHeight="1">
      <x:c r="A3958" s="66" t="str">
        <x:v>SNH457</x:v>
      </x:c>
      <x:c r="B3958" s="66" t="str">
        <x:v>量客投资金选套利1号</x:v>
      </x:c>
      <x:c r="C3958" s="72" t="n">
        <x:v>45492</x:v>
      </x:c>
      <x:c r="D3958" s="73" t="n">
        <x:v>1.019</x:v>
      </x:c>
      <x:c r="E3958" s="73" t="n">
        <x:v>1.589</x:v>
      </x:c>
      <x:c r="F3958" s="73" t="n">
        <x:v>1.6681</x:v>
      </x:c>
      <x:c r="G3958" s="74" t="n">
        <x:v>0.0007000000000000001</x:v>
      </x:c>
      <x:c r="H3958" s="66" t="str">
        <x:v>量客投资金选套利1号净值20260911.xlsx</x:v>
      </x:c>
      <x:c r="I3958" s="73" t="str">
        <x:f>""</x:f>
      </x:c>
      <x:c r="J3958" s="74" t="str">
        <x:f>""</x:f>
      </x:c>
      <x:c r="K3958" s="73" t="n">
        <x:f>MAX(K3957,F3958)</x:f>
        <x:v>1.6681</x:v>
      </x:c>
      <x:c r="L3958" s="74" t="n">
        <x:f>1-F3958/K3958</x:f>
        <x:v>0</x:v>
      </x:c>
      <x:c r="M3958" s="73" t="n">
        <x:f>MAX(M3957,F3958)</x:f>
        <x:v>1.6681</x:v>
      </x:c>
      <x:c r="N3958" s="74" t="n">
        <x:f>1-F3958/M3958</x:f>
        <x:v>0</x:v>
      </x:c>
    </x:row>
    <x:row r="3959" ht="27" customHeight="1">
      <x:c r="A3959" s="66" t="str">
        <x:v>SNH457</x:v>
      </x:c>
      <x:c r="B3959" s="66" t="str">
        <x:v>量客投资金选套利1号</x:v>
      </x:c>
      <x:c r="C3959" s="72" t="n">
        <x:v>45499</x:v>
      </x:c>
      <x:c r="D3959" s="73" t="n">
        <x:v>1.02</x:v>
      </x:c>
      <x:c r="E3959" s="73" t="n">
        <x:v>1.59</x:v>
      </x:c>
      <x:c r="F3959" s="73" t="n">
        <x:v>1.6697</x:v>
      </x:c>
      <x:c r="G3959" s="74" t="n">
        <x:v>0.001</x:v>
      </x:c>
      <x:c r="H3959" s="66" t="str">
        <x:v>量客投资金选套利1号净值20260911.xlsx</x:v>
      </x:c>
      <x:c r="I3959" s="73" t="str">
        <x:f>""</x:f>
      </x:c>
      <x:c r="J3959" s="74" t="str">
        <x:f>""</x:f>
      </x:c>
      <x:c r="K3959" s="73" t="n">
        <x:f>MAX(K3958,F3959)</x:f>
        <x:v>1.6697</x:v>
      </x:c>
      <x:c r="L3959" s="74" t="n">
        <x:f>1-F3959/K3959</x:f>
        <x:v>0</x:v>
      </x:c>
      <x:c r="M3959" s="73" t="n">
        <x:f>MAX(M3958,F3959)</x:f>
        <x:v>1.6697</x:v>
      </x:c>
      <x:c r="N3959" s="74" t="n">
        <x:f>1-F3959/M3959</x:f>
        <x:v>0</x:v>
      </x:c>
    </x:row>
    <x:row r="3960" ht="27" customHeight="1">
      <x:c r="A3960" s="66" t="str">
        <x:v>SNH457</x:v>
      </x:c>
      <x:c r="B3960" s="66" t="str">
        <x:v>量客投资金选套利1号</x:v>
      </x:c>
      <x:c r="C3960" s="72" t="n">
        <x:v>45506</x:v>
      </x:c>
      <x:c r="D3960" s="73" t="n">
        <x:v>1.0274</x:v>
      </x:c>
      <x:c r="E3960" s="73" t="n">
        <x:v>1.5974</x:v>
      </x:c>
      <x:c r="F3960" s="73" t="n">
        <x:v>1.6819</x:v>
      </x:c>
      <x:c r="G3960" s="74" t="n">
        <x:v>0.0073</x:v>
      </x:c>
      <x:c r="H3960" s="66" t="str">
        <x:v>量客投资金选套利1号净值20260911.xlsx</x:v>
      </x:c>
      <x:c r="I3960" s="73" t="str">
        <x:f>""</x:f>
      </x:c>
      <x:c r="J3960" s="74" t="str">
        <x:f>""</x:f>
      </x:c>
      <x:c r="K3960" s="73" t="n">
        <x:f>MAX(K3959,F3960)</x:f>
        <x:v>1.6819</x:v>
      </x:c>
      <x:c r="L3960" s="74" t="n">
        <x:f>1-F3960/K3960</x:f>
        <x:v>0</x:v>
      </x:c>
      <x:c r="M3960" s="73" t="n">
        <x:f>MAX(M3959,F3960)</x:f>
        <x:v>1.6819</x:v>
      </x:c>
      <x:c r="N3960" s="74" t="n">
        <x:f>1-F3960/M3960</x:f>
        <x:v>0</x:v>
      </x:c>
    </x:row>
    <x:row r="3961" ht="27" customHeight="1">
      <x:c r="A3961" s="66" t="str">
        <x:v>SNH457</x:v>
      </x:c>
      <x:c r="B3961" s="66" t="str">
        <x:v>量客投资金选套利1号</x:v>
      </x:c>
      <x:c r="C3961" s="72" t="n">
        <x:v>45513</x:v>
      </x:c>
      <x:c r="D3961" s="73" t="n">
        <x:v>1.0308</x:v>
      </x:c>
      <x:c r="E3961" s="73" t="n">
        <x:v>1.6008</x:v>
      </x:c>
      <x:c r="F3961" s="73" t="n">
        <x:v>1.6874</x:v>
      </x:c>
      <x:c r="G3961" s="74" t="n">
        <x:v>0.0033</x:v>
      </x:c>
      <x:c r="H3961" s="66" t="str">
        <x:v>量客投资金选套利1号净值20260911.xlsx</x:v>
      </x:c>
      <x:c r="I3961" s="73" t="str">
        <x:f>""</x:f>
      </x:c>
      <x:c r="J3961" s="74" t="str">
        <x:f>""</x:f>
      </x:c>
      <x:c r="K3961" s="73" t="n">
        <x:f>MAX(K3960,F3961)</x:f>
        <x:v>1.6874</x:v>
      </x:c>
      <x:c r="L3961" s="74" t="n">
        <x:f>1-F3961/K3961</x:f>
        <x:v>0</x:v>
      </x:c>
      <x:c r="M3961" s="73" t="n">
        <x:f>MAX(M3960,F3961)</x:f>
        <x:v>1.6874</x:v>
      </x:c>
      <x:c r="N3961" s="74" t="n">
        <x:f>1-F3961/M3961</x:f>
        <x:v>0</x:v>
      </x:c>
    </x:row>
    <x:row r="3962" ht="27" customHeight="1">
      <x:c r="A3962" s="66" t="str">
        <x:v>SNH457</x:v>
      </x:c>
      <x:c r="B3962" s="66" t="str">
        <x:v>量客投资金选套利1号</x:v>
      </x:c>
      <x:c r="C3962" s="72" t="n">
        <x:v>45520</x:v>
      </x:c>
      <x:c r="D3962" s="73" t="n">
        <x:v>1.0312</x:v>
      </x:c>
      <x:c r="E3962" s="73" t="n">
        <x:v>1.6012</x:v>
      </x:c>
      <x:c r="F3962" s="73" t="n">
        <x:v>1.6881</x:v>
      </x:c>
      <x:c r="G3962" s="74" t="n">
        <x:v>0.0004</x:v>
      </x:c>
      <x:c r="H3962" s="66" t="str">
        <x:v>量客投资金选套利1号净值20260911.xlsx</x:v>
      </x:c>
      <x:c r="I3962" s="73" t="str">
        <x:f>""</x:f>
      </x:c>
      <x:c r="J3962" s="74" t="str">
        <x:f>""</x:f>
      </x:c>
      <x:c r="K3962" s="73" t="n">
        <x:f>MAX(K3961,F3962)</x:f>
        <x:v>1.6881</x:v>
      </x:c>
      <x:c r="L3962" s="74" t="n">
        <x:f>1-F3962/K3962</x:f>
        <x:v>0</x:v>
      </x:c>
      <x:c r="M3962" s="73" t="n">
        <x:f>MAX(M3961,F3962)</x:f>
        <x:v>1.6881</x:v>
      </x:c>
      <x:c r="N3962" s="74" t="n">
        <x:f>1-F3962/M3962</x:f>
        <x:v>0</x:v>
      </x:c>
    </x:row>
    <x:row r="3963" ht="27" customHeight="1">
      <x:c r="A3963" s="66" t="str">
        <x:v>SNH457</x:v>
      </x:c>
      <x:c r="B3963" s="66" t="str">
        <x:v>量客投资金选套利1号</x:v>
      </x:c>
      <x:c r="C3963" s="72" t="n">
        <x:v>45527</x:v>
      </x:c>
      <x:c r="D3963" s="73" t="n">
        <x:v>1.0321</x:v>
      </x:c>
      <x:c r="E3963" s="73" t="n">
        <x:v>1.6021</x:v>
      </x:c>
      <x:c r="F3963" s="73" t="n">
        <x:v>1.6896</x:v>
      </x:c>
      <x:c r="G3963" s="74" t="n">
        <x:v>0.0009</x:v>
      </x:c>
      <x:c r="H3963" s="66" t="str">
        <x:v>量客投资金选套利1号净值20260911.xlsx</x:v>
      </x:c>
      <x:c r="I3963" s="73" t="str">
        <x:f>""</x:f>
      </x:c>
      <x:c r="J3963" s="74" t="str">
        <x:f>""</x:f>
      </x:c>
      <x:c r="K3963" s="73" t="n">
        <x:f>MAX(K3962,F3963)</x:f>
        <x:v>1.6896</x:v>
      </x:c>
      <x:c r="L3963" s="74" t="n">
        <x:f>1-F3963/K3963</x:f>
        <x:v>0</x:v>
      </x:c>
      <x:c r="M3963" s="73" t="n">
        <x:f>MAX(M3962,F3963)</x:f>
        <x:v>1.6896</x:v>
      </x:c>
      <x:c r="N3963" s="74" t="n">
        <x:f>1-F3963/M3963</x:f>
        <x:v>0</x:v>
      </x:c>
    </x:row>
    <x:row r="3964" ht="27" customHeight="1">
      <x:c r="A3964" s="66" t="str">
        <x:v>SNH457</x:v>
      </x:c>
      <x:c r="B3964" s="66" t="str">
        <x:v>量客投资金选套利1号</x:v>
      </x:c>
      <x:c r="C3964" s="72" t="n">
        <x:v>45534</x:v>
      </x:c>
      <x:c r="D3964" s="73" t="n">
        <x:v>1.0367</x:v>
      </x:c>
      <x:c r="E3964" s="73" t="n">
        <x:v>1.6067</x:v>
      </x:c>
      <x:c r="F3964" s="73" t="n">
        <x:v>1.6971</x:v>
      </x:c>
      <x:c r="G3964" s="74" t="n">
        <x:v>0.0045000000000000005</x:v>
      </x:c>
      <x:c r="H3964" s="66" t="str">
        <x:v>量客投资金选套利1号净值20260911.xlsx</x:v>
      </x:c>
      <x:c r="I3964" s="73" t="str">
        <x:f>""</x:f>
      </x:c>
      <x:c r="J3964" s="74" t="str">
        <x:f>""</x:f>
      </x:c>
      <x:c r="K3964" s="73" t="n">
        <x:f>MAX(K3963,F3964)</x:f>
        <x:v>1.6971</x:v>
      </x:c>
      <x:c r="L3964" s="74" t="n">
        <x:f>1-F3964/K3964</x:f>
        <x:v>0</x:v>
      </x:c>
      <x:c r="M3964" s="73" t="n">
        <x:f>MAX(M3963,F3964)</x:f>
        <x:v>1.6971</x:v>
      </x:c>
      <x:c r="N3964" s="74" t="n">
        <x:f>1-F3964/M3964</x:f>
        <x:v>0</x:v>
      </x:c>
    </x:row>
    <x:row r="3965" ht="27" customHeight="1">
      <x:c r="A3965" s="66" t="str">
        <x:v>SNH457</x:v>
      </x:c>
      <x:c r="B3965" s="66" t="str">
        <x:v>量客投资金选套利1号</x:v>
      </x:c>
      <x:c r="C3965" s="72" t="n">
        <x:v>45541</x:v>
      </x:c>
      <x:c r="D3965" s="73" t="n">
        <x:v>1.0366</x:v>
      </x:c>
      <x:c r="E3965" s="73" t="n">
        <x:v>1.6066</x:v>
      </x:c>
      <x:c r="F3965" s="73" t="n">
        <x:v>1.6969</x:v>
      </x:c>
      <x:c r="G3965" s="74" t="n">
        <x:v>-0.0001</x:v>
      </x:c>
      <x:c r="H3965" s="66" t="str">
        <x:v>量客投资金选套利1号净值20260911.xlsx</x:v>
      </x:c>
      <x:c r="I3965" s="73" t="str">
        <x:f>""</x:f>
      </x:c>
      <x:c r="J3965" s="74" t="str">
        <x:f>""</x:f>
      </x:c>
      <x:c r="K3965" s="73" t="n">
        <x:f>MAX(K3964,F3965)</x:f>
        <x:v>1.6971</x:v>
      </x:c>
      <x:c r="L3965" s="74" t="n">
        <x:f>1-F3965/K3965</x:f>
        <x:v>0.0001178480938071047</x:v>
      </x:c>
      <x:c r="M3965" s="73" t="n">
        <x:f>MAX(M3964,F3965)</x:f>
        <x:v>1.6971</x:v>
      </x:c>
      <x:c r="N3965" s="74" t="n">
        <x:f>1-F3965/M3965</x:f>
        <x:v>0.0001178480938071047</x:v>
      </x:c>
    </x:row>
    <x:row r="3966" ht="27" customHeight="1">
      <x:c r="A3966" s="66" t="str">
        <x:v>SNH457</x:v>
      </x:c>
      <x:c r="B3966" s="66" t="str">
        <x:v>量客投资金选套利1号</x:v>
      </x:c>
      <x:c r="C3966" s="72" t="n">
        <x:v>45548</x:v>
      </x:c>
      <x:c r="D3966" s="73" t="n">
        <x:v>1.0369</x:v>
      </x:c>
      <x:c r="E3966" s="73" t="n">
        <x:v>1.6069</x:v>
      </x:c>
      <x:c r="F3966" s="73" t="n">
        <x:v>1.6974</x:v>
      </x:c>
      <x:c r="G3966" s="74" t="n">
        <x:v>0.0003</x:v>
      </x:c>
      <x:c r="H3966" s="66" t="str">
        <x:v>量客投资金选套利1号净值20260911.xlsx</x:v>
      </x:c>
      <x:c r="I3966" s="73" t="str">
        <x:f>""</x:f>
      </x:c>
      <x:c r="J3966" s="74" t="str">
        <x:f>""</x:f>
      </x:c>
      <x:c r="K3966" s="73" t="n">
        <x:f>MAX(K3965,F3966)</x:f>
        <x:v>1.6974</x:v>
      </x:c>
      <x:c r="L3966" s="74" t="n">
        <x:f>1-F3966/K3966</x:f>
        <x:v>0</x:v>
      </x:c>
      <x:c r="M3966" s="73" t="n">
        <x:f>MAX(M3965,F3966)</x:f>
        <x:v>1.6974</x:v>
      </x:c>
      <x:c r="N3966" s="74" t="n">
        <x:f>1-F3966/M3966</x:f>
        <x:v>0</x:v>
      </x:c>
    </x:row>
    <x:row r="3967" ht="27" customHeight="1">
      <x:c r="A3967" s="66" t="str">
        <x:v>SNH457</x:v>
      </x:c>
      <x:c r="B3967" s="66" t="str">
        <x:v>量客投资金选套利1号</x:v>
      </x:c>
      <x:c r="C3967" s="72" t="n">
        <x:v>45555</x:v>
      </x:c>
      <x:c r="D3967" s="73" t="n">
        <x:v>1.039</x:v>
      </x:c>
      <x:c r="E3967" s="73" t="n">
        <x:v>1.609</x:v>
      </x:c>
      <x:c r="F3967" s="73" t="n">
        <x:v>1.7008</x:v>
      </x:c>
      <x:c r="G3967" s="74" t="n">
        <x:v>0.002</x:v>
      </x:c>
      <x:c r="H3967" s="66" t="str">
        <x:v>量客投资金选套利1号净值20260911.xlsx</x:v>
      </x:c>
      <x:c r="I3967" s="73" t="str">
        <x:f>""</x:f>
      </x:c>
      <x:c r="J3967" s="74" t="str">
        <x:f>""</x:f>
      </x:c>
      <x:c r="K3967" s="73" t="n">
        <x:f>MAX(K3966,F3967)</x:f>
        <x:v>1.7008</x:v>
      </x:c>
      <x:c r="L3967" s="74" t="n">
        <x:f>1-F3967/K3967</x:f>
        <x:v>0</x:v>
      </x:c>
      <x:c r="M3967" s="73" t="n">
        <x:f>MAX(M3966,F3967)</x:f>
        <x:v>1.7008</x:v>
      </x:c>
      <x:c r="N3967" s="74" t="n">
        <x:f>1-F3967/M3967</x:f>
        <x:v>0</x:v>
      </x:c>
    </x:row>
    <x:row r="3968" ht="27" customHeight="1">
      <x:c r="A3968" s="66" t="str">
        <x:v>SNH457</x:v>
      </x:c>
      <x:c r="B3968" s="66" t="str">
        <x:v>量客投资金选套利1号</x:v>
      </x:c>
      <x:c r="C3968" s="72" t="n">
        <x:v>45562</x:v>
      </x:c>
      <x:c r="D3968" s="73" t="n">
        <x:v>1.0479</x:v>
      </x:c>
      <x:c r="E3968" s="73" t="n">
        <x:v>1.6179</x:v>
      </x:c>
      <x:c r="F3968" s="73" t="n">
        <x:v>1.7154</x:v>
      </x:c>
      <x:c r="G3968" s="74" t="n">
        <x:v>0.0086</x:v>
      </x:c>
      <x:c r="H3968" s="66" t="str">
        <x:v>量客投资金选套利1号净值20260911.xlsx</x:v>
      </x:c>
      <x:c r="I3968" s="73" t="str">
        <x:f>""</x:f>
      </x:c>
      <x:c r="J3968" s="74" t="str">
        <x:f>""</x:f>
      </x:c>
      <x:c r="K3968" s="73" t="n">
        <x:f>MAX(K3967,F3968)</x:f>
        <x:v>1.7154</x:v>
      </x:c>
      <x:c r="L3968" s="74" t="n">
        <x:f>1-F3968/K3968</x:f>
        <x:v>0</x:v>
      </x:c>
      <x:c r="M3968" s="73" t="n">
        <x:f>MAX(M3967,F3968)</x:f>
        <x:v>1.7154</x:v>
      </x:c>
      <x:c r="N3968" s="74" t="n">
        <x:f>1-F3968/M3968</x:f>
        <x:v>0</x:v>
      </x:c>
    </x:row>
    <x:row r="3969" ht="27" customHeight="1">
      <x:c r="A3969" s="66" t="str">
        <x:v>SNH457</x:v>
      </x:c>
      <x:c r="B3969" s="66" t="str">
        <x:v>量客投资金选套利1号</x:v>
      </x:c>
      <x:c r="C3969" s="72" t="n">
        <x:v>45565</x:v>
      </x:c>
      <x:c r="D3969" s="73" t="n">
        <x:v>1.0491</x:v>
      </x:c>
      <x:c r="E3969" s="73" t="n">
        <x:v>1.6191</x:v>
      </x:c>
      <x:c r="F3969" s="73" t="n">
        <x:v>1.7174</x:v>
      </x:c>
      <x:c r="G3969" s="74" t="n">
        <x:v>0.0011</x:v>
      </x:c>
      <x:c r="H3969" s="66" t="str">
        <x:v>量客投资金选套利1号净值20260911.xlsx</x:v>
      </x:c>
      <x:c r="I3969" s="73" t="str">
        <x:f>""</x:f>
      </x:c>
      <x:c r="J3969" s="74" t="str">
        <x:f>""</x:f>
      </x:c>
      <x:c r="K3969" s="73" t="n">
        <x:f>MAX(K3968,F3969)</x:f>
        <x:v>1.7174</x:v>
      </x:c>
      <x:c r="L3969" s="74" t="n">
        <x:f>1-F3969/K3969</x:f>
        <x:v>0</x:v>
      </x:c>
      <x:c r="M3969" s="73" t="n">
        <x:f>MAX(M3968,F3969)</x:f>
        <x:v>1.7174</x:v>
      </x:c>
      <x:c r="N3969" s="74" t="n">
        <x:f>1-F3969/M3969</x:f>
        <x:v>0</x:v>
      </x:c>
    </x:row>
    <x:row r="3970" ht="27" customHeight="1">
      <x:c r="A3970" s="66" t="str">
        <x:v>SNH457</x:v>
      </x:c>
      <x:c r="B3970" s="66" t="str">
        <x:v>量客投资金选套利1号</x:v>
      </x:c>
      <x:c r="C3970" s="72" t="n">
        <x:v>45576</x:v>
      </x:c>
      <x:c r="D3970" s="73" t="n">
        <x:v>1.0559</x:v>
      </x:c>
      <x:c r="E3970" s="73" t="n">
        <x:v>1.6259</x:v>
      </x:c>
      <x:c r="F3970" s="73" t="n">
        <x:v>1.7285</x:v>
      </x:c>
      <x:c r="G3970" s="74" t="n">
        <x:v>0.006500000000000001</x:v>
      </x:c>
      <x:c r="H3970" s="66" t="str">
        <x:v>量客投资金选套利1号净值20260911.xlsx</x:v>
      </x:c>
      <x:c r="I3970" s="73" t="str">
        <x:f>""</x:f>
      </x:c>
      <x:c r="J3970" s="74" t="str">
        <x:f>""</x:f>
      </x:c>
      <x:c r="K3970" s="73" t="n">
        <x:f>MAX(K3969,F3970)</x:f>
        <x:v>1.7285</x:v>
      </x:c>
      <x:c r="L3970" s="74" t="n">
        <x:f>1-F3970/K3970</x:f>
        <x:v>0</x:v>
      </x:c>
      <x:c r="M3970" s="73" t="n">
        <x:f>MAX(M3969,F3970)</x:f>
        <x:v>1.7285</x:v>
      </x:c>
      <x:c r="N3970" s="74" t="n">
        <x:f>1-F3970/M3970</x:f>
        <x:v>0</x:v>
      </x:c>
    </x:row>
    <x:row r="3971" ht="27" customHeight="1">
      <x:c r="A3971" s="66" t="str">
        <x:v>SNH457</x:v>
      </x:c>
      <x:c r="B3971" s="66" t="str">
        <x:v>量客投资金选套利1号</x:v>
      </x:c>
      <x:c r="C3971" s="72" t="n">
        <x:v>45583</x:v>
      </x:c>
      <x:c r="D3971" s="73" t="n">
        <x:v>1.0661</x:v>
      </x:c>
      <x:c r="E3971" s="73" t="n">
        <x:v>1.6361</x:v>
      </x:c>
      <x:c r="F3971" s="73" t="n">
        <x:v>1.7452</x:v>
      </x:c>
      <x:c r="G3971" s="74" t="n">
        <x:v>0.0097</x:v>
      </x:c>
      <x:c r="H3971" s="66" t="str">
        <x:v>量客投资金选套利1号净值20260911.xlsx</x:v>
      </x:c>
      <x:c r="I3971" s="73" t="str">
        <x:f>""</x:f>
      </x:c>
      <x:c r="J3971" s="74" t="str">
        <x:f>""</x:f>
      </x:c>
      <x:c r="K3971" s="73" t="n">
        <x:f>MAX(K3970,F3971)</x:f>
        <x:v>1.7452</x:v>
      </x:c>
      <x:c r="L3971" s="74" t="n">
        <x:f>1-F3971/K3971</x:f>
        <x:v>0</x:v>
      </x:c>
      <x:c r="M3971" s="73" t="n">
        <x:f>MAX(M3970,F3971)</x:f>
        <x:v>1.7452</x:v>
      </x:c>
      <x:c r="N3971" s="74" t="n">
        <x:f>1-F3971/M3971</x:f>
        <x:v>0</x:v>
      </x:c>
    </x:row>
    <x:row r="3972" ht="27" customHeight="1">
      <x:c r="A3972" s="66" t="str">
        <x:v>SNH457</x:v>
      </x:c>
      <x:c r="B3972" s="66" t="str">
        <x:v>量客投资金选套利1号</x:v>
      </x:c>
      <x:c r="C3972" s="72" t="n">
        <x:v>45590</x:v>
      </x:c>
      <x:c r="D3972" s="73" t="n">
        <x:v>1.0715</x:v>
      </x:c>
      <x:c r="E3972" s="73" t="n">
        <x:v>1.6415</x:v>
      </x:c>
      <x:c r="F3972" s="73" t="n">
        <x:v>1.7541</x:v>
      </x:c>
      <x:c r="G3972" s="74" t="n">
        <x:v>0.0051</x:v>
      </x:c>
      <x:c r="H3972" s="66" t="str">
        <x:v>量客投资金选套利1号净值20260911.xlsx</x:v>
      </x:c>
      <x:c r="I3972" s="73" t="str">
        <x:f>""</x:f>
      </x:c>
      <x:c r="J3972" s="74" t="str">
        <x:f>""</x:f>
      </x:c>
      <x:c r="K3972" s="73" t="n">
        <x:f>MAX(K3971,F3972)</x:f>
        <x:v>1.7541</x:v>
      </x:c>
      <x:c r="L3972" s="74" t="n">
        <x:f>1-F3972/K3972</x:f>
        <x:v>0</x:v>
      </x:c>
      <x:c r="M3972" s="73" t="n">
        <x:f>MAX(M3971,F3972)</x:f>
        <x:v>1.7541</x:v>
      </x:c>
      <x:c r="N3972" s="74" t="n">
        <x:f>1-F3972/M3972</x:f>
        <x:v>0</x:v>
      </x:c>
    </x:row>
    <x:row r="3973" ht="27" customHeight="1">
      <x:c r="A3973" s="66" t="str">
        <x:v>SNH457</x:v>
      </x:c>
      <x:c r="B3973" s="66" t="str">
        <x:v>量客投资金选套利1号</x:v>
      </x:c>
      <x:c r="C3973" s="72" t="n">
        <x:v>45597</x:v>
      </x:c>
      <x:c r="D3973" s="73" t="n">
        <x:v>1.0752</x:v>
      </x:c>
      <x:c r="E3973" s="73" t="n">
        <x:v>1.6452</x:v>
      </x:c>
      <x:c r="F3973" s="73" t="n">
        <x:v>1.7601</x:v>
      </x:c>
      <x:c r="G3973" s="74" t="n">
        <x:v>0.0034999999999999996</x:v>
      </x:c>
      <x:c r="H3973" s="66" t="str">
        <x:v>量客投资金选套利1号净值20260911.xlsx</x:v>
      </x:c>
      <x:c r="I3973" s="73" t="str">
        <x:f>""</x:f>
      </x:c>
      <x:c r="J3973" s="74" t="str">
        <x:f>""</x:f>
      </x:c>
      <x:c r="K3973" s="73" t="n">
        <x:f>MAX(K3972,F3973)</x:f>
        <x:v>1.7601</x:v>
      </x:c>
      <x:c r="L3973" s="74" t="n">
        <x:f>1-F3973/K3973</x:f>
        <x:v>0</x:v>
      </x:c>
      <x:c r="M3973" s="73" t="n">
        <x:f>MAX(M3972,F3973)</x:f>
        <x:v>1.7601</x:v>
      </x:c>
      <x:c r="N3973" s="74" t="n">
        <x:f>1-F3973/M3973</x:f>
        <x:v>0</x:v>
      </x:c>
    </x:row>
    <x:row r="3974" ht="27" customHeight="1">
      <x:c r="A3974" s="66" t="str">
        <x:v>SNH457</x:v>
      </x:c>
      <x:c r="B3974" s="66" t="str">
        <x:v>量客投资金选套利1号</x:v>
      </x:c>
      <x:c r="C3974" s="72" t="n">
        <x:v>45604</x:v>
      </x:c>
      <x:c r="D3974" s="73" t="n">
        <x:v>1.083</x:v>
      </x:c>
      <x:c r="E3974" s="73" t="n">
        <x:v>1.653</x:v>
      </x:c>
      <x:c r="F3974" s="73" t="n">
        <x:v>1.7729</x:v>
      </x:c>
      <x:c r="G3974" s="74" t="n">
        <x:v>0.0073</x:v>
      </x:c>
      <x:c r="H3974" s="66" t="str">
        <x:v>量客投资金选套利1号净值20260911.xlsx</x:v>
      </x:c>
      <x:c r="I3974" s="73" t="str">
        <x:f>""</x:f>
      </x:c>
      <x:c r="J3974" s="74" t="str">
        <x:f>""</x:f>
      </x:c>
      <x:c r="K3974" s="73" t="n">
        <x:f>MAX(K3973,F3974)</x:f>
        <x:v>1.7729</x:v>
      </x:c>
      <x:c r="L3974" s="74" t="n">
        <x:f>1-F3974/K3974</x:f>
        <x:v>0</x:v>
      </x:c>
      <x:c r="M3974" s="73" t="n">
        <x:f>MAX(M3973,F3974)</x:f>
        <x:v>1.7729</x:v>
      </x:c>
      <x:c r="N3974" s="74" t="n">
        <x:f>1-F3974/M3974</x:f>
        <x:v>0</x:v>
      </x:c>
    </x:row>
    <x:row r="3975" ht="27" customHeight="1">
      <x:c r="A3975" s="66" t="str">
        <x:v>SNH457</x:v>
      </x:c>
      <x:c r="B3975" s="66" t="str">
        <x:v>量客投资金选套利1号</x:v>
      </x:c>
      <x:c r="C3975" s="72" t="n">
        <x:v>45611</x:v>
      </x:c>
      <x:c r="D3975" s="73" t="n">
        <x:v>1.0828</x:v>
      </x:c>
      <x:c r="E3975" s="73" t="n">
        <x:v>1.6528</x:v>
      </x:c>
      <x:c r="F3975" s="73" t="n">
        <x:v>1.7726</x:v>
      </x:c>
      <x:c r="G3975" s="74" t="n">
        <x:v>-0.0002</x:v>
      </x:c>
      <x:c r="H3975" s="66" t="str">
        <x:v>量客投资金选套利1号净值20260911.xlsx</x:v>
      </x:c>
      <x:c r="I3975" s="73" t="str">
        <x:f>""</x:f>
      </x:c>
      <x:c r="J3975" s="74" t="str">
        <x:f>""</x:f>
      </x:c>
      <x:c r="K3975" s="73" t="n">
        <x:f>MAX(K3974,F3975)</x:f>
        <x:v>1.7729</x:v>
      </x:c>
      <x:c r="L3975" s="74" t="n">
        <x:f>1-F3975/K3975</x:f>
        <x:v>0.00016921428168537034</x:v>
      </x:c>
      <x:c r="M3975" s="73" t="n">
        <x:f>MAX(M3974,F3975)</x:f>
        <x:v>1.7729</x:v>
      </x:c>
      <x:c r="N3975" s="74" t="n">
        <x:f>1-F3975/M3975</x:f>
        <x:v>0.00016921428168537034</x:v>
      </x:c>
    </x:row>
    <x:row r="3976" ht="27" customHeight="1">
      <x:c r="A3976" s="66" t="str">
        <x:v>SNH457</x:v>
      </x:c>
      <x:c r="B3976" s="66" t="str">
        <x:v>量客投资金选套利1号</x:v>
      </x:c>
      <x:c r="C3976" s="72" t="n">
        <x:v>45618</x:v>
      </x:c>
      <x:c r="D3976" s="73" t="n">
        <x:v>1.0862</x:v>
      </x:c>
      <x:c r="E3976" s="73" t="n">
        <x:v>1.6562</x:v>
      </x:c>
      <x:c r="F3976" s="73" t="n">
        <x:v>1.7781</x:v>
      </x:c>
      <x:c r="G3976" s="74" t="n">
        <x:v>0.0031</x:v>
      </x:c>
      <x:c r="H3976" s="66" t="str">
        <x:v>量客投资金选套利1号净值20260911.xlsx</x:v>
      </x:c>
      <x:c r="I3976" s="73" t="str">
        <x:f>""</x:f>
      </x:c>
      <x:c r="J3976" s="74" t="str">
        <x:f>""</x:f>
      </x:c>
      <x:c r="K3976" s="73" t="n">
        <x:f>MAX(K3975,F3976)</x:f>
        <x:v>1.7781</x:v>
      </x:c>
      <x:c r="L3976" s="74" t="n">
        <x:f>1-F3976/K3976</x:f>
        <x:v>0</x:v>
      </x:c>
      <x:c r="M3976" s="73" t="n">
        <x:f>MAX(M3975,F3976)</x:f>
        <x:v>1.7781</x:v>
      </x:c>
      <x:c r="N3976" s="74" t="n">
        <x:f>1-F3976/M3976</x:f>
        <x:v>0</x:v>
      </x:c>
    </x:row>
    <x:row r="3977" ht="27" customHeight="1">
      <x:c r="A3977" s="66" t="str">
        <x:v>SNH457</x:v>
      </x:c>
      <x:c r="B3977" s="66" t="str">
        <x:v>量客投资金选套利1号</x:v>
      </x:c>
      <x:c r="C3977" s="72" t="n">
        <x:v>45625</x:v>
      </x:c>
      <x:c r="D3977" s="73" t="n">
        <x:v>1.0917</x:v>
      </x:c>
      <x:c r="E3977" s="73" t="n">
        <x:v>1.6617</x:v>
      </x:c>
      <x:c r="F3977" s="73" t="n">
        <x:v>1.7871</x:v>
      </x:c>
      <x:c r="G3977" s="74" t="n">
        <x:v>0.0051</x:v>
      </x:c>
      <x:c r="H3977" s="66" t="str">
        <x:v>量客投资金选套利1号净值20260911.xlsx</x:v>
      </x:c>
      <x:c r="I3977" s="73" t="str">
        <x:f>""</x:f>
      </x:c>
      <x:c r="J3977" s="74" t="str">
        <x:f>""</x:f>
      </x:c>
      <x:c r="K3977" s="73" t="n">
        <x:f>MAX(K3976,F3977)</x:f>
        <x:v>1.7871</x:v>
      </x:c>
      <x:c r="L3977" s="74" t="n">
        <x:f>1-F3977/K3977</x:f>
        <x:v>0</x:v>
      </x:c>
      <x:c r="M3977" s="73" t="n">
        <x:f>MAX(M3976,F3977)</x:f>
        <x:v>1.7871</x:v>
      </x:c>
      <x:c r="N3977" s="74" t="n">
        <x:f>1-F3977/M3977</x:f>
        <x:v>0</x:v>
      </x:c>
    </x:row>
    <x:row r="3978" ht="27" customHeight="1">
      <x:c r="A3978" s="66" t="str">
        <x:v>SNH457</x:v>
      </x:c>
      <x:c r="B3978" s="66" t="str">
        <x:v>量客投资金选套利1号</x:v>
      </x:c>
      <x:c r="C3978" s="72" t="n">
        <x:v>45632</x:v>
      </x:c>
      <x:c r="D3978" s="73" t="n">
        <x:v>1.0925</x:v>
      </x:c>
      <x:c r="E3978" s="73" t="n">
        <x:v>1.6625</x:v>
      </x:c>
      <x:c r="F3978" s="73" t="n">
        <x:v>1.7884</x:v>
      </x:c>
      <x:c r="G3978" s="74" t="n">
        <x:v>0.0007000000000000001</x:v>
      </x:c>
      <x:c r="H3978" s="66" t="str">
        <x:v>量客投资金选套利1号净值20260911.xlsx</x:v>
      </x:c>
      <x:c r="I3978" s="73" t="str">
        <x:f>""</x:f>
      </x:c>
      <x:c r="J3978" s="74" t="str">
        <x:f>""</x:f>
      </x:c>
      <x:c r="K3978" s="73" t="n">
        <x:f>MAX(K3977,F3978)</x:f>
        <x:v>1.7884</x:v>
      </x:c>
      <x:c r="L3978" s="74" t="n">
        <x:f>1-F3978/K3978</x:f>
        <x:v>0</x:v>
      </x:c>
      <x:c r="M3978" s="73" t="n">
        <x:f>MAX(M3977,F3978)</x:f>
        <x:v>1.7884</x:v>
      </x:c>
      <x:c r="N3978" s="74" t="n">
        <x:f>1-F3978/M3978</x:f>
        <x:v>0</x:v>
      </x:c>
    </x:row>
    <x:row r="3979" ht="27" customHeight="1">
      <x:c r="A3979" s="66" t="str">
        <x:v>SNH457</x:v>
      </x:c>
      <x:c r="B3979" s="66" t="str">
        <x:v>量客投资金选套利1号</x:v>
      </x:c>
      <x:c r="C3979" s="72" t="n">
        <x:v>45639</x:v>
      </x:c>
      <x:c r="D3979" s="73" t="n">
        <x:v>1.094</x:v>
      </x:c>
      <x:c r="E3979" s="73" t="n">
        <x:v>1.664</x:v>
      </x:c>
      <x:c r="F3979" s="73" t="n">
        <x:v>1.7909</x:v>
      </x:c>
      <x:c r="G3979" s="74" t="n">
        <x:v>0.0014000000000000002</x:v>
      </x:c>
      <x:c r="H3979" s="66" t="str">
        <x:v>量客投资金选套利1号净值20260911.xlsx</x:v>
      </x:c>
      <x:c r="I3979" s="73" t="str">
        <x:f>""</x:f>
      </x:c>
      <x:c r="J3979" s="74" t="str">
        <x:f>""</x:f>
      </x:c>
      <x:c r="K3979" s="73" t="n">
        <x:f>MAX(K3978,F3979)</x:f>
        <x:v>1.7909</x:v>
      </x:c>
      <x:c r="L3979" s="74" t="n">
        <x:f>1-F3979/K3979</x:f>
        <x:v>0</x:v>
      </x:c>
      <x:c r="M3979" s="73" t="n">
        <x:f>MAX(M3978,F3979)</x:f>
        <x:v>1.7909</x:v>
      </x:c>
      <x:c r="N3979" s="74" t="n">
        <x:f>1-F3979/M3979</x:f>
        <x:v>0</x:v>
      </x:c>
    </x:row>
    <x:row r="3980" ht="27" customHeight="1">
      <x:c r="A3980" s="66" t="str">
        <x:v>SNH457</x:v>
      </x:c>
      <x:c r="B3980" s="66" t="str">
        <x:v>量客投资金选套利1号</x:v>
      </x:c>
      <x:c r="C3980" s="72" t="n">
        <x:v>45646</x:v>
      </x:c>
      <x:c r="D3980" s="73" t="n">
        <x:v>1.0945</x:v>
      </x:c>
      <x:c r="E3980" s="73" t="n">
        <x:v>1.6645</x:v>
      </x:c>
      <x:c r="F3980" s="73" t="n">
        <x:v>1.7917</x:v>
      </x:c>
      <x:c r="G3980" s="74" t="n">
        <x:v>0.0005</x:v>
      </x:c>
      <x:c r="H3980" s="66" t="str">
        <x:v>量客投资金选套利1号净值20260911.xlsx</x:v>
      </x:c>
      <x:c r="I3980" s="73" t="str">
        <x:f>""</x:f>
      </x:c>
      <x:c r="J3980" s="74" t="str">
        <x:f>""</x:f>
      </x:c>
      <x:c r="K3980" s="73" t="n">
        <x:f>MAX(K3979,F3980)</x:f>
        <x:v>1.7917</x:v>
      </x:c>
      <x:c r="L3980" s="74" t="n">
        <x:f>1-F3980/K3980</x:f>
        <x:v>0</x:v>
      </x:c>
      <x:c r="M3980" s="73" t="n">
        <x:f>MAX(M3979,F3980)</x:f>
        <x:v>1.7917</x:v>
      </x:c>
      <x:c r="N3980" s="74" t="n">
        <x:f>1-F3980/M3980</x:f>
        <x:v>0</x:v>
      </x:c>
    </x:row>
    <x:row r="3981" ht="27" customHeight="1">
      <x:c r="A3981" s="66" t="str">
        <x:v>SNH457</x:v>
      </x:c>
      <x:c r="B3981" s="66" t="str">
        <x:v>量客投资金选套利1号</x:v>
      </x:c>
      <x:c r="C3981" s="72" t="n">
        <x:v>45653</x:v>
      </x:c>
      <x:c r="D3981" s="73" t="n">
        <x:v>1.0951</x:v>
      </x:c>
      <x:c r="E3981" s="73" t="n">
        <x:v>1.6651</x:v>
      </x:c>
      <x:c r="F3981" s="73" t="n">
        <x:v>1.7927</x:v>
      </x:c>
      <x:c r="G3981" s="74" t="n">
        <x:v>0.0005</x:v>
      </x:c>
      <x:c r="H3981" s="66" t="str">
        <x:v>量客投资金选套利1号净值20260911.xlsx</x:v>
      </x:c>
      <x:c r="I3981" s="73" t="str">
        <x:f>""</x:f>
      </x:c>
      <x:c r="J3981" s="74" t="str">
        <x:f>""</x:f>
      </x:c>
      <x:c r="K3981" s="73" t="n">
        <x:f>MAX(K3980,F3981)</x:f>
        <x:v>1.7927</x:v>
      </x:c>
      <x:c r="L3981" s="74" t="n">
        <x:f>1-F3981/K3981</x:f>
        <x:v>0</x:v>
      </x:c>
      <x:c r="M3981" s="73" t="n">
        <x:f>MAX(M3980,F3981)</x:f>
        <x:v>1.7927</x:v>
      </x:c>
      <x:c r="N3981" s="74" t="n">
        <x:f>1-F3981/M3981</x:f>
        <x:v>0</x:v>
      </x:c>
    </x:row>
    <x:row r="3982" ht="27" customHeight="1">
      <x:c r="A3982" s="66" t="str">
        <x:v>SNH457</x:v>
      </x:c>
      <x:c r="B3982" s="66" t="str">
        <x:v>量客投资金选套利1号</x:v>
      </x:c>
      <x:c r="C3982" s="72" t="n">
        <x:v>45660</x:v>
      </x:c>
      <x:c r="D3982" s="73" t="n">
        <x:v>1.1007</x:v>
      </x:c>
      <x:c r="E3982" s="73" t="n">
        <x:v>1.6707</x:v>
      </x:c>
      <x:c r="F3982" s="73" t="n">
        <x:v>1.8019</x:v>
      </x:c>
      <x:c r="G3982" s="74" t="n">
        <x:v>0.0051</x:v>
      </x:c>
      <x:c r="H3982" s="66" t="str">
        <x:v>量客投资金选套利1号净值20260911.xlsx</x:v>
      </x:c>
      <x:c r="I3982" s="73" t="str">
        <x:f>""</x:f>
      </x:c>
      <x:c r="J3982" s="74" t="str">
        <x:f>""</x:f>
      </x:c>
      <x:c r="K3982" s="73" t="n">
        <x:f>MAX(K3981,F3982)</x:f>
        <x:v>1.8019</x:v>
      </x:c>
      <x:c r="L3982" s="74" t="n">
        <x:f>1-F3982/K3982</x:f>
        <x:v>0</x:v>
      </x:c>
      <x:c r="M3982" s="73" t="n">
        <x:f>MAX(M3981,F3982)</x:f>
        <x:v>1.8019</x:v>
      </x:c>
      <x:c r="N3982" s="74" t="n">
        <x:f>1-F3982/M3982</x:f>
        <x:v>0</x:v>
      </x:c>
    </x:row>
    <x:row r="3983" ht="27" customHeight="1">
      <x:c r="A3983" s="66" t="str">
        <x:v>SNH457</x:v>
      </x:c>
      <x:c r="B3983" s="66" t="str">
        <x:v>量客投资金选套利1号</x:v>
      </x:c>
      <x:c r="C3983" s="72" t="n">
        <x:v>45667</x:v>
      </x:c>
      <x:c r="D3983" s="73" t="n">
        <x:v>1.1049</x:v>
      </x:c>
      <x:c r="E3983" s="73" t="n">
        <x:v>1.6749</x:v>
      </x:c>
      <x:c r="F3983" s="73" t="n">
        <x:v>1.8087</x:v>
      </x:c>
      <x:c r="G3983" s="74" t="n">
        <x:v>0.0038</x:v>
      </x:c>
      <x:c r="H3983" s="66" t="str">
        <x:v>量客投资金选套利1号净值20260911.xlsx</x:v>
      </x:c>
      <x:c r="I3983" s="73" t="str">
        <x:f>""</x:f>
      </x:c>
      <x:c r="J3983" s="74" t="str">
        <x:f>""</x:f>
      </x:c>
      <x:c r="K3983" s="73" t="n">
        <x:f>MAX(K3982,F3983)</x:f>
        <x:v>1.8087</x:v>
      </x:c>
      <x:c r="L3983" s="74" t="n">
        <x:f>1-F3983/K3983</x:f>
        <x:v>0</x:v>
      </x:c>
      <x:c r="M3983" s="73" t="n">
        <x:f>MAX(M3982,F3983)</x:f>
        <x:v>1.8087</x:v>
      </x:c>
      <x:c r="N3983" s="74" t="n">
        <x:f>1-F3983/M3983</x:f>
        <x:v>0</x:v>
      </x:c>
    </x:row>
    <x:row r="3984" ht="27" customHeight="1">
      <x:c r="A3984" s="66" t="str">
        <x:v>SNH457</x:v>
      </x:c>
      <x:c r="B3984" s="66" t="str">
        <x:v>量客投资金选套利1号</x:v>
      </x:c>
      <x:c r="C3984" s="72" t="n">
        <x:v>45674</x:v>
      </x:c>
      <x:c r="D3984" s="73" t="n">
        <x:v>1.1057</x:v>
      </x:c>
      <x:c r="E3984" s="73" t="n">
        <x:v>1.6757</x:v>
      </x:c>
      <x:c r="F3984" s="73" t="n">
        <x:v>1.81</x:v>
      </x:c>
      <x:c r="G3984" s="74" t="n">
        <x:v>0.0007000000000000001</x:v>
      </x:c>
      <x:c r="H3984" s="66" t="str">
        <x:v>量客投资金选套利1号净值20260911.xlsx</x:v>
      </x:c>
      <x:c r="I3984" s="73" t="str">
        <x:f>""</x:f>
      </x:c>
      <x:c r="J3984" s="74" t="str">
        <x:f>""</x:f>
      </x:c>
      <x:c r="K3984" s="73" t="n">
        <x:f>MAX(K3983,F3984)</x:f>
        <x:v>1.81</x:v>
      </x:c>
      <x:c r="L3984" s="74" t="n">
        <x:f>1-F3984/K3984</x:f>
        <x:v>0</x:v>
      </x:c>
      <x:c r="M3984" s="73" t="n">
        <x:f>MAX(M3983,F3984)</x:f>
        <x:v>1.81</x:v>
      </x:c>
      <x:c r="N3984" s="74" t="n">
        <x:f>1-F3984/M3984</x:f>
        <x:v>0</x:v>
      </x:c>
    </x:row>
    <x:row r="3985" ht="27" customHeight="1">
      <x:c r="A3985" s="66" t="str">
        <x:v>SNH457</x:v>
      </x:c>
      <x:c r="B3985" s="66" t="str">
        <x:v>量客投资金选套利1号</x:v>
      </x:c>
      <x:c r="C3985" s="72" t="n">
        <x:v>45681</x:v>
      </x:c>
      <x:c r="D3985" s="73" t="n">
        <x:v>1.1074</x:v>
      </x:c>
      <x:c r="E3985" s="73" t="n">
        <x:v>1.6774</x:v>
      </x:c>
      <x:c r="F3985" s="73" t="n">
        <x:v>1.8128</x:v>
      </x:c>
      <x:c r="G3985" s="74" t="n">
        <x:v>0.0015</x:v>
      </x:c>
      <x:c r="H3985" s="66" t="str">
        <x:v>量客投资金选套利1号净值20260911.xlsx</x:v>
      </x:c>
      <x:c r="I3985" s="73" t="str">
        <x:f>""</x:f>
      </x:c>
      <x:c r="J3985" s="74" t="str">
        <x:f>""</x:f>
      </x:c>
      <x:c r="K3985" s="73" t="n">
        <x:f>MAX(K3984,F3985)</x:f>
        <x:v>1.8128</x:v>
      </x:c>
      <x:c r="L3985" s="74" t="n">
        <x:f>1-F3985/K3985</x:f>
        <x:v>0</x:v>
      </x:c>
      <x:c r="M3985" s="73" t="n">
        <x:f>MAX(M3984,F3985)</x:f>
        <x:v>1.8128</x:v>
      </x:c>
      <x:c r="N3985" s="74" t="n">
        <x:f>1-F3985/M3985</x:f>
        <x:v>0</x:v>
      </x:c>
    </x:row>
    <x:row r="3986" ht="27" customHeight="1">
      <x:c r="A3986" s="66" t="str">
        <x:v>SNH457</x:v>
      </x:c>
      <x:c r="B3986" s="66" t="str">
        <x:v>量客投资金选套利1号</x:v>
      </x:c>
      <x:c r="C3986" s="72" t="n">
        <x:v>45684</x:v>
      </x:c>
      <x:c r="D3986" s="73" t="n">
        <x:v>1.1074</x:v>
      </x:c>
      <x:c r="E3986" s="73" t="n">
        <x:v>1.6774</x:v>
      </x:c>
      <x:c r="F3986" s="73" t="n">
        <x:v>1.8128</x:v>
      </x:c>
      <x:c r="G3986" s="74" t="n">
        <x:v>0</x:v>
      </x:c>
      <x:c r="H3986" s="66" t="str">
        <x:v>量客投资金选套利1号净值20260911.xlsx</x:v>
      </x:c>
      <x:c r="I3986" s="73" t="str">
        <x:f>""</x:f>
      </x:c>
      <x:c r="J3986" s="74" t="str">
        <x:f>""</x:f>
      </x:c>
      <x:c r="K3986" s="73" t="n">
        <x:f>MAX(K3985,F3986)</x:f>
        <x:v>1.8128</x:v>
      </x:c>
      <x:c r="L3986" s="74" t="n">
        <x:f>1-F3986/K3986</x:f>
        <x:v>0</x:v>
      </x:c>
      <x:c r="M3986" s="73" t="n">
        <x:f>MAX(M3985,F3986)</x:f>
        <x:v>1.8128</x:v>
      </x:c>
      <x:c r="N3986" s="74" t="n">
        <x:f>1-F3986/M3986</x:f>
        <x:v>0</x:v>
      </x:c>
    </x:row>
    <x:row r="3987" ht="27" customHeight="1">
      <x:c r="A3987" s="66" t="str">
        <x:v>SNH457</x:v>
      </x:c>
      <x:c r="B3987" s="66" t="str">
        <x:v>量客投资金选套利1号</x:v>
      </x:c>
      <x:c r="C3987" s="72" t="n">
        <x:v>45695</x:v>
      </x:c>
      <x:c r="D3987" s="73" t="n">
        <x:v>1.1091</x:v>
      </x:c>
      <x:c r="E3987" s="73" t="n">
        <x:v>1.6791</x:v>
      </x:c>
      <x:c r="F3987" s="73" t="n">
        <x:v>1.8156</x:v>
      </x:c>
      <x:c r="G3987" s="74" t="n">
        <x:v>0.0015</x:v>
      </x:c>
      <x:c r="H3987" s="66" t="str">
        <x:v>量客投资金选套利1号净值20260911.xlsx</x:v>
      </x:c>
      <x:c r="I3987" s="73" t="str">
        <x:f>""</x:f>
      </x:c>
      <x:c r="J3987" s="74" t="str">
        <x:f>""</x:f>
      </x:c>
      <x:c r="K3987" s="73" t="n">
        <x:f>MAX(K3986,F3987)</x:f>
        <x:v>1.8156</x:v>
      </x:c>
      <x:c r="L3987" s="74" t="n">
        <x:f>1-F3987/K3987</x:f>
        <x:v>0</x:v>
      </x:c>
      <x:c r="M3987" s="73" t="n">
        <x:f>MAX(M3986,F3987)</x:f>
        <x:v>1.8156</x:v>
      </x:c>
      <x:c r="N3987" s="74" t="n">
        <x:f>1-F3987/M3987</x:f>
        <x:v>0</x:v>
      </x:c>
    </x:row>
    <x:row r="3988" ht="27" customHeight="1">
      <x:c r="A3988" s="66" t="str">
        <x:v>SNH457</x:v>
      </x:c>
      <x:c r="B3988" s="66" t="str">
        <x:v>量客投资金选套利1号</x:v>
      </x:c>
      <x:c r="C3988" s="72" t="n">
        <x:v>45702</x:v>
      </x:c>
      <x:c r="D3988" s="73" t="n">
        <x:v>1.1114</x:v>
      </x:c>
      <x:c r="E3988" s="73" t="n">
        <x:v>1.6814</x:v>
      </x:c>
      <x:c r="F3988" s="73" t="n">
        <x:v>1.8194</x:v>
      </x:c>
      <x:c r="G3988" s="74" t="n">
        <x:v>0.0021</x:v>
      </x:c>
      <x:c r="H3988" s="66" t="str">
        <x:v>量客投资金选套利1号净值20260911.xlsx</x:v>
      </x:c>
      <x:c r="I3988" s="73" t="str">
        <x:f>""</x:f>
      </x:c>
      <x:c r="J3988" s="74" t="str">
        <x:f>""</x:f>
      </x:c>
      <x:c r="K3988" s="73" t="n">
        <x:f>MAX(K3987,F3988)</x:f>
        <x:v>1.8194</x:v>
      </x:c>
      <x:c r="L3988" s="74" t="n">
        <x:f>1-F3988/K3988</x:f>
        <x:v>0</x:v>
      </x:c>
      <x:c r="M3988" s="73" t="n">
        <x:f>MAX(M3987,F3988)</x:f>
        <x:v>1.8194</x:v>
      </x:c>
      <x:c r="N3988" s="74" t="n">
        <x:f>1-F3988/M3988</x:f>
        <x:v>0</x:v>
      </x:c>
    </x:row>
    <x:row r="3989" ht="27" customHeight="1">
      <x:c r="A3989" s="66" t="str">
        <x:v>SNH457</x:v>
      </x:c>
      <x:c r="B3989" s="66" t="str">
        <x:v>量客投资金选套利1号</x:v>
      </x:c>
      <x:c r="C3989" s="72" t="n">
        <x:v>45709</x:v>
      </x:c>
      <x:c r="D3989" s="73" t="n">
        <x:v>1.1149</x:v>
      </x:c>
      <x:c r="E3989" s="73" t="n">
        <x:v>1.6849</x:v>
      </x:c>
      <x:c r="F3989" s="73" t="n">
        <x:v>1.8251</x:v>
      </x:c>
      <x:c r="G3989" s="74" t="n">
        <x:v>0.0031</x:v>
      </x:c>
      <x:c r="H3989" s="66" t="str">
        <x:v>量客投资金选套利1号净值20260911.xlsx</x:v>
      </x:c>
      <x:c r="I3989" s="73" t="str">
        <x:f>""</x:f>
      </x:c>
      <x:c r="J3989" s="74" t="str">
        <x:f>""</x:f>
      </x:c>
      <x:c r="K3989" s="73" t="n">
        <x:f>MAX(K3988,F3989)</x:f>
        <x:v>1.8251</x:v>
      </x:c>
      <x:c r="L3989" s="74" t="n">
        <x:f>1-F3989/K3989</x:f>
        <x:v>0</x:v>
      </x:c>
      <x:c r="M3989" s="73" t="n">
        <x:f>MAX(M3988,F3989)</x:f>
        <x:v>1.8251</x:v>
      </x:c>
      <x:c r="N3989" s="74" t="n">
        <x:f>1-F3989/M3989</x:f>
        <x:v>0</x:v>
      </x:c>
    </x:row>
    <x:row r="3990" ht="27" customHeight="1">
      <x:c r="A3990" s="66" t="str">
        <x:v>SNH457</x:v>
      </x:c>
      <x:c r="B3990" s="66" t="str">
        <x:v>量客投资金选套利1号</x:v>
      </x:c>
      <x:c r="C3990" s="72" t="n">
        <x:v>45716</x:v>
      </x:c>
      <x:c r="D3990" s="73" t="n">
        <x:v>1.1175</x:v>
      </x:c>
      <x:c r="E3990" s="73" t="n">
        <x:v>1.6875</x:v>
      </x:c>
      <x:c r="F3990" s="73" t="n">
        <x:v>1.8294</x:v>
      </x:c>
      <x:c r="G3990" s="74" t="n">
        <x:v>0.0023</x:v>
      </x:c>
      <x:c r="H3990" s="66" t="str">
        <x:v>量客投资金选套利1号净值20260911.xlsx</x:v>
      </x:c>
      <x:c r="I3990" s="73" t="str">
        <x:f>""</x:f>
      </x:c>
      <x:c r="J3990" s="74" t="str">
        <x:f>""</x:f>
      </x:c>
      <x:c r="K3990" s="73" t="n">
        <x:f>MAX(K3989,F3990)</x:f>
        <x:v>1.8294</x:v>
      </x:c>
      <x:c r="L3990" s="74" t="n">
        <x:f>1-F3990/K3990</x:f>
        <x:v>0</x:v>
      </x:c>
      <x:c r="M3990" s="73" t="n">
        <x:f>MAX(M3989,F3990)</x:f>
        <x:v>1.8294</x:v>
      </x:c>
      <x:c r="N3990" s="74" t="n">
        <x:f>1-F3990/M3990</x:f>
        <x:v>0</x:v>
      </x:c>
    </x:row>
    <x:row r="3991" ht="27" customHeight="1">
      <x:c r="A3991" s="66" t="str">
        <x:v>SNH457</x:v>
      </x:c>
      <x:c r="B3991" s="66" t="str">
        <x:v>量客投资金选套利1号</x:v>
      </x:c>
      <x:c r="C3991" s="72" t="n">
        <x:v>45723</x:v>
      </x:c>
      <x:c r="D3991" s="73" t="n">
        <x:v>1.1195</x:v>
      </x:c>
      <x:c r="E3991" s="73" t="n">
        <x:v>1.6895</x:v>
      </x:c>
      <x:c r="F3991" s="73" t="n">
        <x:v>1.8326</x:v>
      </x:c>
      <x:c r="G3991" s="74" t="n">
        <x:v>0.0018</x:v>
      </x:c>
      <x:c r="H3991" s="66" t="str">
        <x:v>量客投资金选套利1号净值20260911.xlsx</x:v>
      </x:c>
      <x:c r="I3991" s="73" t="str">
        <x:f>""</x:f>
      </x:c>
      <x:c r="J3991" s="74" t="str">
        <x:f>""</x:f>
      </x:c>
      <x:c r="K3991" s="73" t="n">
        <x:f>MAX(K3990,F3991)</x:f>
        <x:v>1.8326</x:v>
      </x:c>
      <x:c r="L3991" s="74" t="n">
        <x:f>1-F3991/K3991</x:f>
        <x:v>0</x:v>
      </x:c>
      <x:c r="M3991" s="73" t="n">
        <x:f>MAX(M3990,F3991)</x:f>
        <x:v>1.8326</x:v>
      </x:c>
      <x:c r="N3991" s="74" t="n">
        <x:f>1-F3991/M3991</x:f>
        <x:v>0</x:v>
      </x:c>
    </x:row>
    <x:row r="3992" ht="27" customHeight="1">
      <x:c r="A3992" s="66" t="str">
        <x:v>SNH457</x:v>
      </x:c>
      <x:c r="B3992" s="66" t="str">
        <x:v>量客投资金选套利1号</x:v>
      </x:c>
      <x:c r="C3992" s="72" t="n">
        <x:v>45730</x:v>
      </x:c>
      <x:c r="D3992" s="73" t="n">
        <x:v>1.1193</x:v>
      </x:c>
      <x:c r="E3992" s="73" t="n">
        <x:v>1.6893</x:v>
      </x:c>
      <x:c r="F3992" s="73" t="n">
        <x:v>1.8323</x:v>
      </x:c>
      <x:c r="G3992" s="74" t="n">
        <x:v>-0.0002</x:v>
      </x:c>
      <x:c r="H3992" s="66" t="str">
        <x:v>量客投资金选套利1号净值20260911.xlsx</x:v>
      </x:c>
      <x:c r="I3992" s="73" t="str">
        <x:f>""</x:f>
      </x:c>
      <x:c r="J3992" s="74" t="str">
        <x:f>""</x:f>
      </x:c>
      <x:c r="K3992" s="73" t="n">
        <x:f>MAX(K3991,F3992)</x:f>
        <x:v>1.8326</x:v>
      </x:c>
      <x:c r="L3992" s="74" t="n">
        <x:f>1-F3992/K3992</x:f>
        <x:v>0.00016370184437408675</x:v>
      </x:c>
      <x:c r="M3992" s="73" t="n">
        <x:f>MAX(M3991,F3992)</x:f>
        <x:v>1.8326</x:v>
      </x:c>
      <x:c r="N3992" s="74" t="n">
        <x:f>1-F3992/M3992</x:f>
        <x:v>0.00016370184437408675</x:v>
      </x:c>
    </x:row>
    <x:row r="3993" ht="27" customHeight="1">
      <x:c r="A3993" s="66" t="str">
        <x:v>SNH457</x:v>
      </x:c>
      <x:c r="B3993" s="66" t="str">
        <x:v>量客投资金选套利1号</x:v>
      </x:c>
      <x:c r="C3993" s="72" t="n">
        <x:v>45737</x:v>
      </x:c>
      <x:c r="D3993" s="73" t="n">
        <x:v>1.0005</x:v>
      </x:c>
      <x:c r="E3993" s="73" t="n">
        <x:v>1.6896</x:v>
      </x:c>
      <x:c r="F3993" s="73" t="n">
        <x:v>1.8328</x:v>
      </x:c>
      <x:c r="G3993" s="74" t="n">
        <x:v>0.0003</x:v>
      </x:c>
      <x:c r="H3993" s="66" t="str">
        <x:v>量客投资金选套利1号净值20260911.xlsx</x:v>
      </x:c>
      <x:c r="I3993" s="73" t="str">
        <x:f>""</x:f>
      </x:c>
      <x:c r="J3993" s="74" t="str">
        <x:f>""</x:f>
      </x:c>
      <x:c r="K3993" s="73" t="n">
        <x:f>MAX(K3992,F3993)</x:f>
        <x:v>1.8328</x:v>
      </x:c>
      <x:c r="L3993" s="74" t="n">
        <x:f>1-F3993/K3993</x:f>
        <x:v>0</x:v>
      </x:c>
      <x:c r="M3993" s="73" t="n">
        <x:f>MAX(M3992,F3993)</x:f>
        <x:v>1.8328</x:v>
      </x:c>
      <x:c r="N3993" s="74" t="n">
        <x:f>1-F3993/M3993</x:f>
        <x:v>0</x:v>
      </x:c>
    </x:row>
    <x:row r="3994" ht="27" customHeight="1">
      <x:c r="A3994" s="66" t="str">
        <x:v>SNH457</x:v>
      </x:c>
      <x:c r="B3994" s="66" t="str">
        <x:v>量客投资金选套利1号</x:v>
      </x:c>
      <x:c r="C3994" s="72" t="n">
        <x:v>45744</x:v>
      </x:c>
      <x:c r="D3994" s="73" t="n">
        <x:v>1.0015</x:v>
      </x:c>
      <x:c r="E3994" s="73" t="n">
        <x:v>1.6906</x:v>
      </x:c>
      <x:c r="F3994" s="73" t="n">
        <x:v>1.8346</x:v>
      </x:c>
      <x:c r="G3994" s="74" t="n">
        <x:v>0.001</x:v>
      </x:c>
      <x:c r="H3994" s="66" t="str">
        <x:v>量客投资金选套利1号净值20260911.xlsx</x:v>
      </x:c>
      <x:c r="I3994" s="73" t="str">
        <x:f>""</x:f>
      </x:c>
      <x:c r="J3994" s="74" t="str">
        <x:f>""</x:f>
      </x:c>
      <x:c r="K3994" s="73" t="n">
        <x:f>MAX(K3993,F3994)</x:f>
        <x:v>1.8346</x:v>
      </x:c>
      <x:c r="L3994" s="74" t="n">
        <x:f>1-F3994/K3994</x:f>
        <x:v>0</x:v>
      </x:c>
      <x:c r="M3994" s="73" t="n">
        <x:f>MAX(M3993,F3994)</x:f>
        <x:v>1.8346</x:v>
      </x:c>
      <x:c r="N3994" s="74" t="n">
        <x:f>1-F3994/M3994</x:f>
        <x:v>0</x:v>
      </x:c>
    </x:row>
    <x:row r="3995" ht="27" customHeight="1">
      <x:c r="A3995" s="66" t="str">
        <x:v>SNH457</x:v>
      </x:c>
      <x:c r="B3995" s="66" t="str">
        <x:v>量客投资金选套利1号</x:v>
      </x:c>
      <x:c r="C3995" s="72" t="n">
        <x:v>45750</x:v>
      </x:c>
      <x:c r="D3995" s="73" t="n">
        <x:v>1.0022</x:v>
      </x:c>
      <x:c r="E3995" s="73" t="n">
        <x:v>1.6913</x:v>
      </x:c>
      <x:c r="F3995" s="73" t="n">
        <x:v>1.8359</x:v>
      </x:c>
      <x:c r="G3995" s="74" t="n">
        <x:v>0.0007000000000000001</x:v>
      </x:c>
      <x:c r="H3995" s="66" t="str">
        <x:v>量客投资金选套利1号净值20260911.xlsx</x:v>
      </x:c>
      <x:c r="I3995" s="73" t="str">
        <x:f>""</x:f>
      </x:c>
      <x:c r="J3995" s="74" t="str">
        <x:f>""</x:f>
      </x:c>
      <x:c r="K3995" s="73" t="n">
        <x:f>MAX(K3994,F3995)</x:f>
        <x:v>1.8359</x:v>
      </x:c>
      <x:c r="L3995" s="74" t="n">
        <x:f>1-F3995/K3995</x:f>
        <x:v>0</x:v>
      </x:c>
      <x:c r="M3995" s="73" t="n">
        <x:f>MAX(M3994,F3995)</x:f>
        <x:v>1.8359</x:v>
      </x:c>
      <x:c r="N3995" s="74" t="n">
        <x:f>1-F3995/M3995</x:f>
        <x:v>0</x:v>
      </x:c>
    </x:row>
    <x:row r="3996" ht="27" customHeight="1">
      <x:c r="A3996" s="66" t="str">
        <x:v>SNH457</x:v>
      </x:c>
      <x:c r="B3996" s="66" t="str">
        <x:v>量客投资金选套利1号</x:v>
      </x:c>
      <x:c r="C3996" s="72" t="n">
        <x:v>45758</x:v>
      </x:c>
      <x:c r="D3996" s="73" t="n">
        <x:v>1.0069</x:v>
      </x:c>
      <x:c r="E3996" s="73" t="n">
        <x:v>1.696</x:v>
      </x:c>
      <x:c r="F3996" s="73" t="n">
        <x:v>1.8445</x:v>
      </x:c>
      <x:c r="G3996" s="74" t="n">
        <x:v>0.004699999999999999</x:v>
      </x:c>
      <x:c r="H3996" s="66" t="str">
        <x:v>量客投资金选套利1号净值20260911.xlsx</x:v>
      </x:c>
      <x:c r="I3996" s="73" t="str">
        <x:f>""</x:f>
      </x:c>
      <x:c r="J3996" s="74" t="str">
        <x:f>""</x:f>
      </x:c>
      <x:c r="K3996" s="73" t="n">
        <x:f>MAX(K3995,F3996)</x:f>
        <x:v>1.8445</x:v>
      </x:c>
      <x:c r="L3996" s="74" t="n">
        <x:f>1-F3996/K3996</x:f>
        <x:v>0</x:v>
      </x:c>
      <x:c r="M3996" s="73" t="n">
        <x:f>MAX(M3995,F3996)</x:f>
        <x:v>1.8445</x:v>
      </x:c>
      <x:c r="N3996" s="74" t="n">
        <x:f>1-F3996/M3996</x:f>
        <x:v>0</x:v>
      </x:c>
    </x:row>
    <x:row r="3997" ht="27" customHeight="1">
      <x:c r="A3997" s="66" t="str">
        <x:v>SNH457</x:v>
      </x:c>
      <x:c r="B3997" s="66" t="str">
        <x:v>量客投资金选套利1号</x:v>
      </x:c>
      <x:c r="C3997" s="72" t="n">
        <x:v>45765</x:v>
      </x:c>
      <x:c r="D3997" s="73" t="n">
        <x:v>1.0063</x:v>
      </x:c>
      <x:c r="E3997" s="73" t="n">
        <x:v>1.6954</x:v>
      </x:c>
      <x:c r="F3997" s="73" t="n">
        <x:v>1.8434</x:v>
      </x:c>
      <x:c r="G3997" s="74" t="n">
        <x:v>-0.0006</x:v>
      </x:c>
      <x:c r="H3997" s="66" t="str">
        <x:v>量客投资金选套利1号净值20260911.xlsx</x:v>
      </x:c>
      <x:c r="I3997" s="73" t="str">
        <x:f>""</x:f>
      </x:c>
      <x:c r="J3997" s="74" t="str">
        <x:f>""</x:f>
      </x:c>
      <x:c r="K3997" s="73" t="n">
        <x:f>MAX(K3996,F3997)</x:f>
        <x:v>1.8445</x:v>
      </x:c>
      <x:c r="L3997" s="74" t="n">
        <x:f>1-F3997/K3997</x:f>
        <x:v>0.0005963675792898249</x:v>
      </x:c>
      <x:c r="M3997" s="73" t="n">
        <x:f>MAX(M3996,F3997)</x:f>
        <x:v>1.8445</x:v>
      </x:c>
      <x:c r="N3997" s="74" t="n">
        <x:f>1-F3997/M3997</x:f>
        <x:v>0.0005963675792898249</x:v>
      </x:c>
    </x:row>
    <x:row r="3998" ht="27" customHeight="1">
      <x:c r="A3998" s="66" t="str">
        <x:v>SNH457</x:v>
      </x:c>
      <x:c r="B3998" s="66" t="str">
        <x:v>量客投资金选套利1号</x:v>
      </x:c>
      <x:c r="C3998" s="72" t="n">
        <x:v>45772</x:v>
      </x:c>
      <x:c r="D3998" s="73" t="n">
        <x:v>1.0064</x:v>
      </x:c>
      <x:c r="E3998" s="73" t="n">
        <x:v>1.6955</x:v>
      </x:c>
      <x:c r="F3998" s="73" t="n">
        <x:v>1.8436</x:v>
      </x:c>
      <x:c r="G3998" s="74" t="n">
        <x:v>0.0001</x:v>
      </x:c>
      <x:c r="H3998" s="66" t="str">
        <x:v>量客投资金选套利1号净值20260911.xlsx</x:v>
      </x:c>
      <x:c r="I3998" s="73" t="str">
        <x:f>""</x:f>
      </x:c>
      <x:c r="J3998" s="74" t="str">
        <x:f>""</x:f>
      </x:c>
      <x:c r="K3998" s="73" t="n">
        <x:f>MAX(K3997,F3998)</x:f>
        <x:v>1.8445</x:v>
      </x:c>
      <x:c r="L3998" s="74" t="n">
        <x:f>1-F3998/K3998</x:f>
        <x:v>0.00048793711032801834</x:v>
      </x:c>
      <x:c r="M3998" s="73" t="n">
        <x:f>MAX(M3997,F3998)</x:f>
        <x:v>1.8445</x:v>
      </x:c>
      <x:c r="N3998" s="74" t="n">
        <x:f>1-F3998/M3998</x:f>
        <x:v>0.00048793711032801834</x:v>
      </x:c>
    </x:row>
    <x:row r="3999" ht="27" customHeight="1">
      <x:c r="A3999" s="66" t="str">
        <x:v>SNH457</x:v>
      </x:c>
      <x:c r="B3999" s="66" t="str">
        <x:v>量客投资金选套利1号</x:v>
      </x:c>
      <x:c r="C3999" s="72" t="n">
        <x:v>45777</x:v>
      </x:c>
      <x:c r="D3999" s="73" t="n">
        <x:v>1.0067</x:v>
      </x:c>
      <x:c r="E3999" s="73" t="n">
        <x:v>1.6958</x:v>
      </x:c>
      <x:c r="F3999" s="73" t="n">
        <x:v>1.8441</x:v>
      </x:c>
      <x:c r="G3999" s="74" t="n">
        <x:v>0.0003</x:v>
      </x:c>
      <x:c r="H3999" s="66" t="str">
        <x:v>量客投资金选套利1号净值20260911.xlsx</x:v>
      </x:c>
      <x:c r="I3999" s="73" t="str">
        <x:f>""</x:f>
      </x:c>
      <x:c r="J3999" s="74" t="str">
        <x:f>""</x:f>
      </x:c>
      <x:c r="K3999" s="73" t="n">
        <x:f>MAX(K3998,F3999)</x:f>
        <x:v>1.8445</x:v>
      </x:c>
      <x:c r="L3999" s="74" t="n">
        <x:f>1-F3999/K3999</x:f>
        <x:v>0.00021686093792350203</x:v>
      </x:c>
      <x:c r="M3999" s="73" t="n">
        <x:f>MAX(M3998,F3999)</x:f>
        <x:v>1.8445</x:v>
      </x:c>
      <x:c r="N3999" s="74" t="n">
        <x:f>1-F3999/M3999</x:f>
        <x:v>0.00021686093792350203</x:v>
      </x:c>
    </x:row>
    <x:row r="4000" ht="27" customHeight="1">
      <x:c r="A4000" s="66" t="str">
        <x:v>SNH457</x:v>
      </x:c>
      <x:c r="B4000" s="66" t="str">
        <x:v>量客投资金选套利1号</x:v>
      </x:c>
      <x:c r="C4000" s="72" t="n">
        <x:v>45786</x:v>
      </x:c>
      <x:c r="D4000" s="73" t="n">
        <x:v>1.0061</x:v>
      </x:c>
      <x:c r="E4000" s="73" t="n">
        <x:v>1.6952</x:v>
      </x:c>
      <x:c r="F4000" s="73" t="n">
        <x:v>1.8431</x:v>
      </x:c>
      <x:c r="G4000" s="74" t="n">
        <x:v>-0.0006</x:v>
      </x:c>
      <x:c r="H4000" s="66" t="str">
        <x:v>量客投资金选套利1号净值20260911.xlsx</x:v>
      </x:c>
      <x:c r="I4000" s="73" t="str">
        <x:f>""</x:f>
      </x:c>
      <x:c r="J4000" s="74" t="str">
        <x:f>""</x:f>
      </x:c>
      <x:c r="K4000" s="73" t="n">
        <x:f>MAX(K3999,F4000)</x:f>
        <x:v>1.8445</x:v>
      </x:c>
      <x:c r="L4000" s="74" t="n">
        <x:f>1-F4000/K4000</x:f>
        <x:v>0.0007590132827325347</x:v>
      </x:c>
      <x:c r="M4000" s="73" t="n">
        <x:f>MAX(M3999,F4000)</x:f>
        <x:v>1.8445</x:v>
      </x:c>
      <x:c r="N4000" s="74" t="n">
        <x:f>1-F4000/M4000</x:f>
        <x:v>0.0007590132827325347</x:v>
      </x:c>
    </x:row>
    <x:row r="4001" ht="27" customHeight="1">
      <x:c r="A4001" s="66" t="str">
        <x:v>SNH457</x:v>
      </x:c>
      <x:c r="B4001" s="66" t="str">
        <x:v>量客投资金选套利1号</x:v>
      </x:c>
      <x:c r="C4001" s="72" t="n">
        <x:v>45793</x:v>
      </x:c>
      <x:c r="D4001" s="73" t="n">
        <x:v>1.007</x:v>
      </x:c>
      <x:c r="E4001" s="73" t="n">
        <x:v>1.6961</x:v>
      </x:c>
      <x:c r="F4001" s="73" t="n">
        <x:v>1.8447</x:v>
      </x:c>
      <x:c r="G4001" s="74" t="n">
        <x:v>0.0009</x:v>
      </x:c>
      <x:c r="H4001" s="66" t="str">
        <x:v>量客投资金选套利1号净值20260911.xlsx</x:v>
      </x:c>
      <x:c r="I4001" s="73" t="str">
        <x:f>""</x:f>
      </x:c>
      <x:c r="J4001" s="74" t="str">
        <x:f>""</x:f>
      </x:c>
      <x:c r="K4001" s="73" t="n">
        <x:f>MAX(K4000,F4001)</x:f>
        <x:v>1.8447</x:v>
      </x:c>
      <x:c r="L4001" s="74" t="n">
        <x:f>1-F4001/K4001</x:f>
        <x:v>0</x:v>
      </x:c>
      <x:c r="M4001" s="73" t="n">
        <x:f>MAX(M4000,F4001)</x:f>
        <x:v>1.8447</x:v>
      </x:c>
      <x:c r="N4001" s="74" t="n">
        <x:f>1-F4001/M4001</x:f>
        <x:v>0</x:v>
      </x:c>
    </x:row>
    <x:row r="4002" ht="27" customHeight="1">
      <x:c r="A4002" s="66" t="str">
        <x:v>SNH457</x:v>
      </x:c>
      <x:c r="B4002" s="66" t="str">
        <x:v>量客投资金选套利1号</x:v>
      </x:c>
      <x:c r="C4002" s="72" t="n">
        <x:v>45800</x:v>
      </x:c>
      <x:c r="D4002" s="73" t="n">
        <x:v>1.0065</x:v>
      </x:c>
      <x:c r="E4002" s="73" t="n">
        <x:v>1.6956</x:v>
      </x:c>
      <x:c r="F4002" s="73" t="n">
        <x:v>1.8438</x:v>
      </x:c>
      <x:c r="G4002" s="74" t="n">
        <x:v>-0.0005</x:v>
      </x:c>
      <x:c r="H4002" s="66" t="str">
        <x:v>量客投资金选套利1号净值20260911.xlsx</x:v>
      </x:c>
      <x:c r="I4002" s="73" t="str">
        <x:f>""</x:f>
      </x:c>
      <x:c r="J4002" s="74" t="str">
        <x:f>""</x:f>
      </x:c>
      <x:c r="K4002" s="73" t="n">
        <x:f>MAX(K4001,F4002)</x:f>
        <x:v>1.8447</x:v>
      </x:c>
      <x:c r="L4002" s="74" t="n">
        <x:f>1-F4002/K4002</x:f>
        <x:v>0.0004878842088144042</x:v>
      </x:c>
      <x:c r="M4002" s="73" t="n">
        <x:f>MAX(M4001,F4002)</x:f>
        <x:v>1.8447</x:v>
      </x:c>
      <x:c r="N4002" s="74" t="n">
        <x:f>1-F4002/M4002</x:f>
        <x:v>0.0004878842088144042</x:v>
      </x:c>
    </x:row>
    <x:row r="4003" ht="27" customHeight="1">
      <x:c r="A4003" s="66" t="str">
        <x:v>SNH457</x:v>
      </x:c>
      <x:c r="B4003" s="66" t="str">
        <x:v>量客投资金选套利1号</x:v>
      </x:c>
      <x:c r="C4003" s="72" t="n">
        <x:v>45807</x:v>
      </x:c>
      <x:c r="D4003" s="73" t="n">
        <x:v>1.0067</x:v>
      </x:c>
      <x:c r="E4003" s="73" t="n">
        <x:v>1.6958</x:v>
      </x:c>
      <x:c r="F4003" s="73" t="n">
        <x:v>1.8441</x:v>
      </x:c>
      <x:c r="G4003" s="74" t="n">
        <x:v>0.0002</x:v>
      </x:c>
      <x:c r="H4003" s="66" t="str">
        <x:v>量客投资金选套利1号净值20260911.xlsx</x:v>
      </x:c>
      <x:c r="I4003" s="73" t="str">
        <x:f>""</x:f>
      </x:c>
      <x:c r="J4003" s="74" t="str">
        <x:f>""</x:f>
      </x:c>
      <x:c r="K4003" s="73" t="n">
        <x:f>MAX(K4002,F4003)</x:f>
        <x:v>1.8447</x:v>
      </x:c>
      <x:c r="L4003" s="74" t="n">
        <x:f>1-F4003/K4003</x:f>
        <x:v>0.0003252561392096398</x:v>
      </x:c>
      <x:c r="M4003" s="73" t="n">
        <x:f>MAX(M4002,F4003)</x:f>
        <x:v>1.8447</x:v>
      </x:c>
      <x:c r="N4003" s="74" t="n">
        <x:f>1-F4003/M4003</x:f>
        <x:v>0.0003252561392096398</x:v>
      </x:c>
    </x:row>
    <x:row r="4004" ht="27" customHeight="1">
      <x:c r="A4004" s="66" t="str">
        <x:v>SNH457</x:v>
      </x:c>
      <x:c r="B4004" s="66" t="str">
        <x:v>量客投资金选套利1号</x:v>
      </x:c>
      <x:c r="C4004" s="72" t="n">
        <x:v>45814</x:v>
      </x:c>
      <x:c r="D4004" s="73" t="n">
        <x:v>1.0064</x:v>
      </x:c>
      <x:c r="E4004" s="73" t="n">
        <x:v>1.6955</x:v>
      </x:c>
      <x:c r="F4004" s="73" t="n">
        <x:v>1.8436</x:v>
      </x:c>
      <x:c r="G4004" s="74" t="n">
        <x:v>-0.0003</x:v>
      </x:c>
      <x:c r="H4004" s="66" t="str">
        <x:v>量客投资金选套利1号净值20260911.xlsx</x:v>
      </x:c>
      <x:c r="I4004" s="73" t="str">
        <x:f>""</x:f>
      </x:c>
      <x:c r="J4004" s="74" t="str">
        <x:f>""</x:f>
      </x:c>
      <x:c r="K4004" s="73" t="n">
        <x:f>MAX(K4003,F4004)</x:f>
        <x:v>1.8447</x:v>
      </x:c>
      <x:c r="L4004" s="74" t="n">
        <x:f>1-F4004/K4004</x:f>
        <x:v>0.0005963029218843952</x:v>
      </x:c>
      <x:c r="M4004" s="73" t="n">
        <x:f>MAX(M4003,F4004)</x:f>
        <x:v>1.8447</x:v>
      </x:c>
      <x:c r="N4004" s="74" t="n">
        <x:f>1-F4004/M4004</x:f>
        <x:v>0.0005963029218843952</x:v>
      </x:c>
    </x:row>
    <x:row r="4005" ht="27" customHeight="1">
      <x:c r="A4005" s="66" t="str">
        <x:v>SNH457</x:v>
      </x:c>
      <x:c r="B4005" s="66" t="str">
        <x:v>量客投资金选套利1号</x:v>
      </x:c>
      <x:c r="C4005" s="72" t="n">
        <x:v>45821</x:v>
      </x:c>
      <x:c r="D4005" s="73" t="n">
        <x:v>1.0065</x:v>
      </x:c>
      <x:c r="E4005" s="73" t="n">
        <x:v>1.6956</x:v>
      </x:c>
      <x:c r="F4005" s="73" t="n">
        <x:v>1.8438</x:v>
      </x:c>
      <x:c r="G4005" s="74" t="n">
        <x:v>0.0001</x:v>
      </x:c>
      <x:c r="H4005" s="66" t="str">
        <x:v>量客投资金选套利1号净值20260911.xlsx</x:v>
      </x:c>
      <x:c r="I4005" s="73" t="str">
        <x:f>""</x:f>
      </x:c>
      <x:c r="J4005" s="74" t="str">
        <x:f>""</x:f>
      </x:c>
      <x:c r="K4005" s="73" t="n">
        <x:f>MAX(K4004,F4005)</x:f>
        <x:v>1.8447</x:v>
      </x:c>
      <x:c r="L4005" s="74" t="n">
        <x:f>1-F4005/K4005</x:f>
        <x:v>0.0004878842088144042</x:v>
      </x:c>
      <x:c r="M4005" s="73" t="n">
        <x:f>MAX(M4004,F4005)</x:f>
        <x:v>1.8447</x:v>
      </x:c>
      <x:c r="N4005" s="74" t="n">
        <x:f>1-F4005/M4005</x:f>
        <x:v>0.0004878842088144042</x:v>
      </x:c>
    </x:row>
    <x:row r="4006" ht="27" customHeight="1">
      <x:c r="A4006" s="66" t="str">
        <x:v>SNH457</x:v>
      </x:c>
      <x:c r="B4006" s="66" t="str">
        <x:v>量客投资金选套利1号</x:v>
      </x:c>
      <x:c r="C4006" s="72" t="n">
        <x:v>45828</x:v>
      </x:c>
      <x:c r="D4006" s="73" t="n">
        <x:v>1.0061</x:v>
      </x:c>
      <x:c r="E4006" s="73" t="n">
        <x:v>1.6952</x:v>
      </x:c>
      <x:c r="F4006" s="73" t="n">
        <x:v>1.8431</x:v>
      </x:c>
      <x:c r="G4006" s="74" t="n">
        <x:v>-0.0004</x:v>
      </x:c>
      <x:c r="H4006" s="66" t="str">
        <x:v>量客投资金选套利1号净值20260911.xlsx</x:v>
      </x:c>
      <x:c r="I4006" s="73" t="str">
        <x:f>""</x:f>
      </x:c>
      <x:c r="J4006" s="74" t="str">
        <x:f>""</x:f>
      </x:c>
      <x:c r="K4006" s="73" t="n">
        <x:f>MAX(K4005,F4006)</x:f>
        <x:v>1.8447</x:v>
      </x:c>
      <x:c r="L4006" s="74" t="n">
        <x:f>1-F4006/K4006</x:f>
        <x:v>0.0008673497045590395</x:v>
      </x:c>
      <x:c r="M4006" s="73" t="n">
        <x:f>MAX(M4005,F4006)</x:f>
        <x:v>1.8447</x:v>
      </x:c>
      <x:c r="N4006" s="74" t="n">
        <x:f>1-F4006/M4006</x:f>
        <x:v>0.0008673497045590395</x:v>
      </x:c>
    </x:row>
    <x:row r="4007" ht="27" customHeight="1">
      <x:c r="A4007" s="66" t="str">
        <x:v>SNH457</x:v>
      </x:c>
      <x:c r="B4007" s="66" t="str">
        <x:v>量客投资金选套利1号</x:v>
      </x:c>
      <x:c r="C4007" s="72" t="n">
        <x:v>45835</x:v>
      </x:c>
      <x:c r="D4007" s="73" t="n">
        <x:v>1.007</x:v>
      </x:c>
      <x:c r="E4007" s="73" t="n">
        <x:v>1.6961</x:v>
      </x:c>
      <x:c r="F4007" s="73" t="n">
        <x:v>1.8447</x:v>
      </x:c>
      <x:c r="G4007" s="74" t="n">
        <x:v>0.0009</x:v>
      </x:c>
      <x:c r="H4007" s="66" t="str">
        <x:v>量客投资金选套利1号净值20260911.xlsx</x:v>
      </x:c>
      <x:c r="I4007" s="73" t="str">
        <x:f>""</x:f>
      </x:c>
      <x:c r="J4007" s="74" t="str">
        <x:f>""</x:f>
      </x:c>
      <x:c r="K4007" s="73" t="n">
        <x:f>MAX(K4006,F4007)</x:f>
        <x:v>1.8447</x:v>
      </x:c>
      <x:c r="L4007" s="74" t="n">
        <x:f>1-F4007/K4007</x:f>
        <x:v>0</x:v>
      </x:c>
      <x:c r="M4007" s="73" t="n">
        <x:f>MAX(M4006,F4007)</x:f>
        <x:v>1.8447</x:v>
      </x:c>
      <x:c r="N4007" s="74" t="n">
        <x:f>1-F4007/M4007</x:f>
        <x:v>0</x:v>
      </x:c>
    </x:row>
    <x:row r="4008" ht="27" customHeight="1">
      <x:c r="A4008" s="66" t="str">
        <x:v>SNH457</x:v>
      </x:c>
      <x:c r="B4008" s="66" t="str">
        <x:v>量客投资金选套利1号</x:v>
      </x:c>
      <x:c r="C4008" s="72" t="n">
        <x:v>45842</x:v>
      </x:c>
      <x:c r="D4008" s="73" t="n">
        <x:v>1.0075</x:v>
      </x:c>
      <x:c r="E4008" s="73" t="n">
        <x:v>1.6966</x:v>
      </x:c>
      <x:c r="F4008" s="73" t="n">
        <x:v>1.8456</x:v>
      </x:c>
      <x:c r="G4008" s="74" t="n">
        <x:v>0.0005</x:v>
      </x:c>
      <x:c r="H4008" s="66" t="str">
        <x:v>量客投资金选套利1号净值20260911.xlsx</x:v>
      </x:c>
      <x:c r="I4008" s="73" t="str">
        <x:f>""</x:f>
      </x:c>
      <x:c r="J4008" s="74" t="str">
        <x:f>""</x:f>
      </x:c>
      <x:c r="K4008" s="73" t="n">
        <x:f>MAX(K4007,F4008)</x:f>
        <x:v>1.8456</x:v>
      </x:c>
      <x:c r="L4008" s="74" t="n">
        <x:f>1-F4008/K4008</x:f>
        <x:v>0</x:v>
      </x:c>
      <x:c r="M4008" s="73" t="n">
        <x:f>MAX(M4007,F4008)</x:f>
        <x:v>1.8456</x:v>
      </x:c>
      <x:c r="N4008" s="74" t="n">
        <x:f>1-F4008/M4008</x:f>
        <x:v>0</x:v>
      </x:c>
    </x:row>
    <x:row r="4009" ht="27" customHeight="1">
      <x:c r="A4009" s="66" t="str">
        <x:v>SNH457</x:v>
      </x:c>
      <x:c r="B4009" s="66" t="str">
        <x:v>量客投资金选套利1号</x:v>
      </x:c>
      <x:c r="C4009" s="72" t="n">
        <x:v>45849</x:v>
      </x:c>
      <x:c r="D4009" s="73" t="n">
        <x:v>1.0083</x:v>
      </x:c>
      <x:c r="E4009" s="73" t="n">
        <x:v>1.6974</x:v>
      </x:c>
      <x:c r="F4009" s="73" t="n">
        <x:v>1.8471</x:v>
      </x:c>
      <x:c r="G4009" s="74" t="n">
        <x:v>0.0008</x:v>
      </x:c>
      <x:c r="H4009" s="66" t="str">
        <x:v>量客投资金选套利1号净值20260911.xlsx</x:v>
      </x:c>
      <x:c r="I4009" s="73" t="str">
        <x:f>""</x:f>
      </x:c>
      <x:c r="J4009" s="74" t="str">
        <x:f>""</x:f>
      </x:c>
      <x:c r="K4009" s="73" t="n">
        <x:f>MAX(K4008,F4009)</x:f>
        <x:v>1.8471</x:v>
      </x:c>
      <x:c r="L4009" s="74" t="n">
        <x:f>1-F4009/K4009</x:f>
        <x:v>0</x:v>
      </x:c>
      <x:c r="M4009" s="73" t="n">
        <x:f>MAX(M4008,F4009)</x:f>
        <x:v>1.8471</x:v>
      </x:c>
      <x:c r="N4009" s="74" t="n">
        <x:f>1-F4009/M4009</x:f>
        <x:v>0</x:v>
      </x:c>
    </x:row>
    <x:row r="4010" ht="27" customHeight="1">
      <x:c r="A4010" s="66" t="str">
        <x:v>SNH457</x:v>
      </x:c>
      <x:c r="B4010" s="66" t="str">
        <x:v>量客投资金选套利1号</x:v>
      </x:c>
      <x:c r="C4010" s="72" t="n">
        <x:v>45856</x:v>
      </x:c>
      <x:c r="D4010" s="73" t="n">
        <x:v>1.0088</x:v>
      </x:c>
      <x:c r="E4010" s="73" t="n">
        <x:v>1.6979</x:v>
      </x:c>
      <x:c r="F4010" s="73" t="n">
        <x:v>1.848</x:v>
      </x:c>
      <x:c r="G4010" s="74" t="n">
        <x:v>0.0005</x:v>
      </x:c>
      <x:c r="H4010" s="66" t="str">
        <x:v>量客投资金选套利1号净值20260911.xlsx</x:v>
      </x:c>
      <x:c r="I4010" s="73" t="str">
        <x:f>""</x:f>
      </x:c>
      <x:c r="J4010" s="74" t="str">
        <x:f>""</x:f>
      </x:c>
      <x:c r="K4010" s="73" t="n">
        <x:f>MAX(K4009,F4010)</x:f>
        <x:v>1.848</x:v>
      </x:c>
      <x:c r="L4010" s="74" t="n">
        <x:f>1-F4010/K4010</x:f>
        <x:v>0</x:v>
      </x:c>
      <x:c r="M4010" s="73" t="n">
        <x:f>MAX(M4009,F4010)</x:f>
        <x:v>1.848</x:v>
      </x:c>
      <x:c r="N4010" s="74" t="n">
        <x:f>1-F4010/M4010</x:f>
        <x:v>0</x:v>
      </x:c>
    </x:row>
    <x:row r="4011" ht="27" customHeight="1">
      <x:c r="A4011" s="66" t="str">
        <x:v>SNH457</x:v>
      </x:c>
      <x:c r="B4011" s="66" t="str">
        <x:v>量客投资金选套利1号</x:v>
      </x:c>
      <x:c r="C4011" s="72" t="n">
        <x:v>45863</x:v>
      </x:c>
      <x:c r="D4011" s="73" t="n">
        <x:v>1.0094</x:v>
      </x:c>
      <x:c r="E4011" s="73" t="n">
        <x:v>1.6985</x:v>
      </x:c>
      <x:c r="F4011" s="73" t="n">
        <x:v>1.8491</x:v>
      </x:c>
      <x:c r="G4011" s="74" t="n">
        <x:v>0.0006</x:v>
      </x:c>
      <x:c r="H4011" s="66" t="str">
        <x:v>量客投资金选套利1号净值20260911.xlsx</x:v>
      </x:c>
      <x:c r="I4011" s="73" t="str">
        <x:f>""</x:f>
      </x:c>
      <x:c r="J4011" s="74" t="str">
        <x:f>""</x:f>
      </x:c>
      <x:c r="K4011" s="73" t="n">
        <x:f>MAX(K4010,F4011)</x:f>
        <x:v>1.8491</x:v>
      </x:c>
      <x:c r="L4011" s="74" t="n">
        <x:f>1-F4011/K4011</x:f>
        <x:v>0</x:v>
      </x:c>
      <x:c r="M4011" s="73" t="n">
        <x:f>MAX(M4010,F4011)</x:f>
        <x:v>1.8491</x:v>
      </x:c>
      <x:c r="N4011" s="74" t="n">
        <x:f>1-F4011/M4011</x:f>
        <x:v>0</x:v>
      </x:c>
    </x:row>
    <x:row r="4012" ht="27" customHeight="1">
      <x:c r="A4012" s="66" t="str">
        <x:v>SNH457</x:v>
      </x:c>
      <x:c r="B4012" s="66" t="str">
        <x:v>量客投资金选套利1号</x:v>
      </x:c>
      <x:c r="C4012" s="72" t="n">
        <x:v>45870</x:v>
      </x:c>
      <x:c r="D4012" s="73" t="n">
        <x:v>1.0118</x:v>
      </x:c>
      <x:c r="E4012" s="73" t="n">
        <x:v>1.7009</x:v>
      </x:c>
      <x:c r="F4012" s="73" t="n">
        <x:v>1.8535</x:v>
      </x:c>
      <x:c r="G4012" s="74" t="n">
        <x:v>0.0024</x:v>
      </x:c>
      <x:c r="H4012" s="66" t="str">
        <x:v>量客投资金选套利1号净值20260911.xlsx</x:v>
      </x:c>
      <x:c r="I4012" s="73" t="str">
        <x:f>""</x:f>
      </x:c>
      <x:c r="J4012" s="74" t="str">
        <x:f>""</x:f>
      </x:c>
      <x:c r="K4012" s="73" t="n">
        <x:f>MAX(K4011,F4012)</x:f>
        <x:v>1.8535</x:v>
      </x:c>
      <x:c r="L4012" s="74" t="n">
        <x:f>1-F4012/K4012</x:f>
        <x:v>0</x:v>
      </x:c>
      <x:c r="M4012" s="73" t="n">
        <x:f>MAX(M4011,F4012)</x:f>
        <x:v>1.8535</x:v>
      </x:c>
      <x:c r="N4012" s="74" t="n">
        <x:f>1-F4012/M4012</x:f>
        <x:v>0</x:v>
      </x:c>
    </x:row>
    <x:row r="4013" ht="27" customHeight="1">
      <x:c r="A4013" s="66" t="str">
        <x:v>SNH457</x:v>
      </x:c>
      <x:c r="B4013" s="66" t="str">
        <x:v>量客投资金选套利1号</x:v>
      </x:c>
      <x:c r="C4013" s="72" t="n">
        <x:v>45877</x:v>
      </x:c>
      <x:c r="D4013" s="73" t="n">
        <x:v>1.0121</x:v>
      </x:c>
      <x:c r="E4013" s="73" t="n">
        <x:v>1.7012</x:v>
      </x:c>
      <x:c r="F4013" s="73" t="n">
        <x:v>1.854</x:v>
      </x:c>
      <x:c r="G4013" s="74" t="n">
        <x:v>0.0003</x:v>
      </x:c>
      <x:c r="H4013" s="66" t="str">
        <x:v>量客投资金选套利1号净值20260911.xlsx</x:v>
      </x:c>
      <x:c r="I4013" s="73" t="str">
        <x:f>""</x:f>
      </x:c>
      <x:c r="J4013" s="74" t="str">
        <x:f>""</x:f>
      </x:c>
      <x:c r="K4013" s="73" t="n">
        <x:f>MAX(K4012,F4013)</x:f>
        <x:v>1.854</x:v>
      </x:c>
      <x:c r="L4013" s="74" t="n">
        <x:f>1-F4013/K4013</x:f>
        <x:v>0</x:v>
      </x:c>
      <x:c r="M4013" s="73" t="n">
        <x:f>MAX(M4012,F4013)</x:f>
        <x:v>1.854</x:v>
      </x:c>
      <x:c r="N4013" s="74" t="n">
        <x:f>1-F4013/M4013</x:f>
        <x:v>0</x:v>
      </x:c>
    </x:row>
    <x:row r="4014" ht="27" customHeight="1">
      <x:c r="A4014" s="66" t="str">
        <x:v>SNH457</x:v>
      </x:c>
      <x:c r="B4014" s="66" t="str">
        <x:v>量客投资金选套利1号</x:v>
      </x:c>
      <x:c r="C4014" s="72" t="n">
        <x:v>45884</x:v>
      </x:c>
      <x:c r="D4014" s="73" t="n">
        <x:v>1.0129</x:v>
      </x:c>
      <x:c r="E4014" s="73" t="n">
        <x:v>1.702</x:v>
      </x:c>
      <x:c r="F4014" s="73" t="n">
        <x:v>1.8555</x:v>
      </x:c>
      <x:c r="G4014" s="74" t="n">
        <x:v>0.0008</x:v>
      </x:c>
      <x:c r="H4014" s="66" t="str">
        <x:v>量客投资金选套利1号净值20260911.xlsx</x:v>
      </x:c>
      <x:c r="I4014" s="73" t="str">
        <x:f>""</x:f>
      </x:c>
      <x:c r="J4014" s="74" t="str">
        <x:f>""</x:f>
      </x:c>
      <x:c r="K4014" s="73" t="n">
        <x:f>MAX(K4013,F4014)</x:f>
        <x:v>1.8555</x:v>
      </x:c>
      <x:c r="L4014" s="74" t="n">
        <x:f>1-F4014/K4014</x:f>
        <x:v>0</x:v>
      </x:c>
      <x:c r="M4014" s="73" t="n">
        <x:f>MAX(M4013,F4014)</x:f>
        <x:v>1.8555</x:v>
      </x:c>
      <x:c r="N4014" s="74" t="n">
        <x:f>1-F4014/M4014</x:f>
        <x:v>0</x:v>
      </x:c>
    </x:row>
    <x:row r="4015" ht="27" customHeight="1">
      <x:c r="A4015" s="66" t="str">
        <x:v>SNH457</x:v>
      </x:c>
      <x:c r="B4015" s="66" t="str">
        <x:v>量客投资金选套利1号</x:v>
      </x:c>
      <x:c r="C4015" s="72" t="n">
        <x:v>45891</x:v>
      </x:c>
      <x:c r="D4015" s="73" t="n">
        <x:v>1.0149</x:v>
      </x:c>
      <x:c r="E4015" s="73" t="n">
        <x:v>1.704</x:v>
      </x:c>
      <x:c r="F4015" s="73" t="n">
        <x:v>1.8592</x:v>
      </x:c>
      <x:c r="G4015" s="74" t="n">
        <x:v>0.002</x:v>
      </x:c>
      <x:c r="H4015" s="66" t="str">
        <x:v>量客投资金选套利1号净值20260911.xlsx</x:v>
      </x:c>
      <x:c r="I4015" s="73" t="str">
        <x:f>""</x:f>
      </x:c>
      <x:c r="J4015" s="74" t="str">
        <x:f>""</x:f>
      </x:c>
      <x:c r="K4015" s="73" t="n">
        <x:f>MAX(K4014,F4015)</x:f>
        <x:v>1.8592</x:v>
      </x:c>
      <x:c r="L4015" s="74" t="n">
        <x:f>1-F4015/K4015</x:f>
        <x:v>0</x:v>
      </x:c>
      <x:c r="M4015" s="73" t="n">
        <x:f>MAX(M4014,F4015)</x:f>
        <x:v>1.8592</x:v>
      </x:c>
      <x:c r="N4015" s="74" t="n">
        <x:f>1-F4015/M4015</x:f>
        <x:v>0</x:v>
      </x:c>
    </x:row>
    <x:row r="4016" ht="27" customHeight="1">
      <x:c r="A4016" s="66" t="str">
        <x:v>SNH457</x:v>
      </x:c>
      <x:c r="B4016" s="66" t="str">
        <x:v>量客投资金选套利1号</x:v>
      </x:c>
      <x:c r="C4016" s="72" t="n">
        <x:v>45898</x:v>
      </x:c>
      <x:c r="D4016" s="73" t="n">
        <x:v>1.0165</x:v>
      </x:c>
      <x:c r="E4016" s="73" t="n">
        <x:v>1.7056</x:v>
      </x:c>
      <x:c r="F4016" s="73" t="n">
        <x:v>1.8621</x:v>
      </x:c>
      <x:c r="G4016" s="74" t="n">
        <x:v>0.0016</x:v>
      </x:c>
      <x:c r="H4016" s="66" t="str">
        <x:v>量客投资金选套利1号净值20260911.xlsx</x:v>
      </x:c>
      <x:c r="I4016" s="73" t="n">
        <x:f>F4016</x:f>
        <x:v>1.8621</x:v>
      </x:c>
      <x:c r="J4016" s="74" t="n">
        <x:f>1-F4016/I4016</x:f>
        <x:v>0</x:v>
      </x:c>
      <x:c r="K4016" s="73" t="n">
        <x:f>MAX(K4015,F4016)</x:f>
        <x:v>1.8621</x:v>
      </x:c>
      <x:c r="L4016" s="74" t="n">
        <x:f>1-F4016/K4016</x:f>
        <x:v>0</x:v>
      </x:c>
      <x:c r="M4016" s="73" t="n">
        <x:f>MAX(M4015,F4016)</x:f>
        <x:v>1.8621</x:v>
      </x:c>
      <x:c r="N4016" s="74" t="n">
        <x:f>1-F4016/M4016</x:f>
        <x:v>0</x:v>
      </x:c>
    </x:row>
    <x:row r="4017" ht="27" customHeight="1">
      <x:c r="A4017" s="66" t="str">
        <x:v>SNH457</x:v>
      </x:c>
      <x:c r="B4017" s="66" t="str">
        <x:v>量客投资金选套利1号</x:v>
      </x:c>
      <x:c r="C4017" s="72" t="n">
        <x:v>45905</x:v>
      </x:c>
      <x:c r="D4017" s="73" t="n">
        <x:v>1.0194</x:v>
      </x:c>
      <x:c r="E4017" s="73" t="n">
        <x:v>1.7085</x:v>
      </x:c>
      <x:c r="F4017" s="73" t="n">
        <x:v>1.8674</x:v>
      </x:c>
      <x:c r="G4017" s="74" t="n">
        <x:v>0.0029</x:v>
      </x:c>
      <x:c r="H4017" s="66" t="str">
        <x:v>量客投资金选套利1号净值20260911.xlsx</x:v>
      </x:c>
      <x:c r="I4017" s="73" t="n">
        <x:f>MAX(I4016,F4017)</x:f>
        <x:v>1.8674</x:v>
      </x:c>
      <x:c r="J4017" s="74" t="n">
        <x:f>1-F4017/I4017</x:f>
        <x:v>0</x:v>
      </x:c>
      <x:c r="K4017" s="73" t="n">
        <x:f>MAX(K4016,F4017)</x:f>
        <x:v>1.8674</x:v>
      </x:c>
      <x:c r="L4017" s="74" t="n">
        <x:f>1-F4017/K4017</x:f>
        <x:v>0</x:v>
      </x:c>
      <x:c r="M4017" s="73" t="n">
        <x:f>MAX(M4016,F4017)</x:f>
        <x:v>1.8674</x:v>
      </x:c>
      <x:c r="N4017" s="74" t="n">
        <x:f>1-F4017/M4017</x:f>
        <x:v>0</x:v>
      </x:c>
    </x:row>
    <x:row r="4018" ht="27" customHeight="1">
      <x:c r="A4018" s="66" t="str">
        <x:v>SNH457</x:v>
      </x:c>
      <x:c r="B4018" s="66" t="str">
        <x:v>量客投资金选套利1号</x:v>
      </x:c>
      <x:c r="C4018" s="72" t="n">
        <x:v>45912</x:v>
      </x:c>
      <x:c r="D4018" s="73" t="n">
        <x:v>1.0222</x:v>
      </x:c>
      <x:c r="E4018" s="73" t="n">
        <x:v>1.7113</x:v>
      </x:c>
      <x:c r="F4018" s="73" t="n">
        <x:v>1.8725</x:v>
      </x:c>
      <x:c r="G4018" s="74" t="n">
        <x:v>0.0027</x:v>
      </x:c>
      <x:c r="H4018" s="66" t="str">
        <x:v>量客投资金选套利1号净值20260911.xlsx</x:v>
      </x:c>
      <x:c r="I4018" s="73" t="n">
        <x:f>MAX(I4017,F4018)</x:f>
        <x:v>1.8725</x:v>
      </x:c>
      <x:c r="J4018" s="74" t="n">
        <x:f>1-F4018/I4018</x:f>
        <x:v>0</x:v>
      </x:c>
      <x:c r="K4018" s="73" t="n">
        <x:f>MAX(K4017,F4018)</x:f>
        <x:v>1.8725</x:v>
      </x:c>
      <x:c r="L4018" s="74" t="n">
        <x:f>1-F4018/K4018</x:f>
        <x:v>0</x:v>
      </x:c>
      <x:c r="M4018" s="73" t="n">
        <x:f>MAX(M4017,F4018)</x:f>
        <x:v>1.8725</x:v>
      </x:c>
      <x:c r="N4018" s="74" t="n">
        <x:f>1-F4018/M4018</x:f>
        <x:v>0</x:v>
      </x:c>
    </x:row>
    <x:row r="4019" ht="27" customHeight="1">
      <x:c r="A4019" s="66" t="str">
        <x:v>SNH457</x:v>
      </x:c>
      <x:c r="B4019" s="66" t="str">
        <x:v>量客投资金选套利1号</x:v>
      </x:c>
      <x:c r="C4019" s="72" t="n">
        <x:v>45919</x:v>
      </x:c>
      <x:c r="D4019" s="73" t="n">
        <x:v>1.0241</x:v>
      </x:c>
      <x:c r="E4019" s="73" t="n">
        <x:v>1.7132</x:v>
      </x:c>
      <x:c r="F4019" s="73" t="n">
        <x:v>1.876</x:v>
      </x:c>
      <x:c r="G4019" s="74" t="n">
        <x:v>0.0019</x:v>
      </x:c>
      <x:c r="H4019" s="66" t="str">
        <x:v>量客投资金选套利1号净值20260911.xlsx</x:v>
      </x:c>
      <x:c r="I4019" s="73" t="n">
        <x:f>MAX(I4018,F4019)</x:f>
        <x:v>1.876</x:v>
      </x:c>
      <x:c r="J4019" s="74" t="n">
        <x:f>1-F4019/I4019</x:f>
        <x:v>0</x:v>
      </x:c>
      <x:c r="K4019" s="73" t="n">
        <x:f>MAX(K4018,F4019)</x:f>
        <x:v>1.876</x:v>
      </x:c>
      <x:c r="L4019" s="74" t="n">
        <x:f>1-F4019/K4019</x:f>
        <x:v>0</x:v>
      </x:c>
      <x:c r="M4019" s="73" t="n">
        <x:f>MAX(M4018,F4019)</x:f>
        <x:v>1.876</x:v>
      </x:c>
      <x:c r="N4019" s="74" t="n">
        <x:f>1-F4019/M4019</x:f>
        <x:v>0</x:v>
      </x:c>
    </x:row>
    <x:row r="4020" ht="27" customHeight="1">
      <x:c r="A4020" s="66" t="str">
        <x:v>SNH457</x:v>
      </x:c>
      <x:c r="B4020" s="66" t="str">
        <x:v>量客投资金选套利1号</x:v>
      </x:c>
      <x:c r="C4020" s="72" t="n">
        <x:v>45926</x:v>
      </x:c>
      <x:c r="D4020" s="73" t="n">
        <x:v>1.0266</x:v>
      </x:c>
      <x:c r="E4020" s="73" t="n">
        <x:v>1.7157</x:v>
      </x:c>
      <x:c r="F4020" s="73" t="n">
        <x:v>1.8806</x:v>
      </x:c>
      <x:c r="G4020" s="74" t="n">
        <x:v>0.0024</x:v>
      </x:c>
      <x:c r="H4020" s="66" t="str">
        <x:v>量客投资金选套利1号净值20260911.xlsx</x:v>
      </x:c>
      <x:c r="I4020" s="73" t="n">
        <x:f>MAX(I4019,F4020)</x:f>
        <x:v>1.8806</x:v>
      </x:c>
      <x:c r="J4020" s="74" t="n">
        <x:f>1-F4020/I4020</x:f>
        <x:v>0</x:v>
      </x:c>
      <x:c r="K4020" s="73" t="n">
        <x:f>MAX(K4019,F4020)</x:f>
        <x:v>1.8806</x:v>
      </x:c>
      <x:c r="L4020" s="74" t="n">
        <x:f>1-F4020/K4020</x:f>
        <x:v>0</x:v>
      </x:c>
      <x:c r="M4020" s="73" t="n">
        <x:f>MAX(M4019,F4020)</x:f>
        <x:v>1.8806</x:v>
      </x:c>
      <x:c r="N4020" s="74" t="n">
        <x:f>1-F4020/M4020</x:f>
        <x:v>0</x:v>
      </x:c>
    </x:row>
    <x:row r="4021" ht="27" customHeight="1">
      <x:c r="A4021" s="66" t="str">
        <x:v>SNH457</x:v>
      </x:c>
      <x:c r="B4021" s="66" t="str">
        <x:v>量客投资金选套利1号</x:v>
      </x:c>
      <x:c r="C4021" s="72" t="n">
        <x:v>45930</x:v>
      </x:c>
      <x:c r="D4021" s="73" t="n">
        <x:v>1.0263</x:v>
      </x:c>
      <x:c r="E4021" s="73" t="n">
        <x:v>1.7154</x:v>
      </x:c>
      <x:c r="F4021" s="73" t="n">
        <x:v>1.8801</x:v>
      </x:c>
      <x:c r="G4021" s="74" t="n">
        <x:v>-0.0003</x:v>
      </x:c>
      <x:c r="H4021" s="66" t="str">
        <x:v>量客投资金选套利1号净值20260911.xlsx</x:v>
      </x:c>
      <x:c r="I4021" s="73" t="n">
        <x:f>MAX(I4020,F4021)</x:f>
        <x:v>1.8806</x:v>
      </x:c>
      <x:c r="J4021" s="74" t="n">
        <x:f>1-F4021/I4021</x:f>
        <x:v>0.00026587259385302264</x:v>
      </x:c>
      <x:c r="K4021" s="73" t="n">
        <x:f>MAX(K4020,F4021)</x:f>
        <x:v>1.8806</x:v>
      </x:c>
      <x:c r="L4021" s="74" t="n">
        <x:f>1-F4021/K4021</x:f>
        <x:v>0.00026587259385302264</x:v>
      </x:c>
      <x:c r="M4021" s="73" t="n">
        <x:f>MAX(M4020,F4021)</x:f>
        <x:v>1.8806</x:v>
      </x:c>
      <x:c r="N4021" s="74" t="n">
        <x:f>1-F4021/M4021</x:f>
        <x:v>0.00026587259385302264</x:v>
      </x:c>
    </x:row>
    <x:row r="4022" ht="27" customHeight="1">
      <x:c r="A4022" s="66" t="str">
        <x:v>SNH457</x:v>
      </x:c>
      <x:c r="B4022" s="66" t="str">
        <x:v>量客投资金选套利1号</x:v>
      </x:c>
      <x:c r="C4022" s="72" t="n">
        <x:v>45940</x:v>
      </x:c>
      <x:c r="D4022" s="73" t="n">
        <x:v>1.0263</x:v>
      </x:c>
      <x:c r="E4022" s="73" t="n">
        <x:v>1.7154</x:v>
      </x:c>
      <x:c r="F4022" s="73" t="n">
        <x:v>1.8801</x:v>
      </x:c>
      <x:c r="G4022" s="74" t="n">
        <x:v>0</x:v>
      </x:c>
      <x:c r="H4022" s="66" t="str">
        <x:v>量客投资金选套利1号净值20260911.xlsx</x:v>
      </x:c>
      <x:c r="I4022" s="73" t="n">
        <x:f>MAX(I4021,F4022)</x:f>
        <x:v>1.8806</x:v>
      </x:c>
      <x:c r="J4022" s="74" t="n">
        <x:f>1-F4022/I4022</x:f>
        <x:v>0.00026587259385302264</x:v>
      </x:c>
      <x:c r="K4022" s="73" t="n">
        <x:f>MAX(K4021,F4022)</x:f>
        <x:v>1.8806</x:v>
      </x:c>
      <x:c r="L4022" s="74" t="n">
        <x:f>1-F4022/K4022</x:f>
        <x:v>0.00026587259385302264</x:v>
      </x:c>
      <x:c r="M4022" s="73" t="n">
        <x:f>MAX(M4021,F4022)</x:f>
        <x:v>1.8806</x:v>
      </x:c>
      <x:c r="N4022" s="74" t="n">
        <x:f>1-F4022/M4022</x:f>
        <x:v>0.00026587259385302264</x:v>
      </x:c>
    </x:row>
    <x:row r="4023" ht="27" customHeight="1">
      <x:c r="A4023" s="66" t="str">
        <x:v>SNH457</x:v>
      </x:c>
      <x:c r="B4023" s="66" t="str">
        <x:v>量客投资金选套利1号</x:v>
      </x:c>
      <x:c r="C4023" s="72" t="n">
        <x:v>45947</x:v>
      </x:c>
      <x:c r="D4023" s="73" t="n">
        <x:v>1.0298</x:v>
      </x:c>
      <x:c r="E4023" s="73" t="n">
        <x:v>1.7189</x:v>
      </x:c>
      <x:c r="F4023" s="73" t="n">
        <x:v>1.8865</x:v>
      </x:c>
      <x:c r="G4023" s="74" t="n">
        <x:v>0.0034000000000000002</x:v>
      </x:c>
      <x:c r="H4023" s="66" t="str">
        <x:v>量客投资金选套利1号净值20260911.xlsx</x:v>
      </x:c>
      <x:c r="I4023" s="73" t="n">
        <x:f>MAX(I4022,F4023)</x:f>
        <x:v>1.8865</x:v>
      </x:c>
      <x:c r="J4023" s="74" t="n">
        <x:f>1-F4023/I4023</x:f>
        <x:v>0</x:v>
      </x:c>
      <x:c r="K4023" s="73" t="n">
        <x:f>MAX(K4022,F4023)</x:f>
        <x:v>1.8865</x:v>
      </x:c>
      <x:c r="L4023" s="74" t="n">
        <x:f>1-F4023/K4023</x:f>
        <x:v>0</x:v>
      </x:c>
      <x:c r="M4023" s="73" t="n">
        <x:f>MAX(M4022,F4023)</x:f>
        <x:v>1.8865</x:v>
      </x:c>
      <x:c r="N4023" s="74" t="n">
        <x:f>1-F4023/M4023</x:f>
        <x:v>0</x:v>
      </x:c>
    </x:row>
    <x:row r="4024" ht="27" customHeight="1">
      <x:c r="A4024" s="66" t="str">
        <x:v>SNH457</x:v>
      </x:c>
      <x:c r="B4024" s="66" t="str">
        <x:v>量客投资金选套利1号</x:v>
      </x:c>
      <x:c r="C4024" s="72" t="n">
        <x:v>45954</x:v>
      </x:c>
      <x:c r="D4024" s="73" t="n">
        <x:v>1.0303</x:v>
      </x:c>
      <x:c r="E4024" s="73" t="n">
        <x:v>1.7194</x:v>
      </x:c>
      <x:c r="F4024" s="73" t="n">
        <x:v>1.8874</x:v>
      </x:c>
      <x:c r="G4024" s="74" t="n">
        <x:v>0.0005</x:v>
      </x:c>
      <x:c r="H4024" s="66" t="str">
        <x:v>量客投资金选套利1号净值20260911.xlsx</x:v>
      </x:c>
      <x:c r="I4024" s="73" t="n">
        <x:f>MAX(I4023,F4024)</x:f>
        <x:v>1.8874</x:v>
      </x:c>
      <x:c r="J4024" s="74" t="n">
        <x:f>1-F4024/I4024</x:f>
        <x:v>0</x:v>
      </x:c>
      <x:c r="K4024" s="73" t="n">
        <x:f>MAX(K4023,F4024)</x:f>
        <x:v>1.8874</x:v>
      </x:c>
      <x:c r="L4024" s="74" t="n">
        <x:f>1-F4024/K4024</x:f>
        <x:v>0</x:v>
      </x:c>
      <x:c r="M4024" s="73" t="n">
        <x:f>MAX(M4023,F4024)</x:f>
        <x:v>1.8874</x:v>
      </x:c>
      <x:c r="N4024" s="74" t="n">
        <x:f>1-F4024/M4024</x:f>
        <x:v>0</x:v>
      </x:c>
    </x:row>
    <x:row r="4025" ht="27" customHeight="1">
      <x:c r="A4025" s="66" t="str">
        <x:v>SNH457</x:v>
      </x:c>
      <x:c r="B4025" s="66" t="str">
        <x:v>量客投资金选套利1号</x:v>
      </x:c>
      <x:c r="C4025" s="72" t="n">
        <x:v>45961</x:v>
      </x:c>
      <x:c r="D4025" s="73" t="n">
        <x:v>1.0322</x:v>
      </x:c>
      <x:c r="E4025" s="73" t="n">
        <x:v>1.7213</x:v>
      </x:c>
      <x:c r="F4025" s="73" t="n">
        <x:v>1.8909</x:v>
      </x:c>
      <x:c r="G4025" s="74" t="n">
        <x:v>0.0018</x:v>
      </x:c>
      <x:c r="H4025" s="66" t="str">
        <x:v>量客投资金选套利1号净值20260911.xlsx</x:v>
      </x:c>
      <x:c r="I4025" s="73" t="n">
        <x:f>MAX(I4024,F4025)</x:f>
        <x:v>1.8909</x:v>
      </x:c>
      <x:c r="J4025" s="74" t="n">
        <x:f>1-F4025/I4025</x:f>
        <x:v>0</x:v>
      </x:c>
      <x:c r="K4025" s="73" t="n">
        <x:f>MAX(K4024,F4025)</x:f>
        <x:v>1.8909</x:v>
      </x:c>
      <x:c r="L4025" s="74" t="n">
        <x:f>1-F4025/K4025</x:f>
        <x:v>0</x:v>
      </x:c>
      <x:c r="M4025" s="73" t="n">
        <x:f>MAX(M4024,F4025)</x:f>
        <x:v>1.8909</x:v>
      </x:c>
      <x:c r="N4025" s="74" t="n">
        <x:f>1-F4025/M4025</x:f>
        <x:v>0</x:v>
      </x:c>
    </x:row>
    <x:row r="4026" ht="27" customHeight="1">
      <x:c r="A4026" s="66" t="str">
        <x:v>SNH457</x:v>
      </x:c>
      <x:c r="B4026" s="66" t="str">
        <x:v>量客投资金选套利1号</x:v>
      </x:c>
      <x:c r="C4026" s="72" t="n">
        <x:v>45968</x:v>
      </x:c>
      <x:c r="D4026" s="73" t="n">
        <x:v>1.0307</x:v>
      </x:c>
      <x:c r="E4026" s="73" t="n">
        <x:v>1.7198</x:v>
      </x:c>
      <x:c r="F4026" s="73" t="n">
        <x:v>1.8881</x:v>
      </x:c>
      <x:c r="G4026" s="74" t="n">
        <x:v>-0.0015</x:v>
      </x:c>
      <x:c r="H4026" s="66" t="str">
        <x:v>量客投资金选套利1号净值20260911.xlsx</x:v>
      </x:c>
      <x:c r="I4026" s="73" t="n">
        <x:f>MAX(I4025,F4026)</x:f>
        <x:v>1.8909</x:v>
      </x:c>
      <x:c r="J4026" s="74" t="n">
        <x:f>1-F4026/I4026</x:f>
        <x:v>0.0014807763498864146</x:v>
      </x:c>
      <x:c r="K4026" s="73" t="n">
        <x:f>MAX(K4025,F4026)</x:f>
        <x:v>1.8909</x:v>
      </x:c>
      <x:c r="L4026" s="74" t="n">
        <x:f>1-F4026/K4026</x:f>
        <x:v>0.0014807763498864146</x:v>
      </x:c>
      <x:c r="M4026" s="73" t="n">
        <x:f>MAX(M4025,F4026)</x:f>
        <x:v>1.8909</x:v>
      </x:c>
      <x:c r="N4026" s="74" t="n">
        <x:f>1-F4026/M4026</x:f>
        <x:v>0.0014807763498864146</x:v>
      </x:c>
    </x:row>
    <x:row r="4027" ht="27" customHeight="1">
      <x:c r="A4027" s="66" t="str">
        <x:v>SNH457</x:v>
      </x:c>
      <x:c r="B4027" s="66" t="str">
        <x:v>量客投资金选套利1号</x:v>
      </x:c>
      <x:c r="C4027" s="72" t="n">
        <x:v>45975</x:v>
      </x:c>
      <x:c r="D4027" s="73" t="n">
        <x:v>1.0307</x:v>
      </x:c>
      <x:c r="E4027" s="73" t="n">
        <x:v>1.7198</x:v>
      </x:c>
      <x:c r="F4027" s="73" t="n">
        <x:v>1.8881</x:v>
      </x:c>
      <x:c r="G4027" s="74" t="n">
        <x:v>0</x:v>
      </x:c>
      <x:c r="H4027" s="66" t="str">
        <x:v>量客投资金选套利1号净值20260911.xlsx</x:v>
      </x:c>
      <x:c r="I4027" s="73" t="n">
        <x:f>MAX(I4026,F4027)</x:f>
        <x:v>1.8909</x:v>
      </x:c>
      <x:c r="J4027" s="74" t="n">
        <x:f>1-F4027/I4027</x:f>
        <x:v>0.0014807763498864146</x:v>
      </x:c>
      <x:c r="K4027" s="73" t="n">
        <x:f>MAX(K4026,F4027)</x:f>
        <x:v>1.8909</x:v>
      </x:c>
      <x:c r="L4027" s="74" t="n">
        <x:f>1-F4027/K4027</x:f>
        <x:v>0.0014807763498864146</x:v>
      </x:c>
      <x:c r="M4027" s="73" t="n">
        <x:f>MAX(M4026,F4027)</x:f>
        <x:v>1.8909</x:v>
      </x:c>
      <x:c r="N4027" s="74" t="n">
        <x:f>1-F4027/M4027</x:f>
        <x:v>0.0014807763498864146</x:v>
      </x:c>
    </x:row>
    <x:row r="4028" ht="27" customHeight="1">
      <x:c r="A4028" s="66" t="str">
        <x:v>SNH457</x:v>
      </x:c>
      <x:c r="B4028" s="66" t="str">
        <x:v>量客投资金选套利1号</x:v>
      </x:c>
      <x:c r="C4028" s="72" t="n">
        <x:v>45982</x:v>
      </x:c>
      <x:c r="D4028" s="73" t="n">
        <x:v>1.0332</x:v>
      </x:c>
      <x:c r="E4028" s="73" t="n">
        <x:v>1.7223</x:v>
      </x:c>
      <x:c r="F4028" s="73" t="n">
        <x:v>1.8927</x:v>
      </x:c>
      <x:c r="G4028" s="74" t="n">
        <x:v>0.0024</x:v>
      </x:c>
      <x:c r="H4028" s="66" t="str">
        <x:v>量客投资金选套利1号净值20260911.xlsx</x:v>
      </x:c>
      <x:c r="I4028" s="73" t="n">
        <x:f>MAX(I4027,F4028)</x:f>
        <x:v>1.8927</x:v>
      </x:c>
      <x:c r="J4028" s="74" t="n">
        <x:f>1-F4028/I4028</x:f>
        <x:v>0</x:v>
      </x:c>
      <x:c r="K4028" s="73" t="n">
        <x:f>MAX(K4027,F4028)</x:f>
        <x:v>1.8927</x:v>
      </x:c>
      <x:c r="L4028" s="74" t="n">
        <x:f>1-F4028/K4028</x:f>
        <x:v>0</x:v>
      </x:c>
      <x:c r="M4028" s="73" t="n">
        <x:f>MAX(M4027,F4028)</x:f>
        <x:v>1.8927</x:v>
      </x:c>
      <x:c r="N4028" s="74" t="n">
        <x:f>1-F4028/M4028</x:f>
        <x:v>0</x:v>
      </x:c>
    </x:row>
    <x:row r="4029" ht="27" customHeight="1">
      <x:c r="A4029" s="66" t="str">
        <x:v>SNH457</x:v>
      </x:c>
      <x:c r="B4029" s="66" t="str">
        <x:v>量客投资金选套利1号</x:v>
      </x:c>
      <x:c r="C4029" s="72" t="n">
        <x:v>45989</x:v>
      </x:c>
      <x:c r="D4029" s="73" t="n">
        <x:v>1.0343</x:v>
      </x:c>
      <x:c r="E4029" s="73" t="n">
        <x:v>1.7234</x:v>
      </x:c>
      <x:c r="F4029" s="73" t="n">
        <x:v>1.8947</x:v>
      </x:c>
      <x:c r="G4029" s="74" t="n">
        <x:v>0.0011</x:v>
      </x:c>
      <x:c r="H4029" s="66" t="str">
        <x:v>量客投资金选套利1号净值20260911.xlsx</x:v>
      </x:c>
      <x:c r="I4029" s="73" t="n">
        <x:f>MAX(I4028,F4029)</x:f>
        <x:v>1.8947</x:v>
      </x:c>
      <x:c r="J4029" s="74" t="n">
        <x:f>1-F4029/I4029</x:f>
        <x:v>0</x:v>
      </x:c>
      <x:c r="K4029" s="73" t="n">
        <x:f>MAX(K4028,F4029)</x:f>
        <x:v>1.8947</x:v>
      </x:c>
      <x:c r="L4029" s="74" t="n">
        <x:f>1-F4029/K4029</x:f>
        <x:v>0</x:v>
      </x:c>
      <x:c r="M4029" s="73" t="n">
        <x:f>MAX(M4028,F4029)</x:f>
        <x:v>1.8947</x:v>
      </x:c>
      <x:c r="N4029" s="74" t="n">
        <x:f>1-F4029/M4029</x:f>
        <x:v>0</x:v>
      </x:c>
    </x:row>
    <x:row r="4030" ht="27" customHeight="1">
      <x:c r="A4030" s="66" t="str">
        <x:v>SNH457</x:v>
      </x:c>
      <x:c r="B4030" s="66" t="str">
        <x:v>量客投资金选套利1号</x:v>
      </x:c>
      <x:c r="C4030" s="72" t="n">
        <x:v>45996</x:v>
      </x:c>
      <x:c r="D4030" s="73" t="n">
        <x:v>1.0345</x:v>
      </x:c>
      <x:c r="E4030" s="73" t="n">
        <x:v>1.7236</x:v>
      </x:c>
      <x:c r="F4030" s="73" t="n">
        <x:v>1.8951</x:v>
      </x:c>
      <x:c r="G4030" s="74" t="n">
        <x:v>0.0002</x:v>
      </x:c>
      <x:c r="H4030" s="66" t="str">
        <x:v>量客投资金选套利1号净值20260911.xlsx</x:v>
      </x:c>
      <x:c r="I4030" s="73" t="n">
        <x:f>MAX(I4029,F4030)</x:f>
        <x:v>1.8951</x:v>
      </x:c>
      <x:c r="J4030" s="74" t="n">
        <x:f>1-F4030/I4030</x:f>
        <x:v>0</x:v>
      </x:c>
      <x:c r="K4030" s="73" t="n">
        <x:f>MAX(K4029,F4030)</x:f>
        <x:v>1.8951</x:v>
      </x:c>
      <x:c r="L4030" s="74" t="n">
        <x:f>1-F4030/K4030</x:f>
        <x:v>0</x:v>
      </x:c>
      <x:c r="M4030" s="73" t="n">
        <x:f>MAX(M4029,F4030)</x:f>
        <x:v>1.8951</x:v>
      </x:c>
      <x:c r="N4030" s="74" t="n">
        <x:f>1-F4030/M4030</x:f>
        <x:v>0</x:v>
      </x:c>
    </x:row>
    <x:row r="4031" ht="27" customHeight="1">
      <x:c r="A4031" s="66" t="str">
        <x:v>SNH457</x:v>
      </x:c>
      <x:c r="B4031" s="66" t="str">
        <x:v>量客投资金选套利1号</x:v>
      </x:c>
      <x:c r="C4031" s="72" t="n">
        <x:v>46003</x:v>
      </x:c>
      <x:c r="D4031" s="73" t="n">
        <x:v>1.0342</x:v>
      </x:c>
      <x:c r="E4031" s="73" t="n">
        <x:v>1.7233</x:v>
      </x:c>
      <x:c r="F4031" s="73" t="n">
        <x:v>1.8945</x:v>
      </x:c>
      <x:c r="G4031" s="74" t="n">
        <x:v>-0.0003</x:v>
      </x:c>
      <x:c r="H4031" s="66" t="str">
        <x:v>量客投资金选套利1号净值20260911.xlsx</x:v>
      </x:c>
      <x:c r="I4031" s="73" t="n">
        <x:f>MAX(I4030,F4031)</x:f>
        <x:v>1.8951</x:v>
      </x:c>
      <x:c r="J4031" s="74" t="n">
        <x:f>1-F4031/I4031</x:f>
        <x:v>0.0003166059838530799</x:v>
      </x:c>
      <x:c r="K4031" s="73" t="n">
        <x:f>MAX(K4030,F4031)</x:f>
        <x:v>1.8951</x:v>
      </x:c>
      <x:c r="L4031" s="74" t="n">
        <x:f>1-F4031/K4031</x:f>
        <x:v>0.0003166059838530799</x:v>
      </x:c>
      <x:c r="M4031" s="73" t="n">
        <x:f>MAX(M4030,F4031)</x:f>
        <x:v>1.8951</x:v>
      </x:c>
      <x:c r="N4031" s="74" t="n">
        <x:f>1-F4031/M4031</x:f>
        <x:v>0.0003166059838530799</x:v>
      </x:c>
    </x:row>
    <x:row r="4032" ht="27" customHeight="1">
      <x:c r="A4032" s="66" t="str">
        <x:v>SNH457</x:v>
      </x:c>
      <x:c r="B4032" s="66" t="str">
        <x:v>量客投资金选套利1号</x:v>
      </x:c>
      <x:c r="C4032" s="72" t="n">
        <x:v>46010</x:v>
      </x:c>
      <x:c r="D4032" s="73" t="n">
        <x:v>1.0339</x:v>
      </x:c>
      <x:c r="E4032" s="73" t="n">
        <x:v>1.723</x:v>
      </x:c>
      <x:c r="F4032" s="73" t="n">
        <x:v>1.894</x:v>
      </x:c>
      <x:c r="G4032" s="74" t="n">
        <x:v>-0.0003</x:v>
      </x:c>
      <x:c r="H4032" s="66" t="str">
        <x:v>量客投资金选套利1号净值20260911.xlsx</x:v>
      </x:c>
      <x:c r="I4032" s="73" t="n">
        <x:f>MAX(I4031,F4032)</x:f>
        <x:v>1.8951</x:v>
      </x:c>
      <x:c r="J4032" s="74" t="n">
        <x:f>1-F4032/I4032</x:f>
        <x:v>0.0005804443037307205</x:v>
      </x:c>
      <x:c r="K4032" s="73" t="n">
        <x:f>MAX(K4031,F4032)</x:f>
        <x:v>1.8951</x:v>
      </x:c>
      <x:c r="L4032" s="74" t="n">
        <x:f>1-F4032/K4032</x:f>
        <x:v>0.0005804443037307205</x:v>
      </x:c>
      <x:c r="M4032" s="73" t="n">
        <x:f>MAX(M4031,F4032)</x:f>
        <x:v>1.8951</x:v>
      </x:c>
      <x:c r="N4032" s="74" t="n">
        <x:f>1-F4032/M4032</x:f>
        <x:v>0.0005804443037307205</x:v>
      </x:c>
    </x:row>
    <x:row r="4033" ht="27" customHeight="1">
      <x:c r="A4033" s="66" t="str">
        <x:v>SNH457</x:v>
      </x:c>
      <x:c r="B4033" s="66" t="str">
        <x:v>量客投资金选套利1号</x:v>
      </x:c>
      <x:c r="C4033" s="72" t="n">
        <x:v>46017</x:v>
      </x:c>
      <x:c r="D4033" s="73" t="n">
        <x:v>1.0342</x:v>
      </x:c>
      <x:c r="E4033" s="73" t="n">
        <x:v>1.7233</x:v>
      </x:c>
      <x:c r="F4033" s="73" t="n">
        <x:v>1.8945</x:v>
      </x:c>
      <x:c r="G4033" s="74" t="n">
        <x:v>0.0003</x:v>
      </x:c>
      <x:c r="H4033" s="66" t="str">
        <x:v>量客投资金选套利1号净值20260911.xlsx</x:v>
      </x:c>
      <x:c r="I4033" s="73" t="n">
        <x:f>MAX(I4032,F4033)</x:f>
        <x:v>1.8951</x:v>
      </x:c>
      <x:c r="J4033" s="74" t="n">
        <x:f>1-F4033/I4033</x:f>
        <x:v>0.0003166059838530799</x:v>
      </x:c>
      <x:c r="K4033" s="73" t="n">
        <x:f>MAX(K4032,F4033)</x:f>
        <x:v>1.8951</x:v>
      </x:c>
      <x:c r="L4033" s="74" t="n">
        <x:f>1-F4033/K4033</x:f>
        <x:v>0.0003166059838530799</x:v>
      </x:c>
      <x:c r="M4033" s="73" t="n">
        <x:f>MAX(M4032,F4033)</x:f>
        <x:v>1.8951</x:v>
      </x:c>
      <x:c r="N4033" s="74" t="n">
        <x:f>1-F4033/M4033</x:f>
        <x:v>0.0003166059838530799</x:v>
      </x:c>
    </x:row>
    <x:row r="4034" ht="27" customHeight="1">
      <x:c r="A4034" s="66" t="str">
        <x:v>SNH457</x:v>
      </x:c>
      <x:c r="B4034" s="66" t="str">
        <x:v>量客投资金选套利1号</x:v>
      </x:c>
      <x:c r="C4034" s="72" t="n">
        <x:v>46022</x:v>
      </x:c>
      <x:c r="D4034" s="73" t="n">
        <x:v>1.036</x:v>
      </x:c>
      <x:c r="E4034" s="73" t="n">
        <x:v>1.7251</x:v>
      </x:c>
      <x:c r="F4034" s="73" t="n">
        <x:v>1.8978</x:v>
      </x:c>
      <x:c r="G4034" s="74" t="n">
        <x:v>0.0017000000000000001</x:v>
      </x:c>
      <x:c r="H4034" s="66" t="str">
        <x:v>量客投资金选套利1号净值20260911.xlsx</x:v>
      </x:c>
      <x:c r="I4034" s="73" t="n">
        <x:f>MAX(I4033,F4034)</x:f>
        <x:v>1.8978</x:v>
      </x:c>
      <x:c r="J4034" s="74" t="n">
        <x:f>1-F4034/I4034</x:f>
        <x:v>0</x:v>
      </x:c>
      <x:c r="K4034" s="73" t="n">
        <x:f>MAX(K4033,F4034)</x:f>
        <x:v>1.8978</x:v>
      </x:c>
      <x:c r="L4034" s="74" t="n">
        <x:f>1-F4034/K4034</x:f>
        <x:v>0</x:v>
      </x:c>
      <x:c r="M4034" s="73" t="n">
        <x:f>MAX(M4033,F4034)</x:f>
        <x:v>1.8978</x:v>
      </x:c>
      <x:c r="N4034" s="74" t="n">
        <x:f>1-F4034/M4034</x:f>
        <x:v>0</x:v>
      </x:c>
    </x:row>
    <x:row r="4035" ht="27" customHeight="1">
      <x:c r="A4035" s="66" t="str">
        <x:v>SNH457</x:v>
      </x:c>
      <x:c r="B4035" s="66" t="str">
        <x:v>量客投资金选套利1号</x:v>
      </x:c>
      <x:c r="C4035" s="72" t="n">
        <x:v>46031</x:v>
      </x:c>
      <x:c r="D4035" s="73" t="n">
        <x:v>1.0371</x:v>
      </x:c>
      <x:c r="E4035" s="73" t="n">
        <x:v>1.7262</x:v>
      </x:c>
      <x:c r="F4035" s="73" t="n">
        <x:v>1.8998</x:v>
      </x:c>
      <x:c r="G4035" s="74" t="n">
        <x:v>0.0011</x:v>
      </x:c>
      <x:c r="H4035" s="66" t="str">
        <x:v>量客投资金选套利1号净值20260911.xlsx</x:v>
      </x:c>
      <x:c r="I4035" s="73" t="n">
        <x:f>MAX(I4034,F4035)</x:f>
        <x:v>1.8998</x:v>
      </x:c>
      <x:c r="J4035" s="74" t="n">
        <x:f>1-F4035/I4035</x:f>
        <x:v>0</x:v>
      </x:c>
      <x:c r="K4035" s="73" t="n">
        <x:f>MAX(K4034,F4035)</x:f>
        <x:v>1.8998</x:v>
      </x:c>
      <x:c r="L4035" s="74" t="n">
        <x:f>1-F4035/K4035</x:f>
        <x:v>0</x:v>
      </x:c>
      <x:c r="M4035" s="73" t="n">
        <x:f>MAX(M4034,F4035)</x:f>
        <x:v>1.8998</x:v>
      </x:c>
      <x:c r="N4035" s="74" t="n">
        <x:f>1-F4035/M4035</x:f>
        <x:v>0</x:v>
      </x:c>
    </x:row>
    <x:row r="4036" ht="27" customHeight="1">
      <x:c r="A4036" s="66" t="str">
        <x:v>SNH457</x:v>
      </x:c>
      <x:c r="B4036" s="66" t="str">
        <x:v>量客投资金选套利1号</x:v>
      </x:c>
      <x:c r="C4036" s="72" t="n">
        <x:v>46038</x:v>
      </x:c>
      <x:c r="D4036" s="73" t="n">
        <x:v>1.0426</x:v>
      </x:c>
      <x:c r="E4036" s="73" t="n">
        <x:v>1.7317</x:v>
      </x:c>
      <x:c r="F4036" s="73" t="n">
        <x:v>1.9099</x:v>
      </x:c>
      <x:c r="G4036" s="74" t="n">
        <x:v>0.0053</x:v>
      </x:c>
      <x:c r="H4036" s="66" t="str">
        <x:v>量客投资金选套利1号净值20260911.xlsx</x:v>
      </x:c>
      <x:c r="I4036" s="73" t="n">
        <x:f>MAX(I4035,F4036)</x:f>
        <x:v>1.9099</x:v>
      </x:c>
      <x:c r="J4036" s="74" t="n">
        <x:f>1-F4036/I4036</x:f>
        <x:v>0</x:v>
      </x:c>
      <x:c r="K4036" s="73" t="n">
        <x:f>MAX(K4035,F4036)</x:f>
        <x:v>1.9099</x:v>
      </x:c>
      <x:c r="L4036" s="74" t="n">
        <x:f>1-F4036/K4036</x:f>
        <x:v>0</x:v>
      </x:c>
      <x:c r="M4036" s="73" t="n">
        <x:f>MAX(M4035,F4036)</x:f>
        <x:v>1.9099</x:v>
      </x:c>
      <x:c r="N4036" s="74" t="n">
        <x:f>1-F4036/M4036</x:f>
        <x:v>0</x:v>
      </x:c>
    </x:row>
    <x:row r="4037" ht="27" customHeight="1">
      <x:c r="A4037" s="66" t="str">
        <x:v>SNH457</x:v>
      </x:c>
      <x:c r="B4037" s="66" t="str">
        <x:v>量客投资金选套利1号</x:v>
      </x:c>
      <x:c r="C4037" s="72" t="n">
        <x:v>46045</x:v>
      </x:c>
      <x:c r="D4037" s="73" t="n">
        <x:v>1.0429</x:v>
      </x:c>
      <x:c r="E4037" s="73" t="n">
        <x:v>1.732</x:v>
      </x:c>
      <x:c r="F4037" s="73" t="n">
        <x:v>1.9105</x:v>
      </x:c>
      <x:c r="G4037" s="74" t="n">
        <x:v>0.0003</x:v>
      </x:c>
      <x:c r="H4037" s="66" t="str">
        <x:v>量客投资金选套利1号净值20260911.xlsx</x:v>
      </x:c>
      <x:c r="I4037" s="73" t="n">
        <x:f>MAX(I4036,F4037)</x:f>
        <x:v>1.9105</x:v>
      </x:c>
      <x:c r="J4037" s="74" t="n">
        <x:f>1-F4037/I4037</x:f>
        <x:v>0</x:v>
      </x:c>
      <x:c r="K4037" s="73" t="n">
        <x:f>MAX(K4036,F4037)</x:f>
        <x:v>1.9105</x:v>
      </x:c>
      <x:c r="L4037" s="74" t="n">
        <x:f>1-F4037/K4037</x:f>
        <x:v>0</x:v>
      </x:c>
      <x:c r="M4037" s="73" t="n">
        <x:f>MAX(M4036,F4037)</x:f>
        <x:v>1.9105</x:v>
      </x:c>
      <x:c r="N4037" s="74" t="n">
        <x:f>1-F4037/M4037</x:f>
        <x:v>0</x:v>
      </x:c>
    </x:row>
    <x:row r="4038" ht="27" customHeight="1">
      <x:c r="A4038" s="66" t="str">
        <x:v>SNH457</x:v>
      </x:c>
      <x:c r="B4038" s="66" t="str">
        <x:v>量客投资金选套利1号</x:v>
      </x:c>
      <x:c r="C4038" s="72" t="n">
        <x:v>46052</x:v>
      </x:c>
      <x:c r="D4038" s="73" t="n">
        <x:v>1.0466</x:v>
      </x:c>
      <x:c r="E4038" s="73" t="n">
        <x:v>1.7357</x:v>
      </x:c>
      <x:c r="F4038" s="73" t="n">
        <x:v>1.9172</x:v>
      </x:c>
      <x:c r="G4038" s="74" t="n">
        <x:v>0.0034999999999999996</x:v>
      </x:c>
      <x:c r="H4038" s="66" t="str">
        <x:v>量客投资金选套利1号净值20260911.xlsx</x:v>
      </x:c>
      <x:c r="I4038" s="73" t="n">
        <x:f>MAX(I4037,F4038)</x:f>
        <x:v>1.9172</x:v>
      </x:c>
      <x:c r="J4038" s="74" t="n">
        <x:f>1-F4038/I4038</x:f>
        <x:v>0</x:v>
      </x:c>
      <x:c r="K4038" s="73" t="n">
        <x:f>MAX(K4037,F4038)</x:f>
        <x:v>1.9172</x:v>
      </x:c>
      <x:c r="L4038" s="74" t="n">
        <x:f>1-F4038/K4038</x:f>
        <x:v>0</x:v>
      </x:c>
      <x:c r="M4038" s="73" t="n">
        <x:f>MAX(M4037,F4038)</x:f>
        <x:v>1.9172</x:v>
      </x:c>
      <x:c r="N4038" s="74" t="n">
        <x:f>1-F4038/M4038</x:f>
        <x:v>0</x:v>
      </x:c>
    </x:row>
    <x:row r="4039" ht="27" customHeight="1">
      <x:c r="A4039" s="66" t="str">
        <x:v>SNH457</x:v>
      </x:c>
      <x:c r="B4039" s="66" t="str">
        <x:v>量客投资金选套利1号</x:v>
      </x:c>
      <x:c r="C4039" s="72" t="n">
        <x:v>46059</x:v>
      </x:c>
      <x:c r="D4039" s="73" t="n">
        <x:v>1.0471</x:v>
      </x:c>
      <x:c r="E4039" s="73" t="n">
        <x:v>1.7362</x:v>
      </x:c>
      <x:c r="F4039" s="73" t="n">
        <x:v>1.9182</x:v>
      </x:c>
      <x:c r="G4039" s="74" t="n">
        <x:v>0.0005</x:v>
      </x:c>
      <x:c r="H4039" s="66" t="str">
        <x:v>量客投资金选套利1号净值20260911.xlsx</x:v>
      </x:c>
      <x:c r="I4039" s="73" t="n">
        <x:f>MAX(I4038,F4039)</x:f>
        <x:v>1.9182</x:v>
      </x:c>
      <x:c r="J4039" s="74" t="n">
        <x:f>1-F4039/I4039</x:f>
        <x:v>0</x:v>
      </x:c>
      <x:c r="K4039" s="73" t="n">
        <x:f>MAX(K4038,F4039)</x:f>
        <x:v>1.9182</x:v>
      </x:c>
      <x:c r="L4039" s="74" t="n">
        <x:f>1-F4039/K4039</x:f>
        <x:v>0</x:v>
      </x:c>
      <x:c r="M4039" s="73" t="n">
        <x:f>MAX(M4038,F4039)</x:f>
        <x:v>1.9182</x:v>
      </x:c>
      <x:c r="N4039" s="74" t="n">
        <x:f>1-F4039/M4039</x:f>
        <x:v>0</x:v>
      </x:c>
    </x:row>
    <x:row r="4040" ht="27" customHeight="1">
      <x:c r="A4040" s="66" t="str">
        <x:v>SNH457</x:v>
      </x:c>
      <x:c r="B4040" s="66" t="str">
        <x:v>量客投资金选套利1号</x:v>
      </x:c>
      <x:c r="C4040" s="72" t="n">
        <x:v>46066</x:v>
      </x:c>
      <x:c r="D4040" s="73" t="n">
        <x:v>0.9995</x:v>
      </x:c>
      <x:c r="E4040" s="73" t="n">
        <x:v>1.7358</x:v>
      </x:c>
      <x:c r="F4040" s="73" t="n">
        <x:v>1.9174</x:v>
      </x:c>
      <x:c r="G4040" s="74" t="n">
        <x:v>-0.0004</x:v>
      </x:c>
      <x:c r="H4040" s="66" t="str">
        <x:v>量客投资金选套利1号净值20260911.xlsx</x:v>
      </x:c>
      <x:c r="I4040" s="73" t="n">
        <x:f>MAX(I4039,F4040)</x:f>
        <x:v>1.9182</x:v>
      </x:c>
      <x:c r="J4040" s="74" t="n">
        <x:f>1-F4040/I4040</x:f>
        <x:v>0.0004170576582211982</x:v>
      </x:c>
      <x:c r="K4040" s="73" t="n">
        <x:f>MAX(K4039,F4040)</x:f>
        <x:v>1.9182</x:v>
      </x:c>
      <x:c r="L4040" s="74" t="n">
        <x:f>1-F4040/K4040</x:f>
        <x:v>0.0004170576582211982</x:v>
      </x:c>
      <x:c r="M4040" s="73" t="n">
        <x:f>MAX(M4039,F4040)</x:f>
        <x:v>1.9182</x:v>
      </x:c>
      <x:c r="N4040" s="74" t="n">
        <x:f>1-F4040/M4040</x:f>
        <x:v>0.0004170576582211982</x:v>
      </x:c>
    </x:row>
    <x:row r="4041" ht="27" customHeight="1">
      <x:c r="A4041" s="66" t="str">
        <x:v>SNH457</x:v>
      </x:c>
      <x:c r="B4041" s="66" t="str">
        <x:v>量客投资金选套利1号</x:v>
      </x:c>
      <x:c r="C4041" s="72" t="n">
        <x:v>46080</x:v>
      </x:c>
      <x:c r="D4041" s="73" t="n">
        <x:v>0.9999</x:v>
      </x:c>
      <x:c r="E4041" s="73" t="n">
        <x:v>1.7362</x:v>
      </x:c>
      <x:c r="F4041" s="73" t="n">
        <x:v>1.9182</x:v>
      </x:c>
      <x:c r="G4041" s="74" t="n">
        <x:v>0.0004</x:v>
      </x:c>
      <x:c r="H4041" s="66" t="str">
        <x:v>量客投资金选套利1号净值20260911.xlsx</x:v>
      </x:c>
      <x:c r="I4041" s="73" t="n">
        <x:f>MAX(I4040,F4041)</x:f>
        <x:v>1.9182</x:v>
      </x:c>
      <x:c r="J4041" s="74" t="n">
        <x:f>1-F4041/I4041</x:f>
        <x:v>0</x:v>
      </x:c>
      <x:c r="K4041" s="73" t="n">
        <x:f>MAX(K4040,F4041)</x:f>
        <x:v>1.9182</x:v>
      </x:c>
      <x:c r="L4041" s="74" t="n">
        <x:f>1-F4041/K4041</x:f>
        <x:v>0</x:v>
      </x:c>
      <x:c r="M4041" s="73" t="n">
        <x:f>MAX(M4040,F4041)</x:f>
        <x:v>1.9182</x:v>
      </x:c>
      <x:c r="N4041" s="74" t="n">
        <x:f>1-F4041/M4041</x:f>
        <x:v>0</x:v>
      </x:c>
    </x:row>
    <x:row r="4042" ht="27" customHeight="1">
      <x:c r="A4042" s="66" t="str">
        <x:v>SNH457</x:v>
      </x:c>
      <x:c r="B4042" s="66" t="str">
        <x:v>量客投资金选套利1号</x:v>
      </x:c>
      <x:c r="C4042" s="72" t="n">
        <x:v>46087</x:v>
      </x:c>
      <x:c r="D4042" s="73" t="n">
        <x:v>1.0017</x:v>
      </x:c>
      <x:c r="E4042" s="73" t="n">
        <x:v>1.738</x:v>
      </x:c>
      <x:c r="F4042" s="73" t="n">
        <x:v>1.9216</x:v>
      </x:c>
      <x:c r="G4042" s="74" t="n">
        <x:v>0.0018</x:v>
      </x:c>
      <x:c r="H4042" s="66" t="str">
        <x:v>量客投资金选套利1号净值20260911.xlsx</x:v>
      </x:c>
      <x:c r="I4042" s="73" t="n">
        <x:f>MAX(I4041,F4042)</x:f>
        <x:v>1.9216</x:v>
      </x:c>
      <x:c r="J4042" s="74" t="n">
        <x:f>1-F4042/I4042</x:f>
        <x:v>0</x:v>
      </x:c>
      <x:c r="K4042" s="73" t="n">
        <x:f>MAX(K4041,F4042)</x:f>
        <x:v>1.9216</x:v>
      </x:c>
      <x:c r="L4042" s="74" t="n">
        <x:f>1-F4042/K4042</x:f>
        <x:v>0</x:v>
      </x:c>
      <x:c r="M4042" s="73" t="n">
        <x:f>MAX(M4041,F4042)</x:f>
        <x:v>1.9216</x:v>
      </x:c>
      <x:c r="N4042" s="74" t="n">
        <x:f>1-F4042/M4042</x:f>
        <x:v>0</x:v>
      </x:c>
    </x:row>
    <x:row r="4043" ht="27" customHeight="1">
      <x:c r="A4043" s="66" t="str">
        <x:v>SNH457</x:v>
      </x:c>
      <x:c r="B4043" s="66" t="str">
        <x:v>量客投资金选套利1号</x:v>
      </x:c>
      <x:c r="C4043" s="72" t="n">
        <x:v>46094</x:v>
      </x:c>
      <x:c r="D4043" s="73" t="n">
        <x:v>1.0023</x:v>
      </x:c>
      <x:c r="E4043" s="73" t="n">
        <x:v>1.7386</x:v>
      </x:c>
      <x:c r="F4043" s="73" t="n">
        <x:v>1.9228</x:v>
      </x:c>
      <x:c r="G4043" s="74" t="n">
        <x:v>0.0006</x:v>
      </x:c>
      <x:c r="H4043" s="66" t="str">
        <x:v>量客投资金选套利1号净值20260911.xlsx</x:v>
      </x:c>
      <x:c r="I4043" s="73" t="n">
        <x:f>MAX(I4042,F4043)</x:f>
        <x:v>1.9228</x:v>
      </x:c>
      <x:c r="J4043" s="74" t="n">
        <x:f>1-F4043/I4043</x:f>
        <x:v>0</x:v>
      </x:c>
      <x:c r="K4043" s="73" t="n">
        <x:f>MAX(K4042,F4043)</x:f>
        <x:v>1.9228</x:v>
      </x:c>
      <x:c r="L4043" s="74" t="n">
        <x:f>1-F4043/K4043</x:f>
        <x:v>0</x:v>
      </x:c>
      <x:c r="M4043" s="73" t="n">
        <x:f>MAX(M4042,F4043)</x:f>
        <x:v>1.9228</x:v>
      </x:c>
      <x:c r="N4043" s="74" t="n">
        <x:f>1-F4043/M4043</x:f>
        <x:v>0</x:v>
      </x:c>
    </x:row>
    <x:row r="4044" ht="27" customHeight="1">
      <x:c r="A4044" s="66" t="str">
        <x:v>SNH457</x:v>
      </x:c>
      <x:c r="B4044" s="66" t="str">
        <x:v>量客投资金选套利1号</x:v>
      </x:c>
      <x:c r="C4044" s="72" t="n">
        <x:v>46101</x:v>
      </x:c>
      <x:c r="D4044" s="73" t="n">
        <x:v>1.0043</x:v>
      </x:c>
      <x:c r="E4044" s="73" t="n">
        <x:v>1.7406</x:v>
      </x:c>
      <x:c r="F4044" s="73" t="n">
        <x:v>1.9266</x:v>
      </x:c>
      <x:c r="G4044" s="74" t="n">
        <x:v>0.002</x:v>
      </x:c>
      <x:c r="H4044" s="66" t="str">
        <x:v>量客投资金选套利1号净值20260911.xlsx</x:v>
      </x:c>
      <x:c r="I4044" s="73" t="n">
        <x:f>MAX(I4043,F4044)</x:f>
        <x:v>1.9266</x:v>
      </x:c>
      <x:c r="J4044" s="74" t="n">
        <x:f>1-F4044/I4044</x:f>
        <x:v>0</x:v>
      </x:c>
      <x:c r="K4044" s="73" t="n">
        <x:f>MAX(K4043,F4044)</x:f>
        <x:v>1.9266</x:v>
      </x:c>
      <x:c r="L4044" s="74" t="n">
        <x:f>1-F4044/K4044</x:f>
        <x:v>0</x:v>
      </x:c>
      <x:c r="M4044" s="73" t="n">
        <x:f>MAX(M4043,F4044)</x:f>
        <x:v>1.9266</x:v>
      </x:c>
      <x:c r="N4044" s="74" t="n">
        <x:f>1-F4044/M4044</x:f>
        <x:v>0</x:v>
      </x:c>
    </x:row>
    <x:row r="4045" ht="27" customHeight="1">
      <x:c r="A4045" s="66" t="str">
        <x:v>SNH457</x:v>
      </x:c>
      <x:c r="B4045" s="66" t="str">
        <x:v>量客投资金选套利1号</x:v>
      </x:c>
      <x:c r="C4045" s="72" t="n">
        <x:v>46108</x:v>
      </x:c>
      <x:c r="D4045" s="73" t="n">
        <x:v>1.0065</x:v>
      </x:c>
      <x:c r="E4045" s="73" t="n">
        <x:v>1.7428</x:v>
      </x:c>
      <x:c r="F4045" s="73" t="n">
        <x:v>1.9309</x:v>
      </x:c>
      <x:c r="G4045" s="74" t="n">
        <x:v>0.0022</x:v>
      </x:c>
      <x:c r="H4045" s="66" t="str">
        <x:v>量客投资金选套利1号净值20260911.xlsx</x:v>
      </x:c>
      <x:c r="I4045" s="73" t="n">
        <x:f>MAX(I4044,F4045)</x:f>
        <x:v>1.9309</x:v>
      </x:c>
      <x:c r="J4045" s="74" t="n">
        <x:f>1-F4045/I4045</x:f>
        <x:v>0</x:v>
      </x:c>
      <x:c r="K4045" s="73" t="n">
        <x:f>MAX(K4044,F4045)</x:f>
        <x:v>1.9309</x:v>
      </x:c>
      <x:c r="L4045" s="74" t="n">
        <x:f>1-F4045/K4045</x:f>
        <x:v>0</x:v>
      </x:c>
      <x:c r="M4045" s="73" t="n">
        <x:f>MAX(M4044,F4045)</x:f>
        <x:v>1.9309</x:v>
      </x:c>
      <x:c r="N4045" s="74" t="n">
        <x:f>1-F4045/M4045</x:f>
        <x:v>0</x:v>
      </x:c>
    </x:row>
    <x:row r="4046" ht="27" customHeight="1">
      <x:c r="A4046" s="66" t="str">
        <x:v>SNH457</x:v>
      </x:c>
      <x:c r="B4046" s="66" t="str">
        <x:v>量客投资金选套利1号</x:v>
      </x:c>
      <x:c r="C4046" s="72" t="n">
        <x:v>46115</x:v>
      </x:c>
      <x:c r="D4046" s="73" t="n">
        <x:v>1.0061</x:v>
      </x:c>
      <x:c r="E4046" s="73" t="n">
        <x:v>1.7424</x:v>
      </x:c>
      <x:c r="F4046" s="73" t="n">
        <x:v>1.9301</x:v>
      </x:c>
      <x:c r="G4046" s="74" t="n">
        <x:v>-0.0004</x:v>
      </x:c>
      <x:c r="H4046" s="66" t="str">
        <x:v>量客投资金选套利1号净值20260911.xlsx</x:v>
      </x:c>
      <x:c r="I4046" s="73" t="n">
        <x:f>MAX(I4045,F4046)</x:f>
        <x:v>1.9309</x:v>
      </x:c>
      <x:c r="J4046" s="74" t="n">
        <x:f>1-F4046/I4046</x:f>
        <x:v>0.0004143145683360716</x:v>
      </x:c>
      <x:c r="K4046" s="73" t="n">
        <x:f>MAX(K4045,F4046)</x:f>
        <x:v>1.9309</x:v>
      </x:c>
      <x:c r="L4046" s="74" t="n">
        <x:f>1-F4046/K4046</x:f>
        <x:v>0.0004143145683360716</x:v>
      </x:c>
      <x:c r="M4046" s="73" t="n">
        <x:f>MAX(M4045,F4046)</x:f>
        <x:v>1.9309</x:v>
      </x:c>
      <x:c r="N4046" s="74" t="n">
        <x:f>1-F4046/M4046</x:f>
        <x:v>0.0004143145683360716</x:v>
      </x:c>
    </x:row>
    <x:row r="4047" ht="27" customHeight="1">
      <x:c r="A4047" s="66" t="str">
        <x:v>SNH457</x:v>
      </x:c>
      <x:c r="B4047" s="66" t="str">
        <x:v>量客投资金选套利1号</x:v>
      </x:c>
      <x:c r="C4047" s="72" t="n">
        <x:v>46122</x:v>
      </x:c>
      <x:c r="D4047" s="73" t="n">
        <x:v>1.007</x:v>
      </x:c>
      <x:c r="E4047" s="73" t="n">
        <x:v>1.7433</x:v>
      </x:c>
      <x:c r="F4047" s="73" t="n">
        <x:v>1.9318</x:v>
      </x:c>
      <x:c r="G4047" s="74" t="n">
        <x:v>0.0009</x:v>
      </x:c>
      <x:c r="H4047" s="66" t="str">
        <x:v>量客投资金选套利1号净值20260911.xlsx</x:v>
      </x:c>
      <x:c r="I4047" s="73" t="n">
        <x:f>MAX(I4046,F4047)</x:f>
        <x:v>1.9318</x:v>
      </x:c>
      <x:c r="J4047" s="74" t="n">
        <x:f>1-F4047/I4047</x:f>
        <x:v>0</x:v>
      </x:c>
      <x:c r="K4047" s="73" t="n">
        <x:f>MAX(K4046,F4047)</x:f>
        <x:v>1.9318</x:v>
      </x:c>
      <x:c r="L4047" s="74" t="n">
        <x:f>1-F4047/K4047</x:f>
        <x:v>0</x:v>
      </x:c>
      <x:c r="M4047" s="73" t="n">
        <x:f>MAX(M4046,F4047)</x:f>
        <x:v>1.9318</x:v>
      </x:c>
      <x:c r="N4047" s="74" t="n">
        <x:f>1-F4047/M4047</x:f>
        <x:v>0</x:v>
      </x:c>
    </x:row>
    <x:row r="4048" ht="27" customHeight="1">
      <x:c r="A4048" s="66" t="str">
        <x:v>SNH457</x:v>
      </x:c>
      <x:c r="B4048" s="66" t="str">
        <x:v>量客投资金选套利1号</x:v>
      </x:c>
      <x:c r="C4048" s="72" t="n">
        <x:v>46129</x:v>
      </x:c>
      <x:c r="D4048" s="73" t="n">
        <x:v>1.0067</x:v>
      </x:c>
      <x:c r="E4048" s="73" t="n">
        <x:v>1.743</x:v>
      </x:c>
      <x:c r="F4048" s="73" t="n">
        <x:v>1.9312</x:v>
      </x:c>
      <x:c r="G4048" s="74" t="n">
        <x:v>-0.0003</x:v>
      </x:c>
      <x:c r="H4048" s="66" t="str">
        <x:v>量客投资金选套利1号净值20260911.xlsx</x:v>
      </x:c>
      <x:c r="I4048" s="73" t="n">
        <x:f>MAX(I4047,F4048)</x:f>
        <x:v>1.9318</x:v>
      </x:c>
      <x:c r="J4048" s="74" t="n">
        <x:f>1-F4048/I4048</x:f>
        <x:v>0.0003105911585049581</x:v>
      </x:c>
      <x:c r="K4048" s="73" t="n">
        <x:f>MAX(K4047,F4048)</x:f>
        <x:v>1.9318</x:v>
      </x:c>
      <x:c r="L4048" s="74" t="n">
        <x:f>1-F4048/K4048</x:f>
        <x:v>0.0003105911585049581</x:v>
      </x:c>
      <x:c r="M4048" s="73" t="n">
        <x:f>MAX(M4047,F4048)</x:f>
        <x:v>1.9318</x:v>
      </x:c>
      <x:c r="N4048" s="74" t="n">
        <x:f>1-F4048/M4048</x:f>
        <x:v>0.0003105911585049581</x:v>
      </x:c>
    </x:row>
    <x:row r="4049" ht="27" customHeight="1">
      <x:c r="A4049" s="66" t="str">
        <x:v>SNH457</x:v>
      </x:c>
      <x:c r="B4049" s="66" t="str">
        <x:v>量客投资金选套利1号</x:v>
      </x:c>
      <x:c r="C4049" s="72" t="n">
        <x:v>46136</x:v>
      </x:c>
      <x:c r="D4049" s="73" t="n">
        <x:v>1.0066</x:v>
      </x:c>
      <x:c r="E4049" s="73" t="n">
        <x:v>1.7429</x:v>
      </x:c>
      <x:c r="F4049" s="73" t="n">
        <x:v>1.931</x:v>
      </x:c>
      <x:c r="G4049" s="74" t="n">
        <x:v>-0.0001</x:v>
      </x:c>
      <x:c r="H4049" s="66" t="str">
        <x:v>量客投资金选套利1号净值20260911.xlsx</x:v>
      </x:c>
      <x:c r="I4049" s="73" t="n">
        <x:f>MAX(I4048,F4049)</x:f>
        <x:v>1.9318</x:v>
      </x:c>
      <x:c r="J4049" s="74" t="n">
        <x:f>1-F4049/I4049</x:f>
        <x:v>0.0004141215446733515</x:v>
      </x:c>
      <x:c r="K4049" s="73" t="n">
        <x:f>MAX(K4048,F4049)</x:f>
        <x:v>1.9318</x:v>
      </x:c>
      <x:c r="L4049" s="74" t="n">
        <x:f>1-F4049/K4049</x:f>
        <x:v>0.0004141215446733515</x:v>
      </x:c>
      <x:c r="M4049" s="73" t="n">
        <x:f>MAX(M4048,F4049)</x:f>
        <x:v>1.9318</x:v>
      </x:c>
      <x:c r="N4049" s="74" t="n">
        <x:f>1-F4049/M4049</x:f>
        <x:v>0.0004141215446733515</x:v>
      </x:c>
    </x:row>
    <x:row r="4050" ht="27" customHeight="1">
      <x:c r="A4050" s="66" t="str">
        <x:v>SNH457</x:v>
      </x:c>
      <x:c r="B4050" s="66" t="str">
        <x:v>量客投资金选套利1号</x:v>
      </x:c>
      <x:c r="C4050" s="72" t="n">
        <x:v>46142</x:v>
      </x:c>
      <x:c r="D4050" s="73" t="n">
        <x:v>1.0082</x:v>
      </x:c>
      <x:c r="E4050" s="73" t="n">
        <x:v>1.7445</x:v>
      </x:c>
      <x:c r="F4050" s="73" t="n">
        <x:v>1.9341</x:v>
      </x:c>
      <x:c r="G4050" s="74" t="n">
        <x:v>0.0016</x:v>
      </x:c>
      <x:c r="H4050" s="66" t="str">
        <x:v>量客投资金选套利1号净值20260911.xlsx</x:v>
      </x:c>
      <x:c r="I4050" s="73" t="n">
        <x:f>MAX(I4049,F4050)</x:f>
        <x:v>1.9341</x:v>
      </x:c>
      <x:c r="J4050" s="74" t="n">
        <x:f>1-F4050/I4050</x:f>
        <x:v>0</x:v>
      </x:c>
      <x:c r="K4050" s="73" t="n">
        <x:f>MAX(K4049,F4050)</x:f>
        <x:v>1.9341</x:v>
      </x:c>
      <x:c r="L4050" s="74" t="n">
        <x:f>1-F4050/K4050</x:f>
        <x:v>0</x:v>
      </x:c>
      <x:c r="M4050" s="73" t="n">
        <x:f>MAX(M4049,F4050)</x:f>
        <x:v>1.9341</x:v>
      </x:c>
      <x:c r="N4050" s="74" t="n">
        <x:f>1-F4050/M4050</x:f>
        <x:v>0</x:v>
      </x:c>
    </x:row>
    <x:row r="4051" ht="27" customHeight="1">
      <x:c r="A4051" s="66" t="str">
        <x:v>SNH457</x:v>
      </x:c>
      <x:c r="B4051" s="66" t="str">
        <x:v>量客投资金选套利1号</x:v>
      </x:c>
      <x:c r="C4051" s="72" t="n">
        <x:v>46150</x:v>
      </x:c>
      <x:c r="D4051" s="73" t="n">
        <x:v>1.0071</x:v>
      </x:c>
      <x:c r="E4051" s="73" t="n">
        <x:v>1.7434</x:v>
      </x:c>
      <x:c r="F4051" s="73" t="n">
        <x:v>1.932</x:v>
      </x:c>
      <x:c r="G4051" s="74" t="n">
        <x:v>-0.0011</x:v>
      </x:c>
      <x:c r="H4051" s="66" t="str">
        <x:v>量客投资金选套利1号净值20260911.xlsx</x:v>
      </x:c>
      <x:c r="I4051" s="73" t="n">
        <x:f>MAX(I4050,F4051)</x:f>
        <x:v>1.9341</x:v>
      </x:c>
      <x:c r="J4051" s="74" t="n">
        <x:f>1-F4051/I4051</x:f>
        <x:v>0.0010857763300760048</x:v>
      </x:c>
      <x:c r="K4051" s="73" t="n">
        <x:f>MAX(K4050,F4051)</x:f>
        <x:v>1.9341</x:v>
      </x:c>
      <x:c r="L4051" s="74" t="n">
        <x:f>1-F4051/K4051</x:f>
        <x:v>0.0010857763300760048</x:v>
      </x:c>
      <x:c r="M4051" s="73" t="n">
        <x:f>MAX(M4050,F4051)</x:f>
        <x:v>1.9341</x:v>
      </x:c>
      <x:c r="N4051" s="74" t="n">
        <x:f>1-F4051/M4051</x:f>
        <x:v>0.0010857763300760048</x:v>
      </x:c>
    </x:row>
    <x:row r="4052" ht="27" customHeight="1">
      <x:c r="A4052" s="66" t="str">
        <x:v>SNH457</x:v>
      </x:c>
      <x:c r="B4052" s="66" t="str">
        <x:v>量客投资金选套利1号</x:v>
      </x:c>
      <x:c r="C4052" s="72" t="n">
        <x:v>46157</x:v>
      </x:c>
      <x:c r="D4052" s="73" t="n">
        <x:v>1.0095</x:v>
      </x:c>
      <x:c r="E4052" s="73" t="n">
        <x:v>1.7458</x:v>
      </x:c>
      <x:c r="F4052" s="73" t="n">
        <x:v>1.9366</x:v>
      </x:c>
      <x:c r="G4052" s="74" t="n">
        <x:v>0.0024</x:v>
      </x:c>
      <x:c r="H4052" s="66" t="str">
        <x:v>量客投资金选套利1号净值20260911.xlsx</x:v>
      </x:c>
      <x:c r="I4052" s="73" t="n">
        <x:f>MAX(I4051,F4052)</x:f>
        <x:v>1.9366</x:v>
      </x:c>
      <x:c r="J4052" s="74" t="n">
        <x:f>1-F4052/I4052</x:f>
        <x:v>0</x:v>
      </x:c>
      <x:c r="K4052" s="73" t="n">
        <x:f>MAX(K4051,F4052)</x:f>
        <x:v>1.9366</x:v>
      </x:c>
      <x:c r="L4052" s="74" t="n">
        <x:f>1-F4052/K4052</x:f>
        <x:v>0</x:v>
      </x:c>
      <x:c r="M4052" s="73" t="n">
        <x:f>MAX(M4051,F4052)</x:f>
        <x:v>1.9366</x:v>
      </x:c>
      <x:c r="N4052" s="74" t="n">
        <x:f>1-F4052/M4052</x:f>
        <x:v>0</x:v>
      </x:c>
    </x:row>
    <x:row r="4053" ht="27" customHeight="1">
      <x:c r="A4053" s="66" t="str">
        <x:v>SNH457</x:v>
      </x:c>
      <x:c r="B4053" s="66" t="str">
        <x:v>量客投资金选套利1号</x:v>
      </x:c>
      <x:c r="C4053" s="72" t="n">
        <x:v>46164</x:v>
      </x:c>
      <x:c r="D4053" s="73" t="n">
        <x:v>1.0125</x:v>
      </x:c>
      <x:c r="E4053" s="73" t="n">
        <x:v>1.7488</x:v>
      </x:c>
      <x:c r="F4053" s="73" t="n">
        <x:v>1.9424</x:v>
      </x:c>
      <x:c r="G4053" s="74" t="n">
        <x:v>0.003</x:v>
      </x:c>
      <x:c r="H4053" s="66" t="str">
        <x:v>量客投资金选套利1号净值20260911.xlsx</x:v>
      </x:c>
      <x:c r="I4053" s="73" t="n">
        <x:f>MAX(I4052,F4053)</x:f>
        <x:v>1.9424</x:v>
      </x:c>
      <x:c r="J4053" s="74" t="n">
        <x:f>1-F4053/I4053</x:f>
        <x:v>0</x:v>
      </x:c>
      <x:c r="K4053" s="73" t="n">
        <x:f>MAX(K4052,F4053)</x:f>
        <x:v>1.9424</x:v>
      </x:c>
      <x:c r="L4053" s="74" t="n">
        <x:f>1-F4053/K4053</x:f>
        <x:v>0</x:v>
      </x:c>
      <x:c r="M4053" s="73" t="n">
        <x:f>MAX(M4052,F4053)</x:f>
        <x:v>1.9424</x:v>
      </x:c>
      <x:c r="N4053" s="74" t="n">
        <x:f>1-F4053/M4053</x:f>
        <x:v>0</x:v>
      </x:c>
    </x:row>
    <x:row r="4054" ht="27" customHeight="1">
      <x:c r="A4054" s="66" t="str">
        <x:v>SNH457</x:v>
      </x:c>
      <x:c r="B4054" s="66" t="str">
        <x:v>量客投资金选套利1号</x:v>
      </x:c>
      <x:c r="C4054" s="72" t="n">
        <x:v>46171</x:v>
      </x:c>
      <x:c r="D4054" s="73" t="n">
        <x:v>1.0129</x:v>
      </x:c>
      <x:c r="E4054" s="73" t="n">
        <x:v>1.7492</x:v>
      </x:c>
      <x:c r="F4054" s="73" t="n">
        <x:v>1.9431</x:v>
      </x:c>
      <x:c r="G4054" s="74" t="n">
        <x:v>0.0004</x:v>
      </x:c>
      <x:c r="H4054" s="66" t="str">
        <x:v>量客投资金选套利1号净值20260911.xlsx</x:v>
      </x:c>
      <x:c r="I4054" s="73" t="n">
        <x:f>MAX(I4053,F4054)</x:f>
        <x:v>1.9431</x:v>
      </x:c>
      <x:c r="J4054" s="74" t="n">
        <x:f>1-F4054/I4054</x:f>
        <x:v>0</x:v>
      </x:c>
      <x:c r="K4054" s="73" t="n">
        <x:f>MAX(K4053,F4054)</x:f>
        <x:v>1.9431</x:v>
      </x:c>
      <x:c r="L4054" s="74" t="n">
        <x:f>1-F4054/K4054</x:f>
        <x:v>0</x:v>
      </x:c>
      <x:c r="M4054" s="73" t="n">
        <x:f>MAX(M4053,F4054)</x:f>
        <x:v>1.9431</x:v>
      </x:c>
      <x:c r="N4054" s="74" t="n">
        <x:f>1-F4054/M4054</x:f>
        <x:v>0</x:v>
      </x:c>
    </x:row>
    <x:row r="4055" ht="27" customHeight="1">
      <x:c r="A4055" s="66" t="str">
        <x:v>SNH457</x:v>
      </x:c>
      <x:c r="B4055" s="66" t="str">
        <x:v>量客投资金选套利1号</x:v>
      </x:c>
      <x:c r="C4055" s="72" t="n">
        <x:v>46178</x:v>
      </x:c>
      <x:c r="D4055" s="73" t="n">
        <x:v>1.0149</x:v>
      </x:c>
      <x:c r="E4055" s="73" t="n">
        <x:v>1.7512</x:v>
      </x:c>
      <x:c r="F4055" s="73" t="n">
        <x:v>1.947</x:v>
      </x:c>
      <x:c r="G4055" s="74" t="n">
        <x:v>0.002</x:v>
      </x:c>
      <x:c r="H4055" s="66" t="str">
        <x:v>量客投资金选套利1号净值20260911.xlsx</x:v>
      </x:c>
      <x:c r="I4055" s="73" t="n">
        <x:f>MAX(I4054,F4055)</x:f>
        <x:v>1.947</x:v>
      </x:c>
      <x:c r="J4055" s="74" t="n">
        <x:f>1-F4055/I4055</x:f>
        <x:v>0</x:v>
      </x:c>
      <x:c r="K4055" s="73" t="n">
        <x:f>MAX(K4054,F4055)</x:f>
        <x:v>1.947</x:v>
      </x:c>
      <x:c r="L4055" s="74" t="n">
        <x:f>1-F4055/K4055</x:f>
        <x:v>0</x:v>
      </x:c>
      <x:c r="M4055" s="73" t="n">
        <x:f>MAX(M4054,F4055)</x:f>
        <x:v>1.947</x:v>
      </x:c>
      <x:c r="N4055" s="74" t="n">
        <x:f>1-F4055/M4055</x:f>
        <x:v>0</x:v>
      </x:c>
    </x:row>
    <x:row r="4056" ht="27" customHeight="1">
      <x:c r="A4056" s="66" t="str">
        <x:v>SNH457</x:v>
      </x:c>
      <x:c r="B4056" s="66" t="str">
        <x:v>量客投资金选套利1号</x:v>
      </x:c>
      <x:c r="C4056" s="72" t="n">
        <x:v>46185</x:v>
      </x:c>
      <x:c r="D4056" s="73" t="n">
        <x:v>1.0157</x:v>
      </x:c>
      <x:c r="E4056" s="73" t="n">
        <x:v>1.752</x:v>
      </x:c>
      <x:c r="F4056" s="73" t="n">
        <x:v>1.9485</x:v>
      </x:c>
      <x:c r="G4056" s="74" t="n">
        <x:v>0.0008</x:v>
      </x:c>
      <x:c r="H4056" s="66" t="str">
        <x:v>量客投资金选套利1号净值20260911.xlsx</x:v>
      </x:c>
      <x:c r="I4056" s="73" t="n">
        <x:f>MAX(I4055,F4056)</x:f>
        <x:v>1.9485</x:v>
      </x:c>
      <x:c r="J4056" s="74" t="n">
        <x:f>1-F4056/I4056</x:f>
        <x:v>0</x:v>
      </x:c>
      <x:c r="K4056" s="73" t="n">
        <x:f>MAX(K4055,F4056)</x:f>
        <x:v>1.9485</x:v>
      </x:c>
      <x:c r="L4056" s="74" t="n">
        <x:f>1-F4056/K4056</x:f>
        <x:v>0</x:v>
      </x:c>
      <x:c r="M4056" s="73" t="n">
        <x:f>MAX(M4055,F4056)</x:f>
        <x:v>1.9485</x:v>
      </x:c>
      <x:c r="N4056" s="74" t="n">
        <x:f>1-F4056/M4056</x:f>
        <x:v>0</x:v>
      </x:c>
    </x:row>
    <x:row r="4057" ht="27" customHeight="1">
      <x:c r="A4057" s="66" t="str">
        <x:v>SNH457</x:v>
      </x:c>
      <x:c r="B4057" s="66" t="str">
        <x:v>量客投资金选套利1号</x:v>
      </x:c>
      <x:c r="C4057" s="72" t="n">
        <x:v>46191</x:v>
      </x:c>
      <x:c r="D4057" s="73" t="n">
        <x:v>1.0151</x:v>
      </x:c>
      <x:c r="E4057" s="73" t="n">
        <x:v>1.7514</x:v>
      </x:c>
      <x:c r="F4057" s="73" t="n">
        <x:v>1.9474</x:v>
      </x:c>
      <x:c r="G4057" s="74" t="n">
        <x:v>-0.0006</x:v>
      </x:c>
      <x:c r="H4057" s="66" t="str">
        <x:v>量客投资金选套利1号净值20260911.xlsx</x:v>
      </x:c>
      <x:c r="I4057" s="73" t="n">
        <x:f>MAX(I4056,F4057)</x:f>
        <x:v>1.9485</x:v>
      </x:c>
      <x:c r="J4057" s="74" t="n">
        <x:f>1-F4057/I4057</x:f>
        <x:v>0.000564536823197237</x:v>
      </x:c>
      <x:c r="K4057" s="73" t="n">
        <x:f>MAX(K4056,F4057)</x:f>
        <x:v>1.9485</x:v>
      </x:c>
      <x:c r="L4057" s="74" t="n">
        <x:f>1-F4057/K4057</x:f>
        <x:v>0.000564536823197237</x:v>
      </x:c>
      <x:c r="M4057" s="73" t="n">
        <x:f>MAX(M4056,F4057)</x:f>
        <x:v>1.9485</x:v>
      </x:c>
      <x:c r="N4057" s="74" t="n">
        <x:f>1-F4057/M4057</x:f>
        <x:v>0.000564536823197237</x:v>
      </x:c>
    </x:row>
    <x:row r="4058" ht="27" customHeight="1">
      <x:c r="A4058" s="66" t="str">
        <x:v>SNH457</x:v>
      </x:c>
      <x:c r="B4058" s="66" t="str">
        <x:v>量客投资金选套利1号</x:v>
      </x:c>
      <x:c r="C4058" s="72" t="n">
        <x:v>46199</x:v>
      </x:c>
      <x:c r="D4058" s="73" t="n">
        <x:v>1.0174</x:v>
      </x:c>
      <x:c r="E4058" s="73" t="n">
        <x:v>1.7537</x:v>
      </x:c>
      <x:c r="F4058" s="73" t="n">
        <x:v>1.9518</x:v>
      </x:c>
      <x:c r="G4058" s="74" t="n">
        <x:v>0.0023</x:v>
      </x:c>
      <x:c r="H4058" s="66" t="str">
        <x:v>量客投资金选套利1号净值20260911.xlsx</x:v>
      </x:c>
      <x:c r="I4058" s="73" t="n">
        <x:f>MAX(I4057,F4058)</x:f>
        <x:v>1.9518</x:v>
      </x:c>
      <x:c r="J4058" s="74" t="n">
        <x:f>1-F4058/I4058</x:f>
        <x:v>0</x:v>
      </x:c>
      <x:c r="K4058" s="73" t="n">
        <x:f>MAX(K4057,F4058)</x:f>
        <x:v>1.9518</x:v>
      </x:c>
      <x:c r="L4058" s="74" t="n">
        <x:f>1-F4058/K4058</x:f>
        <x:v>0</x:v>
      </x:c>
      <x:c r="M4058" s="73" t="n">
        <x:f>MAX(M4057,F4058)</x:f>
        <x:v>1.9518</x:v>
      </x:c>
      <x:c r="N4058" s="74" t="n">
        <x:f>1-F4058/M4058</x:f>
        <x:v>0</x:v>
      </x:c>
    </x:row>
    <x:row r="4059" ht="27" customHeight="1">
      <x:c r="A4059" s="66" t="str">
        <x:v>SNH457</x:v>
      </x:c>
      <x:c r="B4059" s="66" t="str">
        <x:v>量客投资金选套利1号</x:v>
      </x:c>
      <x:c r="C4059" s="72" t="n">
        <x:v>46206</x:v>
      </x:c>
      <x:c r="D4059" s="73" t="n">
        <x:v>1.0174</x:v>
      </x:c>
      <x:c r="E4059" s="73" t="n">
        <x:v>1.7537</x:v>
      </x:c>
      <x:c r="F4059" s="73" t="n">
        <x:v>1.9518</x:v>
      </x:c>
      <x:c r="G4059" s="74" t="n">
        <x:v>0</x:v>
      </x:c>
      <x:c r="H4059" s="66" t="str">
        <x:v>量客投资金选套利1号净值20260911.xlsx</x:v>
      </x:c>
      <x:c r="I4059" s="73" t="n">
        <x:f>MAX(I4058,F4059)</x:f>
        <x:v>1.9518</x:v>
      </x:c>
      <x:c r="J4059" s="74" t="n">
        <x:f>1-F4059/I4059</x:f>
        <x:v>0</x:v>
      </x:c>
      <x:c r="K4059" s="73" t="n">
        <x:f>MAX(K4058,F4059)</x:f>
        <x:v>1.9518</x:v>
      </x:c>
      <x:c r="L4059" s="74" t="n">
        <x:f>1-F4059/K4059</x:f>
        <x:v>0</x:v>
      </x:c>
      <x:c r="M4059" s="73" t="n">
        <x:f>MAX(M4058,F4059)</x:f>
        <x:v>1.9518</x:v>
      </x:c>
      <x:c r="N4059" s="74" t="n">
        <x:f>1-F4059/M4059</x:f>
        <x:v>0</x:v>
      </x:c>
    </x:row>
    <x:row r="4060" ht="27" customHeight="1">
      <x:c r="A4060" s="66" t="str">
        <x:v>SNH457</x:v>
      </x:c>
      <x:c r="B4060" s="66" t="str">
        <x:v>量客投资金选套利1号</x:v>
      </x:c>
      <x:c r="C4060" s="72" t="n">
        <x:v>46213</x:v>
      </x:c>
      <x:c r="D4060" s="73" t="n">
        <x:v>1.0186</x:v>
      </x:c>
      <x:c r="E4060" s="73" t="n">
        <x:v>1.7549</x:v>
      </x:c>
      <x:c r="F4060" s="73" t="n">
        <x:v>1.9541</x:v>
      </x:c>
      <x:c r="G4060" s="74" t="n">
        <x:v>0.0012</x:v>
      </x:c>
      <x:c r="H4060" s="66" t="str">
        <x:v>量客投资金选套利1号净值20260911.xlsx</x:v>
      </x:c>
      <x:c r="I4060" s="73" t="n">
        <x:f>MAX(I4059,F4060)</x:f>
        <x:v>1.9541</x:v>
      </x:c>
      <x:c r="J4060" s="74" t="n">
        <x:f>1-F4060/I4060</x:f>
        <x:v>0</x:v>
      </x:c>
      <x:c r="K4060" s="73" t="n">
        <x:f>MAX(K4059,F4060)</x:f>
        <x:v>1.9541</x:v>
      </x:c>
      <x:c r="L4060" s="74" t="n">
        <x:f>1-F4060/K4060</x:f>
        <x:v>0</x:v>
      </x:c>
      <x:c r="M4060" s="73" t="n">
        <x:f>MAX(M4059,F4060)</x:f>
        <x:v>1.9541</x:v>
      </x:c>
      <x:c r="N4060" s="74" t="n">
        <x:f>1-F4060/M4060</x:f>
        <x:v>0</x:v>
      </x:c>
    </x:row>
    <x:row r="4061" ht="27" customHeight="1">
      <x:c r="A4061" s="66" t="str">
        <x:v>SNH457</x:v>
      </x:c>
      <x:c r="B4061" s="66" t="str">
        <x:v>量客投资金选套利1号</x:v>
      </x:c>
      <x:c r="C4061" s="72" t="n">
        <x:v>46220</x:v>
      </x:c>
      <x:c r="D4061" s="73" t="n">
        <x:v>1.0223</x:v>
      </x:c>
      <x:c r="E4061" s="73" t="n">
        <x:v>1.7586</x:v>
      </x:c>
      <x:c r="F4061" s="73" t="n">
        <x:v>1.9612</x:v>
      </x:c>
      <x:c r="G4061" s="74" t="n">
        <x:v>0.0036</x:v>
      </x:c>
      <x:c r="H4061" s="66" t="str">
        <x:v>量客投资金选套利1号净值20260911.xlsx</x:v>
      </x:c>
      <x:c r="I4061" s="73" t="n">
        <x:f>MAX(I4060,F4061)</x:f>
        <x:v>1.9612</x:v>
      </x:c>
      <x:c r="J4061" s="74" t="n">
        <x:f>1-F4061/I4061</x:f>
        <x:v>0</x:v>
      </x:c>
      <x:c r="K4061" s="73" t="n">
        <x:f>MAX(K4060,F4061)</x:f>
        <x:v>1.9612</x:v>
      </x:c>
      <x:c r="L4061" s="74" t="n">
        <x:f>1-F4061/K4061</x:f>
        <x:v>0</x:v>
      </x:c>
      <x:c r="M4061" s="73" t="n">
        <x:f>MAX(M4060,F4061)</x:f>
        <x:v>1.9612</x:v>
      </x:c>
      <x:c r="N4061" s="74" t="n">
        <x:f>1-F4061/M4061</x:f>
        <x:v>0</x:v>
      </x:c>
    </x:row>
    <x:row r="4062" ht="27" customHeight="1">
      <x:c r="A4062" s="66" t="str">
        <x:v>SNH457</x:v>
      </x:c>
      <x:c r="B4062" s="66" t="str">
        <x:v>量客投资金选套利1号</x:v>
      </x:c>
      <x:c r="C4062" s="72" t="n">
        <x:v>46227</x:v>
      </x:c>
      <x:c r="D4062" s="73" t="n">
        <x:v>1.0249</x:v>
      </x:c>
      <x:c r="E4062" s="73" t="n">
        <x:v>1.7612</x:v>
      </x:c>
      <x:c r="F4062" s="73" t="n">
        <x:v>1.9662</x:v>
      </x:c>
      <x:c r="G4062" s="74" t="n">
        <x:v>0.0025</x:v>
      </x:c>
      <x:c r="H4062" s="66" t="str">
        <x:v>量客投资金选套利1号净值20260911.xlsx</x:v>
      </x:c>
      <x:c r="I4062" s="73" t="n">
        <x:f>MAX(I4061,F4062)</x:f>
        <x:v>1.9662</x:v>
      </x:c>
      <x:c r="J4062" s="74" t="n">
        <x:f>1-F4062/I4062</x:f>
        <x:v>0</x:v>
      </x:c>
      <x:c r="K4062" s="73" t="n">
        <x:f>MAX(K4061,F4062)</x:f>
        <x:v>1.9662</x:v>
      </x:c>
      <x:c r="L4062" s="74" t="n">
        <x:f>1-F4062/K4062</x:f>
        <x:v>0</x:v>
      </x:c>
      <x:c r="M4062" s="73" t="n">
        <x:f>MAX(M4061,F4062)</x:f>
        <x:v>1.9662</x:v>
      </x:c>
      <x:c r="N4062" s="74" t="n">
        <x:f>1-F4062/M4062</x:f>
        <x:v>0</x:v>
      </x:c>
    </x:row>
    <x:row r="4063" ht="27" customHeight="1">
      <x:c r="A4063" s="66" t="str">
        <x:v>SNH457</x:v>
      </x:c>
      <x:c r="B4063" s="66" t="str">
        <x:v>量客投资金选套利1号</x:v>
      </x:c>
      <x:c r="C4063" s="72" t="n">
        <x:v>46234</x:v>
      </x:c>
      <x:c r="D4063" s="73" t="n">
        <x:v>1.0292</x:v>
      </x:c>
      <x:c r="E4063" s="73" t="n">
        <x:v>1.7655</x:v>
      </x:c>
      <x:c r="F4063" s="73" t="n">
        <x:v>1.9744</x:v>
      </x:c>
      <x:c r="G4063" s="74" t="n">
        <x:v>0.0042</x:v>
      </x:c>
      <x:c r="H4063" s="66" t="str">
        <x:v>量客投资金选套利1号净值20260911.xlsx</x:v>
      </x:c>
      <x:c r="I4063" s="73" t="n">
        <x:f>MAX(I4062,F4063)</x:f>
        <x:v>1.9744</x:v>
      </x:c>
      <x:c r="J4063" s="74" t="n">
        <x:f>1-F4063/I4063</x:f>
        <x:v>0</x:v>
      </x:c>
      <x:c r="K4063" s="73" t="n">
        <x:f>MAX(K4062,F4063)</x:f>
        <x:v>1.9744</x:v>
      </x:c>
      <x:c r="L4063" s="74" t="n">
        <x:f>1-F4063/K4063</x:f>
        <x:v>0</x:v>
      </x:c>
      <x:c r="M4063" s="73" t="n">
        <x:f>MAX(M4062,F4063)</x:f>
        <x:v>1.9744</x:v>
      </x:c>
      <x:c r="N4063" s="74" t="n">
        <x:f>1-F4063/M4063</x:f>
        <x:v>0</x:v>
      </x:c>
    </x:row>
    <x:row r="4064" ht="27" customHeight="1">
      <x:c r="A4064" s="66" t="str">
        <x:v>SNH457</x:v>
      </x:c>
      <x:c r="B4064" s="66" t="str">
        <x:v>量客投资金选套利1号</x:v>
      </x:c>
      <x:c r="C4064" s="72" t="n">
        <x:v>46241</x:v>
      </x:c>
      <x:c r="D4064" s="73" t="n">
        <x:v>1.029</x:v>
      </x:c>
      <x:c r="E4064" s="73" t="n">
        <x:v>1.7653</x:v>
      </x:c>
      <x:c r="F4064" s="73" t="n">
        <x:v>1.974</x:v>
      </x:c>
      <x:c r="G4064" s="74" t="n">
        <x:v>-0.0002</x:v>
      </x:c>
      <x:c r="H4064" s="66" t="str">
        <x:v>量客投资金选套利1号净值20260911.xlsx</x:v>
      </x:c>
      <x:c r="I4064" s="73" t="n">
        <x:f>MAX(I4063,F4064)</x:f>
        <x:v>1.9744</x:v>
      </x:c>
      <x:c r="J4064" s="74" t="n">
        <x:f>1-F4064/I4064</x:f>
        <x:v>0.00020259319286874966</x:v>
      </x:c>
      <x:c r="K4064" s="73" t="n">
        <x:f>MAX(K4063,F4064)</x:f>
        <x:v>1.9744</x:v>
      </x:c>
      <x:c r="L4064" s="74" t="n">
        <x:f>1-F4064/K4064</x:f>
        <x:v>0.00020259319286874966</x:v>
      </x:c>
      <x:c r="M4064" s="73" t="n">
        <x:f>MAX(M4063,F4064)</x:f>
        <x:v>1.9744</x:v>
      </x:c>
      <x:c r="N4064" s="74" t="n">
        <x:f>1-F4064/M4064</x:f>
        <x:v>0.00020259319286874966</x:v>
      </x:c>
    </x:row>
    <x:row r="4065" ht="27" customHeight="1">
      <x:c r="A4065" s="66" t="str">
        <x:v>SNH457</x:v>
      </x:c>
      <x:c r="B4065" s="66" t="str">
        <x:v>量客投资金选套利1号</x:v>
      </x:c>
      <x:c r="C4065" s="72" t="n">
        <x:v>46248</x:v>
      </x:c>
      <x:c r="D4065" s="73" t="n">
        <x:v>1.0287</x:v>
      </x:c>
      <x:c r="E4065" s="73" t="n">
        <x:v>1.765</x:v>
      </x:c>
      <x:c r="F4065" s="73" t="n">
        <x:v>1.9734</x:v>
      </x:c>
      <x:c r="G4065" s="74" t="n">
        <x:v>-0.0003</x:v>
      </x:c>
      <x:c r="H4065" s="66" t="str">
        <x:v>量客投资金选套利1号净值20260911.xlsx</x:v>
      </x:c>
      <x:c r="I4065" s="73" t="n">
        <x:f>MAX(I4064,F4065)</x:f>
        <x:v>1.9744</x:v>
      </x:c>
      <x:c r="J4065" s="74" t="n">
        <x:f>1-F4065/I4065</x:f>
        <x:v>0.0005064829821717076</x:v>
      </x:c>
      <x:c r="K4065" s="73" t="n">
        <x:f>MAX(K4064,F4065)</x:f>
        <x:v>1.9744</x:v>
      </x:c>
      <x:c r="L4065" s="74" t="n">
        <x:f>1-F4065/K4065</x:f>
        <x:v>0.0005064829821717076</x:v>
      </x:c>
      <x:c r="M4065" s="73" t="n">
        <x:f>MAX(M4064,F4065)</x:f>
        <x:v>1.9744</x:v>
      </x:c>
      <x:c r="N4065" s="74" t="n">
        <x:f>1-F4065/M4065</x:f>
        <x:v>0.0005064829821717076</x:v>
      </x:c>
    </x:row>
    <x:row r="4066" ht="27" customHeight="1">
      <x:c r="A4066" s="66" t="str">
        <x:v>SNH457</x:v>
      </x:c>
      <x:c r="B4066" s="66" t="str">
        <x:v>量客投资金选套利1号</x:v>
      </x:c>
      <x:c r="C4066" s="72" t="n">
        <x:v>46255</x:v>
      </x:c>
      <x:c r="D4066" s="73" t="n">
        <x:v>1.0301</x:v>
      </x:c>
      <x:c r="E4066" s="73" t="n">
        <x:v>1.7664</x:v>
      </x:c>
      <x:c r="F4066" s="73" t="n">
        <x:v>1.9761</x:v>
      </x:c>
      <x:c r="G4066" s="74" t="n">
        <x:v>0.0014000000000000002</x:v>
      </x:c>
      <x:c r="H4066" s="66" t="str">
        <x:v>量客投资金选套利1号净值20260911.xlsx</x:v>
      </x:c>
      <x:c r="I4066" s="73" t="n">
        <x:f>MAX(I4065,F4066)</x:f>
        <x:v>1.9761</x:v>
      </x:c>
      <x:c r="J4066" s="74" t="n">
        <x:f>1-F4066/I4066</x:f>
        <x:v>0</x:v>
      </x:c>
      <x:c r="K4066" s="73" t="n">
        <x:f>MAX(K4065,F4066)</x:f>
        <x:v>1.9761</x:v>
      </x:c>
      <x:c r="L4066" s="74" t="n">
        <x:f>1-F4066/K4066</x:f>
        <x:v>0</x:v>
      </x:c>
      <x:c r="M4066" s="73" t="n">
        <x:f>MAX(M4065,F4066)</x:f>
        <x:v>1.9761</x:v>
      </x:c>
      <x:c r="N4066" s="74" t="n">
        <x:f>1-F4066/M4066</x:f>
        <x:v>0</x:v>
      </x:c>
    </x:row>
    <x:row r="4067" ht="27" customHeight="1">
      <x:c r="A4067" s="66" t="str">
        <x:v>SNH457</x:v>
      </x:c>
      <x:c r="B4067" s="66" t="str">
        <x:v>量客投资金选套利1号</x:v>
      </x:c>
      <x:c r="C4067" s="72" t="n">
        <x:v>46262</x:v>
      </x:c>
      <x:c r="D4067" s="73" t="n">
        <x:v>1.0334</x:v>
      </x:c>
      <x:c r="E4067" s="73" t="n">
        <x:v>1.7697</x:v>
      </x:c>
      <x:c r="F4067" s="73" t="n">
        <x:v>1.9825</x:v>
      </x:c>
      <x:c r="G4067" s="74" t="n">
        <x:v>0.0032</x:v>
      </x:c>
      <x:c r="H4067" s="66" t="str">
        <x:v>量客投资金选套利1号净值20260911.xlsx</x:v>
      </x:c>
      <x:c r="I4067" s="73" t="n">
        <x:f>MAX(I4066,F4067)</x:f>
        <x:v>1.9825</x:v>
      </x:c>
      <x:c r="J4067" s="74" t="n">
        <x:f>1-F4067/I4067</x:f>
        <x:v>0</x:v>
      </x:c>
      <x:c r="K4067" s="73" t="n">
        <x:f>MAX(K4066,F4067)</x:f>
        <x:v>1.9825</x:v>
      </x:c>
      <x:c r="L4067" s="74" t="n">
        <x:f>1-F4067/K4067</x:f>
        <x:v>0</x:v>
      </x:c>
      <x:c r="M4067" s="73" t="n">
        <x:f>MAX(M4066,F4067)</x:f>
        <x:v>1.9825</x:v>
      </x:c>
      <x:c r="N4067" s="74" t="n">
        <x:f>1-F4067/M4067</x:f>
        <x:v>0</x:v>
      </x:c>
    </x:row>
    <x:row r="4068" ht="27" customHeight="1">
      <x:c r="A4068" s="66" t="str">
        <x:v>SNH457</x:v>
      </x:c>
      <x:c r="B4068" s="66" t="str">
        <x:v>量客投资金选套利1号</x:v>
      </x:c>
      <x:c r="C4068" s="72" t="n">
        <x:v>46269</x:v>
      </x:c>
      <x:c r="D4068" s="73" t="n">
        <x:v>1.0347</x:v>
      </x:c>
      <x:c r="E4068" s="73" t="n">
        <x:v>1.771</x:v>
      </x:c>
      <x:c r="F4068" s="73" t="n">
        <x:v>1.985</x:v>
      </x:c>
      <x:c r="G4068" s="74" t="n">
        <x:v>0.0013</x:v>
      </x:c>
      <x:c r="H4068" s="66" t="str">
        <x:v>量客投资金选套利1号净值20260911.xlsx</x:v>
      </x:c>
      <x:c r="I4068" s="73" t="n">
        <x:f>MAX(I4067,F4068)</x:f>
        <x:v>1.985</x:v>
      </x:c>
      <x:c r="J4068" s="74" t="n">
        <x:f>1-F4068/I4068</x:f>
        <x:v>0</x:v>
      </x:c>
      <x:c r="K4068" s="73" t="n">
        <x:f>MAX(K4067,F4068)</x:f>
        <x:v>1.985</x:v>
      </x:c>
      <x:c r="L4068" s="74" t="n">
        <x:f>1-F4068/K4068</x:f>
        <x:v>0</x:v>
      </x:c>
      <x:c r="M4068" s="73" t="n">
        <x:f>MAX(M4067,F4068)</x:f>
        <x:v>1.985</x:v>
      </x:c>
      <x:c r="N4068" s="74" t="n">
        <x:f>1-F4068/M4068</x:f>
        <x:v>0</x:v>
      </x:c>
    </x:row>
    <x:row r="4069" ht="27" customHeight="1">
      <x:c r="A4069" s="66" t="str">
        <x:v>SQN453</x:v>
      </x:c>
      <x:c r="B4069" s="66" t="str">
        <x:v>钧誉厚德量化对冲11号</x:v>
      </x:c>
      <x:c r="C4069" s="72" t="n">
        <x:v>44323</x:v>
      </x:c>
      <x:c r="D4069" s="73" t="n">
        <x:v>1</x:v>
      </x:c>
      <x:c r="E4069" s="73" t="n">
        <x:v>1</x:v>
      </x:c>
      <x:c r="F4069" s="73" t="n">
        <x:v>1</x:v>
      </x:c>
      <x:c r="G4069" s="74"/>
      <x:c r="H4069" s="66" t="str">
        <x:v>钧誉厚德量化对冲11号净值20260911.xlsx</x:v>
      </x:c>
      <x:c r="I4069" s="73" t="str">
        <x:f>""</x:f>
      </x:c>
      <x:c r="J4069" s="74" t="str">
        <x:f>""</x:f>
      </x:c>
      <x:c r="K4069" s="73" t="str">
        <x:f>""</x:f>
      </x:c>
      <x:c r="L4069" s="74" t="str">
        <x:f>""</x:f>
      </x:c>
      <x:c r="M4069" s="73" t="n">
        <x:f>F4069</x:f>
        <x:v>1</x:v>
      </x:c>
      <x:c r="N4069" s="74" t="n">
        <x:f>1-F4069/M4069</x:f>
        <x:v>0</x:v>
      </x:c>
    </x:row>
    <x:row r="4070" ht="27" customHeight="1">
      <x:c r="A4070" s="66" t="str">
        <x:v>SQN453</x:v>
      </x:c>
      <x:c r="B4070" s="66" t="str">
        <x:v>钧誉厚德量化对冲11号</x:v>
      </x:c>
      <x:c r="C4070" s="72" t="n">
        <x:v>44326</x:v>
      </x:c>
      <x:c r="D4070" s="73" t="n">
        <x:v>0.9999</x:v>
      </x:c>
      <x:c r="E4070" s="73" t="n">
        <x:v>0.9999</x:v>
      </x:c>
      <x:c r="F4070" s="73" t="n">
        <x:v>0.9999</x:v>
      </x:c>
      <x:c r="G4070" s="74" t="n">
        <x:v>-0.0001</x:v>
      </x:c>
      <x:c r="H4070" s="66" t="str">
        <x:v>钧誉厚德量化对冲11号净值20260911.xlsx</x:v>
      </x:c>
      <x:c r="I4070" s="73" t="str">
        <x:f>""</x:f>
      </x:c>
      <x:c r="J4070" s="74" t="str">
        <x:f>""</x:f>
      </x:c>
      <x:c r="K4070" s="73" t="str">
        <x:f>""</x:f>
      </x:c>
      <x:c r="L4070" s="74" t="str">
        <x:f>""</x:f>
      </x:c>
      <x:c r="M4070" s="73" t="n">
        <x:f>MAX(M4069,F4070)</x:f>
        <x:v>1</x:v>
      </x:c>
      <x:c r="N4070" s="74" t="n">
        <x:f>1-F4070/M4070</x:f>
        <x:v>0.00009999999999998899</x:v>
      </x:c>
    </x:row>
    <x:row r="4071" ht="27" customHeight="1">
      <x:c r="A4071" s="66" t="str">
        <x:v>SQN453</x:v>
      </x:c>
      <x:c r="B4071" s="66" t="str">
        <x:v>钧誉厚德量化对冲11号</x:v>
      </x:c>
      <x:c r="C4071" s="72" t="n">
        <x:v>44327</x:v>
      </x:c>
      <x:c r="D4071" s="73" t="n">
        <x:v>0.9999</x:v>
      </x:c>
      <x:c r="E4071" s="73" t="n">
        <x:v>0.9999</x:v>
      </x:c>
      <x:c r="F4071" s="73" t="n">
        <x:v>0.9999</x:v>
      </x:c>
      <x:c r="G4071" s="74" t="n">
        <x:v>0</x:v>
      </x:c>
      <x:c r="H4071" s="66" t="str">
        <x:v>钧誉厚德量化对冲11号净值20260911.xlsx</x:v>
      </x:c>
      <x:c r="I4071" s="73" t="str">
        <x:f>""</x:f>
      </x:c>
      <x:c r="J4071" s="74" t="str">
        <x:f>""</x:f>
      </x:c>
      <x:c r="K4071" s="73" t="str">
        <x:f>""</x:f>
      </x:c>
      <x:c r="L4071" s="74" t="str">
        <x:f>""</x:f>
      </x:c>
      <x:c r="M4071" s="73" t="n">
        <x:f>MAX(M4070,F4071)</x:f>
        <x:v>1</x:v>
      </x:c>
      <x:c r="N4071" s="74" t="n">
        <x:f>1-F4071/M4071</x:f>
        <x:v>0.00009999999999998899</x:v>
      </x:c>
    </x:row>
    <x:row r="4072" ht="27" customHeight="1">
      <x:c r="A4072" s="66" t="str">
        <x:v>SQN453</x:v>
      </x:c>
      <x:c r="B4072" s="66" t="str">
        <x:v>钧誉厚德量化对冲11号</x:v>
      </x:c>
      <x:c r="C4072" s="72" t="n">
        <x:v>44328</x:v>
      </x:c>
      <x:c r="D4072" s="73" t="n">
        <x:v>0.9999</x:v>
      </x:c>
      <x:c r="E4072" s="73" t="n">
        <x:v>0.9999</x:v>
      </x:c>
      <x:c r="F4072" s="73" t="n">
        <x:v>0.9999</x:v>
      </x:c>
      <x:c r="G4072" s="74" t="n">
        <x:v>0</x:v>
      </x:c>
      <x:c r="H4072" s="66" t="str">
        <x:v>钧誉厚德量化对冲11号净值20260911.xlsx</x:v>
      </x:c>
      <x:c r="I4072" s="73" t="str">
        <x:f>""</x:f>
      </x:c>
      <x:c r="J4072" s="74" t="str">
        <x:f>""</x:f>
      </x:c>
      <x:c r="K4072" s="73" t="str">
        <x:f>""</x:f>
      </x:c>
      <x:c r="L4072" s="74" t="str">
        <x:f>""</x:f>
      </x:c>
      <x:c r="M4072" s="73" t="n">
        <x:f>MAX(M4071,F4072)</x:f>
        <x:v>1</x:v>
      </x:c>
      <x:c r="N4072" s="74" t="n">
        <x:f>1-F4072/M4072</x:f>
        <x:v>0.00009999999999998899</x:v>
      </x:c>
    </x:row>
    <x:row r="4073" ht="27" customHeight="1">
      <x:c r="A4073" s="66" t="str">
        <x:v>SQN453</x:v>
      </x:c>
      <x:c r="B4073" s="66" t="str">
        <x:v>钧誉厚德量化对冲11号</x:v>
      </x:c>
      <x:c r="C4073" s="72" t="n">
        <x:v>44329</x:v>
      </x:c>
      <x:c r="D4073" s="73" t="n">
        <x:v>0.9998</x:v>
      </x:c>
      <x:c r="E4073" s="73" t="n">
        <x:v>0.9998</x:v>
      </x:c>
      <x:c r="F4073" s="73" t="n">
        <x:v>0.9998</x:v>
      </x:c>
      <x:c r="G4073" s="74" t="n">
        <x:v>-0.0001</x:v>
      </x:c>
      <x:c r="H4073" s="66" t="str">
        <x:v>钧誉厚德量化对冲11号净值20260911.xlsx</x:v>
      </x:c>
      <x:c r="I4073" s="73" t="str">
        <x:f>""</x:f>
      </x:c>
      <x:c r="J4073" s="74" t="str">
        <x:f>""</x:f>
      </x:c>
      <x:c r="K4073" s="73" t="str">
        <x:f>""</x:f>
      </x:c>
      <x:c r="L4073" s="74" t="str">
        <x:f>""</x:f>
      </x:c>
      <x:c r="M4073" s="73" t="n">
        <x:f>MAX(M4072,F4073)</x:f>
        <x:v>1</x:v>
      </x:c>
      <x:c r="N4073" s="74" t="n">
        <x:f>1-F4073/M4073</x:f>
        <x:v>0.00019999999999997797</x:v>
      </x:c>
    </x:row>
    <x:row r="4074" ht="27" customHeight="1">
      <x:c r="A4074" s="66" t="str">
        <x:v>SQN453</x:v>
      </x:c>
      <x:c r="B4074" s="66" t="str">
        <x:v>钧誉厚德量化对冲11号</x:v>
      </x:c>
      <x:c r="C4074" s="72" t="n">
        <x:v>44330</x:v>
      </x:c>
      <x:c r="D4074" s="73" t="n">
        <x:v>0.9998</x:v>
      </x:c>
      <x:c r="E4074" s="73" t="n">
        <x:v>0.9998</x:v>
      </x:c>
      <x:c r="F4074" s="73" t="n">
        <x:v>0.9998</x:v>
      </x:c>
      <x:c r="G4074" s="74" t="n">
        <x:v>0</x:v>
      </x:c>
      <x:c r="H4074" s="66" t="str">
        <x:v>钧誉厚德量化对冲11号净值20260911.xlsx</x:v>
      </x:c>
      <x:c r="I4074" s="73" t="str">
        <x:f>""</x:f>
      </x:c>
      <x:c r="J4074" s="74" t="str">
        <x:f>""</x:f>
      </x:c>
      <x:c r="K4074" s="73" t="str">
        <x:f>""</x:f>
      </x:c>
      <x:c r="L4074" s="74" t="str">
        <x:f>""</x:f>
      </x:c>
      <x:c r="M4074" s="73" t="n">
        <x:f>MAX(M4073,F4074)</x:f>
        <x:v>1</x:v>
      </x:c>
      <x:c r="N4074" s="74" t="n">
        <x:f>1-F4074/M4074</x:f>
        <x:v>0.00019999999999997797</x:v>
      </x:c>
    </x:row>
    <x:row r="4075" ht="27" customHeight="1">
      <x:c r="A4075" s="66" t="str">
        <x:v>SQN453</x:v>
      </x:c>
      <x:c r="B4075" s="66" t="str">
        <x:v>钧誉厚德量化对冲11号</x:v>
      </x:c>
      <x:c r="C4075" s="72" t="n">
        <x:v>44333</x:v>
      </x:c>
      <x:c r="D4075" s="73" t="n">
        <x:v>0.9997</x:v>
      </x:c>
      <x:c r="E4075" s="73" t="n">
        <x:v>0.9997</x:v>
      </x:c>
      <x:c r="F4075" s="73" t="n">
        <x:v>0.9997</x:v>
      </x:c>
      <x:c r="G4075" s="74" t="n">
        <x:v>-0.0001</x:v>
      </x:c>
      <x:c r="H4075" s="66" t="str">
        <x:v>钧誉厚德量化对冲11号净值20260911.xlsx</x:v>
      </x:c>
      <x:c r="I4075" s="73" t="str">
        <x:f>""</x:f>
      </x:c>
      <x:c r="J4075" s="74" t="str">
        <x:f>""</x:f>
      </x:c>
      <x:c r="K4075" s="73" t="str">
        <x:f>""</x:f>
      </x:c>
      <x:c r="L4075" s="74" t="str">
        <x:f>""</x:f>
      </x:c>
      <x:c r="M4075" s="73" t="n">
        <x:f>MAX(M4074,F4075)</x:f>
        <x:v>1</x:v>
      </x:c>
      <x:c r="N4075" s="74" t="n">
        <x:f>1-F4075/M4075</x:f>
        <x:v>0.00029999999999996696</x:v>
      </x:c>
    </x:row>
    <x:row r="4076" ht="27" customHeight="1">
      <x:c r="A4076" s="66" t="str">
        <x:v>SQN453</x:v>
      </x:c>
      <x:c r="B4076" s="66" t="str">
        <x:v>钧誉厚德量化对冲11号</x:v>
      </x:c>
      <x:c r="C4076" s="72" t="n">
        <x:v>44334</x:v>
      </x:c>
      <x:c r="D4076" s="73" t="n">
        <x:v>0.9997</x:v>
      </x:c>
      <x:c r="E4076" s="73" t="n">
        <x:v>0.9997</x:v>
      </x:c>
      <x:c r="F4076" s="73" t="n">
        <x:v>0.9997</x:v>
      </x:c>
      <x:c r="G4076" s="74" t="n">
        <x:v>0</x:v>
      </x:c>
      <x:c r="H4076" s="66" t="str">
        <x:v>钧誉厚德量化对冲11号净值20260911.xlsx</x:v>
      </x:c>
      <x:c r="I4076" s="73" t="str">
        <x:f>""</x:f>
      </x:c>
      <x:c r="J4076" s="74" t="str">
        <x:f>""</x:f>
      </x:c>
      <x:c r="K4076" s="73" t="str">
        <x:f>""</x:f>
      </x:c>
      <x:c r="L4076" s="74" t="str">
        <x:f>""</x:f>
      </x:c>
      <x:c r="M4076" s="73" t="n">
        <x:f>MAX(M4075,F4076)</x:f>
        <x:v>1</x:v>
      </x:c>
      <x:c r="N4076" s="74" t="n">
        <x:f>1-F4076/M4076</x:f>
        <x:v>0.00029999999999996696</x:v>
      </x:c>
    </x:row>
    <x:row r="4077" ht="27" customHeight="1">
      <x:c r="A4077" s="66" t="str">
        <x:v>SQN453</x:v>
      </x:c>
      <x:c r="B4077" s="66" t="str">
        <x:v>钧誉厚德量化对冲11号</x:v>
      </x:c>
      <x:c r="C4077" s="72" t="n">
        <x:v>44335</x:v>
      </x:c>
      <x:c r="D4077" s="73" t="n">
        <x:v>0.9997</x:v>
      </x:c>
      <x:c r="E4077" s="73" t="n">
        <x:v>0.9997</x:v>
      </x:c>
      <x:c r="F4077" s="73" t="n">
        <x:v>0.9997</x:v>
      </x:c>
      <x:c r="G4077" s="74" t="n">
        <x:v>0</x:v>
      </x:c>
      <x:c r="H4077" s="66" t="str">
        <x:v>钧誉厚德量化对冲11号净值20260911.xlsx</x:v>
      </x:c>
      <x:c r="I4077" s="73" t="str">
        <x:f>""</x:f>
      </x:c>
      <x:c r="J4077" s="74" t="str">
        <x:f>""</x:f>
      </x:c>
      <x:c r="K4077" s="73" t="str">
        <x:f>""</x:f>
      </x:c>
      <x:c r="L4077" s="74" t="str">
        <x:f>""</x:f>
      </x:c>
      <x:c r="M4077" s="73" t="n">
        <x:f>MAX(M4076,F4077)</x:f>
        <x:v>1</x:v>
      </x:c>
      <x:c r="N4077" s="74" t="n">
        <x:f>1-F4077/M4077</x:f>
        <x:v>0.00029999999999996696</x:v>
      </x:c>
    </x:row>
    <x:row r="4078" ht="27" customHeight="1">
      <x:c r="A4078" s="66" t="str">
        <x:v>SQN453</x:v>
      </x:c>
      <x:c r="B4078" s="66" t="str">
        <x:v>钧誉厚德量化对冲11号</x:v>
      </x:c>
      <x:c r="C4078" s="72" t="n">
        <x:v>44336</x:v>
      </x:c>
      <x:c r="D4078" s="73" t="n">
        <x:v>0.9996</x:v>
      </x:c>
      <x:c r="E4078" s="73" t="n">
        <x:v>0.9996</x:v>
      </x:c>
      <x:c r="F4078" s="73" t="n">
        <x:v>0.9996</x:v>
      </x:c>
      <x:c r="G4078" s="74" t="n">
        <x:v>-0.0001</x:v>
      </x:c>
      <x:c r="H4078" s="66" t="str">
        <x:v>钧誉厚德量化对冲11号净值20260911.xlsx</x:v>
      </x:c>
      <x:c r="I4078" s="73" t="str">
        <x:f>""</x:f>
      </x:c>
      <x:c r="J4078" s="74" t="str">
        <x:f>""</x:f>
      </x:c>
      <x:c r="K4078" s="73" t="str">
        <x:f>""</x:f>
      </x:c>
      <x:c r="L4078" s="74" t="str">
        <x:f>""</x:f>
      </x:c>
      <x:c r="M4078" s="73" t="n">
        <x:f>MAX(M4077,F4078)</x:f>
        <x:v>1</x:v>
      </x:c>
      <x:c r="N4078" s="74" t="n">
        <x:f>1-F4078/M4078</x:f>
        <x:v>0.00039999999999995595</x:v>
      </x:c>
    </x:row>
    <x:row r="4079" ht="27" customHeight="1">
      <x:c r="A4079" s="66" t="str">
        <x:v>SQN453</x:v>
      </x:c>
      <x:c r="B4079" s="66" t="str">
        <x:v>钧誉厚德量化对冲11号</x:v>
      </x:c>
      <x:c r="C4079" s="72" t="n">
        <x:v>44337</x:v>
      </x:c>
      <x:c r="D4079" s="73" t="n">
        <x:v>0.9996</x:v>
      </x:c>
      <x:c r="E4079" s="73" t="n">
        <x:v>0.9996</x:v>
      </x:c>
      <x:c r="F4079" s="73" t="n">
        <x:v>0.9996</x:v>
      </x:c>
      <x:c r="G4079" s="74" t="n">
        <x:v>0</x:v>
      </x:c>
      <x:c r="H4079" s="66" t="str">
        <x:v>钧誉厚德量化对冲11号净值20260911.xlsx</x:v>
      </x:c>
      <x:c r="I4079" s="73" t="str">
        <x:f>""</x:f>
      </x:c>
      <x:c r="J4079" s="74" t="str">
        <x:f>""</x:f>
      </x:c>
      <x:c r="K4079" s="73" t="str">
        <x:f>""</x:f>
      </x:c>
      <x:c r="L4079" s="74" t="str">
        <x:f>""</x:f>
      </x:c>
      <x:c r="M4079" s="73" t="n">
        <x:f>MAX(M4078,F4079)</x:f>
        <x:v>1</x:v>
      </x:c>
      <x:c r="N4079" s="74" t="n">
        <x:f>1-F4079/M4079</x:f>
        <x:v>0.00039999999999995595</x:v>
      </x:c>
    </x:row>
    <x:row r="4080" ht="27" customHeight="1">
      <x:c r="A4080" s="66" t="str">
        <x:v>SQN453</x:v>
      </x:c>
      <x:c r="B4080" s="66" t="str">
        <x:v>钧誉厚德量化对冲11号</x:v>
      </x:c>
      <x:c r="C4080" s="72" t="n">
        <x:v>44340</x:v>
      </x:c>
      <x:c r="D4080" s="73" t="n">
        <x:v>0.9995</x:v>
      </x:c>
      <x:c r="E4080" s="73" t="n">
        <x:v>0.9995</x:v>
      </x:c>
      <x:c r="F4080" s="73" t="n">
        <x:v>0.9995</x:v>
      </x:c>
      <x:c r="G4080" s="74" t="n">
        <x:v>-0.0001</x:v>
      </x:c>
      <x:c r="H4080" s="66" t="str">
        <x:v>钧誉厚德量化对冲11号净值20260911.xlsx</x:v>
      </x:c>
      <x:c r="I4080" s="73" t="str">
        <x:f>""</x:f>
      </x:c>
      <x:c r="J4080" s="74" t="str">
        <x:f>""</x:f>
      </x:c>
      <x:c r="K4080" s="73" t="str">
        <x:f>""</x:f>
      </x:c>
      <x:c r="L4080" s="74" t="str">
        <x:f>""</x:f>
      </x:c>
      <x:c r="M4080" s="73" t="n">
        <x:f>MAX(M4079,F4080)</x:f>
        <x:v>1</x:v>
      </x:c>
      <x:c r="N4080" s="74" t="n">
        <x:f>1-F4080/M4080</x:f>
        <x:v>0.0004999999999999449</x:v>
      </x:c>
    </x:row>
    <x:row r="4081" ht="27" customHeight="1">
      <x:c r="A4081" s="66" t="str">
        <x:v>SQN453</x:v>
      </x:c>
      <x:c r="B4081" s="66" t="str">
        <x:v>钧誉厚德量化对冲11号</x:v>
      </x:c>
      <x:c r="C4081" s="72" t="n">
        <x:v>44341</x:v>
      </x:c>
      <x:c r="D4081" s="73" t="n">
        <x:v>0.9995</x:v>
      </x:c>
      <x:c r="E4081" s="73" t="n">
        <x:v>0.9995</x:v>
      </x:c>
      <x:c r="F4081" s="73" t="n">
        <x:v>0.9995</x:v>
      </x:c>
      <x:c r="G4081" s="74" t="n">
        <x:v>0</x:v>
      </x:c>
      <x:c r="H4081" s="66" t="str">
        <x:v>钧誉厚德量化对冲11号净值20260911.xlsx</x:v>
      </x:c>
      <x:c r="I4081" s="73" t="str">
        <x:f>""</x:f>
      </x:c>
      <x:c r="J4081" s="74" t="str">
        <x:f>""</x:f>
      </x:c>
      <x:c r="K4081" s="73" t="str">
        <x:f>""</x:f>
      </x:c>
      <x:c r="L4081" s="74" t="str">
        <x:f>""</x:f>
      </x:c>
      <x:c r="M4081" s="73" t="n">
        <x:f>MAX(M4080,F4081)</x:f>
        <x:v>1</x:v>
      </x:c>
      <x:c r="N4081" s="74" t="n">
        <x:f>1-F4081/M4081</x:f>
        <x:v>0.0004999999999999449</x:v>
      </x:c>
    </x:row>
    <x:row r="4082" ht="27" customHeight="1">
      <x:c r="A4082" s="66" t="str">
        <x:v>SQN453</x:v>
      </x:c>
      <x:c r="B4082" s="66" t="str">
        <x:v>钧誉厚德量化对冲11号</x:v>
      </x:c>
      <x:c r="C4082" s="72" t="n">
        <x:v>44342</x:v>
      </x:c>
      <x:c r="D4082" s="73" t="n">
        <x:v>1.0163</x:v>
      </x:c>
      <x:c r="E4082" s="73" t="n">
        <x:v>1.0163</x:v>
      </x:c>
      <x:c r="F4082" s="73" t="n">
        <x:v>1.0163</x:v>
      </x:c>
      <x:c r="G4082" s="74" t="n">
        <x:v>0.0168</x:v>
      </x:c>
      <x:c r="H4082" s="66" t="str">
        <x:v>钧誉厚德量化对冲11号净值20260911.xlsx</x:v>
      </x:c>
      <x:c r="I4082" s="73" t="str">
        <x:f>""</x:f>
      </x:c>
      <x:c r="J4082" s="74" t="str">
        <x:f>""</x:f>
      </x:c>
      <x:c r="K4082" s="73" t="str">
        <x:f>""</x:f>
      </x:c>
      <x:c r="L4082" s="74" t="str">
        <x:f>""</x:f>
      </x:c>
      <x:c r="M4082" s="73" t="n">
        <x:f>MAX(M4081,F4082)</x:f>
        <x:v>1.0163</x:v>
      </x:c>
      <x:c r="N4082" s="74" t="n">
        <x:f>1-F4082/M4082</x:f>
        <x:v>0</x:v>
      </x:c>
    </x:row>
    <x:row r="4083" ht="27" customHeight="1">
      <x:c r="A4083" s="66" t="str">
        <x:v>SQN453</x:v>
      </x:c>
      <x:c r="B4083" s="66" t="str">
        <x:v>钧誉厚德量化对冲11号</x:v>
      </x:c>
      <x:c r="C4083" s="72" t="n">
        <x:v>44343</x:v>
      </x:c>
      <x:c r="D4083" s="73" t="n">
        <x:v>1.0161</x:v>
      </x:c>
      <x:c r="E4083" s="73" t="n">
        <x:v>1.0161</x:v>
      </x:c>
      <x:c r="F4083" s="73" t="n">
        <x:v>1.0161</x:v>
      </x:c>
      <x:c r="G4083" s="74" t="n">
        <x:v>-0.0002</x:v>
      </x:c>
      <x:c r="H4083" s="66" t="str">
        <x:v>钧誉厚德量化对冲11号净值20260911.xlsx</x:v>
      </x:c>
      <x:c r="I4083" s="73" t="str">
        <x:f>""</x:f>
      </x:c>
      <x:c r="J4083" s="74" t="str">
        <x:f>""</x:f>
      </x:c>
      <x:c r="K4083" s="73" t="str">
        <x:f>""</x:f>
      </x:c>
      <x:c r="L4083" s="74" t="str">
        <x:f>""</x:f>
      </x:c>
      <x:c r="M4083" s="73" t="n">
        <x:f>MAX(M4082,F4083)</x:f>
        <x:v>1.0163</x:v>
      </x:c>
      <x:c r="N4083" s="74" t="n">
        <x:f>1-F4083/M4083</x:f>
        <x:v>0.0001967922857424309</x:v>
      </x:c>
    </x:row>
    <x:row r="4084" ht="27" customHeight="1">
      <x:c r="A4084" s="66" t="str">
        <x:v>SQN453</x:v>
      </x:c>
      <x:c r="B4084" s="66" t="str">
        <x:v>钧誉厚德量化对冲11号</x:v>
      </x:c>
      <x:c r="C4084" s="72" t="n">
        <x:v>44344</x:v>
      </x:c>
      <x:c r="D4084" s="73" t="n">
        <x:v>1.0178</x:v>
      </x:c>
      <x:c r="E4084" s="73" t="n">
        <x:v>1.0178</x:v>
      </x:c>
      <x:c r="F4084" s="73" t="n">
        <x:v>1.0178</x:v>
      </x:c>
      <x:c r="G4084" s="74" t="n">
        <x:v>0.0017000000000000001</x:v>
      </x:c>
      <x:c r="H4084" s="66" t="str">
        <x:v>钧誉厚德量化对冲11号净值20260911.xlsx</x:v>
      </x:c>
      <x:c r="I4084" s="73" t="str">
        <x:f>""</x:f>
      </x:c>
      <x:c r="J4084" s="74" t="str">
        <x:f>""</x:f>
      </x:c>
      <x:c r="K4084" s="73" t="str">
        <x:f>""</x:f>
      </x:c>
      <x:c r="L4084" s="74" t="str">
        <x:f>""</x:f>
      </x:c>
      <x:c r="M4084" s="73" t="n">
        <x:f>MAX(M4083,F4084)</x:f>
        <x:v>1.0178</x:v>
      </x:c>
      <x:c r="N4084" s="74" t="n">
        <x:f>1-F4084/M4084</x:f>
        <x:v>0</x:v>
      </x:c>
    </x:row>
    <x:row r="4085" ht="27" customHeight="1">
      <x:c r="A4085" s="66" t="str">
        <x:v>SQN453</x:v>
      </x:c>
      <x:c r="B4085" s="66" t="str">
        <x:v>钧誉厚德量化对冲11号</x:v>
      </x:c>
      <x:c r="C4085" s="72" t="n">
        <x:v>44347</x:v>
      </x:c>
      <x:c r="D4085" s="73" t="n">
        <x:v>1.0187</x:v>
      </x:c>
      <x:c r="E4085" s="73" t="n">
        <x:v>1.0187</x:v>
      </x:c>
      <x:c r="F4085" s="73" t="n">
        <x:v>1.0187</x:v>
      </x:c>
      <x:c r="G4085" s="74" t="n">
        <x:v>0.0009</x:v>
      </x:c>
      <x:c r="H4085" s="66" t="str">
        <x:v>钧誉厚德量化对冲11号净值20260911.xlsx</x:v>
      </x:c>
      <x:c r="I4085" s="73" t="str">
        <x:f>""</x:f>
      </x:c>
      <x:c r="J4085" s="74" t="str">
        <x:f>""</x:f>
      </x:c>
      <x:c r="K4085" s="73" t="str">
        <x:f>""</x:f>
      </x:c>
      <x:c r="L4085" s="74" t="str">
        <x:f>""</x:f>
      </x:c>
      <x:c r="M4085" s="73" t="n">
        <x:f>MAX(M4084,F4085)</x:f>
        <x:v>1.0187</x:v>
      </x:c>
      <x:c r="N4085" s="74" t="n">
        <x:f>1-F4085/M4085</x:f>
        <x:v>0</x:v>
      </x:c>
    </x:row>
    <x:row r="4086" ht="27" customHeight="1">
      <x:c r="A4086" s="66" t="str">
        <x:v>SQN453</x:v>
      </x:c>
      <x:c r="B4086" s="66" t="str">
        <x:v>钧誉厚德量化对冲11号</x:v>
      </x:c>
      <x:c r="C4086" s="72" t="n">
        <x:v>44348</x:v>
      </x:c>
      <x:c r="D4086" s="73" t="n">
        <x:v>1.0191</x:v>
      </x:c>
      <x:c r="E4086" s="73" t="n">
        <x:v>1.0191</x:v>
      </x:c>
      <x:c r="F4086" s="73" t="n">
        <x:v>1.0191</x:v>
      </x:c>
      <x:c r="G4086" s="74" t="n">
        <x:v>0.0004</x:v>
      </x:c>
      <x:c r="H4086" s="66" t="str">
        <x:v>钧誉厚德量化对冲11号净值20260911.xlsx</x:v>
      </x:c>
      <x:c r="I4086" s="73" t="str">
        <x:f>""</x:f>
      </x:c>
      <x:c r="J4086" s="74" t="str">
        <x:f>""</x:f>
      </x:c>
      <x:c r="K4086" s="73" t="str">
        <x:f>""</x:f>
      </x:c>
      <x:c r="L4086" s="74" t="str">
        <x:f>""</x:f>
      </x:c>
      <x:c r="M4086" s="73" t="n">
        <x:f>MAX(M4085,F4086)</x:f>
        <x:v>1.0191</x:v>
      </x:c>
      <x:c r="N4086" s="74" t="n">
        <x:f>1-F4086/M4086</x:f>
        <x:v>0</x:v>
      </x:c>
    </x:row>
    <x:row r="4087" ht="27" customHeight="1">
      <x:c r="A4087" s="66" t="str">
        <x:v>SQN453</x:v>
      </x:c>
      <x:c r="B4087" s="66" t="str">
        <x:v>钧誉厚德量化对冲11号</x:v>
      </x:c>
      <x:c r="C4087" s="72" t="n">
        <x:v>44349</x:v>
      </x:c>
      <x:c r="D4087" s="73" t="n">
        <x:v>1.0189</x:v>
      </x:c>
      <x:c r="E4087" s="73" t="n">
        <x:v>1.0189</x:v>
      </x:c>
      <x:c r="F4087" s="73" t="n">
        <x:v>1.0189</x:v>
      </x:c>
      <x:c r="G4087" s="74" t="n">
        <x:v>-0.0002</x:v>
      </x:c>
      <x:c r="H4087" s="66" t="str">
        <x:v>钧誉厚德量化对冲11号净值20260911.xlsx</x:v>
      </x:c>
      <x:c r="I4087" s="73" t="str">
        <x:f>""</x:f>
      </x:c>
      <x:c r="J4087" s="74" t="str">
        <x:f>""</x:f>
      </x:c>
      <x:c r="K4087" s="73" t="str">
        <x:f>""</x:f>
      </x:c>
      <x:c r="L4087" s="74" t="str">
        <x:f>""</x:f>
      </x:c>
      <x:c r="M4087" s="73" t="n">
        <x:f>MAX(M4086,F4087)</x:f>
        <x:v>1.0191</x:v>
      </x:c>
      <x:c r="N4087" s="74" t="n">
        <x:f>1-F4087/M4087</x:f>
        <x:v>0.0001962515945441723</x:v>
      </x:c>
    </x:row>
    <x:row r="4088" ht="27" customHeight="1">
      <x:c r="A4088" s="66" t="str">
        <x:v>SQN453</x:v>
      </x:c>
      <x:c r="B4088" s="66" t="str">
        <x:v>钧誉厚德量化对冲11号</x:v>
      </x:c>
      <x:c r="C4088" s="72" t="n">
        <x:v>44350</x:v>
      </x:c>
      <x:c r="D4088" s="73" t="n">
        <x:v>1.0193</x:v>
      </x:c>
      <x:c r="E4088" s="73" t="n">
        <x:v>1.0193</x:v>
      </x:c>
      <x:c r="F4088" s="73" t="n">
        <x:v>1.0193</x:v>
      </x:c>
      <x:c r="G4088" s="74" t="n">
        <x:v>0.0004</x:v>
      </x:c>
      <x:c r="H4088" s="66" t="str">
        <x:v>钧誉厚德量化对冲11号净值20260911.xlsx</x:v>
      </x:c>
      <x:c r="I4088" s="73" t="str">
        <x:f>""</x:f>
      </x:c>
      <x:c r="J4088" s="74" t="str">
        <x:f>""</x:f>
      </x:c>
      <x:c r="K4088" s="73" t="str">
        <x:f>""</x:f>
      </x:c>
      <x:c r="L4088" s="74" t="str">
        <x:f>""</x:f>
      </x:c>
      <x:c r="M4088" s="73" t="n">
        <x:f>MAX(M4087,F4088)</x:f>
        <x:v>1.0193</x:v>
      </x:c>
      <x:c r="N4088" s="74" t="n">
        <x:f>1-F4088/M4088</x:f>
        <x:v>0</x:v>
      </x:c>
    </x:row>
    <x:row r="4089" ht="27" customHeight="1">
      <x:c r="A4089" s="66" t="str">
        <x:v>SQN453</x:v>
      </x:c>
      <x:c r="B4089" s="66" t="str">
        <x:v>钧誉厚德量化对冲11号</x:v>
      </x:c>
      <x:c r="C4089" s="72" t="n">
        <x:v>44351</x:v>
      </x:c>
      <x:c r="D4089" s="73" t="n">
        <x:v>1.0198</x:v>
      </x:c>
      <x:c r="E4089" s="73" t="n">
        <x:v>1.0198</x:v>
      </x:c>
      <x:c r="F4089" s="73" t="n">
        <x:v>1.0198</x:v>
      </x:c>
      <x:c r="G4089" s="74" t="n">
        <x:v>0.0005</x:v>
      </x:c>
      <x:c r="H4089" s="66" t="str">
        <x:v>钧誉厚德量化对冲11号净值20260911.xlsx</x:v>
      </x:c>
      <x:c r="I4089" s="73" t="str">
        <x:f>""</x:f>
      </x:c>
      <x:c r="J4089" s="74" t="str">
        <x:f>""</x:f>
      </x:c>
      <x:c r="K4089" s="73" t="str">
        <x:f>""</x:f>
      </x:c>
      <x:c r="L4089" s="74" t="str">
        <x:f>""</x:f>
      </x:c>
      <x:c r="M4089" s="73" t="n">
        <x:f>MAX(M4088,F4089)</x:f>
        <x:v>1.0198</x:v>
      </x:c>
      <x:c r="N4089" s="74" t="n">
        <x:f>1-F4089/M4089</x:f>
        <x:v>0</x:v>
      </x:c>
    </x:row>
    <x:row r="4090" ht="27" customHeight="1">
      <x:c r="A4090" s="66" t="str">
        <x:v>SQN453</x:v>
      </x:c>
      <x:c r="B4090" s="66" t="str">
        <x:v>钧誉厚德量化对冲11号</x:v>
      </x:c>
      <x:c r="C4090" s="72" t="n">
        <x:v>44354</x:v>
      </x:c>
      <x:c r="D4090" s="73" t="n">
        <x:v>1.0207</x:v>
      </x:c>
      <x:c r="E4090" s="73" t="n">
        <x:v>1.0207</x:v>
      </x:c>
      <x:c r="F4090" s="73" t="n">
        <x:v>1.0207</x:v>
      </x:c>
      <x:c r="G4090" s="74" t="n">
        <x:v>0.0009</x:v>
      </x:c>
      <x:c r="H4090" s="66" t="str">
        <x:v>钧誉厚德量化对冲11号净值20260911.xlsx</x:v>
      </x:c>
      <x:c r="I4090" s="73" t="str">
        <x:f>""</x:f>
      </x:c>
      <x:c r="J4090" s="74" t="str">
        <x:f>""</x:f>
      </x:c>
      <x:c r="K4090" s="73" t="str">
        <x:f>""</x:f>
      </x:c>
      <x:c r="L4090" s="74" t="str">
        <x:f>""</x:f>
      </x:c>
      <x:c r="M4090" s="73" t="n">
        <x:f>MAX(M4089,F4090)</x:f>
        <x:v>1.0207</x:v>
      </x:c>
      <x:c r="N4090" s="74" t="n">
        <x:f>1-F4090/M4090</x:f>
        <x:v>0</x:v>
      </x:c>
    </x:row>
    <x:row r="4091" ht="27" customHeight="1">
      <x:c r="A4091" s="66" t="str">
        <x:v>SQN453</x:v>
      </x:c>
      <x:c r="B4091" s="66" t="str">
        <x:v>钧誉厚德量化对冲11号</x:v>
      </x:c>
      <x:c r="C4091" s="72" t="n">
        <x:v>44355</x:v>
      </x:c>
      <x:c r="D4091" s="73" t="n">
        <x:v>1.0206</x:v>
      </x:c>
      <x:c r="E4091" s="73" t="n">
        <x:v>1.0206</x:v>
      </x:c>
      <x:c r="F4091" s="73" t="n">
        <x:v>1.0206</x:v>
      </x:c>
      <x:c r="G4091" s="74" t="n">
        <x:v>-0.0001</x:v>
      </x:c>
      <x:c r="H4091" s="66" t="str">
        <x:v>钧誉厚德量化对冲11号净值20260911.xlsx</x:v>
      </x:c>
      <x:c r="I4091" s="73" t="str">
        <x:f>""</x:f>
      </x:c>
      <x:c r="J4091" s="74" t="str">
        <x:f>""</x:f>
      </x:c>
      <x:c r="K4091" s="73" t="str">
        <x:f>""</x:f>
      </x:c>
      <x:c r="L4091" s="74" t="str">
        <x:f>""</x:f>
      </x:c>
      <x:c r="M4091" s="73" t="n">
        <x:f>MAX(M4090,F4091)</x:f>
        <x:v>1.0207</x:v>
      </x:c>
      <x:c r="N4091" s="74" t="n">
        <x:f>1-F4091/M4091</x:f>
        <x:v>0.00009797198001371132</x:v>
      </x:c>
    </x:row>
    <x:row r="4092" ht="27" customHeight="1">
      <x:c r="A4092" s="66" t="str">
        <x:v>SQN453</x:v>
      </x:c>
      <x:c r="B4092" s="66" t="str">
        <x:v>钧誉厚德量化对冲11号</x:v>
      </x:c>
      <x:c r="C4092" s="72" t="n">
        <x:v>44356</x:v>
      </x:c>
      <x:c r="D4092" s="73" t="n">
        <x:v>1.0205</x:v>
      </x:c>
      <x:c r="E4092" s="73" t="n">
        <x:v>1.0205</x:v>
      </x:c>
      <x:c r="F4092" s="73" t="n">
        <x:v>1.0205</x:v>
      </x:c>
      <x:c r="G4092" s="74" t="n">
        <x:v>-0.0001</x:v>
      </x:c>
      <x:c r="H4092" s="66" t="str">
        <x:v>钧誉厚德量化对冲11号净值20260911.xlsx</x:v>
      </x:c>
      <x:c r="I4092" s="73" t="str">
        <x:f>""</x:f>
      </x:c>
      <x:c r="J4092" s="74" t="str">
        <x:f>""</x:f>
      </x:c>
      <x:c r="K4092" s="73" t="str">
        <x:f>""</x:f>
      </x:c>
      <x:c r="L4092" s="74" t="str">
        <x:f>""</x:f>
      </x:c>
      <x:c r="M4092" s="73" t="n">
        <x:f>MAX(M4091,F4092)</x:f>
        <x:v>1.0207</x:v>
      </x:c>
      <x:c r="N4092" s="74" t="n">
        <x:f>1-F4092/M4092</x:f>
        <x:v>0.00019594396002742265</x:v>
      </x:c>
    </x:row>
    <x:row r="4093" ht="27" customHeight="1">
      <x:c r="A4093" s="66" t="str">
        <x:v>SQN453</x:v>
      </x:c>
      <x:c r="B4093" s="66" t="str">
        <x:v>钧誉厚德量化对冲11号</x:v>
      </x:c>
      <x:c r="C4093" s="72" t="n">
        <x:v>44357</x:v>
      </x:c>
      <x:c r="D4093" s="73" t="n">
        <x:v>1.0208</x:v>
      </x:c>
      <x:c r="E4093" s="73" t="n">
        <x:v>1.0208</x:v>
      </x:c>
      <x:c r="F4093" s="73" t="n">
        <x:v>1.0208</x:v>
      </x:c>
      <x:c r="G4093" s="74" t="n">
        <x:v>0.0003</x:v>
      </x:c>
      <x:c r="H4093" s="66" t="str">
        <x:v>钧誉厚德量化对冲11号净值20260911.xlsx</x:v>
      </x:c>
      <x:c r="I4093" s="73" t="str">
        <x:f>""</x:f>
      </x:c>
      <x:c r="J4093" s="74" t="str">
        <x:f>""</x:f>
      </x:c>
      <x:c r="K4093" s="73" t="str">
        <x:f>""</x:f>
      </x:c>
      <x:c r="L4093" s="74" t="str">
        <x:f>""</x:f>
      </x:c>
      <x:c r="M4093" s="73" t="n">
        <x:f>MAX(M4092,F4093)</x:f>
        <x:v>1.0208</x:v>
      </x:c>
      <x:c r="N4093" s="74" t="n">
        <x:f>1-F4093/M4093</x:f>
        <x:v>0</x:v>
      </x:c>
    </x:row>
    <x:row r="4094" ht="27" customHeight="1">
      <x:c r="A4094" s="66" t="str">
        <x:v>SQN453</x:v>
      </x:c>
      <x:c r="B4094" s="66" t="str">
        <x:v>钧誉厚德量化对冲11号</x:v>
      </x:c>
      <x:c r="C4094" s="72" t="n">
        <x:v>44358</x:v>
      </x:c>
      <x:c r="D4094" s="73" t="n">
        <x:v>1.021</x:v>
      </x:c>
      <x:c r="E4094" s="73" t="n">
        <x:v>1.021</x:v>
      </x:c>
      <x:c r="F4094" s="73" t="n">
        <x:v>1.021</x:v>
      </x:c>
      <x:c r="G4094" s="74" t="n">
        <x:v>0.0002</x:v>
      </x:c>
      <x:c r="H4094" s="66" t="str">
        <x:v>钧誉厚德量化对冲11号净值20260911.xlsx</x:v>
      </x:c>
      <x:c r="I4094" s="73" t="str">
        <x:f>""</x:f>
      </x:c>
      <x:c r="J4094" s="74" t="str">
        <x:f>""</x:f>
      </x:c>
      <x:c r="K4094" s="73" t="str">
        <x:f>""</x:f>
      </x:c>
      <x:c r="L4094" s="74" t="str">
        <x:f>""</x:f>
      </x:c>
      <x:c r="M4094" s="73" t="n">
        <x:f>MAX(M4093,F4094)</x:f>
        <x:v>1.021</x:v>
      </x:c>
      <x:c r="N4094" s="74" t="n">
        <x:f>1-F4094/M4094</x:f>
        <x:v>0</x:v>
      </x:c>
    </x:row>
    <x:row r="4095" ht="27" customHeight="1">
      <x:c r="A4095" s="66" t="str">
        <x:v>SQN453</x:v>
      </x:c>
      <x:c r="B4095" s="66" t="str">
        <x:v>钧誉厚德量化对冲11号</x:v>
      </x:c>
      <x:c r="C4095" s="72" t="n">
        <x:v>44362</x:v>
      </x:c>
      <x:c r="D4095" s="73" t="n">
        <x:v>1.0206</x:v>
      </x:c>
      <x:c r="E4095" s="73" t="n">
        <x:v>1.0206</x:v>
      </x:c>
      <x:c r="F4095" s="73" t="n">
        <x:v>1.0206</x:v>
      </x:c>
      <x:c r="G4095" s="74" t="n">
        <x:v>-0.0004</x:v>
      </x:c>
      <x:c r="H4095" s="66" t="str">
        <x:v>钧誉厚德量化对冲11号净值20260911.xlsx</x:v>
      </x:c>
      <x:c r="I4095" s="73" t="str">
        <x:f>""</x:f>
      </x:c>
      <x:c r="J4095" s="74" t="str">
        <x:f>""</x:f>
      </x:c>
      <x:c r="K4095" s="73" t="str">
        <x:f>""</x:f>
      </x:c>
      <x:c r="L4095" s="74" t="str">
        <x:f>""</x:f>
      </x:c>
      <x:c r="M4095" s="73" t="n">
        <x:f>MAX(M4094,F4095)</x:f>
        <x:v>1.021</x:v>
      </x:c>
      <x:c r="N4095" s="74" t="n">
        <x:f>1-F4095/M4095</x:f>
        <x:v>0.0003917727717923647</x:v>
      </x:c>
    </x:row>
    <x:row r="4096" ht="27" customHeight="1">
      <x:c r="A4096" s="66" t="str">
        <x:v>SQN453</x:v>
      </x:c>
      <x:c r="B4096" s="66" t="str">
        <x:v>钧誉厚德量化对冲11号</x:v>
      </x:c>
      <x:c r="C4096" s="72" t="n">
        <x:v>44363</x:v>
      </x:c>
      <x:c r="D4096" s="73" t="n">
        <x:v>1.0212</x:v>
      </x:c>
      <x:c r="E4096" s="73" t="n">
        <x:v>1.0212</x:v>
      </x:c>
      <x:c r="F4096" s="73" t="n">
        <x:v>1.0212</x:v>
      </x:c>
      <x:c r="G4096" s="74" t="n">
        <x:v>0.0006</x:v>
      </x:c>
      <x:c r="H4096" s="66" t="str">
        <x:v>钧誉厚德量化对冲11号净值20260911.xlsx</x:v>
      </x:c>
      <x:c r="I4096" s="73" t="str">
        <x:f>""</x:f>
      </x:c>
      <x:c r="J4096" s="74" t="str">
        <x:f>""</x:f>
      </x:c>
      <x:c r="K4096" s="73" t="str">
        <x:f>""</x:f>
      </x:c>
      <x:c r="L4096" s="74" t="str">
        <x:f>""</x:f>
      </x:c>
      <x:c r="M4096" s="73" t="n">
        <x:f>MAX(M4095,F4096)</x:f>
        <x:v>1.0212</x:v>
      </x:c>
      <x:c r="N4096" s="74" t="n">
        <x:f>1-F4096/M4096</x:f>
        <x:v>0</x:v>
      </x:c>
    </x:row>
    <x:row r="4097" ht="27" customHeight="1">
      <x:c r="A4097" s="66" t="str">
        <x:v>SQN453</x:v>
      </x:c>
      <x:c r="B4097" s="66" t="str">
        <x:v>钧誉厚德量化对冲11号</x:v>
      </x:c>
      <x:c r="C4097" s="72" t="n">
        <x:v>44364</x:v>
      </x:c>
      <x:c r="D4097" s="73" t="n">
        <x:v>1.0214</x:v>
      </x:c>
      <x:c r="E4097" s="73" t="n">
        <x:v>1.0214</x:v>
      </x:c>
      <x:c r="F4097" s="73" t="n">
        <x:v>1.0214</x:v>
      </x:c>
      <x:c r="G4097" s="74" t="n">
        <x:v>0.0002</x:v>
      </x:c>
      <x:c r="H4097" s="66" t="str">
        <x:v>钧誉厚德量化对冲11号净值20260911.xlsx</x:v>
      </x:c>
      <x:c r="I4097" s="73" t="str">
        <x:f>""</x:f>
      </x:c>
      <x:c r="J4097" s="74" t="str">
        <x:f>""</x:f>
      </x:c>
      <x:c r="K4097" s="73" t="str">
        <x:f>""</x:f>
      </x:c>
      <x:c r="L4097" s="74" t="str">
        <x:f>""</x:f>
      </x:c>
      <x:c r="M4097" s="73" t="n">
        <x:f>MAX(M4096,F4097)</x:f>
        <x:v>1.0214</x:v>
      </x:c>
      <x:c r="N4097" s="74" t="n">
        <x:f>1-F4097/M4097</x:f>
        <x:v>0</x:v>
      </x:c>
    </x:row>
    <x:row r="4098" ht="27" customHeight="1">
      <x:c r="A4098" s="66" t="str">
        <x:v>SQN453</x:v>
      </x:c>
      <x:c r="B4098" s="66" t="str">
        <x:v>钧誉厚德量化对冲11号</x:v>
      </x:c>
      <x:c r="C4098" s="72" t="n">
        <x:v>44365</x:v>
      </x:c>
      <x:c r="D4098" s="73" t="n">
        <x:v>1.0143</x:v>
      </x:c>
      <x:c r="E4098" s="73" t="n">
        <x:v>1.0143</x:v>
      </x:c>
      <x:c r="F4098" s="73" t="n">
        <x:v>1.0143</x:v>
      </x:c>
      <x:c r="G4098" s="74" t="n">
        <x:v>-0.006999999999999999</x:v>
      </x:c>
      <x:c r="H4098" s="66" t="str">
        <x:v>钧誉厚德量化对冲11号净值20260911.xlsx</x:v>
      </x:c>
      <x:c r="I4098" s="73" t="str">
        <x:f>""</x:f>
      </x:c>
      <x:c r="J4098" s="74" t="str">
        <x:f>""</x:f>
      </x:c>
      <x:c r="K4098" s="73" t="str">
        <x:f>""</x:f>
      </x:c>
      <x:c r="L4098" s="74" t="str">
        <x:f>""</x:f>
      </x:c>
      <x:c r="M4098" s="73" t="n">
        <x:f>MAX(M4097,F4098)</x:f>
        <x:v>1.0214</x:v>
      </x:c>
      <x:c r="N4098" s="74" t="n">
        <x:f>1-F4098/M4098</x:f>
        <x:v>0.006951243391423612</x:v>
      </x:c>
    </x:row>
    <x:row r="4099" ht="27" customHeight="1">
      <x:c r="A4099" s="66" t="str">
        <x:v>SQN453</x:v>
      </x:c>
      <x:c r="B4099" s="66" t="str">
        <x:v>钧誉厚德量化对冲11号</x:v>
      </x:c>
      <x:c r="C4099" s="72" t="n">
        <x:v>44368</x:v>
      </x:c>
      <x:c r="D4099" s="73" t="n">
        <x:v>1.0146</x:v>
      </x:c>
      <x:c r="E4099" s="73" t="n">
        <x:v>1.0146</x:v>
      </x:c>
      <x:c r="F4099" s="73" t="n">
        <x:v>1.0146</x:v>
      </x:c>
      <x:c r="G4099" s="74" t="n">
        <x:v>0.0003</x:v>
      </x:c>
      <x:c r="H4099" s="66" t="str">
        <x:v>钧誉厚德量化对冲11号净值20260911.xlsx</x:v>
      </x:c>
      <x:c r="I4099" s="73" t="str">
        <x:f>""</x:f>
      </x:c>
      <x:c r="J4099" s="74" t="str">
        <x:f>""</x:f>
      </x:c>
      <x:c r="K4099" s="73" t="str">
        <x:f>""</x:f>
      </x:c>
      <x:c r="L4099" s="74" t="str">
        <x:f>""</x:f>
      </x:c>
      <x:c r="M4099" s="73" t="n">
        <x:f>MAX(M4098,F4099)</x:f>
        <x:v>1.0214</x:v>
      </x:c>
      <x:c r="N4099" s="74" t="n">
        <x:f>1-F4099/M4099</x:f>
        <x:v>0.006657528881926944</x:v>
      </x:c>
    </x:row>
    <x:row r="4100" ht="27" customHeight="1">
      <x:c r="A4100" s="66" t="str">
        <x:v>SQN453</x:v>
      </x:c>
      <x:c r="B4100" s="66" t="str">
        <x:v>钧誉厚德量化对冲11号</x:v>
      </x:c>
      <x:c r="C4100" s="72" t="n">
        <x:v>44369</x:v>
      </x:c>
      <x:c r="D4100" s="73" t="n">
        <x:v>1.0149</x:v>
      </x:c>
      <x:c r="E4100" s="73" t="n">
        <x:v>1.0149</x:v>
      </x:c>
      <x:c r="F4100" s="73" t="n">
        <x:v>1.0149</x:v>
      </x:c>
      <x:c r="G4100" s="74" t="n">
        <x:v>0.0003</x:v>
      </x:c>
      <x:c r="H4100" s="66" t="str">
        <x:v>钧誉厚德量化对冲11号净值20260911.xlsx</x:v>
      </x:c>
      <x:c r="I4100" s="73" t="str">
        <x:f>""</x:f>
      </x:c>
      <x:c r="J4100" s="74" t="str">
        <x:f>""</x:f>
      </x:c>
      <x:c r="K4100" s="73" t="str">
        <x:f>""</x:f>
      </x:c>
      <x:c r="L4100" s="74" t="str">
        <x:f>""</x:f>
      </x:c>
      <x:c r="M4100" s="73" t="n">
        <x:f>MAX(M4099,F4100)</x:f>
        <x:v>1.0214</x:v>
      </x:c>
      <x:c r="N4100" s="74" t="n">
        <x:f>1-F4100/M4100</x:f>
        <x:v>0.0063638143724301655</x:v>
      </x:c>
    </x:row>
    <x:row r="4101" ht="27" customHeight="1">
      <x:c r="A4101" s="66" t="str">
        <x:v>SQN453</x:v>
      </x:c>
      <x:c r="B4101" s="66" t="str">
        <x:v>钧誉厚德量化对冲11号</x:v>
      </x:c>
      <x:c r="C4101" s="72" t="n">
        <x:v>44370</x:v>
      </x:c>
      <x:c r="D4101" s="73" t="n">
        <x:v>1.0155</x:v>
      </x:c>
      <x:c r="E4101" s="73" t="n">
        <x:v>1.0155</x:v>
      </x:c>
      <x:c r="F4101" s="73" t="n">
        <x:v>1.0155</x:v>
      </x:c>
      <x:c r="G4101" s="74" t="n">
        <x:v>0.0006</x:v>
      </x:c>
      <x:c r="H4101" s="66" t="str">
        <x:v>钧誉厚德量化对冲11号净值20260911.xlsx</x:v>
      </x:c>
      <x:c r="I4101" s="73" t="str">
        <x:f>""</x:f>
      </x:c>
      <x:c r="J4101" s="74" t="str">
        <x:f>""</x:f>
      </x:c>
      <x:c r="K4101" s="73" t="str">
        <x:f>""</x:f>
      </x:c>
      <x:c r="L4101" s="74" t="str">
        <x:f>""</x:f>
      </x:c>
      <x:c r="M4101" s="73" t="n">
        <x:f>MAX(M4100,F4101)</x:f>
        <x:v>1.0214</x:v>
      </x:c>
      <x:c r="N4101" s="74" t="n">
        <x:f>1-F4101/M4101</x:f>
        <x:v>0.005776385353436497</x:v>
      </x:c>
    </x:row>
    <x:row r="4102" ht="27" customHeight="1">
      <x:c r="A4102" s="66" t="str">
        <x:v>SQN453</x:v>
      </x:c>
      <x:c r="B4102" s="66" t="str">
        <x:v>钧誉厚德量化对冲11号</x:v>
      </x:c>
      <x:c r="C4102" s="72" t="n">
        <x:v>44371</x:v>
      </x:c>
      <x:c r="D4102" s="73" t="n">
        <x:v>1.0164</x:v>
      </x:c>
      <x:c r="E4102" s="73" t="n">
        <x:v>1.0164</x:v>
      </x:c>
      <x:c r="F4102" s="73" t="n">
        <x:v>1.0164</x:v>
      </x:c>
      <x:c r="G4102" s="74" t="n">
        <x:v>0.0009</x:v>
      </x:c>
      <x:c r="H4102" s="66" t="str">
        <x:v>钧誉厚德量化对冲11号净值20260911.xlsx</x:v>
      </x:c>
      <x:c r="I4102" s="73" t="str">
        <x:f>""</x:f>
      </x:c>
      <x:c r="J4102" s="74" t="str">
        <x:f>""</x:f>
      </x:c>
      <x:c r="K4102" s="73" t="str">
        <x:f>""</x:f>
      </x:c>
      <x:c r="L4102" s="74" t="str">
        <x:f>""</x:f>
      </x:c>
      <x:c r="M4102" s="73" t="n">
        <x:f>MAX(M4101,F4102)</x:f>
        <x:v>1.0214</x:v>
      </x:c>
      <x:c r="N4102" s="74" t="n">
        <x:f>1-F4102/M4102</x:f>
        <x:v>0.004895241824946273</x:v>
      </x:c>
    </x:row>
    <x:row r="4103" ht="27" customHeight="1">
      <x:c r="A4103" s="66" t="str">
        <x:v>SQN453</x:v>
      </x:c>
      <x:c r="B4103" s="66" t="str">
        <x:v>钧誉厚德量化对冲11号</x:v>
      </x:c>
      <x:c r="C4103" s="72" t="n">
        <x:v>44372</x:v>
      </x:c>
      <x:c r="D4103" s="73" t="n">
        <x:v>1.0171</x:v>
      </x:c>
      <x:c r="E4103" s="73" t="n">
        <x:v>1.0171</x:v>
      </x:c>
      <x:c r="F4103" s="73" t="n">
        <x:v>1.0171</x:v>
      </x:c>
      <x:c r="G4103" s="74" t="n">
        <x:v>0.0007000000000000001</x:v>
      </x:c>
      <x:c r="H4103" s="66" t="str">
        <x:v>钧誉厚德量化对冲11号净值20260911.xlsx</x:v>
      </x:c>
      <x:c r="I4103" s="73" t="str">
        <x:f>""</x:f>
      </x:c>
      <x:c r="J4103" s="74" t="str">
        <x:f>""</x:f>
      </x:c>
      <x:c r="K4103" s="73" t="str">
        <x:f>""</x:f>
      </x:c>
      <x:c r="L4103" s="74" t="str">
        <x:f>""</x:f>
      </x:c>
      <x:c r="M4103" s="73" t="n">
        <x:f>MAX(M4102,F4103)</x:f>
        <x:v>1.0214</x:v>
      </x:c>
      <x:c r="N4103" s="74" t="n">
        <x:f>1-F4103/M4103</x:f>
        <x:v>0.004209907969453863</x:v>
      </x:c>
    </x:row>
    <x:row r="4104" ht="27" customHeight="1">
      <x:c r="A4104" s="66" t="str">
        <x:v>SQN453</x:v>
      </x:c>
      <x:c r="B4104" s="66" t="str">
        <x:v>钧誉厚德量化对冲11号</x:v>
      </x:c>
      <x:c r="C4104" s="72" t="n">
        <x:v>44375</x:v>
      </x:c>
      <x:c r="D4104" s="73" t="n">
        <x:v>1.0174</x:v>
      </x:c>
      <x:c r="E4104" s="73" t="n">
        <x:v>1.0174</x:v>
      </x:c>
      <x:c r="F4104" s="73" t="n">
        <x:v>1.0174</x:v>
      </x:c>
      <x:c r="G4104" s="74" t="n">
        <x:v>0.0003</x:v>
      </x:c>
      <x:c r="H4104" s="66" t="str">
        <x:v>钧誉厚德量化对冲11号净值20260911.xlsx</x:v>
      </x:c>
      <x:c r="I4104" s="73" t="str">
        <x:f>""</x:f>
      </x:c>
      <x:c r="J4104" s="74" t="str">
        <x:f>""</x:f>
      </x:c>
      <x:c r="K4104" s="73" t="str">
        <x:f>""</x:f>
      </x:c>
      <x:c r="L4104" s="74" t="str">
        <x:f>""</x:f>
      </x:c>
      <x:c r="M4104" s="73" t="n">
        <x:f>MAX(M4103,F4104)</x:f>
        <x:v>1.0214</x:v>
      </x:c>
      <x:c r="N4104" s="74" t="n">
        <x:f>1-F4104/M4104</x:f>
        <x:v>0.003916193459956974</x:v>
      </x:c>
    </x:row>
    <x:row r="4105" ht="27" customHeight="1">
      <x:c r="A4105" s="66" t="str">
        <x:v>SQN453</x:v>
      </x:c>
      <x:c r="B4105" s="66" t="str">
        <x:v>钧誉厚德量化对冲11号</x:v>
      </x:c>
      <x:c r="C4105" s="72" t="n">
        <x:v>44376</x:v>
      </x:c>
      <x:c r="D4105" s="73" t="n">
        <x:v>1.0175</x:v>
      </x:c>
      <x:c r="E4105" s="73" t="n">
        <x:v>1.0175</x:v>
      </x:c>
      <x:c r="F4105" s="73" t="n">
        <x:v>1.0175</x:v>
      </x:c>
      <x:c r="G4105" s="74" t="n">
        <x:v>0.0001</x:v>
      </x:c>
      <x:c r="H4105" s="66" t="str">
        <x:v>钧誉厚德量化对冲11号净值20260911.xlsx</x:v>
      </x:c>
      <x:c r="I4105" s="73" t="str">
        <x:f>""</x:f>
      </x:c>
      <x:c r="J4105" s="74" t="str">
        <x:f>""</x:f>
      </x:c>
      <x:c r="K4105" s="73" t="str">
        <x:f>""</x:f>
      </x:c>
      <x:c r="L4105" s="74" t="str">
        <x:f>""</x:f>
      </x:c>
      <x:c r="M4105" s="73" t="n">
        <x:f>MAX(M4104,F4105)</x:f>
        <x:v>1.0214</x:v>
      </x:c>
      <x:c r="N4105" s="74" t="n">
        <x:f>1-F4105/M4105</x:f>
        <x:v>0.0038182886234580105</x:v>
      </x:c>
    </x:row>
    <x:row r="4106" ht="27" customHeight="1">
      <x:c r="A4106" s="66" t="str">
        <x:v>SQN453</x:v>
      </x:c>
      <x:c r="B4106" s="66" t="str">
        <x:v>钧誉厚德量化对冲11号</x:v>
      </x:c>
      <x:c r="C4106" s="72" t="n">
        <x:v>44377</x:v>
      </x:c>
      <x:c r="D4106" s="73" t="n">
        <x:v>1.0176</x:v>
      </x:c>
      <x:c r="E4106" s="73" t="n">
        <x:v>1.0176</x:v>
      </x:c>
      <x:c r="F4106" s="73" t="n">
        <x:v>1.0176</x:v>
      </x:c>
      <x:c r="G4106" s="74" t="n">
        <x:v>0.0001</x:v>
      </x:c>
      <x:c r="H4106" s="66" t="str">
        <x:v>钧誉厚德量化对冲11号净值20260911.xlsx</x:v>
      </x:c>
      <x:c r="I4106" s="73" t="str">
        <x:f>""</x:f>
      </x:c>
      <x:c r="J4106" s="74" t="str">
        <x:f>""</x:f>
      </x:c>
      <x:c r="K4106" s="73" t="str">
        <x:f>""</x:f>
      </x:c>
      <x:c r="L4106" s="74" t="str">
        <x:f>""</x:f>
      </x:c>
      <x:c r="M4106" s="73" t="n">
        <x:f>MAX(M4105,F4106)</x:f>
        <x:v>1.0214</x:v>
      </x:c>
      <x:c r="N4106" s="74" t="n">
        <x:f>1-F4106/M4106</x:f>
        <x:v>0.0037203837869590473</x:v>
      </x:c>
    </x:row>
    <x:row r="4107" ht="27" customHeight="1">
      <x:c r="A4107" s="66" t="str">
        <x:v>SQN453</x:v>
      </x:c>
      <x:c r="B4107" s="66" t="str">
        <x:v>钧誉厚德量化对冲11号</x:v>
      </x:c>
      <x:c r="C4107" s="72" t="n">
        <x:v>44378</x:v>
      </x:c>
      <x:c r="D4107" s="73" t="n">
        <x:v>1.0182</x:v>
      </x:c>
      <x:c r="E4107" s="73" t="n">
        <x:v>1.0182</x:v>
      </x:c>
      <x:c r="F4107" s="73" t="n">
        <x:v>1.0182</x:v>
      </x:c>
      <x:c r="G4107" s="74" t="n">
        <x:v>0.0006</x:v>
      </x:c>
      <x:c r="H4107" s="66" t="str">
        <x:v>钧誉厚德量化对冲11号净值20260911.xlsx</x:v>
      </x:c>
      <x:c r="I4107" s="73" t="str">
        <x:f>""</x:f>
      </x:c>
      <x:c r="J4107" s="74" t="str">
        <x:f>""</x:f>
      </x:c>
      <x:c r="K4107" s="73" t="str">
        <x:f>""</x:f>
      </x:c>
      <x:c r="L4107" s="74" t="str">
        <x:f>""</x:f>
      </x:c>
      <x:c r="M4107" s="73" t="n">
        <x:f>MAX(M4106,F4107)</x:f>
        <x:v>1.0214</x:v>
      </x:c>
      <x:c r="N4107" s="74" t="n">
        <x:f>1-F4107/M4107</x:f>
        <x:v>0.003132954767965601</x:v>
      </x:c>
    </x:row>
    <x:row r="4108" ht="27" customHeight="1">
      <x:c r="A4108" s="66" t="str">
        <x:v>SQN453</x:v>
      </x:c>
      <x:c r="B4108" s="66" t="str">
        <x:v>钧誉厚德量化对冲11号</x:v>
      </x:c>
      <x:c r="C4108" s="72" t="n">
        <x:v>44379</x:v>
      </x:c>
      <x:c r="D4108" s="73" t="n">
        <x:v>1.0184</x:v>
      </x:c>
      <x:c r="E4108" s="73" t="n">
        <x:v>1.0184</x:v>
      </x:c>
      <x:c r="F4108" s="73" t="n">
        <x:v>1.0184</x:v>
      </x:c>
      <x:c r="G4108" s="74" t="n">
        <x:v>0.0002</x:v>
      </x:c>
      <x:c r="H4108" s="66" t="str">
        <x:v>钧誉厚德量化对冲11号净值20260911.xlsx</x:v>
      </x:c>
      <x:c r="I4108" s="73" t="str">
        <x:f>""</x:f>
      </x:c>
      <x:c r="J4108" s="74" t="str">
        <x:f>""</x:f>
      </x:c>
      <x:c r="K4108" s="73" t="str">
        <x:f>""</x:f>
      </x:c>
      <x:c r="L4108" s="74" t="str">
        <x:f>""</x:f>
      </x:c>
      <x:c r="M4108" s="73" t="n">
        <x:f>MAX(M4107,F4108)</x:f>
        <x:v>1.0214</x:v>
      </x:c>
      <x:c r="N4108" s="74" t="n">
        <x:f>1-F4108/M4108</x:f>
        <x:v>0.0029371450949677858</x:v>
      </x:c>
    </x:row>
    <x:row r="4109" ht="27" customHeight="1">
      <x:c r="A4109" s="66" t="str">
        <x:v>SQN453</x:v>
      </x:c>
      <x:c r="B4109" s="66" t="str">
        <x:v>钧誉厚德量化对冲11号</x:v>
      </x:c>
      <x:c r="C4109" s="72" t="n">
        <x:v>44382</x:v>
      </x:c>
      <x:c r="D4109" s="73" t="n">
        <x:v>1.0181</x:v>
      </x:c>
      <x:c r="E4109" s="73" t="n">
        <x:v>1.0181</x:v>
      </x:c>
      <x:c r="F4109" s="73" t="n">
        <x:v>1.0181</x:v>
      </x:c>
      <x:c r="G4109" s="74" t="n">
        <x:v>-0.0003</x:v>
      </x:c>
      <x:c r="H4109" s="66" t="str">
        <x:v>钧誉厚德量化对冲11号净值20260911.xlsx</x:v>
      </x:c>
      <x:c r="I4109" s="73" t="str">
        <x:f>""</x:f>
      </x:c>
      <x:c r="J4109" s="74" t="str">
        <x:f>""</x:f>
      </x:c>
      <x:c r="K4109" s="73" t="str">
        <x:f>""</x:f>
      </x:c>
      <x:c r="L4109" s="74" t="str">
        <x:f>""</x:f>
      </x:c>
      <x:c r="M4109" s="73" t="n">
        <x:f>MAX(M4108,F4109)</x:f>
        <x:v>1.0214</x:v>
      </x:c>
      <x:c r="N4109" s="74" t="n">
        <x:f>1-F4109/M4109</x:f>
        <x:v>0.0032308596044645643</x:v>
      </x:c>
    </x:row>
    <x:row r="4110" ht="27" customHeight="1">
      <x:c r="A4110" s="66" t="str">
        <x:v>SQN453</x:v>
      </x:c>
      <x:c r="B4110" s="66" t="str">
        <x:v>钧誉厚德量化对冲11号</x:v>
      </x:c>
      <x:c r="C4110" s="72" t="n">
        <x:v>44383</x:v>
      </x:c>
      <x:c r="D4110" s="73" t="n">
        <x:v>1.0188</x:v>
      </x:c>
      <x:c r="E4110" s="73" t="n">
        <x:v>1.0188</x:v>
      </x:c>
      <x:c r="F4110" s="73" t="n">
        <x:v>1.0188</x:v>
      </x:c>
      <x:c r="G4110" s="74" t="n">
        <x:v>0.0007000000000000001</x:v>
      </x:c>
      <x:c r="H4110" s="66" t="str">
        <x:v>钧誉厚德量化对冲11号净值20260911.xlsx</x:v>
      </x:c>
      <x:c r="I4110" s="73" t="str">
        <x:f>""</x:f>
      </x:c>
      <x:c r="J4110" s="74" t="str">
        <x:f>""</x:f>
      </x:c>
      <x:c r="K4110" s="73" t="str">
        <x:f>""</x:f>
      </x:c>
      <x:c r="L4110" s="74" t="str">
        <x:f>""</x:f>
      </x:c>
      <x:c r="M4110" s="73" t="n">
        <x:f>MAX(M4109,F4110)</x:f>
        <x:v>1.0214</x:v>
      </x:c>
      <x:c r="N4110" s="74" t="n">
        <x:f>1-F4110/M4110</x:f>
        <x:v>0.002545525748972155</x:v>
      </x:c>
    </x:row>
    <x:row r="4111" ht="27" customHeight="1">
      <x:c r="A4111" s="66" t="str">
        <x:v>SQN453</x:v>
      </x:c>
      <x:c r="B4111" s="66" t="str">
        <x:v>钧誉厚德量化对冲11号</x:v>
      </x:c>
      <x:c r="C4111" s="72" t="n">
        <x:v>44384</x:v>
      </x:c>
      <x:c r="D4111" s="73" t="n">
        <x:v>1.0188</x:v>
      </x:c>
      <x:c r="E4111" s="73" t="n">
        <x:v>1.0188</x:v>
      </x:c>
      <x:c r="F4111" s="73" t="n">
        <x:v>1.0188</x:v>
      </x:c>
      <x:c r="G4111" s="74" t="n">
        <x:v>0</x:v>
      </x:c>
      <x:c r="H4111" s="66" t="str">
        <x:v>钧誉厚德量化对冲11号净值20260911.xlsx</x:v>
      </x:c>
      <x:c r="I4111" s="73" t="str">
        <x:f>""</x:f>
      </x:c>
      <x:c r="J4111" s="74" t="str">
        <x:f>""</x:f>
      </x:c>
      <x:c r="K4111" s="73" t="str">
        <x:f>""</x:f>
      </x:c>
      <x:c r="L4111" s="74" t="str">
        <x:f>""</x:f>
      </x:c>
      <x:c r="M4111" s="73" t="n">
        <x:f>MAX(M4110,F4111)</x:f>
        <x:v>1.0214</x:v>
      </x:c>
      <x:c r="N4111" s="74" t="n">
        <x:f>1-F4111/M4111</x:f>
        <x:v>0.002545525748972155</x:v>
      </x:c>
    </x:row>
    <x:row r="4112" ht="27" customHeight="1">
      <x:c r="A4112" s="66" t="str">
        <x:v>SQN453</x:v>
      </x:c>
      <x:c r="B4112" s="66" t="str">
        <x:v>钧誉厚德量化对冲11号</x:v>
      </x:c>
      <x:c r="C4112" s="72" t="n">
        <x:v>44385</x:v>
      </x:c>
      <x:c r="D4112" s="73" t="n">
        <x:v>1.0189</x:v>
      </x:c>
      <x:c r="E4112" s="73" t="n">
        <x:v>1.0189</x:v>
      </x:c>
      <x:c r="F4112" s="73" t="n">
        <x:v>1.0189</x:v>
      </x:c>
      <x:c r="G4112" s="74" t="n">
        <x:v>0.0001</x:v>
      </x:c>
      <x:c r="H4112" s="66" t="str">
        <x:v>钧誉厚德量化对冲11号净值20260911.xlsx</x:v>
      </x:c>
      <x:c r="I4112" s="73" t="str">
        <x:f>""</x:f>
      </x:c>
      <x:c r="J4112" s="74" t="str">
        <x:f>""</x:f>
      </x:c>
      <x:c r="K4112" s="73" t="str">
        <x:f>""</x:f>
      </x:c>
      <x:c r="L4112" s="74" t="str">
        <x:f>""</x:f>
      </x:c>
      <x:c r="M4112" s="73" t="n">
        <x:f>MAX(M4111,F4112)</x:f>
        <x:v>1.0214</x:v>
      </x:c>
      <x:c r="N4112" s="74" t="n">
        <x:f>1-F4112/M4112</x:f>
        <x:v>0.002447620912473192</x:v>
      </x:c>
    </x:row>
    <x:row r="4113" ht="27" customHeight="1">
      <x:c r="A4113" s="66" t="str">
        <x:v>SQN453</x:v>
      </x:c>
      <x:c r="B4113" s="66" t="str">
        <x:v>钧誉厚德量化对冲11号</x:v>
      </x:c>
      <x:c r="C4113" s="72" t="n">
        <x:v>44386</x:v>
      </x:c>
      <x:c r="D4113" s="73" t="n">
        <x:v>1.019</x:v>
      </x:c>
      <x:c r="E4113" s="73" t="n">
        <x:v>1.019</x:v>
      </x:c>
      <x:c r="F4113" s="73" t="n">
        <x:v>1.019</x:v>
      </x:c>
      <x:c r="G4113" s="74" t="n">
        <x:v>0.0001</x:v>
      </x:c>
      <x:c r="H4113" s="66" t="str">
        <x:v>钧誉厚德量化对冲11号净值20260911.xlsx</x:v>
      </x:c>
      <x:c r="I4113" s="73" t="str">
        <x:f>""</x:f>
      </x:c>
      <x:c r="J4113" s="74" t="str">
        <x:f>""</x:f>
      </x:c>
      <x:c r="K4113" s="73" t="str">
        <x:f>""</x:f>
      </x:c>
      <x:c r="L4113" s="74" t="str">
        <x:f>""</x:f>
      </x:c>
      <x:c r="M4113" s="73" t="n">
        <x:f>MAX(M4112,F4113)</x:f>
        <x:v>1.0214</x:v>
      </x:c>
      <x:c r="N4113" s="74" t="n">
        <x:f>1-F4113/M4113</x:f>
        <x:v>0.0023497160759743396</x:v>
      </x:c>
    </x:row>
    <x:row r="4114" ht="27" customHeight="1">
      <x:c r="A4114" s="66" t="str">
        <x:v>SQN453</x:v>
      </x:c>
      <x:c r="B4114" s="66" t="str">
        <x:v>钧誉厚德量化对冲11号</x:v>
      </x:c>
      <x:c r="C4114" s="72" t="n">
        <x:v>44389</x:v>
      </x:c>
      <x:c r="D4114" s="73" t="n">
        <x:v>1.0188</x:v>
      </x:c>
      <x:c r="E4114" s="73" t="n">
        <x:v>1.0188</x:v>
      </x:c>
      <x:c r="F4114" s="73" t="n">
        <x:v>1.0188</x:v>
      </x:c>
      <x:c r="G4114" s="74" t="n">
        <x:v>-0.0002</x:v>
      </x:c>
      <x:c r="H4114" s="66" t="str">
        <x:v>钧誉厚德量化对冲11号净值20260911.xlsx</x:v>
      </x:c>
      <x:c r="I4114" s="73" t="str">
        <x:f>""</x:f>
      </x:c>
      <x:c r="J4114" s="74" t="str">
        <x:f>""</x:f>
      </x:c>
      <x:c r="K4114" s="73" t="str">
        <x:f>""</x:f>
      </x:c>
      <x:c r="L4114" s="74" t="str">
        <x:f>""</x:f>
      </x:c>
      <x:c r="M4114" s="73" t="n">
        <x:f>MAX(M4113,F4114)</x:f>
        <x:v>1.0214</x:v>
      </x:c>
      <x:c r="N4114" s="74" t="n">
        <x:f>1-F4114/M4114</x:f>
        <x:v>0.002545525748972155</x:v>
      </x:c>
    </x:row>
    <x:row r="4115" ht="27" customHeight="1">
      <x:c r="A4115" s="66" t="str">
        <x:v>SQN453</x:v>
      </x:c>
      <x:c r="B4115" s="66" t="str">
        <x:v>钧誉厚德量化对冲11号</x:v>
      </x:c>
      <x:c r="C4115" s="72" t="n">
        <x:v>44390</x:v>
      </x:c>
      <x:c r="D4115" s="73" t="n">
        <x:v>1.0188</x:v>
      </x:c>
      <x:c r="E4115" s="73" t="n">
        <x:v>1.0188</x:v>
      </x:c>
      <x:c r="F4115" s="73" t="n">
        <x:v>1.0188</x:v>
      </x:c>
      <x:c r="G4115" s="74" t="n">
        <x:v>0</x:v>
      </x:c>
      <x:c r="H4115" s="66" t="str">
        <x:v>钧誉厚德量化对冲11号净值20260911.xlsx</x:v>
      </x:c>
      <x:c r="I4115" s="73" t="str">
        <x:f>""</x:f>
      </x:c>
      <x:c r="J4115" s="74" t="str">
        <x:f>""</x:f>
      </x:c>
      <x:c r="K4115" s="73" t="str">
        <x:f>""</x:f>
      </x:c>
      <x:c r="L4115" s="74" t="str">
        <x:f>""</x:f>
      </x:c>
      <x:c r="M4115" s="73" t="n">
        <x:f>MAX(M4114,F4115)</x:f>
        <x:v>1.0214</x:v>
      </x:c>
      <x:c r="N4115" s="74" t="n">
        <x:f>1-F4115/M4115</x:f>
        <x:v>0.002545525748972155</x:v>
      </x:c>
    </x:row>
    <x:row r="4116" ht="27" customHeight="1">
      <x:c r="A4116" s="66" t="str">
        <x:v>SQN453</x:v>
      </x:c>
      <x:c r="B4116" s="66" t="str">
        <x:v>钧誉厚德量化对冲11号</x:v>
      </x:c>
      <x:c r="C4116" s="72" t="n">
        <x:v>44391</x:v>
      </x:c>
      <x:c r="D4116" s="73" t="n">
        <x:v>1.0196</x:v>
      </x:c>
      <x:c r="E4116" s="73" t="n">
        <x:v>1.0196</x:v>
      </x:c>
      <x:c r="F4116" s="73" t="n">
        <x:v>1.0196</x:v>
      </x:c>
      <x:c r="G4116" s="74" t="n">
        <x:v>0.0008</x:v>
      </x:c>
      <x:c r="H4116" s="66" t="str">
        <x:v>钧誉厚德量化对冲11号净值20260911.xlsx</x:v>
      </x:c>
      <x:c r="I4116" s="73" t="str">
        <x:f>""</x:f>
      </x:c>
      <x:c r="J4116" s="74" t="str">
        <x:f>""</x:f>
      </x:c>
      <x:c r="K4116" s="73" t="str">
        <x:f>""</x:f>
      </x:c>
      <x:c r="L4116" s="74" t="str">
        <x:f>""</x:f>
      </x:c>
      <x:c r="M4116" s="73" t="n">
        <x:f>MAX(M4115,F4116)</x:f>
        <x:v>1.0214</x:v>
      </x:c>
      <x:c r="N4116" s="74" t="n">
        <x:f>1-F4116/M4116</x:f>
        <x:v>0.0017622870569806715</x:v>
      </x:c>
    </x:row>
    <x:row r="4117" ht="27" customHeight="1">
      <x:c r="A4117" s="66" t="str">
        <x:v>SQN453</x:v>
      </x:c>
      <x:c r="B4117" s="66" t="str">
        <x:v>钧誉厚德量化对冲11号</x:v>
      </x:c>
      <x:c r="C4117" s="72" t="n">
        <x:v>44392</x:v>
      </x:c>
      <x:c r="D4117" s="73" t="n">
        <x:v>1.02</x:v>
      </x:c>
      <x:c r="E4117" s="73" t="n">
        <x:v>1.02</x:v>
      </x:c>
      <x:c r="F4117" s="73" t="n">
        <x:v>1.02</x:v>
      </x:c>
      <x:c r="G4117" s="74" t="n">
        <x:v>0.0004</x:v>
      </x:c>
      <x:c r="H4117" s="66" t="str">
        <x:v>钧誉厚德量化对冲11号净值20260911.xlsx</x:v>
      </x:c>
      <x:c r="I4117" s="73" t="str">
        <x:f>""</x:f>
      </x:c>
      <x:c r="J4117" s="74" t="str">
        <x:f>""</x:f>
      </x:c>
      <x:c r="K4117" s="73" t="str">
        <x:f>""</x:f>
      </x:c>
      <x:c r="L4117" s="74" t="str">
        <x:f>""</x:f>
      </x:c>
      <x:c r="M4117" s="73" t="n">
        <x:f>MAX(M4116,F4117)</x:f>
        <x:v>1.0214</x:v>
      </x:c>
      <x:c r="N4117" s="74" t="n">
        <x:f>1-F4117/M4117</x:f>
        <x:v>0.0013706677109850407</x:v>
      </x:c>
    </x:row>
    <x:row r="4118" ht="27" customHeight="1">
      <x:c r="A4118" s="66" t="str">
        <x:v>SQN453</x:v>
      </x:c>
      <x:c r="B4118" s="66" t="str">
        <x:v>钧誉厚德量化对冲11号</x:v>
      </x:c>
      <x:c r="C4118" s="72" t="n">
        <x:v>44393</x:v>
      </x:c>
      <x:c r="D4118" s="73" t="n">
        <x:v>1.0225</x:v>
      </x:c>
      <x:c r="E4118" s="73" t="n">
        <x:v>1.0225</x:v>
      </x:c>
      <x:c r="F4118" s="73" t="n">
        <x:v>1.0225</x:v>
      </x:c>
      <x:c r="G4118" s="74" t="n">
        <x:v>0.0025</x:v>
      </x:c>
      <x:c r="H4118" s="66" t="str">
        <x:v>钧誉厚德量化对冲11号净值20260911.xlsx</x:v>
      </x:c>
      <x:c r="I4118" s="73" t="str">
        <x:f>""</x:f>
      </x:c>
      <x:c r="J4118" s="74" t="str">
        <x:f>""</x:f>
      </x:c>
      <x:c r="K4118" s="73" t="str">
        <x:f>""</x:f>
      </x:c>
      <x:c r="L4118" s="74" t="str">
        <x:f>""</x:f>
      </x:c>
      <x:c r="M4118" s="73" t="n">
        <x:f>MAX(M4117,F4118)</x:f>
        <x:v>1.0225</x:v>
      </x:c>
      <x:c r="N4118" s="74" t="n">
        <x:f>1-F4118/M4118</x:f>
        <x:v>0</x:v>
      </x:c>
    </x:row>
    <x:row r="4119" ht="27" customHeight="1">
      <x:c r="A4119" s="66" t="str">
        <x:v>SQN453</x:v>
      </x:c>
      <x:c r="B4119" s="66" t="str">
        <x:v>钧誉厚德量化对冲11号</x:v>
      </x:c>
      <x:c r="C4119" s="72" t="n">
        <x:v>44396</x:v>
      </x:c>
      <x:c r="D4119" s="73" t="n">
        <x:v>1.0227</x:v>
      </x:c>
      <x:c r="E4119" s="73" t="n">
        <x:v>1.0227</x:v>
      </x:c>
      <x:c r="F4119" s="73" t="n">
        <x:v>1.0227</x:v>
      </x:c>
      <x:c r="G4119" s="74" t="n">
        <x:v>0.0002</x:v>
      </x:c>
      <x:c r="H4119" s="66" t="str">
        <x:v>钧誉厚德量化对冲11号净值20260911.xlsx</x:v>
      </x:c>
      <x:c r="I4119" s="73" t="str">
        <x:f>""</x:f>
      </x:c>
      <x:c r="J4119" s="74" t="str">
        <x:f>""</x:f>
      </x:c>
      <x:c r="K4119" s="73" t="str">
        <x:f>""</x:f>
      </x:c>
      <x:c r="L4119" s="74" t="str">
        <x:f>""</x:f>
      </x:c>
      <x:c r="M4119" s="73" t="n">
        <x:f>MAX(M4118,F4119)</x:f>
        <x:v>1.0227</x:v>
      </x:c>
      <x:c r="N4119" s="74" t="n">
        <x:f>1-F4119/M4119</x:f>
        <x:v>0</x:v>
      </x:c>
    </x:row>
    <x:row r="4120" ht="27" customHeight="1">
      <x:c r="A4120" s="66" t="str">
        <x:v>SQN453</x:v>
      </x:c>
      <x:c r="B4120" s="66" t="str">
        <x:v>钧誉厚德量化对冲11号</x:v>
      </x:c>
      <x:c r="C4120" s="72" t="n">
        <x:v>44397</x:v>
      </x:c>
      <x:c r="D4120" s="73" t="n">
        <x:v>1.0231</x:v>
      </x:c>
      <x:c r="E4120" s="73" t="n">
        <x:v>1.0231</x:v>
      </x:c>
      <x:c r="F4120" s="73" t="n">
        <x:v>1.0231</x:v>
      </x:c>
      <x:c r="G4120" s="74" t="n">
        <x:v>0.0004</x:v>
      </x:c>
      <x:c r="H4120" s="66" t="str">
        <x:v>钧誉厚德量化对冲11号净值20260911.xlsx</x:v>
      </x:c>
      <x:c r="I4120" s="73" t="str">
        <x:f>""</x:f>
      </x:c>
      <x:c r="J4120" s="74" t="str">
        <x:f>""</x:f>
      </x:c>
      <x:c r="K4120" s="73" t="str">
        <x:f>""</x:f>
      </x:c>
      <x:c r="L4120" s="74" t="str">
        <x:f>""</x:f>
      </x:c>
      <x:c r="M4120" s="73" t="n">
        <x:f>MAX(M4119,F4120)</x:f>
        <x:v>1.0231</x:v>
      </x:c>
      <x:c r="N4120" s="74" t="n">
        <x:f>1-F4120/M4120</x:f>
        <x:v>0</x:v>
      </x:c>
    </x:row>
    <x:row r="4121" ht="27" customHeight="1">
      <x:c r="A4121" s="66" t="str">
        <x:v>SQN453</x:v>
      </x:c>
      <x:c r="B4121" s="66" t="str">
        <x:v>钧誉厚德量化对冲11号</x:v>
      </x:c>
      <x:c r="C4121" s="72" t="n">
        <x:v>44398</x:v>
      </x:c>
      <x:c r="D4121" s="73" t="n">
        <x:v>1.0245</x:v>
      </x:c>
      <x:c r="E4121" s="73" t="n">
        <x:v>1.0245</x:v>
      </x:c>
      <x:c r="F4121" s="73" t="n">
        <x:v>1.0245</x:v>
      </x:c>
      <x:c r="G4121" s="74" t="n">
        <x:v>0.0014000000000000002</x:v>
      </x:c>
      <x:c r="H4121" s="66" t="str">
        <x:v>钧誉厚德量化对冲11号净值20260911.xlsx</x:v>
      </x:c>
      <x:c r="I4121" s="73" t="str">
        <x:f>""</x:f>
      </x:c>
      <x:c r="J4121" s="74" t="str">
        <x:f>""</x:f>
      </x:c>
      <x:c r="K4121" s="73" t="str">
        <x:f>""</x:f>
      </x:c>
      <x:c r="L4121" s="74" t="str">
        <x:f>""</x:f>
      </x:c>
      <x:c r="M4121" s="73" t="n">
        <x:f>MAX(M4120,F4121)</x:f>
        <x:v>1.0245</x:v>
      </x:c>
      <x:c r="N4121" s="74" t="n">
        <x:f>1-F4121/M4121</x:f>
        <x:v>0</x:v>
      </x:c>
    </x:row>
    <x:row r="4122" ht="27" customHeight="1">
      <x:c r="A4122" s="66" t="str">
        <x:v>SQN453</x:v>
      </x:c>
      <x:c r="B4122" s="66" t="str">
        <x:v>钧誉厚德量化对冲11号</x:v>
      </x:c>
      <x:c r="C4122" s="72" t="n">
        <x:v>44399</x:v>
      </x:c>
      <x:c r="D4122" s="73" t="n">
        <x:v>1.0247</x:v>
      </x:c>
      <x:c r="E4122" s="73" t="n">
        <x:v>1.0247</x:v>
      </x:c>
      <x:c r="F4122" s="73" t="n">
        <x:v>1.0247</x:v>
      </x:c>
      <x:c r="G4122" s="74" t="n">
        <x:v>0.0002</x:v>
      </x:c>
      <x:c r="H4122" s="66" t="str">
        <x:v>钧誉厚德量化对冲11号净值20260911.xlsx</x:v>
      </x:c>
      <x:c r="I4122" s="73" t="str">
        <x:f>""</x:f>
      </x:c>
      <x:c r="J4122" s="74" t="str">
        <x:f>""</x:f>
      </x:c>
      <x:c r="K4122" s="73" t="str">
        <x:f>""</x:f>
      </x:c>
      <x:c r="L4122" s="74" t="str">
        <x:f>""</x:f>
      </x:c>
      <x:c r="M4122" s="73" t="n">
        <x:f>MAX(M4121,F4122)</x:f>
        <x:v>1.0247</x:v>
      </x:c>
      <x:c r="N4122" s="74" t="n">
        <x:f>1-F4122/M4122</x:f>
        <x:v>0</x:v>
      </x:c>
    </x:row>
    <x:row r="4123" ht="27" customHeight="1">
      <x:c r="A4123" s="66" t="str">
        <x:v>SQN453</x:v>
      </x:c>
      <x:c r="B4123" s="66" t="str">
        <x:v>钧誉厚德量化对冲11号</x:v>
      </x:c>
      <x:c r="C4123" s="72" t="n">
        <x:v>44400</x:v>
      </x:c>
      <x:c r="D4123" s="73" t="n">
        <x:v>1.0246</x:v>
      </x:c>
      <x:c r="E4123" s="73" t="n">
        <x:v>1.0246</x:v>
      </x:c>
      <x:c r="F4123" s="73" t="n">
        <x:v>1.0246</x:v>
      </x:c>
      <x:c r="G4123" s="74" t="n">
        <x:v>-0.0001</x:v>
      </x:c>
      <x:c r="H4123" s="66" t="str">
        <x:v>钧誉厚德量化对冲11号净值20260911.xlsx</x:v>
      </x:c>
      <x:c r="I4123" s="73" t="str">
        <x:f>""</x:f>
      </x:c>
      <x:c r="J4123" s="74" t="str">
        <x:f>""</x:f>
      </x:c>
      <x:c r="K4123" s="73" t="str">
        <x:f>""</x:f>
      </x:c>
      <x:c r="L4123" s="74" t="str">
        <x:f>""</x:f>
      </x:c>
      <x:c r="M4123" s="73" t="n">
        <x:f>MAX(M4122,F4123)</x:f>
        <x:v>1.0247</x:v>
      </x:c>
      <x:c r="N4123" s="74" t="n">
        <x:f>1-F4123/M4123</x:f>
        <x:v>0.00009758953840144358</x:v>
      </x:c>
    </x:row>
    <x:row r="4124" ht="27" customHeight="1">
      <x:c r="A4124" s="66" t="str">
        <x:v>SQN453</x:v>
      </x:c>
      <x:c r="B4124" s="66" t="str">
        <x:v>钧誉厚德量化对冲11号</x:v>
      </x:c>
      <x:c r="C4124" s="72" t="n">
        <x:v>44403</x:v>
      </x:c>
      <x:c r="D4124" s="73" t="n">
        <x:v>1.0249</x:v>
      </x:c>
      <x:c r="E4124" s="73" t="n">
        <x:v>1.0249</x:v>
      </x:c>
      <x:c r="F4124" s="73" t="n">
        <x:v>1.0249</x:v>
      </x:c>
      <x:c r="G4124" s="74" t="n">
        <x:v>0.0003</x:v>
      </x:c>
      <x:c r="H4124" s="66" t="str">
        <x:v>钧誉厚德量化对冲11号净值20260911.xlsx</x:v>
      </x:c>
      <x:c r="I4124" s="73" t="str">
        <x:f>""</x:f>
      </x:c>
      <x:c r="J4124" s="74" t="str">
        <x:f>""</x:f>
      </x:c>
      <x:c r="K4124" s="73" t="str">
        <x:f>""</x:f>
      </x:c>
      <x:c r="L4124" s="74" t="str">
        <x:f>""</x:f>
      </x:c>
      <x:c r="M4124" s="73" t="n">
        <x:f>MAX(M4123,F4124)</x:f>
        <x:v>1.0249</x:v>
      </x:c>
      <x:c r="N4124" s="74" t="n">
        <x:f>1-F4124/M4124</x:f>
        <x:v>0</x:v>
      </x:c>
    </x:row>
    <x:row r="4125" ht="27" customHeight="1">
      <x:c r="A4125" s="66" t="str">
        <x:v>SQN453</x:v>
      </x:c>
      <x:c r="B4125" s="66" t="str">
        <x:v>钧誉厚德量化对冲11号</x:v>
      </x:c>
      <x:c r="C4125" s="72" t="n">
        <x:v>44404</x:v>
      </x:c>
      <x:c r="D4125" s="73" t="n">
        <x:v>1.0252</x:v>
      </x:c>
      <x:c r="E4125" s="73" t="n">
        <x:v>1.0252</x:v>
      </x:c>
      <x:c r="F4125" s="73" t="n">
        <x:v>1.0252</x:v>
      </x:c>
      <x:c r="G4125" s="74" t="n">
        <x:v>0.0003</x:v>
      </x:c>
      <x:c r="H4125" s="66" t="str">
        <x:v>钧誉厚德量化对冲11号净值20260911.xlsx</x:v>
      </x:c>
      <x:c r="I4125" s="73" t="str">
        <x:f>""</x:f>
      </x:c>
      <x:c r="J4125" s="74" t="str">
        <x:f>""</x:f>
      </x:c>
      <x:c r="K4125" s="73" t="str">
        <x:f>""</x:f>
      </x:c>
      <x:c r="L4125" s="74" t="str">
        <x:f>""</x:f>
      </x:c>
      <x:c r="M4125" s="73" t="n">
        <x:f>MAX(M4124,F4125)</x:f>
        <x:v>1.0252</x:v>
      </x:c>
      <x:c r="N4125" s="74" t="n">
        <x:f>1-F4125/M4125</x:f>
        <x:v>0</x:v>
      </x:c>
    </x:row>
    <x:row r="4126" ht="27" customHeight="1">
      <x:c r="A4126" s="66" t="str">
        <x:v>SQN453</x:v>
      </x:c>
      <x:c r="B4126" s="66" t="str">
        <x:v>钧誉厚德量化对冲11号</x:v>
      </x:c>
      <x:c r="C4126" s="72" t="n">
        <x:v>44405</x:v>
      </x:c>
      <x:c r="D4126" s="73" t="n">
        <x:v>1.0263</x:v>
      </x:c>
      <x:c r="E4126" s="73" t="n">
        <x:v>1.0263</x:v>
      </x:c>
      <x:c r="F4126" s="73" t="n">
        <x:v>1.0263</x:v>
      </x:c>
      <x:c r="G4126" s="74" t="n">
        <x:v>0.0011</x:v>
      </x:c>
      <x:c r="H4126" s="66" t="str">
        <x:v>钧誉厚德量化对冲11号净值20260911.xlsx</x:v>
      </x:c>
      <x:c r="I4126" s="73" t="str">
        <x:f>""</x:f>
      </x:c>
      <x:c r="J4126" s="74" t="str">
        <x:f>""</x:f>
      </x:c>
      <x:c r="K4126" s="73" t="str">
        <x:f>""</x:f>
      </x:c>
      <x:c r="L4126" s="74" t="str">
        <x:f>""</x:f>
      </x:c>
      <x:c r="M4126" s="73" t="n">
        <x:f>MAX(M4125,F4126)</x:f>
        <x:v>1.0263</x:v>
      </x:c>
      <x:c r="N4126" s="74" t="n">
        <x:f>1-F4126/M4126</x:f>
        <x:v>0</x:v>
      </x:c>
    </x:row>
    <x:row r="4127" ht="27" customHeight="1">
      <x:c r="A4127" s="66" t="str">
        <x:v>SQN453</x:v>
      </x:c>
      <x:c r="B4127" s="66" t="str">
        <x:v>钧誉厚德量化对冲11号</x:v>
      </x:c>
      <x:c r="C4127" s="72" t="n">
        <x:v>44406</x:v>
      </x:c>
      <x:c r="D4127" s="73" t="n">
        <x:v>1.0267</x:v>
      </x:c>
      <x:c r="E4127" s="73" t="n">
        <x:v>1.0267</x:v>
      </x:c>
      <x:c r="F4127" s="73" t="n">
        <x:v>1.0267</x:v>
      </x:c>
      <x:c r="G4127" s="74" t="n">
        <x:v>0.0004</x:v>
      </x:c>
      <x:c r="H4127" s="66" t="str">
        <x:v>钧誉厚德量化对冲11号净值20260911.xlsx</x:v>
      </x:c>
      <x:c r="I4127" s="73" t="str">
        <x:f>""</x:f>
      </x:c>
      <x:c r="J4127" s="74" t="str">
        <x:f>""</x:f>
      </x:c>
      <x:c r="K4127" s="73" t="str">
        <x:f>""</x:f>
      </x:c>
      <x:c r="L4127" s="74" t="str">
        <x:f>""</x:f>
      </x:c>
      <x:c r="M4127" s="73" t="n">
        <x:f>MAX(M4126,F4127)</x:f>
        <x:v>1.0267</x:v>
      </x:c>
      <x:c r="N4127" s="74" t="n">
        <x:f>1-F4127/M4127</x:f>
        <x:v>0</x:v>
      </x:c>
    </x:row>
    <x:row r="4128" ht="27" customHeight="1">
      <x:c r="A4128" s="66" t="str">
        <x:v>SQN453</x:v>
      </x:c>
      <x:c r="B4128" s="66" t="str">
        <x:v>钧誉厚德量化对冲11号</x:v>
      </x:c>
      <x:c r="C4128" s="72" t="n">
        <x:v>44407</x:v>
      </x:c>
      <x:c r="D4128" s="73" t="n">
        <x:v>1.0271</x:v>
      </x:c>
      <x:c r="E4128" s="73" t="n">
        <x:v>1.0271</x:v>
      </x:c>
      <x:c r="F4128" s="73" t="n">
        <x:v>1.0271</x:v>
      </x:c>
      <x:c r="G4128" s="74" t="n">
        <x:v>0.0004</x:v>
      </x:c>
      <x:c r="H4128" s="66" t="str">
        <x:v>钧誉厚德量化对冲11号净值20260911.xlsx</x:v>
      </x:c>
      <x:c r="I4128" s="73" t="str">
        <x:f>""</x:f>
      </x:c>
      <x:c r="J4128" s="74" t="str">
        <x:f>""</x:f>
      </x:c>
      <x:c r="K4128" s="73" t="str">
        <x:f>""</x:f>
      </x:c>
      <x:c r="L4128" s="74" t="str">
        <x:f>""</x:f>
      </x:c>
      <x:c r="M4128" s="73" t="n">
        <x:f>MAX(M4127,F4128)</x:f>
        <x:v>1.0271</x:v>
      </x:c>
      <x:c r="N4128" s="74" t="n">
        <x:f>1-F4128/M4128</x:f>
        <x:v>0</x:v>
      </x:c>
    </x:row>
    <x:row r="4129" ht="27" customHeight="1">
      <x:c r="A4129" s="66" t="str">
        <x:v>SQN453</x:v>
      </x:c>
      <x:c r="B4129" s="66" t="str">
        <x:v>钧誉厚德量化对冲11号</x:v>
      </x:c>
      <x:c r="C4129" s="72" t="n">
        <x:v>44410</x:v>
      </x:c>
      <x:c r="D4129" s="73" t="n">
        <x:v>1.027</x:v>
      </x:c>
      <x:c r="E4129" s="73" t="n">
        <x:v>1.027</x:v>
      </x:c>
      <x:c r="F4129" s="73" t="n">
        <x:v>1.027</x:v>
      </x:c>
      <x:c r="G4129" s="74" t="n">
        <x:v>-0.0001</x:v>
      </x:c>
      <x:c r="H4129" s="66" t="str">
        <x:v>钧誉厚德量化对冲11号净值20260911.xlsx</x:v>
      </x:c>
      <x:c r="I4129" s="73" t="str">
        <x:f>""</x:f>
      </x:c>
      <x:c r="J4129" s="74" t="str">
        <x:f>""</x:f>
      </x:c>
      <x:c r="K4129" s="73" t="str">
        <x:f>""</x:f>
      </x:c>
      <x:c r="L4129" s="74" t="str">
        <x:f>""</x:f>
      </x:c>
      <x:c r="M4129" s="73" t="n">
        <x:f>MAX(M4128,F4129)</x:f>
        <x:v>1.0271</x:v>
      </x:c>
      <x:c r="N4129" s="74" t="n">
        <x:f>1-F4129/M4129</x:f>
        <x:v>0.00009736150326156157</x:v>
      </x:c>
    </x:row>
    <x:row r="4130" ht="27" customHeight="1">
      <x:c r="A4130" s="66" t="str">
        <x:v>SQN453</x:v>
      </x:c>
      <x:c r="B4130" s="66" t="str">
        <x:v>钧誉厚德量化对冲11号</x:v>
      </x:c>
      <x:c r="C4130" s="72" t="n">
        <x:v>44411</x:v>
      </x:c>
      <x:c r="D4130" s="73" t="n">
        <x:v>1.0272</x:v>
      </x:c>
      <x:c r="E4130" s="73" t="n">
        <x:v>1.0272</x:v>
      </x:c>
      <x:c r="F4130" s="73" t="n">
        <x:v>1.0272</x:v>
      </x:c>
      <x:c r="G4130" s="74" t="n">
        <x:v>0.0002</x:v>
      </x:c>
      <x:c r="H4130" s="66" t="str">
        <x:v>钧誉厚德量化对冲11号净值20260911.xlsx</x:v>
      </x:c>
      <x:c r="I4130" s="73" t="str">
        <x:f>""</x:f>
      </x:c>
      <x:c r="J4130" s="74" t="str">
        <x:f>""</x:f>
      </x:c>
      <x:c r="K4130" s="73" t="str">
        <x:f>""</x:f>
      </x:c>
      <x:c r="L4130" s="74" t="str">
        <x:f>""</x:f>
      </x:c>
      <x:c r="M4130" s="73" t="n">
        <x:f>MAX(M4129,F4130)</x:f>
        <x:v>1.0272</x:v>
      </x:c>
      <x:c r="N4130" s="74" t="n">
        <x:f>1-F4130/M4130</x:f>
        <x:v>0</x:v>
      </x:c>
    </x:row>
    <x:row r="4131" ht="27" customHeight="1">
      <x:c r="A4131" s="66" t="str">
        <x:v>SQN453</x:v>
      </x:c>
      <x:c r="B4131" s="66" t="str">
        <x:v>钧誉厚德量化对冲11号</x:v>
      </x:c>
      <x:c r="C4131" s="72" t="n">
        <x:v>44412</x:v>
      </x:c>
      <x:c r="D4131" s="73" t="n">
        <x:v>1.028</x:v>
      </x:c>
      <x:c r="E4131" s="73" t="n">
        <x:v>1.028</x:v>
      </x:c>
      <x:c r="F4131" s="73" t="n">
        <x:v>1.028</x:v>
      </x:c>
      <x:c r="G4131" s="74" t="n">
        <x:v>0.0008</x:v>
      </x:c>
      <x:c r="H4131" s="66" t="str">
        <x:v>钧誉厚德量化对冲11号净值20260911.xlsx</x:v>
      </x:c>
      <x:c r="I4131" s="73" t="str">
        <x:f>""</x:f>
      </x:c>
      <x:c r="J4131" s="74" t="str">
        <x:f>""</x:f>
      </x:c>
      <x:c r="K4131" s="73" t="str">
        <x:f>""</x:f>
      </x:c>
      <x:c r="L4131" s="74" t="str">
        <x:f>""</x:f>
      </x:c>
      <x:c r="M4131" s="73" t="n">
        <x:f>MAX(M4130,F4131)</x:f>
        <x:v>1.028</x:v>
      </x:c>
      <x:c r="N4131" s="74" t="n">
        <x:f>1-F4131/M4131</x:f>
        <x:v>0</x:v>
      </x:c>
    </x:row>
    <x:row r="4132" ht="27" customHeight="1">
      <x:c r="A4132" s="66" t="str">
        <x:v>SQN453</x:v>
      </x:c>
      <x:c r="B4132" s="66" t="str">
        <x:v>钧誉厚德量化对冲11号</x:v>
      </x:c>
      <x:c r="C4132" s="72" t="n">
        <x:v>44413</x:v>
      </x:c>
      <x:c r="D4132" s="73" t="n">
        <x:v>1.028</x:v>
      </x:c>
      <x:c r="E4132" s="73" t="n">
        <x:v>1.028</x:v>
      </x:c>
      <x:c r="F4132" s="73" t="n">
        <x:v>1.028</x:v>
      </x:c>
      <x:c r="G4132" s="74" t="n">
        <x:v>0</x:v>
      </x:c>
      <x:c r="H4132" s="66" t="str">
        <x:v>钧誉厚德量化对冲11号净值20260911.xlsx</x:v>
      </x:c>
      <x:c r="I4132" s="73" t="str">
        <x:f>""</x:f>
      </x:c>
      <x:c r="J4132" s="74" t="str">
        <x:f>""</x:f>
      </x:c>
      <x:c r="K4132" s="73" t="str">
        <x:f>""</x:f>
      </x:c>
      <x:c r="L4132" s="74" t="str">
        <x:f>""</x:f>
      </x:c>
      <x:c r="M4132" s="73" t="n">
        <x:f>MAX(M4131,F4132)</x:f>
        <x:v>1.028</x:v>
      </x:c>
      <x:c r="N4132" s="74" t="n">
        <x:f>1-F4132/M4132</x:f>
        <x:v>0</x:v>
      </x:c>
    </x:row>
    <x:row r="4133" ht="27" customHeight="1">
      <x:c r="A4133" s="66" t="str">
        <x:v>SQN453</x:v>
      </x:c>
      <x:c r="B4133" s="66" t="str">
        <x:v>钧誉厚德量化对冲11号</x:v>
      </x:c>
      <x:c r="C4133" s="72" t="n">
        <x:v>44414</x:v>
      </x:c>
      <x:c r="D4133" s="73" t="n">
        <x:v>1.0283</x:v>
      </x:c>
      <x:c r="E4133" s="73" t="n">
        <x:v>1.0283</x:v>
      </x:c>
      <x:c r="F4133" s="73" t="n">
        <x:v>1.0283</x:v>
      </x:c>
      <x:c r="G4133" s="74" t="n">
        <x:v>0.0003</x:v>
      </x:c>
      <x:c r="H4133" s="66" t="str">
        <x:v>钧誉厚德量化对冲11号净值20260911.xlsx</x:v>
      </x:c>
      <x:c r="I4133" s="73" t="str">
        <x:f>""</x:f>
      </x:c>
      <x:c r="J4133" s="74" t="str">
        <x:f>""</x:f>
      </x:c>
      <x:c r="K4133" s="73" t="str">
        <x:f>""</x:f>
      </x:c>
      <x:c r="L4133" s="74" t="str">
        <x:f>""</x:f>
      </x:c>
      <x:c r="M4133" s="73" t="n">
        <x:f>MAX(M4132,F4133)</x:f>
        <x:v>1.0283</x:v>
      </x:c>
      <x:c r="N4133" s="74" t="n">
        <x:f>1-F4133/M4133</x:f>
        <x:v>0</x:v>
      </x:c>
    </x:row>
    <x:row r="4134" ht="27" customHeight="1">
      <x:c r="A4134" s="66" t="str">
        <x:v>SQN453</x:v>
      </x:c>
      <x:c r="B4134" s="66" t="str">
        <x:v>钧誉厚德量化对冲11号</x:v>
      </x:c>
      <x:c r="C4134" s="72" t="n">
        <x:v>44417</x:v>
      </x:c>
      <x:c r="D4134" s="73" t="n">
        <x:v>1.0259</x:v>
      </x:c>
      <x:c r="E4134" s="73" t="n">
        <x:v>1.0259</x:v>
      </x:c>
      <x:c r="F4134" s="73" t="n">
        <x:v>1.0259</x:v>
      </x:c>
      <x:c r="G4134" s="74" t="n">
        <x:v>-0.0023</x:v>
      </x:c>
      <x:c r="H4134" s="66" t="str">
        <x:v>钧誉厚德量化对冲11号净值20260911.xlsx</x:v>
      </x:c>
      <x:c r="I4134" s="73" t="str">
        <x:f>""</x:f>
      </x:c>
      <x:c r="J4134" s="74" t="str">
        <x:f>""</x:f>
      </x:c>
      <x:c r="K4134" s="73" t="str">
        <x:f>""</x:f>
      </x:c>
      <x:c r="L4134" s="74" t="str">
        <x:f>""</x:f>
      </x:c>
      <x:c r="M4134" s="73" t="n">
        <x:f>MAX(M4133,F4134)</x:f>
        <x:v>1.0283</x:v>
      </x:c>
      <x:c r="N4134" s="74" t="n">
        <x:f>1-F4134/M4134</x:f>
        <x:v>0.002333949236604016</x:v>
      </x:c>
    </x:row>
    <x:row r="4135" ht="27" customHeight="1">
      <x:c r="A4135" s="66" t="str">
        <x:v>SQN453</x:v>
      </x:c>
      <x:c r="B4135" s="66" t="str">
        <x:v>钧誉厚德量化对冲11号</x:v>
      </x:c>
      <x:c r="C4135" s="72" t="n">
        <x:v>44418</x:v>
      </x:c>
      <x:c r="D4135" s="73" t="n">
        <x:v>1.026</x:v>
      </x:c>
      <x:c r="E4135" s="73" t="n">
        <x:v>1.026</x:v>
      </x:c>
      <x:c r="F4135" s="73" t="n">
        <x:v>1.026</x:v>
      </x:c>
      <x:c r="G4135" s="74" t="n">
        <x:v>0.0001</x:v>
      </x:c>
      <x:c r="H4135" s="66" t="str">
        <x:v>钧誉厚德量化对冲11号净值20260911.xlsx</x:v>
      </x:c>
      <x:c r="I4135" s="73" t="str">
        <x:f>""</x:f>
      </x:c>
      <x:c r="J4135" s="74" t="str">
        <x:f>""</x:f>
      </x:c>
      <x:c r="K4135" s="73" t="str">
        <x:f>""</x:f>
      </x:c>
      <x:c r="L4135" s="74" t="str">
        <x:f>""</x:f>
      </x:c>
      <x:c r="M4135" s="73" t="n">
        <x:f>MAX(M4134,F4135)</x:f>
        <x:v>1.0283</x:v>
      </x:c>
      <x:c r="N4135" s="74" t="n">
        <x:f>1-F4135/M4135</x:f>
        <x:v>0.0022367013517455847</x:v>
      </x:c>
    </x:row>
    <x:row r="4136" ht="27" customHeight="1">
      <x:c r="A4136" s="66" t="str">
        <x:v>SQN453</x:v>
      </x:c>
      <x:c r="B4136" s="66" t="str">
        <x:v>钧誉厚德量化对冲11号</x:v>
      </x:c>
      <x:c r="C4136" s="72" t="n">
        <x:v>44419</x:v>
      </x:c>
      <x:c r="D4136" s="73" t="n">
        <x:v>1.0261</x:v>
      </x:c>
      <x:c r="E4136" s="73" t="n">
        <x:v>1.0261</x:v>
      </x:c>
      <x:c r="F4136" s="73" t="n">
        <x:v>1.0261</x:v>
      </x:c>
      <x:c r="G4136" s="74" t="n">
        <x:v>0.0001</x:v>
      </x:c>
      <x:c r="H4136" s="66" t="str">
        <x:v>钧誉厚德量化对冲11号净值20260911.xlsx</x:v>
      </x:c>
      <x:c r="I4136" s="73" t="str">
        <x:f>""</x:f>
      </x:c>
      <x:c r="J4136" s="74" t="str">
        <x:f>""</x:f>
      </x:c>
      <x:c r="K4136" s="73" t="str">
        <x:f>""</x:f>
      </x:c>
      <x:c r="L4136" s="74" t="str">
        <x:f>""</x:f>
      </x:c>
      <x:c r="M4136" s="73" t="n">
        <x:f>MAX(M4135,F4136)</x:f>
        <x:v>1.0283</x:v>
      </x:c>
      <x:c r="N4136" s="74" t="n">
        <x:f>1-F4136/M4136</x:f>
        <x:v>0.0021394534668870424</x:v>
      </x:c>
    </x:row>
    <x:row r="4137" ht="27" customHeight="1">
      <x:c r="A4137" s="66" t="str">
        <x:v>SQN453</x:v>
      </x:c>
      <x:c r="B4137" s="66" t="str">
        <x:v>钧誉厚德量化对冲11号</x:v>
      </x:c>
      <x:c r="C4137" s="72" t="n">
        <x:v>44420</x:v>
      </x:c>
      <x:c r="D4137" s="73" t="n">
        <x:v>1.026</x:v>
      </x:c>
      <x:c r="E4137" s="73" t="n">
        <x:v>1.026</x:v>
      </x:c>
      <x:c r="F4137" s="73" t="n">
        <x:v>1.026</x:v>
      </x:c>
      <x:c r="G4137" s="74" t="n">
        <x:v>-0.0001</x:v>
      </x:c>
      <x:c r="H4137" s="66" t="str">
        <x:v>钧誉厚德量化对冲11号净值20260911.xlsx</x:v>
      </x:c>
      <x:c r="I4137" s="73" t="str">
        <x:f>""</x:f>
      </x:c>
      <x:c r="J4137" s="74" t="str">
        <x:f>""</x:f>
      </x:c>
      <x:c r="K4137" s="73" t="str">
        <x:f>""</x:f>
      </x:c>
      <x:c r="L4137" s="74" t="str">
        <x:f>""</x:f>
      </x:c>
      <x:c r="M4137" s="73" t="n">
        <x:f>MAX(M4136,F4137)</x:f>
        <x:v>1.0283</x:v>
      </x:c>
      <x:c r="N4137" s="74" t="n">
        <x:f>1-F4137/M4137</x:f>
        <x:v>0.0022367013517455847</x:v>
      </x:c>
    </x:row>
    <x:row r="4138" ht="27" customHeight="1">
      <x:c r="A4138" s="66" t="str">
        <x:v>SQN453</x:v>
      </x:c>
      <x:c r="B4138" s="66" t="str">
        <x:v>钧誉厚德量化对冲11号</x:v>
      </x:c>
      <x:c r="C4138" s="72" t="n">
        <x:v>44421</x:v>
      </x:c>
      <x:c r="D4138" s="73" t="n">
        <x:v>1.0262</x:v>
      </x:c>
      <x:c r="E4138" s="73" t="n">
        <x:v>1.0262</x:v>
      </x:c>
      <x:c r="F4138" s="73" t="n">
        <x:v>1.0262</x:v>
      </x:c>
      <x:c r="G4138" s="74" t="n">
        <x:v>0.0002</x:v>
      </x:c>
      <x:c r="H4138" s="66" t="str">
        <x:v>钧誉厚德量化对冲11号净值20260911.xlsx</x:v>
      </x:c>
      <x:c r="I4138" s="73" t="str">
        <x:f>""</x:f>
      </x:c>
      <x:c r="J4138" s="74" t="str">
        <x:f>""</x:f>
      </x:c>
      <x:c r="K4138" s="73" t="str">
        <x:f>""</x:f>
      </x:c>
      <x:c r="L4138" s="74" t="str">
        <x:f>""</x:f>
      </x:c>
      <x:c r="M4138" s="73" t="n">
        <x:f>MAX(M4137,F4138)</x:f>
        <x:v>1.0283</x:v>
      </x:c>
      <x:c r="N4138" s="74" t="n">
        <x:f>1-F4138/M4138</x:f>
        <x:v>0.002042205582028611</x:v>
      </x:c>
    </x:row>
    <x:row r="4139" ht="27" customHeight="1">
      <x:c r="A4139" s="66" t="str">
        <x:v>SQN453</x:v>
      </x:c>
      <x:c r="B4139" s="66" t="str">
        <x:v>钧誉厚德量化对冲11号</x:v>
      </x:c>
      <x:c r="C4139" s="72" t="n">
        <x:v>44424</x:v>
      </x:c>
      <x:c r="D4139" s="73" t="n">
        <x:v>1.0267</x:v>
      </x:c>
      <x:c r="E4139" s="73" t="n">
        <x:v>1.0267</x:v>
      </x:c>
      <x:c r="F4139" s="73" t="n">
        <x:v>1.0267</x:v>
      </x:c>
      <x:c r="G4139" s="74" t="n">
        <x:v>0.0005</x:v>
      </x:c>
      <x:c r="H4139" s="66" t="str">
        <x:v>钧誉厚德量化对冲11号净值20260911.xlsx</x:v>
      </x:c>
      <x:c r="I4139" s="73" t="str">
        <x:f>""</x:f>
      </x:c>
      <x:c r="J4139" s="74" t="str">
        <x:f>""</x:f>
      </x:c>
      <x:c r="K4139" s="73" t="str">
        <x:f>""</x:f>
      </x:c>
      <x:c r="L4139" s="74" t="str">
        <x:f>""</x:f>
      </x:c>
      <x:c r="M4139" s="73" t="n">
        <x:f>MAX(M4138,F4139)</x:f>
        <x:v>1.0283</x:v>
      </x:c>
      <x:c r="N4139" s="74" t="n">
        <x:f>1-F4139/M4139</x:f>
        <x:v>0.0015559661577361217</x:v>
      </x:c>
    </x:row>
    <x:row r="4140" ht="27" customHeight="1">
      <x:c r="A4140" s="66" t="str">
        <x:v>SQN453</x:v>
      </x:c>
      <x:c r="B4140" s="66" t="str">
        <x:v>钧誉厚德量化对冲11号</x:v>
      </x:c>
      <x:c r="C4140" s="72" t="n">
        <x:v>44425</x:v>
      </x:c>
      <x:c r="D4140" s="73" t="n">
        <x:v>1.0287</x:v>
      </x:c>
      <x:c r="E4140" s="73" t="n">
        <x:v>1.0287</x:v>
      </x:c>
      <x:c r="F4140" s="73" t="n">
        <x:v>1.0287</x:v>
      </x:c>
      <x:c r="G4140" s="74" t="n">
        <x:v>0.0019</x:v>
      </x:c>
      <x:c r="H4140" s="66" t="str">
        <x:v>钧誉厚德量化对冲11号净值20260911.xlsx</x:v>
      </x:c>
      <x:c r="I4140" s="73" t="str">
        <x:f>""</x:f>
      </x:c>
      <x:c r="J4140" s="74" t="str">
        <x:f>""</x:f>
      </x:c>
      <x:c r="K4140" s="73" t="str">
        <x:f>""</x:f>
      </x:c>
      <x:c r="L4140" s="74" t="str">
        <x:f>""</x:f>
      </x:c>
      <x:c r="M4140" s="73" t="n">
        <x:f>MAX(M4139,F4140)</x:f>
        <x:v>1.0287</x:v>
      </x:c>
      <x:c r="N4140" s="74" t="n">
        <x:f>1-F4140/M4140</x:f>
        <x:v>0</x:v>
      </x:c>
    </x:row>
    <x:row r="4141" ht="27" customHeight="1">
      <x:c r="A4141" s="66" t="str">
        <x:v>SQN453</x:v>
      </x:c>
      <x:c r="B4141" s="66" t="str">
        <x:v>钧誉厚德量化对冲11号</x:v>
      </x:c>
      <x:c r="C4141" s="72" t="n">
        <x:v>44426</x:v>
      </x:c>
      <x:c r="D4141" s="73" t="n">
        <x:v>1.0288</x:v>
      </x:c>
      <x:c r="E4141" s="73" t="n">
        <x:v>1.0288</x:v>
      </x:c>
      <x:c r="F4141" s="73" t="n">
        <x:v>1.0288</x:v>
      </x:c>
      <x:c r="G4141" s="74" t="n">
        <x:v>0.0001</x:v>
      </x:c>
      <x:c r="H4141" s="66" t="str">
        <x:v>钧誉厚德量化对冲11号净值20260911.xlsx</x:v>
      </x:c>
      <x:c r="I4141" s="73" t="str">
        <x:f>""</x:f>
      </x:c>
      <x:c r="J4141" s="74" t="str">
        <x:f>""</x:f>
      </x:c>
      <x:c r="K4141" s="73" t="str">
        <x:f>""</x:f>
      </x:c>
      <x:c r="L4141" s="74" t="str">
        <x:f>""</x:f>
      </x:c>
      <x:c r="M4141" s="73" t="n">
        <x:f>MAX(M4140,F4141)</x:f>
        <x:v>1.0288</x:v>
      </x:c>
      <x:c r="N4141" s="74" t="n">
        <x:f>1-F4141/M4141</x:f>
        <x:v>0</x:v>
      </x:c>
    </x:row>
    <x:row r="4142" ht="27" customHeight="1">
      <x:c r="A4142" s="66" t="str">
        <x:v>SQN453</x:v>
      </x:c>
      <x:c r="B4142" s="66" t="str">
        <x:v>钧誉厚德量化对冲11号</x:v>
      </x:c>
      <x:c r="C4142" s="72" t="n">
        <x:v>44427</x:v>
      </x:c>
      <x:c r="D4142" s="73" t="n">
        <x:v>1.0296</x:v>
      </x:c>
      <x:c r="E4142" s="73" t="n">
        <x:v>1.0296</x:v>
      </x:c>
      <x:c r="F4142" s="73" t="n">
        <x:v>1.0296</x:v>
      </x:c>
      <x:c r="G4142" s="74" t="n">
        <x:v>0.0008</x:v>
      </x:c>
      <x:c r="H4142" s="66" t="str">
        <x:v>钧誉厚德量化对冲11号净值20260911.xlsx</x:v>
      </x:c>
      <x:c r="I4142" s="73" t="str">
        <x:f>""</x:f>
      </x:c>
      <x:c r="J4142" s="74" t="str">
        <x:f>""</x:f>
      </x:c>
      <x:c r="K4142" s="73" t="str">
        <x:f>""</x:f>
      </x:c>
      <x:c r="L4142" s="74" t="str">
        <x:f>""</x:f>
      </x:c>
      <x:c r="M4142" s="73" t="n">
        <x:f>MAX(M4141,F4142)</x:f>
        <x:v>1.0296</x:v>
      </x:c>
      <x:c r="N4142" s="74" t="n">
        <x:f>1-F4142/M4142</x:f>
        <x:v>0</x:v>
      </x:c>
    </x:row>
    <x:row r="4143" ht="27" customHeight="1">
      <x:c r="A4143" s="66" t="str">
        <x:v>SQN453</x:v>
      </x:c>
      <x:c r="B4143" s="66" t="str">
        <x:v>钧誉厚德量化对冲11号</x:v>
      </x:c>
      <x:c r="C4143" s="72" t="n">
        <x:v>44428</x:v>
      </x:c>
      <x:c r="D4143" s="73" t="n">
        <x:v>1.0306</x:v>
      </x:c>
      <x:c r="E4143" s="73" t="n">
        <x:v>1.0306</x:v>
      </x:c>
      <x:c r="F4143" s="73" t="n">
        <x:v>1.0306</x:v>
      </x:c>
      <x:c r="G4143" s="74" t="n">
        <x:v>0.001</x:v>
      </x:c>
      <x:c r="H4143" s="66" t="str">
        <x:v>钧誉厚德量化对冲11号净值20260911.xlsx</x:v>
      </x:c>
      <x:c r="I4143" s="73" t="str">
        <x:f>""</x:f>
      </x:c>
      <x:c r="J4143" s="74" t="str">
        <x:f>""</x:f>
      </x:c>
      <x:c r="K4143" s="73" t="str">
        <x:f>""</x:f>
      </x:c>
      <x:c r="L4143" s="74" t="str">
        <x:f>""</x:f>
      </x:c>
      <x:c r="M4143" s="73" t="n">
        <x:f>MAX(M4142,F4143)</x:f>
        <x:v>1.0306</x:v>
      </x:c>
      <x:c r="N4143" s="74" t="n">
        <x:f>1-F4143/M4143</x:f>
        <x:v>0</x:v>
      </x:c>
    </x:row>
    <x:row r="4144" ht="27" customHeight="1">
      <x:c r="A4144" s="66" t="str">
        <x:v>SQN453</x:v>
      </x:c>
      <x:c r="B4144" s="66" t="str">
        <x:v>钧誉厚德量化对冲11号</x:v>
      </x:c>
      <x:c r="C4144" s="72" t="n">
        <x:v>44431</x:v>
      </x:c>
      <x:c r="D4144" s="73" t="n">
        <x:v>1.0316</x:v>
      </x:c>
      <x:c r="E4144" s="73" t="n">
        <x:v>1.0316</x:v>
      </x:c>
      <x:c r="F4144" s="73" t="n">
        <x:v>1.0316</x:v>
      </x:c>
      <x:c r="G4144" s="74" t="n">
        <x:v>0.001</x:v>
      </x:c>
      <x:c r="H4144" s="66" t="str">
        <x:v>钧誉厚德量化对冲11号净值20260911.xlsx</x:v>
      </x:c>
      <x:c r="I4144" s="73" t="str">
        <x:f>""</x:f>
      </x:c>
      <x:c r="J4144" s="74" t="str">
        <x:f>""</x:f>
      </x:c>
      <x:c r="K4144" s="73" t="str">
        <x:f>""</x:f>
      </x:c>
      <x:c r="L4144" s="74" t="str">
        <x:f>""</x:f>
      </x:c>
      <x:c r="M4144" s="73" t="n">
        <x:f>MAX(M4143,F4144)</x:f>
        <x:v>1.0316</x:v>
      </x:c>
      <x:c r="N4144" s="74" t="n">
        <x:f>1-F4144/M4144</x:f>
        <x:v>0</x:v>
      </x:c>
    </x:row>
    <x:row r="4145" ht="27" customHeight="1">
      <x:c r="A4145" s="66" t="str">
        <x:v>SQN453</x:v>
      </x:c>
      <x:c r="B4145" s="66" t="str">
        <x:v>钧誉厚德量化对冲11号</x:v>
      </x:c>
      <x:c r="C4145" s="72" t="n">
        <x:v>44432</x:v>
      </x:c>
      <x:c r="D4145" s="73" t="n">
        <x:v>1.0317</x:v>
      </x:c>
      <x:c r="E4145" s="73" t="n">
        <x:v>1.0317</x:v>
      </x:c>
      <x:c r="F4145" s="73" t="n">
        <x:v>1.0317</x:v>
      </x:c>
      <x:c r="G4145" s="74" t="n">
        <x:v>0.0001</x:v>
      </x:c>
      <x:c r="H4145" s="66" t="str">
        <x:v>钧誉厚德量化对冲11号净值20260911.xlsx</x:v>
      </x:c>
      <x:c r="I4145" s="73" t="str">
        <x:f>""</x:f>
      </x:c>
      <x:c r="J4145" s="74" t="str">
        <x:f>""</x:f>
      </x:c>
      <x:c r="K4145" s="73" t="str">
        <x:f>""</x:f>
      </x:c>
      <x:c r="L4145" s="74" t="str">
        <x:f>""</x:f>
      </x:c>
      <x:c r="M4145" s="73" t="n">
        <x:f>MAX(M4144,F4145)</x:f>
        <x:v>1.0317</x:v>
      </x:c>
      <x:c r="N4145" s="74" t="n">
        <x:f>1-F4145/M4145</x:f>
        <x:v>0</x:v>
      </x:c>
    </x:row>
    <x:row r="4146" ht="27" customHeight="1">
      <x:c r="A4146" s="66" t="str">
        <x:v>SQN453</x:v>
      </x:c>
      <x:c r="B4146" s="66" t="str">
        <x:v>钧誉厚德量化对冲11号</x:v>
      </x:c>
      <x:c r="C4146" s="72" t="n">
        <x:v>44433</x:v>
      </x:c>
      <x:c r="D4146" s="73" t="n">
        <x:v>1.0321</x:v>
      </x:c>
      <x:c r="E4146" s="73" t="n">
        <x:v>1.0321</x:v>
      </x:c>
      <x:c r="F4146" s="73" t="n">
        <x:v>1.0321</x:v>
      </x:c>
      <x:c r="G4146" s="74" t="n">
        <x:v>0.0004</x:v>
      </x:c>
      <x:c r="H4146" s="66" t="str">
        <x:v>钧誉厚德量化对冲11号净值20260911.xlsx</x:v>
      </x:c>
      <x:c r="I4146" s="73" t="str">
        <x:f>""</x:f>
      </x:c>
      <x:c r="J4146" s="74" t="str">
        <x:f>""</x:f>
      </x:c>
      <x:c r="K4146" s="73" t="str">
        <x:f>""</x:f>
      </x:c>
      <x:c r="L4146" s="74" t="str">
        <x:f>""</x:f>
      </x:c>
      <x:c r="M4146" s="73" t="n">
        <x:f>MAX(M4145,F4146)</x:f>
        <x:v>1.0321</x:v>
      </x:c>
      <x:c r="N4146" s="74" t="n">
        <x:f>1-F4146/M4146</x:f>
        <x:v>0</x:v>
      </x:c>
    </x:row>
    <x:row r="4147" ht="27" customHeight="1">
      <x:c r="A4147" s="66" t="str">
        <x:v>SQN453</x:v>
      </x:c>
      <x:c r="B4147" s="66" t="str">
        <x:v>钧誉厚德量化对冲11号</x:v>
      </x:c>
      <x:c r="C4147" s="72" t="n">
        <x:v>44434</x:v>
      </x:c>
      <x:c r="D4147" s="73" t="n">
        <x:v>1.0321</x:v>
      </x:c>
      <x:c r="E4147" s="73" t="n">
        <x:v>1.0321</x:v>
      </x:c>
      <x:c r="F4147" s="73" t="n">
        <x:v>1.0321</x:v>
      </x:c>
      <x:c r="G4147" s="74" t="n">
        <x:v>0</x:v>
      </x:c>
      <x:c r="H4147" s="66" t="str">
        <x:v>钧誉厚德量化对冲11号净值20260911.xlsx</x:v>
      </x:c>
      <x:c r="I4147" s="73" t="str">
        <x:f>""</x:f>
      </x:c>
      <x:c r="J4147" s="74" t="str">
        <x:f>""</x:f>
      </x:c>
      <x:c r="K4147" s="73" t="str">
        <x:f>""</x:f>
      </x:c>
      <x:c r="L4147" s="74" t="str">
        <x:f>""</x:f>
      </x:c>
      <x:c r="M4147" s="73" t="n">
        <x:f>MAX(M4146,F4147)</x:f>
        <x:v>1.0321</x:v>
      </x:c>
      <x:c r="N4147" s="74" t="n">
        <x:f>1-F4147/M4147</x:f>
        <x:v>0</x:v>
      </x:c>
    </x:row>
    <x:row r="4148" ht="27" customHeight="1">
      <x:c r="A4148" s="66" t="str">
        <x:v>SQN453</x:v>
      </x:c>
      <x:c r="B4148" s="66" t="str">
        <x:v>钧誉厚德量化对冲11号</x:v>
      </x:c>
      <x:c r="C4148" s="72" t="n">
        <x:v>44435</x:v>
      </x:c>
      <x:c r="D4148" s="73" t="n">
        <x:v>1.0334</x:v>
      </x:c>
      <x:c r="E4148" s="73" t="n">
        <x:v>1.0334</x:v>
      </x:c>
      <x:c r="F4148" s="73" t="n">
        <x:v>1.0334</x:v>
      </x:c>
      <x:c r="G4148" s="74" t="n">
        <x:v>0.0013</x:v>
      </x:c>
      <x:c r="H4148" s="66" t="str">
        <x:v>钧誉厚德量化对冲11号净值20260911.xlsx</x:v>
      </x:c>
      <x:c r="I4148" s="73" t="str">
        <x:f>""</x:f>
      </x:c>
      <x:c r="J4148" s="74" t="str">
        <x:f>""</x:f>
      </x:c>
      <x:c r="K4148" s="73" t="str">
        <x:f>""</x:f>
      </x:c>
      <x:c r="L4148" s="74" t="str">
        <x:f>""</x:f>
      </x:c>
      <x:c r="M4148" s="73" t="n">
        <x:f>MAX(M4147,F4148)</x:f>
        <x:v>1.0334</x:v>
      </x:c>
      <x:c r="N4148" s="74" t="n">
        <x:f>1-F4148/M4148</x:f>
        <x:v>0</x:v>
      </x:c>
    </x:row>
    <x:row r="4149" ht="27" customHeight="1">
      <x:c r="A4149" s="66" t="str">
        <x:v>SQN453</x:v>
      </x:c>
      <x:c r="B4149" s="66" t="str">
        <x:v>钧誉厚德量化对冲11号</x:v>
      </x:c>
      <x:c r="C4149" s="72" t="n">
        <x:v>44438</x:v>
      </x:c>
      <x:c r="D4149" s="73" t="n">
        <x:v>1.0336</x:v>
      </x:c>
      <x:c r="E4149" s="73" t="n">
        <x:v>1.0336</x:v>
      </x:c>
      <x:c r="F4149" s="73" t="n">
        <x:v>1.0336</x:v>
      </x:c>
      <x:c r="G4149" s="74" t="n">
        <x:v>0.0002</x:v>
      </x:c>
      <x:c r="H4149" s="66" t="str">
        <x:v>钧誉厚德量化对冲11号净值20260911.xlsx</x:v>
      </x:c>
      <x:c r="I4149" s="73" t="str">
        <x:f>""</x:f>
      </x:c>
      <x:c r="J4149" s="74" t="str">
        <x:f>""</x:f>
      </x:c>
      <x:c r="K4149" s="73" t="str">
        <x:f>""</x:f>
      </x:c>
      <x:c r="L4149" s="74" t="str">
        <x:f>""</x:f>
      </x:c>
      <x:c r="M4149" s="73" t="n">
        <x:f>MAX(M4148,F4149)</x:f>
        <x:v>1.0336</x:v>
      </x:c>
      <x:c r="N4149" s="74" t="n">
        <x:f>1-F4149/M4149</x:f>
        <x:v>0</x:v>
      </x:c>
    </x:row>
    <x:row r="4150" ht="27" customHeight="1">
      <x:c r="A4150" s="66" t="str">
        <x:v>SQN453</x:v>
      </x:c>
      <x:c r="B4150" s="66" t="str">
        <x:v>钧誉厚德量化对冲11号</x:v>
      </x:c>
      <x:c r="C4150" s="72" t="n">
        <x:v>44439</x:v>
      </x:c>
      <x:c r="D4150" s="73" t="n">
        <x:v>1.0337</x:v>
      </x:c>
      <x:c r="E4150" s="73" t="n">
        <x:v>1.0337</x:v>
      </x:c>
      <x:c r="F4150" s="73" t="n">
        <x:v>1.0337</x:v>
      </x:c>
      <x:c r="G4150" s="74" t="n">
        <x:v>0.0001</x:v>
      </x:c>
      <x:c r="H4150" s="66" t="str">
        <x:v>钧誉厚德量化对冲11号净值20260911.xlsx</x:v>
      </x:c>
      <x:c r="I4150" s="73" t="str">
        <x:f>""</x:f>
      </x:c>
      <x:c r="J4150" s="74" t="str">
        <x:f>""</x:f>
      </x:c>
      <x:c r="K4150" s="73" t="str">
        <x:f>""</x:f>
      </x:c>
      <x:c r="L4150" s="74" t="str">
        <x:f>""</x:f>
      </x:c>
      <x:c r="M4150" s="73" t="n">
        <x:f>MAX(M4149,F4150)</x:f>
        <x:v>1.0337</x:v>
      </x:c>
      <x:c r="N4150" s="74" t="n">
        <x:f>1-F4150/M4150</x:f>
        <x:v>0</x:v>
      </x:c>
    </x:row>
    <x:row r="4151" ht="27" customHeight="1">
      <x:c r="A4151" s="66" t="str">
        <x:v>SQN453</x:v>
      </x:c>
      <x:c r="B4151" s="66" t="str">
        <x:v>钧誉厚德量化对冲11号</x:v>
      </x:c>
      <x:c r="C4151" s="72" t="n">
        <x:v>44440</x:v>
      </x:c>
      <x:c r="D4151" s="73" t="n">
        <x:v>1.035</x:v>
      </x:c>
      <x:c r="E4151" s="73" t="n">
        <x:v>1.035</x:v>
      </x:c>
      <x:c r="F4151" s="73" t="n">
        <x:v>1.035</x:v>
      </x:c>
      <x:c r="G4151" s="74" t="n">
        <x:v>0.0013</x:v>
      </x:c>
      <x:c r="H4151" s="66" t="str">
        <x:v>钧誉厚德量化对冲11号净值20260911.xlsx</x:v>
      </x:c>
      <x:c r="I4151" s="73" t="str">
        <x:f>""</x:f>
      </x:c>
      <x:c r="J4151" s="74" t="str">
        <x:f>""</x:f>
      </x:c>
      <x:c r="K4151" s="73" t="str">
        <x:f>""</x:f>
      </x:c>
      <x:c r="L4151" s="74" t="str">
        <x:f>""</x:f>
      </x:c>
      <x:c r="M4151" s="73" t="n">
        <x:f>MAX(M4150,F4151)</x:f>
        <x:v>1.035</x:v>
      </x:c>
      <x:c r="N4151" s="74" t="n">
        <x:f>1-F4151/M4151</x:f>
        <x:v>0</x:v>
      </x:c>
    </x:row>
    <x:row r="4152" ht="27" customHeight="1">
      <x:c r="A4152" s="66" t="str">
        <x:v>SQN453</x:v>
      </x:c>
      <x:c r="B4152" s="66" t="str">
        <x:v>钧誉厚德量化对冲11号</x:v>
      </x:c>
      <x:c r="C4152" s="72" t="n">
        <x:v>44441</x:v>
      </x:c>
      <x:c r="D4152" s="73" t="n">
        <x:v>1.035</x:v>
      </x:c>
      <x:c r="E4152" s="73" t="n">
        <x:v>1.035</x:v>
      </x:c>
      <x:c r="F4152" s="73" t="n">
        <x:v>1.035</x:v>
      </x:c>
      <x:c r="G4152" s="74" t="n">
        <x:v>0</x:v>
      </x:c>
      <x:c r="H4152" s="66" t="str">
        <x:v>钧誉厚德量化对冲11号净值20260911.xlsx</x:v>
      </x:c>
      <x:c r="I4152" s="73" t="str">
        <x:f>""</x:f>
      </x:c>
      <x:c r="J4152" s="74" t="str">
        <x:f>""</x:f>
      </x:c>
      <x:c r="K4152" s="73" t="str">
        <x:f>""</x:f>
      </x:c>
      <x:c r="L4152" s="74" t="str">
        <x:f>""</x:f>
      </x:c>
      <x:c r="M4152" s="73" t="n">
        <x:f>MAX(M4151,F4152)</x:f>
        <x:v>1.035</x:v>
      </x:c>
      <x:c r="N4152" s="74" t="n">
        <x:f>1-F4152/M4152</x:f>
        <x:v>0</x:v>
      </x:c>
    </x:row>
    <x:row r="4153" ht="27" customHeight="1">
      <x:c r="A4153" s="66" t="str">
        <x:v>SQN453</x:v>
      </x:c>
      <x:c r="B4153" s="66" t="str">
        <x:v>钧誉厚德量化对冲11号</x:v>
      </x:c>
      <x:c r="C4153" s="72" t="n">
        <x:v>44442</x:v>
      </x:c>
      <x:c r="D4153" s="73" t="n">
        <x:v>1.0353</x:v>
      </x:c>
      <x:c r="E4153" s="73" t="n">
        <x:v>1.0353</x:v>
      </x:c>
      <x:c r="F4153" s="73" t="n">
        <x:v>1.0353</x:v>
      </x:c>
      <x:c r="G4153" s="74" t="n">
        <x:v>0.0003</x:v>
      </x:c>
      <x:c r="H4153" s="66" t="str">
        <x:v>钧誉厚德量化对冲11号净值20260911.xlsx</x:v>
      </x:c>
      <x:c r="I4153" s="73" t="str">
        <x:f>""</x:f>
      </x:c>
      <x:c r="J4153" s="74" t="str">
        <x:f>""</x:f>
      </x:c>
      <x:c r="K4153" s="73" t="str">
        <x:f>""</x:f>
      </x:c>
      <x:c r="L4153" s="74" t="str">
        <x:f>""</x:f>
      </x:c>
      <x:c r="M4153" s="73" t="n">
        <x:f>MAX(M4152,F4153)</x:f>
        <x:v>1.0353</x:v>
      </x:c>
      <x:c r="N4153" s="74" t="n">
        <x:f>1-F4153/M4153</x:f>
        <x:v>0</x:v>
      </x:c>
    </x:row>
    <x:row r="4154" ht="27" customHeight="1">
      <x:c r="A4154" s="66" t="str">
        <x:v>SQN453</x:v>
      </x:c>
      <x:c r="B4154" s="66" t="str">
        <x:v>钧誉厚德量化对冲11号</x:v>
      </x:c>
      <x:c r="C4154" s="72" t="n">
        <x:v>44445</x:v>
      </x:c>
      <x:c r="D4154" s="73" t="n">
        <x:v>1.0353</x:v>
      </x:c>
      <x:c r="E4154" s="73" t="n">
        <x:v>1.0353</x:v>
      </x:c>
      <x:c r="F4154" s="73" t="n">
        <x:v>1.0353</x:v>
      </x:c>
      <x:c r="G4154" s="74" t="n">
        <x:v>0</x:v>
      </x:c>
      <x:c r="H4154" s="66" t="str">
        <x:v>钧誉厚德量化对冲11号净值20260911.xlsx</x:v>
      </x:c>
      <x:c r="I4154" s="73" t="str">
        <x:f>""</x:f>
      </x:c>
      <x:c r="J4154" s="74" t="str">
        <x:f>""</x:f>
      </x:c>
      <x:c r="K4154" s="73" t="str">
        <x:f>""</x:f>
      </x:c>
      <x:c r="L4154" s="74" t="str">
        <x:f>""</x:f>
      </x:c>
      <x:c r="M4154" s="73" t="n">
        <x:f>MAX(M4153,F4154)</x:f>
        <x:v>1.0353</x:v>
      </x:c>
      <x:c r="N4154" s="74" t="n">
        <x:f>1-F4154/M4154</x:f>
        <x:v>0</x:v>
      </x:c>
    </x:row>
    <x:row r="4155" ht="27" customHeight="1">
      <x:c r="A4155" s="66" t="str">
        <x:v>SQN453</x:v>
      </x:c>
      <x:c r="B4155" s="66" t="str">
        <x:v>钧誉厚德量化对冲11号</x:v>
      </x:c>
      <x:c r="C4155" s="72" t="n">
        <x:v>44446</x:v>
      </x:c>
      <x:c r="D4155" s="73" t="n">
        <x:v>1.0356</x:v>
      </x:c>
      <x:c r="E4155" s="73" t="n">
        <x:v>1.0356</x:v>
      </x:c>
      <x:c r="F4155" s="73" t="n">
        <x:v>1.0356</x:v>
      </x:c>
      <x:c r="G4155" s="74" t="n">
        <x:v>0.0003</x:v>
      </x:c>
      <x:c r="H4155" s="66" t="str">
        <x:v>钧誉厚德量化对冲11号净值20260911.xlsx</x:v>
      </x:c>
      <x:c r="I4155" s="73" t="str">
        <x:f>""</x:f>
      </x:c>
      <x:c r="J4155" s="74" t="str">
        <x:f>""</x:f>
      </x:c>
      <x:c r="K4155" s="73" t="str">
        <x:f>""</x:f>
      </x:c>
      <x:c r="L4155" s="74" t="str">
        <x:f>""</x:f>
      </x:c>
      <x:c r="M4155" s="73" t="n">
        <x:f>MAX(M4154,F4155)</x:f>
        <x:v>1.0356</x:v>
      </x:c>
      <x:c r="N4155" s="74" t="n">
        <x:f>1-F4155/M4155</x:f>
        <x:v>0</x:v>
      </x:c>
    </x:row>
    <x:row r="4156" ht="27" customHeight="1">
      <x:c r="A4156" s="66" t="str">
        <x:v>SQN453</x:v>
      </x:c>
      <x:c r="B4156" s="66" t="str">
        <x:v>钧誉厚德量化对冲11号</x:v>
      </x:c>
      <x:c r="C4156" s="72" t="n">
        <x:v>44447</x:v>
      </x:c>
      <x:c r="D4156" s="73" t="n">
        <x:v>1.0353</x:v>
      </x:c>
      <x:c r="E4156" s="73" t="n">
        <x:v>1.0353</x:v>
      </x:c>
      <x:c r="F4156" s="73" t="n">
        <x:v>1.0353</x:v>
      </x:c>
      <x:c r="G4156" s="74" t="n">
        <x:v>-0.0003</x:v>
      </x:c>
      <x:c r="H4156" s="66" t="str">
        <x:v>钧誉厚德量化对冲11号净值20260911.xlsx</x:v>
      </x:c>
      <x:c r="I4156" s="73" t="str">
        <x:f>""</x:f>
      </x:c>
      <x:c r="J4156" s="74" t="str">
        <x:f>""</x:f>
      </x:c>
      <x:c r="K4156" s="73" t="str">
        <x:f>""</x:f>
      </x:c>
      <x:c r="L4156" s="74" t="str">
        <x:f>""</x:f>
      </x:c>
      <x:c r="M4156" s="73" t="n">
        <x:f>MAX(M4155,F4156)</x:f>
        <x:v>1.0356</x:v>
      </x:c>
      <x:c r="N4156" s="74" t="n">
        <x:f>1-F4156/M4156</x:f>
        <x:v>0.00028968713789101486</x:v>
      </x:c>
    </x:row>
    <x:row r="4157" ht="27" customHeight="1">
      <x:c r="A4157" s="66" t="str">
        <x:v>SQN453</x:v>
      </x:c>
      <x:c r="B4157" s="66" t="str">
        <x:v>钧誉厚德量化对冲11号</x:v>
      </x:c>
      <x:c r="C4157" s="72" t="n">
        <x:v>44448</x:v>
      </x:c>
      <x:c r="D4157" s="73" t="n">
        <x:v>1.0355</x:v>
      </x:c>
      <x:c r="E4157" s="73" t="n">
        <x:v>1.0355</x:v>
      </x:c>
      <x:c r="F4157" s="73" t="n">
        <x:v>1.0355</x:v>
      </x:c>
      <x:c r="G4157" s="74" t="n">
        <x:v>0.0002</x:v>
      </x:c>
      <x:c r="H4157" s="66" t="str">
        <x:v>钧誉厚德量化对冲11号净值20260911.xlsx</x:v>
      </x:c>
      <x:c r="I4157" s="73" t="str">
        <x:f>""</x:f>
      </x:c>
      <x:c r="J4157" s="74" t="str">
        <x:f>""</x:f>
      </x:c>
      <x:c r="K4157" s="73" t="str">
        <x:f>""</x:f>
      </x:c>
      <x:c r="L4157" s="74" t="str">
        <x:f>""</x:f>
      </x:c>
      <x:c r="M4157" s="73" t="n">
        <x:f>MAX(M4156,F4157)</x:f>
        <x:v>1.0356</x:v>
      </x:c>
      <x:c r="N4157" s="74" t="n">
        <x:f>1-F4157/M4157</x:f>
        <x:v>0.00009656237929700495</x:v>
      </x:c>
    </x:row>
    <x:row r="4158" ht="27" customHeight="1">
      <x:c r="A4158" s="66" t="str">
        <x:v>SQN453</x:v>
      </x:c>
      <x:c r="B4158" s="66" t="str">
        <x:v>钧誉厚德量化对冲11号</x:v>
      </x:c>
      <x:c r="C4158" s="72" t="n">
        <x:v>44449</x:v>
      </x:c>
      <x:c r="D4158" s="73" t="n">
        <x:v>1.0356</x:v>
      </x:c>
      <x:c r="E4158" s="73" t="n">
        <x:v>1.0356</x:v>
      </x:c>
      <x:c r="F4158" s="73" t="n">
        <x:v>1.0356</x:v>
      </x:c>
      <x:c r="G4158" s="74" t="n">
        <x:v>0.0001</x:v>
      </x:c>
      <x:c r="H4158" s="66" t="str">
        <x:v>钧誉厚德量化对冲11号净值20260911.xlsx</x:v>
      </x:c>
      <x:c r="I4158" s="73" t="str">
        <x:f>""</x:f>
      </x:c>
      <x:c r="J4158" s="74" t="str">
        <x:f>""</x:f>
      </x:c>
      <x:c r="K4158" s="73" t="str">
        <x:f>""</x:f>
      </x:c>
      <x:c r="L4158" s="74" t="str">
        <x:f>""</x:f>
      </x:c>
      <x:c r="M4158" s="73" t="n">
        <x:f>MAX(M4157,F4158)</x:f>
        <x:v>1.0356</x:v>
      </x:c>
      <x:c r="N4158" s="74" t="n">
        <x:f>1-F4158/M4158</x:f>
        <x:v>0</x:v>
      </x:c>
    </x:row>
    <x:row r="4159" ht="27" customHeight="1">
      <x:c r="A4159" s="66" t="str">
        <x:v>SQN453</x:v>
      </x:c>
      <x:c r="B4159" s="66" t="str">
        <x:v>钧誉厚德量化对冲11号</x:v>
      </x:c>
      <x:c r="C4159" s="72" t="n">
        <x:v>44452</x:v>
      </x:c>
      <x:c r="D4159" s="73" t="n">
        <x:v>1.0364</x:v>
      </x:c>
      <x:c r="E4159" s="73" t="n">
        <x:v>1.0364</x:v>
      </x:c>
      <x:c r="F4159" s="73" t="n">
        <x:v>1.0364</x:v>
      </x:c>
      <x:c r="G4159" s="74" t="n">
        <x:v>0.0008</x:v>
      </x:c>
      <x:c r="H4159" s="66" t="str">
        <x:v>钧誉厚德量化对冲11号净值20260911.xlsx</x:v>
      </x:c>
      <x:c r="I4159" s="73" t="str">
        <x:f>""</x:f>
      </x:c>
      <x:c r="J4159" s="74" t="str">
        <x:f>""</x:f>
      </x:c>
      <x:c r="K4159" s="73" t="str">
        <x:f>""</x:f>
      </x:c>
      <x:c r="L4159" s="74" t="str">
        <x:f>""</x:f>
      </x:c>
      <x:c r="M4159" s="73" t="n">
        <x:f>MAX(M4158,F4159)</x:f>
        <x:v>1.0364</x:v>
      </x:c>
      <x:c r="N4159" s="74" t="n">
        <x:f>1-F4159/M4159</x:f>
        <x:v>0</x:v>
      </x:c>
    </x:row>
    <x:row r="4160" ht="27" customHeight="1">
      <x:c r="A4160" s="66" t="str">
        <x:v>SQN453</x:v>
      </x:c>
      <x:c r="B4160" s="66" t="str">
        <x:v>钧誉厚德量化对冲11号</x:v>
      </x:c>
      <x:c r="C4160" s="72" t="n">
        <x:v>44453</x:v>
      </x:c>
      <x:c r="D4160" s="73" t="n">
        <x:v>1.0375</x:v>
      </x:c>
      <x:c r="E4160" s="73" t="n">
        <x:v>1.0375</x:v>
      </x:c>
      <x:c r="F4160" s="73" t="n">
        <x:v>1.0375</x:v>
      </x:c>
      <x:c r="G4160" s="74" t="n">
        <x:v>0.0011</x:v>
      </x:c>
      <x:c r="H4160" s="66" t="str">
        <x:v>钧誉厚德量化对冲11号净值20260911.xlsx</x:v>
      </x:c>
      <x:c r="I4160" s="73" t="str">
        <x:f>""</x:f>
      </x:c>
      <x:c r="J4160" s="74" t="str">
        <x:f>""</x:f>
      </x:c>
      <x:c r="K4160" s="73" t="str">
        <x:f>""</x:f>
      </x:c>
      <x:c r="L4160" s="74" t="str">
        <x:f>""</x:f>
      </x:c>
      <x:c r="M4160" s="73" t="n">
        <x:f>MAX(M4159,F4160)</x:f>
        <x:v>1.0375</x:v>
      </x:c>
      <x:c r="N4160" s="74" t="n">
        <x:f>1-F4160/M4160</x:f>
        <x:v>0</x:v>
      </x:c>
    </x:row>
    <x:row r="4161" ht="27" customHeight="1">
      <x:c r="A4161" s="66" t="str">
        <x:v>SQN453</x:v>
      </x:c>
      <x:c r="B4161" s="66" t="str">
        <x:v>钧誉厚德量化对冲11号</x:v>
      </x:c>
      <x:c r="C4161" s="72" t="n">
        <x:v>44454</x:v>
      </x:c>
      <x:c r="D4161" s="73" t="n">
        <x:v>1.0379</x:v>
      </x:c>
      <x:c r="E4161" s="73" t="n">
        <x:v>1.0379</x:v>
      </x:c>
      <x:c r="F4161" s="73" t="n">
        <x:v>1.0379</x:v>
      </x:c>
      <x:c r="G4161" s="74" t="n">
        <x:v>0.0004</x:v>
      </x:c>
      <x:c r="H4161" s="66" t="str">
        <x:v>钧誉厚德量化对冲11号净值20260911.xlsx</x:v>
      </x:c>
      <x:c r="I4161" s="73" t="str">
        <x:f>""</x:f>
      </x:c>
      <x:c r="J4161" s="74" t="str">
        <x:f>""</x:f>
      </x:c>
      <x:c r="K4161" s="73" t="str">
        <x:f>""</x:f>
      </x:c>
      <x:c r="L4161" s="74" t="str">
        <x:f>""</x:f>
      </x:c>
      <x:c r="M4161" s="73" t="n">
        <x:f>MAX(M4160,F4161)</x:f>
        <x:v>1.0379</x:v>
      </x:c>
      <x:c r="N4161" s="74" t="n">
        <x:f>1-F4161/M4161</x:f>
        <x:v>0</x:v>
      </x:c>
    </x:row>
    <x:row r="4162" ht="27" customHeight="1">
      <x:c r="A4162" s="66" t="str">
        <x:v>SQN453</x:v>
      </x:c>
      <x:c r="B4162" s="66" t="str">
        <x:v>钧誉厚德量化对冲11号</x:v>
      </x:c>
      <x:c r="C4162" s="72" t="n">
        <x:v>44455</x:v>
      </x:c>
      <x:c r="D4162" s="73" t="n">
        <x:v>1.0383</x:v>
      </x:c>
      <x:c r="E4162" s="73" t="n">
        <x:v>1.0383</x:v>
      </x:c>
      <x:c r="F4162" s="73" t="n">
        <x:v>1.0383</x:v>
      </x:c>
      <x:c r="G4162" s="74" t="n">
        <x:v>0.0004</x:v>
      </x:c>
      <x:c r="H4162" s="66" t="str">
        <x:v>钧誉厚德量化对冲11号净值20260911.xlsx</x:v>
      </x:c>
      <x:c r="I4162" s="73" t="str">
        <x:f>""</x:f>
      </x:c>
      <x:c r="J4162" s="74" t="str">
        <x:f>""</x:f>
      </x:c>
      <x:c r="K4162" s="73" t="str">
        <x:f>""</x:f>
      </x:c>
      <x:c r="L4162" s="74" t="str">
        <x:f>""</x:f>
      </x:c>
      <x:c r="M4162" s="73" t="n">
        <x:f>MAX(M4161,F4162)</x:f>
        <x:v>1.0383</x:v>
      </x:c>
      <x:c r="N4162" s="74" t="n">
        <x:f>1-F4162/M4162</x:f>
        <x:v>0</x:v>
      </x:c>
    </x:row>
    <x:row r="4163" ht="27" customHeight="1">
      <x:c r="A4163" s="66" t="str">
        <x:v>SQN453</x:v>
      </x:c>
      <x:c r="B4163" s="66" t="str">
        <x:v>钧誉厚德量化对冲11号</x:v>
      </x:c>
      <x:c r="C4163" s="72" t="n">
        <x:v>44456</x:v>
      </x:c>
      <x:c r="D4163" s="73" t="n">
        <x:v>1.0392</x:v>
      </x:c>
      <x:c r="E4163" s="73" t="n">
        <x:v>1.0392</x:v>
      </x:c>
      <x:c r="F4163" s="73" t="n">
        <x:v>1.0392</x:v>
      </x:c>
      <x:c r="G4163" s="74" t="n">
        <x:v>0.0009</x:v>
      </x:c>
      <x:c r="H4163" s="66" t="str">
        <x:v>钧誉厚德量化对冲11号净值20260911.xlsx</x:v>
      </x:c>
      <x:c r="I4163" s="73" t="str">
        <x:f>""</x:f>
      </x:c>
      <x:c r="J4163" s="74" t="str">
        <x:f>""</x:f>
      </x:c>
      <x:c r="K4163" s="73" t="str">
        <x:f>""</x:f>
      </x:c>
      <x:c r="L4163" s="74" t="str">
        <x:f>""</x:f>
      </x:c>
      <x:c r="M4163" s="73" t="n">
        <x:f>MAX(M4162,F4163)</x:f>
        <x:v>1.0392</x:v>
      </x:c>
      <x:c r="N4163" s="74" t="n">
        <x:f>1-F4163/M4163</x:f>
        <x:v>0</x:v>
      </x:c>
    </x:row>
    <x:row r="4164" ht="27" customHeight="1">
      <x:c r="A4164" s="66" t="str">
        <x:v>SQN453</x:v>
      </x:c>
      <x:c r="B4164" s="66" t="str">
        <x:v>钧誉厚德量化对冲11号</x:v>
      </x:c>
      <x:c r="C4164" s="72" t="n">
        <x:v>44461</x:v>
      </x:c>
      <x:c r="D4164" s="73" t="n">
        <x:v>1.0391</x:v>
      </x:c>
      <x:c r="E4164" s="73" t="n">
        <x:v>1.0391</x:v>
      </x:c>
      <x:c r="F4164" s="73" t="n">
        <x:v>1.0391</x:v>
      </x:c>
      <x:c r="G4164" s="74" t="n">
        <x:v>-0.0001</x:v>
      </x:c>
      <x:c r="H4164" s="66" t="str">
        <x:v>钧誉厚德量化对冲11号净值20260911.xlsx</x:v>
      </x:c>
      <x:c r="I4164" s="73" t="str">
        <x:f>""</x:f>
      </x:c>
      <x:c r="J4164" s="74" t="str">
        <x:f>""</x:f>
      </x:c>
      <x:c r="K4164" s="73" t="str">
        <x:f>""</x:f>
      </x:c>
      <x:c r="L4164" s="74" t="str">
        <x:f>""</x:f>
      </x:c>
      <x:c r="M4164" s="73" t="n">
        <x:f>MAX(M4163,F4164)</x:f>
        <x:v>1.0392</x:v>
      </x:c>
      <x:c r="N4164" s="74" t="n">
        <x:f>1-F4164/M4164</x:f>
        <x:v>0.00009622786759044821</x:v>
      </x:c>
    </x:row>
    <x:row r="4165" ht="27" customHeight="1">
      <x:c r="A4165" s="66" t="str">
        <x:v>SQN453</x:v>
      </x:c>
      <x:c r="B4165" s="66" t="str">
        <x:v>钧誉厚德量化对冲11号</x:v>
      </x:c>
      <x:c r="C4165" s="72" t="n">
        <x:v>44462</x:v>
      </x:c>
      <x:c r="D4165" s="73" t="n">
        <x:v>1.0389</x:v>
      </x:c>
      <x:c r="E4165" s="73" t="n">
        <x:v>1.0389</x:v>
      </x:c>
      <x:c r="F4165" s="73" t="n">
        <x:v>1.0389</x:v>
      </x:c>
      <x:c r="G4165" s="74" t="n">
        <x:v>-0.0002</x:v>
      </x:c>
      <x:c r="H4165" s="66" t="str">
        <x:v>钧誉厚德量化对冲11号净值20260911.xlsx</x:v>
      </x:c>
      <x:c r="I4165" s="73" t="str">
        <x:f>""</x:f>
      </x:c>
      <x:c r="J4165" s="74" t="str">
        <x:f>""</x:f>
      </x:c>
      <x:c r="K4165" s="73" t="str">
        <x:f>""</x:f>
      </x:c>
      <x:c r="L4165" s="74" t="str">
        <x:f>""</x:f>
      </x:c>
      <x:c r="M4165" s="73" t="n">
        <x:f>MAX(M4164,F4165)</x:f>
        <x:v>1.0392</x:v>
      </x:c>
      <x:c r="N4165" s="74" t="n">
        <x:f>1-F4165/M4165</x:f>
        <x:v>0.00028868360277134464</x:v>
      </x:c>
    </x:row>
    <x:row r="4166" ht="27" customHeight="1">
      <x:c r="A4166" s="66" t="str">
        <x:v>SQN453</x:v>
      </x:c>
      <x:c r="B4166" s="66" t="str">
        <x:v>钧誉厚德量化对冲11号</x:v>
      </x:c>
      <x:c r="C4166" s="72" t="n">
        <x:v>44463</x:v>
      </x:c>
      <x:c r="D4166" s="73" t="n">
        <x:v>1.0418</x:v>
      </x:c>
      <x:c r="E4166" s="73" t="n">
        <x:v>1.0418</x:v>
      </x:c>
      <x:c r="F4166" s="73" t="n">
        <x:v>1.0418</x:v>
      </x:c>
      <x:c r="G4166" s="74" t="n">
        <x:v>0.0028000000000000004</x:v>
      </x:c>
      <x:c r="H4166" s="66" t="str">
        <x:v>钧誉厚德量化对冲11号净值20260911.xlsx</x:v>
      </x:c>
      <x:c r="I4166" s="73" t="str">
        <x:f>""</x:f>
      </x:c>
      <x:c r="J4166" s="74" t="str">
        <x:f>""</x:f>
      </x:c>
      <x:c r="K4166" s="73" t="str">
        <x:f>""</x:f>
      </x:c>
      <x:c r="L4166" s="74" t="str">
        <x:f>""</x:f>
      </x:c>
      <x:c r="M4166" s="73" t="n">
        <x:f>MAX(M4165,F4166)</x:f>
        <x:v>1.0418</x:v>
      </x:c>
      <x:c r="N4166" s="74" t="n">
        <x:f>1-F4166/M4166</x:f>
        <x:v>0</x:v>
      </x:c>
    </x:row>
    <x:row r="4167" ht="27" customHeight="1">
      <x:c r="A4167" s="66" t="str">
        <x:v>SQN453</x:v>
      </x:c>
      <x:c r="B4167" s="66" t="str">
        <x:v>钧誉厚德量化对冲11号</x:v>
      </x:c>
      <x:c r="C4167" s="72" t="n">
        <x:v>44466</x:v>
      </x:c>
      <x:c r="D4167" s="73" t="n">
        <x:v>1.0415</x:v>
      </x:c>
      <x:c r="E4167" s="73" t="n">
        <x:v>1.0415</x:v>
      </x:c>
      <x:c r="F4167" s="73" t="n">
        <x:v>1.0415</x:v>
      </x:c>
      <x:c r="G4167" s="74" t="n">
        <x:v>-0.0003</x:v>
      </x:c>
      <x:c r="H4167" s="66" t="str">
        <x:v>钧誉厚德量化对冲11号净值20260911.xlsx</x:v>
      </x:c>
      <x:c r="I4167" s="73" t="str">
        <x:f>""</x:f>
      </x:c>
      <x:c r="J4167" s="74" t="str">
        <x:f>""</x:f>
      </x:c>
      <x:c r="K4167" s="73" t="str">
        <x:f>""</x:f>
      </x:c>
      <x:c r="L4167" s="74" t="str">
        <x:f>""</x:f>
      </x:c>
      <x:c r="M4167" s="73" t="n">
        <x:f>MAX(M4166,F4167)</x:f>
        <x:v>1.0418</x:v>
      </x:c>
      <x:c r="N4167" s="74" t="n">
        <x:f>1-F4167/M4167</x:f>
        <x:v>0.000287963140717995</x:v>
      </x:c>
    </x:row>
    <x:row r="4168" ht="27" customHeight="1">
      <x:c r="A4168" s="66" t="str">
        <x:v>SQN453</x:v>
      </x:c>
      <x:c r="B4168" s="66" t="str">
        <x:v>钧誉厚德量化对冲11号</x:v>
      </x:c>
      <x:c r="C4168" s="72" t="n">
        <x:v>44467</x:v>
      </x:c>
      <x:c r="D4168" s="73" t="n">
        <x:v>1.042</x:v>
      </x:c>
      <x:c r="E4168" s="73" t="n">
        <x:v>1.042</x:v>
      </x:c>
      <x:c r="F4168" s="73" t="n">
        <x:v>1.042</x:v>
      </x:c>
      <x:c r="G4168" s="74" t="n">
        <x:v>0.0005</x:v>
      </x:c>
      <x:c r="H4168" s="66" t="str">
        <x:v>钧誉厚德量化对冲11号净值20260911.xlsx</x:v>
      </x:c>
      <x:c r="I4168" s="73" t="str">
        <x:f>""</x:f>
      </x:c>
      <x:c r="J4168" s="74" t="str">
        <x:f>""</x:f>
      </x:c>
      <x:c r="K4168" s="73" t="str">
        <x:f>""</x:f>
      </x:c>
      <x:c r="L4168" s="74" t="str">
        <x:f>""</x:f>
      </x:c>
      <x:c r="M4168" s="73" t="n">
        <x:f>MAX(M4167,F4168)</x:f>
        <x:v>1.042</x:v>
      </x:c>
      <x:c r="N4168" s="74" t="n">
        <x:f>1-F4168/M4168</x:f>
        <x:v>0</x:v>
      </x:c>
    </x:row>
    <x:row r="4169" ht="27" customHeight="1">
      <x:c r="A4169" s="66" t="str">
        <x:v>SQN453</x:v>
      </x:c>
      <x:c r="B4169" s="66" t="str">
        <x:v>钧誉厚德量化对冲11号</x:v>
      </x:c>
      <x:c r="C4169" s="72" t="n">
        <x:v>44468</x:v>
      </x:c>
      <x:c r="D4169" s="73" t="n">
        <x:v>1.0455</x:v>
      </x:c>
      <x:c r="E4169" s="73" t="n">
        <x:v>1.0455</x:v>
      </x:c>
      <x:c r="F4169" s="73" t="n">
        <x:v>1.0455</x:v>
      </x:c>
      <x:c r="G4169" s="74" t="n">
        <x:v>0.0034000000000000002</x:v>
      </x:c>
      <x:c r="H4169" s="66" t="str">
        <x:v>钧誉厚德量化对冲11号净值20260911.xlsx</x:v>
      </x:c>
      <x:c r="I4169" s="73" t="str">
        <x:f>""</x:f>
      </x:c>
      <x:c r="J4169" s="74" t="str">
        <x:f>""</x:f>
      </x:c>
      <x:c r="K4169" s="73" t="str">
        <x:f>""</x:f>
      </x:c>
      <x:c r="L4169" s="74" t="str">
        <x:f>""</x:f>
      </x:c>
      <x:c r="M4169" s="73" t="n">
        <x:f>MAX(M4168,F4169)</x:f>
        <x:v>1.0455</x:v>
      </x:c>
      <x:c r="N4169" s="74" t="n">
        <x:f>1-F4169/M4169</x:f>
        <x:v>0</x:v>
      </x:c>
    </x:row>
    <x:row r="4170" ht="27" customHeight="1">
      <x:c r="A4170" s="66" t="str">
        <x:v>SQN453</x:v>
      </x:c>
      <x:c r="B4170" s="66" t="str">
        <x:v>钧誉厚德量化对冲11号</x:v>
      </x:c>
      <x:c r="C4170" s="72" t="n">
        <x:v>44469</x:v>
      </x:c>
      <x:c r="D4170" s="73" t="n">
        <x:v>1.0461</x:v>
      </x:c>
      <x:c r="E4170" s="73" t="n">
        <x:v>1.0461</x:v>
      </x:c>
      <x:c r="F4170" s="73" t="n">
        <x:v>1.0461</x:v>
      </x:c>
      <x:c r="G4170" s="74" t="n">
        <x:v>0.0006</x:v>
      </x:c>
      <x:c r="H4170" s="66" t="str">
        <x:v>钧誉厚德量化对冲11号净值20260911.xlsx</x:v>
      </x:c>
      <x:c r="I4170" s="73" t="str">
        <x:f>""</x:f>
      </x:c>
      <x:c r="J4170" s="74" t="str">
        <x:f>""</x:f>
      </x:c>
      <x:c r="K4170" s="73" t="str">
        <x:f>""</x:f>
      </x:c>
      <x:c r="L4170" s="74" t="str">
        <x:f>""</x:f>
      </x:c>
      <x:c r="M4170" s="73" t="n">
        <x:f>MAX(M4169,F4170)</x:f>
        <x:v>1.0461</x:v>
      </x:c>
      <x:c r="N4170" s="74" t="n">
        <x:f>1-F4170/M4170</x:f>
        <x:v>0</x:v>
      </x:c>
    </x:row>
    <x:row r="4171" ht="27" customHeight="1">
      <x:c r="A4171" s="66" t="str">
        <x:v>SQN453</x:v>
      </x:c>
      <x:c r="B4171" s="66" t="str">
        <x:v>钧誉厚德量化对冲11号</x:v>
      </x:c>
      <x:c r="C4171" s="72" t="n">
        <x:v>44477</x:v>
      </x:c>
      <x:c r="D4171" s="73" t="n">
        <x:v>1.0461</x:v>
      </x:c>
      <x:c r="E4171" s="73" t="n">
        <x:v>1.0461</x:v>
      </x:c>
      <x:c r="F4171" s="73" t="n">
        <x:v>1.0461</x:v>
      </x:c>
      <x:c r="G4171" s="74" t="n">
        <x:v>0</x:v>
      </x:c>
      <x:c r="H4171" s="66" t="str">
        <x:v>钧誉厚德量化对冲11号净值20260911.xlsx</x:v>
      </x:c>
      <x:c r="I4171" s="73" t="str">
        <x:f>""</x:f>
      </x:c>
      <x:c r="J4171" s="74" t="str">
        <x:f>""</x:f>
      </x:c>
      <x:c r="K4171" s="73" t="str">
        <x:f>""</x:f>
      </x:c>
      <x:c r="L4171" s="74" t="str">
        <x:f>""</x:f>
      </x:c>
      <x:c r="M4171" s="73" t="n">
        <x:f>MAX(M4170,F4171)</x:f>
        <x:v>1.0461</x:v>
      </x:c>
      <x:c r="N4171" s="74" t="n">
        <x:f>1-F4171/M4171</x:f>
        <x:v>0</x:v>
      </x:c>
    </x:row>
    <x:row r="4172" ht="27" customHeight="1">
      <x:c r="A4172" s="66" t="str">
        <x:v>SQN453</x:v>
      </x:c>
      <x:c r="B4172" s="66" t="str">
        <x:v>钧誉厚德量化对冲11号</x:v>
      </x:c>
      <x:c r="C4172" s="72" t="n">
        <x:v>44480</x:v>
      </x:c>
      <x:c r="D4172" s="73" t="n">
        <x:v>1.0481</x:v>
      </x:c>
      <x:c r="E4172" s="73" t="n">
        <x:v>1.0481</x:v>
      </x:c>
      <x:c r="F4172" s="73" t="n">
        <x:v>1.0481</x:v>
      </x:c>
      <x:c r="G4172" s="74" t="n">
        <x:v>0.0019</x:v>
      </x:c>
      <x:c r="H4172" s="66" t="str">
        <x:v>钧誉厚德量化对冲11号净值20260911.xlsx</x:v>
      </x:c>
      <x:c r="I4172" s="73" t="str">
        <x:f>""</x:f>
      </x:c>
      <x:c r="J4172" s="74" t="str">
        <x:f>""</x:f>
      </x:c>
      <x:c r="K4172" s="73" t="str">
        <x:f>""</x:f>
      </x:c>
      <x:c r="L4172" s="74" t="str">
        <x:f>""</x:f>
      </x:c>
      <x:c r="M4172" s="73" t="n">
        <x:f>MAX(M4171,F4172)</x:f>
        <x:v>1.0481</x:v>
      </x:c>
      <x:c r="N4172" s="74" t="n">
        <x:f>1-F4172/M4172</x:f>
        <x:v>0</x:v>
      </x:c>
    </x:row>
    <x:row r="4173" ht="27" customHeight="1">
      <x:c r="A4173" s="66" t="str">
        <x:v>SQN453</x:v>
      </x:c>
      <x:c r="B4173" s="66" t="str">
        <x:v>钧誉厚德量化对冲11号</x:v>
      </x:c>
      <x:c r="C4173" s="72" t="n">
        <x:v>44481</x:v>
      </x:c>
      <x:c r="D4173" s="73" t="n">
        <x:v>1.0475</x:v>
      </x:c>
      <x:c r="E4173" s="73" t="n">
        <x:v>1.0475</x:v>
      </x:c>
      <x:c r="F4173" s="73" t="n">
        <x:v>1.0475</x:v>
      </x:c>
      <x:c r="G4173" s="74" t="n">
        <x:v>-0.0006</x:v>
      </x:c>
      <x:c r="H4173" s="66" t="str">
        <x:v>钧誉厚德量化对冲11号净值20260911.xlsx</x:v>
      </x:c>
      <x:c r="I4173" s="73" t="str">
        <x:f>""</x:f>
      </x:c>
      <x:c r="J4173" s="74" t="str">
        <x:f>""</x:f>
      </x:c>
      <x:c r="K4173" s="73" t="str">
        <x:f>""</x:f>
      </x:c>
      <x:c r="L4173" s="74" t="str">
        <x:f>""</x:f>
      </x:c>
      <x:c r="M4173" s="73" t="n">
        <x:f>MAX(M4172,F4173)</x:f>
        <x:v>1.0481</x:v>
      </x:c>
      <x:c r="N4173" s="74" t="n">
        <x:f>1-F4173/M4173</x:f>
        <x:v>0.000572464459498101</x:v>
      </x:c>
    </x:row>
    <x:row r="4174" ht="27" customHeight="1">
      <x:c r="A4174" s="66" t="str">
        <x:v>SQN453</x:v>
      </x:c>
      <x:c r="B4174" s="66" t="str">
        <x:v>钧誉厚德量化对冲11号</x:v>
      </x:c>
      <x:c r="C4174" s="72" t="n">
        <x:v>44482</x:v>
      </x:c>
      <x:c r="D4174" s="73" t="n">
        <x:v>1.0485</x:v>
      </x:c>
      <x:c r="E4174" s="73" t="n">
        <x:v>1.0485</x:v>
      </x:c>
      <x:c r="F4174" s="73" t="n">
        <x:v>1.0485</x:v>
      </x:c>
      <x:c r="G4174" s="74" t="n">
        <x:v>0.001</x:v>
      </x:c>
      <x:c r="H4174" s="66" t="str">
        <x:v>钧誉厚德量化对冲11号净值20260911.xlsx</x:v>
      </x:c>
      <x:c r="I4174" s="73" t="str">
        <x:f>""</x:f>
      </x:c>
      <x:c r="J4174" s="74" t="str">
        <x:f>""</x:f>
      </x:c>
      <x:c r="K4174" s="73" t="str">
        <x:f>""</x:f>
      </x:c>
      <x:c r="L4174" s="74" t="str">
        <x:f>""</x:f>
      </x:c>
      <x:c r="M4174" s="73" t="n">
        <x:f>MAX(M4173,F4174)</x:f>
        <x:v>1.0485</x:v>
      </x:c>
      <x:c r="N4174" s="74" t="n">
        <x:f>1-F4174/M4174</x:f>
        <x:v>0</x:v>
      </x:c>
    </x:row>
    <x:row r="4175" ht="27" customHeight="1">
      <x:c r="A4175" s="66" t="str">
        <x:v>SQN453</x:v>
      </x:c>
      <x:c r="B4175" s="66" t="str">
        <x:v>钧誉厚德量化对冲11号</x:v>
      </x:c>
      <x:c r="C4175" s="72" t="n">
        <x:v>44483</x:v>
      </x:c>
      <x:c r="D4175" s="73" t="n">
        <x:v>1.0468</x:v>
      </x:c>
      <x:c r="E4175" s="73" t="n">
        <x:v>1.0468</x:v>
      </x:c>
      <x:c r="F4175" s="73" t="n">
        <x:v>1.0468</x:v>
      </x:c>
      <x:c r="G4175" s="74" t="n">
        <x:v>-0.0016</x:v>
      </x:c>
      <x:c r="H4175" s="66" t="str">
        <x:v>钧誉厚德量化对冲11号净值20260911.xlsx</x:v>
      </x:c>
      <x:c r="I4175" s="73" t="str">
        <x:f>""</x:f>
      </x:c>
      <x:c r="J4175" s="74" t="str">
        <x:f>""</x:f>
      </x:c>
      <x:c r="K4175" s="73" t="str">
        <x:f>""</x:f>
      </x:c>
      <x:c r="L4175" s="74" t="str">
        <x:f>""</x:f>
      </x:c>
      <x:c r="M4175" s="73" t="n">
        <x:f>MAX(M4174,F4175)</x:f>
        <x:v>1.0485</x:v>
      </x:c>
      <x:c r="N4175" s="74" t="n">
        <x:f>1-F4175/M4175</x:f>
        <x:v>0.001621363853123503</x:v>
      </x:c>
    </x:row>
    <x:row r="4176" ht="27" customHeight="1">
      <x:c r="A4176" s="66" t="str">
        <x:v>SQN453</x:v>
      </x:c>
      <x:c r="B4176" s="66" t="str">
        <x:v>钧誉厚德量化对冲11号</x:v>
      </x:c>
      <x:c r="C4176" s="72" t="n">
        <x:v>44484</x:v>
      </x:c>
      <x:c r="D4176" s="73" t="n">
        <x:v>1.0479</x:v>
      </x:c>
      <x:c r="E4176" s="73" t="n">
        <x:v>1.0479</x:v>
      </x:c>
      <x:c r="F4176" s="73" t="n">
        <x:v>1.0479</x:v>
      </x:c>
      <x:c r="G4176" s="74" t="n">
        <x:v>0.0011</x:v>
      </x:c>
      <x:c r="H4176" s="66" t="str">
        <x:v>钧誉厚德量化对冲11号净值20260911.xlsx</x:v>
      </x:c>
      <x:c r="I4176" s="73" t="str">
        <x:f>""</x:f>
      </x:c>
      <x:c r="J4176" s="74" t="str">
        <x:f>""</x:f>
      </x:c>
      <x:c r="K4176" s="73" t="str">
        <x:f>""</x:f>
      </x:c>
      <x:c r="L4176" s="74" t="str">
        <x:f>""</x:f>
      </x:c>
      <x:c r="M4176" s="73" t="n">
        <x:f>MAX(M4175,F4176)</x:f>
        <x:v>1.0485</x:v>
      </x:c>
      <x:c r="N4176" s="74" t="n">
        <x:f>1-F4176/M4176</x:f>
        <x:v>0.0005722460658081907</x:v>
      </x:c>
    </x:row>
    <x:row r="4177" ht="27" customHeight="1">
      <x:c r="A4177" s="66" t="str">
        <x:v>SQN453</x:v>
      </x:c>
      <x:c r="B4177" s="66" t="str">
        <x:v>钧誉厚德量化对冲11号</x:v>
      </x:c>
      <x:c r="C4177" s="72" t="n">
        <x:v>44487</x:v>
      </x:c>
      <x:c r="D4177" s="73" t="n">
        <x:v>1.0485</x:v>
      </x:c>
      <x:c r="E4177" s="73" t="n">
        <x:v>1.0485</x:v>
      </x:c>
      <x:c r="F4177" s="73" t="n">
        <x:v>1.0485</x:v>
      </x:c>
      <x:c r="G4177" s="74" t="n">
        <x:v>0.0006</x:v>
      </x:c>
      <x:c r="H4177" s="66" t="str">
        <x:v>钧誉厚德量化对冲11号净值20260911.xlsx</x:v>
      </x:c>
      <x:c r="I4177" s="73" t="str">
        <x:f>""</x:f>
      </x:c>
      <x:c r="J4177" s="74" t="str">
        <x:f>""</x:f>
      </x:c>
      <x:c r="K4177" s="73" t="str">
        <x:f>""</x:f>
      </x:c>
      <x:c r="L4177" s="74" t="str">
        <x:f>""</x:f>
      </x:c>
      <x:c r="M4177" s="73" t="n">
        <x:f>MAX(M4176,F4177)</x:f>
        <x:v>1.0485</x:v>
      </x:c>
      <x:c r="N4177" s="74" t="n">
        <x:f>1-F4177/M4177</x:f>
        <x:v>0</x:v>
      </x:c>
    </x:row>
    <x:row r="4178" ht="27" customHeight="1">
      <x:c r="A4178" s="66" t="str">
        <x:v>SQN453</x:v>
      </x:c>
      <x:c r="B4178" s="66" t="str">
        <x:v>钧誉厚德量化对冲11号</x:v>
      </x:c>
      <x:c r="C4178" s="72" t="n">
        <x:v>44488</x:v>
      </x:c>
      <x:c r="D4178" s="73" t="n">
        <x:v>1.0492</x:v>
      </x:c>
      <x:c r="E4178" s="73" t="n">
        <x:v>1.0492</x:v>
      </x:c>
      <x:c r="F4178" s="73" t="n">
        <x:v>1.0492</x:v>
      </x:c>
      <x:c r="G4178" s="74" t="n">
        <x:v>0.0007000000000000001</x:v>
      </x:c>
      <x:c r="H4178" s="66" t="str">
        <x:v>钧誉厚德量化对冲11号净值20260911.xlsx</x:v>
      </x:c>
      <x:c r="I4178" s="73" t="str">
        <x:f>""</x:f>
      </x:c>
      <x:c r="J4178" s="74" t="str">
        <x:f>""</x:f>
      </x:c>
      <x:c r="K4178" s="73" t="str">
        <x:f>""</x:f>
      </x:c>
      <x:c r="L4178" s="74" t="str">
        <x:f>""</x:f>
      </x:c>
      <x:c r="M4178" s="73" t="n">
        <x:f>MAX(M4177,F4178)</x:f>
        <x:v>1.0492</x:v>
      </x:c>
      <x:c r="N4178" s="74" t="n">
        <x:f>1-F4178/M4178</x:f>
        <x:v>0</x:v>
      </x:c>
    </x:row>
    <x:row r="4179" ht="27" customHeight="1">
      <x:c r="A4179" s="66" t="str">
        <x:v>SQN453</x:v>
      </x:c>
      <x:c r="B4179" s="66" t="str">
        <x:v>钧誉厚德量化对冲11号</x:v>
      </x:c>
      <x:c r="C4179" s="72" t="n">
        <x:v>44489</x:v>
      </x:c>
      <x:c r="D4179" s="73" t="n">
        <x:v>1.0523</x:v>
      </x:c>
      <x:c r="E4179" s="73" t="n">
        <x:v>1.0523</x:v>
      </x:c>
      <x:c r="F4179" s="73" t="n">
        <x:v>1.0523</x:v>
      </x:c>
      <x:c r="G4179" s="74" t="n">
        <x:v>0.003</x:v>
      </x:c>
      <x:c r="H4179" s="66" t="str">
        <x:v>钧誉厚德量化对冲11号净值20260911.xlsx</x:v>
      </x:c>
      <x:c r="I4179" s="73" t="str">
        <x:f>""</x:f>
      </x:c>
      <x:c r="J4179" s="74" t="str">
        <x:f>""</x:f>
      </x:c>
      <x:c r="K4179" s="73" t="str">
        <x:f>""</x:f>
      </x:c>
      <x:c r="L4179" s="74" t="str">
        <x:f>""</x:f>
      </x:c>
      <x:c r="M4179" s="73" t="n">
        <x:f>MAX(M4178,F4179)</x:f>
        <x:v>1.0523</x:v>
      </x:c>
      <x:c r="N4179" s="74" t="n">
        <x:f>1-F4179/M4179</x:f>
        <x:v>0</x:v>
      </x:c>
    </x:row>
    <x:row r="4180" ht="27" customHeight="1">
      <x:c r="A4180" s="66" t="str">
        <x:v>SQN453</x:v>
      </x:c>
      <x:c r="B4180" s="66" t="str">
        <x:v>钧誉厚德量化对冲11号</x:v>
      </x:c>
      <x:c r="C4180" s="72" t="n">
        <x:v>44490</x:v>
      </x:c>
      <x:c r="D4180" s="73" t="n">
        <x:v>1.0546</x:v>
      </x:c>
      <x:c r="E4180" s="73" t="n">
        <x:v>1.0546</x:v>
      </x:c>
      <x:c r="F4180" s="73" t="n">
        <x:v>1.0546</x:v>
      </x:c>
      <x:c r="G4180" s="74" t="n">
        <x:v>0.0022</x:v>
      </x:c>
      <x:c r="H4180" s="66" t="str">
        <x:v>钧誉厚德量化对冲11号净值20260911.xlsx</x:v>
      </x:c>
      <x:c r="I4180" s="73" t="str">
        <x:f>""</x:f>
      </x:c>
      <x:c r="J4180" s="74" t="str">
        <x:f>""</x:f>
      </x:c>
      <x:c r="K4180" s="73" t="str">
        <x:f>""</x:f>
      </x:c>
      <x:c r="L4180" s="74" t="str">
        <x:f>""</x:f>
      </x:c>
      <x:c r="M4180" s="73" t="n">
        <x:f>MAX(M4179,F4180)</x:f>
        <x:v>1.0546</x:v>
      </x:c>
      <x:c r="N4180" s="74" t="n">
        <x:f>1-F4180/M4180</x:f>
        <x:v>0</x:v>
      </x:c>
    </x:row>
    <x:row r="4181" ht="27" customHeight="1">
      <x:c r="A4181" s="66" t="str">
        <x:v>SQN453</x:v>
      </x:c>
      <x:c r="B4181" s="66" t="str">
        <x:v>钧誉厚德量化对冲11号</x:v>
      </x:c>
      <x:c r="C4181" s="72" t="n">
        <x:v>44491</x:v>
      </x:c>
      <x:c r="D4181" s="73" t="n">
        <x:v>1.0556</x:v>
      </x:c>
      <x:c r="E4181" s="73" t="n">
        <x:v>1.0556</x:v>
      </x:c>
      <x:c r="F4181" s="73" t="n">
        <x:v>1.0556</x:v>
      </x:c>
      <x:c r="G4181" s="74" t="n">
        <x:v>0.0009</x:v>
      </x:c>
      <x:c r="H4181" s="66" t="str">
        <x:v>钧誉厚德量化对冲11号净值20260911.xlsx</x:v>
      </x:c>
      <x:c r="I4181" s="73" t="str">
        <x:f>""</x:f>
      </x:c>
      <x:c r="J4181" s="74" t="str">
        <x:f>""</x:f>
      </x:c>
      <x:c r="K4181" s="73" t="str">
        <x:f>""</x:f>
      </x:c>
      <x:c r="L4181" s="74" t="str">
        <x:f>""</x:f>
      </x:c>
      <x:c r="M4181" s="73" t="n">
        <x:f>MAX(M4180,F4181)</x:f>
        <x:v>1.0556</x:v>
      </x:c>
      <x:c r="N4181" s="74" t="n">
        <x:f>1-F4181/M4181</x:f>
        <x:v>0</x:v>
      </x:c>
    </x:row>
    <x:row r="4182" ht="27" customHeight="1">
      <x:c r="A4182" s="66" t="str">
        <x:v>SQN453</x:v>
      </x:c>
      <x:c r="B4182" s="66" t="str">
        <x:v>钧誉厚德量化对冲11号</x:v>
      </x:c>
      <x:c r="C4182" s="72" t="n">
        <x:v>44494</x:v>
      </x:c>
      <x:c r="D4182" s="73" t="n">
        <x:v>1.0557</x:v>
      </x:c>
      <x:c r="E4182" s="73" t="n">
        <x:v>1.0557</x:v>
      </x:c>
      <x:c r="F4182" s="73" t="n">
        <x:v>1.0557</x:v>
      </x:c>
      <x:c r="G4182" s="74" t="n">
        <x:v>0.0001</x:v>
      </x:c>
      <x:c r="H4182" s="66" t="str">
        <x:v>钧誉厚德量化对冲11号净值20260911.xlsx</x:v>
      </x:c>
      <x:c r="I4182" s="73" t="str">
        <x:f>""</x:f>
      </x:c>
      <x:c r="J4182" s="74" t="str">
        <x:f>""</x:f>
      </x:c>
      <x:c r="K4182" s="73" t="str">
        <x:f>""</x:f>
      </x:c>
      <x:c r="L4182" s="74" t="str">
        <x:f>""</x:f>
      </x:c>
      <x:c r="M4182" s="73" t="n">
        <x:f>MAX(M4181,F4182)</x:f>
        <x:v>1.0557</x:v>
      </x:c>
      <x:c r="N4182" s="74" t="n">
        <x:f>1-F4182/M4182</x:f>
        <x:v>0</x:v>
      </x:c>
    </x:row>
    <x:row r="4183" ht="27" customHeight="1">
      <x:c r="A4183" s="66" t="str">
        <x:v>SQN453</x:v>
      </x:c>
      <x:c r="B4183" s="66" t="str">
        <x:v>钧誉厚德量化对冲11号</x:v>
      </x:c>
      <x:c r="C4183" s="72" t="n">
        <x:v>44495</x:v>
      </x:c>
      <x:c r="D4183" s="73" t="n">
        <x:v>1.0583</x:v>
      </x:c>
      <x:c r="E4183" s="73" t="n">
        <x:v>1.0583</x:v>
      </x:c>
      <x:c r="F4183" s="73" t="n">
        <x:v>1.0583</x:v>
      </x:c>
      <x:c r="G4183" s="74" t="n">
        <x:v>0.0025</x:v>
      </x:c>
      <x:c r="H4183" s="66" t="str">
        <x:v>钧誉厚德量化对冲11号净值20260911.xlsx</x:v>
      </x:c>
      <x:c r="I4183" s="73" t="str">
        <x:f>""</x:f>
      </x:c>
      <x:c r="J4183" s="74" t="str">
        <x:f>""</x:f>
      </x:c>
      <x:c r="K4183" s="73" t="str">
        <x:f>""</x:f>
      </x:c>
      <x:c r="L4183" s="74" t="str">
        <x:f>""</x:f>
      </x:c>
      <x:c r="M4183" s="73" t="n">
        <x:f>MAX(M4182,F4183)</x:f>
        <x:v>1.0583</x:v>
      </x:c>
      <x:c r="N4183" s="74" t="n">
        <x:f>1-F4183/M4183</x:f>
        <x:v>0</x:v>
      </x:c>
    </x:row>
    <x:row r="4184" ht="27" customHeight="1">
      <x:c r="A4184" s="66" t="str">
        <x:v>SQN453</x:v>
      </x:c>
      <x:c r="B4184" s="66" t="str">
        <x:v>钧誉厚德量化对冲11号</x:v>
      </x:c>
      <x:c r="C4184" s="72" t="n">
        <x:v>44496</x:v>
      </x:c>
      <x:c r="D4184" s="73" t="n">
        <x:v>1.059</x:v>
      </x:c>
      <x:c r="E4184" s="73" t="n">
        <x:v>1.059</x:v>
      </x:c>
      <x:c r="F4184" s="73" t="n">
        <x:v>1.059</x:v>
      </x:c>
      <x:c r="G4184" s="74" t="n">
        <x:v>0.0007000000000000001</x:v>
      </x:c>
      <x:c r="H4184" s="66" t="str">
        <x:v>钧誉厚德量化对冲11号净值20260911.xlsx</x:v>
      </x:c>
      <x:c r="I4184" s="73" t="str">
        <x:f>""</x:f>
      </x:c>
      <x:c r="J4184" s="74" t="str">
        <x:f>""</x:f>
      </x:c>
      <x:c r="K4184" s="73" t="str">
        <x:f>""</x:f>
      </x:c>
      <x:c r="L4184" s="74" t="str">
        <x:f>""</x:f>
      </x:c>
      <x:c r="M4184" s="73" t="n">
        <x:f>MAX(M4183,F4184)</x:f>
        <x:v>1.059</x:v>
      </x:c>
      <x:c r="N4184" s="74" t="n">
        <x:f>1-F4184/M4184</x:f>
        <x:v>0</x:v>
      </x:c>
    </x:row>
    <x:row r="4185" ht="27" customHeight="1">
      <x:c r="A4185" s="66" t="str">
        <x:v>SQN453</x:v>
      </x:c>
      <x:c r="B4185" s="66" t="str">
        <x:v>钧誉厚德量化对冲11号</x:v>
      </x:c>
      <x:c r="C4185" s="72" t="n">
        <x:v>44497</x:v>
      </x:c>
      <x:c r="D4185" s="73" t="n">
        <x:v>1.0595</x:v>
      </x:c>
      <x:c r="E4185" s="73" t="n">
        <x:v>1.0595</x:v>
      </x:c>
      <x:c r="F4185" s="73" t="n">
        <x:v>1.0595</x:v>
      </x:c>
      <x:c r="G4185" s="74" t="n">
        <x:v>0.0005</x:v>
      </x:c>
      <x:c r="H4185" s="66" t="str">
        <x:v>钧誉厚德量化对冲11号净值20260911.xlsx</x:v>
      </x:c>
      <x:c r="I4185" s="73" t="str">
        <x:f>""</x:f>
      </x:c>
      <x:c r="J4185" s="74" t="str">
        <x:f>""</x:f>
      </x:c>
      <x:c r="K4185" s="73" t="str">
        <x:f>""</x:f>
      </x:c>
      <x:c r="L4185" s="74" t="str">
        <x:f>""</x:f>
      </x:c>
      <x:c r="M4185" s="73" t="n">
        <x:f>MAX(M4184,F4185)</x:f>
        <x:v>1.0595</x:v>
      </x:c>
      <x:c r="N4185" s="74" t="n">
        <x:f>1-F4185/M4185</x:f>
        <x:v>0</x:v>
      </x:c>
    </x:row>
    <x:row r="4186" ht="27" customHeight="1">
      <x:c r="A4186" s="66" t="str">
        <x:v>SQN453</x:v>
      </x:c>
      <x:c r="B4186" s="66" t="str">
        <x:v>钧誉厚德量化对冲11号</x:v>
      </x:c>
      <x:c r="C4186" s="72" t="n">
        <x:v>44498</x:v>
      </x:c>
      <x:c r="D4186" s="73" t="n">
        <x:v>1.0602</x:v>
      </x:c>
      <x:c r="E4186" s="73" t="n">
        <x:v>1.0602</x:v>
      </x:c>
      <x:c r="F4186" s="73" t="n">
        <x:v>1.0602</x:v>
      </x:c>
      <x:c r="G4186" s="74" t="n">
        <x:v>0.0007000000000000001</x:v>
      </x:c>
      <x:c r="H4186" s="66" t="str">
        <x:v>钧誉厚德量化对冲11号净值20260911.xlsx</x:v>
      </x:c>
      <x:c r="I4186" s="73" t="str">
        <x:f>""</x:f>
      </x:c>
      <x:c r="J4186" s="74" t="str">
        <x:f>""</x:f>
      </x:c>
      <x:c r="K4186" s="73" t="str">
        <x:f>""</x:f>
      </x:c>
      <x:c r="L4186" s="74" t="str">
        <x:f>""</x:f>
      </x:c>
      <x:c r="M4186" s="73" t="n">
        <x:f>MAX(M4185,F4186)</x:f>
        <x:v>1.0602</x:v>
      </x:c>
      <x:c r="N4186" s="74" t="n">
        <x:f>1-F4186/M4186</x:f>
        <x:v>0</x:v>
      </x:c>
    </x:row>
    <x:row r="4187" ht="27" customHeight="1">
      <x:c r="A4187" s="66" t="str">
        <x:v>SQN453</x:v>
      </x:c>
      <x:c r="B4187" s="66" t="str">
        <x:v>钧誉厚德量化对冲11号</x:v>
      </x:c>
      <x:c r="C4187" s="72" t="n">
        <x:v>44501</x:v>
      </x:c>
      <x:c r="D4187" s="73" t="n">
        <x:v>1.0613</x:v>
      </x:c>
      <x:c r="E4187" s="73" t="n">
        <x:v>1.0613</x:v>
      </x:c>
      <x:c r="F4187" s="73" t="n">
        <x:v>1.0613</x:v>
      </x:c>
      <x:c r="G4187" s="74" t="n">
        <x:v>0.001</x:v>
      </x:c>
      <x:c r="H4187" s="66" t="str">
        <x:v>钧誉厚德量化对冲11号净值20260911.xlsx</x:v>
      </x:c>
      <x:c r="I4187" s="73" t="str">
        <x:f>""</x:f>
      </x:c>
      <x:c r="J4187" s="74" t="str">
        <x:f>""</x:f>
      </x:c>
      <x:c r="K4187" s="73" t="str">
        <x:f>""</x:f>
      </x:c>
      <x:c r="L4187" s="74" t="str">
        <x:f>""</x:f>
      </x:c>
      <x:c r="M4187" s="73" t="n">
        <x:f>MAX(M4186,F4187)</x:f>
        <x:v>1.0613</x:v>
      </x:c>
      <x:c r="N4187" s="74" t="n">
        <x:f>1-F4187/M4187</x:f>
        <x:v>0</x:v>
      </x:c>
    </x:row>
    <x:row r="4188" ht="27" customHeight="1">
      <x:c r="A4188" s="66" t="str">
        <x:v>SQN453</x:v>
      </x:c>
      <x:c r="B4188" s="66" t="str">
        <x:v>钧誉厚德量化对冲11号</x:v>
      </x:c>
      <x:c r="C4188" s="72" t="n">
        <x:v>44502</x:v>
      </x:c>
      <x:c r="D4188" s="73" t="n">
        <x:v>1.0623</x:v>
      </x:c>
      <x:c r="E4188" s="73" t="n">
        <x:v>1.0623</x:v>
      </x:c>
      <x:c r="F4188" s="73" t="n">
        <x:v>1.0623</x:v>
      </x:c>
      <x:c r="G4188" s="74" t="n">
        <x:v>0.0009</x:v>
      </x:c>
      <x:c r="H4188" s="66" t="str">
        <x:v>钧誉厚德量化对冲11号净值20260911.xlsx</x:v>
      </x:c>
      <x:c r="I4188" s="73" t="str">
        <x:f>""</x:f>
      </x:c>
      <x:c r="J4188" s="74" t="str">
        <x:f>""</x:f>
      </x:c>
      <x:c r="K4188" s="73" t="str">
        <x:f>""</x:f>
      </x:c>
      <x:c r="L4188" s="74" t="str">
        <x:f>""</x:f>
      </x:c>
      <x:c r="M4188" s="73" t="n">
        <x:f>MAX(M4187,F4188)</x:f>
        <x:v>1.0623</x:v>
      </x:c>
      <x:c r="N4188" s="74" t="n">
        <x:f>1-F4188/M4188</x:f>
        <x:v>0</x:v>
      </x:c>
    </x:row>
    <x:row r="4189" ht="27" customHeight="1">
      <x:c r="A4189" s="66" t="str">
        <x:v>SQN453</x:v>
      </x:c>
      <x:c r="B4189" s="66" t="str">
        <x:v>钧誉厚德量化对冲11号</x:v>
      </x:c>
      <x:c r="C4189" s="72" t="n">
        <x:v>44503</x:v>
      </x:c>
      <x:c r="D4189" s="73" t="n">
        <x:v>1.0639</x:v>
      </x:c>
      <x:c r="E4189" s="73" t="n">
        <x:v>1.0639</x:v>
      </x:c>
      <x:c r="F4189" s="73" t="n">
        <x:v>1.0639</x:v>
      </x:c>
      <x:c r="G4189" s="74" t="n">
        <x:v>0.0015</x:v>
      </x:c>
      <x:c r="H4189" s="66" t="str">
        <x:v>钧誉厚德量化对冲11号净值20260911.xlsx</x:v>
      </x:c>
      <x:c r="I4189" s="73" t="str">
        <x:f>""</x:f>
      </x:c>
      <x:c r="J4189" s="74" t="str">
        <x:f>""</x:f>
      </x:c>
      <x:c r="K4189" s="73" t="str">
        <x:f>""</x:f>
      </x:c>
      <x:c r="L4189" s="74" t="str">
        <x:f>""</x:f>
      </x:c>
      <x:c r="M4189" s="73" t="n">
        <x:f>MAX(M4188,F4189)</x:f>
        <x:v>1.0639</x:v>
      </x:c>
      <x:c r="N4189" s="74" t="n">
        <x:f>1-F4189/M4189</x:f>
        <x:v>0</x:v>
      </x:c>
    </x:row>
    <x:row r="4190" ht="27" customHeight="1">
      <x:c r="A4190" s="66" t="str">
        <x:v>SQN453</x:v>
      </x:c>
      <x:c r="B4190" s="66" t="str">
        <x:v>钧誉厚德量化对冲11号</x:v>
      </x:c>
      <x:c r="C4190" s="72" t="n">
        <x:v>44504</x:v>
      </x:c>
      <x:c r="D4190" s="73" t="n">
        <x:v>1.0647</x:v>
      </x:c>
      <x:c r="E4190" s="73" t="n">
        <x:v>1.0647</x:v>
      </x:c>
      <x:c r="F4190" s="73" t="n">
        <x:v>1.0647</x:v>
      </x:c>
      <x:c r="G4190" s="74" t="n">
        <x:v>0.0008</x:v>
      </x:c>
      <x:c r="H4190" s="66" t="str">
        <x:v>钧誉厚德量化对冲11号净值20260911.xlsx</x:v>
      </x:c>
      <x:c r="I4190" s="73" t="str">
        <x:f>""</x:f>
      </x:c>
      <x:c r="J4190" s="74" t="str">
        <x:f>""</x:f>
      </x:c>
      <x:c r="K4190" s="73" t="str">
        <x:f>""</x:f>
      </x:c>
      <x:c r="L4190" s="74" t="str">
        <x:f>""</x:f>
      </x:c>
      <x:c r="M4190" s="73" t="n">
        <x:f>MAX(M4189,F4190)</x:f>
        <x:v>1.0647</x:v>
      </x:c>
      <x:c r="N4190" s="74" t="n">
        <x:f>1-F4190/M4190</x:f>
        <x:v>0</x:v>
      </x:c>
    </x:row>
    <x:row r="4191" ht="27" customHeight="1">
      <x:c r="A4191" s="66" t="str">
        <x:v>SQN453</x:v>
      </x:c>
      <x:c r="B4191" s="66" t="str">
        <x:v>钧誉厚德量化对冲11号</x:v>
      </x:c>
      <x:c r="C4191" s="72" t="n">
        <x:v>44505</x:v>
      </x:c>
      <x:c r="D4191" s="73" t="n">
        <x:v>1.0661</x:v>
      </x:c>
      <x:c r="E4191" s="73" t="n">
        <x:v>1.0661</x:v>
      </x:c>
      <x:c r="F4191" s="73" t="n">
        <x:v>1.0661</x:v>
      </x:c>
      <x:c r="G4191" s="74" t="n">
        <x:v>0.0013</x:v>
      </x:c>
      <x:c r="H4191" s="66" t="str">
        <x:v>钧誉厚德量化对冲11号净值20260911.xlsx</x:v>
      </x:c>
      <x:c r="I4191" s="73" t="str">
        <x:f>""</x:f>
      </x:c>
      <x:c r="J4191" s="74" t="str">
        <x:f>""</x:f>
      </x:c>
      <x:c r="K4191" s="73" t="str">
        <x:f>""</x:f>
      </x:c>
      <x:c r="L4191" s="74" t="str">
        <x:f>""</x:f>
      </x:c>
      <x:c r="M4191" s="73" t="n">
        <x:f>MAX(M4190,F4191)</x:f>
        <x:v>1.0661</x:v>
      </x:c>
      <x:c r="N4191" s="74" t="n">
        <x:f>1-F4191/M4191</x:f>
        <x:v>0</x:v>
      </x:c>
    </x:row>
    <x:row r="4192" ht="27" customHeight="1">
      <x:c r="A4192" s="66" t="str">
        <x:v>SQN453</x:v>
      </x:c>
      <x:c r="B4192" s="66" t="str">
        <x:v>钧誉厚德量化对冲11号</x:v>
      </x:c>
      <x:c r="C4192" s="72" t="n">
        <x:v>44508</x:v>
      </x:c>
      <x:c r="D4192" s="73" t="n">
        <x:v>1.0675</x:v>
      </x:c>
      <x:c r="E4192" s="73" t="n">
        <x:v>1.0675</x:v>
      </x:c>
      <x:c r="F4192" s="73" t="n">
        <x:v>1.0675</x:v>
      </x:c>
      <x:c r="G4192" s="74" t="n">
        <x:v>0.0013</x:v>
      </x:c>
      <x:c r="H4192" s="66" t="str">
        <x:v>钧誉厚德量化对冲11号净值20260911.xlsx</x:v>
      </x:c>
      <x:c r="I4192" s="73" t="str">
        <x:f>""</x:f>
      </x:c>
      <x:c r="J4192" s="74" t="str">
        <x:f>""</x:f>
      </x:c>
      <x:c r="K4192" s="73" t="str">
        <x:f>""</x:f>
      </x:c>
      <x:c r="L4192" s="74" t="str">
        <x:f>""</x:f>
      </x:c>
      <x:c r="M4192" s="73" t="n">
        <x:f>MAX(M4191,F4192)</x:f>
        <x:v>1.0675</x:v>
      </x:c>
      <x:c r="N4192" s="74" t="n">
        <x:f>1-F4192/M4192</x:f>
        <x:v>0</x:v>
      </x:c>
    </x:row>
    <x:row r="4193" ht="27" customHeight="1">
      <x:c r="A4193" s="66" t="str">
        <x:v>SQN453</x:v>
      </x:c>
      <x:c r="B4193" s="66" t="str">
        <x:v>钧誉厚德量化对冲11号</x:v>
      </x:c>
      <x:c r="C4193" s="72" t="n">
        <x:v>44509</x:v>
      </x:c>
      <x:c r="D4193" s="73" t="n">
        <x:v>1.0686</x:v>
      </x:c>
      <x:c r="E4193" s="73" t="n">
        <x:v>1.0686</x:v>
      </x:c>
      <x:c r="F4193" s="73" t="n">
        <x:v>1.0686</x:v>
      </x:c>
      <x:c r="G4193" s="74" t="n">
        <x:v>0.001</x:v>
      </x:c>
      <x:c r="H4193" s="66" t="str">
        <x:v>钧誉厚德量化对冲11号净值20260911.xlsx</x:v>
      </x:c>
      <x:c r="I4193" s="73" t="str">
        <x:f>""</x:f>
      </x:c>
      <x:c r="J4193" s="74" t="str">
        <x:f>""</x:f>
      </x:c>
      <x:c r="K4193" s="73" t="str">
        <x:f>""</x:f>
      </x:c>
      <x:c r="L4193" s="74" t="str">
        <x:f>""</x:f>
      </x:c>
      <x:c r="M4193" s="73" t="n">
        <x:f>MAX(M4192,F4193)</x:f>
        <x:v>1.0686</x:v>
      </x:c>
      <x:c r="N4193" s="74" t="n">
        <x:f>1-F4193/M4193</x:f>
        <x:v>0</x:v>
      </x:c>
    </x:row>
    <x:row r="4194" ht="27" customHeight="1">
      <x:c r="A4194" s="66" t="str">
        <x:v>SQN453</x:v>
      </x:c>
      <x:c r="B4194" s="66" t="str">
        <x:v>钧誉厚德量化对冲11号</x:v>
      </x:c>
      <x:c r="C4194" s="72" t="n">
        <x:v>44510</x:v>
      </x:c>
      <x:c r="D4194" s="73" t="n">
        <x:v>1.0692</x:v>
      </x:c>
      <x:c r="E4194" s="73" t="n">
        <x:v>1.0692</x:v>
      </x:c>
      <x:c r="F4194" s="73" t="n">
        <x:v>1.0692</x:v>
      </x:c>
      <x:c r="G4194" s="74" t="n">
        <x:v>0.0006</x:v>
      </x:c>
      <x:c r="H4194" s="66" t="str">
        <x:v>钧誉厚德量化对冲11号净值20260911.xlsx</x:v>
      </x:c>
      <x:c r="I4194" s="73" t="str">
        <x:f>""</x:f>
      </x:c>
      <x:c r="J4194" s="74" t="str">
        <x:f>""</x:f>
      </x:c>
      <x:c r="K4194" s="73" t="str">
        <x:f>""</x:f>
      </x:c>
      <x:c r="L4194" s="74" t="str">
        <x:f>""</x:f>
      </x:c>
      <x:c r="M4194" s="73" t="n">
        <x:f>MAX(M4193,F4194)</x:f>
        <x:v>1.0692</x:v>
      </x:c>
      <x:c r="N4194" s="74" t="n">
        <x:f>1-F4194/M4194</x:f>
        <x:v>0</x:v>
      </x:c>
    </x:row>
    <x:row r="4195" ht="27" customHeight="1">
      <x:c r="A4195" s="66" t="str">
        <x:v>SQN453</x:v>
      </x:c>
      <x:c r="B4195" s="66" t="str">
        <x:v>钧誉厚德量化对冲11号</x:v>
      </x:c>
      <x:c r="C4195" s="72" t="n">
        <x:v>44511</x:v>
      </x:c>
      <x:c r="D4195" s="73" t="n">
        <x:v>1.0697</x:v>
      </x:c>
      <x:c r="E4195" s="73" t="n">
        <x:v>1.0697</x:v>
      </x:c>
      <x:c r="F4195" s="73" t="n">
        <x:v>1.0697</x:v>
      </x:c>
      <x:c r="G4195" s="74" t="n">
        <x:v>0.0005</x:v>
      </x:c>
      <x:c r="H4195" s="66" t="str">
        <x:v>钧誉厚德量化对冲11号净值20260911.xlsx</x:v>
      </x:c>
      <x:c r="I4195" s="73" t="str">
        <x:f>""</x:f>
      </x:c>
      <x:c r="J4195" s="74" t="str">
        <x:f>""</x:f>
      </x:c>
      <x:c r="K4195" s="73" t="str">
        <x:f>""</x:f>
      </x:c>
      <x:c r="L4195" s="74" t="str">
        <x:f>""</x:f>
      </x:c>
      <x:c r="M4195" s="73" t="n">
        <x:f>MAX(M4194,F4195)</x:f>
        <x:v>1.0697</x:v>
      </x:c>
      <x:c r="N4195" s="74" t="n">
        <x:f>1-F4195/M4195</x:f>
        <x:v>0</x:v>
      </x:c>
    </x:row>
    <x:row r="4196" ht="27" customHeight="1">
      <x:c r="A4196" s="66" t="str">
        <x:v>SQN453</x:v>
      </x:c>
      <x:c r="B4196" s="66" t="str">
        <x:v>钧誉厚德量化对冲11号</x:v>
      </x:c>
      <x:c r="C4196" s="72" t="n">
        <x:v>44512</x:v>
      </x:c>
      <x:c r="D4196" s="73" t="n">
        <x:v>1.07</x:v>
      </x:c>
      <x:c r="E4196" s="73" t="n">
        <x:v>1.07</x:v>
      </x:c>
      <x:c r="F4196" s="73" t="n">
        <x:v>1.07</x:v>
      </x:c>
      <x:c r="G4196" s="74" t="n">
        <x:v>0.0003</x:v>
      </x:c>
      <x:c r="H4196" s="66" t="str">
        <x:v>钧誉厚德量化对冲11号净值20260911.xlsx</x:v>
      </x:c>
      <x:c r="I4196" s="73" t="str">
        <x:f>""</x:f>
      </x:c>
      <x:c r="J4196" s="74" t="str">
        <x:f>""</x:f>
      </x:c>
      <x:c r="K4196" s="73" t="str">
        <x:f>""</x:f>
      </x:c>
      <x:c r="L4196" s="74" t="str">
        <x:f>""</x:f>
      </x:c>
      <x:c r="M4196" s="73" t="n">
        <x:f>MAX(M4195,F4196)</x:f>
        <x:v>1.07</x:v>
      </x:c>
      <x:c r="N4196" s="74" t="n">
        <x:f>1-F4196/M4196</x:f>
        <x:v>0</x:v>
      </x:c>
    </x:row>
    <x:row r="4197" ht="27" customHeight="1">
      <x:c r="A4197" s="66" t="str">
        <x:v>SQN453</x:v>
      </x:c>
      <x:c r="B4197" s="66" t="str">
        <x:v>钧誉厚德量化对冲11号</x:v>
      </x:c>
      <x:c r="C4197" s="72" t="n">
        <x:v>44515</x:v>
      </x:c>
      <x:c r="D4197" s="73" t="n">
        <x:v>1.0709</x:v>
      </x:c>
      <x:c r="E4197" s="73" t="n">
        <x:v>1.0709</x:v>
      </x:c>
      <x:c r="F4197" s="73" t="n">
        <x:v>1.0709</x:v>
      </x:c>
      <x:c r="G4197" s="74" t="n">
        <x:v>0.0008</x:v>
      </x:c>
      <x:c r="H4197" s="66" t="str">
        <x:v>钧誉厚德量化对冲11号净值20260911.xlsx</x:v>
      </x:c>
      <x:c r="I4197" s="73" t="str">
        <x:f>""</x:f>
      </x:c>
      <x:c r="J4197" s="74" t="str">
        <x:f>""</x:f>
      </x:c>
      <x:c r="K4197" s="73" t="str">
        <x:f>""</x:f>
      </x:c>
      <x:c r="L4197" s="74" t="str">
        <x:f>""</x:f>
      </x:c>
      <x:c r="M4197" s="73" t="n">
        <x:f>MAX(M4196,F4197)</x:f>
        <x:v>1.0709</x:v>
      </x:c>
      <x:c r="N4197" s="74" t="n">
        <x:f>1-F4197/M4197</x:f>
        <x:v>0</x:v>
      </x:c>
    </x:row>
    <x:row r="4198" ht="27" customHeight="1">
      <x:c r="A4198" s="66" t="str">
        <x:v>SQN453</x:v>
      </x:c>
      <x:c r="B4198" s="66" t="str">
        <x:v>钧誉厚德量化对冲11号</x:v>
      </x:c>
      <x:c r="C4198" s="72" t="n">
        <x:v>44516</x:v>
      </x:c>
      <x:c r="D4198" s="73" t="n">
        <x:v>1.071</x:v>
      </x:c>
      <x:c r="E4198" s="73" t="n">
        <x:v>1.071</x:v>
      </x:c>
      <x:c r="F4198" s="73" t="n">
        <x:v>1.071</x:v>
      </x:c>
      <x:c r="G4198" s="74" t="n">
        <x:v>0.0001</x:v>
      </x:c>
      <x:c r="H4198" s="66" t="str">
        <x:v>钧誉厚德量化对冲11号净值20260911.xlsx</x:v>
      </x:c>
      <x:c r="I4198" s="73" t="str">
        <x:f>""</x:f>
      </x:c>
      <x:c r="J4198" s="74" t="str">
        <x:f>""</x:f>
      </x:c>
      <x:c r="K4198" s="73" t="str">
        <x:f>""</x:f>
      </x:c>
      <x:c r="L4198" s="74" t="str">
        <x:f>""</x:f>
      </x:c>
      <x:c r="M4198" s="73" t="n">
        <x:f>MAX(M4197,F4198)</x:f>
        <x:v>1.071</x:v>
      </x:c>
      <x:c r="N4198" s="74" t="n">
        <x:f>1-F4198/M4198</x:f>
        <x:v>0</x:v>
      </x:c>
    </x:row>
    <x:row r="4199" ht="27" customHeight="1">
      <x:c r="A4199" s="66" t="str">
        <x:v>SQN453</x:v>
      </x:c>
      <x:c r="B4199" s="66" t="str">
        <x:v>钧誉厚德量化对冲11号</x:v>
      </x:c>
      <x:c r="C4199" s="72" t="n">
        <x:v>44517</x:v>
      </x:c>
      <x:c r="D4199" s="73" t="n">
        <x:v>1.0719</x:v>
      </x:c>
      <x:c r="E4199" s="73" t="n">
        <x:v>1.0719</x:v>
      </x:c>
      <x:c r="F4199" s="73" t="n">
        <x:v>1.0719</x:v>
      </x:c>
      <x:c r="G4199" s="74" t="n">
        <x:v>0.0008</x:v>
      </x:c>
      <x:c r="H4199" s="66" t="str">
        <x:v>钧誉厚德量化对冲11号净值20260911.xlsx</x:v>
      </x:c>
      <x:c r="I4199" s="73" t="str">
        <x:f>""</x:f>
      </x:c>
      <x:c r="J4199" s="74" t="str">
        <x:f>""</x:f>
      </x:c>
      <x:c r="K4199" s="73" t="str">
        <x:f>""</x:f>
      </x:c>
      <x:c r="L4199" s="74" t="str">
        <x:f>""</x:f>
      </x:c>
      <x:c r="M4199" s="73" t="n">
        <x:f>MAX(M4198,F4199)</x:f>
        <x:v>1.0719</x:v>
      </x:c>
      <x:c r="N4199" s="74" t="n">
        <x:f>1-F4199/M4199</x:f>
        <x:v>0</x:v>
      </x:c>
    </x:row>
    <x:row r="4200" ht="27" customHeight="1">
      <x:c r="A4200" s="66" t="str">
        <x:v>SQN453</x:v>
      </x:c>
      <x:c r="B4200" s="66" t="str">
        <x:v>钧誉厚德量化对冲11号</x:v>
      </x:c>
      <x:c r="C4200" s="72" t="n">
        <x:v>44518</x:v>
      </x:c>
      <x:c r="D4200" s="73" t="n">
        <x:v>1.0726</x:v>
      </x:c>
      <x:c r="E4200" s="73" t="n">
        <x:v>1.0726</x:v>
      </x:c>
      <x:c r="F4200" s="73" t="n">
        <x:v>1.0726</x:v>
      </x:c>
      <x:c r="G4200" s="74" t="n">
        <x:v>0.0007000000000000001</x:v>
      </x:c>
      <x:c r="H4200" s="66" t="str">
        <x:v>钧誉厚德量化对冲11号净值20260911.xlsx</x:v>
      </x:c>
      <x:c r="I4200" s="73" t="str">
        <x:f>""</x:f>
      </x:c>
      <x:c r="J4200" s="74" t="str">
        <x:f>""</x:f>
      </x:c>
      <x:c r="K4200" s="73" t="str">
        <x:f>""</x:f>
      </x:c>
      <x:c r="L4200" s="74" t="str">
        <x:f>""</x:f>
      </x:c>
      <x:c r="M4200" s="73" t="n">
        <x:f>MAX(M4199,F4200)</x:f>
        <x:v>1.0726</x:v>
      </x:c>
      <x:c r="N4200" s="74" t="n">
        <x:f>1-F4200/M4200</x:f>
        <x:v>0</x:v>
      </x:c>
    </x:row>
    <x:row r="4201" ht="27" customHeight="1">
      <x:c r="A4201" s="66" t="str">
        <x:v>SQN453</x:v>
      </x:c>
      <x:c r="B4201" s="66" t="str">
        <x:v>钧誉厚德量化对冲11号</x:v>
      </x:c>
      <x:c r="C4201" s="72" t="n">
        <x:v>44519</x:v>
      </x:c>
      <x:c r="D4201" s="73" t="n">
        <x:v>1.0737</x:v>
      </x:c>
      <x:c r="E4201" s="73" t="n">
        <x:v>1.0737</x:v>
      </x:c>
      <x:c r="F4201" s="73" t="n">
        <x:v>1.0737</x:v>
      </x:c>
      <x:c r="G4201" s="74" t="n">
        <x:v>0.001</x:v>
      </x:c>
      <x:c r="H4201" s="66" t="str">
        <x:v>钧誉厚德量化对冲11号净值20260911.xlsx</x:v>
      </x:c>
      <x:c r="I4201" s="73" t="str">
        <x:f>""</x:f>
      </x:c>
      <x:c r="J4201" s="74" t="str">
        <x:f>""</x:f>
      </x:c>
      <x:c r="K4201" s="73" t="str">
        <x:f>""</x:f>
      </x:c>
      <x:c r="L4201" s="74" t="str">
        <x:f>""</x:f>
      </x:c>
      <x:c r="M4201" s="73" t="n">
        <x:f>MAX(M4200,F4201)</x:f>
        <x:v>1.0737</x:v>
      </x:c>
      <x:c r="N4201" s="74" t="n">
        <x:f>1-F4201/M4201</x:f>
        <x:v>0</x:v>
      </x:c>
    </x:row>
    <x:row r="4202" ht="27" customHeight="1">
      <x:c r="A4202" s="66" t="str">
        <x:v>SQN453</x:v>
      </x:c>
      <x:c r="B4202" s="66" t="str">
        <x:v>钧誉厚德量化对冲11号</x:v>
      </x:c>
      <x:c r="C4202" s="72" t="n">
        <x:v>44522</x:v>
      </x:c>
      <x:c r="D4202" s="73" t="n">
        <x:v>1.0744</x:v>
      </x:c>
      <x:c r="E4202" s="73" t="n">
        <x:v>1.0744</x:v>
      </x:c>
      <x:c r="F4202" s="73" t="n">
        <x:v>1.0744</x:v>
      </x:c>
      <x:c r="G4202" s="74" t="n">
        <x:v>0.0007000000000000001</x:v>
      </x:c>
      <x:c r="H4202" s="66" t="str">
        <x:v>钧誉厚德量化对冲11号净值20260911.xlsx</x:v>
      </x:c>
      <x:c r="I4202" s="73" t="str">
        <x:f>""</x:f>
      </x:c>
      <x:c r="J4202" s="74" t="str">
        <x:f>""</x:f>
      </x:c>
      <x:c r="K4202" s="73" t="str">
        <x:f>""</x:f>
      </x:c>
      <x:c r="L4202" s="74" t="str">
        <x:f>""</x:f>
      </x:c>
      <x:c r="M4202" s="73" t="n">
        <x:f>MAX(M4201,F4202)</x:f>
        <x:v>1.0744</x:v>
      </x:c>
      <x:c r="N4202" s="74" t="n">
        <x:f>1-F4202/M4202</x:f>
        <x:v>0</x:v>
      </x:c>
    </x:row>
    <x:row r="4203" ht="27" customHeight="1">
      <x:c r="A4203" s="66" t="str">
        <x:v>SQN453</x:v>
      </x:c>
      <x:c r="B4203" s="66" t="str">
        <x:v>钧誉厚德量化对冲11号</x:v>
      </x:c>
      <x:c r="C4203" s="72" t="n">
        <x:v>44523</x:v>
      </x:c>
      <x:c r="D4203" s="73" t="n">
        <x:v>1.0754</x:v>
      </x:c>
      <x:c r="E4203" s="73" t="n">
        <x:v>1.0754</x:v>
      </x:c>
      <x:c r="F4203" s="73" t="n">
        <x:v>1.0754</x:v>
      </x:c>
      <x:c r="G4203" s="74" t="n">
        <x:v>0.0009</x:v>
      </x:c>
      <x:c r="H4203" s="66" t="str">
        <x:v>钧誉厚德量化对冲11号净值20260911.xlsx</x:v>
      </x:c>
      <x:c r="I4203" s="73" t="str">
        <x:f>""</x:f>
      </x:c>
      <x:c r="J4203" s="74" t="str">
        <x:f>""</x:f>
      </x:c>
      <x:c r="K4203" s="73" t="str">
        <x:f>""</x:f>
      </x:c>
      <x:c r="L4203" s="74" t="str">
        <x:f>""</x:f>
      </x:c>
      <x:c r="M4203" s="73" t="n">
        <x:f>MAX(M4202,F4203)</x:f>
        <x:v>1.0754</x:v>
      </x:c>
      <x:c r="N4203" s="74" t="n">
        <x:f>1-F4203/M4203</x:f>
        <x:v>0</x:v>
      </x:c>
    </x:row>
    <x:row r="4204" ht="27" customHeight="1">
      <x:c r="A4204" s="66" t="str">
        <x:v>SQN453</x:v>
      </x:c>
      <x:c r="B4204" s="66" t="str">
        <x:v>钧誉厚德量化对冲11号</x:v>
      </x:c>
      <x:c r="C4204" s="72" t="n">
        <x:v>44524</x:v>
      </x:c>
      <x:c r="D4204" s="73" t="n">
        <x:v>1.0759</x:v>
      </x:c>
      <x:c r="E4204" s="73" t="n">
        <x:v>1.0759</x:v>
      </x:c>
      <x:c r="F4204" s="73" t="n">
        <x:v>1.0759</x:v>
      </x:c>
      <x:c r="G4204" s="74" t="n">
        <x:v>0.0005</x:v>
      </x:c>
      <x:c r="H4204" s="66" t="str">
        <x:v>钧誉厚德量化对冲11号净值20260911.xlsx</x:v>
      </x:c>
      <x:c r="I4204" s="73" t="str">
        <x:f>""</x:f>
      </x:c>
      <x:c r="J4204" s="74" t="str">
        <x:f>""</x:f>
      </x:c>
      <x:c r="K4204" s="73" t="str">
        <x:f>""</x:f>
      </x:c>
      <x:c r="L4204" s="74" t="str">
        <x:f>""</x:f>
      </x:c>
      <x:c r="M4204" s="73" t="n">
        <x:f>MAX(M4203,F4204)</x:f>
        <x:v>1.0759</x:v>
      </x:c>
      <x:c r="N4204" s="74" t="n">
        <x:f>1-F4204/M4204</x:f>
        <x:v>0</x:v>
      </x:c>
    </x:row>
    <x:row r="4205" ht="27" customHeight="1">
      <x:c r="A4205" s="66" t="str">
        <x:v>SQN453</x:v>
      </x:c>
      <x:c r="B4205" s="66" t="str">
        <x:v>钧誉厚德量化对冲11号</x:v>
      </x:c>
      <x:c r="C4205" s="72" t="n">
        <x:v>44525</x:v>
      </x:c>
      <x:c r="D4205" s="73" t="n">
        <x:v>1.0766</x:v>
      </x:c>
      <x:c r="E4205" s="73" t="n">
        <x:v>1.0766</x:v>
      </x:c>
      <x:c r="F4205" s="73" t="n">
        <x:v>1.0766</x:v>
      </x:c>
      <x:c r="G4205" s="74" t="n">
        <x:v>0.0007000000000000001</x:v>
      </x:c>
      <x:c r="H4205" s="66" t="str">
        <x:v>钧誉厚德量化对冲11号净值20260911.xlsx</x:v>
      </x:c>
      <x:c r="I4205" s="73" t="str">
        <x:f>""</x:f>
      </x:c>
      <x:c r="J4205" s="74" t="str">
        <x:f>""</x:f>
      </x:c>
      <x:c r="K4205" s="73" t="str">
        <x:f>""</x:f>
      </x:c>
      <x:c r="L4205" s="74" t="str">
        <x:f>""</x:f>
      </x:c>
      <x:c r="M4205" s="73" t="n">
        <x:f>MAX(M4204,F4205)</x:f>
        <x:v>1.0766</x:v>
      </x:c>
      <x:c r="N4205" s="74" t="n">
        <x:f>1-F4205/M4205</x:f>
        <x:v>0</x:v>
      </x:c>
    </x:row>
    <x:row r="4206" ht="27" customHeight="1">
      <x:c r="A4206" s="66" t="str">
        <x:v>SQN453</x:v>
      </x:c>
      <x:c r="B4206" s="66" t="str">
        <x:v>钧誉厚德量化对冲11号</x:v>
      </x:c>
      <x:c r="C4206" s="72" t="n">
        <x:v>44526</x:v>
      </x:c>
      <x:c r="D4206" s="73" t="n">
        <x:v>1.0772</x:v>
      </x:c>
      <x:c r="E4206" s="73" t="n">
        <x:v>1.0772</x:v>
      </x:c>
      <x:c r="F4206" s="73" t="n">
        <x:v>1.0772</x:v>
      </x:c>
      <x:c r="G4206" s="74" t="n">
        <x:v>0.0006</x:v>
      </x:c>
      <x:c r="H4206" s="66" t="str">
        <x:v>钧誉厚德量化对冲11号净值20260911.xlsx</x:v>
      </x:c>
      <x:c r="I4206" s="73" t="str">
        <x:f>""</x:f>
      </x:c>
      <x:c r="J4206" s="74" t="str">
        <x:f>""</x:f>
      </x:c>
      <x:c r="K4206" s="73" t="str">
        <x:f>""</x:f>
      </x:c>
      <x:c r="L4206" s="74" t="str">
        <x:f>""</x:f>
      </x:c>
      <x:c r="M4206" s="73" t="n">
        <x:f>MAX(M4205,F4206)</x:f>
        <x:v>1.0772</x:v>
      </x:c>
      <x:c r="N4206" s="74" t="n">
        <x:f>1-F4206/M4206</x:f>
        <x:v>0</x:v>
      </x:c>
    </x:row>
    <x:row r="4207" ht="27" customHeight="1">
      <x:c r="A4207" s="66" t="str">
        <x:v>SQN453</x:v>
      </x:c>
      <x:c r="B4207" s="66" t="str">
        <x:v>钧誉厚德量化对冲11号</x:v>
      </x:c>
      <x:c r="C4207" s="72" t="n">
        <x:v>44529</x:v>
      </x:c>
      <x:c r="D4207" s="73" t="n">
        <x:v>1.0779</x:v>
      </x:c>
      <x:c r="E4207" s="73" t="n">
        <x:v>1.0779</x:v>
      </x:c>
      <x:c r="F4207" s="73" t="n">
        <x:v>1.0779</x:v>
      </x:c>
      <x:c r="G4207" s="74" t="n">
        <x:v>0.0006</x:v>
      </x:c>
      <x:c r="H4207" s="66" t="str">
        <x:v>钧誉厚德量化对冲11号净值20260911.xlsx</x:v>
      </x:c>
      <x:c r="I4207" s="73" t="str">
        <x:f>""</x:f>
      </x:c>
      <x:c r="J4207" s="74" t="str">
        <x:f>""</x:f>
      </x:c>
      <x:c r="K4207" s="73" t="str">
        <x:f>""</x:f>
      </x:c>
      <x:c r="L4207" s="74" t="str">
        <x:f>""</x:f>
      </x:c>
      <x:c r="M4207" s="73" t="n">
        <x:f>MAX(M4206,F4207)</x:f>
        <x:v>1.0779</x:v>
      </x:c>
      <x:c r="N4207" s="74" t="n">
        <x:f>1-F4207/M4207</x:f>
        <x:v>0</x:v>
      </x:c>
    </x:row>
    <x:row r="4208" ht="27" customHeight="1">
      <x:c r="A4208" s="66" t="str">
        <x:v>SQN453</x:v>
      </x:c>
      <x:c r="B4208" s="66" t="str">
        <x:v>钧誉厚德量化对冲11号</x:v>
      </x:c>
      <x:c r="C4208" s="72" t="n">
        <x:v>44530</x:v>
      </x:c>
      <x:c r="D4208" s="73" t="n">
        <x:v>1.0807</x:v>
      </x:c>
      <x:c r="E4208" s="73" t="n">
        <x:v>1.0807</x:v>
      </x:c>
      <x:c r="F4208" s="73" t="n">
        <x:v>1.0807</x:v>
      </x:c>
      <x:c r="G4208" s="74" t="n">
        <x:v>0.0026</x:v>
      </x:c>
      <x:c r="H4208" s="66" t="str">
        <x:v>钧誉厚德量化对冲11号净值20260911.xlsx</x:v>
      </x:c>
      <x:c r="I4208" s="73" t="str">
        <x:f>""</x:f>
      </x:c>
      <x:c r="J4208" s="74" t="str">
        <x:f>""</x:f>
      </x:c>
      <x:c r="K4208" s="73" t="str">
        <x:f>""</x:f>
      </x:c>
      <x:c r="L4208" s="74" t="str">
        <x:f>""</x:f>
      </x:c>
      <x:c r="M4208" s="73" t="n">
        <x:f>MAX(M4207,F4208)</x:f>
        <x:v>1.0807</x:v>
      </x:c>
      <x:c r="N4208" s="74" t="n">
        <x:f>1-F4208/M4208</x:f>
        <x:v>0</x:v>
      </x:c>
    </x:row>
    <x:row r="4209" ht="27" customHeight="1">
      <x:c r="A4209" s="66" t="str">
        <x:v>SQN453</x:v>
      </x:c>
      <x:c r="B4209" s="66" t="str">
        <x:v>钧誉厚德量化对冲11号</x:v>
      </x:c>
      <x:c r="C4209" s="72" t="n">
        <x:v>44531</x:v>
      </x:c>
      <x:c r="D4209" s="73" t="n">
        <x:v>1.0813</x:v>
      </x:c>
      <x:c r="E4209" s="73" t="n">
        <x:v>1.0813</x:v>
      </x:c>
      <x:c r="F4209" s="73" t="n">
        <x:v>1.0813</x:v>
      </x:c>
      <x:c r="G4209" s="74" t="n">
        <x:v>0.0006</x:v>
      </x:c>
      <x:c r="H4209" s="66" t="str">
        <x:v>钧誉厚德量化对冲11号净值20260911.xlsx</x:v>
      </x:c>
      <x:c r="I4209" s="73" t="str">
        <x:f>""</x:f>
      </x:c>
      <x:c r="J4209" s="74" t="str">
        <x:f>""</x:f>
      </x:c>
      <x:c r="K4209" s="73" t="str">
        <x:f>""</x:f>
      </x:c>
      <x:c r="L4209" s="74" t="str">
        <x:f>""</x:f>
      </x:c>
      <x:c r="M4209" s="73" t="n">
        <x:f>MAX(M4208,F4209)</x:f>
        <x:v>1.0813</x:v>
      </x:c>
      <x:c r="N4209" s="74" t="n">
        <x:f>1-F4209/M4209</x:f>
        <x:v>0</x:v>
      </x:c>
    </x:row>
    <x:row r="4210" ht="27" customHeight="1">
      <x:c r="A4210" s="66" t="str">
        <x:v>SQN453</x:v>
      </x:c>
      <x:c r="B4210" s="66" t="str">
        <x:v>钧誉厚德量化对冲11号</x:v>
      </x:c>
      <x:c r="C4210" s="72" t="n">
        <x:v>44532</x:v>
      </x:c>
      <x:c r="D4210" s="73" t="n">
        <x:v>1.0826</x:v>
      </x:c>
      <x:c r="E4210" s="73" t="n">
        <x:v>1.0826</x:v>
      </x:c>
      <x:c r="F4210" s="73" t="n">
        <x:v>1.0826</x:v>
      </x:c>
      <x:c r="G4210" s="74" t="n">
        <x:v>0.0012</x:v>
      </x:c>
      <x:c r="H4210" s="66" t="str">
        <x:v>钧誉厚德量化对冲11号净值20260911.xlsx</x:v>
      </x:c>
      <x:c r="I4210" s="73" t="str">
        <x:f>""</x:f>
      </x:c>
      <x:c r="J4210" s="74" t="str">
        <x:f>""</x:f>
      </x:c>
      <x:c r="K4210" s="73" t="str">
        <x:f>""</x:f>
      </x:c>
      <x:c r="L4210" s="74" t="str">
        <x:f>""</x:f>
      </x:c>
      <x:c r="M4210" s="73" t="n">
        <x:f>MAX(M4209,F4210)</x:f>
        <x:v>1.0826</x:v>
      </x:c>
      <x:c r="N4210" s="74" t="n">
        <x:f>1-F4210/M4210</x:f>
        <x:v>0</x:v>
      </x:c>
    </x:row>
    <x:row r="4211" ht="27" customHeight="1">
      <x:c r="A4211" s="66" t="str">
        <x:v>SQN453</x:v>
      </x:c>
      <x:c r="B4211" s="66" t="str">
        <x:v>钧誉厚德量化对冲11号</x:v>
      </x:c>
      <x:c r="C4211" s="72" t="n">
        <x:v>44533</x:v>
      </x:c>
      <x:c r="D4211" s="73" t="n">
        <x:v>1.0833</x:v>
      </x:c>
      <x:c r="E4211" s="73" t="n">
        <x:v>1.0833</x:v>
      </x:c>
      <x:c r="F4211" s="73" t="n">
        <x:v>1.0833</x:v>
      </x:c>
      <x:c r="G4211" s="74" t="n">
        <x:v>0.0006</x:v>
      </x:c>
      <x:c r="H4211" s="66" t="str">
        <x:v>钧誉厚德量化对冲11号净值20260911.xlsx</x:v>
      </x:c>
      <x:c r="I4211" s="73" t="str">
        <x:f>""</x:f>
      </x:c>
      <x:c r="J4211" s="74" t="str">
        <x:f>""</x:f>
      </x:c>
      <x:c r="K4211" s="73" t="str">
        <x:f>""</x:f>
      </x:c>
      <x:c r="L4211" s="74" t="str">
        <x:f>""</x:f>
      </x:c>
      <x:c r="M4211" s="73" t="n">
        <x:f>MAX(M4210,F4211)</x:f>
        <x:v>1.0833</x:v>
      </x:c>
      <x:c r="N4211" s="74" t="n">
        <x:f>1-F4211/M4211</x:f>
        <x:v>0</x:v>
      </x:c>
    </x:row>
    <x:row r="4212" ht="27" customHeight="1">
      <x:c r="A4212" s="66" t="str">
        <x:v>SQN453</x:v>
      </x:c>
      <x:c r="B4212" s="66" t="str">
        <x:v>钧誉厚德量化对冲11号</x:v>
      </x:c>
      <x:c r="C4212" s="72" t="n">
        <x:v>44536</x:v>
      </x:c>
      <x:c r="D4212" s="73" t="n">
        <x:v>1.0833</x:v>
      </x:c>
      <x:c r="E4212" s="73" t="n">
        <x:v>1.0833</x:v>
      </x:c>
      <x:c r="F4212" s="73" t="n">
        <x:v>1.0833</x:v>
      </x:c>
      <x:c r="G4212" s="74" t="n">
        <x:v>0</x:v>
      </x:c>
      <x:c r="H4212" s="66" t="str">
        <x:v>钧誉厚德量化对冲11号净值20260911.xlsx</x:v>
      </x:c>
      <x:c r="I4212" s="73" t="str">
        <x:f>""</x:f>
      </x:c>
      <x:c r="J4212" s="74" t="str">
        <x:f>""</x:f>
      </x:c>
      <x:c r="K4212" s="73" t="str">
        <x:f>""</x:f>
      </x:c>
      <x:c r="L4212" s="74" t="str">
        <x:f>""</x:f>
      </x:c>
      <x:c r="M4212" s="73" t="n">
        <x:f>MAX(M4211,F4212)</x:f>
        <x:v>1.0833</x:v>
      </x:c>
      <x:c r="N4212" s="74" t="n">
        <x:f>1-F4212/M4212</x:f>
        <x:v>0</x:v>
      </x:c>
    </x:row>
    <x:row r="4213" ht="27" customHeight="1">
      <x:c r="A4213" s="66" t="str">
        <x:v>SQN453</x:v>
      </x:c>
      <x:c r="B4213" s="66" t="str">
        <x:v>钧誉厚德量化对冲11号</x:v>
      </x:c>
      <x:c r="C4213" s="72" t="n">
        <x:v>44537</x:v>
      </x:c>
      <x:c r="D4213" s="73" t="n">
        <x:v>1.0841</x:v>
      </x:c>
      <x:c r="E4213" s="73" t="n">
        <x:v>1.0841</x:v>
      </x:c>
      <x:c r="F4213" s="73" t="n">
        <x:v>1.0841</x:v>
      </x:c>
      <x:c r="G4213" s="74" t="n">
        <x:v>0.0007000000000000001</x:v>
      </x:c>
      <x:c r="H4213" s="66" t="str">
        <x:v>钧誉厚德量化对冲11号净值20260911.xlsx</x:v>
      </x:c>
      <x:c r="I4213" s="73" t="str">
        <x:f>""</x:f>
      </x:c>
      <x:c r="J4213" s="74" t="str">
        <x:f>""</x:f>
      </x:c>
      <x:c r="K4213" s="73" t="str">
        <x:f>""</x:f>
      </x:c>
      <x:c r="L4213" s="74" t="str">
        <x:f>""</x:f>
      </x:c>
      <x:c r="M4213" s="73" t="n">
        <x:f>MAX(M4212,F4213)</x:f>
        <x:v>1.0841</x:v>
      </x:c>
      <x:c r="N4213" s="74" t="n">
        <x:f>1-F4213/M4213</x:f>
        <x:v>0</x:v>
      </x:c>
    </x:row>
    <x:row r="4214" ht="27" customHeight="1">
      <x:c r="A4214" s="66" t="str">
        <x:v>SQN453</x:v>
      </x:c>
      <x:c r="B4214" s="66" t="str">
        <x:v>钧誉厚德量化对冲11号</x:v>
      </x:c>
      <x:c r="C4214" s="72" t="n">
        <x:v>44538</x:v>
      </x:c>
      <x:c r="D4214" s="73" t="n">
        <x:v>1.0837</x:v>
      </x:c>
      <x:c r="E4214" s="73" t="n">
        <x:v>1.0837</x:v>
      </x:c>
      <x:c r="F4214" s="73" t="n">
        <x:v>1.0837</x:v>
      </x:c>
      <x:c r="G4214" s="74" t="n">
        <x:v>-0.0004</x:v>
      </x:c>
      <x:c r="H4214" s="66" t="str">
        <x:v>钧誉厚德量化对冲11号净值20260911.xlsx</x:v>
      </x:c>
      <x:c r="I4214" s="73" t="str">
        <x:f>""</x:f>
      </x:c>
      <x:c r="J4214" s="74" t="str">
        <x:f>""</x:f>
      </x:c>
      <x:c r="K4214" s="73" t="str">
        <x:f>""</x:f>
      </x:c>
      <x:c r="L4214" s="74" t="str">
        <x:f>""</x:f>
      </x:c>
      <x:c r="M4214" s="73" t="n">
        <x:f>MAX(M4213,F4214)</x:f>
        <x:v>1.0841</x:v>
      </x:c>
      <x:c r="N4214" s="74" t="n">
        <x:f>1-F4214/M4214</x:f>
        <x:v>0.00036896965224608724</x:v>
      </x:c>
    </x:row>
    <x:row r="4215" ht="27" customHeight="1">
      <x:c r="A4215" s="66" t="str">
        <x:v>SQN453</x:v>
      </x:c>
      <x:c r="B4215" s="66" t="str">
        <x:v>钧誉厚德量化对冲11号</x:v>
      </x:c>
      <x:c r="C4215" s="72" t="n">
        <x:v>44539</x:v>
      </x:c>
      <x:c r="D4215" s="73" t="n">
        <x:v>1.0836</x:v>
      </x:c>
      <x:c r="E4215" s="73" t="n">
        <x:v>1.0836</x:v>
      </x:c>
      <x:c r="F4215" s="73" t="n">
        <x:v>1.0836</x:v>
      </x:c>
      <x:c r="G4215" s="74" t="n">
        <x:v>-0.0001</x:v>
      </x:c>
      <x:c r="H4215" s="66" t="str">
        <x:v>钧誉厚德量化对冲11号净值20260911.xlsx</x:v>
      </x:c>
      <x:c r="I4215" s="73" t="str">
        <x:f>""</x:f>
      </x:c>
      <x:c r="J4215" s="74" t="str">
        <x:f>""</x:f>
      </x:c>
      <x:c r="K4215" s="73" t="str">
        <x:f>""</x:f>
      </x:c>
      <x:c r="L4215" s="74" t="str">
        <x:f>""</x:f>
      </x:c>
      <x:c r="M4215" s="73" t="n">
        <x:f>MAX(M4214,F4215)</x:f>
        <x:v>1.0841</x:v>
      </x:c>
      <x:c r="N4215" s="74" t="n">
        <x:f>1-F4215/M4215</x:f>
        <x:v>0.00046121206530780334</x:v>
      </x:c>
    </x:row>
    <x:row r="4216" ht="27" customHeight="1">
      <x:c r="A4216" s="66" t="str">
        <x:v>SQN453</x:v>
      </x:c>
      <x:c r="B4216" s="66" t="str">
        <x:v>钧誉厚德量化对冲11号</x:v>
      </x:c>
      <x:c r="C4216" s="72" t="n">
        <x:v>44540</x:v>
      </x:c>
      <x:c r="D4216" s="73" t="n">
        <x:v>1.0839</x:v>
      </x:c>
      <x:c r="E4216" s="73" t="n">
        <x:v>1.0839</x:v>
      </x:c>
      <x:c r="F4216" s="73" t="n">
        <x:v>1.0839</x:v>
      </x:c>
      <x:c r="G4216" s="74" t="n">
        <x:v>0.0003</x:v>
      </x:c>
      <x:c r="H4216" s="66" t="str">
        <x:v>钧誉厚德量化对冲11号净值20260911.xlsx</x:v>
      </x:c>
      <x:c r="I4216" s="73" t="str">
        <x:f>""</x:f>
      </x:c>
      <x:c r="J4216" s="74" t="str">
        <x:f>""</x:f>
      </x:c>
      <x:c r="K4216" s="73" t="str">
        <x:f>""</x:f>
      </x:c>
      <x:c r="L4216" s="74" t="str">
        <x:f>""</x:f>
      </x:c>
      <x:c r="M4216" s="73" t="n">
        <x:f>MAX(M4215,F4216)</x:f>
        <x:v>1.0841</x:v>
      </x:c>
      <x:c r="N4216" s="74" t="n">
        <x:f>1-F4216/M4216</x:f>
        <x:v>0.0001844848261229881</x:v>
      </x:c>
    </x:row>
    <x:row r="4217" ht="27" customHeight="1">
      <x:c r="A4217" s="66" t="str">
        <x:v>SQN453</x:v>
      </x:c>
      <x:c r="B4217" s="66" t="str">
        <x:v>钧誉厚德量化对冲11号</x:v>
      </x:c>
      <x:c r="C4217" s="72" t="n">
        <x:v>44543</x:v>
      </x:c>
      <x:c r="D4217" s="73" t="n">
        <x:v>1.0838</x:v>
      </x:c>
      <x:c r="E4217" s="73" t="n">
        <x:v>1.0838</x:v>
      </x:c>
      <x:c r="F4217" s="73" t="n">
        <x:v>1.0838</x:v>
      </x:c>
      <x:c r="G4217" s="74" t="n">
        <x:v>-0.0001</x:v>
      </x:c>
      <x:c r="H4217" s="66" t="str">
        <x:v>钧誉厚德量化对冲11号净值20260911.xlsx</x:v>
      </x:c>
      <x:c r="I4217" s="73" t="str">
        <x:f>""</x:f>
      </x:c>
      <x:c r="J4217" s="74" t="str">
        <x:f>""</x:f>
      </x:c>
      <x:c r="K4217" s="73" t="str">
        <x:f>""</x:f>
      </x:c>
      <x:c r="L4217" s="74" t="str">
        <x:f>""</x:f>
      </x:c>
      <x:c r="M4217" s="73" t="n">
        <x:f>MAX(M4216,F4217)</x:f>
        <x:v>1.0841</x:v>
      </x:c>
      <x:c r="N4217" s="74" t="n">
        <x:f>1-F4217/M4217</x:f>
        <x:v>0.0002767272391845932</x:v>
      </x:c>
    </x:row>
    <x:row r="4218" ht="27" customHeight="1">
      <x:c r="A4218" s="66" t="str">
        <x:v>SQN453</x:v>
      </x:c>
      <x:c r="B4218" s="66" t="str">
        <x:v>钧誉厚德量化对冲11号</x:v>
      </x:c>
      <x:c r="C4218" s="72" t="n">
        <x:v>44544</x:v>
      </x:c>
      <x:c r="D4218" s="73" t="n">
        <x:v>1.0841</x:v>
      </x:c>
      <x:c r="E4218" s="73" t="n">
        <x:v>1.0841</x:v>
      </x:c>
      <x:c r="F4218" s="73" t="n">
        <x:v>1.0841</x:v>
      </x:c>
      <x:c r="G4218" s="74" t="n">
        <x:v>0.0003</x:v>
      </x:c>
      <x:c r="H4218" s="66" t="str">
        <x:v>钧誉厚德量化对冲11号净值20260911.xlsx</x:v>
      </x:c>
      <x:c r="I4218" s="73" t="str">
        <x:f>""</x:f>
      </x:c>
      <x:c r="J4218" s="74" t="str">
        <x:f>""</x:f>
      </x:c>
      <x:c r="K4218" s="73" t="str">
        <x:f>""</x:f>
      </x:c>
      <x:c r="L4218" s="74" t="str">
        <x:f>""</x:f>
      </x:c>
      <x:c r="M4218" s="73" t="n">
        <x:f>MAX(M4217,F4218)</x:f>
        <x:v>1.0841</x:v>
      </x:c>
      <x:c r="N4218" s="74" t="n">
        <x:f>1-F4218/M4218</x:f>
        <x:v>0</x:v>
      </x:c>
    </x:row>
    <x:row r="4219" ht="27" customHeight="1">
      <x:c r="A4219" s="66" t="str">
        <x:v>SQN453</x:v>
      </x:c>
      <x:c r="B4219" s="66" t="str">
        <x:v>钧誉厚德量化对冲11号</x:v>
      </x:c>
      <x:c r="C4219" s="72" t="n">
        <x:v>44545</x:v>
      </x:c>
      <x:c r="D4219" s="73" t="n">
        <x:v>1.0843</x:v>
      </x:c>
      <x:c r="E4219" s="73" t="n">
        <x:v>1.0843</x:v>
      </x:c>
      <x:c r="F4219" s="73" t="n">
        <x:v>1.0843</x:v>
      </x:c>
      <x:c r="G4219" s="74" t="n">
        <x:v>0.0002</x:v>
      </x:c>
      <x:c r="H4219" s="66" t="str">
        <x:v>钧誉厚德量化对冲11号净值20260911.xlsx</x:v>
      </x:c>
      <x:c r="I4219" s="73" t="str">
        <x:f>""</x:f>
      </x:c>
      <x:c r="J4219" s="74" t="str">
        <x:f>""</x:f>
      </x:c>
      <x:c r="K4219" s="73" t="str">
        <x:f>""</x:f>
      </x:c>
      <x:c r="L4219" s="74" t="str">
        <x:f>""</x:f>
      </x:c>
      <x:c r="M4219" s="73" t="n">
        <x:f>MAX(M4218,F4219)</x:f>
        <x:v>1.0843</x:v>
      </x:c>
      <x:c r="N4219" s="74" t="n">
        <x:f>1-F4219/M4219</x:f>
        <x:v>0</x:v>
      </x:c>
    </x:row>
    <x:row r="4220" ht="27" customHeight="1">
      <x:c r="A4220" s="66" t="str">
        <x:v>SQN453</x:v>
      </x:c>
      <x:c r="B4220" s="66" t="str">
        <x:v>钧誉厚德量化对冲11号</x:v>
      </x:c>
      <x:c r="C4220" s="72" t="n">
        <x:v>44546</x:v>
      </x:c>
      <x:c r="D4220" s="73" t="n">
        <x:v>1.0845</x:v>
      </x:c>
      <x:c r="E4220" s="73" t="n">
        <x:v>1.0845</x:v>
      </x:c>
      <x:c r="F4220" s="73" t="n">
        <x:v>1.0845</x:v>
      </x:c>
      <x:c r="G4220" s="74" t="n">
        <x:v>0.0002</x:v>
      </x:c>
      <x:c r="H4220" s="66" t="str">
        <x:v>钧誉厚德量化对冲11号净值20260911.xlsx</x:v>
      </x:c>
      <x:c r="I4220" s="73" t="str">
        <x:f>""</x:f>
      </x:c>
      <x:c r="J4220" s="74" t="str">
        <x:f>""</x:f>
      </x:c>
      <x:c r="K4220" s="73" t="str">
        <x:f>""</x:f>
      </x:c>
      <x:c r="L4220" s="74" t="str">
        <x:f>""</x:f>
      </x:c>
      <x:c r="M4220" s="73" t="n">
        <x:f>MAX(M4219,F4220)</x:f>
        <x:v>1.0845</x:v>
      </x:c>
      <x:c r="N4220" s="74" t="n">
        <x:f>1-F4220/M4220</x:f>
        <x:v>0</x:v>
      </x:c>
    </x:row>
    <x:row r="4221" ht="27" customHeight="1">
      <x:c r="A4221" s="66" t="str">
        <x:v>SQN453</x:v>
      </x:c>
      <x:c r="B4221" s="66" t="str">
        <x:v>钧誉厚德量化对冲11号</x:v>
      </x:c>
      <x:c r="C4221" s="72" t="n">
        <x:v>44547</x:v>
      </x:c>
      <x:c r="D4221" s="73" t="n">
        <x:v>1.0841</x:v>
      </x:c>
      <x:c r="E4221" s="73" t="n">
        <x:v>1.0841</x:v>
      </x:c>
      <x:c r="F4221" s="73" t="n">
        <x:v>1.0841</x:v>
      </x:c>
      <x:c r="G4221" s="74" t="n">
        <x:v>-0.0004</x:v>
      </x:c>
      <x:c r="H4221" s="66" t="str">
        <x:v>钧誉厚德量化对冲11号净值20260911.xlsx</x:v>
      </x:c>
      <x:c r="I4221" s="73" t="str">
        <x:f>""</x:f>
      </x:c>
      <x:c r="J4221" s="74" t="str">
        <x:f>""</x:f>
      </x:c>
      <x:c r="K4221" s="73" t="str">
        <x:f>""</x:f>
      </x:c>
      <x:c r="L4221" s="74" t="str">
        <x:f>""</x:f>
      </x:c>
      <x:c r="M4221" s="73" t="n">
        <x:f>MAX(M4220,F4221)</x:f>
        <x:v>1.0845</x:v>
      </x:c>
      <x:c r="N4221" s="74" t="n">
        <x:f>1-F4221/M4221</x:f>
        <x:v>0.00036883356385430943</x:v>
      </x:c>
    </x:row>
    <x:row r="4222" ht="27" customHeight="1">
      <x:c r="A4222" s="66" t="str">
        <x:v>SQN453</x:v>
      </x:c>
      <x:c r="B4222" s="66" t="str">
        <x:v>钧誉厚德量化对冲11号</x:v>
      </x:c>
      <x:c r="C4222" s="72" t="n">
        <x:v>44550</x:v>
      </x:c>
      <x:c r="D4222" s="73" t="n">
        <x:v>1.0841</x:v>
      </x:c>
      <x:c r="E4222" s="73" t="n">
        <x:v>1.0841</x:v>
      </x:c>
      <x:c r="F4222" s="73" t="n">
        <x:v>1.0841</x:v>
      </x:c>
      <x:c r="G4222" s="74" t="n">
        <x:v>0</x:v>
      </x:c>
      <x:c r="H4222" s="66" t="str">
        <x:v>钧誉厚德量化对冲11号净值20260911.xlsx</x:v>
      </x:c>
      <x:c r="I4222" s="73" t="str">
        <x:f>""</x:f>
      </x:c>
      <x:c r="J4222" s="74" t="str">
        <x:f>""</x:f>
      </x:c>
      <x:c r="K4222" s="73" t="str">
        <x:f>""</x:f>
      </x:c>
      <x:c r="L4222" s="74" t="str">
        <x:f>""</x:f>
      </x:c>
      <x:c r="M4222" s="73" t="n">
        <x:f>MAX(M4221,F4222)</x:f>
        <x:v>1.0845</x:v>
      </x:c>
      <x:c r="N4222" s="74" t="n">
        <x:f>1-F4222/M4222</x:f>
        <x:v>0.00036883356385430943</x:v>
      </x:c>
    </x:row>
    <x:row r="4223" ht="27" customHeight="1">
      <x:c r="A4223" s="66" t="str">
        <x:v>SQN453</x:v>
      </x:c>
      <x:c r="B4223" s="66" t="str">
        <x:v>钧誉厚德量化对冲11号</x:v>
      </x:c>
      <x:c r="C4223" s="72" t="n">
        <x:v>44551</x:v>
      </x:c>
      <x:c r="D4223" s="73" t="n">
        <x:v>1.0843</x:v>
      </x:c>
      <x:c r="E4223" s="73" t="n">
        <x:v>1.0843</x:v>
      </x:c>
      <x:c r="F4223" s="73" t="n">
        <x:v>1.0843</x:v>
      </x:c>
      <x:c r="G4223" s="74" t="n">
        <x:v>0.0002</x:v>
      </x:c>
      <x:c r="H4223" s="66" t="str">
        <x:v>钧誉厚德量化对冲11号净值20260911.xlsx</x:v>
      </x:c>
      <x:c r="I4223" s="73" t="str">
        <x:f>""</x:f>
      </x:c>
      <x:c r="J4223" s="74" t="str">
        <x:f>""</x:f>
      </x:c>
      <x:c r="K4223" s="73" t="str">
        <x:f>""</x:f>
      </x:c>
      <x:c r="L4223" s="74" t="str">
        <x:f>""</x:f>
      </x:c>
      <x:c r="M4223" s="73" t="n">
        <x:f>MAX(M4222,F4223)</x:f>
        <x:v>1.0845</x:v>
      </x:c>
      <x:c r="N4223" s="74" t="n">
        <x:f>1-F4223/M4223</x:f>
        <x:v>0.00018441678192715472</x:v>
      </x:c>
    </x:row>
    <x:row r="4224" ht="27" customHeight="1">
      <x:c r="A4224" s="66" t="str">
        <x:v>SQN453</x:v>
      </x:c>
      <x:c r="B4224" s="66" t="str">
        <x:v>钧誉厚德量化对冲11号</x:v>
      </x:c>
      <x:c r="C4224" s="72" t="n">
        <x:v>44552</x:v>
      </x:c>
      <x:c r="D4224" s="73" t="n">
        <x:v>1.086</x:v>
      </x:c>
      <x:c r="E4224" s="73" t="n">
        <x:v>1.086</x:v>
      </x:c>
      <x:c r="F4224" s="73" t="n">
        <x:v>1.086</x:v>
      </x:c>
      <x:c r="G4224" s="74" t="n">
        <x:v>0.0016</x:v>
      </x:c>
      <x:c r="H4224" s="66" t="str">
        <x:v>钧誉厚德量化对冲11号净值20260911.xlsx</x:v>
      </x:c>
      <x:c r="I4224" s="73" t="str">
        <x:f>""</x:f>
      </x:c>
      <x:c r="J4224" s="74" t="str">
        <x:f>""</x:f>
      </x:c>
      <x:c r="K4224" s="73" t="str">
        <x:f>""</x:f>
      </x:c>
      <x:c r="L4224" s="74" t="str">
        <x:f>""</x:f>
      </x:c>
      <x:c r="M4224" s="73" t="n">
        <x:f>MAX(M4223,F4224)</x:f>
        <x:v>1.086</x:v>
      </x:c>
      <x:c r="N4224" s="74" t="n">
        <x:f>1-F4224/M4224</x:f>
        <x:v>0</x:v>
      </x:c>
    </x:row>
    <x:row r="4225" ht="27" customHeight="1">
      <x:c r="A4225" s="66" t="str">
        <x:v>SQN453</x:v>
      </x:c>
      <x:c r="B4225" s="66" t="str">
        <x:v>钧誉厚德量化对冲11号</x:v>
      </x:c>
      <x:c r="C4225" s="72" t="n">
        <x:v>44553</x:v>
      </x:c>
      <x:c r="D4225" s="73" t="n">
        <x:v>1.0863</x:v>
      </x:c>
      <x:c r="E4225" s="73" t="n">
        <x:v>1.0863</x:v>
      </x:c>
      <x:c r="F4225" s="73" t="n">
        <x:v>1.0863</x:v>
      </x:c>
      <x:c r="G4225" s="74" t="n">
        <x:v>0.0003</x:v>
      </x:c>
      <x:c r="H4225" s="66" t="str">
        <x:v>钧誉厚德量化对冲11号净值20260911.xlsx</x:v>
      </x:c>
      <x:c r="I4225" s="73" t="str">
        <x:f>""</x:f>
      </x:c>
      <x:c r="J4225" s="74" t="str">
        <x:f>""</x:f>
      </x:c>
      <x:c r="K4225" s="73" t="str">
        <x:f>""</x:f>
      </x:c>
      <x:c r="L4225" s="74" t="str">
        <x:f>""</x:f>
      </x:c>
      <x:c r="M4225" s="73" t="n">
        <x:f>MAX(M4224,F4225)</x:f>
        <x:v>1.0863</x:v>
      </x:c>
      <x:c r="N4225" s="74" t="n">
        <x:f>1-F4225/M4225</x:f>
        <x:v>0</x:v>
      </x:c>
    </x:row>
    <x:row r="4226" ht="27" customHeight="1">
      <x:c r="A4226" s="66" t="str">
        <x:v>SQN453</x:v>
      </x:c>
      <x:c r="B4226" s="66" t="str">
        <x:v>钧誉厚德量化对冲11号</x:v>
      </x:c>
      <x:c r="C4226" s="72" t="n">
        <x:v>44554</x:v>
      </x:c>
      <x:c r="D4226" s="73" t="n">
        <x:v>1.0866</x:v>
      </x:c>
      <x:c r="E4226" s="73" t="n">
        <x:v>1.0866</x:v>
      </x:c>
      <x:c r="F4226" s="73" t="n">
        <x:v>1.0866</x:v>
      </x:c>
      <x:c r="G4226" s="74" t="n">
        <x:v>0.0003</x:v>
      </x:c>
      <x:c r="H4226" s="66" t="str">
        <x:v>钧誉厚德量化对冲11号净值20260911.xlsx</x:v>
      </x:c>
      <x:c r="I4226" s="73" t="str">
        <x:f>""</x:f>
      </x:c>
      <x:c r="J4226" s="74" t="str">
        <x:f>""</x:f>
      </x:c>
      <x:c r="K4226" s="73" t="str">
        <x:f>""</x:f>
      </x:c>
      <x:c r="L4226" s="74" t="str">
        <x:f>""</x:f>
      </x:c>
      <x:c r="M4226" s="73" t="n">
        <x:f>MAX(M4225,F4226)</x:f>
        <x:v>1.0866</x:v>
      </x:c>
      <x:c r="N4226" s="74" t="n">
        <x:f>1-F4226/M4226</x:f>
        <x:v>0</x:v>
      </x:c>
    </x:row>
    <x:row r="4227" ht="27" customHeight="1">
      <x:c r="A4227" s="66" t="str">
        <x:v>SQN453</x:v>
      </x:c>
      <x:c r="B4227" s="66" t="str">
        <x:v>钧誉厚德量化对冲11号</x:v>
      </x:c>
      <x:c r="C4227" s="72" t="n">
        <x:v>44557</x:v>
      </x:c>
      <x:c r="D4227" s="73" t="n">
        <x:v>1.087</x:v>
      </x:c>
      <x:c r="E4227" s="73" t="n">
        <x:v>1.087</x:v>
      </x:c>
      <x:c r="F4227" s="73" t="n">
        <x:v>1.087</x:v>
      </x:c>
      <x:c r="G4227" s="74" t="n">
        <x:v>0.0004</x:v>
      </x:c>
      <x:c r="H4227" s="66" t="str">
        <x:v>钧誉厚德量化对冲11号净值20260911.xlsx</x:v>
      </x:c>
      <x:c r="I4227" s="73" t="str">
        <x:f>""</x:f>
      </x:c>
      <x:c r="J4227" s="74" t="str">
        <x:f>""</x:f>
      </x:c>
      <x:c r="K4227" s="73" t="str">
        <x:f>""</x:f>
      </x:c>
      <x:c r="L4227" s="74" t="str">
        <x:f>""</x:f>
      </x:c>
      <x:c r="M4227" s="73" t="n">
        <x:f>MAX(M4226,F4227)</x:f>
        <x:v>1.087</x:v>
      </x:c>
      <x:c r="N4227" s="74" t="n">
        <x:f>1-F4227/M4227</x:f>
        <x:v>0</x:v>
      </x:c>
    </x:row>
    <x:row r="4228" ht="27" customHeight="1">
      <x:c r="A4228" s="66" t="str">
        <x:v>SQN453</x:v>
      </x:c>
      <x:c r="B4228" s="66" t="str">
        <x:v>钧誉厚德量化对冲11号</x:v>
      </x:c>
      <x:c r="C4228" s="72" t="n">
        <x:v>44558</x:v>
      </x:c>
      <x:c r="D4228" s="73" t="n">
        <x:v>1.0872</x:v>
      </x:c>
      <x:c r="E4228" s="73" t="n">
        <x:v>1.0872</x:v>
      </x:c>
      <x:c r="F4228" s="73" t="n">
        <x:v>1.0872</x:v>
      </x:c>
      <x:c r="G4228" s="74" t="n">
        <x:v>0.0002</x:v>
      </x:c>
      <x:c r="H4228" s="66" t="str">
        <x:v>钧誉厚德量化对冲11号净值20260911.xlsx</x:v>
      </x:c>
      <x:c r="I4228" s="73" t="str">
        <x:f>""</x:f>
      </x:c>
      <x:c r="J4228" s="74" t="str">
        <x:f>""</x:f>
      </x:c>
      <x:c r="K4228" s="73" t="str">
        <x:f>""</x:f>
      </x:c>
      <x:c r="L4228" s="74" t="str">
        <x:f>""</x:f>
      </x:c>
      <x:c r="M4228" s="73" t="n">
        <x:f>MAX(M4227,F4228)</x:f>
        <x:v>1.0872</x:v>
      </x:c>
      <x:c r="N4228" s="74" t="n">
        <x:f>1-F4228/M4228</x:f>
        <x:v>0</x:v>
      </x:c>
    </x:row>
    <x:row r="4229" ht="27" customHeight="1">
      <x:c r="A4229" s="66" t="str">
        <x:v>SQN453</x:v>
      </x:c>
      <x:c r="B4229" s="66" t="str">
        <x:v>钧誉厚德量化对冲11号</x:v>
      </x:c>
      <x:c r="C4229" s="72" t="n">
        <x:v>44559</x:v>
      </x:c>
      <x:c r="D4229" s="73" t="n">
        <x:v>1.0896</x:v>
      </x:c>
      <x:c r="E4229" s="73" t="n">
        <x:v>1.0896</x:v>
      </x:c>
      <x:c r="F4229" s="73" t="n">
        <x:v>1.0896</x:v>
      </x:c>
      <x:c r="G4229" s="74" t="n">
        <x:v>0.0022</x:v>
      </x:c>
      <x:c r="H4229" s="66" t="str">
        <x:v>钧誉厚德量化对冲11号净值20260911.xlsx</x:v>
      </x:c>
      <x:c r="I4229" s="73" t="str">
        <x:f>""</x:f>
      </x:c>
      <x:c r="J4229" s="74" t="str">
        <x:f>""</x:f>
      </x:c>
      <x:c r="K4229" s="73" t="str">
        <x:f>""</x:f>
      </x:c>
      <x:c r="L4229" s="74" t="str">
        <x:f>""</x:f>
      </x:c>
      <x:c r="M4229" s="73" t="n">
        <x:f>MAX(M4228,F4229)</x:f>
        <x:v>1.0896</x:v>
      </x:c>
      <x:c r="N4229" s="74" t="n">
        <x:f>1-F4229/M4229</x:f>
        <x:v>0</x:v>
      </x:c>
    </x:row>
    <x:row r="4230" ht="27" customHeight="1">
      <x:c r="A4230" s="66" t="str">
        <x:v>SQN453</x:v>
      </x:c>
      <x:c r="B4230" s="66" t="str">
        <x:v>钧誉厚德量化对冲11号</x:v>
      </x:c>
      <x:c r="C4230" s="72" t="n">
        <x:v>44560</x:v>
      </x:c>
      <x:c r="D4230" s="73" t="n">
        <x:v>1.0906</x:v>
      </x:c>
      <x:c r="E4230" s="73" t="n">
        <x:v>1.0906</x:v>
      </x:c>
      <x:c r="F4230" s="73" t="n">
        <x:v>1.0906</x:v>
      </x:c>
      <x:c r="G4230" s="74" t="n">
        <x:v>0.0009</x:v>
      </x:c>
      <x:c r="H4230" s="66" t="str">
        <x:v>钧誉厚德量化对冲11号净值20260911.xlsx</x:v>
      </x:c>
      <x:c r="I4230" s="73" t="str">
        <x:f>""</x:f>
      </x:c>
      <x:c r="J4230" s="74" t="str">
        <x:f>""</x:f>
      </x:c>
      <x:c r="K4230" s="73" t="str">
        <x:f>""</x:f>
      </x:c>
      <x:c r="L4230" s="74" t="str">
        <x:f>""</x:f>
      </x:c>
      <x:c r="M4230" s="73" t="n">
        <x:f>MAX(M4229,F4230)</x:f>
        <x:v>1.0906</x:v>
      </x:c>
      <x:c r="N4230" s="74" t="n">
        <x:f>1-F4230/M4230</x:f>
        <x:v>0</x:v>
      </x:c>
    </x:row>
    <x:row r="4231" ht="27" customHeight="1">
      <x:c r="A4231" s="66" t="str">
        <x:v>SQN453</x:v>
      </x:c>
      <x:c r="B4231" s="66" t="str">
        <x:v>钧誉厚德量化对冲11号</x:v>
      </x:c>
      <x:c r="C4231" s="72" t="n">
        <x:v>44561</x:v>
      </x:c>
      <x:c r="D4231" s="73" t="n">
        <x:v>1.0908</x:v>
      </x:c>
      <x:c r="E4231" s="73" t="n">
        <x:v>1.0908</x:v>
      </x:c>
      <x:c r="F4231" s="73" t="n">
        <x:v>1.0908</x:v>
      </x:c>
      <x:c r="G4231" s="74" t="n">
        <x:v>0.0002</x:v>
      </x:c>
      <x:c r="H4231" s="66" t="str">
        <x:v>钧誉厚德量化对冲11号净值20260911.xlsx</x:v>
      </x:c>
      <x:c r="I4231" s="73" t="str">
        <x:f>""</x:f>
      </x:c>
      <x:c r="J4231" s="74" t="str">
        <x:f>""</x:f>
      </x:c>
      <x:c r="K4231" s="73" t="str">
        <x:f>""</x:f>
      </x:c>
      <x:c r="L4231" s="74" t="str">
        <x:f>""</x:f>
      </x:c>
      <x:c r="M4231" s="73" t="n">
        <x:f>MAX(M4230,F4231)</x:f>
        <x:v>1.0908</x:v>
      </x:c>
      <x:c r="N4231" s="74" t="n">
        <x:f>1-F4231/M4231</x:f>
        <x:v>0</x:v>
      </x:c>
    </x:row>
    <x:row r="4232" ht="27" customHeight="1">
      <x:c r="A4232" s="66" t="str">
        <x:v>SQN453</x:v>
      </x:c>
      <x:c r="B4232" s="66" t="str">
        <x:v>钧誉厚德量化对冲11号</x:v>
      </x:c>
      <x:c r="C4232" s="72" t="n">
        <x:v>44565</x:v>
      </x:c>
      <x:c r="D4232" s="73" t="n">
        <x:v>1.0913</x:v>
      </x:c>
      <x:c r="E4232" s="73" t="n">
        <x:v>1.0913</x:v>
      </x:c>
      <x:c r="F4232" s="73" t="n">
        <x:v>1.0913</x:v>
      </x:c>
      <x:c r="G4232" s="74" t="n">
        <x:v>0.0005</x:v>
      </x:c>
      <x:c r="H4232" s="66" t="str">
        <x:v>钧誉厚德量化对冲11号净值20260911.xlsx</x:v>
      </x:c>
      <x:c r="I4232" s="73" t="str">
        <x:f>""</x:f>
      </x:c>
      <x:c r="J4232" s="74" t="str">
        <x:f>""</x:f>
      </x:c>
      <x:c r="K4232" s="73" t="str">
        <x:f>""</x:f>
      </x:c>
      <x:c r="L4232" s="74" t="str">
        <x:f>""</x:f>
      </x:c>
      <x:c r="M4232" s="73" t="n">
        <x:f>MAX(M4231,F4232)</x:f>
        <x:v>1.0913</x:v>
      </x:c>
      <x:c r="N4232" s="74" t="n">
        <x:f>1-F4232/M4232</x:f>
        <x:v>0</x:v>
      </x:c>
    </x:row>
    <x:row r="4233" ht="27" customHeight="1">
      <x:c r="A4233" s="66" t="str">
        <x:v>SQN453</x:v>
      </x:c>
      <x:c r="B4233" s="66" t="str">
        <x:v>钧誉厚德量化对冲11号</x:v>
      </x:c>
      <x:c r="C4233" s="72" t="n">
        <x:v>44566</x:v>
      </x:c>
      <x:c r="D4233" s="73" t="n">
        <x:v>1.0915</x:v>
      </x:c>
      <x:c r="E4233" s="73" t="n">
        <x:v>1.0915</x:v>
      </x:c>
      <x:c r="F4233" s="73" t="n">
        <x:v>1.0915</x:v>
      </x:c>
      <x:c r="G4233" s="74" t="n">
        <x:v>0.0002</x:v>
      </x:c>
      <x:c r="H4233" s="66" t="str">
        <x:v>钧誉厚德量化对冲11号净值20260911.xlsx</x:v>
      </x:c>
      <x:c r="I4233" s="73" t="str">
        <x:f>""</x:f>
      </x:c>
      <x:c r="J4233" s="74" t="str">
        <x:f>""</x:f>
      </x:c>
      <x:c r="K4233" s="73" t="str">
        <x:f>""</x:f>
      </x:c>
      <x:c r="L4233" s="74" t="str">
        <x:f>""</x:f>
      </x:c>
      <x:c r="M4233" s="73" t="n">
        <x:f>MAX(M4232,F4233)</x:f>
        <x:v>1.0915</x:v>
      </x:c>
      <x:c r="N4233" s="74" t="n">
        <x:f>1-F4233/M4233</x:f>
        <x:v>0</x:v>
      </x:c>
    </x:row>
    <x:row r="4234" ht="27" customHeight="1">
      <x:c r="A4234" s="66" t="str">
        <x:v>SQN453</x:v>
      </x:c>
      <x:c r="B4234" s="66" t="str">
        <x:v>钧誉厚德量化对冲11号</x:v>
      </x:c>
      <x:c r="C4234" s="72" t="n">
        <x:v>44567</x:v>
      </x:c>
      <x:c r="D4234" s="73" t="n">
        <x:v>1.0915</x:v>
      </x:c>
      <x:c r="E4234" s="73" t="n">
        <x:v>1.0915</x:v>
      </x:c>
      <x:c r="F4234" s="73" t="n">
        <x:v>1.0915</x:v>
      </x:c>
      <x:c r="G4234" s="74" t="n">
        <x:v>0</x:v>
      </x:c>
      <x:c r="H4234" s="66" t="str">
        <x:v>钧誉厚德量化对冲11号净值20260911.xlsx</x:v>
      </x:c>
      <x:c r="I4234" s="73" t="str">
        <x:f>""</x:f>
      </x:c>
      <x:c r="J4234" s="74" t="str">
        <x:f>""</x:f>
      </x:c>
      <x:c r="K4234" s="73" t="str">
        <x:f>""</x:f>
      </x:c>
      <x:c r="L4234" s="74" t="str">
        <x:f>""</x:f>
      </x:c>
      <x:c r="M4234" s="73" t="n">
        <x:f>MAX(M4233,F4234)</x:f>
        <x:v>1.0915</x:v>
      </x:c>
      <x:c r="N4234" s="74" t="n">
        <x:f>1-F4234/M4234</x:f>
        <x:v>0</x:v>
      </x:c>
    </x:row>
    <x:row r="4235" ht="27" customHeight="1">
      <x:c r="A4235" s="66" t="str">
        <x:v>SQN453</x:v>
      </x:c>
      <x:c r="B4235" s="66" t="str">
        <x:v>钧誉厚德量化对冲11号</x:v>
      </x:c>
      <x:c r="C4235" s="72" t="n">
        <x:v>44568</x:v>
      </x:c>
      <x:c r="D4235" s="73" t="n">
        <x:v>1.0916</x:v>
      </x:c>
      <x:c r="E4235" s="73" t="n">
        <x:v>1.0916</x:v>
      </x:c>
      <x:c r="F4235" s="73" t="n">
        <x:v>1.0916</x:v>
      </x:c>
      <x:c r="G4235" s="74" t="n">
        <x:v>0.0001</x:v>
      </x:c>
      <x:c r="H4235" s="66" t="str">
        <x:v>钧誉厚德量化对冲11号净值20260911.xlsx</x:v>
      </x:c>
      <x:c r="I4235" s="73" t="str">
        <x:f>""</x:f>
      </x:c>
      <x:c r="J4235" s="74" t="str">
        <x:f>""</x:f>
      </x:c>
      <x:c r="K4235" s="73" t="str">
        <x:f>""</x:f>
      </x:c>
      <x:c r="L4235" s="74" t="str">
        <x:f>""</x:f>
      </x:c>
      <x:c r="M4235" s="73" t="n">
        <x:f>MAX(M4234,F4235)</x:f>
        <x:v>1.0916</x:v>
      </x:c>
      <x:c r="N4235" s="74" t="n">
        <x:f>1-F4235/M4235</x:f>
        <x:v>0</x:v>
      </x:c>
    </x:row>
    <x:row r="4236" ht="27" customHeight="1">
      <x:c r="A4236" s="66" t="str">
        <x:v>SQN453</x:v>
      </x:c>
      <x:c r="B4236" s="66" t="str">
        <x:v>钧誉厚德量化对冲11号</x:v>
      </x:c>
      <x:c r="C4236" s="72" t="n">
        <x:v>44571</x:v>
      </x:c>
      <x:c r="D4236" s="73" t="n">
        <x:v>1.0927</x:v>
      </x:c>
      <x:c r="E4236" s="73" t="n">
        <x:v>1.0927</x:v>
      </x:c>
      <x:c r="F4236" s="73" t="n">
        <x:v>1.0927</x:v>
      </x:c>
      <x:c r="G4236" s="74" t="n">
        <x:v>0.001</x:v>
      </x:c>
      <x:c r="H4236" s="66" t="str">
        <x:v>钧誉厚德量化对冲11号净值20260911.xlsx</x:v>
      </x:c>
      <x:c r="I4236" s="73" t="str">
        <x:f>""</x:f>
      </x:c>
      <x:c r="J4236" s="74" t="str">
        <x:f>""</x:f>
      </x:c>
      <x:c r="K4236" s="73" t="str">
        <x:f>""</x:f>
      </x:c>
      <x:c r="L4236" s="74" t="str">
        <x:f>""</x:f>
      </x:c>
      <x:c r="M4236" s="73" t="n">
        <x:f>MAX(M4235,F4236)</x:f>
        <x:v>1.0927</x:v>
      </x:c>
      <x:c r="N4236" s="74" t="n">
        <x:f>1-F4236/M4236</x:f>
        <x:v>0</x:v>
      </x:c>
    </x:row>
    <x:row r="4237" ht="27" customHeight="1">
      <x:c r="A4237" s="66" t="str">
        <x:v>SQN453</x:v>
      </x:c>
      <x:c r="B4237" s="66" t="str">
        <x:v>钧誉厚德量化对冲11号</x:v>
      </x:c>
      <x:c r="C4237" s="72" t="n">
        <x:v>44572</x:v>
      </x:c>
      <x:c r="D4237" s="73" t="n">
        <x:v>1.0935</x:v>
      </x:c>
      <x:c r="E4237" s="73" t="n">
        <x:v>1.0935</x:v>
      </x:c>
      <x:c r="F4237" s="73" t="n">
        <x:v>1.0935</x:v>
      </x:c>
      <x:c r="G4237" s="74" t="n">
        <x:v>0.0007000000000000001</x:v>
      </x:c>
      <x:c r="H4237" s="66" t="str">
        <x:v>钧誉厚德量化对冲11号净值20260911.xlsx</x:v>
      </x:c>
      <x:c r="I4237" s="73" t="str">
        <x:f>""</x:f>
      </x:c>
      <x:c r="J4237" s="74" t="str">
        <x:f>""</x:f>
      </x:c>
      <x:c r="K4237" s="73" t="str">
        <x:f>""</x:f>
      </x:c>
      <x:c r="L4237" s="74" t="str">
        <x:f>""</x:f>
      </x:c>
      <x:c r="M4237" s="73" t="n">
        <x:f>MAX(M4236,F4237)</x:f>
        <x:v>1.0935</x:v>
      </x:c>
      <x:c r="N4237" s="74" t="n">
        <x:f>1-F4237/M4237</x:f>
        <x:v>0</x:v>
      </x:c>
    </x:row>
    <x:row r="4238" ht="27" customHeight="1">
      <x:c r="A4238" s="66" t="str">
        <x:v>SQN453</x:v>
      </x:c>
      <x:c r="B4238" s="66" t="str">
        <x:v>钧誉厚德量化对冲11号</x:v>
      </x:c>
      <x:c r="C4238" s="72" t="n">
        <x:v>44573</x:v>
      </x:c>
      <x:c r="D4238" s="73" t="n">
        <x:v>1.0936</x:v>
      </x:c>
      <x:c r="E4238" s="73" t="n">
        <x:v>1.0936</x:v>
      </x:c>
      <x:c r="F4238" s="73" t="n">
        <x:v>1.0936</x:v>
      </x:c>
      <x:c r="G4238" s="74" t="n">
        <x:v>0.0001</x:v>
      </x:c>
      <x:c r="H4238" s="66" t="str">
        <x:v>钧誉厚德量化对冲11号净值20260911.xlsx</x:v>
      </x:c>
      <x:c r="I4238" s="73" t="str">
        <x:f>""</x:f>
      </x:c>
      <x:c r="J4238" s="74" t="str">
        <x:f>""</x:f>
      </x:c>
      <x:c r="K4238" s="73" t="str">
        <x:f>""</x:f>
      </x:c>
      <x:c r="L4238" s="74" t="str">
        <x:f>""</x:f>
      </x:c>
      <x:c r="M4238" s="73" t="n">
        <x:f>MAX(M4237,F4238)</x:f>
        <x:v>1.0936</x:v>
      </x:c>
      <x:c r="N4238" s="74" t="n">
        <x:f>1-F4238/M4238</x:f>
        <x:v>0</x:v>
      </x:c>
    </x:row>
    <x:row r="4239" ht="27" customHeight="1">
      <x:c r="A4239" s="66" t="str">
        <x:v>SQN453</x:v>
      </x:c>
      <x:c r="B4239" s="66" t="str">
        <x:v>钧誉厚德量化对冲11号</x:v>
      </x:c>
      <x:c r="C4239" s="72" t="n">
        <x:v>44574</x:v>
      </x:c>
      <x:c r="D4239" s="73" t="n">
        <x:v>1.0942</x:v>
      </x:c>
      <x:c r="E4239" s="73" t="n">
        <x:v>1.0942</x:v>
      </x:c>
      <x:c r="F4239" s="73" t="n">
        <x:v>1.0942</x:v>
      </x:c>
      <x:c r="G4239" s="74" t="n">
        <x:v>0.0005</x:v>
      </x:c>
      <x:c r="H4239" s="66" t="str">
        <x:v>钧誉厚德量化对冲11号净值20260911.xlsx</x:v>
      </x:c>
      <x:c r="I4239" s="73" t="str">
        <x:f>""</x:f>
      </x:c>
      <x:c r="J4239" s="74" t="str">
        <x:f>""</x:f>
      </x:c>
      <x:c r="K4239" s="73" t="str">
        <x:f>""</x:f>
      </x:c>
      <x:c r="L4239" s="74" t="str">
        <x:f>""</x:f>
      </x:c>
      <x:c r="M4239" s="73" t="n">
        <x:f>MAX(M4238,F4239)</x:f>
        <x:v>1.0942</x:v>
      </x:c>
      <x:c r="N4239" s="74" t="n">
        <x:f>1-F4239/M4239</x:f>
        <x:v>0</x:v>
      </x:c>
    </x:row>
    <x:row r="4240" ht="27" customHeight="1">
      <x:c r="A4240" s="66" t="str">
        <x:v>SQN453</x:v>
      </x:c>
      <x:c r="B4240" s="66" t="str">
        <x:v>钧誉厚德量化对冲11号</x:v>
      </x:c>
      <x:c r="C4240" s="72" t="n">
        <x:v>44575</x:v>
      </x:c>
      <x:c r="D4240" s="73" t="n">
        <x:v>1.0947</x:v>
      </x:c>
      <x:c r="E4240" s="73" t="n">
        <x:v>1.0947</x:v>
      </x:c>
      <x:c r="F4240" s="73" t="n">
        <x:v>1.0947</x:v>
      </x:c>
      <x:c r="G4240" s="74" t="n">
        <x:v>0.0005</x:v>
      </x:c>
      <x:c r="H4240" s="66" t="str">
        <x:v>钧誉厚德量化对冲11号净值20260911.xlsx</x:v>
      </x:c>
      <x:c r="I4240" s="73" t="str">
        <x:f>""</x:f>
      </x:c>
      <x:c r="J4240" s="74" t="str">
        <x:f>""</x:f>
      </x:c>
      <x:c r="K4240" s="73" t="str">
        <x:f>""</x:f>
      </x:c>
      <x:c r="L4240" s="74" t="str">
        <x:f>""</x:f>
      </x:c>
      <x:c r="M4240" s="73" t="n">
        <x:f>MAX(M4239,F4240)</x:f>
        <x:v>1.0947</x:v>
      </x:c>
      <x:c r="N4240" s="74" t="n">
        <x:f>1-F4240/M4240</x:f>
        <x:v>0</x:v>
      </x:c>
    </x:row>
    <x:row r="4241" ht="27" customHeight="1">
      <x:c r="A4241" s="66" t="str">
        <x:v>SQN453</x:v>
      </x:c>
      <x:c r="B4241" s="66" t="str">
        <x:v>钧誉厚德量化对冲11号</x:v>
      </x:c>
      <x:c r="C4241" s="72" t="n">
        <x:v>44578</x:v>
      </x:c>
      <x:c r="D4241" s="73" t="n">
        <x:v>1.0949</x:v>
      </x:c>
      <x:c r="E4241" s="73" t="n">
        <x:v>1.0949</x:v>
      </x:c>
      <x:c r="F4241" s="73" t="n">
        <x:v>1.0949</x:v>
      </x:c>
      <x:c r="G4241" s="74" t="n">
        <x:v>0.0002</x:v>
      </x:c>
      <x:c r="H4241" s="66" t="str">
        <x:v>钧誉厚德量化对冲11号净值20260911.xlsx</x:v>
      </x:c>
      <x:c r="I4241" s="73" t="str">
        <x:f>""</x:f>
      </x:c>
      <x:c r="J4241" s="74" t="str">
        <x:f>""</x:f>
      </x:c>
      <x:c r="K4241" s="73" t="str">
        <x:f>""</x:f>
      </x:c>
      <x:c r="L4241" s="74" t="str">
        <x:f>""</x:f>
      </x:c>
      <x:c r="M4241" s="73" t="n">
        <x:f>MAX(M4240,F4241)</x:f>
        <x:v>1.0949</x:v>
      </x:c>
      <x:c r="N4241" s="74" t="n">
        <x:f>1-F4241/M4241</x:f>
        <x:v>0</x:v>
      </x:c>
    </x:row>
    <x:row r="4242" ht="27" customHeight="1">
      <x:c r="A4242" s="66" t="str">
        <x:v>SQN453</x:v>
      </x:c>
      <x:c r="B4242" s="66" t="str">
        <x:v>钧誉厚德量化对冲11号</x:v>
      </x:c>
      <x:c r="C4242" s="72" t="n">
        <x:v>44579</x:v>
      </x:c>
      <x:c r="D4242" s="73" t="n">
        <x:v>1.095</x:v>
      </x:c>
      <x:c r="E4242" s="73" t="n">
        <x:v>1.095</x:v>
      </x:c>
      <x:c r="F4242" s="73" t="n">
        <x:v>1.095</x:v>
      </x:c>
      <x:c r="G4242" s="74" t="n">
        <x:v>0.0001</x:v>
      </x:c>
      <x:c r="H4242" s="66" t="str">
        <x:v>钧誉厚德量化对冲11号净值20260911.xlsx</x:v>
      </x:c>
      <x:c r="I4242" s="73" t="str">
        <x:f>""</x:f>
      </x:c>
      <x:c r="J4242" s="74" t="str">
        <x:f>""</x:f>
      </x:c>
      <x:c r="K4242" s="73" t="str">
        <x:f>""</x:f>
      </x:c>
      <x:c r="L4242" s="74" t="str">
        <x:f>""</x:f>
      </x:c>
      <x:c r="M4242" s="73" t="n">
        <x:f>MAX(M4241,F4242)</x:f>
        <x:v>1.095</x:v>
      </x:c>
      <x:c r="N4242" s="74" t="n">
        <x:f>1-F4242/M4242</x:f>
        <x:v>0</x:v>
      </x:c>
    </x:row>
    <x:row r="4243" ht="27" customHeight="1">
      <x:c r="A4243" s="66" t="str">
        <x:v>SQN453</x:v>
      </x:c>
      <x:c r="B4243" s="66" t="str">
        <x:v>钧誉厚德量化对冲11号</x:v>
      </x:c>
      <x:c r="C4243" s="72" t="n">
        <x:v>44580</x:v>
      </x:c>
      <x:c r="D4243" s="73" t="n">
        <x:v>1.0952</x:v>
      </x:c>
      <x:c r="E4243" s="73" t="n">
        <x:v>1.0952</x:v>
      </x:c>
      <x:c r="F4243" s="73" t="n">
        <x:v>1.0952</x:v>
      </x:c>
      <x:c r="G4243" s="74" t="n">
        <x:v>0.0002</x:v>
      </x:c>
      <x:c r="H4243" s="66" t="str">
        <x:v>钧誉厚德量化对冲11号净值20260911.xlsx</x:v>
      </x:c>
      <x:c r="I4243" s="73" t="str">
        <x:f>""</x:f>
      </x:c>
      <x:c r="J4243" s="74" t="str">
        <x:f>""</x:f>
      </x:c>
      <x:c r="K4243" s="73" t="str">
        <x:f>""</x:f>
      </x:c>
      <x:c r="L4243" s="74" t="str">
        <x:f>""</x:f>
      </x:c>
      <x:c r="M4243" s="73" t="n">
        <x:f>MAX(M4242,F4243)</x:f>
        <x:v>1.0952</x:v>
      </x:c>
      <x:c r="N4243" s="74" t="n">
        <x:f>1-F4243/M4243</x:f>
        <x:v>0</x:v>
      </x:c>
    </x:row>
    <x:row r="4244" ht="27" customHeight="1">
      <x:c r="A4244" s="66" t="str">
        <x:v>SQN453</x:v>
      </x:c>
      <x:c r="B4244" s="66" t="str">
        <x:v>钧誉厚德量化对冲11号</x:v>
      </x:c>
      <x:c r="C4244" s="72" t="n">
        <x:v>44581</x:v>
      </x:c>
      <x:c r="D4244" s="73" t="n">
        <x:v>1.0963</x:v>
      </x:c>
      <x:c r="E4244" s="73" t="n">
        <x:v>1.0963</x:v>
      </x:c>
      <x:c r="F4244" s="73" t="n">
        <x:v>1.0963</x:v>
      </x:c>
      <x:c r="G4244" s="74" t="n">
        <x:v>0.001</x:v>
      </x:c>
      <x:c r="H4244" s="66" t="str">
        <x:v>钧誉厚德量化对冲11号净值20260911.xlsx</x:v>
      </x:c>
      <x:c r="I4244" s="73" t="str">
        <x:f>""</x:f>
      </x:c>
      <x:c r="J4244" s="74" t="str">
        <x:f>""</x:f>
      </x:c>
      <x:c r="K4244" s="73" t="str">
        <x:f>""</x:f>
      </x:c>
      <x:c r="L4244" s="74" t="str">
        <x:f>""</x:f>
      </x:c>
      <x:c r="M4244" s="73" t="n">
        <x:f>MAX(M4243,F4244)</x:f>
        <x:v>1.0963</x:v>
      </x:c>
      <x:c r="N4244" s="74" t="n">
        <x:f>1-F4244/M4244</x:f>
        <x:v>0</x:v>
      </x:c>
    </x:row>
    <x:row r="4245" ht="27" customHeight="1">
      <x:c r="A4245" s="66" t="str">
        <x:v>SQN453</x:v>
      </x:c>
      <x:c r="B4245" s="66" t="str">
        <x:v>钧誉厚德量化对冲11号</x:v>
      </x:c>
      <x:c r="C4245" s="72" t="n">
        <x:v>44582</x:v>
      </x:c>
      <x:c r="D4245" s="73" t="n">
        <x:v>1.0968</x:v>
      </x:c>
      <x:c r="E4245" s="73" t="n">
        <x:v>1.0968</x:v>
      </x:c>
      <x:c r="F4245" s="73" t="n">
        <x:v>1.0968</x:v>
      </x:c>
      <x:c r="G4245" s="74" t="n">
        <x:v>0.0005</x:v>
      </x:c>
      <x:c r="H4245" s="66" t="str">
        <x:v>钧誉厚德量化对冲11号净值20260911.xlsx</x:v>
      </x:c>
      <x:c r="I4245" s="73" t="str">
        <x:f>""</x:f>
      </x:c>
      <x:c r="J4245" s="74" t="str">
        <x:f>""</x:f>
      </x:c>
      <x:c r="K4245" s="73" t="str">
        <x:f>""</x:f>
      </x:c>
      <x:c r="L4245" s="74" t="str">
        <x:f>""</x:f>
      </x:c>
      <x:c r="M4245" s="73" t="n">
        <x:f>MAX(M4244,F4245)</x:f>
        <x:v>1.0968</x:v>
      </x:c>
      <x:c r="N4245" s="74" t="n">
        <x:f>1-F4245/M4245</x:f>
        <x:v>0</x:v>
      </x:c>
    </x:row>
    <x:row r="4246" ht="27" customHeight="1">
      <x:c r="A4246" s="66" t="str">
        <x:v>SQN453</x:v>
      </x:c>
      <x:c r="B4246" s="66" t="str">
        <x:v>钧誉厚德量化对冲11号</x:v>
      </x:c>
      <x:c r="C4246" s="72" t="n">
        <x:v>44585</x:v>
      </x:c>
      <x:c r="D4246" s="73" t="n">
        <x:v>1.0979</x:v>
      </x:c>
      <x:c r="E4246" s="73" t="n">
        <x:v>1.0979</x:v>
      </x:c>
      <x:c r="F4246" s="73" t="n">
        <x:v>1.0979</x:v>
      </x:c>
      <x:c r="G4246" s="74" t="n">
        <x:v>0.001</x:v>
      </x:c>
      <x:c r="H4246" s="66" t="str">
        <x:v>钧誉厚德量化对冲11号净值20260911.xlsx</x:v>
      </x:c>
      <x:c r="I4246" s="73" t="str">
        <x:f>""</x:f>
      </x:c>
      <x:c r="J4246" s="74" t="str">
        <x:f>""</x:f>
      </x:c>
      <x:c r="K4246" s="73" t="str">
        <x:f>""</x:f>
      </x:c>
      <x:c r="L4246" s="74" t="str">
        <x:f>""</x:f>
      </x:c>
      <x:c r="M4246" s="73" t="n">
        <x:f>MAX(M4245,F4246)</x:f>
        <x:v>1.0979</x:v>
      </x:c>
      <x:c r="N4246" s="74" t="n">
        <x:f>1-F4246/M4246</x:f>
        <x:v>0</x:v>
      </x:c>
    </x:row>
    <x:row r="4247" ht="27" customHeight="1">
      <x:c r="A4247" s="66" t="str">
        <x:v>SQN453</x:v>
      </x:c>
      <x:c r="B4247" s="66" t="str">
        <x:v>钧誉厚德量化对冲11号</x:v>
      </x:c>
      <x:c r="C4247" s="72" t="n">
        <x:v>44586</x:v>
      </x:c>
      <x:c r="D4247" s="73" t="n">
        <x:v>1.0985</x:v>
      </x:c>
      <x:c r="E4247" s="73" t="n">
        <x:v>1.0985</x:v>
      </x:c>
      <x:c r="F4247" s="73" t="n">
        <x:v>1.0985</x:v>
      </x:c>
      <x:c r="G4247" s="74" t="n">
        <x:v>0.0005</x:v>
      </x:c>
      <x:c r="H4247" s="66" t="str">
        <x:v>钧誉厚德量化对冲11号净值20260911.xlsx</x:v>
      </x:c>
      <x:c r="I4247" s="73" t="str">
        <x:f>""</x:f>
      </x:c>
      <x:c r="J4247" s="74" t="str">
        <x:f>""</x:f>
      </x:c>
      <x:c r="K4247" s="73" t="str">
        <x:f>""</x:f>
      </x:c>
      <x:c r="L4247" s="74" t="str">
        <x:f>""</x:f>
      </x:c>
      <x:c r="M4247" s="73" t="n">
        <x:f>MAX(M4246,F4247)</x:f>
        <x:v>1.0985</x:v>
      </x:c>
      <x:c r="N4247" s="74" t="n">
        <x:f>1-F4247/M4247</x:f>
        <x:v>0</x:v>
      </x:c>
    </x:row>
    <x:row r="4248" ht="27" customHeight="1">
      <x:c r="A4248" s="66" t="str">
        <x:v>SQN453</x:v>
      </x:c>
      <x:c r="B4248" s="66" t="str">
        <x:v>钧誉厚德量化对冲11号</x:v>
      </x:c>
      <x:c r="C4248" s="72" t="n">
        <x:v>44587</x:v>
      </x:c>
      <x:c r="D4248" s="73" t="n">
        <x:v>1.0988</x:v>
      </x:c>
      <x:c r="E4248" s="73" t="n">
        <x:v>1.0988</x:v>
      </x:c>
      <x:c r="F4248" s="73" t="n">
        <x:v>1.0988</x:v>
      </x:c>
      <x:c r="G4248" s="74" t="n">
        <x:v>0.0003</x:v>
      </x:c>
      <x:c r="H4248" s="66" t="str">
        <x:v>钧誉厚德量化对冲11号净值20260911.xlsx</x:v>
      </x:c>
      <x:c r="I4248" s="73" t="str">
        <x:f>""</x:f>
      </x:c>
      <x:c r="J4248" s="74" t="str">
        <x:f>""</x:f>
      </x:c>
      <x:c r="K4248" s="73" t="str">
        <x:f>""</x:f>
      </x:c>
      <x:c r="L4248" s="74" t="str">
        <x:f>""</x:f>
      </x:c>
      <x:c r="M4248" s="73" t="n">
        <x:f>MAX(M4247,F4248)</x:f>
        <x:v>1.0988</x:v>
      </x:c>
      <x:c r="N4248" s="74" t="n">
        <x:f>1-F4248/M4248</x:f>
        <x:v>0</x:v>
      </x:c>
    </x:row>
    <x:row r="4249" ht="27" customHeight="1">
      <x:c r="A4249" s="66" t="str">
        <x:v>SQN453</x:v>
      </x:c>
      <x:c r="B4249" s="66" t="str">
        <x:v>钧誉厚德量化对冲11号</x:v>
      </x:c>
      <x:c r="C4249" s="72" t="n">
        <x:v>44588</x:v>
      </x:c>
      <x:c r="D4249" s="73" t="n">
        <x:v>1.0994</x:v>
      </x:c>
      <x:c r="E4249" s="73" t="n">
        <x:v>1.0994</x:v>
      </x:c>
      <x:c r="F4249" s="73" t="n">
        <x:v>1.0994</x:v>
      </x:c>
      <x:c r="G4249" s="74" t="n">
        <x:v>0.0005</x:v>
      </x:c>
      <x:c r="H4249" s="66" t="str">
        <x:v>钧誉厚德量化对冲11号净值20260911.xlsx</x:v>
      </x:c>
      <x:c r="I4249" s="73" t="str">
        <x:f>""</x:f>
      </x:c>
      <x:c r="J4249" s="74" t="str">
        <x:f>""</x:f>
      </x:c>
      <x:c r="K4249" s="73" t="str">
        <x:f>""</x:f>
      </x:c>
      <x:c r="L4249" s="74" t="str">
        <x:f>""</x:f>
      </x:c>
      <x:c r="M4249" s="73" t="n">
        <x:f>MAX(M4248,F4249)</x:f>
        <x:v>1.0994</x:v>
      </x:c>
      <x:c r="N4249" s="74" t="n">
        <x:f>1-F4249/M4249</x:f>
        <x:v>0</x:v>
      </x:c>
    </x:row>
    <x:row r="4250" ht="27" customHeight="1">
      <x:c r="A4250" s="66" t="str">
        <x:v>SQN453</x:v>
      </x:c>
      <x:c r="B4250" s="66" t="str">
        <x:v>钧誉厚德量化对冲11号</x:v>
      </x:c>
      <x:c r="C4250" s="72" t="n">
        <x:v>44589</x:v>
      </x:c>
      <x:c r="D4250" s="73" t="n">
        <x:v>1.0995</x:v>
      </x:c>
      <x:c r="E4250" s="73" t="n">
        <x:v>1.0995</x:v>
      </x:c>
      <x:c r="F4250" s="73" t="n">
        <x:v>1.0995</x:v>
      </x:c>
      <x:c r="G4250" s="74" t="n">
        <x:v>0.0001</x:v>
      </x:c>
      <x:c r="H4250" s="66" t="str">
        <x:v>钧誉厚德量化对冲11号净值20260911.xlsx</x:v>
      </x:c>
      <x:c r="I4250" s="73" t="str">
        <x:f>""</x:f>
      </x:c>
      <x:c r="J4250" s="74" t="str">
        <x:f>""</x:f>
      </x:c>
      <x:c r="K4250" s="73" t="str">
        <x:f>""</x:f>
      </x:c>
      <x:c r="L4250" s="74" t="str">
        <x:f>""</x:f>
      </x:c>
      <x:c r="M4250" s="73" t="n">
        <x:f>MAX(M4249,F4250)</x:f>
        <x:v>1.0995</x:v>
      </x:c>
      <x:c r="N4250" s="74" t="n">
        <x:f>1-F4250/M4250</x:f>
        <x:v>0</x:v>
      </x:c>
    </x:row>
    <x:row r="4251" ht="27" customHeight="1">
      <x:c r="A4251" s="66" t="str">
        <x:v>SQN453</x:v>
      </x:c>
      <x:c r="B4251" s="66" t="str">
        <x:v>钧誉厚德量化对冲11号</x:v>
      </x:c>
      <x:c r="C4251" s="72" t="n">
        <x:v>44599</x:v>
      </x:c>
      <x:c r="D4251" s="73" t="n">
        <x:v>1.0992</x:v>
      </x:c>
      <x:c r="E4251" s="73" t="n">
        <x:v>1.0992</x:v>
      </x:c>
      <x:c r="F4251" s="73" t="n">
        <x:v>1.0992</x:v>
      </x:c>
      <x:c r="G4251" s="74" t="n">
        <x:v>-0.0003</x:v>
      </x:c>
      <x:c r="H4251" s="66" t="str">
        <x:v>钧誉厚德量化对冲11号净值20260911.xlsx</x:v>
      </x:c>
      <x:c r="I4251" s="73" t="str">
        <x:f>""</x:f>
      </x:c>
      <x:c r="J4251" s="74" t="str">
        <x:f>""</x:f>
      </x:c>
      <x:c r="K4251" s="73" t="str">
        <x:f>""</x:f>
      </x:c>
      <x:c r="L4251" s="74" t="str">
        <x:f>""</x:f>
      </x:c>
      <x:c r="M4251" s="73" t="n">
        <x:f>MAX(M4250,F4251)</x:f>
        <x:v>1.0995</x:v>
      </x:c>
      <x:c r="N4251" s="74" t="n">
        <x:f>1-F4251/M4251</x:f>
        <x:v>0.0002728512960435969</x:v>
      </x:c>
    </x:row>
    <x:row r="4252" ht="27" customHeight="1">
      <x:c r="A4252" s="66" t="str">
        <x:v>SQN453</x:v>
      </x:c>
      <x:c r="B4252" s="66" t="str">
        <x:v>钧誉厚德量化对冲11号</x:v>
      </x:c>
      <x:c r="C4252" s="72" t="n">
        <x:v>44600</x:v>
      </x:c>
      <x:c r="D4252" s="73" t="n">
        <x:v>1.0993</x:v>
      </x:c>
      <x:c r="E4252" s="73" t="n">
        <x:v>1.0993</x:v>
      </x:c>
      <x:c r="F4252" s="73" t="n">
        <x:v>1.0993</x:v>
      </x:c>
      <x:c r="G4252" s="74" t="n">
        <x:v>0.0001</x:v>
      </x:c>
      <x:c r="H4252" s="66" t="str">
        <x:v>钧誉厚德量化对冲11号净值20260911.xlsx</x:v>
      </x:c>
      <x:c r="I4252" s="73" t="str">
        <x:f>""</x:f>
      </x:c>
      <x:c r="J4252" s="74" t="str">
        <x:f>""</x:f>
      </x:c>
      <x:c r="K4252" s="73" t="str">
        <x:f>""</x:f>
      </x:c>
      <x:c r="L4252" s="74" t="str">
        <x:f>""</x:f>
      </x:c>
      <x:c r="M4252" s="73" t="n">
        <x:f>MAX(M4251,F4252)</x:f>
        <x:v>1.0995</x:v>
      </x:c>
      <x:c r="N4252" s="74" t="n">
        <x:f>1-F4252/M4252</x:f>
        <x:v>0.00018190086402913863</x:v>
      </x:c>
    </x:row>
    <x:row r="4253" ht="27" customHeight="1">
      <x:c r="A4253" s="66" t="str">
        <x:v>SQN453</x:v>
      </x:c>
      <x:c r="B4253" s="66" t="str">
        <x:v>钧誉厚德量化对冲11号</x:v>
      </x:c>
      <x:c r="C4253" s="72" t="n">
        <x:v>44601</x:v>
      </x:c>
      <x:c r="D4253" s="73" t="n">
        <x:v>1.0998</x:v>
      </x:c>
      <x:c r="E4253" s="73" t="n">
        <x:v>1.0998</x:v>
      </x:c>
      <x:c r="F4253" s="73" t="n">
        <x:v>1.0998</x:v>
      </x:c>
      <x:c r="G4253" s="74" t="n">
        <x:v>0.0005</x:v>
      </x:c>
      <x:c r="H4253" s="66" t="str">
        <x:v>钧誉厚德量化对冲11号净值20260911.xlsx</x:v>
      </x:c>
      <x:c r="I4253" s="73" t="str">
        <x:f>""</x:f>
      </x:c>
      <x:c r="J4253" s="74" t="str">
        <x:f>""</x:f>
      </x:c>
      <x:c r="K4253" s="73" t="str">
        <x:f>""</x:f>
      </x:c>
      <x:c r="L4253" s="74" t="str">
        <x:f>""</x:f>
      </x:c>
      <x:c r="M4253" s="73" t="n">
        <x:f>MAX(M4252,F4253)</x:f>
        <x:v>1.0998</x:v>
      </x:c>
      <x:c r="N4253" s="74" t="n">
        <x:f>1-F4253/M4253</x:f>
        <x:v>0</x:v>
      </x:c>
    </x:row>
    <x:row r="4254" ht="27" customHeight="1">
      <x:c r="A4254" s="66" t="str">
        <x:v>SQN453</x:v>
      </x:c>
      <x:c r="B4254" s="66" t="str">
        <x:v>钧誉厚德量化对冲11号</x:v>
      </x:c>
      <x:c r="C4254" s="72" t="n">
        <x:v>44602</x:v>
      </x:c>
      <x:c r="D4254" s="73" t="n">
        <x:v>1.1</x:v>
      </x:c>
      <x:c r="E4254" s="73" t="n">
        <x:v>1.1</x:v>
      </x:c>
      <x:c r="F4254" s="73" t="n">
        <x:v>1.1</x:v>
      </x:c>
      <x:c r="G4254" s="74" t="n">
        <x:v>0.0002</x:v>
      </x:c>
      <x:c r="H4254" s="66" t="str">
        <x:v>钧誉厚德量化对冲11号净值20260911.xlsx</x:v>
      </x:c>
      <x:c r="I4254" s="73" t="str">
        <x:f>""</x:f>
      </x:c>
      <x:c r="J4254" s="74" t="str">
        <x:f>""</x:f>
      </x:c>
      <x:c r="K4254" s="73" t="str">
        <x:f>""</x:f>
      </x:c>
      <x:c r="L4254" s="74" t="str">
        <x:f>""</x:f>
      </x:c>
      <x:c r="M4254" s="73" t="n">
        <x:f>MAX(M4253,F4254)</x:f>
        <x:v>1.1</x:v>
      </x:c>
      <x:c r="N4254" s="74" t="n">
        <x:f>1-F4254/M4254</x:f>
        <x:v>0</x:v>
      </x:c>
    </x:row>
    <x:row r="4255" ht="27" customHeight="1">
      <x:c r="A4255" s="66" t="str">
        <x:v>SQN453</x:v>
      </x:c>
      <x:c r="B4255" s="66" t="str">
        <x:v>钧誉厚德量化对冲11号</x:v>
      </x:c>
      <x:c r="C4255" s="72" t="n">
        <x:v>44603</x:v>
      </x:c>
      <x:c r="D4255" s="73" t="n">
        <x:v>1.1005</x:v>
      </x:c>
      <x:c r="E4255" s="73" t="n">
        <x:v>1.1005</x:v>
      </x:c>
      <x:c r="F4255" s="73" t="n">
        <x:v>1.1005</x:v>
      </x:c>
      <x:c r="G4255" s="74" t="n">
        <x:v>0.0005</x:v>
      </x:c>
      <x:c r="H4255" s="66" t="str">
        <x:v>钧誉厚德量化对冲11号净值20260911.xlsx</x:v>
      </x:c>
      <x:c r="I4255" s="73" t="str">
        <x:f>""</x:f>
      </x:c>
      <x:c r="J4255" s="74" t="str">
        <x:f>""</x:f>
      </x:c>
      <x:c r="K4255" s="73" t="str">
        <x:f>""</x:f>
      </x:c>
      <x:c r="L4255" s="74" t="str">
        <x:f>""</x:f>
      </x:c>
      <x:c r="M4255" s="73" t="n">
        <x:f>MAX(M4254,F4255)</x:f>
        <x:v>1.1005</x:v>
      </x:c>
      <x:c r="N4255" s="74" t="n">
        <x:f>1-F4255/M4255</x:f>
        <x:v>0</x:v>
      </x:c>
    </x:row>
    <x:row r="4256" ht="27" customHeight="1">
      <x:c r="A4256" s="66" t="str">
        <x:v>SQN453</x:v>
      </x:c>
      <x:c r="B4256" s="66" t="str">
        <x:v>钧誉厚德量化对冲11号</x:v>
      </x:c>
      <x:c r="C4256" s="72" t="n">
        <x:v>44606</x:v>
      </x:c>
      <x:c r="D4256" s="73" t="n">
        <x:v>1.1005</x:v>
      </x:c>
      <x:c r="E4256" s="73" t="n">
        <x:v>1.1005</x:v>
      </x:c>
      <x:c r="F4256" s="73" t="n">
        <x:v>1.1005</x:v>
      </x:c>
      <x:c r="G4256" s="74" t="n">
        <x:v>0</x:v>
      </x:c>
      <x:c r="H4256" s="66" t="str">
        <x:v>钧誉厚德量化对冲11号净值20260911.xlsx</x:v>
      </x:c>
      <x:c r="I4256" s="73" t="str">
        <x:f>""</x:f>
      </x:c>
      <x:c r="J4256" s="74" t="str">
        <x:f>""</x:f>
      </x:c>
      <x:c r="K4256" s="73" t="str">
        <x:f>""</x:f>
      </x:c>
      <x:c r="L4256" s="74" t="str">
        <x:f>""</x:f>
      </x:c>
      <x:c r="M4256" s="73" t="n">
        <x:f>MAX(M4255,F4256)</x:f>
        <x:v>1.1005</x:v>
      </x:c>
      <x:c r="N4256" s="74" t="n">
        <x:f>1-F4256/M4256</x:f>
        <x:v>0</x:v>
      </x:c>
    </x:row>
    <x:row r="4257" ht="27" customHeight="1">
      <x:c r="A4257" s="66" t="str">
        <x:v>SQN453</x:v>
      </x:c>
      <x:c r="B4257" s="66" t="str">
        <x:v>钧誉厚德量化对冲11号</x:v>
      </x:c>
      <x:c r="C4257" s="72" t="n">
        <x:v>44607</x:v>
      </x:c>
      <x:c r="D4257" s="73" t="n">
        <x:v>1.1008</x:v>
      </x:c>
      <x:c r="E4257" s="73" t="n">
        <x:v>1.1008</x:v>
      </x:c>
      <x:c r="F4257" s="73" t="n">
        <x:v>1.1008</x:v>
      </x:c>
      <x:c r="G4257" s="74" t="n">
        <x:v>0.0003</x:v>
      </x:c>
      <x:c r="H4257" s="66" t="str">
        <x:v>钧誉厚德量化对冲11号净值20260911.xlsx</x:v>
      </x:c>
      <x:c r="I4257" s="73" t="str">
        <x:f>""</x:f>
      </x:c>
      <x:c r="J4257" s="74" t="str">
        <x:f>""</x:f>
      </x:c>
      <x:c r="K4257" s="73" t="str">
        <x:f>""</x:f>
      </x:c>
      <x:c r="L4257" s="74" t="str">
        <x:f>""</x:f>
      </x:c>
      <x:c r="M4257" s="73" t="n">
        <x:f>MAX(M4256,F4257)</x:f>
        <x:v>1.1008</x:v>
      </x:c>
      <x:c r="N4257" s="74" t="n">
        <x:f>1-F4257/M4257</x:f>
        <x:v>0</x:v>
      </x:c>
    </x:row>
    <x:row r="4258" ht="27" customHeight="1">
      <x:c r="A4258" s="66" t="str">
        <x:v>SQN453</x:v>
      </x:c>
      <x:c r="B4258" s="66" t="str">
        <x:v>钧誉厚德量化对冲11号</x:v>
      </x:c>
      <x:c r="C4258" s="72" t="n">
        <x:v>44608</x:v>
      </x:c>
      <x:c r="D4258" s="73" t="n">
        <x:v>1.101</x:v>
      </x:c>
      <x:c r="E4258" s="73" t="n">
        <x:v>1.101</x:v>
      </x:c>
      <x:c r="F4258" s="73" t="n">
        <x:v>1.101</x:v>
      </x:c>
      <x:c r="G4258" s="74" t="n">
        <x:v>0.0002</x:v>
      </x:c>
      <x:c r="H4258" s="66" t="str">
        <x:v>钧誉厚德量化对冲11号净值20260911.xlsx</x:v>
      </x:c>
      <x:c r="I4258" s="73" t="str">
        <x:f>""</x:f>
      </x:c>
      <x:c r="J4258" s="74" t="str">
        <x:f>""</x:f>
      </x:c>
      <x:c r="K4258" s="73" t="str">
        <x:f>""</x:f>
      </x:c>
      <x:c r="L4258" s="74" t="str">
        <x:f>""</x:f>
      </x:c>
      <x:c r="M4258" s="73" t="n">
        <x:f>MAX(M4257,F4258)</x:f>
        <x:v>1.101</x:v>
      </x:c>
      <x:c r="N4258" s="74" t="n">
        <x:f>1-F4258/M4258</x:f>
        <x:v>0</x:v>
      </x:c>
    </x:row>
    <x:row r="4259" ht="27" customHeight="1">
      <x:c r="A4259" s="66" t="str">
        <x:v>SQN453</x:v>
      </x:c>
      <x:c r="B4259" s="66" t="str">
        <x:v>钧誉厚德量化对冲11号</x:v>
      </x:c>
      <x:c r="C4259" s="72" t="n">
        <x:v>44609</x:v>
      </x:c>
      <x:c r="D4259" s="73" t="n">
        <x:v>1.101</x:v>
      </x:c>
      <x:c r="E4259" s="73" t="n">
        <x:v>1.101</x:v>
      </x:c>
      <x:c r="F4259" s="73" t="n">
        <x:v>1.101</x:v>
      </x:c>
      <x:c r="G4259" s="74" t="n">
        <x:v>0</x:v>
      </x:c>
      <x:c r="H4259" s="66" t="str">
        <x:v>钧誉厚德量化对冲11号净值20260911.xlsx</x:v>
      </x:c>
      <x:c r="I4259" s="73" t="str">
        <x:f>""</x:f>
      </x:c>
      <x:c r="J4259" s="74" t="str">
        <x:f>""</x:f>
      </x:c>
      <x:c r="K4259" s="73" t="str">
        <x:f>""</x:f>
      </x:c>
      <x:c r="L4259" s="74" t="str">
        <x:f>""</x:f>
      </x:c>
      <x:c r="M4259" s="73" t="n">
        <x:f>MAX(M4258,F4259)</x:f>
        <x:v>1.101</x:v>
      </x:c>
      <x:c r="N4259" s="74" t="n">
        <x:f>1-F4259/M4259</x:f>
        <x:v>0</x:v>
      </x:c>
    </x:row>
    <x:row r="4260" ht="27" customHeight="1">
      <x:c r="A4260" s="66" t="str">
        <x:v>SQN453</x:v>
      </x:c>
      <x:c r="B4260" s="66" t="str">
        <x:v>钧誉厚德量化对冲11号</x:v>
      </x:c>
      <x:c r="C4260" s="72" t="n">
        <x:v>44610</x:v>
      </x:c>
      <x:c r="D4260" s="73" t="n">
        <x:v>1.1012</x:v>
      </x:c>
      <x:c r="E4260" s="73" t="n">
        <x:v>1.1012</x:v>
      </x:c>
      <x:c r="F4260" s="73" t="n">
        <x:v>1.1012</x:v>
      </x:c>
      <x:c r="G4260" s="74" t="n">
        <x:v>0.0002</x:v>
      </x:c>
      <x:c r="H4260" s="66" t="str">
        <x:v>钧誉厚德量化对冲11号净值20260911.xlsx</x:v>
      </x:c>
      <x:c r="I4260" s="73" t="str">
        <x:f>""</x:f>
      </x:c>
      <x:c r="J4260" s="74" t="str">
        <x:f>""</x:f>
      </x:c>
      <x:c r="K4260" s="73" t="str">
        <x:f>""</x:f>
      </x:c>
      <x:c r="L4260" s="74" t="str">
        <x:f>""</x:f>
      </x:c>
      <x:c r="M4260" s="73" t="n">
        <x:f>MAX(M4259,F4260)</x:f>
        <x:v>1.1012</x:v>
      </x:c>
      <x:c r="N4260" s="74" t="n">
        <x:f>1-F4260/M4260</x:f>
        <x:v>0</x:v>
      </x:c>
    </x:row>
    <x:row r="4261" ht="27" customHeight="1">
      <x:c r="A4261" s="66" t="str">
        <x:v>SQN453</x:v>
      </x:c>
      <x:c r="B4261" s="66" t="str">
        <x:v>钧誉厚德量化对冲11号</x:v>
      </x:c>
      <x:c r="C4261" s="72" t="n">
        <x:v>44613</x:v>
      </x:c>
      <x:c r="D4261" s="73" t="n">
        <x:v>1.1016</x:v>
      </x:c>
      <x:c r="E4261" s="73" t="n">
        <x:v>1.1016</x:v>
      </x:c>
      <x:c r="F4261" s="73" t="n">
        <x:v>1.1016</x:v>
      </x:c>
      <x:c r="G4261" s="74" t="n">
        <x:v>0.0004</x:v>
      </x:c>
      <x:c r="H4261" s="66" t="str">
        <x:v>钧誉厚德量化对冲11号净值20260911.xlsx</x:v>
      </x:c>
      <x:c r="I4261" s="73" t="str">
        <x:f>""</x:f>
      </x:c>
      <x:c r="J4261" s="74" t="str">
        <x:f>""</x:f>
      </x:c>
      <x:c r="K4261" s="73" t="str">
        <x:f>""</x:f>
      </x:c>
      <x:c r="L4261" s="74" t="str">
        <x:f>""</x:f>
      </x:c>
      <x:c r="M4261" s="73" t="n">
        <x:f>MAX(M4260,F4261)</x:f>
        <x:v>1.1016</x:v>
      </x:c>
      <x:c r="N4261" s="74" t="n">
        <x:f>1-F4261/M4261</x:f>
        <x:v>0</x:v>
      </x:c>
    </x:row>
    <x:row r="4262" ht="27" customHeight="1">
      <x:c r="A4262" s="66" t="str">
        <x:v>SQN453</x:v>
      </x:c>
      <x:c r="B4262" s="66" t="str">
        <x:v>钧誉厚德量化对冲11号</x:v>
      </x:c>
      <x:c r="C4262" s="72" t="n">
        <x:v>44614</x:v>
      </x:c>
      <x:c r="D4262" s="73" t="n">
        <x:v>1.102</x:v>
      </x:c>
      <x:c r="E4262" s="73" t="n">
        <x:v>1.102</x:v>
      </x:c>
      <x:c r="F4262" s="73" t="n">
        <x:v>1.102</x:v>
      </x:c>
      <x:c r="G4262" s="74" t="n">
        <x:v>0.0004</x:v>
      </x:c>
      <x:c r="H4262" s="66" t="str">
        <x:v>钧誉厚德量化对冲11号净值20260911.xlsx</x:v>
      </x:c>
      <x:c r="I4262" s="73" t="str">
        <x:f>""</x:f>
      </x:c>
      <x:c r="J4262" s="74" t="str">
        <x:f>""</x:f>
      </x:c>
      <x:c r="K4262" s="73" t="str">
        <x:f>""</x:f>
      </x:c>
      <x:c r="L4262" s="74" t="str">
        <x:f>""</x:f>
      </x:c>
      <x:c r="M4262" s="73" t="n">
        <x:f>MAX(M4261,F4262)</x:f>
        <x:v>1.102</x:v>
      </x:c>
      <x:c r="N4262" s="74" t="n">
        <x:f>1-F4262/M4262</x:f>
        <x:v>0</x:v>
      </x:c>
    </x:row>
    <x:row r="4263" ht="27" customHeight="1">
      <x:c r="A4263" s="66" t="str">
        <x:v>SQN453</x:v>
      </x:c>
      <x:c r="B4263" s="66" t="str">
        <x:v>钧誉厚德量化对冲11号</x:v>
      </x:c>
      <x:c r="C4263" s="72" t="n">
        <x:v>44615</x:v>
      </x:c>
      <x:c r="D4263" s="73" t="n">
        <x:v>1.1026</x:v>
      </x:c>
      <x:c r="E4263" s="73" t="n">
        <x:v>1.1026</x:v>
      </x:c>
      <x:c r="F4263" s="73" t="n">
        <x:v>1.1026</x:v>
      </x:c>
      <x:c r="G4263" s="74" t="n">
        <x:v>0.0005</x:v>
      </x:c>
      <x:c r="H4263" s="66" t="str">
        <x:v>钧誉厚德量化对冲11号净值20260911.xlsx</x:v>
      </x:c>
      <x:c r="I4263" s="73" t="str">
        <x:f>""</x:f>
      </x:c>
      <x:c r="J4263" s="74" t="str">
        <x:f>""</x:f>
      </x:c>
      <x:c r="K4263" s="73" t="str">
        <x:f>""</x:f>
      </x:c>
      <x:c r="L4263" s="74" t="str">
        <x:f>""</x:f>
      </x:c>
      <x:c r="M4263" s="73" t="n">
        <x:f>MAX(M4262,F4263)</x:f>
        <x:v>1.1026</x:v>
      </x:c>
      <x:c r="N4263" s="74" t="n">
        <x:f>1-F4263/M4263</x:f>
        <x:v>0</x:v>
      </x:c>
    </x:row>
    <x:row r="4264" ht="27" customHeight="1">
      <x:c r="A4264" s="66" t="str">
        <x:v>SQN453</x:v>
      </x:c>
      <x:c r="B4264" s="66" t="str">
        <x:v>钧誉厚德量化对冲11号</x:v>
      </x:c>
      <x:c r="C4264" s="72" t="n">
        <x:v>44616</x:v>
      </x:c>
      <x:c r="D4264" s="73" t="n">
        <x:v>1.103</x:v>
      </x:c>
      <x:c r="E4264" s="73" t="n">
        <x:v>1.103</x:v>
      </x:c>
      <x:c r="F4264" s="73" t="n">
        <x:v>1.103</x:v>
      </x:c>
      <x:c r="G4264" s="74" t="n">
        <x:v>0.0004</x:v>
      </x:c>
      <x:c r="H4264" s="66" t="str">
        <x:v>钧誉厚德量化对冲11号净值20260911.xlsx</x:v>
      </x:c>
      <x:c r="I4264" s="73" t="str">
        <x:f>""</x:f>
      </x:c>
      <x:c r="J4264" s="74" t="str">
        <x:f>""</x:f>
      </x:c>
      <x:c r="K4264" s="73" t="str">
        <x:f>""</x:f>
      </x:c>
      <x:c r="L4264" s="74" t="str">
        <x:f>""</x:f>
      </x:c>
      <x:c r="M4264" s="73" t="n">
        <x:f>MAX(M4263,F4264)</x:f>
        <x:v>1.103</x:v>
      </x:c>
      <x:c r="N4264" s="74" t="n">
        <x:f>1-F4264/M4264</x:f>
        <x:v>0</x:v>
      </x:c>
    </x:row>
    <x:row r="4265" ht="27" customHeight="1">
      <x:c r="A4265" s="66" t="str">
        <x:v>SQN453</x:v>
      </x:c>
      <x:c r="B4265" s="66" t="str">
        <x:v>钧誉厚德量化对冲11号</x:v>
      </x:c>
      <x:c r="C4265" s="72" t="n">
        <x:v>44617</x:v>
      </x:c>
      <x:c r="D4265" s="73" t="n">
        <x:v>1.1048</x:v>
      </x:c>
      <x:c r="E4265" s="73" t="n">
        <x:v>1.1048</x:v>
      </x:c>
      <x:c r="F4265" s="73" t="n">
        <x:v>1.1048</x:v>
      </x:c>
      <x:c r="G4265" s="74" t="n">
        <x:v>0.0016</x:v>
      </x:c>
      <x:c r="H4265" s="66" t="str">
        <x:v>钧誉厚德量化对冲11号净值20260911.xlsx</x:v>
      </x:c>
      <x:c r="I4265" s="73" t="str">
        <x:f>""</x:f>
      </x:c>
      <x:c r="J4265" s="74" t="str">
        <x:f>""</x:f>
      </x:c>
      <x:c r="K4265" s="73" t="str">
        <x:f>""</x:f>
      </x:c>
      <x:c r="L4265" s="74" t="str">
        <x:f>""</x:f>
      </x:c>
      <x:c r="M4265" s="73" t="n">
        <x:f>MAX(M4264,F4265)</x:f>
        <x:v>1.1048</x:v>
      </x:c>
      <x:c r="N4265" s="74" t="n">
        <x:f>1-F4265/M4265</x:f>
        <x:v>0</x:v>
      </x:c>
    </x:row>
    <x:row r="4266" ht="27" customHeight="1">
      <x:c r="A4266" s="66" t="str">
        <x:v>SQN453</x:v>
      </x:c>
      <x:c r="B4266" s="66" t="str">
        <x:v>钧誉厚德量化对冲11号</x:v>
      </x:c>
      <x:c r="C4266" s="72" t="n">
        <x:v>44620</x:v>
      </x:c>
      <x:c r="D4266" s="73" t="n">
        <x:v>1.1049</x:v>
      </x:c>
      <x:c r="E4266" s="73" t="n">
        <x:v>1.1049</x:v>
      </x:c>
      <x:c r="F4266" s="73" t="n">
        <x:v>1.1049</x:v>
      </x:c>
      <x:c r="G4266" s="74" t="n">
        <x:v>0.0001</x:v>
      </x:c>
      <x:c r="H4266" s="66" t="str">
        <x:v>钧誉厚德量化对冲11号净值20260911.xlsx</x:v>
      </x:c>
      <x:c r="I4266" s="73" t="str">
        <x:f>""</x:f>
      </x:c>
      <x:c r="J4266" s="74" t="str">
        <x:f>""</x:f>
      </x:c>
      <x:c r="K4266" s="73" t="str">
        <x:f>""</x:f>
      </x:c>
      <x:c r="L4266" s="74" t="str">
        <x:f>""</x:f>
      </x:c>
      <x:c r="M4266" s="73" t="n">
        <x:f>MAX(M4265,F4266)</x:f>
        <x:v>1.1049</x:v>
      </x:c>
      <x:c r="N4266" s="74" t="n">
        <x:f>1-F4266/M4266</x:f>
        <x:v>0</x:v>
      </x:c>
    </x:row>
    <x:row r="4267" ht="27" customHeight="1">
      <x:c r="A4267" s="66" t="str">
        <x:v>SQN453</x:v>
      </x:c>
      <x:c r="B4267" s="66" t="str">
        <x:v>钧誉厚德量化对冲11号</x:v>
      </x:c>
      <x:c r="C4267" s="72" t="n">
        <x:v>44621</x:v>
      </x:c>
      <x:c r="D4267" s="73" t="n">
        <x:v>1.1052</x:v>
      </x:c>
      <x:c r="E4267" s="73" t="n">
        <x:v>1.1052</x:v>
      </x:c>
      <x:c r="F4267" s="73" t="n">
        <x:v>1.1052</x:v>
      </x:c>
      <x:c r="G4267" s="74" t="n">
        <x:v>0.0003</x:v>
      </x:c>
      <x:c r="H4267" s="66" t="str">
        <x:v>钧誉厚德量化对冲11号净值20260911.xlsx</x:v>
      </x:c>
      <x:c r="I4267" s="73" t="str">
        <x:f>""</x:f>
      </x:c>
      <x:c r="J4267" s="74" t="str">
        <x:f>""</x:f>
      </x:c>
      <x:c r="K4267" s="73" t="str">
        <x:f>""</x:f>
      </x:c>
      <x:c r="L4267" s="74" t="str">
        <x:f>""</x:f>
      </x:c>
      <x:c r="M4267" s="73" t="n">
        <x:f>MAX(M4266,F4267)</x:f>
        <x:v>1.1052</x:v>
      </x:c>
      <x:c r="N4267" s="74" t="n">
        <x:f>1-F4267/M4267</x:f>
        <x:v>0</x:v>
      </x:c>
    </x:row>
    <x:row r="4268" ht="27" customHeight="1">
      <x:c r="A4268" s="66" t="str">
        <x:v>SQN453</x:v>
      </x:c>
      <x:c r="B4268" s="66" t="str">
        <x:v>钧誉厚德量化对冲11号</x:v>
      </x:c>
      <x:c r="C4268" s="72" t="n">
        <x:v>44622</x:v>
      </x:c>
      <x:c r="D4268" s="73" t="n">
        <x:v>1.106</x:v>
      </x:c>
      <x:c r="E4268" s="73" t="n">
        <x:v>1.106</x:v>
      </x:c>
      <x:c r="F4268" s="73" t="n">
        <x:v>1.106</x:v>
      </x:c>
      <x:c r="G4268" s="74" t="n">
        <x:v>0.0007000000000000001</x:v>
      </x:c>
      <x:c r="H4268" s="66" t="str">
        <x:v>钧誉厚德量化对冲11号净值20260911.xlsx</x:v>
      </x:c>
      <x:c r="I4268" s="73" t="str">
        <x:f>""</x:f>
      </x:c>
      <x:c r="J4268" s="74" t="str">
        <x:f>""</x:f>
      </x:c>
      <x:c r="K4268" s="73" t="str">
        <x:f>""</x:f>
      </x:c>
      <x:c r="L4268" s="74" t="str">
        <x:f>""</x:f>
      </x:c>
      <x:c r="M4268" s="73" t="n">
        <x:f>MAX(M4267,F4268)</x:f>
        <x:v>1.106</x:v>
      </x:c>
      <x:c r="N4268" s="74" t="n">
        <x:f>1-F4268/M4268</x:f>
        <x:v>0</x:v>
      </x:c>
    </x:row>
    <x:row r="4269" ht="27" customHeight="1">
      <x:c r="A4269" s="66" t="str">
        <x:v>SQN453</x:v>
      </x:c>
      <x:c r="B4269" s="66" t="str">
        <x:v>钧誉厚德量化对冲11号</x:v>
      </x:c>
      <x:c r="C4269" s="72" t="n">
        <x:v>44623</x:v>
      </x:c>
      <x:c r="D4269" s="73" t="n">
        <x:v>1.1062</x:v>
      </x:c>
      <x:c r="E4269" s="73" t="n">
        <x:v>1.1062</x:v>
      </x:c>
      <x:c r="F4269" s="73" t="n">
        <x:v>1.1062</x:v>
      </x:c>
      <x:c r="G4269" s="74" t="n">
        <x:v>0.0002</x:v>
      </x:c>
      <x:c r="H4269" s="66" t="str">
        <x:v>钧誉厚德量化对冲11号净值20260911.xlsx</x:v>
      </x:c>
      <x:c r="I4269" s="73" t="str">
        <x:f>""</x:f>
      </x:c>
      <x:c r="J4269" s="74" t="str">
        <x:f>""</x:f>
      </x:c>
      <x:c r="K4269" s="73" t="str">
        <x:f>""</x:f>
      </x:c>
      <x:c r="L4269" s="74" t="str">
        <x:f>""</x:f>
      </x:c>
      <x:c r="M4269" s="73" t="n">
        <x:f>MAX(M4268,F4269)</x:f>
        <x:v>1.1062</x:v>
      </x:c>
      <x:c r="N4269" s="74" t="n">
        <x:f>1-F4269/M4269</x:f>
        <x:v>0</x:v>
      </x:c>
    </x:row>
    <x:row r="4270" ht="27" customHeight="1">
      <x:c r="A4270" s="66" t="str">
        <x:v>SQN453</x:v>
      </x:c>
      <x:c r="B4270" s="66" t="str">
        <x:v>钧誉厚德量化对冲11号</x:v>
      </x:c>
      <x:c r="C4270" s="72" t="n">
        <x:v>44624</x:v>
      </x:c>
      <x:c r="D4270" s="73" t="n">
        <x:v>1.1066</x:v>
      </x:c>
      <x:c r="E4270" s="73" t="n">
        <x:v>1.1066</x:v>
      </x:c>
      <x:c r="F4270" s="73" t="n">
        <x:v>1.1066</x:v>
      </x:c>
      <x:c r="G4270" s="74" t="n">
        <x:v>0.0004</x:v>
      </x:c>
      <x:c r="H4270" s="66" t="str">
        <x:v>钧誉厚德量化对冲11号净值20260911.xlsx</x:v>
      </x:c>
      <x:c r="I4270" s="73" t="str">
        <x:f>""</x:f>
      </x:c>
      <x:c r="J4270" s="74" t="str">
        <x:f>""</x:f>
      </x:c>
      <x:c r="K4270" s="73" t="str">
        <x:f>""</x:f>
      </x:c>
      <x:c r="L4270" s="74" t="str">
        <x:f>""</x:f>
      </x:c>
      <x:c r="M4270" s="73" t="n">
        <x:f>MAX(M4269,F4270)</x:f>
        <x:v>1.1066</x:v>
      </x:c>
      <x:c r="N4270" s="74" t="n">
        <x:f>1-F4270/M4270</x:f>
        <x:v>0</x:v>
      </x:c>
    </x:row>
    <x:row r="4271" ht="27" customHeight="1">
      <x:c r="A4271" s="66" t="str">
        <x:v>SQN453</x:v>
      </x:c>
      <x:c r="B4271" s="66" t="str">
        <x:v>钧誉厚德量化对冲11号</x:v>
      </x:c>
      <x:c r="C4271" s="72" t="n">
        <x:v>44627</x:v>
      </x:c>
      <x:c r="D4271" s="73" t="n">
        <x:v>1.1079</x:v>
      </x:c>
      <x:c r="E4271" s="73" t="n">
        <x:v>1.1079</x:v>
      </x:c>
      <x:c r="F4271" s="73" t="n">
        <x:v>1.1079</x:v>
      </x:c>
      <x:c r="G4271" s="74" t="n">
        <x:v>0.0012</x:v>
      </x:c>
      <x:c r="H4271" s="66" t="str">
        <x:v>钧誉厚德量化对冲11号净值20260911.xlsx</x:v>
      </x:c>
      <x:c r="I4271" s="73" t="str">
        <x:f>""</x:f>
      </x:c>
      <x:c r="J4271" s="74" t="str">
        <x:f>""</x:f>
      </x:c>
      <x:c r="K4271" s="73" t="str">
        <x:f>""</x:f>
      </x:c>
      <x:c r="L4271" s="74" t="str">
        <x:f>""</x:f>
      </x:c>
      <x:c r="M4271" s="73" t="n">
        <x:f>MAX(M4270,F4271)</x:f>
        <x:v>1.1079</x:v>
      </x:c>
      <x:c r="N4271" s="74" t="n">
        <x:f>1-F4271/M4271</x:f>
        <x:v>0</x:v>
      </x:c>
    </x:row>
    <x:row r="4272" ht="27" customHeight="1">
      <x:c r="A4272" s="66" t="str">
        <x:v>SQN453</x:v>
      </x:c>
      <x:c r="B4272" s="66" t="str">
        <x:v>钧誉厚德量化对冲11号</x:v>
      </x:c>
      <x:c r="C4272" s="72" t="n">
        <x:v>44628</x:v>
      </x:c>
      <x:c r="D4272" s="73" t="n">
        <x:v>1.1062</x:v>
      </x:c>
      <x:c r="E4272" s="73" t="n">
        <x:v>1.1062</x:v>
      </x:c>
      <x:c r="F4272" s="73" t="n">
        <x:v>1.1062</x:v>
      </x:c>
      <x:c r="G4272" s="74" t="n">
        <x:v>-0.0015</x:v>
      </x:c>
      <x:c r="H4272" s="66" t="str">
        <x:v>钧誉厚德量化对冲11号净值20260911.xlsx</x:v>
      </x:c>
      <x:c r="I4272" s="73" t="str">
        <x:f>""</x:f>
      </x:c>
      <x:c r="J4272" s="74" t="str">
        <x:f>""</x:f>
      </x:c>
      <x:c r="K4272" s="73" t="str">
        <x:f>""</x:f>
      </x:c>
      <x:c r="L4272" s="74" t="str">
        <x:f>""</x:f>
      </x:c>
      <x:c r="M4272" s="73" t="n">
        <x:f>MAX(M4271,F4272)</x:f>
        <x:v>1.1079</x:v>
      </x:c>
      <x:c r="N4272" s="74" t="n">
        <x:f>1-F4272/M4272</x:f>
        <x:v>0.0015344345157505268</x:v>
      </x:c>
    </x:row>
    <x:row r="4273" ht="27" customHeight="1">
      <x:c r="A4273" s="66" t="str">
        <x:v>SQN453</x:v>
      </x:c>
      <x:c r="B4273" s="66" t="str">
        <x:v>钧誉厚德量化对冲11号</x:v>
      </x:c>
      <x:c r="C4273" s="72" t="n">
        <x:v>44629</x:v>
      </x:c>
      <x:c r="D4273" s="73" t="n">
        <x:v>1.107</x:v>
      </x:c>
      <x:c r="E4273" s="73" t="n">
        <x:v>1.107</x:v>
      </x:c>
      <x:c r="F4273" s="73" t="n">
        <x:v>1.107</x:v>
      </x:c>
      <x:c r="G4273" s="74" t="n">
        <x:v>0.0007000000000000001</x:v>
      </x:c>
      <x:c r="H4273" s="66" t="str">
        <x:v>钧誉厚德量化对冲11号净值20260911.xlsx</x:v>
      </x:c>
      <x:c r="I4273" s="73" t="str">
        <x:f>""</x:f>
      </x:c>
      <x:c r="J4273" s="74" t="str">
        <x:f>""</x:f>
      </x:c>
      <x:c r="K4273" s="73" t="str">
        <x:f>""</x:f>
      </x:c>
      <x:c r="L4273" s="74" t="str">
        <x:f>""</x:f>
      </x:c>
      <x:c r="M4273" s="73" t="n">
        <x:f>MAX(M4272,F4273)</x:f>
        <x:v>1.1079</x:v>
      </x:c>
      <x:c r="N4273" s="74" t="n">
        <x:f>1-F4273/M4273</x:f>
        <x:v>0.0008123476848092004</x:v>
      </x:c>
    </x:row>
    <x:row r="4274" ht="27" customHeight="1">
      <x:c r="A4274" s="66" t="str">
        <x:v>SQN453</x:v>
      </x:c>
      <x:c r="B4274" s="66" t="str">
        <x:v>钧誉厚德量化对冲11号</x:v>
      </x:c>
      <x:c r="C4274" s="72" t="n">
        <x:v>44630</x:v>
      </x:c>
      <x:c r="D4274" s="73" t="n">
        <x:v>1.1082</x:v>
      </x:c>
      <x:c r="E4274" s="73" t="n">
        <x:v>1.1082</x:v>
      </x:c>
      <x:c r="F4274" s="73" t="n">
        <x:v>1.1082</x:v>
      </x:c>
      <x:c r="G4274" s="74" t="n">
        <x:v>0.0011</x:v>
      </x:c>
      <x:c r="H4274" s="66" t="str">
        <x:v>钧誉厚德量化对冲11号净值20260911.xlsx</x:v>
      </x:c>
      <x:c r="I4274" s="73" t="str">
        <x:f>""</x:f>
      </x:c>
      <x:c r="J4274" s="74" t="str">
        <x:f>""</x:f>
      </x:c>
      <x:c r="K4274" s="73" t="str">
        <x:f>""</x:f>
      </x:c>
      <x:c r="L4274" s="74" t="str">
        <x:f>""</x:f>
      </x:c>
      <x:c r="M4274" s="73" t="n">
        <x:f>MAX(M4273,F4274)</x:f>
        <x:v>1.1082</x:v>
      </x:c>
      <x:c r="N4274" s="74" t="n">
        <x:f>1-F4274/M4274</x:f>
        <x:v>0</x:v>
      </x:c>
    </x:row>
    <x:row r="4275" ht="27" customHeight="1">
      <x:c r="A4275" s="66" t="str">
        <x:v>SQN453</x:v>
      </x:c>
      <x:c r="B4275" s="66" t="str">
        <x:v>钧誉厚德量化对冲11号</x:v>
      </x:c>
      <x:c r="C4275" s="72" t="n">
        <x:v>44631</x:v>
      </x:c>
      <x:c r="D4275" s="73" t="n">
        <x:v>1.1087</x:v>
      </x:c>
      <x:c r="E4275" s="73" t="n">
        <x:v>1.1087</x:v>
      </x:c>
      <x:c r="F4275" s="73" t="n">
        <x:v>1.1087</x:v>
      </x:c>
      <x:c r="G4275" s="74" t="n">
        <x:v>0.0005</x:v>
      </x:c>
      <x:c r="H4275" s="66" t="str">
        <x:v>钧誉厚德量化对冲11号净值20260911.xlsx</x:v>
      </x:c>
      <x:c r="I4275" s="73" t="str">
        <x:f>""</x:f>
      </x:c>
      <x:c r="J4275" s="74" t="str">
        <x:f>""</x:f>
      </x:c>
      <x:c r="K4275" s="73" t="str">
        <x:f>""</x:f>
      </x:c>
      <x:c r="L4275" s="74" t="str">
        <x:f>""</x:f>
      </x:c>
      <x:c r="M4275" s="73" t="n">
        <x:f>MAX(M4274,F4275)</x:f>
        <x:v>1.1087</x:v>
      </x:c>
      <x:c r="N4275" s="74" t="n">
        <x:f>1-F4275/M4275</x:f>
        <x:v>0</x:v>
      </x:c>
    </x:row>
    <x:row r="4276" ht="27" customHeight="1">
      <x:c r="A4276" s="66" t="str">
        <x:v>SQN453</x:v>
      </x:c>
      <x:c r="B4276" s="66" t="str">
        <x:v>钧誉厚德量化对冲11号</x:v>
      </x:c>
      <x:c r="C4276" s="72" t="n">
        <x:v>44634</x:v>
      </x:c>
      <x:c r="D4276" s="73" t="n">
        <x:v>1.1093</x:v>
      </x:c>
      <x:c r="E4276" s="73" t="n">
        <x:v>1.1093</x:v>
      </x:c>
      <x:c r="F4276" s="73" t="n">
        <x:v>1.1093</x:v>
      </x:c>
      <x:c r="G4276" s="74" t="n">
        <x:v>0.0005</x:v>
      </x:c>
      <x:c r="H4276" s="66" t="str">
        <x:v>钧誉厚德量化对冲11号净值20260911.xlsx</x:v>
      </x:c>
      <x:c r="I4276" s="73" t="str">
        <x:f>""</x:f>
      </x:c>
      <x:c r="J4276" s="74" t="str">
        <x:f>""</x:f>
      </x:c>
      <x:c r="K4276" s="73" t="str">
        <x:f>""</x:f>
      </x:c>
      <x:c r="L4276" s="74" t="str">
        <x:f>""</x:f>
      </x:c>
      <x:c r="M4276" s="73" t="n">
        <x:f>MAX(M4275,F4276)</x:f>
        <x:v>1.1093</x:v>
      </x:c>
      <x:c r="N4276" s="74" t="n">
        <x:f>1-F4276/M4276</x:f>
        <x:v>0</x:v>
      </x:c>
    </x:row>
    <x:row r="4277" ht="27" customHeight="1">
      <x:c r="A4277" s="66" t="str">
        <x:v>SQN453</x:v>
      </x:c>
      <x:c r="B4277" s="66" t="str">
        <x:v>钧誉厚德量化对冲11号</x:v>
      </x:c>
      <x:c r="C4277" s="72" t="n">
        <x:v>44635</x:v>
      </x:c>
      <x:c r="D4277" s="73" t="n">
        <x:v>1.1097</x:v>
      </x:c>
      <x:c r="E4277" s="73" t="n">
        <x:v>1.1097</x:v>
      </x:c>
      <x:c r="F4277" s="73" t="n">
        <x:v>1.1097</x:v>
      </x:c>
      <x:c r="G4277" s="74" t="n">
        <x:v>0.0004</x:v>
      </x:c>
      <x:c r="H4277" s="66" t="str">
        <x:v>钧誉厚德量化对冲11号净值20260911.xlsx</x:v>
      </x:c>
      <x:c r="I4277" s="73" t="str">
        <x:f>""</x:f>
      </x:c>
      <x:c r="J4277" s="74" t="str">
        <x:f>""</x:f>
      </x:c>
      <x:c r="K4277" s="73" t="str">
        <x:f>""</x:f>
      </x:c>
      <x:c r="L4277" s="74" t="str">
        <x:f>""</x:f>
      </x:c>
      <x:c r="M4277" s="73" t="n">
        <x:f>MAX(M4276,F4277)</x:f>
        <x:v>1.1097</x:v>
      </x:c>
      <x:c r="N4277" s="74" t="n">
        <x:f>1-F4277/M4277</x:f>
        <x:v>0</x:v>
      </x:c>
    </x:row>
    <x:row r="4278" ht="27" customHeight="1">
      <x:c r="A4278" s="66" t="str">
        <x:v>SQN453</x:v>
      </x:c>
      <x:c r="B4278" s="66" t="str">
        <x:v>钧誉厚德量化对冲11号</x:v>
      </x:c>
      <x:c r="C4278" s="72" t="n">
        <x:v>44636</x:v>
      </x:c>
      <x:c r="D4278" s="73" t="n">
        <x:v>1.1099</x:v>
      </x:c>
      <x:c r="E4278" s="73" t="n">
        <x:v>1.1099</x:v>
      </x:c>
      <x:c r="F4278" s="73" t="n">
        <x:v>1.1099</x:v>
      </x:c>
      <x:c r="G4278" s="74" t="n">
        <x:v>0.0002</x:v>
      </x:c>
      <x:c r="H4278" s="66" t="str">
        <x:v>钧誉厚德量化对冲11号净值20260911.xlsx</x:v>
      </x:c>
      <x:c r="I4278" s="73" t="str">
        <x:f>""</x:f>
      </x:c>
      <x:c r="J4278" s="74" t="str">
        <x:f>""</x:f>
      </x:c>
      <x:c r="K4278" s="73" t="str">
        <x:f>""</x:f>
      </x:c>
      <x:c r="L4278" s="74" t="str">
        <x:f>""</x:f>
      </x:c>
      <x:c r="M4278" s="73" t="n">
        <x:f>MAX(M4277,F4278)</x:f>
        <x:v>1.1099</x:v>
      </x:c>
      <x:c r="N4278" s="74" t="n">
        <x:f>1-F4278/M4278</x:f>
        <x:v>0</x:v>
      </x:c>
    </x:row>
    <x:row r="4279" ht="27" customHeight="1">
      <x:c r="A4279" s="66" t="str">
        <x:v>SQN453</x:v>
      </x:c>
      <x:c r="B4279" s="66" t="str">
        <x:v>钧誉厚德量化对冲11号</x:v>
      </x:c>
      <x:c r="C4279" s="72" t="n">
        <x:v>44637</x:v>
      </x:c>
      <x:c r="D4279" s="73" t="n">
        <x:v>1.1106</x:v>
      </x:c>
      <x:c r="E4279" s="73" t="n">
        <x:v>1.1106</x:v>
      </x:c>
      <x:c r="F4279" s="73" t="n">
        <x:v>1.1106</x:v>
      </x:c>
      <x:c r="G4279" s="74" t="n">
        <x:v>0.0006</x:v>
      </x:c>
      <x:c r="H4279" s="66" t="str">
        <x:v>钧誉厚德量化对冲11号净值20260911.xlsx</x:v>
      </x:c>
      <x:c r="I4279" s="73" t="str">
        <x:f>""</x:f>
      </x:c>
      <x:c r="J4279" s="74" t="str">
        <x:f>""</x:f>
      </x:c>
      <x:c r="K4279" s="73" t="str">
        <x:f>""</x:f>
      </x:c>
      <x:c r="L4279" s="74" t="str">
        <x:f>""</x:f>
      </x:c>
      <x:c r="M4279" s="73" t="n">
        <x:f>MAX(M4278,F4279)</x:f>
        <x:v>1.1106</x:v>
      </x:c>
      <x:c r="N4279" s="74" t="n">
        <x:f>1-F4279/M4279</x:f>
        <x:v>0</x:v>
      </x:c>
    </x:row>
    <x:row r="4280" ht="27" customHeight="1">
      <x:c r="A4280" s="66" t="str">
        <x:v>SQN453</x:v>
      </x:c>
      <x:c r="B4280" s="66" t="str">
        <x:v>钧誉厚德量化对冲11号</x:v>
      </x:c>
      <x:c r="C4280" s="72" t="n">
        <x:v>44638</x:v>
      </x:c>
      <x:c r="D4280" s="73" t="n">
        <x:v>1.1116</x:v>
      </x:c>
      <x:c r="E4280" s="73" t="n">
        <x:v>1.1116</x:v>
      </x:c>
      <x:c r="F4280" s="73" t="n">
        <x:v>1.1116</x:v>
      </x:c>
      <x:c r="G4280" s="74" t="n">
        <x:v>0.0009</x:v>
      </x:c>
      <x:c r="H4280" s="66" t="str">
        <x:v>钧誉厚德量化对冲11号净值20260911.xlsx</x:v>
      </x:c>
      <x:c r="I4280" s="73" t="str">
        <x:f>""</x:f>
      </x:c>
      <x:c r="J4280" s="74" t="str">
        <x:f>""</x:f>
      </x:c>
      <x:c r="K4280" s="73" t="str">
        <x:f>""</x:f>
      </x:c>
      <x:c r="L4280" s="74" t="str">
        <x:f>""</x:f>
      </x:c>
      <x:c r="M4280" s="73" t="n">
        <x:f>MAX(M4279,F4280)</x:f>
        <x:v>1.1116</x:v>
      </x:c>
      <x:c r="N4280" s="74" t="n">
        <x:f>1-F4280/M4280</x:f>
        <x:v>0</x:v>
      </x:c>
    </x:row>
    <x:row r="4281" ht="27" customHeight="1">
      <x:c r="A4281" s="66" t="str">
        <x:v>SQN453</x:v>
      </x:c>
      <x:c r="B4281" s="66" t="str">
        <x:v>钧誉厚德量化对冲11号</x:v>
      </x:c>
      <x:c r="C4281" s="72" t="n">
        <x:v>44641</x:v>
      </x:c>
      <x:c r="D4281" s="73" t="n">
        <x:v>1.1117</x:v>
      </x:c>
      <x:c r="E4281" s="73" t="n">
        <x:v>1.1117</x:v>
      </x:c>
      <x:c r="F4281" s="73" t="n">
        <x:v>1.1117</x:v>
      </x:c>
      <x:c r="G4281" s="74" t="n">
        <x:v>0.0001</x:v>
      </x:c>
      <x:c r="H4281" s="66" t="str">
        <x:v>钧誉厚德量化对冲11号净值20260911.xlsx</x:v>
      </x:c>
      <x:c r="I4281" s="73" t="str">
        <x:f>""</x:f>
      </x:c>
      <x:c r="J4281" s="74" t="str">
        <x:f>""</x:f>
      </x:c>
      <x:c r="K4281" s="73" t="str">
        <x:f>""</x:f>
      </x:c>
      <x:c r="L4281" s="74" t="str">
        <x:f>""</x:f>
      </x:c>
      <x:c r="M4281" s="73" t="n">
        <x:f>MAX(M4280,F4281)</x:f>
        <x:v>1.1117</x:v>
      </x:c>
      <x:c r="N4281" s="74" t="n">
        <x:f>1-F4281/M4281</x:f>
        <x:v>0</x:v>
      </x:c>
    </x:row>
    <x:row r="4282" ht="27" customHeight="1">
      <x:c r="A4282" s="66" t="str">
        <x:v>SQN453</x:v>
      </x:c>
      <x:c r="B4282" s="66" t="str">
        <x:v>钧誉厚德量化对冲11号</x:v>
      </x:c>
      <x:c r="C4282" s="72" t="n">
        <x:v>44642</x:v>
      </x:c>
      <x:c r="D4282" s="73" t="n">
        <x:v>1.112</x:v>
      </x:c>
      <x:c r="E4282" s="73" t="n">
        <x:v>1.112</x:v>
      </x:c>
      <x:c r="F4282" s="73" t="n">
        <x:v>1.112</x:v>
      </x:c>
      <x:c r="G4282" s="74" t="n">
        <x:v>0.0003</x:v>
      </x:c>
      <x:c r="H4282" s="66" t="str">
        <x:v>钧誉厚德量化对冲11号净值20260911.xlsx</x:v>
      </x:c>
      <x:c r="I4282" s="73" t="str">
        <x:f>""</x:f>
      </x:c>
      <x:c r="J4282" s="74" t="str">
        <x:f>""</x:f>
      </x:c>
      <x:c r="K4282" s="73" t="str">
        <x:f>""</x:f>
      </x:c>
      <x:c r="L4282" s="74" t="str">
        <x:f>""</x:f>
      </x:c>
      <x:c r="M4282" s="73" t="n">
        <x:f>MAX(M4281,F4282)</x:f>
        <x:v>1.112</x:v>
      </x:c>
      <x:c r="N4282" s="74" t="n">
        <x:f>1-F4282/M4282</x:f>
        <x:v>0</x:v>
      </x:c>
    </x:row>
    <x:row r="4283" ht="27" customHeight="1">
      <x:c r="A4283" s="66" t="str">
        <x:v>SQN453</x:v>
      </x:c>
      <x:c r="B4283" s="66" t="str">
        <x:v>钧誉厚德量化对冲11号</x:v>
      </x:c>
      <x:c r="C4283" s="72" t="n">
        <x:v>44643</x:v>
      </x:c>
      <x:c r="D4283" s="73" t="n">
        <x:v>1.1125</x:v>
      </x:c>
      <x:c r="E4283" s="73" t="n">
        <x:v>1.1125</x:v>
      </x:c>
      <x:c r="F4283" s="73" t="n">
        <x:v>1.1125</x:v>
      </x:c>
      <x:c r="G4283" s="74" t="n">
        <x:v>0.0004</x:v>
      </x:c>
      <x:c r="H4283" s="66" t="str">
        <x:v>钧誉厚德量化对冲11号净值20260911.xlsx</x:v>
      </x:c>
      <x:c r="I4283" s="73" t="str">
        <x:f>""</x:f>
      </x:c>
      <x:c r="J4283" s="74" t="str">
        <x:f>""</x:f>
      </x:c>
      <x:c r="K4283" s="73" t="str">
        <x:f>""</x:f>
      </x:c>
      <x:c r="L4283" s="74" t="str">
        <x:f>""</x:f>
      </x:c>
      <x:c r="M4283" s="73" t="n">
        <x:f>MAX(M4282,F4283)</x:f>
        <x:v>1.1125</x:v>
      </x:c>
      <x:c r="N4283" s="74" t="n">
        <x:f>1-F4283/M4283</x:f>
        <x:v>0</x:v>
      </x:c>
    </x:row>
    <x:row r="4284" ht="27" customHeight="1">
      <x:c r="A4284" s="66" t="str">
        <x:v>SQN453</x:v>
      </x:c>
      <x:c r="B4284" s="66" t="str">
        <x:v>钧誉厚德量化对冲11号</x:v>
      </x:c>
      <x:c r="C4284" s="72" t="n">
        <x:v>44644</x:v>
      </x:c>
      <x:c r="D4284" s="73" t="n">
        <x:v>1.113</x:v>
      </x:c>
      <x:c r="E4284" s="73" t="n">
        <x:v>1.113</x:v>
      </x:c>
      <x:c r="F4284" s="73" t="n">
        <x:v>1.113</x:v>
      </x:c>
      <x:c r="G4284" s="74" t="n">
        <x:v>0.0004</x:v>
      </x:c>
      <x:c r="H4284" s="66" t="str">
        <x:v>钧誉厚德量化对冲11号净值20260911.xlsx</x:v>
      </x:c>
      <x:c r="I4284" s="73" t="str">
        <x:f>""</x:f>
      </x:c>
      <x:c r="J4284" s="74" t="str">
        <x:f>""</x:f>
      </x:c>
      <x:c r="K4284" s="73" t="str">
        <x:f>""</x:f>
      </x:c>
      <x:c r="L4284" s="74" t="str">
        <x:f>""</x:f>
      </x:c>
      <x:c r="M4284" s="73" t="n">
        <x:f>MAX(M4283,F4284)</x:f>
        <x:v>1.113</x:v>
      </x:c>
      <x:c r="N4284" s="74" t="n">
        <x:f>1-F4284/M4284</x:f>
        <x:v>0</x:v>
      </x:c>
    </x:row>
    <x:row r="4285" ht="27" customHeight="1">
      <x:c r="A4285" s="66" t="str">
        <x:v>SQN453</x:v>
      </x:c>
      <x:c r="B4285" s="66" t="str">
        <x:v>钧誉厚德量化对冲11号</x:v>
      </x:c>
      <x:c r="C4285" s="72" t="n">
        <x:v>44645</x:v>
      </x:c>
      <x:c r="D4285" s="73" t="n">
        <x:v>1.113</x:v>
      </x:c>
      <x:c r="E4285" s="73" t="n">
        <x:v>1.113</x:v>
      </x:c>
      <x:c r="F4285" s="73" t="n">
        <x:v>1.113</x:v>
      </x:c>
      <x:c r="G4285" s="74" t="n">
        <x:v>0</x:v>
      </x:c>
      <x:c r="H4285" s="66" t="str">
        <x:v>钧誉厚德量化对冲11号净值20260911.xlsx</x:v>
      </x:c>
      <x:c r="I4285" s="73" t="str">
        <x:f>""</x:f>
      </x:c>
      <x:c r="J4285" s="74" t="str">
        <x:f>""</x:f>
      </x:c>
      <x:c r="K4285" s="73" t="str">
        <x:f>""</x:f>
      </x:c>
      <x:c r="L4285" s="74" t="str">
        <x:f>""</x:f>
      </x:c>
      <x:c r="M4285" s="73" t="n">
        <x:f>MAX(M4284,F4285)</x:f>
        <x:v>1.113</x:v>
      </x:c>
      <x:c r="N4285" s="74" t="n">
        <x:f>1-F4285/M4285</x:f>
        <x:v>0</x:v>
      </x:c>
    </x:row>
    <x:row r="4286" ht="27" customHeight="1">
      <x:c r="A4286" s="66" t="str">
        <x:v>SQN453</x:v>
      </x:c>
      <x:c r="B4286" s="66" t="str">
        <x:v>钧誉厚德量化对冲11号</x:v>
      </x:c>
      <x:c r="C4286" s="72" t="n">
        <x:v>44648</x:v>
      </x:c>
      <x:c r="D4286" s="73" t="n">
        <x:v>1.1132</x:v>
      </x:c>
      <x:c r="E4286" s="73" t="n">
        <x:v>1.1132</x:v>
      </x:c>
      <x:c r="F4286" s="73" t="n">
        <x:v>1.1132</x:v>
      </x:c>
      <x:c r="G4286" s="74" t="n">
        <x:v>0.0002</x:v>
      </x:c>
      <x:c r="H4286" s="66" t="str">
        <x:v>钧誉厚德量化对冲11号净值20260911.xlsx</x:v>
      </x:c>
      <x:c r="I4286" s="73" t="str">
        <x:f>""</x:f>
      </x:c>
      <x:c r="J4286" s="74" t="str">
        <x:f>""</x:f>
      </x:c>
      <x:c r="K4286" s="73" t="str">
        <x:f>""</x:f>
      </x:c>
      <x:c r="L4286" s="74" t="str">
        <x:f>""</x:f>
      </x:c>
      <x:c r="M4286" s="73" t="n">
        <x:f>MAX(M4285,F4286)</x:f>
        <x:v>1.1132</x:v>
      </x:c>
      <x:c r="N4286" s="74" t="n">
        <x:f>1-F4286/M4286</x:f>
        <x:v>0</x:v>
      </x:c>
    </x:row>
    <x:row r="4287" ht="27" customHeight="1">
      <x:c r="A4287" s="66" t="str">
        <x:v>SQN453</x:v>
      </x:c>
      <x:c r="B4287" s="66" t="str">
        <x:v>钧誉厚德量化对冲11号</x:v>
      </x:c>
      <x:c r="C4287" s="72" t="n">
        <x:v>44649</x:v>
      </x:c>
      <x:c r="D4287" s="73" t="n">
        <x:v>1.1137</x:v>
      </x:c>
      <x:c r="E4287" s="73" t="n">
        <x:v>1.1137</x:v>
      </x:c>
      <x:c r="F4287" s="73" t="n">
        <x:v>1.1137</x:v>
      </x:c>
      <x:c r="G4287" s="74" t="n">
        <x:v>0.0004</x:v>
      </x:c>
      <x:c r="H4287" s="66" t="str">
        <x:v>钧誉厚德量化对冲11号净值20260911.xlsx</x:v>
      </x:c>
      <x:c r="I4287" s="73" t="str">
        <x:f>""</x:f>
      </x:c>
      <x:c r="J4287" s="74" t="str">
        <x:f>""</x:f>
      </x:c>
      <x:c r="K4287" s="73" t="str">
        <x:f>""</x:f>
      </x:c>
      <x:c r="L4287" s="74" t="str">
        <x:f>""</x:f>
      </x:c>
      <x:c r="M4287" s="73" t="n">
        <x:f>MAX(M4286,F4287)</x:f>
        <x:v>1.1137</x:v>
      </x:c>
      <x:c r="N4287" s="74" t="n">
        <x:f>1-F4287/M4287</x:f>
        <x:v>0</x:v>
      </x:c>
    </x:row>
    <x:row r="4288" ht="27" customHeight="1">
      <x:c r="A4288" s="66" t="str">
        <x:v>SQN453</x:v>
      </x:c>
      <x:c r="B4288" s="66" t="str">
        <x:v>钧誉厚德量化对冲11号</x:v>
      </x:c>
      <x:c r="C4288" s="72" t="n">
        <x:v>44650</x:v>
      </x:c>
      <x:c r="D4288" s="73" t="n">
        <x:v>1.1156</x:v>
      </x:c>
      <x:c r="E4288" s="73" t="n">
        <x:v>1.1156</x:v>
      </x:c>
      <x:c r="F4288" s="73" t="n">
        <x:v>1.1156</x:v>
      </x:c>
      <x:c r="G4288" s="74" t="n">
        <x:v>0.0017000000000000001</x:v>
      </x:c>
      <x:c r="H4288" s="66" t="str">
        <x:v>钧誉厚德量化对冲11号净值20260911.xlsx</x:v>
      </x:c>
      <x:c r="I4288" s="73" t="str">
        <x:f>""</x:f>
      </x:c>
      <x:c r="J4288" s="74" t="str">
        <x:f>""</x:f>
      </x:c>
      <x:c r="K4288" s="73" t="str">
        <x:f>""</x:f>
      </x:c>
      <x:c r="L4288" s="74" t="str">
        <x:f>""</x:f>
      </x:c>
      <x:c r="M4288" s="73" t="n">
        <x:f>MAX(M4287,F4288)</x:f>
        <x:v>1.1156</x:v>
      </x:c>
      <x:c r="N4288" s="74" t="n">
        <x:f>1-F4288/M4288</x:f>
        <x:v>0</x:v>
      </x:c>
    </x:row>
    <x:row r="4289" ht="27" customHeight="1">
      <x:c r="A4289" s="66" t="str">
        <x:v>SQN453</x:v>
      </x:c>
      <x:c r="B4289" s="66" t="str">
        <x:v>钧誉厚德量化对冲11号</x:v>
      </x:c>
      <x:c r="C4289" s="72" t="n">
        <x:v>44651</x:v>
      </x:c>
      <x:c r="D4289" s="73" t="n">
        <x:v>1.1158</x:v>
      </x:c>
      <x:c r="E4289" s="73" t="n">
        <x:v>1.1158</x:v>
      </x:c>
      <x:c r="F4289" s="73" t="n">
        <x:v>1.1158</x:v>
      </x:c>
      <x:c r="G4289" s="74" t="n">
        <x:v>0.0002</x:v>
      </x:c>
      <x:c r="H4289" s="66" t="str">
        <x:v>钧誉厚德量化对冲11号净值20260911.xlsx</x:v>
      </x:c>
      <x:c r="I4289" s="73" t="str">
        <x:f>""</x:f>
      </x:c>
      <x:c r="J4289" s="74" t="str">
        <x:f>""</x:f>
      </x:c>
      <x:c r="K4289" s="73" t="str">
        <x:f>""</x:f>
      </x:c>
      <x:c r="L4289" s="74" t="str">
        <x:f>""</x:f>
      </x:c>
      <x:c r="M4289" s="73" t="n">
        <x:f>MAX(M4288,F4289)</x:f>
        <x:v>1.1158</x:v>
      </x:c>
      <x:c r="N4289" s="74" t="n">
        <x:f>1-F4289/M4289</x:f>
        <x:v>0</x:v>
      </x:c>
    </x:row>
    <x:row r="4290" ht="27" customHeight="1">
      <x:c r="A4290" s="66" t="str">
        <x:v>SQN453</x:v>
      </x:c>
      <x:c r="B4290" s="66" t="str">
        <x:v>钧誉厚德量化对冲11号</x:v>
      </x:c>
      <x:c r="C4290" s="72" t="n">
        <x:v>44652</x:v>
      </x:c>
      <x:c r="D4290" s="73" t="n">
        <x:v>1.1158</x:v>
      </x:c>
      <x:c r="E4290" s="73" t="n">
        <x:v>1.1158</x:v>
      </x:c>
      <x:c r="F4290" s="73" t="n">
        <x:v>1.1158</x:v>
      </x:c>
      <x:c r="G4290" s="74" t="n">
        <x:v>0</x:v>
      </x:c>
      <x:c r="H4290" s="66" t="str">
        <x:v>钧誉厚德量化对冲11号净值20260911.xlsx</x:v>
      </x:c>
      <x:c r="I4290" s="73" t="str">
        <x:f>""</x:f>
      </x:c>
      <x:c r="J4290" s="74" t="str">
        <x:f>""</x:f>
      </x:c>
      <x:c r="K4290" s="73" t="str">
        <x:f>""</x:f>
      </x:c>
      <x:c r="L4290" s="74" t="str">
        <x:f>""</x:f>
      </x:c>
      <x:c r="M4290" s="73" t="n">
        <x:f>MAX(M4289,F4290)</x:f>
        <x:v>1.1158</x:v>
      </x:c>
      <x:c r="N4290" s="74" t="n">
        <x:f>1-F4290/M4290</x:f>
        <x:v>0</x:v>
      </x:c>
    </x:row>
    <x:row r="4291" ht="27" customHeight="1">
      <x:c r="A4291" s="66" t="str">
        <x:v>SQN453</x:v>
      </x:c>
      <x:c r="B4291" s="66" t="str">
        <x:v>钧誉厚德量化对冲11号</x:v>
      </x:c>
      <x:c r="C4291" s="72" t="n">
        <x:v>44657</x:v>
      </x:c>
      <x:c r="D4291" s="73" t="n">
        <x:v>1.116</x:v>
      </x:c>
      <x:c r="E4291" s="73" t="n">
        <x:v>1.116</x:v>
      </x:c>
      <x:c r="F4291" s="73" t="n">
        <x:v>1.116</x:v>
      </x:c>
      <x:c r="G4291" s="74" t="n">
        <x:v>0.0002</x:v>
      </x:c>
      <x:c r="H4291" s="66" t="str">
        <x:v>钧誉厚德量化对冲11号净值20260911.xlsx</x:v>
      </x:c>
      <x:c r="I4291" s="73" t="str">
        <x:f>""</x:f>
      </x:c>
      <x:c r="J4291" s="74" t="str">
        <x:f>""</x:f>
      </x:c>
      <x:c r="K4291" s="73" t="str">
        <x:f>""</x:f>
      </x:c>
      <x:c r="L4291" s="74" t="str">
        <x:f>""</x:f>
      </x:c>
      <x:c r="M4291" s="73" t="n">
        <x:f>MAX(M4290,F4291)</x:f>
        <x:v>1.116</x:v>
      </x:c>
      <x:c r="N4291" s="74" t="n">
        <x:f>1-F4291/M4291</x:f>
        <x:v>0</x:v>
      </x:c>
    </x:row>
    <x:row r="4292" ht="27" customHeight="1">
      <x:c r="A4292" s="66" t="str">
        <x:v>SQN453</x:v>
      </x:c>
      <x:c r="B4292" s="66" t="str">
        <x:v>钧誉厚德量化对冲11号</x:v>
      </x:c>
      <x:c r="C4292" s="72" t="n">
        <x:v>44658</x:v>
      </x:c>
      <x:c r="D4292" s="73" t="n">
        <x:v>1.1164</x:v>
      </x:c>
      <x:c r="E4292" s="73" t="n">
        <x:v>1.1164</x:v>
      </x:c>
      <x:c r="F4292" s="73" t="n">
        <x:v>1.1164</x:v>
      </x:c>
      <x:c r="G4292" s="74" t="n">
        <x:v>0.0004</x:v>
      </x:c>
      <x:c r="H4292" s="66" t="str">
        <x:v>钧誉厚德量化对冲11号净值20260911.xlsx</x:v>
      </x:c>
      <x:c r="I4292" s="73" t="str">
        <x:f>""</x:f>
      </x:c>
      <x:c r="J4292" s="74" t="str">
        <x:f>""</x:f>
      </x:c>
      <x:c r="K4292" s="73" t="str">
        <x:f>""</x:f>
      </x:c>
      <x:c r="L4292" s="74" t="str">
        <x:f>""</x:f>
      </x:c>
      <x:c r="M4292" s="73" t="n">
        <x:f>MAX(M4291,F4292)</x:f>
        <x:v>1.1164</x:v>
      </x:c>
      <x:c r="N4292" s="74" t="n">
        <x:f>1-F4292/M4292</x:f>
        <x:v>0</x:v>
      </x:c>
    </x:row>
    <x:row r="4293" ht="27" customHeight="1">
      <x:c r="A4293" s="66" t="str">
        <x:v>SQN453</x:v>
      </x:c>
      <x:c r="B4293" s="66" t="str">
        <x:v>钧誉厚德量化对冲11号</x:v>
      </x:c>
      <x:c r="C4293" s="72" t="n">
        <x:v>44659</x:v>
      </x:c>
      <x:c r="D4293" s="73" t="n">
        <x:v>1.1165</x:v>
      </x:c>
      <x:c r="E4293" s="73" t="n">
        <x:v>1.1165</x:v>
      </x:c>
      <x:c r="F4293" s="73" t="n">
        <x:v>1.1165</x:v>
      </x:c>
      <x:c r="G4293" s="74" t="n">
        <x:v>0.0001</x:v>
      </x:c>
      <x:c r="H4293" s="66" t="str">
        <x:v>钧誉厚德量化对冲11号净值20260911.xlsx</x:v>
      </x:c>
      <x:c r="I4293" s="73" t="str">
        <x:f>""</x:f>
      </x:c>
      <x:c r="J4293" s="74" t="str">
        <x:f>""</x:f>
      </x:c>
      <x:c r="K4293" s="73" t="str">
        <x:f>""</x:f>
      </x:c>
      <x:c r="L4293" s="74" t="str">
        <x:f>""</x:f>
      </x:c>
      <x:c r="M4293" s="73" t="n">
        <x:f>MAX(M4292,F4293)</x:f>
        <x:v>1.1165</x:v>
      </x:c>
      <x:c r="N4293" s="74" t="n">
        <x:f>1-F4293/M4293</x:f>
        <x:v>0</x:v>
      </x:c>
    </x:row>
    <x:row r="4294" ht="27" customHeight="1">
      <x:c r="A4294" s="66" t="str">
        <x:v>SQN453</x:v>
      </x:c>
      <x:c r="B4294" s="66" t="str">
        <x:v>钧誉厚德量化对冲11号</x:v>
      </x:c>
      <x:c r="C4294" s="72" t="n">
        <x:v>44662</x:v>
      </x:c>
      <x:c r="D4294" s="73" t="n">
        <x:v>1.1179</x:v>
      </x:c>
      <x:c r="E4294" s="73" t="n">
        <x:v>1.1179</x:v>
      </x:c>
      <x:c r="F4294" s="73" t="n">
        <x:v>1.1179</x:v>
      </x:c>
      <x:c r="G4294" s="74" t="n">
        <x:v>0.0013</x:v>
      </x:c>
      <x:c r="H4294" s="66" t="str">
        <x:v>钧誉厚德量化对冲11号净值20260911.xlsx</x:v>
      </x:c>
      <x:c r="I4294" s="73" t="str">
        <x:f>""</x:f>
      </x:c>
      <x:c r="J4294" s="74" t="str">
        <x:f>""</x:f>
      </x:c>
      <x:c r="K4294" s="73" t="str">
        <x:f>""</x:f>
      </x:c>
      <x:c r="L4294" s="74" t="str">
        <x:f>""</x:f>
      </x:c>
      <x:c r="M4294" s="73" t="n">
        <x:f>MAX(M4293,F4294)</x:f>
        <x:v>1.1179</x:v>
      </x:c>
      <x:c r="N4294" s="74" t="n">
        <x:f>1-F4294/M4294</x:f>
        <x:v>0</x:v>
      </x:c>
    </x:row>
    <x:row r="4295" ht="27" customHeight="1">
      <x:c r="A4295" s="66" t="str">
        <x:v>SQN453</x:v>
      </x:c>
      <x:c r="B4295" s="66" t="str">
        <x:v>钧誉厚德量化对冲11号</x:v>
      </x:c>
      <x:c r="C4295" s="72" t="n">
        <x:v>44663</x:v>
      </x:c>
      <x:c r="D4295" s="73" t="n">
        <x:v>1.1184</x:v>
      </x:c>
      <x:c r="E4295" s="73" t="n">
        <x:v>1.1184</x:v>
      </x:c>
      <x:c r="F4295" s="73" t="n">
        <x:v>1.1184</x:v>
      </x:c>
      <x:c r="G4295" s="74" t="n">
        <x:v>0.0004</x:v>
      </x:c>
      <x:c r="H4295" s="66" t="str">
        <x:v>钧誉厚德量化对冲11号净值20260911.xlsx</x:v>
      </x:c>
      <x:c r="I4295" s="73" t="str">
        <x:f>""</x:f>
      </x:c>
      <x:c r="J4295" s="74" t="str">
        <x:f>""</x:f>
      </x:c>
      <x:c r="K4295" s="73" t="str">
        <x:f>""</x:f>
      </x:c>
      <x:c r="L4295" s="74" t="str">
        <x:f>""</x:f>
      </x:c>
      <x:c r="M4295" s="73" t="n">
        <x:f>MAX(M4294,F4295)</x:f>
        <x:v>1.1184</x:v>
      </x:c>
      <x:c r="N4295" s="74" t="n">
        <x:f>1-F4295/M4295</x:f>
        <x:v>0</x:v>
      </x:c>
    </x:row>
    <x:row r="4296" ht="27" customHeight="1">
      <x:c r="A4296" s="66" t="str">
        <x:v>SQN453</x:v>
      </x:c>
      <x:c r="B4296" s="66" t="str">
        <x:v>钧誉厚德量化对冲11号</x:v>
      </x:c>
      <x:c r="C4296" s="72" t="n">
        <x:v>44664</x:v>
      </x:c>
      <x:c r="D4296" s="73" t="n">
        <x:v>1.1187</x:v>
      </x:c>
      <x:c r="E4296" s="73" t="n">
        <x:v>1.1187</x:v>
      </x:c>
      <x:c r="F4296" s="73" t="n">
        <x:v>1.1187</x:v>
      </x:c>
      <x:c r="G4296" s="74" t="n">
        <x:v>0.0003</x:v>
      </x:c>
      <x:c r="H4296" s="66" t="str">
        <x:v>钧誉厚德量化对冲11号净值20260911.xlsx</x:v>
      </x:c>
      <x:c r="I4296" s="73" t="str">
        <x:f>""</x:f>
      </x:c>
      <x:c r="J4296" s="74" t="str">
        <x:f>""</x:f>
      </x:c>
      <x:c r="K4296" s="73" t="str">
        <x:f>""</x:f>
      </x:c>
      <x:c r="L4296" s="74" t="str">
        <x:f>""</x:f>
      </x:c>
      <x:c r="M4296" s="73" t="n">
        <x:f>MAX(M4295,F4296)</x:f>
        <x:v>1.1187</x:v>
      </x:c>
      <x:c r="N4296" s="74" t="n">
        <x:f>1-F4296/M4296</x:f>
        <x:v>0</x:v>
      </x:c>
    </x:row>
    <x:row r="4297" ht="27" customHeight="1">
      <x:c r="A4297" s="66" t="str">
        <x:v>SQN453</x:v>
      </x:c>
      <x:c r="B4297" s="66" t="str">
        <x:v>钧誉厚德量化对冲11号</x:v>
      </x:c>
      <x:c r="C4297" s="72" t="n">
        <x:v>44665</x:v>
      </x:c>
      <x:c r="D4297" s="73" t="n">
        <x:v>1.1193</x:v>
      </x:c>
      <x:c r="E4297" s="73" t="n">
        <x:v>1.1193</x:v>
      </x:c>
      <x:c r="F4297" s="73" t="n">
        <x:v>1.1193</x:v>
      </x:c>
      <x:c r="G4297" s="74" t="n">
        <x:v>0.0005</x:v>
      </x:c>
      <x:c r="H4297" s="66" t="str">
        <x:v>钧誉厚德量化对冲11号净值20260911.xlsx</x:v>
      </x:c>
      <x:c r="I4297" s="73" t="str">
        <x:f>""</x:f>
      </x:c>
      <x:c r="J4297" s="74" t="str">
        <x:f>""</x:f>
      </x:c>
      <x:c r="K4297" s="73" t="str">
        <x:f>""</x:f>
      </x:c>
      <x:c r="L4297" s="74" t="str">
        <x:f>""</x:f>
      </x:c>
      <x:c r="M4297" s="73" t="n">
        <x:f>MAX(M4296,F4297)</x:f>
        <x:v>1.1193</x:v>
      </x:c>
      <x:c r="N4297" s="74" t="n">
        <x:f>1-F4297/M4297</x:f>
        <x:v>0</x:v>
      </x:c>
    </x:row>
    <x:row r="4298" ht="27" customHeight="1">
      <x:c r="A4298" s="66" t="str">
        <x:v>SQN453</x:v>
      </x:c>
      <x:c r="B4298" s="66" t="str">
        <x:v>钧誉厚德量化对冲11号</x:v>
      </x:c>
      <x:c r="C4298" s="72" t="n">
        <x:v>44666</x:v>
      </x:c>
      <x:c r="D4298" s="73" t="n">
        <x:v>1.1196</x:v>
      </x:c>
      <x:c r="E4298" s="73" t="n">
        <x:v>1.1196</x:v>
      </x:c>
      <x:c r="F4298" s="73" t="n">
        <x:v>1.1196</x:v>
      </x:c>
      <x:c r="G4298" s="74" t="n">
        <x:v>0.0003</x:v>
      </x:c>
      <x:c r="H4298" s="66" t="str">
        <x:v>钧誉厚德量化对冲11号净值20260911.xlsx</x:v>
      </x:c>
      <x:c r="I4298" s="73" t="str">
        <x:f>""</x:f>
      </x:c>
      <x:c r="J4298" s="74" t="str">
        <x:f>""</x:f>
      </x:c>
      <x:c r="K4298" s="73" t="str">
        <x:f>""</x:f>
      </x:c>
      <x:c r="L4298" s="74" t="str">
        <x:f>""</x:f>
      </x:c>
      <x:c r="M4298" s="73" t="n">
        <x:f>MAX(M4297,F4298)</x:f>
        <x:v>1.1196</x:v>
      </x:c>
      <x:c r="N4298" s="74" t="n">
        <x:f>1-F4298/M4298</x:f>
        <x:v>0</x:v>
      </x:c>
    </x:row>
    <x:row r="4299" ht="27" customHeight="1">
      <x:c r="A4299" s="66" t="str">
        <x:v>SQN453</x:v>
      </x:c>
      <x:c r="B4299" s="66" t="str">
        <x:v>钧誉厚德量化对冲11号</x:v>
      </x:c>
      <x:c r="C4299" s="72" t="n">
        <x:v>44669</x:v>
      </x:c>
      <x:c r="D4299" s="73" t="n">
        <x:v>1.1201</x:v>
      </x:c>
      <x:c r="E4299" s="73" t="n">
        <x:v>1.1201</x:v>
      </x:c>
      <x:c r="F4299" s="73" t="n">
        <x:v>1.1201</x:v>
      </x:c>
      <x:c r="G4299" s="74" t="n">
        <x:v>0.0004</x:v>
      </x:c>
      <x:c r="H4299" s="66" t="str">
        <x:v>钧誉厚德量化对冲11号净值20260911.xlsx</x:v>
      </x:c>
      <x:c r="I4299" s="73" t="str">
        <x:f>""</x:f>
      </x:c>
      <x:c r="J4299" s="74" t="str">
        <x:f>""</x:f>
      </x:c>
      <x:c r="K4299" s="73" t="str">
        <x:f>""</x:f>
      </x:c>
      <x:c r="L4299" s="74" t="str">
        <x:f>""</x:f>
      </x:c>
      <x:c r="M4299" s="73" t="n">
        <x:f>MAX(M4298,F4299)</x:f>
        <x:v>1.1201</x:v>
      </x:c>
      <x:c r="N4299" s="74" t="n">
        <x:f>1-F4299/M4299</x:f>
        <x:v>0</x:v>
      </x:c>
    </x:row>
    <x:row r="4300" ht="27" customHeight="1">
      <x:c r="A4300" s="66" t="str">
        <x:v>SQN453</x:v>
      </x:c>
      <x:c r="B4300" s="66" t="str">
        <x:v>钧誉厚德量化对冲11号</x:v>
      </x:c>
      <x:c r="C4300" s="72" t="n">
        <x:v>44670</x:v>
      </x:c>
      <x:c r="D4300" s="73" t="n">
        <x:v>1.1205</x:v>
      </x:c>
      <x:c r="E4300" s="73" t="n">
        <x:v>1.1205</x:v>
      </x:c>
      <x:c r="F4300" s="73" t="n">
        <x:v>1.1205</x:v>
      </x:c>
      <x:c r="G4300" s="74" t="n">
        <x:v>0.0004</x:v>
      </x:c>
      <x:c r="H4300" s="66" t="str">
        <x:v>钧誉厚德量化对冲11号净值20260911.xlsx</x:v>
      </x:c>
      <x:c r="I4300" s="73" t="str">
        <x:f>""</x:f>
      </x:c>
      <x:c r="J4300" s="74" t="str">
        <x:f>""</x:f>
      </x:c>
      <x:c r="K4300" s="73" t="str">
        <x:f>""</x:f>
      </x:c>
      <x:c r="L4300" s="74" t="str">
        <x:f>""</x:f>
      </x:c>
      <x:c r="M4300" s="73" t="n">
        <x:f>MAX(M4299,F4300)</x:f>
        <x:v>1.1205</x:v>
      </x:c>
      <x:c r="N4300" s="74" t="n">
        <x:f>1-F4300/M4300</x:f>
        <x:v>0</x:v>
      </x:c>
    </x:row>
    <x:row r="4301" ht="27" customHeight="1">
      <x:c r="A4301" s="66" t="str">
        <x:v>SQN453</x:v>
      </x:c>
      <x:c r="B4301" s="66" t="str">
        <x:v>钧誉厚德量化对冲11号</x:v>
      </x:c>
      <x:c r="C4301" s="72" t="n">
        <x:v>44671</x:v>
      </x:c>
      <x:c r="D4301" s="73" t="n">
        <x:v>1.1214</x:v>
      </x:c>
      <x:c r="E4301" s="73" t="n">
        <x:v>1.1214</x:v>
      </x:c>
      <x:c r="F4301" s="73" t="n">
        <x:v>1.1214</x:v>
      </x:c>
      <x:c r="G4301" s="74" t="n">
        <x:v>0.0008</x:v>
      </x:c>
      <x:c r="H4301" s="66" t="str">
        <x:v>钧誉厚德量化对冲11号净值20260911.xlsx</x:v>
      </x:c>
      <x:c r="I4301" s="73" t="str">
        <x:f>""</x:f>
      </x:c>
      <x:c r="J4301" s="74" t="str">
        <x:f>""</x:f>
      </x:c>
      <x:c r="K4301" s="73" t="str">
        <x:f>""</x:f>
      </x:c>
      <x:c r="L4301" s="74" t="str">
        <x:f>""</x:f>
      </x:c>
      <x:c r="M4301" s="73" t="n">
        <x:f>MAX(M4300,F4301)</x:f>
        <x:v>1.1214</x:v>
      </x:c>
      <x:c r="N4301" s="74" t="n">
        <x:f>1-F4301/M4301</x:f>
        <x:v>0</x:v>
      </x:c>
    </x:row>
    <x:row r="4302" ht="27" customHeight="1">
      <x:c r="A4302" s="66" t="str">
        <x:v>SQN453</x:v>
      </x:c>
      <x:c r="B4302" s="66" t="str">
        <x:v>钧誉厚德量化对冲11号</x:v>
      </x:c>
      <x:c r="C4302" s="72" t="n">
        <x:v>44672</x:v>
      </x:c>
      <x:c r="D4302" s="73" t="n">
        <x:v>1.1214</x:v>
      </x:c>
      <x:c r="E4302" s="73" t="n">
        <x:v>1.1214</x:v>
      </x:c>
      <x:c r="F4302" s="73" t="n">
        <x:v>1.1214</x:v>
      </x:c>
      <x:c r="G4302" s="74" t="n">
        <x:v>0</x:v>
      </x:c>
      <x:c r="H4302" s="66" t="str">
        <x:v>钧誉厚德量化对冲11号净值20260911.xlsx</x:v>
      </x:c>
      <x:c r="I4302" s="73" t="str">
        <x:f>""</x:f>
      </x:c>
      <x:c r="J4302" s="74" t="str">
        <x:f>""</x:f>
      </x:c>
      <x:c r="K4302" s="73" t="str">
        <x:f>""</x:f>
      </x:c>
      <x:c r="L4302" s="74" t="str">
        <x:f>""</x:f>
      </x:c>
      <x:c r="M4302" s="73" t="n">
        <x:f>MAX(M4301,F4302)</x:f>
        <x:v>1.1214</x:v>
      </x:c>
      <x:c r="N4302" s="74" t="n">
        <x:f>1-F4302/M4302</x:f>
        <x:v>0</x:v>
      </x:c>
    </x:row>
    <x:row r="4303" ht="27" customHeight="1">
      <x:c r="A4303" s="66" t="str">
        <x:v>SQN453</x:v>
      </x:c>
      <x:c r="B4303" s="66" t="str">
        <x:v>钧誉厚德量化对冲11号</x:v>
      </x:c>
      <x:c r="C4303" s="72" t="n">
        <x:v>44673</x:v>
      </x:c>
      <x:c r="D4303" s="73" t="n">
        <x:v>1.1219</x:v>
      </x:c>
      <x:c r="E4303" s="73" t="n">
        <x:v>1.1219</x:v>
      </x:c>
      <x:c r="F4303" s="73" t="n">
        <x:v>1.1219</x:v>
      </x:c>
      <x:c r="G4303" s="74" t="n">
        <x:v>0.0004</x:v>
      </x:c>
      <x:c r="H4303" s="66" t="str">
        <x:v>钧誉厚德量化对冲11号净值20260911.xlsx</x:v>
      </x:c>
      <x:c r="I4303" s="73" t="str">
        <x:f>""</x:f>
      </x:c>
      <x:c r="J4303" s="74" t="str">
        <x:f>""</x:f>
      </x:c>
      <x:c r="K4303" s="73" t="str">
        <x:f>""</x:f>
      </x:c>
      <x:c r="L4303" s="74" t="str">
        <x:f>""</x:f>
      </x:c>
      <x:c r="M4303" s="73" t="n">
        <x:f>MAX(M4302,F4303)</x:f>
        <x:v>1.1219</x:v>
      </x:c>
      <x:c r="N4303" s="74" t="n">
        <x:f>1-F4303/M4303</x:f>
        <x:v>0</x:v>
      </x:c>
    </x:row>
    <x:row r="4304" ht="27" customHeight="1">
      <x:c r="A4304" s="66" t="str">
        <x:v>SQN453</x:v>
      </x:c>
      <x:c r="B4304" s="66" t="str">
        <x:v>钧誉厚德量化对冲11号</x:v>
      </x:c>
      <x:c r="C4304" s="72" t="n">
        <x:v>44676</x:v>
      </x:c>
      <x:c r="D4304" s="73" t="n">
        <x:v>1.1221</x:v>
      </x:c>
      <x:c r="E4304" s="73" t="n">
        <x:v>1.1221</x:v>
      </x:c>
      <x:c r="F4304" s="73" t="n">
        <x:v>1.1221</x:v>
      </x:c>
      <x:c r="G4304" s="74" t="n">
        <x:v>0.0002</x:v>
      </x:c>
      <x:c r="H4304" s="66" t="str">
        <x:v>钧誉厚德量化对冲11号净值20260911.xlsx</x:v>
      </x:c>
      <x:c r="I4304" s="73" t="str">
        <x:f>""</x:f>
      </x:c>
      <x:c r="J4304" s="74" t="str">
        <x:f>""</x:f>
      </x:c>
      <x:c r="K4304" s="73" t="str">
        <x:f>""</x:f>
      </x:c>
      <x:c r="L4304" s="74" t="str">
        <x:f>""</x:f>
      </x:c>
      <x:c r="M4304" s="73" t="n">
        <x:f>MAX(M4303,F4304)</x:f>
        <x:v>1.1221</x:v>
      </x:c>
      <x:c r="N4304" s="74" t="n">
        <x:f>1-F4304/M4304</x:f>
        <x:v>0</x:v>
      </x:c>
    </x:row>
    <x:row r="4305" ht="27" customHeight="1">
      <x:c r="A4305" s="66" t="str">
        <x:v>SQN453</x:v>
      </x:c>
      <x:c r="B4305" s="66" t="str">
        <x:v>钧誉厚德量化对冲11号</x:v>
      </x:c>
      <x:c r="C4305" s="72" t="n">
        <x:v>44677</x:v>
      </x:c>
      <x:c r="D4305" s="73" t="n">
        <x:v>1.1224</x:v>
      </x:c>
      <x:c r="E4305" s="73" t="n">
        <x:v>1.1224</x:v>
      </x:c>
      <x:c r="F4305" s="73" t="n">
        <x:v>1.1224</x:v>
      </x:c>
      <x:c r="G4305" s="74" t="n">
        <x:v>0.0003</x:v>
      </x:c>
      <x:c r="H4305" s="66" t="str">
        <x:v>钧誉厚德量化对冲11号净值20260911.xlsx</x:v>
      </x:c>
      <x:c r="I4305" s="73" t="str">
        <x:f>""</x:f>
      </x:c>
      <x:c r="J4305" s="74" t="str">
        <x:f>""</x:f>
      </x:c>
      <x:c r="K4305" s="73" t="str">
        <x:f>""</x:f>
      </x:c>
      <x:c r="L4305" s="74" t="str">
        <x:f>""</x:f>
      </x:c>
      <x:c r="M4305" s="73" t="n">
        <x:f>MAX(M4304,F4305)</x:f>
        <x:v>1.1224</x:v>
      </x:c>
      <x:c r="N4305" s="74" t="n">
        <x:f>1-F4305/M4305</x:f>
        <x:v>0</x:v>
      </x:c>
    </x:row>
    <x:row r="4306" ht="27" customHeight="1">
      <x:c r="A4306" s="66" t="str">
        <x:v>SQN453</x:v>
      </x:c>
      <x:c r="B4306" s="66" t="str">
        <x:v>钧誉厚德量化对冲11号</x:v>
      </x:c>
      <x:c r="C4306" s="72" t="n">
        <x:v>44678</x:v>
      </x:c>
      <x:c r="D4306" s="73" t="n">
        <x:v>1.1225</x:v>
      </x:c>
      <x:c r="E4306" s="73" t="n">
        <x:v>1.1225</x:v>
      </x:c>
      <x:c r="F4306" s="73" t="n">
        <x:v>1.1225</x:v>
      </x:c>
      <x:c r="G4306" s="74" t="n">
        <x:v>0.0001</x:v>
      </x:c>
      <x:c r="H4306" s="66" t="str">
        <x:v>钧誉厚德量化对冲11号净值20260911.xlsx</x:v>
      </x:c>
      <x:c r="I4306" s="73" t="str">
        <x:f>""</x:f>
      </x:c>
      <x:c r="J4306" s="74" t="str">
        <x:f>""</x:f>
      </x:c>
      <x:c r="K4306" s="73" t="str">
        <x:f>""</x:f>
      </x:c>
      <x:c r="L4306" s="74" t="str">
        <x:f>""</x:f>
      </x:c>
      <x:c r="M4306" s="73" t="n">
        <x:f>MAX(M4305,F4306)</x:f>
        <x:v>1.1225</x:v>
      </x:c>
      <x:c r="N4306" s="74" t="n">
        <x:f>1-F4306/M4306</x:f>
        <x:v>0</x:v>
      </x:c>
    </x:row>
    <x:row r="4307" ht="27" customHeight="1">
      <x:c r="A4307" s="66" t="str">
        <x:v>SQN453</x:v>
      </x:c>
      <x:c r="B4307" s="66" t="str">
        <x:v>钧誉厚德量化对冲11号</x:v>
      </x:c>
      <x:c r="C4307" s="72" t="n">
        <x:v>44679</x:v>
      </x:c>
      <x:c r="D4307" s="73" t="n">
        <x:v>1.1231</x:v>
      </x:c>
      <x:c r="E4307" s="73" t="n">
        <x:v>1.1231</x:v>
      </x:c>
      <x:c r="F4307" s="73" t="n">
        <x:v>1.1231</x:v>
      </x:c>
      <x:c r="G4307" s="74" t="n">
        <x:v>0.0005</x:v>
      </x:c>
      <x:c r="H4307" s="66" t="str">
        <x:v>钧誉厚德量化对冲11号净值20260911.xlsx</x:v>
      </x:c>
      <x:c r="I4307" s="73" t="str">
        <x:f>""</x:f>
      </x:c>
      <x:c r="J4307" s="74" t="str">
        <x:f>""</x:f>
      </x:c>
      <x:c r="K4307" s="73" t="str">
        <x:f>""</x:f>
      </x:c>
      <x:c r="L4307" s="74" t="str">
        <x:f>""</x:f>
      </x:c>
      <x:c r="M4307" s="73" t="n">
        <x:f>MAX(M4306,F4307)</x:f>
        <x:v>1.1231</x:v>
      </x:c>
      <x:c r="N4307" s="74" t="n">
        <x:f>1-F4307/M4307</x:f>
        <x:v>0</x:v>
      </x:c>
    </x:row>
    <x:row r="4308" ht="27" customHeight="1">
      <x:c r="A4308" s="66" t="str">
        <x:v>SQN453</x:v>
      </x:c>
      <x:c r="B4308" s="66" t="str">
        <x:v>钧誉厚德量化对冲11号</x:v>
      </x:c>
      <x:c r="C4308" s="72" t="n">
        <x:v>44680</x:v>
      </x:c>
      <x:c r="D4308" s="73" t="n">
        <x:v>1.1234</x:v>
      </x:c>
      <x:c r="E4308" s="73" t="n">
        <x:v>1.1234</x:v>
      </x:c>
      <x:c r="F4308" s="73" t="n">
        <x:v>1.1234</x:v>
      </x:c>
      <x:c r="G4308" s="74" t="n">
        <x:v>0.0003</x:v>
      </x:c>
      <x:c r="H4308" s="66" t="str">
        <x:v>钧誉厚德量化对冲11号净值20260911.xlsx</x:v>
      </x:c>
      <x:c r="I4308" s="73" t="str">
        <x:f>""</x:f>
      </x:c>
      <x:c r="J4308" s="74" t="str">
        <x:f>""</x:f>
      </x:c>
      <x:c r="K4308" s="73" t="str">
        <x:f>""</x:f>
      </x:c>
      <x:c r="L4308" s="74" t="str">
        <x:f>""</x:f>
      </x:c>
      <x:c r="M4308" s="73" t="n">
        <x:f>MAX(M4307,F4308)</x:f>
        <x:v>1.1234</x:v>
      </x:c>
      <x:c r="N4308" s="74" t="n">
        <x:f>1-F4308/M4308</x:f>
        <x:v>0</x:v>
      </x:c>
    </x:row>
    <x:row r="4309" ht="27" customHeight="1">
      <x:c r="A4309" s="66" t="str">
        <x:v>SQN453</x:v>
      </x:c>
      <x:c r="B4309" s="66" t="str">
        <x:v>钧誉厚德量化对冲11号</x:v>
      </x:c>
      <x:c r="C4309" s="72" t="n">
        <x:v>44686</x:v>
      </x:c>
      <x:c r="D4309" s="73" t="n">
        <x:v>1.1233</x:v>
      </x:c>
      <x:c r="E4309" s="73" t="n">
        <x:v>1.1233</x:v>
      </x:c>
      <x:c r="F4309" s="73" t="n">
        <x:v>1.1233</x:v>
      </x:c>
      <x:c r="G4309" s="74" t="n">
        <x:v>-0.0001</x:v>
      </x:c>
      <x:c r="H4309" s="66" t="str">
        <x:v>钧誉厚德量化对冲11号净值20260911.xlsx</x:v>
      </x:c>
      <x:c r="I4309" s="73" t="str">
        <x:f>""</x:f>
      </x:c>
      <x:c r="J4309" s="74" t="str">
        <x:f>""</x:f>
      </x:c>
      <x:c r="K4309" s="73" t="str">
        <x:f>""</x:f>
      </x:c>
      <x:c r="L4309" s="74" t="str">
        <x:f>""</x:f>
      </x:c>
      <x:c r="M4309" s="73" t="n">
        <x:f>MAX(M4308,F4309)</x:f>
        <x:v>1.1234</x:v>
      </x:c>
      <x:c r="N4309" s="74" t="n">
        <x:f>1-F4309/M4309</x:f>
        <x:v>0.00008901548869499898</x:v>
      </x:c>
    </x:row>
    <x:row r="4310" ht="27" customHeight="1">
      <x:c r="A4310" s="66" t="str">
        <x:v>SQN453</x:v>
      </x:c>
      <x:c r="B4310" s="66" t="str">
        <x:v>钧誉厚德量化对冲11号</x:v>
      </x:c>
      <x:c r="C4310" s="72" t="n">
        <x:v>44687</x:v>
      </x:c>
      <x:c r="D4310" s="73" t="n">
        <x:v>1.1234</x:v>
      </x:c>
      <x:c r="E4310" s="73" t="n">
        <x:v>1.1234</x:v>
      </x:c>
      <x:c r="F4310" s="73" t="n">
        <x:v>1.1234</x:v>
      </x:c>
      <x:c r="G4310" s="74" t="n">
        <x:v>0.0001</x:v>
      </x:c>
      <x:c r="H4310" s="66" t="str">
        <x:v>钧誉厚德量化对冲11号净值20260911.xlsx</x:v>
      </x:c>
      <x:c r="I4310" s="73" t="str">
        <x:f>""</x:f>
      </x:c>
      <x:c r="J4310" s="74" t="str">
        <x:f>""</x:f>
      </x:c>
      <x:c r="K4310" s="73" t="str">
        <x:f>""</x:f>
      </x:c>
      <x:c r="L4310" s="74" t="str">
        <x:f>""</x:f>
      </x:c>
      <x:c r="M4310" s="73" t="n">
        <x:f>MAX(M4309,F4310)</x:f>
        <x:v>1.1234</x:v>
      </x:c>
      <x:c r="N4310" s="74" t="n">
        <x:f>1-F4310/M4310</x:f>
        <x:v>0</x:v>
      </x:c>
    </x:row>
    <x:row r="4311" ht="27" customHeight="1">
      <x:c r="A4311" s="66" t="str">
        <x:v>SQN453</x:v>
      </x:c>
      <x:c r="B4311" s="66" t="str">
        <x:v>钧誉厚德量化对冲11号</x:v>
      </x:c>
      <x:c r="C4311" s="72" t="n">
        <x:v>44690</x:v>
      </x:c>
      <x:c r="D4311" s="73" t="n">
        <x:v>1.1236</x:v>
      </x:c>
      <x:c r="E4311" s="73" t="n">
        <x:v>1.1236</x:v>
      </x:c>
      <x:c r="F4311" s="73" t="n">
        <x:v>1.1236</x:v>
      </x:c>
      <x:c r="G4311" s="74" t="n">
        <x:v>0.0002</x:v>
      </x:c>
      <x:c r="H4311" s="66" t="str">
        <x:v>钧誉厚德量化对冲11号净值20260911.xlsx</x:v>
      </x:c>
      <x:c r="I4311" s="73" t="str">
        <x:f>""</x:f>
      </x:c>
      <x:c r="J4311" s="74" t="str">
        <x:f>""</x:f>
      </x:c>
      <x:c r="K4311" s="73" t="str">
        <x:f>""</x:f>
      </x:c>
      <x:c r="L4311" s="74" t="str">
        <x:f>""</x:f>
      </x:c>
      <x:c r="M4311" s="73" t="n">
        <x:f>MAX(M4310,F4311)</x:f>
        <x:v>1.1236</x:v>
      </x:c>
      <x:c r="N4311" s="74" t="n">
        <x:f>1-F4311/M4311</x:f>
        <x:v>0</x:v>
      </x:c>
    </x:row>
    <x:row r="4312" ht="27" customHeight="1">
      <x:c r="A4312" s="66" t="str">
        <x:v>SQN453</x:v>
      </x:c>
      <x:c r="B4312" s="66" t="str">
        <x:v>钧誉厚德量化对冲11号</x:v>
      </x:c>
      <x:c r="C4312" s="72" t="n">
        <x:v>44691</x:v>
      </x:c>
      <x:c r="D4312" s="73" t="n">
        <x:v>1.1237</x:v>
      </x:c>
      <x:c r="E4312" s="73" t="n">
        <x:v>1.1237</x:v>
      </x:c>
      <x:c r="F4312" s="73" t="n">
        <x:v>1.1237</x:v>
      </x:c>
      <x:c r="G4312" s="74" t="n">
        <x:v>0.0001</x:v>
      </x:c>
      <x:c r="H4312" s="66" t="str">
        <x:v>钧誉厚德量化对冲11号净值20260911.xlsx</x:v>
      </x:c>
      <x:c r="I4312" s="73" t="str">
        <x:f>""</x:f>
      </x:c>
      <x:c r="J4312" s="74" t="str">
        <x:f>""</x:f>
      </x:c>
      <x:c r="K4312" s="73" t="str">
        <x:f>""</x:f>
      </x:c>
      <x:c r="L4312" s="74" t="str">
        <x:f>""</x:f>
      </x:c>
      <x:c r="M4312" s="73" t="n">
        <x:f>MAX(M4311,F4312)</x:f>
        <x:v>1.1237</x:v>
      </x:c>
      <x:c r="N4312" s="74" t="n">
        <x:f>1-F4312/M4312</x:f>
        <x:v>0</x:v>
      </x:c>
    </x:row>
    <x:row r="4313" ht="27" customHeight="1">
      <x:c r="A4313" s="66" t="str">
        <x:v>SQN453</x:v>
      </x:c>
      <x:c r="B4313" s="66" t="str">
        <x:v>钧誉厚德量化对冲11号</x:v>
      </x:c>
      <x:c r="C4313" s="72" t="n">
        <x:v>44692</x:v>
      </x:c>
      <x:c r="D4313" s="73" t="n">
        <x:v>1.1242</x:v>
      </x:c>
      <x:c r="E4313" s="73" t="n">
        <x:v>1.1242</x:v>
      </x:c>
      <x:c r="F4313" s="73" t="n">
        <x:v>1.1242</x:v>
      </x:c>
      <x:c r="G4313" s="74" t="n">
        <x:v>0.0004</x:v>
      </x:c>
      <x:c r="H4313" s="66" t="str">
        <x:v>钧誉厚德量化对冲11号净值20260911.xlsx</x:v>
      </x:c>
      <x:c r="I4313" s="73" t="str">
        <x:f>""</x:f>
      </x:c>
      <x:c r="J4313" s="74" t="str">
        <x:f>""</x:f>
      </x:c>
      <x:c r="K4313" s="73" t="str">
        <x:f>""</x:f>
      </x:c>
      <x:c r="L4313" s="74" t="str">
        <x:f>""</x:f>
      </x:c>
      <x:c r="M4313" s="73" t="n">
        <x:f>MAX(M4312,F4313)</x:f>
        <x:v>1.1242</x:v>
      </x:c>
      <x:c r="N4313" s="74" t="n">
        <x:f>1-F4313/M4313</x:f>
        <x:v>0</x:v>
      </x:c>
    </x:row>
    <x:row r="4314" ht="27" customHeight="1">
      <x:c r="A4314" s="66" t="str">
        <x:v>SQN453</x:v>
      </x:c>
      <x:c r="B4314" s="66" t="str">
        <x:v>钧誉厚德量化对冲11号</x:v>
      </x:c>
      <x:c r="C4314" s="72" t="n">
        <x:v>44693</x:v>
      </x:c>
      <x:c r="D4314" s="73" t="n">
        <x:v>1.1245</x:v>
      </x:c>
      <x:c r="E4314" s="73" t="n">
        <x:v>1.1245</x:v>
      </x:c>
      <x:c r="F4314" s="73" t="n">
        <x:v>1.1245</x:v>
      </x:c>
      <x:c r="G4314" s="74" t="n">
        <x:v>0.0003</x:v>
      </x:c>
      <x:c r="H4314" s="66" t="str">
        <x:v>钧誉厚德量化对冲11号净值20260911.xlsx</x:v>
      </x:c>
      <x:c r="I4314" s="73" t="str">
        <x:f>""</x:f>
      </x:c>
      <x:c r="J4314" s="74" t="str">
        <x:f>""</x:f>
      </x:c>
      <x:c r="K4314" s="73" t="str">
        <x:f>""</x:f>
      </x:c>
      <x:c r="L4314" s="74" t="str">
        <x:f>""</x:f>
      </x:c>
      <x:c r="M4314" s="73" t="n">
        <x:f>MAX(M4313,F4314)</x:f>
        <x:v>1.1245</x:v>
      </x:c>
      <x:c r="N4314" s="74" t="n">
        <x:f>1-F4314/M4314</x:f>
        <x:v>0</x:v>
      </x:c>
    </x:row>
    <x:row r="4315" ht="27" customHeight="1">
      <x:c r="A4315" s="66" t="str">
        <x:v>SQN453</x:v>
      </x:c>
      <x:c r="B4315" s="66" t="str">
        <x:v>钧誉厚德量化对冲11号</x:v>
      </x:c>
      <x:c r="C4315" s="72" t="n">
        <x:v>44694</x:v>
      </x:c>
      <x:c r="D4315" s="73" t="n">
        <x:v>1.125</x:v>
      </x:c>
      <x:c r="E4315" s="73" t="n">
        <x:v>1.125</x:v>
      </x:c>
      <x:c r="F4315" s="73" t="n">
        <x:v>1.125</x:v>
      </x:c>
      <x:c r="G4315" s="74" t="n">
        <x:v>0.0004</x:v>
      </x:c>
      <x:c r="H4315" s="66" t="str">
        <x:v>钧誉厚德量化对冲11号净值20260911.xlsx</x:v>
      </x:c>
      <x:c r="I4315" s="73" t="str">
        <x:f>""</x:f>
      </x:c>
      <x:c r="J4315" s="74" t="str">
        <x:f>""</x:f>
      </x:c>
      <x:c r="K4315" s="73" t="str">
        <x:f>""</x:f>
      </x:c>
      <x:c r="L4315" s="74" t="str">
        <x:f>""</x:f>
      </x:c>
      <x:c r="M4315" s="73" t="n">
        <x:f>MAX(M4314,F4315)</x:f>
        <x:v>1.125</x:v>
      </x:c>
      <x:c r="N4315" s="74" t="n">
        <x:f>1-F4315/M4315</x:f>
        <x:v>0</x:v>
      </x:c>
    </x:row>
    <x:row r="4316" ht="27" customHeight="1">
      <x:c r="A4316" s="66" t="str">
        <x:v>SQN453</x:v>
      </x:c>
      <x:c r="B4316" s="66" t="str">
        <x:v>钧誉厚德量化对冲11号</x:v>
      </x:c>
      <x:c r="C4316" s="72" t="n">
        <x:v>44697</x:v>
      </x:c>
      <x:c r="D4316" s="73" t="n">
        <x:v>1.1251</x:v>
      </x:c>
      <x:c r="E4316" s="73" t="n">
        <x:v>1.1251</x:v>
      </x:c>
      <x:c r="F4316" s="73" t="n">
        <x:v>1.1251</x:v>
      </x:c>
      <x:c r="G4316" s="74" t="n">
        <x:v>0.0001</x:v>
      </x:c>
      <x:c r="H4316" s="66" t="str">
        <x:v>钧誉厚德量化对冲11号净值20260911.xlsx</x:v>
      </x:c>
      <x:c r="I4316" s="73" t="str">
        <x:f>""</x:f>
      </x:c>
      <x:c r="J4316" s="74" t="str">
        <x:f>""</x:f>
      </x:c>
      <x:c r="K4316" s="73" t="str">
        <x:f>""</x:f>
      </x:c>
      <x:c r="L4316" s="74" t="str">
        <x:f>""</x:f>
      </x:c>
      <x:c r="M4316" s="73" t="n">
        <x:f>MAX(M4315,F4316)</x:f>
        <x:v>1.1251</x:v>
      </x:c>
      <x:c r="N4316" s="74" t="n">
        <x:f>1-F4316/M4316</x:f>
        <x:v>0</x:v>
      </x:c>
    </x:row>
    <x:row r="4317" ht="27" customHeight="1">
      <x:c r="A4317" s="66" t="str">
        <x:v>SQN453</x:v>
      </x:c>
      <x:c r="B4317" s="66" t="str">
        <x:v>钧誉厚德量化对冲11号</x:v>
      </x:c>
      <x:c r="C4317" s="72" t="n">
        <x:v>44698</x:v>
      </x:c>
      <x:c r="D4317" s="73" t="n">
        <x:v>1.1251</x:v>
      </x:c>
      <x:c r="E4317" s="73" t="n">
        <x:v>1.1251</x:v>
      </x:c>
      <x:c r="F4317" s="73" t="n">
        <x:v>1.1251</x:v>
      </x:c>
      <x:c r="G4317" s="74" t="n">
        <x:v>0</x:v>
      </x:c>
      <x:c r="H4317" s="66" t="str">
        <x:v>钧誉厚德量化对冲11号净值20260911.xlsx</x:v>
      </x:c>
      <x:c r="I4317" s="73" t="str">
        <x:f>""</x:f>
      </x:c>
      <x:c r="J4317" s="74" t="str">
        <x:f>""</x:f>
      </x:c>
      <x:c r="K4317" s="73" t="str">
        <x:f>""</x:f>
      </x:c>
      <x:c r="L4317" s="74" t="str">
        <x:f>""</x:f>
      </x:c>
      <x:c r="M4317" s="73" t="n">
        <x:f>MAX(M4316,F4317)</x:f>
        <x:v>1.1251</x:v>
      </x:c>
      <x:c r="N4317" s="74" t="n">
        <x:f>1-F4317/M4317</x:f>
        <x:v>0</x:v>
      </x:c>
    </x:row>
    <x:row r="4318" ht="27" customHeight="1">
      <x:c r="A4318" s="66" t="str">
        <x:v>SQN453</x:v>
      </x:c>
      <x:c r="B4318" s="66" t="str">
        <x:v>钧誉厚德量化对冲11号</x:v>
      </x:c>
      <x:c r="C4318" s="72" t="n">
        <x:v>44699</x:v>
      </x:c>
      <x:c r="D4318" s="73" t="n">
        <x:v>1.1251</x:v>
      </x:c>
      <x:c r="E4318" s="73" t="n">
        <x:v>1.1251</x:v>
      </x:c>
      <x:c r="F4318" s="73" t="n">
        <x:v>1.1251</x:v>
      </x:c>
      <x:c r="G4318" s="74" t="n">
        <x:v>0</x:v>
      </x:c>
      <x:c r="H4318" s="66" t="str">
        <x:v>钧誉厚德量化对冲11号净值20260911.xlsx</x:v>
      </x:c>
      <x:c r="I4318" s="73" t="str">
        <x:f>""</x:f>
      </x:c>
      <x:c r="J4318" s="74" t="str">
        <x:f>""</x:f>
      </x:c>
      <x:c r="K4318" s="73" t="str">
        <x:f>""</x:f>
      </x:c>
      <x:c r="L4318" s="74" t="str">
        <x:f>""</x:f>
      </x:c>
      <x:c r="M4318" s="73" t="n">
        <x:f>MAX(M4317,F4318)</x:f>
        <x:v>1.1251</x:v>
      </x:c>
      <x:c r="N4318" s="74" t="n">
        <x:f>1-F4318/M4318</x:f>
        <x:v>0</x:v>
      </x:c>
    </x:row>
    <x:row r="4319" ht="27" customHeight="1">
      <x:c r="A4319" s="66" t="str">
        <x:v>SQN453</x:v>
      </x:c>
      <x:c r="B4319" s="66" t="str">
        <x:v>钧誉厚德量化对冲11号</x:v>
      </x:c>
      <x:c r="C4319" s="72" t="n">
        <x:v>44700</x:v>
      </x:c>
      <x:c r="D4319" s="73" t="n">
        <x:v>1.1262</x:v>
      </x:c>
      <x:c r="E4319" s="73" t="n">
        <x:v>1.1262</x:v>
      </x:c>
      <x:c r="F4319" s="73" t="n">
        <x:v>1.1262</x:v>
      </x:c>
      <x:c r="G4319" s="74" t="n">
        <x:v>0.001</x:v>
      </x:c>
      <x:c r="H4319" s="66" t="str">
        <x:v>钧誉厚德量化对冲11号净值20260911.xlsx</x:v>
      </x:c>
      <x:c r="I4319" s="73" t="str">
        <x:f>""</x:f>
      </x:c>
      <x:c r="J4319" s="74" t="str">
        <x:f>""</x:f>
      </x:c>
      <x:c r="K4319" s="73" t="str">
        <x:f>""</x:f>
      </x:c>
      <x:c r="L4319" s="74" t="str">
        <x:f>""</x:f>
      </x:c>
      <x:c r="M4319" s="73" t="n">
        <x:f>MAX(M4318,F4319)</x:f>
        <x:v>1.1262</x:v>
      </x:c>
      <x:c r="N4319" s="74" t="n">
        <x:f>1-F4319/M4319</x:f>
        <x:v>0</x:v>
      </x:c>
    </x:row>
    <x:row r="4320" ht="27" customHeight="1">
      <x:c r="A4320" s="66" t="str">
        <x:v>SQN453</x:v>
      </x:c>
      <x:c r="B4320" s="66" t="str">
        <x:v>钧誉厚德量化对冲11号</x:v>
      </x:c>
      <x:c r="C4320" s="72" t="n">
        <x:v>44701</x:v>
      </x:c>
      <x:c r="D4320" s="73" t="n">
        <x:v>1.1265</x:v>
      </x:c>
      <x:c r="E4320" s="73" t="n">
        <x:v>1.1265</x:v>
      </x:c>
      <x:c r="F4320" s="73" t="n">
        <x:v>1.1265</x:v>
      </x:c>
      <x:c r="G4320" s="74" t="n">
        <x:v>0.0003</x:v>
      </x:c>
      <x:c r="H4320" s="66" t="str">
        <x:v>钧誉厚德量化对冲11号净值20260911.xlsx</x:v>
      </x:c>
      <x:c r="I4320" s="73" t="str">
        <x:f>""</x:f>
      </x:c>
      <x:c r="J4320" s="74" t="str">
        <x:f>""</x:f>
      </x:c>
      <x:c r="K4320" s="73" t="str">
        <x:f>""</x:f>
      </x:c>
      <x:c r="L4320" s="74" t="str">
        <x:f>""</x:f>
      </x:c>
      <x:c r="M4320" s="73" t="n">
        <x:f>MAX(M4319,F4320)</x:f>
        <x:v>1.1265</x:v>
      </x:c>
      <x:c r="N4320" s="74" t="n">
        <x:f>1-F4320/M4320</x:f>
        <x:v>0</x:v>
      </x:c>
    </x:row>
    <x:row r="4321" ht="27" customHeight="1">
      <x:c r="A4321" s="66" t="str">
        <x:v>SQN453</x:v>
      </x:c>
      <x:c r="B4321" s="66" t="str">
        <x:v>钧誉厚德量化对冲11号</x:v>
      </x:c>
      <x:c r="C4321" s="72" t="n">
        <x:v>44704</x:v>
      </x:c>
      <x:c r="D4321" s="73" t="n">
        <x:v>1.127</x:v>
      </x:c>
      <x:c r="E4321" s="73" t="n">
        <x:v>1.127</x:v>
      </x:c>
      <x:c r="F4321" s="73" t="n">
        <x:v>1.127</x:v>
      </x:c>
      <x:c r="G4321" s="74" t="n">
        <x:v>0.0004</x:v>
      </x:c>
      <x:c r="H4321" s="66" t="str">
        <x:v>钧誉厚德量化对冲11号净值20260911.xlsx</x:v>
      </x:c>
      <x:c r="I4321" s="73" t="str">
        <x:f>""</x:f>
      </x:c>
      <x:c r="J4321" s="74" t="str">
        <x:f>""</x:f>
      </x:c>
      <x:c r="K4321" s="73" t="str">
        <x:f>""</x:f>
      </x:c>
      <x:c r="L4321" s="74" t="str">
        <x:f>""</x:f>
      </x:c>
      <x:c r="M4321" s="73" t="n">
        <x:f>MAX(M4320,F4321)</x:f>
        <x:v>1.127</x:v>
      </x:c>
      <x:c r="N4321" s="74" t="n">
        <x:f>1-F4321/M4321</x:f>
        <x:v>0</x:v>
      </x:c>
    </x:row>
    <x:row r="4322" ht="27" customHeight="1">
      <x:c r="A4322" s="66" t="str">
        <x:v>SQN453</x:v>
      </x:c>
      <x:c r="B4322" s="66" t="str">
        <x:v>钧誉厚德量化对冲11号</x:v>
      </x:c>
      <x:c r="C4322" s="72" t="n">
        <x:v>44705</x:v>
      </x:c>
      <x:c r="D4322" s="73" t="n">
        <x:v>1.1271</x:v>
      </x:c>
      <x:c r="E4322" s="73" t="n">
        <x:v>1.1271</x:v>
      </x:c>
      <x:c r="F4322" s="73" t="n">
        <x:v>1.1271</x:v>
      </x:c>
      <x:c r="G4322" s="74" t="n">
        <x:v>0.0001</x:v>
      </x:c>
      <x:c r="H4322" s="66" t="str">
        <x:v>钧誉厚德量化对冲11号净值20260911.xlsx</x:v>
      </x:c>
      <x:c r="I4322" s="73" t="str">
        <x:f>""</x:f>
      </x:c>
      <x:c r="J4322" s="74" t="str">
        <x:f>""</x:f>
      </x:c>
      <x:c r="K4322" s="73" t="str">
        <x:f>""</x:f>
      </x:c>
      <x:c r="L4322" s="74" t="str">
        <x:f>""</x:f>
      </x:c>
      <x:c r="M4322" s="73" t="n">
        <x:f>MAX(M4321,F4322)</x:f>
        <x:v>1.1271</x:v>
      </x:c>
      <x:c r="N4322" s="74" t="n">
        <x:f>1-F4322/M4322</x:f>
        <x:v>0</x:v>
      </x:c>
    </x:row>
    <x:row r="4323" ht="27" customHeight="1">
      <x:c r="A4323" s="66" t="str">
        <x:v>SQN453</x:v>
      </x:c>
      <x:c r="B4323" s="66" t="str">
        <x:v>钧誉厚德量化对冲11号</x:v>
      </x:c>
      <x:c r="C4323" s="72" t="n">
        <x:v>44706</x:v>
      </x:c>
      <x:c r="D4323" s="73" t="n">
        <x:v>1.1272</x:v>
      </x:c>
      <x:c r="E4323" s="73" t="n">
        <x:v>1.1272</x:v>
      </x:c>
      <x:c r="F4323" s="73" t="n">
        <x:v>1.1272</x:v>
      </x:c>
      <x:c r="G4323" s="74" t="n">
        <x:v>0.0001</x:v>
      </x:c>
      <x:c r="H4323" s="66" t="str">
        <x:v>钧誉厚德量化对冲11号净值20260911.xlsx</x:v>
      </x:c>
      <x:c r="I4323" s="73" t="str">
        <x:f>""</x:f>
      </x:c>
      <x:c r="J4323" s="74" t="str">
        <x:f>""</x:f>
      </x:c>
      <x:c r="K4323" s="73" t="str">
        <x:f>""</x:f>
      </x:c>
      <x:c r="L4323" s="74" t="str">
        <x:f>""</x:f>
      </x:c>
      <x:c r="M4323" s="73" t="n">
        <x:f>MAX(M4322,F4323)</x:f>
        <x:v>1.1272</x:v>
      </x:c>
      <x:c r="N4323" s="74" t="n">
        <x:f>1-F4323/M4323</x:f>
        <x:v>0</x:v>
      </x:c>
    </x:row>
    <x:row r="4324" ht="27" customHeight="1">
      <x:c r="A4324" s="66" t="str">
        <x:v>SQN453</x:v>
      </x:c>
      <x:c r="B4324" s="66" t="str">
        <x:v>钧誉厚德量化对冲11号</x:v>
      </x:c>
      <x:c r="C4324" s="72" t="n">
        <x:v>44707</x:v>
      </x:c>
      <x:c r="D4324" s="73" t="n">
        <x:v>1.1273</x:v>
      </x:c>
      <x:c r="E4324" s="73" t="n">
        <x:v>1.1273</x:v>
      </x:c>
      <x:c r="F4324" s="73" t="n">
        <x:v>1.1273</x:v>
      </x:c>
      <x:c r="G4324" s="74" t="n">
        <x:v>0.0001</x:v>
      </x:c>
      <x:c r="H4324" s="66" t="str">
        <x:v>钧誉厚德量化对冲11号净值20260911.xlsx</x:v>
      </x:c>
      <x:c r="I4324" s="73" t="str">
        <x:f>""</x:f>
      </x:c>
      <x:c r="J4324" s="74" t="str">
        <x:f>""</x:f>
      </x:c>
      <x:c r="K4324" s="73" t="str">
        <x:f>""</x:f>
      </x:c>
      <x:c r="L4324" s="74" t="str">
        <x:f>""</x:f>
      </x:c>
      <x:c r="M4324" s="73" t="n">
        <x:f>MAX(M4323,F4324)</x:f>
        <x:v>1.1273</x:v>
      </x:c>
      <x:c r="N4324" s="74" t="n">
        <x:f>1-F4324/M4324</x:f>
        <x:v>0</x:v>
      </x:c>
    </x:row>
    <x:row r="4325" ht="27" customHeight="1">
      <x:c r="A4325" s="66" t="str">
        <x:v>SQN453</x:v>
      </x:c>
      <x:c r="B4325" s="66" t="str">
        <x:v>钧誉厚德量化对冲11号</x:v>
      </x:c>
      <x:c r="C4325" s="72" t="n">
        <x:v>44708</x:v>
      </x:c>
      <x:c r="D4325" s="73" t="n">
        <x:v>1.1277</x:v>
      </x:c>
      <x:c r="E4325" s="73" t="n">
        <x:v>1.1277</x:v>
      </x:c>
      <x:c r="F4325" s="73" t="n">
        <x:v>1.1277</x:v>
      </x:c>
      <x:c r="G4325" s="74" t="n">
        <x:v>0.0004</x:v>
      </x:c>
      <x:c r="H4325" s="66" t="str">
        <x:v>钧誉厚德量化对冲11号净值20260911.xlsx</x:v>
      </x:c>
      <x:c r="I4325" s="73" t="str">
        <x:f>""</x:f>
      </x:c>
      <x:c r="J4325" s="74" t="str">
        <x:f>""</x:f>
      </x:c>
      <x:c r="K4325" s="73" t="str">
        <x:f>""</x:f>
      </x:c>
      <x:c r="L4325" s="74" t="str">
        <x:f>""</x:f>
      </x:c>
      <x:c r="M4325" s="73" t="n">
        <x:f>MAX(M4324,F4325)</x:f>
        <x:v>1.1277</x:v>
      </x:c>
      <x:c r="N4325" s="74" t="n">
        <x:f>1-F4325/M4325</x:f>
        <x:v>0</x:v>
      </x:c>
    </x:row>
    <x:row r="4326" ht="27" customHeight="1">
      <x:c r="A4326" s="66" t="str">
        <x:v>SQN453</x:v>
      </x:c>
      <x:c r="B4326" s="66" t="str">
        <x:v>钧誉厚德量化对冲11号</x:v>
      </x:c>
      <x:c r="C4326" s="72" t="n">
        <x:v>44711</x:v>
      </x:c>
      <x:c r="D4326" s="73" t="n">
        <x:v>1.1278</x:v>
      </x:c>
      <x:c r="E4326" s="73" t="n">
        <x:v>1.1278</x:v>
      </x:c>
      <x:c r="F4326" s="73" t="n">
        <x:v>1.1278</x:v>
      </x:c>
      <x:c r="G4326" s="74" t="n">
        <x:v>0.0001</x:v>
      </x:c>
      <x:c r="H4326" s="66" t="str">
        <x:v>钧誉厚德量化对冲11号净值20260911.xlsx</x:v>
      </x:c>
      <x:c r="I4326" s="73" t="str">
        <x:f>""</x:f>
      </x:c>
      <x:c r="J4326" s="74" t="str">
        <x:f>""</x:f>
      </x:c>
      <x:c r="K4326" s="73" t="str">
        <x:f>""</x:f>
      </x:c>
      <x:c r="L4326" s="74" t="str">
        <x:f>""</x:f>
      </x:c>
      <x:c r="M4326" s="73" t="n">
        <x:f>MAX(M4325,F4326)</x:f>
        <x:v>1.1278</x:v>
      </x:c>
      <x:c r="N4326" s="74" t="n">
        <x:f>1-F4326/M4326</x:f>
        <x:v>0</x:v>
      </x:c>
    </x:row>
    <x:row r="4327" ht="27" customHeight="1">
      <x:c r="A4327" s="66" t="str">
        <x:v>SQN453</x:v>
      </x:c>
      <x:c r="B4327" s="66" t="str">
        <x:v>钧誉厚德量化对冲11号</x:v>
      </x:c>
      <x:c r="C4327" s="72" t="n">
        <x:v>44712</x:v>
      </x:c>
      <x:c r="D4327" s="73" t="n">
        <x:v>1.1278</x:v>
      </x:c>
      <x:c r="E4327" s="73" t="n">
        <x:v>1.1278</x:v>
      </x:c>
      <x:c r="F4327" s="73" t="n">
        <x:v>1.1278</x:v>
      </x:c>
      <x:c r="G4327" s="74" t="n">
        <x:v>0</x:v>
      </x:c>
      <x:c r="H4327" s="66" t="str">
        <x:v>钧誉厚德量化对冲11号净值20260911.xlsx</x:v>
      </x:c>
      <x:c r="I4327" s="73" t="str">
        <x:f>""</x:f>
      </x:c>
      <x:c r="J4327" s="74" t="str">
        <x:f>""</x:f>
      </x:c>
      <x:c r="K4327" s="73" t="str">
        <x:f>""</x:f>
      </x:c>
      <x:c r="L4327" s="74" t="str">
        <x:f>""</x:f>
      </x:c>
      <x:c r="M4327" s="73" t="n">
        <x:f>MAX(M4326,F4327)</x:f>
        <x:v>1.1278</x:v>
      </x:c>
      <x:c r="N4327" s="74" t="n">
        <x:f>1-F4327/M4327</x:f>
        <x:v>0</x:v>
      </x:c>
    </x:row>
    <x:row r="4328" ht="27" customHeight="1">
      <x:c r="A4328" s="66" t="str">
        <x:v>SQN453</x:v>
      </x:c>
      <x:c r="B4328" s="66" t="str">
        <x:v>钧誉厚德量化对冲11号</x:v>
      </x:c>
      <x:c r="C4328" s="72" t="n">
        <x:v>44713</x:v>
      </x:c>
      <x:c r="D4328" s="73" t="n">
        <x:v>1.1279</x:v>
      </x:c>
      <x:c r="E4328" s="73" t="n">
        <x:v>1.1279</x:v>
      </x:c>
      <x:c r="F4328" s="73" t="n">
        <x:v>1.1279</x:v>
      </x:c>
      <x:c r="G4328" s="74" t="n">
        <x:v>0.0001</x:v>
      </x:c>
      <x:c r="H4328" s="66" t="str">
        <x:v>钧誉厚德量化对冲11号净值20260911.xlsx</x:v>
      </x:c>
      <x:c r="I4328" s="73" t="str">
        <x:f>""</x:f>
      </x:c>
      <x:c r="J4328" s="74" t="str">
        <x:f>""</x:f>
      </x:c>
      <x:c r="K4328" s="73" t="str">
        <x:f>""</x:f>
      </x:c>
      <x:c r="L4328" s="74" t="str">
        <x:f>""</x:f>
      </x:c>
      <x:c r="M4328" s="73" t="n">
        <x:f>MAX(M4327,F4328)</x:f>
        <x:v>1.1279</x:v>
      </x:c>
      <x:c r="N4328" s="74" t="n">
        <x:f>1-F4328/M4328</x:f>
        <x:v>0</x:v>
      </x:c>
    </x:row>
    <x:row r="4329" ht="27" customHeight="1">
      <x:c r="A4329" s="66" t="str">
        <x:v>SQN453</x:v>
      </x:c>
      <x:c r="B4329" s="66" t="str">
        <x:v>钧誉厚德量化对冲11号</x:v>
      </x:c>
      <x:c r="C4329" s="72" t="n">
        <x:v>44714</x:v>
      </x:c>
      <x:c r="D4329" s="73" t="n">
        <x:v>1.1279</x:v>
      </x:c>
      <x:c r="E4329" s="73" t="n">
        <x:v>1.1279</x:v>
      </x:c>
      <x:c r="F4329" s="73" t="n">
        <x:v>1.1279</x:v>
      </x:c>
      <x:c r="G4329" s="74" t="n">
        <x:v>0</x:v>
      </x:c>
      <x:c r="H4329" s="66" t="str">
        <x:v>钧誉厚德量化对冲11号净值20260911.xlsx</x:v>
      </x:c>
      <x:c r="I4329" s="73" t="str">
        <x:f>""</x:f>
      </x:c>
      <x:c r="J4329" s="74" t="str">
        <x:f>""</x:f>
      </x:c>
      <x:c r="K4329" s="73" t="str">
        <x:f>""</x:f>
      </x:c>
      <x:c r="L4329" s="74" t="str">
        <x:f>""</x:f>
      </x:c>
      <x:c r="M4329" s="73" t="n">
        <x:f>MAX(M4328,F4329)</x:f>
        <x:v>1.1279</x:v>
      </x:c>
      <x:c r="N4329" s="74" t="n">
        <x:f>1-F4329/M4329</x:f>
        <x:v>0</x:v>
      </x:c>
    </x:row>
    <x:row r="4330" ht="27" customHeight="1">
      <x:c r="A4330" s="66" t="str">
        <x:v>SQN453</x:v>
      </x:c>
      <x:c r="B4330" s="66" t="str">
        <x:v>钧誉厚德量化对冲11号</x:v>
      </x:c>
      <x:c r="C4330" s="72" t="n">
        <x:v>44718</x:v>
      </x:c>
      <x:c r="D4330" s="73" t="n">
        <x:v>1.1281</x:v>
      </x:c>
      <x:c r="E4330" s="73" t="n">
        <x:v>1.1281</x:v>
      </x:c>
      <x:c r="F4330" s="73" t="n">
        <x:v>1.1281</x:v>
      </x:c>
      <x:c r="G4330" s="74" t="n">
        <x:v>0.0002</x:v>
      </x:c>
      <x:c r="H4330" s="66" t="str">
        <x:v>钧誉厚德量化对冲11号净值20260911.xlsx</x:v>
      </x:c>
      <x:c r="I4330" s="73" t="str">
        <x:f>""</x:f>
      </x:c>
      <x:c r="J4330" s="74" t="str">
        <x:f>""</x:f>
      </x:c>
      <x:c r="K4330" s="73" t="str">
        <x:f>""</x:f>
      </x:c>
      <x:c r="L4330" s="74" t="str">
        <x:f>""</x:f>
      </x:c>
      <x:c r="M4330" s="73" t="n">
        <x:f>MAX(M4329,F4330)</x:f>
        <x:v>1.1281</x:v>
      </x:c>
      <x:c r="N4330" s="74" t="n">
        <x:f>1-F4330/M4330</x:f>
        <x:v>0</x:v>
      </x:c>
    </x:row>
    <x:row r="4331" ht="27" customHeight="1">
      <x:c r="A4331" s="66" t="str">
        <x:v>SQN453</x:v>
      </x:c>
      <x:c r="B4331" s="66" t="str">
        <x:v>钧誉厚德量化对冲11号</x:v>
      </x:c>
      <x:c r="C4331" s="72" t="n">
        <x:v>44719</x:v>
      </x:c>
      <x:c r="D4331" s="73" t="n">
        <x:v>1.1282</x:v>
      </x:c>
      <x:c r="E4331" s="73" t="n">
        <x:v>1.1282</x:v>
      </x:c>
      <x:c r="F4331" s="73" t="n">
        <x:v>1.1282</x:v>
      </x:c>
      <x:c r="G4331" s="74" t="n">
        <x:v>0.0001</x:v>
      </x:c>
      <x:c r="H4331" s="66" t="str">
        <x:v>钧誉厚德量化对冲11号净值20260911.xlsx</x:v>
      </x:c>
      <x:c r="I4331" s="73" t="str">
        <x:f>""</x:f>
      </x:c>
      <x:c r="J4331" s="74" t="str">
        <x:f>""</x:f>
      </x:c>
      <x:c r="K4331" s="73" t="str">
        <x:f>""</x:f>
      </x:c>
      <x:c r="L4331" s="74" t="str">
        <x:f>""</x:f>
      </x:c>
      <x:c r="M4331" s="73" t="n">
        <x:f>MAX(M4330,F4331)</x:f>
        <x:v>1.1282</x:v>
      </x:c>
      <x:c r="N4331" s="74" t="n">
        <x:f>1-F4331/M4331</x:f>
        <x:v>0</x:v>
      </x:c>
    </x:row>
    <x:row r="4332" ht="27" customHeight="1">
      <x:c r="A4332" s="66" t="str">
        <x:v>SQN453</x:v>
      </x:c>
      <x:c r="B4332" s="66" t="str">
        <x:v>钧誉厚德量化对冲11号</x:v>
      </x:c>
      <x:c r="C4332" s="72" t="n">
        <x:v>44720</x:v>
      </x:c>
      <x:c r="D4332" s="73" t="n">
        <x:v>1.1284</x:v>
      </x:c>
      <x:c r="E4332" s="73" t="n">
        <x:v>1.1284</x:v>
      </x:c>
      <x:c r="F4332" s="73" t="n">
        <x:v>1.1284</x:v>
      </x:c>
      <x:c r="G4332" s="74" t="n">
        <x:v>0.0002</x:v>
      </x:c>
      <x:c r="H4332" s="66" t="str">
        <x:v>钧誉厚德量化对冲11号净值20260911.xlsx</x:v>
      </x:c>
      <x:c r="I4332" s="73" t="str">
        <x:f>""</x:f>
      </x:c>
      <x:c r="J4332" s="74" t="str">
        <x:f>""</x:f>
      </x:c>
      <x:c r="K4332" s="73" t="str">
        <x:f>""</x:f>
      </x:c>
      <x:c r="L4332" s="74" t="str">
        <x:f>""</x:f>
      </x:c>
      <x:c r="M4332" s="73" t="n">
        <x:f>MAX(M4331,F4332)</x:f>
        <x:v>1.1284</x:v>
      </x:c>
      <x:c r="N4332" s="74" t="n">
        <x:f>1-F4332/M4332</x:f>
        <x:v>0</x:v>
      </x:c>
    </x:row>
    <x:row r="4333" ht="27" customHeight="1">
      <x:c r="A4333" s="66" t="str">
        <x:v>SQN453</x:v>
      </x:c>
      <x:c r="B4333" s="66" t="str">
        <x:v>钧誉厚德量化对冲11号</x:v>
      </x:c>
      <x:c r="C4333" s="72" t="n">
        <x:v>44721</x:v>
      </x:c>
      <x:c r="D4333" s="73" t="n">
        <x:v>1.1287</x:v>
      </x:c>
      <x:c r="E4333" s="73" t="n">
        <x:v>1.1287</x:v>
      </x:c>
      <x:c r="F4333" s="73" t="n">
        <x:v>1.1287</x:v>
      </x:c>
      <x:c r="G4333" s="74" t="n">
        <x:v>0.0003</x:v>
      </x:c>
      <x:c r="H4333" s="66" t="str">
        <x:v>钧誉厚德量化对冲11号净值20260911.xlsx</x:v>
      </x:c>
      <x:c r="I4333" s="73" t="str">
        <x:f>""</x:f>
      </x:c>
      <x:c r="J4333" s="74" t="str">
        <x:f>""</x:f>
      </x:c>
      <x:c r="K4333" s="73" t="str">
        <x:f>""</x:f>
      </x:c>
      <x:c r="L4333" s="74" t="str">
        <x:f>""</x:f>
      </x:c>
      <x:c r="M4333" s="73" t="n">
        <x:f>MAX(M4332,F4333)</x:f>
        <x:v>1.1287</x:v>
      </x:c>
      <x:c r="N4333" s="74" t="n">
        <x:f>1-F4333/M4333</x:f>
        <x:v>0</x:v>
      </x:c>
    </x:row>
    <x:row r="4334" ht="27" customHeight="1">
      <x:c r="A4334" s="66" t="str">
        <x:v>SQN453</x:v>
      </x:c>
      <x:c r="B4334" s="66" t="str">
        <x:v>钧誉厚德量化对冲11号</x:v>
      </x:c>
      <x:c r="C4334" s="72" t="n">
        <x:v>44722</x:v>
      </x:c>
      <x:c r="D4334" s="73" t="n">
        <x:v>1.1289</x:v>
      </x:c>
      <x:c r="E4334" s="73" t="n">
        <x:v>1.1289</x:v>
      </x:c>
      <x:c r="F4334" s="73" t="n">
        <x:v>1.1289</x:v>
      </x:c>
      <x:c r="G4334" s="74" t="n">
        <x:v>0.0002</x:v>
      </x:c>
      <x:c r="H4334" s="66" t="str">
        <x:v>钧誉厚德量化对冲11号净值20260911.xlsx</x:v>
      </x:c>
      <x:c r="I4334" s="73" t="str">
        <x:f>""</x:f>
      </x:c>
      <x:c r="J4334" s="74" t="str">
        <x:f>""</x:f>
      </x:c>
      <x:c r="K4334" s="73" t="str">
        <x:f>""</x:f>
      </x:c>
      <x:c r="L4334" s="74" t="str">
        <x:f>""</x:f>
      </x:c>
      <x:c r="M4334" s="73" t="n">
        <x:f>MAX(M4333,F4334)</x:f>
        <x:v>1.1289</x:v>
      </x:c>
      <x:c r="N4334" s="74" t="n">
        <x:f>1-F4334/M4334</x:f>
        <x:v>0</x:v>
      </x:c>
    </x:row>
    <x:row r="4335" ht="27" customHeight="1">
      <x:c r="A4335" s="66" t="str">
        <x:v>SQN453</x:v>
      </x:c>
      <x:c r="B4335" s="66" t="str">
        <x:v>钧誉厚德量化对冲11号</x:v>
      </x:c>
      <x:c r="C4335" s="72" t="n">
        <x:v>44725</x:v>
      </x:c>
      <x:c r="D4335" s="73" t="n">
        <x:v>1.1288</x:v>
      </x:c>
      <x:c r="E4335" s="73" t="n">
        <x:v>1.1288</x:v>
      </x:c>
      <x:c r="F4335" s="73" t="n">
        <x:v>1.1288</x:v>
      </x:c>
      <x:c r="G4335" s="74" t="n">
        <x:v>-0.0001</x:v>
      </x:c>
      <x:c r="H4335" s="66" t="str">
        <x:v>钧誉厚德量化对冲11号净值20260911.xlsx</x:v>
      </x:c>
      <x:c r="I4335" s="73" t="str">
        <x:f>""</x:f>
      </x:c>
      <x:c r="J4335" s="74" t="str">
        <x:f>""</x:f>
      </x:c>
      <x:c r="K4335" s="73" t="str">
        <x:f>""</x:f>
      </x:c>
      <x:c r="L4335" s="74" t="str">
        <x:f>""</x:f>
      </x:c>
      <x:c r="M4335" s="73" t="n">
        <x:f>MAX(M4334,F4335)</x:f>
        <x:v>1.1289</x:v>
      </x:c>
      <x:c r="N4335" s="74" t="n">
        <x:f>1-F4335/M4335</x:f>
        <x:v>0.00008858180529713877</x:v>
      </x:c>
    </x:row>
    <x:row r="4336" ht="27" customHeight="1">
      <x:c r="A4336" s="66" t="str">
        <x:v>SQN453</x:v>
      </x:c>
      <x:c r="B4336" s="66" t="str">
        <x:v>钧誉厚德量化对冲11号</x:v>
      </x:c>
      <x:c r="C4336" s="72" t="n">
        <x:v>44726</x:v>
      </x:c>
      <x:c r="D4336" s="73" t="n">
        <x:v>1.1291</x:v>
      </x:c>
      <x:c r="E4336" s="73" t="n">
        <x:v>1.1291</x:v>
      </x:c>
      <x:c r="F4336" s="73" t="n">
        <x:v>1.1291</x:v>
      </x:c>
      <x:c r="G4336" s="74" t="n">
        <x:v>0.0003</x:v>
      </x:c>
      <x:c r="H4336" s="66" t="str">
        <x:v>钧誉厚德量化对冲11号净值20260911.xlsx</x:v>
      </x:c>
      <x:c r="I4336" s="73" t="str">
        <x:f>""</x:f>
      </x:c>
      <x:c r="J4336" s="74" t="str">
        <x:f>""</x:f>
      </x:c>
      <x:c r="K4336" s="73" t="str">
        <x:f>""</x:f>
      </x:c>
      <x:c r="L4336" s="74" t="str">
        <x:f>""</x:f>
      </x:c>
      <x:c r="M4336" s="73" t="n">
        <x:f>MAX(M4335,F4336)</x:f>
        <x:v>1.1291</x:v>
      </x:c>
      <x:c r="N4336" s="74" t="n">
        <x:f>1-F4336/M4336</x:f>
        <x:v>0</x:v>
      </x:c>
    </x:row>
    <x:row r="4337" ht="27" customHeight="1">
      <x:c r="A4337" s="66" t="str">
        <x:v>SQN453</x:v>
      </x:c>
      <x:c r="B4337" s="66" t="str">
        <x:v>钧誉厚德量化对冲11号</x:v>
      </x:c>
      <x:c r="C4337" s="72" t="n">
        <x:v>44727</x:v>
      </x:c>
      <x:c r="D4337" s="73" t="n">
        <x:v>1.1296</x:v>
      </x:c>
      <x:c r="E4337" s="73" t="n">
        <x:v>1.1296</x:v>
      </x:c>
      <x:c r="F4337" s="73" t="n">
        <x:v>1.1296</x:v>
      </x:c>
      <x:c r="G4337" s="74" t="n">
        <x:v>0.0004</x:v>
      </x:c>
      <x:c r="H4337" s="66" t="str">
        <x:v>钧誉厚德量化对冲11号净值20260911.xlsx</x:v>
      </x:c>
      <x:c r="I4337" s="73" t="str">
        <x:f>""</x:f>
      </x:c>
      <x:c r="J4337" s="74" t="str">
        <x:f>""</x:f>
      </x:c>
      <x:c r="K4337" s="73" t="str">
        <x:f>""</x:f>
      </x:c>
      <x:c r="L4337" s="74" t="str">
        <x:f>""</x:f>
      </x:c>
      <x:c r="M4337" s="73" t="n">
        <x:f>MAX(M4336,F4337)</x:f>
        <x:v>1.1296</x:v>
      </x:c>
      <x:c r="N4337" s="74" t="n">
        <x:f>1-F4337/M4337</x:f>
        <x:v>0</x:v>
      </x:c>
    </x:row>
    <x:row r="4338" ht="27" customHeight="1">
      <x:c r="A4338" s="66" t="str">
        <x:v>SQN453</x:v>
      </x:c>
      <x:c r="B4338" s="66" t="str">
        <x:v>钧誉厚德量化对冲11号</x:v>
      </x:c>
      <x:c r="C4338" s="72" t="n">
        <x:v>44728</x:v>
      </x:c>
      <x:c r="D4338" s="73" t="n">
        <x:v>1.1298</x:v>
      </x:c>
      <x:c r="E4338" s="73" t="n">
        <x:v>1.1298</x:v>
      </x:c>
      <x:c r="F4338" s="73" t="n">
        <x:v>1.1298</x:v>
      </x:c>
      <x:c r="G4338" s="74" t="n">
        <x:v>0.0002</x:v>
      </x:c>
      <x:c r="H4338" s="66" t="str">
        <x:v>钧誉厚德量化对冲11号净值20260911.xlsx</x:v>
      </x:c>
      <x:c r="I4338" s="73" t="str">
        <x:f>""</x:f>
      </x:c>
      <x:c r="J4338" s="74" t="str">
        <x:f>""</x:f>
      </x:c>
      <x:c r="K4338" s="73" t="str">
        <x:f>""</x:f>
      </x:c>
      <x:c r="L4338" s="74" t="str">
        <x:f>""</x:f>
      </x:c>
      <x:c r="M4338" s="73" t="n">
        <x:f>MAX(M4337,F4338)</x:f>
        <x:v>1.1298</x:v>
      </x:c>
      <x:c r="N4338" s="74" t="n">
        <x:f>1-F4338/M4338</x:f>
        <x:v>0</x:v>
      </x:c>
    </x:row>
    <x:row r="4339" ht="27" customHeight="1">
      <x:c r="A4339" s="66" t="str">
        <x:v>SQN453</x:v>
      </x:c>
      <x:c r="B4339" s="66" t="str">
        <x:v>钧誉厚德量化对冲11号</x:v>
      </x:c>
      <x:c r="C4339" s="72" t="n">
        <x:v>44729</x:v>
      </x:c>
      <x:c r="D4339" s="73" t="n">
        <x:v>1.1304</x:v>
      </x:c>
      <x:c r="E4339" s="73" t="n">
        <x:v>1.1304</x:v>
      </x:c>
      <x:c r="F4339" s="73" t="n">
        <x:v>1.1304</x:v>
      </x:c>
      <x:c r="G4339" s="74" t="n">
        <x:v>0.0005</x:v>
      </x:c>
      <x:c r="H4339" s="66" t="str">
        <x:v>钧誉厚德量化对冲11号净值20260911.xlsx</x:v>
      </x:c>
      <x:c r="I4339" s="73" t="str">
        <x:f>""</x:f>
      </x:c>
      <x:c r="J4339" s="74" t="str">
        <x:f>""</x:f>
      </x:c>
      <x:c r="K4339" s="73" t="str">
        <x:f>""</x:f>
      </x:c>
      <x:c r="L4339" s="74" t="str">
        <x:f>""</x:f>
      </x:c>
      <x:c r="M4339" s="73" t="n">
        <x:f>MAX(M4338,F4339)</x:f>
        <x:v>1.1304</x:v>
      </x:c>
      <x:c r="N4339" s="74" t="n">
        <x:f>1-F4339/M4339</x:f>
        <x:v>0</x:v>
      </x:c>
    </x:row>
    <x:row r="4340" ht="27" customHeight="1">
      <x:c r="A4340" s="66" t="str">
        <x:v>SQN453</x:v>
      </x:c>
      <x:c r="B4340" s="66" t="str">
        <x:v>钧誉厚德量化对冲11号</x:v>
      </x:c>
      <x:c r="C4340" s="72" t="n">
        <x:v>44732</x:v>
      </x:c>
      <x:c r="D4340" s="73" t="n">
        <x:v>1.1313</x:v>
      </x:c>
      <x:c r="E4340" s="73" t="n">
        <x:v>1.1313</x:v>
      </x:c>
      <x:c r="F4340" s="73" t="n">
        <x:v>1.1313</x:v>
      </x:c>
      <x:c r="G4340" s="74" t="n">
        <x:v>0.0008</x:v>
      </x:c>
      <x:c r="H4340" s="66" t="str">
        <x:v>钧誉厚德量化对冲11号净值20260911.xlsx</x:v>
      </x:c>
      <x:c r="I4340" s="73" t="str">
        <x:f>""</x:f>
      </x:c>
      <x:c r="J4340" s="74" t="str">
        <x:f>""</x:f>
      </x:c>
      <x:c r="K4340" s="73" t="str">
        <x:f>""</x:f>
      </x:c>
      <x:c r="L4340" s="74" t="str">
        <x:f>""</x:f>
      </x:c>
      <x:c r="M4340" s="73" t="n">
        <x:f>MAX(M4339,F4340)</x:f>
        <x:v>1.1313</x:v>
      </x:c>
      <x:c r="N4340" s="74" t="n">
        <x:f>1-F4340/M4340</x:f>
        <x:v>0</x:v>
      </x:c>
    </x:row>
    <x:row r="4341" ht="27" customHeight="1">
      <x:c r="A4341" s="66" t="str">
        <x:v>SQN453</x:v>
      </x:c>
      <x:c r="B4341" s="66" t="str">
        <x:v>钧誉厚德量化对冲11号</x:v>
      </x:c>
      <x:c r="C4341" s="72" t="n">
        <x:v>44733</x:v>
      </x:c>
      <x:c r="D4341" s="73" t="n">
        <x:v>1.1315</x:v>
      </x:c>
      <x:c r="E4341" s="73" t="n">
        <x:v>1.1315</x:v>
      </x:c>
      <x:c r="F4341" s="73" t="n">
        <x:v>1.1315</x:v>
      </x:c>
      <x:c r="G4341" s="74" t="n">
        <x:v>0.0002</x:v>
      </x:c>
      <x:c r="H4341" s="66" t="str">
        <x:v>钧誉厚德量化对冲11号净值20260911.xlsx</x:v>
      </x:c>
      <x:c r="I4341" s="73" t="str">
        <x:f>""</x:f>
      </x:c>
      <x:c r="J4341" s="74" t="str">
        <x:f>""</x:f>
      </x:c>
      <x:c r="K4341" s="73" t="str">
        <x:f>""</x:f>
      </x:c>
      <x:c r="L4341" s="74" t="str">
        <x:f>""</x:f>
      </x:c>
      <x:c r="M4341" s="73" t="n">
        <x:f>MAX(M4340,F4341)</x:f>
        <x:v>1.1315</x:v>
      </x:c>
      <x:c r="N4341" s="74" t="n">
        <x:f>1-F4341/M4341</x:f>
        <x:v>0</x:v>
      </x:c>
    </x:row>
    <x:row r="4342" ht="27" customHeight="1">
      <x:c r="A4342" s="66" t="str">
        <x:v>SQN453</x:v>
      </x:c>
      <x:c r="B4342" s="66" t="str">
        <x:v>钧誉厚德量化对冲11号</x:v>
      </x:c>
      <x:c r="C4342" s="72" t="n">
        <x:v>44734</x:v>
      </x:c>
      <x:c r="D4342" s="73" t="n">
        <x:v>1.132</x:v>
      </x:c>
      <x:c r="E4342" s="73" t="n">
        <x:v>1.132</x:v>
      </x:c>
      <x:c r="F4342" s="73" t="n">
        <x:v>1.132</x:v>
      </x:c>
      <x:c r="G4342" s="74" t="n">
        <x:v>0.0004</x:v>
      </x:c>
      <x:c r="H4342" s="66" t="str">
        <x:v>钧誉厚德量化对冲11号净值20260911.xlsx</x:v>
      </x:c>
      <x:c r="I4342" s="73" t="str">
        <x:f>""</x:f>
      </x:c>
      <x:c r="J4342" s="74" t="str">
        <x:f>""</x:f>
      </x:c>
      <x:c r="K4342" s="73" t="str">
        <x:f>""</x:f>
      </x:c>
      <x:c r="L4342" s="74" t="str">
        <x:f>""</x:f>
      </x:c>
      <x:c r="M4342" s="73" t="n">
        <x:f>MAX(M4341,F4342)</x:f>
        <x:v>1.132</x:v>
      </x:c>
      <x:c r="N4342" s="74" t="n">
        <x:f>1-F4342/M4342</x:f>
        <x:v>0</x:v>
      </x:c>
    </x:row>
    <x:row r="4343" ht="27" customHeight="1">
      <x:c r="A4343" s="66" t="str">
        <x:v>SQN453</x:v>
      </x:c>
      <x:c r="B4343" s="66" t="str">
        <x:v>钧誉厚德量化对冲11号</x:v>
      </x:c>
      <x:c r="C4343" s="72" t="n">
        <x:v>44735</x:v>
      </x:c>
      <x:c r="D4343" s="73" t="n">
        <x:v>1.1324</x:v>
      </x:c>
      <x:c r="E4343" s="73" t="n">
        <x:v>1.1324</x:v>
      </x:c>
      <x:c r="F4343" s="73" t="n">
        <x:v>1.1324</x:v>
      </x:c>
      <x:c r="G4343" s="74" t="n">
        <x:v>0.0004</x:v>
      </x:c>
      <x:c r="H4343" s="66" t="str">
        <x:v>钧誉厚德量化对冲11号净值20260911.xlsx</x:v>
      </x:c>
      <x:c r="I4343" s="73" t="str">
        <x:f>""</x:f>
      </x:c>
      <x:c r="J4343" s="74" t="str">
        <x:f>""</x:f>
      </x:c>
      <x:c r="K4343" s="73" t="str">
        <x:f>""</x:f>
      </x:c>
      <x:c r="L4343" s="74" t="str">
        <x:f>""</x:f>
      </x:c>
      <x:c r="M4343" s="73" t="n">
        <x:f>MAX(M4342,F4343)</x:f>
        <x:v>1.1324</x:v>
      </x:c>
      <x:c r="N4343" s="74" t="n">
        <x:f>1-F4343/M4343</x:f>
        <x:v>0</x:v>
      </x:c>
    </x:row>
    <x:row r="4344" ht="27" customHeight="1">
      <x:c r="A4344" s="66" t="str">
        <x:v>SQN453</x:v>
      </x:c>
      <x:c r="B4344" s="66" t="str">
        <x:v>钧誉厚德量化对冲11号</x:v>
      </x:c>
      <x:c r="C4344" s="72" t="n">
        <x:v>44736</x:v>
      </x:c>
      <x:c r="D4344" s="73" t="n">
        <x:v>1.1338</x:v>
      </x:c>
      <x:c r="E4344" s="73" t="n">
        <x:v>1.1338</x:v>
      </x:c>
      <x:c r="F4344" s="73" t="n">
        <x:v>1.1338</x:v>
      </x:c>
      <x:c r="G4344" s="74" t="n">
        <x:v>0.0012</x:v>
      </x:c>
      <x:c r="H4344" s="66" t="str">
        <x:v>钧誉厚德量化对冲11号净值20260911.xlsx</x:v>
      </x:c>
      <x:c r="I4344" s="73" t="str">
        <x:f>""</x:f>
      </x:c>
      <x:c r="J4344" s="74" t="str">
        <x:f>""</x:f>
      </x:c>
      <x:c r="K4344" s="73" t="str">
        <x:f>""</x:f>
      </x:c>
      <x:c r="L4344" s="74" t="str">
        <x:f>""</x:f>
      </x:c>
      <x:c r="M4344" s="73" t="n">
        <x:f>MAX(M4343,F4344)</x:f>
        <x:v>1.1338</x:v>
      </x:c>
      <x:c r="N4344" s="74" t="n">
        <x:f>1-F4344/M4344</x:f>
        <x:v>0</x:v>
      </x:c>
    </x:row>
    <x:row r="4345" ht="27" customHeight="1">
      <x:c r="A4345" s="66" t="str">
        <x:v>SQN453</x:v>
      </x:c>
      <x:c r="B4345" s="66" t="str">
        <x:v>钧誉厚德量化对冲11号</x:v>
      </x:c>
      <x:c r="C4345" s="72" t="n">
        <x:v>44739</x:v>
      </x:c>
      <x:c r="D4345" s="73" t="n">
        <x:v>1.1349</x:v>
      </x:c>
      <x:c r="E4345" s="73" t="n">
        <x:v>1.1349</x:v>
      </x:c>
      <x:c r="F4345" s="73" t="n">
        <x:v>1.1349</x:v>
      </x:c>
      <x:c r="G4345" s="74" t="n">
        <x:v>0.001</x:v>
      </x:c>
      <x:c r="H4345" s="66" t="str">
        <x:v>钧誉厚德量化对冲11号净值20260911.xlsx</x:v>
      </x:c>
      <x:c r="I4345" s="73" t="str">
        <x:f>""</x:f>
      </x:c>
      <x:c r="J4345" s="74" t="str">
        <x:f>""</x:f>
      </x:c>
      <x:c r="K4345" s="73" t="str">
        <x:f>""</x:f>
      </x:c>
      <x:c r="L4345" s="74" t="str">
        <x:f>""</x:f>
      </x:c>
      <x:c r="M4345" s="73" t="n">
        <x:f>MAX(M4344,F4345)</x:f>
        <x:v>1.1349</x:v>
      </x:c>
      <x:c r="N4345" s="74" t="n">
        <x:f>1-F4345/M4345</x:f>
        <x:v>0</x:v>
      </x:c>
    </x:row>
    <x:row r="4346" ht="27" customHeight="1">
      <x:c r="A4346" s="66" t="str">
        <x:v>SQN453</x:v>
      </x:c>
      <x:c r="B4346" s="66" t="str">
        <x:v>钧誉厚德量化对冲11号</x:v>
      </x:c>
      <x:c r="C4346" s="72" t="n">
        <x:v>44740</x:v>
      </x:c>
      <x:c r="D4346" s="73" t="n">
        <x:v>1.1359</x:v>
      </x:c>
      <x:c r="E4346" s="73" t="n">
        <x:v>1.1359</x:v>
      </x:c>
      <x:c r="F4346" s="73" t="n">
        <x:v>1.1359</x:v>
      </x:c>
      <x:c r="G4346" s="74" t="n">
        <x:v>0.0009</x:v>
      </x:c>
      <x:c r="H4346" s="66" t="str">
        <x:v>钧誉厚德量化对冲11号净值20260911.xlsx</x:v>
      </x:c>
      <x:c r="I4346" s="73" t="str">
        <x:f>""</x:f>
      </x:c>
      <x:c r="J4346" s="74" t="str">
        <x:f>""</x:f>
      </x:c>
      <x:c r="K4346" s="73" t="str">
        <x:f>""</x:f>
      </x:c>
      <x:c r="L4346" s="74" t="str">
        <x:f>""</x:f>
      </x:c>
      <x:c r="M4346" s="73" t="n">
        <x:f>MAX(M4345,F4346)</x:f>
        <x:v>1.1359</x:v>
      </x:c>
      <x:c r="N4346" s="74" t="n">
        <x:f>1-F4346/M4346</x:f>
        <x:v>0</x:v>
      </x:c>
    </x:row>
    <x:row r="4347" ht="27" customHeight="1">
      <x:c r="A4347" s="66" t="str">
        <x:v>SQN453</x:v>
      </x:c>
      <x:c r="B4347" s="66" t="str">
        <x:v>钧誉厚德量化对冲11号</x:v>
      </x:c>
      <x:c r="C4347" s="72" t="n">
        <x:v>44741</x:v>
      </x:c>
      <x:c r="D4347" s="73" t="n">
        <x:v>1.1371</x:v>
      </x:c>
      <x:c r="E4347" s="73" t="n">
        <x:v>1.1371</x:v>
      </x:c>
      <x:c r="F4347" s="73" t="n">
        <x:v>1.1371</x:v>
      </x:c>
      <x:c r="G4347" s="74" t="n">
        <x:v>0.0011</x:v>
      </x:c>
      <x:c r="H4347" s="66" t="str">
        <x:v>钧誉厚德量化对冲11号净值20260911.xlsx</x:v>
      </x:c>
      <x:c r="I4347" s="73" t="str">
        <x:f>""</x:f>
      </x:c>
      <x:c r="J4347" s="74" t="str">
        <x:f>""</x:f>
      </x:c>
      <x:c r="K4347" s="73" t="str">
        <x:f>""</x:f>
      </x:c>
      <x:c r="L4347" s="74" t="str">
        <x:f>""</x:f>
      </x:c>
      <x:c r="M4347" s="73" t="n">
        <x:f>MAX(M4346,F4347)</x:f>
        <x:v>1.1371</x:v>
      </x:c>
      <x:c r="N4347" s="74" t="n">
        <x:f>1-F4347/M4347</x:f>
        <x:v>0</x:v>
      </x:c>
    </x:row>
    <x:row r="4348" ht="27" customHeight="1">
      <x:c r="A4348" s="66" t="str">
        <x:v>SQN453</x:v>
      </x:c>
      <x:c r="B4348" s="66" t="str">
        <x:v>钧誉厚德量化对冲11号</x:v>
      </x:c>
      <x:c r="C4348" s="72" t="n">
        <x:v>44742</x:v>
      </x:c>
      <x:c r="D4348" s="73" t="n">
        <x:v>1.1398</x:v>
      </x:c>
      <x:c r="E4348" s="73" t="n">
        <x:v>1.1398</x:v>
      </x:c>
      <x:c r="F4348" s="73" t="n">
        <x:v>1.1398</x:v>
      </x:c>
      <x:c r="G4348" s="74" t="n">
        <x:v>0.0024</x:v>
      </x:c>
      <x:c r="H4348" s="66" t="str">
        <x:v>钧誉厚德量化对冲11号净值20260911.xlsx</x:v>
      </x:c>
      <x:c r="I4348" s="73" t="str">
        <x:f>""</x:f>
      </x:c>
      <x:c r="J4348" s="74" t="str">
        <x:f>""</x:f>
      </x:c>
      <x:c r="K4348" s="73" t="str">
        <x:f>""</x:f>
      </x:c>
      <x:c r="L4348" s="74" t="str">
        <x:f>""</x:f>
      </x:c>
      <x:c r="M4348" s="73" t="n">
        <x:f>MAX(M4347,F4348)</x:f>
        <x:v>1.1398</x:v>
      </x:c>
      <x:c r="N4348" s="74" t="n">
        <x:f>1-F4348/M4348</x:f>
        <x:v>0</x:v>
      </x:c>
    </x:row>
    <x:row r="4349" ht="27" customHeight="1">
      <x:c r="A4349" s="66" t="str">
        <x:v>SQN453</x:v>
      </x:c>
      <x:c r="B4349" s="66" t="str">
        <x:v>钧誉厚德量化对冲11号</x:v>
      </x:c>
      <x:c r="C4349" s="72" t="n">
        <x:v>44743</x:v>
      </x:c>
      <x:c r="D4349" s="73" t="n">
        <x:v>1.1404</x:v>
      </x:c>
      <x:c r="E4349" s="73" t="n">
        <x:v>1.1404</x:v>
      </x:c>
      <x:c r="F4349" s="73" t="n">
        <x:v>1.1404</x:v>
      </x:c>
      <x:c r="G4349" s="74" t="n">
        <x:v>0.0005</x:v>
      </x:c>
      <x:c r="H4349" s="66" t="str">
        <x:v>钧誉厚德量化对冲11号净值20260911.xlsx</x:v>
      </x:c>
      <x:c r="I4349" s="73" t="str">
        <x:f>""</x:f>
      </x:c>
      <x:c r="J4349" s="74" t="str">
        <x:f>""</x:f>
      </x:c>
      <x:c r="K4349" s="73" t="str">
        <x:f>""</x:f>
      </x:c>
      <x:c r="L4349" s="74" t="str">
        <x:f>""</x:f>
      </x:c>
      <x:c r="M4349" s="73" t="n">
        <x:f>MAX(M4348,F4349)</x:f>
        <x:v>1.1404</x:v>
      </x:c>
      <x:c r="N4349" s="74" t="n">
        <x:f>1-F4349/M4349</x:f>
        <x:v>0</x:v>
      </x:c>
    </x:row>
    <x:row r="4350" ht="27" customHeight="1">
      <x:c r="A4350" s="66" t="str">
        <x:v>SQN453</x:v>
      </x:c>
      <x:c r="B4350" s="66" t="str">
        <x:v>钧誉厚德量化对冲11号</x:v>
      </x:c>
      <x:c r="C4350" s="72" t="n">
        <x:v>44746</x:v>
      </x:c>
      <x:c r="D4350" s="73" t="n">
        <x:v>1.141</x:v>
      </x:c>
      <x:c r="E4350" s="73" t="n">
        <x:v>1.141</x:v>
      </x:c>
      <x:c r="F4350" s="73" t="n">
        <x:v>1.141</x:v>
      </x:c>
      <x:c r="G4350" s="74" t="n">
        <x:v>0.0005</x:v>
      </x:c>
      <x:c r="H4350" s="66" t="str">
        <x:v>钧誉厚德量化对冲11号净值20260911.xlsx</x:v>
      </x:c>
      <x:c r="I4350" s="73" t="str">
        <x:f>""</x:f>
      </x:c>
      <x:c r="J4350" s="74" t="str">
        <x:f>""</x:f>
      </x:c>
      <x:c r="K4350" s="73" t="str">
        <x:f>""</x:f>
      </x:c>
      <x:c r="L4350" s="74" t="str">
        <x:f>""</x:f>
      </x:c>
      <x:c r="M4350" s="73" t="n">
        <x:f>MAX(M4349,F4350)</x:f>
        <x:v>1.141</x:v>
      </x:c>
      <x:c r="N4350" s="74" t="n">
        <x:f>1-F4350/M4350</x:f>
        <x:v>0</x:v>
      </x:c>
    </x:row>
    <x:row r="4351" ht="27" customHeight="1">
      <x:c r="A4351" s="66" t="str">
        <x:v>SQN453</x:v>
      </x:c>
      <x:c r="B4351" s="66" t="str">
        <x:v>钧誉厚德量化对冲11号</x:v>
      </x:c>
      <x:c r="C4351" s="72" t="n">
        <x:v>44747</x:v>
      </x:c>
      <x:c r="D4351" s="73" t="n">
        <x:v>1.1409</x:v>
      </x:c>
      <x:c r="E4351" s="73" t="n">
        <x:v>1.1409</x:v>
      </x:c>
      <x:c r="F4351" s="73" t="n">
        <x:v>1.1409</x:v>
      </x:c>
      <x:c r="G4351" s="74" t="n">
        <x:v>-0.0001</x:v>
      </x:c>
      <x:c r="H4351" s="66" t="str">
        <x:v>钧誉厚德量化对冲11号净值20260911.xlsx</x:v>
      </x:c>
      <x:c r="I4351" s="73" t="str">
        <x:f>""</x:f>
      </x:c>
      <x:c r="J4351" s="74" t="str">
        <x:f>""</x:f>
      </x:c>
      <x:c r="K4351" s="73" t="str">
        <x:f>""</x:f>
      </x:c>
      <x:c r="L4351" s="74" t="str">
        <x:f>""</x:f>
      </x:c>
      <x:c r="M4351" s="73" t="n">
        <x:f>MAX(M4350,F4351)</x:f>
        <x:v>1.141</x:v>
      </x:c>
      <x:c r="N4351" s="74" t="n">
        <x:f>1-F4351/M4351</x:f>
        <x:v>0.00008764241893077784</x:v>
      </x:c>
    </x:row>
    <x:row r="4352" ht="27" customHeight="1">
      <x:c r="A4352" s="66" t="str">
        <x:v>SQN453</x:v>
      </x:c>
      <x:c r="B4352" s="66" t="str">
        <x:v>钧誉厚德量化对冲11号</x:v>
      </x:c>
      <x:c r="C4352" s="72" t="n">
        <x:v>44748</x:v>
      </x:c>
      <x:c r="D4352" s="73" t="n">
        <x:v>1.1426</x:v>
      </x:c>
      <x:c r="E4352" s="73" t="n">
        <x:v>1.1426</x:v>
      </x:c>
      <x:c r="F4352" s="73" t="n">
        <x:v>1.1426</x:v>
      </x:c>
      <x:c r="G4352" s="74" t="n">
        <x:v>0.0015</x:v>
      </x:c>
      <x:c r="H4352" s="66" t="str">
        <x:v>钧誉厚德量化对冲11号净值20260911.xlsx</x:v>
      </x:c>
      <x:c r="I4352" s="73" t="str">
        <x:f>""</x:f>
      </x:c>
      <x:c r="J4352" s="74" t="str">
        <x:f>""</x:f>
      </x:c>
      <x:c r="K4352" s="73" t="str">
        <x:f>""</x:f>
      </x:c>
      <x:c r="L4352" s="74" t="str">
        <x:f>""</x:f>
      </x:c>
      <x:c r="M4352" s="73" t="n">
        <x:f>MAX(M4351,F4352)</x:f>
        <x:v>1.1426</x:v>
      </x:c>
      <x:c r="N4352" s="74" t="n">
        <x:f>1-F4352/M4352</x:f>
        <x:v>0</x:v>
      </x:c>
    </x:row>
    <x:row r="4353" ht="27" customHeight="1">
      <x:c r="A4353" s="66" t="str">
        <x:v>SQN453</x:v>
      </x:c>
      <x:c r="B4353" s="66" t="str">
        <x:v>钧誉厚德量化对冲11号</x:v>
      </x:c>
      <x:c r="C4353" s="72" t="n">
        <x:v>44749</x:v>
      </x:c>
      <x:c r="D4353" s="73" t="n">
        <x:v>1.1451</x:v>
      </x:c>
      <x:c r="E4353" s="73" t="n">
        <x:v>1.1451</x:v>
      </x:c>
      <x:c r="F4353" s="73" t="n">
        <x:v>1.1451</x:v>
      </x:c>
      <x:c r="G4353" s="74" t="n">
        <x:v>0.0022</x:v>
      </x:c>
      <x:c r="H4353" s="66" t="str">
        <x:v>钧誉厚德量化对冲11号净值20260911.xlsx</x:v>
      </x:c>
      <x:c r="I4353" s="73" t="str">
        <x:f>""</x:f>
      </x:c>
      <x:c r="J4353" s="74" t="str">
        <x:f>""</x:f>
      </x:c>
      <x:c r="K4353" s="73" t="str">
        <x:f>""</x:f>
      </x:c>
      <x:c r="L4353" s="74" t="str">
        <x:f>""</x:f>
      </x:c>
      <x:c r="M4353" s="73" t="n">
        <x:f>MAX(M4352,F4353)</x:f>
        <x:v>1.1451</x:v>
      </x:c>
      <x:c r="N4353" s="74" t="n">
        <x:f>1-F4353/M4353</x:f>
        <x:v>0</x:v>
      </x:c>
    </x:row>
    <x:row r="4354" ht="27" customHeight="1">
      <x:c r="A4354" s="66" t="str">
        <x:v>SQN453</x:v>
      </x:c>
      <x:c r="B4354" s="66" t="str">
        <x:v>钧誉厚德量化对冲11号</x:v>
      </x:c>
      <x:c r="C4354" s="72" t="n">
        <x:v>44750</x:v>
      </x:c>
      <x:c r="D4354" s="73" t="n">
        <x:v>1.1457</x:v>
      </x:c>
      <x:c r="E4354" s="73" t="n">
        <x:v>1.1457</x:v>
      </x:c>
      <x:c r="F4354" s="73" t="n">
        <x:v>1.1457</x:v>
      </x:c>
      <x:c r="G4354" s="74" t="n">
        <x:v>0.0005</x:v>
      </x:c>
      <x:c r="H4354" s="66" t="str">
        <x:v>钧誉厚德量化对冲11号净值20260911.xlsx</x:v>
      </x:c>
      <x:c r="I4354" s="73" t="str">
        <x:f>""</x:f>
      </x:c>
      <x:c r="J4354" s="74" t="str">
        <x:f>""</x:f>
      </x:c>
      <x:c r="K4354" s="73" t="str">
        <x:f>""</x:f>
      </x:c>
      <x:c r="L4354" s="74" t="str">
        <x:f>""</x:f>
      </x:c>
      <x:c r="M4354" s="73" t="n">
        <x:f>MAX(M4353,F4354)</x:f>
        <x:v>1.1457</x:v>
      </x:c>
      <x:c r="N4354" s="74" t="n">
        <x:f>1-F4354/M4354</x:f>
        <x:v>0</x:v>
      </x:c>
    </x:row>
    <x:row r="4355" ht="27" customHeight="1">
      <x:c r="A4355" s="66" t="str">
        <x:v>SQN453</x:v>
      </x:c>
      <x:c r="B4355" s="66" t="str">
        <x:v>钧誉厚德量化对冲11号</x:v>
      </x:c>
      <x:c r="C4355" s="72" t="n">
        <x:v>44753</x:v>
      </x:c>
      <x:c r="D4355" s="73" t="n">
        <x:v>1.1466</x:v>
      </x:c>
      <x:c r="E4355" s="73" t="n">
        <x:v>1.1466</x:v>
      </x:c>
      <x:c r="F4355" s="73" t="n">
        <x:v>1.1466</x:v>
      </x:c>
      <x:c r="G4355" s="74" t="n">
        <x:v>0.0008</x:v>
      </x:c>
      <x:c r="H4355" s="66" t="str">
        <x:v>钧誉厚德量化对冲11号净值20260911.xlsx</x:v>
      </x:c>
      <x:c r="I4355" s="73" t="str">
        <x:f>""</x:f>
      </x:c>
      <x:c r="J4355" s="74" t="str">
        <x:f>""</x:f>
      </x:c>
      <x:c r="K4355" s="73" t="str">
        <x:f>""</x:f>
      </x:c>
      <x:c r="L4355" s="74" t="str">
        <x:f>""</x:f>
      </x:c>
      <x:c r="M4355" s="73" t="n">
        <x:f>MAX(M4354,F4355)</x:f>
        <x:v>1.1466</x:v>
      </x:c>
      <x:c r="N4355" s="74" t="n">
        <x:f>1-F4355/M4355</x:f>
        <x:v>0</x:v>
      </x:c>
    </x:row>
    <x:row r="4356" ht="27" customHeight="1">
      <x:c r="A4356" s="66" t="str">
        <x:v>SQN453</x:v>
      </x:c>
      <x:c r="B4356" s="66" t="str">
        <x:v>钧誉厚德量化对冲11号</x:v>
      </x:c>
      <x:c r="C4356" s="72" t="n">
        <x:v>44754</x:v>
      </x:c>
      <x:c r="D4356" s="73" t="n">
        <x:v>1.1554</x:v>
      </x:c>
      <x:c r="E4356" s="73" t="n">
        <x:v>1.1554</x:v>
      </x:c>
      <x:c r="F4356" s="73" t="n">
        <x:v>1.1554</x:v>
      </x:c>
      <x:c r="G4356" s="74" t="n">
        <x:v>0.0077</x:v>
      </x:c>
      <x:c r="H4356" s="66" t="str">
        <x:v>钧誉厚德量化对冲11号净值20260911.xlsx</x:v>
      </x:c>
      <x:c r="I4356" s="73" t="str">
        <x:f>""</x:f>
      </x:c>
      <x:c r="J4356" s="74" t="str">
        <x:f>""</x:f>
      </x:c>
      <x:c r="K4356" s="73" t="str">
        <x:f>""</x:f>
      </x:c>
      <x:c r="L4356" s="74" t="str">
        <x:f>""</x:f>
      </x:c>
      <x:c r="M4356" s="73" t="n">
        <x:f>MAX(M4355,F4356)</x:f>
        <x:v>1.1554</x:v>
      </x:c>
      <x:c r="N4356" s="74" t="n">
        <x:f>1-F4356/M4356</x:f>
        <x:v>0</x:v>
      </x:c>
    </x:row>
    <x:row r="4357" ht="27" customHeight="1">
      <x:c r="A4357" s="66" t="str">
        <x:v>SQN453</x:v>
      </x:c>
      <x:c r="B4357" s="66" t="str">
        <x:v>钧誉厚德量化对冲11号</x:v>
      </x:c>
      <x:c r="C4357" s="72" t="n">
        <x:v>44755</x:v>
      </x:c>
      <x:c r="D4357" s="73" t="n">
        <x:v>1.1558</x:v>
      </x:c>
      <x:c r="E4357" s="73" t="n">
        <x:v>1.1558</x:v>
      </x:c>
      <x:c r="F4357" s="73" t="n">
        <x:v>1.1558</x:v>
      </x:c>
      <x:c r="G4357" s="74" t="n">
        <x:v>0.0003</x:v>
      </x:c>
      <x:c r="H4357" s="66" t="str">
        <x:v>钧誉厚德量化对冲11号净值20260911.xlsx</x:v>
      </x:c>
      <x:c r="I4357" s="73" t="str">
        <x:f>""</x:f>
      </x:c>
      <x:c r="J4357" s="74" t="str">
        <x:f>""</x:f>
      </x:c>
      <x:c r="K4357" s="73" t="str">
        <x:f>""</x:f>
      </x:c>
      <x:c r="L4357" s="74" t="str">
        <x:f>""</x:f>
      </x:c>
      <x:c r="M4357" s="73" t="n">
        <x:f>MAX(M4356,F4357)</x:f>
        <x:v>1.1558</x:v>
      </x:c>
      <x:c r="N4357" s="74" t="n">
        <x:f>1-F4357/M4357</x:f>
        <x:v>0</x:v>
      </x:c>
    </x:row>
    <x:row r="4358" ht="27" customHeight="1">
      <x:c r="A4358" s="66" t="str">
        <x:v>SQN453</x:v>
      </x:c>
      <x:c r="B4358" s="66" t="str">
        <x:v>钧誉厚德量化对冲11号</x:v>
      </x:c>
      <x:c r="C4358" s="72" t="n">
        <x:v>44756</x:v>
      </x:c>
      <x:c r="D4358" s="73" t="n">
        <x:v>1.1685</x:v>
      </x:c>
      <x:c r="E4358" s="73" t="n">
        <x:v>1.1685</x:v>
      </x:c>
      <x:c r="F4358" s="73" t="n">
        <x:v>1.1685</x:v>
      </x:c>
      <x:c r="G4358" s="74" t="n">
        <x:v>0.011000000000000001</x:v>
      </x:c>
      <x:c r="H4358" s="66" t="str">
        <x:v>钧誉厚德量化对冲11号净值20260911.xlsx</x:v>
      </x:c>
      <x:c r="I4358" s="73" t="str">
        <x:f>""</x:f>
      </x:c>
      <x:c r="J4358" s="74" t="str">
        <x:f>""</x:f>
      </x:c>
      <x:c r="K4358" s="73" t="str">
        <x:f>""</x:f>
      </x:c>
      <x:c r="L4358" s="74" t="str">
        <x:f>""</x:f>
      </x:c>
      <x:c r="M4358" s="73" t="n">
        <x:f>MAX(M4357,F4358)</x:f>
        <x:v>1.1685</x:v>
      </x:c>
      <x:c r="N4358" s="74" t="n">
        <x:f>1-F4358/M4358</x:f>
        <x:v>0</x:v>
      </x:c>
    </x:row>
    <x:row r="4359" ht="27" customHeight="1">
      <x:c r="A4359" s="66" t="str">
        <x:v>SQN453</x:v>
      </x:c>
      <x:c r="B4359" s="66" t="str">
        <x:v>钧誉厚德量化对冲11号</x:v>
      </x:c>
      <x:c r="C4359" s="72" t="n">
        <x:v>44757</x:v>
      </x:c>
      <x:c r="D4359" s="73" t="n">
        <x:v>1.168</x:v>
      </x:c>
      <x:c r="E4359" s="73" t="n">
        <x:v>1.168</x:v>
      </x:c>
      <x:c r="F4359" s="73" t="n">
        <x:v>1.168</x:v>
      </x:c>
      <x:c r="G4359" s="74" t="n">
        <x:v>-0.0004</x:v>
      </x:c>
      <x:c r="H4359" s="66" t="str">
        <x:v>钧誉厚德量化对冲11号净值20260911.xlsx</x:v>
      </x:c>
      <x:c r="I4359" s="73" t="str">
        <x:f>""</x:f>
      </x:c>
      <x:c r="J4359" s="74" t="str">
        <x:f>""</x:f>
      </x:c>
      <x:c r="K4359" s="73" t="str">
        <x:f>""</x:f>
      </x:c>
      <x:c r="L4359" s="74" t="str">
        <x:f>""</x:f>
      </x:c>
      <x:c r="M4359" s="73" t="n">
        <x:f>MAX(M4358,F4359)</x:f>
        <x:v>1.1685</x:v>
      </x:c>
      <x:c r="N4359" s="74" t="n">
        <x:f>1-F4359/M4359</x:f>
        <x:v>0.0004278990158324003</x:v>
      </x:c>
    </x:row>
    <x:row r="4360" ht="27" customHeight="1">
      <x:c r="A4360" s="66" t="str">
        <x:v>SQN453</x:v>
      </x:c>
      <x:c r="B4360" s="66" t="str">
        <x:v>钧誉厚德量化对冲11号</x:v>
      </x:c>
      <x:c r="C4360" s="72" t="n">
        <x:v>44760</x:v>
      </x:c>
      <x:c r="D4360" s="73" t="n">
        <x:v>1.1688</x:v>
      </x:c>
      <x:c r="E4360" s="73" t="n">
        <x:v>1.1688</x:v>
      </x:c>
      <x:c r="F4360" s="73" t="n">
        <x:v>1.1688</x:v>
      </x:c>
      <x:c r="G4360" s="74" t="n">
        <x:v>0.0007000000000000001</x:v>
      </x:c>
      <x:c r="H4360" s="66" t="str">
        <x:v>钧誉厚德量化对冲11号净值20260911.xlsx</x:v>
      </x:c>
      <x:c r="I4360" s="73" t="str">
        <x:f>""</x:f>
      </x:c>
      <x:c r="J4360" s="74" t="str">
        <x:f>""</x:f>
      </x:c>
      <x:c r="K4360" s="73" t="str">
        <x:f>""</x:f>
      </x:c>
      <x:c r="L4360" s="74" t="str">
        <x:f>""</x:f>
      </x:c>
      <x:c r="M4360" s="73" t="n">
        <x:f>MAX(M4359,F4360)</x:f>
        <x:v>1.1688</x:v>
      </x:c>
      <x:c r="N4360" s="74" t="n">
        <x:f>1-F4360/M4360</x:f>
        <x:v>0</x:v>
      </x:c>
    </x:row>
    <x:row r="4361" ht="27" customHeight="1">
      <x:c r="A4361" s="66" t="str">
        <x:v>SQN453</x:v>
      </x:c>
      <x:c r="B4361" s="66" t="str">
        <x:v>钧誉厚德量化对冲11号</x:v>
      </x:c>
      <x:c r="C4361" s="72" t="n">
        <x:v>44761</x:v>
      </x:c>
      <x:c r="D4361" s="73" t="n">
        <x:v>1.1691</x:v>
      </x:c>
      <x:c r="E4361" s="73" t="n">
        <x:v>1.1691</x:v>
      </x:c>
      <x:c r="F4361" s="73" t="n">
        <x:v>1.1691</x:v>
      </x:c>
      <x:c r="G4361" s="74" t="n">
        <x:v>0.0003</x:v>
      </x:c>
      <x:c r="H4361" s="66" t="str">
        <x:v>钧誉厚德量化对冲11号净值20260911.xlsx</x:v>
      </x:c>
      <x:c r="I4361" s="73" t="str">
        <x:f>""</x:f>
      </x:c>
      <x:c r="J4361" s="74" t="str">
        <x:f>""</x:f>
      </x:c>
      <x:c r="K4361" s="73" t="str">
        <x:f>""</x:f>
      </x:c>
      <x:c r="L4361" s="74" t="str">
        <x:f>""</x:f>
      </x:c>
      <x:c r="M4361" s="73" t="n">
        <x:f>MAX(M4360,F4361)</x:f>
        <x:v>1.1691</x:v>
      </x:c>
      <x:c r="N4361" s="74" t="n">
        <x:f>1-F4361/M4361</x:f>
        <x:v>0</x:v>
      </x:c>
    </x:row>
    <x:row r="4362" ht="27" customHeight="1">
      <x:c r="A4362" s="66" t="str">
        <x:v>SQN453</x:v>
      </x:c>
      <x:c r="B4362" s="66" t="str">
        <x:v>钧誉厚德量化对冲11号</x:v>
      </x:c>
      <x:c r="C4362" s="72" t="n">
        <x:v>44762</x:v>
      </x:c>
      <x:c r="D4362" s="73" t="n">
        <x:v>1.1696</x:v>
      </x:c>
      <x:c r="E4362" s="73" t="n">
        <x:v>1.1696</x:v>
      </x:c>
      <x:c r="F4362" s="73" t="n">
        <x:v>1.1696</x:v>
      </x:c>
      <x:c r="G4362" s="74" t="n">
        <x:v>0.0004</x:v>
      </x:c>
      <x:c r="H4362" s="66" t="str">
        <x:v>钧誉厚德量化对冲11号净值20260911.xlsx</x:v>
      </x:c>
      <x:c r="I4362" s="73" t="str">
        <x:f>""</x:f>
      </x:c>
      <x:c r="J4362" s="74" t="str">
        <x:f>""</x:f>
      </x:c>
      <x:c r="K4362" s="73" t="str">
        <x:f>""</x:f>
      </x:c>
      <x:c r="L4362" s="74" t="str">
        <x:f>""</x:f>
      </x:c>
      <x:c r="M4362" s="73" t="n">
        <x:f>MAX(M4361,F4362)</x:f>
        <x:v>1.1696</x:v>
      </x:c>
      <x:c r="N4362" s="74" t="n">
        <x:f>1-F4362/M4362</x:f>
        <x:v>0</x:v>
      </x:c>
    </x:row>
    <x:row r="4363" ht="27" customHeight="1">
      <x:c r="A4363" s="66" t="str">
        <x:v>SQN453</x:v>
      </x:c>
      <x:c r="B4363" s="66" t="str">
        <x:v>钧誉厚德量化对冲11号</x:v>
      </x:c>
      <x:c r="C4363" s="72" t="n">
        <x:v>44763</x:v>
      </x:c>
      <x:c r="D4363" s="73" t="n">
        <x:v>1.1693</x:v>
      </x:c>
      <x:c r="E4363" s="73" t="n">
        <x:v>1.1693</x:v>
      </x:c>
      <x:c r="F4363" s="73" t="n">
        <x:v>1.1693</x:v>
      </x:c>
      <x:c r="G4363" s="74" t="n">
        <x:v>-0.0003</x:v>
      </x:c>
      <x:c r="H4363" s="66" t="str">
        <x:v>钧誉厚德量化对冲11号净值20260911.xlsx</x:v>
      </x:c>
      <x:c r="I4363" s="73" t="str">
        <x:f>""</x:f>
      </x:c>
      <x:c r="J4363" s="74" t="str">
        <x:f>""</x:f>
      </x:c>
      <x:c r="K4363" s="73" t="str">
        <x:f>""</x:f>
      </x:c>
      <x:c r="L4363" s="74" t="str">
        <x:f>""</x:f>
      </x:c>
      <x:c r="M4363" s="73" t="n">
        <x:f>MAX(M4362,F4363)</x:f>
        <x:v>1.1696</x:v>
      </x:c>
      <x:c r="N4363" s="74" t="n">
        <x:f>1-F4363/M4363</x:f>
        <x:v>0.0002564979480164098</x:v>
      </x:c>
    </x:row>
    <x:row r="4364" ht="27" customHeight="1">
      <x:c r="A4364" s="66" t="str">
        <x:v>SQN453</x:v>
      </x:c>
      <x:c r="B4364" s="66" t="str">
        <x:v>钧誉厚德量化对冲11号</x:v>
      </x:c>
      <x:c r="C4364" s="72" t="n">
        <x:v>44764</x:v>
      </x:c>
      <x:c r="D4364" s="73" t="n">
        <x:v>1.17</x:v>
      </x:c>
      <x:c r="E4364" s="73" t="n">
        <x:v>1.17</x:v>
      </x:c>
      <x:c r="F4364" s="73" t="n">
        <x:v>1.17</x:v>
      </x:c>
      <x:c r="G4364" s="74" t="n">
        <x:v>0.0006</x:v>
      </x:c>
      <x:c r="H4364" s="66" t="str">
        <x:v>钧誉厚德量化对冲11号净值20260911.xlsx</x:v>
      </x:c>
      <x:c r="I4364" s="73" t="str">
        <x:f>""</x:f>
      </x:c>
      <x:c r="J4364" s="74" t="str">
        <x:f>""</x:f>
      </x:c>
      <x:c r="K4364" s="73" t="str">
        <x:f>""</x:f>
      </x:c>
      <x:c r="L4364" s="74" t="str">
        <x:f>""</x:f>
      </x:c>
      <x:c r="M4364" s="73" t="n">
        <x:f>MAX(M4363,F4364)</x:f>
        <x:v>1.17</x:v>
      </x:c>
      <x:c r="N4364" s="74" t="n">
        <x:f>1-F4364/M4364</x:f>
        <x:v>0</x:v>
      </x:c>
    </x:row>
    <x:row r="4365" ht="27" customHeight="1">
      <x:c r="A4365" s="66" t="str">
        <x:v>SQN453</x:v>
      </x:c>
      <x:c r="B4365" s="66" t="str">
        <x:v>钧誉厚德量化对冲11号</x:v>
      </x:c>
      <x:c r="C4365" s="72" t="n">
        <x:v>44767</x:v>
      </x:c>
      <x:c r="D4365" s="73" t="n">
        <x:v>1.1705</x:v>
      </x:c>
      <x:c r="E4365" s="73" t="n">
        <x:v>1.1705</x:v>
      </x:c>
      <x:c r="F4365" s="73" t="n">
        <x:v>1.1705</x:v>
      </x:c>
      <x:c r="G4365" s="74" t="n">
        <x:v>0.0004</x:v>
      </x:c>
      <x:c r="H4365" s="66" t="str">
        <x:v>钧誉厚德量化对冲11号净值20260911.xlsx</x:v>
      </x:c>
      <x:c r="I4365" s="73" t="str">
        <x:f>""</x:f>
      </x:c>
      <x:c r="J4365" s="74" t="str">
        <x:f>""</x:f>
      </x:c>
      <x:c r="K4365" s="73" t="str">
        <x:f>""</x:f>
      </x:c>
      <x:c r="L4365" s="74" t="str">
        <x:f>""</x:f>
      </x:c>
      <x:c r="M4365" s="73" t="n">
        <x:f>MAX(M4364,F4365)</x:f>
        <x:v>1.1705</x:v>
      </x:c>
      <x:c r="N4365" s="74" t="n">
        <x:f>1-F4365/M4365</x:f>
        <x:v>0</x:v>
      </x:c>
    </x:row>
    <x:row r="4366" ht="27" customHeight="1">
      <x:c r="A4366" s="66" t="str">
        <x:v>SQN453</x:v>
      </x:c>
      <x:c r="B4366" s="66" t="str">
        <x:v>钧誉厚德量化对冲11号</x:v>
      </x:c>
      <x:c r="C4366" s="72" t="n">
        <x:v>44768</x:v>
      </x:c>
      <x:c r="D4366" s="73" t="n">
        <x:v>1.1732</x:v>
      </x:c>
      <x:c r="E4366" s="73" t="n">
        <x:v>1.1732</x:v>
      </x:c>
      <x:c r="F4366" s="73" t="n">
        <x:v>1.1732</x:v>
      </x:c>
      <x:c r="G4366" s="74" t="n">
        <x:v>0.0023</x:v>
      </x:c>
      <x:c r="H4366" s="66" t="str">
        <x:v>钧誉厚德量化对冲11号净值20260911.xlsx</x:v>
      </x:c>
      <x:c r="I4366" s="73" t="str">
        <x:f>""</x:f>
      </x:c>
      <x:c r="J4366" s="74" t="str">
        <x:f>""</x:f>
      </x:c>
      <x:c r="K4366" s="73" t="str">
        <x:f>""</x:f>
      </x:c>
      <x:c r="L4366" s="74" t="str">
        <x:f>""</x:f>
      </x:c>
      <x:c r="M4366" s="73" t="n">
        <x:f>MAX(M4365,F4366)</x:f>
        <x:v>1.1732</x:v>
      </x:c>
      <x:c r="N4366" s="74" t="n">
        <x:f>1-F4366/M4366</x:f>
        <x:v>0</x:v>
      </x:c>
    </x:row>
    <x:row r="4367" ht="27" customHeight="1">
      <x:c r="A4367" s="66" t="str">
        <x:v>SQN453</x:v>
      </x:c>
      <x:c r="B4367" s="66" t="str">
        <x:v>钧誉厚德量化对冲11号</x:v>
      </x:c>
      <x:c r="C4367" s="72" t="n">
        <x:v>44769</x:v>
      </x:c>
      <x:c r="D4367" s="73" t="n">
        <x:v>1.1737</x:v>
      </x:c>
      <x:c r="E4367" s="73" t="n">
        <x:v>1.1737</x:v>
      </x:c>
      <x:c r="F4367" s="73" t="n">
        <x:v>1.1737</x:v>
      </x:c>
      <x:c r="G4367" s="74" t="n">
        <x:v>0.0004</x:v>
      </x:c>
      <x:c r="H4367" s="66" t="str">
        <x:v>钧誉厚德量化对冲11号净值20260911.xlsx</x:v>
      </x:c>
      <x:c r="I4367" s="73" t="str">
        <x:f>""</x:f>
      </x:c>
      <x:c r="J4367" s="74" t="str">
        <x:f>""</x:f>
      </x:c>
      <x:c r="K4367" s="73" t="str">
        <x:f>""</x:f>
      </x:c>
      <x:c r="L4367" s="74" t="str">
        <x:f>""</x:f>
      </x:c>
      <x:c r="M4367" s="73" t="n">
        <x:f>MAX(M4366,F4367)</x:f>
        <x:v>1.1737</x:v>
      </x:c>
      <x:c r="N4367" s="74" t="n">
        <x:f>1-F4367/M4367</x:f>
        <x:v>0</x:v>
      </x:c>
    </x:row>
    <x:row r="4368" ht="27" customHeight="1">
      <x:c r="A4368" s="66" t="str">
        <x:v>SQN453</x:v>
      </x:c>
      <x:c r="B4368" s="66" t="str">
        <x:v>钧誉厚德量化对冲11号</x:v>
      </x:c>
      <x:c r="C4368" s="72" t="n">
        <x:v>44770</x:v>
      </x:c>
      <x:c r="D4368" s="73" t="n">
        <x:v>1.1733</x:v>
      </x:c>
      <x:c r="E4368" s="73" t="n">
        <x:v>1.1733</x:v>
      </x:c>
      <x:c r="F4368" s="73" t="n">
        <x:v>1.1733</x:v>
      </x:c>
      <x:c r="G4368" s="74" t="n">
        <x:v>-0.0003</x:v>
      </x:c>
      <x:c r="H4368" s="66" t="str">
        <x:v>钧誉厚德量化对冲11号净值20260911.xlsx</x:v>
      </x:c>
      <x:c r="I4368" s="73" t="str">
        <x:f>""</x:f>
      </x:c>
      <x:c r="J4368" s="74" t="str">
        <x:f>""</x:f>
      </x:c>
      <x:c r="K4368" s="73" t="str">
        <x:f>""</x:f>
      </x:c>
      <x:c r="L4368" s="74" t="str">
        <x:f>""</x:f>
      </x:c>
      <x:c r="M4368" s="73" t="n">
        <x:f>MAX(M4367,F4368)</x:f>
        <x:v>1.1737</x:v>
      </x:c>
      <x:c r="N4368" s="74" t="n">
        <x:f>1-F4368/M4368</x:f>
        <x:v>0.0003408025900996092</x:v>
      </x:c>
    </x:row>
    <x:row r="4369" ht="27" customHeight="1">
      <x:c r="A4369" s="66" t="str">
        <x:v>SQN453</x:v>
      </x:c>
      <x:c r="B4369" s="66" t="str">
        <x:v>钧誉厚德量化对冲11号</x:v>
      </x:c>
      <x:c r="C4369" s="72" t="n">
        <x:v>44771</x:v>
      </x:c>
      <x:c r="D4369" s="73" t="n">
        <x:v>1.1734</x:v>
      </x:c>
      <x:c r="E4369" s="73" t="n">
        <x:v>1.1734</x:v>
      </x:c>
      <x:c r="F4369" s="73" t="n">
        <x:v>1.1734</x:v>
      </x:c>
      <x:c r="G4369" s="74" t="n">
        <x:v>0.0001</x:v>
      </x:c>
      <x:c r="H4369" s="66" t="str">
        <x:v>钧誉厚德量化对冲11号净值20260911.xlsx</x:v>
      </x:c>
      <x:c r="I4369" s="73" t="str">
        <x:f>""</x:f>
      </x:c>
      <x:c r="J4369" s="74" t="str">
        <x:f>""</x:f>
      </x:c>
      <x:c r="K4369" s="73" t="str">
        <x:f>""</x:f>
      </x:c>
      <x:c r="L4369" s="74" t="str">
        <x:f>""</x:f>
      </x:c>
      <x:c r="M4369" s="73" t="n">
        <x:f>MAX(M4368,F4369)</x:f>
        <x:v>1.1737</x:v>
      </x:c>
      <x:c r="N4369" s="74" t="n">
        <x:f>1-F4369/M4369</x:f>
        <x:v>0.0002556019425747902</x:v>
      </x:c>
    </x:row>
    <x:row r="4370" ht="27" customHeight="1">
      <x:c r="A4370" s="66" t="str">
        <x:v>SQN453</x:v>
      </x:c>
      <x:c r="B4370" s="66" t="str">
        <x:v>钧誉厚德量化对冲11号</x:v>
      </x:c>
      <x:c r="C4370" s="72" t="n">
        <x:v>44774</x:v>
      </x:c>
      <x:c r="D4370" s="73" t="n">
        <x:v>1.1739</x:v>
      </x:c>
      <x:c r="E4370" s="73" t="n">
        <x:v>1.1739</x:v>
      </x:c>
      <x:c r="F4370" s="73" t="n">
        <x:v>1.1739</x:v>
      </x:c>
      <x:c r="G4370" s="74" t="n">
        <x:v>0.0004</x:v>
      </x:c>
      <x:c r="H4370" s="66" t="str">
        <x:v>钧誉厚德量化对冲11号净值20260911.xlsx</x:v>
      </x:c>
      <x:c r="I4370" s="73" t="str">
        <x:f>""</x:f>
      </x:c>
      <x:c r="J4370" s="74" t="str">
        <x:f>""</x:f>
      </x:c>
      <x:c r="K4370" s="73" t="str">
        <x:f>""</x:f>
      </x:c>
      <x:c r="L4370" s="74" t="str">
        <x:f>""</x:f>
      </x:c>
      <x:c r="M4370" s="73" t="n">
        <x:f>MAX(M4369,F4370)</x:f>
        <x:v>1.1739</x:v>
      </x:c>
      <x:c r="N4370" s="74" t="n">
        <x:f>1-F4370/M4370</x:f>
        <x:v>0</x:v>
      </x:c>
    </x:row>
    <x:row r="4371" ht="27" customHeight="1">
      <x:c r="A4371" s="66" t="str">
        <x:v>SQN453</x:v>
      </x:c>
      <x:c r="B4371" s="66" t="str">
        <x:v>钧誉厚德量化对冲11号</x:v>
      </x:c>
      <x:c r="C4371" s="72" t="n">
        <x:v>44775</x:v>
      </x:c>
      <x:c r="D4371" s="73" t="n">
        <x:v>1.1746</x:v>
      </x:c>
      <x:c r="E4371" s="73" t="n">
        <x:v>1.1746</x:v>
      </x:c>
      <x:c r="F4371" s="73" t="n">
        <x:v>1.1746</x:v>
      </x:c>
      <x:c r="G4371" s="74" t="n">
        <x:v>0.0006</x:v>
      </x:c>
      <x:c r="H4371" s="66" t="str">
        <x:v>钧誉厚德量化对冲11号净值20260911.xlsx</x:v>
      </x:c>
      <x:c r="I4371" s="73" t="str">
        <x:f>""</x:f>
      </x:c>
      <x:c r="J4371" s="74" t="str">
        <x:f>""</x:f>
      </x:c>
      <x:c r="K4371" s="73" t="str">
        <x:f>""</x:f>
      </x:c>
      <x:c r="L4371" s="74" t="str">
        <x:f>""</x:f>
      </x:c>
      <x:c r="M4371" s="73" t="n">
        <x:f>MAX(M4370,F4371)</x:f>
        <x:v>1.1746</x:v>
      </x:c>
      <x:c r="N4371" s="74" t="n">
        <x:f>1-F4371/M4371</x:f>
        <x:v>0</x:v>
      </x:c>
    </x:row>
    <x:row r="4372" ht="27" customHeight="1">
      <x:c r="A4372" s="66" t="str">
        <x:v>SQN453</x:v>
      </x:c>
      <x:c r="B4372" s="66" t="str">
        <x:v>钧誉厚德量化对冲11号</x:v>
      </x:c>
      <x:c r="C4372" s="72" t="n">
        <x:v>44776</x:v>
      </x:c>
      <x:c r="D4372" s="73" t="n">
        <x:v>1.1748</x:v>
      </x:c>
      <x:c r="E4372" s="73" t="n">
        <x:v>1.1748</x:v>
      </x:c>
      <x:c r="F4372" s="73" t="n">
        <x:v>1.1748</x:v>
      </x:c>
      <x:c r="G4372" s="74" t="n">
        <x:v>0.0002</x:v>
      </x:c>
      <x:c r="H4372" s="66" t="str">
        <x:v>钧誉厚德量化对冲11号净值20260911.xlsx</x:v>
      </x:c>
      <x:c r="I4372" s="73" t="str">
        <x:f>""</x:f>
      </x:c>
      <x:c r="J4372" s="74" t="str">
        <x:f>""</x:f>
      </x:c>
      <x:c r="K4372" s="73" t="str">
        <x:f>""</x:f>
      </x:c>
      <x:c r="L4372" s="74" t="str">
        <x:f>""</x:f>
      </x:c>
      <x:c r="M4372" s="73" t="n">
        <x:f>MAX(M4371,F4372)</x:f>
        <x:v>1.1748</x:v>
      </x:c>
      <x:c r="N4372" s="74" t="n">
        <x:f>1-F4372/M4372</x:f>
        <x:v>0</x:v>
      </x:c>
    </x:row>
    <x:row r="4373" ht="27" customHeight="1">
      <x:c r="A4373" s="66" t="str">
        <x:v>SQN453</x:v>
      </x:c>
      <x:c r="B4373" s="66" t="str">
        <x:v>钧誉厚德量化对冲11号</x:v>
      </x:c>
      <x:c r="C4373" s="72" t="n">
        <x:v>44777</x:v>
      </x:c>
      <x:c r="D4373" s="73" t="n">
        <x:v>1.1761</x:v>
      </x:c>
      <x:c r="E4373" s="73" t="n">
        <x:v>1.1761</x:v>
      </x:c>
      <x:c r="F4373" s="73" t="n">
        <x:v>1.1761</x:v>
      </x:c>
      <x:c r="G4373" s="74" t="n">
        <x:v>0.0011</x:v>
      </x:c>
      <x:c r="H4373" s="66" t="str">
        <x:v>钧誉厚德量化对冲11号净值20260911.xlsx</x:v>
      </x:c>
      <x:c r="I4373" s="73" t="str">
        <x:f>""</x:f>
      </x:c>
      <x:c r="J4373" s="74" t="str">
        <x:f>""</x:f>
      </x:c>
      <x:c r="K4373" s="73" t="str">
        <x:f>""</x:f>
      </x:c>
      <x:c r="L4373" s="74" t="str">
        <x:f>""</x:f>
      </x:c>
      <x:c r="M4373" s="73" t="n">
        <x:f>MAX(M4372,F4373)</x:f>
        <x:v>1.1761</x:v>
      </x:c>
      <x:c r="N4373" s="74" t="n">
        <x:f>1-F4373/M4373</x:f>
        <x:v>0</x:v>
      </x:c>
    </x:row>
    <x:row r="4374" ht="27" customHeight="1">
      <x:c r="A4374" s="66" t="str">
        <x:v>SQN453</x:v>
      </x:c>
      <x:c r="B4374" s="66" t="str">
        <x:v>钧誉厚德量化对冲11号</x:v>
      </x:c>
      <x:c r="C4374" s="72" t="n">
        <x:v>44778</x:v>
      </x:c>
      <x:c r="D4374" s="73" t="n">
        <x:v>1.1775</x:v>
      </x:c>
      <x:c r="E4374" s="73" t="n">
        <x:v>1.1775</x:v>
      </x:c>
      <x:c r="F4374" s="73" t="n">
        <x:v>1.1775</x:v>
      </x:c>
      <x:c r="G4374" s="74" t="n">
        <x:v>0.0012</x:v>
      </x:c>
      <x:c r="H4374" s="66" t="str">
        <x:v>钧誉厚德量化对冲11号净值20260911.xlsx</x:v>
      </x:c>
      <x:c r="I4374" s="73" t="str">
        <x:f>""</x:f>
      </x:c>
      <x:c r="J4374" s="74" t="str">
        <x:f>""</x:f>
      </x:c>
      <x:c r="K4374" s="73" t="str">
        <x:f>""</x:f>
      </x:c>
      <x:c r="L4374" s="74" t="str">
        <x:f>""</x:f>
      </x:c>
      <x:c r="M4374" s="73" t="n">
        <x:f>MAX(M4373,F4374)</x:f>
        <x:v>1.1775</x:v>
      </x:c>
      <x:c r="N4374" s="74" t="n">
        <x:f>1-F4374/M4374</x:f>
        <x:v>0</x:v>
      </x:c>
    </x:row>
    <x:row r="4375" ht="27" customHeight="1">
      <x:c r="A4375" s="66" t="str">
        <x:v>SQN453</x:v>
      </x:c>
      <x:c r="B4375" s="66" t="str">
        <x:v>钧誉厚德量化对冲11号</x:v>
      </x:c>
      <x:c r="C4375" s="72" t="n">
        <x:v>44781</x:v>
      </x:c>
      <x:c r="D4375" s="73" t="n">
        <x:v>1.1779</x:v>
      </x:c>
      <x:c r="E4375" s="73" t="n">
        <x:v>1.1779</x:v>
      </x:c>
      <x:c r="F4375" s="73" t="n">
        <x:v>1.1779</x:v>
      </x:c>
      <x:c r="G4375" s="74" t="n">
        <x:v>0.0003</x:v>
      </x:c>
      <x:c r="H4375" s="66" t="str">
        <x:v>钧誉厚德量化对冲11号净值20260911.xlsx</x:v>
      </x:c>
      <x:c r="I4375" s="73" t="str">
        <x:f>""</x:f>
      </x:c>
      <x:c r="J4375" s="74" t="str">
        <x:f>""</x:f>
      </x:c>
      <x:c r="K4375" s="73" t="str">
        <x:f>""</x:f>
      </x:c>
      <x:c r="L4375" s="74" t="str">
        <x:f>""</x:f>
      </x:c>
      <x:c r="M4375" s="73" t="n">
        <x:f>MAX(M4374,F4375)</x:f>
        <x:v>1.1779</x:v>
      </x:c>
      <x:c r="N4375" s="74" t="n">
        <x:f>1-F4375/M4375</x:f>
        <x:v>0</x:v>
      </x:c>
    </x:row>
    <x:row r="4376" ht="27" customHeight="1">
      <x:c r="A4376" s="66" t="str">
        <x:v>SQN453</x:v>
      </x:c>
      <x:c r="B4376" s="66" t="str">
        <x:v>钧誉厚德量化对冲11号</x:v>
      </x:c>
      <x:c r="C4376" s="72" t="n">
        <x:v>44782</x:v>
      </x:c>
      <x:c r="D4376" s="73" t="n">
        <x:v>1.1785</x:v>
      </x:c>
      <x:c r="E4376" s="73" t="n">
        <x:v>1.1785</x:v>
      </x:c>
      <x:c r="F4376" s="73" t="n">
        <x:v>1.1785</x:v>
      </x:c>
      <x:c r="G4376" s="74" t="n">
        <x:v>0.0005</x:v>
      </x:c>
      <x:c r="H4376" s="66" t="str">
        <x:v>钧誉厚德量化对冲11号净值20260911.xlsx</x:v>
      </x:c>
      <x:c r="I4376" s="73" t="str">
        <x:f>""</x:f>
      </x:c>
      <x:c r="J4376" s="74" t="str">
        <x:f>""</x:f>
      </x:c>
      <x:c r="K4376" s="73" t="str">
        <x:f>""</x:f>
      </x:c>
      <x:c r="L4376" s="74" t="str">
        <x:f>""</x:f>
      </x:c>
      <x:c r="M4376" s="73" t="n">
        <x:f>MAX(M4375,F4376)</x:f>
        <x:v>1.1785</x:v>
      </x:c>
      <x:c r="N4376" s="74" t="n">
        <x:f>1-F4376/M4376</x:f>
        <x:v>0</x:v>
      </x:c>
    </x:row>
    <x:row r="4377" ht="27" customHeight="1">
      <x:c r="A4377" s="66" t="str">
        <x:v>SQN453</x:v>
      </x:c>
      <x:c r="B4377" s="66" t="str">
        <x:v>钧誉厚德量化对冲11号</x:v>
      </x:c>
      <x:c r="C4377" s="72" t="n">
        <x:v>44783</x:v>
      </x:c>
      <x:c r="D4377" s="73" t="n">
        <x:v>1.1782</x:v>
      </x:c>
      <x:c r="E4377" s="73" t="n">
        <x:v>1.1782</x:v>
      </x:c>
      <x:c r="F4377" s="73" t="n">
        <x:v>1.1782</x:v>
      </x:c>
      <x:c r="G4377" s="74" t="n">
        <x:v>-0.0003</x:v>
      </x:c>
      <x:c r="H4377" s="66" t="str">
        <x:v>钧誉厚德量化对冲11号净值20260911.xlsx</x:v>
      </x:c>
      <x:c r="I4377" s="73" t="str">
        <x:f>""</x:f>
      </x:c>
      <x:c r="J4377" s="74" t="str">
        <x:f>""</x:f>
      </x:c>
      <x:c r="K4377" s="73" t="str">
        <x:f>""</x:f>
      </x:c>
      <x:c r="L4377" s="74" t="str">
        <x:f>""</x:f>
      </x:c>
      <x:c r="M4377" s="73" t="n">
        <x:f>MAX(M4376,F4377)</x:f>
        <x:v>1.1785</x:v>
      </x:c>
      <x:c r="N4377" s="74" t="n">
        <x:f>1-F4377/M4377</x:f>
        <x:v>0.00025456088247788333</x:v>
      </x:c>
    </x:row>
    <x:row r="4378" ht="27" customHeight="1">
      <x:c r="A4378" s="66" t="str">
        <x:v>SQN453</x:v>
      </x:c>
      <x:c r="B4378" s="66" t="str">
        <x:v>钧誉厚德量化对冲11号</x:v>
      </x:c>
      <x:c r="C4378" s="72" t="n">
        <x:v>44784</x:v>
      </x:c>
      <x:c r="D4378" s="73" t="n">
        <x:v>1.1783</x:v>
      </x:c>
      <x:c r="E4378" s="73" t="n">
        <x:v>1.1783</x:v>
      </x:c>
      <x:c r="F4378" s="73" t="n">
        <x:v>1.1783</x:v>
      </x:c>
      <x:c r="G4378" s="74" t="n">
        <x:v>0.0001</x:v>
      </x:c>
      <x:c r="H4378" s="66" t="str">
        <x:v>钧誉厚德量化对冲11号净值20260911.xlsx</x:v>
      </x:c>
      <x:c r="I4378" s="73" t="str">
        <x:f>""</x:f>
      </x:c>
      <x:c r="J4378" s="74" t="str">
        <x:f>""</x:f>
      </x:c>
      <x:c r="K4378" s="73" t="str">
        <x:f>""</x:f>
      </x:c>
      <x:c r="L4378" s="74" t="str">
        <x:f>""</x:f>
      </x:c>
      <x:c r="M4378" s="73" t="n">
        <x:f>MAX(M4377,F4378)</x:f>
        <x:v>1.1785</x:v>
      </x:c>
      <x:c r="N4378" s="74" t="n">
        <x:f>1-F4378/M4378</x:f>
        <x:v>0.00016970725498532957</x:v>
      </x:c>
    </x:row>
    <x:row r="4379" ht="27" customHeight="1">
      <x:c r="A4379" s="66" t="str">
        <x:v>SQN453</x:v>
      </x:c>
      <x:c r="B4379" s="66" t="str">
        <x:v>钧誉厚德量化对冲11号</x:v>
      </x:c>
      <x:c r="C4379" s="72" t="n">
        <x:v>44785</x:v>
      </x:c>
      <x:c r="D4379" s="73" t="n">
        <x:v>1.1785</x:v>
      </x:c>
      <x:c r="E4379" s="73" t="n">
        <x:v>1.1785</x:v>
      </x:c>
      <x:c r="F4379" s="73" t="n">
        <x:v>1.1785</x:v>
      </x:c>
      <x:c r="G4379" s="74" t="n">
        <x:v>0.0002</x:v>
      </x:c>
      <x:c r="H4379" s="66" t="str">
        <x:v>钧誉厚德量化对冲11号净值20260911.xlsx</x:v>
      </x:c>
      <x:c r="I4379" s="73" t="str">
        <x:f>""</x:f>
      </x:c>
      <x:c r="J4379" s="74" t="str">
        <x:f>""</x:f>
      </x:c>
      <x:c r="K4379" s="73" t="str">
        <x:f>""</x:f>
      </x:c>
      <x:c r="L4379" s="74" t="str">
        <x:f>""</x:f>
      </x:c>
      <x:c r="M4379" s="73" t="n">
        <x:f>MAX(M4378,F4379)</x:f>
        <x:v>1.1785</x:v>
      </x:c>
      <x:c r="N4379" s="74" t="n">
        <x:f>1-F4379/M4379</x:f>
        <x:v>0</x:v>
      </x:c>
    </x:row>
    <x:row r="4380" ht="27" customHeight="1">
      <x:c r="A4380" s="66" t="str">
        <x:v>SQN453</x:v>
      </x:c>
      <x:c r="B4380" s="66" t="str">
        <x:v>钧誉厚德量化对冲11号</x:v>
      </x:c>
      <x:c r="C4380" s="72" t="n">
        <x:v>44788</x:v>
      </x:c>
      <x:c r="D4380" s="73" t="n">
        <x:v>1.1786</x:v>
      </x:c>
      <x:c r="E4380" s="73" t="n">
        <x:v>1.1786</x:v>
      </x:c>
      <x:c r="F4380" s="73" t="n">
        <x:v>1.1786</x:v>
      </x:c>
      <x:c r="G4380" s="74" t="n">
        <x:v>0.0001</x:v>
      </x:c>
      <x:c r="H4380" s="66" t="str">
        <x:v>钧誉厚德量化对冲11号净值20260911.xlsx</x:v>
      </x:c>
      <x:c r="I4380" s="73" t="str">
        <x:f>""</x:f>
      </x:c>
      <x:c r="J4380" s="74" t="str">
        <x:f>""</x:f>
      </x:c>
      <x:c r="K4380" s="73" t="str">
        <x:f>""</x:f>
      </x:c>
      <x:c r="L4380" s="74" t="str">
        <x:f>""</x:f>
      </x:c>
      <x:c r="M4380" s="73" t="n">
        <x:f>MAX(M4379,F4380)</x:f>
        <x:v>1.1786</x:v>
      </x:c>
      <x:c r="N4380" s="74" t="n">
        <x:f>1-F4380/M4380</x:f>
        <x:v>0</x:v>
      </x:c>
    </x:row>
    <x:row r="4381" ht="27" customHeight="1">
      <x:c r="A4381" s="66" t="str">
        <x:v>SQN453</x:v>
      </x:c>
      <x:c r="B4381" s="66" t="str">
        <x:v>钧誉厚德量化对冲11号</x:v>
      </x:c>
      <x:c r="C4381" s="72" t="n">
        <x:v>44789</x:v>
      </x:c>
      <x:c r="D4381" s="73" t="n">
        <x:v>1.1789</x:v>
      </x:c>
      <x:c r="E4381" s="73" t="n">
        <x:v>1.1789</x:v>
      </x:c>
      <x:c r="F4381" s="73" t="n">
        <x:v>1.1789</x:v>
      </x:c>
      <x:c r="G4381" s="74" t="n">
        <x:v>0.0003</x:v>
      </x:c>
      <x:c r="H4381" s="66" t="str">
        <x:v>钧誉厚德量化对冲11号净值20260911.xlsx</x:v>
      </x:c>
      <x:c r="I4381" s="73" t="str">
        <x:f>""</x:f>
      </x:c>
      <x:c r="J4381" s="74" t="str">
        <x:f>""</x:f>
      </x:c>
      <x:c r="K4381" s="73" t="str">
        <x:f>""</x:f>
      </x:c>
      <x:c r="L4381" s="74" t="str">
        <x:f>""</x:f>
      </x:c>
      <x:c r="M4381" s="73" t="n">
        <x:f>MAX(M4380,F4381)</x:f>
        <x:v>1.1789</x:v>
      </x:c>
      <x:c r="N4381" s="74" t="n">
        <x:f>1-F4381/M4381</x:f>
        <x:v>0</x:v>
      </x:c>
    </x:row>
    <x:row r="4382" ht="27" customHeight="1">
      <x:c r="A4382" s="66" t="str">
        <x:v>SQN453</x:v>
      </x:c>
      <x:c r="B4382" s="66" t="str">
        <x:v>钧誉厚德量化对冲11号</x:v>
      </x:c>
      <x:c r="C4382" s="72" t="n">
        <x:v>44790</x:v>
      </x:c>
      <x:c r="D4382" s="73" t="n">
        <x:v>1.1788</x:v>
      </x:c>
      <x:c r="E4382" s="73" t="n">
        <x:v>1.1788</x:v>
      </x:c>
      <x:c r="F4382" s="73" t="n">
        <x:v>1.1788</x:v>
      </x:c>
      <x:c r="G4382" s="74" t="n">
        <x:v>-0.0001</x:v>
      </x:c>
      <x:c r="H4382" s="66" t="str">
        <x:v>钧誉厚德量化对冲11号净值20260911.xlsx</x:v>
      </x:c>
      <x:c r="I4382" s="73" t="str">
        <x:f>""</x:f>
      </x:c>
      <x:c r="J4382" s="74" t="str">
        <x:f>""</x:f>
      </x:c>
      <x:c r="K4382" s="73" t="str">
        <x:f>""</x:f>
      </x:c>
      <x:c r="L4382" s="74" t="str">
        <x:f>""</x:f>
      </x:c>
      <x:c r="M4382" s="73" t="n">
        <x:f>MAX(M4381,F4382)</x:f>
        <x:v>1.1789</x:v>
      </x:c>
      <x:c r="N4382" s="74" t="n">
        <x:f>1-F4382/M4382</x:f>
        <x:v>0.00008482483671212737</x:v>
      </x:c>
    </x:row>
    <x:row r="4383" ht="27" customHeight="1">
      <x:c r="A4383" s="66" t="str">
        <x:v>SQN453</x:v>
      </x:c>
      <x:c r="B4383" s="66" t="str">
        <x:v>钧誉厚德量化对冲11号</x:v>
      </x:c>
      <x:c r="C4383" s="72" t="n">
        <x:v>44791</x:v>
      </x:c>
      <x:c r="D4383" s="73" t="n">
        <x:v>1.1802</x:v>
      </x:c>
      <x:c r="E4383" s="73" t="n">
        <x:v>1.1802</x:v>
      </x:c>
      <x:c r="F4383" s="73" t="n">
        <x:v>1.1802</x:v>
      </x:c>
      <x:c r="G4383" s="74" t="n">
        <x:v>0.0012</x:v>
      </x:c>
      <x:c r="H4383" s="66" t="str">
        <x:v>钧誉厚德量化对冲11号净值20260911.xlsx</x:v>
      </x:c>
      <x:c r="I4383" s="73" t="str">
        <x:f>""</x:f>
      </x:c>
      <x:c r="J4383" s="74" t="str">
        <x:f>""</x:f>
      </x:c>
      <x:c r="K4383" s="73" t="str">
        <x:f>""</x:f>
      </x:c>
      <x:c r="L4383" s="74" t="str">
        <x:f>""</x:f>
      </x:c>
      <x:c r="M4383" s="73" t="n">
        <x:f>MAX(M4382,F4383)</x:f>
        <x:v>1.1802</x:v>
      </x:c>
      <x:c r="N4383" s="74" t="n">
        <x:f>1-F4383/M4383</x:f>
        <x:v>0</x:v>
      </x:c>
    </x:row>
    <x:row r="4384" ht="27" customHeight="1">
      <x:c r="A4384" s="66" t="str">
        <x:v>SQN453</x:v>
      </x:c>
      <x:c r="B4384" s="66" t="str">
        <x:v>钧誉厚德量化对冲11号</x:v>
      </x:c>
      <x:c r="C4384" s="72" t="n">
        <x:v>44792</x:v>
      </x:c>
      <x:c r="D4384" s="73" t="n">
        <x:v>1.1808</x:v>
      </x:c>
      <x:c r="E4384" s="73" t="n">
        <x:v>1.1808</x:v>
      </x:c>
      <x:c r="F4384" s="73" t="n">
        <x:v>1.1808</x:v>
      </x:c>
      <x:c r="G4384" s="74" t="n">
        <x:v>0.0005</x:v>
      </x:c>
      <x:c r="H4384" s="66" t="str">
        <x:v>钧誉厚德量化对冲11号净值20260911.xlsx</x:v>
      </x:c>
      <x:c r="I4384" s="73" t="str">
        <x:f>""</x:f>
      </x:c>
      <x:c r="J4384" s="74" t="str">
        <x:f>""</x:f>
      </x:c>
      <x:c r="K4384" s="73" t="str">
        <x:f>""</x:f>
      </x:c>
      <x:c r="L4384" s="74" t="str">
        <x:f>""</x:f>
      </x:c>
      <x:c r="M4384" s="73" t="n">
        <x:f>MAX(M4383,F4384)</x:f>
        <x:v>1.1808</x:v>
      </x:c>
      <x:c r="N4384" s="74" t="n">
        <x:f>1-F4384/M4384</x:f>
        <x:v>0</x:v>
      </x:c>
    </x:row>
    <x:row r="4385" ht="27" customHeight="1">
      <x:c r="A4385" s="66" t="str">
        <x:v>SQN453</x:v>
      </x:c>
      <x:c r="B4385" s="66" t="str">
        <x:v>钧誉厚德量化对冲11号</x:v>
      </x:c>
      <x:c r="C4385" s="72" t="n">
        <x:v>44795</x:v>
      </x:c>
      <x:c r="D4385" s="73" t="n">
        <x:v>1.1809</x:v>
      </x:c>
      <x:c r="E4385" s="73" t="n">
        <x:v>1.1809</x:v>
      </x:c>
      <x:c r="F4385" s="73" t="n">
        <x:v>1.1809</x:v>
      </x:c>
      <x:c r="G4385" s="74" t="n">
        <x:v>0.0001</x:v>
      </x:c>
      <x:c r="H4385" s="66" t="str">
        <x:v>钧誉厚德量化对冲11号净值20260911.xlsx</x:v>
      </x:c>
      <x:c r="I4385" s="73" t="str">
        <x:f>""</x:f>
      </x:c>
      <x:c r="J4385" s="74" t="str">
        <x:f>""</x:f>
      </x:c>
      <x:c r="K4385" s="73" t="str">
        <x:f>""</x:f>
      </x:c>
      <x:c r="L4385" s="74" t="str">
        <x:f>""</x:f>
      </x:c>
      <x:c r="M4385" s="73" t="n">
        <x:f>MAX(M4384,F4385)</x:f>
        <x:v>1.1809</x:v>
      </x:c>
      <x:c r="N4385" s="74" t="n">
        <x:f>1-F4385/M4385</x:f>
        <x:v>0</x:v>
      </x:c>
    </x:row>
    <x:row r="4386" ht="27" customHeight="1">
      <x:c r="A4386" s="66" t="str">
        <x:v>SQN453</x:v>
      </x:c>
      <x:c r="B4386" s="66" t="str">
        <x:v>钧誉厚德量化对冲11号</x:v>
      </x:c>
      <x:c r="C4386" s="72" t="n">
        <x:v>44796</x:v>
      </x:c>
      <x:c r="D4386" s="73" t="n">
        <x:v>1.1815</x:v>
      </x:c>
      <x:c r="E4386" s="73" t="n">
        <x:v>1.1815</x:v>
      </x:c>
      <x:c r="F4386" s="73" t="n">
        <x:v>1.1815</x:v>
      </x:c>
      <x:c r="G4386" s="74" t="n">
        <x:v>0.0005</x:v>
      </x:c>
      <x:c r="H4386" s="66" t="str">
        <x:v>钧誉厚德量化对冲11号净值20260911.xlsx</x:v>
      </x:c>
      <x:c r="I4386" s="73" t="str">
        <x:f>""</x:f>
      </x:c>
      <x:c r="J4386" s="74" t="str">
        <x:f>""</x:f>
      </x:c>
      <x:c r="K4386" s="73" t="str">
        <x:f>""</x:f>
      </x:c>
      <x:c r="L4386" s="74" t="str">
        <x:f>""</x:f>
      </x:c>
      <x:c r="M4386" s="73" t="n">
        <x:f>MAX(M4385,F4386)</x:f>
        <x:v>1.1815</x:v>
      </x:c>
      <x:c r="N4386" s="74" t="n">
        <x:f>1-F4386/M4386</x:f>
        <x:v>0</x:v>
      </x:c>
    </x:row>
    <x:row r="4387" ht="27" customHeight="1">
      <x:c r="A4387" s="66" t="str">
        <x:v>SQN453</x:v>
      </x:c>
      <x:c r="B4387" s="66" t="str">
        <x:v>钧誉厚德量化对冲11号</x:v>
      </x:c>
      <x:c r="C4387" s="72" t="n">
        <x:v>44797</x:v>
      </x:c>
      <x:c r="D4387" s="73" t="n">
        <x:v>1.1815</x:v>
      </x:c>
      <x:c r="E4387" s="73" t="n">
        <x:v>1.1815</x:v>
      </x:c>
      <x:c r="F4387" s="73" t="n">
        <x:v>1.1815</x:v>
      </x:c>
      <x:c r="G4387" s="74" t="n">
        <x:v>0</x:v>
      </x:c>
      <x:c r="H4387" s="66" t="str">
        <x:v>钧誉厚德量化对冲11号净值20260911.xlsx</x:v>
      </x:c>
      <x:c r="I4387" s="73" t="str">
        <x:f>""</x:f>
      </x:c>
      <x:c r="J4387" s="74" t="str">
        <x:f>""</x:f>
      </x:c>
      <x:c r="K4387" s="73" t="str">
        <x:f>""</x:f>
      </x:c>
      <x:c r="L4387" s="74" t="str">
        <x:f>""</x:f>
      </x:c>
      <x:c r="M4387" s="73" t="n">
        <x:f>MAX(M4386,F4387)</x:f>
        <x:v>1.1815</x:v>
      </x:c>
      <x:c r="N4387" s="74" t="n">
        <x:f>1-F4387/M4387</x:f>
        <x:v>0</x:v>
      </x:c>
    </x:row>
    <x:row r="4388" ht="27" customHeight="1">
      <x:c r="A4388" s="66" t="str">
        <x:v>SQN453</x:v>
      </x:c>
      <x:c r="B4388" s="66" t="str">
        <x:v>钧誉厚德量化对冲11号</x:v>
      </x:c>
      <x:c r="C4388" s="72" t="n">
        <x:v>44798</x:v>
      </x:c>
      <x:c r="D4388" s="73" t="n">
        <x:v>1.1815</x:v>
      </x:c>
      <x:c r="E4388" s="73" t="n">
        <x:v>1.1815</x:v>
      </x:c>
      <x:c r="F4388" s="73" t="n">
        <x:v>1.1815</x:v>
      </x:c>
      <x:c r="G4388" s="74" t="n">
        <x:v>0</x:v>
      </x:c>
      <x:c r="H4388" s="66" t="str">
        <x:v>钧誉厚德量化对冲11号净值20260911.xlsx</x:v>
      </x:c>
      <x:c r="I4388" s="73" t="str">
        <x:f>""</x:f>
      </x:c>
      <x:c r="J4388" s="74" t="str">
        <x:f>""</x:f>
      </x:c>
      <x:c r="K4388" s="73" t="str">
        <x:f>""</x:f>
      </x:c>
      <x:c r="L4388" s="74" t="str">
        <x:f>""</x:f>
      </x:c>
      <x:c r="M4388" s="73" t="n">
        <x:f>MAX(M4387,F4388)</x:f>
        <x:v>1.1815</x:v>
      </x:c>
      <x:c r="N4388" s="74" t="n">
        <x:f>1-F4388/M4388</x:f>
        <x:v>0</x:v>
      </x:c>
    </x:row>
    <x:row r="4389" ht="27" customHeight="1">
      <x:c r="A4389" s="66" t="str">
        <x:v>SQN453</x:v>
      </x:c>
      <x:c r="B4389" s="66" t="str">
        <x:v>钧誉厚德量化对冲11号</x:v>
      </x:c>
      <x:c r="C4389" s="72" t="n">
        <x:v>44799</x:v>
      </x:c>
      <x:c r="D4389" s="73" t="n">
        <x:v>1.1819</x:v>
      </x:c>
      <x:c r="E4389" s="73" t="n">
        <x:v>1.1819</x:v>
      </x:c>
      <x:c r="F4389" s="73" t="n">
        <x:v>1.1819</x:v>
      </x:c>
      <x:c r="G4389" s="74" t="n">
        <x:v>0.0003</x:v>
      </x:c>
      <x:c r="H4389" s="66" t="str">
        <x:v>钧誉厚德量化对冲11号净值20260911.xlsx</x:v>
      </x:c>
      <x:c r="I4389" s="73" t="str">
        <x:f>""</x:f>
      </x:c>
      <x:c r="J4389" s="74" t="str">
        <x:f>""</x:f>
      </x:c>
      <x:c r="K4389" s="73" t="str">
        <x:f>""</x:f>
      </x:c>
      <x:c r="L4389" s="74" t="str">
        <x:f>""</x:f>
      </x:c>
      <x:c r="M4389" s="73" t="n">
        <x:f>MAX(M4388,F4389)</x:f>
        <x:v>1.1819</x:v>
      </x:c>
      <x:c r="N4389" s="74" t="n">
        <x:f>1-F4389/M4389</x:f>
        <x:v>0</x:v>
      </x:c>
    </x:row>
    <x:row r="4390" ht="27" customHeight="1">
      <x:c r="A4390" s="66" t="str">
        <x:v>SQN453</x:v>
      </x:c>
      <x:c r="B4390" s="66" t="str">
        <x:v>钧誉厚德量化对冲11号</x:v>
      </x:c>
      <x:c r="C4390" s="72" t="n">
        <x:v>44802</x:v>
      </x:c>
      <x:c r="D4390" s="73" t="n">
        <x:v>1.182</x:v>
      </x:c>
      <x:c r="E4390" s="73" t="n">
        <x:v>1.182</x:v>
      </x:c>
      <x:c r="F4390" s="73" t="n">
        <x:v>1.182</x:v>
      </x:c>
      <x:c r="G4390" s="74" t="n">
        <x:v>0.0001</x:v>
      </x:c>
      <x:c r="H4390" s="66" t="str">
        <x:v>钧誉厚德量化对冲11号净值20260911.xlsx</x:v>
      </x:c>
      <x:c r="I4390" s="73" t="str">
        <x:f>""</x:f>
      </x:c>
      <x:c r="J4390" s="74" t="str">
        <x:f>""</x:f>
      </x:c>
      <x:c r="K4390" s="73" t="str">
        <x:f>""</x:f>
      </x:c>
      <x:c r="L4390" s="74" t="str">
        <x:f>""</x:f>
      </x:c>
      <x:c r="M4390" s="73" t="n">
        <x:f>MAX(M4389,F4390)</x:f>
        <x:v>1.182</x:v>
      </x:c>
      <x:c r="N4390" s="74" t="n">
        <x:f>1-F4390/M4390</x:f>
        <x:v>0</x:v>
      </x:c>
    </x:row>
    <x:row r="4391" ht="27" customHeight="1">
      <x:c r="A4391" s="66" t="str">
        <x:v>SQN453</x:v>
      </x:c>
      <x:c r="B4391" s="66" t="str">
        <x:v>钧誉厚德量化对冲11号</x:v>
      </x:c>
      <x:c r="C4391" s="72" t="n">
        <x:v>44803</x:v>
      </x:c>
      <x:c r="D4391" s="73" t="n">
        <x:v>1.1827</x:v>
      </x:c>
      <x:c r="E4391" s="73" t="n">
        <x:v>1.1827</x:v>
      </x:c>
      <x:c r="F4391" s="73" t="n">
        <x:v>1.1827</x:v>
      </x:c>
      <x:c r="G4391" s="74" t="n">
        <x:v>0.0006</x:v>
      </x:c>
      <x:c r="H4391" s="66" t="str">
        <x:v>钧誉厚德量化对冲11号净值20260911.xlsx</x:v>
      </x:c>
      <x:c r="I4391" s="73" t="str">
        <x:f>""</x:f>
      </x:c>
      <x:c r="J4391" s="74" t="str">
        <x:f>""</x:f>
      </x:c>
      <x:c r="K4391" s="73" t="str">
        <x:f>""</x:f>
      </x:c>
      <x:c r="L4391" s="74" t="str">
        <x:f>""</x:f>
      </x:c>
      <x:c r="M4391" s="73" t="n">
        <x:f>MAX(M4390,F4391)</x:f>
        <x:v>1.1827</x:v>
      </x:c>
      <x:c r="N4391" s="74" t="n">
        <x:f>1-F4391/M4391</x:f>
        <x:v>0</x:v>
      </x:c>
    </x:row>
    <x:row r="4392" ht="27" customHeight="1">
      <x:c r="A4392" s="66" t="str">
        <x:v>SQN453</x:v>
      </x:c>
      <x:c r="B4392" s="66" t="str">
        <x:v>钧誉厚德量化对冲11号</x:v>
      </x:c>
      <x:c r="C4392" s="72" t="n">
        <x:v>44804</x:v>
      </x:c>
      <x:c r="D4392" s="73" t="n">
        <x:v>1.1827</x:v>
      </x:c>
      <x:c r="E4392" s="73" t="n">
        <x:v>1.1827</x:v>
      </x:c>
      <x:c r="F4392" s="73" t="n">
        <x:v>1.1827</x:v>
      </x:c>
      <x:c r="G4392" s="74" t="n">
        <x:v>0</x:v>
      </x:c>
      <x:c r="H4392" s="66" t="str">
        <x:v>钧誉厚德量化对冲11号净值20260911.xlsx</x:v>
      </x:c>
      <x:c r="I4392" s="73" t="str">
        <x:f>""</x:f>
      </x:c>
      <x:c r="J4392" s="74" t="str">
        <x:f>""</x:f>
      </x:c>
      <x:c r="K4392" s="73" t="str">
        <x:f>""</x:f>
      </x:c>
      <x:c r="L4392" s="74" t="str">
        <x:f>""</x:f>
      </x:c>
      <x:c r="M4392" s="73" t="n">
        <x:f>MAX(M4391,F4392)</x:f>
        <x:v>1.1827</x:v>
      </x:c>
      <x:c r="N4392" s="74" t="n">
        <x:f>1-F4392/M4392</x:f>
        <x:v>0</x:v>
      </x:c>
    </x:row>
    <x:row r="4393" ht="27" customHeight="1">
      <x:c r="A4393" s="66" t="str">
        <x:v>SQN453</x:v>
      </x:c>
      <x:c r="B4393" s="66" t="str">
        <x:v>钧誉厚德量化对冲11号</x:v>
      </x:c>
      <x:c r="C4393" s="72" t="n">
        <x:v>44805</x:v>
      </x:c>
      <x:c r="D4393" s="73" t="n">
        <x:v>1.1829</x:v>
      </x:c>
      <x:c r="E4393" s="73" t="n">
        <x:v>1.1829</x:v>
      </x:c>
      <x:c r="F4393" s="73" t="n">
        <x:v>1.1829</x:v>
      </x:c>
      <x:c r="G4393" s="74" t="n">
        <x:v>0.0002</x:v>
      </x:c>
      <x:c r="H4393" s="66" t="str">
        <x:v>钧誉厚德量化对冲11号净值20260911.xlsx</x:v>
      </x:c>
      <x:c r="I4393" s="73" t="str">
        <x:f>""</x:f>
      </x:c>
      <x:c r="J4393" s="74" t="str">
        <x:f>""</x:f>
      </x:c>
      <x:c r="K4393" s="73" t="str">
        <x:f>""</x:f>
      </x:c>
      <x:c r="L4393" s="74" t="str">
        <x:f>""</x:f>
      </x:c>
      <x:c r="M4393" s="73" t="n">
        <x:f>MAX(M4392,F4393)</x:f>
        <x:v>1.1829</x:v>
      </x:c>
      <x:c r="N4393" s="74" t="n">
        <x:f>1-F4393/M4393</x:f>
        <x:v>0</x:v>
      </x:c>
    </x:row>
    <x:row r="4394" ht="27" customHeight="1">
      <x:c r="A4394" s="66" t="str">
        <x:v>SQN453</x:v>
      </x:c>
      <x:c r="B4394" s="66" t="str">
        <x:v>钧誉厚德量化对冲11号</x:v>
      </x:c>
      <x:c r="C4394" s="72" t="n">
        <x:v>44806</x:v>
      </x:c>
      <x:c r="D4394" s="73" t="n">
        <x:v>1.1831</x:v>
      </x:c>
      <x:c r="E4394" s="73" t="n">
        <x:v>1.1831</x:v>
      </x:c>
      <x:c r="F4394" s="73" t="n">
        <x:v>1.1831</x:v>
      </x:c>
      <x:c r="G4394" s="74" t="n">
        <x:v>0.0002</x:v>
      </x:c>
      <x:c r="H4394" s="66" t="str">
        <x:v>钧誉厚德量化对冲11号净值20260911.xlsx</x:v>
      </x:c>
      <x:c r="I4394" s="73" t="str">
        <x:f>""</x:f>
      </x:c>
      <x:c r="J4394" s="74" t="str">
        <x:f>""</x:f>
      </x:c>
      <x:c r="K4394" s="73" t="str">
        <x:f>""</x:f>
      </x:c>
      <x:c r="L4394" s="74" t="str">
        <x:f>""</x:f>
      </x:c>
      <x:c r="M4394" s="73" t="n">
        <x:f>MAX(M4393,F4394)</x:f>
        <x:v>1.1831</x:v>
      </x:c>
      <x:c r="N4394" s="74" t="n">
        <x:f>1-F4394/M4394</x:f>
        <x:v>0</x:v>
      </x:c>
    </x:row>
    <x:row r="4395" ht="27" customHeight="1">
      <x:c r="A4395" s="66" t="str">
        <x:v>SQN453</x:v>
      </x:c>
      <x:c r="B4395" s="66" t="str">
        <x:v>钧誉厚德量化对冲11号</x:v>
      </x:c>
      <x:c r="C4395" s="72" t="n">
        <x:v>44809</x:v>
      </x:c>
      <x:c r="D4395" s="73" t="n">
        <x:v>1.1832</x:v>
      </x:c>
      <x:c r="E4395" s="73" t="n">
        <x:v>1.1832</x:v>
      </x:c>
      <x:c r="F4395" s="73" t="n">
        <x:v>1.1832</x:v>
      </x:c>
      <x:c r="G4395" s="74" t="n">
        <x:v>0.0001</x:v>
      </x:c>
      <x:c r="H4395" s="66" t="str">
        <x:v>钧誉厚德量化对冲11号净值20260911.xlsx</x:v>
      </x:c>
      <x:c r="I4395" s="73" t="str">
        <x:f>""</x:f>
      </x:c>
      <x:c r="J4395" s="74" t="str">
        <x:f>""</x:f>
      </x:c>
      <x:c r="K4395" s="73" t="str">
        <x:f>""</x:f>
      </x:c>
      <x:c r="L4395" s="74" t="str">
        <x:f>""</x:f>
      </x:c>
      <x:c r="M4395" s="73" t="n">
        <x:f>MAX(M4394,F4395)</x:f>
        <x:v>1.1832</x:v>
      </x:c>
      <x:c r="N4395" s="74" t="n">
        <x:f>1-F4395/M4395</x:f>
        <x:v>0</x:v>
      </x:c>
    </x:row>
    <x:row r="4396" ht="27" customHeight="1">
      <x:c r="A4396" s="66" t="str">
        <x:v>SQN453</x:v>
      </x:c>
      <x:c r="B4396" s="66" t="str">
        <x:v>钧誉厚德量化对冲11号</x:v>
      </x:c>
      <x:c r="C4396" s="72" t="n">
        <x:v>44810</x:v>
      </x:c>
      <x:c r="D4396" s="73" t="n">
        <x:v>1.1833</x:v>
      </x:c>
      <x:c r="E4396" s="73" t="n">
        <x:v>1.1833</x:v>
      </x:c>
      <x:c r="F4396" s="73" t="n">
        <x:v>1.1833</x:v>
      </x:c>
      <x:c r="G4396" s="74" t="n">
        <x:v>0.0001</x:v>
      </x:c>
      <x:c r="H4396" s="66" t="str">
        <x:v>钧誉厚德量化对冲11号净值20260911.xlsx</x:v>
      </x:c>
      <x:c r="I4396" s="73" t="str">
        <x:f>""</x:f>
      </x:c>
      <x:c r="J4396" s="74" t="str">
        <x:f>""</x:f>
      </x:c>
      <x:c r="K4396" s="73" t="str">
        <x:f>""</x:f>
      </x:c>
      <x:c r="L4396" s="74" t="str">
        <x:f>""</x:f>
      </x:c>
      <x:c r="M4396" s="73" t="n">
        <x:f>MAX(M4395,F4396)</x:f>
        <x:v>1.1833</x:v>
      </x:c>
      <x:c r="N4396" s="74" t="n">
        <x:f>1-F4396/M4396</x:f>
        <x:v>0</x:v>
      </x:c>
    </x:row>
    <x:row r="4397" ht="27" customHeight="1">
      <x:c r="A4397" s="66" t="str">
        <x:v>SQN453</x:v>
      </x:c>
      <x:c r="B4397" s="66" t="str">
        <x:v>钧誉厚德量化对冲11号</x:v>
      </x:c>
      <x:c r="C4397" s="72" t="n">
        <x:v>44811</x:v>
      </x:c>
      <x:c r="D4397" s="73" t="n">
        <x:v>1.1838</x:v>
      </x:c>
      <x:c r="E4397" s="73" t="n">
        <x:v>1.1838</x:v>
      </x:c>
      <x:c r="F4397" s="73" t="n">
        <x:v>1.1838</x:v>
      </x:c>
      <x:c r="G4397" s="74" t="n">
        <x:v>0.0004</x:v>
      </x:c>
      <x:c r="H4397" s="66" t="str">
        <x:v>钧誉厚德量化对冲11号净值20260911.xlsx</x:v>
      </x:c>
      <x:c r="I4397" s="73" t="str">
        <x:f>""</x:f>
      </x:c>
      <x:c r="J4397" s="74" t="str">
        <x:f>""</x:f>
      </x:c>
      <x:c r="K4397" s="73" t="str">
        <x:f>""</x:f>
      </x:c>
      <x:c r="L4397" s="74" t="str">
        <x:f>""</x:f>
      </x:c>
      <x:c r="M4397" s="73" t="n">
        <x:f>MAX(M4396,F4397)</x:f>
        <x:v>1.1838</x:v>
      </x:c>
      <x:c r="N4397" s="74" t="n">
        <x:f>1-F4397/M4397</x:f>
        <x:v>0</x:v>
      </x:c>
    </x:row>
    <x:row r="4398" ht="27" customHeight="1">
      <x:c r="A4398" s="66" t="str">
        <x:v>SQN453</x:v>
      </x:c>
      <x:c r="B4398" s="66" t="str">
        <x:v>钧誉厚德量化对冲11号</x:v>
      </x:c>
      <x:c r="C4398" s="72" t="n">
        <x:v>44812</x:v>
      </x:c>
      <x:c r="D4398" s="73" t="n">
        <x:v>1.1838</x:v>
      </x:c>
      <x:c r="E4398" s="73" t="n">
        <x:v>1.1838</x:v>
      </x:c>
      <x:c r="F4398" s="73" t="n">
        <x:v>1.1838</x:v>
      </x:c>
      <x:c r="G4398" s="74" t="n">
        <x:v>0</x:v>
      </x:c>
      <x:c r="H4398" s="66" t="str">
        <x:v>钧誉厚德量化对冲11号净值20260911.xlsx</x:v>
      </x:c>
      <x:c r="I4398" s="73" t="str">
        <x:f>""</x:f>
      </x:c>
      <x:c r="J4398" s="74" t="str">
        <x:f>""</x:f>
      </x:c>
      <x:c r="K4398" s="73" t="str">
        <x:f>""</x:f>
      </x:c>
      <x:c r="L4398" s="74" t="str">
        <x:f>""</x:f>
      </x:c>
      <x:c r="M4398" s="73" t="n">
        <x:f>MAX(M4397,F4398)</x:f>
        <x:v>1.1838</x:v>
      </x:c>
      <x:c r="N4398" s="74" t="n">
        <x:f>1-F4398/M4398</x:f>
        <x:v>0</x:v>
      </x:c>
    </x:row>
    <x:row r="4399" ht="27" customHeight="1">
      <x:c r="A4399" s="66" t="str">
        <x:v>SQN453</x:v>
      </x:c>
      <x:c r="B4399" s="66" t="str">
        <x:v>钧誉厚德量化对冲11号</x:v>
      </x:c>
      <x:c r="C4399" s="72" t="n">
        <x:v>44813</x:v>
      </x:c>
      <x:c r="D4399" s="73" t="n">
        <x:v>1.1839</x:v>
      </x:c>
      <x:c r="E4399" s="73" t="n">
        <x:v>1.1839</x:v>
      </x:c>
      <x:c r="F4399" s="73" t="n">
        <x:v>1.1839</x:v>
      </x:c>
      <x:c r="G4399" s="74" t="n">
        <x:v>0.0001</x:v>
      </x:c>
      <x:c r="H4399" s="66" t="str">
        <x:v>钧誉厚德量化对冲11号净值20260911.xlsx</x:v>
      </x:c>
      <x:c r="I4399" s="73" t="str">
        <x:f>""</x:f>
      </x:c>
      <x:c r="J4399" s="74" t="str">
        <x:f>""</x:f>
      </x:c>
      <x:c r="K4399" s="73" t="str">
        <x:f>""</x:f>
      </x:c>
      <x:c r="L4399" s="74" t="str">
        <x:f>""</x:f>
      </x:c>
      <x:c r="M4399" s="73" t="n">
        <x:f>MAX(M4398,F4399)</x:f>
        <x:v>1.1839</x:v>
      </x:c>
      <x:c r="N4399" s="74" t="n">
        <x:f>1-F4399/M4399</x:f>
        <x:v>0</x:v>
      </x:c>
    </x:row>
    <x:row r="4400" ht="27" customHeight="1">
      <x:c r="A4400" s="66" t="str">
        <x:v>SQN453</x:v>
      </x:c>
      <x:c r="B4400" s="66" t="str">
        <x:v>钧誉厚德量化对冲11号</x:v>
      </x:c>
      <x:c r="C4400" s="72" t="n">
        <x:v>44817</x:v>
      </x:c>
      <x:c r="D4400" s="73" t="n">
        <x:v>1.1842</x:v>
      </x:c>
      <x:c r="E4400" s="73" t="n">
        <x:v>1.1842</x:v>
      </x:c>
      <x:c r="F4400" s="73" t="n">
        <x:v>1.1842</x:v>
      </x:c>
      <x:c r="G4400" s="74" t="n">
        <x:v>0.0003</x:v>
      </x:c>
      <x:c r="H4400" s="66" t="str">
        <x:v>钧誉厚德量化对冲11号净值20260911.xlsx</x:v>
      </x:c>
      <x:c r="I4400" s="73" t="str">
        <x:f>""</x:f>
      </x:c>
      <x:c r="J4400" s="74" t="str">
        <x:f>""</x:f>
      </x:c>
      <x:c r="K4400" s="73" t="str">
        <x:f>""</x:f>
      </x:c>
      <x:c r="L4400" s="74" t="str">
        <x:f>""</x:f>
      </x:c>
      <x:c r="M4400" s="73" t="n">
        <x:f>MAX(M4399,F4400)</x:f>
        <x:v>1.1842</x:v>
      </x:c>
      <x:c r="N4400" s="74" t="n">
        <x:f>1-F4400/M4400</x:f>
        <x:v>0</x:v>
      </x:c>
    </x:row>
    <x:row r="4401" ht="27" customHeight="1">
      <x:c r="A4401" s="66" t="str">
        <x:v>SQN453</x:v>
      </x:c>
      <x:c r="B4401" s="66" t="str">
        <x:v>钧誉厚德量化对冲11号</x:v>
      </x:c>
      <x:c r="C4401" s="72" t="n">
        <x:v>44818</x:v>
      </x:c>
      <x:c r="D4401" s="73" t="n">
        <x:v>1.184</x:v>
      </x:c>
      <x:c r="E4401" s="73" t="n">
        <x:v>1.184</x:v>
      </x:c>
      <x:c r="F4401" s="73" t="n">
        <x:v>1.184</x:v>
      </x:c>
      <x:c r="G4401" s="74" t="n">
        <x:v>-0.0002</x:v>
      </x:c>
      <x:c r="H4401" s="66" t="str">
        <x:v>钧誉厚德量化对冲11号净值20260911.xlsx</x:v>
      </x:c>
      <x:c r="I4401" s="73" t="str">
        <x:f>""</x:f>
      </x:c>
      <x:c r="J4401" s="74" t="str">
        <x:f>""</x:f>
      </x:c>
      <x:c r="K4401" s="73" t="str">
        <x:f>""</x:f>
      </x:c>
      <x:c r="L4401" s="74" t="str">
        <x:f>""</x:f>
      </x:c>
      <x:c r="M4401" s="73" t="n">
        <x:f>MAX(M4400,F4401)</x:f>
        <x:v>1.1842</x:v>
      </x:c>
      <x:c r="N4401" s="74" t="n">
        <x:f>1-F4401/M4401</x:f>
        <x:v>0.00016889039013678886</x:v>
      </x:c>
    </x:row>
    <x:row r="4402" ht="27" customHeight="1">
      <x:c r="A4402" s="66" t="str">
        <x:v>SQN453</x:v>
      </x:c>
      <x:c r="B4402" s="66" t="str">
        <x:v>钧誉厚德量化对冲11号</x:v>
      </x:c>
      <x:c r="C4402" s="72" t="n">
        <x:v>44819</x:v>
      </x:c>
      <x:c r="D4402" s="73" t="n">
        <x:v>1.1841</x:v>
      </x:c>
      <x:c r="E4402" s="73" t="n">
        <x:v>1.1841</x:v>
      </x:c>
      <x:c r="F4402" s="73" t="n">
        <x:v>1.1841</x:v>
      </x:c>
      <x:c r="G4402" s="74" t="n">
        <x:v>0.0001</x:v>
      </x:c>
      <x:c r="H4402" s="66" t="str">
        <x:v>钧誉厚德量化对冲11号净值20260911.xlsx</x:v>
      </x:c>
      <x:c r="I4402" s="73" t="str">
        <x:f>""</x:f>
      </x:c>
      <x:c r="J4402" s="74" t="str">
        <x:f>""</x:f>
      </x:c>
      <x:c r="K4402" s="73" t="str">
        <x:f>""</x:f>
      </x:c>
      <x:c r="L4402" s="74" t="str">
        <x:f>""</x:f>
      </x:c>
      <x:c r="M4402" s="73" t="n">
        <x:f>MAX(M4401,F4402)</x:f>
        <x:v>1.1842</x:v>
      </x:c>
      <x:c r="N4402" s="74" t="n">
        <x:f>1-F4402/M4402</x:f>
        <x:v>0.00008444519506833892</x:v>
      </x:c>
    </x:row>
    <x:row r="4403" ht="27" customHeight="1">
      <x:c r="A4403" s="66" t="str">
        <x:v>SQN453</x:v>
      </x:c>
      <x:c r="B4403" s="66" t="str">
        <x:v>钧誉厚德量化对冲11号</x:v>
      </x:c>
      <x:c r="C4403" s="72" t="n">
        <x:v>44820</x:v>
      </x:c>
      <x:c r="D4403" s="73" t="n">
        <x:v>1.1836</x:v>
      </x:c>
      <x:c r="E4403" s="73" t="n">
        <x:v>1.1836</x:v>
      </x:c>
      <x:c r="F4403" s="73" t="n">
        <x:v>1.1836</x:v>
      </x:c>
      <x:c r="G4403" s="74" t="n">
        <x:v>-0.0004</x:v>
      </x:c>
      <x:c r="H4403" s="66" t="str">
        <x:v>钧誉厚德量化对冲11号净值20260911.xlsx</x:v>
      </x:c>
      <x:c r="I4403" s="73" t="str">
        <x:f>""</x:f>
      </x:c>
      <x:c r="J4403" s="74" t="str">
        <x:f>""</x:f>
      </x:c>
      <x:c r="K4403" s="73" t="str">
        <x:f>""</x:f>
      </x:c>
      <x:c r="L4403" s="74" t="str">
        <x:f>""</x:f>
      </x:c>
      <x:c r="M4403" s="73" t="n">
        <x:f>MAX(M4402,F4403)</x:f>
        <x:v>1.1842</x:v>
      </x:c>
      <x:c r="N4403" s="74" t="n">
        <x:f>1-F4403/M4403</x:f>
        <x:v>0.0005066711704103666</x:v>
      </x:c>
    </x:row>
    <x:row r="4404" ht="27" customHeight="1">
      <x:c r="A4404" s="66" t="str">
        <x:v>SQN453</x:v>
      </x:c>
      <x:c r="B4404" s="66" t="str">
        <x:v>钧誉厚德量化对冲11号</x:v>
      </x:c>
      <x:c r="C4404" s="72" t="n">
        <x:v>44823</x:v>
      </x:c>
      <x:c r="D4404" s="73" t="n">
        <x:v>1.1837</x:v>
      </x:c>
      <x:c r="E4404" s="73" t="n">
        <x:v>1.1837</x:v>
      </x:c>
      <x:c r="F4404" s="73" t="n">
        <x:v>1.1837</x:v>
      </x:c>
      <x:c r="G4404" s="74" t="n">
        <x:v>0.0001</x:v>
      </x:c>
      <x:c r="H4404" s="66" t="str">
        <x:v>钧誉厚德量化对冲11号净值20260911.xlsx</x:v>
      </x:c>
      <x:c r="I4404" s="73" t="str">
        <x:f>""</x:f>
      </x:c>
      <x:c r="J4404" s="74" t="str">
        <x:f>""</x:f>
      </x:c>
      <x:c r="K4404" s="73" t="str">
        <x:f>""</x:f>
      </x:c>
      <x:c r="L4404" s="74" t="str">
        <x:f>""</x:f>
      </x:c>
      <x:c r="M4404" s="73" t="n">
        <x:f>MAX(M4403,F4404)</x:f>
        <x:v>1.1842</x:v>
      </x:c>
      <x:c r="N4404" s="74" t="n">
        <x:f>1-F4404/M4404</x:f>
        <x:v>0.00042222597534191664</x:v>
      </x:c>
    </x:row>
    <x:row r="4405" ht="27" customHeight="1">
      <x:c r="A4405" s="66" t="str">
        <x:v>SQN453</x:v>
      </x:c>
      <x:c r="B4405" s="66" t="str">
        <x:v>钧誉厚德量化对冲11号</x:v>
      </x:c>
      <x:c r="C4405" s="72" t="n">
        <x:v>44824</x:v>
      </x:c>
      <x:c r="D4405" s="73" t="n">
        <x:v>1.1838</x:v>
      </x:c>
      <x:c r="E4405" s="73" t="n">
        <x:v>1.1838</x:v>
      </x:c>
      <x:c r="F4405" s="73" t="n">
        <x:v>1.1838</x:v>
      </x:c>
      <x:c r="G4405" s="74" t="n">
        <x:v>0.0001</x:v>
      </x:c>
      <x:c r="H4405" s="66" t="str">
        <x:v>钧誉厚德量化对冲11号净值20260911.xlsx</x:v>
      </x:c>
      <x:c r="I4405" s="73" t="str">
        <x:f>""</x:f>
      </x:c>
      <x:c r="J4405" s="74" t="str">
        <x:f>""</x:f>
      </x:c>
      <x:c r="K4405" s="73" t="str">
        <x:f>""</x:f>
      </x:c>
      <x:c r="L4405" s="74" t="str">
        <x:f>""</x:f>
      </x:c>
      <x:c r="M4405" s="73" t="n">
        <x:f>MAX(M4404,F4405)</x:f>
        <x:v>1.1842</x:v>
      </x:c>
      <x:c r="N4405" s="74" t="n">
        <x:f>1-F4405/M4405</x:f>
        <x:v>0.0003377807802735777</x:v>
      </x:c>
    </x:row>
    <x:row r="4406" ht="27" customHeight="1">
      <x:c r="A4406" s="66" t="str">
        <x:v>SQN453</x:v>
      </x:c>
      <x:c r="B4406" s="66" t="str">
        <x:v>钧誉厚德量化对冲11号</x:v>
      </x:c>
      <x:c r="C4406" s="72" t="n">
        <x:v>44825</x:v>
      </x:c>
      <x:c r="D4406" s="73" t="n">
        <x:v>1.1839</x:v>
      </x:c>
      <x:c r="E4406" s="73" t="n">
        <x:v>1.1839</x:v>
      </x:c>
      <x:c r="F4406" s="73" t="n">
        <x:v>1.1839</x:v>
      </x:c>
      <x:c r="G4406" s="74" t="n">
        <x:v>0.0001</x:v>
      </x:c>
      <x:c r="H4406" s="66" t="str">
        <x:v>钧誉厚德量化对冲11号净值20260911.xlsx</x:v>
      </x:c>
      <x:c r="I4406" s="73" t="str">
        <x:f>""</x:f>
      </x:c>
      <x:c r="J4406" s="74" t="str">
        <x:f>""</x:f>
      </x:c>
      <x:c r="K4406" s="73" t="str">
        <x:f>""</x:f>
      </x:c>
      <x:c r="L4406" s="74" t="str">
        <x:f>""</x:f>
      </x:c>
      <x:c r="M4406" s="73" t="n">
        <x:f>MAX(M4405,F4406)</x:f>
        <x:v>1.1842</x:v>
      </x:c>
      <x:c r="N4406" s="74" t="n">
        <x:f>1-F4406/M4406</x:f>
        <x:v>0.0002533355852051278</x:v>
      </x:c>
    </x:row>
    <x:row r="4407" ht="27" customHeight="1">
      <x:c r="A4407" s="66" t="str">
        <x:v>SQN453</x:v>
      </x:c>
      <x:c r="B4407" s="66" t="str">
        <x:v>钧誉厚德量化对冲11号</x:v>
      </x:c>
      <x:c r="C4407" s="72" t="n">
        <x:v>44826</x:v>
      </x:c>
      <x:c r="D4407" s="73" t="n">
        <x:v>1.1841</x:v>
      </x:c>
      <x:c r="E4407" s="73" t="n">
        <x:v>1.1841</x:v>
      </x:c>
      <x:c r="F4407" s="73" t="n">
        <x:v>1.1841</x:v>
      </x:c>
      <x:c r="G4407" s="74" t="n">
        <x:v>0.0002</x:v>
      </x:c>
      <x:c r="H4407" s="66" t="str">
        <x:v>钧誉厚德量化对冲11号净值20260911.xlsx</x:v>
      </x:c>
      <x:c r="I4407" s="73" t="str">
        <x:f>""</x:f>
      </x:c>
      <x:c r="J4407" s="74" t="str">
        <x:f>""</x:f>
      </x:c>
      <x:c r="K4407" s="73" t="str">
        <x:f>""</x:f>
      </x:c>
      <x:c r="L4407" s="74" t="str">
        <x:f>""</x:f>
      </x:c>
      <x:c r="M4407" s="73" t="n">
        <x:f>MAX(M4406,F4407)</x:f>
        <x:v>1.1842</x:v>
      </x:c>
      <x:c r="N4407" s="74" t="n">
        <x:f>1-F4407/M4407</x:f>
        <x:v>0.00008444519506833892</x:v>
      </x:c>
    </x:row>
    <x:row r="4408" ht="27" customHeight="1">
      <x:c r="A4408" s="66" t="str">
        <x:v>SQN453</x:v>
      </x:c>
      <x:c r="B4408" s="66" t="str">
        <x:v>钧誉厚德量化对冲11号</x:v>
      </x:c>
      <x:c r="C4408" s="72" t="n">
        <x:v>44827</x:v>
      </x:c>
      <x:c r="D4408" s="73" t="n">
        <x:v>1.1844</x:v>
      </x:c>
      <x:c r="E4408" s="73" t="n">
        <x:v>1.1844</x:v>
      </x:c>
      <x:c r="F4408" s="73" t="n">
        <x:v>1.1844</x:v>
      </x:c>
      <x:c r="G4408" s="74" t="n">
        <x:v>0.0003</x:v>
      </x:c>
      <x:c r="H4408" s="66" t="str">
        <x:v>钧誉厚德量化对冲11号净值20260911.xlsx</x:v>
      </x:c>
      <x:c r="I4408" s="73" t="str">
        <x:f>""</x:f>
      </x:c>
      <x:c r="J4408" s="74" t="str">
        <x:f>""</x:f>
      </x:c>
      <x:c r="K4408" s="73" t="str">
        <x:f>""</x:f>
      </x:c>
      <x:c r="L4408" s="74" t="str">
        <x:f>""</x:f>
      </x:c>
      <x:c r="M4408" s="73" t="n">
        <x:f>MAX(M4407,F4408)</x:f>
        <x:v>1.1844</x:v>
      </x:c>
      <x:c r="N4408" s="74" t="n">
        <x:f>1-F4408/M4408</x:f>
        <x:v>0</x:v>
      </x:c>
    </x:row>
    <x:row r="4409" ht="27" customHeight="1">
      <x:c r="A4409" s="66" t="str">
        <x:v>SQN453</x:v>
      </x:c>
      <x:c r="B4409" s="66" t="str">
        <x:v>钧誉厚德量化对冲11号</x:v>
      </x:c>
      <x:c r="C4409" s="72" t="n">
        <x:v>44830</x:v>
      </x:c>
      <x:c r="D4409" s="73" t="n">
        <x:v>1.1847</x:v>
      </x:c>
      <x:c r="E4409" s="73" t="n">
        <x:v>1.1847</x:v>
      </x:c>
      <x:c r="F4409" s="73" t="n">
        <x:v>1.1847</x:v>
      </x:c>
      <x:c r="G4409" s="74" t="n">
        <x:v>0.0003</x:v>
      </x:c>
      <x:c r="H4409" s="66" t="str">
        <x:v>钧誉厚德量化对冲11号净值20260911.xlsx</x:v>
      </x:c>
      <x:c r="I4409" s="73" t="str">
        <x:f>""</x:f>
      </x:c>
      <x:c r="J4409" s="74" t="str">
        <x:f>""</x:f>
      </x:c>
      <x:c r="K4409" s="73" t="str">
        <x:f>""</x:f>
      </x:c>
      <x:c r="L4409" s="74" t="str">
        <x:f>""</x:f>
      </x:c>
      <x:c r="M4409" s="73" t="n">
        <x:f>MAX(M4408,F4409)</x:f>
        <x:v>1.1847</x:v>
      </x:c>
      <x:c r="N4409" s="74" t="n">
        <x:f>1-F4409/M4409</x:f>
        <x:v>0</x:v>
      </x:c>
    </x:row>
    <x:row r="4410" ht="27" customHeight="1">
      <x:c r="A4410" s="66" t="str">
        <x:v>SQN453</x:v>
      </x:c>
      <x:c r="B4410" s="66" t="str">
        <x:v>钧誉厚德量化对冲11号</x:v>
      </x:c>
      <x:c r="C4410" s="72" t="n">
        <x:v>44831</x:v>
      </x:c>
      <x:c r="D4410" s="73" t="n">
        <x:v>1.1848</x:v>
      </x:c>
      <x:c r="E4410" s="73" t="n">
        <x:v>1.1848</x:v>
      </x:c>
      <x:c r="F4410" s="73" t="n">
        <x:v>1.1848</x:v>
      </x:c>
      <x:c r="G4410" s="74" t="n">
        <x:v>0.0001</x:v>
      </x:c>
      <x:c r="H4410" s="66" t="str">
        <x:v>钧誉厚德量化对冲11号净值20260911.xlsx</x:v>
      </x:c>
      <x:c r="I4410" s="73" t="str">
        <x:f>""</x:f>
      </x:c>
      <x:c r="J4410" s="74" t="str">
        <x:f>""</x:f>
      </x:c>
      <x:c r="K4410" s="73" t="str">
        <x:f>""</x:f>
      </x:c>
      <x:c r="L4410" s="74" t="str">
        <x:f>""</x:f>
      </x:c>
      <x:c r="M4410" s="73" t="n">
        <x:f>MAX(M4409,F4410)</x:f>
        <x:v>1.1848</x:v>
      </x:c>
      <x:c r="N4410" s="74" t="n">
        <x:f>1-F4410/M4410</x:f>
        <x:v>0</x:v>
      </x:c>
    </x:row>
    <x:row r="4411" ht="27" customHeight="1">
      <x:c r="A4411" s="66" t="str">
        <x:v>SQN453</x:v>
      </x:c>
      <x:c r="B4411" s="66" t="str">
        <x:v>钧誉厚德量化对冲11号</x:v>
      </x:c>
      <x:c r="C4411" s="72" t="n">
        <x:v>44832</x:v>
      </x:c>
      <x:c r="D4411" s="73" t="n">
        <x:v>1.1849</x:v>
      </x:c>
      <x:c r="E4411" s="73" t="n">
        <x:v>1.1849</x:v>
      </x:c>
      <x:c r="F4411" s="73" t="n">
        <x:v>1.1849</x:v>
      </x:c>
      <x:c r="G4411" s="74" t="n">
        <x:v>0.0001</x:v>
      </x:c>
      <x:c r="H4411" s="66" t="str">
        <x:v>钧誉厚德量化对冲11号净值20260911.xlsx</x:v>
      </x:c>
      <x:c r="I4411" s="73" t="str">
        <x:f>""</x:f>
      </x:c>
      <x:c r="J4411" s="74" t="str">
        <x:f>""</x:f>
      </x:c>
      <x:c r="K4411" s="73" t="str">
        <x:f>""</x:f>
      </x:c>
      <x:c r="L4411" s="74" t="str">
        <x:f>""</x:f>
      </x:c>
      <x:c r="M4411" s="73" t="n">
        <x:f>MAX(M4410,F4411)</x:f>
        <x:v>1.1849</x:v>
      </x:c>
      <x:c r="N4411" s="74" t="n">
        <x:f>1-F4411/M4411</x:f>
        <x:v>0</x:v>
      </x:c>
    </x:row>
    <x:row r="4412" ht="27" customHeight="1">
      <x:c r="A4412" s="66" t="str">
        <x:v>SQN453</x:v>
      </x:c>
      <x:c r="B4412" s="66" t="str">
        <x:v>钧誉厚德量化对冲11号</x:v>
      </x:c>
      <x:c r="C4412" s="72" t="n">
        <x:v>44833</x:v>
      </x:c>
      <x:c r="D4412" s="73" t="n">
        <x:v>1.1874</x:v>
      </x:c>
      <x:c r="E4412" s="73" t="n">
        <x:v>1.1874</x:v>
      </x:c>
      <x:c r="F4412" s="73" t="n">
        <x:v>1.1874</x:v>
      </x:c>
      <x:c r="G4412" s="74" t="n">
        <x:v>0.0021</x:v>
      </x:c>
      <x:c r="H4412" s="66" t="str">
        <x:v>钧誉厚德量化对冲11号净值20260911.xlsx</x:v>
      </x:c>
      <x:c r="I4412" s="73" t="str">
        <x:f>""</x:f>
      </x:c>
      <x:c r="J4412" s="74" t="str">
        <x:f>""</x:f>
      </x:c>
      <x:c r="K4412" s="73" t="str">
        <x:f>""</x:f>
      </x:c>
      <x:c r="L4412" s="74" t="str">
        <x:f>""</x:f>
      </x:c>
      <x:c r="M4412" s="73" t="n">
        <x:f>MAX(M4411,F4412)</x:f>
        <x:v>1.1874</x:v>
      </x:c>
      <x:c r="N4412" s="74" t="n">
        <x:f>1-F4412/M4412</x:f>
        <x:v>0</x:v>
      </x:c>
    </x:row>
    <x:row r="4413" ht="27" customHeight="1">
      <x:c r="A4413" s="66" t="str">
        <x:v>SQN453</x:v>
      </x:c>
      <x:c r="B4413" s="66" t="str">
        <x:v>钧誉厚德量化对冲11号</x:v>
      </x:c>
      <x:c r="C4413" s="72" t="n">
        <x:v>44834</x:v>
      </x:c>
      <x:c r="D4413" s="73" t="n">
        <x:v>1.1877</x:v>
      </x:c>
      <x:c r="E4413" s="73" t="n">
        <x:v>1.1877</x:v>
      </x:c>
      <x:c r="F4413" s="73" t="n">
        <x:v>1.1877</x:v>
      </x:c>
      <x:c r="G4413" s="74" t="n">
        <x:v>0.0003</x:v>
      </x:c>
      <x:c r="H4413" s="66" t="str">
        <x:v>钧誉厚德量化对冲11号净值20260911.xlsx</x:v>
      </x:c>
      <x:c r="I4413" s="73" t="str">
        <x:f>""</x:f>
      </x:c>
      <x:c r="J4413" s="74" t="str">
        <x:f>""</x:f>
      </x:c>
      <x:c r="K4413" s="73" t="str">
        <x:f>""</x:f>
      </x:c>
      <x:c r="L4413" s="74" t="str">
        <x:f>""</x:f>
      </x:c>
      <x:c r="M4413" s="73" t="n">
        <x:f>MAX(M4412,F4413)</x:f>
        <x:v>1.1877</x:v>
      </x:c>
      <x:c r="N4413" s="74" t="n">
        <x:f>1-F4413/M4413</x:f>
        <x:v>0</x:v>
      </x:c>
    </x:row>
    <x:row r="4414" ht="27" customHeight="1">
      <x:c r="A4414" s="66" t="str">
        <x:v>SQN453</x:v>
      </x:c>
      <x:c r="B4414" s="66" t="str">
        <x:v>钧誉厚德量化对冲11号</x:v>
      </x:c>
      <x:c r="C4414" s="72" t="n">
        <x:v>44844</x:v>
      </x:c>
      <x:c r="D4414" s="73" t="n">
        <x:v>1.1877</x:v>
      </x:c>
      <x:c r="E4414" s="73" t="n">
        <x:v>1.1877</x:v>
      </x:c>
      <x:c r="F4414" s="73" t="n">
        <x:v>1.1877</x:v>
      </x:c>
      <x:c r="G4414" s="74" t="n">
        <x:v>0</x:v>
      </x:c>
      <x:c r="H4414" s="66" t="str">
        <x:v>钧誉厚德量化对冲11号净值20260911.xlsx</x:v>
      </x:c>
      <x:c r="I4414" s="73" t="str">
        <x:f>""</x:f>
      </x:c>
      <x:c r="J4414" s="74" t="str">
        <x:f>""</x:f>
      </x:c>
      <x:c r="K4414" s="73" t="str">
        <x:f>""</x:f>
      </x:c>
      <x:c r="L4414" s="74" t="str">
        <x:f>""</x:f>
      </x:c>
      <x:c r="M4414" s="73" t="n">
        <x:f>MAX(M4413,F4414)</x:f>
        <x:v>1.1877</x:v>
      </x:c>
      <x:c r="N4414" s="74" t="n">
        <x:f>1-F4414/M4414</x:f>
        <x:v>0</x:v>
      </x:c>
    </x:row>
    <x:row r="4415" ht="27" customHeight="1">
      <x:c r="A4415" s="66" t="str">
        <x:v>SQN453</x:v>
      </x:c>
      <x:c r="B4415" s="66" t="str">
        <x:v>钧誉厚德量化对冲11号</x:v>
      </x:c>
      <x:c r="C4415" s="72" t="n">
        <x:v>44845</x:v>
      </x:c>
      <x:c r="D4415" s="73" t="n">
        <x:v>1.188</x:v>
      </x:c>
      <x:c r="E4415" s="73" t="n">
        <x:v>1.188</x:v>
      </x:c>
      <x:c r="F4415" s="73" t="n">
        <x:v>1.188</x:v>
      </x:c>
      <x:c r="G4415" s="74" t="n">
        <x:v>0.0003</x:v>
      </x:c>
      <x:c r="H4415" s="66" t="str">
        <x:v>钧誉厚德量化对冲11号净值20260911.xlsx</x:v>
      </x:c>
      <x:c r="I4415" s="73" t="str">
        <x:f>""</x:f>
      </x:c>
      <x:c r="J4415" s="74" t="str">
        <x:f>""</x:f>
      </x:c>
      <x:c r="K4415" s="73" t="str">
        <x:f>""</x:f>
      </x:c>
      <x:c r="L4415" s="74" t="str">
        <x:f>""</x:f>
      </x:c>
      <x:c r="M4415" s="73" t="n">
        <x:f>MAX(M4414,F4415)</x:f>
        <x:v>1.188</x:v>
      </x:c>
      <x:c r="N4415" s="74" t="n">
        <x:f>1-F4415/M4415</x:f>
        <x:v>0</x:v>
      </x:c>
    </x:row>
    <x:row r="4416" ht="27" customHeight="1">
      <x:c r="A4416" s="66" t="str">
        <x:v>SQN453</x:v>
      </x:c>
      <x:c r="B4416" s="66" t="str">
        <x:v>钧誉厚德量化对冲11号</x:v>
      </x:c>
      <x:c r="C4416" s="72" t="n">
        <x:v>44846</x:v>
      </x:c>
      <x:c r="D4416" s="73" t="n">
        <x:v>1.1881</x:v>
      </x:c>
      <x:c r="E4416" s="73" t="n">
        <x:v>1.1881</x:v>
      </x:c>
      <x:c r="F4416" s="73" t="n">
        <x:v>1.1881</x:v>
      </x:c>
      <x:c r="G4416" s="74" t="n">
        <x:v>0.0001</x:v>
      </x:c>
      <x:c r="H4416" s="66" t="str">
        <x:v>钧誉厚德量化对冲11号净值20260911.xlsx</x:v>
      </x:c>
      <x:c r="I4416" s="73" t="str">
        <x:f>""</x:f>
      </x:c>
      <x:c r="J4416" s="74" t="str">
        <x:f>""</x:f>
      </x:c>
      <x:c r="K4416" s="73" t="str">
        <x:f>""</x:f>
      </x:c>
      <x:c r="L4416" s="74" t="str">
        <x:f>""</x:f>
      </x:c>
      <x:c r="M4416" s="73" t="n">
        <x:f>MAX(M4415,F4416)</x:f>
        <x:v>1.1881</x:v>
      </x:c>
      <x:c r="N4416" s="74" t="n">
        <x:f>1-F4416/M4416</x:f>
        <x:v>0</x:v>
      </x:c>
    </x:row>
    <x:row r="4417" ht="27" customHeight="1">
      <x:c r="A4417" s="66" t="str">
        <x:v>SQN453</x:v>
      </x:c>
      <x:c r="B4417" s="66" t="str">
        <x:v>钧誉厚德量化对冲11号</x:v>
      </x:c>
      <x:c r="C4417" s="72" t="n">
        <x:v>44847</x:v>
      </x:c>
      <x:c r="D4417" s="73" t="n">
        <x:v>1.1882</x:v>
      </x:c>
      <x:c r="E4417" s="73" t="n">
        <x:v>1.1882</x:v>
      </x:c>
      <x:c r="F4417" s="73" t="n">
        <x:v>1.1882</x:v>
      </x:c>
      <x:c r="G4417" s="74" t="n">
        <x:v>0.0001</x:v>
      </x:c>
      <x:c r="H4417" s="66" t="str">
        <x:v>钧誉厚德量化对冲11号净值20260911.xlsx</x:v>
      </x:c>
      <x:c r="I4417" s="73" t="str">
        <x:f>""</x:f>
      </x:c>
      <x:c r="J4417" s="74" t="str">
        <x:f>""</x:f>
      </x:c>
      <x:c r="K4417" s="73" t="str">
        <x:f>""</x:f>
      </x:c>
      <x:c r="L4417" s="74" t="str">
        <x:f>""</x:f>
      </x:c>
      <x:c r="M4417" s="73" t="n">
        <x:f>MAX(M4416,F4417)</x:f>
        <x:v>1.1882</x:v>
      </x:c>
      <x:c r="N4417" s="74" t="n">
        <x:f>1-F4417/M4417</x:f>
        <x:v>0</x:v>
      </x:c>
    </x:row>
    <x:row r="4418" ht="27" customHeight="1">
      <x:c r="A4418" s="66" t="str">
        <x:v>SQN453</x:v>
      </x:c>
      <x:c r="B4418" s="66" t="str">
        <x:v>钧誉厚德量化对冲11号</x:v>
      </x:c>
      <x:c r="C4418" s="72" t="n">
        <x:v>44848</x:v>
      </x:c>
      <x:c r="D4418" s="73" t="n">
        <x:v>1.1904</x:v>
      </x:c>
      <x:c r="E4418" s="73" t="n">
        <x:v>1.1904</x:v>
      </x:c>
      <x:c r="F4418" s="73" t="n">
        <x:v>1.1904</x:v>
      </x:c>
      <x:c r="G4418" s="74" t="n">
        <x:v>0.0019</x:v>
      </x:c>
      <x:c r="H4418" s="66" t="str">
        <x:v>钧誉厚德量化对冲11号净值20260911.xlsx</x:v>
      </x:c>
      <x:c r="I4418" s="73" t="str">
        <x:f>""</x:f>
      </x:c>
      <x:c r="J4418" s="74" t="str">
        <x:f>""</x:f>
      </x:c>
      <x:c r="K4418" s="73" t="str">
        <x:f>""</x:f>
      </x:c>
      <x:c r="L4418" s="74" t="str">
        <x:f>""</x:f>
      </x:c>
      <x:c r="M4418" s="73" t="n">
        <x:f>MAX(M4417,F4418)</x:f>
        <x:v>1.1904</x:v>
      </x:c>
      <x:c r="N4418" s="74" t="n">
        <x:f>1-F4418/M4418</x:f>
        <x:v>0</x:v>
      </x:c>
    </x:row>
    <x:row r="4419" ht="27" customHeight="1">
      <x:c r="A4419" s="66" t="str">
        <x:v>SQN453</x:v>
      </x:c>
      <x:c r="B4419" s="66" t="str">
        <x:v>钧誉厚德量化对冲11号</x:v>
      </x:c>
      <x:c r="C4419" s="72" t="n">
        <x:v>44851</x:v>
      </x:c>
      <x:c r="D4419" s="73" t="n">
        <x:v>1.1909</x:v>
      </x:c>
      <x:c r="E4419" s="73" t="n">
        <x:v>1.1909</x:v>
      </x:c>
      <x:c r="F4419" s="73" t="n">
        <x:v>1.1909</x:v>
      </x:c>
      <x:c r="G4419" s="74" t="n">
        <x:v>0.0004</x:v>
      </x:c>
      <x:c r="H4419" s="66" t="str">
        <x:v>钧誉厚德量化对冲11号净值20260911.xlsx</x:v>
      </x:c>
      <x:c r="I4419" s="73" t="str">
        <x:f>""</x:f>
      </x:c>
      <x:c r="J4419" s="74" t="str">
        <x:f>""</x:f>
      </x:c>
      <x:c r="K4419" s="73" t="str">
        <x:f>""</x:f>
      </x:c>
      <x:c r="L4419" s="74" t="str">
        <x:f>""</x:f>
      </x:c>
      <x:c r="M4419" s="73" t="n">
        <x:f>MAX(M4418,F4419)</x:f>
        <x:v>1.1909</x:v>
      </x:c>
      <x:c r="N4419" s="74" t="n">
        <x:f>1-F4419/M4419</x:f>
        <x:v>0</x:v>
      </x:c>
    </x:row>
    <x:row r="4420" ht="27" customHeight="1">
      <x:c r="A4420" s="66" t="str">
        <x:v>SQN453</x:v>
      </x:c>
      <x:c r="B4420" s="66" t="str">
        <x:v>钧誉厚德量化对冲11号</x:v>
      </x:c>
      <x:c r="C4420" s="72" t="n">
        <x:v>44852</x:v>
      </x:c>
      <x:c r="D4420" s="73" t="n">
        <x:v>1.1914</x:v>
      </x:c>
      <x:c r="E4420" s="73" t="n">
        <x:v>1.1914</x:v>
      </x:c>
      <x:c r="F4420" s="73" t="n">
        <x:v>1.1914</x:v>
      </x:c>
      <x:c r="G4420" s="74" t="n">
        <x:v>0.0004</x:v>
      </x:c>
      <x:c r="H4420" s="66" t="str">
        <x:v>钧誉厚德量化对冲11号净值20260911.xlsx</x:v>
      </x:c>
      <x:c r="I4420" s="73" t="str">
        <x:f>""</x:f>
      </x:c>
      <x:c r="J4420" s="74" t="str">
        <x:f>""</x:f>
      </x:c>
      <x:c r="K4420" s="73" t="str">
        <x:f>""</x:f>
      </x:c>
      <x:c r="L4420" s="74" t="str">
        <x:f>""</x:f>
      </x:c>
      <x:c r="M4420" s="73" t="n">
        <x:f>MAX(M4419,F4420)</x:f>
        <x:v>1.1914</x:v>
      </x:c>
      <x:c r="N4420" s="74" t="n">
        <x:f>1-F4420/M4420</x:f>
        <x:v>0</x:v>
      </x:c>
    </x:row>
    <x:row r="4421" ht="27" customHeight="1">
      <x:c r="A4421" s="66" t="str">
        <x:v>SQN453</x:v>
      </x:c>
      <x:c r="B4421" s="66" t="str">
        <x:v>钧誉厚德量化对冲11号</x:v>
      </x:c>
      <x:c r="C4421" s="72" t="n">
        <x:v>44853</x:v>
      </x:c>
      <x:c r="D4421" s="73" t="n">
        <x:v>1.1914</x:v>
      </x:c>
      <x:c r="E4421" s="73" t="n">
        <x:v>1.1914</x:v>
      </x:c>
      <x:c r="F4421" s="73" t="n">
        <x:v>1.1914</x:v>
      </x:c>
      <x:c r="G4421" s="74" t="n">
        <x:v>0</x:v>
      </x:c>
      <x:c r="H4421" s="66" t="str">
        <x:v>钧誉厚德量化对冲11号净值20260911.xlsx</x:v>
      </x:c>
      <x:c r="I4421" s="73" t="str">
        <x:f>""</x:f>
      </x:c>
      <x:c r="J4421" s="74" t="str">
        <x:f>""</x:f>
      </x:c>
      <x:c r="K4421" s="73" t="str">
        <x:f>""</x:f>
      </x:c>
      <x:c r="L4421" s="74" t="str">
        <x:f>""</x:f>
      </x:c>
      <x:c r="M4421" s="73" t="n">
        <x:f>MAX(M4420,F4421)</x:f>
        <x:v>1.1914</x:v>
      </x:c>
      <x:c r="N4421" s="74" t="n">
        <x:f>1-F4421/M4421</x:f>
        <x:v>0</x:v>
      </x:c>
    </x:row>
    <x:row r="4422" ht="27" customHeight="1">
      <x:c r="A4422" s="66" t="str">
        <x:v>SQN453</x:v>
      </x:c>
      <x:c r="B4422" s="66" t="str">
        <x:v>钧誉厚德量化对冲11号</x:v>
      </x:c>
      <x:c r="C4422" s="72" t="n">
        <x:v>44854</x:v>
      </x:c>
      <x:c r="D4422" s="73" t="n">
        <x:v>1.1916</x:v>
      </x:c>
      <x:c r="E4422" s="73" t="n">
        <x:v>1.1916</x:v>
      </x:c>
      <x:c r="F4422" s="73" t="n">
        <x:v>1.1916</x:v>
      </x:c>
      <x:c r="G4422" s="74" t="n">
        <x:v>0.0002</x:v>
      </x:c>
      <x:c r="H4422" s="66" t="str">
        <x:v>钧誉厚德量化对冲11号净值20260911.xlsx</x:v>
      </x:c>
      <x:c r="I4422" s="73" t="str">
        <x:f>""</x:f>
      </x:c>
      <x:c r="J4422" s="74" t="str">
        <x:f>""</x:f>
      </x:c>
      <x:c r="K4422" s="73" t="str">
        <x:f>""</x:f>
      </x:c>
      <x:c r="L4422" s="74" t="str">
        <x:f>""</x:f>
      </x:c>
      <x:c r="M4422" s="73" t="n">
        <x:f>MAX(M4421,F4422)</x:f>
        <x:v>1.1916</x:v>
      </x:c>
      <x:c r="N4422" s="74" t="n">
        <x:f>1-F4422/M4422</x:f>
        <x:v>0</x:v>
      </x:c>
    </x:row>
    <x:row r="4423" ht="27" customHeight="1">
      <x:c r="A4423" s="66" t="str">
        <x:v>SQN453</x:v>
      </x:c>
      <x:c r="B4423" s="66" t="str">
        <x:v>钧誉厚德量化对冲11号</x:v>
      </x:c>
      <x:c r="C4423" s="72" t="n">
        <x:v>44855</x:v>
      </x:c>
      <x:c r="D4423" s="73" t="n">
        <x:v>1.192</x:v>
      </x:c>
      <x:c r="E4423" s="73" t="n">
        <x:v>1.192</x:v>
      </x:c>
      <x:c r="F4423" s="73" t="n">
        <x:v>1.192</x:v>
      </x:c>
      <x:c r="G4423" s="74" t="n">
        <x:v>0.0003</x:v>
      </x:c>
      <x:c r="H4423" s="66" t="str">
        <x:v>钧誉厚德量化对冲11号净值20260911.xlsx</x:v>
      </x:c>
      <x:c r="I4423" s="73" t="str">
        <x:f>""</x:f>
      </x:c>
      <x:c r="J4423" s="74" t="str">
        <x:f>""</x:f>
      </x:c>
      <x:c r="K4423" s="73" t="str">
        <x:f>""</x:f>
      </x:c>
      <x:c r="L4423" s="74" t="str">
        <x:f>""</x:f>
      </x:c>
      <x:c r="M4423" s="73" t="n">
        <x:f>MAX(M4422,F4423)</x:f>
        <x:v>1.192</x:v>
      </x:c>
      <x:c r="N4423" s="74" t="n">
        <x:f>1-F4423/M4423</x:f>
        <x:v>0</x:v>
      </x:c>
    </x:row>
    <x:row r="4424" ht="27" customHeight="1">
      <x:c r="A4424" s="66" t="str">
        <x:v>SQN453</x:v>
      </x:c>
      <x:c r="B4424" s="66" t="str">
        <x:v>钧誉厚德量化对冲11号</x:v>
      </x:c>
      <x:c r="C4424" s="72" t="n">
        <x:v>44858</x:v>
      </x:c>
      <x:c r="D4424" s="73" t="n">
        <x:v>1.1922</x:v>
      </x:c>
      <x:c r="E4424" s="73" t="n">
        <x:v>1.1922</x:v>
      </x:c>
      <x:c r="F4424" s="73" t="n">
        <x:v>1.1922</x:v>
      </x:c>
      <x:c r="G4424" s="74" t="n">
        <x:v>0.0002</x:v>
      </x:c>
      <x:c r="H4424" s="66" t="str">
        <x:v>钧誉厚德量化对冲11号净值20260911.xlsx</x:v>
      </x:c>
      <x:c r="I4424" s="73" t="str">
        <x:f>""</x:f>
      </x:c>
      <x:c r="J4424" s="74" t="str">
        <x:f>""</x:f>
      </x:c>
      <x:c r="K4424" s="73" t="str">
        <x:f>""</x:f>
      </x:c>
      <x:c r="L4424" s="74" t="str">
        <x:f>""</x:f>
      </x:c>
      <x:c r="M4424" s="73" t="n">
        <x:f>MAX(M4423,F4424)</x:f>
        <x:v>1.1922</x:v>
      </x:c>
      <x:c r="N4424" s="74" t="n">
        <x:f>1-F4424/M4424</x:f>
        <x:v>0</x:v>
      </x:c>
    </x:row>
    <x:row r="4425" ht="27" customHeight="1">
      <x:c r="A4425" s="66" t="str">
        <x:v>SQN453</x:v>
      </x:c>
      <x:c r="B4425" s="66" t="str">
        <x:v>钧誉厚德量化对冲11号</x:v>
      </x:c>
      <x:c r="C4425" s="72" t="n">
        <x:v>44859</x:v>
      </x:c>
      <x:c r="D4425" s="73" t="n">
        <x:v>1.1927</x:v>
      </x:c>
      <x:c r="E4425" s="73" t="n">
        <x:v>1.1927</x:v>
      </x:c>
      <x:c r="F4425" s="73" t="n">
        <x:v>1.1927</x:v>
      </x:c>
      <x:c r="G4425" s="74" t="n">
        <x:v>0.0004</x:v>
      </x:c>
      <x:c r="H4425" s="66" t="str">
        <x:v>钧誉厚德量化对冲11号净值20260911.xlsx</x:v>
      </x:c>
      <x:c r="I4425" s="73" t="str">
        <x:f>""</x:f>
      </x:c>
      <x:c r="J4425" s="74" t="str">
        <x:f>""</x:f>
      </x:c>
      <x:c r="K4425" s="73" t="str">
        <x:f>""</x:f>
      </x:c>
      <x:c r="L4425" s="74" t="str">
        <x:f>""</x:f>
      </x:c>
      <x:c r="M4425" s="73" t="n">
        <x:f>MAX(M4424,F4425)</x:f>
        <x:v>1.1927</x:v>
      </x:c>
      <x:c r="N4425" s="74" t="n">
        <x:f>1-F4425/M4425</x:f>
        <x:v>0</x:v>
      </x:c>
    </x:row>
    <x:row r="4426" ht="27" customHeight="1">
      <x:c r="A4426" s="66" t="str">
        <x:v>SQN453</x:v>
      </x:c>
      <x:c r="B4426" s="66" t="str">
        <x:v>钧誉厚德量化对冲11号</x:v>
      </x:c>
      <x:c r="C4426" s="72" t="n">
        <x:v>44860</x:v>
      </x:c>
      <x:c r="D4426" s="73" t="n">
        <x:v>1.1928</x:v>
      </x:c>
      <x:c r="E4426" s="73" t="n">
        <x:v>1.1928</x:v>
      </x:c>
      <x:c r="F4426" s="73" t="n">
        <x:v>1.1928</x:v>
      </x:c>
      <x:c r="G4426" s="74" t="n">
        <x:v>0.0001</x:v>
      </x:c>
      <x:c r="H4426" s="66" t="str">
        <x:v>钧誉厚德量化对冲11号净值20260911.xlsx</x:v>
      </x:c>
      <x:c r="I4426" s="73" t="str">
        <x:f>""</x:f>
      </x:c>
      <x:c r="J4426" s="74" t="str">
        <x:f>""</x:f>
      </x:c>
      <x:c r="K4426" s="73" t="str">
        <x:f>""</x:f>
      </x:c>
      <x:c r="L4426" s="74" t="str">
        <x:f>""</x:f>
      </x:c>
      <x:c r="M4426" s="73" t="n">
        <x:f>MAX(M4425,F4426)</x:f>
        <x:v>1.1928</x:v>
      </x:c>
      <x:c r="N4426" s="74" t="n">
        <x:f>1-F4426/M4426</x:f>
        <x:v>0</x:v>
      </x:c>
    </x:row>
    <x:row r="4427" ht="27" customHeight="1">
      <x:c r="A4427" s="66" t="str">
        <x:v>SQN453</x:v>
      </x:c>
      <x:c r="B4427" s="66" t="str">
        <x:v>钧誉厚德量化对冲11号</x:v>
      </x:c>
      <x:c r="C4427" s="72" t="n">
        <x:v>44861</x:v>
      </x:c>
      <x:c r="D4427" s="73" t="n">
        <x:v>1.1932</x:v>
      </x:c>
      <x:c r="E4427" s="73" t="n">
        <x:v>1.1932</x:v>
      </x:c>
      <x:c r="F4427" s="73" t="n">
        <x:v>1.1932</x:v>
      </x:c>
      <x:c r="G4427" s="74" t="n">
        <x:v>0.0003</x:v>
      </x:c>
      <x:c r="H4427" s="66" t="str">
        <x:v>钧誉厚德量化对冲11号净值20260911.xlsx</x:v>
      </x:c>
      <x:c r="I4427" s="73" t="str">
        <x:f>""</x:f>
      </x:c>
      <x:c r="J4427" s="74" t="str">
        <x:f>""</x:f>
      </x:c>
      <x:c r="K4427" s="73" t="str">
        <x:f>""</x:f>
      </x:c>
      <x:c r="L4427" s="74" t="str">
        <x:f>""</x:f>
      </x:c>
      <x:c r="M4427" s="73" t="n">
        <x:f>MAX(M4426,F4427)</x:f>
        <x:v>1.1932</x:v>
      </x:c>
      <x:c r="N4427" s="74" t="n">
        <x:f>1-F4427/M4427</x:f>
        <x:v>0</x:v>
      </x:c>
    </x:row>
    <x:row r="4428" ht="27" customHeight="1">
      <x:c r="A4428" s="66" t="str">
        <x:v>SQN453</x:v>
      </x:c>
      <x:c r="B4428" s="66" t="str">
        <x:v>钧誉厚德量化对冲11号</x:v>
      </x:c>
      <x:c r="C4428" s="72" t="n">
        <x:v>44862</x:v>
      </x:c>
      <x:c r="D4428" s="73" t="n">
        <x:v>1.1939</x:v>
      </x:c>
      <x:c r="E4428" s="73" t="n">
        <x:v>1.1939</x:v>
      </x:c>
      <x:c r="F4428" s="73" t="n">
        <x:v>1.1939</x:v>
      </x:c>
      <x:c r="G4428" s="74" t="n">
        <x:v>0.0006</x:v>
      </x:c>
      <x:c r="H4428" s="66" t="str">
        <x:v>钧誉厚德量化对冲11号净值20260911.xlsx</x:v>
      </x:c>
      <x:c r="I4428" s="73" t="str">
        <x:f>""</x:f>
      </x:c>
      <x:c r="J4428" s="74" t="str">
        <x:f>""</x:f>
      </x:c>
      <x:c r="K4428" s="73" t="str">
        <x:f>""</x:f>
      </x:c>
      <x:c r="L4428" s="74" t="str">
        <x:f>""</x:f>
      </x:c>
      <x:c r="M4428" s="73" t="n">
        <x:f>MAX(M4427,F4428)</x:f>
        <x:v>1.1939</x:v>
      </x:c>
      <x:c r="N4428" s="74" t="n">
        <x:f>1-F4428/M4428</x:f>
        <x:v>0</x:v>
      </x:c>
    </x:row>
    <x:row r="4429" ht="27" customHeight="1">
      <x:c r="A4429" s="66" t="str">
        <x:v>SQN453</x:v>
      </x:c>
      <x:c r="B4429" s="66" t="str">
        <x:v>钧誉厚德量化对冲11号</x:v>
      </x:c>
      <x:c r="C4429" s="72" t="n">
        <x:v>44865</x:v>
      </x:c>
      <x:c r="D4429" s="73" t="n">
        <x:v>1.1945</x:v>
      </x:c>
      <x:c r="E4429" s="73" t="n">
        <x:v>1.1945</x:v>
      </x:c>
      <x:c r="F4429" s="73" t="n">
        <x:v>1.1945</x:v>
      </x:c>
      <x:c r="G4429" s="74" t="n">
        <x:v>0.0005</x:v>
      </x:c>
      <x:c r="H4429" s="66" t="str">
        <x:v>钧誉厚德量化对冲11号净值20260911.xlsx</x:v>
      </x:c>
      <x:c r="I4429" s="73" t="str">
        <x:f>""</x:f>
      </x:c>
      <x:c r="J4429" s="74" t="str">
        <x:f>""</x:f>
      </x:c>
      <x:c r="K4429" s="73" t="str">
        <x:f>""</x:f>
      </x:c>
      <x:c r="L4429" s="74" t="str">
        <x:f>""</x:f>
      </x:c>
      <x:c r="M4429" s="73" t="n">
        <x:f>MAX(M4428,F4429)</x:f>
        <x:v>1.1945</x:v>
      </x:c>
      <x:c r="N4429" s="74" t="n">
        <x:f>1-F4429/M4429</x:f>
        <x:v>0</x:v>
      </x:c>
    </x:row>
    <x:row r="4430" ht="27" customHeight="1">
      <x:c r="A4430" s="66" t="str">
        <x:v>SQN453</x:v>
      </x:c>
      <x:c r="B4430" s="66" t="str">
        <x:v>钧誉厚德量化对冲11号</x:v>
      </x:c>
      <x:c r="C4430" s="72" t="n">
        <x:v>44866</x:v>
      </x:c>
      <x:c r="D4430" s="73" t="n">
        <x:v>1.1957</x:v>
      </x:c>
      <x:c r="E4430" s="73" t="n">
        <x:v>1.1957</x:v>
      </x:c>
      <x:c r="F4430" s="73" t="n">
        <x:v>1.1957</x:v>
      </x:c>
      <x:c r="G4430" s="74" t="n">
        <x:v>0.001</x:v>
      </x:c>
      <x:c r="H4430" s="66" t="str">
        <x:v>钧誉厚德量化对冲11号净值20260911.xlsx</x:v>
      </x:c>
      <x:c r="I4430" s="73" t="str">
        <x:f>""</x:f>
      </x:c>
      <x:c r="J4430" s="74" t="str">
        <x:f>""</x:f>
      </x:c>
      <x:c r="K4430" s="73" t="str">
        <x:f>""</x:f>
      </x:c>
      <x:c r="L4430" s="74" t="str">
        <x:f>""</x:f>
      </x:c>
      <x:c r="M4430" s="73" t="n">
        <x:f>MAX(M4429,F4430)</x:f>
        <x:v>1.1957</x:v>
      </x:c>
      <x:c r="N4430" s="74" t="n">
        <x:f>1-F4430/M4430</x:f>
        <x:v>0</x:v>
      </x:c>
    </x:row>
    <x:row r="4431" ht="27" customHeight="1">
      <x:c r="A4431" s="66" t="str">
        <x:v>SQN453</x:v>
      </x:c>
      <x:c r="B4431" s="66" t="str">
        <x:v>钧誉厚德量化对冲11号</x:v>
      </x:c>
      <x:c r="C4431" s="72" t="n">
        <x:v>44867</x:v>
      </x:c>
      <x:c r="D4431" s="73" t="n">
        <x:v>1.1963</x:v>
      </x:c>
      <x:c r="E4431" s="73" t="n">
        <x:v>1.1963</x:v>
      </x:c>
      <x:c r="F4431" s="73" t="n">
        <x:v>1.1963</x:v>
      </x:c>
      <x:c r="G4431" s="74" t="n">
        <x:v>0.0005</x:v>
      </x:c>
      <x:c r="H4431" s="66" t="str">
        <x:v>钧誉厚德量化对冲11号净值20260911.xlsx</x:v>
      </x:c>
      <x:c r="I4431" s="73" t="str">
        <x:f>""</x:f>
      </x:c>
      <x:c r="J4431" s="74" t="str">
        <x:f>""</x:f>
      </x:c>
      <x:c r="K4431" s="73" t="str">
        <x:f>""</x:f>
      </x:c>
      <x:c r="L4431" s="74" t="str">
        <x:f>""</x:f>
      </x:c>
      <x:c r="M4431" s="73" t="n">
        <x:f>MAX(M4430,F4431)</x:f>
        <x:v>1.1963</x:v>
      </x:c>
      <x:c r="N4431" s="74" t="n">
        <x:f>1-F4431/M4431</x:f>
        <x:v>0</x:v>
      </x:c>
    </x:row>
    <x:row r="4432" ht="27" customHeight="1">
      <x:c r="A4432" s="66" t="str">
        <x:v>SQN453</x:v>
      </x:c>
      <x:c r="B4432" s="66" t="str">
        <x:v>钧誉厚德量化对冲11号</x:v>
      </x:c>
      <x:c r="C4432" s="72" t="n">
        <x:v>44868</x:v>
      </x:c>
      <x:c r="D4432" s="73" t="n">
        <x:v>1.1966</x:v>
      </x:c>
      <x:c r="E4432" s="73" t="n">
        <x:v>1.1966</x:v>
      </x:c>
      <x:c r="F4432" s="73" t="n">
        <x:v>1.1966</x:v>
      </x:c>
      <x:c r="G4432" s="74" t="n">
        <x:v>0.0003</x:v>
      </x:c>
      <x:c r="H4432" s="66" t="str">
        <x:v>钧誉厚德量化对冲11号净值20260911.xlsx</x:v>
      </x:c>
      <x:c r="I4432" s="73" t="str">
        <x:f>""</x:f>
      </x:c>
      <x:c r="J4432" s="74" t="str">
        <x:f>""</x:f>
      </x:c>
      <x:c r="K4432" s="73" t="str">
        <x:f>""</x:f>
      </x:c>
      <x:c r="L4432" s="74" t="str">
        <x:f>""</x:f>
      </x:c>
      <x:c r="M4432" s="73" t="n">
        <x:f>MAX(M4431,F4432)</x:f>
        <x:v>1.1966</x:v>
      </x:c>
      <x:c r="N4432" s="74" t="n">
        <x:f>1-F4432/M4432</x:f>
        <x:v>0</x:v>
      </x:c>
    </x:row>
    <x:row r="4433" ht="27" customHeight="1">
      <x:c r="A4433" s="66" t="str">
        <x:v>SQN453</x:v>
      </x:c>
      <x:c r="B4433" s="66" t="str">
        <x:v>钧誉厚德量化对冲11号</x:v>
      </x:c>
      <x:c r="C4433" s="72" t="n">
        <x:v>44869</x:v>
      </x:c>
      <x:c r="D4433" s="73" t="n">
        <x:v>1.1971</x:v>
      </x:c>
      <x:c r="E4433" s="73" t="n">
        <x:v>1.1971</x:v>
      </x:c>
      <x:c r="F4433" s="73" t="n">
        <x:v>1.1971</x:v>
      </x:c>
      <x:c r="G4433" s="74" t="n">
        <x:v>0.0004</x:v>
      </x:c>
      <x:c r="H4433" s="66" t="str">
        <x:v>钧誉厚德量化对冲11号净值20260911.xlsx</x:v>
      </x:c>
      <x:c r="I4433" s="73" t="str">
        <x:f>""</x:f>
      </x:c>
      <x:c r="J4433" s="74" t="str">
        <x:f>""</x:f>
      </x:c>
      <x:c r="K4433" s="73" t="str">
        <x:f>""</x:f>
      </x:c>
      <x:c r="L4433" s="74" t="str">
        <x:f>""</x:f>
      </x:c>
      <x:c r="M4433" s="73" t="n">
        <x:f>MAX(M4432,F4433)</x:f>
        <x:v>1.1971</x:v>
      </x:c>
      <x:c r="N4433" s="74" t="n">
        <x:f>1-F4433/M4433</x:f>
        <x:v>0</x:v>
      </x:c>
    </x:row>
    <x:row r="4434" ht="27" customHeight="1">
      <x:c r="A4434" s="66" t="str">
        <x:v>SQN453</x:v>
      </x:c>
      <x:c r="B4434" s="66" t="str">
        <x:v>钧誉厚德量化对冲11号</x:v>
      </x:c>
      <x:c r="C4434" s="72" t="n">
        <x:v>44872</x:v>
      </x:c>
      <x:c r="D4434" s="73" t="n">
        <x:v>1.1977</x:v>
      </x:c>
      <x:c r="E4434" s="73" t="n">
        <x:v>1.1977</x:v>
      </x:c>
      <x:c r="F4434" s="73" t="n">
        <x:v>1.1977</x:v>
      </x:c>
      <x:c r="G4434" s="74" t="n">
        <x:v>0.0005</x:v>
      </x:c>
      <x:c r="H4434" s="66" t="str">
        <x:v>钧誉厚德量化对冲11号净值20260911.xlsx</x:v>
      </x:c>
      <x:c r="I4434" s="73" t="str">
        <x:f>""</x:f>
      </x:c>
      <x:c r="J4434" s="74" t="str">
        <x:f>""</x:f>
      </x:c>
      <x:c r="K4434" s="73" t="str">
        <x:f>""</x:f>
      </x:c>
      <x:c r="L4434" s="74" t="str">
        <x:f>""</x:f>
      </x:c>
      <x:c r="M4434" s="73" t="n">
        <x:f>MAX(M4433,F4434)</x:f>
        <x:v>1.1977</x:v>
      </x:c>
      <x:c r="N4434" s="74" t="n">
        <x:f>1-F4434/M4434</x:f>
        <x:v>0</x:v>
      </x:c>
    </x:row>
    <x:row r="4435" ht="27" customHeight="1">
      <x:c r="A4435" s="66" t="str">
        <x:v>SQN453</x:v>
      </x:c>
      <x:c r="B4435" s="66" t="str">
        <x:v>钧誉厚德量化对冲11号</x:v>
      </x:c>
      <x:c r="C4435" s="72" t="n">
        <x:v>44873</x:v>
      </x:c>
      <x:c r="D4435" s="73" t="n">
        <x:v>1.1977</x:v>
      </x:c>
      <x:c r="E4435" s="73" t="n">
        <x:v>1.1977</x:v>
      </x:c>
      <x:c r="F4435" s="73" t="n">
        <x:v>1.1977</x:v>
      </x:c>
      <x:c r="G4435" s="74" t="n">
        <x:v>0</x:v>
      </x:c>
      <x:c r="H4435" s="66" t="str">
        <x:v>钧誉厚德量化对冲11号净值20260911.xlsx</x:v>
      </x:c>
      <x:c r="I4435" s="73" t="str">
        <x:f>""</x:f>
      </x:c>
      <x:c r="J4435" s="74" t="str">
        <x:f>""</x:f>
      </x:c>
      <x:c r="K4435" s="73" t="str">
        <x:f>""</x:f>
      </x:c>
      <x:c r="L4435" s="74" t="str">
        <x:f>""</x:f>
      </x:c>
      <x:c r="M4435" s="73" t="n">
        <x:f>MAX(M4434,F4435)</x:f>
        <x:v>1.1977</x:v>
      </x:c>
      <x:c r="N4435" s="74" t="n">
        <x:f>1-F4435/M4435</x:f>
        <x:v>0</x:v>
      </x:c>
    </x:row>
    <x:row r="4436" ht="27" customHeight="1">
      <x:c r="A4436" s="66" t="str">
        <x:v>SQN453</x:v>
      </x:c>
      <x:c r="B4436" s="66" t="str">
        <x:v>钧誉厚德量化对冲11号</x:v>
      </x:c>
      <x:c r="C4436" s="72" t="n">
        <x:v>44874</x:v>
      </x:c>
      <x:c r="D4436" s="73" t="n">
        <x:v>1.198</x:v>
      </x:c>
      <x:c r="E4436" s="73" t="n">
        <x:v>1.198</x:v>
      </x:c>
      <x:c r="F4436" s="73" t="n">
        <x:v>1.198</x:v>
      </x:c>
      <x:c r="G4436" s="74" t="n">
        <x:v>0.0003</x:v>
      </x:c>
      <x:c r="H4436" s="66" t="str">
        <x:v>钧誉厚德量化对冲11号净值20260911.xlsx</x:v>
      </x:c>
      <x:c r="I4436" s="73" t="str">
        <x:f>""</x:f>
      </x:c>
      <x:c r="J4436" s="74" t="str">
        <x:f>""</x:f>
      </x:c>
      <x:c r="K4436" s="73" t="str">
        <x:f>""</x:f>
      </x:c>
      <x:c r="L4436" s="74" t="str">
        <x:f>""</x:f>
      </x:c>
      <x:c r="M4436" s="73" t="n">
        <x:f>MAX(M4435,F4436)</x:f>
        <x:v>1.198</x:v>
      </x:c>
      <x:c r="N4436" s="74" t="n">
        <x:f>1-F4436/M4436</x:f>
        <x:v>0</x:v>
      </x:c>
    </x:row>
    <x:row r="4437" ht="27" customHeight="1">
      <x:c r="A4437" s="66" t="str">
        <x:v>SQN453</x:v>
      </x:c>
      <x:c r="B4437" s="66" t="str">
        <x:v>钧誉厚德量化对冲11号</x:v>
      </x:c>
      <x:c r="C4437" s="72" t="n">
        <x:v>44875</x:v>
      </x:c>
      <x:c r="D4437" s="73" t="n">
        <x:v>1.1981</x:v>
      </x:c>
      <x:c r="E4437" s="73" t="n">
        <x:v>1.1981</x:v>
      </x:c>
      <x:c r="F4437" s="73" t="n">
        <x:v>1.1981</x:v>
      </x:c>
      <x:c r="G4437" s="74" t="n">
        <x:v>0.0001</x:v>
      </x:c>
      <x:c r="H4437" s="66" t="str">
        <x:v>钧誉厚德量化对冲11号净值20260911.xlsx</x:v>
      </x:c>
      <x:c r="I4437" s="73" t="str">
        <x:f>""</x:f>
      </x:c>
      <x:c r="J4437" s="74" t="str">
        <x:f>""</x:f>
      </x:c>
      <x:c r="K4437" s="73" t="str">
        <x:f>""</x:f>
      </x:c>
      <x:c r="L4437" s="74" t="str">
        <x:f>""</x:f>
      </x:c>
      <x:c r="M4437" s="73" t="n">
        <x:f>MAX(M4436,F4437)</x:f>
        <x:v>1.1981</x:v>
      </x:c>
      <x:c r="N4437" s="74" t="n">
        <x:f>1-F4437/M4437</x:f>
        <x:v>0</x:v>
      </x:c>
    </x:row>
    <x:row r="4438" ht="27" customHeight="1">
      <x:c r="A4438" s="66" t="str">
        <x:v>SQN453</x:v>
      </x:c>
      <x:c r="B4438" s="66" t="str">
        <x:v>钧誉厚德量化对冲11号</x:v>
      </x:c>
      <x:c r="C4438" s="72" t="n">
        <x:v>44876</x:v>
      </x:c>
      <x:c r="D4438" s="73" t="n">
        <x:v>1.1981</x:v>
      </x:c>
      <x:c r="E4438" s="73" t="n">
        <x:v>1.1981</x:v>
      </x:c>
      <x:c r="F4438" s="73" t="n">
        <x:v>1.1981</x:v>
      </x:c>
      <x:c r="G4438" s="74" t="n">
        <x:v>0</x:v>
      </x:c>
      <x:c r="H4438" s="66" t="str">
        <x:v>钧誉厚德量化对冲11号净值20260911.xlsx</x:v>
      </x:c>
      <x:c r="I4438" s="73" t="str">
        <x:f>""</x:f>
      </x:c>
      <x:c r="J4438" s="74" t="str">
        <x:f>""</x:f>
      </x:c>
      <x:c r="K4438" s="73" t="str">
        <x:f>""</x:f>
      </x:c>
      <x:c r="L4438" s="74" t="str">
        <x:f>""</x:f>
      </x:c>
      <x:c r="M4438" s="73" t="n">
        <x:f>MAX(M4437,F4438)</x:f>
        <x:v>1.1981</x:v>
      </x:c>
      <x:c r="N4438" s="74" t="n">
        <x:f>1-F4438/M4438</x:f>
        <x:v>0</x:v>
      </x:c>
    </x:row>
    <x:row r="4439" ht="27" customHeight="1">
      <x:c r="A4439" s="66" t="str">
        <x:v>SQN453</x:v>
      </x:c>
      <x:c r="B4439" s="66" t="str">
        <x:v>钧誉厚德量化对冲11号</x:v>
      </x:c>
      <x:c r="C4439" s="72" t="n">
        <x:v>44879</x:v>
      </x:c>
      <x:c r="D4439" s="73" t="n">
        <x:v>1.1985</x:v>
      </x:c>
      <x:c r="E4439" s="73" t="n">
        <x:v>1.1985</x:v>
      </x:c>
      <x:c r="F4439" s="73" t="n">
        <x:v>1.1985</x:v>
      </x:c>
      <x:c r="G4439" s="74" t="n">
        <x:v>0.0003</x:v>
      </x:c>
      <x:c r="H4439" s="66" t="str">
        <x:v>钧誉厚德量化对冲11号净值20260911.xlsx</x:v>
      </x:c>
      <x:c r="I4439" s="73" t="str">
        <x:f>""</x:f>
      </x:c>
      <x:c r="J4439" s="74" t="str">
        <x:f>""</x:f>
      </x:c>
      <x:c r="K4439" s="73" t="str">
        <x:f>""</x:f>
      </x:c>
      <x:c r="L4439" s="74" t="str">
        <x:f>""</x:f>
      </x:c>
      <x:c r="M4439" s="73" t="n">
        <x:f>MAX(M4438,F4439)</x:f>
        <x:v>1.1985</x:v>
      </x:c>
      <x:c r="N4439" s="74" t="n">
        <x:f>1-F4439/M4439</x:f>
        <x:v>0</x:v>
      </x:c>
    </x:row>
    <x:row r="4440" ht="27" customHeight="1">
      <x:c r="A4440" s="66" t="str">
        <x:v>SQN453</x:v>
      </x:c>
      <x:c r="B4440" s="66" t="str">
        <x:v>钧誉厚德量化对冲11号</x:v>
      </x:c>
      <x:c r="C4440" s="72" t="n">
        <x:v>44880</x:v>
      </x:c>
      <x:c r="D4440" s="73" t="n">
        <x:v>1.1985</x:v>
      </x:c>
      <x:c r="E4440" s="73" t="n">
        <x:v>1.1985</x:v>
      </x:c>
      <x:c r="F4440" s="73" t="n">
        <x:v>1.1985</x:v>
      </x:c>
      <x:c r="G4440" s="74" t="n">
        <x:v>0</x:v>
      </x:c>
      <x:c r="H4440" s="66" t="str">
        <x:v>钧誉厚德量化对冲11号净值20260911.xlsx</x:v>
      </x:c>
      <x:c r="I4440" s="73" t="str">
        <x:f>""</x:f>
      </x:c>
      <x:c r="J4440" s="74" t="str">
        <x:f>""</x:f>
      </x:c>
      <x:c r="K4440" s="73" t="str">
        <x:f>""</x:f>
      </x:c>
      <x:c r="L4440" s="74" t="str">
        <x:f>""</x:f>
      </x:c>
      <x:c r="M4440" s="73" t="n">
        <x:f>MAX(M4439,F4440)</x:f>
        <x:v>1.1985</x:v>
      </x:c>
      <x:c r="N4440" s="74" t="n">
        <x:f>1-F4440/M4440</x:f>
        <x:v>0</x:v>
      </x:c>
    </x:row>
    <x:row r="4441" ht="27" customHeight="1">
      <x:c r="A4441" s="66" t="str">
        <x:v>SQN453</x:v>
      </x:c>
      <x:c r="B4441" s="66" t="str">
        <x:v>钧誉厚德量化对冲11号</x:v>
      </x:c>
      <x:c r="C4441" s="72" t="n">
        <x:v>44881</x:v>
      </x:c>
      <x:c r="D4441" s="73" t="n">
        <x:v>1.1989</x:v>
      </x:c>
      <x:c r="E4441" s="73" t="n">
        <x:v>1.1989</x:v>
      </x:c>
      <x:c r="F4441" s="73" t="n">
        <x:v>1.1989</x:v>
      </x:c>
      <x:c r="G4441" s="74" t="n">
        <x:v>0.0003</x:v>
      </x:c>
      <x:c r="H4441" s="66" t="str">
        <x:v>钧誉厚德量化对冲11号净值20260911.xlsx</x:v>
      </x:c>
      <x:c r="I4441" s="73" t="str">
        <x:f>""</x:f>
      </x:c>
      <x:c r="J4441" s="74" t="str">
        <x:f>""</x:f>
      </x:c>
      <x:c r="K4441" s="73" t="str">
        <x:f>""</x:f>
      </x:c>
      <x:c r="L4441" s="74" t="str">
        <x:f>""</x:f>
      </x:c>
      <x:c r="M4441" s="73" t="n">
        <x:f>MAX(M4440,F4441)</x:f>
        <x:v>1.1989</x:v>
      </x:c>
      <x:c r="N4441" s="74" t="n">
        <x:f>1-F4441/M4441</x:f>
        <x:v>0</x:v>
      </x:c>
    </x:row>
    <x:row r="4442" ht="27" customHeight="1">
      <x:c r="A4442" s="66" t="str">
        <x:v>SQN453</x:v>
      </x:c>
      <x:c r="B4442" s="66" t="str">
        <x:v>钧誉厚德量化对冲11号</x:v>
      </x:c>
      <x:c r="C4442" s="72" t="n">
        <x:v>44882</x:v>
      </x:c>
      <x:c r="D4442" s="73" t="n">
        <x:v>1.1995</x:v>
      </x:c>
      <x:c r="E4442" s="73" t="n">
        <x:v>1.1995</x:v>
      </x:c>
      <x:c r="F4442" s="73" t="n">
        <x:v>1.1995</x:v>
      </x:c>
      <x:c r="G4442" s="74" t="n">
        <x:v>0.0005</x:v>
      </x:c>
      <x:c r="H4442" s="66" t="str">
        <x:v>钧誉厚德量化对冲11号净值20260911.xlsx</x:v>
      </x:c>
      <x:c r="I4442" s="73" t="str">
        <x:f>""</x:f>
      </x:c>
      <x:c r="J4442" s="74" t="str">
        <x:f>""</x:f>
      </x:c>
      <x:c r="K4442" s="73" t="str">
        <x:f>""</x:f>
      </x:c>
      <x:c r="L4442" s="74" t="str">
        <x:f>""</x:f>
      </x:c>
      <x:c r="M4442" s="73" t="n">
        <x:f>MAX(M4441,F4442)</x:f>
        <x:v>1.1995</x:v>
      </x:c>
      <x:c r="N4442" s="74" t="n">
        <x:f>1-F4442/M4442</x:f>
        <x:v>0</x:v>
      </x:c>
    </x:row>
    <x:row r="4443" ht="27" customHeight="1">
      <x:c r="A4443" s="66" t="str">
        <x:v>SQN453</x:v>
      </x:c>
      <x:c r="B4443" s="66" t="str">
        <x:v>钧誉厚德量化对冲11号</x:v>
      </x:c>
      <x:c r="C4443" s="72" t="n">
        <x:v>44883</x:v>
      </x:c>
      <x:c r="D4443" s="73" t="n">
        <x:v>1.1997</x:v>
      </x:c>
      <x:c r="E4443" s="73" t="n">
        <x:v>1.1997</x:v>
      </x:c>
      <x:c r="F4443" s="73" t="n">
        <x:v>1.1997</x:v>
      </x:c>
      <x:c r="G4443" s="74" t="n">
        <x:v>0.0002</x:v>
      </x:c>
      <x:c r="H4443" s="66" t="str">
        <x:v>钧誉厚德量化对冲11号净值20260911.xlsx</x:v>
      </x:c>
      <x:c r="I4443" s="73" t="str">
        <x:f>""</x:f>
      </x:c>
      <x:c r="J4443" s="74" t="str">
        <x:f>""</x:f>
      </x:c>
      <x:c r="K4443" s="73" t="str">
        <x:f>""</x:f>
      </x:c>
      <x:c r="L4443" s="74" t="str">
        <x:f>""</x:f>
      </x:c>
      <x:c r="M4443" s="73" t="n">
        <x:f>MAX(M4442,F4443)</x:f>
        <x:v>1.1997</x:v>
      </x:c>
      <x:c r="N4443" s="74" t="n">
        <x:f>1-F4443/M4443</x:f>
        <x:v>0</x:v>
      </x:c>
    </x:row>
    <x:row r="4444" ht="27" customHeight="1">
      <x:c r="A4444" s="66" t="str">
        <x:v>SQN453</x:v>
      </x:c>
      <x:c r="B4444" s="66" t="str">
        <x:v>钧誉厚德量化对冲11号</x:v>
      </x:c>
      <x:c r="C4444" s="72" t="n">
        <x:v>44886</x:v>
      </x:c>
      <x:c r="D4444" s="73" t="n">
        <x:v>1.2001</x:v>
      </x:c>
      <x:c r="E4444" s="73" t="n">
        <x:v>1.2001</x:v>
      </x:c>
      <x:c r="F4444" s="73" t="n">
        <x:v>1.2001</x:v>
      </x:c>
      <x:c r="G4444" s="74" t="n">
        <x:v>0.0003</x:v>
      </x:c>
      <x:c r="H4444" s="66" t="str">
        <x:v>钧誉厚德量化对冲11号净值20260911.xlsx</x:v>
      </x:c>
      <x:c r="I4444" s="73" t="str">
        <x:f>""</x:f>
      </x:c>
      <x:c r="J4444" s="74" t="str">
        <x:f>""</x:f>
      </x:c>
      <x:c r="K4444" s="73" t="str">
        <x:f>""</x:f>
      </x:c>
      <x:c r="L4444" s="74" t="str">
        <x:f>""</x:f>
      </x:c>
      <x:c r="M4444" s="73" t="n">
        <x:f>MAX(M4443,F4444)</x:f>
        <x:v>1.2001</x:v>
      </x:c>
      <x:c r="N4444" s="74" t="n">
        <x:f>1-F4444/M4444</x:f>
        <x:v>0</x:v>
      </x:c>
    </x:row>
    <x:row r="4445" ht="27" customHeight="1">
      <x:c r="A4445" s="66" t="str">
        <x:v>SQN453</x:v>
      </x:c>
      <x:c r="B4445" s="66" t="str">
        <x:v>钧誉厚德量化对冲11号</x:v>
      </x:c>
      <x:c r="C4445" s="72" t="n">
        <x:v>44887</x:v>
      </x:c>
      <x:c r="D4445" s="73" t="n">
        <x:v>1.2001</x:v>
      </x:c>
      <x:c r="E4445" s="73" t="n">
        <x:v>1.2001</x:v>
      </x:c>
      <x:c r="F4445" s="73" t="n">
        <x:v>1.2001</x:v>
      </x:c>
      <x:c r="G4445" s="74" t="n">
        <x:v>0</x:v>
      </x:c>
      <x:c r="H4445" s="66" t="str">
        <x:v>钧誉厚德量化对冲11号净值20260911.xlsx</x:v>
      </x:c>
      <x:c r="I4445" s="73" t="str">
        <x:f>""</x:f>
      </x:c>
      <x:c r="J4445" s="74" t="str">
        <x:f>""</x:f>
      </x:c>
      <x:c r="K4445" s="73" t="str">
        <x:f>""</x:f>
      </x:c>
      <x:c r="L4445" s="74" t="str">
        <x:f>""</x:f>
      </x:c>
      <x:c r="M4445" s="73" t="n">
        <x:f>MAX(M4444,F4445)</x:f>
        <x:v>1.2001</x:v>
      </x:c>
      <x:c r="N4445" s="74" t="n">
        <x:f>1-F4445/M4445</x:f>
        <x:v>0</x:v>
      </x:c>
    </x:row>
    <x:row r="4446" ht="27" customHeight="1">
      <x:c r="A4446" s="66" t="str">
        <x:v>SQN453</x:v>
      </x:c>
      <x:c r="B4446" s="66" t="str">
        <x:v>钧誉厚德量化对冲11号</x:v>
      </x:c>
      <x:c r="C4446" s="72" t="n">
        <x:v>44888</x:v>
      </x:c>
      <x:c r="D4446" s="73" t="n">
        <x:v>1.201</x:v>
      </x:c>
      <x:c r="E4446" s="73" t="n">
        <x:v>1.201</x:v>
      </x:c>
      <x:c r="F4446" s="73" t="n">
        <x:v>1.201</x:v>
      </x:c>
      <x:c r="G4446" s="74" t="n">
        <x:v>0.0007000000000000001</x:v>
      </x:c>
      <x:c r="H4446" s="66" t="str">
        <x:v>钧誉厚德量化对冲11号净值20260911.xlsx</x:v>
      </x:c>
      <x:c r="I4446" s="73" t="str">
        <x:f>""</x:f>
      </x:c>
      <x:c r="J4446" s="74" t="str">
        <x:f>""</x:f>
      </x:c>
      <x:c r="K4446" s="73" t="str">
        <x:f>""</x:f>
      </x:c>
      <x:c r="L4446" s="74" t="str">
        <x:f>""</x:f>
      </x:c>
      <x:c r="M4446" s="73" t="n">
        <x:f>MAX(M4445,F4446)</x:f>
        <x:v>1.201</x:v>
      </x:c>
      <x:c r="N4446" s="74" t="n">
        <x:f>1-F4446/M4446</x:f>
        <x:v>0</x:v>
      </x:c>
    </x:row>
    <x:row r="4447" ht="27" customHeight="1">
      <x:c r="A4447" s="66" t="str">
        <x:v>SQN453</x:v>
      </x:c>
      <x:c r="B4447" s="66" t="str">
        <x:v>钧誉厚德量化对冲11号</x:v>
      </x:c>
      <x:c r="C4447" s="72" t="n">
        <x:v>44889</x:v>
      </x:c>
      <x:c r="D4447" s="73" t="n">
        <x:v>1.2014</x:v>
      </x:c>
      <x:c r="E4447" s="73" t="n">
        <x:v>1.2014</x:v>
      </x:c>
      <x:c r="F4447" s="73" t="n">
        <x:v>1.2014</x:v>
      </x:c>
      <x:c r="G4447" s="74" t="n">
        <x:v>0.0003</x:v>
      </x:c>
      <x:c r="H4447" s="66" t="str">
        <x:v>钧誉厚德量化对冲11号净值20260911.xlsx</x:v>
      </x:c>
      <x:c r="I4447" s="73" t="str">
        <x:f>""</x:f>
      </x:c>
      <x:c r="J4447" s="74" t="str">
        <x:f>""</x:f>
      </x:c>
      <x:c r="K4447" s="73" t="str">
        <x:f>""</x:f>
      </x:c>
      <x:c r="L4447" s="74" t="str">
        <x:f>""</x:f>
      </x:c>
      <x:c r="M4447" s="73" t="n">
        <x:f>MAX(M4446,F4447)</x:f>
        <x:v>1.2014</x:v>
      </x:c>
      <x:c r="N4447" s="74" t="n">
        <x:f>1-F4447/M4447</x:f>
        <x:v>0</x:v>
      </x:c>
    </x:row>
    <x:row r="4448" ht="27" customHeight="1">
      <x:c r="A4448" s="66" t="str">
        <x:v>SQN453</x:v>
      </x:c>
      <x:c r="B4448" s="66" t="str">
        <x:v>钧誉厚德量化对冲11号</x:v>
      </x:c>
      <x:c r="C4448" s="72" t="n">
        <x:v>44890</x:v>
      </x:c>
      <x:c r="D4448" s="73" t="n">
        <x:v>1.2015</x:v>
      </x:c>
      <x:c r="E4448" s="73" t="n">
        <x:v>1.2015</x:v>
      </x:c>
      <x:c r="F4448" s="73" t="n">
        <x:v>1.2015</x:v>
      </x:c>
      <x:c r="G4448" s="74" t="n">
        <x:v>0.0001</x:v>
      </x:c>
      <x:c r="H4448" s="66" t="str">
        <x:v>钧誉厚德量化对冲11号净值20260911.xlsx</x:v>
      </x:c>
      <x:c r="I4448" s="73" t="str">
        <x:f>""</x:f>
      </x:c>
      <x:c r="J4448" s="74" t="str">
        <x:f>""</x:f>
      </x:c>
      <x:c r="K4448" s="73" t="str">
        <x:f>""</x:f>
      </x:c>
      <x:c r="L4448" s="74" t="str">
        <x:f>""</x:f>
      </x:c>
      <x:c r="M4448" s="73" t="n">
        <x:f>MAX(M4447,F4448)</x:f>
        <x:v>1.2015</x:v>
      </x:c>
      <x:c r="N4448" s="74" t="n">
        <x:f>1-F4448/M4448</x:f>
        <x:v>0</x:v>
      </x:c>
    </x:row>
    <x:row r="4449" ht="27" customHeight="1">
      <x:c r="A4449" s="66" t="str">
        <x:v>SQN453</x:v>
      </x:c>
      <x:c r="B4449" s="66" t="str">
        <x:v>钧誉厚德量化对冲11号</x:v>
      </x:c>
      <x:c r="C4449" s="72" t="n">
        <x:v>44893</x:v>
      </x:c>
      <x:c r="D4449" s="73" t="n">
        <x:v>1.2021</x:v>
      </x:c>
      <x:c r="E4449" s="73" t="n">
        <x:v>1.2021</x:v>
      </x:c>
      <x:c r="F4449" s="73" t="n">
        <x:v>1.2021</x:v>
      </x:c>
      <x:c r="G4449" s="74" t="n">
        <x:v>0.0005</x:v>
      </x:c>
      <x:c r="H4449" s="66" t="str">
        <x:v>钧誉厚德量化对冲11号净值20260911.xlsx</x:v>
      </x:c>
      <x:c r="I4449" s="73" t="str">
        <x:f>""</x:f>
      </x:c>
      <x:c r="J4449" s="74" t="str">
        <x:f>""</x:f>
      </x:c>
      <x:c r="K4449" s="73" t="str">
        <x:f>""</x:f>
      </x:c>
      <x:c r="L4449" s="74" t="str">
        <x:f>""</x:f>
      </x:c>
      <x:c r="M4449" s="73" t="n">
        <x:f>MAX(M4448,F4449)</x:f>
        <x:v>1.2021</x:v>
      </x:c>
      <x:c r="N4449" s="74" t="n">
        <x:f>1-F4449/M4449</x:f>
        <x:v>0</x:v>
      </x:c>
    </x:row>
    <x:row r="4450" ht="27" customHeight="1">
      <x:c r="A4450" s="66" t="str">
        <x:v>SQN453</x:v>
      </x:c>
      <x:c r="B4450" s="66" t="str">
        <x:v>钧誉厚德量化对冲11号</x:v>
      </x:c>
      <x:c r="C4450" s="72" t="n">
        <x:v>44894</x:v>
      </x:c>
      <x:c r="D4450" s="73" t="n">
        <x:v>1.2024</x:v>
      </x:c>
      <x:c r="E4450" s="73" t="n">
        <x:v>1.2024</x:v>
      </x:c>
      <x:c r="F4450" s="73" t="n">
        <x:v>1.2024</x:v>
      </x:c>
      <x:c r="G4450" s="74" t="n">
        <x:v>0.0002</x:v>
      </x:c>
      <x:c r="H4450" s="66" t="str">
        <x:v>钧誉厚德量化对冲11号净值20260911.xlsx</x:v>
      </x:c>
      <x:c r="I4450" s="73" t="str">
        <x:f>""</x:f>
      </x:c>
      <x:c r="J4450" s="74" t="str">
        <x:f>""</x:f>
      </x:c>
      <x:c r="K4450" s="73" t="str">
        <x:f>""</x:f>
      </x:c>
      <x:c r="L4450" s="74" t="str">
        <x:f>""</x:f>
      </x:c>
      <x:c r="M4450" s="73" t="n">
        <x:f>MAX(M4449,F4450)</x:f>
        <x:v>1.2024</x:v>
      </x:c>
      <x:c r="N4450" s="74" t="n">
        <x:f>1-F4450/M4450</x:f>
        <x:v>0</x:v>
      </x:c>
    </x:row>
    <x:row r="4451" ht="27" customHeight="1">
      <x:c r="A4451" s="66" t="str">
        <x:v>SQN453</x:v>
      </x:c>
      <x:c r="B4451" s="66" t="str">
        <x:v>钧誉厚德量化对冲11号</x:v>
      </x:c>
      <x:c r="C4451" s="72" t="n">
        <x:v>44895</x:v>
      </x:c>
      <x:c r="D4451" s="73" t="n">
        <x:v>1.2023</x:v>
      </x:c>
      <x:c r="E4451" s="73" t="n">
        <x:v>1.2023</x:v>
      </x:c>
      <x:c r="F4451" s="73" t="n">
        <x:v>1.2023</x:v>
      </x:c>
      <x:c r="G4451" s="74" t="n">
        <x:v>-0.0001</x:v>
      </x:c>
      <x:c r="H4451" s="66" t="str">
        <x:v>钧誉厚德量化对冲11号净值20260911.xlsx</x:v>
      </x:c>
      <x:c r="I4451" s="73" t="str">
        <x:f>""</x:f>
      </x:c>
      <x:c r="J4451" s="74" t="str">
        <x:f>""</x:f>
      </x:c>
      <x:c r="K4451" s="73" t="str">
        <x:f>""</x:f>
      </x:c>
      <x:c r="L4451" s="74" t="str">
        <x:f>""</x:f>
      </x:c>
      <x:c r="M4451" s="73" t="n">
        <x:f>MAX(M4450,F4451)</x:f>
        <x:v>1.2024</x:v>
      </x:c>
      <x:c r="N4451" s="74" t="n">
        <x:f>1-F4451/M4451</x:f>
        <x:v>0.00008316699933463845</x:v>
      </x:c>
    </x:row>
    <x:row r="4452" ht="27" customHeight="1">
      <x:c r="A4452" s="66" t="str">
        <x:v>SQN453</x:v>
      </x:c>
      <x:c r="B4452" s="66" t="str">
        <x:v>钧誉厚德量化对冲11号</x:v>
      </x:c>
      <x:c r="C4452" s="72" t="n">
        <x:v>44896</x:v>
      </x:c>
      <x:c r="D4452" s="73" t="n">
        <x:v>1.2025</x:v>
      </x:c>
      <x:c r="E4452" s="73" t="n">
        <x:v>1.2025</x:v>
      </x:c>
      <x:c r="F4452" s="73" t="n">
        <x:v>1.2025</x:v>
      </x:c>
      <x:c r="G4452" s="74" t="n">
        <x:v>0.0002</x:v>
      </x:c>
      <x:c r="H4452" s="66" t="str">
        <x:v>钧誉厚德量化对冲11号净值20260911.xlsx</x:v>
      </x:c>
      <x:c r="I4452" s="73" t="str">
        <x:f>""</x:f>
      </x:c>
      <x:c r="J4452" s="74" t="str">
        <x:f>""</x:f>
      </x:c>
      <x:c r="K4452" s="73" t="str">
        <x:f>""</x:f>
      </x:c>
      <x:c r="L4452" s="74" t="str">
        <x:f>""</x:f>
      </x:c>
      <x:c r="M4452" s="73" t="n">
        <x:f>MAX(M4451,F4452)</x:f>
        <x:v>1.2025</x:v>
      </x:c>
      <x:c r="N4452" s="74" t="n">
        <x:f>1-F4452/M4452</x:f>
        <x:v>0</x:v>
      </x:c>
    </x:row>
    <x:row r="4453" ht="27" customHeight="1">
      <x:c r="A4453" s="66" t="str">
        <x:v>SQN453</x:v>
      </x:c>
      <x:c r="B4453" s="66" t="str">
        <x:v>钧誉厚德量化对冲11号</x:v>
      </x:c>
      <x:c r="C4453" s="72" t="n">
        <x:v>44897</x:v>
      </x:c>
      <x:c r="D4453" s="73" t="n">
        <x:v>1.2027</x:v>
      </x:c>
      <x:c r="E4453" s="73" t="n">
        <x:v>1.2027</x:v>
      </x:c>
      <x:c r="F4453" s="73" t="n">
        <x:v>1.2027</x:v>
      </x:c>
      <x:c r="G4453" s="74" t="n">
        <x:v>0.0002</x:v>
      </x:c>
      <x:c r="H4453" s="66" t="str">
        <x:v>钧誉厚德量化对冲11号净值20260911.xlsx</x:v>
      </x:c>
      <x:c r="I4453" s="73" t="str">
        <x:f>""</x:f>
      </x:c>
      <x:c r="J4453" s="74" t="str">
        <x:f>""</x:f>
      </x:c>
      <x:c r="K4453" s="73" t="str">
        <x:f>""</x:f>
      </x:c>
      <x:c r="L4453" s="74" t="str">
        <x:f>""</x:f>
      </x:c>
      <x:c r="M4453" s="73" t="n">
        <x:f>MAX(M4452,F4453)</x:f>
        <x:v>1.2027</x:v>
      </x:c>
      <x:c r="N4453" s="74" t="n">
        <x:f>1-F4453/M4453</x:f>
        <x:v>0</x:v>
      </x:c>
    </x:row>
    <x:row r="4454" ht="27" customHeight="1">
      <x:c r="A4454" s="66" t="str">
        <x:v>SQN453</x:v>
      </x:c>
      <x:c r="B4454" s="66" t="str">
        <x:v>钧誉厚德量化对冲11号</x:v>
      </x:c>
      <x:c r="C4454" s="72" t="n">
        <x:v>44900</x:v>
      </x:c>
      <x:c r="D4454" s="73" t="n">
        <x:v>1.2028</x:v>
      </x:c>
      <x:c r="E4454" s="73" t="n">
        <x:v>1.2028</x:v>
      </x:c>
      <x:c r="F4454" s="73" t="n">
        <x:v>1.2028</x:v>
      </x:c>
      <x:c r="G4454" s="74" t="n">
        <x:v>0.0001</x:v>
      </x:c>
      <x:c r="H4454" s="66" t="str">
        <x:v>钧誉厚德量化对冲11号净值20260911.xlsx</x:v>
      </x:c>
      <x:c r="I4454" s="73" t="str">
        <x:f>""</x:f>
      </x:c>
      <x:c r="J4454" s="74" t="str">
        <x:f>""</x:f>
      </x:c>
      <x:c r="K4454" s="73" t="str">
        <x:f>""</x:f>
      </x:c>
      <x:c r="L4454" s="74" t="str">
        <x:f>""</x:f>
      </x:c>
      <x:c r="M4454" s="73" t="n">
        <x:f>MAX(M4453,F4454)</x:f>
        <x:v>1.2028</x:v>
      </x:c>
      <x:c r="N4454" s="74" t="n">
        <x:f>1-F4454/M4454</x:f>
        <x:v>0</x:v>
      </x:c>
    </x:row>
    <x:row r="4455" ht="27" customHeight="1">
      <x:c r="A4455" s="66" t="str">
        <x:v>SQN453</x:v>
      </x:c>
      <x:c r="B4455" s="66" t="str">
        <x:v>钧誉厚德量化对冲11号</x:v>
      </x:c>
      <x:c r="C4455" s="72" t="n">
        <x:v>44901</x:v>
      </x:c>
      <x:c r="D4455" s="73" t="n">
        <x:v>1.2028</x:v>
      </x:c>
      <x:c r="E4455" s="73" t="n">
        <x:v>1.2028</x:v>
      </x:c>
      <x:c r="F4455" s="73" t="n">
        <x:v>1.2028</x:v>
      </x:c>
      <x:c r="G4455" s="74" t="n">
        <x:v>0</x:v>
      </x:c>
      <x:c r="H4455" s="66" t="str">
        <x:v>钧誉厚德量化对冲11号净值20260911.xlsx</x:v>
      </x:c>
      <x:c r="I4455" s="73" t="str">
        <x:f>""</x:f>
      </x:c>
      <x:c r="J4455" s="74" t="str">
        <x:f>""</x:f>
      </x:c>
      <x:c r="K4455" s="73" t="str">
        <x:f>""</x:f>
      </x:c>
      <x:c r="L4455" s="74" t="str">
        <x:f>""</x:f>
      </x:c>
      <x:c r="M4455" s="73" t="n">
        <x:f>MAX(M4454,F4455)</x:f>
        <x:v>1.2028</x:v>
      </x:c>
      <x:c r="N4455" s="74" t="n">
        <x:f>1-F4455/M4455</x:f>
        <x:v>0</x:v>
      </x:c>
    </x:row>
    <x:row r="4456" ht="27" customHeight="1">
      <x:c r="A4456" s="66" t="str">
        <x:v>SQN453</x:v>
      </x:c>
      <x:c r="B4456" s="66" t="str">
        <x:v>钧誉厚德量化对冲11号</x:v>
      </x:c>
      <x:c r="C4456" s="72" t="n">
        <x:v>44902</x:v>
      </x:c>
      <x:c r="D4456" s="73" t="n">
        <x:v>1.2031</x:v>
      </x:c>
      <x:c r="E4456" s="73" t="n">
        <x:v>1.2031</x:v>
      </x:c>
      <x:c r="F4456" s="73" t="n">
        <x:v>1.2031</x:v>
      </x:c>
      <x:c r="G4456" s="74" t="n">
        <x:v>0.0002</x:v>
      </x:c>
      <x:c r="H4456" s="66" t="str">
        <x:v>钧誉厚德量化对冲11号净值20260911.xlsx</x:v>
      </x:c>
      <x:c r="I4456" s="73" t="str">
        <x:f>""</x:f>
      </x:c>
      <x:c r="J4456" s="74" t="str">
        <x:f>""</x:f>
      </x:c>
      <x:c r="K4456" s="73" t="str">
        <x:f>""</x:f>
      </x:c>
      <x:c r="L4456" s="74" t="str">
        <x:f>""</x:f>
      </x:c>
      <x:c r="M4456" s="73" t="n">
        <x:f>MAX(M4455,F4456)</x:f>
        <x:v>1.2031</x:v>
      </x:c>
      <x:c r="N4456" s="74" t="n">
        <x:f>1-F4456/M4456</x:f>
        <x:v>0</x:v>
      </x:c>
    </x:row>
    <x:row r="4457" ht="27" customHeight="1">
      <x:c r="A4457" s="66" t="str">
        <x:v>SQN453</x:v>
      </x:c>
      <x:c r="B4457" s="66" t="str">
        <x:v>钧誉厚德量化对冲11号</x:v>
      </x:c>
      <x:c r="C4457" s="72" t="n">
        <x:v>44903</x:v>
      </x:c>
      <x:c r="D4457" s="73" t="n">
        <x:v>1.2036</x:v>
      </x:c>
      <x:c r="E4457" s="73" t="n">
        <x:v>1.2036</x:v>
      </x:c>
      <x:c r="F4457" s="73" t="n">
        <x:v>1.2036</x:v>
      </x:c>
      <x:c r="G4457" s="74" t="n">
        <x:v>0.0004</x:v>
      </x:c>
      <x:c r="H4457" s="66" t="str">
        <x:v>钧誉厚德量化对冲11号净值20260911.xlsx</x:v>
      </x:c>
      <x:c r="I4457" s="73" t="str">
        <x:f>""</x:f>
      </x:c>
      <x:c r="J4457" s="74" t="str">
        <x:f>""</x:f>
      </x:c>
      <x:c r="K4457" s="73" t="str">
        <x:f>""</x:f>
      </x:c>
      <x:c r="L4457" s="74" t="str">
        <x:f>""</x:f>
      </x:c>
      <x:c r="M4457" s="73" t="n">
        <x:f>MAX(M4456,F4457)</x:f>
        <x:v>1.2036</x:v>
      </x:c>
      <x:c r="N4457" s="74" t="n">
        <x:f>1-F4457/M4457</x:f>
        <x:v>0</x:v>
      </x:c>
    </x:row>
    <x:row r="4458" ht="27" customHeight="1">
      <x:c r="A4458" s="66" t="str">
        <x:v>SQN453</x:v>
      </x:c>
      <x:c r="B4458" s="66" t="str">
        <x:v>钧誉厚德量化对冲11号</x:v>
      </x:c>
      <x:c r="C4458" s="72" t="n">
        <x:v>44904</x:v>
      </x:c>
      <x:c r="D4458" s="73" t="n">
        <x:v>1.2037</x:v>
      </x:c>
      <x:c r="E4458" s="73" t="n">
        <x:v>1.2037</x:v>
      </x:c>
      <x:c r="F4458" s="73" t="n">
        <x:v>1.2037</x:v>
      </x:c>
      <x:c r="G4458" s="74" t="n">
        <x:v>0.0001</x:v>
      </x:c>
      <x:c r="H4458" s="66" t="str">
        <x:v>钧誉厚德量化对冲11号净值20260911.xlsx</x:v>
      </x:c>
      <x:c r="I4458" s="73" t="str">
        <x:f>""</x:f>
      </x:c>
      <x:c r="J4458" s="74" t="str">
        <x:f>""</x:f>
      </x:c>
      <x:c r="K4458" s="73" t="str">
        <x:f>""</x:f>
      </x:c>
      <x:c r="L4458" s="74" t="str">
        <x:f>""</x:f>
      </x:c>
      <x:c r="M4458" s="73" t="n">
        <x:f>MAX(M4457,F4458)</x:f>
        <x:v>1.2037</x:v>
      </x:c>
      <x:c r="N4458" s="74" t="n">
        <x:f>1-F4458/M4458</x:f>
        <x:v>0</x:v>
      </x:c>
    </x:row>
    <x:row r="4459" ht="27" customHeight="1">
      <x:c r="A4459" s="66" t="str">
        <x:v>SQN453</x:v>
      </x:c>
      <x:c r="B4459" s="66" t="str">
        <x:v>钧誉厚德量化对冲11号</x:v>
      </x:c>
      <x:c r="C4459" s="72" t="n">
        <x:v>44907</x:v>
      </x:c>
      <x:c r="D4459" s="73" t="n">
        <x:v>1.2037</x:v>
      </x:c>
      <x:c r="E4459" s="73" t="n">
        <x:v>1.2037</x:v>
      </x:c>
      <x:c r="F4459" s="73" t="n">
        <x:v>1.2037</x:v>
      </x:c>
      <x:c r="G4459" s="74" t="n">
        <x:v>0</x:v>
      </x:c>
      <x:c r="H4459" s="66" t="str">
        <x:v>钧誉厚德量化对冲11号净值20260911.xlsx</x:v>
      </x:c>
      <x:c r="I4459" s="73" t="str">
        <x:f>""</x:f>
      </x:c>
      <x:c r="J4459" s="74" t="str">
        <x:f>""</x:f>
      </x:c>
      <x:c r="K4459" s="73" t="str">
        <x:f>""</x:f>
      </x:c>
      <x:c r="L4459" s="74" t="str">
        <x:f>""</x:f>
      </x:c>
      <x:c r="M4459" s="73" t="n">
        <x:f>MAX(M4458,F4459)</x:f>
        <x:v>1.2037</x:v>
      </x:c>
      <x:c r="N4459" s="74" t="n">
        <x:f>1-F4459/M4459</x:f>
        <x:v>0</x:v>
      </x:c>
    </x:row>
    <x:row r="4460" ht="27" customHeight="1">
      <x:c r="A4460" s="66" t="str">
        <x:v>SQN453</x:v>
      </x:c>
      <x:c r="B4460" s="66" t="str">
        <x:v>钧誉厚德量化对冲11号</x:v>
      </x:c>
      <x:c r="C4460" s="72" t="n">
        <x:v>44908</x:v>
      </x:c>
      <x:c r="D4460" s="73" t="n">
        <x:v>1.2039</x:v>
      </x:c>
      <x:c r="E4460" s="73" t="n">
        <x:v>1.2039</x:v>
      </x:c>
      <x:c r="F4460" s="73" t="n">
        <x:v>1.2039</x:v>
      </x:c>
      <x:c r="G4460" s="74" t="n">
        <x:v>0.0002</x:v>
      </x:c>
      <x:c r="H4460" s="66" t="str">
        <x:v>钧誉厚德量化对冲11号净值20260911.xlsx</x:v>
      </x:c>
      <x:c r="I4460" s="73" t="str">
        <x:f>""</x:f>
      </x:c>
      <x:c r="J4460" s="74" t="str">
        <x:f>""</x:f>
      </x:c>
      <x:c r="K4460" s="73" t="str">
        <x:f>""</x:f>
      </x:c>
      <x:c r="L4460" s="74" t="str">
        <x:f>""</x:f>
      </x:c>
      <x:c r="M4460" s="73" t="n">
        <x:f>MAX(M4459,F4460)</x:f>
        <x:v>1.2039</x:v>
      </x:c>
      <x:c r="N4460" s="74" t="n">
        <x:f>1-F4460/M4460</x:f>
        <x:v>0</x:v>
      </x:c>
    </x:row>
    <x:row r="4461" ht="27" customHeight="1">
      <x:c r="A4461" s="66" t="str">
        <x:v>SQN453</x:v>
      </x:c>
      <x:c r="B4461" s="66" t="str">
        <x:v>钧誉厚德量化对冲11号</x:v>
      </x:c>
      <x:c r="C4461" s="72" t="n">
        <x:v>44909</x:v>
      </x:c>
      <x:c r="D4461" s="73" t="n">
        <x:v>1.2036</x:v>
      </x:c>
      <x:c r="E4461" s="73" t="n">
        <x:v>1.2036</x:v>
      </x:c>
      <x:c r="F4461" s="73" t="n">
        <x:v>1.2036</x:v>
      </x:c>
      <x:c r="G4461" s="74" t="n">
        <x:v>-0.0002</x:v>
      </x:c>
      <x:c r="H4461" s="66" t="str">
        <x:v>钧誉厚德量化对冲11号净值20260911.xlsx</x:v>
      </x:c>
      <x:c r="I4461" s="73" t="str">
        <x:f>""</x:f>
      </x:c>
      <x:c r="J4461" s="74" t="str">
        <x:f>""</x:f>
      </x:c>
      <x:c r="K4461" s="73" t="str">
        <x:f>""</x:f>
      </x:c>
      <x:c r="L4461" s="74" t="str">
        <x:f>""</x:f>
      </x:c>
      <x:c r="M4461" s="73" t="n">
        <x:f>MAX(M4460,F4461)</x:f>
        <x:v>1.2039</x:v>
      </x:c>
      <x:c r="N4461" s="74" t="n">
        <x:f>1-F4461/M4461</x:f>
        <x:v>0.00024919013207069796</x:v>
      </x:c>
    </x:row>
    <x:row r="4462" ht="27" customHeight="1">
      <x:c r="A4462" s="66" t="str">
        <x:v>SQN453</x:v>
      </x:c>
      <x:c r="B4462" s="66" t="str">
        <x:v>钧誉厚德量化对冲11号</x:v>
      </x:c>
      <x:c r="C4462" s="72" t="n">
        <x:v>44910</x:v>
      </x:c>
      <x:c r="D4462" s="73" t="n">
        <x:v>1.2037</x:v>
      </x:c>
      <x:c r="E4462" s="73" t="n">
        <x:v>1.2037</x:v>
      </x:c>
      <x:c r="F4462" s="73" t="n">
        <x:v>1.2037</x:v>
      </x:c>
      <x:c r="G4462" s="74" t="n">
        <x:v>0.0001</x:v>
      </x:c>
      <x:c r="H4462" s="66" t="str">
        <x:v>钧誉厚德量化对冲11号净值20260911.xlsx</x:v>
      </x:c>
      <x:c r="I4462" s="73" t="str">
        <x:f>""</x:f>
      </x:c>
      <x:c r="J4462" s="74" t="str">
        <x:f>""</x:f>
      </x:c>
      <x:c r="K4462" s="73" t="str">
        <x:f>""</x:f>
      </x:c>
      <x:c r="L4462" s="74" t="str">
        <x:f>""</x:f>
      </x:c>
      <x:c r="M4462" s="73" t="n">
        <x:f>MAX(M4461,F4462)</x:f>
        <x:v>1.2039</x:v>
      </x:c>
      <x:c r="N4462" s="74" t="n">
        <x:f>1-F4462/M4462</x:f>
        <x:v>0.00016612675471383564</x:v>
      </x:c>
    </x:row>
    <x:row r="4463" ht="27" customHeight="1">
      <x:c r="A4463" s="66" t="str">
        <x:v>SQN453</x:v>
      </x:c>
      <x:c r="B4463" s="66" t="str">
        <x:v>钧誉厚德量化对冲11号</x:v>
      </x:c>
      <x:c r="C4463" s="72" t="n">
        <x:v>44911</x:v>
      </x:c>
      <x:c r="D4463" s="73" t="n">
        <x:v>1.2038</x:v>
      </x:c>
      <x:c r="E4463" s="73" t="n">
        <x:v>1.2038</x:v>
      </x:c>
      <x:c r="F4463" s="73" t="n">
        <x:v>1.2038</x:v>
      </x:c>
      <x:c r="G4463" s="74" t="n">
        <x:v>0.0001</x:v>
      </x:c>
      <x:c r="H4463" s="66" t="str">
        <x:v>钧誉厚德量化对冲11号净值20260911.xlsx</x:v>
      </x:c>
      <x:c r="I4463" s="73" t="str">
        <x:f>""</x:f>
      </x:c>
      <x:c r="J4463" s="74" t="str">
        <x:f>""</x:f>
      </x:c>
      <x:c r="K4463" s="73" t="str">
        <x:f>""</x:f>
      </x:c>
      <x:c r="L4463" s="74" t="str">
        <x:f>""</x:f>
      </x:c>
      <x:c r="M4463" s="73" t="n">
        <x:f>MAX(M4462,F4463)</x:f>
        <x:v>1.2039</x:v>
      </x:c>
      <x:c r="N4463" s="74" t="n">
        <x:f>1-F4463/M4463</x:f>
        <x:v>0.00008306337735686231</x:v>
      </x:c>
    </x:row>
    <x:row r="4464" ht="27" customHeight="1">
      <x:c r="A4464" s="66" t="str">
        <x:v>SQN453</x:v>
      </x:c>
      <x:c r="B4464" s="66" t="str">
        <x:v>钧誉厚德量化对冲11号</x:v>
      </x:c>
      <x:c r="C4464" s="72" t="n">
        <x:v>44914</x:v>
      </x:c>
      <x:c r="D4464" s="73" t="n">
        <x:v>1.2039</x:v>
      </x:c>
      <x:c r="E4464" s="73" t="n">
        <x:v>1.2039</x:v>
      </x:c>
      <x:c r="F4464" s="73" t="n">
        <x:v>1.2039</x:v>
      </x:c>
      <x:c r="G4464" s="74" t="n">
        <x:v>0.0001</x:v>
      </x:c>
      <x:c r="H4464" s="66" t="str">
        <x:v>钧誉厚德量化对冲11号净值20260911.xlsx</x:v>
      </x:c>
      <x:c r="I4464" s="73" t="str">
        <x:f>""</x:f>
      </x:c>
      <x:c r="J4464" s="74" t="str">
        <x:f>""</x:f>
      </x:c>
      <x:c r="K4464" s="73" t="str">
        <x:f>""</x:f>
      </x:c>
      <x:c r="L4464" s="74" t="str">
        <x:f>""</x:f>
      </x:c>
      <x:c r="M4464" s="73" t="n">
        <x:f>MAX(M4463,F4464)</x:f>
        <x:v>1.2039</x:v>
      </x:c>
      <x:c r="N4464" s="74" t="n">
        <x:f>1-F4464/M4464</x:f>
        <x:v>0</x:v>
      </x:c>
    </x:row>
    <x:row r="4465" ht="27" customHeight="1">
      <x:c r="A4465" s="66" t="str">
        <x:v>SQN453</x:v>
      </x:c>
      <x:c r="B4465" s="66" t="str">
        <x:v>钧誉厚德量化对冲11号</x:v>
      </x:c>
      <x:c r="C4465" s="72" t="n">
        <x:v>44915</x:v>
      </x:c>
      <x:c r="D4465" s="73" t="n">
        <x:v>1.2038</x:v>
      </x:c>
      <x:c r="E4465" s="73" t="n">
        <x:v>1.2038</x:v>
      </x:c>
      <x:c r="F4465" s="73" t="n">
        <x:v>1.2038</x:v>
      </x:c>
      <x:c r="G4465" s="74" t="n">
        <x:v>-0.0001</x:v>
      </x:c>
      <x:c r="H4465" s="66" t="str">
        <x:v>钧誉厚德量化对冲11号净值20260911.xlsx</x:v>
      </x:c>
      <x:c r="I4465" s="73" t="str">
        <x:f>""</x:f>
      </x:c>
      <x:c r="J4465" s="74" t="str">
        <x:f>""</x:f>
      </x:c>
      <x:c r="K4465" s="73" t="str">
        <x:f>""</x:f>
      </x:c>
      <x:c r="L4465" s="74" t="str">
        <x:f>""</x:f>
      </x:c>
      <x:c r="M4465" s="73" t="n">
        <x:f>MAX(M4464,F4465)</x:f>
        <x:v>1.2039</x:v>
      </x:c>
      <x:c r="N4465" s="74" t="n">
        <x:f>1-F4465/M4465</x:f>
        <x:v>0.00008306337735686231</x:v>
      </x:c>
    </x:row>
    <x:row r="4466" ht="27" customHeight="1">
      <x:c r="A4466" s="66" t="str">
        <x:v>SQN453</x:v>
      </x:c>
      <x:c r="B4466" s="66" t="str">
        <x:v>钧誉厚德量化对冲11号</x:v>
      </x:c>
      <x:c r="C4466" s="72" t="n">
        <x:v>44916</x:v>
      </x:c>
      <x:c r="D4466" s="73" t="n">
        <x:v>1.204</x:v>
      </x:c>
      <x:c r="E4466" s="73" t="n">
        <x:v>1.204</x:v>
      </x:c>
      <x:c r="F4466" s="73" t="n">
        <x:v>1.204</x:v>
      </x:c>
      <x:c r="G4466" s="74" t="n">
        <x:v>0.0002</x:v>
      </x:c>
      <x:c r="H4466" s="66" t="str">
        <x:v>钧誉厚德量化对冲11号净值20260911.xlsx</x:v>
      </x:c>
      <x:c r="I4466" s="73" t="str">
        <x:f>""</x:f>
      </x:c>
      <x:c r="J4466" s="74" t="str">
        <x:f>""</x:f>
      </x:c>
      <x:c r="K4466" s="73" t="str">
        <x:f>""</x:f>
      </x:c>
      <x:c r="L4466" s="74" t="str">
        <x:f>""</x:f>
      </x:c>
      <x:c r="M4466" s="73" t="n">
        <x:f>MAX(M4465,F4466)</x:f>
        <x:v>1.204</x:v>
      </x:c>
      <x:c r="N4466" s="74" t="n">
        <x:f>1-F4466/M4466</x:f>
        <x:v>0</x:v>
      </x:c>
    </x:row>
    <x:row r="4467" ht="27" customHeight="1">
      <x:c r="A4467" s="66" t="str">
        <x:v>SQN453</x:v>
      </x:c>
      <x:c r="B4467" s="66" t="str">
        <x:v>钧誉厚德量化对冲11号</x:v>
      </x:c>
      <x:c r="C4467" s="72" t="n">
        <x:v>44917</x:v>
      </x:c>
      <x:c r="D4467" s="73" t="n">
        <x:v>1.2044</x:v>
      </x:c>
      <x:c r="E4467" s="73" t="n">
        <x:v>1.2044</x:v>
      </x:c>
      <x:c r="F4467" s="73" t="n">
        <x:v>1.2044</x:v>
      </x:c>
      <x:c r="G4467" s="74" t="n">
        <x:v>0.0003</x:v>
      </x:c>
      <x:c r="H4467" s="66" t="str">
        <x:v>钧誉厚德量化对冲11号净值20260911.xlsx</x:v>
      </x:c>
      <x:c r="I4467" s="73" t="str">
        <x:f>""</x:f>
      </x:c>
      <x:c r="J4467" s="74" t="str">
        <x:f>""</x:f>
      </x:c>
      <x:c r="K4467" s="73" t="str">
        <x:f>""</x:f>
      </x:c>
      <x:c r="L4467" s="74" t="str">
        <x:f>""</x:f>
      </x:c>
      <x:c r="M4467" s="73" t="n">
        <x:f>MAX(M4466,F4467)</x:f>
        <x:v>1.2044</x:v>
      </x:c>
      <x:c r="N4467" s="74" t="n">
        <x:f>1-F4467/M4467</x:f>
        <x:v>0</x:v>
      </x:c>
    </x:row>
    <x:row r="4468" ht="27" customHeight="1">
      <x:c r="A4468" s="66" t="str">
        <x:v>SQN453</x:v>
      </x:c>
      <x:c r="B4468" s="66" t="str">
        <x:v>钧誉厚德量化对冲11号</x:v>
      </x:c>
      <x:c r="C4468" s="72" t="n">
        <x:v>44918</x:v>
      </x:c>
      <x:c r="D4468" s="73" t="n">
        <x:v>1.2045</x:v>
      </x:c>
      <x:c r="E4468" s="73" t="n">
        <x:v>1.2045</x:v>
      </x:c>
      <x:c r="F4468" s="73" t="n">
        <x:v>1.2045</x:v>
      </x:c>
      <x:c r="G4468" s="74" t="n">
        <x:v>0.0001</x:v>
      </x:c>
      <x:c r="H4468" s="66" t="str">
        <x:v>钧誉厚德量化对冲11号净值20260911.xlsx</x:v>
      </x:c>
      <x:c r="I4468" s="73" t="str">
        <x:f>""</x:f>
      </x:c>
      <x:c r="J4468" s="74" t="str">
        <x:f>""</x:f>
      </x:c>
      <x:c r="K4468" s="73" t="str">
        <x:f>""</x:f>
      </x:c>
      <x:c r="L4468" s="74" t="str">
        <x:f>""</x:f>
      </x:c>
      <x:c r="M4468" s="73" t="n">
        <x:f>MAX(M4467,F4468)</x:f>
        <x:v>1.2045</x:v>
      </x:c>
      <x:c r="N4468" s="74" t="n">
        <x:f>1-F4468/M4468</x:f>
        <x:v>0</x:v>
      </x:c>
    </x:row>
    <x:row r="4469" ht="27" customHeight="1">
      <x:c r="A4469" s="66" t="str">
        <x:v>SQN453</x:v>
      </x:c>
      <x:c r="B4469" s="66" t="str">
        <x:v>钧誉厚德量化对冲11号</x:v>
      </x:c>
      <x:c r="C4469" s="72" t="n">
        <x:v>44921</x:v>
      </x:c>
      <x:c r="D4469" s="73" t="n">
        <x:v>1.2046</x:v>
      </x:c>
      <x:c r="E4469" s="73" t="n">
        <x:v>1.2046</x:v>
      </x:c>
      <x:c r="F4469" s="73" t="n">
        <x:v>1.2046</x:v>
      </x:c>
      <x:c r="G4469" s="74" t="n">
        <x:v>0.0001</x:v>
      </x:c>
      <x:c r="H4469" s="66" t="str">
        <x:v>钧誉厚德量化对冲11号净值20260911.xlsx</x:v>
      </x:c>
      <x:c r="I4469" s="73" t="str">
        <x:f>""</x:f>
      </x:c>
      <x:c r="J4469" s="74" t="str">
        <x:f>""</x:f>
      </x:c>
      <x:c r="K4469" s="73" t="str">
        <x:f>""</x:f>
      </x:c>
      <x:c r="L4469" s="74" t="str">
        <x:f>""</x:f>
      </x:c>
      <x:c r="M4469" s="73" t="n">
        <x:f>MAX(M4468,F4469)</x:f>
        <x:v>1.2046</x:v>
      </x:c>
      <x:c r="N4469" s="74" t="n">
        <x:f>1-F4469/M4469</x:f>
        <x:v>0</x:v>
      </x:c>
    </x:row>
    <x:row r="4470" ht="27" customHeight="1">
      <x:c r="A4470" s="66" t="str">
        <x:v>SQN453</x:v>
      </x:c>
      <x:c r="B4470" s="66" t="str">
        <x:v>钧誉厚德量化对冲11号</x:v>
      </x:c>
      <x:c r="C4470" s="72" t="n">
        <x:v>44922</x:v>
      </x:c>
      <x:c r="D4470" s="73" t="n">
        <x:v>1.2047</x:v>
      </x:c>
      <x:c r="E4470" s="73" t="n">
        <x:v>1.2047</x:v>
      </x:c>
      <x:c r="F4470" s="73" t="n">
        <x:v>1.2047</x:v>
      </x:c>
      <x:c r="G4470" s="74" t="n">
        <x:v>0.0001</x:v>
      </x:c>
      <x:c r="H4470" s="66" t="str">
        <x:v>钧誉厚德量化对冲11号净值20260911.xlsx</x:v>
      </x:c>
      <x:c r="I4470" s="73" t="str">
        <x:f>""</x:f>
      </x:c>
      <x:c r="J4470" s="74" t="str">
        <x:f>""</x:f>
      </x:c>
      <x:c r="K4470" s="73" t="str">
        <x:f>""</x:f>
      </x:c>
      <x:c r="L4470" s="74" t="str">
        <x:f>""</x:f>
      </x:c>
      <x:c r="M4470" s="73" t="n">
        <x:f>MAX(M4469,F4470)</x:f>
        <x:v>1.2047</x:v>
      </x:c>
      <x:c r="N4470" s="74" t="n">
        <x:f>1-F4470/M4470</x:f>
        <x:v>0</x:v>
      </x:c>
    </x:row>
    <x:row r="4471" ht="27" customHeight="1">
      <x:c r="A4471" s="66" t="str">
        <x:v>SQN453</x:v>
      </x:c>
      <x:c r="B4471" s="66" t="str">
        <x:v>钧誉厚德量化对冲11号</x:v>
      </x:c>
      <x:c r="C4471" s="72" t="n">
        <x:v>44923</x:v>
      </x:c>
      <x:c r="D4471" s="73" t="n">
        <x:v>1.2049</x:v>
      </x:c>
      <x:c r="E4471" s="73" t="n">
        <x:v>1.2049</x:v>
      </x:c>
      <x:c r="F4471" s="73" t="n">
        <x:v>1.2049</x:v>
      </x:c>
      <x:c r="G4471" s="74" t="n">
        <x:v>0.0002</x:v>
      </x:c>
      <x:c r="H4471" s="66" t="str">
        <x:v>钧誉厚德量化对冲11号净值20260911.xlsx</x:v>
      </x:c>
      <x:c r="I4471" s="73" t="str">
        <x:f>""</x:f>
      </x:c>
      <x:c r="J4471" s="74" t="str">
        <x:f>""</x:f>
      </x:c>
      <x:c r="K4471" s="73" t="str">
        <x:f>""</x:f>
      </x:c>
      <x:c r="L4471" s="74" t="str">
        <x:f>""</x:f>
      </x:c>
      <x:c r="M4471" s="73" t="n">
        <x:f>MAX(M4470,F4471)</x:f>
        <x:v>1.2049</x:v>
      </x:c>
      <x:c r="N4471" s="74" t="n">
        <x:f>1-F4471/M4471</x:f>
        <x:v>0</x:v>
      </x:c>
    </x:row>
    <x:row r="4472" ht="27" customHeight="1">
      <x:c r="A4472" s="66" t="str">
        <x:v>SQN453</x:v>
      </x:c>
      <x:c r="B4472" s="66" t="str">
        <x:v>钧誉厚德量化对冲11号</x:v>
      </x:c>
      <x:c r="C4472" s="72" t="n">
        <x:v>44924</x:v>
      </x:c>
      <x:c r="D4472" s="73" t="n">
        <x:v>1.2049</x:v>
      </x:c>
      <x:c r="E4472" s="73" t="n">
        <x:v>1.2049</x:v>
      </x:c>
      <x:c r="F4472" s="73" t="n">
        <x:v>1.2049</x:v>
      </x:c>
      <x:c r="G4472" s="74" t="n">
        <x:v>0</x:v>
      </x:c>
      <x:c r="H4472" s="66" t="str">
        <x:v>钧誉厚德量化对冲11号净值20260911.xlsx</x:v>
      </x:c>
      <x:c r="I4472" s="73" t="str">
        <x:f>""</x:f>
      </x:c>
      <x:c r="J4472" s="74" t="str">
        <x:f>""</x:f>
      </x:c>
      <x:c r="K4472" s="73" t="str">
        <x:f>""</x:f>
      </x:c>
      <x:c r="L4472" s="74" t="str">
        <x:f>""</x:f>
      </x:c>
      <x:c r="M4472" s="73" t="n">
        <x:f>MAX(M4471,F4472)</x:f>
        <x:v>1.2049</x:v>
      </x:c>
      <x:c r="N4472" s="74" t="n">
        <x:f>1-F4472/M4472</x:f>
        <x:v>0</x:v>
      </x:c>
    </x:row>
    <x:row r="4473" ht="27" customHeight="1">
      <x:c r="A4473" s="66" t="str">
        <x:v>SQN453</x:v>
      </x:c>
      <x:c r="B4473" s="66" t="str">
        <x:v>钧誉厚德量化对冲11号</x:v>
      </x:c>
      <x:c r="C4473" s="72" t="n">
        <x:v>44925</x:v>
      </x:c>
      <x:c r="D4473" s="73" t="n">
        <x:v>1.208</x:v>
      </x:c>
      <x:c r="E4473" s="73" t="n">
        <x:v>1.208</x:v>
      </x:c>
      <x:c r="F4473" s="73" t="n">
        <x:v>1.208</x:v>
      </x:c>
      <x:c r="G4473" s="74" t="n">
        <x:v>0.0026</x:v>
      </x:c>
      <x:c r="H4473" s="66" t="str">
        <x:v>钧誉厚德量化对冲11号净值20260911.xlsx</x:v>
      </x:c>
      <x:c r="I4473" s="73" t="str">
        <x:f>""</x:f>
      </x:c>
      <x:c r="J4473" s="74" t="str">
        <x:f>""</x:f>
      </x:c>
      <x:c r="K4473" s="73" t="str">
        <x:f>""</x:f>
      </x:c>
      <x:c r="L4473" s="74" t="str">
        <x:f>""</x:f>
      </x:c>
      <x:c r="M4473" s="73" t="n">
        <x:f>MAX(M4472,F4473)</x:f>
        <x:v>1.208</x:v>
      </x:c>
      <x:c r="N4473" s="74" t="n">
        <x:f>1-F4473/M4473</x:f>
        <x:v>0</x:v>
      </x:c>
    </x:row>
    <x:row r="4474" ht="27" customHeight="1">
      <x:c r="A4474" s="66" t="str">
        <x:v>SQN453</x:v>
      </x:c>
      <x:c r="B4474" s="66" t="str">
        <x:v>钧誉厚德量化对冲11号</x:v>
      </x:c>
      <x:c r="C4474" s="72" t="n">
        <x:v>44929</x:v>
      </x:c>
      <x:c r="D4474" s="73" t="n">
        <x:v>1.2085</x:v>
      </x:c>
      <x:c r="E4474" s="73" t="n">
        <x:v>1.2085</x:v>
      </x:c>
      <x:c r="F4474" s="73" t="n">
        <x:v>1.2085</x:v>
      </x:c>
      <x:c r="G4474" s="74" t="n">
        <x:v>0.0004</x:v>
      </x:c>
      <x:c r="H4474" s="66" t="str">
        <x:v>钧誉厚德量化对冲11号净值20260911.xlsx</x:v>
      </x:c>
      <x:c r="I4474" s="73" t="str">
        <x:f>""</x:f>
      </x:c>
      <x:c r="J4474" s="74" t="str">
        <x:f>""</x:f>
      </x:c>
      <x:c r="K4474" s="73" t="str">
        <x:f>""</x:f>
      </x:c>
      <x:c r="L4474" s="74" t="str">
        <x:f>""</x:f>
      </x:c>
      <x:c r="M4474" s="73" t="n">
        <x:f>MAX(M4473,F4474)</x:f>
        <x:v>1.2085</x:v>
      </x:c>
      <x:c r="N4474" s="74" t="n">
        <x:f>1-F4474/M4474</x:f>
        <x:v>0</x:v>
      </x:c>
    </x:row>
    <x:row r="4475" ht="27" customHeight="1">
      <x:c r="A4475" s="66" t="str">
        <x:v>SQN453</x:v>
      </x:c>
      <x:c r="B4475" s="66" t="str">
        <x:v>钧誉厚德量化对冲11号</x:v>
      </x:c>
      <x:c r="C4475" s="72" t="n">
        <x:v>44930</x:v>
      </x:c>
      <x:c r="D4475" s="73" t="n">
        <x:v>1.2087</x:v>
      </x:c>
      <x:c r="E4475" s="73" t="n">
        <x:v>1.2087</x:v>
      </x:c>
      <x:c r="F4475" s="73" t="n">
        <x:v>1.2087</x:v>
      </x:c>
      <x:c r="G4475" s="74" t="n">
        <x:v>0.0002</x:v>
      </x:c>
      <x:c r="H4475" s="66" t="str">
        <x:v>钧誉厚德量化对冲11号净值20260911.xlsx</x:v>
      </x:c>
      <x:c r="I4475" s="73" t="str">
        <x:f>""</x:f>
      </x:c>
      <x:c r="J4475" s="74" t="str">
        <x:f>""</x:f>
      </x:c>
      <x:c r="K4475" s="73" t="str">
        <x:f>""</x:f>
      </x:c>
      <x:c r="L4475" s="74" t="str">
        <x:f>""</x:f>
      </x:c>
      <x:c r="M4475" s="73" t="n">
        <x:f>MAX(M4474,F4475)</x:f>
        <x:v>1.2087</x:v>
      </x:c>
      <x:c r="N4475" s="74" t="n">
        <x:f>1-F4475/M4475</x:f>
        <x:v>0</x:v>
      </x:c>
    </x:row>
    <x:row r="4476" ht="27" customHeight="1">
      <x:c r="A4476" s="66" t="str">
        <x:v>SQN453</x:v>
      </x:c>
      <x:c r="B4476" s="66" t="str">
        <x:v>钧誉厚德量化对冲11号</x:v>
      </x:c>
      <x:c r="C4476" s="72" t="n">
        <x:v>44931</x:v>
      </x:c>
      <x:c r="D4476" s="73" t="n">
        <x:v>1.2087</x:v>
      </x:c>
      <x:c r="E4476" s="73" t="n">
        <x:v>1.2087</x:v>
      </x:c>
      <x:c r="F4476" s="73" t="n">
        <x:v>1.2087</x:v>
      </x:c>
      <x:c r="G4476" s="74" t="n">
        <x:v>0</x:v>
      </x:c>
      <x:c r="H4476" s="66" t="str">
        <x:v>钧誉厚德量化对冲11号净值20260911.xlsx</x:v>
      </x:c>
      <x:c r="I4476" s="73" t="str">
        <x:f>""</x:f>
      </x:c>
      <x:c r="J4476" s="74" t="str">
        <x:f>""</x:f>
      </x:c>
      <x:c r="K4476" s="73" t="str">
        <x:f>""</x:f>
      </x:c>
      <x:c r="L4476" s="74" t="str">
        <x:f>""</x:f>
      </x:c>
      <x:c r="M4476" s="73" t="n">
        <x:f>MAX(M4475,F4476)</x:f>
        <x:v>1.2087</x:v>
      </x:c>
      <x:c r="N4476" s="74" t="n">
        <x:f>1-F4476/M4476</x:f>
        <x:v>0</x:v>
      </x:c>
    </x:row>
    <x:row r="4477" ht="27" customHeight="1">
      <x:c r="A4477" s="66" t="str">
        <x:v>SQN453</x:v>
      </x:c>
      <x:c r="B4477" s="66" t="str">
        <x:v>钧誉厚德量化对冲11号</x:v>
      </x:c>
      <x:c r="C4477" s="72" t="n">
        <x:v>44932</x:v>
      </x:c>
      <x:c r="D4477" s="73" t="n">
        <x:v>1.2088</x:v>
      </x:c>
      <x:c r="E4477" s="73" t="n">
        <x:v>1.2088</x:v>
      </x:c>
      <x:c r="F4477" s="73" t="n">
        <x:v>1.2088</x:v>
      </x:c>
      <x:c r="G4477" s="74" t="n">
        <x:v>0.0001</x:v>
      </x:c>
      <x:c r="H4477" s="66" t="str">
        <x:v>钧誉厚德量化对冲11号净值20260911.xlsx</x:v>
      </x:c>
      <x:c r="I4477" s="73" t="str">
        <x:f>""</x:f>
      </x:c>
      <x:c r="J4477" s="74" t="str">
        <x:f>""</x:f>
      </x:c>
      <x:c r="K4477" s="73" t="str">
        <x:f>""</x:f>
      </x:c>
      <x:c r="L4477" s="74" t="str">
        <x:f>""</x:f>
      </x:c>
      <x:c r="M4477" s="73" t="n">
        <x:f>MAX(M4476,F4477)</x:f>
        <x:v>1.2088</x:v>
      </x:c>
      <x:c r="N4477" s="74" t="n">
        <x:f>1-F4477/M4477</x:f>
        <x:v>0</x:v>
      </x:c>
    </x:row>
    <x:row r="4478" ht="27" customHeight="1">
      <x:c r="A4478" s="66" t="str">
        <x:v>SQN453</x:v>
      </x:c>
      <x:c r="B4478" s="66" t="str">
        <x:v>钧誉厚德量化对冲11号</x:v>
      </x:c>
      <x:c r="C4478" s="72" t="n">
        <x:v>44935</x:v>
      </x:c>
      <x:c r="D4478" s="73" t="n">
        <x:v>1.2106</x:v>
      </x:c>
      <x:c r="E4478" s="73" t="n">
        <x:v>1.2106</x:v>
      </x:c>
      <x:c r="F4478" s="73" t="n">
        <x:v>1.2106</x:v>
      </x:c>
      <x:c r="G4478" s="74" t="n">
        <x:v>0.0015</x:v>
      </x:c>
      <x:c r="H4478" s="66" t="str">
        <x:v>钧誉厚德量化对冲11号净值20260911.xlsx</x:v>
      </x:c>
      <x:c r="I4478" s="73" t="str">
        <x:f>""</x:f>
      </x:c>
      <x:c r="J4478" s="74" t="str">
        <x:f>""</x:f>
      </x:c>
      <x:c r="K4478" s="73" t="str">
        <x:f>""</x:f>
      </x:c>
      <x:c r="L4478" s="74" t="str">
        <x:f>""</x:f>
      </x:c>
      <x:c r="M4478" s="73" t="n">
        <x:f>MAX(M4477,F4478)</x:f>
        <x:v>1.2106</x:v>
      </x:c>
      <x:c r="N4478" s="74" t="n">
        <x:f>1-F4478/M4478</x:f>
        <x:v>0</x:v>
      </x:c>
    </x:row>
    <x:row r="4479" ht="27" customHeight="1">
      <x:c r="A4479" s="66" t="str">
        <x:v>SQN453</x:v>
      </x:c>
      <x:c r="B4479" s="66" t="str">
        <x:v>钧誉厚德量化对冲11号</x:v>
      </x:c>
      <x:c r="C4479" s="72" t="n">
        <x:v>44936</x:v>
      </x:c>
      <x:c r="D4479" s="73" t="n">
        <x:v>1.2108</x:v>
      </x:c>
      <x:c r="E4479" s="73" t="n">
        <x:v>1.2108</x:v>
      </x:c>
      <x:c r="F4479" s="73" t="n">
        <x:v>1.2108</x:v>
      </x:c>
      <x:c r="G4479" s="74" t="n">
        <x:v>0.0002</x:v>
      </x:c>
      <x:c r="H4479" s="66" t="str">
        <x:v>钧誉厚德量化对冲11号净值20260911.xlsx</x:v>
      </x:c>
      <x:c r="I4479" s="73" t="str">
        <x:f>""</x:f>
      </x:c>
      <x:c r="J4479" s="74" t="str">
        <x:f>""</x:f>
      </x:c>
      <x:c r="K4479" s="73" t="str">
        <x:f>""</x:f>
      </x:c>
      <x:c r="L4479" s="74" t="str">
        <x:f>""</x:f>
      </x:c>
      <x:c r="M4479" s="73" t="n">
        <x:f>MAX(M4478,F4479)</x:f>
        <x:v>1.2108</x:v>
      </x:c>
      <x:c r="N4479" s="74" t="n">
        <x:f>1-F4479/M4479</x:f>
        <x:v>0</x:v>
      </x:c>
    </x:row>
    <x:row r="4480" ht="27" customHeight="1">
      <x:c r="A4480" s="66" t="str">
        <x:v>SQN453</x:v>
      </x:c>
      <x:c r="B4480" s="66" t="str">
        <x:v>钧誉厚德量化对冲11号</x:v>
      </x:c>
      <x:c r="C4480" s="72" t="n">
        <x:v>44937</x:v>
      </x:c>
      <x:c r="D4480" s="73" t="n">
        <x:v>1.2109</x:v>
      </x:c>
      <x:c r="E4480" s="73" t="n">
        <x:v>1.2109</x:v>
      </x:c>
      <x:c r="F4480" s="73" t="n">
        <x:v>1.2109</x:v>
      </x:c>
      <x:c r="G4480" s="74" t="n">
        <x:v>0.0001</x:v>
      </x:c>
      <x:c r="H4480" s="66" t="str">
        <x:v>钧誉厚德量化对冲11号净值20260911.xlsx</x:v>
      </x:c>
      <x:c r="I4480" s="73" t="str">
        <x:f>""</x:f>
      </x:c>
      <x:c r="J4480" s="74" t="str">
        <x:f>""</x:f>
      </x:c>
      <x:c r="K4480" s="73" t="str">
        <x:f>""</x:f>
      </x:c>
      <x:c r="L4480" s="74" t="str">
        <x:f>""</x:f>
      </x:c>
      <x:c r="M4480" s="73" t="n">
        <x:f>MAX(M4479,F4480)</x:f>
        <x:v>1.2109</x:v>
      </x:c>
      <x:c r="N4480" s="74" t="n">
        <x:f>1-F4480/M4480</x:f>
        <x:v>0</x:v>
      </x:c>
    </x:row>
    <x:row r="4481" ht="27" customHeight="1">
      <x:c r="A4481" s="66" t="str">
        <x:v>SQN453</x:v>
      </x:c>
      <x:c r="B4481" s="66" t="str">
        <x:v>钧誉厚德量化对冲11号</x:v>
      </x:c>
      <x:c r="C4481" s="72" t="n">
        <x:v>44938</x:v>
      </x:c>
      <x:c r="D4481" s="73" t="n">
        <x:v>1.211</x:v>
      </x:c>
      <x:c r="E4481" s="73" t="n">
        <x:v>1.211</x:v>
      </x:c>
      <x:c r="F4481" s="73" t="n">
        <x:v>1.211</x:v>
      </x:c>
      <x:c r="G4481" s="74" t="n">
        <x:v>0.0001</x:v>
      </x:c>
      <x:c r="H4481" s="66" t="str">
        <x:v>钧誉厚德量化对冲11号净值20260911.xlsx</x:v>
      </x:c>
      <x:c r="I4481" s="73" t="str">
        <x:f>""</x:f>
      </x:c>
      <x:c r="J4481" s="74" t="str">
        <x:f>""</x:f>
      </x:c>
      <x:c r="K4481" s="73" t="str">
        <x:f>""</x:f>
      </x:c>
      <x:c r="L4481" s="74" t="str">
        <x:f>""</x:f>
      </x:c>
      <x:c r="M4481" s="73" t="n">
        <x:f>MAX(M4480,F4481)</x:f>
        <x:v>1.211</x:v>
      </x:c>
      <x:c r="N4481" s="74" t="n">
        <x:f>1-F4481/M4481</x:f>
        <x:v>0</x:v>
      </x:c>
    </x:row>
    <x:row r="4482" ht="27" customHeight="1">
      <x:c r="A4482" s="66" t="str">
        <x:v>SQN453</x:v>
      </x:c>
      <x:c r="B4482" s="66" t="str">
        <x:v>钧誉厚德量化对冲11号</x:v>
      </x:c>
      <x:c r="C4482" s="72" t="n">
        <x:v>44939</x:v>
      </x:c>
      <x:c r="D4482" s="73" t="n">
        <x:v>1.2105</x:v>
      </x:c>
      <x:c r="E4482" s="73" t="n">
        <x:v>1.2105</x:v>
      </x:c>
      <x:c r="F4482" s="73" t="n">
        <x:v>1.2105</x:v>
      </x:c>
      <x:c r="G4482" s="74" t="n">
        <x:v>-0.0004</x:v>
      </x:c>
      <x:c r="H4482" s="66" t="str">
        <x:v>钧誉厚德量化对冲11号净值20260911.xlsx</x:v>
      </x:c>
      <x:c r="I4482" s="73" t="str">
        <x:f>""</x:f>
      </x:c>
      <x:c r="J4482" s="74" t="str">
        <x:f>""</x:f>
      </x:c>
      <x:c r="K4482" s="73" t="str">
        <x:f>""</x:f>
      </x:c>
      <x:c r="L4482" s="74" t="str">
        <x:f>""</x:f>
      </x:c>
      <x:c r="M4482" s="73" t="n">
        <x:f>MAX(M4481,F4482)</x:f>
        <x:v>1.211</x:v>
      </x:c>
      <x:c r="N4482" s="74" t="n">
        <x:f>1-F4482/M4482</x:f>
        <x:v>0.0004128819157722674</x:v>
      </x:c>
    </x:row>
    <x:row r="4483" ht="27" customHeight="1">
      <x:c r="A4483" s="66" t="str">
        <x:v>SQN453</x:v>
      </x:c>
      <x:c r="B4483" s="66" t="str">
        <x:v>钧誉厚德量化对冲11号</x:v>
      </x:c>
      <x:c r="C4483" s="72" t="n">
        <x:v>44942</x:v>
      </x:c>
      <x:c r="D4483" s="73" t="n">
        <x:v>1.2109</x:v>
      </x:c>
      <x:c r="E4483" s="73" t="n">
        <x:v>1.2109</x:v>
      </x:c>
      <x:c r="F4483" s="73" t="n">
        <x:v>1.2109</x:v>
      </x:c>
      <x:c r="G4483" s="74" t="n">
        <x:v>0.0003</x:v>
      </x:c>
      <x:c r="H4483" s="66" t="str">
        <x:v>钧誉厚德量化对冲11号净值20260911.xlsx</x:v>
      </x:c>
      <x:c r="I4483" s="73" t="str">
        <x:f>""</x:f>
      </x:c>
      <x:c r="J4483" s="74" t="str">
        <x:f>""</x:f>
      </x:c>
      <x:c r="K4483" s="73" t="str">
        <x:f>""</x:f>
      </x:c>
      <x:c r="L4483" s="74" t="str">
        <x:f>""</x:f>
      </x:c>
      <x:c r="M4483" s="73" t="n">
        <x:f>MAX(M4482,F4483)</x:f>
        <x:v>1.211</x:v>
      </x:c>
      <x:c r="N4483" s="74" t="n">
        <x:f>1-F4483/M4483</x:f>
        <x:v>0.00008257638315445348</x:v>
      </x:c>
    </x:row>
    <x:row r="4484" ht="27" customHeight="1">
      <x:c r="A4484" s="66" t="str">
        <x:v>SQN453</x:v>
      </x:c>
      <x:c r="B4484" s="66" t="str">
        <x:v>钧誉厚德量化对冲11号</x:v>
      </x:c>
      <x:c r="C4484" s="72" t="n">
        <x:v>44943</x:v>
      </x:c>
      <x:c r="D4484" s="73" t="n">
        <x:v>1.2108</x:v>
      </x:c>
      <x:c r="E4484" s="73" t="n">
        <x:v>1.2108</x:v>
      </x:c>
      <x:c r="F4484" s="73" t="n">
        <x:v>1.2108</x:v>
      </x:c>
      <x:c r="G4484" s="74" t="n">
        <x:v>-0.0001</x:v>
      </x:c>
      <x:c r="H4484" s="66" t="str">
        <x:v>钧誉厚德量化对冲11号净值20260911.xlsx</x:v>
      </x:c>
      <x:c r="I4484" s="73" t="str">
        <x:f>""</x:f>
      </x:c>
      <x:c r="J4484" s="74" t="str">
        <x:f>""</x:f>
      </x:c>
      <x:c r="K4484" s="73" t="str">
        <x:f>""</x:f>
      </x:c>
      <x:c r="L4484" s="74" t="str">
        <x:f>""</x:f>
      </x:c>
      <x:c r="M4484" s="73" t="n">
        <x:f>MAX(M4483,F4484)</x:f>
        <x:v>1.211</x:v>
      </x:c>
      <x:c r="N4484" s="74" t="n">
        <x:f>1-F4484/M4484</x:f>
        <x:v>0.00016515276630879594</x:v>
      </x:c>
    </x:row>
    <x:row r="4485" ht="27" customHeight="1">
      <x:c r="A4485" s="66" t="str">
        <x:v>SQN453</x:v>
      </x:c>
      <x:c r="B4485" s="66" t="str">
        <x:v>钧誉厚德量化对冲11号</x:v>
      </x:c>
      <x:c r="C4485" s="72" t="n">
        <x:v>44944</x:v>
      </x:c>
      <x:c r="D4485" s="73" t="n">
        <x:v>1.211</x:v>
      </x:c>
      <x:c r="E4485" s="73" t="n">
        <x:v>1.211</x:v>
      </x:c>
      <x:c r="F4485" s="73" t="n">
        <x:v>1.211</x:v>
      </x:c>
      <x:c r="G4485" s="74" t="n">
        <x:v>0.0002</x:v>
      </x:c>
      <x:c r="H4485" s="66" t="str">
        <x:v>钧誉厚德量化对冲11号净值20260911.xlsx</x:v>
      </x:c>
      <x:c r="I4485" s="73" t="str">
        <x:f>""</x:f>
      </x:c>
      <x:c r="J4485" s="74" t="str">
        <x:f>""</x:f>
      </x:c>
      <x:c r="K4485" s="73" t="str">
        <x:f>""</x:f>
      </x:c>
      <x:c r="L4485" s="74" t="str">
        <x:f>""</x:f>
      </x:c>
      <x:c r="M4485" s="73" t="n">
        <x:f>MAX(M4484,F4485)</x:f>
        <x:v>1.211</x:v>
      </x:c>
      <x:c r="N4485" s="74" t="n">
        <x:f>1-F4485/M4485</x:f>
        <x:v>0</x:v>
      </x:c>
    </x:row>
    <x:row r="4486" ht="27" customHeight="1">
      <x:c r="A4486" s="66" t="str">
        <x:v>SQN453</x:v>
      </x:c>
      <x:c r="B4486" s="66" t="str">
        <x:v>钧誉厚德量化对冲11号</x:v>
      </x:c>
      <x:c r="C4486" s="72" t="n">
        <x:v>44945</x:v>
      </x:c>
      <x:c r="D4486" s="73" t="n">
        <x:v>1.2106</x:v>
      </x:c>
      <x:c r="E4486" s="73" t="n">
        <x:v>1.2106</x:v>
      </x:c>
      <x:c r="F4486" s="73" t="n">
        <x:v>1.2106</x:v>
      </x:c>
      <x:c r="G4486" s="74" t="n">
        <x:v>-0.0003</x:v>
      </x:c>
      <x:c r="H4486" s="66" t="str">
        <x:v>钧誉厚德量化对冲11号净值20260911.xlsx</x:v>
      </x:c>
      <x:c r="I4486" s="73" t="str">
        <x:f>""</x:f>
      </x:c>
      <x:c r="J4486" s="74" t="str">
        <x:f>""</x:f>
      </x:c>
      <x:c r="K4486" s="73" t="str">
        <x:f>""</x:f>
      </x:c>
      <x:c r="L4486" s="74" t="str">
        <x:f>""</x:f>
      </x:c>
      <x:c r="M4486" s="73" t="n">
        <x:f>MAX(M4485,F4486)</x:f>
        <x:v>1.211</x:v>
      </x:c>
      <x:c r="N4486" s="74" t="n">
        <x:f>1-F4486/M4486</x:f>
        <x:v>0.0003303055326178139</x:v>
      </x:c>
    </x:row>
    <x:row r="4487" ht="27" customHeight="1">
      <x:c r="A4487" s="66" t="str">
        <x:v>SQN453</x:v>
      </x:c>
      <x:c r="B4487" s="66" t="str">
        <x:v>钧誉厚德量化对冲11号</x:v>
      </x:c>
      <x:c r="C4487" s="72" t="n">
        <x:v>44946</x:v>
      </x:c>
      <x:c r="D4487" s="73" t="n">
        <x:v>1.2109</x:v>
      </x:c>
      <x:c r="E4487" s="73" t="n">
        <x:v>1.2109</x:v>
      </x:c>
      <x:c r="F4487" s="73" t="n">
        <x:v>1.2109</x:v>
      </x:c>
      <x:c r="G4487" s="74" t="n">
        <x:v>0.0002</x:v>
      </x:c>
      <x:c r="H4487" s="66" t="str">
        <x:v>钧誉厚德量化对冲11号净值20260911.xlsx</x:v>
      </x:c>
      <x:c r="I4487" s="73" t="str">
        <x:f>""</x:f>
      </x:c>
      <x:c r="J4487" s="74" t="str">
        <x:f>""</x:f>
      </x:c>
      <x:c r="K4487" s="73" t="str">
        <x:f>""</x:f>
      </x:c>
      <x:c r="L4487" s="74" t="str">
        <x:f>""</x:f>
      </x:c>
      <x:c r="M4487" s="73" t="n">
        <x:f>MAX(M4486,F4487)</x:f>
        <x:v>1.211</x:v>
      </x:c>
      <x:c r="N4487" s="74" t="n">
        <x:f>1-F4487/M4487</x:f>
        <x:v>0.00008257638315445348</x:v>
      </x:c>
    </x:row>
    <x:row r="4488" ht="27" customHeight="1">
      <x:c r="A4488" s="66" t="str">
        <x:v>SQN453</x:v>
      </x:c>
      <x:c r="B4488" s="66" t="str">
        <x:v>钧誉厚德量化对冲11号</x:v>
      </x:c>
      <x:c r="C4488" s="72" t="n">
        <x:v>44956</x:v>
      </x:c>
      <x:c r="D4488" s="73" t="n">
        <x:v>1.2111</x:v>
      </x:c>
      <x:c r="E4488" s="73" t="n">
        <x:v>1.2111</x:v>
      </x:c>
      <x:c r="F4488" s="73" t="n">
        <x:v>1.2111</x:v>
      </x:c>
      <x:c r="G4488" s="74" t="n">
        <x:v>0.0002</x:v>
      </x:c>
      <x:c r="H4488" s="66" t="str">
        <x:v>钧誉厚德量化对冲11号净值20260911.xlsx</x:v>
      </x:c>
      <x:c r="I4488" s="73" t="str">
        <x:f>""</x:f>
      </x:c>
      <x:c r="J4488" s="74" t="str">
        <x:f>""</x:f>
      </x:c>
      <x:c r="K4488" s="73" t="str">
        <x:f>""</x:f>
      </x:c>
      <x:c r="L4488" s="74" t="str">
        <x:f>""</x:f>
      </x:c>
      <x:c r="M4488" s="73" t="n">
        <x:f>MAX(M4487,F4488)</x:f>
        <x:v>1.2111</x:v>
      </x:c>
      <x:c r="N4488" s="74" t="n">
        <x:f>1-F4488/M4488</x:f>
        <x:v>0</x:v>
      </x:c>
    </x:row>
    <x:row r="4489" ht="27" customHeight="1">
      <x:c r="A4489" s="66" t="str">
        <x:v>SQN453</x:v>
      </x:c>
      <x:c r="B4489" s="66" t="str">
        <x:v>钧誉厚德量化对冲11号</x:v>
      </x:c>
      <x:c r="C4489" s="72" t="n">
        <x:v>44957</x:v>
      </x:c>
      <x:c r="D4489" s="73" t="n">
        <x:v>1.2112</x:v>
      </x:c>
      <x:c r="E4489" s="73" t="n">
        <x:v>1.2112</x:v>
      </x:c>
      <x:c r="F4489" s="73" t="n">
        <x:v>1.2112</x:v>
      </x:c>
      <x:c r="G4489" s="74" t="n">
        <x:v>0.0001</x:v>
      </x:c>
      <x:c r="H4489" s="66" t="str">
        <x:v>钧誉厚德量化对冲11号净值20260911.xlsx</x:v>
      </x:c>
      <x:c r="I4489" s="73" t="str">
        <x:f>""</x:f>
      </x:c>
      <x:c r="J4489" s="74" t="str">
        <x:f>""</x:f>
      </x:c>
      <x:c r="K4489" s="73" t="str">
        <x:f>""</x:f>
      </x:c>
      <x:c r="L4489" s="74" t="str">
        <x:f>""</x:f>
      </x:c>
      <x:c r="M4489" s="73" t="n">
        <x:f>MAX(M4488,F4489)</x:f>
        <x:v>1.2112</x:v>
      </x:c>
      <x:c r="N4489" s="74" t="n">
        <x:f>1-F4489/M4489</x:f>
        <x:v>0</x:v>
      </x:c>
    </x:row>
    <x:row r="4490" ht="27" customHeight="1">
      <x:c r="A4490" s="66" t="str">
        <x:v>SQN453</x:v>
      </x:c>
      <x:c r="B4490" s="66" t="str">
        <x:v>钧誉厚德量化对冲11号</x:v>
      </x:c>
      <x:c r="C4490" s="72" t="n">
        <x:v>44958</x:v>
      </x:c>
      <x:c r="D4490" s="73" t="n">
        <x:v>1.2113</x:v>
      </x:c>
      <x:c r="E4490" s="73" t="n">
        <x:v>1.2113</x:v>
      </x:c>
      <x:c r="F4490" s="73" t="n">
        <x:v>1.2113</x:v>
      </x:c>
      <x:c r="G4490" s="74" t="n">
        <x:v>0.0001</x:v>
      </x:c>
      <x:c r="H4490" s="66" t="str">
        <x:v>钧誉厚德量化对冲11号净值20260911.xlsx</x:v>
      </x:c>
      <x:c r="I4490" s="73" t="str">
        <x:f>""</x:f>
      </x:c>
      <x:c r="J4490" s="74" t="str">
        <x:f>""</x:f>
      </x:c>
      <x:c r="K4490" s="73" t="str">
        <x:f>""</x:f>
      </x:c>
      <x:c r="L4490" s="74" t="str">
        <x:f>""</x:f>
      </x:c>
      <x:c r="M4490" s="73" t="n">
        <x:f>MAX(M4489,F4490)</x:f>
        <x:v>1.2113</x:v>
      </x:c>
      <x:c r="N4490" s="74" t="n">
        <x:f>1-F4490/M4490</x:f>
        <x:v>0</x:v>
      </x:c>
    </x:row>
    <x:row r="4491" ht="27" customHeight="1">
      <x:c r="A4491" s="66" t="str">
        <x:v>SQN453</x:v>
      </x:c>
      <x:c r="B4491" s="66" t="str">
        <x:v>钧誉厚德量化对冲11号</x:v>
      </x:c>
      <x:c r="C4491" s="72" t="n">
        <x:v>44959</x:v>
      </x:c>
      <x:c r="D4491" s="73" t="n">
        <x:v>1.2113</x:v>
      </x:c>
      <x:c r="E4491" s="73" t="n">
        <x:v>1.2113</x:v>
      </x:c>
      <x:c r="F4491" s="73" t="n">
        <x:v>1.2113</x:v>
      </x:c>
      <x:c r="G4491" s="74" t="n">
        <x:v>0</x:v>
      </x:c>
      <x:c r="H4491" s="66" t="str">
        <x:v>钧誉厚德量化对冲11号净值20260911.xlsx</x:v>
      </x:c>
      <x:c r="I4491" s="73" t="str">
        <x:f>""</x:f>
      </x:c>
      <x:c r="J4491" s="74" t="str">
        <x:f>""</x:f>
      </x:c>
      <x:c r="K4491" s="73" t="str">
        <x:f>""</x:f>
      </x:c>
      <x:c r="L4491" s="74" t="str">
        <x:f>""</x:f>
      </x:c>
      <x:c r="M4491" s="73" t="n">
        <x:f>MAX(M4490,F4491)</x:f>
        <x:v>1.2113</x:v>
      </x:c>
      <x:c r="N4491" s="74" t="n">
        <x:f>1-F4491/M4491</x:f>
        <x:v>0</x:v>
      </x:c>
    </x:row>
    <x:row r="4492" ht="27" customHeight="1">
      <x:c r="A4492" s="66" t="str">
        <x:v>SQN453</x:v>
      </x:c>
      <x:c r="B4492" s="66" t="str">
        <x:v>钧誉厚德量化对冲11号</x:v>
      </x:c>
      <x:c r="C4492" s="72" t="n">
        <x:v>44960</x:v>
      </x:c>
      <x:c r="D4492" s="73" t="n">
        <x:v>1.2115</x:v>
      </x:c>
      <x:c r="E4492" s="73" t="n">
        <x:v>1.2115</x:v>
      </x:c>
      <x:c r="F4492" s="73" t="n">
        <x:v>1.2115</x:v>
      </x:c>
      <x:c r="G4492" s="74" t="n">
        <x:v>0.0002</x:v>
      </x:c>
      <x:c r="H4492" s="66" t="str">
        <x:v>钧誉厚德量化对冲11号净值20260911.xlsx</x:v>
      </x:c>
      <x:c r="I4492" s="73" t="str">
        <x:f>""</x:f>
      </x:c>
      <x:c r="J4492" s="74" t="str">
        <x:f>""</x:f>
      </x:c>
      <x:c r="K4492" s="73" t="str">
        <x:f>""</x:f>
      </x:c>
      <x:c r="L4492" s="74" t="str">
        <x:f>""</x:f>
      </x:c>
      <x:c r="M4492" s="73" t="n">
        <x:f>MAX(M4491,F4492)</x:f>
        <x:v>1.2115</x:v>
      </x:c>
      <x:c r="N4492" s="74" t="n">
        <x:f>1-F4492/M4492</x:f>
        <x:v>0</x:v>
      </x:c>
    </x:row>
    <x:row r="4493" ht="27" customHeight="1">
      <x:c r="A4493" s="66" t="str">
        <x:v>SQN453</x:v>
      </x:c>
      <x:c r="B4493" s="66" t="str">
        <x:v>钧誉厚德量化对冲11号</x:v>
      </x:c>
      <x:c r="C4493" s="72" t="n">
        <x:v>44963</x:v>
      </x:c>
      <x:c r="D4493" s="73" t="n">
        <x:v>1.2113</x:v>
      </x:c>
      <x:c r="E4493" s="73" t="n">
        <x:v>1.2113</x:v>
      </x:c>
      <x:c r="F4493" s="73" t="n">
        <x:v>1.2113</x:v>
      </x:c>
      <x:c r="G4493" s="74" t="n">
        <x:v>-0.0002</x:v>
      </x:c>
      <x:c r="H4493" s="66" t="str">
        <x:v>钧誉厚德量化对冲11号净值20260911.xlsx</x:v>
      </x:c>
      <x:c r="I4493" s="73" t="str">
        <x:f>""</x:f>
      </x:c>
      <x:c r="J4493" s="74" t="str">
        <x:f>""</x:f>
      </x:c>
      <x:c r="K4493" s="73" t="str">
        <x:f>""</x:f>
      </x:c>
      <x:c r="L4493" s="74" t="str">
        <x:f>""</x:f>
      </x:c>
      <x:c r="M4493" s="73" t="n">
        <x:f>MAX(M4492,F4493)</x:f>
        <x:v>1.2115</x:v>
      </x:c>
      <x:c r="N4493" s="74" t="n">
        <x:f>1-F4493/M4493</x:f>
        <x:v>0.00016508460586051044</x:v>
      </x:c>
    </x:row>
    <x:row r="4494" ht="27" customHeight="1">
      <x:c r="A4494" s="66" t="str">
        <x:v>SQN453</x:v>
      </x:c>
      <x:c r="B4494" s="66" t="str">
        <x:v>钧誉厚德量化对冲11号</x:v>
      </x:c>
      <x:c r="C4494" s="72" t="n">
        <x:v>44964</x:v>
      </x:c>
      <x:c r="D4494" s="73" t="n">
        <x:v>1.2113</x:v>
      </x:c>
      <x:c r="E4494" s="73" t="n">
        <x:v>1.2113</x:v>
      </x:c>
      <x:c r="F4494" s="73" t="n">
        <x:v>1.2113</x:v>
      </x:c>
      <x:c r="G4494" s="74" t="n">
        <x:v>0</x:v>
      </x:c>
      <x:c r="H4494" s="66" t="str">
        <x:v>钧誉厚德量化对冲11号净值20260911.xlsx</x:v>
      </x:c>
      <x:c r="I4494" s="73" t="str">
        <x:f>""</x:f>
      </x:c>
      <x:c r="J4494" s="74" t="str">
        <x:f>""</x:f>
      </x:c>
      <x:c r="K4494" s="73" t="str">
        <x:f>""</x:f>
      </x:c>
      <x:c r="L4494" s="74" t="str">
        <x:f>""</x:f>
      </x:c>
      <x:c r="M4494" s="73" t="n">
        <x:f>MAX(M4493,F4494)</x:f>
        <x:v>1.2115</x:v>
      </x:c>
      <x:c r="N4494" s="74" t="n">
        <x:f>1-F4494/M4494</x:f>
        <x:v>0.00016508460586051044</x:v>
      </x:c>
    </x:row>
    <x:row r="4495" ht="27" customHeight="1">
      <x:c r="A4495" s="66" t="str">
        <x:v>SQN453</x:v>
      </x:c>
      <x:c r="B4495" s="66" t="str">
        <x:v>钧誉厚德量化对冲11号</x:v>
      </x:c>
      <x:c r="C4495" s="72" t="n">
        <x:v>44965</x:v>
      </x:c>
      <x:c r="D4495" s="73" t="n">
        <x:v>1.2113</x:v>
      </x:c>
      <x:c r="E4495" s="73" t="n">
        <x:v>1.2113</x:v>
      </x:c>
      <x:c r="F4495" s="73" t="n">
        <x:v>1.2113</x:v>
      </x:c>
      <x:c r="G4495" s="74" t="n">
        <x:v>0</x:v>
      </x:c>
      <x:c r="H4495" s="66" t="str">
        <x:v>钧誉厚德量化对冲11号净值20260911.xlsx</x:v>
      </x:c>
      <x:c r="I4495" s="73" t="str">
        <x:f>""</x:f>
      </x:c>
      <x:c r="J4495" s="74" t="str">
        <x:f>""</x:f>
      </x:c>
      <x:c r="K4495" s="73" t="str">
        <x:f>""</x:f>
      </x:c>
      <x:c r="L4495" s="74" t="str">
        <x:f>""</x:f>
      </x:c>
      <x:c r="M4495" s="73" t="n">
        <x:f>MAX(M4494,F4495)</x:f>
        <x:v>1.2115</x:v>
      </x:c>
      <x:c r="N4495" s="74" t="n">
        <x:f>1-F4495/M4495</x:f>
        <x:v>0.00016508460586051044</x:v>
      </x:c>
    </x:row>
    <x:row r="4496" ht="27" customHeight="1">
      <x:c r="A4496" s="66" t="str">
        <x:v>SQN453</x:v>
      </x:c>
      <x:c r="B4496" s="66" t="str">
        <x:v>钧誉厚德量化对冲11号</x:v>
      </x:c>
      <x:c r="C4496" s="72" t="n">
        <x:v>44966</x:v>
      </x:c>
      <x:c r="D4496" s="73" t="n">
        <x:v>1.2114</x:v>
      </x:c>
      <x:c r="E4496" s="73" t="n">
        <x:v>1.2114</x:v>
      </x:c>
      <x:c r="F4496" s="73" t="n">
        <x:v>1.2114</x:v>
      </x:c>
      <x:c r="G4496" s="74" t="n">
        <x:v>0.0001</x:v>
      </x:c>
      <x:c r="H4496" s="66" t="str">
        <x:v>钧誉厚德量化对冲11号净值20260911.xlsx</x:v>
      </x:c>
      <x:c r="I4496" s="73" t="str">
        <x:f>""</x:f>
      </x:c>
      <x:c r="J4496" s="74" t="str">
        <x:f>""</x:f>
      </x:c>
      <x:c r="K4496" s="73" t="str">
        <x:f>""</x:f>
      </x:c>
      <x:c r="L4496" s="74" t="str">
        <x:f>""</x:f>
      </x:c>
      <x:c r="M4496" s="73" t="n">
        <x:f>MAX(M4495,F4496)</x:f>
        <x:v>1.2115</x:v>
      </x:c>
      <x:c r="N4496" s="74" t="n">
        <x:f>1-F4496/M4496</x:f>
        <x:v>0.00008254230293025522</x:v>
      </x:c>
    </x:row>
    <x:row r="4497" ht="27" customHeight="1">
      <x:c r="A4497" s="66" t="str">
        <x:v>SQN453</x:v>
      </x:c>
      <x:c r="B4497" s="66" t="str">
        <x:v>钧誉厚德量化对冲11号</x:v>
      </x:c>
      <x:c r="C4497" s="72" t="n">
        <x:v>44967</x:v>
      </x:c>
      <x:c r="D4497" s="73" t="n">
        <x:v>1.2113</x:v>
      </x:c>
      <x:c r="E4497" s="73" t="n">
        <x:v>1.2113</x:v>
      </x:c>
      <x:c r="F4497" s="73" t="n">
        <x:v>1.2113</x:v>
      </x:c>
      <x:c r="G4497" s="74" t="n">
        <x:v>-0.0001</x:v>
      </x:c>
      <x:c r="H4497" s="66" t="str">
        <x:v>钧誉厚德量化对冲11号净值20260911.xlsx</x:v>
      </x:c>
      <x:c r="I4497" s="73" t="str">
        <x:f>""</x:f>
      </x:c>
      <x:c r="J4497" s="74" t="str">
        <x:f>""</x:f>
      </x:c>
      <x:c r="K4497" s="73" t="str">
        <x:f>""</x:f>
      </x:c>
      <x:c r="L4497" s="74" t="str">
        <x:f>""</x:f>
      </x:c>
      <x:c r="M4497" s="73" t="n">
        <x:f>MAX(M4496,F4497)</x:f>
        <x:v>1.2115</x:v>
      </x:c>
      <x:c r="N4497" s="74" t="n">
        <x:f>1-F4497/M4497</x:f>
        <x:v>0.00016508460586051044</x:v>
      </x:c>
    </x:row>
    <x:row r="4498" ht="27" customHeight="1">
      <x:c r="A4498" s="66" t="str">
        <x:v>SQN453</x:v>
      </x:c>
      <x:c r="B4498" s="66" t="str">
        <x:v>钧誉厚德量化对冲11号</x:v>
      </x:c>
      <x:c r="C4498" s="72" t="n">
        <x:v>44970</x:v>
      </x:c>
      <x:c r="D4498" s="73" t="n">
        <x:v>1.2116</x:v>
      </x:c>
      <x:c r="E4498" s="73" t="n">
        <x:v>1.2116</x:v>
      </x:c>
      <x:c r="F4498" s="73" t="n">
        <x:v>1.2116</x:v>
      </x:c>
      <x:c r="G4498" s="74" t="n">
        <x:v>0.0002</x:v>
      </x:c>
      <x:c r="H4498" s="66" t="str">
        <x:v>钧誉厚德量化对冲11号净值20260911.xlsx</x:v>
      </x:c>
      <x:c r="I4498" s="73" t="str">
        <x:f>""</x:f>
      </x:c>
      <x:c r="J4498" s="74" t="str">
        <x:f>""</x:f>
      </x:c>
      <x:c r="K4498" s="73" t="str">
        <x:f>""</x:f>
      </x:c>
      <x:c r="L4498" s="74" t="str">
        <x:f>""</x:f>
      </x:c>
      <x:c r="M4498" s="73" t="n">
        <x:f>MAX(M4497,F4498)</x:f>
        <x:v>1.2116</x:v>
      </x:c>
      <x:c r="N4498" s="74" t="n">
        <x:f>1-F4498/M4498</x:f>
        <x:v>0</x:v>
      </x:c>
    </x:row>
    <x:row r="4499" ht="27" customHeight="1">
      <x:c r="A4499" s="66" t="str">
        <x:v>SQN453</x:v>
      </x:c>
      <x:c r="B4499" s="66" t="str">
        <x:v>钧誉厚德量化对冲11号</x:v>
      </x:c>
      <x:c r="C4499" s="72" t="n">
        <x:v>44971</x:v>
      </x:c>
      <x:c r="D4499" s="73" t="n">
        <x:v>1.2116</x:v>
      </x:c>
      <x:c r="E4499" s="73" t="n">
        <x:v>1.2116</x:v>
      </x:c>
      <x:c r="F4499" s="73" t="n">
        <x:v>1.2116</x:v>
      </x:c>
      <x:c r="G4499" s="74" t="n">
        <x:v>0</x:v>
      </x:c>
      <x:c r="H4499" s="66" t="str">
        <x:v>钧誉厚德量化对冲11号净值20260911.xlsx</x:v>
      </x:c>
      <x:c r="I4499" s="73" t="str">
        <x:f>""</x:f>
      </x:c>
      <x:c r="J4499" s="74" t="str">
        <x:f>""</x:f>
      </x:c>
      <x:c r="K4499" s="73" t="str">
        <x:f>""</x:f>
      </x:c>
      <x:c r="L4499" s="74" t="str">
        <x:f>""</x:f>
      </x:c>
      <x:c r="M4499" s="73" t="n">
        <x:f>MAX(M4498,F4499)</x:f>
        <x:v>1.2116</x:v>
      </x:c>
      <x:c r="N4499" s="74" t="n">
        <x:f>1-F4499/M4499</x:f>
        <x:v>0</x:v>
      </x:c>
    </x:row>
    <x:row r="4500" ht="27" customHeight="1">
      <x:c r="A4500" s="66" t="str">
        <x:v>SQN453</x:v>
      </x:c>
      <x:c r="B4500" s="66" t="str">
        <x:v>钧誉厚德量化对冲11号</x:v>
      </x:c>
      <x:c r="C4500" s="72" t="n">
        <x:v>44972</x:v>
      </x:c>
      <x:c r="D4500" s="73" t="n">
        <x:v>1.2118</x:v>
      </x:c>
      <x:c r="E4500" s="73" t="n">
        <x:v>1.2118</x:v>
      </x:c>
      <x:c r="F4500" s="73" t="n">
        <x:v>1.2118</x:v>
      </x:c>
      <x:c r="G4500" s="74" t="n">
        <x:v>0.0002</x:v>
      </x:c>
      <x:c r="H4500" s="66" t="str">
        <x:v>钧誉厚德量化对冲11号净值20260911.xlsx</x:v>
      </x:c>
      <x:c r="I4500" s="73" t="str">
        <x:f>""</x:f>
      </x:c>
      <x:c r="J4500" s="74" t="str">
        <x:f>""</x:f>
      </x:c>
      <x:c r="K4500" s="73" t="str">
        <x:f>""</x:f>
      </x:c>
      <x:c r="L4500" s="74" t="str">
        <x:f>""</x:f>
      </x:c>
      <x:c r="M4500" s="73" t="n">
        <x:f>MAX(M4499,F4500)</x:f>
        <x:v>1.2118</x:v>
      </x:c>
      <x:c r="N4500" s="74" t="n">
        <x:f>1-F4500/M4500</x:f>
        <x:v>0</x:v>
      </x:c>
    </x:row>
    <x:row r="4501" ht="27" customHeight="1">
      <x:c r="A4501" s="66" t="str">
        <x:v>SQN453</x:v>
      </x:c>
      <x:c r="B4501" s="66" t="str">
        <x:v>钧誉厚德量化对冲11号</x:v>
      </x:c>
      <x:c r="C4501" s="72" t="n">
        <x:v>44973</x:v>
      </x:c>
      <x:c r="D4501" s="73" t="n">
        <x:v>1.2121</x:v>
      </x:c>
      <x:c r="E4501" s="73" t="n">
        <x:v>1.2121</x:v>
      </x:c>
      <x:c r="F4501" s="73" t="n">
        <x:v>1.2121</x:v>
      </x:c>
      <x:c r="G4501" s="74" t="n">
        <x:v>0.0002</x:v>
      </x:c>
      <x:c r="H4501" s="66" t="str">
        <x:v>钧誉厚德量化对冲11号净值20260911.xlsx</x:v>
      </x:c>
      <x:c r="I4501" s="73" t="str">
        <x:f>""</x:f>
      </x:c>
      <x:c r="J4501" s="74" t="str">
        <x:f>""</x:f>
      </x:c>
      <x:c r="K4501" s="73" t="str">
        <x:f>""</x:f>
      </x:c>
      <x:c r="L4501" s="74" t="str">
        <x:f>""</x:f>
      </x:c>
      <x:c r="M4501" s="73" t="n">
        <x:f>MAX(M4500,F4501)</x:f>
        <x:v>1.2121</x:v>
      </x:c>
      <x:c r="N4501" s="74" t="n">
        <x:f>1-F4501/M4501</x:f>
        <x:v>0</x:v>
      </x:c>
    </x:row>
    <x:row r="4502" ht="27" customHeight="1">
      <x:c r="A4502" s="66" t="str">
        <x:v>SQN453</x:v>
      </x:c>
      <x:c r="B4502" s="66" t="str">
        <x:v>钧誉厚德量化对冲11号</x:v>
      </x:c>
      <x:c r="C4502" s="72" t="n">
        <x:v>44974</x:v>
      </x:c>
      <x:c r="D4502" s="73" t="n">
        <x:v>1.2123</x:v>
      </x:c>
      <x:c r="E4502" s="73" t="n">
        <x:v>1.2123</x:v>
      </x:c>
      <x:c r="F4502" s="73" t="n">
        <x:v>1.2123</x:v>
      </x:c>
      <x:c r="G4502" s="74" t="n">
        <x:v>0.0002</x:v>
      </x:c>
      <x:c r="H4502" s="66" t="str">
        <x:v>钧誉厚德量化对冲11号净值20260911.xlsx</x:v>
      </x:c>
      <x:c r="I4502" s="73" t="str">
        <x:f>""</x:f>
      </x:c>
      <x:c r="J4502" s="74" t="str">
        <x:f>""</x:f>
      </x:c>
      <x:c r="K4502" s="73" t="str">
        <x:f>""</x:f>
      </x:c>
      <x:c r="L4502" s="74" t="str">
        <x:f>""</x:f>
      </x:c>
      <x:c r="M4502" s="73" t="n">
        <x:f>MAX(M4501,F4502)</x:f>
        <x:v>1.2123</x:v>
      </x:c>
      <x:c r="N4502" s="74" t="n">
        <x:f>1-F4502/M4502</x:f>
        <x:v>0</x:v>
      </x:c>
    </x:row>
    <x:row r="4503" ht="27" customHeight="1">
      <x:c r="A4503" s="66" t="str">
        <x:v>SQN453</x:v>
      </x:c>
      <x:c r="B4503" s="66" t="str">
        <x:v>钧誉厚德量化对冲11号</x:v>
      </x:c>
      <x:c r="C4503" s="72" t="n">
        <x:v>44977</x:v>
      </x:c>
      <x:c r="D4503" s="73" t="n">
        <x:v>1.2123</x:v>
      </x:c>
      <x:c r="E4503" s="73" t="n">
        <x:v>1.2123</x:v>
      </x:c>
      <x:c r="F4503" s="73" t="n">
        <x:v>1.2123</x:v>
      </x:c>
      <x:c r="G4503" s="74" t="n">
        <x:v>0</x:v>
      </x:c>
      <x:c r="H4503" s="66" t="str">
        <x:v>钧誉厚德量化对冲11号净值20260911.xlsx</x:v>
      </x:c>
      <x:c r="I4503" s="73" t="str">
        <x:f>""</x:f>
      </x:c>
      <x:c r="J4503" s="74" t="str">
        <x:f>""</x:f>
      </x:c>
      <x:c r="K4503" s="73" t="str">
        <x:f>""</x:f>
      </x:c>
      <x:c r="L4503" s="74" t="str">
        <x:f>""</x:f>
      </x:c>
      <x:c r="M4503" s="73" t="n">
        <x:f>MAX(M4502,F4503)</x:f>
        <x:v>1.2123</x:v>
      </x:c>
      <x:c r="N4503" s="74" t="n">
        <x:f>1-F4503/M4503</x:f>
        <x:v>0</x:v>
      </x:c>
    </x:row>
    <x:row r="4504" ht="27" customHeight="1">
      <x:c r="A4504" s="66" t="str">
        <x:v>SQN453</x:v>
      </x:c>
      <x:c r="B4504" s="66" t="str">
        <x:v>钧誉厚德量化对冲11号</x:v>
      </x:c>
      <x:c r="C4504" s="72" t="n">
        <x:v>44978</x:v>
      </x:c>
      <x:c r="D4504" s="73" t="n">
        <x:v>1.2122</x:v>
      </x:c>
      <x:c r="E4504" s="73" t="n">
        <x:v>1.2122</x:v>
      </x:c>
      <x:c r="F4504" s="73" t="n">
        <x:v>1.2122</x:v>
      </x:c>
      <x:c r="G4504" s="74" t="n">
        <x:v>-0.0001</x:v>
      </x:c>
      <x:c r="H4504" s="66" t="str">
        <x:v>钧誉厚德量化对冲11号净值20260911.xlsx</x:v>
      </x:c>
      <x:c r="I4504" s="73" t="str">
        <x:f>""</x:f>
      </x:c>
      <x:c r="J4504" s="74" t="str">
        <x:f>""</x:f>
      </x:c>
      <x:c r="K4504" s="73" t="str">
        <x:f>""</x:f>
      </x:c>
      <x:c r="L4504" s="74" t="str">
        <x:f>""</x:f>
      </x:c>
      <x:c r="M4504" s="73" t="n">
        <x:f>MAX(M4503,F4504)</x:f>
        <x:v>1.2123</x:v>
      </x:c>
      <x:c r="N4504" s="74" t="n">
        <x:f>1-F4504/M4504</x:f>
        <x:v>0.00008248783304465324</x:v>
      </x:c>
    </x:row>
    <x:row r="4505" ht="27" customHeight="1">
      <x:c r="A4505" s="66" t="str">
        <x:v>SQN453</x:v>
      </x:c>
      <x:c r="B4505" s="66" t="str">
        <x:v>钧誉厚德量化对冲11号</x:v>
      </x:c>
      <x:c r="C4505" s="72" t="n">
        <x:v>44979</x:v>
      </x:c>
      <x:c r="D4505" s="73" t="n">
        <x:v>1.2123</x:v>
      </x:c>
      <x:c r="E4505" s="73" t="n">
        <x:v>1.2123</x:v>
      </x:c>
      <x:c r="F4505" s="73" t="n">
        <x:v>1.2123</x:v>
      </x:c>
      <x:c r="G4505" s="74" t="n">
        <x:v>0.0001</x:v>
      </x:c>
      <x:c r="H4505" s="66" t="str">
        <x:v>钧誉厚德量化对冲11号净值20260911.xlsx</x:v>
      </x:c>
      <x:c r="I4505" s="73" t="str">
        <x:f>""</x:f>
      </x:c>
      <x:c r="J4505" s="74" t="str">
        <x:f>""</x:f>
      </x:c>
      <x:c r="K4505" s="73" t="str">
        <x:f>""</x:f>
      </x:c>
      <x:c r="L4505" s="74" t="str">
        <x:f>""</x:f>
      </x:c>
      <x:c r="M4505" s="73" t="n">
        <x:f>MAX(M4504,F4505)</x:f>
        <x:v>1.2123</x:v>
      </x:c>
      <x:c r="N4505" s="74" t="n">
        <x:f>1-F4505/M4505</x:f>
        <x:v>0</x:v>
      </x:c>
    </x:row>
    <x:row r="4506" ht="27" customHeight="1">
      <x:c r="A4506" s="66" t="str">
        <x:v>SQN453</x:v>
      </x:c>
      <x:c r="B4506" s="66" t="str">
        <x:v>钧誉厚德量化对冲11号</x:v>
      </x:c>
      <x:c r="C4506" s="72" t="n">
        <x:v>44980</x:v>
      </x:c>
      <x:c r="D4506" s="73" t="n">
        <x:v>1.2125</x:v>
      </x:c>
      <x:c r="E4506" s="73" t="n">
        <x:v>1.2125</x:v>
      </x:c>
      <x:c r="F4506" s="73" t="n">
        <x:v>1.2125</x:v>
      </x:c>
      <x:c r="G4506" s="74" t="n">
        <x:v>0.0002</x:v>
      </x:c>
      <x:c r="H4506" s="66" t="str">
        <x:v>钧誉厚德量化对冲11号净值20260911.xlsx</x:v>
      </x:c>
      <x:c r="I4506" s="73" t="str">
        <x:f>""</x:f>
      </x:c>
      <x:c r="J4506" s="74" t="str">
        <x:f>""</x:f>
      </x:c>
      <x:c r="K4506" s="73" t="str">
        <x:f>""</x:f>
      </x:c>
      <x:c r="L4506" s="74" t="str">
        <x:f>""</x:f>
      </x:c>
      <x:c r="M4506" s="73" t="n">
        <x:f>MAX(M4505,F4506)</x:f>
        <x:v>1.2125</x:v>
      </x:c>
      <x:c r="N4506" s="74" t="n">
        <x:f>1-F4506/M4506</x:f>
        <x:v>0</x:v>
      </x:c>
    </x:row>
    <x:row r="4507" ht="27" customHeight="1">
      <x:c r="A4507" s="66" t="str">
        <x:v>SQN453</x:v>
      </x:c>
      <x:c r="B4507" s="66" t="str">
        <x:v>钧誉厚德量化对冲11号</x:v>
      </x:c>
      <x:c r="C4507" s="72" t="n">
        <x:v>44981</x:v>
      </x:c>
      <x:c r="D4507" s="73" t="n">
        <x:v>1.2125</x:v>
      </x:c>
      <x:c r="E4507" s="73" t="n">
        <x:v>1.2125</x:v>
      </x:c>
      <x:c r="F4507" s="73" t="n">
        <x:v>1.2125</x:v>
      </x:c>
      <x:c r="G4507" s="74" t="n">
        <x:v>0</x:v>
      </x:c>
      <x:c r="H4507" s="66" t="str">
        <x:v>钧誉厚德量化对冲11号净值20260911.xlsx</x:v>
      </x:c>
      <x:c r="I4507" s="73" t="str">
        <x:f>""</x:f>
      </x:c>
      <x:c r="J4507" s="74" t="str">
        <x:f>""</x:f>
      </x:c>
      <x:c r="K4507" s="73" t="str">
        <x:f>""</x:f>
      </x:c>
      <x:c r="L4507" s="74" t="str">
        <x:f>""</x:f>
      </x:c>
      <x:c r="M4507" s="73" t="n">
        <x:f>MAX(M4506,F4507)</x:f>
        <x:v>1.2125</x:v>
      </x:c>
      <x:c r="N4507" s="74" t="n">
        <x:f>1-F4507/M4507</x:f>
        <x:v>0</x:v>
      </x:c>
    </x:row>
    <x:row r="4508" ht="27" customHeight="1">
      <x:c r="A4508" s="66" t="str">
        <x:v>SQN453</x:v>
      </x:c>
      <x:c r="B4508" s="66" t="str">
        <x:v>钧誉厚德量化对冲11号</x:v>
      </x:c>
      <x:c r="C4508" s="72" t="n">
        <x:v>44984</x:v>
      </x:c>
      <x:c r="D4508" s="73" t="n">
        <x:v>1.2127</x:v>
      </x:c>
      <x:c r="E4508" s="73" t="n">
        <x:v>1.2127</x:v>
      </x:c>
      <x:c r="F4508" s="73" t="n">
        <x:v>1.2127</x:v>
      </x:c>
      <x:c r="G4508" s="74" t="n">
        <x:v>0.0002</x:v>
      </x:c>
      <x:c r="H4508" s="66" t="str">
        <x:v>钧誉厚德量化对冲11号净值20260911.xlsx</x:v>
      </x:c>
      <x:c r="I4508" s="73" t="str">
        <x:f>""</x:f>
      </x:c>
      <x:c r="J4508" s="74" t="str">
        <x:f>""</x:f>
      </x:c>
      <x:c r="K4508" s="73" t="str">
        <x:f>""</x:f>
      </x:c>
      <x:c r="L4508" s="74" t="str">
        <x:f>""</x:f>
      </x:c>
      <x:c r="M4508" s="73" t="n">
        <x:f>MAX(M4507,F4508)</x:f>
        <x:v>1.2127</x:v>
      </x:c>
      <x:c r="N4508" s="74" t="n">
        <x:f>1-F4508/M4508</x:f>
        <x:v>0</x:v>
      </x:c>
    </x:row>
    <x:row r="4509" ht="27" customHeight="1">
      <x:c r="A4509" s="66" t="str">
        <x:v>SQN453</x:v>
      </x:c>
      <x:c r="B4509" s="66" t="str">
        <x:v>钧誉厚德量化对冲11号</x:v>
      </x:c>
      <x:c r="C4509" s="72" t="n">
        <x:v>44985</x:v>
      </x:c>
      <x:c r="D4509" s="73" t="n">
        <x:v>1.2128</x:v>
      </x:c>
      <x:c r="E4509" s="73" t="n">
        <x:v>1.2128</x:v>
      </x:c>
      <x:c r="F4509" s="73" t="n">
        <x:v>1.2128</x:v>
      </x:c>
      <x:c r="G4509" s="74" t="n">
        <x:v>0.0001</x:v>
      </x:c>
      <x:c r="H4509" s="66" t="str">
        <x:v>钧誉厚德量化对冲11号净值20260911.xlsx</x:v>
      </x:c>
      <x:c r="I4509" s="73" t="str">
        <x:f>""</x:f>
      </x:c>
      <x:c r="J4509" s="74" t="str">
        <x:f>""</x:f>
      </x:c>
      <x:c r="K4509" s="73" t="str">
        <x:f>""</x:f>
      </x:c>
      <x:c r="L4509" s="74" t="str">
        <x:f>""</x:f>
      </x:c>
      <x:c r="M4509" s="73" t="n">
        <x:f>MAX(M4508,F4509)</x:f>
        <x:v>1.2128</x:v>
      </x:c>
      <x:c r="N4509" s="74" t="n">
        <x:f>1-F4509/M4509</x:f>
        <x:v>0</x:v>
      </x:c>
    </x:row>
    <x:row r="4510" ht="27" customHeight="1">
      <x:c r="A4510" s="66" t="str">
        <x:v>SQN453</x:v>
      </x:c>
      <x:c r="B4510" s="66" t="str">
        <x:v>钧誉厚德量化对冲11号</x:v>
      </x:c>
      <x:c r="C4510" s="72" t="n">
        <x:v>44986</x:v>
      </x:c>
      <x:c r="D4510" s="73" t="n">
        <x:v>1.2128</x:v>
      </x:c>
      <x:c r="E4510" s="73" t="n">
        <x:v>1.2128</x:v>
      </x:c>
      <x:c r="F4510" s="73" t="n">
        <x:v>1.2128</x:v>
      </x:c>
      <x:c r="G4510" s="74" t="n">
        <x:v>0</x:v>
      </x:c>
      <x:c r="H4510" s="66" t="str">
        <x:v>钧誉厚德量化对冲11号净值20260911.xlsx</x:v>
      </x:c>
      <x:c r="I4510" s="73" t="str">
        <x:f>""</x:f>
      </x:c>
      <x:c r="J4510" s="74" t="str">
        <x:f>""</x:f>
      </x:c>
      <x:c r="K4510" s="73" t="str">
        <x:f>""</x:f>
      </x:c>
      <x:c r="L4510" s="74" t="str">
        <x:f>""</x:f>
      </x:c>
      <x:c r="M4510" s="73" t="n">
        <x:f>MAX(M4509,F4510)</x:f>
        <x:v>1.2128</x:v>
      </x:c>
      <x:c r="N4510" s="74" t="n">
        <x:f>1-F4510/M4510</x:f>
        <x:v>0</x:v>
      </x:c>
    </x:row>
    <x:row r="4511" ht="27" customHeight="1">
      <x:c r="A4511" s="66" t="str">
        <x:v>SQN453</x:v>
      </x:c>
      <x:c r="B4511" s="66" t="str">
        <x:v>钧誉厚德量化对冲11号</x:v>
      </x:c>
      <x:c r="C4511" s="72" t="n">
        <x:v>44987</x:v>
      </x:c>
      <x:c r="D4511" s="73" t="n">
        <x:v>1.2128</x:v>
      </x:c>
      <x:c r="E4511" s="73" t="n">
        <x:v>1.2128</x:v>
      </x:c>
      <x:c r="F4511" s="73" t="n">
        <x:v>1.2128</x:v>
      </x:c>
      <x:c r="G4511" s="74" t="n">
        <x:v>0</x:v>
      </x:c>
      <x:c r="H4511" s="66" t="str">
        <x:v>钧誉厚德量化对冲11号净值20260911.xlsx</x:v>
      </x:c>
      <x:c r="I4511" s="73" t="str">
        <x:f>""</x:f>
      </x:c>
      <x:c r="J4511" s="74" t="str">
        <x:f>""</x:f>
      </x:c>
      <x:c r="K4511" s="73" t="str">
        <x:f>""</x:f>
      </x:c>
      <x:c r="L4511" s="74" t="str">
        <x:f>""</x:f>
      </x:c>
      <x:c r="M4511" s="73" t="n">
        <x:f>MAX(M4510,F4511)</x:f>
        <x:v>1.2128</x:v>
      </x:c>
      <x:c r="N4511" s="74" t="n">
        <x:f>1-F4511/M4511</x:f>
        <x:v>0</x:v>
      </x:c>
    </x:row>
    <x:row r="4512" ht="27" customHeight="1">
      <x:c r="A4512" s="66" t="str">
        <x:v>SQN453</x:v>
      </x:c>
      <x:c r="B4512" s="66" t="str">
        <x:v>钧誉厚德量化对冲11号</x:v>
      </x:c>
      <x:c r="C4512" s="72" t="n">
        <x:v>44988</x:v>
      </x:c>
      <x:c r="D4512" s="73" t="n">
        <x:v>1.2129</x:v>
      </x:c>
      <x:c r="E4512" s="73" t="n">
        <x:v>1.2129</x:v>
      </x:c>
      <x:c r="F4512" s="73" t="n">
        <x:v>1.2129</x:v>
      </x:c>
      <x:c r="G4512" s="74" t="n">
        <x:v>0.0001</x:v>
      </x:c>
      <x:c r="H4512" s="66" t="str">
        <x:v>钧誉厚德量化对冲11号净值20260911.xlsx</x:v>
      </x:c>
      <x:c r="I4512" s="73" t="str">
        <x:f>""</x:f>
      </x:c>
      <x:c r="J4512" s="74" t="str">
        <x:f>""</x:f>
      </x:c>
      <x:c r="K4512" s="73" t="str">
        <x:f>""</x:f>
      </x:c>
      <x:c r="L4512" s="74" t="str">
        <x:f>""</x:f>
      </x:c>
      <x:c r="M4512" s="73" t="n">
        <x:f>MAX(M4511,F4512)</x:f>
        <x:v>1.2129</x:v>
      </x:c>
      <x:c r="N4512" s="74" t="n">
        <x:f>1-F4512/M4512</x:f>
        <x:v>0</x:v>
      </x:c>
    </x:row>
    <x:row r="4513" ht="27" customHeight="1">
      <x:c r="A4513" s="66" t="str">
        <x:v>SQN453</x:v>
      </x:c>
      <x:c r="B4513" s="66" t="str">
        <x:v>钧誉厚德量化对冲11号</x:v>
      </x:c>
      <x:c r="C4513" s="72" t="n">
        <x:v>44991</x:v>
      </x:c>
      <x:c r="D4513" s="73" t="n">
        <x:v>1.2129</x:v>
      </x:c>
      <x:c r="E4513" s="73" t="n">
        <x:v>1.2129</x:v>
      </x:c>
      <x:c r="F4513" s="73" t="n">
        <x:v>1.2129</x:v>
      </x:c>
      <x:c r="G4513" s="74" t="n">
        <x:v>0</x:v>
      </x:c>
      <x:c r="H4513" s="66" t="str">
        <x:v>钧誉厚德量化对冲11号净值20260911.xlsx</x:v>
      </x:c>
      <x:c r="I4513" s="73" t="str">
        <x:f>""</x:f>
      </x:c>
      <x:c r="J4513" s="74" t="str">
        <x:f>""</x:f>
      </x:c>
      <x:c r="K4513" s="73" t="str">
        <x:f>""</x:f>
      </x:c>
      <x:c r="L4513" s="74" t="str">
        <x:f>""</x:f>
      </x:c>
      <x:c r="M4513" s="73" t="n">
        <x:f>MAX(M4512,F4513)</x:f>
        <x:v>1.2129</x:v>
      </x:c>
      <x:c r="N4513" s="74" t="n">
        <x:f>1-F4513/M4513</x:f>
        <x:v>0</x:v>
      </x:c>
    </x:row>
    <x:row r="4514" ht="27" customHeight="1">
      <x:c r="A4514" s="66" t="str">
        <x:v>SQN453</x:v>
      </x:c>
      <x:c r="B4514" s="66" t="str">
        <x:v>钧誉厚德量化对冲11号</x:v>
      </x:c>
      <x:c r="C4514" s="72" t="n">
        <x:v>44992</x:v>
      </x:c>
      <x:c r="D4514" s="73" t="n">
        <x:v>1.2129</x:v>
      </x:c>
      <x:c r="E4514" s="73" t="n">
        <x:v>1.2129</x:v>
      </x:c>
      <x:c r="F4514" s="73" t="n">
        <x:v>1.2129</x:v>
      </x:c>
      <x:c r="G4514" s="74" t="n">
        <x:v>0</x:v>
      </x:c>
      <x:c r="H4514" s="66" t="str">
        <x:v>钧誉厚德量化对冲11号净值20260911.xlsx</x:v>
      </x:c>
      <x:c r="I4514" s="73" t="str">
        <x:f>""</x:f>
      </x:c>
      <x:c r="J4514" s="74" t="str">
        <x:f>""</x:f>
      </x:c>
      <x:c r="K4514" s="73" t="str">
        <x:f>""</x:f>
      </x:c>
      <x:c r="L4514" s="74" t="str">
        <x:f>""</x:f>
      </x:c>
      <x:c r="M4514" s="73" t="n">
        <x:f>MAX(M4513,F4514)</x:f>
        <x:v>1.2129</x:v>
      </x:c>
      <x:c r="N4514" s="74" t="n">
        <x:f>1-F4514/M4514</x:f>
        <x:v>0</x:v>
      </x:c>
    </x:row>
    <x:row r="4515" ht="27" customHeight="1">
      <x:c r="A4515" s="66" t="str">
        <x:v>SQN453</x:v>
      </x:c>
      <x:c r="B4515" s="66" t="str">
        <x:v>钧誉厚德量化对冲11号</x:v>
      </x:c>
      <x:c r="C4515" s="72" t="n">
        <x:v>44993</x:v>
      </x:c>
      <x:c r="D4515" s="73" t="n">
        <x:v>1.2129</x:v>
      </x:c>
      <x:c r="E4515" s="73" t="n">
        <x:v>1.2129</x:v>
      </x:c>
      <x:c r="F4515" s="73" t="n">
        <x:v>1.2129</x:v>
      </x:c>
      <x:c r="G4515" s="74" t="n">
        <x:v>0</x:v>
      </x:c>
      <x:c r="H4515" s="66" t="str">
        <x:v>钧誉厚德量化对冲11号净值20260911.xlsx</x:v>
      </x:c>
      <x:c r="I4515" s="73" t="str">
        <x:f>""</x:f>
      </x:c>
      <x:c r="J4515" s="74" t="str">
        <x:f>""</x:f>
      </x:c>
      <x:c r="K4515" s="73" t="str">
        <x:f>""</x:f>
      </x:c>
      <x:c r="L4515" s="74" t="str">
        <x:f>""</x:f>
      </x:c>
      <x:c r="M4515" s="73" t="n">
        <x:f>MAX(M4514,F4515)</x:f>
        <x:v>1.2129</x:v>
      </x:c>
      <x:c r="N4515" s="74" t="n">
        <x:f>1-F4515/M4515</x:f>
        <x:v>0</x:v>
      </x:c>
    </x:row>
    <x:row r="4516" ht="27" customHeight="1">
      <x:c r="A4516" s="66" t="str">
        <x:v>SQN453</x:v>
      </x:c>
      <x:c r="B4516" s="66" t="str">
        <x:v>钧誉厚德量化对冲11号</x:v>
      </x:c>
      <x:c r="C4516" s="72" t="n">
        <x:v>44994</x:v>
      </x:c>
      <x:c r="D4516" s="73" t="n">
        <x:v>1.2129</x:v>
      </x:c>
      <x:c r="E4516" s="73" t="n">
        <x:v>1.2129</x:v>
      </x:c>
      <x:c r="F4516" s="73" t="n">
        <x:v>1.2129</x:v>
      </x:c>
      <x:c r="G4516" s="74" t="n">
        <x:v>0</x:v>
      </x:c>
      <x:c r="H4516" s="66" t="str">
        <x:v>钧誉厚德量化对冲11号净值20260911.xlsx</x:v>
      </x:c>
      <x:c r="I4516" s="73" t="str">
        <x:f>""</x:f>
      </x:c>
      <x:c r="J4516" s="74" t="str">
        <x:f>""</x:f>
      </x:c>
      <x:c r="K4516" s="73" t="str">
        <x:f>""</x:f>
      </x:c>
      <x:c r="L4516" s="74" t="str">
        <x:f>""</x:f>
      </x:c>
      <x:c r="M4516" s="73" t="n">
        <x:f>MAX(M4515,F4516)</x:f>
        <x:v>1.2129</x:v>
      </x:c>
      <x:c r="N4516" s="74" t="n">
        <x:f>1-F4516/M4516</x:f>
        <x:v>0</x:v>
      </x:c>
    </x:row>
    <x:row r="4517" ht="27" customHeight="1">
      <x:c r="A4517" s="66" t="str">
        <x:v>SQN453</x:v>
      </x:c>
      <x:c r="B4517" s="66" t="str">
        <x:v>钧誉厚德量化对冲11号</x:v>
      </x:c>
      <x:c r="C4517" s="72" t="n">
        <x:v>44995</x:v>
      </x:c>
      <x:c r="D4517" s="73" t="n">
        <x:v>1.2135</x:v>
      </x:c>
      <x:c r="E4517" s="73" t="n">
        <x:v>1.2135</x:v>
      </x:c>
      <x:c r="F4517" s="73" t="n">
        <x:v>1.2135</x:v>
      </x:c>
      <x:c r="G4517" s="74" t="n">
        <x:v>0.0005</x:v>
      </x:c>
      <x:c r="H4517" s="66" t="str">
        <x:v>钧誉厚德量化对冲11号净值20260911.xlsx</x:v>
      </x:c>
      <x:c r="I4517" s="73" t="str">
        <x:f>""</x:f>
      </x:c>
      <x:c r="J4517" s="74" t="str">
        <x:f>""</x:f>
      </x:c>
      <x:c r="K4517" s="73" t="str">
        <x:f>""</x:f>
      </x:c>
      <x:c r="L4517" s="74" t="str">
        <x:f>""</x:f>
      </x:c>
      <x:c r="M4517" s="73" t="n">
        <x:f>MAX(M4516,F4517)</x:f>
        <x:v>1.2135</x:v>
      </x:c>
      <x:c r="N4517" s="74" t="n">
        <x:f>1-F4517/M4517</x:f>
        <x:v>0</x:v>
      </x:c>
    </x:row>
    <x:row r="4518" ht="27" customHeight="1">
      <x:c r="A4518" s="66" t="str">
        <x:v>SQN453</x:v>
      </x:c>
      <x:c r="B4518" s="66" t="str">
        <x:v>钧誉厚德量化对冲11号</x:v>
      </x:c>
      <x:c r="C4518" s="72" t="n">
        <x:v>44998</x:v>
      </x:c>
      <x:c r="D4518" s="73" t="n">
        <x:v>1.2139</x:v>
      </x:c>
      <x:c r="E4518" s="73" t="n">
        <x:v>1.2139</x:v>
      </x:c>
      <x:c r="F4518" s="73" t="n">
        <x:v>1.2139</x:v>
      </x:c>
      <x:c r="G4518" s="74" t="n">
        <x:v>0.0003</x:v>
      </x:c>
      <x:c r="H4518" s="66" t="str">
        <x:v>钧誉厚德量化对冲11号净值20260911.xlsx</x:v>
      </x:c>
      <x:c r="I4518" s="73" t="str">
        <x:f>""</x:f>
      </x:c>
      <x:c r="J4518" s="74" t="str">
        <x:f>""</x:f>
      </x:c>
      <x:c r="K4518" s="73" t="str">
        <x:f>""</x:f>
      </x:c>
      <x:c r="L4518" s="74" t="str">
        <x:f>""</x:f>
      </x:c>
      <x:c r="M4518" s="73" t="n">
        <x:f>MAX(M4517,F4518)</x:f>
        <x:v>1.2139</x:v>
      </x:c>
      <x:c r="N4518" s="74" t="n">
        <x:f>1-F4518/M4518</x:f>
        <x:v>0</x:v>
      </x:c>
    </x:row>
    <x:row r="4519" ht="27" customHeight="1">
      <x:c r="A4519" s="66" t="str">
        <x:v>SQN453</x:v>
      </x:c>
      <x:c r="B4519" s="66" t="str">
        <x:v>钧誉厚德量化对冲11号</x:v>
      </x:c>
      <x:c r="C4519" s="72" t="n">
        <x:v>44999</x:v>
      </x:c>
      <x:c r="D4519" s="73" t="n">
        <x:v>1.2143</x:v>
      </x:c>
      <x:c r="E4519" s="73" t="n">
        <x:v>1.2143</x:v>
      </x:c>
      <x:c r="F4519" s="73" t="n">
        <x:v>1.2143</x:v>
      </x:c>
      <x:c r="G4519" s="74" t="n">
        <x:v>0.0003</x:v>
      </x:c>
      <x:c r="H4519" s="66" t="str">
        <x:v>钧誉厚德量化对冲11号净值20260911.xlsx</x:v>
      </x:c>
      <x:c r="I4519" s="73" t="str">
        <x:f>""</x:f>
      </x:c>
      <x:c r="J4519" s="74" t="str">
        <x:f>""</x:f>
      </x:c>
      <x:c r="K4519" s="73" t="str">
        <x:f>""</x:f>
      </x:c>
      <x:c r="L4519" s="74" t="str">
        <x:f>""</x:f>
      </x:c>
      <x:c r="M4519" s="73" t="n">
        <x:f>MAX(M4518,F4519)</x:f>
        <x:v>1.2143</x:v>
      </x:c>
      <x:c r="N4519" s="74" t="n">
        <x:f>1-F4519/M4519</x:f>
        <x:v>0</x:v>
      </x:c>
    </x:row>
    <x:row r="4520" ht="27" customHeight="1">
      <x:c r="A4520" s="66" t="str">
        <x:v>SQN453</x:v>
      </x:c>
      <x:c r="B4520" s="66" t="str">
        <x:v>钧誉厚德量化对冲11号</x:v>
      </x:c>
      <x:c r="C4520" s="72" t="n">
        <x:v>45000</x:v>
      </x:c>
      <x:c r="D4520" s="73" t="n">
        <x:v>1.2143</x:v>
      </x:c>
      <x:c r="E4520" s="73" t="n">
        <x:v>1.2143</x:v>
      </x:c>
      <x:c r="F4520" s="73" t="n">
        <x:v>1.2143</x:v>
      </x:c>
      <x:c r="G4520" s="74" t="n">
        <x:v>0</x:v>
      </x:c>
      <x:c r="H4520" s="66" t="str">
        <x:v>钧誉厚德量化对冲11号净值20260911.xlsx</x:v>
      </x:c>
      <x:c r="I4520" s="73" t="str">
        <x:f>""</x:f>
      </x:c>
      <x:c r="J4520" s="74" t="str">
        <x:f>""</x:f>
      </x:c>
      <x:c r="K4520" s="73" t="str">
        <x:f>""</x:f>
      </x:c>
      <x:c r="L4520" s="74" t="str">
        <x:f>""</x:f>
      </x:c>
      <x:c r="M4520" s="73" t="n">
        <x:f>MAX(M4519,F4520)</x:f>
        <x:v>1.2143</x:v>
      </x:c>
      <x:c r="N4520" s="74" t="n">
        <x:f>1-F4520/M4520</x:f>
        <x:v>0</x:v>
      </x:c>
    </x:row>
    <x:row r="4521" ht="27" customHeight="1">
      <x:c r="A4521" s="66" t="str">
        <x:v>SQN453</x:v>
      </x:c>
      <x:c r="B4521" s="66" t="str">
        <x:v>钧誉厚德量化对冲11号</x:v>
      </x:c>
      <x:c r="C4521" s="72" t="n">
        <x:v>45001</x:v>
      </x:c>
      <x:c r="D4521" s="73" t="n">
        <x:v>1.2146</x:v>
      </x:c>
      <x:c r="E4521" s="73" t="n">
        <x:v>1.2146</x:v>
      </x:c>
      <x:c r="F4521" s="73" t="n">
        <x:v>1.2146</x:v>
      </x:c>
      <x:c r="G4521" s="74" t="n">
        <x:v>0.0002</x:v>
      </x:c>
      <x:c r="H4521" s="66" t="str">
        <x:v>钧誉厚德量化对冲11号净值20260911.xlsx</x:v>
      </x:c>
      <x:c r="I4521" s="73" t="str">
        <x:f>""</x:f>
      </x:c>
      <x:c r="J4521" s="74" t="str">
        <x:f>""</x:f>
      </x:c>
      <x:c r="K4521" s="73" t="str">
        <x:f>""</x:f>
      </x:c>
      <x:c r="L4521" s="74" t="str">
        <x:f>""</x:f>
      </x:c>
      <x:c r="M4521" s="73" t="n">
        <x:f>MAX(M4520,F4521)</x:f>
        <x:v>1.2146</x:v>
      </x:c>
      <x:c r="N4521" s="74" t="n">
        <x:f>1-F4521/M4521</x:f>
        <x:v>0</x:v>
      </x:c>
    </x:row>
    <x:row r="4522" ht="27" customHeight="1">
      <x:c r="A4522" s="66" t="str">
        <x:v>SQN453</x:v>
      </x:c>
      <x:c r="B4522" s="66" t="str">
        <x:v>钧誉厚德量化对冲11号</x:v>
      </x:c>
      <x:c r="C4522" s="72" t="n">
        <x:v>45002</x:v>
      </x:c>
      <x:c r="D4522" s="73" t="n">
        <x:v>1.2147</x:v>
      </x:c>
      <x:c r="E4522" s="73" t="n">
        <x:v>1.2147</x:v>
      </x:c>
      <x:c r="F4522" s="73" t="n">
        <x:v>1.2147</x:v>
      </x:c>
      <x:c r="G4522" s="74" t="n">
        <x:v>0.0001</x:v>
      </x:c>
      <x:c r="H4522" s="66" t="str">
        <x:v>钧誉厚德量化对冲11号净值20260911.xlsx</x:v>
      </x:c>
      <x:c r="I4522" s="73" t="str">
        <x:f>""</x:f>
      </x:c>
      <x:c r="J4522" s="74" t="str">
        <x:f>""</x:f>
      </x:c>
      <x:c r="K4522" s="73" t="str">
        <x:f>""</x:f>
      </x:c>
      <x:c r="L4522" s="74" t="str">
        <x:f>""</x:f>
      </x:c>
      <x:c r="M4522" s="73" t="n">
        <x:f>MAX(M4521,F4522)</x:f>
        <x:v>1.2147</x:v>
      </x:c>
      <x:c r="N4522" s="74" t="n">
        <x:f>1-F4522/M4522</x:f>
        <x:v>0</x:v>
      </x:c>
    </x:row>
    <x:row r="4523" ht="27" customHeight="1">
      <x:c r="A4523" s="66" t="str">
        <x:v>SQN453</x:v>
      </x:c>
      <x:c r="B4523" s="66" t="str">
        <x:v>钧誉厚德量化对冲11号</x:v>
      </x:c>
      <x:c r="C4523" s="72" t="n">
        <x:v>45005</x:v>
      </x:c>
      <x:c r="D4523" s="73" t="n">
        <x:v>1.2147</x:v>
      </x:c>
      <x:c r="E4523" s="73" t="n">
        <x:v>1.2147</x:v>
      </x:c>
      <x:c r="F4523" s="73" t="n">
        <x:v>1.2147</x:v>
      </x:c>
      <x:c r="G4523" s="74" t="n">
        <x:v>0</x:v>
      </x:c>
      <x:c r="H4523" s="66" t="str">
        <x:v>钧誉厚德量化对冲11号净值20260911.xlsx</x:v>
      </x:c>
      <x:c r="I4523" s="73" t="str">
        <x:f>""</x:f>
      </x:c>
      <x:c r="J4523" s="74" t="str">
        <x:f>""</x:f>
      </x:c>
      <x:c r="K4523" s="73" t="str">
        <x:f>""</x:f>
      </x:c>
      <x:c r="L4523" s="74" t="str">
        <x:f>""</x:f>
      </x:c>
      <x:c r="M4523" s="73" t="n">
        <x:f>MAX(M4522,F4523)</x:f>
        <x:v>1.2147</x:v>
      </x:c>
      <x:c r="N4523" s="74" t="n">
        <x:f>1-F4523/M4523</x:f>
        <x:v>0</x:v>
      </x:c>
    </x:row>
    <x:row r="4524" ht="27" customHeight="1">
      <x:c r="A4524" s="66" t="str">
        <x:v>SQN453</x:v>
      </x:c>
      <x:c r="B4524" s="66" t="str">
        <x:v>钧誉厚德量化对冲11号</x:v>
      </x:c>
      <x:c r="C4524" s="72" t="n">
        <x:v>45006</x:v>
      </x:c>
      <x:c r="D4524" s="73" t="n">
        <x:v>1.2147</x:v>
      </x:c>
      <x:c r="E4524" s="73" t="n">
        <x:v>1.2147</x:v>
      </x:c>
      <x:c r="F4524" s="73" t="n">
        <x:v>1.2147</x:v>
      </x:c>
      <x:c r="G4524" s="74" t="n">
        <x:v>0</x:v>
      </x:c>
      <x:c r="H4524" s="66" t="str">
        <x:v>钧誉厚德量化对冲11号净值20260911.xlsx</x:v>
      </x:c>
      <x:c r="I4524" s="73" t="str">
        <x:f>""</x:f>
      </x:c>
      <x:c r="J4524" s="74" t="str">
        <x:f>""</x:f>
      </x:c>
      <x:c r="K4524" s="73" t="str">
        <x:f>""</x:f>
      </x:c>
      <x:c r="L4524" s="74" t="str">
        <x:f>""</x:f>
      </x:c>
      <x:c r="M4524" s="73" t="n">
        <x:f>MAX(M4523,F4524)</x:f>
        <x:v>1.2147</x:v>
      </x:c>
      <x:c r="N4524" s="74" t="n">
        <x:f>1-F4524/M4524</x:f>
        <x:v>0</x:v>
      </x:c>
    </x:row>
    <x:row r="4525" ht="27" customHeight="1">
      <x:c r="A4525" s="66" t="str">
        <x:v>SQN453</x:v>
      </x:c>
      <x:c r="B4525" s="66" t="str">
        <x:v>钧誉厚德量化对冲11号</x:v>
      </x:c>
      <x:c r="C4525" s="72" t="n">
        <x:v>45007</x:v>
      </x:c>
      <x:c r="D4525" s="73" t="n">
        <x:v>1.2148</x:v>
      </x:c>
      <x:c r="E4525" s="73" t="n">
        <x:v>1.2148</x:v>
      </x:c>
      <x:c r="F4525" s="73" t="n">
        <x:v>1.2148</x:v>
      </x:c>
      <x:c r="G4525" s="74" t="n">
        <x:v>0.0001</x:v>
      </x:c>
      <x:c r="H4525" s="66" t="str">
        <x:v>钧誉厚德量化对冲11号净值20260911.xlsx</x:v>
      </x:c>
      <x:c r="I4525" s="73" t="str">
        <x:f>""</x:f>
      </x:c>
      <x:c r="J4525" s="74" t="str">
        <x:f>""</x:f>
      </x:c>
      <x:c r="K4525" s="73" t="str">
        <x:f>""</x:f>
      </x:c>
      <x:c r="L4525" s="74" t="str">
        <x:f>""</x:f>
      </x:c>
      <x:c r="M4525" s="73" t="n">
        <x:f>MAX(M4524,F4525)</x:f>
        <x:v>1.2148</x:v>
      </x:c>
      <x:c r="N4525" s="74" t="n">
        <x:f>1-F4525/M4525</x:f>
        <x:v>0</x:v>
      </x:c>
    </x:row>
    <x:row r="4526" ht="27" customHeight="1">
      <x:c r="A4526" s="66" t="str">
        <x:v>SQN453</x:v>
      </x:c>
      <x:c r="B4526" s="66" t="str">
        <x:v>钧誉厚德量化对冲11号</x:v>
      </x:c>
      <x:c r="C4526" s="72" t="n">
        <x:v>45008</x:v>
      </x:c>
      <x:c r="D4526" s="73" t="n">
        <x:v>1.2153</x:v>
      </x:c>
      <x:c r="E4526" s="73" t="n">
        <x:v>1.2153</x:v>
      </x:c>
      <x:c r="F4526" s="73" t="n">
        <x:v>1.2153</x:v>
      </x:c>
      <x:c r="G4526" s="74" t="n">
        <x:v>0.0004</x:v>
      </x:c>
      <x:c r="H4526" s="66" t="str">
        <x:v>钧誉厚德量化对冲11号净值20260911.xlsx</x:v>
      </x:c>
      <x:c r="I4526" s="73" t="str">
        <x:f>""</x:f>
      </x:c>
      <x:c r="J4526" s="74" t="str">
        <x:f>""</x:f>
      </x:c>
      <x:c r="K4526" s="73" t="str">
        <x:f>""</x:f>
      </x:c>
      <x:c r="L4526" s="74" t="str">
        <x:f>""</x:f>
      </x:c>
      <x:c r="M4526" s="73" t="n">
        <x:f>MAX(M4525,F4526)</x:f>
        <x:v>1.2153</x:v>
      </x:c>
      <x:c r="N4526" s="74" t="n">
        <x:f>1-F4526/M4526</x:f>
        <x:v>0</x:v>
      </x:c>
    </x:row>
    <x:row r="4527" ht="27" customHeight="1">
      <x:c r="A4527" s="66" t="str">
        <x:v>SQN453</x:v>
      </x:c>
      <x:c r="B4527" s="66" t="str">
        <x:v>钧誉厚德量化对冲11号</x:v>
      </x:c>
      <x:c r="C4527" s="72" t="n">
        <x:v>45009</x:v>
      </x:c>
      <x:c r="D4527" s="73" t="n">
        <x:v>1.2152</x:v>
      </x:c>
      <x:c r="E4527" s="73" t="n">
        <x:v>1.2152</x:v>
      </x:c>
      <x:c r="F4527" s="73" t="n">
        <x:v>1.2152</x:v>
      </x:c>
      <x:c r="G4527" s="74" t="n">
        <x:v>-0.0001</x:v>
      </x:c>
      <x:c r="H4527" s="66" t="str">
        <x:v>钧誉厚德量化对冲11号净值20260911.xlsx</x:v>
      </x:c>
      <x:c r="I4527" s="73" t="str">
        <x:f>""</x:f>
      </x:c>
      <x:c r="J4527" s="74" t="str">
        <x:f>""</x:f>
      </x:c>
      <x:c r="K4527" s="73" t="str">
        <x:f>""</x:f>
      </x:c>
      <x:c r="L4527" s="74" t="str">
        <x:f>""</x:f>
      </x:c>
      <x:c r="M4527" s="73" t="n">
        <x:f>MAX(M4526,F4527)</x:f>
        <x:v>1.2153</x:v>
      </x:c>
      <x:c r="N4527" s="74" t="n">
        <x:f>1-F4527/M4527</x:f>
        <x:v>0.00008228420966016614</x:v>
      </x:c>
    </x:row>
    <x:row r="4528" ht="27" customHeight="1">
      <x:c r="A4528" s="66" t="str">
        <x:v>SQN453</x:v>
      </x:c>
      <x:c r="B4528" s="66" t="str">
        <x:v>钧誉厚德量化对冲11号</x:v>
      </x:c>
      <x:c r="C4528" s="72" t="n">
        <x:v>45012</x:v>
      </x:c>
      <x:c r="D4528" s="73" t="n">
        <x:v>1.2154</x:v>
      </x:c>
      <x:c r="E4528" s="73" t="n">
        <x:v>1.2154</x:v>
      </x:c>
      <x:c r="F4528" s="73" t="n">
        <x:v>1.2154</x:v>
      </x:c>
      <x:c r="G4528" s="74" t="n">
        <x:v>0.0002</x:v>
      </x:c>
      <x:c r="H4528" s="66" t="str">
        <x:v>钧誉厚德量化对冲11号净值20260911.xlsx</x:v>
      </x:c>
      <x:c r="I4528" s="73" t="str">
        <x:f>""</x:f>
      </x:c>
      <x:c r="J4528" s="74" t="str">
        <x:f>""</x:f>
      </x:c>
      <x:c r="K4528" s="73" t="str">
        <x:f>""</x:f>
      </x:c>
      <x:c r="L4528" s="74" t="str">
        <x:f>""</x:f>
      </x:c>
      <x:c r="M4528" s="73" t="n">
        <x:f>MAX(M4527,F4528)</x:f>
        <x:v>1.2154</x:v>
      </x:c>
      <x:c r="N4528" s="74" t="n">
        <x:f>1-F4528/M4528</x:f>
        <x:v>0</x:v>
      </x:c>
    </x:row>
    <x:row r="4529" ht="27" customHeight="1">
      <x:c r="A4529" s="66" t="str">
        <x:v>SQN453</x:v>
      </x:c>
      <x:c r="B4529" s="66" t="str">
        <x:v>钧誉厚德量化对冲11号</x:v>
      </x:c>
      <x:c r="C4529" s="72" t="n">
        <x:v>45013</x:v>
      </x:c>
      <x:c r="D4529" s="73" t="n">
        <x:v>1.2154</x:v>
      </x:c>
      <x:c r="E4529" s="73" t="n">
        <x:v>1.2154</x:v>
      </x:c>
      <x:c r="F4529" s="73" t="n">
        <x:v>1.2154</x:v>
      </x:c>
      <x:c r="G4529" s="74" t="n">
        <x:v>0</x:v>
      </x:c>
      <x:c r="H4529" s="66" t="str">
        <x:v>钧誉厚德量化对冲11号净值20260911.xlsx</x:v>
      </x:c>
      <x:c r="I4529" s="73" t="str">
        <x:f>""</x:f>
      </x:c>
      <x:c r="J4529" s="74" t="str">
        <x:f>""</x:f>
      </x:c>
      <x:c r="K4529" s="73" t="str">
        <x:f>""</x:f>
      </x:c>
      <x:c r="L4529" s="74" t="str">
        <x:f>""</x:f>
      </x:c>
      <x:c r="M4529" s="73" t="n">
        <x:f>MAX(M4528,F4529)</x:f>
        <x:v>1.2154</x:v>
      </x:c>
      <x:c r="N4529" s="74" t="n">
        <x:f>1-F4529/M4529</x:f>
        <x:v>0</x:v>
      </x:c>
    </x:row>
    <x:row r="4530" ht="27" customHeight="1">
      <x:c r="A4530" s="66" t="str">
        <x:v>SQN453</x:v>
      </x:c>
      <x:c r="B4530" s="66" t="str">
        <x:v>钧誉厚德量化对冲11号</x:v>
      </x:c>
      <x:c r="C4530" s="72" t="n">
        <x:v>45014</x:v>
      </x:c>
      <x:c r="D4530" s="73" t="n">
        <x:v>1.2154</x:v>
      </x:c>
      <x:c r="E4530" s="73" t="n">
        <x:v>1.2154</x:v>
      </x:c>
      <x:c r="F4530" s="73" t="n">
        <x:v>1.2154</x:v>
      </x:c>
      <x:c r="G4530" s="74" t="n">
        <x:v>0</x:v>
      </x:c>
      <x:c r="H4530" s="66" t="str">
        <x:v>钧誉厚德量化对冲11号净值20260911.xlsx</x:v>
      </x:c>
      <x:c r="I4530" s="73" t="str">
        <x:f>""</x:f>
      </x:c>
      <x:c r="J4530" s="74" t="str">
        <x:f>""</x:f>
      </x:c>
      <x:c r="K4530" s="73" t="str">
        <x:f>""</x:f>
      </x:c>
      <x:c r="L4530" s="74" t="str">
        <x:f>""</x:f>
      </x:c>
      <x:c r="M4530" s="73" t="n">
        <x:f>MAX(M4529,F4530)</x:f>
        <x:v>1.2154</x:v>
      </x:c>
      <x:c r="N4530" s="74" t="n">
        <x:f>1-F4530/M4530</x:f>
        <x:v>0</x:v>
      </x:c>
    </x:row>
    <x:row r="4531" ht="27" customHeight="1">
      <x:c r="A4531" s="66" t="str">
        <x:v>SQN453</x:v>
      </x:c>
      <x:c r="B4531" s="66" t="str">
        <x:v>钧誉厚德量化对冲11号</x:v>
      </x:c>
      <x:c r="C4531" s="72" t="n">
        <x:v>45015</x:v>
      </x:c>
      <x:c r="D4531" s="73" t="n">
        <x:v>1.2167</x:v>
      </x:c>
      <x:c r="E4531" s="73" t="n">
        <x:v>1.2167</x:v>
      </x:c>
      <x:c r="F4531" s="73" t="n">
        <x:v>1.2167</x:v>
      </x:c>
      <x:c r="G4531" s="74" t="n">
        <x:v>0.0011</x:v>
      </x:c>
      <x:c r="H4531" s="66" t="str">
        <x:v>钧誉厚德量化对冲11号净值20260911.xlsx</x:v>
      </x:c>
      <x:c r="I4531" s="73" t="str">
        <x:f>""</x:f>
      </x:c>
      <x:c r="J4531" s="74" t="str">
        <x:f>""</x:f>
      </x:c>
      <x:c r="K4531" s="73" t="str">
        <x:f>""</x:f>
      </x:c>
      <x:c r="L4531" s="74" t="str">
        <x:f>""</x:f>
      </x:c>
      <x:c r="M4531" s="73" t="n">
        <x:f>MAX(M4530,F4531)</x:f>
        <x:v>1.2167</x:v>
      </x:c>
      <x:c r="N4531" s="74" t="n">
        <x:f>1-F4531/M4531</x:f>
        <x:v>0</x:v>
      </x:c>
    </x:row>
    <x:row r="4532" ht="27" customHeight="1">
      <x:c r="A4532" s="66" t="str">
        <x:v>SQN453</x:v>
      </x:c>
      <x:c r="B4532" s="66" t="str">
        <x:v>钧誉厚德量化对冲11号</x:v>
      </x:c>
      <x:c r="C4532" s="72" t="n">
        <x:v>45016</x:v>
      </x:c>
      <x:c r="D4532" s="73" t="n">
        <x:v>1.2167</x:v>
      </x:c>
      <x:c r="E4532" s="73" t="n">
        <x:v>1.2167</x:v>
      </x:c>
      <x:c r="F4532" s="73" t="n">
        <x:v>1.2167</x:v>
      </x:c>
      <x:c r="G4532" s="74" t="n">
        <x:v>0</x:v>
      </x:c>
      <x:c r="H4532" s="66" t="str">
        <x:v>钧誉厚德量化对冲11号净值20260911.xlsx</x:v>
      </x:c>
      <x:c r="I4532" s="73" t="str">
        <x:f>""</x:f>
      </x:c>
      <x:c r="J4532" s="74" t="str">
        <x:f>""</x:f>
      </x:c>
      <x:c r="K4532" s="73" t="str">
        <x:f>""</x:f>
      </x:c>
      <x:c r="L4532" s="74" t="str">
        <x:f>""</x:f>
      </x:c>
      <x:c r="M4532" s="73" t="n">
        <x:f>MAX(M4531,F4532)</x:f>
        <x:v>1.2167</x:v>
      </x:c>
      <x:c r="N4532" s="74" t="n">
        <x:f>1-F4532/M4532</x:f>
        <x:v>0</x:v>
      </x:c>
    </x:row>
    <x:row r="4533" ht="27" customHeight="1">
      <x:c r="A4533" s="66" t="str">
        <x:v>SQN453</x:v>
      </x:c>
      <x:c r="B4533" s="66" t="str">
        <x:v>钧誉厚德量化对冲11号</x:v>
      </x:c>
      <x:c r="C4533" s="72" t="n">
        <x:v>45019</x:v>
      </x:c>
      <x:c r="D4533" s="73" t="n">
        <x:v>1.2168</x:v>
      </x:c>
      <x:c r="E4533" s="73" t="n">
        <x:v>1.2168</x:v>
      </x:c>
      <x:c r="F4533" s="73" t="n">
        <x:v>1.2168</x:v>
      </x:c>
      <x:c r="G4533" s="74" t="n">
        <x:v>0.0001</x:v>
      </x:c>
      <x:c r="H4533" s="66" t="str">
        <x:v>钧誉厚德量化对冲11号净值20260911.xlsx</x:v>
      </x:c>
      <x:c r="I4533" s="73" t="str">
        <x:f>""</x:f>
      </x:c>
      <x:c r="J4533" s="74" t="str">
        <x:f>""</x:f>
      </x:c>
      <x:c r="K4533" s="73" t="str">
        <x:f>""</x:f>
      </x:c>
      <x:c r="L4533" s="74" t="str">
        <x:f>""</x:f>
      </x:c>
      <x:c r="M4533" s="73" t="n">
        <x:f>MAX(M4532,F4533)</x:f>
        <x:v>1.2168</x:v>
      </x:c>
      <x:c r="N4533" s="74" t="n">
        <x:f>1-F4533/M4533</x:f>
        <x:v>0</x:v>
      </x:c>
    </x:row>
    <x:row r="4534" ht="27" customHeight="1">
      <x:c r="A4534" s="66" t="str">
        <x:v>SQN453</x:v>
      </x:c>
      <x:c r="B4534" s="66" t="str">
        <x:v>钧誉厚德量化对冲11号</x:v>
      </x:c>
      <x:c r="C4534" s="72" t="n">
        <x:v>45020</x:v>
      </x:c>
      <x:c r="D4534" s="73" t="n">
        <x:v>1.2167</x:v>
      </x:c>
      <x:c r="E4534" s="73" t="n">
        <x:v>1.2167</x:v>
      </x:c>
      <x:c r="F4534" s="73" t="n">
        <x:v>1.2167</x:v>
      </x:c>
      <x:c r="G4534" s="74" t="n">
        <x:v>-0.0001</x:v>
      </x:c>
      <x:c r="H4534" s="66" t="str">
        <x:v>钧誉厚德量化对冲11号净值20260911.xlsx</x:v>
      </x:c>
      <x:c r="I4534" s="73" t="str">
        <x:f>""</x:f>
      </x:c>
      <x:c r="J4534" s="74" t="str">
        <x:f>""</x:f>
      </x:c>
      <x:c r="K4534" s="73" t="str">
        <x:f>""</x:f>
      </x:c>
      <x:c r="L4534" s="74" t="str">
        <x:f>""</x:f>
      </x:c>
      <x:c r="M4534" s="73" t="n">
        <x:f>MAX(M4533,F4534)</x:f>
        <x:v>1.2168</x:v>
      </x:c>
      <x:c r="N4534" s="74" t="n">
        <x:f>1-F4534/M4534</x:f>
        <x:v>0.00008218277449068001</x:v>
      </x:c>
    </x:row>
    <x:row r="4535" ht="27" customHeight="1">
      <x:c r="A4535" s="66" t="str">
        <x:v>SQN453</x:v>
      </x:c>
      <x:c r="B4535" s="66" t="str">
        <x:v>钧誉厚德量化对冲11号</x:v>
      </x:c>
      <x:c r="C4535" s="72" t="n">
        <x:v>45022</x:v>
      </x:c>
      <x:c r="D4535" s="73" t="n">
        <x:v>1.2167</x:v>
      </x:c>
      <x:c r="E4535" s="73" t="n">
        <x:v>1.2167</x:v>
      </x:c>
      <x:c r="F4535" s="73" t="n">
        <x:v>1.2167</x:v>
      </x:c>
      <x:c r="G4535" s="74" t="n">
        <x:v>0</x:v>
      </x:c>
      <x:c r="H4535" s="66" t="str">
        <x:v>钧誉厚德量化对冲11号净值20260911.xlsx</x:v>
      </x:c>
      <x:c r="I4535" s="73" t="str">
        <x:f>""</x:f>
      </x:c>
      <x:c r="J4535" s="74" t="str">
        <x:f>""</x:f>
      </x:c>
      <x:c r="K4535" s="73" t="str">
        <x:f>""</x:f>
      </x:c>
      <x:c r="L4535" s="74" t="str">
        <x:f>""</x:f>
      </x:c>
      <x:c r="M4535" s="73" t="n">
        <x:f>MAX(M4534,F4535)</x:f>
        <x:v>1.2168</x:v>
      </x:c>
      <x:c r="N4535" s="74" t="n">
        <x:f>1-F4535/M4535</x:f>
        <x:v>0.00008218277449068001</x:v>
      </x:c>
    </x:row>
    <x:row r="4536" ht="27" customHeight="1">
      <x:c r="A4536" s="66" t="str">
        <x:v>SQN453</x:v>
      </x:c>
      <x:c r="B4536" s="66" t="str">
        <x:v>钧誉厚德量化对冲11号</x:v>
      </x:c>
      <x:c r="C4536" s="72" t="n">
        <x:v>45023</x:v>
      </x:c>
      <x:c r="D4536" s="73" t="n">
        <x:v>1.2168</x:v>
      </x:c>
      <x:c r="E4536" s="73" t="n">
        <x:v>1.2168</x:v>
      </x:c>
      <x:c r="F4536" s="73" t="n">
        <x:v>1.2168</x:v>
      </x:c>
      <x:c r="G4536" s="74" t="n">
        <x:v>0.0001</x:v>
      </x:c>
      <x:c r="H4536" s="66" t="str">
        <x:v>钧誉厚德量化对冲11号净值20260911.xlsx</x:v>
      </x:c>
      <x:c r="I4536" s="73" t="str">
        <x:f>""</x:f>
      </x:c>
      <x:c r="J4536" s="74" t="str">
        <x:f>""</x:f>
      </x:c>
      <x:c r="K4536" s="73" t="str">
        <x:f>""</x:f>
      </x:c>
      <x:c r="L4536" s="74" t="str">
        <x:f>""</x:f>
      </x:c>
      <x:c r="M4536" s="73" t="n">
        <x:f>MAX(M4535,F4536)</x:f>
        <x:v>1.2168</x:v>
      </x:c>
      <x:c r="N4536" s="74" t="n">
        <x:f>1-F4536/M4536</x:f>
        <x:v>0</x:v>
      </x:c>
    </x:row>
    <x:row r="4537" ht="27" customHeight="1">
      <x:c r="A4537" s="66" t="str">
        <x:v>SQN453</x:v>
      </x:c>
      <x:c r="B4537" s="66" t="str">
        <x:v>钧誉厚德量化对冲11号</x:v>
      </x:c>
      <x:c r="C4537" s="72" t="n">
        <x:v>45026</x:v>
      </x:c>
      <x:c r="D4537" s="73" t="n">
        <x:v>1.2182</x:v>
      </x:c>
      <x:c r="E4537" s="73" t="n">
        <x:v>1.2182</x:v>
      </x:c>
      <x:c r="F4537" s="73" t="n">
        <x:v>1.2182</x:v>
      </x:c>
      <x:c r="G4537" s="74" t="n">
        <x:v>0.0012</x:v>
      </x:c>
      <x:c r="H4537" s="66" t="str">
        <x:v>钧誉厚德量化对冲11号净值20260911.xlsx</x:v>
      </x:c>
      <x:c r="I4537" s="73" t="str">
        <x:f>""</x:f>
      </x:c>
      <x:c r="J4537" s="74" t="str">
        <x:f>""</x:f>
      </x:c>
      <x:c r="K4537" s="73" t="str">
        <x:f>""</x:f>
      </x:c>
      <x:c r="L4537" s="74" t="str">
        <x:f>""</x:f>
      </x:c>
      <x:c r="M4537" s="73" t="n">
        <x:f>MAX(M4536,F4537)</x:f>
        <x:v>1.2182</x:v>
      </x:c>
      <x:c r="N4537" s="74" t="n">
        <x:f>1-F4537/M4537</x:f>
        <x:v>0</x:v>
      </x:c>
    </x:row>
    <x:row r="4538" ht="27" customHeight="1">
      <x:c r="A4538" s="66" t="str">
        <x:v>SQN453</x:v>
      </x:c>
      <x:c r="B4538" s="66" t="str">
        <x:v>钧誉厚德量化对冲11号</x:v>
      </x:c>
      <x:c r="C4538" s="72" t="n">
        <x:v>45027</x:v>
      </x:c>
      <x:c r="D4538" s="73" t="n">
        <x:v>1.2183</x:v>
      </x:c>
      <x:c r="E4538" s="73" t="n">
        <x:v>1.2183</x:v>
      </x:c>
      <x:c r="F4538" s="73" t="n">
        <x:v>1.2183</x:v>
      </x:c>
      <x:c r="G4538" s="74" t="n">
        <x:v>0.0001</x:v>
      </x:c>
      <x:c r="H4538" s="66" t="str">
        <x:v>钧誉厚德量化对冲11号净值20260911.xlsx</x:v>
      </x:c>
      <x:c r="I4538" s="73" t="str">
        <x:f>""</x:f>
      </x:c>
      <x:c r="J4538" s="74" t="str">
        <x:f>""</x:f>
      </x:c>
      <x:c r="K4538" s="73" t="str">
        <x:f>""</x:f>
      </x:c>
      <x:c r="L4538" s="74" t="str">
        <x:f>""</x:f>
      </x:c>
      <x:c r="M4538" s="73" t="n">
        <x:f>MAX(M4537,F4538)</x:f>
        <x:v>1.2183</x:v>
      </x:c>
      <x:c r="N4538" s="74" t="n">
        <x:f>1-F4538/M4538</x:f>
        <x:v>0</x:v>
      </x:c>
    </x:row>
    <x:row r="4539" ht="27" customHeight="1">
      <x:c r="A4539" s="66" t="str">
        <x:v>SQN453</x:v>
      </x:c>
      <x:c r="B4539" s="66" t="str">
        <x:v>钧誉厚德量化对冲11号</x:v>
      </x:c>
      <x:c r="C4539" s="72" t="n">
        <x:v>45028</x:v>
      </x:c>
      <x:c r="D4539" s="73" t="n">
        <x:v>1.2183</x:v>
      </x:c>
      <x:c r="E4539" s="73" t="n">
        <x:v>1.2183</x:v>
      </x:c>
      <x:c r="F4539" s="73" t="n">
        <x:v>1.2183</x:v>
      </x:c>
      <x:c r="G4539" s="74" t="n">
        <x:v>0</x:v>
      </x:c>
      <x:c r="H4539" s="66" t="str">
        <x:v>钧誉厚德量化对冲11号净值20260911.xlsx</x:v>
      </x:c>
      <x:c r="I4539" s="73" t="str">
        <x:f>""</x:f>
      </x:c>
      <x:c r="J4539" s="74" t="str">
        <x:f>""</x:f>
      </x:c>
      <x:c r="K4539" s="73" t="str">
        <x:f>""</x:f>
      </x:c>
      <x:c r="L4539" s="74" t="str">
        <x:f>""</x:f>
      </x:c>
      <x:c r="M4539" s="73" t="n">
        <x:f>MAX(M4538,F4539)</x:f>
        <x:v>1.2183</x:v>
      </x:c>
      <x:c r="N4539" s="74" t="n">
        <x:f>1-F4539/M4539</x:f>
        <x:v>0</x:v>
      </x:c>
    </x:row>
    <x:row r="4540" ht="27" customHeight="1">
      <x:c r="A4540" s="66" t="str">
        <x:v>SQN453</x:v>
      </x:c>
      <x:c r="B4540" s="66" t="str">
        <x:v>钧誉厚德量化对冲11号</x:v>
      </x:c>
      <x:c r="C4540" s="72" t="n">
        <x:v>45029</x:v>
      </x:c>
      <x:c r="D4540" s="73" t="n">
        <x:v>1.2184</x:v>
      </x:c>
      <x:c r="E4540" s="73" t="n">
        <x:v>1.2184</x:v>
      </x:c>
      <x:c r="F4540" s="73" t="n">
        <x:v>1.2184</x:v>
      </x:c>
      <x:c r="G4540" s="74" t="n">
        <x:v>0.0001</x:v>
      </x:c>
      <x:c r="H4540" s="66" t="str">
        <x:v>钧誉厚德量化对冲11号净值20260911.xlsx</x:v>
      </x:c>
      <x:c r="I4540" s="73" t="str">
        <x:f>""</x:f>
      </x:c>
      <x:c r="J4540" s="74" t="str">
        <x:f>""</x:f>
      </x:c>
      <x:c r="K4540" s="73" t="str">
        <x:f>""</x:f>
      </x:c>
      <x:c r="L4540" s="74" t="str">
        <x:f>""</x:f>
      </x:c>
      <x:c r="M4540" s="73" t="n">
        <x:f>MAX(M4539,F4540)</x:f>
        <x:v>1.2184</x:v>
      </x:c>
      <x:c r="N4540" s="74" t="n">
        <x:f>1-F4540/M4540</x:f>
        <x:v>0</x:v>
      </x:c>
    </x:row>
    <x:row r="4541" ht="27" customHeight="1">
      <x:c r="A4541" s="66" t="str">
        <x:v>SQN453</x:v>
      </x:c>
      <x:c r="B4541" s="66" t="str">
        <x:v>钧誉厚德量化对冲11号</x:v>
      </x:c>
      <x:c r="C4541" s="72" t="n">
        <x:v>45030</x:v>
      </x:c>
      <x:c r="D4541" s="73" t="n">
        <x:v>1.2184</x:v>
      </x:c>
      <x:c r="E4541" s="73" t="n">
        <x:v>1.2184</x:v>
      </x:c>
      <x:c r="F4541" s="73" t="n">
        <x:v>1.2184</x:v>
      </x:c>
      <x:c r="G4541" s="74" t="n">
        <x:v>0</x:v>
      </x:c>
      <x:c r="H4541" s="66" t="str">
        <x:v>钧誉厚德量化对冲11号净值20260911.xlsx</x:v>
      </x:c>
      <x:c r="I4541" s="73" t="str">
        <x:f>""</x:f>
      </x:c>
      <x:c r="J4541" s="74" t="str">
        <x:f>""</x:f>
      </x:c>
      <x:c r="K4541" s="73" t="str">
        <x:f>""</x:f>
      </x:c>
      <x:c r="L4541" s="74" t="str">
        <x:f>""</x:f>
      </x:c>
      <x:c r="M4541" s="73" t="n">
        <x:f>MAX(M4540,F4541)</x:f>
        <x:v>1.2184</x:v>
      </x:c>
      <x:c r="N4541" s="74" t="n">
        <x:f>1-F4541/M4541</x:f>
        <x:v>0</x:v>
      </x:c>
    </x:row>
    <x:row r="4542" ht="27" customHeight="1">
      <x:c r="A4542" s="66" t="str">
        <x:v>SQN453</x:v>
      </x:c>
      <x:c r="B4542" s="66" t="str">
        <x:v>钧誉厚德量化对冲11号</x:v>
      </x:c>
      <x:c r="C4542" s="72" t="n">
        <x:v>45033</x:v>
      </x:c>
      <x:c r="D4542" s="73" t="n">
        <x:v>1.2196</x:v>
      </x:c>
      <x:c r="E4542" s="73" t="n">
        <x:v>1.2196</x:v>
      </x:c>
      <x:c r="F4542" s="73" t="n">
        <x:v>1.2196</x:v>
      </x:c>
      <x:c r="G4542" s="74" t="n">
        <x:v>0.001</x:v>
      </x:c>
      <x:c r="H4542" s="66" t="str">
        <x:v>钧誉厚德量化对冲11号净值20260911.xlsx</x:v>
      </x:c>
      <x:c r="I4542" s="73" t="str">
        <x:f>""</x:f>
      </x:c>
      <x:c r="J4542" s="74" t="str">
        <x:f>""</x:f>
      </x:c>
      <x:c r="K4542" s="73" t="str">
        <x:f>""</x:f>
      </x:c>
      <x:c r="L4542" s="74" t="str">
        <x:f>""</x:f>
      </x:c>
      <x:c r="M4542" s="73" t="n">
        <x:f>MAX(M4541,F4542)</x:f>
        <x:v>1.2196</x:v>
      </x:c>
      <x:c r="N4542" s="74" t="n">
        <x:f>1-F4542/M4542</x:f>
        <x:v>0</x:v>
      </x:c>
    </x:row>
    <x:row r="4543" ht="27" customHeight="1">
      <x:c r="A4543" s="66" t="str">
        <x:v>SQN453</x:v>
      </x:c>
      <x:c r="B4543" s="66" t="str">
        <x:v>钧誉厚德量化对冲11号</x:v>
      </x:c>
      <x:c r="C4543" s="72" t="n">
        <x:v>45034</x:v>
      </x:c>
      <x:c r="D4543" s="73" t="n">
        <x:v>1.2197</x:v>
      </x:c>
      <x:c r="E4543" s="73" t="n">
        <x:v>1.2197</x:v>
      </x:c>
      <x:c r="F4543" s="73" t="n">
        <x:v>1.2197</x:v>
      </x:c>
      <x:c r="G4543" s="74" t="n">
        <x:v>0.0001</x:v>
      </x:c>
      <x:c r="H4543" s="66" t="str">
        <x:v>钧誉厚德量化对冲11号净值20260911.xlsx</x:v>
      </x:c>
      <x:c r="I4543" s="73" t="str">
        <x:f>""</x:f>
      </x:c>
      <x:c r="J4543" s="74" t="str">
        <x:f>""</x:f>
      </x:c>
      <x:c r="K4543" s="73" t="str">
        <x:f>""</x:f>
      </x:c>
      <x:c r="L4543" s="74" t="str">
        <x:f>""</x:f>
      </x:c>
      <x:c r="M4543" s="73" t="n">
        <x:f>MAX(M4542,F4543)</x:f>
        <x:v>1.2197</x:v>
      </x:c>
      <x:c r="N4543" s="74" t="n">
        <x:f>1-F4543/M4543</x:f>
        <x:v>0</x:v>
      </x:c>
    </x:row>
    <x:row r="4544" ht="27" customHeight="1">
      <x:c r="A4544" s="66" t="str">
        <x:v>SQN453</x:v>
      </x:c>
      <x:c r="B4544" s="66" t="str">
        <x:v>钧誉厚德量化对冲11号</x:v>
      </x:c>
      <x:c r="C4544" s="72" t="n">
        <x:v>45035</x:v>
      </x:c>
      <x:c r="D4544" s="73" t="n">
        <x:v>1.2205</x:v>
      </x:c>
      <x:c r="E4544" s="73" t="n">
        <x:v>1.2205</x:v>
      </x:c>
      <x:c r="F4544" s="73" t="n">
        <x:v>1.2205</x:v>
      </x:c>
      <x:c r="G4544" s="74" t="n">
        <x:v>0.0007000000000000001</x:v>
      </x:c>
      <x:c r="H4544" s="66" t="str">
        <x:v>钧誉厚德量化对冲11号净值20260911.xlsx</x:v>
      </x:c>
      <x:c r="I4544" s="73" t="str">
        <x:f>""</x:f>
      </x:c>
      <x:c r="J4544" s="74" t="str">
        <x:f>""</x:f>
      </x:c>
      <x:c r="K4544" s="73" t="str">
        <x:f>""</x:f>
      </x:c>
      <x:c r="L4544" s="74" t="str">
        <x:f>""</x:f>
      </x:c>
      <x:c r="M4544" s="73" t="n">
        <x:f>MAX(M4543,F4544)</x:f>
        <x:v>1.2205</x:v>
      </x:c>
      <x:c r="N4544" s="74" t="n">
        <x:f>1-F4544/M4544</x:f>
        <x:v>0</x:v>
      </x:c>
    </x:row>
    <x:row r="4545" ht="27" customHeight="1">
      <x:c r="A4545" s="66" t="str">
        <x:v>SQN453</x:v>
      </x:c>
      <x:c r="B4545" s="66" t="str">
        <x:v>钧誉厚德量化对冲11号</x:v>
      </x:c>
      <x:c r="C4545" s="72" t="n">
        <x:v>45036</x:v>
      </x:c>
      <x:c r="D4545" s="73" t="n">
        <x:v>1.2208</x:v>
      </x:c>
      <x:c r="E4545" s="73" t="n">
        <x:v>1.2208</x:v>
      </x:c>
      <x:c r="F4545" s="73" t="n">
        <x:v>1.2208</x:v>
      </x:c>
      <x:c r="G4545" s="74" t="n">
        <x:v>0.0002</x:v>
      </x:c>
      <x:c r="H4545" s="66" t="str">
        <x:v>钧誉厚德量化对冲11号净值20260911.xlsx</x:v>
      </x:c>
      <x:c r="I4545" s="73" t="str">
        <x:f>""</x:f>
      </x:c>
      <x:c r="J4545" s="74" t="str">
        <x:f>""</x:f>
      </x:c>
      <x:c r="K4545" s="73" t="str">
        <x:f>""</x:f>
      </x:c>
      <x:c r="L4545" s="74" t="str">
        <x:f>""</x:f>
      </x:c>
      <x:c r="M4545" s="73" t="n">
        <x:f>MAX(M4544,F4545)</x:f>
        <x:v>1.2208</x:v>
      </x:c>
      <x:c r="N4545" s="74" t="n">
        <x:f>1-F4545/M4545</x:f>
        <x:v>0</x:v>
      </x:c>
    </x:row>
    <x:row r="4546" ht="27" customHeight="1">
      <x:c r="A4546" s="66" t="str">
        <x:v>SQN453</x:v>
      </x:c>
      <x:c r="B4546" s="66" t="str">
        <x:v>钧誉厚德量化对冲11号</x:v>
      </x:c>
      <x:c r="C4546" s="72" t="n">
        <x:v>45037</x:v>
      </x:c>
      <x:c r="D4546" s="73" t="n">
        <x:v>1.2209</x:v>
      </x:c>
      <x:c r="E4546" s="73" t="n">
        <x:v>1.2209</x:v>
      </x:c>
      <x:c r="F4546" s="73" t="n">
        <x:v>1.2209</x:v>
      </x:c>
      <x:c r="G4546" s="74" t="n">
        <x:v>0.0001</x:v>
      </x:c>
      <x:c r="H4546" s="66" t="str">
        <x:v>钧誉厚德量化对冲11号净值20260911.xlsx</x:v>
      </x:c>
      <x:c r="I4546" s="73" t="str">
        <x:f>""</x:f>
      </x:c>
      <x:c r="J4546" s="74" t="str">
        <x:f>""</x:f>
      </x:c>
      <x:c r="K4546" s="73" t="str">
        <x:f>""</x:f>
      </x:c>
      <x:c r="L4546" s="74" t="str">
        <x:f>""</x:f>
      </x:c>
      <x:c r="M4546" s="73" t="n">
        <x:f>MAX(M4545,F4546)</x:f>
        <x:v>1.2209</x:v>
      </x:c>
      <x:c r="N4546" s="74" t="n">
        <x:f>1-F4546/M4546</x:f>
        <x:v>0</x:v>
      </x:c>
    </x:row>
    <x:row r="4547" ht="27" customHeight="1">
      <x:c r="A4547" s="66" t="str">
        <x:v>SQN453</x:v>
      </x:c>
      <x:c r="B4547" s="66" t="str">
        <x:v>钧誉厚德量化对冲11号</x:v>
      </x:c>
      <x:c r="C4547" s="72" t="n">
        <x:v>45040</x:v>
      </x:c>
      <x:c r="D4547" s="73" t="n">
        <x:v>1.2209</x:v>
      </x:c>
      <x:c r="E4547" s="73" t="n">
        <x:v>1.2209</x:v>
      </x:c>
      <x:c r="F4547" s="73" t="n">
        <x:v>1.2209</x:v>
      </x:c>
      <x:c r="G4547" s="74" t="n">
        <x:v>0</x:v>
      </x:c>
      <x:c r="H4547" s="66" t="str">
        <x:v>钧誉厚德量化对冲11号净值20260911.xlsx</x:v>
      </x:c>
      <x:c r="I4547" s="73" t="str">
        <x:f>""</x:f>
      </x:c>
      <x:c r="J4547" s="74" t="str">
        <x:f>""</x:f>
      </x:c>
      <x:c r="K4547" s="73" t="str">
        <x:f>""</x:f>
      </x:c>
      <x:c r="L4547" s="74" t="str">
        <x:f>""</x:f>
      </x:c>
      <x:c r="M4547" s="73" t="n">
        <x:f>MAX(M4546,F4547)</x:f>
        <x:v>1.2209</x:v>
      </x:c>
      <x:c r="N4547" s="74" t="n">
        <x:f>1-F4547/M4547</x:f>
        <x:v>0</x:v>
      </x:c>
    </x:row>
    <x:row r="4548" ht="27" customHeight="1">
      <x:c r="A4548" s="66" t="str">
        <x:v>SQN453</x:v>
      </x:c>
      <x:c r="B4548" s="66" t="str">
        <x:v>钧誉厚德量化对冲11号</x:v>
      </x:c>
      <x:c r="C4548" s="72" t="n">
        <x:v>45041</x:v>
      </x:c>
      <x:c r="D4548" s="73" t="n">
        <x:v>1.2218</x:v>
      </x:c>
      <x:c r="E4548" s="73" t="n">
        <x:v>1.2218</x:v>
      </x:c>
      <x:c r="F4548" s="73" t="n">
        <x:v>1.2218</x:v>
      </x:c>
      <x:c r="G4548" s="74" t="n">
        <x:v>0.0007000000000000001</x:v>
      </x:c>
      <x:c r="H4548" s="66" t="str">
        <x:v>钧誉厚德量化对冲11号净值20260911.xlsx</x:v>
      </x:c>
      <x:c r="I4548" s="73" t="str">
        <x:f>""</x:f>
      </x:c>
      <x:c r="J4548" s="74" t="str">
        <x:f>""</x:f>
      </x:c>
      <x:c r="K4548" s="73" t="str">
        <x:f>""</x:f>
      </x:c>
      <x:c r="L4548" s="74" t="str">
        <x:f>""</x:f>
      </x:c>
      <x:c r="M4548" s="73" t="n">
        <x:f>MAX(M4547,F4548)</x:f>
        <x:v>1.2218</x:v>
      </x:c>
      <x:c r="N4548" s="74" t="n">
        <x:f>1-F4548/M4548</x:f>
        <x:v>0</x:v>
      </x:c>
    </x:row>
    <x:row r="4549" ht="27" customHeight="1">
      <x:c r="A4549" s="66" t="str">
        <x:v>SQN453</x:v>
      </x:c>
      <x:c r="B4549" s="66" t="str">
        <x:v>钧誉厚德量化对冲11号</x:v>
      </x:c>
      <x:c r="C4549" s="72" t="n">
        <x:v>45042</x:v>
      </x:c>
      <x:c r="D4549" s="73" t="n">
        <x:v>1.222</x:v>
      </x:c>
      <x:c r="E4549" s="73" t="n">
        <x:v>1.222</x:v>
      </x:c>
      <x:c r="F4549" s="73" t="n">
        <x:v>1.222</x:v>
      </x:c>
      <x:c r="G4549" s="74" t="n">
        <x:v>0.0002</x:v>
      </x:c>
      <x:c r="H4549" s="66" t="str">
        <x:v>钧誉厚德量化对冲11号净值20260911.xlsx</x:v>
      </x:c>
      <x:c r="I4549" s="73" t="str">
        <x:f>""</x:f>
      </x:c>
      <x:c r="J4549" s="74" t="str">
        <x:f>""</x:f>
      </x:c>
      <x:c r="K4549" s="73" t="str">
        <x:f>""</x:f>
      </x:c>
      <x:c r="L4549" s="74" t="str">
        <x:f>""</x:f>
      </x:c>
      <x:c r="M4549" s="73" t="n">
        <x:f>MAX(M4548,F4549)</x:f>
        <x:v>1.222</x:v>
      </x:c>
      <x:c r="N4549" s="74" t="n">
        <x:f>1-F4549/M4549</x:f>
        <x:v>0</x:v>
      </x:c>
    </x:row>
    <x:row r="4550" ht="27" customHeight="1">
      <x:c r="A4550" s="66" t="str">
        <x:v>SQN453</x:v>
      </x:c>
      <x:c r="B4550" s="66" t="str">
        <x:v>钧誉厚德量化对冲11号</x:v>
      </x:c>
      <x:c r="C4550" s="72" t="n">
        <x:v>45043</x:v>
      </x:c>
      <x:c r="D4550" s="73" t="n">
        <x:v>1.2222</x:v>
      </x:c>
      <x:c r="E4550" s="73" t="n">
        <x:v>1.2222</x:v>
      </x:c>
      <x:c r="F4550" s="73" t="n">
        <x:v>1.2222</x:v>
      </x:c>
      <x:c r="G4550" s="74" t="n">
        <x:v>0.0002</x:v>
      </x:c>
      <x:c r="H4550" s="66" t="str">
        <x:v>钧誉厚德量化对冲11号净值20260911.xlsx</x:v>
      </x:c>
      <x:c r="I4550" s="73" t="str">
        <x:f>""</x:f>
      </x:c>
      <x:c r="J4550" s="74" t="str">
        <x:f>""</x:f>
      </x:c>
      <x:c r="K4550" s="73" t="str">
        <x:f>""</x:f>
      </x:c>
      <x:c r="L4550" s="74" t="str">
        <x:f>""</x:f>
      </x:c>
      <x:c r="M4550" s="73" t="n">
        <x:f>MAX(M4549,F4550)</x:f>
        <x:v>1.2222</x:v>
      </x:c>
      <x:c r="N4550" s="74" t="n">
        <x:f>1-F4550/M4550</x:f>
        <x:v>0</x:v>
      </x:c>
    </x:row>
    <x:row r="4551" ht="27" customHeight="1">
      <x:c r="A4551" s="66" t="str">
        <x:v>SQN453</x:v>
      </x:c>
      <x:c r="B4551" s="66" t="str">
        <x:v>钧誉厚德量化对冲11号</x:v>
      </x:c>
      <x:c r="C4551" s="72" t="n">
        <x:v>45044</x:v>
      </x:c>
      <x:c r="D4551" s="73" t="n">
        <x:v>1.2225</x:v>
      </x:c>
      <x:c r="E4551" s="73" t="n">
        <x:v>1.2225</x:v>
      </x:c>
      <x:c r="F4551" s="73" t="n">
        <x:v>1.2225</x:v>
      </x:c>
      <x:c r="G4551" s="74" t="n">
        <x:v>0.0002</x:v>
      </x:c>
      <x:c r="H4551" s="66" t="str">
        <x:v>钧誉厚德量化对冲11号净值20260911.xlsx</x:v>
      </x:c>
      <x:c r="I4551" s="73" t="str">
        <x:f>""</x:f>
      </x:c>
      <x:c r="J4551" s="74" t="str">
        <x:f>""</x:f>
      </x:c>
      <x:c r="K4551" s="73" t="str">
        <x:f>""</x:f>
      </x:c>
      <x:c r="L4551" s="74" t="str">
        <x:f>""</x:f>
      </x:c>
      <x:c r="M4551" s="73" t="n">
        <x:f>MAX(M4550,F4551)</x:f>
        <x:v>1.2225</x:v>
      </x:c>
      <x:c r="N4551" s="74" t="n">
        <x:f>1-F4551/M4551</x:f>
        <x:v>0</x:v>
      </x:c>
    </x:row>
    <x:row r="4552" ht="27" customHeight="1">
      <x:c r="A4552" s="66" t="str">
        <x:v>SQN453</x:v>
      </x:c>
      <x:c r="B4552" s="66" t="str">
        <x:v>钧誉厚德量化对冲11号</x:v>
      </x:c>
      <x:c r="C4552" s="72" t="n">
        <x:v>45050</x:v>
      </x:c>
      <x:c r="D4552" s="73" t="n">
        <x:v>1.2229</x:v>
      </x:c>
      <x:c r="E4552" s="73" t="n">
        <x:v>1.2229</x:v>
      </x:c>
      <x:c r="F4552" s="73" t="n">
        <x:v>1.2229</x:v>
      </x:c>
      <x:c r="G4552" s="74" t="n">
        <x:v>0.0003</x:v>
      </x:c>
      <x:c r="H4552" s="66" t="str">
        <x:v>钧誉厚德量化对冲11号净值20260911.xlsx</x:v>
      </x:c>
      <x:c r="I4552" s="73" t="str">
        <x:f>""</x:f>
      </x:c>
      <x:c r="J4552" s="74" t="str">
        <x:f>""</x:f>
      </x:c>
      <x:c r="K4552" s="73" t="str">
        <x:f>""</x:f>
      </x:c>
      <x:c r="L4552" s="74" t="str">
        <x:f>""</x:f>
      </x:c>
      <x:c r="M4552" s="73" t="n">
        <x:f>MAX(M4551,F4552)</x:f>
        <x:v>1.2229</x:v>
      </x:c>
      <x:c r="N4552" s="74" t="n">
        <x:f>1-F4552/M4552</x:f>
        <x:v>0</x:v>
      </x:c>
    </x:row>
    <x:row r="4553" ht="27" customHeight="1">
      <x:c r="A4553" s="66" t="str">
        <x:v>SQN453</x:v>
      </x:c>
      <x:c r="B4553" s="66" t="str">
        <x:v>钧誉厚德量化对冲11号</x:v>
      </x:c>
      <x:c r="C4553" s="72" t="n">
        <x:v>45051</x:v>
      </x:c>
      <x:c r="D4553" s="73" t="n">
        <x:v>1.223</x:v>
      </x:c>
      <x:c r="E4553" s="73" t="n">
        <x:v>1.223</x:v>
      </x:c>
      <x:c r="F4553" s="73" t="n">
        <x:v>1.223</x:v>
      </x:c>
      <x:c r="G4553" s="74" t="n">
        <x:v>0.0001</x:v>
      </x:c>
      <x:c r="H4553" s="66" t="str">
        <x:v>钧誉厚德量化对冲11号净值20260911.xlsx</x:v>
      </x:c>
      <x:c r="I4553" s="73" t="str">
        <x:f>""</x:f>
      </x:c>
      <x:c r="J4553" s="74" t="str">
        <x:f>""</x:f>
      </x:c>
      <x:c r="K4553" s="73" t="str">
        <x:f>""</x:f>
      </x:c>
      <x:c r="L4553" s="74" t="str">
        <x:f>""</x:f>
      </x:c>
      <x:c r="M4553" s="73" t="n">
        <x:f>MAX(M4552,F4553)</x:f>
        <x:v>1.223</x:v>
      </x:c>
      <x:c r="N4553" s="74" t="n">
        <x:f>1-F4553/M4553</x:f>
        <x:v>0</x:v>
      </x:c>
    </x:row>
    <x:row r="4554" ht="27" customHeight="1">
      <x:c r="A4554" s="66" t="str">
        <x:v>SQN453</x:v>
      </x:c>
      <x:c r="B4554" s="66" t="str">
        <x:v>钧誉厚德量化对冲11号</x:v>
      </x:c>
      <x:c r="C4554" s="72" t="n">
        <x:v>45054</x:v>
      </x:c>
      <x:c r="D4554" s="73" t="n">
        <x:v>1.2231</x:v>
      </x:c>
      <x:c r="E4554" s="73" t="n">
        <x:v>1.2231</x:v>
      </x:c>
      <x:c r="F4554" s="73" t="n">
        <x:v>1.2231</x:v>
      </x:c>
      <x:c r="G4554" s="74" t="n">
        <x:v>0.0001</x:v>
      </x:c>
      <x:c r="H4554" s="66" t="str">
        <x:v>钧誉厚德量化对冲11号净值20260911.xlsx</x:v>
      </x:c>
      <x:c r="I4554" s="73" t="str">
        <x:f>""</x:f>
      </x:c>
      <x:c r="J4554" s="74" t="str">
        <x:f>""</x:f>
      </x:c>
      <x:c r="K4554" s="73" t="str">
        <x:f>""</x:f>
      </x:c>
      <x:c r="L4554" s="74" t="str">
        <x:f>""</x:f>
      </x:c>
      <x:c r="M4554" s="73" t="n">
        <x:f>MAX(M4553,F4554)</x:f>
        <x:v>1.2231</x:v>
      </x:c>
      <x:c r="N4554" s="74" t="n">
        <x:f>1-F4554/M4554</x:f>
        <x:v>0</x:v>
      </x:c>
    </x:row>
    <x:row r="4555" ht="27" customHeight="1">
      <x:c r="A4555" s="66" t="str">
        <x:v>SQN453</x:v>
      </x:c>
      <x:c r="B4555" s="66" t="str">
        <x:v>钧誉厚德量化对冲11号</x:v>
      </x:c>
      <x:c r="C4555" s="72" t="n">
        <x:v>45055</x:v>
      </x:c>
      <x:c r="D4555" s="73" t="n">
        <x:v>1.223</x:v>
      </x:c>
      <x:c r="E4555" s="73" t="n">
        <x:v>1.223</x:v>
      </x:c>
      <x:c r="F4555" s="73" t="n">
        <x:v>1.223</x:v>
      </x:c>
      <x:c r="G4555" s="74" t="n">
        <x:v>-0.0001</x:v>
      </x:c>
      <x:c r="H4555" s="66" t="str">
        <x:v>钧誉厚德量化对冲11号净值20260911.xlsx</x:v>
      </x:c>
      <x:c r="I4555" s="73" t="str">
        <x:f>""</x:f>
      </x:c>
      <x:c r="J4555" s="74" t="str">
        <x:f>""</x:f>
      </x:c>
      <x:c r="K4555" s="73" t="str">
        <x:f>""</x:f>
      </x:c>
      <x:c r="L4555" s="74" t="str">
        <x:f>""</x:f>
      </x:c>
      <x:c r="M4555" s="73" t="n">
        <x:f>MAX(M4554,F4555)</x:f>
        <x:v>1.2231</x:v>
      </x:c>
      <x:c r="N4555" s="74" t="n">
        <x:f>1-F4555/M4555</x:f>
        <x:v>0.00008175946365795994</x:v>
      </x:c>
    </x:row>
    <x:row r="4556" ht="27" customHeight="1">
      <x:c r="A4556" s="66" t="str">
        <x:v>SQN453</x:v>
      </x:c>
      <x:c r="B4556" s="66" t="str">
        <x:v>钧誉厚德量化对冲11号</x:v>
      </x:c>
      <x:c r="C4556" s="72" t="n">
        <x:v>45056</x:v>
      </x:c>
      <x:c r="D4556" s="73" t="n">
        <x:v>1.2234</x:v>
      </x:c>
      <x:c r="E4556" s="73" t="n">
        <x:v>1.2234</x:v>
      </x:c>
      <x:c r="F4556" s="73" t="n">
        <x:v>1.2234</x:v>
      </x:c>
      <x:c r="G4556" s="74" t="n">
        <x:v>0.0003</x:v>
      </x:c>
      <x:c r="H4556" s="66" t="str">
        <x:v>钧誉厚德量化对冲11号净值20260911.xlsx</x:v>
      </x:c>
      <x:c r="I4556" s="73" t="str">
        <x:f>""</x:f>
      </x:c>
      <x:c r="J4556" s="74" t="str">
        <x:f>""</x:f>
      </x:c>
      <x:c r="K4556" s="73" t="str">
        <x:f>""</x:f>
      </x:c>
      <x:c r="L4556" s="74" t="str">
        <x:f>""</x:f>
      </x:c>
      <x:c r="M4556" s="73" t="n">
        <x:f>MAX(M4555,F4556)</x:f>
        <x:v>1.2234</x:v>
      </x:c>
      <x:c r="N4556" s="74" t="n">
        <x:f>1-F4556/M4556</x:f>
        <x:v>0</x:v>
      </x:c>
    </x:row>
    <x:row r="4557" ht="27" customHeight="1">
      <x:c r="A4557" s="66" t="str">
        <x:v>SQN453</x:v>
      </x:c>
      <x:c r="B4557" s="66" t="str">
        <x:v>钧誉厚德量化对冲11号</x:v>
      </x:c>
      <x:c r="C4557" s="72" t="n">
        <x:v>45057</x:v>
      </x:c>
      <x:c r="D4557" s="73" t="n">
        <x:v>1.2237</x:v>
      </x:c>
      <x:c r="E4557" s="73" t="n">
        <x:v>1.2237</x:v>
      </x:c>
      <x:c r="F4557" s="73" t="n">
        <x:v>1.2237</x:v>
      </x:c>
      <x:c r="G4557" s="74" t="n">
        <x:v>0.0002</x:v>
      </x:c>
      <x:c r="H4557" s="66" t="str">
        <x:v>钧誉厚德量化对冲11号净值20260911.xlsx</x:v>
      </x:c>
      <x:c r="I4557" s="73" t="str">
        <x:f>""</x:f>
      </x:c>
      <x:c r="J4557" s="74" t="str">
        <x:f>""</x:f>
      </x:c>
      <x:c r="K4557" s="73" t="str">
        <x:f>""</x:f>
      </x:c>
      <x:c r="L4557" s="74" t="str">
        <x:f>""</x:f>
      </x:c>
      <x:c r="M4557" s="73" t="n">
        <x:f>MAX(M4556,F4557)</x:f>
        <x:v>1.2237</x:v>
      </x:c>
      <x:c r="N4557" s="74" t="n">
        <x:f>1-F4557/M4557</x:f>
        <x:v>0</x:v>
      </x:c>
    </x:row>
    <x:row r="4558" ht="27" customHeight="1">
      <x:c r="A4558" s="66" t="str">
        <x:v>SQN453</x:v>
      </x:c>
      <x:c r="B4558" s="66" t="str">
        <x:v>钧誉厚德量化对冲11号</x:v>
      </x:c>
      <x:c r="C4558" s="72" t="n">
        <x:v>45058</x:v>
      </x:c>
      <x:c r="D4558" s="73" t="n">
        <x:v>1.2243</x:v>
      </x:c>
      <x:c r="E4558" s="73" t="n">
        <x:v>1.2243</x:v>
      </x:c>
      <x:c r="F4558" s="73" t="n">
        <x:v>1.2243</x:v>
      </x:c>
      <x:c r="G4558" s="74" t="n">
        <x:v>0.0005</x:v>
      </x:c>
      <x:c r="H4558" s="66" t="str">
        <x:v>钧誉厚德量化对冲11号净值20260911.xlsx</x:v>
      </x:c>
      <x:c r="I4558" s="73" t="str">
        <x:f>""</x:f>
      </x:c>
      <x:c r="J4558" s="74" t="str">
        <x:f>""</x:f>
      </x:c>
      <x:c r="K4558" s="73" t="str">
        <x:f>""</x:f>
      </x:c>
      <x:c r="L4558" s="74" t="str">
        <x:f>""</x:f>
      </x:c>
      <x:c r="M4558" s="73" t="n">
        <x:f>MAX(M4557,F4558)</x:f>
        <x:v>1.2243</x:v>
      </x:c>
      <x:c r="N4558" s="74" t="n">
        <x:f>1-F4558/M4558</x:f>
        <x:v>0</x:v>
      </x:c>
    </x:row>
    <x:row r="4559" ht="27" customHeight="1">
      <x:c r="A4559" s="66" t="str">
        <x:v>SQN453</x:v>
      </x:c>
      <x:c r="B4559" s="66" t="str">
        <x:v>钧誉厚德量化对冲11号</x:v>
      </x:c>
      <x:c r="C4559" s="72" t="n">
        <x:v>45061</x:v>
      </x:c>
      <x:c r="D4559" s="73" t="n">
        <x:v>1.2245</x:v>
      </x:c>
      <x:c r="E4559" s="73" t="n">
        <x:v>1.2245</x:v>
      </x:c>
      <x:c r="F4559" s="73" t="n">
        <x:v>1.2245</x:v>
      </x:c>
      <x:c r="G4559" s="74" t="n">
        <x:v>0.0002</x:v>
      </x:c>
      <x:c r="H4559" s="66" t="str">
        <x:v>钧誉厚德量化对冲11号净值20260911.xlsx</x:v>
      </x:c>
      <x:c r="I4559" s="73" t="str">
        <x:f>""</x:f>
      </x:c>
      <x:c r="J4559" s="74" t="str">
        <x:f>""</x:f>
      </x:c>
      <x:c r="K4559" s="73" t="str">
        <x:f>""</x:f>
      </x:c>
      <x:c r="L4559" s="74" t="str">
        <x:f>""</x:f>
      </x:c>
      <x:c r="M4559" s="73" t="n">
        <x:f>MAX(M4558,F4559)</x:f>
        <x:v>1.2245</x:v>
      </x:c>
      <x:c r="N4559" s="74" t="n">
        <x:f>1-F4559/M4559</x:f>
        <x:v>0</x:v>
      </x:c>
    </x:row>
    <x:row r="4560" ht="27" customHeight="1">
      <x:c r="A4560" s="66" t="str">
        <x:v>SQN453</x:v>
      </x:c>
      <x:c r="B4560" s="66" t="str">
        <x:v>钧誉厚德量化对冲11号</x:v>
      </x:c>
      <x:c r="C4560" s="72" t="n">
        <x:v>45062</x:v>
      </x:c>
      <x:c r="D4560" s="73" t="n">
        <x:v>1.2245</x:v>
      </x:c>
      <x:c r="E4560" s="73" t="n">
        <x:v>1.2245</x:v>
      </x:c>
      <x:c r="F4560" s="73" t="n">
        <x:v>1.2245</x:v>
      </x:c>
      <x:c r="G4560" s="74" t="n">
        <x:v>0</x:v>
      </x:c>
      <x:c r="H4560" s="66" t="str">
        <x:v>钧誉厚德量化对冲11号净值20260911.xlsx</x:v>
      </x:c>
      <x:c r="I4560" s="73" t="str">
        <x:f>""</x:f>
      </x:c>
      <x:c r="J4560" s="74" t="str">
        <x:f>""</x:f>
      </x:c>
      <x:c r="K4560" s="73" t="str">
        <x:f>""</x:f>
      </x:c>
      <x:c r="L4560" s="74" t="str">
        <x:f>""</x:f>
      </x:c>
      <x:c r="M4560" s="73" t="n">
        <x:f>MAX(M4559,F4560)</x:f>
        <x:v>1.2245</x:v>
      </x:c>
      <x:c r="N4560" s="74" t="n">
        <x:f>1-F4560/M4560</x:f>
        <x:v>0</x:v>
      </x:c>
    </x:row>
    <x:row r="4561" ht="27" customHeight="1">
      <x:c r="A4561" s="66" t="str">
        <x:v>SQN453</x:v>
      </x:c>
      <x:c r="B4561" s="66" t="str">
        <x:v>钧誉厚德量化对冲11号</x:v>
      </x:c>
      <x:c r="C4561" s="72" t="n">
        <x:v>45063</x:v>
      </x:c>
      <x:c r="D4561" s="73" t="n">
        <x:v>1.2247</x:v>
      </x:c>
      <x:c r="E4561" s="73" t="n">
        <x:v>1.2247</x:v>
      </x:c>
      <x:c r="F4561" s="73" t="n">
        <x:v>1.2247</x:v>
      </x:c>
      <x:c r="G4561" s="74" t="n">
        <x:v>0.0002</x:v>
      </x:c>
      <x:c r="H4561" s="66" t="str">
        <x:v>钧誉厚德量化对冲11号净值20260911.xlsx</x:v>
      </x:c>
      <x:c r="I4561" s="73" t="str">
        <x:f>""</x:f>
      </x:c>
      <x:c r="J4561" s="74" t="str">
        <x:f>""</x:f>
      </x:c>
      <x:c r="K4561" s="73" t="str">
        <x:f>""</x:f>
      </x:c>
      <x:c r="L4561" s="74" t="str">
        <x:f>""</x:f>
      </x:c>
      <x:c r="M4561" s="73" t="n">
        <x:f>MAX(M4560,F4561)</x:f>
        <x:v>1.2247</x:v>
      </x:c>
      <x:c r="N4561" s="74" t="n">
        <x:f>1-F4561/M4561</x:f>
        <x:v>0</x:v>
      </x:c>
    </x:row>
    <x:row r="4562" ht="27" customHeight="1">
      <x:c r="A4562" s="66" t="str">
        <x:v>SQN453</x:v>
      </x:c>
      <x:c r="B4562" s="66" t="str">
        <x:v>钧誉厚德量化对冲11号</x:v>
      </x:c>
      <x:c r="C4562" s="72" t="n">
        <x:v>45064</x:v>
      </x:c>
      <x:c r="D4562" s="73" t="n">
        <x:v>1.2257</x:v>
      </x:c>
      <x:c r="E4562" s="73" t="n">
        <x:v>1.2257</x:v>
      </x:c>
      <x:c r="F4562" s="73" t="n">
        <x:v>1.2257</x:v>
      </x:c>
      <x:c r="G4562" s="74" t="n">
        <x:v>0.0008</x:v>
      </x:c>
      <x:c r="H4562" s="66" t="str">
        <x:v>钧誉厚德量化对冲11号净值20260911.xlsx</x:v>
      </x:c>
      <x:c r="I4562" s="73" t="str">
        <x:f>""</x:f>
      </x:c>
      <x:c r="J4562" s="74" t="str">
        <x:f>""</x:f>
      </x:c>
      <x:c r="K4562" s="73" t="str">
        <x:f>""</x:f>
      </x:c>
      <x:c r="L4562" s="74" t="str">
        <x:f>""</x:f>
      </x:c>
      <x:c r="M4562" s="73" t="n">
        <x:f>MAX(M4561,F4562)</x:f>
        <x:v>1.2257</x:v>
      </x:c>
      <x:c r="N4562" s="74" t="n">
        <x:f>1-F4562/M4562</x:f>
        <x:v>0</x:v>
      </x:c>
    </x:row>
    <x:row r="4563" ht="27" customHeight="1">
      <x:c r="A4563" s="66" t="str">
        <x:v>SQN453</x:v>
      </x:c>
      <x:c r="B4563" s="66" t="str">
        <x:v>钧誉厚德量化对冲11号</x:v>
      </x:c>
      <x:c r="C4563" s="72" t="n">
        <x:v>45065</x:v>
      </x:c>
      <x:c r="D4563" s="73" t="n">
        <x:v>1.2258</x:v>
      </x:c>
      <x:c r="E4563" s="73" t="n">
        <x:v>1.2258</x:v>
      </x:c>
      <x:c r="F4563" s="73" t="n">
        <x:v>1.2258</x:v>
      </x:c>
      <x:c r="G4563" s="74" t="n">
        <x:v>0.0001</x:v>
      </x:c>
      <x:c r="H4563" s="66" t="str">
        <x:v>钧誉厚德量化对冲11号净值20260911.xlsx</x:v>
      </x:c>
      <x:c r="I4563" s="73" t="str">
        <x:f>""</x:f>
      </x:c>
      <x:c r="J4563" s="74" t="str">
        <x:f>""</x:f>
      </x:c>
      <x:c r="K4563" s="73" t="str">
        <x:f>""</x:f>
      </x:c>
      <x:c r="L4563" s="74" t="str">
        <x:f>""</x:f>
      </x:c>
      <x:c r="M4563" s="73" t="n">
        <x:f>MAX(M4562,F4563)</x:f>
        <x:v>1.2258</x:v>
      </x:c>
      <x:c r="N4563" s="74" t="n">
        <x:f>1-F4563/M4563</x:f>
        <x:v>0</x:v>
      </x:c>
    </x:row>
    <x:row r="4564" ht="27" customHeight="1">
      <x:c r="A4564" s="66" t="str">
        <x:v>SQN453</x:v>
      </x:c>
      <x:c r="B4564" s="66" t="str">
        <x:v>钧誉厚德量化对冲11号</x:v>
      </x:c>
      <x:c r="C4564" s="72" t="n">
        <x:v>45068</x:v>
      </x:c>
      <x:c r="D4564" s="73" t="n">
        <x:v>1.2261</x:v>
      </x:c>
      <x:c r="E4564" s="73" t="n">
        <x:v>1.2261</x:v>
      </x:c>
      <x:c r="F4564" s="73" t="n">
        <x:v>1.2261</x:v>
      </x:c>
      <x:c r="G4564" s="74" t="n">
        <x:v>0.0002</x:v>
      </x:c>
      <x:c r="H4564" s="66" t="str">
        <x:v>钧誉厚德量化对冲11号净值20260911.xlsx</x:v>
      </x:c>
      <x:c r="I4564" s="73" t="str">
        <x:f>""</x:f>
      </x:c>
      <x:c r="J4564" s="74" t="str">
        <x:f>""</x:f>
      </x:c>
      <x:c r="K4564" s="73" t="str">
        <x:f>""</x:f>
      </x:c>
      <x:c r="L4564" s="74" t="str">
        <x:f>""</x:f>
      </x:c>
      <x:c r="M4564" s="73" t="n">
        <x:f>MAX(M4563,F4564)</x:f>
        <x:v>1.2261</x:v>
      </x:c>
      <x:c r="N4564" s="74" t="n">
        <x:f>1-F4564/M4564</x:f>
        <x:v>0</x:v>
      </x:c>
    </x:row>
    <x:row r="4565" ht="27" customHeight="1">
      <x:c r="A4565" s="66" t="str">
        <x:v>SQN453</x:v>
      </x:c>
      <x:c r="B4565" s="66" t="str">
        <x:v>钧誉厚德量化对冲11号</x:v>
      </x:c>
      <x:c r="C4565" s="72" t="n">
        <x:v>45069</x:v>
      </x:c>
      <x:c r="D4565" s="73" t="n">
        <x:v>1.2267</x:v>
      </x:c>
      <x:c r="E4565" s="73" t="n">
        <x:v>1.2267</x:v>
      </x:c>
      <x:c r="F4565" s="73" t="n">
        <x:v>1.2267</x:v>
      </x:c>
      <x:c r="G4565" s="74" t="n">
        <x:v>0.0005</x:v>
      </x:c>
      <x:c r="H4565" s="66" t="str">
        <x:v>钧誉厚德量化对冲11号净值20260911.xlsx</x:v>
      </x:c>
      <x:c r="I4565" s="73" t="str">
        <x:f>""</x:f>
      </x:c>
      <x:c r="J4565" s="74" t="str">
        <x:f>""</x:f>
      </x:c>
      <x:c r="K4565" s="73" t="str">
        <x:f>""</x:f>
      </x:c>
      <x:c r="L4565" s="74" t="str">
        <x:f>""</x:f>
      </x:c>
      <x:c r="M4565" s="73" t="n">
        <x:f>MAX(M4564,F4565)</x:f>
        <x:v>1.2267</x:v>
      </x:c>
      <x:c r="N4565" s="74" t="n">
        <x:f>1-F4565/M4565</x:f>
        <x:v>0</x:v>
      </x:c>
    </x:row>
    <x:row r="4566" ht="27" customHeight="1">
      <x:c r="A4566" s="66" t="str">
        <x:v>SQN453</x:v>
      </x:c>
      <x:c r="B4566" s="66" t="str">
        <x:v>钧誉厚德量化对冲11号</x:v>
      </x:c>
      <x:c r="C4566" s="72" t="n">
        <x:v>45070</x:v>
      </x:c>
      <x:c r="D4566" s="73" t="n">
        <x:v>1.227</x:v>
      </x:c>
      <x:c r="E4566" s="73" t="n">
        <x:v>1.227</x:v>
      </x:c>
      <x:c r="F4566" s="73" t="n">
        <x:v>1.227</x:v>
      </x:c>
      <x:c r="G4566" s="74" t="n">
        <x:v>0.0002</x:v>
      </x:c>
      <x:c r="H4566" s="66" t="str">
        <x:v>钧誉厚德量化对冲11号净值20260911.xlsx</x:v>
      </x:c>
      <x:c r="I4566" s="73" t="str">
        <x:f>""</x:f>
      </x:c>
      <x:c r="J4566" s="74" t="str">
        <x:f>""</x:f>
      </x:c>
      <x:c r="K4566" s="73" t="str">
        <x:f>""</x:f>
      </x:c>
      <x:c r="L4566" s="74" t="str">
        <x:f>""</x:f>
      </x:c>
      <x:c r="M4566" s="73" t="n">
        <x:f>MAX(M4565,F4566)</x:f>
        <x:v>1.227</x:v>
      </x:c>
      <x:c r="N4566" s="74" t="n">
        <x:f>1-F4566/M4566</x:f>
        <x:v>0</x:v>
      </x:c>
    </x:row>
    <x:row r="4567" ht="27" customHeight="1">
      <x:c r="A4567" s="66" t="str">
        <x:v>SQN453</x:v>
      </x:c>
      <x:c r="B4567" s="66" t="str">
        <x:v>钧誉厚德量化对冲11号</x:v>
      </x:c>
      <x:c r="C4567" s="72" t="n">
        <x:v>45071</x:v>
      </x:c>
      <x:c r="D4567" s="73" t="n">
        <x:v>1.2273</x:v>
      </x:c>
      <x:c r="E4567" s="73" t="n">
        <x:v>1.2273</x:v>
      </x:c>
      <x:c r="F4567" s="73" t="n">
        <x:v>1.2273</x:v>
      </x:c>
      <x:c r="G4567" s="74" t="n">
        <x:v>0.0002</x:v>
      </x:c>
      <x:c r="H4567" s="66" t="str">
        <x:v>钧誉厚德量化对冲11号净值20260911.xlsx</x:v>
      </x:c>
      <x:c r="I4567" s="73" t="str">
        <x:f>""</x:f>
      </x:c>
      <x:c r="J4567" s="74" t="str">
        <x:f>""</x:f>
      </x:c>
      <x:c r="K4567" s="73" t="str">
        <x:f>""</x:f>
      </x:c>
      <x:c r="L4567" s="74" t="str">
        <x:f>""</x:f>
      </x:c>
      <x:c r="M4567" s="73" t="n">
        <x:f>MAX(M4566,F4567)</x:f>
        <x:v>1.2273</x:v>
      </x:c>
      <x:c r="N4567" s="74" t="n">
        <x:f>1-F4567/M4567</x:f>
        <x:v>0</x:v>
      </x:c>
    </x:row>
    <x:row r="4568" ht="27" customHeight="1">
      <x:c r="A4568" s="66" t="str">
        <x:v>SQN453</x:v>
      </x:c>
      <x:c r="B4568" s="66" t="str">
        <x:v>钧誉厚德量化对冲11号</x:v>
      </x:c>
      <x:c r="C4568" s="72" t="n">
        <x:v>45072</x:v>
      </x:c>
      <x:c r="D4568" s="73" t="n">
        <x:v>1.2275</x:v>
      </x:c>
      <x:c r="E4568" s="73" t="n">
        <x:v>1.2275</x:v>
      </x:c>
      <x:c r="F4568" s="73" t="n">
        <x:v>1.2275</x:v>
      </x:c>
      <x:c r="G4568" s="74" t="n">
        <x:v>0.0002</x:v>
      </x:c>
      <x:c r="H4568" s="66" t="str">
        <x:v>钧誉厚德量化对冲11号净值20260911.xlsx</x:v>
      </x:c>
      <x:c r="I4568" s="73" t="str">
        <x:f>""</x:f>
      </x:c>
      <x:c r="J4568" s="74" t="str">
        <x:f>""</x:f>
      </x:c>
      <x:c r="K4568" s="73" t="str">
        <x:f>""</x:f>
      </x:c>
      <x:c r="L4568" s="74" t="str">
        <x:f>""</x:f>
      </x:c>
      <x:c r="M4568" s="73" t="n">
        <x:f>MAX(M4567,F4568)</x:f>
        <x:v>1.2275</x:v>
      </x:c>
      <x:c r="N4568" s="74" t="n">
        <x:f>1-F4568/M4568</x:f>
        <x:v>0</x:v>
      </x:c>
    </x:row>
    <x:row r="4569" ht="27" customHeight="1">
      <x:c r="A4569" s="66" t="str">
        <x:v>SQN453</x:v>
      </x:c>
      <x:c r="B4569" s="66" t="str">
        <x:v>钧誉厚德量化对冲11号</x:v>
      </x:c>
      <x:c r="C4569" s="72" t="n">
        <x:v>45075</x:v>
      </x:c>
      <x:c r="D4569" s="73" t="n">
        <x:v>1.2277</x:v>
      </x:c>
      <x:c r="E4569" s="73" t="n">
        <x:v>1.2277</x:v>
      </x:c>
      <x:c r="F4569" s="73" t="n">
        <x:v>1.2277</x:v>
      </x:c>
      <x:c r="G4569" s="74" t="n">
        <x:v>0.0002</x:v>
      </x:c>
      <x:c r="H4569" s="66" t="str">
        <x:v>钧誉厚德量化对冲11号净值20260911.xlsx</x:v>
      </x:c>
      <x:c r="I4569" s="73" t="str">
        <x:f>""</x:f>
      </x:c>
      <x:c r="J4569" s="74" t="str">
        <x:f>""</x:f>
      </x:c>
      <x:c r="K4569" s="73" t="str">
        <x:f>""</x:f>
      </x:c>
      <x:c r="L4569" s="74" t="str">
        <x:f>""</x:f>
      </x:c>
      <x:c r="M4569" s="73" t="n">
        <x:f>MAX(M4568,F4569)</x:f>
        <x:v>1.2277</x:v>
      </x:c>
      <x:c r="N4569" s="74" t="n">
        <x:f>1-F4569/M4569</x:f>
        <x:v>0</x:v>
      </x:c>
    </x:row>
    <x:row r="4570" ht="27" customHeight="1">
      <x:c r="A4570" s="66" t="str">
        <x:v>SQN453</x:v>
      </x:c>
      <x:c r="B4570" s="66" t="str">
        <x:v>钧誉厚德量化对冲11号</x:v>
      </x:c>
      <x:c r="C4570" s="72" t="n">
        <x:v>45076</x:v>
      </x:c>
      <x:c r="D4570" s="73" t="n">
        <x:v>1.2279</x:v>
      </x:c>
      <x:c r="E4570" s="73" t="n">
        <x:v>1.2279</x:v>
      </x:c>
      <x:c r="F4570" s="73" t="n">
        <x:v>1.2279</x:v>
      </x:c>
      <x:c r="G4570" s="74" t="n">
        <x:v>0.0002</x:v>
      </x:c>
      <x:c r="H4570" s="66" t="str">
        <x:v>钧誉厚德量化对冲11号净值20260911.xlsx</x:v>
      </x:c>
      <x:c r="I4570" s="73" t="str">
        <x:f>""</x:f>
      </x:c>
      <x:c r="J4570" s="74" t="str">
        <x:f>""</x:f>
      </x:c>
      <x:c r="K4570" s="73" t="str">
        <x:f>""</x:f>
      </x:c>
      <x:c r="L4570" s="74" t="str">
        <x:f>""</x:f>
      </x:c>
      <x:c r="M4570" s="73" t="n">
        <x:f>MAX(M4569,F4570)</x:f>
        <x:v>1.2279</x:v>
      </x:c>
      <x:c r="N4570" s="74" t="n">
        <x:f>1-F4570/M4570</x:f>
        <x:v>0</x:v>
      </x:c>
    </x:row>
    <x:row r="4571" ht="27" customHeight="1">
      <x:c r="A4571" s="66" t="str">
        <x:v>SQN453</x:v>
      </x:c>
      <x:c r="B4571" s="66" t="str">
        <x:v>钧誉厚德量化对冲11号</x:v>
      </x:c>
      <x:c r="C4571" s="72" t="n">
        <x:v>45077</x:v>
      </x:c>
      <x:c r="D4571" s="73" t="n">
        <x:v>1.2286</x:v>
      </x:c>
      <x:c r="E4571" s="73" t="n">
        <x:v>1.2286</x:v>
      </x:c>
      <x:c r="F4571" s="73" t="n">
        <x:v>1.2286</x:v>
      </x:c>
      <x:c r="G4571" s="74" t="n">
        <x:v>0.0006</x:v>
      </x:c>
      <x:c r="H4571" s="66" t="str">
        <x:v>钧誉厚德量化对冲11号净值20260911.xlsx</x:v>
      </x:c>
      <x:c r="I4571" s="73" t="str">
        <x:f>""</x:f>
      </x:c>
      <x:c r="J4571" s="74" t="str">
        <x:f>""</x:f>
      </x:c>
      <x:c r="K4571" s="73" t="str">
        <x:f>""</x:f>
      </x:c>
      <x:c r="L4571" s="74" t="str">
        <x:f>""</x:f>
      </x:c>
      <x:c r="M4571" s="73" t="n">
        <x:f>MAX(M4570,F4571)</x:f>
        <x:v>1.2286</x:v>
      </x:c>
      <x:c r="N4571" s="74" t="n">
        <x:f>1-F4571/M4571</x:f>
        <x:v>0</x:v>
      </x:c>
    </x:row>
    <x:row r="4572" ht="27" customHeight="1">
      <x:c r="A4572" s="66" t="str">
        <x:v>SQN453</x:v>
      </x:c>
      <x:c r="B4572" s="66" t="str">
        <x:v>钧誉厚德量化对冲11号</x:v>
      </x:c>
      <x:c r="C4572" s="72" t="n">
        <x:v>45078</x:v>
      </x:c>
      <x:c r="D4572" s="73" t="n">
        <x:v>1.2292</x:v>
      </x:c>
      <x:c r="E4572" s="73" t="n">
        <x:v>1.2292</x:v>
      </x:c>
      <x:c r="F4572" s="73" t="n">
        <x:v>1.2292</x:v>
      </x:c>
      <x:c r="G4572" s="74" t="n">
        <x:v>0.0005</x:v>
      </x:c>
      <x:c r="H4572" s="66" t="str">
        <x:v>钧誉厚德量化对冲11号净值20260911.xlsx</x:v>
      </x:c>
      <x:c r="I4572" s="73" t="str">
        <x:f>""</x:f>
      </x:c>
      <x:c r="J4572" s="74" t="str">
        <x:f>""</x:f>
      </x:c>
      <x:c r="K4572" s="73" t="str">
        <x:f>""</x:f>
      </x:c>
      <x:c r="L4572" s="74" t="str">
        <x:f>""</x:f>
      </x:c>
      <x:c r="M4572" s="73" t="n">
        <x:f>MAX(M4571,F4572)</x:f>
        <x:v>1.2292</x:v>
      </x:c>
      <x:c r="N4572" s="74" t="n">
        <x:f>1-F4572/M4572</x:f>
        <x:v>0</x:v>
      </x:c>
    </x:row>
    <x:row r="4573" ht="27" customHeight="1">
      <x:c r="A4573" s="66" t="str">
        <x:v>SQN453</x:v>
      </x:c>
      <x:c r="B4573" s="66" t="str">
        <x:v>钧誉厚德量化对冲11号</x:v>
      </x:c>
      <x:c r="C4573" s="72" t="n">
        <x:v>45079</x:v>
      </x:c>
      <x:c r="D4573" s="73" t="n">
        <x:v>1.2295</x:v>
      </x:c>
      <x:c r="E4573" s="73" t="n">
        <x:v>1.2295</x:v>
      </x:c>
      <x:c r="F4573" s="73" t="n">
        <x:v>1.2295</x:v>
      </x:c>
      <x:c r="G4573" s="74" t="n">
        <x:v>0.0002</x:v>
      </x:c>
      <x:c r="H4573" s="66" t="str">
        <x:v>钧誉厚德量化对冲11号净值20260911.xlsx</x:v>
      </x:c>
      <x:c r="I4573" s="73" t="str">
        <x:f>""</x:f>
      </x:c>
      <x:c r="J4573" s="74" t="str">
        <x:f>""</x:f>
      </x:c>
      <x:c r="K4573" s="73" t="str">
        <x:f>""</x:f>
      </x:c>
      <x:c r="L4573" s="74" t="str">
        <x:f>""</x:f>
      </x:c>
      <x:c r="M4573" s="73" t="n">
        <x:f>MAX(M4572,F4573)</x:f>
        <x:v>1.2295</x:v>
      </x:c>
      <x:c r="N4573" s="74" t="n">
        <x:f>1-F4573/M4573</x:f>
        <x:v>0</x:v>
      </x:c>
    </x:row>
    <x:row r="4574" ht="27" customHeight="1">
      <x:c r="A4574" s="66" t="str">
        <x:v>SQN453</x:v>
      </x:c>
      <x:c r="B4574" s="66" t="str">
        <x:v>钧誉厚德量化对冲11号</x:v>
      </x:c>
      <x:c r="C4574" s="72" t="n">
        <x:v>45082</x:v>
      </x:c>
      <x:c r="D4574" s="73" t="n">
        <x:v>1.2296</x:v>
      </x:c>
      <x:c r="E4574" s="73" t="n">
        <x:v>1.2296</x:v>
      </x:c>
      <x:c r="F4574" s="73" t="n">
        <x:v>1.2296</x:v>
      </x:c>
      <x:c r="G4574" s="74" t="n">
        <x:v>0.0001</x:v>
      </x:c>
      <x:c r="H4574" s="66" t="str">
        <x:v>钧誉厚德量化对冲11号净值20260911.xlsx</x:v>
      </x:c>
      <x:c r="I4574" s="73" t="str">
        <x:f>""</x:f>
      </x:c>
      <x:c r="J4574" s="74" t="str">
        <x:f>""</x:f>
      </x:c>
      <x:c r="K4574" s="73" t="str">
        <x:f>""</x:f>
      </x:c>
      <x:c r="L4574" s="74" t="str">
        <x:f>""</x:f>
      </x:c>
      <x:c r="M4574" s="73" t="n">
        <x:f>MAX(M4573,F4574)</x:f>
        <x:v>1.2296</x:v>
      </x:c>
      <x:c r="N4574" s="74" t="n">
        <x:f>1-F4574/M4574</x:f>
        <x:v>0</x:v>
      </x:c>
    </x:row>
    <x:row r="4575" ht="27" customHeight="1">
      <x:c r="A4575" s="66" t="str">
        <x:v>SQN453</x:v>
      </x:c>
      <x:c r="B4575" s="66" t="str">
        <x:v>钧誉厚德量化对冲11号</x:v>
      </x:c>
      <x:c r="C4575" s="72" t="n">
        <x:v>45083</x:v>
      </x:c>
      <x:c r="D4575" s="73" t="n">
        <x:v>1.2299</x:v>
      </x:c>
      <x:c r="E4575" s="73" t="n">
        <x:v>1.2299</x:v>
      </x:c>
      <x:c r="F4575" s="73" t="n">
        <x:v>1.2299</x:v>
      </x:c>
      <x:c r="G4575" s="74" t="n">
        <x:v>0.0002</x:v>
      </x:c>
      <x:c r="H4575" s="66" t="str">
        <x:v>钧誉厚德量化对冲11号净值20260911.xlsx</x:v>
      </x:c>
      <x:c r="I4575" s="73" t="str">
        <x:f>""</x:f>
      </x:c>
      <x:c r="J4575" s="74" t="str">
        <x:f>""</x:f>
      </x:c>
      <x:c r="K4575" s="73" t="str">
        <x:f>""</x:f>
      </x:c>
      <x:c r="L4575" s="74" t="str">
        <x:f>""</x:f>
      </x:c>
      <x:c r="M4575" s="73" t="n">
        <x:f>MAX(M4574,F4575)</x:f>
        <x:v>1.2299</x:v>
      </x:c>
      <x:c r="N4575" s="74" t="n">
        <x:f>1-F4575/M4575</x:f>
        <x:v>0</x:v>
      </x:c>
    </x:row>
    <x:row r="4576" ht="27" customHeight="1">
      <x:c r="A4576" s="66" t="str">
        <x:v>SQN453</x:v>
      </x:c>
      <x:c r="B4576" s="66" t="str">
        <x:v>钧誉厚德量化对冲11号</x:v>
      </x:c>
      <x:c r="C4576" s="72" t="n">
        <x:v>45084</x:v>
      </x:c>
      <x:c r="D4576" s="73" t="n">
        <x:v>1.23</x:v>
      </x:c>
      <x:c r="E4576" s="73" t="n">
        <x:v>1.23</x:v>
      </x:c>
      <x:c r="F4576" s="73" t="n">
        <x:v>1.23</x:v>
      </x:c>
      <x:c r="G4576" s="74" t="n">
        <x:v>0.0001</x:v>
      </x:c>
      <x:c r="H4576" s="66" t="str">
        <x:v>钧誉厚德量化对冲11号净值20260911.xlsx</x:v>
      </x:c>
      <x:c r="I4576" s="73" t="str">
        <x:f>""</x:f>
      </x:c>
      <x:c r="J4576" s="74" t="str">
        <x:f>""</x:f>
      </x:c>
      <x:c r="K4576" s="73" t="str">
        <x:f>""</x:f>
      </x:c>
      <x:c r="L4576" s="74" t="str">
        <x:f>""</x:f>
      </x:c>
      <x:c r="M4576" s="73" t="n">
        <x:f>MAX(M4575,F4576)</x:f>
        <x:v>1.23</x:v>
      </x:c>
      <x:c r="N4576" s="74" t="n">
        <x:f>1-F4576/M4576</x:f>
        <x:v>0</x:v>
      </x:c>
    </x:row>
    <x:row r="4577" ht="27" customHeight="1">
      <x:c r="A4577" s="66" t="str">
        <x:v>SQN453</x:v>
      </x:c>
      <x:c r="B4577" s="66" t="str">
        <x:v>钧誉厚德量化对冲11号</x:v>
      </x:c>
      <x:c r="C4577" s="72" t="n">
        <x:v>45085</x:v>
      </x:c>
      <x:c r="D4577" s="73" t="n">
        <x:v>1.2302</x:v>
      </x:c>
      <x:c r="E4577" s="73" t="n">
        <x:v>1.2302</x:v>
      </x:c>
      <x:c r="F4577" s="73" t="n">
        <x:v>1.2302</x:v>
      </x:c>
      <x:c r="G4577" s="74" t="n">
        <x:v>0.0002</x:v>
      </x:c>
      <x:c r="H4577" s="66" t="str">
        <x:v>钧誉厚德量化对冲11号净值20260911.xlsx</x:v>
      </x:c>
      <x:c r="I4577" s="73" t="str">
        <x:f>""</x:f>
      </x:c>
      <x:c r="J4577" s="74" t="str">
        <x:f>""</x:f>
      </x:c>
      <x:c r="K4577" s="73" t="str">
        <x:f>""</x:f>
      </x:c>
      <x:c r="L4577" s="74" t="str">
        <x:f>""</x:f>
      </x:c>
      <x:c r="M4577" s="73" t="n">
        <x:f>MAX(M4576,F4577)</x:f>
        <x:v>1.2302</x:v>
      </x:c>
      <x:c r="N4577" s="74" t="n">
        <x:f>1-F4577/M4577</x:f>
        <x:v>0</x:v>
      </x:c>
    </x:row>
    <x:row r="4578" ht="27" customHeight="1">
      <x:c r="A4578" s="66" t="str">
        <x:v>SQN453</x:v>
      </x:c>
      <x:c r="B4578" s="66" t="str">
        <x:v>钧誉厚德量化对冲11号</x:v>
      </x:c>
      <x:c r="C4578" s="72" t="n">
        <x:v>45086</x:v>
      </x:c>
      <x:c r="D4578" s="73" t="n">
        <x:v>1.2305</x:v>
      </x:c>
      <x:c r="E4578" s="73" t="n">
        <x:v>1.2305</x:v>
      </x:c>
      <x:c r="F4578" s="73" t="n">
        <x:v>1.2305</x:v>
      </x:c>
      <x:c r="G4578" s="74" t="n">
        <x:v>0.0002</x:v>
      </x:c>
      <x:c r="H4578" s="66" t="str">
        <x:v>钧誉厚德量化对冲11号净值20260911.xlsx</x:v>
      </x:c>
      <x:c r="I4578" s="73" t="str">
        <x:f>""</x:f>
      </x:c>
      <x:c r="J4578" s="74" t="str">
        <x:f>""</x:f>
      </x:c>
      <x:c r="K4578" s="73" t="str">
        <x:f>""</x:f>
      </x:c>
      <x:c r="L4578" s="74" t="str">
        <x:f>""</x:f>
      </x:c>
      <x:c r="M4578" s="73" t="n">
        <x:f>MAX(M4577,F4578)</x:f>
        <x:v>1.2305</x:v>
      </x:c>
      <x:c r="N4578" s="74" t="n">
        <x:f>1-F4578/M4578</x:f>
        <x:v>0</x:v>
      </x:c>
    </x:row>
    <x:row r="4579" ht="27" customHeight="1">
      <x:c r="A4579" s="66" t="str">
        <x:v>SQN453</x:v>
      </x:c>
      <x:c r="B4579" s="66" t="str">
        <x:v>钧誉厚德量化对冲11号</x:v>
      </x:c>
      <x:c r="C4579" s="72" t="n">
        <x:v>45089</x:v>
      </x:c>
      <x:c r="D4579" s="73" t="n">
        <x:v>1.2306</x:v>
      </x:c>
      <x:c r="E4579" s="73" t="n">
        <x:v>1.2306</x:v>
      </x:c>
      <x:c r="F4579" s="73" t="n">
        <x:v>1.2306</x:v>
      </x:c>
      <x:c r="G4579" s="74" t="n">
        <x:v>0.0001</x:v>
      </x:c>
      <x:c r="H4579" s="66" t="str">
        <x:v>钧誉厚德量化对冲11号净值20260911.xlsx</x:v>
      </x:c>
      <x:c r="I4579" s="73" t="str">
        <x:f>""</x:f>
      </x:c>
      <x:c r="J4579" s="74" t="str">
        <x:f>""</x:f>
      </x:c>
      <x:c r="K4579" s="73" t="str">
        <x:f>""</x:f>
      </x:c>
      <x:c r="L4579" s="74" t="str">
        <x:f>""</x:f>
      </x:c>
      <x:c r="M4579" s="73" t="n">
        <x:f>MAX(M4578,F4579)</x:f>
        <x:v>1.2306</x:v>
      </x:c>
      <x:c r="N4579" s="74" t="n">
        <x:f>1-F4579/M4579</x:f>
        <x:v>0</x:v>
      </x:c>
    </x:row>
    <x:row r="4580" ht="27" customHeight="1">
      <x:c r="A4580" s="66" t="str">
        <x:v>SQN453</x:v>
      </x:c>
      <x:c r="B4580" s="66" t="str">
        <x:v>钧誉厚德量化对冲11号</x:v>
      </x:c>
      <x:c r="C4580" s="72" t="n">
        <x:v>45090</x:v>
      </x:c>
      <x:c r="D4580" s="73" t="n">
        <x:v>1.2309</x:v>
      </x:c>
      <x:c r="E4580" s="73" t="n">
        <x:v>1.2309</x:v>
      </x:c>
      <x:c r="F4580" s="73" t="n">
        <x:v>1.2309</x:v>
      </x:c>
      <x:c r="G4580" s="74" t="n">
        <x:v>0.0002</x:v>
      </x:c>
      <x:c r="H4580" s="66" t="str">
        <x:v>钧誉厚德量化对冲11号净值20260911.xlsx</x:v>
      </x:c>
      <x:c r="I4580" s="73" t="str">
        <x:f>""</x:f>
      </x:c>
      <x:c r="J4580" s="74" t="str">
        <x:f>""</x:f>
      </x:c>
      <x:c r="K4580" s="73" t="str">
        <x:f>""</x:f>
      </x:c>
      <x:c r="L4580" s="74" t="str">
        <x:f>""</x:f>
      </x:c>
      <x:c r="M4580" s="73" t="n">
        <x:f>MAX(M4579,F4580)</x:f>
        <x:v>1.2309</x:v>
      </x:c>
      <x:c r="N4580" s="74" t="n">
        <x:f>1-F4580/M4580</x:f>
        <x:v>0</x:v>
      </x:c>
    </x:row>
    <x:row r="4581" ht="27" customHeight="1">
      <x:c r="A4581" s="66" t="str">
        <x:v>SQN453</x:v>
      </x:c>
      <x:c r="B4581" s="66" t="str">
        <x:v>钧誉厚德量化对冲11号</x:v>
      </x:c>
      <x:c r="C4581" s="72" t="n">
        <x:v>45091</x:v>
      </x:c>
      <x:c r="D4581" s="73" t="n">
        <x:v>1.231</x:v>
      </x:c>
      <x:c r="E4581" s="73" t="n">
        <x:v>1.231</x:v>
      </x:c>
      <x:c r="F4581" s="73" t="n">
        <x:v>1.231</x:v>
      </x:c>
      <x:c r="G4581" s="74" t="n">
        <x:v>0.0001</x:v>
      </x:c>
      <x:c r="H4581" s="66" t="str">
        <x:v>钧誉厚德量化对冲11号净值20260911.xlsx</x:v>
      </x:c>
      <x:c r="I4581" s="73" t="str">
        <x:f>""</x:f>
      </x:c>
      <x:c r="J4581" s="74" t="str">
        <x:f>""</x:f>
      </x:c>
      <x:c r="K4581" s="73" t="str">
        <x:f>""</x:f>
      </x:c>
      <x:c r="L4581" s="74" t="str">
        <x:f>""</x:f>
      </x:c>
      <x:c r="M4581" s="73" t="n">
        <x:f>MAX(M4580,F4581)</x:f>
        <x:v>1.231</x:v>
      </x:c>
      <x:c r="N4581" s="74" t="n">
        <x:f>1-F4581/M4581</x:f>
        <x:v>0</x:v>
      </x:c>
    </x:row>
    <x:row r="4582" ht="27" customHeight="1">
      <x:c r="A4582" s="66" t="str">
        <x:v>SQN453</x:v>
      </x:c>
      <x:c r="B4582" s="66" t="str">
        <x:v>钧誉厚德量化对冲11号</x:v>
      </x:c>
      <x:c r="C4582" s="72" t="n">
        <x:v>45092</x:v>
      </x:c>
      <x:c r="D4582" s="73" t="n">
        <x:v>1.2315</x:v>
      </x:c>
      <x:c r="E4582" s="73" t="n">
        <x:v>1.2315</x:v>
      </x:c>
      <x:c r="F4582" s="73" t="n">
        <x:v>1.2315</x:v>
      </x:c>
      <x:c r="G4582" s="74" t="n">
        <x:v>0.0004</x:v>
      </x:c>
      <x:c r="H4582" s="66" t="str">
        <x:v>钧誉厚德量化对冲11号净值20260911.xlsx</x:v>
      </x:c>
      <x:c r="I4582" s="73" t="str">
        <x:f>""</x:f>
      </x:c>
      <x:c r="J4582" s="74" t="str">
        <x:f>""</x:f>
      </x:c>
      <x:c r="K4582" s="73" t="str">
        <x:f>""</x:f>
      </x:c>
      <x:c r="L4582" s="74" t="str">
        <x:f>""</x:f>
      </x:c>
      <x:c r="M4582" s="73" t="n">
        <x:f>MAX(M4581,F4582)</x:f>
        <x:v>1.2315</x:v>
      </x:c>
      <x:c r="N4582" s="74" t="n">
        <x:f>1-F4582/M4582</x:f>
        <x:v>0</x:v>
      </x:c>
    </x:row>
    <x:row r="4583" ht="27" customHeight="1">
      <x:c r="A4583" s="66" t="str">
        <x:v>SQN453</x:v>
      </x:c>
      <x:c r="B4583" s="66" t="str">
        <x:v>钧誉厚德量化对冲11号</x:v>
      </x:c>
      <x:c r="C4583" s="72" t="n">
        <x:v>45093</x:v>
      </x:c>
      <x:c r="D4583" s="73" t="n">
        <x:v>1.2318</x:v>
      </x:c>
      <x:c r="E4583" s="73" t="n">
        <x:v>1.2318</x:v>
      </x:c>
      <x:c r="F4583" s="73" t="n">
        <x:v>1.2318</x:v>
      </x:c>
      <x:c r="G4583" s="74" t="n">
        <x:v>0.0002</x:v>
      </x:c>
      <x:c r="H4583" s="66" t="str">
        <x:v>钧誉厚德量化对冲11号净值20260911.xlsx</x:v>
      </x:c>
      <x:c r="I4583" s="73" t="str">
        <x:f>""</x:f>
      </x:c>
      <x:c r="J4583" s="74" t="str">
        <x:f>""</x:f>
      </x:c>
      <x:c r="K4583" s="73" t="str">
        <x:f>""</x:f>
      </x:c>
      <x:c r="L4583" s="74" t="str">
        <x:f>""</x:f>
      </x:c>
      <x:c r="M4583" s="73" t="n">
        <x:f>MAX(M4582,F4583)</x:f>
        <x:v>1.2318</x:v>
      </x:c>
      <x:c r="N4583" s="74" t="n">
        <x:f>1-F4583/M4583</x:f>
        <x:v>0</x:v>
      </x:c>
    </x:row>
    <x:row r="4584" ht="27" customHeight="1">
      <x:c r="A4584" s="66" t="str">
        <x:v>SQN453</x:v>
      </x:c>
      <x:c r="B4584" s="66" t="str">
        <x:v>钧誉厚德量化对冲11号</x:v>
      </x:c>
      <x:c r="C4584" s="72" t="n">
        <x:v>45096</x:v>
      </x:c>
      <x:c r="D4584" s="73" t="n">
        <x:v>1.2329</x:v>
      </x:c>
      <x:c r="E4584" s="73" t="n">
        <x:v>1.2329</x:v>
      </x:c>
      <x:c r="F4584" s="73" t="n">
        <x:v>1.2329</x:v>
      </x:c>
      <x:c r="G4584" s="74" t="n">
        <x:v>0.0009</x:v>
      </x:c>
      <x:c r="H4584" s="66" t="str">
        <x:v>钧誉厚德量化对冲11号净值20260911.xlsx</x:v>
      </x:c>
      <x:c r="I4584" s="73" t="str">
        <x:f>""</x:f>
      </x:c>
      <x:c r="J4584" s="74" t="str">
        <x:f>""</x:f>
      </x:c>
      <x:c r="K4584" s="73" t="str">
        <x:f>""</x:f>
      </x:c>
      <x:c r="L4584" s="74" t="str">
        <x:f>""</x:f>
      </x:c>
      <x:c r="M4584" s="73" t="n">
        <x:f>MAX(M4583,F4584)</x:f>
        <x:v>1.2329</x:v>
      </x:c>
      <x:c r="N4584" s="74" t="n">
        <x:f>1-F4584/M4584</x:f>
        <x:v>0</x:v>
      </x:c>
    </x:row>
    <x:row r="4585" ht="27" customHeight="1">
      <x:c r="A4585" s="66" t="str">
        <x:v>SQN453</x:v>
      </x:c>
      <x:c r="B4585" s="66" t="str">
        <x:v>钧誉厚德量化对冲11号</x:v>
      </x:c>
      <x:c r="C4585" s="72" t="n">
        <x:v>45097</x:v>
      </x:c>
      <x:c r="D4585" s="73" t="n">
        <x:v>1.2331</x:v>
      </x:c>
      <x:c r="E4585" s="73" t="n">
        <x:v>1.2331</x:v>
      </x:c>
      <x:c r="F4585" s="73" t="n">
        <x:v>1.2331</x:v>
      </x:c>
      <x:c r="G4585" s="74" t="n">
        <x:v>0.0002</x:v>
      </x:c>
      <x:c r="H4585" s="66" t="str">
        <x:v>钧誉厚德量化对冲11号净值20260911.xlsx</x:v>
      </x:c>
      <x:c r="I4585" s="73" t="str">
        <x:f>""</x:f>
      </x:c>
      <x:c r="J4585" s="74" t="str">
        <x:f>""</x:f>
      </x:c>
      <x:c r="K4585" s="73" t="str">
        <x:f>""</x:f>
      </x:c>
      <x:c r="L4585" s="74" t="str">
        <x:f>""</x:f>
      </x:c>
      <x:c r="M4585" s="73" t="n">
        <x:f>MAX(M4584,F4585)</x:f>
        <x:v>1.2331</x:v>
      </x:c>
      <x:c r="N4585" s="74" t="n">
        <x:f>1-F4585/M4585</x:f>
        <x:v>0</x:v>
      </x:c>
    </x:row>
    <x:row r="4586" ht="27" customHeight="1">
      <x:c r="A4586" s="66" t="str">
        <x:v>SQN453</x:v>
      </x:c>
      <x:c r="B4586" s="66" t="str">
        <x:v>钧誉厚德量化对冲11号</x:v>
      </x:c>
      <x:c r="C4586" s="72" t="n">
        <x:v>45098</x:v>
      </x:c>
      <x:c r="D4586" s="73" t="n">
        <x:v>1.2335</x:v>
      </x:c>
      <x:c r="E4586" s="73" t="n">
        <x:v>1.2335</x:v>
      </x:c>
      <x:c r="F4586" s="73" t="n">
        <x:v>1.2335</x:v>
      </x:c>
      <x:c r="G4586" s="74" t="n">
        <x:v>0.0003</x:v>
      </x:c>
      <x:c r="H4586" s="66" t="str">
        <x:v>钧誉厚德量化对冲11号净值20260911.xlsx</x:v>
      </x:c>
      <x:c r="I4586" s="73" t="str">
        <x:f>""</x:f>
      </x:c>
      <x:c r="J4586" s="74" t="str">
        <x:f>""</x:f>
      </x:c>
      <x:c r="K4586" s="73" t="str">
        <x:f>""</x:f>
      </x:c>
      <x:c r="L4586" s="74" t="str">
        <x:f>""</x:f>
      </x:c>
      <x:c r="M4586" s="73" t="n">
        <x:f>MAX(M4585,F4586)</x:f>
        <x:v>1.2335</x:v>
      </x:c>
      <x:c r="N4586" s="74" t="n">
        <x:f>1-F4586/M4586</x:f>
        <x:v>0</x:v>
      </x:c>
    </x:row>
    <x:row r="4587" ht="27" customHeight="1">
      <x:c r="A4587" s="66" t="str">
        <x:v>SQN453</x:v>
      </x:c>
      <x:c r="B4587" s="66" t="str">
        <x:v>钧誉厚德量化对冲11号</x:v>
      </x:c>
      <x:c r="C4587" s="72" t="n">
        <x:v>45103</x:v>
      </x:c>
      <x:c r="D4587" s="73" t="n">
        <x:v>1.2335</x:v>
      </x:c>
      <x:c r="E4587" s="73" t="n">
        <x:v>1.2335</x:v>
      </x:c>
      <x:c r="F4587" s="73" t="n">
        <x:v>1.2335</x:v>
      </x:c>
      <x:c r="G4587" s="74" t="n">
        <x:v>0</x:v>
      </x:c>
      <x:c r="H4587" s="66" t="str">
        <x:v>钧誉厚德量化对冲11号净值20260911.xlsx</x:v>
      </x:c>
      <x:c r="I4587" s="73" t="str">
        <x:f>""</x:f>
      </x:c>
      <x:c r="J4587" s="74" t="str">
        <x:f>""</x:f>
      </x:c>
      <x:c r="K4587" s="73" t="str">
        <x:f>""</x:f>
      </x:c>
      <x:c r="L4587" s="74" t="str">
        <x:f>""</x:f>
      </x:c>
      <x:c r="M4587" s="73" t="n">
        <x:f>MAX(M4586,F4587)</x:f>
        <x:v>1.2335</x:v>
      </x:c>
      <x:c r="N4587" s="74" t="n">
        <x:f>1-F4587/M4587</x:f>
        <x:v>0</x:v>
      </x:c>
    </x:row>
    <x:row r="4588" ht="27" customHeight="1">
      <x:c r="A4588" s="66" t="str">
        <x:v>SQN453</x:v>
      </x:c>
      <x:c r="B4588" s="66" t="str">
        <x:v>钧誉厚德量化对冲11号</x:v>
      </x:c>
      <x:c r="C4588" s="72" t="n">
        <x:v>45104</x:v>
      </x:c>
      <x:c r="D4588" s="73" t="n">
        <x:v>1.2336</x:v>
      </x:c>
      <x:c r="E4588" s="73" t="n">
        <x:v>1.2336</x:v>
      </x:c>
      <x:c r="F4588" s="73" t="n">
        <x:v>1.2336</x:v>
      </x:c>
      <x:c r="G4588" s="74" t="n">
        <x:v>0.0001</x:v>
      </x:c>
      <x:c r="H4588" s="66" t="str">
        <x:v>钧誉厚德量化对冲11号净值20260911.xlsx</x:v>
      </x:c>
      <x:c r="I4588" s="73" t="str">
        <x:f>""</x:f>
      </x:c>
      <x:c r="J4588" s="74" t="str">
        <x:f>""</x:f>
      </x:c>
      <x:c r="K4588" s="73" t="str">
        <x:f>""</x:f>
      </x:c>
      <x:c r="L4588" s="74" t="str">
        <x:f>""</x:f>
      </x:c>
      <x:c r="M4588" s="73" t="n">
        <x:f>MAX(M4587,F4588)</x:f>
        <x:v>1.2336</x:v>
      </x:c>
      <x:c r="N4588" s="74" t="n">
        <x:f>1-F4588/M4588</x:f>
        <x:v>0</x:v>
      </x:c>
    </x:row>
    <x:row r="4589" ht="27" customHeight="1">
      <x:c r="A4589" s="66" t="str">
        <x:v>SQN453</x:v>
      </x:c>
      <x:c r="B4589" s="66" t="str">
        <x:v>钧誉厚德量化对冲11号</x:v>
      </x:c>
      <x:c r="C4589" s="72" t="n">
        <x:v>45105</x:v>
      </x:c>
      <x:c r="D4589" s="73" t="n">
        <x:v>1.2337</x:v>
      </x:c>
      <x:c r="E4589" s="73" t="n">
        <x:v>1.2337</x:v>
      </x:c>
      <x:c r="F4589" s="73" t="n">
        <x:v>1.2337</x:v>
      </x:c>
      <x:c r="G4589" s="74" t="n">
        <x:v>0.0001</x:v>
      </x:c>
      <x:c r="H4589" s="66" t="str">
        <x:v>钧誉厚德量化对冲11号净值20260911.xlsx</x:v>
      </x:c>
      <x:c r="I4589" s="73" t="str">
        <x:f>""</x:f>
      </x:c>
      <x:c r="J4589" s="74" t="str">
        <x:f>""</x:f>
      </x:c>
      <x:c r="K4589" s="73" t="str">
        <x:f>""</x:f>
      </x:c>
      <x:c r="L4589" s="74" t="str">
        <x:f>""</x:f>
      </x:c>
      <x:c r="M4589" s="73" t="n">
        <x:f>MAX(M4588,F4589)</x:f>
        <x:v>1.2337</x:v>
      </x:c>
      <x:c r="N4589" s="74" t="n">
        <x:f>1-F4589/M4589</x:f>
        <x:v>0</x:v>
      </x:c>
    </x:row>
    <x:row r="4590" ht="27" customHeight="1">
      <x:c r="A4590" s="66" t="str">
        <x:v>SQN453</x:v>
      </x:c>
      <x:c r="B4590" s="66" t="str">
        <x:v>钧誉厚德量化对冲11号</x:v>
      </x:c>
      <x:c r="C4590" s="72" t="n">
        <x:v>45106</x:v>
      </x:c>
      <x:c r="D4590" s="73" t="n">
        <x:v>1.2354</x:v>
      </x:c>
      <x:c r="E4590" s="73" t="n">
        <x:v>1.2354</x:v>
      </x:c>
      <x:c r="F4590" s="73" t="n">
        <x:v>1.2354</x:v>
      </x:c>
      <x:c r="G4590" s="74" t="n">
        <x:v>0.0014000000000000002</x:v>
      </x:c>
      <x:c r="H4590" s="66" t="str">
        <x:v>钧誉厚德量化对冲11号净值20260911.xlsx</x:v>
      </x:c>
      <x:c r="I4590" s="73" t="str">
        <x:f>""</x:f>
      </x:c>
      <x:c r="J4590" s="74" t="str">
        <x:f>""</x:f>
      </x:c>
      <x:c r="K4590" s="73" t="str">
        <x:f>""</x:f>
      </x:c>
      <x:c r="L4590" s="74" t="str">
        <x:f>""</x:f>
      </x:c>
      <x:c r="M4590" s="73" t="n">
        <x:f>MAX(M4589,F4590)</x:f>
        <x:v>1.2354</x:v>
      </x:c>
      <x:c r="N4590" s="74" t="n">
        <x:f>1-F4590/M4590</x:f>
        <x:v>0</x:v>
      </x:c>
    </x:row>
    <x:row r="4591" ht="27" customHeight="1">
      <x:c r="A4591" s="66" t="str">
        <x:v>SQN453</x:v>
      </x:c>
      <x:c r="B4591" s="66" t="str">
        <x:v>钧誉厚德量化对冲11号</x:v>
      </x:c>
      <x:c r="C4591" s="72" t="n">
        <x:v>45107</x:v>
      </x:c>
      <x:c r="D4591" s="73" t="n">
        <x:v>1.2355</x:v>
      </x:c>
      <x:c r="E4591" s="73" t="n">
        <x:v>1.2355</x:v>
      </x:c>
      <x:c r="F4591" s="73" t="n">
        <x:v>1.2355</x:v>
      </x:c>
      <x:c r="G4591" s="74" t="n">
        <x:v>0.0001</x:v>
      </x:c>
      <x:c r="H4591" s="66" t="str">
        <x:v>钧誉厚德量化对冲11号净值20260911.xlsx</x:v>
      </x:c>
      <x:c r="I4591" s="73" t="str">
        <x:f>""</x:f>
      </x:c>
      <x:c r="J4591" s="74" t="str">
        <x:f>""</x:f>
      </x:c>
      <x:c r="K4591" s="73" t="str">
        <x:f>""</x:f>
      </x:c>
      <x:c r="L4591" s="74" t="str">
        <x:f>""</x:f>
      </x:c>
      <x:c r="M4591" s="73" t="n">
        <x:f>MAX(M4590,F4591)</x:f>
        <x:v>1.2355</x:v>
      </x:c>
      <x:c r="N4591" s="74" t="n">
        <x:f>1-F4591/M4591</x:f>
        <x:v>0</x:v>
      </x:c>
    </x:row>
    <x:row r="4592" ht="27" customHeight="1">
      <x:c r="A4592" s="66" t="str">
        <x:v>SQN453</x:v>
      </x:c>
      <x:c r="B4592" s="66" t="str">
        <x:v>钧誉厚德量化对冲11号</x:v>
      </x:c>
      <x:c r="C4592" s="72" t="n">
        <x:v>45110</x:v>
      </x:c>
      <x:c r="D4592" s="73" t="n">
        <x:v>1.236</x:v>
      </x:c>
      <x:c r="E4592" s="73" t="n">
        <x:v>1.236</x:v>
      </x:c>
      <x:c r="F4592" s="73" t="n">
        <x:v>1.236</x:v>
      </x:c>
      <x:c r="G4592" s="74" t="n">
        <x:v>0.0004</x:v>
      </x:c>
      <x:c r="H4592" s="66" t="str">
        <x:v>钧誉厚德量化对冲11号净值20260911.xlsx</x:v>
      </x:c>
      <x:c r="I4592" s="73" t="str">
        <x:f>""</x:f>
      </x:c>
      <x:c r="J4592" s="74" t="str">
        <x:f>""</x:f>
      </x:c>
      <x:c r="K4592" s="73" t="str">
        <x:f>""</x:f>
      </x:c>
      <x:c r="L4592" s="74" t="str">
        <x:f>""</x:f>
      </x:c>
      <x:c r="M4592" s="73" t="n">
        <x:f>MAX(M4591,F4592)</x:f>
        <x:v>1.236</x:v>
      </x:c>
      <x:c r="N4592" s="74" t="n">
        <x:f>1-F4592/M4592</x:f>
        <x:v>0</x:v>
      </x:c>
    </x:row>
    <x:row r="4593" ht="27" customHeight="1">
      <x:c r="A4593" s="66" t="str">
        <x:v>SQN453</x:v>
      </x:c>
      <x:c r="B4593" s="66" t="str">
        <x:v>钧誉厚德量化对冲11号</x:v>
      </x:c>
      <x:c r="C4593" s="72" t="n">
        <x:v>45111</x:v>
      </x:c>
      <x:c r="D4593" s="73" t="n">
        <x:v>1.2362</x:v>
      </x:c>
      <x:c r="E4593" s="73" t="n">
        <x:v>1.2362</x:v>
      </x:c>
      <x:c r="F4593" s="73" t="n">
        <x:v>1.2362</x:v>
      </x:c>
      <x:c r="G4593" s="74" t="n">
        <x:v>0.0002</x:v>
      </x:c>
      <x:c r="H4593" s="66" t="str">
        <x:v>钧誉厚德量化对冲11号净值20260911.xlsx</x:v>
      </x:c>
      <x:c r="I4593" s="73" t="str">
        <x:f>""</x:f>
      </x:c>
      <x:c r="J4593" s="74" t="str">
        <x:f>""</x:f>
      </x:c>
      <x:c r="K4593" s="73" t="str">
        <x:f>""</x:f>
      </x:c>
      <x:c r="L4593" s="74" t="str">
        <x:f>""</x:f>
      </x:c>
      <x:c r="M4593" s="73" t="n">
        <x:f>MAX(M4592,F4593)</x:f>
        <x:v>1.2362</x:v>
      </x:c>
      <x:c r="N4593" s="74" t="n">
        <x:f>1-F4593/M4593</x:f>
        <x:v>0</x:v>
      </x:c>
    </x:row>
    <x:row r="4594" ht="27" customHeight="1">
      <x:c r="A4594" s="66" t="str">
        <x:v>SQN453</x:v>
      </x:c>
      <x:c r="B4594" s="66" t="str">
        <x:v>钧誉厚德量化对冲11号</x:v>
      </x:c>
      <x:c r="C4594" s="72" t="n">
        <x:v>45112</x:v>
      </x:c>
      <x:c r="D4594" s="73" t="n">
        <x:v>1.2362</x:v>
      </x:c>
      <x:c r="E4594" s="73" t="n">
        <x:v>1.2362</x:v>
      </x:c>
      <x:c r="F4594" s="73" t="n">
        <x:v>1.2362</x:v>
      </x:c>
      <x:c r="G4594" s="74" t="n">
        <x:v>0</x:v>
      </x:c>
      <x:c r="H4594" s="66" t="str">
        <x:v>钧誉厚德量化对冲11号净值20260911.xlsx</x:v>
      </x:c>
      <x:c r="I4594" s="73" t="str">
        <x:f>""</x:f>
      </x:c>
      <x:c r="J4594" s="74" t="str">
        <x:f>""</x:f>
      </x:c>
      <x:c r="K4594" s="73" t="str">
        <x:f>""</x:f>
      </x:c>
      <x:c r="L4594" s="74" t="str">
        <x:f>""</x:f>
      </x:c>
      <x:c r="M4594" s="73" t="n">
        <x:f>MAX(M4593,F4594)</x:f>
        <x:v>1.2362</x:v>
      </x:c>
      <x:c r="N4594" s="74" t="n">
        <x:f>1-F4594/M4594</x:f>
        <x:v>0</x:v>
      </x:c>
    </x:row>
    <x:row r="4595" ht="27" customHeight="1">
      <x:c r="A4595" s="66" t="str">
        <x:v>SQN453</x:v>
      </x:c>
      <x:c r="B4595" s="66" t="str">
        <x:v>钧誉厚德量化对冲11号</x:v>
      </x:c>
      <x:c r="C4595" s="72" t="n">
        <x:v>45113</x:v>
      </x:c>
      <x:c r="D4595" s="73" t="n">
        <x:v>1.2365</x:v>
      </x:c>
      <x:c r="E4595" s="73" t="n">
        <x:v>1.2365</x:v>
      </x:c>
      <x:c r="F4595" s="73" t="n">
        <x:v>1.2365</x:v>
      </x:c>
      <x:c r="G4595" s="74" t="n">
        <x:v>0.0002</x:v>
      </x:c>
      <x:c r="H4595" s="66" t="str">
        <x:v>钧誉厚德量化对冲11号净值20260911.xlsx</x:v>
      </x:c>
      <x:c r="I4595" s="73" t="str">
        <x:f>""</x:f>
      </x:c>
      <x:c r="J4595" s="74" t="str">
        <x:f>""</x:f>
      </x:c>
      <x:c r="K4595" s="73" t="str">
        <x:f>""</x:f>
      </x:c>
      <x:c r="L4595" s="74" t="str">
        <x:f>""</x:f>
      </x:c>
      <x:c r="M4595" s="73" t="n">
        <x:f>MAX(M4594,F4595)</x:f>
        <x:v>1.2365</x:v>
      </x:c>
      <x:c r="N4595" s="74" t="n">
        <x:f>1-F4595/M4595</x:f>
        <x:v>0</x:v>
      </x:c>
    </x:row>
    <x:row r="4596" ht="27" customHeight="1">
      <x:c r="A4596" s="66" t="str">
        <x:v>SQN453</x:v>
      </x:c>
      <x:c r="B4596" s="66" t="str">
        <x:v>钧誉厚德量化对冲11号</x:v>
      </x:c>
      <x:c r="C4596" s="72" t="n">
        <x:v>45114</x:v>
      </x:c>
      <x:c r="D4596" s="73" t="n">
        <x:v>1.2383</x:v>
      </x:c>
      <x:c r="E4596" s="73" t="n">
        <x:v>1.2383</x:v>
      </x:c>
      <x:c r="F4596" s="73" t="n">
        <x:v>1.2383</x:v>
      </x:c>
      <x:c r="G4596" s="74" t="n">
        <x:v>0.0015</x:v>
      </x:c>
      <x:c r="H4596" s="66" t="str">
        <x:v>钧誉厚德量化对冲11号净值20260911.xlsx</x:v>
      </x:c>
      <x:c r="I4596" s="73" t="str">
        <x:f>""</x:f>
      </x:c>
      <x:c r="J4596" s="74" t="str">
        <x:f>""</x:f>
      </x:c>
      <x:c r="K4596" s="73" t="str">
        <x:f>""</x:f>
      </x:c>
      <x:c r="L4596" s="74" t="str">
        <x:f>""</x:f>
      </x:c>
      <x:c r="M4596" s="73" t="n">
        <x:f>MAX(M4595,F4596)</x:f>
        <x:v>1.2383</x:v>
      </x:c>
      <x:c r="N4596" s="74" t="n">
        <x:f>1-F4596/M4596</x:f>
        <x:v>0</x:v>
      </x:c>
    </x:row>
    <x:row r="4597" ht="27" customHeight="1">
      <x:c r="A4597" s="66" t="str">
        <x:v>SQN453</x:v>
      </x:c>
      <x:c r="B4597" s="66" t="str">
        <x:v>钧誉厚德量化对冲11号</x:v>
      </x:c>
      <x:c r="C4597" s="72" t="n">
        <x:v>45117</x:v>
      </x:c>
      <x:c r="D4597" s="73" t="n">
        <x:v>1.2385</x:v>
      </x:c>
      <x:c r="E4597" s="73" t="n">
        <x:v>1.2385</x:v>
      </x:c>
      <x:c r="F4597" s="73" t="n">
        <x:v>1.2385</x:v>
      </x:c>
      <x:c r="G4597" s="74" t="n">
        <x:v>0.0002</x:v>
      </x:c>
      <x:c r="H4597" s="66" t="str">
        <x:v>钧誉厚德量化对冲11号净值20260911.xlsx</x:v>
      </x:c>
      <x:c r="I4597" s="73" t="str">
        <x:f>""</x:f>
      </x:c>
      <x:c r="J4597" s="74" t="str">
        <x:f>""</x:f>
      </x:c>
      <x:c r="K4597" s="73" t="str">
        <x:f>""</x:f>
      </x:c>
      <x:c r="L4597" s="74" t="str">
        <x:f>""</x:f>
      </x:c>
      <x:c r="M4597" s="73" t="n">
        <x:f>MAX(M4596,F4597)</x:f>
        <x:v>1.2385</x:v>
      </x:c>
      <x:c r="N4597" s="74" t="n">
        <x:f>1-F4597/M4597</x:f>
        <x:v>0</x:v>
      </x:c>
    </x:row>
    <x:row r="4598" ht="27" customHeight="1">
      <x:c r="A4598" s="66" t="str">
        <x:v>SQN453</x:v>
      </x:c>
      <x:c r="B4598" s="66" t="str">
        <x:v>钧誉厚德量化对冲11号</x:v>
      </x:c>
      <x:c r="C4598" s="72" t="n">
        <x:v>45118</x:v>
      </x:c>
      <x:c r="D4598" s="73" t="n">
        <x:v>1.2385</x:v>
      </x:c>
      <x:c r="E4598" s="73" t="n">
        <x:v>1.2385</x:v>
      </x:c>
      <x:c r="F4598" s="73" t="n">
        <x:v>1.2385</x:v>
      </x:c>
      <x:c r="G4598" s="74" t="n">
        <x:v>0</x:v>
      </x:c>
      <x:c r="H4598" s="66" t="str">
        <x:v>钧誉厚德量化对冲11号净值20260911.xlsx</x:v>
      </x:c>
      <x:c r="I4598" s="73" t="str">
        <x:f>""</x:f>
      </x:c>
      <x:c r="J4598" s="74" t="str">
        <x:f>""</x:f>
      </x:c>
      <x:c r="K4598" s="73" t="str">
        <x:f>""</x:f>
      </x:c>
      <x:c r="L4598" s="74" t="str">
        <x:f>""</x:f>
      </x:c>
      <x:c r="M4598" s="73" t="n">
        <x:f>MAX(M4597,F4598)</x:f>
        <x:v>1.2385</x:v>
      </x:c>
      <x:c r="N4598" s="74" t="n">
        <x:f>1-F4598/M4598</x:f>
        <x:v>0</x:v>
      </x:c>
    </x:row>
    <x:row r="4599" ht="27" customHeight="1">
      <x:c r="A4599" s="66" t="str">
        <x:v>SQN453</x:v>
      </x:c>
      <x:c r="B4599" s="66" t="str">
        <x:v>钧誉厚德量化对冲11号</x:v>
      </x:c>
      <x:c r="C4599" s="72" t="n">
        <x:v>45119</x:v>
      </x:c>
      <x:c r="D4599" s="73" t="n">
        <x:v>1.2386</x:v>
      </x:c>
      <x:c r="E4599" s="73" t="n">
        <x:v>1.2386</x:v>
      </x:c>
      <x:c r="F4599" s="73" t="n">
        <x:v>1.2386</x:v>
      </x:c>
      <x:c r="G4599" s="74" t="n">
        <x:v>0.0001</x:v>
      </x:c>
      <x:c r="H4599" s="66" t="str">
        <x:v>钧誉厚德量化对冲11号净值20260911.xlsx</x:v>
      </x:c>
      <x:c r="I4599" s="73" t="str">
        <x:f>""</x:f>
      </x:c>
      <x:c r="J4599" s="74" t="str">
        <x:f>""</x:f>
      </x:c>
      <x:c r="K4599" s="73" t="str">
        <x:f>""</x:f>
      </x:c>
      <x:c r="L4599" s="74" t="str">
        <x:f>""</x:f>
      </x:c>
      <x:c r="M4599" s="73" t="n">
        <x:f>MAX(M4598,F4599)</x:f>
        <x:v>1.2386</x:v>
      </x:c>
      <x:c r="N4599" s="74" t="n">
        <x:f>1-F4599/M4599</x:f>
        <x:v>0</x:v>
      </x:c>
    </x:row>
    <x:row r="4600" ht="27" customHeight="1">
      <x:c r="A4600" s="66" t="str">
        <x:v>SQN453</x:v>
      </x:c>
      <x:c r="B4600" s="66" t="str">
        <x:v>钧誉厚德量化对冲11号</x:v>
      </x:c>
      <x:c r="C4600" s="72" t="n">
        <x:v>45120</x:v>
      </x:c>
      <x:c r="D4600" s="73" t="n">
        <x:v>1.239</x:v>
      </x:c>
      <x:c r="E4600" s="73" t="n">
        <x:v>1.239</x:v>
      </x:c>
      <x:c r="F4600" s="73" t="n">
        <x:v>1.239</x:v>
      </x:c>
      <x:c r="G4600" s="74" t="n">
        <x:v>0.0003</x:v>
      </x:c>
      <x:c r="H4600" s="66" t="str">
        <x:v>钧誉厚德量化对冲11号净值20260911.xlsx</x:v>
      </x:c>
      <x:c r="I4600" s="73" t="str">
        <x:f>""</x:f>
      </x:c>
      <x:c r="J4600" s="74" t="str">
        <x:f>""</x:f>
      </x:c>
      <x:c r="K4600" s="73" t="str">
        <x:f>""</x:f>
      </x:c>
      <x:c r="L4600" s="74" t="str">
        <x:f>""</x:f>
      </x:c>
      <x:c r="M4600" s="73" t="n">
        <x:f>MAX(M4599,F4600)</x:f>
        <x:v>1.239</x:v>
      </x:c>
      <x:c r="N4600" s="74" t="n">
        <x:f>1-F4600/M4600</x:f>
        <x:v>0</x:v>
      </x:c>
    </x:row>
    <x:row r="4601" ht="27" customHeight="1">
      <x:c r="A4601" s="66" t="str">
        <x:v>SQN453</x:v>
      </x:c>
      <x:c r="B4601" s="66" t="str">
        <x:v>钧誉厚德量化对冲11号</x:v>
      </x:c>
      <x:c r="C4601" s="72" t="n">
        <x:v>45121</x:v>
      </x:c>
      <x:c r="D4601" s="73" t="n">
        <x:v>1.2422</x:v>
      </x:c>
      <x:c r="E4601" s="73" t="n">
        <x:v>1.2422</x:v>
      </x:c>
      <x:c r="F4601" s="73" t="n">
        <x:v>1.2422</x:v>
      </x:c>
      <x:c r="G4601" s="74" t="n">
        <x:v>0.0026</x:v>
      </x:c>
      <x:c r="H4601" s="66" t="str">
        <x:v>钧誉厚德量化对冲11号净值20260911.xlsx</x:v>
      </x:c>
      <x:c r="I4601" s="73" t="str">
        <x:f>""</x:f>
      </x:c>
      <x:c r="J4601" s="74" t="str">
        <x:f>""</x:f>
      </x:c>
      <x:c r="K4601" s="73" t="str">
        <x:f>""</x:f>
      </x:c>
      <x:c r="L4601" s="74" t="str">
        <x:f>""</x:f>
      </x:c>
      <x:c r="M4601" s="73" t="n">
        <x:f>MAX(M4600,F4601)</x:f>
        <x:v>1.2422</x:v>
      </x:c>
      <x:c r="N4601" s="74" t="n">
        <x:f>1-F4601/M4601</x:f>
        <x:v>0</x:v>
      </x:c>
    </x:row>
    <x:row r="4602" ht="27" customHeight="1">
      <x:c r="A4602" s="66" t="str">
        <x:v>SQN453</x:v>
      </x:c>
      <x:c r="B4602" s="66" t="str">
        <x:v>钧誉厚德量化对冲11号</x:v>
      </x:c>
      <x:c r="C4602" s="72" t="n">
        <x:v>45124</x:v>
      </x:c>
      <x:c r="D4602" s="73" t="n">
        <x:v>1.2422</x:v>
      </x:c>
      <x:c r="E4602" s="73" t="n">
        <x:v>1.2422</x:v>
      </x:c>
      <x:c r="F4602" s="73" t="n">
        <x:v>1.2422</x:v>
      </x:c>
      <x:c r="G4602" s="74" t="n">
        <x:v>0</x:v>
      </x:c>
      <x:c r="H4602" s="66" t="str">
        <x:v>钧誉厚德量化对冲11号净值20260911.xlsx</x:v>
      </x:c>
      <x:c r="I4602" s="73" t="str">
        <x:f>""</x:f>
      </x:c>
      <x:c r="J4602" s="74" t="str">
        <x:f>""</x:f>
      </x:c>
      <x:c r="K4602" s="73" t="str">
        <x:f>""</x:f>
      </x:c>
      <x:c r="L4602" s="74" t="str">
        <x:f>""</x:f>
      </x:c>
      <x:c r="M4602" s="73" t="n">
        <x:f>MAX(M4601,F4602)</x:f>
        <x:v>1.2422</x:v>
      </x:c>
      <x:c r="N4602" s="74" t="n">
        <x:f>1-F4602/M4602</x:f>
        <x:v>0</x:v>
      </x:c>
    </x:row>
    <x:row r="4603" ht="27" customHeight="1">
      <x:c r="A4603" s="66" t="str">
        <x:v>SQN453</x:v>
      </x:c>
      <x:c r="B4603" s="66" t="str">
        <x:v>钧誉厚德量化对冲11号</x:v>
      </x:c>
      <x:c r="C4603" s="72" t="n">
        <x:v>45125</x:v>
      </x:c>
      <x:c r="D4603" s="73" t="n">
        <x:v>1.2421</x:v>
      </x:c>
      <x:c r="E4603" s="73" t="n">
        <x:v>1.2421</x:v>
      </x:c>
      <x:c r="F4603" s="73" t="n">
        <x:v>1.2421</x:v>
      </x:c>
      <x:c r="G4603" s="74" t="n">
        <x:v>-0.0001</x:v>
      </x:c>
      <x:c r="H4603" s="66" t="str">
        <x:v>钧誉厚德量化对冲11号净值20260911.xlsx</x:v>
      </x:c>
      <x:c r="I4603" s="73" t="str">
        <x:f>""</x:f>
      </x:c>
      <x:c r="J4603" s="74" t="str">
        <x:f>""</x:f>
      </x:c>
      <x:c r="K4603" s="73" t="str">
        <x:f>""</x:f>
      </x:c>
      <x:c r="L4603" s="74" t="str">
        <x:f>""</x:f>
      </x:c>
      <x:c r="M4603" s="73" t="n">
        <x:f>MAX(M4602,F4603)</x:f>
        <x:v>1.2422</x:v>
      </x:c>
      <x:c r="N4603" s="74" t="n">
        <x:f>1-F4603/M4603</x:f>
        <x:v>0.00008050233456768918</x:v>
      </x:c>
    </x:row>
    <x:row r="4604" ht="27" customHeight="1">
      <x:c r="A4604" s="66" t="str">
        <x:v>SQN453</x:v>
      </x:c>
      <x:c r="B4604" s="66" t="str">
        <x:v>钧誉厚德量化对冲11号</x:v>
      </x:c>
      <x:c r="C4604" s="72" t="n">
        <x:v>45126</x:v>
      </x:c>
      <x:c r="D4604" s="73" t="n">
        <x:v>1.2421</x:v>
      </x:c>
      <x:c r="E4604" s="73" t="n">
        <x:v>1.2421</x:v>
      </x:c>
      <x:c r="F4604" s="73" t="n">
        <x:v>1.2421</x:v>
      </x:c>
      <x:c r="G4604" s="74" t="n">
        <x:v>0</x:v>
      </x:c>
      <x:c r="H4604" s="66" t="str">
        <x:v>钧誉厚德量化对冲11号净值20260911.xlsx</x:v>
      </x:c>
      <x:c r="I4604" s="73" t="str">
        <x:f>""</x:f>
      </x:c>
      <x:c r="J4604" s="74" t="str">
        <x:f>""</x:f>
      </x:c>
      <x:c r="K4604" s="73" t="str">
        <x:f>""</x:f>
      </x:c>
      <x:c r="L4604" s="74" t="str">
        <x:f>""</x:f>
      </x:c>
      <x:c r="M4604" s="73" t="n">
        <x:f>MAX(M4603,F4604)</x:f>
        <x:v>1.2422</x:v>
      </x:c>
      <x:c r="N4604" s="74" t="n">
        <x:f>1-F4604/M4604</x:f>
        <x:v>0.00008050233456768918</x:v>
      </x:c>
    </x:row>
    <x:row r="4605" ht="27" customHeight="1">
      <x:c r="A4605" s="66" t="str">
        <x:v>SQN453</x:v>
      </x:c>
      <x:c r="B4605" s="66" t="str">
        <x:v>钧誉厚德量化对冲11号</x:v>
      </x:c>
      <x:c r="C4605" s="72" t="n">
        <x:v>45127</x:v>
      </x:c>
      <x:c r="D4605" s="73" t="n">
        <x:v>1.2421</x:v>
      </x:c>
      <x:c r="E4605" s="73" t="n">
        <x:v>1.2421</x:v>
      </x:c>
      <x:c r="F4605" s="73" t="n">
        <x:v>1.2421</x:v>
      </x:c>
      <x:c r="G4605" s="74" t="n">
        <x:v>0</x:v>
      </x:c>
      <x:c r="H4605" s="66" t="str">
        <x:v>钧誉厚德量化对冲11号净值20260911.xlsx</x:v>
      </x:c>
      <x:c r="I4605" s="73" t="str">
        <x:f>""</x:f>
      </x:c>
      <x:c r="J4605" s="74" t="str">
        <x:f>""</x:f>
      </x:c>
      <x:c r="K4605" s="73" t="str">
        <x:f>""</x:f>
      </x:c>
      <x:c r="L4605" s="74" t="str">
        <x:f>""</x:f>
      </x:c>
      <x:c r="M4605" s="73" t="n">
        <x:f>MAX(M4604,F4605)</x:f>
        <x:v>1.2422</x:v>
      </x:c>
      <x:c r="N4605" s="74" t="n">
        <x:f>1-F4605/M4605</x:f>
        <x:v>0.00008050233456768918</x:v>
      </x:c>
    </x:row>
    <x:row r="4606" ht="27" customHeight="1">
      <x:c r="A4606" s="66" t="str">
        <x:v>SQN453</x:v>
      </x:c>
      <x:c r="B4606" s="66" t="str">
        <x:v>钧誉厚德量化对冲11号</x:v>
      </x:c>
      <x:c r="C4606" s="72" t="n">
        <x:v>45128</x:v>
      </x:c>
      <x:c r="D4606" s="73" t="n">
        <x:v>1.2427</x:v>
      </x:c>
      <x:c r="E4606" s="73" t="n">
        <x:v>1.2427</x:v>
      </x:c>
      <x:c r="F4606" s="73" t="n">
        <x:v>1.2427</x:v>
      </x:c>
      <x:c r="G4606" s="74" t="n">
        <x:v>0.0005</x:v>
      </x:c>
      <x:c r="H4606" s="66" t="str">
        <x:v>钧誉厚德量化对冲11号净值20260911.xlsx</x:v>
      </x:c>
      <x:c r="I4606" s="73" t="str">
        <x:f>""</x:f>
      </x:c>
      <x:c r="J4606" s="74" t="str">
        <x:f>""</x:f>
      </x:c>
      <x:c r="K4606" s="73" t="str">
        <x:f>""</x:f>
      </x:c>
      <x:c r="L4606" s="74" t="str">
        <x:f>""</x:f>
      </x:c>
      <x:c r="M4606" s="73" t="n">
        <x:f>MAX(M4605,F4606)</x:f>
        <x:v>1.2427</x:v>
      </x:c>
      <x:c r="N4606" s="74" t="n">
        <x:f>1-F4606/M4606</x:f>
        <x:v>0</x:v>
      </x:c>
    </x:row>
    <x:row r="4607" ht="27" customHeight="1">
      <x:c r="A4607" s="66" t="str">
        <x:v>SQN453</x:v>
      </x:c>
      <x:c r="B4607" s="66" t="str">
        <x:v>钧誉厚德量化对冲11号</x:v>
      </x:c>
      <x:c r="C4607" s="72" t="n">
        <x:v>45131</x:v>
      </x:c>
      <x:c r="D4607" s="73" t="n">
        <x:v>1.2429</x:v>
      </x:c>
      <x:c r="E4607" s="73" t="n">
        <x:v>1.2429</x:v>
      </x:c>
      <x:c r="F4607" s="73" t="n">
        <x:v>1.2429</x:v>
      </x:c>
      <x:c r="G4607" s="74" t="n">
        <x:v>0.0002</x:v>
      </x:c>
      <x:c r="H4607" s="66" t="str">
        <x:v>钧誉厚德量化对冲11号净值20260911.xlsx</x:v>
      </x:c>
      <x:c r="I4607" s="73" t="str">
        <x:f>""</x:f>
      </x:c>
      <x:c r="J4607" s="74" t="str">
        <x:f>""</x:f>
      </x:c>
      <x:c r="K4607" s="73" t="str">
        <x:f>""</x:f>
      </x:c>
      <x:c r="L4607" s="74" t="str">
        <x:f>""</x:f>
      </x:c>
      <x:c r="M4607" s="73" t="n">
        <x:f>MAX(M4606,F4607)</x:f>
        <x:v>1.2429</x:v>
      </x:c>
      <x:c r="N4607" s="74" t="n">
        <x:f>1-F4607/M4607</x:f>
        <x:v>0</x:v>
      </x:c>
    </x:row>
    <x:row r="4608" ht="27" customHeight="1">
      <x:c r="A4608" s="66" t="str">
        <x:v>SQN453</x:v>
      </x:c>
      <x:c r="B4608" s="66" t="str">
        <x:v>钧誉厚德量化对冲11号</x:v>
      </x:c>
      <x:c r="C4608" s="72" t="n">
        <x:v>45132</x:v>
      </x:c>
      <x:c r="D4608" s="73" t="n">
        <x:v>1.2434</x:v>
      </x:c>
      <x:c r="E4608" s="73" t="n">
        <x:v>1.2434</x:v>
      </x:c>
      <x:c r="F4608" s="73" t="n">
        <x:v>1.2434</x:v>
      </x:c>
      <x:c r="G4608" s="74" t="n">
        <x:v>0.0004</x:v>
      </x:c>
      <x:c r="H4608" s="66" t="str">
        <x:v>钧誉厚德量化对冲11号净值20260911.xlsx</x:v>
      </x:c>
      <x:c r="I4608" s="73" t="str">
        <x:f>""</x:f>
      </x:c>
      <x:c r="J4608" s="74" t="str">
        <x:f>""</x:f>
      </x:c>
      <x:c r="K4608" s="73" t="str">
        <x:f>""</x:f>
      </x:c>
      <x:c r="L4608" s="74" t="str">
        <x:f>""</x:f>
      </x:c>
      <x:c r="M4608" s="73" t="n">
        <x:f>MAX(M4607,F4608)</x:f>
        <x:v>1.2434</x:v>
      </x:c>
      <x:c r="N4608" s="74" t="n">
        <x:f>1-F4608/M4608</x:f>
        <x:v>0</x:v>
      </x:c>
    </x:row>
    <x:row r="4609" ht="27" customHeight="1">
      <x:c r="A4609" s="66" t="str">
        <x:v>SQN453</x:v>
      </x:c>
      <x:c r="B4609" s="66" t="str">
        <x:v>钧誉厚德量化对冲11号</x:v>
      </x:c>
      <x:c r="C4609" s="72" t="n">
        <x:v>45133</x:v>
      </x:c>
      <x:c r="D4609" s="73" t="n">
        <x:v>1.2436</x:v>
      </x:c>
      <x:c r="E4609" s="73" t="n">
        <x:v>1.2436</x:v>
      </x:c>
      <x:c r="F4609" s="73" t="n">
        <x:v>1.2436</x:v>
      </x:c>
      <x:c r="G4609" s="74" t="n">
        <x:v>0.0002</x:v>
      </x:c>
      <x:c r="H4609" s="66" t="str">
        <x:v>钧誉厚德量化对冲11号净值20260911.xlsx</x:v>
      </x:c>
      <x:c r="I4609" s="73" t="str">
        <x:f>""</x:f>
      </x:c>
      <x:c r="J4609" s="74" t="str">
        <x:f>""</x:f>
      </x:c>
      <x:c r="K4609" s="73" t="str">
        <x:f>""</x:f>
      </x:c>
      <x:c r="L4609" s="74" t="str">
        <x:f>""</x:f>
      </x:c>
      <x:c r="M4609" s="73" t="n">
        <x:f>MAX(M4608,F4609)</x:f>
        <x:v>1.2436</x:v>
      </x:c>
      <x:c r="N4609" s="74" t="n">
        <x:f>1-F4609/M4609</x:f>
        <x:v>0</x:v>
      </x:c>
    </x:row>
    <x:row r="4610" ht="27" customHeight="1">
      <x:c r="A4610" s="66" t="str">
        <x:v>SQN453</x:v>
      </x:c>
      <x:c r="B4610" s="66" t="str">
        <x:v>钧誉厚德量化对冲11号</x:v>
      </x:c>
      <x:c r="C4610" s="72" t="n">
        <x:v>45134</x:v>
      </x:c>
      <x:c r="D4610" s="73" t="n">
        <x:v>1.2441</x:v>
      </x:c>
      <x:c r="E4610" s="73" t="n">
        <x:v>1.2441</x:v>
      </x:c>
      <x:c r="F4610" s="73" t="n">
        <x:v>1.2441</x:v>
      </x:c>
      <x:c r="G4610" s="74" t="n">
        <x:v>0.0004</x:v>
      </x:c>
      <x:c r="H4610" s="66" t="str">
        <x:v>钧誉厚德量化对冲11号净值20260911.xlsx</x:v>
      </x:c>
      <x:c r="I4610" s="73" t="str">
        <x:f>""</x:f>
      </x:c>
      <x:c r="J4610" s="74" t="str">
        <x:f>""</x:f>
      </x:c>
      <x:c r="K4610" s="73" t="str">
        <x:f>""</x:f>
      </x:c>
      <x:c r="L4610" s="74" t="str">
        <x:f>""</x:f>
      </x:c>
      <x:c r="M4610" s="73" t="n">
        <x:f>MAX(M4609,F4610)</x:f>
        <x:v>1.2441</x:v>
      </x:c>
      <x:c r="N4610" s="74" t="n">
        <x:f>1-F4610/M4610</x:f>
        <x:v>0</x:v>
      </x:c>
    </x:row>
    <x:row r="4611" ht="27" customHeight="1">
      <x:c r="A4611" s="66" t="str">
        <x:v>SQN453</x:v>
      </x:c>
      <x:c r="B4611" s="66" t="str">
        <x:v>钧誉厚德量化对冲11号</x:v>
      </x:c>
      <x:c r="C4611" s="72" t="n">
        <x:v>45135</x:v>
      </x:c>
      <x:c r="D4611" s="73" t="n">
        <x:v>1.2448</x:v>
      </x:c>
      <x:c r="E4611" s="73" t="n">
        <x:v>1.2448</x:v>
      </x:c>
      <x:c r="F4611" s="73" t="n">
        <x:v>1.2448</x:v>
      </x:c>
      <x:c r="G4611" s="74" t="n">
        <x:v>0.0006</x:v>
      </x:c>
      <x:c r="H4611" s="66" t="str">
        <x:v>钧誉厚德量化对冲11号净值20260911.xlsx</x:v>
      </x:c>
      <x:c r="I4611" s="73" t="str">
        <x:f>""</x:f>
      </x:c>
      <x:c r="J4611" s="74" t="str">
        <x:f>""</x:f>
      </x:c>
      <x:c r="K4611" s="73" t="str">
        <x:f>""</x:f>
      </x:c>
      <x:c r="L4611" s="74" t="str">
        <x:f>""</x:f>
      </x:c>
      <x:c r="M4611" s="73" t="n">
        <x:f>MAX(M4610,F4611)</x:f>
        <x:v>1.2448</x:v>
      </x:c>
      <x:c r="N4611" s="74" t="n">
        <x:f>1-F4611/M4611</x:f>
        <x:v>0</x:v>
      </x:c>
    </x:row>
    <x:row r="4612" ht="27" customHeight="1">
      <x:c r="A4612" s="66" t="str">
        <x:v>SQN453</x:v>
      </x:c>
      <x:c r="B4612" s="66" t="str">
        <x:v>钧誉厚德量化对冲11号</x:v>
      </x:c>
      <x:c r="C4612" s="72" t="n">
        <x:v>45138</x:v>
      </x:c>
      <x:c r="D4612" s="73" t="n">
        <x:v>1.245</x:v>
      </x:c>
      <x:c r="E4612" s="73" t="n">
        <x:v>1.245</x:v>
      </x:c>
      <x:c r="F4612" s="73" t="n">
        <x:v>1.245</x:v>
      </x:c>
      <x:c r="G4612" s="74" t="n">
        <x:v>0.0002</x:v>
      </x:c>
      <x:c r="H4612" s="66" t="str">
        <x:v>钧誉厚德量化对冲11号净值20260911.xlsx</x:v>
      </x:c>
      <x:c r="I4612" s="73" t="str">
        <x:f>""</x:f>
      </x:c>
      <x:c r="J4612" s="74" t="str">
        <x:f>""</x:f>
      </x:c>
      <x:c r="K4612" s="73" t="str">
        <x:f>""</x:f>
      </x:c>
      <x:c r="L4612" s="74" t="str">
        <x:f>""</x:f>
      </x:c>
      <x:c r="M4612" s="73" t="n">
        <x:f>MAX(M4611,F4612)</x:f>
        <x:v>1.245</x:v>
      </x:c>
      <x:c r="N4612" s="74" t="n">
        <x:f>1-F4612/M4612</x:f>
        <x:v>0</x:v>
      </x:c>
    </x:row>
    <x:row r="4613" ht="27" customHeight="1">
      <x:c r="A4613" s="66" t="str">
        <x:v>SQN453</x:v>
      </x:c>
      <x:c r="B4613" s="66" t="str">
        <x:v>钧誉厚德量化对冲11号</x:v>
      </x:c>
      <x:c r="C4613" s="72" t="n">
        <x:v>45139</x:v>
      </x:c>
      <x:c r="D4613" s="73" t="n">
        <x:v>1.2441</x:v>
      </x:c>
      <x:c r="E4613" s="73" t="n">
        <x:v>1.2441</x:v>
      </x:c>
      <x:c r="F4613" s="73" t="n">
        <x:v>1.2441</x:v>
      </x:c>
      <x:c r="G4613" s="74" t="n">
        <x:v>-0.0007000000000000001</x:v>
      </x:c>
      <x:c r="H4613" s="66" t="str">
        <x:v>钧誉厚德量化对冲11号净值20260911.xlsx</x:v>
      </x:c>
      <x:c r="I4613" s="73" t="str">
        <x:f>""</x:f>
      </x:c>
      <x:c r="J4613" s="74" t="str">
        <x:f>""</x:f>
      </x:c>
      <x:c r="K4613" s="73" t="str">
        <x:f>""</x:f>
      </x:c>
      <x:c r="L4613" s="74" t="str">
        <x:f>""</x:f>
      </x:c>
      <x:c r="M4613" s="73" t="n">
        <x:f>MAX(M4612,F4613)</x:f>
        <x:v>1.245</x:v>
      </x:c>
      <x:c r="N4613" s="74" t="n">
        <x:f>1-F4613/M4613</x:f>
        <x:v>0.0007228915662651492</x:v>
      </x:c>
    </x:row>
    <x:row r="4614" ht="27" customHeight="1">
      <x:c r="A4614" s="66" t="str">
        <x:v>SQN453</x:v>
      </x:c>
      <x:c r="B4614" s="66" t="str">
        <x:v>钧誉厚德量化对冲11号</x:v>
      </x:c>
      <x:c r="C4614" s="72" t="n">
        <x:v>45140</x:v>
      </x:c>
      <x:c r="D4614" s="73" t="n">
        <x:v>1.2439</x:v>
      </x:c>
      <x:c r="E4614" s="73" t="n">
        <x:v>1.2439</x:v>
      </x:c>
      <x:c r="F4614" s="73" t="n">
        <x:v>1.2439</x:v>
      </x:c>
      <x:c r="G4614" s="74" t="n">
        <x:v>-0.0002</x:v>
      </x:c>
      <x:c r="H4614" s="66" t="str">
        <x:v>钧誉厚德量化对冲11号净值20260911.xlsx</x:v>
      </x:c>
      <x:c r="I4614" s="73" t="str">
        <x:f>""</x:f>
      </x:c>
      <x:c r="J4614" s="74" t="str">
        <x:f>""</x:f>
      </x:c>
      <x:c r="K4614" s="73" t="str">
        <x:f>""</x:f>
      </x:c>
      <x:c r="L4614" s="74" t="str">
        <x:f>""</x:f>
      </x:c>
      <x:c r="M4614" s="73" t="n">
        <x:f>MAX(M4613,F4614)</x:f>
        <x:v>1.245</x:v>
      </x:c>
      <x:c r="N4614" s="74" t="n">
        <x:f>1-F4614/M4614</x:f>
        <x:v>0.0008835341365462934</x:v>
      </x:c>
    </x:row>
    <x:row r="4615" ht="27" customHeight="1">
      <x:c r="A4615" s="66" t="str">
        <x:v>SQN453</x:v>
      </x:c>
      <x:c r="B4615" s="66" t="str">
        <x:v>钧誉厚德量化对冲11号</x:v>
      </x:c>
      <x:c r="C4615" s="72" t="n">
        <x:v>45141</x:v>
      </x:c>
      <x:c r="D4615" s="73" t="n">
        <x:v>1.2447</x:v>
      </x:c>
      <x:c r="E4615" s="73" t="n">
        <x:v>1.2447</x:v>
      </x:c>
      <x:c r="F4615" s="73" t="n">
        <x:v>1.2447</x:v>
      </x:c>
      <x:c r="G4615" s="74" t="n">
        <x:v>0.0006</x:v>
      </x:c>
      <x:c r="H4615" s="66" t="str">
        <x:v>钧誉厚德量化对冲11号净值20260911.xlsx</x:v>
      </x:c>
      <x:c r="I4615" s="73" t="str">
        <x:f>""</x:f>
      </x:c>
      <x:c r="J4615" s="74" t="str">
        <x:f>""</x:f>
      </x:c>
      <x:c r="K4615" s="73" t="str">
        <x:f>""</x:f>
      </x:c>
      <x:c r="L4615" s="74" t="str">
        <x:f>""</x:f>
      </x:c>
      <x:c r="M4615" s="73" t="n">
        <x:f>MAX(M4614,F4615)</x:f>
        <x:v>1.245</x:v>
      </x:c>
      <x:c r="N4615" s="74" t="n">
        <x:f>1-F4615/M4615</x:f>
        <x:v>0.0002409638554218274</x:v>
      </x:c>
    </x:row>
    <x:row r="4616" ht="27" customHeight="1">
      <x:c r="A4616" s="66" t="str">
        <x:v>SQN453</x:v>
      </x:c>
      <x:c r="B4616" s="66" t="str">
        <x:v>钧誉厚德量化对冲11号</x:v>
      </x:c>
      <x:c r="C4616" s="72" t="n">
        <x:v>45142</x:v>
      </x:c>
      <x:c r="D4616" s="73" t="n">
        <x:v>1.2442</x:v>
      </x:c>
      <x:c r="E4616" s="73" t="n">
        <x:v>1.2442</x:v>
      </x:c>
      <x:c r="F4616" s="73" t="n">
        <x:v>1.2442</x:v>
      </x:c>
      <x:c r="G4616" s="74" t="n">
        <x:v>-0.0004</x:v>
      </x:c>
      <x:c r="H4616" s="66" t="str">
        <x:v>钧誉厚德量化对冲11号净值20260911.xlsx</x:v>
      </x:c>
      <x:c r="I4616" s="73" t="str">
        <x:f>""</x:f>
      </x:c>
      <x:c r="J4616" s="74" t="str">
        <x:f>""</x:f>
      </x:c>
      <x:c r="K4616" s="73" t="str">
        <x:f>""</x:f>
      </x:c>
      <x:c r="L4616" s="74" t="str">
        <x:f>""</x:f>
      </x:c>
      <x:c r="M4616" s="73" t="n">
        <x:f>MAX(M4615,F4616)</x:f>
        <x:v>1.245</x:v>
      </x:c>
      <x:c r="N4616" s="74" t="n">
        <x:f>1-F4616/M4616</x:f>
        <x:v>0.000642570281124577</x:v>
      </x:c>
    </x:row>
    <x:row r="4617" ht="27" customHeight="1">
      <x:c r="A4617" s="66" t="str">
        <x:v>SQN453</x:v>
      </x:c>
      <x:c r="B4617" s="66" t="str">
        <x:v>钧誉厚德量化对冲11号</x:v>
      </x:c>
      <x:c r="C4617" s="72" t="n">
        <x:v>45145</x:v>
      </x:c>
      <x:c r="D4617" s="73" t="n">
        <x:v>1.2444</x:v>
      </x:c>
      <x:c r="E4617" s="73" t="n">
        <x:v>1.2444</x:v>
      </x:c>
      <x:c r="F4617" s="73" t="n">
        <x:v>1.2444</x:v>
      </x:c>
      <x:c r="G4617" s="74" t="n">
        <x:v>0.0002</x:v>
      </x:c>
      <x:c r="H4617" s="66" t="str">
        <x:v>钧誉厚德量化对冲11号净值20260911.xlsx</x:v>
      </x:c>
      <x:c r="I4617" s="73" t="str">
        <x:f>""</x:f>
      </x:c>
      <x:c r="J4617" s="74" t="str">
        <x:f>""</x:f>
      </x:c>
      <x:c r="K4617" s="73" t="str">
        <x:f>""</x:f>
      </x:c>
      <x:c r="L4617" s="74" t="str">
        <x:f>""</x:f>
      </x:c>
      <x:c r="M4617" s="73" t="n">
        <x:f>MAX(M4616,F4617)</x:f>
        <x:v>1.245</x:v>
      </x:c>
      <x:c r="N4617" s="74" t="n">
        <x:f>1-F4617/M4617</x:f>
        <x:v>0.0004819277108435438</x:v>
      </x:c>
    </x:row>
    <x:row r="4618" ht="27" customHeight="1">
      <x:c r="A4618" s="66" t="str">
        <x:v>SQN453</x:v>
      </x:c>
      <x:c r="B4618" s="66" t="str">
        <x:v>钧誉厚德量化对冲11号</x:v>
      </x:c>
      <x:c r="C4618" s="72" t="n">
        <x:v>45146</x:v>
      </x:c>
      <x:c r="D4618" s="73" t="n">
        <x:v>1.2446</x:v>
      </x:c>
      <x:c r="E4618" s="73" t="n">
        <x:v>1.2446</x:v>
      </x:c>
      <x:c r="F4618" s="73" t="n">
        <x:v>1.2446</x:v>
      </x:c>
      <x:c r="G4618" s="74" t="n">
        <x:v>0.0002</x:v>
      </x:c>
      <x:c r="H4618" s="66" t="str">
        <x:v>钧誉厚德量化对冲11号净值20260911.xlsx</x:v>
      </x:c>
      <x:c r="I4618" s="73" t="str">
        <x:f>""</x:f>
      </x:c>
      <x:c r="J4618" s="74" t="str">
        <x:f>""</x:f>
      </x:c>
      <x:c r="K4618" s="73" t="str">
        <x:f>""</x:f>
      </x:c>
      <x:c r="L4618" s="74" t="str">
        <x:f>""</x:f>
      </x:c>
      <x:c r="M4618" s="73" t="n">
        <x:f>MAX(M4617,F4618)</x:f>
        <x:v>1.245</x:v>
      </x:c>
      <x:c r="N4618" s="74" t="n">
        <x:f>1-F4618/M4618</x:f>
        <x:v>0.00032128514056239954</x:v>
      </x:c>
    </x:row>
    <x:row r="4619" ht="27" customHeight="1">
      <x:c r="A4619" s="66" t="str">
        <x:v>SQN453</x:v>
      </x:c>
      <x:c r="B4619" s="66" t="str">
        <x:v>钧誉厚德量化对冲11号</x:v>
      </x:c>
      <x:c r="C4619" s="72" t="n">
        <x:v>45147</x:v>
      </x:c>
      <x:c r="D4619" s="73" t="n">
        <x:v>1.2454</x:v>
      </x:c>
      <x:c r="E4619" s="73" t="n">
        <x:v>1.2454</x:v>
      </x:c>
      <x:c r="F4619" s="73" t="n">
        <x:v>1.2454</x:v>
      </x:c>
      <x:c r="G4619" s="74" t="n">
        <x:v>0.0006</x:v>
      </x:c>
      <x:c r="H4619" s="66" t="str">
        <x:v>钧誉厚德量化对冲11号净值20260911.xlsx</x:v>
      </x:c>
      <x:c r="I4619" s="73" t="str">
        <x:f>""</x:f>
      </x:c>
      <x:c r="J4619" s="74" t="str">
        <x:f>""</x:f>
      </x:c>
      <x:c r="K4619" s="73" t="str">
        <x:f>""</x:f>
      </x:c>
      <x:c r="L4619" s="74" t="str">
        <x:f>""</x:f>
      </x:c>
      <x:c r="M4619" s="73" t="n">
        <x:f>MAX(M4618,F4619)</x:f>
        <x:v>1.2454</x:v>
      </x:c>
      <x:c r="N4619" s="74" t="n">
        <x:f>1-F4619/M4619</x:f>
        <x:v>0</x:v>
      </x:c>
    </x:row>
    <x:row r="4620" ht="27" customHeight="1">
      <x:c r="A4620" s="66" t="str">
        <x:v>SQN453</x:v>
      </x:c>
      <x:c r="B4620" s="66" t="str">
        <x:v>钧誉厚德量化对冲11号</x:v>
      </x:c>
      <x:c r="C4620" s="72" t="n">
        <x:v>45148</x:v>
      </x:c>
      <x:c r="D4620" s="73" t="n">
        <x:v>1.2455</x:v>
      </x:c>
      <x:c r="E4620" s="73" t="n">
        <x:v>1.2455</x:v>
      </x:c>
      <x:c r="F4620" s="73" t="n">
        <x:v>1.2455</x:v>
      </x:c>
      <x:c r="G4620" s="74" t="n">
        <x:v>0.0001</x:v>
      </x:c>
      <x:c r="H4620" s="66" t="str">
        <x:v>钧誉厚德量化对冲11号净值20260911.xlsx</x:v>
      </x:c>
      <x:c r="I4620" s="73" t="str">
        <x:f>""</x:f>
      </x:c>
      <x:c r="J4620" s="74" t="str">
        <x:f>""</x:f>
      </x:c>
      <x:c r="K4620" s="73" t="str">
        <x:f>""</x:f>
      </x:c>
      <x:c r="L4620" s="74" t="str">
        <x:f>""</x:f>
      </x:c>
      <x:c r="M4620" s="73" t="n">
        <x:f>MAX(M4619,F4620)</x:f>
        <x:v>1.2455</x:v>
      </x:c>
      <x:c r="N4620" s="74" t="n">
        <x:f>1-F4620/M4620</x:f>
        <x:v>0</x:v>
      </x:c>
    </x:row>
    <x:row r="4621" ht="27" customHeight="1">
      <x:c r="A4621" s="66" t="str">
        <x:v>SQN453</x:v>
      </x:c>
      <x:c r="B4621" s="66" t="str">
        <x:v>钧誉厚德量化对冲11号</x:v>
      </x:c>
      <x:c r="C4621" s="72" t="n">
        <x:v>45149</x:v>
      </x:c>
      <x:c r="D4621" s="73" t="n">
        <x:v>1.2462</x:v>
      </x:c>
      <x:c r="E4621" s="73" t="n">
        <x:v>1.2462</x:v>
      </x:c>
      <x:c r="F4621" s="73" t="n">
        <x:v>1.2462</x:v>
      </x:c>
      <x:c r="G4621" s="74" t="n">
        <x:v>0.0006</x:v>
      </x:c>
      <x:c r="H4621" s="66" t="str">
        <x:v>钧誉厚德量化对冲11号净值20260911.xlsx</x:v>
      </x:c>
      <x:c r="I4621" s="73" t="str">
        <x:f>""</x:f>
      </x:c>
      <x:c r="J4621" s="74" t="str">
        <x:f>""</x:f>
      </x:c>
      <x:c r="K4621" s="73" t="str">
        <x:f>""</x:f>
      </x:c>
      <x:c r="L4621" s="74" t="str">
        <x:f>""</x:f>
      </x:c>
      <x:c r="M4621" s="73" t="n">
        <x:f>MAX(M4620,F4621)</x:f>
        <x:v>1.2462</x:v>
      </x:c>
      <x:c r="N4621" s="74" t="n">
        <x:f>1-F4621/M4621</x:f>
        <x:v>0</x:v>
      </x:c>
    </x:row>
    <x:row r="4622" ht="27" customHeight="1">
      <x:c r="A4622" s="66" t="str">
        <x:v>SQN453</x:v>
      </x:c>
      <x:c r="B4622" s="66" t="str">
        <x:v>钧誉厚德量化对冲11号</x:v>
      </x:c>
      <x:c r="C4622" s="72" t="n">
        <x:v>45152</x:v>
      </x:c>
      <x:c r="D4622" s="73" t="n">
        <x:v>1.2476</x:v>
      </x:c>
      <x:c r="E4622" s="73" t="n">
        <x:v>1.2476</x:v>
      </x:c>
      <x:c r="F4622" s="73" t="n">
        <x:v>1.2476</x:v>
      </x:c>
      <x:c r="G4622" s="74" t="n">
        <x:v>0.0011</x:v>
      </x:c>
      <x:c r="H4622" s="66" t="str">
        <x:v>钧誉厚德量化对冲11号净值20260911.xlsx</x:v>
      </x:c>
      <x:c r="I4622" s="73" t="str">
        <x:f>""</x:f>
      </x:c>
      <x:c r="J4622" s="74" t="str">
        <x:f>""</x:f>
      </x:c>
      <x:c r="K4622" s="73" t="str">
        <x:f>""</x:f>
      </x:c>
      <x:c r="L4622" s="74" t="str">
        <x:f>""</x:f>
      </x:c>
      <x:c r="M4622" s="73" t="n">
        <x:f>MAX(M4621,F4622)</x:f>
        <x:v>1.2476</x:v>
      </x:c>
      <x:c r="N4622" s="74" t="n">
        <x:f>1-F4622/M4622</x:f>
        <x:v>0</x:v>
      </x:c>
    </x:row>
    <x:row r="4623" ht="27" customHeight="1">
      <x:c r="A4623" s="66" t="str">
        <x:v>SQN453</x:v>
      </x:c>
      <x:c r="B4623" s="66" t="str">
        <x:v>钧誉厚德量化对冲11号</x:v>
      </x:c>
      <x:c r="C4623" s="72" t="n">
        <x:v>45153</x:v>
      </x:c>
      <x:c r="D4623" s="73" t="n">
        <x:v>1.2479</x:v>
      </x:c>
      <x:c r="E4623" s="73" t="n">
        <x:v>1.2479</x:v>
      </x:c>
      <x:c r="F4623" s="73" t="n">
        <x:v>1.2479</x:v>
      </x:c>
      <x:c r="G4623" s="74" t="n">
        <x:v>0.0002</x:v>
      </x:c>
      <x:c r="H4623" s="66" t="str">
        <x:v>钧誉厚德量化对冲11号净值20260911.xlsx</x:v>
      </x:c>
      <x:c r="I4623" s="73" t="str">
        <x:f>""</x:f>
      </x:c>
      <x:c r="J4623" s="74" t="str">
        <x:f>""</x:f>
      </x:c>
      <x:c r="K4623" s="73" t="str">
        <x:f>""</x:f>
      </x:c>
      <x:c r="L4623" s="74" t="str">
        <x:f>""</x:f>
      </x:c>
      <x:c r="M4623" s="73" t="n">
        <x:f>MAX(M4622,F4623)</x:f>
        <x:v>1.2479</x:v>
      </x:c>
      <x:c r="N4623" s="74" t="n">
        <x:f>1-F4623/M4623</x:f>
        <x:v>0</x:v>
      </x:c>
    </x:row>
    <x:row r="4624" ht="27" customHeight="1">
      <x:c r="A4624" s="66" t="str">
        <x:v>SQN453</x:v>
      </x:c>
      <x:c r="B4624" s="66" t="str">
        <x:v>钧誉厚德量化对冲11号</x:v>
      </x:c>
      <x:c r="C4624" s="72" t="n">
        <x:v>45154</x:v>
      </x:c>
      <x:c r="D4624" s="73" t="n">
        <x:v>1.2494</x:v>
      </x:c>
      <x:c r="E4624" s="73" t="n">
        <x:v>1.2494</x:v>
      </x:c>
      <x:c r="F4624" s="73" t="n">
        <x:v>1.2494</x:v>
      </x:c>
      <x:c r="G4624" s="74" t="n">
        <x:v>0.0012</x:v>
      </x:c>
      <x:c r="H4624" s="66" t="str">
        <x:v>钧誉厚德量化对冲11号净值20260911.xlsx</x:v>
      </x:c>
      <x:c r="I4624" s="73" t="str">
        <x:f>""</x:f>
      </x:c>
      <x:c r="J4624" s="74" t="str">
        <x:f>""</x:f>
      </x:c>
      <x:c r="K4624" s="73" t="str">
        <x:f>""</x:f>
      </x:c>
      <x:c r="L4624" s="74" t="str">
        <x:f>""</x:f>
      </x:c>
      <x:c r="M4624" s="73" t="n">
        <x:f>MAX(M4623,F4624)</x:f>
        <x:v>1.2494</x:v>
      </x:c>
      <x:c r="N4624" s="74" t="n">
        <x:f>1-F4624/M4624</x:f>
        <x:v>0</x:v>
      </x:c>
    </x:row>
    <x:row r="4625" ht="27" customHeight="1">
      <x:c r="A4625" s="66" t="str">
        <x:v>SQN453</x:v>
      </x:c>
      <x:c r="B4625" s="66" t="str">
        <x:v>钧誉厚德量化对冲11号</x:v>
      </x:c>
      <x:c r="C4625" s="72" t="n">
        <x:v>45155</x:v>
      </x:c>
      <x:c r="D4625" s="73" t="n">
        <x:v>1.2495</x:v>
      </x:c>
      <x:c r="E4625" s="73" t="n">
        <x:v>1.2495</x:v>
      </x:c>
      <x:c r="F4625" s="73" t="n">
        <x:v>1.2495</x:v>
      </x:c>
      <x:c r="G4625" s="74" t="n">
        <x:v>0.0001</x:v>
      </x:c>
      <x:c r="H4625" s="66" t="str">
        <x:v>钧誉厚德量化对冲11号净值20260911.xlsx</x:v>
      </x:c>
      <x:c r="I4625" s="73" t="str">
        <x:f>""</x:f>
      </x:c>
      <x:c r="J4625" s="74" t="str">
        <x:f>""</x:f>
      </x:c>
      <x:c r="K4625" s="73" t="str">
        <x:f>""</x:f>
      </x:c>
      <x:c r="L4625" s="74" t="str">
        <x:f>""</x:f>
      </x:c>
      <x:c r="M4625" s="73" t="n">
        <x:f>MAX(M4624,F4625)</x:f>
        <x:v>1.2495</x:v>
      </x:c>
      <x:c r="N4625" s="74" t="n">
        <x:f>1-F4625/M4625</x:f>
        <x:v>0</x:v>
      </x:c>
    </x:row>
    <x:row r="4626" ht="27" customHeight="1">
      <x:c r="A4626" s="66" t="str">
        <x:v>SQN453</x:v>
      </x:c>
      <x:c r="B4626" s="66" t="str">
        <x:v>钧誉厚德量化对冲11号</x:v>
      </x:c>
      <x:c r="C4626" s="72" t="n">
        <x:v>45156</x:v>
      </x:c>
      <x:c r="D4626" s="73" t="n">
        <x:v>1.2493</x:v>
      </x:c>
      <x:c r="E4626" s="73" t="n">
        <x:v>1.2493</x:v>
      </x:c>
      <x:c r="F4626" s="73" t="n">
        <x:v>1.2493</x:v>
      </x:c>
      <x:c r="G4626" s="74" t="n">
        <x:v>-0.0002</x:v>
      </x:c>
      <x:c r="H4626" s="66" t="str">
        <x:v>钧誉厚德量化对冲11号净值20260911.xlsx</x:v>
      </x:c>
      <x:c r="I4626" s="73" t="str">
        <x:f>""</x:f>
      </x:c>
      <x:c r="J4626" s="74" t="str">
        <x:f>""</x:f>
      </x:c>
      <x:c r="K4626" s="73" t="str">
        <x:f>""</x:f>
      </x:c>
      <x:c r="L4626" s="74" t="str">
        <x:f>""</x:f>
      </x:c>
      <x:c r="M4626" s="73" t="n">
        <x:f>MAX(M4625,F4626)</x:f>
        <x:v>1.2495</x:v>
      </x:c>
      <x:c r="N4626" s="74" t="n">
        <x:f>1-F4626/M4626</x:f>
        <x:v>0.00016006402561019595</x:v>
      </x:c>
    </x:row>
    <x:row r="4627" ht="27" customHeight="1">
      <x:c r="A4627" s="66" t="str">
        <x:v>SQN453</x:v>
      </x:c>
      <x:c r="B4627" s="66" t="str">
        <x:v>钧誉厚德量化对冲11号</x:v>
      </x:c>
      <x:c r="C4627" s="72" t="n">
        <x:v>45159</x:v>
      </x:c>
      <x:c r="D4627" s="73" t="n">
        <x:v>1.2495</x:v>
      </x:c>
      <x:c r="E4627" s="73" t="n">
        <x:v>1.2495</x:v>
      </x:c>
      <x:c r="F4627" s="73" t="n">
        <x:v>1.2495</x:v>
      </x:c>
      <x:c r="G4627" s="74" t="n">
        <x:v>0.0002</x:v>
      </x:c>
      <x:c r="H4627" s="66" t="str">
        <x:v>钧誉厚德量化对冲11号净值20260911.xlsx</x:v>
      </x:c>
      <x:c r="I4627" s="73" t="str">
        <x:f>""</x:f>
      </x:c>
      <x:c r="J4627" s="74" t="str">
        <x:f>""</x:f>
      </x:c>
      <x:c r="K4627" s="73" t="str">
        <x:f>""</x:f>
      </x:c>
      <x:c r="L4627" s="74" t="str">
        <x:f>""</x:f>
      </x:c>
      <x:c r="M4627" s="73" t="n">
        <x:f>MAX(M4626,F4627)</x:f>
        <x:v>1.2495</x:v>
      </x:c>
      <x:c r="N4627" s="74" t="n">
        <x:f>1-F4627/M4627</x:f>
        <x:v>0</x:v>
      </x:c>
    </x:row>
    <x:row r="4628" ht="27" customHeight="1">
      <x:c r="A4628" s="66" t="str">
        <x:v>SQN453</x:v>
      </x:c>
      <x:c r="B4628" s="66" t="str">
        <x:v>钧誉厚德量化对冲11号</x:v>
      </x:c>
      <x:c r="C4628" s="72" t="n">
        <x:v>45160</x:v>
      </x:c>
      <x:c r="D4628" s="73" t="n">
        <x:v>1.2502</x:v>
      </x:c>
      <x:c r="E4628" s="73" t="n">
        <x:v>1.2502</x:v>
      </x:c>
      <x:c r="F4628" s="73" t="n">
        <x:v>1.2502</x:v>
      </x:c>
      <x:c r="G4628" s="74" t="n">
        <x:v>0.0006</x:v>
      </x:c>
      <x:c r="H4628" s="66" t="str">
        <x:v>钧誉厚德量化对冲11号净值20260911.xlsx</x:v>
      </x:c>
      <x:c r="I4628" s="73" t="str">
        <x:f>""</x:f>
      </x:c>
      <x:c r="J4628" s="74" t="str">
        <x:f>""</x:f>
      </x:c>
      <x:c r="K4628" s="73" t="str">
        <x:f>""</x:f>
      </x:c>
      <x:c r="L4628" s="74" t="str">
        <x:f>""</x:f>
      </x:c>
      <x:c r="M4628" s="73" t="n">
        <x:f>MAX(M4627,F4628)</x:f>
        <x:v>1.2502</x:v>
      </x:c>
      <x:c r="N4628" s="74" t="n">
        <x:f>1-F4628/M4628</x:f>
        <x:v>0</x:v>
      </x:c>
    </x:row>
    <x:row r="4629" ht="27" customHeight="1">
      <x:c r="A4629" s="66" t="str">
        <x:v>SQN453</x:v>
      </x:c>
      <x:c r="B4629" s="66" t="str">
        <x:v>钧誉厚德量化对冲11号</x:v>
      </x:c>
      <x:c r="C4629" s="72" t="n">
        <x:v>45161</x:v>
      </x:c>
      <x:c r="D4629" s="73" t="n">
        <x:v>1.2506</x:v>
      </x:c>
      <x:c r="E4629" s="73" t="n">
        <x:v>1.2506</x:v>
      </x:c>
      <x:c r="F4629" s="73" t="n">
        <x:v>1.2506</x:v>
      </x:c>
      <x:c r="G4629" s="74" t="n">
        <x:v>0.0003</x:v>
      </x:c>
      <x:c r="H4629" s="66" t="str">
        <x:v>钧誉厚德量化对冲11号净值20260911.xlsx</x:v>
      </x:c>
      <x:c r="I4629" s="73" t="str">
        <x:f>""</x:f>
      </x:c>
      <x:c r="J4629" s="74" t="str">
        <x:f>""</x:f>
      </x:c>
      <x:c r="K4629" s="73" t="str">
        <x:f>""</x:f>
      </x:c>
      <x:c r="L4629" s="74" t="str">
        <x:f>""</x:f>
      </x:c>
      <x:c r="M4629" s="73" t="n">
        <x:f>MAX(M4628,F4629)</x:f>
        <x:v>1.2506</x:v>
      </x:c>
      <x:c r="N4629" s="74" t="n">
        <x:f>1-F4629/M4629</x:f>
        <x:v>0</x:v>
      </x:c>
    </x:row>
    <x:row r="4630" ht="27" customHeight="1">
      <x:c r="A4630" s="66" t="str">
        <x:v>SQN453</x:v>
      </x:c>
      <x:c r="B4630" s="66" t="str">
        <x:v>钧誉厚德量化对冲11号</x:v>
      </x:c>
      <x:c r="C4630" s="72" t="n">
        <x:v>45162</x:v>
      </x:c>
      <x:c r="D4630" s="73" t="n">
        <x:v>1.2504</x:v>
      </x:c>
      <x:c r="E4630" s="73" t="n">
        <x:v>1.2504</x:v>
      </x:c>
      <x:c r="F4630" s="73" t="n">
        <x:v>1.2504</x:v>
      </x:c>
      <x:c r="G4630" s="74" t="n">
        <x:v>-0.0002</x:v>
      </x:c>
      <x:c r="H4630" s="66" t="str">
        <x:v>钧誉厚德量化对冲11号净值20260911.xlsx</x:v>
      </x:c>
      <x:c r="I4630" s="73" t="str">
        <x:f>""</x:f>
      </x:c>
      <x:c r="J4630" s="74" t="str">
        <x:f>""</x:f>
      </x:c>
      <x:c r="K4630" s="73" t="str">
        <x:f>""</x:f>
      </x:c>
      <x:c r="L4630" s="74" t="str">
        <x:f>""</x:f>
      </x:c>
      <x:c r="M4630" s="73" t="n">
        <x:f>MAX(M4629,F4630)</x:f>
        <x:v>1.2506</x:v>
      </x:c>
      <x:c r="N4630" s="74" t="n">
        <x:f>1-F4630/M4630</x:f>
        <x:v>0.0001599232368463266</x:v>
      </x:c>
    </x:row>
    <x:row r="4631" ht="27" customHeight="1">
      <x:c r="A4631" s="66" t="str">
        <x:v>SQN453</x:v>
      </x:c>
      <x:c r="B4631" s="66" t="str">
        <x:v>钧誉厚德量化对冲11号</x:v>
      </x:c>
      <x:c r="C4631" s="72" t="n">
        <x:v>45163</x:v>
      </x:c>
      <x:c r="D4631" s="73" t="n">
        <x:v>1.2507</x:v>
      </x:c>
      <x:c r="E4631" s="73" t="n">
        <x:v>1.2507</x:v>
      </x:c>
      <x:c r="F4631" s="73" t="n">
        <x:v>1.2507</x:v>
      </x:c>
      <x:c r="G4631" s="74" t="n">
        <x:v>0.0002</x:v>
      </x:c>
      <x:c r="H4631" s="66" t="str">
        <x:v>钧誉厚德量化对冲11号净值20260911.xlsx</x:v>
      </x:c>
      <x:c r="I4631" s="73" t="str">
        <x:f>""</x:f>
      </x:c>
      <x:c r="J4631" s="74" t="str">
        <x:f>""</x:f>
      </x:c>
      <x:c r="K4631" s="73" t="str">
        <x:f>""</x:f>
      </x:c>
      <x:c r="L4631" s="74" t="str">
        <x:f>""</x:f>
      </x:c>
      <x:c r="M4631" s="73" t="n">
        <x:f>MAX(M4630,F4631)</x:f>
        <x:v>1.2507</x:v>
      </x:c>
      <x:c r="N4631" s="74" t="n">
        <x:f>1-F4631/M4631</x:f>
        <x:v>0</x:v>
      </x:c>
    </x:row>
    <x:row r="4632" ht="27" customHeight="1">
      <x:c r="A4632" s="66" t="str">
        <x:v>SQN453</x:v>
      </x:c>
      <x:c r="B4632" s="66" t="str">
        <x:v>钧誉厚德量化对冲11号</x:v>
      </x:c>
      <x:c r="C4632" s="72" t="n">
        <x:v>45166</x:v>
      </x:c>
      <x:c r="D4632" s="73" t="n">
        <x:v>1.2515</x:v>
      </x:c>
      <x:c r="E4632" s="73" t="n">
        <x:v>1.2515</x:v>
      </x:c>
      <x:c r="F4632" s="73" t="n">
        <x:v>1.2515</x:v>
      </x:c>
      <x:c r="G4632" s="74" t="n">
        <x:v>0.0006</x:v>
      </x:c>
      <x:c r="H4632" s="66" t="str">
        <x:v>钧誉厚德量化对冲11号净值20260911.xlsx</x:v>
      </x:c>
      <x:c r="I4632" s="73" t="str">
        <x:f>""</x:f>
      </x:c>
      <x:c r="J4632" s="74" t="str">
        <x:f>""</x:f>
      </x:c>
      <x:c r="K4632" s="73" t="str">
        <x:f>""</x:f>
      </x:c>
      <x:c r="L4632" s="74" t="str">
        <x:f>""</x:f>
      </x:c>
      <x:c r="M4632" s="73" t="n">
        <x:f>MAX(M4631,F4632)</x:f>
        <x:v>1.2515</x:v>
      </x:c>
      <x:c r="N4632" s="74" t="n">
        <x:f>1-F4632/M4632</x:f>
        <x:v>0</x:v>
      </x:c>
    </x:row>
    <x:row r="4633" ht="27" customHeight="1">
      <x:c r="A4633" s="66" t="str">
        <x:v>SQN453</x:v>
      </x:c>
      <x:c r="B4633" s="66" t="str">
        <x:v>钧誉厚德量化对冲11号</x:v>
      </x:c>
      <x:c r="C4633" s="72" t="n">
        <x:v>45167</x:v>
      </x:c>
      <x:c r="D4633" s="73" t="n">
        <x:v>1.2523</x:v>
      </x:c>
      <x:c r="E4633" s="73" t="n">
        <x:v>1.2523</x:v>
      </x:c>
      <x:c r="F4633" s="73" t="n">
        <x:v>1.2523</x:v>
      </x:c>
      <x:c r="G4633" s="74" t="n">
        <x:v>0.0006</x:v>
      </x:c>
      <x:c r="H4633" s="66" t="str">
        <x:v>钧誉厚德量化对冲11号净值20260911.xlsx</x:v>
      </x:c>
      <x:c r="I4633" s="73" t="str">
        <x:f>""</x:f>
      </x:c>
      <x:c r="J4633" s="74" t="str">
        <x:f>""</x:f>
      </x:c>
      <x:c r="K4633" s="73" t="str">
        <x:f>""</x:f>
      </x:c>
      <x:c r="L4633" s="74" t="str">
        <x:f>""</x:f>
      </x:c>
      <x:c r="M4633" s="73" t="n">
        <x:f>MAX(M4632,F4633)</x:f>
        <x:v>1.2523</x:v>
      </x:c>
      <x:c r="N4633" s="74" t="n">
        <x:f>1-F4633/M4633</x:f>
        <x:v>0</x:v>
      </x:c>
    </x:row>
    <x:row r="4634" ht="27" customHeight="1">
      <x:c r="A4634" s="66" t="str">
        <x:v>SQN453</x:v>
      </x:c>
      <x:c r="B4634" s="66" t="str">
        <x:v>钧誉厚德量化对冲11号</x:v>
      </x:c>
      <x:c r="C4634" s="72" t="n">
        <x:v>45168</x:v>
      </x:c>
      <x:c r="D4634" s="73" t="n">
        <x:v>1.2528</x:v>
      </x:c>
      <x:c r="E4634" s="73" t="n">
        <x:v>1.2528</x:v>
      </x:c>
      <x:c r="F4634" s="73" t="n">
        <x:v>1.2528</x:v>
      </x:c>
      <x:c r="G4634" s="74" t="n">
        <x:v>0.0004</x:v>
      </x:c>
      <x:c r="H4634" s="66" t="str">
        <x:v>钧誉厚德量化对冲11号净值20260911.xlsx</x:v>
      </x:c>
      <x:c r="I4634" s="73" t="str">
        <x:f>""</x:f>
      </x:c>
      <x:c r="J4634" s="74" t="str">
        <x:f>""</x:f>
      </x:c>
      <x:c r="K4634" s="73" t="str">
        <x:f>""</x:f>
      </x:c>
      <x:c r="L4634" s="74" t="str">
        <x:f>""</x:f>
      </x:c>
      <x:c r="M4634" s="73" t="n">
        <x:f>MAX(M4633,F4634)</x:f>
        <x:v>1.2528</x:v>
      </x:c>
      <x:c r="N4634" s="74" t="n">
        <x:f>1-F4634/M4634</x:f>
        <x:v>0</x:v>
      </x:c>
    </x:row>
    <x:row r="4635" ht="27" customHeight="1">
      <x:c r="A4635" s="66" t="str">
        <x:v>SQN453</x:v>
      </x:c>
      <x:c r="B4635" s="66" t="str">
        <x:v>钧誉厚德量化对冲11号</x:v>
      </x:c>
      <x:c r="C4635" s="72" t="n">
        <x:v>45169</x:v>
      </x:c>
      <x:c r="D4635" s="73" t="n">
        <x:v>1.2534</x:v>
      </x:c>
      <x:c r="E4635" s="73" t="n">
        <x:v>1.2534</x:v>
      </x:c>
      <x:c r="F4635" s="73" t="n">
        <x:v>1.2534</x:v>
      </x:c>
      <x:c r="G4635" s="74" t="n">
        <x:v>0.0005</x:v>
      </x:c>
      <x:c r="H4635" s="66" t="str">
        <x:v>钧誉厚德量化对冲11号净值20260911.xlsx</x:v>
      </x:c>
      <x:c r="I4635" s="73" t="str">
        <x:f>""</x:f>
      </x:c>
      <x:c r="J4635" s="74" t="str">
        <x:f>""</x:f>
      </x:c>
      <x:c r="K4635" s="73" t="n">
        <x:f>F4635</x:f>
        <x:v>1.2534</x:v>
      </x:c>
      <x:c r="L4635" s="74" t="n">
        <x:f>1-F4635/K4635</x:f>
        <x:v>0</x:v>
      </x:c>
      <x:c r="M4635" s="73" t="n">
        <x:f>MAX(M4634,F4635)</x:f>
        <x:v>1.2534</x:v>
      </x:c>
      <x:c r="N4635" s="74" t="n">
        <x:f>1-F4635/M4635</x:f>
        <x:v>0</x:v>
      </x:c>
    </x:row>
    <x:row r="4636" ht="27" customHeight="1">
      <x:c r="A4636" s="66" t="str">
        <x:v>SQN453</x:v>
      </x:c>
      <x:c r="B4636" s="66" t="str">
        <x:v>钧誉厚德量化对冲11号</x:v>
      </x:c>
      <x:c r="C4636" s="72" t="n">
        <x:v>45170</x:v>
      </x:c>
      <x:c r="D4636" s="73" t="n">
        <x:v>1.2539</x:v>
      </x:c>
      <x:c r="E4636" s="73" t="n">
        <x:v>1.2539</x:v>
      </x:c>
      <x:c r="F4636" s="73" t="n">
        <x:v>1.2539</x:v>
      </x:c>
      <x:c r="G4636" s="74" t="n">
        <x:v>0.0004</x:v>
      </x:c>
      <x:c r="H4636" s="66" t="str">
        <x:v>钧誉厚德量化对冲11号净值20260911.xlsx</x:v>
      </x:c>
      <x:c r="I4636" s="73" t="str">
        <x:f>""</x:f>
      </x:c>
      <x:c r="J4636" s="74" t="str">
        <x:f>""</x:f>
      </x:c>
      <x:c r="K4636" s="73" t="n">
        <x:f>MAX(K4635,F4636)</x:f>
        <x:v>1.2539</x:v>
      </x:c>
      <x:c r="L4636" s="74" t="n">
        <x:f>1-F4636/K4636</x:f>
        <x:v>0</x:v>
      </x:c>
      <x:c r="M4636" s="73" t="n">
        <x:f>MAX(M4635,F4636)</x:f>
        <x:v>1.2539</x:v>
      </x:c>
      <x:c r="N4636" s="74" t="n">
        <x:f>1-F4636/M4636</x:f>
        <x:v>0</x:v>
      </x:c>
    </x:row>
    <x:row r="4637" ht="27" customHeight="1">
      <x:c r="A4637" s="66" t="str">
        <x:v>SQN453</x:v>
      </x:c>
      <x:c r="B4637" s="66" t="str">
        <x:v>钧誉厚德量化对冲11号</x:v>
      </x:c>
      <x:c r="C4637" s="72" t="n">
        <x:v>45173</x:v>
      </x:c>
      <x:c r="D4637" s="73" t="n">
        <x:v>1.2542</x:v>
      </x:c>
      <x:c r="E4637" s="73" t="n">
        <x:v>1.2542</x:v>
      </x:c>
      <x:c r="F4637" s="73" t="n">
        <x:v>1.2542</x:v>
      </x:c>
      <x:c r="G4637" s="74" t="n">
        <x:v>0.0002</x:v>
      </x:c>
      <x:c r="H4637" s="66" t="str">
        <x:v>钧誉厚德量化对冲11号净值20260911.xlsx</x:v>
      </x:c>
      <x:c r="I4637" s="73" t="str">
        <x:f>""</x:f>
      </x:c>
      <x:c r="J4637" s="74" t="str">
        <x:f>""</x:f>
      </x:c>
      <x:c r="K4637" s="73" t="n">
        <x:f>MAX(K4636,F4637)</x:f>
        <x:v>1.2542</x:v>
      </x:c>
      <x:c r="L4637" s="74" t="n">
        <x:f>1-F4637/K4637</x:f>
        <x:v>0</x:v>
      </x:c>
      <x:c r="M4637" s="73" t="n">
        <x:f>MAX(M4636,F4637)</x:f>
        <x:v>1.2542</x:v>
      </x:c>
      <x:c r="N4637" s="74" t="n">
        <x:f>1-F4637/M4637</x:f>
        <x:v>0</x:v>
      </x:c>
    </x:row>
    <x:row r="4638" ht="27" customHeight="1">
      <x:c r="A4638" s="66" t="str">
        <x:v>SQN453</x:v>
      </x:c>
      <x:c r="B4638" s="66" t="str">
        <x:v>钧誉厚德量化对冲11号</x:v>
      </x:c>
      <x:c r="C4638" s="72" t="n">
        <x:v>45174</x:v>
      </x:c>
      <x:c r="D4638" s="73" t="n">
        <x:v>1.2542</x:v>
      </x:c>
      <x:c r="E4638" s="73" t="n">
        <x:v>1.2542</x:v>
      </x:c>
      <x:c r="F4638" s="73" t="n">
        <x:v>1.2542</x:v>
      </x:c>
      <x:c r="G4638" s="74" t="n">
        <x:v>0</x:v>
      </x:c>
      <x:c r="H4638" s="66" t="str">
        <x:v>钧誉厚德量化对冲11号净值20260911.xlsx</x:v>
      </x:c>
      <x:c r="I4638" s="73" t="str">
        <x:f>""</x:f>
      </x:c>
      <x:c r="J4638" s="74" t="str">
        <x:f>""</x:f>
      </x:c>
      <x:c r="K4638" s="73" t="n">
        <x:f>MAX(K4637,F4638)</x:f>
        <x:v>1.2542</x:v>
      </x:c>
      <x:c r="L4638" s="74" t="n">
        <x:f>1-F4638/K4638</x:f>
        <x:v>0</x:v>
      </x:c>
      <x:c r="M4638" s="73" t="n">
        <x:f>MAX(M4637,F4638)</x:f>
        <x:v>1.2542</x:v>
      </x:c>
      <x:c r="N4638" s="74" t="n">
        <x:f>1-F4638/M4638</x:f>
        <x:v>0</x:v>
      </x:c>
    </x:row>
    <x:row r="4639" ht="27" customHeight="1">
      <x:c r="A4639" s="66" t="str">
        <x:v>SQN453</x:v>
      </x:c>
      <x:c r="B4639" s="66" t="str">
        <x:v>钧誉厚德量化对冲11号</x:v>
      </x:c>
      <x:c r="C4639" s="72" t="n">
        <x:v>45175</x:v>
      </x:c>
      <x:c r="D4639" s="73" t="n">
        <x:v>1.2542</x:v>
      </x:c>
      <x:c r="E4639" s="73" t="n">
        <x:v>1.2542</x:v>
      </x:c>
      <x:c r="F4639" s="73" t="n">
        <x:v>1.2542</x:v>
      </x:c>
      <x:c r="G4639" s="74" t="n">
        <x:v>0</x:v>
      </x:c>
      <x:c r="H4639" s="66" t="str">
        <x:v>钧誉厚德量化对冲11号净值20260911.xlsx</x:v>
      </x:c>
      <x:c r="I4639" s="73" t="str">
        <x:f>""</x:f>
      </x:c>
      <x:c r="J4639" s="74" t="str">
        <x:f>""</x:f>
      </x:c>
      <x:c r="K4639" s="73" t="n">
        <x:f>MAX(K4638,F4639)</x:f>
        <x:v>1.2542</x:v>
      </x:c>
      <x:c r="L4639" s="74" t="n">
        <x:f>1-F4639/K4639</x:f>
        <x:v>0</x:v>
      </x:c>
      <x:c r="M4639" s="73" t="n">
        <x:f>MAX(M4638,F4639)</x:f>
        <x:v>1.2542</x:v>
      </x:c>
      <x:c r="N4639" s="74" t="n">
        <x:f>1-F4639/M4639</x:f>
        <x:v>0</x:v>
      </x:c>
    </x:row>
    <x:row r="4640" ht="27" customHeight="1">
      <x:c r="A4640" s="66" t="str">
        <x:v>SQN453</x:v>
      </x:c>
      <x:c r="B4640" s="66" t="str">
        <x:v>钧誉厚德量化对冲11号</x:v>
      </x:c>
      <x:c r="C4640" s="72" t="n">
        <x:v>45176</x:v>
      </x:c>
      <x:c r="D4640" s="73" t="n">
        <x:v>1.2549</x:v>
      </x:c>
      <x:c r="E4640" s="73" t="n">
        <x:v>1.2549</x:v>
      </x:c>
      <x:c r="F4640" s="73" t="n">
        <x:v>1.2549</x:v>
      </x:c>
      <x:c r="G4640" s="74" t="n">
        <x:v>0.0006</x:v>
      </x:c>
      <x:c r="H4640" s="66" t="str">
        <x:v>钧誉厚德量化对冲11号净值20260911.xlsx</x:v>
      </x:c>
      <x:c r="I4640" s="73" t="str">
        <x:f>""</x:f>
      </x:c>
      <x:c r="J4640" s="74" t="str">
        <x:f>""</x:f>
      </x:c>
      <x:c r="K4640" s="73" t="n">
        <x:f>MAX(K4639,F4640)</x:f>
        <x:v>1.2549</x:v>
      </x:c>
      <x:c r="L4640" s="74" t="n">
        <x:f>1-F4640/K4640</x:f>
        <x:v>0</x:v>
      </x:c>
      <x:c r="M4640" s="73" t="n">
        <x:f>MAX(M4639,F4640)</x:f>
        <x:v>1.2549</x:v>
      </x:c>
      <x:c r="N4640" s="74" t="n">
        <x:f>1-F4640/M4640</x:f>
        <x:v>0</x:v>
      </x:c>
    </x:row>
    <x:row r="4641" ht="27" customHeight="1">
      <x:c r="A4641" s="66" t="str">
        <x:v>SQN453</x:v>
      </x:c>
      <x:c r="B4641" s="66" t="str">
        <x:v>钧誉厚德量化对冲11号</x:v>
      </x:c>
      <x:c r="C4641" s="72" t="n">
        <x:v>45177</x:v>
      </x:c>
      <x:c r="D4641" s="73" t="n">
        <x:v>1.2551</x:v>
      </x:c>
      <x:c r="E4641" s="73" t="n">
        <x:v>1.2551</x:v>
      </x:c>
      <x:c r="F4641" s="73" t="n">
        <x:v>1.2551</x:v>
      </x:c>
      <x:c r="G4641" s="74" t="n">
        <x:v>0.0002</x:v>
      </x:c>
      <x:c r="H4641" s="66" t="str">
        <x:v>钧誉厚德量化对冲11号净值20260911.xlsx</x:v>
      </x:c>
      <x:c r="I4641" s="73" t="str">
        <x:f>""</x:f>
      </x:c>
      <x:c r="J4641" s="74" t="str">
        <x:f>""</x:f>
      </x:c>
      <x:c r="K4641" s="73" t="n">
        <x:f>MAX(K4640,F4641)</x:f>
        <x:v>1.2551</x:v>
      </x:c>
      <x:c r="L4641" s="74" t="n">
        <x:f>1-F4641/K4641</x:f>
        <x:v>0</x:v>
      </x:c>
      <x:c r="M4641" s="73" t="n">
        <x:f>MAX(M4640,F4641)</x:f>
        <x:v>1.2551</x:v>
      </x:c>
      <x:c r="N4641" s="74" t="n">
        <x:f>1-F4641/M4641</x:f>
        <x:v>0</x:v>
      </x:c>
    </x:row>
    <x:row r="4642" ht="27" customHeight="1">
      <x:c r="A4642" s="66" t="str">
        <x:v>SQN453</x:v>
      </x:c>
      <x:c r="B4642" s="66" t="str">
        <x:v>钧誉厚德量化对冲11号</x:v>
      </x:c>
      <x:c r="C4642" s="72" t="n">
        <x:v>45180</x:v>
      </x:c>
      <x:c r="D4642" s="73" t="n">
        <x:v>1.2558</x:v>
      </x:c>
      <x:c r="E4642" s="73" t="n">
        <x:v>1.2558</x:v>
      </x:c>
      <x:c r="F4642" s="73" t="n">
        <x:v>1.2558</x:v>
      </x:c>
      <x:c r="G4642" s="74" t="n">
        <x:v>0.0006</x:v>
      </x:c>
      <x:c r="H4642" s="66" t="str">
        <x:v>钧誉厚德量化对冲11号净值20260911.xlsx</x:v>
      </x:c>
      <x:c r="I4642" s="73" t="str">
        <x:f>""</x:f>
      </x:c>
      <x:c r="J4642" s="74" t="str">
        <x:f>""</x:f>
      </x:c>
      <x:c r="K4642" s="73" t="n">
        <x:f>MAX(K4641,F4642)</x:f>
        <x:v>1.2558</x:v>
      </x:c>
      <x:c r="L4642" s="74" t="n">
        <x:f>1-F4642/K4642</x:f>
        <x:v>0</x:v>
      </x:c>
      <x:c r="M4642" s="73" t="n">
        <x:f>MAX(M4641,F4642)</x:f>
        <x:v>1.2558</x:v>
      </x:c>
      <x:c r="N4642" s="74" t="n">
        <x:f>1-F4642/M4642</x:f>
        <x:v>0</x:v>
      </x:c>
    </x:row>
    <x:row r="4643" ht="27" customHeight="1">
      <x:c r="A4643" s="66" t="str">
        <x:v>SQN453</x:v>
      </x:c>
      <x:c r="B4643" s="66" t="str">
        <x:v>钧誉厚德量化对冲11号</x:v>
      </x:c>
      <x:c r="C4643" s="72" t="n">
        <x:v>45181</x:v>
      </x:c>
      <x:c r="D4643" s="73" t="n">
        <x:v>1.2559</x:v>
      </x:c>
      <x:c r="E4643" s="73" t="n">
        <x:v>1.2559</x:v>
      </x:c>
      <x:c r="F4643" s="73" t="n">
        <x:v>1.2559</x:v>
      </x:c>
      <x:c r="G4643" s="74" t="n">
        <x:v>0.0001</x:v>
      </x:c>
      <x:c r="H4643" s="66" t="str">
        <x:v>钧誉厚德量化对冲11号净值20260911.xlsx</x:v>
      </x:c>
      <x:c r="I4643" s="73" t="str">
        <x:f>""</x:f>
      </x:c>
      <x:c r="J4643" s="74" t="str">
        <x:f>""</x:f>
      </x:c>
      <x:c r="K4643" s="73" t="n">
        <x:f>MAX(K4642,F4643)</x:f>
        <x:v>1.2559</x:v>
      </x:c>
      <x:c r="L4643" s="74" t="n">
        <x:f>1-F4643/K4643</x:f>
        <x:v>0</x:v>
      </x:c>
      <x:c r="M4643" s="73" t="n">
        <x:f>MAX(M4642,F4643)</x:f>
        <x:v>1.2559</x:v>
      </x:c>
      <x:c r="N4643" s="74" t="n">
        <x:f>1-F4643/M4643</x:f>
        <x:v>0</x:v>
      </x:c>
    </x:row>
    <x:row r="4644" ht="27" customHeight="1">
      <x:c r="A4644" s="66" t="str">
        <x:v>SQN453</x:v>
      </x:c>
      <x:c r="B4644" s="66" t="str">
        <x:v>钧誉厚德量化对冲11号</x:v>
      </x:c>
      <x:c r="C4644" s="72" t="n">
        <x:v>45182</x:v>
      </x:c>
      <x:c r="D4644" s="73" t="n">
        <x:v>1.2562</x:v>
      </x:c>
      <x:c r="E4644" s="73" t="n">
        <x:v>1.2562</x:v>
      </x:c>
      <x:c r="F4644" s="73" t="n">
        <x:v>1.2562</x:v>
      </x:c>
      <x:c r="G4644" s="74" t="n">
        <x:v>0.0002</x:v>
      </x:c>
      <x:c r="H4644" s="66" t="str">
        <x:v>钧誉厚德量化对冲11号净值20260911.xlsx</x:v>
      </x:c>
      <x:c r="I4644" s="73" t="str">
        <x:f>""</x:f>
      </x:c>
      <x:c r="J4644" s="74" t="str">
        <x:f>""</x:f>
      </x:c>
      <x:c r="K4644" s="73" t="n">
        <x:f>MAX(K4643,F4644)</x:f>
        <x:v>1.2562</x:v>
      </x:c>
      <x:c r="L4644" s="74" t="n">
        <x:f>1-F4644/K4644</x:f>
        <x:v>0</x:v>
      </x:c>
      <x:c r="M4644" s="73" t="n">
        <x:f>MAX(M4643,F4644)</x:f>
        <x:v>1.2562</x:v>
      </x:c>
      <x:c r="N4644" s="74" t="n">
        <x:f>1-F4644/M4644</x:f>
        <x:v>0</x:v>
      </x:c>
    </x:row>
    <x:row r="4645" ht="27" customHeight="1">
      <x:c r="A4645" s="66" t="str">
        <x:v>SQN453</x:v>
      </x:c>
      <x:c r="B4645" s="66" t="str">
        <x:v>钧誉厚德量化对冲11号</x:v>
      </x:c>
      <x:c r="C4645" s="72" t="n">
        <x:v>45183</x:v>
      </x:c>
      <x:c r="D4645" s="73" t="n">
        <x:v>1.257</x:v>
      </x:c>
      <x:c r="E4645" s="73" t="n">
        <x:v>1.257</x:v>
      </x:c>
      <x:c r="F4645" s="73" t="n">
        <x:v>1.257</x:v>
      </x:c>
      <x:c r="G4645" s="74" t="n">
        <x:v>0.0006</x:v>
      </x:c>
      <x:c r="H4645" s="66" t="str">
        <x:v>钧誉厚德量化对冲11号净值20260911.xlsx</x:v>
      </x:c>
      <x:c r="I4645" s="73" t="str">
        <x:f>""</x:f>
      </x:c>
      <x:c r="J4645" s="74" t="str">
        <x:f>""</x:f>
      </x:c>
      <x:c r="K4645" s="73" t="n">
        <x:f>MAX(K4644,F4645)</x:f>
        <x:v>1.257</x:v>
      </x:c>
      <x:c r="L4645" s="74" t="n">
        <x:f>1-F4645/K4645</x:f>
        <x:v>0</x:v>
      </x:c>
      <x:c r="M4645" s="73" t="n">
        <x:f>MAX(M4644,F4645)</x:f>
        <x:v>1.257</x:v>
      </x:c>
      <x:c r="N4645" s="74" t="n">
        <x:f>1-F4645/M4645</x:f>
        <x:v>0</x:v>
      </x:c>
    </x:row>
    <x:row r="4646" ht="27" customHeight="1">
      <x:c r="A4646" s="66" t="str">
        <x:v>SQN453</x:v>
      </x:c>
      <x:c r="B4646" s="66" t="str">
        <x:v>钧誉厚德量化对冲11号</x:v>
      </x:c>
      <x:c r="C4646" s="72" t="n">
        <x:v>45184</x:v>
      </x:c>
      <x:c r="D4646" s="73" t="n">
        <x:v>1.2576</x:v>
      </x:c>
      <x:c r="E4646" s="73" t="n">
        <x:v>1.2576</x:v>
      </x:c>
      <x:c r="F4646" s="73" t="n">
        <x:v>1.2576</x:v>
      </x:c>
      <x:c r="G4646" s="74" t="n">
        <x:v>0.0005</x:v>
      </x:c>
      <x:c r="H4646" s="66" t="str">
        <x:v>钧誉厚德量化对冲11号净值20260911.xlsx</x:v>
      </x:c>
      <x:c r="I4646" s="73" t="str">
        <x:f>""</x:f>
      </x:c>
      <x:c r="J4646" s="74" t="str">
        <x:f>""</x:f>
      </x:c>
      <x:c r="K4646" s="73" t="n">
        <x:f>MAX(K4645,F4646)</x:f>
        <x:v>1.2576</x:v>
      </x:c>
      <x:c r="L4646" s="74" t="n">
        <x:f>1-F4646/K4646</x:f>
        <x:v>0</x:v>
      </x:c>
      <x:c r="M4646" s="73" t="n">
        <x:f>MAX(M4645,F4646)</x:f>
        <x:v>1.2576</x:v>
      </x:c>
      <x:c r="N4646" s="74" t="n">
        <x:f>1-F4646/M4646</x:f>
        <x:v>0</x:v>
      </x:c>
    </x:row>
    <x:row r="4647" ht="27" customHeight="1">
      <x:c r="A4647" s="66" t="str">
        <x:v>SQN453</x:v>
      </x:c>
      <x:c r="B4647" s="66" t="str">
        <x:v>钧誉厚德量化对冲11号</x:v>
      </x:c>
      <x:c r="C4647" s="72" t="n">
        <x:v>45187</x:v>
      </x:c>
      <x:c r="D4647" s="73" t="n">
        <x:v>1.258</x:v>
      </x:c>
      <x:c r="E4647" s="73" t="n">
        <x:v>1.258</x:v>
      </x:c>
      <x:c r="F4647" s="73" t="n">
        <x:v>1.258</x:v>
      </x:c>
      <x:c r="G4647" s="74" t="n">
        <x:v>0.0003</x:v>
      </x:c>
      <x:c r="H4647" s="66" t="str">
        <x:v>钧誉厚德量化对冲11号净值20260911.xlsx</x:v>
      </x:c>
      <x:c r="I4647" s="73" t="str">
        <x:f>""</x:f>
      </x:c>
      <x:c r="J4647" s="74" t="str">
        <x:f>""</x:f>
      </x:c>
      <x:c r="K4647" s="73" t="n">
        <x:f>MAX(K4646,F4647)</x:f>
        <x:v>1.258</x:v>
      </x:c>
      <x:c r="L4647" s="74" t="n">
        <x:f>1-F4647/K4647</x:f>
        <x:v>0</x:v>
      </x:c>
      <x:c r="M4647" s="73" t="n">
        <x:f>MAX(M4646,F4647)</x:f>
        <x:v>1.258</x:v>
      </x:c>
      <x:c r="N4647" s="74" t="n">
        <x:f>1-F4647/M4647</x:f>
        <x:v>0</x:v>
      </x:c>
    </x:row>
    <x:row r="4648" ht="27" customHeight="1">
      <x:c r="A4648" s="66" t="str">
        <x:v>SQN453</x:v>
      </x:c>
      <x:c r="B4648" s="66" t="str">
        <x:v>钧誉厚德量化对冲11号</x:v>
      </x:c>
      <x:c r="C4648" s="72" t="n">
        <x:v>45188</x:v>
      </x:c>
      <x:c r="D4648" s="73" t="n">
        <x:v>1.259</x:v>
      </x:c>
      <x:c r="E4648" s="73" t="n">
        <x:v>1.259</x:v>
      </x:c>
      <x:c r="F4648" s="73" t="n">
        <x:v>1.259</x:v>
      </x:c>
      <x:c r="G4648" s="74" t="n">
        <x:v>0.0008</x:v>
      </x:c>
      <x:c r="H4648" s="66" t="str">
        <x:v>钧誉厚德量化对冲11号净值20260911.xlsx</x:v>
      </x:c>
      <x:c r="I4648" s="73" t="str">
        <x:f>""</x:f>
      </x:c>
      <x:c r="J4648" s="74" t="str">
        <x:f>""</x:f>
      </x:c>
      <x:c r="K4648" s="73" t="n">
        <x:f>MAX(K4647,F4648)</x:f>
        <x:v>1.259</x:v>
      </x:c>
      <x:c r="L4648" s="74" t="n">
        <x:f>1-F4648/K4648</x:f>
        <x:v>0</x:v>
      </x:c>
      <x:c r="M4648" s="73" t="n">
        <x:f>MAX(M4647,F4648)</x:f>
        <x:v>1.259</x:v>
      </x:c>
      <x:c r="N4648" s="74" t="n">
        <x:f>1-F4648/M4648</x:f>
        <x:v>0</x:v>
      </x:c>
    </x:row>
    <x:row r="4649" ht="27" customHeight="1">
      <x:c r="A4649" s="66" t="str">
        <x:v>SQN453</x:v>
      </x:c>
      <x:c r="B4649" s="66" t="str">
        <x:v>钧誉厚德量化对冲11号</x:v>
      </x:c>
      <x:c r="C4649" s="72" t="n">
        <x:v>45189</x:v>
      </x:c>
      <x:c r="D4649" s="73" t="n">
        <x:v>1.2598</x:v>
      </x:c>
      <x:c r="E4649" s="73" t="n">
        <x:v>1.2598</x:v>
      </x:c>
      <x:c r="F4649" s="73" t="n">
        <x:v>1.2598</x:v>
      </x:c>
      <x:c r="G4649" s="74" t="n">
        <x:v>0.0006</x:v>
      </x:c>
      <x:c r="H4649" s="66" t="str">
        <x:v>钧誉厚德量化对冲11号净值20260911.xlsx</x:v>
      </x:c>
      <x:c r="I4649" s="73" t="str">
        <x:f>""</x:f>
      </x:c>
      <x:c r="J4649" s="74" t="str">
        <x:f>""</x:f>
      </x:c>
      <x:c r="K4649" s="73" t="n">
        <x:f>MAX(K4648,F4649)</x:f>
        <x:v>1.2598</x:v>
      </x:c>
      <x:c r="L4649" s="74" t="n">
        <x:f>1-F4649/K4649</x:f>
        <x:v>0</x:v>
      </x:c>
      <x:c r="M4649" s="73" t="n">
        <x:f>MAX(M4648,F4649)</x:f>
        <x:v>1.2598</x:v>
      </x:c>
      <x:c r="N4649" s="74" t="n">
        <x:f>1-F4649/M4649</x:f>
        <x:v>0</x:v>
      </x:c>
    </x:row>
    <x:row r="4650" ht="27" customHeight="1">
      <x:c r="A4650" s="66" t="str">
        <x:v>SQN453</x:v>
      </x:c>
      <x:c r="B4650" s="66" t="str">
        <x:v>钧誉厚德量化对冲11号</x:v>
      </x:c>
      <x:c r="C4650" s="72" t="n">
        <x:v>45190</x:v>
      </x:c>
      <x:c r="D4650" s="73" t="n">
        <x:v>1.2602</x:v>
      </x:c>
      <x:c r="E4650" s="73" t="n">
        <x:v>1.2602</x:v>
      </x:c>
      <x:c r="F4650" s="73" t="n">
        <x:v>1.2602</x:v>
      </x:c>
      <x:c r="G4650" s="74" t="n">
        <x:v>0.0003</x:v>
      </x:c>
      <x:c r="H4650" s="66" t="str">
        <x:v>钧誉厚德量化对冲11号净值20260911.xlsx</x:v>
      </x:c>
      <x:c r="I4650" s="73" t="str">
        <x:f>""</x:f>
      </x:c>
      <x:c r="J4650" s="74" t="str">
        <x:f>""</x:f>
      </x:c>
      <x:c r="K4650" s="73" t="n">
        <x:f>MAX(K4649,F4650)</x:f>
        <x:v>1.2602</x:v>
      </x:c>
      <x:c r="L4650" s="74" t="n">
        <x:f>1-F4650/K4650</x:f>
        <x:v>0</x:v>
      </x:c>
      <x:c r="M4650" s="73" t="n">
        <x:f>MAX(M4649,F4650)</x:f>
        <x:v>1.2602</x:v>
      </x:c>
      <x:c r="N4650" s="74" t="n">
        <x:f>1-F4650/M4650</x:f>
        <x:v>0</x:v>
      </x:c>
    </x:row>
    <x:row r="4651" ht="27" customHeight="1">
      <x:c r="A4651" s="66" t="str">
        <x:v>SQN453</x:v>
      </x:c>
      <x:c r="B4651" s="66" t="str">
        <x:v>钧誉厚德量化对冲11号</x:v>
      </x:c>
      <x:c r="C4651" s="72" t="n">
        <x:v>45191</x:v>
      </x:c>
      <x:c r="D4651" s="73" t="n">
        <x:v>1.2605</x:v>
      </x:c>
      <x:c r="E4651" s="73" t="n">
        <x:v>1.2605</x:v>
      </x:c>
      <x:c r="F4651" s="73" t="n">
        <x:v>1.2605</x:v>
      </x:c>
      <x:c r="G4651" s="74" t="n">
        <x:v>0.0002</x:v>
      </x:c>
      <x:c r="H4651" s="66" t="str">
        <x:v>钧誉厚德量化对冲11号净值20260911.xlsx</x:v>
      </x:c>
      <x:c r="I4651" s="73" t="str">
        <x:f>""</x:f>
      </x:c>
      <x:c r="J4651" s="74" t="str">
        <x:f>""</x:f>
      </x:c>
      <x:c r="K4651" s="73" t="n">
        <x:f>MAX(K4650,F4651)</x:f>
        <x:v>1.2605</x:v>
      </x:c>
      <x:c r="L4651" s="74" t="n">
        <x:f>1-F4651/K4651</x:f>
        <x:v>0</x:v>
      </x:c>
      <x:c r="M4651" s="73" t="n">
        <x:f>MAX(M4650,F4651)</x:f>
        <x:v>1.2605</x:v>
      </x:c>
      <x:c r="N4651" s="74" t="n">
        <x:f>1-F4651/M4651</x:f>
        <x:v>0</x:v>
      </x:c>
    </x:row>
    <x:row r="4652" ht="27" customHeight="1">
      <x:c r="A4652" s="66" t="str">
        <x:v>SQN453</x:v>
      </x:c>
      <x:c r="B4652" s="66" t="str">
        <x:v>钧誉厚德量化对冲11号</x:v>
      </x:c>
      <x:c r="C4652" s="72" t="n">
        <x:v>45194</x:v>
      </x:c>
      <x:c r="D4652" s="73" t="n">
        <x:v>1.2606</x:v>
      </x:c>
      <x:c r="E4652" s="73" t="n">
        <x:v>1.2606</x:v>
      </x:c>
      <x:c r="F4652" s="73" t="n">
        <x:v>1.2606</x:v>
      </x:c>
      <x:c r="G4652" s="74" t="n">
        <x:v>0.0001</x:v>
      </x:c>
      <x:c r="H4652" s="66" t="str">
        <x:v>钧誉厚德量化对冲11号净值20260911.xlsx</x:v>
      </x:c>
      <x:c r="I4652" s="73" t="str">
        <x:f>""</x:f>
      </x:c>
      <x:c r="J4652" s="74" t="str">
        <x:f>""</x:f>
      </x:c>
      <x:c r="K4652" s="73" t="n">
        <x:f>MAX(K4651,F4652)</x:f>
        <x:v>1.2606</x:v>
      </x:c>
      <x:c r="L4652" s="74" t="n">
        <x:f>1-F4652/K4652</x:f>
        <x:v>0</x:v>
      </x:c>
      <x:c r="M4652" s="73" t="n">
        <x:f>MAX(M4651,F4652)</x:f>
        <x:v>1.2606</x:v>
      </x:c>
      <x:c r="N4652" s="74" t="n">
        <x:f>1-F4652/M4652</x:f>
        <x:v>0</x:v>
      </x:c>
    </x:row>
    <x:row r="4653" ht="27" customHeight="1">
      <x:c r="A4653" s="66" t="str">
        <x:v>SQN453</x:v>
      </x:c>
      <x:c r="B4653" s="66" t="str">
        <x:v>钧誉厚德量化对冲11号</x:v>
      </x:c>
      <x:c r="C4653" s="72" t="n">
        <x:v>45195</x:v>
      </x:c>
      <x:c r="D4653" s="73" t="n">
        <x:v>1.261</x:v>
      </x:c>
      <x:c r="E4653" s="73" t="n">
        <x:v>1.261</x:v>
      </x:c>
      <x:c r="F4653" s="73" t="n">
        <x:v>1.261</x:v>
      </x:c>
      <x:c r="G4653" s="74" t="n">
        <x:v>0.0003</x:v>
      </x:c>
      <x:c r="H4653" s="66" t="str">
        <x:v>钧誉厚德量化对冲11号净值20260911.xlsx</x:v>
      </x:c>
      <x:c r="I4653" s="73" t="str">
        <x:f>""</x:f>
      </x:c>
      <x:c r="J4653" s="74" t="str">
        <x:f>""</x:f>
      </x:c>
      <x:c r="K4653" s="73" t="n">
        <x:f>MAX(K4652,F4653)</x:f>
        <x:v>1.261</x:v>
      </x:c>
      <x:c r="L4653" s="74" t="n">
        <x:f>1-F4653/K4653</x:f>
        <x:v>0</x:v>
      </x:c>
      <x:c r="M4653" s="73" t="n">
        <x:f>MAX(M4652,F4653)</x:f>
        <x:v>1.261</x:v>
      </x:c>
      <x:c r="N4653" s="74" t="n">
        <x:f>1-F4653/M4653</x:f>
        <x:v>0</x:v>
      </x:c>
    </x:row>
    <x:row r="4654" ht="27" customHeight="1">
      <x:c r="A4654" s="66" t="str">
        <x:v>SQN453</x:v>
      </x:c>
      <x:c r="B4654" s="66" t="str">
        <x:v>钧誉厚德量化对冲11号</x:v>
      </x:c>
      <x:c r="C4654" s="72" t="n">
        <x:v>45196</x:v>
      </x:c>
      <x:c r="D4654" s="73" t="n">
        <x:v>1.2621</x:v>
      </x:c>
      <x:c r="E4654" s="73" t="n">
        <x:v>1.2621</x:v>
      </x:c>
      <x:c r="F4654" s="73" t="n">
        <x:v>1.2621</x:v>
      </x:c>
      <x:c r="G4654" s="74" t="n">
        <x:v>0.0009</x:v>
      </x:c>
      <x:c r="H4654" s="66" t="str">
        <x:v>钧誉厚德量化对冲11号净值20260911.xlsx</x:v>
      </x:c>
      <x:c r="I4654" s="73" t="str">
        <x:f>""</x:f>
      </x:c>
      <x:c r="J4654" s="74" t="str">
        <x:f>""</x:f>
      </x:c>
      <x:c r="K4654" s="73" t="n">
        <x:f>MAX(K4653,F4654)</x:f>
        <x:v>1.2621</x:v>
      </x:c>
      <x:c r="L4654" s="74" t="n">
        <x:f>1-F4654/K4654</x:f>
        <x:v>0</x:v>
      </x:c>
      <x:c r="M4654" s="73" t="n">
        <x:f>MAX(M4653,F4654)</x:f>
        <x:v>1.2621</x:v>
      </x:c>
      <x:c r="N4654" s="74" t="n">
        <x:f>1-F4654/M4654</x:f>
        <x:v>0</x:v>
      </x:c>
    </x:row>
    <x:row r="4655" ht="27" customHeight="1">
      <x:c r="A4655" s="66" t="str">
        <x:v>SQN453</x:v>
      </x:c>
      <x:c r="B4655" s="66" t="str">
        <x:v>钧誉厚德量化对冲11号</x:v>
      </x:c>
      <x:c r="C4655" s="72" t="n">
        <x:v>45197</x:v>
      </x:c>
      <x:c r="D4655" s="73" t="n">
        <x:v>1.2622</x:v>
      </x:c>
      <x:c r="E4655" s="73" t="n">
        <x:v>1.2622</x:v>
      </x:c>
      <x:c r="F4655" s="73" t="n">
        <x:v>1.2622</x:v>
      </x:c>
      <x:c r="G4655" s="74" t="n">
        <x:v>0.0001</x:v>
      </x:c>
      <x:c r="H4655" s="66" t="str">
        <x:v>钧誉厚德量化对冲11号净值20260911.xlsx</x:v>
      </x:c>
      <x:c r="I4655" s="73" t="str">
        <x:f>""</x:f>
      </x:c>
      <x:c r="J4655" s="74" t="str">
        <x:f>""</x:f>
      </x:c>
      <x:c r="K4655" s="73" t="n">
        <x:f>MAX(K4654,F4655)</x:f>
        <x:v>1.2622</x:v>
      </x:c>
      <x:c r="L4655" s="74" t="n">
        <x:f>1-F4655/K4655</x:f>
        <x:v>0</x:v>
      </x:c>
      <x:c r="M4655" s="73" t="n">
        <x:f>MAX(M4654,F4655)</x:f>
        <x:v>1.2622</x:v>
      </x:c>
      <x:c r="N4655" s="74" t="n">
        <x:f>1-F4655/M4655</x:f>
        <x:v>0</x:v>
      </x:c>
    </x:row>
    <x:row r="4656" ht="27" customHeight="1">
      <x:c r="A4656" s="66" t="str">
        <x:v>SQN453</x:v>
      </x:c>
      <x:c r="B4656" s="66" t="str">
        <x:v>钧誉厚德量化对冲11号</x:v>
      </x:c>
      <x:c r="C4656" s="72" t="n">
        <x:v>45208</x:v>
      </x:c>
      <x:c r="D4656" s="73" t="n">
        <x:v>1.2622</x:v>
      </x:c>
      <x:c r="E4656" s="73" t="n">
        <x:v>1.2622</x:v>
      </x:c>
      <x:c r="F4656" s="73" t="n">
        <x:v>1.2622</x:v>
      </x:c>
      <x:c r="G4656" s="74" t="n">
        <x:v>0</x:v>
      </x:c>
      <x:c r="H4656" s="66" t="str">
        <x:v>钧誉厚德量化对冲11号净值20260911.xlsx</x:v>
      </x:c>
      <x:c r="I4656" s="73" t="str">
        <x:f>""</x:f>
      </x:c>
      <x:c r="J4656" s="74" t="str">
        <x:f>""</x:f>
      </x:c>
      <x:c r="K4656" s="73" t="n">
        <x:f>MAX(K4655,F4656)</x:f>
        <x:v>1.2622</x:v>
      </x:c>
      <x:c r="L4656" s="74" t="n">
        <x:f>1-F4656/K4656</x:f>
        <x:v>0</x:v>
      </x:c>
      <x:c r="M4656" s="73" t="n">
        <x:f>MAX(M4655,F4656)</x:f>
        <x:v>1.2622</x:v>
      </x:c>
      <x:c r="N4656" s="74" t="n">
        <x:f>1-F4656/M4656</x:f>
        <x:v>0</x:v>
      </x:c>
    </x:row>
    <x:row r="4657" ht="27" customHeight="1">
      <x:c r="A4657" s="66" t="str">
        <x:v>SQN453</x:v>
      </x:c>
      <x:c r="B4657" s="66" t="str">
        <x:v>钧誉厚德量化对冲11号</x:v>
      </x:c>
      <x:c r="C4657" s="72" t="n">
        <x:v>45209</x:v>
      </x:c>
      <x:c r="D4657" s="73" t="n">
        <x:v>1.2625</x:v>
      </x:c>
      <x:c r="E4657" s="73" t="n">
        <x:v>1.2625</x:v>
      </x:c>
      <x:c r="F4657" s="73" t="n">
        <x:v>1.2625</x:v>
      </x:c>
      <x:c r="G4657" s="74" t="n">
        <x:v>0.0002</x:v>
      </x:c>
      <x:c r="H4657" s="66" t="str">
        <x:v>钧誉厚德量化对冲11号净值20260911.xlsx</x:v>
      </x:c>
      <x:c r="I4657" s="73" t="str">
        <x:f>""</x:f>
      </x:c>
      <x:c r="J4657" s="74" t="str">
        <x:f>""</x:f>
      </x:c>
      <x:c r="K4657" s="73" t="n">
        <x:f>MAX(K4656,F4657)</x:f>
        <x:v>1.2625</x:v>
      </x:c>
      <x:c r="L4657" s="74" t="n">
        <x:f>1-F4657/K4657</x:f>
        <x:v>0</x:v>
      </x:c>
      <x:c r="M4657" s="73" t="n">
        <x:f>MAX(M4656,F4657)</x:f>
        <x:v>1.2625</x:v>
      </x:c>
      <x:c r="N4657" s="74" t="n">
        <x:f>1-F4657/M4657</x:f>
        <x:v>0</x:v>
      </x:c>
    </x:row>
    <x:row r="4658" ht="27" customHeight="1">
      <x:c r="A4658" s="66" t="str">
        <x:v>SQN453</x:v>
      </x:c>
      <x:c r="B4658" s="66" t="str">
        <x:v>钧誉厚德量化对冲11号</x:v>
      </x:c>
      <x:c r="C4658" s="72" t="n">
        <x:v>45210</x:v>
      </x:c>
      <x:c r="D4658" s="73" t="n">
        <x:v>1.2628</x:v>
      </x:c>
      <x:c r="E4658" s="73" t="n">
        <x:v>1.2628</x:v>
      </x:c>
      <x:c r="F4658" s="73" t="n">
        <x:v>1.2628</x:v>
      </x:c>
      <x:c r="G4658" s="74" t="n">
        <x:v>0.0002</x:v>
      </x:c>
      <x:c r="H4658" s="66" t="str">
        <x:v>钧誉厚德量化对冲11号净值20260911.xlsx</x:v>
      </x:c>
      <x:c r="I4658" s="73" t="str">
        <x:f>""</x:f>
      </x:c>
      <x:c r="J4658" s="74" t="str">
        <x:f>""</x:f>
      </x:c>
      <x:c r="K4658" s="73" t="n">
        <x:f>MAX(K4657,F4658)</x:f>
        <x:v>1.2628</x:v>
      </x:c>
      <x:c r="L4658" s="74" t="n">
        <x:f>1-F4658/K4658</x:f>
        <x:v>0</x:v>
      </x:c>
      <x:c r="M4658" s="73" t="n">
        <x:f>MAX(M4657,F4658)</x:f>
        <x:v>1.2628</x:v>
      </x:c>
      <x:c r="N4658" s="74" t="n">
        <x:f>1-F4658/M4658</x:f>
        <x:v>0</x:v>
      </x:c>
    </x:row>
    <x:row r="4659" ht="27" customHeight="1">
      <x:c r="A4659" s="66" t="str">
        <x:v>SQN453</x:v>
      </x:c>
      <x:c r="B4659" s="66" t="str">
        <x:v>钧誉厚德量化对冲11号</x:v>
      </x:c>
      <x:c r="C4659" s="72" t="n">
        <x:v>45211</x:v>
      </x:c>
      <x:c r="D4659" s="73" t="n">
        <x:v>1.2635</x:v>
      </x:c>
      <x:c r="E4659" s="73" t="n">
        <x:v>1.2635</x:v>
      </x:c>
      <x:c r="F4659" s="73" t="n">
        <x:v>1.2635</x:v>
      </x:c>
      <x:c r="G4659" s="74" t="n">
        <x:v>0.0006</x:v>
      </x:c>
      <x:c r="H4659" s="66" t="str">
        <x:v>钧誉厚德量化对冲11号净值20260911.xlsx</x:v>
      </x:c>
      <x:c r="I4659" s="73" t="str">
        <x:f>""</x:f>
      </x:c>
      <x:c r="J4659" s="74" t="str">
        <x:f>""</x:f>
      </x:c>
      <x:c r="K4659" s="73" t="n">
        <x:f>MAX(K4658,F4659)</x:f>
        <x:v>1.2635</x:v>
      </x:c>
      <x:c r="L4659" s="74" t="n">
        <x:f>1-F4659/K4659</x:f>
        <x:v>0</x:v>
      </x:c>
      <x:c r="M4659" s="73" t="n">
        <x:f>MAX(M4658,F4659)</x:f>
        <x:v>1.2635</x:v>
      </x:c>
      <x:c r="N4659" s="74" t="n">
        <x:f>1-F4659/M4659</x:f>
        <x:v>0</x:v>
      </x:c>
    </x:row>
    <x:row r="4660" ht="27" customHeight="1">
      <x:c r="A4660" s="66" t="str">
        <x:v>SQN453</x:v>
      </x:c>
      <x:c r="B4660" s="66" t="str">
        <x:v>钧誉厚德量化对冲11号</x:v>
      </x:c>
      <x:c r="C4660" s="72" t="n">
        <x:v>45212</x:v>
      </x:c>
      <x:c r="D4660" s="73" t="n">
        <x:v>1.2647</x:v>
      </x:c>
      <x:c r="E4660" s="73" t="n">
        <x:v>1.2647</x:v>
      </x:c>
      <x:c r="F4660" s="73" t="n">
        <x:v>1.2647</x:v>
      </x:c>
      <x:c r="G4660" s="74" t="n">
        <x:v>0.0009</x:v>
      </x:c>
      <x:c r="H4660" s="66" t="str">
        <x:v>钧誉厚德量化对冲11号净值20260911.xlsx</x:v>
      </x:c>
      <x:c r="I4660" s="73" t="str">
        <x:f>""</x:f>
      </x:c>
      <x:c r="J4660" s="74" t="str">
        <x:f>""</x:f>
      </x:c>
      <x:c r="K4660" s="73" t="n">
        <x:f>MAX(K4659,F4660)</x:f>
        <x:v>1.2647</x:v>
      </x:c>
      <x:c r="L4660" s="74" t="n">
        <x:f>1-F4660/K4660</x:f>
        <x:v>0</x:v>
      </x:c>
      <x:c r="M4660" s="73" t="n">
        <x:f>MAX(M4659,F4660)</x:f>
        <x:v>1.2647</x:v>
      </x:c>
      <x:c r="N4660" s="74" t="n">
        <x:f>1-F4660/M4660</x:f>
        <x:v>0</x:v>
      </x:c>
    </x:row>
    <x:row r="4661" ht="27" customHeight="1">
      <x:c r="A4661" s="66" t="str">
        <x:v>SQN453</x:v>
      </x:c>
      <x:c r="B4661" s="66" t="str">
        <x:v>钧誉厚德量化对冲11号</x:v>
      </x:c>
      <x:c r="C4661" s="72" t="n">
        <x:v>45215</x:v>
      </x:c>
      <x:c r="D4661" s="73" t="n">
        <x:v>1.2653</x:v>
      </x:c>
      <x:c r="E4661" s="73" t="n">
        <x:v>1.2653</x:v>
      </x:c>
      <x:c r="F4661" s="73" t="n">
        <x:v>1.2653</x:v>
      </x:c>
      <x:c r="G4661" s="74" t="n">
        <x:v>0.0005</x:v>
      </x:c>
      <x:c r="H4661" s="66" t="str">
        <x:v>钧誉厚德量化对冲11号净值20260911.xlsx</x:v>
      </x:c>
      <x:c r="I4661" s="73" t="str">
        <x:f>""</x:f>
      </x:c>
      <x:c r="J4661" s="74" t="str">
        <x:f>""</x:f>
      </x:c>
      <x:c r="K4661" s="73" t="n">
        <x:f>MAX(K4660,F4661)</x:f>
        <x:v>1.2653</x:v>
      </x:c>
      <x:c r="L4661" s="74" t="n">
        <x:f>1-F4661/K4661</x:f>
        <x:v>0</x:v>
      </x:c>
      <x:c r="M4661" s="73" t="n">
        <x:f>MAX(M4660,F4661)</x:f>
        <x:v>1.2653</x:v>
      </x:c>
      <x:c r="N4661" s="74" t="n">
        <x:f>1-F4661/M4661</x:f>
        <x:v>0</x:v>
      </x:c>
    </x:row>
    <x:row r="4662" ht="27" customHeight="1">
      <x:c r="A4662" s="66" t="str">
        <x:v>SQN453</x:v>
      </x:c>
      <x:c r="B4662" s="66" t="str">
        <x:v>钧誉厚德量化对冲11号</x:v>
      </x:c>
      <x:c r="C4662" s="72" t="n">
        <x:v>45216</x:v>
      </x:c>
      <x:c r="D4662" s="73" t="n">
        <x:v>1.2656</x:v>
      </x:c>
      <x:c r="E4662" s="73" t="n">
        <x:v>1.2656</x:v>
      </x:c>
      <x:c r="F4662" s="73" t="n">
        <x:v>1.2656</x:v>
      </x:c>
      <x:c r="G4662" s="74" t="n">
        <x:v>0.0002</x:v>
      </x:c>
      <x:c r="H4662" s="66" t="str">
        <x:v>钧誉厚德量化对冲11号净值20260911.xlsx</x:v>
      </x:c>
      <x:c r="I4662" s="73" t="str">
        <x:f>""</x:f>
      </x:c>
      <x:c r="J4662" s="74" t="str">
        <x:f>""</x:f>
      </x:c>
      <x:c r="K4662" s="73" t="n">
        <x:f>MAX(K4661,F4662)</x:f>
        <x:v>1.2656</x:v>
      </x:c>
      <x:c r="L4662" s="74" t="n">
        <x:f>1-F4662/K4662</x:f>
        <x:v>0</x:v>
      </x:c>
      <x:c r="M4662" s="73" t="n">
        <x:f>MAX(M4661,F4662)</x:f>
        <x:v>1.2656</x:v>
      </x:c>
      <x:c r="N4662" s="74" t="n">
        <x:f>1-F4662/M4662</x:f>
        <x:v>0</x:v>
      </x:c>
    </x:row>
    <x:row r="4663" ht="27" customHeight="1">
      <x:c r="A4663" s="66" t="str">
        <x:v>SQN453</x:v>
      </x:c>
      <x:c r="B4663" s="66" t="str">
        <x:v>钧誉厚德量化对冲11号</x:v>
      </x:c>
      <x:c r="C4663" s="72" t="n">
        <x:v>45217</x:v>
      </x:c>
      <x:c r="D4663" s="73" t="n">
        <x:v>1.2665</x:v>
      </x:c>
      <x:c r="E4663" s="73" t="n">
        <x:v>1.2665</x:v>
      </x:c>
      <x:c r="F4663" s="73" t="n">
        <x:v>1.2665</x:v>
      </x:c>
      <x:c r="G4663" s="74" t="n">
        <x:v>0.0007000000000000001</x:v>
      </x:c>
      <x:c r="H4663" s="66" t="str">
        <x:v>钧誉厚德量化对冲11号净值20260911.xlsx</x:v>
      </x:c>
      <x:c r="I4663" s="73" t="str">
        <x:f>""</x:f>
      </x:c>
      <x:c r="J4663" s="74" t="str">
        <x:f>""</x:f>
      </x:c>
      <x:c r="K4663" s="73" t="n">
        <x:f>MAX(K4662,F4663)</x:f>
        <x:v>1.2665</x:v>
      </x:c>
      <x:c r="L4663" s="74" t="n">
        <x:f>1-F4663/K4663</x:f>
        <x:v>0</x:v>
      </x:c>
      <x:c r="M4663" s="73" t="n">
        <x:f>MAX(M4662,F4663)</x:f>
        <x:v>1.2665</x:v>
      </x:c>
      <x:c r="N4663" s="74" t="n">
        <x:f>1-F4663/M4663</x:f>
        <x:v>0</x:v>
      </x:c>
    </x:row>
    <x:row r="4664" ht="27" customHeight="1">
      <x:c r="A4664" s="66" t="str">
        <x:v>SQN453</x:v>
      </x:c>
      <x:c r="B4664" s="66" t="str">
        <x:v>钧誉厚德量化对冲11号</x:v>
      </x:c>
      <x:c r="C4664" s="72" t="n">
        <x:v>45218</x:v>
      </x:c>
      <x:c r="D4664" s="73" t="n">
        <x:v>1.2669</x:v>
      </x:c>
      <x:c r="E4664" s="73" t="n">
        <x:v>1.2669</x:v>
      </x:c>
      <x:c r="F4664" s="73" t="n">
        <x:v>1.2669</x:v>
      </x:c>
      <x:c r="G4664" s="74" t="n">
        <x:v>0.0003</x:v>
      </x:c>
      <x:c r="H4664" s="66" t="str">
        <x:v>钧誉厚德量化对冲11号净值20260911.xlsx</x:v>
      </x:c>
      <x:c r="I4664" s="73" t="str">
        <x:f>""</x:f>
      </x:c>
      <x:c r="J4664" s="74" t="str">
        <x:f>""</x:f>
      </x:c>
      <x:c r="K4664" s="73" t="n">
        <x:f>MAX(K4663,F4664)</x:f>
        <x:v>1.2669</x:v>
      </x:c>
      <x:c r="L4664" s="74" t="n">
        <x:f>1-F4664/K4664</x:f>
        <x:v>0</x:v>
      </x:c>
      <x:c r="M4664" s="73" t="n">
        <x:f>MAX(M4663,F4664)</x:f>
        <x:v>1.2669</x:v>
      </x:c>
      <x:c r="N4664" s="74" t="n">
        <x:f>1-F4664/M4664</x:f>
        <x:v>0</x:v>
      </x:c>
    </x:row>
    <x:row r="4665" ht="27" customHeight="1">
      <x:c r="A4665" s="66" t="str">
        <x:v>SQN453</x:v>
      </x:c>
      <x:c r="B4665" s="66" t="str">
        <x:v>钧誉厚德量化对冲11号</x:v>
      </x:c>
      <x:c r="C4665" s="72" t="n">
        <x:v>45219</x:v>
      </x:c>
      <x:c r="D4665" s="73" t="n">
        <x:v>1.268</x:v>
      </x:c>
      <x:c r="E4665" s="73" t="n">
        <x:v>1.268</x:v>
      </x:c>
      <x:c r="F4665" s="73" t="n">
        <x:v>1.268</x:v>
      </x:c>
      <x:c r="G4665" s="74" t="n">
        <x:v>0.0009</x:v>
      </x:c>
      <x:c r="H4665" s="66" t="str">
        <x:v>钧誉厚德量化对冲11号净值20260911.xlsx</x:v>
      </x:c>
      <x:c r="I4665" s="73" t="str">
        <x:f>""</x:f>
      </x:c>
      <x:c r="J4665" s="74" t="str">
        <x:f>""</x:f>
      </x:c>
      <x:c r="K4665" s="73" t="n">
        <x:f>MAX(K4664,F4665)</x:f>
        <x:v>1.268</x:v>
      </x:c>
      <x:c r="L4665" s="74" t="n">
        <x:f>1-F4665/K4665</x:f>
        <x:v>0</x:v>
      </x:c>
      <x:c r="M4665" s="73" t="n">
        <x:f>MAX(M4664,F4665)</x:f>
        <x:v>1.268</x:v>
      </x:c>
      <x:c r="N4665" s="74" t="n">
        <x:f>1-F4665/M4665</x:f>
        <x:v>0</x:v>
      </x:c>
    </x:row>
    <x:row r="4666" ht="27" customHeight="1">
      <x:c r="A4666" s="66" t="str">
        <x:v>SQN453</x:v>
      </x:c>
      <x:c r="B4666" s="66" t="str">
        <x:v>钧誉厚德量化对冲11号</x:v>
      </x:c>
      <x:c r="C4666" s="72" t="n">
        <x:v>45222</x:v>
      </x:c>
      <x:c r="D4666" s="73" t="n">
        <x:v>1.2688</x:v>
      </x:c>
      <x:c r="E4666" s="73" t="n">
        <x:v>1.2688</x:v>
      </x:c>
      <x:c r="F4666" s="73" t="n">
        <x:v>1.2688</x:v>
      </x:c>
      <x:c r="G4666" s="74" t="n">
        <x:v>0.0006</x:v>
      </x:c>
      <x:c r="H4666" s="66" t="str">
        <x:v>钧誉厚德量化对冲11号净值20260911.xlsx</x:v>
      </x:c>
      <x:c r="I4666" s="73" t="str">
        <x:f>""</x:f>
      </x:c>
      <x:c r="J4666" s="74" t="str">
        <x:f>""</x:f>
      </x:c>
      <x:c r="K4666" s="73" t="n">
        <x:f>MAX(K4665,F4666)</x:f>
        <x:v>1.2688</x:v>
      </x:c>
      <x:c r="L4666" s="74" t="n">
        <x:f>1-F4666/K4666</x:f>
        <x:v>0</x:v>
      </x:c>
      <x:c r="M4666" s="73" t="n">
        <x:f>MAX(M4665,F4666)</x:f>
        <x:v>1.2688</x:v>
      </x:c>
      <x:c r="N4666" s="74" t="n">
        <x:f>1-F4666/M4666</x:f>
        <x:v>0</x:v>
      </x:c>
    </x:row>
    <x:row r="4667" ht="27" customHeight="1">
      <x:c r="A4667" s="66" t="str">
        <x:v>SQN453</x:v>
      </x:c>
      <x:c r="B4667" s="66" t="str">
        <x:v>钧誉厚德量化对冲11号</x:v>
      </x:c>
      <x:c r="C4667" s="72" t="n">
        <x:v>45223</x:v>
      </x:c>
      <x:c r="D4667" s="73" t="n">
        <x:v>1.2691</x:v>
      </x:c>
      <x:c r="E4667" s="73" t="n">
        <x:v>1.2691</x:v>
      </x:c>
      <x:c r="F4667" s="73" t="n">
        <x:v>1.2691</x:v>
      </x:c>
      <x:c r="G4667" s="74" t="n">
        <x:v>0.0002</x:v>
      </x:c>
      <x:c r="H4667" s="66" t="str">
        <x:v>钧誉厚德量化对冲11号净值20260911.xlsx</x:v>
      </x:c>
      <x:c r="I4667" s="73" t="str">
        <x:f>""</x:f>
      </x:c>
      <x:c r="J4667" s="74" t="str">
        <x:f>""</x:f>
      </x:c>
      <x:c r="K4667" s="73" t="n">
        <x:f>MAX(K4666,F4667)</x:f>
        <x:v>1.2691</x:v>
      </x:c>
      <x:c r="L4667" s="74" t="n">
        <x:f>1-F4667/K4667</x:f>
        <x:v>0</x:v>
      </x:c>
      <x:c r="M4667" s="73" t="n">
        <x:f>MAX(M4666,F4667)</x:f>
        <x:v>1.2691</x:v>
      </x:c>
      <x:c r="N4667" s="74" t="n">
        <x:f>1-F4667/M4667</x:f>
        <x:v>0</x:v>
      </x:c>
    </x:row>
    <x:row r="4668" ht="27" customHeight="1">
      <x:c r="A4668" s="66" t="str">
        <x:v>SQN453</x:v>
      </x:c>
      <x:c r="B4668" s="66" t="str">
        <x:v>钧誉厚德量化对冲11号</x:v>
      </x:c>
      <x:c r="C4668" s="72" t="n">
        <x:v>45224</x:v>
      </x:c>
      <x:c r="D4668" s="73" t="n">
        <x:v>1.2696</x:v>
      </x:c>
      <x:c r="E4668" s="73" t="n">
        <x:v>1.2696</x:v>
      </x:c>
      <x:c r="F4668" s="73" t="n">
        <x:v>1.2696</x:v>
      </x:c>
      <x:c r="G4668" s="74" t="n">
        <x:v>0.0004</x:v>
      </x:c>
      <x:c r="H4668" s="66" t="str">
        <x:v>钧誉厚德量化对冲11号净值20260911.xlsx</x:v>
      </x:c>
      <x:c r="I4668" s="73" t="str">
        <x:f>""</x:f>
      </x:c>
      <x:c r="J4668" s="74" t="str">
        <x:f>""</x:f>
      </x:c>
      <x:c r="K4668" s="73" t="n">
        <x:f>MAX(K4667,F4668)</x:f>
        <x:v>1.2696</x:v>
      </x:c>
      <x:c r="L4668" s="74" t="n">
        <x:f>1-F4668/K4668</x:f>
        <x:v>0</x:v>
      </x:c>
      <x:c r="M4668" s="73" t="n">
        <x:f>MAX(M4667,F4668)</x:f>
        <x:v>1.2696</x:v>
      </x:c>
      <x:c r="N4668" s="74" t="n">
        <x:f>1-F4668/M4668</x:f>
        <x:v>0</x:v>
      </x:c>
    </x:row>
    <x:row r="4669" ht="27" customHeight="1">
      <x:c r="A4669" s="66" t="str">
        <x:v>SQN453</x:v>
      </x:c>
      <x:c r="B4669" s="66" t="str">
        <x:v>钧誉厚德量化对冲11号</x:v>
      </x:c>
      <x:c r="C4669" s="72" t="n">
        <x:v>45225</x:v>
      </x:c>
      <x:c r="D4669" s="73" t="n">
        <x:v>1.2701</x:v>
      </x:c>
      <x:c r="E4669" s="73" t="n">
        <x:v>1.2701</x:v>
      </x:c>
      <x:c r="F4669" s="73" t="n">
        <x:v>1.2701</x:v>
      </x:c>
      <x:c r="G4669" s="74" t="n">
        <x:v>0.0004</x:v>
      </x:c>
      <x:c r="H4669" s="66" t="str">
        <x:v>钧誉厚德量化对冲11号净值20260911.xlsx</x:v>
      </x:c>
      <x:c r="I4669" s="73" t="str">
        <x:f>""</x:f>
      </x:c>
      <x:c r="J4669" s="74" t="str">
        <x:f>""</x:f>
      </x:c>
      <x:c r="K4669" s="73" t="n">
        <x:f>MAX(K4668,F4669)</x:f>
        <x:v>1.2701</x:v>
      </x:c>
      <x:c r="L4669" s="74" t="n">
        <x:f>1-F4669/K4669</x:f>
        <x:v>0</x:v>
      </x:c>
      <x:c r="M4669" s="73" t="n">
        <x:f>MAX(M4668,F4669)</x:f>
        <x:v>1.2701</x:v>
      </x:c>
      <x:c r="N4669" s="74" t="n">
        <x:f>1-F4669/M4669</x:f>
        <x:v>0</x:v>
      </x:c>
    </x:row>
    <x:row r="4670" ht="27" customHeight="1">
      <x:c r="A4670" s="66" t="str">
        <x:v>SQN453</x:v>
      </x:c>
      <x:c r="B4670" s="66" t="str">
        <x:v>钧誉厚德量化对冲11号</x:v>
      </x:c>
      <x:c r="C4670" s="72" t="n">
        <x:v>45226</x:v>
      </x:c>
      <x:c r="D4670" s="73" t="n">
        <x:v>1.2704</x:v>
      </x:c>
      <x:c r="E4670" s="73" t="n">
        <x:v>1.2704</x:v>
      </x:c>
      <x:c r="F4670" s="73" t="n">
        <x:v>1.2704</x:v>
      </x:c>
      <x:c r="G4670" s="74" t="n">
        <x:v>0.0002</x:v>
      </x:c>
      <x:c r="H4670" s="66" t="str">
        <x:v>钧誉厚德量化对冲11号净值20260911.xlsx</x:v>
      </x:c>
      <x:c r="I4670" s="73" t="str">
        <x:f>""</x:f>
      </x:c>
      <x:c r="J4670" s="74" t="str">
        <x:f>""</x:f>
      </x:c>
      <x:c r="K4670" s="73" t="n">
        <x:f>MAX(K4669,F4670)</x:f>
        <x:v>1.2704</x:v>
      </x:c>
      <x:c r="L4670" s="74" t="n">
        <x:f>1-F4670/K4670</x:f>
        <x:v>0</x:v>
      </x:c>
      <x:c r="M4670" s="73" t="n">
        <x:f>MAX(M4669,F4670)</x:f>
        <x:v>1.2704</x:v>
      </x:c>
      <x:c r="N4670" s="74" t="n">
        <x:f>1-F4670/M4670</x:f>
        <x:v>0</x:v>
      </x:c>
    </x:row>
    <x:row r="4671" ht="27" customHeight="1">
      <x:c r="A4671" s="66" t="str">
        <x:v>SQN453</x:v>
      </x:c>
      <x:c r="B4671" s="66" t="str">
        <x:v>钧誉厚德量化对冲11号</x:v>
      </x:c>
      <x:c r="C4671" s="72" t="n">
        <x:v>45229</x:v>
      </x:c>
      <x:c r="D4671" s="73" t="n">
        <x:v>1.2713</x:v>
      </x:c>
      <x:c r="E4671" s="73" t="n">
        <x:v>1.2713</x:v>
      </x:c>
      <x:c r="F4671" s="73" t="n">
        <x:v>1.2713</x:v>
      </x:c>
      <x:c r="G4671" s="74" t="n">
        <x:v>0.0007000000000000001</x:v>
      </x:c>
      <x:c r="H4671" s="66" t="str">
        <x:v>钧誉厚德量化对冲11号净值20260911.xlsx</x:v>
      </x:c>
      <x:c r="I4671" s="73" t="str">
        <x:f>""</x:f>
      </x:c>
      <x:c r="J4671" s="74" t="str">
        <x:f>""</x:f>
      </x:c>
      <x:c r="K4671" s="73" t="n">
        <x:f>MAX(K4670,F4671)</x:f>
        <x:v>1.2713</x:v>
      </x:c>
      <x:c r="L4671" s="74" t="n">
        <x:f>1-F4671/K4671</x:f>
        <x:v>0</x:v>
      </x:c>
      <x:c r="M4671" s="73" t="n">
        <x:f>MAX(M4670,F4671)</x:f>
        <x:v>1.2713</x:v>
      </x:c>
      <x:c r="N4671" s="74" t="n">
        <x:f>1-F4671/M4671</x:f>
        <x:v>0</x:v>
      </x:c>
    </x:row>
    <x:row r="4672" ht="27" customHeight="1">
      <x:c r="A4672" s="66" t="str">
        <x:v>SQN453</x:v>
      </x:c>
      <x:c r="B4672" s="66" t="str">
        <x:v>钧誉厚德量化对冲11号</x:v>
      </x:c>
      <x:c r="C4672" s="72" t="n">
        <x:v>45230</x:v>
      </x:c>
      <x:c r="D4672" s="73" t="n">
        <x:v>1.2713</x:v>
      </x:c>
      <x:c r="E4672" s="73" t="n">
        <x:v>1.2713</x:v>
      </x:c>
      <x:c r="F4672" s="73" t="n">
        <x:v>1.2713</x:v>
      </x:c>
      <x:c r="G4672" s="74" t="n">
        <x:v>0</x:v>
      </x:c>
      <x:c r="H4672" s="66" t="str">
        <x:v>钧誉厚德量化对冲11号净值20260911.xlsx</x:v>
      </x:c>
      <x:c r="I4672" s="73" t="str">
        <x:f>""</x:f>
      </x:c>
      <x:c r="J4672" s="74" t="str">
        <x:f>""</x:f>
      </x:c>
      <x:c r="K4672" s="73" t="n">
        <x:f>MAX(K4671,F4672)</x:f>
        <x:v>1.2713</x:v>
      </x:c>
      <x:c r="L4672" s="74" t="n">
        <x:f>1-F4672/K4672</x:f>
        <x:v>0</x:v>
      </x:c>
      <x:c r="M4672" s="73" t="n">
        <x:f>MAX(M4671,F4672)</x:f>
        <x:v>1.2713</x:v>
      </x:c>
      <x:c r="N4672" s="74" t="n">
        <x:f>1-F4672/M4672</x:f>
        <x:v>0</x:v>
      </x:c>
    </x:row>
    <x:row r="4673" ht="27" customHeight="1">
      <x:c r="A4673" s="66" t="str">
        <x:v>SQN453</x:v>
      </x:c>
      <x:c r="B4673" s="66" t="str">
        <x:v>钧誉厚德量化对冲11号</x:v>
      </x:c>
      <x:c r="C4673" s="72" t="n">
        <x:v>45231</x:v>
      </x:c>
      <x:c r="D4673" s="73" t="n">
        <x:v>1.2712</x:v>
      </x:c>
      <x:c r="E4673" s="73" t="n">
        <x:v>1.2712</x:v>
      </x:c>
      <x:c r="F4673" s="73" t="n">
        <x:v>1.2712</x:v>
      </x:c>
      <x:c r="G4673" s="74" t="n">
        <x:v>-0.0001</x:v>
      </x:c>
      <x:c r="H4673" s="66" t="str">
        <x:v>钧誉厚德量化对冲11号净值20260911.xlsx</x:v>
      </x:c>
      <x:c r="I4673" s="73" t="str">
        <x:f>""</x:f>
      </x:c>
      <x:c r="J4673" s="74" t="str">
        <x:f>""</x:f>
      </x:c>
      <x:c r="K4673" s="73" t="n">
        <x:f>MAX(K4672,F4673)</x:f>
        <x:v>1.2713</x:v>
      </x:c>
      <x:c r="L4673" s="74" t="n">
        <x:f>1-F4673/K4673</x:f>
        <x:v>0.00007865963973885393</x:v>
      </x:c>
      <x:c r="M4673" s="73" t="n">
        <x:f>MAX(M4672,F4673)</x:f>
        <x:v>1.2713</x:v>
      </x:c>
      <x:c r="N4673" s="74" t="n">
        <x:f>1-F4673/M4673</x:f>
        <x:v>0.00007865963973885393</x:v>
      </x:c>
    </x:row>
    <x:row r="4674" ht="27" customHeight="1">
      <x:c r="A4674" s="66" t="str">
        <x:v>SQN453</x:v>
      </x:c>
      <x:c r="B4674" s="66" t="str">
        <x:v>钧誉厚德量化对冲11号</x:v>
      </x:c>
      <x:c r="C4674" s="72" t="n">
        <x:v>45232</x:v>
      </x:c>
      <x:c r="D4674" s="73" t="n">
        <x:v>1.2711</x:v>
      </x:c>
      <x:c r="E4674" s="73" t="n">
        <x:v>1.2711</x:v>
      </x:c>
      <x:c r="F4674" s="73" t="n">
        <x:v>1.2711</x:v>
      </x:c>
      <x:c r="G4674" s="74" t="n">
        <x:v>-0.0001</x:v>
      </x:c>
      <x:c r="H4674" s="66" t="str">
        <x:v>钧誉厚德量化对冲11号净值20260911.xlsx</x:v>
      </x:c>
      <x:c r="I4674" s="73" t="str">
        <x:f>""</x:f>
      </x:c>
      <x:c r="J4674" s="74" t="str">
        <x:f>""</x:f>
      </x:c>
      <x:c r="K4674" s="73" t="n">
        <x:f>MAX(K4673,F4674)</x:f>
        <x:v>1.2713</x:v>
      </x:c>
      <x:c r="L4674" s="74" t="n">
        <x:f>1-F4674/K4674</x:f>
        <x:v>0.00015731927947781887</x:v>
      </x:c>
      <x:c r="M4674" s="73" t="n">
        <x:f>MAX(M4673,F4674)</x:f>
        <x:v>1.2713</x:v>
      </x:c>
      <x:c r="N4674" s="74" t="n">
        <x:f>1-F4674/M4674</x:f>
        <x:v>0.00015731927947781887</x:v>
      </x:c>
    </x:row>
    <x:row r="4675" ht="27" customHeight="1">
      <x:c r="A4675" s="66" t="str">
        <x:v>SQN453</x:v>
      </x:c>
      <x:c r="B4675" s="66" t="str">
        <x:v>钧誉厚德量化对冲11号</x:v>
      </x:c>
      <x:c r="C4675" s="72" t="n">
        <x:v>45233</x:v>
      </x:c>
      <x:c r="D4675" s="73" t="n">
        <x:v>1.2719</x:v>
      </x:c>
      <x:c r="E4675" s="73" t="n">
        <x:v>1.2719</x:v>
      </x:c>
      <x:c r="F4675" s="73" t="n">
        <x:v>1.2719</x:v>
      </x:c>
      <x:c r="G4675" s="74" t="n">
        <x:v>0.0006</x:v>
      </x:c>
      <x:c r="H4675" s="66" t="str">
        <x:v>钧誉厚德量化对冲11号净值20260911.xlsx</x:v>
      </x:c>
      <x:c r="I4675" s="73" t="str">
        <x:f>""</x:f>
      </x:c>
      <x:c r="J4675" s="74" t="str">
        <x:f>""</x:f>
      </x:c>
      <x:c r="K4675" s="73" t="n">
        <x:f>MAX(K4674,F4675)</x:f>
        <x:v>1.2719</x:v>
      </x:c>
      <x:c r="L4675" s="74" t="n">
        <x:f>1-F4675/K4675</x:f>
        <x:v>0</x:v>
      </x:c>
      <x:c r="M4675" s="73" t="n">
        <x:f>MAX(M4674,F4675)</x:f>
        <x:v>1.2719</x:v>
      </x:c>
      <x:c r="N4675" s="74" t="n">
        <x:f>1-F4675/M4675</x:f>
        <x:v>0</x:v>
      </x:c>
    </x:row>
    <x:row r="4676" ht="27" customHeight="1">
      <x:c r="A4676" s="66" t="str">
        <x:v>SQN453</x:v>
      </x:c>
      <x:c r="B4676" s="66" t="str">
        <x:v>钧誉厚德量化对冲11号</x:v>
      </x:c>
      <x:c r="C4676" s="72" t="n">
        <x:v>45236</x:v>
      </x:c>
      <x:c r="D4676" s="73" t="n">
        <x:v>1.2722</x:v>
      </x:c>
      <x:c r="E4676" s="73" t="n">
        <x:v>1.2722</x:v>
      </x:c>
      <x:c r="F4676" s="73" t="n">
        <x:v>1.2722</x:v>
      </x:c>
      <x:c r="G4676" s="74" t="n">
        <x:v>0.0002</x:v>
      </x:c>
      <x:c r="H4676" s="66" t="str">
        <x:v>钧誉厚德量化对冲11号净值20260911.xlsx</x:v>
      </x:c>
      <x:c r="I4676" s="73" t="str">
        <x:f>""</x:f>
      </x:c>
      <x:c r="J4676" s="74" t="str">
        <x:f>""</x:f>
      </x:c>
      <x:c r="K4676" s="73" t="n">
        <x:f>MAX(K4675,F4676)</x:f>
        <x:v>1.2722</x:v>
      </x:c>
      <x:c r="L4676" s="74" t="n">
        <x:f>1-F4676/K4676</x:f>
        <x:v>0</x:v>
      </x:c>
      <x:c r="M4676" s="73" t="n">
        <x:f>MAX(M4675,F4676)</x:f>
        <x:v>1.2722</x:v>
      </x:c>
      <x:c r="N4676" s="74" t="n">
        <x:f>1-F4676/M4676</x:f>
        <x:v>0</x:v>
      </x:c>
    </x:row>
    <x:row r="4677" ht="27" customHeight="1">
      <x:c r="A4677" s="66" t="str">
        <x:v>SQN453</x:v>
      </x:c>
      <x:c r="B4677" s="66" t="str">
        <x:v>钧誉厚德量化对冲11号</x:v>
      </x:c>
      <x:c r="C4677" s="72" t="n">
        <x:v>45237</x:v>
      </x:c>
      <x:c r="D4677" s="73" t="n">
        <x:v>1.2723</x:v>
      </x:c>
      <x:c r="E4677" s="73" t="n">
        <x:v>1.2723</x:v>
      </x:c>
      <x:c r="F4677" s="73" t="n">
        <x:v>1.2723</x:v>
      </x:c>
      <x:c r="G4677" s="74" t="n">
        <x:v>0.0001</x:v>
      </x:c>
      <x:c r="H4677" s="66" t="str">
        <x:v>钧誉厚德量化对冲11号净值20260911.xlsx</x:v>
      </x:c>
      <x:c r="I4677" s="73" t="str">
        <x:f>""</x:f>
      </x:c>
      <x:c r="J4677" s="74" t="str">
        <x:f>""</x:f>
      </x:c>
      <x:c r="K4677" s="73" t="n">
        <x:f>MAX(K4676,F4677)</x:f>
        <x:v>1.2723</x:v>
      </x:c>
      <x:c r="L4677" s="74" t="n">
        <x:f>1-F4677/K4677</x:f>
        <x:v>0</x:v>
      </x:c>
      <x:c r="M4677" s="73" t="n">
        <x:f>MAX(M4676,F4677)</x:f>
        <x:v>1.2723</x:v>
      </x:c>
      <x:c r="N4677" s="74" t="n">
        <x:f>1-F4677/M4677</x:f>
        <x:v>0</x:v>
      </x:c>
    </x:row>
    <x:row r="4678" ht="27" customHeight="1">
      <x:c r="A4678" s="66" t="str">
        <x:v>SQN453</x:v>
      </x:c>
      <x:c r="B4678" s="66" t="str">
        <x:v>钧誉厚德量化对冲11号</x:v>
      </x:c>
      <x:c r="C4678" s="72" t="n">
        <x:v>45238</x:v>
      </x:c>
      <x:c r="D4678" s="73" t="n">
        <x:v>1.2729</x:v>
      </x:c>
      <x:c r="E4678" s="73" t="n">
        <x:v>1.2729</x:v>
      </x:c>
      <x:c r="F4678" s="73" t="n">
        <x:v>1.2729</x:v>
      </x:c>
      <x:c r="G4678" s="74" t="n">
        <x:v>0.0005</x:v>
      </x:c>
      <x:c r="H4678" s="66" t="str">
        <x:v>钧誉厚德量化对冲11号净值20260911.xlsx</x:v>
      </x:c>
      <x:c r="I4678" s="73" t="str">
        <x:f>""</x:f>
      </x:c>
      <x:c r="J4678" s="74" t="str">
        <x:f>""</x:f>
      </x:c>
      <x:c r="K4678" s="73" t="n">
        <x:f>MAX(K4677,F4678)</x:f>
        <x:v>1.2729</x:v>
      </x:c>
      <x:c r="L4678" s="74" t="n">
        <x:f>1-F4678/K4678</x:f>
        <x:v>0</x:v>
      </x:c>
      <x:c r="M4678" s="73" t="n">
        <x:f>MAX(M4677,F4678)</x:f>
        <x:v>1.2729</x:v>
      </x:c>
      <x:c r="N4678" s="74" t="n">
        <x:f>1-F4678/M4678</x:f>
        <x:v>0</x:v>
      </x:c>
    </x:row>
    <x:row r="4679" ht="27" customHeight="1">
      <x:c r="A4679" s="66" t="str">
        <x:v>SQN453</x:v>
      </x:c>
      <x:c r="B4679" s="66" t="str">
        <x:v>钧誉厚德量化对冲11号</x:v>
      </x:c>
      <x:c r="C4679" s="72" t="n">
        <x:v>45239</x:v>
      </x:c>
      <x:c r="D4679" s="73" t="n">
        <x:v>1.2731</x:v>
      </x:c>
      <x:c r="E4679" s="73" t="n">
        <x:v>1.2731</x:v>
      </x:c>
      <x:c r="F4679" s="73" t="n">
        <x:v>1.2731</x:v>
      </x:c>
      <x:c r="G4679" s="74" t="n">
        <x:v>0.0002</x:v>
      </x:c>
      <x:c r="H4679" s="66" t="str">
        <x:v>钧誉厚德量化对冲11号净值20260911.xlsx</x:v>
      </x:c>
      <x:c r="I4679" s="73" t="str">
        <x:f>""</x:f>
      </x:c>
      <x:c r="J4679" s="74" t="str">
        <x:f>""</x:f>
      </x:c>
      <x:c r="K4679" s="73" t="n">
        <x:f>MAX(K4678,F4679)</x:f>
        <x:v>1.2731</x:v>
      </x:c>
      <x:c r="L4679" s="74" t="n">
        <x:f>1-F4679/K4679</x:f>
        <x:v>0</x:v>
      </x:c>
      <x:c r="M4679" s="73" t="n">
        <x:f>MAX(M4678,F4679)</x:f>
        <x:v>1.2731</x:v>
      </x:c>
      <x:c r="N4679" s="74" t="n">
        <x:f>1-F4679/M4679</x:f>
        <x:v>0</x:v>
      </x:c>
    </x:row>
    <x:row r="4680" ht="27" customHeight="1">
      <x:c r="A4680" s="66" t="str">
        <x:v>SQN453</x:v>
      </x:c>
      <x:c r="B4680" s="66" t="str">
        <x:v>钧誉厚德量化对冲11号</x:v>
      </x:c>
      <x:c r="C4680" s="72" t="n">
        <x:v>45240</x:v>
      </x:c>
      <x:c r="D4680" s="73" t="n">
        <x:v>1.2728</x:v>
      </x:c>
      <x:c r="E4680" s="73" t="n">
        <x:v>1.2728</x:v>
      </x:c>
      <x:c r="F4680" s="73" t="n">
        <x:v>1.2728</x:v>
      </x:c>
      <x:c r="G4680" s="74" t="n">
        <x:v>-0.0002</x:v>
      </x:c>
      <x:c r="H4680" s="66" t="str">
        <x:v>钧誉厚德量化对冲11号净值20260911.xlsx</x:v>
      </x:c>
      <x:c r="I4680" s="73" t="str">
        <x:f>""</x:f>
      </x:c>
      <x:c r="J4680" s="74" t="str">
        <x:f>""</x:f>
      </x:c>
      <x:c r="K4680" s="73" t="n">
        <x:f>MAX(K4679,F4680)</x:f>
        <x:v>1.2731</x:v>
      </x:c>
      <x:c r="L4680" s="74" t="n">
        <x:f>1-F4680/K4680</x:f>
        <x:v>0.0002356452753121685</x:v>
      </x:c>
      <x:c r="M4680" s="73" t="n">
        <x:f>MAX(M4679,F4680)</x:f>
        <x:v>1.2731</x:v>
      </x:c>
      <x:c r="N4680" s="74" t="n">
        <x:f>1-F4680/M4680</x:f>
        <x:v>0.0002356452753121685</x:v>
      </x:c>
    </x:row>
    <x:row r="4681" ht="27" customHeight="1">
      <x:c r="A4681" s="66" t="str">
        <x:v>SQN453</x:v>
      </x:c>
      <x:c r="B4681" s="66" t="str">
        <x:v>钧誉厚德量化对冲11号</x:v>
      </x:c>
      <x:c r="C4681" s="72" t="n">
        <x:v>45243</x:v>
      </x:c>
      <x:c r="D4681" s="73" t="n">
        <x:v>1.2713</x:v>
      </x:c>
      <x:c r="E4681" s="73" t="n">
        <x:v>1.2713</x:v>
      </x:c>
      <x:c r="F4681" s="73" t="n">
        <x:v>1.2713</x:v>
      </x:c>
      <x:c r="G4681" s="74" t="n">
        <x:v>-0.0012</x:v>
      </x:c>
      <x:c r="H4681" s="66" t="str">
        <x:v>钧誉厚德量化对冲11号净值20260911.xlsx</x:v>
      </x:c>
      <x:c r="I4681" s="73" t="str">
        <x:f>""</x:f>
      </x:c>
      <x:c r="J4681" s="74" t="str">
        <x:f>""</x:f>
      </x:c>
      <x:c r="K4681" s="73" t="n">
        <x:f>MAX(K4680,F4681)</x:f>
        <x:v>1.2731</x:v>
      </x:c>
      <x:c r="L4681" s="74" t="n">
        <x:f>1-F4681/K4681</x:f>
        <x:v>0.001413871651873233</x:v>
      </x:c>
      <x:c r="M4681" s="73" t="n">
        <x:f>MAX(M4680,F4681)</x:f>
        <x:v>1.2731</x:v>
      </x:c>
      <x:c r="N4681" s="74" t="n">
        <x:f>1-F4681/M4681</x:f>
        <x:v>0.001413871651873233</x:v>
      </x:c>
    </x:row>
    <x:row r="4682" ht="27" customHeight="1">
      <x:c r="A4682" s="66" t="str">
        <x:v>SQN453</x:v>
      </x:c>
      <x:c r="B4682" s="66" t="str">
        <x:v>钧誉厚德量化对冲11号</x:v>
      </x:c>
      <x:c r="C4682" s="72" t="n">
        <x:v>45244</x:v>
      </x:c>
      <x:c r="D4682" s="73" t="n">
        <x:v>1.2713</x:v>
      </x:c>
      <x:c r="E4682" s="73" t="n">
        <x:v>1.2713</x:v>
      </x:c>
      <x:c r="F4682" s="73" t="n">
        <x:v>1.2713</x:v>
      </x:c>
      <x:c r="G4682" s="74" t="n">
        <x:v>0</x:v>
      </x:c>
      <x:c r="H4682" s="66" t="str">
        <x:v>钧誉厚德量化对冲11号净值20260911.xlsx</x:v>
      </x:c>
      <x:c r="I4682" s="73" t="str">
        <x:f>""</x:f>
      </x:c>
      <x:c r="J4682" s="74" t="str">
        <x:f>""</x:f>
      </x:c>
      <x:c r="K4682" s="73" t="n">
        <x:f>MAX(K4681,F4682)</x:f>
        <x:v>1.2731</x:v>
      </x:c>
      <x:c r="L4682" s="74" t="n">
        <x:f>1-F4682/K4682</x:f>
        <x:v>0.001413871651873233</x:v>
      </x:c>
      <x:c r="M4682" s="73" t="n">
        <x:f>MAX(M4681,F4682)</x:f>
        <x:v>1.2731</x:v>
      </x:c>
      <x:c r="N4682" s="74" t="n">
        <x:f>1-F4682/M4682</x:f>
        <x:v>0.001413871651873233</x:v>
      </x:c>
    </x:row>
    <x:row r="4683" ht="27" customHeight="1">
      <x:c r="A4683" s="66" t="str">
        <x:v>SQN453</x:v>
      </x:c>
      <x:c r="B4683" s="66" t="str">
        <x:v>钧誉厚德量化对冲11号</x:v>
      </x:c>
      <x:c r="C4683" s="72" t="n">
        <x:v>45245</x:v>
      </x:c>
      <x:c r="D4683" s="73" t="n">
        <x:v>1.2719</x:v>
      </x:c>
      <x:c r="E4683" s="73" t="n">
        <x:v>1.2719</x:v>
      </x:c>
      <x:c r="F4683" s="73" t="n">
        <x:v>1.2719</x:v>
      </x:c>
      <x:c r="G4683" s="74" t="n">
        <x:v>0.0005</x:v>
      </x:c>
      <x:c r="H4683" s="66" t="str">
        <x:v>钧誉厚德量化对冲11号净值20260911.xlsx</x:v>
      </x:c>
      <x:c r="I4683" s="73" t="str">
        <x:f>""</x:f>
      </x:c>
      <x:c r="J4683" s="74" t="str">
        <x:f>""</x:f>
      </x:c>
      <x:c r="K4683" s="73" t="n">
        <x:f>MAX(K4682,F4683)</x:f>
        <x:v>1.2731</x:v>
      </x:c>
      <x:c r="L4683" s="74" t="n">
        <x:f>1-F4683/K4683</x:f>
        <x:v>0.000942581101248785</x:v>
      </x:c>
      <x:c r="M4683" s="73" t="n">
        <x:f>MAX(M4682,F4683)</x:f>
        <x:v>1.2731</x:v>
      </x:c>
      <x:c r="N4683" s="74" t="n">
        <x:f>1-F4683/M4683</x:f>
        <x:v>0.000942581101248785</x:v>
      </x:c>
    </x:row>
    <x:row r="4684" ht="27" customHeight="1">
      <x:c r="A4684" s="66" t="str">
        <x:v>SQN453</x:v>
      </x:c>
      <x:c r="B4684" s="66" t="str">
        <x:v>钧誉厚德量化对冲11号</x:v>
      </x:c>
      <x:c r="C4684" s="72" t="n">
        <x:v>45246</x:v>
      </x:c>
      <x:c r="D4684" s="73" t="n">
        <x:v>1.2724</x:v>
      </x:c>
      <x:c r="E4684" s="73" t="n">
        <x:v>1.2724</x:v>
      </x:c>
      <x:c r="F4684" s="73" t="n">
        <x:v>1.2724</x:v>
      </x:c>
      <x:c r="G4684" s="74" t="n">
        <x:v>0.0004</x:v>
      </x:c>
      <x:c r="H4684" s="66" t="str">
        <x:v>钧誉厚德量化对冲11号净值20260911.xlsx</x:v>
      </x:c>
      <x:c r="I4684" s="73" t="str">
        <x:f>""</x:f>
      </x:c>
      <x:c r="J4684" s="74" t="str">
        <x:f>""</x:f>
      </x:c>
      <x:c r="K4684" s="73" t="n">
        <x:f>MAX(K4683,F4684)</x:f>
        <x:v>1.2731</x:v>
      </x:c>
      <x:c r="L4684" s="74" t="n">
        <x:f>1-F4684/K4684</x:f>
        <x:v>0.0005498389757284672</x:v>
      </x:c>
      <x:c r="M4684" s="73" t="n">
        <x:f>MAX(M4683,F4684)</x:f>
        <x:v>1.2731</x:v>
      </x:c>
      <x:c r="N4684" s="74" t="n">
        <x:f>1-F4684/M4684</x:f>
        <x:v>0.0005498389757284672</x:v>
      </x:c>
    </x:row>
    <x:row r="4685" ht="27" customHeight="1">
      <x:c r="A4685" s="66" t="str">
        <x:v>SQN453</x:v>
      </x:c>
      <x:c r="B4685" s="66" t="str">
        <x:v>钧誉厚德量化对冲11号</x:v>
      </x:c>
      <x:c r="C4685" s="72" t="n">
        <x:v>45247</x:v>
      </x:c>
      <x:c r="D4685" s="73" t="n">
        <x:v>1.2731</x:v>
      </x:c>
      <x:c r="E4685" s="73" t="n">
        <x:v>1.2731</x:v>
      </x:c>
      <x:c r="F4685" s="73" t="n">
        <x:v>1.2731</x:v>
      </x:c>
      <x:c r="G4685" s="74" t="n">
        <x:v>0.0006</x:v>
      </x:c>
      <x:c r="H4685" s="66" t="str">
        <x:v>钧誉厚德量化对冲11号净值20260911.xlsx</x:v>
      </x:c>
      <x:c r="I4685" s="73" t="str">
        <x:f>""</x:f>
      </x:c>
      <x:c r="J4685" s="74" t="str">
        <x:f>""</x:f>
      </x:c>
      <x:c r="K4685" s="73" t="n">
        <x:f>MAX(K4684,F4685)</x:f>
        <x:v>1.2731</x:v>
      </x:c>
      <x:c r="L4685" s="74" t="n">
        <x:f>1-F4685/K4685</x:f>
        <x:v>0</x:v>
      </x:c>
      <x:c r="M4685" s="73" t="n">
        <x:f>MAX(M4684,F4685)</x:f>
        <x:v>1.2731</x:v>
      </x:c>
      <x:c r="N4685" s="74" t="n">
        <x:f>1-F4685/M4685</x:f>
        <x:v>0</x:v>
      </x:c>
    </x:row>
    <x:row r="4686" ht="27" customHeight="1">
      <x:c r="A4686" s="66" t="str">
        <x:v>SQN453</x:v>
      </x:c>
      <x:c r="B4686" s="66" t="str">
        <x:v>钧誉厚德量化对冲11号</x:v>
      </x:c>
      <x:c r="C4686" s="72" t="n">
        <x:v>45250</x:v>
      </x:c>
      <x:c r="D4686" s="73" t="n">
        <x:v>1.2736</x:v>
      </x:c>
      <x:c r="E4686" s="73" t="n">
        <x:v>1.2736</x:v>
      </x:c>
      <x:c r="F4686" s="73" t="n">
        <x:v>1.2736</x:v>
      </x:c>
      <x:c r="G4686" s="74" t="n">
        <x:v>0.0004</x:v>
      </x:c>
      <x:c r="H4686" s="66" t="str">
        <x:v>钧誉厚德量化对冲11号净值20260911.xlsx</x:v>
      </x:c>
      <x:c r="I4686" s="73" t="str">
        <x:f>""</x:f>
      </x:c>
      <x:c r="J4686" s="74" t="str">
        <x:f>""</x:f>
      </x:c>
      <x:c r="K4686" s="73" t="n">
        <x:f>MAX(K4685,F4686)</x:f>
        <x:v>1.2736</x:v>
      </x:c>
      <x:c r="L4686" s="74" t="n">
        <x:f>1-F4686/K4686</x:f>
        <x:v>0</x:v>
      </x:c>
      <x:c r="M4686" s="73" t="n">
        <x:f>MAX(M4685,F4686)</x:f>
        <x:v>1.2736</x:v>
      </x:c>
      <x:c r="N4686" s="74" t="n">
        <x:f>1-F4686/M4686</x:f>
        <x:v>0</x:v>
      </x:c>
    </x:row>
    <x:row r="4687" ht="27" customHeight="1">
      <x:c r="A4687" s="66" t="str">
        <x:v>SQN453</x:v>
      </x:c>
      <x:c r="B4687" s="66" t="str">
        <x:v>钧誉厚德量化对冲11号</x:v>
      </x:c>
      <x:c r="C4687" s="72" t="n">
        <x:v>45251</x:v>
      </x:c>
      <x:c r="D4687" s="73" t="n">
        <x:v>1.2743</x:v>
      </x:c>
      <x:c r="E4687" s="73" t="n">
        <x:v>1.2743</x:v>
      </x:c>
      <x:c r="F4687" s="73" t="n">
        <x:v>1.2743</x:v>
      </x:c>
      <x:c r="G4687" s="74" t="n">
        <x:v>0.0005</x:v>
      </x:c>
      <x:c r="H4687" s="66" t="str">
        <x:v>钧誉厚德量化对冲11号净值20260911.xlsx</x:v>
      </x:c>
      <x:c r="I4687" s="73" t="str">
        <x:f>""</x:f>
      </x:c>
      <x:c r="J4687" s="74" t="str">
        <x:f>""</x:f>
      </x:c>
      <x:c r="K4687" s="73" t="n">
        <x:f>MAX(K4686,F4687)</x:f>
        <x:v>1.2743</x:v>
      </x:c>
      <x:c r="L4687" s="74" t="n">
        <x:f>1-F4687/K4687</x:f>
        <x:v>0</x:v>
      </x:c>
      <x:c r="M4687" s="73" t="n">
        <x:f>MAX(M4686,F4687)</x:f>
        <x:v>1.2743</x:v>
      </x:c>
      <x:c r="N4687" s="74" t="n">
        <x:f>1-F4687/M4687</x:f>
        <x:v>0</x:v>
      </x:c>
    </x:row>
    <x:row r="4688" ht="27" customHeight="1">
      <x:c r="A4688" s="66" t="str">
        <x:v>SQN453</x:v>
      </x:c>
      <x:c r="B4688" s="66" t="str">
        <x:v>钧誉厚德量化对冲11号</x:v>
      </x:c>
      <x:c r="C4688" s="72" t="n">
        <x:v>45252</x:v>
      </x:c>
      <x:c r="D4688" s="73" t="n">
        <x:v>1.275</x:v>
      </x:c>
      <x:c r="E4688" s="73" t="n">
        <x:v>1.275</x:v>
      </x:c>
      <x:c r="F4688" s="73" t="n">
        <x:v>1.275</x:v>
      </x:c>
      <x:c r="G4688" s="74" t="n">
        <x:v>0.0005</x:v>
      </x:c>
      <x:c r="H4688" s="66" t="str">
        <x:v>钧誉厚德量化对冲11号净值20260911.xlsx</x:v>
      </x:c>
      <x:c r="I4688" s="73" t="str">
        <x:f>""</x:f>
      </x:c>
      <x:c r="J4688" s="74" t="str">
        <x:f>""</x:f>
      </x:c>
      <x:c r="K4688" s="73" t="n">
        <x:f>MAX(K4687,F4688)</x:f>
        <x:v>1.275</x:v>
      </x:c>
      <x:c r="L4688" s="74" t="n">
        <x:f>1-F4688/K4688</x:f>
        <x:v>0</x:v>
      </x:c>
      <x:c r="M4688" s="73" t="n">
        <x:f>MAX(M4687,F4688)</x:f>
        <x:v>1.275</x:v>
      </x:c>
      <x:c r="N4688" s="74" t="n">
        <x:f>1-F4688/M4688</x:f>
        <x:v>0</x:v>
      </x:c>
    </x:row>
    <x:row r="4689" ht="27" customHeight="1">
      <x:c r="A4689" s="66" t="str">
        <x:v>SQN453</x:v>
      </x:c>
      <x:c r="B4689" s="66" t="str">
        <x:v>钧誉厚德量化对冲11号</x:v>
      </x:c>
      <x:c r="C4689" s="72" t="n">
        <x:v>45253</x:v>
      </x:c>
      <x:c r="D4689" s="73" t="n">
        <x:v>1.275</x:v>
      </x:c>
      <x:c r="E4689" s="73" t="n">
        <x:v>1.275</x:v>
      </x:c>
      <x:c r="F4689" s="73" t="n">
        <x:v>1.275</x:v>
      </x:c>
      <x:c r="G4689" s="74" t="n">
        <x:v>0</x:v>
      </x:c>
      <x:c r="H4689" s="66" t="str">
        <x:v>钧誉厚德量化对冲11号净值20260911.xlsx</x:v>
      </x:c>
      <x:c r="I4689" s="73" t="str">
        <x:f>""</x:f>
      </x:c>
      <x:c r="J4689" s="74" t="str">
        <x:f>""</x:f>
      </x:c>
      <x:c r="K4689" s="73" t="n">
        <x:f>MAX(K4688,F4689)</x:f>
        <x:v>1.275</x:v>
      </x:c>
      <x:c r="L4689" s="74" t="n">
        <x:f>1-F4689/K4689</x:f>
        <x:v>0</x:v>
      </x:c>
      <x:c r="M4689" s="73" t="n">
        <x:f>MAX(M4688,F4689)</x:f>
        <x:v>1.275</x:v>
      </x:c>
      <x:c r="N4689" s="74" t="n">
        <x:f>1-F4689/M4689</x:f>
        <x:v>0</x:v>
      </x:c>
    </x:row>
    <x:row r="4690" ht="27" customHeight="1">
      <x:c r="A4690" s="66" t="str">
        <x:v>SQN453</x:v>
      </x:c>
      <x:c r="B4690" s="66" t="str">
        <x:v>钧誉厚德量化对冲11号</x:v>
      </x:c>
      <x:c r="C4690" s="72" t="n">
        <x:v>45254</x:v>
      </x:c>
      <x:c r="D4690" s="73" t="n">
        <x:v>1.2757</x:v>
      </x:c>
      <x:c r="E4690" s="73" t="n">
        <x:v>1.2757</x:v>
      </x:c>
      <x:c r="F4690" s="73" t="n">
        <x:v>1.2757</x:v>
      </x:c>
      <x:c r="G4690" s="74" t="n">
        <x:v>0.0005</x:v>
      </x:c>
      <x:c r="H4690" s="66" t="str">
        <x:v>钧誉厚德量化对冲11号净值20260911.xlsx</x:v>
      </x:c>
      <x:c r="I4690" s="73" t="str">
        <x:f>""</x:f>
      </x:c>
      <x:c r="J4690" s="74" t="str">
        <x:f>""</x:f>
      </x:c>
      <x:c r="K4690" s="73" t="n">
        <x:f>MAX(K4689,F4690)</x:f>
        <x:v>1.2757</x:v>
      </x:c>
      <x:c r="L4690" s="74" t="n">
        <x:f>1-F4690/K4690</x:f>
        <x:v>0</x:v>
      </x:c>
      <x:c r="M4690" s="73" t="n">
        <x:f>MAX(M4689,F4690)</x:f>
        <x:v>1.2757</x:v>
      </x:c>
      <x:c r="N4690" s="74" t="n">
        <x:f>1-F4690/M4690</x:f>
        <x:v>0</x:v>
      </x:c>
    </x:row>
    <x:row r="4691" ht="27" customHeight="1">
      <x:c r="A4691" s="66" t="str">
        <x:v>SQN453</x:v>
      </x:c>
      <x:c r="B4691" s="66" t="str">
        <x:v>钧誉厚德量化对冲11号</x:v>
      </x:c>
      <x:c r="C4691" s="72" t="n">
        <x:v>45257</x:v>
      </x:c>
      <x:c r="D4691" s="73" t="n">
        <x:v>1.2764</x:v>
      </x:c>
      <x:c r="E4691" s="73" t="n">
        <x:v>1.2764</x:v>
      </x:c>
      <x:c r="F4691" s="73" t="n">
        <x:v>1.2764</x:v>
      </x:c>
      <x:c r="G4691" s="74" t="n">
        <x:v>0.0005</x:v>
      </x:c>
      <x:c r="H4691" s="66" t="str">
        <x:v>钧誉厚德量化对冲11号净值20260911.xlsx</x:v>
      </x:c>
      <x:c r="I4691" s="73" t="str">
        <x:f>""</x:f>
      </x:c>
      <x:c r="J4691" s="74" t="str">
        <x:f>""</x:f>
      </x:c>
      <x:c r="K4691" s="73" t="n">
        <x:f>MAX(K4690,F4691)</x:f>
        <x:v>1.2764</x:v>
      </x:c>
      <x:c r="L4691" s="74" t="n">
        <x:f>1-F4691/K4691</x:f>
        <x:v>0</x:v>
      </x:c>
      <x:c r="M4691" s="73" t="n">
        <x:f>MAX(M4690,F4691)</x:f>
        <x:v>1.2764</x:v>
      </x:c>
      <x:c r="N4691" s="74" t="n">
        <x:f>1-F4691/M4691</x:f>
        <x:v>0</x:v>
      </x:c>
    </x:row>
    <x:row r="4692" ht="27" customHeight="1">
      <x:c r="A4692" s="66" t="str">
        <x:v>SQN453</x:v>
      </x:c>
      <x:c r="B4692" s="66" t="str">
        <x:v>钧誉厚德量化对冲11号</x:v>
      </x:c>
      <x:c r="C4692" s="72" t="n">
        <x:v>45258</x:v>
      </x:c>
      <x:c r="D4692" s="73" t="n">
        <x:v>1.2774</x:v>
      </x:c>
      <x:c r="E4692" s="73" t="n">
        <x:v>1.2774</x:v>
      </x:c>
      <x:c r="F4692" s="73" t="n">
        <x:v>1.2774</x:v>
      </x:c>
      <x:c r="G4692" s="74" t="n">
        <x:v>0.0008</x:v>
      </x:c>
      <x:c r="H4692" s="66" t="str">
        <x:v>钧誉厚德量化对冲11号净值20260911.xlsx</x:v>
      </x:c>
      <x:c r="I4692" s="73" t="str">
        <x:f>""</x:f>
      </x:c>
      <x:c r="J4692" s="74" t="str">
        <x:f>""</x:f>
      </x:c>
      <x:c r="K4692" s="73" t="n">
        <x:f>MAX(K4691,F4692)</x:f>
        <x:v>1.2774</x:v>
      </x:c>
      <x:c r="L4692" s="74" t="n">
        <x:f>1-F4692/K4692</x:f>
        <x:v>0</x:v>
      </x:c>
      <x:c r="M4692" s="73" t="n">
        <x:f>MAX(M4691,F4692)</x:f>
        <x:v>1.2774</x:v>
      </x:c>
      <x:c r="N4692" s="74" t="n">
        <x:f>1-F4692/M4692</x:f>
        <x:v>0</x:v>
      </x:c>
    </x:row>
    <x:row r="4693" ht="27" customHeight="1">
      <x:c r="A4693" s="66" t="str">
        <x:v>SQN453</x:v>
      </x:c>
      <x:c r="B4693" s="66" t="str">
        <x:v>钧誉厚德量化对冲11号</x:v>
      </x:c>
      <x:c r="C4693" s="72" t="n">
        <x:v>45259</x:v>
      </x:c>
      <x:c r="D4693" s="73" t="n">
        <x:v>1.2779</x:v>
      </x:c>
      <x:c r="E4693" s="73" t="n">
        <x:v>1.2779</x:v>
      </x:c>
      <x:c r="F4693" s="73" t="n">
        <x:v>1.2779</x:v>
      </x:c>
      <x:c r="G4693" s="74" t="n">
        <x:v>0.0004</x:v>
      </x:c>
      <x:c r="H4693" s="66" t="str">
        <x:v>钧誉厚德量化对冲11号净值20260911.xlsx</x:v>
      </x:c>
      <x:c r="I4693" s="73" t="str">
        <x:f>""</x:f>
      </x:c>
      <x:c r="J4693" s="74" t="str">
        <x:f>""</x:f>
      </x:c>
      <x:c r="K4693" s="73" t="n">
        <x:f>MAX(K4692,F4693)</x:f>
        <x:v>1.2779</x:v>
      </x:c>
      <x:c r="L4693" s="74" t="n">
        <x:f>1-F4693/K4693</x:f>
        <x:v>0</x:v>
      </x:c>
      <x:c r="M4693" s="73" t="n">
        <x:f>MAX(M4692,F4693)</x:f>
        <x:v>1.2779</x:v>
      </x:c>
      <x:c r="N4693" s="74" t="n">
        <x:f>1-F4693/M4693</x:f>
        <x:v>0</x:v>
      </x:c>
    </x:row>
    <x:row r="4694" ht="27" customHeight="1">
      <x:c r="A4694" s="66" t="str">
        <x:v>SQN453</x:v>
      </x:c>
      <x:c r="B4694" s="66" t="str">
        <x:v>钧誉厚德量化对冲11号</x:v>
      </x:c>
      <x:c r="C4694" s="72" t="n">
        <x:v>45260</x:v>
      </x:c>
      <x:c r="D4694" s="73" t="n">
        <x:v>1.2782</x:v>
      </x:c>
      <x:c r="E4694" s="73" t="n">
        <x:v>1.2782</x:v>
      </x:c>
      <x:c r="F4694" s="73" t="n">
        <x:v>1.2782</x:v>
      </x:c>
      <x:c r="G4694" s="74" t="n">
        <x:v>0.0002</x:v>
      </x:c>
      <x:c r="H4694" s="66" t="str">
        <x:v>钧誉厚德量化对冲11号净值20260911.xlsx</x:v>
      </x:c>
      <x:c r="I4694" s="73" t="str">
        <x:f>""</x:f>
      </x:c>
      <x:c r="J4694" s="74" t="str">
        <x:f>""</x:f>
      </x:c>
      <x:c r="K4694" s="73" t="n">
        <x:f>MAX(K4693,F4694)</x:f>
        <x:v>1.2782</x:v>
      </x:c>
      <x:c r="L4694" s="74" t="n">
        <x:f>1-F4694/K4694</x:f>
        <x:v>0</x:v>
      </x:c>
      <x:c r="M4694" s="73" t="n">
        <x:f>MAX(M4693,F4694)</x:f>
        <x:v>1.2782</x:v>
      </x:c>
      <x:c r="N4694" s="74" t="n">
        <x:f>1-F4694/M4694</x:f>
        <x:v>0</x:v>
      </x:c>
    </x:row>
    <x:row r="4695" ht="27" customHeight="1">
      <x:c r="A4695" s="66" t="str">
        <x:v>SQN453</x:v>
      </x:c>
      <x:c r="B4695" s="66" t="str">
        <x:v>钧誉厚德量化对冲11号</x:v>
      </x:c>
      <x:c r="C4695" s="72" t="n">
        <x:v>45261</x:v>
      </x:c>
      <x:c r="D4695" s="73" t="n">
        <x:v>1.2787</x:v>
      </x:c>
      <x:c r="E4695" s="73" t="n">
        <x:v>1.2787</x:v>
      </x:c>
      <x:c r="F4695" s="73" t="n">
        <x:v>1.2787</x:v>
      </x:c>
      <x:c r="G4695" s="74" t="n">
        <x:v>0.0004</x:v>
      </x:c>
      <x:c r="H4695" s="66" t="str">
        <x:v>钧誉厚德量化对冲11号净值20260911.xlsx</x:v>
      </x:c>
      <x:c r="I4695" s="73" t="str">
        <x:f>""</x:f>
      </x:c>
      <x:c r="J4695" s="74" t="str">
        <x:f>""</x:f>
      </x:c>
      <x:c r="K4695" s="73" t="n">
        <x:f>MAX(K4694,F4695)</x:f>
        <x:v>1.2787</x:v>
      </x:c>
      <x:c r="L4695" s="74" t="n">
        <x:f>1-F4695/K4695</x:f>
        <x:v>0</x:v>
      </x:c>
      <x:c r="M4695" s="73" t="n">
        <x:f>MAX(M4694,F4695)</x:f>
        <x:v>1.2787</x:v>
      </x:c>
      <x:c r="N4695" s="74" t="n">
        <x:f>1-F4695/M4695</x:f>
        <x:v>0</x:v>
      </x:c>
    </x:row>
    <x:row r="4696" ht="27" customHeight="1">
      <x:c r="A4696" s="66" t="str">
        <x:v>SQN453</x:v>
      </x:c>
      <x:c r="B4696" s="66" t="str">
        <x:v>钧誉厚德量化对冲11号</x:v>
      </x:c>
      <x:c r="C4696" s="72" t="n">
        <x:v>45264</x:v>
      </x:c>
      <x:c r="D4696" s="73" t="n">
        <x:v>1.2791</x:v>
      </x:c>
      <x:c r="E4696" s="73" t="n">
        <x:v>1.2791</x:v>
      </x:c>
      <x:c r="F4696" s="73" t="n">
        <x:v>1.2791</x:v>
      </x:c>
      <x:c r="G4696" s="74" t="n">
        <x:v>0.0003</x:v>
      </x:c>
      <x:c r="H4696" s="66" t="str">
        <x:v>钧誉厚德量化对冲11号净值20260911.xlsx</x:v>
      </x:c>
      <x:c r="I4696" s="73" t="str">
        <x:f>""</x:f>
      </x:c>
      <x:c r="J4696" s="74" t="str">
        <x:f>""</x:f>
      </x:c>
      <x:c r="K4696" s="73" t="n">
        <x:f>MAX(K4695,F4696)</x:f>
        <x:v>1.2791</x:v>
      </x:c>
      <x:c r="L4696" s="74" t="n">
        <x:f>1-F4696/K4696</x:f>
        <x:v>0</x:v>
      </x:c>
      <x:c r="M4696" s="73" t="n">
        <x:f>MAX(M4695,F4696)</x:f>
        <x:v>1.2791</x:v>
      </x:c>
      <x:c r="N4696" s="74" t="n">
        <x:f>1-F4696/M4696</x:f>
        <x:v>0</x:v>
      </x:c>
    </x:row>
    <x:row r="4697" ht="27" customHeight="1">
      <x:c r="A4697" s="66" t="str">
        <x:v>SQN453</x:v>
      </x:c>
      <x:c r="B4697" s="66" t="str">
        <x:v>钧誉厚德量化对冲11号</x:v>
      </x:c>
      <x:c r="C4697" s="72" t="n">
        <x:v>45265</x:v>
      </x:c>
      <x:c r="D4697" s="73" t="n">
        <x:v>1.2793</x:v>
      </x:c>
      <x:c r="E4697" s="73" t="n">
        <x:v>1.2793</x:v>
      </x:c>
      <x:c r="F4697" s="73" t="n">
        <x:v>1.2793</x:v>
      </x:c>
      <x:c r="G4697" s="74" t="n">
        <x:v>0.0002</x:v>
      </x:c>
      <x:c r="H4697" s="66" t="str">
        <x:v>钧誉厚德量化对冲11号净值20260911.xlsx</x:v>
      </x:c>
      <x:c r="I4697" s="73" t="str">
        <x:f>""</x:f>
      </x:c>
      <x:c r="J4697" s="74" t="str">
        <x:f>""</x:f>
      </x:c>
      <x:c r="K4697" s="73" t="n">
        <x:f>MAX(K4696,F4697)</x:f>
        <x:v>1.2793</x:v>
      </x:c>
      <x:c r="L4697" s="74" t="n">
        <x:f>1-F4697/K4697</x:f>
        <x:v>0</x:v>
      </x:c>
      <x:c r="M4697" s="73" t="n">
        <x:f>MAX(M4696,F4697)</x:f>
        <x:v>1.2793</x:v>
      </x:c>
      <x:c r="N4697" s="74" t="n">
        <x:f>1-F4697/M4697</x:f>
        <x:v>0</x:v>
      </x:c>
    </x:row>
    <x:row r="4698" ht="27" customHeight="1">
      <x:c r="A4698" s="66" t="str">
        <x:v>SQN453</x:v>
      </x:c>
      <x:c r="B4698" s="66" t="str">
        <x:v>钧誉厚德量化对冲11号</x:v>
      </x:c>
      <x:c r="C4698" s="72" t="n">
        <x:v>45266</x:v>
      </x:c>
      <x:c r="D4698" s="73" t="n">
        <x:v>1.2797</x:v>
      </x:c>
      <x:c r="E4698" s="73" t="n">
        <x:v>1.2797</x:v>
      </x:c>
      <x:c r="F4698" s="73" t="n">
        <x:v>1.2797</x:v>
      </x:c>
      <x:c r="G4698" s="74" t="n">
        <x:v>0.0003</x:v>
      </x:c>
      <x:c r="H4698" s="66" t="str">
        <x:v>钧誉厚德量化对冲11号净值20260911.xlsx</x:v>
      </x:c>
      <x:c r="I4698" s="73" t="str">
        <x:f>""</x:f>
      </x:c>
      <x:c r="J4698" s="74" t="str">
        <x:f>""</x:f>
      </x:c>
      <x:c r="K4698" s="73" t="n">
        <x:f>MAX(K4697,F4698)</x:f>
        <x:v>1.2797</x:v>
      </x:c>
      <x:c r="L4698" s="74" t="n">
        <x:f>1-F4698/K4698</x:f>
        <x:v>0</x:v>
      </x:c>
      <x:c r="M4698" s="73" t="n">
        <x:f>MAX(M4697,F4698)</x:f>
        <x:v>1.2797</x:v>
      </x:c>
      <x:c r="N4698" s="74" t="n">
        <x:f>1-F4698/M4698</x:f>
        <x:v>0</x:v>
      </x:c>
    </x:row>
    <x:row r="4699" ht="27" customHeight="1">
      <x:c r="A4699" s="66" t="str">
        <x:v>SQN453</x:v>
      </x:c>
      <x:c r="B4699" s="66" t="str">
        <x:v>钧誉厚德量化对冲11号</x:v>
      </x:c>
      <x:c r="C4699" s="72" t="n">
        <x:v>45267</x:v>
      </x:c>
      <x:c r="D4699" s="73" t="n">
        <x:v>1.2805</x:v>
      </x:c>
      <x:c r="E4699" s="73" t="n">
        <x:v>1.2805</x:v>
      </x:c>
      <x:c r="F4699" s="73" t="n">
        <x:v>1.2805</x:v>
      </x:c>
      <x:c r="G4699" s="74" t="n">
        <x:v>0.0006</x:v>
      </x:c>
      <x:c r="H4699" s="66" t="str">
        <x:v>钧誉厚德量化对冲11号净值20260911.xlsx</x:v>
      </x:c>
      <x:c r="I4699" s="73" t="str">
        <x:f>""</x:f>
      </x:c>
      <x:c r="J4699" s="74" t="str">
        <x:f>""</x:f>
      </x:c>
      <x:c r="K4699" s="73" t="n">
        <x:f>MAX(K4698,F4699)</x:f>
        <x:v>1.2805</x:v>
      </x:c>
      <x:c r="L4699" s="74" t="n">
        <x:f>1-F4699/K4699</x:f>
        <x:v>0</x:v>
      </x:c>
      <x:c r="M4699" s="73" t="n">
        <x:f>MAX(M4698,F4699)</x:f>
        <x:v>1.2805</x:v>
      </x:c>
      <x:c r="N4699" s="74" t="n">
        <x:f>1-F4699/M4699</x:f>
        <x:v>0</x:v>
      </x:c>
    </x:row>
    <x:row r="4700" ht="27" customHeight="1">
      <x:c r="A4700" s="66" t="str">
        <x:v>SQN453</x:v>
      </x:c>
      <x:c r="B4700" s="66" t="str">
        <x:v>钧誉厚德量化对冲11号</x:v>
      </x:c>
      <x:c r="C4700" s="72" t="n">
        <x:v>45268</x:v>
      </x:c>
      <x:c r="D4700" s="73" t="n">
        <x:v>1.2813</x:v>
      </x:c>
      <x:c r="E4700" s="73" t="n">
        <x:v>1.2813</x:v>
      </x:c>
      <x:c r="F4700" s="73" t="n">
        <x:v>1.2813</x:v>
      </x:c>
      <x:c r="G4700" s="74" t="n">
        <x:v>0.0006</x:v>
      </x:c>
      <x:c r="H4700" s="66" t="str">
        <x:v>钧誉厚德量化对冲11号净值20260911.xlsx</x:v>
      </x:c>
      <x:c r="I4700" s="73" t="str">
        <x:f>""</x:f>
      </x:c>
      <x:c r="J4700" s="74" t="str">
        <x:f>""</x:f>
      </x:c>
      <x:c r="K4700" s="73" t="n">
        <x:f>MAX(K4699,F4700)</x:f>
        <x:v>1.2813</x:v>
      </x:c>
      <x:c r="L4700" s="74" t="n">
        <x:f>1-F4700/K4700</x:f>
        <x:v>0</x:v>
      </x:c>
      <x:c r="M4700" s="73" t="n">
        <x:f>MAX(M4699,F4700)</x:f>
        <x:v>1.2813</x:v>
      </x:c>
      <x:c r="N4700" s="74" t="n">
        <x:f>1-F4700/M4700</x:f>
        <x:v>0</x:v>
      </x:c>
    </x:row>
    <x:row r="4701" ht="27" customHeight="1">
      <x:c r="A4701" s="66" t="str">
        <x:v>SQN453</x:v>
      </x:c>
      <x:c r="B4701" s="66" t="str">
        <x:v>钧誉厚德量化对冲11号</x:v>
      </x:c>
      <x:c r="C4701" s="72" t="n">
        <x:v>45271</x:v>
      </x:c>
      <x:c r="D4701" s="73" t="n">
        <x:v>1.2817</x:v>
      </x:c>
      <x:c r="E4701" s="73" t="n">
        <x:v>1.2817</x:v>
      </x:c>
      <x:c r="F4701" s="73" t="n">
        <x:v>1.2817</x:v>
      </x:c>
      <x:c r="G4701" s="74" t="n">
        <x:v>0.0003</x:v>
      </x:c>
      <x:c r="H4701" s="66" t="str">
        <x:v>钧誉厚德量化对冲11号净值20260911.xlsx</x:v>
      </x:c>
      <x:c r="I4701" s="73" t="str">
        <x:f>""</x:f>
      </x:c>
      <x:c r="J4701" s="74" t="str">
        <x:f>""</x:f>
      </x:c>
      <x:c r="K4701" s="73" t="n">
        <x:f>MAX(K4700,F4701)</x:f>
        <x:v>1.2817</x:v>
      </x:c>
      <x:c r="L4701" s="74" t="n">
        <x:f>1-F4701/K4701</x:f>
        <x:v>0</x:v>
      </x:c>
      <x:c r="M4701" s="73" t="n">
        <x:f>MAX(M4700,F4701)</x:f>
        <x:v>1.2817</x:v>
      </x:c>
      <x:c r="N4701" s="74" t="n">
        <x:f>1-F4701/M4701</x:f>
        <x:v>0</x:v>
      </x:c>
    </x:row>
    <x:row r="4702" ht="27" customHeight="1">
      <x:c r="A4702" s="66" t="str">
        <x:v>SQN453</x:v>
      </x:c>
      <x:c r="B4702" s="66" t="str">
        <x:v>钧誉厚德量化对冲11号</x:v>
      </x:c>
      <x:c r="C4702" s="72" t="n">
        <x:v>45272</x:v>
      </x:c>
      <x:c r="D4702" s="73" t="n">
        <x:v>1.2819</x:v>
      </x:c>
      <x:c r="E4702" s="73" t="n">
        <x:v>1.2819</x:v>
      </x:c>
      <x:c r="F4702" s="73" t="n">
        <x:v>1.2819</x:v>
      </x:c>
      <x:c r="G4702" s="74" t="n">
        <x:v>0.0002</x:v>
      </x:c>
      <x:c r="H4702" s="66" t="str">
        <x:v>钧誉厚德量化对冲11号净值20260911.xlsx</x:v>
      </x:c>
      <x:c r="I4702" s="73" t="str">
        <x:f>""</x:f>
      </x:c>
      <x:c r="J4702" s="74" t="str">
        <x:f>""</x:f>
      </x:c>
      <x:c r="K4702" s="73" t="n">
        <x:f>MAX(K4701,F4702)</x:f>
        <x:v>1.2819</x:v>
      </x:c>
      <x:c r="L4702" s="74" t="n">
        <x:f>1-F4702/K4702</x:f>
        <x:v>0</x:v>
      </x:c>
      <x:c r="M4702" s="73" t="n">
        <x:f>MAX(M4701,F4702)</x:f>
        <x:v>1.2819</x:v>
      </x:c>
      <x:c r="N4702" s="74" t="n">
        <x:f>1-F4702/M4702</x:f>
        <x:v>0</x:v>
      </x:c>
    </x:row>
    <x:row r="4703" ht="27" customHeight="1">
      <x:c r="A4703" s="66" t="str">
        <x:v>SQN453</x:v>
      </x:c>
      <x:c r="B4703" s="66" t="str">
        <x:v>钧誉厚德量化对冲11号</x:v>
      </x:c>
      <x:c r="C4703" s="72" t="n">
        <x:v>45273</x:v>
      </x:c>
      <x:c r="D4703" s="73" t="n">
        <x:v>1.2818</x:v>
      </x:c>
      <x:c r="E4703" s="73" t="n">
        <x:v>1.2818</x:v>
      </x:c>
      <x:c r="F4703" s="73" t="n">
        <x:v>1.2818</x:v>
      </x:c>
      <x:c r="G4703" s="74" t="n">
        <x:v>-0.0001</x:v>
      </x:c>
      <x:c r="H4703" s="66" t="str">
        <x:v>钧誉厚德量化对冲11号净值20260911.xlsx</x:v>
      </x:c>
      <x:c r="I4703" s="73" t="str">
        <x:f>""</x:f>
      </x:c>
      <x:c r="J4703" s="74" t="str">
        <x:f>""</x:f>
      </x:c>
      <x:c r="K4703" s="73" t="n">
        <x:f>MAX(K4702,F4703)</x:f>
        <x:v>1.2819</x:v>
      </x:c>
      <x:c r="L4703" s="74" t="n">
        <x:f>1-F4703/K4703</x:f>
        <x:v>0.00007800920508616027</x:v>
      </x:c>
      <x:c r="M4703" s="73" t="n">
        <x:f>MAX(M4702,F4703)</x:f>
        <x:v>1.2819</x:v>
      </x:c>
      <x:c r="N4703" s="74" t="n">
        <x:f>1-F4703/M4703</x:f>
        <x:v>0.00007800920508616027</x:v>
      </x:c>
    </x:row>
    <x:row r="4704" ht="27" customHeight="1">
      <x:c r="A4704" s="66" t="str">
        <x:v>SQN453</x:v>
      </x:c>
      <x:c r="B4704" s="66" t="str">
        <x:v>钧誉厚德量化对冲11号</x:v>
      </x:c>
      <x:c r="C4704" s="72" t="n">
        <x:v>45274</x:v>
      </x:c>
      <x:c r="D4704" s="73" t="n">
        <x:v>1.2825</x:v>
      </x:c>
      <x:c r="E4704" s="73" t="n">
        <x:v>1.2825</x:v>
      </x:c>
      <x:c r="F4704" s="73" t="n">
        <x:v>1.2825</x:v>
      </x:c>
      <x:c r="G4704" s="74" t="n">
        <x:v>0.0005</x:v>
      </x:c>
      <x:c r="H4704" s="66" t="str">
        <x:v>钧誉厚德量化对冲11号净值20260911.xlsx</x:v>
      </x:c>
      <x:c r="I4704" s="73" t="str">
        <x:f>""</x:f>
      </x:c>
      <x:c r="J4704" s="74" t="str">
        <x:f>""</x:f>
      </x:c>
      <x:c r="K4704" s="73" t="n">
        <x:f>MAX(K4703,F4704)</x:f>
        <x:v>1.2825</x:v>
      </x:c>
      <x:c r="L4704" s="74" t="n">
        <x:f>1-F4704/K4704</x:f>
        <x:v>0</x:v>
      </x:c>
      <x:c r="M4704" s="73" t="n">
        <x:f>MAX(M4703,F4704)</x:f>
        <x:v>1.2825</x:v>
      </x:c>
      <x:c r="N4704" s="74" t="n">
        <x:f>1-F4704/M4704</x:f>
        <x:v>0</x:v>
      </x:c>
    </x:row>
    <x:row r="4705" ht="27" customHeight="1">
      <x:c r="A4705" s="66" t="str">
        <x:v>SQN453</x:v>
      </x:c>
      <x:c r="B4705" s="66" t="str">
        <x:v>钧誉厚德量化对冲11号</x:v>
      </x:c>
      <x:c r="C4705" s="72" t="n">
        <x:v>45275</x:v>
      </x:c>
      <x:c r="D4705" s="73" t="n">
        <x:v>1.2825</x:v>
      </x:c>
      <x:c r="E4705" s="73" t="n">
        <x:v>1.2825</x:v>
      </x:c>
      <x:c r="F4705" s="73" t="n">
        <x:v>1.2825</x:v>
      </x:c>
      <x:c r="G4705" s="74" t="n">
        <x:v>0</x:v>
      </x:c>
      <x:c r="H4705" s="66" t="str">
        <x:v>钧誉厚德量化对冲11号净值20260911.xlsx</x:v>
      </x:c>
      <x:c r="I4705" s="73" t="str">
        <x:f>""</x:f>
      </x:c>
      <x:c r="J4705" s="74" t="str">
        <x:f>""</x:f>
      </x:c>
      <x:c r="K4705" s="73" t="n">
        <x:f>MAX(K4704,F4705)</x:f>
        <x:v>1.2825</x:v>
      </x:c>
      <x:c r="L4705" s="74" t="n">
        <x:f>1-F4705/K4705</x:f>
        <x:v>0</x:v>
      </x:c>
      <x:c r="M4705" s="73" t="n">
        <x:f>MAX(M4704,F4705)</x:f>
        <x:v>1.2825</x:v>
      </x:c>
      <x:c r="N4705" s="74" t="n">
        <x:f>1-F4705/M4705</x:f>
        <x:v>0</x:v>
      </x:c>
    </x:row>
    <x:row r="4706" ht="27" customHeight="1">
      <x:c r="A4706" s="66" t="str">
        <x:v>SQN453</x:v>
      </x:c>
      <x:c r="B4706" s="66" t="str">
        <x:v>钧誉厚德量化对冲11号</x:v>
      </x:c>
      <x:c r="C4706" s="72" t="n">
        <x:v>45278</x:v>
      </x:c>
      <x:c r="D4706" s="73" t="n">
        <x:v>1.2833</x:v>
      </x:c>
      <x:c r="E4706" s="73" t="n">
        <x:v>1.2833</x:v>
      </x:c>
      <x:c r="F4706" s="73" t="n">
        <x:v>1.2833</x:v>
      </x:c>
      <x:c r="G4706" s="74" t="n">
        <x:v>0.0006</x:v>
      </x:c>
      <x:c r="H4706" s="66" t="str">
        <x:v>钧誉厚德量化对冲11号净值20260911.xlsx</x:v>
      </x:c>
      <x:c r="I4706" s="73" t="str">
        <x:f>""</x:f>
      </x:c>
      <x:c r="J4706" s="74" t="str">
        <x:f>""</x:f>
      </x:c>
      <x:c r="K4706" s="73" t="n">
        <x:f>MAX(K4705,F4706)</x:f>
        <x:v>1.2833</x:v>
      </x:c>
      <x:c r="L4706" s="74" t="n">
        <x:f>1-F4706/K4706</x:f>
        <x:v>0</x:v>
      </x:c>
      <x:c r="M4706" s="73" t="n">
        <x:f>MAX(M4705,F4706)</x:f>
        <x:v>1.2833</x:v>
      </x:c>
      <x:c r="N4706" s="74" t="n">
        <x:f>1-F4706/M4706</x:f>
        <x:v>0</x:v>
      </x:c>
    </x:row>
    <x:row r="4707" ht="27" customHeight="1">
      <x:c r="A4707" s="66" t="str">
        <x:v>SQN453</x:v>
      </x:c>
      <x:c r="B4707" s="66" t="str">
        <x:v>钧誉厚德量化对冲11号</x:v>
      </x:c>
      <x:c r="C4707" s="72" t="n">
        <x:v>45279</x:v>
      </x:c>
      <x:c r="D4707" s="73" t="n">
        <x:v>1.2846</x:v>
      </x:c>
      <x:c r="E4707" s="73" t="n">
        <x:v>1.2846</x:v>
      </x:c>
      <x:c r="F4707" s="73" t="n">
        <x:v>1.2846</x:v>
      </x:c>
      <x:c r="G4707" s="74" t="n">
        <x:v>0.001</x:v>
      </x:c>
      <x:c r="H4707" s="66" t="str">
        <x:v>钧誉厚德量化对冲11号净值20260911.xlsx</x:v>
      </x:c>
      <x:c r="I4707" s="73" t="str">
        <x:f>""</x:f>
      </x:c>
      <x:c r="J4707" s="74" t="str">
        <x:f>""</x:f>
      </x:c>
      <x:c r="K4707" s="73" t="n">
        <x:f>MAX(K4706,F4707)</x:f>
        <x:v>1.2846</x:v>
      </x:c>
      <x:c r="L4707" s="74" t="n">
        <x:f>1-F4707/K4707</x:f>
        <x:v>0</x:v>
      </x:c>
      <x:c r="M4707" s="73" t="n">
        <x:f>MAX(M4706,F4707)</x:f>
        <x:v>1.2846</x:v>
      </x:c>
      <x:c r="N4707" s="74" t="n">
        <x:f>1-F4707/M4707</x:f>
        <x:v>0</x:v>
      </x:c>
    </x:row>
    <x:row r="4708" ht="27" customHeight="1">
      <x:c r="A4708" s="66" t="str">
        <x:v>SQN453</x:v>
      </x:c>
      <x:c r="B4708" s="66" t="str">
        <x:v>钧誉厚德量化对冲11号</x:v>
      </x:c>
      <x:c r="C4708" s="72" t="n">
        <x:v>45280</x:v>
      </x:c>
      <x:c r="D4708" s="73" t="n">
        <x:v>1.2848</x:v>
      </x:c>
      <x:c r="E4708" s="73" t="n">
        <x:v>1.2848</x:v>
      </x:c>
      <x:c r="F4708" s="73" t="n">
        <x:v>1.2848</x:v>
      </x:c>
      <x:c r="G4708" s="74" t="n">
        <x:v>0.0002</x:v>
      </x:c>
      <x:c r="H4708" s="66" t="str">
        <x:v>钧誉厚德量化对冲11号净值20260911.xlsx</x:v>
      </x:c>
      <x:c r="I4708" s="73" t="str">
        <x:f>""</x:f>
      </x:c>
      <x:c r="J4708" s="74" t="str">
        <x:f>""</x:f>
      </x:c>
      <x:c r="K4708" s="73" t="n">
        <x:f>MAX(K4707,F4708)</x:f>
        <x:v>1.2848</x:v>
      </x:c>
      <x:c r="L4708" s="74" t="n">
        <x:f>1-F4708/K4708</x:f>
        <x:v>0</x:v>
      </x:c>
      <x:c r="M4708" s="73" t="n">
        <x:f>MAX(M4707,F4708)</x:f>
        <x:v>1.2848</x:v>
      </x:c>
      <x:c r="N4708" s="74" t="n">
        <x:f>1-F4708/M4708</x:f>
        <x:v>0</x:v>
      </x:c>
    </x:row>
    <x:row r="4709" ht="27" customHeight="1">
      <x:c r="A4709" s="66" t="str">
        <x:v>SQN453</x:v>
      </x:c>
      <x:c r="B4709" s="66" t="str">
        <x:v>钧誉厚德量化对冲11号</x:v>
      </x:c>
      <x:c r="C4709" s="72" t="n">
        <x:v>45281</x:v>
      </x:c>
      <x:c r="D4709" s="73" t="n">
        <x:v>1.2852</x:v>
      </x:c>
      <x:c r="E4709" s="73" t="n">
        <x:v>1.2852</x:v>
      </x:c>
      <x:c r="F4709" s="73" t="n">
        <x:v>1.2852</x:v>
      </x:c>
      <x:c r="G4709" s="74" t="n">
        <x:v>0.0003</x:v>
      </x:c>
      <x:c r="H4709" s="66" t="str">
        <x:v>钧誉厚德量化对冲11号净值20260911.xlsx</x:v>
      </x:c>
      <x:c r="I4709" s="73" t="str">
        <x:f>""</x:f>
      </x:c>
      <x:c r="J4709" s="74" t="str">
        <x:f>""</x:f>
      </x:c>
      <x:c r="K4709" s="73" t="n">
        <x:f>MAX(K4708,F4709)</x:f>
        <x:v>1.2852</x:v>
      </x:c>
      <x:c r="L4709" s="74" t="n">
        <x:f>1-F4709/K4709</x:f>
        <x:v>0</x:v>
      </x:c>
      <x:c r="M4709" s="73" t="n">
        <x:f>MAX(M4708,F4709)</x:f>
        <x:v>1.2852</x:v>
      </x:c>
      <x:c r="N4709" s="74" t="n">
        <x:f>1-F4709/M4709</x:f>
        <x:v>0</x:v>
      </x:c>
    </x:row>
    <x:row r="4710" ht="27" customHeight="1">
      <x:c r="A4710" s="66" t="str">
        <x:v>SQN453</x:v>
      </x:c>
      <x:c r="B4710" s="66" t="str">
        <x:v>钧誉厚德量化对冲11号</x:v>
      </x:c>
      <x:c r="C4710" s="72" t="n">
        <x:v>45282</x:v>
      </x:c>
      <x:c r="D4710" s="73" t="n">
        <x:v>1.2851</x:v>
      </x:c>
      <x:c r="E4710" s="73" t="n">
        <x:v>1.2851</x:v>
      </x:c>
      <x:c r="F4710" s="73" t="n">
        <x:v>1.2851</x:v>
      </x:c>
      <x:c r="G4710" s="74" t="n">
        <x:v>-0.0001</x:v>
      </x:c>
      <x:c r="H4710" s="66" t="str">
        <x:v>钧誉厚德量化对冲11号净值20260911.xlsx</x:v>
      </x:c>
      <x:c r="I4710" s="73" t="str">
        <x:f>""</x:f>
      </x:c>
      <x:c r="J4710" s="74" t="str">
        <x:f>""</x:f>
      </x:c>
      <x:c r="K4710" s="73" t="n">
        <x:f>MAX(K4709,F4710)</x:f>
        <x:v>1.2852</x:v>
      </x:c>
      <x:c r="L4710" s="74" t="n">
        <x:f>1-F4710/K4710</x:f>
        <x:v>0.00007780890133834983</x:v>
      </x:c>
      <x:c r="M4710" s="73" t="n">
        <x:f>MAX(M4709,F4710)</x:f>
        <x:v>1.2852</x:v>
      </x:c>
      <x:c r="N4710" s="74" t="n">
        <x:f>1-F4710/M4710</x:f>
        <x:v>0.00007780890133834983</x:v>
      </x:c>
    </x:row>
    <x:row r="4711" ht="27" customHeight="1">
      <x:c r="A4711" s="66" t="str">
        <x:v>SQN453</x:v>
      </x:c>
      <x:c r="B4711" s="66" t="str">
        <x:v>钧誉厚德量化对冲11号</x:v>
      </x:c>
      <x:c r="C4711" s="72" t="n">
        <x:v>45285</x:v>
      </x:c>
      <x:c r="D4711" s="73" t="n">
        <x:v>1.2855</x:v>
      </x:c>
      <x:c r="E4711" s="73" t="n">
        <x:v>1.2855</x:v>
      </x:c>
      <x:c r="F4711" s="73" t="n">
        <x:v>1.2855</x:v>
      </x:c>
      <x:c r="G4711" s="74" t="n">
        <x:v>0.0003</x:v>
      </x:c>
      <x:c r="H4711" s="66" t="str">
        <x:v>钧誉厚德量化对冲11号净值20260911.xlsx</x:v>
      </x:c>
      <x:c r="I4711" s="73" t="str">
        <x:f>""</x:f>
      </x:c>
      <x:c r="J4711" s="74" t="str">
        <x:f>""</x:f>
      </x:c>
      <x:c r="K4711" s="73" t="n">
        <x:f>MAX(K4710,F4711)</x:f>
        <x:v>1.2855</x:v>
      </x:c>
      <x:c r="L4711" s="74" t="n">
        <x:f>1-F4711/K4711</x:f>
        <x:v>0</x:v>
      </x:c>
      <x:c r="M4711" s="73" t="n">
        <x:f>MAX(M4710,F4711)</x:f>
        <x:v>1.2855</x:v>
      </x:c>
      <x:c r="N4711" s="74" t="n">
        <x:f>1-F4711/M4711</x:f>
        <x:v>0</x:v>
      </x:c>
    </x:row>
    <x:row r="4712" ht="27" customHeight="1">
      <x:c r="A4712" s="66" t="str">
        <x:v>SQN453</x:v>
      </x:c>
      <x:c r="B4712" s="66" t="str">
        <x:v>钧誉厚德量化对冲11号</x:v>
      </x:c>
      <x:c r="C4712" s="72" t="n">
        <x:v>45286</x:v>
      </x:c>
      <x:c r="D4712" s="73" t="n">
        <x:v>1.2856</x:v>
      </x:c>
      <x:c r="E4712" s="73" t="n">
        <x:v>1.2856</x:v>
      </x:c>
      <x:c r="F4712" s="73" t="n">
        <x:v>1.2856</x:v>
      </x:c>
      <x:c r="G4712" s="74" t="n">
        <x:v>0.0001</x:v>
      </x:c>
      <x:c r="H4712" s="66" t="str">
        <x:v>钧誉厚德量化对冲11号净值20260911.xlsx</x:v>
      </x:c>
      <x:c r="I4712" s="73" t="str">
        <x:f>""</x:f>
      </x:c>
      <x:c r="J4712" s="74" t="str">
        <x:f>""</x:f>
      </x:c>
      <x:c r="K4712" s="73" t="n">
        <x:f>MAX(K4711,F4712)</x:f>
        <x:v>1.2856</x:v>
      </x:c>
      <x:c r="L4712" s="74" t="n">
        <x:f>1-F4712/K4712</x:f>
        <x:v>0</x:v>
      </x:c>
      <x:c r="M4712" s="73" t="n">
        <x:f>MAX(M4711,F4712)</x:f>
        <x:v>1.2856</x:v>
      </x:c>
      <x:c r="N4712" s="74" t="n">
        <x:f>1-F4712/M4712</x:f>
        <x:v>0</x:v>
      </x:c>
    </x:row>
    <x:row r="4713" ht="27" customHeight="1">
      <x:c r="A4713" s="66" t="str">
        <x:v>SQN453</x:v>
      </x:c>
      <x:c r="B4713" s="66" t="str">
        <x:v>钧誉厚德量化对冲11号</x:v>
      </x:c>
      <x:c r="C4713" s="72" t="n">
        <x:v>45287</x:v>
      </x:c>
      <x:c r="D4713" s="73" t="n">
        <x:v>1.2859</x:v>
      </x:c>
      <x:c r="E4713" s="73" t="n">
        <x:v>1.2859</x:v>
      </x:c>
      <x:c r="F4713" s="73" t="n">
        <x:v>1.2859</x:v>
      </x:c>
      <x:c r="G4713" s="74" t="n">
        <x:v>0.0002</x:v>
      </x:c>
      <x:c r="H4713" s="66" t="str">
        <x:v>钧誉厚德量化对冲11号净值20260911.xlsx</x:v>
      </x:c>
      <x:c r="I4713" s="73" t="str">
        <x:f>""</x:f>
      </x:c>
      <x:c r="J4713" s="74" t="str">
        <x:f>""</x:f>
      </x:c>
      <x:c r="K4713" s="73" t="n">
        <x:f>MAX(K4712,F4713)</x:f>
        <x:v>1.2859</x:v>
      </x:c>
      <x:c r="L4713" s="74" t="n">
        <x:f>1-F4713/K4713</x:f>
        <x:v>0</x:v>
      </x:c>
      <x:c r="M4713" s="73" t="n">
        <x:f>MAX(M4712,F4713)</x:f>
        <x:v>1.2859</x:v>
      </x:c>
      <x:c r="N4713" s="74" t="n">
        <x:f>1-F4713/M4713</x:f>
        <x:v>0</x:v>
      </x:c>
    </x:row>
    <x:row r="4714" ht="27" customHeight="1">
      <x:c r="A4714" s="66" t="str">
        <x:v>SQN453</x:v>
      </x:c>
      <x:c r="B4714" s="66" t="str">
        <x:v>钧誉厚德量化对冲11号</x:v>
      </x:c>
      <x:c r="C4714" s="72" t="n">
        <x:v>45288</x:v>
      </x:c>
      <x:c r="D4714" s="73" t="n">
        <x:v>1.2866</x:v>
      </x:c>
      <x:c r="E4714" s="73" t="n">
        <x:v>1.2866</x:v>
      </x:c>
      <x:c r="F4714" s="73" t="n">
        <x:v>1.2866</x:v>
      </x:c>
      <x:c r="G4714" s="74" t="n">
        <x:v>0.0005</x:v>
      </x:c>
      <x:c r="H4714" s="66" t="str">
        <x:v>钧誉厚德量化对冲11号净值20260911.xlsx</x:v>
      </x:c>
      <x:c r="I4714" s="73" t="str">
        <x:f>""</x:f>
      </x:c>
      <x:c r="J4714" s="74" t="str">
        <x:f>""</x:f>
      </x:c>
      <x:c r="K4714" s="73" t="n">
        <x:f>MAX(K4713,F4714)</x:f>
        <x:v>1.2866</x:v>
      </x:c>
      <x:c r="L4714" s="74" t="n">
        <x:f>1-F4714/K4714</x:f>
        <x:v>0</x:v>
      </x:c>
      <x:c r="M4714" s="73" t="n">
        <x:f>MAX(M4713,F4714)</x:f>
        <x:v>1.2866</x:v>
      </x:c>
      <x:c r="N4714" s="74" t="n">
        <x:f>1-F4714/M4714</x:f>
        <x:v>0</x:v>
      </x:c>
    </x:row>
    <x:row r="4715" ht="27" customHeight="1">
      <x:c r="A4715" s="66" t="str">
        <x:v>SQN453</x:v>
      </x:c>
      <x:c r="B4715" s="66" t="str">
        <x:v>钧誉厚德量化对冲11号</x:v>
      </x:c>
      <x:c r="C4715" s="72" t="n">
        <x:v>45289</x:v>
      </x:c>
      <x:c r="D4715" s="73" t="n">
        <x:v>1.287</x:v>
      </x:c>
      <x:c r="E4715" s="73" t="n">
        <x:v>1.287</x:v>
      </x:c>
      <x:c r="F4715" s="73" t="n">
        <x:v>1.287</x:v>
      </x:c>
      <x:c r="G4715" s="74" t="n">
        <x:v>0.0003</x:v>
      </x:c>
      <x:c r="H4715" s="66" t="str">
        <x:v>钧誉厚德量化对冲11号净值20260911.xlsx</x:v>
      </x:c>
      <x:c r="I4715" s="73" t="str">
        <x:f>""</x:f>
      </x:c>
      <x:c r="J4715" s="74" t="str">
        <x:f>""</x:f>
      </x:c>
      <x:c r="K4715" s="73" t="n">
        <x:f>MAX(K4714,F4715)</x:f>
        <x:v>1.287</x:v>
      </x:c>
      <x:c r="L4715" s="74" t="n">
        <x:f>1-F4715/K4715</x:f>
        <x:v>0</x:v>
      </x:c>
      <x:c r="M4715" s="73" t="n">
        <x:f>MAX(M4714,F4715)</x:f>
        <x:v>1.287</x:v>
      </x:c>
      <x:c r="N4715" s="74" t="n">
        <x:f>1-F4715/M4715</x:f>
        <x:v>0</x:v>
      </x:c>
    </x:row>
    <x:row r="4716" ht="27" customHeight="1">
      <x:c r="A4716" s="66" t="str">
        <x:v>SQN453</x:v>
      </x:c>
      <x:c r="B4716" s="66" t="str">
        <x:v>钧誉厚德量化对冲11号</x:v>
      </x:c>
      <x:c r="C4716" s="72" t="n">
        <x:v>45293</x:v>
      </x:c>
      <x:c r="D4716" s="73" t="n">
        <x:v>1.2867</x:v>
      </x:c>
      <x:c r="E4716" s="73" t="n">
        <x:v>1.2867</x:v>
      </x:c>
      <x:c r="F4716" s="73" t="n">
        <x:v>1.2867</x:v>
      </x:c>
      <x:c r="G4716" s="74" t="n">
        <x:v>-0.0002</x:v>
      </x:c>
      <x:c r="H4716" s="66" t="str">
        <x:v>钧誉厚德量化对冲11号净值20260911.xlsx</x:v>
      </x:c>
      <x:c r="I4716" s="73" t="str">
        <x:f>""</x:f>
      </x:c>
      <x:c r="J4716" s="74" t="str">
        <x:f>""</x:f>
      </x:c>
      <x:c r="K4716" s="73" t="n">
        <x:f>MAX(K4715,F4716)</x:f>
        <x:v>1.287</x:v>
      </x:c>
      <x:c r="L4716" s="74" t="n">
        <x:f>1-F4716/K4716</x:f>
        <x:v>0.0002331002331001919</x:v>
      </x:c>
      <x:c r="M4716" s="73" t="n">
        <x:f>MAX(M4715,F4716)</x:f>
        <x:v>1.287</x:v>
      </x:c>
      <x:c r="N4716" s="74" t="n">
        <x:f>1-F4716/M4716</x:f>
        <x:v>0.0002331002331001919</x:v>
      </x:c>
    </x:row>
    <x:row r="4717" ht="27" customHeight="1">
      <x:c r="A4717" s="66" t="str">
        <x:v>SQN453</x:v>
      </x:c>
      <x:c r="B4717" s="66" t="str">
        <x:v>钧誉厚德量化对冲11号</x:v>
      </x:c>
      <x:c r="C4717" s="72" t="n">
        <x:v>45294</x:v>
      </x:c>
      <x:c r="D4717" s="73" t="n">
        <x:v>1.2872</x:v>
      </x:c>
      <x:c r="E4717" s="73" t="n">
        <x:v>1.2872</x:v>
      </x:c>
      <x:c r="F4717" s="73" t="n">
        <x:v>1.2872</x:v>
      </x:c>
      <x:c r="G4717" s="74" t="n">
        <x:v>0.0004</x:v>
      </x:c>
      <x:c r="H4717" s="66" t="str">
        <x:v>钧誉厚德量化对冲11号净值20260911.xlsx</x:v>
      </x:c>
      <x:c r="I4717" s="73" t="str">
        <x:f>""</x:f>
      </x:c>
      <x:c r="J4717" s="74" t="str">
        <x:f>""</x:f>
      </x:c>
      <x:c r="K4717" s="73" t="n">
        <x:f>MAX(K4716,F4717)</x:f>
        <x:v>1.2872</x:v>
      </x:c>
      <x:c r="L4717" s="74" t="n">
        <x:f>1-F4717/K4717</x:f>
        <x:v>0</x:v>
      </x:c>
      <x:c r="M4717" s="73" t="n">
        <x:f>MAX(M4716,F4717)</x:f>
        <x:v>1.2872</x:v>
      </x:c>
      <x:c r="N4717" s="74" t="n">
        <x:f>1-F4717/M4717</x:f>
        <x:v>0</x:v>
      </x:c>
    </x:row>
    <x:row r="4718" ht="27" customHeight="1">
      <x:c r="A4718" s="66" t="str">
        <x:v>SQN453</x:v>
      </x:c>
      <x:c r="B4718" s="66" t="str">
        <x:v>钧誉厚德量化对冲11号</x:v>
      </x:c>
      <x:c r="C4718" s="72" t="n">
        <x:v>45295</x:v>
      </x:c>
      <x:c r="D4718" s="73" t="n">
        <x:v>1.2877</x:v>
      </x:c>
      <x:c r="E4718" s="73" t="n">
        <x:v>1.2877</x:v>
      </x:c>
      <x:c r="F4718" s="73" t="n">
        <x:v>1.2877</x:v>
      </x:c>
      <x:c r="G4718" s="74" t="n">
        <x:v>0.0004</x:v>
      </x:c>
      <x:c r="H4718" s="66" t="str">
        <x:v>钧誉厚德量化对冲11号净值20260911.xlsx</x:v>
      </x:c>
      <x:c r="I4718" s="73" t="str">
        <x:f>""</x:f>
      </x:c>
      <x:c r="J4718" s="74" t="str">
        <x:f>""</x:f>
      </x:c>
      <x:c r="K4718" s="73" t="n">
        <x:f>MAX(K4717,F4718)</x:f>
        <x:v>1.2877</x:v>
      </x:c>
      <x:c r="L4718" s="74" t="n">
        <x:f>1-F4718/K4718</x:f>
        <x:v>0</x:v>
      </x:c>
      <x:c r="M4718" s="73" t="n">
        <x:f>MAX(M4717,F4718)</x:f>
        <x:v>1.2877</x:v>
      </x:c>
      <x:c r="N4718" s="74" t="n">
        <x:f>1-F4718/M4718</x:f>
        <x:v>0</x:v>
      </x:c>
    </x:row>
    <x:row r="4719" ht="27" customHeight="1">
      <x:c r="A4719" s="66" t="str">
        <x:v>SQN453</x:v>
      </x:c>
      <x:c r="B4719" s="66" t="str">
        <x:v>钧誉厚德量化对冲11号</x:v>
      </x:c>
      <x:c r="C4719" s="72" t="n">
        <x:v>45296</x:v>
      </x:c>
      <x:c r="D4719" s="73" t="n">
        <x:v>1.2882</x:v>
      </x:c>
      <x:c r="E4719" s="73" t="n">
        <x:v>1.2882</x:v>
      </x:c>
      <x:c r="F4719" s="73" t="n">
        <x:v>1.2882</x:v>
      </x:c>
      <x:c r="G4719" s="74" t="n">
        <x:v>0.0004</x:v>
      </x:c>
      <x:c r="H4719" s="66" t="str">
        <x:v>钧誉厚德量化对冲11号净值20260911.xlsx</x:v>
      </x:c>
      <x:c r="I4719" s="73" t="str">
        <x:f>""</x:f>
      </x:c>
      <x:c r="J4719" s="74" t="str">
        <x:f>""</x:f>
      </x:c>
      <x:c r="K4719" s="73" t="n">
        <x:f>MAX(K4718,F4719)</x:f>
        <x:v>1.2882</x:v>
      </x:c>
      <x:c r="L4719" s="74" t="n">
        <x:f>1-F4719/K4719</x:f>
        <x:v>0</x:v>
      </x:c>
      <x:c r="M4719" s="73" t="n">
        <x:f>MAX(M4718,F4719)</x:f>
        <x:v>1.2882</x:v>
      </x:c>
      <x:c r="N4719" s="74" t="n">
        <x:f>1-F4719/M4719</x:f>
        <x:v>0</x:v>
      </x:c>
    </x:row>
    <x:row r="4720" ht="27" customHeight="1">
      <x:c r="A4720" s="66" t="str">
        <x:v>SQN453</x:v>
      </x:c>
      <x:c r="B4720" s="66" t="str">
        <x:v>钧誉厚德量化对冲11号</x:v>
      </x:c>
      <x:c r="C4720" s="72" t="n">
        <x:v>45299</x:v>
      </x:c>
      <x:c r="D4720" s="73" t="n">
        <x:v>1.2884</x:v>
      </x:c>
      <x:c r="E4720" s="73" t="n">
        <x:v>1.2884</x:v>
      </x:c>
      <x:c r="F4720" s="73" t="n">
        <x:v>1.2884</x:v>
      </x:c>
      <x:c r="G4720" s="74" t="n">
        <x:v>0.0002</x:v>
      </x:c>
      <x:c r="H4720" s="66" t="str">
        <x:v>钧誉厚德量化对冲11号净值20260911.xlsx</x:v>
      </x:c>
      <x:c r="I4720" s="73" t="str">
        <x:f>""</x:f>
      </x:c>
      <x:c r="J4720" s="74" t="str">
        <x:f>""</x:f>
      </x:c>
      <x:c r="K4720" s="73" t="n">
        <x:f>MAX(K4719,F4720)</x:f>
        <x:v>1.2884</x:v>
      </x:c>
      <x:c r="L4720" s="74" t="n">
        <x:f>1-F4720/K4720</x:f>
        <x:v>0</x:v>
      </x:c>
      <x:c r="M4720" s="73" t="n">
        <x:f>MAX(M4719,F4720)</x:f>
        <x:v>1.2884</x:v>
      </x:c>
      <x:c r="N4720" s="74" t="n">
        <x:f>1-F4720/M4720</x:f>
        <x:v>0</x:v>
      </x:c>
    </x:row>
    <x:row r="4721" ht="27" customHeight="1">
      <x:c r="A4721" s="66" t="str">
        <x:v>SQN453</x:v>
      </x:c>
      <x:c r="B4721" s="66" t="str">
        <x:v>钧誉厚德量化对冲11号</x:v>
      </x:c>
      <x:c r="C4721" s="72" t="n">
        <x:v>45300</x:v>
      </x:c>
      <x:c r="D4721" s="73" t="n">
        <x:v>1.2885</x:v>
      </x:c>
      <x:c r="E4721" s="73" t="n">
        <x:v>1.2885</x:v>
      </x:c>
      <x:c r="F4721" s="73" t="n">
        <x:v>1.2885</x:v>
      </x:c>
      <x:c r="G4721" s="74" t="n">
        <x:v>0.0001</x:v>
      </x:c>
      <x:c r="H4721" s="66" t="str">
        <x:v>钧誉厚德量化对冲11号净值20260911.xlsx</x:v>
      </x:c>
      <x:c r="I4721" s="73" t="str">
        <x:f>""</x:f>
      </x:c>
      <x:c r="J4721" s="74" t="str">
        <x:f>""</x:f>
      </x:c>
      <x:c r="K4721" s="73" t="n">
        <x:f>MAX(K4720,F4721)</x:f>
        <x:v>1.2885</x:v>
      </x:c>
      <x:c r="L4721" s="74" t="n">
        <x:f>1-F4721/K4721</x:f>
        <x:v>0</x:v>
      </x:c>
      <x:c r="M4721" s="73" t="n">
        <x:f>MAX(M4720,F4721)</x:f>
        <x:v>1.2885</x:v>
      </x:c>
      <x:c r="N4721" s="74" t="n">
        <x:f>1-F4721/M4721</x:f>
        <x:v>0</x:v>
      </x:c>
    </x:row>
    <x:row r="4722" ht="27" customHeight="1">
      <x:c r="A4722" s="66" t="str">
        <x:v>SQN453</x:v>
      </x:c>
      <x:c r="B4722" s="66" t="str">
        <x:v>钧誉厚德量化对冲11号</x:v>
      </x:c>
      <x:c r="C4722" s="72" t="n">
        <x:v>45301</x:v>
      </x:c>
      <x:c r="D4722" s="73" t="n">
        <x:v>1.2888</x:v>
      </x:c>
      <x:c r="E4722" s="73" t="n">
        <x:v>1.2888</x:v>
      </x:c>
      <x:c r="F4722" s="73" t="n">
        <x:v>1.2888</x:v>
      </x:c>
      <x:c r="G4722" s="74" t="n">
        <x:v>0.0002</x:v>
      </x:c>
      <x:c r="H4722" s="66" t="str">
        <x:v>钧誉厚德量化对冲11号净值20260911.xlsx</x:v>
      </x:c>
      <x:c r="I4722" s="73" t="str">
        <x:f>""</x:f>
      </x:c>
      <x:c r="J4722" s="74" t="str">
        <x:f>""</x:f>
      </x:c>
      <x:c r="K4722" s="73" t="n">
        <x:f>MAX(K4721,F4722)</x:f>
        <x:v>1.2888</x:v>
      </x:c>
      <x:c r="L4722" s="74" t="n">
        <x:f>1-F4722/K4722</x:f>
        <x:v>0</x:v>
      </x:c>
      <x:c r="M4722" s="73" t="n">
        <x:f>MAX(M4721,F4722)</x:f>
        <x:v>1.2888</x:v>
      </x:c>
      <x:c r="N4722" s="74" t="n">
        <x:f>1-F4722/M4722</x:f>
        <x:v>0</x:v>
      </x:c>
    </x:row>
    <x:row r="4723" ht="27" customHeight="1">
      <x:c r="A4723" s="66" t="str">
        <x:v>SQN453</x:v>
      </x:c>
      <x:c r="B4723" s="66" t="str">
        <x:v>钧誉厚德量化对冲11号</x:v>
      </x:c>
      <x:c r="C4723" s="72" t="n">
        <x:v>45302</x:v>
      </x:c>
      <x:c r="D4723" s="73" t="n">
        <x:v>1.289</x:v>
      </x:c>
      <x:c r="E4723" s="73" t="n">
        <x:v>1.289</x:v>
      </x:c>
      <x:c r="F4723" s="73" t="n">
        <x:v>1.289</x:v>
      </x:c>
      <x:c r="G4723" s="74" t="n">
        <x:v>0.0002</x:v>
      </x:c>
      <x:c r="H4723" s="66" t="str">
        <x:v>钧誉厚德量化对冲11号净值20260911.xlsx</x:v>
      </x:c>
      <x:c r="I4723" s="73" t="str">
        <x:f>""</x:f>
      </x:c>
      <x:c r="J4723" s="74" t="str">
        <x:f>""</x:f>
      </x:c>
      <x:c r="K4723" s="73" t="n">
        <x:f>MAX(K4722,F4723)</x:f>
        <x:v>1.289</x:v>
      </x:c>
      <x:c r="L4723" s="74" t="n">
        <x:f>1-F4723/K4723</x:f>
        <x:v>0</x:v>
      </x:c>
      <x:c r="M4723" s="73" t="n">
        <x:f>MAX(M4722,F4723)</x:f>
        <x:v>1.289</x:v>
      </x:c>
      <x:c r="N4723" s="74" t="n">
        <x:f>1-F4723/M4723</x:f>
        <x:v>0</x:v>
      </x:c>
    </x:row>
    <x:row r="4724" ht="27" customHeight="1">
      <x:c r="A4724" s="66" t="str">
        <x:v>SQN453</x:v>
      </x:c>
      <x:c r="B4724" s="66" t="str">
        <x:v>钧誉厚德量化对冲11号</x:v>
      </x:c>
      <x:c r="C4724" s="72" t="n">
        <x:v>45303</x:v>
      </x:c>
      <x:c r="D4724" s="73" t="n">
        <x:v>1.2899</x:v>
      </x:c>
      <x:c r="E4724" s="73" t="n">
        <x:v>1.2899</x:v>
      </x:c>
      <x:c r="F4724" s="73" t="n">
        <x:v>1.2899</x:v>
      </x:c>
      <x:c r="G4724" s="74" t="n">
        <x:v>0.0007000000000000001</x:v>
      </x:c>
      <x:c r="H4724" s="66" t="str">
        <x:v>钧誉厚德量化对冲11号净值20260911.xlsx</x:v>
      </x:c>
      <x:c r="I4724" s="73" t="str">
        <x:f>""</x:f>
      </x:c>
      <x:c r="J4724" s="74" t="str">
        <x:f>""</x:f>
      </x:c>
      <x:c r="K4724" s="73" t="n">
        <x:f>MAX(K4723,F4724)</x:f>
        <x:v>1.2899</x:v>
      </x:c>
      <x:c r="L4724" s="74" t="n">
        <x:f>1-F4724/K4724</x:f>
        <x:v>0</x:v>
      </x:c>
      <x:c r="M4724" s="73" t="n">
        <x:f>MAX(M4723,F4724)</x:f>
        <x:v>1.2899</x:v>
      </x:c>
      <x:c r="N4724" s="74" t="n">
        <x:f>1-F4724/M4724</x:f>
        <x:v>0</x:v>
      </x:c>
    </x:row>
    <x:row r="4725" ht="27" customHeight="1">
      <x:c r="A4725" s="66" t="str">
        <x:v>SQN453</x:v>
      </x:c>
      <x:c r="B4725" s="66" t="str">
        <x:v>钧誉厚德量化对冲11号</x:v>
      </x:c>
      <x:c r="C4725" s="72" t="n">
        <x:v>45306</x:v>
      </x:c>
      <x:c r="D4725" s="73" t="n">
        <x:v>1.2913</x:v>
      </x:c>
      <x:c r="E4725" s="73" t="n">
        <x:v>1.2913</x:v>
      </x:c>
      <x:c r="F4725" s="73" t="n">
        <x:v>1.2913</x:v>
      </x:c>
      <x:c r="G4725" s="74" t="n">
        <x:v>0.0011</x:v>
      </x:c>
      <x:c r="H4725" s="66" t="str">
        <x:v>钧誉厚德量化对冲11号净值20260911.xlsx</x:v>
      </x:c>
      <x:c r="I4725" s="73" t="str">
        <x:f>""</x:f>
      </x:c>
      <x:c r="J4725" s="74" t="str">
        <x:f>""</x:f>
      </x:c>
      <x:c r="K4725" s="73" t="n">
        <x:f>MAX(K4724,F4725)</x:f>
        <x:v>1.2913</x:v>
      </x:c>
      <x:c r="L4725" s="74" t="n">
        <x:f>1-F4725/K4725</x:f>
        <x:v>0</x:v>
      </x:c>
      <x:c r="M4725" s="73" t="n">
        <x:f>MAX(M4724,F4725)</x:f>
        <x:v>1.2913</x:v>
      </x:c>
      <x:c r="N4725" s="74" t="n">
        <x:f>1-F4725/M4725</x:f>
        <x:v>0</x:v>
      </x:c>
    </x:row>
    <x:row r="4726" ht="27" customHeight="1">
      <x:c r="A4726" s="66" t="str">
        <x:v>SQN453</x:v>
      </x:c>
      <x:c r="B4726" s="66" t="str">
        <x:v>钧誉厚德量化对冲11号</x:v>
      </x:c>
      <x:c r="C4726" s="72" t="n">
        <x:v>45307</x:v>
      </x:c>
      <x:c r="D4726" s="73" t="n">
        <x:v>1.2915</x:v>
      </x:c>
      <x:c r="E4726" s="73" t="n">
        <x:v>1.2915</x:v>
      </x:c>
      <x:c r="F4726" s="73" t="n">
        <x:v>1.2915</x:v>
      </x:c>
      <x:c r="G4726" s="74" t="n">
        <x:v>0.0002</x:v>
      </x:c>
      <x:c r="H4726" s="66" t="str">
        <x:v>钧誉厚德量化对冲11号净值20260911.xlsx</x:v>
      </x:c>
      <x:c r="I4726" s="73" t="str">
        <x:f>""</x:f>
      </x:c>
      <x:c r="J4726" s="74" t="str">
        <x:f>""</x:f>
      </x:c>
      <x:c r="K4726" s="73" t="n">
        <x:f>MAX(K4725,F4726)</x:f>
        <x:v>1.2915</x:v>
      </x:c>
      <x:c r="L4726" s="74" t="n">
        <x:f>1-F4726/K4726</x:f>
        <x:v>0</x:v>
      </x:c>
      <x:c r="M4726" s="73" t="n">
        <x:f>MAX(M4725,F4726)</x:f>
        <x:v>1.2915</x:v>
      </x:c>
      <x:c r="N4726" s="74" t="n">
        <x:f>1-F4726/M4726</x:f>
        <x:v>0</x:v>
      </x:c>
    </x:row>
    <x:row r="4727" ht="27" customHeight="1">
      <x:c r="A4727" s="66" t="str">
        <x:v>SQN453</x:v>
      </x:c>
      <x:c r="B4727" s="66" t="str">
        <x:v>钧誉厚德量化对冲11号</x:v>
      </x:c>
      <x:c r="C4727" s="72" t="n">
        <x:v>45308</x:v>
      </x:c>
      <x:c r="D4727" s="73" t="n">
        <x:v>1.2919</x:v>
      </x:c>
      <x:c r="E4727" s="73" t="n">
        <x:v>1.2919</x:v>
      </x:c>
      <x:c r="F4727" s="73" t="n">
        <x:v>1.2919</x:v>
      </x:c>
      <x:c r="G4727" s="74" t="n">
        <x:v>0.0003</x:v>
      </x:c>
      <x:c r="H4727" s="66" t="str">
        <x:v>钧誉厚德量化对冲11号净值20260911.xlsx</x:v>
      </x:c>
      <x:c r="I4727" s="73" t="str">
        <x:f>""</x:f>
      </x:c>
      <x:c r="J4727" s="74" t="str">
        <x:f>""</x:f>
      </x:c>
      <x:c r="K4727" s="73" t="n">
        <x:f>MAX(K4726,F4727)</x:f>
        <x:v>1.2919</x:v>
      </x:c>
      <x:c r="L4727" s="74" t="n">
        <x:f>1-F4727/K4727</x:f>
        <x:v>0</x:v>
      </x:c>
      <x:c r="M4727" s="73" t="n">
        <x:f>MAX(M4726,F4727)</x:f>
        <x:v>1.2919</x:v>
      </x:c>
      <x:c r="N4727" s="74" t="n">
        <x:f>1-F4727/M4727</x:f>
        <x:v>0</x:v>
      </x:c>
    </x:row>
    <x:row r="4728" ht="27" customHeight="1">
      <x:c r="A4728" s="66" t="str">
        <x:v>SQN453</x:v>
      </x:c>
      <x:c r="B4728" s="66" t="str">
        <x:v>钧誉厚德量化对冲11号</x:v>
      </x:c>
      <x:c r="C4728" s="72" t="n">
        <x:v>45309</x:v>
      </x:c>
      <x:c r="D4728" s="73" t="n">
        <x:v>1.2921</x:v>
      </x:c>
      <x:c r="E4728" s="73" t="n">
        <x:v>1.2921</x:v>
      </x:c>
      <x:c r="F4728" s="73" t="n">
        <x:v>1.2921</x:v>
      </x:c>
      <x:c r="G4728" s="74" t="n">
        <x:v>0.0002</x:v>
      </x:c>
      <x:c r="H4728" s="66" t="str">
        <x:v>钧誉厚德量化对冲11号净值20260911.xlsx</x:v>
      </x:c>
      <x:c r="I4728" s="73" t="str">
        <x:f>""</x:f>
      </x:c>
      <x:c r="J4728" s="74" t="str">
        <x:f>""</x:f>
      </x:c>
      <x:c r="K4728" s="73" t="n">
        <x:f>MAX(K4727,F4728)</x:f>
        <x:v>1.2921</x:v>
      </x:c>
      <x:c r="L4728" s="74" t="n">
        <x:f>1-F4728/K4728</x:f>
        <x:v>0</x:v>
      </x:c>
      <x:c r="M4728" s="73" t="n">
        <x:f>MAX(M4727,F4728)</x:f>
        <x:v>1.2921</x:v>
      </x:c>
      <x:c r="N4728" s="74" t="n">
        <x:f>1-F4728/M4728</x:f>
        <x:v>0</x:v>
      </x:c>
    </x:row>
    <x:row r="4729" ht="27" customHeight="1">
      <x:c r="A4729" s="66" t="str">
        <x:v>SQN453</x:v>
      </x:c>
      <x:c r="B4729" s="66" t="str">
        <x:v>钧誉厚德量化对冲11号</x:v>
      </x:c>
      <x:c r="C4729" s="72" t="n">
        <x:v>45310</x:v>
      </x:c>
      <x:c r="D4729" s="73" t="n">
        <x:v>1.2921</x:v>
      </x:c>
      <x:c r="E4729" s="73" t="n">
        <x:v>1.2921</x:v>
      </x:c>
      <x:c r="F4729" s="73" t="n">
        <x:v>1.2921</x:v>
      </x:c>
      <x:c r="G4729" s="74" t="n">
        <x:v>0</x:v>
      </x:c>
      <x:c r="H4729" s="66" t="str">
        <x:v>钧誉厚德量化对冲11号净值20260911.xlsx</x:v>
      </x:c>
      <x:c r="I4729" s="73" t="str">
        <x:f>""</x:f>
      </x:c>
      <x:c r="J4729" s="74" t="str">
        <x:f>""</x:f>
      </x:c>
      <x:c r="K4729" s="73" t="n">
        <x:f>MAX(K4728,F4729)</x:f>
        <x:v>1.2921</x:v>
      </x:c>
      <x:c r="L4729" s="74" t="n">
        <x:f>1-F4729/K4729</x:f>
        <x:v>0</x:v>
      </x:c>
      <x:c r="M4729" s="73" t="n">
        <x:f>MAX(M4728,F4729)</x:f>
        <x:v>1.2921</x:v>
      </x:c>
      <x:c r="N4729" s="74" t="n">
        <x:f>1-F4729/M4729</x:f>
        <x:v>0</x:v>
      </x:c>
    </x:row>
    <x:row r="4730" ht="27" customHeight="1">
      <x:c r="A4730" s="66" t="str">
        <x:v>SQN453</x:v>
      </x:c>
      <x:c r="B4730" s="66" t="str">
        <x:v>钧誉厚德量化对冲11号</x:v>
      </x:c>
      <x:c r="C4730" s="72" t="n">
        <x:v>45313</x:v>
      </x:c>
      <x:c r="D4730" s="73" t="n">
        <x:v>1.2925</x:v>
      </x:c>
      <x:c r="E4730" s="73" t="n">
        <x:v>1.2925</x:v>
      </x:c>
      <x:c r="F4730" s="73" t="n">
        <x:v>1.2925</x:v>
      </x:c>
      <x:c r="G4730" s="74" t="n">
        <x:v>0.0003</x:v>
      </x:c>
      <x:c r="H4730" s="66" t="str">
        <x:v>钧誉厚德量化对冲11号净值20260911.xlsx</x:v>
      </x:c>
      <x:c r="I4730" s="73" t="str">
        <x:f>""</x:f>
      </x:c>
      <x:c r="J4730" s="74" t="str">
        <x:f>""</x:f>
      </x:c>
      <x:c r="K4730" s="73" t="n">
        <x:f>MAX(K4729,F4730)</x:f>
        <x:v>1.2925</x:v>
      </x:c>
      <x:c r="L4730" s="74" t="n">
        <x:f>1-F4730/K4730</x:f>
        <x:v>0</x:v>
      </x:c>
      <x:c r="M4730" s="73" t="n">
        <x:f>MAX(M4729,F4730)</x:f>
        <x:v>1.2925</x:v>
      </x:c>
      <x:c r="N4730" s="74" t="n">
        <x:f>1-F4730/M4730</x:f>
        <x:v>0</x:v>
      </x:c>
    </x:row>
    <x:row r="4731" ht="27" customHeight="1">
      <x:c r="A4731" s="66" t="str">
        <x:v>SQN453</x:v>
      </x:c>
      <x:c r="B4731" s="66" t="str">
        <x:v>钧誉厚德量化对冲11号</x:v>
      </x:c>
      <x:c r="C4731" s="72" t="n">
        <x:v>45314</x:v>
      </x:c>
      <x:c r="D4731" s="73" t="n">
        <x:v>1.2926</x:v>
      </x:c>
      <x:c r="E4731" s="73" t="n">
        <x:v>1.2926</x:v>
      </x:c>
      <x:c r="F4731" s="73" t="n">
        <x:v>1.2926</x:v>
      </x:c>
      <x:c r="G4731" s="74" t="n">
        <x:v>0.0001</x:v>
      </x:c>
      <x:c r="H4731" s="66" t="str">
        <x:v>钧誉厚德量化对冲11号净值20260911.xlsx</x:v>
      </x:c>
      <x:c r="I4731" s="73" t="str">
        <x:f>""</x:f>
      </x:c>
      <x:c r="J4731" s="74" t="str">
        <x:f>""</x:f>
      </x:c>
      <x:c r="K4731" s="73" t="n">
        <x:f>MAX(K4730,F4731)</x:f>
        <x:v>1.2926</x:v>
      </x:c>
      <x:c r="L4731" s="74" t="n">
        <x:f>1-F4731/K4731</x:f>
        <x:v>0</x:v>
      </x:c>
      <x:c r="M4731" s="73" t="n">
        <x:f>MAX(M4730,F4731)</x:f>
        <x:v>1.2926</x:v>
      </x:c>
      <x:c r="N4731" s="74" t="n">
        <x:f>1-F4731/M4731</x:f>
        <x:v>0</x:v>
      </x:c>
    </x:row>
    <x:row r="4732" ht="27" customHeight="1">
      <x:c r="A4732" s="66" t="str">
        <x:v>SQN453</x:v>
      </x:c>
      <x:c r="B4732" s="66" t="str">
        <x:v>钧誉厚德量化对冲11号</x:v>
      </x:c>
      <x:c r="C4732" s="72" t="n">
        <x:v>45315</x:v>
      </x:c>
      <x:c r="D4732" s="73" t="n">
        <x:v>1.2926</x:v>
      </x:c>
      <x:c r="E4732" s="73" t="n">
        <x:v>1.2926</x:v>
      </x:c>
      <x:c r="F4732" s="73" t="n">
        <x:v>1.2926</x:v>
      </x:c>
      <x:c r="G4732" s="74" t="n">
        <x:v>0</x:v>
      </x:c>
      <x:c r="H4732" s="66" t="str">
        <x:v>钧誉厚德量化对冲11号净值20260911.xlsx</x:v>
      </x:c>
      <x:c r="I4732" s="73" t="str">
        <x:f>""</x:f>
      </x:c>
      <x:c r="J4732" s="74" t="str">
        <x:f>""</x:f>
      </x:c>
      <x:c r="K4732" s="73" t="n">
        <x:f>MAX(K4731,F4732)</x:f>
        <x:v>1.2926</x:v>
      </x:c>
      <x:c r="L4732" s="74" t="n">
        <x:f>1-F4732/K4732</x:f>
        <x:v>0</x:v>
      </x:c>
      <x:c r="M4732" s="73" t="n">
        <x:f>MAX(M4731,F4732)</x:f>
        <x:v>1.2926</x:v>
      </x:c>
      <x:c r="N4732" s="74" t="n">
        <x:f>1-F4732/M4732</x:f>
        <x:v>0</x:v>
      </x:c>
    </x:row>
    <x:row r="4733" ht="27" customHeight="1">
      <x:c r="A4733" s="66" t="str">
        <x:v>SQN453</x:v>
      </x:c>
      <x:c r="B4733" s="66" t="str">
        <x:v>钧誉厚德量化对冲11号</x:v>
      </x:c>
      <x:c r="C4733" s="72" t="n">
        <x:v>45316</x:v>
      </x:c>
      <x:c r="D4733" s="73" t="n">
        <x:v>1.2926</x:v>
      </x:c>
      <x:c r="E4733" s="73" t="n">
        <x:v>1.2926</x:v>
      </x:c>
      <x:c r="F4733" s="73" t="n">
        <x:v>1.2926</x:v>
      </x:c>
      <x:c r="G4733" s="74" t="n">
        <x:v>0</x:v>
      </x:c>
      <x:c r="H4733" s="66" t="str">
        <x:v>钧誉厚德量化对冲11号净值20260911.xlsx</x:v>
      </x:c>
      <x:c r="I4733" s="73" t="str">
        <x:f>""</x:f>
      </x:c>
      <x:c r="J4733" s="74" t="str">
        <x:f>""</x:f>
      </x:c>
      <x:c r="K4733" s="73" t="n">
        <x:f>MAX(K4732,F4733)</x:f>
        <x:v>1.2926</x:v>
      </x:c>
      <x:c r="L4733" s="74" t="n">
        <x:f>1-F4733/K4733</x:f>
        <x:v>0</x:v>
      </x:c>
      <x:c r="M4733" s="73" t="n">
        <x:f>MAX(M4732,F4733)</x:f>
        <x:v>1.2926</x:v>
      </x:c>
      <x:c r="N4733" s="74" t="n">
        <x:f>1-F4733/M4733</x:f>
        <x:v>0</x:v>
      </x:c>
    </x:row>
    <x:row r="4734" ht="27" customHeight="1">
      <x:c r="A4734" s="66" t="str">
        <x:v>SQN453</x:v>
      </x:c>
      <x:c r="B4734" s="66" t="str">
        <x:v>钧誉厚德量化对冲11号</x:v>
      </x:c>
      <x:c r="C4734" s="72" t="n">
        <x:v>45317</x:v>
      </x:c>
      <x:c r="D4734" s="73" t="n">
        <x:v>1.2926</x:v>
      </x:c>
      <x:c r="E4734" s="73" t="n">
        <x:v>1.2926</x:v>
      </x:c>
      <x:c r="F4734" s="73" t="n">
        <x:v>1.2926</x:v>
      </x:c>
      <x:c r="G4734" s="74" t="n">
        <x:v>0</x:v>
      </x:c>
      <x:c r="H4734" s="66" t="str">
        <x:v>钧誉厚德量化对冲11号净值20260911.xlsx</x:v>
      </x:c>
      <x:c r="I4734" s="73" t="str">
        <x:f>""</x:f>
      </x:c>
      <x:c r="J4734" s="74" t="str">
        <x:f>""</x:f>
      </x:c>
      <x:c r="K4734" s="73" t="n">
        <x:f>MAX(K4733,F4734)</x:f>
        <x:v>1.2926</x:v>
      </x:c>
      <x:c r="L4734" s="74" t="n">
        <x:f>1-F4734/K4734</x:f>
        <x:v>0</x:v>
      </x:c>
      <x:c r="M4734" s="73" t="n">
        <x:f>MAX(M4733,F4734)</x:f>
        <x:v>1.2926</x:v>
      </x:c>
      <x:c r="N4734" s="74" t="n">
        <x:f>1-F4734/M4734</x:f>
        <x:v>0</x:v>
      </x:c>
    </x:row>
    <x:row r="4735" ht="27" customHeight="1">
      <x:c r="A4735" s="66" t="str">
        <x:v>SQN453</x:v>
      </x:c>
      <x:c r="B4735" s="66" t="str">
        <x:v>钧誉厚德量化对冲11号</x:v>
      </x:c>
      <x:c r="C4735" s="72" t="n">
        <x:v>45320</x:v>
      </x:c>
      <x:c r="D4735" s="73" t="n">
        <x:v>1.2934</x:v>
      </x:c>
      <x:c r="E4735" s="73" t="n">
        <x:v>1.2934</x:v>
      </x:c>
      <x:c r="F4735" s="73" t="n">
        <x:v>1.2934</x:v>
      </x:c>
      <x:c r="G4735" s="74" t="n">
        <x:v>0.0006</x:v>
      </x:c>
      <x:c r="H4735" s="66" t="str">
        <x:v>钧誉厚德量化对冲11号净值20260911.xlsx</x:v>
      </x:c>
      <x:c r="I4735" s="73" t="str">
        <x:f>""</x:f>
      </x:c>
      <x:c r="J4735" s="74" t="str">
        <x:f>""</x:f>
      </x:c>
      <x:c r="K4735" s="73" t="n">
        <x:f>MAX(K4734,F4735)</x:f>
        <x:v>1.2934</x:v>
      </x:c>
      <x:c r="L4735" s="74" t="n">
        <x:f>1-F4735/K4735</x:f>
        <x:v>0</x:v>
      </x:c>
      <x:c r="M4735" s="73" t="n">
        <x:f>MAX(M4734,F4735)</x:f>
        <x:v>1.2934</x:v>
      </x:c>
      <x:c r="N4735" s="74" t="n">
        <x:f>1-F4735/M4735</x:f>
        <x:v>0</x:v>
      </x:c>
    </x:row>
    <x:row r="4736" ht="27" customHeight="1">
      <x:c r="A4736" s="66" t="str">
        <x:v>SQN453</x:v>
      </x:c>
      <x:c r="B4736" s="66" t="str">
        <x:v>钧誉厚德量化对冲11号</x:v>
      </x:c>
      <x:c r="C4736" s="72" t="n">
        <x:v>45321</x:v>
      </x:c>
      <x:c r="D4736" s="73" t="n">
        <x:v>1.2935</x:v>
      </x:c>
      <x:c r="E4736" s="73" t="n">
        <x:v>1.2935</x:v>
      </x:c>
      <x:c r="F4736" s="73" t="n">
        <x:v>1.2935</x:v>
      </x:c>
      <x:c r="G4736" s="74" t="n">
        <x:v>0.0001</x:v>
      </x:c>
      <x:c r="H4736" s="66" t="str">
        <x:v>钧誉厚德量化对冲11号净值20260911.xlsx</x:v>
      </x:c>
      <x:c r="I4736" s="73" t="str">
        <x:f>""</x:f>
      </x:c>
      <x:c r="J4736" s="74" t="str">
        <x:f>""</x:f>
      </x:c>
      <x:c r="K4736" s="73" t="n">
        <x:f>MAX(K4735,F4736)</x:f>
        <x:v>1.2935</x:v>
      </x:c>
      <x:c r="L4736" s="74" t="n">
        <x:f>1-F4736/K4736</x:f>
        <x:v>0</x:v>
      </x:c>
      <x:c r="M4736" s="73" t="n">
        <x:f>MAX(M4735,F4736)</x:f>
        <x:v>1.2935</x:v>
      </x:c>
      <x:c r="N4736" s="74" t="n">
        <x:f>1-F4736/M4736</x:f>
        <x:v>0</x:v>
      </x:c>
    </x:row>
    <x:row r="4737" ht="27" customHeight="1">
      <x:c r="A4737" s="66" t="str">
        <x:v>SQN453</x:v>
      </x:c>
      <x:c r="B4737" s="66" t="str">
        <x:v>钧誉厚德量化对冲11号</x:v>
      </x:c>
      <x:c r="C4737" s="72" t="n">
        <x:v>45322</x:v>
      </x:c>
      <x:c r="D4737" s="73" t="n">
        <x:v>1.2936</x:v>
      </x:c>
      <x:c r="E4737" s="73" t="n">
        <x:v>1.2936</x:v>
      </x:c>
      <x:c r="F4737" s="73" t="n">
        <x:v>1.2936</x:v>
      </x:c>
      <x:c r="G4737" s="74" t="n">
        <x:v>0.0001</x:v>
      </x:c>
      <x:c r="H4737" s="66" t="str">
        <x:v>钧誉厚德量化对冲11号净值20260911.xlsx</x:v>
      </x:c>
      <x:c r="I4737" s="73" t="str">
        <x:f>""</x:f>
      </x:c>
      <x:c r="J4737" s="74" t="str">
        <x:f>""</x:f>
      </x:c>
      <x:c r="K4737" s="73" t="n">
        <x:f>MAX(K4736,F4737)</x:f>
        <x:v>1.2936</x:v>
      </x:c>
      <x:c r="L4737" s="74" t="n">
        <x:f>1-F4737/K4737</x:f>
        <x:v>0</x:v>
      </x:c>
      <x:c r="M4737" s="73" t="n">
        <x:f>MAX(M4736,F4737)</x:f>
        <x:v>1.2936</x:v>
      </x:c>
      <x:c r="N4737" s="74" t="n">
        <x:f>1-F4737/M4737</x:f>
        <x:v>0</x:v>
      </x:c>
    </x:row>
    <x:row r="4738" ht="27" customHeight="1">
      <x:c r="A4738" s="66" t="str">
        <x:v>SQN453</x:v>
      </x:c>
      <x:c r="B4738" s="66" t="str">
        <x:v>钧誉厚德量化对冲11号</x:v>
      </x:c>
      <x:c r="C4738" s="72" t="n">
        <x:v>45323</x:v>
      </x:c>
      <x:c r="D4738" s="73" t="n">
        <x:v>1.2939</x:v>
      </x:c>
      <x:c r="E4738" s="73" t="n">
        <x:v>1.2939</x:v>
      </x:c>
      <x:c r="F4738" s="73" t="n">
        <x:v>1.2939</x:v>
      </x:c>
      <x:c r="G4738" s="74" t="n">
        <x:v>0.0002</x:v>
      </x:c>
      <x:c r="H4738" s="66" t="str">
        <x:v>钧誉厚德量化对冲11号净值20260911.xlsx</x:v>
      </x:c>
      <x:c r="I4738" s="73" t="str">
        <x:f>""</x:f>
      </x:c>
      <x:c r="J4738" s="74" t="str">
        <x:f>""</x:f>
      </x:c>
      <x:c r="K4738" s="73" t="n">
        <x:f>MAX(K4737,F4738)</x:f>
        <x:v>1.2939</x:v>
      </x:c>
      <x:c r="L4738" s="74" t="n">
        <x:f>1-F4738/K4738</x:f>
        <x:v>0</x:v>
      </x:c>
      <x:c r="M4738" s="73" t="n">
        <x:f>MAX(M4737,F4738)</x:f>
        <x:v>1.2939</x:v>
      </x:c>
      <x:c r="N4738" s="74" t="n">
        <x:f>1-F4738/M4738</x:f>
        <x:v>0</x:v>
      </x:c>
    </x:row>
    <x:row r="4739" ht="27" customHeight="1">
      <x:c r="A4739" s="66" t="str">
        <x:v>SQN453</x:v>
      </x:c>
      <x:c r="B4739" s="66" t="str">
        <x:v>钧誉厚德量化对冲11号</x:v>
      </x:c>
      <x:c r="C4739" s="72" t="n">
        <x:v>45324</x:v>
      </x:c>
      <x:c r="D4739" s="73" t="n">
        <x:v>1.2942</x:v>
      </x:c>
      <x:c r="E4739" s="73" t="n">
        <x:v>1.2942</x:v>
      </x:c>
      <x:c r="F4739" s="73" t="n">
        <x:v>1.2942</x:v>
      </x:c>
      <x:c r="G4739" s="74" t="n">
        <x:v>0.0002</x:v>
      </x:c>
      <x:c r="H4739" s="66" t="str">
        <x:v>钧誉厚德量化对冲11号净值20260911.xlsx</x:v>
      </x:c>
      <x:c r="I4739" s="73" t="str">
        <x:f>""</x:f>
      </x:c>
      <x:c r="J4739" s="74" t="str">
        <x:f>""</x:f>
      </x:c>
      <x:c r="K4739" s="73" t="n">
        <x:f>MAX(K4738,F4739)</x:f>
        <x:v>1.2942</x:v>
      </x:c>
      <x:c r="L4739" s="74" t="n">
        <x:f>1-F4739/K4739</x:f>
        <x:v>0</x:v>
      </x:c>
      <x:c r="M4739" s="73" t="n">
        <x:f>MAX(M4738,F4739)</x:f>
        <x:v>1.2942</x:v>
      </x:c>
      <x:c r="N4739" s="74" t="n">
        <x:f>1-F4739/M4739</x:f>
        <x:v>0</x:v>
      </x:c>
    </x:row>
    <x:row r="4740" ht="27" customHeight="1">
      <x:c r="A4740" s="66" t="str">
        <x:v>SQN453</x:v>
      </x:c>
      <x:c r="B4740" s="66" t="str">
        <x:v>钧誉厚德量化对冲11号</x:v>
      </x:c>
      <x:c r="C4740" s="72" t="n">
        <x:v>45327</x:v>
      </x:c>
      <x:c r="D4740" s="73" t="n">
        <x:v>1.2899</x:v>
      </x:c>
      <x:c r="E4740" s="73" t="n">
        <x:v>1.2899</x:v>
      </x:c>
      <x:c r="F4740" s="73" t="n">
        <x:v>1.2899</x:v>
      </x:c>
      <x:c r="G4740" s="74" t="n">
        <x:v>-0.0033</x:v>
      </x:c>
      <x:c r="H4740" s="66" t="str">
        <x:v>钧誉厚德量化对冲11号净值20260911.xlsx</x:v>
      </x:c>
      <x:c r="I4740" s="73" t="str">
        <x:f>""</x:f>
      </x:c>
      <x:c r="J4740" s="74" t="str">
        <x:f>""</x:f>
      </x:c>
      <x:c r="K4740" s="73" t="n">
        <x:f>MAX(K4739,F4740)</x:f>
        <x:v>1.2942</x:v>
      </x:c>
      <x:c r="L4740" s="74" t="n">
        <x:f>1-F4740/K4740</x:f>
        <x:v>0.0033225158399010635</x:v>
      </x:c>
      <x:c r="M4740" s="73" t="n">
        <x:f>MAX(M4739,F4740)</x:f>
        <x:v>1.2942</x:v>
      </x:c>
      <x:c r="N4740" s="74" t="n">
        <x:f>1-F4740/M4740</x:f>
        <x:v>0.0033225158399010635</x:v>
      </x:c>
    </x:row>
    <x:row r="4741" ht="27" customHeight="1">
      <x:c r="A4741" s="66" t="str">
        <x:v>SQN453</x:v>
      </x:c>
      <x:c r="B4741" s="66" t="str">
        <x:v>钧誉厚德量化对冲11号</x:v>
      </x:c>
      <x:c r="C4741" s="72" t="n">
        <x:v>45328</x:v>
      </x:c>
      <x:c r="D4741" s="73" t="n">
        <x:v>1.2919</x:v>
      </x:c>
      <x:c r="E4741" s="73" t="n">
        <x:v>1.2919</x:v>
      </x:c>
      <x:c r="F4741" s="73" t="n">
        <x:v>1.2919</x:v>
      </x:c>
      <x:c r="G4741" s="74" t="n">
        <x:v>0.0016</x:v>
      </x:c>
      <x:c r="H4741" s="66" t="str">
        <x:v>钧誉厚德量化对冲11号净值20260911.xlsx</x:v>
      </x:c>
      <x:c r="I4741" s="73" t="str">
        <x:f>""</x:f>
      </x:c>
      <x:c r="J4741" s="74" t="str">
        <x:f>""</x:f>
      </x:c>
      <x:c r="K4741" s="73" t="n">
        <x:f>MAX(K4740,F4741)</x:f>
        <x:v>1.2942</x:v>
      </x:c>
      <x:c r="L4741" s="74" t="n">
        <x:f>1-F4741/K4741</x:f>
        <x:v>0.0017771596352958996</x:v>
      </x:c>
      <x:c r="M4741" s="73" t="n">
        <x:f>MAX(M4740,F4741)</x:f>
        <x:v>1.2942</x:v>
      </x:c>
      <x:c r="N4741" s="74" t="n">
        <x:f>1-F4741/M4741</x:f>
        <x:v>0.0017771596352958996</x:v>
      </x:c>
    </x:row>
    <x:row r="4742" ht="27" customHeight="1">
      <x:c r="A4742" s="66" t="str">
        <x:v>SQN453</x:v>
      </x:c>
      <x:c r="B4742" s="66" t="str">
        <x:v>钧誉厚德量化对冲11号</x:v>
      </x:c>
      <x:c r="C4742" s="72" t="n">
        <x:v>45329</x:v>
      </x:c>
      <x:c r="D4742" s="73" t="n">
        <x:v>1.2916</x:v>
      </x:c>
      <x:c r="E4742" s="73" t="n">
        <x:v>1.2916</x:v>
      </x:c>
      <x:c r="F4742" s="73" t="n">
        <x:v>1.2916</x:v>
      </x:c>
      <x:c r="G4742" s="74" t="n">
        <x:v>-0.0002</x:v>
      </x:c>
      <x:c r="H4742" s="66" t="str">
        <x:v>钧誉厚德量化对冲11号净值20260911.xlsx</x:v>
      </x:c>
      <x:c r="I4742" s="73" t="str">
        <x:f>""</x:f>
      </x:c>
      <x:c r="J4742" s="74" t="str">
        <x:f>""</x:f>
      </x:c>
      <x:c r="K4742" s="73" t="n">
        <x:f>MAX(K4741,F4742)</x:f>
        <x:v>1.2942</x:v>
      </x:c>
      <x:c r="L4742" s="74" t="n">
        <x:f>1-F4742/K4742</x:f>
        <x:v>0.0020089630659866353</x:v>
      </x:c>
      <x:c r="M4742" s="73" t="n">
        <x:f>MAX(M4741,F4742)</x:f>
        <x:v>1.2942</x:v>
      </x:c>
      <x:c r="N4742" s="74" t="n">
        <x:f>1-F4742/M4742</x:f>
        <x:v>0.0020089630659866353</x:v>
      </x:c>
    </x:row>
    <x:row r="4743" ht="27" customHeight="1">
      <x:c r="A4743" s="66" t="str">
        <x:v>SQN453</x:v>
      </x:c>
      <x:c r="B4743" s="66" t="str">
        <x:v>钧誉厚德量化对冲11号</x:v>
      </x:c>
      <x:c r="C4743" s="72" t="n">
        <x:v>45330</x:v>
      </x:c>
      <x:c r="D4743" s="73" t="n">
        <x:v>1.2919</x:v>
      </x:c>
      <x:c r="E4743" s="73" t="n">
        <x:v>1.2919</x:v>
      </x:c>
      <x:c r="F4743" s="73" t="n">
        <x:v>1.2919</x:v>
      </x:c>
      <x:c r="G4743" s="74" t="n">
        <x:v>0.0002</x:v>
      </x:c>
      <x:c r="H4743" s="66" t="str">
        <x:v>钧誉厚德量化对冲11号净值20260911.xlsx</x:v>
      </x:c>
      <x:c r="I4743" s="73" t="str">
        <x:f>""</x:f>
      </x:c>
      <x:c r="J4743" s="74" t="str">
        <x:f>""</x:f>
      </x:c>
      <x:c r="K4743" s="73" t="n">
        <x:f>MAX(K4742,F4743)</x:f>
        <x:v>1.2942</x:v>
      </x:c>
      <x:c r="L4743" s="74" t="n">
        <x:f>1-F4743/K4743</x:f>
        <x:v>0.0017771596352958996</x:v>
      </x:c>
      <x:c r="M4743" s="73" t="n">
        <x:f>MAX(M4742,F4743)</x:f>
        <x:v>1.2942</x:v>
      </x:c>
      <x:c r="N4743" s="74" t="n">
        <x:f>1-F4743/M4743</x:f>
        <x:v>0.0017771596352958996</x:v>
      </x:c>
    </x:row>
    <x:row r="4744" ht="27" customHeight="1">
      <x:c r="A4744" s="66" t="str">
        <x:v>SQN453</x:v>
      </x:c>
      <x:c r="B4744" s="66" t="str">
        <x:v>钧誉厚德量化对冲11号</x:v>
      </x:c>
      <x:c r="C4744" s="72" t="n">
        <x:v>45341</x:v>
      </x:c>
      <x:c r="D4744" s="73" t="n">
        <x:v>1.2917</x:v>
      </x:c>
      <x:c r="E4744" s="73" t="n">
        <x:v>1.2917</x:v>
      </x:c>
      <x:c r="F4744" s="73" t="n">
        <x:v>1.2917</x:v>
      </x:c>
      <x:c r="G4744" s="74" t="n">
        <x:v>-0.0002</x:v>
      </x:c>
      <x:c r="H4744" s="66" t="str">
        <x:v>钧誉厚德量化对冲11号净值20260911.xlsx</x:v>
      </x:c>
      <x:c r="I4744" s="73" t="str">
        <x:f>""</x:f>
      </x:c>
      <x:c r="J4744" s="74" t="str">
        <x:f>""</x:f>
      </x:c>
      <x:c r="K4744" s="73" t="n">
        <x:f>MAX(K4743,F4744)</x:f>
        <x:v>1.2942</x:v>
      </x:c>
      <x:c r="L4744" s="74" t="n">
        <x:f>1-F4744/K4744</x:f>
        <x:v>0.001931695255756427</x:v>
      </x:c>
      <x:c r="M4744" s="73" t="n">
        <x:f>MAX(M4743,F4744)</x:f>
        <x:v>1.2942</x:v>
      </x:c>
      <x:c r="N4744" s="74" t="n">
        <x:f>1-F4744/M4744</x:f>
        <x:v>0.001931695255756427</x:v>
      </x:c>
    </x:row>
    <x:row r="4745" ht="27" customHeight="1">
      <x:c r="A4745" s="66" t="str">
        <x:v>SQN453</x:v>
      </x:c>
      <x:c r="B4745" s="66" t="str">
        <x:v>钧誉厚德量化对冲11号</x:v>
      </x:c>
      <x:c r="C4745" s="72" t="n">
        <x:v>45342</x:v>
      </x:c>
      <x:c r="D4745" s="73" t="n">
        <x:v>1.2918</x:v>
      </x:c>
      <x:c r="E4745" s="73" t="n">
        <x:v>1.2918</x:v>
      </x:c>
      <x:c r="F4745" s="73" t="n">
        <x:v>1.2918</x:v>
      </x:c>
      <x:c r="G4745" s="74" t="n">
        <x:v>0.0001</x:v>
      </x:c>
      <x:c r="H4745" s="66" t="str">
        <x:v>钧誉厚德量化对冲11号净值20260911.xlsx</x:v>
      </x:c>
      <x:c r="I4745" s="73" t="str">
        <x:f>""</x:f>
      </x:c>
      <x:c r="J4745" s="74" t="str">
        <x:f>""</x:f>
      </x:c>
      <x:c r="K4745" s="73" t="n">
        <x:f>MAX(K4744,F4745)</x:f>
        <x:v>1.2942</x:v>
      </x:c>
      <x:c r="L4745" s="74" t="n">
        <x:f>1-F4745/K4745</x:f>
        <x:v>0.0018544274455261078</x:v>
      </x:c>
      <x:c r="M4745" s="73" t="n">
        <x:f>MAX(M4744,F4745)</x:f>
        <x:v>1.2942</x:v>
      </x:c>
      <x:c r="N4745" s="74" t="n">
        <x:f>1-F4745/M4745</x:f>
        <x:v>0.0018544274455261078</x:v>
      </x:c>
    </x:row>
    <x:row r="4746" ht="27" customHeight="1">
      <x:c r="A4746" s="66" t="str">
        <x:v>SQN453</x:v>
      </x:c>
      <x:c r="B4746" s="66" t="str">
        <x:v>钧誉厚德量化对冲11号</x:v>
      </x:c>
      <x:c r="C4746" s="72" t="n">
        <x:v>45343</x:v>
      </x:c>
      <x:c r="D4746" s="73" t="n">
        <x:v>1.292</x:v>
      </x:c>
      <x:c r="E4746" s="73" t="n">
        <x:v>1.292</x:v>
      </x:c>
      <x:c r="F4746" s="73" t="n">
        <x:v>1.292</x:v>
      </x:c>
      <x:c r="G4746" s="74" t="n">
        <x:v>0.0002</x:v>
      </x:c>
      <x:c r="H4746" s="66" t="str">
        <x:v>钧誉厚德量化对冲11号净值20260911.xlsx</x:v>
      </x:c>
      <x:c r="I4746" s="73" t="str">
        <x:f>""</x:f>
      </x:c>
      <x:c r="J4746" s="74" t="str">
        <x:f>""</x:f>
      </x:c>
      <x:c r="K4746" s="73" t="n">
        <x:f>MAX(K4745,F4746)</x:f>
        <x:v>1.2942</x:v>
      </x:c>
      <x:c r="L4746" s="74" t="n">
        <x:f>1-F4746/K4746</x:f>
        <x:v>0.0016998918250656914</x:v>
      </x:c>
      <x:c r="M4746" s="73" t="n">
        <x:f>MAX(M4745,F4746)</x:f>
        <x:v>1.2942</x:v>
      </x:c>
      <x:c r="N4746" s="74" t="n">
        <x:f>1-F4746/M4746</x:f>
        <x:v>0.0016998918250656914</x:v>
      </x:c>
    </x:row>
    <x:row r="4747" ht="27" customHeight="1">
      <x:c r="A4747" s="66" t="str">
        <x:v>SQN453</x:v>
      </x:c>
      <x:c r="B4747" s="66" t="str">
        <x:v>钧誉厚德量化对冲11号</x:v>
      </x:c>
      <x:c r="C4747" s="72" t="n">
        <x:v>45344</x:v>
      </x:c>
      <x:c r="D4747" s="73" t="n">
        <x:v>1.292</x:v>
      </x:c>
      <x:c r="E4747" s="73" t="n">
        <x:v>1.292</x:v>
      </x:c>
      <x:c r="F4747" s="73" t="n">
        <x:v>1.292</x:v>
      </x:c>
      <x:c r="G4747" s="74" t="n">
        <x:v>0</x:v>
      </x:c>
      <x:c r="H4747" s="66" t="str">
        <x:v>钧誉厚德量化对冲11号净值20260911.xlsx</x:v>
      </x:c>
      <x:c r="I4747" s="73" t="str">
        <x:f>""</x:f>
      </x:c>
      <x:c r="J4747" s="74" t="str">
        <x:f>""</x:f>
      </x:c>
      <x:c r="K4747" s="73" t="n">
        <x:f>MAX(K4746,F4747)</x:f>
        <x:v>1.2942</x:v>
      </x:c>
      <x:c r="L4747" s="74" t="n">
        <x:f>1-F4747/K4747</x:f>
        <x:v>0.0016998918250656914</x:v>
      </x:c>
      <x:c r="M4747" s="73" t="n">
        <x:f>MAX(M4746,F4747)</x:f>
        <x:v>1.2942</x:v>
      </x:c>
      <x:c r="N4747" s="74" t="n">
        <x:f>1-F4747/M4747</x:f>
        <x:v>0.0016998918250656914</x:v>
      </x:c>
    </x:row>
    <x:row r="4748" ht="27" customHeight="1">
      <x:c r="A4748" s="66" t="str">
        <x:v>SQN453</x:v>
      </x:c>
      <x:c r="B4748" s="66" t="str">
        <x:v>钧誉厚德量化对冲11号</x:v>
      </x:c>
      <x:c r="C4748" s="72" t="n">
        <x:v>45345</x:v>
      </x:c>
      <x:c r="D4748" s="73" t="n">
        <x:v>1.2925</x:v>
      </x:c>
      <x:c r="E4748" s="73" t="n">
        <x:v>1.2925</x:v>
      </x:c>
      <x:c r="F4748" s="73" t="n">
        <x:v>1.2925</x:v>
      </x:c>
      <x:c r="G4748" s="74" t="n">
        <x:v>0.0004</x:v>
      </x:c>
      <x:c r="H4748" s="66" t="str">
        <x:v>钧誉厚德量化对冲11号净值20260911.xlsx</x:v>
      </x:c>
      <x:c r="I4748" s="73" t="str">
        <x:f>""</x:f>
      </x:c>
      <x:c r="J4748" s="74" t="str">
        <x:f>""</x:f>
      </x:c>
      <x:c r="K4748" s="73" t="n">
        <x:f>MAX(K4747,F4748)</x:f>
        <x:v>1.2942</x:v>
      </x:c>
      <x:c r="L4748" s="74" t="n">
        <x:f>1-F4748/K4748</x:f>
        <x:v>0.0013135527739144282</x:v>
      </x:c>
      <x:c r="M4748" s="73" t="n">
        <x:f>MAX(M4747,F4748)</x:f>
        <x:v>1.2942</x:v>
      </x:c>
      <x:c r="N4748" s="74" t="n">
        <x:f>1-F4748/M4748</x:f>
        <x:v>0.0013135527739144282</x:v>
      </x:c>
    </x:row>
    <x:row r="4749" ht="27" customHeight="1">
      <x:c r="A4749" s="66" t="str">
        <x:v>SQN453</x:v>
      </x:c>
      <x:c r="B4749" s="66" t="str">
        <x:v>钧誉厚德量化对冲11号</x:v>
      </x:c>
      <x:c r="C4749" s="72" t="n">
        <x:v>45348</x:v>
      </x:c>
      <x:c r="D4749" s="73" t="n">
        <x:v>1.2926</x:v>
      </x:c>
      <x:c r="E4749" s="73" t="n">
        <x:v>1.2926</x:v>
      </x:c>
      <x:c r="F4749" s="73" t="n">
        <x:v>1.2926</x:v>
      </x:c>
      <x:c r="G4749" s="74" t="n">
        <x:v>0.0001</x:v>
      </x:c>
      <x:c r="H4749" s="66" t="str">
        <x:v>钧誉厚德量化对冲11号净值20260911.xlsx</x:v>
      </x:c>
      <x:c r="I4749" s="73" t="str">
        <x:f>""</x:f>
      </x:c>
      <x:c r="J4749" s="74" t="str">
        <x:f>""</x:f>
      </x:c>
      <x:c r="K4749" s="73" t="n">
        <x:f>MAX(K4748,F4749)</x:f>
        <x:v>1.2942</x:v>
      </x:c>
      <x:c r="L4749" s="74" t="n">
        <x:f>1-F4749/K4749</x:f>
        <x:v>0.00123628496368422</x:v>
      </x:c>
      <x:c r="M4749" s="73" t="n">
        <x:f>MAX(M4748,F4749)</x:f>
        <x:v>1.2942</x:v>
      </x:c>
      <x:c r="N4749" s="74" t="n">
        <x:f>1-F4749/M4749</x:f>
        <x:v>0.00123628496368422</x:v>
      </x:c>
    </x:row>
    <x:row r="4750" ht="27" customHeight="1">
      <x:c r="A4750" s="66" t="str">
        <x:v>SQN453</x:v>
      </x:c>
      <x:c r="B4750" s="66" t="str">
        <x:v>钧誉厚德量化对冲11号</x:v>
      </x:c>
      <x:c r="C4750" s="72" t="n">
        <x:v>45349</x:v>
      </x:c>
      <x:c r="D4750" s="73" t="n">
        <x:v>1.2926</x:v>
      </x:c>
      <x:c r="E4750" s="73" t="n">
        <x:v>1.2926</x:v>
      </x:c>
      <x:c r="F4750" s="73" t="n">
        <x:v>1.2926</x:v>
      </x:c>
      <x:c r="G4750" s="74" t="n">
        <x:v>0</x:v>
      </x:c>
      <x:c r="H4750" s="66" t="str">
        <x:v>钧誉厚德量化对冲11号净值20260911.xlsx</x:v>
      </x:c>
      <x:c r="I4750" s="73" t="str">
        <x:f>""</x:f>
      </x:c>
      <x:c r="J4750" s="74" t="str">
        <x:f>""</x:f>
      </x:c>
      <x:c r="K4750" s="73" t="n">
        <x:f>MAX(K4749,F4750)</x:f>
        <x:v>1.2942</x:v>
      </x:c>
      <x:c r="L4750" s="74" t="n">
        <x:f>1-F4750/K4750</x:f>
        <x:v>0.00123628496368422</x:v>
      </x:c>
      <x:c r="M4750" s="73" t="n">
        <x:f>MAX(M4749,F4750)</x:f>
        <x:v>1.2942</x:v>
      </x:c>
      <x:c r="N4750" s="74" t="n">
        <x:f>1-F4750/M4750</x:f>
        <x:v>0.00123628496368422</x:v>
      </x:c>
    </x:row>
    <x:row r="4751" ht="27" customHeight="1">
      <x:c r="A4751" s="66" t="str">
        <x:v>SQN453</x:v>
      </x:c>
      <x:c r="B4751" s="66" t="str">
        <x:v>钧誉厚德量化对冲11号</x:v>
      </x:c>
      <x:c r="C4751" s="72" t="n">
        <x:v>45350</x:v>
      </x:c>
      <x:c r="D4751" s="73" t="n">
        <x:v>1.2927</x:v>
      </x:c>
      <x:c r="E4751" s="73" t="n">
        <x:v>1.2927</x:v>
      </x:c>
      <x:c r="F4751" s="73" t="n">
        <x:v>1.2927</x:v>
      </x:c>
      <x:c r="G4751" s="74" t="n">
        <x:v>0.0001</x:v>
      </x:c>
      <x:c r="H4751" s="66" t="str">
        <x:v>钧誉厚德量化对冲11号净值20260911.xlsx</x:v>
      </x:c>
      <x:c r="I4751" s="73" t="str">
        <x:f>""</x:f>
      </x:c>
      <x:c r="J4751" s="74" t="str">
        <x:f>""</x:f>
      </x:c>
      <x:c r="K4751" s="73" t="n">
        <x:f>MAX(K4750,F4751)</x:f>
        <x:v>1.2942</x:v>
      </x:c>
      <x:c r="L4751" s="74" t="n">
        <x:f>1-F4751/K4751</x:f>
        <x:v>0.0011590171534539007</x:v>
      </x:c>
      <x:c r="M4751" s="73" t="n">
        <x:f>MAX(M4750,F4751)</x:f>
        <x:v>1.2942</x:v>
      </x:c>
      <x:c r="N4751" s="74" t="n">
        <x:f>1-F4751/M4751</x:f>
        <x:v>0.0011590171534539007</x:v>
      </x:c>
    </x:row>
    <x:row r="4752" ht="27" customHeight="1">
      <x:c r="A4752" s="66" t="str">
        <x:v>SQN453</x:v>
      </x:c>
      <x:c r="B4752" s="66" t="str">
        <x:v>钧誉厚德量化对冲11号</x:v>
      </x:c>
      <x:c r="C4752" s="72" t="n">
        <x:v>45351</x:v>
      </x:c>
      <x:c r="D4752" s="73" t="n">
        <x:v>1.2927</x:v>
      </x:c>
      <x:c r="E4752" s="73" t="n">
        <x:v>1.2927</x:v>
      </x:c>
      <x:c r="F4752" s="73" t="n">
        <x:v>1.2927</x:v>
      </x:c>
      <x:c r="G4752" s="74" t="n">
        <x:v>0</x:v>
      </x:c>
      <x:c r="H4752" s="66" t="str">
        <x:v>钧誉厚德量化对冲11号净值20260911.xlsx</x:v>
      </x:c>
      <x:c r="I4752" s="73" t="str">
        <x:f>""</x:f>
      </x:c>
      <x:c r="J4752" s="74" t="str">
        <x:f>""</x:f>
      </x:c>
      <x:c r="K4752" s="73" t="n">
        <x:f>MAX(K4751,F4752)</x:f>
        <x:v>1.2942</x:v>
      </x:c>
      <x:c r="L4752" s="74" t="n">
        <x:f>1-F4752/K4752</x:f>
        <x:v>0.0011590171534539007</x:v>
      </x:c>
      <x:c r="M4752" s="73" t="n">
        <x:f>MAX(M4751,F4752)</x:f>
        <x:v>1.2942</x:v>
      </x:c>
      <x:c r="N4752" s="74" t="n">
        <x:f>1-F4752/M4752</x:f>
        <x:v>0.0011590171534539007</x:v>
      </x:c>
    </x:row>
    <x:row r="4753" ht="27" customHeight="1">
      <x:c r="A4753" s="66" t="str">
        <x:v>SQN453</x:v>
      </x:c>
      <x:c r="B4753" s="66" t="str">
        <x:v>钧誉厚德量化对冲11号</x:v>
      </x:c>
      <x:c r="C4753" s="72" t="n">
        <x:v>45352</x:v>
      </x:c>
      <x:c r="D4753" s="73" t="n">
        <x:v>1.293</x:v>
      </x:c>
      <x:c r="E4753" s="73" t="n">
        <x:v>1.293</x:v>
      </x:c>
      <x:c r="F4753" s="73" t="n">
        <x:v>1.293</x:v>
      </x:c>
      <x:c r="G4753" s="74" t="n">
        <x:v>0.0002</x:v>
      </x:c>
      <x:c r="H4753" s="66" t="str">
        <x:v>钧誉厚德量化对冲11号净值20260911.xlsx</x:v>
      </x:c>
      <x:c r="I4753" s="73" t="str">
        <x:f>""</x:f>
      </x:c>
      <x:c r="J4753" s="74" t="str">
        <x:f>""</x:f>
      </x:c>
      <x:c r="K4753" s="73" t="n">
        <x:f>MAX(K4752,F4753)</x:f>
        <x:v>1.2942</x:v>
      </x:c>
      <x:c r="L4753" s="74" t="n">
        <x:f>1-F4753/K4753</x:f>
        <x:v>0.0009272137227631649</x:v>
      </x:c>
      <x:c r="M4753" s="73" t="n">
        <x:f>MAX(M4752,F4753)</x:f>
        <x:v>1.2942</x:v>
      </x:c>
      <x:c r="N4753" s="74" t="n">
        <x:f>1-F4753/M4753</x:f>
        <x:v>0.0009272137227631649</x:v>
      </x:c>
    </x:row>
    <x:row r="4754" ht="27" customHeight="1">
      <x:c r="A4754" s="66" t="str">
        <x:v>SQN453</x:v>
      </x:c>
      <x:c r="B4754" s="66" t="str">
        <x:v>钧誉厚德量化对冲11号</x:v>
      </x:c>
      <x:c r="C4754" s="72" t="n">
        <x:v>45355</x:v>
      </x:c>
      <x:c r="D4754" s="73" t="n">
        <x:v>1.2929</x:v>
      </x:c>
      <x:c r="E4754" s="73" t="n">
        <x:v>1.2929</x:v>
      </x:c>
      <x:c r="F4754" s="73" t="n">
        <x:v>1.2929</x:v>
      </x:c>
      <x:c r="G4754" s="74" t="n">
        <x:v>-0.0001</x:v>
      </x:c>
      <x:c r="H4754" s="66" t="str">
        <x:v>钧誉厚德量化对冲11号净值20260911.xlsx</x:v>
      </x:c>
      <x:c r="I4754" s="73" t="str">
        <x:f>""</x:f>
      </x:c>
      <x:c r="J4754" s="74" t="str">
        <x:f>""</x:f>
      </x:c>
      <x:c r="K4754" s="73" t="n">
        <x:f>MAX(K4753,F4754)</x:f>
        <x:v>1.2942</x:v>
      </x:c>
      <x:c r="L4754" s="74" t="n">
        <x:f>1-F4754/K4754</x:f>
        <x:v>0.0010044815329933732</x:v>
      </x:c>
      <x:c r="M4754" s="73" t="n">
        <x:f>MAX(M4753,F4754)</x:f>
        <x:v>1.2942</x:v>
      </x:c>
      <x:c r="N4754" s="74" t="n">
        <x:f>1-F4754/M4754</x:f>
        <x:v>0.0010044815329933732</x:v>
      </x:c>
    </x:row>
    <x:row r="4755" ht="27" customHeight="1">
      <x:c r="A4755" s="66" t="str">
        <x:v>SQN453</x:v>
      </x:c>
      <x:c r="B4755" s="66" t="str">
        <x:v>钧誉厚德量化对冲11号</x:v>
      </x:c>
      <x:c r="C4755" s="72" t="n">
        <x:v>45356</x:v>
      </x:c>
      <x:c r="D4755" s="73" t="n">
        <x:v>1.293</x:v>
      </x:c>
      <x:c r="E4755" s="73" t="n">
        <x:v>1.293</x:v>
      </x:c>
      <x:c r="F4755" s="73" t="n">
        <x:v>1.293</x:v>
      </x:c>
      <x:c r="G4755" s="74" t="n">
        <x:v>0.0001</x:v>
      </x:c>
      <x:c r="H4755" s="66" t="str">
        <x:v>钧誉厚德量化对冲11号净值20260911.xlsx</x:v>
      </x:c>
      <x:c r="I4755" s="73" t="str">
        <x:f>""</x:f>
      </x:c>
      <x:c r="J4755" s="74" t="str">
        <x:f>""</x:f>
      </x:c>
      <x:c r="K4755" s="73" t="n">
        <x:f>MAX(K4754,F4755)</x:f>
        <x:v>1.2942</x:v>
      </x:c>
      <x:c r="L4755" s="74" t="n">
        <x:f>1-F4755/K4755</x:f>
        <x:v>0.0009272137227631649</x:v>
      </x:c>
      <x:c r="M4755" s="73" t="n">
        <x:f>MAX(M4754,F4755)</x:f>
        <x:v>1.2942</x:v>
      </x:c>
      <x:c r="N4755" s="74" t="n">
        <x:f>1-F4755/M4755</x:f>
        <x:v>0.0009272137227631649</x:v>
      </x:c>
    </x:row>
    <x:row r="4756" ht="27" customHeight="1">
      <x:c r="A4756" s="66" t="str">
        <x:v>SQN453</x:v>
      </x:c>
      <x:c r="B4756" s="66" t="str">
        <x:v>钧誉厚德量化对冲11号</x:v>
      </x:c>
      <x:c r="C4756" s="72" t="n">
        <x:v>45357</x:v>
      </x:c>
      <x:c r="D4756" s="73" t="n">
        <x:v>1.2931</x:v>
      </x:c>
      <x:c r="E4756" s="73" t="n">
        <x:v>1.2931</x:v>
      </x:c>
      <x:c r="F4756" s="73" t="n">
        <x:v>1.2931</x:v>
      </x:c>
      <x:c r="G4756" s="74" t="n">
        <x:v>0.0001</x:v>
      </x:c>
      <x:c r="H4756" s="66" t="str">
        <x:v>钧誉厚德量化对冲11号净值20260911.xlsx</x:v>
      </x:c>
      <x:c r="I4756" s="73" t="str">
        <x:f>""</x:f>
      </x:c>
      <x:c r="J4756" s="74" t="str">
        <x:f>""</x:f>
      </x:c>
      <x:c r="K4756" s="73" t="n">
        <x:f>MAX(K4755,F4756)</x:f>
        <x:v>1.2942</x:v>
      </x:c>
      <x:c r="L4756" s="74" t="n">
        <x:f>1-F4756/K4756</x:f>
        <x:v>0.0008499459125329567</x:v>
      </x:c>
      <x:c r="M4756" s="73" t="n">
        <x:f>MAX(M4755,F4756)</x:f>
        <x:v>1.2942</x:v>
      </x:c>
      <x:c r="N4756" s="74" t="n">
        <x:f>1-F4756/M4756</x:f>
        <x:v>0.0008499459125329567</x:v>
      </x:c>
    </x:row>
    <x:row r="4757" ht="27" customHeight="1">
      <x:c r="A4757" s="66" t="str">
        <x:v>SQN453</x:v>
      </x:c>
      <x:c r="B4757" s="66" t="str">
        <x:v>钧誉厚德量化对冲11号</x:v>
      </x:c>
      <x:c r="C4757" s="72" t="n">
        <x:v>45358</x:v>
      </x:c>
      <x:c r="D4757" s="73" t="n">
        <x:v>1.294</x:v>
      </x:c>
      <x:c r="E4757" s="73" t="n">
        <x:v>1.294</x:v>
      </x:c>
      <x:c r="F4757" s="73" t="n">
        <x:v>1.294</x:v>
      </x:c>
      <x:c r="G4757" s="74" t="n">
        <x:v>0.0007000000000000001</x:v>
      </x:c>
      <x:c r="H4757" s="66" t="str">
        <x:v>钧誉厚德量化对冲11号净值20260911.xlsx</x:v>
      </x:c>
      <x:c r="I4757" s="73" t="str">
        <x:f>""</x:f>
      </x:c>
      <x:c r="J4757" s="74" t="str">
        <x:f>""</x:f>
      </x:c>
      <x:c r="K4757" s="73" t="n">
        <x:f>MAX(K4756,F4757)</x:f>
        <x:v>1.2942</x:v>
      </x:c>
      <x:c r="L4757" s="74" t="n">
        <x:f>1-F4757/K4757</x:f>
        <x:v>0.0001545356204605275</x:v>
      </x:c>
      <x:c r="M4757" s="73" t="n">
        <x:f>MAX(M4756,F4757)</x:f>
        <x:v>1.2942</x:v>
      </x:c>
      <x:c r="N4757" s="74" t="n">
        <x:f>1-F4757/M4757</x:f>
        <x:v>0.0001545356204605275</x:v>
      </x:c>
    </x:row>
    <x:row r="4758" ht="27" customHeight="1">
      <x:c r="A4758" s="66" t="str">
        <x:v>SQN453</x:v>
      </x:c>
      <x:c r="B4758" s="66" t="str">
        <x:v>钧誉厚德量化对冲11号</x:v>
      </x:c>
      <x:c r="C4758" s="72" t="n">
        <x:v>45359</x:v>
      </x:c>
      <x:c r="D4758" s="73" t="n">
        <x:v>1.2943</x:v>
      </x:c>
      <x:c r="E4758" s="73" t="n">
        <x:v>1.2943</x:v>
      </x:c>
      <x:c r="F4758" s="73" t="n">
        <x:v>1.2943</x:v>
      </x:c>
      <x:c r="G4758" s="74" t="n">
        <x:v>0.0002</x:v>
      </x:c>
      <x:c r="H4758" s="66" t="str">
        <x:v>钧誉厚德量化对冲11号净值20260911.xlsx</x:v>
      </x:c>
      <x:c r="I4758" s="73" t="str">
        <x:f>""</x:f>
      </x:c>
      <x:c r="J4758" s="74" t="str">
        <x:f>""</x:f>
      </x:c>
      <x:c r="K4758" s="73" t="n">
        <x:f>MAX(K4757,F4758)</x:f>
        <x:v>1.2943</x:v>
      </x:c>
      <x:c r="L4758" s="74" t="n">
        <x:f>1-F4758/K4758</x:f>
        <x:v>0</x:v>
      </x:c>
      <x:c r="M4758" s="73" t="n">
        <x:f>MAX(M4757,F4758)</x:f>
        <x:v>1.2943</x:v>
      </x:c>
      <x:c r="N4758" s="74" t="n">
        <x:f>1-F4758/M4758</x:f>
        <x:v>0</x:v>
      </x:c>
    </x:row>
    <x:row r="4759" ht="27" customHeight="1">
      <x:c r="A4759" s="66" t="str">
        <x:v>SQN453</x:v>
      </x:c>
      <x:c r="B4759" s="66" t="str">
        <x:v>钧誉厚德量化对冲11号</x:v>
      </x:c>
      <x:c r="C4759" s="72" t="n">
        <x:v>45362</x:v>
      </x:c>
      <x:c r="D4759" s="73" t="n">
        <x:v>1.2945</x:v>
      </x:c>
      <x:c r="E4759" s="73" t="n">
        <x:v>1.2945</x:v>
      </x:c>
      <x:c r="F4759" s="73" t="n">
        <x:v>1.2945</x:v>
      </x:c>
      <x:c r="G4759" s="74" t="n">
        <x:v>0.0002</x:v>
      </x:c>
      <x:c r="H4759" s="66" t="str">
        <x:v>钧誉厚德量化对冲11号净值20260911.xlsx</x:v>
      </x:c>
      <x:c r="I4759" s="73" t="str">
        <x:f>""</x:f>
      </x:c>
      <x:c r="J4759" s="74" t="str">
        <x:f>""</x:f>
      </x:c>
      <x:c r="K4759" s="73" t="n">
        <x:f>MAX(K4758,F4759)</x:f>
        <x:v>1.2945</x:v>
      </x:c>
      <x:c r="L4759" s="74" t="n">
        <x:f>1-F4759/K4759</x:f>
        <x:v>0</x:v>
      </x:c>
      <x:c r="M4759" s="73" t="n">
        <x:f>MAX(M4758,F4759)</x:f>
        <x:v>1.2945</x:v>
      </x:c>
      <x:c r="N4759" s="74" t="n">
        <x:f>1-F4759/M4759</x:f>
        <x:v>0</x:v>
      </x:c>
    </x:row>
    <x:row r="4760" ht="27" customHeight="1">
      <x:c r="A4760" s="66" t="str">
        <x:v>SQN453</x:v>
      </x:c>
      <x:c r="B4760" s="66" t="str">
        <x:v>钧誉厚德量化对冲11号</x:v>
      </x:c>
      <x:c r="C4760" s="72" t="n">
        <x:v>45363</x:v>
      </x:c>
      <x:c r="D4760" s="73" t="n">
        <x:v>1.2948</x:v>
      </x:c>
      <x:c r="E4760" s="73" t="n">
        <x:v>1.2948</x:v>
      </x:c>
      <x:c r="F4760" s="73" t="n">
        <x:v>1.2948</x:v>
      </x:c>
      <x:c r="G4760" s="74" t="n">
        <x:v>0.0002</x:v>
      </x:c>
      <x:c r="H4760" s="66" t="str">
        <x:v>钧誉厚德量化对冲11号净值20260911.xlsx</x:v>
      </x:c>
      <x:c r="I4760" s="73" t="str">
        <x:f>""</x:f>
      </x:c>
      <x:c r="J4760" s="74" t="str">
        <x:f>""</x:f>
      </x:c>
      <x:c r="K4760" s="73" t="n">
        <x:f>MAX(K4759,F4760)</x:f>
        <x:v>1.2948</x:v>
      </x:c>
      <x:c r="L4760" s="74" t="n">
        <x:f>1-F4760/K4760</x:f>
        <x:v>0</x:v>
      </x:c>
      <x:c r="M4760" s="73" t="n">
        <x:f>MAX(M4759,F4760)</x:f>
        <x:v>1.2948</x:v>
      </x:c>
      <x:c r="N4760" s="74" t="n">
        <x:f>1-F4760/M4760</x:f>
        <x:v>0</x:v>
      </x:c>
    </x:row>
    <x:row r="4761" ht="27" customHeight="1">
      <x:c r="A4761" s="66" t="str">
        <x:v>SQN453</x:v>
      </x:c>
      <x:c r="B4761" s="66" t="str">
        <x:v>钧誉厚德量化对冲11号</x:v>
      </x:c>
      <x:c r="C4761" s="72" t="n">
        <x:v>45364</x:v>
      </x:c>
      <x:c r="D4761" s="73" t="n">
        <x:v>1.2961</x:v>
      </x:c>
      <x:c r="E4761" s="73" t="n">
        <x:v>1.2961</x:v>
      </x:c>
      <x:c r="F4761" s="73" t="n">
        <x:v>1.2961</x:v>
      </x:c>
      <x:c r="G4761" s="74" t="n">
        <x:v>0.001</x:v>
      </x:c>
      <x:c r="H4761" s="66" t="str">
        <x:v>钧誉厚德量化对冲11号净值20260911.xlsx</x:v>
      </x:c>
      <x:c r="I4761" s="73" t="str">
        <x:f>""</x:f>
      </x:c>
      <x:c r="J4761" s="74" t="str">
        <x:f>""</x:f>
      </x:c>
      <x:c r="K4761" s="73" t="n">
        <x:f>MAX(K4760,F4761)</x:f>
        <x:v>1.2961</x:v>
      </x:c>
      <x:c r="L4761" s="74" t="n">
        <x:f>1-F4761/K4761</x:f>
        <x:v>0</x:v>
      </x:c>
      <x:c r="M4761" s="73" t="n">
        <x:f>MAX(M4760,F4761)</x:f>
        <x:v>1.2961</x:v>
      </x:c>
      <x:c r="N4761" s="74" t="n">
        <x:f>1-F4761/M4761</x:f>
        <x:v>0</x:v>
      </x:c>
    </x:row>
    <x:row r="4762" ht="27" customHeight="1">
      <x:c r="A4762" s="66" t="str">
        <x:v>SQN453</x:v>
      </x:c>
      <x:c r="B4762" s="66" t="str">
        <x:v>钧誉厚德量化对冲11号</x:v>
      </x:c>
      <x:c r="C4762" s="72" t="n">
        <x:v>45365</x:v>
      </x:c>
      <x:c r="D4762" s="73" t="n">
        <x:v>1.2963</x:v>
      </x:c>
      <x:c r="E4762" s="73" t="n">
        <x:v>1.2963</x:v>
      </x:c>
      <x:c r="F4762" s="73" t="n">
        <x:v>1.2963</x:v>
      </x:c>
      <x:c r="G4762" s="74" t="n">
        <x:v>0.0002</x:v>
      </x:c>
      <x:c r="H4762" s="66" t="str">
        <x:v>钧誉厚德量化对冲11号净值20260911.xlsx</x:v>
      </x:c>
      <x:c r="I4762" s="73" t="str">
        <x:f>""</x:f>
      </x:c>
      <x:c r="J4762" s="74" t="str">
        <x:f>""</x:f>
      </x:c>
      <x:c r="K4762" s="73" t="n">
        <x:f>MAX(K4761,F4762)</x:f>
        <x:v>1.2963</x:v>
      </x:c>
      <x:c r="L4762" s="74" t="n">
        <x:f>1-F4762/K4762</x:f>
        <x:v>0</x:v>
      </x:c>
      <x:c r="M4762" s="73" t="n">
        <x:f>MAX(M4761,F4762)</x:f>
        <x:v>1.2963</x:v>
      </x:c>
      <x:c r="N4762" s="74" t="n">
        <x:f>1-F4762/M4762</x:f>
        <x:v>0</x:v>
      </x:c>
    </x:row>
    <x:row r="4763" ht="27" customHeight="1">
      <x:c r="A4763" s="66" t="str">
        <x:v>SQN453</x:v>
      </x:c>
      <x:c r="B4763" s="66" t="str">
        <x:v>钧誉厚德量化对冲11号</x:v>
      </x:c>
      <x:c r="C4763" s="72" t="n">
        <x:v>45366</x:v>
      </x:c>
      <x:c r="D4763" s="73" t="n">
        <x:v>1.2965</x:v>
      </x:c>
      <x:c r="E4763" s="73" t="n">
        <x:v>1.2965</x:v>
      </x:c>
      <x:c r="F4763" s="73" t="n">
        <x:v>1.2965</x:v>
      </x:c>
      <x:c r="G4763" s="74" t="n">
        <x:v>0.0002</x:v>
      </x:c>
      <x:c r="H4763" s="66" t="str">
        <x:v>钧誉厚德量化对冲11号净值20260911.xlsx</x:v>
      </x:c>
      <x:c r="I4763" s="73" t="str">
        <x:f>""</x:f>
      </x:c>
      <x:c r="J4763" s="74" t="str">
        <x:f>""</x:f>
      </x:c>
      <x:c r="K4763" s="73" t="n">
        <x:f>MAX(K4762,F4763)</x:f>
        <x:v>1.2965</x:v>
      </x:c>
      <x:c r="L4763" s="74" t="n">
        <x:f>1-F4763/K4763</x:f>
        <x:v>0</x:v>
      </x:c>
      <x:c r="M4763" s="73" t="n">
        <x:f>MAX(M4762,F4763)</x:f>
        <x:v>1.2965</x:v>
      </x:c>
      <x:c r="N4763" s="74" t="n">
        <x:f>1-F4763/M4763</x:f>
        <x:v>0</x:v>
      </x:c>
    </x:row>
    <x:row r="4764" ht="27" customHeight="1">
      <x:c r="A4764" s="66" t="str">
        <x:v>SQN453</x:v>
      </x:c>
      <x:c r="B4764" s="66" t="str">
        <x:v>钧誉厚德量化对冲11号</x:v>
      </x:c>
      <x:c r="C4764" s="72" t="n">
        <x:v>45369</x:v>
      </x:c>
      <x:c r="D4764" s="73" t="n">
        <x:v>1.297</x:v>
      </x:c>
      <x:c r="E4764" s="73" t="n">
        <x:v>1.297</x:v>
      </x:c>
      <x:c r="F4764" s="73" t="n">
        <x:v>1.297</x:v>
      </x:c>
      <x:c r="G4764" s="74" t="n">
        <x:v>0.0004</x:v>
      </x:c>
      <x:c r="H4764" s="66" t="str">
        <x:v>钧誉厚德量化对冲11号净值20260911.xlsx</x:v>
      </x:c>
      <x:c r="I4764" s="73" t="str">
        <x:f>""</x:f>
      </x:c>
      <x:c r="J4764" s="74" t="str">
        <x:f>""</x:f>
      </x:c>
      <x:c r="K4764" s="73" t="n">
        <x:f>MAX(K4763,F4764)</x:f>
        <x:v>1.297</x:v>
      </x:c>
      <x:c r="L4764" s="74" t="n">
        <x:f>1-F4764/K4764</x:f>
        <x:v>0</x:v>
      </x:c>
      <x:c r="M4764" s="73" t="n">
        <x:f>MAX(M4763,F4764)</x:f>
        <x:v>1.297</x:v>
      </x:c>
      <x:c r="N4764" s="74" t="n">
        <x:f>1-F4764/M4764</x:f>
        <x:v>0</x:v>
      </x:c>
    </x:row>
    <x:row r="4765" ht="27" customHeight="1">
      <x:c r="A4765" s="66" t="str">
        <x:v>SQN453</x:v>
      </x:c>
      <x:c r="B4765" s="66" t="str">
        <x:v>钧誉厚德量化对冲11号</x:v>
      </x:c>
      <x:c r="C4765" s="72" t="n">
        <x:v>45370</x:v>
      </x:c>
      <x:c r="D4765" s="73" t="n">
        <x:v>1.2977</x:v>
      </x:c>
      <x:c r="E4765" s="73" t="n">
        <x:v>1.2977</x:v>
      </x:c>
      <x:c r="F4765" s="73" t="n">
        <x:v>1.2977</x:v>
      </x:c>
      <x:c r="G4765" s="74" t="n">
        <x:v>0.0005</x:v>
      </x:c>
      <x:c r="H4765" s="66" t="str">
        <x:v>钧誉厚德量化对冲11号净值20260911.xlsx</x:v>
      </x:c>
      <x:c r="I4765" s="73" t="str">
        <x:f>""</x:f>
      </x:c>
      <x:c r="J4765" s="74" t="str">
        <x:f>""</x:f>
      </x:c>
      <x:c r="K4765" s="73" t="n">
        <x:f>MAX(K4764,F4765)</x:f>
        <x:v>1.2977</x:v>
      </x:c>
      <x:c r="L4765" s="74" t="n">
        <x:f>1-F4765/K4765</x:f>
        <x:v>0</x:v>
      </x:c>
      <x:c r="M4765" s="73" t="n">
        <x:f>MAX(M4764,F4765)</x:f>
        <x:v>1.2977</x:v>
      </x:c>
      <x:c r="N4765" s="74" t="n">
        <x:f>1-F4765/M4765</x:f>
        <x:v>0</x:v>
      </x:c>
    </x:row>
    <x:row r="4766" ht="27" customHeight="1">
      <x:c r="A4766" s="66" t="str">
        <x:v>SQN453</x:v>
      </x:c>
      <x:c r="B4766" s="66" t="str">
        <x:v>钧誉厚德量化对冲11号</x:v>
      </x:c>
      <x:c r="C4766" s="72" t="n">
        <x:v>45371</x:v>
      </x:c>
      <x:c r="D4766" s="73" t="n">
        <x:v>1.2978</x:v>
      </x:c>
      <x:c r="E4766" s="73" t="n">
        <x:v>1.2978</x:v>
      </x:c>
      <x:c r="F4766" s="73" t="n">
        <x:v>1.2978</x:v>
      </x:c>
      <x:c r="G4766" s="74" t="n">
        <x:v>0.0001</x:v>
      </x:c>
      <x:c r="H4766" s="66" t="str">
        <x:v>钧誉厚德量化对冲11号净值20260911.xlsx</x:v>
      </x:c>
      <x:c r="I4766" s="73" t="str">
        <x:f>""</x:f>
      </x:c>
      <x:c r="J4766" s="74" t="str">
        <x:f>""</x:f>
      </x:c>
      <x:c r="K4766" s="73" t="n">
        <x:f>MAX(K4765,F4766)</x:f>
        <x:v>1.2978</x:v>
      </x:c>
      <x:c r="L4766" s="74" t="n">
        <x:f>1-F4766/K4766</x:f>
        <x:v>0</x:v>
      </x:c>
      <x:c r="M4766" s="73" t="n">
        <x:f>MAX(M4765,F4766)</x:f>
        <x:v>1.2978</x:v>
      </x:c>
      <x:c r="N4766" s="74" t="n">
        <x:f>1-F4766/M4766</x:f>
        <x:v>0</x:v>
      </x:c>
    </x:row>
    <x:row r="4767" ht="27" customHeight="1">
      <x:c r="A4767" s="66" t="str">
        <x:v>SQN453</x:v>
      </x:c>
      <x:c r="B4767" s="66" t="str">
        <x:v>钧誉厚德量化对冲11号</x:v>
      </x:c>
      <x:c r="C4767" s="72" t="n">
        <x:v>45372</x:v>
      </x:c>
      <x:c r="D4767" s="73" t="n">
        <x:v>1.2983</x:v>
      </x:c>
      <x:c r="E4767" s="73" t="n">
        <x:v>1.2983</x:v>
      </x:c>
      <x:c r="F4767" s="73" t="n">
        <x:v>1.2983</x:v>
      </x:c>
      <x:c r="G4767" s="74" t="n">
        <x:v>0.0004</x:v>
      </x:c>
      <x:c r="H4767" s="66" t="str">
        <x:v>钧誉厚德量化对冲11号净值20260911.xlsx</x:v>
      </x:c>
      <x:c r="I4767" s="73" t="str">
        <x:f>""</x:f>
      </x:c>
      <x:c r="J4767" s="74" t="str">
        <x:f>""</x:f>
      </x:c>
      <x:c r="K4767" s="73" t="n">
        <x:f>MAX(K4766,F4767)</x:f>
        <x:v>1.2983</x:v>
      </x:c>
      <x:c r="L4767" s="74" t="n">
        <x:f>1-F4767/K4767</x:f>
        <x:v>0</x:v>
      </x:c>
      <x:c r="M4767" s="73" t="n">
        <x:f>MAX(M4766,F4767)</x:f>
        <x:v>1.2983</x:v>
      </x:c>
      <x:c r="N4767" s="74" t="n">
        <x:f>1-F4767/M4767</x:f>
        <x:v>0</x:v>
      </x:c>
    </x:row>
    <x:row r="4768" ht="27" customHeight="1">
      <x:c r="A4768" s="66" t="str">
        <x:v>SQN453</x:v>
      </x:c>
      <x:c r="B4768" s="66" t="str">
        <x:v>钧誉厚德量化对冲11号</x:v>
      </x:c>
      <x:c r="C4768" s="72" t="n">
        <x:v>45373</x:v>
      </x:c>
      <x:c r="D4768" s="73" t="n">
        <x:v>1.2984</x:v>
      </x:c>
      <x:c r="E4768" s="73" t="n">
        <x:v>1.2984</x:v>
      </x:c>
      <x:c r="F4768" s="73" t="n">
        <x:v>1.2984</x:v>
      </x:c>
      <x:c r="G4768" s="74" t="n">
        <x:v>0.0001</x:v>
      </x:c>
      <x:c r="H4768" s="66" t="str">
        <x:v>钧誉厚德量化对冲11号净值20260911.xlsx</x:v>
      </x:c>
      <x:c r="I4768" s="73" t="str">
        <x:f>""</x:f>
      </x:c>
      <x:c r="J4768" s="74" t="str">
        <x:f>""</x:f>
      </x:c>
      <x:c r="K4768" s="73" t="n">
        <x:f>MAX(K4767,F4768)</x:f>
        <x:v>1.2984</x:v>
      </x:c>
      <x:c r="L4768" s="74" t="n">
        <x:f>1-F4768/K4768</x:f>
        <x:v>0</x:v>
      </x:c>
      <x:c r="M4768" s="73" t="n">
        <x:f>MAX(M4767,F4768)</x:f>
        <x:v>1.2984</x:v>
      </x:c>
      <x:c r="N4768" s="74" t="n">
        <x:f>1-F4768/M4768</x:f>
        <x:v>0</x:v>
      </x:c>
    </x:row>
    <x:row r="4769" ht="27" customHeight="1">
      <x:c r="A4769" s="66" t="str">
        <x:v>SQN453</x:v>
      </x:c>
      <x:c r="B4769" s="66" t="str">
        <x:v>钧誉厚德量化对冲11号</x:v>
      </x:c>
      <x:c r="C4769" s="72" t="n">
        <x:v>45376</x:v>
      </x:c>
      <x:c r="D4769" s="73" t="n">
        <x:v>1.299</x:v>
      </x:c>
      <x:c r="E4769" s="73" t="n">
        <x:v>1.299</x:v>
      </x:c>
      <x:c r="F4769" s="73" t="n">
        <x:v>1.299</x:v>
      </x:c>
      <x:c r="G4769" s="74" t="n">
        <x:v>0.0005</x:v>
      </x:c>
      <x:c r="H4769" s="66" t="str">
        <x:v>钧誉厚德量化对冲11号净值20260911.xlsx</x:v>
      </x:c>
      <x:c r="I4769" s="73" t="str">
        <x:f>""</x:f>
      </x:c>
      <x:c r="J4769" s="74" t="str">
        <x:f>""</x:f>
      </x:c>
      <x:c r="K4769" s="73" t="n">
        <x:f>MAX(K4768,F4769)</x:f>
        <x:v>1.299</x:v>
      </x:c>
      <x:c r="L4769" s="74" t="n">
        <x:f>1-F4769/K4769</x:f>
        <x:v>0</x:v>
      </x:c>
      <x:c r="M4769" s="73" t="n">
        <x:f>MAX(M4768,F4769)</x:f>
        <x:v>1.299</x:v>
      </x:c>
      <x:c r="N4769" s="74" t="n">
        <x:f>1-F4769/M4769</x:f>
        <x:v>0</x:v>
      </x:c>
    </x:row>
    <x:row r="4770" ht="27" customHeight="1">
      <x:c r="A4770" s="66" t="str">
        <x:v>SQN453</x:v>
      </x:c>
      <x:c r="B4770" s="66" t="str">
        <x:v>钧誉厚德量化对冲11号</x:v>
      </x:c>
      <x:c r="C4770" s="72" t="n">
        <x:v>45377</x:v>
      </x:c>
      <x:c r="D4770" s="73" t="n">
        <x:v>1.2995</x:v>
      </x:c>
      <x:c r="E4770" s="73" t="n">
        <x:v>1.2995</x:v>
      </x:c>
      <x:c r="F4770" s="73" t="n">
        <x:v>1.2995</x:v>
      </x:c>
      <x:c r="G4770" s="74" t="n">
        <x:v>0.0004</x:v>
      </x:c>
      <x:c r="H4770" s="66" t="str">
        <x:v>钧誉厚德量化对冲11号净值20260911.xlsx</x:v>
      </x:c>
      <x:c r="I4770" s="73" t="str">
        <x:f>""</x:f>
      </x:c>
      <x:c r="J4770" s="74" t="str">
        <x:f>""</x:f>
      </x:c>
      <x:c r="K4770" s="73" t="n">
        <x:f>MAX(K4769,F4770)</x:f>
        <x:v>1.2995</x:v>
      </x:c>
      <x:c r="L4770" s="74" t="n">
        <x:f>1-F4770/K4770</x:f>
        <x:v>0</x:v>
      </x:c>
      <x:c r="M4770" s="73" t="n">
        <x:f>MAX(M4769,F4770)</x:f>
        <x:v>1.2995</x:v>
      </x:c>
      <x:c r="N4770" s="74" t="n">
        <x:f>1-F4770/M4770</x:f>
        <x:v>0</x:v>
      </x:c>
    </x:row>
    <x:row r="4771" ht="27" customHeight="1">
      <x:c r="A4771" s="66" t="str">
        <x:v>SQN453</x:v>
      </x:c>
      <x:c r="B4771" s="66" t="str">
        <x:v>钧誉厚德量化对冲11号</x:v>
      </x:c>
      <x:c r="C4771" s="72" t="n">
        <x:v>45378</x:v>
      </x:c>
      <x:c r="D4771" s="73" t="n">
        <x:v>1.3001</x:v>
      </x:c>
      <x:c r="E4771" s="73" t="n">
        <x:v>1.3001</x:v>
      </x:c>
      <x:c r="F4771" s="73" t="n">
        <x:v>1.3001</x:v>
      </x:c>
      <x:c r="G4771" s="74" t="n">
        <x:v>0.0005</x:v>
      </x:c>
      <x:c r="H4771" s="66" t="str">
        <x:v>钧誉厚德量化对冲11号净值20260911.xlsx</x:v>
      </x:c>
      <x:c r="I4771" s="73" t="str">
        <x:f>""</x:f>
      </x:c>
      <x:c r="J4771" s="74" t="str">
        <x:f>""</x:f>
      </x:c>
      <x:c r="K4771" s="73" t="n">
        <x:f>MAX(K4770,F4771)</x:f>
        <x:v>1.3001</x:v>
      </x:c>
      <x:c r="L4771" s="74" t="n">
        <x:f>1-F4771/K4771</x:f>
        <x:v>0</x:v>
      </x:c>
      <x:c r="M4771" s="73" t="n">
        <x:f>MAX(M4770,F4771)</x:f>
        <x:v>1.3001</x:v>
      </x:c>
      <x:c r="N4771" s="74" t="n">
        <x:f>1-F4771/M4771</x:f>
        <x:v>0</x:v>
      </x:c>
    </x:row>
    <x:row r="4772" ht="27" customHeight="1">
      <x:c r="A4772" s="66" t="str">
        <x:v>SQN453</x:v>
      </x:c>
      <x:c r="B4772" s="66" t="str">
        <x:v>钧誉厚德量化对冲11号</x:v>
      </x:c>
      <x:c r="C4772" s="72" t="n">
        <x:v>45379</x:v>
      </x:c>
      <x:c r="D4772" s="73" t="n">
        <x:v>1.3003</x:v>
      </x:c>
      <x:c r="E4772" s="73" t="n">
        <x:v>1.3003</x:v>
      </x:c>
      <x:c r="F4772" s="73" t="n">
        <x:v>1.3003</x:v>
      </x:c>
      <x:c r="G4772" s="74" t="n">
        <x:v>0.0002</x:v>
      </x:c>
      <x:c r="H4772" s="66" t="str">
        <x:v>钧誉厚德量化对冲11号净值20260911.xlsx</x:v>
      </x:c>
      <x:c r="I4772" s="73" t="str">
        <x:f>""</x:f>
      </x:c>
      <x:c r="J4772" s="74" t="str">
        <x:f>""</x:f>
      </x:c>
      <x:c r="K4772" s="73" t="n">
        <x:f>MAX(K4771,F4772)</x:f>
        <x:v>1.3003</x:v>
      </x:c>
      <x:c r="L4772" s="74" t="n">
        <x:f>1-F4772/K4772</x:f>
        <x:v>0</x:v>
      </x:c>
      <x:c r="M4772" s="73" t="n">
        <x:f>MAX(M4771,F4772)</x:f>
        <x:v>1.3003</x:v>
      </x:c>
      <x:c r="N4772" s="74" t="n">
        <x:f>1-F4772/M4772</x:f>
        <x:v>0</x:v>
      </x:c>
    </x:row>
    <x:row r="4773" ht="27" customHeight="1">
      <x:c r="A4773" s="66" t="str">
        <x:v>SQN453</x:v>
      </x:c>
      <x:c r="B4773" s="66" t="str">
        <x:v>钧誉厚德量化对冲11号</x:v>
      </x:c>
      <x:c r="C4773" s="72" t="n">
        <x:v>45380</x:v>
      </x:c>
      <x:c r="D4773" s="73" t="n">
        <x:v>1.3004</x:v>
      </x:c>
      <x:c r="E4773" s="73" t="n">
        <x:v>1.3004</x:v>
      </x:c>
      <x:c r="F4773" s="73" t="n">
        <x:v>1.3004</x:v>
      </x:c>
      <x:c r="G4773" s="74" t="n">
        <x:v>0.0001</x:v>
      </x:c>
      <x:c r="H4773" s="66" t="str">
        <x:v>钧誉厚德量化对冲11号净值20260911.xlsx</x:v>
      </x:c>
      <x:c r="I4773" s="73" t="str">
        <x:f>""</x:f>
      </x:c>
      <x:c r="J4773" s="74" t="str">
        <x:f>""</x:f>
      </x:c>
      <x:c r="K4773" s="73" t="n">
        <x:f>MAX(K4772,F4773)</x:f>
        <x:v>1.3004</x:v>
      </x:c>
      <x:c r="L4773" s="74" t="n">
        <x:f>1-F4773/K4773</x:f>
        <x:v>0</x:v>
      </x:c>
      <x:c r="M4773" s="73" t="n">
        <x:f>MAX(M4772,F4773)</x:f>
        <x:v>1.3004</x:v>
      </x:c>
      <x:c r="N4773" s="74" t="n">
        <x:f>1-F4773/M4773</x:f>
        <x:v>0</x:v>
      </x:c>
    </x:row>
    <x:row r="4774" ht="27" customHeight="1">
      <x:c r="A4774" s="66" t="str">
        <x:v>SQN453</x:v>
      </x:c>
      <x:c r="B4774" s="66" t="str">
        <x:v>钧誉厚德量化对冲11号</x:v>
      </x:c>
      <x:c r="C4774" s="72" t="n">
        <x:v>45383</x:v>
      </x:c>
      <x:c r="D4774" s="73" t="n">
        <x:v>1.3</x:v>
      </x:c>
      <x:c r="E4774" s="73" t="n">
        <x:v>1.3</x:v>
      </x:c>
      <x:c r="F4774" s="73" t="n">
        <x:v>1.3</x:v>
      </x:c>
      <x:c r="G4774" s="74" t="n">
        <x:v>-0.0003</x:v>
      </x:c>
      <x:c r="H4774" s="66" t="str">
        <x:v>钧誉厚德量化对冲11号净值20260911.xlsx</x:v>
      </x:c>
      <x:c r="I4774" s="73" t="str">
        <x:f>""</x:f>
      </x:c>
      <x:c r="J4774" s="74" t="str">
        <x:f>""</x:f>
      </x:c>
      <x:c r="K4774" s="73" t="n">
        <x:f>MAX(K4773,F4774)</x:f>
        <x:v>1.3004</x:v>
      </x:c>
      <x:c r="L4774" s="74" t="n">
        <x:f>1-F4774/K4774</x:f>
        <x:v>0.00030759766225774143</x:v>
      </x:c>
      <x:c r="M4774" s="73" t="n">
        <x:f>MAX(M4773,F4774)</x:f>
        <x:v>1.3004</x:v>
      </x:c>
      <x:c r="N4774" s="74" t="n">
        <x:f>1-F4774/M4774</x:f>
        <x:v>0.00030759766225774143</x:v>
      </x:c>
    </x:row>
    <x:row r="4775" ht="27" customHeight="1">
      <x:c r="A4775" s="66" t="str">
        <x:v>SQN453</x:v>
      </x:c>
      <x:c r="B4775" s="66" t="str">
        <x:v>钧誉厚德量化对冲11号</x:v>
      </x:c>
      <x:c r="C4775" s="72" t="n">
        <x:v>45384</x:v>
      </x:c>
      <x:c r="D4775" s="73" t="n">
        <x:v>1.3006</x:v>
      </x:c>
      <x:c r="E4775" s="73" t="n">
        <x:v>1.3006</x:v>
      </x:c>
      <x:c r="F4775" s="73" t="n">
        <x:v>1.3006</x:v>
      </x:c>
      <x:c r="G4775" s="74" t="n">
        <x:v>0.0005</x:v>
      </x:c>
      <x:c r="H4775" s="66" t="str">
        <x:v>钧誉厚德量化对冲11号净值20260911.xlsx</x:v>
      </x:c>
      <x:c r="I4775" s="73" t="str">
        <x:f>""</x:f>
      </x:c>
      <x:c r="J4775" s="74" t="str">
        <x:f>""</x:f>
      </x:c>
      <x:c r="K4775" s="73" t="n">
        <x:f>MAX(K4774,F4775)</x:f>
        <x:v>1.3006</x:v>
      </x:c>
      <x:c r="L4775" s="74" t="n">
        <x:f>1-F4775/K4775</x:f>
        <x:v>0</x:v>
      </x:c>
      <x:c r="M4775" s="73" t="n">
        <x:f>MAX(M4774,F4775)</x:f>
        <x:v>1.3006</x:v>
      </x:c>
      <x:c r="N4775" s="74" t="n">
        <x:f>1-F4775/M4775</x:f>
        <x:v>0</x:v>
      </x:c>
    </x:row>
    <x:row r="4776" ht="27" customHeight="1">
      <x:c r="A4776" s="66" t="str">
        <x:v>SQN453</x:v>
      </x:c>
      <x:c r="B4776" s="66" t="str">
        <x:v>钧誉厚德量化对冲11号</x:v>
      </x:c>
      <x:c r="C4776" s="72" t="n">
        <x:v>45385</x:v>
      </x:c>
      <x:c r="D4776" s="73" t="n">
        <x:v>1.301</x:v>
      </x:c>
      <x:c r="E4776" s="73" t="n">
        <x:v>1.301</x:v>
      </x:c>
      <x:c r="F4776" s="73" t="n">
        <x:v>1.301</x:v>
      </x:c>
      <x:c r="G4776" s="74" t="n">
        <x:v>0.0003</x:v>
      </x:c>
      <x:c r="H4776" s="66" t="str">
        <x:v>钧誉厚德量化对冲11号净值20260911.xlsx</x:v>
      </x:c>
      <x:c r="I4776" s="73" t="str">
        <x:f>""</x:f>
      </x:c>
      <x:c r="J4776" s="74" t="str">
        <x:f>""</x:f>
      </x:c>
      <x:c r="K4776" s="73" t="n">
        <x:f>MAX(K4775,F4776)</x:f>
        <x:v>1.301</x:v>
      </x:c>
      <x:c r="L4776" s="74" t="n">
        <x:f>1-F4776/K4776</x:f>
        <x:v>0</x:v>
      </x:c>
      <x:c r="M4776" s="73" t="n">
        <x:f>MAX(M4775,F4776)</x:f>
        <x:v>1.301</x:v>
      </x:c>
      <x:c r="N4776" s="74" t="n">
        <x:f>1-F4776/M4776</x:f>
        <x:v>0</x:v>
      </x:c>
    </x:row>
    <x:row r="4777" ht="27" customHeight="1">
      <x:c r="A4777" s="66" t="str">
        <x:v>SQN453</x:v>
      </x:c>
      <x:c r="B4777" s="66" t="str">
        <x:v>钧誉厚德量化对冲11号</x:v>
      </x:c>
      <x:c r="C4777" s="72" t="n">
        <x:v>45390</x:v>
      </x:c>
      <x:c r="D4777" s="73" t="n">
        <x:v>1.3013</x:v>
      </x:c>
      <x:c r="E4777" s="73" t="n">
        <x:v>1.3013</x:v>
      </x:c>
      <x:c r="F4777" s="73" t="n">
        <x:v>1.3013</x:v>
      </x:c>
      <x:c r="G4777" s="74" t="n">
        <x:v>0.0002</x:v>
      </x:c>
      <x:c r="H4777" s="66" t="str">
        <x:v>钧誉厚德量化对冲11号净值20260911.xlsx</x:v>
      </x:c>
      <x:c r="I4777" s="73" t="str">
        <x:f>""</x:f>
      </x:c>
      <x:c r="J4777" s="74" t="str">
        <x:f>""</x:f>
      </x:c>
      <x:c r="K4777" s="73" t="n">
        <x:f>MAX(K4776,F4777)</x:f>
        <x:v>1.3013</x:v>
      </x:c>
      <x:c r="L4777" s="74" t="n">
        <x:f>1-F4777/K4777</x:f>
        <x:v>0</x:v>
      </x:c>
      <x:c r="M4777" s="73" t="n">
        <x:f>MAX(M4776,F4777)</x:f>
        <x:v>1.3013</x:v>
      </x:c>
      <x:c r="N4777" s="74" t="n">
        <x:f>1-F4777/M4777</x:f>
        <x:v>0</x:v>
      </x:c>
    </x:row>
    <x:row r="4778" ht="27" customHeight="1">
      <x:c r="A4778" s="66" t="str">
        <x:v>SQN453</x:v>
      </x:c>
      <x:c r="B4778" s="66" t="str">
        <x:v>钧誉厚德量化对冲11号</x:v>
      </x:c>
      <x:c r="C4778" s="72" t="n">
        <x:v>45391</x:v>
      </x:c>
      <x:c r="D4778" s="73" t="n">
        <x:v>1.3028</x:v>
      </x:c>
      <x:c r="E4778" s="73" t="n">
        <x:v>1.3028</x:v>
      </x:c>
      <x:c r="F4778" s="73" t="n">
        <x:v>1.3028</x:v>
      </x:c>
      <x:c r="G4778" s="74" t="n">
        <x:v>0.0012</x:v>
      </x:c>
      <x:c r="H4778" s="66" t="str">
        <x:v>钧誉厚德量化对冲11号净值20260911.xlsx</x:v>
      </x:c>
      <x:c r="I4778" s="73" t="str">
        <x:f>""</x:f>
      </x:c>
      <x:c r="J4778" s="74" t="str">
        <x:f>""</x:f>
      </x:c>
      <x:c r="K4778" s="73" t="n">
        <x:f>MAX(K4777,F4778)</x:f>
        <x:v>1.3028</x:v>
      </x:c>
      <x:c r="L4778" s="74" t="n">
        <x:f>1-F4778/K4778</x:f>
        <x:v>0</x:v>
      </x:c>
      <x:c r="M4778" s="73" t="n">
        <x:f>MAX(M4777,F4778)</x:f>
        <x:v>1.3028</x:v>
      </x:c>
      <x:c r="N4778" s="74" t="n">
        <x:f>1-F4778/M4778</x:f>
        <x:v>0</x:v>
      </x:c>
    </x:row>
    <x:row r="4779" ht="27" customHeight="1">
      <x:c r="A4779" s="66" t="str">
        <x:v>SQN453</x:v>
      </x:c>
      <x:c r="B4779" s="66" t="str">
        <x:v>钧誉厚德量化对冲11号</x:v>
      </x:c>
      <x:c r="C4779" s="72" t="n">
        <x:v>45392</x:v>
      </x:c>
      <x:c r="D4779" s="73" t="n">
        <x:v>1.3035</x:v>
      </x:c>
      <x:c r="E4779" s="73" t="n">
        <x:v>1.3035</x:v>
      </x:c>
      <x:c r="F4779" s="73" t="n">
        <x:v>1.3035</x:v>
      </x:c>
      <x:c r="G4779" s="74" t="n">
        <x:v>0.0005</x:v>
      </x:c>
      <x:c r="H4779" s="66" t="str">
        <x:v>钧誉厚德量化对冲11号净值20260911.xlsx</x:v>
      </x:c>
      <x:c r="I4779" s="73" t="str">
        <x:f>""</x:f>
      </x:c>
      <x:c r="J4779" s="74" t="str">
        <x:f>""</x:f>
      </x:c>
      <x:c r="K4779" s="73" t="n">
        <x:f>MAX(K4778,F4779)</x:f>
        <x:v>1.3035</x:v>
      </x:c>
      <x:c r="L4779" s="74" t="n">
        <x:f>1-F4779/K4779</x:f>
        <x:v>0</x:v>
      </x:c>
      <x:c r="M4779" s="73" t="n">
        <x:f>MAX(M4778,F4779)</x:f>
        <x:v>1.3035</x:v>
      </x:c>
      <x:c r="N4779" s="74" t="n">
        <x:f>1-F4779/M4779</x:f>
        <x:v>0</x:v>
      </x:c>
    </x:row>
    <x:row r="4780" ht="27" customHeight="1">
      <x:c r="A4780" s="66" t="str">
        <x:v>SQN453</x:v>
      </x:c>
      <x:c r="B4780" s="66" t="str">
        <x:v>钧誉厚德量化对冲11号</x:v>
      </x:c>
      <x:c r="C4780" s="72" t="n">
        <x:v>45393</x:v>
      </x:c>
      <x:c r="D4780" s="73" t="n">
        <x:v>1.3035</x:v>
      </x:c>
      <x:c r="E4780" s="73" t="n">
        <x:v>1.3035</x:v>
      </x:c>
      <x:c r="F4780" s="73" t="n">
        <x:v>1.3035</x:v>
      </x:c>
      <x:c r="G4780" s="74" t="n">
        <x:v>0</x:v>
      </x:c>
      <x:c r="H4780" s="66" t="str">
        <x:v>钧誉厚德量化对冲11号净值20260911.xlsx</x:v>
      </x:c>
      <x:c r="I4780" s="73" t="str">
        <x:f>""</x:f>
      </x:c>
      <x:c r="J4780" s="74" t="str">
        <x:f>""</x:f>
      </x:c>
      <x:c r="K4780" s="73" t="n">
        <x:f>MAX(K4779,F4780)</x:f>
        <x:v>1.3035</x:v>
      </x:c>
      <x:c r="L4780" s="74" t="n">
        <x:f>1-F4780/K4780</x:f>
        <x:v>0</x:v>
      </x:c>
      <x:c r="M4780" s="73" t="n">
        <x:f>MAX(M4779,F4780)</x:f>
        <x:v>1.3035</x:v>
      </x:c>
      <x:c r="N4780" s="74" t="n">
        <x:f>1-F4780/M4780</x:f>
        <x:v>0</x:v>
      </x:c>
    </x:row>
    <x:row r="4781" ht="27" customHeight="1">
      <x:c r="A4781" s="66" t="str">
        <x:v>SQN453</x:v>
      </x:c>
      <x:c r="B4781" s="66" t="str">
        <x:v>钧誉厚德量化对冲11号</x:v>
      </x:c>
      <x:c r="C4781" s="72" t="n">
        <x:v>45394</x:v>
      </x:c>
      <x:c r="D4781" s="73" t="n">
        <x:v>1.3041</x:v>
      </x:c>
      <x:c r="E4781" s="73" t="n">
        <x:v>1.3041</x:v>
      </x:c>
      <x:c r="F4781" s="73" t="n">
        <x:v>1.3041</x:v>
      </x:c>
      <x:c r="G4781" s="74" t="n">
        <x:v>0.0005</x:v>
      </x:c>
      <x:c r="H4781" s="66" t="str">
        <x:v>钧誉厚德量化对冲11号净值20260911.xlsx</x:v>
      </x:c>
      <x:c r="I4781" s="73" t="str">
        <x:f>""</x:f>
      </x:c>
      <x:c r="J4781" s="74" t="str">
        <x:f>""</x:f>
      </x:c>
      <x:c r="K4781" s="73" t="n">
        <x:f>MAX(K4780,F4781)</x:f>
        <x:v>1.3041</x:v>
      </x:c>
      <x:c r="L4781" s="74" t="n">
        <x:f>1-F4781/K4781</x:f>
        <x:v>0</x:v>
      </x:c>
      <x:c r="M4781" s="73" t="n">
        <x:f>MAX(M4780,F4781)</x:f>
        <x:v>1.3041</x:v>
      </x:c>
      <x:c r="N4781" s="74" t="n">
        <x:f>1-F4781/M4781</x:f>
        <x:v>0</x:v>
      </x:c>
    </x:row>
    <x:row r="4782" ht="27" customHeight="1">
      <x:c r="A4782" s="66" t="str">
        <x:v>SQN453</x:v>
      </x:c>
      <x:c r="B4782" s="66" t="str">
        <x:v>钧誉厚德量化对冲11号</x:v>
      </x:c>
      <x:c r="C4782" s="72" t="n">
        <x:v>45397</x:v>
      </x:c>
      <x:c r="D4782" s="73" t="n">
        <x:v>1.305</x:v>
      </x:c>
      <x:c r="E4782" s="73" t="n">
        <x:v>1.305</x:v>
      </x:c>
      <x:c r="F4782" s="73" t="n">
        <x:v>1.305</x:v>
      </x:c>
      <x:c r="G4782" s="74" t="n">
        <x:v>0.0007000000000000001</x:v>
      </x:c>
      <x:c r="H4782" s="66" t="str">
        <x:v>钧誉厚德量化对冲11号净值20260911.xlsx</x:v>
      </x:c>
      <x:c r="I4782" s="73" t="str">
        <x:f>""</x:f>
      </x:c>
      <x:c r="J4782" s="74" t="str">
        <x:f>""</x:f>
      </x:c>
      <x:c r="K4782" s="73" t="n">
        <x:f>MAX(K4781,F4782)</x:f>
        <x:v>1.305</x:v>
      </x:c>
      <x:c r="L4782" s="74" t="n">
        <x:f>1-F4782/K4782</x:f>
        <x:v>0</x:v>
      </x:c>
      <x:c r="M4782" s="73" t="n">
        <x:f>MAX(M4781,F4782)</x:f>
        <x:v>1.305</x:v>
      </x:c>
      <x:c r="N4782" s="74" t="n">
        <x:f>1-F4782/M4782</x:f>
        <x:v>0</x:v>
      </x:c>
    </x:row>
    <x:row r="4783" ht="27" customHeight="1">
      <x:c r="A4783" s="66" t="str">
        <x:v>SQN453</x:v>
      </x:c>
      <x:c r="B4783" s="66" t="str">
        <x:v>钧誉厚德量化对冲11号</x:v>
      </x:c>
      <x:c r="C4783" s="72" t="n">
        <x:v>45398</x:v>
      </x:c>
      <x:c r="D4783" s="73" t="n">
        <x:v>1.3054</x:v>
      </x:c>
      <x:c r="E4783" s="73" t="n">
        <x:v>1.3054</x:v>
      </x:c>
      <x:c r="F4783" s="73" t="n">
        <x:v>1.3054</x:v>
      </x:c>
      <x:c r="G4783" s="74" t="n">
        <x:v>0.0003</x:v>
      </x:c>
      <x:c r="H4783" s="66" t="str">
        <x:v>钧誉厚德量化对冲11号净值20260911.xlsx</x:v>
      </x:c>
      <x:c r="I4783" s="73" t="str">
        <x:f>""</x:f>
      </x:c>
      <x:c r="J4783" s="74" t="str">
        <x:f>""</x:f>
      </x:c>
      <x:c r="K4783" s="73" t="n">
        <x:f>MAX(K4782,F4783)</x:f>
        <x:v>1.3054</x:v>
      </x:c>
      <x:c r="L4783" s="74" t="n">
        <x:f>1-F4783/K4783</x:f>
        <x:v>0</x:v>
      </x:c>
      <x:c r="M4783" s="73" t="n">
        <x:f>MAX(M4782,F4783)</x:f>
        <x:v>1.3054</x:v>
      </x:c>
      <x:c r="N4783" s="74" t="n">
        <x:f>1-F4783/M4783</x:f>
        <x:v>0</x:v>
      </x:c>
    </x:row>
    <x:row r="4784" ht="27" customHeight="1">
      <x:c r="A4784" s="66" t="str">
        <x:v>SQN453</x:v>
      </x:c>
      <x:c r="B4784" s="66" t="str">
        <x:v>钧誉厚德量化对冲11号</x:v>
      </x:c>
      <x:c r="C4784" s="72" t="n">
        <x:v>45399</x:v>
      </x:c>
      <x:c r="D4784" s="73" t="n">
        <x:v>1.3049</x:v>
      </x:c>
      <x:c r="E4784" s="73" t="n">
        <x:v>1.3049</x:v>
      </x:c>
      <x:c r="F4784" s="73" t="n">
        <x:v>1.3049</x:v>
      </x:c>
      <x:c r="G4784" s="74" t="n">
        <x:v>-0.0004</x:v>
      </x:c>
      <x:c r="H4784" s="66" t="str">
        <x:v>钧誉厚德量化对冲11号净值20260911.xlsx</x:v>
      </x:c>
      <x:c r="I4784" s="73" t="str">
        <x:f>""</x:f>
      </x:c>
      <x:c r="J4784" s="74" t="str">
        <x:f>""</x:f>
      </x:c>
      <x:c r="K4784" s="73" t="n">
        <x:f>MAX(K4783,F4784)</x:f>
        <x:v>1.3054</x:v>
      </x:c>
      <x:c r="L4784" s="74" t="n">
        <x:f>1-F4784/K4784</x:f>
        <x:v>0.00038302436034931553</x:v>
      </x:c>
      <x:c r="M4784" s="73" t="n">
        <x:f>MAX(M4783,F4784)</x:f>
        <x:v>1.3054</x:v>
      </x:c>
      <x:c r="N4784" s="74" t="n">
        <x:f>1-F4784/M4784</x:f>
        <x:v>0.00038302436034931553</x:v>
      </x:c>
    </x:row>
    <x:row r="4785" ht="27" customHeight="1">
      <x:c r="A4785" s="66" t="str">
        <x:v>SQN453</x:v>
      </x:c>
      <x:c r="B4785" s="66" t="str">
        <x:v>钧誉厚德量化对冲11号</x:v>
      </x:c>
      <x:c r="C4785" s="72" t="n">
        <x:v>45401</x:v>
      </x:c>
      <x:c r="D4785" s="73" t="n">
        <x:v>1.3061</x:v>
      </x:c>
      <x:c r="E4785" s="73" t="n">
        <x:v>1.3061</x:v>
      </x:c>
      <x:c r="F4785" s="73" t="n">
        <x:v>1.3061</x:v>
      </x:c>
      <x:c r="G4785" s="74" t="n">
        <x:v>0.0009</x:v>
      </x:c>
      <x:c r="H4785" s="66" t="str">
        <x:v>钧誉厚德量化对冲11号净值20260911.xlsx</x:v>
      </x:c>
      <x:c r="I4785" s="73" t="str">
        <x:f>""</x:f>
      </x:c>
      <x:c r="J4785" s="74" t="str">
        <x:f>""</x:f>
      </x:c>
      <x:c r="K4785" s="73" t="n">
        <x:f>MAX(K4784,F4785)</x:f>
        <x:v>1.3061</x:v>
      </x:c>
      <x:c r="L4785" s="74" t="n">
        <x:f>1-F4785/K4785</x:f>
        <x:v>0</x:v>
      </x:c>
      <x:c r="M4785" s="73" t="n">
        <x:f>MAX(M4784,F4785)</x:f>
        <x:v>1.3061</x:v>
      </x:c>
      <x:c r="N4785" s="74" t="n">
        <x:f>1-F4785/M4785</x:f>
        <x:v>0</x:v>
      </x:c>
    </x:row>
    <x:row r="4786" ht="27" customHeight="1">
      <x:c r="A4786" s="66" t="str">
        <x:v>SQN453</x:v>
      </x:c>
      <x:c r="B4786" s="66" t="str">
        <x:v>钧誉厚德量化对冲11号</x:v>
      </x:c>
      <x:c r="C4786" s="72" t="n">
        <x:v>45408</x:v>
      </x:c>
      <x:c r="D4786" s="73" t="n">
        <x:v>1.3091</x:v>
      </x:c>
      <x:c r="E4786" s="73" t="n">
        <x:v>1.3091</x:v>
      </x:c>
      <x:c r="F4786" s="73" t="n">
        <x:v>1.3091</x:v>
      </x:c>
      <x:c r="G4786" s="74" t="n">
        <x:v>0.0023</x:v>
      </x:c>
      <x:c r="H4786" s="66" t="str">
        <x:v>钧誉厚德量化对冲11号净值20260911.xlsx</x:v>
      </x:c>
      <x:c r="I4786" s="73" t="str">
        <x:f>""</x:f>
      </x:c>
      <x:c r="J4786" s="74" t="str">
        <x:f>""</x:f>
      </x:c>
      <x:c r="K4786" s="73" t="n">
        <x:f>MAX(K4785,F4786)</x:f>
        <x:v>1.3091</x:v>
      </x:c>
      <x:c r="L4786" s="74" t="n">
        <x:f>1-F4786/K4786</x:f>
        <x:v>0</x:v>
      </x:c>
      <x:c r="M4786" s="73" t="n">
        <x:f>MAX(M4785,F4786)</x:f>
        <x:v>1.3091</x:v>
      </x:c>
      <x:c r="N4786" s="74" t="n">
        <x:f>1-F4786/M4786</x:f>
        <x:v>0</x:v>
      </x:c>
    </x:row>
    <x:row r="4787" ht="27" customHeight="1">
      <x:c r="A4787" s="66" t="str">
        <x:v>SQN453</x:v>
      </x:c>
      <x:c r="B4787" s="66" t="str">
        <x:v>钧誉厚德量化对冲11号</x:v>
      </x:c>
      <x:c r="C4787" s="72" t="n">
        <x:v>45412</x:v>
      </x:c>
      <x:c r="D4787" s="73" t="n">
        <x:v>1.3099</x:v>
      </x:c>
      <x:c r="E4787" s="73" t="n">
        <x:v>1.3099</x:v>
      </x:c>
      <x:c r="F4787" s="73" t="n">
        <x:v>1.3099</x:v>
      </x:c>
      <x:c r="G4787" s="74" t="n">
        <x:v>0.0006</x:v>
      </x:c>
      <x:c r="H4787" s="66" t="str">
        <x:v>钧誉厚德量化对冲11号净值20260911.xlsx</x:v>
      </x:c>
      <x:c r="I4787" s="73" t="str">
        <x:f>""</x:f>
      </x:c>
      <x:c r="J4787" s="74" t="str">
        <x:f>""</x:f>
      </x:c>
      <x:c r="K4787" s="73" t="n">
        <x:f>MAX(K4786,F4787)</x:f>
        <x:v>1.3099</x:v>
      </x:c>
      <x:c r="L4787" s="74" t="n">
        <x:f>1-F4787/K4787</x:f>
        <x:v>0</x:v>
      </x:c>
      <x:c r="M4787" s="73" t="n">
        <x:f>MAX(M4786,F4787)</x:f>
        <x:v>1.3099</x:v>
      </x:c>
      <x:c r="N4787" s="74" t="n">
        <x:f>1-F4787/M4787</x:f>
        <x:v>0</x:v>
      </x:c>
    </x:row>
    <x:row r="4788" ht="27" customHeight="1">
      <x:c r="A4788" s="66" t="str">
        <x:v>SQN453</x:v>
      </x:c>
      <x:c r="B4788" s="66" t="str">
        <x:v>钧誉厚德量化对冲11号</x:v>
      </x:c>
      <x:c r="C4788" s="72" t="n">
        <x:v>45422</x:v>
      </x:c>
      <x:c r="D4788" s="73" t="n">
        <x:v>1.314</x:v>
      </x:c>
      <x:c r="E4788" s="73" t="n">
        <x:v>1.314</x:v>
      </x:c>
      <x:c r="F4788" s="73" t="n">
        <x:v>1.314</x:v>
      </x:c>
      <x:c r="G4788" s="74" t="n">
        <x:v>0.0031</x:v>
      </x:c>
      <x:c r="H4788" s="66" t="str">
        <x:v>钧誉厚德量化对冲11号净值20260911.xlsx</x:v>
      </x:c>
      <x:c r="I4788" s="73" t="str">
        <x:f>""</x:f>
      </x:c>
      <x:c r="J4788" s="74" t="str">
        <x:f>""</x:f>
      </x:c>
      <x:c r="K4788" s="73" t="n">
        <x:f>MAX(K4787,F4788)</x:f>
        <x:v>1.314</x:v>
      </x:c>
      <x:c r="L4788" s="74" t="n">
        <x:f>1-F4788/K4788</x:f>
        <x:v>0</x:v>
      </x:c>
      <x:c r="M4788" s="73" t="n">
        <x:f>MAX(M4787,F4788)</x:f>
        <x:v>1.314</x:v>
      </x:c>
      <x:c r="N4788" s="74" t="n">
        <x:f>1-F4788/M4788</x:f>
        <x:v>0</x:v>
      </x:c>
    </x:row>
    <x:row r="4789" ht="27" customHeight="1">
      <x:c r="A4789" s="66" t="str">
        <x:v>SQN453</x:v>
      </x:c>
      <x:c r="B4789" s="66" t="str">
        <x:v>钧誉厚德量化对冲11号</x:v>
      </x:c>
      <x:c r="C4789" s="72" t="n">
        <x:v>45429</x:v>
      </x:c>
      <x:c r="D4789" s="73" t="n">
        <x:v>1.3141</x:v>
      </x:c>
      <x:c r="E4789" s="73" t="n">
        <x:v>1.3141</x:v>
      </x:c>
      <x:c r="F4789" s="73" t="n">
        <x:v>1.3141</x:v>
      </x:c>
      <x:c r="G4789" s="74" t="n">
        <x:v>0.0001</x:v>
      </x:c>
      <x:c r="H4789" s="66" t="str">
        <x:v>钧誉厚德量化对冲11号净值20260911.xlsx</x:v>
      </x:c>
      <x:c r="I4789" s="73" t="str">
        <x:f>""</x:f>
      </x:c>
      <x:c r="J4789" s="74" t="str">
        <x:f>""</x:f>
      </x:c>
      <x:c r="K4789" s="73" t="n">
        <x:f>MAX(K4788,F4789)</x:f>
        <x:v>1.3141</x:v>
      </x:c>
      <x:c r="L4789" s="74" t="n">
        <x:f>1-F4789/K4789</x:f>
        <x:v>0</x:v>
      </x:c>
      <x:c r="M4789" s="73" t="n">
        <x:f>MAX(M4788,F4789)</x:f>
        <x:v>1.3141</x:v>
      </x:c>
      <x:c r="N4789" s="74" t="n">
        <x:f>1-F4789/M4789</x:f>
        <x:v>0</x:v>
      </x:c>
    </x:row>
    <x:row r="4790" ht="27" customHeight="1">
      <x:c r="A4790" s="66" t="str">
        <x:v>SQN453</x:v>
      </x:c>
      <x:c r="B4790" s="66" t="str">
        <x:v>钧誉厚德量化对冲11号</x:v>
      </x:c>
      <x:c r="C4790" s="72" t="n">
        <x:v>45436</x:v>
      </x:c>
      <x:c r="D4790" s="73" t="n">
        <x:v>1.318</x:v>
      </x:c>
      <x:c r="E4790" s="73" t="n">
        <x:v>1.318</x:v>
      </x:c>
      <x:c r="F4790" s="73" t="n">
        <x:v>1.318</x:v>
      </x:c>
      <x:c r="G4790" s="74" t="n">
        <x:v>0.003</x:v>
      </x:c>
      <x:c r="H4790" s="66" t="str">
        <x:v>钧誉厚德量化对冲11号净值20260911.xlsx</x:v>
      </x:c>
      <x:c r="I4790" s="73" t="str">
        <x:f>""</x:f>
      </x:c>
      <x:c r="J4790" s="74" t="str">
        <x:f>""</x:f>
      </x:c>
      <x:c r="K4790" s="73" t="n">
        <x:f>MAX(K4789,F4790)</x:f>
        <x:v>1.318</x:v>
      </x:c>
      <x:c r="L4790" s="74" t="n">
        <x:f>1-F4790/K4790</x:f>
        <x:v>0</x:v>
      </x:c>
      <x:c r="M4790" s="73" t="n">
        <x:f>MAX(M4789,F4790)</x:f>
        <x:v>1.318</x:v>
      </x:c>
      <x:c r="N4790" s="74" t="n">
        <x:f>1-F4790/M4790</x:f>
        <x:v>0</x:v>
      </x:c>
    </x:row>
    <x:row r="4791" ht="27" customHeight="1">
      <x:c r="A4791" s="66" t="str">
        <x:v>SQN453</x:v>
      </x:c>
      <x:c r="B4791" s="66" t="str">
        <x:v>钧誉厚德量化对冲11号</x:v>
      </x:c>
      <x:c r="C4791" s="72" t="n">
        <x:v>45443</x:v>
      </x:c>
      <x:c r="D4791" s="73" t="n">
        <x:v>1.3213</x:v>
      </x:c>
      <x:c r="E4791" s="73" t="n">
        <x:v>1.3213</x:v>
      </x:c>
      <x:c r="F4791" s="73" t="n">
        <x:v>1.3213</x:v>
      </x:c>
      <x:c r="G4791" s="74" t="n">
        <x:v>0.0025</x:v>
      </x:c>
      <x:c r="H4791" s="66" t="str">
        <x:v>钧誉厚德量化对冲11号净值20260911.xlsx</x:v>
      </x:c>
      <x:c r="I4791" s="73" t="str">
        <x:f>""</x:f>
      </x:c>
      <x:c r="J4791" s="74" t="str">
        <x:f>""</x:f>
      </x:c>
      <x:c r="K4791" s="73" t="n">
        <x:f>MAX(K4790,F4791)</x:f>
        <x:v>1.3213</x:v>
      </x:c>
      <x:c r="L4791" s="74" t="n">
        <x:f>1-F4791/K4791</x:f>
        <x:v>0</x:v>
      </x:c>
      <x:c r="M4791" s="73" t="n">
        <x:f>MAX(M4790,F4791)</x:f>
        <x:v>1.3213</x:v>
      </x:c>
      <x:c r="N4791" s="74" t="n">
        <x:f>1-F4791/M4791</x:f>
        <x:v>0</x:v>
      </x:c>
    </x:row>
    <x:row r="4792" ht="27" customHeight="1">
      <x:c r="A4792" s="66" t="str">
        <x:v>SQN453</x:v>
      </x:c>
      <x:c r="B4792" s="66" t="str">
        <x:v>钧誉厚德量化对冲11号</x:v>
      </x:c>
      <x:c r="C4792" s="72" t="n">
        <x:v>45450</x:v>
      </x:c>
      <x:c r="D4792" s="73" t="n">
        <x:v>1.3248</x:v>
      </x:c>
      <x:c r="E4792" s="73" t="n">
        <x:v>1.3248</x:v>
      </x:c>
      <x:c r="F4792" s="73" t="n">
        <x:v>1.3248</x:v>
      </x:c>
      <x:c r="G4792" s="74" t="n">
        <x:v>0.0026</x:v>
      </x:c>
      <x:c r="H4792" s="66" t="str">
        <x:v>钧誉厚德量化对冲11号净值20260911.xlsx</x:v>
      </x:c>
      <x:c r="I4792" s="73" t="str">
        <x:f>""</x:f>
      </x:c>
      <x:c r="J4792" s="74" t="str">
        <x:f>""</x:f>
      </x:c>
      <x:c r="K4792" s="73" t="n">
        <x:f>MAX(K4791,F4792)</x:f>
        <x:v>1.3248</x:v>
      </x:c>
      <x:c r="L4792" s="74" t="n">
        <x:f>1-F4792/K4792</x:f>
        <x:v>0</x:v>
      </x:c>
      <x:c r="M4792" s="73" t="n">
        <x:f>MAX(M4791,F4792)</x:f>
        <x:v>1.3248</x:v>
      </x:c>
      <x:c r="N4792" s="74" t="n">
        <x:f>1-F4792/M4792</x:f>
        <x:v>0</x:v>
      </x:c>
    </x:row>
    <x:row r="4793" ht="27" customHeight="1">
      <x:c r="A4793" s="66" t="str">
        <x:v>SQN453</x:v>
      </x:c>
      <x:c r="B4793" s="66" t="str">
        <x:v>钧誉厚德量化对冲11号</x:v>
      </x:c>
      <x:c r="C4793" s="72" t="n">
        <x:v>45457</x:v>
      </x:c>
      <x:c r="D4793" s="73" t="n">
        <x:v>1.3279</x:v>
      </x:c>
      <x:c r="E4793" s="73" t="n">
        <x:v>1.3279</x:v>
      </x:c>
      <x:c r="F4793" s="73" t="n">
        <x:v>1.3279</x:v>
      </x:c>
      <x:c r="G4793" s="74" t="n">
        <x:v>0.0023</x:v>
      </x:c>
      <x:c r="H4793" s="66" t="str">
        <x:v>钧誉厚德量化对冲11号净值20260911.xlsx</x:v>
      </x:c>
      <x:c r="I4793" s="73" t="str">
        <x:f>""</x:f>
      </x:c>
      <x:c r="J4793" s="74" t="str">
        <x:f>""</x:f>
      </x:c>
      <x:c r="K4793" s="73" t="n">
        <x:f>MAX(K4792,F4793)</x:f>
        <x:v>1.3279</x:v>
      </x:c>
      <x:c r="L4793" s="74" t="n">
        <x:f>1-F4793/K4793</x:f>
        <x:v>0</x:v>
      </x:c>
      <x:c r="M4793" s="73" t="n">
        <x:f>MAX(M4792,F4793)</x:f>
        <x:v>1.3279</x:v>
      </x:c>
      <x:c r="N4793" s="74" t="n">
        <x:f>1-F4793/M4793</x:f>
        <x:v>0</x:v>
      </x:c>
    </x:row>
    <x:row r="4794" ht="27" customHeight="1">
      <x:c r="A4794" s="66" t="str">
        <x:v>SQN453</x:v>
      </x:c>
      <x:c r="B4794" s="66" t="str">
        <x:v>钧誉厚德量化对冲11号</x:v>
      </x:c>
      <x:c r="C4794" s="72" t="n">
        <x:v>45464</x:v>
      </x:c>
      <x:c r="D4794" s="73" t="n">
        <x:v>1.3295</x:v>
      </x:c>
      <x:c r="E4794" s="73" t="n">
        <x:v>1.3295</x:v>
      </x:c>
      <x:c r="F4794" s="73" t="n">
        <x:v>1.3295</x:v>
      </x:c>
      <x:c r="G4794" s="74" t="n">
        <x:v>0.0012</x:v>
      </x:c>
      <x:c r="H4794" s="66" t="str">
        <x:v>钧誉厚德量化对冲11号净值20260911.xlsx</x:v>
      </x:c>
      <x:c r="I4794" s="73" t="str">
        <x:f>""</x:f>
      </x:c>
      <x:c r="J4794" s="74" t="str">
        <x:f>""</x:f>
      </x:c>
      <x:c r="K4794" s="73" t="n">
        <x:f>MAX(K4793,F4794)</x:f>
        <x:v>1.3295</x:v>
      </x:c>
      <x:c r="L4794" s="74" t="n">
        <x:f>1-F4794/K4794</x:f>
        <x:v>0</x:v>
      </x:c>
      <x:c r="M4794" s="73" t="n">
        <x:f>MAX(M4793,F4794)</x:f>
        <x:v>1.3295</x:v>
      </x:c>
      <x:c r="N4794" s="74" t="n">
        <x:f>1-F4794/M4794</x:f>
        <x:v>0</x:v>
      </x:c>
    </x:row>
    <x:row r="4795" ht="27" customHeight="1">
      <x:c r="A4795" s="66" t="str">
        <x:v>SQN453</x:v>
      </x:c>
      <x:c r="B4795" s="66" t="str">
        <x:v>钧誉厚德量化对冲11号</x:v>
      </x:c>
      <x:c r="C4795" s="72" t="n">
        <x:v>45471</x:v>
      </x:c>
      <x:c r="D4795" s="73" t="n">
        <x:v>1.3324</x:v>
      </x:c>
      <x:c r="E4795" s="73" t="n">
        <x:v>1.3324</x:v>
      </x:c>
      <x:c r="F4795" s="73" t="n">
        <x:v>1.3324</x:v>
      </x:c>
      <x:c r="G4795" s="74" t="n">
        <x:v>0.0022</x:v>
      </x:c>
      <x:c r="H4795" s="66" t="str">
        <x:v>钧誉厚德量化对冲11号净值20260911.xlsx</x:v>
      </x:c>
      <x:c r="I4795" s="73" t="str">
        <x:f>""</x:f>
      </x:c>
      <x:c r="J4795" s="74" t="str">
        <x:f>""</x:f>
      </x:c>
      <x:c r="K4795" s="73" t="n">
        <x:f>MAX(K4794,F4795)</x:f>
        <x:v>1.3324</x:v>
      </x:c>
      <x:c r="L4795" s="74" t="n">
        <x:f>1-F4795/K4795</x:f>
        <x:v>0</x:v>
      </x:c>
      <x:c r="M4795" s="73" t="n">
        <x:f>MAX(M4794,F4795)</x:f>
        <x:v>1.3324</x:v>
      </x:c>
      <x:c r="N4795" s="74" t="n">
        <x:f>1-F4795/M4795</x:f>
        <x:v>0</x:v>
      </x:c>
    </x:row>
    <x:row r="4796" ht="27" customHeight="1">
      <x:c r="A4796" s="66" t="str">
        <x:v>SQN453</x:v>
      </x:c>
      <x:c r="B4796" s="66" t="str">
        <x:v>钧誉厚德量化对冲11号</x:v>
      </x:c>
      <x:c r="C4796" s="72" t="n">
        <x:v>45478</x:v>
      </x:c>
      <x:c r="D4796" s="73" t="n">
        <x:v>1.3346</x:v>
      </x:c>
      <x:c r="E4796" s="73" t="n">
        <x:v>1.3346</x:v>
      </x:c>
      <x:c r="F4796" s="73" t="n">
        <x:v>1.3346</x:v>
      </x:c>
      <x:c r="G4796" s="74" t="n">
        <x:v>0.0017000000000000001</x:v>
      </x:c>
      <x:c r="H4796" s="66" t="str">
        <x:v>钧誉厚德量化对冲11号净值20260911.xlsx</x:v>
      </x:c>
      <x:c r="I4796" s="73" t="str">
        <x:f>""</x:f>
      </x:c>
      <x:c r="J4796" s="74" t="str">
        <x:f>""</x:f>
      </x:c>
      <x:c r="K4796" s="73" t="n">
        <x:f>MAX(K4795,F4796)</x:f>
        <x:v>1.3346</x:v>
      </x:c>
      <x:c r="L4796" s="74" t="n">
        <x:f>1-F4796/K4796</x:f>
        <x:v>0</x:v>
      </x:c>
      <x:c r="M4796" s="73" t="n">
        <x:f>MAX(M4795,F4796)</x:f>
        <x:v>1.3346</x:v>
      </x:c>
      <x:c r="N4796" s="74" t="n">
        <x:f>1-F4796/M4796</x:f>
        <x:v>0</x:v>
      </x:c>
    </x:row>
    <x:row r="4797" ht="27" customHeight="1">
      <x:c r="A4797" s="66" t="str">
        <x:v>SQN453</x:v>
      </x:c>
      <x:c r="B4797" s="66" t="str">
        <x:v>钧誉厚德量化对冲11号</x:v>
      </x:c>
      <x:c r="C4797" s="72" t="n">
        <x:v>45485</x:v>
      </x:c>
      <x:c r="D4797" s="73" t="n">
        <x:v>1.3387</x:v>
      </x:c>
      <x:c r="E4797" s="73" t="n">
        <x:v>1.3387</x:v>
      </x:c>
      <x:c r="F4797" s="73" t="n">
        <x:v>1.3387</x:v>
      </x:c>
      <x:c r="G4797" s="74" t="n">
        <x:v>0.0031</x:v>
      </x:c>
      <x:c r="H4797" s="66" t="str">
        <x:v>钧誉厚德量化对冲11号净值20260911.xlsx</x:v>
      </x:c>
      <x:c r="I4797" s="73" t="str">
        <x:f>""</x:f>
      </x:c>
      <x:c r="J4797" s="74" t="str">
        <x:f>""</x:f>
      </x:c>
      <x:c r="K4797" s="73" t="n">
        <x:f>MAX(K4796,F4797)</x:f>
        <x:v>1.3387</x:v>
      </x:c>
      <x:c r="L4797" s="74" t="n">
        <x:f>1-F4797/K4797</x:f>
        <x:v>0</x:v>
      </x:c>
      <x:c r="M4797" s="73" t="n">
        <x:f>MAX(M4796,F4797)</x:f>
        <x:v>1.3387</x:v>
      </x:c>
      <x:c r="N4797" s="74" t="n">
        <x:f>1-F4797/M4797</x:f>
        <x:v>0</x:v>
      </x:c>
    </x:row>
    <x:row r="4798" ht="27" customHeight="1">
      <x:c r="A4798" s="66" t="str">
        <x:v>SQN453</x:v>
      </x:c>
      <x:c r="B4798" s="66" t="str">
        <x:v>钧誉厚德量化对冲11号</x:v>
      </x:c>
      <x:c r="C4798" s="72" t="n">
        <x:v>45492</x:v>
      </x:c>
      <x:c r="D4798" s="73" t="n">
        <x:v>1.3395</x:v>
      </x:c>
      <x:c r="E4798" s="73" t="n">
        <x:v>1.3395</x:v>
      </x:c>
      <x:c r="F4798" s="73" t="n">
        <x:v>1.3395</x:v>
      </x:c>
      <x:c r="G4798" s="74" t="n">
        <x:v>0.0006</x:v>
      </x:c>
      <x:c r="H4798" s="66" t="str">
        <x:v>钧誉厚德量化对冲11号净值20260911.xlsx</x:v>
      </x:c>
      <x:c r="I4798" s="73" t="str">
        <x:f>""</x:f>
      </x:c>
      <x:c r="J4798" s="74" t="str">
        <x:f>""</x:f>
      </x:c>
      <x:c r="K4798" s="73" t="n">
        <x:f>MAX(K4797,F4798)</x:f>
        <x:v>1.3395</x:v>
      </x:c>
      <x:c r="L4798" s="74" t="n">
        <x:f>1-F4798/K4798</x:f>
        <x:v>0</x:v>
      </x:c>
      <x:c r="M4798" s="73" t="n">
        <x:f>MAX(M4797,F4798)</x:f>
        <x:v>1.3395</x:v>
      </x:c>
      <x:c r="N4798" s="74" t="n">
        <x:f>1-F4798/M4798</x:f>
        <x:v>0</x:v>
      </x:c>
    </x:row>
    <x:row r="4799" ht="27" customHeight="1">
      <x:c r="A4799" s="66" t="str">
        <x:v>SQN453</x:v>
      </x:c>
      <x:c r="B4799" s="66" t="str">
        <x:v>钧誉厚德量化对冲11号</x:v>
      </x:c>
      <x:c r="C4799" s="72" t="n">
        <x:v>45499</x:v>
      </x:c>
      <x:c r="D4799" s="73" t="n">
        <x:v>1.3406</x:v>
      </x:c>
      <x:c r="E4799" s="73" t="n">
        <x:v>1.3406</x:v>
      </x:c>
      <x:c r="F4799" s="73" t="n">
        <x:v>1.3406</x:v>
      </x:c>
      <x:c r="G4799" s="74" t="n">
        <x:v>0.0008</x:v>
      </x:c>
      <x:c r="H4799" s="66" t="str">
        <x:v>钧誉厚德量化对冲11号净值20260911.xlsx</x:v>
      </x:c>
      <x:c r="I4799" s="73" t="str">
        <x:f>""</x:f>
      </x:c>
      <x:c r="J4799" s="74" t="str">
        <x:f>""</x:f>
      </x:c>
      <x:c r="K4799" s="73" t="n">
        <x:f>MAX(K4798,F4799)</x:f>
        <x:v>1.3406</x:v>
      </x:c>
      <x:c r="L4799" s="74" t="n">
        <x:f>1-F4799/K4799</x:f>
        <x:v>0</x:v>
      </x:c>
      <x:c r="M4799" s="73" t="n">
        <x:f>MAX(M4798,F4799)</x:f>
        <x:v>1.3406</x:v>
      </x:c>
      <x:c r="N4799" s="74" t="n">
        <x:f>1-F4799/M4799</x:f>
        <x:v>0</x:v>
      </x:c>
    </x:row>
    <x:row r="4800" ht="27" customHeight="1">
      <x:c r="A4800" s="66" t="str">
        <x:v>SQN453</x:v>
      </x:c>
      <x:c r="B4800" s="66" t="str">
        <x:v>钧誉厚德量化对冲11号</x:v>
      </x:c>
      <x:c r="C4800" s="72" t="n">
        <x:v>45504</x:v>
      </x:c>
      <x:c r="D4800" s="73" t="n">
        <x:v>1.3416</x:v>
      </x:c>
      <x:c r="E4800" s="73" t="n">
        <x:v>1.3416</x:v>
      </x:c>
      <x:c r="F4800" s="73" t="n">
        <x:v>1.3416</x:v>
      </x:c>
      <x:c r="G4800" s="74" t="n">
        <x:v>0.0007000000000000001</x:v>
      </x:c>
      <x:c r="H4800" s="66" t="str">
        <x:v>钧誉厚德量化对冲11号净值20260911.xlsx</x:v>
      </x:c>
      <x:c r="I4800" s="73" t="str">
        <x:f>""</x:f>
      </x:c>
      <x:c r="J4800" s="74" t="str">
        <x:f>""</x:f>
      </x:c>
      <x:c r="K4800" s="73" t="n">
        <x:f>MAX(K4799,F4800)</x:f>
        <x:v>1.3416</x:v>
      </x:c>
      <x:c r="L4800" s="74" t="n">
        <x:f>1-F4800/K4800</x:f>
        <x:v>0</x:v>
      </x:c>
      <x:c r="M4800" s="73" t="n">
        <x:f>MAX(M4799,F4800)</x:f>
        <x:v>1.3416</x:v>
      </x:c>
      <x:c r="N4800" s="74" t="n">
        <x:f>1-F4800/M4800</x:f>
        <x:v>0</x:v>
      </x:c>
    </x:row>
    <x:row r="4801" ht="27" customHeight="1">
      <x:c r="A4801" s="66" t="str">
        <x:v>SQN453</x:v>
      </x:c>
      <x:c r="B4801" s="66" t="str">
        <x:v>钧誉厚德量化对冲11号</x:v>
      </x:c>
      <x:c r="C4801" s="72" t="n">
        <x:v>45506</x:v>
      </x:c>
      <x:c r="D4801" s="73" t="n">
        <x:v>1.3417</x:v>
      </x:c>
      <x:c r="E4801" s="73" t="n">
        <x:v>1.3417</x:v>
      </x:c>
      <x:c r="F4801" s="73" t="n">
        <x:v>1.3417</x:v>
      </x:c>
      <x:c r="G4801" s="74" t="n">
        <x:v>0.0001</x:v>
      </x:c>
      <x:c r="H4801" s="66" t="str">
        <x:v>钧誉厚德量化对冲11号净值20260911.xlsx</x:v>
      </x:c>
      <x:c r="I4801" s="73" t="str">
        <x:f>""</x:f>
      </x:c>
      <x:c r="J4801" s="74" t="str">
        <x:f>""</x:f>
      </x:c>
      <x:c r="K4801" s="73" t="n">
        <x:f>MAX(K4800,F4801)</x:f>
        <x:v>1.3417</x:v>
      </x:c>
      <x:c r="L4801" s="74" t="n">
        <x:f>1-F4801/K4801</x:f>
        <x:v>0</x:v>
      </x:c>
      <x:c r="M4801" s="73" t="n">
        <x:f>MAX(M4800,F4801)</x:f>
        <x:v>1.3417</x:v>
      </x:c>
      <x:c r="N4801" s="74" t="n">
        <x:f>1-F4801/M4801</x:f>
        <x:v>0</x:v>
      </x:c>
    </x:row>
    <x:row r="4802" ht="27" customHeight="1">
      <x:c r="A4802" s="66" t="str">
        <x:v>SQN453</x:v>
      </x:c>
      <x:c r="B4802" s="66" t="str">
        <x:v>钧誉厚德量化对冲11号</x:v>
      </x:c>
      <x:c r="C4802" s="72" t="n">
        <x:v>45513</x:v>
      </x:c>
      <x:c r="D4802" s="73" t="n">
        <x:v>1.3413</x:v>
      </x:c>
      <x:c r="E4802" s="73" t="n">
        <x:v>1.3413</x:v>
      </x:c>
      <x:c r="F4802" s="73" t="n">
        <x:v>1.3413</x:v>
      </x:c>
      <x:c r="G4802" s="74" t="n">
        <x:v>-0.0003</x:v>
      </x:c>
      <x:c r="H4802" s="66" t="str">
        <x:v>钧誉厚德量化对冲11号净值20260911.xlsx</x:v>
      </x:c>
      <x:c r="I4802" s="73" t="str">
        <x:f>""</x:f>
      </x:c>
      <x:c r="J4802" s="74" t="str">
        <x:f>""</x:f>
      </x:c>
      <x:c r="K4802" s="73" t="n">
        <x:f>MAX(K4801,F4802)</x:f>
        <x:v>1.3417</x:v>
      </x:c>
      <x:c r="L4802" s="74" t="n">
        <x:f>1-F4802/K4802</x:f>
        <x:v>0.00029812923902505784</x:v>
      </x:c>
      <x:c r="M4802" s="73" t="n">
        <x:f>MAX(M4801,F4802)</x:f>
        <x:v>1.3417</x:v>
      </x:c>
      <x:c r="N4802" s="74" t="n">
        <x:f>1-F4802/M4802</x:f>
        <x:v>0.00029812923902505784</x:v>
      </x:c>
    </x:row>
    <x:row r="4803" ht="27" customHeight="1">
      <x:c r="A4803" s="66" t="str">
        <x:v>SQN453</x:v>
      </x:c>
      <x:c r="B4803" s="66" t="str">
        <x:v>钧誉厚德量化对冲11号</x:v>
      </x:c>
      <x:c r="C4803" s="72" t="n">
        <x:v>45520</x:v>
      </x:c>
      <x:c r="D4803" s="73" t="n">
        <x:v>1.3441</x:v>
      </x:c>
      <x:c r="E4803" s="73" t="n">
        <x:v>1.3441</x:v>
      </x:c>
      <x:c r="F4803" s="73" t="n">
        <x:v>1.3441</x:v>
      </x:c>
      <x:c r="G4803" s="74" t="n">
        <x:v>0.0021</x:v>
      </x:c>
      <x:c r="H4803" s="66" t="str">
        <x:v>钧誉厚德量化对冲11号净值20260911.xlsx</x:v>
      </x:c>
      <x:c r="I4803" s="73" t="str">
        <x:f>""</x:f>
      </x:c>
      <x:c r="J4803" s="74" t="str">
        <x:f>""</x:f>
      </x:c>
      <x:c r="K4803" s="73" t="n">
        <x:f>MAX(K4802,F4803)</x:f>
        <x:v>1.3441</x:v>
      </x:c>
      <x:c r="L4803" s="74" t="n">
        <x:f>1-F4803/K4803</x:f>
        <x:v>0</x:v>
      </x:c>
      <x:c r="M4803" s="73" t="n">
        <x:f>MAX(M4802,F4803)</x:f>
        <x:v>1.3441</x:v>
      </x:c>
      <x:c r="N4803" s="74" t="n">
        <x:f>1-F4803/M4803</x:f>
        <x:v>0</x:v>
      </x:c>
    </x:row>
    <x:row r="4804" ht="27" customHeight="1">
      <x:c r="A4804" s="66" t="str">
        <x:v>SQN453</x:v>
      </x:c>
      <x:c r="B4804" s="66" t="str">
        <x:v>钧誉厚德量化对冲11号</x:v>
      </x:c>
      <x:c r="C4804" s="72" t="n">
        <x:v>45527</x:v>
      </x:c>
      <x:c r="D4804" s="73" t="n">
        <x:v>1.3459</x:v>
      </x:c>
      <x:c r="E4804" s="73" t="n">
        <x:v>1.3459</x:v>
      </x:c>
      <x:c r="F4804" s="73" t="n">
        <x:v>1.3459</x:v>
      </x:c>
      <x:c r="G4804" s="74" t="n">
        <x:v>0.0013</x:v>
      </x:c>
      <x:c r="H4804" s="66" t="str">
        <x:v>钧誉厚德量化对冲11号净值20260911.xlsx</x:v>
      </x:c>
      <x:c r="I4804" s="73" t="str">
        <x:f>""</x:f>
      </x:c>
      <x:c r="J4804" s="74" t="str">
        <x:f>""</x:f>
      </x:c>
      <x:c r="K4804" s="73" t="n">
        <x:f>MAX(K4803,F4804)</x:f>
        <x:v>1.3459</x:v>
      </x:c>
      <x:c r="L4804" s="74" t="n">
        <x:f>1-F4804/K4804</x:f>
        <x:v>0</x:v>
      </x:c>
      <x:c r="M4804" s="73" t="n">
        <x:f>MAX(M4803,F4804)</x:f>
        <x:v>1.3459</x:v>
      </x:c>
      <x:c r="N4804" s="74" t="n">
        <x:f>1-F4804/M4804</x:f>
        <x:v>0</x:v>
      </x:c>
    </x:row>
    <x:row r="4805" ht="27" customHeight="1">
      <x:c r="A4805" s="66" t="str">
        <x:v>SQN453</x:v>
      </x:c>
      <x:c r="B4805" s="66" t="str">
        <x:v>钧誉厚德量化对冲11号</x:v>
      </x:c>
      <x:c r="C4805" s="72" t="n">
        <x:v>45531</x:v>
      </x:c>
      <x:c r="D4805" s="73" t="n">
        <x:v>1.3468</x:v>
      </x:c>
      <x:c r="E4805" s="73" t="n">
        <x:v>1.3468</x:v>
      </x:c>
      <x:c r="F4805" s="73" t="n">
        <x:v>1.3468</x:v>
      </x:c>
      <x:c r="G4805" s="74" t="n">
        <x:v>0.0007000000000000001</x:v>
      </x:c>
      <x:c r="H4805" s="66" t="str">
        <x:v>钧誉厚德量化对冲11号净值20260911.xlsx</x:v>
      </x:c>
      <x:c r="I4805" s="73" t="str">
        <x:f>""</x:f>
      </x:c>
      <x:c r="J4805" s="74" t="str">
        <x:f>""</x:f>
      </x:c>
      <x:c r="K4805" s="73" t="n">
        <x:f>MAX(K4804,F4805)</x:f>
        <x:v>1.3468</x:v>
      </x:c>
      <x:c r="L4805" s="74" t="n">
        <x:f>1-F4805/K4805</x:f>
        <x:v>0</x:v>
      </x:c>
      <x:c r="M4805" s="73" t="n">
        <x:f>MAX(M4804,F4805)</x:f>
        <x:v>1.3468</x:v>
      </x:c>
      <x:c r="N4805" s="74" t="n">
        <x:f>1-F4805/M4805</x:f>
        <x:v>0</x:v>
      </x:c>
    </x:row>
    <x:row r="4806" ht="27" customHeight="1">
      <x:c r="A4806" s="66" t="str">
        <x:v>SQN453</x:v>
      </x:c>
      <x:c r="B4806" s="66" t="str">
        <x:v>钧誉厚德量化对冲11号</x:v>
      </x:c>
      <x:c r="C4806" s="72" t="n">
        <x:v>45532</x:v>
      </x:c>
      <x:c r="D4806" s="73" t="n">
        <x:v>1.3469</x:v>
      </x:c>
      <x:c r="E4806" s="73" t="n">
        <x:v>1.3469</x:v>
      </x:c>
      <x:c r="F4806" s="73" t="n">
        <x:v>1.3469</x:v>
      </x:c>
      <x:c r="G4806" s="74" t="n">
        <x:v>0.0001</x:v>
      </x:c>
      <x:c r="H4806" s="66" t="str">
        <x:v>钧誉厚德量化对冲11号净值20260911.xlsx</x:v>
      </x:c>
      <x:c r="I4806" s="73" t="str">
        <x:f>""</x:f>
      </x:c>
      <x:c r="J4806" s="74" t="str">
        <x:f>""</x:f>
      </x:c>
      <x:c r="K4806" s="73" t="n">
        <x:f>MAX(K4805,F4806)</x:f>
        <x:v>1.3469</x:v>
      </x:c>
      <x:c r="L4806" s="74" t="n">
        <x:f>1-F4806/K4806</x:f>
        <x:v>0</x:v>
      </x:c>
      <x:c r="M4806" s="73" t="n">
        <x:f>MAX(M4805,F4806)</x:f>
        <x:v>1.3469</x:v>
      </x:c>
      <x:c r="N4806" s="74" t="n">
        <x:f>1-F4806/M4806</x:f>
        <x:v>0</x:v>
      </x:c>
    </x:row>
    <x:row r="4807" ht="27" customHeight="1">
      <x:c r="A4807" s="66" t="str">
        <x:v>SQN453</x:v>
      </x:c>
      <x:c r="B4807" s="66" t="str">
        <x:v>钧誉厚德量化对冲11号</x:v>
      </x:c>
      <x:c r="C4807" s="72" t="n">
        <x:v>45533</x:v>
      </x:c>
      <x:c r="D4807" s="73" t="n">
        <x:v>1.3469</x:v>
      </x:c>
      <x:c r="E4807" s="73" t="n">
        <x:v>1.3469</x:v>
      </x:c>
      <x:c r="F4807" s="73" t="n">
        <x:v>1.3469</x:v>
      </x:c>
      <x:c r="G4807" s="74" t="n">
        <x:v>0</x:v>
      </x:c>
      <x:c r="H4807" s="66" t="str">
        <x:v>钧誉厚德量化对冲11号净值20260911.xlsx</x:v>
      </x:c>
      <x:c r="I4807" s="73" t="str">
        <x:f>""</x:f>
      </x:c>
      <x:c r="J4807" s="74" t="str">
        <x:f>""</x:f>
      </x:c>
      <x:c r="K4807" s="73" t="n">
        <x:f>MAX(K4806,F4807)</x:f>
        <x:v>1.3469</x:v>
      </x:c>
      <x:c r="L4807" s="74" t="n">
        <x:f>1-F4807/K4807</x:f>
        <x:v>0</x:v>
      </x:c>
      <x:c r="M4807" s="73" t="n">
        <x:f>MAX(M4806,F4807)</x:f>
        <x:v>1.3469</x:v>
      </x:c>
      <x:c r="N4807" s="74" t="n">
        <x:f>1-F4807/M4807</x:f>
        <x:v>0</x:v>
      </x:c>
    </x:row>
    <x:row r="4808" ht="27" customHeight="1">
      <x:c r="A4808" s="66" t="str">
        <x:v>SQN453</x:v>
      </x:c>
      <x:c r="B4808" s="66" t="str">
        <x:v>钧誉厚德量化对冲11号</x:v>
      </x:c>
      <x:c r="C4808" s="72" t="n">
        <x:v>45534</x:v>
      </x:c>
      <x:c r="D4808" s="73" t="n">
        <x:v>1.3471</x:v>
      </x:c>
      <x:c r="E4808" s="73" t="n">
        <x:v>1.3471</x:v>
      </x:c>
      <x:c r="F4808" s="73" t="n">
        <x:v>1.3471</x:v>
      </x:c>
      <x:c r="G4808" s="74" t="n">
        <x:v>0.0001</x:v>
      </x:c>
      <x:c r="H4808" s="66" t="str">
        <x:v>钧誉厚德量化对冲11号净值20260911.xlsx</x:v>
      </x:c>
      <x:c r="I4808" s="73" t="str">
        <x:f>""</x:f>
      </x:c>
      <x:c r="J4808" s="74" t="str">
        <x:f>""</x:f>
      </x:c>
      <x:c r="K4808" s="73" t="n">
        <x:f>MAX(K4807,F4808)</x:f>
        <x:v>1.3471</x:v>
      </x:c>
      <x:c r="L4808" s="74" t="n">
        <x:f>1-F4808/K4808</x:f>
        <x:v>0</x:v>
      </x:c>
      <x:c r="M4808" s="73" t="n">
        <x:f>MAX(M4807,F4808)</x:f>
        <x:v>1.3471</x:v>
      </x:c>
      <x:c r="N4808" s="74" t="n">
        <x:f>1-F4808/M4808</x:f>
        <x:v>0</x:v>
      </x:c>
    </x:row>
    <x:row r="4809" ht="27" customHeight="1">
      <x:c r="A4809" s="66" t="str">
        <x:v>SQN453</x:v>
      </x:c>
      <x:c r="B4809" s="66" t="str">
        <x:v>钧誉厚德量化对冲11号</x:v>
      </x:c>
      <x:c r="C4809" s="72" t="n">
        <x:v>45537</x:v>
      </x:c>
      <x:c r="D4809" s="73" t="n">
        <x:v>1.3474</x:v>
      </x:c>
      <x:c r="E4809" s="73" t="n">
        <x:v>1.3474</x:v>
      </x:c>
      <x:c r="F4809" s="73" t="n">
        <x:v>1.3474</x:v>
      </x:c>
      <x:c r="G4809" s="74" t="n">
        <x:v>0.0002</x:v>
      </x:c>
      <x:c r="H4809" s="66" t="str">
        <x:v>钧誉厚德量化对冲11号净值20260911.xlsx</x:v>
      </x:c>
      <x:c r="I4809" s="73" t="str">
        <x:f>""</x:f>
      </x:c>
      <x:c r="J4809" s="74" t="str">
        <x:f>""</x:f>
      </x:c>
      <x:c r="K4809" s="73" t="n">
        <x:f>MAX(K4808,F4809)</x:f>
        <x:v>1.3474</x:v>
      </x:c>
      <x:c r="L4809" s="74" t="n">
        <x:f>1-F4809/K4809</x:f>
        <x:v>0</x:v>
      </x:c>
      <x:c r="M4809" s="73" t="n">
        <x:f>MAX(M4808,F4809)</x:f>
        <x:v>1.3474</x:v>
      </x:c>
      <x:c r="N4809" s="74" t="n">
        <x:f>1-F4809/M4809</x:f>
        <x:v>0</x:v>
      </x:c>
    </x:row>
    <x:row r="4810" ht="27" customHeight="1">
      <x:c r="A4810" s="66" t="str">
        <x:v>SQN453</x:v>
      </x:c>
      <x:c r="B4810" s="66" t="str">
        <x:v>钧誉厚德量化对冲11号</x:v>
      </x:c>
      <x:c r="C4810" s="72" t="n">
        <x:v>45538</x:v>
      </x:c>
      <x:c r="D4810" s="73" t="n">
        <x:v>1.3478</x:v>
      </x:c>
      <x:c r="E4810" s="73" t="n">
        <x:v>1.3478</x:v>
      </x:c>
      <x:c r="F4810" s="73" t="n">
        <x:v>1.3478</x:v>
      </x:c>
      <x:c r="G4810" s="74" t="n">
        <x:v>0.0003</x:v>
      </x:c>
      <x:c r="H4810" s="66" t="str">
        <x:v>钧誉厚德量化对冲11号净值20260911.xlsx</x:v>
      </x:c>
      <x:c r="I4810" s="73" t="str">
        <x:f>""</x:f>
      </x:c>
      <x:c r="J4810" s="74" t="str">
        <x:f>""</x:f>
      </x:c>
      <x:c r="K4810" s="73" t="n">
        <x:f>MAX(K4809,F4810)</x:f>
        <x:v>1.3478</x:v>
      </x:c>
      <x:c r="L4810" s="74" t="n">
        <x:f>1-F4810/K4810</x:f>
        <x:v>0</x:v>
      </x:c>
      <x:c r="M4810" s="73" t="n">
        <x:f>MAX(M4809,F4810)</x:f>
        <x:v>1.3478</x:v>
      </x:c>
      <x:c r="N4810" s="74" t="n">
        <x:f>1-F4810/M4810</x:f>
        <x:v>0</x:v>
      </x:c>
    </x:row>
    <x:row r="4811" ht="27" customHeight="1">
      <x:c r="A4811" s="66" t="str">
        <x:v>SQN453</x:v>
      </x:c>
      <x:c r="B4811" s="66" t="str">
        <x:v>钧誉厚德量化对冲11号</x:v>
      </x:c>
      <x:c r="C4811" s="72" t="n">
        <x:v>45539</x:v>
      </x:c>
      <x:c r="D4811" s="73" t="n">
        <x:v>1.3496</x:v>
      </x:c>
      <x:c r="E4811" s="73" t="n">
        <x:v>1.3496</x:v>
      </x:c>
      <x:c r="F4811" s="73" t="n">
        <x:v>1.3496</x:v>
      </x:c>
      <x:c r="G4811" s="74" t="n">
        <x:v>0.0013</x:v>
      </x:c>
      <x:c r="H4811" s="66" t="str">
        <x:v>钧誉厚德量化对冲11号净值20260911.xlsx</x:v>
      </x:c>
      <x:c r="I4811" s="73" t="str">
        <x:f>""</x:f>
      </x:c>
      <x:c r="J4811" s="74" t="str">
        <x:f>""</x:f>
      </x:c>
      <x:c r="K4811" s="73" t="n">
        <x:f>MAX(K4810,F4811)</x:f>
        <x:v>1.3496</x:v>
      </x:c>
      <x:c r="L4811" s="74" t="n">
        <x:f>1-F4811/K4811</x:f>
        <x:v>0</x:v>
      </x:c>
      <x:c r="M4811" s="73" t="n">
        <x:f>MAX(M4810,F4811)</x:f>
        <x:v>1.3496</x:v>
      </x:c>
      <x:c r="N4811" s="74" t="n">
        <x:f>1-F4811/M4811</x:f>
        <x:v>0</x:v>
      </x:c>
    </x:row>
    <x:row r="4812" ht="27" customHeight="1">
      <x:c r="A4812" s="66" t="str">
        <x:v>SQN453</x:v>
      </x:c>
      <x:c r="B4812" s="66" t="str">
        <x:v>钧誉厚德量化对冲11号</x:v>
      </x:c>
      <x:c r="C4812" s="72" t="n">
        <x:v>45540</x:v>
      </x:c>
      <x:c r="D4812" s="73" t="n">
        <x:v>1.3499</x:v>
      </x:c>
      <x:c r="E4812" s="73" t="n">
        <x:v>1.3499</x:v>
      </x:c>
      <x:c r="F4812" s="73" t="n">
        <x:v>1.3499</x:v>
      </x:c>
      <x:c r="G4812" s="74" t="n">
        <x:v>0.0002</x:v>
      </x:c>
      <x:c r="H4812" s="66" t="str">
        <x:v>钧誉厚德量化对冲11号净值20260911.xlsx</x:v>
      </x:c>
      <x:c r="I4812" s="73" t="str">
        <x:f>""</x:f>
      </x:c>
      <x:c r="J4812" s="74" t="str">
        <x:f>""</x:f>
      </x:c>
      <x:c r="K4812" s="73" t="n">
        <x:f>MAX(K4811,F4812)</x:f>
        <x:v>1.3499</x:v>
      </x:c>
      <x:c r="L4812" s="74" t="n">
        <x:f>1-F4812/K4812</x:f>
        <x:v>0</x:v>
      </x:c>
      <x:c r="M4812" s="73" t="n">
        <x:f>MAX(M4811,F4812)</x:f>
        <x:v>1.3499</x:v>
      </x:c>
      <x:c r="N4812" s="74" t="n">
        <x:f>1-F4812/M4812</x:f>
        <x:v>0</x:v>
      </x:c>
    </x:row>
    <x:row r="4813" ht="27" customHeight="1">
      <x:c r="A4813" s="66" t="str">
        <x:v>SQN453</x:v>
      </x:c>
      <x:c r="B4813" s="66" t="str">
        <x:v>钧誉厚德量化对冲11号</x:v>
      </x:c>
      <x:c r="C4813" s="72" t="n">
        <x:v>45541</x:v>
      </x:c>
      <x:c r="D4813" s="73" t="n">
        <x:v>1.3501</x:v>
      </x:c>
      <x:c r="E4813" s="73" t="n">
        <x:v>1.3501</x:v>
      </x:c>
      <x:c r="F4813" s="73" t="n">
        <x:v>1.3501</x:v>
      </x:c>
      <x:c r="G4813" s="74" t="n">
        <x:v>0.0001</x:v>
      </x:c>
      <x:c r="H4813" s="66" t="str">
        <x:v>钧誉厚德量化对冲11号净值20260911.xlsx</x:v>
      </x:c>
      <x:c r="I4813" s="73" t="str">
        <x:f>""</x:f>
      </x:c>
      <x:c r="J4813" s="74" t="str">
        <x:f>""</x:f>
      </x:c>
      <x:c r="K4813" s="73" t="n">
        <x:f>MAX(K4812,F4813)</x:f>
        <x:v>1.3501</x:v>
      </x:c>
      <x:c r="L4813" s="74" t="n">
        <x:f>1-F4813/K4813</x:f>
        <x:v>0</x:v>
      </x:c>
      <x:c r="M4813" s="73" t="n">
        <x:f>MAX(M4812,F4813)</x:f>
        <x:v>1.3501</x:v>
      </x:c>
      <x:c r="N4813" s="74" t="n">
        <x:f>1-F4813/M4813</x:f>
        <x:v>0</x:v>
      </x:c>
    </x:row>
    <x:row r="4814" ht="27" customHeight="1">
      <x:c r="A4814" s="66" t="str">
        <x:v>SQN453</x:v>
      </x:c>
      <x:c r="B4814" s="66" t="str">
        <x:v>钧誉厚德量化对冲11号</x:v>
      </x:c>
      <x:c r="C4814" s="72" t="n">
        <x:v>45544</x:v>
      </x:c>
      <x:c r="D4814" s="73" t="n">
        <x:v>1.3515</x:v>
      </x:c>
      <x:c r="E4814" s="73" t="n">
        <x:v>1.3515</x:v>
      </x:c>
      <x:c r="F4814" s="73" t="n">
        <x:v>1.3515</x:v>
      </x:c>
      <x:c r="G4814" s="74" t="n">
        <x:v>0.001</x:v>
      </x:c>
      <x:c r="H4814" s="66" t="str">
        <x:v>钧誉厚德量化对冲11号净值20260911.xlsx</x:v>
      </x:c>
      <x:c r="I4814" s="73" t="str">
        <x:f>""</x:f>
      </x:c>
      <x:c r="J4814" s="74" t="str">
        <x:f>""</x:f>
      </x:c>
      <x:c r="K4814" s="73" t="n">
        <x:f>MAX(K4813,F4814)</x:f>
        <x:v>1.3515</x:v>
      </x:c>
      <x:c r="L4814" s="74" t="n">
        <x:f>1-F4814/K4814</x:f>
        <x:v>0</x:v>
      </x:c>
      <x:c r="M4814" s="73" t="n">
        <x:f>MAX(M4813,F4814)</x:f>
        <x:v>1.3515</x:v>
      </x:c>
      <x:c r="N4814" s="74" t="n">
        <x:f>1-F4814/M4814</x:f>
        <x:v>0</x:v>
      </x:c>
    </x:row>
    <x:row r="4815" ht="27" customHeight="1">
      <x:c r="A4815" s="66" t="str">
        <x:v>SQN453</x:v>
      </x:c>
      <x:c r="B4815" s="66" t="str">
        <x:v>钧誉厚德量化对冲11号</x:v>
      </x:c>
      <x:c r="C4815" s="72" t="n">
        <x:v>45545</x:v>
      </x:c>
      <x:c r="D4815" s="73" t="n">
        <x:v>1.3526</x:v>
      </x:c>
      <x:c r="E4815" s="73" t="n">
        <x:v>1.3526</x:v>
      </x:c>
      <x:c r="F4815" s="73" t="n">
        <x:v>1.3526</x:v>
      </x:c>
      <x:c r="G4815" s="74" t="n">
        <x:v>0.0008</x:v>
      </x:c>
      <x:c r="H4815" s="66" t="str">
        <x:v>钧誉厚德量化对冲11号净值20260911.xlsx</x:v>
      </x:c>
      <x:c r="I4815" s="73" t="str">
        <x:f>""</x:f>
      </x:c>
      <x:c r="J4815" s="74" t="str">
        <x:f>""</x:f>
      </x:c>
      <x:c r="K4815" s="73" t="n">
        <x:f>MAX(K4814,F4815)</x:f>
        <x:v>1.3526</x:v>
      </x:c>
      <x:c r="L4815" s="74" t="n">
        <x:f>1-F4815/K4815</x:f>
        <x:v>0</x:v>
      </x:c>
      <x:c r="M4815" s="73" t="n">
        <x:f>MAX(M4814,F4815)</x:f>
        <x:v>1.3526</x:v>
      </x:c>
      <x:c r="N4815" s="74" t="n">
        <x:f>1-F4815/M4815</x:f>
        <x:v>0</x:v>
      </x:c>
    </x:row>
    <x:row r="4816" ht="27" customHeight="1">
      <x:c r="A4816" s="66" t="str">
        <x:v>SQN453</x:v>
      </x:c>
      <x:c r="B4816" s="66" t="str">
        <x:v>钧誉厚德量化对冲11号</x:v>
      </x:c>
      <x:c r="C4816" s="72" t="n">
        <x:v>45546</x:v>
      </x:c>
      <x:c r="D4816" s="73" t="n">
        <x:v>1.353</x:v>
      </x:c>
      <x:c r="E4816" s="73" t="n">
        <x:v>1.353</x:v>
      </x:c>
      <x:c r="F4816" s="73" t="n">
        <x:v>1.353</x:v>
      </x:c>
      <x:c r="G4816" s="74" t="n">
        <x:v>0.0003</x:v>
      </x:c>
      <x:c r="H4816" s="66" t="str">
        <x:v>钧誉厚德量化对冲11号净值20260911.xlsx</x:v>
      </x:c>
      <x:c r="I4816" s="73" t="str">
        <x:f>""</x:f>
      </x:c>
      <x:c r="J4816" s="74" t="str">
        <x:f>""</x:f>
      </x:c>
      <x:c r="K4816" s="73" t="n">
        <x:f>MAX(K4815,F4816)</x:f>
        <x:v>1.353</x:v>
      </x:c>
      <x:c r="L4816" s="74" t="n">
        <x:f>1-F4816/K4816</x:f>
        <x:v>0</x:v>
      </x:c>
      <x:c r="M4816" s="73" t="n">
        <x:f>MAX(M4815,F4816)</x:f>
        <x:v>1.353</x:v>
      </x:c>
      <x:c r="N4816" s="74" t="n">
        <x:f>1-F4816/M4816</x:f>
        <x:v>0</x:v>
      </x:c>
    </x:row>
    <x:row r="4817" ht="27" customHeight="1">
      <x:c r="A4817" s="66" t="str">
        <x:v>SQN453</x:v>
      </x:c>
      <x:c r="B4817" s="66" t="str">
        <x:v>钧誉厚德量化对冲11号</x:v>
      </x:c>
      <x:c r="C4817" s="72" t="n">
        <x:v>45547</x:v>
      </x:c>
      <x:c r="D4817" s="73" t="n">
        <x:v>1.3532</x:v>
      </x:c>
      <x:c r="E4817" s="73" t="n">
        <x:v>1.3532</x:v>
      </x:c>
      <x:c r="F4817" s="73" t="n">
        <x:v>1.3532</x:v>
      </x:c>
      <x:c r="G4817" s="74" t="n">
        <x:v>0.0001</x:v>
      </x:c>
      <x:c r="H4817" s="66" t="str">
        <x:v>钧誉厚德量化对冲11号净值20260911.xlsx</x:v>
      </x:c>
      <x:c r="I4817" s="73" t="str">
        <x:f>""</x:f>
      </x:c>
      <x:c r="J4817" s="74" t="str">
        <x:f>""</x:f>
      </x:c>
      <x:c r="K4817" s="73" t="n">
        <x:f>MAX(K4816,F4817)</x:f>
        <x:v>1.3532</x:v>
      </x:c>
      <x:c r="L4817" s="74" t="n">
        <x:f>1-F4817/K4817</x:f>
        <x:v>0</x:v>
      </x:c>
      <x:c r="M4817" s="73" t="n">
        <x:f>MAX(M4816,F4817)</x:f>
        <x:v>1.3532</x:v>
      </x:c>
      <x:c r="N4817" s="74" t="n">
        <x:f>1-F4817/M4817</x:f>
        <x:v>0</x:v>
      </x:c>
    </x:row>
    <x:row r="4818" ht="27" customHeight="1">
      <x:c r="A4818" s="66" t="str">
        <x:v>SQN453</x:v>
      </x:c>
      <x:c r="B4818" s="66" t="str">
        <x:v>钧誉厚德量化对冲11号</x:v>
      </x:c>
      <x:c r="C4818" s="72" t="n">
        <x:v>45548</x:v>
      </x:c>
      <x:c r="D4818" s="73" t="n">
        <x:v>1.354</x:v>
      </x:c>
      <x:c r="E4818" s="73" t="n">
        <x:v>1.354</x:v>
      </x:c>
      <x:c r="F4818" s="73" t="n">
        <x:v>1.354</x:v>
      </x:c>
      <x:c r="G4818" s="74" t="n">
        <x:v>0.0006</x:v>
      </x:c>
      <x:c r="H4818" s="66" t="str">
        <x:v>钧誉厚德量化对冲11号净值20260911.xlsx</x:v>
      </x:c>
      <x:c r="I4818" s="73" t="str">
        <x:f>""</x:f>
      </x:c>
      <x:c r="J4818" s="74" t="str">
        <x:f>""</x:f>
      </x:c>
      <x:c r="K4818" s="73" t="n">
        <x:f>MAX(K4817,F4818)</x:f>
        <x:v>1.354</x:v>
      </x:c>
      <x:c r="L4818" s="74" t="n">
        <x:f>1-F4818/K4818</x:f>
        <x:v>0</x:v>
      </x:c>
      <x:c r="M4818" s="73" t="n">
        <x:f>MAX(M4817,F4818)</x:f>
        <x:v>1.354</x:v>
      </x:c>
      <x:c r="N4818" s="74" t="n">
        <x:f>1-F4818/M4818</x:f>
        <x:v>0</x:v>
      </x:c>
    </x:row>
    <x:row r="4819" ht="27" customHeight="1">
      <x:c r="A4819" s="66" t="str">
        <x:v>SQN453</x:v>
      </x:c>
      <x:c r="B4819" s="66" t="str">
        <x:v>钧誉厚德量化对冲11号</x:v>
      </x:c>
      <x:c r="C4819" s="72" t="n">
        <x:v>45553</x:v>
      </x:c>
      <x:c r="D4819" s="73" t="n">
        <x:v>1.3544</x:v>
      </x:c>
      <x:c r="E4819" s="73" t="n">
        <x:v>1.3544</x:v>
      </x:c>
      <x:c r="F4819" s="73" t="n">
        <x:v>1.3544</x:v>
      </x:c>
      <x:c r="G4819" s="74" t="n">
        <x:v>0.0003</x:v>
      </x:c>
      <x:c r="H4819" s="66" t="str">
        <x:v>钧誉厚德量化对冲11号净值20260911.xlsx</x:v>
      </x:c>
      <x:c r="I4819" s="73" t="str">
        <x:f>""</x:f>
      </x:c>
      <x:c r="J4819" s="74" t="str">
        <x:f>""</x:f>
      </x:c>
      <x:c r="K4819" s="73" t="n">
        <x:f>MAX(K4818,F4819)</x:f>
        <x:v>1.3544</x:v>
      </x:c>
      <x:c r="L4819" s="74" t="n">
        <x:f>1-F4819/K4819</x:f>
        <x:v>0</x:v>
      </x:c>
      <x:c r="M4819" s="73" t="n">
        <x:f>MAX(M4818,F4819)</x:f>
        <x:v>1.3544</x:v>
      </x:c>
      <x:c r="N4819" s="74" t="n">
        <x:f>1-F4819/M4819</x:f>
        <x:v>0</x:v>
      </x:c>
    </x:row>
    <x:row r="4820" ht="27" customHeight="1">
      <x:c r="A4820" s="66" t="str">
        <x:v>SQN453</x:v>
      </x:c>
      <x:c r="B4820" s="66" t="str">
        <x:v>钧誉厚德量化对冲11号</x:v>
      </x:c>
      <x:c r="C4820" s="72" t="n">
        <x:v>45554</x:v>
      </x:c>
      <x:c r="D4820" s="73" t="n">
        <x:v>1.3545</x:v>
      </x:c>
      <x:c r="E4820" s="73" t="n">
        <x:v>1.3545</x:v>
      </x:c>
      <x:c r="F4820" s="73" t="n">
        <x:v>1.3545</x:v>
      </x:c>
      <x:c r="G4820" s="74" t="n">
        <x:v>0.0001</x:v>
      </x:c>
      <x:c r="H4820" s="66" t="str">
        <x:v>钧誉厚德量化对冲11号净值20260911.xlsx</x:v>
      </x:c>
      <x:c r="I4820" s="73" t="str">
        <x:f>""</x:f>
      </x:c>
      <x:c r="J4820" s="74" t="str">
        <x:f>""</x:f>
      </x:c>
      <x:c r="K4820" s="73" t="n">
        <x:f>MAX(K4819,F4820)</x:f>
        <x:v>1.3545</x:v>
      </x:c>
      <x:c r="L4820" s="74" t="n">
        <x:f>1-F4820/K4820</x:f>
        <x:v>0</x:v>
      </x:c>
      <x:c r="M4820" s="73" t="n">
        <x:f>MAX(M4819,F4820)</x:f>
        <x:v>1.3545</x:v>
      </x:c>
      <x:c r="N4820" s="74" t="n">
        <x:f>1-F4820/M4820</x:f>
        <x:v>0</x:v>
      </x:c>
    </x:row>
    <x:row r="4821" ht="27" customHeight="1">
      <x:c r="A4821" s="66" t="str">
        <x:v>SQN453</x:v>
      </x:c>
      <x:c r="B4821" s="66" t="str">
        <x:v>钧誉厚德量化对冲11号</x:v>
      </x:c>
      <x:c r="C4821" s="72" t="n">
        <x:v>45555</x:v>
      </x:c>
      <x:c r="D4821" s="73" t="n">
        <x:v>1.3548</x:v>
      </x:c>
      <x:c r="E4821" s="73" t="n">
        <x:v>1.3548</x:v>
      </x:c>
      <x:c r="F4821" s="73" t="n">
        <x:v>1.3548</x:v>
      </x:c>
      <x:c r="G4821" s="74" t="n">
        <x:v>0.0002</x:v>
      </x:c>
      <x:c r="H4821" s="66" t="str">
        <x:v>钧誉厚德量化对冲11号净值20260911.xlsx</x:v>
      </x:c>
      <x:c r="I4821" s="73" t="str">
        <x:f>""</x:f>
      </x:c>
      <x:c r="J4821" s="74" t="str">
        <x:f>""</x:f>
      </x:c>
      <x:c r="K4821" s="73" t="n">
        <x:f>MAX(K4820,F4821)</x:f>
        <x:v>1.3548</x:v>
      </x:c>
      <x:c r="L4821" s="74" t="n">
        <x:f>1-F4821/K4821</x:f>
        <x:v>0</x:v>
      </x:c>
      <x:c r="M4821" s="73" t="n">
        <x:f>MAX(M4820,F4821)</x:f>
        <x:v>1.3548</x:v>
      </x:c>
      <x:c r="N4821" s="74" t="n">
        <x:f>1-F4821/M4821</x:f>
        <x:v>0</x:v>
      </x:c>
    </x:row>
    <x:row r="4822" ht="27" customHeight="1">
      <x:c r="A4822" s="66" t="str">
        <x:v>SQN453</x:v>
      </x:c>
      <x:c r="B4822" s="66" t="str">
        <x:v>钧誉厚德量化对冲11号</x:v>
      </x:c>
      <x:c r="C4822" s="72" t="n">
        <x:v>45558</x:v>
      </x:c>
      <x:c r="D4822" s="73" t="n">
        <x:v>1.3555</x:v>
      </x:c>
      <x:c r="E4822" s="73" t="n">
        <x:v>1.3555</x:v>
      </x:c>
      <x:c r="F4822" s="73" t="n">
        <x:v>1.3555</x:v>
      </x:c>
      <x:c r="G4822" s="74" t="n">
        <x:v>0.0005</x:v>
      </x:c>
      <x:c r="H4822" s="66" t="str">
        <x:v>钧誉厚德量化对冲11号净值20260911.xlsx</x:v>
      </x:c>
      <x:c r="I4822" s="73" t="str">
        <x:f>""</x:f>
      </x:c>
      <x:c r="J4822" s="74" t="str">
        <x:f>""</x:f>
      </x:c>
      <x:c r="K4822" s="73" t="n">
        <x:f>MAX(K4821,F4822)</x:f>
        <x:v>1.3555</x:v>
      </x:c>
      <x:c r="L4822" s="74" t="n">
        <x:f>1-F4822/K4822</x:f>
        <x:v>0</x:v>
      </x:c>
      <x:c r="M4822" s="73" t="n">
        <x:f>MAX(M4821,F4822)</x:f>
        <x:v>1.3555</x:v>
      </x:c>
      <x:c r="N4822" s="74" t="n">
        <x:f>1-F4822/M4822</x:f>
        <x:v>0</x:v>
      </x:c>
    </x:row>
    <x:row r="4823" ht="27" customHeight="1">
      <x:c r="A4823" s="66" t="str">
        <x:v>SQN453</x:v>
      </x:c>
      <x:c r="B4823" s="66" t="str">
        <x:v>钧誉厚德量化对冲11号</x:v>
      </x:c>
      <x:c r="C4823" s="72" t="n">
        <x:v>45559</x:v>
      </x:c>
      <x:c r="D4823" s="73" t="n">
        <x:v>1.3556</x:v>
      </x:c>
      <x:c r="E4823" s="73" t="n">
        <x:v>1.3556</x:v>
      </x:c>
      <x:c r="F4823" s="73" t="n">
        <x:v>1.3556</x:v>
      </x:c>
      <x:c r="G4823" s="74" t="n">
        <x:v>0.0001</x:v>
      </x:c>
      <x:c r="H4823" s="66" t="str">
        <x:v>钧誉厚德量化对冲11号净值20260911.xlsx</x:v>
      </x:c>
      <x:c r="I4823" s="73" t="str">
        <x:f>""</x:f>
      </x:c>
      <x:c r="J4823" s="74" t="str">
        <x:f>""</x:f>
      </x:c>
      <x:c r="K4823" s="73" t="n">
        <x:f>MAX(K4822,F4823)</x:f>
        <x:v>1.3556</x:v>
      </x:c>
      <x:c r="L4823" s="74" t="n">
        <x:f>1-F4823/K4823</x:f>
        <x:v>0</x:v>
      </x:c>
      <x:c r="M4823" s="73" t="n">
        <x:f>MAX(M4822,F4823)</x:f>
        <x:v>1.3556</x:v>
      </x:c>
      <x:c r="N4823" s="74" t="n">
        <x:f>1-F4823/M4823</x:f>
        <x:v>0</x:v>
      </x:c>
    </x:row>
    <x:row r="4824" ht="27" customHeight="1">
      <x:c r="A4824" s="66" t="str">
        <x:v>SQN453</x:v>
      </x:c>
      <x:c r="B4824" s="66" t="str">
        <x:v>钧誉厚德量化对冲11号</x:v>
      </x:c>
      <x:c r="C4824" s="72" t="n">
        <x:v>45560</x:v>
      </x:c>
      <x:c r="D4824" s="73" t="n">
        <x:v>1.3567</x:v>
      </x:c>
      <x:c r="E4824" s="73" t="n">
        <x:v>1.3567</x:v>
      </x:c>
      <x:c r="F4824" s="73" t="n">
        <x:v>1.3567</x:v>
      </x:c>
      <x:c r="G4824" s="74" t="n">
        <x:v>0.0008</x:v>
      </x:c>
      <x:c r="H4824" s="66" t="str">
        <x:v>钧誉厚德量化对冲11号净值20260911.xlsx</x:v>
      </x:c>
      <x:c r="I4824" s="73" t="str">
        <x:f>""</x:f>
      </x:c>
      <x:c r="J4824" s="74" t="str">
        <x:f>""</x:f>
      </x:c>
      <x:c r="K4824" s="73" t="n">
        <x:f>MAX(K4823,F4824)</x:f>
        <x:v>1.3567</x:v>
      </x:c>
      <x:c r="L4824" s="74" t="n">
        <x:f>1-F4824/K4824</x:f>
        <x:v>0</x:v>
      </x:c>
      <x:c r="M4824" s="73" t="n">
        <x:f>MAX(M4823,F4824)</x:f>
        <x:v>1.3567</x:v>
      </x:c>
      <x:c r="N4824" s="74" t="n">
        <x:f>1-F4824/M4824</x:f>
        <x:v>0</x:v>
      </x:c>
    </x:row>
    <x:row r="4825" ht="27" customHeight="1">
      <x:c r="A4825" s="66" t="str">
        <x:v>SQN453</x:v>
      </x:c>
      <x:c r="B4825" s="66" t="str">
        <x:v>钧誉厚德量化对冲11号</x:v>
      </x:c>
      <x:c r="C4825" s="72" t="n">
        <x:v>45561</x:v>
      </x:c>
      <x:c r="D4825" s="73" t="n">
        <x:v>1.3574</x:v>
      </x:c>
      <x:c r="E4825" s="73" t="n">
        <x:v>1.3574</x:v>
      </x:c>
      <x:c r="F4825" s="73" t="n">
        <x:v>1.3574</x:v>
      </x:c>
      <x:c r="G4825" s="74" t="n">
        <x:v>0.0005</x:v>
      </x:c>
      <x:c r="H4825" s="66" t="str">
        <x:v>钧誉厚德量化对冲11号净值20260911.xlsx</x:v>
      </x:c>
      <x:c r="I4825" s="73" t="str">
        <x:f>""</x:f>
      </x:c>
      <x:c r="J4825" s="74" t="str">
        <x:f>""</x:f>
      </x:c>
      <x:c r="K4825" s="73" t="n">
        <x:f>MAX(K4824,F4825)</x:f>
        <x:v>1.3574</x:v>
      </x:c>
      <x:c r="L4825" s="74" t="n">
        <x:f>1-F4825/K4825</x:f>
        <x:v>0</x:v>
      </x:c>
      <x:c r="M4825" s="73" t="n">
        <x:f>MAX(M4824,F4825)</x:f>
        <x:v>1.3574</x:v>
      </x:c>
      <x:c r="N4825" s="74" t="n">
        <x:f>1-F4825/M4825</x:f>
        <x:v>0</x:v>
      </x:c>
    </x:row>
    <x:row r="4826" ht="27" customHeight="1">
      <x:c r="A4826" s="66" t="str">
        <x:v>SQN453</x:v>
      </x:c>
      <x:c r="B4826" s="66" t="str">
        <x:v>钧誉厚德量化对冲11号</x:v>
      </x:c>
      <x:c r="C4826" s="72" t="n">
        <x:v>45562</x:v>
      </x:c>
      <x:c r="D4826" s="73" t="n">
        <x:v>1.3592</x:v>
      </x:c>
      <x:c r="E4826" s="73" t="n">
        <x:v>1.3592</x:v>
      </x:c>
      <x:c r="F4826" s="73" t="n">
        <x:v>1.3592</x:v>
      </x:c>
      <x:c r="G4826" s="74" t="n">
        <x:v>0.0013</x:v>
      </x:c>
      <x:c r="H4826" s="66" t="str">
        <x:v>钧誉厚德量化对冲11号净值20260911.xlsx</x:v>
      </x:c>
      <x:c r="I4826" s="73" t="str">
        <x:f>""</x:f>
      </x:c>
      <x:c r="J4826" s="74" t="str">
        <x:f>""</x:f>
      </x:c>
      <x:c r="K4826" s="73" t="n">
        <x:f>MAX(K4825,F4826)</x:f>
        <x:v>1.3592</x:v>
      </x:c>
      <x:c r="L4826" s="74" t="n">
        <x:f>1-F4826/K4826</x:f>
        <x:v>0</x:v>
      </x:c>
      <x:c r="M4826" s="73" t="n">
        <x:f>MAX(M4825,F4826)</x:f>
        <x:v>1.3592</x:v>
      </x:c>
      <x:c r="N4826" s="74" t="n">
        <x:f>1-F4826/M4826</x:f>
        <x:v>0</x:v>
      </x:c>
    </x:row>
    <x:row r="4827" ht="27" customHeight="1">
      <x:c r="A4827" s="66" t="str">
        <x:v>SQN453</x:v>
      </x:c>
      <x:c r="B4827" s="66" t="str">
        <x:v>钧誉厚德量化对冲11号</x:v>
      </x:c>
      <x:c r="C4827" s="72" t="n">
        <x:v>45565</x:v>
      </x:c>
      <x:c r="D4827" s="73" t="n">
        <x:v>1.36</x:v>
      </x:c>
      <x:c r="E4827" s="73" t="n">
        <x:v>1.36</x:v>
      </x:c>
      <x:c r="F4827" s="73" t="n">
        <x:v>1.36</x:v>
      </x:c>
      <x:c r="G4827" s="74" t="n">
        <x:v>0.0006</x:v>
      </x:c>
      <x:c r="H4827" s="66" t="str">
        <x:v>钧誉厚德量化对冲11号净值20260911.xlsx</x:v>
      </x:c>
      <x:c r="I4827" s="73" t="str">
        <x:f>""</x:f>
      </x:c>
      <x:c r="J4827" s="74" t="str">
        <x:f>""</x:f>
      </x:c>
      <x:c r="K4827" s="73" t="n">
        <x:f>MAX(K4826,F4827)</x:f>
        <x:v>1.36</x:v>
      </x:c>
      <x:c r="L4827" s="74" t="n">
        <x:f>1-F4827/K4827</x:f>
        <x:v>0</x:v>
      </x:c>
      <x:c r="M4827" s="73" t="n">
        <x:f>MAX(M4826,F4827)</x:f>
        <x:v>1.36</x:v>
      </x:c>
      <x:c r="N4827" s="74" t="n">
        <x:f>1-F4827/M4827</x:f>
        <x:v>0</x:v>
      </x:c>
    </x:row>
    <x:row r="4828" ht="27" customHeight="1">
      <x:c r="A4828" s="66" t="str">
        <x:v>SQN453</x:v>
      </x:c>
      <x:c r="B4828" s="66" t="str">
        <x:v>钧誉厚德量化对冲11号</x:v>
      </x:c>
      <x:c r="C4828" s="72" t="n">
        <x:v>45573</x:v>
      </x:c>
      <x:c r="D4828" s="73" t="n">
        <x:v>1.3607</x:v>
      </x:c>
      <x:c r="E4828" s="73" t="n">
        <x:v>1.3607</x:v>
      </x:c>
      <x:c r="F4828" s="73" t="n">
        <x:v>1.3607</x:v>
      </x:c>
      <x:c r="G4828" s="74" t="n">
        <x:v>0.0005</x:v>
      </x:c>
      <x:c r="H4828" s="66" t="str">
        <x:v>钧誉厚德量化对冲11号净值20260911.xlsx</x:v>
      </x:c>
      <x:c r="I4828" s="73" t="str">
        <x:f>""</x:f>
      </x:c>
      <x:c r="J4828" s="74" t="str">
        <x:f>""</x:f>
      </x:c>
      <x:c r="K4828" s="73" t="n">
        <x:f>MAX(K4827,F4828)</x:f>
        <x:v>1.3607</x:v>
      </x:c>
      <x:c r="L4828" s="74" t="n">
        <x:f>1-F4828/K4828</x:f>
        <x:v>0</x:v>
      </x:c>
      <x:c r="M4828" s="73" t="n">
        <x:f>MAX(M4827,F4828)</x:f>
        <x:v>1.3607</x:v>
      </x:c>
      <x:c r="N4828" s="74" t="n">
        <x:f>1-F4828/M4828</x:f>
        <x:v>0</x:v>
      </x:c>
    </x:row>
    <x:row r="4829" ht="27" customHeight="1">
      <x:c r="A4829" s="66" t="str">
        <x:v>SQN453</x:v>
      </x:c>
      <x:c r="B4829" s="66" t="str">
        <x:v>钧誉厚德量化对冲11号</x:v>
      </x:c>
      <x:c r="C4829" s="72" t="n">
        <x:v>45574</x:v>
      </x:c>
      <x:c r="D4829" s="73" t="n">
        <x:v>1.3614</x:v>
      </x:c>
      <x:c r="E4829" s="73" t="n">
        <x:v>1.3614</x:v>
      </x:c>
      <x:c r="F4829" s="73" t="n">
        <x:v>1.3614</x:v>
      </x:c>
      <x:c r="G4829" s="74" t="n">
        <x:v>0.0005</x:v>
      </x:c>
      <x:c r="H4829" s="66" t="str">
        <x:v>钧誉厚德量化对冲11号净值20260911.xlsx</x:v>
      </x:c>
      <x:c r="I4829" s="73" t="str">
        <x:f>""</x:f>
      </x:c>
      <x:c r="J4829" s="74" t="str">
        <x:f>""</x:f>
      </x:c>
      <x:c r="K4829" s="73" t="n">
        <x:f>MAX(K4828,F4829)</x:f>
        <x:v>1.3614</x:v>
      </x:c>
      <x:c r="L4829" s="74" t="n">
        <x:f>1-F4829/K4829</x:f>
        <x:v>0</x:v>
      </x:c>
      <x:c r="M4829" s="73" t="n">
        <x:f>MAX(M4828,F4829)</x:f>
        <x:v>1.3614</x:v>
      </x:c>
      <x:c r="N4829" s="74" t="n">
        <x:f>1-F4829/M4829</x:f>
        <x:v>0</x:v>
      </x:c>
    </x:row>
    <x:row r="4830" ht="27" customHeight="1">
      <x:c r="A4830" s="66" t="str">
        <x:v>SQN453</x:v>
      </x:c>
      <x:c r="B4830" s="66" t="str">
        <x:v>钧誉厚德量化对冲11号</x:v>
      </x:c>
      <x:c r="C4830" s="72" t="n">
        <x:v>45575</x:v>
      </x:c>
      <x:c r="D4830" s="73" t="n">
        <x:v>1.3634</x:v>
      </x:c>
      <x:c r="E4830" s="73" t="n">
        <x:v>1.3634</x:v>
      </x:c>
      <x:c r="F4830" s="73" t="n">
        <x:v>1.3634</x:v>
      </x:c>
      <x:c r="G4830" s="74" t="n">
        <x:v>0.0015</x:v>
      </x:c>
      <x:c r="H4830" s="66" t="str">
        <x:v>钧誉厚德量化对冲11号净值20260911.xlsx</x:v>
      </x:c>
      <x:c r="I4830" s="73" t="str">
        <x:f>""</x:f>
      </x:c>
      <x:c r="J4830" s="74" t="str">
        <x:f>""</x:f>
      </x:c>
      <x:c r="K4830" s="73" t="n">
        <x:f>MAX(K4829,F4830)</x:f>
        <x:v>1.3634</x:v>
      </x:c>
      <x:c r="L4830" s="74" t="n">
        <x:f>1-F4830/K4830</x:f>
        <x:v>0</x:v>
      </x:c>
      <x:c r="M4830" s="73" t="n">
        <x:f>MAX(M4829,F4830)</x:f>
        <x:v>1.3634</x:v>
      </x:c>
      <x:c r="N4830" s="74" t="n">
        <x:f>1-F4830/M4830</x:f>
        <x:v>0</x:v>
      </x:c>
    </x:row>
    <x:row r="4831" ht="27" customHeight="1">
      <x:c r="A4831" s="66" t="str">
        <x:v>SQN453</x:v>
      </x:c>
      <x:c r="B4831" s="66" t="str">
        <x:v>钧誉厚德量化对冲11号</x:v>
      </x:c>
      <x:c r="C4831" s="72" t="n">
        <x:v>45576</x:v>
      </x:c>
      <x:c r="D4831" s="73" t="n">
        <x:v>1.3636</x:v>
      </x:c>
      <x:c r="E4831" s="73" t="n">
        <x:v>1.3636</x:v>
      </x:c>
      <x:c r="F4831" s="73" t="n">
        <x:v>1.3636</x:v>
      </x:c>
      <x:c r="G4831" s="74" t="n">
        <x:v>0.0001</x:v>
      </x:c>
      <x:c r="H4831" s="66" t="str">
        <x:v>钧誉厚德量化对冲11号净值20260911.xlsx</x:v>
      </x:c>
      <x:c r="I4831" s="73" t="str">
        <x:f>""</x:f>
      </x:c>
      <x:c r="J4831" s="74" t="str">
        <x:f>""</x:f>
      </x:c>
      <x:c r="K4831" s="73" t="n">
        <x:f>MAX(K4830,F4831)</x:f>
        <x:v>1.3636</x:v>
      </x:c>
      <x:c r="L4831" s="74" t="n">
        <x:f>1-F4831/K4831</x:f>
        <x:v>0</x:v>
      </x:c>
      <x:c r="M4831" s="73" t="n">
        <x:f>MAX(M4830,F4831)</x:f>
        <x:v>1.3636</x:v>
      </x:c>
      <x:c r="N4831" s="74" t="n">
        <x:f>1-F4831/M4831</x:f>
        <x:v>0</x:v>
      </x:c>
    </x:row>
    <x:row r="4832" ht="27" customHeight="1">
      <x:c r="A4832" s="66" t="str">
        <x:v>SQN453</x:v>
      </x:c>
      <x:c r="B4832" s="66" t="str">
        <x:v>钧誉厚德量化对冲11号</x:v>
      </x:c>
      <x:c r="C4832" s="72" t="n">
        <x:v>45579</x:v>
      </x:c>
      <x:c r="D4832" s="73" t="n">
        <x:v>1.3647</x:v>
      </x:c>
      <x:c r="E4832" s="73" t="n">
        <x:v>1.3647</x:v>
      </x:c>
      <x:c r="F4832" s="73" t="n">
        <x:v>1.3647</x:v>
      </x:c>
      <x:c r="G4832" s="74" t="n">
        <x:v>0.0008</x:v>
      </x:c>
      <x:c r="H4832" s="66" t="str">
        <x:v>钧誉厚德量化对冲11号净值20260911.xlsx</x:v>
      </x:c>
      <x:c r="I4832" s="73" t="str">
        <x:f>""</x:f>
      </x:c>
      <x:c r="J4832" s="74" t="str">
        <x:f>""</x:f>
      </x:c>
      <x:c r="K4832" s="73" t="n">
        <x:f>MAX(K4831,F4832)</x:f>
        <x:v>1.3647</x:v>
      </x:c>
      <x:c r="L4832" s="74" t="n">
        <x:f>1-F4832/K4832</x:f>
        <x:v>0</x:v>
      </x:c>
      <x:c r="M4832" s="73" t="n">
        <x:f>MAX(M4831,F4832)</x:f>
        <x:v>1.3647</x:v>
      </x:c>
      <x:c r="N4832" s="74" t="n">
        <x:f>1-F4832/M4832</x:f>
        <x:v>0</x:v>
      </x:c>
    </x:row>
    <x:row r="4833" ht="27" customHeight="1">
      <x:c r="A4833" s="66" t="str">
        <x:v>SQN453</x:v>
      </x:c>
      <x:c r="B4833" s="66" t="str">
        <x:v>钧誉厚德量化对冲11号</x:v>
      </x:c>
      <x:c r="C4833" s="72" t="n">
        <x:v>45580</x:v>
      </x:c>
      <x:c r="D4833" s="73" t="n">
        <x:v>1.3651</x:v>
      </x:c>
      <x:c r="E4833" s="73" t="n">
        <x:v>1.3651</x:v>
      </x:c>
      <x:c r="F4833" s="73" t="n">
        <x:v>1.3651</x:v>
      </x:c>
      <x:c r="G4833" s="74" t="n">
        <x:v>0.0003</x:v>
      </x:c>
      <x:c r="H4833" s="66" t="str">
        <x:v>钧誉厚德量化对冲11号净值20260911.xlsx</x:v>
      </x:c>
      <x:c r="I4833" s="73" t="str">
        <x:f>""</x:f>
      </x:c>
      <x:c r="J4833" s="74" t="str">
        <x:f>""</x:f>
      </x:c>
      <x:c r="K4833" s="73" t="n">
        <x:f>MAX(K4832,F4833)</x:f>
        <x:v>1.3651</x:v>
      </x:c>
      <x:c r="L4833" s="74" t="n">
        <x:f>1-F4833/K4833</x:f>
        <x:v>0</x:v>
      </x:c>
      <x:c r="M4833" s="73" t="n">
        <x:f>MAX(M4832,F4833)</x:f>
        <x:v>1.3651</x:v>
      </x:c>
      <x:c r="N4833" s="74" t="n">
        <x:f>1-F4833/M4833</x:f>
        <x:v>0</x:v>
      </x:c>
    </x:row>
    <x:row r="4834" ht="27" customHeight="1">
      <x:c r="A4834" s="66" t="str">
        <x:v>SQN453</x:v>
      </x:c>
      <x:c r="B4834" s="66" t="str">
        <x:v>钧誉厚德量化对冲11号</x:v>
      </x:c>
      <x:c r="C4834" s="72" t="n">
        <x:v>45581</x:v>
      </x:c>
      <x:c r="D4834" s="73" t="n">
        <x:v>1.3655</x:v>
      </x:c>
      <x:c r="E4834" s="73" t="n">
        <x:v>1.3655</x:v>
      </x:c>
      <x:c r="F4834" s="73" t="n">
        <x:v>1.3655</x:v>
      </x:c>
      <x:c r="G4834" s="74" t="n">
        <x:v>0.0003</x:v>
      </x:c>
      <x:c r="H4834" s="66" t="str">
        <x:v>钧誉厚德量化对冲11号净值20260911.xlsx</x:v>
      </x:c>
      <x:c r="I4834" s="73" t="str">
        <x:f>""</x:f>
      </x:c>
      <x:c r="J4834" s="74" t="str">
        <x:f>""</x:f>
      </x:c>
      <x:c r="K4834" s="73" t="n">
        <x:f>MAX(K4833,F4834)</x:f>
        <x:v>1.3655</x:v>
      </x:c>
      <x:c r="L4834" s="74" t="n">
        <x:f>1-F4834/K4834</x:f>
        <x:v>0</x:v>
      </x:c>
      <x:c r="M4834" s="73" t="n">
        <x:f>MAX(M4833,F4834)</x:f>
        <x:v>1.3655</x:v>
      </x:c>
      <x:c r="N4834" s="74" t="n">
        <x:f>1-F4834/M4834</x:f>
        <x:v>0</x:v>
      </x:c>
    </x:row>
    <x:row r="4835" ht="27" customHeight="1">
      <x:c r="A4835" s="66" t="str">
        <x:v>SQN453</x:v>
      </x:c>
      <x:c r="B4835" s="66" t="str">
        <x:v>钧誉厚德量化对冲11号</x:v>
      </x:c>
      <x:c r="C4835" s="72" t="n">
        <x:v>45582</x:v>
      </x:c>
      <x:c r="D4835" s="73" t="n">
        <x:v>1.3666</x:v>
      </x:c>
      <x:c r="E4835" s="73" t="n">
        <x:v>1.3666</x:v>
      </x:c>
      <x:c r="F4835" s="73" t="n">
        <x:v>1.3666</x:v>
      </x:c>
      <x:c r="G4835" s="74" t="n">
        <x:v>0.0008</x:v>
      </x:c>
      <x:c r="H4835" s="66" t="str">
        <x:v>钧誉厚德量化对冲11号净值20260911.xlsx</x:v>
      </x:c>
      <x:c r="I4835" s="73" t="str">
        <x:f>""</x:f>
      </x:c>
      <x:c r="J4835" s="74" t="str">
        <x:f>""</x:f>
      </x:c>
      <x:c r="K4835" s="73" t="n">
        <x:f>MAX(K4834,F4835)</x:f>
        <x:v>1.3666</x:v>
      </x:c>
      <x:c r="L4835" s="74" t="n">
        <x:f>1-F4835/K4835</x:f>
        <x:v>0</x:v>
      </x:c>
      <x:c r="M4835" s="73" t="n">
        <x:f>MAX(M4834,F4835)</x:f>
        <x:v>1.3666</x:v>
      </x:c>
      <x:c r="N4835" s="74" t="n">
        <x:f>1-F4835/M4835</x:f>
        <x:v>0</x:v>
      </x:c>
    </x:row>
    <x:row r="4836" ht="27" customHeight="1">
      <x:c r="A4836" s="66" t="str">
        <x:v>SQN453</x:v>
      </x:c>
      <x:c r="B4836" s="66" t="str">
        <x:v>钧誉厚德量化对冲11号</x:v>
      </x:c>
      <x:c r="C4836" s="72" t="n">
        <x:v>45583</x:v>
      </x:c>
      <x:c r="D4836" s="73" t="n">
        <x:v>1.3675</x:v>
      </x:c>
      <x:c r="E4836" s="73" t="n">
        <x:v>1.3675</x:v>
      </x:c>
      <x:c r="F4836" s="73" t="n">
        <x:v>1.3675</x:v>
      </x:c>
      <x:c r="G4836" s="74" t="n">
        <x:v>0.0007000000000000001</x:v>
      </x:c>
      <x:c r="H4836" s="66" t="str">
        <x:v>钧誉厚德量化对冲11号净值20260911.xlsx</x:v>
      </x:c>
      <x:c r="I4836" s="73" t="str">
        <x:f>""</x:f>
      </x:c>
      <x:c r="J4836" s="74" t="str">
        <x:f>""</x:f>
      </x:c>
      <x:c r="K4836" s="73" t="n">
        <x:f>MAX(K4835,F4836)</x:f>
        <x:v>1.3675</x:v>
      </x:c>
      <x:c r="L4836" s="74" t="n">
        <x:f>1-F4836/K4836</x:f>
        <x:v>0</x:v>
      </x:c>
      <x:c r="M4836" s="73" t="n">
        <x:f>MAX(M4835,F4836)</x:f>
        <x:v>1.3675</x:v>
      </x:c>
      <x:c r="N4836" s="74" t="n">
        <x:f>1-F4836/M4836</x:f>
        <x:v>0</x:v>
      </x:c>
    </x:row>
    <x:row r="4837" ht="27" customHeight="1">
      <x:c r="A4837" s="66" t="str">
        <x:v>SQN453</x:v>
      </x:c>
      <x:c r="B4837" s="66" t="str">
        <x:v>钧誉厚德量化对冲11号</x:v>
      </x:c>
      <x:c r="C4837" s="72" t="n">
        <x:v>45586</x:v>
      </x:c>
      <x:c r="D4837" s="73" t="n">
        <x:v>1.3677</x:v>
      </x:c>
      <x:c r="E4837" s="73" t="n">
        <x:v>1.3677</x:v>
      </x:c>
      <x:c r="F4837" s="73" t="n">
        <x:v>1.3677</x:v>
      </x:c>
      <x:c r="G4837" s="74" t="n">
        <x:v>0.0001</x:v>
      </x:c>
      <x:c r="H4837" s="66" t="str">
        <x:v>钧誉厚德量化对冲11号净值20260911.xlsx</x:v>
      </x:c>
      <x:c r="I4837" s="73" t="str">
        <x:f>""</x:f>
      </x:c>
      <x:c r="J4837" s="74" t="str">
        <x:f>""</x:f>
      </x:c>
      <x:c r="K4837" s="73" t="n">
        <x:f>MAX(K4836,F4837)</x:f>
        <x:v>1.3677</x:v>
      </x:c>
      <x:c r="L4837" s="74" t="n">
        <x:f>1-F4837/K4837</x:f>
        <x:v>0</x:v>
      </x:c>
      <x:c r="M4837" s="73" t="n">
        <x:f>MAX(M4836,F4837)</x:f>
        <x:v>1.3677</x:v>
      </x:c>
      <x:c r="N4837" s="74" t="n">
        <x:f>1-F4837/M4837</x:f>
        <x:v>0</x:v>
      </x:c>
    </x:row>
    <x:row r="4838" ht="27" customHeight="1">
      <x:c r="A4838" s="66" t="str">
        <x:v>SQN453</x:v>
      </x:c>
      <x:c r="B4838" s="66" t="str">
        <x:v>钧誉厚德量化对冲11号</x:v>
      </x:c>
      <x:c r="C4838" s="72" t="n">
        <x:v>45587</x:v>
      </x:c>
      <x:c r="D4838" s="73" t="n">
        <x:v>1.368</x:v>
      </x:c>
      <x:c r="E4838" s="73" t="n">
        <x:v>1.368</x:v>
      </x:c>
      <x:c r="F4838" s="73" t="n">
        <x:v>1.368</x:v>
      </x:c>
      <x:c r="G4838" s="74" t="n">
        <x:v>0.0002</x:v>
      </x:c>
      <x:c r="H4838" s="66" t="str">
        <x:v>钧誉厚德量化对冲11号净值20260911.xlsx</x:v>
      </x:c>
      <x:c r="I4838" s="73" t="str">
        <x:f>""</x:f>
      </x:c>
      <x:c r="J4838" s="74" t="str">
        <x:f>""</x:f>
      </x:c>
      <x:c r="K4838" s="73" t="n">
        <x:f>MAX(K4837,F4838)</x:f>
        <x:v>1.368</x:v>
      </x:c>
      <x:c r="L4838" s="74" t="n">
        <x:f>1-F4838/K4838</x:f>
        <x:v>0</x:v>
      </x:c>
      <x:c r="M4838" s="73" t="n">
        <x:f>MAX(M4837,F4838)</x:f>
        <x:v>1.368</x:v>
      </x:c>
      <x:c r="N4838" s="74" t="n">
        <x:f>1-F4838/M4838</x:f>
        <x:v>0</x:v>
      </x:c>
    </x:row>
    <x:row r="4839" ht="27" customHeight="1">
      <x:c r="A4839" s="66" t="str">
        <x:v>SQN453</x:v>
      </x:c>
      <x:c r="B4839" s="66" t="str">
        <x:v>钧誉厚德量化对冲11号</x:v>
      </x:c>
      <x:c r="C4839" s="72" t="n">
        <x:v>45588</x:v>
      </x:c>
      <x:c r="D4839" s="73" t="n">
        <x:v>1.3672</x:v>
      </x:c>
      <x:c r="E4839" s="73" t="n">
        <x:v>1.3672</x:v>
      </x:c>
      <x:c r="F4839" s="73" t="n">
        <x:v>1.3672</x:v>
      </x:c>
      <x:c r="G4839" s="74" t="n">
        <x:v>-0.0006</x:v>
      </x:c>
      <x:c r="H4839" s="66" t="str">
        <x:v>钧誉厚德量化对冲11号净值20260911.xlsx</x:v>
      </x:c>
      <x:c r="I4839" s="73" t="str">
        <x:f>""</x:f>
      </x:c>
      <x:c r="J4839" s="74" t="str">
        <x:f>""</x:f>
      </x:c>
      <x:c r="K4839" s="73" t="n">
        <x:f>MAX(K4838,F4839)</x:f>
        <x:v>1.368</x:v>
      </x:c>
      <x:c r="L4839" s="74" t="n">
        <x:f>1-F4839/K4839</x:f>
        <x:v>0.0005847953216375767</x:v>
      </x:c>
      <x:c r="M4839" s="73" t="n">
        <x:f>MAX(M4838,F4839)</x:f>
        <x:v>1.368</x:v>
      </x:c>
      <x:c r="N4839" s="74" t="n">
        <x:f>1-F4839/M4839</x:f>
        <x:v>0.0005847953216375767</x:v>
      </x:c>
    </x:row>
    <x:row r="4840" ht="27" customHeight="1">
      <x:c r="A4840" s="66" t="str">
        <x:v>SQN453</x:v>
      </x:c>
      <x:c r="B4840" s="66" t="str">
        <x:v>钧誉厚德量化对冲11号</x:v>
      </x:c>
      <x:c r="C4840" s="72" t="n">
        <x:v>45589</x:v>
      </x:c>
      <x:c r="D4840" s="73" t="n">
        <x:v>1.3675</x:v>
      </x:c>
      <x:c r="E4840" s="73" t="n">
        <x:v>1.3675</x:v>
      </x:c>
      <x:c r="F4840" s="73" t="n">
        <x:v>1.3675</x:v>
      </x:c>
      <x:c r="G4840" s="74" t="n">
        <x:v>0.0002</x:v>
      </x:c>
      <x:c r="H4840" s="66" t="str">
        <x:v>钧誉厚德量化对冲11号净值20260911.xlsx</x:v>
      </x:c>
      <x:c r="I4840" s="73" t="str">
        <x:f>""</x:f>
      </x:c>
      <x:c r="J4840" s="74" t="str">
        <x:f>""</x:f>
      </x:c>
      <x:c r="K4840" s="73" t="n">
        <x:f>MAX(K4839,F4840)</x:f>
        <x:v>1.368</x:v>
      </x:c>
      <x:c r="L4840" s="74" t="n">
        <x:f>1-F4840/K4840</x:f>
        <x:v>0.0003654970760235132</x:v>
      </x:c>
      <x:c r="M4840" s="73" t="n">
        <x:f>MAX(M4839,F4840)</x:f>
        <x:v>1.368</x:v>
      </x:c>
      <x:c r="N4840" s="74" t="n">
        <x:f>1-F4840/M4840</x:f>
        <x:v>0.0003654970760235132</x:v>
      </x:c>
    </x:row>
    <x:row r="4841" ht="27" customHeight="1">
      <x:c r="A4841" s="66" t="str">
        <x:v>SQN453</x:v>
      </x:c>
      <x:c r="B4841" s="66" t="str">
        <x:v>钧誉厚德量化对冲11号</x:v>
      </x:c>
      <x:c r="C4841" s="72" t="n">
        <x:v>45590</x:v>
      </x:c>
      <x:c r="D4841" s="73" t="n">
        <x:v>1.3691</x:v>
      </x:c>
      <x:c r="E4841" s="73" t="n">
        <x:v>1.3691</x:v>
      </x:c>
      <x:c r="F4841" s="73" t="n">
        <x:v>1.3691</x:v>
      </x:c>
      <x:c r="G4841" s="74" t="n">
        <x:v>0.0012</x:v>
      </x:c>
      <x:c r="H4841" s="66" t="str">
        <x:v>钧誉厚德量化对冲11号净值20260911.xlsx</x:v>
      </x:c>
      <x:c r="I4841" s="73" t="str">
        <x:f>""</x:f>
      </x:c>
      <x:c r="J4841" s="74" t="str">
        <x:f>""</x:f>
      </x:c>
      <x:c r="K4841" s="73" t="n">
        <x:f>MAX(K4840,F4841)</x:f>
        <x:v>1.3691</x:v>
      </x:c>
      <x:c r="L4841" s="74" t="n">
        <x:f>1-F4841/K4841</x:f>
        <x:v>0</x:v>
      </x:c>
      <x:c r="M4841" s="73" t="n">
        <x:f>MAX(M4840,F4841)</x:f>
        <x:v>1.3691</x:v>
      </x:c>
      <x:c r="N4841" s="74" t="n">
        <x:f>1-F4841/M4841</x:f>
        <x:v>0</x:v>
      </x:c>
    </x:row>
    <x:row r="4842" ht="27" customHeight="1">
      <x:c r="A4842" s="66" t="str">
        <x:v>SQN453</x:v>
      </x:c>
      <x:c r="B4842" s="66" t="str">
        <x:v>钧誉厚德量化对冲11号</x:v>
      </x:c>
      <x:c r="C4842" s="72" t="n">
        <x:v>45593</x:v>
      </x:c>
      <x:c r="D4842" s="73" t="n">
        <x:v>1.3696</x:v>
      </x:c>
      <x:c r="E4842" s="73" t="n">
        <x:v>1.3696</x:v>
      </x:c>
      <x:c r="F4842" s="73" t="n">
        <x:v>1.3696</x:v>
      </x:c>
      <x:c r="G4842" s="74" t="n">
        <x:v>0.0004</x:v>
      </x:c>
      <x:c r="H4842" s="66" t="str">
        <x:v>钧誉厚德量化对冲11号净值20260911.xlsx</x:v>
      </x:c>
      <x:c r="I4842" s="73" t="str">
        <x:f>""</x:f>
      </x:c>
      <x:c r="J4842" s="74" t="str">
        <x:f>""</x:f>
      </x:c>
      <x:c r="K4842" s="73" t="n">
        <x:f>MAX(K4841,F4842)</x:f>
        <x:v>1.3696</x:v>
      </x:c>
      <x:c r="L4842" s="74" t="n">
        <x:f>1-F4842/K4842</x:f>
        <x:v>0</x:v>
      </x:c>
      <x:c r="M4842" s="73" t="n">
        <x:f>MAX(M4841,F4842)</x:f>
        <x:v>1.3696</x:v>
      </x:c>
      <x:c r="N4842" s="74" t="n">
        <x:f>1-F4842/M4842</x:f>
        <x:v>0</x:v>
      </x:c>
    </x:row>
    <x:row r="4843" ht="27" customHeight="1">
      <x:c r="A4843" s="66" t="str">
        <x:v>SQN453</x:v>
      </x:c>
      <x:c r="B4843" s="66" t="str">
        <x:v>钧誉厚德量化对冲11号</x:v>
      </x:c>
      <x:c r="C4843" s="72" t="n">
        <x:v>45594</x:v>
      </x:c>
      <x:c r="D4843" s="73" t="n">
        <x:v>1.3697</x:v>
      </x:c>
      <x:c r="E4843" s="73" t="n">
        <x:v>1.3697</x:v>
      </x:c>
      <x:c r="F4843" s="73" t="n">
        <x:v>1.3697</x:v>
      </x:c>
      <x:c r="G4843" s="74" t="n">
        <x:v>0.0001</x:v>
      </x:c>
      <x:c r="H4843" s="66" t="str">
        <x:v>钧誉厚德量化对冲11号净值20260911.xlsx</x:v>
      </x:c>
      <x:c r="I4843" s="73" t="str">
        <x:f>""</x:f>
      </x:c>
      <x:c r="J4843" s="74" t="str">
        <x:f>""</x:f>
      </x:c>
      <x:c r="K4843" s="73" t="n">
        <x:f>MAX(K4842,F4843)</x:f>
        <x:v>1.3697</x:v>
      </x:c>
      <x:c r="L4843" s="74" t="n">
        <x:f>1-F4843/K4843</x:f>
        <x:v>0</x:v>
      </x:c>
      <x:c r="M4843" s="73" t="n">
        <x:f>MAX(M4842,F4843)</x:f>
        <x:v>1.3697</x:v>
      </x:c>
      <x:c r="N4843" s="74" t="n">
        <x:f>1-F4843/M4843</x:f>
        <x:v>0</x:v>
      </x:c>
    </x:row>
    <x:row r="4844" ht="27" customHeight="1">
      <x:c r="A4844" s="66" t="str">
        <x:v>SQN453</x:v>
      </x:c>
      <x:c r="B4844" s="66" t="str">
        <x:v>钧誉厚德量化对冲11号</x:v>
      </x:c>
      <x:c r="C4844" s="72" t="n">
        <x:v>45595</x:v>
      </x:c>
      <x:c r="D4844" s="73" t="n">
        <x:v>1.37</x:v>
      </x:c>
      <x:c r="E4844" s="73" t="n">
        <x:v>1.37</x:v>
      </x:c>
      <x:c r="F4844" s="73" t="n">
        <x:v>1.37</x:v>
      </x:c>
      <x:c r="G4844" s="74" t="n">
        <x:v>0.0002</x:v>
      </x:c>
      <x:c r="H4844" s="66" t="str">
        <x:v>钧誉厚德量化对冲11号净值20260911.xlsx</x:v>
      </x:c>
      <x:c r="I4844" s="73" t="str">
        <x:f>""</x:f>
      </x:c>
      <x:c r="J4844" s="74" t="str">
        <x:f>""</x:f>
      </x:c>
      <x:c r="K4844" s="73" t="n">
        <x:f>MAX(K4843,F4844)</x:f>
        <x:v>1.37</x:v>
      </x:c>
      <x:c r="L4844" s="74" t="n">
        <x:f>1-F4844/K4844</x:f>
        <x:v>0</x:v>
      </x:c>
      <x:c r="M4844" s="73" t="n">
        <x:f>MAX(M4843,F4844)</x:f>
        <x:v>1.37</x:v>
      </x:c>
      <x:c r="N4844" s="74" t="n">
        <x:f>1-F4844/M4844</x:f>
        <x:v>0</x:v>
      </x:c>
    </x:row>
    <x:row r="4845" ht="27" customHeight="1">
      <x:c r="A4845" s="66" t="str">
        <x:v>SQN453</x:v>
      </x:c>
      <x:c r="B4845" s="66" t="str">
        <x:v>钧誉厚德量化对冲11号</x:v>
      </x:c>
      <x:c r="C4845" s="72" t="n">
        <x:v>45596</x:v>
      </x:c>
      <x:c r="D4845" s="73" t="n">
        <x:v>1.3703</x:v>
      </x:c>
      <x:c r="E4845" s="73" t="n">
        <x:v>1.3703</x:v>
      </x:c>
      <x:c r="F4845" s="73" t="n">
        <x:v>1.3703</x:v>
      </x:c>
      <x:c r="G4845" s="74" t="n">
        <x:v>0.0002</x:v>
      </x:c>
      <x:c r="H4845" s="66" t="str">
        <x:v>钧誉厚德量化对冲11号净值20260911.xlsx</x:v>
      </x:c>
      <x:c r="I4845" s="73" t="str">
        <x:f>""</x:f>
      </x:c>
      <x:c r="J4845" s="74" t="str">
        <x:f>""</x:f>
      </x:c>
      <x:c r="K4845" s="73" t="n">
        <x:f>MAX(K4844,F4845)</x:f>
        <x:v>1.3703</x:v>
      </x:c>
      <x:c r="L4845" s="74" t="n">
        <x:f>1-F4845/K4845</x:f>
        <x:v>0</x:v>
      </x:c>
      <x:c r="M4845" s="73" t="n">
        <x:f>MAX(M4844,F4845)</x:f>
        <x:v>1.3703</x:v>
      </x:c>
      <x:c r="N4845" s="74" t="n">
        <x:f>1-F4845/M4845</x:f>
        <x:v>0</x:v>
      </x:c>
    </x:row>
    <x:row r="4846" ht="27" customHeight="1">
      <x:c r="A4846" s="66" t="str">
        <x:v>SQN453</x:v>
      </x:c>
      <x:c r="B4846" s="66" t="str">
        <x:v>钧誉厚德量化对冲11号</x:v>
      </x:c>
      <x:c r="C4846" s="72" t="n">
        <x:v>45597</x:v>
      </x:c>
      <x:c r="D4846" s="73" t="n">
        <x:v>1.3702</x:v>
      </x:c>
      <x:c r="E4846" s="73" t="n">
        <x:v>1.3702</x:v>
      </x:c>
      <x:c r="F4846" s="73" t="n">
        <x:v>1.3702</x:v>
      </x:c>
      <x:c r="G4846" s="74" t="n">
        <x:v>-0.0001</x:v>
      </x:c>
      <x:c r="H4846" s="66" t="str">
        <x:v>钧誉厚德量化对冲11号净值20260911.xlsx</x:v>
      </x:c>
      <x:c r="I4846" s="73" t="str">
        <x:f>""</x:f>
      </x:c>
      <x:c r="J4846" s="74" t="str">
        <x:f>""</x:f>
      </x:c>
      <x:c r="K4846" s="73" t="n">
        <x:f>MAX(K4845,F4846)</x:f>
        <x:v>1.3703</x:v>
      </x:c>
      <x:c r="L4846" s="74" t="n">
        <x:f>1-F4846/K4846</x:f>
        <x:v>0.00007297672042616554</x:v>
      </x:c>
      <x:c r="M4846" s="73" t="n">
        <x:f>MAX(M4845,F4846)</x:f>
        <x:v>1.3703</x:v>
      </x:c>
      <x:c r="N4846" s="74" t="n">
        <x:f>1-F4846/M4846</x:f>
        <x:v>0.00007297672042616554</x:v>
      </x:c>
    </x:row>
    <x:row r="4847" ht="27" customHeight="1">
      <x:c r="A4847" s="66" t="str">
        <x:v>SQN453</x:v>
      </x:c>
      <x:c r="B4847" s="66" t="str">
        <x:v>钧誉厚德量化对冲11号</x:v>
      </x:c>
      <x:c r="C4847" s="72" t="n">
        <x:v>45600</x:v>
      </x:c>
      <x:c r="D4847" s="73" t="n">
        <x:v>1.3705</x:v>
      </x:c>
      <x:c r="E4847" s="73" t="n">
        <x:v>1.3705</x:v>
      </x:c>
      <x:c r="F4847" s="73" t="n">
        <x:v>1.3705</x:v>
      </x:c>
      <x:c r="G4847" s="74" t="n">
        <x:v>0.0002</x:v>
      </x:c>
      <x:c r="H4847" s="66" t="str">
        <x:v>钧誉厚德量化对冲11号净值20260911.xlsx</x:v>
      </x:c>
      <x:c r="I4847" s="73" t="str">
        <x:f>""</x:f>
      </x:c>
      <x:c r="J4847" s="74" t="str">
        <x:f>""</x:f>
      </x:c>
      <x:c r="K4847" s="73" t="n">
        <x:f>MAX(K4846,F4847)</x:f>
        <x:v>1.3705</x:v>
      </x:c>
      <x:c r="L4847" s="74" t="n">
        <x:f>1-F4847/K4847</x:f>
        <x:v>0</x:v>
      </x:c>
      <x:c r="M4847" s="73" t="n">
        <x:f>MAX(M4846,F4847)</x:f>
        <x:v>1.3705</x:v>
      </x:c>
      <x:c r="N4847" s="74" t="n">
        <x:f>1-F4847/M4847</x:f>
        <x:v>0</x:v>
      </x:c>
    </x:row>
    <x:row r="4848" ht="27" customHeight="1">
      <x:c r="A4848" s="66" t="str">
        <x:v>SQN453</x:v>
      </x:c>
      <x:c r="B4848" s="66" t="str">
        <x:v>钧誉厚德量化对冲11号</x:v>
      </x:c>
      <x:c r="C4848" s="72" t="n">
        <x:v>45601</x:v>
      </x:c>
      <x:c r="D4848" s="73" t="n">
        <x:v>1.3707</x:v>
      </x:c>
      <x:c r="E4848" s="73" t="n">
        <x:v>1.3707</x:v>
      </x:c>
      <x:c r="F4848" s="73" t="n">
        <x:v>1.3707</x:v>
      </x:c>
      <x:c r="G4848" s="74" t="n">
        <x:v>0.0001</x:v>
      </x:c>
      <x:c r="H4848" s="66" t="str">
        <x:v>钧誉厚德量化对冲11号净值20260911.xlsx</x:v>
      </x:c>
      <x:c r="I4848" s="73" t="str">
        <x:f>""</x:f>
      </x:c>
      <x:c r="J4848" s="74" t="str">
        <x:f>""</x:f>
      </x:c>
      <x:c r="K4848" s="73" t="n">
        <x:f>MAX(K4847,F4848)</x:f>
        <x:v>1.3707</x:v>
      </x:c>
      <x:c r="L4848" s="74" t="n">
        <x:f>1-F4848/K4848</x:f>
        <x:v>0</x:v>
      </x:c>
      <x:c r="M4848" s="73" t="n">
        <x:f>MAX(M4847,F4848)</x:f>
        <x:v>1.3707</x:v>
      </x:c>
      <x:c r="N4848" s="74" t="n">
        <x:f>1-F4848/M4848</x:f>
        <x:v>0</x:v>
      </x:c>
    </x:row>
    <x:row r="4849" ht="27" customHeight="1">
      <x:c r="A4849" s="66" t="str">
        <x:v>SQN453</x:v>
      </x:c>
      <x:c r="B4849" s="66" t="str">
        <x:v>钧誉厚德量化对冲11号</x:v>
      </x:c>
      <x:c r="C4849" s="72" t="n">
        <x:v>45602</x:v>
      </x:c>
      <x:c r="D4849" s="73" t="n">
        <x:v>1.3725</x:v>
      </x:c>
      <x:c r="E4849" s="73" t="n">
        <x:v>1.3725</x:v>
      </x:c>
      <x:c r="F4849" s="73" t="n">
        <x:v>1.3725</x:v>
      </x:c>
      <x:c r="G4849" s="74" t="n">
        <x:v>0.0013</x:v>
      </x:c>
      <x:c r="H4849" s="66" t="str">
        <x:v>钧誉厚德量化对冲11号净值20260911.xlsx</x:v>
      </x:c>
      <x:c r="I4849" s="73" t="str">
        <x:f>""</x:f>
      </x:c>
      <x:c r="J4849" s="74" t="str">
        <x:f>""</x:f>
      </x:c>
      <x:c r="K4849" s="73" t="n">
        <x:f>MAX(K4848,F4849)</x:f>
        <x:v>1.3725</x:v>
      </x:c>
      <x:c r="L4849" s="74" t="n">
        <x:f>1-F4849/K4849</x:f>
        <x:v>0</x:v>
      </x:c>
      <x:c r="M4849" s="73" t="n">
        <x:f>MAX(M4848,F4849)</x:f>
        <x:v>1.3725</x:v>
      </x:c>
      <x:c r="N4849" s="74" t="n">
        <x:f>1-F4849/M4849</x:f>
        <x:v>0</x:v>
      </x:c>
    </x:row>
    <x:row r="4850" ht="27" customHeight="1">
      <x:c r="A4850" s="66" t="str">
        <x:v>SQN453</x:v>
      </x:c>
      <x:c r="B4850" s="66" t="str">
        <x:v>钧誉厚德量化对冲11号</x:v>
      </x:c>
      <x:c r="C4850" s="72" t="n">
        <x:v>45603</x:v>
      </x:c>
      <x:c r="D4850" s="73" t="n">
        <x:v>1.3726</x:v>
      </x:c>
      <x:c r="E4850" s="73" t="n">
        <x:v>1.3726</x:v>
      </x:c>
      <x:c r="F4850" s="73" t="n">
        <x:v>1.3726</x:v>
      </x:c>
      <x:c r="G4850" s="74" t="n">
        <x:v>0.0001</x:v>
      </x:c>
      <x:c r="H4850" s="66" t="str">
        <x:v>钧誉厚德量化对冲11号净值20260911.xlsx</x:v>
      </x:c>
      <x:c r="I4850" s="73" t="str">
        <x:f>""</x:f>
      </x:c>
      <x:c r="J4850" s="74" t="str">
        <x:f>""</x:f>
      </x:c>
      <x:c r="K4850" s="73" t="n">
        <x:f>MAX(K4849,F4850)</x:f>
        <x:v>1.3726</x:v>
      </x:c>
      <x:c r="L4850" s="74" t="n">
        <x:f>1-F4850/K4850</x:f>
        <x:v>0</x:v>
      </x:c>
      <x:c r="M4850" s="73" t="n">
        <x:f>MAX(M4849,F4850)</x:f>
        <x:v>1.3726</x:v>
      </x:c>
      <x:c r="N4850" s="74" t="n">
        <x:f>1-F4850/M4850</x:f>
        <x:v>0</x:v>
      </x:c>
    </x:row>
    <x:row r="4851" ht="27" customHeight="1">
      <x:c r="A4851" s="66" t="str">
        <x:v>SQN453</x:v>
      </x:c>
      <x:c r="B4851" s="66" t="str">
        <x:v>钧誉厚德量化对冲11号</x:v>
      </x:c>
      <x:c r="C4851" s="72" t="n">
        <x:v>45604</x:v>
      </x:c>
      <x:c r="D4851" s="73" t="n">
        <x:v>1.3737</x:v>
      </x:c>
      <x:c r="E4851" s="73" t="n">
        <x:v>1.3737</x:v>
      </x:c>
      <x:c r="F4851" s="73" t="n">
        <x:v>1.3737</x:v>
      </x:c>
      <x:c r="G4851" s="74" t="n">
        <x:v>0.0008</x:v>
      </x:c>
      <x:c r="H4851" s="66" t="str">
        <x:v>钧誉厚德量化对冲11号净值20260911.xlsx</x:v>
      </x:c>
      <x:c r="I4851" s="73" t="str">
        <x:f>""</x:f>
      </x:c>
      <x:c r="J4851" s="74" t="str">
        <x:f>""</x:f>
      </x:c>
      <x:c r="K4851" s="73" t="n">
        <x:f>MAX(K4850,F4851)</x:f>
        <x:v>1.3737</x:v>
      </x:c>
      <x:c r="L4851" s="74" t="n">
        <x:f>1-F4851/K4851</x:f>
        <x:v>0</x:v>
      </x:c>
      <x:c r="M4851" s="73" t="n">
        <x:f>MAX(M4850,F4851)</x:f>
        <x:v>1.3737</x:v>
      </x:c>
      <x:c r="N4851" s="74" t="n">
        <x:f>1-F4851/M4851</x:f>
        <x:v>0</x:v>
      </x:c>
    </x:row>
    <x:row r="4852" ht="27" customHeight="1">
      <x:c r="A4852" s="66" t="str">
        <x:v>SQN453</x:v>
      </x:c>
      <x:c r="B4852" s="66" t="str">
        <x:v>钧誉厚德量化对冲11号</x:v>
      </x:c>
      <x:c r="C4852" s="72" t="n">
        <x:v>45607</x:v>
      </x:c>
      <x:c r="D4852" s="73" t="n">
        <x:v>1.3745</x:v>
      </x:c>
      <x:c r="E4852" s="73" t="n">
        <x:v>1.3745</x:v>
      </x:c>
      <x:c r="F4852" s="73" t="n">
        <x:v>1.3745</x:v>
      </x:c>
      <x:c r="G4852" s="74" t="n">
        <x:v>0.0006</x:v>
      </x:c>
      <x:c r="H4852" s="66" t="str">
        <x:v>钧誉厚德量化对冲11号净值20260911.xlsx</x:v>
      </x:c>
      <x:c r="I4852" s="73" t="str">
        <x:f>""</x:f>
      </x:c>
      <x:c r="J4852" s="74" t="str">
        <x:f>""</x:f>
      </x:c>
      <x:c r="K4852" s="73" t="n">
        <x:f>MAX(K4851,F4852)</x:f>
        <x:v>1.3745</x:v>
      </x:c>
      <x:c r="L4852" s="74" t="n">
        <x:f>1-F4852/K4852</x:f>
        <x:v>0</x:v>
      </x:c>
      <x:c r="M4852" s="73" t="n">
        <x:f>MAX(M4851,F4852)</x:f>
        <x:v>1.3745</x:v>
      </x:c>
      <x:c r="N4852" s="74" t="n">
        <x:f>1-F4852/M4852</x:f>
        <x:v>0</x:v>
      </x:c>
    </x:row>
    <x:row r="4853" ht="27" customHeight="1">
      <x:c r="A4853" s="66" t="str">
        <x:v>SQN453</x:v>
      </x:c>
      <x:c r="B4853" s="66" t="str">
        <x:v>钧誉厚德量化对冲11号</x:v>
      </x:c>
      <x:c r="C4853" s="72" t="n">
        <x:v>45608</x:v>
      </x:c>
      <x:c r="D4853" s="73" t="n">
        <x:v>1.3749</x:v>
      </x:c>
      <x:c r="E4853" s="73" t="n">
        <x:v>1.3749</x:v>
      </x:c>
      <x:c r="F4853" s="73" t="n">
        <x:v>1.3749</x:v>
      </x:c>
      <x:c r="G4853" s="74" t="n">
        <x:v>0.0003</x:v>
      </x:c>
      <x:c r="H4853" s="66" t="str">
        <x:v>钧誉厚德量化对冲11号净值20260911.xlsx</x:v>
      </x:c>
      <x:c r="I4853" s="73" t="str">
        <x:f>""</x:f>
      </x:c>
      <x:c r="J4853" s="74" t="str">
        <x:f>""</x:f>
      </x:c>
      <x:c r="K4853" s="73" t="n">
        <x:f>MAX(K4852,F4853)</x:f>
        <x:v>1.3749</x:v>
      </x:c>
      <x:c r="L4853" s="74" t="n">
        <x:f>1-F4853/K4853</x:f>
        <x:v>0</x:v>
      </x:c>
      <x:c r="M4853" s="73" t="n">
        <x:f>MAX(M4852,F4853)</x:f>
        <x:v>1.3749</x:v>
      </x:c>
      <x:c r="N4853" s="74" t="n">
        <x:f>1-F4853/M4853</x:f>
        <x:v>0</x:v>
      </x:c>
    </x:row>
    <x:row r="4854" ht="27" customHeight="1">
      <x:c r="A4854" s="66" t="str">
        <x:v>SQN453</x:v>
      </x:c>
      <x:c r="B4854" s="66" t="str">
        <x:v>钧誉厚德量化对冲11号</x:v>
      </x:c>
      <x:c r="C4854" s="72" t="n">
        <x:v>45609</x:v>
      </x:c>
      <x:c r="D4854" s="73" t="n">
        <x:v>1.3753</x:v>
      </x:c>
      <x:c r="E4854" s="73" t="n">
        <x:v>1.3753</x:v>
      </x:c>
      <x:c r="F4854" s="73" t="n">
        <x:v>1.3753</x:v>
      </x:c>
      <x:c r="G4854" s="74" t="n">
        <x:v>0.0003</x:v>
      </x:c>
      <x:c r="H4854" s="66" t="str">
        <x:v>钧誉厚德量化对冲11号净值20260911.xlsx</x:v>
      </x:c>
      <x:c r="I4854" s="73" t="str">
        <x:f>""</x:f>
      </x:c>
      <x:c r="J4854" s="74" t="str">
        <x:f>""</x:f>
      </x:c>
      <x:c r="K4854" s="73" t="n">
        <x:f>MAX(K4853,F4854)</x:f>
        <x:v>1.3753</x:v>
      </x:c>
      <x:c r="L4854" s="74" t="n">
        <x:f>1-F4854/K4854</x:f>
        <x:v>0</x:v>
      </x:c>
      <x:c r="M4854" s="73" t="n">
        <x:f>MAX(M4853,F4854)</x:f>
        <x:v>1.3753</x:v>
      </x:c>
      <x:c r="N4854" s="74" t="n">
        <x:f>1-F4854/M4854</x:f>
        <x:v>0</x:v>
      </x:c>
    </x:row>
    <x:row r="4855" ht="27" customHeight="1">
      <x:c r="A4855" s="66" t="str">
        <x:v>SQN453</x:v>
      </x:c>
      <x:c r="B4855" s="66" t="str">
        <x:v>钧誉厚德量化对冲11号</x:v>
      </x:c>
      <x:c r="C4855" s="72" t="n">
        <x:v>45610</x:v>
      </x:c>
      <x:c r="D4855" s="73" t="n">
        <x:v>1.3762</x:v>
      </x:c>
      <x:c r="E4855" s="73" t="n">
        <x:v>1.3762</x:v>
      </x:c>
      <x:c r="F4855" s="73" t="n">
        <x:v>1.3762</x:v>
      </x:c>
      <x:c r="G4855" s="74" t="n">
        <x:v>0.0007000000000000001</x:v>
      </x:c>
      <x:c r="H4855" s="66" t="str">
        <x:v>钧誉厚德量化对冲11号净值20260911.xlsx</x:v>
      </x:c>
      <x:c r="I4855" s="73" t="str">
        <x:f>""</x:f>
      </x:c>
      <x:c r="J4855" s="74" t="str">
        <x:f>""</x:f>
      </x:c>
      <x:c r="K4855" s="73" t="n">
        <x:f>MAX(K4854,F4855)</x:f>
        <x:v>1.3762</x:v>
      </x:c>
      <x:c r="L4855" s="74" t="n">
        <x:f>1-F4855/K4855</x:f>
        <x:v>0</x:v>
      </x:c>
      <x:c r="M4855" s="73" t="n">
        <x:f>MAX(M4854,F4855)</x:f>
        <x:v>1.3762</x:v>
      </x:c>
      <x:c r="N4855" s="74" t="n">
        <x:f>1-F4855/M4855</x:f>
        <x:v>0</x:v>
      </x:c>
    </x:row>
    <x:row r="4856" ht="27" customHeight="1">
      <x:c r="A4856" s="66" t="str">
        <x:v>SQN453</x:v>
      </x:c>
      <x:c r="B4856" s="66" t="str">
        <x:v>钧誉厚德量化对冲11号</x:v>
      </x:c>
      <x:c r="C4856" s="72" t="n">
        <x:v>45611</x:v>
      </x:c>
      <x:c r="D4856" s="73" t="n">
        <x:v>1.3763</x:v>
      </x:c>
      <x:c r="E4856" s="73" t="n">
        <x:v>1.3763</x:v>
      </x:c>
      <x:c r="F4856" s="73" t="n">
        <x:v>1.3763</x:v>
      </x:c>
      <x:c r="G4856" s="74" t="n">
        <x:v>0.0001</x:v>
      </x:c>
      <x:c r="H4856" s="66" t="str">
        <x:v>钧誉厚德量化对冲11号净值20260911.xlsx</x:v>
      </x:c>
      <x:c r="I4856" s="73" t="str">
        <x:f>""</x:f>
      </x:c>
      <x:c r="J4856" s="74" t="str">
        <x:f>""</x:f>
      </x:c>
      <x:c r="K4856" s="73" t="n">
        <x:f>MAX(K4855,F4856)</x:f>
        <x:v>1.3763</x:v>
      </x:c>
      <x:c r="L4856" s="74" t="n">
        <x:f>1-F4856/K4856</x:f>
        <x:v>0</x:v>
      </x:c>
      <x:c r="M4856" s="73" t="n">
        <x:f>MAX(M4855,F4856)</x:f>
        <x:v>1.3763</x:v>
      </x:c>
      <x:c r="N4856" s="74" t="n">
        <x:f>1-F4856/M4856</x:f>
        <x:v>0</x:v>
      </x:c>
    </x:row>
    <x:row r="4857" ht="27" customHeight="1">
      <x:c r="A4857" s="66" t="str">
        <x:v>SQN453</x:v>
      </x:c>
      <x:c r="B4857" s="66" t="str">
        <x:v>钧誉厚德量化对冲11号</x:v>
      </x:c>
      <x:c r="C4857" s="72" t="n">
        <x:v>45614</x:v>
      </x:c>
      <x:c r="D4857" s="73" t="n">
        <x:v>1.3765</x:v>
      </x:c>
      <x:c r="E4857" s="73" t="n">
        <x:v>1.3765</x:v>
      </x:c>
      <x:c r="F4857" s="73" t="n">
        <x:v>1.3765</x:v>
      </x:c>
      <x:c r="G4857" s="74" t="n">
        <x:v>0.0001</x:v>
      </x:c>
      <x:c r="H4857" s="66" t="str">
        <x:v>钧誉厚德量化对冲11号净值20260911.xlsx</x:v>
      </x:c>
      <x:c r="I4857" s="73" t="str">
        <x:f>""</x:f>
      </x:c>
      <x:c r="J4857" s="74" t="str">
        <x:f>""</x:f>
      </x:c>
      <x:c r="K4857" s="73" t="n">
        <x:f>MAX(K4856,F4857)</x:f>
        <x:v>1.3765</x:v>
      </x:c>
      <x:c r="L4857" s="74" t="n">
        <x:f>1-F4857/K4857</x:f>
        <x:v>0</x:v>
      </x:c>
      <x:c r="M4857" s="73" t="n">
        <x:f>MAX(M4856,F4857)</x:f>
        <x:v>1.3765</x:v>
      </x:c>
      <x:c r="N4857" s="74" t="n">
        <x:f>1-F4857/M4857</x:f>
        <x:v>0</x:v>
      </x:c>
    </x:row>
    <x:row r="4858" ht="27" customHeight="1">
      <x:c r="A4858" s="66" t="str">
        <x:v>SQN453</x:v>
      </x:c>
      <x:c r="B4858" s="66" t="str">
        <x:v>钧誉厚德量化对冲11号</x:v>
      </x:c>
      <x:c r="C4858" s="72" t="n">
        <x:v>45615</x:v>
      </x:c>
      <x:c r="D4858" s="73" t="n">
        <x:v>1.3771</x:v>
      </x:c>
      <x:c r="E4858" s="73" t="n">
        <x:v>1.3771</x:v>
      </x:c>
      <x:c r="F4858" s="73" t="n">
        <x:v>1.3771</x:v>
      </x:c>
      <x:c r="G4858" s="74" t="n">
        <x:v>0.0004</x:v>
      </x:c>
      <x:c r="H4858" s="66" t="str">
        <x:v>钧誉厚德量化对冲11号净值20260911.xlsx</x:v>
      </x:c>
      <x:c r="I4858" s="73" t="str">
        <x:f>""</x:f>
      </x:c>
      <x:c r="J4858" s="74" t="str">
        <x:f>""</x:f>
      </x:c>
      <x:c r="K4858" s="73" t="n">
        <x:f>MAX(K4857,F4858)</x:f>
        <x:v>1.3771</x:v>
      </x:c>
      <x:c r="L4858" s="74" t="n">
        <x:f>1-F4858/K4858</x:f>
        <x:v>0</x:v>
      </x:c>
      <x:c r="M4858" s="73" t="n">
        <x:f>MAX(M4857,F4858)</x:f>
        <x:v>1.3771</x:v>
      </x:c>
      <x:c r="N4858" s="74" t="n">
        <x:f>1-F4858/M4858</x:f>
        <x:v>0</x:v>
      </x:c>
    </x:row>
    <x:row r="4859" ht="27" customHeight="1">
      <x:c r="A4859" s="66" t="str">
        <x:v>SQN453</x:v>
      </x:c>
      <x:c r="B4859" s="66" t="str">
        <x:v>钧誉厚德量化对冲11号</x:v>
      </x:c>
      <x:c r="C4859" s="72" t="n">
        <x:v>45616</x:v>
      </x:c>
      <x:c r="D4859" s="73" t="n">
        <x:v>1.3774</x:v>
      </x:c>
      <x:c r="E4859" s="73" t="n">
        <x:v>1.3774</x:v>
      </x:c>
      <x:c r="F4859" s="73" t="n">
        <x:v>1.3774</x:v>
      </x:c>
      <x:c r="G4859" s="74" t="n">
        <x:v>0.0002</x:v>
      </x:c>
      <x:c r="H4859" s="66" t="str">
        <x:v>钧誉厚德量化对冲11号净值20260911.xlsx</x:v>
      </x:c>
      <x:c r="I4859" s="73" t="str">
        <x:f>""</x:f>
      </x:c>
      <x:c r="J4859" s="74" t="str">
        <x:f>""</x:f>
      </x:c>
      <x:c r="K4859" s="73" t="n">
        <x:f>MAX(K4858,F4859)</x:f>
        <x:v>1.3774</x:v>
      </x:c>
      <x:c r="L4859" s="74" t="n">
        <x:f>1-F4859/K4859</x:f>
        <x:v>0</x:v>
      </x:c>
      <x:c r="M4859" s="73" t="n">
        <x:f>MAX(M4858,F4859)</x:f>
        <x:v>1.3774</x:v>
      </x:c>
      <x:c r="N4859" s="74" t="n">
        <x:f>1-F4859/M4859</x:f>
        <x:v>0</x:v>
      </x:c>
    </x:row>
    <x:row r="4860" ht="27" customHeight="1">
      <x:c r="A4860" s="66" t="str">
        <x:v>SQN453</x:v>
      </x:c>
      <x:c r="B4860" s="66" t="str">
        <x:v>钧誉厚德量化对冲11号</x:v>
      </x:c>
      <x:c r="C4860" s="72" t="n">
        <x:v>45617</x:v>
      </x:c>
      <x:c r="D4860" s="73" t="n">
        <x:v>1.3778</x:v>
      </x:c>
      <x:c r="E4860" s="73" t="n">
        <x:v>1.3778</x:v>
      </x:c>
      <x:c r="F4860" s="73" t="n">
        <x:v>1.3778</x:v>
      </x:c>
      <x:c r="G4860" s="74" t="n">
        <x:v>0.0003</x:v>
      </x:c>
      <x:c r="H4860" s="66" t="str">
        <x:v>钧誉厚德量化对冲11号净值20260911.xlsx</x:v>
      </x:c>
      <x:c r="I4860" s="73" t="str">
        <x:f>""</x:f>
      </x:c>
      <x:c r="J4860" s="74" t="str">
        <x:f>""</x:f>
      </x:c>
      <x:c r="K4860" s="73" t="n">
        <x:f>MAX(K4859,F4860)</x:f>
        <x:v>1.3778</x:v>
      </x:c>
      <x:c r="L4860" s="74" t="n">
        <x:f>1-F4860/K4860</x:f>
        <x:v>0</x:v>
      </x:c>
      <x:c r="M4860" s="73" t="n">
        <x:f>MAX(M4859,F4860)</x:f>
        <x:v>1.3778</x:v>
      </x:c>
      <x:c r="N4860" s="74" t="n">
        <x:f>1-F4860/M4860</x:f>
        <x:v>0</x:v>
      </x:c>
    </x:row>
    <x:row r="4861" ht="27" customHeight="1">
      <x:c r="A4861" s="66" t="str">
        <x:v>SQN453</x:v>
      </x:c>
      <x:c r="B4861" s="66" t="str">
        <x:v>钧誉厚德量化对冲11号</x:v>
      </x:c>
      <x:c r="C4861" s="72" t="n">
        <x:v>45618</x:v>
      </x:c>
      <x:c r="D4861" s="73" t="n">
        <x:v>1.3781</x:v>
      </x:c>
      <x:c r="E4861" s="73" t="n">
        <x:v>1.3781</x:v>
      </x:c>
      <x:c r="F4861" s="73" t="n">
        <x:v>1.3781</x:v>
      </x:c>
      <x:c r="G4861" s="74" t="n">
        <x:v>0.0002</x:v>
      </x:c>
      <x:c r="H4861" s="66" t="str">
        <x:v>钧誉厚德量化对冲11号净值20260911.xlsx</x:v>
      </x:c>
      <x:c r="I4861" s="73" t="str">
        <x:f>""</x:f>
      </x:c>
      <x:c r="J4861" s="74" t="str">
        <x:f>""</x:f>
      </x:c>
      <x:c r="K4861" s="73" t="n">
        <x:f>MAX(K4860,F4861)</x:f>
        <x:v>1.3781</x:v>
      </x:c>
      <x:c r="L4861" s="74" t="n">
        <x:f>1-F4861/K4861</x:f>
        <x:v>0</x:v>
      </x:c>
      <x:c r="M4861" s="73" t="n">
        <x:f>MAX(M4860,F4861)</x:f>
        <x:v>1.3781</x:v>
      </x:c>
      <x:c r="N4861" s="74" t="n">
        <x:f>1-F4861/M4861</x:f>
        <x:v>0</x:v>
      </x:c>
    </x:row>
    <x:row r="4862" ht="27" customHeight="1">
      <x:c r="A4862" s="66" t="str">
        <x:v>SQN453</x:v>
      </x:c>
      <x:c r="B4862" s="66" t="str">
        <x:v>钧誉厚德量化对冲11号</x:v>
      </x:c>
      <x:c r="C4862" s="72" t="n">
        <x:v>45621</x:v>
      </x:c>
      <x:c r="D4862" s="73" t="n">
        <x:v>1.3771</x:v>
      </x:c>
      <x:c r="E4862" s="73" t="n">
        <x:v>1.3771</x:v>
      </x:c>
      <x:c r="F4862" s="73" t="n">
        <x:v>1.3771</x:v>
      </x:c>
      <x:c r="G4862" s="74" t="n">
        <x:v>-0.0007000000000000001</x:v>
      </x:c>
      <x:c r="H4862" s="66" t="str">
        <x:v>钧誉厚德量化对冲11号净值20260911.xlsx</x:v>
      </x:c>
      <x:c r="I4862" s="73" t="str">
        <x:f>""</x:f>
      </x:c>
      <x:c r="J4862" s="74" t="str">
        <x:f>""</x:f>
      </x:c>
      <x:c r="K4862" s="73" t="n">
        <x:f>MAX(K4861,F4862)</x:f>
        <x:v>1.3781</x:v>
      </x:c>
      <x:c r="L4862" s="74" t="n">
        <x:f>1-F4862/K4862</x:f>
        <x:v>0.0007256367462449287</x:v>
      </x:c>
      <x:c r="M4862" s="73" t="n">
        <x:f>MAX(M4861,F4862)</x:f>
        <x:v>1.3781</x:v>
      </x:c>
      <x:c r="N4862" s="74" t="n">
        <x:f>1-F4862/M4862</x:f>
        <x:v>0.0007256367462449287</x:v>
      </x:c>
    </x:row>
    <x:row r="4863" ht="27" customHeight="1">
      <x:c r="A4863" s="66" t="str">
        <x:v>SQN453</x:v>
      </x:c>
      <x:c r="B4863" s="66" t="str">
        <x:v>钧誉厚德量化对冲11号</x:v>
      </x:c>
      <x:c r="C4863" s="72" t="n">
        <x:v>45622</x:v>
      </x:c>
      <x:c r="D4863" s="73" t="n">
        <x:v>1.3773</x:v>
      </x:c>
      <x:c r="E4863" s="73" t="n">
        <x:v>1.3773</x:v>
      </x:c>
      <x:c r="F4863" s="73" t="n">
        <x:v>1.3773</x:v>
      </x:c>
      <x:c r="G4863" s="74" t="n">
        <x:v>0.0001</x:v>
      </x:c>
      <x:c r="H4863" s="66" t="str">
        <x:v>钧誉厚德量化对冲11号净值20260911.xlsx</x:v>
      </x:c>
      <x:c r="I4863" s="73" t="str">
        <x:f>""</x:f>
      </x:c>
      <x:c r="J4863" s="74" t="str">
        <x:f>""</x:f>
      </x:c>
      <x:c r="K4863" s="73" t="n">
        <x:f>MAX(K4862,F4863)</x:f>
        <x:v>1.3781</x:v>
      </x:c>
      <x:c r="L4863" s="74" t="n">
        <x:f>1-F4863/K4863</x:f>
        <x:v>0.000580509396995943</x:v>
      </x:c>
      <x:c r="M4863" s="73" t="n">
        <x:f>MAX(M4862,F4863)</x:f>
        <x:v>1.3781</x:v>
      </x:c>
      <x:c r="N4863" s="74" t="n">
        <x:f>1-F4863/M4863</x:f>
        <x:v>0.000580509396995943</x:v>
      </x:c>
    </x:row>
    <x:row r="4864" ht="27" customHeight="1">
      <x:c r="A4864" s="66" t="str">
        <x:v>SQN453</x:v>
      </x:c>
      <x:c r="B4864" s="66" t="str">
        <x:v>钧誉厚德量化对冲11号</x:v>
      </x:c>
      <x:c r="C4864" s="72" t="n">
        <x:v>45623</x:v>
      </x:c>
      <x:c r="D4864" s="73" t="n">
        <x:v>1.377</x:v>
      </x:c>
      <x:c r="E4864" s="73" t="n">
        <x:v>1.377</x:v>
      </x:c>
      <x:c r="F4864" s="73" t="n">
        <x:v>1.377</x:v>
      </x:c>
      <x:c r="G4864" s="74" t="n">
        <x:v>-0.0002</x:v>
      </x:c>
      <x:c r="H4864" s="66" t="str">
        <x:v>钧誉厚德量化对冲11号净值20260911.xlsx</x:v>
      </x:c>
      <x:c r="I4864" s="73" t="str">
        <x:f>""</x:f>
      </x:c>
      <x:c r="J4864" s="74" t="str">
        <x:f>""</x:f>
      </x:c>
      <x:c r="K4864" s="73" t="n">
        <x:f>MAX(K4863,F4864)</x:f>
        <x:v>1.3781</x:v>
      </x:c>
      <x:c r="L4864" s="74" t="n">
        <x:f>1-F4864/K4864</x:f>
        <x:v>0.0007982004208694216</x:v>
      </x:c>
      <x:c r="M4864" s="73" t="n">
        <x:f>MAX(M4863,F4864)</x:f>
        <x:v>1.3781</x:v>
      </x:c>
      <x:c r="N4864" s="74" t="n">
        <x:f>1-F4864/M4864</x:f>
        <x:v>0.0007982004208694216</x:v>
      </x:c>
    </x:row>
    <x:row r="4865" ht="27" customHeight="1">
      <x:c r="A4865" s="66" t="str">
        <x:v>SQN453</x:v>
      </x:c>
      <x:c r="B4865" s="66" t="str">
        <x:v>钧誉厚德量化对冲11号</x:v>
      </x:c>
      <x:c r="C4865" s="72" t="n">
        <x:v>45624</x:v>
      </x:c>
      <x:c r="D4865" s="73" t="n">
        <x:v>1.3773</x:v>
      </x:c>
      <x:c r="E4865" s="73" t="n">
        <x:v>1.3773</x:v>
      </x:c>
      <x:c r="F4865" s="73" t="n">
        <x:v>1.3773</x:v>
      </x:c>
      <x:c r="G4865" s="74" t="n">
        <x:v>0.0002</x:v>
      </x:c>
      <x:c r="H4865" s="66" t="str">
        <x:v>钧誉厚德量化对冲11号净值20260911.xlsx</x:v>
      </x:c>
      <x:c r="I4865" s="73" t="str">
        <x:f>""</x:f>
      </x:c>
      <x:c r="J4865" s="74" t="str">
        <x:f>""</x:f>
      </x:c>
      <x:c r="K4865" s="73" t="n">
        <x:f>MAX(K4864,F4865)</x:f>
        <x:v>1.3781</x:v>
      </x:c>
      <x:c r="L4865" s="74" t="n">
        <x:f>1-F4865/K4865</x:f>
        <x:v>0.000580509396995943</x:v>
      </x:c>
      <x:c r="M4865" s="73" t="n">
        <x:f>MAX(M4864,F4865)</x:f>
        <x:v>1.3781</x:v>
      </x:c>
      <x:c r="N4865" s="74" t="n">
        <x:f>1-F4865/M4865</x:f>
        <x:v>0.000580509396995943</x:v>
      </x:c>
    </x:row>
    <x:row r="4866" ht="27" customHeight="1">
      <x:c r="A4866" s="66" t="str">
        <x:v>SQN453</x:v>
      </x:c>
      <x:c r="B4866" s="66" t="str">
        <x:v>钧誉厚德量化对冲11号</x:v>
      </x:c>
      <x:c r="C4866" s="72" t="n">
        <x:v>45625</x:v>
      </x:c>
      <x:c r="D4866" s="73" t="n">
        <x:v>1.3773</x:v>
      </x:c>
      <x:c r="E4866" s="73" t="n">
        <x:v>1.3773</x:v>
      </x:c>
      <x:c r="F4866" s="73" t="n">
        <x:v>1.3773</x:v>
      </x:c>
      <x:c r="G4866" s="74" t="n">
        <x:v>0</x:v>
      </x:c>
      <x:c r="H4866" s="66" t="str">
        <x:v>钧誉厚德量化对冲11号净值20260911.xlsx</x:v>
      </x:c>
      <x:c r="I4866" s="73" t="str">
        <x:f>""</x:f>
      </x:c>
      <x:c r="J4866" s="74" t="str">
        <x:f>""</x:f>
      </x:c>
      <x:c r="K4866" s="73" t="n">
        <x:f>MAX(K4865,F4866)</x:f>
        <x:v>1.3781</x:v>
      </x:c>
      <x:c r="L4866" s="74" t="n">
        <x:f>1-F4866/K4866</x:f>
        <x:v>0.000580509396995943</x:v>
      </x:c>
      <x:c r="M4866" s="73" t="n">
        <x:f>MAX(M4865,F4866)</x:f>
        <x:v>1.3781</x:v>
      </x:c>
      <x:c r="N4866" s="74" t="n">
        <x:f>1-F4866/M4866</x:f>
        <x:v>0.000580509396995943</x:v>
      </x:c>
    </x:row>
    <x:row r="4867" ht="27" customHeight="1">
      <x:c r="A4867" s="66" t="str">
        <x:v>SQN453</x:v>
      </x:c>
      <x:c r="B4867" s="66" t="str">
        <x:v>钧誉厚德量化对冲11号</x:v>
      </x:c>
      <x:c r="C4867" s="72" t="n">
        <x:v>45628</x:v>
      </x:c>
      <x:c r="D4867" s="73" t="n">
        <x:v>1.3784</x:v>
      </x:c>
      <x:c r="E4867" s="73" t="n">
        <x:v>1.3784</x:v>
      </x:c>
      <x:c r="F4867" s="73" t="n">
        <x:v>1.3784</x:v>
      </x:c>
      <x:c r="G4867" s="74" t="n">
        <x:v>0.0008</x:v>
      </x:c>
      <x:c r="H4867" s="66" t="str">
        <x:v>钧誉厚德量化对冲11号净值20260911.xlsx</x:v>
      </x:c>
      <x:c r="I4867" s="73" t="str">
        <x:f>""</x:f>
      </x:c>
      <x:c r="J4867" s="74" t="str">
        <x:f>""</x:f>
      </x:c>
      <x:c r="K4867" s="73" t="n">
        <x:f>MAX(K4866,F4867)</x:f>
        <x:v>1.3784</x:v>
      </x:c>
      <x:c r="L4867" s="74" t="n">
        <x:f>1-F4867/K4867</x:f>
        <x:v>0</x:v>
      </x:c>
      <x:c r="M4867" s="73" t="n">
        <x:f>MAX(M4866,F4867)</x:f>
        <x:v>1.3784</x:v>
      </x:c>
      <x:c r="N4867" s="74" t="n">
        <x:f>1-F4867/M4867</x:f>
        <x:v>0</x:v>
      </x:c>
    </x:row>
    <x:row r="4868" ht="27" customHeight="1">
      <x:c r="A4868" s="66" t="str">
        <x:v>SQN453</x:v>
      </x:c>
      <x:c r="B4868" s="66" t="str">
        <x:v>钧誉厚德量化对冲11号</x:v>
      </x:c>
      <x:c r="C4868" s="72" t="n">
        <x:v>45629</x:v>
      </x:c>
      <x:c r="D4868" s="73" t="n">
        <x:v>1.3785</x:v>
      </x:c>
      <x:c r="E4868" s="73" t="n">
        <x:v>1.3785</x:v>
      </x:c>
      <x:c r="F4868" s="73" t="n">
        <x:v>1.3785</x:v>
      </x:c>
      <x:c r="G4868" s="74" t="n">
        <x:v>0.0001</x:v>
      </x:c>
      <x:c r="H4868" s="66" t="str">
        <x:v>钧誉厚德量化对冲11号净值20260911.xlsx</x:v>
      </x:c>
      <x:c r="I4868" s="73" t="str">
        <x:f>""</x:f>
      </x:c>
      <x:c r="J4868" s="74" t="str">
        <x:f>""</x:f>
      </x:c>
      <x:c r="K4868" s="73" t="n">
        <x:f>MAX(K4867,F4868)</x:f>
        <x:v>1.3785</x:v>
      </x:c>
      <x:c r="L4868" s="74" t="n">
        <x:f>1-F4868/K4868</x:f>
        <x:v>0</x:v>
      </x:c>
      <x:c r="M4868" s="73" t="n">
        <x:f>MAX(M4867,F4868)</x:f>
        <x:v>1.3785</x:v>
      </x:c>
      <x:c r="N4868" s="74" t="n">
        <x:f>1-F4868/M4868</x:f>
        <x:v>0</x:v>
      </x:c>
    </x:row>
    <x:row r="4869" ht="27" customHeight="1">
      <x:c r="A4869" s="66" t="str">
        <x:v>SQN453</x:v>
      </x:c>
      <x:c r="B4869" s="66" t="str">
        <x:v>钧誉厚德量化对冲11号</x:v>
      </x:c>
      <x:c r="C4869" s="72" t="n">
        <x:v>45630</x:v>
      </x:c>
      <x:c r="D4869" s="73" t="n">
        <x:v>1.3786</x:v>
      </x:c>
      <x:c r="E4869" s="73" t="n">
        <x:v>1.3786</x:v>
      </x:c>
      <x:c r="F4869" s="73" t="n">
        <x:v>1.3786</x:v>
      </x:c>
      <x:c r="G4869" s="74" t="n">
        <x:v>0.0001</x:v>
      </x:c>
      <x:c r="H4869" s="66" t="str">
        <x:v>钧誉厚德量化对冲11号净值20260911.xlsx</x:v>
      </x:c>
      <x:c r="I4869" s="73" t="str">
        <x:f>""</x:f>
      </x:c>
      <x:c r="J4869" s="74" t="str">
        <x:f>""</x:f>
      </x:c>
      <x:c r="K4869" s="73" t="n">
        <x:f>MAX(K4868,F4869)</x:f>
        <x:v>1.3786</x:v>
      </x:c>
      <x:c r="L4869" s="74" t="n">
        <x:f>1-F4869/K4869</x:f>
        <x:v>0</x:v>
      </x:c>
      <x:c r="M4869" s="73" t="n">
        <x:f>MAX(M4868,F4869)</x:f>
        <x:v>1.3786</x:v>
      </x:c>
      <x:c r="N4869" s="74" t="n">
        <x:f>1-F4869/M4869</x:f>
        <x:v>0</x:v>
      </x:c>
    </x:row>
    <x:row r="4870" ht="27" customHeight="1">
      <x:c r="A4870" s="66" t="str">
        <x:v>SQN453</x:v>
      </x:c>
      <x:c r="B4870" s="66" t="str">
        <x:v>钧誉厚德量化对冲11号</x:v>
      </x:c>
      <x:c r="C4870" s="72" t="n">
        <x:v>45631</x:v>
      </x:c>
      <x:c r="D4870" s="73" t="n">
        <x:v>1.379</x:v>
      </x:c>
      <x:c r="E4870" s="73" t="n">
        <x:v>1.379</x:v>
      </x:c>
      <x:c r="F4870" s="73" t="n">
        <x:v>1.379</x:v>
      </x:c>
      <x:c r="G4870" s="74" t="n">
        <x:v>0.0003</x:v>
      </x:c>
      <x:c r="H4870" s="66" t="str">
        <x:v>钧誉厚德量化对冲11号净值20260911.xlsx</x:v>
      </x:c>
      <x:c r="I4870" s="73" t="str">
        <x:f>""</x:f>
      </x:c>
      <x:c r="J4870" s="74" t="str">
        <x:f>""</x:f>
      </x:c>
      <x:c r="K4870" s="73" t="n">
        <x:f>MAX(K4869,F4870)</x:f>
        <x:v>1.379</x:v>
      </x:c>
      <x:c r="L4870" s="74" t="n">
        <x:f>1-F4870/K4870</x:f>
        <x:v>0</x:v>
      </x:c>
      <x:c r="M4870" s="73" t="n">
        <x:f>MAX(M4869,F4870)</x:f>
        <x:v>1.379</x:v>
      </x:c>
      <x:c r="N4870" s="74" t="n">
        <x:f>1-F4870/M4870</x:f>
        <x:v>0</x:v>
      </x:c>
    </x:row>
    <x:row r="4871" ht="27" customHeight="1">
      <x:c r="A4871" s="66" t="str">
        <x:v>SQN453</x:v>
      </x:c>
      <x:c r="B4871" s="66" t="str">
        <x:v>钧誉厚德量化对冲11号</x:v>
      </x:c>
      <x:c r="C4871" s="72" t="n">
        <x:v>45632</x:v>
      </x:c>
      <x:c r="D4871" s="73" t="n">
        <x:v>1.3808</x:v>
      </x:c>
      <x:c r="E4871" s="73" t="n">
        <x:v>1.3808</x:v>
      </x:c>
      <x:c r="F4871" s="73" t="n">
        <x:v>1.3808</x:v>
      </x:c>
      <x:c r="G4871" s="74" t="n">
        <x:v>0.0013</x:v>
      </x:c>
      <x:c r="H4871" s="66" t="str">
        <x:v>钧誉厚德量化对冲11号净值20260911.xlsx</x:v>
      </x:c>
      <x:c r="I4871" s="73" t="str">
        <x:f>""</x:f>
      </x:c>
      <x:c r="J4871" s="74" t="str">
        <x:f>""</x:f>
      </x:c>
      <x:c r="K4871" s="73" t="n">
        <x:f>MAX(K4870,F4871)</x:f>
        <x:v>1.3808</x:v>
      </x:c>
      <x:c r="L4871" s="74" t="n">
        <x:f>1-F4871/K4871</x:f>
        <x:v>0</x:v>
      </x:c>
      <x:c r="M4871" s="73" t="n">
        <x:f>MAX(M4870,F4871)</x:f>
        <x:v>1.3808</x:v>
      </x:c>
      <x:c r="N4871" s="74" t="n">
        <x:f>1-F4871/M4871</x:f>
        <x:v>0</x:v>
      </x:c>
    </x:row>
    <x:row r="4872" ht="27" customHeight="1">
      <x:c r="A4872" s="66" t="str">
        <x:v>SQN453</x:v>
      </x:c>
      <x:c r="B4872" s="66" t="str">
        <x:v>钧誉厚德量化对冲11号</x:v>
      </x:c>
      <x:c r="C4872" s="72" t="n">
        <x:v>45635</x:v>
      </x:c>
      <x:c r="D4872" s="73" t="n">
        <x:v>1.3813</x:v>
      </x:c>
      <x:c r="E4872" s="73" t="n">
        <x:v>1.3813</x:v>
      </x:c>
      <x:c r="F4872" s="73" t="n">
        <x:v>1.3813</x:v>
      </x:c>
      <x:c r="G4872" s="74" t="n">
        <x:v>0.0004</x:v>
      </x:c>
      <x:c r="H4872" s="66" t="str">
        <x:v>钧誉厚德量化对冲11号净值20260911.xlsx</x:v>
      </x:c>
      <x:c r="I4872" s="73" t="str">
        <x:f>""</x:f>
      </x:c>
      <x:c r="J4872" s="74" t="str">
        <x:f>""</x:f>
      </x:c>
      <x:c r="K4872" s="73" t="n">
        <x:f>MAX(K4871,F4872)</x:f>
        <x:v>1.3813</x:v>
      </x:c>
      <x:c r="L4872" s="74" t="n">
        <x:f>1-F4872/K4872</x:f>
        <x:v>0</x:v>
      </x:c>
      <x:c r="M4872" s="73" t="n">
        <x:f>MAX(M4871,F4872)</x:f>
        <x:v>1.3813</x:v>
      </x:c>
      <x:c r="N4872" s="74" t="n">
        <x:f>1-F4872/M4872</x:f>
        <x:v>0</x:v>
      </x:c>
    </x:row>
    <x:row r="4873" ht="27" customHeight="1">
      <x:c r="A4873" s="66" t="str">
        <x:v>SQN453</x:v>
      </x:c>
      <x:c r="B4873" s="66" t="str">
        <x:v>钧誉厚德量化对冲11号</x:v>
      </x:c>
      <x:c r="C4873" s="72" t="n">
        <x:v>45636</x:v>
      </x:c>
      <x:c r="D4873" s="73" t="n">
        <x:v>1.3816</x:v>
      </x:c>
      <x:c r="E4873" s="73" t="n">
        <x:v>1.3816</x:v>
      </x:c>
      <x:c r="F4873" s="73" t="n">
        <x:v>1.3816</x:v>
      </x:c>
      <x:c r="G4873" s="74" t="n">
        <x:v>0.0002</x:v>
      </x:c>
      <x:c r="H4873" s="66" t="str">
        <x:v>钧誉厚德量化对冲11号净值20260911.xlsx</x:v>
      </x:c>
      <x:c r="I4873" s="73" t="str">
        <x:f>""</x:f>
      </x:c>
      <x:c r="J4873" s="74" t="str">
        <x:f>""</x:f>
      </x:c>
      <x:c r="K4873" s="73" t="n">
        <x:f>MAX(K4872,F4873)</x:f>
        <x:v>1.3816</x:v>
      </x:c>
      <x:c r="L4873" s="74" t="n">
        <x:f>1-F4873/K4873</x:f>
        <x:v>0</x:v>
      </x:c>
      <x:c r="M4873" s="73" t="n">
        <x:f>MAX(M4872,F4873)</x:f>
        <x:v>1.3816</x:v>
      </x:c>
      <x:c r="N4873" s="74" t="n">
        <x:f>1-F4873/M4873</x:f>
        <x:v>0</x:v>
      </x:c>
    </x:row>
    <x:row r="4874" ht="27" customHeight="1">
      <x:c r="A4874" s="66" t="str">
        <x:v>SQN453</x:v>
      </x:c>
      <x:c r="B4874" s="66" t="str">
        <x:v>钧誉厚德量化对冲11号</x:v>
      </x:c>
      <x:c r="C4874" s="72" t="n">
        <x:v>45637</x:v>
      </x:c>
      <x:c r="D4874" s="73" t="n">
        <x:v>1.3819</x:v>
      </x:c>
      <x:c r="E4874" s="73" t="n">
        <x:v>1.3819</x:v>
      </x:c>
      <x:c r="F4874" s="73" t="n">
        <x:v>1.3819</x:v>
      </x:c>
      <x:c r="G4874" s="74" t="n">
        <x:v>0.0002</x:v>
      </x:c>
      <x:c r="H4874" s="66" t="str">
        <x:v>钧誉厚德量化对冲11号净值20260911.xlsx</x:v>
      </x:c>
      <x:c r="I4874" s="73" t="str">
        <x:f>""</x:f>
      </x:c>
      <x:c r="J4874" s="74" t="str">
        <x:f>""</x:f>
      </x:c>
      <x:c r="K4874" s="73" t="n">
        <x:f>MAX(K4873,F4874)</x:f>
        <x:v>1.3819</x:v>
      </x:c>
      <x:c r="L4874" s="74" t="n">
        <x:f>1-F4874/K4874</x:f>
        <x:v>0</x:v>
      </x:c>
      <x:c r="M4874" s="73" t="n">
        <x:f>MAX(M4873,F4874)</x:f>
        <x:v>1.3819</x:v>
      </x:c>
      <x:c r="N4874" s="74" t="n">
        <x:f>1-F4874/M4874</x:f>
        <x:v>0</x:v>
      </x:c>
    </x:row>
    <x:row r="4875" ht="27" customHeight="1">
      <x:c r="A4875" s="66" t="str">
        <x:v>SQN453</x:v>
      </x:c>
      <x:c r="B4875" s="66" t="str">
        <x:v>钧誉厚德量化对冲11号</x:v>
      </x:c>
      <x:c r="C4875" s="72" t="n">
        <x:v>45638</x:v>
      </x:c>
      <x:c r="D4875" s="73" t="n">
        <x:v>1.3821</x:v>
      </x:c>
      <x:c r="E4875" s="73" t="n">
        <x:v>1.3821</x:v>
      </x:c>
      <x:c r="F4875" s="73" t="n">
        <x:v>1.3821</x:v>
      </x:c>
      <x:c r="G4875" s="74" t="n">
        <x:v>0.0001</x:v>
      </x:c>
      <x:c r="H4875" s="66" t="str">
        <x:v>钧誉厚德量化对冲11号净值20260911.xlsx</x:v>
      </x:c>
      <x:c r="I4875" s="73" t="str">
        <x:f>""</x:f>
      </x:c>
      <x:c r="J4875" s="74" t="str">
        <x:f>""</x:f>
      </x:c>
      <x:c r="K4875" s="73" t="n">
        <x:f>MAX(K4874,F4875)</x:f>
        <x:v>1.3821</x:v>
      </x:c>
      <x:c r="L4875" s="74" t="n">
        <x:f>1-F4875/K4875</x:f>
        <x:v>0</x:v>
      </x:c>
      <x:c r="M4875" s="73" t="n">
        <x:f>MAX(M4874,F4875)</x:f>
        <x:v>1.3821</x:v>
      </x:c>
      <x:c r="N4875" s="74" t="n">
        <x:f>1-F4875/M4875</x:f>
        <x:v>0</x:v>
      </x:c>
    </x:row>
    <x:row r="4876" ht="27" customHeight="1">
      <x:c r="A4876" s="66" t="str">
        <x:v>SQN453</x:v>
      </x:c>
      <x:c r="B4876" s="66" t="str">
        <x:v>钧誉厚德量化对冲11号</x:v>
      </x:c>
      <x:c r="C4876" s="72" t="n">
        <x:v>45639</x:v>
      </x:c>
      <x:c r="D4876" s="73" t="n">
        <x:v>1.3824</x:v>
      </x:c>
      <x:c r="E4876" s="73" t="n">
        <x:v>1.3824</x:v>
      </x:c>
      <x:c r="F4876" s="73" t="n">
        <x:v>1.3824</x:v>
      </x:c>
      <x:c r="G4876" s="74" t="n">
        <x:v>0.0002</x:v>
      </x:c>
      <x:c r="H4876" s="66" t="str">
        <x:v>钧誉厚德量化对冲11号净值20260911.xlsx</x:v>
      </x:c>
      <x:c r="I4876" s="73" t="str">
        <x:f>""</x:f>
      </x:c>
      <x:c r="J4876" s="74" t="str">
        <x:f>""</x:f>
      </x:c>
      <x:c r="K4876" s="73" t="n">
        <x:f>MAX(K4875,F4876)</x:f>
        <x:v>1.3824</x:v>
      </x:c>
      <x:c r="L4876" s="74" t="n">
        <x:f>1-F4876/K4876</x:f>
        <x:v>0</x:v>
      </x:c>
      <x:c r="M4876" s="73" t="n">
        <x:f>MAX(M4875,F4876)</x:f>
        <x:v>1.3824</x:v>
      </x:c>
      <x:c r="N4876" s="74" t="n">
        <x:f>1-F4876/M4876</x:f>
        <x:v>0</x:v>
      </x:c>
    </x:row>
    <x:row r="4877" ht="27" customHeight="1">
      <x:c r="A4877" s="66" t="str">
        <x:v>SQN453</x:v>
      </x:c>
      <x:c r="B4877" s="66" t="str">
        <x:v>钧誉厚德量化对冲11号</x:v>
      </x:c>
      <x:c r="C4877" s="72" t="n">
        <x:v>45642</x:v>
      </x:c>
      <x:c r="D4877" s="73" t="n">
        <x:v>1.3827</x:v>
      </x:c>
      <x:c r="E4877" s="73" t="n">
        <x:v>1.3827</x:v>
      </x:c>
      <x:c r="F4877" s="73" t="n">
        <x:v>1.3827</x:v>
      </x:c>
      <x:c r="G4877" s="74" t="n">
        <x:v>0.0002</x:v>
      </x:c>
      <x:c r="H4877" s="66" t="str">
        <x:v>钧誉厚德量化对冲11号净值20260911.xlsx</x:v>
      </x:c>
      <x:c r="I4877" s="73" t="str">
        <x:f>""</x:f>
      </x:c>
      <x:c r="J4877" s="74" t="str">
        <x:f>""</x:f>
      </x:c>
      <x:c r="K4877" s="73" t="n">
        <x:f>MAX(K4876,F4877)</x:f>
        <x:v>1.3827</x:v>
      </x:c>
      <x:c r="L4877" s="74" t="n">
        <x:f>1-F4877/K4877</x:f>
        <x:v>0</x:v>
      </x:c>
      <x:c r="M4877" s="73" t="n">
        <x:f>MAX(M4876,F4877)</x:f>
        <x:v>1.3827</x:v>
      </x:c>
      <x:c r="N4877" s="74" t="n">
        <x:f>1-F4877/M4877</x:f>
        <x:v>0</x:v>
      </x:c>
    </x:row>
    <x:row r="4878" ht="27" customHeight="1">
      <x:c r="A4878" s="66" t="str">
        <x:v>SQN453</x:v>
      </x:c>
      <x:c r="B4878" s="66" t="str">
        <x:v>钧誉厚德量化对冲11号</x:v>
      </x:c>
      <x:c r="C4878" s="72" t="n">
        <x:v>45643</x:v>
      </x:c>
      <x:c r="D4878" s="73" t="n">
        <x:v>1.3827</x:v>
      </x:c>
      <x:c r="E4878" s="73" t="n">
        <x:v>1.3827</x:v>
      </x:c>
      <x:c r="F4878" s="73" t="n">
        <x:v>1.3827</x:v>
      </x:c>
      <x:c r="G4878" s="74" t="n">
        <x:v>0</x:v>
      </x:c>
      <x:c r="H4878" s="66" t="str">
        <x:v>钧誉厚德量化对冲11号净值20260911.xlsx</x:v>
      </x:c>
      <x:c r="I4878" s="73" t="str">
        <x:f>""</x:f>
      </x:c>
      <x:c r="J4878" s="74" t="str">
        <x:f>""</x:f>
      </x:c>
      <x:c r="K4878" s="73" t="n">
        <x:f>MAX(K4877,F4878)</x:f>
        <x:v>1.3827</x:v>
      </x:c>
      <x:c r="L4878" s="74" t="n">
        <x:f>1-F4878/K4878</x:f>
        <x:v>0</x:v>
      </x:c>
      <x:c r="M4878" s="73" t="n">
        <x:f>MAX(M4877,F4878)</x:f>
        <x:v>1.3827</x:v>
      </x:c>
      <x:c r="N4878" s="74" t="n">
        <x:f>1-F4878/M4878</x:f>
        <x:v>0</x:v>
      </x:c>
    </x:row>
    <x:row r="4879" ht="27" customHeight="1">
      <x:c r="A4879" s="66" t="str">
        <x:v>SQN453</x:v>
      </x:c>
      <x:c r="B4879" s="66" t="str">
        <x:v>钧誉厚德量化对冲11号</x:v>
      </x:c>
      <x:c r="C4879" s="72" t="n">
        <x:v>45644</x:v>
      </x:c>
      <x:c r="D4879" s="73" t="n">
        <x:v>1.3834</x:v>
      </x:c>
      <x:c r="E4879" s="73" t="n">
        <x:v>1.3834</x:v>
      </x:c>
      <x:c r="F4879" s="73" t="n">
        <x:v>1.3834</x:v>
      </x:c>
      <x:c r="G4879" s="74" t="n">
        <x:v>0.0005</x:v>
      </x:c>
      <x:c r="H4879" s="66" t="str">
        <x:v>钧誉厚德量化对冲11号净值20260911.xlsx</x:v>
      </x:c>
      <x:c r="I4879" s="73" t="str">
        <x:f>""</x:f>
      </x:c>
      <x:c r="J4879" s="74" t="str">
        <x:f>""</x:f>
      </x:c>
      <x:c r="K4879" s="73" t="n">
        <x:f>MAX(K4878,F4879)</x:f>
        <x:v>1.3834</x:v>
      </x:c>
      <x:c r="L4879" s="74" t="n">
        <x:f>1-F4879/K4879</x:f>
        <x:v>0</x:v>
      </x:c>
      <x:c r="M4879" s="73" t="n">
        <x:f>MAX(M4878,F4879)</x:f>
        <x:v>1.3834</x:v>
      </x:c>
      <x:c r="N4879" s="74" t="n">
        <x:f>1-F4879/M4879</x:f>
        <x:v>0</x:v>
      </x:c>
    </x:row>
    <x:row r="4880" ht="27" customHeight="1">
      <x:c r="A4880" s="66" t="str">
        <x:v>SQN453</x:v>
      </x:c>
      <x:c r="B4880" s="66" t="str">
        <x:v>钧誉厚德量化对冲11号</x:v>
      </x:c>
      <x:c r="C4880" s="72" t="n">
        <x:v>45645</x:v>
      </x:c>
      <x:c r="D4880" s="73" t="n">
        <x:v>1.3837</x:v>
      </x:c>
      <x:c r="E4880" s="73" t="n">
        <x:v>1.3837</x:v>
      </x:c>
      <x:c r="F4880" s="73" t="n">
        <x:v>1.3837</x:v>
      </x:c>
      <x:c r="G4880" s="74" t="n">
        <x:v>0.0002</x:v>
      </x:c>
      <x:c r="H4880" s="66" t="str">
        <x:v>钧誉厚德量化对冲11号净值20260911.xlsx</x:v>
      </x:c>
      <x:c r="I4880" s="73" t="str">
        <x:f>""</x:f>
      </x:c>
      <x:c r="J4880" s="74" t="str">
        <x:f>""</x:f>
      </x:c>
      <x:c r="K4880" s="73" t="n">
        <x:f>MAX(K4879,F4880)</x:f>
        <x:v>1.3837</x:v>
      </x:c>
      <x:c r="L4880" s="74" t="n">
        <x:f>1-F4880/K4880</x:f>
        <x:v>0</x:v>
      </x:c>
      <x:c r="M4880" s="73" t="n">
        <x:f>MAX(M4879,F4880)</x:f>
        <x:v>1.3837</x:v>
      </x:c>
      <x:c r="N4880" s="74" t="n">
        <x:f>1-F4880/M4880</x:f>
        <x:v>0</x:v>
      </x:c>
    </x:row>
    <x:row r="4881" ht="27" customHeight="1">
      <x:c r="A4881" s="66" t="str">
        <x:v>SQN453</x:v>
      </x:c>
      <x:c r="B4881" s="66" t="str">
        <x:v>钧誉厚德量化对冲11号</x:v>
      </x:c>
      <x:c r="C4881" s="72" t="n">
        <x:v>45646</x:v>
      </x:c>
      <x:c r="D4881" s="73" t="n">
        <x:v>1.3836</x:v>
      </x:c>
      <x:c r="E4881" s="73" t="n">
        <x:v>1.3836</x:v>
      </x:c>
      <x:c r="F4881" s="73" t="n">
        <x:v>1.3836</x:v>
      </x:c>
      <x:c r="G4881" s="74" t="n">
        <x:v>-0.0001</x:v>
      </x:c>
      <x:c r="H4881" s="66" t="str">
        <x:v>钧誉厚德量化对冲11号净值20260911.xlsx</x:v>
      </x:c>
      <x:c r="I4881" s="73" t="str">
        <x:f>""</x:f>
      </x:c>
      <x:c r="J4881" s="74" t="str">
        <x:f>""</x:f>
      </x:c>
      <x:c r="K4881" s="73" t="n">
        <x:f>MAX(K4880,F4881)</x:f>
        <x:v>1.3837</x:v>
      </x:c>
      <x:c r="L4881" s="74" t="n">
        <x:f>1-F4881/K4881</x:f>
        <x:v>0.00007227000072274059</x:v>
      </x:c>
      <x:c r="M4881" s="73" t="n">
        <x:f>MAX(M4880,F4881)</x:f>
        <x:v>1.3837</x:v>
      </x:c>
      <x:c r="N4881" s="74" t="n">
        <x:f>1-F4881/M4881</x:f>
        <x:v>0.00007227000072274059</x:v>
      </x:c>
    </x:row>
    <x:row r="4882" ht="27" customHeight="1">
      <x:c r="A4882" s="66" t="str">
        <x:v>SQN453</x:v>
      </x:c>
      <x:c r="B4882" s="66" t="str">
        <x:v>钧誉厚德量化对冲11号</x:v>
      </x:c>
      <x:c r="C4882" s="72" t="n">
        <x:v>45649</x:v>
      </x:c>
      <x:c r="D4882" s="73" t="n">
        <x:v>1.3836</x:v>
      </x:c>
      <x:c r="E4882" s="73" t="n">
        <x:v>1.3836</x:v>
      </x:c>
      <x:c r="F4882" s="73" t="n">
        <x:v>1.3836</x:v>
      </x:c>
      <x:c r="G4882" s="74" t="n">
        <x:v>0</x:v>
      </x:c>
      <x:c r="H4882" s="66" t="str">
        <x:v>钧誉厚德量化对冲11号净值20260911.xlsx</x:v>
      </x:c>
      <x:c r="I4882" s="73" t="str">
        <x:f>""</x:f>
      </x:c>
      <x:c r="J4882" s="74" t="str">
        <x:f>""</x:f>
      </x:c>
      <x:c r="K4882" s="73" t="n">
        <x:f>MAX(K4881,F4882)</x:f>
        <x:v>1.3837</x:v>
      </x:c>
      <x:c r="L4882" s="74" t="n">
        <x:f>1-F4882/K4882</x:f>
        <x:v>0.00007227000072274059</x:v>
      </x:c>
      <x:c r="M4882" s="73" t="n">
        <x:f>MAX(M4881,F4882)</x:f>
        <x:v>1.3837</x:v>
      </x:c>
      <x:c r="N4882" s="74" t="n">
        <x:f>1-F4882/M4882</x:f>
        <x:v>0.00007227000072274059</x:v>
      </x:c>
    </x:row>
    <x:row r="4883" ht="27" customHeight="1">
      <x:c r="A4883" s="66" t="str">
        <x:v>SQN453</x:v>
      </x:c>
      <x:c r="B4883" s="66" t="str">
        <x:v>钧誉厚德量化对冲11号</x:v>
      </x:c>
      <x:c r="C4883" s="72" t="n">
        <x:v>45650</x:v>
      </x:c>
      <x:c r="D4883" s="73" t="n">
        <x:v>1.3836</x:v>
      </x:c>
      <x:c r="E4883" s="73" t="n">
        <x:v>1.3836</x:v>
      </x:c>
      <x:c r="F4883" s="73" t="n">
        <x:v>1.3836</x:v>
      </x:c>
      <x:c r="G4883" s="74" t="n">
        <x:v>0</x:v>
      </x:c>
      <x:c r="H4883" s="66" t="str">
        <x:v>钧誉厚德量化对冲11号净值20260911.xlsx</x:v>
      </x:c>
      <x:c r="I4883" s="73" t="str">
        <x:f>""</x:f>
      </x:c>
      <x:c r="J4883" s="74" t="str">
        <x:f>""</x:f>
      </x:c>
      <x:c r="K4883" s="73" t="n">
        <x:f>MAX(K4882,F4883)</x:f>
        <x:v>1.3837</x:v>
      </x:c>
      <x:c r="L4883" s="74" t="n">
        <x:f>1-F4883/K4883</x:f>
        <x:v>0.00007227000072274059</x:v>
      </x:c>
      <x:c r="M4883" s="73" t="n">
        <x:f>MAX(M4882,F4883)</x:f>
        <x:v>1.3837</x:v>
      </x:c>
      <x:c r="N4883" s="74" t="n">
        <x:f>1-F4883/M4883</x:f>
        <x:v>0.00007227000072274059</x:v>
      </x:c>
    </x:row>
    <x:row r="4884" ht="27" customHeight="1">
      <x:c r="A4884" s="66" t="str">
        <x:v>SQN453</x:v>
      </x:c>
      <x:c r="B4884" s="66" t="str">
        <x:v>钧誉厚德量化对冲11号</x:v>
      </x:c>
      <x:c r="C4884" s="72" t="n">
        <x:v>45651</x:v>
      </x:c>
      <x:c r="D4884" s="73" t="n">
        <x:v>1.3834</x:v>
      </x:c>
      <x:c r="E4884" s="73" t="n">
        <x:v>1.3834</x:v>
      </x:c>
      <x:c r="F4884" s="73" t="n">
        <x:v>1.3834</x:v>
      </x:c>
      <x:c r="G4884" s="74" t="n">
        <x:v>-0.0001</x:v>
      </x:c>
      <x:c r="H4884" s="66" t="str">
        <x:v>钧誉厚德量化对冲11号净值20260911.xlsx</x:v>
      </x:c>
      <x:c r="I4884" s="73" t="str">
        <x:f>""</x:f>
      </x:c>
      <x:c r="J4884" s="74" t="str">
        <x:f>""</x:f>
      </x:c>
      <x:c r="K4884" s="73" t="n">
        <x:f>MAX(K4883,F4884)</x:f>
        <x:v>1.3837</x:v>
      </x:c>
      <x:c r="L4884" s="74" t="n">
        <x:f>1-F4884/K4884</x:f>
        <x:v>0.00021681000216811075</x:v>
      </x:c>
      <x:c r="M4884" s="73" t="n">
        <x:f>MAX(M4883,F4884)</x:f>
        <x:v>1.3837</x:v>
      </x:c>
      <x:c r="N4884" s="74" t="n">
        <x:f>1-F4884/M4884</x:f>
        <x:v>0.00021681000216811075</x:v>
      </x:c>
    </x:row>
    <x:row r="4885" ht="27" customHeight="1">
      <x:c r="A4885" s="66" t="str">
        <x:v>SQN453</x:v>
      </x:c>
      <x:c r="B4885" s="66" t="str">
        <x:v>钧誉厚德量化对冲11号</x:v>
      </x:c>
      <x:c r="C4885" s="72" t="n">
        <x:v>45652</x:v>
      </x:c>
      <x:c r="D4885" s="73" t="n">
        <x:v>1.3835</x:v>
      </x:c>
      <x:c r="E4885" s="73" t="n">
        <x:v>1.3835</x:v>
      </x:c>
      <x:c r="F4885" s="73" t="n">
        <x:v>1.3835</x:v>
      </x:c>
      <x:c r="G4885" s="74" t="n">
        <x:v>0.0001</x:v>
      </x:c>
      <x:c r="H4885" s="66" t="str">
        <x:v>钧誉厚德量化对冲11号净值20260911.xlsx</x:v>
      </x:c>
      <x:c r="I4885" s="73" t="str">
        <x:f>""</x:f>
      </x:c>
      <x:c r="J4885" s="74" t="str">
        <x:f>""</x:f>
      </x:c>
      <x:c r="K4885" s="73" t="n">
        <x:f>MAX(K4884,F4885)</x:f>
        <x:v>1.3837</x:v>
      </x:c>
      <x:c r="L4885" s="74" t="n">
        <x:f>1-F4885/K4885</x:f>
        <x:v>0.00014454000144537016</x:v>
      </x:c>
      <x:c r="M4885" s="73" t="n">
        <x:f>MAX(M4884,F4885)</x:f>
        <x:v>1.3837</x:v>
      </x:c>
      <x:c r="N4885" s="74" t="n">
        <x:f>1-F4885/M4885</x:f>
        <x:v>0.00014454000144537016</x:v>
      </x:c>
    </x:row>
    <x:row r="4886" ht="27" customHeight="1">
      <x:c r="A4886" s="66" t="str">
        <x:v>SQN453</x:v>
      </x:c>
      <x:c r="B4886" s="66" t="str">
        <x:v>钧誉厚德量化对冲11号</x:v>
      </x:c>
      <x:c r="C4886" s="72" t="n">
        <x:v>45653</x:v>
      </x:c>
      <x:c r="D4886" s="73" t="n">
        <x:v>1.3834</x:v>
      </x:c>
      <x:c r="E4886" s="73" t="n">
        <x:v>1.3834</x:v>
      </x:c>
      <x:c r="F4886" s="73" t="n">
        <x:v>1.3834</x:v>
      </x:c>
      <x:c r="G4886" s="74" t="n">
        <x:v>-0.0001</x:v>
      </x:c>
      <x:c r="H4886" s="66" t="str">
        <x:v>钧誉厚德量化对冲11号净值20260911.xlsx</x:v>
      </x:c>
      <x:c r="I4886" s="73" t="str">
        <x:f>""</x:f>
      </x:c>
      <x:c r="J4886" s="74" t="str">
        <x:f>""</x:f>
      </x:c>
      <x:c r="K4886" s="73" t="n">
        <x:f>MAX(K4885,F4886)</x:f>
        <x:v>1.3837</x:v>
      </x:c>
      <x:c r="L4886" s="74" t="n">
        <x:f>1-F4886/K4886</x:f>
        <x:v>0.00021681000216811075</x:v>
      </x:c>
      <x:c r="M4886" s="73" t="n">
        <x:f>MAX(M4885,F4886)</x:f>
        <x:v>1.3837</x:v>
      </x:c>
      <x:c r="N4886" s="74" t="n">
        <x:f>1-F4886/M4886</x:f>
        <x:v>0.00021681000216811075</x:v>
      </x:c>
    </x:row>
    <x:row r="4887" ht="27" customHeight="1">
      <x:c r="A4887" s="66" t="str">
        <x:v>SQN453</x:v>
      </x:c>
      <x:c r="B4887" s="66" t="str">
        <x:v>钧誉厚德量化对冲11号</x:v>
      </x:c>
      <x:c r="C4887" s="72" t="n">
        <x:v>45656</x:v>
      </x:c>
      <x:c r="D4887" s="73" t="n">
        <x:v>1.3834</x:v>
      </x:c>
      <x:c r="E4887" s="73" t="n">
        <x:v>1.3834</x:v>
      </x:c>
      <x:c r="F4887" s="73" t="n">
        <x:v>1.3834</x:v>
      </x:c>
      <x:c r="G4887" s="74" t="n">
        <x:v>0</x:v>
      </x:c>
      <x:c r="H4887" s="66" t="str">
        <x:v>钧誉厚德量化对冲11号净值20260911.xlsx</x:v>
      </x:c>
      <x:c r="I4887" s="73" t="str">
        <x:f>""</x:f>
      </x:c>
      <x:c r="J4887" s="74" t="str">
        <x:f>""</x:f>
      </x:c>
      <x:c r="K4887" s="73" t="n">
        <x:f>MAX(K4886,F4887)</x:f>
        <x:v>1.3837</x:v>
      </x:c>
      <x:c r="L4887" s="74" t="n">
        <x:f>1-F4887/K4887</x:f>
        <x:v>0.00021681000216811075</x:v>
      </x:c>
      <x:c r="M4887" s="73" t="n">
        <x:f>MAX(M4886,F4887)</x:f>
        <x:v>1.3837</x:v>
      </x:c>
      <x:c r="N4887" s="74" t="n">
        <x:f>1-F4887/M4887</x:f>
        <x:v>0.00021681000216811075</x:v>
      </x:c>
    </x:row>
    <x:row r="4888" ht="27" customHeight="1">
      <x:c r="A4888" s="66" t="str">
        <x:v>SQN453</x:v>
      </x:c>
      <x:c r="B4888" s="66" t="str">
        <x:v>钧誉厚德量化对冲11号</x:v>
      </x:c>
      <x:c r="C4888" s="72" t="n">
        <x:v>45657</x:v>
      </x:c>
      <x:c r="D4888" s="73" t="n">
        <x:v>1.3857</x:v>
      </x:c>
      <x:c r="E4888" s="73" t="n">
        <x:v>1.3857</x:v>
      </x:c>
      <x:c r="F4888" s="73" t="n">
        <x:v>1.3857</x:v>
      </x:c>
      <x:c r="G4888" s="74" t="n">
        <x:v>0.0017000000000000001</x:v>
      </x:c>
      <x:c r="H4888" s="66" t="str">
        <x:v>钧誉厚德量化对冲11号净值20260911.xlsx</x:v>
      </x:c>
      <x:c r="I4888" s="73" t="str">
        <x:f>""</x:f>
      </x:c>
      <x:c r="J4888" s="74" t="str">
        <x:f>""</x:f>
      </x:c>
      <x:c r="K4888" s="73" t="n">
        <x:f>MAX(K4887,F4888)</x:f>
        <x:v>1.3857</x:v>
      </x:c>
      <x:c r="L4888" s="74" t="n">
        <x:f>1-F4888/K4888</x:f>
        <x:v>0</x:v>
      </x:c>
      <x:c r="M4888" s="73" t="n">
        <x:f>MAX(M4887,F4888)</x:f>
        <x:v>1.3857</x:v>
      </x:c>
      <x:c r="N4888" s="74" t="n">
        <x:f>1-F4888/M4888</x:f>
        <x:v>0</x:v>
      </x:c>
    </x:row>
    <x:row r="4889" ht="27" customHeight="1">
      <x:c r="A4889" s="66" t="str">
        <x:v>SQN453</x:v>
      </x:c>
      <x:c r="B4889" s="66" t="str">
        <x:v>钧誉厚德量化对冲11号</x:v>
      </x:c>
      <x:c r="C4889" s="72" t="n">
        <x:v>45659</x:v>
      </x:c>
      <x:c r="D4889" s="73" t="n">
        <x:v>1.3858</x:v>
      </x:c>
      <x:c r="E4889" s="73" t="n">
        <x:v>1.3858</x:v>
      </x:c>
      <x:c r="F4889" s="73" t="n">
        <x:v>1.3858</x:v>
      </x:c>
      <x:c r="G4889" s="74" t="n">
        <x:v>0.0001</x:v>
      </x:c>
      <x:c r="H4889" s="66" t="str">
        <x:v>钧誉厚德量化对冲11号净值20260911.xlsx</x:v>
      </x:c>
      <x:c r="I4889" s="73" t="str">
        <x:f>""</x:f>
      </x:c>
      <x:c r="J4889" s="74" t="str">
        <x:f>""</x:f>
      </x:c>
      <x:c r="K4889" s="73" t="n">
        <x:f>MAX(K4888,F4889)</x:f>
        <x:v>1.3858</x:v>
      </x:c>
      <x:c r="L4889" s="74" t="n">
        <x:f>1-F4889/K4889</x:f>
        <x:v>0</x:v>
      </x:c>
      <x:c r="M4889" s="73" t="n">
        <x:f>MAX(M4888,F4889)</x:f>
        <x:v>1.3858</x:v>
      </x:c>
      <x:c r="N4889" s="74" t="n">
        <x:f>1-F4889/M4889</x:f>
        <x:v>0</x:v>
      </x:c>
    </x:row>
    <x:row r="4890" ht="27" customHeight="1">
      <x:c r="A4890" s="66" t="str">
        <x:v>SQN453</x:v>
      </x:c>
      <x:c r="B4890" s="66" t="str">
        <x:v>钧誉厚德量化对冲11号</x:v>
      </x:c>
      <x:c r="C4890" s="72" t="n">
        <x:v>45660</x:v>
      </x:c>
      <x:c r="D4890" s="73" t="n">
        <x:v>1.3859</x:v>
      </x:c>
      <x:c r="E4890" s="73" t="n">
        <x:v>1.3859</x:v>
      </x:c>
      <x:c r="F4890" s="73" t="n">
        <x:v>1.3859</x:v>
      </x:c>
      <x:c r="G4890" s="74" t="n">
        <x:v>0.0001</x:v>
      </x:c>
      <x:c r="H4890" s="66" t="str">
        <x:v>钧誉厚德量化对冲11号净值20260911.xlsx</x:v>
      </x:c>
      <x:c r="I4890" s="73" t="str">
        <x:f>""</x:f>
      </x:c>
      <x:c r="J4890" s="74" t="str">
        <x:f>""</x:f>
      </x:c>
      <x:c r="K4890" s="73" t="n">
        <x:f>MAX(K4889,F4890)</x:f>
        <x:v>1.3859</x:v>
      </x:c>
      <x:c r="L4890" s="74" t="n">
        <x:f>1-F4890/K4890</x:f>
        <x:v>0</x:v>
      </x:c>
      <x:c r="M4890" s="73" t="n">
        <x:f>MAX(M4889,F4890)</x:f>
        <x:v>1.3859</x:v>
      </x:c>
      <x:c r="N4890" s="74" t="n">
        <x:f>1-F4890/M4890</x:f>
        <x:v>0</x:v>
      </x:c>
    </x:row>
    <x:row r="4891" ht="27" customHeight="1">
      <x:c r="A4891" s="66" t="str">
        <x:v>SQN453</x:v>
      </x:c>
      <x:c r="B4891" s="66" t="str">
        <x:v>钧誉厚德量化对冲11号</x:v>
      </x:c>
      <x:c r="C4891" s="72" t="n">
        <x:v>45663</x:v>
      </x:c>
      <x:c r="D4891" s="73" t="n">
        <x:v>1.3867</x:v>
      </x:c>
      <x:c r="E4891" s="73" t="n">
        <x:v>1.3867</x:v>
      </x:c>
      <x:c r="F4891" s="73" t="n">
        <x:v>1.3867</x:v>
      </x:c>
      <x:c r="G4891" s="74" t="n">
        <x:v>0.0006</x:v>
      </x:c>
      <x:c r="H4891" s="66" t="str">
        <x:v>钧誉厚德量化对冲11号净值20260911.xlsx</x:v>
      </x:c>
      <x:c r="I4891" s="73" t="str">
        <x:f>""</x:f>
      </x:c>
      <x:c r="J4891" s="74" t="str">
        <x:f>""</x:f>
      </x:c>
      <x:c r="K4891" s="73" t="n">
        <x:f>MAX(K4890,F4891)</x:f>
        <x:v>1.3867</x:v>
      </x:c>
      <x:c r="L4891" s="74" t="n">
        <x:f>1-F4891/K4891</x:f>
        <x:v>0</x:v>
      </x:c>
      <x:c r="M4891" s="73" t="n">
        <x:f>MAX(M4890,F4891)</x:f>
        <x:v>1.3867</x:v>
      </x:c>
      <x:c r="N4891" s="74" t="n">
        <x:f>1-F4891/M4891</x:f>
        <x:v>0</x:v>
      </x:c>
    </x:row>
    <x:row r="4892" ht="27" customHeight="1">
      <x:c r="A4892" s="66" t="str">
        <x:v>SQN453</x:v>
      </x:c>
      <x:c r="B4892" s="66" t="str">
        <x:v>钧誉厚德量化对冲11号</x:v>
      </x:c>
      <x:c r="C4892" s="72" t="n">
        <x:v>45664</x:v>
      </x:c>
      <x:c r="D4892" s="73" t="n">
        <x:v>1.3869</x:v>
      </x:c>
      <x:c r="E4892" s="73" t="n">
        <x:v>1.3869</x:v>
      </x:c>
      <x:c r="F4892" s="73" t="n">
        <x:v>1.3869</x:v>
      </x:c>
      <x:c r="G4892" s="74" t="n">
        <x:v>0.0001</x:v>
      </x:c>
      <x:c r="H4892" s="66" t="str">
        <x:v>钧誉厚德量化对冲11号净值20260911.xlsx</x:v>
      </x:c>
      <x:c r="I4892" s="73" t="str">
        <x:f>""</x:f>
      </x:c>
      <x:c r="J4892" s="74" t="str">
        <x:f>""</x:f>
      </x:c>
      <x:c r="K4892" s="73" t="n">
        <x:f>MAX(K4891,F4892)</x:f>
        <x:v>1.3869</x:v>
      </x:c>
      <x:c r="L4892" s="74" t="n">
        <x:f>1-F4892/K4892</x:f>
        <x:v>0</x:v>
      </x:c>
      <x:c r="M4892" s="73" t="n">
        <x:f>MAX(M4891,F4892)</x:f>
        <x:v>1.3869</x:v>
      </x:c>
      <x:c r="N4892" s="74" t="n">
        <x:f>1-F4892/M4892</x:f>
        <x:v>0</x:v>
      </x:c>
    </x:row>
    <x:row r="4893" ht="27" customHeight="1">
      <x:c r="A4893" s="66" t="str">
        <x:v>SQN453</x:v>
      </x:c>
      <x:c r="B4893" s="66" t="str">
        <x:v>钧誉厚德量化对冲11号</x:v>
      </x:c>
      <x:c r="C4893" s="72" t="n">
        <x:v>45665</x:v>
      </x:c>
      <x:c r="D4893" s="73" t="n">
        <x:v>1.387</x:v>
      </x:c>
      <x:c r="E4893" s="73" t="n">
        <x:v>1.387</x:v>
      </x:c>
      <x:c r="F4893" s="73" t="n">
        <x:v>1.387</x:v>
      </x:c>
      <x:c r="G4893" s="74" t="n">
        <x:v>0.0001</x:v>
      </x:c>
      <x:c r="H4893" s="66" t="str">
        <x:v>钧誉厚德量化对冲11号净值20260911.xlsx</x:v>
      </x:c>
      <x:c r="I4893" s="73" t="str">
        <x:f>""</x:f>
      </x:c>
      <x:c r="J4893" s="74" t="str">
        <x:f>""</x:f>
      </x:c>
      <x:c r="K4893" s="73" t="n">
        <x:f>MAX(K4892,F4893)</x:f>
        <x:v>1.387</x:v>
      </x:c>
      <x:c r="L4893" s="74" t="n">
        <x:f>1-F4893/K4893</x:f>
        <x:v>0</x:v>
      </x:c>
      <x:c r="M4893" s="73" t="n">
        <x:f>MAX(M4892,F4893)</x:f>
        <x:v>1.387</x:v>
      </x:c>
      <x:c r="N4893" s="74" t="n">
        <x:f>1-F4893/M4893</x:f>
        <x:v>0</x:v>
      </x:c>
    </x:row>
    <x:row r="4894" ht="27" customHeight="1">
      <x:c r="A4894" s="66" t="str">
        <x:v>SQN453</x:v>
      </x:c>
      <x:c r="B4894" s="66" t="str">
        <x:v>钧誉厚德量化对冲11号</x:v>
      </x:c>
      <x:c r="C4894" s="72" t="n">
        <x:v>45666</x:v>
      </x:c>
      <x:c r="D4894" s="73" t="n">
        <x:v>1.3893</x:v>
      </x:c>
      <x:c r="E4894" s="73" t="n">
        <x:v>1.3893</x:v>
      </x:c>
      <x:c r="F4894" s="73" t="n">
        <x:v>1.3893</x:v>
      </x:c>
      <x:c r="G4894" s="74" t="n">
        <x:v>0.0017000000000000001</x:v>
      </x:c>
      <x:c r="H4894" s="66" t="str">
        <x:v>钧誉厚德量化对冲11号净值20260911.xlsx</x:v>
      </x:c>
      <x:c r="I4894" s="73" t="str">
        <x:f>""</x:f>
      </x:c>
      <x:c r="J4894" s="74" t="str">
        <x:f>""</x:f>
      </x:c>
      <x:c r="K4894" s="73" t="n">
        <x:f>MAX(K4893,F4894)</x:f>
        <x:v>1.3893</x:v>
      </x:c>
      <x:c r="L4894" s="74" t="n">
        <x:f>1-F4894/K4894</x:f>
        <x:v>0</x:v>
      </x:c>
      <x:c r="M4894" s="73" t="n">
        <x:f>MAX(M4893,F4894)</x:f>
        <x:v>1.3893</x:v>
      </x:c>
      <x:c r="N4894" s="74" t="n">
        <x:f>1-F4894/M4894</x:f>
        <x:v>0</x:v>
      </x:c>
    </x:row>
    <x:row r="4895" ht="27" customHeight="1">
      <x:c r="A4895" s="66" t="str">
        <x:v>SQN453</x:v>
      </x:c>
      <x:c r="B4895" s="66" t="str">
        <x:v>钧誉厚德量化对冲11号</x:v>
      </x:c>
      <x:c r="C4895" s="72" t="n">
        <x:v>45667</x:v>
      </x:c>
      <x:c r="D4895" s="73" t="n">
        <x:v>1.3894</x:v>
      </x:c>
      <x:c r="E4895" s="73" t="n">
        <x:v>1.3894</x:v>
      </x:c>
      <x:c r="F4895" s="73" t="n">
        <x:v>1.3894</x:v>
      </x:c>
      <x:c r="G4895" s="74" t="n">
        <x:v>0.0001</x:v>
      </x:c>
      <x:c r="H4895" s="66" t="str">
        <x:v>钧誉厚德量化对冲11号净值20260911.xlsx</x:v>
      </x:c>
      <x:c r="I4895" s="73" t="str">
        <x:f>""</x:f>
      </x:c>
      <x:c r="J4895" s="74" t="str">
        <x:f>""</x:f>
      </x:c>
      <x:c r="K4895" s="73" t="n">
        <x:f>MAX(K4894,F4895)</x:f>
        <x:v>1.3894</x:v>
      </x:c>
      <x:c r="L4895" s="74" t="n">
        <x:f>1-F4895/K4895</x:f>
        <x:v>0</x:v>
      </x:c>
      <x:c r="M4895" s="73" t="n">
        <x:f>MAX(M4894,F4895)</x:f>
        <x:v>1.3894</x:v>
      </x:c>
      <x:c r="N4895" s="74" t="n">
        <x:f>1-F4895/M4895</x:f>
        <x:v>0</x:v>
      </x:c>
    </x:row>
    <x:row r="4896" ht="27" customHeight="1">
      <x:c r="A4896" s="66" t="str">
        <x:v>SQN453</x:v>
      </x:c>
      <x:c r="B4896" s="66" t="str">
        <x:v>钧誉厚德量化对冲11号</x:v>
      </x:c>
      <x:c r="C4896" s="72" t="n">
        <x:v>45670</x:v>
      </x:c>
      <x:c r="D4896" s="73" t="n">
        <x:v>1.3895</x:v>
      </x:c>
      <x:c r="E4896" s="73" t="n">
        <x:v>1.3895</x:v>
      </x:c>
      <x:c r="F4896" s="73" t="n">
        <x:v>1.3895</x:v>
      </x:c>
      <x:c r="G4896" s="74" t="n">
        <x:v>0.0001</x:v>
      </x:c>
      <x:c r="H4896" s="66" t="str">
        <x:v>钧誉厚德量化对冲11号净值20260911.xlsx</x:v>
      </x:c>
      <x:c r="I4896" s="73" t="str">
        <x:f>""</x:f>
      </x:c>
      <x:c r="J4896" s="74" t="str">
        <x:f>""</x:f>
      </x:c>
      <x:c r="K4896" s="73" t="n">
        <x:f>MAX(K4895,F4896)</x:f>
        <x:v>1.3895</x:v>
      </x:c>
      <x:c r="L4896" s="74" t="n">
        <x:f>1-F4896/K4896</x:f>
        <x:v>0</x:v>
      </x:c>
      <x:c r="M4896" s="73" t="n">
        <x:f>MAX(M4895,F4896)</x:f>
        <x:v>1.3895</x:v>
      </x:c>
      <x:c r="N4896" s="74" t="n">
        <x:f>1-F4896/M4896</x:f>
        <x:v>0</x:v>
      </x:c>
    </x:row>
    <x:row r="4897" ht="27" customHeight="1">
      <x:c r="A4897" s="66" t="str">
        <x:v>SQN453</x:v>
      </x:c>
      <x:c r="B4897" s="66" t="str">
        <x:v>钧誉厚德量化对冲11号</x:v>
      </x:c>
      <x:c r="C4897" s="72" t="n">
        <x:v>45671</x:v>
      </x:c>
      <x:c r="D4897" s="73" t="n">
        <x:v>1.3902</x:v>
      </x:c>
      <x:c r="E4897" s="73" t="n">
        <x:v>1.3902</x:v>
      </x:c>
      <x:c r="F4897" s="73" t="n">
        <x:v>1.3902</x:v>
      </x:c>
      <x:c r="G4897" s="74" t="n">
        <x:v>0.0005</x:v>
      </x:c>
      <x:c r="H4897" s="66" t="str">
        <x:v>钧誉厚德量化对冲11号净值20260911.xlsx</x:v>
      </x:c>
      <x:c r="I4897" s="73" t="str">
        <x:f>""</x:f>
      </x:c>
      <x:c r="J4897" s="74" t="str">
        <x:f>""</x:f>
      </x:c>
      <x:c r="K4897" s="73" t="n">
        <x:f>MAX(K4896,F4897)</x:f>
        <x:v>1.3902</x:v>
      </x:c>
      <x:c r="L4897" s="74" t="n">
        <x:f>1-F4897/K4897</x:f>
        <x:v>0</x:v>
      </x:c>
      <x:c r="M4897" s="73" t="n">
        <x:f>MAX(M4896,F4897)</x:f>
        <x:v>1.3902</x:v>
      </x:c>
      <x:c r="N4897" s="74" t="n">
        <x:f>1-F4897/M4897</x:f>
        <x:v>0</x:v>
      </x:c>
    </x:row>
    <x:row r="4898" ht="27" customHeight="1">
      <x:c r="A4898" s="66" t="str">
        <x:v>SQN453</x:v>
      </x:c>
      <x:c r="B4898" s="66" t="str">
        <x:v>钧誉厚德量化对冲11号</x:v>
      </x:c>
      <x:c r="C4898" s="72" t="n">
        <x:v>45672</x:v>
      </x:c>
      <x:c r="D4898" s="73" t="n">
        <x:v>1.3913</x:v>
      </x:c>
      <x:c r="E4898" s="73" t="n">
        <x:v>1.3913</x:v>
      </x:c>
      <x:c r="F4898" s="73" t="n">
        <x:v>1.3913</x:v>
      </x:c>
      <x:c r="G4898" s="74" t="n">
        <x:v>0.0008</x:v>
      </x:c>
      <x:c r="H4898" s="66" t="str">
        <x:v>钧誉厚德量化对冲11号净值20260911.xlsx</x:v>
      </x:c>
      <x:c r="I4898" s="73" t="str">
        <x:f>""</x:f>
      </x:c>
      <x:c r="J4898" s="74" t="str">
        <x:f>""</x:f>
      </x:c>
      <x:c r="K4898" s="73" t="n">
        <x:f>MAX(K4897,F4898)</x:f>
        <x:v>1.3913</x:v>
      </x:c>
      <x:c r="L4898" s="74" t="n">
        <x:f>1-F4898/K4898</x:f>
        <x:v>0</x:v>
      </x:c>
      <x:c r="M4898" s="73" t="n">
        <x:f>MAX(M4897,F4898)</x:f>
        <x:v>1.3913</x:v>
      </x:c>
      <x:c r="N4898" s="74" t="n">
        <x:f>1-F4898/M4898</x:f>
        <x:v>0</x:v>
      </x:c>
    </x:row>
    <x:row r="4899" ht="27" customHeight="1">
      <x:c r="A4899" s="66" t="str">
        <x:v>SQN453</x:v>
      </x:c>
      <x:c r="B4899" s="66" t="str">
        <x:v>钧誉厚德量化对冲11号</x:v>
      </x:c>
      <x:c r="C4899" s="72" t="n">
        <x:v>45673</x:v>
      </x:c>
      <x:c r="D4899" s="73" t="n">
        <x:v>1.3912</x:v>
      </x:c>
      <x:c r="E4899" s="73" t="n">
        <x:v>1.3912</x:v>
      </x:c>
      <x:c r="F4899" s="73" t="n">
        <x:v>1.3912</x:v>
      </x:c>
      <x:c r="G4899" s="74" t="n">
        <x:v>-0.0001</x:v>
      </x:c>
      <x:c r="H4899" s="66" t="str">
        <x:v>钧誉厚德量化对冲11号净值20260911.xlsx</x:v>
      </x:c>
      <x:c r="I4899" s="73" t="str">
        <x:f>""</x:f>
      </x:c>
      <x:c r="J4899" s="74" t="str">
        <x:f>""</x:f>
      </x:c>
      <x:c r="K4899" s="73" t="n">
        <x:f>MAX(K4898,F4899)</x:f>
        <x:v>1.3913</x:v>
      </x:c>
      <x:c r="L4899" s="74" t="n">
        <x:f>1-F4899/K4899</x:f>
        <x:v>0.0000718752246100518</x:v>
      </x:c>
      <x:c r="M4899" s="73" t="n">
        <x:f>MAX(M4898,F4899)</x:f>
        <x:v>1.3913</x:v>
      </x:c>
      <x:c r="N4899" s="74" t="n">
        <x:f>1-F4899/M4899</x:f>
        <x:v>0.0000718752246100518</x:v>
      </x:c>
    </x:row>
    <x:row r="4900" ht="27" customHeight="1">
      <x:c r="A4900" s="66" t="str">
        <x:v>SQN453</x:v>
      </x:c>
      <x:c r="B4900" s="66" t="str">
        <x:v>钧誉厚德量化对冲11号</x:v>
      </x:c>
      <x:c r="C4900" s="72" t="n">
        <x:v>45674</x:v>
      </x:c>
      <x:c r="D4900" s="73" t="n">
        <x:v>1.3918</x:v>
      </x:c>
      <x:c r="E4900" s="73" t="n">
        <x:v>1.3918</x:v>
      </x:c>
      <x:c r="F4900" s="73" t="n">
        <x:v>1.3918</x:v>
      </x:c>
      <x:c r="G4900" s="74" t="n">
        <x:v>0.0004</x:v>
      </x:c>
      <x:c r="H4900" s="66" t="str">
        <x:v>钧誉厚德量化对冲11号净值20260911.xlsx</x:v>
      </x:c>
      <x:c r="I4900" s="73" t="str">
        <x:f>""</x:f>
      </x:c>
      <x:c r="J4900" s="74" t="str">
        <x:f>""</x:f>
      </x:c>
      <x:c r="K4900" s="73" t="n">
        <x:f>MAX(K4899,F4900)</x:f>
        <x:v>1.3918</x:v>
      </x:c>
      <x:c r="L4900" s="74" t="n">
        <x:f>1-F4900/K4900</x:f>
        <x:v>0</x:v>
      </x:c>
      <x:c r="M4900" s="73" t="n">
        <x:f>MAX(M4899,F4900)</x:f>
        <x:v>1.3918</x:v>
      </x:c>
      <x:c r="N4900" s="74" t="n">
        <x:f>1-F4900/M4900</x:f>
        <x:v>0</x:v>
      </x:c>
    </x:row>
    <x:row r="4901" ht="27" customHeight="1">
      <x:c r="A4901" s="66" t="str">
        <x:v>SQN453</x:v>
      </x:c>
      <x:c r="B4901" s="66" t="str">
        <x:v>钧誉厚德量化对冲11号</x:v>
      </x:c>
      <x:c r="C4901" s="72" t="n">
        <x:v>45677</x:v>
      </x:c>
      <x:c r="D4901" s="73" t="n">
        <x:v>1.3918</x:v>
      </x:c>
      <x:c r="E4901" s="73" t="n">
        <x:v>1.3918</x:v>
      </x:c>
      <x:c r="F4901" s="73" t="n">
        <x:v>1.3918</x:v>
      </x:c>
      <x:c r="G4901" s="74" t="n">
        <x:v>0</x:v>
      </x:c>
      <x:c r="H4901" s="66" t="str">
        <x:v>钧誉厚德量化对冲11号净值20260911.xlsx</x:v>
      </x:c>
      <x:c r="I4901" s="73" t="str">
        <x:f>""</x:f>
      </x:c>
      <x:c r="J4901" s="74" t="str">
        <x:f>""</x:f>
      </x:c>
      <x:c r="K4901" s="73" t="n">
        <x:f>MAX(K4900,F4901)</x:f>
        <x:v>1.3918</x:v>
      </x:c>
      <x:c r="L4901" s="74" t="n">
        <x:f>1-F4901/K4901</x:f>
        <x:v>0</x:v>
      </x:c>
      <x:c r="M4901" s="73" t="n">
        <x:f>MAX(M4900,F4901)</x:f>
        <x:v>1.3918</x:v>
      </x:c>
      <x:c r="N4901" s="74" t="n">
        <x:f>1-F4901/M4901</x:f>
        <x:v>0</x:v>
      </x:c>
    </x:row>
    <x:row r="4902" ht="27" customHeight="1">
      <x:c r="A4902" s="66" t="str">
        <x:v>SQN453</x:v>
      </x:c>
      <x:c r="B4902" s="66" t="str">
        <x:v>钧誉厚德量化对冲11号</x:v>
      </x:c>
      <x:c r="C4902" s="72" t="n">
        <x:v>45678</x:v>
      </x:c>
      <x:c r="D4902" s="73" t="n">
        <x:v>1.392</x:v>
      </x:c>
      <x:c r="E4902" s="73" t="n">
        <x:v>1.392</x:v>
      </x:c>
      <x:c r="F4902" s="73" t="n">
        <x:v>1.392</x:v>
      </x:c>
      <x:c r="G4902" s="74" t="n">
        <x:v>0.0001</x:v>
      </x:c>
      <x:c r="H4902" s="66" t="str">
        <x:v>钧誉厚德量化对冲11号净值20260911.xlsx</x:v>
      </x:c>
      <x:c r="I4902" s="73" t="str">
        <x:f>""</x:f>
      </x:c>
      <x:c r="J4902" s="74" t="str">
        <x:f>""</x:f>
      </x:c>
      <x:c r="K4902" s="73" t="n">
        <x:f>MAX(K4901,F4902)</x:f>
        <x:v>1.392</x:v>
      </x:c>
      <x:c r="L4902" s="74" t="n">
        <x:f>1-F4902/K4902</x:f>
        <x:v>0</x:v>
      </x:c>
      <x:c r="M4902" s="73" t="n">
        <x:f>MAX(M4901,F4902)</x:f>
        <x:v>1.392</x:v>
      </x:c>
      <x:c r="N4902" s="74" t="n">
        <x:f>1-F4902/M4902</x:f>
        <x:v>0</x:v>
      </x:c>
    </x:row>
    <x:row r="4903" ht="27" customHeight="1">
      <x:c r="A4903" s="66" t="str">
        <x:v>SQN453</x:v>
      </x:c>
      <x:c r="B4903" s="66" t="str">
        <x:v>钧誉厚德量化对冲11号</x:v>
      </x:c>
      <x:c r="C4903" s="72" t="n">
        <x:v>45681</x:v>
      </x:c>
      <x:c r="D4903" s="73" t="n">
        <x:v>1.3919</x:v>
      </x:c>
      <x:c r="E4903" s="73" t="n">
        <x:v>1.3919</x:v>
      </x:c>
      <x:c r="F4903" s="73" t="n">
        <x:v>1.3919</x:v>
      </x:c>
      <x:c r="G4903" s="74" t="n">
        <x:v>-0.0001</x:v>
      </x:c>
      <x:c r="H4903" s="66" t="str">
        <x:v>钧誉厚德量化对冲11号净值20260911.xlsx</x:v>
      </x:c>
      <x:c r="I4903" s="73" t="str">
        <x:f>""</x:f>
      </x:c>
      <x:c r="J4903" s="74" t="str">
        <x:f>""</x:f>
      </x:c>
      <x:c r="K4903" s="73" t="n">
        <x:f>MAX(K4902,F4903)</x:f>
        <x:v>1.392</x:v>
      </x:c>
      <x:c r="L4903" s="74" t="n">
        <x:f>1-F4903/K4903</x:f>
        <x:v>0.00007183908045971243</x:v>
      </x:c>
      <x:c r="M4903" s="73" t="n">
        <x:f>MAX(M4902,F4903)</x:f>
        <x:v>1.392</x:v>
      </x:c>
      <x:c r="N4903" s="74" t="n">
        <x:f>1-F4903/M4903</x:f>
        <x:v>0.00007183908045971243</x:v>
      </x:c>
    </x:row>
    <x:row r="4904" ht="27" customHeight="1">
      <x:c r="A4904" s="66" t="str">
        <x:v>SQN453</x:v>
      </x:c>
      <x:c r="B4904" s="66" t="str">
        <x:v>钧誉厚德量化对冲11号</x:v>
      </x:c>
      <x:c r="C4904" s="72" t="n">
        <x:v>45684</x:v>
      </x:c>
      <x:c r="D4904" s="73" t="n">
        <x:v>1.3922</x:v>
      </x:c>
      <x:c r="E4904" s="73" t="n">
        <x:v>1.3922</x:v>
      </x:c>
      <x:c r="F4904" s="73" t="n">
        <x:v>1.3922</x:v>
      </x:c>
      <x:c r="G4904" s="74" t="n">
        <x:v>0.0002</x:v>
      </x:c>
      <x:c r="H4904" s="66" t="str">
        <x:v>钧誉厚德量化对冲11号净值20260911.xlsx</x:v>
      </x:c>
      <x:c r="I4904" s="73" t="str">
        <x:f>""</x:f>
      </x:c>
      <x:c r="J4904" s="74" t="str">
        <x:f>""</x:f>
      </x:c>
      <x:c r="K4904" s="73" t="n">
        <x:f>MAX(K4903,F4904)</x:f>
        <x:v>1.3922</x:v>
      </x:c>
      <x:c r="L4904" s="74" t="n">
        <x:f>1-F4904/K4904</x:f>
        <x:v>0</x:v>
      </x:c>
      <x:c r="M4904" s="73" t="n">
        <x:f>MAX(M4903,F4904)</x:f>
        <x:v>1.3922</x:v>
      </x:c>
      <x:c r="N4904" s="74" t="n">
        <x:f>1-F4904/M4904</x:f>
        <x:v>0</x:v>
      </x:c>
    </x:row>
    <x:row r="4905" ht="27" customHeight="1">
      <x:c r="A4905" s="66" t="str">
        <x:v>SQN453</x:v>
      </x:c>
      <x:c r="B4905" s="66" t="str">
        <x:v>钧誉厚德量化对冲11号</x:v>
      </x:c>
      <x:c r="C4905" s="72" t="n">
        <x:v>45695</x:v>
      </x:c>
      <x:c r="D4905" s="73" t="n">
        <x:v>1.392</x:v>
      </x:c>
      <x:c r="E4905" s="73" t="n">
        <x:v>1.392</x:v>
      </x:c>
      <x:c r="F4905" s="73" t="n">
        <x:v>1.392</x:v>
      </x:c>
      <x:c r="G4905" s="74" t="n">
        <x:v>-0.0001</x:v>
      </x:c>
      <x:c r="H4905" s="66" t="str">
        <x:v>钧誉厚德量化对冲11号净值20260911.xlsx</x:v>
      </x:c>
      <x:c r="I4905" s="73" t="str">
        <x:f>""</x:f>
      </x:c>
      <x:c r="J4905" s="74" t="str">
        <x:f>""</x:f>
      </x:c>
      <x:c r="K4905" s="73" t="n">
        <x:f>MAX(K4904,F4905)</x:f>
        <x:v>1.3922</x:v>
      </x:c>
      <x:c r="L4905" s="74" t="n">
        <x:f>1-F4905/K4905</x:f>
        <x:v>0.00014365752047129643</x:v>
      </x:c>
      <x:c r="M4905" s="73" t="n">
        <x:f>MAX(M4904,F4905)</x:f>
        <x:v>1.3922</x:v>
      </x:c>
      <x:c r="N4905" s="74" t="n">
        <x:f>1-F4905/M4905</x:f>
        <x:v>0.00014365752047129643</x:v>
      </x:c>
    </x:row>
    <x:row r="4906" ht="27" customHeight="1">
      <x:c r="A4906" s="66" t="str">
        <x:v>SQN453</x:v>
      </x:c>
      <x:c r="B4906" s="66" t="str">
        <x:v>钧誉厚德量化对冲11号</x:v>
      </x:c>
      <x:c r="C4906" s="72" t="n">
        <x:v>45702</x:v>
      </x:c>
      <x:c r="D4906" s="73" t="n">
        <x:v>1.3915</x:v>
      </x:c>
      <x:c r="E4906" s="73" t="n">
        <x:v>1.3915</x:v>
      </x:c>
      <x:c r="F4906" s="73" t="n">
        <x:v>1.3915</x:v>
      </x:c>
      <x:c r="G4906" s="74" t="n">
        <x:v>-0.0004</x:v>
      </x:c>
      <x:c r="H4906" s="66" t="str">
        <x:v>钧誉厚德量化对冲11号净值20260911.xlsx</x:v>
      </x:c>
      <x:c r="I4906" s="73" t="str">
        <x:f>""</x:f>
      </x:c>
      <x:c r="J4906" s="74" t="str">
        <x:f>""</x:f>
      </x:c>
      <x:c r="K4906" s="73" t="n">
        <x:f>MAX(K4905,F4906)</x:f>
        <x:v>1.3922</x:v>
      </x:c>
      <x:c r="L4906" s="74" t="n">
        <x:f>1-F4906/K4906</x:f>
        <x:v>0.00050280132164926</x:v>
      </x:c>
      <x:c r="M4906" s="73" t="n">
        <x:f>MAX(M4905,F4906)</x:f>
        <x:v>1.3922</x:v>
      </x:c>
      <x:c r="N4906" s="74" t="n">
        <x:f>1-F4906/M4906</x:f>
        <x:v>0.00050280132164926</x:v>
      </x:c>
    </x:row>
    <x:row r="4907" ht="27" customHeight="1">
      <x:c r="A4907" s="66" t="str">
        <x:v>SQN453</x:v>
      </x:c>
      <x:c r="B4907" s="66" t="str">
        <x:v>钧誉厚德量化对冲11号</x:v>
      </x:c>
      <x:c r="C4907" s="72" t="n">
        <x:v>45709</x:v>
      </x:c>
      <x:c r="D4907" s="73" t="n">
        <x:v>1.3915</x:v>
      </x:c>
      <x:c r="E4907" s="73" t="n">
        <x:v>1.3915</x:v>
      </x:c>
      <x:c r="F4907" s="73" t="n">
        <x:v>1.3915</x:v>
      </x:c>
      <x:c r="G4907" s="74" t="n">
        <x:v>0</x:v>
      </x:c>
      <x:c r="H4907" s="66" t="str">
        <x:v>钧誉厚德量化对冲11号净值20260911.xlsx</x:v>
      </x:c>
      <x:c r="I4907" s="73" t="str">
        <x:f>""</x:f>
      </x:c>
      <x:c r="J4907" s="74" t="str">
        <x:f>""</x:f>
      </x:c>
      <x:c r="K4907" s="73" t="n">
        <x:f>MAX(K4906,F4907)</x:f>
        <x:v>1.3922</x:v>
      </x:c>
      <x:c r="L4907" s="74" t="n">
        <x:f>1-F4907/K4907</x:f>
        <x:v>0.00050280132164926</x:v>
      </x:c>
      <x:c r="M4907" s="73" t="n">
        <x:f>MAX(M4906,F4907)</x:f>
        <x:v>1.3922</x:v>
      </x:c>
      <x:c r="N4907" s="74" t="n">
        <x:f>1-F4907/M4907</x:f>
        <x:v>0.00050280132164926</x:v>
      </x:c>
    </x:row>
    <x:row r="4908" ht="27" customHeight="1">
      <x:c r="A4908" s="66" t="str">
        <x:v>SQN453</x:v>
      </x:c>
      <x:c r="B4908" s="66" t="str">
        <x:v>钧誉厚德量化对冲11号</x:v>
      </x:c>
      <x:c r="C4908" s="72" t="n">
        <x:v>45716</x:v>
      </x:c>
      <x:c r="D4908" s="73" t="n">
        <x:v>1.3924</x:v>
      </x:c>
      <x:c r="E4908" s="73" t="n">
        <x:v>1.3924</x:v>
      </x:c>
      <x:c r="F4908" s="73" t="n">
        <x:v>1.3924</x:v>
      </x:c>
      <x:c r="G4908" s="74" t="n">
        <x:v>0.0006</x:v>
      </x:c>
      <x:c r="H4908" s="66" t="str">
        <x:v>钧誉厚德量化对冲11号净值20260911.xlsx</x:v>
      </x:c>
      <x:c r="I4908" s="73" t="str">
        <x:f>""</x:f>
      </x:c>
      <x:c r="J4908" s="74" t="str">
        <x:f>""</x:f>
      </x:c>
      <x:c r="K4908" s="73" t="n">
        <x:f>MAX(K4907,F4908)</x:f>
        <x:v>1.3924</x:v>
      </x:c>
      <x:c r="L4908" s="74" t="n">
        <x:f>1-F4908/K4908</x:f>
        <x:v>0</x:v>
      </x:c>
      <x:c r="M4908" s="73" t="n">
        <x:f>MAX(M4907,F4908)</x:f>
        <x:v>1.3924</x:v>
      </x:c>
      <x:c r="N4908" s="74" t="n">
        <x:f>1-F4908/M4908</x:f>
        <x:v>0</x:v>
      </x:c>
    </x:row>
    <x:row r="4909" ht="27" customHeight="1">
      <x:c r="A4909" s="66" t="str">
        <x:v>SQN453</x:v>
      </x:c>
      <x:c r="B4909" s="66" t="str">
        <x:v>钧誉厚德量化对冲11号</x:v>
      </x:c>
      <x:c r="C4909" s="72" t="n">
        <x:v>45723</x:v>
      </x:c>
      <x:c r="D4909" s="73" t="n">
        <x:v>1.3933</x:v>
      </x:c>
      <x:c r="E4909" s="73" t="n">
        <x:v>1.3933</x:v>
      </x:c>
      <x:c r="F4909" s="73" t="n">
        <x:v>1.3933</x:v>
      </x:c>
      <x:c r="G4909" s="74" t="n">
        <x:v>0.0006</x:v>
      </x:c>
      <x:c r="H4909" s="66" t="str">
        <x:v>钧誉厚德量化对冲11号净值20260911.xlsx</x:v>
      </x:c>
      <x:c r="I4909" s="73" t="str">
        <x:f>""</x:f>
      </x:c>
      <x:c r="J4909" s="74" t="str">
        <x:f>""</x:f>
      </x:c>
      <x:c r="K4909" s="73" t="n">
        <x:f>MAX(K4908,F4909)</x:f>
        <x:v>1.3933</x:v>
      </x:c>
      <x:c r="L4909" s="74" t="n">
        <x:f>1-F4909/K4909</x:f>
        <x:v>0</x:v>
      </x:c>
      <x:c r="M4909" s="73" t="n">
        <x:f>MAX(M4908,F4909)</x:f>
        <x:v>1.3933</x:v>
      </x:c>
      <x:c r="N4909" s="74" t="n">
        <x:f>1-F4909/M4909</x:f>
        <x:v>0</x:v>
      </x:c>
    </x:row>
    <x:row r="4910" ht="27" customHeight="1">
      <x:c r="A4910" s="66" t="str">
        <x:v>SQN453</x:v>
      </x:c>
      <x:c r="B4910" s="66" t="str">
        <x:v>钧誉厚德量化对冲11号</x:v>
      </x:c>
      <x:c r="C4910" s="72" t="n">
        <x:v>45730</x:v>
      </x:c>
      <x:c r="D4910" s="73" t="n">
        <x:v>1.392</x:v>
      </x:c>
      <x:c r="E4910" s="73" t="n">
        <x:v>1.392</x:v>
      </x:c>
      <x:c r="F4910" s="73" t="n">
        <x:v>1.392</x:v>
      </x:c>
      <x:c r="G4910" s="74" t="n">
        <x:v>-0.0009</x:v>
      </x:c>
      <x:c r="H4910" s="66" t="str">
        <x:v>钧誉厚德量化对冲11号净值20260911.xlsx</x:v>
      </x:c>
      <x:c r="I4910" s="73" t="str">
        <x:f>""</x:f>
      </x:c>
      <x:c r="J4910" s="74" t="str">
        <x:f>""</x:f>
      </x:c>
      <x:c r="K4910" s="73" t="n">
        <x:f>MAX(K4909,F4910)</x:f>
        <x:v>1.3933</x:v>
      </x:c>
      <x:c r="L4910" s="74" t="n">
        <x:f>1-F4910/K4910</x:f>
        <x:v>0.0009330366755185837</x:v>
      </x:c>
      <x:c r="M4910" s="73" t="n">
        <x:f>MAX(M4909,F4910)</x:f>
        <x:v>1.3933</x:v>
      </x:c>
      <x:c r="N4910" s="74" t="n">
        <x:f>1-F4910/M4910</x:f>
        <x:v>0.0009330366755185837</x:v>
      </x:c>
    </x:row>
    <x:row r="4911" ht="27" customHeight="1">
      <x:c r="A4911" s="66" t="str">
        <x:v>SQN453</x:v>
      </x:c>
      <x:c r="B4911" s="66" t="str">
        <x:v>钧誉厚德量化对冲11号</x:v>
      </x:c>
      <x:c r="C4911" s="72" t="n">
        <x:v>45737</x:v>
      </x:c>
      <x:c r="D4911" s="73" t="n">
        <x:v>1.3925</x:v>
      </x:c>
      <x:c r="E4911" s="73" t="n">
        <x:v>1.3925</x:v>
      </x:c>
      <x:c r="F4911" s="73" t="n">
        <x:v>1.3925</x:v>
      </x:c>
      <x:c r="G4911" s="74" t="n">
        <x:v>0.0004</x:v>
      </x:c>
      <x:c r="H4911" s="66" t="str">
        <x:v>钧誉厚德量化对冲11号净值20260911.xlsx</x:v>
      </x:c>
      <x:c r="I4911" s="73" t="str">
        <x:f>""</x:f>
      </x:c>
      <x:c r="J4911" s="74" t="str">
        <x:f>""</x:f>
      </x:c>
      <x:c r="K4911" s="73" t="n">
        <x:f>MAX(K4910,F4911)</x:f>
        <x:v>1.3933</x:v>
      </x:c>
      <x:c r="L4911" s="74" t="n">
        <x:f>1-F4911/K4911</x:f>
        <x:v>0.0005741764157036755</x:v>
      </x:c>
      <x:c r="M4911" s="73" t="n">
        <x:f>MAX(M4910,F4911)</x:f>
        <x:v>1.3933</x:v>
      </x:c>
      <x:c r="N4911" s="74" t="n">
        <x:f>1-F4911/M4911</x:f>
        <x:v>0.0005741764157036755</x:v>
      </x:c>
    </x:row>
    <x:row r="4912" ht="27" customHeight="1">
      <x:c r="A4912" s="66" t="str">
        <x:v>SQN453</x:v>
      </x:c>
      <x:c r="B4912" s="66" t="str">
        <x:v>钧誉厚德量化对冲11号</x:v>
      </x:c>
      <x:c r="C4912" s="72" t="n">
        <x:v>45744</x:v>
      </x:c>
      <x:c r="D4912" s="73" t="n">
        <x:v>1.395</x:v>
      </x:c>
      <x:c r="E4912" s="73" t="n">
        <x:v>1.395</x:v>
      </x:c>
      <x:c r="F4912" s="73" t="n">
        <x:v>1.395</x:v>
      </x:c>
      <x:c r="G4912" s="74" t="n">
        <x:v>0.0018</x:v>
      </x:c>
      <x:c r="H4912" s="66" t="str">
        <x:v>钧誉厚德量化对冲11号净值20260911.xlsx</x:v>
      </x:c>
      <x:c r="I4912" s="73" t="str">
        <x:f>""</x:f>
      </x:c>
      <x:c r="J4912" s="74" t="str">
        <x:f>""</x:f>
      </x:c>
      <x:c r="K4912" s="73" t="n">
        <x:f>MAX(K4911,F4912)</x:f>
        <x:v>1.395</x:v>
      </x:c>
      <x:c r="L4912" s="74" t="n">
        <x:f>1-F4912/K4912</x:f>
        <x:v>0</x:v>
      </x:c>
      <x:c r="M4912" s="73" t="n">
        <x:f>MAX(M4911,F4912)</x:f>
        <x:v>1.395</x:v>
      </x:c>
      <x:c r="N4912" s="74" t="n">
        <x:f>1-F4912/M4912</x:f>
        <x:v>0</x:v>
      </x:c>
    </x:row>
    <x:row r="4913" ht="27" customHeight="1">
      <x:c r="A4913" s="66" t="str">
        <x:v>SQN453</x:v>
      </x:c>
      <x:c r="B4913" s="66" t="str">
        <x:v>钧誉厚德量化对冲11号</x:v>
      </x:c>
      <x:c r="C4913" s="72" t="n">
        <x:v>45747</x:v>
      </x:c>
      <x:c r="D4913" s="73" t="n">
        <x:v>1.3947</x:v>
      </x:c>
      <x:c r="E4913" s="73" t="n">
        <x:v>1.3947</x:v>
      </x:c>
      <x:c r="F4913" s="73" t="n">
        <x:v>1.3947</x:v>
      </x:c>
      <x:c r="G4913" s="74" t="n">
        <x:v>-0.0002</x:v>
      </x:c>
      <x:c r="H4913" s="66" t="str">
        <x:v>钧誉厚德量化对冲11号净值20260911.xlsx</x:v>
      </x:c>
      <x:c r="I4913" s="73" t="str">
        <x:f>""</x:f>
      </x:c>
      <x:c r="J4913" s="74" t="str">
        <x:f>""</x:f>
      </x:c>
      <x:c r="K4913" s="73" t="n">
        <x:f>MAX(K4912,F4913)</x:f>
        <x:v>1.395</x:v>
      </x:c>
      <x:c r="L4913" s="74" t="n">
        <x:f>1-F4913/K4913</x:f>
        <x:v>0.00021505376344088667</x:v>
      </x:c>
      <x:c r="M4913" s="73" t="n">
        <x:f>MAX(M4912,F4913)</x:f>
        <x:v>1.395</x:v>
      </x:c>
      <x:c r="N4913" s="74" t="n">
        <x:f>1-F4913/M4913</x:f>
        <x:v>0.00021505376344088667</x:v>
      </x:c>
    </x:row>
    <x:row r="4914" ht="27" customHeight="1">
      <x:c r="A4914" s="66" t="str">
        <x:v>SQN453</x:v>
      </x:c>
      <x:c r="B4914" s="66" t="str">
        <x:v>钧誉厚德量化对冲11号</x:v>
      </x:c>
      <x:c r="C4914" s="72" t="n">
        <x:v>45750</x:v>
      </x:c>
      <x:c r="D4914" s="73" t="n">
        <x:v>1.3958</x:v>
      </x:c>
      <x:c r="E4914" s="73" t="n">
        <x:v>1.3958</x:v>
      </x:c>
      <x:c r="F4914" s="73" t="n">
        <x:v>1.3958</x:v>
      </x:c>
      <x:c r="G4914" s="74" t="n">
        <x:v>0.0008</x:v>
      </x:c>
      <x:c r="H4914" s="66" t="str">
        <x:v>钧誉厚德量化对冲11号净值20260911.xlsx</x:v>
      </x:c>
      <x:c r="I4914" s="73" t="str">
        <x:f>""</x:f>
      </x:c>
      <x:c r="J4914" s="74" t="str">
        <x:f>""</x:f>
      </x:c>
      <x:c r="K4914" s="73" t="n">
        <x:f>MAX(K4913,F4914)</x:f>
        <x:v>1.3958</x:v>
      </x:c>
      <x:c r="L4914" s="74" t="n">
        <x:f>1-F4914/K4914</x:f>
        <x:v>0</x:v>
      </x:c>
      <x:c r="M4914" s="73" t="n">
        <x:f>MAX(M4913,F4914)</x:f>
        <x:v>1.3958</x:v>
      </x:c>
      <x:c r="N4914" s="74" t="n">
        <x:f>1-F4914/M4914</x:f>
        <x:v>0</x:v>
      </x:c>
    </x:row>
    <x:row r="4915" ht="27" customHeight="1">
      <x:c r="A4915" s="66" t="str">
        <x:v>SQN453</x:v>
      </x:c>
      <x:c r="B4915" s="66" t="str">
        <x:v>钧誉厚德量化对冲11号</x:v>
      </x:c>
      <x:c r="C4915" s="72" t="n">
        <x:v>45758</x:v>
      </x:c>
      <x:c r="D4915" s="73" t="n">
        <x:v>1.4034</x:v>
      </x:c>
      <x:c r="E4915" s="73" t="n">
        <x:v>1.4034</x:v>
      </x:c>
      <x:c r="F4915" s="73" t="n">
        <x:v>1.4034</x:v>
      </x:c>
      <x:c r="G4915" s="74" t="n">
        <x:v>0.0054</x:v>
      </x:c>
      <x:c r="H4915" s="66" t="str">
        <x:v>钧誉厚德量化对冲11号净值20260911.xlsx</x:v>
      </x:c>
      <x:c r="I4915" s="73" t="str">
        <x:f>""</x:f>
      </x:c>
      <x:c r="J4915" s="74" t="str">
        <x:f>""</x:f>
      </x:c>
      <x:c r="K4915" s="73" t="n">
        <x:f>MAX(K4914,F4915)</x:f>
        <x:v>1.4034</x:v>
      </x:c>
      <x:c r="L4915" s="74" t="n">
        <x:f>1-F4915/K4915</x:f>
        <x:v>0</x:v>
      </x:c>
      <x:c r="M4915" s="73" t="n">
        <x:f>MAX(M4914,F4915)</x:f>
        <x:v>1.4034</x:v>
      </x:c>
      <x:c r="N4915" s="74" t="n">
        <x:f>1-F4915/M4915</x:f>
        <x:v>0</x:v>
      </x:c>
    </x:row>
    <x:row r="4916" ht="27" customHeight="1">
      <x:c r="A4916" s="66" t="str">
        <x:v>SQN453</x:v>
      </x:c>
      <x:c r="B4916" s="66" t="str">
        <x:v>钧誉厚德量化对冲11号</x:v>
      </x:c>
      <x:c r="C4916" s="72" t="n">
        <x:v>45765</x:v>
      </x:c>
      <x:c r="D4916" s="73" t="n">
        <x:v>1.4047</x:v>
      </x:c>
      <x:c r="E4916" s="73" t="n">
        <x:v>1.4047</x:v>
      </x:c>
      <x:c r="F4916" s="73" t="n">
        <x:v>1.4047</x:v>
      </x:c>
      <x:c r="G4916" s="74" t="n">
        <x:v>0.0009</x:v>
      </x:c>
      <x:c r="H4916" s="66" t="str">
        <x:v>钧誉厚德量化对冲11号净值20260911.xlsx</x:v>
      </x:c>
      <x:c r="I4916" s="73" t="str">
        <x:f>""</x:f>
      </x:c>
      <x:c r="J4916" s="74" t="str">
        <x:f>""</x:f>
      </x:c>
      <x:c r="K4916" s="73" t="n">
        <x:f>MAX(K4915,F4916)</x:f>
        <x:v>1.4047</x:v>
      </x:c>
      <x:c r="L4916" s="74" t="n">
        <x:f>1-F4916/K4916</x:f>
        <x:v>0</x:v>
      </x:c>
      <x:c r="M4916" s="73" t="n">
        <x:f>MAX(M4915,F4916)</x:f>
        <x:v>1.4047</x:v>
      </x:c>
      <x:c r="N4916" s="74" t="n">
        <x:f>1-F4916/M4916</x:f>
        <x:v>0</x:v>
      </x:c>
    </x:row>
    <x:row r="4917" ht="27" customHeight="1">
      <x:c r="A4917" s="66" t="str">
        <x:v>SQN453</x:v>
      </x:c>
      <x:c r="B4917" s="66" t="str">
        <x:v>钧誉厚德量化对冲11号</x:v>
      </x:c>
      <x:c r="C4917" s="72" t="n">
        <x:v>45772</x:v>
      </x:c>
      <x:c r="D4917" s="73" t="n">
        <x:v>1.4055</x:v>
      </x:c>
      <x:c r="E4917" s="73" t="n">
        <x:v>1.4055</x:v>
      </x:c>
      <x:c r="F4917" s="73" t="n">
        <x:v>1.4055</x:v>
      </x:c>
      <x:c r="G4917" s="74" t="n">
        <x:v>0.0006</x:v>
      </x:c>
      <x:c r="H4917" s="66" t="str">
        <x:v>钧誉厚德量化对冲11号净值20260911.xlsx</x:v>
      </x:c>
      <x:c r="I4917" s="73" t="str">
        <x:f>""</x:f>
      </x:c>
      <x:c r="J4917" s="74" t="str">
        <x:f>""</x:f>
      </x:c>
      <x:c r="K4917" s="73" t="n">
        <x:f>MAX(K4916,F4917)</x:f>
        <x:v>1.4055</x:v>
      </x:c>
      <x:c r="L4917" s="74" t="n">
        <x:f>1-F4917/K4917</x:f>
        <x:v>0</x:v>
      </x:c>
      <x:c r="M4917" s="73" t="n">
        <x:f>MAX(M4916,F4917)</x:f>
        <x:v>1.4055</x:v>
      </x:c>
      <x:c r="N4917" s="74" t="n">
        <x:f>1-F4917/M4917</x:f>
        <x:v>0</x:v>
      </x:c>
    </x:row>
    <x:row r="4918" ht="27" customHeight="1">
      <x:c r="A4918" s="66" t="str">
        <x:v>SQN453</x:v>
      </x:c>
      <x:c r="B4918" s="66" t="str">
        <x:v>钧誉厚德量化对冲11号</x:v>
      </x:c>
      <x:c r="C4918" s="72" t="n">
        <x:v>45777</x:v>
      </x:c>
      <x:c r="D4918" s="73" t="n">
        <x:v>1.4064</x:v>
      </x:c>
      <x:c r="E4918" s="73" t="n">
        <x:v>1.4064</x:v>
      </x:c>
      <x:c r="F4918" s="73" t="n">
        <x:v>1.4064</x:v>
      </x:c>
      <x:c r="G4918" s="74" t="n">
        <x:v>0.0006</x:v>
      </x:c>
      <x:c r="H4918" s="66" t="str">
        <x:v>钧誉厚德量化对冲11号净值20260911.xlsx</x:v>
      </x:c>
      <x:c r="I4918" s="73" t="str">
        <x:f>""</x:f>
      </x:c>
      <x:c r="J4918" s="74" t="str">
        <x:f>""</x:f>
      </x:c>
      <x:c r="K4918" s="73" t="n">
        <x:f>MAX(K4917,F4918)</x:f>
        <x:v>1.4064</x:v>
      </x:c>
      <x:c r="L4918" s="74" t="n">
        <x:f>1-F4918/K4918</x:f>
        <x:v>0</x:v>
      </x:c>
      <x:c r="M4918" s="73" t="n">
        <x:f>MAX(M4917,F4918)</x:f>
        <x:v>1.4064</x:v>
      </x:c>
      <x:c r="N4918" s="74" t="n">
        <x:f>1-F4918/M4918</x:f>
        <x:v>0</x:v>
      </x:c>
    </x:row>
    <x:row r="4919" ht="27" customHeight="1">
      <x:c r="A4919" s="66" t="str">
        <x:v>SQN453</x:v>
      </x:c>
      <x:c r="B4919" s="66" t="str">
        <x:v>钧誉厚德量化对冲11号</x:v>
      </x:c>
      <x:c r="C4919" s="72" t="n">
        <x:v>45786</x:v>
      </x:c>
      <x:c r="D4919" s="73" t="n">
        <x:v>1.408</x:v>
      </x:c>
      <x:c r="E4919" s="73" t="n">
        <x:v>1.408</x:v>
      </x:c>
      <x:c r="F4919" s="73" t="n">
        <x:v>1.408</x:v>
      </x:c>
      <x:c r="G4919" s="74" t="n">
        <x:v>0.0011</x:v>
      </x:c>
      <x:c r="H4919" s="66" t="str">
        <x:v>钧誉厚德量化对冲11号净值20260911.xlsx</x:v>
      </x:c>
      <x:c r="I4919" s="73" t="str">
        <x:f>""</x:f>
      </x:c>
      <x:c r="J4919" s="74" t="str">
        <x:f>""</x:f>
      </x:c>
      <x:c r="K4919" s="73" t="n">
        <x:f>MAX(K4918,F4919)</x:f>
        <x:v>1.408</x:v>
      </x:c>
      <x:c r="L4919" s="74" t="n">
        <x:f>1-F4919/K4919</x:f>
        <x:v>0</x:v>
      </x:c>
      <x:c r="M4919" s="73" t="n">
        <x:f>MAX(M4918,F4919)</x:f>
        <x:v>1.408</x:v>
      </x:c>
      <x:c r="N4919" s="74" t="n">
        <x:f>1-F4919/M4919</x:f>
        <x:v>0</x:v>
      </x:c>
    </x:row>
    <x:row r="4920" ht="27" customHeight="1">
      <x:c r="A4920" s="66" t="str">
        <x:v>SQN453</x:v>
      </x:c>
      <x:c r="B4920" s="66" t="str">
        <x:v>钧誉厚德量化对冲11号</x:v>
      </x:c>
      <x:c r="C4920" s="72" t="n">
        <x:v>45793</x:v>
      </x:c>
      <x:c r="D4920" s="73" t="n">
        <x:v>1.4093</x:v>
      </x:c>
      <x:c r="E4920" s="73" t="n">
        <x:v>1.4093</x:v>
      </x:c>
      <x:c r="F4920" s="73" t="n">
        <x:v>1.4093</x:v>
      </x:c>
      <x:c r="G4920" s="74" t="n">
        <x:v>0.0009</x:v>
      </x:c>
      <x:c r="H4920" s="66" t="str">
        <x:v>钧誉厚德量化对冲11号净值20260911.xlsx</x:v>
      </x:c>
      <x:c r="I4920" s="73" t="str">
        <x:f>""</x:f>
      </x:c>
      <x:c r="J4920" s="74" t="str">
        <x:f>""</x:f>
      </x:c>
      <x:c r="K4920" s="73" t="n">
        <x:f>MAX(K4919,F4920)</x:f>
        <x:v>1.4093</x:v>
      </x:c>
      <x:c r="L4920" s="74" t="n">
        <x:f>1-F4920/K4920</x:f>
        <x:v>0</x:v>
      </x:c>
      <x:c r="M4920" s="73" t="n">
        <x:f>MAX(M4919,F4920)</x:f>
        <x:v>1.4093</x:v>
      </x:c>
      <x:c r="N4920" s="74" t="n">
        <x:f>1-F4920/M4920</x:f>
        <x:v>0</x:v>
      </x:c>
    </x:row>
    <x:row r="4921" ht="27" customHeight="1">
      <x:c r="A4921" s="66" t="str">
        <x:v>SQN453</x:v>
      </x:c>
      <x:c r="B4921" s="66" t="str">
        <x:v>钧誉厚德量化对冲11号</x:v>
      </x:c>
      <x:c r="C4921" s="72" t="n">
        <x:v>45800</x:v>
      </x:c>
      <x:c r="D4921" s="73" t="n">
        <x:v>1.4103</x:v>
      </x:c>
      <x:c r="E4921" s="73" t="n">
        <x:v>1.4103</x:v>
      </x:c>
      <x:c r="F4921" s="73" t="n">
        <x:v>1.4103</x:v>
      </x:c>
      <x:c r="G4921" s="74" t="n">
        <x:v>0.0007000000000000001</x:v>
      </x:c>
      <x:c r="H4921" s="66" t="str">
        <x:v>钧誉厚德量化对冲11号净值20260911.xlsx</x:v>
      </x:c>
      <x:c r="I4921" s="73" t="str">
        <x:f>""</x:f>
      </x:c>
      <x:c r="J4921" s="74" t="str">
        <x:f>""</x:f>
      </x:c>
      <x:c r="K4921" s="73" t="n">
        <x:f>MAX(K4920,F4921)</x:f>
        <x:v>1.4103</x:v>
      </x:c>
      <x:c r="L4921" s="74" t="n">
        <x:f>1-F4921/K4921</x:f>
        <x:v>0</x:v>
      </x:c>
      <x:c r="M4921" s="73" t="n">
        <x:f>MAX(M4920,F4921)</x:f>
        <x:v>1.4103</x:v>
      </x:c>
      <x:c r="N4921" s="74" t="n">
        <x:f>1-F4921/M4921</x:f>
        <x:v>0</x:v>
      </x:c>
    </x:row>
    <x:row r="4922" ht="27" customHeight="1">
      <x:c r="A4922" s="66" t="str">
        <x:v>SQN453</x:v>
      </x:c>
      <x:c r="B4922" s="66" t="str">
        <x:v>钧誉厚德量化对冲11号</x:v>
      </x:c>
      <x:c r="C4922" s="72" t="n">
        <x:v>45807</x:v>
      </x:c>
      <x:c r="D4922" s="73" t="n">
        <x:v>1.411</x:v>
      </x:c>
      <x:c r="E4922" s="73" t="n">
        <x:v>1.411</x:v>
      </x:c>
      <x:c r="F4922" s="73" t="n">
        <x:v>1.411</x:v>
      </x:c>
      <x:c r="G4922" s="74" t="n">
        <x:v>0.0005</x:v>
      </x:c>
      <x:c r="H4922" s="66" t="str">
        <x:v>钧誉厚德量化对冲11号净值20260911.xlsx</x:v>
      </x:c>
      <x:c r="I4922" s="73" t="str">
        <x:f>""</x:f>
      </x:c>
      <x:c r="J4922" s="74" t="str">
        <x:f>""</x:f>
      </x:c>
      <x:c r="K4922" s="73" t="n">
        <x:f>MAX(K4921,F4922)</x:f>
        <x:v>1.411</x:v>
      </x:c>
      <x:c r="L4922" s="74" t="n">
        <x:f>1-F4922/K4922</x:f>
        <x:v>0</x:v>
      </x:c>
      <x:c r="M4922" s="73" t="n">
        <x:f>MAX(M4921,F4922)</x:f>
        <x:v>1.411</x:v>
      </x:c>
      <x:c r="N4922" s="74" t="n">
        <x:f>1-F4922/M4922</x:f>
        <x:v>0</x:v>
      </x:c>
    </x:row>
    <x:row r="4923" ht="27" customHeight="1">
      <x:c r="A4923" s="66" t="str">
        <x:v>SQN453</x:v>
      </x:c>
      <x:c r="B4923" s="66" t="str">
        <x:v>钧誉厚德量化对冲11号</x:v>
      </x:c>
      <x:c r="C4923" s="72" t="n">
        <x:v>45814</x:v>
      </x:c>
      <x:c r="D4923" s="73" t="n">
        <x:v>1.4118</x:v>
      </x:c>
      <x:c r="E4923" s="73" t="n">
        <x:v>1.4118</x:v>
      </x:c>
      <x:c r="F4923" s="73" t="n">
        <x:v>1.4118</x:v>
      </x:c>
      <x:c r="G4923" s="74" t="n">
        <x:v>0.0006</x:v>
      </x:c>
      <x:c r="H4923" s="66" t="str">
        <x:v>钧誉厚德量化对冲11号净值20260911.xlsx</x:v>
      </x:c>
      <x:c r="I4923" s="73" t="str">
        <x:f>""</x:f>
      </x:c>
      <x:c r="J4923" s="74" t="str">
        <x:f>""</x:f>
      </x:c>
      <x:c r="K4923" s="73" t="n">
        <x:f>MAX(K4922,F4923)</x:f>
        <x:v>1.4118</x:v>
      </x:c>
      <x:c r="L4923" s="74" t="n">
        <x:f>1-F4923/K4923</x:f>
        <x:v>0</x:v>
      </x:c>
      <x:c r="M4923" s="73" t="n">
        <x:f>MAX(M4922,F4923)</x:f>
        <x:v>1.4118</x:v>
      </x:c>
      <x:c r="N4923" s="74" t="n">
        <x:f>1-F4923/M4923</x:f>
        <x:v>0</x:v>
      </x:c>
    </x:row>
    <x:row r="4924" ht="27" customHeight="1">
      <x:c r="A4924" s="66" t="str">
        <x:v>SQN453</x:v>
      </x:c>
      <x:c r="B4924" s="66" t="str">
        <x:v>钧誉厚德量化对冲11号</x:v>
      </x:c>
      <x:c r="C4924" s="72" t="n">
        <x:v>45821</x:v>
      </x:c>
      <x:c r="D4924" s="73" t="n">
        <x:v>1.4123</x:v>
      </x:c>
      <x:c r="E4924" s="73" t="n">
        <x:v>1.4123</x:v>
      </x:c>
      <x:c r="F4924" s="73" t="n">
        <x:v>1.4123</x:v>
      </x:c>
      <x:c r="G4924" s="74" t="n">
        <x:v>0.0004</x:v>
      </x:c>
      <x:c r="H4924" s="66" t="str">
        <x:v>钧誉厚德量化对冲11号净值20260911.xlsx</x:v>
      </x:c>
      <x:c r="I4924" s="73" t="str">
        <x:f>""</x:f>
      </x:c>
      <x:c r="J4924" s="74" t="str">
        <x:f>""</x:f>
      </x:c>
      <x:c r="K4924" s="73" t="n">
        <x:f>MAX(K4923,F4924)</x:f>
        <x:v>1.4123</x:v>
      </x:c>
      <x:c r="L4924" s="74" t="n">
        <x:f>1-F4924/K4924</x:f>
        <x:v>0</x:v>
      </x:c>
      <x:c r="M4924" s="73" t="n">
        <x:f>MAX(M4923,F4924)</x:f>
        <x:v>1.4123</x:v>
      </x:c>
      <x:c r="N4924" s="74" t="n">
        <x:f>1-F4924/M4924</x:f>
        <x:v>0</x:v>
      </x:c>
    </x:row>
    <x:row r="4925" ht="27" customHeight="1">
      <x:c r="A4925" s="66" t="str">
        <x:v>SQN453</x:v>
      </x:c>
      <x:c r="B4925" s="66" t="str">
        <x:v>钧誉厚德量化对冲11号</x:v>
      </x:c>
      <x:c r="C4925" s="72" t="n">
        <x:v>45828</x:v>
      </x:c>
      <x:c r="D4925" s="73" t="n">
        <x:v>1.4129</x:v>
      </x:c>
      <x:c r="E4925" s="73" t="n">
        <x:v>1.4129</x:v>
      </x:c>
      <x:c r="F4925" s="73" t="n">
        <x:v>1.4129</x:v>
      </x:c>
      <x:c r="G4925" s="74" t="n">
        <x:v>0.0004</x:v>
      </x:c>
      <x:c r="H4925" s="66" t="str">
        <x:v>钧誉厚德量化对冲11号净值20260911.xlsx</x:v>
      </x:c>
      <x:c r="I4925" s="73" t="str">
        <x:f>""</x:f>
      </x:c>
      <x:c r="J4925" s="74" t="str">
        <x:f>""</x:f>
      </x:c>
      <x:c r="K4925" s="73" t="n">
        <x:f>MAX(K4924,F4925)</x:f>
        <x:v>1.4129</x:v>
      </x:c>
      <x:c r="L4925" s="74" t="n">
        <x:f>1-F4925/K4925</x:f>
        <x:v>0</x:v>
      </x:c>
      <x:c r="M4925" s="73" t="n">
        <x:f>MAX(M4924,F4925)</x:f>
        <x:v>1.4129</x:v>
      </x:c>
      <x:c r="N4925" s="74" t="n">
        <x:f>1-F4925/M4925</x:f>
        <x:v>0</x:v>
      </x:c>
    </x:row>
    <x:row r="4926" ht="27" customHeight="1">
      <x:c r="A4926" s="66" t="str">
        <x:v>SQN453</x:v>
      </x:c>
      <x:c r="B4926" s="66" t="str">
        <x:v>钧誉厚德量化对冲11号</x:v>
      </x:c>
      <x:c r="C4926" s="72" t="n">
        <x:v>45835</x:v>
      </x:c>
      <x:c r="D4926" s="73" t="n">
        <x:v>1.4165</x:v>
      </x:c>
      <x:c r="E4926" s="73" t="n">
        <x:v>1.4165</x:v>
      </x:c>
      <x:c r="F4926" s="73" t="n">
        <x:v>1.4165</x:v>
      </x:c>
      <x:c r="G4926" s="74" t="n">
        <x:v>0.0025</x:v>
      </x:c>
      <x:c r="H4926" s="66" t="str">
        <x:v>钧誉厚德量化对冲11号净值20260911.xlsx</x:v>
      </x:c>
      <x:c r="I4926" s="73" t="str">
        <x:f>""</x:f>
      </x:c>
      <x:c r="J4926" s="74" t="str">
        <x:f>""</x:f>
      </x:c>
      <x:c r="K4926" s="73" t="n">
        <x:f>MAX(K4925,F4926)</x:f>
        <x:v>1.4165</x:v>
      </x:c>
      <x:c r="L4926" s="74" t="n">
        <x:f>1-F4926/K4926</x:f>
        <x:v>0</x:v>
      </x:c>
      <x:c r="M4926" s="73" t="n">
        <x:f>MAX(M4925,F4926)</x:f>
        <x:v>1.4165</x:v>
      </x:c>
      <x:c r="N4926" s="74" t="n">
        <x:f>1-F4926/M4926</x:f>
        <x:v>0</x:v>
      </x:c>
    </x:row>
    <x:row r="4927" ht="27" customHeight="1">
      <x:c r="A4927" s="66" t="str">
        <x:v>SQN453</x:v>
      </x:c>
      <x:c r="B4927" s="66" t="str">
        <x:v>钧誉厚德量化对冲11号</x:v>
      </x:c>
      <x:c r="C4927" s="72" t="n">
        <x:v>45838</x:v>
      </x:c>
      <x:c r="D4927" s="73" t="n">
        <x:v>1.4164</x:v>
      </x:c>
      <x:c r="E4927" s="73" t="n">
        <x:v>1.4164</x:v>
      </x:c>
      <x:c r="F4927" s="73" t="n">
        <x:v>1.4164</x:v>
      </x:c>
      <x:c r="G4927" s="74" t="n">
        <x:v>-0.0001</x:v>
      </x:c>
      <x:c r="H4927" s="66" t="str">
        <x:v>钧誉厚德量化对冲11号净值20260911.xlsx</x:v>
      </x:c>
      <x:c r="I4927" s="73" t="str">
        <x:f>""</x:f>
      </x:c>
      <x:c r="J4927" s="74" t="str">
        <x:f>""</x:f>
      </x:c>
      <x:c r="K4927" s="73" t="n">
        <x:f>MAX(K4926,F4927)</x:f>
        <x:v>1.4165</x:v>
      </x:c>
      <x:c r="L4927" s="74" t="n">
        <x:f>1-F4927/K4927</x:f>
        <x:v>0.00007059654076946309</x:v>
      </x:c>
      <x:c r="M4927" s="73" t="n">
        <x:f>MAX(M4926,F4927)</x:f>
        <x:v>1.4165</x:v>
      </x:c>
      <x:c r="N4927" s="74" t="n">
        <x:f>1-F4927/M4927</x:f>
        <x:v>0.00007059654076946309</x:v>
      </x:c>
    </x:row>
    <x:row r="4928" ht="27" customHeight="1">
      <x:c r="A4928" s="66" t="str">
        <x:v>SQN453</x:v>
      </x:c>
      <x:c r="B4928" s="66" t="str">
        <x:v>钧誉厚德量化对冲11号</x:v>
      </x:c>
      <x:c r="C4928" s="72" t="n">
        <x:v>45842</x:v>
      </x:c>
      <x:c r="D4928" s="73" t="n">
        <x:v>1.4169</x:v>
      </x:c>
      <x:c r="E4928" s="73" t="n">
        <x:v>1.4169</x:v>
      </x:c>
      <x:c r="F4928" s="73" t="n">
        <x:v>1.4169</x:v>
      </x:c>
      <x:c r="G4928" s="74" t="n">
        <x:v>0.0004</x:v>
      </x:c>
      <x:c r="H4928" s="66" t="str">
        <x:v>钧誉厚德量化对冲11号净值20260911.xlsx</x:v>
      </x:c>
      <x:c r="I4928" s="73" t="str">
        <x:f>""</x:f>
      </x:c>
      <x:c r="J4928" s="74" t="str">
        <x:f>""</x:f>
      </x:c>
      <x:c r="K4928" s="73" t="n">
        <x:f>MAX(K4927,F4928)</x:f>
        <x:v>1.4169</x:v>
      </x:c>
      <x:c r="L4928" s="74" t="n">
        <x:f>1-F4928/K4928</x:f>
        <x:v>0</x:v>
      </x:c>
      <x:c r="M4928" s="73" t="n">
        <x:f>MAX(M4927,F4928)</x:f>
        <x:v>1.4169</x:v>
      </x:c>
      <x:c r="N4928" s="74" t="n">
        <x:f>1-F4928/M4928</x:f>
        <x:v>0</x:v>
      </x:c>
    </x:row>
    <x:row r="4929" ht="27" customHeight="1">
      <x:c r="A4929" s="66" t="str">
        <x:v>SQN453</x:v>
      </x:c>
      <x:c r="B4929" s="66" t="str">
        <x:v>钧誉厚德量化对冲11号</x:v>
      </x:c>
      <x:c r="C4929" s="72" t="n">
        <x:v>45849</x:v>
      </x:c>
      <x:c r="D4929" s="73" t="n">
        <x:v>1.4193</x:v>
      </x:c>
      <x:c r="E4929" s="73" t="n">
        <x:v>1.4193</x:v>
      </x:c>
      <x:c r="F4929" s="73" t="n">
        <x:v>1.4193</x:v>
      </x:c>
      <x:c r="G4929" s="74" t="n">
        <x:v>0.0017000000000000001</x:v>
      </x:c>
      <x:c r="H4929" s="66" t="str">
        <x:v>钧誉厚德量化对冲11号净值20260911.xlsx</x:v>
      </x:c>
      <x:c r="I4929" s="73" t="str">
        <x:f>""</x:f>
      </x:c>
      <x:c r="J4929" s="74" t="str">
        <x:f>""</x:f>
      </x:c>
      <x:c r="K4929" s="73" t="n">
        <x:f>MAX(K4928,F4929)</x:f>
        <x:v>1.4193</x:v>
      </x:c>
      <x:c r="L4929" s="74" t="n">
        <x:f>1-F4929/K4929</x:f>
        <x:v>0</x:v>
      </x:c>
      <x:c r="M4929" s="73" t="n">
        <x:f>MAX(M4928,F4929)</x:f>
        <x:v>1.4193</x:v>
      </x:c>
      <x:c r="N4929" s="74" t="n">
        <x:f>1-F4929/M4929</x:f>
        <x:v>0</x:v>
      </x:c>
    </x:row>
    <x:row r="4930" ht="27" customHeight="1">
      <x:c r="A4930" s="66" t="str">
        <x:v>SQN453</x:v>
      </x:c>
      <x:c r="B4930" s="66" t="str">
        <x:v>钧誉厚德量化对冲11号</x:v>
      </x:c>
      <x:c r="C4930" s="72" t="n">
        <x:v>45856</x:v>
      </x:c>
      <x:c r="D4930" s="73" t="n">
        <x:v>1.4192</x:v>
      </x:c>
      <x:c r="E4930" s="73" t="n">
        <x:v>1.4192</x:v>
      </x:c>
      <x:c r="F4930" s="73" t="n">
        <x:v>1.4192</x:v>
      </x:c>
      <x:c r="G4930" s="74" t="n">
        <x:v>-0.0001</x:v>
      </x:c>
      <x:c r="H4930" s="66" t="str">
        <x:v>钧誉厚德量化对冲11号净值20260911.xlsx</x:v>
      </x:c>
      <x:c r="I4930" s="73" t="str">
        <x:f>""</x:f>
      </x:c>
      <x:c r="J4930" s="74" t="str">
        <x:f>""</x:f>
      </x:c>
      <x:c r="K4930" s="73" t="n">
        <x:f>MAX(K4929,F4930)</x:f>
        <x:v>1.4193</x:v>
      </x:c>
      <x:c r="L4930" s="74" t="n">
        <x:f>1-F4930/K4930</x:f>
        <x:v>0.00007045726766718996</x:v>
      </x:c>
      <x:c r="M4930" s="73" t="n">
        <x:f>MAX(M4929,F4930)</x:f>
        <x:v>1.4193</x:v>
      </x:c>
      <x:c r="N4930" s="74" t="n">
        <x:f>1-F4930/M4930</x:f>
        <x:v>0.00007045726766718996</x:v>
      </x:c>
    </x:row>
    <x:row r="4931" ht="27" customHeight="1">
      <x:c r="A4931" s="66" t="str">
        <x:v>SQN453</x:v>
      </x:c>
      <x:c r="B4931" s="66" t="str">
        <x:v>钧誉厚德量化对冲11号</x:v>
      </x:c>
      <x:c r="C4931" s="72" t="n">
        <x:v>45863</x:v>
      </x:c>
      <x:c r="D4931" s="73" t="n">
        <x:v>1.4218</x:v>
      </x:c>
      <x:c r="E4931" s="73" t="n">
        <x:v>1.4218</x:v>
      </x:c>
      <x:c r="F4931" s="73" t="n">
        <x:v>1.4218</x:v>
      </x:c>
      <x:c r="G4931" s="74" t="n">
        <x:v>0.0018</x:v>
      </x:c>
      <x:c r="H4931" s="66" t="str">
        <x:v>钧誉厚德量化对冲11号净值20260911.xlsx</x:v>
      </x:c>
      <x:c r="I4931" s="73" t="str">
        <x:f>""</x:f>
      </x:c>
      <x:c r="J4931" s="74" t="str">
        <x:f>""</x:f>
      </x:c>
      <x:c r="K4931" s="73" t="n">
        <x:f>MAX(K4930,F4931)</x:f>
        <x:v>1.4218</x:v>
      </x:c>
      <x:c r="L4931" s="74" t="n">
        <x:f>1-F4931/K4931</x:f>
        <x:v>0</x:v>
      </x:c>
      <x:c r="M4931" s="73" t="n">
        <x:f>MAX(M4930,F4931)</x:f>
        <x:v>1.4218</x:v>
      </x:c>
      <x:c r="N4931" s="74" t="n">
        <x:f>1-F4931/M4931</x:f>
        <x:v>0</x:v>
      </x:c>
    </x:row>
    <x:row r="4932" ht="27" customHeight="1">
      <x:c r="A4932" s="66" t="str">
        <x:v>SQN453</x:v>
      </x:c>
      <x:c r="B4932" s="66" t="str">
        <x:v>钧誉厚德量化对冲11号</x:v>
      </x:c>
      <x:c r="C4932" s="72" t="n">
        <x:v>45869</x:v>
      </x:c>
      <x:c r="D4932" s="73" t="n">
        <x:v>1.423</x:v>
      </x:c>
      <x:c r="E4932" s="73" t="n">
        <x:v>1.423</x:v>
      </x:c>
      <x:c r="F4932" s="73" t="n">
        <x:v>1.423</x:v>
      </x:c>
      <x:c r="G4932" s="74" t="n">
        <x:v>0.0008</x:v>
      </x:c>
      <x:c r="H4932" s="66" t="str">
        <x:v>钧誉厚德量化对冲11号净值20260911.xlsx</x:v>
      </x:c>
      <x:c r="I4932" s="73" t="str">
        <x:f>""</x:f>
      </x:c>
      <x:c r="J4932" s="74" t="str">
        <x:f>""</x:f>
      </x:c>
      <x:c r="K4932" s="73" t="n">
        <x:f>MAX(K4931,F4932)</x:f>
        <x:v>1.423</x:v>
      </x:c>
      <x:c r="L4932" s="74" t="n">
        <x:f>1-F4932/K4932</x:f>
        <x:v>0</x:v>
      </x:c>
      <x:c r="M4932" s="73" t="n">
        <x:f>MAX(M4931,F4932)</x:f>
        <x:v>1.423</x:v>
      </x:c>
      <x:c r="N4932" s="74" t="n">
        <x:f>1-F4932/M4932</x:f>
        <x:v>0</x:v>
      </x:c>
    </x:row>
    <x:row r="4933" ht="27" customHeight="1">
      <x:c r="A4933" s="66" t="str">
        <x:v>SQN453</x:v>
      </x:c>
      <x:c r="B4933" s="66" t="str">
        <x:v>钧誉厚德量化对冲11号</x:v>
      </x:c>
      <x:c r="C4933" s="72" t="n">
        <x:v>45870</x:v>
      </x:c>
      <x:c r="D4933" s="73" t="n">
        <x:v>1.4235</x:v>
      </x:c>
      <x:c r="E4933" s="73" t="n">
        <x:v>1.4235</x:v>
      </x:c>
      <x:c r="F4933" s="73" t="n">
        <x:v>1.4235</x:v>
      </x:c>
      <x:c r="G4933" s="74" t="n">
        <x:v>0.0004</x:v>
      </x:c>
      <x:c r="H4933" s="66" t="str">
        <x:v>钧誉厚德量化对冲11号净值20260911.xlsx</x:v>
      </x:c>
      <x:c r="I4933" s="73" t="str">
        <x:f>""</x:f>
      </x:c>
      <x:c r="J4933" s="74" t="str">
        <x:f>""</x:f>
      </x:c>
      <x:c r="K4933" s="73" t="n">
        <x:f>MAX(K4932,F4933)</x:f>
        <x:v>1.4235</x:v>
      </x:c>
      <x:c r="L4933" s="74" t="n">
        <x:f>1-F4933/K4933</x:f>
        <x:v>0</x:v>
      </x:c>
      <x:c r="M4933" s="73" t="n">
        <x:f>MAX(M4932,F4933)</x:f>
        <x:v>1.4235</x:v>
      </x:c>
      <x:c r="N4933" s="74" t="n">
        <x:f>1-F4933/M4933</x:f>
        <x:v>0</x:v>
      </x:c>
    </x:row>
    <x:row r="4934" ht="27" customHeight="1">
      <x:c r="A4934" s="66" t="str">
        <x:v>SQN453</x:v>
      </x:c>
      <x:c r="B4934" s="66" t="str">
        <x:v>钧誉厚德量化对冲11号</x:v>
      </x:c>
      <x:c r="C4934" s="72" t="n">
        <x:v>45877</x:v>
      </x:c>
      <x:c r="D4934" s="73" t="n">
        <x:v>1.4244</x:v>
      </x:c>
      <x:c r="E4934" s="73" t="n">
        <x:v>1.4244</x:v>
      </x:c>
      <x:c r="F4934" s="73" t="n">
        <x:v>1.4244</x:v>
      </x:c>
      <x:c r="G4934" s="74" t="n">
        <x:v>0.0006</x:v>
      </x:c>
      <x:c r="H4934" s="66" t="str">
        <x:v>钧誉厚德量化对冲11号净值20260911.xlsx</x:v>
      </x:c>
      <x:c r="I4934" s="73" t="str">
        <x:f>""</x:f>
      </x:c>
      <x:c r="J4934" s="74" t="str">
        <x:f>""</x:f>
      </x:c>
      <x:c r="K4934" s="73" t="n">
        <x:f>MAX(K4933,F4934)</x:f>
        <x:v>1.4244</x:v>
      </x:c>
      <x:c r="L4934" s="74" t="n">
        <x:f>1-F4934/K4934</x:f>
        <x:v>0</x:v>
      </x:c>
      <x:c r="M4934" s="73" t="n">
        <x:f>MAX(M4933,F4934)</x:f>
        <x:v>1.4244</x:v>
      </x:c>
      <x:c r="N4934" s="74" t="n">
        <x:f>1-F4934/M4934</x:f>
        <x:v>0</x:v>
      </x:c>
    </x:row>
    <x:row r="4935" ht="27" customHeight="1">
      <x:c r="A4935" s="66" t="str">
        <x:v>SQN453</x:v>
      </x:c>
      <x:c r="B4935" s="66" t="str">
        <x:v>钧誉厚德量化对冲11号</x:v>
      </x:c>
      <x:c r="C4935" s="72" t="n">
        <x:v>45884</x:v>
      </x:c>
      <x:c r="D4935" s="73" t="n">
        <x:v>1.4229</x:v>
      </x:c>
      <x:c r="E4935" s="73" t="n">
        <x:v>1.4229</x:v>
      </x:c>
      <x:c r="F4935" s="73" t="n">
        <x:v>1.4229</x:v>
      </x:c>
      <x:c r="G4935" s="74" t="n">
        <x:v>-0.0011</x:v>
      </x:c>
      <x:c r="H4935" s="66" t="str">
        <x:v>钧誉厚德量化对冲11号净值20260911.xlsx</x:v>
      </x:c>
      <x:c r="I4935" s="73" t="str">
        <x:f>""</x:f>
      </x:c>
      <x:c r="J4935" s="74" t="str">
        <x:f>""</x:f>
      </x:c>
      <x:c r="K4935" s="73" t="n">
        <x:f>MAX(K4934,F4935)</x:f>
        <x:v>1.4244</x:v>
      </x:c>
      <x:c r="L4935" s="74" t="n">
        <x:f>1-F4935/K4935</x:f>
        <x:v>0.001053074978938584</x:v>
      </x:c>
      <x:c r="M4935" s="73" t="n">
        <x:f>MAX(M4934,F4935)</x:f>
        <x:v>1.4244</x:v>
      </x:c>
      <x:c r="N4935" s="74" t="n">
        <x:f>1-F4935/M4935</x:f>
        <x:v>0.001053074978938584</x:v>
      </x:c>
    </x:row>
    <x:row r="4936" ht="27" customHeight="1">
      <x:c r="A4936" s="66" t="str">
        <x:v>SQN453</x:v>
      </x:c>
      <x:c r="B4936" s="66" t="str">
        <x:v>钧誉厚德量化对冲11号</x:v>
      </x:c>
      <x:c r="C4936" s="72" t="n">
        <x:v>45891</x:v>
      </x:c>
      <x:c r="D4936" s="73" t="n">
        <x:v>1.4236</x:v>
      </x:c>
      <x:c r="E4936" s="73" t="n">
        <x:v>1.4236</x:v>
      </x:c>
      <x:c r="F4936" s="73" t="n">
        <x:v>1.4236</x:v>
      </x:c>
      <x:c r="G4936" s="74" t="n">
        <x:v>0.0005</x:v>
      </x:c>
      <x:c r="H4936" s="66" t="str">
        <x:v>钧誉厚德量化对冲11号净值20260911.xlsx</x:v>
      </x:c>
      <x:c r="I4936" s="73" t="str">
        <x:f>""</x:f>
      </x:c>
      <x:c r="J4936" s="74" t="str">
        <x:f>""</x:f>
      </x:c>
      <x:c r="K4936" s="73" t="n">
        <x:f>MAX(K4935,F4936)</x:f>
        <x:v>1.4244</x:v>
      </x:c>
      <x:c r="L4936" s="74" t="n">
        <x:f>1-F4936/K4936</x:f>
        <x:v>0.0005616399887673484</x:v>
      </x:c>
      <x:c r="M4936" s="73" t="n">
        <x:f>MAX(M4935,F4936)</x:f>
        <x:v>1.4244</x:v>
      </x:c>
      <x:c r="N4936" s="74" t="n">
        <x:f>1-F4936/M4936</x:f>
        <x:v>0.0005616399887673484</x:v>
      </x:c>
    </x:row>
    <x:row r="4937" ht="27" customHeight="1">
      <x:c r="A4937" s="66" t="str">
        <x:v>SQN453</x:v>
      </x:c>
      <x:c r="B4937" s="66" t="str">
        <x:v>钧誉厚德量化对冲11号</x:v>
      </x:c>
      <x:c r="C4937" s="72" t="n">
        <x:v>45898</x:v>
      </x:c>
      <x:c r="D4937" s="73" t="n">
        <x:v>1.4244</x:v>
      </x:c>
      <x:c r="E4937" s="73" t="n">
        <x:v>1.4244</x:v>
      </x:c>
      <x:c r="F4937" s="73" t="n">
        <x:v>1.4244</x:v>
      </x:c>
      <x:c r="G4937" s="74" t="n">
        <x:v>0.0006</x:v>
      </x:c>
      <x:c r="H4937" s="66" t="str">
        <x:v>钧誉厚德量化对冲11号净值20260911.xlsx</x:v>
      </x:c>
      <x:c r="I4937" s="73" t="n">
        <x:f>F4937</x:f>
        <x:v>1.4244</x:v>
      </x:c>
      <x:c r="J4937" s="74" t="n">
        <x:f>1-F4937/I4937</x:f>
        <x:v>0</x:v>
      </x:c>
      <x:c r="K4937" s="73" t="n">
        <x:f>MAX(K4936,F4937)</x:f>
        <x:v>1.4244</x:v>
      </x:c>
      <x:c r="L4937" s="74" t="n">
        <x:f>1-F4937/K4937</x:f>
        <x:v>0</x:v>
      </x:c>
      <x:c r="M4937" s="73" t="n">
        <x:f>MAX(M4936,F4937)</x:f>
        <x:v>1.4244</x:v>
      </x:c>
      <x:c r="N4937" s="74" t="n">
        <x:f>1-F4937/M4937</x:f>
        <x:v>0</x:v>
      </x:c>
    </x:row>
    <x:row r="4938" ht="27" customHeight="1">
      <x:c r="A4938" s="66" t="str">
        <x:v>SQN453</x:v>
      </x:c>
      <x:c r="B4938" s="66" t="str">
        <x:v>钧誉厚德量化对冲11号</x:v>
      </x:c>
      <x:c r="C4938" s="72" t="n">
        <x:v>45905</x:v>
      </x:c>
      <x:c r="D4938" s="73" t="n">
        <x:v>1.4254</x:v>
      </x:c>
      <x:c r="E4938" s="73" t="n">
        <x:v>1.4254</x:v>
      </x:c>
      <x:c r="F4938" s="73" t="n">
        <x:v>1.4254</x:v>
      </x:c>
      <x:c r="G4938" s="74" t="n">
        <x:v>0.0007000000000000001</x:v>
      </x:c>
      <x:c r="H4938" s="66" t="str">
        <x:v>钧誉厚德量化对冲11号净值20260911.xlsx</x:v>
      </x:c>
      <x:c r="I4938" s="73" t="n">
        <x:f>MAX(I4937,F4938)</x:f>
        <x:v>1.4254</x:v>
      </x:c>
      <x:c r="J4938" s="74" t="n">
        <x:f>1-F4938/I4938</x:f>
        <x:v>0</x:v>
      </x:c>
      <x:c r="K4938" s="73" t="n">
        <x:f>MAX(K4937,F4938)</x:f>
        <x:v>1.4254</x:v>
      </x:c>
      <x:c r="L4938" s="74" t="n">
        <x:f>1-F4938/K4938</x:f>
        <x:v>0</x:v>
      </x:c>
      <x:c r="M4938" s="73" t="n">
        <x:f>MAX(M4937,F4938)</x:f>
        <x:v>1.4254</x:v>
      </x:c>
      <x:c r="N4938" s="74" t="n">
        <x:f>1-F4938/M4938</x:f>
        <x:v>0</x:v>
      </x:c>
    </x:row>
    <x:row r="4939" ht="27" customHeight="1">
      <x:c r="A4939" s="66" t="str">
        <x:v>SQN453</x:v>
      </x:c>
      <x:c r="B4939" s="66" t="str">
        <x:v>钧誉厚德量化对冲11号</x:v>
      </x:c>
      <x:c r="C4939" s="72" t="n">
        <x:v>45912</x:v>
      </x:c>
      <x:c r="D4939" s="73" t="n">
        <x:v>1.4254</x:v>
      </x:c>
      <x:c r="E4939" s="73" t="n">
        <x:v>1.4254</x:v>
      </x:c>
      <x:c r="F4939" s="73" t="n">
        <x:v>1.4254</x:v>
      </x:c>
      <x:c r="G4939" s="74" t="n">
        <x:v>0</x:v>
      </x:c>
      <x:c r="H4939" s="66" t="str">
        <x:v>钧誉厚德量化对冲11号净值20260911.xlsx</x:v>
      </x:c>
      <x:c r="I4939" s="73" t="n">
        <x:f>MAX(I4938,F4939)</x:f>
        <x:v>1.4254</x:v>
      </x:c>
      <x:c r="J4939" s="74" t="n">
        <x:f>1-F4939/I4939</x:f>
        <x:v>0</x:v>
      </x:c>
      <x:c r="K4939" s="73" t="n">
        <x:f>MAX(K4938,F4939)</x:f>
        <x:v>1.4254</x:v>
      </x:c>
      <x:c r="L4939" s="74" t="n">
        <x:f>1-F4939/K4939</x:f>
        <x:v>0</x:v>
      </x:c>
      <x:c r="M4939" s="73" t="n">
        <x:f>MAX(M4938,F4939)</x:f>
        <x:v>1.4254</x:v>
      </x:c>
      <x:c r="N4939" s="74" t="n">
        <x:f>1-F4939/M4939</x:f>
        <x:v>0</x:v>
      </x:c>
    </x:row>
    <x:row r="4940" ht="27" customHeight="1">
      <x:c r="A4940" s="66" t="str">
        <x:v>SQN453</x:v>
      </x:c>
      <x:c r="B4940" s="66" t="str">
        <x:v>钧誉厚德量化对冲11号</x:v>
      </x:c>
      <x:c r="C4940" s="72" t="n">
        <x:v>45919</x:v>
      </x:c>
      <x:c r="D4940" s="73" t="n">
        <x:v>1.4257</x:v>
      </x:c>
      <x:c r="E4940" s="73" t="n">
        <x:v>1.4257</x:v>
      </x:c>
      <x:c r="F4940" s="73" t="n">
        <x:v>1.4257</x:v>
      </x:c>
      <x:c r="G4940" s="74" t="n">
        <x:v>0.0002</x:v>
      </x:c>
      <x:c r="H4940" s="66" t="str">
        <x:v>钧誉厚德量化对冲11号净值20260911.xlsx</x:v>
      </x:c>
      <x:c r="I4940" s="73" t="n">
        <x:f>MAX(I4939,F4940)</x:f>
        <x:v>1.4257</x:v>
      </x:c>
      <x:c r="J4940" s="74" t="n">
        <x:f>1-F4940/I4940</x:f>
        <x:v>0</x:v>
      </x:c>
      <x:c r="K4940" s="73" t="n">
        <x:f>MAX(K4939,F4940)</x:f>
        <x:v>1.4257</x:v>
      </x:c>
      <x:c r="L4940" s="74" t="n">
        <x:f>1-F4940/K4940</x:f>
        <x:v>0</x:v>
      </x:c>
      <x:c r="M4940" s="73" t="n">
        <x:f>MAX(M4939,F4940)</x:f>
        <x:v>1.4257</x:v>
      </x:c>
      <x:c r="N4940" s="74" t="n">
        <x:f>1-F4940/M4940</x:f>
        <x:v>0</x:v>
      </x:c>
    </x:row>
    <x:row r="4941" ht="27" customHeight="1">
      <x:c r="A4941" s="66" t="str">
        <x:v>SQN453</x:v>
      </x:c>
      <x:c r="B4941" s="66" t="str">
        <x:v>钧誉厚德量化对冲11号</x:v>
      </x:c>
      <x:c r="C4941" s="72" t="n">
        <x:v>45926</x:v>
      </x:c>
      <x:c r="D4941" s="73" t="n">
        <x:v>1.4292</x:v>
      </x:c>
      <x:c r="E4941" s="73" t="n">
        <x:v>1.4292</x:v>
      </x:c>
      <x:c r="F4941" s="73" t="n">
        <x:v>1.4292</x:v>
      </x:c>
      <x:c r="G4941" s="74" t="n">
        <x:v>0.0025</x:v>
      </x:c>
      <x:c r="H4941" s="66" t="str">
        <x:v>钧誉厚德量化对冲11号净值20260911.xlsx</x:v>
      </x:c>
      <x:c r="I4941" s="73" t="n">
        <x:f>MAX(I4940,F4941)</x:f>
        <x:v>1.4292</x:v>
      </x:c>
      <x:c r="J4941" s="74" t="n">
        <x:f>1-F4941/I4941</x:f>
        <x:v>0</x:v>
      </x:c>
      <x:c r="K4941" s="73" t="n">
        <x:f>MAX(K4940,F4941)</x:f>
        <x:v>1.4292</x:v>
      </x:c>
      <x:c r="L4941" s="74" t="n">
        <x:f>1-F4941/K4941</x:f>
        <x:v>0</x:v>
      </x:c>
      <x:c r="M4941" s="73" t="n">
        <x:f>MAX(M4940,F4941)</x:f>
        <x:v>1.4292</x:v>
      </x:c>
      <x:c r="N4941" s="74" t="n">
        <x:f>1-F4941/M4941</x:f>
        <x:v>0</x:v>
      </x:c>
    </x:row>
    <x:row r="4942" ht="27" customHeight="1">
      <x:c r="A4942" s="66" t="str">
        <x:v>SQN453</x:v>
      </x:c>
      <x:c r="B4942" s="66" t="str">
        <x:v>钧誉厚德量化对冲11号</x:v>
      </x:c>
      <x:c r="C4942" s="72" t="n">
        <x:v>45930</x:v>
      </x:c>
      <x:c r="D4942" s="73" t="n">
        <x:v>1.4293</x:v>
      </x:c>
      <x:c r="E4942" s="73" t="n">
        <x:v>1.4293</x:v>
      </x:c>
      <x:c r="F4942" s="73" t="n">
        <x:v>1.4293</x:v>
      </x:c>
      <x:c r="G4942" s="74" t="n">
        <x:v>0.0001</x:v>
      </x:c>
      <x:c r="H4942" s="66" t="str">
        <x:v>钧誉厚德量化对冲11号净值20260911.xlsx</x:v>
      </x:c>
      <x:c r="I4942" s="73" t="n">
        <x:f>MAX(I4941,F4942)</x:f>
        <x:v>1.4293</x:v>
      </x:c>
      <x:c r="J4942" s="74" t="n">
        <x:f>1-F4942/I4942</x:f>
        <x:v>0</x:v>
      </x:c>
      <x:c r="K4942" s="73" t="n">
        <x:f>MAX(K4941,F4942)</x:f>
        <x:v>1.4293</x:v>
      </x:c>
      <x:c r="L4942" s="74" t="n">
        <x:f>1-F4942/K4942</x:f>
        <x:v>0</x:v>
      </x:c>
      <x:c r="M4942" s="73" t="n">
        <x:f>MAX(M4941,F4942)</x:f>
        <x:v>1.4293</x:v>
      </x:c>
      <x:c r="N4942" s="74" t="n">
        <x:f>1-F4942/M4942</x:f>
        <x:v>0</x:v>
      </x:c>
    </x:row>
    <x:row r="4943" ht="27" customHeight="1">
      <x:c r="A4943" s="66" t="str">
        <x:v>SQN453</x:v>
      </x:c>
      <x:c r="B4943" s="66" t="str">
        <x:v>钧誉厚德量化对冲11号</x:v>
      </x:c>
      <x:c r="C4943" s="72" t="n">
        <x:v>45940</x:v>
      </x:c>
      <x:c r="D4943" s="73" t="n">
        <x:v>1.4295</x:v>
      </x:c>
      <x:c r="E4943" s="73" t="n">
        <x:v>1.4295</x:v>
      </x:c>
      <x:c r="F4943" s="73" t="n">
        <x:v>1.4295</x:v>
      </x:c>
      <x:c r="G4943" s="74" t="n">
        <x:v>0.0001</x:v>
      </x:c>
      <x:c r="H4943" s="66" t="str">
        <x:v>钧誉厚德量化对冲11号净值20260911.xlsx</x:v>
      </x:c>
      <x:c r="I4943" s="73" t="n">
        <x:f>MAX(I4942,F4943)</x:f>
        <x:v>1.4295</x:v>
      </x:c>
      <x:c r="J4943" s="74" t="n">
        <x:f>1-F4943/I4943</x:f>
        <x:v>0</x:v>
      </x:c>
      <x:c r="K4943" s="73" t="n">
        <x:f>MAX(K4942,F4943)</x:f>
        <x:v>1.4295</x:v>
      </x:c>
      <x:c r="L4943" s="74" t="n">
        <x:f>1-F4943/K4943</x:f>
        <x:v>0</x:v>
      </x:c>
      <x:c r="M4943" s="73" t="n">
        <x:f>MAX(M4942,F4943)</x:f>
        <x:v>1.4295</x:v>
      </x:c>
      <x:c r="N4943" s="74" t="n">
        <x:f>1-F4943/M4943</x:f>
        <x:v>0</x:v>
      </x:c>
    </x:row>
    <x:row r="4944" ht="27" customHeight="1">
      <x:c r="A4944" s="66" t="str">
        <x:v>SQN453</x:v>
      </x:c>
      <x:c r="B4944" s="66" t="str">
        <x:v>钧誉厚德量化对冲11号</x:v>
      </x:c>
      <x:c r="C4944" s="72" t="n">
        <x:v>45947</x:v>
      </x:c>
      <x:c r="D4944" s="73" t="n">
        <x:v>1.4323</x:v>
      </x:c>
      <x:c r="E4944" s="73" t="n">
        <x:v>1.4323</x:v>
      </x:c>
      <x:c r="F4944" s="73" t="n">
        <x:v>1.4323</x:v>
      </x:c>
      <x:c r="G4944" s="74" t="n">
        <x:v>0.002</x:v>
      </x:c>
      <x:c r="H4944" s="66" t="str">
        <x:v>钧誉厚德量化对冲11号净值20260911.xlsx</x:v>
      </x:c>
      <x:c r="I4944" s="73" t="n">
        <x:f>MAX(I4943,F4944)</x:f>
        <x:v>1.4323</x:v>
      </x:c>
      <x:c r="J4944" s="74" t="n">
        <x:f>1-F4944/I4944</x:f>
        <x:v>0</x:v>
      </x:c>
      <x:c r="K4944" s="73" t="n">
        <x:f>MAX(K4943,F4944)</x:f>
        <x:v>1.4323</x:v>
      </x:c>
      <x:c r="L4944" s="74" t="n">
        <x:f>1-F4944/K4944</x:f>
        <x:v>0</x:v>
      </x:c>
      <x:c r="M4944" s="73" t="n">
        <x:f>MAX(M4943,F4944)</x:f>
        <x:v>1.4323</x:v>
      </x:c>
      <x:c r="N4944" s="74" t="n">
        <x:f>1-F4944/M4944</x:f>
        <x:v>0</x:v>
      </x:c>
    </x:row>
    <x:row r="4945" ht="27" customHeight="1">
      <x:c r="A4945" s="66" t="str">
        <x:v>SQN453</x:v>
      </x:c>
      <x:c r="B4945" s="66" t="str">
        <x:v>钧誉厚德量化对冲11号</x:v>
      </x:c>
      <x:c r="C4945" s="72" t="n">
        <x:v>45954</x:v>
      </x:c>
      <x:c r="D4945" s="73" t="n">
        <x:v>1.4333</x:v>
      </x:c>
      <x:c r="E4945" s="73" t="n">
        <x:v>1.4333</x:v>
      </x:c>
      <x:c r="F4945" s="73" t="n">
        <x:v>1.4333</x:v>
      </x:c>
      <x:c r="G4945" s="74" t="n">
        <x:v>0.0007000000000000001</x:v>
      </x:c>
      <x:c r="H4945" s="66" t="str">
        <x:v>钧誉厚德量化对冲11号净值20260911.xlsx</x:v>
      </x:c>
      <x:c r="I4945" s="73" t="n">
        <x:f>MAX(I4944,F4945)</x:f>
        <x:v>1.4333</x:v>
      </x:c>
      <x:c r="J4945" s="74" t="n">
        <x:f>1-F4945/I4945</x:f>
        <x:v>0</x:v>
      </x:c>
      <x:c r="K4945" s="73" t="n">
        <x:f>MAX(K4944,F4945)</x:f>
        <x:v>1.4333</x:v>
      </x:c>
      <x:c r="L4945" s="74" t="n">
        <x:f>1-F4945/K4945</x:f>
        <x:v>0</x:v>
      </x:c>
      <x:c r="M4945" s="73" t="n">
        <x:f>MAX(M4944,F4945)</x:f>
        <x:v>1.4333</x:v>
      </x:c>
      <x:c r="N4945" s="74" t="n">
        <x:f>1-F4945/M4945</x:f>
        <x:v>0</x:v>
      </x:c>
    </x:row>
    <x:row r="4946" ht="27" customHeight="1">
      <x:c r="A4946" s="66" t="str">
        <x:v>SQN453</x:v>
      </x:c>
      <x:c r="B4946" s="66" t="str">
        <x:v>钧誉厚德量化对冲11号</x:v>
      </x:c>
      <x:c r="C4946" s="72" t="n">
        <x:v>45961</x:v>
      </x:c>
      <x:c r="D4946" s="73" t="n">
        <x:v>1.4336</x:v>
      </x:c>
      <x:c r="E4946" s="73" t="n">
        <x:v>1.4336</x:v>
      </x:c>
      <x:c r="F4946" s="73" t="n">
        <x:v>1.4336</x:v>
      </x:c>
      <x:c r="G4946" s="74" t="n">
        <x:v>0.0002</x:v>
      </x:c>
      <x:c r="H4946" s="66" t="str">
        <x:v>钧誉厚德量化对冲11号净值20260911.xlsx</x:v>
      </x:c>
      <x:c r="I4946" s="73" t="n">
        <x:f>MAX(I4945,F4946)</x:f>
        <x:v>1.4336</x:v>
      </x:c>
      <x:c r="J4946" s="74" t="n">
        <x:f>1-F4946/I4946</x:f>
        <x:v>0</x:v>
      </x:c>
      <x:c r="K4946" s="73" t="n">
        <x:f>MAX(K4945,F4946)</x:f>
        <x:v>1.4336</x:v>
      </x:c>
      <x:c r="L4946" s="74" t="n">
        <x:f>1-F4946/K4946</x:f>
        <x:v>0</x:v>
      </x:c>
      <x:c r="M4946" s="73" t="n">
        <x:f>MAX(M4945,F4946)</x:f>
        <x:v>1.4336</x:v>
      </x:c>
      <x:c r="N4946" s="74" t="n">
        <x:f>1-F4946/M4946</x:f>
        <x:v>0</x:v>
      </x:c>
    </x:row>
    <x:row r="4947" ht="27" customHeight="1">
      <x:c r="A4947" s="66" t="str">
        <x:v>SQN453</x:v>
      </x:c>
      <x:c r="B4947" s="66" t="str">
        <x:v>钧誉厚德量化对冲11号</x:v>
      </x:c>
      <x:c r="C4947" s="72" t="n">
        <x:v>45968</x:v>
      </x:c>
      <x:c r="D4947" s="73" t="n">
        <x:v>1.4337</x:v>
      </x:c>
      <x:c r="E4947" s="73" t="n">
        <x:v>1.4337</x:v>
      </x:c>
      <x:c r="F4947" s="73" t="n">
        <x:v>1.4337</x:v>
      </x:c>
      <x:c r="G4947" s="74" t="n">
        <x:v>0.0001</x:v>
      </x:c>
      <x:c r="H4947" s="66" t="str">
        <x:v>钧誉厚德量化对冲11号净值20260911.xlsx</x:v>
      </x:c>
      <x:c r="I4947" s="73" t="n">
        <x:f>MAX(I4946,F4947)</x:f>
        <x:v>1.4337</x:v>
      </x:c>
      <x:c r="J4947" s="74" t="n">
        <x:f>1-F4947/I4947</x:f>
        <x:v>0</x:v>
      </x:c>
      <x:c r="K4947" s="73" t="n">
        <x:f>MAX(K4946,F4947)</x:f>
        <x:v>1.4337</x:v>
      </x:c>
      <x:c r="L4947" s="74" t="n">
        <x:f>1-F4947/K4947</x:f>
        <x:v>0</x:v>
      </x:c>
      <x:c r="M4947" s="73" t="n">
        <x:f>MAX(M4946,F4947)</x:f>
        <x:v>1.4337</x:v>
      </x:c>
      <x:c r="N4947" s="74" t="n">
        <x:f>1-F4947/M4947</x:f>
        <x:v>0</x:v>
      </x:c>
    </x:row>
    <x:row r="4948" ht="27" customHeight="1">
      <x:c r="A4948" s="66" t="str">
        <x:v>SQN453</x:v>
      </x:c>
      <x:c r="B4948" s="66" t="str">
        <x:v>钧誉厚德量化对冲11号</x:v>
      </x:c>
      <x:c r="C4948" s="72" t="n">
        <x:v>45975</x:v>
      </x:c>
      <x:c r="D4948" s="73" t="n">
        <x:v>1.4343</x:v>
      </x:c>
      <x:c r="E4948" s="73" t="n">
        <x:v>1.4343</x:v>
      </x:c>
      <x:c r="F4948" s="73" t="n">
        <x:v>1.4343</x:v>
      </x:c>
      <x:c r="G4948" s="74" t="n">
        <x:v>0.0004</x:v>
      </x:c>
      <x:c r="H4948" s="66" t="str">
        <x:v>钧誉厚德量化对冲11号净值20260911.xlsx</x:v>
      </x:c>
      <x:c r="I4948" s="73" t="n">
        <x:f>MAX(I4947,F4948)</x:f>
        <x:v>1.4343</x:v>
      </x:c>
      <x:c r="J4948" s="74" t="n">
        <x:f>1-F4948/I4948</x:f>
        <x:v>0</x:v>
      </x:c>
      <x:c r="K4948" s="73" t="n">
        <x:f>MAX(K4947,F4948)</x:f>
        <x:v>1.4343</x:v>
      </x:c>
      <x:c r="L4948" s="74" t="n">
        <x:f>1-F4948/K4948</x:f>
        <x:v>0</x:v>
      </x:c>
      <x:c r="M4948" s="73" t="n">
        <x:f>MAX(M4947,F4948)</x:f>
        <x:v>1.4343</x:v>
      </x:c>
      <x:c r="N4948" s="74" t="n">
        <x:f>1-F4948/M4948</x:f>
        <x:v>0</x:v>
      </x:c>
    </x:row>
    <x:row r="4949" ht="27" customHeight="1">
      <x:c r="A4949" s="66" t="str">
        <x:v>SQN453</x:v>
      </x:c>
      <x:c r="B4949" s="66" t="str">
        <x:v>钧誉厚德量化对冲11号</x:v>
      </x:c>
      <x:c r="C4949" s="72" t="n">
        <x:v>45982</x:v>
      </x:c>
      <x:c r="D4949" s="73" t="n">
        <x:v>1.4354</x:v>
      </x:c>
      <x:c r="E4949" s="73" t="n">
        <x:v>1.4354</x:v>
      </x:c>
      <x:c r="F4949" s="73" t="n">
        <x:v>1.4354</x:v>
      </x:c>
      <x:c r="G4949" s="74" t="n">
        <x:v>0.0008</x:v>
      </x:c>
      <x:c r="H4949" s="66" t="str">
        <x:v>钧誉厚德量化对冲11号净值20260911.xlsx</x:v>
      </x:c>
      <x:c r="I4949" s="73" t="n">
        <x:f>MAX(I4948,F4949)</x:f>
        <x:v>1.4354</x:v>
      </x:c>
      <x:c r="J4949" s="74" t="n">
        <x:f>1-F4949/I4949</x:f>
        <x:v>0</x:v>
      </x:c>
      <x:c r="K4949" s="73" t="n">
        <x:f>MAX(K4948,F4949)</x:f>
        <x:v>1.4354</x:v>
      </x:c>
      <x:c r="L4949" s="74" t="n">
        <x:f>1-F4949/K4949</x:f>
        <x:v>0</x:v>
      </x:c>
      <x:c r="M4949" s="73" t="n">
        <x:f>MAX(M4948,F4949)</x:f>
        <x:v>1.4354</x:v>
      </x:c>
      <x:c r="N4949" s="74" t="n">
        <x:f>1-F4949/M4949</x:f>
        <x:v>0</x:v>
      </x:c>
    </x:row>
    <x:row r="4950" ht="27" customHeight="1">
      <x:c r="A4950" s="66" t="str">
        <x:v>SQN453</x:v>
      </x:c>
      <x:c r="B4950" s="66" t="str">
        <x:v>钧誉厚德量化对冲11号</x:v>
      </x:c>
      <x:c r="C4950" s="72" t="n">
        <x:v>45989</x:v>
      </x:c>
      <x:c r="D4950" s="73" t="n">
        <x:v>1.4354</x:v>
      </x:c>
      <x:c r="E4950" s="73" t="n">
        <x:v>1.4354</x:v>
      </x:c>
      <x:c r="F4950" s="73" t="n">
        <x:v>1.4354</x:v>
      </x:c>
      <x:c r="G4950" s="74" t="n">
        <x:v>0</x:v>
      </x:c>
      <x:c r="H4950" s="66" t="str">
        <x:v>钧誉厚德量化对冲11号净值20260911.xlsx</x:v>
      </x:c>
      <x:c r="I4950" s="73" t="n">
        <x:f>MAX(I4949,F4950)</x:f>
        <x:v>1.4354</x:v>
      </x:c>
      <x:c r="J4950" s="74" t="n">
        <x:f>1-F4950/I4950</x:f>
        <x:v>0</x:v>
      </x:c>
      <x:c r="K4950" s="73" t="n">
        <x:f>MAX(K4949,F4950)</x:f>
        <x:v>1.4354</x:v>
      </x:c>
      <x:c r="L4950" s="74" t="n">
        <x:f>1-F4950/K4950</x:f>
        <x:v>0</x:v>
      </x:c>
      <x:c r="M4950" s="73" t="n">
        <x:f>MAX(M4949,F4950)</x:f>
        <x:v>1.4354</x:v>
      </x:c>
      <x:c r="N4950" s="74" t="n">
        <x:f>1-F4950/M4950</x:f>
        <x:v>0</x:v>
      </x:c>
    </x:row>
    <x:row r="4951" ht="27" customHeight="1">
      <x:c r="A4951" s="66" t="str">
        <x:v>SQN453</x:v>
      </x:c>
      <x:c r="B4951" s="66" t="str">
        <x:v>钧誉厚德量化对冲11号</x:v>
      </x:c>
      <x:c r="C4951" s="72" t="n">
        <x:v>45996</x:v>
      </x:c>
      <x:c r="D4951" s="73" t="n">
        <x:v>1.4369</x:v>
      </x:c>
      <x:c r="E4951" s="73" t="n">
        <x:v>1.4369</x:v>
      </x:c>
      <x:c r="F4951" s="73" t="n">
        <x:v>1.4369</x:v>
      </x:c>
      <x:c r="G4951" s="74" t="n">
        <x:v>0.001</x:v>
      </x:c>
      <x:c r="H4951" s="66" t="str">
        <x:v>钧誉厚德量化对冲11号净值20260911.xlsx</x:v>
      </x:c>
      <x:c r="I4951" s="73" t="n">
        <x:f>MAX(I4950,F4951)</x:f>
        <x:v>1.4369</x:v>
      </x:c>
      <x:c r="J4951" s="74" t="n">
        <x:f>1-F4951/I4951</x:f>
        <x:v>0</x:v>
      </x:c>
      <x:c r="K4951" s="73" t="n">
        <x:f>MAX(K4950,F4951)</x:f>
        <x:v>1.4369</x:v>
      </x:c>
      <x:c r="L4951" s="74" t="n">
        <x:f>1-F4951/K4951</x:f>
        <x:v>0</x:v>
      </x:c>
      <x:c r="M4951" s="73" t="n">
        <x:f>MAX(M4950,F4951)</x:f>
        <x:v>1.4369</x:v>
      </x:c>
      <x:c r="N4951" s="74" t="n">
        <x:f>1-F4951/M4951</x:f>
        <x:v>0</x:v>
      </x:c>
    </x:row>
    <x:row r="4952" ht="27" customHeight="1">
      <x:c r="A4952" s="66" t="str">
        <x:v>SQN453</x:v>
      </x:c>
      <x:c r="B4952" s="66" t="str">
        <x:v>钧誉厚德量化对冲11号</x:v>
      </x:c>
      <x:c r="C4952" s="72" t="n">
        <x:v>46003</x:v>
      </x:c>
      <x:c r="D4952" s="73" t="n">
        <x:v>1.4387</x:v>
      </x:c>
      <x:c r="E4952" s="73" t="n">
        <x:v>1.4387</x:v>
      </x:c>
      <x:c r="F4952" s="73" t="n">
        <x:v>1.4387</x:v>
      </x:c>
      <x:c r="G4952" s="74" t="n">
        <x:v>0.0013</x:v>
      </x:c>
      <x:c r="H4952" s="66" t="str">
        <x:v>钧誉厚德量化对冲11号净值20260911.xlsx</x:v>
      </x:c>
      <x:c r="I4952" s="73" t="n">
        <x:f>MAX(I4951,F4952)</x:f>
        <x:v>1.4387</x:v>
      </x:c>
      <x:c r="J4952" s="74" t="n">
        <x:f>1-F4952/I4952</x:f>
        <x:v>0</x:v>
      </x:c>
      <x:c r="K4952" s="73" t="n">
        <x:f>MAX(K4951,F4952)</x:f>
        <x:v>1.4387</x:v>
      </x:c>
      <x:c r="L4952" s="74" t="n">
        <x:f>1-F4952/K4952</x:f>
        <x:v>0</x:v>
      </x:c>
      <x:c r="M4952" s="73" t="n">
        <x:f>MAX(M4951,F4952)</x:f>
        <x:v>1.4387</x:v>
      </x:c>
      <x:c r="N4952" s="74" t="n">
        <x:f>1-F4952/M4952</x:f>
        <x:v>0</x:v>
      </x:c>
    </x:row>
    <x:row r="4953" ht="27" customHeight="1">
      <x:c r="A4953" s="66" t="str">
        <x:v>SQN453</x:v>
      </x:c>
      <x:c r="B4953" s="66" t="str">
        <x:v>钧誉厚德量化对冲11号</x:v>
      </x:c>
      <x:c r="C4953" s="72" t="n">
        <x:v>46010</x:v>
      </x:c>
      <x:c r="D4953" s="73" t="n">
        <x:v>1.4394</x:v>
      </x:c>
      <x:c r="E4953" s="73" t="n">
        <x:v>1.4394</x:v>
      </x:c>
      <x:c r="F4953" s="73" t="n">
        <x:v>1.4394</x:v>
      </x:c>
      <x:c r="G4953" s="74" t="n">
        <x:v>0.0005</x:v>
      </x:c>
      <x:c r="H4953" s="66" t="str">
        <x:v>钧誉厚德量化对冲11号净值20260911.xlsx</x:v>
      </x:c>
      <x:c r="I4953" s="73" t="n">
        <x:f>MAX(I4952,F4953)</x:f>
        <x:v>1.4394</x:v>
      </x:c>
      <x:c r="J4953" s="74" t="n">
        <x:f>1-F4953/I4953</x:f>
        <x:v>0</x:v>
      </x:c>
      <x:c r="K4953" s="73" t="n">
        <x:f>MAX(K4952,F4953)</x:f>
        <x:v>1.4394</x:v>
      </x:c>
      <x:c r="L4953" s="74" t="n">
        <x:f>1-F4953/K4953</x:f>
        <x:v>0</x:v>
      </x:c>
      <x:c r="M4953" s="73" t="n">
        <x:f>MAX(M4952,F4953)</x:f>
        <x:v>1.4394</x:v>
      </x:c>
      <x:c r="N4953" s="74" t="n">
        <x:f>1-F4953/M4953</x:f>
        <x:v>0</x:v>
      </x:c>
    </x:row>
    <x:row r="4954" ht="27" customHeight="1">
      <x:c r="A4954" s="66" t="str">
        <x:v>SQN453</x:v>
      </x:c>
      <x:c r="B4954" s="66" t="str">
        <x:v>钧誉厚德量化对冲11号</x:v>
      </x:c>
      <x:c r="C4954" s="72" t="n">
        <x:v>46017</x:v>
      </x:c>
      <x:c r="D4954" s="73" t="n">
        <x:v>1.4275</x:v>
      </x:c>
      <x:c r="E4954" s="73" t="n">
        <x:v>1.4275</x:v>
      </x:c>
      <x:c r="F4954" s="73" t="n">
        <x:v>1.4275</x:v>
      </x:c>
      <x:c r="G4954" s="74" t="n">
        <x:v>-0.0083</x:v>
      </x:c>
      <x:c r="H4954" s="66" t="str">
        <x:v>钧誉厚德量化对冲11号净值20260911.xlsx</x:v>
      </x:c>
      <x:c r="I4954" s="73" t="n">
        <x:f>MAX(I4953,F4954)</x:f>
        <x:v>1.4394</x:v>
      </x:c>
      <x:c r="J4954" s="74" t="n">
        <x:f>1-F4954/I4954</x:f>
        <x:v>0.00826733361122689</x:v>
      </x:c>
      <x:c r="K4954" s="73" t="n">
        <x:f>MAX(K4953,F4954)</x:f>
        <x:v>1.4394</x:v>
      </x:c>
      <x:c r="L4954" s="74" t="n">
        <x:f>1-F4954/K4954</x:f>
        <x:v>0.00826733361122689</x:v>
      </x:c>
      <x:c r="M4954" s="73" t="n">
        <x:f>MAX(M4953,F4954)</x:f>
        <x:v>1.4394</x:v>
      </x:c>
      <x:c r="N4954" s="74" t="n">
        <x:f>1-F4954/M4954</x:f>
        <x:v>0.00826733361122689</x:v>
      </x:c>
    </x:row>
    <x:row r="4955" ht="27" customHeight="1">
      <x:c r="A4955" s="66" t="str">
        <x:v>SQN453</x:v>
      </x:c>
      <x:c r="B4955" s="66" t="str">
        <x:v>钧誉厚德量化对冲11号</x:v>
      </x:c>
      <x:c r="C4955" s="72" t="n">
        <x:v>46022</x:v>
      </x:c>
      <x:c r="D4955" s="73" t="n">
        <x:v>1.4387</x:v>
      </x:c>
      <x:c r="E4955" s="73" t="n">
        <x:v>1.4387</x:v>
      </x:c>
      <x:c r="F4955" s="73" t="n">
        <x:v>1.4387</x:v>
      </x:c>
      <x:c r="G4955" s="74" t="n">
        <x:v>0.0078000000000000005</x:v>
      </x:c>
      <x:c r="H4955" s="66" t="str">
        <x:v>钧誉厚德量化对冲11号净值20260911.xlsx</x:v>
      </x:c>
      <x:c r="I4955" s="73" t="n">
        <x:f>MAX(I4954,F4955)</x:f>
        <x:v>1.4394</x:v>
      </x:c>
      <x:c r="J4955" s="74" t="n">
        <x:f>1-F4955/I4955</x:f>
        <x:v>0.0004863137418368302</x:v>
      </x:c>
      <x:c r="K4955" s="73" t="n">
        <x:f>MAX(K4954,F4955)</x:f>
        <x:v>1.4394</x:v>
      </x:c>
      <x:c r="L4955" s="74" t="n">
        <x:f>1-F4955/K4955</x:f>
        <x:v>0.0004863137418368302</x:v>
      </x:c>
      <x:c r="M4955" s="73" t="n">
        <x:f>MAX(M4954,F4955)</x:f>
        <x:v>1.4394</x:v>
      </x:c>
      <x:c r="N4955" s="74" t="n">
        <x:f>1-F4955/M4955</x:f>
        <x:v>0.0004863137418368302</x:v>
      </x:c>
    </x:row>
    <x:row r="4956" ht="27" customHeight="1">
      <x:c r="A4956" s="66" t="str">
        <x:v>SQN453</x:v>
      </x:c>
      <x:c r="B4956" s="66" t="str">
        <x:v>钧誉厚德量化对冲11号</x:v>
      </x:c>
      <x:c r="C4956" s="72" t="n">
        <x:v>46031</x:v>
      </x:c>
      <x:c r="D4956" s="73" t="n">
        <x:v>1.4453</x:v>
      </x:c>
      <x:c r="E4956" s="73" t="n">
        <x:v>1.4453</x:v>
      </x:c>
      <x:c r="F4956" s="73" t="n">
        <x:v>1.4453</x:v>
      </x:c>
      <x:c r="G4956" s="74" t="n">
        <x:v>0.0046</x:v>
      </x:c>
      <x:c r="H4956" s="66" t="str">
        <x:v>钧誉厚德量化对冲11号净值20260911.xlsx</x:v>
      </x:c>
      <x:c r="I4956" s="73" t="n">
        <x:f>MAX(I4955,F4956)</x:f>
        <x:v>1.4453</x:v>
      </x:c>
      <x:c r="J4956" s="74" t="n">
        <x:f>1-F4956/I4956</x:f>
        <x:v>0</x:v>
      </x:c>
      <x:c r="K4956" s="73" t="n">
        <x:f>MAX(K4955,F4956)</x:f>
        <x:v>1.4453</x:v>
      </x:c>
      <x:c r="L4956" s="74" t="n">
        <x:f>1-F4956/K4956</x:f>
        <x:v>0</x:v>
      </x:c>
      <x:c r="M4956" s="73" t="n">
        <x:f>MAX(M4955,F4956)</x:f>
        <x:v>1.4453</x:v>
      </x:c>
      <x:c r="N4956" s="74" t="n">
        <x:f>1-F4956/M4956</x:f>
        <x:v>0</x:v>
      </x:c>
    </x:row>
    <x:row r="4957" ht="27" customHeight="1">
      <x:c r="A4957" s="66" t="str">
        <x:v>SQN453</x:v>
      </x:c>
      <x:c r="B4957" s="66" t="str">
        <x:v>钧誉厚德量化对冲11号</x:v>
      </x:c>
      <x:c r="C4957" s="72" t="n">
        <x:v>46038</x:v>
      </x:c>
      <x:c r="D4957" s="73" t="n">
        <x:v>1.4552</x:v>
      </x:c>
      <x:c r="E4957" s="73" t="n">
        <x:v>1.4552</x:v>
      </x:c>
      <x:c r="F4957" s="73" t="n">
        <x:v>1.4552</x:v>
      </x:c>
      <x:c r="G4957" s="74" t="n">
        <x:v>0.0068000000000000005</x:v>
      </x:c>
      <x:c r="H4957" s="66" t="str">
        <x:v>钧誉厚德量化对冲11号净值20260911.xlsx</x:v>
      </x:c>
      <x:c r="I4957" s="73" t="n">
        <x:f>MAX(I4956,F4957)</x:f>
        <x:v>1.4552</x:v>
      </x:c>
      <x:c r="J4957" s="74" t="n">
        <x:f>1-F4957/I4957</x:f>
        <x:v>0</x:v>
      </x:c>
      <x:c r="K4957" s="73" t="n">
        <x:f>MAX(K4956,F4957)</x:f>
        <x:v>1.4552</x:v>
      </x:c>
      <x:c r="L4957" s="74" t="n">
        <x:f>1-F4957/K4957</x:f>
        <x:v>0</x:v>
      </x:c>
      <x:c r="M4957" s="73" t="n">
        <x:f>MAX(M4956,F4957)</x:f>
        <x:v>1.4552</x:v>
      </x:c>
      <x:c r="N4957" s="74" t="n">
        <x:f>1-F4957/M4957</x:f>
        <x:v>0</x:v>
      </x:c>
    </x:row>
    <x:row r="4958" ht="27" customHeight="1">
      <x:c r="A4958" s="66" t="str">
        <x:v>SQN453</x:v>
      </x:c>
      <x:c r="B4958" s="66" t="str">
        <x:v>钧誉厚德量化对冲11号</x:v>
      </x:c>
      <x:c r="C4958" s="72" t="n">
        <x:v>46045</x:v>
      </x:c>
      <x:c r="D4958" s="73" t="n">
        <x:v>1.4595</x:v>
      </x:c>
      <x:c r="E4958" s="73" t="n">
        <x:v>1.4595</x:v>
      </x:c>
      <x:c r="F4958" s="73" t="n">
        <x:v>1.4595</x:v>
      </x:c>
      <x:c r="G4958" s="74" t="n">
        <x:v>0.003</x:v>
      </x:c>
      <x:c r="H4958" s="66" t="str">
        <x:v>钧誉厚德量化对冲11号净值20260911.xlsx</x:v>
      </x:c>
      <x:c r="I4958" s="73" t="n">
        <x:f>MAX(I4957,F4958)</x:f>
        <x:v>1.4595</x:v>
      </x:c>
      <x:c r="J4958" s="74" t="n">
        <x:f>1-F4958/I4958</x:f>
        <x:v>0</x:v>
      </x:c>
      <x:c r="K4958" s="73" t="n">
        <x:f>MAX(K4957,F4958)</x:f>
        <x:v>1.4595</x:v>
      </x:c>
      <x:c r="L4958" s="74" t="n">
        <x:f>1-F4958/K4958</x:f>
        <x:v>0</x:v>
      </x:c>
      <x:c r="M4958" s="73" t="n">
        <x:f>MAX(M4957,F4958)</x:f>
        <x:v>1.4595</x:v>
      </x:c>
      <x:c r="N4958" s="74" t="n">
        <x:f>1-F4958/M4958</x:f>
        <x:v>0</x:v>
      </x:c>
    </x:row>
    <x:row r="4959" ht="27" customHeight="1">
      <x:c r="A4959" s="66" t="str">
        <x:v>SQN453</x:v>
      </x:c>
      <x:c r="B4959" s="66" t="str">
        <x:v>钧誉厚德量化对冲11号</x:v>
      </x:c>
      <x:c r="C4959" s="72" t="n">
        <x:v>46052</x:v>
      </x:c>
      <x:c r="D4959" s="73" t="n">
        <x:v>1.4659</x:v>
      </x:c>
      <x:c r="E4959" s="73" t="n">
        <x:v>1.4659</x:v>
      </x:c>
      <x:c r="F4959" s="73" t="n">
        <x:v>1.4659</x:v>
      </x:c>
      <x:c r="G4959" s="74" t="n">
        <x:v>0.0044</x:v>
      </x:c>
      <x:c r="H4959" s="66" t="str">
        <x:v>钧誉厚德量化对冲11号净值20260911.xlsx</x:v>
      </x:c>
      <x:c r="I4959" s="73" t="n">
        <x:f>MAX(I4958,F4959)</x:f>
        <x:v>1.4659</x:v>
      </x:c>
      <x:c r="J4959" s="74" t="n">
        <x:f>1-F4959/I4959</x:f>
        <x:v>0</x:v>
      </x:c>
      <x:c r="K4959" s="73" t="n">
        <x:f>MAX(K4958,F4959)</x:f>
        <x:v>1.4659</x:v>
      </x:c>
      <x:c r="L4959" s="74" t="n">
        <x:f>1-F4959/K4959</x:f>
        <x:v>0</x:v>
      </x:c>
      <x:c r="M4959" s="73" t="n">
        <x:f>MAX(M4958,F4959)</x:f>
        <x:v>1.4659</x:v>
      </x:c>
      <x:c r="N4959" s="74" t="n">
        <x:f>1-F4959/M4959</x:f>
        <x:v>0</x:v>
      </x:c>
    </x:row>
    <x:row r="4960" ht="27" customHeight="1">
      <x:c r="A4960" s="66" t="str">
        <x:v>SQN453</x:v>
      </x:c>
      <x:c r="B4960" s="66" t="str">
        <x:v>钧誉厚德量化对冲11号</x:v>
      </x:c>
      <x:c r="C4960" s="72" t="n">
        <x:v>46059</x:v>
      </x:c>
      <x:c r="D4960" s="73" t="n">
        <x:v>1.4718</x:v>
      </x:c>
      <x:c r="E4960" s="73" t="n">
        <x:v>1.4718</x:v>
      </x:c>
      <x:c r="F4960" s="73" t="n">
        <x:v>1.4718</x:v>
      </x:c>
      <x:c r="G4960" s="74" t="n">
        <x:v>0.004</x:v>
      </x:c>
      <x:c r="H4960" s="66" t="str">
        <x:v>钧誉厚德量化对冲11号净值20260911.xlsx</x:v>
      </x:c>
      <x:c r="I4960" s="73" t="n">
        <x:f>MAX(I4959,F4960)</x:f>
        <x:v>1.4718</x:v>
      </x:c>
      <x:c r="J4960" s="74" t="n">
        <x:f>1-F4960/I4960</x:f>
        <x:v>0</x:v>
      </x:c>
      <x:c r="K4960" s="73" t="n">
        <x:f>MAX(K4959,F4960)</x:f>
        <x:v>1.4718</x:v>
      </x:c>
      <x:c r="L4960" s="74" t="n">
        <x:f>1-F4960/K4960</x:f>
        <x:v>0</x:v>
      </x:c>
      <x:c r="M4960" s="73" t="n">
        <x:f>MAX(M4959,F4960)</x:f>
        <x:v>1.4718</x:v>
      </x:c>
      <x:c r="N4960" s="74" t="n">
        <x:f>1-F4960/M4960</x:f>
        <x:v>0</x:v>
      </x:c>
    </x:row>
    <x:row r="4961" ht="27" customHeight="1">
      <x:c r="A4961" s="66" t="str">
        <x:v>SQN453</x:v>
      </x:c>
      <x:c r="B4961" s="66" t="str">
        <x:v>钧誉厚德量化对冲11号</x:v>
      </x:c>
      <x:c r="C4961" s="72" t="n">
        <x:v>46066</x:v>
      </x:c>
      <x:c r="D4961" s="73" t="n">
        <x:v>1.4701</x:v>
      </x:c>
      <x:c r="E4961" s="73" t="n">
        <x:v>1.4701</x:v>
      </x:c>
      <x:c r="F4961" s="73" t="n">
        <x:v>1.4701</x:v>
      </x:c>
      <x:c r="G4961" s="74" t="n">
        <x:v>-0.0012</x:v>
      </x:c>
      <x:c r="H4961" s="66" t="str">
        <x:v>钧誉厚德量化对冲11号净值20260911.xlsx</x:v>
      </x:c>
      <x:c r="I4961" s="73" t="n">
        <x:f>MAX(I4960,F4961)</x:f>
        <x:v>1.4718</x:v>
      </x:c>
      <x:c r="J4961" s="74" t="n">
        <x:f>1-F4961/I4961</x:f>
        <x:v>0.001155048240250034</x:v>
      </x:c>
      <x:c r="K4961" s="73" t="n">
        <x:f>MAX(K4960,F4961)</x:f>
        <x:v>1.4718</x:v>
      </x:c>
      <x:c r="L4961" s="74" t="n">
        <x:f>1-F4961/K4961</x:f>
        <x:v>0.001155048240250034</x:v>
      </x:c>
      <x:c r="M4961" s="73" t="n">
        <x:f>MAX(M4960,F4961)</x:f>
        <x:v>1.4718</x:v>
      </x:c>
      <x:c r="N4961" s="74" t="n">
        <x:f>1-F4961/M4961</x:f>
        <x:v>0.001155048240250034</x:v>
      </x:c>
    </x:row>
    <x:row r="4962" ht="27" customHeight="1">
      <x:c r="A4962" s="66" t="str">
        <x:v>SQN453</x:v>
      </x:c>
      <x:c r="B4962" s="66" t="str">
        <x:v>钧誉厚德量化对冲11号</x:v>
      </x:c>
      <x:c r="C4962" s="72" t="n">
        <x:v>46080</x:v>
      </x:c>
      <x:c r="D4962" s="73" t="n">
        <x:v>1.4731</x:v>
      </x:c>
      <x:c r="E4962" s="73" t="n">
        <x:v>1.4731</x:v>
      </x:c>
      <x:c r="F4962" s="73" t="n">
        <x:v>1.4731</x:v>
      </x:c>
      <x:c r="G4962" s="74" t="n">
        <x:v>0.002</x:v>
      </x:c>
      <x:c r="H4962" s="66" t="str">
        <x:v>钧誉厚德量化对冲11号净值20260911.xlsx</x:v>
      </x:c>
      <x:c r="I4962" s="73" t="n">
        <x:f>MAX(I4961,F4962)</x:f>
        <x:v>1.4731</x:v>
      </x:c>
      <x:c r="J4962" s="74" t="n">
        <x:f>1-F4962/I4962</x:f>
        <x:v>0</x:v>
      </x:c>
      <x:c r="K4962" s="73" t="n">
        <x:f>MAX(K4961,F4962)</x:f>
        <x:v>1.4731</x:v>
      </x:c>
      <x:c r="L4962" s="74" t="n">
        <x:f>1-F4962/K4962</x:f>
        <x:v>0</x:v>
      </x:c>
      <x:c r="M4962" s="73" t="n">
        <x:f>MAX(M4961,F4962)</x:f>
        <x:v>1.4731</x:v>
      </x:c>
      <x:c r="N4962" s="74" t="n">
        <x:f>1-F4962/M4962</x:f>
        <x:v>0</x:v>
      </x:c>
    </x:row>
    <x:row r="4963" ht="27" customHeight="1">
      <x:c r="A4963" s="66" t="str">
        <x:v>SQN453</x:v>
      </x:c>
      <x:c r="B4963" s="66" t="str">
        <x:v>钧誉厚德量化对冲11号</x:v>
      </x:c>
      <x:c r="C4963" s="72" t="n">
        <x:v>46087</x:v>
      </x:c>
      <x:c r="D4963" s="73" t="n">
        <x:v>1.4807</x:v>
      </x:c>
      <x:c r="E4963" s="73" t="n">
        <x:v>1.4807</x:v>
      </x:c>
      <x:c r="F4963" s="73" t="n">
        <x:v>1.4807</x:v>
      </x:c>
      <x:c r="G4963" s="74" t="n">
        <x:v>0.0052</x:v>
      </x:c>
      <x:c r="H4963" s="66" t="str">
        <x:v>钧誉厚德量化对冲11号净值20260911.xlsx</x:v>
      </x:c>
      <x:c r="I4963" s="73" t="n">
        <x:f>MAX(I4962,F4963)</x:f>
        <x:v>1.4807</x:v>
      </x:c>
      <x:c r="J4963" s="74" t="n">
        <x:f>1-F4963/I4963</x:f>
        <x:v>0</x:v>
      </x:c>
      <x:c r="K4963" s="73" t="n">
        <x:f>MAX(K4962,F4963)</x:f>
        <x:v>1.4807</x:v>
      </x:c>
      <x:c r="L4963" s="74" t="n">
        <x:f>1-F4963/K4963</x:f>
        <x:v>0</x:v>
      </x:c>
      <x:c r="M4963" s="73" t="n">
        <x:f>MAX(M4962,F4963)</x:f>
        <x:v>1.4807</x:v>
      </x:c>
      <x:c r="N4963" s="74" t="n">
        <x:f>1-F4963/M4963</x:f>
        <x:v>0</x:v>
      </x:c>
    </x:row>
    <x:row r="4964" ht="27" customHeight="1">
      <x:c r="A4964" s="66" t="str">
        <x:v>SQN453</x:v>
      </x:c>
      <x:c r="B4964" s="66" t="str">
        <x:v>钧誉厚德量化对冲11号</x:v>
      </x:c>
      <x:c r="C4964" s="72" t="n">
        <x:v>46094</x:v>
      </x:c>
      <x:c r="D4964" s="73" t="n">
        <x:v>1.4911</x:v>
      </x:c>
      <x:c r="E4964" s="73" t="n">
        <x:v>1.4911</x:v>
      </x:c>
      <x:c r="F4964" s="73" t="n">
        <x:v>1.4911</x:v>
      </x:c>
      <x:c r="G4964" s="74" t="n">
        <x:v>0.006999999999999999</x:v>
      </x:c>
      <x:c r="H4964" s="66" t="str">
        <x:v>钧誉厚德量化对冲11号净值20260911.xlsx</x:v>
      </x:c>
      <x:c r="I4964" s="73" t="n">
        <x:f>MAX(I4963,F4964)</x:f>
        <x:v>1.4911</x:v>
      </x:c>
      <x:c r="J4964" s="74" t="n">
        <x:f>1-F4964/I4964</x:f>
        <x:v>0</x:v>
      </x:c>
      <x:c r="K4964" s="73" t="n">
        <x:f>MAX(K4963,F4964)</x:f>
        <x:v>1.4911</x:v>
      </x:c>
      <x:c r="L4964" s="74" t="n">
        <x:f>1-F4964/K4964</x:f>
        <x:v>0</x:v>
      </x:c>
      <x:c r="M4964" s="73" t="n">
        <x:f>MAX(M4963,F4964)</x:f>
        <x:v>1.4911</x:v>
      </x:c>
      <x:c r="N4964" s="74" t="n">
        <x:f>1-F4964/M4964</x:f>
        <x:v>0</x:v>
      </x:c>
    </x:row>
    <x:row r="4965" ht="27" customHeight="1">
      <x:c r="A4965" s="66" t="str">
        <x:v>SQN453</x:v>
      </x:c>
      <x:c r="B4965" s="66" t="str">
        <x:v>钧誉厚德量化对冲11号</x:v>
      </x:c>
      <x:c r="C4965" s="72" t="n">
        <x:v>46101</x:v>
      </x:c>
      <x:c r="D4965" s="73" t="n">
        <x:v>1.5015</x:v>
      </x:c>
      <x:c r="E4965" s="73" t="n">
        <x:v>1.5015</x:v>
      </x:c>
      <x:c r="F4965" s="73" t="n">
        <x:v>1.5015</x:v>
      </x:c>
      <x:c r="G4965" s="74" t="n">
        <x:v>0.006999999999999999</x:v>
      </x:c>
      <x:c r="H4965" s="66" t="str">
        <x:v>钧誉厚德量化对冲11号净值20260911.xlsx</x:v>
      </x:c>
      <x:c r="I4965" s="73" t="n">
        <x:f>MAX(I4964,F4965)</x:f>
        <x:v>1.5015</x:v>
      </x:c>
      <x:c r="J4965" s="74" t="n">
        <x:f>1-F4965/I4965</x:f>
        <x:v>0</x:v>
      </x:c>
      <x:c r="K4965" s="73" t="n">
        <x:f>MAX(K4964,F4965)</x:f>
        <x:v>1.5015</x:v>
      </x:c>
      <x:c r="L4965" s="74" t="n">
        <x:f>1-F4965/K4965</x:f>
        <x:v>0</x:v>
      </x:c>
      <x:c r="M4965" s="73" t="n">
        <x:f>MAX(M4964,F4965)</x:f>
        <x:v>1.5015</x:v>
      </x:c>
      <x:c r="N4965" s="74" t="n">
        <x:f>1-F4965/M4965</x:f>
        <x:v>0</x:v>
      </x:c>
    </x:row>
    <x:row r="4966" ht="27" customHeight="1">
      <x:c r="A4966" s="66" t="str">
        <x:v>SQN453</x:v>
      </x:c>
      <x:c r="B4966" s="66" t="str">
        <x:v>钧誉厚德量化对冲11号</x:v>
      </x:c>
      <x:c r="C4966" s="72" t="n">
        <x:v>46108</x:v>
      </x:c>
      <x:c r="D4966" s="73" t="n">
        <x:v>1.5094</x:v>
      </x:c>
      <x:c r="E4966" s="73" t="n">
        <x:v>1.5094</x:v>
      </x:c>
      <x:c r="F4966" s="73" t="n">
        <x:v>1.5094</x:v>
      </x:c>
      <x:c r="G4966" s="74" t="n">
        <x:v>0.0053</x:v>
      </x:c>
      <x:c r="H4966" s="66" t="str">
        <x:v>钧誉厚德量化对冲11号净值20260911.xlsx</x:v>
      </x:c>
      <x:c r="I4966" s="73" t="n">
        <x:f>MAX(I4965,F4966)</x:f>
        <x:v>1.5094</x:v>
      </x:c>
      <x:c r="J4966" s="74" t="n">
        <x:f>1-F4966/I4966</x:f>
        <x:v>0</x:v>
      </x:c>
      <x:c r="K4966" s="73" t="n">
        <x:f>MAX(K4965,F4966)</x:f>
        <x:v>1.5094</x:v>
      </x:c>
      <x:c r="L4966" s="74" t="n">
        <x:f>1-F4966/K4966</x:f>
        <x:v>0</x:v>
      </x:c>
      <x:c r="M4966" s="73" t="n">
        <x:f>MAX(M4965,F4966)</x:f>
        <x:v>1.5094</x:v>
      </x:c>
      <x:c r="N4966" s="74" t="n">
        <x:f>1-F4966/M4966</x:f>
        <x:v>0</x:v>
      </x:c>
    </x:row>
    <x:row r="4967" ht="27" customHeight="1">
      <x:c r="A4967" s="66" t="str">
        <x:v>SQN453</x:v>
      </x:c>
      <x:c r="B4967" s="66" t="str">
        <x:v>钧誉厚德量化对冲11号</x:v>
      </x:c>
      <x:c r="C4967" s="72" t="n">
        <x:v>46115</x:v>
      </x:c>
      <x:c r="D4967" s="73" t="n">
        <x:v>1.5187</x:v>
      </x:c>
      <x:c r="E4967" s="73" t="n">
        <x:v>1.5187</x:v>
      </x:c>
      <x:c r="F4967" s="73" t="n">
        <x:v>1.5187</x:v>
      </x:c>
      <x:c r="G4967" s="74" t="n">
        <x:v>0.0062</x:v>
      </x:c>
      <x:c r="H4967" s="66" t="str">
        <x:v>钧誉厚德量化对冲11号净值20260911.xlsx</x:v>
      </x:c>
      <x:c r="I4967" s="73" t="n">
        <x:f>MAX(I4966,F4967)</x:f>
        <x:v>1.5187</x:v>
      </x:c>
      <x:c r="J4967" s="74" t="n">
        <x:f>1-F4967/I4967</x:f>
        <x:v>0</x:v>
      </x:c>
      <x:c r="K4967" s="73" t="n">
        <x:f>MAX(K4966,F4967)</x:f>
        <x:v>1.5187</x:v>
      </x:c>
      <x:c r="L4967" s="74" t="n">
        <x:f>1-F4967/K4967</x:f>
        <x:v>0</x:v>
      </x:c>
      <x:c r="M4967" s="73" t="n">
        <x:f>MAX(M4966,F4967)</x:f>
        <x:v>1.5187</x:v>
      </x:c>
      <x:c r="N4967" s="74" t="n">
        <x:f>1-F4967/M4967</x:f>
        <x:v>0</x:v>
      </x:c>
    </x:row>
    <x:row r="4968" ht="27" customHeight="1">
      <x:c r="A4968" s="66" t="str">
        <x:v>SQN453</x:v>
      </x:c>
      <x:c r="B4968" s="66" t="str">
        <x:v>钧誉厚德量化对冲11号</x:v>
      </x:c>
      <x:c r="C4968" s="72" t="n">
        <x:v>46122</x:v>
      </x:c>
      <x:c r="D4968" s="73" t="n">
        <x:v>1.5201</x:v>
      </x:c>
      <x:c r="E4968" s="73" t="n">
        <x:v>1.5201</x:v>
      </x:c>
      <x:c r="F4968" s="73" t="n">
        <x:v>1.5201</x:v>
      </x:c>
      <x:c r="G4968" s="74" t="n">
        <x:v>0.0009</x:v>
      </x:c>
      <x:c r="H4968" s="66" t="str">
        <x:v>钧誉厚德量化对冲11号净值20260911.xlsx</x:v>
      </x:c>
      <x:c r="I4968" s="73" t="n">
        <x:f>MAX(I4967,F4968)</x:f>
        <x:v>1.5201</x:v>
      </x:c>
      <x:c r="J4968" s="74" t="n">
        <x:f>1-F4968/I4968</x:f>
        <x:v>0</x:v>
      </x:c>
      <x:c r="K4968" s="73" t="n">
        <x:f>MAX(K4967,F4968)</x:f>
        <x:v>1.5201</x:v>
      </x:c>
      <x:c r="L4968" s="74" t="n">
        <x:f>1-F4968/K4968</x:f>
        <x:v>0</x:v>
      </x:c>
      <x:c r="M4968" s="73" t="n">
        <x:f>MAX(M4967,F4968)</x:f>
        <x:v>1.5201</x:v>
      </x:c>
      <x:c r="N4968" s="74" t="n">
        <x:f>1-F4968/M4968</x:f>
        <x:v>0</x:v>
      </x:c>
    </x:row>
    <x:row r="4969" ht="27" customHeight="1">
      <x:c r="A4969" s="66" t="str">
        <x:v>SQN453</x:v>
      </x:c>
      <x:c r="B4969" s="66" t="str">
        <x:v>钧誉厚德量化对冲11号</x:v>
      </x:c>
      <x:c r="C4969" s="72" t="n">
        <x:v>46129</x:v>
      </x:c>
      <x:c r="D4969" s="73" t="n">
        <x:v>1.5216</x:v>
      </x:c>
      <x:c r="E4969" s="73" t="n">
        <x:v>1.5216</x:v>
      </x:c>
      <x:c r="F4969" s="73" t="n">
        <x:v>1.5216</x:v>
      </x:c>
      <x:c r="G4969" s="74" t="n">
        <x:v>0.001</x:v>
      </x:c>
      <x:c r="H4969" s="66" t="str">
        <x:v>钧誉厚德量化对冲11号净值20260911.xlsx</x:v>
      </x:c>
      <x:c r="I4969" s="73" t="n">
        <x:f>MAX(I4968,F4969)</x:f>
        <x:v>1.5216</x:v>
      </x:c>
      <x:c r="J4969" s="74" t="n">
        <x:f>1-F4969/I4969</x:f>
        <x:v>0</x:v>
      </x:c>
      <x:c r="K4969" s="73" t="n">
        <x:f>MAX(K4968,F4969)</x:f>
        <x:v>1.5216</x:v>
      </x:c>
      <x:c r="L4969" s="74" t="n">
        <x:f>1-F4969/K4969</x:f>
        <x:v>0</x:v>
      </x:c>
      <x:c r="M4969" s="73" t="n">
        <x:f>MAX(M4968,F4969)</x:f>
        <x:v>1.5216</x:v>
      </x:c>
      <x:c r="N4969" s="74" t="n">
        <x:f>1-F4969/M4969</x:f>
        <x:v>0</x:v>
      </x:c>
    </x:row>
    <x:row r="4970" ht="27" customHeight="1">
      <x:c r="A4970" s="66" t="str">
        <x:v>SQN453</x:v>
      </x:c>
      <x:c r="B4970" s="66" t="str">
        <x:v>钧誉厚德量化对冲11号</x:v>
      </x:c>
      <x:c r="C4970" s="72" t="n">
        <x:v>46136</x:v>
      </x:c>
      <x:c r="D4970" s="73" t="n">
        <x:v>1.5241</x:v>
      </x:c>
      <x:c r="E4970" s="73" t="n">
        <x:v>1.5241</x:v>
      </x:c>
      <x:c r="F4970" s="73" t="n">
        <x:v>1.5241</x:v>
      </x:c>
      <x:c r="G4970" s="74" t="n">
        <x:v>0.0016</x:v>
      </x:c>
      <x:c r="H4970" s="66" t="str">
        <x:v>钧誉厚德量化对冲11号净值20260911.xlsx</x:v>
      </x:c>
      <x:c r="I4970" s="73" t="n">
        <x:f>MAX(I4969,F4970)</x:f>
        <x:v>1.5241</x:v>
      </x:c>
      <x:c r="J4970" s="74" t="n">
        <x:f>1-F4970/I4970</x:f>
        <x:v>0</x:v>
      </x:c>
      <x:c r="K4970" s="73" t="n">
        <x:f>MAX(K4969,F4970)</x:f>
        <x:v>1.5241</x:v>
      </x:c>
      <x:c r="L4970" s="74" t="n">
        <x:f>1-F4970/K4970</x:f>
        <x:v>0</x:v>
      </x:c>
      <x:c r="M4970" s="73" t="n">
        <x:f>MAX(M4969,F4970)</x:f>
        <x:v>1.5241</x:v>
      </x:c>
      <x:c r="N4970" s="74" t="n">
        <x:f>1-F4970/M4970</x:f>
        <x:v>0</x:v>
      </x:c>
    </x:row>
    <x:row r="4971" ht="27" customHeight="1">
      <x:c r="A4971" s="66" t="str">
        <x:v>SQN453</x:v>
      </x:c>
      <x:c r="B4971" s="66" t="str">
        <x:v>钧誉厚德量化对冲11号</x:v>
      </x:c>
      <x:c r="C4971" s="72" t="n">
        <x:v>46142</x:v>
      </x:c>
      <x:c r="D4971" s="73" t="n">
        <x:v>1.5259</x:v>
      </x:c>
      <x:c r="E4971" s="73" t="n">
        <x:v>1.5259</x:v>
      </x:c>
      <x:c r="F4971" s="73" t="n">
        <x:v>1.5259</x:v>
      </x:c>
      <x:c r="G4971" s="74" t="n">
        <x:v>0.0012</x:v>
      </x:c>
      <x:c r="H4971" s="66" t="str">
        <x:v>钧誉厚德量化对冲11号净值20260911.xlsx</x:v>
      </x:c>
      <x:c r="I4971" s="73" t="n">
        <x:f>MAX(I4970,F4971)</x:f>
        <x:v>1.5259</x:v>
      </x:c>
      <x:c r="J4971" s="74" t="n">
        <x:f>1-F4971/I4971</x:f>
        <x:v>0</x:v>
      </x:c>
      <x:c r="K4971" s="73" t="n">
        <x:f>MAX(K4970,F4971)</x:f>
        <x:v>1.5259</x:v>
      </x:c>
      <x:c r="L4971" s="74" t="n">
        <x:f>1-F4971/K4971</x:f>
        <x:v>0</x:v>
      </x:c>
      <x:c r="M4971" s="73" t="n">
        <x:f>MAX(M4970,F4971)</x:f>
        <x:v>1.5259</x:v>
      </x:c>
      <x:c r="N4971" s="74" t="n">
        <x:f>1-F4971/M4971</x:f>
        <x:v>0</x:v>
      </x:c>
    </x:row>
    <x:row r="4972" ht="27" customHeight="1">
      <x:c r="A4972" s="66" t="str">
        <x:v>SQN453</x:v>
      </x:c>
      <x:c r="B4972" s="66" t="str">
        <x:v>钧誉厚德量化对冲11号</x:v>
      </x:c>
      <x:c r="C4972" s="72" t="n">
        <x:v>46150</x:v>
      </x:c>
      <x:c r="D4972" s="73" t="n">
        <x:v>1.5273</x:v>
      </x:c>
      <x:c r="E4972" s="73" t="n">
        <x:v>1.5273</x:v>
      </x:c>
      <x:c r="F4972" s="73" t="n">
        <x:v>1.5273</x:v>
      </x:c>
      <x:c r="G4972" s="74" t="n">
        <x:v>0.0009</x:v>
      </x:c>
      <x:c r="H4972" s="66" t="str">
        <x:v>钧誉厚德量化对冲11号净值20260911.xlsx</x:v>
      </x:c>
      <x:c r="I4972" s="73" t="n">
        <x:f>MAX(I4971,F4972)</x:f>
        <x:v>1.5273</x:v>
      </x:c>
      <x:c r="J4972" s="74" t="n">
        <x:f>1-F4972/I4972</x:f>
        <x:v>0</x:v>
      </x:c>
      <x:c r="K4972" s="73" t="n">
        <x:f>MAX(K4971,F4972)</x:f>
        <x:v>1.5273</x:v>
      </x:c>
      <x:c r="L4972" s="74" t="n">
        <x:f>1-F4972/K4972</x:f>
        <x:v>0</x:v>
      </x:c>
      <x:c r="M4972" s="73" t="n">
        <x:f>MAX(M4971,F4972)</x:f>
        <x:v>1.5273</x:v>
      </x:c>
      <x:c r="N4972" s="74" t="n">
        <x:f>1-F4972/M4972</x:f>
        <x:v>0</x:v>
      </x:c>
    </x:row>
    <x:row r="4973" ht="27" customHeight="1">
      <x:c r="A4973" s="66" t="str">
        <x:v>SQN453</x:v>
      </x:c>
      <x:c r="B4973" s="66" t="str">
        <x:v>钧誉厚德量化对冲11号</x:v>
      </x:c>
      <x:c r="C4973" s="72" t="n">
        <x:v>46157</x:v>
      </x:c>
      <x:c r="D4973" s="73" t="n">
        <x:v>1.5291</x:v>
      </x:c>
      <x:c r="E4973" s="73" t="n">
        <x:v>1.5291</x:v>
      </x:c>
      <x:c r="F4973" s="73" t="n">
        <x:v>1.5291</x:v>
      </x:c>
      <x:c r="G4973" s="74" t="n">
        <x:v>0.0012</x:v>
      </x:c>
      <x:c r="H4973" s="66" t="str">
        <x:v>钧誉厚德量化对冲11号净值20260911.xlsx</x:v>
      </x:c>
      <x:c r="I4973" s="73" t="n">
        <x:f>MAX(I4972,F4973)</x:f>
        <x:v>1.5291</x:v>
      </x:c>
      <x:c r="J4973" s="74" t="n">
        <x:f>1-F4973/I4973</x:f>
        <x:v>0</x:v>
      </x:c>
      <x:c r="K4973" s="73" t="n">
        <x:f>MAX(K4972,F4973)</x:f>
        <x:v>1.5291</x:v>
      </x:c>
      <x:c r="L4973" s="74" t="n">
        <x:f>1-F4973/K4973</x:f>
        <x:v>0</x:v>
      </x:c>
      <x:c r="M4973" s="73" t="n">
        <x:f>MAX(M4972,F4973)</x:f>
        <x:v>1.5291</x:v>
      </x:c>
      <x:c r="N4973" s="74" t="n">
        <x:f>1-F4973/M4973</x:f>
        <x:v>0</x:v>
      </x:c>
    </x:row>
    <x:row r="4974" ht="27" customHeight="1">
      <x:c r="A4974" s="66" t="str">
        <x:v>SQN453</x:v>
      </x:c>
      <x:c r="B4974" s="66" t="str">
        <x:v>钧誉厚德量化对冲11号</x:v>
      </x:c>
      <x:c r="C4974" s="72" t="n">
        <x:v>46164</x:v>
      </x:c>
      <x:c r="D4974" s="73" t="n">
        <x:v>1.532</x:v>
      </x:c>
      <x:c r="E4974" s="73" t="n">
        <x:v>1.532</x:v>
      </x:c>
      <x:c r="F4974" s="73" t="n">
        <x:v>1.532</x:v>
      </x:c>
      <x:c r="G4974" s="74" t="n">
        <x:v>0.0019</x:v>
      </x:c>
      <x:c r="H4974" s="66" t="str">
        <x:v>钧誉厚德量化对冲11号净值20260911.xlsx</x:v>
      </x:c>
      <x:c r="I4974" s="73" t="n">
        <x:f>MAX(I4973,F4974)</x:f>
        <x:v>1.532</x:v>
      </x:c>
      <x:c r="J4974" s="74" t="n">
        <x:f>1-F4974/I4974</x:f>
        <x:v>0</x:v>
      </x:c>
      <x:c r="K4974" s="73" t="n">
        <x:f>MAX(K4973,F4974)</x:f>
        <x:v>1.532</x:v>
      </x:c>
      <x:c r="L4974" s="74" t="n">
        <x:f>1-F4974/K4974</x:f>
        <x:v>0</x:v>
      </x:c>
      <x:c r="M4974" s="73" t="n">
        <x:f>MAX(M4973,F4974)</x:f>
        <x:v>1.532</x:v>
      </x:c>
      <x:c r="N4974" s="74" t="n">
        <x:f>1-F4974/M4974</x:f>
        <x:v>0</x:v>
      </x:c>
    </x:row>
    <x:row r="4975" ht="27" customHeight="1">
      <x:c r="A4975" s="66" t="str">
        <x:v>SQN453</x:v>
      </x:c>
      <x:c r="B4975" s="66" t="str">
        <x:v>钧誉厚德量化对冲11号</x:v>
      </x:c>
      <x:c r="C4975" s="72" t="n">
        <x:v>46171</x:v>
      </x:c>
      <x:c r="D4975" s="73" t="n">
        <x:v>1.5324</x:v>
      </x:c>
      <x:c r="E4975" s="73" t="n">
        <x:v>1.5324</x:v>
      </x:c>
      <x:c r="F4975" s="73" t="n">
        <x:v>1.5324</x:v>
      </x:c>
      <x:c r="G4975" s="74" t="n">
        <x:v>0.0003</x:v>
      </x:c>
      <x:c r="H4975" s="66" t="str">
        <x:v>钧誉厚德量化对冲11号净值20260911.xlsx</x:v>
      </x:c>
      <x:c r="I4975" s="73" t="n">
        <x:f>MAX(I4974,F4975)</x:f>
        <x:v>1.5324</x:v>
      </x:c>
      <x:c r="J4975" s="74" t="n">
        <x:f>1-F4975/I4975</x:f>
        <x:v>0</x:v>
      </x:c>
      <x:c r="K4975" s="73" t="n">
        <x:f>MAX(K4974,F4975)</x:f>
        <x:v>1.5324</x:v>
      </x:c>
      <x:c r="L4975" s="74" t="n">
        <x:f>1-F4975/K4975</x:f>
        <x:v>0</x:v>
      </x:c>
      <x:c r="M4975" s="73" t="n">
        <x:f>MAX(M4974,F4975)</x:f>
        <x:v>1.5324</x:v>
      </x:c>
      <x:c r="N4975" s="74" t="n">
        <x:f>1-F4975/M4975</x:f>
        <x:v>0</x:v>
      </x:c>
    </x:row>
    <x:row r="4976" ht="27" customHeight="1">
      <x:c r="A4976" s="66" t="str">
        <x:v>SQN453</x:v>
      </x:c>
      <x:c r="B4976" s="66" t="str">
        <x:v>钧誉厚德量化对冲11号</x:v>
      </x:c>
      <x:c r="C4976" s="72" t="n">
        <x:v>46178</x:v>
      </x:c>
      <x:c r="D4976" s="73" t="n">
        <x:v>1.535</x:v>
      </x:c>
      <x:c r="E4976" s="73" t="n">
        <x:v>1.535</x:v>
      </x:c>
      <x:c r="F4976" s="73" t="n">
        <x:v>1.535</x:v>
      </x:c>
      <x:c r="G4976" s="74" t="n">
        <x:v>0.0017000000000000001</x:v>
      </x:c>
      <x:c r="H4976" s="66" t="str">
        <x:v>钧誉厚德量化对冲11号净值20260911.xlsx</x:v>
      </x:c>
      <x:c r="I4976" s="73" t="n">
        <x:f>MAX(I4975,F4976)</x:f>
        <x:v>1.535</x:v>
      </x:c>
      <x:c r="J4976" s="74" t="n">
        <x:f>1-F4976/I4976</x:f>
        <x:v>0</x:v>
      </x:c>
      <x:c r="K4976" s="73" t="n">
        <x:f>MAX(K4975,F4976)</x:f>
        <x:v>1.535</x:v>
      </x:c>
      <x:c r="L4976" s="74" t="n">
        <x:f>1-F4976/K4976</x:f>
        <x:v>0</x:v>
      </x:c>
      <x:c r="M4976" s="73" t="n">
        <x:f>MAX(M4975,F4976)</x:f>
        <x:v>1.535</x:v>
      </x:c>
      <x:c r="N4976" s="74" t="n">
        <x:f>1-F4976/M4976</x:f>
        <x:v>0</x:v>
      </x:c>
    </x:row>
    <x:row r="4977" ht="27" customHeight="1">
      <x:c r="A4977" s="66" t="str">
        <x:v>SQN453</x:v>
      </x:c>
      <x:c r="B4977" s="66" t="str">
        <x:v>钧誉厚德量化对冲11号</x:v>
      </x:c>
      <x:c r="C4977" s="72" t="n">
        <x:v>46185</x:v>
      </x:c>
      <x:c r="D4977" s="73" t="n">
        <x:v>1.5388</x:v>
      </x:c>
      <x:c r="E4977" s="73" t="n">
        <x:v>1.5388</x:v>
      </x:c>
      <x:c r="F4977" s="73" t="n">
        <x:v>1.5388</x:v>
      </x:c>
      <x:c r="G4977" s="74" t="n">
        <x:v>0.0025</x:v>
      </x:c>
      <x:c r="H4977" s="66" t="str">
        <x:v>钧誉厚德量化对冲11号净值20260911.xlsx</x:v>
      </x:c>
      <x:c r="I4977" s="73" t="n">
        <x:f>MAX(I4976,F4977)</x:f>
        <x:v>1.5388</x:v>
      </x:c>
      <x:c r="J4977" s="74" t="n">
        <x:f>1-F4977/I4977</x:f>
        <x:v>0</x:v>
      </x:c>
      <x:c r="K4977" s="73" t="n">
        <x:f>MAX(K4976,F4977)</x:f>
        <x:v>1.5388</x:v>
      </x:c>
      <x:c r="L4977" s="74" t="n">
        <x:f>1-F4977/K4977</x:f>
        <x:v>0</x:v>
      </x:c>
      <x:c r="M4977" s="73" t="n">
        <x:f>MAX(M4976,F4977)</x:f>
        <x:v>1.5388</x:v>
      </x:c>
      <x:c r="N4977" s="74" t="n">
        <x:f>1-F4977/M4977</x:f>
        <x:v>0</x:v>
      </x:c>
    </x:row>
    <x:row r="4978" ht="27" customHeight="1">
      <x:c r="A4978" s="66" t="str">
        <x:v>SQN453</x:v>
      </x:c>
      <x:c r="B4978" s="66" t="str">
        <x:v>钧誉厚德量化对冲11号</x:v>
      </x:c>
      <x:c r="C4978" s="72" t="n">
        <x:v>46191</x:v>
      </x:c>
      <x:c r="D4978" s="73" t="n">
        <x:v>1.5416</x:v>
      </x:c>
      <x:c r="E4978" s="73" t="n">
        <x:v>1.5416</x:v>
      </x:c>
      <x:c r="F4978" s="73" t="n">
        <x:v>1.5416</x:v>
      </x:c>
      <x:c r="G4978" s="74" t="n">
        <x:v>0.0018</x:v>
      </x:c>
      <x:c r="H4978" s="66" t="str">
        <x:v>钧誉厚德量化对冲11号净值20260911.xlsx</x:v>
      </x:c>
      <x:c r="I4978" s="73" t="n">
        <x:f>MAX(I4977,F4978)</x:f>
        <x:v>1.5416</x:v>
      </x:c>
      <x:c r="J4978" s="74" t="n">
        <x:f>1-F4978/I4978</x:f>
        <x:v>0</x:v>
      </x:c>
      <x:c r="K4978" s="73" t="n">
        <x:f>MAX(K4977,F4978)</x:f>
        <x:v>1.5416</x:v>
      </x:c>
      <x:c r="L4978" s="74" t="n">
        <x:f>1-F4978/K4978</x:f>
        <x:v>0</x:v>
      </x:c>
      <x:c r="M4978" s="73" t="n">
        <x:f>MAX(M4977,F4978)</x:f>
        <x:v>1.5416</x:v>
      </x:c>
      <x:c r="N4978" s="74" t="n">
        <x:f>1-F4978/M4978</x:f>
        <x:v>0</x:v>
      </x:c>
    </x:row>
    <x:row r="4979" ht="27" customHeight="1">
      <x:c r="A4979" s="66" t="str">
        <x:v>SQN453</x:v>
      </x:c>
      <x:c r="B4979" s="66" t="str">
        <x:v>钧誉厚德量化对冲11号</x:v>
      </x:c>
      <x:c r="C4979" s="72" t="n">
        <x:v>46199</x:v>
      </x:c>
      <x:c r="D4979" s="73" t="n">
        <x:v>1.5475</x:v>
      </x:c>
      <x:c r="E4979" s="73" t="n">
        <x:v>1.5475</x:v>
      </x:c>
      <x:c r="F4979" s="73" t="n">
        <x:v>1.5475</x:v>
      </x:c>
      <x:c r="G4979" s="74" t="n">
        <x:v>0.0038</x:v>
      </x:c>
      <x:c r="H4979" s="66" t="str">
        <x:v>钧誉厚德量化对冲11号净值20260911.xlsx</x:v>
      </x:c>
      <x:c r="I4979" s="73" t="n">
        <x:f>MAX(I4978,F4979)</x:f>
        <x:v>1.5475</x:v>
      </x:c>
      <x:c r="J4979" s="74" t="n">
        <x:f>1-F4979/I4979</x:f>
        <x:v>0</x:v>
      </x:c>
      <x:c r="K4979" s="73" t="n">
        <x:f>MAX(K4978,F4979)</x:f>
        <x:v>1.5475</x:v>
      </x:c>
      <x:c r="L4979" s="74" t="n">
        <x:f>1-F4979/K4979</x:f>
        <x:v>0</x:v>
      </x:c>
      <x:c r="M4979" s="73" t="n">
        <x:f>MAX(M4978,F4979)</x:f>
        <x:v>1.5475</x:v>
      </x:c>
      <x:c r="N4979" s="74" t="n">
        <x:f>1-F4979/M4979</x:f>
        <x:v>0</x:v>
      </x:c>
    </x:row>
    <x:row r="4980" ht="27" customHeight="1">
      <x:c r="A4980" s="66" t="str">
        <x:v>SQN453</x:v>
      </x:c>
      <x:c r="B4980" s="66" t="str">
        <x:v>钧誉厚德量化对冲11号</x:v>
      </x:c>
      <x:c r="C4980" s="72" t="n">
        <x:v>46206</x:v>
      </x:c>
      <x:c r="D4980" s="73" t="n">
        <x:v>1.55</x:v>
      </x:c>
      <x:c r="E4980" s="73" t="n">
        <x:v>1.55</x:v>
      </x:c>
      <x:c r="F4980" s="73" t="n">
        <x:v>1.55</x:v>
      </x:c>
      <x:c r="G4980" s="74" t="n">
        <x:v>0.0016</x:v>
      </x:c>
      <x:c r="H4980" s="66" t="str">
        <x:v>钧誉厚德量化对冲11号净值20260911.xlsx</x:v>
      </x:c>
      <x:c r="I4980" s="73" t="n">
        <x:f>MAX(I4979,F4980)</x:f>
        <x:v>1.55</x:v>
      </x:c>
      <x:c r="J4980" s="74" t="n">
        <x:f>1-F4980/I4980</x:f>
        <x:v>0</x:v>
      </x:c>
      <x:c r="K4980" s="73" t="n">
        <x:f>MAX(K4979,F4980)</x:f>
        <x:v>1.55</x:v>
      </x:c>
      <x:c r="L4980" s="74" t="n">
        <x:f>1-F4980/K4980</x:f>
        <x:v>0</x:v>
      </x:c>
      <x:c r="M4980" s="73" t="n">
        <x:f>MAX(M4979,F4980)</x:f>
        <x:v>1.55</x:v>
      </x:c>
      <x:c r="N4980" s="74" t="n">
        <x:f>1-F4980/M4980</x:f>
        <x:v>0</x:v>
      </x:c>
    </x:row>
    <x:row r="4981" ht="27" customHeight="1">
      <x:c r="A4981" s="66" t="str">
        <x:v>SQN453</x:v>
      </x:c>
      <x:c r="B4981" s="66" t="str">
        <x:v>钧誉厚德量化对冲11号</x:v>
      </x:c>
      <x:c r="C4981" s="72" t="n">
        <x:v>46213</x:v>
      </x:c>
      <x:c r="D4981" s="73" t="n">
        <x:v>1.5574</x:v>
      </x:c>
      <x:c r="E4981" s="73" t="n">
        <x:v>1.5574</x:v>
      </x:c>
      <x:c r="F4981" s="73" t="n">
        <x:v>1.5574</x:v>
      </x:c>
      <x:c r="G4981" s="74" t="n">
        <x:v>0.0048</x:v>
      </x:c>
      <x:c r="H4981" s="66" t="str">
        <x:v>钧誉厚德量化对冲11号净值20260911.xlsx</x:v>
      </x:c>
      <x:c r="I4981" s="73" t="n">
        <x:f>MAX(I4980,F4981)</x:f>
        <x:v>1.5574</x:v>
      </x:c>
      <x:c r="J4981" s="74" t="n">
        <x:f>1-F4981/I4981</x:f>
        <x:v>0</x:v>
      </x:c>
      <x:c r="K4981" s="73" t="n">
        <x:f>MAX(K4980,F4981)</x:f>
        <x:v>1.5574</x:v>
      </x:c>
      <x:c r="L4981" s="74" t="n">
        <x:f>1-F4981/K4981</x:f>
        <x:v>0</x:v>
      </x:c>
      <x:c r="M4981" s="73" t="n">
        <x:f>MAX(M4980,F4981)</x:f>
        <x:v>1.5574</x:v>
      </x:c>
      <x:c r="N4981" s="74" t="n">
        <x:f>1-F4981/M4981</x:f>
        <x:v>0</x:v>
      </x:c>
    </x:row>
    <x:row r="4982" ht="27" customHeight="1">
      <x:c r="A4982" s="66" t="str">
        <x:v>SQN453</x:v>
      </x:c>
      <x:c r="B4982" s="66" t="str">
        <x:v>钧誉厚德量化对冲11号</x:v>
      </x:c>
      <x:c r="C4982" s="72" t="n">
        <x:v>46220</x:v>
      </x:c>
      <x:c r="D4982" s="73" t="n">
        <x:v>1.5601</x:v>
      </x:c>
      <x:c r="E4982" s="73" t="n">
        <x:v>1.5601</x:v>
      </x:c>
      <x:c r="F4982" s="73" t="n">
        <x:v>1.5601</x:v>
      </x:c>
      <x:c r="G4982" s="74" t="n">
        <x:v>0.0017000000000000001</x:v>
      </x:c>
      <x:c r="H4982" s="66" t="str">
        <x:v>钧誉厚德量化对冲11号净值20260911.xlsx</x:v>
      </x:c>
      <x:c r="I4982" s="73" t="n">
        <x:f>MAX(I4981,F4982)</x:f>
        <x:v>1.5601</x:v>
      </x:c>
      <x:c r="J4982" s="74" t="n">
        <x:f>1-F4982/I4982</x:f>
        <x:v>0</x:v>
      </x:c>
      <x:c r="K4982" s="73" t="n">
        <x:f>MAX(K4981,F4982)</x:f>
        <x:v>1.5601</x:v>
      </x:c>
      <x:c r="L4982" s="74" t="n">
        <x:f>1-F4982/K4982</x:f>
        <x:v>0</x:v>
      </x:c>
      <x:c r="M4982" s="73" t="n">
        <x:f>MAX(M4981,F4982)</x:f>
        <x:v>1.5601</x:v>
      </x:c>
      <x:c r="N4982" s="74" t="n">
        <x:f>1-F4982/M4982</x:f>
        <x:v>0</x:v>
      </x:c>
    </x:row>
    <x:row r="4983" ht="27" customHeight="1">
      <x:c r="A4983" s="66" t="str">
        <x:v>SQN453</x:v>
      </x:c>
      <x:c r="B4983" s="66" t="str">
        <x:v>钧誉厚德量化对冲11号</x:v>
      </x:c>
      <x:c r="C4983" s="72" t="n">
        <x:v>46223</x:v>
      </x:c>
      <x:c r="D4983" s="73" t="n">
        <x:v>1.5611</x:v>
      </x:c>
      <x:c r="E4983" s="73" t="n">
        <x:v>1.5611</x:v>
      </x:c>
      <x:c r="F4983" s="73" t="n">
        <x:v>1.5611</x:v>
      </x:c>
      <x:c r="G4983" s="74" t="n">
        <x:v>0.0006</x:v>
      </x:c>
      <x:c r="H4983" s="66" t="str">
        <x:v>钧誉厚德量化对冲11号净值20260911.xlsx</x:v>
      </x:c>
      <x:c r="I4983" s="73" t="n">
        <x:f>MAX(I4982,F4983)</x:f>
        <x:v>1.5611</x:v>
      </x:c>
      <x:c r="J4983" s="74" t="n">
        <x:f>1-F4983/I4983</x:f>
        <x:v>0</x:v>
      </x:c>
      <x:c r="K4983" s="73" t="n">
        <x:f>MAX(K4982,F4983)</x:f>
        <x:v>1.5611</x:v>
      </x:c>
      <x:c r="L4983" s="74" t="n">
        <x:f>1-F4983/K4983</x:f>
        <x:v>0</x:v>
      </x:c>
      <x:c r="M4983" s="73" t="n">
        <x:f>MAX(M4982,F4983)</x:f>
        <x:v>1.5611</x:v>
      </x:c>
      <x:c r="N4983" s="74" t="n">
        <x:f>1-F4983/M4983</x:f>
        <x:v>0</x:v>
      </x:c>
    </x:row>
    <x:row r="4984" ht="27" customHeight="1">
      <x:c r="A4984" s="66" t="str">
        <x:v>SQN453</x:v>
      </x:c>
      <x:c r="B4984" s="66" t="str">
        <x:v>钧誉厚德量化对冲11号</x:v>
      </x:c>
      <x:c r="C4984" s="72" t="n">
        <x:v>46225</x:v>
      </x:c>
      <x:c r="D4984" s="73" t="n">
        <x:v>1.5622</x:v>
      </x:c>
      <x:c r="E4984" s="73" t="n">
        <x:v>1.5622</x:v>
      </x:c>
      <x:c r="F4984" s="73" t="n">
        <x:v>1.5622</x:v>
      </x:c>
      <x:c r="G4984" s="74" t="n">
        <x:v>0.0007000000000000001</x:v>
      </x:c>
      <x:c r="H4984" s="66" t="str">
        <x:v>钧誉厚德量化对冲11号净值20260911.xlsx</x:v>
      </x:c>
      <x:c r="I4984" s="73" t="n">
        <x:f>MAX(I4983,F4984)</x:f>
        <x:v>1.5622</x:v>
      </x:c>
      <x:c r="J4984" s="74" t="n">
        <x:f>1-F4984/I4984</x:f>
        <x:v>0</x:v>
      </x:c>
      <x:c r="K4984" s="73" t="n">
        <x:f>MAX(K4983,F4984)</x:f>
        <x:v>1.5622</x:v>
      </x:c>
      <x:c r="L4984" s="74" t="n">
        <x:f>1-F4984/K4984</x:f>
        <x:v>0</x:v>
      </x:c>
      <x:c r="M4984" s="73" t="n">
        <x:f>MAX(M4983,F4984)</x:f>
        <x:v>1.5622</x:v>
      </x:c>
      <x:c r="N4984" s="74" t="n">
        <x:f>1-F4984/M4984</x:f>
        <x:v>0</x:v>
      </x:c>
    </x:row>
    <x:row r="4985" ht="27" customHeight="1">
      <x:c r="A4985" s="66" t="str">
        <x:v>SQN453</x:v>
      </x:c>
      <x:c r="B4985" s="66" t="str">
        <x:v>钧誉厚德量化对冲11号</x:v>
      </x:c>
      <x:c r="C4985" s="72" t="n">
        <x:v>46227</x:v>
      </x:c>
      <x:c r="D4985" s="73" t="n">
        <x:v>1.5642</x:v>
      </x:c>
      <x:c r="E4985" s="73" t="n">
        <x:v>1.5642</x:v>
      </x:c>
      <x:c r="F4985" s="73" t="n">
        <x:v>1.5642</x:v>
      </x:c>
      <x:c r="G4985" s="74" t="n">
        <x:v>0.0013</x:v>
      </x:c>
      <x:c r="H4985" s="66" t="str">
        <x:v>钧誉厚德量化对冲11号净值20260911.xlsx</x:v>
      </x:c>
      <x:c r="I4985" s="73" t="n">
        <x:f>MAX(I4984,F4985)</x:f>
        <x:v>1.5642</x:v>
      </x:c>
      <x:c r="J4985" s="74" t="n">
        <x:f>1-F4985/I4985</x:f>
        <x:v>0</x:v>
      </x:c>
      <x:c r="K4985" s="73" t="n">
        <x:f>MAX(K4984,F4985)</x:f>
        <x:v>1.5642</x:v>
      </x:c>
      <x:c r="L4985" s="74" t="n">
        <x:f>1-F4985/K4985</x:f>
        <x:v>0</x:v>
      </x:c>
      <x:c r="M4985" s="73" t="n">
        <x:f>MAX(M4984,F4985)</x:f>
        <x:v>1.5642</x:v>
      </x:c>
      <x:c r="N4985" s="74" t="n">
        <x:f>1-F4985/M4985</x:f>
        <x:v>0</x:v>
      </x:c>
    </x:row>
    <x:row r="4986" ht="27" customHeight="1">
      <x:c r="A4986" s="66" t="str">
        <x:v>SQN453</x:v>
      </x:c>
      <x:c r="B4986" s="66" t="str">
        <x:v>钧誉厚德量化对冲11号</x:v>
      </x:c>
      <x:c r="C4986" s="72" t="n">
        <x:v>46230</x:v>
      </x:c>
      <x:c r="D4986" s="73" t="n">
        <x:v>1.5656</x:v>
      </x:c>
      <x:c r="E4986" s="73" t="n">
        <x:v>1.5656</x:v>
      </x:c>
      <x:c r="F4986" s="73" t="n">
        <x:v>1.5656</x:v>
      </x:c>
      <x:c r="G4986" s="74" t="n">
        <x:v>0.0009</x:v>
      </x:c>
      <x:c r="H4986" s="66" t="str">
        <x:v>钧誉厚德量化对冲11号净值20260911.xlsx</x:v>
      </x:c>
      <x:c r="I4986" s="73" t="n">
        <x:f>MAX(I4985,F4986)</x:f>
        <x:v>1.5656</x:v>
      </x:c>
      <x:c r="J4986" s="74" t="n">
        <x:f>1-F4986/I4986</x:f>
        <x:v>0</x:v>
      </x:c>
      <x:c r="K4986" s="73" t="n">
        <x:f>MAX(K4985,F4986)</x:f>
        <x:v>1.5656</x:v>
      </x:c>
      <x:c r="L4986" s="74" t="n">
        <x:f>1-F4986/K4986</x:f>
        <x:v>0</x:v>
      </x:c>
      <x:c r="M4986" s="73" t="n">
        <x:f>MAX(M4985,F4986)</x:f>
        <x:v>1.5656</x:v>
      </x:c>
      <x:c r="N4986" s="74" t="n">
        <x:f>1-F4986/M4986</x:f>
        <x:v>0</x:v>
      </x:c>
    </x:row>
    <x:row r="4987" ht="27" customHeight="1">
      <x:c r="A4987" s="66" t="str">
        <x:v>SQN453</x:v>
      </x:c>
      <x:c r="B4987" s="66" t="str">
        <x:v>钧誉厚德量化对冲11号</x:v>
      </x:c>
      <x:c r="C4987" s="72" t="n">
        <x:v>46232</x:v>
      </x:c>
      <x:c r="D4987" s="73" t="n">
        <x:v>1.5669</x:v>
      </x:c>
      <x:c r="E4987" s="73" t="n">
        <x:v>1.5669</x:v>
      </x:c>
      <x:c r="F4987" s="73" t="n">
        <x:v>1.5669</x:v>
      </x:c>
      <x:c r="G4987" s="74" t="n">
        <x:v>0.0008</x:v>
      </x:c>
      <x:c r="H4987" s="66" t="str">
        <x:v>钧誉厚德量化对冲11号净值20260911.xlsx</x:v>
      </x:c>
      <x:c r="I4987" s="73" t="n">
        <x:f>MAX(I4986,F4987)</x:f>
        <x:v>1.5669</x:v>
      </x:c>
      <x:c r="J4987" s="74" t="n">
        <x:f>1-F4987/I4987</x:f>
        <x:v>0</x:v>
      </x:c>
      <x:c r="K4987" s="73" t="n">
        <x:f>MAX(K4986,F4987)</x:f>
        <x:v>1.5669</x:v>
      </x:c>
      <x:c r="L4987" s="74" t="n">
        <x:f>1-F4987/K4987</x:f>
        <x:v>0</x:v>
      </x:c>
      <x:c r="M4987" s="73" t="n">
        <x:f>MAX(M4986,F4987)</x:f>
        <x:v>1.5669</x:v>
      </x:c>
      <x:c r="N4987" s="74" t="n">
        <x:f>1-F4987/M4987</x:f>
        <x:v>0</x:v>
      </x:c>
    </x:row>
    <x:row r="4988" ht="27" customHeight="1">
      <x:c r="A4988" s="66" t="str">
        <x:v>SQN453</x:v>
      </x:c>
      <x:c r="B4988" s="66" t="str">
        <x:v>钧誉厚德量化对冲11号</x:v>
      </x:c>
      <x:c r="C4988" s="72" t="n">
        <x:v>46234</x:v>
      </x:c>
      <x:c r="D4988" s="73" t="n">
        <x:v>1.5688</x:v>
      </x:c>
      <x:c r="E4988" s="73" t="n">
        <x:v>1.5688</x:v>
      </x:c>
      <x:c r="F4988" s="73" t="n">
        <x:v>1.5688</x:v>
      </x:c>
      <x:c r="G4988" s="74" t="n">
        <x:v>0.0012</x:v>
      </x:c>
      <x:c r="H4988" s="66" t="str">
        <x:v>钧誉厚德量化对冲11号净值20260911.xlsx</x:v>
      </x:c>
      <x:c r="I4988" s="73" t="n">
        <x:f>MAX(I4987,F4988)</x:f>
        <x:v>1.5688</x:v>
      </x:c>
      <x:c r="J4988" s="74" t="n">
        <x:f>1-F4988/I4988</x:f>
        <x:v>0</x:v>
      </x:c>
      <x:c r="K4988" s="73" t="n">
        <x:f>MAX(K4987,F4988)</x:f>
        <x:v>1.5688</x:v>
      </x:c>
      <x:c r="L4988" s="74" t="n">
        <x:f>1-F4988/K4988</x:f>
        <x:v>0</x:v>
      </x:c>
      <x:c r="M4988" s="73" t="n">
        <x:f>MAX(M4987,F4988)</x:f>
        <x:v>1.5688</x:v>
      </x:c>
      <x:c r="N4988" s="74" t="n">
        <x:f>1-F4988/M4988</x:f>
        <x:v>0</x:v>
      </x:c>
    </x:row>
    <x:row r="4989" ht="27" customHeight="1">
      <x:c r="A4989" s="66" t="str">
        <x:v>SQN453</x:v>
      </x:c>
      <x:c r="B4989" s="66" t="str">
        <x:v>钧誉厚德量化对冲11号</x:v>
      </x:c>
      <x:c r="C4989" s="72" t="n">
        <x:v>46237</x:v>
      </x:c>
      <x:c r="D4989" s="73" t="n">
        <x:v>1.57</x:v>
      </x:c>
      <x:c r="E4989" s="73" t="n">
        <x:v>1.57</x:v>
      </x:c>
      <x:c r="F4989" s="73" t="n">
        <x:v>1.57</x:v>
      </x:c>
      <x:c r="G4989" s="74" t="n">
        <x:v>0.0008</x:v>
      </x:c>
      <x:c r="H4989" s="66" t="str">
        <x:v>钧誉厚德量化对冲11号净值20260911.xlsx</x:v>
      </x:c>
      <x:c r="I4989" s="73" t="n">
        <x:f>MAX(I4988,F4989)</x:f>
        <x:v>1.57</x:v>
      </x:c>
      <x:c r="J4989" s="74" t="n">
        <x:f>1-F4989/I4989</x:f>
        <x:v>0</x:v>
      </x:c>
      <x:c r="K4989" s="73" t="n">
        <x:f>MAX(K4988,F4989)</x:f>
        <x:v>1.57</x:v>
      </x:c>
      <x:c r="L4989" s="74" t="n">
        <x:f>1-F4989/K4989</x:f>
        <x:v>0</x:v>
      </x:c>
      <x:c r="M4989" s="73" t="n">
        <x:f>MAX(M4988,F4989)</x:f>
        <x:v>1.57</x:v>
      </x:c>
      <x:c r="N4989" s="74" t="n">
        <x:f>1-F4989/M4989</x:f>
        <x:v>0</x:v>
      </x:c>
    </x:row>
    <x:row r="4990" ht="27" customHeight="1">
      <x:c r="A4990" s="66" t="str">
        <x:v>SQN453</x:v>
      </x:c>
      <x:c r="B4990" s="66" t="str">
        <x:v>钧誉厚德量化对冲11号</x:v>
      </x:c>
      <x:c r="C4990" s="72" t="n">
        <x:v>46239</x:v>
      </x:c>
      <x:c r="D4990" s="73" t="n">
        <x:v>1.5708</x:v>
      </x:c>
      <x:c r="E4990" s="73" t="n">
        <x:v>1.5708</x:v>
      </x:c>
      <x:c r="F4990" s="73" t="n">
        <x:v>1.5708</x:v>
      </x:c>
      <x:c r="G4990" s="74" t="n">
        <x:v>0.0005</x:v>
      </x:c>
      <x:c r="H4990" s="66" t="str">
        <x:v>钧誉厚德量化对冲11号净值20260911.xlsx</x:v>
      </x:c>
      <x:c r="I4990" s="73" t="n">
        <x:f>MAX(I4989,F4990)</x:f>
        <x:v>1.5708</x:v>
      </x:c>
      <x:c r="J4990" s="74" t="n">
        <x:f>1-F4990/I4990</x:f>
        <x:v>0</x:v>
      </x:c>
      <x:c r="K4990" s="73" t="n">
        <x:f>MAX(K4989,F4990)</x:f>
        <x:v>1.5708</x:v>
      </x:c>
      <x:c r="L4990" s="74" t="n">
        <x:f>1-F4990/K4990</x:f>
        <x:v>0</x:v>
      </x:c>
      <x:c r="M4990" s="73" t="n">
        <x:f>MAX(M4989,F4990)</x:f>
        <x:v>1.5708</x:v>
      </x:c>
      <x:c r="N4990" s="74" t="n">
        <x:f>1-F4990/M4990</x:f>
        <x:v>0</x:v>
      </x:c>
    </x:row>
    <x:row r="4991" ht="27" customHeight="1">
      <x:c r="A4991" s="66" t="str">
        <x:v>SQN453</x:v>
      </x:c>
      <x:c r="B4991" s="66" t="str">
        <x:v>钧誉厚德量化对冲11号</x:v>
      </x:c>
      <x:c r="C4991" s="72" t="n">
        <x:v>46241</x:v>
      </x:c>
      <x:c r="D4991" s="73" t="n">
        <x:v>1.5723</x:v>
      </x:c>
      <x:c r="E4991" s="73" t="n">
        <x:v>1.5723</x:v>
      </x:c>
      <x:c r="F4991" s="73" t="n">
        <x:v>1.5723</x:v>
      </x:c>
      <x:c r="G4991" s="74" t="n">
        <x:v>0.001</x:v>
      </x:c>
      <x:c r="H4991" s="66" t="str">
        <x:v>钧誉厚德量化对冲11号净值20260911.xlsx</x:v>
      </x:c>
      <x:c r="I4991" s="73" t="n">
        <x:f>MAX(I4990,F4991)</x:f>
        <x:v>1.5723</x:v>
      </x:c>
      <x:c r="J4991" s="74" t="n">
        <x:f>1-F4991/I4991</x:f>
        <x:v>0</x:v>
      </x:c>
      <x:c r="K4991" s="73" t="n">
        <x:f>MAX(K4990,F4991)</x:f>
        <x:v>1.5723</x:v>
      </x:c>
      <x:c r="L4991" s="74" t="n">
        <x:f>1-F4991/K4991</x:f>
        <x:v>0</x:v>
      </x:c>
      <x:c r="M4991" s="73" t="n">
        <x:f>MAX(M4990,F4991)</x:f>
        <x:v>1.5723</x:v>
      </x:c>
      <x:c r="N4991" s="74" t="n">
        <x:f>1-F4991/M4991</x:f>
        <x:v>0</x:v>
      </x:c>
    </x:row>
    <x:row r="4992" ht="27" customHeight="1">
      <x:c r="A4992" s="66" t="str">
        <x:v>SQN453</x:v>
      </x:c>
      <x:c r="B4992" s="66" t="str">
        <x:v>钧誉厚德量化对冲11号</x:v>
      </x:c>
      <x:c r="C4992" s="72" t="n">
        <x:v>46244</x:v>
      </x:c>
      <x:c r="D4992" s="73" t="n">
        <x:v>1.5723</x:v>
      </x:c>
      <x:c r="E4992" s="73" t="n">
        <x:v>1.5723</x:v>
      </x:c>
      <x:c r="F4992" s="73" t="n">
        <x:v>1.5723</x:v>
      </x:c>
      <x:c r="G4992" s="74" t="n">
        <x:v>0</x:v>
      </x:c>
      <x:c r="H4992" s="66" t="str">
        <x:v>钧誉厚德量化对冲11号净值20260911.xlsx</x:v>
      </x:c>
      <x:c r="I4992" s="73" t="n">
        <x:f>MAX(I4991,F4992)</x:f>
        <x:v>1.5723</x:v>
      </x:c>
      <x:c r="J4992" s="74" t="n">
        <x:f>1-F4992/I4992</x:f>
        <x:v>0</x:v>
      </x:c>
      <x:c r="K4992" s="73" t="n">
        <x:f>MAX(K4991,F4992)</x:f>
        <x:v>1.5723</x:v>
      </x:c>
      <x:c r="L4992" s="74" t="n">
        <x:f>1-F4992/K4992</x:f>
        <x:v>0</x:v>
      </x:c>
      <x:c r="M4992" s="73" t="n">
        <x:f>MAX(M4991,F4992)</x:f>
        <x:v>1.5723</x:v>
      </x:c>
      <x:c r="N4992" s="74" t="n">
        <x:f>1-F4992/M4992</x:f>
        <x:v>0</x:v>
      </x:c>
    </x:row>
    <x:row r="4993" ht="27" customHeight="1">
      <x:c r="A4993" s="66" t="str">
        <x:v>SQN453</x:v>
      </x:c>
      <x:c r="B4993" s="66" t="str">
        <x:v>钧誉厚德量化对冲11号</x:v>
      </x:c>
      <x:c r="C4993" s="72" t="n">
        <x:v>46246</x:v>
      </x:c>
      <x:c r="D4993" s="73" t="n">
        <x:v>1.5735</x:v>
      </x:c>
      <x:c r="E4993" s="73" t="n">
        <x:v>1.5735</x:v>
      </x:c>
      <x:c r="F4993" s="73" t="n">
        <x:v>1.5735</x:v>
      </x:c>
      <x:c r="G4993" s="74" t="n">
        <x:v>0.0008</x:v>
      </x:c>
      <x:c r="H4993" s="66" t="str">
        <x:v>钧誉厚德量化对冲11号净值20260911.xlsx</x:v>
      </x:c>
      <x:c r="I4993" s="73" t="n">
        <x:f>MAX(I4992,F4993)</x:f>
        <x:v>1.5735</x:v>
      </x:c>
      <x:c r="J4993" s="74" t="n">
        <x:f>1-F4993/I4993</x:f>
        <x:v>0</x:v>
      </x:c>
      <x:c r="K4993" s="73" t="n">
        <x:f>MAX(K4992,F4993)</x:f>
        <x:v>1.5735</x:v>
      </x:c>
      <x:c r="L4993" s="74" t="n">
        <x:f>1-F4993/K4993</x:f>
        <x:v>0</x:v>
      </x:c>
      <x:c r="M4993" s="73" t="n">
        <x:f>MAX(M4992,F4993)</x:f>
        <x:v>1.5735</x:v>
      </x:c>
      <x:c r="N4993" s="74" t="n">
        <x:f>1-F4993/M4993</x:f>
        <x:v>0</x:v>
      </x:c>
    </x:row>
    <x:row r="4994" ht="27" customHeight="1">
      <x:c r="A4994" s="66" t="str">
        <x:v>SQN453</x:v>
      </x:c>
      <x:c r="B4994" s="66" t="str">
        <x:v>钧誉厚德量化对冲11号</x:v>
      </x:c>
      <x:c r="C4994" s="72" t="n">
        <x:v>46248</x:v>
      </x:c>
      <x:c r="D4994" s="73" t="n">
        <x:v>1.5747</x:v>
      </x:c>
      <x:c r="E4994" s="73" t="n">
        <x:v>1.5747</x:v>
      </x:c>
      <x:c r="F4994" s="73" t="n">
        <x:v>1.5747</x:v>
      </x:c>
      <x:c r="G4994" s="74" t="n">
        <x:v>0.0008</x:v>
      </x:c>
      <x:c r="H4994" s="66" t="str">
        <x:v>钧誉厚德量化对冲11号净值20260911.xlsx</x:v>
      </x:c>
      <x:c r="I4994" s="73" t="n">
        <x:f>MAX(I4993,F4994)</x:f>
        <x:v>1.5747</x:v>
      </x:c>
      <x:c r="J4994" s="74" t="n">
        <x:f>1-F4994/I4994</x:f>
        <x:v>0</x:v>
      </x:c>
      <x:c r="K4994" s="73" t="n">
        <x:f>MAX(K4993,F4994)</x:f>
        <x:v>1.5747</x:v>
      </x:c>
      <x:c r="L4994" s="74" t="n">
        <x:f>1-F4994/K4994</x:f>
        <x:v>0</x:v>
      </x:c>
      <x:c r="M4994" s="73" t="n">
        <x:f>MAX(M4993,F4994)</x:f>
        <x:v>1.5747</x:v>
      </x:c>
      <x:c r="N4994" s="74" t="n">
        <x:f>1-F4994/M4994</x:f>
        <x:v>0</x:v>
      </x:c>
    </x:row>
    <x:row r="4995" ht="27" customHeight="1">
      <x:c r="A4995" s="66" t="str">
        <x:v>SQN453</x:v>
      </x:c>
      <x:c r="B4995" s="66" t="str">
        <x:v>钧誉厚德量化对冲11号</x:v>
      </x:c>
      <x:c r="C4995" s="72" t="n">
        <x:v>46251</x:v>
      </x:c>
      <x:c r="D4995" s="73" t="n">
        <x:v>1.5751</x:v>
      </x:c>
      <x:c r="E4995" s="73" t="n">
        <x:v>1.5751</x:v>
      </x:c>
      <x:c r="F4995" s="73" t="n">
        <x:v>1.5751</x:v>
      </x:c>
      <x:c r="G4995" s="74" t="n">
        <x:v>0.0003</x:v>
      </x:c>
      <x:c r="H4995" s="66" t="str">
        <x:v>钧誉厚德量化对冲11号净值20260911.xlsx</x:v>
      </x:c>
      <x:c r="I4995" s="73" t="n">
        <x:f>MAX(I4994,F4995)</x:f>
        <x:v>1.5751</x:v>
      </x:c>
      <x:c r="J4995" s="74" t="n">
        <x:f>1-F4995/I4995</x:f>
        <x:v>0</x:v>
      </x:c>
      <x:c r="K4995" s="73" t="n">
        <x:f>MAX(K4994,F4995)</x:f>
        <x:v>1.5751</x:v>
      </x:c>
      <x:c r="L4995" s="74" t="n">
        <x:f>1-F4995/K4995</x:f>
        <x:v>0</x:v>
      </x:c>
      <x:c r="M4995" s="73" t="n">
        <x:f>MAX(M4994,F4995)</x:f>
        <x:v>1.5751</x:v>
      </x:c>
      <x:c r="N4995" s="74" t="n">
        <x:f>1-F4995/M4995</x:f>
        <x:v>0</x:v>
      </x:c>
    </x:row>
    <x:row r="4996" ht="27" customHeight="1">
      <x:c r="A4996" s="66" t="str">
        <x:v>SQN453</x:v>
      </x:c>
      <x:c r="B4996" s="66" t="str">
        <x:v>钧誉厚德量化对冲11号</x:v>
      </x:c>
      <x:c r="C4996" s="72" t="n">
        <x:v>46253</x:v>
      </x:c>
      <x:c r="D4996" s="73" t="n">
        <x:v>1.5763</x:v>
      </x:c>
      <x:c r="E4996" s="73" t="n">
        <x:v>1.5763</x:v>
      </x:c>
      <x:c r="F4996" s="73" t="n">
        <x:v>1.5763</x:v>
      </x:c>
      <x:c r="G4996" s="74" t="n">
        <x:v>0.0008</x:v>
      </x:c>
      <x:c r="H4996" s="66" t="str">
        <x:v>钧誉厚德量化对冲11号净值20260911.xlsx</x:v>
      </x:c>
      <x:c r="I4996" s="73" t="n">
        <x:f>MAX(I4995,F4996)</x:f>
        <x:v>1.5763</x:v>
      </x:c>
      <x:c r="J4996" s="74" t="n">
        <x:f>1-F4996/I4996</x:f>
        <x:v>0</x:v>
      </x:c>
      <x:c r="K4996" s="73" t="n">
        <x:f>MAX(K4995,F4996)</x:f>
        <x:v>1.5763</x:v>
      </x:c>
      <x:c r="L4996" s="74" t="n">
        <x:f>1-F4996/K4996</x:f>
        <x:v>0</x:v>
      </x:c>
      <x:c r="M4996" s="73" t="n">
        <x:f>MAX(M4995,F4996)</x:f>
        <x:v>1.5763</x:v>
      </x:c>
      <x:c r="N4996" s="74" t="n">
        <x:f>1-F4996/M4996</x:f>
        <x:v>0</x:v>
      </x:c>
    </x:row>
    <x:row r="4997" ht="27" customHeight="1">
      <x:c r="A4997" s="66" t="str">
        <x:v>SQN453</x:v>
      </x:c>
      <x:c r="B4997" s="66" t="str">
        <x:v>钧誉厚德量化对冲11号</x:v>
      </x:c>
      <x:c r="C4997" s="72" t="n">
        <x:v>46255</x:v>
      </x:c>
      <x:c r="D4997" s="73" t="n">
        <x:v>1.5768</x:v>
      </x:c>
      <x:c r="E4997" s="73" t="n">
        <x:v>1.5768</x:v>
      </x:c>
      <x:c r="F4997" s="73" t="n">
        <x:v>1.5768</x:v>
      </x:c>
      <x:c r="G4997" s="74" t="n">
        <x:v>0.0003</x:v>
      </x:c>
      <x:c r="H4997" s="66" t="str">
        <x:v>钧誉厚德量化对冲11号净值20260911.xlsx</x:v>
      </x:c>
      <x:c r="I4997" s="73" t="n">
        <x:f>MAX(I4996,F4997)</x:f>
        <x:v>1.5768</x:v>
      </x:c>
      <x:c r="J4997" s="74" t="n">
        <x:f>1-F4997/I4997</x:f>
        <x:v>0</x:v>
      </x:c>
      <x:c r="K4997" s="73" t="n">
        <x:f>MAX(K4996,F4997)</x:f>
        <x:v>1.5768</x:v>
      </x:c>
      <x:c r="L4997" s="74" t="n">
        <x:f>1-F4997/K4997</x:f>
        <x:v>0</x:v>
      </x:c>
      <x:c r="M4997" s="73" t="n">
        <x:f>MAX(M4996,F4997)</x:f>
        <x:v>1.5768</x:v>
      </x:c>
      <x:c r="N4997" s="74" t="n">
        <x:f>1-F4997/M4997</x:f>
        <x:v>0</x:v>
      </x:c>
    </x:row>
    <x:row r="4998" ht="27" customHeight="1">
      <x:c r="A4998" s="66" t="str">
        <x:v>SQN453</x:v>
      </x:c>
      <x:c r="B4998" s="66" t="str">
        <x:v>钧誉厚德量化对冲11号</x:v>
      </x:c>
      <x:c r="C4998" s="72" t="n">
        <x:v>46258</x:v>
      </x:c>
      <x:c r="D4998" s="73" t="n">
        <x:v>1.5768</x:v>
      </x:c>
      <x:c r="E4998" s="73" t="n">
        <x:v>1.5768</x:v>
      </x:c>
      <x:c r="F4998" s="73" t="n">
        <x:v>1.5768</x:v>
      </x:c>
      <x:c r="G4998" s="74" t="n">
        <x:v>0</x:v>
      </x:c>
      <x:c r="H4998" s="66" t="str">
        <x:v>钧誉厚德量化对冲11号净值20260911.xlsx</x:v>
      </x:c>
      <x:c r="I4998" s="73" t="n">
        <x:f>MAX(I4997,F4998)</x:f>
        <x:v>1.5768</x:v>
      </x:c>
      <x:c r="J4998" s="74" t="n">
        <x:f>1-F4998/I4998</x:f>
        <x:v>0</x:v>
      </x:c>
      <x:c r="K4998" s="73" t="n">
        <x:f>MAX(K4997,F4998)</x:f>
        <x:v>1.5768</x:v>
      </x:c>
      <x:c r="L4998" s="74" t="n">
        <x:f>1-F4998/K4998</x:f>
        <x:v>0</x:v>
      </x:c>
      <x:c r="M4998" s="73" t="n">
        <x:f>MAX(M4997,F4998)</x:f>
        <x:v>1.5768</x:v>
      </x:c>
      <x:c r="N4998" s="74" t="n">
        <x:f>1-F4998/M4998</x:f>
        <x:v>0</x:v>
      </x:c>
    </x:row>
    <x:row r="4999" ht="27" customHeight="1">
      <x:c r="A4999" s="66" t="str">
        <x:v>SQN453</x:v>
      </x:c>
      <x:c r="B4999" s="66" t="str">
        <x:v>钧誉厚德量化对冲11号</x:v>
      </x:c>
      <x:c r="C4999" s="72" t="n">
        <x:v>46260</x:v>
      </x:c>
      <x:c r="D4999" s="73" t="n">
        <x:v>1.5779</x:v>
      </x:c>
      <x:c r="E4999" s="73" t="n">
        <x:v>1.5779</x:v>
      </x:c>
      <x:c r="F4999" s="73" t="n">
        <x:v>1.5779</x:v>
      </x:c>
      <x:c r="G4999" s="74" t="n">
        <x:v>0.0007000000000000001</x:v>
      </x:c>
      <x:c r="H4999" s="66" t="str">
        <x:v>钧誉厚德量化对冲11号净值20260911.xlsx</x:v>
      </x:c>
      <x:c r="I4999" s="73" t="n">
        <x:f>MAX(I4998,F4999)</x:f>
        <x:v>1.5779</x:v>
      </x:c>
      <x:c r="J4999" s="74" t="n">
        <x:f>1-F4999/I4999</x:f>
        <x:v>0</x:v>
      </x:c>
      <x:c r="K4999" s="73" t="n">
        <x:f>MAX(K4998,F4999)</x:f>
        <x:v>1.5779</x:v>
      </x:c>
      <x:c r="L4999" s="74" t="n">
        <x:f>1-F4999/K4999</x:f>
        <x:v>0</x:v>
      </x:c>
      <x:c r="M4999" s="73" t="n">
        <x:f>MAX(M4998,F4999)</x:f>
        <x:v>1.5779</x:v>
      </x:c>
      <x:c r="N4999" s="74" t="n">
        <x:f>1-F4999/M4999</x:f>
        <x:v>0</x:v>
      </x:c>
    </x:row>
    <x:row r="5000" ht="27" customHeight="1">
      <x:c r="A5000" s="66" t="str">
        <x:v>SQN453</x:v>
      </x:c>
      <x:c r="B5000" s="66" t="str">
        <x:v>钧誉厚德量化对冲11号</x:v>
      </x:c>
      <x:c r="C5000" s="72" t="n">
        <x:v>46262</x:v>
      </x:c>
      <x:c r="D5000" s="73" t="n">
        <x:v>1.5784</x:v>
      </x:c>
      <x:c r="E5000" s="73" t="n">
        <x:v>1.5784</x:v>
      </x:c>
      <x:c r="F5000" s="73" t="n">
        <x:v>1.5784</x:v>
      </x:c>
      <x:c r="G5000" s="74" t="n">
        <x:v>0.0003</x:v>
      </x:c>
      <x:c r="H5000" s="66" t="str">
        <x:v>钧誉厚德量化对冲11号净值20260911.xlsx</x:v>
      </x:c>
      <x:c r="I5000" s="73" t="n">
        <x:f>MAX(I4999,F5000)</x:f>
        <x:v>1.5784</x:v>
      </x:c>
      <x:c r="J5000" s="74" t="n">
        <x:f>1-F5000/I5000</x:f>
        <x:v>0</x:v>
      </x:c>
      <x:c r="K5000" s="73" t="n">
        <x:f>MAX(K4999,F5000)</x:f>
        <x:v>1.5784</x:v>
      </x:c>
      <x:c r="L5000" s="74" t="n">
        <x:f>1-F5000/K5000</x:f>
        <x:v>0</x:v>
      </x:c>
      <x:c r="M5000" s="73" t="n">
        <x:f>MAX(M4999,F5000)</x:f>
        <x:v>1.5784</x:v>
      </x:c>
      <x:c r="N5000" s="74" t="n">
        <x:f>1-F5000/M5000</x:f>
        <x:v>0</x:v>
      </x:c>
    </x:row>
    <x:row r="5001" ht="27" customHeight="1">
      <x:c r="A5001" s="66" t="str">
        <x:v>SQN453</x:v>
      </x:c>
      <x:c r="B5001" s="66" t="str">
        <x:v>钧誉厚德量化对冲11号</x:v>
      </x:c>
      <x:c r="C5001" s="72" t="n">
        <x:v>46265</x:v>
      </x:c>
      <x:c r="D5001" s="73" t="n">
        <x:v>1.5806</x:v>
      </x:c>
      <x:c r="E5001" s="73" t="n">
        <x:v>1.5806</x:v>
      </x:c>
      <x:c r="F5001" s="73" t="n">
        <x:v>1.5806</x:v>
      </x:c>
      <x:c r="G5001" s="74" t="n">
        <x:v>0.0014000000000000002</x:v>
      </x:c>
      <x:c r="H5001" s="66" t="str">
        <x:v>钧誉厚德量化对冲11号净值20260911.xlsx</x:v>
      </x:c>
      <x:c r="I5001" s="73" t="n">
        <x:f>MAX(I5000,F5001)</x:f>
        <x:v>1.5806</x:v>
      </x:c>
      <x:c r="J5001" s="74" t="n">
        <x:f>1-F5001/I5001</x:f>
        <x:v>0</x:v>
      </x:c>
      <x:c r="K5001" s="73" t="n">
        <x:f>MAX(K5000,F5001)</x:f>
        <x:v>1.5806</x:v>
      </x:c>
      <x:c r="L5001" s="74" t="n">
        <x:f>1-F5001/K5001</x:f>
        <x:v>0</x:v>
      </x:c>
      <x:c r="M5001" s="73" t="n">
        <x:f>MAX(M5000,F5001)</x:f>
        <x:v>1.5806</x:v>
      </x:c>
      <x:c r="N5001" s="74" t="n">
        <x:f>1-F5001/M5001</x:f>
        <x:v>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ColWidth="9" defaultRowHeight="14.25"/>
  <x:cols>
    <x:col min="1" max="1" width="18" style="1" hidden="0" customWidth="1"/>
    <x:col min="2" max="2" width="32" style="1" hidden="0" customWidth="1"/>
    <x:col min="3" max="6" width="12" style="1" customWidth="1"/>
    <x:col min="7" max="7" width="18" style="1" hidden="0" customWidth="1"/>
    <x:col min="3" max="3" width="18" hidden="0" customWidth="1"/>
    <x:col min="4" max="4" width="18" hidden="0" customWidth="1"/>
    <x:col min="5" max="5" width="18" hidden="0" customWidth="1"/>
    <x:col min="6" max="6"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44" hidden="0" customWidth="1"/>
    <x:col min="17" max="17" width="44" hidden="0" customWidth="1"/>
    <x:col min="18" max="18" width="18" hidden="0" customWidth="1"/>
    <x:col min="19" max="19" width="3" hidden="0" customWidth="1"/>
    <x:col min="20" max="20" width="18" hidden="0" customWidth="1"/>
    <x:col min="21" max="21" width="32"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s>
  <x:sheetData>
    <x:row r="1" ht="46" customHeight="1">
      <x:c r="A1" s="70" t="str">
        <x:v>备案号</x:v>
      </x:c>
      <x:c r="B1" s="70" t="str">
        <x:v>产品名称</x:v>
      </x:c>
      <x:c r="C1" s="70" t="str">
        <x:v>窗口</x:v>
      </x:c>
      <x:c r="D1" s="70" t="str">
        <x:v>目标起日</x:v>
      </x:c>
      <x:c r="E1" s="70" t="str">
        <x:v>实际截止日</x:v>
      </x:c>
      <x:c r="F1" s="70" t="str">
        <x:v>取值起日</x:v>
      </x:c>
      <x:c r="G1" s="70" t="str">
        <x:v>取值止日</x:v>
      </x:c>
      <x:c r="H1" s="71" t="str">
        <x:v>间隔天数</x:v>
      </x:c>
      <x:c r="I1" s="71" t="str">
        <x:v>可计算标识</x:v>
      </x:c>
      <x:c r="J1" s="71" t="str">
        <x:v>期初复权净值</x:v>
      </x:c>
      <x:c r="K1" s="71" t="str">
        <x:v>期末复权净值</x:v>
      </x:c>
      <x:c r="L1" s="71" t="str">
        <x:v>年化收益</x:v>
      </x:c>
      <x:c r="M1" s="71" t="str">
        <x:v>最大回撤</x:v>
      </x:c>
      <x:c r="N1" s="71" t="str">
        <x:v>卡玛比率</x:v>
      </x:c>
      <x:c r="O1" s="71" t="str">
        <x:v>月度胜率</x:v>
      </x:c>
      <x:c r="P1" s="71" t="str">
        <x:v>窗口说明</x:v>
      </x:c>
      <x:c r="Q1" s="71" t="str">
        <x:v>来源文件</x:v>
      </x:c>
      <x:c r="R1" s="71" t="str">
        <x:v>预期月度观察数</x:v>
      </x:c>
      <x:c r="S1" s="71"/>
      <x:c r="T1" s="71" t="str">
        <x:v>备案号</x:v>
      </x:c>
      <x:c r="U1" s="71" t="str">
        <x:v>产品名称</x:v>
      </x:c>
      <x:c r="V1" s="71" t="str">
        <x:v>观察月份</x:v>
      </x:c>
      <x:c r="W1" s="71" t="str">
        <x:v>目标期初</x:v>
      </x:c>
      <x:c r="X1" s="71" t="str">
        <x:v>目标期末</x:v>
      </x:c>
      <x:c r="Y1" s="71" t="str">
        <x:v>实际期初</x:v>
      </x:c>
      <x:c r="Z1" s="71" t="str">
        <x:v>实际期末</x:v>
      </x:c>
      <x:c r="AA1" s="71" t="str">
        <x:v>期初复权净值</x:v>
      </x:c>
      <x:c r="AB1" s="71" t="str">
        <x:v>期末复权净值</x:v>
      </x:c>
      <x:c r="AC1" s="71" t="str">
        <x:v>有效观察</x:v>
      </x:c>
      <x:c r="AD1" s="71" t="str">
        <x:v>月度收益</x:v>
      </x:c>
      <x:c r="AE1" s="71" t="str">
        <x:v>上涨标识</x:v>
      </x:c>
    </x:row>
    <x:row r="2" ht="27" customHeight="1">
      <x:c r="A2" s="66" t="str">
        <x:v>SXT730</x:v>
      </x:c>
      <x:c r="B2" s="66" t="str">
        <x:v>世宽若水尘心3号</x:v>
      </x:c>
      <x:c r="C2" s="66" t="str">
        <x:v>1y</x:v>
      </x:c>
      <x:c r="D2" s="72" t="n">
        <x:v>45900</x:v>
      </x:c>
      <x:c r="E2" s="72" t="n">
        <x:v>46265</x:v>
      </x:c>
      <x:c r="F2" s="72" t="n">
        <x:f>'净值原始'!C164</x:f>
        <x:v>45898</x:v>
      </x:c>
      <x:c r="G2" s="72" t="n">
        <x:f>'净值原始'!C241</x:f>
        <x:v>46265</x:v>
      </x:c>
      <x:c r="H2" s="66" t="n">
        <x:f>IF(OR(F2="",G2=""),"",G2-F2)</x:f>
        <x:v>367</x:v>
      </x:c>
      <x:c r="I2" s="66" t="n">
        <x:f>IF(OR(F2="",G2="",H2&lt;=0,D2-F2&gt;'sheet1-指标体系'!$J$24,E2-G2&gt;'sheet1-指标体系'!$J$24),0,1)</x:f>
        <x:v>1</x:v>
      </x:c>
      <x:c r="J2" s="73" t="n">
        <x:f>'净值原始'!F164</x:f>
        <x:v>1.2721</x:v>
      </x:c>
      <x:c r="K2" s="73" t="n">
        <x:f>'净值原始'!F241</x:f>
        <x:v>1.5343</x:v>
      </x:c>
      <x:c r="L2" s="74" t="n">
        <x:f>IF(I2=0,"",(K2/J2)^('sheet1-指标体系'!$J$25/H2)-1)</x:f>
        <x:v>0.20488471623722737</x:v>
      </x:c>
      <x:c r="M2" s="74" t="n">
        <x:f>IF(I2=0,"",MAX('净值原始'!J164:J241))</x:f>
        <x:v>0.009266355465756382</x:v>
      </x:c>
      <x:c r="N2" s="75" t="n">
        <x:f>IF(OR(I2=0,M2=0),"",L2/M2)</x:f>
        <x:v>22.110604001149582</x:v>
      </x:c>
      <x:c r="O2" s="74" t="n">
        <x:f>IF(COUNT('补数计算'!AE26:AE38)=13,AVERAGE('补数计算'!AE26:AE38),"")</x:f>
        <x:v>0.8461538461538461</x:v>
      </x:c>
      <x:c r="P2" s="66" t="str">
        <x:v>可计算</x:v>
      </x:c>
      <x:c r="Q2" s="66" t="str">
        <x:v>世宽若水尘心3号净值20260911.xlsx</x:v>
      </x:c>
      <x:c r="R2" s="66" t="n">
        <x:v>13</x:v>
      </x:c>
      <x:c r="S2" s="66"/>
      <x:c r="T2" s="66" t="str">
        <x:v>SXT730</x:v>
      </x:c>
      <x:c r="U2" s="66" t="str">
        <x:v>世宽若水尘心3号</x:v>
      </x:c>
      <x:c r="V2" s="66" t="str">
        <x:v>2023-08</x:v>
      </x:c>
      <x:c r="W2" s="72" t="n">
        <x:v>45138</x:v>
      </x:c>
      <x:c r="X2" s="72" t="n">
        <x:v>45169</x:v>
      </x:c>
      <x:c r="Y2" s="72" t="n">
        <x:f>'净值原始'!C44</x:f>
        <x:v>45138</x:v>
      </x:c>
      <x:c r="Z2" s="72" t="n">
        <x:f>'净值原始'!C49</x:f>
        <x:v>45169</x:v>
      </x:c>
      <x:c r="AA2" s="73" t="n">
        <x:f>'净值原始'!F44</x:f>
        <x:v>0.9938</x:v>
      </x:c>
      <x:c r="AB2" s="73" t="n">
        <x:f>'净值原始'!F49</x:f>
        <x:v>1</x:v>
      </x:c>
      <x:c r="AC2" s="66" t="n">
        <x:f>IF(OR(Y2="",Z2="",Z2&lt;=Y2,W2-Y2&gt;'sheet1-指标体系'!$J$24,X2-Z2&gt;'sheet1-指标体系'!$J$24),0,1)</x:f>
        <x:v>1</x:v>
      </x:c>
      <x:c r="AD2" s="74" t="n">
        <x:f>IF(AC2=0,"",AB2/AA2-1)</x:f>
        <x:v>0.006238679814852155</x:v>
      </x:c>
      <x:c r="AE2" s="66" t="n">
        <x:f>IF(AC2=0,"",IF(AD2&gt;0,1,0))</x:f>
        <x:v>1</x:v>
      </x:c>
    </x:row>
    <x:row r="3" ht="27" customHeight="1">
      <x:c r="A3" s="66" t="str">
        <x:v>SXT730</x:v>
      </x:c>
      <x:c r="B3" s="66" t="str">
        <x:v>世宽若水尘心3号</x:v>
      </x:c>
      <x:c r="C3" s="66" t="str">
        <x:v>3y</x:v>
      </x:c>
      <x:c r="D3" s="72" t="n">
        <x:v>45169</x:v>
      </x:c>
      <x:c r="E3" s="72" t="n">
        <x:v>46265</x:v>
      </x:c>
      <x:c r="F3" s="72" t="n">
        <x:f>'净值原始'!C49</x:f>
        <x:v>45169</x:v>
      </x:c>
      <x:c r="G3" s="72" t="n">
        <x:f>'净值原始'!C241</x:f>
        <x:v>46265</x:v>
      </x:c>
      <x:c r="H3" s="66" t="n">
        <x:f>IF(OR(F3="",G3=""),"",G3-F3)</x:f>
        <x:v>1096</x:v>
      </x:c>
      <x:c r="I3" s="66" t="n">
        <x:f>IF(OR(F3="",G3="",H3&lt;=0,D3-F3&gt;'sheet1-指标体系'!$J$24,E3-G3&gt;'sheet1-指标体系'!$J$24),0,1)</x:f>
        <x:v>1</x:v>
      </x:c>
      <x:c r="J3" s="73" t="n">
        <x:f>'净值原始'!F49</x:f>
        <x:v>1</x:v>
      </x:c>
      <x:c r="K3" s="73" t="n">
        <x:f>'净值原始'!F241</x:f>
        <x:v>1.5343</x:v>
      </x:c>
      <x:c r="L3" s="74" t="n">
        <x:f>IF(I3=0,"",(K3/J3)^('sheet1-指标体系'!$J$25/H3)-1)</x:f>
        <x:v>0.15322368386776763</x:v>
      </x:c>
      <x:c r="M3" s="74" t="n">
        <x:f>IF(I3=0,"",MAX('净值原始'!L49:L241))</x:f>
        <x:v>0.010807624287679451</x:v>
      </x:c>
      <x:c r="N3" s="75" t="n">
        <x:f>IF(OR(I3=0,M3=0),"",L3/M3)</x:f>
        <x:v>14.177369585510167</x:v>
      </x:c>
      <x:c r="O3" s="74" t="n">
        <x:f>IF(COUNT('补数计算'!AE2:AE38)=37,AVERAGE('补数计算'!AE2:AE38),"")</x:f>
        <x:v>0.7567567567567568</x:v>
      </x:c>
      <x:c r="P3" s="66" t="str">
        <x:v>可计算</x:v>
      </x:c>
      <x:c r="Q3" s="66" t="str">
        <x:v>世宽若水尘心3号净值20260911.xlsx</x:v>
      </x:c>
      <x:c r="R3" s="66" t="n">
        <x:v>37</x:v>
      </x:c>
      <x:c r="S3" s="66"/>
      <x:c r="T3" s="66" t="str">
        <x:v>SXT730</x:v>
      </x:c>
      <x:c r="U3" s="66" t="str">
        <x:v>世宽若水尘心3号</x:v>
      </x:c>
      <x:c r="V3" s="66" t="str">
        <x:v>2023-09</x:v>
      </x:c>
      <x:c r="W3" s="72" t="n">
        <x:v>45169</x:v>
      </x:c>
      <x:c r="X3" s="72" t="n">
        <x:v>45199</x:v>
      </x:c>
      <x:c r="Y3" s="72" t="n">
        <x:f>'净值原始'!C49</x:f>
        <x:v>45169</x:v>
      </x:c>
      <x:c r="Z3" s="72" t="n">
        <x:f>'净值原始'!C54</x:f>
        <x:v>45197</x:v>
      </x:c>
      <x:c r="AA3" s="73" t="n">
        <x:f>'净值原始'!F49</x:f>
        <x:v>1</x:v>
      </x:c>
      <x:c r="AB3" s="73" t="n">
        <x:f>'净值原始'!F54</x:f>
        <x:v>1.0055</x:v>
      </x:c>
      <x:c r="AC3" s="66" t="n">
        <x:f>IF(OR(Y3="",Z3="",Z3&lt;=Y3,W3-Y3&gt;'sheet1-指标体系'!$J$24,X3-Z3&gt;'sheet1-指标体系'!$J$24),0,1)</x:f>
        <x:v>1</x:v>
      </x:c>
      <x:c r="AD3" s="74" t="n">
        <x:f>IF(AC3=0,"",AB3/AA3-1)</x:f>
        <x:v>0.00550000000000006</x:v>
      </x:c>
      <x:c r="AE3" s="66" t="n">
        <x:f>IF(AC3=0,"",IF(AD3&gt;0,1,0))</x:f>
        <x:v>1</x:v>
      </x:c>
    </x:row>
    <x:row r="4" ht="27" customHeight="1">
      <x:c r="A4" s="66" t="str">
        <x:v>SXT730</x:v>
      </x:c>
      <x:c r="B4" s="66" t="str">
        <x:v>世宽若水尘心3号</x:v>
      </x:c>
      <x:c r="C4" s="66" t="str">
        <x:v>incep</x:v>
      </x:c>
      <x:c r="D4" s="72" t="n">
        <x:v>44883</x:v>
      </x:c>
      <x:c r="E4" s="72" t="n">
        <x:v>46265</x:v>
      </x:c>
      <x:c r="F4" s="72" t="n">
        <x:f>'净值原始'!C2</x:f>
        <x:v>44883</x:v>
      </x:c>
      <x:c r="G4" s="72" t="n">
        <x:f>'净值原始'!C241</x:f>
        <x:v>46265</x:v>
      </x:c>
      <x:c r="H4" s="66" t="n">
        <x:f>IF(OR(F4="",G4=""),"",G4-F4)</x:f>
        <x:v>1382</x:v>
      </x:c>
      <x:c r="I4" s="66" t="n">
        <x:f>IF(OR(F4="",F4&lt;&gt;D4,G4="",H4&lt;'sheet1-指标体系'!$J$25),0,1)</x:f>
        <x:v>1</x:v>
      </x:c>
      <x:c r="J4" s="73" t="n">
        <x:f>'净值原始'!F2</x:f>
        <x:v>1</x:v>
      </x:c>
      <x:c r="K4" s="73" t="n">
        <x:f>'净值原始'!F241</x:f>
        <x:v>1.5343</x:v>
      </x:c>
      <x:c r="L4" s="74" t="n">
        <x:f>IF(I4=0,"",(K4/J4)^('sheet1-指标体系'!$J$25/H4)-1)</x:f>
        <x:v>0.11969763961265278</x:v>
      </x:c>
      <x:c r="M4" s="74" t="n">
        <x:f>IF(I4=0,"",MAX('净值原始'!N2:N241))</x:f>
        <x:v>0.01364677756748689</x:v>
      </x:c>
      <x:c r="N4" s="75" t="n">
        <x:f>IF(OR(I4=0,M4=0),"",L4/M4)</x:f>
        <x:v>8.771128496871631</x:v>
      </x:c>
      <x:c r="O4" s="74" t="str">
        <x:f>""</x:f>
      </x:c>
      <x:c r="P4" s="66" t="str">
        <x:v>可计算</x:v>
      </x:c>
      <x:c r="Q4" s="66" t="str">
        <x:v>世宽若水尘心3号净值20260911.xlsx</x:v>
      </x:c>
      <x:c r="R4" s="66"/>
      <x:c r="S4" s="66"/>
      <x:c r="T4" s="66" t="str">
        <x:v>SXT730</x:v>
      </x:c>
      <x:c r="U4" s="66" t="str">
        <x:v>世宽若水尘心3号</x:v>
      </x:c>
      <x:c r="V4" s="66" t="str">
        <x:v>2023-10</x:v>
      </x:c>
      <x:c r="W4" s="72" t="n">
        <x:v>45199</x:v>
      </x:c>
      <x:c r="X4" s="72" t="n">
        <x:v>45230</x:v>
      </x:c>
      <x:c r="Y4" s="72" t="n">
        <x:f>'净值原始'!C54</x:f>
        <x:v>45197</x:v>
      </x:c>
      <x:c r="Z4" s="72" t="n">
        <x:f>'净值原始'!C58</x:f>
        <x:v>45230</x:v>
      </x:c>
      <x:c r="AA4" s="73" t="n">
        <x:f>'净值原始'!F54</x:f>
        <x:v>1.0055</x:v>
      </x:c>
      <x:c r="AB4" s="73" t="n">
        <x:f>'净值原始'!F58</x:f>
        <x:v>1.003</x:v>
      </x:c>
      <x:c r="AC4" s="66" t="n">
        <x:f>IF(OR(Y4="",Z4="",Z4&lt;=Y4,W4-Y4&gt;'sheet1-指标体系'!$J$24,X4-Z4&gt;'sheet1-指标体系'!$J$24),0,1)</x:f>
        <x:v>1</x:v>
      </x:c>
      <x:c r="AD4" s="74" t="n">
        <x:f>IF(AC4=0,"",AB4/AA4-1)</x:f>
        <x:v>-0.0024863252113378476</x:v>
      </x:c>
      <x:c r="AE4" s="66" t="n">
        <x:f>IF(AC4=0,"",IF(AD4&gt;0,1,0))</x:f>
        <x:v>0</x:v>
      </x:c>
    </x:row>
    <x:row r="5" ht="27" customHeight="1">
      <x:c r="A5" s="66" t="str">
        <x:v>SQH214</x:v>
      </x:c>
      <x:c r="B5" s="66" t="str">
        <x:v>常行7号</x:v>
      </x:c>
      <x:c r="C5" s="66" t="str">
        <x:v>1y</x:v>
      </x:c>
      <x:c r="D5" s="72" t="n">
        <x:v>45904</x:v>
      </x:c>
      <x:c r="E5" s="72" t="n">
        <x:v>46269</x:v>
      </x:c>
      <x:c r="F5" s="72" t="n">
        <x:f>'净值原始'!C467</x:f>
        <x:v>45898</x:v>
      </x:c>
      <x:c r="G5" s="72" t="n">
        <x:f>'净值原始'!C519</x:f>
        <x:v>46269</x:v>
      </x:c>
      <x:c r="H5" s="66" t="n">
        <x:f>IF(OR(F5="",G5=""),"",G5-F5)</x:f>
        <x:v>371</x:v>
      </x:c>
      <x:c r="I5" s="66" t="n">
        <x:f>IF(OR(F5="",G5="",H5&lt;=0,D5-F5&gt;'sheet1-指标体系'!$J$24,E5-G5&gt;'sheet1-指标体系'!$J$24),0,1)</x:f>
        <x:v>1</x:v>
      </x:c>
      <x:c r="J5" s="73" t="n">
        <x:f>'净值原始'!F467</x:f>
        <x:v>1.3019</x:v>
      </x:c>
      <x:c r="K5" s="73" t="n">
        <x:f>'净值原始'!F519</x:f>
        <x:v>1.3985</x:v>
      </x:c>
      <x:c r="L5" s="74" t="n">
        <x:f>IF(I5=0,"",(K5/J5)^('sheet1-指标体系'!$J$25/H5)-1)</x:f>
        <x:v>0.07295652170906353</x:v>
      </x:c>
      <x:c r="M5" s="74" t="n">
        <x:f>IF(I5=0,"",MAX('净值原始'!J467:J519))</x:f>
        <x:v>0.001650907999399709</x:v>
      </x:c>
      <x:c r="N5" s="75" t="n">
        <x:f>IF(OR(I5=0,M5=0),"",L5/M5)</x:f>
        <x:v>44.19175492249807</x:v>
      </x:c>
      <x:c r="O5" s="74" t="n">
        <x:f>IF(COUNT('补数计算'!AE63:AE75)=13,AVERAGE('补数计算'!AE63:AE75),"")</x:f>
        <x:v>1</x:v>
      </x:c>
      <x:c r="P5" s="66" t="str">
        <x:v>可计算</x:v>
      </x:c>
      <x:c r="Q5" s="66" t="str">
        <x:v>常行7号净值20260911.xlsx</x:v>
      </x:c>
      <x:c r="R5" s="66" t="n">
        <x:v>13</x:v>
      </x:c>
      <x:c r="S5" s="66"/>
      <x:c r="T5" s="66" t="str">
        <x:v>SXT730</x:v>
      </x:c>
      <x:c r="U5" s="66" t="str">
        <x:v>世宽若水尘心3号</x:v>
      </x:c>
      <x:c r="V5" s="66" t="str">
        <x:v>2023-11</x:v>
      </x:c>
      <x:c r="W5" s="72" t="n">
        <x:v>45230</x:v>
      </x:c>
      <x:c r="X5" s="72" t="n">
        <x:v>45260</x:v>
      </x:c>
      <x:c r="Y5" s="72" t="n">
        <x:f>'净值原始'!C58</x:f>
        <x:v>45230</x:v>
      </x:c>
      <x:c r="Z5" s="72" t="n">
        <x:f>'净值原始'!C63</x:f>
        <x:v>45260</x:v>
      </x:c>
      <x:c r="AA5" s="73" t="n">
        <x:f>'净值原始'!F58</x:f>
        <x:v>1.003</x:v>
      </x:c>
      <x:c r="AB5" s="73" t="n">
        <x:f>'净值原始'!F63</x:f>
        <x:v>1.013</x:v>
      </x:c>
      <x:c r="AC5" s="66" t="n">
        <x:f>IF(OR(Y5="",Z5="",Z5&lt;=Y5,W5-Y5&gt;'sheet1-指标体系'!$J$24,X5-Z5&gt;'sheet1-指标体系'!$J$24),0,1)</x:f>
        <x:v>1</x:v>
      </x:c>
      <x:c r="AD5" s="74" t="n">
        <x:f>IF(AC5=0,"",AB5/AA5-1)</x:f>
        <x:v>0.009970089730807485</x:v>
      </x:c>
      <x:c r="AE5" s="66" t="n">
        <x:f>IF(AC5=0,"",IF(AD5&gt;0,1,0))</x:f>
        <x:v>1</x:v>
      </x:c>
    </x:row>
    <x:row r="6" ht="27" customHeight="1">
      <x:c r="A6" s="66" t="str">
        <x:v>SQH214</x:v>
      </x:c>
      <x:c r="B6" s="66" t="str">
        <x:v>常行7号</x:v>
      </x:c>
      <x:c r="C6" s="66" t="str">
        <x:v>3y</x:v>
      </x:c>
      <x:c r="D6" s="72" t="n">
        <x:v>45173</x:v>
      </x:c>
      <x:c r="E6" s="72" t="n">
        <x:v>46269</x:v>
      </x:c>
      <x:c r="F6" s="72" t="n">
        <x:f>'净值原始'!C365</x:f>
        <x:v>45170</x:v>
      </x:c>
      <x:c r="G6" s="72" t="n">
        <x:f>'净值原始'!C519</x:f>
        <x:v>46269</x:v>
      </x:c>
      <x:c r="H6" s="66" t="n">
        <x:f>IF(OR(F6="",G6=""),"",G6-F6)</x:f>
        <x:v>1099</x:v>
      </x:c>
      <x:c r="I6" s="66" t="n">
        <x:f>IF(OR(F6="",G6="",H6&lt;=0,D6-F6&gt;'sheet1-指标体系'!$J$24,E6-G6&gt;'sheet1-指标体系'!$J$24),0,1)</x:f>
        <x:v>1</x:v>
      </x:c>
      <x:c r="J6" s="73" t="n">
        <x:f>'净值原始'!F365</x:f>
        <x:v>1.1665</x:v>
      </x:c>
      <x:c r="K6" s="73" t="n">
        <x:f>'净值原始'!F519</x:f>
        <x:v>1.3985</x:v>
      </x:c>
      <x:c r="L6" s="74" t="n">
        <x:f>IF(I6=0,"",(K6/J6)^('sheet1-指标体系'!$J$25/H6)-1)</x:f>
        <x:v>0.062095741394736725</x:v>
      </x:c>
      <x:c r="M6" s="74" t="n">
        <x:f>IF(I6=0,"",MAX('净值原始'!L365:L519))</x:f>
        <x:v>0.011487355336476712</x:v>
      </x:c>
      <x:c r="N6" s="75" t="n">
        <x:f>IF(OR(I6=0,M6=0),"",L6/M6)</x:f>
        <x:v>5.4055733087283535</x:v>
      </x:c>
      <x:c r="O6" s="74" t="n">
        <x:f>IF(COUNT('补数计算'!AE39:AE75)=37,AVERAGE('补数计算'!AE39:AE75),"")</x:f>
        <x:v>0.8918918918918919</x:v>
      </x:c>
      <x:c r="P6" s="66" t="str">
        <x:v>可计算</x:v>
      </x:c>
      <x:c r="Q6" s="66" t="str">
        <x:v>常行7号净值20260911.xlsx</x:v>
      </x:c>
      <x:c r="R6" s="66" t="n">
        <x:v>37</x:v>
      </x:c>
      <x:c r="S6" s="66"/>
      <x:c r="T6" s="66" t="str">
        <x:v>SXT730</x:v>
      </x:c>
      <x:c r="U6" s="66" t="str">
        <x:v>世宽若水尘心3号</x:v>
      </x:c>
      <x:c r="V6" s="66" t="str">
        <x:v>2023-12</x:v>
      </x:c>
      <x:c r="W6" s="72" t="n">
        <x:v>45260</x:v>
      </x:c>
      <x:c r="X6" s="72" t="n">
        <x:v>45291</x:v>
      </x:c>
      <x:c r="Y6" s="72" t="n">
        <x:f>'净值原始'!C63</x:f>
        <x:v>45260</x:v>
      </x:c>
      <x:c r="Z6" s="72" t="n">
        <x:f>'净值原始'!C68</x:f>
        <x:v>45289</x:v>
      </x:c>
      <x:c r="AA6" s="73" t="n">
        <x:f>'净值原始'!F63</x:f>
        <x:v>1.013</x:v>
      </x:c>
      <x:c r="AB6" s="73" t="n">
        <x:f>'净值原始'!F68</x:f>
        <x:v>1.0165</x:v>
      </x:c>
      <x:c r="AC6" s="66" t="n">
        <x:f>IF(OR(Y6="",Z6="",Z6&lt;=Y6,W6-Y6&gt;'sheet1-指标体系'!$J$24,X6-Z6&gt;'sheet1-指标体系'!$J$24),0,1)</x:f>
        <x:v>1</x:v>
      </x:c>
      <x:c r="AD6" s="74" t="n">
        <x:f>IF(AC6=0,"",AB6/AA6-1)</x:f>
        <x:v>0.0034550839091807006</x:v>
      </x:c>
      <x:c r="AE6" s="66" t="n">
        <x:f>IF(AC6=0,"",IF(AD6&gt;0,1,0))</x:f>
        <x:v>1</x:v>
      </x:c>
    </x:row>
    <x:row r="7" ht="27" customHeight="1">
      <x:c r="A7" s="66" t="str">
        <x:v>SQH214</x:v>
      </x:c>
      <x:c r="B7" s="66" t="str">
        <x:v>常行7号</x:v>
      </x:c>
      <x:c r="C7" s="66" t="str">
        <x:v>incep</x:v>
      </x:c>
      <x:c r="D7" s="72" t="n">
        <x:v>44288</x:v>
      </x:c>
      <x:c r="E7" s="72" t="n">
        <x:v>46269</x:v>
      </x:c>
      <x:c r="F7" s="72" t="n">
        <x:f>'净值原始'!C242</x:f>
        <x:v>44288</x:v>
      </x:c>
      <x:c r="G7" s="72" t="n">
        <x:f>'净值原始'!C519</x:f>
        <x:v>46269</x:v>
      </x:c>
      <x:c r="H7" s="66" t="n">
        <x:f>IF(OR(F7="",G7=""),"",G7-F7)</x:f>
        <x:v>1981</x:v>
      </x:c>
      <x:c r="I7" s="66" t="n">
        <x:f>IF(OR(F7="",F7&lt;&gt;D7,G7="",H7&lt;'sheet1-指标体系'!$J$25),0,1)</x:f>
        <x:v>1</x:v>
      </x:c>
      <x:c r="J7" s="73" t="n">
        <x:f>'净值原始'!F242</x:f>
        <x:v>1</x:v>
      </x:c>
      <x:c r="K7" s="73" t="n">
        <x:f>'净值原始'!F519</x:f>
        <x:v>1.3985</x:v>
      </x:c>
      <x:c r="L7" s="74" t="n">
        <x:f>IF(I7=0,"",(K7/J7)^('sheet1-指标体系'!$J$25/H7)-1)</x:f>
        <x:v>0.06374704185130686</x:v>
      </x:c>
      <x:c r="M7" s="74" t="n">
        <x:f>IF(I7=0,"",MAX('净值原始'!N242:N519))</x:f>
        <x:v>0.011487355336476712</x:v>
      </x:c>
      <x:c r="N7" s="75" t="n">
        <x:f>IF(OR(I7=0,M7=0),"",L7/M7)</x:f>
        <x:v>5.549322710414104</x:v>
      </x:c>
      <x:c r="O7" s="74" t="str">
        <x:f>""</x:f>
      </x:c>
      <x:c r="P7" s="66" t="str">
        <x:v>可计算</x:v>
      </x:c>
      <x:c r="Q7" s="66" t="str">
        <x:v>常行7号净值20260911.xlsx</x:v>
      </x:c>
      <x:c r="R7" s="66"/>
      <x:c r="S7" s="66"/>
      <x:c r="T7" s="66" t="str">
        <x:v>SXT730</x:v>
      </x:c>
      <x:c r="U7" s="66" t="str">
        <x:v>世宽若水尘心3号</x:v>
      </x:c>
      <x:c r="V7" s="66" t="str">
        <x:v>2024-01</x:v>
      </x:c>
      <x:c r="W7" s="72" t="n">
        <x:v>45291</x:v>
      </x:c>
      <x:c r="X7" s="72" t="n">
        <x:v>45322</x:v>
      </x:c>
      <x:c r="Y7" s="72" t="n">
        <x:f>'净值原始'!C68</x:f>
        <x:v>45289</x:v>
      </x:c>
      <x:c r="Z7" s="72" t="n">
        <x:f>'净值原始'!C73</x:f>
        <x:v>45322</x:v>
      </x:c>
      <x:c r="AA7" s="73" t="n">
        <x:f>'净值原始'!F68</x:f>
        <x:v>1.0165</x:v>
      </x:c>
      <x:c r="AB7" s="73" t="n">
        <x:f>'净值原始'!F73</x:f>
        <x:v>1.0152</x:v>
      </x:c>
      <x:c r="AC7" s="66" t="n">
        <x:f>IF(OR(Y7="",Z7="",Z7&lt;=Y7,W7-Y7&gt;'sheet1-指标体系'!$J$24,X7-Z7&gt;'sheet1-指标体系'!$J$24),0,1)</x:f>
        <x:v>1</x:v>
      </x:c>
      <x:c r="AD7" s="74" t="n">
        <x:f>IF(AC7=0,"",AB7/AA7-1)</x:f>
        <x:v>-0.001278898180029353</x:v>
      </x:c>
      <x:c r="AE7" s="66" t="n">
        <x:f>IF(AC7=0,"",IF(AD7&gt;0,1,0))</x:f>
        <x:v>0</x:v>
      </x:c>
    </x:row>
    <x:row r="8" ht="27" customHeight="1">
      <x:c r="A8" s="66" t="str">
        <x:v>SQD620</x:v>
      </x:c>
      <x:c r="B8" s="66" t="str">
        <x:v>深度梦扬量化套利0号</x:v>
      </x:c>
      <x:c r="C8" s="66" t="str">
        <x:v>1y</x:v>
      </x:c>
      <x:c r="D8" s="72" t="n">
        <x:v>45902</x:v>
      </x:c>
      <x:c r="E8" s="72" t="n">
        <x:v>46267</x:v>
      </x:c>
      <x:c r="F8" s="72" t="n">
        <x:f>'净值原始'!C989</x:f>
        <x:v>45898</x:v>
      </x:c>
      <x:c r="G8" s="72" t="n">
        <x:f>'净值原始'!C1049</x:f>
        <x:v>46267</x:v>
      </x:c>
      <x:c r="H8" s="66" t="n">
        <x:f>IF(OR(F8="",G8=""),"",G8-F8)</x:f>
        <x:v>369</x:v>
      </x:c>
      <x:c r="I8" s="66" t="n">
        <x:f>IF(OR(F8="",G8="",H8&lt;=0,D8-F8&gt;'sheet1-指标体系'!$J$24,E8-G8&gt;'sheet1-指标体系'!$J$24),0,1)</x:f>
        <x:v>1</x:v>
      </x:c>
      <x:c r="J8" s="73" t="n">
        <x:f>'净值原始'!F989</x:f>
        <x:v>1.3577</x:v>
      </x:c>
      <x:c r="K8" s="73" t="n">
        <x:f>'净值原始'!F1049</x:f>
        <x:v>1.4945</x:v>
      </x:c>
      <x:c r="L8" s="74" t="n">
        <x:f>IF(I8=0,"",(K8/J8)^('sheet1-指标体系'!$J$25/H8)-1)</x:f>
        <x:v>0.09961373147029673</x:v>
      </x:c>
      <x:c r="M8" s="74" t="n">
        <x:f>IF(I8=0,"",MAX('净值原始'!J989:J1049))</x:f>
        <x:v>0.040228725193407255</x:v>
      </x:c>
      <x:c r="N8" s="75" t="n">
        <x:f>IF(OR(I8=0,M8=0),"",L8/M8)</x:f>
        <x:v>2.476184144324354</x:v>
      </x:c>
      <x:c r="O8" s="74" t="n">
        <x:f>IF(COUNT('补数计算'!AE100:AE112)=13,AVERAGE('补数计算'!AE100:AE112),"")</x:f>
        <x:v>0.6923076923076923</x:v>
      </x:c>
      <x:c r="P8" s="66" t="str">
        <x:v>可计算</x:v>
      </x:c>
      <x:c r="Q8" s="66" t="str">
        <x:v>深度梦扬量化套利0号净值20260911.xlsx</x:v>
      </x:c>
      <x:c r="R8" s="66" t="n">
        <x:v>13</x:v>
      </x:c>
      <x:c r="S8" s="66"/>
      <x:c r="T8" s="66" t="str">
        <x:v>SXT730</x:v>
      </x:c>
      <x:c r="U8" s="66" t="str">
        <x:v>世宽若水尘心3号</x:v>
      </x:c>
      <x:c r="V8" s="66" t="str">
        <x:v>2024-02</x:v>
      </x:c>
      <x:c r="W8" s="72" t="n">
        <x:v>45322</x:v>
      </x:c>
      <x:c r="X8" s="72" t="n">
        <x:v>45351</x:v>
      </x:c>
      <x:c r="Y8" s="72" t="n">
        <x:f>'净值原始'!C73</x:f>
        <x:v>45322</x:v>
      </x:c>
      <x:c r="Z8" s="72" t="n">
        <x:f>'净值原始'!C78</x:f>
        <x:v>45351</x:v>
      </x:c>
      <x:c r="AA8" s="73" t="n">
        <x:f>'净值原始'!F73</x:f>
        <x:v>1.0152</x:v>
      </x:c>
      <x:c r="AB8" s="73" t="n">
        <x:f>'净值原始'!F78</x:f>
        <x:v>1.0642</x:v>
      </x:c>
      <x:c r="AC8" s="66" t="n">
        <x:f>IF(OR(Y8="",Z8="",Z8&lt;=Y8,W8-Y8&gt;'sheet1-指标体系'!$J$24,X8-Z8&gt;'sheet1-指标体系'!$J$24),0,1)</x:f>
        <x:v>1</x:v>
      </x:c>
      <x:c r="AD8" s="74" t="n">
        <x:f>IF(AC8=0,"",AB8/AA8-1)</x:f>
        <x:v>0.04826635145784075</x:v>
      </x:c>
      <x:c r="AE8" s="66" t="n">
        <x:f>IF(AC8=0,"",IF(AD8&gt;0,1,0))</x:f>
        <x:v>1</x:v>
      </x:c>
    </x:row>
    <x:row r="9" ht="27" customHeight="1">
      <x:c r="A9" s="66" t="str">
        <x:v>SQD620</x:v>
      </x:c>
      <x:c r="B9" s="66" t="str">
        <x:v>深度梦扬量化套利0号</x:v>
      </x:c>
      <x:c r="C9" s="66" t="str">
        <x:v>3y</x:v>
      </x:c>
      <x:c r="D9" s="72" t="n">
        <x:v>45171</x:v>
      </x:c>
      <x:c r="E9" s="72" t="n">
        <x:v>46267</x:v>
      </x:c>
      <x:c r="F9" s="72" t="n">
        <x:f>'净值原始'!C835</x:f>
        <x:v>45170</x:v>
      </x:c>
      <x:c r="G9" s="72" t="n">
        <x:f>'净值原始'!C1049</x:f>
        <x:v>46267</x:v>
      </x:c>
      <x:c r="H9" s="66" t="n">
        <x:f>IF(OR(F9="",G9=""),"",G9-F9)</x:f>
        <x:v>1097</x:v>
      </x:c>
      <x:c r="I9" s="66" t="n">
        <x:f>IF(OR(F9="",G9="",H9&lt;=0,D9-F9&gt;'sheet1-指标体系'!$J$24,E9-G9&gt;'sheet1-指标体系'!$J$24),0,1)</x:f>
        <x:v>1</x:v>
      </x:c>
      <x:c r="J9" s="73" t="n">
        <x:f>'净值原始'!F835</x:f>
        <x:v>1.171</x:v>
      </x:c>
      <x:c r="K9" s="73" t="n">
        <x:f>'净值原始'!F1049</x:f>
        <x:v>1.4945</x:v>
      </x:c>
      <x:c r="L9" s="74" t="n">
        <x:f>IF(I9=0,"",(K9/J9)^('sheet1-指标体系'!$J$25/H9)-1)</x:f>
        <x:v>0.0845476235035083</x:v>
      </x:c>
      <x:c r="M9" s="74" t="n">
        <x:f>IF(I9=0,"",MAX('净值原始'!L835:L1049))</x:f>
        <x:v>0.040228725193407255</x:v>
      </x:c>
      <x:c r="N9" s="75" t="n">
        <x:f>IF(OR(I9=0,M9=0),"",L9/M9)</x:f>
        <x:v>2.101672948795407</x:v>
      </x:c>
      <x:c r="O9" s="74" t="n">
        <x:f>IF(COUNT('补数计算'!AE76:AE112)=37,AVERAGE('补数计算'!AE76:AE112),"")</x:f>
        <x:v>0.7567567567567568</x:v>
      </x:c>
      <x:c r="P9" s="66" t="str">
        <x:v>可计算</x:v>
      </x:c>
      <x:c r="Q9" s="66" t="str">
        <x:v>深度梦扬量化套利0号净值20260911.xlsx</x:v>
      </x:c>
      <x:c r="R9" s="66" t="n">
        <x:v>37</x:v>
      </x:c>
      <x:c r="S9" s="66"/>
      <x:c r="T9" s="66" t="str">
        <x:v>SXT730</x:v>
      </x:c>
      <x:c r="U9" s="66" t="str">
        <x:v>世宽若水尘心3号</x:v>
      </x:c>
      <x:c r="V9" s="66" t="str">
        <x:v>2024-03</x:v>
      </x:c>
      <x:c r="W9" s="72" t="n">
        <x:v>45351</x:v>
      </x:c>
      <x:c r="X9" s="72" t="n">
        <x:v>45382</x:v>
      </x:c>
      <x:c r="Y9" s="72" t="n">
        <x:f>'净值原始'!C78</x:f>
        <x:v>45351</x:v>
      </x:c>
      <x:c r="Z9" s="72" t="n">
        <x:f>'净值原始'!C83</x:f>
        <x:v>45380</x:v>
      </x:c>
      <x:c r="AA9" s="73" t="n">
        <x:f>'净值原始'!F78</x:f>
        <x:v>1.0642</x:v>
      </x:c>
      <x:c r="AB9" s="73" t="n">
        <x:f>'净值原始'!F83</x:f>
        <x:v>1.0731</x:v>
      </x:c>
      <x:c r="AC9" s="66" t="n">
        <x:f>IF(OR(Y9="",Z9="",Z9&lt;=Y9,W9-Y9&gt;'sheet1-指标体系'!$J$24,X9-Z9&gt;'sheet1-指标体系'!$J$24),0,1)</x:f>
        <x:v>1</x:v>
      </x:c>
      <x:c r="AD9" s="74" t="n">
        <x:f>IF(AC9=0,"",AB9/AA9-1)</x:f>
        <x:v>0.008363089644803479</x:v>
      </x:c>
      <x:c r="AE9" s="66" t="n">
        <x:f>IF(AC9=0,"",IF(AD9&gt;0,1,0))</x:f>
        <x:v>1</x:v>
      </x:c>
    </x:row>
    <x:row r="10" ht="27" customHeight="1">
      <x:c r="A10" s="66" t="str">
        <x:v>SQD620</x:v>
      </x:c>
      <x:c r="B10" s="66" t="str">
        <x:v>深度梦扬量化套利0号</x:v>
      </x:c>
      <x:c r="C10" s="66" t="str">
        <x:v>incep</x:v>
      </x:c>
      <x:c r="D10" s="72" t="n">
        <x:v>44305</x:v>
      </x:c>
      <x:c r="E10" s="72" t="n">
        <x:v>46267</x:v>
      </x:c>
      <x:c r="F10" s="72" t="n">
        <x:f>'净值原始'!C520</x:f>
        <x:v>44305</x:v>
      </x:c>
      <x:c r="G10" s="72" t="n">
        <x:f>'净值原始'!C1049</x:f>
        <x:v>46267</x:v>
      </x:c>
      <x:c r="H10" s="66" t="n">
        <x:f>IF(OR(F10="",G10=""),"",G10-F10)</x:f>
        <x:v>1962</x:v>
      </x:c>
      <x:c r="I10" s="66" t="n">
        <x:f>IF(OR(F10="",F10&lt;&gt;D10,G10="",H10&lt;'sheet1-指标体系'!$J$25),0,1)</x:f>
        <x:v>1</x:v>
      </x:c>
      <x:c r="J10" s="73" t="n">
        <x:f>'净值原始'!F520</x:f>
        <x:v>1</x:v>
      </x:c>
      <x:c r="K10" s="73" t="n">
        <x:f>'净值原始'!F1049</x:f>
        <x:v>1.4945</x:v>
      </x:c>
      <x:c r="L10" s="74" t="n">
        <x:f>IF(I10=0,"",(K10/J10)^('sheet1-指标体系'!$J$25/H10)-1)</x:f>
        <x:v>0.07761167704291072</x:v>
      </x:c>
      <x:c r="M10" s="74" t="n">
        <x:f>IF(I10=0,"",MAX('净值原始'!N520:N1049))</x:f>
        <x:v>0.040228725193407255</x:v>
      </x:c>
      <x:c r="N10" s="75" t="n">
        <x:f>IF(OR(I10=0,M10=0),"",L10/M10)</x:f>
        <x:v>1.9292601659579767</x:v>
      </x:c>
      <x:c r="O10" s="74" t="str">
        <x:f>""</x:f>
      </x:c>
      <x:c r="P10" s="66" t="str">
        <x:v>可计算</x:v>
      </x:c>
      <x:c r="Q10" s="66" t="str">
        <x:v>深度梦扬量化套利0号净值20260911.xlsx</x:v>
      </x:c>
      <x:c r="R10" s="66"/>
      <x:c r="S10" s="66"/>
      <x:c r="T10" s="66" t="str">
        <x:v>SXT730</x:v>
      </x:c>
      <x:c r="U10" s="66" t="str">
        <x:v>世宽若水尘心3号</x:v>
      </x:c>
      <x:c r="V10" s="66" t="str">
        <x:v>2024-04</x:v>
      </x:c>
      <x:c r="W10" s="72" t="n">
        <x:v>45382</x:v>
      </x:c>
      <x:c r="X10" s="72" t="n">
        <x:v>45412</x:v>
      </x:c>
      <x:c r="Y10" s="72" t="n">
        <x:f>'净值原始'!C83</x:f>
        <x:v>45380</x:v>
      </x:c>
      <x:c r="Z10" s="72" t="n">
        <x:f>'净值原始'!C88</x:f>
        <x:v>45412</x:v>
      </x:c>
      <x:c r="AA10" s="73" t="n">
        <x:f>'净值原始'!F83</x:f>
        <x:v>1.0731</x:v>
      </x:c>
      <x:c r="AB10" s="73" t="n">
        <x:f>'净值原始'!F88</x:f>
        <x:v>1.086</x:v>
      </x:c>
      <x:c r="AC10" s="66" t="n">
        <x:f>IF(OR(Y10="",Z10="",Z10&lt;=Y10,W10-Y10&gt;'sheet1-指标体系'!$J$24,X10-Z10&gt;'sheet1-指标体系'!$J$24),0,1)</x:f>
        <x:v>1</x:v>
      </x:c>
      <x:c r="AD10" s="74" t="n">
        <x:f>IF(AC10=0,"",AB10/AA10-1)</x:f>
        <x:v>0.012021246854906575</x:v>
      </x:c>
      <x:c r="AE10" s="66" t="n">
        <x:f>IF(AC10=0,"",IF(AD10&gt;0,1,0))</x:f>
        <x:v>1</x:v>
      </x:c>
    </x:row>
    <x:row r="11" ht="27" customHeight="1">
      <x:c r="A11" s="66" t="str">
        <x:v>SXL267</x:v>
      </x:c>
      <x:c r="B11" s="66" t="str">
        <x:v>滨风风云瑞丰1号</x:v>
      </x:c>
      <x:c r="C11" s="66" t="str">
        <x:v>1y</x:v>
      </x:c>
      <x:c r="D11" s="72" t="n">
        <x:v>45904</x:v>
      </x:c>
      <x:c r="E11" s="72" t="n">
        <x:v>46269</x:v>
      </x:c>
      <x:c r="F11" s="72" t="n">
        <x:f>'净值原始'!C1680</x:f>
        <x:v>45898</x:v>
      </x:c>
      <x:c r="G11" s="72" t="n">
        <x:f>'净值原始'!C1732</x:f>
        <x:v>46269</x:v>
      </x:c>
      <x:c r="H11" s="66" t="n">
        <x:f>IF(OR(F11="",G11=""),"",G11-F11)</x:f>
        <x:v>371</x:v>
      </x:c>
      <x:c r="I11" s="66" t="n">
        <x:f>IF(OR(F11="",G11="",H11&lt;=0,D11-F11&gt;'sheet1-指标体系'!$J$24,E11-G11&gt;'sheet1-指标体系'!$J$24),0,1)</x:f>
        <x:v>1</x:v>
      </x:c>
      <x:c r="J11" s="73" t="n">
        <x:f>'净值原始'!F1680</x:f>
        <x:v>1.5567</x:v>
      </x:c>
      <x:c r="K11" s="73" t="n">
        <x:f>'净值原始'!F1732</x:f>
        <x:v>2.2818</x:v>
      </x:c>
      <x:c r="L11" s="74" t="n">
        <x:f>IF(I11=0,"",(K11/J11)^('sheet1-指标体系'!$J$25/H11)-1)</x:f>
        <x:v>0.45675607986970457</x:v>
      </x:c>
      <x:c r="M11" s="74" t="n">
        <x:f>IF(I11=0,"",MAX('净值原始'!J1680:J1732))</x:f>
        <x:v>0.1306153585353449</x:v>
      </x:c>
      <x:c r="N11" s="75" t="n">
        <x:f>IF(OR(I11=0,M11=0),"",L11/M11)</x:f>
        <x:v>3.4969553733308096</x:v>
      </x:c>
      <x:c r="O11" s="74" t="n">
        <x:f>IF(COUNT('补数计算'!AE137:AE149)=13,AVERAGE('补数计算'!AE137:AE149),"")</x:f>
        <x:v>0.6923076923076923</x:v>
      </x:c>
      <x:c r="P11" s="66" t="str">
        <x:v>可计算</x:v>
      </x:c>
      <x:c r="Q11" s="66" t="str">
        <x:v>滨风风云瑞丰1号净值20260911.xlsx</x:v>
      </x:c>
      <x:c r="R11" s="66" t="n">
        <x:v>13</x:v>
      </x:c>
      <x:c r="S11" s="66"/>
      <x:c r="T11" s="66" t="str">
        <x:v>SXT730</x:v>
      </x:c>
      <x:c r="U11" s="66" t="str">
        <x:v>世宽若水尘心3号</x:v>
      </x:c>
      <x:c r="V11" s="66" t="str">
        <x:v>2024-05</x:v>
      </x:c>
      <x:c r="W11" s="72" t="n">
        <x:v>45412</x:v>
      </x:c>
      <x:c r="X11" s="72" t="n">
        <x:v>45443</x:v>
      </x:c>
      <x:c r="Y11" s="72" t="n">
        <x:f>'净值原始'!C88</x:f>
        <x:v>45412</x:v>
      </x:c>
      <x:c r="Z11" s="72" t="n">
        <x:f>'净值原始'!C92</x:f>
        <x:v>45443</x:v>
      </x:c>
      <x:c r="AA11" s="73" t="n">
        <x:f>'净值原始'!F88</x:f>
        <x:v>1.086</x:v>
      </x:c>
      <x:c r="AB11" s="73" t="n">
        <x:f>'净值原始'!F92</x:f>
        <x:v>1.0816</x:v>
      </x:c>
      <x:c r="AC11" s="66" t="n">
        <x:f>IF(OR(Y11="",Z11="",Z11&lt;=Y11,W11-Y11&gt;'sheet1-指标体系'!$J$24,X11-Z11&gt;'sheet1-指标体系'!$J$24),0,1)</x:f>
        <x:v>1</x:v>
      </x:c>
      <x:c r="AD11" s="74" t="n">
        <x:f>IF(AC11=0,"",AB11/AA11-1)</x:f>
        <x:v>-0.0040515653775323734</x:v>
      </x:c>
      <x:c r="AE11" s="66" t="n">
        <x:f>IF(AC11=0,"",IF(AD11&gt;0,1,0))</x:f>
        <x:v>0</x:v>
      </x:c>
    </x:row>
    <x:row r="12" ht="27" customHeight="1">
      <x:c r="A12" s="66" t="str">
        <x:v>SXL267</x:v>
      </x:c>
      <x:c r="B12" s="66" t="str">
        <x:v>滨风风云瑞丰1号</x:v>
      </x:c>
      <x:c r="C12" s="66" t="str">
        <x:v>3y</x:v>
      </x:c>
      <x:c r="D12" s="72" t="n">
        <x:v>45173</x:v>
      </x:c>
      <x:c r="E12" s="72" t="n">
        <x:v>46269</x:v>
      </x:c>
      <x:c r="F12" s="72" t="n">
        <x:f>'净值原始'!C1234</x:f>
        <x:v>45173</x:v>
      </x:c>
      <x:c r="G12" s="72" t="n">
        <x:f>'净值原始'!C1732</x:f>
        <x:v>46269</x:v>
      </x:c>
      <x:c r="H12" s="66" t="n">
        <x:f>IF(OR(F12="",G12=""),"",G12-F12)</x:f>
        <x:v>1096</x:v>
      </x:c>
      <x:c r="I12" s="66" t="n">
        <x:f>IF(OR(F12="",G12="",H12&lt;=0,D12-F12&gt;'sheet1-指标体系'!$J$24,E12-G12&gt;'sheet1-指标体系'!$J$24),0,1)</x:f>
        <x:v>1</x:v>
      </x:c>
      <x:c r="J12" s="73" t="n">
        <x:f>'净值原始'!F1234</x:f>
        <x:v>1.1804</x:v>
      </x:c>
      <x:c r="K12" s="73" t="n">
        <x:f>'净值原始'!F1732</x:f>
        <x:v>2.2818</x:v>
      </x:c>
      <x:c r="L12" s="74" t="n">
        <x:f>IF(I12=0,"",(K12/J12)^('sheet1-指标体系'!$J$25/H12)-1)</x:f>
        <x:v>0.24545794227734263</x:v>
      </x:c>
      <x:c r="M12" s="74" t="n">
        <x:f>IF(I12=0,"",MAX('净值原始'!L1234:L1732))</x:f>
        <x:v>0.1306153585353449</x:v>
      </x:c>
      <x:c r="N12" s="75" t="n">
        <x:f>IF(OR(I12=0,M12=0),"",L12/M12)</x:f>
        <x:v>1.8792425716989554</x:v>
      </x:c>
      <x:c r="O12" s="74" t="n">
        <x:f>IF(COUNT('补数计算'!AE113:AE149)=37,AVERAGE('补数计算'!AE113:AE149),"")</x:f>
        <x:v>0.6486486486486487</x:v>
      </x:c>
      <x:c r="P12" s="66" t="str">
        <x:v>可计算</x:v>
      </x:c>
      <x:c r="Q12" s="66" t="str">
        <x:v>滨风风云瑞丰1号净值20260911.xlsx</x:v>
      </x:c>
      <x:c r="R12" s="66" t="n">
        <x:v>37</x:v>
      </x:c>
      <x:c r="S12" s="66"/>
      <x:c r="T12" s="66" t="str">
        <x:v>SXT730</x:v>
      </x:c>
      <x:c r="U12" s="66" t="str">
        <x:v>世宽若水尘心3号</x:v>
      </x:c>
      <x:c r="V12" s="66" t="str">
        <x:v>2024-06</x:v>
      </x:c>
      <x:c r="W12" s="72" t="n">
        <x:v>45443</x:v>
      </x:c>
      <x:c r="X12" s="72" t="n">
        <x:v>45473</x:v>
      </x:c>
      <x:c r="Y12" s="72" t="n">
        <x:f>'净值原始'!C92</x:f>
        <x:v>45443</x:v>
      </x:c>
      <x:c r="Z12" s="72" t="n">
        <x:f>'净值原始'!C96</x:f>
        <x:v>45471</x:v>
      </x:c>
      <x:c r="AA12" s="73" t="n">
        <x:f>'净值原始'!F92</x:f>
        <x:v>1.0816</x:v>
      </x:c>
      <x:c r="AB12" s="73" t="n">
        <x:f>'净值原始'!F96</x:f>
        <x:v>1.0927</x:v>
      </x:c>
      <x:c r="AC12" s="66" t="n">
        <x:f>IF(OR(Y12="",Z12="",Z12&lt;=Y12,W12-Y12&gt;'sheet1-指标体系'!$J$24,X12-Z12&gt;'sheet1-指标体系'!$J$24),0,1)</x:f>
        <x:v>1</x:v>
      </x:c>
      <x:c r="AD12" s="74" t="n">
        <x:f>IF(AC12=0,"",AB12/AA12-1)</x:f>
        <x:v>0.010262573964497035</x:v>
      </x:c>
      <x:c r="AE12" s="66" t="n">
        <x:f>IF(AC12=0,"",IF(AD12&gt;0,1,0))</x:f>
        <x:v>1</x:v>
      </x:c>
    </x:row>
    <x:row r="13" ht="27" customHeight="1">
      <x:c r="A13" s="66" t="str">
        <x:v>SXL267</x:v>
      </x:c>
      <x:c r="B13" s="66" t="str">
        <x:v>滨风风云瑞丰1号</x:v>
      </x:c>
      <x:c r="C13" s="66" t="str">
        <x:v>incep</x:v>
      </x:c>
      <x:c r="D13" s="72" t="n">
        <x:v>44897</x:v>
      </x:c>
      <x:c r="E13" s="72" t="n">
        <x:v>46269</x:v>
      </x:c>
      <x:c r="F13" s="72" t="n">
        <x:f>'净值原始'!C1050</x:f>
        <x:v>44897</x:v>
      </x:c>
      <x:c r="G13" s="72" t="n">
        <x:f>'净值原始'!C1732</x:f>
        <x:v>46269</x:v>
      </x:c>
      <x:c r="H13" s="66" t="n">
        <x:f>IF(OR(F13="",G13=""),"",G13-F13)</x:f>
        <x:v>1372</x:v>
      </x:c>
      <x:c r="I13" s="66" t="n">
        <x:f>IF(OR(F13="",F13&lt;&gt;D13,G13="",H13&lt;'sheet1-指标体系'!$J$25),0,1)</x:f>
        <x:v>1</x:v>
      </x:c>
      <x:c r="J13" s="73" t="n">
        <x:f>'净值原始'!F1050</x:f>
        <x:v>1</x:v>
      </x:c>
      <x:c r="K13" s="73" t="n">
        <x:f>'净值原始'!F1732</x:f>
        <x:v>2.2818</x:v>
      </x:c>
      <x:c r="L13" s="74" t="n">
        <x:f>IF(I13=0,"",(K13/J13)^('sheet1-指标体系'!$J$25/H13)-1)</x:f>
        <x:v>0.24541579582863648</x:v>
      </x:c>
      <x:c r="M13" s="74" t="n">
        <x:f>IF(I13=0,"",MAX('净值原始'!N1050:N1732))</x:f>
        <x:v>0.1306153585353449</x:v>
      </x:c>
      <x:c r="N13" s="75" t="n">
        <x:f>IF(OR(I13=0,M13=0),"",L13/M13)</x:f>
        <x:v>1.8789198956432545</x:v>
      </x:c>
      <x:c r="O13" s="74" t="str">
        <x:f>""</x:f>
      </x:c>
      <x:c r="P13" s="66" t="str">
        <x:v>可计算</x:v>
      </x:c>
      <x:c r="Q13" s="66" t="str">
        <x:v>滨风风云瑞丰1号净值20260911.xlsx</x:v>
      </x:c>
      <x:c r="R13" s="66"/>
      <x:c r="S13" s="66"/>
      <x:c r="T13" s="66" t="str">
        <x:v>SXT730</x:v>
      </x:c>
      <x:c r="U13" s="66" t="str">
        <x:v>世宽若水尘心3号</x:v>
      </x:c>
      <x:c r="V13" s="66" t="str">
        <x:v>2024-07</x:v>
      </x:c>
      <x:c r="W13" s="72" t="n">
        <x:v>45473</x:v>
      </x:c>
      <x:c r="X13" s="72" t="n">
        <x:v>45504</x:v>
      </x:c>
      <x:c r="Y13" s="72" t="n">
        <x:f>'净值原始'!C96</x:f>
        <x:v>45471</x:v>
      </x:c>
      <x:c r="Z13" s="72" t="n">
        <x:f>'净值原始'!C101</x:f>
        <x:v>45504</x:v>
      </x:c>
      <x:c r="AA13" s="73" t="n">
        <x:f>'净值原始'!F96</x:f>
        <x:v>1.0927</x:v>
      </x:c>
      <x:c r="AB13" s="73" t="n">
        <x:f>'净值原始'!F101</x:f>
        <x:v>1.0982</x:v>
      </x:c>
      <x:c r="AC13" s="66" t="n">
        <x:f>IF(OR(Y13="",Z13="",Z13&lt;=Y13,W13-Y13&gt;'sheet1-指标体系'!$J$24,X13-Z13&gt;'sheet1-指标体系'!$J$24),0,1)</x:f>
        <x:v>1</x:v>
      </x:c>
      <x:c r="AD13" s="74" t="n">
        <x:f>IF(AC13=0,"",AB13/AA13-1)</x:f>
        <x:v>0.005033403495927624</x:v>
      </x:c>
      <x:c r="AE13" s="66" t="n">
        <x:f>IF(AC13=0,"",IF(AD13&gt;0,1,0))</x:f>
        <x:v>1</x:v>
      </x:c>
    </x:row>
    <x:row r="14" ht="27" customHeight="1">
      <x:c r="A14" s="66" t="str">
        <x:v>SEV580</x:v>
      </x:c>
      <x:c r="B14" s="66" t="str">
        <x:v>祁腾蜂赢1号</x:v>
      </x:c>
      <x:c r="C14" s="66" t="str">
        <x:v>1y</x:v>
      </x:c>
      <x:c r="D14" s="72" t="n">
        <x:v>45910</x:v>
      </x:c>
      <x:c r="E14" s="72" t="n">
        <x:v>46275</x:v>
      </x:c>
      <x:c r="F14" s="72" t="n">
        <x:f>'净值原始'!C3340</x:f>
        <x:v>45910</x:v>
      </x:c>
      <x:c r="G14" s="72" t="n">
        <x:f>'净值原始'!C3582</x:f>
        <x:v>46275</x:v>
      </x:c>
      <x:c r="H14" s="66" t="n">
        <x:f>IF(OR(F14="",G14=""),"",G14-F14)</x:f>
        <x:v>365</x:v>
      </x:c>
      <x:c r="I14" s="66" t="n">
        <x:f>IF(OR(F14="",G14="",H14&lt;=0,D14-F14&gt;'sheet1-指标体系'!$J$24,E14-G14&gt;'sheet1-指标体系'!$J$24),0,1)</x:f>
        <x:v>1</x:v>
      </x:c>
      <x:c r="J14" s="73" t="n">
        <x:f>'净值原始'!F3340</x:f>
        <x:v>2.1504</x:v>
      </x:c>
      <x:c r="K14" s="73" t="n">
        <x:f>'净值原始'!F3582</x:f>
        <x:v>2.4475</x:v>
      </x:c>
      <x:c r="L14" s="74" t="n">
        <x:f>IF(I14=0,"",(K14/J14)^('sheet1-指标体系'!$J$25/H14)-1)</x:f>
        <x:v>0.13816034226190466</x:v>
      </x:c>
      <x:c r="M14" s="74" t="n">
        <x:f>IF(I14=0,"",MAX('净值原始'!J3340:J3582))</x:f>
        <x:v>0.004863171777118369</x:v>
      </x:c>
      <x:c r="N14" s="75" t="n">
        <x:f>IF(OR(I14=0,M14=0),"",L14/M14)</x:f>
        <x:v>28.409513090193656</x:v>
      </x:c>
      <x:c r="O14" s="74" t="n">
        <x:f>IF(COUNT('补数计算'!AE174:AE186)=13,AVERAGE('补数计算'!AE174:AE186),"")</x:f>
        <x:v>0.7692307692307693</x:v>
      </x:c>
      <x:c r="P14" s="66" t="str">
        <x:v>可计算</x:v>
      </x:c>
      <x:c r="Q14" s="66" t="str">
        <x:v>祁腾蜂赢1号净值20260911.xlsx</x:v>
      </x:c>
      <x:c r="R14" s="66" t="n">
        <x:v>13</x:v>
      </x:c>
      <x:c r="S14" s="66"/>
      <x:c r="T14" s="66" t="str">
        <x:v>SXT730</x:v>
      </x:c>
      <x:c r="U14" s="66" t="str">
        <x:v>世宽若水尘心3号</x:v>
      </x:c>
      <x:c r="V14" s="66" t="str">
        <x:v>2024-08</x:v>
      </x:c>
      <x:c r="W14" s="72" t="n">
        <x:v>45504</x:v>
      </x:c>
      <x:c r="X14" s="72" t="n">
        <x:v>45535</x:v>
      </x:c>
      <x:c r="Y14" s="72" t="n">
        <x:f>'净值原始'!C101</x:f>
        <x:v>45504</x:v>
      </x:c>
      <x:c r="Z14" s="72" t="n">
        <x:f>'净值原始'!C106</x:f>
        <x:v>45534</x:v>
      </x:c>
      <x:c r="AA14" s="73" t="n">
        <x:f>'净值原始'!F101</x:f>
        <x:v>1.0982</x:v>
      </x:c>
      <x:c r="AB14" s="73" t="n">
        <x:f>'净值原始'!F106</x:f>
        <x:v>1.1146</x:v>
      </x:c>
      <x:c r="AC14" s="66" t="n">
        <x:f>IF(OR(Y14="",Z14="",Z14&lt;=Y14,W14-Y14&gt;'sheet1-指标体系'!$J$24,X14-Z14&gt;'sheet1-指标体系'!$J$24),0,1)</x:f>
        <x:v>1</x:v>
      </x:c>
      <x:c r="AD14" s="74" t="n">
        <x:f>IF(AC14=0,"",AB14/AA14-1)</x:f>
        <x:v>0.014933527590602846</x:v>
      </x:c>
      <x:c r="AE14" s="66" t="n">
        <x:f>IF(AC14=0,"",IF(AD14&gt;0,1,0))</x:f>
        <x:v>1</x:v>
      </x:c>
    </x:row>
    <x:row r="15" ht="27" customHeight="1">
      <x:c r="A15" s="66" t="str">
        <x:v>SEV580</x:v>
      </x:c>
      <x:c r="B15" s="66" t="str">
        <x:v>祁腾蜂赢1号</x:v>
      </x:c>
      <x:c r="C15" s="66" t="str">
        <x:v>3y</x:v>
      </x:c>
      <x:c r="D15" s="72" t="n">
        <x:v>45179</x:v>
      </x:c>
      <x:c r="E15" s="72" t="n">
        <x:v>46275</x:v>
      </x:c>
      <x:c r="F15" s="72" t="n">
        <x:f>'净值原始'!C2855</x:f>
        <x:v>45177</x:v>
      </x:c>
      <x:c r="G15" s="72" t="n">
        <x:f>'净值原始'!C3582</x:f>
        <x:v>46275</x:v>
      </x:c>
      <x:c r="H15" s="66" t="n">
        <x:f>IF(OR(F15="",G15=""),"",G15-F15)</x:f>
        <x:v>1098</x:v>
      </x:c>
      <x:c r="I15" s="66" t="n">
        <x:f>IF(OR(F15="",G15="",H15&lt;=0,D15-F15&gt;'sheet1-指标体系'!$J$24,E15-G15&gt;'sheet1-指标体系'!$J$24),0,1)</x:f>
        <x:v>1</x:v>
      </x:c>
      <x:c r="J15" s="73" t="n">
        <x:f>'净值原始'!F2855</x:f>
        <x:v>1.7426</x:v>
      </x:c>
      <x:c r="K15" s="73" t="n">
        <x:f>'净值原始'!F3582</x:f>
        <x:v>2.4475</x:v>
      </x:c>
      <x:c r="L15" s="74" t="n">
        <x:f>IF(I15=0,"",(K15/J15)^('sheet1-指标体系'!$J$25/H15)-1)</x:f>
        <x:v>0.11954263952203115</x:v>
      </x:c>
      <x:c r="M15" s="74" t="n">
        <x:f>IF(I15=0,"",MAX('净值原始'!L2855:L3582))</x:f>
        <x:v>0.00533091362785687</x:v>
      </x:c>
      <x:c r="N15" s="75" t="n">
        <x:f>IF(OR(I15=0,M15=0),"",L15/M15)</x:f>
        <x:v>22.424418752042243</x:v>
      </x:c>
      <x:c r="O15" s="74" t="n">
        <x:f>IF(COUNT('补数计算'!AE150:AE186)=37,AVERAGE('补数计算'!AE150:AE186),"")</x:f>
        <x:v>0.7837837837837838</x:v>
      </x:c>
      <x:c r="P15" s="66" t="str">
        <x:v>可计算</x:v>
      </x:c>
      <x:c r="Q15" s="66" t="str">
        <x:v>祁腾蜂赢1号净值20260911.xlsx</x:v>
      </x:c>
      <x:c r="R15" s="66" t="n">
        <x:v>37</x:v>
      </x:c>
      <x:c r="S15" s="66"/>
      <x:c r="T15" s="66" t="str">
        <x:v>SXT730</x:v>
      </x:c>
      <x:c r="U15" s="66" t="str">
        <x:v>世宽若水尘心3号</x:v>
      </x:c>
      <x:c r="V15" s="66" t="str">
        <x:v>2024-09</x:v>
      </x:c>
      <x:c r="W15" s="72" t="n">
        <x:v>45535</x:v>
      </x:c>
      <x:c r="X15" s="72" t="n">
        <x:v>45565</x:v>
      </x:c>
      <x:c r="Y15" s="72" t="n">
        <x:f>'净值原始'!C106</x:f>
        <x:v>45534</x:v>
      </x:c>
      <x:c r="Z15" s="72" t="n">
        <x:f>'净值原始'!C111</x:f>
        <x:v>45565</x:v>
      </x:c>
      <x:c r="AA15" s="73" t="n">
        <x:f>'净值原始'!F106</x:f>
        <x:v>1.1146</x:v>
      </x:c>
      <x:c r="AB15" s="73" t="n">
        <x:f>'净值原始'!F111</x:f>
        <x:v>1.1301</x:v>
      </x:c>
      <x:c r="AC15" s="66" t="n">
        <x:f>IF(OR(Y15="",Z15="",Z15&lt;=Y15,W15-Y15&gt;'sheet1-指标体系'!$J$24,X15-Z15&gt;'sheet1-指标体系'!$J$24),0,1)</x:f>
        <x:v>1</x:v>
      </x:c>
      <x:c r="AD15" s="74" t="n">
        <x:f>IF(AC15=0,"",AB15/AA15-1)</x:f>
        <x:v>0.013906334110891816</x:v>
      </x:c>
      <x:c r="AE15" s="66" t="n">
        <x:f>IF(AC15=0,"",IF(AD15&gt;0,1,0))</x:f>
        <x:v>1</x:v>
      </x:c>
    </x:row>
    <x:row r="16" ht="27" customHeight="1">
      <x:c r="A16" s="66" t="str">
        <x:v>SEV580</x:v>
      </x:c>
      <x:c r="B16" s="66" t="str">
        <x:v>祁腾蜂赢1号</x:v>
      </x:c>
      <x:c r="C16" s="66" t="str">
        <x:v>incep</x:v>
      </x:c>
      <x:c r="D16" s="72" t="n">
        <x:v>43490</x:v>
      </x:c>
      <x:c r="E16" s="72" t="n">
        <x:v>46275</x:v>
      </x:c>
      <x:c r="F16" s="72" t="n">
        <x:f>'净值原始'!C1733</x:f>
        <x:v>43490</x:v>
      </x:c>
      <x:c r="G16" s="72" t="n">
        <x:f>'净值原始'!C3582</x:f>
        <x:v>46275</x:v>
      </x:c>
      <x:c r="H16" s="66" t="n">
        <x:f>IF(OR(F16="",G16=""),"",G16-F16)</x:f>
        <x:v>2785</x:v>
      </x:c>
      <x:c r="I16" s="66" t="n">
        <x:f>IF(OR(F16="",F16&lt;&gt;D16,G16="",H16&lt;'sheet1-指标体系'!$J$25),0,1)</x:f>
        <x:v>1</x:v>
      </x:c>
      <x:c r="J16" s="73" t="n">
        <x:f>'净值原始'!F1733</x:f>
        <x:v>1.0001</x:v>
      </x:c>
      <x:c r="K16" s="73" t="n">
        <x:f>'净值原始'!F3582</x:f>
        <x:v>2.4475</x:v>
      </x:c>
      <x:c r="L16" s="74" t="n">
        <x:f>IF(I16=0,"",(K16/J16)^('sheet1-指标体系'!$J$25/H16)-1)</x:f>
        <x:v>0.12444964705592754</x:v>
      </x:c>
      <x:c r="M16" s="74" t="n">
        <x:f>IF(I16=0,"",MAX('净值原始'!N1733:N3582))</x:f>
        <x:v>0.01966138722009836</x:v>
      </x:c>
      <x:c r="N16" s="75" t="n">
        <x:f>IF(OR(I16=0,M16=0),"",L16/M16)</x:f>
        <x:v>6.3296473266500755</x:v>
      </x:c>
      <x:c r="O16" s="74" t="str">
        <x:f>""</x:f>
      </x:c>
      <x:c r="P16" s="66" t="str">
        <x:v>可计算</x:v>
      </x:c>
      <x:c r="Q16" s="66" t="str">
        <x:v>祁腾蜂赢1号净值20260911.xlsx</x:v>
      </x:c>
      <x:c r="R16" s="66"/>
      <x:c r="S16" s="66"/>
      <x:c r="T16" s="66" t="str">
        <x:v>SXT730</x:v>
      </x:c>
      <x:c r="U16" s="66" t="str">
        <x:v>世宽若水尘心3号</x:v>
      </x:c>
      <x:c r="V16" s="66" t="str">
        <x:v>2024-10</x:v>
      </x:c>
      <x:c r="W16" s="72" t="n">
        <x:v>45565</x:v>
      </x:c>
      <x:c r="X16" s="72" t="n">
        <x:v>45596</x:v>
      </x:c>
      <x:c r="Y16" s="72" t="n">
        <x:f>'净值原始'!C111</x:f>
        <x:v>45565</x:v>
      </x:c>
      <x:c r="Z16" s="72" t="n">
        <x:f>'净值原始'!C115</x:f>
        <x:v>45596</x:v>
      </x:c>
      <x:c r="AA16" s="73" t="n">
        <x:f>'净值原始'!F111</x:f>
        <x:v>1.1301</x:v>
      </x:c>
      <x:c r="AB16" s="73" t="n">
        <x:f>'净值原始'!F115</x:f>
        <x:v>1.1877</x:v>
      </x:c>
      <x:c r="AC16" s="66" t="n">
        <x:f>IF(OR(Y16="",Z16="",Z16&lt;=Y16,W16-Y16&gt;'sheet1-指标体系'!$J$24,X16-Z16&gt;'sheet1-指标体系'!$J$24),0,1)</x:f>
        <x:v>1</x:v>
      </x:c>
      <x:c r="AD16" s="74" t="n">
        <x:f>IF(AC16=0,"",AB16/AA16-1)</x:f>
        <x:v>0.05096894080169889</x:v>
      </x:c>
      <x:c r="AE16" s="66" t="n">
        <x:f>IF(AC16=0,"",IF(AD16&gt;0,1,0))</x:f>
        <x:v>1</x:v>
      </x:c>
    </x:row>
    <x:row r="17" ht="27" customHeight="1">
      <x:c r="A17" s="66" t="str">
        <x:v>SXT086</x:v>
      </x:c>
      <x:c r="B17" s="66" t="str">
        <x:v>系数CTA套利五号</x:v>
      </x:c>
      <x:c r="C17" s="66" t="str">
        <x:v>1y</x:v>
      </x:c>
      <x:c r="D17" s="72" t="n">
        <x:v>45904</x:v>
      </x:c>
      <x:c r="E17" s="72" t="n">
        <x:v>46269</x:v>
      </x:c>
      <x:c r="F17" s="72" t="n">
        <x:f>'净值原始'!C3725</x:f>
        <x:v>45898</x:v>
      </x:c>
      <x:c r="G17" s="72" t="n">
        <x:f>'净值原始'!C3777</x:f>
        <x:v>46269</x:v>
      </x:c>
      <x:c r="H17" s="66" t="n">
        <x:f>IF(OR(F17="",G17=""),"",G17-F17)</x:f>
        <x:v>371</x:v>
      </x:c>
      <x:c r="I17" s="66" t="n">
        <x:f>IF(OR(F17="",G17="",H17&lt;=0,D17-F17&gt;'sheet1-指标体系'!$J$24,E17-G17&gt;'sheet1-指标体系'!$J$24),0,1)</x:f>
        <x:v>1</x:v>
      </x:c>
      <x:c r="J17" s="73" t="n">
        <x:f>'净值原始'!F3725</x:f>
        <x:v>1.3123</x:v>
      </x:c>
      <x:c r="K17" s="73" t="n">
        <x:f>'净值原始'!F3777</x:f>
        <x:v>1.321</x:v>
      </x:c>
      <x:c r="L17" s="74" t="n">
        <x:f>IF(I17=0,"",(K17/J17)^('sheet1-指标体系'!$J$25/H17)-1)</x:f>
        <x:v>0.006522015825151994</x:v>
      </x:c>
      <x:c r="M17" s="74" t="n">
        <x:f>IF(I17=0,"",MAX('净值原始'!J3725:J3777))</x:f>
        <x:v>0.043114923827836105</x:v>
      </x:c>
      <x:c r="N17" s="75" t="n">
        <x:f>IF(OR(I17=0,M17=0),"",L17/M17)</x:f>
        <x:v>0.15127049397548079</x:v>
      </x:c>
      <x:c r="O17" s="74" t="n">
        <x:f>IF(COUNT('补数计算'!AE211:AE223)=13,AVERAGE('补数计算'!AE211:AE223),"")</x:f>
        <x:v>0.46153846153846156</x:v>
      </x:c>
      <x:c r="P17" s="66" t="str">
        <x:v>可计算</x:v>
      </x:c>
      <x:c r="Q17" s="66" t="str">
        <x:v>系数CTA套利五号净值20260911.xlsx</x:v>
      </x:c>
      <x:c r="R17" s="66" t="n">
        <x:v>13</x:v>
      </x:c>
      <x:c r="S17" s="66"/>
      <x:c r="T17" s="66" t="str">
        <x:v>SXT730</x:v>
      </x:c>
      <x:c r="U17" s="66" t="str">
        <x:v>世宽若水尘心3号</x:v>
      </x:c>
      <x:c r="V17" s="66" t="str">
        <x:v>2024-11</x:v>
      </x:c>
      <x:c r="W17" s="72" t="n">
        <x:v>45596</x:v>
      </x:c>
      <x:c r="X17" s="72" t="n">
        <x:v>45626</x:v>
      </x:c>
      <x:c r="Y17" s="72" t="n">
        <x:f>'净值原始'!C115</x:f>
        <x:v>45596</x:v>
      </x:c>
      <x:c r="Z17" s="72" t="n">
        <x:f>'净值原始'!C120</x:f>
        <x:v>45625</x:v>
      </x:c>
      <x:c r="AA17" s="73" t="n">
        <x:f>'净值原始'!F115</x:f>
        <x:v>1.1877</x:v>
      </x:c>
      <x:c r="AB17" s="73" t="n">
        <x:f>'净值原始'!F120</x:f>
        <x:v>1.2324</x:v>
      </x:c>
      <x:c r="AC17" s="66" t="n">
        <x:f>IF(OR(Y17="",Z17="",Z17&lt;=Y17,W17-Y17&gt;'sheet1-指标体系'!$J$24,X17-Z17&gt;'sheet1-指标体系'!$J$24),0,1)</x:f>
        <x:v>1</x:v>
      </x:c>
      <x:c r="AD17" s="74" t="n">
        <x:f>IF(AC17=0,"",AB17/AA17-1)</x:f>
        <x:v>0.03763576660772916</x:v>
      </x:c>
      <x:c r="AE17" s="66" t="n">
        <x:f>IF(AC17=0,"",IF(AD17&gt;0,1,0))</x:f>
        <x:v>1</x:v>
      </x:c>
    </x:row>
    <x:row r="18" ht="27" customHeight="1">
      <x:c r="A18" s="66" t="str">
        <x:v>SXT086</x:v>
      </x:c>
      <x:c r="B18" s="66" t="str">
        <x:v>系数CTA套利五号</x:v>
      </x:c>
      <x:c r="C18" s="66" t="str">
        <x:v>3y</x:v>
      </x:c>
      <x:c r="D18" s="72" t="n">
        <x:v>45173</x:v>
      </x:c>
      <x:c r="E18" s="72" t="n">
        <x:v>46269</x:v>
      </x:c>
      <x:c r="F18" s="72" t="n">
        <x:f>'净值原始'!C3623</x:f>
        <x:v>45170</x:v>
      </x:c>
      <x:c r="G18" s="72" t="n">
        <x:f>'净值原始'!C3777</x:f>
        <x:v>46269</x:v>
      </x:c>
      <x:c r="H18" s="66" t="n">
        <x:f>IF(OR(F18="",G18=""),"",G18-F18)</x:f>
        <x:v>1099</x:v>
      </x:c>
      <x:c r="I18" s="66" t="n">
        <x:f>IF(OR(F18="",G18="",H18&lt;=0,D18-F18&gt;'sheet1-指标体系'!$J$24,E18-G18&gt;'sheet1-指标体系'!$J$24),0,1)</x:f>
        <x:v>1</x:v>
      </x:c>
      <x:c r="J18" s="73" t="n">
        <x:f>'净值原始'!F3623</x:f>
        <x:v>1.0117</x:v>
      </x:c>
      <x:c r="K18" s="73" t="n">
        <x:f>'净值原始'!F3777</x:f>
        <x:v>1.321</x:v>
      </x:c>
      <x:c r="L18" s="74" t="n">
        <x:f>IF(I18=0,"",(K18/J18)^('sheet1-指标体系'!$J$25/H18)-1)</x:f>
        <x:v>0.09263842468154948</x:v>
      </x:c>
      <x:c r="M18" s="74" t="n">
        <x:f>IF(I18=0,"",MAX('净值原始'!L3623:L3777))</x:f>
        <x:v>0.043114923827836105</x:v>
      </x:c>
      <x:c r="N18" s="75" t="n">
        <x:f>IF(OR(I18=0,M18=0),"",L18/M18)</x:f>
        <x:v>2.1486394143120284</x:v>
      </x:c>
      <x:c r="O18" s="74" t="n">
        <x:f>IF(COUNT('补数计算'!AE187:AE223)=37,AVERAGE('补数计算'!AE187:AE223),"")</x:f>
        <x:v>0.6486486486486487</x:v>
      </x:c>
      <x:c r="P18" s="66" t="str">
        <x:v>可计算</x:v>
      </x:c>
      <x:c r="Q18" s="66" t="str">
        <x:v>系数CTA套利五号净值20260911.xlsx</x:v>
      </x:c>
      <x:c r="R18" s="66" t="n">
        <x:v>37</x:v>
      </x:c>
      <x:c r="S18" s="66"/>
      <x:c r="T18" s="66" t="str">
        <x:v>SXT730</x:v>
      </x:c>
      <x:c r="U18" s="66" t="str">
        <x:v>世宽若水尘心3号</x:v>
      </x:c>
      <x:c r="V18" s="66" t="str">
        <x:v>2024-12</x:v>
      </x:c>
      <x:c r="W18" s="72" t="n">
        <x:v>45626</x:v>
      </x:c>
      <x:c r="X18" s="72" t="n">
        <x:v>45657</x:v>
      </x:c>
      <x:c r="Y18" s="72" t="n">
        <x:f>'净值原始'!C120</x:f>
        <x:v>45625</x:v>
      </x:c>
      <x:c r="Z18" s="72" t="n">
        <x:f>'净值原始'!C125</x:f>
        <x:v>45657</x:v>
      </x:c>
      <x:c r="AA18" s="73" t="n">
        <x:f>'净值原始'!F120</x:f>
        <x:v>1.2324</x:v>
      </x:c>
      <x:c r="AB18" s="73" t="n">
        <x:f>'净值原始'!F125</x:f>
        <x:v>1.2429</x:v>
      </x:c>
      <x:c r="AC18" s="66" t="n">
        <x:f>IF(OR(Y18="",Z18="",Z18&lt;=Y18,W18-Y18&gt;'sheet1-指标体系'!$J$24,X18-Z18&gt;'sheet1-指标体系'!$J$24),0,1)</x:f>
        <x:v>1</x:v>
      </x:c>
      <x:c r="AD18" s="74" t="n">
        <x:f>IF(AC18=0,"",AB18/AA18-1)</x:f>
        <x:v>0.008519961051606684</x:v>
      </x:c>
      <x:c r="AE18" s="66" t="n">
        <x:f>IF(AC18=0,"",IF(AD18&gt;0,1,0))</x:f>
        <x:v>1</x:v>
      </x:c>
    </x:row>
    <x:row r="19" ht="27" customHeight="1">
      <x:c r="A19" s="66" t="str">
        <x:v>SXT086</x:v>
      </x:c>
      <x:c r="B19" s="66" t="str">
        <x:v>系数CTA套利五号</x:v>
      </x:c>
      <x:c r="C19" s="66" t="str">
        <x:v>incep</x:v>
      </x:c>
      <x:c r="D19" s="72" t="n">
        <x:v>44881</x:v>
      </x:c>
      <x:c r="E19" s="72" t="n">
        <x:v>46269</x:v>
      </x:c>
      <x:c r="F19" s="72" t="str">
        <x:f>""</x:f>
      </x:c>
      <x:c r="G19" s="72" t="n">
        <x:f>'净值原始'!C3777</x:f>
        <x:v>46269</x:v>
      </x:c>
      <x:c r="H19" s="66" t="str">
        <x:f>IF(OR(F19="",G19=""),"",G19-F19)</x:f>
      </x:c>
      <x:c r="I19" s="66" t="n">
        <x:f>IF(OR(F19="",F19&lt;&gt;D19,G19="",H19&lt;'sheet1-指标体系'!$J$25),0,1)</x:f>
        <x:v>0</x:v>
      </x:c>
      <x:c r="J19" s="73" t="str">
        <x:f>""</x:f>
      </x:c>
      <x:c r="K19" s="73" t="n">
        <x:f>'净值原始'!F3777</x:f>
        <x:v>1.321</x:v>
      </x:c>
      <x:c r="L19" s="74" t="str">
        <x:f>IF(I19=0,"",(K19/J19)^('sheet1-指标体系'!$J$25/H19)-1)</x:f>
      </x:c>
      <x:c r="M19" s="74" t="str">
        <x:f>""</x:f>
      </x:c>
      <x:c r="N19" s="75" t="str">
        <x:f>IF(OR(I19=0,M19=0),"",L19/M19)</x:f>
      </x:c>
      <x:c r="O19" s="74" t="str">
        <x:f>""</x:f>
      </x:c>
      <x:c r="P19" s="66" t="str">
        <x:v>未覆盖完整窗口；成立以来不足一年不年化</x:v>
      </x:c>
      <x:c r="Q19" s="66" t="str">
        <x:v>系数CTA套利五号净值20260911.xlsx</x:v>
      </x:c>
      <x:c r="R19" s="66"/>
      <x:c r="S19" s="66"/>
      <x:c r="T19" s="66" t="str">
        <x:v>SXT730</x:v>
      </x:c>
      <x:c r="U19" s="66" t="str">
        <x:v>世宽若水尘心3号</x:v>
      </x:c>
      <x:c r="V19" s="66" t="str">
        <x:v>2025-01</x:v>
      </x:c>
      <x:c r="W19" s="72" t="n">
        <x:v>45657</x:v>
      </x:c>
      <x:c r="X19" s="72" t="n">
        <x:v>45688</x:v>
      </x:c>
      <x:c r="Y19" s="72" t="n">
        <x:f>'净值原始'!C125</x:f>
        <x:v>45657</x:v>
      </x:c>
      <x:c r="Z19" s="72" t="n">
        <x:f>'净值原始'!C130</x:f>
        <x:v>45684</x:v>
      </x:c>
      <x:c r="AA19" s="73" t="n">
        <x:f>'净值原始'!F125</x:f>
        <x:v>1.2429</x:v>
      </x:c>
      <x:c r="AB19" s="73" t="n">
        <x:f>'净值原始'!F130</x:f>
        <x:v>1.2371</x:v>
      </x:c>
      <x:c r="AC19" s="66" t="n">
        <x:f>IF(OR(Y19="",Z19="",Z19&lt;=Y19,W19-Y19&gt;'sheet1-指标体系'!$J$24,X19-Z19&gt;'sheet1-指标体系'!$J$24),0,1)</x:f>
        <x:v>1</x:v>
      </x:c>
      <x:c r="AD19" s="74" t="n">
        <x:f>IF(AC19=0,"",AB19/AA19-1)</x:f>
        <x:v>-0.004666505752675021</x:v>
      </x:c>
      <x:c r="AE19" s="66" t="n">
        <x:f>IF(AC19=0,"",IF(AD19&gt;0,1,0))</x:f>
        <x:v>0</x:v>
      </x:c>
    </x:row>
    <x:row r="20" ht="27" customHeight="1">
      <x:c r="A20" s="66" t="str">
        <x:v>SNH457</x:v>
      </x:c>
      <x:c r="B20" s="66" t="str">
        <x:v>量客投资金选套利1号</x:v>
      </x:c>
      <x:c r="C20" s="66" t="str">
        <x:v>1y</x:v>
      </x:c>
      <x:c r="D20" s="72" t="n">
        <x:v>45904</x:v>
      </x:c>
      <x:c r="E20" s="72" t="n">
        <x:v>46269</x:v>
      </x:c>
      <x:c r="F20" s="72" t="n">
        <x:f>'净值原始'!C4016</x:f>
        <x:v>45898</x:v>
      </x:c>
      <x:c r="G20" s="72" t="n">
        <x:f>'净值原始'!C4068</x:f>
        <x:v>46269</x:v>
      </x:c>
      <x:c r="H20" s="66" t="n">
        <x:f>IF(OR(F20="",G20=""),"",G20-F20)</x:f>
        <x:v>371</x:v>
      </x:c>
      <x:c r="I20" s="66" t="n">
        <x:f>IF(OR(F20="",G20="",H20&lt;=0,D20-F20&gt;'sheet1-指标体系'!$J$24,E20-G20&gt;'sheet1-指标体系'!$J$24),0,1)</x:f>
        <x:v>1</x:v>
      </x:c>
      <x:c r="J20" s="73" t="n">
        <x:f>'净值原始'!F4016</x:f>
        <x:v>1.8621</x:v>
      </x:c>
      <x:c r="K20" s="73" t="n">
        <x:f>'净值原始'!F4068</x:f>
        <x:v>1.985</x:v>
      </x:c>
      <x:c r="L20" s="74" t="n">
        <x:f>IF(I20=0,"",(K20/J20)^('sheet1-指标体系'!$J$25/H20)-1)</x:f>
        <x:v>0.06489944933693947</x:v>
      </x:c>
      <x:c r="M20" s="74" t="n">
        <x:f>IF(I20=0,"",MAX('净值原始'!J4016:J4068))</x:f>
        <x:v>0.0014807763498864146</x:v>
      </x:c>
      <x:c r="N20" s="75" t="n">
        <x:f>IF(OR(I20=0,M20=0),"",L20/M20)</x:f>
        <x:v>43.827988839717555</x:v>
      </x:c>
      <x:c r="O20" s="74" t="n">
        <x:f>IF(COUNT('补数计算'!AE248:AE260)=13,AVERAGE('补数计算'!AE248:AE260),"")</x:f>
        <x:v>1</x:v>
      </x:c>
      <x:c r="P20" s="66" t="str">
        <x:v>可计算</x:v>
      </x:c>
      <x:c r="Q20" s="66" t="str">
        <x:v>量客投资金选套利1号净值20260911.xlsx</x:v>
      </x:c>
      <x:c r="R20" s="66" t="n">
        <x:v>13</x:v>
      </x:c>
      <x:c r="S20" s="66"/>
      <x:c r="T20" s="66" t="str">
        <x:v>SXT730</x:v>
      </x:c>
      <x:c r="U20" s="66" t="str">
        <x:v>世宽若水尘心3号</x:v>
      </x:c>
      <x:c r="V20" s="66" t="str">
        <x:v>2025-02</x:v>
      </x:c>
      <x:c r="W20" s="72" t="n">
        <x:v>45688</x:v>
      </x:c>
      <x:c r="X20" s="72" t="n">
        <x:v>45716</x:v>
      </x:c>
      <x:c r="Y20" s="72" t="n">
        <x:f>'净值原始'!C130</x:f>
        <x:v>45684</x:v>
      </x:c>
      <x:c r="Z20" s="72" t="n">
        <x:f>'净值原始'!C135</x:f>
        <x:v>45716</x:v>
      </x:c>
      <x:c r="AA20" s="73" t="n">
        <x:f>'净值原始'!F130</x:f>
        <x:v>1.2371</x:v>
      </x:c>
      <x:c r="AB20" s="73" t="n">
        <x:f>'净值原始'!F135</x:f>
        <x:v>1.2447</x:v>
      </x:c>
      <x:c r="AC20" s="66" t="n">
        <x:f>IF(OR(Y20="",Z20="",Z20&lt;=Y20,W20-Y20&gt;'sheet1-指标体系'!$J$24,X20-Z20&gt;'sheet1-指标体系'!$J$24),0,1)</x:f>
        <x:v>1</x:v>
      </x:c>
      <x:c r="AD20" s="74" t="n">
        <x:f>IF(AC20=0,"",AB20/AA20-1)</x:f>
        <x:v>0.0061433998868318795</x:v>
      </x:c>
      <x:c r="AE20" s="66" t="n">
        <x:f>IF(AC20=0,"",IF(AD20&gt;0,1,0))</x:f>
        <x:v>1</x:v>
      </x:c>
    </x:row>
    <x:row r="21" ht="27" customHeight="1">
      <x:c r="A21" s="66" t="str">
        <x:v>SNH457</x:v>
      </x:c>
      <x:c r="B21" s="66" t="str">
        <x:v>量客投资金选套利1号</x:v>
      </x:c>
      <x:c r="C21" s="66" t="str">
        <x:v>3y</x:v>
      </x:c>
      <x:c r="D21" s="72" t="n">
        <x:v>45173</x:v>
      </x:c>
      <x:c r="E21" s="72" t="n">
        <x:v>46269</x:v>
      </x:c>
      <x:c r="F21" s="72" t="n">
        <x:f>'净值原始'!C3914</x:f>
        <x:v>45170</x:v>
      </x:c>
      <x:c r="G21" s="72" t="n">
        <x:f>'净值原始'!C4068</x:f>
        <x:v>46269</x:v>
      </x:c>
      <x:c r="H21" s="66" t="n">
        <x:f>IF(OR(F21="",G21=""),"",G21-F21)</x:f>
        <x:v>1099</x:v>
      </x:c>
      <x:c r="I21" s="66" t="n">
        <x:f>IF(OR(F21="",G21="",H21&lt;=0,D21-F21&gt;'sheet1-指标体系'!$J$24,E21-G21&gt;'sheet1-指标体系'!$J$24),0,1)</x:f>
        <x:v>1</x:v>
      </x:c>
      <x:c r="J21" s="73" t="n">
        <x:f>'净值原始'!F3914</x:f>
        <x:v>1.5506</x:v>
      </x:c>
      <x:c r="K21" s="73" t="n">
        <x:f>'净值原始'!F4068</x:f>
        <x:v>1.985</x:v>
      </x:c>
      <x:c r="L21" s="74" t="n">
        <x:f>IF(I21=0,"",(K21/J21)^('sheet1-指标体系'!$J$25/H21)-1)</x:f>
        <x:v>0.08548404872759652</x:v>
      </x:c>
      <x:c r="M21" s="74" t="n">
        <x:f>IF(I21=0,"",MAX('净值原始'!L3914:L4068))</x:f>
        <x:v>0.0033696371622840005</x:v>
      </x:c>
      <x:c r="N21" s="75" t="n">
        <x:f>IF(OR(I21=0,M21=0),"",L21/M21)</x:f>
        <x:v>25.368917960785396</x:v>
      </x:c>
      <x:c r="O21" s="74" t="n">
        <x:f>IF(COUNT('补数计算'!AE224:AE260)=37,AVERAGE('补数计算'!AE224:AE260),"")</x:f>
        <x:v>0.918918918918919</x:v>
      </x:c>
      <x:c r="P21" s="66" t="str">
        <x:v>可计算</x:v>
      </x:c>
      <x:c r="Q21" s="66" t="str">
        <x:v>量客投资金选套利1号净值20260911.xlsx</x:v>
      </x:c>
      <x:c r="R21" s="66" t="n">
        <x:v>37</x:v>
      </x:c>
      <x:c r="S21" s="66"/>
      <x:c r="T21" s="66" t="str">
        <x:v>SXT730</x:v>
      </x:c>
      <x:c r="U21" s="66" t="str">
        <x:v>世宽若水尘心3号</x:v>
      </x:c>
      <x:c r="V21" s="66" t="str">
        <x:v>2025-03</x:v>
      </x:c>
      <x:c r="W21" s="72" t="n">
        <x:v>45716</x:v>
      </x:c>
      <x:c r="X21" s="72" t="n">
        <x:v>45747</x:v>
      </x:c>
      <x:c r="Y21" s="72" t="n">
        <x:f>'净值原始'!C135</x:f>
        <x:v>45716</x:v>
      </x:c>
      <x:c r="Z21" s="72" t="n">
        <x:f>'净值原始'!C140</x:f>
        <x:v>45747</x:v>
      </x:c>
      <x:c r="AA21" s="73" t="n">
        <x:f>'净值原始'!F135</x:f>
        <x:v>1.2447</x:v>
      </x:c>
      <x:c r="AB21" s="73" t="n">
        <x:f>'净值原始'!F140</x:f>
        <x:v>1.2486</x:v>
      </x:c>
      <x:c r="AC21" s="66" t="n">
        <x:f>IF(OR(Y21="",Z21="",Z21&lt;=Y21,W21-Y21&gt;'sheet1-指标体系'!$J$24,X21-Z21&gt;'sheet1-指标体系'!$J$24),0,1)</x:f>
        <x:v>1</x:v>
      </x:c>
      <x:c r="AD21" s="74" t="n">
        <x:f>IF(AC21=0,"",AB21/AA21-1)</x:f>
        <x:v>0.003133285128946728</x:v>
      </x:c>
      <x:c r="AE21" s="66" t="n">
        <x:f>IF(AC21=0,"",IF(AD21&gt;0,1,0))</x:f>
        <x:v>1</x:v>
      </x:c>
    </x:row>
    <x:row r="22" ht="27" customHeight="1">
      <x:c r="A22" s="66" t="str">
        <x:v>SNH457</x:v>
      </x:c>
      <x:c r="B22" s="66" t="str">
        <x:v>量客投资金选套利1号</x:v>
      </x:c>
      <x:c r="C22" s="66" t="str">
        <x:v>incep</x:v>
      </x:c>
      <x:c r="D22" s="72" t="n">
        <x:v>44196</x:v>
      </x:c>
      <x:c r="E22" s="72" t="n">
        <x:v>46269</x:v>
      </x:c>
      <x:c r="F22" s="72" t="n">
        <x:f>'净值原始'!C3778</x:f>
        <x:v>44196</x:v>
      </x:c>
      <x:c r="G22" s="72" t="n">
        <x:f>'净值原始'!C4068</x:f>
        <x:v>46269</x:v>
      </x:c>
      <x:c r="H22" s="66" t="n">
        <x:f>IF(OR(F22="",G22=""),"",G22-F22)</x:f>
        <x:v>2073</x:v>
      </x:c>
      <x:c r="I22" s="66" t="n">
        <x:f>IF(OR(F22="",F22&lt;&gt;D22,G22="",H22&lt;'sheet1-指标体系'!$J$25),0,1)</x:f>
        <x:v>1</x:v>
      </x:c>
      <x:c r="J22" s="73" t="n">
        <x:f>'净值原始'!F3778</x:f>
        <x:v>1.0001</x:v>
      </x:c>
      <x:c r="K22" s="73" t="n">
        <x:f>'净值原始'!F4068</x:f>
        <x:v>1.985</x:v>
      </x:c>
      <x:c r="L22" s="74" t="n">
        <x:f>IF(I22=0,"",(K22/J22)^('sheet1-指标体系'!$J$25/H22)-1)</x:f>
        <x:v>0.12828817477818122</x:v>
      </x:c>
      <x:c r="M22" s="74" t="n">
        <x:f>IF(I22=0,"",MAX('净值原始'!N3778:N4068))</x:f>
        <x:v>0.00524856407209362</x:v>
      </x:c>
      <x:c r="N22" s="75" t="n">
        <x:f>IF(OR(I22=0,M22=0),"",L22/M22)</x:f>
        <x:v>24.44252809264227</x:v>
      </x:c>
      <x:c r="O22" s="74" t="str">
        <x:f>""</x:f>
      </x:c>
      <x:c r="P22" s="66" t="str">
        <x:v>可计算</x:v>
      </x:c>
      <x:c r="Q22" s="66" t="str">
        <x:v>量客投资金选套利1号净值20260911.xlsx</x:v>
      </x:c>
      <x:c r="R22" s="66"/>
      <x:c r="S22" s="66"/>
      <x:c r="T22" s="66" t="str">
        <x:v>SXT730</x:v>
      </x:c>
      <x:c r="U22" s="66" t="str">
        <x:v>世宽若水尘心3号</x:v>
      </x:c>
      <x:c r="V22" s="66" t="str">
        <x:v>2025-04</x:v>
      </x:c>
      <x:c r="W22" s="72" t="n">
        <x:v>45747</x:v>
      </x:c>
      <x:c r="X22" s="72" t="n">
        <x:v>45777</x:v>
      </x:c>
      <x:c r="Y22" s="72" t="n">
        <x:f>'净值原始'!C140</x:f>
        <x:v>45747</x:v>
      </x:c>
      <x:c r="Z22" s="72" t="n">
        <x:f>'净值原始'!C145</x:f>
        <x:v>45777</x:v>
      </x:c>
      <x:c r="AA22" s="73" t="n">
        <x:f>'净值原始'!F140</x:f>
        <x:v>1.2486</x:v>
      </x:c>
      <x:c r="AB22" s="73" t="n">
        <x:f>'净值原始'!F145</x:f>
        <x:v>1.2463</x:v>
      </x:c>
      <x:c r="AC22" s="66" t="n">
        <x:f>IF(OR(Y22="",Z22="",Z22&lt;=Y22,W22-Y22&gt;'sheet1-指标体系'!$J$24,X22-Z22&gt;'sheet1-指标体系'!$J$24),0,1)</x:f>
        <x:v>1</x:v>
      </x:c>
      <x:c r="AD22" s="74" t="n">
        <x:f>IF(AC22=0,"",AB22/AA22-1)</x:f>
        <x:v>-0.0018420631106839114</x:v>
      </x:c>
      <x:c r="AE22" s="66" t="n">
        <x:f>IF(AC22=0,"",IF(AD22&gt;0,1,0))</x:f>
        <x:v>0</x:v>
      </x:c>
    </x:row>
    <x:row r="23" ht="27" customHeight="1">
      <x:c r="A23" s="66" t="str">
        <x:v>SQN453</x:v>
      </x:c>
      <x:c r="B23" s="66" t="str">
        <x:v>钧誉厚德量化对冲11号</x:v>
      </x:c>
      <x:c r="C23" s="66" t="str">
        <x:v>1y</x:v>
      </x:c>
      <x:c r="D23" s="72" t="n">
        <x:v>45900</x:v>
      </x:c>
      <x:c r="E23" s="72" t="n">
        <x:v>46265</x:v>
      </x:c>
      <x:c r="F23" s="72" t="n">
        <x:f>'净值原始'!C4937</x:f>
        <x:v>45898</x:v>
      </x:c>
      <x:c r="G23" s="72" t="n">
        <x:f>'净值原始'!C5001</x:f>
        <x:v>46265</x:v>
      </x:c>
      <x:c r="H23" s="66" t="n">
        <x:f>IF(OR(F23="",G23=""),"",G23-F23)</x:f>
        <x:v>367</x:v>
      </x:c>
      <x:c r="I23" s="66" t="n">
        <x:f>IF(OR(F23="",G23="",H23&lt;=0,D23-F23&gt;'sheet1-指标体系'!$J$24,E23-G23&gt;'sheet1-指标体系'!$J$24),0,1)</x:f>
        <x:v>1</x:v>
      </x:c>
      <x:c r="J23" s="73" t="n">
        <x:f>'净值原始'!F4937</x:f>
        <x:v>1.4244</x:v>
      </x:c>
      <x:c r="K23" s="73" t="n">
        <x:f>'净值原始'!F5001</x:f>
        <x:v>1.5806</x:v>
      </x:c>
      <x:c r="L23" s="74" t="n">
        <x:f>IF(I23=0,"",(K23/J23)^('sheet1-指标体系'!$J$25/H23)-1)</x:f>
        <x:v>0.10903115230164317</x:v>
      </x:c>
      <x:c r="M23" s="74" t="n">
        <x:f>IF(I23=0,"",MAX('净值原始'!J4937:J5001))</x:f>
        <x:v>0.00826733361122689</x:v>
      </x:c>
      <x:c r="N23" s="75" t="n">
        <x:f>IF(OR(I23=0,M23=0),"",L23/M23)</x:f>
        <x:v>13.18818828764583</x:v>
      </x:c>
      <x:c r="O23" s="74" t="n">
        <x:f>IF(COUNT('补数计算'!AE285:AE297)=13,AVERAGE('补数计算'!AE285:AE297),"")</x:f>
        <x:v>1</x:v>
      </x:c>
      <x:c r="P23" s="66" t="str">
        <x:v>可计算</x:v>
      </x:c>
      <x:c r="Q23" s="66" t="str">
        <x:v>钧誉厚德量化对冲11号净值20260911.xlsx</x:v>
      </x:c>
      <x:c r="R23" s="66" t="n">
        <x:v>13</x:v>
      </x:c>
      <x:c r="S23" s="66"/>
      <x:c r="T23" s="66" t="str">
        <x:v>SXT730</x:v>
      </x:c>
      <x:c r="U23" s="66" t="str">
        <x:v>世宽若水尘心3号</x:v>
      </x:c>
      <x:c r="V23" s="66" t="str">
        <x:v>2025-05</x:v>
      </x:c>
      <x:c r="W23" s="72" t="n">
        <x:v>45777</x:v>
      </x:c>
      <x:c r="X23" s="72" t="n">
        <x:v>45808</x:v>
      </x:c>
      <x:c r="Y23" s="72" t="n">
        <x:f>'净值原始'!C145</x:f>
        <x:v>45777</x:v>
      </x:c>
      <x:c r="Z23" s="72" t="n">
        <x:f>'净值原始'!C149</x:f>
        <x:v>45807</x:v>
      </x:c>
      <x:c r="AA23" s="73" t="n">
        <x:f>'净值原始'!F145</x:f>
        <x:v>1.2463</x:v>
      </x:c>
      <x:c r="AB23" s="73" t="n">
        <x:f>'净值原始'!F149</x:f>
        <x:v>1.2432</x:v>
      </x:c>
      <x:c r="AC23" s="66" t="n">
        <x:f>IF(OR(Y23="",Z23="",Z23&lt;=Y23,W23-Y23&gt;'sheet1-指标体系'!$J$24,X23-Z23&gt;'sheet1-指标体系'!$J$24),0,1)</x:f>
        <x:v>1</x:v>
      </x:c>
      <x:c r="AD23" s="74" t="n">
        <x:f>IF(AC23=0,"",AB23/AA23-1)</x:f>
        <x:v>-0.002487362593275977</x:v>
      </x:c>
      <x:c r="AE23" s="66" t="n">
        <x:f>IF(AC23=0,"",IF(AD23&gt;0,1,0))</x:f>
        <x:v>0</x:v>
      </x:c>
    </x:row>
    <x:row r="24" ht="27" customHeight="1">
      <x:c r="A24" s="66" t="str">
        <x:v>SQN453</x:v>
      </x:c>
      <x:c r="B24" s="66" t="str">
        <x:v>钧誉厚德量化对冲11号</x:v>
      </x:c>
      <x:c r="C24" s="66" t="str">
        <x:v>3y</x:v>
      </x:c>
      <x:c r="D24" s="72" t="n">
        <x:v>45169</x:v>
      </x:c>
      <x:c r="E24" s="72" t="n">
        <x:v>46265</x:v>
      </x:c>
      <x:c r="F24" s="72" t="n">
        <x:f>'净值原始'!C4635</x:f>
        <x:v>45169</x:v>
      </x:c>
      <x:c r="G24" s="72" t="n">
        <x:f>'净值原始'!C5001</x:f>
        <x:v>46265</x:v>
      </x:c>
      <x:c r="H24" s="66" t="n">
        <x:f>IF(OR(F24="",G24=""),"",G24-F24)</x:f>
        <x:v>1096</x:v>
      </x:c>
      <x:c r="I24" s="66" t="n">
        <x:f>IF(OR(F24="",G24="",H24&lt;=0,D24-F24&gt;'sheet1-指标体系'!$J$24,E24-G24&gt;'sheet1-指标体系'!$J$24),0,1)</x:f>
        <x:v>1</x:v>
      </x:c>
      <x:c r="J24" s="73" t="n">
        <x:f>'净值原始'!F4635</x:f>
        <x:v>1.2534</x:v>
      </x:c>
      <x:c r="K24" s="73" t="n">
        <x:f>'净值原始'!F5001</x:f>
        <x:v>1.5806</x:v>
      </x:c>
      <x:c r="L24" s="74" t="n">
        <x:f>IF(I24=0,"",(K24/J24)^('sheet1-指标体系'!$J$25/H24)-1)</x:f>
        <x:v>0.08030601138775961</x:v>
      </x:c>
      <x:c r="M24" s="74" t="n">
        <x:f>IF(I24=0,"",MAX('净值原始'!L4635:L5001))</x:f>
        <x:v>0.00826733361122689</x:v>
      </x:c>
      <x:c r="N24" s="75" t="n">
        <x:f>IF(OR(I24=0,M24=0),"",L24/M24)</x:f>
        <x:v>9.713653175759775</x:v>
      </x:c>
      <x:c r="O24" s="74" t="n">
        <x:f>IF(COUNT('补数计算'!AE261:AE297)=37,AVERAGE('补数计算'!AE261:AE297),"")</x:f>
        <x:v>0.972972972972973</x:v>
      </x:c>
      <x:c r="P24" s="66" t="str">
        <x:v>可计算</x:v>
      </x:c>
      <x:c r="Q24" s="66" t="str">
        <x:v>钧誉厚德量化对冲11号净值20260911.xlsx</x:v>
      </x:c>
      <x:c r="R24" s="66" t="n">
        <x:v>37</x:v>
      </x:c>
      <x:c r="S24" s="66"/>
      <x:c r="T24" s="66" t="str">
        <x:v>SXT730</x:v>
      </x:c>
      <x:c r="U24" s="66" t="str">
        <x:v>世宽若水尘心3号</x:v>
      </x:c>
      <x:c r="V24" s="66" t="str">
        <x:v>2025-06</x:v>
      </x:c>
      <x:c r="W24" s="72" t="n">
        <x:v>45808</x:v>
      </x:c>
      <x:c r="X24" s="72" t="n">
        <x:v>45838</x:v>
      </x:c>
      <x:c r="Y24" s="72" t="n">
        <x:f>'净值原始'!C149</x:f>
        <x:v>45807</x:v>
      </x:c>
      <x:c r="Z24" s="72" t="n">
        <x:f>'净值原始'!C154</x:f>
        <x:v>45838</x:v>
      </x:c>
      <x:c r="AA24" s="73" t="n">
        <x:f>'净值原始'!F149</x:f>
        <x:v>1.2432</x:v>
      </x:c>
      <x:c r="AB24" s="73" t="n">
        <x:f>'净值原始'!F154</x:f>
        <x:v>1.2494</x:v>
      </x:c>
      <x:c r="AC24" s="66" t="n">
        <x:f>IF(OR(Y24="",Z24="",Z24&lt;=Y24,W24-Y24&gt;'sheet1-指标体系'!$J$24,X24-Z24&gt;'sheet1-指标体系'!$J$24),0,1)</x:f>
        <x:v>1</x:v>
      </x:c>
      <x:c r="AD24" s="74" t="n">
        <x:f>IF(AC24=0,"",AB24/AA24-1)</x:f>
        <x:v>0.004987129987130023</x:v>
      </x:c>
      <x:c r="AE24" s="66" t="n">
        <x:f>IF(AC24=0,"",IF(AD24&gt;0,1,0))</x:f>
        <x:v>1</x:v>
      </x:c>
    </x:row>
    <x:row r="25" ht="27" customHeight="1">
      <x:c r="A25" s="66" t="str">
        <x:v>SQN453</x:v>
      </x:c>
      <x:c r="B25" s="66" t="str">
        <x:v>钧誉厚德量化对冲11号</x:v>
      </x:c>
      <x:c r="C25" s="66" t="str">
        <x:v>incep</x:v>
      </x:c>
      <x:c r="D25" s="72" t="n">
        <x:v>44323</x:v>
      </x:c>
      <x:c r="E25" s="72" t="n">
        <x:v>46265</x:v>
      </x:c>
      <x:c r="F25" s="72" t="n">
        <x:f>'净值原始'!C4069</x:f>
        <x:v>44323</x:v>
      </x:c>
      <x:c r="G25" s="72" t="n">
        <x:f>'净值原始'!C5001</x:f>
        <x:v>46265</x:v>
      </x:c>
      <x:c r="H25" s="66" t="n">
        <x:f>IF(OR(F25="",G25=""),"",G25-F25)</x:f>
        <x:v>1942</x:v>
      </x:c>
      <x:c r="I25" s="66" t="n">
        <x:f>IF(OR(F25="",F25&lt;&gt;D25,G25="",H25&lt;'sheet1-指标体系'!$J$25),0,1)</x:f>
        <x:v>1</x:v>
      </x:c>
      <x:c r="J25" s="73" t="n">
        <x:f>'净值原始'!F4069</x:f>
        <x:v>1</x:v>
      </x:c>
      <x:c r="K25" s="73" t="n">
        <x:f>'净值原始'!F5001</x:f>
        <x:v>1.5806</x:v>
      </x:c>
      <x:c r="L25" s="74" t="n">
        <x:f>IF(I25=0,"",(K25/J25)^('sheet1-指标体系'!$J$25/H25)-1)</x:f>
        <x:v>0.08985495565769552</x:v>
      </x:c>
      <x:c r="M25" s="74" t="n">
        <x:f>IF(I25=0,"",MAX('净值原始'!N4069:N5001))</x:f>
        <x:v>0.00826733361122689</x:v>
      </x:c>
      <x:c r="N25" s="75" t="n">
        <x:f>IF(OR(I25=0,M25=0),"",L25/M25)</x:f>
        <x:v>10.868674216276226</x:v>
      </x:c>
      <x:c r="O25" s="74" t="str">
        <x:f>""</x:f>
      </x:c>
      <x:c r="P25" s="66" t="str">
        <x:v>可计算</x:v>
      </x:c>
      <x:c r="Q25" s="66" t="str">
        <x:v>钧誉厚德量化对冲11号净值20260911.xlsx</x:v>
      </x:c>
      <x:c r="R25" s="66"/>
      <x:c r="S25" s="66"/>
      <x:c r="T25" s="66" t="str">
        <x:v>SXT730</x:v>
      </x:c>
      <x:c r="U25" s="66" t="str">
        <x:v>世宽若水尘心3号</x:v>
      </x:c>
      <x:c r="V25" s="66" t="str">
        <x:v>2025-07</x:v>
      </x:c>
      <x:c r="W25" s="72" t="n">
        <x:v>45838</x:v>
      </x:c>
      <x:c r="X25" s="72" t="n">
        <x:v>45869</x:v>
      </x:c>
      <x:c r="Y25" s="72" t="n">
        <x:f>'净值原始'!C154</x:f>
        <x:v>45838</x:v>
      </x:c>
      <x:c r="Z25" s="72" t="n">
        <x:f>'净值原始'!C159</x:f>
        <x:v>45869</x:v>
      </x:c>
      <x:c r="AA25" s="73" t="n">
        <x:f>'净值原始'!F154</x:f>
        <x:v>1.2494</x:v>
      </x:c>
      <x:c r="AB25" s="73" t="n">
        <x:f>'净值原始'!F159</x:f>
        <x:v>1.2443</x:v>
      </x:c>
      <x:c r="AC25" s="66" t="n">
        <x:f>IF(OR(Y25="",Z25="",Z25&lt;=Y25,W25-Y25&gt;'sheet1-指标体系'!$J$24,X25-Z25&gt;'sheet1-指标体系'!$J$24),0,1)</x:f>
        <x:v>1</x:v>
      </x:c>
      <x:c r="AD25" s="74" t="n">
        <x:f>IF(AC25=0,"",AB25/AA25-1)</x:f>
        <x:v>-0.004081959340483499</x:v>
      </x:c>
      <x:c r="AE25" s="66" t="n">
        <x:f>IF(AC25=0,"",IF(AD25&gt;0,1,0))</x:f>
        <x:v>0</x:v>
      </x:c>
    </x:row>
    <x:row r="26" ht="27" customHeight="1">
      <x:c r="A26" s="66"/>
      <x:c r="B26" s="66"/>
      <x:c r="C26" s="66"/>
      <x:c r="D26" s="72"/>
      <x:c r="E26" s="72"/>
      <x:c r="F26" s="72"/>
      <x:c r="G26" s="72"/>
      <x:c r="H26" s="66"/>
      <x:c r="I26" s="66"/>
      <x:c r="J26" s="73"/>
      <x:c r="K26" s="73"/>
      <x:c r="L26" s="74"/>
      <x:c r="M26" s="74"/>
      <x:c r="N26" s="75"/>
      <x:c r="O26" s="74"/>
      <x:c r="P26" s="66"/>
      <x:c r="Q26" s="66"/>
      <x:c r="R26" s="66"/>
      <x:c r="S26" s="66"/>
      <x:c r="T26" s="66" t="str">
        <x:v>SXT730</x:v>
      </x:c>
      <x:c r="U26" s="66" t="str">
        <x:v>世宽若水尘心3号</x:v>
      </x:c>
      <x:c r="V26" s="66" t="str">
        <x:v>2025-08</x:v>
      </x:c>
      <x:c r="W26" s="72" t="n">
        <x:v>45869</x:v>
      </x:c>
      <x:c r="X26" s="72" t="n">
        <x:v>45900</x:v>
      </x:c>
      <x:c r="Y26" s="72" t="n">
        <x:f>'净值原始'!C159</x:f>
        <x:v>45869</x:v>
      </x:c>
      <x:c r="Z26" s="72" t="n">
        <x:f>'净值原始'!C164</x:f>
        <x:v>45898</x:v>
      </x:c>
      <x:c r="AA26" s="73" t="n">
        <x:f>'净值原始'!F159</x:f>
        <x:v>1.2443</x:v>
      </x:c>
      <x:c r="AB26" s="73" t="n">
        <x:f>'净值原始'!F164</x:f>
        <x:v>1.2721</x:v>
      </x:c>
      <x:c r="AC26" s="66" t="n">
        <x:f>IF(OR(Y26="",Z26="",Z26&lt;=Y26,W26-Y26&gt;'sheet1-指标体系'!$J$24,X26-Z26&gt;'sheet1-指标体系'!$J$24),0,1)</x:f>
        <x:v>1</x:v>
      </x:c>
      <x:c r="AD26" s="74" t="n">
        <x:f>IF(AC26=0,"",AB26/AA26-1)</x:f>
        <x:v>0.022341878968094475</x:v>
      </x:c>
      <x:c r="AE26" s="66" t="n">
        <x:f>IF(AC26=0,"",IF(AD26&gt;0,1,0))</x:f>
        <x:v>1</x:v>
      </x:c>
    </x:row>
    <x:row r="27" ht="27" customHeight="1">
      <x:c r="A27" s="66"/>
      <x:c r="B27" s="66"/>
      <x:c r="C27" s="66"/>
      <x:c r="D27" s="72"/>
      <x:c r="E27" s="72"/>
      <x:c r="F27" s="72"/>
      <x:c r="G27" s="72"/>
      <x:c r="H27" s="66"/>
      <x:c r="I27" s="66"/>
      <x:c r="J27" s="73"/>
      <x:c r="K27" s="73"/>
      <x:c r="L27" s="74"/>
      <x:c r="M27" s="74"/>
      <x:c r="N27" s="75"/>
      <x:c r="O27" s="74"/>
      <x:c r="P27" s="66"/>
      <x:c r="Q27" s="66"/>
      <x:c r="R27" s="66"/>
      <x:c r="S27" s="66"/>
      <x:c r="T27" s="66" t="str">
        <x:v>SXT730</x:v>
      </x:c>
      <x:c r="U27" s="66" t="str">
        <x:v>世宽若水尘心3号</x:v>
      </x:c>
      <x:c r="V27" s="66" t="str">
        <x:v>2025-09</x:v>
      </x:c>
      <x:c r="W27" s="72" t="n">
        <x:v>45900</x:v>
      </x:c>
      <x:c r="X27" s="72" t="n">
        <x:v>45930</x:v>
      </x:c>
      <x:c r="Y27" s="72" t="n">
        <x:f>'净值原始'!C164</x:f>
        <x:v>45898</x:v>
      </x:c>
      <x:c r="Z27" s="72" t="n">
        <x:f>'净值原始'!C169</x:f>
        <x:v>45930</x:v>
      </x:c>
      <x:c r="AA27" s="73" t="n">
        <x:f>'净值原始'!F164</x:f>
        <x:v>1.2721</x:v>
      </x:c>
      <x:c r="AB27" s="73" t="n">
        <x:f>'净值原始'!F169</x:f>
        <x:v>1.3131</x:v>
      </x:c>
      <x:c r="AC27" s="66" t="n">
        <x:f>IF(OR(Y27="",Z27="",Z27&lt;=Y27,W27-Y27&gt;'sheet1-指标体系'!$J$24,X27-Z27&gt;'sheet1-指标体系'!$J$24),0,1)</x:f>
        <x:v>1</x:v>
      </x:c>
      <x:c r="AD27" s="74" t="n">
        <x:f>IF(AC27=0,"",AB27/AA27-1)</x:f>
        <x:v>0.032230170584073514</x:v>
      </x:c>
      <x:c r="AE27" s="66" t="n">
        <x:f>IF(AC27=0,"",IF(AD27&gt;0,1,0))</x:f>
        <x:v>1</x:v>
      </x:c>
    </x:row>
    <x:row r="28" ht="27" customHeight="1">
      <x:c r="A28" s="66"/>
      <x:c r="B28" s="66"/>
      <x:c r="C28" s="66"/>
      <x:c r="D28" s="72"/>
      <x:c r="E28" s="72"/>
      <x:c r="F28" s="72"/>
      <x:c r="G28" s="72"/>
      <x:c r="H28" s="66"/>
      <x:c r="I28" s="66"/>
      <x:c r="J28" s="73"/>
      <x:c r="K28" s="73"/>
      <x:c r="L28" s="74"/>
      <x:c r="M28" s="74"/>
      <x:c r="N28" s="75"/>
      <x:c r="O28" s="74"/>
      <x:c r="P28" s="66"/>
      <x:c r="Q28" s="66"/>
      <x:c r="R28" s="66"/>
      <x:c r="S28" s="66"/>
      <x:c r="T28" s="66" t="str">
        <x:v>SXT730</x:v>
      </x:c>
      <x:c r="U28" s="66" t="str">
        <x:v>世宽若水尘心3号</x:v>
      </x:c>
      <x:c r="V28" s="66" t="str">
        <x:v>2025-10</x:v>
      </x:c>
      <x:c r="W28" s="72" t="n">
        <x:v>45930</x:v>
      </x:c>
      <x:c r="X28" s="72" t="n">
        <x:v>45961</x:v>
      </x:c>
      <x:c r="Y28" s="72" t="n">
        <x:f>'净值原始'!C169</x:f>
        <x:v>45930</x:v>
      </x:c>
      <x:c r="Z28" s="72" t="n">
        <x:f>'净值原始'!C173</x:f>
        <x:v>45961</x:v>
      </x:c>
      <x:c r="AA28" s="73" t="n">
        <x:f>'净值原始'!F169</x:f>
        <x:v>1.3131</x:v>
      </x:c>
      <x:c r="AB28" s="73" t="n">
        <x:f>'净值原始'!F173</x:f>
        <x:v>1.3392</x:v>
      </x:c>
      <x:c r="AC28" s="66" t="n">
        <x:f>IF(OR(Y28="",Z28="",Z28&lt;=Y28,W28-Y28&gt;'sheet1-指标体系'!$J$24,X28-Z28&gt;'sheet1-指标体系'!$J$24),0,1)</x:f>
        <x:v>1</x:v>
      </x:c>
      <x:c r="AD28" s="74" t="n">
        <x:f>IF(AC28=0,"",AB28/AA28-1)</x:f>
        <x:v>0.01987662782727906</x:v>
      </x:c>
      <x:c r="AE28" s="66" t="n">
        <x:f>IF(AC28=0,"",IF(AD28&gt;0,1,0))</x:f>
        <x:v>1</x:v>
      </x:c>
    </x:row>
    <x:row r="29" ht="27" customHeight="1">
      <x:c r="A29" s="66"/>
      <x:c r="B29" s="66"/>
      <x:c r="C29" s="66"/>
      <x:c r="D29" s="72"/>
      <x:c r="E29" s="72"/>
      <x:c r="F29" s="72"/>
      <x:c r="G29" s="72"/>
      <x:c r="H29" s="66"/>
      <x:c r="I29" s="66"/>
      <x:c r="J29" s="73"/>
      <x:c r="K29" s="73"/>
      <x:c r="L29" s="74"/>
      <x:c r="M29" s="74"/>
      <x:c r="N29" s="75"/>
      <x:c r="O29" s="74"/>
      <x:c r="P29" s="66"/>
      <x:c r="Q29" s="66"/>
      <x:c r="R29" s="66"/>
      <x:c r="S29" s="66"/>
      <x:c r="T29" s="66" t="str">
        <x:v>SXT730</x:v>
      </x:c>
      <x:c r="U29" s="66" t="str">
        <x:v>世宽若水尘心3号</x:v>
      </x:c>
      <x:c r="V29" s="66" t="str">
        <x:v>2025-11</x:v>
      </x:c>
      <x:c r="W29" s="72" t="n">
        <x:v>45961</x:v>
      </x:c>
      <x:c r="X29" s="72" t="n">
        <x:v>45991</x:v>
      </x:c>
      <x:c r="Y29" s="72" t="n">
        <x:f>'净值原始'!C173</x:f>
        <x:v>45961</x:v>
      </x:c>
      <x:c r="Z29" s="72" t="n">
        <x:f>'净值原始'!C177</x:f>
        <x:v>45989</x:v>
      </x:c>
      <x:c r="AA29" s="73" t="n">
        <x:f>'净值原始'!F173</x:f>
        <x:v>1.3392</x:v>
      </x:c>
      <x:c r="AB29" s="73" t="n">
        <x:f>'净值原始'!F177</x:f>
        <x:v>1.3652</x:v>
      </x:c>
      <x:c r="AC29" s="66" t="n">
        <x:f>IF(OR(Y29="",Z29="",Z29&lt;=Y29,W29-Y29&gt;'sheet1-指标体系'!$J$24,X29-Z29&gt;'sheet1-指标体系'!$J$24),0,1)</x:f>
        <x:v>1</x:v>
      </x:c>
      <x:c r="AD29" s="74" t="n">
        <x:f>IF(AC29=0,"",AB29/AA29-1)</x:f>
        <x:v>0.019414575866188777</x:v>
      </x:c>
      <x:c r="AE29" s="66" t="n">
        <x:f>IF(AC29=0,"",IF(AD29&gt;0,1,0))</x:f>
        <x:v>1</x:v>
      </x:c>
    </x:row>
    <x:row r="30" ht="27" customHeight="1">
      <x:c r="A30" s="66"/>
      <x:c r="B30" s="66"/>
      <x:c r="C30" s="66"/>
      <x:c r="D30" s="72"/>
      <x:c r="E30" s="72"/>
      <x:c r="F30" s="72"/>
      <x:c r="G30" s="72"/>
      <x:c r="H30" s="66"/>
      <x:c r="I30" s="66"/>
      <x:c r="J30" s="73"/>
      <x:c r="K30" s="73"/>
      <x:c r="L30" s="74"/>
      <x:c r="M30" s="74"/>
      <x:c r="N30" s="75"/>
      <x:c r="O30" s="74"/>
      <x:c r="P30" s="66"/>
      <x:c r="Q30" s="66"/>
      <x:c r="R30" s="66"/>
      <x:c r="S30" s="66"/>
      <x:c r="T30" s="66" t="str">
        <x:v>SXT730</x:v>
      </x:c>
      <x:c r="U30" s="66" t="str">
        <x:v>世宽若水尘心3号</x:v>
      </x:c>
      <x:c r="V30" s="66" t="str">
        <x:v>2025-12</x:v>
      </x:c>
      <x:c r="W30" s="72" t="n">
        <x:v>45991</x:v>
      </x:c>
      <x:c r="X30" s="72" t="n">
        <x:v>46022</x:v>
      </x:c>
      <x:c r="Y30" s="72" t="n">
        <x:f>'净值原始'!C177</x:f>
        <x:v>45989</x:v>
      </x:c>
      <x:c r="Z30" s="72" t="n">
        <x:f>'净值原始'!C182</x:f>
        <x:v>46022</x:v>
      </x:c>
      <x:c r="AA30" s="73" t="n">
        <x:f>'净值原始'!F177</x:f>
        <x:v>1.3652</x:v>
      </x:c>
      <x:c r="AB30" s="73" t="n">
        <x:f>'净值原始'!F182</x:f>
        <x:v>1.3845</x:v>
      </x:c>
      <x:c r="AC30" s="66" t="n">
        <x:f>IF(OR(Y30="",Z30="",Z30&lt;=Y30,W30-Y30&gt;'sheet1-指标体系'!$J$24,X30-Z30&gt;'sheet1-指标体系'!$J$24),0,1)</x:f>
        <x:v>1</x:v>
      </x:c>
      <x:c r="AD30" s="74" t="n">
        <x:f>IF(AC30=0,"",AB30/AA30-1)</x:f>
        <x:v>0.014137122765895072</x:v>
      </x:c>
      <x:c r="AE30" s="66" t="n">
        <x:f>IF(AC30=0,"",IF(AD30&gt;0,1,0))</x:f>
        <x:v>1</x:v>
      </x:c>
    </x:row>
    <x:row r="31" ht="27" customHeight="1">
      <x:c r="A31" s="66"/>
      <x:c r="B31" s="66"/>
      <x:c r="C31" s="66"/>
      <x:c r="D31" s="72"/>
      <x:c r="E31" s="72"/>
      <x:c r="F31" s="72"/>
      <x:c r="G31" s="72"/>
      <x:c r="H31" s="66"/>
      <x:c r="I31" s="66"/>
      <x:c r="J31" s="73"/>
      <x:c r="K31" s="73"/>
      <x:c r="L31" s="74"/>
      <x:c r="M31" s="74"/>
      <x:c r="N31" s="75"/>
      <x:c r="O31" s="74"/>
      <x:c r="P31" s="66"/>
      <x:c r="Q31" s="66"/>
      <x:c r="R31" s="66"/>
      <x:c r="S31" s="66"/>
      <x:c r="T31" s="66" t="str">
        <x:v>SXT730</x:v>
      </x:c>
      <x:c r="U31" s="66" t="str">
        <x:v>世宽若水尘心3号</x:v>
      </x:c>
      <x:c r="V31" s="66" t="str">
        <x:v>2026-01</x:v>
      </x:c>
      <x:c r="W31" s="72" t="n">
        <x:v>46022</x:v>
      </x:c>
      <x:c r="X31" s="72" t="n">
        <x:v>46053</x:v>
      </x:c>
      <x:c r="Y31" s="72" t="n">
        <x:f>'净值原始'!C182</x:f>
        <x:v>46022</x:v>
      </x:c>
      <x:c r="Z31" s="72" t="n">
        <x:f>'净值原始'!C186</x:f>
        <x:v>46052</x:v>
      </x:c>
      <x:c r="AA31" s="73" t="n">
        <x:f>'净值原始'!F182</x:f>
        <x:v>1.3845</x:v>
      </x:c>
      <x:c r="AB31" s="73" t="n">
        <x:f>'净值原始'!F186</x:f>
        <x:v>1.4221</x:v>
      </x:c>
      <x:c r="AC31" s="66" t="n">
        <x:f>IF(OR(Y31="",Z31="",Z31&lt;=Y31,W31-Y31&gt;'sheet1-指标体系'!$J$24,X31-Z31&gt;'sheet1-指标体系'!$J$24),0,1)</x:f>
        <x:v>1</x:v>
      </x:c>
      <x:c r="AD31" s="74" t="n">
        <x:f>IF(AC31=0,"",AB31/AA31-1)</x:f>
        <x:v>0.027157818707114423</x:v>
      </x:c>
      <x:c r="AE31" s="66" t="n">
        <x:f>IF(AC31=0,"",IF(AD31&gt;0,1,0))</x:f>
        <x:v>1</x:v>
      </x:c>
    </x:row>
    <x:row r="32" ht="27" customHeight="1">
      <x:c r="A32" s="66"/>
      <x:c r="B32" s="66"/>
      <x:c r="C32" s="66"/>
      <x:c r="D32" s="72"/>
      <x:c r="E32" s="72"/>
      <x:c r="F32" s="72"/>
      <x:c r="G32" s="72"/>
      <x:c r="H32" s="66"/>
      <x:c r="I32" s="66"/>
      <x:c r="J32" s="73"/>
      <x:c r="K32" s="73"/>
      <x:c r="L32" s="74"/>
      <x:c r="M32" s="74"/>
      <x:c r="N32" s="75"/>
      <x:c r="O32" s="74"/>
      <x:c r="P32" s="66"/>
      <x:c r="Q32" s="66"/>
      <x:c r="R32" s="66"/>
      <x:c r="S32" s="66"/>
      <x:c r="T32" s="66" t="str">
        <x:v>SXT730</x:v>
      </x:c>
      <x:c r="U32" s="66" t="str">
        <x:v>世宽若水尘心3号</x:v>
      </x:c>
      <x:c r="V32" s="66" t="str">
        <x:v>2026-02</x:v>
      </x:c>
      <x:c r="W32" s="72" t="n">
        <x:v>46053</x:v>
      </x:c>
      <x:c r="X32" s="72" t="n">
        <x:v>46081</x:v>
      </x:c>
      <x:c r="Y32" s="72" t="n">
        <x:f>'净值原始'!C186</x:f>
        <x:v>46052</x:v>
      </x:c>
      <x:c r="Z32" s="72" t="n">
        <x:f>'净值原始'!C189</x:f>
        <x:v>46080</x:v>
      </x:c>
      <x:c r="AA32" s="73" t="n">
        <x:f>'净值原始'!F186</x:f>
        <x:v>1.4221</x:v>
      </x:c>
      <x:c r="AB32" s="73" t="n">
        <x:f>'净值原始'!F189</x:f>
        <x:v>1.4331</x:v>
      </x:c>
      <x:c r="AC32" s="66" t="n">
        <x:f>IF(OR(Y32="",Z32="",Z32&lt;=Y32,W32-Y32&gt;'sheet1-指标体系'!$J$24,X32-Z32&gt;'sheet1-指标体系'!$J$24),0,1)</x:f>
        <x:v>1</x:v>
      </x:c>
      <x:c r="AD32" s="74" t="n">
        <x:f>IF(AC32=0,"",AB32/AA32-1)</x:f>
        <x:v>0.007735039729976911</x:v>
      </x:c>
      <x:c r="AE32" s="66" t="n">
        <x:f>IF(AC32=0,"",IF(AD32&gt;0,1,0))</x:f>
        <x:v>1</x:v>
      </x:c>
    </x:row>
    <x:row r="33" ht="27" customHeight="1">
      <x:c r="A33" s="66"/>
      <x:c r="B33" s="66"/>
      <x:c r="C33" s="66"/>
      <x:c r="D33" s="72"/>
      <x:c r="E33" s="72"/>
      <x:c r="F33" s="72"/>
      <x:c r="G33" s="72"/>
      <x:c r="H33" s="66"/>
      <x:c r="I33" s="66"/>
      <x:c r="J33" s="73"/>
      <x:c r="K33" s="73"/>
      <x:c r="L33" s="74"/>
      <x:c r="M33" s="74"/>
      <x:c r="N33" s="75"/>
      <x:c r="O33" s="74"/>
      <x:c r="P33" s="66"/>
      <x:c r="Q33" s="66"/>
      <x:c r="R33" s="66"/>
      <x:c r="S33" s="66"/>
      <x:c r="T33" s="66" t="str">
        <x:v>SXT730</x:v>
      </x:c>
      <x:c r="U33" s="66" t="str">
        <x:v>世宽若水尘心3号</x:v>
      </x:c>
      <x:c r="V33" s="66" t="str">
        <x:v>2026-03</x:v>
      </x:c>
      <x:c r="W33" s="72" t="n">
        <x:v>46081</x:v>
      </x:c>
      <x:c r="X33" s="72" t="n">
        <x:v>46112</x:v>
      </x:c>
      <x:c r="Y33" s="72" t="n">
        <x:f>'净值原始'!C189</x:f>
        <x:v>46080</x:v>
      </x:c>
      <x:c r="Z33" s="72" t="n">
        <x:f>'净值原始'!C193</x:f>
        <x:v>46108</x:v>
      </x:c>
      <x:c r="AA33" s="73" t="n">
        <x:f>'净值原始'!F189</x:f>
        <x:v>1.4331</x:v>
      </x:c>
      <x:c r="AB33" s="73" t="n">
        <x:f>'净值原始'!F193</x:f>
        <x:v>1.422</x:v>
      </x:c>
      <x:c r="AC33" s="66" t="n">
        <x:f>IF(OR(Y33="",Z33="",Z33&lt;=Y33,W33-Y33&gt;'sheet1-指标体系'!$J$24,X33-Z33&gt;'sheet1-指标体系'!$J$24),0,1)</x:f>
        <x:v>1</x:v>
      </x:c>
      <x:c r="AD33" s="74" t="n">
        <x:f>IF(AC33=0,"",AB33/AA33-1)</x:f>
        <x:v>-0.007745446933221767</x:v>
      </x:c>
      <x:c r="AE33" s="66" t="n">
        <x:f>IF(AC33=0,"",IF(AD33&gt;0,1,0))</x:f>
        <x:v>0</x:v>
      </x:c>
    </x:row>
    <x:row r="34" ht="27" customHeight="1">
      <x:c r="A34" s="66"/>
      <x:c r="B34" s="66"/>
      <x:c r="C34" s="66"/>
      <x:c r="D34" s="72"/>
      <x:c r="E34" s="72"/>
      <x:c r="F34" s="72"/>
      <x:c r="G34" s="72"/>
      <x:c r="H34" s="66"/>
      <x:c r="I34" s="66"/>
      <x:c r="J34" s="73"/>
      <x:c r="K34" s="73"/>
      <x:c r="L34" s="74"/>
      <x:c r="M34" s="74"/>
      <x:c r="N34" s="75"/>
      <x:c r="O34" s="74"/>
      <x:c r="P34" s="66"/>
      <x:c r="Q34" s="66"/>
      <x:c r="R34" s="66"/>
      <x:c r="S34" s="66"/>
      <x:c r="T34" s="66" t="str">
        <x:v>SXT730</x:v>
      </x:c>
      <x:c r="U34" s="66" t="str">
        <x:v>世宽若水尘心3号</x:v>
      </x:c>
      <x:c r="V34" s="66" t="str">
        <x:v>2026-04</x:v>
      </x:c>
      <x:c r="W34" s="72" t="n">
        <x:v>46112</x:v>
      </x:c>
      <x:c r="X34" s="72" t="n">
        <x:v>46142</x:v>
      </x:c>
      <x:c r="Y34" s="72" t="n">
        <x:f>'净值原始'!C193</x:f>
        <x:v>46108</x:v>
      </x:c>
      <x:c r="Z34" s="72" t="n">
        <x:f>'净值原始'!C198</x:f>
        <x:v>46142</x:v>
      </x:c>
      <x:c r="AA34" s="73" t="n">
        <x:f>'净值原始'!F193</x:f>
        <x:v>1.422</x:v>
      </x:c>
      <x:c r="AB34" s="73" t="n">
        <x:f>'净值原始'!F198</x:f>
        <x:v>1.4588</x:v>
      </x:c>
      <x:c r="AC34" s="66" t="n">
        <x:f>IF(OR(Y34="",Z34="",Z34&lt;=Y34,W34-Y34&gt;'sheet1-指标体系'!$J$24,X34-Z34&gt;'sheet1-指标体系'!$J$24),0,1)</x:f>
        <x:v>1</x:v>
      </x:c>
      <x:c r="AD34" s="74" t="n">
        <x:f>IF(AC34=0,"",AB34/AA34-1)</x:f>
        <x:v>0.0258790436005627</x:v>
      </x:c>
      <x:c r="AE34" s="66" t="n">
        <x:f>IF(AC34=0,"",IF(AD34&gt;0,1,0))</x:f>
        <x:v>1</x:v>
      </x:c>
    </x:row>
    <x:row r="35" ht="27" customHeight="1">
      <x:c r="A35" s="66"/>
      <x:c r="B35" s="66"/>
      <x:c r="C35" s="66"/>
      <x:c r="D35" s="72"/>
      <x:c r="E35" s="72"/>
      <x:c r="F35" s="72"/>
      <x:c r="G35" s="72"/>
      <x:c r="H35" s="66"/>
      <x:c r="I35" s="66"/>
      <x:c r="J35" s="73"/>
      <x:c r="K35" s="73"/>
      <x:c r="L35" s="74"/>
      <x:c r="M35" s="74"/>
      <x:c r="N35" s="75"/>
      <x:c r="O35" s="74"/>
      <x:c r="P35" s="66"/>
      <x:c r="Q35" s="66"/>
      <x:c r="R35" s="66"/>
      <x:c r="S35" s="66"/>
      <x:c r="T35" s="66" t="str">
        <x:v>SXT730</x:v>
      </x:c>
      <x:c r="U35" s="66" t="str">
        <x:v>世宽若水尘心3号</x:v>
      </x:c>
      <x:c r="V35" s="66" t="str">
        <x:v>2026-05</x:v>
      </x:c>
      <x:c r="W35" s="72" t="n">
        <x:v>46142</x:v>
      </x:c>
      <x:c r="X35" s="72" t="n">
        <x:v>46173</x:v>
      </x:c>
      <x:c r="Y35" s="72" t="n">
        <x:f>'净值原始'!C198</x:f>
        <x:v>46142</x:v>
      </x:c>
      <x:c r="Z35" s="72" t="n">
        <x:f>'净值原始'!C202</x:f>
        <x:v>46171</x:v>
      </x:c>
      <x:c r="AA35" s="73" t="n">
        <x:f>'净值原始'!F198</x:f>
        <x:v>1.4588</x:v>
      </x:c>
      <x:c r="AB35" s="73" t="n">
        <x:f>'净值原始'!F202</x:f>
        <x:v>1.4687</x:v>
      </x:c>
      <x:c r="AC35" s="66" t="n">
        <x:f>IF(OR(Y35="",Z35="",Z35&lt;=Y35,W35-Y35&gt;'sheet1-指标体系'!$J$24,X35-Z35&gt;'sheet1-指标体系'!$J$24),0,1)</x:f>
        <x:v>1</x:v>
      </x:c>
      <x:c r="AD35" s="74" t="n">
        <x:f>IF(AC35=0,"",AB35/AA35-1)</x:f>
        <x:v>0.006786399780641439</x:v>
      </x:c>
      <x:c r="AE35" s="66" t="n">
        <x:f>IF(AC35=0,"",IF(AD35&gt;0,1,0))</x:f>
        <x:v>1</x:v>
      </x:c>
    </x:row>
    <x:row r="36" ht="27" customHeight="1">
      <x:c r="A36" s="66"/>
      <x:c r="B36" s="66"/>
      <x:c r="C36" s="66"/>
      <x:c r="D36" s="72"/>
      <x:c r="E36" s="72"/>
      <x:c r="F36" s="72"/>
      <x:c r="G36" s="72"/>
      <x:c r="H36" s="66"/>
      <x:c r="I36" s="66"/>
      <x:c r="J36" s="73"/>
      <x:c r="K36" s="73"/>
      <x:c r="L36" s="74"/>
      <x:c r="M36" s="74"/>
      <x:c r="N36" s="75"/>
      <x:c r="O36" s="74"/>
      <x:c r="P36" s="66"/>
      <x:c r="Q36" s="66"/>
      <x:c r="R36" s="66"/>
      <x:c r="S36" s="66"/>
      <x:c r="T36" s="66" t="str">
        <x:v>SXT730</x:v>
      </x:c>
      <x:c r="U36" s="66" t="str">
        <x:v>世宽若水尘心3号</x:v>
      </x:c>
      <x:c r="V36" s="66" t="str">
        <x:v>2026-06</x:v>
      </x:c>
      <x:c r="W36" s="72" t="n">
        <x:v>46173</x:v>
      </x:c>
      <x:c r="X36" s="72" t="n">
        <x:v>46203</x:v>
      </x:c>
      <x:c r="Y36" s="72" t="n">
        <x:f>'净值原始'!C202</x:f>
        <x:v>46171</x:v>
      </x:c>
      <x:c r="Z36" s="72" t="n">
        <x:f>'净值原始'!C207</x:f>
        <x:v>46203</x:v>
      </x:c>
      <x:c r="AA36" s="73" t="n">
        <x:f>'净值原始'!F202</x:f>
        <x:v>1.4687</x:v>
      </x:c>
      <x:c r="AB36" s="73" t="n">
        <x:f>'净值原始'!F207</x:f>
        <x:v>1.5055</x:v>
      </x:c>
      <x:c r="AC36" s="66" t="n">
        <x:f>IF(OR(Y36="",Z36="",Z36&lt;=Y36,W36-Y36&gt;'sheet1-指标体系'!$J$24,X36-Z36&gt;'sheet1-指标体系'!$J$24),0,1)</x:f>
        <x:v>1</x:v>
      </x:c>
      <x:c r="AD36" s="74" t="n">
        <x:f>IF(AC36=0,"",AB36/AA36-1)</x:f>
        <x:v>0.025056172125008658</x:v>
      </x:c>
      <x:c r="AE36" s="66" t="n">
        <x:f>IF(AC36=0,"",IF(AD36&gt;0,1,0))</x:f>
        <x:v>1</x:v>
      </x:c>
    </x:row>
    <x:row r="37" ht="27" customHeight="1">
      <x:c r="A37" s="66"/>
      <x:c r="B37" s="66"/>
      <x:c r="C37" s="66"/>
      <x:c r="D37" s="72"/>
      <x:c r="E37" s="72"/>
      <x:c r="F37" s="72"/>
      <x:c r="G37" s="72"/>
      <x:c r="H37" s="66"/>
      <x:c r="I37" s="66"/>
      <x:c r="J37" s="73"/>
      <x:c r="K37" s="73"/>
      <x:c r="L37" s="74"/>
      <x:c r="M37" s="74"/>
      <x:c r="N37" s="75"/>
      <x:c r="O37" s="74"/>
      <x:c r="P37" s="66"/>
      <x:c r="Q37" s="66"/>
      <x:c r="R37" s="66"/>
      <x:c r="S37" s="66"/>
      <x:c r="T37" s="66" t="str">
        <x:v>SXT730</x:v>
      </x:c>
      <x:c r="U37" s="66" t="str">
        <x:v>世宽若水尘心3号</x:v>
      </x:c>
      <x:c r="V37" s="66" t="str">
        <x:v>2026-07</x:v>
      </x:c>
      <x:c r="W37" s="72" t="n">
        <x:v>46203</x:v>
      </x:c>
      <x:c r="X37" s="72" t="n">
        <x:v>46234</x:v>
      </x:c>
      <x:c r="Y37" s="72" t="n">
        <x:f>'净值原始'!C207</x:f>
        <x:v>46203</x:v>
      </x:c>
      <x:c r="Z37" s="72" t="n">
        <x:f>'净值原始'!C220</x:f>
        <x:v>46234</x:v>
      </x:c>
      <x:c r="AA37" s="73" t="n">
        <x:f>'净值原始'!F207</x:f>
        <x:v>1.5055</x:v>
      </x:c>
      <x:c r="AB37" s="73" t="n">
        <x:f>'净值原始'!F220</x:f>
        <x:v>1.5448</x:v>
      </x:c>
      <x:c r="AC37" s="66" t="n">
        <x:f>IF(OR(Y37="",Z37="",Z37&lt;=Y37,W37-Y37&gt;'sheet1-指标体系'!$J$24,X37-Z37&gt;'sheet1-指标体系'!$J$24),0,1)</x:f>
        <x:v>1</x:v>
      </x:c>
      <x:c r="AD37" s="74" t="n">
        <x:f>IF(AC37=0,"",AB37/AA37-1)</x:f>
        <x:v>0.026104284290933144</x:v>
      </x:c>
      <x:c r="AE37" s="66" t="n">
        <x:f>IF(AC37=0,"",IF(AD37&gt;0,1,0))</x:f>
        <x:v>1</x:v>
      </x:c>
    </x:row>
    <x:row r="38" ht="27" customHeight="1">
      <x:c r="A38" s="66"/>
      <x:c r="B38" s="66"/>
      <x:c r="C38" s="66"/>
      <x:c r="D38" s="72"/>
      <x:c r="E38" s="72"/>
      <x:c r="F38" s="72"/>
      <x:c r="G38" s="72"/>
      <x:c r="H38" s="66"/>
      <x:c r="I38" s="66"/>
      <x:c r="J38" s="73"/>
      <x:c r="K38" s="73"/>
      <x:c r="L38" s="74"/>
      <x:c r="M38" s="74"/>
      <x:c r="N38" s="75"/>
      <x:c r="O38" s="74"/>
      <x:c r="P38" s="66"/>
      <x:c r="Q38" s="66"/>
      <x:c r="R38" s="66"/>
      <x:c r="S38" s="66"/>
      <x:c r="T38" s="66" t="str">
        <x:v>SXT730</x:v>
      </x:c>
      <x:c r="U38" s="66" t="str">
        <x:v>世宽若水尘心3号</x:v>
      </x:c>
      <x:c r="V38" s="66" t="str">
        <x:v>2026-08</x:v>
      </x:c>
      <x:c r="W38" s="72" t="n">
        <x:v>46234</x:v>
      </x:c>
      <x:c r="X38" s="72" t="n">
        <x:v>46265</x:v>
      </x:c>
      <x:c r="Y38" s="72" t="n">
        <x:f>'净值原始'!C220</x:f>
        <x:v>46234</x:v>
      </x:c>
      <x:c r="Z38" s="72" t="n">
        <x:f>'净值原始'!C241</x:f>
        <x:v>46265</x:v>
      </x:c>
      <x:c r="AA38" s="73" t="n">
        <x:f>'净值原始'!F220</x:f>
        <x:v>1.5448</x:v>
      </x:c>
      <x:c r="AB38" s="73" t="n">
        <x:f>'净值原始'!F241</x:f>
        <x:v>1.5343</x:v>
      </x:c>
      <x:c r="AC38" s="66" t="n">
        <x:f>IF(OR(Y38="",Z38="",Z38&lt;=Y38,W38-Y38&gt;'sheet1-指标体系'!$J$24,X38-Z38&gt;'sheet1-指标体系'!$J$24),0,1)</x:f>
        <x:v>1</x:v>
      </x:c>
      <x:c r="AD38" s="74" t="n">
        <x:f>IF(AC38=0,"",AB38/AA38-1)</x:f>
        <x:v>-0.006796996374935249</x:v>
      </x:c>
      <x:c r="AE38" s="66" t="n">
        <x:f>IF(AC38=0,"",IF(AD38&gt;0,1,0))</x:f>
        <x:v>0</x:v>
      </x:c>
    </x:row>
    <x:row r="39" ht="27" customHeight="1">
      <x:c r="A39" s="66"/>
      <x:c r="B39" s="66"/>
      <x:c r="C39" s="66"/>
      <x:c r="D39" s="72"/>
      <x:c r="E39" s="72"/>
      <x:c r="F39" s="72"/>
      <x:c r="G39" s="72"/>
      <x:c r="H39" s="66"/>
      <x:c r="I39" s="66"/>
      <x:c r="J39" s="73"/>
      <x:c r="K39" s="73"/>
      <x:c r="L39" s="74"/>
      <x:c r="M39" s="74"/>
      <x:c r="N39" s="75"/>
      <x:c r="O39" s="74"/>
      <x:c r="P39" s="66"/>
      <x:c r="Q39" s="66"/>
      <x:c r="R39" s="66"/>
      <x:c r="S39" s="66"/>
      <x:c r="T39" s="66" t="str">
        <x:v>SQH214</x:v>
      </x:c>
      <x:c r="U39" s="66" t="str">
        <x:v>常行7号</x:v>
      </x:c>
      <x:c r="V39" s="66" t="str">
        <x:v>2023-09</x:v>
      </x:c>
      <x:c r="W39" s="72" t="n">
        <x:v>45169</x:v>
      </x:c>
      <x:c r="X39" s="72" t="n">
        <x:v>45199</x:v>
      </x:c>
      <x:c r="Y39" s="72" t="n">
        <x:f>'净值原始'!C364</x:f>
        <x:v>45163</x:v>
      </x:c>
      <x:c r="Z39" s="72" t="n">
        <x:f>'净值原始'!C369</x:f>
        <x:v>45197</x:v>
      </x:c>
      <x:c r="AA39" s="73" t="n">
        <x:f>'净值原始'!F364</x:f>
        <x:v>1.1644</x:v>
      </x:c>
      <x:c r="AB39" s="73" t="n">
        <x:f>'净值原始'!F369</x:f>
        <x:v>1.1644</x:v>
      </x:c>
      <x:c r="AC39" s="66" t="n">
        <x:f>IF(OR(Y39="",Z39="",Z39&lt;=Y39,W39-Y39&gt;'sheet1-指标体系'!$J$24,X39-Z39&gt;'sheet1-指标体系'!$J$24),0,1)</x:f>
        <x:v>1</x:v>
      </x:c>
      <x:c r="AD39" s="74" t="n">
        <x:f>IF(AC39=0,"",AB39/AA39-1)</x:f>
        <x:v>0</x:v>
      </x:c>
      <x:c r="AE39" s="66" t="n">
        <x:f>IF(AC39=0,"",IF(AD39&gt;0,1,0))</x:f>
        <x:v>0</x:v>
      </x:c>
    </x:row>
    <x:row r="40" ht="27" customHeight="1">
      <x:c r="A40" s="66"/>
      <x:c r="B40" s="66"/>
      <x:c r="C40" s="66"/>
      <x:c r="D40" s="72"/>
      <x:c r="E40" s="72"/>
      <x:c r="F40" s="72"/>
      <x:c r="G40" s="72"/>
      <x:c r="H40" s="66"/>
      <x:c r="I40" s="66"/>
      <x:c r="J40" s="73"/>
      <x:c r="K40" s="73"/>
      <x:c r="L40" s="74"/>
      <x:c r="M40" s="74"/>
      <x:c r="N40" s="75"/>
      <x:c r="O40" s="74"/>
      <x:c r="P40" s="66"/>
      <x:c r="Q40" s="66"/>
      <x:c r="R40" s="66"/>
      <x:c r="S40" s="66"/>
      <x:c r="T40" s="66" t="str">
        <x:v>SQH214</x:v>
      </x:c>
      <x:c r="U40" s="66" t="str">
        <x:v>常行7号</x:v>
      </x:c>
      <x:c r="V40" s="66" t="str">
        <x:v>2023-10</x:v>
      </x:c>
      <x:c r="W40" s="72" t="n">
        <x:v>45199</x:v>
      </x:c>
      <x:c r="X40" s="72" t="n">
        <x:v>45230</x:v>
      </x:c>
      <x:c r="Y40" s="72" t="n">
        <x:f>'净值原始'!C369</x:f>
        <x:v>45197</x:v>
      </x:c>
      <x:c r="Z40" s="72" t="n">
        <x:f>'净值原始'!C372</x:f>
        <x:v>45226</x:v>
      </x:c>
      <x:c r="AA40" s="73" t="n">
        <x:f>'净值原始'!F369</x:f>
        <x:v>1.1644</x:v>
      </x:c>
      <x:c r="AB40" s="73" t="n">
        <x:f>'净值原始'!F372</x:f>
        <x:v>1.162</x:v>
      </x:c>
      <x:c r="AC40" s="66" t="n">
        <x:f>IF(OR(Y40="",Z40="",Z40&lt;=Y40,W40-Y40&gt;'sheet1-指标体系'!$J$24,X40-Z40&gt;'sheet1-指标体系'!$J$24),0,1)</x:f>
        <x:v>1</x:v>
      </x:c>
      <x:c r="AD40" s="74" t="n">
        <x:f>IF(AC40=0,"",AB40/AA40-1)</x:f>
        <x:v>-0.0020611473720372198</x:v>
      </x:c>
      <x:c r="AE40" s="66" t="n">
        <x:f>IF(AC40=0,"",IF(AD40&gt;0,1,0))</x:f>
        <x:v>0</x:v>
      </x:c>
    </x:row>
    <x:row r="41" ht="27" customHeight="1">
      <x:c r="A41" s="66"/>
      <x:c r="B41" s="66"/>
      <x:c r="C41" s="66"/>
      <x:c r="D41" s="72"/>
      <x:c r="E41" s="72"/>
      <x:c r="F41" s="72"/>
      <x:c r="G41" s="72"/>
      <x:c r="H41" s="66"/>
      <x:c r="I41" s="66"/>
      <x:c r="J41" s="73"/>
      <x:c r="K41" s="73"/>
      <x:c r="L41" s="74"/>
      <x:c r="M41" s="74"/>
      <x:c r="N41" s="75"/>
      <x:c r="O41" s="74"/>
      <x:c r="P41" s="66"/>
      <x:c r="Q41" s="66"/>
      <x:c r="R41" s="66"/>
      <x:c r="S41" s="66"/>
      <x:c r="T41" s="66" t="str">
        <x:v>SQH214</x:v>
      </x:c>
      <x:c r="U41" s="66" t="str">
        <x:v>常行7号</x:v>
      </x:c>
      <x:c r="V41" s="66" t="str">
        <x:v>2023-11</x:v>
      </x:c>
      <x:c r="W41" s="72" t="n">
        <x:v>45230</x:v>
      </x:c>
      <x:c r="X41" s="72" t="n">
        <x:v>45260</x:v>
      </x:c>
      <x:c r="Y41" s="72" t="n">
        <x:f>'净值原始'!C372</x:f>
        <x:v>45226</x:v>
      </x:c>
      <x:c r="Z41" s="72" t="n">
        <x:f>'净值原始'!C376</x:f>
        <x:v>45254</x:v>
      </x:c>
      <x:c r="AA41" s="73" t="n">
        <x:f>'净值原始'!F372</x:f>
        <x:v>1.162</x:v>
      </x:c>
      <x:c r="AB41" s="73" t="n">
        <x:f>'净值原始'!F376</x:f>
        <x:v>1.1571</x:v>
      </x:c>
      <x:c r="AC41" s="66" t="n">
        <x:f>IF(OR(Y41="",Z41="",Z41&lt;=Y41,W41-Y41&gt;'sheet1-指标体系'!$J$24,X41-Z41&gt;'sheet1-指标体系'!$J$24),0,1)</x:f>
        <x:v>1</x:v>
      </x:c>
      <x:c r="AD41" s="74" t="n">
        <x:f>IF(AC41=0,"",AB41/AA41-1)</x:f>
        <x:v>-0.004216867469879482</x:v>
      </x:c>
      <x:c r="AE41" s="66" t="n">
        <x:f>IF(AC41=0,"",IF(AD41&gt;0,1,0))</x:f>
        <x:v>0</x:v>
      </x:c>
    </x:row>
    <x:row r="42" ht="27" customHeight="1">
      <x:c r="A42" s="66"/>
      <x:c r="B42" s="66"/>
      <x:c r="C42" s="66"/>
      <x:c r="D42" s="72"/>
      <x:c r="E42" s="72"/>
      <x:c r="F42" s="72"/>
      <x:c r="G42" s="72"/>
      <x:c r="H42" s="66"/>
      <x:c r="I42" s="66"/>
      <x:c r="J42" s="73"/>
      <x:c r="K42" s="73"/>
      <x:c r="L42" s="74"/>
      <x:c r="M42" s="74"/>
      <x:c r="N42" s="75"/>
      <x:c r="O42" s="74"/>
      <x:c r="P42" s="66"/>
      <x:c r="Q42" s="66"/>
      <x:c r="R42" s="66"/>
      <x:c r="S42" s="66"/>
      <x:c r="T42" s="66" t="str">
        <x:v>SQH214</x:v>
      </x:c>
      <x:c r="U42" s="66" t="str">
        <x:v>常行7号</x:v>
      </x:c>
      <x:c r="V42" s="66" t="str">
        <x:v>2023-12</x:v>
      </x:c>
      <x:c r="W42" s="72" t="n">
        <x:v>45260</x:v>
      </x:c>
      <x:c r="X42" s="72" t="n">
        <x:v>45291</x:v>
      </x:c>
      <x:c r="Y42" s="72" t="n">
        <x:f>'净值原始'!C376</x:f>
        <x:v>45254</x:v>
      </x:c>
      <x:c r="Z42" s="72" t="n">
        <x:f>'净值原始'!C381</x:f>
        <x:v>45289</x:v>
      </x:c>
      <x:c r="AA42" s="73" t="n">
        <x:f>'净值原始'!F376</x:f>
        <x:v>1.1571</x:v>
      </x:c>
      <x:c r="AB42" s="73" t="n">
        <x:f>'净值原始'!F381</x:f>
        <x:v>1.1588</x:v>
      </x:c>
      <x:c r="AC42" s="66" t="n">
        <x:f>IF(OR(Y42="",Z42="",Z42&lt;=Y42,W42-Y42&gt;'sheet1-指标体系'!$J$24,X42-Z42&gt;'sheet1-指标体系'!$J$24),0,1)</x:f>
        <x:v>1</x:v>
      </x:c>
      <x:c r="AD42" s="74" t="n">
        <x:f>IF(AC42=0,"",AB42/AA42-1)</x:f>
        <x:v>0.001469190216921712</x:v>
      </x:c>
      <x:c r="AE42" s="66" t="n">
        <x:f>IF(AC42=0,"",IF(AD42&gt;0,1,0))</x:f>
        <x:v>1</x:v>
      </x:c>
    </x:row>
    <x:row r="43" ht="27" customHeight="1">
      <x:c r="A43" s="66"/>
      <x:c r="B43" s="66"/>
      <x:c r="C43" s="66"/>
      <x:c r="D43" s="72"/>
      <x:c r="E43" s="72"/>
      <x:c r="F43" s="72"/>
      <x:c r="G43" s="72"/>
      <x:c r="H43" s="66"/>
      <x:c r="I43" s="66"/>
      <x:c r="J43" s="73"/>
      <x:c r="K43" s="73"/>
      <x:c r="L43" s="74"/>
      <x:c r="M43" s="74"/>
      <x:c r="N43" s="75"/>
      <x:c r="O43" s="74"/>
      <x:c r="P43" s="66"/>
      <x:c r="Q43" s="66"/>
      <x:c r="R43" s="66"/>
      <x:c r="S43" s="66"/>
      <x:c r="T43" s="66" t="str">
        <x:v>SQH214</x:v>
      </x:c>
      <x:c r="U43" s="66" t="str">
        <x:v>常行7号</x:v>
      </x:c>
      <x:c r="V43" s="66" t="str">
        <x:v>2024-01</x:v>
      </x:c>
      <x:c r="W43" s="72" t="n">
        <x:v>45291</x:v>
      </x:c>
      <x:c r="X43" s="72" t="n">
        <x:v>45322</x:v>
      </x:c>
      <x:c r="Y43" s="72" t="n">
        <x:f>'净值原始'!C381</x:f>
        <x:v>45289</x:v>
      </x:c>
      <x:c r="Z43" s="72" t="n">
        <x:f>'净值原始'!C385</x:f>
        <x:v>45317</x:v>
      </x:c>
      <x:c r="AA43" s="73" t="n">
        <x:f>'净值原始'!F381</x:f>
        <x:v>1.1588</x:v>
      </x:c>
      <x:c r="AB43" s="73" t="n">
        <x:f>'净值原始'!F385</x:f>
        <x:v>1.1743</x:v>
      </x:c>
      <x:c r="AC43" s="66" t="n">
        <x:f>IF(OR(Y43="",Z43="",Z43&lt;=Y43,W43-Y43&gt;'sheet1-指标体系'!$J$24,X43-Z43&gt;'sheet1-指标体系'!$J$24),0,1)</x:f>
        <x:v>1</x:v>
      </x:c>
      <x:c r="AD43" s="74" t="n">
        <x:f>IF(AC43=0,"",AB43/AA43-1)</x:f>
        <x:v>0.013375906109768687</x:v>
      </x:c>
      <x:c r="AE43" s="66" t="n">
        <x:f>IF(AC43=0,"",IF(AD43&gt;0,1,0))</x:f>
        <x:v>1</x:v>
      </x:c>
    </x:row>
    <x:row r="44" ht="27" customHeight="1">
      <x:c r="A44" s="66"/>
      <x:c r="B44" s="66"/>
      <x:c r="C44" s="66"/>
      <x:c r="D44" s="72"/>
      <x:c r="E44" s="72"/>
      <x:c r="F44" s="72"/>
      <x:c r="G44" s="72"/>
      <x:c r="H44" s="66"/>
      <x:c r="I44" s="66"/>
      <x:c r="J44" s="73"/>
      <x:c r="K44" s="73"/>
      <x:c r="L44" s="74"/>
      <x:c r="M44" s="74"/>
      <x:c r="N44" s="75"/>
      <x:c r="O44" s="74"/>
      <x:c r="P44" s="66"/>
      <x:c r="Q44" s="66"/>
      <x:c r="R44" s="66"/>
      <x:c r="S44" s="66"/>
      <x:c r="T44" s="66" t="str">
        <x:v>SQH214</x:v>
      </x:c>
      <x:c r="U44" s="66" t="str">
        <x:v>常行7号</x:v>
      </x:c>
      <x:c r="V44" s="66" t="str">
        <x:v>2024-02</x:v>
      </x:c>
      <x:c r="W44" s="72" t="n">
        <x:v>45322</x:v>
      </x:c>
      <x:c r="X44" s="72" t="n">
        <x:v>45351</x:v>
      </x:c>
      <x:c r="Y44" s="72" t="n">
        <x:f>'净值原始'!C385</x:f>
        <x:v>45317</x:v>
      </x:c>
      <x:c r="Z44" s="72" t="n">
        <x:f>'净值原始'!C388</x:f>
        <x:v>45345</x:v>
      </x:c>
      <x:c r="AA44" s="73" t="n">
        <x:f>'净值原始'!F385</x:f>
        <x:v>1.1743</x:v>
      </x:c>
      <x:c r="AB44" s="73" t="n">
        <x:f>'净值原始'!F388</x:f>
        <x:v>1.1957</x:v>
      </x:c>
      <x:c r="AC44" s="66" t="n">
        <x:f>IF(OR(Y44="",Z44="",Z44&lt;=Y44,W44-Y44&gt;'sheet1-指标体系'!$J$24,X44-Z44&gt;'sheet1-指标体系'!$J$24),0,1)</x:f>
        <x:v>1</x:v>
      </x:c>
      <x:c r="AD44" s="74" t="n">
        <x:f>IF(AC44=0,"",AB44/AA44-1)</x:f>
        <x:v>0.018223622583666943</x:v>
      </x:c>
      <x:c r="AE44" s="66" t="n">
        <x:f>IF(AC44=0,"",IF(AD44&gt;0,1,0))</x:f>
        <x:v>1</x:v>
      </x:c>
    </x:row>
    <x:row r="45" ht="27" customHeight="1">
      <x:c r="A45" s="66"/>
      <x:c r="B45" s="66"/>
      <x:c r="C45" s="66"/>
      <x:c r="D45" s="72"/>
      <x:c r="E45" s="72"/>
      <x:c r="F45" s="72"/>
      <x:c r="G45" s="72"/>
      <x:c r="H45" s="66"/>
      <x:c r="I45" s="66"/>
      <x:c r="J45" s="73"/>
      <x:c r="K45" s="73"/>
      <x:c r="L45" s="74"/>
      <x:c r="M45" s="74"/>
      <x:c r="N45" s="75"/>
      <x:c r="O45" s="74"/>
      <x:c r="P45" s="66"/>
      <x:c r="Q45" s="66"/>
      <x:c r="R45" s="66"/>
      <x:c r="S45" s="66"/>
      <x:c r="T45" s="66" t="str">
        <x:v>SQH214</x:v>
      </x:c>
      <x:c r="U45" s="66" t="str">
        <x:v>常行7号</x:v>
      </x:c>
      <x:c r="V45" s="66" t="str">
        <x:v>2024-03</x:v>
      </x:c>
      <x:c r="W45" s="72" t="n">
        <x:v>45351</x:v>
      </x:c>
      <x:c r="X45" s="72" t="n">
        <x:v>45382</x:v>
      </x:c>
      <x:c r="Y45" s="72" t="n">
        <x:f>'净值原始'!C388</x:f>
        <x:v>45345</x:v>
      </x:c>
      <x:c r="Z45" s="72" t="n">
        <x:f>'净值原始'!C393</x:f>
        <x:v>45380</x:v>
      </x:c>
      <x:c r="AA45" s="73" t="n">
        <x:f>'净值原始'!F388</x:f>
        <x:v>1.1957</x:v>
      </x:c>
      <x:c r="AB45" s="73" t="n">
        <x:f>'净值原始'!F393</x:f>
        <x:v>1.204</x:v>
      </x:c>
      <x:c r="AC45" s="66" t="n">
        <x:f>IF(OR(Y45="",Z45="",Z45&lt;=Y45,W45-Y45&gt;'sheet1-指标体系'!$J$24,X45-Z45&gt;'sheet1-指标体系'!$J$24),0,1)</x:f>
        <x:v>1</x:v>
      </x:c>
      <x:c r="AD45" s="74" t="n">
        <x:f>IF(AC45=0,"",AB45/AA45-1)</x:f>
        <x:v>0.0069415405201973535</x:v>
      </x:c>
      <x:c r="AE45" s="66" t="n">
        <x:f>IF(AC45=0,"",IF(AD45&gt;0,1,0))</x:f>
        <x:v>1</x:v>
      </x:c>
    </x:row>
    <x:row r="46" ht="27" customHeight="1">
      <x:c r="A46" s="66"/>
      <x:c r="B46" s="66"/>
      <x:c r="C46" s="66"/>
      <x:c r="D46" s="72"/>
      <x:c r="E46" s="72"/>
      <x:c r="F46" s="72"/>
      <x:c r="G46" s="72"/>
      <x:c r="H46" s="66"/>
      <x:c r="I46" s="66"/>
      <x:c r="J46" s="73"/>
      <x:c r="K46" s="73"/>
      <x:c r="L46" s="74"/>
      <x:c r="M46" s="74"/>
      <x:c r="N46" s="75"/>
      <x:c r="O46" s="74"/>
      <x:c r="P46" s="66"/>
      <x:c r="Q46" s="66"/>
      <x:c r="R46" s="66"/>
      <x:c r="S46" s="66"/>
      <x:c r="T46" s="66" t="str">
        <x:v>SQH214</x:v>
      </x:c>
      <x:c r="U46" s="66" t="str">
        <x:v>常行7号</x:v>
      </x:c>
      <x:c r="V46" s="66" t="str">
        <x:v>2024-04</x:v>
      </x:c>
      <x:c r="W46" s="72" t="n">
        <x:v>45382</x:v>
      </x:c>
      <x:c r="X46" s="72" t="n">
        <x:v>45412</x:v>
      </x:c>
      <x:c r="Y46" s="72" t="n">
        <x:f>'净值原始'!C393</x:f>
        <x:v>45380</x:v>
      </x:c>
      <x:c r="Z46" s="72" t="n">
        <x:f>'净值原始'!C398</x:f>
        <x:v>45412</x:v>
      </x:c>
      <x:c r="AA46" s="73" t="n">
        <x:f>'净值原始'!F393</x:f>
        <x:v>1.204</x:v>
      </x:c>
      <x:c r="AB46" s="73" t="n">
        <x:f>'净值原始'!F398</x:f>
        <x:v>1.207</x:v>
      </x:c>
      <x:c r="AC46" s="66" t="n">
        <x:f>IF(OR(Y46="",Z46="",Z46&lt;=Y46,W46-Y46&gt;'sheet1-指标体系'!$J$24,X46-Z46&gt;'sheet1-指标体系'!$J$24),0,1)</x:f>
        <x:v>1</x:v>
      </x:c>
      <x:c r="AD46" s="74" t="n">
        <x:f>IF(AC46=0,"",AB46/AA46-1)</x:f>
        <x:v>0.002491694352159568</x:v>
      </x:c>
      <x:c r="AE46" s="66" t="n">
        <x:f>IF(AC46=0,"",IF(AD46&gt;0,1,0))</x:f>
        <x:v>1</x:v>
      </x:c>
    </x:row>
    <x:row r="47" ht="27" customHeight="1">
      <x:c r="A47" s="66"/>
      <x:c r="B47" s="66"/>
      <x:c r="C47" s="66"/>
      <x:c r="D47" s="72"/>
      <x:c r="E47" s="72"/>
      <x:c r="F47" s="72"/>
      <x:c r="G47" s="72"/>
      <x:c r="H47" s="66"/>
      <x:c r="I47" s="66"/>
      <x:c r="J47" s="73"/>
      <x:c r="K47" s="73"/>
      <x:c r="L47" s="74"/>
      <x:c r="M47" s="74"/>
      <x:c r="N47" s="75"/>
      <x:c r="O47" s="74"/>
      <x:c r="P47" s="66"/>
      <x:c r="Q47" s="66"/>
      <x:c r="R47" s="66"/>
      <x:c r="S47" s="66"/>
      <x:c r="T47" s="66" t="str">
        <x:v>SQH214</x:v>
      </x:c>
      <x:c r="U47" s="66" t="str">
        <x:v>常行7号</x:v>
      </x:c>
      <x:c r="V47" s="66" t="str">
        <x:v>2024-05</x:v>
      </x:c>
      <x:c r="W47" s="72" t="n">
        <x:v>45412</x:v>
      </x:c>
      <x:c r="X47" s="72" t="n">
        <x:v>45443</x:v>
      </x:c>
      <x:c r="Y47" s="72" t="n">
        <x:f>'净值原始'!C398</x:f>
        <x:v>45412</x:v>
      </x:c>
      <x:c r="Z47" s="72" t="n">
        <x:f>'净值原始'!C402</x:f>
        <x:v>45443</x:v>
      </x:c>
      <x:c r="AA47" s="73" t="n">
        <x:f>'净值原始'!F398</x:f>
        <x:v>1.207</x:v>
      </x:c>
      <x:c r="AB47" s="73" t="n">
        <x:f>'净值原始'!F402</x:f>
        <x:v>1.2106</x:v>
      </x:c>
      <x:c r="AC47" s="66" t="n">
        <x:f>IF(OR(Y47="",Z47="",Z47&lt;=Y47,W47-Y47&gt;'sheet1-指标体系'!$J$24,X47-Z47&gt;'sheet1-指标体系'!$J$24),0,1)</x:f>
        <x:v>1</x:v>
      </x:c>
      <x:c r="AD47" s="74" t="n">
        <x:f>IF(AC47=0,"",AB47/AA47-1)</x:f>
        <x:v>0.002982601491300585</x:v>
      </x:c>
      <x:c r="AE47" s="66" t="n">
        <x:f>IF(AC47=0,"",IF(AD47&gt;0,1,0))</x:f>
        <x:v>1</x:v>
      </x:c>
    </x:row>
    <x:row r="48" ht="27" customHeight="1">
      <x:c r="A48" s="66"/>
      <x:c r="B48" s="66"/>
      <x:c r="C48" s="66"/>
      <x:c r="D48" s="72"/>
      <x:c r="E48" s="72"/>
      <x:c r="F48" s="72"/>
      <x:c r="G48" s="72"/>
      <x:c r="H48" s="66"/>
      <x:c r="I48" s="66"/>
      <x:c r="J48" s="73"/>
      <x:c r="K48" s="73"/>
      <x:c r="L48" s="74"/>
      <x:c r="M48" s="74"/>
      <x:c r="N48" s="75"/>
      <x:c r="O48" s="74"/>
      <x:c r="P48" s="66"/>
      <x:c r="Q48" s="66"/>
      <x:c r="R48" s="66"/>
      <x:c r="S48" s="66"/>
      <x:c r="T48" s="66" t="str">
        <x:v>SQH214</x:v>
      </x:c>
      <x:c r="U48" s="66" t="str">
        <x:v>常行7号</x:v>
      </x:c>
      <x:c r="V48" s="66" t="str">
        <x:v>2024-06</x:v>
      </x:c>
      <x:c r="W48" s="72" t="n">
        <x:v>45443</x:v>
      </x:c>
      <x:c r="X48" s="72" t="n">
        <x:v>45473</x:v>
      </x:c>
      <x:c r="Y48" s="72" t="n">
        <x:f>'净值原始'!C402</x:f>
        <x:v>45443</x:v>
      </x:c>
      <x:c r="Z48" s="72" t="n">
        <x:f>'净值原始'!C406</x:f>
        <x:v>45471</x:v>
      </x:c>
      <x:c r="AA48" s="73" t="n">
        <x:f>'净值原始'!F402</x:f>
        <x:v>1.2106</x:v>
      </x:c>
      <x:c r="AB48" s="73" t="n">
        <x:f>'净值原始'!F406</x:f>
        <x:v>1.2155</x:v>
      </x:c>
      <x:c r="AC48" s="66" t="n">
        <x:f>IF(OR(Y48="",Z48="",Z48&lt;=Y48,W48-Y48&gt;'sheet1-指标体系'!$J$24,X48-Z48&gt;'sheet1-指标体系'!$J$24),0,1)</x:f>
        <x:v>1</x:v>
      </x:c>
      <x:c r="AD48" s="74" t="n">
        <x:f>IF(AC48=0,"",AB48/AA48-1)</x:f>
        <x:v>0.00404757971253944</x:v>
      </x:c>
      <x:c r="AE48" s="66" t="n">
        <x:f>IF(AC48=0,"",IF(AD48&gt;0,1,0))</x:f>
        <x:v>1</x:v>
      </x:c>
    </x:row>
    <x:row r="49" ht="27" customHeight="1">
      <x:c r="A49" s="66"/>
      <x:c r="B49" s="66"/>
      <x:c r="C49" s="66"/>
      <x:c r="D49" s="72"/>
      <x:c r="E49" s="72"/>
      <x:c r="F49" s="72"/>
      <x:c r="G49" s="72"/>
      <x:c r="H49" s="66"/>
      <x:c r="I49" s="66"/>
      <x:c r="J49" s="73"/>
      <x:c r="K49" s="73"/>
      <x:c r="L49" s="74"/>
      <x:c r="M49" s="74"/>
      <x:c r="N49" s="75"/>
      <x:c r="O49" s="74"/>
      <x:c r="P49" s="66"/>
      <x:c r="Q49" s="66"/>
      <x:c r="R49" s="66"/>
      <x:c r="S49" s="66"/>
      <x:c r="T49" s="66" t="str">
        <x:v>SQH214</x:v>
      </x:c>
      <x:c r="U49" s="66" t="str">
        <x:v>常行7号</x:v>
      </x:c>
      <x:c r="V49" s="66" t="str">
        <x:v>2024-07</x:v>
      </x:c>
      <x:c r="W49" s="72" t="n">
        <x:v>45473</x:v>
      </x:c>
      <x:c r="X49" s="72" t="n">
        <x:v>45504</x:v>
      </x:c>
      <x:c r="Y49" s="72" t="n">
        <x:f>'净值原始'!C406</x:f>
        <x:v>45471</x:v>
      </x:c>
      <x:c r="Z49" s="72" t="n">
        <x:f>'净值原始'!C410</x:f>
        <x:v>45499</x:v>
      </x:c>
      <x:c r="AA49" s="73" t="n">
        <x:f>'净值原始'!F406</x:f>
        <x:v>1.2155</x:v>
      </x:c>
      <x:c r="AB49" s="73" t="n">
        <x:f>'净值原始'!F410</x:f>
        <x:v>1.223</x:v>
      </x:c>
      <x:c r="AC49" s="66" t="n">
        <x:f>IF(OR(Y49="",Z49="",Z49&lt;=Y49,W49-Y49&gt;'sheet1-指标体系'!$J$24,X49-Z49&gt;'sheet1-指标体系'!$J$24),0,1)</x:f>
        <x:v>1</x:v>
      </x:c>
      <x:c r="AD49" s="74" t="n">
        <x:f>IF(AC49=0,"",AB49/AA49-1)</x:f>
        <x:v>0.006170300287947406</x:v>
      </x:c>
      <x:c r="AE49" s="66" t="n">
        <x:f>IF(AC49=0,"",IF(AD49&gt;0,1,0))</x:f>
        <x:v>1</x:v>
      </x:c>
    </x:row>
    <x:row r="50" ht="27" customHeight="1">
      <x:c r="A50" s="66"/>
      <x:c r="B50" s="66"/>
      <x:c r="C50" s="66"/>
      <x:c r="D50" s="72"/>
      <x:c r="E50" s="72"/>
      <x:c r="F50" s="72"/>
      <x:c r="G50" s="72"/>
      <x:c r="H50" s="66"/>
      <x:c r="I50" s="66"/>
      <x:c r="J50" s="73"/>
      <x:c r="K50" s="73"/>
      <x:c r="L50" s="74"/>
      <x:c r="M50" s="74"/>
      <x:c r="N50" s="75"/>
      <x:c r="O50" s="74"/>
      <x:c r="P50" s="66"/>
      <x:c r="Q50" s="66"/>
      <x:c r="R50" s="66"/>
      <x:c r="S50" s="66"/>
      <x:c r="T50" s="66" t="str">
        <x:v>SQH214</x:v>
      </x:c>
      <x:c r="U50" s="66" t="str">
        <x:v>常行7号</x:v>
      </x:c>
      <x:c r="V50" s="66" t="str">
        <x:v>2024-08</x:v>
      </x:c>
      <x:c r="W50" s="72" t="n">
        <x:v>45504</x:v>
      </x:c>
      <x:c r="X50" s="72" t="n">
        <x:v>45535</x:v>
      </x:c>
      <x:c r="Y50" s="72" t="n">
        <x:f>'净值原始'!C410</x:f>
        <x:v>45499</x:v>
      </x:c>
      <x:c r="Z50" s="72" t="n">
        <x:f>'净值原始'!C415</x:f>
        <x:v>45534</x:v>
      </x:c>
      <x:c r="AA50" s="73" t="n">
        <x:f>'净值原始'!F410</x:f>
        <x:v>1.223</x:v>
      </x:c>
      <x:c r="AB50" s="73" t="n">
        <x:f>'净值原始'!F415</x:f>
        <x:v>1.2261</x:v>
      </x:c>
      <x:c r="AC50" s="66" t="n">
        <x:f>IF(OR(Y50="",Z50="",Z50&lt;=Y50,W50-Y50&gt;'sheet1-指标体系'!$J$24,X50-Z50&gt;'sheet1-指标体系'!$J$24),0,1)</x:f>
        <x:v>1</x:v>
      </x:c>
      <x:c r="AD50" s="74" t="n">
        <x:f>IF(AC50=0,"",AB50/AA50-1)</x:f>
        <x:v>0.0025347506132460396</x:v>
      </x:c>
      <x:c r="AE50" s="66" t="n">
        <x:f>IF(AC50=0,"",IF(AD50&gt;0,1,0))</x:f>
        <x:v>1</x:v>
      </x:c>
    </x:row>
    <x:row r="51" ht="27" customHeight="1">
      <x:c r="A51" s="66"/>
      <x:c r="B51" s="66"/>
      <x:c r="C51" s="66"/>
      <x:c r="D51" s="72"/>
      <x:c r="E51" s="72"/>
      <x:c r="F51" s="72"/>
      <x:c r="G51" s="72"/>
      <x:c r="H51" s="66"/>
      <x:c r="I51" s="66"/>
      <x:c r="J51" s="73"/>
      <x:c r="K51" s="73"/>
      <x:c r="L51" s="74"/>
      <x:c r="M51" s="74"/>
      <x:c r="N51" s="75"/>
      <x:c r="O51" s="74"/>
      <x:c r="P51" s="66"/>
      <x:c r="Q51" s="66"/>
      <x:c r="R51" s="66"/>
      <x:c r="S51" s="66"/>
      <x:c r="T51" s="66" t="str">
        <x:v>SQH214</x:v>
      </x:c>
      <x:c r="U51" s="66" t="str">
        <x:v>常行7号</x:v>
      </x:c>
      <x:c r="V51" s="66" t="str">
        <x:v>2024-09</x:v>
      </x:c>
      <x:c r="W51" s="72" t="n">
        <x:v>45535</x:v>
      </x:c>
      <x:c r="X51" s="72" t="n">
        <x:v>45565</x:v>
      </x:c>
      <x:c r="Y51" s="72" t="n">
        <x:f>'净值原始'!C415</x:f>
        <x:v>45534</x:v>
      </x:c>
      <x:c r="Z51" s="72" t="n">
        <x:f>'净值原始'!C420</x:f>
        <x:v>45565</x:v>
      </x:c>
      <x:c r="AA51" s="73" t="n">
        <x:f>'净值原始'!F415</x:f>
        <x:v>1.2261</x:v>
      </x:c>
      <x:c r="AB51" s="73" t="n">
        <x:f>'净值原始'!F420</x:f>
        <x:v>1.2444</x:v>
      </x:c>
      <x:c r="AC51" s="66" t="n">
        <x:f>IF(OR(Y51="",Z51="",Z51&lt;=Y51,W51-Y51&gt;'sheet1-指标体系'!$J$24,X51-Z51&gt;'sheet1-指标体系'!$J$24),0,1)</x:f>
        <x:v>1</x:v>
      </x:c>
      <x:c r="AD51" s="74" t="n">
        <x:f>IF(AC51=0,"",AB51/AA51-1)</x:f>
        <x:v>0.014925373134328401</x:v>
      </x:c>
      <x:c r="AE51" s="66" t="n">
        <x:f>IF(AC51=0,"",IF(AD51&gt;0,1,0))</x:f>
        <x:v>1</x:v>
      </x:c>
    </x:row>
    <x:row r="52" ht="27" customHeight="1">
      <x:c r="A52" s="66"/>
      <x:c r="B52" s="66"/>
      <x:c r="C52" s="66"/>
      <x:c r="D52" s="72"/>
      <x:c r="E52" s="72"/>
      <x:c r="F52" s="72"/>
      <x:c r="G52" s="72"/>
      <x:c r="H52" s="66"/>
      <x:c r="I52" s="66"/>
      <x:c r="J52" s="73"/>
      <x:c r="K52" s="73"/>
      <x:c r="L52" s="74"/>
      <x:c r="M52" s="74"/>
      <x:c r="N52" s="75"/>
      <x:c r="O52" s="74"/>
      <x:c r="P52" s="66"/>
      <x:c r="Q52" s="66"/>
      <x:c r="R52" s="66"/>
      <x:c r="S52" s="66"/>
      <x:c r="T52" s="66" t="str">
        <x:v>SQH214</x:v>
      </x:c>
      <x:c r="U52" s="66" t="str">
        <x:v>常行7号</x:v>
      </x:c>
      <x:c r="V52" s="66" t="str">
        <x:v>2024-10</x:v>
      </x:c>
      <x:c r="W52" s="72" t="n">
        <x:v>45565</x:v>
      </x:c>
      <x:c r="X52" s="72" t="n">
        <x:v>45596</x:v>
      </x:c>
      <x:c r="Y52" s="72" t="n">
        <x:f>'净值原始'!C420</x:f>
        <x:v>45565</x:v>
      </x:c>
      <x:c r="Z52" s="72" t="n">
        <x:f>'净值原始'!C423</x:f>
        <x:v>45590</x:v>
      </x:c>
      <x:c r="AA52" s="73" t="n">
        <x:f>'净值原始'!F420</x:f>
        <x:v>1.2444</x:v>
      </x:c>
      <x:c r="AB52" s="73" t="n">
        <x:f>'净值原始'!F423</x:f>
        <x:v>1.2759</x:v>
      </x:c>
      <x:c r="AC52" s="66" t="n">
        <x:f>IF(OR(Y52="",Z52="",Z52&lt;=Y52,W52-Y52&gt;'sheet1-指标体系'!$J$24,X52-Z52&gt;'sheet1-指标体系'!$J$24),0,1)</x:f>
        <x:v>1</x:v>
      </x:c>
      <x:c r="AD52" s="74" t="n">
        <x:f>IF(AC52=0,"",AB52/AA52-1)</x:f>
        <x:v>0.025313404050144817</x:v>
      </x:c>
      <x:c r="AE52" s="66" t="n">
        <x:f>IF(AC52=0,"",IF(AD52&gt;0,1,0))</x:f>
        <x:v>1</x:v>
      </x:c>
    </x:row>
    <x:row r="53" ht="27" customHeight="1">
      <x:c r="A53" s="66"/>
      <x:c r="B53" s="66"/>
      <x:c r="C53" s="66"/>
      <x:c r="D53" s="72"/>
      <x:c r="E53" s="72"/>
      <x:c r="F53" s="72"/>
      <x:c r="G53" s="72"/>
      <x:c r="H53" s="66"/>
      <x:c r="I53" s="66"/>
      <x:c r="J53" s="73"/>
      <x:c r="K53" s="73"/>
      <x:c r="L53" s="74"/>
      <x:c r="M53" s="74"/>
      <x:c r="N53" s="75"/>
      <x:c r="O53" s="74"/>
      <x:c r="P53" s="66"/>
      <x:c r="Q53" s="66"/>
      <x:c r="R53" s="66"/>
      <x:c r="S53" s="66"/>
      <x:c r="T53" s="66" t="str">
        <x:v>SQH214</x:v>
      </x:c>
      <x:c r="U53" s="66" t="str">
        <x:v>常行7号</x:v>
      </x:c>
      <x:c r="V53" s="66" t="str">
        <x:v>2024-11</x:v>
      </x:c>
      <x:c r="W53" s="72" t="n">
        <x:v>45596</x:v>
      </x:c>
      <x:c r="X53" s="72" t="n">
        <x:v>45626</x:v>
      </x:c>
      <x:c r="Y53" s="72" t="n">
        <x:f>'净值原始'!C423</x:f>
        <x:v>45590</x:v>
      </x:c>
      <x:c r="Z53" s="72" t="n">
        <x:f>'净值原始'!C428</x:f>
        <x:v>45625</x:v>
      </x:c>
      <x:c r="AA53" s="73" t="n">
        <x:f>'净值原始'!F423</x:f>
        <x:v>1.2759</x:v>
      </x:c>
      <x:c r="AB53" s="73" t="n">
        <x:f>'净值原始'!F428</x:f>
        <x:v>1.2798</x:v>
      </x:c>
      <x:c r="AC53" s="66" t="n">
        <x:f>IF(OR(Y53="",Z53="",Z53&lt;=Y53,W53-Y53&gt;'sheet1-指标体系'!$J$24,X53-Z53&gt;'sheet1-指标体系'!$J$24),0,1)</x:f>
        <x:v>1</x:v>
      </x:c>
      <x:c r="AD53" s="74" t="n">
        <x:f>IF(AC53=0,"",AB53/AA53-1)</x:f>
        <x:v>0.0030566658829060955</x:v>
      </x:c>
      <x:c r="AE53" s="66" t="n">
        <x:f>IF(AC53=0,"",IF(AD53&gt;0,1,0))</x:f>
        <x:v>1</x:v>
      </x:c>
    </x:row>
    <x:row r="54" ht="27" customHeight="1">
      <x:c r="A54" s="66"/>
      <x:c r="B54" s="66"/>
      <x:c r="C54" s="66"/>
      <x:c r="D54" s="72"/>
      <x:c r="E54" s="72"/>
      <x:c r="F54" s="72"/>
      <x:c r="G54" s="72"/>
      <x:c r="H54" s="66"/>
      <x:c r="I54" s="66"/>
      <x:c r="J54" s="73"/>
      <x:c r="K54" s="73"/>
      <x:c r="L54" s="74"/>
      <x:c r="M54" s="74"/>
      <x:c r="N54" s="75"/>
      <x:c r="O54" s="74"/>
      <x:c r="P54" s="66"/>
      <x:c r="Q54" s="66"/>
      <x:c r="R54" s="66"/>
      <x:c r="S54" s="66"/>
      <x:c r="T54" s="66" t="str">
        <x:v>SQH214</x:v>
      </x:c>
      <x:c r="U54" s="66" t="str">
        <x:v>常行7号</x:v>
      </x:c>
      <x:c r="V54" s="66" t="str">
        <x:v>2024-12</x:v>
      </x:c>
      <x:c r="W54" s="72" t="n">
        <x:v>45626</x:v>
      </x:c>
      <x:c r="X54" s="72" t="n">
        <x:v>45657</x:v>
      </x:c>
      <x:c r="Y54" s="72" t="n">
        <x:f>'净值原始'!C428</x:f>
        <x:v>45625</x:v>
      </x:c>
      <x:c r="Z54" s="72" t="n">
        <x:f>'净值原始'!C432</x:f>
        <x:v>45653</x:v>
      </x:c>
      <x:c r="AA54" s="73" t="n">
        <x:f>'净值原始'!F428</x:f>
        <x:v>1.2798</x:v>
      </x:c>
      <x:c r="AB54" s="73" t="n">
        <x:f>'净值原始'!F432</x:f>
        <x:v>1.2873</x:v>
      </x:c>
      <x:c r="AC54" s="66" t="n">
        <x:f>IF(OR(Y54="",Z54="",Z54&lt;=Y54,W54-Y54&gt;'sheet1-指标体系'!$J$24,X54-Z54&gt;'sheet1-指标体系'!$J$24),0,1)</x:f>
        <x:v>1</x:v>
      </x:c>
      <x:c r="AD54" s="74" t="n">
        <x:f>IF(AC54=0,"",AB54/AA54-1)</x:f>
        <x:v>0.0058602906704172675</x:v>
      </x:c>
      <x:c r="AE54" s="66" t="n">
        <x:f>IF(AC54=0,"",IF(AD54&gt;0,1,0))</x:f>
        <x:v>1</x:v>
      </x:c>
    </x:row>
    <x:row r="55" ht="27" customHeight="1">
      <x:c r="A55" s="66"/>
      <x:c r="B55" s="66"/>
      <x:c r="C55" s="66"/>
      <x:c r="D55" s="72"/>
      <x:c r="E55" s="72"/>
      <x:c r="F55" s="72"/>
      <x:c r="G55" s="72"/>
      <x:c r="H55" s="66"/>
      <x:c r="I55" s="66"/>
      <x:c r="J55" s="73"/>
      <x:c r="K55" s="73"/>
      <x:c r="L55" s="74"/>
      <x:c r="M55" s="74"/>
      <x:c r="N55" s="75"/>
      <x:c r="O55" s="74"/>
      <x:c r="P55" s="66"/>
      <x:c r="Q55" s="66"/>
      <x:c r="R55" s="66"/>
      <x:c r="S55" s="66"/>
      <x:c r="T55" s="66" t="str">
        <x:v>SQH214</x:v>
      </x:c>
      <x:c r="U55" s="66" t="str">
        <x:v>常行7号</x:v>
      </x:c>
      <x:c r="V55" s="66" t="str">
        <x:v>2025-01</x:v>
      </x:c>
      <x:c r="W55" s="72" t="n">
        <x:v>45657</x:v>
      </x:c>
      <x:c r="X55" s="72" t="n">
        <x:v>45688</x:v>
      </x:c>
      <x:c r="Y55" s="72" t="n">
        <x:f>'净值原始'!C432</x:f>
        <x:v>45653</x:v>
      </x:c>
      <x:c r="Z55" s="72" t="n">
        <x:f>'净值原始'!C437</x:f>
        <x:v>45684</x:v>
      </x:c>
      <x:c r="AA55" s="73" t="n">
        <x:f>'净值原始'!F432</x:f>
        <x:v>1.2873</x:v>
      </x:c>
      <x:c r="AB55" s="73" t="n">
        <x:f>'净值原始'!F437</x:f>
        <x:v>1.2906</x:v>
      </x:c>
      <x:c r="AC55" s="66" t="n">
        <x:f>IF(OR(Y55="",Z55="",Z55&lt;=Y55,W55-Y55&gt;'sheet1-指标体系'!$J$24,X55-Z55&gt;'sheet1-指标体系'!$J$24),0,1)</x:f>
        <x:v>1</x:v>
      </x:c>
      <x:c r="AD55" s="74" t="n">
        <x:f>IF(AC55=0,"",AB55/AA55-1)</x:f>
        <x:v>0.002563505010486855</x:v>
      </x:c>
      <x:c r="AE55" s="66" t="n">
        <x:f>IF(AC55=0,"",IF(AD55&gt;0,1,0))</x:f>
        <x:v>1</x:v>
      </x:c>
    </x:row>
    <x:row r="56" ht="27" customHeight="1">
      <x:c r="A56" s="66"/>
      <x:c r="B56" s="66"/>
      <x:c r="C56" s="66"/>
      <x:c r="D56" s="72"/>
      <x:c r="E56" s="72"/>
      <x:c r="F56" s="72"/>
      <x:c r="G56" s="72"/>
      <x:c r="H56" s="66"/>
      <x:c r="I56" s="66"/>
      <x:c r="J56" s="73"/>
      <x:c r="K56" s="73"/>
      <x:c r="L56" s="74"/>
      <x:c r="M56" s="74"/>
      <x:c r="N56" s="75"/>
      <x:c r="O56" s="74"/>
      <x:c r="P56" s="66"/>
      <x:c r="Q56" s="66"/>
      <x:c r="R56" s="66"/>
      <x:c r="S56" s="66"/>
      <x:c r="T56" s="66" t="str">
        <x:v>SQH214</x:v>
      </x:c>
      <x:c r="U56" s="66" t="str">
        <x:v>常行7号</x:v>
      </x:c>
      <x:c r="V56" s="66" t="str">
        <x:v>2025-02</x:v>
      </x:c>
      <x:c r="W56" s="72" t="n">
        <x:v>45688</x:v>
      </x:c>
      <x:c r="X56" s="72" t="n">
        <x:v>45716</x:v>
      </x:c>
      <x:c r="Y56" s="72" t="n">
        <x:f>'净值原始'!C437</x:f>
        <x:v>45684</x:v>
      </x:c>
      <x:c r="Z56" s="72" t="n">
        <x:f>'净值原始'!C441</x:f>
        <x:v>45716</x:v>
      </x:c>
      <x:c r="AA56" s="73" t="n">
        <x:f>'净值原始'!F437</x:f>
        <x:v>1.2906</x:v>
      </x:c>
      <x:c r="AB56" s="73" t="n">
        <x:f>'净值原始'!F441</x:f>
        <x:v>1.291</x:v>
      </x:c>
      <x:c r="AC56" s="66" t="n">
        <x:f>IF(OR(Y56="",Z56="",Z56&lt;=Y56,W56-Y56&gt;'sheet1-指标体系'!$J$24,X56-Z56&gt;'sheet1-指标体系'!$J$24),0,1)</x:f>
        <x:v>1</x:v>
      </x:c>
      <x:c r="AD56" s="74" t="n">
        <x:f>IF(AC56=0,"",AB56/AA56-1)</x:f>
        <x:v>0.0003099333643266089</x:v>
      </x:c>
      <x:c r="AE56" s="66" t="n">
        <x:f>IF(AC56=0,"",IF(AD56&gt;0,1,0))</x:f>
        <x:v>1</x:v>
      </x:c>
    </x:row>
    <x:row r="57" ht="27" customHeight="1">
      <x:c r="A57" s="66"/>
      <x:c r="B57" s="66"/>
      <x:c r="C57" s="66"/>
      <x:c r="D57" s="72"/>
      <x:c r="E57" s="72"/>
      <x:c r="F57" s="72"/>
      <x:c r="G57" s="72"/>
      <x:c r="H57" s="66"/>
      <x:c r="I57" s="66"/>
      <x:c r="J57" s="73"/>
      <x:c r="K57" s="73"/>
      <x:c r="L57" s="74"/>
      <x:c r="M57" s="74"/>
      <x:c r="N57" s="75"/>
      <x:c r="O57" s="74"/>
      <x:c r="P57" s="66"/>
      <x:c r="Q57" s="66"/>
      <x:c r="R57" s="66"/>
      <x:c r="S57" s="66"/>
      <x:c r="T57" s="66" t="str">
        <x:v>SQH214</x:v>
      </x:c>
      <x:c r="U57" s="66" t="str">
        <x:v>常行7号</x:v>
      </x:c>
      <x:c r="V57" s="66" t="str">
        <x:v>2025-03</x:v>
      </x:c>
      <x:c r="W57" s="72" t="n">
        <x:v>45716</x:v>
      </x:c>
      <x:c r="X57" s="72" t="n">
        <x:v>45747</x:v>
      </x:c>
      <x:c r="Y57" s="72" t="n">
        <x:f>'净值原始'!C441</x:f>
        <x:v>45716</x:v>
      </x:c>
      <x:c r="Z57" s="72" t="n">
        <x:f>'净值原始'!C445</x:f>
        <x:v>45744</x:v>
      </x:c>
      <x:c r="AA57" s="73" t="n">
        <x:f>'净值原始'!F441</x:f>
        <x:v>1.291</x:v>
      </x:c>
      <x:c r="AB57" s="73" t="n">
        <x:f>'净值原始'!F445</x:f>
        <x:v>1.2924</x:v>
      </x:c>
      <x:c r="AC57" s="66" t="n">
        <x:f>IF(OR(Y57="",Z57="",Z57&lt;=Y57,W57-Y57&gt;'sheet1-指标体系'!$J$24,X57-Z57&gt;'sheet1-指标体系'!$J$24),0,1)</x:f>
        <x:v>1</x:v>
      </x:c>
      <x:c r="AD57" s="74" t="n">
        <x:f>IF(AC57=0,"",AB57/AA57-1)</x:f>
        <x:v>0.0010844306738961862</x:v>
      </x:c>
      <x:c r="AE57" s="66" t="n">
        <x:f>IF(AC57=0,"",IF(AD57&gt;0,1,0))</x:f>
        <x:v>1</x:v>
      </x:c>
    </x:row>
    <x:row r="58" ht="27" customHeight="1">
      <x:c r="A58" s="66"/>
      <x:c r="B58" s="66"/>
      <x:c r="C58" s="66"/>
      <x:c r="D58" s="72"/>
      <x:c r="E58" s="72"/>
      <x:c r="F58" s="72"/>
      <x:c r="G58" s="72"/>
      <x:c r="H58" s="66"/>
      <x:c r="I58" s="66"/>
      <x:c r="J58" s="73"/>
      <x:c r="K58" s="73"/>
      <x:c r="L58" s="74"/>
      <x:c r="M58" s="74"/>
      <x:c r="N58" s="75"/>
      <x:c r="O58" s="74"/>
      <x:c r="P58" s="66"/>
      <x:c r="Q58" s="66"/>
      <x:c r="R58" s="66"/>
      <x:c r="S58" s="66"/>
      <x:c r="T58" s="66" t="str">
        <x:v>SQH214</x:v>
      </x:c>
      <x:c r="U58" s="66" t="str">
        <x:v>常行7号</x:v>
      </x:c>
      <x:c r="V58" s="66" t="str">
        <x:v>2025-04</x:v>
      </x:c>
      <x:c r="W58" s="72" t="n">
        <x:v>45747</x:v>
      </x:c>
      <x:c r="X58" s="72" t="n">
        <x:v>45777</x:v>
      </x:c>
      <x:c r="Y58" s="72" t="n">
        <x:f>'净值原始'!C445</x:f>
        <x:v>45744</x:v>
      </x:c>
      <x:c r="Z58" s="72" t="n">
        <x:f>'净值原始'!C450</x:f>
        <x:v>45777</x:v>
      </x:c>
      <x:c r="AA58" s="73" t="n">
        <x:f>'净值原始'!F445</x:f>
        <x:v>1.2924</x:v>
      </x:c>
      <x:c r="AB58" s="73" t="n">
        <x:f>'净值原始'!F450</x:f>
        <x:v>1.2934</x:v>
      </x:c>
      <x:c r="AC58" s="66" t="n">
        <x:f>IF(OR(Y58="",Z58="",Z58&lt;=Y58,W58-Y58&gt;'sheet1-指标体系'!$J$24,X58-Z58&gt;'sheet1-指标体系'!$J$24),0,1)</x:f>
        <x:v>1</x:v>
      </x:c>
      <x:c r="AD58" s="74" t="n">
        <x:f>IF(AC58=0,"",AB58/AA58-1)</x:f>
        <x:v>0.0007737542556485177</x:v>
      </x:c>
      <x:c r="AE58" s="66" t="n">
        <x:f>IF(AC58=0,"",IF(AD58&gt;0,1,0))</x:f>
        <x:v>1</x:v>
      </x:c>
    </x:row>
    <x:row r="59" ht="27" customHeight="1">
      <x:c r="A59" s="66"/>
      <x:c r="B59" s="66"/>
      <x:c r="C59" s="66"/>
      <x:c r="D59" s="72"/>
      <x:c r="E59" s="72"/>
      <x:c r="F59" s="72"/>
      <x:c r="G59" s="72"/>
      <x:c r="H59" s="66"/>
      <x:c r="I59" s="66"/>
      <x:c r="J59" s="73"/>
      <x:c r="K59" s="73"/>
      <x:c r="L59" s="74"/>
      <x:c r="M59" s="74"/>
      <x:c r="N59" s="75"/>
      <x:c r="O59" s="74"/>
      <x:c r="P59" s="66"/>
      <x:c r="Q59" s="66"/>
      <x:c r="R59" s="66"/>
      <x:c r="S59" s="66"/>
      <x:c r="T59" s="66" t="str">
        <x:v>SQH214</x:v>
      </x:c>
      <x:c r="U59" s="66" t="str">
        <x:v>常行7号</x:v>
      </x:c>
      <x:c r="V59" s="66" t="str">
        <x:v>2025-05</x:v>
      </x:c>
      <x:c r="W59" s="72" t="n">
        <x:v>45777</x:v>
      </x:c>
      <x:c r="X59" s="72" t="n">
        <x:v>45808</x:v>
      </x:c>
      <x:c r="Y59" s="72" t="n">
        <x:f>'净值原始'!C450</x:f>
        <x:v>45777</x:v>
      </x:c>
      <x:c r="Z59" s="72" t="n">
        <x:f>'净值原始'!C454</x:f>
        <x:v>45807</x:v>
      </x:c>
      <x:c r="AA59" s="73" t="n">
        <x:f>'净值原始'!F450</x:f>
        <x:v>1.2934</x:v>
      </x:c>
      <x:c r="AB59" s="73" t="n">
        <x:f>'净值原始'!F454</x:f>
        <x:v>1.2951</x:v>
      </x:c>
      <x:c r="AC59" s="66" t="n">
        <x:f>IF(OR(Y59="",Z59="",Z59&lt;=Y59,W59-Y59&gt;'sheet1-指标体系'!$J$24,X59-Z59&gt;'sheet1-指标体系'!$J$24),0,1)</x:f>
        <x:v>1</x:v>
      </x:c>
      <x:c r="AD59" s="74" t="n">
        <x:f>IF(AC59=0,"",AB59/AA59-1)</x:f>
        <x:v>0.0013143652389051574</x:v>
      </x:c>
      <x:c r="AE59" s="66" t="n">
        <x:f>IF(AC59=0,"",IF(AD59&gt;0,1,0))</x:f>
        <x:v>1</x:v>
      </x:c>
    </x:row>
    <x:row r="60" ht="27" customHeight="1">
      <x:c r="A60" s="66"/>
      <x:c r="B60" s="66"/>
      <x:c r="C60" s="66"/>
      <x:c r="D60" s="72"/>
      <x:c r="E60" s="72"/>
      <x:c r="F60" s="72"/>
      <x:c r="G60" s="72"/>
      <x:c r="H60" s="66"/>
      <x:c r="I60" s="66"/>
      <x:c r="J60" s="73"/>
      <x:c r="K60" s="73"/>
      <x:c r="L60" s="74"/>
      <x:c r="M60" s="74"/>
      <x:c r="N60" s="75"/>
      <x:c r="O60" s="74"/>
      <x:c r="P60" s="66"/>
      <x:c r="Q60" s="66"/>
      <x:c r="R60" s="66"/>
      <x:c r="S60" s="66"/>
      <x:c r="T60" s="66" t="str">
        <x:v>SQH214</x:v>
      </x:c>
      <x:c r="U60" s="66" t="str">
        <x:v>常行7号</x:v>
      </x:c>
      <x:c r="V60" s="66" t="str">
        <x:v>2025-06</x:v>
      </x:c>
      <x:c r="W60" s="72" t="n">
        <x:v>45808</x:v>
      </x:c>
      <x:c r="X60" s="72" t="n">
        <x:v>45838</x:v>
      </x:c>
      <x:c r="Y60" s="72" t="n">
        <x:f>'净值原始'!C454</x:f>
        <x:v>45807</x:v>
      </x:c>
      <x:c r="Z60" s="72" t="n">
        <x:f>'净值原始'!C458</x:f>
        <x:v>45835</x:v>
      </x:c>
      <x:c r="AA60" s="73" t="n">
        <x:f>'净值原始'!F454</x:f>
        <x:v>1.2951</x:v>
      </x:c>
      <x:c r="AB60" s="73" t="n">
        <x:f>'净值原始'!F458</x:f>
        <x:v>1.298</x:v>
      </x:c>
      <x:c r="AC60" s="66" t="n">
        <x:f>IF(OR(Y60="",Z60="",Z60&lt;=Y60,W60-Y60&gt;'sheet1-指标体系'!$J$24,X60-Z60&gt;'sheet1-指标体系'!$J$24),0,1)</x:f>
        <x:v>1</x:v>
      </x:c>
      <x:c r="AD60" s="74" t="n">
        <x:f>IF(AC60=0,"",AB60/AA60-1)</x:f>
        <x:v>0.0022392093274652414</x:v>
      </x:c>
      <x:c r="AE60" s="66" t="n">
        <x:f>IF(AC60=0,"",IF(AD60&gt;0,1,0))</x:f>
        <x:v>1</x:v>
      </x:c>
    </x:row>
    <x:row r="61" ht="27" customHeight="1">
      <x:c r="A61" s="66"/>
      <x:c r="B61" s="66"/>
      <x:c r="C61" s="66"/>
      <x:c r="D61" s="72"/>
      <x:c r="E61" s="72"/>
      <x:c r="F61" s="72"/>
      <x:c r="G61" s="72"/>
      <x:c r="H61" s="66"/>
      <x:c r="I61" s="66"/>
      <x:c r="J61" s="73"/>
      <x:c r="K61" s="73"/>
      <x:c r="L61" s="74"/>
      <x:c r="M61" s="74"/>
      <x:c r="N61" s="75"/>
      <x:c r="O61" s="74"/>
      <x:c r="P61" s="66"/>
      <x:c r="Q61" s="66"/>
      <x:c r="R61" s="66"/>
      <x:c r="S61" s="66"/>
      <x:c r="T61" s="66" t="str">
        <x:v>SQH214</x:v>
      </x:c>
      <x:c r="U61" s="66" t="str">
        <x:v>常行7号</x:v>
      </x:c>
      <x:c r="V61" s="66" t="str">
        <x:v>2025-07</x:v>
      </x:c>
      <x:c r="W61" s="72" t="n">
        <x:v>45838</x:v>
      </x:c>
      <x:c r="X61" s="72" t="n">
        <x:v>45869</x:v>
      </x:c>
      <x:c r="Y61" s="72" t="n">
        <x:f>'净值原始'!C458</x:f>
        <x:v>45835</x:v>
      </x:c>
      <x:c r="Z61" s="72" t="n">
        <x:f>'净值原始'!C462</x:f>
        <x:v>45863</x:v>
      </x:c>
      <x:c r="AA61" s="73" t="n">
        <x:f>'净值原始'!F458</x:f>
        <x:v>1.298</x:v>
      </x:c>
      <x:c r="AB61" s="73" t="n">
        <x:f>'净值原始'!F462</x:f>
        <x:v>1.2964</x:v>
      </x:c>
      <x:c r="AC61" s="66" t="n">
        <x:f>IF(OR(Y61="",Z61="",Z61&lt;=Y61,W61-Y61&gt;'sheet1-指标体系'!$J$24,X61-Z61&gt;'sheet1-指标体系'!$J$24),0,1)</x:f>
        <x:v>1</x:v>
      </x:c>
      <x:c r="AD61" s="74" t="n">
        <x:f>IF(AC61=0,"",AB61/AA61-1)</x:f>
        <x:v>-0.0012326656394453517</x:v>
      </x:c>
      <x:c r="AE61" s="66" t="n">
        <x:f>IF(AC61=0,"",IF(AD61&gt;0,1,0))</x:f>
        <x:v>0</x:v>
      </x:c>
    </x:row>
    <x:row r="62" ht="27" customHeight="1">
      <x:c r="A62" s="66"/>
      <x:c r="B62" s="66"/>
      <x:c r="C62" s="66"/>
      <x:c r="D62" s="72"/>
      <x:c r="E62" s="72"/>
      <x:c r="F62" s="72"/>
      <x:c r="G62" s="72"/>
      <x:c r="H62" s="66"/>
      <x:c r="I62" s="66"/>
      <x:c r="J62" s="73"/>
      <x:c r="K62" s="73"/>
      <x:c r="L62" s="74"/>
      <x:c r="M62" s="74"/>
      <x:c r="N62" s="75"/>
      <x:c r="O62" s="74"/>
      <x:c r="P62" s="66"/>
      <x:c r="Q62" s="66"/>
      <x:c r="R62" s="66"/>
      <x:c r="S62" s="66"/>
      <x:c r="T62" s="66" t="str">
        <x:v>SQH214</x:v>
      </x:c>
      <x:c r="U62" s="66" t="str">
        <x:v>常行7号</x:v>
      </x:c>
      <x:c r="V62" s="66" t="str">
        <x:v>2025-08</x:v>
      </x:c>
      <x:c r="W62" s="72" t="n">
        <x:v>45869</x:v>
      </x:c>
      <x:c r="X62" s="72" t="n">
        <x:v>45900</x:v>
      </x:c>
      <x:c r="Y62" s="72" t="n">
        <x:f>'净值原始'!C462</x:f>
        <x:v>45863</x:v>
      </x:c>
      <x:c r="Z62" s="72" t="n">
        <x:f>'净值原始'!C467</x:f>
        <x:v>45898</x:v>
      </x:c>
      <x:c r="AA62" s="73" t="n">
        <x:f>'净值原始'!F462</x:f>
        <x:v>1.2964</x:v>
      </x:c>
      <x:c r="AB62" s="73" t="n">
        <x:f>'净值原始'!F467</x:f>
        <x:v>1.3019</x:v>
      </x:c>
      <x:c r="AC62" s="66" t="n">
        <x:f>IF(OR(Y62="",Z62="",Z62&lt;=Y62,W62-Y62&gt;'sheet1-指标体系'!$J$24,X62-Z62&gt;'sheet1-指标体系'!$J$24),0,1)</x:f>
        <x:v>1</x:v>
      </x:c>
      <x:c r="AD62" s="74" t="n">
        <x:f>IF(AC62=0,"",AB62/AA62-1)</x:f>
        <x:v>0.004242517741437801</x:v>
      </x:c>
      <x:c r="AE62" s="66" t="n">
        <x:f>IF(AC62=0,"",IF(AD62&gt;0,1,0))</x:f>
        <x:v>1</x:v>
      </x:c>
    </x:row>
    <x:row r="63" ht="27" customHeight="1">
      <x:c r="A63" s="66"/>
      <x:c r="B63" s="66"/>
      <x:c r="C63" s="66"/>
      <x:c r="D63" s="72"/>
      <x:c r="E63" s="72"/>
      <x:c r="F63" s="72"/>
      <x:c r="G63" s="72"/>
      <x:c r="H63" s="66"/>
      <x:c r="I63" s="66"/>
      <x:c r="J63" s="73"/>
      <x:c r="K63" s="73"/>
      <x:c r="L63" s="74"/>
      <x:c r="M63" s="74"/>
      <x:c r="N63" s="75"/>
      <x:c r="O63" s="74"/>
      <x:c r="P63" s="66"/>
      <x:c r="Q63" s="66"/>
      <x:c r="R63" s="66"/>
      <x:c r="S63" s="66"/>
      <x:c r="T63" s="66" t="str">
        <x:v>SQH214</x:v>
      </x:c>
      <x:c r="U63" s="66" t="str">
        <x:v>常行7号</x:v>
      </x:c>
      <x:c r="V63" s="66" t="str">
        <x:v>2025-09</x:v>
      </x:c>
      <x:c r="W63" s="72" t="n">
        <x:v>45900</x:v>
      </x:c>
      <x:c r="X63" s="72" t="n">
        <x:v>45930</x:v>
      </x:c>
      <x:c r="Y63" s="72" t="n">
        <x:f>'净值原始'!C467</x:f>
        <x:v>45898</x:v>
      </x:c>
      <x:c r="Z63" s="72" t="n">
        <x:f>'净值原始'!C472</x:f>
        <x:v>45930</x:v>
      </x:c>
      <x:c r="AA63" s="73" t="n">
        <x:f>'净值原始'!F467</x:f>
        <x:v>1.3019</x:v>
      </x:c>
      <x:c r="AB63" s="73" t="n">
        <x:f>'净值原始'!F472</x:f>
        <x:v>1.3167</x:v>
      </x:c>
      <x:c r="AC63" s="66" t="n">
        <x:f>IF(OR(Y63="",Z63="",Z63&lt;=Y63,W63-Y63&gt;'sheet1-指标体系'!$J$24,X63-Z63&gt;'sheet1-指标体系'!$J$24),0,1)</x:f>
        <x:v>1</x:v>
      </x:c>
      <x:c r="AD63" s="74" t="n">
        <x:f>IF(AC63=0,"",AB63/AA63-1)</x:f>
        <x:v>0.011368000614486506</x:v>
      </x:c>
      <x:c r="AE63" s="66" t="n">
        <x:f>IF(AC63=0,"",IF(AD63&gt;0,1,0))</x:f>
        <x:v>1</x:v>
      </x:c>
    </x:row>
    <x:row r="64" ht="27" customHeight="1">
      <x:c r="A64" s="66"/>
      <x:c r="B64" s="66"/>
      <x:c r="C64" s="66"/>
      <x:c r="D64" s="72"/>
      <x:c r="E64" s="72"/>
      <x:c r="F64" s="72"/>
      <x:c r="G64" s="72"/>
      <x:c r="H64" s="66"/>
      <x:c r="I64" s="66"/>
      <x:c r="J64" s="73"/>
      <x:c r="K64" s="73"/>
      <x:c r="L64" s="74"/>
      <x:c r="M64" s="74"/>
      <x:c r="N64" s="75"/>
      <x:c r="O64" s="74"/>
      <x:c r="P64" s="66"/>
      <x:c r="Q64" s="66"/>
      <x:c r="R64" s="66"/>
      <x:c r="S64" s="66"/>
      <x:c r="T64" s="66" t="str">
        <x:v>SQH214</x:v>
      </x:c>
      <x:c r="U64" s="66" t="str">
        <x:v>常行7号</x:v>
      </x:c>
      <x:c r="V64" s="66" t="str">
        <x:v>2025-10</x:v>
      </x:c>
      <x:c r="W64" s="72" t="n">
        <x:v>45930</x:v>
      </x:c>
      <x:c r="X64" s="72" t="n">
        <x:v>45961</x:v>
      </x:c>
      <x:c r="Y64" s="72" t="n">
        <x:f>'净值原始'!C472</x:f>
        <x:v>45930</x:v>
      </x:c>
      <x:c r="Z64" s="72" t="n">
        <x:f>'净值原始'!C476</x:f>
        <x:v>45961</x:v>
      </x:c>
      <x:c r="AA64" s="73" t="n">
        <x:f>'净值原始'!F472</x:f>
        <x:v>1.3167</x:v>
      </x:c>
      <x:c r="AB64" s="73" t="n">
        <x:f>'净值原始'!F476</x:f>
        <x:v>1.3236</x:v>
      </x:c>
      <x:c r="AC64" s="66" t="n">
        <x:f>IF(OR(Y64="",Z64="",Z64&lt;=Y64,W64-Y64&gt;'sheet1-指标体系'!$J$24,X64-Z64&gt;'sheet1-指标体系'!$J$24),0,1)</x:f>
        <x:v>1</x:v>
      </x:c>
      <x:c r="AD64" s="74" t="n">
        <x:f>IF(AC64=0,"",AB64/AA64-1)</x:f>
        <x:v>0.0052403736614263785</x:v>
      </x:c>
      <x:c r="AE64" s="66" t="n">
        <x:f>IF(AC64=0,"",IF(AD64&gt;0,1,0))</x:f>
        <x:v>1</x:v>
      </x:c>
    </x:row>
    <x:row r="65" ht="27" customHeight="1">
      <x:c r="A65" s="66"/>
      <x:c r="B65" s="66"/>
      <x:c r="C65" s="66"/>
      <x:c r="D65" s="72"/>
      <x:c r="E65" s="72"/>
      <x:c r="F65" s="72"/>
      <x:c r="G65" s="72"/>
      <x:c r="H65" s="66"/>
      <x:c r="I65" s="66"/>
      <x:c r="J65" s="73"/>
      <x:c r="K65" s="73"/>
      <x:c r="L65" s="74"/>
      <x:c r="M65" s="74"/>
      <x:c r="N65" s="75"/>
      <x:c r="O65" s="74"/>
      <x:c r="P65" s="66"/>
      <x:c r="Q65" s="66"/>
      <x:c r="R65" s="66"/>
      <x:c r="S65" s="66"/>
      <x:c r="T65" s="66" t="str">
        <x:v>SQH214</x:v>
      </x:c>
      <x:c r="U65" s="66" t="str">
        <x:v>常行7号</x:v>
      </x:c>
      <x:c r="V65" s="66" t="str">
        <x:v>2025-11</x:v>
      </x:c>
      <x:c r="W65" s="72" t="n">
        <x:v>45961</x:v>
      </x:c>
      <x:c r="X65" s="72" t="n">
        <x:v>45991</x:v>
      </x:c>
      <x:c r="Y65" s="72" t="n">
        <x:f>'净值原始'!C476</x:f>
        <x:v>45961</x:v>
      </x:c>
      <x:c r="Z65" s="72" t="n">
        <x:f>'净值原始'!C480</x:f>
        <x:v>45989</x:v>
      </x:c>
      <x:c r="AA65" s="73" t="n">
        <x:f>'净值原始'!F476</x:f>
        <x:v>1.3236</x:v>
      </x:c>
      <x:c r="AB65" s="73" t="n">
        <x:f>'净值原始'!F480</x:f>
        <x:v>1.3315</x:v>
      </x:c>
      <x:c r="AC65" s="66" t="n">
        <x:f>IF(OR(Y65="",Z65="",Z65&lt;=Y65,W65-Y65&gt;'sheet1-指标体系'!$J$24,X65-Z65&gt;'sheet1-指标体系'!$J$24),0,1)</x:f>
        <x:v>1</x:v>
      </x:c>
      <x:c r="AD65" s="74" t="n">
        <x:f>IF(AC65=0,"",AB65/AA65-1)</x:f>
        <x:v>0.005968570565125342</x:v>
      </x:c>
      <x:c r="AE65" s="66" t="n">
        <x:f>IF(AC65=0,"",IF(AD65&gt;0,1,0))</x:f>
        <x:v>1</x:v>
      </x:c>
    </x:row>
    <x:row r="66" ht="27" customHeight="1">
      <x:c r="A66" s="66"/>
      <x:c r="B66" s="66"/>
      <x:c r="C66" s="66"/>
      <x:c r="D66" s="72"/>
      <x:c r="E66" s="72"/>
      <x:c r="F66" s="72"/>
      <x:c r="G66" s="72"/>
      <x:c r="H66" s="66"/>
      <x:c r="I66" s="66"/>
      <x:c r="J66" s="73"/>
      <x:c r="K66" s="73"/>
      <x:c r="L66" s="74"/>
      <x:c r="M66" s="74"/>
      <x:c r="N66" s="75"/>
      <x:c r="O66" s="74"/>
      <x:c r="P66" s="66"/>
      <x:c r="Q66" s="66"/>
      <x:c r="R66" s="66"/>
      <x:c r="S66" s="66"/>
      <x:c r="T66" s="66" t="str">
        <x:v>SQH214</x:v>
      </x:c>
      <x:c r="U66" s="66" t="str">
        <x:v>常行7号</x:v>
      </x:c>
      <x:c r="V66" s="66" t="str">
        <x:v>2025-12</x:v>
      </x:c>
      <x:c r="W66" s="72" t="n">
        <x:v>45991</x:v>
      </x:c>
      <x:c r="X66" s="72" t="n">
        <x:v>46022</x:v>
      </x:c>
      <x:c r="Y66" s="72" t="n">
        <x:f>'净值原始'!C480</x:f>
        <x:v>45989</x:v>
      </x:c>
      <x:c r="Z66" s="72" t="n">
        <x:f>'净值原始'!C485</x:f>
        <x:v>46022</x:v>
      </x:c>
      <x:c r="AA66" s="73" t="n">
        <x:f>'净值原始'!F480</x:f>
        <x:v>1.3315</x:v>
      </x:c>
      <x:c r="AB66" s="73" t="n">
        <x:f>'净值原始'!F485</x:f>
        <x:v>1.3339</x:v>
      </x:c>
      <x:c r="AC66" s="66" t="n">
        <x:f>IF(OR(Y66="",Z66="",Z66&lt;=Y66,W66-Y66&gt;'sheet1-指标体系'!$J$24,X66-Z66&gt;'sheet1-指标体系'!$J$24),0,1)</x:f>
        <x:v>1</x:v>
      </x:c>
      <x:c r="AD66" s="74" t="n">
        <x:f>IF(AC66=0,"",AB66/AA66-1)</x:f>
        <x:v>0.0018024784078107814</x:v>
      </x:c>
      <x:c r="AE66" s="66" t="n">
        <x:f>IF(AC66=0,"",IF(AD66&gt;0,1,0))</x:f>
        <x:v>1</x:v>
      </x:c>
    </x:row>
    <x:row r="67" ht="27" customHeight="1">
      <x:c r="A67" s="66"/>
      <x:c r="B67" s="66"/>
      <x:c r="C67" s="66"/>
      <x:c r="D67" s="72"/>
      <x:c r="E67" s="72"/>
      <x:c r="F67" s="72"/>
      <x:c r="G67" s="72"/>
      <x:c r="H67" s="66"/>
      <x:c r="I67" s="66"/>
      <x:c r="J67" s="73"/>
      <x:c r="K67" s="73"/>
      <x:c r="L67" s="74"/>
      <x:c r="M67" s="74"/>
      <x:c r="N67" s="75"/>
      <x:c r="O67" s="74"/>
      <x:c r="P67" s="66"/>
      <x:c r="Q67" s="66"/>
      <x:c r="R67" s="66"/>
      <x:c r="S67" s="66"/>
      <x:c r="T67" s="66" t="str">
        <x:v>SQH214</x:v>
      </x:c>
      <x:c r="U67" s="66" t="str">
        <x:v>常行7号</x:v>
      </x:c>
      <x:c r="V67" s="66" t="str">
        <x:v>2026-01</x:v>
      </x:c>
      <x:c r="W67" s="72" t="n">
        <x:v>46022</x:v>
      </x:c>
      <x:c r="X67" s="72" t="n">
        <x:v>46053</x:v>
      </x:c>
      <x:c r="Y67" s="72" t="n">
        <x:f>'净值原始'!C485</x:f>
        <x:v>46022</x:v>
      </x:c>
      <x:c r="Z67" s="72" t="n">
        <x:f>'净值原始'!C489</x:f>
        <x:v>46052</x:v>
      </x:c>
      <x:c r="AA67" s="73" t="n">
        <x:f>'净值原始'!F485</x:f>
        <x:v>1.3339</x:v>
      </x:c>
      <x:c r="AB67" s="73" t="n">
        <x:f>'净值原始'!F489</x:f>
        <x:v>1.3432</x:v>
      </x:c>
      <x:c r="AC67" s="66" t="n">
        <x:f>IF(OR(Y67="",Z67="",Z67&lt;=Y67,W67-Y67&gt;'sheet1-指标体系'!$J$24,X67-Z67&gt;'sheet1-指标体系'!$J$24),0,1)</x:f>
        <x:v>1</x:v>
      </x:c>
      <x:c r="AD67" s="74" t="n">
        <x:f>IF(AC67=0,"",AB67/AA67-1)</x:f>
        <x:v>0.006972036884324018</x:v>
      </x:c>
      <x:c r="AE67" s="66" t="n">
        <x:f>IF(AC67=0,"",IF(AD67&gt;0,1,0))</x:f>
        <x:v>1</x:v>
      </x:c>
    </x:row>
    <x:row r="68" ht="27" customHeight="1">
      <x:c r="A68" s="66"/>
      <x:c r="B68" s="66"/>
      <x:c r="C68" s="66"/>
      <x:c r="D68" s="72"/>
      <x:c r="E68" s="72"/>
      <x:c r="F68" s="72"/>
      <x:c r="G68" s="72"/>
      <x:c r="H68" s="66"/>
      <x:c r="I68" s="66"/>
      <x:c r="J68" s="73"/>
      <x:c r="K68" s="73"/>
      <x:c r="L68" s="74"/>
      <x:c r="M68" s="74"/>
      <x:c r="N68" s="75"/>
      <x:c r="O68" s="74"/>
      <x:c r="P68" s="66"/>
      <x:c r="Q68" s="66"/>
      <x:c r="R68" s="66"/>
      <x:c r="S68" s="66"/>
      <x:c r="T68" s="66" t="str">
        <x:v>SQH214</x:v>
      </x:c>
      <x:c r="U68" s="66" t="str">
        <x:v>常行7号</x:v>
      </x:c>
      <x:c r="V68" s="66" t="str">
        <x:v>2026-02</x:v>
      </x:c>
      <x:c r="W68" s="72" t="n">
        <x:v>46053</x:v>
      </x:c>
      <x:c r="X68" s="72" t="n">
        <x:v>46081</x:v>
      </x:c>
      <x:c r="Y68" s="72" t="n">
        <x:f>'净值原始'!C489</x:f>
        <x:v>46052</x:v>
      </x:c>
      <x:c r="Z68" s="72" t="n">
        <x:f>'净值原始'!C492</x:f>
        <x:v>46080</x:v>
      </x:c>
      <x:c r="AA68" s="73" t="n">
        <x:f>'净值原始'!F489</x:f>
        <x:v>1.3432</x:v>
      </x:c>
      <x:c r="AB68" s="73" t="n">
        <x:f>'净值原始'!F492</x:f>
        <x:v>1.3558</x:v>
      </x:c>
      <x:c r="AC68" s="66" t="n">
        <x:f>IF(OR(Y68="",Z68="",Z68&lt;=Y68,W68-Y68&gt;'sheet1-指标体系'!$J$24,X68-Z68&gt;'sheet1-指标体系'!$J$24),0,1)</x:f>
        <x:v>1</x:v>
      </x:c>
      <x:c r="AD68" s="74" t="n">
        <x:f>IF(AC68=0,"",AB68/AA68-1)</x:f>
        <x:v>0.009380583680762333</x:v>
      </x:c>
      <x:c r="AE68" s="66" t="n">
        <x:f>IF(AC68=0,"",IF(AD68&gt;0,1,0))</x:f>
        <x:v>1</x:v>
      </x:c>
    </x:row>
    <x:row r="69" ht="27" customHeight="1">
      <x:c r="A69" s="66"/>
      <x:c r="B69" s="66"/>
      <x:c r="C69" s="66"/>
      <x:c r="D69" s="72"/>
      <x:c r="E69" s="72"/>
      <x:c r="F69" s="72"/>
      <x:c r="G69" s="72"/>
      <x:c r="H69" s="66"/>
      <x:c r="I69" s="66"/>
      <x:c r="J69" s="73"/>
      <x:c r="K69" s="73"/>
      <x:c r="L69" s="74"/>
      <x:c r="M69" s="74"/>
      <x:c r="N69" s="75"/>
      <x:c r="O69" s="74"/>
      <x:c r="P69" s="66"/>
      <x:c r="Q69" s="66"/>
      <x:c r="R69" s="66"/>
      <x:c r="S69" s="66"/>
      <x:c r="T69" s="66" t="str">
        <x:v>SQH214</x:v>
      </x:c>
      <x:c r="U69" s="66" t="str">
        <x:v>常行7号</x:v>
      </x:c>
      <x:c r="V69" s="66" t="str">
        <x:v>2026-03</x:v>
      </x:c>
      <x:c r="W69" s="72" t="n">
        <x:v>46081</x:v>
      </x:c>
      <x:c r="X69" s="72" t="n">
        <x:v>46112</x:v>
      </x:c>
      <x:c r="Y69" s="72" t="n">
        <x:f>'净值原始'!C492</x:f>
        <x:v>46080</x:v>
      </x:c>
      <x:c r="Z69" s="72" t="n">
        <x:f>'净值原始'!C496</x:f>
        <x:v>46108</x:v>
      </x:c>
      <x:c r="AA69" s="73" t="n">
        <x:f>'净值原始'!F492</x:f>
        <x:v>1.3558</x:v>
      </x:c>
      <x:c r="AB69" s="73" t="n">
        <x:f>'净值原始'!F496</x:f>
        <x:v>1.369</x:v>
      </x:c>
      <x:c r="AC69" s="66" t="n">
        <x:f>IF(OR(Y69="",Z69="",Z69&lt;=Y69,W69-Y69&gt;'sheet1-指标体系'!$J$24,X69-Z69&gt;'sheet1-指标体系'!$J$24),0,1)</x:f>
        <x:v>1</x:v>
      </x:c>
      <x:c r="AD69" s="74" t="n">
        <x:f>IF(AC69=0,"",AB69/AA69-1)</x:f>
        <x:v>0.00973594925505239</x:v>
      </x:c>
      <x:c r="AE69" s="66" t="n">
        <x:f>IF(AC69=0,"",IF(AD69&gt;0,1,0))</x:f>
        <x:v>1</x:v>
      </x:c>
    </x:row>
    <x:row r="70" ht="27" customHeight="1">
      <x:c r="A70" s="66"/>
      <x:c r="B70" s="66"/>
      <x:c r="C70" s="66"/>
      <x:c r="D70" s="72"/>
      <x:c r="E70" s="72"/>
      <x:c r="F70" s="72"/>
      <x:c r="G70" s="72"/>
      <x:c r="H70" s="66"/>
      <x:c r="I70" s="66"/>
      <x:c r="J70" s="73"/>
      <x:c r="K70" s="73"/>
      <x:c r="L70" s="74"/>
      <x:c r="M70" s="74"/>
      <x:c r="N70" s="75"/>
      <x:c r="O70" s="74"/>
      <x:c r="P70" s="66"/>
      <x:c r="Q70" s="66"/>
      <x:c r="R70" s="66"/>
      <x:c r="S70" s="66"/>
      <x:c r="T70" s="66" t="str">
        <x:v>SQH214</x:v>
      </x:c>
      <x:c r="U70" s="66" t="str">
        <x:v>常行7号</x:v>
      </x:c>
      <x:c r="V70" s="66" t="str">
        <x:v>2026-04</x:v>
      </x:c>
      <x:c r="W70" s="72" t="n">
        <x:v>46112</x:v>
      </x:c>
      <x:c r="X70" s="72" t="n">
        <x:v>46142</x:v>
      </x:c>
      <x:c r="Y70" s="72" t="n">
        <x:f>'净值原始'!C496</x:f>
        <x:v>46108</x:v>
      </x:c>
      <x:c r="Z70" s="72" t="n">
        <x:f>'净值原始'!C501</x:f>
        <x:v>46142</x:v>
      </x:c>
      <x:c r="AA70" s="73" t="n">
        <x:f>'净值原始'!F496</x:f>
        <x:v>1.369</x:v>
      </x:c>
      <x:c r="AB70" s="73" t="n">
        <x:f>'净值原始'!F501</x:f>
        <x:v>1.377</x:v>
      </x:c>
      <x:c r="AC70" s="66" t="n">
        <x:f>IF(OR(Y70="",Z70="",Z70&lt;=Y70,W70-Y70&gt;'sheet1-指标体系'!$J$24,X70-Z70&gt;'sheet1-指标体系'!$J$24),0,1)</x:f>
        <x:v>1</x:v>
      </x:c>
      <x:c r="AD70" s="74" t="n">
        <x:f>IF(AC70=0,"",AB70/AA70-1)</x:f>
        <x:v>0.005843681519357213</x:v>
      </x:c>
      <x:c r="AE70" s="66" t="n">
        <x:f>IF(AC70=0,"",IF(AD70&gt;0,1,0))</x:f>
        <x:v>1</x:v>
      </x:c>
    </x:row>
    <x:row r="71" ht="27" customHeight="1">
      <x:c r="A71" s="66"/>
      <x:c r="B71" s="66"/>
      <x:c r="C71" s="66"/>
      <x:c r="D71" s="72"/>
      <x:c r="E71" s="72"/>
      <x:c r="F71" s="72"/>
      <x:c r="G71" s="72"/>
      <x:c r="H71" s="66"/>
      <x:c r="I71" s="66"/>
      <x:c r="J71" s="73"/>
      <x:c r="K71" s="73"/>
      <x:c r="L71" s="74"/>
      <x:c r="M71" s="74"/>
      <x:c r="N71" s="75"/>
      <x:c r="O71" s="74"/>
      <x:c r="P71" s="66"/>
      <x:c r="Q71" s="66"/>
      <x:c r="R71" s="66"/>
      <x:c r="S71" s="66"/>
      <x:c r="T71" s="66" t="str">
        <x:v>SQH214</x:v>
      </x:c>
      <x:c r="U71" s="66" t="str">
        <x:v>常行7号</x:v>
      </x:c>
      <x:c r="V71" s="66" t="str">
        <x:v>2026-05</x:v>
      </x:c>
      <x:c r="W71" s="72" t="n">
        <x:v>46142</x:v>
      </x:c>
      <x:c r="X71" s="72" t="n">
        <x:v>46173</x:v>
      </x:c>
      <x:c r="Y71" s="72" t="n">
        <x:f>'净值原始'!C501</x:f>
        <x:v>46142</x:v>
      </x:c>
      <x:c r="Z71" s="72" t="n">
        <x:f>'净值原始'!C505</x:f>
        <x:v>46171</x:v>
      </x:c>
      <x:c r="AA71" s="73" t="n">
        <x:f>'净值原始'!F501</x:f>
        <x:v>1.377</x:v>
      </x:c>
      <x:c r="AB71" s="73" t="n">
        <x:f>'净值原始'!F505</x:f>
        <x:v>1.3814</x:v>
      </x:c>
      <x:c r="AC71" s="66" t="n">
        <x:f>IF(OR(Y71="",Z71="",Z71&lt;=Y71,W71-Y71&gt;'sheet1-指标体系'!$J$24,X71-Z71&gt;'sheet1-指标体系'!$J$24),0,1)</x:f>
        <x:v>1</x:v>
      </x:c>
      <x:c r="AD71" s="74" t="n">
        <x:f>IF(AC71=0,"",AB71/AA71-1)</x:f>
        <x:v>0.0031953522149599234</x:v>
      </x:c>
      <x:c r="AE71" s="66" t="n">
        <x:f>IF(AC71=0,"",IF(AD71&gt;0,1,0))</x:f>
        <x:v>1</x:v>
      </x:c>
    </x:row>
    <x:row r="72" ht="27" customHeight="1">
      <x:c r="A72" s="66"/>
      <x:c r="B72" s="66"/>
      <x:c r="C72" s="66"/>
      <x:c r="D72" s="72"/>
      <x:c r="E72" s="72"/>
      <x:c r="F72" s="72"/>
      <x:c r="G72" s="72"/>
      <x:c r="H72" s="66"/>
      <x:c r="I72" s="66"/>
      <x:c r="J72" s="73"/>
      <x:c r="K72" s="73"/>
      <x:c r="L72" s="74"/>
      <x:c r="M72" s="74"/>
      <x:c r="N72" s="75"/>
      <x:c r="O72" s="74"/>
      <x:c r="P72" s="66"/>
      <x:c r="Q72" s="66"/>
      <x:c r="R72" s="66"/>
      <x:c r="S72" s="66"/>
      <x:c r="T72" s="66" t="str">
        <x:v>SQH214</x:v>
      </x:c>
      <x:c r="U72" s="66" t="str">
        <x:v>常行7号</x:v>
      </x:c>
      <x:c r="V72" s="66" t="str">
        <x:v>2026-06</x:v>
      </x:c>
      <x:c r="W72" s="72" t="n">
        <x:v>46173</x:v>
      </x:c>
      <x:c r="X72" s="72" t="n">
        <x:v>46203</x:v>
      </x:c>
      <x:c r="Y72" s="72" t="n">
        <x:f>'净值原始'!C505</x:f>
        <x:v>46171</x:v>
      </x:c>
      <x:c r="Z72" s="72" t="n">
        <x:f>'净值原始'!C509</x:f>
        <x:v>46199</x:v>
      </x:c>
      <x:c r="AA72" s="73" t="n">
        <x:f>'净值原始'!F505</x:f>
        <x:v>1.3814</x:v>
      </x:c>
      <x:c r="AB72" s="73" t="n">
        <x:f>'净值原始'!F509</x:f>
        <x:v>1.3881</x:v>
      </x:c>
      <x:c r="AC72" s="66" t="n">
        <x:f>IF(OR(Y72="",Z72="",Z72&lt;=Y72,W72-Y72&gt;'sheet1-指标体系'!$J$24,X72-Z72&gt;'sheet1-指标体系'!$J$24),0,1)</x:f>
        <x:v>1</x:v>
      </x:c>
      <x:c r="AD72" s="74" t="n">
        <x:f>IF(AC72=0,"",AB72/AA72-1)</x:f>
        <x:v>0.00485015201969019</x:v>
      </x:c>
      <x:c r="AE72" s="66" t="n">
        <x:f>IF(AC72=0,"",IF(AD72&gt;0,1,0))</x:f>
        <x:v>1</x:v>
      </x:c>
    </x:row>
    <x:row r="73" ht="27" customHeight="1">
      <x:c r="A73" s="66"/>
      <x:c r="B73" s="66"/>
      <x:c r="C73" s="66"/>
      <x:c r="D73" s="72"/>
      <x:c r="E73" s="72"/>
      <x:c r="F73" s="72"/>
      <x:c r="G73" s="72"/>
      <x:c r="H73" s="66"/>
      <x:c r="I73" s="66"/>
      <x:c r="J73" s="73"/>
      <x:c r="K73" s="73"/>
      <x:c r="L73" s="74"/>
      <x:c r="M73" s="74"/>
      <x:c r="N73" s="75"/>
      <x:c r="O73" s="74"/>
      <x:c r="P73" s="66"/>
      <x:c r="Q73" s="66"/>
      <x:c r="R73" s="66"/>
      <x:c r="S73" s="66"/>
      <x:c r="T73" s="66" t="str">
        <x:v>SQH214</x:v>
      </x:c>
      <x:c r="U73" s="66" t="str">
        <x:v>常行7号</x:v>
      </x:c>
      <x:c r="V73" s="66" t="str">
        <x:v>2026-07</x:v>
      </x:c>
      <x:c r="W73" s="72" t="n">
        <x:v>46203</x:v>
      </x:c>
      <x:c r="X73" s="72" t="n">
        <x:v>46234</x:v>
      </x:c>
      <x:c r="Y73" s="72" t="n">
        <x:f>'净值原始'!C509</x:f>
        <x:v>46199</x:v>
      </x:c>
      <x:c r="Z73" s="72" t="n">
        <x:f>'净值原始'!C514</x:f>
        <x:v>46234</x:v>
      </x:c>
      <x:c r="AA73" s="73" t="n">
        <x:f>'净值原始'!F509</x:f>
        <x:v>1.3881</x:v>
      </x:c>
      <x:c r="AB73" s="73" t="n">
        <x:f>'净值原始'!F514</x:f>
        <x:v>1.3943</x:v>
      </x:c>
      <x:c r="AC73" s="66" t="n">
        <x:f>IF(OR(Y73="",Z73="",Z73&lt;=Y73,W73-Y73&gt;'sheet1-指标体系'!$J$24,X73-Z73&gt;'sheet1-指标体系'!$J$24),0,1)</x:f>
        <x:v>1</x:v>
      </x:c>
      <x:c r="AD73" s="74" t="n">
        <x:f>IF(AC73=0,"",AB73/AA73-1)</x:f>
        <x:v>0.004466536993012138</x:v>
      </x:c>
      <x:c r="AE73" s="66" t="n">
        <x:f>IF(AC73=0,"",IF(AD73&gt;0,1,0))</x:f>
        <x:v>1</x:v>
      </x:c>
    </x:row>
    <x:row r="74" ht="27" customHeight="1">
      <x:c r="A74" s="66"/>
      <x:c r="B74" s="66"/>
      <x:c r="C74" s="66"/>
      <x:c r="D74" s="72"/>
      <x:c r="E74" s="72"/>
      <x:c r="F74" s="72"/>
      <x:c r="G74" s="72"/>
      <x:c r="H74" s="66"/>
      <x:c r="I74" s="66"/>
      <x:c r="J74" s="73"/>
      <x:c r="K74" s="73"/>
      <x:c r="L74" s="74"/>
      <x:c r="M74" s="74"/>
      <x:c r="N74" s="75"/>
      <x:c r="O74" s="74"/>
      <x:c r="P74" s="66"/>
      <x:c r="Q74" s="66"/>
      <x:c r="R74" s="66"/>
      <x:c r="S74" s="66"/>
      <x:c r="T74" s="66" t="str">
        <x:v>SQH214</x:v>
      </x:c>
      <x:c r="U74" s="66" t="str">
        <x:v>常行7号</x:v>
      </x:c>
      <x:c r="V74" s="66" t="str">
        <x:v>2026-08</x:v>
      </x:c>
      <x:c r="W74" s="72" t="n">
        <x:v>46234</x:v>
      </x:c>
      <x:c r="X74" s="72" t="n">
        <x:v>46265</x:v>
      </x:c>
      <x:c r="Y74" s="72" t="n">
        <x:f>'净值原始'!C514</x:f>
        <x:v>46234</x:v>
      </x:c>
      <x:c r="Z74" s="72" t="n">
        <x:f>'净值原始'!C518</x:f>
        <x:v>46262</x:v>
      </x:c>
      <x:c r="AA74" s="73" t="n">
        <x:f>'净值原始'!F514</x:f>
        <x:v>1.3943</x:v>
      </x:c>
      <x:c r="AB74" s="73" t="n">
        <x:f>'净值原始'!F518</x:f>
        <x:v>1.3965</x:v>
      </x:c>
      <x:c r="AC74" s="66" t="n">
        <x:f>IF(OR(Y74="",Z74="",Z74&lt;=Y74,W74-Y74&gt;'sheet1-指标体系'!$J$24,X74-Z74&gt;'sheet1-指标体系'!$J$24),0,1)</x:f>
        <x:v>1</x:v>
      </x:c>
      <x:c r="AD74" s="74" t="n">
        <x:f>IF(AC74=0,"",AB74/AA74-1)</x:f>
        <x:v>0.0015778526859355768</x:v>
      </x:c>
      <x:c r="AE74" s="66" t="n">
        <x:f>IF(AC74=0,"",IF(AD74&gt;0,1,0))</x:f>
        <x:v>1</x:v>
      </x:c>
    </x:row>
    <x:row r="75" ht="27" customHeight="1">
      <x:c r="A75" s="66"/>
      <x:c r="B75" s="66"/>
      <x:c r="C75" s="66"/>
      <x:c r="D75" s="72"/>
      <x:c r="E75" s="72"/>
      <x:c r="F75" s="72"/>
      <x:c r="G75" s="72"/>
      <x:c r="H75" s="66"/>
      <x:c r="I75" s="66"/>
      <x:c r="J75" s="73"/>
      <x:c r="K75" s="73"/>
      <x:c r="L75" s="74"/>
      <x:c r="M75" s="74"/>
      <x:c r="N75" s="75"/>
      <x:c r="O75" s="74"/>
      <x:c r="P75" s="66"/>
      <x:c r="Q75" s="66"/>
      <x:c r="R75" s="66"/>
      <x:c r="S75" s="66"/>
      <x:c r="T75" s="66" t="str">
        <x:v>SQH214</x:v>
      </x:c>
      <x:c r="U75" s="66" t="str">
        <x:v>常行7号</x:v>
      </x:c>
      <x:c r="V75" s="66" t="str">
        <x:v>2026-09</x:v>
      </x:c>
      <x:c r="W75" s="72" t="n">
        <x:v>46265</x:v>
      </x:c>
      <x:c r="X75" s="72" t="n">
        <x:v>46269</x:v>
      </x:c>
      <x:c r="Y75" s="72" t="n">
        <x:f>'净值原始'!C518</x:f>
        <x:v>46262</x:v>
      </x:c>
      <x:c r="Z75" s="72" t="n">
        <x:f>'净值原始'!C519</x:f>
        <x:v>46269</x:v>
      </x:c>
      <x:c r="AA75" s="73" t="n">
        <x:f>'净值原始'!F518</x:f>
        <x:v>1.3965</x:v>
      </x:c>
      <x:c r="AB75" s="73" t="n">
        <x:f>'净值原始'!F519</x:f>
        <x:v>1.3985</x:v>
      </x:c>
      <x:c r="AC75" s="66" t="n">
        <x:f>IF(OR(Y75="",Z75="",Z75&lt;=Y75,W75-Y75&gt;'sheet1-指标体系'!$J$24,X75-Z75&gt;'sheet1-指标体系'!$J$24),0,1)</x:f>
        <x:v>1</x:v>
      </x:c>
      <x:c r="AD75" s="74" t="n">
        <x:f>IF(AC75=0,"",AB75/AA75-1)</x:f>
        <x:v>0.0014321518080917528</x:v>
      </x:c>
      <x:c r="AE75" s="66" t="n">
        <x:f>IF(AC75=0,"",IF(AD75&gt;0,1,0))</x:f>
        <x:v>1</x:v>
      </x:c>
    </x:row>
    <x:row r="76" ht="27" customHeight="1">
      <x:c r="A76" s="66"/>
      <x:c r="B76" s="66"/>
      <x:c r="C76" s="66"/>
      <x:c r="D76" s="72"/>
      <x:c r="E76" s="72"/>
      <x:c r="F76" s="72"/>
      <x:c r="G76" s="72"/>
      <x:c r="H76" s="66"/>
      <x:c r="I76" s="66"/>
      <x:c r="J76" s="73"/>
      <x:c r="K76" s="73"/>
      <x:c r="L76" s="74"/>
      <x:c r="M76" s="74"/>
      <x:c r="N76" s="75"/>
      <x:c r="O76" s="74"/>
      <x:c r="P76" s="66"/>
      <x:c r="Q76" s="66"/>
      <x:c r="R76" s="66"/>
      <x:c r="S76" s="66"/>
      <x:c r="T76" s="66" t="str">
        <x:v>SQD620</x:v>
      </x:c>
      <x:c r="U76" s="66" t="str">
        <x:v>深度梦扬量化套利0号</x:v>
      </x:c>
      <x:c r="V76" s="66" t="str">
        <x:v>2023-09</x:v>
      </x:c>
      <x:c r="W76" s="72" t="n">
        <x:v>45169</x:v>
      </x:c>
      <x:c r="X76" s="72" t="n">
        <x:v>45199</x:v>
      </x:c>
      <x:c r="Y76" s="72" t="n">
        <x:f>'净值原始'!C834</x:f>
        <x:v>45169</x:v>
      </x:c>
      <x:c r="Z76" s="72" t="n">
        <x:f>'净值原始'!C842</x:f>
        <x:v>45197</x:v>
      </x:c>
      <x:c r="AA76" s="73" t="n">
        <x:f>'净值原始'!F834</x:f>
        <x:v>1.171</x:v>
      </x:c>
      <x:c r="AB76" s="73" t="n">
        <x:f>'净值原始'!F842</x:f>
        <x:v>1.173</x:v>
      </x:c>
      <x:c r="AC76" s="66" t="n">
        <x:f>IF(OR(Y76="",Z76="",Z76&lt;=Y76,W76-Y76&gt;'sheet1-指标体系'!$J$24,X76-Z76&gt;'sheet1-指标体系'!$J$24),0,1)</x:f>
        <x:v>1</x:v>
      </x:c>
      <x:c r="AD76" s="74" t="n">
        <x:f>IF(AC76=0,"",AB76/AA76-1)</x:f>
        <x:v>0.0017079419299743659</x:v>
      </x:c>
      <x:c r="AE76" s="66" t="n">
        <x:f>IF(AC76=0,"",IF(AD76&gt;0,1,0))</x:f>
        <x:v>1</x:v>
      </x:c>
    </x:row>
    <x:row r="77" ht="27" customHeight="1">
      <x:c r="A77" s="66"/>
      <x:c r="B77" s="66"/>
      <x:c r="C77" s="66"/>
      <x:c r="D77" s="72"/>
      <x:c r="E77" s="72"/>
      <x:c r="F77" s="72"/>
      <x:c r="G77" s="72"/>
      <x:c r="H77" s="66"/>
      <x:c r="I77" s="66"/>
      <x:c r="J77" s="73"/>
      <x:c r="K77" s="73"/>
      <x:c r="L77" s="74"/>
      <x:c r="M77" s="74"/>
      <x:c r="N77" s="75"/>
      <x:c r="O77" s="74"/>
      <x:c r="P77" s="66"/>
      <x:c r="Q77" s="66"/>
      <x:c r="R77" s="66"/>
      <x:c r="S77" s="66"/>
      <x:c r="T77" s="66" t="str">
        <x:v>SQD620</x:v>
      </x:c>
      <x:c r="U77" s="66" t="str">
        <x:v>深度梦扬量化套利0号</x:v>
      </x:c>
      <x:c r="V77" s="66" t="str">
        <x:v>2023-10</x:v>
      </x:c>
      <x:c r="W77" s="72" t="n">
        <x:v>45199</x:v>
      </x:c>
      <x:c r="X77" s="72" t="n">
        <x:v>45230</x:v>
      </x:c>
      <x:c r="Y77" s="72" t="n">
        <x:f>'净值原始'!C842</x:f>
        <x:v>45197</x:v>
      </x:c>
      <x:c r="Z77" s="72" t="n">
        <x:f>'净值原始'!C849</x:f>
        <x:v>45230</x:v>
      </x:c>
      <x:c r="AA77" s="73" t="n">
        <x:f>'净值原始'!F842</x:f>
        <x:v>1.173</x:v>
      </x:c>
      <x:c r="AB77" s="73" t="n">
        <x:f>'净值原始'!F849</x:f>
        <x:v>1.178</x:v>
      </x:c>
      <x:c r="AC77" s="66" t="n">
        <x:f>IF(OR(Y77="",Z77="",Z77&lt;=Y77,W77-Y77&gt;'sheet1-指标体系'!$J$24,X77-Z77&gt;'sheet1-指标体系'!$J$24),0,1)</x:f>
        <x:v>1</x:v>
      </x:c>
      <x:c r="AD77" s="74" t="n">
        <x:f>IF(AC77=0,"",AB77/AA77-1)</x:f>
        <x:v>0.004262574595055302</x:v>
      </x:c>
      <x:c r="AE77" s="66" t="n">
        <x:f>IF(AC77=0,"",IF(AD77&gt;0,1,0))</x:f>
        <x:v>1</x:v>
      </x:c>
    </x:row>
    <x:row r="78" ht="27" customHeight="1">
      <x:c r="A78" s="66"/>
      <x:c r="B78" s="66"/>
      <x:c r="C78" s="66"/>
      <x:c r="D78" s="72"/>
      <x:c r="E78" s="72"/>
      <x:c r="F78" s="72"/>
      <x:c r="G78" s="72"/>
      <x:c r="H78" s="66"/>
      <x:c r="I78" s="66"/>
      <x:c r="J78" s="73"/>
      <x:c r="K78" s="73"/>
      <x:c r="L78" s="74"/>
      <x:c r="M78" s="74"/>
      <x:c r="N78" s="75"/>
      <x:c r="O78" s="74"/>
      <x:c r="P78" s="66"/>
      <x:c r="Q78" s="66"/>
      <x:c r="R78" s="66"/>
      <x:c r="S78" s="66"/>
      <x:c r="T78" s="66" t="str">
        <x:v>SQD620</x:v>
      </x:c>
      <x:c r="U78" s="66" t="str">
        <x:v>深度梦扬量化套利0号</x:v>
      </x:c>
      <x:c r="V78" s="66" t="str">
        <x:v>2023-11</x:v>
      </x:c>
      <x:c r="W78" s="72" t="n">
        <x:v>45230</x:v>
      </x:c>
      <x:c r="X78" s="72" t="n">
        <x:v>45260</x:v>
      </x:c>
      <x:c r="Y78" s="72" t="n">
        <x:f>'净值原始'!C849</x:f>
        <x:v>45230</x:v>
      </x:c>
      <x:c r="Z78" s="72" t="n">
        <x:f>'净值原始'!C858</x:f>
        <x:v>45260</x:v>
      </x:c>
      <x:c r="AA78" s="73" t="n">
        <x:f>'净值原始'!F849</x:f>
        <x:v>1.178</x:v>
      </x:c>
      <x:c r="AB78" s="73" t="n">
        <x:f>'净值原始'!F858</x:f>
        <x:v>1.179</x:v>
      </x:c>
      <x:c r="AC78" s="66" t="n">
        <x:f>IF(OR(Y78="",Z78="",Z78&lt;=Y78,W78-Y78&gt;'sheet1-指标体系'!$J$24,X78-Z78&gt;'sheet1-指标体系'!$J$24),0,1)</x:f>
        <x:v>1</x:v>
      </x:c>
      <x:c r="AD78" s="74" t="n">
        <x:f>IF(AC78=0,"",AB78/AA78-1)</x:f>
        <x:v>0.0008488964346351491</x:v>
      </x:c>
      <x:c r="AE78" s="66" t="n">
        <x:f>IF(AC78=0,"",IF(AD78&gt;0,1,0))</x:f>
        <x:v>1</x:v>
      </x:c>
    </x:row>
    <x:row r="79" ht="27" customHeight="1">
      <x:c r="A79" s="66"/>
      <x:c r="B79" s="66"/>
      <x:c r="C79" s="66"/>
      <x:c r="D79" s="72"/>
      <x:c r="E79" s="72"/>
      <x:c r="F79" s="72"/>
      <x:c r="G79" s="72"/>
      <x:c r="H79" s="66"/>
      <x:c r="I79" s="66"/>
      <x:c r="J79" s="73"/>
      <x:c r="K79" s="73"/>
      <x:c r="L79" s="74"/>
      <x:c r="M79" s="74"/>
      <x:c r="N79" s="75"/>
      <x:c r="O79" s="74"/>
      <x:c r="P79" s="66"/>
      <x:c r="Q79" s="66"/>
      <x:c r="R79" s="66"/>
      <x:c r="S79" s="66"/>
      <x:c r="T79" s="66" t="str">
        <x:v>SQD620</x:v>
      </x:c>
      <x:c r="U79" s="66" t="str">
        <x:v>深度梦扬量化套利0号</x:v>
      </x:c>
      <x:c r="V79" s="66" t="str">
        <x:v>2023-12</x:v>
      </x:c>
      <x:c r="W79" s="72" t="n">
        <x:v>45260</x:v>
      </x:c>
      <x:c r="X79" s="72" t="n">
        <x:v>45291</x:v>
      </x:c>
      <x:c r="Y79" s="72" t="n">
        <x:f>'净值原始'!C858</x:f>
        <x:v>45260</x:v>
      </x:c>
      <x:c r="Z79" s="72" t="n">
        <x:f>'净值原始'!C867</x:f>
        <x:v>45289</x:v>
      </x:c>
      <x:c r="AA79" s="73" t="n">
        <x:f>'净值原始'!F858</x:f>
        <x:v>1.179</x:v>
      </x:c>
      <x:c r="AB79" s="73" t="n">
        <x:f>'净值原始'!F867</x:f>
        <x:v>1.185</x:v>
      </x:c>
      <x:c r="AC79" s="66" t="n">
        <x:f>IF(OR(Y79="",Z79="",Z79&lt;=Y79,W79-Y79&gt;'sheet1-指标体系'!$J$24,X79-Z79&gt;'sheet1-指标体系'!$J$24),0,1)</x:f>
        <x:v>1</x:v>
      </x:c>
      <x:c r="AD79" s="74" t="n">
        <x:f>IF(AC79=0,"",AB79/AA79-1)</x:f>
        <x:v>0.0050890585241729624</x:v>
      </x:c>
      <x:c r="AE79" s="66" t="n">
        <x:f>IF(AC79=0,"",IF(AD79&gt;0,1,0))</x:f>
        <x:v>1</x:v>
      </x:c>
    </x:row>
    <x:row r="80" ht="27" customHeight="1">
      <x:c r="A80" s="66"/>
      <x:c r="B80" s="66"/>
      <x:c r="C80" s="66"/>
      <x:c r="D80" s="72"/>
      <x:c r="E80" s="72"/>
      <x:c r="F80" s="72"/>
      <x:c r="G80" s="72"/>
      <x:c r="H80" s="66"/>
      <x:c r="I80" s="66"/>
      <x:c r="J80" s="73"/>
      <x:c r="K80" s="73"/>
      <x:c r="L80" s="74"/>
      <x:c r="M80" s="74"/>
      <x:c r="N80" s="75"/>
      <x:c r="O80" s="74"/>
      <x:c r="P80" s="66"/>
      <x:c r="Q80" s="66"/>
      <x:c r="R80" s="66"/>
      <x:c r="S80" s="66"/>
      <x:c r="T80" s="66" t="str">
        <x:v>SQD620</x:v>
      </x:c>
      <x:c r="U80" s="66" t="str">
        <x:v>深度梦扬量化套利0号</x:v>
      </x:c>
      <x:c r="V80" s="66" t="str">
        <x:v>2024-01</x:v>
      </x:c>
      <x:c r="W80" s="72" t="n">
        <x:v>45291</x:v>
      </x:c>
      <x:c r="X80" s="72" t="n">
        <x:v>45322</x:v>
      </x:c>
      <x:c r="Y80" s="72" t="n">
        <x:f>'净值原始'!C867</x:f>
        <x:v>45289</x:v>
      </x:c>
      <x:c r="Z80" s="72" t="n">
        <x:f>'净值原始'!C876</x:f>
        <x:v>45322</x:v>
      </x:c>
      <x:c r="AA80" s="73" t="n">
        <x:f>'净值原始'!F867</x:f>
        <x:v>1.185</x:v>
      </x:c>
      <x:c r="AB80" s="73" t="n">
        <x:f>'净值原始'!F876</x:f>
        <x:v>1.201</x:v>
      </x:c>
      <x:c r="AC80" s="66" t="n">
        <x:f>IF(OR(Y80="",Z80="",Z80&lt;=Y80,W80-Y80&gt;'sheet1-指标体系'!$J$24,X80-Z80&gt;'sheet1-指标体系'!$J$24),0,1)</x:f>
        <x:v>1</x:v>
      </x:c>
      <x:c r="AD80" s="74" t="n">
        <x:f>IF(AC80=0,"",AB80/AA80-1)</x:f>
        <x:v>0.013502109704641274</x:v>
      </x:c>
      <x:c r="AE80" s="66" t="n">
        <x:f>IF(AC80=0,"",IF(AD80&gt;0,1,0))</x:f>
        <x:v>1</x:v>
      </x:c>
    </x:row>
    <x:row r="81" ht="27" customHeight="1">
      <x:c r="A81" s="66"/>
      <x:c r="B81" s="66"/>
      <x:c r="C81" s="66"/>
      <x:c r="D81" s="72"/>
      <x:c r="E81" s="72"/>
      <x:c r="F81" s="72"/>
      <x:c r="G81" s="72"/>
      <x:c r="H81" s="66"/>
      <x:c r="I81" s="66"/>
      <x:c r="J81" s="73"/>
      <x:c r="K81" s="73"/>
      <x:c r="L81" s="74"/>
      <x:c r="M81" s="74"/>
      <x:c r="N81" s="75"/>
      <x:c r="O81" s="74"/>
      <x:c r="P81" s="66"/>
      <x:c r="Q81" s="66"/>
      <x:c r="R81" s="66"/>
      <x:c r="S81" s="66"/>
      <x:c r="T81" s="66" t="str">
        <x:v>SQD620</x:v>
      </x:c>
      <x:c r="U81" s="66" t="str">
        <x:v>深度梦扬量化套利0号</x:v>
      </x:c>
      <x:c r="V81" s="66" t="str">
        <x:v>2024-02</x:v>
      </x:c>
      <x:c r="W81" s="72" t="n">
        <x:v>45322</x:v>
      </x:c>
      <x:c r="X81" s="72" t="n">
        <x:v>45351</x:v>
      </x:c>
      <x:c r="Y81" s="72" t="n">
        <x:f>'净值原始'!C876</x:f>
        <x:v>45322</x:v>
      </x:c>
      <x:c r="Z81" s="72" t="n">
        <x:f>'净值原始'!C882</x:f>
        <x:v>45351</x:v>
      </x:c>
      <x:c r="AA81" s="73" t="n">
        <x:f>'净值原始'!F876</x:f>
        <x:v>1.201</x:v>
      </x:c>
      <x:c r="AB81" s="73" t="n">
        <x:f>'净值原始'!F882</x:f>
        <x:v>1.219</x:v>
      </x:c>
      <x:c r="AC81" s="66" t="n">
        <x:f>IF(OR(Y81="",Z81="",Z81&lt;=Y81,W81-Y81&gt;'sheet1-指标体系'!$J$24,X81-Z81&gt;'sheet1-指标体系'!$J$24),0,1)</x:f>
        <x:v>1</x:v>
      </x:c>
      <x:c r="AD81" s="74" t="n">
        <x:f>IF(AC81=0,"",AB81/AA81-1)</x:f>
        <x:v>0.014987510407993287</x:v>
      </x:c>
      <x:c r="AE81" s="66" t="n">
        <x:f>IF(AC81=0,"",IF(AD81&gt;0,1,0))</x:f>
        <x:v>1</x:v>
      </x:c>
    </x:row>
    <x:row r="82" ht="27" customHeight="1">
      <x:c r="A82" s="66"/>
      <x:c r="B82" s="66"/>
      <x:c r="C82" s="66"/>
      <x:c r="D82" s="72"/>
      <x:c r="E82" s="72"/>
      <x:c r="F82" s="72"/>
      <x:c r="G82" s="72"/>
      <x:c r="H82" s="66"/>
      <x:c r="I82" s="66"/>
      <x:c r="J82" s="73"/>
      <x:c r="K82" s="73"/>
      <x:c r="L82" s="74"/>
      <x:c r="M82" s="74"/>
      <x:c r="N82" s="75"/>
      <x:c r="O82" s="74"/>
      <x:c r="P82" s="66"/>
      <x:c r="Q82" s="66"/>
      <x:c r="R82" s="66"/>
      <x:c r="S82" s="66"/>
      <x:c r="T82" s="66" t="str">
        <x:v>SQD620</x:v>
      </x:c>
      <x:c r="U82" s="66" t="str">
        <x:v>深度梦扬量化套利0号</x:v>
      </x:c>
      <x:c r="V82" s="66" t="str">
        <x:v>2024-03</x:v>
      </x:c>
      <x:c r="W82" s="72" t="n">
        <x:v>45351</x:v>
      </x:c>
      <x:c r="X82" s="72" t="n">
        <x:v>45382</x:v>
      </x:c>
      <x:c r="Y82" s="72" t="n">
        <x:f>'净值原始'!C882</x:f>
        <x:v>45351</x:v>
      </x:c>
      <x:c r="Z82" s="72" t="n">
        <x:f>'净值原始'!C891</x:f>
        <x:v>45380</x:v>
      </x:c>
      <x:c r="AA82" s="73" t="n">
        <x:f>'净值原始'!F882</x:f>
        <x:v>1.219</x:v>
      </x:c>
      <x:c r="AB82" s="73" t="n">
        <x:f>'净值原始'!F891</x:f>
        <x:v>1.213</x:v>
      </x:c>
      <x:c r="AC82" s="66" t="n">
        <x:f>IF(OR(Y82="",Z82="",Z82&lt;=Y82,W82-Y82&gt;'sheet1-指标体系'!$J$24,X82-Z82&gt;'sheet1-指标体系'!$J$24),0,1)</x:f>
        <x:v>1</x:v>
      </x:c>
      <x:c r="AD82" s="74" t="n">
        <x:f>IF(AC82=0,"",AB82/AA82-1)</x:f>
        <x:v>-0.004922067268252617</x:v>
      </x:c>
      <x:c r="AE82" s="66" t="n">
        <x:f>IF(AC82=0,"",IF(AD82&gt;0,1,0))</x:f>
        <x:v>0</x:v>
      </x:c>
    </x:row>
    <x:row r="83" ht="27" customHeight="1">
      <x:c r="A83" s="66"/>
      <x:c r="B83" s="66"/>
      <x:c r="C83" s="66"/>
      <x:c r="D83" s="72"/>
      <x:c r="E83" s="72"/>
      <x:c r="F83" s="72"/>
      <x:c r="G83" s="72"/>
      <x:c r="H83" s="66"/>
      <x:c r="I83" s="66"/>
      <x:c r="J83" s="73"/>
      <x:c r="K83" s="73"/>
      <x:c r="L83" s="74"/>
      <x:c r="M83" s="74"/>
      <x:c r="N83" s="75"/>
      <x:c r="O83" s="74"/>
      <x:c r="P83" s="66"/>
      <x:c r="Q83" s="66"/>
      <x:c r="R83" s="66"/>
      <x:c r="S83" s="66"/>
      <x:c r="T83" s="66" t="str">
        <x:v>SQD620</x:v>
      </x:c>
      <x:c r="U83" s="66" t="str">
        <x:v>深度梦扬量化套利0号</x:v>
      </x:c>
      <x:c r="V83" s="66" t="str">
        <x:v>2024-04</x:v>
      </x:c>
      <x:c r="W83" s="72" t="n">
        <x:v>45382</x:v>
      </x:c>
      <x:c r="X83" s="72" t="n">
        <x:v>45412</x:v>
      </x:c>
      <x:c r="Y83" s="72" t="n">
        <x:f>'净值原始'!C891</x:f>
        <x:v>45380</x:v>
      </x:c>
      <x:c r="Z83" s="72" t="n">
        <x:f>'净值原始'!C900</x:f>
        <x:v>45412</x:v>
      </x:c>
      <x:c r="AA83" s="73" t="n">
        <x:f>'净值原始'!F891</x:f>
        <x:v>1.213</x:v>
      </x:c>
      <x:c r="AB83" s="73" t="n">
        <x:f>'净值原始'!F900</x:f>
        <x:v>1.22</x:v>
      </x:c>
      <x:c r="AC83" s="66" t="n">
        <x:f>IF(OR(Y83="",Z83="",Z83&lt;=Y83,W83-Y83&gt;'sheet1-指标体系'!$J$24,X83-Z83&gt;'sheet1-指标体系'!$J$24),0,1)</x:f>
        <x:v>1</x:v>
      </x:c>
      <x:c r="AD83" s="74" t="n">
        <x:f>IF(AC83=0,"",AB83/AA83-1)</x:f>
        <x:v>0.00577081615828523</x:v>
      </x:c>
      <x:c r="AE83" s="66" t="n">
        <x:f>IF(AC83=0,"",IF(AD83&gt;0,1,0))</x:f>
        <x:v>1</x:v>
      </x:c>
    </x:row>
    <x:row r="84" ht="27" customHeight="1">
      <x:c r="A84" s="66"/>
      <x:c r="B84" s="66"/>
      <x:c r="C84" s="66"/>
      <x:c r="D84" s="72"/>
      <x:c r="E84" s="72"/>
      <x:c r="F84" s="72"/>
      <x:c r="G84" s="72"/>
      <x:c r="H84" s="66"/>
      <x:c r="I84" s="66"/>
      <x:c r="J84" s="73"/>
      <x:c r="K84" s="73"/>
      <x:c r="L84" s="74"/>
      <x:c r="M84" s="74"/>
      <x:c r="N84" s="75"/>
      <x:c r="O84" s="74"/>
      <x:c r="P84" s="66"/>
      <x:c r="Q84" s="66"/>
      <x:c r="R84" s="66"/>
      <x:c r="S84" s="66"/>
      <x:c r="T84" s="66" t="str">
        <x:v>SQD620</x:v>
      </x:c>
      <x:c r="U84" s="66" t="str">
        <x:v>深度梦扬量化套利0号</x:v>
      </x:c>
      <x:c r="V84" s="66" t="str">
        <x:v>2024-05</x:v>
      </x:c>
      <x:c r="W84" s="72" t="n">
        <x:v>45412</x:v>
      </x:c>
      <x:c r="X84" s="72" t="n">
        <x:v>45443</x:v>
      </x:c>
      <x:c r="Y84" s="72" t="n">
        <x:f>'净值原始'!C900</x:f>
        <x:v>45412</x:v>
      </x:c>
      <x:c r="Z84" s="72" t="n">
        <x:f>'净值原始'!C909</x:f>
        <x:v>45443</x:v>
      </x:c>
      <x:c r="AA84" s="73" t="n">
        <x:f>'净值原始'!F900</x:f>
        <x:v>1.22</x:v>
      </x:c>
      <x:c r="AB84" s="73" t="n">
        <x:f>'净值原始'!F909</x:f>
        <x:v>1.224</x:v>
      </x:c>
      <x:c r="AC84" s="66" t="n">
        <x:f>IF(OR(Y84="",Z84="",Z84&lt;=Y84,W84-Y84&gt;'sheet1-指标体系'!$J$24,X84-Z84&gt;'sheet1-指标体系'!$J$24),0,1)</x:f>
        <x:v>1</x:v>
      </x:c>
      <x:c r="AD84" s="74" t="n">
        <x:f>IF(AC84=0,"",AB84/AA84-1)</x:f>
        <x:v>0.003278688524590123</x:v>
      </x:c>
      <x:c r="AE84" s="66" t="n">
        <x:f>IF(AC84=0,"",IF(AD84&gt;0,1,0))</x:f>
        <x:v>1</x:v>
      </x:c>
    </x:row>
    <x:row r="85" ht="27" customHeight="1">
      <x:c r="A85" s="66"/>
      <x:c r="B85" s="66"/>
      <x:c r="C85" s="66"/>
      <x:c r="D85" s="72"/>
      <x:c r="E85" s="72"/>
      <x:c r="F85" s="72"/>
      <x:c r="G85" s="72"/>
      <x:c r="H85" s="66"/>
      <x:c r="I85" s="66"/>
      <x:c r="J85" s="73"/>
      <x:c r="K85" s="73"/>
      <x:c r="L85" s="74"/>
      <x:c r="M85" s="74"/>
      <x:c r="N85" s="75"/>
      <x:c r="O85" s="74"/>
      <x:c r="P85" s="66"/>
      <x:c r="Q85" s="66"/>
      <x:c r="R85" s="66"/>
      <x:c r="S85" s="66"/>
      <x:c r="T85" s="66" t="str">
        <x:v>SQD620</x:v>
      </x:c>
      <x:c r="U85" s="66" t="str">
        <x:v>深度梦扬量化套利0号</x:v>
      </x:c>
      <x:c r="V85" s="66" t="str">
        <x:v>2024-06</x:v>
      </x:c>
      <x:c r="W85" s="72" t="n">
        <x:v>45443</x:v>
      </x:c>
      <x:c r="X85" s="72" t="n">
        <x:v>45473</x:v>
      </x:c>
      <x:c r="Y85" s="72" t="n">
        <x:f>'净值原始'!C909</x:f>
        <x:v>45443</x:v>
      </x:c>
      <x:c r="Z85" s="72" t="n">
        <x:f>'净值原始'!C917</x:f>
        <x:v>45471</x:v>
      </x:c>
      <x:c r="AA85" s="73" t="n">
        <x:f>'净值原始'!F909</x:f>
        <x:v>1.224</x:v>
      </x:c>
      <x:c r="AB85" s="73" t="n">
        <x:f>'净值原始'!F917</x:f>
        <x:v>1.226</x:v>
      </x:c>
      <x:c r="AC85" s="66" t="n">
        <x:f>IF(OR(Y85="",Z85="",Z85&lt;=Y85,W85-Y85&gt;'sheet1-指标体系'!$J$24,X85-Z85&gt;'sheet1-指标体系'!$J$24),0,1)</x:f>
        <x:v>1</x:v>
      </x:c>
      <x:c r="AD85" s="74" t="n">
        <x:f>IF(AC85=0,"",AB85/AA85-1)</x:f>
        <x:v>0.0016339869281045694</x:v>
      </x:c>
      <x:c r="AE85" s="66" t="n">
        <x:f>IF(AC85=0,"",IF(AD85&gt;0,1,0))</x:f>
        <x:v>1</x:v>
      </x:c>
    </x:row>
    <x:row r="86" ht="27" customHeight="1">
      <x:c r="A86" s="66"/>
      <x:c r="B86" s="66"/>
      <x:c r="C86" s="66"/>
      <x:c r="D86" s="72"/>
      <x:c r="E86" s="72"/>
      <x:c r="F86" s="72"/>
      <x:c r="G86" s="72"/>
      <x:c r="H86" s="66"/>
      <x:c r="I86" s="66"/>
      <x:c r="J86" s="73"/>
      <x:c r="K86" s="73"/>
      <x:c r="L86" s="74"/>
      <x:c r="M86" s="74"/>
      <x:c r="N86" s="75"/>
      <x:c r="O86" s="74"/>
      <x:c r="P86" s="66"/>
      <x:c r="Q86" s="66"/>
      <x:c r="R86" s="66"/>
      <x:c r="S86" s="66"/>
      <x:c r="T86" s="66" t="str">
        <x:v>SQD620</x:v>
      </x:c>
      <x:c r="U86" s="66" t="str">
        <x:v>深度梦扬量化套利0号</x:v>
      </x:c>
      <x:c r="V86" s="66" t="str">
        <x:v>2024-07</x:v>
      </x:c>
      <x:c r="W86" s="72" t="n">
        <x:v>45473</x:v>
      </x:c>
      <x:c r="X86" s="72" t="n">
        <x:v>45504</x:v>
      </x:c>
      <x:c r="Y86" s="72" t="n">
        <x:f>'净值原始'!C917</x:f>
        <x:v>45471</x:v>
      </x:c>
      <x:c r="Z86" s="72" t="n">
        <x:f>'净值原始'!C926</x:f>
        <x:v>45504</x:v>
      </x:c>
      <x:c r="AA86" s="73" t="n">
        <x:f>'净值原始'!F917</x:f>
        <x:v>1.226</x:v>
      </x:c>
      <x:c r="AB86" s="73" t="n">
        <x:f>'净值原始'!F926</x:f>
        <x:v>1.241</x:v>
      </x:c>
      <x:c r="AC86" s="66" t="n">
        <x:f>IF(OR(Y86="",Z86="",Z86&lt;=Y86,W86-Y86&gt;'sheet1-指标体系'!$J$24,X86-Z86&gt;'sheet1-指标体系'!$J$24),0,1)</x:f>
        <x:v>1</x:v>
      </x:c>
      <x:c r="AD86" s="74" t="n">
        <x:f>IF(AC86=0,"",AB86/AA86-1)</x:f>
        <x:v>0.012234910277324706</x:v>
      </x:c>
      <x:c r="AE86" s="66" t="n">
        <x:f>IF(AC86=0,"",IF(AD86&gt;0,1,0))</x:f>
        <x:v>1</x:v>
      </x:c>
    </x:row>
    <x:row r="87" ht="27" customHeight="1">
      <x:c r="A87" s="66"/>
      <x:c r="B87" s="66"/>
      <x:c r="C87" s="66"/>
      <x:c r="D87" s="72"/>
      <x:c r="E87" s="72"/>
      <x:c r="F87" s="72"/>
      <x:c r="G87" s="72"/>
      <x:c r="H87" s="66"/>
      <x:c r="I87" s="66"/>
      <x:c r="J87" s="73"/>
      <x:c r="K87" s="73"/>
      <x:c r="L87" s="74"/>
      <x:c r="M87" s="74"/>
      <x:c r="N87" s="75"/>
      <x:c r="O87" s="74"/>
      <x:c r="P87" s="66"/>
      <x:c r="Q87" s="66"/>
      <x:c r="R87" s="66"/>
      <x:c r="S87" s="66"/>
      <x:c r="T87" s="66" t="str">
        <x:v>SQD620</x:v>
      </x:c>
      <x:c r="U87" s="66" t="str">
        <x:v>深度梦扬量化套利0号</x:v>
      </x:c>
      <x:c r="V87" s="66" t="str">
        <x:v>2024-08</x:v>
      </x:c>
      <x:c r="W87" s="72" t="n">
        <x:v>45504</x:v>
      </x:c>
      <x:c r="X87" s="72" t="n">
        <x:v>45535</x:v>
      </x:c>
      <x:c r="Y87" s="72" t="n">
        <x:f>'净值原始'!C926</x:f>
        <x:v>45504</x:v>
      </x:c>
      <x:c r="Z87" s="72" t="n">
        <x:f>'净值原始'!C931</x:f>
        <x:v>45534</x:v>
      </x:c>
      <x:c r="AA87" s="73" t="n">
        <x:f>'净值原始'!F926</x:f>
        <x:v>1.241</x:v>
      </x:c>
      <x:c r="AB87" s="73" t="n">
        <x:f>'净值原始'!F931</x:f>
        <x:v>1.246</x:v>
      </x:c>
      <x:c r="AC87" s="66" t="n">
        <x:f>IF(OR(Y87="",Z87="",Z87&lt;=Y87,W87-Y87&gt;'sheet1-指标体系'!$J$24,X87-Z87&gt;'sheet1-指标体系'!$J$24),0,1)</x:f>
        <x:v>1</x:v>
      </x:c>
      <x:c r="AD87" s="74" t="n">
        <x:f>IF(AC87=0,"",AB87/AA87-1)</x:f>
        <x:v>0.0040290088638195165</x:v>
      </x:c>
      <x:c r="AE87" s="66" t="n">
        <x:f>IF(AC87=0,"",IF(AD87&gt;0,1,0))</x:f>
        <x:v>1</x:v>
      </x:c>
    </x:row>
    <x:row r="88" ht="27" customHeight="1">
      <x:c r="A88" s="66"/>
      <x:c r="B88" s="66"/>
      <x:c r="C88" s="66"/>
      <x:c r="D88" s="72"/>
      <x:c r="E88" s="72"/>
      <x:c r="F88" s="72"/>
      <x:c r="G88" s="72"/>
      <x:c r="H88" s="66"/>
      <x:c r="I88" s="66"/>
      <x:c r="J88" s="73"/>
      <x:c r="K88" s="73"/>
      <x:c r="L88" s="74"/>
      <x:c r="M88" s="74"/>
      <x:c r="N88" s="75"/>
      <x:c r="O88" s="74"/>
      <x:c r="P88" s="66"/>
      <x:c r="Q88" s="66"/>
      <x:c r="R88" s="66"/>
      <x:c r="S88" s="66"/>
      <x:c r="T88" s="66" t="str">
        <x:v>SQD620</x:v>
      </x:c>
      <x:c r="U88" s="66" t="str">
        <x:v>深度梦扬量化套利0号</x:v>
      </x:c>
      <x:c r="V88" s="66" t="str">
        <x:v>2024-09</x:v>
      </x:c>
      <x:c r="W88" s="72" t="n">
        <x:v>45535</x:v>
      </x:c>
      <x:c r="X88" s="72" t="n">
        <x:v>45565</x:v>
      </x:c>
      <x:c r="Y88" s="72" t="n">
        <x:f>'净值原始'!C931</x:f>
        <x:v>45534</x:v>
      </x:c>
      <x:c r="Z88" s="72" t="n">
        <x:f>'净值原始'!C936</x:f>
        <x:v>45565</x:v>
      </x:c>
      <x:c r="AA88" s="73" t="n">
        <x:f>'净值原始'!F931</x:f>
        <x:v>1.246</x:v>
      </x:c>
      <x:c r="AB88" s="73" t="n">
        <x:f>'净值原始'!F936</x:f>
        <x:v>1.276</x:v>
      </x:c>
      <x:c r="AC88" s="66" t="n">
        <x:f>IF(OR(Y88="",Z88="",Z88&lt;=Y88,W88-Y88&gt;'sheet1-指标体系'!$J$24,X88-Z88&gt;'sheet1-指标体系'!$J$24),0,1)</x:f>
        <x:v>1</x:v>
      </x:c>
      <x:c r="AD88" s="74" t="n">
        <x:f>IF(AC88=0,"",AB88/AA88-1)</x:f>
        <x:v>0.024077046548956593</x:v>
      </x:c>
      <x:c r="AE88" s="66" t="n">
        <x:f>IF(AC88=0,"",IF(AD88&gt;0,1,0))</x:f>
        <x:v>1</x:v>
      </x:c>
    </x:row>
    <x:row r="89" ht="27" customHeight="1">
      <x:c r="A89" s="66"/>
      <x:c r="B89" s="66"/>
      <x:c r="C89" s="66"/>
      <x:c r="D89" s="72"/>
      <x:c r="E89" s="72"/>
      <x:c r="F89" s="72"/>
      <x:c r="G89" s="72"/>
      <x:c r="H89" s="66"/>
      <x:c r="I89" s="66"/>
      <x:c r="J89" s="73"/>
      <x:c r="K89" s="73"/>
      <x:c r="L89" s="74"/>
      <x:c r="M89" s="74"/>
      <x:c r="N89" s="75"/>
      <x:c r="O89" s="74"/>
      <x:c r="P89" s="66"/>
      <x:c r="Q89" s="66"/>
      <x:c r="R89" s="66"/>
      <x:c r="S89" s="66"/>
      <x:c r="T89" s="66" t="str">
        <x:v>SQD620</x:v>
      </x:c>
      <x:c r="U89" s="66" t="str">
        <x:v>深度梦扬量化套利0号</x:v>
      </x:c>
      <x:c r="V89" s="66" t="str">
        <x:v>2024-10</x:v>
      </x:c>
      <x:c r="W89" s="72" t="n">
        <x:v>45565</x:v>
      </x:c>
      <x:c r="X89" s="72" t="n">
        <x:v>45596</x:v>
      </x:c>
      <x:c r="Y89" s="72" t="n">
        <x:f>'净值原始'!C936</x:f>
        <x:v>45565</x:v>
      </x:c>
      <x:c r="Z89" s="72" t="n">
        <x:f>'净值原始'!C940</x:f>
        <x:v>45596</x:v>
      </x:c>
      <x:c r="AA89" s="73" t="n">
        <x:f>'净值原始'!F936</x:f>
        <x:v>1.276</x:v>
      </x:c>
      <x:c r="AB89" s="73" t="n">
        <x:f>'净值原始'!F940</x:f>
        <x:v>1.307</x:v>
      </x:c>
      <x:c r="AC89" s="66" t="n">
        <x:f>IF(OR(Y89="",Z89="",Z89&lt;=Y89,W89-Y89&gt;'sheet1-指标体系'!$J$24,X89-Z89&gt;'sheet1-指标体系'!$J$24),0,1)</x:f>
        <x:v>1</x:v>
      </x:c>
      <x:c r="AD89" s="74" t="n">
        <x:f>IF(AC89=0,"",AB89/AA89-1)</x:f>
        <x:v>0.024294670846394917</x:v>
      </x:c>
      <x:c r="AE89" s="66" t="n">
        <x:f>IF(AC89=0,"",IF(AD89&gt;0,1,0))</x:f>
        <x:v>1</x:v>
      </x:c>
    </x:row>
    <x:row r="90" ht="27" customHeight="1">
      <x:c r="A90" s="66"/>
      <x:c r="B90" s="66"/>
      <x:c r="C90" s="66"/>
      <x:c r="D90" s="72"/>
      <x:c r="E90" s="72"/>
      <x:c r="F90" s="72"/>
      <x:c r="G90" s="72"/>
      <x:c r="H90" s="66"/>
      <x:c r="I90" s="66"/>
      <x:c r="J90" s="73"/>
      <x:c r="K90" s="73"/>
      <x:c r="L90" s="74"/>
      <x:c r="M90" s="74"/>
      <x:c r="N90" s="75"/>
      <x:c r="O90" s="74"/>
      <x:c r="P90" s="66"/>
      <x:c r="Q90" s="66"/>
      <x:c r="R90" s="66"/>
      <x:c r="S90" s="66"/>
      <x:c r="T90" s="66" t="str">
        <x:v>SQD620</x:v>
      </x:c>
      <x:c r="U90" s="66" t="str">
        <x:v>深度梦扬量化套利0号</x:v>
      </x:c>
      <x:c r="V90" s="66" t="str">
        <x:v>2024-11</x:v>
      </x:c>
      <x:c r="W90" s="72" t="n">
        <x:v>45596</x:v>
      </x:c>
      <x:c r="X90" s="72" t="n">
        <x:v>45626</x:v>
      </x:c>
      <x:c r="Y90" s="72" t="n">
        <x:f>'净值原始'!C940</x:f>
        <x:v>45596</x:v>
      </x:c>
      <x:c r="Z90" s="72" t="n">
        <x:f>'净值原始'!C945</x:f>
        <x:v>45625</x:v>
      </x:c>
      <x:c r="AA90" s="73" t="n">
        <x:f>'净值原始'!F940</x:f>
        <x:v>1.307</x:v>
      </x:c>
      <x:c r="AB90" s="73" t="n">
        <x:f>'净值原始'!F945</x:f>
        <x:v>1.339</x:v>
      </x:c>
      <x:c r="AC90" s="66" t="n">
        <x:f>IF(OR(Y90="",Z90="",Z90&lt;=Y90,W90-Y90&gt;'sheet1-指标体系'!$J$24,X90-Z90&gt;'sheet1-指标体系'!$J$24),0,1)</x:f>
        <x:v>1</x:v>
      </x:c>
      <x:c r="AD90" s="74" t="n">
        <x:f>IF(AC90=0,"",AB90/AA90-1)</x:f>
        <x:v>0.02448355011476666</x:v>
      </x:c>
      <x:c r="AE90" s="66" t="n">
        <x:f>IF(AC90=0,"",IF(AD90&gt;0,1,0))</x:f>
        <x:v>1</x:v>
      </x:c>
    </x:row>
    <x:row r="91" ht="27" customHeight="1">
      <x:c r="A91" s="66"/>
      <x:c r="B91" s="66"/>
      <x:c r="C91" s="66"/>
      <x:c r="D91" s="72"/>
      <x:c r="E91" s="72"/>
      <x:c r="F91" s="72"/>
      <x:c r="G91" s="72"/>
      <x:c r="H91" s="66"/>
      <x:c r="I91" s="66"/>
      <x:c r="J91" s="73"/>
      <x:c r="K91" s="73"/>
      <x:c r="L91" s="74"/>
      <x:c r="M91" s="74"/>
      <x:c r="N91" s="75"/>
      <x:c r="O91" s="74"/>
      <x:c r="P91" s="66"/>
      <x:c r="Q91" s="66"/>
      <x:c r="R91" s="66"/>
      <x:c r="S91" s="66"/>
      <x:c r="T91" s="66" t="str">
        <x:v>SQD620</x:v>
      </x:c>
      <x:c r="U91" s="66" t="str">
        <x:v>深度梦扬量化套利0号</x:v>
      </x:c>
      <x:c r="V91" s="66" t="str">
        <x:v>2024-12</x:v>
      </x:c>
      <x:c r="W91" s="72" t="n">
        <x:v>45626</x:v>
      </x:c>
      <x:c r="X91" s="72" t="n">
        <x:v>45657</x:v>
      </x:c>
      <x:c r="Y91" s="72" t="n">
        <x:f>'净值原始'!C945</x:f>
        <x:v>45625</x:v>
      </x:c>
      <x:c r="Z91" s="72" t="n">
        <x:f>'净值原始'!C950</x:f>
        <x:v>45657</x:v>
      </x:c>
      <x:c r="AA91" s="73" t="n">
        <x:f>'净值原始'!F945</x:f>
        <x:v>1.339</x:v>
      </x:c>
      <x:c r="AB91" s="73" t="n">
        <x:f>'净值原始'!F950</x:f>
        <x:v>1.341</x:v>
      </x:c>
      <x:c r="AC91" s="66" t="n">
        <x:f>IF(OR(Y91="",Z91="",Z91&lt;=Y91,W91-Y91&gt;'sheet1-指标体系'!$J$24,X91-Z91&gt;'sheet1-指标体系'!$J$24),0,1)</x:f>
        <x:v>1</x:v>
      </x:c>
      <x:c r="AD91" s="74" t="n">
        <x:f>IF(AC91=0,"",AB91/AA91-1)</x:f>
        <x:v>0.0014936519790889058</x:v>
      </x:c>
      <x:c r="AE91" s="66" t="n">
        <x:f>IF(AC91=0,"",IF(AD91&gt;0,1,0))</x:f>
        <x:v>1</x:v>
      </x:c>
    </x:row>
    <x:row r="92" ht="27" customHeight="1">
      <x:c r="A92" s="66"/>
      <x:c r="B92" s="66"/>
      <x:c r="C92" s="66"/>
      <x:c r="D92" s="72"/>
      <x:c r="E92" s="72"/>
      <x:c r="F92" s="72"/>
      <x:c r="G92" s="72"/>
      <x:c r="H92" s="66"/>
      <x:c r="I92" s="66"/>
      <x:c r="J92" s="73"/>
      <x:c r="K92" s="73"/>
      <x:c r="L92" s="74"/>
      <x:c r="M92" s="74"/>
      <x:c r="N92" s="75"/>
      <x:c r="O92" s="74"/>
      <x:c r="P92" s="66"/>
      <x:c r="Q92" s="66"/>
      <x:c r="R92" s="66"/>
      <x:c r="S92" s="66"/>
      <x:c r="T92" s="66" t="str">
        <x:v>SQD620</x:v>
      </x:c>
      <x:c r="U92" s="66" t="str">
        <x:v>深度梦扬量化套利0号</x:v>
      </x:c>
      <x:c r="V92" s="66" t="str">
        <x:v>2025-01</x:v>
      </x:c>
      <x:c r="W92" s="72" t="n">
        <x:v>45657</x:v>
      </x:c>
      <x:c r="X92" s="72" t="n">
        <x:v>45688</x:v>
      </x:c>
      <x:c r="Y92" s="72" t="n">
        <x:f>'净值原始'!C950</x:f>
        <x:v>45657</x:v>
      </x:c>
      <x:c r="Z92" s="72" t="n">
        <x:f>'净值原始'!C955</x:f>
        <x:v>45684</x:v>
      </x:c>
      <x:c r="AA92" s="73" t="n">
        <x:f>'净值原始'!F950</x:f>
        <x:v>1.341</x:v>
      </x:c>
      <x:c r="AB92" s="73" t="n">
        <x:f>'净值原始'!F955</x:f>
        <x:v>1.351</x:v>
      </x:c>
      <x:c r="AC92" s="66" t="n">
        <x:f>IF(OR(Y92="",Z92="",Z92&lt;=Y92,W92-Y92&gt;'sheet1-指标体系'!$J$24,X92-Z92&gt;'sheet1-指标体系'!$J$24),0,1)</x:f>
        <x:v>1</x:v>
      </x:c>
      <x:c r="AD92" s="74" t="n">
        <x:f>IF(AC92=0,"",AB92/AA92-1)</x:f>
        <x:v>0.007457121551081247</x:v>
      </x:c>
      <x:c r="AE92" s="66" t="n">
        <x:f>IF(AC92=0,"",IF(AD92&gt;0,1,0))</x:f>
        <x:v>1</x:v>
      </x:c>
    </x:row>
    <x:row r="93" ht="27" customHeight="1">
      <x:c r="A93" s="66"/>
      <x:c r="B93" s="66"/>
      <x:c r="C93" s="66"/>
      <x:c r="D93" s="72"/>
      <x:c r="E93" s="72"/>
      <x:c r="F93" s="72"/>
      <x:c r="G93" s="72"/>
      <x:c r="H93" s="66"/>
      <x:c r="I93" s="66"/>
      <x:c r="J93" s="73"/>
      <x:c r="K93" s="73"/>
      <x:c r="L93" s="74"/>
      <x:c r="M93" s="74"/>
      <x:c r="N93" s="75"/>
      <x:c r="O93" s="74"/>
      <x:c r="P93" s="66"/>
      <x:c r="Q93" s="66"/>
      <x:c r="R93" s="66"/>
      <x:c r="S93" s="66"/>
      <x:c r="T93" s="66" t="str">
        <x:v>SQD620</x:v>
      </x:c>
      <x:c r="U93" s="66" t="str">
        <x:v>深度梦扬量化套利0号</x:v>
      </x:c>
      <x:c r="V93" s="66" t="str">
        <x:v>2025-02</x:v>
      </x:c>
      <x:c r="W93" s="72" t="n">
        <x:v>45688</x:v>
      </x:c>
      <x:c r="X93" s="72" t="n">
        <x:v>45716</x:v>
      </x:c>
      <x:c r="Y93" s="72" t="n">
        <x:f>'净值原始'!C955</x:f>
        <x:v>45684</x:v>
      </x:c>
      <x:c r="Z93" s="72" t="n">
        <x:f>'净值原始'!C960</x:f>
        <x:v>45716</x:v>
      </x:c>
      <x:c r="AA93" s="73" t="n">
        <x:f>'净值原始'!F955</x:f>
        <x:v>1.351</x:v>
      </x:c>
      <x:c r="AB93" s="73" t="n">
        <x:f>'净值原始'!F960</x:f>
        <x:v>1.3603</x:v>
      </x:c>
      <x:c r="AC93" s="66" t="n">
        <x:f>IF(OR(Y93="",Z93="",Z93&lt;=Y93,W93-Y93&gt;'sheet1-指标体系'!$J$24,X93-Z93&gt;'sheet1-指标体系'!$J$24),0,1)</x:f>
        <x:v>1</x:v>
      </x:c>
      <x:c r="AD93" s="74" t="n">
        <x:f>IF(AC93=0,"",AB93/AA93-1)</x:f>
        <x:v>0.006883789785344208</x:v>
      </x:c>
      <x:c r="AE93" s="66" t="n">
        <x:f>IF(AC93=0,"",IF(AD93&gt;0,1,0))</x:f>
        <x:v>1</x:v>
      </x:c>
    </x:row>
    <x:row r="94" ht="27" customHeight="1">
      <x:c r="A94" s="66"/>
      <x:c r="B94" s="66"/>
      <x:c r="C94" s="66"/>
      <x:c r="D94" s="72"/>
      <x:c r="E94" s="72"/>
      <x:c r="F94" s="72"/>
      <x:c r="G94" s="72"/>
      <x:c r="H94" s="66"/>
      <x:c r="I94" s="66"/>
      <x:c r="J94" s="73"/>
      <x:c r="K94" s="73"/>
      <x:c r="L94" s="74"/>
      <x:c r="M94" s="74"/>
      <x:c r="N94" s="75"/>
      <x:c r="O94" s="74"/>
      <x:c r="P94" s="66"/>
      <x:c r="Q94" s="66"/>
      <x:c r="R94" s="66"/>
      <x:c r="S94" s="66"/>
      <x:c r="T94" s="66" t="str">
        <x:v>SQD620</x:v>
      </x:c>
      <x:c r="U94" s="66" t="str">
        <x:v>深度梦扬量化套利0号</x:v>
      </x:c>
      <x:c r="V94" s="66" t="str">
        <x:v>2025-03</x:v>
      </x:c>
      <x:c r="W94" s="72" t="n">
        <x:v>45716</x:v>
      </x:c>
      <x:c r="X94" s="72" t="n">
        <x:v>45747</x:v>
      </x:c>
      <x:c r="Y94" s="72" t="n">
        <x:f>'净值原始'!C960</x:f>
        <x:v>45716</x:v>
      </x:c>
      <x:c r="Z94" s="72" t="n">
        <x:f>'净值原始'!C965</x:f>
        <x:v>45747</x:v>
      </x:c>
      <x:c r="AA94" s="73" t="n">
        <x:f>'净值原始'!F960</x:f>
        <x:v>1.3603</x:v>
      </x:c>
      <x:c r="AB94" s="73" t="n">
        <x:f>'净值原始'!F965</x:f>
        <x:v>1.3603</x:v>
      </x:c>
      <x:c r="AC94" s="66" t="n">
        <x:f>IF(OR(Y94="",Z94="",Z94&lt;=Y94,W94-Y94&gt;'sheet1-指标体系'!$J$24,X94-Z94&gt;'sheet1-指标体系'!$J$24),0,1)</x:f>
        <x:v>1</x:v>
      </x:c>
      <x:c r="AD94" s="74" t="n">
        <x:f>IF(AC94=0,"",AB94/AA94-1)</x:f>
        <x:v>0</x:v>
      </x:c>
      <x:c r="AE94" s="66" t="n">
        <x:f>IF(AC94=0,"",IF(AD94&gt;0,1,0))</x:f>
        <x:v>0</x:v>
      </x:c>
    </x:row>
    <x:row r="95" ht="27" customHeight="1">
      <x:c r="A95" s="66"/>
      <x:c r="B95" s="66"/>
      <x:c r="C95" s="66"/>
      <x:c r="D95" s="72"/>
      <x:c r="E95" s="72"/>
      <x:c r="F95" s="72"/>
      <x:c r="G95" s="72"/>
      <x:c r="H95" s="66"/>
      <x:c r="I95" s="66"/>
      <x:c r="J95" s="73"/>
      <x:c r="K95" s="73"/>
      <x:c r="L95" s="74"/>
      <x:c r="M95" s="74"/>
      <x:c r="N95" s="75"/>
      <x:c r="O95" s="74"/>
      <x:c r="P95" s="66"/>
      <x:c r="Q95" s="66"/>
      <x:c r="R95" s="66"/>
      <x:c r="S95" s="66"/>
      <x:c r="T95" s="66" t="str">
        <x:v>SQD620</x:v>
      </x:c>
      <x:c r="U95" s="66" t="str">
        <x:v>深度梦扬量化套利0号</x:v>
      </x:c>
      <x:c r="V95" s="66" t="str">
        <x:v>2025-04</x:v>
      </x:c>
      <x:c r="W95" s="72" t="n">
        <x:v>45747</x:v>
      </x:c>
      <x:c r="X95" s="72" t="n">
        <x:v>45777</x:v>
      </x:c>
      <x:c r="Y95" s="72" t="n">
        <x:f>'净值原始'!C965</x:f>
        <x:v>45747</x:v>
      </x:c>
      <x:c r="Z95" s="72" t="n">
        <x:f>'净值原始'!C970</x:f>
        <x:v>45777</x:v>
      </x:c>
      <x:c r="AA95" s="73" t="n">
        <x:f>'净值原始'!F965</x:f>
        <x:v>1.3603</x:v>
      </x:c>
      <x:c r="AB95" s="73" t="n">
        <x:f>'净值原始'!F970</x:f>
        <x:v>1.351</x:v>
      </x:c>
      <x:c r="AC95" s="66" t="n">
        <x:f>IF(OR(Y95="",Z95="",Z95&lt;=Y95,W95-Y95&gt;'sheet1-指标体系'!$J$24,X95-Z95&gt;'sheet1-指标体系'!$J$24),0,1)</x:f>
        <x:v>1</x:v>
      </x:c>
      <x:c r="AD95" s="74" t="n">
        <x:f>IF(AC95=0,"",AB95/AA95-1)</x:f>
        <x:v>-0.006836727192531145</x:v>
      </x:c>
      <x:c r="AE95" s="66" t="n">
        <x:f>IF(AC95=0,"",IF(AD95&gt;0,1,0))</x:f>
        <x:v>0</x:v>
      </x:c>
    </x:row>
    <x:row r="96" ht="27" customHeight="1">
      <x:c r="A96" s="66"/>
      <x:c r="B96" s="66"/>
      <x:c r="C96" s="66"/>
      <x:c r="D96" s="72"/>
      <x:c r="E96" s="72"/>
      <x:c r="F96" s="72"/>
      <x:c r="G96" s="72"/>
      <x:c r="H96" s="66"/>
      <x:c r="I96" s="66"/>
      <x:c r="J96" s="73"/>
      <x:c r="K96" s="73"/>
      <x:c r="L96" s="74"/>
      <x:c r="M96" s="74"/>
      <x:c r="N96" s="75"/>
      <x:c r="O96" s="74"/>
      <x:c r="P96" s="66"/>
      <x:c r="Q96" s="66"/>
      <x:c r="R96" s="66"/>
      <x:c r="S96" s="66"/>
      <x:c r="T96" s="66" t="str">
        <x:v>SQD620</x:v>
      </x:c>
      <x:c r="U96" s="66" t="str">
        <x:v>深度梦扬量化套利0号</x:v>
      </x:c>
      <x:c r="V96" s="66" t="str">
        <x:v>2025-05</x:v>
      </x:c>
      <x:c r="W96" s="72" t="n">
        <x:v>45777</x:v>
      </x:c>
      <x:c r="X96" s="72" t="n">
        <x:v>45808</x:v>
      </x:c>
      <x:c r="Y96" s="72" t="n">
        <x:f>'净值原始'!C970</x:f>
        <x:v>45777</x:v>
      </x:c>
      <x:c r="Z96" s="72" t="n">
        <x:f>'净值原始'!C974</x:f>
        <x:v>45807</x:v>
      </x:c>
      <x:c r="AA96" s="73" t="n">
        <x:f>'净值原始'!F970</x:f>
        <x:v>1.351</x:v>
      </x:c>
      <x:c r="AB96" s="73" t="n">
        <x:f>'净值原始'!F974</x:f>
        <x:v>1.3537</x:v>
      </x:c>
      <x:c r="AC96" s="66" t="n">
        <x:f>IF(OR(Y96="",Z96="",Z96&lt;=Y96,W96-Y96&gt;'sheet1-指标体系'!$J$24,X96-Z96&gt;'sheet1-指标体系'!$J$24),0,1)</x:f>
        <x:v>1</x:v>
      </x:c>
      <x:c r="AD96" s="74" t="n">
        <x:f>IF(AC96=0,"",AB96/AA96-1)</x:f>
        <x:v>0.001998519615099781</x:v>
      </x:c>
      <x:c r="AE96" s="66" t="n">
        <x:f>IF(AC96=0,"",IF(AD96&gt;0,1,0))</x:f>
        <x:v>1</x:v>
      </x:c>
    </x:row>
    <x:row r="97" ht="27" customHeight="1">
      <x:c r="A97" s="66"/>
      <x:c r="B97" s="66"/>
      <x:c r="C97" s="66"/>
      <x:c r="D97" s="72"/>
      <x:c r="E97" s="72"/>
      <x:c r="F97" s="72"/>
      <x:c r="G97" s="72"/>
      <x:c r="H97" s="66"/>
      <x:c r="I97" s="66"/>
      <x:c r="J97" s="73"/>
      <x:c r="K97" s="73"/>
      <x:c r="L97" s="74"/>
      <x:c r="M97" s="74"/>
      <x:c r="N97" s="75"/>
      <x:c r="O97" s="74"/>
      <x:c r="P97" s="66"/>
      <x:c r="Q97" s="66"/>
      <x:c r="R97" s="66"/>
      <x:c r="S97" s="66"/>
      <x:c r="T97" s="66" t="str">
        <x:v>SQD620</x:v>
      </x:c>
      <x:c r="U97" s="66" t="str">
        <x:v>深度梦扬量化套利0号</x:v>
      </x:c>
      <x:c r="V97" s="66" t="str">
        <x:v>2025-06</x:v>
      </x:c>
      <x:c r="W97" s="72" t="n">
        <x:v>45808</x:v>
      </x:c>
      <x:c r="X97" s="72" t="n">
        <x:v>45838</x:v>
      </x:c>
      <x:c r="Y97" s="72" t="n">
        <x:f>'净值原始'!C974</x:f>
        <x:v>45807</x:v>
      </x:c>
      <x:c r="Z97" s="72" t="n">
        <x:f>'净值原始'!C979</x:f>
        <x:v>45838</x:v>
      </x:c>
      <x:c r="AA97" s="73" t="n">
        <x:f>'净值原始'!F974</x:f>
        <x:v>1.3537</x:v>
      </x:c>
      <x:c r="AB97" s="73" t="n">
        <x:f>'净值原始'!F979</x:f>
        <x:v>1.3656</x:v>
      </x:c>
      <x:c r="AC97" s="66" t="n">
        <x:f>IF(OR(Y97="",Z97="",Z97&lt;=Y97,W97-Y97&gt;'sheet1-指标体系'!$J$24,X97-Z97&gt;'sheet1-指标体系'!$J$24),0,1)</x:f>
        <x:v>1</x:v>
      </x:c>
      <x:c r="AD97" s="74" t="n">
        <x:f>IF(AC97=0,"",AB97/AA97-1)</x:f>
        <x:v>0.008790721725640882</x:v>
      </x:c>
      <x:c r="AE97" s="66" t="n">
        <x:f>IF(AC97=0,"",IF(AD97&gt;0,1,0))</x:f>
        <x:v>1</x:v>
      </x:c>
    </x:row>
    <x:row r="98" ht="27" customHeight="1">
      <x:c r="A98" s="66"/>
      <x:c r="B98" s="66"/>
      <x:c r="C98" s="66"/>
      <x:c r="D98" s="72"/>
      <x:c r="E98" s="72"/>
      <x:c r="F98" s="72"/>
      <x:c r="G98" s="72"/>
      <x:c r="H98" s="66"/>
      <x:c r="I98" s="66"/>
      <x:c r="J98" s="73"/>
      <x:c r="K98" s="73"/>
      <x:c r="L98" s="74"/>
      <x:c r="M98" s="74"/>
      <x:c r="N98" s="75"/>
      <x:c r="O98" s="74"/>
      <x:c r="P98" s="66"/>
      <x:c r="Q98" s="66"/>
      <x:c r="R98" s="66"/>
      <x:c r="S98" s="66"/>
      <x:c r="T98" s="66" t="str">
        <x:v>SQD620</x:v>
      </x:c>
      <x:c r="U98" s="66" t="str">
        <x:v>深度梦扬量化套利0号</x:v>
      </x:c>
      <x:c r="V98" s="66" t="str">
        <x:v>2025-07</x:v>
      </x:c>
      <x:c r="W98" s="72" t="n">
        <x:v>45838</x:v>
      </x:c>
      <x:c r="X98" s="72" t="n">
        <x:v>45869</x:v>
      </x:c>
      <x:c r="Y98" s="72" t="n">
        <x:f>'净值原始'!C979</x:f>
        <x:v>45838</x:v>
      </x:c>
      <x:c r="Z98" s="72" t="n">
        <x:f>'净值原始'!C984</x:f>
        <x:v>45869</x:v>
      </x:c>
      <x:c r="AA98" s="73" t="n">
        <x:f>'净值原始'!F979</x:f>
        <x:v>1.3656</x:v>
      </x:c>
      <x:c r="AB98" s="73" t="n">
        <x:f>'净值原始'!F984</x:f>
        <x:v>1.3577</x:v>
      </x:c>
      <x:c r="AC98" s="66" t="n">
        <x:f>IF(OR(Y98="",Z98="",Z98&lt;=Y98,W98-Y98&gt;'sheet1-指标体系'!$J$24,X98-Z98&gt;'sheet1-指标体系'!$J$24),0,1)</x:f>
        <x:v>1</x:v>
      </x:c>
      <x:c r="AD98" s="74" t="n">
        <x:f>IF(AC98=0,"",AB98/AA98-1)</x:f>
        <x:v>-0.005785002929115435</x:v>
      </x:c>
      <x:c r="AE98" s="66" t="n">
        <x:f>IF(AC98=0,"",IF(AD98&gt;0,1,0))</x:f>
        <x:v>0</x:v>
      </x:c>
    </x:row>
    <x:row r="99" ht="27" customHeight="1">
      <x:c r="A99" s="66"/>
      <x:c r="B99" s="66"/>
      <x:c r="C99" s="66"/>
      <x:c r="D99" s="72"/>
      <x:c r="E99" s="72"/>
      <x:c r="F99" s="72"/>
      <x:c r="G99" s="72"/>
      <x:c r="H99" s="66"/>
      <x:c r="I99" s="66"/>
      <x:c r="J99" s="73"/>
      <x:c r="K99" s="73"/>
      <x:c r="L99" s="74"/>
      <x:c r="M99" s="74"/>
      <x:c r="N99" s="75"/>
      <x:c r="O99" s="74"/>
      <x:c r="P99" s="66"/>
      <x:c r="Q99" s="66"/>
      <x:c r="R99" s="66"/>
      <x:c r="S99" s="66"/>
      <x:c r="T99" s="66" t="str">
        <x:v>SQD620</x:v>
      </x:c>
      <x:c r="U99" s="66" t="str">
        <x:v>深度梦扬量化套利0号</x:v>
      </x:c>
      <x:c r="V99" s="66" t="str">
        <x:v>2025-08</x:v>
      </x:c>
      <x:c r="W99" s="72" t="n">
        <x:v>45869</x:v>
      </x:c>
      <x:c r="X99" s="72" t="n">
        <x:v>45900</x:v>
      </x:c>
      <x:c r="Y99" s="72" t="n">
        <x:f>'净值原始'!C984</x:f>
        <x:v>45869</x:v>
      </x:c>
      <x:c r="Z99" s="72" t="n">
        <x:f>'净值原始'!C989</x:f>
        <x:v>45898</x:v>
      </x:c>
      <x:c r="AA99" s="73" t="n">
        <x:f>'净值原始'!F984</x:f>
        <x:v>1.3577</x:v>
      </x:c>
      <x:c r="AB99" s="73" t="n">
        <x:f>'净值原始'!F989</x:f>
        <x:v>1.3577</x:v>
      </x:c>
      <x:c r="AC99" s="66" t="n">
        <x:f>IF(OR(Y99="",Z99="",Z99&lt;=Y99,W99-Y99&gt;'sheet1-指标体系'!$J$24,X99-Z99&gt;'sheet1-指标体系'!$J$24),0,1)</x:f>
        <x:v>1</x:v>
      </x:c>
      <x:c r="AD99" s="74" t="n">
        <x:f>IF(AC99=0,"",AB99/AA99-1)</x:f>
        <x:v>0</x:v>
      </x:c>
      <x:c r="AE99" s="66" t="n">
        <x:f>IF(AC99=0,"",IF(AD99&gt;0,1,0))</x:f>
        <x:v>0</x:v>
      </x:c>
    </x:row>
    <x:row r="100" ht="27" customHeight="1">
      <x:c r="A100" s="66"/>
      <x:c r="B100" s="66"/>
      <x:c r="C100" s="66"/>
      <x:c r="D100" s="72"/>
      <x:c r="E100" s="72"/>
      <x:c r="F100" s="72"/>
      <x:c r="G100" s="72"/>
      <x:c r="H100" s="66"/>
      <x:c r="I100" s="66"/>
      <x:c r="J100" s="73"/>
      <x:c r="K100" s="73"/>
      <x:c r="L100" s="74"/>
      <x:c r="M100" s="74"/>
      <x:c r="N100" s="75"/>
      <x:c r="O100" s="74"/>
      <x:c r="P100" s="66"/>
      <x:c r="Q100" s="66"/>
      <x:c r="R100" s="66"/>
      <x:c r="S100" s="66"/>
      <x:c r="T100" s="66" t="str">
        <x:v>SQD620</x:v>
      </x:c>
      <x:c r="U100" s="66" t="str">
        <x:v>深度梦扬量化套利0号</x:v>
      </x:c>
      <x:c r="V100" s="66" t="str">
        <x:v>2025-09</x:v>
      </x:c>
      <x:c r="W100" s="72" t="n">
        <x:v>45900</x:v>
      </x:c>
      <x:c r="X100" s="72" t="n">
        <x:v>45930</x:v>
      </x:c>
      <x:c r="Y100" s="72" t="n">
        <x:f>'净值原始'!C989</x:f>
        <x:v>45898</x:v>
      </x:c>
      <x:c r="Z100" s="72" t="n">
        <x:f>'净值原始'!C994</x:f>
        <x:v>45930</x:v>
      </x:c>
      <x:c r="AA100" s="73" t="n">
        <x:f>'净值原始'!F989</x:f>
        <x:v>1.3577</x:v>
      </x:c>
      <x:c r="AB100" s="73" t="n">
        <x:f>'净值原始'!F994</x:f>
        <x:v>1.3975</x:v>
      </x:c>
      <x:c r="AC100" s="66" t="n">
        <x:f>IF(OR(Y100="",Z100="",Z100&lt;=Y100,W100-Y100&gt;'sheet1-指标体系'!$J$24,X100-Z100&gt;'sheet1-指标体系'!$J$24),0,1)</x:f>
        <x:v>1</x:v>
      </x:c>
      <x:c r="AD100" s="74" t="n">
        <x:f>IF(AC100=0,"",AB100/AA100-1)</x:f>
        <x:v>0.029314281505487205</x:v>
      </x:c>
      <x:c r="AE100" s="66" t="n">
        <x:f>IF(AC100=0,"",IF(AD100&gt;0,1,0))</x:f>
        <x:v>1</x:v>
      </x:c>
    </x:row>
    <x:row r="101" ht="27" customHeight="1">
      <x:c r="A101" s="66"/>
      <x:c r="B101" s="66"/>
      <x:c r="C101" s="66"/>
      <x:c r="D101" s="72"/>
      <x:c r="E101" s="72"/>
      <x:c r="F101" s="72"/>
      <x:c r="G101" s="72"/>
      <x:c r="H101" s="66"/>
      <x:c r="I101" s="66"/>
      <x:c r="J101" s="73"/>
      <x:c r="K101" s="73"/>
      <x:c r="L101" s="74"/>
      <x:c r="M101" s="74"/>
      <x:c r="N101" s="75"/>
      <x:c r="O101" s="74"/>
      <x:c r="P101" s="66"/>
      <x:c r="Q101" s="66"/>
      <x:c r="R101" s="66"/>
      <x:c r="S101" s="66"/>
      <x:c r="T101" s="66" t="str">
        <x:v>SQD620</x:v>
      </x:c>
      <x:c r="U101" s="66" t="str">
        <x:v>深度梦扬量化套利0号</x:v>
      </x:c>
      <x:c r="V101" s="66" t="str">
        <x:v>2025-10</x:v>
      </x:c>
      <x:c r="W101" s="72" t="n">
        <x:v>45930</x:v>
      </x:c>
      <x:c r="X101" s="72" t="n">
        <x:v>45961</x:v>
      </x:c>
      <x:c r="Y101" s="72" t="n">
        <x:f>'净值原始'!C994</x:f>
        <x:v>45930</x:v>
      </x:c>
      <x:c r="Z101" s="72" t="n">
        <x:f>'净值原始'!C998</x:f>
        <x:v>45961</x:v>
      </x:c>
      <x:c r="AA101" s="73" t="n">
        <x:f>'净值原始'!F994</x:f>
        <x:v>1.3975</x:v>
      </x:c>
      <x:c r="AB101" s="73" t="n">
        <x:f>'净值原始'!F998</x:f>
        <x:v>1.3988</x:v>
      </x:c>
      <x:c r="AC101" s="66" t="n">
        <x:f>IF(OR(Y101="",Z101="",Z101&lt;=Y101,W101-Y101&gt;'sheet1-指标体系'!$J$24,X101-Z101&gt;'sheet1-指标体系'!$J$24),0,1)</x:f>
        <x:v>1</x:v>
      </x:c>
      <x:c r="AD101" s="74" t="n">
        <x:f>IF(AC101=0,"",AB101/AA101-1)</x:f>
        <x:v>0.0009302325581395099</x:v>
      </x:c>
      <x:c r="AE101" s="66" t="n">
        <x:f>IF(AC101=0,"",IF(AD101&gt;0,1,0))</x:f>
        <x:v>1</x:v>
      </x:c>
    </x:row>
    <x:row r="102" ht="27" customHeight="1">
      <x:c r="A102" s="66"/>
      <x:c r="B102" s="66"/>
      <x:c r="C102" s="66"/>
      <x:c r="D102" s="72"/>
      <x:c r="E102" s="72"/>
      <x:c r="F102" s="72"/>
      <x:c r="G102" s="72"/>
      <x:c r="H102" s="66"/>
      <x:c r="I102" s="66"/>
      <x:c r="J102" s="73"/>
      <x:c r="K102" s="73"/>
      <x:c r="L102" s="74"/>
      <x:c r="M102" s="74"/>
      <x:c r="N102" s="75"/>
      <x:c r="O102" s="74"/>
      <x:c r="P102" s="66"/>
      <x:c r="Q102" s="66"/>
      <x:c r="R102" s="66"/>
      <x:c r="S102" s="66"/>
      <x:c r="T102" s="66" t="str">
        <x:v>SQD620</x:v>
      </x:c>
      <x:c r="U102" s="66" t="str">
        <x:v>深度梦扬量化套利0号</x:v>
      </x:c>
      <x:c r="V102" s="66" t="str">
        <x:v>2025-11</x:v>
      </x:c>
      <x:c r="W102" s="72" t="n">
        <x:v>45961</x:v>
      </x:c>
      <x:c r="X102" s="72" t="n">
        <x:v>45991</x:v>
      </x:c>
      <x:c r="Y102" s="72" t="n">
        <x:f>'净值原始'!C998</x:f>
        <x:v>45961</x:v>
      </x:c>
      <x:c r="Z102" s="72" t="n">
        <x:f>'净值原始'!C1002</x:f>
        <x:v>45989</x:v>
      </x:c>
      <x:c r="AA102" s="73" t="n">
        <x:f>'净值原始'!F998</x:f>
        <x:v>1.3988</x:v>
      </x:c>
      <x:c r="AB102" s="73" t="n">
        <x:f>'净值原始'!F1002</x:f>
        <x:v>1.4042</x:v>
      </x:c>
      <x:c r="AC102" s="66" t="n">
        <x:f>IF(OR(Y102="",Z102="",Z102&lt;=Y102,W102-Y102&gt;'sheet1-指标体系'!$J$24,X102-Z102&gt;'sheet1-指标体系'!$J$24),0,1)</x:f>
        <x:v>1</x:v>
      </x:c>
      <x:c r="AD102" s="74" t="n">
        <x:f>IF(AC102=0,"",AB102/AA102-1)</x:f>
        <x:v>0.0038604518158420476</x:v>
      </x:c>
      <x:c r="AE102" s="66" t="n">
        <x:f>IF(AC102=0,"",IF(AD102&gt;0,1,0))</x:f>
        <x:v>1</x:v>
      </x:c>
    </x:row>
    <x:row r="103" ht="27" customHeight="1">
      <x:c r="A103" s="66"/>
      <x:c r="B103" s="66"/>
      <x:c r="C103" s="66"/>
      <x:c r="D103" s="72"/>
      <x:c r="E103" s="72"/>
      <x:c r="F103" s="72"/>
      <x:c r="G103" s="72"/>
      <x:c r="H103" s="66"/>
      <x:c r="I103" s="66"/>
      <x:c r="J103" s="73"/>
      <x:c r="K103" s="73"/>
      <x:c r="L103" s="74"/>
      <x:c r="M103" s="74"/>
      <x:c r="N103" s="75"/>
      <x:c r="O103" s="74"/>
      <x:c r="P103" s="66"/>
      <x:c r="Q103" s="66"/>
      <x:c r="R103" s="66"/>
      <x:c r="S103" s="66"/>
      <x:c r="T103" s="66" t="str">
        <x:v>SQD620</x:v>
      </x:c>
      <x:c r="U103" s="66" t="str">
        <x:v>深度梦扬量化套利0号</x:v>
      </x:c>
      <x:c r="V103" s="66" t="str">
        <x:v>2025-12</x:v>
      </x:c>
      <x:c r="W103" s="72" t="n">
        <x:v>45991</x:v>
      </x:c>
      <x:c r="X103" s="72" t="n">
        <x:v>46022</x:v>
      </x:c>
      <x:c r="Y103" s="72" t="n">
        <x:f>'净值原始'!C1002</x:f>
        <x:v>45989</x:v>
      </x:c>
      <x:c r="Z103" s="72" t="n">
        <x:f>'净值原始'!C1007</x:f>
        <x:v>46022</x:v>
      </x:c>
      <x:c r="AA103" s="73" t="n">
        <x:f>'净值原始'!F1002</x:f>
        <x:v>1.4042</x:v>
      </x:c>
      <x:c r="AB103" s="73" t="n">
        <x:f>'净值原始'!F1007</x:f>
        <x:v>1.4174</x:v>
      </x:c>
      <x:c r="AC103" s="66" t="n">
        <x:f>IF(OR(Y103="",Z103="",Z103&lt;=Y103,W103-Y103&gt;'sheet1-指标体系'!$J$24,X103-Z103&gt;'sheet1-指标体系'!$J$24),0,1)</x:f>
        <x:v>1</x:v>
      </x:c>
      <x:c r="AD103" s="74" t="n">
        <x:f>IF(AC103=0,"",AB103/AA103-1)</x:f>
        <x:v>0.009400370317618645</x:v>
      </x:c>
      <x:c r="AE103" s="66" t="n">
        <x:f>IF(AC103=0,"",IF(AD103&gt;0,1,0))</x:f>
        <x:v>1</x:v>
      </x:c>
    </x:row>
    <x:row r="104" ht="27" customHeight="1">
      <x:c r="A104" s="66"/>
      <x:c r="B104" s="66"/>
      <x:c r="C104" s="66"/>
      <x:c r="D104" s="72"/>
      <x:c r="E104" s="72"/>
      <x:c r="F104" s="72"/>
      <x:c r="G104" s="72"/>
      <x:c r="H104" s="66"/>
      <x:c r="I104" s="66"/>
      <x:c r="J104" s="73"/>
      <x:c r="K104" s="73"/>
      <x:c r="L104" s="74"/>
      <x:c r="M104" s="74"/>
      <x:c r="N104" s="75"/>
      <x:c r="O104" s="74"/>
      <x:c r="P104" s="66"/>
      <x:c r="Q104" s="66"/>
      <x:c r="R104" s="66"/>
      <x:c r="S104" s="66"/>
      <x:c r="T104" s="66" t="str">
        <x:v>SQD620</x:v>
      </x:c>
      <x:c r="U104" s="66" t="str">
        <x:v>深度梦扬量化套利0号</x:v>
      </x:c>
      <x:c r="V104" s="66" t="str">
        <x:v>2026-01</x:v>
      </x:c>
      <x:c r="W104" s="72" t="n">
        <x:v>46022</x:v>
      </x:c>
      <x:c r="X104" s="72" t="n">
        <x:v>46053</x:v>
      </x:c>
      <x:c r="Y104" s="72" t="n">
        <x:f>'净值原始'!C1007</x:f>
        <x:v>46022</x:v>
      </x:c>
      <x:c r="Z104" s="72" t="n">
        <x:f>'净值原始'!C1011</x:f>
        <x:v>46052</x:v>
      </x:c>
      <x:c r="AA104" s="73" t="n">
        <x:f>'净值原始'!F1007</x:f>
        <x:v>1.4174</x:v>
      </x:c>
      <x:c r="AB104" s="73" t="n">
        <x:f>'净值原始'!F1011</x:f>
        <x:v>1.452</x:v>
      </x:c>
      <x:c r="AC104" s="66" t="n">
        <x:f>IF(OR(Y104="",Z104="",Z104&lt;=Y104,W104-Y104&gt;'sheet1-指标体系'!$J$24,X104-Z104&gt;'sheet1-指标体系'!$J$24),0,1)</x:f>
        <x:v>1</x:v>
      </x:c>
      <x:c r="AD104" s="74" t="n">
        <x:f>IF(AC104=0,"",AB104/AA104-1)</x:f>
        <x:v>0.024410893184704463</x:v>
      </x:c>
      <x:c r="AE104" s="66" t="n">
        <x:f>IF(AC104=0,"",IF(AD104&gt;0,1,0))</x:f>
        <x:v>1</x:v>
      </x:c>
    </x:row>
    <x:row r="105" ht="27" customHeight="1">
      <x:c r="A105" s="66"/>
      <x:c r="B105" s="66"/>
      <x:c r="C105" s="66"/>
      <x:c r="D105" s="72"/>
      <x:c r="E105" s="72"/>
      <x:c r="F105" s="72"/>
      <x:c r="G105" s="72"/>
      <x:c r="H105" s="66"/>
      <x:c r="I105" s="66"/>
      <x:c r="J105" s="73"/>
      <x:c r="K105" s="73"/>
      <x:c r="L105" s="74"/>
      <x:c r="M105" s="74"/>
      <x:c r="N105" s="75"/>
      <x:c r="O105" s="74"/>
      <x:c r="P105" s="66"/>
      <x:c r="Q105" s="66"/>
      <x:c r="R105" s="66"/>
      <x:c r="S105" s="66"/>
      <x:c r="T105" s="66" t="str">
        <x:v>SQD620</x:v>
      </x:c>
      <x:c r="U105" s="66" t="str">
        <x:v>深度梦扬量化套利0号</x:v>
      </x:c>
      <x:c r="V105" s="66" t="str">
        <x:v>2026-02</x:v>
      </x:c>
      <x:c r="W105" s="72" t="n">
        <x:v>46053</x:v>
      </x:c>
      <x:c r="X105" s="72" t="n">
        <x:v>46081</x:v>
      </x:c>
      <x:c r="Y105" s="72" t="n">
        <x:f>'净值原始'!C1011</x:f>
        <x:v>46052</x:v>
      </x:c>
      <x:c r="Z105" s="72" t="n">
        <x:f>'净值原始'!C1014</x:f>
        <x:v>46080</x:v>
      </x:c>
      <x:c r="AA105" s="73" t="n">
        <x:f>'净值原始'!F1011</x:f>
        <x:v>1.452</x:v>
      </x:c>
      <x:c r="AB105" s="73" t="n">
        <x:f>'净值原始'!F1014</x:f>
        <x:v>1.4573</x:v>
      </x:c>
      <x:c r="AC105" s="66" t="n">
        <x:f>IF(OR(Y105="",Z105="",Z105&lt;=Y105,W105-Y105&gt;'sheet1-指标体系'!$J$24,X105-Z105&gt;'sheet1-指标体系'!$J$24),0,1)</x:f>
        <x:v>1</x:v>
      </x:c>
      <x:c r="AD105" s="74" t="n">
        <x:f>IF(AC105=0,"",AB105/AA105-1)</x:f>
        <x:v>0.0036501377410469438</x:v>
      </x:c>
      <x:c r="AE105" s="66" t="n">
        <x:f>IF(AC105=0,"",IF(AD105&gt;0,1,0))</x:f>
        <x:v>1</x:v>
      </x:c>
    </x:row>
    <x:row r="106" ht="27" customHeight="1">
      <x:c r="A106" s="66"/>
      <x:c r="B106" s="66"/>
      <x:c r="C106" s="66"/>
      <x:c r="D106" s="72"/>
      <x:c r="E106" s="72"/>
      <x:c r="F106" s="72"/>
      <x:c r="G106" s="72"/>
      <x:c r="H106" s="66"/>
      <x:c r="I106" s="66"/>
      <x:c r="J106" s="73"/>
      <x:c r="K106" s="73"/>
      <x:c r="L106" s="74"/>
      <x:c r="M106" s="74"/>
      <x:c r="N106" s="75"/>
      <x:c r="O106" s="74"/>
      <x:c r="P106" s="66"/>
      <x:c r="Q106" s="66"/>
      <x:c r="R106" s="66"/>
      <x:c r="S106" s="66"/>
      <x:c r="T106" s="66" t="str">
        <x:v>SQD620</x:v>
      </x:c>
      <x:c r="U106" s="66" t="str">
        <x:v>深度梦扬量化套利0号</x:v>
      </x:c>
      <x:c r="V106" s="66" t="str">
        <x:v>2026-03</x:v>
      </x:c>
      <x:c r="W106" s="72" t="n">
        <x:v>46081</x:v>
      </x:c>
      <x:c r="X106" s="72" t="n">
        <x:v>46112</x:v>
      </x:c>
      <x:c r="Y106" s="72" t="n">
        <x:f>'净值原始'!C1014</x:f>
        <x:v>46080</x:v>
      </x:c>
      <x:c r="Z106" s="72" t="n">
        <x:f>'净值原始'!C1019</x:f>
        <x:v>46112</x:v>
      </x:c>
      <x:c r="AA106" s="73" t="n">
        <x:f>'净值原始'!F1014</x:f>
        <x:v>1.4573</x:v>
      </x:c>
      <x:c r="AB106" s="73" t="n">
        <x:f>'净值原始'!F1019</x:f>
        <x:v>1.4599</x:v>
      </x:c>
      <x:c r="AC106" s="66" t="n">
        <x:f>IF(OR(Y106="",Z106="",Z106&lt;=Y106,W106-Y106&gt;'sheet1-指标体系'!$J$24,X106-Z106&gt;'sheet1-指标体系'!$J$24),0,1)</x:f>
        <x:v>1</x:v>
      </x:c>
      <x:c r="AD106" s="74" t="n">
        <x:f>IF(AC106=0,"",AB106/AA106-1)</x:f>
        <x:v>0.001784121320249632</x:v>
      </x:c>
      <x:c r="AE106" s="66" t="n">
        <x:f>IF(AC106=0,"",IF(AD106&gt;0,1,0))</x:f>
        <x:v>1</x:v>
      </x:c>
    </x:row>
    <x:row r="107" ht="27" customHeight="1">
      <x:c r="A107" s="66"/>
      <x:c r="B107" s="66"/>
      <x:c r="C107" s="66"/>
      <x:c r="D107" s="72"/>
      <x:c r="E107" s="72"/>
      <x:c r="F107" s="72"/>
      <x:c r="G107" s="72"/>
      <x:c r="H107" s="66"/>
      <x:c r="I107" s="66"/>
      <x:c r="J107" s="73"/>
      <x:c r="K107" s="73"/>
      <x:c r="L107" s="74"/>
      <x:c r="M107" s="74"/>
      <x:c r="N107" s="75"/>
      <x:c r="O107" s="74"/>
      <x:c r="P107" s="66"/>
      <x:c r="Q107" s="66"/>
      <x:c r="R107" s="66"/>
      <x:c r="S107" s="66"/>
      <x:c r="T107" s="66" t="str">
        <x:v>SQD620</x:v>
      </x:c>
      <x:c r="U107" s="66" t="str">
        <x:v>深度梦扬量化套利0号</x:v>
      </x:c>
      <x:c r="V107" s="66" t="str">
        <x:v>2026-04</x:v>
      </x:c>
      <x:c r="W107" s="72" t="n">
        <x:v>46112</x:v>
      </x:c>
      <x:c r="X107" s="72" t="n">
        <x:v>46142</x:v>
      </x:c>
      <x:c r="Y107" s="72" t="n">
        <x:f>'净值原始'!C1019</x:f>
        <x:v>46112</x:v>
      </x:c>
      <x:c r="Z107" s="72" t="n">
        <x:f>'净值原始'!C1024</x:f>
        <x:v>46142</x:v>
      </x:c>
      <x:c r="AA107" s="73" t="n">
        <x:f>'净值原始'!F1019</x:f>
        <x:v>1.4599</x:v>
      </x:c>
      <x:c r="AB107" s="73" t="n">
        <x:f>'净值原始'!F1024</x:f>
        <x:v>1.452</x:v>
      </x:c>
      <x:c r="AC107" s="66" t="n">
        <x:f>IF(OR(Y107="",Z107="",Z107&lt;=Y107,W107-Y107&gt;'sheet1-指标体系'!$J$24,X107-Z107&gt;'sheet1-指标体系'!$J$24),0,1)</x:f>
        <x:v>1</x:v>
      </x:c>
      <x:c r="AD107" s="74" t="n">
        <x:f>IF(AC107=0,"",AB107/AA107-1)</x:f>
        <x:v>-0.005411329543119403</x:v>
      </x:c>
      <x:c r="AE107" s="66" t="n">
        <x:f>IF(AC107=0,"",IF(AD107&gt;0,1,0))</x:f>
        <x:v>0</x:v>
      </x:c>
    </x:row>
    <x:row r="108" ht="27" customHeight="1">
      <x:c r="A108" s="66"/>
      <x:c r="B108" s="66"/>
      <x:c r="C108" s="66"/>
      <x:c r="D108" s="72"/>
      <x:c r="E108" s="72"/>
      <x:c r="F108" s="72"/>
      <x:c r="G108" s="72"/>
      <x:c r="H108" s="66"/>
      <x:c r="I108" s="66"/>
      <x:c r="J108" s="73"/>
      <x:c r="K108" s="73"/>
      <x:c r="L108" s="74"/>
      <x:c r="M108" s="74"/>
      <x:c r="N108" s="75"/>
      <x:c r="O108" s="74"/>
      <x:c r="P108" s="66"/>
      <x:c r="Q108" s="66"/>
      <x:c r="R108" s="66"/>
      <x:c r="S108" s="66"/>
      <x:c r="T108" s="66" t="str">
        <x:v>SQD620</x:v>
      </x:c>
      <x:c r="U108" s="66" t="str">
        <x:v>深度梦扬量化套利0号</x:v>
      </x:c>
      <x:c r="V108" s="66" t="str">
        <x:v>2026-05</x:v>
      </x:c>
      <x:c r="W108" s="72" t="n">
        <x:v>46142</x:v>
      </x:c>
      <x:c r="X108" s="72" t="n">
        <x:v>46173</x:v>
      </x:c>
      <x:c r="Y108" s="72" t="n">
        <x:f>'净值原始'!C1024</x:f>
        <x:v>46142</x:v>
      </x:c>
      <x:c r="Z108" s="72" t="n">
        <x:f>'净值原始'!C1028</x:f>
        <x:v>46171</x:v>
      </x:c>
      <x:c r="AA108" s="73" t="n">
        <x:f>'净值原始'!F1024</x:f>
        <x:v>1.452</x:v>
      </x:c>
      <x:c r="AB108" s="73" t="n">
        <x:f>'净值原始'!F1028</x:f>
        <x:v>1.44</x:v>
      </x:c>
      <x:c r="AC108" s="66" t="n">
        <x:f>IF(OR(Y108="",Z108="",Z108&lt;=Y108,W108-Y108&gt;'sheet1-指标体系'!$J$24,X108-Z108&gt;'sheet1-指标体系'!$J$24),0,1)</x:f>
        <x:v>1</x:v>
      </x:c>
      <x:c r="AD108" s="74" t="n">
        <x:f>IF(AC108=0,"",AB108/AA108-1)</x:f>
        <x:v>-0.008264462809917328</x:v>
      </x:c>
      <x:c r="AE108" s="66" t="n">
        <x:f>IF(AC108=0,"",IF(AD108&gt;0,1,0))</x:f>
        <x:v>0</x:v>
      </x:c>
    </x:row>
    <x:row r="109" ht="27" customHeight="1">
      <x:c r="A109" s="66"/>
      <x:c r="B109" s="66"/>
      <x:c r="C109" s="66"/>
      <x:c r="D109" s="72"/>
      <x:c r="E109" s="72"/>
      <x:c r="F109" s="72"/>
      <x:c r="G109" s="72"/>
      <x:c r="H109" s="66"/>
      <x:c r="I109" s="66"/>
      <x:c r="J109" s="73"/>
      <x:c r="K109" s="73"/>
      <x:c r="L109" s="74"/>
      <x:c r="M109" s="74"/>
      <x:c r="N109" s="75"/>
      <x:c r="O109" s="74"/>
      <x:c r="P109" s="66"/>
      <x:c r="Q109" s="66"/>
      <x:c r="R109" s="66"/>
      <x:c r="S109" s="66"/>
      <x:c r="T109" s="66" t="str">
        <x:v>SQD620</x:v>
      </x:c>
      <x:c r="U109" s="66" t="str">
        <x:v>深度梦扬量化套利0号</x:v>
      </x:c>
      <x:c r="V109" s="66" t="str">
        <x:v>2026-06</x:v>
      </x:c>
      <x:c r="W109" s="72" t="n">
        <x:v>46173</x:v>
      </x:c>
      <x:c r="X109" s="72" t="n">
        <x:v>46203</x:v>
      </x:c>
      <x:c r="Y109" s="72" t="n">
        <x:f>'净值原始'!C1028</x:f>
        <x:v>46171</x:v>
      </x:c>
      <x:c r="Z109" s="72" t="n">
        <x:f>'净值原始'!C1032</x:f>
        <x:v>46199</x:v>
      </x:c>
      <x:c r="AA109" s="73" t="n">
        <x:f>'净值原始'!F1028</x:f>
        <x:v>1.44</x:v>
      </x:c>
      <x:c r="AB109" s="73" t="n">
        <x:f>'净值原始'!F1032</x:f>
        <x:v>1.4281</x:v>
      </x:c>
      <x:c r="AC109" s="66" t="n">
        <x:f>IF(OR(Y109="",Z109="",Z109&lt;=Y109,W109-Y109&gt;'sheet1-指标体系'!$J$24,X109-Z109&gt;'sheet1-指标体系'!$J$24),0,1)</x:f>
        <x:v>1</x:v>
      </x:c>
      <x:c r="AD109" s="74" t="n">
        <x:f>IF(AC109=0,"",AB109/AA109-1)</x:f>
        <x:v>-0.00826388888888896</x:v>
      </x:c>
      <x:c r="AE109" s="66" t="n">
        <x:f>IF(AC109=0,"",IF(AD109&gt;0,1,0))</x:f>
        <x:v>0</x:v>
      </x:c>
    </x:row>
    <x:row r="110" ht="27" customHeight="1">
      <x:c r="A110" s="66"/>
      <x:c r="B110" s="66"/>
      <x:c r="C110" s="66"/>
      <x:c r="D110" s="72"/>
      <x:c r="E110" s="72"/>
      <x:c r="F110" s="72"/>
      <x:c r="G110" s="72"/>
      <x:c r="H110" s="66"/>
      <x:c r="I110" s="66"/>
      <x:c r="J110" s="73"/>
      <x:c r="K110" s="73"/>
      <x:c r="L110" s="74"/>
      <x:c r="M110" s="74"/>
      <x:c r="N110" s="75"/>
      <x:c r="O110" s="74"/>
      <x:c r="P110" s="66"/>
      <x:c r="Q110" s="66"/>
      <x:c r="R110" s="66"/>
      <x:c r="S110" s="66"/>
      <x:c r="T110" s="66" t="str">
        <x:v>SQD620</x:v>
      </x:c>
      <x:c r="U110" s="66" t="str">
        <x:v>深度梦扬量化套利0号</x:v>
      </x:c>
      <x:c r="V110" s="66" t="str">
        <x:v>2026-07</x:v>
      </x:c>
      <x:c r="W110" s="72" t="n">
        <x:v>46203</x:v>
      </x:c>
      <x:c r="X110" s="72" t="n">
        <x:v>46234</x:v>
      </x:c>
      <x:c r="Y110" s="72" t="n">
        <x:f>'净值原始'!C1032</x:f>
        <x:v>46199</x:v>
      </x:c>
      <x:c r="Z110" s="72" t="n">
        <x:f>'净值原始'!C1039</x:f>
        <x:v>46234</x:v>
      </x:c>
      <x:c r="AA110" s="73" t="n">
        <x:f>'净值原始'!F1032</x:f>
        <x:v>1.4281</x:v>
      </x:c>
      <x:c r="AB110" s="73" t="n">
        <x:f>'净值原始'!F1039</x:f>
        <x:v>1.4374</x:v>
      </x:c>
      <x:c r="AC110" s="66" t="n">
        <x:f>IF(OR(Y110="",Z110="",Z110&lt;=Y110,W110-Y110&gt;'sheet1-指标体系'!$J$24,X110-Z110&gt;'sheet1-指标体系'!$J$24),0,1)</x:f>
        <x:v>1</x:v>
      </x:c>
      <x:c r="AD110" s="74" t="n">
        <x:f>IF(AC110=0,"",AB110/AA110-1)</x:f>
        <x:v>0.006512149009173074</x:v>
      </x:c>
      <x:c r="AE110" s="66" t="n">
        <x:f>IF(AC110=0,"",IF(AD110&gt;0,1,0))</x:f>
        <x:v>1</x:v>
      </x:c>
    </x:row>
    <x:row r="111" ht="27" customHeight="1">
      <x:c r="A111" s="66"/>
      <x:c r="B111" s="66"/>
      <x:c r="C111" s="66"/>
      <x:c r="D111" s="72"/>
      <x:c r="E111" s="72"/>
      <x:c r="F111" s="72"/>
      <x:c r="G111" s="72"/>
      <x:c r="H111" s="66"/>
      <x:c r="I111" s="66"/>
      <x:c r="J111" s="73"/>
      <x:c r="K111" s="73"/>
      <x:c r="L111" s="74"/>
      <x:c r="M111" s="74"/>
      <x:c r="N111" s="75"/>
      <x:c r="O111" s="74"/>
      <x:c r="P111" s="66"/>
      <x:c r="Q111" s="66"/>
      <x:c r="R111" s="66"/>
      <x:c r="S111" s="66"/>
      <x:c r="T111" s="66" t="str">
        <x:v>SQD620</x:v>
      </x:c>
      <x:c r="U111" s="66" t="str">
        <x:v>深度梦扬量化套利0号</x:v>
      </x:c>
      <x:c r="V111" s="66" t="str">
        <x:v>2026-08</x:v>
      </x:c>
      <x:c r="W111" s="72" t="n">
        <x:v>46234</x:v>
      </x:c>
      <x:c r="X111" s="72" t="n">
        <x:v>46265</x:v>
      </x:c>
      <x:c r="Y111" s="72" t="n">
        <x:f>'净值原始'!C1039</x:f>
        <x:v>46234</x:v>
      </x:c>
      <x:c r="Z111" s="72" t="n">
        <x:f>'净值原始'!C1048</x:f>
        <x:v>46265</x:v>
      </x:c>
      <x:c r="AA111" s="73" t="n">
        <x:f>'净值原始'!F1039</x:f>
        <x:v>1.4374</x:v>
      </x:c>
      <x:c r="AB111" s="73" t="n">
        <x:f>'净值原始'!F1048</x:f>
        <x:v>1.4971</x:v>
      </x:c>
      <x:c r="AC111" s="66" t="n">
        <x:f>IF(OR(Y111="",Z111="",Z111&lt;=Y111,W111-Y111&gt;'sheet1-指标体系'!$J$24,X111-Z111&gt;'sheet1-指标体系'!$J$24),0,1)</x:f>
        <x:v>1</x:v>
      </x:c>
      <x:c r="AD111" s="74" t="n">
        <x:f>IF(AC111=0,"",AB111/AA111-1)</x:f>
        <x:v>0.04153332405732568</x:v>
      </x:c>
      <x:c r="AE111" s="66" t="n">
        <x:f>IF(AC111=0,"",IF(AD111&gt;0,1,0))</x:f>
        <x:v>1</x:v>
      </x:c>
    </x:row>
    <x:row r="112" ht="27" customHeight="1">
      <x:c r="A112" s="66"/>
      <x:c r="B112" s="66"/>
      <x:c r="C112" s="66"/>
      <x:c r="D112" s="72"/>
      <x:c r="E112" s="72"/>
      <x:c r="F112" s="72"/>
      <x:c r="G112" s="72"/>
      <x:c r="H112" s="66"/>
      <x:c r="I112" s="66"/>
      <x:c r="J112" s="73"/>
      <x:c r="K112" s="73"/>
      <x:c r="L112" s="74"/>
      <x:c r="M112" s="74"/>
      <x:c r="N112" s="75"/>
      <x:c r="O112" s="74"/>
      <x:c r="P112" s="66"/>
      <x:c r="Q112" s="66"/>
      <x:c r="R112" s="66"/>
      <x:c r="S112" s="66"/>
      <x:c r="T112" s="66" t="str">
        <x:v>SQD620</x:v>
      </x:c>
      <x:c r="U112" s="66" t="str">
        <x:v>深度梦扬量化套利0号</x:v>
      </x:c>
      <x:c r="V112" s="66" t="str">
        <x:v>2026-09</x:v>
      </x:c>
      <x:c r="W112" s="72" t="n">
        <x:v>46265</x:v>
      </x:c>
      <x:c r="X112" s="72" t="n">
        <x:v>46267</x:v>
      </x:c>
      <x:c r="Y112" s="72" t="n">
        <x:f>'净值原始'!C1048</x:f>
        <x:v>46265</x:v>
      </x:c>
      <x:c r="Z112" s="72" t="n">
        <x:f>'净值原始'!C1049</x:f>
        <x:v>46267</x:v>
      </x:c>
      <x:c r="AA112" s="73" t="n">
        <x:f>'净值原始'!F1048</x:f>
        <x:v>1.4971</x:v>
      </x:c>
      <x:c r="AB112" s="73" t="n">
        <x:f>'净值原始'!F1049</x:f>
        <x:v>1.4945</x:v>
      </x:c>
      <x:c r="AC112" s="66" t="n">
        <x:f>IF(OR(Y112="",Z112="",Z112&lt;=Y112,W112-Y112&gt;'sheet1-指标体系'!$J$24,X112-Z112&gt;'sheet1-指标体系'!$J$24),0,1)</x:f>
        <x:v>1</x:v>
      </x:c>
      <x:c r="AD112" s="74" t="n">
        <x:f>IF(AC112=0,"",AB112/AA112-1)</x:f>
        <x:v>-0.0017366909358093041</x:v>
      </x:c>
      <x:c r="AE112" s="66" t="n">
        <x:f>IF(AC112=0,"",IF(AD112&gt;0,1,0))</x:f>
        <x:v>0</x:v>
      </x:c>
    </x:row>
    <x:row r="113" ht="27" customHeight="1">
      <x:c r="A113" s="66"/>
      <x:c r="B113" s="66"/>
      <x:c r="C113" s="66"/>
      <x:c r="D113" s="72"/>
      <x:c r="E113" s="72"/>
      <x:c r="F113" s="72"/>
      <x:c r="G113" s="72"/>
      <x:c r="H113" s="66"/>
      <x:c r="I113" s="66"/>
      <x:c r="J113" s="73"/>
      <x:c r="K113" s="73"/>
      <x:c r="L113" s="74"/>
      <x:c r="M113" s="74"/>
      <x:c r="N113" s="75"/>
      <x:c r="O113" s="74"/>
      <x:c r="P113" s="66"/>
      <x:c r="Q113" s="66"/>
      <x:c r="R113" s="66"/>
      <x:c r="S113" s="66"/>
      <x:c r="T113" s="66" t="str">
        <x:v>SXL267</x:v>
      </x:c>
      <x:c r="U113" s="66" t="str">
        <x:v>滨风风云瑞丰1号</x:v>
      </x:c>
      <x:c r="V113" s="66" t="str">
        <x:v>2023-09</x:v>
      </x:c>
      <x:c r="W113" s="72" t="n">
        <x:v>45169</x:v>
      </x:c>
      <x:c r="X113" s="72" t="n">
        <x:v>45199</x:v>
      </x:c>
      <x:c r="Y113" s="72" t="n">
        <x:f>'净值原始'!C1232</x:f>
        <x:v>45169</x:v>
      </x:c>
      <x:c r="Z113" s="72" t="n">
        <x:f>'净值原始'!C1252</x:f>
        <x:v>45197</x:v>
      </x:c>
      <x:c r="AA113" s="73" t="n">
        <x:f>'净值原始'!F1232</x:f>
        <x:v>1.1835</x:v>
      </x:c>
      <x:c r="AB113" s="73" t="n">
        <x:f>'净值原始'!F1252</x:f>
        <x:v>1.1346</x:v>
      </x:c>
      <x:c r="AC113" s="66" t="n">
        <x:f>IF(OR(Y113="",Z113="",Z113&lt;=Y113,W113-Y113&gt;'sheet1-指标体系'!$J$24,X113-Z113&gt;'sheet1-指标体系'!$J$24),0,1)</x:f>
        <x:v>1</x:v>
      </x:c>
      <x:c r="AD113" s="74" t="n">
        <x:f>IF(AC113=0,"",AB113/AA113-1)</x:f>
        <x:v>-0.041318124207857965</x:v>
      </x:c>
      <x:c r="AE113" s="66" t="n">
        <x:f>IF(AC113=0,"",IF(AD113&gt;0,1,0))</x:f>
        <x:v>0</x:v>
      </x:c>
    </x:row>
    <x:row r="114" ht="27" customHeight="1">
      <x:c r="A114" s="66"/>
      <x:c r="B114" s="66"/>
      <x:c r="C114" s="66"/>
      <x:c r="D114" s="72"/>
      <x:c r="E114" s="72"/>
      <x:c r="F114" s="72"/>
      <x:c r="G114" s="72"/>
      <x:c r="H114" s="66"/>
      <x:c r="I114" s="66"/>
      <x:c r="J114" s="73"/>
      <x:c r="K114" s="73"/>
      <x:c r="L114" s="74"/>
      <x:c r="M114" s="74"/>
      <x:c r="N114" s="75"/>
      <x:c r="O114" s="74"/>
      <x:c r="P114" s="66"/>
      <x:c r="Q114" s="66"/>
      <x:c r="R114" s="66"/>
      <x:c r="S114" s="66"/>
      <x:c r="T114" s="66" t="str">
        <x:v>SXL267</x:v>
      </x:c>
      <x:c r="U114" s="66" t="str">
        <x:v>滨风风云瑞丰1号</x:v>
      </x:c>
      <x:c r="V114" s="66" t="str">
        <x:v>2023-10</x:v>
      </x:c>
      <x:c r="W114" s="72" t="n">
        <x:v>45199</x:v>
      </x:c>
      <x:c r="X114" s="72" t="n">
        <x:v>45230</x:v>
      </x:c>
      <x:c r="Y114" s="72" t="n">
        <x:f>'净值原始'!C1252</x:f>
        <x:v>45197</x:v>
      </x:c>
      <x:c r="Z114" s="72" t="n">
        <x:f>'净值原始'!C1269</x:f>
        <x:v>45230</x:v>
      </x:c>
      <x:c r="AA114" s="73" t="n">
        <x:f>'净值原始'!F1252</x:f>
        <x:v>1.1346</x:v>
      </x:c>
      <x:c r="AB114" s="73" t="n">
        <x:f>'净值原始'!F1269</x:f>
        <x:v>1.1325</x:v>
      </x:c>
      <x:c r="AC114" s="66" t="n">
        <x:f>IF(OR(Y114="",Z114="",Z114&lt;=Y114,W114-Y114&gt;'sheet1-指标体系'!$J$24,X114-Z114&gt;'sheet1-指标体系'!$J$24),0,1)</x:f>
        <x:v>1</x:v>
      </x:c>
      <x:c r="AD114" s="74" t="n">
        <x:f>IF(AC114=0,"",AB114/AA114-1)</x:f>
        <x:v>-0.0018508725542041304</x:v>
      </x:c>
      <x:c r="AE114" s="66" t="n">
        <x:f>IF(AC114=0,"",IF(AD114&gt;0,1,0))</x:f>
        <x:v>0</x:v>
      </x:c>
    </x:row>
    <x:row r="115" ht="27" customHeight="1">
      <x:c r="A115" s="66"/>
      <x:c r="B115" s="66"/>
      <x:c r="C115" s="66"/>
      <x:c r="D115" s="72"/>
      <x:c r="E115" s="72"/>
      <x:c r="F115" s="72"/>
      <x:c r="G115" s="72"/>
      <x:c r="H115" s="66"/>
      <x:c r="I115" s="66"/>
      <x:c r="J115" s="73"/>
      <x:c r="K115" s="73"/>
      <x:c r="L115" s="74"/>
      <x:c r="M115" s="74"/>
      <x:c r="N115" s="75"/>
      <x:c r="O115" s="74"/>
      <x:c r="P115" s="66"/>
      <x:c r="Q115" s="66"/>
      <x:c r="R115" s="66"/>
      <x:c r="S115" s="66"/>
      <x:c r="T115" s="66" t="str">
        <x:v>SXL267</x:v>
      </x:c>
      <x:c r="U115" s="66" t="str">
        <x:v>滨风风云瑞丰1号</x:v>
      </x:c>
      <x:c r="V115" s="66" t="str">
        <x:v>2023-11</x:v>
      </x:c>
      <x:c r="W115" s="72" t="n">
        <x:v>45230</x:v>
      </x:c>
      <x:c r="X115" s="72" t="n">
        <x:v>45260</x:v>
      </x:c>
      <x:c r="Y115" s="72" t="n">
        <x:f>'净值原始'!C1269</x:f>
        <x:v>45230</x:v>
      </x:c>
      <x:c r="Z115" s="72" t="n">
        <x:f>'净值原始'!C1291</x:f>
        <x:v>45260</x:v>
      </x:c>
      <x:c r="AA115" s="73" t="n">
        <x:f>'净值原始'!F1269</x:f>
        <x:v>1.1325</x:v>
      </x:c>
      <x:c r="AB115" s="73" t="n">
        <x:f>'净值原始'!F1291</x:f>
        <x:v>1.1738</x:v>
      </x:c>
      <x:c r="AC115" s="66" t="n">
        <x:f>IF(OR(Y115="",Z115="",Z115&lt;=Y115,W115-Y115&gt;'sheet1-指标体系'!$J$24,X115-Z115&gt;'sheet1-指标体系'!$J$24),0,1)</x:f>
        <x:v>1</x:v>
      </x:c>
      <x:c r="AD115" s="74" t="n">
        <x:f>IF(AC115=0,"",AB115/AA115-1)</x:f>
        <x:v>0.0364679911699779</x:v>
      </x:c>
      <x:c r="AE115" s="66" t="n">
        <x:f>IF(AC115=0,"",IF(AD115&gt;0,1,0))</x:f>
        <x:v>1</x:v>
      </x:c>
    </x:row>
    <x:row r="116" ht="27" customHeight="1">
      <x:c r="A116" s="66"/>
      <x:c r="B116" s="66"/>
      <x:c r="C116" s="66"/>
      <x:c r="D116" s="72"/>
      <x:c r="E116" s="72"/>
      <x:c r="F116" s="72"/>
      <x:c r="G116" s="72"/>
      <x:c r="H116" s="66"/>
      <x:c r="I116" s="66"/>
      <x:c r="J116" s="73"/>
      <x:c r="K116" s="73"/>
      <x:c r="L116" s="74"/>
      <x:c r="M116" s="74"/>
      <x:c r="N116" s="75"/>
      <x:c r="O116" s="74"/>
      <x:c r="P116" s="66"/>
      <x:c r="Q116" s="66"/>
      <x:c r="R116" s="66"/>
      <x:c r="S116" s="66"/>
      <x:c r="T116" s="66" t="str">
        <x:v>SXL267</x:v>
      </x:c>
      <x:c r="U116" s="66" t="str">
        <x:v>滨风风云瑞丰1号</x:v>
      </x:c>
      <x:c r="V116" s="66" t="str">
        <x:v>2023-12</x:v>
      </x:c>
      <x:c r="W116" s="72" t="n">
        <x:v>45260</x:v>
      </x:c>
      <x:c r="X116" s="72" t="n">
        <x:v>45291</x:v>
      </x:c>
      <x:c r="Y116" s="72" t="n">
        <x:f>'净值原始'!C1291</x:f>
        <x:v>45260</x:v>
      </x:c>
      <x:c r="Z116" s="72" t="n">
        <x:f>'净值原始'!C1312</x:f>
        <x:v>45289</x:v>
      </x:c>
      <x:c r="AA116" s="73" t="n">
        <x:f>'净值原始'!F1291</x:f>
        <x:v>1.1738</x:v>
      </x:c>
      <x:c r="AB116" s="73" t="n">
        <x:f>'净值原始'!F1312</x:f>
        <x:v>1.1947</x:v>
      </x:c>
      <x:c r="AC116" s="66" t="n">
        <x:f>IF(OR(Y116="",Z116="",Z116&lt;=Y116,W116-Y116&gt;'sheet1-指标体系'!$J$24,X116-Z116&gt;'sheet1-指标体系'!$J$24),0,1)</x:f>
        <x:v>1</x:v>
      </x:c>
      <x:c r="AD116" s="74" t="n">
        <x:f>IF(AC116=0,"",AB116/AA116-1)</x:f>
        <x:v>0.017805418299539966</x:v>
      </x:c>
      <x:c r="AE116" s="66" t="n">
        <x:f>IF(AC116=0,"",IF(AD116&gt;0,1,0))</x:f>
        <x:v>1</x:v>
      </x:c>
    </x:row>
    <x:row r="117" ht="27" customHeight="1">
      <x:c r="A117" s="66"/>
      <x:c r="B117" s="66"/>
      <x:c r="C117" s="66"/>
      <x:c r="D117" s="72"/>
      <x:c r="E117" s="72"/>
      <x:c r="F117" s="72"/>
      <x:c r="G117" s="72"/>
      <x:c r="H117" s="66"/>
      <x:c r="I117" s="66"/>
      <x:c r="J117" s="73"/>
      <x:c r="K117" s="73"/>
      <x:c r="L117" s="74"/>
      <x:c r="M117" s="74"/>
      <x:c r="N117" s="75"/>
      <x:c r="O117" s="74"/>
      <x:c r="P117" s="66"/>
      <x:c r="Q117" s="66"/>
      <x:c r="R117" s="66"/>
      <x:c r="S117" s="66"/>
      <x:c r="T117" s="66" t="str">
        <x:v>SXL267</x:v>
      </x:c>
      <x:c r="U117" s="66" t="str">
        <x:v>滨风风云瑞丰1号</x:v>
      </x:c>
      <x:c r="V117" s="66" t="str">
        <x:v>2024-01</x:v>
      </x:c>
      <x:c r="W117" s="72" t="n">
        <x:v>45291</x:v>
      </x:c>
      <x:c r="X117" s="72" t="n">
        <x:v>45322</x:v>
      </x:c>
      <x:c r="Y117" s="72" t="n">
        <x:f>'净值原始'!C1312</x:f>
        <x:v>45289</x:v>
      </x:c>
      <x:c r="Z117" s="72" t="n">
        <x:f>'净值原始'!C1334</x:f>
        <x:v>45322</x:v>
      </x:c>
      <x:c r="AA117" s="73" t="n">
        <x:f>'净值原始'!F1312</x:f>
        <x:v>1.1947</x:v>
      </x:c>
      <x:c r="AB117" s="73" t="n">
        <x:f>'净值原始'!F1334</x:f>
        <x:v>1.1671</x:v>
      </x:c>
      <x:c r="AC117" s="66" t="n">
        <x:f>IF(OR(Y117="",Z117="",Z117&lt;=Y117,W117-Y117&gt;'sheet1-指标体系'!$J$24,X117-Z117&gt;'sheet1-指标体系'!$J$24),0,1)</x:f>
        <x:v>1</x:v>
      </x:c>
      <x:c r="AD117" s="74" t="n">
        <x:f>IF(AC117=0,"",AB117/AA117-1)</x:f>
        <x:v>-0.023102033983426806</x:v>
      </x:c>
      <x:c r="AE117" s="66" t="n">
        <x:f>IF(AC117=0,"",IF(AD117&gt;0,1,0))</x:f>
        <x:v>0</x:v>
      </x:c>
    </x:row>
    <x:row r="118" ht="27" customHeight="1">
      <x:c r="A118" s="66"/>
      <x:c r="B118" s="66"/>
      <x:c r="C118" s="66"/>
      <x:c r="D118" s="72"/>
      <x:c r="E118" s="72"/>
      <x:c r="F118" s="72"/>
      <x:c r="G118" s="72"/>
      <x:c r="H118" s="66"/>
      <x:c r="I118" s="66"/>
      <x:c r="J118" s="73"/>
      <x:c r="K118" s="73"/>
      <x:c r="L118" s="74"/>
      <x:c r="M118" s="74"/>
      <x:c r="N118" s="75"/>
      <x:c r="O118" s="74"/>
      <x:c r="P118" s="66"/>
      <x:c r="Q118" s="66"/>
      <x:c r="R118" s="66"/>
      <x:c r="S118" s="66"/>
      <x:c r="T118" s="66" t="str">
        <x:v>SXL267</x:v>
      </x:c>
      <x:c r="U118" s="66" t="str">
        <x:v>滨风风云瑞丰1号</x:v>
      </x:c>
      <x:c r="V118" s="66" t="str">
        <x:v>2024-02</x:v>
      </x:c>
      <x:c r="W118" s="72" t="n">
        <x:v>45322</x:v>
      </x:c>
      <x:c r="X118" s="72" t="n">
        <x:v>45351</x:v>
      </x:c>
      <x:c r="Y118" s="72" t="n">
        <x:f>'净值原始'!C1334</x:f>
        <x:v>45322</x:v>
      </x:c>
      <x:c r="Z118" s="72" t="n">
        <x:f>'净值原始'!C1349</x:f>
        <x:v>45351</x:v>
      </x:c>
      <x:c r="AA118" s="73" t="n">
        <x:f>'净值原始'!F1334</x:f>
        <x:v>1.1671</x:v>
      </x:c>
      <x:c r="AB118" s="73" t="n">
        <x:f>'净值原始'!F1349</x:f>
        <x:v>1.1709</x:v>
      </x:c>
      <x:c r="AC118" s="66" t="n">
        <x:f>IF(OR(Y118="",Z118="",Z118&lt;=Y118,W118-Y118&gt;'sheet1-指标体系'!$J$24,X118-Z118&gt;'sheet1-指标体系'!$J$24),0,1)</x:f>
        <x:v>1</x:v>
      </x:c>
      <x:c r="AD118" s="74" t="n">
        <x:f>IF(AC118=0,"",AB118/AA118-1)</x:f>
        <x:v>0.003255933510410536</x:v>
      </x:c>
      <x:c r="AE118" s="66" t="n">
        <x:f>IF(AC118=0,"",IF(AD118&gt;0,1,0))</x:f>
        <x:v>1</x:v>
      </x:c>
    </x:row>
    <x:row r="119" ht="27" customHeight="1">
      <x:c r="A119" s="66"/>
      <x:c r="B119" s="66"/>
      <x:c r="C119" s="66"/>
      <x:c r="D119" s="72"/>
      <x:c r="E119" s="72"/>
      <x:c r="F119" s="72"/>
      <x:c r="G119" s="72"/>
      <x:c r="H119" s="66"/>
      <x:c r="I119" s="66"/>
      <x:c r="J119" s="73"/>
      <x:c r="K119" s="73"/>
      <x:c r="L119" s="74"/>
      <x:c r="M119" s="74"/>
      <x:c r="N119" s="75"/>
      <x:c r="O119" s="74"/>
      <x:c r="P119" s="66"/>
      <x:c r="Q119" s="66"/>
      <x:c r="R119" s="66"/>
      <x:c r="S119" s="66"/>
      <x:c r="T119" s="66" t="str">
        <x:v>SXL267</x:v>
      </x:c>
      <x:c r="U119" s="66" t="str">
        <x:v>滨风风云瑞丰1号</x:v>
      </x:c>
      <x:c r="V119" s="66" t="str">
        <x:v>2024-03</x:v>
      </x:c>
      <x:c r="W119" s="72" t="n">
        <x:v>45351</x:v>
      </x:c>
      <x:c r="X119" s="72" t="n">
        <x:v>45382</x:v>
      </x:c>
      <x:c r="Y119" s="72" t="n">
        <x:f>'净值原始'!C1349</x:f>
        <x:v>45351</x:v>
      </x:c>
      <x:c r="Z119" s="72" t="n">
        <x:f>'净值原始'!C1370</x:f>
        <x:v>45380</x:v>
      </x:c>
      <x:c r="AA119" s="73" t="n">
        <x:f>'净值原始'!F1349</x:f>
        <x:v>1.1709</x:v>
      </x:c>
      <x:c r="AB119" s="73" t="n">
        <x:f>'净值原始'!F1370</x:f>
        <x:v>1.1745</x:v>
      </x:c>
      <x:c r="AC119" s="66" t="n">
        <x:f>IF(OR(Y119="",Z119="",Z119&lt;=Y119,W119-Y119&gt;'sheet1-指标体系'!$J$24,X119-Z119&gt;'sheet1-指标体系'!$J$24),0,1)</x:f>
        <x:v>1</x:v>
      </x:c>
      <x:c r="AD119" s="74" t="n">
        <x:f>IF(AC119=0,"",AB119/AA119-1)</x:f>
        <x:v>0.003074558032282848</x:v>
      </x:c>
      <x:c r="AE119" s="66" t="n">
        <x:f>IF(AC119=0,"",IF(AD119&gt;0,1,0))</x:f>
        <x:v>1</x:v>
      </x:c>
    </x:row>
    <x:row r="120" ht="27" customHeight="1">
      <x:c r="A120" s="66"/>
      <x:c r="B120" s="66"/>
      <x:c r="C120" s="66"/>
      <x:c r="D120" s="72"/>
      <x:c r="E120" s="72"/>
      <x:c r="F120" s="72"/>
      <x:c r="G120" s="72"/>
      <x:c r="H120" s="66"/>
      <x:c r="I120" s="66"/>
      <x:c r="J120" s="73"/>
      <x:c r="K120" s="73"/>
      <x:c r="L120" s="74"/>
      <x:c r="M120" s="74"/>
      <x:c r="N120" s="75"/>
      <x:c r="O120" s="74"/>
      <x:c r="P120" s="66"/>
      <x:c r="Q120" s="66"/>
      <x:c r="R120" s="66"/>
      <x:c r="S120" s="66"/>
      <x:c r="T120" s="66" t="str">
        <x:v>SXL267</x:v>
      </x:c>
      <x:c r="U120" s="66" t="str">
        <x:v>滨风风云瑞丰1号</x:v>
      </x:c>
      <x:c r="V120" s="66" t="str">
        <x:v>2024-04</x:v>
      </x:c>
      <x:c r="W120" s="72" t="n">
        <x:v>45382</x:v>
      </x:c>
      <x:c r="X120" s="72" t="n">
        <x:v>45412</x:v>
      </x:c>
      <x:c r="Y120" s="72" t="n">
        <x:f>'净值原始'!C1370</x:f>
        <x:v>45380</x:v>
      </x:c>
      <x:c r="Z120" s="72" t="n">
        <x:f>'净值原始'!C1390</x:f>
        <x:v>45412</x:v>
      </x:c>
      <x:c r="AA120" s="73" t="n">
        <x:f>'净值原始'!F1370</x:f>
        <x:v>1.1745</x:v>
      </x:c>
      <x:c r="AB120" s="73" t="n">
        <x:f>'净值原始'!F1390</x:f>
        <x:v>1.174</x:v>
      </x:c>
      <x:c r="AC120" s="66" t="n">
        <x:f>IF(OR(Y120="",Z120="",Z120&lt;=Y120,W120-Y120&gt;'sheet1-指标体系'!$J$24,X120-Z120&gt;'sheet1-指标体系'!$J$24),0,1)</x:f>
        <x:v>1</x:v>
      </x:c>
      <x:c r="AD120" s="74" t="n">
        <x:f>IF(AC120=0,"",AB120/AA120-1)</x:f>
        <x:v>-0.00042571306939132025</x:v>
      </x:c>
      <x:c r="AE120" s="66" t="n">
        <x:f>IF(AC120=0,"",IF(AD120&gt;0,1,0))</x:f>
        <x:v>0</x:v>
      </x:c>
    </x:row>
    <x:row r="121" ht="27" customHeight="1">
      <x:c r="A121" s="66"/>
      <x:c r="B121" s="66"/>
      <x:c r="C121" s="66"/>
      <x:c r="D121" s="72"/>
      <x:c r="E121" s="72"/>
      <x:c r="F121" s="72"/>
      <x:c r="G121" s="72"/>
      <x:c r="H121" s="66"/>
      <x:c r="I121" s="66"/>
      <x:c r="J121" s="73"/>
      <x:c r="K121" s="73"/>
      <x:c r="L121" s="74"/>
      <x:c r="M121" s="74"/>
      <x:c r="N121" s="75"/>
      <x:c r="O121" s="74"/>
      <x:c r="P121" s="66"/>
      <x:c r="Q121" s="66"/>
      <x:c r="R121" s="66"/>
      <x:c r="S121" s="66"/>
      <x:c r="T121" s="66" t="str">
        <x:v>SXL267</x:v>
      </x:c>
      <x:c r="U121" s="66" t="str">
        <x:v>滨风风云瑞丰1号</x:v>
      </x:c>
      <x:c r="V121" s="66" t="str">
        <x:v>2024-05</x:v>
      </x:c>
      <x:c r="W121" s="72" t="n">
        <x:v>45412</x:v>
      </x:c>
      <x:c r="X121" s="72" t="n">
        <x:v>45443</x:v>
      </x:c>
      <x:c r="Y121" s="72" t="n">
        <x:f>'净值原始'!C1390</x:f>
        <x:v>45412</x:v>
      </x:c>
      <x:c r="Z121" s="72" t="n">
        <x:f>'净值原始'!C1410</x:f>
        <x:v>45443</x:v>
      </x:c>
      <x:c r="AA121" s="73" t="n">
        <x:f>'净值原始'!F1390</x:f>
        <x:v>1.174</x:v>
      </x:c>
      <x:c r="AB121" s="73" t="n">
        <x:f>'净值原始'!F1410</x:f>
        <x:v>1.2181</x:v>
      </x:c>
      <x:c r="AC121" s="66" t="n">
        <x:f>IF(OR(Y121="",Z121="",Z121&lt;=Y121,W121-Y121&gt;'sheet1-指标体系'!$J$24,X121-Z121&gt;'sheet1-指标体系'!$J$24),0,1)</x:f>
        <x:v>1</x:v>
      </x:c>
      <x:c r="AD121" s="74" t="n">
        <x:f>IF(AC121=0,"",AB121/AA121-1)</x:f>
        <x:v>0.03756388415672918</x:v>
      </x:c>
      <x:c r="AE121" s="66" t="n">
        <x:f>IF(AC121=0,"",IF(AD121&gt;0,1,0))</x:f>
        <x:v>1</x:v>
      </x:c>
    </x:row>
    <x:row r="122" ht="27" customHeight="1">
      <x:c r="A122" s="66"/>
      <x:c r="B122" s="66"/>
      <x:c r="C122" s="66"/>
      <x:c r="D122" s="72"/>
      <x:c r="E122" s="72"/>
      <x:c r="F122" s="72"/>
      <x:c r="G122" s="72"/>
      <x:c r="H122" s="66"/>
      <x:c r="I122" s="66"/>
      <x:c r="J122" s="73"/>
      <x:c r="K122" s="73"/>
      <x:c r="L122" s="74"/>
      <x:c r="M122" s="74"/>
      <x:c r="N122" s="75"/>
      <x:c r="O122" s="74"/>
      <x:c r="P122" s="66"/>
      <x:c r="Q122" s="66"/>
      <x:c r="R122" s="66"/>
      <x:c r="S122" s="66"/>
      <x:c r="T122" s="66" t="str">
        <x:v>SXL267</x:v>
      </x:c>
      <x:c r="U122" s="66" t="str">
        <x:v>滨风风云瑞丰1号</x:v>
      </x:c>
      <x:c r="V122" s="66" t="str">
        <x:v>2024-06</x:v>
      </x:c>
      <x:c r="W122" s="72" t="n">
        <x:v>45443</x:v>
      </x:c>
      <x:c r="X122" s="72" t="n">
        <x:v>45473</x:v>
      </x:c>
      <x:c r="Y122" s="72" t="n">
        <x:f>'净值原始'!C1410</x:f>
        <x:v>45443</x:v>
      </x:c>
      <x:c r="Z122" s="72" t="n">
        <x:f>'净值原始'!C1429</x:f>
        <x:v>45471</x:v>
      </x:c>
      <x:c r="AA122" s="73" t="n">
        <x:f>'净值原始'!F1410</x:f>
        <x:v>1.2181</x:v>
      </x:c>
      <x:c r="AB122" s="73" t="n">
        <x:f>'净值原始'!F1429</x:f>
        <x:v>1.2036</x:v>
      </x:c>
      <x:c r="AC122" s="66" t="n">
        <x:f>IF(OR(Y122="",Z122="",Z122&lt;=Y122,W122-Y122&gt;'sheet1-指标体系'!$J$24,X122-Z122&gt;'sheet1-指标体系'!$J$24),0,1)</x:f>
        <x:v>1</x:v>
      </x:c>
      <x:c r="AD122" s="74" t="n">
        <x:f>IF(AC122=0,"",AB122/AA122-1)</x:f>
        <x:v>-0.011903784582546595</x:v>
      </x:c>
      <x:c r="AE122" s="66" t="n">
        <x:f>IF(AC122=0,"",IF(AD122&gt;0,1,0))</x:f>
        <x:v>0</x:v>
      </x:c>
    </x:row>
    <x:row r="123" ht="27" customHeight="1">
      <x:c r="A123" s="66"/>
      <x:c r="B123" s="66"/>
      <x:c r="C123" s="66"/>
      <x:c r="D123" s="72"/>
      <x:c r="E123" s="72"/>
      <x:c r="F123" s="72"/>
      <x:c r="G123" s="72"/>
      <x:c r="H123" s="66"/>
      <x:c r="I123" s="66"/>
      <x:c r="J123" s="73"/>
      <x:c r="K123" s="73"/>
      <x:c r="L123" s="74"/>
      <x:c r="M123" s="74"/>
      <x:c r="N123" s="75"/>
      <x:c r="O123" s="74"/>
      <x:c r="P123" s="66"/>
      <x:c r="Q123" s="66"/>
      <x:c r="R123" s="66"/>
      <x:c r="S123" s="66"/>
      <x:c r="T123" s="66" t="str">
        <x:v>SXL267</x:v>
      </x:c>
      <x:c r="U123" s="66" t="str">
        <x:v>滨风风云瑞丰1号</x:v>
      </x:c>
      <x:c r="V123" s="66" t="str">
        <x:v>2024-07</x:v>
      </x:c>
      <x:c r="W123" s="72" t="n">
        <x:v>45473</x:v>
      </x:c>
      <x:c r="X123" s="72" t="n">
        <x:v>45504</x:v>
      </x:c>
      <x:c r="Y123" s="72" t="n">
        <x:f>'净值原始'!C1429</x:f>
        <x:v>45471</x:v>
      </x:c>
      <x:c r="Z123" s="72" t="n">
        <x:f>'净值原始'!C1452</x:f>
        <x:v>45504</x:v>
      </x:c>
      <x:c r="AA123" s="73" t="n">
        <x:f>'净值原始'!F1429</x:f>
        <x:v>1.2036</x:v>
      </x:c>
      <x:c r="AB123" s="73" t="n">
        <x:f>'净值原始'!F1452</x:f>
        <x:v>1.2423</x:v>
      </x:c>
      <x:c r="AC123" s="66" t="n">
        <x:f>IF(OR(Y123="",Z123="",Z123&lt;=Y123,W123-Y123&gt;'sheet1-指标体系'!$J$24,X123-Z123&gt;'sheet1-指标体系'!$J$24),0,1)</x:f>
        <x:v>1</x:v>
      </x:c>
      <x:c r="AD123" s="74" t="n">
        <x:f>IF(AC123=0,"",AB123/AA123-1)</x:f>
        <x:v>0.03215353938185439</x:v>
      </x:c>
      <x:c r="AE123" s="66" t="n">
        <x:f>IF(AC123=0,"",IF(AD123&gt;0,1,0))</x:f>
        <x:v>1</x:v>
      </x:c>
    </x:row>
    <x:row r="124" ht="27" customHeight="1">
      <x:c r="A124" s="66"/>
      <x:c r="B124" s="66"/>
      <x:c r="C124" s="66"/>
      <x:c r="D124" s="72"/>
      <x:c r="E124" s="72"/>
      <x:c r="F124" s="72"/>
      <x:c r="G124" s="72"/>
      <x:c r="H124" s="66"/>
      <x:c r="I124" s="66"/>
      <x:c r="J124" s="73"/>
      <x:c r="K124" s="73"/>
      <x:c r="L124" s="74"/>
      <x:c r="M124" s="74"/>
      <x:c r="N124" s="75"/>
      <x:c r="O124" s="74"/>
      <x:c r="P124" s="66"/>
      <x:c r="Q124" s="66"/>
      <x:c r="R124" s="66"/>
      <x:c r="S124" s="66"/>
      <x:c r="T124" s="66" t="str">
        <x:v>SXL267</x:v>
      </x:c>
      <x:c r="U124" s="66" t="str">
        <x:v>滨风风云瑞丰1号</x:v>
      </x:c>
      <x:c r="V124" s="66" t="str">
        <x:v>2024-08</x:v>
      </x:c>
      <x:c r="W124" s="72" t="n">
        <x:v>45504</x:v>
      </x:c>
      <x:c r="X124" s="72" t="n">
        <x:v>45535</x:v>
      </x:c>
      <x:c r="Y124" s="72" t="n">
        <x:f>'净值原始'!C1452</x:f>
        <x:v>45504</x:v>
      </x:c>
      <x:c r="Z124" s="72" t="n">
        <x:f>'净值原始'!C1474</x:f>
        <x:v>45534</x:v>
      </x:c>
      <x:c r="AA124" s="73" t="n">
        <x:f>'净值原始'!F1452</x:f>
        <x:v>1.2423</x:v>
      </x:c>
      <x:c r="AB124" s="73" t="n">
        <x:f>'净值原始'!F1474</x:f>
        <x:v>1.2704</x:v>
      </x:c>
      <x:c r="AC124" s="66" t="n">
        <x:f>IF(OR(Y124="",Z124="",Z124&lt;=Y124,W124-Y124&gt;'sheet1-指标体系'!$J$24,X124-Z124&gt;'sheet1-指标体系'!$J$24),0,1)</x:f>
        <x:v>1</x:v>
      </x:c>
      <x:c r="AD124" s="74" t="n">
        <x:f>IF(AC124=0,"",AB124/AA124-1)</x:f>
        <x:v>0.022619335104242078</x:v>
      </x:c>
      <x:c r="AE124" s="66" t="n">
        <x:f>IF(AC124=0,"",IF(AD124&gt;0,1,0))</x:f>
        <x:v>1</x:v>
      </x:c>
    </x:row>
    <x:row r="125" ht="27" customHeight="1">
      <x:c r="A125" s="66"/>
      <x:c r="B125" s="66"/>
      <x:c r="C125" s="66"/>
      <x:c r="D125" s="72"/>
      <x:c r="E125" s="72"/>
      <x:c r="F125" s="72"/>
      <x:c r="G125" s="72"/>
      <x:c r="H125" s="66"/>
      <x:c r="I125" s="66"/>
      <x:c r="J125" s="73"/>
      <x:c r="K125" s="73"/>
      <x:c r="L125" s="74"/>
      <x:c r="M125" s="74"/>
      <x:c r="N125" s="75"/>
      <x:c r="O125" s="74"/>
      <x:c r="P125" s="66"/>
      <x:c r="Q125" s="66"/>
      <x:c r="R125" s="66"/>
      <x:c r="S125" s="66"/>
      <x:c r="T125" s="66" t="str">
        <x:v>SXL267</x:v>
      </x:c>
      <x:c r="U125" s="66" t="str">
        <x:v>滨风风云瑞丰1号</x:v>
      </x:c>
      <x:c r="V125" s="66" t="str">
        <x:v>2024-09</x:v>
      </x:c>
      <x:c r="W125" s="72" t="n">
        <x:v>45535</x:v>
      </x:c>
      <x:c r="X125" s="72" t="n">
        <x:v>45565</x:v>
      </x:c>
      <x:c r="Y125" s="72" t="n">
        <x:f>'净值原始'!C1474</x:f>
        <x:v>45534</x:v>
      </x:c>
      <x:c r="Z125" s="72" t="n">
        <x:f>'净值原始'!C1493</x:f>
        <x:v>45565</x:v>
      </x:c>
      <x:c r="AA125" s="73" t="n">
        <x:f>'净值原始'!F1474</x:f>
        <x:v>1.2704</x:v>
      </x:c>
      <x:c r="AB125" s="73" t="n">
        <x:f>'净值原始'!F1493</x:f>
        <x:v>1.4437</x:v>
      </x:c>
      <x:c r="AC125" s="66" t="n">
        <x:f>IF(OR(Y125="",Z125="",Z125&lt;=Y125,W125-Y125&gt;'sheet1-指标体系'!$J$24,X125-Z125&gt;'sheet1-指标体系'!$J$24),0,1)</x:f>
        <x:v>1</x:v>
      </x:c>
      <x:c r="AD125" s="74" t="n">
        <x:f>IF(AC125=0,"",AB125/AA125-1)</x:f>
        <x:v>0.13641372795969775</x:v>
      </x:c>
      <x:c r="AE125" s="66" t="n">
        <x:f>IF(AC125=0,"",IF(AD125&gt;0,1,0))</x:f>
        <x:v>1</x:v>
      </x:c>
    </x:row>
    <x:row r="126" ht="27" customHeight="1">
      <x:c r="A126" s="66"/>
      <x:c r="B126" s="66"/>
      <x:c r="C126" s="66"/>
      <x:c r="D126" s="72"/>
      <x:c r="E126" s="72"/>
      <x:c r="F126" s="72"/>
      <x:c r="G126" s="72"/>
      <x:c r="H126" s="66"/>
      <x:c r="I126" s="66"/>
      <x:c r="J126" s="73"/>
      <x:c r="K126" s="73"/>
      <x:c r="L126" s="74"/>
      <x:c r="M126" s="74"/>
      <x:c r="N126" s="75"/>
      <x:c r="O126" s="74"/>
      <x:c r="P126" s="66"/>
      <x:c r="Q126" s="66"/>
      <x:c r="R126" s="66"/>
      <x:c r="S126" s="66"/>
      <x:c r="T126" s="66" t="str">
        <x:v>SXL267</x:v>
      </x:c>
      <x:c r="U126" s="66" t="str">
        <x:v>滨风风云瑞丰1号</x:v>
      </x:c>
      <x:c r="V126" s="66" t="str">
        <x:v>2024-10</x:v>
      </x:c>
      <x:c r="W126" s="72" t="n">
        <x:v>45565</x:v>
      </x:c>
      <x:c r="X126" s="72" t="n">
        <x:v>45596</x:v>
      </x:c>
      <x:c r="Y126" s="72" t="n">
        <x:f>'净值原始'!C1493</x:f>
        <x:v>45565</x:v>
      </x:c>
      <x:c r="Z126" s="72" t="n">
        <x:f>'净值原始'!C1511</x:f>
        <x:v>45596</x:v>
      </x:c>
      <x:c r="AA126" s="73" t="n">
        <x:f>'净值原始'!F1493</x:f>
        <x:v>1.4437</x:v>
      </x:c>
      <x:c r="AB126" s="73" t="n">
        <x:f>'净值原始'!F1511</x:f>
        <x:v>1.3497</x:v>
      </x:c>
      <x:c r="AC126" s="66" t="n">
        <x:f>IF(OR(Y126="",Z126="",Z126&lt;=Y126,W126-Y126&gt;'sheet1-指标体系'!$J$24,X126-Z126&gt;'sheet1-指标体系'!$J$24),0,1)</x:f>
        <x:v>1</x:v>
      </x:c>
      <x:c r="AD126" s="74" t="n">
        <x:f>IF(AC126=0,"",AB126/AA126-1)</x:f>
        <x:v>-0.065110480016624</x:v>
      </x:c>
      <x:c r="AE126" s="66" t="n">
        <x:f>IF(AC126=0,"",IF(AD126&gt;0,1,0))</x:f>
        <x:v>0</x:v>
      </x:c>
    </x:row>
    <x:row r="127" ht="27" customHeight="1">
      <x:c r="A127" s="66"/>
      <x:c r="B127" s="66"/>
      <x:c r="C127" s="66"/>
      <x:c r="D127" s="72"/>
      <x:c r="E127" s="72"/>
      <x:c r="F127" s="72"/>
      <x:c r="G127" s="72"/>
      <x:c r="H127" s="66"/>
      <x:c r="I127" s="66"/>
      <x:c r="J127" s="73"/>
      <x:c r="K127" s="73"/>
      <x:c r="L127" s="74"/>
      <x:c r="M127" s="74"/>
      <x:c r="N127" s="75"/>
      <x:c r="O127" s="74"/>
      <x:c r="P127" s="66"/>
      <x:c r="Q127" s="66"/>
      <x:c r="R127" s="66"/>
      <x:c r="S127" s="66"/>
      <x:c r="T127" s="66" t="str">
        <x:v>SXL267</x:v>
      </x:c>
      <x:c r="U127" s="66" t="str">
        <x:v>滨风风云瑞丰1号</x:v>
      </x:c>
      <x:c r="V127" s="66" t="str">
        <x:v>2024-11</x:v>
      </x:c>
      <x:c r="W127" s="72" t="n">
        <x:v>45596</x:v>
      </x:c>
      <x:c r="X127" s="72" t="n">
        <x:v>45626</x:v>
      </x:c>
      <x:c r="Y127" s="72" t="n">
        <x:f>'净值原始'!C1511</x:f>
        <x:v>45596</x:v>
      </x:c>
      <x:c r="Z127" s="72" t="n">
        <x:f>'净值原始'!C1532</x:f>
        <x:v>45625</x:v>
      </x:c>
      <x:c r="AA127" s="73" t="n">
        <x:f>'净值原始'!F1511</x:f>
        <x:v>1.3497</x:v>
      </x:c>
      <x:c r="AB127" s="73" t="n">
        <x:f>'净值原始'!F1532</x:f>
        <x:v>1.3603</x:v>
      </x:c>
      <x:c r="AC127" s="66" t="n">
        <x:f>IF(OR(Y127="",Z127="",Z127&lt;=Y127,W127-Y127&gt;'sheet1-指标体系'!$J$24,X127-Z127&gt;'sheet1-指标体系'!$J$24),0,1)</x:f>
        <x:v>1</x:v>
      </x:c>
      <x:c r="AD127" s="74" t="n">
        <x:f>IF(AC127=0,"",AB127/AA127-1)</x:f>
        <x:v>0.007853597095651033</x:v>
      </x:c>
      <x:c r="AE127" s="66" t="n">
        <x:f>IF(AC127=0,"",IF(AD127&gt;0,1,0))</x:f>
        <x:v>1</x:v>
      </x:c>
    </x:row>
    <x:row r="128" ht="27" customHeight="1">
      <x:c r="A128" s="66"/>
      <x:c r="B128" s="66"/>
      <x:c r="C128" s="66"/>
      <x:c r="D128" s="72"/>
      <x:c r="E128" s="72"/>
      <x:c r="F128" s="72"/>
      <x:c r="G128" s="72"/>
      <x:c r="H128" s="66"/>
      <x:c r="I128" s="66"/>
      <x:c r="J128" s="73"/>
      <x:c r="K128" s="73"/>
      <x:c r="L128" s="74"/>
      <x:c r="M128" s="74"/>
      <x:c r="N128" s="75"/>
      <x:c r="O128" s="74"/>
      <x:c r="P128" s="66"/>
      <x:c r="Q128" s="66"/>
      <x:c r="R128" s="66"/>
      <x:c r="S128" s="66"/>
      <x:c r="T128" s="66" t="str">
        <x:v>SXL267</x:v>
      </x:c>
      <x:c r="U128" s="66" t="str">
        <x:v>滨风风云瑞丰1号</x:v>
      </x:c>
      <x:c r="V128" s="66" t="str">
        <x:v>2024-12</x:v>
      </x:c>
      <x:c r="W128" s="72" t="n">
        <x:v>45626</x:v>
      </x:c>
      <x:c r="X128" s="72" t="n">
        <x:v>45657</x:v>
      </x:c>
      <x:c r="Y128" s="72" t="n">
        <x:f>'净值原始'!C1532</x:f>
        <x:v>45625</x:v>
      </x:c>
      <x:c r="Z128" s="72" t="n">
        <x:f>'净值原始'!C1554</x:f>
        <x:v>45657</x:v>
      </x:c>
      <x:c r="AA128" s="73" t="n">
        <x:f>'净值原始'!F1532</x:f>
        <x:v>1.3603</x:v>
      </x:c>
      <x:c r="AB128" s="73" t="n">
        <x:f>'净值原始'!F1554</x:f>
        <x:v>1.4706</x:v>
      </x:c>
      <x:c r="AC128" s="66" t="n">
        <x:f>IF(OR(Y128="",Z128="",Z128&lt;=Y128,W128-Y128&gt;'sheet1-指标体系'!$J$24,X128-Z128&gt;'sheet1-指标体系'!$J$24),0,1)</x:f>
        <x:v>1</x:v>
      </x:c>
      <x:c r="AD128" s="74" t="n">
        <x:f>IF(AC128=0,"",AB128/AA128-1)</x:f>
        <x:v>0.08108505476733052</x:v>
      </x:c>
      <x:c r="AE128" s="66" t="n">
        <x:f>IF(AC128=0,"",IF(AD128&gt;0,1,0))</x:f>
        <x:v>1</x:v>
      </x:c>
    </x:row>
    <x:row r="129" ht="27" customHeight="1">
      <x:c r="A129" s="66"/>
      <x:c r="B129" s="66"/>
      <x:c r="C129" s="66"/>
      <x:c r="D129" s="72"/>
      <x:c r="E129" s="72"/>
      <x:c r="F129" s="72"/>
      <x:c r="G129" s="72"/>
      <x:c r="H129" s="66"/>
      <x:c r="I129" s="66"/>
      <x:c r="J129" s="73"/>
      <x:c r="K129" s="73"/>
      <x:c r="L129" s="74"/>
      <x:c r="M129" s="74"/>
      <x:c r="N129" s="75"/>
      <x:c r="O129" s="74"/>
      <x:c r="P129" s="66"/>
      <x:c r="Q129" s="66"/>
      <x:c r="R129" s="66"/>
      <x:c r="S129" s="66"/>
      <x:c r="T129" s="66" t="str">
        <x:v>SXL267</x:v>
      </x:c>
      <x:c r="U129" s="66" t="str">
        <x:v>滨风风云瑞丰1号</x:v>
      </x:c>
      <x:c r="V129" s="66" t="str">
        <x:v>2025-01</x:v>
      </x:c>
      <x:c r="W129" s="72" t="n">
        <x:v>45657</x:v>
      </x:c>
      <x:c r="X129" s="72" t="n">
        <x:v>45688</x:v>
      </x:c>
      <x:c r="Y129" s="72" t="n">
        <x:f>'净值原始'!C1554</x:f>
        <x:v>45657</x:v>
      </x:c>
      <x:c r="Z129" s="72" t="n">
        <x:f>'净值原始'!C1572</x:f>
        <x:v>45684</x:v>
      </x:c>
      <x:c r="AA129" s="73" t="n">
        <x:f>'净值原始'!F1554</x:f>
        <x:v>1.4706</x:v>
      </x:c>
      <x:c r="AB129" s="73" t="n">
        <x:f>'净值原始'!F1572</x:f>
        <x:v>1.453</x:v>
      </x:c>
      <x:c r="AC129" s="66" t="n">
        <x:f>IF(OR(Y129="",Z129="",Z129&lt;=Y129,W129-Y129&gt;'sheet1-指标体系'!$J$24,X129-Z129&gt;'sheet1-指标体系'!$J$24),0,1)</x:f>
        <x:v>1</x:v>
      </x:c>
      <x:c r="AD129" s="74" t="n">
        <x:f>IF(AC129=0,"",AB129/AA129-1)</x:f>
        <x:v>-0.01196790425676586</x:v>
      </x:c>
      <x:c r="AE129" s="66" t="n">
        <x:f>IF(AC129=0,"",IF(AD129&gt;0,1,0))</x:f>
        <x:v>0</x:v>
      </x:c>
    </x:row>
    <x:row r="130" ht="27" customHeight="1">
      <x:c r="A130" s="66"/>
      <x:c r="B130" s="66"/>
      <x:c r="C130" s="66"/>
      <x:c r="D130" s="72"/>
      <x:c r="E130" s="72"/>
      <x:c r="F130" s="72"/>
      <x:c r="G130" s="72"/>
      <x:c r="H130" s="66"/>
      <x:c r="I130" s="66"/>
      <x:c r="J130" s="73"/>
      <x:c r="K130" s="73"/>
      <x:c r="L130" s="74"/>
      <x:c r="M130" s="74"/>
      <x:c r="N130" s="75"/>
      <x:c r="O130" s="74"/>
      <x:c r="P130" s="66"/>
      <x:c r="Q130" s="66"/>
      <x:c r="R130" s="66"/>
      <x:c r="S130" s="66"/>
      <x:c r="T130" s="66" t="str">
        <x:v>SXL267</x:v>
      </x:c>
      <x:c r="U130" s="66" t="str">
        <x:v>滨风风云瑞丰1号</x:v>
      </x:c>
      <x:c r="V130" s="66" t="str">
        <x:v>2025-02</x:v>
      </x:c>
      <x:c r="W130" s="72" t="n">
        <x:v>45688</x:v>
      </x:c>
      <x:c r="X130" s="72" t="n">
        <x:v>45716</x:v>
      </x:c>
      <x:c r="Y130" s="72" t="n">
        <x:f>'净值原始'!C1572</x:f>
        <x:v>45684</x:v>
      </x:c>
      <x:c r="Z130" s="72" t="n">
        <x:f>'净值原始'!C1590</x:f>
        <x:v>45716</x:v>
      </x:c>
      <x:c r="AA130" s="73" t="n">
        <x:f>'净值原始'!F1572</x:f>
        <x:v>1.453</x:v>
      </x:c>
      <x:c r="AB130" s="73" t="n">
        <x:f>'净值原始'!F1590</x:f>
        <x:v>1.5321</x:v>
      </x:c>
      <x:c r="AC130" s="66" t="n">
        <x:f>IF(OR(Y130="",Z130="",Z130&lt;=Y130,W130-Y130&gt;'sheet1-指标体系'!$J$24,X130-Z130&gt;'sheet1-指标体系'!$J$24),0,1)</x:f>
        <x:v>1</x:v>
      </x:c>
      <x:c r="AD130" s="74" t="n">
        <x:f>IF(AC130=0,"",AB130/AA130-1)</x:f>
        <x:v>0.05443909153475568</x:v>
      </x:c>
      <x:c r="AE130" s="66" t="n">
        <x:f>IF(AC130=0,"",IF(AD130&gt;0,1,0))</x:f>
        <x:v>1</x:v>
      </x:c>
    </x:row>
    <x:row r="131" ht="27" customHeight="1">
      <x:c r="A131" s="66"/>
      <x:c r="B131" s="66"/>
      <x:c r="C131" s="66"/>
      <x:c r="D131" s="72"/>
      <x:c r="E131" s="72"/>
      <x:c r="F131" s="72"/>
      <x:c r="G131" s="72"/>
      <x:c r="H131" s="66"/>
      <x:c r="I131" s="66"/>
      <x:c r="J131" s="73"/>
      <x:c r="K131" s="73"/>
      <x:c r="L131" s="74"/>
      <x:c r="M131" s="74"/>
      <x:c r="N131" s="75"/>
      <x:c r="O131" s="74"/>
      <x:c r="P131" s="66"/>
      <x:c r="Q131" s="66"/>
      <x:c r="R131" s="66"/>
      <x:c r="S131" s="66"/>
      <x:c r="T131" s="66" t="str">
        <x:v>SXL267</x:v>
      </x:c>
      <x:c r="U131" s="66" t="str">
        <x:v>滨风风云瑞丰1号</x:v>
      </x:c>
      <x:c r="V131" s="66" t="str">
        <x:v>2025-03</x:v>
      </x:c>
      <x:c r="W131" s="72" t="n">
        <x:v>45716</x:v>
      </x:c>
      <x:c r="X131" s="72" t="n">
        <x:v>45747</x:v>
      </x:c>
      <x:c r="Y131" s="72" t="n">
        <x:f>'净值原始'!C1590</x:f>
        <x:v>45716</x:v>
      </x:c>
      <x:c r="Z131" s="72" t="n">
        <x:f>'净值原始'!C1611</x:f>
        <x:v>45747</x:v>
      </x:c>
      <x:c r="AA131" s="73" t="n">
        <x:f>'净值原始'!F1590</x:f>
        <x:v>1.5321</x:v>
      </x:c>
      <x:c r="AB131" s="73" t="n">
        <x:f>'净值原始'!F1611</x:f>
        <x:v>1.5652</x:v>
      </x:c>
      <x:c r="AC131" s="66" t="n">
        <x:f>IF(OR(Y131="",Z131="",Z131&lt;=Y131,W131-Y131&gt;'sheet1-指标体系'!$J$24,X131-Z131&gt;'sheet1-指标体系'!$J$24),0,1)</x:f>
        <x:v>1</x:v>
      </x:c>
      <x:c r="AD131" s="74" t="n">
        <x:f>IF(AC131=0,"",AB131/AA131-1)</x:f>
        <x:v>0.02160433392076233</x:v>
      </x:c>
      <x:c r="AE131" s="66" t="n">
        <x:f>IF(AC131=0,"",IF(AD131&gt;0,1,0))</x:f>
        <x:v>1</x:v>
      </x:c>
    </x:row>
    <x:row r="132" ht="27" customHeight="1">
      <x:c r="A132" s="66"/>
      <x:c r="B132" s="66"/>
      <x:c r="C132" s="66"/>
      <x:c r="D132" s="72"/>
      <x:c r="E132" s="72"/>
      <x:c r="F132" s="72"/>
      <x:c r="G132" s="72"/>
      <x:c r="H132" s="66"/>
      <x:c r="I132" s="66"/>
      <x:c r="J132" s="73"/>
      <x:c r="K132" s="73"/>
      <x:c r="L132" s="74"/>
      <x:c r="M132" s="74"/>
      <x:c r="N132" s="75"/>
      <x:c r="O132" s="74"/>
      <x:c r="P132" s="66"/>
      <x:c r="Q132" s="66"/>
      <x:c r="R132" s="66"/>
      <x:c r="S132" s="66"/>
      <x:c r="T132" s="66" t="str">
        <x:v>SXL267</x:v>
      </x:c>
      <x:c r="U132" s="66" t="str">
        <x:v>滨风风云瑞丰1号</x:v>
      </x:c>
      <x:c r="V132" s="66" t="str">
        <x:v>2025-04</x:v>
      </x:c>
      <x:c r="W132" s="72" t="n">
        <x:v>45747</x:v>
      </x:c>
      <x:c r="X132" s="72" t="n">
        <x:v>45777</x:v>
      </x:c>
      <x:c r="Y132" s="72" t="n">
        <x:f>'净值原始'!C1611</x:f>
        <x:v>45747</x:v>
      </x:c>
      <x:c r="Z132" s="72" t="n">
        <x:f>'净值原始'!C1632</x:f>
        <x:v>45777</x:v>
      </x:c>
      <x:c r="AA132" s="73" t="n">
        <x:f>'净值原始'!F1611</x:f>
        <x:v>1.5652</x:v>
      </x:c>
      <x:c r="AB132" s="73" t="n">
        <x:f>'净值原始'!F1632</x:f>
        <x:v>1.6244</x:v>
      </x:c>
      <x:c r="AC132" s="66" t="n">
        <x:f>IF(OR(Y132="",Z132="",Z132&lt;=Y132,W132-Y132&gt;'sheet1-指标体系'!$J$24,X132-Z132&gt;'sheet1-指标体系'!$J$24),0,1)</x:f>
        <x:v>1</x:v>
      </x:c>
      <x:c r="AD132" s="74" t="n">
        <x:f>IF(AC132=0,"",AB132/AA132-1)</x:f>
        <x:v>0.03782264247380529</x:v>
      </x:c>
      <x:c r="AE132" s="66" t="n">
        <x:f>IF(AC132=0,"",IF(AD132&gt;0,1,0))</x:f>
        <x:v>1</x:v>
      </x:c>
    </x:row>
    <x:row r="133" ht="27" customHeight="1">
      <x:c r="A133" s="66"/>
      <x:c r="B133" s="66"/>
      <x:c r="C133" s="66"/>
      <x:c r="D133" s="72"/>
      <x:c r="E133" s="72"/>
      <x:c r="F133" s="72"/>
      <x:c r="G133" s="72"/>
      <x:c r="H133" s="66"/>
      <x:c r="I133" s="66"/>
      <x:c r="J133" s="73"/>
      <x:c r="K133" s="73"/>
      <x:c r="L133" s="74"/>
      <x:c r="M133" s="74"/>
      <x:c r="N133" s="75"/>
      <x:c r="O133" s="74"/>
      <x:c r="P133" s="66"/>
      <x:c r="Q133" s="66"/>
      <x:c r="R133" s="66"/>
      <x:c r="S133" s="66"/>
      <x:c r="T133" s="66" t="str">
        <x:v>SXL267</x:v>
      </x:c>
      <x:c r="U133" s="66" t="str">
        <x:v>滨风风云瑞丰1号</x:v>
      </x:c>
      <x:c r="V133" s="66" t="str">
        <x:v>2025-05</x:v>
      </x:c>
      <x:c r="W133" s="72" t="n">
        <x:v>45777</x:v>
      </x:c>
      <x:c r="X133" s="72" t="n">
        <x:v>45808</x:v>
      </x:c>
      <x:c r="Y133" s="72" t="n">
        <x:f>'净值原始'!C1632</x:f>
        <x:v>45777</x:v>
      </x:c>
      <x:c r="Z133" s="72" t="n">
        <x:f>'净值原始'!C1651</x:f>
        <x:v>45807</x:v>
      </x:c>
      <x:c r="AA133" s="73" t="n">
        <x:f>'净值原始'!F1632</x:f>
        <x:v>1.6244</x:v>
      </x:c>
      <x:c r="AB133" s="73" t="n">
        <x:f>'净值原始'!F1651</x:f>
        <x:v>1.632</x:v>
      </x:c>
      <x:c r="AC133" s="66" t="n">
        <x:f>IF(OR(Y133="",Z133="",Z133&lt;=Y133,W133-Y133&gt;'sheet1-指标体系'!$J$24,X133-Z133&gt;'sheet1-指标体系'!$J$24),0,1)</x:f>
        <x:v>1</x:v>
      </x:c>
      <x:c r="AD133" s="74" t="n">
        <x:f>IF(AC133=0,"",AB133/AA133-1)</x:f>
        <x:v>0.004678650578675114</x:v>
      </x:c>
      <x:c r="AE133" s="66" t="n">
        <x:f>IF(AC133=0,"",IF(AD133&gt;0,1,0))</x:f>
        <x:v>1</x:v>
      </x:c>
    </x:row>
    <x:row r="134" ht="27" customHeight="1">
      <x:c r="A134" s="66"/>
      <x:c r="B134" s="66"/>
      <x:c r="C134" s="66"/>
      <x:c r="D134" s="72"/>
      <x:c r="E134" s="72"/>
      <x:c r="F134" s="72"/>
      <x:c r="G134" s="72"/>
      <x:c r="H134" s="66"/>
      <x:c r="I134" s="66"/>
      <x:c r="J134" s="73"/>
      <x:c r="K134" s="73"/>
      <x:c r="L134" s="74"/>
      <x:c r="M134" s="74"/>
      <x:c r="N134" s="75"/>
      <x:c r="O134" s="74"/>
      <x:c r="P134" s="66"/>
      <x:c r="Q134" s="66"/>
      <x:c r="R134" s="66"/>
      <x:c r="S134" s="66"/>
      <x:c r="T134" s="66" t="str">
        <x:v>SXL267</x:v>
      </x:c>
      <x:c r="U134" s="66" t="str">
        <x:v>滨风风云瑞丰1号</x:v>
      </x:c>
      <x:c r="V134" s="66" t="str">
        <x:v>2025-06</x:v>
      </x:c>
      <x:c r="W134" s="72" t="n">
        <x:v>45808</x:v>
      </x:c>
      <x:c r="X134" s="72" t="n">
        <x:v>45838</x:v>
      </x:c>
      <x:c r="Y134" s="72" t="n">
        <x:f>'净值原始'!C1651</x:f>
        <x:v>45807</x:v>
      </x:c>
      <x:c r="Z134" s="72" t="n">
        <x:f>'净值原始'!C1671</x:f>
        <x:v>45838</x:v>
      </x:c>
      <x:c r="AA134" s="73" t="n">
        <x:f>'净值原始'!F1651</x:f>
        <x:v>1.632</x:v>
      </x:c>
      <x:c r="AB134" s="73" t="n">
        <x:f>'净值原始'!F1671</x:f>
        <x:v>1.5853</x:v>
      </x:c>
      <x:c r="AC134" s="66" t="n">
        <x:f>IF(OR(Y134="",Z134="",Z134&lt;=Y134,W134-Y134&gt;'sheet1-指标体系'!$J$24,X134-Z134&gt;'sheet1-指标体系'!$J$24),0,1)</x:f>
        <x:v>1</x:v>
      </x:c>
      <x:c r="AD134" s="74" t="n">
        <x:f>IF(AC134=0,"",AB134/AA134-1)</x:f>
        <x:v>-0.028615196078431326</x:v>
      </x:c>
      <x:c r="AE134" s="66" t="n">
        <x:f>IF(AC134=0,"",IF(AD134&gt;0,1,0))</x:f>
        <x:v>0</x:v>
      </x:c>
    </x:row>
    <x:row r="135" ht="27" customHeight="1">
      <x:c r="A135" s="66"/>
      <x:c r="B135" s="66"/>
      <x:c r="C135" s="66"/>
      <x:c r="D135" s="72"/>
      <x:c r="E135" s="72"/>
      <x:c r="F135" s="72"/>
      <x:c r="G135" s="72"/>
      <x:c r="H135" s="66"/>
      <x:c r="I135" s="66"/>
      <x:c r="J135" s="73"/>
      <x:c r="K135" s="73"/>
      <x:c r="L135" s="74"/>
      <x:c r="M135" s="74"/>
      <x:c r="N135" s="75"/>
      <x:c r="O135" s="74"/>
      <x:c r="P135" s="66"/>
      <x:c r="Q135" s="66"/>
      <x:c r="R135" s="66"/>
      <x:c r="S135" s="66"/>
      <x:c r="T135" s="66" t="str">
        <x:v>SXL267</x:v>
      </x:c>
      <x:c r="U135" s="66" t="str">
        <x:v>滨风风云瑞丰1号</x:v>
      </x:c>
      <x:c r="V135" s="66" t="str">
        <x:v>2025-07</x:v>
      </x:c>
      <x:c r="W135" s="72" t="n">
        <x:v>45838</x:v>
      </x:c>
      <x:c r="X135" s="72" t="n">
        <x:v>45869</x:v>
      </x:c>
      <x:c r="Y135" s="72" t="n">
        <x:f>'净值原始'!C1671</x:f>
        <x:v>45838</x:v>
      </x:c>
      <x:c r="Z135" s="72" t="n">
        <x:f>'净值原始'!C1675</x:f>
        <x:v>45863</x:v>
      </x:c>
      <x:c r="AA135" s="73" t="n">
        <x:f>'净值原始'!F1671</x:f>
        <x:v>1.5853</x:v>
      </x:c>
      <x:c r="AB135" s="73" t="n">
        <x:f>'净值原始'!F1675</x:f>
        <x:v>1.6234</x:v>
      </x:c>
      <x:c r="AC135" s="66" t="n">
        <x:f>IF(OR(Y135="",Z135="",Z135&lt;=Y135,W135-Y135&gt;'sheet1-指标体系'!$J$24,X135-Z135&gt;'sheet1-指标体系'!$J$24),0,1)</x:f>
        <x:v>1</x:v>
      </x:c>
      <x:c r="AD135" s="74" t="n">
        <x:f>IF(AC135=0,"",AB135/AA135-1)</x:f>
        <x:v>0.024033305998864662</x:v>
      </x:c>
      <x:c r="AE135" s="66" t="n">
        <x:f>IF(AC135=0,"",IF(AD135&gt;0,1,0))</x:f>
        <x:v>1</x:v>
      </x:c>
    </x:row>
    <x:row r="136" ht="27" customHeight="1">
      <x:c r="A136" s="66"/>
      <x:c r="B136" s="66"/>
      <x:c r="C136" s="66"/>
      <x:c r="D136" s="72"/>
      <x:c r="E136" s="72"/>
      <x:c r="F136" s="72"/>
      <x:c r="G136" s="72"/>
      <x:c r="H136" s="66"/>
      <x:c r="I136" s="66"/>
      <x:c r="J136" s="73"/>
      <x:c r="K136" s="73"/>
      <x:c r="L136" s="74"/>
      <x:c r="M136" s="74"/>
      <x:c r="N136" s="75"/>
      <x:c r="O136" s="74"/>
      <x:c r="P136" s="66"/>
      <x:c r="Q136" s="66"/>
      <x:c r="R136" s="66"/>
      <x:c r="S136" s="66"/>
      <x:c r="T136" s="66" t="str">
        <x:v>SXL267</x:v>
      </x:c>
      <x:c r="U136" s="66" t="str">
        <x:v>滨风风云瑞丰1号</x:v>
      </x:c>
      <x:c r="V136" s="66" t="str">
        <x:v>2025-08</x:v>
      </x:c>
      <x:c r="W136" s="72" t="n">
        <x:v>45869</x:v>
      </x:c>
      <x:c r="X136" s="72" t="n">
        <x:v>45900</x:v>
      </x:c>
      <x:c r="Y136" s="72" t="n">
        <x:f>'净值原始'!C1675</x:f>
        <x:v>45863</x:v>
      </x:c>
      <x:c r="Z136" s="72" t="n">
        <x:f>'净值原始'!C1680</x:f>
        <x:v>45898</x:v>
      </x:c>
      <x:c r="AA136" s="73" t="n">
        <x:f>'净值原始'!F1675</x:f>
        <x:v>1.6234</x:v>
      </x:c>
      <x:c r="AB136" s="73" t="n">
        <x:f>'净值原始'!F1680</x:f>
        <x:v>1.5567</x:v>
      </x:c>
      <x:c r="AC136" s="66" t="n">
        <x:f>IF(OR(Y136="",Z136="",Z136&lt;=Y136,W136-Y136&gt;'sheet1-指标体系'!$J$24,X136-Z136&gt;'sheet1-指标体系'!$J$24),0,1)</x:f>
        <x:v>1</x:v>
      </x:c>
      <x:c r="AD136" s="74" t="n">
        <x:f>IF(AC136=0,"",AB136/AA136-1)</x:f>
        <x:v>-0.041086608352839726</x:v>
      </x:c>
      <x:c r="AE136" s="66" t="n">
        <x:f>IF(AC136=0,"",IF(AD136&gt;0,1,0))</x:f>
        <x:v>0</x:v>
      </x:c>
    </x:row>
    <x:row r="137" ht="27" customHeight="1">
      <x:c r="A137" s="66"/>
      <x:c r="B137" s="66"/>
      <x:c r="C137" s="66"/>
      <x:c r="D137" s="72"/>
      <x:c r="E137" s="72"/>
      <x:c r="F137" s="72"/>
      <x:c r="G137" s="72"/>
      <x:c r="H137" s="66"/>
      <x:c r="I137" s="66"/>
      <x:c r="J137" s="73"/>
      <x:c r="K137" s="73"/>
      <x:c r="L137" s="74"/>
      <x:c r="M137" s="74"/>
      <x:c r="N137" s="75"/>
      <x:c r="O137" s="74"/>
      <x:c r="P137" s="66"/>
      <x:c r="Q137" s="66"/>
      <x:c r="R137" s="66"/>
      <x:c r="S137" s="66"/>
      <x:c r="T137" s="66" t="str">
        <x:v>SXL267</x:v>
      </x:c>
      <x:c r="U137" s="66" t="str">
        <x:v>滨风风云瑞丰1号</x:v>
      </x:c>
      <x:c r="V137" s="66" t="str">
        <x:v>2025-09</x:v>
      </x:c>
      <x:c r="W137" s="72" t="n">
        <x:v>45900</x:v>
      </x:c>
      <x:c r="X137" s="72" t="n">
        <x:v>45930</x:v>
      </x:c>
      <x:c r="Y137" s="72" t="n">
        <x:f>'净值原始'!C1680</x:f>
        <x:v>45898</x:v>
      </x:c>
      <x:c r="Z137" s="72" t="n">
        <x:f>'净值原始'!C1685</x:f>
        <x:v>45930</x:v>
      </x:c>
      <x:c r="AA137" s="73" t="n">
        <x:f>'净值原始'!F1680</x:f>
        <x:v>1.5567</x:v>
      </x:c>
      <x:c r="AB137" s="73" t="n">
        <x:f>'净值原始'!F1685</x:f>
        <x:v>1.6232</x:v>
      </x:c>
      <x:c r="AC137" s="66" t="n">
        <x:f>IF(OR(Y137="",Z137="",Z137&lt;=Y137,W137-Y137&gt;'sheet1-指标体系'!$J$24,X137-Z137&gt;'sheet1-指标体系'!$J$24),0,1)</x:f>
        <x:v>1</x:v>
      </x:c>
      <x:c r="AD137" s="74" t="n">
        <x:f>IF(AC137=0,"",AB137/AA137-1)</x:f>
        <x:v>0.042718571336802125</x:v>
      </x:c>
      <x:c r="AE137" s="66" t="n">
        <x:f>IF(AC137=0,"",IF(AD137&gt;0,1,0))</x:f>
        <x:v>1</x:v>
      </x:c>
    </x:row>
    <x:row r="138" ht="27" customHeight="1">
      <x:c r="A138" s="66"/>
      <x:c r="B138" s="66"/>
      <x:c r="C138" s="66"/>
      <x:c r="D138" s="72"/>
      <x:c r="E138" s="72"/>
      <x:c r="F138" s="72"/>
      <x:c r="G138" s="72"/>
      <x:c r="H138" s="66"/>
      <x:c r="I138" s="66"/>
      <x:c r="J138" s="73"/>
      <x:c r="K138" s="73"/>
      <x:c r="L138" s="74"/>
      <x:c r="M138" s="74"/>
      <x:c r="N138" s="75"/>
      <x:c r="O138" s="74"/>
      <x:c r="P138" s="66"/>
      <x:c r="Q138" s="66"/>
      <x:c r="R138" s="66"/>
      <x:c r="S138" s="66"/>
      <x:c r="T138" s="66" t="str">
        <x:v>SXL267</x:v>
      </x:c>
      <x:c r="U138" s="66" t="str">
        <x:v>滨风风云瑞丰1号</x:v>
      </x:c>
      <x:c r="V138" s="66" t="str">
        <x:v>2025-10</x:v>
      </x:c>
      <x:c r="W138" s="72" t="n">
        <x:v>45930</x:v>
      </x:c>
      <x:c r="X138" s="72" t="n">
        <x:v>45961</x:v>
      </x:c>
      <x:c r="Y138" s="72" t="n">
        <x:f>'净值原始'!C1685</x:f>
        <x:v>45930</x:v>
      </x:c>
      <x:c r="Z138" s="72" t="n">
        <x:f>'净值原始'!C1689</x:f>
        <x:v>45961</x:v>
      </x:c>
      <x:c r="AA138" s="73" t="n">
        <x:f>'净值原始'!F1685</x:f>
        <x:v>1.6232</x:v>
      </x:c>
      <x:c r="AB138" s="73" t="n">
        <x:f>'净值原始'!F1689</x:f>
        <x:v>1.8144</x:v>
      </x:c>
      <x:c r="AC138" s="66" t="n">
        <x:f>IF(OR(Y138="",Z138="",Z138&lt;=Y138,W138-Y138&gt;'sheet1-指标体系'!$J$24,X138-Z138&gt;'sheet1-指标体系'!$J$24),0,1)</x:f>
        <x:v>1</x:v>
      </x:c>
      <x:c r="AD138" s="74" t="n">
        <x:f>IF(AC138=0,"",AB138/AA138-1)</x:f>
        <x:v>0.11779201577131593</x:v>
      </x:c>
      <x:c r="AE138" s="66" t="n">
        <x:f>IF(AC138=0,"",IF(AD138&gt;0,1,0))</x:f>
        <x:v>1</x:v>
      </x:c>
    </x:row>
    <x:row r="139" ht="27" customHeight="1">
      <x:c r="A139" s="66"/>
      <x:c r="B139" s="66"/>
      <x:c r="C139" s="66"/>
      <x:c r="D139" s="72"/>
      <x:c r="E139" s="72"/>
      <x:c r="F139" s="72"/>
      <x:c r="G139" s="72"/>
      <x:c r="H139" s="66"/>
      <x:c r="I139" s="66"/>
      <x:c r="J139" s="73"/>
      <x:c r="K139" s="73"/>
      <x:c r="L139" s="74"/>
      <x:c r="M139" s="74"/>
      <x:c r="N139" s="75"/>
      <x:c r="O139" s="74"/>
      <x:c r="P139" s="66"/>
      <x:c r="Q139" s="66"/>
      <x:c r="R139" s="66"/>
      <x:c r="S139" s="66"/>
      <x:c r="T139" s="66" t="str">
        <x:v>SXL267</x:v>
      </x:c>
      <x:c r="U139" s="66" t="str">
        <x:v>滨风风云瑞丰1号</x:v>
      </x:c>
      <x:c r="V139" s="66" t="str">
        <x:v>2025-11</x:v>
      </x:c>
      <x:c r="W139" s="72" t="n">
        <x:v>45961</x:v>
      </x:c>
      <x:c r="X139" s="72" t="n">
        <x:v>45991</x:v>
      </x:c>
      <x:c r="Y139" s="72" t="n">
        <x:f>'净值原始'!C1689</x:f>
        <x:v>45961</x:v>
      </x:c>
      <x:c r="Z139" s="72" t="n">
        <x:f>'净值原始'!C1693</x:f>
        <x:v>45989</x:v>
      </x:c>
      <x:c r="AA139" s="73" t="n">
        <x:f>'净值原始'!F1689</x:f>
        <x:v>1.8144</x:v>
      </x:c>
      <x:c r="AB139" s="73" t="n">
        <x:f>'净值原始'!F1693</x:f>
        <x:v>1.8169</x:v>
      </x:c>
      <x:c r="AC139" s="66" t="n">
        <x:f>IF(OR(Y139="",Z139="",Z139&lt;=Y139,W139-Y139&gt;'sheet1-指标体系'!$J$24,X139-Z139&gt;'sheet1-指标体系'!$J$24),0,1)</x:f>
        <x:v>1</x:v>
      </x:c>
      <x:c r="AD139" s="74" t="n">
        <x:f>IF(AC139=0,"",AB139/AA139-1)</x:f>
        <x:v>0.001377865961199376</x:v>
      </x:c>
      <x:c r="AE139" s="66" t="n">
        <x:f>IF(AC139=0,"",IF(AD139&gt;0,1,0))</x:f>
        <x:v>1</x:v>
      </x:c>
    </x:row>
    <x:row r="140" ht="27" customHeight="1">
      <x:c r="A140" s="66"/>
      <x:c r="B140" s="66"/>
      <x:c r="C140" s="66"/>
      <x:c r="D140" s="72"/>
      <x:c r="E140" s="72"/>
      <x:c r="F140" s="72"/>
      <x:c r="G140" s="72"/>
      <x:c r="H140" s="66"/>
      <x:c r="I140" s="66"/>
      <x:c r="J140" s="73"/>
      <x:c r="K140" s="73"/>
      <x:c r="L140" s="74"/>
      <x:c r="M140" s="74"/>
      <x:c r="N140" s="75"/>
      <x:c r="O140" s="74"/>
      <x:c r="P140" s="66"/>
      <x:c r="Q140" s="66"/>
      <x:c r="R140" s="66"/>
      <x:c r="S140" s="66"/>
      <x:c r="T140" s="66" t="str">
        <x:v>SXL267</x:v>
      </x:c>
      <x:c r="U140" s="66" t="str">
        <x:v>滨风风云瑞丰1号</x:v>
      </x:c>
      <x:c r="V140" s="66" t="str">
        <x:v>2025-12</x:v>
      </x:c>
      <x:c r="W140" s="72" t="n">
        <x:v>45991</x:v>
      </x:c>
      <x:c r="X140" s="72" t="n">
        <x:v>46022</x:v>
      </x:c>
      <x:c r="Y140" s="72" t="n">
        <x:f>'净值原始'!C1693</x:f>
        <x:v>45989</x:v>
      </x:c>
      <x:c r="Z140" s="72" t="n">
        <x:f>'净值原始'!C1698</x:f>
        <x:v>46022</x:v>
      </x:c>
      <x:c r="AA140" s="73" t="n">
        <x:f>'净值原始'!F1693</x:f>
        <x:v>1.8169</x:v>
      </x:c>
      <x:c r="AB140" s="73" t="n">
        <x:f>'净值原始'!F1698</x:f>
        <x:v>2.0478</x:v>
      </x:c>
      <x:c r="AC140" s="66" t="n">
        <x:f>IF(OR(Y140="",Z140="",Z140&lt;=Y140,W140-Y140&gt;'sheet1-指标体系'!$J$24,X140-Z140&gt;'sheet1-指标体系'!$J$24),0,1)</x:f>
        <x:v>1</x:v>
      </x:c>
      <x:c r="AD140" s="74" t="n">
        <x:f>IF(AC140=0,"",AB140/AA140-1)</x:f>
        <x:v>0.12708459463922073</x:v>
      </x:c>
      <x:c r="AE140" s="66" t="n">
        <x:f>IF(AC140=0,"",IF(AD140&gt;0,1,0))</x:f>
        <x:v>1</x:v>
      </x:c>
    </x:row>
    <x:row r="141" ht="27" customHeight="1">
      <x:c r="A141" s="66"/>
      <x:c r="B141" s="66"/>
      <x:c r="C141" s="66"/>
      <x:c r="D141" s="72"/>
      <x:c r="E141" s="72"/>
      <x:c r="F141" s="72"/>
      <x:c r="G141" s="72"/>
      <x:c r="H141" s="66"/>
      <x:c r="I141" s="66"/>
      <x:c r="J141" s="73"/>
      <x:c r="K141" s="73"/>
      <x:c r="L141" s="74"/>
      <x:c r="M141" s="74"/>
      <x:c r="N141" s="75"/>
      <x:c r="O141" s="74"/>
      <x:c r="P141" s="66"/>
      <x:c r="Q141" s="66"/>
      <x:c r="R141" s="66"/>
      <x:c r="S141" s="66"/>
      <x:c r="T141" s="66" t="str">
        <x:v>SXL267</x:v>
      </x:c>
      <x:c r="U141" s="66" t="str">
        <x:v>滨风风云瑞丰1号</x:v>
      </x:c>
      <x:c r="V141" s="66" t="str">
        <x:v>2026-01</x:v>
      </x:c>
      <x:c r="W141" s="72" t="n">
        <x:v>46022</x:v>
      </x:c>
      <x:c r="X141" s="72" t="n">
        <x:v>46053</x:v>
      </x:c>
      <x:c r="Y141" s="72" t="n">
        <x:f>'净值原始'!C1698</x:f>
        <x:v>46022</x:v>
      </x:c>
      <x:c r="Z141" s="72" t="n">
        <x:f>'净值原始'!C1702</x:f>
        <x:v>46052</x:v>
      </x:c>
      <x:c r="AA141" s="73" t="n">
        <x:f>'净值原始'!F1698</x:f>
        <x:v>2.0478</x:v>
      </x:c>
      <x:c r="AB141" s="73" t="n">
        <x:f>'净值原始'!F1702</x:f>
        <x:v>2.3596</x:v>
      </x:c>
      <x:c r="AC141" s="66" t="n">
        <x:f>IF(OR(Y141="",Z141="",Z141&lt;=Y141,W141-Y141&gt;'sheet1-指标体系'!$J$24,X141-Z141&gt;'sheet1-指标体系'!$J$24),0,1)</x:f>
        <x:v>1</x:v>
      </x:c>
      <x:c r="AD141" s="74" t="n">
        <x:f>IF(AC141=0,"",AB141/AA141-1)</x:f>
        <x:v>0.1522609629846663</x:v>
      </x:c>
      <x:c r="AE141" s="66" t="n">
        <x:f>IF(AC141=0,"",IF(AD141&gt;0,1,0))</x:f>
        <x:v>1</x:v>
      </x:c>
    </x:row>
    <x:row r="142" ht="27" customHeight="1">
      <x:c r="A142" s="66"/>
      <x:c r="B142" s="66"/>
      <x:c r="C142" s="66"/>
      <x:c r="D142" s="72"/>
      <x:c r="E142" s="72"/>
      <x:c r="F142" s="72"/>
      <x:c r="G142" s="72"/>
      <x:c r="H142" s="66"/>
      <x:c r="I142" s="66"/>
      <x:c r="J142" s="73"/>
      <x:c r="K142" s="73"/>
      <x:c r="L142" s="74"/>
      <x:c r="M142" s="74"/>
      <x:c r="N142" s="75"/>
      <x:c r="O142" s="74"/>
      <x:c r="P142" s="66"/>
      <x:c r="Q142" s="66"/>
      <x:c r="R142" s="66"/>
      <x:c r="S142" s="66"/>
      <x:c r="T142" s="66" t="str">
        <x:v>SXL267</x:v>
      </x:c>
      <x:c r="U142" s="66" t="str">
        <x:v>滨风风云瑞丰1号</x:v>
      </x:c>
      <x:c r="V142" s="66" t="str">
        <x:v>2026-02</x:v>
      </x:c>
      <x:c r="W142" s="72" t="n">
        <x:v>46053</x:v>
      </x:c>
      <x:c r="X142" s="72" t="n">
        <x:v>46081</x:v>
      </x:c>
      <x:c r="Y142" s="72" t="n">
        <x:f>'净值原始'!C1702</x:f>
        <x:v>46052</x:v>
      </x:c>
      <x:c r="Z142" s="72" t="n">
        <x:f>'净值原始'!C1705</x:f>
        <x:v>46080</x:v>
      </x:c>
      <x:c r="AA142" s="73" t="n">
        <x:f>'净值原始'!F1702</x:f>
        <x:v>2.3596</x:v>
      </x:c>
      <x:c r="AB142" s="73" t="n">
        <x:f>'净值原始'!F1705</x:f>
        <x:v>2.2412</x:v>
      </x:c>
      <x:c r="AC142" s="66" t="n">
        <x:f>IF(OR(Y142="",Z142="",Z142&lt;=Y142,W142-Y142&gt;'sheet1-指标体系'!$J$24,X142-Z142&gt;'sheet1-指标体系'!$J$24),0,1)</x:f>
        <x:v>1</x:v>
      </x:c>
      <x:c r="AD142" s="74" t="n">
        <x:f>IF(AC142=0,"",AB142/AA142-1)</x:f>
        <x:v>-0.050177996270554304</x:v>
      </x:c>
      <x:c r="AE142" s="66" t="n">
        <x:f>IF(AC142=0,"",IF(AD142&gt;0,1,0))</x:f>
        <x:v>0</x:v>
      </x:c>
    </x:row>
    <x:row r="143" ht="27" customHeight="1">
      <x:c r="A143" s="66"/>
      <x:c r="B143" s="66"/>
      <x:c r="C143" s="66"/>
      <x:c r="D143" s="72"/>
      <x:c r="E143" s="72"/>
      <x:c r="F143" s="72"/>
      <x:c r="G143" s="72"/>
      <x:c r="H143" s="66"/>
      <x:c r="I143" s="66"/>
      <x:c r="J143" s="73"/>
      <x:c r="K143" s="73"/>
      <x:c r="L143" s="74"/>
      <x:c r="M143" s="74"/>
      <x:c r="N143" s="75"/>
      <x:c r="O143" s="74"/>
      <x:c r="P143" s="66"/>
      <x:c r="Q143" s="66"/>
      <x:c r="R143" s="66"/>
      <x:c r="S143" s="66"/>
      <x:c r="T143" s="66" t="str">
        <x:v>SXL267</x:v>
      </x:c>
      <x:c r="U143" s="66" t="str">
        <x:v>滨风风云瑞丰1号</x:v>
      </x:c>
      <x:c r="V143" s="66" t="str">
        <x:v>2026-03</x:v>
      </x:c>
      <x:c r="W143" s="72" t="n">
        <x:v>46081</x:v>
      </x:c>
      <x:c r="X143" s="72" t="n">
        <x:v>46112</x:v>
      </x:c>
      <x:c r="Y143" s="72" t="n">
        <x:f>'净值原始'!C1705</x:f>
        <x:v>46080</x:v>
      </x:c>
      <x:c r="Z143" s="72" t="n">
        <x:f>'净值原始'!C1709</x:f>
        <x:v>46108</x:v>
      </x:c>
      <x:c r="AA143" s="73" t="n">
        <x:f>'净值原始'!F1705</x:f>
        <x:v>2.2412</x:v>
      </x:c>
      <x:c r="AB143" s="73" t="n">
        <x:f>'净值原始'!F1709</x:f>
        <x:v>2.157</x:v>
      </x:c>
      <x:c r="AC143" s="66" t="n">
        <x:f>IF(OR(Y143="",Z143="",Z143&lt;=Y143,W143-Y143&gt;'sheet1-指标体系'!$J$24,X143-Z143&gt;'sheet1-指标体系'!$J$24),0,1)</x:f>
        <x:v>1</x:v>
      </x:c>
      <x:c r="AD143" s="74" t="n">
        <x:f>IF(AC143=0,"",AB143/AA143-1)</x:f>
        <x:v>-0.03756915937890415</x:v>
      </x:c>
      <x:c r="AE143" s="66" t="n">
        <x:f>IF(AC143=0,"",IF(AD143&gt;0,1,0))</x:f>
        <x:v>0</x:v>
      </x:c>
    </x:row>
    <x:row r="144" ht="27" customHeight="1">
      <x:c r="A144" s="66"/>
      <x:c r="B144" s="66"/>
      <x:c r="C144" s="66"/>
      <x:c r="D144" s="72"/>
      <x:c r="E144" s="72"/>
      <x:c r="F144" s="72"/>
      <x:c r="G144" s="72"/>
      <x:c r="H144" s="66"/>
      <x:c r="I144" s="66"/>
      <x:c r="J144" s="73"/>
      <x:c r="K144" s="73"/>
      <x:c r="L144" s="74"/>
      <x:c r="M144" s="74"/>
      <x:c r="N144" s="75"/>
      <x:c r="O144" s="74"/>
      <x:c r="P144" s="66"/>
      <x:c r="Q144" s="66"/>
      <x:c r="R144" s="66"/>
      <x:c r="S144" s="66"/>
      <x:c r="T144" s="66" t="str">
        <x:v>SXL267</x:v>
      </x:c>
      <x:c r="U144" s="66" t="str">
        <x:v>滨风风云瑞丰1号</x:v>
      </x:c>
      <x:c r="V144" s="66" t="str">
        <x:v>2026-04</x:v>
      </x:c>
      <x:c r="W144" s="72" t="n">
        <x:v>46112</x:v>
      </x:c>
      <x:c r="X144" s="72" t="n">
        <x:v>46142</x:v>
      </x:c>
      <x:c r="Y144" s="72" t="n">
        <x:f>'净值原始'!C1709</x:f>
        <x:v>46108</x:v>
      </x:c>
      <x:c r="Z144" s="72" t="n">
        <x:f>'净值原始'!C1714</x:f>
        <x:v>46142</x:v>
      </x:c>
      <x:c r="AA144" s="73" t="n">
        <x:f>'净值原始'!F1709</x:f>
        <x:v>2.157</x:v>
      </x:c>
      <x:c r="AB144" s="73" t="n">
        <x:f>'净值原始'!F1714</x:f>
        <x:v>2.2049</x:v>
      </x:c>
      <x:c r="AC144" s="66" t="n">
        <x:f>IF(OR(Y144="",Z144="",Z144&lt;=Y144,W144-Y144&gt;'sheet1-指标体系'!$J$24,X144-Z144&gt;'sheet1-指标体系'!$J$24),0,1)</x:f>
        <x:v>1</x:v>
      </x:c>
      <x:c r="AD144" s="74" t="n">
        <x:f>IF(AC144=0,"",AB144/AA144-1)</x:f>
        <x:v>0.022206768660176124</x:v>
      </x:c>
      <x:c r="AE144" s="66" t="n">
        <x:f>IF(AC144=0,"",IF(AD144&gt;0,1,0))</x:f>
        <x:v>1</x:v>
      </x:c>
    </x:row>
    <x:row r="145" ht="27" customHeight="1">
      <x:c r="A145" s="66"/>
      <x:c r="B145" s="66"/>
      <x:c r="C145" s="66"/>
      <x:c r="D145" s="72"/>
      <x:c r="E145" s="72"/>
      <x:c r="F145" s="72"/>
      <x:c r="G145" s="72"/>
      <x:c r="H145" s="66"/>
      <x:c r="I145" s="66"/>
      <x:c r="J145" s="73"/>
      <x:c r="K145" s="73"/>
      <x:c r="L145" s="74"/>
      <x:c r="M145" s="74"/>
      <x:c r="N145" s="75"/>
      <x:c r="O145" s="74"/>
      <x:c r="P145" s="66"/>
      <x:c r="Q145" s="66"/>
      <x:c r="R145" s="66"/>
      <x:c r="S145" s="66"/>
      <x:c r="T145" s="66" t="str">
        <x:v>SXL267</x:v>
      </x:c>
      <x:c r="U145" s="66" t="str">
        <x:v>滨风风云瑞丰1号</x:v>
      </x:c>
      <x:c r="V145" s="66" t="str">
        <x:v>2026-05</x:v>
      </x:c>
      <x:c r="W145" s="72" t="n">
        <x:v>46142</x:v>
      </x:c>
      <x:c r="X145" s="72" t="n">
        <x:v>46173</x:v>
      </x:c>
      <x:c r="Y145" s="72" t="n">
        <x:f>'净值原始'!C1714</x:f>
        <x:v>46142</x:v>
      </x:c>
      <x:c r="Z145" s="72" t="n">
        <x:f>'净值原始'!C1718</x:f>
        <x:v>46171</x:v>
      </x:c>
      <x:c r="AA145" s="73" t="n">
        <x:f>'净值原始'!F1714</x:f>
        <x:v>2.2049</x:v>
      </x:c>
      <x:c r="AB145" s="73" t="n">
        <x:f>'净值原始'!F1718</x:f>
        <x:v>2.1684</x:v>
      </x:c>
      <x:c r="AC145" s="66" t="n">
        <x:f>IF(OR(Y145="",Z145="",Z145&lt;=Y145,W145-Y145&gt;'sheet1-指标体系'!$J$24,X145-Z145&gt;'sheet1-指标体系'!$J$24),0,1)</x:f>
        <x:v>1</x:v>
      </x:c>
      <x:c r="AD145" s="74" t="n">
        <x:f>IF(AC145=0,"",AB145/AA145-1)</x:f>
        <x:v>-0.016554038731915188</x:v>
      </x:c>
      <x:c r="AE145" s="66" t="n">
        <x:f>IF(AC145=0,"",IF(AD145&gt;0,1,0))</x:f>
        <x:v>0</x:v>
      </x:c>
    </x:row>
    <x:row r="146" ht="27" customHeight="1">
      <x:c r="A146" s="66"/>
      <x:c r="B146" s="66"/>
      <x:c r="C146" s="66"/>
      <x:c r="D146" s="72"/>
      <x:c r="E146" s="72"/>
      <x:c r="F146" s="72"/>
      <x:c r="G146" s="72"/>
      <x:c r="H146" s="66"/>
      <x:c r="I146" s="66"/>
      <x:c r="J146" s="73"/>
      <x:c r="K146" s="73"/>
      <x:c r="L146" s="74"/>
      <x:c r="M146" s="74"/>
      <x:c r="N146" s="75"/>
      <x:c r="O146" s="74"/>
      <x:c r="P146" s="66"/>
      <x:c r="Q146" s="66"/>
      <x:c r="R146" s="66"/>
      <x:c r="S146" s="66"/>
      <x:c r="T146" s="66" t="str">
        <x:v>SXL267</x:v>
      </x:c>
      <x:c r="U146" s="66" t="str">
        <x:v>滨风风云瑞丰1号</x:v>
      </x:c>
      <x:c r="V146" s="66" t="str">
        <x:v>2026-06</x:v>
      </x:c>
      <x:c r="W146" s="72" t="n">
        <x:v>46173</x:v>
      </x:c>
      <x:c r="X146" s="72" t="n">
        <x:v>46203</x:v>
      </x:c>
      <x:c r="Y146" s="72" t="n">
        <x:f>'净值原始'!C1718</x:f>
        <x:v>46171</x:v>
      </x:c>
      <x:c r="Z146" s="72" t="n">
        <x:f>'净值原始'!C1722</x:f>
        <x:v>46199</x:v>
      </x:c>
      <x:c r="AA146" s="73" t="n">
        <x:f>'净值原始'!F1718</x:f>
        <x:v>2.1684</x:v>
      </x:c>
      <x:c r="AB146" s="73" t="n">
        <x:f>'净值原始'!F1722</x:f>
        <x:v>2.1281</x:v>
      </x:c>
      <x:c r="AC146" s="66" t="n">
        <x:f>IF(OR(Y146="",Z146="",Z146&lt;=Y146,W146-Y146&gt;'sheet1-指标体系'!$J$24,X146-Z146&gt;'sheet1-指标体系'!$J$24),0,1)</x:f>
        <x:v>1</x:v>
      </x:c>
      <x:c r="AD146" s="74" t="n">
        <x:f>IF(AC146=0,"",AB146/AA146-1)</x:f>
        <x:v>-0.01858513189448452</x:v>
      </x:c>
      <x:c r="AE146" s="66" t="n">
        <x:f>IF(AC146=0,"",IF(AD146&gt;0,1,0))</x:f>
        <x:v>0</x:v>
      </x:c>
    </x:row>
    <x:row r="147" ht="27" customHeight="1">
      <x:c r="A147" s="66"/>
      <x:c r="B147" s="66"/>
      <x:c r="C147" s="66"/>
      <x:c r="D147" s="72"/>
      <x:c r="E147" s="72"/>
      <x:c r="F147" s="72"/>
      <x:c r="G147" s="72"/>
      <x:c r="H147" s="66"/>
      <x:c r="I147" s="66"/>
      <x:c r="J147" s="73"/>
      <x:c r="K147" s="73"/>
      <x:c r="L147" s="74"/>
      <x:c r="M147" s="74"/>
      <x:c r="N147" s="75"/>
      <x:c r="O147" s="74"/>
      <x:c r="P147" s="66"/>
      <x:c r="Q147" s="66"/>
      <x:c r="R147" s="66"/>
      <x:c r="S147" s="66"/>
      <x:c r="T147" s="66" t="str">
        <x:v>SXL267</x:v>
      </x:c>
      <x:c r="U147" s="66" t="str">
        <x:v>滨风风云瑞丰1号</x:v>
      </x:c>
      <x:c r="V147" s="66" t="str">
        <x:v>2026-07</x:v>
      </x:c>
      <x:c r="W147" s="72" t="n">
        <x:v>46203</x:v>
      </x:c>
      <x:c r="X147" s="72" t="n">
        <x:v>46234</x:v>
      </x:c>
      <x:c r="Y147" s="72" t="n">
        <x:f>'净值原始'!C1722</x:f>
        <x:v>46199</x:v>
      </x:c>
      <x:c r="Z147" s="72" t="n">
        <x:f>'净值原始'!C1727</x:f>
        <x:v>46234</x:v>
      </x:c>
      <x:c r="AA147" s="73" t="n">
        <x:f>'净值原始'!F1722</x:f>
        <x:v>2.1281</x:v>
      </x:c>
      <x:c r="AB147" s="73" t="n">
        <x:f>'净值原始'!F1727</x:f>
        <x:v>2.2036</x:v>
      </x:c>
      <x:c r="AC147" s="66" t="n">
        <x:f>IF(OR(Y147="",Z147="",Z147&lt;=Y147,W147-Y147&gt;'sheet1-指标体系'!$J$24,X147-Z147&gt;'sheet1-指标体系'!$J$24),0,1)</x:f>
        <x:v>1</x:v>
      </x:c>
      <x:c r="AD147" s="74" t="n">
        <x:f>IF(AC147=0,"",AB147/AA147-1)</x:f>
        <x:v>0.035477656125181944</x:v>
      </x:c>
      <x:c r="AE147" s="66" t="n">
        <x:f>IF(AC147=0,"",IF(AD147&gt;0,1,0))</x:f>
        <x:v>1</x:v>
      </x:c>
    </x:row>
    <x:row r="148" ht="27" customHeight="1">
      <x:c r="A148" s="66"/>
      <x:c r="B148" s="66"/>
      <x:c r="C148" s="66"/>
      <x:c r="D148" s="72"/>
      <x:c r="E148" s="72"/>
      <x:c r="F148" s="72"/>
      <x:c r="G148" s="72"/>
      <x:c r="H148" s="66"/>
      <x:c r="I148" s="66"/>
      <x:c r="J148" s="73"/>
      <x:c r="K148" s="73"/>
      <x:c r="L148" s="74"/>
      <x:c r="M148" s="74"/>
      <x:c r="N148" s="75"/>
      <x:c r="O148" s="74"/>
      <x:c r="P148" s="66"/>
      <x:c r="Q148" s="66"/>
      <x:c r="R148" s="66"/>
      <x:c r="S148" s="66"/>
      <x:c r="T148" s="66" t="str">
        <x:v>SXL267</x:v>
      </x:c>
      <x:c r="U148" s="66" t="str">
        <x:v>滨风风云瑞丰1号</x:v>
      </x:c>
      <x:c r="V148" s="66" t="str">
        <x:v>2026-08</x:v>
      </x:c>
      <x:c r="W148" s="72" t="n">
        <x:v>46234</x:v>
      </x:c>
      <x:c r="X148" s="72" t="n">
        <x:v>46265</x:v>
      </x:c>
      <x:c r="Y148" s="72" t="n">
        <x:f>'净值原始'!C1727</x:f>
        <x:v>46234</x:v>
      </x:c>
      <x:c r="Z148" s="72" t="n">
        <x:f>'净值原始'!C1731</x:f>
        <x:v>46262</x:v>
      </x:c>
      <x:c r="AA148" s="73" t="n">
        <x:f>'净值原始'!F1727</x:f>
        <x:v>2.2036</x:v>
      </x:c>
      <x:c r="AB148" s="73" t="n">
        <x:f>'净值原始'!F1731</x:f>
        <x:v>2.2816</x:v>
      </x:c>
      <x:c r="AC148" s="66" t="n">
        <x:f>IF(OR(Y148="",Z148="",Z148&lt;=Y148,W148-Y148&gt;'sheet1-指标体系'!$J$24,X148-Z148&gt;'sheet1-指标体系'!$J$24),0,1)</x:f>
        <x:v>1</x:v>
      </x:c>
      <x:c r="AD148" s="74" t="n">
        <x:f>IF(AC148=0,"",AB148/AA148-1)</x:f>
        <x:v>0.035396623706661856</x:v>
      </x:c>
      <x:c r="AE148" s="66" t="n">
        <x:f>IF(AC148=0,"",IF(AD148&gt;0,1,0))</x:f>
        <x:v>1</x:v>
      </x:c>
    </x:row>
    <x:row r="149" ht="27" customHeight="1">
      <x:c r="A149" s="66"/>
      <x:c r="B149" s="66"/>
      <x:c r="C149" s="66"/>
      <x:c r="D149" s="72"/>
      <x:c r="E149" s="72"/>
      <x:c r="F149" s="72"/>
      <x:c r="G149" s="72"/>
      <x:c r="H149" s="66"/>
      <x:c r="I149" s="66"/>
      <x:c r="J149" s="73"/>
      <x:c r="K149" s="73"/>
      <x:c r="L149" s="74"/>
      <x:c r="M149" s="74"/>
      <x:c r="N149" s="75"/>
      <x:c r="O149" s="74"/>
      <x:c r="P149" s="66"/>
      <x:c r="Q149" s="66"/>
      <x:c r="R149" s="66"/>
      <x:c r="S149" s="66"/>
      <x:c r="T149" s="66" t="str">
        <x:v>SXL267</x:v>
      </x:c>
      <x:c r="U149" s="66" t="str">
        <x:v>滨风风云瑞丰1号</x:v>
      </x:c>
      <x:c r="V149" s="66" t="str">
        <x:v>2026-09</x:v>
      </x:c>
      <x:c r="W149" s="72" t="n">
        <x:v>46265</x:v>
      </x:c>
      <x:c r="X149" s="72" t="n">
        <x:v>46269</x:v>
      </x:c>
      <x:c r="Y149" s="72" t="n">
        <x:f>'净值原始'!C1731</x:f>
        <x:v>46262</x:v>
      </x:c>
      <x:c r="Z149" s="72" t="n">
        <x:f>'净值原始'!C1732</x:f>
        <x:v>46269</x:v>
      </x:c>
      <x:c r="AA149" s="73" t="n">
        <x:f>'净值原始'!F1731</x:f>
        <x:v>2.2816</x:v>
      </x:c>
      <x:c r="AB149" s="73" t="n">
        <x:f>'净值原始'!F1732</x:f>
        <x:v>2.2818</x:v>
      </x:c>
      <x:c r="AC149" s="66" t="n">
        <x:f>IF(OR(Y149="",Z149="",Z149&lt;=Y149,W149-Y149&gt;'sheet1-指标体系'!$J$24,X149-Z149&gt;'sheet1-指标体系'!$J$24),0,1)</x:f>
        <x:v>1</x:v>
      </x:c>
      <x:c r="AD149" s="74" t="n">
        <x:f>IF(AC149=0,"",AB149/AA149-1)</x:f>
        <x:v>0.00008765778401120805</x:v>
      </x:c>
      <x:c r="AE149" s="66" t="n">
        <x:f>IF(AC149=0,"",IF(AD149&gt;0,1,0))</x:f>
        <x:v>1</x:v>
      </x:c>
    </x:row>
    <x:row r="150" ht="27" customHeight="1">
      <x:c r="A150" s="66"/>
      <x:c r="B150" s="66"/>
      <x:c r="C150" s="66"/>
      <x:c r="D150" s="72"/>
      <x:c r="E150" s="72"/>
      <x:c r="F150" s="72"/>
      <x:c r="G150" s="72"/>
      <x:c r="H150" s="66"/>
      <x:c r="I150" s="66"/>
      <x:c r="J150" s="73"/>
      <x:c r="K150" s="73"/>
      <x:c r="L150" s="74"/>
      <x:c r="M150" s="74"/>
      <x:c r="N150" s="75"/>
      <x:c r="O150" s="74"/>
      <x:c r="P150" s="66"/>
      <x:c r="Q150" s="66"/>
      <x:c r="R150" s="66"/>
      <x:c r="S150" s="66"/>
      <x:c r="T150" s="66" t="str">
        <x:v>SEV580</x:v>
      </x:c>
      <x:c r="U150" s="66" t="str">
        <x:v>祁腾蜂赢1号</x:v>
      </x:c>
      <x:c r="V150" s="66" t="str">
        <x:v>2023-09</x:v>
      </x:c>
      <x:c r="W150" s="72" t="n">
        <x:v>45169</x:v>
      </x:c>
      <x:c r="X150" s="72" t="n">
        <x:v>45199</x:v>
      </x:c>
      <x:c r="Y150" s="72" t="n">
        <x:f>'净值原始'!C2849</x:f>
        <x:v>45169</x:v>
      </x:c>
      <x:c r="Z150" s="72" t="n">
        <x:f>'净值原始'!C2869</x:f>
        <x:v>45197</x:v>
      </x:c>
      <x:c r="AA150" s="73" t="n">
        <x:f>'净值原始'!F2849</x:f>
        <x:v>1.7407</x:v>
      </x:c>
      <x:c r="AB150" s="73" t="n">
        <x:f>'净值原始'!F2869</x:f>
        <x:v>1.7506</x:v>
      </x:c>
      <x:c r="AC150" s="66" t="n">
        <x:f>IF(OR(Y150="",Z150="",Z150&lt;=Y150,W150-Y150&gt;'sheet1-指标体系'!$J$24,X150-Z150&gt;'sheet1-指标体系'!$J$24),0,1)</x:f>
        <x:v>1</x:v>
      </x:c>
      <x:c r="AD150" s="74" t="n">
        <x:f>IF(AC150=0,"",AB150/AA150-1)</x:f>
        <x:v>0.00568736715114615</x:v>
      </x:c>
      <x:c r="AE150" s="66" t="n">
        <x:f>IF(AC150=0,"",IF(AD150&gt;0,1,0))</x:f>
        <x:v>1</x:v>
      </x:c>
    </x:row>
    <x:row r="151" ht="27" customHeight="1">
      <x:c r="A151" s="66"/>
      <x:c r="B151" s="66"/>
      <x:c r="C151" s="66"/>
      <x:c r="D151" s="72"/>
      <x:c r="E151" s="72"/>
      <x:c r="F151" s="72"/>
      <x:c r="G151" s="72"/>
      <x:c r="H151" s="66"/>
      <x:c r="I151" s="66"/>
      <x:c r="J151" s="73"/>
      <x:c r="K151" s="73"/>
      <x:c r="L151" s="74"/>
      <x:c r="M151" s="74"/>
      <x:c r="N151" s="75"/>
      <x:c r="O151" s="74"/>
      <x:c r="P151" s="66"/>
      <x:c r="Q151" s="66"/>
      <x:c r="R151" s="66"/>
      <x:c r="S151" s="66"/>
      <x:c r="T151" s="66" t="str">
        <x:v>SEV580</x:v>
      </x:c>
      <x:c r="U151" s="66" t="str">
        <x:v>祁腾蜂赢1号</x:v>
      </x:c>
      <x:c r="V151" s="66" t="str">
        <x:v>2023-10</x:v>
      </x:c>
      <x:c r="W151" s="72" t="n">
        <x:v>45199</x:v>
      </x:c>
      <x:c r="X151" s="72" t="n">
        <x:v>45230</x:v>
      </x:c>
      <x:c r="Y151" s="72" t="n">
        <x:f>'净值原始'!C2869</x:f>
        <x:v>45197</x:v>
      </x:c>
      <x:c r="Z151" s="72" t="n">
        <x:f>'净值原始'!C2886</x:f>
        <x:v>45230</x:v>
      </x:c>
      <x:c r="AA151" s="73" t="n">
        <x:f>'净值原始'!F2869</x:f>
        <x:v>1.7506</x:v>
      </x:c>
      <x:c r="AB151" s="73" t="n">
        <x:f>'净值原始'!F2886</x:f>
        <x:v>1.7548</x:v>
      </x:c>
      <x:c r="AC151" s="66" t="n">
        <x:f>IF(OR(Y151="",Z151="",Z151&lt;=Y151,W151-Y151&gt;'sheet1-指标体系'!$J$24,X151-Z151&gt;'sheet1-指标体系'!$J$24),0,1)</x:f>
        <x:v>1</x:v>
      </x:c>
      <x:c r="AD151" s="74" t="n">
        <x:f>IF(AC151=0,"",AB151/AA151-1)</x:f>
        <x:v>0.0023991774248828257</x:v>
      </x:c>
      <x:c r="AE151" s="66" t="n">
        <x:f>IF(AC151=0,"",IF(AD151&gt;0,1,0))</x:f>
        <x:v>1</x:v>
      </x:c>
    </x:row>
    <x:row r="152" ht="27" customHeight="1">
      <x:c r="A152" s="66"/>
      <x:c r="B152" s="66"/>
      <x:c r="C152" s="66"/>
      <x:c r="D152" s="72"/>
      <x:c r="E152" s="72"/>
      <x:c r="F152" s="72"/>
      <x:c r="G152" s="72"/>
      <x:c r="H152" s="66"/>
      <x:c r="I152" s="66"/>
      <x:c r="J152" s="73"/>
      <x:c r="K152" s="73"/>
      <x:c r="L152" s="74"/>
      <x:c r="M152" s="74"/>
      <x:c r="N152" s="75"/>
      <x:c r="O152" s="74"/>
      <x:c r="P152" s="66"/>
      <x:c r="Q152" s="66"/>
      <x:c r="R152" s="66"/>
      <x:c r="S152" s="66"/>
      <x:c r="T152" s="66" t="str">
        <x:v>SEV580</x:v>
      </x:c>
      <x:c r="U152" s="66" t="str">
        <x:v>祁腾蜂赢1号</x:v>
      </x:c>
      <x:c r="V152" s="66" t="str">
        <x:v>2023-11</x:v>
      </x:c>
      <x:c r="W152" s="72" t="n">
        <x:v>45230</x:v>
      </x:c>
      <x:c r="X152" s="72" t="n">
        <x:v>45260</x:v>
      </x:c>
      <x:c r="Y152" s="72" t="n">
        <x:f>'净值原始'!C2886</x:f>
        <x:v>45230</x:v>
      </x:c>
      <x:c r="Z152" s="72" t="n">
        <x:f>'净值原始'!C2908</x:f>
        <x:v>45260</x:v>
      </x:c>
      <x:c r="AA152" s="73" t="n">
        <x:f>'净值原始'!F2886</x:f>
        <x:v>1.7548</x:v>
      </x:c>
      <x:c r="AB152" s="73" t="n">
        <x:f>'净值原始'!F2908</x:f>
        <x:v>1.7601</x:v>
      </x:c>
      <x:c r="AC152" s="66" t="n">
        <x:f>IF(OR(Y152="",Z152="",Z152&lt;=Y152,W152-Y152&gt;'sheet1-指标体系'!$J$24,X152-Z152&gt;'sheet1-指标体系'!$J$24),0,1)</x:f>
        <x:v>1</x:v>
      </x:c>
      <x:c r="AD152" s="74" t="n">
        <x:f>IF(AC152=0,"",AB152/AA152-1)</x:f>
        <x:v>0.0030202872122180313</x:v>
      </x:c>
      <x:c r="AE152" s="66" t="n">
        <x:f>IF(AC152=0,"",IF(AD152&gt;0,1,0))</x:f>
        <x:v>1</x:v>
      </x:c>
    </x:row>
    <x:row r="153" ht="27" customHeight="1">
      <x:c r="A153" s="66"/>
      <x:c r="B153" s="66"/>
      <x:c r="C153" s="66"/>
      <x:c r="D153" s="72"/>
      <x:c r="E153" s="72"/>
      <x:c r="F153" s="72"/>
      <x:c r="G153" s="72"/>
      <x:c r="H153" s="66"/>
      <x:c r="I153" s="66"/>
      <x:c r="J153" s="73"/>
      <x:c r="K153" s="73"/>
      <x:c r="L153" s="74"/>
      <x:c r="M153" s="74"/>
      <x:c r="N153" s="75"/>
      <x:c r="O153" s="74"/>
      <x:c r="P153" s="66"/>
      <x:c r="Q153" s="66"/>
      <x:c r="R153" s="66"/>
      <x:c r="S153" s="66"/>
      <x:c r="T153" s="66" t="str">
        <x:v>SEV580</x:v>
      </x:c>
      <x:c r="U153" s="66" t="str">
        <x:v>祁腾蜂赢1号</x:v>
      </x:c>
      <x:c r="V153" s="66" t="str">
        <x:v>2023-12</x:v>
      </x:c>
      <x:c r="W153" s="72" t="n">
        <x:v>45260</x:v>
      </x:c>
      <x:c r="X153" s="72" t="n">
        <x:v>45291</x:v>
      </x:c>
      <x:c r="Y153" s="72" t="n">
        <x:f>'净值原始'!C2908</x:f>
        <x:v>45260</x:v>
      </x:c>
      <x:c r="Z153" s="72" t="n">
        <x:f>'净值原始'!C2929</x:f>
        <x:v>45289</x:v>
      </x:c>
      <x:c r="AA153" s="73" t="n">
        <x:f>'净值原始'!F2908</x:f>
        <x:v>1.7601</x:v>
      </x:c>
      <x:c r="AB153" s="73" t="n">
        <x:f>'净值原始'!F2929</x:f>
        <x:v>1.7597</x:v>
      </x:c>
      <x:c r="AC153" s="66" t="n">
        <x:f>IF(OR(Y153="",Z153="",Z153&lt;=Y153,W153-Y153&gt;'sheet1-指标体系'!$J$24,X153-Z153&gt;'sheet1-指标体系'!$J$24),0,1)</x:f>
        <x:v>1</x:v>
      </x:c>
      <x:c r="AD153" s="74" t="n">
        <x:f>IF(AC153=0,"",AB153/AA153-1)</x:f>
        <x:v>-0.00022725981478322055</x:v>
      </x:c>
      <x:c r="AE153" s="66" t="n">
        <x:f>IF(AC153=0,"",IF(AD153&gt;0,1,0))</x:f>
        <x:v>0</x:v>
      </x:c>
    </x:row>
    <x:row r="154" ht="27" customHeight="1">
      <x:c r="A154" s="66"/>
      <x:c r="B154" s="66"/>
      <x:c r="C154" s="66"/>
      <x:c r="D154" s="72"/>
      <x:c r="E154" s="72"/>
      <x:c r="F154" s="72"/>
      <x:c r="G154" s="72"/>
      <x:c r="H154" s="66"/>
      <x:c r="I154" s="66"/>
      <x:c r="J154" s="73"/>
      <x:c r="K154" s="73"/>
      <x:c r="L154" s="74"/>
      <x:c r="M154" s="74"/>
      <x:c r="N154" s="75"/>
      <x:c r="O154" s="74"/>
      <x:c r="P154" s="66"/>
      <x:c r="Q154" s="66"/>
      <x:c r="R154" s="66"/>
      <x:c r="S154" s="66"/>
      <x:c r="T154" s="66" t="str">
        <x:v>SEV580</x:v>
      </x:c>
      <x:c r="U154" s="66" t="str">
        <x:v>祁腾蜂赢1号</x:v>
      </x:c>
      <x:c r="V154" s="66" t="str">
        <x:v>2024-01</x:v>
      </x:c>
      <x:c r="W154" s="72" t="n">
        <x:v>45291</x:v>
      </x:c>
      <x:c r="X154" s="72" t="n">
        <x:v>45322</x:v>
      </x:c>
      <x:c r="Y154" s="72" t="n">
        <x:f>'净值原始'!C2929</x:f>
        <x:v>45289</x:v>
      </x:c>
      <x:c r="Z154" s="72" t="n">
        <x:f>'净值原始'!C2951</x:f>
        <x:v>45322</x:v>
      </x:c>
      <x:c r="AA154" s="73" t="n">
        <x:f>'净值原始'!F2929</x:f>
        <x:v>1.7597</x:v>
      </x:c>
      <x:c r="AB154" s="73" t="n">
        <x:f>'净值原始'!F2951</x:f>
        <x:v>1.7767</x:v>
      </x:c>
      <x:c r="AC154" s="66" t="n">
        <x:f>IF(OR(Y154="",Z154="",Z154&lt;=Y154,W154-Y154&gt;'sheet1-指标体系'!$J$24,X154-Z154&gt;'sheet1-指标体系'!$J$24),0,1)</x:f>
        <x:v>1</x:v>
      </x:c>
      <x:c r="AD154" s="74" t="n">
        <x:f>IF(AC154=0,"",AB154/AA154-1)</x:f>
        <x:v>0.009660737625731608</x:v>
      </x:c>
      <x:c r="AE154" s="66" t="n">
        <x:f>IF(AC154=0,"",IF(AD154&gt;0,1,0))</x:f>
        <x:v>1</x:v>
      </x:c>
    </x:row>
    <x:row r="155" ht="27" customHeight="1">
      <x:c r="A155" s="66"/>
      <x:c r="B155" s="66"/>
      <x:c r="C155" s="66"/>
      <x:c r="D155" s="72"/>
      <x:c r="E155" s="72"/>
      <x:c r="F155" s="72"/>
      <x:c r="G155" s="72"/>
      <x:c r="H155" s="66"/>
      <x:c r="I155" s="66"/>
      <x:c r="J155" s="73"/>
      <x:c r="K155" s="73"/>
      <x:c r="L155" s="74"/>
      <x:c r="M155" s="74"/>
      <x:c r="N155" s="75"/>
      <x:c r="O155" s="74"/>
      <x:c r="P155" s="66"/>
      <x:c r="Q155" s="66"/>
      <x:c r="R155" s="66"/>
      <x:c r="S155" s="66"/>
      <x:c r="T155" s="66" t="str">
        <x:v>SEV580</x:v>
      </x:c>
      <x:c r="U155" s="66" t="str">
        <x:v>祁腾蜂赢1号</x:v>
      </x:c>
      <x:c r="V155" s="66" t="str">
        <x:v>2024-02</x:v>
      </x:c>
      <x:c r="W155" s="72" t="n">
        <x:v>45322</x:v>
      </x:c>
      <x:c r="X155" s="72" t="n">
        <x:v>45351</x:v>
      </x:c>
      <x:c r="Y155" s="72" t="n">
        <x:f>'净值原始'!C2951</x:f>
        <x:v>45322</x:v>
      </x:c>
      <x:c r="Z155" s="72" t="n">
        <x:f>'净值原始'!C2966</x:f>
        <x:v>45351</x:v>
      </x:c>
      <x:c r="AA155" s="73" t="n">
        <x:f>'净值原始'!F2951</x:f>
        <x:v>1.7767</x:v>
      </x:c>
      <x:c r="AB155" s="73" t="n">
        <x:f>'净值原始'!F2966</x:f>
        <x:v>1.8116</x:v>
      </x:c>
      <x:c r="AC155" s="66" t="n">
        <x:f>IF(OR(Y155="",Z155="",Z155&lt;=Y155,W155-Y155&gt;'sheet1-指标体系'!$J$24,X155-Z155&gt;'sheet1-指标体系'!$J$24),0,1)</x:f>
        <x:v>1</x:v>
      </x:c>
      <x:c r="AD155" s="74" t="n">
        <x:f>IF(AC155=0,"",AB155/AA155-1)</x:f>
        <x:v>0.019643158664940596</x:v>
      </x:c>
      <x:c r="AE155" s="66" t="n">
        <x:f>IF(AC155=0,"",IF(AD155&gt;0,1,0))</x:f>
        <x:v>1</x:v>
      </x:c>
    </x:row>
    <x:row r="156" ht="27" customHeight="1">
      <x:c r="A156" s="66"/>
      <x:c r="B156" s="66"/>
      <x:c r="C156" s="66"/>
      <x:c r="D156" s="72"/>
      <x:c r="E156" s="72"/>
      <x:c r="F156" s="72"/>
      <x:c r="G156" s="72"/>
      <x:c r="H156" s="66"/>
      <x:c r="I156" s="66"/>
      <x:c r="J156" s="73"/>
      <x:c r="K156" s="73"/>
      <x:c r="L156" s="74"/>
      <x:c r="M156" s="74"/>
      <x:c r="N156" s="75"/>
      <x:c r="O156" s="74"/>
      <x:c r="P156" s="66"/>
      <x:c r="Q156" s="66"/>
      <x:c r="R156" s="66"/>
      <x:c r="S156" s="66"/>
      <x:c r="T156" s="66" t="str">
        <x:v>SEV580</x:v>
      </x:c>
      <x:c r="U156" s="66" t="str">
        <x:v>祁腾蜂赢1号</x:v>
      </x:c>
      <x:c r="V156" s="66" t="str">
        <x:v>2024-03</x:v>
      </x:c>
      <x:c r="W156" s="72" t="n">
        <x:v>45351</x:v>
      </x:c>
      <x:c r="X156" s="72" t="n">
        <x:v>45382</x:v>
      </x:c>
      <x:c r="Y156" s="72" t="n">
        <x:f>'净值原始'!C2966</x:f>
        <x:v>45351</x:v>
      </x:c>
      <x:c r="Z156" s="72" t="n">
        <x:f>'净值原始'!C2987</x:f>
        <x:v>45380</x:v>
      </x:c>
      <x:c r="AA156" s="73" t="n">
        <x:f>'净值原始'!F2966</x:f>
        <x:v>1.8116</x:v>
      </x:c>
      <x:c r="AB156" s="73" t="n">
        <x:f>'净值原始'!F2987</x:f>
        <x:v>1.8284</x:v>
      </x:c>
      <x:c r="AC156" s="66" t="n">
        <x:f>IF(OR(Y156="",Z156="",Z156&lt;=Y156,W156-Y156&gt;'sheet1-指标体系'!$J$24,X156-Z156&gt;'sheet1-指标体系'!$J$24),0,1)</x:f>
        <x:v>1</x:v>
      </x:c>
      <x:c r="AD156" s="74" t="n">
        <x:f>IF(AC156=0,"",AB156/AA156-1)</x:f>
        <x:v>0.009273570324574987</x:v>
      </x:c>
      <x:c r="AE156" s="66" t="n">
        <x:f>IF(AC156=0,"",IF(AD156&gt;0,1,0))</x:f>
        <x:v>1</x:v>
      </x:c>
    </x:row>
    <x:row r="157" ht="27" customHeight="1">
      <x:c r="A157" s="66"/>
      <x:c r="B157" s="66"/>
      <x:c r="C157" s="66"/>
      <x:c r="D157" s="72"/>
      <x:c r="E157" s="72"/>
      <x:c r="F157" s="72"/>
      <x:c r="G157" s="72"/>
      <x:c r="H157" s="66"/>
      <x:c r="I157" s="66"/>
      <x:c r="J157" s="73"/>
      <x:c r="K157" s="73"/>
      <x:c r="L157" s="74"/>
      <x:c r="M157" s="74"/>
      <x:c r="N157" s="75"/>
      <x:c r="O157" s="74"/>
      <x:c r="P157" s="66"/>
      <x:c r="Q157" s="66"/>
      <x:c r="R157" s="66"/>
      <x:c r="S157" s="66"/>
      <x:c r="T157" s="66" t="str">
        <x:v>SEV580</x:v>
      </x:c>
      <x:c r="U157" s="66" t="str">
        <x:v>祁腾蜂赢1号</x:v>
      </x:c>
      <x:c r="V157" s="66" t="str">
        <x:v>2024-04</x:v>
      </x:c>
      <x:c r="W157" s="72" t="n">
        <x:v>45382</x:v>
      </x:c>
      <x:c r="X157" s="72" t="n">
        <x:v>45412</x:v>
      </x:c>
      <x:c r="Y157" s="72" t="n">
        <x:f>'净值原始'!C2987</x:f>
        <x:v>45380</x:v>
      </x:c>
      <x:c r="Z157" s="72" t="n">
        <x:f>'净值原始'!C3007</x:f>
        <x:v>45412</x:v>
      </x:c>
      <x:c r="AA157" s="73" t="n">
        <x:f>'净值原始'!F2987</x:f>
        <x:v>1.8284</x:v>
      </x:c>
      <x:c r="AB157" s="73" t="n">
        <x:f>'净值原始'!F3007</x:f>
        <x:v>1.839</x:v>
      </x:c>
      <x:c r="AC157" s="66" t="n">
        <x:f>IF(OR(Y157="",Z157="",Z157&lt;=Y157,W157-Y157&gt;'sheet1-指标体系'!$J$24,X157-Z157&gt;'sheet1-指标体系'!$J$24),0,1)</x:f>
        <x:v>1</x:v>
      </x:c>
      <x:c r="AD157" s="74" t="n">
        <x:f>IF(AC157=0,"",AB157/AA157-1)</x:f>
        <x:v>0.005797418507984986</x:v>
      </x:c>
      <x:c r="AE157" s="66" t="n">
        <x:f>IF(AC157=0,"",IF(AD157&gt;0,1,0))</x:f>
        <x:v>1</x:v>
      </x:c>
    </x:row>
    <x:row r="158" ht="27" customHeight="1">
      <x:c r="A158" s="66"/>
      <x:c r="B158" s="66"/>
      <x:c r="C158" s="66"/>
      <x:c r="D158" s="72"/>
      <x:c r="E158" s="72"/>
      <x:c r="F158" s="72"/>
      <x:c r="G158" s="72"/>
      <x:c r="H158" s="66"/>
      <x:c r="I158" s="66"/>
      <x:c r="J158" s="73"/>
      <x:c r="K158" s="73"/>
      <x:c r="L158" s="74"/>
      <x:c r="M158" s="74"/>
      <x:c r="N158" s="75"/>
      <x:c r="O158" s="74"/>
      <x:c r="P158" s="66"/>
      <x:c r="Q158" s="66"/>
      <x:c r="R158" s="66"/>
      <x:c r="S158" s="66"/>
      <x:c r="T158" s="66" t="str">
        <x:v>SEV580</x:v>
      </x:c>
      <x:c r="U158" s="66" t="str">
        <x:v>祁腾蜂赢1号</x:v>
      </x:c>
      <x:c r="V158" s="66" t="str">
        <x:v>2024-05</x:v>
      </x:c>
      <x:c r="W158" s="72" t="n">
        <x:v>45412</x:v>
      </x:c>
      <x:c r="X158" s="72" t="n">
        <x:v>45443</x:v>
      </x:c>
      <x:c r="Y158" s="72" t="n">
        <x:f>'净值原始'!C3007</x:f>
        <x:v>45412</x:v>
      </x:c>
      <x:c r="Z158" s="72" t="n">
        <x:f>'净值原始'!C3027</x:f>
        <x:v>45443</x:v>
      </x:c>
      <x:c r="AA158" s="73" t="n">
        <x:f>'净值原始'!F3007</x:f>
        <x:v>1.839</x:v>
      </x:c>
      <x:c r="AB158" s="73" t="n">
        <x:f>'净值原始'!F3027</x:f>
        <x:v>1.8346</x:v>
      </x:c>
      <x:c r="AC158" s="66" t="n">
        <x:f>IF(OR(Y158="",Z158="",Z158&lt;=Y158,W158-Y158&gt;'sheet1-指标体系'!$J$24,X158-Z158&gt;'sheet1-指标体系'!$J$24),0,1)</x:f>
        <x:v>1</x:v>
      </x:c>
      <x:c r="AD158" s="74" t="n">
        <x:f>IF(AC158=0,"",AB158/AA158-1)</x:f>
        <x:v>-0.002392604676454524</x:v>
      </x:c>
      <x:c r="AE158" s="66" t="n">
        <x:f>IF(AC158=0,"",IF(AD158&gt;0,1,0))</x:f>
        <x:v>0</x:v>
      </x:c>
    </x:row>
    <x:row r="159" ht="27" customHeight="1">
      <x:c r="A159" s="66"/>
      <x:c r="B159" s="66"/>
      <x:c r="C159" s="66"/>
      <x:c r="D159" s="72"/>
      <x:c r="E159" s="72"/>
      <x:c r="F159" s="72"/>
      <x:c r="G159" s="72"/>
      <x:c r="H159" s="66"/>
      <x:c r="I159" s="66"/>
      <x:c r="J159" s="73"/>
      <x:c r="K159" s="73"/>
      <x:c r="L159" s="74"/>
      <x:c r="M159" s="74"/>
      <x:c r="N159" s="75"/>
      <x:c r="O159" s="74"/>
      <x:c r="P159" s="66"/>
      <x:c r="Q159" s="66"/>
      <x:c r="R159" s="66"/>
      <x:c r="S159" s="66"/>
      <x:c r="T159" s="66" t="str">
        <x:v>SEV580</x:v>
      </x:c>
      <x:c r="U159" s="66" t="str">
        <x:v>祁腾蜂赢1号</x:v>
      </x:c>
      <x:c r="V159" s="66" t="str">
        <x:v>2024-06</x:v>
      </x:c>
      <x:c r="W159" s="72" t="n">
        <x:v>45443</x:v>
      </x:c>
      <x:c r="X159" s="72" t="n">
        <x:v>45473</x:v>
      </x:c>
      <x:c r="Y159" s="72" t="n">
        <x:f>'净值原始'!C3027</x:f>
        <x:v>45443</x:v>
      </x:c>
      <x:c r="Z159" s="72" t="n">
        <x:f>'净值原始'!C3046</x:f>
        <x:v>45471</x:v>
      </x:c>
      <x:c r="AA159" s="73" t="n">
        <x:f>'净值原始'!F3027</x:f>
        <x:v>1.8346</x:v>
      </x:c>
      <x:c r="AB159" s="73" t="n">
        <x:f>'净值原始'!F3046</x:f>
        <x:v>1.8415</x:v>
      </x:c>
      <x:c r="AC159" s="66" t="n">
        <x:f>IF(OR(Y159="",Z159="",Z159&lt;=Y159,W159-Y159&gt;'sheet1-指标体系'!$J$24,X159-Z159&gt;'sheet1-指标体系'!$J$24),0,1)</x:f>
        <x:v>1</x:v>
      </x:c>
      <x:c r="AD159" s="74" t="n">
        <x:f>IF(AC159=0,"",AB159/AA159-1)</x:f>
        <x:v>0.0037610378284094192</x:v>
      </x:c>
      <x:c r="AE159" s="66" t="n">
        <x:f>IF(AC159=0,"",IF(AD159&gt;0,1,0))</x:f>
        <x:v>1</x:v>
      </x:c>
    </x:row>
    <x:row r="160" ht="27" customHeight="1">
      <x:c r="A160" s="66"/>
      <x:c r="B160" s="66"/>
      <x:c r="C160" s="66"/>
      <x:c r="D160" s="72"/>
      <x:c r="E160" s="72"/>
      <x:c r="F160" s="72"/>
      <x:c r="G160" s="72"/>
      <x:c r="H160" s="66"/>
      <x:c r="I160" s="66"/>
      <x:c r="J160" s="73"/>
      <x:c r="K160" s="73"/>
      <x:c r="L160" s="74"/>
      <x:c r="M160" s="74"/>
      <x:c r="N160" s="75"/>
      <x:c r="O160" s="74"/>
      <x:c r="P160" s="66"/>
      <x:c r="Q160" s="66"/>
      <x:c r="R160" s="66"/>
      <x:c r="S160" s="66"/>
      <x:c r="T160" s="66" t="str">
        <x:v>SEV580</x:v>
      </x:c>
      <x:c r="U160" s="66" t="str">
        <x:v>祁腾蜂赢1号</x:v>
      </x:c>
      <x:c r="V160" s="66" t="str">
        <x:v>2024-07</x:v>
      </x:c>
      <x:c r="W160" s="72" t="n">
        <x:v>45473</x:v>
      </x:c>
      <x:c r="X160" s="72" t="n">
        <x:v>45504</x:v>
      </x:c>
      <x:c r="Y160" s="72" t="n">
        <x:f>'净值原始'!C3046</x:f>
        <x:v>45471</x:v>
      </x:c>
      <x:c r="Z160" s="72" t="n">
        <x:f>'净值原始'!C3069</x:f>
        <x:v>45504</x:v>
      </x:c>
      <x:c r="AA160" s="73" t="n">
        <x:f>'净值原始'!F3046</x:f>
        <x:v>1.8415</x:v>
      </x:c>
      <x:c r="AB160" s="73" t="n">
        <x:f>'净值原始'!F3069</x:f>
        <x:v>1.8532</x:v>
      </x:c>
      <x:c r="AC160" s="66" t="n">
        <x:f>IF(OR(Y160="",Z160="",Z160&lt;=Y160,W160-Y160&gt;'sheet1-指标体系'!$J$24,X160-Z160&gt;'sheet1-指标体系'!$J$24),0,1)</x:f>
        <x:v>1</x:v>
      </x:c>
      <x:c r="AD160" s="74" t="n">
        <x:f>IF(AC160=0,"",AB160/AA160-1)</x:f>
        <x:v>0.006353516155308103</x:v>
      </x:c>
      <x:c r="AE160" s="66" t="n">
        <x:f>IF(AC160=0,"",IF(AD160&gt;0,1,0))</x:f>
        <x:v>1</x:v>
      </x:c>
    </x:row>
    <x:row r="161" ht="27" customHeight="1">
      <x:c r="A161" s="66"/>
      <x:c r="B161" s="66"/>
      <x:c r="C161" s="66"/>
      <x:c r="D161" s="72"/>
      <x:c r="E161" s="72"/>
      <x:c r="F161" s="72"/>
      <x:c r="G161" s="72"/>
      <x:c r="H161" s="66"/>
      <x:c r="I161" s="66"/>
      <x:c r="J161" s="73"/>
      <x:c r="K161" s="73"/>
      <x:c r="L161" s="74"/>
      <x:c r="M161" s="74"/>
      <x:c r="N161" s="75"/>
      <x:c r="O161" s="74"/>
      <x:c r="P161" s="66"/>
      <x:c r="Q161" s="66"/>
      <x:c r="R161" s="66"/>
      <x:c r="S161" s="66"/>
      <x:c r="T161" s="66" t="str">
        <x:v>SEV580</x:v>
      </x:c>
      <x:c r="U161" s="66" t="str">
        <x:v>祁腾蜂赢1号</x:v>
      </x:c>
      <x:c r="V161" s="66" t="str">
        <x:v>2024-08</x:v>
      </x:c>
      <x:c r="W161" s="72" t="n">
        <x:v>45504</x:v>
      </x:c>
      <x:c r="X161" s="72" t="n">
        <x:v>45535</x:v>
      </x:c>
      <x:c r="Y161" s="72" t="n">
        <x:f>'净值原始'!C3069</x:f>
        <x:v>45504</x:v>
      </x:c>
      <x:c r="Z161" s="72" t="n">
        <x:f>'净值原始'!C3091</x:f>
        <x:v>45534</x:v>
      </x:c>
      <x:c r="AA161" s="73" t="n">
        <x:f>'净值原始'!F3069</x:f>
        <x:v>1.8532</x:v>
      </x:c>
      <x:c r="AB161" s="73" t="n">
        <x:f>'净值原始'!F3091</x:f>
        <x:v>1.8828</x:v>
      </x:c>
      <x:c r="AC161" s="66" t="n">
        <x:f>IF(OR(Y161="",Z161="",Z161&lt;=Y161,W161-Y161&gt;'sheet1-指标体系'!$J$24,X161-Z161&gt;'sheet1-指标体系'!$J$24),0,1)</x:f>
        <x:v>1</x:v>
      </x:c>
      <x:c r="AD161" s="74" t="n">
        <x:f>IF(AC161=0,"",AB161/AA161-1)</x:f>
        <x:v>0.015972372113101763</x:v>
      </x:c>
      <x:c r="AE161" s="66" t="n">
        <x:f>IF(AC161=0,"",IF(AD161&gt;0,1,0))</x:f>
        <x:v>1</x:v>
      </x:c>
    </x:row>
    <x:row r="162" ht="27" customHeight="1">
      <x:c r="A162" s="66"/>
      <x:c r="B162" s="66"/>
      <x:c r="C162" s="66"/>
      <x:c r="D162" s="72"/>
      <x:c r="E162" s="72"/>
      <x:c r="F162" s="72"/>
      <x:c r="G162" s="72"/>
      <x:c r="H162" s="66"/>
      <x:c r="I162" s="66"/>
      <x:c r="J162" s="73"/>
      <x:c r="K162" s="73"/>
      <x:c r="L162" s="74"/>
      <x:c r="M162" s="74"/>
      <x:c r="N162" s="75"/>
      <x:c r="O162" s="74"/>
      <x:c r="P162" s="66"/>
      <x:c r="Q162" s="66"/>
      <x:c r="R162" s="66"/>
      <x:c r="S162" s="66"/>
      <x:c r="T162" s="66" t="str">
        <x:v>SEV580</x:v>
      </x:c>
      <x:c r="U162" s="66" t="str">
        <x:v>祁腾蜂赢1号</x:v>
      </x:c>
      <x:c r="V162" s="66" t="str">
        <x:v>2024-09</x:v>
      </x:c>
      <x:c r="W162" s="72" t="n">
        <x:v>45535</x:v>
      </x:c>
      <x:c r="X162" s="72" t="n">
        <x:v>45565</x:v>
      </x:c>
      <x:c r="Y162" s="72" t="n">
        <x:f>'净值原始'!C3091</x:f>
        <x:v>45534</x:v>
      </x:c>
      <x:c r="Z162" s="72" t="n">
        <x:f>'净值原始'!C3110</x:f>
        <x:v>45565</x:v>
      </x:c>
      <x:c r="AA162" s="73" t="n">
        <x:f>'净值原始'!F3091</x:f>
        <x:v>1.8828</x:v>
      </x:c>
      <x:c r="AB162" s="73" t="n">
        <x:f>'净值原始'!F3110</x:f>
        <x:v>1.932</x:v>
      </x:c>
      <x:c r="AC162" s="66" t="n">
        <x:f>IF(OR(Y162="",Z162="",Z162&lt;=Y162,W162-Y162&gt;'sheet1-指标体系'!$J$24,X162-Z162&gt;'sheet1-指标体系'!$J$24),0,1)</x:f>
        <x:v>1</x:v>
      </x:c>
      <x:c r="AD162" s="74" t="n">
        <x:f>IF(AC162=0,"",AB162/AA162-1)</x:f>
        <x:v>0.026131293817718282</x:v>
      </x:c>
      <x:c r="AE162" s="66" t="n">
        <x:f>IF(AC162=0,"",IF(AD162&gt;0,1,0))</x:f>
        <x:v>1</x:v>
      </x:c>
    </x:row>
    <x:row r="163" ht="27" customHeight="1">
      <x:c r="A163" s="66"/>
      <x:c r="B163" s="66"/>
      <x:c r="C163" s="66"/>
      <x:c r="D163" s="72"/>
      <x:c r="E163" s="72"/>
      <x:c r="F163" s="72"/>
      <x:c r="G163" s="72"/>
      <x:c r="H163" s="66"/>
      <x:c r="I163" s="66"/>
      <x:c r="J163" s="73"/>
      <x:c r="K163" s="73"/>
      <x:c r="L163" s="74"/>
      <x:c r="M163" s="74"/>
      <x:c r="N163" s="75"/>
      <x:c r="O163" s="74"/>
      <x:c r="P163" s="66"/>
      <x:c r="Q163" s="66"/>
      <x:c r="R163" s="66"/>
      <x:c r="S163" s="66"/>
      <x:c r="T163" s="66" t="str">
        <x:v>SEV580</x:v>
      </x:c>
      <x:c r="U163" s="66" t="str">
        <x:v>祁腾蜂赢1号</x:v>
      </x:c>
      <x:c r="V163" s="66" t="str">
        <x:v>2024-10</x:v>
      </x:c>
      <x:c r="W163" s="72" t="n">
        <x:v>45565</x:v>
      </x:c>
      <x:c r="X163" s="72" t="n">
        <x:v>45596</x:v>
      </x:c>
      <x:c r="Y163" s="72" t="n">
        <x:f>'净值原始'!C3110</x:f>
        <x:v>45565</x:v>
      </x:c>
      <x:c r="Z163" s="72" t="n">
        <x:f>'净值原始'!C3128</x:f>
        <x:v>45596</x:v>
      </x:c>
      <x:c r="AA163" s="73" t="n">
        <x:f>'净值原始'!F3110</x:f>
        <x:v>1.932</x:v>
      </x:c>
      <x:c r="AB163" s="73" t="n">
        <x:f>'净值原始'!F3128</x:f>
        <x:v>2.0557</x:v>
      </x:c>
      <x:c r="AC163" s="66" t="n">
        <x:f>IF(OR(Y163="",Z163="",Z163&lt;=Y163,W163-Y163&gt;'sheet1-指标体系'!$J$24,X163-Z163&gt;'sheet1-指标体系'!$J$24),0,1)</x:f>
        <x:v>1</x:v>
      </x:c>
      <x:c r="AD163" s="74" t="n">
        <x:f>IF(AC163=0,"",AB163/AA163-1)</x:f>
        <x:v>0.06402691511387171</x:v>
      </x:c>
      <x:c r="AE163" s="66" t="n">
        <x:f>IF(AC163=0,"",IF(AD163&gt;0,1,0))</x:f>
        <x:v>1</x:v>
      </x:c>
    </x:row>
    <x:row r="164" ht="27" customHeight="1">
      <x:c r="A164" s="66"/>
      <x:c r="B164" s="66"/>
      <x:c r="C164" s="66"/>
      <x:c r="D164" s="72"/>
      <x:c r="E164" s="72"/>
      <x:c r="F164" s="72"/>
      <x:c r="G164" s="72"/>
      <x:c r="H164" s="66"/>
      <x:c r="I164" s="66"/>
      <x:c r="J164" s="73"/>
      <x:c r="K164" s="73"/>
      <x:c r="L164" s="74"/>
      <x:c r="M164" s="74"/>
      <x:c r="N164" s="75"/>
      <x:c r="O164" s="74"/>
      <x:c r="P164" s="66"/>
      <x:c r="Q164" s="66"/>
      <x:c r="R164" s="66"/>
      <x:c r="S164" s="66"/>
      <x:c r="T164" s="66" t="str">
        <x:v>SEV580</x:v>
      </x:c>
      <x:c r="U164" s="66" t="str">
        <x:v>祁腾蜂赢1号</x:v>
      </x:c>
      <x:c r="V164" s="66" t="str">
        <x:v>2024-11</x:v>
      </x:c>
      <x:c r="W164" s="72" t="n">
        <x:v>45596</x:v>
      </x:c>
      <x:c r="X164" s="72" t="n">
        <x:v>45626</x:v>
      </x:c>
      <x:c r="Y164" s="72" t="n">
        <x:f>'净值原始'!C3128</x:f>
        <x:v>45596</x:v>
      </x:c>
      <x:c r="Z164" s="72" t="n">
        <x:f>'净值原始'!C3149</x:f>
        <x:v>45625</x:v>
      </x:c>
      <x:c r="AA164" s="73" t="n">
        <x:f>'净值原始'!F3128</x:f>
        <x:v>2.0557</x:v>
      </x:c>
      <x:c r="AB164" s="73" t="n">
        <x:f>'净值原始'!F3149</x:f>
        <x:v>2.0881</x:v>
      </x:c>
      <x:c r="AC164" s="66" t="n">
        <x:f>IF(OR(Y164="",Z164="",Z164&lt;=Y164,W164-Y164&gt;'sheet1-指标体系'!$J$24,X164-Z164&gt;'sheet1-指标体系'!$J$24),0,1)</x:f>
        <x:v>1</x:v>
      </x:c>
      <x:c r="AD164" s="74" t="n">
        <x:f>IF(AC164=0,"",AB164/AA164-1)</x:f>
        <x:v>0.015761054628593563</x:v>
      </x:c>
      <x:c r="AE164" s="66" t="n">
        <x:f>IF(AC164=0,"",IF(AD164&gt;0,1,0))</x:f>
        <x:v>1</x:v>
      </x:c>
    </x:row>
    <x:row r="165" ht="27" customHeight="1">
      <x:c r="A165" s="66"/>
      <x:c r="B165" s="66"/>
      <x:c r="C165" s="66"/>
      <x:c r="D165" s="72"/>
      <x:c r="E165" s="72"/>
      <x:c r="F165" s="72"/>
      <x:c r="G165" s="72"/>
      <x:c r="H165" s="66"/>
      <x:c r="I165" s="66"/>
      <x:c r="J165" s="73"/>
      <x:c r="K165" s="73"/>
      <x:c r="L165" s="74"/>
      <x:c r="M165" s="74"/>
      <x:c r="N165" s="75"/>
      <x:c r="O165" s="74"/>
      <x:c r="P165" s="66"/>
      <x:c r="Q165" s="66"/>
      <x:c r="R165" s="66"/>
      <x:c r="S165" s="66"/>
      <x:c r="T165" s="66" t="str">
        <x:v>SEV580</x:v>
      </x:c>
      <x:c r="U165" s="66" t="str">
        <x:v>祁腾蜂赢1号</x:v>
      </x:c>
      <x:c r="V165" s="66" t="str">
        <x:v>2024-12</x:v>
      </x:c>
      <x:c r="W165" s="72" t="n">
        <x:v>45626</x:v>
      </x:c>
      <x:c r="X165" s="72" t="n">
        <x:v>45657</x:v>
      </x:c>
      <x:c r="Y165" s="72" t="n">
        <x:f>'净值原始'!C3149</x:f>
        <x:v>45625</x:v>
      </x:c>
      <x:c r="Z165" s="72" t="n">
        <x:f>'净值原始'!C3171</x:f>
        <x:v>45657</x:v>
      </x:c>
      <x:c r="AA165" s="73" t="n">
        <x:f>'净值原始'!F3149</x:f>
        <x:v>2.0881</x:v>
      </x:c>
      <x:c r="AB165" s="73" t="n">
        <x:f>'净值原始'!F3171</x:f>
        <x:v>2.1038</x:v>
      </x:c>
      <x:c r="AC165" s="66" t="n">
        <x:f>IF(OR(Y165="",Z165="",Z165&lt;=Y165,W165-Y165&gt;'sheet1-指标体系'!$J$24,X165-Z165&gt;'sheet1-指标体系'!$J$24),0,1)</x:f>
        <x:v>1</x:v>
      </x:c>
      <x:c r="AD165" s="74" t="n">
        <x:f>IF(AC165=0,"",AB165/AA165-1)</x:f>
        <x:v>0.007518796992481258</x:v>
      </x:c>
      <x:c r="AE165" s="66" t="n">
        <x:f>IF(AC165=0,"",IF(AD165&gt;0,1,0))</x:f>
        <x:v>1</x:v>
      </x:c>
    </x:row>
    <x:row r="166" ht="27" customHeight="1">
      <x:c r="A166" s="66"/>
      <x:c r="B166" s="66"/>
      <x:c r="C166" s="66"/>
      <x:c r="D166" s="72"/>
      <x:c r="E166" s="72"/>
      <x:c r="F166" s="72"/>
      <x:c r="G166" s="72"/>
      <x:c r="H166" s="66"/>
      <x:c r="I166" s="66"/>
      <x:c r="J166" s="73"/>
      <x:c r="K166" s="73"/>
      <x:c r="L166" s="74"/>
      <x:c r="M166" s="74"/>
      <x:c r="N166" s="75"/>
      <x:c r="O166" s="74"/>
      <x:c r="P166" s="66"/>
      <x:c r="Q166" s="66"/>
      <x:c r="R166" s="66"/>
      <x:c r="S166" s="66"/>
      <x:c r="T166" s="66" t="str">
        <x:v>SEV580</x:v>
      </x:c>
      <x:c r="U166" s="66" t="str">
        <x:v>祁腾蜂赢1号</x:v>
      </x:c>
      <x:c r="V166" s="66" t="str">
        <x:v>2025-01</x:v>
      </x:c>
      <x:c r="W166" s="72" t="n">
        <x:v>45657</x:v>
      </x:c>
      <x:c r="X166" s="72" t="n">
        <x:v>45688</x:v>
      </x:c>
      <x:c r="Y166" s="72" t="n">
        <x:f>'净值原始'!C3171</x:f>
        <x:v>45657</x:v>
      </x:c>
      <x:c r="Z166" s="72" t="n">
        <x:f>'净值原始'!C3189</x:f>
        <x:v>45684</x:v>
      </x:c>
      <x:c r="AA166" s="73" t="n">
        <x:f>'净值原始'!F3171</x:f>
        <x:v>2.1038</x:v>
      </x:c>
      <x:c r="AB166" s="73" t="n">
        <x:f>'净值原始'!F3189</x:f>
        <x:v>2.1143</x:v>
      </x:c>
      <x:c r="AC166" s="66" t="n">
        <x:f>IF(OR(Y166="",Z166="",Z166&lt;=Y166,W166-Y166&gt;'sheet1-指标体系'!$J$24,X166-Z166&gt;'sheet1-指标体系'!$J$24),0,1)</x:f>
        <x:v>1</x:v>
      </x:c>
      <x:c r="AD166" s="74" t="n">
        <x:f>IF(AC166=0,"",AB166/AA166-1)</x:f>
        <x:v>0.0049909687232625455</x:v>
      </x:c>
      <x:c r="AE166" s="66" t="n">
        <x:f>IF(AC166=0,"",IF(AD166&gt;0,1,0))</x:f>
        <x:v>1</x:v>
      </x:c>
    </x:row>
    <x:row r="167" ht="27" customHeight="1">
      <x:c r="A167" s="66"/>
      <x:c r="B167" s="66"/>
      <x:c r="C167" s="66"/>
      <x:c r="D167" s="72"/>
      <x:c r="E167" s="72"/>
      <x:c r="F167" s="72"/>
      <x:c r="G167" s="72"/>
      <x:c r="H167" s="66"/>
      <x:c r="I167" s="66"/>
      <x:c r="J167" s="73"/>
      <x:c r="K167" s="73"/>
      <x:c r="L167" s="74"/>
      <x:c r="M167" s="74"/>
      <x:c r="N167" s="75"/>
      <x:c r="O167" s="74"/>
      <x:c r="P167" s="66"/>
      <x:c r="Q167" s="66"/>
      <x:c r="R167" s="66"/>
      <x:c r="S167" s="66"/>
      <x:c r="T167" s="66" t="str">
        <x:v>SEV580</x:v>
      </x:c>
      <x:c r="U167" s="66" t="str">
        <x:v>祁腾蜂赢1号</x:v>
      </x:c>
      <x:c r="V167" s="66" t="str">
        <x:v>2025-02</x:v>
      </x:c>
      <x:c r="W167" s="72" t="n">
        <x:v>45688</x:v>
      </x:c>
      <x:c r="X167" s="72" t="n">
        <x:v>45716</x:v>
      </x:c>
      <x:c r="Y167" s="72" t="n">
        <x:f>'净值原始'!C3189</x:f>
        <x:v>45684</x:v>
      </x:c>
      <x:c r="Z167" s="72" t="n">
        <x:f>'净值原始'!C3207</x:f>
        <x:v>45716</x:v>
      </x:c>
      <x:c r="AA167" s="73" t="n">
        <x:f>'净值原始'!F3189</x:f>
        <x:v>2.1143</x:v>
      </x:c>
      <x:c r="AB167" s="73" t="n">
        <x:f>'净值原始'!F3207</x:f>
        <x:v>2.12</x:v>
      </x:c>
      <x:c r="AC167" s="66" t="n">
        <x:f>IF(OR(Y167="",Z167="",Z167&lt;=Y167,W167-Y167&gt;'sheet1-指标体系'!$J$24,X167-Z167&gt;'sheet1-指标体系'!$J$24),0,1)</x:f>
        <x:v>1</x:v>
      </x:c>
      <x:c r="AD167" s="74" t="n">
        <x:f>IF(AC167=0,"",AB167/AA167-1)</x:f>
        <x:v>0.002695927730218095</x:v>
      </x:c>
      <x:c r="AE167" s="66" t="n">
        <x:f>IF(AC167=0,"",IF(AD167&gt;0,1,0))</x:f>
        <x:v>1</x:v>
      </x:c>
    </x:row>
    <x:row r="168" ht="27" customHeight="1">
      <x:c r="A168" s="66"/>
      <x:c r="B168" s="66"/>
      <x:c r="C168" s="66"/>
      <x:c r="D168" s="72"/>
      <x:c r="E168" s="72"/>
      <x:c r="F168" s="72"/>
      <x:c r="G168" s="72"/>
      <x:c r="H168" s="66"/>
      <x:c r="I168" s="66"/>
      <x:c r="J168" s="73"/>
      <x:c r="K168" s="73"/>
      <x:c r="L168" s="74"/>
      <x:c r="M168" s="74"/>
      <x:c r="N168" s="75"/>
      <x:c r="O168" s="74"/>
      <x:c r="P168" s="66"/>
      <x:c r="Q168" s="66"/>
      <x:c r="R168" s="66"/>
      <x:c r="S168" s="66"/>
      <x:c r="T168" s="66" t="str">
        <x:v>SEV580</x:v>
      </x:c>
      <x:c r="U168" s="66" t="str">
        <x:v>祁腾蜂赢1号</x:v>
      </x:c>
      <x:c r="V168" s="66" t="str">
        <x:v>2025-03</x:v>
      </x:c>
      <x:c r="W168" s="72" t="n">
        <x:v>45716</x:v>
      </x:c>
      <x:c r="X168" s="72" t="n">
        <x:v>45747</x:v>
      </x:c>
      <x:c r="Y168" s="72" t="n">
        <x:f>'净值原始'!C3207</x:f>
        <x:v>45716</x:v>
      </x:c>
      <x:c r="Z168" s="72" t="n">
        <x:f>'净值原始'!C3228</x:f>
        <x:v>45747</x:v>
      </x:c>
      <x:c r="AA168" s="73" t="n">
        <x:f>'净值原始'!F3207</x:f>
        <x:v>2.12</x:v>
      </x:c>
      <x:c r="AB168" s="73" t="n">
        <x:f>'净值原始'!F3228</x:f>
        <x:v>2.1223</x:v>
      </x:c>
      <x:c r="AC168" s="66" t="n">
        <x:f>IF(OR(Y168="",Z168="",Z168&lt;=Y168,W168-Y168&gt;'sheet1-指标体系'!$J$24,X168-Z168&gt;'sheet1-指标体系'!$J$24),0,1)</x:f>
        <x:v>1</x:v>
      </x:c>
      <x:c r="AD168" s="74" t="n">
        <x:f>IF(AC168=0,"",AB168/AA168-1)</x:f>
        <x:v>0.0010849056603774443</x:v>
      </x:c>
      <x:c r="AE168" s="66" t="n">
        <x:f>IF(AC168=0,"",IF(AD168&gt;0,1,0))</x:f>
        <x:v>1</x:v>
      </x:c>
    </x:row>
    <x:row r="169" ht="27" customHeight="1">
      <x:c r="A169" s="66"/>
      <x:c r="B169" s="66"/>
      <x:c r="C169" s="66"/>
      <x:c r="D169" s="72"/>
      <x:c r="E169" s="72"/>
      <x:c r="F169" s="72"/>
      <x:c r="G169" s="72"/>
      <x:c r="H169" s="66"/>
      <x:c r="I169" s="66"/>
      <x:c r="J169" s="73"/>
      <x:c r="K169" s="73"/>
      <x:c r="L169" s="74"/>
      <x:c r="M169" s="74"/>
      <x:c r="N169" s="75"/>
      <x:c r="O169" s="74"/>
      <x:c r="P169" s="66"/>
      <x:c r="Q169" s="66"/>
      <x:c r="R169" s="66"/>
      <x:c r="S169" s="66"/>
      <x:c r="T169" s="66" t="str">
        <x:v>SEV580</x:v>
      </x:c>
      <x:c r="U169" s="66" t="str">
        <x:v>祁腾蜂赢1号</x:v>
      </x:c>
      <x:c r="V169" s="66" t="str">
        <x:v>2025-04</x:v>
      </x:c>
      <x:c r="W169" s="72" t="n">
        <x:v>45747</x:v>
      </x:c>
      <x:c r="X169" s="72" t="n">
        <x:v>45777</x:v>
      </x:c>
      <x:c r="Y169" s="72" t="n">
        <x:f>'净值原始'!C3228</x:f>
        <x:v>45747</x:v>
      </x:c>
      <x:c r="Z169" s="72" t="n">
        <x:f>'净值原始'!C3249</x:f>
        <x:v>45777</x:v>
      </x:c>
      <x:c r="AA169" s="73" t="n">
        <x:f>'净值原始'!F3228</x:f>
        <x:v>2.1223</x:v>
      </x:c>
      <x:c r="AB169" s="73" t="n">
        <x:f>'净值原始'!F3249</x:f>
        <x:v>2.1361</x:v>
      </x:c>
      <x:c r="AC169" s="66" t="n">
        <x:f>IF(OR(Y169="",Z169="",Z169&lt;=Y169,W169-Y169&gt;'sheet1-指标体系'!$J$24,X169-Z169&gt;'sheet1-指标体系'!$J$24),0,1)</x:f>
        <x:v>1</x:v>
      </x:c>
      <x:c r="AD169" s="74" t="n">
        <x:f>IF(AC169=0,"",AB169/AA169-1)</x:f>
        <x:v>0.006502379493945165</x:v>
      </x:c>
      <x:c r="AE169" s="66" t="n">
        <x:f>IF(AC169=0,"",IF(AD169&gt;0,1,0))</x:f>
        <x:v>1</x:v>
      </x:c>
    </x:row>
    <x:row r="170" ht="27" customHeight="1">
      <x:c r="A170" s="66"/>
      <x:c r="B170" s="66"/>
      <x:c r="C170" s="66"/>
      <x:c r="D170" s="72"/>
      <x:c r="E170" s="72"/>
      <x:c r="F170" s="72"/>
      <x:c r="G170" s="72"/>
      <x:c r="H170" s="66"/>
      <x:c r="I170" s="66"/>
      <x:c r="J170" s="73"/>
      <x:c r="K170" s="73"/>
      <x:c r="L170" s="74"/>
      <x:c r="M170" s="74"/>
      <x:c r="N170" s="75"/>
      <x:c r="O170" s="74"/>
      <x:c r="P170" s="66"/>
      <x:c r="Q170" s="66"/>
      <x:c r="R170" s="66"/>
      <x:c r="S170" s="66"/>
      <x:c r="T170" s="66" t="str">
        <x:v>SEV580</x:v>
      </x:c>
      <x:c r="U170" s="66" t="str">
        <x:v>祁腾蜂赢1号</x:v>
      </x:c>
      <x:c r="V170" s="66" t="str">
        <x:v>2025-05</x:v>
      </x:c>
      <x:c r="W170" s="72" t="n">
        <x:v>45777</x:v>
      </x:c>
      <x:c r="X170" s="72" t="n">
        <x:v>45808</x:v>
      </x:c>
      <x:c r="Y170" s="72" t="n">
        <x:f>'净值原始'!C3249</x:f>
        <x:v>45777</x:v>
      </x:c>
      <x:c r="Z170" s="72" t="n">
        <x:f>'净值原始'!C3268</x:f>
        <x:v>45807</x:v>
      </x:c>
      <x:c r="AA170" s="73" t="n">
        <x:f>'净值原始'!F3249</x:f>
        <x:v>2.1361</x:v>
      </x:c>
      <x:c r="AB170" s="73" t="n">
        <x:f>'净值原始'!F3268</x:f>
        <x:v>2.1338</x:v>
      </x:c>
      <x:c r="AC170" s="66" t="n">
        <x:f>IF(OR(Y170="",Z170="",Z170&lt;=Y170,W170-Y170&gt;'sheet1-指标体系'!$J$24,X170-Z170&gt;'sheet1-指标体系'!$J$24),0,1)</x:f>
        <x:v>1</x:v>
      </x:c>
      <x:c r="AD170" s="74" t="n">
        <x:f>IF(AC170=0,"",AB170/AA170-1)</x:f>
        <x:v>-0.0010767286175740187</x:v>
      </x:c>
      <x:c r="AE170" s="66" t="n">
        <x:f>IF(AC170=0,"",IF(AD170&gt;0,1,0))</x:f>
        <x:v>0</x:v>
      </x:c>
    </x:row>
    <x:row r="171" ht="27" customHeight="1">
      <x:c r="A171" s="66"/>
      <x:c r="B171" s="66"/>
      <x:c r="C171" s="66"/>
      <x:c r="D171" s="72"/>
      <x:c r="E171" s="72"/>
      <x:c r="F171" s="72"/>
      <x:c r="G171" s="72"/>
      <x:c r="H171" s="66"/>
      <x:c r="I171" s="66"/>
      <x:c r="J171" s="73"/>
      <x:c r="K171" s="73"/>
      <x:c r="L171" s="74"/>
      <x:c r="M171" s="74"/>
      <x:c r="N171" s="75"/>
      <x:c r="O171" s="74"/>
      <x:c r="P171" s="66"/>
      <x:c r="Q171" s="66"/>
      <x:c r="R171" s="66"/>
      <x:c r="S171" s="66"/>
      <x:c r="T171" s="66" t="str">
        <x:v>SEV580</x:v>
      </x:c>
      <x:c r="U171" s="66" t="str">
        <x:v>祁腾蜂赢1号</x:v>
      </x:c>
      <x:c r="V171" s="66" t="str">
        <x:v>2025-06</x:v>
      </x:c>
      <x:c r="W171" s="72" t="n">
        <x:v>45808</x:v>
      </x:c>
      <x:c r="X171" s="72" t="n">
        <x:v>45838</x:v>
      </x:c>
      <x:c r="Y171" s="72" t="n">
        <x:f>'净值原始'!C3268</x:f>
        <x:v>45807</x:v>
      </x:c>
      <x:c r="Z171" s="72" t="n">
        <x:f>'净值原始'!C3288</x:f>
        <x:v>45838</x:v>
      </x:c>
      <x:c r="AA171" s="73" t="n">
        <x:f>'净值原始'!F3268</x:f>
        <x:v>2.1338</x:v>
      </x:c>
      <x:c r="AB171" s="73" t="n">
        <x:f>'净值原始'!F3288</x:f>
        <x:v>2.1334</x:v>
      </x:c>
      <x:c r="AC171" s="66" t="n">
        <x:f>IF(OR(Y171="",Z171="",Z171&lt;=Y171,W171-Y171&gt;'sheet1-指标体系'!$J$24,X171-Z171&gt;'sheet1-指标体系'!$J$24),0,1)</x:f>
        <x:v>1</x:v>
      </x:c>
      <x:c r="AD171" s="74" t="n">
        <x:f>IF(AC171=0,"",AB171/AA171-1)</x:f>
        <x:v>-0.0001874589933451576</x:v>
      </x:c>
      <x:c r="AE171" s="66" t="n">
        <x:f>IF(AC171=0,"",IF(AD171&gt;0,1,0))</x:f>
        <x:v>0</x:v>
      </x:c>
    </x:row>
    <x:row r="172" ht="27" customHeight="1">
      <x:c r="A172" s="66"/>
      <x:c r="B172" s="66"/>
      <x:c r="C172" s="66"/>
      <x:c r="D172" s="72"/>
      <x:c r="E172" s="72"/>
      <x:c r="F172" s="72"/>
      <x:c r="G172" s="72"/>
      <x:c r="H172" s="66"/>
      <x:c r="I172" s="66"/>
      <x:c r="J172" s="73"/>
      <x:c r="K172" s="73"/>
      <x:c r="L172" s="74"/>
      <x:c r="M172" s="74"/>
      <x:c r="N172" s="75"/>
      <x:c r="O172" s="74"/>
      <x:c r="P172" s="66"/>
      <x:c r="Q172" s="66"/>
      <x:c r="R172" s="66"/>
      <x:c r="S172" s="66"/>
      <x:c r="T172" s="66" t="str">
        <x:v>SEV580</x:v>
      </x:c>
      <x:c r="U172" s="66" t="str">
        <x:v>祁腾蜂赢1号</x:v>
      </x:c>
      <x:c r="V172" s="66" t="str">
        <x:v>2025-07</x:v>
      </x:c>
      <x:c r="W172" s="72" t="n">
        <x:v>45838</x:v>
      </x:c>
      <x:c r="X172" s="72" t="n">
        <x:v>45869</x:v>
      </x:c>
      <x:c r="Y172" s="72" t="n">
        <x:f>'净值原始'!C3288</x:f>
        <x:v>45838</x:v>
      </x:c>
      <x:c r="Z172" s="72" t="n">
        <x:f>'净值原始'!C3311</x:f>
        <x:v>45869</x:v>
      </x:c>
      <x:c r="AA172" s="73" t="n">
        <x:f>'净值原始'!F3288</x:f>
        <x:v>2.1334</x:v>
      </x:c>
      <x:c r="AB172" s="73" t="n">
        <x:f>'净值原始'!F3311</x:f>
        <x:v>2.1325</x:v>
      </x:c>
      <x:c r="AC172" s="66" t="n">
        <x:f>IF(OR(Y172="",Z172="",Z172&lt;=Y172,W172-Y172&gt;'sheet1-指标体系'!$J$24,X172-Z172&gt;'sheet1-指标体系'!$J$24),0,1)</x:f>
        <x:v>1</x:v>
      </x:c>
      <x:c r="AD172" s="74" t="n">
        <x:f>IF(AC172=0,"",AB172/AA172-1)</x:f>
        <x:v>-0.0004218618168182475</x:v>
      </x:c>
      <x:c r="AE172" s="66" t="n">
        <x:f>IF(AC172=0,"",IF(AD172&gt;0,1,0))</x:f>
        <x:v>0</x:v>
      </x:c>
    </x:row>
    <x:row r="173" ht="27" customHeight="1">
      <x:c r="A173" s="66"/>
      <x:c r="B173" s="66"/>
      <x:c r="C173" s="66"/>
      <x:c r="D173" s="72"/>
      <x:c r="E173" s="72"/>
      <x:c r="F173" s="72"/>
      <x:c r="G173" s="72"/>
      <x:c r="H173" s="66"/>
      <x:c r="I173" s="66"/>
      <x:c r="J173" s="73"/>
      <x:c r="K173" s="73"/>
      <x:c r="L173" s="74"/>
      <x:c r="M173" s="74"/>
      <x:c r="N173" s="75"/>
      <x:c r="O173" s="74"/>
      <x:c r="P173" s="66"/>
      <x:c r="Q173" s="66"/>
      <x:c r="R173" s="66"/>
      <x:c r="S173" s="66"/>
      <x:c r="T173" s="66" t="str">
        <x:v>SEV580</x:v>
      </x:c>
      <x:c r="U173" s="66" t="str">
        <x:v>祁腾蜂赢1号</x:v>
      </x:c>
      <x:c r="V173" s="66" t="str">
        <x:v>2025-08</x:v>
      </x:c>
      <x:c r="W173" s="72" t="n">
        <x:v>45869</x:v>
      </x:c>
      <x:c r="X173" s="72" t="n">
        <x:v>45900</x:v>
      </x:c>
      <x:c r="Y173" s="72" t="n">
        <x:f>'净值原始'!C3311</x:f>
        <x:v>45869</x:v>
      </x:c>
      <x:c r="Z173" s="72" t="n">
        <x:f>'净值原始'!C3332</x:f>
        <x:v>45898</x:v>
      </x:c>
      <x:c r="AA173" s="73" t="n">
        <x:f>'净值原始'!F3311</x:f>
        <x:v>2.1325</x:v>
      </x:c>
      <x:c r="AB173" s="73" t="n">
        <x:f>'净值原始'!F3332</x:f>
        <x:v>2.146</x:v>
      </x:c>
      <x:c r="AC173" s="66" t="n">
        <x:f>IF(OR(Y173="",Z173="",Z173&lt;=Y173,W173-Y173&gt;'sheet1-指标体系'!$J$24,X173-Z173&gt;'sheet1-指标体系'!$J$24),0,1)</x:f>
        <x:v>1</x:v>
      </x:c>
      <x:c r="AD173" s="74" t="n">
        <x:f>IF(AC173=0,"",AB173/AA173-1)</x:f>
        <x:v>0.0063305978898007265</x:v>
      </x:c>
      <x:c r="AE173" s="66" t="n">
        <x:f>IF(AC173=0,"",IF(AD173&gt;0,1,0))</x:f>
        <x:v>1</x:v>
      </x:c>
    </x:row>
    <x:row r="174" ht="27" customHeight="1">
      <x:c r="A174" s="66"/>
      <x:c r="B174" s="66"/>
      <x:c r="C174" s="66"/>
      <x:c r="D174" s="72"/>
      <x:c r="E174" s="72"/>
      <x:c r="F174" s="72"/>
      <x:c r="G174" s="72"/>
      <x:c r="H174" s="66"/>
      <x:c r="I174" s="66"/>
      <x:c r="J174" s="73"/>
      <x:c r="K174" s="73"/>
      <x:c r="L174" s="74"/>
      <x:c r="M174" s="74"/>
      <x:c r="N174" s="75"/>
      <x:c r="O174" s="74"/>
      <x:c r="P174" s="66"/>
      <x:c r="Q174" s="66"/>
      <x:c r="R174" s="66"/>
      <x:c r="S174" s="66"/>
      <x:c r="T174" s="66" t="str">
        <x:v>SEV580</x:v>
      </x:c>
      <x:c r="U174" s="66" t="str">
        <x:v>祁腾蜂赢1号</x:v>
      </x:c>
      <x:c r="V174" s="66" t="str">
        <x:v>2025-09</x:v>
      </x:c>
      <x:c r="W174" s="72" t="n">
        <x:v>45900</x:v>
      </x:c>
      <x:c r="X174" s="72" t="n">
        <x:v>45930</x:v>
      </x:c>
      <x:c r="Y174" s="72" t="n">
        <x:f>'净值原始'!C3332</x:f>
        <x:v>45898</x:v>
      </x:c>
      <x:c r="Z174" s="72" t="n">
        <x:f>'净值原始'!C3354</x:f>
        <x:v>45930</x:v>
      </x:c>
      <x:c r="AA174" s="73" t="n">
        <x:f>'净值原始'!F3332</x:f>
        <x:v>2.146</x:v>
      </x:c>
      <x:c r="AB174" s="73" t="n">
        <x:f>'净值原始'!F3354</x:f>
        <x:v>2.1664</x:v>
      </x:c>
      <x:c r="AC174" s="66" t="n">
        <x:f>IF(OR(Y174="",Z174="",Z174&lt;=Y174,W174-Y174&gt;'sheet1-指标体系'!$J$24,X174-Z174&gt;'sheet1-指标体系'!$J$24),0,1)</x:f>
        <x:v>1</x:v>
      </x:c>
      <x:c r="AD174" s="74" t="n">
        <x:f>IF(AC174=0,"",AB174/AA174-1)</x:f>
        <x:v>0.00950605778191993</x:v>
      </x:c>
      <x:c r="AE174" s="66" t="n">
        <x:f>IF(AC174=0,"",IF(AD174&gt;0,1,0))</x:f>
        <x:v>1</x:v>
      </x:c>
    </x:row>
    <x:row r="175" ht="27" customHeight="1">
      <x:c r="A175" s="66"/>
      <x:c r="B175" s="66"/>
      <x:c r="C175" s="66"/>
      <x:c r="D175" s="72"/>
      <x:c r="E175" s="72"/>
      <x:c r="F175" s="72"/>
      <x:c r="G175" s="72"/>
      <x:c r="H175" s="66"/>
      <x:c r="I175" s="66"/>
      <x:c r="J175" s="73"/>
      <x:c r="K175" s="73"/>
      <x:c r="L175" s="74"/>
      <x:c r="M175" s="74"/>
      <x:c r="N175" s="75"/>
      <x:c r="O175" s="74"/>
      <x:c r="P175" s="66"/>
      <x:c r="Q175" s="66"/>
      <x:c r="R175" s="66"/>
      <x:c r="S175" s="66"/>
      <x:c r="T175" s="66" t="str">
        <x:v>SEV580</x:v>
      </x:c>
      <x:c r="U175" s="66" t="str">
        <x:v>祁腾蜂赢1号</x:v>
      </x:c>
      <x:c r="V175" s="66" t="str">
        <x:v>2025-10</x:v>
      </x:c>
      <x:c r="W175" s="72" t="n">
        <x:v>45930</x:v>
      </x:c>
      <x:c r="X175" s="72" t="n">
        <x:v>45961</x:v>
      </x:c>
      <x:c r="Y175" s="72" t="n">
        <x:f>'净值原始'!C3354</x:f>
        <x:v>45930</x:v>
      </x:c>
      <x:c r="Z175" s="72" t="n">
        <x:f>'净值原始'!C3371</x:f>
        <x:v>45961</x:v>
      </x:c>
      <x:c r="AA175" s="73" t="n">
        <x:f>'净值原始'!F3354</x:f>
        <x:v>2.1664</x:v>
      </x:c>
      <x:c r="AB175" s="73" t="n">
        <x:f>'净值原始'!F3371</x:f>
        <x:v>2.1746</x:v>
      </x:c>
      <x:c r="AC175" s="66" t="n">
        <x:f>IF(OR(Y175="",Z175="",Z175&lt;=Y175,W175-Y175&gt;'sheet1-指标体系'!$J$24,X175-Z175&gt;'sheet1-指标体系'!$J$24),0,1)</x:f>
        <x:v>1</x:v>
      </x:c>
      <x:c r="AD175" s="74" t="n">
        <x:f>IF(AC175=0,"",AB175/AA175-1)</x:f>
        <x:v>0.00378508124076804</x:v>
      </x:c>
      <x:c r="AE175" s="66" t="n">
        <x:f>IF(AC175=0,"",IF(AD175&gt;0,1,0))</x:f>
        <x:v>1</x:v>
      </x:c>
    </x:row>
    <x:row r="176" ht="27" customHeight="1">
      <x:c r="A176" s="66"/>
      <x:c r="B176" s="66"/>
      <x:c r="C176" s="66"/>
      <x:c r="D176" s="72"/>
      <x:c r="E176" s="72"/>
      <x:c r="F176" s="72"/>
      <x:c r="G176" s="72"/>
      <x:c r="H176" s="66"/>
      <x:c r="I176" s="66"/>
      <x:c r="J176" s="73"/>
      <x:c r="K176" s="73"/>
      <x:c r="L176" s="74"/>
      <x:c r="M176" s="74"/>
      <x:c r="N176" s="75"/>
      <x:c r="O176" s="74"/>
      <x:c r="P176" s="66"/>
      <x:c r="Q176" s="66"/>
      <x:c r="R176" s="66"/>
      <x:c r="S176" s="66"/>
      <x:c r="T176" s="66" t="str">
        <x:v>SEV580</x:v>
      </x:c>
      <x:c r="U176" s="66" t="str">
        <x:v>祁腾蜂赢1号</x:v>
      </x:c>
      <x:c r="V176" s="66" t="str">
        <x:v>2025-11</x:v>
      </x:c>
      <x:c r="W176" s="72" t="n">
        <x:v>45961</x:v>
      </x:c>
      <x:c r="X176" s="72" t="n">
        <x:v>45991</x:v>
      </x:c>
      <x:c r="Y176" s="72" t="n">
        <x:f>'净值原始'!C3371</x:f>
        <x:v>45961</x:v>
      </x:c>
      <x:c r="Z176" s="72" t="n">
        <x:f>'净值原始'!C3391</x:f>
        <x:v>45989</x:v>
      </x:c>
      <x:c r="AA176" s="73" t="n">
        <x:f>'净值原始'!F3371</x:f>
        <x:v>2.1746</x:v>
      </x:c>
      <x:c r="AB176" s="73" t="n">
        <x:f>'净值原始'!F3391</x:f>
        <x:v>2.1797</x:v>
      </x:c>
      <x:c r="AC176" s="66" t="n">
        <x:f>IF(OR(Y176="",Z176="",Z176&lt;=Y176,W176-Y176&gt;'sheet1-指标体系'!$J$24,X176-Z176&gt;'sheet1-指标体系'!$J$24),0,1)</x:f>
        <x:v>1</x:v>
      </x:c>
      <x:c r="AD176" s="74" t="n">
        <x:f>IF(AC176=0,"",AB176/AA176-1)</x:f>
        <x:v>0.0023452588981882627</x:v>
      </x:c>
      <x:c r="AE176" s="66" t="n">
        <x:f>IF(AC176=0,"",IF(AD176&gt;0,1,0))</x:f>
        <x:v>1</x:v>
      </x:c>
    </x:row>
    <x:row r="177" ht="27" customHeight="1">
      <x:c r="A177" s="66"/>
      <x:c r="B177" s="66"/>
      <x:c r="C177" s="66"/>
      <x:c r="D177" s="72"/>
      <x:c r="E177" s="72"/>
      <x:c r="F177" s="72"/>
      <x:c r="G177" s="72"/>
      <x:c r="H177" s="66"/>
      <x:c r="I177" s="66"/>
      <x:c r="J177" s="73"/>
      <x:c r="K177" s="73"/>
      <x:c r="L177" s="74"/>
      <x:c r="M177" s="74"/>
      <x:c r="N177" s="75"/>
      <x:c r="O177" s="74"/>
      <x:c r="P177" s="66"/>
      <x:c r="Q177" s="66"/>
      <x:c r="R177" s="66"/>
      <x:c r="S177" s="66"/>
      <x:c r="T177" s="66" t="str">
        <x:v>SEV580</x:v>
      </x:c>
      <x:c r="U177" s="66" t="str">
        <x:v>祁腾蜂赢1号</x:v>
      </x:c>
      <x:c r="V177" s="66" t="str">
        <x:v>2025-12</x:v>
      </x:c>
      <x:c r="W177" s="72" t="n">
        <x:v>45991</x:v>
      </x:c>
      <x:c r="X177" s="72" t="n">
        <x:v>46022</x:v>
      </x:c>
      <x:c r="Y177" s="72" t="n">
        <x:f>'净值原始'!C3391</x:f>
        <x:v>45989</x:v>
      </x:c>
      <x:c r="Z177" s="72" t="n">
        <x:f>'净值原始'!C3414</x:f>
        <x:v>46022</x:v>
      </x:c>
      <x:c r="AA177" s="73" t="n">
        <x:f>'净值原始'!F3391</x:f>
        <x:v>2.1797</x:v>
      </x:c>
      <x:c r="AB177" s="73" t="n">
        <x:f>'净值原始'!F3414</x:f>
        <x:v>2.1874</x:v>
      </x:c>
      <x:c r="AC177" s="66" t="n">
        <x:f>IF(OR(Y177="",Z177="",Z177&lt;=Y177,W177-Y177&gt;'sheet1-指标体系'!$J$24,X177-Z177&gt;'sheet1-指标体系'!$J$24),0,1)</x:f>
        <x:v>1</x:v>
      </x:c>
      <x:c r="AD177" s="74" t="n">
        <x:f>IF(AC177=0,"",AB177/AA177-1)</x:f>
        <x:v>0.0035325962288388357</x:v>
      </x:c>
      <x:c r="AE177" s="66" t="n">
        <x:f>IF(AC177=0,"",IF(AD177&gt;0,1,0))</x:f>
        <x:v>1</x:v>
      </x:c>
    </x:row>
    <x:row r="178" ht="27" customHeight="1">
      <x:c r="A178" s="66"/>
      <x:c r="B178" s="66"/>
      <x:c r="C178" s="66"/>
      <x:c r="D178" s="72"/>
      <x:c r="E178" s="72"/>
      <x:c r="F178" s="72"/>
      <x:c r="G178" s="72"/>
      <x:c r="H178" s="66"/>
      <x:c r="I178" s="66"/>
      <x:c r="J178" s="73"/>
      <x:c r="K178" s="73"/>
      <x:c r="L178" s="74"/>
      <x:c r="M178" s="74"/>
      <x:c r="N178" s="75"/>
      <x:c r="O178" s="74"/>
      <x:c r="P178" s="66"/>
      <x:c r="Q178" s="66"/>
      <x:c r="R178" s="66"/>
      <x:c r="S178" s="66"/>
      <x:c r="T178" s="66" t="str">
        <x:v>SEV580</x:v>
      </x:c>
      <x:c r="U178" s="66" t="str">
        <x:v>祁腾蜂赢1号</x:v>
      </x:c>
      <x:c r="V178" s="66" t="str">
        <x:v>2026-01</x:v>
      </x:c>
      <x:c r="W178" s="72" t="n">
        <x:v>46022</x:v>
      </x:c>
      <x:c r="X178" s="72" t="n">
        <x:v>46053</x:v>
      </x:c>
      <x:c r="Y178" s="72" t="n">
        <x:f>'净值原始'!C3414</x:f>
        <x:v>46022</x:v>
      </x:c>
      <x:c r="Z178" s="72" t="n">
        <x:f>'净值原始'!C3434</x:f>
        <x:v>46052</x:v>
      </x:c>
      <x:c r="AA178" s="73" t="n">
        <x:f>'净值原始'!F3414</x:f>
        <x:v>2.1874</x:v>
      </x:c>
      <x:c r="AB178" s="73" t="n">
        <x:f>'净值原始'!F3434</x:f>
        <x:v>2.2857</x:v>
      </x:c>
      <x:c r="AC178" s="66" t="n">
        <x:f>IF(OR(Y178="",Z178="",Z178&lt;=Y178,W178-Y178&gt;'sheet1-指标体系'!$J$24,X178-Z178&gt;'sheet1-指标体系'!$J$24),0,1)</x:f>
        <x:v>1</x:v>
      </x:c>
      <x:c r="AD178" s="74" t="n">
        <x:f>IF(AC178=0,"",AB178/AA178-1)</x:f>
        <x:v>0.04493919722044448</x:v>
      </x:c>
      <x:c r="AE178" s="66" t="n">
        <x:f>IF(AC178=0,"",IF(AD178&gt;0,1,0))</x:f>
        <x:v>1</x:v>
      </x:c>
    </x:row>
    <x:row r="179" ht="27" customHeight="1">
      <x:c r="A179" s="66"/>
      <x:c r="B179" s="66"/>
      <x:c r="C179" s="66"/>
      <x:c r="D179" s="72"/>
      <x:c r="E179" s="72"/>
      <x:c r="F179" s="72"/>
      <x:c r="G179" s="72"/>
      <x:c r="H179" s="66"/>
      <x:c r="I179" s="66"/>
      <x:c r="J179" s="73"/>
      <x:c r="K179" s="73"/>
      <x:c r="L179" s="74"/>
      <x:c r="M179" s="74"/>
      <x:c r="N179" s="75"/>
      <x:c r="O179" s="74"/>
      <x:c r="P179" s="66"/>
      <x:c r="Q179" s="66"/>
      <x:c r="R179" s="66"/>
      <x:c r="S179" s="66"/>
      <x:c r="T179" s="66" t="str">
        <x:v>SEV580</x:v>
      </x:c>
      <x:c r="U179" s="66" t="str">
        <x:v>祁腾蜂赢1号</x:v>
      </x:c>
      <x:c r="V179" s="66" t="str">
        <x:v>2026-02</x:v>
      </x:c>
      <x:c r="W179" s="72" t="n">
        <x:v>46053</x:v>
      </x:c>
      <x:c r="X179" s="72" t="n">
        <x:v>46081</x:v>
      </x:c>
      <x:c r="Y179" s="72" t="n">
        <x:f>'净值原始'!C3434</x:f>
        <x:v>46052</x:v>
      </x:c>
      <x:c r="Z179" s="72" t="n">
        <x:f>'净值原始'!C3448</x:f>
        <x:v>46080</x:v>
      </x:c>
      <x:c r="AA179" s="73" t="n">
        <x:f>'净值原始'!F3434</x:f>
        <x:v>2.2857</x:v>
      </x:c>
      <x:c r="AB179" s="73" t="n">
        <x:f>'净值原始'!F3448</x:f>
        <x:v>2.3633</x:v>
      </x:c>
      <x:c r="AC179" s="66" t="n">
        <x:f>IF(OR(Y179="",Z179="",Z179&lt;=Y179,W179-Y179&gt;'sheet1-指标体系'!$J$24,X179-Z179&gt;'sheet1-指标体系'!$J$24),0,1)</x:f>
        <x:v>1</x:v>
      </x:c>
      <x:c r="AD179" s="74" t="n">
        <x:f>IF(AC179=0,"",AB179/AA179-1)</x:f>
        <x:v>0.033950212188826434</x:v>
      </x:c>
      <x:c r="AE179" s="66" t="n">
        <x:f>IF(AC179=0,"",IF(AD179&gt;0,1,0))</x:f>
        <x:v>1</x:v>
      </x:c>
    </x:row>
    <x:row r="180" ht="27" customHeight="1">
      <x:c r="A180" s="66"/>
      <x:c r="B180" s="66"/>
      <x:c r="C180" s="66"/>
      <x:c r="D180" s="72"/>
      <x:c r="E180" s="72"/>
      <x:c r="F180" s="72"/>
      <x:c r="G180" s="72"/>
      <x:c r="H180" s="66"/>
      <x:c r="I180" s="66"/>
      <x:c r="J180" s="73"/>
      <x:c r="K180" s="73"/>
      <x:c r="L180" s="74"/>
      <x:c r="M180" s="74"/>
      <x:c r="N180" s="75"/>
      <x:c r="O180" s="74"/>
      <x:c r="P180" s="66"/>
      <x:c r="Q180" s="66"/>
      <x:c r="R180" s="66"/>
      <x:c r="S180" s="66"/>
      <x:c r="T180" s="66" t="str">
        <x:v>SEV580</x:v>
      </x:c>
      <x:c r="U180" s="66" t="str">
        <x:v>祁腾蜂赢1号</x:v>
      </x:c>
      <x:c r="V180" s="66" t="str">
        <x:v>2026-03</x:v>
      </x:c>
      <x:c r="W180" s="72" t="n">
        <x:v>46081</x:v>
      </x:c>
      <x:c r="X180" s="72" t="n">
        <x:v>46112</x:v>
      </x:c>
      <x:c r="Y180" s="72" t="n">
        <x:f>'净值原始'!C3448</x:f>
        <x:v>46080</x:v>
      </x:c>
      <x:c r="Z180" s="72" t="n">
        <x:f>'净值原始'!C3470</x:f>
        <x:v>46112</x:v>
      </x:c>
      <x:c r="AA180" s="73" t="n">
        <x:f>'净值原始'!F3448</x:f>
        <x:v>2.3633</x:v>
      </x:c>
      <x:c r="AB180" s="73" t="n">
        <x:f>'净值原始'!F3470</x:f>
        <x:v>2.4251</x:v>
      </x:c>
      <x:c r="AC180" s="66" t="n">
        <x:f>IF(OR(Y180="",Z180="",Z180&lt;=Y180,W180-Y180&gt;'sheet1-指标体系'!$J$24,X180-Z180&gt;'sheet1-指标体系'!$J$24),0,1)</x:f>
        <x:v>1</x:v>
      </x:c>
      <x:c r="AD180" s="74" t="n">
        <x:f>IF(AC180=0,"",AB180/AA180-1)</x:f>
        <x:v>0.026149875174543924</x:v>
      </x:c>
      <x:c r="AE180" s="66" t="n">
        <x:f>IF(AC180=0,"",IF(AD180&gt;0,1,0))</x:f>
        <x:v>1</x:v>
      </x:c>
    </x:row>
    <x:row r="181" ht="27" customHeight="1">
      <x:c r="A181" s="66"/>
      <x:c r="B181" s="66"/>
      <x:c r="C181" s="66"/>
      <x:c r="D181" s="72"/>
      <x:c r="E181" s="72"/>
      <x:c r="F181" s="72"/>
      <x:c r="G181" s="72"/>
      <x:c r="H181" s="66"/>
      <x:c r="I181" s="66"/>
      <x:c r="J181" s="73"/>
      <x:c r="K181" s="73"/>
      <x:c r="L181" s="74"/>
      <x:c r="M181" s="74"/>
      <x:c r="N181" s="75"/>
      <x:c r="O181" s="74"/>
      <x:c r="P181" s="66"/>
      <x:c r="Q181" s="66"/>
      <x:c r="R181" s="66"/>
      <x:c r="S181" s="66"/>
      <x:c r="T181" s="66" t="str">
        <x:v>SEV580</x:v>
      </x:c>
      <x:c r="U181" s="66" t="str">
        <x:v>祁腾蜂赢1号</x:v>
      </x:c>
      <x:c r="V181" s="66" t="str">
        <x:v>2026-04</x:v>
      </x:c>
      <x:c r="W181" s="72" t="n">
        <x:v>46112</x:v>
      </x:c>
      <x:c r="X181" s="72" t="n">
        <x:v>46142</x:v>
      </x:c>
      <x:c r="Y181" s="72" t="n">
        <x:f>'净值原始'!C3470</x:f>
        <x:v>46112</x:v>
      </x:c>
      <x:c r="Z181" s="72" t="n">
        <x:f>'净值原始'!C3491</x:f>
        <x:v>46142</x:v>
      </x:c>
      <x:c r="AA181" s="73" t="n">
        <x:f>'净值原始'!F3470</x:f>
        <x:v>2.4251</x:v>
      </x:c>
      <x:c r="AB181" s="73" t="n">
        <x:f>'净值原始'!F3491</x:f>
        <x:v>2.4221</x:v>
      </x:c>
      <x:c r="AC181" s="66" t="n">
        <x:f>IF(OR(Y181="",Z181="",Z181&lt;=Y181,W181-Y181&gt;'sheet1-指标体系'!$J$24,X181-Z181&gt;'sheet1-指标体系'!$J$24),0,1)</x:f>
        <x:v>1</x:v>
      </x:c>
      <x:c r="AD181" s="74" t="n">
        <x:f>IF(AC181=0,"",AB181/AA181-1)</x:f>
        <x:v>-0.001237062389179866</x:v>
      </x:c>
      <x:c r="AE181" s="66" t="n">
        <x:f>IF(AC181=0,"",IF(AD181&gt;0,1,0))</x:f>
        <x:v>0</x:v>
      </x:c>
    </x:row>
    <x:row r="182" ht="27" customHeight="1">
      <x:c r="A182" s="66"/>
      <x:c r="B182" s="66"/>
      <x:c r="C182" s="66"/>
      <x:c r="D182" s="72"/>
      <x:c r="E182" s="72"/>
      <x:c r="F182" s="72"/>
      <x:c r="G182" s="72"/>
      <x:c r="H182" s="66"/>
      <x:c r="I182" s="66"/>
      <x:c r="J182" s="73"/>
      <x:c r="K182" s="73"/>
      <x:c r="L182" s="74"/>
      <x:c r="M182" s="74"/>
      <x:c r="N182" s="75"/>
      <x:c r="O182" s="74"/>
      <x:c r="P182" s="66"/>
      <x:c r="Q182" s="66"/>
      <x:c r="R182" s="66"/>
      <x:c r="S182" s="66"/>
      <x:c r="T182" s="66" t="str">
        <x:v>SEV580</x:v>
      </x:c>
      <x:c r="U182" s="66" t="str">
        <x:v>祁腾蜂赢1号</x:v>
      </x:c>
      <x:c r="V182" s="66" t="str">
        <x:v>2026-05</x:v>
      </x:c>
      <x:c r="W182" s="72" t="n">
        <x:v>46142</x:v>
      </x:c>
      <x:c r="X182" s="72" t="n">
        <x:v>46173</x:v>
      </x:c>
      <x:c r="Y182" s="72" t="n">
        <x:f>'净值原始'!C3491</x:f>
        <x:v>46142</x:v>
      </x:c>
      <x:c r="Z182" s="72" t="n">
        <x:f>'净值原始'!C3509</x:f>
        <x:v>46171</x:v>
      </x:c>
      <x:c r="AA182" s="73" t="n">
        <x:f>'净值原始'!F3491</x:f>
        <x:v>2.4221</x:v>
      </x:c>
      <x:c r="AB182" s="73" t="n">
        <x:f>'净值原始'!F3509</x:f>
        <x:v>2.424</x:v>
      </x:c>
      <x:c r="AC182" s="66" t="n">
        <x:f>IF(OR(Y182="",Z182="",Z182&lt;=Y182,W182-Y182&gt;'sheet1-指标体系'!$J$24,X182-Z182&gt;'sheet1-指标体系'!$J$24),0,1)</x:f>
        <x:v>1</x:v>
      </x:c>
      <x:c r="AD182" s="74" t="n">
        <x:f>IF(AC182=0,"",AB182/AA182-1)</x:f>
        <x:v>0.0007844432517236655</x:v>
      </x:c>
      <x:c r="AE182" s="66" t="n">
        <x:f>IF(AC182=0,"",IF(AD182&gt;0,1,0))</x:f>
        <x:v>1</x:v>
      </x:c>
    </x:row>
    <x:row r="183" ht="27" customHeight="1">
      <x:c r="A183" s="66"/>
      <x:c r="B183" s="66"/>
      <x:c r="C183" s="66"/>
      <x:c r="D183" s="72"/>
      <x:c r="E183" s="72"/>
      <x:c r="F183" s="72"/>
      <x:c r="G183" s="72"/>
      <x:c r="H183" s="66"/>
      <x:c r="I183" s="66"/>
      <x:c r="J183" s="73"/>
      <x:c r="K183" s="73"/>
      <x:c r="L183" s="74"/>
      <x:c r="M183" s="74"/>
      <x:c r="N183" s="75"/>
      <x:c r="O183" s="74"/>
      <x:c r="P183" s="66"/>
      <x:c r="Q183" s="66"/>
      <x:c r="R183" s="66"/>
      <x:c r="S183" s="66"/>
      <x:c r="T183" s="66" t="str">
        <x:v>SEV580</x:v>
      </x:c>
      <x:c r="U183" s="66" t="str">
        <x:v>祁腾蜂赢1号</x:v>
      </x:c>
      <x:c r="V183" s="66" t="str">
        <x:v>2026-06</x:v>
      </x:c>
      <x:c r="W183" s="72" t="n">
        <x:v>46173</x:v>
      </x:c>
      <x:c r="X183" s="72" t="n">
        <x:v>46203</x:v>
      </x:c>
      <x:c r="Y183" s="72" t="n">
        <x:f>'净值原始'!C3509</x:f>
        <x:v>46171</x:v>
      </x:c>
      <x:c r="Z183" s="72" t="n">
        <x:f>'净值原始'!C3530</x:f>
        <x:v>46203</x:v>
      </x:c>
      <x:c r="AA183" s="73" t="n">
        <x:f>'净值原始'!F3509</x:f>
        <x:v>2.424</x:v>
      </x:c>
      <x:c r="AB183" s="73" t="n">
        <x:f>'净值原始'!F3530</x:f>
        <x:v>2.4366</x:v>
      </x:c>
      <x:c r="AC183" s="66" t="n">
        <x:f>IF(OR(Y183="",Z183="",Z183&lt;=Y183,W183-Y183&gt;'sheet1-指标体系'!$J$24,X183-Z183&gt;'sheet1-指标体系'!$J$24),0,1)</x:f>
        <x:v>1</x:v>
      </x:c>
      <x:c r="AD183" s="74" t="n">
        <x:f>IF(AC183=0,"",AB183/AA183-1)</x:f>
        <x:v>0.005198019801980092</x:v>
      </x:c>
      <x:c r="AE183" s="66" t="n">
        <x:f>IF(AC183=0,"",IF(AD183&gt;0,1,0))</x:f>
        <x:v>1</x:v>
      </x:c>
    </x:row>
    <x:row r="184" ht="27" customHeight="1">
      <x:c r="A184" s="66"/>
      <x:c r="B184" s="66"/>
      <x:c r="C184" s="66"/>
      <x:c r="D184" s="72"/>
      <x:c r="E184" s="72"/>
      <x:c r="F184" s="72"/>
      <x:c r="G184" s="72"/>
      <x:c r="H184" s="66"/>
      <x:c r="I184" s="66"/>
      <x:c r="J184" s="73"/>
      <x:c r="K184" s="73"/>
      <x:c r="L184" s="74"/>
      <x:c r="M184" s="74"/>
      <x:c r="N184" s="75"/>
      <x:c r="O184" s="74"/>
      <x:c r="P184" s="66"/>
      <x:c r="Q184" s="66"/>
      <x:c r="R184" s="66"/>
      <x:c r="S184" s="66"/>
      <x:c r="T184" s="66" t="str">
        <x:v>SEV580</x:v>
      </x:c>
      <x:c r="U184" s="66" t="str">
        <x:v>祁腾蜂赢1号</x:v>
      </x:c>
      <x:c r="V184" s="66" t="str">
        <x:v>2026-07</x:v>
      </x:c>
      <x:c r="W184" s="72" t="n">
        <x:v>46203</x:v>
      </x:c>
      <x:c r="X184" s="72" t="n">
        <x:v>46234</x:v>
      </x:c>
      <x:c r="Y184" s="72" t="n">
        <x:f>'净值原始'!C3530</x:f>
        <x:v>46203</x:v>
      </x:c>
      <x:c r="Z184" s="72" t="n">
        <x:f>'净值原始'!C3553</x:f>
        <x:v>46234</x:v>
      </x:c>
      <x:c r="AA184" s="73" t="n">
        <x:f>'净值原始'!F3530</x:f>
        <x:v>2.4366</x:v>
      </x:c>
      <x:c r="AB184" s="73" t="n">
        <x:f>'净值原始'!F3553</x:f>
        <x:v>2.4531</x:v>
      </x:c>
      <x:c r="AC184" s="66" t="n">
        <x:f>IF(OR(Y184="",Z184="",Z184&lt;=Y184,W184-Y184&gt;'sheet1-指标体系'!$J$24,X184-Z184&gt;'sheet1-指标体系'!$J$24),0,1)</x:f>
        <x:v>1</x:v>
      </x:c>
      <x:c r="AD184" s="74" t="n">
        <x:f>IF(AC184=0,"",AB184/AA184-1)</x:f>
        <x:v>0.006771731100714273</x:v>
      </x:c>
      <x:c r="AE184" s="66" t="n">
        <x:f>IF(AC184=0,"",IF(AD184&gt;0,1,0))</x:f>
        <x:v>1</x:v>
      </x:c>
    </x:row>
    <x:row r="185" ht="27" customHeight="1">
      <x:c r="A185" s="66"/>
      <x:c r="B185" s="66"/>
      <x:c r="C185" s="66"/>
      <x:c r="D185" s="72"/>
      <x:c r="E185" s="72"/>
      <x:c r="F185" s="72"/>
      <x:c r="G185" s="72"/>
      <x:c r="H185" s="66"/>
      <x:c r="I185" s="66"/>
      <x:c r="J185" s="73"/>
      <x:c r="K185" s="73"/>
      <x:c r="L185" s="74"/>
      <x:c r="M185" s="74"/>
      <x:c r="N185" s="75"/>
      <x:c r="O185" s="74"/>
      <x:c r="P185" s="66"/>
      <x:c r="Q185" s="66"/>
      <x:c r="R185" s="66"/>
      <x:c r="S185" s="66"/>
      <x:c r="T185" s="66" t="str">
        <x:v>SEV580</x:v>
      </x:c>
      <x:c r="U185" s="66" t="str">
        <x:v>祁腾蜂赢1号</x:v>
      </x:c>
      <x:c r="V185" s="66" t="str">
        <x:v>2026-08</x:v>
      </x:c>
      <x:c r="W185" s="72" t="n">
        <x:v>46234</x:v>
      </x:c>
      <x:c r="X185" s="72" t="n">
        <x:v>46265</x:v>
      </x:c>
      <x:c r="Y185" s="72" t="n">
        <x:f>'净值原始'!C3553</x:f>
        <x:v>46234</x:v>
      </x:c>
      <x:c r="Z185" s="72" t="n">
        <x:f>'净值原始'!C3574</x:f>
        <x:v>46265</x:v>
      </x:c>
      <x:c r="AA185" s="73" t="n">
        <x:f>'净值原始'!F3553</x:f>
        <x:v>2.4531</x:v>
      </x:c>
      <x:c r="AB185" s="73" t="n">
        <x:f>'净值原始'!F3574</x:f>
        <x:v>2.448</x:v>
      </x:c>
      <x:c r="AC185" s="66" t="n">
        <x:f>IF(OR(Y185="",Z185="",Z185&lt;=Y185,W185-Y185&gt;'sheet1-指标体系'!$J$24,X185-Z185&gt;'sheet1-指标体系'!$J$24),0,1)</x:f>
        <x:v>1</x:v>
      </x:c>
      <x:c r="AD185" s="74" t="n">
        <x:f>IF(AC185=0,"",AB185/AA185-1)</x:f>
        <x:v>-0.0020790020790021346</x:v>
      </x:c>
      <x:c r="AE185" s="66" t="n">
        <x:f>IF(AC185=0,"",IF(AD185&gt;0,1,0))</x:f>
        <x:v>0</x:v>
      </x:c>
    </x:row>
    <x:row r="186" ht="27" customHeight="1">
      <x:c r="A186" s="66"/>
      <x:c r="B186" s="66"/>
      <x:c r="C186" s="66"/>
      <x:c r="D186" s="72"/>
      <x:c r="E186" s="72"/>
      <x:c r="F186" s="72"/>
      <x:c r="G186" s="72"/>
      <x:c r="H186" s="66"/>
      <x:c r="I186" s="66"/>
      <x:c r="J186" s="73"/>
      <x:c r="K186" s="73"/>
      <x:c r="L186" s="74"/>
      <x:c r="M186" s="74"/>
      <x:c r="N186" s="75"/>
      <x:c r="O186" s="74"/>
      <x:c r="P186" s="66"/>
      <x:c r="Q186" s="66"/>
      <x:c r="R186" s="66"/>
      <x:c r="S186" s="66"/>
      <x:c r="T186" s="66" t="str">
        <x:v>SEV580</x:v>
      </x:c>
      <x:c r="U186" s="66" t="str">
        <x:v>祁腾蜂赢1号</x:v>
      </x:c>
      <x:c r="V186" s="66" t="str">
        <x:v>2026-09</x:v>
      </x:c>
      <x:c r="W186" s="72" t="n">
        <x:v>46265</x:v>
      </x:c>
      <x:c r="X186" s="72" t="n">
        <x:v>46275</x:v>
      </x:c>
      <x:c r="Y186" s="72" t="n">
        <x:f>'净值原始'!C3574</x:f>
        <x:v>46265</x:v>
      </x:c>
      <x:c r="Z186" s="72" t="n">
        <x:f>'净值原始'!C3582</x:f>
        <x:v>46275</x:v>
      </x:c>
      <x:c r="AA186" s="73" t="n">
        <x:f>'净值原始'!F3574</x:f>
        <x:v>2.448</x:v>
      </x:c>
      <x:c r="AB186" s="73" t="n">
        <x:f>'净值原始'!F3582</x:f>
        <x:v>2.4475</x:v>
      </x:c>
      <x:c r="AC186" s="66" t="n">
        <x:f>IF(OR(Y186="",Z186="",Z186&lt;=Y186,W186-Y186&gt;'sheet1-指标体系'!$J$24,X186-Z186&gt;'sheet1-指标体系'!$J$24),0,1)</x:f>
        <x:v>1</x:v>
      </x:c>
      <x:c r="AD186" s="74" t="n">
        <x:f>IF(AC186=0,"",AB186/AA186-1)</x:f>
        <x:v>-0.0002042483660131822</x:v>
      </x:c>
      <x:c r="AE186" s="66" t="n">
        <x:f>IF(AC186=0,"",IF(AD186&gt;0,1,0))</x:f>
        <x:v>0</x:v>
      </x:c>
    </x:row>
    <x:row r="187" ht="27" customHeight="1">
      <x:c r="A187" s="66"/>
      <x:c r="B187" s="66"/>
      <x:c r="C187" s="66"/>
      <x:c r="D187" s="72"/>
      <x:c r="E187" s="72"/>
      <x:c r="F187" s="72"/>
      <x:c r="G187" s="72"/>
      <x:c r="H187" s="66"/>
      <x:c r="I187" s="66"/>
      <x:c r="J187" s="73"/>
      <x:c r="K187" s="73"/>
      <x:c r="L187" s="74"/>
      <x:c r="M187" s="74"/>
      <x:c r="N187" s="75"/>
      <x:c r="O187" s="74"/>
      <x:c r="P187" s="66"/>
      <x:c r="Q187" s="66"/>
      <x:c r="R187" s="66"/>
      <x:c r="S187" s="66"/>
      <x:c r="T187" s="66" t="str">
        <x:v>SXT086</x:v>
      </x:c>
      <x:c r="U187" s="66" t="str">
        <x:v>系数CTA套利五号</x:v>
      </x:c>
      <x:c r="V187" s="66" t="str">
        <x:v>2023-09</x:v>
      </x:c>
      <x:c r="W187" s="72" t="n">
        <x:v>45169</x:v>
      </x:c>
      <x:c r="X187" s="72" t="n">
        <x:v>45199</x:v>
      </x:c>
      <x:c r="Y187" s="72" t="n">
        <x:f>'净值原始'!C3622</x:f>
        <x:v>45163</x:v>
      </x:c>
      <x:c r="Z187" s="72" t="n">
        <x:f>'净值原始'!C3627</x:f>
        <x:v>45197</x:v>
      </x:c>
      <x:c r="AA187" s="73" t="n">
        <x:f>'净值原始'!F3622</x:f>
        <x:v>1.0144</x:v>
      </x:c>
      <x:c r="AB187" s="73" t="n">
        <x:f>'净值原始'!F3627</x:f>
        <x:v>1.0275</x:v>
      </x:c>
      <x:c r="AC187" s="66" t="n">
        <x:f>IF(OR(Y187="",Z187="",Z187&lt;=Y187,W187-Y187&gt;'sheet1-指标体系'!$J$24,X187-Z187&gt;'sheet1-指标体系'!$J$24),0,1)</x:f>
        <x:v>1</x:v>
      </x:c>
      <x:c r="AD187" s="74" t="n">
        <x:f>IF(AC187=0,"",AB187/AA187-1)</x:f>
        <x:v>0.01291403785488976</x:v>
      </x:c>
      <x:c r="AE187" s="66" t="n">
        <x:f>IF(AC187=0,"",IF(AD187&gt;0,1,0))</x:f>
        <x:v>1</x:v>
      </x:c>
    </x:row>
    <x:row r="188" ht="27" customHeight="1">
      <x:c r="A188" s="66"/>
      <x:c r="B188" s="66"/>
      <x:c r="C188" s="66"/>
      <x:c r="D188" s="72"/>
      <x:c r="E188" s="72"/>
      <x:c r="F188" s="72"/>
      <x:c r="G188" s="72"/>
      <x:c r="H188" s="66"/>
      <x:c r="I188" s="66"/>
      <x:c r="J188" s="73"/>
      <x:c r="K188" s="73"/>
      <x:c r="L188" s="74"/>
      <x:c r="M188" s="74"/>
      <x:c r="N188" s="75"/>
      <x:c r="O188" s="74"/>
      <x:c r="P188" s="66"/>
      <x:c r="Q188" s="66"/>
      <x:c r="R188" s="66"/>
      <x:c r="S188" s="66"/>
      <x:c r="T188" s="66" t="str">
        <x:v>SXT086</x:v>
      </x:c>
      <x:c r="U188" s="66" t="str">
        <x:v>系数CTA套利五号</x:v>
      </x:c>
      <x:c r="V188" s="66" t="str">
        <x:v>2023-10</x:v>
      </x:c>
      <x:c r="W188" s="72" t="n">
        <x:v>45199</x:v>
      </x:c>
      <x:c r="X188" s="72" t="n">
        <x:v>45230</x:v>
      </x:c>
      <x:c r="Y188" s="72" t="n">
        <x:f>'净值原始'!C3627</x:f>
        <x:v>45197</x:v>
      </x:c>
      <x:c r="Z188" s="72" t="n">
        <x:f>'净值原始'!C3630</x:f>
        <x:v>45226</x:v>
      </x:c>
      <x:c r="AA188" s="73" t="n">
        <x:f>'净值原始'!F3627</x:f>
        <x:v>1.0275</x:v>
      </x:c>
      <x:c r="AB188" s="73" t="n">
        <x:f>'净值原始'!F3630</x:f>
        <x:v>1.0384</x:v>
      </x:c>
      <x:c r="AC188" s="66" t="n">
        <x:f>IF(OR(Y188="",Z188="",Z188&lt;=Y188,W188-Y188&gt;'sheet1-指标体系'!$J$24,X188-Z188&gt;'sheet1-指标体系'!$J$24),0,1)</x:f>
        <x:v>1</x:v>
      </x:c>
      <x:c r="AD188" s="74" t="n">
        <x:f>IF(AC188=0,"",AB188/AA188-1)</x:f>
        <x:v>0.010608272506082539</x:v>
      </x:c>
      <x:c r="AE188" s="66" t="n">
        <x:f>IF(AC188=0,"",IF(AD188&gt;0,1,0))</x:f>
        <x:v>1</x:v>
      </x:c>
    </x:row>
    <x:row r="189" ht="27" customHeight="1">
      <x:c r="A189" s="66"/>
      <x:c r="B189" s="66"/>
      <x:c r="C189" s="66"/>
      <x:c r="D189" s="72"/>
      <x:c r="E189" s="72"/>
      <x:c r="F189" s="72"/>
      <x:c r="G189" s="72"/>
      <x:c r="H189" s="66"/>
      <x:c r="I189" s="66"/>
      <x:c r="J189" s="73"/>
      <x:c r="K189" s="73"/>
      <x:c r="L189" s="74"/>
      <x:c r="M189" s="74"/>
      <x:c r="N189" s="75"/>
      <x:c r="O189" s="74"/>
      <x:c r="P189" s="66"/>
      <x:c r="Q189" s="66"/>
      <x:c r="R189" s="66"/>
      <x:c r="S189" s="66"/>
      <x:c r="T189" s="66" t="str">
        <x:v>SXT086</x:v>
      </x:c>
      <x:c r="U189" s="66" t="str">
        <x:v>系数CTA套利五号</x:v>
      </x:c>
      <x:c r="V189" s="66" t="str">
        <x:v>2023-11</x:v>
      </x:c>
      <x:c r="W189" s="72" t="n">
        <x:v>45230</x:v>
      </x:c>
      <x:c r="X189" s="72" t="n">
        <x:v>45260</x:v>
      </x:c>
      <x:c r="Y189" s="72" t="n">
        <x:f>'净值原始'!C3630</x:f>
        <x:v>45226</x:v>
      </x:c>
      <x:c r="Z189" s="72" t="n">
        <x:f>'净值原始'!C3634</x:f>
        <x:v>45254</x:v>
      </x:c>
      <x:c r="AA189" s="73" t="n">
        <x:f>'净值原始'!F3630</x:f>
        <x:v>1.0384</x:v>
      </x:c>
      <x:c r="AB189" s="73" t="n">
        <x:f>'净值原始'!F3634</x:f>
        <x:v>1.0557</x:v>
      </x:c>
      <x:c r="AC189" s="66" t="n">
        <x:f>IF(OR(Y189="",Z189="",Z189&lt;=Y189,W189-Y189&gt;'sheet1-指标体系'!$J$24,X189-Z189&gt;'sheet1-指标体系'!$J$24),0,1)</x:f>
        <x:v>1</x:v>
      </x:c>
      <x:c r="AD189" s="74" t="n">
        <x:f>IF(AC189=0,"",AB189/AA189-1)</x:f>
        <x:v>0.01666024653312803</x:v>
      </x:c>
      <x:c r="AE189" s="66" t="n">
        <x:f>IF(AC189=0,"",IF(AD189&gt;0,1,0))</x:f>
        <x:v>1</x:v>
      </x:c>
    </x:row>
    <x:row r="190" ht="27" customHeight="1">
      <x:c r="A190" s="66"/>
      <x:c r="B190" s="66"/>
      <x:c r="C190" s="66"/>
      <x:c r="D190" s="72"/>
      <x:c r="E190" s="72"/>
      <x:c r="F190" s="72"/>
      <x:c r="G190" s="72"/>
      <x:c r="H190" s="66"/>
      <x:c r="I190" s="66"/>
      <x:c r="J190" s="73"/>
      <x:c r="K190" s="73"/>
      <x:c r="L190" s="74"/>
      <x:c r="M190" s="74"/>
      <x:c r="N190" s="75"/>
      <x:c r="O190" s="74"/>
      <x:c r="P190" s="66"/>
      <x:c r="Q190" s="66"/>
      <x:c r="R190" s="66"/>
      <x:c r="S190" s="66"/>
      <x:c r="T190" s="66" t="str">
        <x:v>SXT086</x:v>
      </x:c>
      <x:c r="U190" s="66" t="str">
        <x:v>系数CTA套利五号</x:v>
      </x:c>
      <x:c r="V190" s="66" t="str">
        <x:v>2023-12</x:v>
      </x:c>
      <x:c r="W190" s="72" t="n">
        <x:v>45260</x:v>
      </x:c>
      <x:c r="X190" s="72" t="n">
        <x:v>45291</x:v>
      </x:c>
      <x:c r="Y190" s="72" t="n">
        <x:f>'净值原始'!C3634</x:f>
        <x:v>45254</x:v>
      </x:c>
      <x:c r="Z190" s="72" t="n">
        <x:f>'净值原始'!C3639</x:f>
        <x:v>45289</x:v>
      </x:c>
      <x:c r="AA190" s="73" t="n">
        <x:f>'净值原始'!F3634</x:f>
        <x:v>1.0557</x:v>
      </x:c>
      <x:c r="AB190" s="73" t="n">
        <x:f>'净值原始'!F3639</x:f>
        <x:v>1.0855</x:v>
      </x:c>
      <x:c r="AC190" s="66" t="n">
        <x:f>IF(OR(Y190="",Z190="",Z190&lt;=Y190,W190-Y190&gt;'sheet1-指标体系'!$J$24,X190-Z190&gt;'sheet1-指标体系'!$J$24),0,1)</x:f>
        <x:v>1</x:v>
      </x:c>
      <x:c r="AD190" s="74" t="n">
        <x:f>IF(AC190=0,"",AB190/AA190-1)</x:f>
        <x:v>0.028227716207255726</x:v>
      </x:c>
      <x:c r="AE190" s="66" t="n">
        <x:f>IF(AC190=0,"",IF(AD190&gt;0,1,0))</x:f>
        <x:v>1</x:v>
      </x:c>
    </x:row>
    <x:row r="191" ht="27" customHeight="1">
      <x:c r="A191" s="66"/>
      <x:c r="B191" s="66"/>
      <x:c r="C191" s="66"/>
      <x:c r="D191" s="72"/>
      <x:c r="E191" s="72"/>
      <x:c r="F191" s="72"/>
      <x:c r="G191" s="72"/>
      <x:c r="H191" s="66"/>
      <x:c r="I191" s="66"/>
      <x:c r="J191" s="73"/>
      <x:c r="K191" s="73"/>
      <x:c r="L191" s="74"/>
      <x:c r="M191" s="74"/>
      <x:c r="N191" s="75"/>
      <x:c r="O191" s="74"/>
      <x:c r="P191" s="66"/>
      <x:c r="Q191" s="66"/>
      <x:c r="R191" s="66"/>
      <x:c r="S191" s="66"/>
      <x:c r="T191" s="66" t="str">
        <x:v>SXT086</x:v>
      </x:c>
      <x:c r="U191" s="66" t="str">
        <x:v>系数CTA套利五号</x:v>
      </x:c>
      <x:c r="V191" s="66" t="str">
        <x:v>2024-01</x:v>
      </x:c>
      <x:c r="W191" s="72" t="n">
        <x:v>45291</x:v>
      </x:c>
      <x:c r="X191" s="72" t="n">
        <x:v>45322</x:v>
      </x:c>
      <x:c r="Y191" s="72" t="n">
        <x:f>'净值原始'!C3639</x:f>
        <x:v>45289</x:v>
      </x:c>
      <x:c r="Z191" s="72" t="n">
        <x:f>'净值原始'!C3643</x:f>
        <x:v>45317</x:v>
      </x:c>
      <x:c r="AA191" s="73" t="n">
        <x:f>'净值原始'!F3639</x:f>
        <x:v>1.0855</x:v>
      </x:c>
      <x:c r="AB191" s="73" t="n">
        <x:f>'净值原始'!F3643</x:f>
        <x:v>1.0986</x:v>
      </x:c>
      <x:c r="AC191" s="66" t="n">
        <x:f>IF(OR(Y191="",Z191="",Z191&lt;=Y191,W191-Y191&gt;'sheet1-指标体系'!$J$24,X191-Z191&gt;'sheet1-指标体系'!$J$24),0,1)</x:f>
        <x:v>1</x:v>
      </x:c>
      <x:c r="AD191" s="74" t="n">
        <x:f>IF(AC191=0,"",AB191/AA191-1)</x:f>
        <x:v>0.01206817134960847</x:v>
      </x:c>
      <x:c r="AE191" s="66" t="n">
        <x:f>IF(AC191=0,"",IF(AD191&gt;0,1,0))</x:f>
        <x:v>1</x:v>
      </x:c>
    </x:row>
    <x:row r="192" ht="27" customHeight="1">
      <x:c r="A192" s="66"/>
      <x:c r="B192" s="66"/>
      <x:c r="C192" s="66"/>
      <x:c r="D192" s="72"/>
      <x:c r="E192" s="72"/>
      <x:c r="F192" s="72"/>
      <x:c r="G192" s="72"/>
      <x:c r="H192" s="66"/>
      <x:c r="I192" s="66"/>
      <x:c r="J192" s="73"/>
      <x:c r="K192" s="73"/>
      <x:c r="L192" s="74"/>
      <x:c r="M192" s="74"/>
      <x:c r="N192" s="75"/>
      <x:c r="O192" s="74"/>
      <x:c r="P192" s="66"/>
      <x:c r="Q192" s="66"/>
      <x:c r="R192" s="66"/>
      <x:c r="S192" s="66"/>
      <x:c r="T192" s="66" t="str">
        <x:v>SXT086</x:v>
      </x:c>
      <x:c r="U192" s="66" t="str">
        <x:v>系数CTA套利五号</x:v>
      </x:c>
      <x:c r="V192" s="66" t="str">
        <x:v>2024-02</x:v>
      </x:c>
      <x:c r="W192" s="72" t="n">
        <x:v>45322</x:v>
      </x:c>
      <x:c r="X192" s="72" t="n">
        <x:v>45351</x:v>
      </x:c>
      <x:c r="Y192" s="72" t="n">
        <x:f>'净值原始'!C3643</x:f>
        <x:v>45317</x:v>
      </x:c>
      <x:c r="Z192" s="72" t="n">
        <x:f>'净值原始'!C3646</x:f>
        <x:v>45345</x:v>
      </x:c>
      <x:c r="AA192" s="73" t="n">
        <x:f>'净值原始'!F3643</x:f>
        <x:v>1.0986</x:v>
      </x:c>
      <x:c r="AB192" s="73" t="n">
        <x:f>'净值原始'!F3646</x:f>
        <x:v>1.0973</x:v>
      </x:c>
      <x:c r="AC192" s="66" t="n">
        <x:f>IF(OR(Y192="",Z192="",Z192&lt;=Y192,W192-Y192&gt;'sheet1-指标体系'!$J$24,X192-Z192&gt;'sheet1-指标体系'!$J$24),0,1)</x:f>
        <x:v>1</x:v>
      </x:c>
      <x:c r="AD192" s="74" t="n">
        <x:f>IF(AC192=0,"",AB192/AA192-1)</x:f>
        <x:v>-0.0011833242308393332</x:v>
      </x:c>
      <x:c r="AE192" s="66" t="n">
        <x:f>IF(AC192=0,"",IF(AD192&gt;0,1,0))</x:f>
        <x:v>0</x:v>
      </x:c>
    </x:row>
    <x:row r="193" ht="27" customHeight="1">
      <x:c r="A193" s="66"/>
      <x:c r="B193" s="66"/>
      <x:c r="C193" s="66"/>
      <x:c r="D193" s="72"/>
      <x:c r="E193" s="72"/>
      <x:c r="F193" s="72"/>
      <x:c r="G193" s="72"/>
      <x:c r="H193" s="66"/>
      <x:c r="I193" s="66"/>
      <x:c r="J193" s="73"/>
      <x:c r="K193" s="73"/>
      <x:c r="L193" s="74"/>
      <x:c r="M193" s="74"/>
      <x:c r="N193" s="75"/>
      <x:c r="O193" s="74"/>
      <x:c r="P193" s="66"/>
      <x:c r="Q193" s="66"/>
      <x:c r="R193" s="66"/>
      <x:c r="S193" s="66"/>
      <x:c r="T193" s="66" t="str">
        <x:v>SXT086</x:v>
      </x:c>
      <x:c r="U193" s="66" t="str">
        <x:v>系数CTA套利五号</x:v>
      </x:c>
      <x:c r="V193" s="66" t="str">
        <x:v>2024-03</x:v>
      </x:c>
      <x:c r="W193" s="72" t="n">
        <x:v>45351</x:v>
      </x:c>
      <x:c r="X193" s="72" t="n">
        <x:v>45382</x:v>
      </x:c>
      <x:c r="Y193" s="72" t="n">
        <x:f>'净值原始'!C3646</x:f>
        <x:v>45345</x:v>
      </x:c>
      <x:c r="Z193" s="72" t="n">
        <x:f>'净值原始'!C3651</x:f>
        <x:v>45380</x:v>
      </x:c>
      <x:c r="AA193" s="73" t="n">
        <x:f>'净值原始'!F3646</x:f>
        <x:v>1.0973</x:v>
      </x:c>
      <x:c r="AB193" s="73" t="n">
        <x:f>'净值原始'!F3651</x:f>
        <x:v>1.0887</x:v>
      </x:c>
      <x:c r="AC193" s="66" t="n">
        <x:f>IF(OR(Y193="",Z193="",Z193&lt;=Y193,W193-Y193&gt;'sheet1-指标体系'!$J$24,X193-Z193&gt;'sheet1-指标体系'!$J$24),0,1)</x:f>
        <x:v>1</x:v>
      </x:c>
      <x:c r="AD193" s="74" t="n">
        <x:f>IF(AC193=0,"",AB193/AA193-1)</x:f>
        <x:v>-0.007837419119657296</x:v>
      </x:c>
      <x:c r="AE193" s="66" t="n">
        <x:f>IF(AC193=0,"",IF(AD193&gt;0,1,0))</x:f>
        <x:v>0</x:v>
      </x:c>
    </x:row>
    <x:row r="194" ht="27" customHeight="1">
      <x:c r="A194" s="66"/>
      <x:c r="B194" s="66"/>
      <x:c r="C194" s="66"/>
      <x:c r="D194" s="72"/>
      <x:c r="E194" s="72"/>
      <x:c r="F194" s="72"/>
      <x:c r="G194" s="72"/>
      <x:c r="H194" s="66"/>
      <x:c r="I194" s="66"/>
      <x:c r="J194" s="73"/>
      <x:c r="K194" s="73"/>
      <x:c r="L194" s="74"/>
      <x:c r="M194" s="74"/>
      <x:c r="N194" s="75"/>
      <x:c r="O194" s="74"/>
      <x:c r="P194" s="66"/>
      <x:c r="Q194" s="66"/>
      <x:c r="R194" s="66"/>
      <x:c r="S194" s="66"/>
      <x:c r="T194" s="66" t="str">
        <x:v>SXT086</x:v>
      </x:c>
      <x:c r="U194" s="66" t="str">
        <x:v>系数CTA套利五号</x:v>
      </x:c>
      <x:c r="V194" s="66" t="str">
        <x:v>2024-04</x:v>
      </x:c>
      <x:c r="W194" s="72" t="n">
        <x:v>45382</x:v>
      </x:c>
      <x:c r="X194" s="72" t="n">
        <x:v>45412</x:v>
      </x:c>
      <x:c r="Y194" s="72" t="n">
        <x:f>'净值原始'!C3651</x:f>
        <x:v>45380</x:v>
      </x:c>
      <x:c r="Z194" s="72" t="n">
        <x:f>'净值原始'!C3656</x:f>
        <x:v>45412</x:v>
      </x:c>
      <x:c r="AA194" s="73" t="n">
        <x:f>'净值原始'!F3651</x:f>
        <x:v>1.0887</x:v>
      </x:c>
      <x:c r="AB194" s="73" t="n">
        <x:f>'净值原始'!F3656</x:f>
        <x:v>1.0871</x:v>
      </x:c>
      <x:c r="AC194" s="66" t="n">
        <x:f>IF(OR(Y194="",Z194="",Z194&lt;=Y194,W194-Y194&gt;'sheet1-指标体系'!$J$24,X194-Z194&gt;'sheet1-指标体系'!$J$24),0,1)</x:f>
        <x:v>1</x:v>
      </x:c>
      <x:c r="AD194" s="74" t="n">
        <x:f>IF(AC194=0,"",AB194/AA194-1)</x:f>
        <x:v>-0.0014696426931203321</x:v>
      </x:c>
      <x:c r="AE194" s="66" t="n">
        <x:f>IF(AC194=0,"",IF(AD194&gt;0,1,0))</x:f>
        <x:v>0</x:v>
      </x:c>
    </x:row>
    <x:row r="195" ht="27" customHeight="1">
      <x:c r="A195" s="66"/>
      <x:c r="B195" s="66"/>
      <x:c r="C195" s="66"/>
      <x:c r="D195" s="72"/>
      <x:c r="E195" s="72"/>
      <x:c r="F195" s="72"/>
      <x:c r="G195" s="72"/>
      <x:c r="H195" s="66"/>
      <x:c r="I195" s="66"/>
      <x:c r="J195" s="73"/>
      <x:c r="K195" s="73"/>
      <x:c r="L195" s="74"/>
      <x:c r="M195" s="74"/>
      <x:c r="N195" s="75"/>
      <x:c r="O195" s="74"/>
      <x:c r="P195" s="66"/>
      <x:c r="Q195" s="66"/>
      <x:c r="R195" s="66"/>
      <x:c r="S195" s="66"/>
      <x:c r="T195" s="66" t="str">
        <x:v>SXT086</x:v>
      </x:c>
      <x:c r="U195" s="66" t="str">
        <x:v>系数CTA套利五号</x:v>
      </x:c>
      <x:c r="V195" s="66" t="str">
        <x:v>2024-05</x:v>
      </x:c>
      <x:c r="W195" s="72" t="n">
        <x:v>45412</x:v>
      </x:c>
      <x:c r="X195" s="72" t="n">
        <x:v>45443</x:v>
      </x:c>
      <x:c r="Y195" s="72" t="n">
        <x:f>'净值原始'!C3656</x:f>
        <x:v>45412</x:v>
      </x:c>
      <x:c r="Z195" s="72" t="n">
        <x:f>'净值原始'!C3660</x:f>
        <x:v>45443</x:v>
      </x:c>
      <x:c r="AA195" s="73" t="n">
        <x:f>'净值原始'!F3656</x:f>
        <x:v>1.0871</x:v>
      </x:c>
      <x:c r="AB195" s="73" t="n">
        <x:f>'净值原始'!F3660</x:f>
        <x:v>1.069</x:v>
      </x:c>
      <x:c r="AC195" s="66" t="n">
        <x:f>IF(OR(Y195="",Z195="",Z195&lt;=Y195,W195-Y195&gt;'sheet1-指标体系'!$J$24,X195-Z195&gt;'sheet1-指标体系'!$J$24),0,1)</x:f>
        <x:v>1</x:v>
      </x:c>
      <x:c r="AD195" s="74" t="n">
        <x:f>IF(AC195=0,"",AB195/AA195-1)</x:f>
        <x:v>-0.016649802226106125</x:v>
      </x:c>
      <x:c r="AE195" s="66" t="n">
        <x:f>IF(AC195=0,"",IF(AD195&gt;0,1,0))</x:f>
        <x:v>0</x:v>
      </x:c>
    </x:row>
    <x:row r="196" ht="27" customHeight="1">
      <x:c r="A196" s="66"/>
      <x:c r="B196" s="66"/>
      <x:c r="C196" s="66"/>
      <x:c r="D196" s="72"/>
      <x:c r="E196" s="72"/>
      <x:c r="F196" s="72"/>
      <x:c r="G196" s="72"/>
      <x:c r="H196" s="66"/>
      <x:c r="I196" s="66"/>
      <x:c r="J196" s="73"/>
      <x:c r="K196" s="73"/>
      <x:c r="L196" s="74"/>
      <x:c r="M196" s="74"/>
      <x:c r="N196" s="75"/>
      <x:c r="O196" s="74"/>
      <x:c r="P196" s="66"/>
      <x:c r="Q196" s="66"/>
      <x:c r="R196" s="66"/>
      <x:c r="S196" s="66"/>
      <x:c r="T196" s="66" t="str">
        <x:v>SXT086</x:v>
      </x:c>
      <x:c r="U196" s="66" t="str">
        <x:v>系数CTA套利五号</x:v>
      </x:c>
      <x:c r="V196" s="66" t="str">
        <x:v>2024-06</x:v>
      </x:c>
      <x:c r="W196" s="72" t="n">
        <x:v>45443</x:v>
      </x:c>
      <x:c r="X196" s="72" t="n">
        <x:v>45473</x:v>
      </x:c>
      <x:c r="Y196" s="72" t="n">
        <x:f>'净值原始'!C3660</x:f>
        <x:v>45443</x:v>
      </x:c>
      <x:c r="Z196" s="72" t="n">
        <x:f>'净值原始'!C3664</x:f>
        <x:v>45471</x:v>
      </x:c>
      <x:c r="AA196" s="73" t="n">
        <x:f>'净值原始'!F3660</x:f>
        <x:v>1.069</x:v>
      </x:c>
      <x:c r="AB196" s="73" t="n">
        <x:f>'净值原始'!F3664</x:f>
        <x:v>1.0927</x:v>
      </x:c>
      <x:c r="AC196" s="66" t="n">
        <x:f>IF(OR(Y196="",Z196="",Z196&lt;=Y196,W196-Y196&gt;'sheet1-指标体系'!$J$24,X196-Z196&gt;'sheet1-指标体系'!$J$24),0,1)</x:f>
        <x:v>1</x:v>
      </x:c>
      <x:c r="AD196" s="74" t="n">
        <x:f>IF(AC196=0,"",AB196/AA196-1)</x:f>
        <x:v>0.022170252572497606</x:v>
      </x:c>
      <x:c r="AE196" s="66" t="n">
        <x:f>IF(AC196=0,"",IF(AD196&gt;0,1,0))</x:f>
        <x:v>1</x:v>
      </x:c>
    </x:row>
    <x:row r="197" ht="27" customHeight="1">
      <x:c r="A197" s="66"/>
      <x:c r="B197" s="66"/>
      <x:c r="C197" s="66"/>
      <x:c r="D197" s="72"/>
      <x:c r="E197" s="72"/>
      <x:c r="F197" s="72"/>
      <x:c r="G197" s="72"/>
      <x:c r="H197" s="66"/>
      <x:c r="I197" s="66"/>
      <x:c r="J197" s="73"/>
      <x:c r="K197" s="73"/>
      <x:c r="L197" s="74"/>
      <x:c r="M197" s="74"/>
      <x:c r="N197" s="75"/>
      <x:c r="O197" s="74"/>
      <x:c r="P197" s="66"/>
      <x:c r="Q197" s="66"/>
      <x:c r="R197" s="66"/>
      <x:c r="S197" s="66"/>
      <x:c r="T197" s="66" t="str">
        <x:v>SXT086</x:v>
      </x:c>
      <x:c r="U197" s="66" t="str">
        <x:v>系数CTA套利五号</x:v>
      </x:c>
      <x:c r="V197" s="66" t="str">
        <x:v>2024-07</x:v>
      </x:c>
      <x:c r="W197" s="72" t="n">
        <x:v>45473</x:v>
      </x:c>
      <x:c r="X197" s="72" t="n">
        <x:v>45504</x:v>
      </x:c>
      <x:c r="Y197" s="72" t="n">
        <x:f>'净值原始'!C3664</x:f>
        <x:v>45471</x:v>
      </x:c>
      <x:c r="Z197" s="72" t="n">
        <x:f>'净值原始'!C3668</x:f>
        <x:v>45499</x:v>
      </x:c>
      <x:c r="AA197" s="73" t="n">
        <x:f>'净值原始'!F3664</x:f>
        <x:v>1.0927</x:v>
      </x:c>
      <x:c r="AB197" s="73" t="n">
        <x:f>'净值原始'!F3668</x:f>
        <x:v>1.1222</x:v>
      </x:c>
      <x:c r="AC197" s="66" t="n">
        <x:f>IF(OR(Y197="",Z197="",Z197&lt;=Y197,W197-Y197&gt;'sheet1-指标体系'!$J$24,X197-Z197&gt;'sheet1-指标体系'!$J$24),0,1)</x:f>
        <x:v>1</x:v>
      </x:c>
      <x:c r="AD197" s="74" t="n">
        <x:f>IF(AC197=0,"",AB197/AA197-1)</x:f>
        <x:v>0.026997346023611257</x:v>
      </x:c>
      <x:c r="AE197" s="66" t="n">
        <x:f>IF(AC197=0,"",IF(AD197&gt;0,1,0))</x:f>
        <x:v>1</x:v>
      </x:c>
    </x:row>
    <x:row r="198" ht="27" customHeight="1">
      <x:c r="A198" s="66"/>
      <x:c r="B198" s="66"/>
      <x:c r="C198" s="66"/>
      <x:c r="D198" s="72"/>
      <x:c r="E198" s="72"/>
      <x:c r="F198" s="72"/>
      <x:c r="G198" s="72"/>
      <x:c r="H198" s="66"/>
      <x:c r="I198" s="66"/>
      <x:c r="J198" s="73"/>
      <x:c r="K198" s="73"/>
      <x:c r="L198" s="74"/>
      <x:c r="M198" s="74"/>
      <x:c r="N198" s="75"/>
      <x:c r="O198" s="74"/>
      <x:c r="P198" s="66"/>
      <x:c r="Q198" s="66"/>
      <x:c r="R198" s="66"/>
      <x:c r="S198" s="66"/>
      <x:c r="T198" s="66" t="str">
        <x:v>SXT086</x:v>
      </x:c>
      <x:c r="U198" s="66" t="str">
        <x:v>系数CTA套利五号</x:v>
      </x:c>
      <x:c r="V198" s="66" t="str">
        <x:v>2024-08</x:v>
      </x:c>
      <x:c r="W198" s="72" t="n">
        <x:v>45504</x:v>
      </x:c>
      <x:c r="X198" s="72" t="n">
        <x:v>45535</x:v>
      </x:c>
      <x:c r="Y198" s="72" t="n">
        <x:f>'净值原始'!C3668</x:f>
        <x:v>45499</x:v>
      </x:c>
      <x:c r="Z198" s="72" t="n">
        <x:f>'净值原始'!C3673</x:f>
        <x:v>45534</x:v>
      </x:c>
      <x:c r="AA198" s="73" t="n">
        <x:f>'净值原始'!F3668</x:f>
        <x:v>1.1222</x:v>
      </x:c>
      <x:c r="AB198" s="73" t="n">
        <x:f>'净值原始'!F3673</x:f>
        <x:v>1.1346</x:v>
      </x:c>
      <x:c r="AC198" s="66" t="n">
        <x:f>IF(OR(Y198="",Z198="",Z198&lt;=Y198,W198-Y198&gt;'sheet1-指标体系'!$J$24,X198-Z198&gt;'sheet1-指标体系'!$J$24),0,1)</x:f>
        <x:v>1</x:v>
      </x:c>
      <x:c r="AD198" s="74" t="n">
        <x:f>IF(AC198=0,"",AB198/AA198-1)</x:f>
        <x:v>0.011049723756906049</x:v>
      </x:c>
      <x:c r="AE198" s="66" t="n">
        <x:f>IF(AC198=0,"",IF(AD198&gt;0,1,0))</x:f>
        <x:v>1</x:v>
      </x:c>
    </x:row>
    <x:row r="199" ht="27" customHeight="1">
      <x:c r="A199" s="66"/>
      <x:c r="B199" s="66"/>
      <x:c r="C199" s="66"/>
      <x:c r="D199" s="72"/>
      <x:c r="E199" s="72"/>
      <x:c r="F199" s="72"/>
      <x:c r="G199" s="72"/>
      <x:c r="H199" s="66"/>
      <x:c r="I199" s="66"/>
      <x:c r="J199" s="73"/>
      <x:c r="K199" s="73"/>
      <x:c r="L199" s="74"/>
      <x:c r="M199" s="74"/>
      <x:c r="N199" s="75"/>
      <x:c r="O199" s="74"/>
      <x:c r="P199" s="66"/>
      <x:c r="Q199" s="66"/>
      <x:c r="R199" s="66"/>
      <x:c r="S199" s="66"/>
      <x:c r="T199" s="66" t="str">
        <x:v>SXT086</x:v>
      </x:c>
      <x:c r="U199" s="66" t="str">
        <x:v>系数CTA套利五号</x:v>
      </x:c>
      <x:c r="V199" s="66" t="str">
        <x:v>2024-09</x:v>
      </x:c>
      <x:c r="W199" s="72" t="n">
        <x:v>45535</x:v>
      </x:c>
      <x:c r="X199" s="72" t="n">
        <x:v>45565</x:v>
      </x:c>
      <x:c r="Y199" s="72" t="n">
        <x:f>'净值原始'!C3673</x:f>
        <x:v>45534</x:v>
      </x:c>
      <x:c r="Z199" s="72" t="n">
        <x:f>'净值原始'!C3678</x:f>
        <x:v>45565</x:v>
      </x:c>
      <x:c r="AA199" s="73" t="n">
        <x:f>'净值原始'!F3673</x:f>
        <x:v>1.1346</x:v>
      </x:c>
      <x:c r="AB199" s="73" t="n">
        <x:f>'净值原始'!F3678</x:f>
        <x:v>1.1354</x:v>
      </x:c>
      <x:c r="AC199" s="66" t="n">
        <x:f>IF(OR(Y199="",Z199="",Z199&lt;=Y199,W199-Y199&gt;'sheet1-指标体系'!$J$24,X199-Z199&gt;'sheet1-指标体系'!$J$24),0,1)</x:f>
        <x:v>1</x:v>
      </x:c>
      <x:c r="AD199" s="74" t="n">
        <x:f>IF(AC199=0,"",AB199/AA199-1)</x:f>
        <x:v>0.0007050943063633408</x:v>
      </x:c>
      <x:c r="AE199" s="66" t="n">
        <x:f>IF(AC199=0,"",IF(AD199&gt;0,1,0))</x:f>
        <x:v>1</x:v>
      </x:c>
    </x:row>
    <x:row r="200" ht="27" customHeight="1">
      <x:c r="A200" s="66"/>
      <x:c r="B200" s="66"/>
      <x:c r="C200" s="66"/>
      <x:c r="D200" s="72"/>
      <x:c r="E200" s="72"/>
      <x:c r="F200" s="72"/>
      <x:c r="G200" s="72"/>
      <x:c r="H200" s="66"/>
      <x:c r="I200" s="66"/>
      <x:c r="J200" s="73"/>
      <x:c r="K200" s="73"/>
      <x:c r="L200" s="74"/>
      <x:c r="M200" s="74"/>
      <x:c r="N200" s="75"/>
      <x:c r="O200" s="74"/>
      <x:c r="P200" s="66"/>
      <x:c r="Q200" s="66"/>
      <x:c r="R200" s="66"/>
      <x:c r="S200" s="66"/>
      <x:c r="T200" s="66" t="str">
        <x:v>SXT086</x:v>
      </x:c>
      <x:c r="U200" s="66" t="str">
        <x:v>系数CTA套利五号</x:v>
      </x:c>
      <x:c r="V200" s="66" t="str">
        <x:v>2024-10</x:v>
      </x:c>
      <x:c r="W200" s="72" t="n">
        <x:v>45565</x:v>
      </x:c>
      <x:c r="X200" s="72" t="n">
        <x:v>45596</x:v>
      </x:c>
      <x:c r="Y200" s="72" t="n">
        <x:f>'净值原始'!C3678</x:f>
        <x:v>45565</x:v>
      </x:c>
      <x:c r="Z200" s="72" t="n">
        <x:f>'净值原始'!C3681</x:f>
        <x:v>45590</x:v>
      </x:c>
      <x:c r="AA200" s="73" t="n">
        <x:f>'净值原始'!F3678</x:f>
        <x:v>1.1354</x:v>
      </x:c>
      <x:c r="AB200" s="73" t="n">
        <x:f>'净值原始'!F3681</x:f>
        <x:v>1.1544</x:v>
      </x:c>
      <x:c r="AC200" s="66" t="n">
        <x:f>IF(OR(Y200="",Z200="",Z200&lt;=Y200,W200-Y200&gt;'sheet1-指标体系'!$J$24,X200-Z200&gt;'sheet1-指标体系'!$J$24),0,1)</x:f>
        <x:v>1</x:v>
      </x:c>
      <x:c r="AD200" s="74" t="n">
        <x:f>IF(AC200=0,"",AB200/AA200-1)</x:f>
        <x:v>0.016734190593623577</x:v>
      </x:c>
      <x:c r="AE200" s="66" t="n">
        <x:f>IF(AC200=0,"",IF(AD200&gt;0,1,0))</x:f>
        <x:v>1</x:v>
      </x:c>
    </x:row>
    <x:row r="201" ht="27" customHeight="1">
      <x:c r="A201" s="66"/>
      <x:c r="B201" s="66"/>
      <x:c r="C201" s="66"/>
      <x:c r="D201" s="72"/>
      <x:c r="E201" s="72"/>
      <x:c r="F201" s="72"/>
      <x:c r="G201" s="72"/>
      <x:c r="H201" s="66"/>
      <x:c r="I201" s="66"/>
      <x:c r="J201" s="73"/>
      <x:c r="K201" s="73"/>
      <x:c r="L201" s="74"/>
      <x:c r="M201" s="74"/>
      <x:c r="N201" s="75"/>
      <x:c r="O201" s="74"/>
      <x:c r="P201" s="66"/>
      <x:c r="Q201" s="66"/>
      <x:c r="R201" s="66"/>
      <x:c r="S201" s="66"/>
      <x:c r="T201" s="66" t="str">
        <x:v>SXT086</x:v>
      </x:c>
      <x:c r="U201" s="66" t="str">
        <x:v>系数CTA套利五号</x:v>
      </x:c>
      <x:c r="V201" s="66" t="str">
        <x:v>2024-11</x:v>
      </x:c>
      <x:c r="W201" s="72" t="n">
        <x:v>45596</x:v>
      </x:c>
      <x:c r="X201" s="72" t="n">
        <x:v>45626</x:v>
      </x:c>
      <x:c r="Y201" s="72" t="n">
        <x:f>'净值原始'!C3681</x:f>
        <x:v>45590</x:v>
      </x:c>
      <x:c r="Z201" s="72" t="n">
        <x:f>'净值原始'!C3686</x:f>
        <x:v>45625</x:v>
      </x:c>
      <x:c r="AA201" s="73" t="n">
        <x:f>'净值原始'!F3681</x:f>
        <x:v>1.1544</x:v>
      </x:c>
      <x:c r="AB201" s="73" t="n">
        <x:f>'净值原始'!F3686</x:f>
        <x:v>1.1844</x:v>
      </x:c>
      <x:c r="AC201" s="66" t="n">
        <x:f>IF(OR(Y201="",Z201="",Z201&lt;=Y201,W201-Y201&gt;'sheet1-指标体系'!$J$24,X201-Z201&gt;'sheet1-指标体系'!$J$24),0,1)</x:f>
        <x:v>1</x:v>
      </x:c>
      <x:c r="AD201" s="74" t="n">
        <x:f>IF(AC201=0,"",AB201/AA201-1)</x:f>
        <x:v>0.02598752598752574</x:v>
      </x:c>
      <x:c r="AE201" s="66" t="n">
        <x:f>IF(AC201=0,"",IF(AD201&gt;0,1,0))</x:f>
        <x:v>1</x:v>
      </x:c>
    </x:row>
    <x:row r="202" ht="27" customHeight="1">
      <x:c r="A202" s="66"/>
      <x:c r="B202" s="66"/>
      <x:c r="C202" s="66"/>
      <x:c r="D202" s="72"/>
      <x:c r="E202" s="72"/>
      <x:c r="F202" s="72"/>
      <x:c r="G202" s="72"/>
      <x:c r="H202" s="66"/>
      <x:c r="I202" s="66"/>
      <x:c r="J202" s="73"/>
      <x:c r="K202" s="73"/>
      <x:c r="L202" s="74"/>
      <x:c r="M202" s="74"/>
      <x:c r="N202" s="75"/>
      <x:c r="O202" s="74"/>
      <x:c r="P202" s="66"/>
      <x:c r="Q202" s="66"/>
      <x:c r="R202" s="66"/>
      <x:c r="S202" s="66"/>
      <x:c r="T202" s="66" t="str">
        <x:v>SXT086</x:v>
      </x:c>
      <x:c r="U202" s="66" t="str">
        <x:v>系数CTA套利五号</x:v>
      </x:c>
      <x:c r="V202" s="66" t="str">
        <x:v>2024-12</x:v>
      </x:c>
      <x:c r="W202" s="72" t="n">
        <x:v>45626</x:v>
      </x:c>
      <x:c r="X202" s="72" t="n">
        <x:v>45657</x:v>
      </x:c>
      <x:c r="Y202" s="72" t="n">
        <x:f>'净值原始'!C3686</x:f>
        <x:v>45625</x:v>
      </x:c>
      <x:c r="Z202" s="72" t="n">
        <x:f>'净值原始'!C3690</x:f>
        <x:v>45653</x:v>
      </x:c>
      <x:c r="AA202" s="73" t="n">
        <x:f>'净值原始'!F3686</x:f>
        <x:v>1.1844</x:v>
      </x:c>
      <x:c r="AB202" s="73" t="n">
        <x:f>'净值原始'!F3690</x:f>
        <x:v>1.2</x:v>
      </x:c>
      <x:c r="AC202" s="66" t="n">
        <x:f>IF(OR(Y202="",Z202="",Z202&lt;=Y202,W202-Y202&gt;'sheet1-指标体系'!$J$24,X202-Z202&gt;'sheet1-指标体系'!$J$24),0,1)</x:f>
        <x:v>1</x:v>
      </x:c>
      <x:c r="AD202" s="74" t="n">
        <x:f>IF(AC202=0,"",AB202/AA202-1)</x:f>
        <x:v>0.01317122593718345</x:v>
      </x:c>
      <x:c r="AE202" s="66" t="n">
        <x:f>IF(AC202=0,"",IF(AD202&gt;0,1,0))</x:f>
        <x:v>1</x:v>
      </x:c>
    </x:row>
    <x:row r="203" ht="27" customHeight="1">
      <x:c r="A203" s="66"/>
      <x:c r="B203" s="66"/>
      <x:c r="C203" s="66"/>
      <x:c r="D203" s="72"/>
      <x:c r="E203" s="72"/>
      <x:c r="F203" s="72"/>
      <x:c r="G203" s="72"/>
      <x:c r="H203" s="66"/>
      <x:c r="I203" s="66"/>
      <x:c r="J203" s="73"/>
      <x:c r="K203" s="73"/>
      <x:c r="L203" s="74"/>
      <x:c r="M203" s="74"/>
      <x:c r="N203" s="75"/>
      <x:c r="O203" s="74"/>
      <x:c r="P203" s="66"/>
      <x:c r="Q203" s="66"/>
      <x:c r="R203" s="66"/>
      <x:c r="S203" s="66"/>
      <x:c r="T203" s="66" t="str">
        <x:v>SXT086</x:v>
      </x:c>
      <x:c r="U203" s="66" t="str">
        <x:v>系数CTA套利五号</x:v>
      </x:c>
      <x:c r="V203" s="66" t="str">
        <x:v>2025-01</x:v>
      </x:c>
      <x:c r="W203" s="72" t="n">
        <x:v>45657</x:v>
      </x:c>
      <x:c r="X203" s="72" t="n">
        <x:v>45688</x:v>
      </x:c>
      <x:c r="Y203" s="72" t="n">
        <x:f>'净值原始'!C3690</x:f>
        <x:v>45653</x:v>
      </x:c>
      <x:c r="Z203" s="72" t="n">
        <x:f>'净值原始'!C3695</x:f>
        <x:v>45684</x:v>
      </x:c>
      <x:c r="AA203" s="73" t="n">
        <x:f>'净值原始'!F3690</x:f>
        <x:v>1.2</x:v>
      </x:c>
      <x:c r="AB203" s="73" t="n">
        <x:f>'净值原始'!F3695</x:f>
        <x:v>1.2346</x:v>
      </x:c>
      <x:c r="AC203" s="66" t="n">
        <x:f>IF(OR(Y203="",Z203="",Z203&lt;=Y203,W203-Y203&gt;'sheet1-指标体系'!$J$24,X203-Z203&gt;'sheet1-指标体系'!$J$24),0,1)</x:f>
        <x:v>1</x:v>
      </x:c>
      <x:c r="AD203" s="74" t="n">
        <x:f>IF(AC203=0,"",AB203/AA203-1)</x:f>
        <x:v>0.028833333333333266</x:v>
      </x:c>
      <x:c r="AE203" s="66" t="n">
        <x:f>IF(AC203=0,"",IF(AD203&gt;0,1,0))</x:f>
        <x:v>1</x:v>
      </x:c>
    </x:row>
    <x:row r="204" ht="27" customHeight="1">
      <x:c r="A204" s="66"/>
      <x:c r="B204" s="66"/>
      <x:c r="C204" s="66"/>
      <x:c r="D204" s="72"/>
      <x:c r="E204" s="72"/>
      <x:c r="F204" s="72"/>
      <x:c r="G204" s="72"/>
      <x:c r="H204" s="66"/>
      <x:c r="I204" s="66"/>
      <x:c r="J204" s="73"/>
      <x:c r="K204" s="73"/>
      <x:c r="L204" s="74"/>
      <x:c r="M204" s="74"/>
      <x:c r="N204" s="75"/>
      <x:c r="O204" s="74"/>
      <x:c r="P204" s="66"/>
      <x:c r="Q204" s="66"/>
      <x:c r="R204" s="66"/>
      <x:c r="S204" s="66"/>
      <x:c r="T204" s="66" t="str">
        <x:v>SXT086</x:v>
      </x:c>
      <x:c r="U204" s="66" t="str">
        <x:v>系数CTA套利五号</x:v>
      </x:c>
      <x:c r="V204" s="66" t="str">
        <x:v>2025-02</x:v>
      </x:c>
      <x:c r="W204" s="72" t="n">
        <x:v>45688</x:v>
      </x:c>
      <x:c r="X204" s="72" t="n">
        <x:v>45716</x:v>
      </x:c>
      <x:c r="Y204" s="72" t="n">
        <x:f>'净值原始'!C3695</x:f>
        <x:v>45684</x:v>
      </x:c>
      <x:c r="Z204" s="72" t="n">
        <x:f>'净值原始'!C3699</x:f>
        <x:v>45716</x:v>
      </x:c>
      <x:c r="AA204" s="73" t="n">
        <x:f>'净值原始'!F3695</x:f>
        <x:v>1.2346</x:v>
      </x:c>
      <x:c r="AB204" s="73" t="n">
        <x:f>'净值原始'!F3699</x:f>
        <x:v>1.219</x:v>
      </x:c>
      <x:c r="AC204" s="66" t="n">
        <x:f>IF(OR(Y204="",Z204="",Z204&lt;=Y204,W204-Y204&gt;'sheet1-指标体系'!$J$24,X204-Z204&gt;'sheet1-指标体系'!$J$24),0,1)</x:f>
        <x:v>1</x:v>
      </x:c>
      <x:c r="AD204" s="74" t="n">
        <x:f>IF(AC204=0,"",AB204/AA204-1)</x:f>
        <x:v>-0.012635671472541632</x:v>
      </x:c>
      <x:c r="AE204" s="66" t="n">
        <x:f>IF(AC204=0,"",IF(AD204&gt;0,1,0))</x:f>
        <x:v>0</x:v>
      </x:c>
    </x:row>
    <x:row r="205" ht="27" customHeight="1">
      <x:c r="A205" s="66"/>
      <x:c r="B205" s="66"/>
      <x:c r="C205" s="66"/>
      <x:c r="D205" s="72"/>
      <x:c r="E205" s="72"/>
      <x:c r="F205" s="72"/>
      <x:c r="G205" s="72"/>
      <x:c r="H205" s="66"/>
      <x:c r="I205" s="66"/>
      <x:c r="J205" s="73"/>
      <x:c r="K205" s="73"/>
      <x:c r="L205" s="74"/>
      <x:c r="M205" s="74"/>
      <x:c r="N205" s="75"/>
      <x:c r="O205" s="74"/>
      <x:c r="P205" s="66"/>
      <x:c r="Q205" s="66"/>
      <x:c r="R205" s="66"/>
      <x:c r="S205" s="66"/>
      <x:c r="T205" s="66" t="str">
        <x:v>SXT086</x:v>
      </x:c>
      <x:c r="U205" s="66" t="str">
        <x:v>系数CTA套利五号</x:v>
      </x:c>
      <x:c r="V205" s="66" t="str">
        <x:v>2025-03</x:v>
      </x:c>
      <x:c r="W205" s="72" t="n">
        <x:v>45716</x:v>
      </x:c>
      <x:c r="X205" s="72" t="n">
        <x:v>45747</x:v>
      </x:c>
      <x:c r="Y205" s="72" t="n">
        <x:f>'净值原始'!C3699</x:f>
        <x:v>45716</x:v>
      </x:c>
      <x:c r="Z205" s="72" t="n">
        <x:f>'净值原始'!C3703</x:f>
        <x:v>45744</x:v>
      </x:c>
      <x:c r="AA205" s="73" t="n">
        <x:f>'净值原始'!F3699</x:f>
        <x:v>1.219</x:v>
      </x:c>
      <x:c r="AB205" s="73" t="n">
        <x:f>'净值原始'!F3703</x:f>
        <x:v>1.2211</x:v>
      </x:c>
      <x:c r="AC205" s="66" t="n">
        <x:f>IF(OR(Y205="",Z205="",Z205&lt;=Y205,W205-Y205&gt;'sheet1-指标体系'!$J$24,X205-Z205&gt;'sheet1-指标体系'!$J$24),0,1)</x:f>
        <x:v>1</x:v>
      </x:c>
      <x:c r="AD205" s="74" t="n">
        <x:f>IF(AC205=0,"",AB205/AA205-1)</x:f>
        <x:v>0.0017227235438883604</x:v>
      </x:c>
      <x:c r="AE205" s="66" t="n">
        <x:f>IF(AC205=0,"",IF(AD205&gt;0,1,0))</x:f>
        <x:v>1</x:v>
      </x:c>
    </x:row>
    <x:row r="206" ht="27" customHeight="1">
      <x:c r="A206" s="66"/>
      <x:c r="B206" s="66"/>
      <x:c r="C206" s="66"/>
      <x:c r="D206" s="72"/>
      <x:c r="E206" s="72"/>
      <x:c r="F206" s="72"/>
      <x:c r="G206" s="72"/>
      <x:c r="H206" s="66"/>
      <x:c r="I206" s="66"/>
      <x:c r="J206" s="73"/>
      <x:c r="K206" s="73"/>
      <x:c r="L206" s="74"/>
      <x:c r="M206" s="74"/>
      <x:c r="N206" s="75"/>
      <x:c r="O206" s="74"/>
      <x:c r="P206" s="66"/>
      <x:c r="Q206" s="66"/>
      <x:c r="R206" s="66"/>
      <x:c r="S206" s="66"/>
      <x:c r="T206" s="66" t="str">
        <x:v>SXT086</x:v>
      </x:c>
      <x:c r="U206" s="66" t="str">
        <x:v>系数CTA套利五号</x:v>
      </x:c>
      <x:c r="V206" s="66" t="str">
        <x:v>2025-04</x:v>
      </x:c>
      <x:c r="W206" s="72" t="n">
        <x:v>45747</x:v>
      </x:c>
      <x:c r="X206" s="72" t="n">
        <x:v>45777</x:v>
      </x:c>
      <x:c r="Y206" s="72" t="n">
        <x:f>'净值原始'!C3703</x:f>
        <x:v>45744</x:v>
      </x:c>
      <x:c r="Z206" s="72" t="n">
        <x:f>'净值原始'!C3708</x:f>
        <x:v>45777</x:v>
      </x:c>
      <x:c r="AA206" s="73" t="n">
        <x:f>'净值原始'!F3703</x:f>
        <x:v>1.2211</x:v>
      </x:c>
      <x:c r="AB206" s="73" t="n">
        <x:f>'净值原始'!F3708</x:f>
        <x:v>1.2712</x:v>
      </x:c>
      <x:c r="AC206" s="66" t="n">
        <x:f>IF(OR(Y206="",Z206="",Z206&lt;=Y206,W206-Y206&gt;'sheet1-指标体系'!$J$24,X206-Z206&gt;'sheet1-指标体系'!$J$24),0,1)</x:f>
        <x:v>1</x:v>
      </x:c>
      <x:c r="AD206" s="74" t="n">
        <x:f>IF(AC206=0,"",AB206/AA206-1)</x:f>
        <x:v>0.04102858078781435</x:v>
      </x:c>
      <x:c r="AE206" s="66" t="n">
        <x:f>IF(AC206=0,"",IF(AD206&gt;0,1,0))</x:f>
        <x:v>1</x:v>
      </x:c>
    </x:row>
    <x:row r="207" ht="27" customHeight="1">
      <x:c r="A207" s="66"/>
      <x:c r="B207" s="66"/>
      <x:c r="C207" s="66"/>
      <x:c r="D207" s="72"/>
      <x:c r="E207" s="72"/>
      <x:c r="F207" s="72"/>
      <x:c r="G207" s="72"/>
      <x:c r="H207" s="66"/>
      <x:c r="I207" s="66"/>
      <x:c r="J207" s="73"/>
      <x:c r="K207" s="73"/>
      <x:c r="L207" s="74"/>
      <x:c r="M207" s="74"/>
      <x:c r="N207" s="75"/>
      <x:c r="O207" s="74"/>
      <x:c r="P207" s="66"/>
      <x:c r="Q207" s="66"/>
      <x:c r="R207" s="66"/>
      <x:c r="S207" s="66"/>
      <x:c r="T207" s="66" t="str">
        <x:v>SXT086</x:v>
      </x:c>
      <x:c r="U207" s="66" t="str">
        <x:v>系数CTA套利五号</x:v>
      </x:c>
      <x:c r="V207" s="66" t="str">
        <x:v>2025-05</x:v>
      </x:c>
      <x:c r="W207" s="72" t="n">
        <x:v>45777</x:v>
      </x:c>
      <x:c r="X207" s="72" t="n">
        <x:v>45808</x:v>
      </x:c>
      <x:c r="Y207" s="72" t="n">
        <x:f>'净值原始'!C3708</x:f>
        <x:v>45777</x:v>
      </x:c>
      <x:c r="Z207" s="72" t="n">
        <x:f>'净值原始'!C3712</x:f>
        <x:v>45807</x:v>
      </x:c>
      <x:c r="AA207" s="73" t="n">
        <x:f>'净值原始'!F3708</x:f>
        <x:v>1.2712</x:v>
      </x:c>
      <x:c r="AB207" s="73" t="n">
        <x:f>'净值原始'!F3712</x:f>
        <x:v>1.2957</x:v>
      </x:c>
      <x:c r="AC207" s="66" t="n">
        <x:f>IF(OR(Y207="",Z207="",Z207&lt;=Y207,W207-Y207&gt;'sheet1-指标体系'!$J$24,X207-Z207&gt;'sheet1-指标体系'!$J$24),0,1)</x:f>
        <x:v>1</x:v>
      </x:c>
      <x:c r="AD207" s="74" t="n">
        <x:f>IF(AC207=0,"",AB207/AA207-1)</x:f>
        <x:v>0.01927312775330403</x:v>
      </x:c>
      <x:c r="AE207" s="66" t="n">
        <x:f>IF(AC207=0,"",IF(AD207&gt;0,1,0))</x:f>
        <x:v>1</x:v>
      </x:c>
    </x:row>
    <x:row r="208" ht="27" customHeight="1">
      <x:c r="A208" s="66"/>
      <x:c r="B208" s="66"/>
      <x:c r="C208" s="66"/>
      <x:c r="D208" s="72"/>
      <x:c r="E208" s="72"/>
      <x:c r="F208" s="72"/>
      <x:c r="G208" s="72"/>
      <x:c r="H208" s="66"/>
      <x:c r="I208" s="66"/>
      <x:c r="J208" s="73"/>
      <x:c r="K208" s="73"/>
      <x:c r="L208" s="74"/>
      <x:c r="M208" s="74"/>
      <x:c r="N208" s="75"/>
      <x:c r="O208" s="74"/>
      <x:c r="P208" s="66"/>
      <x:c r="Q208" s="66"/>
      <x:c r="R208" s="66"/>
      <x:c r="S208" s="66"/>
      <x:c r="T208" s="66" t="str">
        <x:v>SXT086</x:v>
      </x:c>
      <x:c r="U208" s="66" t="str">
        <x:v>系数CTA套利五号</x:v>
      </x:c>
      <x:c r="V208" s="66" t="str">
        <x:v>2025-06</x:v>
      </x:c>
      <x:c r="W208" s="72" t="n">
        <x:v>45808</x:v>
      </x:c>
      <x:c r="X208" s="72" t="n">
        <x:v>45838</x:v>
      </x:c>
      <x:c r="Y208" s="72" t="n">
        <x:f>'净值原始'!C3712</x:f>
        <x:v>45807</x:v>
      </x:c>
      <x:c r="Z208" s="72" t="n">
        <x:f>'净值原始'!C3716</x:f>
        <x:v>45835</x:v>
      </x:c>
      <x:c r="AA208" s="73" t="n">
        <x:f>'净值原始'!F3712</x:f>
        <x:v>1.2957</x:v>
      </x:c>
      <x:c r="AB208" s="73" t="n">
        <x:f>'净值原始'!F3716</x:f>
        <x:v>1.3014</x:v>
      </x:c>
      <x:c r="AC208" s="66" t="n">
        <x:f>IF(OR(Y208="",Z208="",Z208&lt;=Y208,W208-Y208&gt;'sheet1-指标体系'!$J$24,X208-Z208&gt;'sheet1-指标体系'!$J$24),0,1)</x:f>
        <x:v>1</x:v>
      </x:c>
      <x:c r="AD208" s="74" t="n">
        <x:f>IF(AC208=0,"",AB208/AA208-1)</x:f>
        <x:v>0.004399166473720628</x:v>
      </x:c>
      <x:c r="AE208" s="66" t="n">
        <x:f>IF(AC208=0,"",IF(AD208&gt;0,1,0))</x:f>
        <x:v>1</x:v>
      </x:c>
    </x:row>
    <x:row r="209" ht="27" customHeight="1">
      <x:c r="A209" s="66"/>
      <x:c r="B209" s="66"/>
      <x:c r="C209" s="66"/>
      <x:c r="D209" s="72"/>
      <x:c r="E209" s="72"/>
      <x:c r="F209" s="72"/>
      <x:c r="G209" s="72"/>
      <x:c r="H209" s="66"/>
      <x:c r="I209" s="66"/>
      <x:c r="J209" s="73"/>
      <x:c r="K209" s="73"/>
      <x:c r="L209" s="74"/>
      <x:c r="M209" s="74"/>
      <x:c r="N209" s="75"/>
      <x:c r="O209" s="74"/>
      <x:c r="P209" s="66"/>
      <x:c r="Q209" s="66"/>
      <x:c r="R209" s="66"/>
      <x:c r="S209" s="66"/>
      <x:c r="T209" s="66" t="str">
        <x:v>SXT086</x:v>
      </x:c>
      <x:c r="U209" s="66" t="str">
        <x:v>系数CTA套利五号</x:v>
      </x:c>
      <x:c r="V209" s="66" t="str">
        <x:v>2025-07</x:v>
      </x:c>
      <x:c r="W209" s="72" t="n">
        <x:v>45838</x:v>
      </x:c>
      <x:c r="X209" s="72" t="n">
        <x:v>45869</x:v>
      </x:c>
      <x:c r="Y209" s="72" t="n">
        <x:f>'净值原始'!C3716</x:f>
        <x:v>45835</x:v>
      </x:c>
      <x:c r="Z209" s="72" t="n">
        <x:f>'净值原始'!C3720</x:f>
        <x:v>45863</x:v>
      </x:c>
      <x:c r="AA209" s="73" t="n">
        <x:f>'净值原始'!F3716</x:f>
        <x:v>1.3014</x:v>
      </x:c>
      <x:c r="AB209" s="73" t="n">
        <x:f>'净值原始'!F3720</x:f>
        <x:v>1.3172</x:v>
      </x:c>
      <x:c r="AC209" s="66" t="n">
        <x:f>IF(OR(Y209="",Z209="",Z209&lt;=Y209,W209-Y209&gt;'sheet1-指标体系'!$J$24,X209-Z209&gt;'sheet1-指标体系'!$J$24),0,1)</x:f>
        <x:v>1</x:v>
      </x:c>
      <x:c r="AD209" s="74" t="n">
        <x:f>IF(AC209=0,"",AB209/AA209-1)</x:f>
        <x:v>0.012140771476871093</x:v>
      </x:c>
      <x:c r="AE209" s="66" t="n">
        <x:f>IF(AC209=0,"",IF(AD209&gt;0,1,0))</x:f>
        <x:v>1</x:v>
      </x:c>
    </x:row>
    <x:row r="210" ht="27" customHeight="1">
      <x:c r="A210" s="66"/>
      <x:c r="B210" s="66"/>
      <x:c r="C210" s="66"/>
      <x:c r="D210" s="72"/>
      <x:c r="E210" s="72"/>
      <x:c r="F210" s="72"/>
      <x:c r="G210" s="72"/>
      <x:c r="H210" s="66"/>
      <x:c r="I210" s="66"/>
      <x:c r="J210" s="73"/>
      <x:c r="K210" s="73"/>
      <x:c r="L210" s="74"/>
      <x:c r="M210" s="74"/>
      <x:c r="N210" s="75"/>
      <x:c r="O210" s="74"/>
      <x:c r="P210" s="66"/>
      <x:c r="Q210" s="66"/>
      <x:c r="R210" s="66"/>
      <x:c r="S210" s="66"/>
      <x:c r="T210" s="66" t="str">
        <x:v>SXT086</x:v>
      </x:c>
      <x:c r="U210" s="66" t="str">
        <x:v>系数CTA套利五号</x:v>
      </x:c>
      <x:c r="V210" s="66" t="str">
        <x:v>2025-08</x:v>
      </x:c>
      <x:c r="W210" s="72" t="n">
        <x:v>45869</x:v>
      </x:c>
      <x:c r="X210" s="72" t="n">
        <x:v>45900</x:v>
      </x:c>
      <x:c r="Y210" s="72" t="n">
        <x:f>'净值原始'!C3720</x:f>
        <x:v>45863</x:v>
      </x:c>
      <x:c r="Z210" s="72" t="n">
        <x:f>'净值原始'!C3725</x:f>
        <x:v>45898</x:v>
      </x:c>
      <x:c r="AA210" s="73" t="n">
        <x:f>'净值原始'!F3720</x:f>
        <x:v>1.3172</x:v>
      </x:c>
      <x:c r="AB210" s="73" t="n">
        <x:f>'净值原始'!F3725</x:f>
        <x:v>1.3123</x:v>
      </x:c>
      <x:c r="AC210" s="66" t="n">
        <x:f>IF(OR(Y210="",Z210="",Z210&lt;=Y210,W210-Y210&gt;'sheet1-指标体系'!$J$24,X210-Z210&gt;'sheet1-指标体系'!$J$24),0,1)</x:f>
        <x:v>1</x:v>
      </x:c>
      <x:c r="AD210" s="74" t="n">
        <x:f>IF(AC210=0,"",AB210/AA210-1)</x:f>
        <x:v>-0.0037200121469783687</x:v>
      </x:c>
      <x:c r="AE210" s="66" t="n">
        <x:f>IF(AC210=0,"",IF(AD210&gt;0,1,0))</x:f>
        <x:v>0</x:v>
      </x:c>
    </x:row>
    <x:row r="211" ht="27" customHeight="1">
      <x:c r="A211" s="66"/>
      <x:c r="B211" s="66"/>
      <x:c r="C211" s="66"/>
      <x:c r="D211" s="72"/>
      <x:c r="E211" s="72"/>
      <x:c r="F211" s="72"/>
      <x:c r="G211" s="72"/>
      <x:c r="H211" s="66"/>
      <x:c r="I211" s="66"/>
      <x:c r="J211" s="73"/>
      <x:c r="K211" s="73"/>
      <x:c r="L211" s="74"/>
      <x:c r="M211" s="74"/>
      <x:c r="N211" s="75"/>
      <x:c r="O211" s="74"/>
      <x:c r="P211" s="66"/>
      <x:c r="Q211" s="66"/>
      <x:c r="R211" s="66"/>
      <x:c r="S211" s="66"/>
      <x:c r="T211" s="66" t="str">
        <x:v>SXT086</x:v>
      </x:c>
      <x:c r="U211" s="66" t="str">
        <x:v>系数CTA套利五号</x:v>
      </x:c>
      <x:c r="V211" s="66" t="str">
        <x:v>2025-09</x:v>
      </x:c>
      <x:c r="W211" s="72" t="n">
        <x:v>45900</x:v>
      </x:c>
      <x:c r="X211" s="72" t="n">
        <x:v>45930</x:v>
      </x:c>
      <x:c r="Y211" s="72" t="n">
        <x:f>'净值原始'!C3725</x:f>
        <x:v>45898</x:v>
      </x:c>
      <x:c r="Z211" s="72" t="n">
        <x:f>'净值原始'!C3730</x:f>
        <x:v>45930</x:v>
      </x:c>
      <x:c r="AA211" s="73" t="n">
        <x:f>'净值原始'!F3725</x:f>
        <x:v>1.3123</x:v>
      </x:c>
      <x:c r="AB211" s="73" t="n">
        <x:f>'净值原始'!F3730</x:f>
        <x:v>1.3148</x:v>
      </x:c>
      <x:c r="AC211" s="66" t="n">
        <x:f>IF(OR(Y211="",Z211="",Z211&lt;=Y211,W211-Y211&gt;'sheet1-指标体系'!$J$24,X211-Z211&gt;'sheet1-指标体系'!$J$24),0,1)</x:f>
        <x:v>1</x:v>
      </x:c>
      <x:c r="AD211" s="74" t="n">
        <x:f>IF(AC211=0,"",AB211/AA211-1)</x:f>
        <x:v>0.0019050521984302904</x:v>
      </x:c>
      <x:c r="AE211" s="66" t="n">
        <x:f>IF(AC211=0,"",IF(AD211&gt;0,1,0))</x:f>
        <x:v>1</x:v>
      </x:c>
    </x:row>
    <x:row r="212" ht="27" customHeight="1">
      <x:c r="A212" s="66"/>
      <x:c r="B212" s="66"/>
      <x:c r="C212" s="66"/>
      <x:c r="D212" s="72"/>
      <x:c r="E212" s="72"/>
      <x:c r="F212" s="72"/>
      <x:c r="G212" s="72"/>
      <x:c r="H212" s="66"/>
      <x:c r="I212" s="66"/>
      <x:c r="J212" s="73"/>
      <x:c r="K212" s="73"/>
      <x:c r="L212" s="74"/>
      <x:c r="M212" s="74"/>
      <x:c r="N212" s="75"/>
      <x:c r="O212" s="74"/>
      <x:c r="P212" s="66"/>
      <x:c r="Q212" s="66"/>
      <x:c r="R212" s="66"/>
      <x:c r="S212" s="66"/>
      <x:c r="T212" s="66" t="str">
        <x:v>SXT086</x:v>
      </x:c>
      <x:c r="U212" s="66" t="str">
        <x:v>系数CTA套利五号</x:v>
      </x:c>
      <x:c r="V212" s="66" t="str">
        <x:v>2025-10</x:v>
      </x:c>
      <x:c r="W212" s="72" t="n">
        <x:v>45930</x:v>
      </x:c>
      <x:c r="X212" s="72" t="n">
        <x:v>45961</x:v>
      </x:c>
      <x:c r="Y212" s="72" t="n">
        <x:f>'净值原始'!C3730</x:f>
        <x:v>45930</x:v>
      </x:c>
      <x:c r="Z212" s="72" t="n">
        <x:f>'净值原始'!C3734</x:f>
        <x:v>45961</x:v>
      </x:c>
      <x:c r="AA212" s="73" t="n">
        <x:f>'净值原始'!F3730</x:f>
        <x:v>1.3148</x:v>
      </x:c>
      <x:c r="AB212" s="73" t="n">
        <x:f>'净值原始'!F3734</x:f>
        <x:v>1.3043</x:v>
      </x:c>
      <x:c r="AC212" s="66" t="n">
        <x:f>IF(OR(Y212="",Z212="",Z212&lt;=Y212,W212-Y212&gt;'sheet1-指标体系'!$J$24,X212-Z212&gt;'sheet1-指标体系'!$J$24),0,1)</x:f>
        <x:v>1</x:v>
      </x:c>
      <x:c r="AD212" s="74" t="n">
        <x:f>IF(AC212=0,"",AB212/AA212-1)</x:f>
        <x:v>-0.007986005476118052</x:v>
      </x:c>
      <x:c r="AE212" s="66" t="n">
        <x:f>IF(AC212=0,"",IF(AD212&gt;0,1,0))</x:f>
        <x:v>0</x:v>
      </x:c>
    </x:row>
    <x:row r="213" ht="27" customHeight="1">
      <x:c r="A213" s="66"/>
      <x:c r="B213" s="66"/>
      <x:c r="C213" s="66"/>
      <x:c r="D213" s="72"/>
      <x:c r="E213" s="72"/>
      <x:c r="F213" s="72"/>
      <x:c r="G213" s="72"/>
      <x:c r="H213" s="66"/>
      <x:c r="I213" s="66"/>
      <x:c r="J213" s="73"/>
      <x:c r="K213" s="73"/>
      <x:c r="L213" s="74"/>
      <x:c r="M213" s="74"/>
      <x:c r="N213" s="75"/>
      <x:c r="O213" s="74"/>
      <x:c r="P213" s="66"/>
      <x:c r="Q213" s="66"/>
      <x:c r="R213" s="66"/>
      <x:c r="S213" s="66"/>
      <x:c r="T213" s="66" t="str">
        <x:v>SXT086</x:v>
      </x:c>
      <x:c r="U213" s="66" t="str">
        <x:v>系数CTA套利五号</x:v>
      </x:c>
      <x:c r="V213" s="66" t="str">
        <x:v>2025-11</x:v>
      </x:c>
      <x:c r="W213" s="72" t="n">
        <x:v>45961</x:v>
      </x:c>
      <x:c r="X213" s="72" t="n">
        <x:v>45991</x:v>
      </x:c>
      <x:c r="Y213" s="72" t="n">
        <x:f>'净值原始'!C3734</x:f>
        <x:v>45961</x:v>
      </x:c>
      <x:c r="Z213" s="72" t="n">
        <x:f>'净值原始'!C3738</x:f>
        <x:v>45989</x:v>
      </x:c>
      <x:c r="AA213" s="73" t="n">
        <x:f>'净值原始'!F3734</x:f>
        <x:v>1.3043</x:v>
      </x:c>
      <x:c r="AB213" s="73" t="n">
        <x:f>'净值原始'!F3738</x:f>
        <x:v>1.2896</x:v>
      </x:c>
      <x:c r="AC213" s="66" t="n">
        <x:f>IF(OR(Y213="",Z213="",Z213&lt;=Y213,W213-Y213&gt;'sheet1-指标体系'!$J$24,X213-Z213&gt;'sheet1-指标体系'!$J$24),0,1)</x:f>
        <x:v>1</x:v>
      </x:c>
      <x:c r="AD213" s="74" t="n">
        <x:f>IF(AC213=0,"",AB213/AA213-1)</x:f>
        <x:v>-0.011270413248485767</x:v>
      </x:c>
      <x:c r="AE213" s="66" t="n">
        <x:f>IF(AC213=0,"",IF(AD213&gt;0,1,0))</x:f>
        <x:v>0</x:v>
      </x:c>
    </x:row>
    <x:row r="214" ht="27" customHeight="1">
      <x:c r="A214" s="66"/>
      <x:c r="B214" s="66"/>
      <x:c r="C214" s="66"/>
      <x:c r="D214" s="72"/>
      <x:c r="E214" s="72"/>
      <x:c r="F214" s="72"/>
      <x:c r="G214" s="72"/>
      <x:c r="H214" s="66"/>
      <x:c r="I214" s="66"/>
      <x:c r="J214" s="73"/>
      <x:c r="K214" s="73"/>
      <x:c r="L214" s="74"/>
      <x:c r="M214" s="74"/>
      <x:c r="N214" s="75"/>
      <x:c r="O214" s="74"/>
      <x:c r="P214" s="66"/>
      <x:c r="Q214" s="66"/>
      <x:c r="R214" s="66"/>
      <x:c r="S214" s="66"/>
      <x:c r="T214" s="66" t="str">
        <x:v>SXT086</x:v>
      </x:c>
      <x:c r="U214" s="66" t="str">
        <x:v>系数CTA套利五号</x:v>
      </x:c>
      <x:c r="V214" s="66" t="str">
        <x:v>2025-12</x:v>
      </x:c>
      <x:c r="W214" s="72" t="n">
        <x:v>45991</x:v>
      </x:c>
      <x:c r="X214" s="72" t="n">
        <x:v>46022</x:v>
      </x:c>
      <x:c r="Y214" s="72" t="n">
        <x:f>'净值原始'!C3738</x:f>
        <x:v>45989</x:v>
      </x:c>
      <x:c r="Z214" s="72" t="n">
        <x:f>'净值原始'!C3743</x:f>
        <x:v>46022</x:v>
      </x:c>
      <x:c r="AA214" s="73" t="n">
        <x:f>'净值原始'!F3738</x:f>
        <x:v>1.2896</x:v>
      </x:c>
      <x:c r="AB214" s="73" t="n">
        <x:f>'净值原始'!F3743</x:f>
        <x:v>1.2823</x:v>
      </x:c>
      <x:c r="AC214" s="66" t="n">
        <x:f>IF(OR(Y214="",Z214="",Z214&lt;=Y214,W214-Y214&gt;'sheet1-指标体系'!$J$24,X214-Z214&gt;'sheet1-指标体系'!$J$24),0,1)</x:f>
        <x:v>1</x:v>
      </x:c>
      <x:c r="AD214" s="74" t="n">
        <x:f>IF(AC214=0,"",AB214/AA214-1)</x:f>
        <x:v>-0.005660669975186217</x:v>
      </x:c>
      <x:c r="AE214" s="66" t="n">
        <x:f>IF(AC214=0,"",IF(AD214&gt;0,1,0))</x:f>
        <x:v>0</x:v>
      </x:c>
    </x:row>
    <x:row r="215" ht="27" customHeight="1">
      <x:c r="A215" s="66"/>
      <x:c r="B215" s="66"/>
      <x:c r="C215" s="66"/>
      <x:c r="D215" s="72"/>
      <x:c r="E215" s="72"/>
      <x:c r="F215" s="72"/>
      <x:c r="G215" s="72"/>
      <x:c r="H215" s="66"/>
      <x:c r="I215" s="66"/>
      <x:c r="J215" s="73"/>
      <x:c r="K215" s="73"/>
      <x:c r="L215" s="74"/>
      <x:c r="M215" s="74"/>
      <x:c r="N215" s="75"/>
      <x:c r="O215" s="74"/>
      <x:c r="P215" s="66"/>
      <x:c r="Q215" s="66"/>
      <x:c r="R215" s="66"/>
      <x:c r="S215" s="66"/>
      <x:c r="T215" s="66" t="str">
        <x:v>SXT086</x:v>
      </x:c>
      <x:c r="U215" s="66" t="str">
        <x:v>系数CTA套利五号</x:v>
      </x:c>
      <x:c r="V215" s="66" t="str">
        <x:v>2026-01</x:v>
      </x:c>
      <x:c r="W215" s="72" t="n">
        <x:v>46022</x:v>
      </x:c>
      <x:c r="X215" s="72" t="n">
        <x:v>46053</x:v>
      </x:c>
      <x:c r="Y215" s="72" t="n">
        <x:f>'净值原始'!C3743</x:f>
        <x:v>46022</x:v>
      </x:c>
      <x:c r="Z215" s="72" t="n">
        <x:f>'净值原始'!C3747</x:f>
        <x:v>46052</x:v>
      </x:c>
      <x:c r="AA215" s="73" t="n">
        <x:f>'净值原始'!F3743</x:f>
        <x:v>1.2823</x:v>
      </x:c>
      <x:c r="AB215" s="73" t="n">
        <x:f>'净值原始'!F3747</x:f>
        <x:v>1.3333</x:v>
      </x:c>
      <x:c r="AC215" s="66" t="n">
        <x:f>IF(OR(Y215="",Z215="",Z215&lt;=Y215,W215-Y215&gt;'sheet1-指标体系'!$J$24,X215-Z215&gt;'sheet1-指标体系'!$J$24),0,1)</x:f>
        <x:v>1</x:v>
      </x:c>
      <x:c r="AD215" s="74" t="n">
        <x:f>IF(AC215=0,"",AB215/AA215-1)</x:f>
        <x:v>0.03977228417686973</x:v>
      </x:c>
      <x:c r="AE215" s="66" t="n">
        <x:f>IF(AC215=0,"",IF(AD215&gt;0,1,0))</x:f>
        <x:v>1</x:v>
      </x:c>
    </x:row>
    <x:row r="216" ht="27" customHeight="1">
      <x:c r="A216" s="66"/>
      <x:c r="B216" s="66"/>
      <x:c r="C216" s="66"/>
      <x:c r="D216" s="72"/>
      <x:c r="E216" s="72"/>
      <x:c r="F216" s="72"/>
      <x:c r="G216" s="72"/>
      <x:c r="H216" s="66"/>
      <x:c r="I216" s="66"/>
      <x:c r="J216" s="73"/>
      <x:c r="K216" s="73"/>
      <x:c r="L216" s="74"/>
      <x:c r="M216" s="74"/>
      <x:c r="N216" s="75"/>
      <x:c r="O216" s="74"/>
      <x:c r="P216" s="66"/>
      <x:c r="Q216" s="66"/>
      <x:c r="R216" s="66"/>
      <x:c r="S216" s="66"/>
      <x:c r="T216" s="66" t="str">
        <x:v>SXT086</x:v>
      </x:c>
      <x:c r="U216" s="66" t="str">
        <x:v>系数CTA套利五号</x:v>
      </x:c>
      <x:c r="V216" s="66" t="str">
        <x:v>2026-02</x:v>
      </x:c>
      <x:c r="W216" s="72" t="n">
        <x:v>46053</x:v>
      </x:c>
      <x:c r="X216" s="72" t="n">
        <x:v>46081</x:v>
      </x:c>
      <x:c r="Y216" s="72" t="n">
        <x:f>'净值原始'!C3747</x:f>
        <x:v>46052</x:v>
      </x:c>
      <x:c r="Z216" s="72" t="n">
        <x:f>'净值原始'!C3750</x:f>
        <x:v>46080</x:v>
      </x:c>
      <x:c r="AA216" s="73" t="n">
        <x:f>'净值原始'!F3747</x:f>
        <x:v>1.3333</x:v>
      </x:c>
      <x:c r="AB216" s="73" t="n">
        <x:f>'净值原始'!F3750</x:f>
        <x:v>1.3342</x:v>
      </x:c>
      <x:c r="AC216" s="66" t="n">
        <x:f>IF(OR(Y216="",Z216="",Z216&lt;=Y216,W216-Y216&gt;'sheet1-指标体系'!$J$24,X216-Z216&gt;'sheet1-指标体系'!$J$24),0,1)</x:f>
        <x:v>1</x:v>
      </x:c>
      <x:c r="AD216" s="74" t="n">
        <x:f>IF(AC216=0,"",AB216/AA216-1)</x:f>
        <x:v>0.0006750168754219299</x:v>
      </x:c>
      <x:c r="AE216" s="66" t="n">
        <x:f>IF(AC216=0,"",IF(AD216&gt;0,1,0))</x:f>
        <x:v>1</x:v>
      </x:c>
    </x:row>
    <x:row r="217" ht="27" customHeight="1">
      <x:c r="A217" s="66"/>
      <x:c r="B217" s="66"/>
      <x:c r="C217" s="66"/>
      <x:c r="D217" s="72"/>
      <x:c r="E217" s="72"/>
      <x:c r="F217" s="72"/>
      <x:c r="G217" s="72"/>
      <x:c r="H217" s="66"/>
      <x:c r="I217" s="66"/>
      <x:c r="J217" s="73"/>
      <x:c r="K217" s="73"/>
      <x:c r="L217" s="74"/>
      <x:c r="M217" s="74"/>
      <x:c r="N217" s="75"/>
      <x:c r="O217" s="74"/>
      <x:c r="P217" s="66"/>
      <x:c r="Q217" s="66"/>
      <x:c r="R217" s="66"/>
      <x:c r="S217" s="66"/>
      <x:c r="T217" s="66" t="str">
        <x:v>SXT086</x:v>
      </x:c>
      <x:c r="U217" s="66" t="str">
        <x:v>系数CTA套利五号</x:v>
      </x:c>
      <x:c r="V217" s="66" t="str">
        <x:v>2026-03</x:v>
      </x:c>
      <x:c r="W217" s="72" t="n">
        <x:v>46081</x:v>
      </x:c>
      <x:c r="X217" s="72" t="n">
        <x:v>46112</x:v>
      </x:c>
      <x:c r="Y217" s="72" t="n">
        <x:f>'净值原始'!C3750</x:f>
        <x:v>46080</x:v>
      </x:c>
      <x:c r="Z217" s="72" t="n">
        <x:f>'净值原始'!C3754</x:f>
        <x:v>46108</x:v>
      </x:c>
      <x:c r="AA217" s="73" t="n">
        <x:f>'净值原始'!F3750</x:f>
        <x:v>1.3342</x:v>
      </x:c>
      <x:c r="AB217" s="73" t="n">
        <x:f>'净值原始'!F3754</x:f>
        <x:v>1.323</x:v>
      </x:c>
      <x:c r="AC217" s="66" t="n">
        <x:f>IF(OR(Y217="",Z217="",Z217&lt;=Y217,W217-Y217&gt;'sheet1-指标体系'!$J$24,X217-Z217&gt;'sheet1-指标体系'!$J$24),0,1)</x:f>
        <x:v>1</x:v>
      </x:c>
      <x:c r="AD217" s="74" t="n">
        <x:f>IF(AC217=0,"",AB217/AA217-1)</x:f>
        <x:v>-0.008394543546694777</x:v>
      </x:c>
      <x:c r="AE217" s="66" t="n">
        <x:f>IF(AC217=0,"",IF(AD217&gt;0,1,0))</x:f>
        <x:v>0</x:v>
      </x:c>
    </x:row>
    <x:row r="218" ht="27" customHeight="1">
      <x:c r="A218" s="66"/>
      <x:c r="B218" s="66"/>
      <x:c r="C218" s="66"/>
      <x:c r="D218" s="72"/>
      <x:c r="E218" s="72"/>
      <x:c r="F218" s="72"/>
      <x:c r="G218" s="72"/>
      <x:c r="H218" s="66"/>
      <x:c r="I218" s="66"/>
      <x:c r="J218" s="73"/>
      <x:c r="K218" s="73"/>
      <x:c r="L218" s="74"/>
      <x:c r="M218" s="74"/>
      <x:c r="N218" s="75"/>
      <x:c r="O218" s="74"/>
      <x:c r="P218" s="66"/>
      <x:c r="Q218" s="66"/>
      <x:c r="R218" s="66"/>
      <x:c r="S218" s="66"/>
      <x:c r="T218" s="66" t="str">
        <x:v>SXT086</x:v>
      </x:c>
      <x:c r="U218" s="66" t="str">
        <x:v>系数CTA套利五号</x:v>
      </x:c>
      <x:c r="V218" s="66" t="str">
        <x:v>2026-04</x:v>
      </x:c>
      <x:c r="W218" s="72" t="n">
        <x:v>46112</x:v>
      </x:c>
      <x:c r="X218" s="72" t="n">
        <x:v>46142</x:v>
      </x:c>
      <x:c r="Y218" s="72" t="n">
        <x:f>'净值原始'!C3754</x:f>
        <x:v>46108</x:v>
      </x:c>
      <x:c r="Z218" s="72" t="n">
        <x:f>'净值原始'!C3759</x:f>
        <x:v>46142</x:v>
      </x:c>
      <x:c r="AA218" s="73" t="n">
        <x:f>'净值原始'!F3754</x:f>
        <x:v>1.323</x:v>
      </x:c>
      <x:c r="AB218" s="73" t="n">
        <x:f>'净值原始'!F3759</x:f>
        <x:v>1.3271</x:v>
      </x:c>
      <x:c r="AC218" s="66" t="n">
        <x:f>IF(OR(Y218="",Z218="",Z218&lt;=Y218,W218-Y218&gt;'sheet1-指标体系'!$J$24,X218-Z218&gt;'sheet1-指标体系'!$J$24),0,1)</x:f>
        <x:v>1</x:v>
      </x:c>
      <x:c r="AD218" s="74" t="n">
        <x:f>IF(AC218=0,"",AB218/AA218-1)</x:f>
        <x:v>0.003099017384731617</x:v>
      </x:c>
      <x:c r="AE218" s="66" t="n">
        <x:f>IF(AC218=0,"",IF(AD218&gt;0,1,0))</x:f>
        <x:v>1</x:v>
      </x:c>
    </x:row>
    <x:row r="219" ht="27" customHeight="1">
      <x:c r="A219" s="66"/>
      <x:c r="B219" s="66"/>
      <x:c r="C219" s="66"/>
      <x:c r="D219" s="72"/>
      <x:c r="E219" s="72"/>
      <x:c r="F219" s="72"/>
      <x:c r="G219" s="72"/>
      <x:c r="H219" s="66"/>
      <x:c r="I219" s="66"/>
      <x:c r="J219" s="73"/>
      <x:c r="K219" s="73"/>
      <x:c r="L219" s="74"/>
      <x:c r="M219" s="74"/>
      <x:c r="N219" s="75"/>
      <x:c r="O219" s="74"/>
      <x:c r="P219" s="66"/>
      <x:c r="Q219" s="66"/>
      <x:c r="R219" s="66"/>
      <x:c r="S219" s="66"/>
      <x:c r="T219" s="66" t="str">
        <x:v>SXT086</x:v>
      </x:c>
      <x:c r="U219" s="66" t="str">
        <x:v>系数CTA套利五号</x:v>
      </x:c>
      <x:c r="V219" s="66" t="str">
        <x:v>2026-05</x:v>
      </x:c>
      <x:c r="W219" s="72" t="n">
        <x:v>46142</x:v>
      </x:c>
      <x:c r="X219" s="72" t="n">
        <x:v>46173</x:v>
      </x:c>
      <x:c r="Y219" s="72" t="n">
        <x:f>'净值原始'!C3759</x:f>
        <x:v>46142</x:v>
      </x:c>
      <x:c r="Z219" s="72" t="n">
        <x:f>'净值原始'!C3763</x:f>
        <x:v>46171</x:v>
      </x:c>
      <x:c r="AA219" s="73" t="n">
        <x:f>'净值原始'!F3759</x:f>
        <x:v>1.3271</x:v>
      </x:c>
      <x:c r="AB219" s="73" t="n">
        <x:f>'净值原始'!F3763</x:f>
        <x:v>1.3155</x:v>
      </x:c>
      <x:c r="AC219" s="66" t="n">
        <x:f>IF(OR(Y219="",Z219="",Z219&lt;=Y219,W219-Y219&gt;'sheet1-指标体系'!$J$24,X219-Z219&gt;'sheet1-指标体系'!$J$24),0,1)</x:f>
        <x:v>1</x:v>
      </x:c>
      <x:c r="AD219" s="74" t="n">
        <x:f>IF(AC219=0,"",AB219/AA219-1)</x:f>
        <x:v>-0.008740863537035737</x:v>
      </x:c>
      <x:c r="AE219" s="66" t="n">
        <x:f>IF(AC219=0,"",IF(AD219&gt;0,1,0))</x:f>
        <x:v>0</x:v>
      </x:c>
    </x:row>
    <x:row r="220" ht="27" customHeight="1">
      <x:c r="A220" s="66"/>
      <x:c r="B220" s="66"/>
      <x:c r="C220" s="66"/>
      <x:c r="D220" s="72"/>
      <x:c r="E220" s="72"/>
      <x:c r="F220" s="72"/>
      <x:c r="G220" s="72"/>
      <x:c r="H220" s="66"/>
      <x:c r="I220" s="66"/>
      <x:c r="J220" s="73"/>
      <x:c r="K220" s="73"/>
      <x:c r="L220" s="74"/>
      <x:c r="M220" s="74"/>
      <x:c r="N220" s="75"/>
      <x:c r="O220" s="74"/>
      <x:c r="P220" s="66"/>
      <x:c r="Q220" s="66"/>
      <x:c r="R220" s="66"/>
      <x:c r="S220" s="66"/>
      <x:c r="T220" s="66" t="str">
        <x:v>SXT086</x:v>
      </x:c>
      <x:c r="U220" s="66" t="str">
        <x:v>系数CTA套利五号</x:v>
      </x:c>
      <x:c r="V220" s="66" t="str">
        <x:v>2026-06</x:v>
      </x:c>
      <x:c r="W220" s="72" t="n">
        <x:v>46173</x:v>
      </x:c>
      <x:c r="X220" s="72" t="n">
        <x:v>46203</x:v>
      </x:c>
      <x:c r="Y220" s="72" t="n">
        <x:f>'净值原始'!C3763</x:f>
        <x:v>46171</x:v>
      </x:c>
      <x:c r="Z220" s="72" t="n">
        <x:f>'净值原始'!C3767</x:f>
        <x:v>46199</x:v>
      </x:c>
      <x:c r="AA220" s="73" t="n">
        <x:f>'净值原始'!F3763</x:f>
        <x:v>1.3155</x:v>
      </x:c>
      <x:c r="AB220" s="73" t="n">
        <x:f>'净值原始'!F3767</x:f>
        <x:v>1.307</x:v>
      </x:c>
      <x:c r="AC220" s="66" t="n">
        <x:f>IF(OR(Y220="",Z220="",Z220&lt;=Y220,W220-Y220&gt;'sheet1-指标体系'!$J$24,X220-Z220&gt;'sheet1-指标体系'!$J$24),0,1)</x:f>
        <x:v>1</x:v>
      </x:c>
      <x:c r="AD220" s="74" t="n">
        <x:f>IF(AC220=0,"",AB220/AA220-1)</x:f>
        <x:v>-0.006461421512732768</x:v>
      </x:c>
      <x:c r="AE220" s="66" t="n">
        <x:f>IF(AC220=0,"",IF(AD220&gt;0,1,0))</x:f>
        <x:v>0</x:v>
      </x:c>
    </x:row>
    <x:row r="221" ht="27" customHeight="1">
      <x:c r="A221" s="66"/>
      <x:c r="B221" s="66"/>
      <x:c r="C221" s="66"/>
      <x:c r="D221" s="72"/>
      <x:c r="E221" s="72"/>
      <x:c r="F221" s="72"/>
      <x:c r="G221" s="72"/>
      <x:c r="H221" s="66"/>
      <x:c r="I221" s="66"/>
      <x:c r="J221" s="73"/>
      <x:c r="K221" s="73"/>
      <x:c r="L221" s="74"/>
      <x:c r="M221" s="74"/>
      <x:c r="N221" s="75"/>
      <x:c r="O221" s="74"/>
      <x:c r="P221" s="66"/>
      <x:c r="Q221" s="66"/>
      <x:c r="R221" s="66"/>
      <x:c r="S221" s="66"/>
      <x:c r="T221" s="66" t="str">
        <x:v>SXT086</x:v>
      </x:c>
      <x:c r="U221" s="66" t="str">
        <x:v>系数CTA套利五号</x:v>
      </x:c>
      <x:c r="V221" s="66" t="str">
        <x:v>2026-07</x:v>
      </x:c>
      <x:c r="W221" s="72" t="n">
        <x:v>46203</x:v>
      </x:c>
      <x:c r="X221" s="72" t="n">
        <x:v>46234</x:v>
      </x:c>
      <x:c r="Y221" s="72" t="n">
        <x:f>'净值原始'!C3767</x:f>
        <x:v>46199</x:v>
      </x:c>
      <x:c r="Z221" s="72" t="n">
        <x:f>'净值原始'!C3772</x:f>
        <x:v>46234</x:v>
      </x:c>
      <x:c r="AA221" s="73" t="n">
        <x:f>'净值原始'!F3767</x:f>
        <x:v>1.307</x:v>
      </x:c>
      <x:c r="AB221" s="73" t="n">
        <x:f>'净值原始'!F3772</x:f>
        <x:v>1.323</x:v>
      </x:c>
      <x:c r="AC221" s="66" t="n">
        <x:f>IF(OR(Y221="",Z221="",Z221&lt;=Y221,W221-Y221&gt;'sheet1-指标体系'!$J$24,X221-Z221&gt;'sheet1-指标体系'!$J$24),0,1)</x:f>
        <x:v>1</x:v>
      </x:c>
      <x:c r="AD221" s="74" t="n">
        <x:f>IF(AC221=0,"",AB221/AA221-1)</x:f>
        <x:v>0.01224177505738333</x:v>
      </x:c>
      <x:c r="AE221" s="66" t="n">
        <x:f>IF(AC221=0,"",IF(AD221&gt;0,1,0))</x:f>
        <x:v>1</x:v>
      </x:c>
    </x:row>
    <x:row r="222" ht="27" customHeight="1">
      <x:c r="A222" s="66"/>
      <x:c r="B222" s="66"/>
      <x:c r="C222" s="66"/>
      <x:c r="D222" s="72"/>
      <x:c r="E222" s="72"/>
      <x:c r="F222" s="72"/>
      <x:c r="G222" s="72"/>
      <x:c r="H222" s="66"/>
      <x:c r="I222" s="66"/>
      <x:c r="J222" s="73"/>
      <x:c r="K222" s="73"/>
      <x:c r="L222" s="74"/>
      <x:c r="M222" s="74"/>
      <x:c r="N222" s="75"/>
      <x:c r="O222" s="74"/>
      <x:c r="P222" s="66"/>
      <x:c r="Q222" s="66"/>
      <x:c r="R222" s="66"/>
      <x:c r="S222" s="66"/>
      <x:c r="T222" s="66" t="str">
        <x:v>SXT086</x:v>
      </x:c>
      <x:c r="U222" s="66" t="str">
        <x:v>系数CTA套利五号</x:v>
      </x:c>
      <x:c r="V222" s="66" t="str">
        <x:v>2026-08</x:v>
      </x:c>
      <x:c r="W222" s="72" t="n">
        <x:v>46234</x:v>
      </x:c>
      <x:c r="X222" s="72" t="n">
        <x:v>46265</x:v>
      </x:c>
      <x:c r="Y222" s="72" t="n">
        <x:f>'净值原始'!C3772</x:f>
        <x:v>46234</x:v>
      </x:c>
      <x:c r="Z222" s="72" t="n">
        <x:f>'净值原始'!C3776</x:f>
        <x:v>46262</x:v>
      </x:c>
      <x:c r="AA222" s="73" t="n">
        <x:f>'净值原始'!F3772</x:f>
        <x:v>1.323</x:v>
      </x:c>
      <x:c r="AB222" s="73" t="n">
        <x:f>'净值原始'!F3776</x:f>
        <x:v>1.3197</x:v>
      </x:c>
      <x:c r="AC222" s="66" t="n">
        <x:f>IF(OR(Y222="",Z222="",Z222&lt;=Y222,W222-Y222&gt;'sheet1-指标体系'!$J$24,X222-Z222&gt;'sheet1-指标体系'!$J$24),0,1)</x:f>
        <x:v>1</x:v>
      </x:c>
      <x:c r="AD222" s="74" t="n">
        <x:f>IF(AC222=0,"",AB222/AA222-1)</x:f>
        <x:v>-0.0024943310657595807</x:v>
      </x:c>
      <x:c r="AE222" s="66" t="n">
        <x:f>IF(AC222=0,"",IF(AD222&gt;0,1,0))</x:f>
        <x:v>0</x:v>
      </x:c>
    </x:row>
    <x:row r="223" ht="27" customHeight="1">
      <x:c r="A223" s="66"/>
      <x:c r="B223" s="66"/>
      <x:c r="C223" s="66"/>
      <x:c r="D223" s="72"/>
      <x:c r="E223" s="72"/>
      <x:c r="F223" s="72"/>
      <x:c r="G223" s="72"/>
      <x:c r="H223" s="66"/>
      <x:c r="I223" s="66"/>
      <x:c r="J223" s="73"/>
      <x:c r="K223" s="73"/>
      <x:c r="L223" s="74"/>
      <x:c r="M223" s="74"/>
      <x:c r="N223" s="75"/>
      <x:c r="O223" s="74"/>
      <x:c r="P223" s="66"/>
      <x:c r="Q223" s="66"/>
      <x:c r="R223" s="66"/>
      <x:c r="S223" s="66"/>
      <x:c r="T223" s="66" t="str">
        <x:v>SXT086</x:v>
      </x:c>
      <x:c r="U223" s="66" t="str">
        <x:v>系数CTA套利五号</x:v>
      </x:c>
      <x:c r="V223" s="66" t="str">
        <x:v>2026-09</x:v>
      </x:c>
      <x:c r="W223" s="72" t="n">
        <x:v>46265</x:v>
      </x:c>
      <x:c r="X223" s="72" t="n">
        <x:v>46269</x:v>
      </x:c>
      <x:c r="Y223" s="72" t="n">
        <x:f>'净值原始'!C3776</x:f>
        <x:v>46262</x:v>
      </x:c>
      <x:c r="Z223" s="72" t="n">
        <x:f>'净值原始'!C3777</x:f>
        <x:v>46269</x:v>
      </x:c>
      <x:c r="AA223" s="73" t="n">
        <x:f>'净值原始'!F3776</x:f>
        <x:v>1.3197</x:v>
      </x:c>
      <x:c r="AB223" s="73" t="n">
        <x:f>'净值原始'!F3777</x:f>
        <x:v>1.321</x:v>
      </x:c>
      <x:c r="AC223" s="66" t="n">
        <x:f>IF(OR(Y223="",Z223="",Z223&lt;=Y223,W223-Y223&gt;'sheet1-指标体系'!$J$24,X223-Z223&gt;'sheet1-指标体系'!$J$24),0,1)</x:f>
        <x:v>1</x:v>
      </x:c>
      <x:c r="AD223" s="74" t="n">
        <x:f>IF(AC223=0,"",AB223/AA223-1)</x:f>
        <x:v>0.0009850723649313942</x:v>
      </x:c>
      <x:c r="AE223" s="66" t="n">
        <x:f>IF(AC223=0,"",IF(AD223&gt;0,1,0))</x:f>
        <x:v>1</x:v>
      </x:c>
    </x:row>
    <x:row r="224" ht="27" customHeight="1">
      <x:c r="A224" s="66"/>
      <x:c r="B224" s="66"/>
      <x:c r="C224" s="66"/>
      <x:c r="D224" s="72"/>
      <x:c r="E224" s="72"/>
      <x:c r="F224" s="72"/>
      <x:c r="G224" s="72"/>
      <x:c r="H224" s="66"/>
      <x:c r="I224" s="66"/>
      <x:c r="J224" s="73"/>
      <x:c r="K224" s="73"/>
      <x:c r="L224" s="74"/>
      <x:c r="M224" s="74"/>
      <x:c r="N224" s="75"/>
      <x:c r="O224" s="74"/>
      <x:c r="P224" s="66"/>
      <x:c r="Q224" s="66"/>
      <x:c r="R224" s="66"/>
      <x:c r="S224" s="66"/>
      <x:c r="T224" s="66" t="str">
        <x:v>SNH457</x:v>
      </x:c>
      <x:c r="U224" s="66" t="str">
        <x:v>量客投资金选套利1号</x:v>
      </x:c>
      <x:c r="V224" s="66" t="str">
        <x:v>2023-09</x:v>
      </x:c>
      <x:c r="W224" s="72" t="n">
        <x:v>45169</x:v>
      </x:c>
      <x:c r="X224" s="72" t="n">
        <x:v>45199</x:v>
      </x:c>
      <x:c r="Y224" s="72" t="n">
        <x:f>'净值原始'!C3913</x:f>
        <x:v>45163</x:v>
      </x:c>
      <x:c r="Z224" s="72" t="n">
        <x:f>'净值原始'!C3918</x:f>
        <x:v>45197</x:v>
      </x:c>
      <x:c r="AA224" s="73" t="n">
        <x:f>'净值原始'!F3913</x:f>
        <x:v>1.5436</x:v>
      </x:c>
      <x:c r="AB224" s="73" t="n">
        <x:f>'净值原始'!F3918</x:f>
        <x:v>1.5499</x:v>
      </x:c>
      <x:c r="AC224" s="66" t="n">
        <x:f>IF(OR(Y224="",Z224="",Z224&lt;=Y224,W224-Y224&gt;'sheet1-指标体系'!$J$24,X224-Z224&gt;'sheet1-指标体系'!$J$24),0,1)</x:f>
        <x:v>1</x:v>
      </x:c>
      <x:c r="AD224" s="74" t="n">
        <x:f>IF(AC224=0,"",AB224/AA224-1)</x:f>
        <x:v>0.004081368230111515</x:v>
      </x:c>
      <x:c r="AE224" s="66" t="n">
        <x:f>IF(AC224=0,"",IF(AD224&gt;0,1,0))</x:f>
        <x:v>1</x:v>
      </x:c>
    </x:row>
    <x:row r="225" ht="27" customHeight="1">
      <x:c r="A225" s="66"/>
      <x:c r="B225" s="66"/>
      <x:c r="C225" s="66"/>
      <x:c r="D225" s="72"/>
      <x:c r="E225" s="72"/>
      <x:c r="F225" s="72"/>
      <x:c r="G225" s="72"/>
      <x:c r="H225" s="66"/>
      <x:c r="I225" s="66"/>
      <x:c r="J225" s="73"/>
      <x:c r="K225" s="73"/>
      <x:c r="L225" s="74"/>
      <x:c r="M225" s="74"/>
      <x:c r="N225" s="75"/>
      <x:c r="O225" s="74"/>
      <x:c r="P225" s="66"/>
      <x:c r="Q225" s="66"/>
      <x:c r="R225" s="66"/>
      <x:c r="S225" s="66"/>
      <x:c r="T225" s="66" t="str">
        <x:v>SNH457</x:v>
      </x:c>
      <x:c r="U225" s="66" t="str">
        <x:v>量客投资金选套利1号</x:v>
      </x:c>
      <x:c r="V225" s="66" t="str">
        <x:v>2023-10</x:v>
      </x:c>
      <x:c r="W225" s="72" t="n">
        <x:v>45199</x:v>
      </x:c>
      <x:c r="X225" s="72" t="n">
        <x:v>45230</x:v>
      </x:c>
      <x:c r="Y225" s="72" t="n">
        <x:f>'净值原始'!C3918</x:f>
        <x:v>45197</x:v>
      </x:c>
      <x:c r="Z225" s="72" t="n">
        <x:f>'净值原始'!C3921</x:f>
        <x:v>45226</x:v>
      </x:c>
      <x:c r="AA225" s="73" t="n">
        <x:f>'净值原始'!F3918</x:f>
        <x:v>1.5499</x:v>
      </x:c>
      <x:c r="AB225" s="73" t="n">
        <x:f>'净值原始'!F3921</x:f>
        <x:v>1.5541</x:v>
      </x:c>
      <x:c r="AC225" s="66" t="n">
        <x:f>IF(OR(Y225="",Z225="",Z225&lt;=Y225,W225-Y225&gt;'sheet1-指标体系'!$J$24,X225-Z225&gt;'sheet1-指标体系'!$J$24),0,1)</x:f>
        <x:v>1</x:v>
      </x:c>
      <x:c r="AD225" s="74" t="n">
        <x:f>IF(AC225=0,"",AB225/AA225-1)</x:f>
        <x:v>0.002709852248532041</x:v>
      </x:c>
      <x:c r="AE225" s="66" t="n">
        <x:f>IF(AC225=0,"",IF(AD225&gt;0,1,0))</x:f>
        <x:v>1</x:v>
      </x:c>
    </x:row>
    <x:row r="226" ht="27" customHeight="1">
      <x:c r="A226" s="66"/>
      <x:c r="B226" s="66"/>
      <x:c r="C226" s="66"/>
      <x:c r="D226" s="72"/>
      <x:c r="E226" s="72"/>
      <x:c r="F226" s="72"/>
      <x:c r="G226" s="72"/>
      <x:c r="H226" s="66"/>
      <x:c r="I226" s="66"/>
      <x:c r="J226" s="73"/>
      <x:c r="K226" s="73"/>
      <x:c r="L226" s="74"/>
      <x:c r="M226" s="74"/>
      <x:c r="N226" s="75"/>
      <x:c r="O226" s="74"/>
      <x:c r="P226" s="66"/>
      <x:c r="Q226" s="66"/>
      <x:c r="R226" s="66"/>
      <x:c r="S226" s="66"/>
      <x:c r="T226" s="66" t="str">
        <x:v>SNH457</x:v>
      </x:c>
      <x:c r="U226" s="66" t="str">
        <x:v>量客投资金选套利1号</x:v>
      </x:c>
      <x:c r="V226" s="66" t="str">
        <x:v>2023-11</x:v>
      </x:c>
      <x:c r="W226" s="72" t="n">
        <x:v>45230</x:v>
      </x:c>
      <x:c r="X226" s="72" t="n">
        <x:v>45260</x:v>
      </x:c>
      <x:c r="Y226" s="72" t="n">
        <x:f>'净值原始'!C3921</x:f>
        <x:v>45226</x:v>
      </x:c>
      <x:c r="Z226" s="72" t="n">
        <x:f>'净值原始'!C3925</x:f>
        <x:v>45254</x:v>
      </x:c>
      <x:c r="AA226" s="73" t="n">
        <x:f>'净值原始'!F3921</x:f>
        <x:v>1.5541</x:v>
      </x:c>
      <x:c r="AB226" s="73" t="n">
        <x:f>'净值原始'!F3925</x:f>
        <x:v>1.5537</x:v>
      </x:c>
      <x:c r="AC226" s="66" t="n">
        <x:f>IF(OR(Y226="",Z226="",Z226&lt;=Y226,W226-Y226&gt;'sheet1-指标体系'!$J$24,X226-Z226&gt;'sheet1-指标体系'!$J$24),0,1)</x:f>
        <x:v>1</x:v>
      </x:c>
      <x:c r="AD226" s="74" t="n">
        <x:f>IF(AC226=0,"",AB226/AA226-1)</x:f>
        <x:v>-0.00025738369474292977</x:v>
      </x:c>
      <x:c r="AE226" s="66" t="n">
        <x:f>IF(AC226=0,"",IF(AD226&gt;0,1,0))</x:f>
        <x:v>0</x:v>
      </x:c>
    </x:row>
    <x:row r="227" ht="27" customHeight="1">
      <x:c r="A227" s="66"/>
      <x:c r="B227" s="66"/>
      <x:c r="C227" s="66"/>
      <x:c r="D227" s="72"/>
      <x:c r="E227" s="72"/>
      <x:c r="F227" s="72"/>
      <x:c r="G227" s="72"/>
      <x:c r="H227" s="66"/>
      <x:c r="I227" s="66"/>
      <x:c r="J227" s="73"/>
      <x:c r="K227" s="73"/>
      <x:c r="L227" s="74"/>
      <x:c r="M227" s="74"/>
      <x:c r="N227" s="75"/>
      <x:c r="O227" s="74"/>
      <x:c r="P227" s="66"/>
      <x:c r="Q227" s="66"/>
      <x:c r="R227" s="66"/>
      <x:c r="S227" s="66"/>
      <x:c r="T227" s="66" t="str">
        <x:v>SNH457</x:v>
      </x:c>
      <x:c r="U227" s="66" t="str">
        <x:v>量客投资金选套利1号</x:v>
      </x:c>
      <x:c r="V227" s="66" t="str">
        <x:v>2023-12</x:v>
      </x:c>
      <x:c r="W227" s="72" t="n">
        <x:v>45260</x:v>
      </x:c>
      <x:c r="X227" s="72" t="n">
        <x:v>45291</x:v>
      </x:c>
      <x:c r="Y227" s="72" t="n">
        <x:f>'净值原始'!C3925</x:f>
        <x:v>45254</x:v>
      </x:c>
      <x:c r="Z227" s="72" t="n">
        <x:f>'净值原始'!C3930</x:f>
        <x:v>45289</x:v>
      </x:c>
      <x:c r="AA227" s="73" t="n">
        <x:f>'净值原始'!F3925</x:f>
        <x:v>1.5537</x:v>
      </x:c>
      <x:c r="AB227" s="73" t="n">
        <x:f>'净值原始'!F3930</x:f>
        <x:v>1.574</x:v>
      </x:c>
      <x:c r="AC227" s="66" t="n">
        <x:f>IF(OR(Y227="",Z227="",Z227&lt;=Y227,W227-Y227&gt;'sheet1-指标体系'!$J$24,X227-Z227&gt;'sheet1-指标体系'!$J$24),0,1)</x:f>
        <x:v>1</x:v>
      </x:c>
      <x:c r="AD227" s="74" t="n">
        <x:f>IF(AC227=0,"",AB227/AA227-1)</x:f>
        <x:v>0.013065585376842437</x:v>
      </x:c>
      <x:c r="AE227" s="66" t="n">
        <x:f>IF(AC227=0,"",IF(AD227&gt;0,1,0))</x:f>
        <x:v>1</x:v>
      </x:c>
    </x:row>
    <x:row r="228" ht="27" customHeight="1">
      <x:c r="A228" s="66"/>
      <x:c r="B228" s="66"/>
      <x:c r="C228" s="66"/>
      <x:c r="D228" s="72"/>
      <x:c r="E228" s="72"/>
      <x:c r="F228" s="72"/>
      <x:c r="G228" s="72"/>
      <x:c r="H228" s="66"/>
      <x:c r="I228" s="66"/>
      <x:c r="J228" s="73"/>
      <x:c r="K228" s="73"/>
      <x:c r="L228" s="74"/>
      <x:c r="M228" s="74"/>
      <x:c r="N228" s="75"/>
      <x:c r="O228" s="74"/>
      <x:c r="P228" s="66"/>
      <x:c r="Q228" s="66"/>
      <x:c r="R228" s="66"/>
      <x:c r="S228" s="66"/>
      <x:c r="T228" s="66" t="str">
        <x:v>SNH457</x:v>
      </x:c>
      <x:c r="U228" s="66" t="str">
        <x:v>量客投资金选套利1号</x:v>
      </x:c>
      <x:c r="V228" s="66" t="str">
        <x:v>2024-01</x:v>
      </x:c>
      <x:c r="W228" s="72" t="n">
        <x:v>45291</x:v>
      </x:c>
      <x:c r="X228" s="72" t="n">
        <x:v>45322</x:v>
      </x:c>
      <x:c r="Y228" s="72" t="n">
        <x:f>'净值原始'!C3930</x:f>
        <x:v>45289</x:v>
      </x:c>
      <x:c r="Z228" s="72" t="n">
        <x:f>'净值原始'!C3934</x:f>
        <x:v>45317</x:v>
      </x:c>
      <x:c r="AA228" s="73" t="n">
        <x:f>'净值原始'!F3930</x:f>
        <x:v>1.574</x:v>
      </x:c>
      <x:c r="AB228" s="73" t="n">
        <x:f>'净值原始'!F3934</x:f>
        <x:v>1.5955</x:v>
      </x:c>
      <x:c r="AC228" s="66" t="n">
        <x:f>IF(OR(Y228="",Z228="",Z228&lt;=Y228,W228-Y228&gt;'sheet1-指标体系'!$J$24,X228-Z228&gt;'sheet1-指标体系'!$J$24),0,1)</x:f>
        <x:v>1</x:v>
      </x:c>
      <x:c r="AD228" s="74" t="n">
        <x:f>IF(AC228=0,"",AB228/AA228-1)</x:f>
        <x:v>0.013659466327827108</x:v>
      </x:c>
      <x:c r="AE228" s="66" t="n">
        <x:f>IF(AC228=0,"",IF(AD228&gt;0,1,0))</x:f>
        <x:v>1</x:v>
      </x:c>
    </x:row>
    <x:row r="229" ht="27" customHeight="1">
      <x:c r="A229" s="66"/>
      <x:c r="B229" s="66"/>
      <x:c r="C229" s="66"/>
      <x:c r="D229" s="72"/>
      <x:c r="E229" s="72"/>
      <x:c r="F229" s="72"/>
      <x:c r="G229" s="72"/>
      <x:c r="H229" s="66"/>
      <x:c r="I229" s="66"/>
      <x:c r="J229" s="73"/>
      <x:c r="K229" s="73"/>
      <x:c r="L229" s="74"/>
      <x:c r="M229" s="74"/>
      <x:c r="N229" s="75"/>
      <x:c r="O229" s="74"/>
      <x:c r="P229" s="66"/>
      <x:c r="Q229" s="66"/>
      <x:c r="R229" s="66"/>
      <x:c r="S229" s="66"/>
      <x:c r="T229" s="66" t="str">
        <x:v>SNH457</x:v>
      </x:c>
      <x:c r="U229" s="66" t="str">
        <x:v>量客投资金选套利1号</x:v>
      </x:c>
      <x:c r="V229" s="66" t="str">
        <x:v>2024-02</x:v>
      </x:c>
      <x:c r="W229" s="72" t="n">
        <x:v>45322</x:v>
      </x:c>
      <x:c r="X229" s="72" t="n">
        <x:v>45351</x:v>
      </x:c>
      <x:c r="Y229" s="72" t="n">
        <x:f>'净值原始'!C3934</x:f>
        <x:v>45317</x:v>
      </x:c>
      <x:c r="Z229" s="72" t="n">
        <x:f>'净值原始'!C3937</x:f>
        <x:v>45345</x:v>
      </x:c>
      <x:c r="AA229" s="73" t="n">
        <x:f>'净值原始'!F3934</x:f>
        <x:v>1.5955</x:v>
      </x:c>
      <x:c r="AB229" s="73" t="n">
        <x:f>'净值原始'!F3937</x:f>
        <x:v>1.6256</x:v>
      </x:c>
      <x:c r="AC229" s="66" t="n">
        <x:f>IF(OR(Y229="",Z229="",Z229&lt;=Y229,W229-Y229&gt;'sheet1-指标体系'!$J$24,X229-Z229&gt;'sheet1-指标体系'!$J$24),0,1)</x:f>
        <x:v>1</x:v>
      </x:c>
      <x:c r="AD229" s="74" t="n">
        <x:f>IF(AC229=0,"",AB229/AA229-1)</x:f>
        <x:v>0.0188655593857725</x:v>
      </x:c>
      <x:c r="AE229" s="66" t="n">
        <x:f>IF(AC229=0,"",IF(AD229&gt;0,1,0))</x:f>
        <x:v>1</x:v>
      </x:c>
    </x:row>
    <x:row r="230" ht="27" customHeight="1">
      <x:c r="A230" s="66"/>
      <x:c r="B230" s="66"/>
      <x:c r="C230" s="66"/>
      <x:c r="D230" s="72"/>
      <x:c r="E230" s="72"/>
      <x:c r="F230" s="72"/>
      <x:c r="G230" s="72"/>
      <x:c r="H230" s="66"/>
      <x:c r="I230" s="66"/>
      <x:c r="J230" s="73"/>
      <x:c r="K230" s="73"/>
      <x:c r="L230" s="74"/>
      <x:c r="M230" s="74"/>
      <x:c r="N230" s="75"/>
      <x:c r="O230" s="74"/>
      <x:c r="P230" s="66"/>
      <x:c r="Q230" s="66"/>
      <x:c r="R230" s="66"/>
      <x:c r="S230" s="66"/>
      <x:c r="T230" s="66" t="str">
        <x:v>SNH457</x:v>
      </x:c>
      <x:c r="U230" s="66" t="str">
        <x:v>量客投资金选套利1号</x:v>
      </x:c>
      <x:c r="V230" s="66" t="str">
        <x:v>2024-03</x:v>
      </x:c>
      <x:c r="W230" s="72" t="n">
        <x:v>45351</x:v>
      </x:c>
      <x:c r="X230" s="72" t="n">
        <x:v>45382</x:v>
      </x:c>
      <x:c r="Y230" s="72" t="n">
        <x:f>'净值原始'!C3937</x:f>
        <x:v>45345</x:v>
      </x:c>
      <x:c r="Z230" s="72" t="n">
        <x:f>'净值原始'!C3942</x:f>
        <x:v>45380</x:v>
      </x:c>
      <x:c r="AA230" s="73" t="n">
        <x:f>'净值原始'!F3937</x:f>
        <x:v>1.6256</x:v>
      </x:c>
      <x:c r="AB230" s="73" t="n">
        <x:f>'净值原始'!F3942</x:f>
        <x:v>1.6491</x:v>
      </x:c>
      <x:c r="AC230" s="66" t="n">
        <x:f>IF(OR(Y230="",Z230="",Z230&lt;=Y230,W230-Y230&gt;'sheet1-指标体系'!$J$24,X230-Z230&gt;'sheet1-指标体系'!$J$24),0,1)</x:f>
        <x:v>1</x:v>
      </x:c>
      <x:c r="AD230" s="74" t="n">
        <x:f>IF(AC230=0,"",AB230/AA230-1)</x:f>
        <x:v>0.014456200787401619</x:v>
      </x:c>
      <x:c r="AE230" s="66" t="n">
        <x:f>IF(AC230=0,"",IF(AD230&gt;0,1,0))</x:f>
        <x:v>1</x:v>
      </x:c>
    </x:row>
    <x:row r="231" ht="27" customHeight="1">
      <x:c r="A231" s="66"/>
      <x:c r="B231" s="66"/>
      <x:c r="C231" s="66"/>
      <x:c r="D231" s="72"/>
      <x:c r="E231" s="72"/>
      <x:c r="F231" s="72"/>
      <x:c r="G231" s="72"/>
      <x:c r="H231" s="66"/>
      <x:c r="I231" s="66"/>
      <x:c r="J231" s="73"/>
      <x:c r="K231" s="73"/>
      <x:c r="L231" s="74"/>
      <x:c r="M231" s="74"/>
      <x:c r="N231" s="75"/>
      <x:c r="O231" s="74"/>
      <x:c r="P231" s="66"/>
      <x:c r="Q231" s="66"/>
      <x:c r="R231" s="66"/>
      <x:c r="S231" s="66"/>
      <x:c r="T231" s="66" t="str">
        <x:v>SNH457</x:v>
      </x:c>
      <x:c r="U231" s="66" t="str">
        <x:v>量客投资金选套利1号</x:v>
      </x:c>
      <x:c r="V231" s="66" t="str">
        <x:v>2024-04</x:v>
      </x:c>
      <x:c r="W231" s="72" t="n">
        <x:v>45382</x:v>
      </x:c>
      <x:c r="X231" s="72" t="n">
        <x:v>45412</x:v>
      </x:c>
      <x:c r="Y231" s="72" t="n">
        <x:f>'净值原始'!C3942</x:f>
        <x:v>45380</x:v>
      </x:c>
      <x:c r="Z231" s="72" t="n">
        <x:f>'净值原始'!C3947</x:f>
        <x:v>45412</x:v>
      </x:c>
      <x:c r="AA231" s="73" t="n">
        <x:f>'净值原始'!F3942</x:f>
        <x:v>1.6491</x:v>
      </x:c>
      <x:c r="AB231" s="73" t="n">
        <x:f>'净值原始'!F3947</x:f>
        <x:v>1.6616</x:v>
      </x:c>
      <x:c r="AC231" s="66" t="n">
        <x:f>IF(OR(Y231="",Z231="",Z231&lt;=Y231,W231-Y231&gt;'sheet1-指标体系'!$J$24,X231-Z231&gt;'sheet1-指标体系'!$J$24),0,1)</x:f>
        <x:v>1</x:v>
      </x:c>
      <x:c r="AD231" s="74" t="n">
        <x:f>IF(AC231=0,"",AB231/AA231-1)</x:f>
        <x:v>0.0075798920623371124</x:v>
      </x:c>
      <x:c r="AE231" s="66" t="n">
        <x:f>IF(AC231=0,"",IF(AD231&gt;0,1,0))</x:f>
        <x:v>1</x:v>
      </x:c>
    </x:row>
    <x:row r="232" ht="27" customHeight="1">
      <x:c r="A232" s="66"/>
      <x:c r="B232" s="66"/>
      <x:c r="C232" s="66"/>
      <x:c r="D232" s="72"/>
      <x:c r="E232" s="72"/>
      <x:c r="F232" s="72"/>
      <x:c r="G232" s="72"/>
      <x:c r="H232" s="66"/>
      <x:c r="I232" s="66"/>
      <x:c r="J232" s="73"/>
      <x:c r="K232" s="73"/>
      <x:c r="L232" s="74"/>
      <x:c r="M232" s="74"/>
      <x:c r="N232" s="75"/>
      <x:c r="O232" s="74"/>
      <x:c r="P232" s="66"/>
      <x:c r="Q232" s="66"/>
      <x:c r="R232" s="66"/>
      <x:c r="S232" s="66"/>
      <x:c r="T232" s="66" t="str">
        <x:v>SNH457</x:v>
      </x:c>
      <x:c r="U232" s="66" t="str">
        <x:v>量客投资金选套利1号</x:v>
      </x:c>
      <x:c r="V232" s="66" t="str">
        <x:v>2024-05</x:v>
      </x:c>
      <x:c r="W232" s="72" t="n">
        <x:v>45412</x:v>
      </x:c>
      <x:c r="X232" s="72" t="n">
        <x:v>45443</x:v>
      </x:c>
      <x:c r="Y232" s="72" t="n">
        <x:f>'净值原始'!C3947</x:f>
        <x:v>45412</x:v>
      </x:c>
      <x:c r="Z232" s="72" t="n">
        <x:f>'净值原始'!C3951</x:f>
        <x:v>45443</x:v>
      </x:c>
      <x:c r="AA232" s="73" t="n">
        <x:f>'净值原始'!F3947</x:f>
        <x:v>1.6616</x:v>
      </x:c>
      <x:c r="AB232" s="73" t="n">
        <x:f>'净值原始'!F3951</x:f>
        <x:v>1.6563</x:v>
      </x:c>
      <x:c r="AC232" s="66" t="n">
        <x:f>IF(OR(Y232="",Z232="",Z232&lt;=Y232,W232-Y232&gt;'sheet1-指标体系'!$J$24,X232-Z232&gt;'sheet1-指标体系'!$J$24),0,1)</x:f>
        <x:v>1</x:v>
      </x:c>
      <x:c r="AD232" s="74" t="n">
        <x:f>IF(AC232=0,"",AB232/AA232-1)</x:f>
        <x:v>-0.0031896966779006997</x:v>
      </x:c>
      <x:c r="AE232" s="66" t="n">
        <x:f>IF(AC232=0,"",IF(AD232&gt;0,1,0))</x:f>
        <x:v>0</x:v>
      </x:c>
    </x:row>
    <x:row r="233" ht="27" customHeight="1">
      <x:c r="A233" s="66"/>
      <x:c r="B233" s="66"/>
      <x:c r="C233" s="66"/>
      <x:c r="D233" s="72"/>
      <x:c r="E233" s="72"/>
      <x:c r="F233" s="72"/>
      <x:c r="G233" s="72"/>
      <x:c r="H233" s="66"/>
      <x:c r="I233" s="66"/>
      <x:c r="J233" s="73"/>
      <x:c r="K233" s="73"/>
      <x:c r="L233" s="74"/>
      <x:c r="M233" s="74"/>
      <x:c r="N233" s="75"/>
      <x:c r="O233" s="74"/>
      <x:c r="P233" s="66"/>
      <x:c r="Q233" s="66"/>
      <x:c r="R233" s="66"/>
      <x:c r="S233" s="66"/>
      <x:c r="T233" s="66" t="str">
        <x:v>SNH457</x:v>
      </x:c>
      <x:c r="U233" s="66" t="str">
        <x:v>量客投资金选套利1号</x:v>
      </x:c>
      <x:c r="V233" s="66" t="str">
        <x:v>2024-06</x:v>
      </x:c>
      <x:c r="W233" s="72" t="n">
        <x:v>45443</x:v>
      </x:c>
      <x:c r="X233" s="72" t="n">
        <x:v>45473</x:v>
      </x:c>
      <x:c r="Y233" s="72" t="n">
        <x:f>'净值原始'!C3951</x:f>
        <x:v>45443</x:v>
      </x:c>
      <x:c r="Z233" s="72" t="n">
        <x:f>'净值原始'!C3955</x:f>
        <x:v>45471</x:v>
      </x:c>
      <x:c r="AA233" s="73" t="n">
        <x:f>'净值原始'!F3951</x:f>
        <x:v>1.6563</x:v>
      </x:c>
      <x:c r="AB233" s="73" t="n">
        <x:f>'净值原始'!F3955</x:f>
        <x:v>1.6612</x:v>
      </x:c>
      <x:c r="AC233" s="66" t="n">
        <x:f>IF(OR(Y233="",Z233="",Z233&lt;=Y233,W233-Y233&gt;'sheet1-指标体系'!$J$24,X233-Z233&gt;'sheet1-指标体系'!$J$24),0,1)</x:f>
        <x:v>1</x:v>
      </x:c>
      <x:c r="AD233" s="74" t="n">
        <x:f>IF(AC233=0,"",AB233/AA233-1)</x:f>
        <x:v>0.0029584012558110384</x:v>
      </x:c>
      <x:c r="AE233" s="66" t="n">
        <x:f>IF(AC233=0,"",IF(AD233&gt;0,1,0))</x:f>
        <x:v>1</x:v>
      </x:c>
    </x:row>
    <x:row r="234" ht="27" customHeight="1">
      <x:c r="A234" s="66"/>
      <x:c r="B234" s="66"/>
      <x:c r="C234" s="66"/>
      <x:c r="D234" s="72"/>
      <x:c r="E234" s="72"/>
      <x:c r="F234" s="72"/>
      <x:c r="G234" s="72"/>
      <x:c r="H234" s="66"/>
      <x:c r="I234" s="66"/>
      <x:c r="J234" s="73"/>
      <x:c r="K234" s="73"/>
      <x:c r="L234" s="74"/>
      <x:c r="M234" s="74"/>
      <x:c r="N234" s="75"/>
      <x:c r="O234" s="74"/>
      <x:c r="P234" s="66"/>
      <x:c r="Q234" s="66"/>
      <x:c r="R234" s="66"/>
      <x:c r="S234" s="66"/>
      <x:c r="T234" s="66" t="str">
        <x:v>SNH457</x:v>
      </x:c>
      <x:c r="U234" s="66" t="str">
        <x:v>量客投资金选套利1号</x:v>
      </x:c>
      <x:c r="V234" s="66" t="str">
        <x:v>2024-07</x:v>
      </x:c>
      <x:c r="W234" s="72" t="n">
        <x:v>45473</x:v>
      </x:c>
      <x:c r="X234" s="72" t="n">
        <x:v>45504</x:v>
      </x:c>
      <x:c r="Y234" s="72" t="n">
        <x:f>'净值原始'!C3955</x:f>
        <x:v>45471</x:v>
      </x:c>
      <x:c r="Z234" s="72" t="n">
        <x:f>'净值原始'!C3959</x:f>
        <x:v>45499</x:v>
      </x:c>
      <x:c r="AA234" s="73" t="n">
        <x:f>'净值原始'!F3955</x:f>
        <x:v>1.6612</x:v>
      </x:c>
      <x:c r="AB234" s="73" t="n">
        <x:f>'净值原始'!F3959</x:f>
        <x:v>1.6697</x:v>
      </x:c>
      <x:c r="AC234" s="66" t="n">
        <x:f>IF(OR(Y234="",Z234="",Z234&lt;=Y234,W234-Y234&gt;'sheet1-指标体系'!$J$24,X234-Z234&gt;'sheet1-指标体系'!$J$24),0,1)</x:f>
        <x:v>1</x:v>
      </x:c>
      <x:c r="AD234" s="74" t="n">
        <x:f>IF(AC234=0,"",AB234/AA234-1)</x:f>
        <x:v>0.005116783048398688</x:v>
      </x:c>
      <x:c r="AE234" s="66" t="n">
        <x:f>IF(AC234=0,"",IF(AD234&gt;0,1,0))</x:f>
        <x:v>1</x:v>
      </x:c>
    </x:row>
    <x:row r="235" ht="27" customHeight="1">
      <x:c r="A235" s="66"/>
      <x:c r="B235" s="66"/>
      <x:c r="C235" s="66"/>
      <x:c r="D235" s="72"/>
      <x:c r="E235" s="72"/>
      <x:c r="F235" s="72"/>
      <x:c r="G235" s="72"/>
      <x:c r="H235" s="66"/>
      <x:c r="I235" s="66"/>
      <x:c r="J235" s="73"/>
      <x:c r="K235" s="73"/>
      <x:c r="L235" s="74"/>
      <x:c r="M235" s="74"/>
      <x:c r="N235" s="75"/>
      <x:c r="O235" s="74"/>
      <x:c r="P235" s="66"/>
      <x:c r="Q235" s="66"/>
      <x:c r="R235" s="66"/>
      <x:c r="S235" s="66"/>
      <x:c r="T235" s="66" t="str">
        <x:v>SNH457</x:v>
      </x:c>
      <x:c r="U235" s="66" t="str">
        <x:v>量客投资金选套利1号</x:v>
      </x:c>
      <x:c r="V235" s="66" t="str">
        <x:v>2024-08</x:v>
      </x:c>
      <x:c r="W235" s="72" t="n">
        <x:v>45504</x:v>
      </x:c>
      <x:c r="X235" s="72" t="n">
        <x:v>45535</x:v>
      </x:c>
      <x:c r="Y235" s="72" t="n">
        <x:f>'净值原始'!C3959</x:f>
        <x:v>45499</x:v>
      </x:c>
      <x:c r="Z235" s="72" t="n">
        <x:f>'净值原始'!C3964</x:f>
        <x:v>45534</x:v>
      </x:c>
      <x:c r="AA235" s="73" t="n">
        <x:f>'净值原始'!F3959</x:f>
        <x:v>1.6697</x:v>
      </x:c>
      <x:c r="AB235" s="73" t="n">
        <x:f>'净值原始'!F3964</x:f>
        <x:v>1.6971</x:v>
      </x:c>
      <x:c r="AC235" s="66" t="n">
        <x:f>IF(OR(Y235="",Z235="",Z235&lt;=Y235,W235-Y235&gt;'sheet1-指标体系'!$J$24,X235-Z235&gt;'sheet1-指标体系'!$J$24),0,1)</x:f>
        <x:v>1</x:v>
      </x:c>
      <x:c r="AD235" s="74" t="n">
        <x:f>IF(AC235=0,"",AB235/AA235-1)</x:f>
        <x:v>0.016410133556926443</x:v>
      </x:c>
      <x:c r="AE235" s="66" t="n">
        <x:f>IF(AC235=0,"",IF(AD235&gt;0,1,0))</x:f>
        <x:v>1</x:v>
      </x:c>
    </x:row>
    <x:row r="236" ht="27" customHeight="1">
      <x:c r="A236" s="66"/>
      <x:c r="B236" s="66"/>
      <x:c r="C236" s="66"/>
      <x:c r="D236" s="72"/>
      <x:c r="E236" s="72"/>
      <x:c r="F236" s="72"/>
      <x:c r="G236" s="72"/>
      <x:c r="H236" s="66"/>
      <x:c r="I236" s="66"/>
      <x:c r="J236" s="73"/>
      <x:c r="K236" s="73"/>
      <x:c r="L236" s="74"/>
      <x:c r="M236" s="74"/>
      <x:c r="N236" s="75"/>
      <x:c r="O236" s="74"/>
      <x:c r="P236" s="66"/>
      <x:c r="Q236" s="66"/>
      <x:c r="R236" s="66"/>
      <x:c r="S236" s="66"/>
      <x:c r="T236" s="66" t="str">
        <x:v>SNH457</x:v>
      </x:c>
      <x:c r="U236" s="66" t="str">
        <x:v>量客投资金选套利1号</x:v>
      </x:c>
      <x:c r="V236" s="66" t="str">
        <x:v>2024-09</x:v>
      </x:c>
      <x:c r="W236" s="72" t="n">
        <x:v>45535</x:v>
      </x:c>
      <x:c r="X236" s="72" t="n">
        <x:v>45565</x:v>
      </x:c>
      <x:c r="Y236" s="72" t="n">
        <x:f>'净值原始'!C3964</x:f>
        <x:v>45534</x:v>
      </x:c>
      <x:c r="Z236" s="72" t="n">
        <x:f>'净值原始'!C3969</x:f>
        <x:v>45565</x:v>
      </x:c>
      <x:c r="AA236" s="73" t="n">
        <x:f>'净值原始'!F3964</x:f>
        <x:v>1.6971</x:v>
      </x:c>
      <x:c r="AB236" s="73" t="n">
        <x:f>'净值原始'!F3969</x:f>
        <x:v>1.7174</x:v>
      </x:c>
      <x:c r="AC236" s="66" t="n">
        <x:f>IF(OR(Y236="",Z236="",Z236&lt;=Y236,W236-Y236&gt;'sheet1-指标体系'!$J$24,X236-Z236&gt;'sheet1-指标体系'!$J$24),0,1)</x:f>
        <x:v>1</x:v>
      </x:c>
      <x:c r="AD236" s="74" t="n">
        <x:f>IF(AC236=0,"",AB236/AA236-1)</x:f>
        <x:v>0.011961581521418907</x:v>
      </x:c>
      <x:c r="AE236" s="66" t="n">
        <x:f>IF(AC236=0,"",IF(AD236&gt;0,1,0))</x:f>
        <x:v>1</x:v>
      </x:c>
    </x:row>
    <x:row r="237" ht="27" customHeight="1">
      <x:c r="A237" s="66"/>
      <x:c r="B237" s="66"/>
      <x:c r="C237" s="66"/>
      <x:c r="D237" s="72"/>
      <x:c r="E237" s="72"/>
      <x:c r="F237" s="72"/>
      <x:c r="G237" s="72"/>
      <x:c r="H237" s="66"/>
      <x:c r="I237" s="66"/>
      <x:c r="J237" s="73"/>
      <x:c r="K237" s="73"/>
      <x:c r="L237" s="74"/>
      <x:c r="M237" s="74"/>
      <x:c r="N237" s="75"/>
      <x:c r="O237" s="74"/>
      <x:c r="P237" s="66"/>
      <x:c r="Q237" s="66"/>
      <x:c r="R237" s="66"/>
      <x:c r="S237" s="66"/>
      <x:c r="T237" s="66" t="str">
        <x:v>SNH457</x:v>
      </x:c>
      <x:c r="U237" s="66" t="str">
        <x:v>量客投资金选套利1号</x:v>
      </x:c>
      <x:c r="V237" s="66" t="str">
        <x:v>2024-10</x:v>
      </x:c>
      <x:c r="W237" s="72" t="n">
        <x:v>45565</x:v>
      </x:c>
      <x:c r="X237" s="72" t="n">
        <x:v>45596</x:v>
      </x:c>
      <x:c r="Y237" s="72" t="n">
        <x:f>'净值原始'!C3969</x:f>
        <x:v>45565</x:v>
      </x:c>
      <x:c r="Z237" s="72" t="n">
        <x:f>'净值原始'!C3972</x:f>
        <x:v>45590</x:v>
      </x:c>
      <x:c r="AA237" s="73" t="n">
        <x:f>'净值原始'!F3969</x:f>
        <x:v>1.7174</x:v>
      </x:c>
      <x:c r="AB237" s="73" t="n">
        <x:f>'净值原始'!F3972</x:f>
        <x:v>1.7541</x:v>
      </x:c>
      <x:c r="AC237" s="66" t="n">
        <x:f>IF(OR(Y237="",Z237="",Z237&lt;=Y237,W237-Y237&gt;'sheet1-指标体系'!$J$24,X237-Z237&gt;'sheet1-指标体系'!$J$24),0,1)</x:f>
        <x:v>1</x:v>
      </x:c>
      <x:c r="AD237" s="74" t="n">
        <x:f>IF(AC237=0,"",AB237/AA237-1)</x:f>
        <x:v>0.021369512053103445</x:v>
      </x:c>
      <x:c r="AE237" s="66" t="n">
        <x:f>IF(AC237=0,"",IF(AD237&gt;0,1,0))</x:f>
        <x:v>1</x:v>
      </x:c>
    </x:row>
    <x:row r="238" ht="27" customHeight="1">
      <x:c r="A238" s="66"/>
      <x:c r="B238" s="66"/>
      <x:c r="C238" s="66"/>
      <x:c r="D238" s="72"/>
      <x:c r="E238" s="72"/>
      <x:c r="F238" s="72"/>
      <x:c r="G238" s="72"/>
      <x:c r="H238" s="66"/>
      <x:c r="I238" s="66"/>
      <x:c r="J238" s="73"/>
      <x:c r="K238" s="73"/>
      <x:c r="L238" s="74"/>
      <x:c r="M238" s="74"/>
      <x:c r="N238" s="75"/>
      <x:c r="O238" s="74"/>
      <x:c r="P238" s="66"/>
      <x:c r="Q238" s="66"/>
      <x:c r="R238" s="66"/>
      <x:c r="S238" s="66"/>
      <x:c r="T238" s="66" t="str">
        <x:v>SNH457</x:v>
      </x:c>
      <x:c r="U238" s="66" t="str">
        <x:v>量客投资金选套利1号</x:v>
      </x:c>
      <x:c r="V238" s="66" t="str">
        <x:v>2024-11</x:v>
      </x:c>
      <x:c r="W238" s="72" t="n">
        <x:v>45596</x:v>
      </x:c>
      <x:c r="X238" s="72" t="n">
        <x:v>45626</x:v>
      </x:c>
      <x:c r="Y238" s="72" t="n">
        <x:f>'净值原始'!C3972</x:f>
        <x:v>45590</x:v>
      </x:c>
      <x:c r="Z238" s="72" t="n">
        <x:f>'净值原始'!C3977</x:f>
        <x:v>45625</x:v>
      </x:c>
      <x:c r="AA238" s="73" t="n">
        <x:f>'净值原始'!F3972</x:f>
        <x:v>1.7541</x:v>
      </x:c>
      <x:c r="AB238" s="73" t="n">
        <x:f>'净值原始'!F3977</x:f>
        <x:v>1.7871</x:v>
      </x:c>
      <x:c r="AC238" s="66" t="n">
        <x:f>IF(OR(Y238="",Z238="",Z238&lt;=Y238,W238-Y238&gt;'sheet1-指标体系'!$J$24,X238-Z238&gt;'sheet1-指标体系'!$J$24),0,1)</x:f>
        <x:v>1</x:v>
      </x:c>
      <x:c r="AD238" s="74" t="n">
        <x:f>IF(AC238=0,"",AB238/AA238-1)</x:f>
        <x:v>0.01881306652984427</x:v>
      </x:c>
      <x:c r="AE238" s="66" t="n">
        <x:f>IF(AC238=0,"",IF(AD238&gt;0,1,0))</x:f>
        <x:v>1</x:v>
      </x:c>
    </x:row>
    <x:row r="239" ht="27" customHeight="1">
      <x:c r="A239" s="66"/>
      <x:c r="B239" s="66"/>
      <x:c r="C239" s="66"/>
      <x:c r="D239" s="72"/>
      <x:c r="E239" s="72"/>
      <x:c r="F239" s="72"/>
      <x:c r="G239" s="72"/>
      <x:c r="H239" s="66"/>
      <x:c r="I239" s="66"/>
      <x:c r="J239" s="73"/>
      <x:c r="K239" s="73"/>
      <x:c r="L239" s="74"/>
      <x:c r="M239" s="74"/>
      <x:c r="N239" s="75"/>
      <x:c r="O239" s="74"/>
      <x:c r="P239" s="66"/>
      <x:c r="Q239" s="66"/>
      <x:c r="R239" s="66"/>
      <x:c r="S239" s="66"/>
      <x:c r="T239" s="66" t="str">
        <x:v>SNH457</x:v>
      </x:c>
      <x:c r="U239" s="66" t="str">
        <x:v>量客投资金选套利1号</x:v>
      </x:c>
      <x:c r="V239" s="66" t="str">
        <x:v>2024-12</x:v>
      </x:c>
      <x:c r="W239" s="72" t="n">
        <x:v>45626</x:v>
      </x:c>
      <x:c r="X239" s="72" t="n">
        <x:v>45657</x:v>
      </x:c>
      <x:c r="Y239" s="72" t="n">
        <x:f>'净值原始'!C3977</x:f>
        <x:v>45625</x:v>
      </x:c>
      <x:c r="Z239" s="72" t="n">
        <x:f>'净值原始'!C3981</x:f>
        <x:v>45653</x:v>
      </x:c>
      <x:c r="AA239" s="73" t="n">
        <x:f>'净值原始'!F3977</x:f>
        <x:v>1.7871</x:v>
      </x:c>
      <x:c r="AB239" s="73" t="n">
        <x:f>'净值原始'!F3981</x:f>
        <x:v>1.7927</x:v>
      </x:c>
      <x:c r="AC239" s="66" t="n">
        <x:f>IF(OR(Y239="",Z239="",Z239&lt;=Y239,W239-Y239&gt;'sheet1-指标体系'!$J$24,X239-Z239&gt;'sheet1-指标体系'!$J$24),0,1)</x:f>
        <x:v>1</x:v>
      </x:c>
      <x:c r="AD239" s="74" t="n">
        <x:f>IF(AC239=0,"",AB239/AA239-1)</x:f>
        <x:v>0.0031335683509596812</x:v>
      </x:c>
      <x:c r="AE239" s="66" t="n">
        <x:f>IF(AC239=0,"",IF(AD239&gt;0,1,0))</x:f>
        <x:v>1</x:v>
      </x:c>
    </x:row>
    <x:row r="240" ht="27" customHeight="1">
      <x:c r="A240" s="66"/>
      <x:c r="B240" s="66"/>
      <x:c r="C240" s="66"/>
      <x:c r="D240" s="72"/>
      <x:c r="E240" s="72"/>
      <x:c r="F240" s="72"/>
      <x:c r="G240" s="72"/>
      <x:c r="H240" s="66"/>
      <x:c r="I240" s="66"/>
      <x:c r="J240" s="73"/>
      <x:c r="K240" s="73"/>
      <x:c r="L240" s="74"/>
      <x:c r="M240" s="74"/>
      <x:c r="N240" s="75"/>
      <x:c r="O240" s="74"/>
      <x:c r="P240" s="66"/>
      <x:c r="Q240" s="66"/>
      <x:c r="R240" s="66"/>
      <x:c r="S240" s="66"/>
      <x:c r="T240" s="66" t="str">
        <x:v>SNH457</x:v>
      </x:c>
      <x:c r="U240" s="66" t="str">
        <x:v>量客投资金选套利1号</x:v>
      </x:c>
      <x:c r="V240" s="66" t="str">
        <x:v>2025-01</x:v>
      </x:c>
      <x:c r="W240" s="72" t="n">
        <x:v>45657</x:v>
      </x:c>
      <x:c r="X240" s="72" t="n">
        <x:v>45688</x:v>
      </x:c>
      <x:c r="Y240" s="72" t="n">
        <x:f>'净值原始'!C3981</x:f>
        <x:v>45653</x:v>
      </x:c>
      <x:c r="Z240" s="72" t="n">
        <x:f>'净值原始'!C3986</x:f>
        <x:v>45684</x:v>
      </x:c>
      <x:c r="AA240" s="73" t="n">
        <x:f>'净值原始'!F3981</x:f>
        <x:v>1.7927</x:v>
      </x:c>
      <x:c r="AB240" s="73" t="n">
        <x:f>'净值原始'!F3986</x:f>
        <x:v>1.8128</x:v>
      </x:c>
      <x:c r="AC240" s="66" t="n">
        <x:f>IF(OR(Y240="",Z240="",Z240&lt;=Y240,W240-Y240&gt;'sheet1-指标体系'!$J$24,X240-Z240&gt;'sheet1-指标体系'!$J$24),0,1)</x:f>
        <x:v>1</x:v>
      </x:c>
      <x:c r="AD240" s="74" t="n">
        <x:f>IF(AC240=0,"",AB240/AA240-1)</x:f>
        <x:v>0.011212138115691328</x:v>
      </x:c>
      <x:c r="AE240" s="66" t="n">
        <x:f>IF(AC240=0,"",IF(AD240&gt;0,1,0))</x:f>
        <x:v>1</x:v>
      </x:c>
    </x:row>
    <x:row r="241" ht="27" customHeight="1">
      <x:c r="A241" s="66"/>
      <x:c r="B241" s="66"/>
      <x:c r="C241" s="66"/>
      <x:c r="D241" s="72"/>
      <x:c r="E241" s="72"/>
      <x:c r="F241" s="72"/>
      <x:c r="G241" s="72"/>
      <x:c r="H241" s="66"/>
      <x:c r="I241" s="66"/>
      <x:c r="J241" s="73"/>
      <x:c r="K241" s="73"/>
      <x:c r="L241" s="74"/>
      <x:c r="M241" s="74"/>
      <x:c r="N241" s="75"/>
      <x:c r="O241" s="74"/>
      <x:c r="P241" s="66"/>
      <x:c r="Q241" s="66"/>
      <x:c r="R241" s="66"/>
      <x:c r="S241" s="66"/>
      <x:c r="T241" s="66" t="str">
        <x:v>SNH457</x:v>
      </x:c>
      <x:c r="U241" s="66" t="str">
        <x:v>量客投资金选套利1号</x:v>
      </x:c>
      <x:c r="V241" s="66" t="str">
        <x:v>2025-02</x:v>
      </x:c>
      <x:c r="W241" s="72" t="n">
        <x:v>45688</x:v>
      </x:c>
      <x:c r="X241" s="72" t="n">
        <x:v>45716</x:v>
      </x:c>
      <x:c r="Y241" s="72" t="n">
        <x:f>'净值原始'!C3986</x:f>
        <x:v>45684</x:v>
      </x:c>
      <x:c r="Z241" s="72" t="n">
        <x:f>'净值原始'!C3990</x:f>
        <x:v>45716</x:v>
      </x:c>
      <x:c r="AA241" s="73" t="n">
        <x:f>'净值原始'!F3986</x:f>
        <x:v>1.8128</x:v>
      </x:c>
      <x:c r="AB241" s="73" t="n">
        <x:f>'净值原始'!F3990</x:f>
        <x:v>1.8294</x:v>
      </x:c>
      <x:c r="AC241" s="66" t="n">
        <x:f>IF(OR(Y241="",Z241="",Z241&lt;=Y241,W241-Y241&gt;'sheet1-指标体系'!$J$24,X241-Z241&gt;'sheet1-指标体系'!$J$24),0,1)</x:f>
        <x:v>1</x:v>
      </x:c>
      <x:c r="AD241" s="74" t="n">
        <x:f>IF(AC241=0,"",AB241/AA241-1)</x:f>
        <x:v>0.0091571050308914</x:v>
      </x:c>
      <x:c r="AE241" s="66" t="n">
        <x:f>IF(AC241=0,"",IF(AD241&gt;0,1,0))</x:f>
        <x:v>1</x:v>
      </x:c>
    </x:row>
    <x:row r="242" ht="27" customHeight="1">
      <x:c r="A242" s="66"/>
      <x:c r="B242" s="66"/>
      <x:c r="C242" s="66"/>
      <x:c r="D242" s="72"/>
      <x:c r="E242" s="72"/>
      <x:c r="F242" s="72"/>
      <x:c r="G242" s="72"/>
      <x:c r="H242" s="66"/>
      <x:c r="I242" s="66"/>
      <x:c r="J242" s="73"/>
      <x:c r="K242" s="73"/>
      <x:c r="L242" s="74"/>
      <x:c r="M242" s="74"/>
      <x:c r="N242" s="75"/>
      <x:c r="O242" s="74"/>
      <x:c r="P242" s="66"/>
      <x:c r="Q242" s="66"/>
      <x:c r="R242" s="66"/>
      <x:c r="S242" s="66"/>
      <x:c r="T242" s="66" t="str">
        <x:v>SNH457</x:v>
      </x:c>
      <x:c r="U242" s="66" t="str">
        <x:v>量客投资金选套利1号</x:v>
      </x:c>
      <x:c r="V242" s="66" t="str">
        <x:v>2025-03</x:v>
      </x:c>
      <x:c r="W242" s="72" t="n">
        <x:v>45716</x:v>
      </x:c>
      <x:c r="X242" s="72" t="n">
        <x:v>45747</x:v>
      </x:c>
      <x:c r="Y242" s="72" t="n">
        <x:f>'净值原始'!C3990</x:f>
        <x:v>45716</x:v>
      </x:c>
      <x:c r="Z242" s="72" t="n">
        <x:f>'净值原始'!C3994</x:f>
        <x:v>45744</x:v>
      </x:c>
      <x:c r="AA242" s="73" t="n">
        <x:f>'净值原始'!F3990</x:f>
        <x:v>1.8294</x:v>
      </x:c>
      <x:c r="AB242" s="73" t="n">
        <x:f>'净值原始'!F3994</x:f>
        <x:v>1.8346</x:v>
      </x:c>
      <x:c r="AC242" s="66" t="n">
        <x:f>IF(OR(Y242="",Z242="",Z242&lt;=Y242,W242-Y242&gt;'sheet1-指标体系'!$J$24,X242-Z242&gt;'sheet1-指标体系'!$J$24),0,1)</x:f>
        <x:v>1</x:v>
      </x:c>
      <x:c r="AD242" s="74" t="n">
        <x:f>IF(AC242=0,"",AB242/AA242-1)</x:f>
        <x:v>0.0028424620094020803</x:v>
      </x:c>
      <x:c r="AE242" s="66" t="n">
        <x:f>IF(AC242=0,"",IF(AD242&gt;0,1,0))</x:f>
        <x:v>1</x:v>
      </x:c>
    </x:row>
    <x:row r="243" ht="27" customHeight="1">
      <x:c r="A243" s="66"/>
      <x:c r="B243" s="66"/>
      <x:c r="C243" s="66"/>
      <x:c r="D243" s="72"/>
      <x:c r="E243" s="72"/>
      <x:c r="F243" s="72"/>
      <x:c r="G243" s="72"/>
      <x:c r="H243" s="66"/>
      <x:c r="I243" s="66"/>
      <x:c r="J243" s="73"/>
      <x:c r="K243" s="73"/>
      <x:c r="L243" s="74"/>
      <x:c r="M243" s="74"/>
      <x:c r="N243" s="75"/>
      <x:c r="O243" s="74"/>
      <x:c r="P243" s="66"/>
      <x:c r="Q243" s="66"/>
      <x:c r="R243" s="66"/>
      <x:c r="S243" s="66"/>
      <x:c r="T243" s="66" t="str">
        <x:v>SNH457</x:v>
      </x:c>
      <x:c r="U243" s="66" t="str">
        <x:v>量客投资金选套利1号</x:v>
      </x:c>
      <x:c r="V243" s="66" t="str">
        <x:v>2025-04</x:v>
      </x:c>
      <x:c r="W243" s="72" t="n">
        <x:v>45747</x:v>
      </x:c>
      <x:c r="X243" s="72" t="n">
        <x:v>45777</x:v>
      </x:c>
      <x:c r="Y243" s="72" t="n">
        <x:f>'净值原始'!C3994</x:f>
        <x:v>45744</x:v>
      </x:c>
      <x:c r="Z243" s="72" t="n">
        <x:f>'净值原始'!C3999</x:f>
        <x:v>45777</x:v>
      </x:c>
      <x:c r="AA243" s="73" t="n">
        <x:f>'净值原始'!F3994</x:f>
        <x:v>1.8346</x:v>
      </x:c>
      <x:c r="AB243" s="73" t="n">
        <x:f>'净值原始'!F3999</x:f>
        <x:v>1.8441</x:v>
      </x:c>
      <x:c r="AC243" s="66" t="n">
        <x:f>IF(OR(Y243="",Z243="",Z243&lt;=Y243,W243-Y243&gt;'sheet1-指标体系'!$J$24,X243-Z243&gt;'sheet1-指标体系'!$J$24),0,1)</x:f>
        <x:v>1</x:v>
      </x:c>
      <x:c r="AD243" s="74" t="n">
        <x:f>IF(AC243=0,"",AB243/AA243-1)</x:f>
        <x:v>0.005178240488389774</x:v>
      </x:c>
      <x:c r="AE243" s="66" t="n">
        <x:f>IF(AC243=0,"",IF(AD243&gt;0,1,0))</x:f>
        <x:v>1</x:v>
      </x:c>
    </x:row>
    <x:row r="244" ht="27" customHeight="1">
      <x:c r="A244" s="66"/>
      <x:c r="B244" s="66"/>
      <x:c r="C244" s="66"/>
      <x:c r="D244" s="72"/>
      <x:c r="E244" s="72"/>
      <x:c r="F244" s="72"/>
      <x:c r="G244" s="72"/>
      <x:c r="H244" s="66"/>
      <x:c r="I244" s="66"/>
      <x:c r="J244" s="73"/>
      <x:c r="K244" s="73"/>
      <x:c r="L244" s="74"/>
      <x:c r="M244" s="74"/>
      <x:c r="N244" s="75"/>
      <x:c r="O244" s="74"/>
      <x:c r="P244" s="66"/>
      <x:c r="Q244" s="66"/>
      <x:c r="R244" s="66"/>
      <x:c r="S244" s="66"/>
      <x:c r="T244" s="66" t="str">
        <x:v>SNH457</x:v>
      </x:c>
      <x:c r="U244" s="66" t="str">
        <x:v>量客投资金选套利1号</x:v>
      </x:c>
      <x:c r="V244" s="66" t="str">
        <x:v>2025-05</x:v>
      </x:c>
      <x:c r="W244" s="72" t="n">
        <x:v>45777</x:v>
      </x:c>
      <x:c r="X244" s="72" t="n">
        <x:v>45808</x:v>
      </x:c>
      <x:c r="Y244" s="72" t="n">
        <x:f>'净值原始'!C3999</x:f>
        <x:v>45777</x:v>
      </x:c>
      <x:c r="Z244" s="72" t="n">
        <x:f>'净值原始'!C4003</x:f>
        <x:v>45807</x:v>
      </x:c>
      <x:c r="AA244" s="73" t="n">
        <x:f>'净值原始'!F3999</x:f>
        <x:v>1.8441</x:v>
      </x:c>
      <x:c r="AB244" s="73" t="n">
        <x:f>'净值原始'!F4003</x:f>
        <x:v>1.8441</x:v>
      </x:c>
      <x:c r="AC244" s="66" t="n">
        <x:f>IF(OR(Y244="",Z244="",Z244&lt;=Y244,W244-Y244&gt;'sheet1-指标体系'!$J$24,X244-Z244&gt;'sheet1-指标体系'!$J$24),0,1)</x:f>
        <x:v>1</x:v>
      </x:c>
      <x:c r="AD244" s="74" t="n">
        <x:f>IF(AC244=0,"",AB244/AA244-1)</x:f>
        <x:v>0</x:v>
      </x:c>
      <x:c r="AE244" s="66" t="n">
        <x:f>IF(AC244=0,"",IF(AD244&gt;0,1,0))</x:f>
        <x:v>0</x:v>
      </x:c>
    </x:row>
    <x:row r="245" ht="27" customHeight="1">
      <x:c r="A245" s="66"/>
      <x:c r="B245" s="66"/>
      <x:c r="C245" s="66"/>
      <x:c r="D245" s="72"/>
      <x:c r="E245" s="72"/>
      <x:c r="F245" s="72"/>
      <x:c r="G245" s="72"/>
      <x:c r="H245" s="66"/>
      <x:c r="I245" s="66"/>
      <x:c r="J245" s="73"/>
      <x:c r="K245" s="73"/>
      <x:c r="L245" s="74"/>
      <x:c r="M245" s="74"/>
      <x:c r="N245" s="75"/>
      <x:c r="O245" s="74"/>
      <x:c r="P245" s="66"/>
      <x:c r="Q245" s="66"/>
      <x:c r="R245" s="66"/>
      <x:c r="S245" s="66"/>
      <x:c r="T245" s="66" t="str">
        <x:v>SNH457</x:v>
      </x:c>
      <x:c r="U245" s="66" t="str">
        <x:v>量客投资金选套利1号</x:v>
      </x:c>
      <x:c r="V245" s="66" t="str">
        <x:v>2025-06</x:v>
      </x:c>
      <x:c r="W245" s="72" t="n">
        <x:v>45808</x:v>
      </x:c>
      <x:c r="X245" s="72" t="n">
        <x:v>45838</x:v>
      </x:c>
      <x:c r="Y245" s="72" t="n">
        <x:f>'净值原始'!C4003</x:f>
        <x:v>45807</x:v>
      </x:c>
      <x:c r="Z245" s="72" t="n">
        <x:f>'净值原始'!C4007</x:f>
        <x:v>45835</x:v>
      </x:c>
      <x:c r="AA245" s="73" t="n">
        <x:f>'净值原始'!F4003</x:f>
        <x:v>1.8441</x:v>
      </x:c>
      <x:c r="AB245" s="73" t="n">
        <x:f>'净值原始'!F4007</x:f>
        <x:v>1.8447</x:v>
      </x:c>
      <x:c r="AC245" s="66" t="n">
        <x:f>IF(OR(Y245="",Z245="",Z245&lt;=Y245,W245-Y245&gt;'sheet1-指标体系'!$J$24,X245-Z245&gt;'sheet1-指标体系'!$J$24),0,1)</x:f>
        <x:v>1</x:v>
      </x:c>
      <x:c r="AD245" s="74" t="n">
        <x:f>IF(AC245=0,"",AB245/AA245-1)</x:f>
        <x:v>0.0003253619651861772</x:v>
      </x:c>
      <x:c r="AE245" s="66" t="n">
        <x:f>IF(AC245=0,"",IF(AD245&gt;0,1,0))</x:f>
        <x:v>1</x:v>
      </x:c>
    </x:row>
    <x:row r="246" ht="27" customHeight="1">
      <x:c r="A246" s="66"/>
      <x:c r="B246" s="66"/>
      <x:c r="C246" s="66"/>
      <x:c r="D246" s="72"/>
      <x:c r="E246" s="72"/>
      <x:c r="F246" s="72"/>
      <x:c r="G246" s="72"/>
      <x:c r="H246" s="66"/>
      <x:c r="I246" s="66"/>
      <x:c r="J246" s="73"/>
      <x:c r="K246" s="73"/>
      <x:c r="L246" s="74"/>
      <x:c r="M246" s="74"/>
      <x:c r="N246" s="75"/>
      <x:c r="O246" s="74"/>
      <x:c r="P246" s="66"/>
      <x:c r="Q246" s="66"/>
      <x:c r="R246" s="66"/>
      <x:c r="S246" s="66"/>
      <x:c r="T246" s="66" t="str">
        <x:v>SNH457</x:v>
      </x:c>
      <x:c r="U246" s="66" t="str">
        <x:v>量客投资金选套利1号</x:v>
      </x:c>
      <x:c r="V246" s="66" t="str">
        <x:v>2025-07</x:v>
      </x:c>
      <x:c r="W246" s="72" t="n">
        <x:v>45838</x:v>
      </x:c>
      <x:c r="X246" s="72" t="n">
        <x:v>45869</x:v>
      </x:c>
      <x:c r="Y246" s="72" t="n">
        <x:f>'净值原始'!C4007</x:f>
        <x:v>45835</x:v>
      </x:c>
      <x:c r="Z246" s="72" t="n">
        <x:f>'净值原始'!C4011</x:f>
        <x:v>45863</x:v>
      </x:c>
      <x:c r="AA246" s="73" t="n">
        <x:f>'净值原始'!F4007</x:f>
        <x:v>1.8447</x:v>
      </x:c>
      <x:c r="AB246" s="73" t="n">
        <x:f>'净值原始'!F4011</x:f>
        <x:v>1.8491</x:v>
      </x:c>
      <x:c r="AC246" s="66" t="n">
        <x:f>IF(OR(Y246="",Z246="",Z246&lt;=Y246,W246-Y246&gt;'sheet1-指标体系'!$J$24,X246-Z246&gt;'sheet1-指标体系'!$J$24),0,1)</x:f>
        <x:v>1</x:v>
      </x:c>
      <x:c r="AD246" s="74" t="n">
        <x:f>IF(AC246=0,"",AB246/AA246-1)</x:f>
        <x:v>0.0023852116875371365</x:v>
      </x:c>
      <x:c r="AE246" s="66" t="n">
        <x:f>IF(AC246=0,"",IF(AD246&gt;0,1,0))</x:f>
        <x:v>1</x:v>
      </x:c>
    </x:row>
    <x:row r="247" ht="27" customHeight="1">
      <x:c r="A247" s="66"/>
      <x:c r="B247" s="66"/>
      <x:c r="C247" s="66"/>
      <x:c r="D247" s="72"/>
      <x:c r="E247" s="72"/>
      <x:c r="F247" s="72"/>
      <x:c r="G247" s="72"/>
      <x:c r="H247" s="66"/>
      <x:c r="I247" s="66"/>
      <x:c r="J247" s="73"/>
      <x:c r="K247" s="73"/>
      <x:c r="L247" s="74"/>
      <x:c r="M247" s="74"/>
      <x:c r="N247" s="75"/>
      <x:c r="O247" s="74"/>
      <x:c r="P247" s="66"/>
      <x:c r="Q247" s="66"/>
      <x:c r="R247" s="66"/>
      <x:c r="S247" s="66"/>
      <x:c r="T247" s="66" t="str">
        <x:v>SNH457</x:v>
      </x:c>
      <x:c r="U247" s="66" t="str">
        <x:v>量客投资金选套利1号</x:v>
      </x:c>
      <x:c r="V247" s="66" t="str">
        <x:v>2025-08</x:v>
      </x:c>
      <x:c r="W247" s="72" t="n">
        <x:v>45869</x:v>
      </x:c>
      <x:c r="X247" s="72" t="n">
        <x:v>45900</x:v>
      </x:c>
      <x:c r="Y247" s="72" t="n">
        <x:f>'净值原始'!C4011</x:f>
        <x:v>45863</x:v>
      </x:c>
      <x:c r="Z247" s="72" t="n">
        <x:f>'净值原始'!C4016</x:f>
        <x:v>45898</x:v>
      </x:c>
      <x:c r="AA247" s="73" t="n">
        <x:f>'净值原始'!F4011</x:f>
        <x:v>1.8491</x:v>
      </x:c>
      <x:c r="AB247" s="73" t="n">
        <x:f>'净值原始'!F4016</x:f>
        <x:v>1.8621</x:v>
      </x:c>
      <x:c r="AC247" s="66" t="n">
        <x:f>IF(OR(Y247="",Z247="",Z247&lt;=Y247,W247-Y247&gt;'sheet1-指标体系'!$J$24,X247-Z247&gt;'sheet1-指标体系'!$J$24),0,1)</x:f>
        <x:v>1</x:v>
      </x:c>
      <x:c r="AD247" s="74" t="n">
        <x:f>IF(AC247=0,"",AB247/AA247-1)</x:f>
        <x:v>0.007030447244605442</x:v>
      </x:c>
      <x:c r="AE247" s="66" t="n">
        <x:f>IF(AC247=0,"",IF(AD247&gt;0,1,0))</x:f>
        <x:v>1</x:v>
      </x:c>
    </x:row>
    <x:row r="248" ht="27" customHeight="1">
      <x:c r="A248" s="66"/>
      <x:c r="B248" s="66"/>
      <x:c r="C248" s="66"/>
      <x:c r="D248" s="72"/>
      <x:c r="E248" s="72"/>
      <x:c r="F248" s="72"/>
      <x:c r="G248" s="72"/>
      <x:c r="H248" s="66"/>
      <x:c r="I248" s="66"/>
      <x:c r="J248" s="73"/>
      <x:c r="K248" s="73"/>
      <x:c r="L248" s="74"/>
      <x:c r="M248" s="74"/>
      <x:c r="N248" s="75"/>
      <x:c r="O248" s="74"/>
      <x:c r="P248" s="66"/>
      <x:c r="Q248" s="66"/>
      <x:c r="R248" s="66"/>
      <x:c r="S248" s="66"/>
      <x:c r="T248" s="66" t="str">
        <x:v>SNH457</x:v>
      </x:c>
      <x:c r="U248" s="66" t="str">
        <x:v>量客投资金选套利1号</x:v>
      </x:c>
      <x:c r="V248" s="66" t="str">
        <x:v>2025-09</x:v>
      </x:c>
      <x:c r="W248" s="72" t="n">
        <x:v>45900</x:v>
      </x:c>
      <x:c r="X248" s="72" t="n">
        <x:v>45930</x:v>
      </x:c>
      <x:c r="Y248" s="72" t="n">
        <x:f>'净值原始'!C4016</x:f>
        <x:v>45898</x:v>
      </x:c>
      <x:c r="Z248" s="72" t="n">
        <x:f>'净值原始'!C4021</x:f>
        <x:v>45930</x:v>
      </x:c>
      <x:c r="AA248" s="73" t="n">
        <x:f>'净值原始'!F4016</x:f>
        <x:v>1.8621</x:v>
      </x:c>
      <x:c r="AB248" s="73" t="n">
        <x:f>'净值原始'!F4021</x:f>
        <x:v>1.8801</x:v>
      </x:c>
      <x:c r="AC248" s="66" t="n">
        <x:f>IF(OR(Y248="",Z248="",Z248&lt;=Y248,W248-Y248&gt;'sheet1-指标体系'!$J$24,X248-Z248&gt;'sheet1-指标体系'!$J$24),0,1)</x:f>
        <x:v>1</x:v>
      </x:c>
      <x:c r="AD248" s="74" t="n">
        <x:f>IF(AC248=0,"",AB248/AA248-1)</x:f>
        <x:v>0.009666505558240779</x:v>
      </x:c>
      <x:c r="AE248" s="66" t="n">
        <x:f>IF(AC248=0,"",IF(AD248&gt;0,1,0))</x:f>
        <x:v>1</x:v>
      </x:c>
    </x:row>
    <x:row r="249" ht="27" customHeight="1">
      <x:c r="A249" s="66"/>
      <x:c r="B249" s="66"/>
      <x:c r="C249" s="66"/>
      <x:c r="D249" s="72"/>
      <x:c r="E249" s="72"/>
      <x:c r="F249" s="72"/>
      <x:c r="G249" s="72"/>
      <x:c r="H249" s="66"/>
      <x:c r="I249" s="66"/>
      <x:c r="J249" s="73"/>
      <x:c r="K249" s="73"/>
      <x:c r="L249" s="74"/>
      <x:c r="M249" s="74"/>
      <x:c r="N249" s="75"/>
      <x:c r="O249" s="74"/>
      <x:c r="P249" s="66"/>
      <x:c r="Q249" s="66"/>
      <x:c r="R249" s="66"/>
      <x:c r="S249" s="66"/>
      <x:c r="T249" s="66" t="str">
        <x:v>SNH457</x:v>
      </x:c>
      <x:c r="U249" s="66" t="str">
        <x:v>量客投资金选套利1号</x:v>
      </x:c>
      <x:c r="V249" s="66" t="str">
        <x:v>2025-10</x:v>
      </x:c>
      <x:c r="W249" s="72" t="n">
        <x:v>45930</x:v>
      </x:c>
      <x:c r="X249" s="72" t="n">
        <x:v>45961</x:v>
      </x:c>
      <x:c r="Y249" s="72" t="n">
        <x:f>'净值原始'!C4021</x:f>
        <x:v>45930</x:v>
      </x:c>
      <x:c r="Z249" s="72" t="n">
        <x:f>'净值原始'!C4025</x:f>
        <x:v>45961</x:v>
      </x:c>
      <x:c r="AA249" s="73" t="n">
        <x:f>'净值原始'!F4021</x:f>
        <x:v>1.8801</x:v>
      </x:c>
      <x:c r="AB249" s="73" t="n">
        <x:f>'净值原始'!F4025</x:f>
        <x:v>1.8909</x:v>
      </x:c>
      <x:c r="AC249" s="66" t="n">
        <x:f>IF(OR(Y249="",Z249="",Z249&lt;=Y249,W249-Y249&gt;'sheet1-指标体系'!$J$24,X249-Z249&gt;'sheet1-指标体系'!$J$24),0,1)</x:f>
        <x:v>1</x:v>
      </x:c>
      <x:c r="AD249" s="74" t="n">
        <x:f>IF(AC249=0,"",AB249/AA249-1)</x:f>
        <x:v>0.005744375299186144</x:v>
      </x:c>
      <x:c r="AE249" s="66" t="n">
        <x:f>IF(AC249=0,"",IF(AD249&gt;0,1,0))</x:f>
        <x:v>1</x:v>
      </x:c>
    </x:row>
    <x:row r="250" ht="27" customHeight="1">
      <x:c r="A250" s="66"/>
      <x:c r="B250" s="66"/>
      <x:c r="C250" s="66"/>
      <x:c r="D250" s="72"/>
      <x:c r="E250" s="72"/>
      <x:c r="F250" s="72"/>
      <x:c r="G250" s="72"/>
      <x:c r="H250" s="66"/>
      <x:c r="I250" s="66"/>
      <x:c r="J250" s="73"/>
      <x:c r="K250" s="73"/>
      <x:c r="L250" s="74"/>
      <x:c r="M250" s="74"/>
      <x:c r="N250" s="75"/>
      <x:c r="O250" s="74"/>
      <x:c r="P250" s="66"/>
      <x:c r="Q250" s="66"/>
      <x:c r="R250" s="66"/>
      <x:c r="S250" s="66"/>
      <x:c r="T250" s="66" t="str">
        <x:v>SNH457</x:v>
      </x:c>
      <x:c r="U250" s="66" t="str">
        <x:v>量客投资金选套利1号</x:v>
      </x:c>
      <x:c r="V250" s="66" t="str">
        <x:v>2025-11</x:v>
      </x:c>
      <x:c r="W250" s="72" t="n">
        <x:v>45961</x:v>
      </x:c>
      <x:c r="X250" s="72" t="n">
        <x:v>45991</x:v>
      </x:c>
      <x:c r="Y250" s="72" t="n">
        <x:f>'净值原始'!C4025</x:f>
        <x:v>45961</x:v>
      </x:c>
      <x:c r="Z250" s="72" t="n">
        <x:f>'净值原始'!C4029</x:f>
        <x:v>45989</x:v>
      </x:c>
      <x:c r="AA250" s="73" t="n">
        <x:f>'净值原始'!F4025</x:f>
        <x:v>1.8909</x:v>
      </x:c>
      <x:c r="AB250" s="73" t="n">
        <x:f>'净值原始'!F4029</x:f>
        <x:v>1.8947</x:v>
      </x:c>
      <x:c r="AC250" s="66" t="n">
        <x:f>IF(OR(Y250="",Z250="",Z250&lt;=Y250,W250-Y250&gt;'sheet1-指标体系'!$J$24,X250-Z250&gt;'sheet1-指标体系'!$J$24),0,1)</x:f>
        <x:v>1</x:v>
      </x:c>
      <x:c r="AD250" s="74" t="n">
        <x:f>IF(AC250=0,"",AB250/AA250-1)</x:f>
        <x:v>0.0020096250462742216</x:v>
      </x:c>
      <x:c r="AE250" s="66" t="n">
        <x:f>IF(AC250=0,"",IF(AD250&gt;0,1,0))</x:f>
        <x:v>1</x:v>
      </x:c>
    </x:row>
    <x:row r="251" ht="27" customHeight="1">
      <x:c r="A251" s="66"/>
      <x:c r="B251" s="66"/>
      <x:c r="C251" s="66"/>
      <x:c r="D251" s="72"/>
      <x:c r="E251" s="72"/>
      <x:c r="F251" s="72"/>
      <x:c r="G251" s="72"/>
      <x:c r="H251" s="66"/>
      <x:c r="I251" s="66"/>
      <x:c r="J251" s="73"/>
      <x:c r="K251" s="73"/>
      <x:c r="L251" s="74"/>
      <x:c r="M251" s="74"/>
      <x:c r="N251" s="75"/>
      <x:c r="O251" s="74"/>
      <x:c r="P251" s="66"/>
      <x:c r="Q251" s="66"/>
      <x:c r="R251" s="66"/>
      <x:c r="S251" s="66"/>
      <x:c r="T251" s="66" t="str">
        <x:v>SNH457</x:v>
      </x:c>
      <x:c r="U251" s="66" t="str">
        <x:v>量客投资金选套利1号</x:v>
      </x:c>
      <x:c r="V251" s="66" t="str">
        <x:v>2025-12</x:v>
      </x:c>
      <x:c r="W251" s="72" t="n">
        <x:v>45991</x:v>
      </x:c>
      <x:c r="X251" s="72" t="n">
        <x:v>46022</x:v>
      </x:c>
      <x:c r="Y251" s="72" t="n">
        <x:f>'净值原始'!C4029</x:f>
        <x:v>45989</x:v>
      </x:c>
      <x:c r="Z251" s="72" t="n">
        <x:f>'净值原始'!C4034</x:f>
        <x:v>46022</x:v>
      </x:c>
      <x:c r="AA251" s="73" t="n">
        <x:f>'净值原始'!F4029</x:f>
        <x:v>1.8947</x:v>
      </x:c>
      <x:c r="AB251" s="73" t="n">
        <x:f>'净值原始'!F4034</x:f>
        <x:v>1.8978</x:v>
      </x:c>
      <x:c r="AC251" s="66" t="n">
        <x:f>IF(OR(Y251="",Z251="",Z251&lt;=Y251,W251-Y251&gt;'sheet1-指标体系'!$J$24,X251-Z251&gt;'sheet1-指标体系'!$J$24),0,1)</x:f>
        <x:v>1</x:v>
      </x:c>
      <x:c r="AD251" s="74" t="n">
        <x:f>IF(AC251=0,"",AB251/AA251-1)</x:f>
        <x:v>0.0016361429250013604</x:v>
      </x:c>
      <x:c r="AE251" s="66" t="n">
        <x:f>IF(AC251=0,"",IF(AD251&gt;0,1,0))</x:f>
        <x:v>1</x:v>
      </x:c>
    </x:row>
    <x:row r="252" ht="27" customHeight="1">
      <x:c r="A252" s="66"/>
      <x:c r="B252" s="66"/>
      <x:c r="C252" s="66"/>
      <x:c r="D252" s="72"/>
      <x:c r="E252" s="72"/>
      <x:c r="F252" s="72"/>
      <x:c r="G252" s="72"/>
      <x:c r="H252" s="66"/>
      <x:c r="I252" s="66"/>
      <x:c r="J252" s="73"/>
      <x:c r="K252" s="73"/>
      <x:c r="L252" s="74"/>
      <x:c r="M252" s="74"/>
      <x:c r="N252" s="75"/>
      <x:c r="O252" s="74"/>
      <x:c r="P252" s="66"/>
      <x:c r="Q252" s="66"/>
      <x:c r="R252" s="66"/>
      <x:c r="S252" s="66"/>
      <x:c r="T252" s="66" t="str">
        <x:v>SNH457</x:v>
      </x:c>
      <x:c r="U252" s="66" t="str">
        <x:v>量客投资金选套利1号</x:v>
      </x:c>
      <x:c r="V252" s="66" t="str">
        <x:v>2026-01</x:v>
      </x:c>
      <x:c r="W252" s="72" t="n">
        <x:v>46022</x:v>
      </x:c>
      <x:c r="X252" s="72" t="n">
        <x:v>46053</x:v>
      </x:c>
      <x:c r="Y252" s="72" t="n">
        <x:f>'净值原始'!C4034</x:f>
        <x:v>46022</x:v>
      </x:c>
      <x:c r="Z252" s="72" t="n">
        <x:f>'净值原始'!C4038</x:f>
        <x:v>46052</x:v>
      </x:c>
      <x:c r="AA252" s="73" t="n">
        <x:f>'净值原始'!F4034</x:f>
        <x:v>1.8978</x:v>
      </x:c>
      <x:c r="AB252" s="73" t="n">
        <x:f>'净值原始'!F4038</x:f>
        <x:v>1.9172</x:v>
      </x:c>
      <x:c r="AC252" s="66" t="n">
        <x:f>IF(OR(Y252="",Z252="",Z252&lt;=Y252,W252-Y252&gt;'sheet1-指标体系'!$J$24,X252-Z252&gt;'sheet1-指标体系'!$J$24),0,1)</x:f>
        <x:v>1</x:v>
      </x:c>
      <x:c r="AD252" s="74" t="n">
        <x:f>IF(AC252=0,"",AB252/AA252-1)</x:f>
        <x:v>0.01022236273579935</x:v>
      </x:c>
      <x:c r="AE252" s="66" t="n">
        <x:f>IF(AC252=0,"",IF(AD252&gt;0,1,0))</x:f>
        <x:v>1</x:v>
      </x:c>
    </x:row>
    <x:row r="253" ht="27" customHeight="1">
      <x:c r="A253" s="66"/>
      <x:c r="B253" s="66"/>
      <x:c r="C253" s="66"/>
      <x:c r="D253" s="72"/>
      <x:c r="E253" s="72"/>
      <x:c r="F253" s="72"/>
      <x:c r="G253" s="72"/>
      <x:c r="H253" s="66"/>
      <x:c r="I253" s="66"/>
      <x:c r="J253" s="73"/>
      <x:c r="K253" s="73"/>
      <x:c r="L253" s="74"/>
      <x:c r="M253" s="74"/>
      <x:c r="N253" s="75"/>
      <x:c r="O253" s="74"/>
      <x:c r="P253" s="66"/>
      <x:c r="Q253" s="66"/>
      <x:c r="R253" s="66"/>
      <x:c r="S253" s="66"/>
      <x:c r="T253" s="66" t="str">
        <x:v>SNH457</x:v>
      </x:c>
      <x:c r="U253" s="66" t="str">
        <x:v>量客投资金选套利1号</x:v>
      </x:c>
      <x:c r="V253" s="66" t="str">
        <x:v>2026-02</x:v>
      </x:c>
      <x:c r="W253" s="72" t="n">
        <x:v>46053</x:v>
      </x:c>
      <x:c r="X253" s="72" t="n">
        <x:v>46081</x:v>
      </x:c>
      <x:c r="Y253" s="72" t="n">
        <x:f>'净值原始'!C4038</x:f>
        <x:v>46052</x:v>
      </x:c>
      <x:c r="Z253" s="72" t="n">
        <x:f>'净值原始'!C4041</x:f>
        <x:v>46080</x:v>
      </x:c>
      <x:c r="AA253" s="73" t="n">
        <x:f>'净值原始'!F4038</x:f>
        <x:v>1.9172</x:v>
      </x:c>
      <x:c r="AB253" s="73" t="n">
        <x:f>'净值原始'!F4041</x:f>
        <x:v>1.9182</x:v>
      </x:c>
      <x:c r="AC253" s="66" t="n">
        <x:f>IF(OR(Y253="",Z253="",Z253&lt;=Y253,W253-Y253&gt;'sheet1-指标体系'!$J$24,X253-Z253&gt;'sheet1-指标体系'!$J$24),0,1)</x:f>
        <x:v>1</x:v>
      </x:c>
      <x:c r="AD253" s="74" t="n">
        <x:f>IF(AC253=0,"",AB253/AA253-1)</x:f>
        <x:v>0.0005215939912370793</x:v>
      </x:c>
      <x:c r="AE253" s="66" t="n">
        <x:f>IF(AC253=0,"",IF(AD253&gt;0,1,0))</x:f>
        <x:v>1</x:v>
      </x:c>
    </x:row>
    <x:row r="254" ht="27" customHeight="1">
      <x:c r="A254" s="66"/>
      <x:c r="B254" s="66"/>
      <x:c r="C254" s="66"/>
      <x:c r="D254" s="72"/>
      <x:c r="E254" s="72"/>
      <x:c r="F254" s="72"/>
      <x:c r="G254" s="72"/>
      <x:c r="H254" s="66"/>
      <x:c r="I254" s="66"/>
      <x:c r="J254" s="73"/>
      <x:c r="K254" s="73"/>
      <x:c r="L254" s="74"/>
      <x:c r="M254" s="74"/>
      <x:c r="N254" s="75"/>
      <x:c r="O254" s="74"/>
      <x:c r="P254" s="66"/>
      <x:c r="Q254" s="66"/>
      <x:c r="R254" s="66"/>
      <x:c r="S254" s="66"/>
      <x:c r="T254" s="66" t="str">
        <x:v>SNH457</x:v>
      </x:c>
      <x:c r="U254" s="66" t="str">
        <x:v>量客投资金选套利1号</x:v>
      </x:c>
      <x:c r="V254" s="66" t="str">
        <x:v>2026-03</x:v>
      </x:c>
      <x:c r="W254" s="72" t="n">
        <x:v>46081</x:v>
      </x:c>
      <x:c r="X254" s="72" t="n">
        <x:v>46112</x:v>
      </x:c>
      <x:c r="Y254" s="72" t="n">
        <x:f>'净值原始'!C4041</x:f>
        <x:v>46080</x:v>
      </x:c>
      <x:c r="Z254" s="72" t="n">
        <x:f>'净值原始'!C4045</x:f>
        <x:v>46108</x:v>
      </x:c>
      <x:c r="AA254" s="73" t="n">
        <x:f>'净值原始'!F4041</x:f>
        <x:v>1.9182</x:v>
      </x:c>
      <x:c r="AB254" s="73" t="n">
        <x:f>'净值原始'!F4045</x:f>
        <x:v>1.9309</x:v>
      </x:c>
      <x:c r="AC254" s="66" t="n">
        <x:f>IF(OR(Y254="",Z254="",Z254&lt;=Y254,W254-Y254&gt;'sheet1-指标体系'!$J$24,X254-Z254&gt;'sheet1-指标体系'!$J$24),0,1)</x:f>
        <x:v>1</x:v>
      </x:c>
      <x:c r="AD254" s="74" t="n">
        <x:f>IF(AC254=0,"",AB254/AA254-1)</x:f>
        <x:v>0.006620790324262327</x:v>
      </x:c>
      <x:c r="AE254" s="66" t="n">
        <x:f>IF(AC254=0,"",IF(AD254&gt;0,1,0))</x:f>
        <x:v>1</x:v>
      </x:c>
    </x:row>
    <x:row r="255" ht="27" customHeight="1">
      <x:c r="A255" s="66"/>
      <x:c r="B255" s="66"/>
      <x:c r="C255" s="66"/>
      <x:c r="D255" s="72"/>
      <x:c r="E255" s="72"/>
      <x:c r="F255" s="72"/>
      <x:c r="G255" s="72"/>
      <x:c r="H255" s="66"/>
      <x:c r="I255" s="66"/>
      <x:c r="J255" s="73"/>
      <x:c r="K255" s="73"/>
      <x:c r="L255" s="74"/>
      <x:c r="M255" s="74"/>
      <x:c r="N255" s="75"/>
      <x:c r="O255" s="74"/>
      <x:c r="P255" s="66"/>
      <x:c r="Q255" s="66"/>
      <x:c r="R255" s="66"/>
      <x:c r="S255" s="66"/>
      <x:c r="T255" s="66" t="str">
        <x:v>SNH457</x:v>
      </x:c>
      <x:c r="U255" s="66" t="str">
        <x:v>量客投资金选套利1号</x:v>
      </x:c>
      <x:c r="V255" s="66" t="str">
        <x:v>2026-04</x:v>
      </x:c>
      <x:c r="W255" s="72" t="n">
        <x:v>46112</x:v>
      </x:c>
      <x:c r="X255" s="72" t="n">
        <x:v>46142</x:v>
      </x:c>
      <x:c r="Y255" s="72" t="n">
        <x:f>'净值原始'!C4045</x:f>
        <x:v>46108</x:v>
      </x:c>
      <x:c r="Z255" s="72" t="n">
        <x:f>'净值原始'!C4050</x:f>
        <x:v>46142</x:v>
      </x:c>
      <x:c r="AA255" s="73" t="n">
        <x:f>'净值原始'!F4045</x:f>
        <x:v>1.9309</x:v>
      </x:c>
      <x:c r="AB255" s="73" t="n">
        <x:f>'净值原始'!F4050</x:f>
        <x:v>1.9341</x:v>
      </x:c>
      <x:c r="AC255" s="66" t="n">
        <x:f>IF(OR(Y255="",Z255="",Z255&lt;=Y255,W255-Y255&gt;'sheet1-指标体系'!$J$24,X255-Z255&gt;'sheet1-指标体系'!$J$24),0,1)</x:f>
        <x:v>1</x:v>
      </x:c>
      <x:c r="AD255" s="74" t="n">
        <x:f>IF(AC255=0,"",AB255/AA255-1)</x:f>
        <x:v>0.0016572582733440644</x:v>
      </x:c>
      <x:c r="AE255" s="66" t="n">
        <x:f>IF(AC255=0,"",IF(AD255&gt;0,1,0))</x:f>
        <x:v>1</x:v>
      </x:c>
    </x:row>
    <x:row r="256" ht="27" customHeight="1">
      <x:c r="A256" s="66"/>
      <x:c r="B256" s="66"/>
      <x:c r="C256" s="66"/>
      <x:c r="D256" s="72"/>
      <x:c r="E256" s="72"/>
      <x:c r="F256" s="72"/>
      <x:c r="G256" s="72"/>
      <x:c r="H256" s="66"/>
      <x:c r="I256" s="66"/>
      <x:c r="J256" s="73"/>
      <x:c r="K256" s="73"/>
      <x:c r="L256" s="74"/>
      <x:c r="M256" s="74"/>
      <x:c r="N256" s="75"/>
      <x:c r="O256" s="74"/>
      <x:c r="P256" s="66"/>
      <x:c r="Q256" s="66"/>
      <x:c r="R256" s="66"/>
      <x:c r="S256" s="66"/>
      <x:c r="T256" s="66" t="str">
        <x:v>SNH457</x:v>
      </x:c>
      <x:c r="U256" s="66" t="str">
        <x:v>量客投资金选套利1号</x:v>
      </x:c>
      <x:c r="V256" s="66" t="str">
        <x:v>2026-05</x:v>
      </x:c>
      <x:c r="W256" s="72" t="n">
        <x:v>46142</x:v>
      </x:c>
      <x:c r="X256" s="72" t="n">
        <x:v>46173</x:v>
      </x:c>
      <x:c r="Y256" s="72" t="n">
        <x:f>'净值原始'!C4050</x:f>
        <x:v>46142</x:v>
      </x:c>
      <x:c r="Z256" s="72" t="n">
        <x:f>'净值原始'!C4054</x:f>
        <x:v>46171</x:v>
      </x:c>
      <x:c r="AA256" s="73" t="n">
        <x:f>'净值原始'!F4050</x:f>
        <x:v>1.9341</x:v>
      </x:c>
      <x:c r="AB256" s="73" t="n">
        <x:f>'净值原始'!F4054</x:f>
        <x:v>1.9431</x:v>
      </x:c>
      <x:c r="AC256" s="66" t="n">
        <x:f>IF(OR(Y256="",Z256="",Z256&lt;=Y256,W256-Y256&gt;'sheet1-指标体系'!$J$24,X256-Z256&gt;'sheet1-指标体系'!$J$24),0,1)</x:f>
        <x:v>1</x:v>
      </x:c>
      <x:c r="AD256" s="74" t="n">
        <x:f>IF(AC256=0,"",AB256/AA256-1)</x:f>
        <x:v>0.004653327128897322</x:v>
      </x:c>
      <x:c r="AE256" s="66" t="n">
        <x:f>IF(AC256=0,"",IF(AD256&gt;0,1,0))</x:f>
        <x:v>1</x:v>
      </x:c>
    </x:row>
    <x:row r="257" ht="27" customHeight="1">
      <x:c r="A257" s="66"/>
      <x:c r="B257" s="66"/>
      <x:c r="C257" s="66"/>
      <x:c r="D257" s="72"/>
      <x:c r="E257" s="72"/>
      <x:c r="F257" s="72"/>
      <x:c r="G257" s="72"/>
      <x:c r="H257" s="66"/>
      <x:c r="I257" s="66"/>
      <x:c r="J257" s="73"/>
      <x:c r="K257" s="73"/>
      <x:c r="L257" s="74"/>
      <x:c r="M257" s="74"/>
      <x:c r="N257" s="75"/>
      <x:c r="O257" s="74"/>
      <x:c r="P257" s="66"/>
      <x:c r="Q257" s="66"/>
      <x:c r="R257" s="66"/>
      <x:c r="S257" s="66"/>
      <x:c r="T257" s="66" t="str">
        <x:v>SNH457</x:v>
      </x:c>
      <x:c r="U257" s="66" t="str">
        <x:v>量客投资金选套利1号</x:v>
      </x:c>
      <x:c r="V257" s="66" t="str">
        <x:v>2026-06</x:v>
      </x:c>
      <x:c r="W257" s="72" t="n">
        <x:v>46173</x:v>
      </x:c>
      <x:c r="X257" s="72" t="n">
        <x:v>46203</x:v>
      </x:c>
      <x:c r="Y257" s="72" t="n">
        <x:f>'净值原始'!C4054</x:f>
        <x:v>46171</x:v>
      </x:c>
      <x:c r="Z257" s="72" t="n">
        <x:f>'净值原始'!C4058</x:f>
        <x:v>46199</x:v>
      </x:c>
      <x:c r="AA257" s="73" t="n">
        <x:f>'净值原始'!F4054</x:f>
        <x:v>1.9431</x:v>
      </x:c>
      <x:c r="AB257" s="73" t="n">
        <x:f>'净值原始'!F4058</x:f>
        <x:v>1.9518</x:v>
      </x:c>
      <x:c r="AC257" s="66" t="n">
        <x:f>IF(OR(Y257="",Z257="",Z257&lt;=Y257,W257-Y257&gt;'sheet1-指标体系'!$J$24,X257-Z257&gt;'sheet1-指标体系'!$J$24),0,1)</x:f>
        <x:v>1</x:v>
      </x:c>
      <x:c r="AD257" s="74" t="n">
        <x:f>IF(AC257=0,"",AB257/AA257-1)</x:f>
        <x:v>0.004477381503782629</x:v>
      </x:c>
      <x:c r="AE257" s="66" t="n">
        <x:f>IF(AC257=0,"",IF(AD257&gt;0,1,0))</x:f>
        <x:v>1</x:v>
      </x:c>
    </x:row>
    <x:row r="258" ht="27" customHeight="1">
      <x:c r="A258" s="66"/>
      <x:c r="B258" s="66"/>
      <x:c r="C258" s="66"/>
      <x:c r="D258" s="72"/>
      <x:c r="E258" s="72"/>
      <x:c r="F258" s="72"/>
      <x:c r="G258" s="72"/>
      <x:c r="H258" s="66"/>
      <x:c r="I258" s="66"/>
      <x:c r="J258" s="73"/>
      <x:c r="K258" s="73"/>
      <x:c r="L258" s="74"/>
      <x:c r="M258" s="74"/>
      <x:c r="N258" s="75"/>
      <x:c r="O258" s="74"/>
      <x:c r="P258" s="66"/>
      <x:c r="Q258" s="66"/>
      <x:c r="R258" s="66"/>
      <x:c r="S258" s="66"/>
      <x:c r="T258" s="66" t="str">
        <x:v>SNH457</x:v>
      </x:c>
      <x:c r="U258" s="66" t="str">
        <x:v>量客投资金选套利1号</x:v>
      </x:c>
      <x:c r="V258" s="66" t="str">
        <x:v>2026-07</x:v>
      </x:c>
      <x:c r="W258" s="72" t="n">
        <x:v>46203</x:v>
      </x:c>
      <x:c r="X258" s="72" t="n">
        <x:v>46234</x:v>
      </x:c>
      <x:c r="Y258" s="72" t="n">
        <x:f>'净值原始'!C4058</x:f>
        <x:v>46199</x:v>
      </x:c>
      <x:c r="Z258" s="72" t="n">
        <x:f>'净值原始'!C4063</x:f>
        <x:v>46234</x:v>
      </x:c>
      <x:c r="AA258" s="73" t="n">
        <x:f>'净值原始'!F4058</x:f>
        <x:v>1.9518</x:v>
      </x:c>
      <x:c r="AB258" s="73" t="n">
        <x:f>'净值原始'!F4063</x:f>
        <x:v>1.9744</x:v>
      </x:c>
      <x:c r="AC258" s="66" t="n">
        <x:f>IF(OR(Y258="",Z258="",Z258&lt;=Y258,W258-Y258&gt;'sheet1-指标体系'!$J$24,X258-Z258&gt;'sheet1-指标体系'!$J$24),0,1)</x:f>
        <x:v>1</x:v>
      </x:c>
      <x:c r="AD258" s="74" t="n">
        <x:f>IF(AC258=0,"",AB258/AA258-1)</x:f>
        <x:v>0.011579055231068835</x:v>
      </x:c>
      <x:c r="AE258" s="66" t="n">
        <x:f>IF(AC258=0,"",IF(AD258&gt;0,1,0))</x:f>
        <x:v>1</x:v>
      </x:c>
    </x:row>
    <x:row r="259" ht="27" customHeight="1">
      <x:c r="A259" s="66"/>
      <x:c r="B259" s="66"/>
      <x:c r="C259" s="66"/>
      <x:c r="D259" s="72"/>
      <x:c r="E259" s="72"/>
      <x:c r="F259" s="72"/>
      <x:c r="G259" s="72"/>
      <x:c r="H259" s="66"/>
      <x:c r="I259" s="66"/>
      <x:c r="J259" s="73"/>
      <x:c r="K259" s="73"/>
      <x:c r="L259" s="74"/>
      <x:c r="M259" s="74"/>
      <x:c r="N259" s="75"/>
      <x:c r="O259" s="74"/>
      <x:c r="P259" s="66"/>
      <x:c r="Q259" s="66"/>
      <x:c r="R259" s="66"/>
      <x:c r="S259" s="66"/>
      <x:c r="T259" s="66" t="str">
        <x:v>SNH457</x:v>
      </x:c>
      <x:c r="U259" s="66" t="str">
        <x:v>量客投资金选套利1号</x:v>
      </x:c>
      <x:c r="V259" s="66" t="str">
        <x:v>2026-08</x:v>
      </x:c>
      <x:c r="W259" s="72" t="n">
        <x:v>46234</x:v>
      </x:c>
      <x:c r="X259" s="72" t="n">
        <x:v>46265</x:v>
      </x:c>
      <x:c r="Y259" s="72" t="n">
        <x:f>'净值原始'!C4063</x:f>
        <x:v>46234</x:v>
      </x:c>
      <x:c r="Z259" s="72" t="n">
        <x:f>'净值原始'!C4067</x:f>
        <x:v>46262</x:v>
      </x:c>
      <x:c r="AA259" s="73" t="n">
        <x:f>'净值原始'!F4063</x:f>
        <x:v>1.9744</x:v>
      </x:c>
      <x:c r="AB259" s="73" t="n">
        <x:f>'净值原始'!F4067</x:f>
        <x:v>1.9825</x:v>
      </x:c>
      <x:c r="AC259" s="66" t="n">
        <x:f>IF(OR(Y259="",Z259="",Z259&lt;=Y259,W259-Y259&gt;'sheet1-指标体系'!$J$24,X259-Z259&gt;'sheet1-指标体系'!$J$24),0,1)</x:f>
        <x:v>1</x:v>
      </x:c>
      <x:c r="AD259" s="74" t="n">
        <x:f>IF(AC259=0,"",AB259/AA259-1)</x:f>
        <x:v>0.004102512155591542</x:v>
      </x:c>
      <x:c r="AE259" s="66" t="n">
        <x:f>IF(AC259=0,"",IF(AD259&gt;0,1,0))</x:f>
        <x:v>1</x:v>
      </x:c>
    </x:row>
    <x:row r="260" ht="27" customHeight="1">
      <x:c r="A260" s="66"/>
      <x:c r="B260" s="66"/>
      <x:c r="C260" s="66"/>
      <x:c r="D260" s="72"/>
      <x:c r="E260" s="72"/>
      <x:c r="F260" s="72"/>
      <x:c r="G260" s="72"/>
      <x:c r="H260" s="66"/>
      <x:c r="I260" s="66"/>
      <x:c r="J260" s="73"/>
      <x:c r="K260" s="73"/>
      <x:c r="L260" s="74"/>
      <x:c r="M260" s="74"/>
      <x:c r="N260" s="75"/>
      <x:c r="O260" s="74"/>
      <x:c r="P260" s="66"/>
      <x:c r="Q260" s="66"/>
      <x:c r="R260" s="66"/>
      <x:c r="S260" s="66"/>
      <x:c r="T260" s="66" t="str">
        <x:v>SNH457</x:v>
      </x:c>
      <x:c r="U260" s="66" t="str">
        <x:v>量客投资金选套利1号</x:v>
      </x:c>
      <x:c r="V260" s="66" t="str">
        <x:v>2026-09</x:v>
      </x:c>
      <x:c r="W260" s="72" t="n">
        <x:v>46265</x:v>
      </x:c>
      <x:c r="X260" s="72" t="n">
        <x:v>46269</x:v>
      </x:c>
      <x:c r="Y260" s="72" t="n">
        <x:f>'净值原始'!C4067</x:f>
        <x:v>46262</x:v>
      </x:c>
      <x:c r="Z260" s="72" t="n">
        <x:f>'净值原始'!C4068</x:f>
        <x:v>46269</x:v>
      </x:c>
      <x:c r="AA260" s="73" t="n">
        <x:f>'净值原始'!F4067</x:f>
        <x:v>1.9825</x:v>
      </x:c>
      <x:c r="AB260" s="73" t="n">
        <x:f>'净值原始'!F4068</x:f>
        <x:v>1.985</x:v>
      </x:c>
      <x:c r="AC260" s="66" t="n">
        <x:f>IF(OR(Y260="",Z260="",Z260&lt;=Y260,W260-Y260&gt;'sheet1-指标体系'!$J$24,X260-Z260&gt;'sheet1-指标体系'!$J$24),0,1)</x:f>
        <x:v>1</x:v>
      </x:c>
      <x:c r="AD260" s="74" t="n">
        <x:f>IF(AC260=0,"",AB260/AA260-1)</x:f>
        <x:v>0.0012610340479193294</x:v>
      </x:c>
      <x:c r="AE260" s="66" t="n">
        <x:f>IF(AC260=0,"",IF(AD260&gt;0,1,0))</x:f>
        <x:v>1</x:v>
      </x:c>
    </x:row>
    <x:row r="261" ht="27" customHeight="1">
      <x:c r="A261" s="66"/>
      <x:c r="B261" s="66"/>
      <x:c r="C261" s="66"/>
      <x:c r="D261" s="72"/>
      <x:c r="E261" s="72"/>
      <x:c r="F261" s="72"/>
      <x:c r="G261" s="72"/>
      <x:c r="H261" s="66"/>
      <x:c r="I261" s="66"/>
      <x:c r="J261" s="73"/>
      <x:c r="K261" s="73"/>
      <x:c r="L261" s="74"/>
      <x:c r="M261" s="74"/>
      <x:c r="N261" s="75"/>
      <x:c r="O261" s="74"/>
      <x:c r="P261" s="66"/>
      <x:c r="Q261" s="66"/>
      <x:c r="R261" s="66"/>
      <x:c r="S261" s="66"/>
      <x:c r="T261" s="66" t="str">
        <x:v>SQN453</x:v>
      </x:c>
      <x:c r="U261" s="66" t="str">
        <x:v>钧誉厚德量化对冲11号</x:v>
      </x:c>
      <x:c r="V261" s="66" t="str">
        <x:v>2023-08</x:v>
      </x:c>
      <x:c r="W261" s="72" t="n">
        <x:v>45138</x:v>
      </x:c>
      <x:c r="X261" s="72" t="n">
        <x:v>45169</x:v>
      </x:c>
      <x:c r="Y261" s="72" t="n">
        <x:f>'净值原始'!C4612</x:f>
        <x:v>45138</x:v>
      </x:c>
      <x:c r="Z261" s="72" t="n">
        <x:f>'净值原始'!C4635</x:f>
        <x:v>45169</x:v>
      </x:c>
      <x:c r="AA261" s="73" t="n">
        <x:f>'净值原始'!F4612</x:f>
        <x:v>1.245</x:v>
      </x:c>
      <x:c r="AB261" s="73" t="n">
        <x:f>'净值原始'!F4635</x:f>
        <x:v>1.2534</x:v>
      </x:c>
      <x:c r="AC261" s="66" t="n">
        <x:f>IF(OR(Y261="",Z261="",Z261&lt;=Y261,W261-Y261&gt;'sheet1-指标体系'!$J$24,X261-Z261&gt;'sheet1-指标体系'!$J$24),0,1)</x:f>
        <x:v>1</x:v>
      </x:c>
      <x:c r="AD261" s="74" t="n">
        <x:f>IF(AC261=0,"",AB261/AA261-1)</x:f>
        <x:v>0.006746987951807171</x:v>
      </x:c>
      <x:c r="AE261" s="66" t="n">
        <x:f>IF(AC261=0,"",IF(AD261&gt;0,1,0))</x:f>
        <x:v>1</x:v>
      </x:c>
    </x:row>
    <x:row r="262" ht="27" customHeight="1">
      <x:c r="A262" s="66"/>
      <x:c r="B262" s="66"/>
      <x:c r="C262" s="66"/>
      <x:c r="D262" s="72"/>
      <x:c r="E262" s="72"/>
      <x:c r="F262" s="72"/>
      <x:c r="G262" s="72"/>
      <x:c r="H262" s="66"/>
      <x:c r="I262" s="66"/>
      <x:c r="J262" s="73"/>
      <x:c r="K262" s="73"/>
      <x:c r="L262" s="74"/>
      <x:c r="M262" s="74"/>
      <x:c r="N262" s="75"/>
      <x:c r="O262" s="74"/>
      <x:c r="P262" s="66"/>
      <x:c r="Q262" s="66"/>
      <x:c r="R262" s="66"/>
      <x:c r="S262" s="66"/>
      <x:c r="T262" s="66" t="str">
        <x:v>SQN453</x:v>
      </x:c>
      <x:c r="U262" s="66" t="str">
        <x:v>钧誉厚德量化对冲11号</x:v>
      </x:c>
      <x:c r="V262" s="66" t="str">
        <x:v>2023-09</x:v>
      </x:c>
      <x:c r="W262" s="72" t="n">
        <x:v>45169</x:v>
      </x:c>
      <x:c r="X262" s="72" t="n">
        <x:v>45199</x:v>
      </x:c>
      <x:c r="Y262" s="72" t="n">
        <x:f>'净值原始'!C4635</x:f>
        <x:v>45169</x:v>
      </x:c>
      <x:c r="Z262" s="72" t="n">
        <x:f>'净值原始'!C4655</x:f>
        <x:v>45197</x:v>
      </x:c>
      <x:c r="AA262" s="73" t="n">
        <x:f>'净值原始'!F4635</x:f>
        <x:v>1.2534</x:v>
      </x:c>
      <x:c r="AB262" s="73" t="n">
        <x:f>'净值原始'!F4655</x:f>
        <x:v>1.2622</x:v>
      </x:c>
      <x:c r="AC262" s="66" t="n">
        <x:f>IF(OR(Y262="",Z262="",Z262&lt;=Y262,W262-Y262&gt;'sheet1-指标体系'!$J$24,X262-Z262&gt;'sheet1-指标体系'!$J$24),0,1)</x:f>
        <x:v>1</x:v>
      </x:c>
      <x:c r="AD262" s="74" t="n">
        <x:f>IF(AC262=0,"",AB262/AA262-1)</x:f>
        <x:v>0.00702090314344983</x:v>
      </x:c>
      <x:c r="AE262" s="66" t="n">
        <x:f>IF(AC262=0,"",IF(AD262&gt;0,1,0))</x:f>
        <x:v>1</x:v>
      </x:c>
    </x:row>
    <x:row r="263" ht="27" customHeight="1">
      <x:c r="A263" s="66"/>
      <x:c r="B263" s="66"/>
      <x:c r="C263" s="66"/>
      <x:c r="D263" s="72"/>
      <x:c r="E263" s="72"/>
      <x:c r="F263" s="72"/>
      <x:c r="G263" s="72"/>
      <x:c r="H263" s="66"/>
      <x:c r="I263" s="66"/>
      <x:c r="J263" s="73"/>
      <x:c r="K263" s="73"/>
      <x:c r="L263" s="74"/>
      <x:c r="M263" s="74"/>
      <x:c r="N263" s="75"/>
      <x:c r="O263" s="74"/>
      <x:c r="P263" s="66"/>
      <x:c r="Q263" s="66"/>
      <x:c r="R263" s="66"/>
      <x:c r="S263" s="66"/>
      <x:c r="T263" s="66" t="str">
        <x:v>SQN453</x:v>
      </x:c>
      <x:c r="U263" s="66" t="str">
        <x:v>钧誉厚德量化对冲11号</x:v>
      </x:c>
      <x:c r="V263" s="66" t="str">
        <x:v>2023-10</x:v>
      </x:c>
      <x:c r="W263" s="72" t="n">
        <x:v>45199</x:v>
      </x:c>
      <x:c r="X263" s="72" t="n">
        <x:v>45230</x:v>
      </x:c>
      <x:c r="Y263" s="72" t="n">
        <x:f>'净值原始'!C4655</x:f>
        <x:v>45197</x:v>
      </x:c>
      <x:c r="Z263" s="72" t="n">
        <x:f>'净值原始'!C4672</x:f>
        <x:v>45230</x:v>
      </x:c>
      <x:c r="AA263" s="73" t="n">
        <x:f>'净值原始'!F4655</x:f>
        <x:v>1.2622</x:v>
      </x:c>
      <x:c r="AB263" s="73" t="n">
        <x:f>'净值原始'!F4672</x:f>
        <x:v>1.2713</x:v>
      </x:c>
      <x:c r="AC263" s="66" t="n">
        <x:f>IF(OR(Y263="",Z263="",Z263&lt;=Y263,W263-Y263&gt;'sheet1-指标体系'!$J$24,X263-Z263&gt;'sheet1-指标体系'!$J$24),0,1)</x:f>
        <x:v>1</x:v>
      </x:c>
      <x:c r="AD263" s="74" t="n">
        <x:f>IF(AC263=0,"",AB263/AA263-1)</x:f>
        <x:v>0.007209633972429241</x:v>
      </x:c>
      <x:c r="AE263" s="66" t="n">
        <x:f>IF(AC263=0,"",IF(AD263&gt;0,1,0))</x:f>
        <x:v>1</x:v>
      </x:c>
    </x:row>
    <x:row r="264" ht="27" customHeight="1">
      <x:c r="A264" s="66"/>
      <x:c r="B264" s="66"/>
      <x:c r="C264" s="66"/>
      <x:c r="D264" s="72"/>
      <x:c r="E264" s="72"/>
      <x:c r="F264" s="72"/>
      <x:c r="G264" s="72"/>
      <x:c r="H264" s="66"/>
      <x:c r="I264" s="66"/>
      <x:c r="J264" s="73"/>
      <x:c r="K264" s="73"/>
      <x:c r="L264" s="74"/>
      <x:c r="M264" s="74"/>
      <x:c r="N264" s="75"/>
      <x:c r="O264" s="74"/>
      <x:c r="P264" s="66"/>
      <x:c r="Q264" s="66"/>
      <x:c r="R264" s="66"/>
      <x:c r="S264" s="66"/>
      <x:c r="T264" s="66" t="str">
        <x:v>SQN453</x:v>
      </x:c>
      <x:c r="U264" s="66" t="str">
        <x:v>钧誉厚德量化对冲11号</x:v>
      </x:c>
      <x:c r="V264" s="66" t="str">
        <x:v>2023-11</x:v>
      </x:c>
      <x:c r="W264" s="72" t="n">
        <x:v>45230</x:v>
      </x:c>
      <x:c r="X264" s="72" t="n">
        <x:v>45260</x:v>
      </x:c>
      <x:c r="Y264" s="72" t="n">
        <x:f>'净值原始'!C4672</x:f>
        <x:v>45230</x:v>
      </x:c>
      <x:c r="Z264" s="72" t="n">
        <x:f>'净值原始'!C4694</x:f>
        <x:v>45260</x:v>
      </x:c>
      <x:c r="AA264" s="73" t="n">
        <x:f>'净值原始'!F4672</x:f>
        <x:v>1.2713</x:v>
      </x:c>
      <x:c r="AB264" s="73" t="n">
        <x:f>'净值原始'!F4694</x:f>
        <x:v>1.2782</x:v>
      </x:c>
      <x:c r="AC264" s="66" t="n">
        <x:f>IF(OR(Y264="",Z264="",Z264&lt;=Y264,W264-Y264&gt;'sheet1-指标体系'!$J$24,X264-Z264&gt;'sheet1-指标体系'!$J$24),0,1)</x:f>
        <x:v>1</x:v>
      </x:c>
      <x:c r="AD264" s="74" t="n">
        <x:f>IF(AC264=0,"",AB264/AA264-1)</x:f>
        <x:v>0.005427515141980477</x:v>
      </x:c>
      <x:c r="AE264" s="66" t="n">
        <x:f>IF(AC264=0,"",IF(AD264&gt;0,1,0))</x:f>
        <x:v>1</x:v>
      </x:c>
    </x:row>
    <x:row r="265" ht="27" customHeight="1">
      <x:c r="A265" s="66"/>
      <x:c r="B265" s="66"/>
      <x:c r="C265" s="66"/>
      <x:c r="D265" s="72"/>
      <x:c r="E265" s="72"/>
      <x:c r="F265" s="72"/>
      <x:c r="G265" s="72"/>
      <x:c r="H265" s="66"/>
      <x:c r="I265" s="66"/>
      <x:c r="J265" s="73"/>
      <x:c r="K265" s="73"/>
      <x:c r="L265" s="74"/>
      <x:c r="M265" s="74"/>
      <x:c r="N265" s="75"/>
      <x:c r="O265" s="74"/>
      <x:c r="P265" s="66"/>
      <x:c r="Q265" s="66"/>
      <x:c r="R265" s="66"/>
      <x:c r="S265" s="66"/>
      <x:c r="T265" s="66" t="str">
        <x:v>SQN453</x:v>
      </x:c>
      <x:c r="U265" s="66" t="str">
        <x:v>钧誉厚德量化对冲11号</x:v>
      </x:c>
      <x:c r="V265" s="66" t="str">
        <x:v>2023-12</x:v>
      </x:c>
      <x:c r="W265" s="72" t="n">
        <x:v>45260</x:v>
      </x:c>
      <x:c r="X265" s="72" t="n">
        <x:v>45291</x:v>
      </x:c>
      <x:c r="Y265" s="72" t="n">
        <x:f>'净值原始'!C4694</x:f>
        <x:v>45260</x:v>
      </x:c>
      <x:c r="Z265" s="72" t="n">
        <x:f>'净值原始'!C4715</x:f>
        <x:v>45289</x:v>
      </x:c>
      <x:c r="AA265" s="73" t="n">
        <x:f>'净值原始'!F4694</x:f>
        <x:v>1.2782</x:v>
      </x:c>
      <x:c r="AB265" s="73" t="n">
        <x:f>'净值原始'!F4715</x:f>
        <x:v>1.287</x:v>
      </x:c>
      <x:c r="AC265" s="66" t="n">
        <x:f>IF(OR(Y265="",Z265="",Z265&lt;=Y265,W265-Y265&gt;'sheet1-指标体系'!$J$24,X265-Z265&gt;'sheet1-指标体系'!$J$24),0,1)</x:f>
        <x:v>1</x:v>
      </x:c>
      <x:c r="AD265" s="74" t="n">
        <x:f>IF(AC265=0,"",AB265/AA265-1)</x:f>
        <x:v>0.0068846815834766595</x:v>
      </x:c>
      <x:c r="AE265" s="66" t="n">
        <x:f>IF(AC265=0,"",IF(AD265&gt;0,1,0))</x:f>
        <x:v>1</x:v>
      </x:c>
    </x:row>
    <x:row r="266" ht="27" customHeight="1">
      <x:c r="A266" s="66"/>
      <x:c r="B266" s="66"/>
      <x:c r="C266" s="66"/>
      <x:c r="D266" s="72"/>
      <x:c r="E266" s="72"/>
      <x:c r="F266" s="72"/>
      <x:c r="G266" s="72"/>
      <x:c r="H266" s="66"/>
      <x:c r="I266" s="66"/>
      <x:c r="J266" s="73"/>
      <x:c r="K266" s="73"/>
      <x:c r="L266" s="74"/>
      <x:c r="M266" s="74"/>
      <x:c r="N266" s="75"/>
      <x:c r="O266" s="74"/>
      <x:c r="P266" s="66"/>
      <x:c r="Q266" s="66"/>
      <x:c r="R266" s="66"/>
      <x:c r="S266" s="66"/>
      <x:c r="T266" s="66" t="str">
        <x:v>SQN453</x:v>
      </x:c>
      <x:c r="U266" s="66" t="str">
        <x:v>钧誉厚德量化对冲11号</x:v>
      </x:c>
      <x:c r="V266" s="66" t="str">
        <x:v>2024-01</x:v>
      </x:c>
      <x:c r="W266" s="72" t="n">
        <x:v>45291</x:v>
      </x:c>
      <x:c r="X266" s="72" t="n">
        <x:v>45322</x:v>
      </x:c>
      <x:c r="Y266" s="72" t="n">
        <x:f>'净值原始'!C4715</x:f>
        <x:v>45289</x:v>
      </x:c>
      <x:c r="Z266" s="72" t="n">
        <x:f>'净值原始'!C4737</x:f>
        <x:v>45322</x:v>
      </x:c>
      <x:c r="AA266" s="73" t="n">
        <x:f>'净值原始'!F4715</x:f>
        <x:v>1.287</x:v>
      </x:c>
      <x:c r="AB266" s="73" t="n">
        <x:f>'净值原始'!F4737</x:f>
        <x:v>1.2936</x:v>
      </x:c>
      <x:c r="AC266" s="66" t="n">
        <x:f>IF(OR(Y266="",Z266="",Z266&lt;=Y266,W266-Y266&gt;'sheet1-指标体系'!$J$24,X266-Z266&gt;'sheet1-指标体系'!$J$24),0,1)</x:f>
        <x:v>1</x:v>
      </x:c>
      <x:c r="AD266" s="74" t="n">
        <x:f>IF(AC266=0,"",AB266/AA266-1)</x:f>
        <x:v>0.005128205128205332</x:v>
      </x:c>
      <x:c r="AE266" s="66" t="n">
        <x:f>IF(AC266=0,"",IF(AD266&gt;0,1,0))</x:f>
        <x:v>1</x:v>
      </x:c>
    </x:row>
    <x:row r="267" ht="27" customHeight="1">
      <x:c r="A267" s="66"/>
      <x:c r="B267" s="66"/>
      <x:c r="C267" s="66"/>
      <x:c r="D267" s="72"/>
      <x:c r="E267" s="72"/>
      <x:c r="F267" s="72"/>
      <x:c r="G267" s="72"/>
      <x:c r="H267" s="66"/>
      <x:c r="I267" s="66"/>
      <x:c r="J267" s="73"/>
      <x:c r="K267" s="73"/>
      <x:c r="L267" s="74"/>
      <x:c r="M267" s="74"/>
      <x:c r="N267" s="75"/>
      <x:c r="O267" s="74"/>
      <x:c r="P267" s="66"/>
      <x:c r="Q267" s="66"/>
      <x:c r="R267" s="66"/>
      <x:c r="S267" s="66"/>
      <x:c r="T267" s="66" t="str">
        <x:v>SQN453</x:v>
      </x:c>
      <x:c r="U267" s="66" t="str">
        <x:v>钧誉厚德量化对冲11号</x:v>
      </x:c>
      <x:c r="V267" s="66" t="str">
        <x:v>2024-02</x:v>
      </x:c>
      <x:c r="W267" s="72" t="n">
        <x:v>45322</x:v>
      </x:c>
      <x:c r="X267" s="72" t="n">
        <x:v>45351</x:v>
      </x:c>
      <x:c r="Y267" s="72" t="n">
        <x:f>'净值原始'!C4737</x:f>
        <x:v>45322</x:v>
      </x:c>
      <x:c r="Z267" s="72" t="n">
        <x:f>'净值原始'!C4752</x:f>
        <x:v>45351</x:v>
      </x:c>
      <x:c r="AA267" s="73" t="n">
        <x:f>'净值原始'!F4737</x:f>
        <x:v>1.2936</x:v>
      </x:c>
      <x:c r="AB267" s="73" t="n">
        <x:f>'净值原始'!F4752</x:f>
        <x:v>1.2927</x:v>
      </x:c>
      <x:c r="AC267" s="66" t="n">
        <x:f>IF(OR(Y267="",Z267="",Z267&lt;=Y267,W267-Y267&gt;'sheet1-指标体系'!$J$24,X267-Z267&gt;'sheet1-指标体系'!$J$24),0,1)</x:f>
        <x:v>1</x:v>
      </x:c>
      <x:c r="AD267" s="74" t="n">
        <x:f>IF(AC267=0,"",AB267/AA267-1)</x:f>
        <x:v>-0.0006957328385900352</x:v>
      </x:c>
      <x:c r="AE267" s="66" t="n">
        <x:f>IF(AC267=0,"",IF(AD267&gt;0,1,0))</x:f>
        <x:v>0</x:v>
      </x:c>
    </x:row>
    <x:row r="268" ht="27" customHeight="1">
      <x:c r="A268" s="66"/>
      <x:c r="B268" s="66"/>
      <x:c r="C268" s="66"/>
      <x:c r="D268" s="72"/>
      <x:c r="E268" s="72"/>
      <x:c r="F268" s="72"/>
      <x:c r="G268" s="72"/>
      <x:c r="H268" s="66"/>
      <x:c r="I268" s="66"/>
      <x:c r="J268" s="73"/>
      <x:c r="K268" s="73"/>
      <x:c r="L268" s="74"/>
      <x:c r="M268" s="74"/>
      <x:c r="N268" s="75"/>
      <x:c r="O268" s="74"/>
      <x:c r="P268" s="66"/>
      <x:c r="Q268" s="66"/>
      <x:c r="R268" s="66"/>
      <x:c r="S268" s="66"/>
      <x:c r="T268" s="66" t="str">
        <x:v>SQN453</x:v>
      </x:c>
      <x:c r="U268" s="66" t="str">
        <x:v>钧誉厚德量化对冲11号</x:v>
      </x:c>
      <x:c r="V268" s="66" t="str">
        <x:v>2024-03</x:v>
      </x:c>
      <x:c r="W268" s="72" t="n">
        <x:v>45351</x:v>
      </x:c>
      <x:c r="X268" s="72" t="n">
        <x:v>45382</x:v>
      </x:c>
      <x:c r="Y268" s="72" t="n">
        <x:f>'净值原始'!C4752</x:f>
        <x:v>45351</x:v>
      </x:c>
      <x:c r="Z268" s="72" t="n">
        <x:f>'净值原始'!C4773</x:f>
        <x:v>45380</x:v>
      </x:c>
      <x:c r="AA268" s="73" t="n">
        <x:f>'净值原始'!F4752</x:f>
        <x:v>1.2927</x:v>
      </x:c>
      <x:c r="AB268" s="73" t="n">
        <x:f>'净值原始'!F4773</x:f>
        <x:v>1.3004</x:v>
      </x:c>
      <x:c r="AC268" s="66" t="n">
        <x:f>IF(OR(Y268="",Z268="",Z268&lt;=Y268,W268-Y268&gt;'sheet1-指标体系'!$J$24,X268-Z268&gt;'sheet1-指标体系'!$J$24),0,1)</x:f>
        <x:v>1</x:v>
      </x:c>
      <x:c r="AD268" s="74" t="n">
        <x:f>IF(AC268=0,"",AB268/AA268-1)</x:f>
        <x:v>0.0059565251024986665</x:v>
      </x:c>
      <x:c r="AE268" s="66" t="n">
        <x:f>IF(AC268=0,"",IF(AD268&gt;0,1,0))</x:f>
        <x:v>1</x:v>
      </x:c>
    </x:row>
    <x:row r="269" ht="27" customHeight="1">
      <x:c r="A269" s="66"/>
      <x:c r="B269" s="66"/>
      <x:c r="C269" s="66"/>
      <x:c r="D269" s="72"/>
      <x:c r="E269" s="72"/>
      <x:c r="F269" s="72"/>
      <x:c r="G269" s="72"/>
      <x:c r="H269" s="66"/>
      <x:c r="I269" s="66"/>
      <x:c r="J269" s="73"/>
      <x:c r="K269" s="73"/>
      <x:c r="L269" s="74"/>
      <x:c r="M269" s="74"/>
      <x:c r="N269" s="75"/>
      <x:c r="O269" s="74"/>
      <x:c r="P269" s="66"/>
      <x:c r="Q269" s="66"/>
      <x:c r="R269" s="66"/>
      <x:c r="S269" s="66"/>
      <x:c r="T269" s="66" t="str">
        <x:v>SQN453</x:v>
      </x:c>
      <x:c r="U269" s="66" t="str">
        <x:v>钧誉厚德量化对冲11号</x:v>
      </x:c>
      <x:c r="V269" s="66" t="str">
        <x:v>2024-04</x:v>
      </x:c>
      <x:c r="W269" s="72" t="n">
        <x:v>45382</x:v>
      </x:c>
      <x:c r="X269" s="72" t="n">
        <x:v>45412</x:v>
      </x:c>
      <x:c r="Y269" s="72" t="n">
        <x:f>'净值原始'!C4773</x:f>
        <x:v>45380</x:v>
      </x:c>
      <x:c r="Z269" s="72" t="n">
        <x:f>'净值原始'!C4787</x:f>
        <x:v>45412</x:v>
      </x:c>
      <x:c r="AA269" s="73" t="n">
        <x:f>'净值原始'!F4773</x:f>
        <x:v>1.3004</x:v>
      </x:c>
      <x:c r="AB269" s="73" t="n">
        <x:f>'净值原始'!F4787</x:f>
        <x:v>1.3099</x:v>
      </x:c>
      <x:c r="AC269" s="66" t="n">
        <x:f>IF(OR(Y269="",Z269="",Z269&lt;=Y269,W269-Y269&gt;'sheet1-指标体系'!$J$24,X269-Z269&gt;'sheet1-指标体系'!$J$24),0,1)</x:f>
        <x:v>1</x:v>
      </x:c>
      <x:c r="AD269" s="74" t="n">
        <x:f>IF(AC269=0,"",AB269/AA269-1)</x:f>
        <x:v>0.007305444478622025</x:v>
      </x:c>
      <x:c r="AE269" s="66" t="n">
        <x:f>IF(AC269=0,"",IF(AD269&gt;0,1,0))</x:f>
        <x:v>1</x:v>
      </x:c>
    </x:row>
    <x:row r="270" ht="27" customHeight="1">
      <x:c r="A270" s="66"/>
      <x:c r="B270" s="66"/>
      <x:c r="C270" s="66"/>
      <x:c r="D270" s="72"/>
      <x:c r="E270" s="72"/>
      <x:c r="F270" s="72"/>
      <x:c r="G270" s="72"/>
      <x:c r="H270" s="66"/>
      <x:c r="I270" s="66"/>
      <x:c r="J270" s="73"/>
      <x:c r="K270" s="73"/>
      <x:c r="L270" s="74"/>
      <x:c r="M270" s="74"/>
      <x:c r="N270" s="75"/>
      <x:c r="O270" s="74"/>
      <x:c r="P270" s="66"/>
      <x:c r="Q270" s="66"/>
      <x:c r="R270" s="66"/>
      <x:c r="S270" s="66"/>
      <x:c r="T270" s="66" t="str">
        <x:v>SQN453</x:v>
      </x:c>
      <x:c r="U270" s="66" t="str">
        <x:v>钧誉厚德量化对冲11号</x:v>
      </x:c>
      <x:c r="V270" s="66" t="str">
        <x:v>2024-05</x:v>
      </x:c>
      <x:c r="W270" s="72" t="n">
        <x:v>45412</x:v>
      </x:c>
      <x:c r="X270" s="72" t="n">
        <x:v>45443</x:v>
      </x:c>
      <x:c r="Y270" s="72" t="n">
        <x:f>'净值原始'!C4787</x:f>
        <x:v>45412</x:v>
      </x:c>
      <x:c r="Z270" s="72" t="n">
        <x:f>'净值原始'!C4791</x:f>
        <x:v>45443</x:v>
      </x:c>
      <x:c r="AA270" s="73" t="n">
        <x:f>'净值原始'!F4787</x:f>
        <x:v>1.3099</x:v>
      </x:c>
      <x:c r="AB270" s="73" t="n">
        <x:f>'净值原始'!F4791</x:f>
        <x:v>1.3213</x:v>
      </x:c>
      <x:c r="AC270" s="66" t="n">
        <x:f>IF(OR(Y270="",Z270="",Z270&lt;=Y270,W270-Y270&gt;'sheet1-指标体系'!$J$24,X270-Z270&gt;'sheet1-指标体系'!$J$24),0,1)</x:f>
        <x:v>1</x:v>
      </x:c>
      <x:c r="AD270" s="74" t="n">
        <x:f>IF(AC270=0,"",AB270/AA270-1)</x:f>
        <x:v>0.008702954424001819</x:v>
      </x:c>
      <x:c r="AE270" s="66" t="n">
        <x:f>IF(AC270=0,"",IF(AD270&gt;0,1,0))</x:f>
        <x:v>1</x:v>
      </x:c>
    </x:row>
    <x:row r="271" ht="27" customHeight="1">
      <x:c r="A271" s="66"/>
      <x:c r="B271" s="66"/>
      <x:c r="C271" s="66"/>
      <x:c r="D271" s="72"/>
      <x:c r="E271" s="72"/>
      <x:c r="F271" s="72"/>
      <x:c r="G271" s="72"/>
      <x:c r="H271" s="66"/>
      <x:c r="I271" s="66"/>
      <x:c r="J271" s="73"/>
      <x:c r="K271" s="73"/>
      <x:c r="L271" s="74"/>
      <x:c r="M271" s="74"/>
      <x:c r="N271" s="75"/>
      <x:c r="O271" s="74"/>
      <x:c r="P271" s="66"/>
      <x:c r="Q271" s="66"/>
      <x:c r="R271" s="66"/>
      <x:c r="S271" s="66"/>
      <x:c r="T271" s="66" t="str">
        <x:v>SQN453</x:v>
      </x:c>
      <x:c r="U271" s="66" t="str">
        <x:v>钧誉厚德量化对冲11号</x:v>
      </x:c>
      <x:c r="V271" s="66" t="str">
        <x:v>2024-06</x:v>
      </x:c>
      <x:c r="W271" s="72" t="n">
        <x:v>45443</x:v>
      </x:c>
      <x:c r="X271" s="72" t="n">
        <x:v>45473</x:v>
      </x:c>
      <x:c r="Y271" s="72" t="n">
        <x:f>'净值原始'!C4791</x:f>
        <x:v>45443</x:v>
      </x:c>
      <x:c r="Z271" s="72" t="n">
        <x:f>'净值原始'!C4795</x:f>
        <x:v>45471</x:v>
      </x:c>
      <x:c r="AA271" s="73" t="n">
        <x:f>'净值原始'!F4791</x:f>
        <x:v>1.3213</x:v>
      </x:c>
      <x:c r="AB271" s="73" t="n">
        <x:f>'净值原始'!F4795</x:f>
        <x:v>1.3324</x:v>
      </x:c>
      <x:c r="AC271" s="66" t="n">
        <x:f>IF(OR(Y271="",Z271="",Z271&lt;=Y271,W271-Y271&gt;'sheet1-指标体系'!$J$24,X271-Z271&gt;'sheet1-指标体系'!$J$24),0,1)</x:f>
        <x:v>1</x:v>
      </x:c>
      <x:c r="AD271" s="74" t="n">
        <x:f>IF(AC271=0,"",AB271/AA271-1)</x:f>
        <x:v>0.008400817376825964</x:v>
      </x:c>
      <x:c r="AE271" s="66" t="n">
        <x:f>IF(AC271=0,"",IF(AD271&gt;0,1,0))</x:f>
        <x:v>1</x:v>
      </x:c>
    </x:row>
    <x:row r="272" ht="27" customHeight="1">
      <x:c r="A272" s="66"/>
      <x:c r="B272" s="66"/>
      <x:c r="C272" s="66"/>
      <x:c r="D272" s="72"/>
      <x:c r="E272" s="72"/>
      <x:c r="F272" s="72"/>
      <x:c r="G272" s="72"/>
      <x:c r="H272" s="66"/>
      <x:c r="I272" s="66"/>
      <x:c r="J272" s="73"/>
      <x:c r="K272" s="73"/>
      <x:c r="L272" s="74"/>
      <x:c r="M272" s="74"/>
      <x:c r="N272" s="75"/>
      <x:c r="O272" s="74"/>
      <x:c r="P272" s="66"/>
      <x:c r="Q272" s="66"/>
      <x:c r="R272" s="66"/>
      <x:c r="S272" s="66"/>
      <x:c r="T272" s="66" t="str">
        <x:v>SQN453</x:v>
      </x:c>
      <x:c r="U272" s="66" t="str">
        <x:v>钧誉厚德量化对冲11号</x:v>
      </x:c>
      <x:c r="V272" s="66" t="str">
        <x:v>2024-07</x:v>
      </x:c>
      <x:c r="W272" s="72" t="n">
        <x:v>45473</x:v>
      </x:c>
      <x:c r="X272" s="72" t="n">
        <x:v>45504</x:v>
      </x:c>
      <x:c r="Y272" s="72" t="n">
        <x:f>'净值原始'!C4795</x:f>
        <x:v>45471</x:v>
      </x:c>
      <x:c r="Z272" s="72" t="n">
        <x:f>'净值原始'!C4800</x:f>
        <x:v>45504</x:v>
      </x:c>
      <x:c r="AA272" s="73" t="n">
        <x:f>'净值原始'!F4795</x:f>
        <x:v>1.3324</x:v>
      </x:c>
      <x:c r="AB272" s="73" t="n">
        <x:f>'净值原始'!F4800</x:f>
        <x:v>1.3416</x:v>
      </x:c>
      <x:c r="AC272" s="66" t="n">
        <x:f>IF(OR(Y272="",Z272="",Z272&lt;=Y272,W272-Y272&gt;'sheet1-指标体系'!$J$24,X272-Z272&gt;'sheet1-指标体系'!$J$24),0,1)</x:f>
        <x:v>1</x:v>
      </x:c>
      <x:c r="AD272" s="74" t="n">
        <x:f>IF(AC272=0,"",AB272/AA272-1)</x:f>
        <x:v>0.006904833383368336</x:v>
      </x:c>
      <x:c r="AE272" s="66" t="n">
        <x:f>IF(AC272=0,"",IF(AD272&gt;0,1,0))</x:f>
        <x:v>1</x:v>
      </x:c>
    </x:row>
    <x:row r="273" ht="27" customHeight="1">
      <x:c r="A273" s="66"/>
      <x:c r="B273" s="66"/>
      <x:c r="C273" s="66"/>
      <x:c r="D273" s="72"/>
      <x:c r="E273" s="72"/>
      <x:c r="F273" s="72"/>
      <x:c r="G273" s="72"/>
      <x:c r="H273" s="66"/>
      <x:c r="I273" s="66"/>
      <x:c r="J273" s="73"/>
      <x:c r="K273" s="73"/>
      <x:c r="L273" s="74"/>
      <x:c r="M273" s="74"/>
      <x:c r="N273" s="75"/>
      <x:c r="O273" s="74"/>
      <x:c r="P273" s="66"/>
      <x:c r="Q273" s="66"/>
      <x:c r="R273" s="66"/>
      <x:c r="S273" s="66"/>
      <x:c r="T273" s="66" t="str">
        <x:v>SQN453</x:v>
      </x:c>
      <x:c r="U273" s="66" t="str">
        <x:v>钧誉厚德量化对冲11号</x:v>
      </x:c>
      <x:c r="V273" s="66" t="str">
        <x:v>2024-08</x:v>
      </x:c>
      <x:c r="W273" s="72" t="n">
        <x:v>45504</x:v>
      </x:c>
      <x:c r="X273" s="72" t="n">
        <x:v>45535</x:v>
      </x:c>
      <x:c r="Y273" s="72" t="n">
        <x:f>'净值原始'!C4800</x:f>
        <x:v>45504</x:v>
      </x:c>
      <x:c r="Z273" s="72" t="n">
        <x:f>'净值原始'!C4808</x:f>
        <x:v>45534</x:v>
      </x:c>
      <x:c r="AA273" s="73" t="n">
        <x:f>'净值原始'!F4800</x:f>
        <x:v>1.3416</x:v>
      </x:c>
      <x:c r="AB273" s="73" t="n">
        <x:f>'净值原始'!F4808</x:f>
        <x:v>1.3471</x:v>
      </x:c>
      <x:c r="AC273" s="66" t="n">
        <x:f>IF(OR(Y273="",Z273="",Z273&lt;=Y273,W273-Y273&gt;'sheet1-指标体系'!$J$24,X273-Z273&gt;'sheet1-指标体系'!$J$24),0,1)</x:f>
        <x:v>1</x:v>
      </x:c>
      <x:c r="AD273" s="74" t="n">
        <x:f>IF(AC273=0,"",AB273/AA273-1)</x:f>
        <x:v>0.00409958258795462</x:v>
      </x:c>
      <x:c r="AE273" s="66" t="n">
        <x:f>IF(AC273=0,"",IF(AD273&gt;0,1,0))</x:f>
        <x:v>1</x:v>
      </x:c>
    </x:row>
    <x:row r="274" ht="27" customHeight="1">
      <x:c r="A274" s="66"/>
      <x:c r="B274" s="66"/>
      <x:c r="C274" s="66"/>
      <x:c r="D274" s="72"/>
      <x:c r="E274" s="72"/>
      <x:c r="F274" s="72"/>
      <x:c r="G274" s="72"/>
      <x:c r="H274" s="66"/>
      <x:c r="I274" s="66"/>
      <x:c r="J274" s="73"/>
      <x:c r="K274" s="73"/>
      <x:c r="L274" s="74"/>
      <x:c r="M274" s="74"/>
      <x:c r="N274" s="75"/>
      <x:c r="O274" s="74"/>
      <x:c r="P274" s="66"/>
      <x:c r="Q274" s="66"/>
      <x:c r="R274" s="66"/>
      <x:c r="S274" s="66"/>
      <x:c r="T274" s="66" t="str">
        <x:v>SQN453</x:v>
      </x:c>
      <x:c r="U274" s="66" t="str">
        <x:v>钧誉厚德量化对冲11号</x:v>
      </x:c>
      <x:c r="V274" s="66" t="str">
        <x:v>2024-09</x:v>
      </x:c>
      <x:c r="W274" s="72" t="n">
        <x:v>45535</x:v>
      </x:c>
      <x:c r="X274" s="72" t="n">
        <x:v>45565</x:v>
      </x:c>
      <x:c r="Y274" s="72" t="n">
        <x:f>'净值原始'!C4808</x:f>
        <x:v>45534</x:v>
      </x:c>
      <x:c r="Z274" s="72" t="n">
        <x:f>'净值原始'!C4827</x:f>
        <x:v>45565</x:v>
      </x:c>
      <x:c r="AA274" s="73" t="n">
        <x:f>'净值原始'!F4808</x:f>
        <x:v>1.3471</x:v>
      </x:c>
      <x:c r="AB274" s="73" t="n">
        <x:f>'净值原始'!F4827</x:f>
        <x:v>1.36</x:v>
      </x:c>
      <x:c r="AC274" s="66" t="n">
        <x:f>IF(OR(Y274="",Z274="",Z274&lt;=Y274,W274-Y274&gt;'sheet1-指标体系'!$J$24,X274-Z274&gt;'sheet1-指标体系'!$J$24),0,1)</x:f>
        <x:v>1</x:v>
      </x:c>
      <x:c r="AD274" s="74" t="n">
        <x:f>IF(AC274=0,"",AB274/AA274-1)</x:f>
        <x:v>0.00957612649395001</x:v>
      </x:c>
      <x:c r="AE274" s="66" t="n">
        <x:f>IF(AC274=0,"",IF(AD274&gt;0,1,0))</x:f>
        <x:v>1</x:v>
      </x:c>
    </x:row>
    <x:row r="275" ht="27" customHeight="1">
      <x:c r="A275" s="66"/>
      <x:c r="B275" s="66"/>
      <x:c r="C275" s="66"/>
      <x:c r="D275" s="72"/>
      <x:c r="E275" s="72"/>
      <x:c r="F275" s="72"/>
      <x:c r="G275" s="72"/>
      <x:c r="H275" s="66"/>
      <x:c r="I275" s="66"/>
      <x:c r="J275" s="73"/>
      <x:c r="K275" s="73"/>
      <x:c r="L275" s="74"/>
      <x:c r="M275" s="74"/>
      <x:c r="N275" s="75"/>
      <x:c r="O275" s="74"/>
      <x:c r="P275" s="66"/>
      <x:c r="Q275" s="66"/>
      <x:c r="R275" s="66"/>
      <x:c r="S275" s="66"/>
      <x:c r="T275" s="66" t="str">
        <x:v>SQN453</x:v>
      </x:c>
      <x:c r="U275" s="66" t="str">
        <x:v>钧誉厚德量化对冲11号</x:v>
      </x:c>
      <x:c r="V275" s="66" t="str">
        <x:v>2024-10</x:v>
      </x:c>
      <x:c r="W275" s="72" t="n">
        <x:v>45565</x:v>
      </x:c>
      <x:c r="X275" s="72" t="n">
        <x:v>45596</x:v>
      </x:c>
      <x:c r="Y275" s="72" t="n">
        <x:f>'净值原始'!C4827</x:f>
        <x:v>45565</x:v>
      </x:c>
      <x:c r="Z275" s="72" t="n">
        <x:f>'净值原始'!C4845</x:f>
        <x:v>45596</x:v>
      </x:c>
      <x:c r="AA275" s="73" t="n">
        <x:f>'净值原始'!F4827</x:f>
        <x:v>1.36</x:v>
      </x:c>
      <x:c r="AB275" s="73" t="n">
        <x:f>'净值原始'!F4845</x:f>
        <x:v>1.3703</x:v>
      </x:c>
      <x:c r="AC275" s="66" t="n">
        <x:f>IF(OR(Y275="",Z275="",Z275&lt;=Y275,W275-Y275&gt;'sheet1-指标体系'!$J$24,X275-Z275&gt;'sheet1-指标体系'!$J$24),0,1)</x:f>
        <x:v>1</x:v>
      </x:c>
      <x:c r="AD275" s="74" t="n">
        <x:f>IF(AC275=0,"",AB275/AA275-1)</x:f>
        <x:v>0.007573529411764701</x:v>
      </x:c>
      <x:c r="AE275" s="66" t="n">
        <x:f>IF(AC275=0,"",IF(AD275&gt;0,1,0))</x:f>
        <x:v>1</x:v>
      </x:c>
    </x:row>
    <x:row r="276" ht="27" customHeight="1">
      <x:c r="A276" s="66"/>
      <x:c r="B276" s="66"/>
      <x:c r="C276" s="66"/>
      <x:c r="D276" s="72"/>
      <x:c r="E276" s="72"/>
      <x:c r="F276" s="72"/>
      <x:c r="G276" s="72"/>
      <x:c r="H276" s="66"/>
      <x:c r="I276" s="66"/>
      <x:c r="J276" s="73"/>
      <x:c r="K276" s="73"/>
      <x:c r="L276" s="74"/>
      <x:c r="M276" s="74"/>
      <x:c r="N276" s="75"/>
      <x:c r="O276" s="74"/>
      <x:c r="P276" s="66"/>
      <x:c r="Q276" s="66"/>
      <x:c r="R276" s="66"/>
      <x:c r="S276" s="66"/>
      <x:c r="T276" s="66" t="str">
        <x:v>SQN453</x:v>
      </x:c>
      <x:c r="U276" s="66" t="str">
        <x:v>钧誉厚德量化对冲11号</x:v>
      </x:c>
      <x:c r="V276" s="66" t="str">
        <x:v>2024-11</x:v>
      </x:c>
      <x:c r="W276" s="72" t="n">
        <x:v>45596</x:v>
      </x:c>
      <x:c r="X276" s="72" t="n">
        <x:v>45626</x:v>
      </x:c>
      <x:c r="Y276" s="72" t="n">
        <x:f>'净值原始'!C4845</x:f>
        <x:v>45596</x:v>
      </x:c>
      <x:c r="Z276" s="72" t="n">
        <x:f>'净值原始'!C4866</x:f>
        <x:v>45625</x:v>
      </x:c>
      <x:c r="AA276" s="73" t="n">
        <x:f>'净值原始'!F4845</x:f>
        <x:v>1.3703</x:v>
      </x:c>
      <x:c r="AB276" s="73" t="n">
        <x:f>'净值原始'!F4866</x:f>
        <x:v>1.3773</x:v>
      </x:c>
      <x:c r="AC276" s="66" t="n">
        <x:f>IF(OR(Y276="",Z276="",Z276&lt;=Y276,W276-Y276&gt;'sheet1-指标体系'!$J$24,X276-Z276&gt;'sheet1-指标体系'!$J$24),0,1)</x:f>
        <x:v>1</x:v>
      </x:c>
      <x:c r="AD276" s="74" t="n">
        <x:f>IF(AC276=0,"",AB276/AA276-1)</x:f>
        <x:v>0.005108370429832698</x:v>
      </x:c>
      <x:c r="AE276" s="66" t="n">
        <x:f>IF(AC276=0,"",IF(AD276&gt;0,1,0))</x:f>
        <x:v>1</x:v>
      </x:c>
    </x:row>
    <x:row r="277" ht="27" customHeight="1">
      <x:c r="A277" s="66"/>
      <x:c r="B277" s="66"/>
      <x:c r="C277" s="66"/>
      <x:c r="D277" s="72"/>
      <x:c r="E277" s="72"/>
      <x:c r="F277" s="72"/>
      <x:c r="G277" s="72"/>
      <x:c r="H277" s="66"/>
      <x:c r="I277" s="66"/>
      <x:c r="J277" s="73"/>
      <x:c r="K277" s="73"/>
      <x:c r="L277" s="74"/>
      <x:c r="M277" s="74"/>
      <x:c r="N277" s="75"/>
      <x:c r="O277" s="74"/>
      <x:c r="P277" s="66"/>
      <x:c r="Q277" s="66"/>
      <x:c r="R277" s="66"/>
      <x:c r="S277" s="66"/>
      <x:c r="T277" s="66" t="str">
        <x:v>SQN453</x:v>
      </x:c>
      <x:c r="U277" s="66" t="str">
        <x:v>钧誉厚德量化对冲11号</x:v>
      </x:c>
      <x:c r="V277" s="66" t="str">
        <x:v>2024-12</x:v>
      </x:c>
      <x:c r="W277" s="72" t="n">
        <x:v>45626</x:v>
      </x:c>
      <x:c r="X277" s="72" t="n">
        <x:v>45657</x:v>
      </x:c>
      <x:c r="Y277" s="72" t="n">
        <x:f>'净值原始'!C4866</x:f>
        <x:v>45625</x:v>
      </x:c>
      <x:c r="Z277" s="72" t="n">
        <x:f>'净值原始'!C4888</x:f>
        <x:v>45657</x:v>
      </x:c>
      <x:c r="AA277" s="73" t="n">
        <x:f>'净值原始'!F4866</x:f>
        <x:v>1.3773</x:v>
      </x:c>
      <x:c r="AB277" s="73" t="n">
        <x:f>'净值原始'!F4888</x:f>
        <x:v>1.3857</x:v>
      </x:c>
      <x:c r="AC277" s="66" t="n">
        <x:f>IF(OR(Y277="",Z277="",Z277&lt;=Y277,W277-Y277&gt;'sheet1-指标体系'!$J$24,X277-Z277&gt;'sheet1-指标体系'!$J$24),0,1)</x:f>
        <x:v>1</x:v>
      </x:c>
      <x:c r="AD277" s="74" t="n">
        <x:f>IF(AC277=0,"",AB277/AA277-1)</x:f>
        <x:v>0.006098889130908169</x:v>
      </x:c>
      <x:c r="AE277" s="66" t="n">
        <x:f>IF(AC277=0,"",IF(AD277&gt;0,1,0))</x:f>
        <x:v>1</x:v>
      </x:c>
    </x:row>
    <x:row r="278" ht="27" customHeight="1">
      <x:c r="A278" s="66"/>
      <x:c r="B278" s="66"/>
      <x:c r="C278" s="66"/>
      <x:c r="D278" s="72"/>
      <x:c r="E278" s="72"/>
      <x:c r="F278" s="72"/>
      <x:c r="G278" s="72"/>
      <x:c r="H278" s="66"/>
      <x:c r="I278" s="66"/>
      <x:c r="J278" s="73"/>
      <x:c r="K278" s="73"/>
      <x:c r="L278" s="74"/>
      <x:c r="M278" s="74"/>
      <x:c r="N278" s="75"/>
      <x:c r="O278" s="74"/>
      <x:c r="P278" s="66"/>
      <x:c r="Q278" s="66"/>
      <x:c r="R278" s="66"/>
      <x:c r="S278" s="66"/>
      <x:c r="T278" s="66" t="str">
        <x:v>SQN453</x:v>
      </x:c>
      <x:c r="U278" s="66" t="str">
        <x:v>钧誉厚德量化对冲11号</x:v>
      </x:c>
      <x:c r="V278" s="66" t="str">
        <x:v>2025-01</x:v>
      </x:c>
      <x:c r="W278" s="72" t="n">
        <x:v>45657</x:v>
      </x:c>
      <x:c r="X278" s="72" t="n">
        <x:v>45688</x:v>
      </x:c>
      <x:c r="Y278" s="72" t="n">
        <x:f>'净值原始'!C4888</x:f>
        <x:v>45657</x:v>
      </x:c>
      <x:c r="Z278" s="72" t="n">
        <x:f>'净值原始'!C4904</x:f>
        <x:v>45684</x:v>
      </x:c>
      <x:c r="AA278" s="73" t="n">
        <x:f>'净值原始'!F4888</x:f>
        <x:v>1.3857</x:v>
      </x:c>
      <x:c r="AB278" s="73" t="n">
        <x:f>'净值原始'!F4904</x:f>
        <x:v>1.3922</x:v>
      </x:c>
      <x:c r="AC278" s="66" t="n">
        <x:f>IF(OR(Y278="",Z278="",Z278&lt;=Y278,W278-Y278&gt;'sheet1-指标体系'!$J$24,X278-Z278&gt;'sheet1-指标体系'!$J$24),0,1)</x:f>
        <x:v>1</x:v>
      </x:c>
      <x:c r="AD278" s="74" t="n">
        <x:f>IF(AC278=0,"",AB278/AA278-1)</x:f>
        <x:v>0.004690770007938383</x:v>
      </x:c>
      <x:c r="AE278" s="66" t="n">
        <x:f>IF(AC278=0,"",IF(AD278&gt;0,1,0))</x:f>
        <x:v>1</x:v>
      </x:c>
    </x:row>
    <x:row r="279" ht="27" customHeight="1">
      <x:c r="A279" s="66"/>
      <x:c r="B279" s="66"/>
      <x:c r="C279" s="66"/>
      <x:c r="D279" s="72"/>
      <x:c r="E279" s="72"/>
      <x:c r="F279" s="72"/>
      <x:c r="G279" s="72"/>
      <x:c r="H279" s="66"/>
      <x:c r="I279" s="66"/>
      <x:c r="J279" s="73"/>
      <x:c r="K279" s="73"/>
      <x:c r="L279" s="74"/>
      <x:c r="M279" s="74"/>
      <x:c r="N279" s="75"/>
      <x:c r="O279" s="74"/>
      <x:c r="P279" s="66"/>
      <x:c r="Q279" s="66"/>
      <x:c r="R279" s="66"/>
      <x:c r="S279" s="66"/>
      <x:c r="T279" s="66" t="str">
        <x:v>SQN453</x:v>
      </x:c>
      <x:c r="U279" s="66" t="str">
        <x:v>钧誉厚德量化对冲11号</x:v>
      </x:c>
      <x:c r="V279" s="66" t="str">
        <x:v>2025-02</x:v>
      </x:c>
      <x:c r="W279" s="72" t="n">
        <x:v>45688</x:v>
      </x:c>
      <x:c r="X279" s="72" t="n">
        <x:v>45716</x:v>
      </x:c>
      <x:c r="Y279" s="72" t="n">
        <x:f>'净值原始'!C4904</x:f>
        <x:v>45684</x:v>
      </x:c>
      <x:c r="Z279" s="72" t="n">
        <x:f>'净值原始'!C4908</x:f>
        <x:v>45716</x:v>
      </x:c>
      <x:c r="AA279" s="73" t="n">
        <x:f>'净值原始'!F4904</x:f>
        <x:v>1.3922</x:v>
      </x:c>
      <x:c r="AB279" s="73" t="n">
        <x:f>'净值原始'!F4908</x:f>
        <x:v>1.3924</x:v>
      </x:c>
      <x:c r="AC279" s="66" t="n">
        <x:f>IF(OR(Y279="",Z279="",Z279&lt;=Y279,W279-Y279&gt;'sheet1-指标体系'!$J$24,X279-Z279&gt;'sheet1-指标体系'!$J$24),0,1)</x:f>
        <x:v>1</x:v>
      </x:c>
      <x:c r="AD279" s="74" t="n">
        <x:f>IF(AC279=0,"",AB279/AA279-1)</x:f>
        <x:v>0.0001436575204711854</x:v>
      </x:c>
      <x:c r="AE279" s="66" t="n">
        <x:f>IF(AC279=0,"",IF(AD279&gt;0,1,0))</x:f>
        <x:v>1</x:v>
      </x:c>
    </x:row>
    <x:row r="280" ht="27" customHeight="1">
      <x:c r="A280" s="66"/>
      <x:c r="B280" s="66"/>
      <x:c r="C280" s="66"/>
      <x:c r="D280" s="72"/>
      <x:c r="E280" s="72"/>
      <x:c r="F280" s="72"/>
      <x:c r="G280" s="72"/>
      <x:c r="H280" s="66"/>
      <x:c r="I280" s="66"/>
      <x:c r="J280" s="73"/>
      <x:c r="K280" s="73"/>
      <x:c r="L280" s="74"/>
      <x:c r="M280" s="74"/>
      <x:c r="N280" s="75"/>
      <x:c r="O280" s="74"/>
      <x:c r="P280" s="66"/>
      <x:c r="Q280" s="66"/>
      <x:c r="R280" s="66"/>
      <x:c r="S280" s="66"/>
      <x:c r="T280" s="66" t="str">
        <x:v>SQN453</x:v>
      </x:c>
      <x:c r="U280" s="66" t="str">
        <x:v>钧誉厚德量化对冲11号</x:v>
      </x:c>
      <x:c r="V280" s="66" t="str">
        <x:v>2025-03</x:v>
      </x:c>
      <x:c r="W280" s="72" t="n">
        <x:v>45716</x:v>
      </x:c>
      <x:c r="X280" s="72" t="n">
        <x:v>45747</x:v>
      </x:c>
      <x:c r="Y280" s="72" t="n">
        <x:f>'净值原始'!C4908</x:f>
        <x:v>45716</x:v>
      </x:c>
      <x:c r="Z280" s="72" t="n">
        <x:f>'净值原始'!C4913</x:f>
        <x:v>45747</x:v>
      </x:c>
      <x:c r="AA280" s="73" t="n">
        <x:f>'净值原始'!F4908</x:f>
        <x:v>1.3924</x:v>
      </x:c>
      <x:c r="AB280" s="73" t="n">
        <x:f>'净值原始'!F4913</x:f>
        <x:v>1.3947</x:v>
      </x:c>
      <x:c r="AC280" s="66" t="n">
        <x:f>IF(OR(Y280="",Z280="",Z280&lt;=Y280,W280-Y280&gt;'sheet1-指标体系'!$J$24,X280-Z280&gt;'sheet1-指标体系'!$J$24),0,1)</x:f>
        <x:v>1</x:v>
      </x:c>
      <x:c r="AD280" s="74" t="n">
        <x:f>IF(AC280=0,"",AB280/AA280-1)</x:f>
        <x:v>0.001651824188451556</x:v>
      </x:c>
      <x:c r="AE280" s="66" t="n">
        <x:f>IF(AC280=0,"",IF(AD280&gt;0,1,0))</x:f>
        <x:v>1</x:v>
      </x:c>
    </x:row>
    <x:row r="281" ht="27" customHeight="1">
      <x:c r="A281" s="66"/>
      <x:c r="B281" s="66"/>
      <x:c r="C281" s="66"/>
      <x:c r="D281" s="72"/>
      <x:c r="E281" s="72"/>
      <x:c r="F281" s="72"/>
      <x:c r="G281" s="72"/>
      <x:c r="H281" s="66"/>
      <x:c r="I281" s="66"/>
      <x:c r="J281" s="73"/>
      <x:c r="K281" s="73"/>
      <x:c r="L281" s="74"/>
      <x:c r="M281" s="74"/>
      <x:c r="N281" s="75"/>
      <x:c r="O281" s="74"/>
      <x:c r="P281" s="66"/>
      <x:c r="Q281" s="66"/>
      <x:c r="R281" s="66"/>
      <x:c r="S281" s="66"/>
      <x:c r="T281" s="66" t="str">
        <x:v>SQN453</x:v>
      </x:c>
      <x:c r="U281" s="66" t="str">
        <x:v>钧誉厚德量化对冲11号</x:v>
      </x:c>
      <x:c r="V281" s="66" t="str">
        <x:v>2025-04</x:v>
      </x:c>
      <x:c r="W281" s="72" t="n">
        <x:v>45747</x:v>
      </x:c>
      <x:c r="X281" s="72" t="n">
        <x:v>45777</x:v>
      </x:c>
      <x:c r="Y281" s="72" t="n">
        <x:f>'净值原始'!C4913</x:f>
        <x:v>45747</x:v>
      </x:c>
      <x:c r="Z281" s="72" t="n">
        <x:f>'净值原始'!C4918</x:f>
        <x:v>45777</x:v>
      </x:c>
      <x:c r="AA281" s="73" t="n">
        <x:f>'净值原始'!F4913</x:f>
        <x:v>1.3947</x:v>
      </x:c>
      <x:c r="AB281" s="73" t="n">
        <x:f>'净值原始'!F4918</x:f>
        <x:v>1.4064</x:v>
      </x:c>
      <x:c r="AC281" s="66" t="n">
        <x:f>IF(OR(Y281="",Z281="",Z281&lt;=Y281,W281-Y281&gt;'sheet1-指标体系'!$J$24,X281-Z281&gt;'sheet1-指标体系'!$J$24),0,1)</x:f>
        <x:v>1</x:v>
      </x:c>
      <x:c r="AD281" s="74" t="n">
        <x:f>IF(AC281=0,"",AB281/AA281-1)</x:f>
        <x:v>0.008388900838890212</x:v>
      </x:c>
      <x:c r="AE281" s="66" t="n">
        <x:f>IF(AC281=0,"",IF(AD281&gt;0,1,0))</x:f>
        <x:v>1</x:v>
      </x:c>
    </x:row>
    <x:row r="282" ht="27" customHeight="1">
      <x:c r="A282" s="66"/>
      <x:c r="B282" s="66"/>
      <x:c r="C282" s="66"/>
      <x:c r="D282" s="72"/>
      <x:c r="E282" s="72"/>
      <x:c r="F282" s="72"/>
      <x:c r="G282" s="72"/>
      <x:c r="H282" s="66"/>
      <x:c r="I282" s="66"/>
      <x:c r="J282" s="73"/>
      <x:c r="K282" s="73"/>
      <x:c r="L282" s="74"/>
      <x:c r="M282" s="74"/>
      <x:c r="N282" s="75"/>
      <x:c r="O282" s="74"/>
      <x:c r="P282" s="66"/>
      <x:c r="Q282" s="66"/>
      <x:c r="R282" s="66"/>
      <x:c r="S282" s="66"/>
      <x:c r="T282" s="66" t="str">
        <x:v>SQN453</x:v>
      </x:c>
      <x:c r="U282" s="66" t="str">
        <x:v>钧誉厚德量化对冲11号</x:v>
      </x:c>
      <x:c r="V282" s="66" t="str">
        <x:v>2025-05</x:v>
      </x:c>
      <x:c r="W282" s="72" t="n">
        <x:v>45777</x:v>
      </x:c>
      <x:c r="X282" s="72" t="n">
        <x:v>45808</x:v>
      </x:c>
      <x:c r="Y282" s="72" t="n">
        <x:f>'净值原始'!C4918</x:f>
        <x:v>45777</x:v>
      </x:c>
      <x:c r="Z282" s="72" t="n">
        <x:f>'净值原始'!C4922</x:f>
        <x:v>45807</x:v>
      </x:c>
      <x:c r="AA282" s="73" t="n">
        <x:f>'净值原始'!F4918</x:f>
        <x:v>1.4064</x:v>
      </x:c>
      <x:c r="AB282" s="73" t="n">
        <x:f>'净值原始'!F4922</x:f>
        <x:v>1.411</x:v>
      </x:c>
      <x:c r="AC282" s="66" t="n">
        <x:f>IF(OR(Y282="",Z282="",Z282&lt;=Y282,W282-Y282&gt;'sheet1-指标体系'!$J$24,X282-Z282&gt;'sheet1-指标体系'!$J$24),0,1)</x:f>
        <x:v>1</x:v>
      </x:c>
      <x:c r="AD282" s="74" t="n">
        <x:f>IF(AC282=0,"",AB282/AA282-1)</x:f>
        <x:v>0.00327076222980649</x:v>
      </x:c>
      <x:c r="AE282" s="66" t="n">
        <x:f>IF(AC282=0,"",IF(AD282&gt;0,1,0))</x:f>
        <x:v>1</x:v>
      </x:c>
    </x:row>
    <x:row r="283" ht="27" customHeight="1">
      <x:c r="A283" s="66"/>
      <x:c r="B283" s="66"/>
      <x:c r="C283" s="66"/>
      <x:c r="D283" s="72"/>
      <x:c r="E283" s="72"/>
      <x:c r="F283" s="72"/>
      <x:c r="G283" s="72"/>
      <x:c r="H283" s="66"/>
      <x:c r="I283" s="66"/>
      <x:c r="J283" s="73"/>
      <x:c r="K283" s="73"/>
      <x:c r="L283" s="74"/>
      <x:c r="M283" s="74"/>
      <x:c r="N283" s="75"/>
      <x:c r="O283" s="74"/>
      <x:c r="P283" s="66"/>
      <x:c r="Q283" s="66"/>
      <x:c r="R283" s="66"/>
      <x:c r="S283" s="66"/>
      <x:c r="T283" s="66" t="str">
        <x:v>SQN453</x:v>
      </x:c>
      <x:c r="U283" s="66" t="str">
        <x:v>钧誉厚德量化对冲11号</x:v>
      </x:c>
      <x:c r="V283" s="66" t="str">
        <x:v>2025-06</x:v>
      </x:c>
      <x:c r="W283" s="72" t="n">
        <x:v>45808</x:v>
      </x:c>
      <x:c r="X283" s="72" t="n">
        <x:v>45838</x:v>
      </x:c>
      <x:c r="Y283" s="72" t="n">
        <x:f>'净值原始'!C4922</x:f>
        <x:v>45807</x:v>
      </x:c>
      <x:c r="Z283" s="72" t="n">
        <x:f>'净值原始'!C4927</x:f>
        <x:v>45838</x:v>
      </x:c>
      <x:c r="AA283" s="73" t="n">
        <x:f>'净值原始'!F4922</x:f>
        <x:v>1.411</x:v>
      </x:c>
      <x:c r="AB283" s="73" t="n">
        <x:f>'净值原始'!F4927</x:f>
        <x:v>1.4164</x:v>
      </x:c>
      <x:c r="AC283" s="66" t="n">
        <x:f>IF(OR(Y283="",Z283="",Z283&lt;=Y283,W283-Y283&gt;'sheet1-指标体系'!$J$24,X283-Z283&gt;'sheet1-指标体系'!$J$24),0,1)</x:f>
        <x:v>1</x:v>
      </x:c>
      <x:c r="AD283" s="74" t="n">
        <x:f>IF(AC283=0,"",AB283/AA283-1)</x:f>
        <x:v>0.0038270729978739926</x:v>
      </x:c>
      <x:c r="AE283" s="66" t="n">
        <x:f>IF(AC283=0,"",IF(AD283&gt;0,1,0))</x:f>
        <x:v>1</x:v>
      </x:c>
    </x:row>
    <x:row r="284" ht="27" customHeight="1">
      <x:c r="A284" s="66"/>
      <x:c r="B284" s="66"/>
      <x:c r="C284" s="66"/>
      <x:c r="D284" s="72"/>
      <x:c r="E284" s="72"/>
      <x:c r="F284" s="72"/>
      <x:c r="G284" s="72"/>
      <x:c r="H284" s="66"/>
      <x:c r="I284" s="66"/>
      <x:c r="J284" s="73"/>
      <x:c r="K284" s="73"/>
      <x:c r="L284" s="74"/>
      <x:c r="M284" s="74"/>
      <x:c r="N284" s="75"/>
      <x:c r="O284" s="74"/>
      <x:c r="P284" s="66"/>
      <x:c r="Q284" s="66"/>
      <x:c r="R284" s="66"/>
      <x:c r="S284" s="66"/>
      <x:c r="T284" s="66" t="str">
        <x:v>SQN453</x:v>
      </x:c>
      <x:c r="U284" s="66" t="str">
        <x:v>钧誉厚德量化对冲11号</x:v>
      </x:c>
      <x:c r="V284" s="66" t="str">
        <x:v>2025-07</x:v>
      </x:c>
      <x:c r="W284" s="72" t="n">
        <x:v>45838</x:v>
      </x:c>
      <x:c r="X284" s="72" t="n">
        <x:v>45869</x:v>
      </x:c>
      <x:c r="Y284" s="72" t="n">
        <x:f>'净值原始'!C4927</x:f>
        <x:v>45838</x:v>
      </x:c>
      <x:c r="Z284" s="72" t="n">
        <x:f>'净值原始'!C4932</x:f>
        <x:v>45869</x:v>
      </x:c>
      <x:c r="AA284" s="73" t="n">
        <x:f>'净值原始'!F4927</x:f>
        <x:v>1.4164</x:v>
      </x:c>
      <x:c r="AB284" s="73" t="n">
        <x:f>'净值原始'!F4932</x:f>
        <x:v>1.423</x:v>
      </x:c>
      <x:c r="AC284" s="66" t="n">
        <x:f>IF(OR(Y284="",Z284="",Z284&lt;=Y284,W284-Y284&gt;'sheet1-指标体系'!$J$24,X284-Z284&gt;'sheet1-指标体系'!$J$24),0,1)</x:f>
        <x:v>1</x:v>
      </x:c>
      <x:c r="AD284" s="74" t="n">
        <x:f>IF(AC284=0,"",AB284/AA284-1)</x:f>
        <x:v>0.0046597006495339155</x:v>
      </x:c>
      <x:c r="AE284" s="66" t="n">
        <x:f>IF(AC284=0,"",IF(AD284&gt;0,1,0))</x:f>
        <x:v>1</x:v>
      </x:c>
    </x:row>
    <x:row r="285" ht="27" customHeight="1">
      <x:c r="A285" s="66"/>
      <x:c r="B285" s="66"/>
      <x:c r="C285" s="66"/>
      <x:c r="D285" s="72"/>
      <x:c r="E285" s="72"/>
      <x:c r="F285" s="72"/>
      <x:c r="G285" s="72"/>
      <x:c r="H285" s="66"/>
      <x:c r="I285" s="66"/>
      <x:c r="J285" s="73"/>
      <x:c r="K285" s="73"/>
      <x:c r="L285" s="74"/>
      <x:c r="M285" s="74"/>
      <x:c r="N285" s="75"/>
      <x:c r="O285" s="74"/>
      <x:c r="P285" s="66"/>
      <x:c r="Q285" s="66"/>
      <x:c r="R285" s="66"/>
      <x:c r="S285" s="66"/>
      <x:c r="T285" s="66" t="str">
        <x:v>SQN453</x:v>
      </x:c>
      <x:c r="U285" s="66" t="str">
        <x:v>钧誉厚德量化对冲11号</x:v>
      </x:c>
      <x:c r="V285" s="66" t="str">
        <x:v>2025-08</x:v>
      </x:c>
      <x:c r="W285" s="72" t="n">
        <x:v>45869</x:v>
      </x:c>
      <x:c r="X285" s="72" t="n">
        <x:v>45900</x:v>
      </x:c>
      <x:c r="Y285" s="72" t="n">
        <x:f>'净值原始'!C4932</x:f>
        <x:v>45869</x:v>
      </x:c>
      <x:c r="Z285" s="72" t="n">
        <x:f>'净值原始'!C4937</x:f>
        <x:v>45898</x:v>
      </x:c>
      <x:c r="AA285" s="73" t="n">
        <x:f>'净值原始'!F4932</x:f>
        <x:v>1.423</x:v>
      </x:c>
      <x:c r="AB285" s="73" t="n">
        <x:f>'净值原始'!F4937</x:f>
        <x:v>1.4244</x:v>
      </x:c>
      <x:c r="AC285" s="66" t="n">
        <x:f>IF(OR(Y285="",Z285="",Z285&lt;=Y285,W285-Y285&gt;'sheet1-指标体系'!$J$24,X285-Z285&gt;'sheet1-指标体系'!$J$24),0,1)</x:f>
        <x:v>1</x:v>
      </x:c>
      <x:c r="AD285" s="74" t="n">
        <x:f>IF(AC285=0,"",AB285/AA285-1)</x:f>
        <x:v>0.0009838369641603784</x:v>
      </x:c>
      <x:c r="AE285" s="66" t="n">
        <x:f>IF(AC285=0,"",IF(AD285&gt;0,1,0))</x:f>
        <x:v>1</x:v>
      </x:c>
    </x:row>
    <x:row r="286" ht="27" customHeight="1">
      <x:c r="A286" s="66"/>
      <x:c r="B286" s="66"/>
      <x:c r="C286" s="66"/>
      <x:c r="D286" s="72"/>
      <x:c r="E286" s="72"/>
      <x:c r="F286" s="72"/>
      <x:c r="G286" s="72"/>
      <x:c r="H286" s="66"/>
      <x:c r="I286" s="66"/>
      <x:c r="J286" s="73"/>
      <x:c r="K286" s="73"/>
      <x:c r="L286" s="74"/>
      <x:c r="M286" s="74"/>
      <x:c r="N286" s="75"/>
      <x:c r="O286" s="74"/>
      <x:c r="P286" s="66"/>
      <x:c r="Q286" s="66"/>
      <x:c r="R286" s="66"/>
      <x:c r="S286" s="66"/>
      <x:c r="T286" s="66" t="str">
        <x:v>SQN453</x:v>
      </x:c>
      <x:c r="U286" s="66" t="str">
        <x:v>钧誉厚德量化对冲11号</x:v>
      </x:c>
      <x:c r="V286" s="66" t="str">
        <x:v>2025-09</x:v>
      </x:c>
      <x:c r="W286" s="72" t="n">
        <x:v>45900</x:v>
      </x:c>
      <x:c r="X286" s="72" t="n">
        <x:v>45930</x:v>
      </x:c>
      <x:c r="Y286" s="72" t="n">
        <x:f>'净值原始'!C4937</x:f>
        <x:v>45898</x:v>
      </x:c>
      <x:c r="Z286" s="72" t="n">
        <x:f>'净值原始'!C4942</x:f>
        <x:v>45930</x:v>
      </x:c>
      <x:c r="AA286" s="73" t="n">
        <x:f>'净值原始'!F4937</x:f>
        <x:v>1.4244</x:v>
      </x:c>
      <x:c r="AB286" s="73" t="n">
        <x:f>'净值原始'!F4942</x:f>
        <x:v>1.4293</x:v>
      </x:c>
      <x:c r="AC286" s="66" t="n">
        <x:f>IF(OR(Y286="",Z286="",Z286&lt;=Y286,W286-Y286&gt;'sheet1-指标体系'!$J$24,X286-Z286&gt;'sheet1-指标体系'!$J$24),0,1)</x:f>
        <x:v>1</x:v>
      </x:c>
      <x:c r="AD286" s="74" t="n">
        <x:f>IF(AC286=0,"",AB286/AA286-1)</x:f>
        <x:v>0.0034400449311990933</x:v>
      </x:c>
      <x:c r="AE286" s="66" t="n">
        <x:f>IF(AC286=0,"",IF(AD286&gt;0,1,0))</x:f>
        <x:v>1</x:v>
      </x:c>
    </x:row>
    <x:row r="287" ht="27" customHeight="1">
      <x:c r="A287" s="66"/>
      <x:c r="B287" s="66"/>
      <x:c r="C287" s="66"/>
      <x:c r="D287" s="72"/>
      <x:c r="E287" s="72"/>
      <x:c r="F287" s="72"/>
      <x:c r="G287" s="72"/>
      <x:c r="H287" s="66"/>
      <x:c r="I287" s="66"/>
      <x:c r="J287" s="73"/>
      <x:c r="K287" s="73"/>
      <x:c r="L287" s="74"/>
      <x:c r="M287" s="74"/>
      <x:c r="N287" s="75"/>
      <x:c r="O287" s="74"/>
      <x:c r="P287" s="66"/>
      <x:c r="Q287" s="66"/>
      <x:c r="R287" s="66"/>
      <x:c r="S287" s="66"/>
      <x:c r="T287" s="66" t="str">
        <x:v>SQN453</x:v>
      </x:c>
      <x:c r="U287" s="66" t="str">
        <x:v>钧誉厚德量化对冲11号</x:v>
      </x:c>
      <x:c r="V287" s="66" t="str">
        <x:v>2025-10</x:v>
      </x:c>
      <x:c r="W287" s="72" t="n">
        <x:v>45930</x:v>
      </x:c>
      <x:c r="X287" s="72" t="n">
        <x:v>45961</x:v>
      </x:c>
      <x:c r="Y287" s="72" t="n">
        <x:f>'净值原始'!C4942</x:f>
        <x:v>45930</x:v>
      </x:c>
      <x:c r="Z287" s="72" t="n">
        <x:f>'净值原始'!C4946</x:f>
        <x:v>45961</x:v>
      </x:c>
      <x:c r="AA287" s="73" t="n">
        <x:f>'净值原始'!F4942</x:f>
        <x:v>1.4293</x:v>
      </x:c>
      <x:c r="AB287" s="73" t="n">
        <x:f>'净值原始'!F4946</x:f>
        <x:v>1.4336</x:v>
      </x:c>
      <x:c r="AC287" s="66" t="n">
        <x:f>IF(OR(Y287="",Z287="",Z287&lt;=Y287,W287-Y287&gt;'sheet1-指标体系'!$J$24,X287-Z287&gt;'sheet1-指标体系'!$J$24),0,1)</x:f>
        <x:v>1</x:v>
      </x:c>
      <x:c r="AD287" s="74" t="n">
        <x:f>IF(AC287=0,"",AB287/AA287-1)</x:f>
        <x:v>0.003008465682501793</x:v>
      </x:c>
      <x:c r="AE287" s="66" t="n">
        <x:f>IF(AC287=0,"",IF(AD287&gt;0,1,0))</x:f>
        <x:v>1</x:v>
      </x:c>
    </x:row>
    <x:row r="288" ht="27" customHeight="1">
      <x:c r="A288" s="66"/>
      <x:c r="B288" s="66"/>
      <x:c r="C288" s="66"/>
      <x:c r="D288" s="72"/>
      <x:c r="E288" s="72"/>
      <x:c r="F288" s="72"/>
      <x:c r="G288" s="72"/>
      <x:c r="H288" s="66"/>
      <x:c r="I288" s="66"/>
      <x:c r="J288" s="73"/>
      <x:c r="K288" s="73"/>
      <x:c r="L288" s="74"/>
      <x:c r="M288" s="74"/>
      <x:c r="N288" s="75"/>
      <x:c r="O288" s="74"/>
      <x:c r="P288" s="66"/>
      <x:c r="Q288" s="66"/>
      <x:c r="R288" s="66"/>
      <x:c r="S288" s="66"/>
      <x:c r="T288" s="66" t="str">
        <x:v>SQN453</x:v>
      </x:c>
      <x:c r="U288" s="66" t="str">
        <x:v>钧誉厚德量化对冲11号</x:v>
      </x:c>
      <x:c r="V288" s="66" t="str">
        <x:v>2025-11</x:v>
      </x:c>
      <x:c r="W288" s="72" t="n">
        <x:v>45961</x:v>
      </x:c>
      <x:c r="X288" s="72" t="n">
        <x:v>45991</x:v>
      </x:c>
      <x:c r="Y288" s="72" t="n">
        <x:f>'净值原始'!C4946</x:f>
        <x:v>45961</x:v>
      </x:c>
      <x:c r="Z288" s="72" t="n">
        <x:f>'净值原始'!C4950</x:f>
        <x:v>45989</x:v>
      </x:c>
      <x:c r="AA288" s="73" t="n">
        <x:f>'净值原始'!F4946</x:f>
        <x:v>1.4336</x:v>
      </x:c>
      <x:c r="AB288" s="73" t="n">
        <x:f>'净值原始'!F4950</x:f>
        <x:v>1.4354</x:v>
      </x:c>
      <x:c r="AC288" s="66" t="n">
        <x:f>IF(OR(Y288="",Z288="",Z288&lt;=Y288,W288-Y288&gt;'sheet1-指标体系'!$J$24,X288-Z288&gt;'sheet1-指标体系'!$J$24),0,1)</x:f>
        <x:v>1</x:v>
      </x:c>
      <x:c r="AD288" s="74" t="n">
        <x:f>IF(AC288=0,"",AB288/AA288-1)</x:f>
        <x:v>0.0012555803571427937</x:v>
      </x:c>
      <x:c r="AE288" s="66" t="n">
        <x:f>IF(AC288=0,"",IF(AD288&gt;0,1,0))</x:f>
        <x:v>1</x:v>
      </x:c>
    </x:row>
    <x:row r="289" ht="27" customHeight="1">
      <x:c r="A289" s="66"/>
      <x:c r="B289" s="66"/>
      <x:c r="C289" s="66"/>
      <x:c r="D289" s="72"/>
      <x:c r="E289" s="72"/>
      <x:c r="F289" s="72"/>
      <x:c r="G289" s="72"/>
      <x:c r="H289" s="66"/>
      <x:c r="I289" s="66"/>
      <x:c r="J289" s="73"/>
      <x:c r="K289" s="73"/>
      <x:c r="L289" s="74"/>
      <x:c r="M289" s="74"/>
      <x:c r="N289" s="75"/>
      <x:c r="O289" s="74"/>
      <x:c r="P289" s="66"/>
      <x:c r="Q289" s="66"/>
      <x:c r="R289" s="66"/>
      <x:c r="S289" s="66"/>
      <x:c r="T289" s="66" t="str">
        <x:v>SQN453</x:v>
      </x:c>
      <x:c r="U289" s="66" t="str">
        <x:v>钧誉厚德量化对冲11号</x:v>
      </x:c>
      <x:c r="V289" s="66" t="str">
        <x:v>2025-12</x:v>
      </x:c>
      <x:c r="W289" s="72" t="n">
        <x:v>45991</x:v>
      </x:c>
      <x:c r="X289" s="72" t="n">
        <x:v>46022</x:v>
      </x:c>
      <x:c r="Y289" s="72" t="n">
        <x:f>'净值原始'!C4950</x:f>
        <x:v>45989</x:v>
      </x:c>
      <x:c r="Z289" s="72" t="n">
        <x:f>'净值原始'!C4955</x:f>
        <x:v>46022</x:v>
      </x:c>
      <x:c r="AA289" s="73" t="n">
        <x:f>'净值原始'!F4950</x:f>
        <x:v>1.4354</x:v>
      </x:c>
      <x:c r="AB289" s="73" t="n">
        <x:f>'净值原始'!F4955</x:f>
        <x:v>1.4387</x:v>
      </x:c>
      <x:c r="AC289" s="66" t="n">
        <x:f>IF(OR(Y289="",Z289="",Z289&lt;=Y289,W289-Y289&gt;'sheet1-指标体系'!$J$24,X289-Z289&gt;'sheet1-指标体系'!$J$24),0,1)</x:f>
        <x:v>1</x:v>
      </x:c>
      <x:c r="AD289" s="74" t="n">
        <x:f>IF(AC289=0,"",AB289/AA289-1)</x:f>
        <x:v>0.002299010728716855</x:v>
      </x:c>
      <x:c r="AE289" s="66" t="n">
        <x:f>IF(AC289=0,"",IF(AD289&gt;0,1,0))</x:f>
        <x:v>1</x:v>
      </x:c>
    </x:row>
    <x:row r="290" ht="27" customHeight="1">
      <x:c r="A290" s="66"/>
      <x:c r="B290" s="66"/>
      <x:c r="C290" s="66"/>
      <x:c r="D290" s="72"/>
      <x:c r="E290" s="72"/>
      <x:c r="F290" s="72"/>
      <x:c r="G290" s="72"/>
      <x:c r="H290" s="66"/>
      <x:c r="I290" s="66"/>
      <x:c r="J290" s="73"/>
      <x:c r="K290" s="73"/>
      <x:c r="L290" s="74"/>
      <x:c r="M290" s="74"/>
      <x:c r="N290" s="75"/>
      <x:c r="O290" s="74"/>
      <x:c r="P290" s="66"/>
      <x:c r="Q290" s="66"/>
      <x:c r="R290" s="66"/>
      <x:c r="S290" s="66"/>
      <x:c r="T290" s="66" t="str">
        <x:v>SQN453</x:v>
      </x:c>
      <x:c r="U290" s="66" t="str">
        <x:v>钧誉厚德量化对冲11号</x:v>
      </x:c>
      <x:c r="V290" s="66" t="str">
        <x:v>2026-01</x:v>
      </x:c>
      <x:c r="W290" s="72" t="n">
        <x:v>46022</x:v>
      </x:c>
      <x:c r="X290" s="72" t="n">
        <x:v>46053</x:v>
      </x:c>
      <x:c r="Y290" s="72" t="n">
        <x:f>'净值原始'!C4955</x:f>
        <x:v>46022</x:v>
      </x:c>
      <x:c r="Z290" s="72" t="n">
        <x:f>'净值原始'!C4959</x:f>
        <x:v>46052</x:v>
      </x:c>
      <x:c r="AA290" s="73" t="n">
        <x:f>'净值原始'!F4955</x:f>
        <x:v>1.4387</x:v>
      </x:c>
      <x:c r="AB290" s="73" t="n">
        <x:f>'净值原始'!F4959</x:f>
        <x:v>1.4659</x:v>
      </x:c>
      <x:c r="AC290" s="66" t="n">
        <x:f>IF(OR(Y290="",Z290="",Z290&lt;=Y290,W290-Y290&gt;'sheet1-指标体系'!$J$24,X290-Z290&gt;'sheet1-指标体系'!$J$24),0,1)</x:f>
        <x:v>1</x:v>
      </x:c>
      <x:c r="AD290" s="74" t="n">
        <x:f>IF(AC290=0,"",AB290/AA290-1)</x:f>
        <x:v>0.01890595676652529</x:v>
      </x:c>
      <x:c r="AE290" s="66" t="n">
        <x:f>IF(AC290=0,"",IF(AD290&gt;0,1,0))</x:f>
        <x:v>1</x:v>
      </x:c>
    </x:row>
    <x:row r="291" ht="27" customHeight="1">
      <x:c r="A291" s="66"/>
      <x:c r="B291" s="66"/>
      <x:c r="C291" s="66"/>
      <x:c r="D291" s="72"/>
      <x:c r="E291" s="72"/>
      <x:c r="F291" s="72"/>
      <x:c r="G291" s="72"/>
      <x:c r="H291" s="66"/>
      <x:c r="I291" s="66"/>
      <x:c r="J291" s="73"/>
      <x:c r="K291" s="73"/>
      <x:c r="L291" s="74"/>
      <x:c r="M291" s="74"/>
      <x:c r="N291" s="75"/>
      <x:c r="O291" s="74"/>
      <x:c r="P291" s="66"/>
      <x:c r="Q291" s="66"/>
      <x:c r="R291" s="66"/>
      <x:c r="S291" s="66"/>
      <x:c r="T291" s="66" t="str">
        <x:v>SQN453</x:v>
      </x:c>
      <x:c r="U291" s="66" t="str">
        <x:v>钧誉厚德量化对冲11号</x:v>
      </x:c>
      <x:c r="V291" s="66" t="str">
        <x:v>2026-02</x:v>
      </x:c>
      <x:c r="W291" s="72" t="n">
        <x:v>46053</x:v>
      </x:c>
      <x:c r="X291" s="72" t="n">
        <x:v>46081</x:v>
      </x:c>
      <x:c r="Y291" s="72" t="n">
        <x:f>'净值原始'!C4959</x:f>
        <x:v>46052</x:v>
      </x:c>
      <x:c r="Z291" s="72" t="n">
        <x:f>'净值原始'!C4962</x:f>
        <x:v>46080</x:v>
      </x:c>
      <x:c r="AA291" s="73" t="n">
        <x:f>'净值原始'!F4959</x:f>
        <x:v>1.4659</x:v>
      </x:c>
      <x:c r="AB291" s="73" t="n">
        <x:f>'净值原始'!F4962</x:f>
        <x:v>1.4731</x:v>
      </x:c>
      <x:c r="AC291" s="66" t="n">
        <x:f>IF(OR(Y291="",Z291="",Z291&lt;=Y291,W291-Y291&gt;'sheet1-指标体系'!$J$24,X291-Z291&gt;'sheet1-指标体系'!$J$24),0,1)</x:f>
        <x:v>1</x:v>
      </x:c>
      <x:c r="AD291" s="74" t="n">
        <x:f>IF(AC291=0,"",AB291/AA291-1)</x:f>
        <x:v>0.0049116583668735725</x:v>
      </x:c>
      <x:c r="AE291" s="66" t="n">
        <x:f>IF(AC291=0,"",IF(AD291&gt;0,1,0))</x:f>
        <x:v>1</x:v>
      </x:c>
    </x:row>
    <x:row r="292" ht="27" customHeight="1">
      <x:c r="A292" s="66"/>
      <x:c r="B292" s="66"/>
      <x:c r="C292" s="66"/>
      <x:c r="D292" s="72"/>
      <x:c r="E292" s="72"/>
      <x:c r="F292" s="72"/>
      <x:c r="G292" s="72"/>
      <x:c r="H292" s="66"/>
      <x:c r="I292" s="66"/>
      <x:c r="J292" s="73"/>
      <x:c r="K292" s="73"/>
      <x:c r="L292" s="74"/>
      <x:c r="M292" s="74"/>
      <x:c r="N292" s="75"/>
      <x:c r="O292" s="74"/>
      <x:c r="P292" s="66"/>
      <x:c r="Q292" s="66"/>
      <x:c r="R292" s="66"/>
      <x:c r="S292" s="66"/>
      <x:c r="T292" s="66" t="str">
        <x:v>SQN453</x:v>
      </x:c>
      <x:c r="U292" s="66" t="str">
        <x:v>钧誉厚德量化对冲11号</x:v>
      </x:c>
      <x:c r="V292" s="66" t="str">
        <x:v>2026-03</x:v>
      </x:c>
      <x:c r="W292" s="72" t="n">
        <x:v>46081</x:v>
      </x:c>
      <x:c r="X292" s="72" t="n">
        <x:v>46112</x:v>
      </x:c>
      <x:c r="Y292" s="72" t="n">
        <x:f>'净值原始'!C4962</x:f>
        <x:v>46080</x:v>
      </x:c>
      <x:c r="Z292" s="72" t="n">
        <x:f>'净值原始'!C4966</x:f>
        <x:v>46108</x:v>
      </x:c>
      <x:c r="AA292" s="73" t="n">
        <x:f>'净值原始'!F4962</x:f>
        <x:v>1.4731</x:v>
      </x:c>
      <x:c r="AB292" s="73" t="n">
        <x:f>'净值原始'!F4966</x:f>
        <x:v>1.5094</x:v>
      </x:c>
      <x:c r="AC292" s="66" t="n">
        <x:f>IF(OR(Y292="",Z292="",Z292&lt;=Y292,W292-Y292&gt;'sheet1-指标体系'!$J$24,X292-Z292&gt;'sheet1-指标体系'!$J$24),0,1)</x:f>
        <x:v>1</x:v>
      </x:c>
      <x:c r="AD292" s="74" t="n">
        <x:f>IF(AC292=0,"",AB292/AA292-1)</x:f>
        <x:v>0.024641911614961653</x:v>
      </x:c>
      <x:c r="AE292" s="66" t="n">
        <x:f>IF(AC292=0,"",IF(AD292&gt;0,1,0))</x:f>
        <x:v>1</x:v>
      </x:c>
    </x:row>
    <x:row r="293" ht="27" customHeight="1">
      <x:c r="A293" s="66"/>
      <x:c r="B293" s="66"/>
      <x:c r="C293" s="66"/>
      <x:c r="D293" s="72"/>
      <x:c r="E293" s="72"/>
      <x:c r="F293" s="72"/>
      <x:c r="G293" s="72"/>
      <x:c r="H293" s="66"/>
      <x:c r="I293" s="66"/>
      <x:c r="J293" s="73"/>
      <x:c r="K293" s="73"/>
      <x:c r="L293" s="74"/>
      <x:c r="M293" s="74"/>
      <x:c r="N293" s="75"/>
      <x:c r="O293" s="74"/>
      <x:c r="P293" s="66"/>
      <x:c r="Q293" s="66"/>
      <x:c r="R293" s="66"/>
      <x:c r="S293" s="66"/>
      <x:c r="T293" s="66" t="str">
        <x:v>SQN453</x:v>
      </x:c>
      <x:c r="U293" s="66" t="str">
        <x:v>钧誉厚德量化对冲11号</x:v>
      </x:c>
      <x:c r="V293" s="66" t="str">
        <x:v>2026-04</x:v>
      </x:c>
      <x:c r="W293" s="72" t="n">
        <x:v>46112</x:v>
      </x:c>
      <x:c r="X293" s="72" t="n">
        <x:v>46142</x:v>
      </x:c>
      <x:c r="Y293" s="72" t="n">
        <x:f>'净值原始'!C4966</x:f>
        <x:v>46108</x:v>
      </x:c>
      <x:c r="Z293" s="72" t="n">
        <x:f>'净值原始'!C4971</x:f>
        <x:v>46142</x:v>
      </x:c>
      <x:c r="AA293" s="73" t="n">
        <x:f>'净值原始'!F4966</x:f>
        <x:v>1.5094</x:v>
      </x:c>
      <x:c r="AB293" s="73" t="n">
        <x:f>'净值原始'!F4971</x:f>
        <x:v>1.5259</x:v>
      </x:c>
      <x:c r="AC293" s="66" t="n">
        <x:f>IF(OR(Y293="",Z293="",Z293&lt;=Y293,W293-Y293&gt;'sheet1-指标体系'!$J$24,X293-Z293&gt;'sheet1-指标体系'!$J$24),0,1)</x:f>
        <x:v>1</x:v>
      </x:c>
      <x:c r="AD293" s="74" t="n">
        <x:f>IF(AC293=0,"",AB293/AA293-1)</x:f>
        <x:v>0.010931495958659054</x:v>
      </x:c>
      <x:c r="AE293" s="66" t="n">
        <x:f>IF(AC293=0,"",IF(AD293&gt;0,1,0))</x:f>
        <x:v>1</x:v>
      </x:c>
    </x:row>
    <x:row r="294" ht="27" customHeight="1">
      <x:c r="A294" s="66"/>
      <x:c r="B294" s="66"/>
      <x:c r="C294" s="66"/>
      <x:c r="D294" s="72"/>
      <x:c r="E294" s="72"/>
      <x:c r="F294" s="72"/>
      <x:c r="G294" s="72"/>
      <x:c r="H294" s="66"/>
      <x:c r="I294" s="66"/>
      <x:c r="J294" s="73"/>
      <x:c r="K294" s="73"/>
      <x:c r="L294" s="74"/>
      <x:c r="M294" s="74"/>
      <x:c r="N294" s="75"/>
      <x:c r="O294" s="74"/>
      <x:c r="P294" s="66"/>
      <x:c r="Q294" s="66"/>
      <x:c r="R294" s="66"/>
      <x:c r="S294" s="66"/>
      <x:c r="T294" s="66" t="str">
        <x:v>SQN453</x:v>
      </x:c>
      <x:c r="U294" s="66" t="str">
        <x:v>钧誉厚德量化对冲11号</x:v>
      </x:c>
      <x:c r="V294" s="66" t="str">
        <x:v>2026-05</x:v>
      </x:c>
      <x:c r="W294" s="72" t="n">
        <x:v>46142</x:v>
      </x:c>
      <x:c r="X294" s="72" t="n">
        <x:v>46173</x:v>
      </x:c>
      <x:c r="Y294" s="72" t="n">
        <x:f>'净值原始'!C4971</x:f>
        <x:v>46142</x:v>
      </x:c>
      <x:c r="Z294" s="72" t="n">
        <x:f>'净值原始'!C4975</x:f>
        <x:v>46171</x:v>
      </x:c>
      <x:c r="AA294" s="73" t="n">
        <x:f>'净值原始'!F4971</x:f>
        <x:v>1.5259</x:v>
      </x:c>
      <x:c r="AB294" s="73" t="n">
        <x:f>'净值原始'!F4975</x:f>
        <x:v>1.5324</x:v>
      </x:c>
      <x:c r="AC294" s="66" t="n">
        <x:f>IF(OR(Y294="",Z294="",Z294&lt;=Y294,W294-Y294&gt;'sheet1-指标体系'!$J$24,X294-Z294&gt;'sheet1-指标体系'!$J$24),0,1)</x:f>
        <x:v>1</x:v>
      </x:c>
      <x:c r="AD294" s="74" t="n">
        <x:f>IF(AC294=0,"",AB294/AA294-1)</x:f>
        <x:v>0.004259781112785799</x:v>
      </x:c>
      <x:c r="AE294" s="66" t="n">
        <x:f>IF(AC294=0,"",IF(AD294&gt;0,1,0))</x:f>
        <x:v>1</x:v>
      </x:c>
    </x:row>
    <x:row r="295" ht="27" customHeight="1">
      <x:c r="A295" s="66"/>
      <x:c r="B295" s="66"/>
      <x:c r="C295" s="66"/>
      <x:c r="D295" s="72"/>
      <x:c r="E295" s="72"/>
      <x:c r="F295" s="72"/>
      <x:c r="G295" s="72"/>
      <x:c r="H295" s="66"/>
      <x:c r="I295" s="66"/>
      <x:c r="J295" s="73"/>
      <x:c r="K295" s="73"/>
      <x:c r="L295" s="74"/>
      <x:c r="M295" s="74"/>
      <x:c r="N295" s="75"/>
      <x:c r="O295" s="74"/>
      <x:c r="P295" s="66"/>
      <x:c r="Q295" s="66"/>
      <x:c r="R295" s="66"/>
      <x:c r="S295" s="66"/>
      <x:c r="T295" s="66" t="str">
        <x:v>SQN453</x:v>
      </x:c>
      <x:c r="U295" s="66" t="str">
        <x:v>钧誉厚德量化对冲11号</x:v>
      </x:c>
      <x:c r="V295" s="66" t="str">
        <x:v>2026-06</x:v>
      </x:c>
      <x:c r="W295" s="72" t="n">
        <x:v>46173</x:v>
      </x:c>
      <x:c r="X295" s="72" t="n">
        <x:v>46203</x:v>
      </x:c>
      <x:c r="Y295" s="72" t="n">
        <x:f>'净值原始'!C4975</x:f>
        <x:v>46171</x:v>
      </x:c>
      <x:c r="Z295" s="72" t="n">
        <x:f>'净值原始'!C4979</x:f>
        <x:v>46199</x:v>
      </x:c>
      <x:c r="AA295" s="73" t="n">
        <x:f>'净值原始'!F4975</x:f>
        <x:v>1.5324</x:v>
      </x:c>
      <x:c r="AB295" s="73" t="n">
        <x:f>'净值原始'!F4979</x:f>
        <x:v>1.5475</x:v>
      </x:c>
      <x:c r="AC295" s="66" t="n">
        <x:f>IF(OR(Y295="",Z295="",Z295&lt;=Y295,W295-Y295&gt;'sheet1-指标体系'!$J$24,X295-Z295&gt;'sheet1-指标体系'!$J$24),0,1)</x:f>
        <x:v>1</x:v>
      </x:c>
      <x:c r="AD295" s="74" t="n">
        <x:f>IF(AC295=0,"",AB295/AA295-1)</x:f>
        <x:v>0.009853824066823336</x:v>
      </x:c>
      <x:c r="AE295" s="66" t="n">
        <x:f>IF(AC295=0,"",IF(AD295&gt;0,1,0))</x:f>
        <x:v>1</x:v>
      </x:c>
    </x:row>
    <x:row r="296" ht="27" customHeight="1">
      <x:c r="A296" s="66"/>
      <x:c r="B296" s="66"/>
      <x:c r="C296" s="66"/>
      <x:c r="D296" s="72"/>
      <x:c r="E296" s="72"/>
      <x:c r="F296" s="72"/>
      <x:c r="G296" s="72"/>
      <x:c r="H296" s="66"/>
      <x:c r="I296" s="66"/>
      <x:c r="J296" s="73"/>
      <x:c r="K296" s="73"/>
      <x:c r="L296" s="74"/>
      <x:c r="M296" s="74"/>
      <x:c r="N296" s="75"/>
      <x:c r="O296" s="74"/>
      <x:c r="P296" s="66"/>
      <x:c r="Q296" s="66"/>
      <x:c r="R296" s="66"/>
      <x:c r="S296" s="66"/>
      <x:c r="T296" s="66" t="str">
        <x:v>SQN453</x:v>
      </x:c>
      <x:c r="U296" s="66" t="str">
        <x:v>钧誉厚德量化对冲11号</x:v>
      </x:c>
      <x:c r="V296" s="66" t="str">
        <x:v>2026-07</x:v>
      </x:c>
      <x:c r="W296" s="72" t="n">
        <x:v>46203</x:v>
      </x:c>
      <x:c r="X296" s="72" t="n">
        <x:v>46234</x:v>
      </x:c>
      <x:c r="Y296" s="72" t="n">
        <x:f>'净值原始'!C4979</x:f>
        <x:v>46199</x:v>
      </x:c>
      <x:c r="Z296" s="72" t="n">
        <x:f>'净值原始'!C4988</x:f>
        <x:v>46234</x:v>
      </x:c>
      <x:c r="AA296" s="73" t="n">
        <x:f>'净值原始'!F4979</x:f>
        <x:v>1.5475</x:v>
      </x:c>
      <x:c r="AB296" s="73" t="n">
        <x:f>'净值原始'!F4988</x:f>
        <x:v>1.5688</x:v>
      </x:c>
      <x:c r="AC296" s="66" t="n">
        <x:f>IF(OR(Y296="",Z296="",Z296&lt;=Y296,W296-Y296&gt;'sheet1-指标体系'!$J$24,X296-Z296&gt;'sheet1-指标体系'!$J$24),0,1)</x:f>
        <x:v>1</x:v>
      </x:c>
      <x:c r="AD296" s="74" t="n">
        <x:f>IF(AC296=0,"",AB296/AA296-1)</x:f>
        <x:v>0.01376413570274626</x:v>
      </x:c>
      <x:c r="AE296" s="66" t="n">
        <x:f>IF(AC296=0,"",IF(AD296&gt;0,1,0))</x:f>
        <x:v>1</x:v>
      </x:c>
    </x:row>
    <x:row r="297" ht="27" customHeight="1">
      <x:c r="A297" s="66"/>
      <x:c r="B297" s="66"/>
      <x:c r="C297" s="66"/>
      <x:c r="D297" s="72"/>
      <x:c r="E297" s="72"/>
      <x:c r="F297" s="72"/>
      <x:c r="G297" s="72"/>
      <x:c r="H297" s="66"/>
      <x:c r="I297" s="66"/>
      <x:c r="J297" s="73"/>
      <x:c r="K297" s="73"/>
      <x:c r="L297" s="74"/>
      <x:c r="M297" s="74"/>
      <x:c r="N297" s="75"/>
      <x:c r="O297" s="74"/>
      <x:c r="P297" s="66"/>
      <x:c r="Q297" s="66"/>
      <x:c r="R297" s="66"/>
      <x:c r="S297" s="66"/>
      <x:c r="T297" s="66" t="str">
        <x:v>SQN453</x:v>
      </x:c>
      <x:c r="U297" s="66" t="str">
        <x:v>钧誉厚德量化对冲11号</x:v>
      </x:c>
      <x:c r="V297" s="66" t="str">
        <x:v>2026-08</x:v>
      </x:c>
      <x:c r="W297" s="72" t="n">
        <x:v>46234</x:v>
      </x:c>
      <x:c r="X297" s="72" t="n">
        <x:v>46265</x:v>
      </x:c>
      <x:c r="Y297" s="72" t="n">
        <x:f>'净值原始'!C4988</x:f>
        <x:v>46234</x:v>
      </x:c>
      <x:c r="Z297" s="72" t="n">
        <x:f>'净值原始'!C5001</x:f>
        <x:v>46265</x:v>
      </x:c>
      <x:c r="AA297" s="73" t="n">
        <x:f>'净值原始'!F4988</x:f>
        <x:v>1.5688</x:v>
      </x:c>
      <x:c r="AB297" s="73" t="n">
        <x:f>'净值原始'!F5001</x:f>
        <x:v>1.5806</x:v>
      </x:c>
      <x:c r="AC297" s="66" t="n">
        <x:f>IF(OR(Y297="",Z297="",Z297&lt;=Y297,W297-Y297&gt;'sheet1-指标体系'!$J$24,X297-Z297&gt;'sheet1-指标体系'!$J$24),0,1)</x:f>
        <x:v>1</x:v>
      </x:c>
      <x:c r="AD297" s="74" t="n">
        <x:f>IF(AC297=0,"",AB297/AA297-1)</x:f>
        <x:v>0.0075216726160123315</x:v>
      </x:c>
      <x:c r="AE297" s="66" t="n">
        <x:f>IF(AC297=0,"",IF(AD297&gt;0,1,0))</x:f>
        <x:v>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ColWidth="9" defaultRowHeight="14.25"/>
  <x:cols>
    <x:col min="1" max="1" width="18" style="1" hidden="0" customWidth="1"/>
    <x:col min="2" max="2" width="32" style="1" hidden="0" customWidth="1"/>
    <x:col min="3" max="3" width="18" style="1" hidden="0" customWidth="1"/>
    <x:col min="4" max="4" width="18" style="1" hidden="0" customWidth="1"/>
    <x:col min="5" max="6" width="12" style="1" customWidth="1"/>
    <x:col min="7" max="7" width="18" style="1" hidden="0" customWidth="1"/>
    <x:col min="5" max="5" width="18" hidden="0" customWidth="1"/>
    <x:col min="6" max="6" width="18" hidden="0" customWidth="1"/>
    <x:col min="8" max="8" width="48" hidden="0" customWidth="1"/>
    <x:col min="9" max="9" width="18" hidden="0" customWidth="1"/>
    <x:col min="10" max="10" width="65" hidden="0" customWidth="1"/>
    <x:col min="11" max="11" width="3" hidden="0" customWidth="1"/>
    <x:col min="12" max="12" width="3" hidden="0" customWidth="1"/>
    <x:col min="13" max="13" width="48" hidden="0" customWidth="1"/>
    <x:col min="14" max="14" width="18" hidden="0" customWidth="1"/>
    <x:col min="15" max="15" width="44" hidden="0" customWidth="1"/>
    <x:col min="16" max="16" width="18" hidden="0" customWidth="1"/>
    <x:col min="17" max="17" width="18" hidden="0" customWidth="1"/>
    <x:col min="18" max="18" width="18" hidden="0" customWidth="1"/>
    <x:col min="19" max="19" width="65" hidden="0" customWidth="1"/>
    <x:col min="20" max="20" width="65" hidden="0" customWidth="1"/>
  </x:cols>
  <x:sheetData>
    <x:row r="1" ht="46" customHeight="1">
      <x:c r="A1" s="70" t="str">
        <x:v>备案号</x:v>
      </x:c>
      <x:c r="B1" s="70" t="str">
        <x:v>产品名称</x:v>
      </x:c>
      <x:c r="C1" s="70" t="str">
        <x:v>更新指标</x:v>
      </x:c>
      <x:c r="D1" s="70" t="str">
        <x:v>第二表原值</x:v>
      </x:c>
      <x:c r="E1" s="70" t="str">
        <x:v>采用值</x:v>
      </x:c>
      <x:c r="F1" s="70" t="str">
        <x:v>差额</x:v>
      </x:c>
      <x:c r="G1" s="70" t="str">
        <x:v>实际截止日</x:v>
      </x:c>
      <x:c r="H1" s="71" t="str">
        <x:v>净值文件</x:v>
      </x:c>
      <x:c r="I1" s="71" t="str">
        <x:v>处理类型</x:v>
      </x:c>
      <x:c r="J1" s="71" t="str">
        <x:v>口径说明</x:v>
      </x:c>
      <x:c r="K1" s="71"/>
      <x:c r="L1" s="71"/>
      <x:c r="M1" s="71" t="str">
        <x:v>压缩包文件</x:v>
      </x:c>
      <x:c r="N1" s="71" t="str">
        <x:v>匹配备案号</x:v>
      </x:c>
      <x:c r="O1" s="71" t="str">
        <x:v>处理结果</x:v>
      </x:c>
      <x:c r="P1" s="71" t="str">
        <x:v>净值条数</x:v>
      </x:c>
      <x:c r="Q1" s="71" t="str">
        <x:v>最早净值日</x:v>
      </x:c>
      <x:c r="R1" s="71" t="str">
        <x:v>最新净值日</x:v>
      </x:c>
      <x:c r="S1" s="71" t="str">
        <x:v>SHA256</x:v>
      </x:c>
      <x:c r="T1" s="71" t="str">
        <x:v>范围说明</x:v>
      </x:c>
    </x:row>
    <x:row r="2" ht="27" customHeight="1">
      <x:c r="A2" s="66" t="str">
        <x:v>SNH457</x:v>
      </x:c>
      <x:c r="B2" s="66" t="str">
        <x:v>量客投资金选套利1号</x:v>
      </x:c>
      <x:c r="C2" s="66" t="str">
        <x:v>近一年年化收益</x:v>
      </x:c>
      <x:c r="D2" s="76" t="n">
        <x:v>0.0629</x:v>
      </x:c>
      <x:c r="E2" s="76" t="n">
        <x:f>'补数计算'!L20</x:f>
        <x:v>0.06489944933693947</x:v>
      </x:c>
      <x:c r="F2" s="76" t="n">
        <x:f>IF(D2="","",E2-D2)</x:f>
        <x:v>0.0019994493369394767</x:v>
      </x:c>
      <x:c r="G2" s="72" t="n">
        <x:v>46269</x:v>
      </x:c>
      <x:c r="H2" s="66" t="str">
        <x:v>量客投资金选套利1号净值20260911.xlsx</x:v>
      </x:c>
      <x:c r="I2" s="66" t="str">
        <x:v>按净值更新</x:v>
      </x:c>
      <x:c r="J2" s="66" t="str">
        <x:v>表内产品按最新净值重新核算</x:v>
      </x:c>
      <x:c r="K2" s="66"/>
      <x:c r="L2" s="66"/>
      <x:c r="M2" s="66" t="str">
        <x:v>世宽若水尘心2号B类净值20260911.xlsx</x:v>
      </x:c>
      <x:c r="N2" s="66" t="str">
        <x:v>XX769B</x:v>
      </x:c>
      <x:c r="O2" s="66" t="str">
        <x:v>净值未覆盖完整近三年，未纳入</x:v>
      </x:c>
      <x:c r="P2" s="66" t="n">
        <x:v>114</x:v>
      </x:c>
      <x:c r="Q2" s="72" t="n">
        <x:v>45513</x:v>
      </x:c>
      <x:c r="R2" s="72" t="n">
        <x:v>46269</x:v>
      </x:c>
      <x:c r="S2" s="66" t="str">
        <x:v>f4bbd4cb4422b59b87af33400409111f2be1ebe655246018b36c1941fa33af76</x:v>
      </x:c>
      <x:c r="T2" s="66" t="str">
        <x:v>保留近三年收益与最大回撤可核算的产品</x:v>
      </x:c>
    </x:row>
    <x:row r="3" ht="27" customHeight="1">
      <x:c r="A3" s="66" t="str">
        <x:v>SNH457</x:v>
      </x:c>
      <x:c r="B3" s="66" t="str">
        <x:v>量客投资金选套利1号</x:v>
      </x:c>
      <x:c r="C3" s="66" t="str">
        <x:v>近三年年化收益</x:v>
      </x:c>
      <x:c r="D3" s="76" t="n">
        <x:v>0.0862</x:v>
      </x:c>
      <x:c r="E3" s="76" t="n">
        <x:f>'补数计算'!L21</x:f>
        <x:v>0.08548404872759652</x:v>
      </x:c>
      <x:c r="F3" s="76" t="n">
        <x:f>IF(D3="","",E3-D3)</x:f>
        <x:v>-0.0007159512724034811</x:v>
      </x:c>
      <x:c r="G3" s="72" t="n">
        <x:v>46269</x:v>
      </x:c>
      <x:c r="H3" s="66" t="str">
        <x:v>量客投资金选套利1号净值20260911.xlsx</x:v>
      </x:c>
      <x:c r="I3" s="66" t="str">
        <x:v>按净值更新</x:v>
      </x:c>
      <x:c r="J3" s="66" t="str">
        <x:v>表内产品按最新净值重新核算</x:v>
      </x:c>
      <x:c r="K3" s="66"/>
      <x:c r="L3" s="66"/>
      <x:c r="M3" s="66" t="str">
        <x:v>世宽若水尘心3号净值20260911.xlsx</x:v>
      </x:c>
      <x:c r="N3" s="66" t="str">
        <x:v>SXT730</x:v>
      </x:c>
      <x:c r="O3" s="66" t="str">
        <x:v>已在表内，更新净值指标</x:v>
      </x:c>
      <x:c r="P3" s="66" t="n">
        <x:v>240</x:v>
      </x:c>
      <x:c r="Q3" s="72" t="n">
        <x:v>44883</x:v>
      </x:c>
      <x:c r="R3" s="72" t="n">
        <x:v>46265</x:v>
      </x:c>
      <x:c r="S3" s="66" t="str">
        <x:v>1d07075142346169d22981de69caa344a3bfdd107bf6f6af08a0c30c9c5f9e90</x:v>
      </x:c>
      <x:c r="T3" s="66" t="str">
        <x:v>保留近三年收益与最大回撤可核算的产品</x:v>
      </x:c>
    </x:row>
    <x:row r="4" ht="27" customHeight="1">
      <x:c r="A4" s="66" t="str">
        <x:v>SNH457</x:v>
      </x:c>
      <x:c r="B4" s="66" t="str">
        <x:v>量客投资金选套利1号</x:v>
      </x:c>
      <x:c r="C4" s="66" t="str">
        <x:v>近一年月胜率</x:v>
      </x:c>
      <x:c r="D4" s="76" t="n">
        <x:v>1</x:v>
      </x:c>
      <x:c r="E4" s="76" t="n">
        <x:f>'补数计算'!O20</x:f>
        <x:v>1</x:v>
      </x:c>
      <x:c r="F4" s="76" t="n">
        <x:f>IF(D4="","",E4-D4)</x:f>
        <x:v>0</x:v>
      </x:c>
      <x:c r="G4" s="72" t="n">
        <x:v>46269</x:v>
      </x:c>
      <x:c r="H4" s="66" t="str">
        <x:v>量客投资金选套利1号净值20260911.xlsx</x:v>
      </x:c>
      <x:c r="I4" s="66" t="str">
        <x:v>按净值更新</x:v>
      </x:c>
      <x:c r="J4" s="66" t="str">
        <x:v>表内产品按最新净值重新核算</x:v>
      </x:c>
      <x:c r="K4" s="66"/>
      <x:c r="L4" s="66"/>
      <x:c r="M4" s="66" t="str">
        <x:v>东源投资丰源5号净值20260911.xlsx</x:v>
      </x:c>
      <x:c r="N4" s="66" t="str">
        <x:v>SBMG09</x:v>
      </x:c>
      <x:c r="O4" s="66" t="str">
        <x:v>净值未覆盖完整近三年，未纳入</x:v>
      </x:c>
      <x:c r="P4" s="66" t="n">
        <x:v>157</x:v>
      </x:c>
      <x:c r="Q4" s="72" t="n">
        <x:v>46036</x:v>
      </x:c>
      <x:c r="R4" s="72" t="n">
        <x:v>46275</x:v>
      </x:c>
      <x:c r="S4" s="66" t="str">
        <x:v>af8ff47c47daf3fd362dab05b24246f21204a0c6a224936467d4bdaafff57019</x:v>
      </x:c>
      <x:c r="T4" s="66" t="str">
        <x:v>保留近三年收益与最大回撤可核算的产品</x:v>
      </x:c>
    </x:row>
    <x:row r="5" ht="27" customHeight="1">
      <x:c r="A5" s="66" t="str">
        <x:v>SNH457</x:v>
      </x:c>
      <x:c r="B5" s="66" t="str">
        <x:v>量客投资金选套利1号</x:v>
      </x:c>
      <x:c r="C5" s="66" t="str">
        <x:v>近三年月胜率</x:v>
      </x:c>
      <x:c r="D5" s="76" t="n">
        <x:v>0.9459000000000001</x:v>
      </x:c>
      <x:c r="E5" s="76" t="n">
        <x:f>'补数计算'!O21</x:f>
        <x:v>0.918918918918919</x:v>
      </x:c>
      <x:c r="F5" s="76" t="n">
        <x:f>IF(D5="","",E5-D5)</x:f>
        <x:v>-0.026981081081081104</x:v>
      </x:c>
      <x:c r="G5" s="72" t="n">
        <x:v>46269</x:v>
      </x:c>
      <x:c r="H5" s="66" t="str">
        <x:v>量客投资金选套利1号净值20260911.xlsx</x:v>
      </x:c>
      <x:c r="I5" s="66" t="str">
        <x:v>按净值更新</x:v>
      </x:c>
      <x:c r="J5" s="66" t="str">
        <x:v>表内产品按最新净值重新核算</x:v>
      </x:c>
      <x:c r="K5" s="66"/>
      <x:c r="L5" s="66"/>
      <x:c r="M5" s="66" t="str">
        <x:v>东源投资乐源1号净值20260911.xlsx</x:v>
      </x:c>
      <x:c r="N5" s="66" t="str">
        <x:v>SBRX68</x:v>
      </x:c>
      <x:c r="O5" s="66" t="str">
        <x:v>净值未覆盖完整近三年，未纳入</x:v>
      </x:c>
      <x:c r="P5" s="66" t="n">
        <x:v>139</x:v>
      </x:c>
      <x:c r="Q5" s="72" t="n">
        <x:v>46066</x:v>
      </x:c>
      <x:c r="R5" s="72" t="n">
        <x:v>46275</x:v>
      </x:c>
      <x:c r="S5" s="66" t="str">
        <x:v>92959cdfd9ef38ebdab9ad8eec394eea6ccc7b1cf672211f717968760ef7439c</x:v>
      </x:c>
      <x:c r="T5" s="66" t="str">
        <x:v>保留近三年收益与最大回撤可核算的产品</x:v>
      </x:c>
    </x:row>
    <x:row r="6" ht="27" customHeight="1">
      <x:c r="A6" s="66" t="str">
        <x:v>SNH457</x:v>
      </x:c>
      <x:c r="B6" s="66" t="str">
        <x:v>量客投资金选套利1号</x:v>
      </x:c>
      <x:c r="C6" s="66" t="str">
        <x:v>近三年最大回撤</x:v>
      </x:c>
      <x:c r="D6" s="76" t="n">
        <x:v>0.0033</x:v>
      </x:c>
      <x:c r="E6" s="76" t="n">
        <x:f>'补数计算'!M21</x:f>
        <x:v>0.0033696371622840005</x:v>
      </x:c>
      <x:c r="F6" s="76" t="n">
        <x:f>IF(D6="","",E6-D6)</x:f>
        <x:v>0.00006963716228400047</x:v>
      </x:c>
      <x:c r="G6" s="72" t="n">
        <x:v>46269</x:v>
      </x:c>
      <x:c r="H6" s="66" t="str">
        <x:v>量客投资金选套利1号净值20260911.xlsx</x:v>
      </x:c>
      <x:c r="I6" s="66" t="str">
        <x:v>按净值更新</x:v>
      </x:c>
      <x:c r="J6" s="66" t="str">
        <x:v>表内产品按最新净值重新核算</x:v>
      </x:c>
      <x:c r="K6" s="66"/>
      <x:c r="L6" s="66"/>
      <x:c r="M6" s="66" t="str">
        <x:v>九木套利9号A类净值20260911.xlsx</x:v>
      </x:c>
      <x:c r="N6" s="66" t="str">
        <x:v>BSA32A</x:v>
      </x:c>
      <x:c r="O6" s="66" t="str">
        <x:v>净值未覆盖完整近三年，未纳入</x:v>
      </x:c>
      <x:c r="P6" s="66" t="n">
        <x:v>124</x:v>
      </x:c>
      <x:c r="Q6" s="72" t="n">
        <x:v>46094</x:v>
      </x:c>
      <x:c r="R6" s="72" t="n">
        <x:v>46274</x:v>
      </x:c>
      <x:c r="S6" s="66" t="str">
        <x:v>80ba64116d2de91725336edf54e5ffa1c9307dd321286a3750646cab065b720e</x:v>
      </x:c>
      <x:c r="T6" s="66" t="str">
        <x:v>保留近三年收益与最大回撤可核算的产品</x:v>
      </x:c>
    </x:row>
    <x:row r="7" ht="27" customHeight="1">
      <x:c r="A7" s="66" t="str">
        <x:v>SNH457</x:v>
      </x:c>
      <x:c r="B7" s="66" t="str">
        <x:v>量客投资金选套利1号</x:v>
      </x:c>
      <x:c r="C7" s="66" t="str">
        <x:v>近一年卡玛</x:v>
      </x:c>
      <x:c r="D7" s="75" t="n">
        <x:v>43.285</x:v>
      </x:c>
      <x:c r="E7" s="75" t="n">
        <x:f>'补数计算'!N20</x:f>
        <x:v>43.827988839717555</x:v>
      </x:c>
      <x:c r="F7" s="75" t="n">
        <x:f>IF(D7="","",E7-D7)</x:f>
        <x:v>0.5429888397175588</x:v>
      </x:c>
      <x:c r="G7" s="72" t="n">
        <x:v>46269</x:v>
      </x:c>
      <x:c r="H7" s="66" t="str">
        <x:v>量客投资金选套利1号净值20260911.xlsx</x:v>
      </x:c>
      <x:c r="I7" s="66" t="str">
        <x:v>按净值更新</x:v>
      </x:c>
      <x:c r="J7" s="66" t="str">
        <x:v>表内产品按最新净值重新核算</x:v>
      </x:c>
      <x:c r="K7" s="66"/>
      <x:c r="L7" s="66"/>
      <x:c r="M7" s="66" t="str">
        <x:v>合绎塑造者10号净值20260911.xlsx</x:v>
      </x:c>
      <x:c r="N7" s="66" t="str">
        <x:v>SAHP82</x:v>
      </x:c>
      <x:c r="O7" s="66" t="str">
        <x:v>净值未覆盖完整近三年，未纳入</x:v>
      </x:c>
      <x:c r="P7" s="66" t="n">
        <x:v>86</x:v>
      </x:c>
      <x:c r="Q7" s="72" t="n">
        <x:v>45667</x:v>
      </x:c>
      <x:c r="R7" s="72" t="n">
        <x:v>46269</x:v>
      </x:c>
      <x:c r="S7" s="66" t="str">
        <x:v>0f6cd4ea7fae8e2c565447a89e68dd955566c0a73f2eb71658cb144f7d52adfb</x:v>
      </x:c>
      <x:c r="T7" s="66" t="str">
        <x:v>保留近三年收益与最大回撤可核算的产品</x:v>
      </x:c>
    </x:row>
    <x:row r="8" ht="27" customHeight="1">
      <x:c r="A8" s="66" t="str">
        <x:v>SNH457</x:v>
      </x:c>
      <x:c r="B8" s="66" t="str">
        <x:v>量客投资金选套利1号</x:v>
      </x:c>
      <x:c r="C8" s="66" t="str">
        <x:v>近三年卡玛</x:v>
      </x:c>
      <x:c r="D8" s="75" t="n">
        <x:v>25.7396</x:v>
      </x:c>
      <x:c r="E8" s="75" t="n">
        <x:f>'补数计算'!N21</x:f>
        <x:v>25.368917960785396</x:v>
      </x:c>
      <x:c r="F8" s="75" t="n">
        <x:f>IF(D8="","",E8-D8)</x:f>
        <x:v>-0.3706820392146035</x:v>
      </x:c>
      <x:c r="G8" s="72" t="n">
        <x:v>46269</x:v>
      </x:c>
      <x:c r="H8" s="66" t="str">
        <x:v>量客投资金选套利1号净值20260911.xlsx</x:v>
      </x:c>
      <x:c r="I8" s="66" t="str">
        <x:v>按净值更新</x:v>
      </x:c>
      <x:c r="J8" s="66" t="str">
        <x:v>表内产品按最新净值重新核算</x:v>
      </x:c>
      <x:c r="K8" s="66"/>
      <x:c r="L8" s="66"/>
      <x:c r="M8" s="66" t="str">
        <x:v>哲石君顺易安壹号净值20260911.xlsx</x:v>
      </x:c>
      <x:c r="N8" s="66" t="str">
        <x:v>SAVN21</x:v>
      </x:c>
      <x:c r="O8" s="66" t="str">
        <x:v>净值未覆盖完整近三年，未纳入</x:v>
      </x:c>
      <x:c r="P8" s="66" t="n">
        <x:v>218</x:v>
      </x:c>
      <x:c r="Q8" s="72" t="n">
        <x:v>45952</x:v>
      </x:c>
      <x:c r="R8" s="72" t="n">
        <x:v>46274</x:v>
      </x:c>
      <x:c r="S8" s="66" t="str">
        <x:v>ed201d62d40ba2a9ab0145780321ddf660d78fc34ef800e7cb6f8ad639dab03f</x:v>
      </x:c>
      <x:c r="T8" s="66" t="str">
        <x:v>保留近三年收益与最大回撤可核算的产品</x:v>
      </x:c>
    </x:row>
    <x:row r="9" ht="27" customHeight="1">
      <x:c r="A9" s="66" t="str">
        <x:v>SNH457</x:v>
      </x:c>
      <x:c r="B9" s="66" t="str">
        <x:v>量客投资金选套利1号</x:v>
      </x:c>
      <x:c r="C9" s="66" t="str">
        <x:v>成立以来年化收益</x:v>
      </x:c>
      <x:c r="D9" s="76" t="n">
        <x:v>0.128288174778181</x:v>
      </x:c>
      <x:c r="E9" s="76" t="n">
        <x:f>'补数计算'!L22</x:f>
        <x:v>0.12828817477818122</x:v>
      </x:c>
      <x:c r="F9" s="76" t="n">
        <x:f>IF(D9="","",E9-D9)</x:f>
        <x:v>2.220446049250313e-16</x:v>
      </x:c>
      <x:c r="G9" s="72" t="n">
        <x:v>46269</x:v>
      </x:c>
      <x:c r="H9" s="66" t="str">
        <x:v>量客投资金选套利1号净值20260911.xlsx</x:v>
      </x:c>
      <x:c r="I9" s="66" t="str">
        <x:v>按净值更新</x:v>
      </x:c>
      <x:c r="J9" s="66" t="str">
        <x:v>表内产品按最新净值重新核算</x:v>
      </x:c>
      <x:c r="K9" s="66"/>
      <x:c r="L9" s="66"/>
      <x:c r="M9" s="66" t="str">
        <x:v>哲石君顺易安贰号净值20260911.xlsx</x:v>
      </x:c>
      <x:c r="N9" s="66" t="str">
        <x:v>SBBC37</x:v>
      </x:c>
      <x:c r="O9" s="66" t="str">
        <x:v>净值未覆盖完整近三年，未纳入</x:v>
      </x:c>
      <x:c r="P9" s="66" t="n">
        <x:v>286</x:v>
      </x:c>
      <x:c r="Q9" s="72" t="n">
        <x:v>45848</x:v>
      </x:c>
      <x:c r="R9" s="72" t="n">
        <x:v>46274</x:v>
      </x:c>
      <x:c r="S9" s="66" t="str">
        <x:v>b56312de0ff5c5f45fdd87034575455e27bf660f15d57e886469c1922540830e</x:v>
      </x:c>
      <x:c r="T9" s="66" t="str">
        <x:v>保留近三年收益与最大回撤可核算的产品</x:v>
      </x:c>
    </x:row>
    <x:row r="10" ht="27" customHeight="1">
      <x:c r="A10" s="66" t="str">
        <x:v>SEV580</x:v>
      </x:c>
      <x:c r="B10" s="66" t="str">
        <x:v>祁腾蜂赢1号</x:v>
      </x:c>
      <x:c r="C10" s="66" t="str">
        <x:v>近一年年化收益</x:v>
      </x:c>
      <x:c r="D10" s="76" t="n">
        <x:v>0.13816</x:v>
      </x:c>
      <x:c r="E10" s="76" t="n">
        <x:f>'补数计算'!L14</x:f>
        <x:v>0.13816034226190466</x:v>
      </x:c>
      <x:c r="F10" s="76" t="n">
        <x:f>IF(D10="","",E10-D10)</x:f>
        <x:v>3.4226190465114215e-7</x:v>
      </x:c>
      <x:c r="G10" s="72" t="n">
        <x:v>46275</x:v>
      </x:c>
      <x:c r="H10" s="66" t="str">
        <x:v>祁腾蜂赢1号净值20260911.xlsx</x:v>
      </x:c>
      <x:c r="I10" s="66" t="str">
        <x:v>按净值更新</x:v>
      </x:c>
      <x:c r="J10" s="66" t="str">
        <x:v>表内产品按最新净值重新核算</x:v>
      </x:c>
      <x:c r="K10" s="66"/>
      <x:c r="L10" s="66"/>
      <x:c r="M10" s="66" t="str">
        <x:v>常行7号净值20260911.xlsx</x:v>
      </x:c>
      <x:c r="N10" s="66" t="str">
        <x:v>SQH214</x:v>
      </x:c>
      <x:c r="O10" s="66" t="str">
        <x:v>新增并纳入</x:v>
      </x:c>
      <x:c r="P10" s="66" t="n">
        <x:v>278</x:v>
      </x:c>
      <x:c r="Q10" s="72" t="n">
        <x:v>44288</x:v>
      </x:c>
      <x:c r="R10" s="72" t="n">
        <x:v>46269</x:v>
      </x:c>
      <x:c r="S10" s="66" t="str">
        <x:v>6338c5eb8c136a3ecb9f8c44bb1f444d122464e8a66cf54b82926cf97068eeda</x:v>
      </x:c>
      <x:c r="T10" s="66" t="str">
        <x:v>保留近三年收益与最大回撤可核算的产品</x:v>
      </x:c>
    </x:row>
    <x:row r="11" ht="27" customHeight="1">
      <x:c r="A11" s="66" t="str">
        <x:v>SEV580</x:v>
      </x:c>
      <x:c r="B11" s="66" t="str">
        <x:v>祁腾蜂赢1号</x:v>
      </x:c>
      <x:c r="C11" s="66" t="str">
        <x:v>近三年年化收益</x:v>
      </x:c>
      <x:c r="D11" s="76" t="n">
        <x:v>0.119543</x:v>
      </x:c>
      <x:c r="E11" s="76" t="n">
        <x:f>'补数计算'!L15</x:f>
        <x:v>0.11954263952203115</x:v>
      </x:c>
      <x:c r="F11" s="76" t="n">
        <x:f>IF(D11="","",E11-D11)</x:f>
        <x:v>-3.604779688498594e-7</x:v>
      </x:c>
      <x:c r="G11" s="72" t="n">
        <x:v>46275</x:v>
      </x:c>
      <x:c r="H11" s="66" t="str">
        <x:v>祁腾蜂赢1号净值20260911.xlsx</x:v>
      </x:c>
      <x:c r="I11" s="66" t="str">
        <x:v>按净值更新</x:v>
      </x:c>
      <x:c r="J11" s="66" t="str">
        <x:v>表内产品按最新净值重新核算</x:v>
      </x:c>
      <x:c r="K11" s="66"/>
      <x:c r="L11" s="66"/>
      <x:c r="M11" s="66" t="str">
        <x:v>深度梦扬量化套利0号净值20260911.xlsx</x:v>
      </x:c>
      <x:c r="N11" s="66" t="str">
        <x:v>SQD620</x:v>
      </x:c>
      <x:c r="O11" s="66" t="str">
        <x:v>新增并纳入</x:v>
      </x:c>
      <x:c r="P11" s="66" t="n">
        <x:v>530</x:v>
      </x:c>
      <x:c r="Q11" s="72" t="n">
        <x:v>44305</x:v>
      </x:c>
      <x:c r="R11" s="72" t="n">
        <x:v>46267</x:v>
      </x:c>
      <x:c r="S11" s="66" t="str">
        <x:v>01ce295ab9a57a3f01fde8fe6813000f45c0ce106199d6e1e5512464e7c2cb19</x:v>
      </x:c>
      <x:c r="T11" s="66" t="str">
        <x:v>保留近三年收益与最大回撤可核算的产品</x:v>
      </x:c>
    </x:row>
    <x:row r="12" ht="27" customHeight="1">
      <x:c r="A12" s="66" t="str">
        <x:v>SEV580</x:v>
      </x:c>
      <x:c r="B12" s="66" t="str">
        <x:v>祁腾蜂赢1号</x:v>
      </x:c>
      <x:c r="C12" s="66" t="str">
        <x:v>近一年月胜率</x:v>
      </x:c>
      <x:c r="D12" s="76" t="n">
        <x:v>0.769231</x:v>
      </x:c>
      <x:c r="E12" s="76" t="n">
        <x:f>'补数计算'!O14</x:f>
        <x:v>0.7692307692307693</x:v>
      </x:c>
      <x:c r="F12" s="76" t="n">
        <x:f>IF(D12="","",E12-D12)</x:f>
        <x:v>-2.3076923072462563e-7</x:v>
      </x:c>
      <x:c r="G12" s="72" t="n">
        <x:v>46275</x:v>
      </x:c>
      <x:c r="H12" s="66" t="str">
        <x:v>祁腾蜂赢1号净值20260911.xlsx</x:v>
      </x:c>
      <x:c r="I12" s="66" t="str">
        <x:v>按净值更新</x:v>
      </x:c>
      <x:c r="J12" s="66" t="str">
        <x:v>表内产品按最新净值重新核算</x:v>
      </x:c>
      <x:c r="K12" s="66"/>
      <x:c r="L12" s="66"/>
      <x:c r="M12" s="66" t="str">
        <x:v>滨风风云瑞丰1号净值20260911.xlsx</x:v>
      </x:c>
      <x:c r="N12" s="66" t="str">
        <x:v>SXL267</x:v>
      </x:c>
      <x:c r="O12" s="66" t="str">
        <x:v>新增并纳入</x:v>
      </x:c>
      <x:c r="P12" s="66" t="n">
        <x:v>683</x:v>
      </x:c>
      <x:c r="Q12" s="72" t="n">
        <x:v>44897</x:v>
      </x:c>
      <x:c r="R12" s="72" t="n">
        <x:v>46269</x:v>
      </x:c>
      <x:c r="S12" s="66" t="str">
        <x:v>4062a6f86b81c9297bb9a6cfb8bd36c0022b0917ef632b7da01f2a22ae5b4cbe</x:v>
      </x:c>
      <x:c r="T12" s="66" t="str">
        <x:v>保留近三年收益与最大回撤可核算的产品</x:v>
      </x:c>
    </x:row>
    <x:row r="13" ht="27" customHeight="1">
      <x:c r="A13" s="66" t="str">
        <x:v>SEV580</x:v>
      </x:c>
      <x:c r="B13" s="66" t="str">
        <x:v>祁腾蜂赢1号</x:v>
      </x:c>
      <x:c r="C13" s="66" t="str">
        <x:v>近三年月胜率</x:v>
      </x:c>
      <x:c r="D13" s="76" t="n">
        <x:v>0.783784</x:v>
      </x:c>
      <x:c r="E13" s="76" t="n">
        <x:f>'补数计算'!O15</x:f>
        <x:v>0.7837837837837838</x:v>
      </x:c>
      <x:c r="F13" s="76" t="n">
        <x:f>IF(D13="","",E13-D13)</x:f>
        <x:v>-2.162162162644421e-7</x:v>
      </x:c>
      <x:c r="G13" s="72" t="n">
        <x:v>46275</x:v>
      </x:c>
      <x:c r="H13" s="66" t="str">
        <x:v>祁腾蜂赢1号净值20260911.xlsx</x:v>
      </x:c>
      <x:c r="I13" s="66" t="str">
        <x:v>按净值更新</x:v>
      </x:c>
      <x:c r="J13" s="66" t="str">
        <x:v>表内产品按最新净值重新核算</x:v>
      </x:c>
      <x:c r="K13" s="66"/>
      <x:c r="L13" s="66"/>
      <x:c r="M13" s="66" t="str">
        <x:v>澜胜稳赋套利1号净值20260911.xlsx</x:v>
      </x:c>
      <x:c r="N13" s="66" t="str">
        <x:v>SBPY84</x:v>
      </x:c>
      <x:c r="O13" s="66" t="str">
        <x:v>净值未覆盖完整近三年，未纳入</x:v>
      </x:c>
      <x:c r="P13" s="66" t="n">
        <x:v>151</x:v>
      </x:c>
      <x:c r="Q13" s="72" t="n">
        <x:v>46049</x:v>
      </x:c>
      <x:c r="R13" s="72" t="n">
        <x:v>46274</x:v>
      </x:c>
      <x:c r="S13" s="66" t="str">
        <x:v>f73a7f7584d0c3689d182eb5cb642e3c777351676d16e7097e8f7bf1fb628b85</x:v>
      </x:c>
      <x:c r="T13" s="66" t="str">
        <x:v>保留近三年收益与最大回撤可核算的产品</x:v>
      </x:c>
    </x:row>
    <x:row r="14" ht="27" customHeight="1">
      <x:c r="A14" s="66" t="str">
        <x:v>SEV580</x:v>
      </x:c>
      <x:c r="B14" s="66" t="str">
        <x:v>祁腾蜂赢1号</x:v>
      </x:c>
      <x:c r="C14" s="66" t="str">
        <x:v>近三年最大回撤</x:v>
      </x:c>
      <x:c r="D14" s="76" t="n">
        <x:v>0.005331</x:v>
      </x:c>
      <x:c r="E14" s="76" t="n">
        <x:f>'补数计算'!M15</x:f>
        <x:v>0.00533091362785687</x:v>
      </x:c>
      <x:c r="F14" s="76" t="n">
        <x:f>IF(D14="","",E14-D14)</x:f>
        <x:v>-8.637214312951641e-8</x:v>
      </x:c>
      <x:c r="G14" s="72" t="n">
        <x:v>46275</x:v>
      </x:c>
      <x:c r="H14" s="66" t="str">
        <x:v>祁腾蜂赢1号净值20260911.xlsx</x:v>
      </x:c>
      <x:c r="I14" s="66" t="str">
        <x:v>按净值更新</x:v>
      </x:c>
      <x:c r="J14" s="66" t="str">
        <x:v>表内产品按最新净值重新核算</x:v>
      </x:c>
      <x:c r="K14" s="66"/>
      <x:c r="L14" s="66"/>
      <x:c r="M14" s="66" t="str">
        <x:v>睿启鑫享1号净值20260911.xlsx</x:v>
      </x:c>
      <x:c r="N14" s="66" t="str">
        <x:v>SAQD46</x:v>
      </x:c>
      <x:c r="O14" s="66" t="str">
        <x:v>净值未覆盖完整近三年，未纳入</x:v>
      </x:c>
      <x:c r="P14" s="66" t="n">
        <x:v>231</x:v>
      </x:c>
      <x:c r="Q14" s="72" t="n">
        <x:v>45595</x:v>
      </x:c>
      <x:c r="R14" s="72" t="n">
        <x:v>46269</x:v>
      </x:c>
      <x:c r="S14" s="66" t="str">
        <x:v>7daf6d97c049978966907fb7b2bd2ce85d3fb5a1d31642dd653ba8157f9961a8</x:v>
      </x:c>
      <x:c r="T14" s="66" t="str">
        <x:v>保留近三年收益与最大回撤可核算的产品</x:v>
      </x:c>
    </x:row>
    <x:row r="15" ht="27" customHeight="1">
      <x:c r="A15" s="66" t="str">
        <x:v>SEV580</x:v>
      </x:c>
      <x:c r="B15" s="66" t="str">
        <x:v>祁腾蜂赢1号</x:v>
      </x:c>
      <x:c r="C15" s="66" t="str">
        <x:v>近一年卡玛</x:v>
      </x:c>
      <x:c r="D15" s="75" t="n">
        <x:v>28.4095130901937</x:v>
      </x:c>
      <x:c r="E15" s="75" t="n">
        <x:f>'补数计算'!N14</x:f>
        <x:v>28.409513090193656</x:v>
      </x:c>
      <x:c r="F15" s="75" t="n">
        <x:f>IF(D15="","",E15-D15)</x:f>
        <x:v>-4.263256414560601e-14</x:v>
      </x:c>
      <x:c r="G15" s="72" t="n">
        <x:v>46275</x:v>
      </x:c>
      <x:c r="H15" s="66" t="str">
        <x:v>祁腾蜂赢1号净值20260911.xlsx</x:v>
      </x:c>
      <x:c r="I15" s="66" t="str">
        <x:v>按净值更新</x:v>
      </x:c>
      <x:c r="J15" s="66" t="str">
        <x:v>表内产品按最新净值重新核算</x:v>
      </x:c>
      <x:c r="K15" s="66"/>
      <x:c r="L15" s="66"/>
      <x:c r="M15" s="66" t="str">
        <x:v>祁腾蜂赢1号净值20260911.xlsx</x:v>
      </x:c>
      <x:c r="N15" s="66" t="str">
        <x:v>SEV580</x:v>
      </x:c>
      <x:c r="O15" s="66" t="str">
        <x:v>已在表内，更新净值指标</x:v>
      </x:c>
      <x:c r="P15" s="66" t="n">
        <x:v>1850</x:v>
      </x:c>
      <x:c r="Q15" s="72" t="n">
        <x:v>43490</x:v>
      </x:c>
      <x:c r="R15" s="72" t="n">
        <x:v>46275</x:v>
      </x:c>
      <x:c r="S15" s="66" t="str">
        <x:v>136d6ed7132ba4c214766cee22724eb03c0323b7d72545874b16c624b177ee0e</x:v>
      </x:c>
      <x:c r="T15" s="66" t="str">
        <x:v>保留近三年收益与最大回撤可核算的产品</x:v>
      </x:c>
    </x:row>
    <x:row r="16" ht="27" customHeight="1">
      <x:c r="A16" s="66" t="str">
        <x:v>SEV580</x:v>
      </x:c>
      <x:c r="B16" s="66" t="str">
        <x:v>祁腾蜂赢1号</x:v>
      </x:c>
      <x:c r="C16" s="66" t="str">
        <x:v>近三年卡玛</x:v>
      </x:c>
      <x:c r="D16" s="75" t="n">
        <x:v>22.4244187520422</x:v>
      </x:c>
      <x:c r="E16" s="75" t="n">
        <x:f>'补数计算'!N15</x:f>
        <x:v>22.424418752042243</x:v>
      </x:c>
      <x:c r="F16" s="75" t="n">
        <x:f>IF(D16="","",E16-D16)</x:f>
        <x:v>4.263256414560601e-14</x:v>
      </x:c>
      <x:c r="G16" s="72" t="n">
        <x:v>46275</x:v>
      </x:c>
      <x:c r="H16" s="66" t="str">
        <x:v>祁腾蜂赢1号净值20260911.xlsx</x:v>
      </x:c>
      <x:c r="I16" s="66" t="str">
        <x:v>按净值更新</x:v>
      </x:c>
      <x:c r="J16" s="66" t="str">
        <x:v>表内产品按最新净值重新核算</x:v>
      </x:c>
      <x:c r="K16" s="66"/>
      <x:c r="L16" s="66"/>
      <x:c r="M16" s="66" t="str">
        <x:v>系数CTA套利五号净值20260911.xlsx</x:v>
      </x:c>
      <x:c r="N16" s="66" t="str">
        <x:v>SXT086</x:v>
      </x:c>
      <x:c r="O16" s="66" t="str">
        <x:v>已在表内，更新净值指标</x:v>
      </x:c>
      <x:c r="P16" s="66" t="n">
        <x:v>195</x:v>
      </x:c>
      <x:c r="Q16" s="72" t="n">
        <x:v>44883</x:v>
      </x:c>
      <x:c r="R16" s="72" t="n">
        <x:v>46269</x:v>
      </x:c>
      <x:c r="S16" s="66" t="str">
        <x:v>8af362746606dd52c356d64a72b910e868647567445b668e0ea8f4feb884932a</x:v>
      </x:c>
      <x:c r="T16" s="66" t="str">
        <x:v>保留近三年收益与最大回撤可核算的产品</x:v>
      </x:c>
    </x:row>
    <x:row r="17" ht="27" customHeight="1">
      <x:c r="A17" s="66" t="str">
        <x:v>SEV580</x:v>
      </x:c>
      <x:c r="B17" s="66" t="str">
        <x:v>祁腾蜂赢1号</x:v>
      </x:c>
      <x:c r="C17" s="66" t="str">
        <x:v>成立以来年化收益</x:v>
      </x:c>
      <x:c r="D17" s="76" t="n">
        <x:v>0.124449647055927</x:v>
      </x:c>
      <x:c r="E17" s="76" t="n">
        <x:f>'补数计算'!L16</x:f>
        <x:v>0.12444964705592754</x:v>
      </x:c>
      <x:c r="F17" s="76" t="n">
        <x:f>IF(D17="","",E17-D17)</x:f>
        <x:v>5.412337245047638e-16</x:v>
      </x:c>
      <x:c r="G17" s="72" t="n">
        <x:v>46275</x:v>
      </x:c>
      <x:c r="H17" s="66" t="str">
        <x:v>祁腾蜂赢1号净值20260911.xlsx</x:v>
      </x:c>
      <x:c r="I17" s="66" t="str">
        <x:v>按净值更新</x:v>
      </x:c>
      <x:c r="J17" s="66" t="str">
        <x:v>表内产品按最新净值重新核算</x:v>
      </x:c>
      <x:c r="K17" s="66"/>
      <x:c r="L17" s="66"/>
      <x:c r="M17" s="66" t="str">
        <x:v>聚亿具臻B类净值20260911.xlsx</x:v>
      </x:c>
      <x:c r="N17" s="66" t="str">
        <x:v>LM995B</x:v>
      </x:c>
      <x:c r="O17" s="66" t="str">
        <x:v>净值未覆盖完整近三年，未纳入</x:v>
      </x:c>
      <x:c r="P17" s="66" t="n">
        <x:v>103</x:v>
      </x:c>
      <x:c r="Q17" s="72" t="n">
        <x:v>45608</x:v>
      </x:c>
      <x:c r="R17" s="72" t="n">
        <x:v>46269</x:v>
      </x:c>
      <x:c r="S17" s="66" t="str">
        <x:v>fda28eaa4b55f9128be31b229b0d89fd0f2c62099443d9932d26508ada3b4f23</x:v>
      </x:c>
      <x:c r="T17" s="66" t="str">
        <x:v>保留近三年收益与最大回撤可核算的产品</x:v>
      </x:c>
    </x:row>
    <x:row r="18" ht="27" customHeight="1">
      <x:c r="A18" s="66" t="str">
        <x:v>SQN453</x:v>
      </x:c>
      <x:c r="B18" s="66" t="str">
        <x:v>钧誉厚德量化对冲11号</x:v>
      </x:c>
      <x:c r="C18" s="66" t="str">
        <x:v>近一年年化收益</x:v>
      </x:c>
      <x:c r="D18" s="76" t="n">
        <x:v>0.109031</x:v>
      </x:c>
      <x:c r="E18" s="76" t="n">
        <x:f>'补数计算'!L23</x:f>
        <x:v>0.10903115230164317</x:v>
      </x:c>
      <x:c r="F18" s="76" t="n">
        <x:f>IF(D18="","",E18-D18)</x:f>
        <x:v>1.5230164317203698e-7</x:v>
      </x:c>
      <x:c r="G18" s="72" t="n">
        <x:v>46265</x:v>
      </x:c>
      <x:c r="H18" s="66" t="str">
        <x:v>钧誉厚德量化对冲11号净值20260911.xlsx</x:v>
      </x:c>
      <x:c r="I18" s="66" t="str">
        <x:v>按净值更新</x:v>
      </x:c>
      <x:c r="J18" s="66" t="str">
        <x:v>表内产品按最新净值重新核算</x:v>
      </x:c>
      <x:c r="K18" s="66"/>
      <x:c r="L18" s="66"/>
      <x:c r="M18" s="66" t="str">
        <x:v>臻选期权套利一号净值20260911.xlsx</x:v>
      </x:c>
      <x:c r="N18" s="66" t="str">
        <x:v>SBEM86</x:v>
      </x:c>
      <x:c r="O18" s="66" t="str">
        <x:v>净值未覆盖完整近三年，未纳入</x:v>
      </x:c>
      <x:c r="P18" s="66" t="n">
        <x:v>229</x:v>
      </x:c>
      <x:c r="Q18" s="72" t="n">
        <x:v>45929</x:v>
      </x:c>
      <x:c r="R18" s="72" t="n">
        <x:v>46275</x:v>
      </x:c>
      <x:c r="S18" s="66" t="str">
        <x:v>f3ce219fec0021d5c72fd0b9b7daa616472d7dbd2d68381e2f254d21cb359ed7</x:v>
      </x:c>
      <x:c r="T18" s="66" t="str">
        <x:v>保留近三年收益与最大回撤可核算的产品</x:v>
      </x:c>
    </x:row>
    <x:row r="19" ht="27" customHeight="1">
      <x:c r="A19" s="66" t="str">
        <x:v>SQN453</x:v>
      </x:c>
      <x:c r="B19" s="66" t="str">
        <x:v>钧誉厚德量化对冲11号</x:v>
      </x:c>
      <x:c r="C19" s="66" t="str">
        <x:v>近三年年化收益</x:v>
      </x:c>
      <x:c r="D19" s="76" t="n">
        <x:v>0.080306</x:v>
      </x:c>
      <x:c r="E19" s="76" t="n">
        <x:f>'补数计算'!L24</x:f>
        <x:v>0.08030601138775961</x:v>
      </x:c>
      <x:c r="F19" s="76" t="n">
        <x:f>IF(D19="","",E19-D19)</x:f>
        <x:v>1.1387759610292925e-8</x:v>
      </x:c>
      <x:c r="G19" s="72" t="n">
        <x:v>46265</x:v>
      </x:c>
      <x:c r="H19" s="66" t="str">
        <x:v>钧誉厚德量化对冲11号净值20260911.xlsx</x:v>
      </x:c>
      <x:c r="I19" s="66" t="str">
        <x:v>按净值更新</x:v>
      </x:c>
      <x:c r="J19" s="66" t="str">
        <x:v>表内产品按最新净值重新核算</x:v>
      </x:c>
      <x:c r="K19" s="66"/>
      <x:c r="L19" s="66"/>
      <x:c r="M19" s="66" t="str">
        <x:v>量客投资金选套利1号净值20260911.xlsx</x:v>
      </x:c>
      <x:c r="N19" s="66" t="str">
        <x:v>SNH457</x:v>
      </x:c>
      <x:c r="O19" s="66" t="str">
        <x:v>已在表内，更新净值指标</x:v>
      </x:c>
      <x:c r="P19" s="66" t="n">
        <x:v>291</x:v>
      </x:c>
      <x:c r="Q19" s="72" t="n">
        <x:v>44196</x:v>
      </x:c>
      <x:c r="R19" s="72" t="n">
        <x:v>46269</x:v>
      </x:c>
      <x:c r="S19" s="66" t="str">
        <x:v>a23a8950cf29ba3da0008ddb6937da427801d5dbd142e439b2c697cbcbcc9544</x:v>
      </x:c>
      <x:c r="T19" s="66" t="str">
        <x:v>保留近三年收益与最大回撤可核算的产品</x:v>
      </x:c>
    </x:row>
    <x:row r="20" ht="27" customHeight="1">
      <x:c r="A20" s="66" t="str">
        <x:v>SQN453</x:v>
      </x:c>
      <x:c r="B20" s="66" t="str">
        <x:v>钧誉厚德量化对冲11号</x:v>
      </x:c>
      <x:c r="C20" s="66" t="str">
        <x:v>近一年月胜率</x:v>
      </x:c>
      <x:c r="D20" s="76"/>
      <x:c r="E20" s="76" t="n">
        <x:f>'补数计算'!O23</x:f>
        <x:v>1</x:v>
      </x:c>
      <x:c r="F20" s="76" t="str">
        <x:f>IF(D20="","",E20-D20)</x:f>
      </x:c>
      <x:c r="G20" s="72" t="n">
        <x:v>46265</x:v>
      </x:c>
      <x:c r="H20" s="66" t="str">
        <x:v>钧誉厚德量化对冲11号净值20260911.xlsx</x:v>
      </x:c>
      <x:c r="I20" s="66" t="str">
        <x:v>补缺</x:v>
      </x:c>
      <x:c r="J20" s="66" t="str">
        <x:v>表内产品按最新净值重新核算</x:v>
      </x:c>
      <x:c r="K20" s="66"/>
      <x:c r="L20" s="66"/>
      <x:c r="M20" s="66" t="str">
        <x:v>量金灵瑞1号净值20260911.xlsx</x:v>
      </x:c>
      <x:c r="N20" s="66" t="str">
        <x:v>SAPV10</x:v>
      </x:c>
      <x:c r="O20" s="66" t="str">
        <x:v>净值未覆盖完整近三年，未纳入</x:v>
      </x:c>
      <x:c r="P20" s="66" t="n">
        <x:v>206</x:v>
      </x:c>
      <x:c r="Q20" s="72" t="n">
        <x:v>45597</x:v>
      </x:c>
      <x:c r="R20" s="72" t="n">
        <x:v>46275</x:v>
      </x:c>
      <x:c r="S20" s="66" t="str">
        <x:v>df3b231f1b34fd32966e63c26f0acb20b5ab31edb5cb113b07d21d9e70425b92</x:v>
      </x:c>
      <x:c r="T20" s="66" t="str">
        <x:v>保留近三年收益与最大回撤可核算的产品</x:v>
      </x:c>
    </x:row>
    <x:row r="21" ht="27" customHeight="1">
      <x:c r="A21" s="66" t="str">
        <x:v>SQN453</x:v>
      </x:c>
      <x:c r="B21" s="66" t="str">
        <x:v>钧誉厚德量化对冲11号</x:v>
      </x:c>
      <x:c r="C21" s="66" t="str">
        <x:v>近三年月胜率</x:v>
      </x:c>
      <x:c r="D21" s="76"/>
      <x:c r="E21" s="76" t="n">
        <x:f>'补数计算'!O24</x:f>
        <x:v>0.972972972972973</x:v>
      </x:c>
      <x:c r="F21" s="76" t="str">
        <x:f>IF(D21="","",E21-D21)</x:f>
      </x:c>
      <x:c r="G21" s="72" t="n">
        <x:v>46265</x:v>
      </x:c>
      <x:c r="H21" s="66" t="str">
        <x:v>钧誉厚德量化对冲11号净值20260911.xlsx</x:v>
      </x:c>
      <x:c r="I21" s="66" t="str">
        <x:v>补缺</x:v>
      </x:c>
      <x:c r="J21" s="66" t="str">
        <x:v>表内产品按最新净值重新核算</x:v>
      </x:c>
      <x:c r="K21" s="66"/>
      <x:c r="L21" s="66"/>
      <x:c r="M21" s="66" t="str">
        <x:v>金锝牵星1号C类净值20260911.xlsx</x:v>
      </x:c>
      <x:c r="N21" s="66" t="str">
        <x:v>ASB89C</x:v>
      </x:c>
      <x:c r="O21" s="66" t="str">
        <x:v>净值未覆盖完整近三年，未纳入</x:v>
      </x:c>
      <x:c r="P21" s="66" t="n">
        <x:v>98</x:v>
      </x:c>
      <x:c r="Q21" s="72" t="n">
        <x:v>45652</x:v>
      </x:c>
      <x:c r="R21" s="72" t="n">
        <x:v>46275</x:v>
      </x:c>
      <x:c r="S21" s="66" t="str">
        <x:v>4eab1590d9e62145dd97d3789f09b2af4c6d3b9adab04426611dee440d18b56c</x:v>
      </x:c>
      <x:c r="T21" s="66" t="str">
        <x:v>保留近三年收益与最大回撤可核算的产品</x:v>
      </x:c>
    </x:row>
    <x:row r="22" ht="27" customHeight="1">
      <x:c r="A22" s="66" t="str">
        <x:v>SQN453</x:v>
      </x:c>
      <x:c r="B22" s="66" t="str">
        <x:v>钧誉厚德量化对冲11号</x:v>
      </x:c>
      <x:c r="C22" s="66" t="str">
        <x:v>近三年最大回撤</x:v>
      </x:c>
      <x:c r="D22" s="76" t="n">
        <x:v>0.008267</x:v>
      </x:c>
      <x:c r="E22" s="76" t="n">
        <x:f>'补数计算'!M24</x:f>
        <x:v>0.00826733361122689</x:v>
      </x:c>
      <x:c r="F22" s="76" t="n">
        <x:f>IF(D22="","",E22-D22)</x:f>
        <x:v>3.336112268902125e-7</x:v>
      </x:c>
      <x:c r="G22" s="72" t="n">
        <x:v>46265</x:v>
      </x:c>
      <x:c r="H22" s="66" t="str">
        <x:v>钧誉厚德量化对冲11号净值20260911.xlsx</x:v>
      </x:c>
      <x:c r="I22" s="66" t="str">
        <x:v>按净值更新</x:v>
      </x:c>
      <x:c r="J22" s="66" t="str">
        <x:v>表内产品按最新净值重新核算</x:v>
      </x:c>
      <x:c r="K22" s="66"/>
      <x:c r="L22" s="66"/>
      <x:c r="M22" s="66" t="str">
        <x:v>钧誉厚德量化对冲11号净值20260911.xlsx</x:v>
      </x:c>
      <x:c r="N22" s="66" t="str">
        <x:v>SQN453</x:v>
      </x:c>
      <x:c r="O22" s="66" t="str">
        <x:v>已在表内，更新净值指标</x:v>
      </x:c>
      <x:c r="P22" s="66" t="n">
        <x:v>933</x:v>
      </x:c>
      <x:c r="Q22" s="72" t="n">
        <x:v>44323</x:v>
      </x:c>
      <x:c r="R22" s="72" t="n">
        <x:v>46265</x:v>
      </x:c>
      <x:c r="S22" s="66" t="str">
        <x:v>b8b5059d44e51c190330ace70e9ee31cd936a84aae9c7753ef49289c8dadf769</x:v>
      </x:c>
      <x:c r="T22" s="66" t="str">
        <x:v>保留近三年收益与最大回撤可核算的产品</x:v>
      </x:c>
    </x:row>
    <x:row r="23" ht="27" customHeight="1">
      <x:c r="A23" s="66" t="str">
        <x:v>SQN453</x:v>
      </x:c>
      <x:c r="B23" s="66" t="str">
        <x:v>钧誉厚德量化对冲11号</x:v>
      </x:c>
      <x:c r="C23" s="66" t="str">
        <x:v>近一年卡玛</x:v>
      </x:c>
      <x:c r="D23" s="75" t="n">
        <x:v>13.1881882876458</x:v>
      </x:c>
      <x:c r="E23" s="75" t="n">
        <x:f>'补数计算'!N23</x:f>
        <x:v>13.18818828764583</x:v>
      </x:c>
      <x:c r="F23" s="75" t="n">
        <x:f>IF(D23="","",E23-D23)</x:f>
        <x:v>2.842170943040401e-14</x:v>
      </x:c>
      <x:c r="G23" s="72" t="n">
        <x:v>46265</x:v>
      </x:c>
      <x:c r="H23" s="66" t="str">
        <x:v>钧誉厚德量化对冲11号净值20260911.xlsx</x:v>
      </x:c>
      <x:c r="I23" s="66" t="str">
        <x:v>按净值更新</x:v>
      </x:c>
      <x:c r="J23" s="66" t="str">
        <x:v>表内产品按最新净值重新核算</x:v>
      </x:c>
      <x:c r="K23" s="66"/>
      <x:c r="L23" s="66"/>
      <x:c r="M23" s="66" t="str">
        <x:v>锐耐复利倍增2号C类净值20260911.xlsx</x:v>
      </x:c>
      <x:c r="N23" s="66" t="str">
        <x:v>XV513C</x:v>
      </x:c>
      <x:c r="O23" s="66" t="str">
        <x:v>净值未覆盖完整近三年，未纳入</x:v>
      </x:c>
      <x:c r="P23" s="66" t="n">
        <x:v>168</x:v>
      </x:c>
      <x:c r="Q23" s="72" t="n">
        <x:v>46022</x:v>
      </x:c>
      <x:c r="R23" s="72" t="n">
        <x:v>46274</x:v>
      </x:c>
      <x:c r="S23" s="66" t="str">
        <x:v>cd7a38de703b3122f73f0d4b5fbfa93a6e585cb99d9719ccfdf91394b2cd349e</x:v>
      </x:c>
      <x:c r="T23" s="66" t="str">
        <x:v>保留近三年收益与最大回撤可核算的产品</x:v>
      </x:c>
    </x:row>
    <x:row r="24" ht="27" customHeight="1">
      <x:c r="A24" s="66" t="str">
        <x:v>SQN453</x:v>
      </x:c>
      <x:c r="B24" s="66" t="str">
        <x:v>钧誉厚德量化对冲11号</x:v>
      </x:c>
      <x:c r="C24" s="66" t="str">
        <x:v>近三年卡玛</x:v>
      </x:c>
      <x:c r="D24" s="75" t="n">
        <x:v>9.71365317575978</x:v>
      </x:c>
      <x:c r="E24" s="75" t="n">
        <x:f>'补数计算'!N24</x:f>
        <x:v>9.713653175759775</x:v>
      </x:c>
      <x:c r="F24" s="75" t="n">
        <x:f>IF(D24="","",E24-D24)</x:f>
        <x:v>-5.329070518200751e-15</x:v>
      </x:c>
      <x:c r="G24" s="72" t="n">
        <x:v>46265</x:v>
      </x:c>
      <x:c r="H24" s="66" t="str">
        <x:v>钧誉厚德量化对冲11号净值20260911.xlsx</x:v>
      </x:c>
      <x:c r="I24" s="66" t="str">
        <x:v>按净值更新</x:v>
      </x:c>
      <x:c r="J24" s="66" t="str">
        <x:v>表内产品按最新净值重新核算</x:v>
      </x:c>
      <x:c r="K24" s="66"/>
      <x:c r="L24" s="66"/>
      <x:c r="M24" s="66" t="str">
        <x:v>阶石稳健1号净值20260911.xlsx</x:v>
      </x:c>
      <x:c r="N24" s="66" t="str">
        <x:v>SATE65</x:v>
      </x:c>
      <x:c r="O24" s="66" t="str">
        <x:v>净值未覆盖完整近三年，未纳入</x:v>
      </x:c>
      <x:c r="P24" s="66" t="n">
        <x:v>88</x:v>
      </x:c>
      <x:c r="Q24" s="72" t="n">
        <x:v>45694</x:v>
      </x:c>
      <x:c r="R24" s="72" t="n">
        <x:v>46265</x:v>
      </x:c>
      <x:c r="S24" s="66" t="str">
        <x:v>840ac07d2c9961e5bda3ac43c7fe51046f53cf58fc77789d3eff51a2fe298760</x:v>
      </x:c>
      <x:c r="T24" s="66" t="str">
        <x:v>保留近三年收益与最大回撤可核算的产品</x:v>
      </x:c>
    </x:row>
    <x:row r="25" ht="27" customHeight="1">
      <x:c r="A25" s="66" t="str">
        <x:v>SQN453</x:v>
      </x:c>
      <x:c r="B25" s="66" t="str">
        <x:v>钧誉厚德量化对冲11号</x:v>
      </x:c>
      <x:c r="C25" s="66" t="str">
        <x:v>成立以来年化收益</x:v>
      </x:c>
      <x:c r="D25" s="76" t="n">
        <x:v>0.0898549556576955</x:v>
      </x:c>
      <x:c r="E25" s="76" t="n">
        <x:f>'补数计算'!L25</x:f>
        <x:v>0.08985495565769552</x:v>
      </x:c>
      <x:c r="F25" s="76" t="n">
        <x:f>IF(D25="","",E25-D25)</x:f>
        <x:v>2.7755575615628914e-17</x:v>
      </x:c>
      <x:c r="G25" s="72" t="n">
        <x:v>46265</x:v>
      </x:c>
      <x:c r="H25" s="66" t="str">
        <x:v>钧誉厚德量化对冲11号净值20260911.xlsx</x:v>
      </x:c>
      <x:c r="I25" s="66" t="str">
        <x:v>按净值更新</x:v>
      </x:c>
      <x:c r="J25" s="66" t="str">
        <x:v>表内产品按最新净值重新核算</x:v>
      </x:c>
      <x:c r="K25" s="66"/>
      <x:c r="L25" s="66"/>
      <x:c r="M25" s="66" t="str">
        <x:v>阶石稳健7号净值20260911.xlsx</x:v>
      </x:c>
      <x:c r="N25" s="66" t="str">
        <x:v>SAWS84</x:v>
      </x:c>
      <x:c r="O25" s="66" t="str">
        <x:v>净值未覆盖完整近三年，未纳入</x:v>
      </x:c>
      <x:c r="P25" s="66" t="n">
        <x:v>77</x:v>
      </x:c>
      <x:c r="Q25" s="72" t="n">
        <x:v>45750</x:v>
      </x:c>
      <x:c r="R25" s="72" t="n">
        <x:v>46269</x:v>
      </x:c>
      <x:c r="S25" s="66" t="str">
        <x:v>9f63df41d104a3e3e4ec2ce105f651688e98ae913241a097f1f2da72b164f438</x:v>
      </x:c>
      <x:c r="T25" s="66" t="str">
        <x:v>保留近三年收益与最大回撤可核算的产品</x:v>
      </x:c>
    </x:row>
    <x:row r="26" ht="27" customHeight="1">
      <x:c r="A26" s="66" t="str">
        <x:v>SXT086</x:v>
      </x:c>
      <x:c r="B26" s="66" t="str">
        <x:v>系数CTA套利五号</x:v>
      </x:c>
      <x:c r="C26" s="66" t="str">
        <x:v>近一年年化收益</x:v>
      </x:c>
      <x:c r="D26" s="76" t="n">
        <x:v>0.006522</x:v>
      </x:c>
      <x:c r="E26" s="76" t="n">
        <x:f>'补数计算'!L17</x:f>
        <x:v>0.006522015825151994</x:v>
      </x:c>
      <x:c r="F26" s="76" t="n">
        <x:f>IF(D26="","",E26-D26)</x:f>
        <x:v>1.5825151994386388e-8</x:v>
      </x:c>
      <x:c r="G26" s="72" t="n">
        <x:v>46269</x:v>
      </x:c>
      <x:c r="H26" s="66" t="str">
        <x:v>系数CTA套利五号净值20260911.xlsx</x:v>
      </x:c>
      <x:c r="I26" s="66" t="str">
        <x:v>按净值更新</x:v>
      </x:c>
      <x:c r="J26" s="66" t="str">
        <x:v>表内产品按最新净值重新核算</x:v>
      </x:c>
      <x:c r="K26" s="66"/>
      <x:c r="L26" s="66"/>
      <x:c r="M26" s="66" t="str">
        <x:v>阶石稳健9号净值20260911.xlsx</x:v>
      </x:c>
      <x:c r="N26" s="66" t="str">
        <x:v>SAZW60</x:v>
      </x:c>
      <x:c r="O26" s="66" t="str">
        <x:v>净值未覆盖完整近三年，未纳入</x:v>
      </x:c>
      <x:c r="P26" s="66" t="n">
        <x:v>74</x:v>
      </x:c>
      <x:c r="Q26" s="72" t="n">
        <x:v>45819</x:v>
      </x:c>
      <x:c r="R26" s="72" t="n">
        <x:v>46265</x:v>
      </x:c>
      <x:c r="S26" s="66" t="str">
        <x:v>1d239185705722c8b28c4c7d16c3534ccbba65e658b0165a6cf29431a12e900d</x:v>
      </x:c>
      <x:c r="T26" s="66" t="str">
        <x:v>保留近三年收益与最大回撤可核算的产品</x:v>
      </x:c>
    </x:row>
    <x:row r="27" ht="27" customHeight="1">
      <x:c r="A27" s="66" t="str">
        <x:v>SXT086</x:v>
      </x:c>
      <x:c r="B27" s="66" t="str">
        <x:v>系数CTA套利五号</x:v>
      </x:c>
      <x:c r="C27" s="66" t="str">
        <x:v>近三年年化收益</x:v>
      </x:c>
      <x:c r="D27" s="76" t="n">
        <x:v>0.092638</x:v>
      </x:c>
      <x:c r="E27" s="76" t="n">
        <x:f>'补数计算'!L18</x:f>
        <x:v>0.09263842468154948</x:v>
      </x:c>
      <x:c r="F27" s="76" t="n">
        <x:f>IF(D27="","",E27-D27)</x:f>
        <x:v>4.2468154948238634e-7</x:v>
      </x:c>
      <x:c r="G27" s="72" t="n">
        <x:v>46269</x:v>
      </x:c>
      <x:c r="H27" s="66" t="str">
        <x:v>系数CTA套利五号净值20260911.xlsx</x:v>
      </x:c>
      <x:c r="I27" s="66" t="str">
        <x:v>按净值更新</x:v>
      </x:c>
      <x:c r="J27" s="66" t="str">
        <x:v>表内产品按最新净值重新核算</x:v>
      </x:c>
      <x:c r="K27" s="66"/>
      <x:c r="L27" s="66"/>
      <x:c r="M27" s="66" t="str">
        <x:v>龙壹盛善时1号净值20260911.xlsx</x:v>
      </x:c>
      <x:c r="N27" s="66" t="str">
        <x:v>SB1261</x:v>
      </x:c>
      <x:c r="O27" s="66" t="str">
        <x:v>净值未覆盖完整近三年，未纳入</x:v>
      </x:c>
      <x:c r="P27" s="66" t="n">
        <x:v>85</x:v>
      </x:c>
      <x:c r="Q27" s="72" t="n">
        <x:v>46154</x:v>
      </x:c>
      <x:c r="R27" s="72" t="n">
        <x:v>46274</x:v>
      </x:c>
      <x:c r="S27" s="66" t="str">
        <x:v>efd8b4558e9cb26634b00f3d6ee38057227552f191faf5a1e7e181735ef44e47</x:v>
      </x:c>
      <x:c r="T27" s="66" t="str">
        <x:v>保留近三年收益与最大回撤可核算的产品</x:v>
      </x:c>
    </x:row>
    <x:row r="28" ht="27" customHeight="1">
      <x:c r="A28" s="66" t="str">
        <x:v>SXT086</x:v>
      </x:c>
      <x:c r="B28" s="66" t="str">
        <x:v>系数CTA套利五号</x:v>
      </x:c>
      <x:c r="C28" s="66" t="str">
        <x:v>近一年月胜率</x:v>
      </x:c>
      <x:c r="D28" s="76" t="n">
        <x:v>0.46153799999999995</x:v>
      </x:c>
      <x:c r="E28" s="76" t="n">
        <x:f>'补数计算'!O17</x:f>
        <x:v>0.46153846153846156</x:v>
      </x:c>
      <x:c r="F28" s="76" t="n">
        <x:f>IF(D28="","",E28-D28)</x:f>
        <x:v>4.615384616157847e-7</x:v>
      </x:c>
      <x:c r="G28" s="72" t="n">
        <x:v>46269</x:v>
      </x:c>
      <x:c r="H28" s="66" t="str">
        <x:v>系数CTA套利五号净值20260911.xlsx</x:v>
      </x:c>
      <x:c r="I28" s="66" t="str">
        <x:v>按净值更新</x:v>
      </x:c>
      <x:c r="J28" s="66" t="str">
        <x:v>表内产品按最新净值重新核算</x:v>
      </x:c>
      <x:c r="K28" s="66"/>
      <x:c r="L28" s="66"/>
      <x:c r="M28" s="66"/>
      <x:c r="N28" s="66"/>
      <x:c r="O28" s="66"/>
      <x:c r="P28" s="66"/>
      <x:c r="Q28" s="72"/>
      <x:c r="R28" s="72"/>
      <x:c r="S28" s="66"/>
      <x:c r="T28" s="66"/>
    </x:row>
    <x:row r="29" ht="27" customHeight="1">
      <x:c r="A29" s="66" t="str">
        <x:v>SXT086</x:v>
      </x:c>
      <x:c r="B29" s="66" t="str">
        <x:v>系数CTA套利五号</x:v>
      </x:c>
      <x:c r="C29" s="66" t="str">
        <x:v>近三年月胜率</x:v>
      </x:c>
      <x:c r="D29" s="76" t="n">
        <x:v>0.648649</x:v>
      </x:c>
      <x:c r="E29" s="76" t="n">
        <x:f>'补数计算'!O18</x:f>
        <x:v>0.6486486486486487</x:v>
      </x:c>
      <x:c r="F29" s="76" t="n">
        <x:f>IF(D29="","",E29-D29)</x:f>
        <x:v>-3.513513513464517e-7</x:v>
      </x:c>
      <x:c r="G29" s="72" t="n">
        <x:v>46269</x:v>
      </x:c>
      <x:c r="H29" s="66" t="str">
        <x:v>系数CTA套利五号净值20260911.xlsx</x:v>
      </x:c>
      <x:c r="I29" s="66" t="str">
        <x:v>按净值更新</x:v>
      </x:c>
      <x:c r="J29" s="66" t="str">
        <x:v>表内产品按最新净值重新核算</x:v>
      </x:c>
      <x:c r="K29" s="66"/>
      <x:c r="L29" s="66"/>
      <x:c r="M29" s="66"/>
      <x:c r="N29" s="66"/>
      <x:c r="O29" s="66"/>
      <x:c r="P29" s="66"/>
      <x:c r="Q29" s="72"/>
      <x:c r="R29" s="72"/>
      <x:c r="S29" s="66"/>
      <x:c r="T29" s="66"/>
    </x:row>
    <x:row r="30" ht="27" customHeight="1">
      <x:c r="A30" s="66" t="str">
        <x:v>SXT086</x:v>
      </x:c>
      <x:c r="B30" s="66" t="str">
        <x:v>系数CTA套利五号</x:v>
      </x:c>
      <x:c r="C30" s="66" t="str">
        <x:v>近三年最大回撤</x:v>
      </x:c>
      <x:c r="D30" s="76" t="n">
        <x:v>0.043114999999999994</x:v>
      </x:c>
      <x:c r="E30" s="76" t="n">
        <x:f>'补数计算'!M18</x:f>
        <x:v>0.043114923827836105</x:v>
      </x:c>
      <x:c r="F30" s="76" t="n">
        <x:f>IF(D30="","",E30-D30)</x:f>
        <x:v>-7.617216388894343e-8</x:v>
      </x:c>
      <x:c r="G30" s="72" t="n">
        <x:v>46269</x:v>
      </x:c>
      <x:c r="H30" s="66" t="str">
        <x:v>系数CTA套利五号净值20260911.xlsx</x:v>
      </x:c>
      <x:c r="I30" s="66" t="str">
        <x:v>按净值更新</x:v>
      </x:c>
      <x:c r="J30" s="66" t="str">
        <x:v>表内产品按最新净值重新核算</x:v>
      </x:c>
      <x:c r="K30" s="66"/>
      <x:c r="L30" s="66"/>
      <x:c r="M30" s="66"/>
      <x:c r="N30" s="66"/>
      <x:c r="O30" s="66"/>
      <x:c r="P30" s="66"/>
      <x:c r="Q30" s="72"/>
      <x:c r="R30" s="72"/>
      <x:c r="S30" s="66"/>
      <x:c r="T30" s="66"/>
    </x:row>
    <x:row r="31" ht="27" customHeight="1">
      <x:c r="A31" s="66" t="str">
        <x:v>SXT086</x:v>
      </x:c>
      <x:c r="B31" s="66" t="str">
        <x:v>系数CTA套利五号</x:v>
      </x:c>
      <x:c r="C31" s="66" t="str">
        <x:v>近一年卡玛</x:v>
      </x:c>
      <x:c r="D31" s="75" t="n">
        <x:v>0.151270493975481</x:v>
      </x:c>
      <x:c r="E31" s="75" t="n">
        <x:f>'补数计算'!N17</x:f>
        <x:v>0.15127049397548079</x:v>
      </x:c>
      <x:c r="F31" s="75" t="n">
        <x:f>IF(D31="","",E31-D31)</x:f>
        <x:v>-2.220446049250313e-16</x:v>
      </x:c>
      <x:c r="G31" s="72" t="n">
        <x:v>46269</x:v>
      </x:c>
      <x:c r="H31" s="66" t="str">
        <x:v>系数CTA套利五号净值20260911.xlsx</x:v>
      </x:c>
      <x:c r="I31" s="66" t="str">
        <x:v>按净值更新</x:v>
      </x:c>
      <x:c r="J31" s="66" t="str">
        <x:v>表内产品按最新净值重新核算</x:v>
      </x:c>
      <x:c r="K31" s="66"/>
      <x:c r="L31" s="66"/>
      <x:c r="M31" s="66"/>
      <x:c r="N31" s="66"/>
      <x:c r="O31" s="66"/>
      <x:c r="P31" s="66"/>
      <x:c r="Q31" s="72"/>
      <x:c r="R31" s="72"/>
      <x:c r="S31" s="66"/>
      <x:c r="T31" s="66"/>
    </x:row>
    <x:row r="32" ht="27" customHeight="1">
      <x:c r="A32" s="66" t="str">
        <x:v>SXT086</x:v>
      </x:c>
      <x:c r="B32" s="66" t="str">
        <x:v>系数CTA套利五号</x:v>
      </x:c>
      <x:c r="C32" s="66" t="str">
        <x:v>近三年卡玛</x:v>
      </x:c>
      <x:c r="D32" s="75" t="n">
        <x:v>2.14863941431203</x:v>
      </x:c>
      <x:c r="E32" s="75" t="n">
        <x:f>'补数计算'!N18</x:f>
        <x:v>2.1486394143120284</x:v>
      </x:c>
      <x:c r="F32" s="75" t="n">
        <x:f>IF(D32="","",E32-D32)</x:f>
        <x:v>-1.7763568394002505e-15</x:v>
      </x:c>
      <x:c r="G32" s="72" t="n">
        <x:v>46269</x:v>
      </x:c>
      <x:c r="H32" s="66" t="str">
        <x:v>系数CTA套利五号净值20260911.xlsx</x:v>
      </x:c>
      <x:c r="I32" s="66" t="str">
        <x:v>按净值更新</x:v>
      </x:c>
      <x:c r="J32" s="66" t="str">
        <x:v>表内产品按最新净值重新核算</x:v>
      </x:c>
      <x:c r="K32" s="66"/>
      <x:c r="L32" s="66"/>
      <x:c r="M32" s="66"/>
      <x:c r="N32" s="66"/>
      <x:c r="O32" s="66"/>
      <x:c r="P32" s="66"/>
      <x:c r="Q32" s="72"/>
      <x:c r="R32" s="72"/>
      <x:c r="S32" s="66"/>
      <x:c r="T32" s="66"/>
    </x:row>
    <x:row r="33" ht="27" customHeight="1">
      <x:c r="A33" s="66" t="str">
        <x:v>SXT730</x:v>
      </x:c>
      <x:c r="B33" s="66" t="str">
        <x:v>世宽若水尘心3号</x:v>
      </x:c>
      <x:c r="C33" s="66" t="str">
        <x:v>近一年年化收益</x:v>
      </x:c>
      <x:c r="D33" s="76" t="n">
        <x:v>0.20488499999999998</x:v>
      </x:c>
      <x:c r="E33" s="76" t="n">
        <x:f>'补数计算'!L2</x:f>
        <x:v>0.20488471623722737</x:v>
      </x:c>
      <x:c r="F33" s="76" t="n">
        <x:f>IF(D33="","",E33-D33)</x:f>
        <x:v>-2.8376277261266125e-7</x:v>
      </x:c>
      <x:c r="G33" s="72" t="n">
        <x:v>46265</x:v>
      </x:c>
      <x:c r="H33" s="66" t="str">
        <x:v>世宽若水尘心3号净值20260911.xlsx</x:v>
      </x:c>
      <x:c r="I33" s="66" t="str">
        <x:v>按净值更新</x:v>
      </x:c>
      <x:c r="J33" s="66" t="str">
        <x:v>表内产品按最新净值重新核算</x:v>
      </x:c>
      <x:c r="K33" s="66"/>
      <x:c r="L33" s="66"/>
      <x:c r="M33" s="66"/>
      <x:c r="N33" s="66"/>
      <x:c r="O33" s="66"/>
      <x:c r="P33" s="66"/>
      <x:c r="Q33" s="72"/>
      <x:c r="R33" s="72"/>
      <x:c r="S33" s="66"/>
      <x:c r="T33" s="66"/>
    </x:row>
    <x:row r="34" ht="27" customHeight="1">
      <x:c r="A34" s="66" t="str">
        <x:v>SXT730</x:v>
      </x:c>
      <x:c r="B34" s="66" t="str">
        <x:v>世宽若水尘心3号</x:v>
      </x:c>
      <x:c r="C34" s="66" t="str">
        <x:v>近三年年化收益</x:v>
      </x:c>
      <x:c r="D34" s="76" t="n">
        <x:v>0.153224</x:v>
      </x:c>
      <x:c r="E34" s="76" t="n">
        <x:f>'补数计算'!L3</x:f>
        <x:v>0.15322368386776763</x:v>
      </x:c>
      <x:c r="F34" s="76" t="n">
        <x:f>IF(D34="","",E34-D34)</x:f>
        <x:v>-3.1613223236415244e-7</x:v>
      </x:c>
      <x:c r="G34" s="72" t="n">
        <x:v>46265</x:v>
      </x:c>
      <x:c r="H34" s="66" t="str">
        <x:v>世宽若水尘心3号净值20260911.xlsx</x:v>
      </x:c>
      <x:c r="I34" s="66" t="str">
        <x:v>按净值更新</x:v>
      </x:c>
      <x:c r="J34" s="66" t="str">
        <x:v>表内产品按最新净值重新核算</x:v>
      </x:c>
      <x:c r="K34" s="66"/>
      <x:c r="L34" s="66"/>
      <x:c r="M34" s="66"/>
      <x:c r="N34" s="66"/>
      <x:c r="O34" s="66"/>
      <x:c r="P34" s="66"/>
      <x:c r="Q34" s="72"/>
      <x:c r="R34" s="72"/>
      <x:c r="S34" s="66"/>
      <x:c r="T34" s="66"/>
    </x:row>
    <x:row r="35" ht="27" customHeight="1">
      <x:c r="A35" s="66" t="str">
        <x:v>SXT730</x:v>
      </x:c>
      <x:c r="B35" s="66" t="str">
        <x:v>世宽若水尘心3号</x:v>
      </x:c>
      <x:c r="C35" s="66" t="str">
        <x:v>近一年月胜率</x:v>
      </x:c>
      <x:c r="D35" s="76"/>
      <x:c r="E35" s="76" t="n">
        <x:f>'补数计算'!O2</x:f>
        <x:v>0.8461538461538461</x:v>
      </x:c>
      <x:c r="F35" s="76" t="str">
        <x:f>IF(D35="","",E35-D35)</x:f>
      </x:c>
      <x:c r="G35" s="72" t="n">
        <x:v>46265</x:v>
      </x:c>
      <x:c r="H35" s="66" t="str">
        <x:v>世宽若水尘心3号净值20260911.xlsx</x:v>
      </x:c>
      <x:c r="I35" s="66" t="str">
        <x:v>补缺</x:v>
      </x:c>
      <x:c r="J35" s="66" t="str">
        <x:v>表内产品按最新净值重新核算</x:v>
      </x:c>
      <x:c r="K35" s="66"/>
      <x:c r="L35" s="66"/>
      <x:c r="M35" s="66"/>
      <x:c r="N35" s="66"/>
      <x:c r="O35" s="66"/>
      <x:c r="P35" s="66"/>
      <x:c r="Q35" s="72"/>
      <x:c r="R35" s="72"/>
      <x:c r="S35" s="66"/>
      <x:c r="T35" s="66"/>
    </x:row>
    <x:row r="36" ht="27" customHeight="1">
      <x:c r="A36" s="66" t="str">
        <x:v>SXT730</x:v>
      </x:c>
      <x:c r="B36" s="66" t="str">
        <x:v>世宽若水尘心3号</x:v>
      </x:c>
      <x:c r="C36" s="66" t="str">
        <x:v>近三年月胜率</x:v>
      </x:c>
      <x:c r="D36" s="76"/>
      <x:c r="E36" s="76" t="n">
        <x:f>'补数计算'!O3</x:f>
        <x:v>0.7567567567567568</x:v>
      </x:c>
      <x:c r="F36" s="76" t="str">
        <x:f>IF(D36="","",E36-D36)</x:f>
      </x:c>
      <x:c r="G36" s="72" t="n">
        <x:v>46265</x:v>
      </x:c>
      <x:c r="H36" s="66" t="str">
        <x:v>世宽若水尘心3号净值20260911.xlsx</x:v>
      </x:c>
      <x:c r="I36" s="66" t="str">
        <x:v>补缺</x:v>
      </x:c>
      <x:c r="J36" s="66" t="str">
        <x:v>表内产品按最新净值重新核算</x:v>
      </x:c>
      <x:c r="K36" s="66"/>
      <x:c r="L36" s="66"/>
      <x:c r="M36" s="66"/>
      <x:c r="N36" s="66"/>
      <x:c r="O36" s="66"/>
      <x:c r="P36" s="66"/>
      <x:c r="Q36" s="72"/>
      <x:c r="R36" s="72"/>
      <x:c r="S36" s="66"/>
      <x:c r="T36" s="66"/>
    </x:row>
    <x:row r="37" ht="27" customHeight="1">
      <x:c r="A37" s="66" t="str">
        <x:v>SXT730</x:v>
      </x:c>
      <x:c r="B37" s="66" t="str">
        <x:v>世宽若水尘心3号</x:v>
      </x:c>
      <x:c r="C37" s="66" t="str">
        <x:v>近三年最大回撤</x:v>
      </x:c>
      <x:c r="D37" s="76" t="n">
        <x:v>0.010808</x:v>
      </x:c>
      <x:c r="E37" s="76" t="n">
        <x:f>'补数计算'!M3</x:f>
        <x:v>0.010807624287679451</x:v>
      </x:c>
      <x:c r="F37" s="76" t="n">
        <x:f>IF(D37="","",E37-D37)</x:f>
        <x:v>-3.7571232054840753e-7</x:v>
      </x:c>
      <x:c r="G37" s="72" t="n">
        <x:v>46265</x:v>
      </x:c>
      <x:c r="H37" s="66" t="str">
        <x:v>世宽若水尘心3号净值20260911.xlsx</x:v>
      </x:c>
      <x:c r="I37" s="66" t="str">
        <x:v>按净值更新</x:v>
      </x:c>
      <x:c r="J37" s="66" t="str">
        <x:v>表内产品按最新净值重新核算</x:v>
      </x:c>
      <x:c r="K37" s="66"/>
      <x:c r="L37" s="66"/>
      <x:c r="M37" s="66"/>
      <x:c r="N37" s="66"/>
      <x:c r="O37" s="66"/>
      <x:c r="P37" s="66"/>
      <x:c r="Q37" s="72"/>
      <x:c r="R37" s="72"/>
      <x:c r="S37" s="66"/>
      <x:c r="T37" s="66"/>
    </x:row>
    <x:row r="38" ht="27" customHeight="1">
      <x:c r="A38" s="66" t="str">
        <x:v>SXT730</x:v>
      </x:c>
      <x:c r="B38" s="66" t="str">
        <x:v>世宽若水尘心3号</x:v>
      </x:c>
      <x:c r="C38" s="66" t="str">
        <x:v>近一年卡玛</x:v>
      </x:c>
      <x:c r="D38" s="75" t="n">
        <x:v>22.1106040011496</x:v>
      </x:c>
      <x:c r="E38" s="75" t="n">
        <x:f>'补数计算'!N2</x:f>
        <x:v>22.110604001149582</x:v>
      </x:c>
      <x:c r="F38" s="75" t="n">
        <x:f>IF(D38="","",E38-D38)</x:f>
        <x:v>-1.7763568394002505e-14</x:v>
      </x:c>
      <x:c r="G38" s="72" t="n">
        <x:v>46265</x:v>
      </x:c>
      <x:c r="H38" s="66" t="str">
        <x:v>世宽若水尘心3号净值20260911.xlsx</x:v>
      </x:c>
      <x:c r="I38" s="66" t="str">
        <x:v>按净值更新</x:v>
      </x:c>
      <x:c r="J38" s="66" t="str">
        <x:v>表内产品按最新净值重新核算</x:v>
      </x:c>
      <x:c r="K38" s="66"/>
      <x:c r="L38" s="66"/>
      <x:c r="M38" s="66"/>
      <x:c r="N38" s="66"/>
      <x:c r="O38" s="66"/>
      <x:c r="P38" s="66"/>
      <x:c r="Q38" s="72"/>
      <x:c r="R38" s="72"/>
      <x:c r="S38" s="66"/>
      <x:c r="T38" s="66"/>
    </x:row>
    <x:row r="39" ht="27" customHeight="1">
      <x:c r="A39" s="66" t="str">
        <x:v>SXT730</x:v>
      </x:c>
      <x:c r="B39" s="66" t="str">
        <x:v>世宽若水尘心3号</x:v>
      </x:c>
      <x:c r="C39" s="66" t="str">
        <x:v>近三年卡玛</x:v>
      </x:c>
      <x:c r="D39" s="75" t="n">
        <x:v>14.1773695855102</x:v>
      </x:c>
      <x:c r="E39" s="75" t="n">
        <x:f>'补数计算'!N3</x:f>
        <x:v>14.177369585510167</x:v>
      </x:c>
      <x:c r="F39" s="75" t="n">
        <x:f>IF(D39="","",E39-D39)</x:f>
        <x:v>-3.375077994860476e-14</x:v>
      </x:c>
      <x:c r="G39" s="72" t="n">
        <x:v>46265</x:v>
      </x:c>
      <x:c r="H39" s="66" t="str">
        <x:v>世宽若水尘心3号净值20260911.xlsx</x:v>
      </x:c>
      <x:c r="I39" s="66" t="str">
        <x:v>按净值更新</x:v>
      </x:c>
      <x:c r="J39" s="66" t="str">
        <x:v>表内产品按最新净值重新核算</x:v>
      </x:c>
      <x:c r="K39" s="66"/>
      <x:c r="L39" s="66"/>
      <x:c r="M39" s="66"/>
      <x:c r="N39" s="66"/>
      <x:c r="O39" s="66"/>
      <x:c r="P39" s="66"/>
      <x:c r="Q39" s="72"/>
      <x:c r="R39" s="72"/>
      <x:c r="S39" s="66"/>
      <x:c r="T39" s="66"/>
    </x:row>
    <x:row r="40" ht="27" customHeight="1">
      <x:c r="A40" s="66" t="str">
        <x:v>SXT730</x:v>
      </x:c>
      <x:c r="B40" s="66" t="str">
        <x:v>世宽若水尘心3号</x:v>
      </x:c>
      <x:c r="C40" s="66" t="str">
        <x:v>成立以来年化收益</x:v>
      </x:c>
      <x:c r="D40" s="76" t="n">
        <x:v>0.119697639612653</x:v>
      </x:c>
      <x:c r="E40" s="76" t="n">
        <x:f>'补数计算'!L4</x:f>
        <x:v>0.11969763961265278</x:v>
      </x:c>
      <x:c r="F40" s="76" t="n">
        <x:f>IF(D40="","",E40-D40)</x:f>
        <x:v>-2.220446049250313e-16</x:v>
      </x:c>
      <x:c r="G40" s="72" t="n">
        <x:v>46265</x:v>
      </x:c>
      <x:c r="H40" s="66" t="str">
        <x:v>世宽若水尘心3号净值20260911.xlsx</x:v>
      </x:c>
      <x:c r="I40" s="66" t="str">
        <x:v>按净值更新</x:v>
      </x:c>
      <x:c r="J40" s="66" t="str">
        <x:v>表内产品按最新净值重新核算</x:v>
      </x:c>
      <x:c r="K40" s="66"/>
      <x:c r="L40" s="66"/>
      <x:c r="M40" s="66"/>
      <x:c r="N40" s="66"/>
      <x:c r="O40" s="66"/>
      <x:c r="P40" s="66"/>
      <x:c r="Q40" s="72"/>
      <x:c r="R40" s="72"/>
      <x:c r="S40" s="66"/>
      <x:c r="T40" s="66"/>
    </x:row>
    <x:row r="41" ht="27" customHeight="1">
      <x:c r="A41" s="66" t="str">
        <x:v>SQH214</x:v>
      </x:c>
      <x:c r="B41" s="66" t="str">
        <x:v>常行7号</x:v>
      </x:c>
      <x:c r="C41" s="66" t="str">
        <x:v>近一年年化收益</x:v>
      </x:c>
      <x:c r="D41" s="76"/>
      <x:c r="E41" s="76" t="n">
        <x:f>'补数计算'!L5</x:f>
        <x:v>0.07295652170906353</x:v>
      </x:c>
      <x:c r="F41" s="76" t="str">
        <x:f>IF(D41="","",E41-D41)</x:f>
      </x:c>
      <x:c r="G41" s="72" t="n">
        <x:v>46269</x:v>
      </x:c>
      <x:c r="H41" s="66" t="str">
        <x:v>常行7号净值20260911.xlsx</x:v>
      </x:c>
      <x:c r="I41" s="66" t="str">
        <x:v>补缺</x:v>
      </x:c>
      <x:c r="J41" s="66" t="str">
        <x:v>新增产品净值核算</x:v>
      </x:c>
      <x:c r="K41" s="66"/>
      <x:c r="L41" s="66"/>
      <x:c r="M41" s="66"/>
      <x:c r="N41" s="66"/>
      <x:c r="O41" s="66"/>
      <x:c r="P41" s="66"/>
      <x:c r="Q41" s="72"/>
      <x:c r="R41" s="72"/>
      <x:c r="S41" s="66"/>
      <x:c r="T41" s="66"/>
    </x:row>
    <x:row r="42" ht="27" customHeight="1">
      <x:c r="A42" s="66" t="str">
        <x:v>SQH214</x:v>
      </x:c>
      <x:c r="B42" s="66" t="str">
        <x:v>常行7号</x:v>
      </x:c>
      <x:c r="C42" s="66" t="str">
        <x:v>近三年年化收益</x:v>
      </x:c>
      <x:c r="D42" s="76"/>
      <x:c r="E42" s="76" t="n">
        <x:f>'补数计算'!L6</x:f>
        <x:v>0.062095741394736725</x:v>
      </x:c>
      <x:c r="F42" s="76" t="str">
        <x:f>IF(D42="","",E42-D42)</x:f>
      </x:c>
      <x:c r="G42" s="72" t="n">
        <x:v>46269</x:v>
      </x:c>
      <x:c r="H42" s="66" t="str">
        <x:v>常行7号净值20260911.xlsx</x:v>
      </x:c>
      <x:c r="I42" s="66" t="str">
        <x:v>补缺</x:v>
      </x:c>
      <x:c r="J42" s="66" t="str">
        <x:v>新增产品净值核算</x:v>
      </x:c>
      <x:c r="K42" s="66"/>
      <x:c r="L42" s="66"/>
      <x:c r="M42" s="66"/>
      <x:c r="N42" s="66"/>
      <x:c r="O42" s="66"/>
      <x:c r="P42" s="66"/>
      <x:c r="Q42" s="72"/>
      <x:c r="R42" s="72"/>
      <x:c r="S42" s="66"/>
      <x:c r="T42" s="66"/>
    </x:row>
    <x:row r="43" ht="27" customHeight="1">
      <x:c r="A43" s="66" t="str">
        <x:v>SQH214</x:v>
      </x:c>
      <x:c r="B43" s="66" t="str">
        <x:v>常行7号</x:v>
      </x:c>
      <x:c r="C43" s="66" t="str">
        <x:v>近一年月胜率</x:v>
      </x:c>
      <x:c r="D43" s="76"/>
      <x:c r="E43" s="76" t="n">
        <x:f>'补数计算'!O5</x:f>
        <x:v>1</x:v>
      </x:c>
      <x:c r="F43" s="76" t="str">
        <x:f>IF(D43="","",E43-D43)</x:f>
      </x:c>
      <x:c r="G43" s="72" t="n">
        <x:v>46269</x:v>
      </x:c>
      <x:c r="H43" s="66" t="str">
        <x:v>常行7号净值20260911.xlsx</x:v>
      </x:c>
      <x:c r="I43" s="66" t="str">
        <x:v>补缺</x:v>
      </x:c>
      <x:c r="J43" s="66" t="str">
        <x:v>新增产品净值核算</x:v>
      </x:c>
      <x:c r="K43" s="66"/>
      <x:c r="L43" s="66"/>
      <x:c r="M43" s="66"/>
      <x:c r="N43" s="66"/>
      <x:c r="O43" s="66"/>
      <x:c r="P43" s="66"/>
      <x:c r="Q43" s="72"/>
      <x:c r="R43" s="72"/>
      <x:c r="S43" s="66"/>
      <x:c r="T43" s="66"/>
    </x:row>
    <x:row r="44" ht="27" customHeight="1">
      <x:c r="A44" s="66" t="str">
        <x:v>SQH214</x:v>
      </x:c>
      <x:c r="B44" s="66" t="str">
        <x:v>常行7号</x:v>
      </x:c>
      <x:c r="C44" s="66" t="str">
        <x:v>近三年月胜率</x:v>
      </x:c>
      <x:c r="D44" s="76"/>
      <x:c r="E44" s="76" t="n">
        <x:f>'补数计算'!O6</x:f>
        <x:v>0.8918918918918919</x:v>
      </x:c>
      <x:c r="F44" s="76" t="str">
        <x:f>IF(D44="","",E44-D44)</x:f>
      </x:c>
      <x:c r="G44" s="72" t="n">
        <x:v>46269</x:v>
      </x:c>
      <x:c r="H44" s="66" t="str">
        <x:v>常行7号净值20260911.xlsx</x:v>
      </x:c>
      <x:c r="I44" s="66" t="str">
        <x:v>补缺</x:v>
      </x:c>
      <x:c r="J44" s="66" t="str">
        <x:v>新增产品净值核算</x:v>
      </x:c>
      <x:c r="K44" s="66"/>
      <x:c r="L44" s="66"/>
      <x:c r="M44" s="66"/>
      <x:c r="N44" s="66"/>
      <x:c r="O44" s="66"/>
      <x:c r="P44" s="66"/>
      <x:c r="Q44" s="72"/>
      <x:c r="R44" s="72"/>
      <x:c r="S44" s="66"/>
      <x:c r="T44" s="66"/>
    </x:row>
    <x:row r="45" ht="27" customHeight="1">
      <x:c r="A45" s="66" t="str">
        <x:v>SQH214</x:v>
      </x:c>
      <x:c r="B45" s="66" t="str">
        <x:v>常行7号</x:v>
      </x:c>
      <x:c r="C45" s="66" t="str">
        <x:v>近三年最大回撤</x:v>
      </x:c>
      <x:c r="D45" s="76"/>
      <x:c r="E45" s="76" t="n">
        <x:f>'补数计算'!M6</x:f>
        <x:v>0.011487355336476712</x:v>
      </x:c>
      <x:c r="F45" s="76" t="str">
        <x:f>IF(D45="","",E45-D45)</x:f>
      </x:c>
      <x:c r="G45" s="72" t="n">
        <x:v>46269</x:v>
      </x:c>
      <x:c r="H45" s="66" t="str">
        <x:v>常行7号净值20260911.xlsx</x:v>
      </x:c>
      <x:c r="I45" s="66" t="str">
        <x:v>补缺</x:v>
      </x:c>
      <x:c r="J45" s="66" t="str">
        <x:v>新增产品净值核算</x:v>
      </x:c>
      <x:c r="K45" s="66"/>
      <x:c r="L45" s="66"/>
      <x:c r="M45" s="66"/>
      <x:c r="N45" s="66"/>
      <x:c r="O45" s="66"/>
      <x:c r="P45" s="66"/>
      <x:c r="Q45" s="72"/>
      <x:c r="R45" s="72"/>
      <x:c r="S45" s="66"/>
      <x:c r="T45" s="66"/>
    </x:row>
    <x:row r="46" ht="27" customHeight="1">
      <x:c r="A46" s="66" t="str">
        <x:v>SQH214</x:v>
      </x:c>
      <x:c r="B46" s="66" t="str">
        <x:v>常行7号</x:v>
      </x:c>
      <x:c r="C46" s="66" t="str">
        <x:v>近一年卡玛</x:v>
      </x:c>
      <x:c r="D46" s="75"/>
      <x:c r="E46" s="75" t="n">
        <x:f>'补数计算'!N5</x:f>
        <x:v>44.19175492249807</x:v>
      </x:c>
      <x:c r="F46" s="75" t="str">
        <x:f>IF(D46="","",E46-D46)</x:f>
      </x:c>
      <x:c r="G46" s="72" t="n">
        <x:v>46269</x:v>
      </x:c>
      <x:c r="H46" s="66" t="str">
        <x:v>常行7号净值20260911.xlsx</x:v>
      </x:c>
      <x:c r="I46" s="66" t="str">
        <x:v>补缺</x:v>
      </x:c>
      <x:c r="J46" s="66" t="str">
        <x:v>新增产品净值核算</x:v>
      </x:c>
      <x:c r="K46" s="66"/>
      <x:c r="L46" s="66"/>
      <x:c r="M46" s="66"/>
      <x:c r="N46" s="66"/>
      <x:c r="O46" s="66"/>
      <x:c r="P46" s="66"/>
      <x:c r="Q46" s="72"/>
      <x:c r="R46" s="72"/>
      <x:c r="S46" s="66"/>
      <x:c r="T46" s="66"/>
    </x:row>
    <x:row r="47" ht="27" customHeight="1">
      <x:c r="A47" s="66" t="str">
        <x:v>SQH214</x:v>
      </x:c>
      <x:c r="B47" s="66" t="str">
        <x:v>常行7号</x:v>
      </x:c>
      <x:c r="C47" s="66" t="str">
        <x:v>近三年卡玛</x:v>
      </x:c>
      <x:c r="D47" s="75"/>
      <x:c r="E47" s="75" t="n">
        <x:f>'补数计算'!N6</x:f>
        <x:v>5.4055733087283535</x:v>
      </x:c>
      <x:c r="F47" s="75" t="str">
        <x:f>IF(D47="","",E47-D47)</x:f>
      </x:c>
      <x:c r="G47" s="72" t="n">
        <x:v>46269</x:v>
      </x:c>
      <x:c r="H47" s="66" t="str">
        <x:v>常行7号净值20260911.xlsx</x:v>
      </x:c>
      <x:c r="I47" s="66" t="str">
        <x:v>补缺</x:v>
      </x:c>
      <x:c r="J47" s="66" t="str">
        <x:v>新增产品净值核算</x:v>
      </x:c>
      <x:c r="K47" s="66"/>
      <x:c r="L47" s="66"/>
      <x:c r="M47" s="66"/>
      <x:c r="N47" s="66"/>
      <x:c r="O47" s="66"/>
      <x:c r="P47" s="66"/>
      <x:c r="Q47" s="72"/>
      <x:c r="R47" s="72"/>
      <x:c r="S47" s="66"/>
      <x:c r="T47" s="66"/>
    </x:row>
    <x:row r="48" ht="27" customHeight="1">
      <x:c r="A48" s="66" t="str">
        <x:v>SQH214</x:v>
      </x:c>
      <x:c r="B48" s="66" t="str">
        <x:v>常行7号</x:v>
      </x:c>
      <x:c r="C48" s="66" t="str">
        <x:v>成立以来年化收益</x:v>
      </x:c>
      <x:c r="D48" s="76"/>
      <x:c r="E48" s="76" t="n">
        <x:f>'补数计算'!L7</x:f>
        <x:v>0.06374704185130686</x:v>
      </x:c>
      <x:c r="F48" s="76" t="str">
        <x:f>IF(D48="","",E48-D48)</x:f>
      </x:c>
      <x:c r="G48" s="72" t="n">
        <x:v>46269</x:v>
      </x:c>
      <x:c r="H48" s="66" t="str">
        <x:v>常行7号净值20260911.xlsx</x:v>
      </x:c>
      <x:c r="I48" s="66" t="str">
        <x:v>补缺</x:v>
      </x:c>
      <x:c r="J48" s="66" t="str">
        <x:v>新增产品净值核算</x:v>
      </x:c>
      <x:c r="K48" s="66"/>
      <x:c r="L48" s="66"/>
      <x:c r="M48" s="66"/>
      <x:c r="N48" s="66"/>
      <x:c r="O48" s="66"/>
      <x:c r="P48" s="66"/>
      <x:c r="Q48" s="72"/>
      <x:c r="R48" s="72"/>
      <x:c r="S48" s="66"/>
      <x:c r="T48" s="66"/>
    </x:row>
    <x:row r="49" ht="27" customHeight="1">
      <x:c r="A49" s="66" t="str">
        <x:v>SQD620</x:v>
      </x:c>
      <x:c r="B49" s="66" t="str">
        <x:v>深度梦扬量化套利0号</x:v>
      </x:c>
      <x:c r="C49" s="66" t="str">
        <x:v>近一年年化收益</x:v>
      </x:c>
      <x:c r="D49" s="76"/>
      <x:c r="E49" s="76" t="n">
        <x:f>'补数计算'!L8</x:f>
        <x:v>0.09961373147029673</x:v>
      </x:c>
      <x:c r="F49" s="76" t="str">
        <x:f>IF(D49="","",E49-D49)</x:f>
      </x:c>
      <x:c r="G49" s="72" t="n">
        <x:v>46267</x:v>
      </x:c>
      <x:c r="H49" s="66" t="str">
        <x:v>深度梦扬量化套利0号净值20260911.xlsx</x:v>
      </x:c>
      <x:c r="I49" s="66" t="str">
        <x:v>补缺</x:v>
      </x:c>
      <x:c r="J49" s="66" t="str">
        <x:v>新增产品净值核算</x:v>
      </x:c>
      <x:c r="K49" s="66"/>
      <x:c r="L49" s="66"/>
      <x:c r="M49" s="66"/>
      <x:c r="N49" s="66"/>
      <x:c r="O49" s="66"/>
      <x:c r="P49" s="66"/>
      <x:c r="Q49" s="72"/>
      <x:c r="R49" s="72"/>
      <x:c r="S49" s="66"/>
      <x:c r="T49" s="66"/>
    </x:row>
    <x:row r="50" ht="27" customHeight="1">
      <x:c r="A50" s="66" t="str">
        <x:v>SQD620</x:v>
      </x:c>
      <x:c r="B50" s="66" t="str">
        <x:v>深度梦扬量化套利0号</x:v>
      </x:c>
      <x:c r="C50" s="66" t="str">
        <x:v>近三年年化收益</x:v>
      </x:c>
      <x:c r="D50" s="76"/>
      <x:c r="E50" s="76" t="n">
        <x:f>'补数计算'!L9</x:f>
        <x:v>0.0845476235035083</x:v>
      </x:c>
      <x:c r="F50" s="76" t="str">
        <x:f>IF(D50="","",E50-D50)</x:f>
      </x:c>
      <x:c r="G50" s="72" t="n">
        <x:v>46267</x:v>
      </x:c>
      <x:c r="H50" s="66" t="str">
        <x:v>深度梦扬量化套利0号净值20260911.xlsx</x:v>
      </x:c>
      <x:c r="I50" s="66" t="str">
        <x:v>补缺</x:v>
      </x:c>
      <x:c r="J50" s="66" t="str">
        <x:v>新增产品净值核算</x:v>
      </x:c>
      <x:c r="K50" s="66"/>
      <x:c r="L50" s="66"/>
      <x:c r="M50" s="66"/>
      <x:c r="N50" s="66"/>
      <x:c r="O50" s="66"/>
      <x:c r="P50" s="66"/>
      <x:c r="Q50" s="72"/>
      <x:c r="R50" s="72"/>
      <x:c r="S50" s="66"/>
      <x:c r="T50" s="66"/>
    </x:row>
    <x:row r="51" ht="27" customHeight="1">
      <x:c r="A51" s="66" t="str">
        <x:v>SQD620</x:v>
      </x:c>
      <x:c r="B51" s="66" t="str">
        <x:v>深度梦扬量化套利0号</x:v>
      </x:c>
      <x:c r="C51" s="66" t="str">
        <x:v>近一年月胜率</x:v>
      </x:c>
      <x:c r="D51" s="76"/>
      <x:c r="E51" s="76" t="n">
        <x:f>'补数计算'!O8</x:f>
        <x:v>0.6923076923076923</x:v>
      </x:c>
      <x:c r="F51" s="76" t="str">
        <x:f>IF(D51="","",E51-D51)</x:f>
      </x:c>
      <x:c r="G51" s="72" t="n">
        <x:v>46267</x:v>
      </x:c>
      <x:c r="H51" s="66" t="str">
        <x:v>深度梦扬量化套利0号净值20260911.xlsx</x:v>
      </x:c>
      <x:c r="I51" s="66" t="str">
        <x:v>补缺</x:v>
      </x:c>
      <x:c r="J51" s="66" t="str">
        <x:v>新增产品净值核算</x:v>
      </x:c>
      <x:c r="K51" s="66"/>
      <x:c r="L51" s="66"/>
      <x:c r="M51" s="66"/>
      <x:c r="N51" s="66"/>
      <x:c r="O51" s="66"/>
      <x:c r="P51" s="66"/>
      <x:c r="Q51" s="72"/>
      <x:c r="R51" s="72"/>
      <x:c r="S51" s="66"/>
      <x:c r="T51" s="66"/>
    </x:row>
    <x:row r="52" ht="27" customHeight="1">
      <x:c r="A52" s="66" t="str">
        <x:v>SQD620</x:v>
      </x:c>
      <x:c r="B52" s="66" t="str">
        <x:v>深度梦扬量化套利0号</x:v>
      </x:c>
      <x:c r="C52" s="66" t="str">
        <x:v>近三年月胜率</x:v>
      </x:c>
      <x:c r="D52" s="76"/>
      <x:c r="E52" s="76" t="n">
        <x:f>'补数计算'!O9</x:f>
        <x:v>0.7567567567567568</x:v>
      </x:c>
      <x:c r="F52" s="76" t="str">
        <x:f>IF(D52="","",E52-D52)</x:f>
      </x:c>
      <x:c r="G52" s="72" t="n">
        <x:v>46267</x:v>
      </x:c>
      <x:c r="H52" s="66" t="str">
        <x:v>深度梦扬量化套利0号净值20260911.xlsx</x:v>
      </x:c>
      <x:c r="I52" s="66" t="str">
        <x:v>补缺</x:v>
      </x:c>
      <x:c r="J52" s="66" t="str">
        <x:v>新增产品净值核算</x:v>
      </x:c>
      <x:c r="K52" s="66"/>
      <x:c r="L52" s="66"/>
      <x:c r="M52" s="66"/>
      <x:c r="N52" s="66"/>
      <x:c r="O52" s="66"/>
      <x:c r="P52" s="66"/>
      <x:c r="Q52" s="72"/>
      <x:c r="R52" s="72"/>
      <x:c r="S52" s="66"/>
      <x:c r="T52" s="66"/>
    </x:row>
    <x:row r="53" ht="27" customHeight="1">
      <x:c r="A53" s="66" t="str">
        <x:v>SQD620</x:v>
      </x:c>
      <x:c r="B53" s="66" t="str">
        <x:v>深度梦扬量化套利0号</x:v>
      </x:c>
      <x:c r="C53" s="66" t="str">
        <x:v>近三年最大回撤</x:v>
      </x:c>
      <x:c r="D53" s="76"/>
      <x:c r="E53" s="76" t="n">
        <x:f>'补数计算'!M9</x:f>
        <x:v>0.040228725193407255</x:v>
      </x:c>
      <x:c r="F53" s="76" t="str">
        <x:f>IF(D53="","",E53-D53)</x:f>
      </x:c>
      <x:c r="G53" s="72" t="n">
        <x:v>46267</x:v>
      </x:c>
      <x:c r="H53" s="66" t="str">
        <x:v>深度梦扬量化套利0号净值20260911.xlsx</x:v>
      </x:c>
      <x:c r="I53" s="66" t="str">
        <x:v>补缺</x:v>
      </x:c>
      <x:c r="J53" s="66" t="str">
        <x:v>新增产品净值核算</x:v>
      </x:c>
      <x:c r="K53" s="66"/>
      <x:c r="L53" s="66"/>
      <x:c r="M53" s="66"/>
      <x:c r="N53" s="66"/>
      <x:c r="O53" s="66"/>
      <x:c r="P53" s="66"/>
      <x:c r="Q53" s="72"/>
      <x:c r="R53" s="72"/>
      <x:c r="S53" s="66"/>
      <x:c r="T53" s="66"/>
    </x:row>
    <x:row r="54" ht="27" customHeight="1">
      <x:c r="A54" s="66" t="str">
        <x:v>SQD620</x:v>
      </x:c>
      <x:c r="B54" s="66" t="str">
        <x:v>深度梦扬量化套利0号</x:v>
      </x:c>
      <x:c r="C54" s="66" t="str">
        <x:v>近一年卡玛</x:v>
      </x:c>
      <x:c r="D54" s="75"/>
      <x:c r="E54" s="75" t="n">
        <x:f>'补数计算'!N8</x:f>
        <x:v>2.476184144324354</x:v>
      </x:c>
      <x:c r="F54" s="75" t="str">
        <x:f>IF(D54="","",E54-D54)</x:f>
      </x:c>
      <x:c r="G54" s="72" t="n">
        <x:v>46267</x:v>
      </x:c>
      <x:c r="H54" s="66" t="str">
        <x:v>深度梦扬量化套利0号净值20260911.xlsx</x:v>
      </x:c>
      <x:c r="I54" s="66" t="str">
        <x:v>补缺</x:v>
      </x:c>
      <x:c r="J54" s="66" t="str">
        <x:v>新增产品净值核算</x:v>
      </x:c>
      <x:c r="K54" s="66"/>
      <x:c r="L54" s="66"/>
      <x:c r="M54" s="66"/>
      <x:c r="N54" s="66"/>
      <x:c r="O54" s="66"/>
      <x:c r="P54" s="66"/>
      <x:c r="Q54" s="72"/>
      <x:c r="R54" s="72"/>
      <x:c r="S54" s="66"/>
      <x:c r="T54" s="66"/>
    </x:row>
    <x:row r="55" ht="27" customHeight="1">
      <x:c r="A55" s="66" t="str">
        <x:v>SQD620</x:v>
      </x:c>
      <x:c r="B55" s="66" t="str">
        <x:v>深度梦扬量化套利0号</x:v>
      </x:c>
      <x:c r="C55" s="66" t="str">
        <x:v>近三年卡玛</x:v>
      </x:c>
      <x:c r="D55" s="75"/>
      <x:c r="E55" s="75" t="n">
        <x:f>'补数计算'!N9</x:f>
        <x:v>2.101672948795407</x:v>
      </x:c>
      <x:c r="F55" s="75" t="str">
        <x:f>IF(D55="","",E55-D55)</x:f>
      </x:c>
      <x:c r="G55" s="72" t="n">
        <x:v>46267</x:v>
      </x:c>
      <x:c r="H55" s="66" t="str">
        <x:v>深度梦扬量化套利0号净值20260911.xlsx</x:v>
      </x:c>
      <x:c r="I55" s="66" t="str">
        <x:v>补缺</x:v>
      </x:c>
      <x:c r="J55" s="66" t="str">
        <x:v>新增产品净值核算</x:v>
      </x:c>
      <x:c r="K55" s="66"/>
      <x:c r="L55" s="66"/>
      <x:c r="M55" s="66"/>
      <x:c r="N55" s="66"/>
      <x:c r="O55" s="66"/>
      <x:c r="P55" s="66"/>
      <x:c r="Q55" s="72"/>
      <x:c r="R55" s="72"/>
      <x:c r="S55" s="66"/>
      <x:c r="T55" s="66"/>
    </x:row>
    <x:row r="56" ht="27" customHeight="1">
      <x:c r="A56" s="66" t="str">
        <x:v>SQD620</x:v>
      </x:c>
      <x:c r="B56" s="66" t="str">
        <x:v>深度梦扬量化套利0号</x:v>
      </x:c>
      <x:c r="C56" s="66" t="str">
        <x:v>成立以来年化收益</x:v>
      </x:c>
      <x:c r="D56" s="76"/>
      <x:c r="E56" s="76" t="n">
        <x:f>'补数计算'!L10</x:f>
        <x:v>0.07761167704291072</x:v>
      </x:c>
      <x:c r="F56" s="76" t="str">
        <x:f>IF(D56="","",E56-D56)</x:f>
      </x:c>
      <x:c r="G56" s="72" t="n">
        <x:v>46267</x:v>
      </x:c>
      <x:c r="H56" s="66" t="str">
        <x:v>深度梦扬量化套利0号净值20260911.xlsx</x:v>
      </x:c>
      <x:c r="I56" s="66" t="str">
        <x:v>补缺</x:v>
      </x:c>
      <x:c r="J56" s="66" t="str">
        <x:v>新增产品净值核算</x:v>
      </x:c>
      <x:c r="K56" s="66"/>
      <x:c r="L56" s="66"/>
      <x:c r="M56" s="66"/>
      <x:c r="N56" s="66"/>
      <x:c r="O56" s="66"/>
      <x:c r="P56" s="66"/>
      <x:c r="Q56" s="72"/>
      <x:c r="R56" s="72"/>
      <x:c r="S56" s="66"/>
      <x:c r="T56" s="66"/>
    </x:row>
    <x:row r="57" ht="27" customHeight="1">
      <x:c r="A57" s="66" t="str">
        <x:v>SXL267</x:v>
      </x:c>
      <x:c r="B57" s="66" t="str">
        <x:v>滨风风云瑞丰1号</x:v>
      </x:c>
      <x:c r="C57" s="66" t="str">
        <x:v>近一年年化收益</x:v>
      </x:c>
      <x:c r="D57" s="76"/>
      <x:c r="E57" s="76" t="n">
        <x:f>'补数计算'!L11</x:f>
        <x:v>0.45675607986970457</x:v>
      </x:c>
      <x:c r="F57" s="76" t="str">
        <x:f>IF(D57="","",E57-D57)</x:f>
      </x:c>
      <x:c r="G57" s="72" t="n">
        <x:v>46269</x:v>
      </x:c>
      <x:c r="H57" s="66" t="str">
        <x:v>滨风风云瑞丰1号净值20260911.xlsx</x:v>
      </x:c>
      <x:c r="I57" s="66" t="str">
        <x:v>补缺</x:v>
      </x:c>
      <x:c r="J57" s="66" t="str">
        <x:v>新增产品净值核算</x:v>
      </x:c>
      <x:c r="K57" s="66"/>
      <x:c r="L57" s="66"/>
      <x:c r="M57" s="66"/>
      <x:c r="N57" s="66"/>
      <x:c r="O57" s="66"/>
      <x:c r="P57" s="66"/>
      <x:c r="Q57" s="72"/>
      <x:c r="R57" s="72"/>
      <x:c r="S57" s="66"/>
      <x:c r="T57" s="66"/>
    </x:row>
    <x:row r="58" ht="27" customHeight="1">
      <x:c r="A58" s="66" t="str">
        <x:v>SXL267</x:v>
      </x:c>
      <x:c r="B58" s="66" t="str">
        <x:v>滨风风云瑞丰1号</x:v>
      </x:c>
      <x:c r="C58" s="66" t="str">
        <x:v>近三年年化收益</x:v>
      </x:c>
      <x:c r="D58" s="76"/>
      <x:c r="E58" s="76" t="n">
        <x:f>'补数计算'!L12</x:f>
        <x:v>0.24545794227734263</x:v>
      </x:c>
      <x:c r="F58" s="76" t="str">
        <x:f>IF(D58="","",E58-D58)</x:f>
      </x:c>
      <x:c r="G58" s="72" t="n">
        <x:v>46269</x:v>
      </x:c>
      <x:c r="H58" s="66" t="str">
        <x:v>滨风风云瑞丰1号净值20260911.xlsx</x:v>
      </x:c>
      <x:c r="I58" s="66" t="str">
        <x:v>补缺</x:v>
      </x:c>
      <x:c r="J58" s="66" t="str">
        <x:v>新增产品净值核算</x:v>
      </x:c>
      <x:c r="K58" s="66"/>
      <x:c r="L58" s="66"/>
      <x:c r="M58" s="66"/>
      <x:c r="N58" s="66"/>
      <x:c r="O58" s="66"/>
      <x:c r="P58" s="66"/>
      <x:c r="Q58" s="72"/>
      <x:c r="R58" s="72"/>
      <x:c r="S58" s="66"/>
      <x:c r="T58" s="66"/>
    </x:row>
    <x:row r="59" ht="27" customHeight="1">
      <x:c r="A59" s="66" t="str">
        <x:v>SXL267</x:v>
      </x:c>
      <x:c r="B59" s="66" t="str">
        <x:v>滨风风云瑞丰1号</x:v>
      </x:c>
      <x:c r="C59" s="66" t="str">
        <x:v>近一年月胜率</x:v>
      </x:c>
      <x:c r="D59" s="76"/>
      <x:c r="E59" s="76" t="n">
        <x:f>'补数计算'!O11</x:f>
        <x:v>0.6923076923076923</x:v>
      </x:c>
      <x:c r="F59" s="76" t="str">
        <x:f>IF(D59="","",E59-D59)</x:f>
      </x:c>
      <x:c r="G59" s="72" t="n">
        <x:v>46269</x:v>
      </x:c>
      <x:c r="H59" s="66" t="str">
        <x:v>滨风风云瑞丰1号净值20260911.xlsx</x:v>
      </x:c>
      <x:c r="I59" s="66" t="str">
        <x:v>补缺</x:v>
      </x:c>
      <x:c r="J59" s="66" t="str">
        <x:v>新增产品净值核算</x:v>
      </x:c>
      <x:c r="K59" s="66"/>
      <x:c r="L59" s="66"/>
      <x:c r="M59" s="66"/>
      <x:c r="N59" s="66"/>
      <x:c r="O59" s="66"/>
      <x:c r="P59" s="66"/>
      <x:c r="Q59" s="72"/>
      <x:c r="R59" s="72"/>
      <x:c r="S59" s="66"/>
      <x:c r="T59" s="66"/>
    </x:row>
    <x:row r="60" ht="27" customHeight="1">
      <x:c r="A60" s="66" t="str">
        <x:v>SXL267</x:v>
      </x:c>
      <x:c r="B60" s="66" t="str">
        <x:v>滨风风云瑞丰1号</x:v>
      </x:c>
      <x:c r="C60" s="66" t="str">
        <x:v>近三年月胜率</x:v>
      </x:c>
      <x:c r="D60" s="76"/>
      <x:c r="E60" s="76" t="n">
        <x:f>'补数计算'!O12</x:f>
        <x:v>0.6486486486486487</x:v>
      </x:c>
      <x:c r="F60" s="76" t="str">
        <x:f>IF(D60="","",E60-D60)</x:f>
      </x:c>
      <x:c r="G60" s="72" t="n">
        <x:v>46269</x:v>
      </x:c>
      <x:c r="H60" s="66" t="str">
        <x:v>滨风风云瑞丰1号净值20260911.xlsx</x:v>
      </x:c>
      <x:c r="I60" s="66" t="str">
        <x:v>补缺</x:v>
      </x:c>
      <x:c r="J60" s="66" t="str">
        <x:v>新增产品净值核算</x:v>
      </x:c>
      <x:c r="K60" s="66"/>
      <x:c r="L60" s="66"/>
      <x:c r="M60" s="66"/>
      <x:c r="N60" s="66"/>
      <x:c r="O60" s="66"/>
      <x:c r="P60" s="66"/>
      <x:c r="Q60" s="72"/>
      <x:c r="R60" s="72"/>
      <x:c r="S60" s="66"/>
      <x:c r="T60" s="66"/>
    </x:row>
    <x:row r="61" ht="27" customHeight="1">
      <x:c r="A61" s="66" t="str">
        <x:v>SXL267</x:v>
      </x:c>
      <x:c r="B61" s="66" t="str">
        <x:v>滨风风云瑞丰1号</x:v>
      </x:c>
      <x:c r="C61" s="66" t="str">
        <x:v>近三年最大回撤</x:v>
      </x:c>
      <x:c r="D61" s="76"/>
      <x:c r="E61" s="76" t="n">
        <x:f>'补数计算'!M12</x:f>
        <x:v>0.1306153585353449</x:v>
      </x:c>
      <x:c r="F61" s="76" t="str">
        <x:f>IF(D61="","",E61-D61)</x:f>
      </x:c>
      <x:c r="G61" s="72" t="n">
        <x:v>46269</x:v>
      </x:c>
      <x:c r="H61" s="66" t="str">
        <x:v>滨风风云瑞丰1号净值20260911.xlsx</x:v>
      </x:c>
      <x:c r="I61" s="66" t="str">
        <x:v>补缺</x:v>
      </x:c>
      <x:c r="J61" s="66" t="str">
        <x:v>新增产品净值核算</x:v>
      </x:c>
      <x:c r="K61" s="66"/>
      <x:c r="L61" s="66"/>
      <x:c r="M61" s="66"/>
      <x:c r="N61" s="66"/>
      <x:c r="O61" s="66"/>
      <x:c r="P61" s="66"/>
      <x:c r="Q61" s="72"/>
      <x:c r="R61" s="72"/>
      <x:c r="S61" s="66"/>
      <x:c r="T61" s="66"/>
    </x:row>
    <x:row r="62" ht="27" customHeight="1">
      <x:c r="A62" s="66" t="str">
        <x:v>SXL267</x:v>
      </x:c>
      <x:c r="B62" s="66" t="str">
        <x:v>滨风风云瑞丰1号</x:v>
      </x:c>
      <x:c r="C62" s="66" t="str">
        <x:v>近一年卡玛</x:v>
      </x:c>
      <x:c r="D62" s="75"/>
      <x:c r="E62" s="75" t="n">
        <x:f>'补数计算'!N11</x:f>
        <x:v>3.4969553733308096</x:v>
      </x:c>
      <x:c r="F62" s="75" t="str">
        <x:f>IF(D62="","",E62-D62)</x:f>
      </x:c>
      <x:c r="G62" s="72" t="n">
        <x:v>46269</x:v>
      </x:c>
      <x:c r="H62" s="66" t="str">
        <x:v>滨风风云瑞丰1号净值20260911.xlsx</x:v>
      </x:c>
      <x:c r="I62" s="66" t="str">
        <x:v>补缺</x:v>
      </x:c>
      <x:c r="J62" s="66" t="str">
        <x:v>新增产品净值核算</x:v>
      </x:c>
      <x:c r="K62" s="66"/>
      <x:c r="L62" s="66"/>
      <x:c r="M62" s="66"/>
      <x:c r="N62" s="66"/>
      <x:c r="O62" s="66"/>
      <x:c r="P62" s="66"/>
      <x:c r="Q62" s="72"/>
      <x:c r="R62" s="72"/>
      <x:c r="S62" s="66"/>
      <x:c r="T62" s="66"/>
    </x:row>
    <x:row r="63" ht="27" customHeight="1">
      <x:c r="A63" s="66" t="str">
        <x:v>SXL267</x:v>
      </x:c>
      <x:c r="B63" s="66" t="str">
        <x:v>滨风风云瑞丰1号</x:v>
      </x:c>
      <x:c r="C63" s="66" t="str">
        <x:v>近三年卡玛</x:v>
      </x:c>
      <x:c r="D63" s="75"/>
      <x:c r="E63" s="75" t="n">
        <x:f>'补数计算'!N12</x:f>
        <x:v>1.8792425716989554</x:v>
      </x:c>
      <x:c r="F63" s="75" t="str">
        <x:f>IF(D63="","",E63-D63)</x:f>
      </x:c>
      <x:c r="G63" s="72" t="n">
        <x:v>46269</x:v>
      </x:c>
      <x:c r="H63" s="66" t="str">
        <x:v>滨风风云瑞丰1号净值20260911.xlsx</x:v>
      </x:c>
      <x:c r="I63" s="66" t="str">
        <x:v>补缺</x:v>
      </x:c>
      <x:c r="J63" s="66" t="str">
        <x:v>新增产品净值核算</x:v>
      </x:c>
      <x:c r="K63" s="66"/>
      <x:c r="L63" s="66"/>
      <x:c r="M63" s="66"/>
      <x:c r="N63" s="66"/>
      <x:c r="O63" s="66"/>
      <x:c r="P63" s="66"/>
      <x:c r="Q63" s="72"/>
      <x:c r="R63" s="72"/>
      <x:c r="S63" s="66"/>
      <x:c r="T63" s="66"/>
    </x:row>
    <x:row r="64" ht="27" customHeight="1">
      <x:c r="A64" s="66" t="str">
        <x:v>SXL267</x:v>
      </x:c>
      <x:c r="B64" s="66" t="str">
        <x:v>滨风风云瑞丰1号</x:v>
      </x:c>
      <x:c r="C64" s="66" t="str">
        <x:v>成立以来年化收益</x:v>
      </x:c>
      <x:c r="D64" s="76"/>
      <x:c r="E64" s="76" t="n">
        <x:f>'补数计算'!L13</x:f>
        <x:v>0.24541579582863648</x:v>
      </x:c>
      <x:c r="F64" s="76" t="str">
        <x:f>IF(D64="","",E64-D64)</x:f>
      </x:c>
      <x:c r="G64" s="72" t="n">
        <x:v>46269</x:v>
      </x:c>
      <x:c r="H64" s="66" t="str">
        <x:v>滨风风云瑞丰1号净值20260911.xlsx</x:v>
      </x:c>
      <x:c r="I64" s="66" t="str">
        <x:v>补缺</x:v>
      </x:c>
      <x:c r="J64" s="66" t="str">
        <x:v>新增产品净值核算</x:v>
      </x:c>
      <x:c r="K64" s="66"/>
      <x:c r="L64" s="66"/>
      <x:c r="M64" s="66"/>
      <x:c r="N64" s="66"/>
      <x:c r="O64" s="66"/>
      <x:c r="P64" s="66"/>
      <x:c r="Q64" s="72"/>
      <x:c r="R64" s="72"/>
      <x:c r="S64" s="66"/>
      <x:c r="T64" s="66"/>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ColWidth="9" defaultRowHeight="14.25"/>
  <x:cols>
    <x:col min="1" max="1" width="18" style="1" hidden="0" customWidth="1"/>
    <x:col min="2" max="2" width="32" style="1" hidden="0" customWidth="1"/>
    <x:col min="3" max="3" width="18" style="1" hidden="0" customWidth="1"/>
    <x:col min="4" max="4" width="45" style="1" hidden="0" customWidth="1"/>
    <x:col min="5" max="8" width="12" style="1" customWidth="1"/>
    <x:col min="9" max="10" width="42" style="1" customWidth="1"/>
    <x:col min="11" max="11" width="60" style="1" hidden="0" customWidth="1"/>
    <x:col min="5" max="5" width="18" hidden="0" customWidth="1"/>
    <x:col min="6" max="6" width="18" hidden="0" customWidth="1"/>
    <x:col min="7" max="7" width="18" hidden="0" customWidth="1"/>
    <x:col min="8" max="8" width="36" hidden="0" customWidth="1"/>
    <x:col min="9" max="9" width="18" hidden="0" customWidth="1"/>
    <x:col min="10" max="10" width="60" hidden="0" customWidth="1"/>
    <x:col min="12" max="12" width="60" hidden="0" customWidth="1"/>
    <x:col min="13" max="13" width="60" hidden="0" customWidth="1"/>
    <x:col min="14" max="14" width="60" hidden="0" customWidth="1"/>
    <x:col min="15" max="15" width="60" hidden="0" customWidth="1"/>
    <x:col min="16" max="16" width="18" hidden="0" customWidth="1"/>
    <x:col min="17" max="17" width="36" hidden="0" customWidth="1"/>
    <x:col min="18" max="18" width="18" hidden="0" customWidth="1"/>
    <x:col min="19" max="19" width="18" hidden="0" customWidth="1"/>
  </x:cols>
  <x:sheetData>
    <x:row r="1" ht="46" customHeight="1">
      <x:c r="A1" s="70" t="str">
        <x:v>备案号</x:v>
      </x:c>
      <x:c r="B1" s="70" t="str">
        <x:v>产品名称</x:v>
      </x:c>
      <x:c r="C1" s="70" t="str">
        <x:v>管理人简称</x:v>
      </x:c>
      <x:c r="D1" s="70" t="str">
        <x:v>管理人全称</x:v>
      </x:c>
      <x:c r="E1" s="70" t="str">
        <x:v>登记编号</x:v>
      </x:c>
      <x:c r="F1" s="70" t="str">
        <x:v>规模区间</x:v>
      </x:c>
      <x:c r="G1" s="70" t="str">
        <x:v>规模分组</x:v>
      </x:c>
      <x:c r="H1" s="70" t="str">
        <x:v>处罚／警示／提示分类</x:v>
      </x:c>
      <x:c r="I1" s="70" t="str">
        <x:v>记录主体</x:v>
      </x:c>
      <x:c r="J1" s="70" t="str">
        <x:v>诚信信息原文</x:v>
      </x:c>
      <x:c r="K1" s="70" t="str">
        <x:v>机构提示原文</x:v>
      </x:c>
      <x:c r="L1" s="71" t="str">
        <x:v>协会特别提示原文</x:v>
      </x:c>
      <x:c r="M1" s="71" t="str">
        <x:v>产品提示原文</x:v>
      </x:c>
      <x:c r="N1" s="71" t="str">
        <x:v>管理人公示URL</x:v>
      </x:c>
      <x:c r="O1" s="71" t="str">
        <x:v>基金公示URL</x:v>
      </x:c>
      <x:c r="P1" s="71" t="str">
        <x:v>公示核验日</x:v>
      </x:c>
      <x:c r="Q1" s="71" t="str">
        <x:v>产品页匹配状态</x:v>
      </x:c>
      <x:c r="R1" s="71" t="str">
        <x:v>管理人信息更新时间</x:v>
      </x:c>
      <x:c r="S1" s="71" t="str">
        <x:v>基金信息更新时间</x:v>
      </x:c>
    </x:row>
    <x:row r="2" ht="27" customHeight="1">
      <x:c r="A2" s="66" t="str">
        <x:v>SR2759</x:v>
      </x:c>
      <x:c r="B2" s="66" t="str">
        <x:v>新视野智能量化2号</x:v>
      </x:c>
      <x:c r="C2" s="66" t="str">
        <x:v>杭州探融投资</x:v>
      </x:c>
      <x:c r="D2" s="66" t="str">
        <x:v>杭州探融投资管理有限公司</x:v>
      </x:c>
      <x:c r="E2" s="66" t="str">
        <x:v>P1032083</x:v>
      </x:c>
      <x:c r="F2" s="66" t="str">
        <x:v>0-5亿元</x:v>
      </x:c>
      <x:c r="G2" s="66" t="str">
        <x:v>小规模</x:v>
      </x:c>
      <x:c r="H2" s="66" t="str">
        <x:v>本次公示未见相关记录</x:v>
      </x:c>
      <x:c r="I2" s="66" t="str">
        <x:v>管理人层面</x:v>
      </x:c>
      <x:c r="J2" s="66" t="str"/>
      <x:c r="K2" s="66" t="str"/>
      <x:c r="L2" s="66" t="str"/>
      <x:c r="M2" s="66" t="str"/>
      <x:c r="N2" s="66" t="str">
        <x:v>https://gs.amac.org.cn/amac-infodisc/res/pof/manager/101000049159.html</x:v>
      </x:c>
      <x:c r="O2" s="66" t="str">
        <x:v>https://gs.amac.org.cn/amac-infodisc/res/pof/fund/351000611236.html</x:v>
      </x:c>
      <x:c r="P2" s="72" t="n">
        <x:v>46281</x:v>
      </x:c>
      <x:c r="Q2" s="66" t="str">
        <x:v>已核验；基金页沿用9月15日公示</x:v>
      </x:c>
      <x:c r="R2" s="66" t="str">
        <x:v>2025-05-22</x:v>
      </x:c>
      <x:c r="S2" s="66" t="str">
        <x:v>2026-05-12</x:v>
      </x:c>
    </x:row>
    <x:row r="3" ht="27" customHeight="1">
      <x:c r="A3" s="66" t="str">
        <x:v>SL8089</x:v>
      </x:c>
      <x:c r="B3" s="66" t="str">
        <x:v>探融新视野智能量化1号</x:v>
      </x:c>
      <x:c r="C3" s="66" t="str">
        <x:v>杭州探融投资</x:v>
      </x:c>
      <x:c r="D3" s="66" t="str">
        <x:v>杭州探融投资管理有限公司</x:v>
      </x:c>
      <x:c r="E3" s="66" t="str">
        <x:v>P1032083</x:v>
      </x:c>
      <x:c r="F3" s="66" t="str">
        <x:v>0-5亿元</x:v>
      </x:c>
      <x:c r="G3" s="66" t="str">
        <x:v>小规模</x:v>
      </x:c>
      <x:c r="H3" s="66" t="str">
        <x:v>本次公示未见相关记录</x:v>
      </x:c>
      <x:c r="I3" s="66" t="str">
        <x:v>管理人层面</x:v>
      </x:c>
      <x:c r="J3" s="66" t="str"/>
      <x:c r="K3" s="66" t="str"/>
      <x:c r="L3" s="66" t="str"/>
      <x:c r="M3" s="66" t="str"/>
      <x:c r="N3" s="66" t="str">
        <x:v>https://gs.amac.org.cn/amac-infodisc/res/pof/manager/101000049159.html</x:v>
      </x:c>
      <x:c r="O3" s="66" t="str">
        <x:v>https://gs.amac.org.cn/amac-infodisc/res/pof/fund/351000500099.html</x:v>
      </x:c>
      <x:c r="P3" s="72" t="n">
        <x:v>46281</x:v>
      </x:c>
      <x:c r="Q3" s="66" t="str">
        <x:v>已核验；基金页沿用9月15日公示</x:v>
      </x:c>
      <x:c r="R3" s="66" t="str">
        <x:v>2025-05-22</x:v>
      </x:c>
      <x:c r="S3" s="66" t="str">
        <x:v>2026-05-25</x:v>
      </x:c>
    </x:row>
    <x:row r="4" ht="27" customHeight="1">
      <x:c r="A4" s="66" t="str">
        <x:v>SM4445</x:v>
      </x:c>
      <x:c r="B4" s="66" t="str">
        <x:v>辉毅4号</x:v>
      </x:c>
      <x:c r="C4" s="66" t="str">
        <x:v>上海申毅投资</x:v>
      </x:c>
      <x:c r="D4" s="66" t="str">
        <x:v>上海申毅投资股份有限公司</x:v>
      </x:c>
      <x:c r="E4" s="66" t="str">
        <x:v>P1000404</x:v>
      </x:c>
      <x:c r="F4" s="66" t="str">
        <x:v>100亿元以上</x:v>
      </x:c>
      <x:c r="G4" s="66" t="str">
        <x:v>大规模</x:v>
      </x:c>
      <x:c r="H4" s="66" t="str">
        <x:v>本次公示未见相关记录</x:v>
      </x:c>
      <x:c r="I4" s="66" t="str">
        <x:v>管理人层面</x:v>
      </x:c>
      <x:c r="J4" s="66" t="str"/>
      <x:c r="K4" s="66" t="str"/>
      <x:c r="L4" s="66" t="str"/>
      <x:c r="M4" s="66" t="str"/>
      <x:c r="N4" s="66" t="str">
        <x:v>https://gs.amac.org.cn/amac-infodisc/res/pof/manager/101000000870.html</x:v>
      </x:c>
      <x:c r="O4" s="66" t="str">
        <x:v>https://gs.amac.org.cn/amac-infodisc/res/pof/fund/351000509057.html</x:v>
      </x:c>
      <x:c r="P4" s="72" t="n">
        <x:v>46281</x:v>
      </x:c>
      <x:c r="Q4" s="66" t="str">
        <x:v>已核验；基金页沿用9月15日公示</x:v>
      </x:c>
      <x:c r="R4" s="66" t="str">
        <x:v>2026-04-28</x:v>
      </x:c>
      <x:c r="S4" s="66" t="str">
        <x:v>2025-04-02</x:v>
      </x:c>
    </x:row>
    <x:row r="5" ht="27" customHeight="1">
      <x:c r="A5" s="66" t="str">
        <x:v>SJ2870</x:v>
      </x:c>
      <x:c r="B5" s="66" t="str">
        <x:v>平凡悟鑫</x:v>
      </x:c>
      <x:c r="C5" s="66" t="str">
        <x:v>北京平凡</x:v>
      </x:c>
      <x:c r="D5" s="66" t="str">
        <x:v>北京平凡私募基金管理有限公司</x:v>
      </x:c>
      <x:c r="E5" s="66" t="str">
        <x:v>P1021670</x:v>
      </x:c>
      <x:c r="F5" s="66" t="str">
        <x:v>50-100亿元</x:v>
      </x:c>
      <x:c r="G5" s="66" t="str">
        <x:v>大规模</x:v>
      </x:c>
      <x:c r="H5" s="66" t="str">
        <x:v>本次公示未见相关记录</x:v>
      </x:c>
      <x:c r="I5" s="66" t="str">
        <x:v>管理人层面</x:v>
      </x:c>
      <x:c r="J5" s="66" t="str"/>
      <x:c r="K5" s="66" t="str"/>
      <x:c r="L5" s="66" t="str"/>
      <x:c r="M5" s="66" t="str"/>
      <x:c r="N5" s="66" t="str">
        <x:v>https://gs.amac.org.cn/amac-infodisc/res/pof/manager/101000030286.html</x:v>
      </x:c>
      <x:c r="O5" s="66" t="str">
        <x:v>https://gs.amac.org.cn/amac-infodisc/res/pof/fund/351000410825.html</x:v>
      </x:c>
      <x:c r="P5" s="72" t="n">
        <x:v>46281</x:v>
      </x:c>
      <x:c r="Q5" s="66" t="str">
        <x:v>已核验；基金页沿用9月15日公示</x:v>
      </x:c>
      <x:c r="R5" s="66" t="str">
        <x:v>2026-08-05</x:v>
      </x:c>
      <x:c r="S5" s="66" t="str">
        <x:v>2026-05-27</x:v>
      </x:c>
    </x:row>
    <x:row r="6" ht="27" customHeight="1">
      <x:c r="A6" s="66" t="str">
        <x:v>SS8645</x:v>
      </x:c>
      <x:c r="B6" s="66" t="str">
        <x:v>致同稳盈对冲</x:v>
      </x:c>
      <x:c r="C6" s="66" t="str">
        <x:v>上海致同投资</x:v>
      </x:c>
      <x:c r="D6" s="66" t="str">
        <x:v>上海致同投资管理有限公司</x:v>
      </x:c>
      <x:c r="E6" s="66" t="str">
        <x:v>P1003519</x:v>
      </x:c>
      <x:c r="F6" s="66" t="str">
        <x:v>20-50亿元</x:v>
      </x:c>
      <x:c r="G6" s="66" t="str">
        <x:v>大规模</x:v>
      </x:c>
      <x:c r="H6" s="66" t="str">
        <x:v>监管警示函</x:v>
      </x:c>
      <x:c r="I6" s="66" t="str">
        <x:v>管理人层面</x:v>
      </x:c>
      <x:c r="J6" s="66" t="str">
        <x:v>三年内行政监管措施 该机构于2024年8月19日被上海证监局采取出具警示函的行政监管措施。</x:v>
      </x:c>
      <x:c r="K6" s="66" t="str"/>
      <x:c r="L6" s="66" t="str"/>
      <x:c r="M6" s="66" t="str"/>
      <x:c r="N6" s="66" t="str">
        <x:v>https://gs.amac.org.cn/amac-infodisc/res/pof/manager/101000004339.html</x:v>
      </x:c>
      <x:c r="O6" s="66" t="str">
        <x:v>https://gs.amac.org.cn/amac-infodisc/res/pof/fund/1705051025108658.html</x:v>
      </x:c>
      <x:c r="P6" s="72" t="n">
        <x:v>46281</x:v>
      </x:c>
      <x:c r="Q6" s="66" t="str">
        <x:v>已核验；基金页沿用9月15日公示</x:v>
      </x:c>
      <x:c r="R6" s="66" t="str">
        <x:v>2026-03-16</x:v>
      </x:c>
      <x:c r="S6" s="66" t="str">
        <x:v>2026-07-06</x:v>
      </x:c>
    </x:row>
    <x:row r="7" ht="27" customHeight="1">
      <x:c r="A7" s="66" t="str">
        <x:v>ST3922</x:v>
      </x:c>
      <x:c r="B7" s="66" t="str">
        <x:v>哈福尊享一号</x:v>
      </x:c>
      <x:c r="C7" s="66" t="str">
        <x:v>哈福基金</x:v>
      </x:c>
      <x:c r="D7" s="66" t="str">
        <x:v>广东哈福私募证券投资基金管理有限公司</x:v>
      </x:c>
      <x:c r="E7" s="66" t="str">
        <x:v>P1005908</x:v>
      </x:c>
      <x:c r="F7" s="66" t="str">
        <x:v>0-5亿元</x:v>
      </x:c>
      <x:c r="G7" s="66" t="str">
        <x:v>小规模</x:v>
      </x:c>
      <x:c r="H7" s="66" t="str">
        <x:v>本次公示未见相关记录</x:v>
      </x:c>
      <x:c r="I7" s="66" t="str">
        <x:v>管理人层面</x:v>
      </x:c>
      <x:c r="J7" s="66" t="str"/>
      <x:c r="K7" s="66" t="str"/>
      <x:c r="L7" s="66" t="str"/>
      <x:c r="M7" s="66" t="str"/>
      <x:c r="N7" s="66" t="str">
        <x:v>https://gs.amac.org.cn/amac-infodisc/res/pof/manager/101000010078.html</x:v>
      </x:c>
      <x:c r="O7" s="66" t="str">
        <x:v>https://gs.amac.org.cn/amac-infodisc/res/pof/fund/1705180919103330.html</x:v>
      </x:c>
      <x:c r="P7" s="72" t="n">
        <x:v>46281</x:v>
      </x:c>
      <x:c r="Q7" s="66" t="str">
        <x:v>已核验；基金页沿用9月15日公示</x:v>
      </x:c>
      <x:c r="R7" s="66" t="str">
        <x:v>2026-06-05</x:v>
      </x:c>
      <x:c r="S7" s="66" t="str">
        <x:v>2024-10-29</x:v>
      </x:c>
    </x:row>
    <x:row r="8" ht="27" customHeight="1">
      <x:c r="A8" s="66" t="str">
        <x:v>SS9088</x:v>
      </x:c>
      <x:c r="B8" s="66" t="str">
        <x:v>远澜翠柏1号</x:v>
      </x:c>
      <x:c r="C8" s="66" t="str">
        <x:v>上海远澜</x:v>
      </x:c>
      <x:c r="D8" s="66" t="str">
        <x:v>上海远澜私募基金管理有限公司</x:v>
      </x:c>
      <x:c r="E8" s="66" t="str">
        <x:v>P1018484</x:v>
      </x:c>
      <x:c r="F8" s="66" t="str">
        <x:v>100亿元以上</x:v>
      </x:c>
      <x:c r="G8" s="66" t="str">
        <x:v>大规模</x:v>
      </x:c>
      <x:c r="H8" s="66" t="str">
        <x:v>本次公示未见相关记录</x:v>
      </x:c>
      <x:c r="I8" s="66" t="str">
        <x:v>管理人层面</x:v>
      </x:c>
      <x:c r="J8" s="66" t="str"/>
      <x:c r="K8" s="66" t="str"/>
      <x:c r="L8" s="66" t="str"/>
      <x:c r="M8" s="66" t="str"/>
      <x:c r="N8" s="66" t="str">
        <x:v>https://gs.amac.org.cn/amac-infodisc/res/pof/manager/101000022626.html</x:v>
      </x:c>
      <x:c r="O8" s="66" t="str">
        <x:v>https://gs.amac.org.cn/amac-infodisc/res/pof/fund/1706161700107643.html</x:v>
      </x:c>
      <x:c r="P8" s="72" t="n">
        <x:v>46281</x:v>
      </x:c>
      <x:c r="Q8" s="66" t="str">
        <x:v>已核验；基金页沿用9月15日公示</x:v>
      </x:c>
      <x:c r="R8" s="66" t="str">
        <x:v>2026-05-08</x:v>
      </x:c>
      <x:c r="S8" s="66" t="str">
        <x:v>2024-11-07</x:v>
      </x:c>
    </x:row>
    <x:row r="9" ht="27" customHeight="1">
      <x:c r="A9" s="66" t="str">
        <x:v>SCS637</x:v>
      </x:c>
      <x:c r="B9" s="66" t="str">
        <x:v>擎丰1号</x:v>
      </x:c>
      <x:c r="C9" s="66" t="str">
        <x:v>上海擎丰</x:v>
      </x:c>
      <x:c r="D9" s="66" t="str">
        <x:v>上海擎丰私募基金管理有限公司</x:v>
      </x:c>
      <x:c r="E9" s="66" t="str">
        <x:v>P1066774</x:v>
      </x:c>
      <x:c r="F9" s="66" t="str">
        <x:v>0-5亿元</x:v>
      </x:c>
      <x:c r="G9" s="66" t="str">
        <x:v>小规模</x:v>
      </x:c>
      <x:c r="H9" s="66" t="str">
        <x:v>协会提示／报送异常</x:v>
      </x:c>
      <x:c r="I9" s="66" t="str">
        <x:v>管理人层面</x:v>
      </x:c>
      <x:c r="J9" s="66" t="str"/>
      <x:c r="K9" s="66" t="str">
        <x:v>投资者定向披露账户开立率低 指私募基金管理人在信披备份系统定向披露功能中为投资者开立查询账号的比率低于50%（不含50%）。</x:v>
      </x:c>
      <x:c r="L9" s="66" t="str"/>
      <x:c r="M9" s="66" t="str"/>
      <x:c r="N9" s="66" t="str">
        <x:v>https://gs.amac.org.cn/amac-infodisc/res/pof/manager/1707071820104466.html</x:v>
      </x:c>
      <x:c r="O9" s="66" t="str">
        <x:v>https://gs.amac.org.cn/amac-infodisc/res/pof/fund/1806141444102951.html</x:v>
      </x:c>
      <x:c r="P9" s="72" t="n">
        <x:v>46281</x:v>
      </x:c>
      <x:c r="Q9" s="66" t="str">
        <x:v>已核验；基金页沿用9月15日公示</x:v>
      </x:c>
      <x:c r="R9" s="66" t="str">
        <x:v>2026-08-06</x:v>
      </x:c>
      <x:c r="S9" s="66" t="str">
        <x:v>2023-01-16</x:v>
      </x:c>
    </x:row>
    <x:row r="10" ht="27" customHeight="1">
      <x:c r="A10" s="66" t="str">
        <x:v>SEM001</x:v>
      </x:c>
      <x:c r="B10" s="66" t="str">
        <x:v>新时代智能量化3号</x:v>
      </x:c>
      <x:c r="C10" s="66" t="str">
        <x:v>杭州探融投资</x:v>
      </x:c>
      <x:c r="D10" s="66" t="str">
        <x:v>杭州探融投资管理有限公司</x:v>
      </x:c>
      <x:c r="E10" s="66" t="str">
        <x:v>P1032083</x:v>
      </x:c>
      <x:c r="F10" s="66" t="str">
        <x:v>0-5亿元</x:v>
      </x:c>
      <x:c r="G10" s="66" t="str">
        <x:v>小规模</x:v>
      </x:c>
      <x:c r="H10" s="66" t="str">
        <x:v>本次公示未见相关记录</x:v>
      </x:c>
      <x:c r="I10" s="66" t="str">
        <x:v>管理人层面</x:v>
      </x:c>
      <x:c r="J10" s="66" t="str"/>
      <x:c r="K10" s="66" t="str"/>
      <x:c r="L10" s="66" t="str"/>
      <x:c r="M10" s="66" t="str"/>
      <x:c r="N10" s="66" t="str">
        <x:v>https://gs.amac.org.cn/amac-infodisc/res/pof/manager/101000049159.html</x:v>
      </x:c>
      <x:c r="O10" s="66" t="str">
        <x:v>https://gs.amac.org.cn/amac-infodisc/res/pof/fund/1811011729102590.html</x:v>
      </x:c>
      <x:c r="P10" s="72" t="n">
        <x:v>46281</x:v>
      </x:c>
      <x:c r="Q10" s="66" t="str">
        <x:v>已核验；基金页沿用9月15日公示</x:v>
      </x:c>
      <x:c r="R10" s="66" t="str">
        <x:v>2025-05-22</x:v>
      </x:c>
      <x:c r="S10" s="66" t="str">
        <x:v>2026-05-12</x:v>
      </x:c>
    </x:row>
    <x:row r="11" ht="27" customHeight="1">
      <x:c r="A11" s="66" t="str">
        <x:v>SGH303</x:v>
      </x:c>
      <x:c r="B11" s="66" t="str">
        <x:v>悬铃C号2期</x:v>
      </x:c>
      <x:c r="C11" s="66" t="str">
        <x:v>上海悬铃</x:v>
      </x:c>
      <x:c r="D11" s="66" t="str">
        <x:v>上海悬铃私募基金管理有限公司</x:v>
      </x:c>
      <x:c r="E11" s="66" t="str">
        <x:v>P1064634</x:v>
      </x:c>
      <x:c r="F11" s="66" t="str">
        <x:v>20-50亿元</x:v>
      </x:c>
      <x:c r="G11" s="66" t="str">
        <x:v>大规模</x:v>
      </x:c>
      <x:c r="H11" s="66" t="str">
        <x:v>本次公示未见相关记录</x:v>
      </x:c>
      <x:c r="I11" s="66" t="str">
        <x:v>管理人层面</x:v>
      </x:c>
      <x:c r="J11" s="66" t="str"/>
      <x:c r="K11" s="66" t="str"/>
      <x:c r="L11" s="66" t="str"/>
      <x:c r="M11" s="66" t="str"/>
      <x:c r="N11" s="66" t="str">
        <x:v>https://gs.amac.org.cn/amac-infodisc/res/pof/manager/1701161209103763.html</x:v>
      </x:c>
      <x:c r="O11" s="66" t="str">
        <x:v>https://gs.amac.org.cn/amac-infodisc/res/pof/fund/1904291722104146.html</x:v>
      </x:c>
      <x:c r="P11" s="72" t="n">
        <x:v>46281</x:v>
      </x:c>
      <x:c r="Q11" s="66" t="str">
        <x:v>已核验；基金页沿用9月15日公示</x:v>
      </x:c>
      <x:c r="R11" s="66" t="str">
        <x:v>2026-07-13</x:v>
      </x:c>
      <x:c r="S11" s="66" t="str">
        <x:v>2025-03-12</x:v>
      </x:c>
    </x:row>
    <x:row r="12" ht="27" customHeight="1">
      <x:c r="A12" s="66" t="str">
        <x:v>SJA112</x:v>
      </x:c>
      <x:c r="B12" s="66" t="str">
        <x:v>爱凡哲九号</x:v>
      </x:c>
      <x:c r="C12" s="66" t="str">
        <x:v>爱凡哲投资</x:v>
      </x:c>
      <x:c r="D12" s="66" t="str">
        <x:v>爱凡哲投资管理有限公司</x:v>
      </x:c>
      <x:c r="E12" s="66" t="str">
        <x:v>P1066184</x:v>
      </x:c>
      <x:c r="F12" s="66" t="str">
        <x:v>20-50亿元</x:v>
      </x:c>
      <x:c r="G12" s="66" t="str">
        <x:v>大规模</x:v>
      </x:c>
      <x:c r="H12" s="66" t="str">
        <x:v>本次公示未见相关记录</x:v>
      </x:c>
      <x:c r="I12" s="66" t="str">
        <x:v>管理人层面</x:v>
      </x:c>
      <x:c r="J12" s="66" t="str"/>
      <x:c r="K12" s="66" t="str"/>
      <x:c r="L12" s="66" t="str"/>
      <x:c r="M12" s="66" t="str"/>
      <x:c r="N12" s="66" t="str">
        <x:v>https://gs.amac.org.cn/amac-infodisc/res/pof/manager/1709181131101311.html</x:v>
      </x:c>
      <x:c r="O12" s="66" t="str">
        <x:v>https://gs.amac.org.cn/amac-infodisc/res/pof/fund/1909051919107161.html</x:v>
      </x:c>
      <x:c r="P12" s="72" t="n">
        <x:v>46281</x:v>
      </x:c>
      <x:c r="Q12" s="66" t="str">
        <x:v>已核验；基金页沿用9月15日公示</x:v>
      </x:c>
      <x:c r="R12" s="66" t="str">
        <x:v>2025-04-30</x:v>
      </x:c>
      <x:c r="S12" s="66" t="str">
        <x:v>2026-08-06</x:v>
      </x:c>
    </x:row>
    <x:row r="13" ht="27" customHeight="1">
      <x:c r="A13" s="66" t="str">
        <x:v>SGQ731</x:v>
      </x:c>
      <x:c r="B13" s="66" t="str">
        <x:v>恒如套利三号</x:v>
      </x:c>
      <x:c r="C13" s="66" t="str">
        <x:v>上海恒如投资</x:v>
      </x:c>
      <x:c r="D13" s="66" t="str">
        <x:v>上海恒如投资管理有限公司</x:v>
      </x:c>
      <x:c r="E13" s="66" t="str">
        <x:v>P1000715</x:v>
      </x:c>
      <x:c r="F13" s="66" t="str">
        <x:v>5-10亿元</x:v>
      </x:c>
      <x:c r="G13" s="66" t="str">
        <x:v>大规模</x:v>
      </x:c>
      <x:c r="H13" s="66" t="str">
        <x:v>协会提示／报送异常</x:v>
      </x:c>
      <x:c r="I13" s="66" t="str">
        <x:v>管理人层面</x:v>
      </x:c>
      <x:c r="J13" s="66" t="str"/>
      <x:c r="K13" s="66" t="str">
        <x:v>存在长期处于清算状态基金 指私募基金管理人存在提交清算开始后超过6个月未完成清算的私募基金。</x:v>
      </x:c>
      <x:c r="L13" s="66" t="str"/>
      <x:c r="M13" s="66" t="str"/>
      <x:c r="N13" s="66" t="str">
        <x:v>https://gs.amac.org.cn/amac-infodisc/res/pof/manager/101000001221.html</x:v>
      </x:c>
      <x:c r="O13" s="66" t="str">
        <x:v>https://gs.amac.org.cn/amac-infodisc/res/pof/fund/1910121042102347.html</x:v>
      </x:c>
      <x:c r="P13" s="72" t="n">
        <x:v>46281</x:v>
      </x:c>
      <x:c r="Q13" s="66" t="str">
        <x:v>已核验；基金页沿用9月15日公示</x:v>
      </x:c>
      <x:c r="R13" s="66" t="str">
        <x:v>2026-05-28</x:v>
      </x:c>
      <x:c r="S13" s="66" t="str">
        <x:v>2024-11-21</x:v>
      </x:c>
    </x:row>
    <x:row r="14" ht="27" customHeight="1">
      <x:c r="A14" s="66" t="str">
        <x:v>SGF269</x:v>
      </x:c>
      <x:c r="B14" s="66" t="str">
        <x:v>鹿秀驯鹿二号</x:v>
      </x:c>
      <x:c r="C14" s="66" t="str">
        <x:v>青岛鹿秀投资</x:v>
      </x:c>
      <x:c r="D14" s="66" t="str">
        <x:v>青岛鹿秀投资管理有限公司</x:v>
      </x:c>
      <x:c r="E14" s="66" t="str">
        <x:v>P1064617</x:v>
      </x:c>
      <x:c r="F14" s="66" t="str">
        <x:v>50-100亿元</x:v>
      </x:c>
      <x:c r="G14" s="66" t="str">
        <x:v>大规模</x:v>
      </x:c>
      <x:c r="H14" s="66" t="str">
        <x:v>协会提示／报送异常</x:v>
      </x:c>
      <x:c r="I14" s="66" t="str">
        <x:v>管理人层面</x:v>
      </x:c>
      <x:c r="J14" s="66" t="str"/>
      <x:c r="K14" s="66" t="str">
        <x:v>注册地与办公地不在同一辖区 指私募基金管理人的注册地与办公地不在同一证监会辖区。 存在逾期未清算基金 指私募基金管理人存在超过到期日3个月且未提交清算申请的私募基金。</x:v>
      </x:c>
      <x:c r="L14" s="66" t="str"/>
      <x:c r="M14" s="66" t="str">
        <x:v>根据管理人最新报送信息，本基金存续规模低于1000万人民币（2026年第2季度季度更新信息）</x:v>
      </x:c>
      <x:c r="N14" s="66" t="str">
        <x:v>https://gs.amac.org.cn/amac-infodisc/res/pof/manager/1612231708101923.html</x:v>
      </x:c>
      <x:c r="O14" s="66" t="str">
        <x:v>https://gs.amac.org.cn/amac-infodisc/res/pof/fund/1910231722102267.html</x:v>
      </x:c>
      <x:c r="P14" s="72" t="n">
        <x:v>46281</x:v>
      </x:c>
      <x:c r="Q14" s="66" t="str">
        <x:v>已核验；基金页沿用9月15日公示</x:v>
      </x:c>
      <x:c r="R14" s="66" t="str">
        <x:v>2025-01-10</x:v>
      </x:c>
      <x:c r="S14" s="66" t="str">
        <x:v>2026-07-15</x:v>
      </x:c>
    </x:row>
    <x:row r="15" ht="27" customHeight="1">
      <x:c r="A15" s="66" t="str">
        <x:v>SJF426</x:v>
      </x:c>
      <x:c r="B15" s="66" t="str">
        <x:v>本利达利磐一号</x:v>
      </x:c>
      <x:c r="C15" s="66" t="str">
        <x:v>深圳本利达资管</x:v>
      </x:c>
      <x:c r="D15" s="66" t="str">
        <x:v>深圳市本利达资产管理有限公司</x:v>
      </x:c>
      <x:c r="E15" s="66" t="str">
        <x:v>P1020629</x:v>
      </x:c>
      <x:c r="F15" s="66" t="str">
        <x:v>0-5亿元</x:v>
      </x:c>
      <x:c r="G15" s="66" t="str">
        <x:v>小规模</x:v>
      </x:c>
      <x:c r="H15" s="66" t="str">
        <x:v>本次公示未见相关记录</x:v>
      </x:c>
      <x:c r="I15" s="66" t="str">
        <x:v>管理人层面</x:v>
      </x:c>
      <x:c r="J15" s="66" t="str"/>
      <x:c r="K15" s="66" t="str"/>
      <x:c r="L15" s="66" t="str"/>
      <x:c r="M15" s="66" t="str"/>
      <x:c r="N15" s="66" t="str">
        <x:v>https://gs.amac.org.cn/amac-infodisc/res/pof/manager/101000028552.html</x:v>
      </x:c>
      <x:c r="O15" s="66" t="str">
        <x:v>https://gs.amac.org.cn/amac-infodisc/res/pof/fund/1911061732126237.html</x:v>
      </x:c>
      <x:c r="P15" s="72" t="n">
        <x:v>46281</x:v>
      </x:c>
      <x:c r="Q15" s="66" t="str">
        <x:v>已核验；基金页沿用9月15日公示</x:v>
      </x:c>
      <x:c r="R15" s="66" t="str">
        <x:v>2026-06-16</x:v>
      </x:c>
      <x:c r="S15" s="66" t="str">
        <x:v>2025-04-01</x:v>
      </x:c>
    </x:row>
    <x:row r="16" ht="27" customHeight="1">
      <x:c r="A16" s="66" t="str">
        <x:v>SJG287</x:v>
      </x:c>
      <x:c r="B16" s="66" t="str">
        <x:v>和熙新月1号</x:v>
      </x:c>
      <x:c r="C16" s="66" t="str">
        <x:v>浙江和熙资管</x:v>
      </x:c>
      <x:c r="D16" s="66" t="str">
        <x:v>浙江和熙资产管理有限公司</x:v>
      </x:c>
      <x:c r="E16" s="66" t="str">
        <x:v>P1033444</x:v>
      </x:c>
      <x:c r="F16" s="66" t="str">
        <x:v>5-10亿元</x:v>
      </x:c>
      <x:c r="G16" s="66" t="str">
        <x:v>大规模</x:v>
      </x:c>
      <x:c r="H16" s="66" t="str">
        <x:v>协会提示／报送异常</x:v>
      </x:c>
      <x:c r="I16" s="66" t="str">
        <x:v>管理人层面</x:v>
      </x:c>
      <x:c r="J16" s="66" t="str">
        <x:v>信息报送异常 异常原因： 未按要求按时提交经审计的年度财务报告（本异常机构公示情形已整改）</x:v>
      </x:c>
      <x:c r="K16" s="66" t="str"/>
      <x:c r="L16" s="66" t="str"/>
      <x:c r="M16" s="66" t="str"/>
      <x:c r="N16" s="66" t="str">
        <x:v>https://gs.amac.org.cn/amac-infodisc/res/pof/manager/101000072213.html</x:v>
      </x:c>
      <x:c r="O16" s="66" t="str">
        <x:v>https://gs.amac.org.cn/amac-infodisc/res/pof/fund/1911201726147441.html</x:v>
      </x:c>
      <x:c r="P16" s="72" t="n">
        <x:v>46281</x:v>
      </x:c>
      <x:c r="Q16" s="66" t="str">
        <x:v>已核验；基金页沿用9月15日公示</x:v>
      </x:c>
      <x:c r="R16" s="66" t="str">
        <x:v>2026-02-10</x:v>
      </x:c>
      <x:c r="S16" s="66" t="str">
        <x:v>2025-03-20</x:v>
      </x:c>
    </x:row>
    <x:row r="17" ht="27" customHeight="1">
      <x:c r="A17" s="66" t="str">
        <x:v>SJJ138</x:v>
      </x:c>
      <x:c r="B17" s="66" t="str">
        <x:v>鹿秀统计套利1号</x:v>
      </x:c>
      <x:c r="C17" s="66" t="str">
        <x:v>青岛鹿秀投资</x:v>
      </x:c>
      <x:c r="D17" s="66" t="str">
        <x:v>青岛鹿秀投资管理有限公司</x:v>
      </x:c>
      <x:c r="E17" s="66" t="str">
        <x:v>P1064617</x:v>
      </x:c>
      <x:c r="F17" s="66" t="str">
        <x:v>50-100亿元</x:v>
      </x:c>
      <x:c r="G17" s="66" t="str">
        <x:v>大规模</x:v>
      </x:c>
      <x:c r="H17" s="66" t="str">
        <x:v>协会提示／报送异常</x:v>
      </x:c>
      <x:c r="I17" s="66" t="str">
        <x:v>管理人层面</x:v>
      </x:c>
      <x:c r="J17" s="66" t="str"/>
      <x:c r="K17" s="66" t="str">
        <x:v>注册地与办公地不在同一辖区 指私募基金管理人的注册地与办公地不在同一证监会辖区。 存在逾期未清算基金 指私募基金管理人存在超过到期日3个月且未提交清算申请的私募基金。</x:v>
      </x:c>
      <x:c r="L17" s="66" t="str"/>
      <x:c r="M17" s="66" t="str"/>
      <x:c r="N17" s="66" t="str">
        <x:v>https://gs.amac.org.cn/amac-infodisc/res/pof/manager/1612231708101923.html</x:v>
      </x:c>
      <x:c r="O17" s="66" t="str">
        <x:v>https://gs.amac.org.cn/amac-infodisc/res/pof/fund/1912061240100295.html</x:v>
      </x:c>
      <x:c r="P17" s="72" t="n">
        <x:v>46281</x:v>
      </x:c>
      <x:c r="Q17" s="66" t="str">
        <x:v>已核验；基金页沿用9月15日公示</x:v>
      </x:c>
      <x:c r="R17" s="66" t="str">
        <x:v>2025-01-10</x:v>
      </x:c>
      <x:c r="S17" s="66" t="str">
        <x:v>2026-07-14</x:v>
      </x:c>
    </x:row>
    <x:row r="18" ht="27" customHeight="1">
      <x:c r="A18" s="66" t="str">
        <x:v>SJQ683</x:v>
      </x:c>
      <x:c r="B18" s="66" t="str">
        <x:v>唐龙量化对冲99号</x:v>
      </x:c>
      <x:c r="C18" s="66" t="str">
        <x:v>福建平潭唐龙资管</x:v>
      </x:c>
      <x:c r="D18" s="66" t="str">
        <x:v>福建平潭唐龙资产管理有限公司</x:v>
      </x:c>
      <x:c r="E18" s="66" t="str">
        <x:v>P1068562</x:v>
      </x:c>
      <x:c r="F18" s="66" t="str">
        <x:v>5-10亿元</x:v>
      </x:c>
      <x:c r="G18" s="66" t="str">
        <x:v>大规模</x:v>
      </x:c>
      <x:c r="H18" s="66" t="str">
        <x:v>本次公示未见相关记录</x:v>
      </x:c>
      <x:c r="I18" s="66" t="str">
        <x:v>管理人层面</x:v>
      </x:c>
      <x:c r="J18" s="66" t="str"/>
      <x:c r="K18" s="66" t="str"/>
      <x:c r="L18" s="66" t="str"/>
      <x:c r="M18" s="66" t="str"/>
      <x:c r="N18" s="66" t="str">
        <x:v>https://gs.amac.org.cn/amac-infodisc/res/pof/manager/1708091719102142.html</x:v>
      </x:c>
      <x:c r="O18" s="66" t="str">
        <x:v>https://gs.amac.org.cn/amac-infodisc/res/pof/fund/2002251051107073.html</x:v>
      </x:c>
      <x:c r="P18" s="72" t="n">
        <x:v>46281</x:v>
      </x:c>
      <x:c r="Q18" s="66" t="str">
        <x:v>已核验；基金页沿用9月15日公示</x:v>
      </x:c>
      <x:c r="R18" s="66" t="str">
        <x:v>2026-03-31</x:v>
      </x:c>
      <x:c r="S18" s="66" t="str">
        <x:v>2023-11-29</x:v>
      </x:c>
    </x:row>
    <x:row r="19" ht="27" customHeight="1">
      <x:c r="A19" s="66" t="str">
        <x:v>SJS811</x:v>
      </x:c>
      <x:c r="B19" s="66" t="str">
        <x:v>凡德量化八号</x:v>
      </x:c>
      <x:c r="C19" s="66" t="str">
        <x:v>广东凡德投资</x:v>
      </x:c>
      <x:c r="D19" s="66" t="str">
        <x:v>广东凡德投资有限公司</x:v>
      </x:c>
      <x:c r="E19" s="66" t="str">
        <x:v>P1003150</x:v>
      </x:c>
      <x:c r="F19" s="66" t="str">
        <x:v>5-10亿元</x:v>
      </x:c>
      <x:c r="G19" s="66" t="str">
        <x:v>大规模</x:v>
      </x:c>
      <x:c r="H19" s="66" t="str">
        <x:v>本次公示未见相关记录</x:v>
      </x:c>
      <x:c r="I19" s="66" t="str">
        <x:v>管理人层面</x:v>
      </x:c>
      <x:c r="J19" s="66" t="str"/>
      <x:c r="K19" s="66" t="str"/>
      <x:c r="L19" s="66" t="str"/>
      <x:c r="M19" s="66" t="str"/>
      <x:c r="N19" s="66" t="str">
        <x:v>https://gs.amac.org.cn/amac-infodisc/res/pof/manager/101000000695.html</x:v>
      </x:c>
      <x:c r="O19" s="66" t="str">
        <x:v>https://gs.amac.org.cn/amac-infodisc/res/pof/fund/2003030835104240.html</x:v>
      </x:c>
      <x:c r="P19" s="72" t="n">
        <x:v>46281</x:v>
      </x:c>
      <x:c r="Q19" s="66" t="str">
        <x:v>已核验；基金页沿用9月15日公示</x:v>
      </x:c>
      <x:c r="R19" s="66" t="str">
        <x:v>2026-04-15</x:v>
      </x:c>
      <x:c r="S19" s="66" t="str">
        <x:v>2025-03-27</x:v>
      </x:c>
    </x:row>
    <x:row r="20" ht="27" customHeight="1">
      <x:c r="A20" s="66" t="str">
        <x:v>SJS027</x:v>
      </x:c>
      <x:c r="B20" s="66" t="str">
        <x:v>百奕传家一号</x:v>
      </x:c>
      <x:c r="C20" s="66" t="str">
        <x:v>上海百奕投资</x:v>
      </x:c>
      <x:c r="D20" s="66" t="str">
        <x:v>上海百奕投资管理中心（有限合伙）</x:v>
      </x:c>
      <x:c r="E20" s="66" t="str">
        <x:v>P1014097</x:v>
      </x:c>
      <x:c r="F20" s="66" t="str">
        <x:v>0-5亿元</x:v>
      </x:c>
      <x:c r="G20" s="66" t="str">
        <x:v>小规模</x:v>
      </x:c>
      <x:c r="H20" s="66" t="str">
        <x:v>本次公示未见相关记录</x:v>
      </x:c>
      <x:c r="I20" s="66" t="str">
        <x:v>管理人层面</x:v>
      </x:c>
      <x:c r="J20" s="66" t="str"/>
      <x:c r="K20" s="66" t="str"/>
      <x:c r="L20" s="66" t="str"/>
      <x:c r="M20" s="66" t="str"/>
      <x:c r="N20" s="66" t="str">
        <x:v>https://gs.amac.org.cn/amac-infodisc/res/pof/manager/101000019935.html</x:v>
      </x:c>
      <x:c r="O20" s="66" t="str">
        <x:v>https://gs.amac.org.cn/amac-infodisc/res/pof/fund/2003301654103531.html</x:v>
      </x:c>
      <x:c r="P20" s="72" t="n">
        <x:v>46281</x:v>
      </x:c>
      <x:c r="Q20" s="66" t="str">
        <x:v>已核验；基金页沿用9月15日公示</x:v>
      </x:c>
      <x:c r="R20" s="66" t="str">
        <x:v>2026-07-24</x:v>
      </x:c>
      <x:c r="S20" s="66" t="str">
        <x:v>2025-04-24</x:v>
      </x:c>
    </x:row>
    <x:row r="21" ht="27" customHeight="1">
      <x:c r="A21" s="66" t="str">
        <x:v>SJM626</x:v>
      </x:c>
      <x:c r="B21" s="66" t="str">
        <x:v>蒙森斯道特恒星三号</x:v>
      </x:c>
      <x:c r="C21" s="66" t="str">
        <x:v>上海蒙森投资</x:v>
      </x:c>
      <x:c r="D21" s="66" t="str">
        <x:v>蒙森（上海）投资管理有限公司</x:v>
      </x:c>
      <x:c r="E21" s="66" t="str">
        <x:v>P1034667</x:v>
      </x:c>
      <x:c r="F21" s="66" t="str">
        <x:v>0-5亿元</x:v>
      </x:c>
      <x:c r="G21" s="66" t="str">
        <x:v>小规模</x:v>
      </x:c>
      <x:c r="H21" s="66" t="str">
        <x:v>监管警示函</x:v>
      </x:c>
      <x:c r="I21" s="66" t="str">
        <x:v>管理人层面</x:v>
      </x:c>
      <x:c r="J21" s="66" t="str">
        <x:v>三年内行政监管措施 该机构于2025年10月21日被上海证监局采取出具警示函的行政监管措施。</x:v>
      </x:c>
      <x:c r="K21" s="66" t="str"/>
      <x:c r="L21" s="66" t="str"/>
      <x:c r="M21" s="66" t="str"/>
      <x:c r="N21" s="66" t="str">
        <x:v>https://gs.amac.org.cn/amac-infodisc/res/pof/manager/101000010726.html</x:v>
      </x:c>
      <x:c r="O21" s="66" t="str">
        <x:v>https://gs.amac.org.cn/amac-infodisc/res/pof/fund/2004141727126733.html</x:v>
      </x:c>
      <x:c r="P21" s="72" t="n">
        <x:v>46281</x:v>
      </x:c>
      <x:c r="Q21" s="66" t="str">
        <x:v>已核验；基金页沿用9月15日公示</x:v>
      </x:c>
      <x:c r="R21" s="66" t="str">
        <x:v>2026-03-30</x:v>
      </x:c>
      <x:c r="S21" s="66" t="str">
        <x:v>2025-05-07</x:v>
      </x:c>
    </x:row>
    <x:row r="22" ht="27" customHeight="1">
      <x:c r="A22" s="66" t="str">
        <x:v>SLC023</x:v>
      </x:c>
      <x:c r="B22" s="66" t="str">
        <x:v>银瓴运通对冲套利致远3号</x:v>
      </x:c>
      <x:c r="C22" s="66" t="str">
        <x:v>广西银瓴资产</x:v>
      </x:c>
      <x:c r="D22" s="66" t="str">
        <x:v>广西银瓴资产管理有限公司</x:v>
      </x:c>
      <x:c r="E22" s="66" t="str">
        <x:v>P1026879</x:v>
      </x:c>
      <x:c r="F22" s="66" t="str">
        <x:v>0-5亿元</x:v>
      </x:c>
      <x:c r="G22" s="66" t="str">
        <x:v>小规模</x:v>
      </x:c>
      <x:c r="H22" s="66" t="str">
        <x:v>本次公示未见相关记录</x:v>
      </x:c>
      <x:c r="I22" s="66" t="str">
        <x:v>管理人层面</x:v>
      </x:c>
      <x:c r="J22" s="66" t="str"/>
      <x:c r="K22" s="66" t="str"/>
      <x:c r="L22" s="66" t="str"/>
      <x:c r="M22" s="66" t="str">
        <x:v>根据管理人最新报送信息，本基金存续规模低于1000万人民币（2026年第2季度季度更新信息）</x:v>
      </x:c>
      <x:c r="N22" s="66" t="str">
        <x:v>https://gs.amac.org.cn/amac-infodisc/res/pof/manager/101000035485.html</x:v>
      </x:c>
      <x:c r="O22" s="66" t="str">
        <x:v>https://gs.amac.org.cn/amac-infodisc/res/pof/fund/2006181800104261.html</x:v>
      </x:c>
      <x:c r="P22" s="72" t="n">
        <x:v>46281</x:v>
      </x:c>
      <x:c r="Q22" s="66" t="str">
        <x:v>已核验；基金页沿用9月15日公示</x:v>
      </x:c>
      <x:c r="R22" s="66" t="str">
        <x:v>2026-07-09</x:v>
      </x:c>
      <x:c r="S22" s="66" t="str">
        <x:v>2024-12-04</x:v>
      </x:c>
    </x:row>
    <x:row r="23" ht="27" customHeight="1">
      <x:c r="A23" s="66" t="str">
        <x:v>SLC022</x:v>
      </x:c>
      <x:c r="B23" s="66" t="str">
        <x:v>银瓴运通对冲套利进取2号</x:v>
      </x:c>
      <x:c r="C23" s="66" t="str">
        <x:v>广西银瓴资产</x:v>
      </x:c>
      <x:c r="D23" s="66" t="str">
        <x:v>广西银瓴资产管理有限公司</x:v>
      </x:c>
      <x:c r="E23" s="66" t="str">
        <x:v>P1026879</x:v>
      </x:c>
      <x:c r="F23" s="66" t="str">
        <x:v>0-5亿元</x:v>
      </x:c>
      <x:c r="G23" s="66" t="str">
        <x:v>小规模</x:v>
      </x:c>
      <x:c r="H23" s="66" t="str">
        <x:v>本次公示未见相关记录</x:v>
      </x:c>
      <x:c r="I23" s="66" t="str">
        <x:v>管理人层面</x:v>
      </x:c>
      <x:c r="J23" s="66" t="str"/>
      <x:c r="K23" s="66" t="str"/>
      <x:c r="L23" s="66" t="str"/>
      <x:c r="M23" s="66" t="str"/>
      <x:c r="N23" s="66" t="str">
        <x:v>https://gs.amac.org.cn/amac-infodisc/res/pof/manager/101000035485.html</x:v>
      </x:c>
      <x:c r="O23" s="66" t="str">
        <x:v>https://gs.amac.org.cn/amac-infodisc/res/pof/fund/2006192211107635.html</x:v>
      </x:c>
      <x:c r="P23" s="72" t="n">
        <x:v>46281</x:v>
      </x:c>
      <x:c r="Q23" s="66" t="str">
        <x:v>已核验；基金页沿用9月15日公示</x:v>
      </x:c>
      <x:c r="R23" s="66" t="str">
        <x:v>2026-07-09</x:v>
      </x:c>
      <x:c r="S23" s="66" t="str">
        <x:v>2024-12-04</x:v>
      </x:c>
    </x:row>
    <x:row r="24" ht="27" customHeight="1">
      <x:c r="A24" s="66" t="str">
        <x:v>SLT573</x:v>
      </x:c>
      <x:c r="B24" s="66" t="str">
        <x:v>铭杉量化稳健5号</x:v>
      </x:c>
      <x:c r="C24" s="66" t="str">
        <x:v>上海铭杉投资</x:v>
      </x:c>
      <x:c r="D24" s="66" t="str">
        <x:v>上海铭杉投资管理有限公司</x:v>
      </x:c>
      <x:c r="E24" s="66" t="str">
        <x:v>P1065825</x:v>
      </x:c>
      <x:c r="F24" s="66" t="str">
        <x:v>0-5亿元</x:v>
      </x:c>
      <x:c r="G24" s="66" t="str">
        <x:v>小规模</x:v>
      </x:c>
      <x:c r="H24" s="66" t="str">
        <x:v>本次公示未见相关记录</x:v>
      </x:c>
      <x:c r="I24" s="66" t="str">
        <x:v>管理人层面</x:v>
      </x:c>
      <x:c r="J24" s="66" t="str"/>
      <x:c r="K24" s="66" t="str"/>
      <x:c r="L24" s="66" t="str"/>
      <x:c r="M24" s="66" t="str">
        <x:v>根据管理人最新报送信息，本基金存续规模低于1000万人民币（2026年第2季度季度更新信息）</x:v>
      </x:c>
      <x:c r="N24" s="66" t="str">
        <x:v>https://gs.amac.org.cn/amac-infodisc/res/pof/manager/1708301158107602.html</x:v>
      </x:c>
      <x:c r="O24" s="66" t="str">
        <x:v>https://gs.amac.org.cn/amac-infodisc/res/pof/fund/2009171717131963.html</x:v>
      </x:c>
      <x:c r="P24" s="72" t="n">
        <x:v>46281</x:v>
      </x:c>
      <x:c r="Q24" s="66" t="str">
        <x:v>已核验；基金页沿用9月15日公示</x:v>
      </x:c>
      <x:c r="R24" s="66" t="str">
        <x:v>2025-05-20</x:v>
      </x:c>
      <x:c r="S24" s="66" t="str">
        <x:v>2026-07-08</x:v>
      </x:c>
    </x:row>
    <x:row r="25" ht="27" customHeight="1">
      <x:c r="A25" s="66" t="str">
        <x:v>SNA956</x:v>
      </x:c>
      <x:c r="B25" s="66" t="str">
        <x:v>数为道策套利一号</x:v>
      </x:c>
      <x:c r="C25" s="66" t="str">
        <x:v>福州数为</x:v>
      </x:c>
      <x:c r="D25" s="66" t="str">
        <x:v>福州数为私募基金管理有限公司</x:v>
      </x:c>
      <x:c r="E25" s="66" t="str">
        <x:v>P1064166</x:v>
      </x:c>
      <x:c r="F25" s="66" t="str">
        <x:v>0-5亿元</x:v>
      </x:c>
      <x:c r="G25" s="66" t="str">
        <x:v>小规模</x:v>
      </x:c>
      <x:c r="H25" s="66" t="str">
        <x:v>本次公示未见相关记录</x:v>
      </x:c>
      <x:c r="I25" s="66" t="str">
        <x:v>管理人层面</x:v>
      </x:c>
      <x:c r="J25" s="66" t="str"/>
      <x:c r="K25" s="66" t="str"/>
      <x:c r="L25" s="66" t="str"/>
      <x:c r="M25" s="66" t="str">
        <x:v>根据管理人最新报送信息，本基金存续规模低于1000万人民币（2026年第2季度季度更新信息）</x:v>
      </x:c>
      <x:c r="N25" s="66" t="str">
        <x:v>https://gs.amac.org.cn/amac-infodisc/res/pof/manager/1705081548107725.html</x:v>
      </x:c>
      <x:c r="O25" s="66" t="str">
        <x:v>https://gs.amac.org.cn/amac-infodisc/res/pof/fund/2010271707103406.html</x:v>
      </x:c>
      <x:c r="P25" s="72" t="n">
        <x:v>46281</x:v>
      </x:c>
      <x:c r="Q25" s="66" t="str">
        <x:v>已核验；基金页沿用9月15日公示</x:v>
      </x:c>
      <x:c r="R25" s="66" t="str">
        <x:v>2025-07-31</x:v>
      </x:c>
      <x:c r="S25" s="66" t="str">
        <x:v>2025-07-07</x:v>
      </x:c>
    </x:row>
    <x:row r="26" ht="27" customHeight="1">
      <x:c r="A26" s="66" t="str">
        <x:v>SNE543</x:v>
      </x:c>
      <x:c r="B26" s="66" t="str">
        <x:v>犇牛稳进3号</x:v>
      </x:c>
      <x:c r="C26" s="66" t="str">
        <x:v>上海犇牛</x:v>
      </x:c>
      <x:c r="D26" s="66" t="str">
        <x:v>上海犇牛私募基金管理有限公司</x:v>
      </x:c>
      <x:c r="E26" s="66" t="str">
        <x:v>P1007197</x:v>
      </x:c>
      <x:c r="F26" s="66" t="str">
        <x:v>10-20亿元</x:v>
      </x:c>
      <x:c r="G26" s="66" t="str">
        <x:v>大规模</x:v>
      </x:c>
      <x:c r="H26" s="66" t="str">
        <x:v>协会提示／报送异常</x:v>
      </x:c>
      <x:c r="I26" s="66" t="str">
        <x:v>管理人层面</x:v>
      </x:c>
      <x:c r="J26" s="66" t="str"/>
      <x:c r="K26" s="66" t="str">
        <x:v>存在长期处于清算状态基金 指私募基金管理人存在提交清算开始后超过6个月未完成清算的私募基金。</x:v>
      </x:c>
      <x:c r="L26" s="66" t="str"/>
      <x:c r="M26" s="66" t="str"/>
      <x:c r="N26" s="66" t="str">
        <x:v>https://gs.amac.org.cn/amac-infodisc/res/pof/manager/101000013203.html</x:v>
      </x:c>
      <x:c r="O26" s="66" t="str">
        <x:v>https://gs.amac.org.cn/amac-infodisc/res/pof/fund/2011121710129780.html</x:v>
      </x:c>
      <x:c r="P26" s="72" t="n">
        <x:v>46281</x:v>
      </x:c>
      <x:c r="Q26" s="66" t="str">
        <x:v>已核验；基金页沿用9月15日公示</x:v>
      </x:c>
      <x:c r="R26" s="66" t="str">
        <x:v>2026-07-08</x:v>
      </x:c>
      <x:c r="S26" s="66" t="str">
        <x:v>2025-05-12</x:v>
      </x:c>
    </x:row>
    <x:row r="27" ht="27" customHeight="1">
      <x:c r="A27" s="66" t="str">
        <x:v>SNB380</x:v>
      </x:c>
      <x:c r="B27" s="66" t="str">
        <x:v>致同云峰A</x:v>
      </x:c>
      <x:c r="C27" s="66" t="str">
        <x:v>上海致同投资</x:v>
      </x:c>
      <x:c r="D27" s="66" t="str">
        <x:v>上海致同投资管理有限公司</x:v>
      </x:c>
      <x:c r="E27" s="66" t="str">
        <x:v>P1003519</x:v>
      </x:c>
      <x:c r="F27" s="66" t="str">
        <x:v>20-50亿元</x:v>
      </x:c>
      <x:c r="G27" s="66" t="str">
        <x:v>大规模</x:v>
      </x:c>
      <x:c r="H27" s="66" t="str">
        <x:v>监管警示函</x:v>
      </x:c>
      <x:c r="I27" s="66" t="str">
        <x:v>管理人层面</x:v>
      </x:c>
      <x:c r="J27" s="66" t="str">
        <x:v>三年内行政监管措施 该机构于2024年8月19日被上海证监局采取出具警示函的行政监管措施。</x:v>
      </x:c>
      <x:c r="K27" s="66" t="str"/>
      <x:c r="L27" s="66" t="str"/>
      <x:c r="M27" s="66" t="str"/>
      <x:c r="N27" s="66" t="str">
        <x:v>https://gs.amac.org.cn/amac-infodisc/res/pof/manager/101000004339.html</x:v>
      </x:c>
      <x:c r="O27" s="66" t="str">
        <x:v>https://gs.amac.org.cn/amac-infodisc/res/pof/fund/2011161541105858.html</x:v>
      </x:c>
      <x:c r="P27" s="72" t="n">
        <x:v>46281</x:v>
      </x:c>
      <x:c r="Q27" s="66" t="str">
        <x:v>已核验；基金页沿用9月15日公示</x:v>
      </x:c>
      <x:c r="R27" s="66" t="str">
        <x:v>2026-03-16</x:v>
      </x:c>
      <x:c r="S27" s="66" t="str">
        <x:v>2025-05-27</x:v>
      </x:c>
    </x:row>
    <x:row r="28" ht="27" customHeight="1">
      <x:c r="A28" s="66" t="str">
        <x:v>SLY435</x:v>
      </x:c>
      <x:c r="B28" s="66" t="str">
        <x:v>橡杉量化套利十号</x:v>
      </x:c>
      <x:c r="C28" s="66" t="str">
        <x:v>上海橡杉资管</x:v>
      </x:c>
      <x:c r="D28" s="66" t="str">
        <x:v>上海橡杉资产管理有限公司</x:v>
      </x:c>
      <x:c r="E28" s="66" t="str">
        <x:v>P1060103</x:v>
      </x:c>
      <x:c r="F28" s="66" t="str">
        <x:v>5-10亿元</x:v>
      </x:c>
      <x:c r="G28" s="66" t="str">
        <x:v>大规模</x:v>
      </x:c>
      <x:c r="H28" s="66" t="str">
        <x:v>本次公示未见相关记录</x:v>
      </x:c>
      <x:c r="I28" s="66" t="str">
        <x:v>管理人层面</x:v>
      </x:c>
      <x:c r="J28" s="66" t="str"/>
      <x:c r="K28" s="66" t="str"/>
      <x:c r="L28" s="66" t="str"/>
      <x:c r="M28" s="66" t="str"/>
      <x:c r="N28" s="66" t="str">
        <x:v>https://gs.amac.org.cn/amac-infodisc/res/pof/manager/1609080127100430.html</x:v>
      </x:c>
      <x:c r="O28" s="66" t="str">
        <x:v>https://gs.amac.org.cn/amac-infodisc/res/pof/fund/2012021816130867.html</x:v>
      </x:c>
      <x:c r="P28" s="72" t="n">
        <x:v>46281</x:v>
      </x:c>
      <x:c r="Q28" s="66" t="str">
        <x:v>已核验；基金页沿用9月15日公示</x:v>
      </x:c>
      <x:c r="R28" s="66" t="str">
        <x:v>2026-02-12</x:v>
      </x:c>
      <x:c r="S28" s="66" t="str">
        <x:v>2026-07-29</x:v>
      </x:c>
    </x:row>
    <x:row r="29" ht="27" customHeight="1">
      <x:c r="A29" s="66" t="str">
        <x:v>SNE165</x:v>
      </x:c>
      <x:c r="B29" s="66" t="str">
        <x:v>裕锦量化专享1号</x:v>
      </x:c>
      <x:c r="C29" s="66" t="str">
        <x:v>深圳裕锦</x:v>
      </x:c>
      <x:c r="D29" s="66" t="str">
        <x:v>深圳裕锦私募证券基金管理有限公司</x:v>
      </x:c>
      <x:c r="E29" s="66" t="str">
        <x:v>P1071231</x:v>
      </x:c>
      <x:c r="F29" s="66" t="str">
        <x:v>10-20亿元</x:v>
      </x:c>
      <x:c r="G29" s="66" t="str">
        <x:v>大规模</x:v>
      </x:c>
      <x:c r="H29" s="66" t="str">
        <x:v>协会提示／报送异常</x:v>
      </x:c>
      <x:c r="I29" s="66" t="str">
        <x:v>管理人层面</x:v>
      </x:c>
      <x:c r="J29" s="66" t="str">
        <x:v>信息报送异常 异常原因： 未按要求按时提交经审计的年度财务报告（本异常机构公示情形已整改）</x:v>
      </x:c>
      <x:c r="K29" s="66" t="str"/>
      <x:c r="L29" s="66" t="str"/>
      <x:c r="M29" s="66" t="str"/>
      <x:c r="N29" s="66" t="str">
        <x:v>https://gs.amac.org.cn/amac-infodisc/res/pof/manager/2003241828108999.html</x:v>
      </x:c>
      <x:c r="O29" s="66" t="str">
        <x:v>https://gs.amac.org.cn/amac-infodisc/res/pof/fund/2012041657102605.html</x:v>
      </x:c>
      <x:c r="P29" s="72" t="n">
        <x:v>46281</x:v>
      </x:c>
      <x:c r="Q29" s="66" t="str">
        <x:v>已核验；基金页沿用9月15日公示</x:v>
      </x:c>
      <x:c r="R29" s="66" t="str">
        <x:v>2023-05-26</x:v>
      </x:c>
      <x:c r="S29" s="66" t="str">
        <x:v>2026-07-20</x:v>
      </x:c>
    </x:row>
    <x:row r="30" ht="27" customHeight="1">
      <x:c r="A30" s="66" t="str">
        <x:v>SQC001</x:v>
      </x:c>
      <x:c r="B30" s="66" t="str">
        <x:v>杭州探融-锦鲤智能量化3号</x:v>
      </x:c>
      <x:c r="C30" s="66" t="str">
        <x:v>杭州探融投资</x:v>
      </x:c>
      <x:c r="D30" s="66" t="str">
        <x:v>杭州探融投资管理有限公司</x:v>
      </x:c>
      <x:c r="E30" s="66" t="str">
        <x:v>P1032083</x:v>
      </x:c>
      <x:c r="F30" s="66" t="str">
        <x:v>0-5亿元</x:v>
      </x:c>
      <x:c r="G30" s="66" t="str">
        <x:v>小规模</x:v>
      </x:c>
      <x:c r="H30" s="66" t="str">
        <x:v>本次公示未见相关记录</x:v>
      </x:c>
      <x:c r="I30" s="66" t="str">
        <x:v>管理人层面</x:v>
      </x:c>
      <x:c r="J30" s="66" t="str"/>
      <x:c r="K30" s="66" t="str"/>
      <x:c r="L30" s="66" t="str"/>
      <x:c r="M30" s="66" t="str"/>
      <x:c r="N30" s="66" t="str">
        <x:v>https://gs.amac.org.cn/amac-infodisc/res/pof/manager/101000049159.html</x:v>
      </x:c>
      <x:c r="O30" s="66" t="str">
        <x:v>https://gs.amac.org.cn/amac-infodisc/res/pof/fund/2104231724118753.html</x:v>
      </x:c>
      <x:c r="P30" s="72" t="n">
        <x:v>46281</x:v>
      </x:c>
      <x:c r="Q30" s="66" t="str">
        <x:v>已核验；基金页沿用9月15日公示</x:v>
      </x:c>
      <x:c r="R30" s="66" t="str">
        <x:v>2025-05-22</x:v>
      </x:c>
      <x:c r="S30" s="66" t="str">
        <x:v>2026-05-12</x:v>
      </x:c>
    </x:row>
    <x:row r="31" ht="27" customHeight="1">
      <x:c r="A31" s="66" t="str">
        <x:v>SQD327</x:v>
      </x:c>
      <x:c r="B31" s="66" t="str">
        <x:v>平凡笃行君享</x:v>
      </x:c>
      <x:c r="C31" s="66" t="str">
        <x:v>北京平凡</x:v>
      </x:c>
      <x:c r="D31" s="66" t="str">
        <x:v>北京平凡私募基金管理有限公司</x:v>
      </x:c>
      <x:c r="E31" s="66" t="str">
        <x:v>P1021670</x:v>
      </x:c>
      <x:c r="F31" s="66" t="str">
        <x:v>50-100亿元</x:v>
      </x:c>
      <x:c r="G31" s="66" t="str">
        <x:v>大规模</x:v>
      </x:c>
      <x:c r="H31" s="66" t="str">
        <x:v>本次公示未见相关记录</x:v>
      </x:c>
      <x:c r="I31" s="66" t="str">
        <x:v>管理人层面</x:v>
      </x:c>
      <x:c r="J31" s="66" t="str"/>
      <x:c r="K31" s="66" t="str"/>
      <x:c r="L31" s="66" t="str"/>
      <x:c r="M31" s="66" t="str"/>
      <x:c r="N31" s="66" t="str">
        <x:v>https://gs.amac.org.cn/amac-infodisc/res/pof/manager/101000030286.html</x:v>
      </x:c>
      <x:c r="O31" s="66" t="str">
        <x:v>https://gs.amac.org.cn/amac-infodisc/res/pof/fund/2105121734101958.html</x:v>
      </x:c>
      <x:c r="P31" s="72" t="n">
        <x:v>46281</x:v>
      </x:c>
      <x:c r="Q31" s="66" t="str">
        <x:v>已核验；基金页沿用9月15日公示</x:v>
      </x:c>
      <x:c r="R31" s="66" t="str">
        <x:v>2026-08-05</x:v>
      </x:c>
      <x:c r="S31" s="66" t="str">
        <x:v>2023-08-01</x:v>
      </x:c>
    </x:row>
    <x:row r="32" ht="27" customHeight="1">
      <x:c r="A32" s="66" t="str">
        <x:v>SNW762</x:v>
      </x:c>
      <x:c r="B32" s="66" t="str">
        <x:v>银瓴运通稳健1号五期</x:v>
      </x:c>
      <x:c r="C32" s="66" t="str">
        <x:v>广西银瓴资产</x:v>
      </x:c>
      <x:c r="D32" s="66" t="str">
        <x:v>广西银瓴资产管理有限公司</x:v>
      </x:c>
      <x:c r="E32" s="66" t="str">
        <x:v>P1026879</x:v>
      </x:c>
      <x:c r="F32" s="66" t="str">
        <x:v>0-5亿元</x:v>
      </x:c>
      <x:c r="G32" s="66" t="str">
        <x:v>小规模</x:v>
      </x:c>
      <x:c r="H32" s="66" t="str">
        <x:v>本次公示未见相关记录</x:v>
      </x:c>
      <x:c r="I32" s="66" t="str">
        <x:v>管理人层面</x:v>
      </x:c>
      <x:c r="J32" s="66" t="str"/>
      <x:c r="K32" s="66" t="str"/>
      <x:c r="L32" s="66" t="str"/>
      <x:c r="M32" s="66" t="str">
        <x:v>根据管理人最新报送信息，本基金存续规模低于1000万人民币（2026年第2季度季度更新信息）</x:v>
      </x:c>
      <x:c r="N32" s="66" t="str">
        <x:v>https://gs.amac.org.cn/amac-infodisc/res/pof/manager/101000035485.html</x:v>
      </x:c>
      <x:c r="O32" s="66" t="str">
        <x:v>https://gs.amac.org.cn/amac-infodisc/res/pof/fund/2105191744101833.html</x:v>
      </x:c>
      <x:c r="P32" s="72" t="n">
        <x:v>46281</x:v>
      </x:c>
      <x:c r="Q32" s="66" t="str">
        <x:v>已核验；基金页沿用9月15日公示</x:v>
      </x:c>
      <x:c r="R32" s="66" t="str">
        <x:v>2026-07-09</x:v>
      </x:c>
      <x:c r="S32" s="66" t="str">
        <x:v>2025-07-30</x:v>
      </x:c>
    </x:row>
    <x:row r="33" ht="27" customHeight="1">
      <x:c r="A33" s="66" t="str">
        <x:v>SQS292</x:v>
      </x:c>
      <x:c r="B33" s="66" t="str">
        <x:v>荣熙商品1号</x:v>
      </x:c>
      <x:c r="C33" s="66" t="str">
        <x:v>上海荣熙</x:v>
      </x:c>
      <x:c r="D33" s="66" t="str">
        <x:v>上海荣熙私募基金管理有限公司</x:v>
      </x:c>
      <x:c r="E33" s="66" t="str">
        <x:v>P1017741</x:v>
      </x:c>
      <x:c r="F33" s="66" t="str">
        <x:v>5-10亿元</x:v>
      </x:c>
      <x:c r="G33" s="66" t="str">
        <x:v>大规模</x:v>
      </x:c>
      <x:c r="H33" s="66" t="str">
        <x:v>本次公示未见相关记录</x:v>
      </x:c>
      <x:c r="I33" s="66" t="str">
        <x:v>管理人层面</x:v>
      </x:c>
      <x:c r="J33" s="66" t="str"/>
      <x:c r="K33" s="66" t="str"/>
      <x:c r="L33" s="66" t="str"/>
      <x:c r="M33" s="66" t="str"/>
      <x:c r="N33" s="66" t="str">
        <x:v>https://gs.amac.org.cn/amac-infodisc/res/pof/manager/101000027208.html</x:v>
      </x:c>
      <x:c r="O33" s="66" t="str">
        <x:v>https://gs.amac.org.cn/amac-infodisc/res/pof/fund/2106221011108981.html</x:v>
      </x:c>
      <x:c r="P33" s="72" t="n">
        <x:v>46281</x:v>
      </x:c>
      <x:c r="Q33" s="66" t="str">
        <x:v>已核验；基金页沿用9月15日公示</x:v>
      </x:c>
      <x:c r="R33" s="66" t="str">
        <x:v>2026-07-22</x:v>
      </x:c>
      <x:c r="S33" s="66" t="str">
        <x:v>2022-01-12</x:v>
      </x:c>
    </x:row>
    <x:row r="34" ht="27" customHeight="1">
      <x:c r="A34" s="66" t="str">
        <x:v>SQV390</x:v>
      </x:c>
      <x:c r="B34" s="66" t="str">
        <x:v>银瓴多德价值投资1号</x:v>
      </x:c>
      <x:c r="C34" s="66" t="str">
        <x:v>广西银瓴资产</x:v>
      </x:c>
      <x:c r="D34" s="66" t="str">
        <x:v>广西银瓴资产管理有限公司</x:v>
      </x:c>
      <x:c r="E34" s="66" t="str">
        <x:v>P1026879</x:v>
      </x:c>
      <x:c r="F34" s="66" t="str">
        <x:v>0-5亿元</x:v>
      </x:c>
      <x:c r="G34" s="66" t="str">
        <x:v>小规模</x:v>
      </x:c>
      <x:c r="H34" s="66" t="str">
        <x:v>本次公示未见相关记录</x:v>
      </x:c>
      <x:c r="I34" s="66" t="str">
        <x:v>管理人层面</x:v>
      </x:c>
      <x:c r="J34" s="66" t="str"/>
      <x:c r="K34" s="66" t="str"/>
      <x:c r="L34" s="66" t="str"/>
      <x:c r="M34" s="66" t="str">
        <x:v>根据管理人最新报送信息，本基金存续规模低于1000万人民币（2026年第2季度季度更新信息）</x:v>
      </x:c>
      <x:c r="N34" s="66" t="str">
        <x:v>https://gs.amac.org.cn/amac-infodisc/res/pof/manager/101000035485.html</x:v>
      </x:c>
      <x:c r="O34" s="66" t="str">
        <x:v>https://gs.amac.org.cn/amac-infodisc/res/pof/fund/2107081734103311.html</x:v>
      </x:c>
      <x:c r="P34" s="72" t="n">
        <x:v>46281</x:v>
      </x:c>
      <x:c r="Q34" s="66" t="str">
        <x:v>已核验；基金页沿用9月15日公示</x:v>
      </x:c>
      <x:c r="R34" s="66" t="str">
        <x:v>2026-07-09</x:v>
      </x:c>
      <x:c r="S34" s="66" t="str">
        <x:v>2025-12-15</x:v>
      </x:c>
    </x:row>
    <x:row r="35" ht="27" customHeight="1">
      <x:c r="A35" s="66" t="str">
        <x:v>SQU465</x:v>
      </x:c>
      <x:c r="B35" s="66" t="str">
        <x:v>银瓴运通对冲套利宝城6号</x:v>
      </x:c>
      <x:c r="C35" s="66" t="str">
        <x:v>广西银瓴资产</x:v>
      </x:c>
      <x:c r="D35" s="66" t="str">
        <x:v>广西银瓴资产管理有限公司</x:v>
      </x:c>
      <x:c r="E35" s="66" t="str">
        <x:v>P1026879</x:v>
      </x:c>
      <x:c r="F35" s="66" t="str">
        <x:v>0-5亿元</x:v>
      </x:c>
      <x:c r="G35" s="66" t="str">
        <x:v>小规模</x:v>
      </x:c>
      <x:c r="H35" s="66" t="str">
        <x:v>本次公示未见相关记录</x:v>
      </x:c>
      <x:c r="I35" s="66" t="str">
        <x:v>管理人层面</x:v>
      </x:c>
      <x:c r="J35" s="66" t="str"/>
      <x:c r="K35" s="66" t="str"/>
      <x:c r="L35" s="66" t="str"/>
      <x:c r="M35" s="66" t="str">
        <x:v>根据管理人最新报送信息，本基金存续规模低于1000万人民币（2026年第2季度季度更新信息）</x:v>
      </x:c>
      <x:c r="N35" s="66" t="str">
        <x:v>https://gs.amac.org.cn/amac-infodisc/res/pof/manager/101000035485.html</x:v>
      </x:c>
      <x:c r="O35" s="66" t="str">
        <x:v>https://gs.amac.org.cn/amac-infodisc/res/pof/fund/2107201405108222.html</x:v>
      </x:c>
      <x:c r="P35" s="72" t="n">
        <x:v>46281</x:v>
      </x:c>
      <x:c r="Q35" s="66" t="str">
        <x:v>已核验；基金页沿用9月15日公示</x:v>
      </x:c>
      <x:c r="R35" s="66" t="str">
        <x:v>2026-07-09</x:v>
      </x:c>
      <x:c r="S35" s="66" t="str">
        <x:v>2026-03-25</x:v>
      </x:c>
    </x:row>
    <x:row r="36" ht="27" customHeight="1">
      <x:c r="A36" s="66" t="str">
        <x:v>SQZ278</x:v>
      </x:c>
      <x:c r="B36" s="66" t="str">
        <x:v>银瓴运通对冲套利进取2号二期</x:v>
      </x:c>
      <x:c r="C36" s="66" t="str">
        <x:v>广西银瓴资产</x:v>
      </x:c>
      <x:c r="D36" s="66" t="str">
        <x:v>广西银瓴资产管理有限公司</x:v>
      </x:c>
      <x:c r="E36" s="66" t="str">
        <x:v>P1026879</x:v>
      </x:c>
      <x:c r="F36" s="66" t="str">
        <x:v>0-5亿元</x:v>
      </x:c>
      <x:c r="G36" s="66" t="str">
        <x:v>小规模</x:v>
      </x:c>
      <x:c r="H36" s="66" t="str">
        <x:v>本次公示未见相关记录</x:v>
      </x:c>
      <x:c r="I36" s="66" t="str">
        <x:v>管理人层面</x:v>
      </x:c>
      <x:c r="J36" s="66" t="str"/>
      <x:c r="K36" s="66" t="str"/>
      <x:c r="L36" s="66" t="str"/>
      <x:c r="M36" s="66" t="str">
        <x:v>根据管理人最新报送信息，本基金存续规模低于1000万人民币（2026年第2季度季度更新信息）</x:v>
      </x:c>
      <x:c r="N36" s="66" t="str">
        <x:v>https://gs.amac.org.cn/amac-infodisc/res/pof/manager/101000035485.html</x:v>
      </x:c>
      <x:c r="O36" s="66" t="str">
        <x:v>https://gs.amac.org.cn/amac-infodisc/res/pof/fund/2107201405108177.html</x:v>
      </x:c>
      <x:c r="P36" s="72" t="n">
        <x:v>46281</x:v>
      </x:c>
      <x:c r="Q36" s="66" t="str">
        <x:v>已核验；基金页沿用9月15日公示</x:v>
      </x:c>
      <x:c r="R36" s="66" t="str">
        <x:v>2026-07-09</x:v>
      </x:c>
      <x:c r="S36" s="66" t="str">
        <x:v>2026-06-17</x:v>
      </x:c>
    </x:row>
    <x:row r="37" ht="27" customHeight="1">
      <x:c r="A37" s="66" t="str">
        <x:v>SSB040</x:v>
      </x:c>
      <x:c r="B37" s="66" t="str">
        <x:v>福邑共赢一号</x:v>
      </x:c>
      <x:c r="C37" s="66" t="str">
        <x:v>上海福邑</x:v>
      </x:c>
      <x:c r="D37" s="66" t="str">
        <x:v>上海福邑私募基金管理有限公司</x:v>
      </x:c>
      <x:c r="E37" s="66" t="str">
        <x:v>P1068212</x:v>
      </x:c>
      <x:c r="F37" s="66" t="str">
        <x:v>0-5亿元</x:v>
      </x:c>
      <x:c r="G37" s="66" t="str">
        <x:v>小规模</x:v>
      </x:c>
      <x:c r="H37" s="66" t="str">
        <x:v>协会提示／报送异常</x:v>
      </x:c>
      <x:c r="I37" s="66" t="str">
        <x:v>管理人层面</x:v>
      </x:c>
      <x:c r="J37" s="66" t="str"/>
      <x:c r="K37" s="66" t="str">
        <x:v>存在长期处于清算状态基金 指私募基金管理人存在提交清算开始后超过6个月未完成清算的私募基金。</x:v>
      </x:c>
      <x:c r="L37" s="66" t="str"/>
      <x:c r="M37" s="66" t="str"/>
      <x:c r="N37" s="66" t="str">
        <x:v>https://gs.amac.org.cn/amac-infodisc/res/pof/manager/1710271949105945.html</x:v>
      </x:c>
      <x:c r="O37" s="66" t="str">
        <x:v>https://gs.amac.org.cn/amac-infodisc/res/pof/fund/2108261802107823.html</x:v>
      </x:c>
      <x:c r="P37" s="72" t="n">
        <x:v>46281</x:v>
      </x:c>
      <x:c r="Q37" s="66" t="str">
        <x:v>已核验；基金页沿用9月15日公示</x:v>
      </x:c>
      <x:c r="R37" s="66" t="str">
        <x:v>2026-02-09</x:v>
      </x:c>
      <x:c r="S37" s="66" t="str">
        <x:v>2025-03-27</x:v>
      </x:c>
    </x:row>
    <x:row r="38" ht="27" customHeight="1">
      <x:c r="A38" s="66" t="str">
        <x:v>SSN446</x:v>
      </x:c>
      <x:c r="B38" s="66" t="str">
        <x:v>银瓴汇金6号</x:v>
      </x:c>
      <x:c r="C38" s="66" t="str">
        <x:v>广西银瓴资产</x:v>
      </x:c>
      <x:c r="D38" s="66" t="str">
        <x:v>广西银瓴资产管理有限公司</x:v>
      </x:c>
      <x:c r="E38" s="66" t="str">
        <x:v>P1026879</x:v>
      </x:c>
      <x:c r="F38" s="66" t="str">
        <x:v>0-5亿元</x:v>
      </x:c>
      <x:c r="G38" s="66" t="str">
        <x:v>小规模</x:v>
      </x:c>
      <x:c r="H38" s="66" t="str">
        <x:v>本次公示未见相关记录</x:v>
      </x:c>
      <x:c r="I38" s="66" t="str">
        <x:v>管理人层面</x:v>
      </x:c>
      <x:c r="J38" s="66" t="str"/>
      <x:c r="K38" s="66" t="str"/>
      <x:c r="L38" s="66" t="str"/>
      <x:c r="M38" s="66" t="str">
        <x:v>根据管理人最新报送信息，本基金存续规模低于1000万人民币（2026年第2季度季度更新信息）</x:v>
      </x:c>
      <x:c r="N38" s="66" t="str">
        <x:v>https://gs.amac.org.cn/amac-infodisc/res/pof/manager/101000035485.html</x:v>
      </x:c>
      <x:c r="O38" s="66" t="str">
        <x:v>https://gs.amac.org.cn/amac-infodisc/res/pof/fund/2109061712115673.html</x:v>
      </x:c>
      <x:c r="P38" s="72" t="n">
        <x:v>46281</x:v>
      </x:c>
      <x:c r="Q38" s="66" t="str">
        <x:v>已核验；基金页沿用9月15日公示</x:v>
      </x:c>
      <x:c r="R38" s="66" t="str">
        <x:v>2026-07-09</x:v>
      </x:c>
      <x:c r="S38" s="66" t="str">
        <x:v>2025-06-24</x:v>
      </x:c>
    </x:row>
    <x:row r="39" ht="27" customHeight="1">
      <x:c r="A39" s="66" t="str">
        <x:v>SSH674</x:v>
      </x:c>
      <x:c r="B39" s="66" t="str">
        <x:v>岳皋泰山核心一号</x:v>
      </x:c>
      <x:c r="C39" s="66" t="str">
        <x:v>上海岳皋投资</x:v>
      </x:c>
      <x:c r="D39" s="66" t="str">
        <x:v>上海岳皋投资管理有限公司</x:v>
      </x:c>
      <x:c r="E39" s="66" t="str">
        <x:v>P1069937</x:v>
      </x:c>
      <x:c r="F39" s="66" t="str">
        <x:v>0-5亿元</x:v>
      </x:c>
      <x:c r="G39" s="66" t="str">
        <x:v>小规模</x:v>
      </x:c>
      <x:c r="H39" s="66" t="str">
        <x:v>本次公示未见相关记录</x:v>
      </x:c>
      <x:c r="I39" s="66" t="str">
        <x:v>管理人层面</x:v>
      </x:c>
      <x:c r="J39" s="66" t="str"/>
      <x:c r="K39" s="66" t="str"/>
      <x:c r="L39" s="66" t="str"/>
      <x:c r="M39" s="66" t="str"/>
      <x:c r="N39" s="66" t="str">
        <x:v>https://gs.amac.org.cn/amac-infodisc/res/pof/manager/1812180906104012.html</x:v>
      </x:c>
      <x:c r="O39" s="66" t="str">
        <x:v>https://gs.amac.org.cn/amac-infodisc/res/pof/fund/2109101536101557.html</x:v>
      </x:c>
      <x:c r="P39" s="72" t="n">
        <x:v>46281</x:v>
      </x:c>
      <x:c r="Q39" s="66" t="str">
        <x:v>已核验；基金页沿用9月15日公示</x:v>
      </x:c>
      <x:c r="R39" s="66" t="str">
        <x:v>2026-01-15</x:v>
      </x:c>
      <x:c r="S39" s="66" t="str">
        <x:v>2025-03-13</x:v>
      </x:c>
    </x:row>
    <x:row r="40" ht="27" customHeight="1">
      <x:c r="A40" s="66" t="str">
        <x:v>SSU654</x:v>
      </x:c>
      <x:c r="B40" s="66" t="str">
        <x:v>龙帆恒盛稳固8号</x:v>
      </x:c>
      <x:c r="C40" s="66" t="str">
        <x:v>厦门龙帆资管</x:v>
      </x:c>
      <x:c r="D40" s="66" t="str">
        <x:v>厦门龙帆资产管理有限公司</x:v>
      </x:c>
      <x:c r="E40" s="66" t="str">
        <x:v>P1062076</x:v>
      </x:c>
      <x:c r="F40" s="66" t="str">
        <x:v>5-10亿元</x:v>
      </x:c>
      <x:c r="G40" s="66" t="str">
        <x:v>大规模</x:v>
      </x:c>
      <x:c r="H40" s="66" t="str">
        <x:v>本次公示未见相关记录</x:v>
      </x:c>
      <x:c r="I40" s="66" t="str">
        <x:v>管理人层面</x:v>
      </x:c>
      <x:c r="J40" s="66" t="str"/>
      <x:c r="K40" s="66" t="str"/>
      <x:c r="L40" s="66" t="str"/>
      <x:c r="M40" s="66" t="str"/>
      <x:c r="N40" s="66" t="str">
        <x:v>https://gs.amac.org.cn/amac-infodisc/res/pof/manager/1611020850101525.html</x:v>
      </x:c>
      <x:c r="O40" s="66" t="str">
        <x:v>https://gs.amac.org.cn/amac-infodisc/res/pof/fund/2109231448100717.html</x:v>
      </x:c>
      <x:c r="P40" s="72" t="n">
        <x:v>46281</x:v>
      </x:c>
      <x:c r="Q40" s="66" t="str">
        <x:v>已核验；基金页沿用9月15日公示</x:v>
      </x:c>
      <x:c r="R40" s="66" t="str">
        <x:v>2026-09-07</x:v>
      </x:c>
      <x:c r="S40" s="66" t="str">
        <x:v>2026-07-27</x:v>
      </x:c>
    </x:row>
    <x:row r="41" ht="27" customHeight="1">
      <x:c r="A41" s="66" t="str">
        <x:v>SSX605</x:v>
      </x:c>
      <x:c r="B41" s="66" t="str">
        <x:v>龙帆恒盛稳固9号</x:v>
      </x:c>
      <x:c r="C41" s="66" t="str">
        <x:v>厦门龙帆资管</x:v>
      </x:c>
      <x:c r="D41" s="66" t="str">
        <x:v>厦门龙帆资产管理有限公司</x:v>
      </x:c>
      <x:c r="E41" s="66" t="str">
        <x:v>P1062076</x:v>
      </x:c>
      <x:c r="F41" s="66" t="str">
        <x:v>5-10亿元</x:v>
      </x:c>
      <x:c r="G41" s="66" t="str">
        <x:v>大规模</x:v>
      </x:c>
      <x:c r="H41" s="66" t="str">
        <x:v>本次公示未见相关记录</x:v>
      </x:c>
      <x:c r="I41" s="66" t="str">
        <x:v>管理人层面</x:v>
      </x:c>
      <x:c r="J41" s="66" t="str"/>
      <x:c r="K41" s="66" t="str"/>
      <x:c r="L41" s="66" t="str"/>
      <x:c r="M41" s="66" t="str"/>
      <x:c r="N41" s="66" t="str">
        <x:v>https://gs.amac.org.cn/amac-infodisc/res/pof/manager/1611020850101525.html</x:v>
      </x:c>
      <x:c r="O41" s="66" t="str">
        <x:v>https://gs.amac.org.cn/amac-infodisc/res/pof/fund/2110191748104317.html</x:v>
      </x:c>
      <x:c r="P41" s="72" t="n">
        <x:v>46281</x:v>
      </x:c>
      <x:c r="Q41" s="66" t="str">
        <x:v>已核验；基金页沿用9月15日公示</x:v>
      </x:c>
      <x:c r="R41" s="66" t="str">
        <x:v>2026-09-07</x:v>
      </x:c>
      <x:c r="S41" s="66" t="str">
        <x:v>2026-07-27</x:v>
      </x:c>
    </x:row>
    <x:row r="42" ht="27" customHeight="1">
      <x:c r="A42" s="66" t="str">
        <x:v>STH005</x:v>
      </x:c>
      <x:c r="B42" s="66" t="str">
        <x:v>中安鼎盛善行可转债1号</x:v>
      </x:c>
      <x:c r="C42" s="66" t="str">
        <x:v>深圳中安鼎盛</x:v>
      </x:c>
      <x:c r="D42" s="66" t="str">
        <x:v>中安鼎盛（深圳）私募证券投资基金管理有限公司</x:v>
      </x:c>
      <x:c r="E42" s="66" t="str">
        <x:v>P1069330</x:v>
      </x:c>
      <x:c r="F42" s="66" t="str">
        <x:v>0-5亿元</x:v>
      </x:c>
      <x:c r="G42" s="66" t="str">
        <x:v>小规模</x:v>
      </x:c>
      <x:c r="H42" s="66" t="str">
        <x:v>本次公示未见相关记录</x:v>
      </x:c>
      <x:c r="I42" s="66" t="str">
        <x:v>管理人层面</x:v>
      </x:c>
      <x:c r="J42" s="66" t="str"/>
      <x:c r="K42" s="66" t="str"/>
      <x:c r="L42" s="66" t="str"/>
      <x:c r="M42" s="66" t="str"/>
      <x:c r="N42" s="66" t="str">
        <x:v>https://gs.amac.org.cn/amac-infodisc/res/pof/manager/1807021606107284.html</x:v>
      </x:c>
      <x:c r="O42" s="66" t="str">
        <x:v>https://gs.amac.org.cn/amac-infodisc/res/pof/fund/2112061843108745.html</x:v>
      </x:c>
      <x:c r="P42" s="72" t="n">
        <x:v>46281</x:v>
      </x:c>
      <x:c r="Q42" s="66" t="str">
        <x:v>已核验；基金页沿用9月15日公示</x:v>
      </x:c>
      <x:c r="R42" s="66" t="str">
        <x:v>2026-02-12</x:v>
      </x:c>
      <x:c r="S42" s="66" t="str">
        <x:v>2025-12-23</x:v>
      </x:c>
    </x:row>
    <x:row r="43" ht="27" customHeight="1">
      <x:c r="A43" s="66" t="str">
        <x:v>STK200</x:v>
      </x:c>
      <x:c r="B43" s="66" t="str">
        <x:v>九招真格量化商品套利一号</x:v>
      </x:c>
      <x:c r="C43" s="66" t="str">
        <x:v>武汉九招</x:v>
      </x:c>
      <x:c r="D43" s="66" t="str">
        <x:v>武汉九招私募基金管理有限公司</x:v>
      </x:c>
      <x:c r="E43" s="66" t="str">
        <x:v>P1074391</x:v>
      </x:c>
      <x:c r="F43" s="66" t="str">
        <x:v>5-10亿元</x:v>
      </x:c>
      <x:c r="G43" s="66" t="str">
        <x:v>大规模</x:v>
      </x:c>
      <x:c r="H43" s="66" t="str">
        <x:v>监管警示函</x:v>
      </x:c>
      <x:c r="I43" s="66" t="str">
        <x:v>管理人层面</x:v>
      </x:c>
      <x:c r="J43" s="66" t="str">
        <x:v>三年内行政监管措施 该机构于2025年4月17日被湖北证监局采取出具警示函的行政监管措施。</x:v>
      </x:c>
      <x:c r="K43" s="66" t="str">
        <x:v>注册地与办公地不在同一辖区 指私募基金管理人的注册地与办公地不在同一证监会辖区。</x:v>
      </x:c>
      <x:c r="L43" s="66" t="str"/>
      <x:c r="M43" s="66" t="str"/>
      <x:c r="N43" s="66" t="str">
        <x:v>https://gs.amac.org.cn/amac-infodisc/res/pof/manager/2301051740101642.html</x:v>
      </x:c>
      <x:c r="O43" s="66" t="str">
        <x:v>https://gs.amac.org.cn/amac-infodisc/res/pof/fund/2112202208108154.html</x:v>
      </x:c>
      <x:c r="P43" s="72" t="n">
        <x:v>46281</x:v>
      </x:c>
      <x:c r="Q43" s="66" t="str">
        <x:v>已核验；基金页沿用9月15日公示</x:v>
      </x:c>
      <x:c r="R43" s="66" t="str">
        <x:v>2026-07-21</x:v>
      </x:c>
      <x:c r="S43" s="66" t="str">
        <x:v>2025-08-04</x:v>
      </x:c>
    </x:row>
    <x:row r="44" ht="27" customHeight="1">
      <x:c r="A44" s="66" t="str">
        <x:v>STV728</x:v>
      </x:c>
      <x:c r="B44" s="66" t="str">
        <x:v>博润小牛3号</x:v>
      </x:c>
      <x:c r="C44" s="66" t="str">
        <x:v>北京博润银泰投资</x:v>
      </x:c>
      <x:c r="D44" s="66" t="str">
        <x:v>北京博润银泰投资管理有限公司</x:v>
      </x:c>
      <x:c r="E44" s="66" t="str">
        <x:v>P1002960</x:v>
      </x:c>
      <x:c r="F44" s="66" t="str">
        <x:v>100亿元以上</x:v>
      </x:c>
      <x:c r="G44" s="66" t="str">
        <x:v>大规模</x:v>
      </x:c>
      <x:c r="H44" s="66" t="str">
        <x:v>本次公示未见相关记录</x:v>
      </x:c>
      <x:c r="I44" s="66" t="str">
        <x:v>管理人层面</x:v>
      </x:c>
      <x:c r="J44" s="66" t="str"/>
      <x:c r="K44" s="66" t="str"/>
      <x:c r="L44" s="66" t="str"/>
      <x:c r="M44" s="66" t="str"/>
      <x:c r="N44" s="66" t="str">
        <x:v>https://gs.amac.org.cn/amac-infodisc/res/pof/manager/101000005082.html</x:v>
      </x:c>
      <x:c r="O44" s="66" t="str">
        <x:v>https://gs.amac.org.cn/amac-infodisc/res/pof/fund/2203041707107702.html</x:v>
      </x:c>
      <x:c r="P44" s="72" t="n">
        <x:v>46281</x:v>
      </x:c>
      <x:c r="Q44" s="66" t="str">
        <x:v>已核验；基金页沿用9月15日公示</x:v>
      </x:c>
      <x:c r="R44" s="66" t="str">
        <x:v>2026-02-10</x:v>
      </x:c>
      <x:c r="S44" s="66" t="str">
        <x:v>2026-06-24</x:v>
      </x:c>
    </x:row>
    <x:row r="45" ht="27" customHeight="1">
      <x:c r="A45" s="66" t="str">
        <x:v>STK219</x:v>
      </x:c>
      <x:c r="B45" s="66" t="str">
        <x:v>银杏善投1号</x:v>
      </x:c>
      <x:c r="C45" s="66" t="str">
        <x:v>上海银杏</x:v>
      </x:c>
      <x:c r="D45" s="66" t="str">
        <x:v>上海银杏私募基金管理有限公司</x:v>
      </x:c>
      <x:c r="E45" s="66" t="str">
        <x:v>P1072547</x:v>
      </x:c>
      <x:c r="F45" s="66" t="str">
        <x:v>0-5亿元</x:v>
      </x:c>
      <x:c r="G45" s="66" t="str">
        <x:v>小规模</x:v>
      </x:c>
      <x:c r="H45" s="66" t="str">
        <x:v>本次公示未见相关记录</x:v>
      </x:c>
      <x:c r="I45" s="66" t="str">
        <x:v>管理人层面</x:v>
      </x:c>
      <x:c r="J45" s="66" t="str"/>
      <x:c r="K45" s="66" t="str"/>
      <x:c r="L45" s="66" t="str"/>
      <x:c r="M45" s="66" t="str"/>
      <x:c r="N45" s="66" t="str">
        <x:v>https://gs.amac.org.cn/amac-infodisc/res/pof/manager/2105100905108445.html</x:v>
      </x:c>
      <x:c r="O45" s="66" t="str">
        <x:v>https://gs.amac.org.cn/amac-infodisc/res/pof/fund/2203111741100604.html</x:v>
      </x:c>
      <x:c r="P45" s="72" t="n">
        <x:v>46281</x:v>
      </x:c>
      <x:c r="Q45" s="66" t="str">
        <x:v>已核验；基金页沿用9月15日公示</x:v>
      </x:c>
      <x:c r="R45" s="66" t="str">
        <x:v>2026-03-06</x:v>
      </x:c>
      <x:c r="S45" s="66" t="str">
        <x:v>2026-08-07</x:v>
      </x:c>
    </x:row>
    <x:row r="46" ht="27" customHeight="1">
      <x:c r="A46" s="66" t="str">
        <x:v>SVH343</x:v>
      </x:c>
      <x:c r="B46" s="66" t="str">
        <x:v>悬铃C号9期</x:v>
      </x:c>
      <x:c r="C46" s="66" t="str">
        <x:v>上海悬铃</x:v>
      </x:c>
      <x:c r="D46" s="66" t="str">
        <x:v>上海悬铃私募基金管理有限公司</x:v>
      </x:c>
      <x:c r="E46" s="66" t="str">
        <x:v>P1064634</x:v>
      </x:c>
      <x:c r="F46" s="66" t="str">
        <x:v>20-50亿元</x:v>
      </x:c>
      <x:c r="G46" s="66" t="str">
        <x:v>大规模</x:v>
      </x:c>
      <x:c r="H46" s="66" t="str">
        <x:v>本次公示未见相关记录</x:v>
      </x:c>
      <x:c r="I46" s="66" t="str">
        <x:v>管理人层面</x:v>
      </x:c>
      <x:c r="J46" s="66" t="str"/>
      <x:c r="K46" s="66" t="str"/>
      <x:c r="L46" s="66" t="str"/>
      <x:c r="M46" s="66" t="str"/>
      <x:c r="N46" s="66" t="str">
        <x:v>https://gs.amac.org.cn/amac-infodisc/res/pof/manager/1701161209103763.html</x:v>
      </x:c>
      <x:c r="O46" s="66" t="str">
        <x:v>https://gs.amac.org.cn/amac-infodisc/res/pof/fund/2204271846104957.html</x:v>
      </x:c>
      <x:c r="P46" s="72" t="n">
        <x:v>46281</x:v>
      </x:c>
      <x:c r="Q46" s="66" t="str">
        <x:v>已核验；基金页沿用9月15日公示</x:v>
      </x:c>
      <x:c r="R46" s="66" t="str">
        <x:v>2026-07-13</x:v>
      </x:c>
      <x:c r="S46" s="66" t="str">
        <x:v>2025-06-20</x:v>
      </x:c>
    </x:row>
    <x:row r="47" ht="27" customHeight="1">
      <x:c r="A47" s="66" t="str">
        <x:v>SVM785</x:v>
      </x:c>
      <x:c r="B47" s="66" t="str">
        <x:v>爱凡哲AH多空1号</x:v>
      </x:c>
      <x:c r="C47" s="66" t="str">
        <x:v>爱凡哲投资</x:v>
      </x:c>
      <x:c r="D47" s="66" t="str">
        <x:v>爱凡哲投资管理有限公司</x:v>
      </x:c>
      <x:c r="E47" s="66" t="str">
        <x:v>P1066184</x:v>
      </x:c>
      <x:c r="F47" s="66" t="str">
        <x:v>20-50亿元</x:v>
      </x:c>
      <x:c r="G47" s="66" t="str">
        <x:v>大规模</x:v>
      </x:c>
      <x:c r="H47" s="66" t="str">
        <x:v>本次公示未见相关记录</x:v>
      </x:c>
      <x:c r="I47" s="66" t="str">
        <x:v>管理人层面</x:v>
      </x:c>
      <x:c r="J47" s="66" t="str"/>
      <x:c r="K47" s="66" t="str"/>
      <x:c r="L47" s="66" t="str"/>
      <x:c r="M47" s="66" t="str"/>
      <x:c r="N47" s="66" t="str">
        <x:v>https://gs.amac.org.cn/amac-infodisc/res/pof/manager/1709181131101311.html</x:v>
      </x:c>
      <x:c r="O47" s="66" t="str">
        <x:v>https://gs.amac.org.cn/amac-infodisc/res/pof/fund/2204271846105720.html</x:v>
      </x:c>
      <x:c r="P47" s="72" t="n">
        <x:v>46281</x:v>
      </x:c>
      <x:c r="Q47" s="66" t="str">
        <x:v>已核验；基金页沿用9月15日公示</x:v>
      </x:c>
      <x:c r="R47" s="66" t="str">
        <x:v>2025-04-30</x:v>
      </x:c>
      <x:c r="S47" s="66" t="str">
        <x:v>2026-07-27</x:v>
      </x:c>
    </x:row>
    <x:row r="48" ht="27" customHeight="1">
      <x:c r="A48" s="66" t="str">
        <x:v>SVP121</x:v>
      </x:c>
      <x:c r="B48" s="66" t="str">
        <x:v>钧誉酬勤量化3号</x:v>
      </x:c>
      <x:c r="C48" s="66" t="str">
        <x:v>珠海钧誉资管</x:v>
      </x:c>
      <x:c r="D48" s="66" t="str">
        <x:v>珠海钧誉资产管理有限公司</x:v>
      </x:c>
      <x:c r="E48" s="66" t="str">
        <x:v>P1068716</x:v>
      </x:c>
      <x:c r="F48" s="66" t="str">
        <x:v>0-5亿元</x:v>
      </x:c>
      <x:c r="G48" s="66" t="str">
        <x:v>小规模</x:v>
      </x:c>
      <x:c r="H48" s="66" t="str">
        <x:v>本次公示未见相关记录</x:v>
      </x:c>
      <x:c r="I48" s="66" t="str">
        <x:v>管理人层面</x:v>
      </x:c>
      <x:c r="J48" s="66" t="str"/>
      <x:c r="K48" s="66" t="str"/>
      <x:c r="L48" s="66" t="str"/>
      <x:c r="M48" s="66" t="str"/>
      <x:c r="N48" s="66" t="str">
        <x:v>https://gs.amac.org.cn/amac-infodisc/res/pof/manager/1801241613109731.html</x:v>
      </x:c>
      <x:c r="O48" s="66" t="str">
        <x:v>https://gs.amac.org.cn/amac-infodisc/res/pof/fund/2205121655102793.html</x:v>
      </x:c>
      <x:c r="P48" s="72" t="n">
        <x:v>46281</x:v>
      </x:c>
      <x:c r="Q48" s="66" t="str">
        <x:v>已核验；基金页沿用9月15日公示</x:v>
      </x:c>
      <x:c r="R48" s="66" t="str">
        <x:v>2024-06-28</x:v>
      </x:c>
      <x:c r="S48" s="66" t="str">
        <x:v>2025-10-22</x:v>
      </x:c>
    </x:row>
    <x:row r="49" ht="27" customHeight="1">
      <x:c r="A49" s="66" t="str">
        <x:v>SVQ519</x:v>
      </x:c>
      <x:c r="B49" s="66" t="str">
        <x:v>汇富联合日盈12号</x:v>
      </x:c>
      <x:c r="C49" s="66" t="str">
        <x:v>深圳前海汇富联合</x:v>
      </x:c>
      <x:c r="D49" s="66" t="str">
        <x:v>深圳前海汇富联合私募证券基金管理有限公司</x:v>
      </x:c>
      <x:c r="E49" s="66" t="str">
        <x:v>P1006506</x:v>
      </x:c>
      <x:c r="F49" s="66" t="str">
        <x:v>20-50亿元</x:v>
      </x:c>
      <x:c r="G49" s="66" t="str">
        <x:v>大规模</x:v>
      </x:c>
      <x:c r="H49" s="66" t="str">
        <x:v>本次公示未见相关记录</x:v>
      </x:c>
      <x:c r="I49" s="66" t="str">
        <x:v>管理人层面</x:v>
      </x:c>
      <x:c r="J49" s="66" t="str"/>
      <x:c r="K49" s="66" t="str"/>
      <x:c r="L49" s="66" t="str"/>
      <x:c r="M49" s="66" t="str"/>
      <x:c r="N49" s="66" t="str">
        <x:v>https://gs.amac.org.cn/amac-infodisc/res/pof/manager/101000012095.html</x:v>
      </x:c>
      <x:c r="O49" s="66" t="str">
        <x:v>https://gs.amac.org.cn/amac-infodisc/res/pof/fund/2205111752107815.html</x:v>
      </x:c>
      <x:c r="P49" s="72" t="n">
        <x:v>46281</x:v>
      </x:c>
      <x:c r="Q49" s="66" t="str">
        <x:v>已核验；基金页沿用9月15日公示</x:v>
      </x:c>
      <x:c r="R49" s="66" t="str">
        <x:v>2025-11-21</x:v>
      </x:c>
      <x:c r="S49" s="66" t="str">
        <x:v>2025-09-15</x:v>
      </x:c>
    </x:row>
    <x:row r="50" ht="27" customHeight="1">
      <x:c r="A50" s="66" t="str">
        <x:v>SVK536</x:v>
      </x:c>
      <x:c r="B50" s="66" t="str">
        <x:v>融相慎远一号</x:v>
      </x:c>
      <x:c r="C50" s="66" t="str">
        <x:v>海南融相</x:v>
      </x:c>
      <x:c r="D50" s="66" t="str">
        <x:v>海南融相私募基金管理有限公司</x:v>
      </x:c>
      <x:c r="E50" s="66" t="str">
        <x:v>P1072945</x:v>
      </x:c>
      <x:c r="F50" s="66" t="str">
        <x:v>0-5亿元</x:v>
      </x:c>
      <x:c r="G50" s="66" t="str">
        <x:v>小规模</x:v>
      </x:c>
      <x:c r="H50" s="66" t="str">
        <x:v>协会提示／报送异常</x:v>
      </x:c>
      <x:c r="I50" s="66" t="str">
        <x:v>管理人层面</x:v>
      </x:c>
      <x:c r="J50" s="66" t="str"/>
      <x:c r="K50" s="66" t="str">
        <x:v>注册地与办公地不在同一辖区 指私募基金管理人的注册地与办公地不在同一证监会辖区。</x:v>
      </x:c>
      <x:c r="L50" s="66" t="str"/>
      <x:c r="M50" s="66" t="str"/>
      <x:c r="N50" s="66" t="str">
        <x:v>https://gs.amac.org.cn/amac-infodisc/res/pof/manager/2111241451102645.html</x:v>
      </x:c>
      <x:c r="O50" s="66" t="str">
        <x:v>https://gs.amac.org.cn/amac-infodisc/res/pof/fund/2205181829100640.html</x:v>
      </x:c>
      <x:c r="P50" s="72" t="n">
        <x:v>46281</x:v>
      </x:c>
      <x:c r="Q50" s="66" t="str">
        <x:v>已核验；基金页沿用9月15日公示</x:v>
      </x:c>
      <x:c r="R50" s="66" t="str">
        <x:v>2025-11-05</x:v>
      </x:c>
      <x:c r="S50" s="66" t="str">
        <x:v>2024-10-09</x:v>
      </x:c>
    </x:row>
    <x:row r="51" ht="27" customHeight="1">
      <x:c r="A51" s="66" t="str">
        <x:v>SVT598</x:v>
      </x:c>
      <x:c r="B51" s="66" t="str">
        <x:v>晨翰11号</x:v>
      </x:c>
      <x:c r="C51" s="66" t="str">
        <x:v>晋江晨翰</x:v>
      </x:c>
      <x:c r="D51" s="66" t="str">
        <x:v>晋江市晨翰私募基金管理有限公司</x:v>
      </x:c>
      <x:c r="E51" s="66" t="str">
        <x:v>P1072342</x:v>
      </x:c>
      <x:c r="F51" s="66" t="str">
        <x:v>5-10亿元</x:v>
      </x:c>
      <x:c r="G51" s="66" t="str">
        <x:v>大规模</x:v>
      </x:c>
      <x:c r="H51" s="66" t="str">
        <x:v>本次公示未见相关记录</x:v>
      </x:c>
      <x:c r="I51" s="66" t="str">
        <x:v>管理人层面</x:v>
      </x:c>
      <x:c r="J51" s="66" t="str"/>
      <x:c r="K51" s="66" t="str"/>
      <x:c r="L51" s="66" t="str"/>
      <x:c r="M51" s="66" t="str"/>
      <x:c r="N51" s="66" t="str">
        <x:v>https://gs.amac.org.cn/amac-infodisc/res/pof/manager/2002211754119480.html</x:v>
      </x:c>
      <x:c r="O51" s="66" t="str">
        <x:v>https://gs.amac.org.cn/amac-infodisc/res/pof/fund/2206171628103559.html</x:v>
      </x:c>
      <x:c r="P51" s="72" t="n">
        <x:v>46281</x:v>
      </x:c>
      <x:c r="Q51" s="66" t="str">
        <x:v>已核验；基金页沿用9月15日公示</x:v>
      </x:c>
      <x:c r="R51" s="66" t="str">
        <x:v>2026-07-31</x:v>
      </x:c>
      <x:c r="S51" s="66" t="str">
        <x:v>2026-05-27</x:v>
      </x:c>
    </x:row>
    <x:row r="52" ht="27" customHeight="1">
      <x:c r="A52" s="66" t="str">
        <x:v>STY632</x:v>
      </x:c>
      <x:c r="B52" s="66" t="str">
        <x:v>致同添利套利多策略三期</x:v>
      </x:c>
      <x:c r="C52" s="66" t="str">
        <x:v>上海致同投资</x:v>
      </x:c>
      <x:c r="D52" s="66" t="str">
        <x:v>上海致同投资管理有限公司</x:v>
      </x:c>
      <x:c r="E52" s="66" t="str">
        <x:v>P1003519</x:v>
      </x:c>
      <x:c r="F52" s="66" t="str">
        <x:v>20-50亿元</x:v>
      </x:c>
      <x:c r="G52" s="66" t="str">
        <x:v>大规模</x:v>
      </x:c>
      <x:c r="H52" s="66" t="str">
        <x:v>监管警示函</x:v>
      </x:c>
      <x:c r="I52" s="66" t="str">
        <x:v>管理人层面</x:v>
      </x:c>
      <x:c r="J52" s="66" t="str">
        <x:v>三年内行政监管措施 该机构于2024年8月19日被上海证监局采取出具警示函的行政监管措施。</x:v>
      </x:c>
      <x:c r="K52" s="66" t="str"/>
      <x:c r="L52" s="66" t="str"/>
      <x:c r="M52" s="66" t="str"/>
      <x:c r="N52" s="66" t="str">
        <x:v>https://gs.amac.org.cn/amac-infodisc/res/pof/manager/101000004339.html</x:v>
      </x:c>
      <x:c r="O52" s="66" t="str">
        <x:v>https://gs.amac.org.cn/amac-infodisc/res/pof/fund/2208021712112777.html</x:v>
      </x:c>
      <x:c r="P52" s="72" t="n">
        <x:v>46281</x:v>
      </x:c>
      <x:c r="Q52" s="66" t="str">
        <x:v>已核验；基金页沿用9月15日公示</x:v>
      </x:c>
      <x:c r="R52" s="66" t="str">
        <x:v>2026-03-16</x:v>
      </x:c>
      <x:c r="S52" s="66" t="str">
        <x:v>2022-08-02</x:v>
      </x:c>
    </x:row>
    <x:row r="53" ht="27" customHeight="1">
      <x:c r="A53" s="66" t="str">
        <x:v>SVY871</x:v>
      </x:c>
      <x:c r="B53" s="66" t="str">
        <x:v>博牛转债策略2号</x:v>
      </x:c>
      <x:c r="C53" s="66" t="str">
        <x:v>广州博牛</x:v>
      </x:c>
      <x:c r="D53" s="66" t="str">
        <x:v>广州博牛私募证券投资管理有限公司</x:v>
      </x:c>
      <x:c r="E53" s="66" t="str">
        <x:v>P1067450</x:v>
      </x:c>
      <x:c r="F53" s="66" t="str">
        <x:v>5-10亿元</x:v>
      </x:c>
      <x:c r="G53" s="66" t="str">
        <x:v>大规模</x:v>
      </x:c>
      <x:c r="H53" s="66" t="str">
        <x:v>协会提示／报送异常</x:v>
      </x:c>
      <x:c r="I53" s="66" t="str">
        <x:v>管理人层面</x:v>
      </x:c>
      <x:c r="J53" s="66" t="str"/>
      <x:c r="K53" s="66" t="str">
        <x:v>存在长期处于清算状态基金 指私募基金管理人存在提交清算开始后超过6个月未完成清算的私募基金。</x:v>
      </x:c>
      <x:c r="L53" s="66" t="str"/>
      <x:c r="M53" s="66" t="str"/>
      <x:c r="N53" s="66" t="str">
        <x:v>https://gs.amac.org.cn/amac-infodisc/res/pof/manager/1801020956105866.html</x:v>
      </x:c>
      <x:c r="O53" s="66" t="str">
        <x:v>https://gs.amac.org.cn/amac-infodisc/res/pof/fund/2208121907108282.html</x:v>
      </x:c>
      <x:c r="P53" s="72" t="n">
        <x:v>46281</x:v>
      </x:c>
      <x:c r="Q53" s="66" t="str">
        <x:v>已核验；基金页沿用9月15日公示</x:v>
      </x:c>
      <x:c r="R53" s="66" t="str">
        <x:v>2026-05-21</x:v>
      </x:c>
      <x:c r="S53" s="66" t="str">
        <x:v>2022-08-15</x:v>
      </x:c>
    </x:row>
    <x:row r="54" ht="27" customHeight="1">
      <x:c r="A54" s="66" t="str">
        <x:v>SXF666</x:v>
      </x:c>
      <x:c r="B54" s="66" t="str">
        <x:v>银瓴运通致远3号五期</x:v>
      </x:c>
      <x:c r="C54" s="66" t="str">
        <x:v>广西银瓴资产</x:v>
      </x:c>
      <x:c r="D54" s="66" t="str">
        <x:v>广西银瓴资产管理有限公司</x:v>
      </x:c>
      <x:c r="E54" s="66" t="str">
        <x:v>P1026879</x:v>
      </x:c>
      <x:c r="F54" s="66" t="str">
        <x:v>0-5亿元</x:v>
      </x:c>
      <x:c r="G54" s="66" t="str">
        <x:v>小规模</x:v>
      </x:c>
      <x:c r="H54" s="66" t="str">
        <x:v>本次公示未见相关记录</x:v>
      </x:c>
      <x:c r="I54" s="66" t="str">
        <x:v>管理人层面</x:v>
      </x:c>
      <x:c r="J54" s="66" t="str"/>
      <x:c r="K54" s="66" t="str"/>
      <x:c r="L54" s="66" t="str"/>
      <x:c r="M54" s="66" t="str">
        <x:v>根据管理人最新报送信息，本基金存续规模低于1000万人民币（2026年第2季度季度更新信息）</x:v>
      </x:c>
      <x:c r="N54" s="66" t="str">
        <x:v>https://gs.amac.org.cn/amac-infodisc/res/pof/manager/101000035485.html</x:v>
      </x:c>
      <x:c r="O54" s="66" t="str">
        <x:v>https://gs.amac.org.cn/amac-infodisc/res/pof/fund/2209051807103258.html</x:v>
      </x:c>
      <x:c r="P54" s="72" t="n">
        <x:v>46281</x:v>
      </x:c>
      <x:c r="Q54" s="66" t="str">
        <x:v>已核验；基金页沿用9月15日公示</x:v>
      </x:c>
      <x:c r="R54" s="66" t="str">
        <x:v>2026-07-09</x:v>
      </x:c>
      <x:c r="S54" s="66" t="str">
        <x:v>2025-05-26</x:v>
      </x:c>
    </x:row>
    <x:row r="55" ht="27" customHeight="1">
      <x:c r="A55" s="66" t="str">
        <x:v>SXE156</x:v>
      </x:c>
      <x:c r="B55" s="66" t="str">
        <x:v>汉盛浩远1号</x:v>
      </x:c>
      <x:c r="C55" s="66" t="str">
        <x:v>上海汉鸿</x:v>
      </x:c>
      <x:c r="D55" s="66" t="str">
        <x:v>上海汉鸿私募基金管理有限公司</x:v>
      </x:c>
      <x:c r="E55" s="66" t="str">
        <x:v>P1072580</x:v>
      </x:c>
      <x:c r="F55" s="66" t="str">
        <x:v>10-20亿元</x:v>
      </x:c>
      <x:c r="G55" s="66" t="str">
        <x:v>大规模</x:v>
      </x:c>
      <x:c r="H55" s="66" t="str">
        <x:v>本次公示未见相关记录</x:v>
      </x:c>
      <x:c r="I55" s="66" t="str">
        <x:v>管理人层面</x:v>
      </x:c>
      <x:c r="J55" s="66" t="str"/>
      <x:c r="K55" s="66" t="str"/>
      <x:c r="L55" s="66" t="str"/>
      <x:c r="M55" s="66" t="str"/>
      <x:c r="N55" s="66" t="str">
        <x:v>https://gs.amac.org.cn/amac-infodisc/res/pof/manager/2108171651109816.html</x:v>
      </x:c>
      <x:c r="O55" s="66" t="str">
        <x:v>https://gs.amac.org.cn/amac-infodisc/res/pof/fund/2209131707102448.html</x:v>
      </x:c>
      <x:c r="P55" s="72" t="n">
        <x:v>46281</x:v>
      </x:c>
      <x:c r="Q55" s="66" t="str">
        <x:v>已核验；基金页沿用9月15日公示</x:v>
      </x:c>
      <x:c r="R55" s="66" t="str">
        <x:v>2026-07-27</x:v>
      </x:c>
      <x:c r="S55" s="66" t="str">
        <x:v>2026-04-20</x:v>
      </x:c>
    </x:row>
    <x:row r="56" ht="27" customHeight="1">
      <x:c r="A56" s="66" t="str">
        <x:v>STP012</x:v>
      </x:c>
      <x:c r="B56" s="66" t="str">
        <x:v>泽盈毅明1号</x:v>
      </x:c>
      <x:c r="C56" s="66" t="str">
        <x:v>青岛泽盈资管</x:v>
      </x:c>
      <x:c r="D56" s="66" t="str">
        <x:v>青岛泽盈资产管理有限公司</x:v>
      </x:c>
      <x:c r="E56" s="66" t="str">
        <x:v>P1067206</x:v>
      </x:c>
      <x:c r="F56" s="66" t="str">
        <x:v>10-20亿元</x:v>
      </x:c>
      <x:c r="G56" s="66" t="str">
        <x:v>大规模</x:v>
      </x:c>
      <x:c r="H56" s="66" t="str">
        <x:v>协会提示／报送异常</x:v>
      </x:c>
      <x:c r="I56" s="66" t="str">
        <x:v>管理人层面</x:v>
      </x:c>
      <x:c r="J56" s="66" t="str"/>
      <x:c r="K56" s="66" t="str">
        <x:v>存在长期处于清算状态基金 指私募基金管理人存在提交清算开始后超过6个月未完成清算的私募基金。</x:v>
      </x:c>
      <x:c r="L56" s="66" t="str"/>
      <x:c r="M56" s="66" t="str"/>
      <x:c r="N56" s="66" t="str">
        <x:v>https://gs.amac.org.cn/amac-infodisc/res/pof/manager/1710271352104113.html</x:v>
      </x:c>
      <x:c r="O56" s="66" t="str">
        <x:v>https://gs.amac.org.cn/amac-infodisc/res/pof/fund/2210211605104676.html</x:v>
      </x:c>
      <x:c r="P56" s="72" t="n">
        <x:v>46281</x:v>
      </x:c>
      <x:c r="Q56" s="66" t="str">
        <x:v>已核验；基金页沿用9月15日公示</x:v>
      </x:c>
      <x:c r="R56" s="66" t="str">
        <x:v>2026-03-05</x:v>
      </x:c>
      <x:c r="S56" s="66" t="str">
        <x:v>2026-02-13</x:v>
      </x:c>
    </x:row>
    <x:row r="57" ht="27" customHeight="1">
      <x:c r="A57" s="66" t="str">
        <x:v>SXN943</x:v>
      </x:c>
      <x:c r="B57" s="66" t="str">
        <x:v>银杏善利3号</x:v>
      </x:c>
      <x:c r="C57" s="66" t="str">
        <x:v>上海银杏</x:v>
      </x:c>
      <x:c r="D57" s="66" t="str">
        <x:v>上海银杏私募基金管理有限公司</x:v>
      </x:c>
      <x:c r="E57" s="66" t="str">
        <x:v>P1072547</x:v>
      </x:c>
      <x:c r="F57" s="66" t="str">
        <x:v>0-5亿元</x:v>
      </x:c>
      <x:c r="G57" s="66" t="str">
        <x:v>小规模</x:v>
      </x:c>
      <x:c r="H57" s="66" t="str">
        <x:v>本次公示未见相关记录</x:v>
      </x:c>
      <x:c r="I57" s="66" t="str">
        <x:v>管理人层面</x:v>
      </x:c>
      <x:c r="J57" s="66" t="str"/>
      <x:c r="K57" s="66" t="str"/>
      <x:c r="L57" s="66" t="str"/>
      <x:c r="M57" s="66" t="str"/>
      <x:c r="N57" s="66" t="str">
        <x:v>https://gs.amac.org.cn/amac-infodisc/res/pof/manager/2105100905108445.html</x:v>
      </x:c>
      <x:c r="O57" s="66" t="str">
        <x:v>https://gs.amac.org.cn/amac-infodisc/res/pof/fund/2210241718105120.html</x:v>
      </x:c>
      <x:c r="P57" s="72" t="n">
        <x:v>46281</x:v>
      </x:c>
      <x:c r="Q57" s="66" t="str">
        <x:v>已核验；基金页沿用9月15日公示</x:v>
      </x:c>
      <x:c r="R57" s="66" t="str">
        <x:v>2026-03-06</x:v>
      </x:c>
      <x:c r="S57" s="66" t="str">
        <x:v>2025-07-09</x:v>
      </x:c>
    </x:row>
    <x:row r="58" ht="27" customHeight="1">
      <x:c r="A58" s="66" t="str">
        <x:v>SXS440</x:v>
      </x:c>
      <x:c r="B58" s="66" t="str">
        <x:v>银杏善利6号</x:v>
      </x:c>
      <x:c r="C58" s="66" t="str">
        <x:v>上海银杏</x:v>
      </x:c>
      <x:c r="D58" s="66" t="str">
        <x:v>上海银杏私募基金管理有限公司</x:v>
      </x:c>
      <x:c r="E58" s="66" t="str">
        <x:v>P1072547</x:v>
      </x:c>
      <x:c r="F58" s="66" t="str">
        <x:v>0-5亿元</x:v>
      </x:c>
      <x:c r="G58" s="66" t="str">
        <x:v>小规模</x:v>
      </x:c>
      <x:c r="H58" s="66" t="str">
        <x:v>本次公示未见相关记录</x:v>
      </x:c>
      <x:c r="I58" s="66" t="str">
        <x:v>管理人层面</x:v>
      </x:c>
      <x:c r="J58" s="66" t="str"/>
      <x:c r="K58" s="66" t="str"/>
      <x:c r="L58" s="66" t="str"/>
      <x:c r="M58" s="66" t="str">
        <x:v>根据管理人最新报送信息，本基金存续规模低于1000万人民币（2026年第2季度季度更新信息）</x:v>
      </x:c>
      <x:c r="N58" s="66" t="str">
        <x:v>https://gs.amac.org.cn/amac-infodisc/res/pof/manager/2105100905108445.html</x:v>
      </x:c>
      <x:c r="O58" s="66" t="str">
        <x:v>https://gs.amac.org.cn/amac-infodisc/res/pof/fund/2211161803111351.html</x:v>
      </x:c>
      <x:c r="P58" s="72" t="n">
        <x:v>46281</x:v>
      </x:c>
      <x:c r="Q58" s="66" t="str">
        <x:v>已核验；基金页沿用9月15日公示</x:v>
      </x:c>
      <x:c r="R58" s="66" t="str">
        <x:v>2026-03-06</x:v>
      </x:c>
      <x:c r="S58" s="66" t="str">
        <x:v>2026-08-11</x:v>
      </x:c>
    </x:row>
    <x:row r="59" ht="27" customHeight="1">
      <x:c r="A59" s="66" t="str">
        <x:v>SXL913</x:v>
      </x:c>
      <x:c r="B59" s="66" t="str">
        <x:v>博润易量稳健1号</x:v>
      </x:c>
      <x:c r="C59" s="66" t="str">
        <x:v>北京博润银泰投资</x:v>
      </x:c>
      <x:c r="D59" s="66" t="str">
        <x:v>北京博润银泰投资管理有限公司</x:v>
      </x:c>
      <x:c r="E59" s="66" t="str">
        <x:v>P1002960</x:v>
      </x:c>
      <x:c r="F59" s="66" t="str">
        <x:v>100亿元以上</x:v>
      </x:c>
      <x:c r="G59" s="66" t="str">
        <x:v>大规模</x:v>
      </x:c>
      <x:c r="H59" s="66" t="str">
        <x:v>本次公示未见相关记录</x:v>
      </x:c>
      <x:c r="I59" s="66" t="str">
        <x:v>管理人层面</x:v>
      </x:c>
      <x:c r="J59" s="66" t="str"/>
      <x:c r="K59" s="66" t="str"/>
      <x:c r="L59" s="66" t="str"/>
      <x:c r="M59" s="66" t="str"/>
      <x:c r="N59" s="66" t="str">
        <x:v>https://gs.amac.org.cn/amac-infodisc/res/pof/manager/101000005082.html</x:v>
      </x:c>
      <x:c r="O59" s="66" t="str">
        <x:v>https://gs.amac.org.cn/amac-infodisc/res/pof/fund/2211291710107928.html</x:v>
      </x:c>
      <x:c r="P59" s="72" t="n">
        <x:v>46281</x:v>
      </x:c>
      <x:c r="Q59" s="66" t="str">
        <x:v>已核验；基金页沿用9月15日公示</x:v>
      </x:c>
      <x:c r="R59" s="66" t="str">
        <x:v>2026-02-10</x:v>
      </x:c>
      <x:c r="S59" s="66" t="str">
        <x:v>2025-06-27</x:v>
      </x:c>
    </x:row>
    <x:row r="60" ht="27" customHeight="1">
      <x:c r="A60" s="66" t="str">
        <x:v>SXU186</x:v>
      </x:c>
      <x:c r="B60" s="66" t="str">
        <x:v>金麦穗卓诚一号</x:v>
      </x:c>
      <x:c r="C60" s="66" t="str">
        <x:v>山东金麦穗</x:v>
      </x:c>
      <x:c r="D60" s="66" t="str">
        <x:v>金麦穗（山东）私募基金管理有限公司</x:v>
      </x:c>
      <x:c r="E60" s="66" t="str">
        <x:v>P1023272</x:v>
      </x:c>
      <x:c r="F60" s="66" t="str">
        <x:v>0-5亿元</x:v>
      </x:c>
      <x:c r="G60" s="66" t="str">
        <x:v>小规模</x:v>
      </x:c>
      <x:c r="H60" s="66" t="str">
        <x:v>本次公示未见相关记录</x:v>
      </x:c>
      <x:c r="I60" s="66" t="str">
        <x:v>管理人层面</x:v>
      </x:c>
      <x:c r="J60" s="66" t="str"/>
      <x:c r="K60" s="66" t="str"/>
      <x:c r="L60" s="66" t="str"/>
      <x:c r="M60" s="66" t="str">
        <x:v>根据管理人最新报送信息，本基金存续规模低于1000万人民币（2026年第2季度季度更新信息）</x:v>
      </x:c>
      <x:c r="N60" s="66" t="str">
        <x:v>https://gs.amac.org.cn/amac-infodisc/res/pof/manager/101000032909.html</x:v>
      </x:c>
      <x:c r="O60" s="66" t="str">
        <x:v>https://gs.amac.org.cn/amac-infodisc/res/pof/fund/2212081848110819.html</x:v>
      </x:c>
      <x:c r="P60" s="72" t="n">
        <x:v>46281</x:v>
      </x:c>
      <x:c r="Q60" s="66" t="str">
        <x:v>已核验；基金页沿用9月15日公示</x:v>
      </x:c>
      <x:c r="R60" s="66" t="str">
        <x:v>2026-04-30</x:v>
      </x:c>
      <x:c r="S60" s="66" t="str">
        <x:v>2022-12-08</x:v>
      </x:c>
    </x:row>
    <x:row r="61" ht="27" customHeight="1">
      <x:c r="A61" s="66" t="str">
        <x:v>SXW938</x:v>
      </x:c>
      <x:c r="B61" s="66" t="str">
        <x:v>慕途稳健2号</x:v>
      </x:c>
      <x:c r="C61" s="66" t="str">
        <x:v>慕途基金</x:v>
      </x:c>
      <x:c r="D61" s="66" t="str">
        <x:v>上海慕途私募基金管理有限公司</x:v>
      </x:c>
      <x:c r="E61" s="66" t="str">
        <x:v>P1073298</x:v>
      </x:c>
      <x:c r="F61" s="66" t="str">
        <x:v>10-20亿元</x:v>
      </x:c>
      <x:c r="G61" s="66" t="str">
        <x:v>大规模</x:v>
      </x:c>
      <x:c r="H61" s="66" t="str">
        <x:v>本次公示未见相关记录</x:v>
      </x:c>
      <x:c r="I61" s="66" t="str">
        <x:v>管理人层面</x:v>
      </x:c>
      <x:c r="J61" s="66" t="str"/>
      <x:c r="K61" s="66" t="str"/>
      <x:c r="L61" s="66" t="str"/>
      <x:c r="M61" s="66" t="str"/>
      <x:c r="N61" s="66" t="str">
        <x:v>https://gs.amac.org.cn/amac-infodisc/res/pof/manager/2106221238106983.html</x:v>
      </x:c>
      <x:c r="O61" s="66" t="str">
        <x:v>https://gs.amac.org.cn/amac-infodisc/res/pof/fund/2212152201105746.html</x:v>
      </x:c>
      <x:c r="P61" s="72" t="n">
        <x:v>46281</x:v>
      </x:c>
      <x:c r="Q61" s="66" t="str">
        <x:v>已核验；基金页沿用9月15日公示</x:v>
      </x:c>
      <x:c r="R61" s="66" t="str">
        <x:v>2026-06-12</x:v>
      </x:c>
      <x:c r="S61" s="66" t="str">
        <x:v>2026-05-14</x:v>
      </x:c>
    </x:row>
    <x:row r="62" ht="27" customHeight="1">
      <x:c r="A62" s="66" t="str">
        <x:v>SZC395</x:v>
      </x:c>
      <x:c r="B62" s="66" t="str">
        <x:v>佳泽信享5号</x:v>
      </x:c>
      <x:c r="C62" s="66" t="str">
        <x:v>海南佳泽</x:v>
      </x:c>
      <x:c r="D62" s="66" t="str">
        <x:v>海南佳泽私募基金管理合伙企业（有限合伙）</x:v>
      </x:c>
      <x:c r="E62" s="66" t="str">
        <x:v>P1073283</x:v>
      </x:c>
      <x:c r="F62" s="66" t="str">
        <x:v>0-5亿元</x:v>
      </x:c>
      <x:c r="G62" s="66" t="str">
        <x:v>小规模</x:v>
      </x:c>
      <x:c r="H62" s="66" t="str">
        <x:v>协会提示／报送异常</x:v>
      </x:c>
      <x:c r="I62" s="66" t="str">
        <x:v>管理人层面</x:v>
      </x:c>
      <x:c r="J62" s="66" t="str"/>
      <x:c r="K62" s="66" t="str">
        <x:v>注册地与办公地不在同一辖区 指私募基金管理人的注册地与办公地不在同一证监会辖区。</x:v>
      </x:c>
      <x:c r="L62" s="66" t="str"/>
      <x:c r="M62" s="66" t="str"/>
      <x:c r="N62" s="66" t="str">
        <x:v>https://gs.amac.org.cn/amac-infodisc/res/pof/manager/2202171443109430.html</x:v>
      </x:c>
      <x:c r="O62" s="66" t="str">
        <x:v>https://gs.amac.org.cn/amac-infodisc/res/pof/fund/2301171711103586.html</x:v>
      </x:c>
      <x:c r="P62" s="72" t="n">
        <x:v>46281</x:v>
      </x:c>
      <x:c r="Q62" s="66" t="str">
        <x:v>已核验；基金页沿用9月15日公示</x:v>
      </x:c>
      <x:c r="R62" s="66" t="str">
        <x:v>2026-08-07</x:v>
      </x:c>
      <x:c r="S62" s="66" t="str">
        <x:v>2025-07-11</x:v>
      </x:c>
    </x:row>
    <x:row r="63" ht="27" customHeight="1">
      <x:c r="A63" s="66" t="str">
        <x:v>SZG044</x:v>
      </x:c>
      <x:c r="B63" s="66" t="str">
        <x:v>衍舟弄潮2号</x:v>
      </x:c>
      <x:c r="C63" s="66" t="str">
        <x:v>海南衍舟</x:v>
      </x:c>
      <x:c r="D63" s="66" t="str">
        <x:v>衍舟（海南）私募基金管理有限公司</x:v>
      </x:c>
      <x:c r="E63" s="66" t="str">
        <x:v>P1073536</x:v>
      </x:c>
      <x:c r="F63" s="66" t="str">
        <x:v>0-5亿元</x:v>
      </x:c>
      <x:c r="G63" s="66" t="str">
        <x:v>小规模</x:v>
      </x:c>
      <x:c r="H63" s="66" t="str">
        <x:v>协会提示／报送异常</x:v>
      </x:c>
      <x:c r="I63" s="66" t="str">
        <x:v>管理人层面</x:v>
      </x:c>
      <x:c r="J63" s="66" t="str"/>
      <x:c r="K63" s="66" t="str">
        <x:v>注册地与办公地不在同一辖区 指私募基金管理人的注册地与办公地不在同一证监会辖区。</x:v>
      </x:c>
      <x:c r="L63" s="66" t="str"/>
      <x:c r="M63" s="66" t="str">
        <x:v>根据管理人最新报送信息，本基金存续规模低于1000万人民币（2026年第2季度季度更新信息）</x:v>
      </x:c>
      <x:c r="N63" s="66" t="str">
        <x:v>https://gs.amac.org.cn/amac-infodisc/res/pof/manager/2203211010108428.html</x:v>
      </x:c>
      <x:c r="O63" s="66" t="str">
        <x:v>https://gs.amac.org.cn/amac-infodisc/res/pof/fund/2302071705107356.html</x:v>
      </x:c>
      <x:c r="P63" s="72" t="n">
        <x:v>46281</x:v>
      </x:c>
      <x:c r="Q63" s="66" t="str">
        <x:v>已核验；基金页沿用9月15日公示</x:v>
      </x:c>
      <x:c r="R63" s="66" t="str">
        <x:v>2026-08-26</x:v>
      </x:c>
      <x:c r="S63" s="66" t="str">
        <x:v>2025-01-17</x:v>
      </x:c>
    </x:row>
    <x:row r="64" ht="27" customHeight="1">
      <x:c r="A64" s="66" t="str">
        <x:v>SZP369</x:v>
      </x:c>
      <x:c r="B64" s="66" t="str">
        <x:v>银瓴汇金1号</x:v>
      </x:c>
      <x:c r="C64" s="66" t="str">
        <x:v>广西银瓴资产</x:v>
      </x:c>
      <x:c r="D64" s="66" t="str">
        <x:v>广西银瓴资产管理有限公司</x:v>
      </x:c>
      <x:c r="E64" s="66" t="str">
        <x:v>P1026879</x:v>
      </x:c>
      <x:c r="F64" s="66" t="str">
        <x:v>0-5亿元</x:v>
      </x:c>
      <x:c r="G64" s="66" t="str">
        <x:v>小规模</x:v>
      </x:c>
      <x:c r="H64" s="66" t="str">
        <x:v>本次公示未见相关记录</x:v>
      </x:c>
      <x:c r="I64" s="66" t="str">
        <x:v>管理人层面</x:v>
      </x:c>
      <x:c r="J64" s="66" t="str"/>
      <x:c r="K64" s="66" t="str"/>
      <x:c r="L64" s="66" t="str"/>
      <x:c r="M64" s="66" t="str">
        <x:v>根据管理人最新报送信息，本基金存续规模低于1000万人民币（2026年第2季度季度更新信息）</x:v>
      </x:c>
      <x:c r="N64" s="66" t="str">
        <x:v>https://gs.amac.org.cn/amac-infodisc/res/pof/manager/101000035485.html</x:v>
      </x:c>
      <x:c r="O64" s="66" t="str">
        <x:v>https://gs.amac.org.cn/amac-infodisc/res/pof/fund/2303281704112220.html</x:v>
      </x:c>
      <x:c r="P64" s="72" t="n">
        <x:v>46281</x:v>
      </x:c>
      <x:c r="Q64" s="66" t="str">
        <x:v>已核验；基金页沿用9月15日公示</x:v>
      </x:c>
      <x:c r="R64" s="66" t="str">
        <x:v>2026-07-09</x:v>
      </x:c>
      <x:c r="S64" s="66" t="str">
        <x:v>2024-09-19</x:v>
      </x:c>
    </x:row>
    <x:row r="65" ht="27" customHeight="1">
      <x:c r="A65" s="66" t="str">
        <x:v>SZN225</x:v>
      </x:c>
      <x:c r="B65" s="66" t="str">
        <x:v>砚博乘风量化14号</x:v>
      </x:c>
      <x:c r="C65" s="66" t="str">
        <x:v>深圳前海砚博乘风资管</x:v>
      </x:c>
      <x:c r="D65" s="66" t="str">
        <x:v>深圳前海砚博乘风资产管理有限公司</x:v>
      </x:c>
      <x:c r="E65" s="66" t="str">
        <x:v>P1031838</x:v>
      </x:c>
      <x:c r="F65" s="66" t="str">
        <x:v>10-20亿元</x:v>
      </x:c>
      <x:c r="G65" s="66" t="str">
        <x:v>大规模</x:v>
      </x:c>
      <x:c r="H65" s="66" t="str">
        <x:v>协会提示／报送异常</x:v>
      </x:c>
      <x:c r="I65" s="66" t="str">
        <x:v>管理人层面</x:v>
      </x:c>
      <x:c r="J65" s="66" t="str"/>
      <x:c r="K65" s="66" t="str">
        <x:v>注册地与办公地不在同一辖区 指私募基金管理人的注册地与办公地不在同一证监会辖区。 存在长期处于清算状态基金 指私募基金管理人存在提交清算开始后超过6个月未完成清算的私募基金。</x:v>
      </x:c>
      <x:c r="L65" s="66" t="str"/>
      <x:c r="M65" s="66" t="str"/>
      <x:c r="N65" s="66" t="str">
        <x:v>https://gs.amac.org.cn/amac-infodisc/res/pof/manager/101000062862.html</x:v>
      </x:c>
      <x:c r="O65" s="66" t="str">
        <x:v>https://gs.amac.org.cn/amac-infodisc/res/pof/fund/2304031854111883.html</x:v>
      </x:c>
      <x:c r="P65" s="72" t="n">
        <x:v>46281</x:v>
      </x:c>
      <x:c r="Q65" s="66" t="str">
        <x:v>已核验；基金页沿用9月15日公示</x:v>
      </x:c>
      <x:c r="R65" s="66" t="str">
        <x:v>2026-08-12</x:v>
      </x:c>
      <x:c r="S65" s="66" t="str">
        <x:v>2024-12-10</x:v>
      </x:c>
    </x:row>
    <x:row r="66" ht="27" customHeight="1">
      <x:c r="A66" s="66" t="str">
        <x:v>SZU727</x:v>
      </x:c>
      <x:c r="B66" s="66" t="str">
        <x:v>平凡凡响二号</x:v>
      </x:c>
      <x:c r="C66" s="66" t="str">
        <x:v>北京平凡</x:v>
      </x:c>
      <x:c r="D66" s="66" t="str">
        <x:v>北京平凡私募基金管理有限公司</x:v>
      </x:c>
      <x:c r="E66" s="66" t="str">
        <x:v>P1021670</x:v>
      </x:c>
      <x:c r="F66" s="66" t="str">
        <x:v>50-100亿元</x:v>
      </x:c>
      <x:c r="G66" s="66" t="str">
        <x:v>大规模</x:v>
      </x:c>
      <x:c r="H66" s="66" t="str">
        <x:v>本次公示未见相关记录</x:v>
      </x:c>
      <x:c r="I66" s="66" t="str">
        <x:v>管理人层面</x:v>
      </x:c>
      <x:c r="J66" s="66" t="str"/>
      <x:c r="K66" s="66" t="str"/>
      <x:c r="L66" s="66" t="str"/>
      <x:c r="M66" s="66" t="str"/>
      <x:c r="N66" s="66" t="str">
        <x:v>https://gs.amac.org.cn/amac-infodisc/res/pof/manager/101000030286.html</x:v>
      </x:c>
      <x:c r="O66" s="66" t="str">
        <x:v>https://gs.amac.org.cn/amac-infodisc/res/pof/fund/2304121918100513.html</x:v>
      </x:c>
      <x:c r="P66" s="72" t="n">
        <x:v>46281</x:v>
      </x:c>
      <x:c r="Q66" s="66" t="str">
        <x:v>已核验；基金页沿用9月15日公示</x:v>
      </x:c>
      <x:c r="R66" s="66" t="str">
        <x:v>2026-08-05</x:v>
      </x:c>
      <x:c r="S66" s="66" t="str">
        <x:v>2025-03-26</x:v>
      </x:c>
    </x:row>
    <x:row r="67" ht="27" customHeight="1">
      <x:c r="A67" s="66" t="str">
        <x:v>SZP735</x:v>
      </x:c>
      <x:c r="B67" s="66" t="str">
        <x:v>鑫泰禾汇投1号</x:v>
      </x:c>
      <x:c r="C67" s="66" t="str">
        <x:v>深圳鑫泰禾</x:v>
      </x:c>
      <x:c r="D67" s="66" t="str">
        <x:v>深圳鑫泰禾私募证券投资基金管理有限公司</x:v>
      </x:c>
      <x:c r="E67" s="66" t="str">
        <x:v>P1028974</x:v>
      </x:c>
      <x:c r="F67" s="66" t="str">
        <x:v>0-5亿元</x:v>
      </x:c>
      <x:c r="G67" s="66" t="str">
        <x:v>小规模</x:v>
      </x:c>
      <x:c r="H67" s="66" t="str">
        <x:v>协会提示／报送异常</x:v>
      </x:c>
      <x:c r="I67" s="66" t="str">
        <x:v>管理人层面</x:v>
      </x:c>
      <x:c r="J67" s="66" t="str"/>
      <x:c r="K67" s="66" t="str">
        <x:v>注册地与办公地不在同一辖区 指私募基金管理人的注册地与办公地不在同一证监会辖区。 存在长期处于清算状态基金 指私募基金管理人存在提交清算开始后超过6个月未完成清算的私募基金。</x:v>
      </x:c>
      <x:c r="L67" s="66" t="str"/>
      <x:c r="M67" s="66" t="str">
        <x:v>根据管理人最新报送信息，本基金存续规模低于1000万人民币（2026年第2季度季度更新信息）</x:v>
      </x:c>
      <x:c r="N67" s="66" t="str">
        <x:v>https://gs.amac.org.cn/amac-infodisc/res/pof/manager/101000041857.html</x:v>
      </x:c>
      <x:c r="O67" s="66" t="str">
        <x:v>https://gs.amac.org.cn/amac-infodisc/res/pof/fund/2305191728101923.html</x:v>
      </x:c>
      <x:c r="P67" s="72" t="n">
        <x:v>46281</x:v>
      </x:c>
      <x:c r="Q67" s="66" t="str">
        <x:v>已核验；基金页沿用9月15日公示</x:v>
      </x:c>
      <x:c r="R67" s="66" t="str">
        <x:v>2026-08-24</x:v>
      </x:c>
      <x:c r="S67" s="66" t="str">
        <x:v>2024-09-13</x:v>
      </x:c>
    </x:row>
    <x:row r="68" ht="27" customHeight="1">
      <x:c r="A68" s="66" t="str">
        <x:v>SZX748</x:v>
      </x:c>
      <x:c r="B68" s="66" t="str">
        <x:v>金和和善对冲5号</x:v>
      </x:c>
      <x:c r="C68" s="66" t="str">
        <x:v>上海金和晟</x:v>
      </x:c>
      <x:c r="D68" s="66" t="str">
        <x:v>上海金和晟私募基金管理有限公司</x:v>
      </x:c>
      <x:c r="E68" s="66" t="str">
        <x:v>P1071636</x:v>
      </x:c>
      <x:c r="F68" s="66" t="str">
        <x:v>20-50亿元</x:v>
      </x:c>
      <x:c r="G68" s="66" t="str">
        <x:v>大规模</x:v>
      </x:c>
      <x:c r="H68" s="66" t="str">
        <x:v>本次公示未见相关记录</x:v>
      </x:c>
      <x:c r="I68" s="66" t="str">
        <x:v>管理人层面</x:v>
      </x:c>
      <x:c r="J68" s="66" t="str"/>
      <x:c r="K68" s="66" t="str"/>
      <x:c r="L68" s="66" t="str"/>
      <x:c r="M68" s="66" t="str"/>
      <x:c r="N68" s="66" t="str">
        <x:v>https://gs.amac.org.cn/amac-infodisc/res/pof/manager/2010280957108370.html</x:v>
      </x:c>
      <x:c r="O68" s="66" t="str">
        <x:v>https://gs.amac.org.cn/amac-infodisc/res/pof/fund/2305251549108521.html</x:v>
      </x:c>
      <x:c r="P68" s="72" t="n">
        <x:v>46281</x:v>
      </x:c>
      <x:c r="Q68" s="66" t="str">
        <x:v>已核验；基金页沿用9月15日公示</x:v>
      </x:c>
      <x:c r="R68" s="66" t="str">
        <x:v>2026-03-27</x:v>
      </x:c>
      <x:c r="S68" s="66" t="str">
        <x:v>2026-08-04</x:v>
      </x:c>
    </x:row>
    <x:row r="69" ht="27" customHeight="1">
      <x:c r="A69" s="66" t="str">
        <x:v>S03979</x:v>
      </x:c>
      <x:c r="B69" s="66" t="str">
        <x:v>银瓴汇金3号</x:v>
      </x:c>
      <x:c r="C69" s="66" t="str">
        <x:v>广西银瓴资产</x:v>
      </x:c>
      <x:c r="D69" s="66" t="str">
        <x:v>广西银瓴资产管理有限公司</x:v>
      </x:c>
      <x:c r="E69" s="66" t="str">
        <x:v>P1026879</x:v>
      </x:c>
      <x:c r="F69" s="66" t="str">
        <x:v>0-5亿元</x:v>
      </x:c>
      <x:c r="G69" s="66" t="str">
        <x:v>小规模</x:v>
      </x:c>
      <x:c r="H69" s="66" t="str">
        <x:v>本次公示未见相关记录</x:v>
      </x:c>
      <x:c r="I69" s="66" t="str">
        <x:v>管理人层面</x:v>
      </x:c>
      <x:c r="J69" s="66" t="str"/>
      <x:c r="K69" s="66" t="str"/>
      <x:c r="L69" s="66" t="str"/>
      <x:c r="M69" s="66" t="str">
        <x:v>根据管理人最新报送信息，本基金存续规模低于1000万人民币（2026年第2季度季度更新信息）</x:v>
      </x:c>
      <x:c r="N69" s="66" t="str">
        <x:v>https://gs.amac.org.cn/amac-infodisc/res/pof/manager/101000035485.html</x:v>
      </x:c>
      <x:c r="O69" s="66" t="str">
        <x:v>https://gs.amac.org.cn/amac-infodisc/res/pof/fund/2305291055109569.html</x:v>
      </x:c>
      <x:c r="P69" s="72" t="n">
        <x:v>46281</x:v>
      </x:c>
      <x:c r="Q69" s="66" t="str">
        <x:v>已核验；基金页沿用9月15日公示</x:v>
      </x:c>
      <x:c r="R69" s="66" t="str">
        <x:v>2026-07-09</x:v>
      </x:c>
      <x:c r="S69" s="66" t="str">
        <x:v>2024-09-19</x:v>
      </x:c>
    </x:row>
    <x:row r="70" ht="27" customHeight="1">
      <x:c r="A70" s="66" t="str">
        <x:v>SB2838</x:v>
      </x:c>
      <x:c r="B70" s="66" t="str">
        <x:v>奶酪鑫鑫宝二号</x:v>
      </x:c>
      <x:c r="C70" s="66" t="str">
        <x:v>广东奶酪</x:v>
      </x:c>
      <x:c r="D70" s="66" t="str">
        <x:v>广东奶酪私募基金管理股份有限公司</x:v>
      </x:c>
      <x:c r="E70" s="66" t="str">
        <x:v>P1031632</x:v>
      </x:c>
      <x:c r="F70" s="66" t="str">
        <x:v>10-20亿元</x:v>
      </x:c>
      <x:c r="G70" s="66" t="str">
        <x:v>大规模</x:v>
      </x:c>
      <x:c r="H70" s="66" t="str">
        <x:v>本次公示未见相关记录</x:v>
      </x:c>
      <x:c r="I70" s="66" t="str">
        <x:v>管理人层面</x:v>
      </x:c>
      <x:c r="J70" s="66" t="str"/>
      <x:c r="K70" s="66" t="str"/>
      <x:c r="L70" s="66" t="str"/>
      <x:c r="M70" s="66" t="str"/>
      <x:c r="N70" s="66" t="str">
        <x:v>https://gs.amac.org.cn/amac-infodisc/res/pof/manager/101000045017.html</x:v>
      </x:c>
      <x:c r="O70" s="66" t="str">
        <x:v>https://gs.amac.org.cn/amac-infodisc/res/pof/fund/2306141909104356.html</x:v>
      </x:c>
      <x:c r="P70" s="72" t="n">
        <x:v>46281</x:v>
      </x:c>
      <x:c r="Q70" s="66" t="str">
        <x:v>已核验；基金页沿用9月15日公示</x:v>
      </x:c>
      <x:c r="R70" s="66" t="str">
        <x:v>2025-12-29</x:v>
      </x:c>
      <x:c r="S70" s="66" t="str">
        <x:v>2026-01-30</x:v>
      </x:c>
    </x:row>
    <x:row r="71" ht="27" customHeight="1">
      <x:c r="A71" s="66" t="str">
        <x:v>SH674B</x:v>
      </x:c>
      <x:c r="B71" s="66" t="str">
        <x:v>岳皋泰山核心一号B类</x:v>
      </x:c>
      <x:c r="C71" s="66" t="str">
        <x:v>上海岳皋投资</x:v>
      </x:c>
      <x:c r="D71" s="66" t="str">
        <x:v>上海岳皋投资管理有限公司</x:v>
      </x:c>
      <x:c r="E71" s="66" t="str">
        <x:v>P1069937</x:v>
      </x:c>
      <x:c r="F71" s="66" t="str">
        <x:v>0-5亿元</x:v>
      </x:c>
      <x:c r="G71" s="66" t="str">
        <x:v>小规模</x:v>
      </x:c>
      <x:c r="H71" s="66" t="str">
        <x:v>本次公示未见相关记录</x:v>
      </x:c>
      <x:c r="I71" s="66" t="str">
        <x:v>管理人层面</x:v>
      </x:c>
      <x:c r="J71" s="66" t="str"/>
      <x:c r="K71" s="66" t="str"/>
      <x:c r="L71" s="66" t="str"/>
      <x:c r="M71" s="66"/>
      <x:c r="N71" s="66" t="str">
        <x:v>https://gs.amac.org.cn/amac-infodisc/res/pof/manager/1812180906104012.html</x:v>
      </x:c>
      <x:c r="O71" s="66"/>
      <x:c r="P71" s="72" t="n">
        <x:v>46281</x:v>
      </x:c>
      <x:c r="Q71" s="66" t="str">
        <x:v>基金页未匹配，不推断产品规模；基金页沿用9月15日公示</x:v>
      </x:c>
      <x:c r="R71" s="66" t="str">
        <x:v>2026-01-15</x:v>
      </x:c>
      <x:c r="S71" s="66"/>
    </x:row>
    <x:row r="72" ht="27" customHeight="1">
      <x:c r="A72" s="66" t="str">
        <x:v>SB1775</x:v>
      </x:c>
      <x:c r="B72" s="66" t="str">
        <x:v>韵之嘉益</x:v>
      </x:c>
      <x:c r="C72" s="66" t="str">
        <x:v>北京韵之</x:v>
      </x:c>
      <x:c r="D72" s="66" t="str">
        <x:v>北京韵之私募基金管理有限公司</x:v>
      </x:c>
      <x:c r="E72" s="66" t="str">
        <x:v>P1061332</x:v>
      </x:c>
      <x:c r="F72" s="66" t="str">
        <x:v>5-10亿元</x:v>
      </x:c>
      <x:c r="G72" s="66" t="str">
        <x:v>大规模</x:v>
      </x:c>
      <x:c r="H72" s="66" t="str">
        <x:v>本次公示未见相关记录</x:v>
      </x:c>
      <x:c r="I72" s="66" t="str">
        <x:v>管理人层面</x:v>
      </x:c>
      <x:c r="J72" s="66" t="str"/>
      <x:c r="K72" s="66" t="str"/>
      <x:c r="L72" s="66" t="str"/>
      <x:c r="M72" s="66" t="str"/>
      <x:c r="N72" s="66" t="str">
        <x:v>https://gs.amac.org.cn/amac-infodisc/res/pof/manager/1609291216100602.html</x:v>
      </x:c>
      <x:c r="O72" s="66" t="str">
        <x:v>https://gs.amac.org.cn/amac-infodisc/res/pof/fund/2308101835106229.html</x:v>
      </x:c>
      <x:c r="P72" s="72" t="n">
        <x:v>46281</x:v>
      </x:c>
      <x:c r="Q72" s="66" t="str">
        <x:v>已核验；基金页沿用9月15日公示</x:v>
      </x:c>
      <x:c r="R72" s="66" t="str">
        <x:v>2026-05-08</x:v>
      </x:c>
      <x:c r="S72" s="66" t="str">
        <x:v>2023-08-11</x:v>
      </x:c>
    </x:row>
    <x:row r="73" ht="27" customHeight="1">
      <x:c r="A73" s="66" t="str">
        <x:v>SB6565</x:v>
      </x:c>
      <x:c r="B73" s="66" t="str">
        <x:v>杨湜套利1号</x:v>
      </x:c>
      <x:c r="C73" s="66" t="str">
        <x:v>上海杨湜投资</x:v>
      </x:c>
      <x:c r="D73" s="66" t="str">
        <x:v>上海杨湜资产管理中心(有限合伙)</x:v>
      </x:c>
      <x:c r="E73" s="66" t="str">
        <x:v>P1032870</x:v>
      </x:c>
      <x:c r="F73" s="66" t="str">
        <x:v>10-20亿元</x:v>
      </x:c>
      <x:c r="G73" s="66" t="str">
        <x:v>大规模</x:v>
      </x:c>
      <x:c r="H73" s="66" t="str">
        <x:v>本次公示未见相关记录</x:v>
      </x:c>
      <x:c r="I73" s="66" t="str">
        <x:v>管理人层面</x:v>
      </x:c>
      <x:c r="J73" s="66" t="str"/>
      <x:c r="K73" s="66" t="str"/>
      <x:c r="L73" s="66" t="str"/>
      <x:c r="M73" s="66" t="str"/>
      <x:c r="N73" s="66" t="str">
        <x:v>https://gs.amac.org.cn/amac-infodisc/res/pof/manager/101000070776.html</x:v>
      </x:c>
      <x:c r="O73" s="66" t="str">
        <x:v>https://gs.amac.org.cn/amac-infodisc/res/pof/fund/2308231811111489.html</x:v>
      </x:c>
      <x:c r="P73" s="72" t="n">
        <x:v>46281</x:v>
      </x:c>
      <x:c r="Q73" s="66" t="str">
        <x:v>已核验；基金页沿用9月15日公示</x:v>
      </x:c>
      <x:c r="R73" s="66" t="str">
        <x:v>2026-06-25</x:v>
      </x:c>
      <x:c r="S73" s="66" t="str">
        <x:v>2026-07-14</x:v>
      </x:c>
    </x:row>
    <x:row r="74" ht="27" customHeight="1">
      <x:c r="A74" s="66" t="str">
        <x:v>SAAS17</x:v>
      </x:c>
      <x:c r="B74" s="66" t="str">
        <x:v>奶酪平价套利稳健一号</x:v>
      </x:c>
      <x:c r="C74" s="66" t="str">
        <x:v>广东奶酪</x:v>
      </x:c>
      <x:c r="D74" s="66" t="str">
        <x:v>广东奶酪私募基金管理股份有限公司</x:v>
      </x:c>
      <x:c r="E74" s="66" t="str">
        <x:v>P1031632</x:v>
      </x:c>
      <x:c r="F74" s="66" t="str">
        <x:v>10-20亿元</x:v>
      </x:c>
      <x:c r="G74" s="66" t="str">
        <x:v>大规模</x:v>
      </x:c>
      <x:c r="H74" s="66" t="str">
        <x:v>本次公示未见相关记录</x:v>
      </x:c>
      <x:c r="I74" s="66" t="str">
        <x:v>管理人层面</x:v>
      </x:c>
      <x:c r="J74" s="66" t="str"/>
      <x:c r="K74" s="66" t="str"/>
      <x:c r="L74" s="66" t="str"/>
      <x:c r="M74" s="66" t="str"/>
      <x:c r="N74" s="66" t="str">
        <x:v>https://gs.amac.org.cn/amac-infodisc/res/pof/manager/101000045017.html</x:v>
      </x:c>
      <x:c r="O74" s="66" t="str">
        <x:v>https://gs.amac.org.cn/amac-infodisc/res/pof/fund/2309041554106885.html</x:v>
      </x:c>
      <x:c r="P74" s="72" t="n">
        <x:v>46281</x:v>
      </x:c>
      <x:c r="Q74" s="66" t="str">
        <x:v>已核验；基金页沿用9月15日公示</x:v>
      </x:c>
      <x:c r="R74" s="66" t="str">
        <x:v>2025-12-29</x:v>
      </x:c>
      <x:c r="S74" s="66" t="str">
        <x:v>2026-04-16</x:v>
      </x:c>
    </x:row>
    <x:row r="75" ht="27" customHeight="1">
      <x:c r="A75" s="66" t="str">
        <x:v>SB7490</x:v>
      </x:c>
      <x:c r="B75" s="66" t="str">
        <x:v>银万财派恒星套利1号</x:v>
      </x:c>
      <x:c r="C75" s="66" t="str">
        <x:v>浙江银万</x:v>
      </x:c>
      <x:c r="D75" s="66" t="str">
        <x:v>浙江银万私募基金管理有限公司</x:v>
      </x:c>
      <x:c r="E75" s="66" t="str">
        <x:v>P1005420</x:v>
      </x:c>
      <x:c r="F75" s="66" t="str">
        <x:v>20-50亿元</x:v>
      </x:c>
      <x:c r="G75" s="66" t="str">
        <x:v>大规模</x:v>
      </x:c>
      <x:c r="H75" s="66" t="str">
        <x:v>监管警示函</x:v>
      </x:c>
      <x:c r="I75" s="66" t="str">
        <x:v>管理人层面</x:v>
      </x:c>
      <x:c r="J75" s="66" t="str">
        <x:v>三年内行政监管措施 该机构于2026年3月27日被浙江证监局采取出具警示函的行政监管措施。</x:v>
      </x:c>
      <x:c r="K75" s="66" t="str"/>
      <x:c r="L75" s="66" t="str"/>
      <x:c r="M75" s="66" t="str"/>
      <x:c r="N75" s="66" t="str">
        <x:v>https://gs.amac.org.cn/amac-infodisc/res/pof/manager/101000005988.html</x:v>
      </x:c>
      <x:c r="O75" s="66" t="str">
        <x:v>https://gs.amac.org.cn/amac-infodisc/res/pof/fund/2309061045107529.html</x:v>
      </x:c>
      <x:c r="P75" s="72" t="n">
        <x:v>46281</x:v>
      </x:c>
      <x:c r="Q75" s="66" t="str">
        <x:v>已核验；基金页沿用9月15日公示</x:v>
      </x:c>
      <x:c r="R75" s="66" t="str">
        <x:v>2026-06-09</x:v>
      </x:c>
      <x:c r="S75" s="66" t="str">
        <x:v>2026-06-25</x:v>
      </x:c>
    </x:row>
    <x:row r="76" ht="27" customHeight="1">
      <x:c r="A76" s="66" t="str">
        <x:v>ZC395A</x:v>
      </x:c>
      <x:c r="B76" s="66" t="str">
        <x:v>佳泽信享5号A类</x:v>
      </x:c>
      <x:c r="C76" s="66" t="str">
        <x:v>海南佳泽</x:v>
      </x:c>
      <x:c r="D76" s="66" t="str">
        <x:v>海南佳泽私募基金管理合伙企业（有限合伙）</x:v>
      </x:c>
      <x:c r="E76" s="66" t="str">
        <x:v>P1073283</x:v>
      </x:c>
      <x:c r="F76" s="66" t="str">
        <x:v>0-5亿元</x:v>
      </x:c>
      <x:c r="G76" s="66" t="str">
        <x:v>小规模</x:v>
      </x:c>
      <x:c r="H76" s="66" t="str">
        <x:v>协会提示／报送异常</x:v>
      </x:c>
      <x:c r="I76" s="66" t="str">
        <x:v>管理人层面</x:v>
      </x:c>
      <x:c r="J76" s="66" t="str"/>
      <x:c r="K76" s="66" t="str">
        <x:v>注册地与办公地不在同一辖区 指私募基金管理人的注册地与办公地不在同一证监会辖区。</x:v>
      </x:c>
      <x:c r="L76" s="66" t="str"/>
      <x:c r="M76" s="66"/>
      <x:c r="N76" s="66" t="str">
        <x:v>https://gs.amac.org.cn/amac-infodisc/res/pof/manager/2202171443109430.html</x:v>
      </x:c>
      <x:c r="O76" s="66"/>
      <x:c r="P76" s="72" t="n">
        <x:v>46281</x:v>
      </x:c>
      <x:c r="Q76" s="66" t="str">
        <x:v>基金页未匹配，不推断产品规模；基金页沿用9月15日公示</x:v>
      </x:c>
      <x:c r="R76" s="66" t="str">
        <x:v>2026-08-07</x:v>
      </x:c>
      <x:c r="S76" s="66"/>
    </x:row>
    <x:row r="77" ht="27" customHeight="1">
      <x:c r="A77" s="66" t="str">
        <x:v>ZC395B</x:v>
      </x:c>
      <x:c r="B77" s="66" t="str">
        <x:v>佳泽信享5号B类</x:v>
      </x:c>
      <x:c r="C77" s="66" t="str">
        <x:v>海南佳泽</x:v>
      </x:c>
      <x:c r="D77" s="66" t="str">
        <x:v>海南佳泽私募基金管理合伙企业（有限合伙）</x:v>
      </x:c>
      <x:c r="E77" s="66" t="str">
        <x:v>P1073283</x:v>
      </x:c>
      <x:c r="F77" s="66" t="str">
        <x:v>0-5亿元</x:v>
      </x:c>
      <x:c r="G77" s="66" t="str">
        <x:v>小规模</x:v>
      </x:c>
      <x:c r="H77" s="66" t="str">
        <x:v>协会提示／报送异常</x:v>
      </x:c>
      <x:c r="I77" s="66" t="str">
        <x:v>管理人层面</x:v>
      </x:c>
      <x:c r="J77" s="66" t="str"/>
      <x:c r="K77" s="66" t="str">
        <x:v>注册地与办公地不在同一辖区 指私募基金管理人的注册地与办公地不在同一证监会辖区。</x:v>
      </x:c>
      <x:c r="L77" s="66" t="str"/>
      <x:c r="M77" s="66"/>
      <x:c r="N77" s="66" t="str">
        <x:v>https://gs.amac.org.cn/amac-infodisc/res/pof/manager/2202171443109430.html</x:v>
      </x:c>
      <x:c r="O77" s="66"/>
      <x:c r="P77" s="72" t="n">
        <x:v>46281</x:v>
      </x:c>
      <x:c r="Q77" s="66" t="str">
        <x:v>基金页未匹配，不推断产品规模；基金页沿用9月15日公示</x:v>
      </x:c>
      <x:c r="R77" s="66" t="str">
        <x:v>2026-08-07</x:v>
      </x:c>
      <x:c r="S77" s="66"/>
    </x:row>
    <x:row r="78" ht="27" customHeight="1">
      <x:c r="A78" s="66" t="str">
        <x:v>SGS754</x:v>
      </x:c>
      <x:c r="B78" s="66" t="str">
        <x:v>鋆晟狮王套利</x:v>
      </x:c>
      <x:c r="C78" s="66" t="str">
        <x:v>上海鋆晟投资</x:v>
      </x:c>
      <x:c r="D78" s="66" t="str">
        <x:v>上海鋆晟投资管理有限公司</x:v>
      </x:c>
      <x:c r="E78" s="66" t="str">
        <x:v>P1028385</x:v>
      </x:c>
      <x:c r="F78" s="66" t="str">
        <x:v>5-10亿元</x:v>
      </x:c>
      <x:c r="G78" s="66" t="str">
        <x:v>大规模</x:v>
      </x:c>
      <x:c r="H78" s="66" t="str">
        <x:v>本次公示未见相关记录</x:v>
      </x:c>
      <x:c r="I78" s="66" t="str">
        <x:v>管理人层面</x:v>
      </x:c>
      <x:c r="J78" s="66" t="str"/>
      <x:c r="K78" s="66" t="str"/>
      <x:c r="L78" s="66" t="str"/>
      <x:c r="M78" s="66" t="str"/>
      <x:c r="N78" s="66" t="str">
        <x:v>https://gs.amac.org.cn/amac-infodisc/res/pof/manager/101000039679.html</x:v>
      </x:c>
      <x:c r="O78" s="66" t="str">
        <x:v>https://gs.amac.org.cn/amac-infodisc/res/pof/fund/1908021524105625.html</x:v>
      </x:c>
      <x:c r="P78" s="72" t="n">
        <x:v>46281</x:v>
      </x:c>
      <x:c r="Q78" s="66" t="str">
        <x:v>已核验；基金页沿用9月15日公示</x:v>
      </x:c>
      <x:c r="R78" s="66" t="str">
        <x:v>2026-08-24</x:v>
      </x:c>
      <x:c r="S78" s="66" t="str">
        <x:v>2024-01-18</x:v>
      </x:c>
    </x:row>
    <x:row r="79" ht="27" customHeight="1">
      <x:c r="A79" s="66" t="str">
        <x:v>SNG078</x:v>
      </x:c>
      <x:c r="B79" s="66" t="str">
        <x:v>晟通京华宏观对冲</x:v>
      </x:c>
      <x:c r="C79" s="66" t="str">
        <x:v>深圳前海晟通资管</x:v>
      </x:c>
      <x:c r="D79" s="66" t="str">
        <x:v>深圳前海晟通资产管理有限公司</x:v>
      </x:c>
      <x:c r="E79" s="66" t="str">
        <x:v>P1067603</x:v>
      </x:c>
      <x:c r="F79" s="66" t="str">
        <x:v>0-5亿元</x:v>
      </x:c>
      <x:c r="G79" s="66" t="str">
        <x:v>小规模</x:v>
      </x:c>
      <x:c r="H79" s="66" t="str">
        <x:v>本次公示未见相关记录</x:v>
      </x:c>
      <x:c r="I79" s="66" t="str">
        <x:v>管理人层面</x:v>
      </x:c>
      <x:c r="J79" s="66" t="str"/>
      <x:c r="K79" s="66" t="str"/>
      <x:c r="L79" s="66" t="str"/>
      <x:c r="M79" s="66" t="str">
        <x:v>根据管理人最新报送信息，本基金存续规模低于1000万人民币（2026年第2季度季度更新信息）</x:v>
      </x:c>
      <x:c r="N79" s="66" t="str">
        <x:v>https://gs.amac.org.cn/amac-infodisc/res/pof/manager/1703281619108152.html</x:v>
      </x:c>
      <x:c r="O79" s="66" t="str">
        <x:v>https://gs.amac.org.cn/amac-infodisc/res/pof/fund/2012101712107143.html</x:v>
      </x:c>
      <x:c r="P79" s="72" t="n">
        <x:v>46281</x:v>
      </x:c>
      <x:c r="Q79" s="66" t="str">
        <x:v>已核验；基金页沿用9月15日公示</x:v>
      </x:c>
      <x:c r="R79" s="66" t="str">
        <x:v>2026-01-05</x:v>
      </x:c>
      <x:c r="S79" s="66" t="str">
        <x:v>2026-07-03</x:v>
      </x:c>
    </x:row>
    <x:row r="80" ht="27" customHeight="1">
      <x:c r="A80" s="66" t="str">
        <x:v>SNH457</x:v>
      </x:c>
      <x:c r="B80" s="66" t="str">
        <x:v>量客投资金选套利1号</x:v>
      </x:c>
      <x:c r="C80" s="66" t="str">
        <x:v>上海量客</x:v>
      </x:c>
      <x:c r="D80" s="66" t="str">
        <x:v>上海量客私募基金管理有限公司</x:v>
      </x:c>
      <x:c r="E80" s="66" t="str">
        <x:v>P1000568</x:v>
      </x:c>
      <x:c r="F80" s="66" t="str">
        <x:v>50-100亿元</x:v>
      </x:c>
      <x:c r="G80" s="66" t="str">
        <x:v>大规模</x:v>
      </x:c>
      <x:c r="H80" s="66" t="str">
        <x:v>本次公示未见相关记录</x:v>
      </x:c>
      <x:c r="I80" s="66" t="str">
        <x:v>管理人层面</x:v>
      </x:c>
      <x:c r="J80" s="66" t="str"/>
      <x:c r="K80" s="66" t="str"/>
      <x:c r="L80" s="66" t="str"/>
      <x:c r="M80" s="66" t="str"/>
      <x:c r="N80" s="66" t="str">
        <x:v>https://gs.amac.org.cn/amac-infodisc/res/pof/manager/101000000790.html</x:v>
      </x:c>
      <x:c r="O80" s="66" t="str">
        <x:v>https://gs.amac.org.cn/amac-infodisc/res/pof/fund/2101061734111873.html</x:v>
      </x:c>
      <x:c r="P80" s="72" t="n">
        <x:v>46281</x:v>
      </x:c>
      <x:c r="Q80" s="66" t="str">
        <x:v>已核验；基金页沿用9月15日公示</x:v>
      </x:c>
      <x:c r="R80" s="66" t="str">
        <x:v>2026-06-01</x:v>
      </x:c>
      <x:c r="S80" s="66" t="str">
        <x:v>2025-03-06</x:v>
      </x:c>
    </x:row>
    <x:row r="81" ht="27" customHeight="1">
      <x:c r="A81" s="66" t="str">
        <x:v>SNS371</x:v>
      </x:c>
      <x:c r="B81" s="66" t="str">
        <x:v>洮利11号1期</x:v>
      </x:c>
      <x:c r="C81" s="66" t="str">
        <x:v>上海洮利</x:v>
      </x:c>
      <x:c r="D81" s="66" t="str">
        <x:v>上海洮利私募基金管理有限公司</x:v>
      </x:c>
      <x:c r="E81" s="66" t="str">
        <x:v>P1069945</x:v>
      </x:c>
      <x:c r="F81" s="66" t="str">
        <x:v>5-10亿元</x:v>
      </x:c>
      <x:c r="G81" s="66" t="str">
        <x:v>大规模</x:v>
      </x:c>
      <x:c r="H81" s="66" t="str">
        <x:v>本次公示未见相关记录</x:v>
      </x:c>
      <x:c r="I81" s="66" t="str">
        <x:v>管理人层面</x:v>
      </x:c>
      <x:c r="J81" s="66" t="str"/>
      <x:c r="K81" s="66" t="str"/>
      <x:c r="L81" s="66" t="str"/>
      <x:c r="M81" s="66" t="str">
        <x:v>根据管理人最新报送信息，本基金存续规模低于1000万人民币（2026年第2季度季度更新信息）</x:v>
      </x:c>
      <x:c r="N81" s="66" t="str">
        <x:v>https://gs.amac.org.cn/amac-infodisc/res/pof/manager/1905071402101724.html</x:v>
      </x:c>
      <x:c r="O81" s="66" t="str">
        <x:v>https://gs.amac.org.cn/amac-infodisc/res/pof/fund/2101201950101722.html</x:v>
      </x:c>
      <x:c r="P81" s="72" t="n">
        <x:v>46281</x:v>
      </x:c>
      <x:c r="Q81" s="66" t="str">
        <x:v>已核验；基金页沿用9月15日公示</x:v>
      </x:c>
      <x:c r="R81" s="66" t="str">
        <x:v>2026-05-20</x:v>
      </x:c>
      <x:c r="S81" s="66" t="str">
        <x:v>2022-08-01</x:v>
      </x:c>
    </x:row>
    <x:row r="82" ht="27" customHeight="1">
      <x:c r="A82" s="66" t="str">
        <x:v>SVB806</x:v>
      </x:c>
      <x:c r="B82" s="66" t="str">
        <x:v>悬铃稳健1号</x:v>
      </x:c>
      <x:c r="C82" s="66" t="str">
        <x:v>上海悬铃</x:v>
      </x:c>
      <x:c r="D82" s="66" t="str">
        <x:v>上海悬铃私募基金管理有限公司</x:v>
      </x:c>
      <x:c r="E82" s="66" t="str">
        <x:v>P1064634</x:v>
      </x:c>
      <x:c r="F82" s="66" t="str">
        <x:v>20-50亿元</x:v>
      </x:c>
      <x:c r="G82" s="66" t="str">
        <x:v>大规模</x:v>
      </x:c>
      <x:c r="H82" s="66" t="str">
        <x:v>本次公示未见相关记录</x:v>
      </x:c>
      <x:c r="I82" s="66" t="str">
        <x:v>管理人层面</x:v>
      </x:c>
      <x:c r="J82" s="66" t="str"/>
      <x:c r="K82" s="66" t="str"/>
      <x:c r="L82" s="66" t="str"/>
      <x:c r="M82" s="66" t="str">
        <x:v>根据管理人最新报送信息，本基金存续规模低于1000万人民币（2026年第2季度季度更新信息）</x:v>
      </x:c>
      <x:c r="N82" s="66" t="str">
        <x:v>https://gs.amac.org.cn/amac-infodisc/res/pof/manager/1701161209103763.html</x:v>
      </x:c>
      <x:c r="O82" s="66" t="str">
        <x:v>https://gs.amac.org.cn/amac-infodisc/res/pof/fund/2202161802107592.html</x:v>
      </x:c>
      <x:c r="P82" s="72" t="n">
        <x:v>46281</x:v>
      </x:c>
      <x:c r="Q82" s="66" t="str">
        <x:v>已核验；基金页沿用9月15日公示</x:v>
      </x:c>
      <x:c r="R82" s="66" t="str">
        <x:v>2026-07-13</x:v>
      </x:c>
      <x:c r="S82" s="66" t="str">
        <x:v>2022-02-17</x:v>
      </x:c>
    </x:row>
    <x:row r="83" ht="27" customHeight="1">
      <x:c r="A83" s="66" t="str">
        <x:v>SZM840</x:v>
      </x:c>
      <x:c r="B83" s="66" t="str">
        <x:v>时间稳健1号</x:v>
      </x:c>
      <x:c r="C83" s="66" t="str">
        <x:v>青岛时间</x:v>
      </x:c>
      <x:c r="D83" s="66" t="str">
        <x:v>青岛时间私募基金管理有限公司</x:v>
      </x:c>
      <x:c r="E83" s="66" t="str">
        <x:v>P1071508</x:v>
      </x:c>
      <x:c r="F83" s="66" t="str">
        <x:v>0-5亿元</x:v>
      </x:c>
      <x:c r="G83" s="66" t="str">
        <x:v>小规模</x:v>
      </x:c>
      <x:c r="H83" s="66" t="str">
        <x:v>本次公示未见相关记录</x:v>
      </x:c>
      <x:c r="I83" s="66" t="str">
        <x:v>管理人层面</x:v>
      </x:c>
      <x:c r="J83" s="66" t="str"/>
      <x:c r="K83" s="66" t="str"/>
      <x:c r="L83" s="66" t="str"/>
      <x:c r="M83" s="66" t="str"/>
      <x:c r="N83" s="66" t="str">
        <x:v>https://gs.amac.org.cn/amac-infodisc/res/pof/manager/2007291034107765.html</x:v>
      </x:c>
      <x:c r="O83" s="66" t="str">
        <x:v>https://gs.amac.org.cn/amac-infodisc/res/pof/fund/2303061420106400.html</x:v>
      </x:c>
      <x:c r="P83" s="72" t="n">
        <x:v>46281</x:v>
      </x:c>
      <x:c r="Q83" s="66" t="str">
        <x:v>已核验；基金页沿用9月15日公示</x:v>
      </x:c>
      <x:c r="R83" s="66" t="str">
        <x:v>2025-12-23</x:v>
      </x:c>
      <x:c r="S83" s="66" t="str">
        <x:v>2024-10-10</x:v>
      </x:c>
    </x:row>
    <x:row r="84" ht="27" customHeight="1">
      <x:c r="A84" s="66" t="str">
        <x:v>SZD351</x:v>
      </x:c>
      <x:c r="B84" s="66" t="str">
        <x:v>交叉智能-量化增强2号</x:v>
      </x:c>
      <x:c r="C84" s="66" t="str">
        <x:v>北京交叉智能</x:v>
      </x:c>
      <x:c r="D84" s="66" t="str">
        <x:v>交叉智能（北京）私募基金管理有限公司</x:v>
      </x:c>
      <x:c r="E84" s="66" t="str">
        <x:v>P1073650</x:v>
      </x:c>
      <x:c r="F84" s="66" t="str">
        <x:v>5-10亿元</x:v>
      </x:c>
      <x:c r="G84" s="66" t="str">
        <x:v>大规模</x:v>
      </x:c>
      <x:c r="H84" s="66" t="str">
        <x:v>本次公示未见相关记录</x:v>
      </x:c>
      <x:c r="I84" s="66" t="str">
        <x:v>管理人层面</x:v>
      </x:c>
      <x:c r="J84" s="66" t="str"/>
      <x:c r="K84" s="66" t="str"/>
      <x:c r="L84" s="66" t="str"/>
      <x:c r="M84" s="66" t="str"/>
      <x:c r="N84" s="66" t="str">
        <x:v>https://gs.amac.org.cn/amac-infodisc/res/pof/manager/2108121438108586.html</x:v>
      </x:c>
      <x:c r="O84" s="66" t="str">
        <x:v>https://gs.amac.org.cn/amac-infodisc/res/pof/fund/2304211705109378.html</x:v>
      </x:c>
      <x:c r="P84" s="72" t="n">
        <x:v>46281</x:v>
      </x:c>
      <x:c r="Q84" s="66" t="str">
        <x:v>已核验；基金页沿用9月15日公示</x:v>
      </x:c>
      <x:c r="R84" s="66" t="str">
        <x:v>2025-07-15</x:v>
      </x:c>
      <x:c r="S84" s="66" t="str">
        <x:v>2025-04-23</x:v>
      </x:c>
    </x:row>
    <x:row r="85" ht="27" customHeight="1">
      <x:c r="A85" s="66" t="str">
        <x:v>SCB058</x:v>
      </x:c>
      <x:c r="B85" s="66" t="str">
        <x:v>磬晟启晟1号</x:v>
      </x:c>
      <x:c r="C85" s="66" t="str">
        <x:v>上海磬晟</x:v>
      </x:c>
      <x:c r="D85" s="66" t="str">
        <x:v>上海磬晟私募基金管理有限公司</x:v>
      </x:c>
      <x:c r="E85" s="66" t="str">
        <x:v>P1064288</x:v>
      </x:c>
      <x:c r="F85" s="66" t="str">
        <x:v>5-10亿元</x:v>
      </x:c>
      <x:c r="G85" s="66" t="str">
        <x:v>大规模</x:v>
      </x:c>
      <x:c r="H85" s="66" t="str">
        <x:v>本次公示未见相关记录</x:v>
      </x:c>
      <x:c r="I85" s="66" t="str">
        <x:v>管理人层面</x:v>
      </x:c>
      <x:c r="J85" s="66" t="str"/>
      <x:c r="K85" s="66" t="str"/>
      <x:c r="L85" s="66" t="str"/>
      <x:c r="M85" s="66" t="str"/>
      <x:c r="N85" s="66" t="str">
        <x:v>https://gs.amac.org.cn/amac-infodisc/res/pof/manager/1612231709103386.html</x:v>
      </x:c>
      <x:c r="O85" s="66" t="str">
        <x:v>https://gs.amac.org.cn/amac-infodisc/res/pof/fund/1802081849101993.html</x:v>
      </x:c>
      <x:c r="P85" s="72" t="n">
        <x:v>46281</x:v>
      </x:c>
      <x:c r="Q85" s="66" t="str">
        <x:v>已核验；基金页沿用9月15日公示</x:v>
      </x:c>
      <x:c r="R85" s="66" t="str">
        <x:v>2025-02-05</x:v>
      </x:c>
      <x:c r="S85" s="66" t="str">
        <x:v>2026-08-06</x:v>
      </x:c>
    </x:row>
    <x:row r="86" ht="27" customHeight="1">
      <x:c r="A86" s="66" t="str">
        <x:v>SZF187</x:v>
      </x:c>
      <x:c r="B86" s="66" t="str">
        <x:v>悬铃瑞享C号1期</x:v>
      </x:c>
      <x:c r="C86" s="66" t="str">
        <x:v>上海悬铃</x:v>
      </x:c>
      <x:c r="D86" s="66" t="str">
        <x:v>上海悬铃私募基金管理有限公司</x:v>
      </x:c>
      <x:c r="E86" s="66" t="str">
        <x:v>P1064634</x:v>
      </x:c>
      <x:c r="F86" s="66" t="str">
        <x:v>20-50亿元</x:v>
      </x:c>
      <x:c r="G86" s="66" t="str">
        <x:v>大规模</x:v>
      </x:c>
      <x:c r="H86" s="66" t="str">
        <x:v>本次公示未见相关记录</x:v>
      </x:c>
      <x:c r="I86" s="66" t="str">
        <x:v>管理人层面</x:v>
      </x:c>
      <x:c r="J86" s="66" t="str"/>
      <x:c r="K86" s="66" t="str"/>
      <x:c r="L86" s="66" t="str"/>
      <x:c r="M86" s="66" t="str">
        <x:v>根据管理人最新报送信息，本基金存续规模低于1000万人民币（2026年第2季度季度更新信息）</x:v>
      </x:c>
      <x:c r="N86" s="66" t="str">
        <x:v>https://gs.amac.org.cn/amac-infodisc/res/pof/manager/1701161209103763.html</x:v>
      </x:c>
      <x:c r="O86" s="66" t="str">
        <x:v>https://gs.amac.org.cn/amac-infodisc/res/pof/fund/2304181407104117.html</x:v>
      </x:c>
      <x:c r="P86" s="72" t="n">
        <x:v>46281</x:v>
      </x:c>
      <x:c r="Q86" s="66" t="str">
        <x:v>已核验；基金页沿用9月15日公示</x:v>
      </x:c>
      <x:c r="R86" s="66" t="str">
        <x:v>2026-07-13</x:v>
      </x:c>
      <x:c r="S86" s="66" t="str">
        <x:v>2026-06-03</x:v>
      </x:c>
    </x:row>
    <x:row r="87" ht="27" customHeight="1">
      <x:c r="A87" s="66" t="str">
        <x:v>STP551</x:v>
      </x:c>
      <x:c r="B87" s="66" t="str">
        <x:v>悬铃成长1号</x:v>
      </x:c>
      <x:c r="C87" s="66" t="str">
        <x:v>上海悬铃</x:v>
      </x:c>
      <x:c r="D87" s="66" t="str">
        <x:v>上海悬铃私募基金管理有限公司</x:v>
      </x:c>
      <x:c r="E87" s="66" t="str">
        <x:v>P1064634</x:v>
      </x:c>
      <x:c r="F87" s="66" t="str">
        <x:v>20-50亿元</x:v>
      </x:c>
      <x:c r="G87" s="66" t="str">
        <x:v>大规模</x:v>
      </x:c>
      <x:c r="H87" s="66" t="str">
        <x:v>本次公示未见相关记录</x:v>
      </x:c>
      <x:c r="I87" s="66" t="str">
        <x:v>管理人层面</x:v>
      </x:c>
      <x:c r="J87" s="66" t="str"/>
      <x:c r="K87" s="66" t="str"/>
      <x:c r="L87" s="66" t="str"/>
      <x:c r="M87" s="66" t="str">
        <x:v>根据管理人最新报送信息，本基金存续规模低于1000万人民币（2026年第2季度季度更新信息）</x:v>
      </x:c>
      <x:c r="N87" s="66" t="str">
        <x:v>https://gs.amac.org.cn/amac-infodisc/res/pof/manager/1701161209103763.html</x:v>
      </x:c>
      <x:c r="O87" s="66" t="str">
        <x:v>https://gs.amac.org.cn/amac-infodisc/res/pof/fund/2112291739105312.html</x:v>
      </x:c>
      <x:c r="P87" s="72" t="n">
        <x:v>46281</x:v>
      </x:c>
      <x:c r="Q87" s="66" t="str">
        <x:v>已核验；基金页沿用9月15日公示</x:v>
      </x:c>
      <x:c r="R87" s="66" t="str">
        <x:v>2026-07-13</x:v>
      </x:c>
      <x:c r="S87" s="66" t="str">
        <x:v>2025-02-17</x:v>
      </x:c>
    </x:row>
    <x:row r="88" ht="27" customHeight="1">
      <x:c r="A88" s="66" t="str">
        <x:v>SEV580</x:v>
      </x:c>
      <x:c r="B88" s="66" t="str">
        <x:v>祁腾蜂赢1号</x:v>
      </x:c>
      <x:c r="C88" s="66" t="str">
        <x:v>宁波祁腾投资</x:v>
      </x:c>
      <x:c r="D88" s="66" t="str">
        <x:v>宁波祁腾投资管理有限公司</x:v>
      </x:c>
      <x:c r="E88" s="66" t="str">
        <x:v>P1069265</x:v>
      </x:c>
      <x:c r="F88" s="66" t="str">
        <x:v>0-5亿元</x:v>
      </x:c>
      <x:c r="G88" s="66" t="str">
        <x:v>小规模</x:v>
      </x:c>
      <x:c r="H88" s="66" t="str">
        <x:v>协会提示／报送异常</x:v>
      </x:c>
      <x:c r="I88" s="66" t="str">
        <x:v>管理人层面</x:v>
      </x:c>
      <x:c r="J88" s="66" t="str"/>
      <x:c r="K88" s="66" t="str">
        <x:v>注册地与办公地不在同一辖区 指私募基金管理人的注册地与办公地不在同一证监会辖区。</x:v>
      </x:c>
      <x:c r="L88" s="66" t="str"/>
      <x:c r="M88" s="66" t="str"/>
      <x:c r="N88" s="66" t="str">
        <x:v>https://gs.amac.org.cn/amac-infodisc/res/pof/manager/1809041559102185.html</x:v>
      </x:c>
      <x:c r="O88" s="66" t="str">
        <x:v>https://gs.amac.org.cn/amac-infodisc/res/pof/fund/1902010925104002.html</x:v>
      </x:c>
      <x:c r="P88" s="72" t="n">
        <x:v>46281</x:v>
      </x:c>
      <x:c r="Q88" s="66" t="str">
        <x:v>已核验；基金页沿用9月15日公示</x:v>
      </x:c>
      <x:c r="R88" s="66" t="str">
        <x:v>2024-10-28</x:v>
      </x:c>
      <x:c r="S88" s="66" t="str">
        <x:v>2025-04-22</x:v>
      </x:c>
    </x:row>
    <x:row r="89" ht="27" customHeight="1">
      <x:c r="A89" s="66" t="str">
        <x:v>SGM512</x:v>
      </x:c>
      <x:c r="B89" s="66" t="str">
        <x:v>殊馥馥源套利1号</x:v>
      </x:c>
      <x:c r="C89" s="66" t="str">
        <x:v>上海殊馥投资</x:v>
      </x:c>
      <x:c r="D89" s="66" t="str">
        <x:v>上海殊馥投资管理有限公司</x:v>
      </x:c>
      <x:c r="E89" s="66" t="str">
        <x:v>P1029642</x:v>
      </x:c>
      <x:c r="F89" s="66" t="str">
        <x:v>10-20亿元</x:v>
      </x:c>
      <x:c r="G89" s="66" t="str">
        <x:v>大规模</x:v>
      </x:c>
      <x:c r="H89" s="66" t="str">
        <x:v>协会提示／报送异常</x:v>
      </x:c>
      <x:c r="I89" s="66" t="str">
        <x:v>管理人层面</x:v>
      </x:c>
      <x:c r="J89" s="66" t="str"/>
      <x:c r="K89" s="66" t="str">
        <x:v>存在长期处于清算状态基金 指私募基金管理人存在提交清算开始后超过6个月未完成清算的私募基金。</x:v>
      </x:c>
      <x:c r="L89" s="66" t="str">
        <x:v>该管理人在管的殊馥和得7号私募证券投资基金等1只基金为未托管私募证券基金</x:v>
      </x:c>
      <x:c r="M89" s="66" t="str"/>
      <x:c r="N89" s="66" t="str">
        <x:v>https://gs.amac.org.cn/amac-infodisc/res/pof/manager/101000042776.html</x:v>
      </x:c>
      <x:c r="O89" s="66" t="str">
        <x:v>https://gs.amac.org.cn/amac-infodisc/res/pof/fund/1905151920101338.html</x:v>
      </x:c>
      <x:c r="P89" s="72" t="n">
        <x:v>46281</x:v>
      </x:c>
      <x:c r="Q89" s="66" t="str">
        <x:v>已核验；基金页沿用9月15日公示</x:v>
      </x:c>
      <x:c r="R89" s="66" t="str">
        <x:v>2026-06-29</x:v>
      </x:c>
      <x:c r="S89" s="66" t="str">
        <x:v>2024-09-20</x:v>
      </x:c>
    </x:row>
    <x:row r="90" ht="27" customHeight="1">
      <x:c r="A90" s="66" t="str">
        <x:v>SLA063</x:v>
      </x:c>
      <x:c r="B90" s="66" t="str">
        <x:v>杉阳云杉混合1号</x:v>
      </x:c>
      <x:c r="C90" s="66" t="str">
        <x:v>上海杉阳</x:v>
      </x:c>
      <x:c r="D90" s="66" t="str">
        <x:v>上海杉阳私募基金管理有限公司</x:v>
      </x:c>
      <x:c r="E90" s="66" t="str">
        <x:v>P1070833</x:v>
      </x:c>
      <x:c r="F90" s="66" t="str">
        <x:v>0-5亿元</x:v>
      </x:c>
      <x:c r="G90" s="66" t="str">
        <x:v>小规模</x:v>
      </x:c>
      <x:c r="H90" s="66" t="str">
        <x:v>本次公示未见相关记录</x:v>
      </x:c>
      <x:c r="I90" s="66" t="str">
        <x:v>管理人层面</x:v>
      </x:c>
      <x:c r="J90" s="66" t="str"/>
      <x:c r="K90" s="66" t="str"/>
      <x:c r="L90" s="66" t="str"/>
      <x:c r="M90" s="66" t="str"/>
      <x:c r="N90" s="66" t="str">
        <x:v>https://gs.amac.org.cn/amac-infodisc/res/pof/manager/2001061547104837.html</x:v>
      </x:c>
      <x:c r="O90" s="66" t="str">
        <x:v>https://gs.amac.org.cn/amac-infodisc/res/pof/fund/2006011729109166.html</x:v>
      </x:c>
      <x:c r="P90" s="72" t="n">
        <x:v>46281</x:v>
      </x:c>
      <x:c r="Q90" s="66" t="str">
        <x:v>已核验；基金页沿用9月15日公示</x:v>
      </x:c>
      <x:c r="R90" s="66" t="str">
        <x:v>2026-05-06</x:v>
      </x:c>
      <x:c r="S90" s="66" t="str">
        <x:v>2025-07-17</x:v>
      </x:c>
    </x:row>
    <x:row r="91" ht="27" customHeight="1">
      <x:c r="A91" s="66" t="str">
        <x:v>SLD523</x:v>
      </x:c>
      <x:c r="B91" s="66" t="str">
        <x:v>申毅格物22号</x:v>
      </x:c>
      <x:c r="C91" s="66" t="str">
        <x:v>上海申毅投资</x:v>
      </x:c>
      <x:c r="D91" s="66" t="str">
        <x:v>上海申毅投资股份有限公司</x:v>
      </x:c>
      <x:c r="E91" s="66" t="str">
        <x:v>P1000404</x:v>
      </x:c>
      <x:c r="F91" s="66" t="str">
        <x:v>100亿元以上</x:v>
      </x:c>
      <x:c r="G91" s="66" t="str">
        <x:v>大规模</x:v>
      </x:c>
      <x:c r="H91" s="66" t="str">
        <x:v>本次公示未见相关记录</x:v>
      </x:c>
      <x:c r="I91" s="66" t="str">
        <x:v>管理人层面</x:v>
      </x:c>
      <x:c r="J91" s="66" t="str"/>
      <x:c r="K91" s="66" t="str"/>
      <x:c r="L91" s="66" t="str"/>
      <x:c r="M91" s="66" t="str"/>
      <x:c r="N91" s="66" t="str">
        <x:v>https://gs.amac.org.cn/amac-infodisc/res/pof/manager/101000000870.html</x:v>
      </x:c>
      <x:c r="O91" s="66" t="str">
        <x:v>https://gs.amac.org.cn/amac-infodisc/res/pof/fund/2007131911107433.html</x:v>
      </x:c>
      <x:c r="P91" s="72" t="n">
        <x:v>46281</x:v>
      </x:c>
      <x:c r="Q91" s="66" t="str">
        <x:v>已核验；基金页沿用9月15日公示</x:v>
      </x:c>
      <x:c r="R91" s="66" t="str">
        <x:v>2026-04-28</x:v>
      </x:c>
      <x:c r="S91" s="66" t="str">
        <x:v>2026-06-01</x:v>
      </x:c>
    </x:row>
    <x:row r="92" ht="27" customHeight="1">
      <x:c r="A92" s="66" t="str">
        <x:v>SLN352</x:v>
      </x:c>
      <x:c r="B92" s="66" t="str">
        <x:v>鹿秀驯鹿5号</x:v>
      </x:c>
      <x:c r="C92" s="66" t="str">
        <x:v>青岛鹿秀投资</x:v>
      </x:c>
      <x:c r="D92" s="66" t="str">
        <x:v>青岛鹿秀投资管理有限公司</x:v>
      </x:c>
      <x:c r="E92" s="66" t="str">
        <x:v>P1064617</x:v>
      </x:c>
      <x:c r="F92" s="66" t="str">
        <x:v>50-100亿元</x:v>
      </x:c>
      <x:c r="G92" s="66" t="str">
        <x:v>大规模</x:v>
      </x:c>
      <x:c r="H92" s="66" t="str">
        <x:v>协会提示／报送异常</x:v>
      </x:c>
      <x:c r="I92" s="66" t="str">
        <x:v>管理人层面</x:v>
      </x:c>
      <x:c r="J92" s="66" t="str"/>
      <x:c r="K92" s="66" t="str">
        <x:v>注册地与办公地不在同一辖区 指私募基金管理人的注册地与办公地不在同一证监会辖区。 存在逾期未清算基金 指私募基金管理人存在超过到期日3个月且未提交清算申请的私募基金。</x:v>
      </x:c>
      <x:c r="L92" s="66" t="str"/>
      <x:c r="M92" s="66" t="str"/>
      <x:c r="N92" s="66" t="str">
        <x:v>https://gs.amac.org.cn/amac-infodisc/res/pof/manager/1612231708101923.html</x:v>
      </x:c>
      <x:c r="O92" s="66" t="str">
        <x:v>https://gs.amac.org.cn/amac-infodisc/res/pof/fund/2008311029109749.html</x:v>
      </x:c>
      <x:c r="P92" s="72" t="n">
        <x:v>46281</x:v>
      </x:c>
      <x:c r="Q92" s="66" t="str">
        <x:v>已核验；基金页沿用9月15日公示</x:v>
      </x:c>
      <x:c r="R92" s="66" t="str">
        <x:v>2025-01-10</x:v>
      </x:c>
      <x:c r="S92" s="66" t="str">
        <x:v>2025-07-01</x:v>
      </x:c>
    </x:row>
    <x:row r="93" ht="27" customHeight="1">
      <x:c r="A93" s="66" t="str">
        <x:v>SNK594</x:v>
      </x:c>
      <x:c r="B93" s="66" t="str">
        <x:v>鹿秀驯鹿10号</x:v>
      </x:c>
      <x:c r="C93" s="66" t="str">
        <x:v>青岛鹿秀投资</x:v>
      </x:c>
      <x:c r="D93" s="66" t="str">
        <x:v>青岛鹿秀投资管理有限公司</x:v>
      </x:c>
      <x:c r="E93" s="66" t="str">
        <x:v>P1064617</x:v>
      </x:c>
      <x:c r="F93" s="66" t="str">
        <x:v>50-100亿元</x:v>
      </x:c>
      <x:c r="G93" s="66" t="str">
        <x:v>大规模</x:v>
      </x:c>
      <x:c r="H93" s="66" t="str">
        <x:v>协会提示／报送异常</x:v>
      </x:c>
      <x:c r="I93" s="66" t="str">
        <x:v>管理人层面</x:v>
      </x:c>
      <x:c r="J93" s="66" t="str"/>
      <x:c r="K93" s="66" t="str">
        <x:v>注册地与办公地不在同一辖区 指私募基金管理人的注册地与办公地不在同一证监会辖区。 存在逾期未清算基金 指私募基金管理人存在超过到期日3个月且未提交清算申请的私募基金。</x:v>
      </x:c>
      <x:c r="L93" s="66" t="str"/>
      <x:c r="M93" s="66" t="str"/>
      <x:c r="N93" s="66" t="str">
        <x:v>https://gs.amac.org.cn/amac-infodisc/res/pof/manager/1612231708101923.html</x:v>
      </x:c>
      <x:c r="O93" s="66" t="str">
        <x:v>https://gs.amac.org.cn/amac-infodisc/res/pof/fund/2012081718105854.html</x:v>
      </x:c>
      <x:c r="P93" s="72" t="n">
        <x:v>46281</x:v>
      </x:c>
      <x:c r="Q93" s="66" t="str">
        <x:v>已核验；基金页沿用9月15日公示</x:v>
      </x:c>
      <x:c r="R93" s="66" t="str">
        <x:v>2025-01-10</x:v>
      </x:c>
      <x:c r="S93" s="66" t="str">
        <x:v>2023-07-17</x:v>
      </x:c>
    </x:row>
    <x:row r="94" ht="27" customHeight="1">
      <x:c r="A94" s="66" t="str">
        <x:v>SQD546</x:v>
      </x:c>
      <x:c r="B94" s="66" t="str">
        <x:v>九招真格量化套利一号</x:v>
      </x:c>
      <x:c r="C94" s="66" t="str">
        <x:v>武汉九招</x:v>
      </x:c>
      <x:c r="D94" s="66" t="str">
        <x:v>武汉九招私募基金管理有限公司</x:v>
      </x:c>
      <x:c r="E94" s="66" t="str">
        <x:v>P1074391</x:v>
      </x:c>
      <x:c r="F94" s="66" t="str">
        <x:v>5-10亿元</x:v>
      </x:c>
      <x:c r="G94" s="66" t="str">
        <x:v>大规模</x:v>
      </x:c>
      <x:c r="H94" s="66" t="str">
        <x:v>监管警示函</x:v>
      </x:c>
      <x:c r="I94" s="66" t="str">
        <x:v>管理人层面</x:v>
      </x:c>
      <x:c r="J94" s="66" t="str">
        <x:v>三年内行政监管措施 该机构于2025年4月17日被湖北证监局采取出具警示函的行政监管措施。</x:v>
      </x:c>
      <x:c r="K94" s="66" t="str">
        <x:v>注册地与办公地不在同一辖区 指私募基金管理人的注册地与办公地不在同一证监会辖区。</x:v>
      </x:c>
      <x:c r="L94" s="66" t="str"/>
      <x:c r="M94" s="66" t="str"/>
      <x:c r="N94" s="66" t="str">
        <x:v>https://gs.amac.org.cn/amac-infodisc/res/pof/manager/2301051740101642.html</x:v>
      </x:c>
      <x:c r="O94" s="66" t="str">
        <x:v>https://gs.amac.org.cn/amac-infodisc/res/pof/fund/2103231905105915.html</x:v>
      </x:c>
      <x:c r="P94" s="72" t="n">
        <x:v>46281</x:v>
      </x:c>
      <x:c r="Q94" s="66" t="str">
        <x:v>已核验；基金页沿用9月15日公示</x:v>
      </x:c>
      <x:c r="R94" s="66" t="str">
        <x:v>2026-07-21</x:v>
      </x:c>
      <x:c r="S94" s="66" t="str">
        <x:v>2025-07-21</x:v>
      </x:c>
    </x:row>
    <x:row r="95" ht="27" customHeight="1">
      <x:c r="A95" s="66" t="str">
        <x:v>SQA623</x:v>
      </x:c>
      <x:c r="B95" s="66" t="str">
        <x:v>宏翼高频1号</x:v>
      </x:c>
      <x:c r="C95" s="66" t="str">
        <x:v>上海宏翼</x:v>
      </x:c>
      <x:c r="D95" s="66" t="str">
        <x:v>上海宏翼私募基金管理有限公司</x:v>
      </x:c>
      <x:c r="E95" s="66" t="str">
        <x:v>P1071463</x:v>
      </x:c>
      <x:c r="F95" s="66" t="str">
        <x:v>5-10亿元</x:v>
      </x:c>
      <x:c r="G95" s="66" t="str">
        <x:v>大规模</x:v>
      </x:c>
      <x:c r="H95" s="66" t="str">
        <x:v>本次公示未见相关记录</x:v>
      </x:c>
      <x:c r="I95" s="66" t="str">
        <x:v>管理人层面</x:v>
      </x:c>
      <x:c r="J95" s="66" t="str"/>
      <x:c r="K95" s="66" t="str"/>
      <x:c r="L95" s="66" t="str"/>
      <x:c r="M95" s="66" t="str"/>
      <x:c r="N95" s="66" t="str">
        <x:v>https://gs.amac.org.cn/amac-infodisc/res/pof/manager/2008271406105036.html</x:v>
      </x:c>
      <x:c r="O95" s="66" t="str">
        <x:v>https://gs.amac.org.cn/amac-infodisc/res/pof/fund/2104071855107484.html</x:v>
      </x:c>
      <x:c r="P95" s="72" t="n">
        <x:v>46281</x:v>
      </x:c>
      <x:c r="Q95" s="66" t="str">
        <x:v>已核验；基金页沿用9月15日公示</x:v>
      </x:c>
      <x:c r="R95" s="66" t="str">
        <x:v>2026-01-05</x:v>
      </x:c>
      <x:c r="S95" s="66" t="str">
        <x:v>2022-01-05</x:v>
      </x:c>
    </x:row>
    <x:row r="96" ht="27" customHeight="1">
      <x:c r="A96" s="66" t="str">
        <x:v>SQN453</x:v>
      </x:c>
      <x:c r="B96" s="66" t="str">
        <x:v>钧誉厚德量化对冲11号</x:v>
      </x:c>
      <x:c r="C96" s="66" t="str">
        <x:v>珠海钧誉资管</x:v>
      </x:c>
      <x:c r="D96" s="66" t="str">
        <x:v>珠海钧誉资产管理有限公司</x:v>
      </x:c>
      <x:c r="E96" s="66" t="str">
        <x:v>P1068716</x:v>
      </x:c>
      <x:c r="F96" s="66" t="str">
        <x:v>0-5亿元</x:v>
      </x:c>
      <x:c r="G96" s="66" t="str">
        <x:v>小规模</x:v>
      </x:c>
      <x:c r="H96" s="66" t="str">
        <x:v>本次公示未见相关记录</x:v>
      </x:c>
      <x:c r="I96" s="66" t="str">
        <x:v>管理人层面</x:v>
      </x:c>
      <x:c r="J96" s="66" t="str"/>
      <x:c r="K96" s="66" t="str"/>
      <x:c r="L96" s="66" t="str"/>
      <x:c r="M96" s="66" t="str"/>
      <x:c r="N96" s="66" t="str">
        <x:v>https://gs.amac.org.cn/amac-infodisc/res/pof/manager/1801241613109731.html</x:v>
      </x:c>
      <x:c r="O96" s="66" t="str">
        <x:v>https://gs.amac.org.cn/amac-infodisc/res/pof/fund/2105111737102298.html</x:v>
      </x:c>
      <x:c r="P96" s="72" t="n">
        <x:v>46281</x:v>
      </x:c>
      <x:c r="Q96" s="66" t="str">
        <x:v>已核验；基金页沿用9月15日公示</x:v>
      </x:c>
      <x:c r="R96" s="66" t="str">
        <x:v>2024-06-28</x:v>
      </x:c>
      <x:c r="S96" s="66" t="str">
        <x:v>2024-11-07</x:v>
      </x:c>
    </x:row>
    <x:row r="97" ht="27" customHeight="1">
      <x:c r="A97" s="66" t="str">
        <x:v>LA063A</x:v>
      </x:c>
      <x:c r="B97" s="66" t="str">
        <x:v>杉阳云杉混合1号A类</x:v>
      </x:c>
      <x:c r="C97" s="66" t="str">
        <x:v>上海杉阳</x:v>
      </x:c>
      <x:c r="D97" s="66" t="str">
        <x:v>上海杉阳私募基金管理有限公司</x:v>
      </x:c>
      <x:c r="E97" s="66" t="str">
        <x:v>P1070833</x:v>
      </x:c>
      <x:c r="F97" s="66" t="str">
        <x:v>0-5亿元</x:v>
      </x:c>
      <x:c r="G97" s="66" t="str">
        <x:v>小规模</x:v>
      </x:c>
      <x:c r="H97" s="66" t="str">
        <x:v>本次公示未见相关记录</x:v>
      </x:c>
      <x:c r="I97" s="66" t="str">
        <x:v>管理人层面</x:v>
      </x:c>
      <x:c r="J97" s="66" t="str"/>
      <x:c r="K97" s="66" t="str"/>
      <x:c r="L97" s="66" t="str"/>
      <x:c r="M97" s="66"/>
      <x:c r="N97" s="66" t="str">
        <x:v>https://gs.amac.org.cn/amac-infodisc/res/pof/manager/2001061547104837.html</x:v>
      </x:c>
      <x:c r="O97" s="66"/>
      <x:c r="P97" s="72" t="n">
        <x:v>46281</x:v>
      </x:c>
      <x:c r="Q97" s="66" t="str">
        <x:v>基金页未匹配，不推断产品规模；基金页沿用9月15日公示</x:v>
      </x:c>
      <x:c r="R97" s="66" t="str">
        <x:v>2026-05-06</x:v>
      </x:c>
      <x:c r="S97" s="66"/>
    </x:row>
    <x:row r="98" ht="27" customHeight="1">
      <x:c r="A98" s="66" t="str">
        <x:v>STD929</x:v>
      </x:c>
      <x:c r="B98" s="66" t="str">
        <x:v>嘉和传承精研二期</x:v>
      </x:c>
      <x:c r="C98" s="66" t="str">
        <x:v>上海嘉和传承</x:v>
      </x:c>
      <x:c r="D98" s="66" t="str">
        <x:v>上海嘉和传承私募基金管理有限公司</x:v>
      </x:c>
      <x:c r="E98" s="66" t="str">
        <x:v>P1074030</x:v>
      </x:c>
      <x:c r="F98" s="66" t="str">
        <x:v>5-10亿元</x:v>
      </x:c>
      <x:c r="G98" s="66" t="str">
        <x:v>大规模</x:v>
      </x:c>
      <x:c r="H98" s="66" t="str">
        <x:v>本次公示未见相关记录</x:v>
      </x:c>
      <x:c r="I98" s="66" t="str">
        <x:v>管理人层面</x:v>
      </x:c>
      <x:c r="J98" s="66" t="str"/>
      <x:c r="K98" s="66" t="str"/>
      <x:c r="L98" s="66" t="str"/>
      <x:c r="M98" s="66" t="str"/>
      <x:c r="N98" s="66" t="str">
        <x:v>https://gs.amac.org.cn/amac-infodisc/res/pof/manager/2203031405108672.html</x:v>
      </x:c>
      <x:c r="O98" s="66" t="str">
        <x:v>https://gs.amac.org.cn/amac-infodisc/res/pof/fund/2112091906107607.html</x:v>
      </x:c>
      <x:c r="P98" s="72" t="n">
        <x:v>46281</x:v>
      </x:c>
      <x:c r="Q98" s="66" t="str">
        <x:v>已核验；基金页沿用9月15日公示</x:v>
      </x:c>
      <x:c r="R98" s="66" t="str">
        <x:v>2025-08-08</x:v>
      </x:c>
      <x:c r="S98" s="66" t="str">
        <x:v>2026-06-05</x:v>
      </x:c>
    </x:row>
    <x:row r="99" ht="27" customHeight="1">
      <x:c r="A99" s="66" t="str">
        <x:v>STK755</x:v>
      </x:c>
      <x:c r="B99" s="66" t="str">
        <x:v>呈瑞复合策略1号</x:v>
      </x:c>
      <x:c r="C99" s="66" t="str">
        <x:v>上海呈瑞投资</x:v>
      </x:c>
      <x:c r="D99" s="66" t="str">
        <x:v>上海呈瑞投资管理有限公司</x:v>
      </x:c>
      <x:c r="E99" s="66" t="str">
        <x:v>P1001067</x:v>
      </x:c>
      <x:c r="F99" s="66" t="str">
        <x:v>50-100亿元</x:v>
      </x:c>
      <x:c r="G99" s="66" t="str">
        <x:v>大规模</x:v>
      </x:c>
      <x:c r="H99" s="66" t="str">
        <x:v>监管责令改正</x:v>
      </x:c>
      <x:c r="I99" s="66" t="str">
        <x:v>管理人层面</x:v>
      </x:c>
      <x:c r="J99" s="66" t="str">
        <x:v>三年内行政监管措施 该机构于2026年2月9日被上海证监局采取责令改正的行政监管措施。</x:v>
      </x:c>
      <x:c r="K99" s="66" t="str">
        <x:v>存在长期处于清算状态基金 指私募基金管理人存在提交清算开始后超过6个月未完成清算的私募基金。</x:v>
      </x:c>
      <x:c r="L99" s="66" t="str">
        <x:v>该管理人在管的宁波润辉欣隆投资合伙企业（有限合伙）、上海多顺企业管理中心（有限合伙）等2只基金为未托管私募证券基金</x:v>
      </x:c>
      <x:c r="M99" s="66" t="str"/>
      <x:c r="N99" s="66" t="str">
        <x:v>https://gs.amac.org.cn/amac-infodisc/res/pof/manager/101000000860.html</x:v>
      </x:c>
      <x:c r="O99" s="66" t="str">
        <x:v>https://gs.amac.org.cn/amac-infodisc/res/pof/fund/2112281829100961.html</x:v>
      </x:c>
      <x:c r="P99" s="72" t="n">
        <x:v>46281</x:v>
      </x:c>
      <x:c r="Q99" s="66" t="str">
        <x:v>已核验；基金页沿用9月15日公示</x:v>
      </x:c>
      <x:c r="R99" s="66" t="str">
        <x:v>2025-06-25</x:v>
      </x:c>
      <x:c r="S99" s="66" t="str">
        <x:v>2025-06-06</x:v>
      </x:c>
    </x:row>
    <x:row r="100" ht="27" customHeight="1">
      <x:c r="A100" s="66" t="str">
        <x:v>STS460</x:v>
      </x:c>
      <x:c r="B100" s="66" t="str">
        <x:v>晨翰6号</x:v>
      </x:c>
      <x:c r="C100" s="66" t="str">
        <x:v>晋江晨翰</x:v>
      </x:c>
      <x:c r="D100" s="66" t="str">
        <x:v>晋江市晨翰私募基金管理有限公司</x:v>
      </x:c>
      <x:c r="E100" s="66" t="str">
        <x:v>P1072342</x:v>
      </x:c>
      <x:c r="F100" s="66" t="str">
        <x:v>5-10亿元</x:v>
      </x:c>
      <x:c r="G100" s="66" t="str">
        <x:v>大规模</x:v>
      </x:c>
      <x:c r="H100" s="66" t="str">
        <x:v>本次公示未见相关记录</x:v>
      </x:c>
      <x:c r="I100" s="66" t="str">
        <x:v>管理人层面</x:v>
      </x:c>
      <x:c r="J100" s="66" t="str"/>
      <x:c r="K100" s="66" t="str"/>
      <x:c r="L100" s="66" t="str"/>
      <x:c r="M100" s="66" t="str"/>
      <x:c r="N100" s="66" t="str">
        <x:v>https://gs.amac.org.cn/amac-infodisc/res/pof/manager/2002211754119480.html</x:v>
      </x:c>
      <x:c r="O100" s="66" t="str">
        <x:v>https://gs.amac.org.cn/amac-infodisc/res/pof/fund/2201191737119713.html</x:v>
      </x:c>
      <x:c r="P100" s="72" t="n">
        <x:v>46281</x:v>
      </x:c>
      <x:c r="Q100" s="66" t="str">
        <x:v>已核验；基金页沿用9月15日公示</x:v>
      </x:c>
      <x:c r="R100" s="66" t="str">
        <x:v>2026-07-31</x:v>
      </x:c>
      <x:c r="S100" s="66" t="str">
        <x:v>2025-09-19</x:v>
      </x:c>
    </x:row>
    <x:row r="101" ht="27" customHeight="1">
      <x:c r="A101" s="66" t="str">
        <x:v>EE891A</x:v>
      </x:c>
      <x:c r="B101" s="66" t="str">
        <x:v>博普量化对冲6号A类</x:v>
      </x:c>
      <x:c r="C101" s="66" t="str">
        <x:v>深圳前海博普资管</x:v>
      </x:c>
      <x:c r="D101" s="66" t="str">
        <x:v>深圳前海博普资产管理有限公司</x:v>
      </x:c>
      <x:c r="E101" s="66" t="str">
        <x:v>P1067653</x:v>
      </x:c>
      <x:c r="F101" s="66" t="str">
        <x:v>50-100亿元</x:v>
      </x:c>
      <x:c r="G101" s="66" t="str">
        <x:v>大规模</x:v>
      </x:c>
      <x:c r="H101" s="66" t="str">
        <x:v>本次公示未见相关记录</x:v>
      </x:c>
      <x:c r="I101" s="66" t="str">
        <x:v>管理人层面</x:v>
      </x:c>
      <x:c r="J101" s="66" t="str"/>
      <x:c r="K101" s="66" t="str"/>
      <x:c r="L101" s="66" t="str"/>
      <x:c r="M101" s="66"/>
      <x:c r="N101" s="66" t="str">
        <x:v>https://gs.amac.org.cn/amac-infodisc/res/pof/manager/1709041706102598.html</x:v>
      </x:c>
      <x:c r="O101" s="66"/>
      <x:c r="P101" s="72" t="n">
        <x:v>46281</x:v>
      </x:c>
      <x:c r="Q101" s="66" t="str">
        <x:v>基金页未匹配，不推断产品规模；基金页沿用9月15日公示</x:v>
      </x:c>
      <x:c r="R101" s="66" t="str">
        <x:v>2023-10-20</x:v>
      </x:c>
      <x:c r="S101" s="66"/>
    </x:row>
    <x:row r="102" ht="27" customHeight="1">
      <x:c r="A102" s="66" t="str">
        <x:v>SXK740</x:v>
      </x:c>
      <x:c r="B102" s="66" t="str">
        <x:v>中益仁东染千顷</x:v>
      </x:c>
      <x:c r="C102" s="66" t="str">
        <x:v>日照中益仁</x:v>
      </x:c>
      <x:c r="D102" s="66" t="str">
        <x:v>日照中益仁私募基金管理有限公司</x:v>
      </x:c>
      <x:c r="E102" s="66" t="str">
        <x:v>P1069942</x:v>
      </x:c>
      <x:c r="F102" s="66" t="str">
        <x:v>10-20亿元</x:v>
      </x:c>
      <x:c r="G102" s="66" t="str">
        <x:v>大规模</x:v>
      </x:c>
      <x:c r="H102" s="66" t="str">
        <x:v>本次公示未见相关记录</x:v>
      </x:c>
      <x:c r="I102" s="66" t="str">
        <x:v>管理人层面</x:v>
      </x:c>
      <x:c r="J102" s="66" t="str"/>
      <x:c r="K102" s="66" t="str"/>
      <x:c r="L102" s="66" t="str"/>
      <x:c r="M102" s="66" t="str"/>
      <x:c r="N102" s="66" t="str">
        <x:v>https://gs.amac.org.cn/amac-infodisc/res/pof/manager/1708291806108811.html</x:v>
      </x:c>
      <x:c r="O102" s="66" t="str">
        <x:v>https://gs.amac.org.cn/amac-infodisc/res/pof/fund/2209291849101854.html</x:v>
      </x:c>
      <x:c r="P102" s="72" t="n">
        <x:v>46281</x:v>
      </x:c>
      <x:c r="Q102" s="66" t="str">
        <x:v>已核验；基金页沿用9月15日公示</x:v>
      </x:c>
      <x:c r="R102" s="66" t="str">
        <x:v>2026-01-08</x:v>
      </x:c>
      <x:c r="S102" s="66" t="str">
        <x:v>2023-04-19</x:v>
      </x:c>
    </x:row>
    <x:row r="103" ht="27" customHeight="1">
      <x:c r="A103" s="66" t="str">
        <x:v>SXT086</x:v>
      </x:c>
      <x:c r="B103" s="66" t="str">
        <x:v>系数CTA套利五号</x:v>
      </x:c>
      <x:c r="C103" s="66" t="str">
        <x:v>上海系数投资</x:v>
      </x:c>
      <x:c r="D103" s="66" t="str">
        <x:v>上海系数投资管理合伙企业（有限合伙）</x:v>
      </x:c>
      <x:c r="E103" s="66" t="str">
        <x:v>P1002468</x:v>
      </x:c>
      <x:c r="F103" s="66" t="str">
        <x:v>0-5亿元</x:v>
      </x:c>
      <x:c r="G103" s="66" t="str">
        <x:v>小规模</x:v>
      </x:c>
      <x:c r="H103" s="66" t="str">
        <x:v>本次公示未见相关记录</x:v>
      </x:c>
      <x:c r="I103" s="66" t="str">
        <x:v>管理人层面</x:v>
      </x:c>
      <x:c r="J103" s="66" t="str"/>
      <x:c r="K103" s="66" t="str"/>
      <x:c r="L103" s="66" t="str"/>
      <x:c r="M103" s="66" t="str"/>
      <x:c r="N103" s="66" t="str">
        <x:v>https://gs.amac.org.cn/amac-infodisc/res/pof/manager/101000000497.html</x:v>
      </x:c>
      <x:c r="O103" s="66" t="str">
        <x:v>https://gs.amac.org.cn/amac-infodisc/res/pof/fund/2211221840100768.html</x:v>
      </x:c>
      <x:c r="P103" s="72" t="n">
        <x:v>46281</x:v>
      </x:c>
      <x:c r="Q103" s="66" t="str">
        <x:v>已核验；基金页沿用9月15日公示</x:v>
      </x:c>
      <x:c r="R103" s="66" t="str">
        <x:v>2026-08-03</x:v>
      </x:c>
      <x:c r="S103" s="66" t="str">
        <x:v>2026-06-16</x:v>
      </x:c>
    </x:row>
    <x:row r="104" ht="27" customHeight="1">
      <x:c r="A104" s="66" t="str">
        <x:v>SXT730</x:v>
      </x:c>
      <x:c r="B104" s="66" t="str">
        <x:v>世宽若水尘心3号</x:v>
      </x:c>
      <x:c r="C104" s="66" t="str">
        <x:v>厦门世宽</x:v>
      </x:c>
      <x:c r="D104" s="66" t="str">
        <x:v>厦门世宽私募基金管理有限公司</x:v>
      </x:c>
      <x:c r="E104" s="66" t="str">
        <x:v>P1022452</x:v>
      </x:c>
      <x:c r="F104" s="66" t="str">
        <x:v>0-5亿元</x:v>
      </x:c>
      <x:c r="G104" s="66" t="str">
        <x:v>小规模</x:v>
      </x:c>
      <x:c r="H104" s="66" t="str">
        <x:v>本次公示未见相关记录</x:v>
      </x:c>
      <x:c r="I104" s="66" t="str">
        <x:v>管理人层面</x:v>
      </x:c>
      <x:c r="J104" s="66" t="str"/>
      <x:c r="K104" s="66" t="str"/>
      <x:c r="L104" s="66" t="str"/>
      <x:c r="M104" s="66" t="str"/>
      <x:c r="N104" s="66" t="str">
        <x:v>https://gs.amac.org.cn/amac-infodisc/res/pof/manager/101000026000.html</x:v>
      </x:c>
      <x:c r="O104" s="66" t="str">
        <x:v>https://gs.amac.org.cn/amac-infodisc/res/pof/fund/2211252020100971.html</x:v>
      </x:c>
      <x:c r="P104" s="72" t="n">
        <x:v>46281</x:v>
      </x:c>
      <x:c r="Q104" s="66" t="str">
        <x:v>已核验；基金页沿用9月15日公示</x:v>
      </x:c>
      <x:c r="R104" s="66" t="str">
        <x:v>2026-02-26</x:v>
      </x:c>
      <x:c r="S104" s="66" t="str">
        <x:v>2025-12-30</x:v>
      </x:c>
    </x:row>
    <x:row r="105" ht="27" customHeight="1">
      <x:c r="A105" s="66" t="str">
        <x:v>CU913A</x:v>
      </x:c>
      <x:c r="B105" s="66" t="str">
        <x:v>泓倍商品相对价值1号A类</x:v>
      </x:c>
      <x:c r="C105" s="66" t="str">
        <x:v>上海泓倍投资</x:v>
      </x:c>
      <x:c r="D105" s="66" t="str">
        <x:v>上海泓倍资产管理中心（有限合伙）</x:v>
      </x:c>
      <x:c r="E105" s="66" t="str">
        <x:v>P1003437</x:v>
      </x:c>
      <x:c r="F105" s="66" t="str">
        <x:v>0-5亿元</x:v>
      </x:c>
      <x:c r="G105" s="66" t="str">
        <x:v>小规模</x:v>
      </x:c>
      <x:c r="H105" s="66" t="str">
        <x:v>协会提示／报送异常</x:v>
      </x:c>
      <x:c r="I105" s="66" t="str">
        <x:v>管理人层面</x:v>
      </x:c>
      <x:c r="J105" s="66" t="str"/>
      <x:c r="K105" s="66" t="str">
        <x:v>注册地与办公地不在同一辖区 指私募基金管理人的注册地与办公地不在同一证监会辖区。</x:v>
      </x:c>
      <x:c r="L105" s="66" t="str"/>
      <x:c r="M105" s="66"/>
      <x:c r="N105" s="66" t="str">
        <x:v>https://gs.amac.org.cn/amac-infodisc/res/pof/manager/101000004914.html</x:v>
      </x:c>
      <x:c r="O105" s="66"/>
      <x:c r="P105" s="72" t="n">
        <x:v>46281</x:v>
      </x:c>
      <x:c r="Q105" s="66" t="str">
        <x:v>基金页未匹配，不推断产品规模；基金页沿用9月15日公示</x:v>
      </x:c>
      <x:c r="R105" s="66" t="str">
        <x:v>2026-04-30</x:v>
      </x:c>
      <x:c r="S105" s="66"/>
    </x:row>
    <x:row r="106" ht="27" customHeight="1">
      <x:c r="A106" s="66" t="str">
        <x:v>JW903A</x:v>
      </x:c>
      <x:c r="B106" s="66" t="str">
        <x:v>博普日添月益A类</x:v>
      </x:c>
      <x:c r="C106" s="66" t="str">
        <x:v>深圳前海博普资管</x:v>
      </x:c>
      <x:c r="D106" s="66" t="str">
        <x:v>深圳前海博普资产管理有限公司</x:v>
      </x:c>
      <x:c r="E106" s="66" t="str">
        <x:v>P1067653</x:v>
      </x:c>
      <x:c r="F106" s="66" t="str">
        <x:v>50-100亿元</x:v>
      </x:c>
      <x:c r="G106" s="66" t="str">
        <x:v>大规模</x:v>
      </x:c>
      <x:c r="H106" s="66" t="str">
        <x:v>本次公示未见相关记录</x:v>
      </x:c>
      <x:c r="I106" s="66" t="str">
        <x:v>管理人层面</x:v>
      </x:c>
      <x:c r="J106" s="66" t="str"/>
      <x:c r="K106" s="66" t="str"/>
      <x:c r="L106" s="66" t="str"/>
      <x:c r="M106" s="66"/>
      <x:c r="N106" s="66" t="str">
        <x:v>https://gs.amac.org.cn/amac-infodisc/res/pof/manager/1709041706102598.html</x:v>
      </x:c>
      <x:c r="O106" s="66"/>
      <x:c r="P106" s="72" t="n">
        <x:v>46281</x:v>
      </x:c>
      <x:c r="Q106" s="66" t="str">
        <x:v>基金页未匹配，不推断产品规模；基金页沿用9月15日公示</x:v>
      </x:c>
      <x:c r="R106" s="66" t="str">
        <x:v>2023-10-20</x:v>
      </x:c>
      <x:c r="S106" s="66"/>
    </x:row>
    <x:row r="107" ht="27" customHeight="1">
      <x:c r="A107" s="66" t="str">
        <x:v>SN5169</x:v>
      </x:c>
      <x:c r="B107" s="66" t="str">
        <x:v>博普跨市场1号</x:v>
      </x:c>
      <x:c r="C107" s="66" t="str">
        <x:v>深圳博普科技</x:v>
      </x:c>
      <x:c r="D107" s="66" t="str">
        <x:v>深圳博普科技有限公司</x:v>
      </x:c>
      <x:c r="E107" s="66" t="str">
        <x:v>P1001724</x:v>
      </x:c>
      <x:c r="F107" s="66" t="str">
        <x:v>100亿元以上</x:v>
      </x:c>
      <x:c r="G107" s="66" t="str">
        <x:v>大规模</x:v>
      </x:c>
      <x:c r="H107" s="66" t="str">
        <x:v>本次公示未见相关记录</x:v>
      </x:c>
      <x:c r="I107" s="66" t="str">
        <x:v>管理人层面</x:v>
      </x:c>
      <x:c r="J107" s="66" t="str"/>
      <x:c r="K107" s="66" t="str"/>
      <x:c r="L107" s="66" t="str"/>
      <x:c r="M107" s="66" t="str"/>
      <x:c r="N107" s="66" t="str">
        <x:v>https://gs.amac.org.cn/amac-infodisc/res/pof/manager/101000001136.html</x:v>
      </x:c>
      <x:c r="O107" s="66" t="str">
        <x:v>https://gs.amac.org.cn/amac-infodisc/res/pof/fund/351000603064.html</x:v>
      </x:c>
      <x:c r="P107" s="72" t="n">
        <x:v>46281</x:v>
      </x:c>
      <x:c r="Q107" s="66" t="str">
        <x:v>已核验；基金页沿用9月15日公示</x:v>
      </x:c>
      <x:c r="R107" s="66" t="str">
        <x:v>2023-09-25</x:v>
      </x:c>
      <x:c r="S107" s="66" t="str">
        <x:v>2024-09-25</x:v>
      </x:c>
    </x:row>
    <x:row r="108" ht="27" customHeight="1">
      <x:c r="A108" s="66" t="str">
        <x:v>SL9566</x:v>
      </x:c>
      <x:c r="B108" s="66" t="str">
        <x:v>博益安盈精英1号</x:v>
      </x:c>
      <x:c r="C108" s="66" t="str">
        <x:v>深圳博益安盈</x:v>
      </x:c>
      <x:c r="D108" s="66" t="str">
        <x:v>深圳市博益安盈私募证券投资基金管理有限公司</x:v>
      </x:c>
      <x:c r="E108" s="66" t="str">
        <x:v>P1032574</x:v>
      </x:c>
      <x:c r="F108" s="66" t="str">
        <x:v>5-10亿元</x:v>
      </x:c>
      <x:c r="G108" s="66" t="str">
        <x:v>大规模</x:v>
      </x:c>
      <x:c r="H108" s="66" t="str">
        <x:v>本次公示未见相关记录</x:v>
      </x:c>
      <x:c r="I108" s="66" t="str">
        <x:v>管理人层面</x:v>
      </x:c>
      <x:c r="J108" s="66" t="str"/>
      <x:c r="K108" s="66" t="str"/>
      <x:c r="L108" s="66" t="str"/>
      <x:c r="M108" s="66" t="str"/>
      <x:c r="N108" s="66" t="str">
        <x:v>https://gs.amac.org.cn/amac-infodisc/res/pof/manager/101000052138.html</x:v>
      </x:c>
      <x:c r="O108" s="66" t="str">
        <x:v>https://gs.amac.org.cn/amac-infodisc/res/pof/fund/351000502422.html</x:v>
      </x:c>
      <x:c r="P108" s="72" t="n">
        <x:v>46281</x:v>
      </x:c>
      <x:c r="Q108" s="66" t="str">
        <x:v>已核验；基金页沿用9月15日公示</x:v>
      </x:c>
      <x:c r="R108" s="66" t="str">
        <x:v>2026-01-05</x:v>
      </x:c>
      <x:c r="S108" s="66" t="str">
        <x:v>2025-09-05</x:v>
      </x:c>
    </x:row>
    <x:row r="109" ht="27" customHeight="1">
      <x:c r="A109" s="66" t="str">
        <x:v>SD8791</x:v>
      </x:c>
      <x:c r="B109" s="66" t="str">
        <x:v>珺墀价值投资甄选系列</x:v>
      </x:c>
      <x:c r="C109" s="66" t="str">
        <x:v>上海珺墀资管</x:v>
      </x:c>
      <x:c r="D109" s="66" t="str">
        <x:v>上海珺墀资产管理有限公司</x:v>
      </x:c>
      <x:c r="E109" s="66" t="str">
        <x:v>P1016333</x:v>
      </x:c>
      <x:c r="F109" s="66" t="str">
        <x:v>0-5亿元</x:v>
      </x:c>
      <x:c r="G109" s="66" t="str">
        <x:v>小规模</x:v>
      </x:c>
      <x:c r="H109" s="66" t="str">
        <x:v>协会提示／报送异常</x:v>
      </x:c>
      <x:c r="I109" s="66" t="str">
        <x:v>管理人层面</x:v>
      </x:c>
      <x:c r="J109" s="66" t="str"/>
      <x:c r="K109" s="66" t="str">
        <x:v>注册地与办公地不在同一辖区 指私募基金管理人的注册地与办公地不在同一证监会辖区。</x:v>
      </x:c>
      <x:c r="L109" s="66" t="str"/>
      <x:c r="M109" s="66" t="str"/>
      <x:c r="N109" s="66" t="str">
        <x:v>https://gs.amac.org.cn/amac-infodisc/res/pof/manager/101000026339.html</x:v>
      </x:c>
      <x:c r="O109" s="66" t="str">
        <x:v>https://gs.amac.org.cn/amac-infodisc/res/pof/fund/351000269550.html</x:v>
      </x:c>
      <x:c r="P109" s="72" t="n">
        <x:v>46281</x:v>
      </x:c>
      <x:c r="Q109" s="66" t="str">
        <x:v>已核验；基金页沿用9月15日公示</x:v>
      </x:c>
      <x:c r="R109" s="66" t="str">
        <x:v>2026-01-07</x:v>
      </x:c>
      <x:c r="S109" s="66" t="str">
        <x:v>2026-01-13</x:v>
      </x:c>
    </x:row>
    <x:row r="110" ht="27" customHeight="1">
      <x:c r="A110" s="66" t="str">
        <x:v>S67533</x:v>
      </x:c>
      <x:c r="B110" s="66" t="str">
        <x:v>盛泉恒元多策略量化对冲2号基金</x:v>
      </x:c>
      <x:c r="C110" s="66" t="str">
        <x:v>南京盛泉恒元投资</x:v>
      </x:c>
      <x:c r="D110" s="66" t="str">
        <x:v>南京盛泉恒元投资有限公司</x:v>
      </x:c>
      <x:c r="E110" s="66" t="str">
        <x:v>P1006545</x:v>
      </x:c>
      <x:c r="F110" s="66" t="str">
        <x:v>100亿元以上</x:v>
      </x:c>
      <x:c r="G110" s="66" t="str">
        <x:v>大规模</x:v>
      </x:c>
      <x:c r="H110" s="66" t="str">
        <x:v>本次公示未见相关记录</x:v>
      </x:c>
      <x:c r="I110" s="66" t="str">
        <x:v>管理人层面</x:v>
      </x:c>
      <x:c r="J110" s="66" t="str"/>
      <x:c r="K110" s="66" t="str"/>
      <x:c r="L110" s="66" t="str"/>
      <x:c r="M110" s="66" t="str"/>
      <x:c r="N110" s="66" t="str">
        <x:v>https://gs.amac.org.cn/amac-infodisc/res/pof/manager/101000008304.html</x:v>
      </x:c>
      <x:c r="O110" s="66" t="str">
        <x:v>https://gs.amac.org.cn/amac-infodisc/res/pof/fund/351000223244.html</x:v>
      </x:c>
      <x:c r="P110" s="72" t="n">
        <x:v>46281</x:v>
      </x:c>
      <x:c r="Q110" s="66" t="str">
        <x:v>已核验；基金页沿用9月15日公示</x:v>
      </x:c>
      <x:c r="R110" s="66" t="str">
        <x:v>2026-02-24</x:v>
      </x:c>
      <x:c r="S110" s="66" t="str">
        <x:v>2026-03-17</x:v>
      </x:c>
    </x:row>
    <x:row r="111" ht="27" customHeight="1">
      <x:c r="A111" s="66" t="str">
        <x:v>S35707</x:v>
      </x:c>
      <x:c r="B111" s="66" t="str">
        <x:v>申毅多策略量化7号</x:v>
      </x:c>
      <x:c r="C111" s="66" t="str">
        <x:v>上海申毅投资</x:v>
      </x:c>
      <x:c r="D111" s="66" t="str">
        <x:v>上海申毅投资股份有限公司</x:v>
      </x:c>
      <x:c r="E111" s="66" t="str">
        <x:v>P1000404</x:v>
      </x:c>
      <x:c r="F111" s="66" t="str">
        <x:v>100亿元以上</x:v>
      </x:c>
      <x:c r="G111" s="66" t="str">
        <x:v>大规模</x:v>
      </x:c>
      <x:c r="H111" s="66" t="str">
        <x:v>本次公示未见相关记录</x:v>
      </x:c>
      <x:c r="I111" s="66" t="str">
        <x:v>管理人层面</x:v>
      </x:c>
      <x:c r="J111" s="66" t="str"/>
      <x:c r="K111" s="66" t="str"/>
      <x:c r="L111" s="66" t="str"/>
      <x:c r="M111" s="66" t="str"/>
      <x:c r="N111" s="66" t="str">
        <x:v>https://gs.amac.org.cn/amac-infodisc/res/pof/manager/101000000870.html</x:v>
      </x:c>
      <x:c r="O111" s="66" t="str">
        <x:v>https://gs.amac.org.cn/amac-infodisc/res/pof/fund/351000188777.html</x:v>
      </x:c>
      <x:c r="P111" s="72" t="n">
        <x:v>46281</x:v>
      </x:c>
      <x:c r="Q111" s="66" t="str">
        <x:v>已核验；基金页沿用9月15日公示</x:v>
      </x:c>
      <x:c r="R111" s="66" t="str">
        <x:v>2026-04-28</x:v>
      </x:c>
      <x:c r="S111" s="66" t="str">
        <x:v>2024-08-08</x:v>
      </x:c>
    </x:row>
    <x:row r="112" ht="27" customHeight="1">
      <x:c r="A112" s="66" t="str">
        <x:v>SR8584</x:v>
      </x:c>
      <x:c r="B112" s="66" t="str">
        <x:v>汇艾稳健3号</x:v>
      </x:c>
      <x:c r="C112" s="66" t="str">
        <x:v>上海汇艾资管</x:v>
      </x:c>
      <x:c r="D112" s="66" t="str">
        <x:v>上海汇艾资产管理有限公司</x:v>
      </x:c>
      <x:c r="E112" s="66" t="str">
        <x:v>P1014027</x:v>
      </x:c>
      <x:c r="F112" s="66" t="str">
        <x:v>0-5亿元</x:v>
      </x:c>
      <x:c r="G112" s="66" t="str">
        <x:v>小规模</x:v>
      </x:c>
      <x:c r="H112" s="66" t="str">
        <x:v>本次公示未见相关记录</x:v>
      </x:c>
      <x:c r="I112" s="66" t="str">
        <x:v>管理人层面</x:v>
      </x:c>
      <x:c r="J112" s="66" t="str"/>
      <x:c r="K112" s="66" t="str"/>
      <x:c r="L112" s="66" t="str"/>
      <x:c r="M112" s="66" t="str"/>
      <x:c r="N112" s="66" t="str">
        <x:v>https://gs.amac.org.cn/amac-infodisc/res/pof/manager/101000016385.html</x:v>
      </x:c>
      <x:c r="O112" s="66" t="str">
        <x:v>https://gs.amac.org.cn/amac-infodisc/res/pof/fund/351000760422.html</x:v>
      </x:c>
      <x:c r="P112" s="72" t="n">
        <x:v>46281</x:v>
      </x:c>
      <x:c r="Q112" s="66" t="str">
        <x:v>已核验；基金页沿用9月15日公示</x:v>
      </x:c>
      <x:c r="R112" s="66" t="str">
        <x:v>2026-07-28</x:v>
      </x:c>
      <x:c r="S112" s="66" t="str">
        <x:v>2020-09-24</x:v>
      </x:c>
    </x:row>
    <x:row r="113" ht="27" customHeight="1">
      <x:c r="A113" s="66" t="str">
        <x:v>SW7191</x:v>
      </x:c>
      <x:c r="B113" s="66" t="str">
        <x:v>博普稳增3号</x:v>
      </x:c>
      <x:c r="C113" s="66" t="str">
        <x:v>深圳博普科技</x:v>
      </x:c>
      <x:c r="D113" s="66" t="str">
        <x:v>深圳博普科技有限公司</x:v>
      </x:c>
      <x:c r="E113" s="66" t="str">
        <x:v>P1001724</x:v>
      </x:c>
      <x:c r="F113" s="66" t="str">
        <x:v>100亿元以上</x:v>
      </x:c>
      <x:c r="G113" s="66" t="str">
        <x:v>大规模</x:v>
      </x:c>
      <x:c r="H113" s="66" t="str">
        <x:v>本次公示未见相关记录</x:v>
      </x:c>
      <x:c r="I113" s="66" t="str">
        <x:v>管理人层面</x:v>
      </x:c>
      <x:c r="J113" s="66" t="str"/>
      <x:c r="K113" s="66" t="str"/>
      <x:c r="L113" s="66" t="str"/>
      <x:c r="M113" s="66" t="str"/>
      <x:c r="N113" s="66" t="str">
        <x:v>https://gs.amac.org.cn/amac-infodisc/res/pof/manager/101000001136.html</x:v>
      </x:c>
      <x:c r="O113" s="66" t="str">
        <x:v>https://gs.amac.org.cn/amac-infodisc/res/pof/fund/1711061720100628.html</x:v>
      </x:c>
      <x:c r="P113" s="72" t="n">
        <x:v>46281</x:v>
      </x:c>
      <x:c r="Q113" s="66" t="str">
        <x:v>已核验；基金页沿用9月15日公示</x:v>
      </x:c>
      <x:c r="R113" s="66" t="str">
        <x:v>2023-09-25</x:v>
      </x:c>
      <x:c r="S113" s="66" t="str">
        <x:v>2026-08-31</x:v>
      </x:c>
    </x:row>
    <x:row r="114" ht="27" customHeight="1">
      <x:c r="A114" s="66" t="str">
        <x:v>SW1709</x:v>
      </x:c>
      <x:c r="B114" s="66" t="str">
        <x:v>盛冠达试金石3号</x:v>
      </x:c>
      <x:c r="C114" s="66" t="str">
        <x:v>海南盛冠达</x:v>
      </x:c>
      <x:c r="D114" s="66" t="str">
        <x:v>海南盛冠达私募基金管理有限公司</x:v>
      </x:c>
      <x:c r="E114" s="66" t="str">
        <x:v>P1001070</x:v>
      </x:c>
      <x:c r="F114" s="66" t="str">
        <x:v>20-50亿元</x:v>
      </x:c>
      <x:c r="G114" s="66" t="str">
        <x:v>大规模</x:v>
      </x:c>
      <x:c r="H114" s="66" t="str">
        <x:v>本次公示未见相关记录</x:v>
      </x:c>
      <x:c r="I114" s="66" t="str">
        <x:v>管理人层面</x:v>
      </x:c>
      <x:c r="J114" s="66" t="str"/>
      <x:c r="K114" s="66" t="str"/>
      <x:c r="L114" s="66" t="str"/>
      <x:c r="M114" s="66" t="str"/>
      <x:c r="N114" s="66" t="str">
        <x:v>https://gs.amac.org.cn/amac-infodisc/res/pof/manager/101000001663.html</x:v>
      </x:c>
      <x:c r="O114" s="66" t="str">
        <x:v>https://gs.amac.org.cn/amac-infodisc/res/pof/fund/1711131228105655.html</x:v>
      </x:c>
      <x:c r="P114" s="72" t="n">
        <x:v>46281</x:v>
      </x:c>
      <x:c r="Q114" s="66" t="str">
        <x:v>已核验；基金页沿用9月15日公示</x:v>
      </x:c>
      <x:c r="R114" s="66" t="str">
        <x:v>2026-01-05</x:v>
      </x:c>
      <x:c r="S114" s="66" t="str">
        <x:v>2020-04-07</x:v>
      </x:c>
    </x:row>
    <x:row r="115" ht="27" customHeight="1">
      <x:c r="A115" s="66" t="str">
        <x:v>SEE184</x:v>
      </x:c>
      <x:c r="B115" s="66" t="str">
        <x:v>盛泉恒元量化套利12号专项</x:v>
      </x:c>
      <x:c r="C115" s="66" t="str">
        <x:v>南京盛泉恒元投资</x:v>
      </x:c>
      <x:c r="D115" s="66" t="str">
        <x:v>南京盛泉恒元投资有限公司</x:v>
      </x:c>
      <x:c r="E115" s="66" t="str">
        <x:v>P1006545</x:v>
      </x:c>
      <x:c r="F115" s="66" t="str">
        <x:v>100亿元以上</x:v>
      </x:c>
      <x:c r="G115" s="66" t="str">
        <x:v>大规模</x:v>
      </x:c>
      <x:c r="H115" s="66" t="str">
        <x:v>本次公示未见相关记录</x:v>
      </x:c>
      <x:c r="I115" s="66" t="str">
        <x:v>管理人层面</x:v>
      </x:c>
      <x:c r="J115" s="66" t="str"/>
      <x:c r="K115" s="66" t="str"/>
      <x:c r="L115" s="66" t="str"/>
      <x:c r="M115" s="66" t="str"/>
      <x:c r="N115" s="66" t="str">
        <x:v>https://gs.amac.org.cn/amac-infodisc/res/pof/manager/101000008304.html</x:v>
      </x:c>
      <x:c r="O115" s="66" t="str">
        <x:v>https://gs.amac.org.cn/amac-infodisc/res/pof/fund/1808311648103483.html</x:v>
      </x:c>
      <x:c r="P115" s="72" t="n">
        <x:v>46281</x:v>
      </x:c>
      <x:c r="Q115" s="66" t="str">
        <x:v>已核验；基金页沿用9月15日公示</x:v>
      </x:c>
      <x:c r="R115" s="66" t="str">
        <x:v>2026-02-24</x:v>
      </x:c>
      <x:c r="S115" s="66" t="str">
        <x:v>2025-04-16</x:v>
      </x:c>
    </x:row>
    <x:row r="116" ht="27" customHeight="1">
      <x:c r="A116" s="66" t="str">
        <x:v>SEP459</x:v>
      </x:c>
      <x:c r="B116" s="66" t="str">
        <x:v>致同稳健成长1期</x:v>
      </x:c>
      <x:c r="C116" s="66" t="str">
        <x:v>上海致同投资</x:v>
      </x:c>
      <x:c r="D116" s="66" t="str">
        <x:v>上海致同投资管理有限公司</x:v>
      </x:c>
      <x:c r="E116" s="66" t="str">
        <x:v>P1003519</x:v>
      </x:c>
      <x:c r="F116" s="66" t="str">
        <x:v>20-50亿元</x:v>
      </x:c>
      <x:c r="G116" s="66" t="str">
        <x:v>大规模</x:v>
      </x:c>
      <x:c r="H116" s="66" t="str">
        <x:v>监管警示函</x:v>
      </x:c>
      <x:c r="I116" s="66" t="str">
        <x:v>管理人层面</x:v>
      </x:c>
      <x:c r="J116" s="66" t="str">
        <x:v>三年内行政监管措施 该机构于2024年8月19日被上海证监局采取出具警示函的行政监管措施。</x:v>
      </x:c>
      <x:c r="K116" s="66" t="str"/>
      <x:c r="L116" s="66" t="str"/>
      <x:c r="M116" s="66" t="str"/>
      <x:c r="N116" s="66" t="str">
        <x:v>https://gs.amac.org.cn/amac-infodisc/res/pof/manager/101000004339.html</x:v>
      </x:c>
      <x:c r="O116" s="66" t="str">
        <x:v>https://gs.amac.org.cn/amac-infodisc/res/pof/fund/1810191705108886.html</x:v>
      </x:c>
      <x:c r="P116" s="72" t="n">
        <x:v>46281</x:v>
      </x:c>
      <x:c r="Q116" s="66" t="str">
        <x:v>已核验；基金页沿用9月15日公示</x:v>
      </x:c>
      <x:c r="R116" s="66" t="str">
        <x:v>2026-03-16</x:v>
      </x:c>
      <x:c r="S116" s="66" t="str">
        <x:v>2026-01-26</x:v>
      </x:c>
    </x:row>
    <x:row r="117" ht="27" customHeight="1">
      <x:c r="A117" s="66" t="str">
        <x:v>SEW918</x:v>
      </x:c>
      <x:c r="B117" s="66" t="str">
        <x:v>冲和稳健增长一号</x:v>
      </x:c>
      <x:c r="C117" s="66" t="str">
        <x:v>北京冲和资管</x:v>
      </x:c>
      <x:c r="D117" s="66" t="str">
        <x:v>北京冲和资产管理有限公司</x:v>
      </x:c>
      <x:c r="E117" s="66" t="str">
        <x:v>P1026274</x:v>
      </x:c>
      <x:c r="F117" s="66" t="str">
        <x:v>0-5亿元</x:v>
      </x:c>
      <x:c r="G117" s="66" t="str">
        <x:v>小规模</x:v>
      </x:c>
      <x:c r="H117" s="66" t="str">
        <x:v>协会提示／报送异常</x:v>
      </x:c>
      <x:c r="I117" s="66" t="str">
        <x:v>管理人层面</x:v>
      </x:c>
      <x:c r="J117" s="66" t="str"/>
      <x:c r="K117" s="66" t="str">
        <x:v>投资者定向披露账户开立率低 指私募基金管理人在信披备份系统定向披露功能中为投资者开立查询账号的比率低于50%（不含50%）。</x:v>
      </x:c>
      <x:c r="L117" s="66" t="str"/>
      <x:c r="M117" s="66" t="str"/>
      <x:c r="N117" s="66" t="str">
        <x:v>https://gs.amac.org.cn/amac-infodisc/res/pof/manager/101000038139.html</x:v>
      </x:c>
      <x:c r="O117" s="66" t="str">
        <x:v>https://gs.amac.org.cn/amac-infodisc/res/pof/fund/1901080925106759.html</x:v>
      </x:c>
      <x:c r="P117" s="72" t="n">
        <x:v>46281</x:v>
      </x:c>
      <x:c r="Q117" s="66" t="str">
        <x:v>已核验；基金页沿用9月15日公示</x:v>
      </x:c>
      <x:c r="R117" s="66" t="str">
        <x:v>2026-05-14</x:v>
      </x:c>
      <x:c r="S117" s="66" t="str">
        <x:v>2019-01-08</x:v>
      </x:c>
    </x:row>
    <x:row r="118" ht="27" customHeight="1">
      <x:c r="A118" s="66" t="str">
        <x:v>SEX105</x:v>
      </x:c>
      <x:c r="B118" s="66" t="str">
        <x:v>晨乐佳享3号</x:v>
      </x:c>
      <x:c r="C118" s="66" t="str">
        <x:v>北京晨乐资管</x:v>
      </x:c>
      <x:c r="D118" s="66" t="str">
        <x:v>北京晨乐资产管理有限公司</x:v>
      </x:c>
      <x:c r="E118" s="66" t="str">
        <x:v>P1064140</x:v>
      </x:c>
      <x:c r="F118" s="66" t="str">
        <x:v>5-10亿元</x:v>
      </x:c>
      <x:c r="G118" s="66" t="str">
        <x:v>大规模</x:v>
      </x:c>
      <x:c r="H118" s="66" t="str">
        <x:v>协会提示／报送异常</x:v>
      </x:c>
      <x:c r="I118" s="66" t="str">
        <x:v>管理人层面</x:v>
      </x:c>
      <x:c r="J118" s="66" t="str"/>
      <x:c r="K118" s="66" t="str">
        <x:v>存在长期处于清算状态基金 指私募基金管理人存在提交清算开始后超过6个月未完成清算的私募基金。</x:v>
      </x:c>
      <x:c r="L118" s="66" t="str"/>
      <x:c r="M118" s="66" t="str"/>
      <x:c r="N118" s="66" t="str">
        <x:v>https://gs.amac.org.cn/amac-infodisc/res/pof/manager/1701061825106751.html</x:v>
      </x:c>
      <x:c r="O118" s="66" t="str">
        <x:v>https://gs.amac.org.cn/amac-infodisc/res/pof/fund/1901251805101844.html</x:v>
      </x:c>
      <x:c r="P118" s="72" t="n">
        <x:v>46281</x:v>
      </x:c>
      <x:c r="Q118" s="66" t="str">
        <x:v>已核验；基金页沿用9月15日公示</x:v>
      </x:c>
      <x:c r="R118" s="66" t="str">
        <x:v>2025-01-03</x:v>
      </x:c>
      <x:c r="S118" s="66" t="str">
        <x:v>2024-09-23</x:v>
      </x:c>
    </x:row>
    <x:row r="119" ht="27" customHeight="1">
      <x:c r="A119" s="66" t="str">
        <x:v>SEX315</x:v>
      </x:c>
      <x:c r="B119" s="66" t="str">
        <x:v>盛泉恒元量化套利11号</x:v>
      </x:c>
      <x:c r="C119" s="66" t="str">
        <x:v>南京盛泉恒元投资</x:v>
      </x:c>
      <x:c r="D119" s="66" t="str">
        <x:v>南京盛泉恒元投资有限公司</x:v>
      </x:c>
      <x:c r="E119" s="66" t="str">
        <x:v>P1006545</x:v>
      </x:c>
      <x:c r="F119" s="66" t="str">
        <x:v>100亿元以上</x:v>
      </x:c>
      <x:c r="G119" s="66" t="str">
        <x:v>大规模</x:v>
      </x:c>
      <x:c r="H119" s="66" t="str">
        <x:v>本次公示未见相关记录</x:v>
      </x:c>
      <x:c r="I119" s="66" t="str">
        <x:v>管理人层面</x:v>
      </x:c>
      <x:c r="J119" s="66" t="str"/>
      <x:c r="K119" s="66" t="str"/>
      <x:c r="L119" s="66" t="str"/>
      <x:c r="M119" s="66" t="str"/>
      <x:c r="N119" s="66" t="str">
        <x:v>https://gs.amac.org.cn/amac-infodisc/res/pof/manager/101000008304.html</x:v>
      </x:c>
      <x:c r="O119" s="66" t="str">
        <x:v>https://gs.amac.org.cn/amac-infodisc/res/pof/fund/1901281739102503.html</x:v>
      </x:c>
      <x:c r="P119" s="72" t="n">
        <x:v>46281</x:v>
      </x:c>
      <x:c r="Q119" s="66" t="str">
        <x:v>已核验；基金页沿用9月15日公示</x:v>
      </x:c>
      <x:c r="R119" s="66" t="str">
        <x:v>2026-02-24</x:v>
      </x:c>
      <x:c r="S119" s="66" t="str">
        <x:v>2026-05-28</x:v>
      </x:c>
    </x:row>
    <x:row r="120" ht="27" customHeight="1">
      <x:c r="A120" s="66" t="str">
        <x:v>SGH592</x:v>
      </x:c>
      <x:c r="B120" s="66" t="str">
        <x:v>殊馥兴义2号</x:v>
      </x:c>
      <x:c r="C120" s="66" t="str">
        <x:v>上海殊馥投资</x:v>
      </x:c>
      <x:c r="D120" s="66" t="str">
        <x:v>上海殊馥投资管理有限公司</x:v>
      </x:c>
      <x:c r="E120" s="66" t="str">
        <x:v>P1029642</x:v>
      </x:c>
      <x:c r="F120" s="66" t="str">
        <x:v>10-20亿元</x:v>
      </x:c>
      <x:c r="G120" s="66" t="str">
        <x:v>大规模</x:v>
      </x:c>
      <x:c r="H120" s="66" t="str">
        <x:v>协会提示／报送异常</x:v>
      </x:c>
      <x:c r="I120" s="66" t="str">
        <x:v>管理人层面</x:v>
      </x:c>
      <x:c r="J120" s="66" t="str"/>
      <x:c r="K120" s="66" t="str">
        <x:v>存在长期处于清算状态基金 指私募基金管理人存在提交清算开始后超过6个月未完成清算的私募基金。</x:v>
      </x:c>
      <x:c r="L120" s="66" t="str">
        <x:v>该管理人在管的殊馥和得7号私募证券投资基金等1只基金为未托管私募证券基金</x:v>
      </x:c>
      <x:c r="M120" s="66" t="str"/>
      <x:c r="N120" s="66" t="str">
        <x:v>https://gs.amac.org.cn/amac-infodisc/res/pof/manager/101000042776.html</x:v>
      </x:c>
      <x:c r="O120" s="66" t="str">
        <x:v>https://gs.amac.org.cn/amac-infodisc/res/pof/fund/1904241451105050.html</x:v>
      </x:c>
      <x:c r="P120" s="72" t="n">
        <x:v>46281</x:v>
      </x:c>
      <x:c r="Q120" s="66" t="str">
        <x:v>已核验；基金页沿用9月15日公示</x:v>
      </x:c>
      <x:c r="R120" s="66" t="str">
        <x:v>2026-06-29</x:v>
      </x:c>
      <x:c r="S120" s="66" t="str">
        <x:v>2025-07-14</x:v>
      </x:c>
    </x:row>
    <x:row r="121" ht="27" customHeight="1">
      <x:c r="A121" s="66" t="str">
        <x:v>SGM299</x:v>
      </x:c>
      <x:c r="B121" s="66" t="str">
        <x:v>永泉奇点1号混合投资</x:v>
      </x:c>
      <x:c r="C121" s="66" t="str">
        <x:v>宁波永泉</x:v>
      </x:c>
      <x:c r="D121" s="66" t="str">
        <x:v>宁波永泉私募基金管理有限公司</x:v>
      </x:c>
      <x:c r="E121" s="66" t="str">
        <x:v>P1017919</x:v>
      </x:c>
      <x:c r="F121" s="66" t="str">
        <x:v>0-5亿元</x:v>
      </x:c>
      <x:c r="G121" s="66" t="str">
        <x:v>小规模</x:v>
      </x:c>
      <x:c r="H121" s="66" t="str">
        <x:v>协会提示／报送异常</x:v>
      </x:c>
      <x:c r="I121" s="66" t="str">
        <x:v>管理人层面</x:v>
      </x:c>
      <x:c r="J121" s="66" t="str"/>
      <x:c r="K121" s="66"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121" s="66" t="str"/>
      <x:c r="M121" s="66" t="str"/>
      <x:c r="N121" s="66" t="str">
        <x:v>https://gs.amac.org.cn/amac-infodisc/res/pof/manager/101000016974.html</x:v>
      </x:c>
      <x:c r="O121" s="66" t="str">
        <x:v>https://gs.amac.org.cn/amac-infodisc/res/pof/fund/1905101802102119.html</x:v>
      </x:c>
      <x:c r="P121" s="72" t="n">
        <x:v>46281</x:v>
      </x:c>
      <x:c r="Q121" s="66" t="str">
        <x:v>已核验；基金页沿用9月15日公示</x:v>
      </x:c>
      <x:c r="R121" s="66" t="str">
        <x:v>2026-09-09</x:v>
      </x:c>
      <x:c r="S121" s="66" t="str">
        <x:v>2024-09-20</x:v>
      </x:c>
    </x:row>
    <x:row r="122" ht="27" customHeight="1">
      <x:c r="A122" s="66" t="str">
        <x:v>SGQ716</x:v>
      </x:c>
      <x:c r="B122" s="66" t="str">
        <x:v>宏量鼎诚</x:v>
      </x:c>
      <x:c r="C122" s="66" t="str">
        <x:v>北京宏量资管</x:v>
      </x:c>
      <x:c r="D122" s="66" t="str">
        <x:v>北京宏量资本管理有限公司</x:v>
      </x:c>
      <x:c r="E122" s="66" t="str">
        <x:v>P1065674</x:v>
      </x:c>
      <x:c r="F122" s="66" t="str">
        <x:v>0-5亿元</x:v>
      </x:c>
      <x:c r="G122" s="66" t="str">
        <x:v>小规模</x:v>
      </x:c>
      <x:c r="H122" s="66" t="str">
        <x:v>本次公示未见相关记录</x:v>
      </x:c>
      <x:c r="I122" s="66" t="str">
        <x:v>管理人层面</x:v>
      </x:c>
      <x:c r="J122" s="66" t="str"/>
      <x:c r="K122" s="66" t="str"/>
      <x:c r="L122" s="66" t="str"/>
      <x:c r="M122" s="66" t="str"/>
      <x:c r="N122" s="66" t="str">
        <x:v>https://gs.amac.org.cn/amac-infodisc/res/pof/manager/1706211851108652.html</x:v>
      </x:c>
      <x:c r="O122" s="66" t="str">
        <x:v>https://gs.amac.org.cn/amac-infodisc/res/pof/fund/1906111459103914.html</x:v>
      </x:c>
      <x:c r="P122" s="72" t="n">
        <x:v>46281</x:v>
      </x:c>
      <x:c r="Q122" s="66" t="str">
        <x:v>已核验；基金页沿用9月15日公示</x:v>
      </x:c>
      <x:c r="R122" s="66" t="str">
        <x:v>2025-12-04</x:v>
      </x:c>
      <x:c r="S122" s="66" t="str">
        <x:v>2025-12-10</x:v>
      </x:c>
    </x:row>
    <x:row r="123" ht="27" customHeight="1">
      <x:c r="A123" s="66" t="str">
        <x:v>SJB356</x:v>
      </x:c>
      <x:c r="B123" s="66" t="str">
        <x:v>永泉奇点2号混合投资</x:v>
      </x:c>
      <x:c r="C123" s="66" t="str">
        <x:v>宁波永泉</x:v>
      </x:c>
      <x:c r="D123" s="66" t="str">
        <x:v>宁波永泉私募基金管理有限公司</x:v>
      </x:c>
      <x:c r="E123" s="66" t="str">
        <x:v>P1017919</x:v>
      </x:c>
      <x:c r="F123" s="66" t="str">
        <x:v>0-5亿元</x:v>
      </x:c>
      <x:c r="G123" s="66" t="str">
        <x:v>小规模</x:v>
      </x:c>
      <x:c r="H123" s="66" t="str">
        <x:v>协会提示／报送异常</x:v>
      </x:c>
      <x:c r="I123" s="66" t="str">
        <x:v>管理人层面</x:v>
      </x:c>
      <x:c r="J123" s="66" t="str"/>
      <x:c r="K123" s="66"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123" s="66" t="str"/>
      <x:c r="M123" s="66" t="str"/>
      <x:c r="N123" s="66" t="str">
        <x:v>https://gs.amac.org.cn/amac-infodisc/res/pof/manager/101000016974.html</x:v>
      </x:c>
      <x:c r="O123" s="66" t="str">
        <x:v>https://gs.amac.org.cn/amac-infodisc/res/pof/fund/1909261835100611.html</x:v>
      </x:c>
      <x:c r="P123" s="72" t="n">
        <x:v>46281</x:v>
      </x:c>
      <x:c r="Q123" s="66" t="str">
        <x:v>已核验；基金页沿用9月15日公示</x:v>
      </x:c>
      <x:c r="R123" s="66" t="str">
        <x:v>2026-09-09</x:v>
      </x:c>
      <x:c r="S123" s="66" t="str">
        <x:v>2024-09-20</x:v>
      </x:c>
    </x:row>
    <x:row r="124" ht="27" customHeight="1">
      <x:c r="A124" s="66" t="str">
        <x:v>SJR679</x:v>
      </x:c>
      <x:c r="B124" s="66" t="str">
        <x:v>厦门言起博士一号</x:v>
      </x:c>
      <x:c r="C124" s="66" t="str">
        <x:v>厦门言起投资</x:v>
      </x:c>
      <x:c r="D124" s="66" t="str">
        <x:v>厦门言起投资管理有限公司</x:v>
      </x:c>
      <x:c r="E124" s="66" t="str">
        <x:v>P1032282</x:v>
      </x:c>
      <x:c r="F124" s="66" t="str">
        <x:v>0-5亿元</x:v>
      </x:c>
      <x:c r="G124" s="66" t="str">
        <x:v>小规模</x:v>
      </x:c>
      <x:c r="H124" s="66" t="str">
        <x:v>协会提示／报送异常</x:v>
      </x:c>
      <x:c r="I124" s="66" t="str">
        <x:v>管理人层面</x:v>
      </x:c>
      <x:c r="J124" s="66" t="str"/>
      <x:c r="K124" s="66" t="str">
        <x:v>注册地与办公地不在同一辖区 指私募基金管理人的注册地与办公地不在同一证监会辖区。</x:v>
      </x:c>
      <x:c r="L124" s="66" t="str"/>
      <x:c r="M124" s="66" t="str">
        <x:v>根据管理人最新报送信息，本基金存续规模低于1000万人民币（2026年第2季度季度更新信息）</x:v>
      </x:c>
      <x:c r="N124" s="66" t="str">
        <x:v>https://gs.amac.org.cn/amac-infodisc/res/pof/manager/101000049573.html</x:v>
      </x:c>
      <x:c r="O124" s="66" t="str">
        <x:v>https://gs.amac.org.cn/amac-infodisc/res/pof/fund/2002211800116572.html</x:v>
      </x:c>
      <x:c r="P124" s="72" t="n">
        <x:v>46281</x:v>
      </x:c>
      <x:c r="Q124" s="66" t="str">
        <x:v>已核验；基金页沿用9月15日公示</x:v>
      </x:c>
      <x:c r="R124" s="66" t="str">
        <x:v>2026-03-02</x:v>
      </x:c>
      <x:c r="S124" s="66" t="str">
        <x:v>2026-06-02</x:v>
      </x:c>
    </x:row>
    <x:row r="125" ht="27" customHeight="1">
      <x:c r="A125" s="66" t="str">
        <x:v>SJS890</x:v>
      </x:c>
      <x:c r="B125" s="66" t="str">
        <x:v>平凡浩睿</x:v>
      </x:c>
      <x:c r="C125" s="66" t="str">
        <x:v>北京平凡</x:v>
      </x:c>
      <x:c r="D125" s="66" t="str">
        <x:v>北京平凡私募基金管理有限公司</x:v>
      </x:c>
      <x:c r="E125" s="66" t="str">
        <x:v>P1021670</x:v>
      </x:c>
      <x:c r="F125" s="66" t="str">
        <x:v>50-100亿元</x:v>
      </x:c>
      <x:c r="G125" s="66" t="str">
        <x:v>大规模</x:v>
      </x:c>
      <x:c r="H125" s="66" t="str">
        <x:v>本次公示未见相关记录</x:v>
      </x:c>
      <x:c r="I125" s="66" t="str">
        <x:v>管理人层面</x:v>
      </x:c>
      <x:c r="J125" s="66" t="str"/>
      <x:c r="K125" s="66" t="str"/>
      <x:c r="L125" s="66" t="str"/>
      <x:c r="M125" s="66" t="str"/>
      <x:c r="N125" s="66" t="str">
        <x:v>https://gs.amac.org.cn/amac-infodisc/res/pof/manager/101000030286.html</x:v>
      </x:c>
      <x:c r="O125" s="66" t="str">
        <x:v>https://gs.amac.org.cn/amac-infodisc/res/pof/fund/2003111724111317.html</x:v>
      </x:c>
      <x:c r="P125" s="72" t="n">
        <x:v>46281</x:v>
      </x:c>
      <x:c r="Q125" s="66" t="str">
        <x:v>已核验；基金页沿用9月15日公示</x:v>
      </x:c>
      <x:c r="R125" s="66" t="str">
        <x:v>2026-08-05</x:v>
      </x:c>
      <x:c r="S125" s="66" t="str">
        <x:v>2024-11-01</x:v>
      </x:c>
    </x:row>
    <x:row r="126" ht="27" customHeight="1">
      <x:c r="A126" s="66" t="str">
        <x:v>SJW903</x:v>
      </x:c>
      <x:c r="B126" s="66" t="str">
        <x:v>博普日添月益</x:v>
      </x:c>
      <x:c r="C126" s="66" t="str">
        <x:v>深圳前海博普资管</x:v>
      </x:c>
      <x:c r="D126" s="66" t="str">
        <x:v>深圳前海博普资产管理有限公司</x:v>
      </x:c>
      <x:c r="E126" s="66" t="str">
        <x:v>P1067653</x:v>
      </x:c>
      <x:c r="F126" s="66" t="str">
        <x:v>50-100亿元</x:v>
      </x:c>
      <x:c r="G126" s="66" t="str">
        <x:v>大规模</x:v>
      </x:c>
      <x:c r="H126" s="66" t="str">
        <x:v>本次公示未见相关记录</x:v>
      </x:c>
      <x:c r="I126" s="66" t="str">
        <x:v>管理人层面</x:v>
      </x:c>
      <x:c r="J126" s="66" t="str"/>
      <x:c r="K126" s="66" t="str"/>
      <x:c r="L126" s="66" t="str"/>
      <x:c r="M126" s="66" t="str"/>
      <x:c r="N126" s="66" t="str">
        <x:v>https://gs.amac.org.cn/amac-infodisc/res/pof/manager/1709041706102598.html</x:v>
      </x:c>
      <x:c r="O126" s="66" t="str">
        <x:v>https://gs.amac.org.cn/amac-infodisc/res/pof/fund/2003311737105713.html</x:v>
      </x:c>
      <x:c r="P126" s="72" t="n">
        <x:v>46281</x:v>
      </x:c>
      <x:c r="Q126" s="66" t="str">
        <x:v>已核验；基金页沿用9月15日公示</x:v>
      </x:c>
      <x:c r="R126" s="66" t="str">
        <x:v>2023-10-20</x:v>
      </x:c>
      <x:c r="S126" s="66" t="str">
        <x:v>2022-04-19</x:v>
      </x:c>
    </x:row>
    <x:row r="127" ht="27" customHeight="1">
      <x:c r="A127" s="66" t="str">
        <x:v>SJZ381</x:v>
      </x:c>
      <x:c r="B127" s="66" t="str">
        <x:v>鸣熙资产-招享套利1号</x:v>
      </x:c>
      <x:c r="C127" s="66" t="str">
        <x:v>鸣熙资本</x:v>
      </x:c>
      <x:c r="D127" s="66" t="str">
        <x:v>上海鸣熙资产管理有限公司</x:v>
      </x:c>
      <x:c r="E127" s="66" t="str">
        <x:v>P1033450</x:v>
      </x:c>
      <x:c r="F127" s="66" t="str">
        <x:v>100亿元以上</x:v>
      </x:c>
      <x:c r="G127" s="66" t="str">
        <x:v>大规模</x:v>
      </x:c>
      <x:c r="H127" s="66" t="str">
        <x:v>本次公示未见相关记录</x:v>
      </x:c>
      <x:c r="I127" s="66" t="str">
        <x:v>管理人层面</x:v>
      </x:c>
      <x:c r="J127" s="66" t="str"/>
      <x:c r="K127" s="66" t="str"/>
      <x:c r="L127" s="66" t="str"/>
      <x:c r="M127" s="66" t="str"/>
      <x:c r="N127" s="66" t="str">
        <x:v>https://gs.amac.org.cn/amac-infodisc/res/pof/manager/101000039347.html</x:v>
      </x:c>
      <x:c r="O127" s="66" t="str">
        <x:v>https://gs.amac.org.cn/amac-infodisc/res/pof/fund/2004141732109376.html</x:v>
      </x:c>
      <x:c r="P127" s="72" t="n">
        <x:v>46281</x:v>
      </x:c>
      <x:c r="Q127" s="66" t="str">
        <x:v>已核验；基金页沿用9月15日公示</x:v>
      </x:c>
      <x:c r="R127" s="66" t="str">
        <x:v>2026-07-20</x:v>
      </x:c>
      <x:c r="S127" s="66" t="str">
        <x:v>2025-07-31</x:v>
      </x:c>
    </x:row>
    <x:row r="128" ht="27" customHeight="1">
      <x:c r="A128" s="66" t="str">
        <x:v>SJZ209</x:v>
      </x:c>
      <x:c r="B128" s="66" t="str">
        <x:v>盛冠达量化套利6号</x:v>
      </x:c>
      <x:c r="C128" s="66" t="str">
        <x:v>海南盛冠达</x:v>
      </x:c>
      <x:c r="D128" s="66" t="str">
        <x:v>海南盛冠达私募基金管理有限公司</x:v>
      </x:c>
      <x:c r="E128" s="66" t="str">
        <x:v>P1001070</x:v>
      </x:c>
      <x:c r="F128" s="66" t="str">
        <x:v>20-50亿元</x:v>
      </x:c>
      <x:c r="G128" s="66" t="str">
        <x:v>大规模</x:v>
      </x:c>
      <x:c r="H128" s="66" t="str">
        <x:v>本次公示未见相关记录</x:v>
      </x:c>
      <x:c r="I128" s="66" t="str">
        <x:v>管理人层面</x:v>
      </x:c>
      <x:c r="J128" s="66" t="str"/>
      <x:c r="K128" s="66" t="str"/>
      <x:c r="L128" s="66" t="str"/>
      <x:c r="M128" s="66" t="str"/>
      <x:c r="N128" s="66" t="str">
        <x:v>https://gs.amac.org.cn/amac-infodisc/res/pof/manager/101000001663.html</x:v>
      </x:c>
      <x:c r="O128" s="66" t="str">
        <x:v>https://gs.amac.org.cn/amac-infodisc/res/pof/fund/2006011729107407.html</x:v>
      </x:c>
      <x:c r="P128" s="72" t="n">
        <x:v>46281</x:v>
      </x:c>
      <x:c r="Q128" s="66" t="str">
        <x:v>已核验；基金页沿用9月15日公示</x:v>
      </x:c>
      <x:c r="R128" s="66" t="str">
        <x:v>2026-01-05</x:v>
      </x:c>
      <x:c r="S128" s="66" t="str">
        <x:v>2024-08-07</x:v>
      </x:c>
    </x:row>
    <x:row r="129" ht="27" customHeight="1">
      <x:c r="A129" s="66" t="str">
        <x:v>SJY718</x:v>
      </x:c>
      <x:c r="B129" s="66" t="str">
        <x:v>盛泉恒元量化套利27号</x:v>
      </x:c>
      <x:c r="C129" s="66" t="str">
        <x:v>南京盛泉恒元投资</x:v>
      </x:c>
      <x:c r="D129" s="66" t="str">
        <x:v>南京盛泉恒元投资有限公司</x:v>
      </x:c>
      <x:c r="E129" s="66" t="str">
        <x:v>P1006545</x:v>
      </x:c>
      <x:c r="F129" s="66" t="str">
        <x:v>100亿元以上</x:v>
      </x:c>
      <x:c r="G129" s="66" t="str">
        <x:v>大规模</x:v>
      </x:c>
      <x:c r="H129" s="66" t="str">
        <x:v>本次公示未见相关记录</x:v>
      </x:c>
      <x:c r="I129" s="66" t="str">
        <x:v>管理人层面</x:v>
      </x:c>
      <x:c r="J129" s="66" t="str"/>
      <x:c r="K129" s="66" t="str"/>
      <x:c r="L129" s="66" t="str"/>
      <x:c r="M129" s="66" t="str"/>
      <x:c r="N129" s="66" t="str">
        <x:v>https://gs.amac.org.cn/amac-infodisc/res/pof/manager/101000008304.html</x:v>
      </x:c>
      <x:c r="O129" s="66" t="str">
        <x:v>https://gs.amac.org.cn/amac-infodisc/res/pof/fund/2006151927109230.html</x:v>
      </x:c>
      <x:c r="P129" s="72" t="n">
        <x:v>46281</x:v>
      </x:c>
      <x:c r="Q129" s="66" t="str">
        <x:v>已核验；基金页沿用9月15日公示</x:v>
      </x:c>
      <x:c r="R129" s="66" t="str">
        <x:v>2026-02-24</x:v>
      </x:c>
      <x:c r="S129" s="66" t="str">
        <x:v>2025-07-08</x:v>
      </x:c>
    </x:row>
    <x:row r="130" ht="27" customHeight="1">
      <x:c r="A130" s="66" t="str">
        <x:v>SLE395</x:v>
      </x:c>
      <x:c r="B130" s="66" t="str">
        <x:v>杉阳云杉转债1号</x:v>
      </x:c>
      <x:c r="C130" s="66" t="str">
        <x:v>上海杉阳</x:v>
      </x:c>
      <x:c r="D130" s="66" t="str">
        <x:v>上海杉阳私募基金管理有限公司</x:v>
      </x:c>
      <x:c r="E130" s="66" t="str">
        <x:v>P1070833</x:v>
      </x:c>
      <x:c r="F130" s="66" t="str">
        <x:v>0-5亿元</x:v>
      </x:c>
      <x:c r="G130" s="66" t="str">
        <x:v>小规模</x:v>
      </x:c>
      <x:c r="H130" s="66" t="str">
        <x:v>本次公示未见相关记录</x:v>
      </x:c>
      <x:c r="I130" s="66" t="str">
        <x:v>管理人层面</x:v>
      </x:c>
      <x:c r="J130" s="66" t="str"/>
      <x:c r="K130" s="66" t="str"/>
      <x:c r="L130" s="66" t="str"/>
      <x:c r="M130" s="66" t="str"/>
      <x:c r="N130" s="66" t="str">
        <x:v>https://gs.amac.org.cn/amac-infodisc/res/pof/manager/2001061547104837.html</x:v>
      </x:c>
      <x:c r="O130" s="66" t="str">
        <x:v>https://gs.amac.org.cn/amac-infodisc/res/pof/fund/2006171757102620.html</x:v>
      </x:c>
      <x:c r="P130" s="72" t="n">
        <x:v>46281</x:v>
      </x:c>
      <x:c r="Q130" s="66" t="str">
        <x:v>已核验；基金页沿用9月15日公示</x:v>
      </x:c>
      <x:c r="R130" s="66" t="str">
        <x:v>2026-05-06</x:v>
      </x:c>
      <x:c r="S130" s="66" t="str">
        <x:v>2026-04-16</x:v>
      </x:c>
    </x:row>
    <x:row r="131" ht="27" customHeight="1">
      <x:c r="A131" s="66" t="str">
        <x:v>SLM995</x:v>
      </x:c>
      <x:c r="B131" s="66" t="str">
        <x:v>聚亿具臻</x:v>
      </x:c>
      <x:c r="C131" s="66" t="str">
        <x:v>珠海聚亿基金</x:v>
      </x:c>
      <x:c r="D131" s="66" t="str">
        <x:v>珠海聚亿基金管理有限公司</x:v>
      </x:c>
      <x:c r="E131" s="66" t="str">
        <x:v>P1066810</x:v>
      </x:c>
      <x:c r="F131" s="66" t="str">
        <x:v>0-5亿元</x:v>
      </x:c>
      <x:c r="G131" s="66" t="str">
        <x:v>小规模</x:v>
      </x:c>
      <x:c r="H131" s="66" t="str">
        <x:v>本次公示未见相关记录</x:v>
      </x:c>
      <x:c r="I131" s="66" t="str">
        <x:v>管理人层面</x:v>
      </x:c>
      <x:c r="J131" s="66" t="str"/>
      <x:c r="K131" s="66" t="str"/>
      <x:c r="L131" s="66" t="str"/>
      <x:c r="M131" s="66" t="str"/>
      <x:c r="N131" s="66" t="str">
        <x:v>https://gs.amac.org.cn/amac-infodisc/res/pof/manager/1706231108101144.html</x:v>
      </x:c>
      <x:c r="O131" s="66" t="str">
        <x:v>https://gs.amac.org.cn/amac-infodisc/res/pof/fund/2008201725129997.html</x:v>
      </x:c>
      <x:c r="P131" s="72" t="n">
        <x:v>46281</x:v>
      </x:c>
      <x:c r="Q131" s="66" t="str">
        <x:v>已核验；基金页沿用9月15日公示</x:v>
      </x:c>
      <x:c r="R131" s="66" t="str">
        <x:v>2026-06-25</x:v>
      </x:c>
      <x:c r="S131" s="66" t="str">
        <x:v>2026-07-28</x:v>
      </x:c>
    </x:row>
    <x:row r="132" ht="27" customHeight="1">
      <x:c r="A132" s="66" t="str">
        <x:v>SLM933</x:v>
      </x:c>
      <x:c r="B132" s="66" t="str">
        <x:v>盛泉恒元量化套利31号</x:v>
      </x:c>
      <x:c r="C132" s="66" t="str">
        <x:v>南京盛泉恒元投资</x:v>
      </x:c>
      <x:c r="D132" s="66" t="str">
        <x:v>南京盛泉恒元投资有限公司</x:v>
      </x:c>
      <x:c r="E132" s="66" t="str">
        <x:v>P1006545</x:v>
      </x:c>
      <x:c r="F132" s="66" t="str">
        <x:v>100亿元以上</x:v>
      </x:c>
      <x:c r="G132" s="66" t="str">
        <x:v>大规模</x:v>
      </x:c>
      <x:c r="H132" s="66" t="str">
        <x:v>本次公示未见相关记录</x:v>
      </x:c>
      <x:c r="I132" s="66" t="str">
        <x:v>管理人层面</x:v>
      </x:c>
      <x:c r="J132" s="66" t="str"/>
      <x:c r="K132" s="66" t="str"/>
      <x:c r="L132" s="66" t="str"/>
      <x:c r="M132" s="66" t="str"/>
      <x:c r="N132" s="66" t="str">
        <x:v>https://gs.amac.org.cn/amac-infodisc/res/pof/manager/101000008304.html</x:v>
      </x:c>
      <x:c r="O132" s="66" t="str">
        <x:v>https://gs.amac.org.cn/amac-infodisc/res/pof/fund/2008261728106155.html</x:v>
      </x:c>
      <x:c r="P132" s="72" t="n">
        <x:v>46281</x:v>
      </x:c>
      <x:c r="Q132" s="66" t="str">
        <x:v>已核验；基金页沿用9月15日公示</x:v>
      </x:c>
      <x:c r="R132" s="66" t="str">
        <x:v>2026-02-24</x:v>
      </x:c>
      <x:c r="S132" s="66" t="str">
        <x:v>2025-06-30</x:v>
      </x:c>
    </x:row>
    <x:row r="133" ht="27" customHeight="1">
      <x:c r="A133" s="66" t="str">
        <x:v>SLQ627</x:v>
      </x:c>
      <x:c r="B133" s="66" t="str">
        <x:v>俊丹湾谷二号</x:v>
      </x:c>
      <x:c r="C133" s="66" t="str">
        <x:v>上海俊丹</x:v>
      </x:c>
      <x:c r="D133" s="66" t="str">
        <x:v>上海俊丹私募基金管理有限公司</x:v>
      </x:c>
      <x:c r="E133" s="66" t="str">
        <x:v>P1070619</x:v>
      </x:c>
      <x:c r="F133" s="66" t="str">
        <x:v>10-20亿元</x:v>
      </x:c>
      <x:c r="G133" s="66" t="str">
        <x:v>大规模</x:v>
      </x:c>
      <x:c r="H133" s="66" t="str">
        <x:v>本次公示未见相关记录</x:v>
      </x:c>
      <x:c r="I133" s="66" t="str">
        <x:v>管理人层面</x:v>
      </x:c>
      <x:c r="J133" s="66" t="str"/>
      <x:c r="K133" s="66" t="str"/>
      <x:c r="L133" s="66" t="str"/>
      <x:c r="M133" s="66" t="str"/>
      <x:c r="N133" s="66" t="str">
        <x:v>https://gs.amac.org.cn/amac-infodisc/res/pof/manager/1907181104109037.html</x:v>
      </x:c>
      <x:c r="O133" s="66" t="str">
        <x:v>https://gs.amac.org.cn/amac-infodisc/res/pof/fund/2008311647105017.html</x:v>
      </x:c>
      <x:c r="P133" s="72" t="n">
        <x:v>46281</x:v>
      </x:c>
      <x:c r="Q133" s="66" t="str">
        <x:v>已核验；基金页沿用9月15日公示</x:v>
      </x:c>
      <x:c r="R133" s="66" t="str">
        <x:v>2025-12-03</x:v>
      </x:c>
      <x:c r="S133" s="66" t="str">
        <x:v>2023-05-18</x:v>
      </x:c>
    </x:row>
    <x:row r="134" ht="27" customHeight="1">
      <x:c r="A134" s="66" t="str">
        <x:v>SNG016</x:v>
      </x:c>
      <x:c r="B134" s="66" t="str">
        <x:v>永泉奇点17号混合投资</x:v>
      </x:c>
      <x:c r="C134" s="66" t="str">
        <x:v>宁波永泉</x:v>
      </x:c>
      <x:c r="D134" s="66" t="str">
        <x:v>宁波永泉私募基金管理有限公司</x:v>
      </x:c>
      <x:c r="E134" s="66" t="str">
        <x:v>P1017919</x:v>
      </x:c>
      <x:c r="F134" s="66" t="str">
        <x:v>0-5亿元</x:v>
      </x:c>
      <x:c r="G134" s="66" t="str">
        <x:v>小规模</x:v>
      </x:c>
      <x:c r="H134" s="66" t="str">
        <x:v>协会提示／报送异常</x:v>
      </x:c>
      <x:c r="I134" s="66" t="str">
        <x:v>管理人层面</x:v>
      </x:c>
      <x:c r="J134" s="66" t="str"/>
      <x:c r="K134" s="66"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134" s="66" t="str"/>
      <x:c r="M134" s="66" t="str"/>
      <x:c r="N134" s="66" t="str">
        <x:v>https://gs.amac.org.cn/amac-infodisc/res/pof/manager/101000016974.html</x:v>
      </x:c>
      <x:c r="O134" s="66" t="str">
        <x:v>https://gs.amac.org.cn/amac-infodisc/res/pof/fund/2011301715100423.html</x:v>
      </x:c>
      <x:c r="P134" s="72" t="n">
        <x:v>46281</x:v>
      </x:c>
      <x:c r="Q134" s="66" t="str">
        <x:v>已核验；基金页沿用9月15日公示</x:v>
      </x:c>
      <x:c r="R134" s="66" t="str">
        <x:v>2026-09-09</x:v>
      </x:c>
      <x:c r="S134" s="66" t="str">
        <x:v>2026-07-08</x:v>
      </x:c>
    </x:row>
    <x:row r="135" ht="27" customHeight="1">
      <x:c r="A135" s="66" t="str">
        <x:v>SNF235</x:v>
      </x:c>
      <x:c r="B135" s="66" t="str">
        <x:v>多打粮磬晟</x:v>
      </x:c>
      <x:c r="C135" s="66" t="str">
        <x:v>上海磬晟</x:v>
      </x:c>
      <x:c r="D135" s="66" t="str">
        <x:v>上海磬晟私募基金管理有限公司</x:v>
      </x:c>
      <x:c r="E135" s="66" t="str">
        <x:v>P1064288</x:v>
      </x:c>
      <x:c r="F135" s="66" t="str">
        <x:v>5-10亿元</x:v>
      </x:c>
      <x:c r="G135" s="66" t="str">
        <x:v>大规模</x:v>
      </x:c>
      <x:c r="H135" s="66" t="str">
        <x:v>本次公示未见相关记录</x:v>
      </x:c>
      <x:c r="I135" s="66" t="str">
        <x:v>管理人层面</x:v>
      </x:c>
      <x:c r="J135" s="66" t="str"/>
      <x:c r="K135" s="66" t="str"/>
      <x:c r="L135" s="66" t="str"/>
      <x:c r="M135" s="66" t="str"/>
      <x:c r="N135" s="66" t="str">
        <x:v>https://gs.amac.org.cn/amac-infodisc/res/pof/manager/1612231709103386.html</x:v>
      </x:c>
      <x:c r="O135" s="66" t="str">
        <x:v>https://gs.amac.org.cn/amac-infodisc/res/pof/fund/2012141440107801.html</x:v>
      </x:c>
      <x:c r="P135" s="72" t="n">
        <x:v>46281</x:v>
      </x:c>
      <x:c r="Q135" s="66" t="str">
        <x:v>已核验；基金页沿用9月15日公示</x:v>
      </x:c>
      <x:c r="R135" s="66" t="str">
        <x:v>2025-02-05</x:v>
      </x:c>
      <x:c r="S135" s="66" t="str">
        <x:v>2025-11-28</x:v>
      </x:c>
    </x:row>
    <x:row r="136" ht="27" customHeight="1">
      <x:c r="A136" s="66" t="str">
        <x:v>SNF469</x:v>
      </x:c>
      <x:c r="B136" s="66" t="str">
        <x:v>元康投资-稳健添利1号</x:v>
      </x:c>
      <x:c r="C136" s="66" t="str">
        <x:v>上海元康投资</x:v>
      </x:c>
      <x:c r="D136" s="66" t="str">
        <x:v>上海元康投资管理有限公司</x:v>
      </x:c>
      <x:c r="E136" s="66" t="str">
        <x:v>P1005920</x:v>
      </x:c>
      <x:c r="F136" s="66" t="str">
        <x:v>5-10亿元</x:v>
      </x:c>
      <x:c r="G136" s="66" t="str">
        <x:v>大规模</x:v>
      </x:c>
      <x:c r="H136" s="66" t="str">
        <x:v>协会提示／报送异常</x:v>
      </x:c>
      <x:c r="I136" s="66" t="str">
        <x:v>管理人层面</x:v>
      </x:c>
      <x:c r="J136" s="66" t="str"/>
      <x:c r="K136" s="66" t="str">
        <x:v>存在长期处于清算状态基金 指私募基金管理人存在提交清算开始后超过6个月未完成清算的私募基金。</x:v>
      </x:c>
      <x:c r="L136" s="66" t="str"/>
      <x:c r="M136" s="66" t="str"/>
      <x:c r="N136" s="66" t="str">
        <x:v>https://gs.amac.org.cn/amac-infodisc/res/pof/manager/101000012102.html</x:v>
      </x:c>
      <x:c r="O136" s="66" t="str">
        <x:v>https://gs.amac.org.cn/amac-infodisc/res/pof/fund/2012301646100082.html</x:v>
      </x:c>
      <x:c r="P136" s="72" t="n">
        <x:v>46281</x:v>
      </x:c>
      <x:c r="Q136" s="66" t="str">
        <x:v>已核验；基金页沿用9月15日公示</x:v>
      </x:c>
      <x:c r="R136" s="66" t="str">
        <x:v>2026-06-17</x:v>
      </x:c>
      <x:c r="S136" s="66" t="str">
        <x:v>2025-10-17</x:v>
      </x:c>
    </x:row>
    <x:row r="137" ht="27" customHeight="1">
      <x:c r="A137" s="66" t="str">
        <x:v>SNQ397</x:v>
      </x:c>
      <x:c r="B137" s="66" t="str">
        <x:v>鹿秀驯鹿20号</x:v>
      </x:c>
      <x:c r="C137" s="66" t="str">
        <x:v>青岛鹿秀投资</x:v>
      </x:c>
      <x:c r="D137" s="66" t="str">
        <x:v>青岛鹿秀投资管理有限公司</x:v>
      </x:c>
      <x:c r="E137" s="66" t="str">
        <x:v>P1064617</x:v>
      </x:c>
      <x:c r="F137" s="66" t="str">
        <x:v>50-100亿元</x:v>
      </x:c>
      <x:c r="G137" s="66" t="str">
        <x:v>大规模</x:v>
      </x:c>
      <x:c r="H137" s="66" t="str">
        <x:v>协会提示／报送异常</x:v>
      </x:c>
      <x:c r="I137" s="66" t="str">
        <x:v>管理人层面</x:v>
      </x:c>
      <x:c r="J137" s="66" t="str"/>
      <x:c r="K137" s="66" t="str">
        <x:v>注册地与办公地不在同一辖区 指私募基金管理人的注册地与办公地不在同一证监会辖区。 存在逾期未清算基金 指私募基金管理人存在超过到期日3个月且未提交清算申请的私募基金。</x:v>
      </x:c>
      <x:c r="L137" s="66" t="str"/>
      <x:c r="M137" s="66" t="str"/>
      <x:c r="N137" s="66" t="str">
        <x:v>https://gs.amac.org.cn/amac-infodisc/res/pof/manager/1612231708101923.html</x:v>
      </x:c>
      <x:c r="O137" s="66" t="str">
        <x:v>https://gs.amac.org.cn/amac-infodisc/res/pof/fund/2101261837105022.html</x:v>
      </x:c>
      <x:c r="P137" s="72" t="n">
        <x:v>46281</x:v>
      </x:c>
      <x:c r="Q137" s="66" t="str">
        <x:v>已核验；基金页沿用9月15日公示</x:v>
      </x:c>
      <x:c r="R137" s="66" t="str">
        <x:v>2025-01-10</x:v>
      </x:c>
      <x:c r="S137" s="66" t="str">
        <x:v>2025-04-09</x:v>
      </x:c>
    </x:row>
    <x:row r="138" ht="27" customHeight="1">
      <x:c r="A138" s="66" t="str">
        <x:v>SQL764</x:v>
      </x:c>
      <x:c r="B138" s="66" t="str">
        <x:v>宣夜投资涓流二号</x:v>
      </x:c>
      <x:c r="C138" s="66" t="str">
        <x:v>上海宣夜投资</x:v>
      </x:c>
      <x:c r="D138" s="66" t="str">
        <x:v>上海宣夜投资管理有限公司</x:v>
      </x:c>
      <x:c r="E138" s="66" t="str">
        <x:v>P1060042</x:v>
      </x:c>
      <x:c r="F138" s="66" t="str">
        <x:v>20-50亿元</x:v>
      </x:c>
      <x:c r="G138" s="66" t="str">
        <x:v>大规模</x:v>
      </x:c>
      <x:c r="H138" s="66" t="str">
        <x:v>协会提示／报送异常</x:v>
      </x:c>
      <x:c r="I138" s="66" t="str">
        <x:v>管理人层面</x:v>
      </x:c>
      <x:c r="J138" s="66" t="str"/>
      <x:c r="K138" s="66" t="str">
        <x:v>存在长期处于清算状态基金 指私募基金管理人存在提交清算开始后超过6个月未完成清算的私募基金。</x:v>
      </x:c>
      <x:c r="L138" s="66" t="str"/>
      <x:c r="M138" s="66" t="str"/>
      <x:c r="N138" s="66" t="str">
        <x:v>https://gs.amac.org.cn/amac-infodisc/res/pof/manager/1609130947110564.html</x:v>
      </x:c>
      <x:c r="O138" s="66" t="str">
        <x:v>https://gs.amac.org.cn/amac-infodisc/res/pof/fund/2105181107105802.html</x:v>
      </x:c>
      <x:c r="P138" s="72" t="n">
        <x:v>46281</x:v>
      </x:c>
      <x:c r="Q138" s="66" t="str">
        <x:v>已核验；基金页沿用9月15日公示</x:v>
      </x:c>
      <x:c r="R138" s="66" t="str">
        <x:v>2026-05-22</x:v>
      </x:c>
      <x:c r="S138" s="66" t="str">
        <x:v>2025-11-19</x:v>
      </x:c>
    </x:row>
    <x:row r="139" ht="27" customHeight="1">
      <x:c r="A139" s="66" t="str">
        <x:v>SNK980</x:v>
      </x:c>
      <x:c r="B139" s="66" t="str">
        <x:v>永泉奇点18号混合投资</x:v>
      </x:c>
      <x:c r="C139" s="66" t="str">
        <x:v>宁波永泉</x:v>
      </x:c>
      <x:c r="D139" s="66" t="str">
        <x:v>宁波永泉私募基金管理有限公司</x:v>
      </x:c>
      <x:c r="E139" s="66" t="str">
        <x:v>P1017919</x:v>
      </x:c>
      <x:c r="F139" s="66" t="str">
        <x:v>0-5亿元</x:v>
      </x:c>
      <x:c r="G139" s="66" t="str">
        <x:v>小规模</x:v>
      </x:c>
      <x:c r="H139" s="66" t="str">
        <x:v>协会提示／报送异常</x:v>
      </x:c>
      <x:c r="I139" s="66" t="str">
        <x:v>管理人层面</x:v>
      </x:c>
      <x:c r="J139" s="66" t="str"/>
      <x:c r="K139" s="66" t="str">
        <x:v>注册地与办公地不在同一辖区 指私募基金管理人的注册地与办公地不在同一证监会辖区。 投资者定向披露账户开立率低 指私募基金管理人在信披备份系统定向披露功能中为投资者开立查询账号的比率低于50%（不含50%）。</x:v>
      </x:c>
      <x:c r="L139" s="66" t="str"/>
      <x:c r="M139" s="66" t="str"/>
      <x:c r="N139" s="66" t="str">
        <x:v>https://gs.amac.org.cn/amac-infodisc/res/pof/manager/101000016974.html</x:v>
      </x:c>
      <x:c r="O139" s="66" t="str">
        <x:v>https://gs.amac.org.cn/amac-infodisc/res/pof/fund/2105261800100429.html</x:v>
      </x:c>
      <x:c r="P139" s="72" t="n">
        <x:v>46281</x:v>
      </x:c>
      <x:c r="Q139" s="66" t="str">
        <x:v>已核验；基金页沿用9月15日公示</x:v>
      </x:c>
      <x:c r="R139" s="66" t="str">
        <x:v>2026-09-09</x:v>
      </x:c>
      <x:c r="S139" s="66" t="str">
        <x:v>2024-10-10</x:v>
      </x:c>
    </x:row>
    <x:row r="140" ht="27" customHeight="1">
      <x:c r="A140" s="66" t="str">
        <x:v>SQG026</x:v>
      </x:c>
      <x:c r="B140" s="66" t="str">
        <x:v>惠隆金选套利1号</x:v>
      </x:c>
      <x:c r="C140" s="66" t="str">
        <x:v>北京惠隆资管</x:v>
      </x:c>
      <x:c r="D140" s="66" t="str">
        <x:v>北京惠隆资本管理有限责任公司</x:v>
      </x:c>
      <x:c r="E140" s="66" t="str">
        <x:v>P1062865</x:v>
      </x:c>
      <x:c r="F140" s="66" t="str">
        <x:v>10-20亿元</x:v>
      </x:c>
      <x:c r="G140" s="66" t="str">
        <x:v>大规模</x:v>
      </x:c>
      <x:c r="H140" s="66" t="str">
        <x:v>协会提示／报送异常</x:v>
      </x:c>
      <x:c r="I140" s="66" t="str">
        <x:v>管理人层面</x:v>
      </x:c>
      <x:c r="J140" s="66" t="str"/>
      <x:c r="K140" s="66" t="str">
        <x:v>存在长期处于清算状态基金 指私募基金管理人存在提交清算开始后超过6个月未完成清算的私募基金。</x:v>
      </x:c>
      <x:c r="L140" s="66" t="str"/>
      <x:c r="M140" s="66" t="str"/>
      <x:c r="N140" s="66" t="str">
        <x:v>https://gs.amac.org.cn/amac-infodisc/res/pof/manager/1705031716108118.html</x:v>
      </x:c>
      <x:c r="O140" s="66" t="str">
        <x:v>https://gs.amac.org.cn/amac-infodisc/res/pof/fund/2109281437101671.html</x:v>
      </x:c>
      <x:c r="P140" s="72" t="n">
        <x:v>46281</x:v>
      </x:c>
      <x:c r="Q140" s="66" t="str">
        <x:v>已核验；基金页沿用9月15日公示</x:v>
      </x:c>
      <x:c r="R140" s="66" t="str">
        <x:v>2026-08-14</x:v>
      </x:c>
      <x:c r="S140" s="66" t="str">
        <x:v>2025-12-19</x:v>
      </x:c>
    </x:row>
    <x:row r="141" ht="27" customHeight="1">
      <x:c r="A141" s="66" t="str">
        <x:v>SSX278</x:v>
      </x:c>
      <x:c r="B141" s="66" t="str">
        <x:v>景鹏稳进1号</x:v>
      </x:c>
      <x:c r="C141" s="66" t="str">
        <x:v>上海景鹏</x:v>
      </x:c>
      <x:c r="D141" s="66" t="str">
        <x:v>上海景鹏私募基金管理有限公司</x:v>
      </x:c>
      <x:c r="E141" s="66" t="str">
        <x:v>P1072433</x:v>
      </x:c>
      <x:c r="F141" s="66" t="str">
        <x:v>0-5亿元</x:v>
      </x:c>
      <x:c r="G141" s="66" t="str">
        <x:v>小规模</x:v>
      </x:c>
      <x:c r="H141" s="66" t="str">
        <x:v>本次公示未见相关记录</x:v>
      </x:c>
      <x:c r="I141" s="66" t="str">
        <x:v>管理人层面</x:v>
      </x:c>
      <x:c r="J141" s="66" t="str"/>
      <x:c r="K141" s="66" t="str"/>
      <x:c r="L141" s="66" t="str"/>
      <x:c r="M141" s="66" t="str"/>
      <x:c r="N141" s="66" t="str">
        <x:v>https://gs.amac.org.cn/amac-infodisc/res/pof/manager/2107201407107524.html</x:v>
      </x:c>
      <x:c r="O141" s="66" t="str">
        <x:v>https://gs.amac.org.cn/amac-infodisc/res/pof/fund/2110181713130466.html</x:v>
      </x:c>
      <x:c r="P141" s="72" t="n">
        <x:v>46281</x:v>
      </x:c>
      <x:c r="Q141" s="66" t="str">
        <x:v>已核验；基金页沿用9月15日公示</x:v>
      </x:c>
      <x:c r="R141" s="66" t="str">
        <x:v>2026-07-27</x:v>
      </x:c>
      <x:c r="S141" s="66" t="str">
        <x:v>2026-07-21</x:v>
      </x:c>
    </x:row>
    <x:row r="142" ht="27" customHeight="1">
      <x:c r="A142" s="66" t="str">
        <x:v>STB214</x:v>
      </x:c>
      <x:c r="B142" s="66" t="str">
        <x:v>久游投资4号</x:v>
      </x:c>
      <x:c r="C142" s="66" t="str">
        <x:v>深圳久游</x:v>
      </x:c>
      <x:c r="D142" s="66" t="str">
        <x:v>深圳久游私募证券基金管理有限公司</x:v>
      </x:c>
      <x:c r="E142" s="66" t="str">
        <x:v>P1072575</x:v>
      </x:c>
      <x:c r="F142" s="66" t="str">
        <x:v>0-5亿元</x:v>
      </x:c>
      <x:c r="G142" s="66" t="str">
        <x:v>小规模</x:v>
      </x:c>
      <x:c r="H142" s="66" t="str">
        <x:v>协会提示／报送异常</x:v>
      </x:c>
      <x:c r="I142" s="66" t="str">
        <x:v>管理人层面</x:v>
      </x:c>
      <x:c r="J142" s="66" t="str"/>
      <x:c r="K142" s="66" t="str">
        <x:v>投资者定向披露账户开立率低 指私募基金管理人在信披备份系统定向披露功能中为投资者开立查询账号的比率低于50%（不含50%）。</x:v>
      </x:c>
      <x:c r="L142" s="66" t="str"/>
      <x:c r="M142" s="66" t="str"/>
      <x:c r="N142" s="66" t="str">
        <x:v>https://gs.amac.org.cn/amac-infodisc/res/pof/manager/2108310949105248.html</x:v>
      </x:c>
      <x:c r="O142" s="66" t="str">
        <x:v>https://gs.amac.org.cn/amac-infodisc/res/pof/fund/2111101732101714.html</x:v>
      </x:c>
      <x:c r="P142" s="72" t="n">
        <x:v>46281</x:v>
      </x:c>
      <x:c r="Q142" s="66" t="str">
        <x:v>已核验；基金页沿用9月15日公示</x:v>
      </x:c>
      <x:c r="R142" s="66" t="str">
        <x:v>2025-04-28</x:v>
      </x:c>
      <x:c r="S142" s="66" t="str">
        <x:v>2021-11-17</x:v>
      </x:c>
    </x:row>
    <x:row r="143" ht="27" customHeight="1">
      <x:c r="A143" s="66" t="str">
        <x:v>STR466</x:v>
      </x:c>
      <x:c r="B143" s="66" t="str">
        <x:v>摩旗ETF套利1号</x:v>
      </x:c>
      <x:c r="C143" s="66" t="str">
        <x:v>上海摩旗投资</x:v>
      </x:c>
      <x:c r="D143" s="66" t="str">
        <x:v>上海摩旗投资管理有限公司</x:v>
      </x:c>
      <x:c r="E143" s="66" t="str">
        <x:v>P1000652</x:v>
      </x:c>
      <x:c r="F143" s="66" t="str">
        <x:v>10-20亿元</x:v>
      </x:c>
      <x:c r="G143" s="66" t="str">
        <x:v>大规模</x:v>
      </x:c>
      <x:c r="H143" s="66" t="str">
        <x:v>本次公示未见相关记录</x:v>
      </x:c>
      <x:c r="I143" s="66" t="str">
        <x:v>管理人层面</x:v>
      </x:c>
      <x:c r="J143" s="66" t="str"/>
      <x:c r="K143" s="66" t="str"/>
      <x:c r="L143" s="66" t="str"/>
      <x:c r="M143" s="66" t="str"/>
      <x:c r="N143" s="66" t="str">
        <x:v>https://gs.amac.org.cn/amac-infodisc/res/pof/manager/101000000297.html</x:v>
      </x:c>
      <x:c r="O143" s="66" t="str">
        <x:v>https://gs.amac.org.cn/amac-infodisc/res/pof/fund/2201111049116796.html</x:v>
      </x:c>
      <x:c r="P143" s="72" t="n">
        <x:v>46281</x:v>
      </x:c>
      <x:c r="Q143" s="66" t="str">
        <x:v>已核验；基金页沿用9月15日公示</x:v>
      </x:c>
      <x:c r="R143" s="66" t="str">
        <x:v>2025-12-25</x:v>
      </x:c>
      <x:c r="S143" s="66" t="str">
        <x:v>2024-12-06</x:v>
      </x:c>
    </x:row>
    <x:row r="144" ht="27" customHeight="1">
      <x:c r="A144" s="66" t="str">
        <x:v>TB977A</x:v>
      </x:c>
      <x:c r="B144" s="66" t="str">
        <x:v>兆信期权中性2号A类</x:v>
      </x:c>
      <x:c r="C144" s="66" t="str">
        <x:v>江苏兆信</x:v>
      </x:c>
      <x:c r="D144" s="66" t="str">
        <x:v>江苏兆信私募基金管理有限公司</x:v>
      </x:c>
      <x:c r="E144" s="66" t="str">
        <x:v>P1001740</x:v>
      </x:c>
      <x:c r="F144" s="66" t="str">
        <x:v>20-50亿元</x:v>
      </x:c>
      <x:c r="G144" s="66" t="str">
        <x:v>大规模</x:v>
      </x:c>
      <x:c r="H144" s="66" t="str">
        <x:v>本次公示未见相关记录</x:v>
      </x:c>
      <x:c r="I144" s="66" t="str">
        <x:v>管理人层面</x:v>
      </x:c>
      <x:c r="J144" s="66" t="str"/>
      <x:c r="K144" s="66" t="str"/>
      <x:c r="L144" s="66" t="str"/>
      <x:c r="M144" s="66"/>
      <x:c r="N144" s="66" t="str">
        <x:v>https://gs.amac.org.cn/amac-infodisc/res/pof/manager/101000002312.html</x:v>
      </x:c>
      <x:c r="O144" s="66"/>
      <x:c r="P144" s="72" t="n">
        <x:v>46281</x:v>
      </x:c>
      <x:c r="Q144" s="66" t="str">
        <x:v>基金页未匹配，不推断产品规模；基金页沿用9月15日公示</x:v>
      </x:c>
      <x:c r="R144" s="66" t="str">
        <x:v>2026-04-17</x:v>
      </x:c>
      <x:c r="S144" s="66"/>
    </x:row>
    <x:row r="145" ht="27" customHeight="1">
      <x:c r="A145" s="66" t="str">
        <x:v>STW239</x:v>
      </x:c>
      <x:c r="B145" s="66" t="str">
        <x:v>庄贤亨贞期权对冲</x:v>
      </x:c>
      <x:c r="C145" s="66" t="str">
        <x:v>杭州庄贤投资</x:v>
      </x:c>
      <x:c r="D145" s="66" t="str">
        <x:v>杭州庄贤投资管理合伙企业（有限合伙）</x:v>
      </x:c>
      <x:c r="E145" s="66" t="str">
        <x:v>P1063460</x:v>
      </x:c>
      <x:c r="F145" s="66" t="str">
        <x:v>20-50亿元</x:v>
      </x:c>
      <x:c r="G145" s="66" t="str">
        <x:v>大规模</x:v>
      </x:c>
      <x:c r="H145" s="66" t="str">
        <x:v>本次公示未见相关记录</x:v>
      </x:c>
      <x:c r="I145" s="66" t="str">
        <x:v>管理人层面</x:v>
      </x:c>
      <x:c r="J145" s="66" t="str"/>
      <x:c r="K145" s="66" t="str"/>
      <x:c r="L145" s="66" t="str"/>
      <x:c r="M145" s="66" t="str"/>
      <x:c r="N145" s="66" t="str">
        <x:v>https://gs.amac.org.cn/amac-infodisc/res/pof/manager/1703280912100590.html</x:v>
      </x:c>
      <x:c r="O145" s="66" t="str">
        <x:v>https://gs.amac.org.cn/amac-infodisc/res/pof/fund/2202111734100728.html</x:v>
      </x:c>
      <x:c r="P145" s="72" t="n">
        <x:v>46281</x:v>
      </x:c>
      <x:c r="Q145" s="66" t="str">
        <x:v>已核验；基金页沿用9月15日公示</x:v>
      </x:c>
      <x:c r="R145" s="66" t="str">
        <x:v>2026-08-10</x:v>
      </x:c>
      <x:c r="S145" s="66" t="str">
        <x:v>2025-03-28</x:v>
      </x:c>
    </x:row>
    <x:row r="146" ht="27" customHeight="1">
      <x:c r="A146" s="66" t="str">
        <x:v>STW103</x:v>
      </x:c>
      <x:c r="B146" s="66" t="str">
        <x:v>悬铃尊享CTA8号</x:v>
      </x:c>
      <x:c r="C146" s="66" t="str">
        <x:v>上海悬铃</x:v>
      </x:c>
      <x:c r="D146" s="66" t="str">
        <x:v>上海悬铃私募基金管理有限公司</x:v>
      </x:c>
      <x:c r="E146" s="66" t="str">
        <x:v>P1064634</x:v>
      </x:c>
      <x:c r="F146" s="66" t="str">
        <x:v>20-50亿元</x:v>
      </x:c>
      <x:c r="G146" s="66" t="str">
        <x:v>大规模</x:v>
      </x:c>
      <x:c r="H146" s="66" t="str">
        <x:v>本次公示未见相关记录</x:v>
      </x:c>
      <x:c r="I146" s="66" t="str">
        <x:v>管理人层面</x:v>
      </x:c>
      <x:c r="J146" s="66" t="str"/>
      <x:c r="K146" s="66" t="str"/>
      <x:c r="L146" s="66" t="str"/>
      <x:c r="M146" s="66" t="str"/>
      <x:c r="N146" s="66" t="str">
        <x:v>https://gs.amac.org.cn/amac-infodisc/res/pof/manager/1701161209103763.html</x:v>
      </x:c>
      <x:c r="O146" s="66" t="str">
        <x:v>https://gs.amac.org.cn/amac-infodisc/res/pof/fund/2203171944106372.html</x:v>
      </x:c>
      <x:c r="P146" s="72" t="n">
        <x:v>46281</x:v>
      </x:c>
      <x:c r="Q146" s="66" t="str">
        <x:v>已核验；基金页沿用9月15日公示</x:v>
      </x:c>
      <x:c r="R146" s="66" t="str">
        <x:v>2026-07-13</x:v>
      </x:c>
      <x:c r="S146" s="66" t="str">
        <x:v>2026-02-12</x:v>
      </x:c>
    </x:row>
    <x:row r="147" ht="27" customHeight="1">
      <x:c r="A147" s="66" t="str">
        <x:v>SVJ267</x:v>
      </x:c>
      <x:c r="B147" s="66" t="str">
        <x:v>起源天择稳健1号</x:v>
      </x:c>
      <x:c r="C147" s="66" t="str">
        <x:v>海南起源</x:v>
      </x:c>
      <x:c r="D147" s="66" t="str">
        <x:v>海南起源私募基金管理合伙企业（有限合伙）</x:v>
      </x:c>
      <x:c r="E147" s="66" t="str">
        <x:v>P1073181</x:v>
      </x:c>
      <x:c r="F147" s="66" t="str">
        <x:v>0-5亿元</x:v>
      </x:c>
      <x:c r="G147" s="66" t="str">
        <x:v>小规模</x:v>
      </x:c>
      <x:c r="H147" s="66" t="str">
        <x:v>协会提示／报送异常</x:v>
      </x:c>
      <x:c r="I147" s="66" t="str">
        <x:v>管理人层面</x:v>
      </x:c>
      <x:c r="J147" s="66" t="str"/>
      <x:c r="K147" s="66" t="str">
        <x:v>注册地与办公地不在同一辖区 指私募基金管理人的注册地与办公地不在同一证监会辖区。</x:v>
      </x:c>
      <x:c r="L147" s="66" t="str"/>
      <x:c r="M147" s="66" t="str"/>
      <x:c r="N147" s="66" t="str">
        <x:v>https://gs.amac.org.cn/amac-infodisc/res/pof/manager/2109301707118145.html</x:v>
      </x:c>
      <x:c r="O147" s="66" t="str">
        <x:v>https://gs.amac.org.cn/amac-infodisc/res/pof/fund/2203280952108464.html</x:v>
      </x:c>
      <x:c r="P147" s="72" t="n">
        <x:v>46281</x:v>
      </x:c>
      <x:c r="Q147" s="66" t="str">
        <x:v>已核验；基金页沿用9月15日公示</x:v>
      </x:c>
      <x:c r="R147" s="66" t="str">
        <x:v>2025-12-30</x:v>
      </x:c>
      <x:c r="S147" s="66" t="str">
        <x:v>2025-06-13</x:v>
      </x:c>
    </x:row>
    <x:row r="148" ht="27" customHeight="1">
      <x:c r="A148" s="66" t="str">
        <x:v>SVG441</x:v>
      </x:c>
      <x:c r="B148" s="66" t="str">
        <x:v>东玛多策略稳健1号</x:v>
      </x:c>
      <x:c r="C148" s="66" t="str">
        <x:v>宁波东玛</x:v>
      </x:c>
      <x:c r="D148" s="66" t="str">
        <x:v>宁波东玛私募基金管理有限公司</x:v>
      </x:c>
      <x:c r="E148" s="66" t="str">
        <x:v>P1073092</x:v>
      </x:c>
      <x:c r="F148" s="66" t="str">
        <x:v>5-10亿元</x:v>
      </x:c>
      <x:c r="G148" s="66" t="str">
        <x:v>大规模</x:v>
      </x:c>
      <x:c r="H148" s="66" t="str">
        <x:v>本次公示未见相关记录</x:v>
      </x:c>
      <x:c r="I148" s="66" t="str">
        <x:v>管理人层面</x:v>
      </x:c>
      <x:c r="J148" s="66" t="str"/>
      <x:c r="K148" s="66" t="str"/>
      <x:c r="L148" s="66" t="str"/>
      <x:c r="M148" s="66" t="str"/>
      <x:c r="N148" s="66" t="str">
        <x:v>https://gs.amac.org.cn/amac-infodisc/res/pof/manager/2110261036100964.html</x:v>
      </x:c>
      <x:c r="O148" s="66" t="str">
        <x:v>https://gs.amac.org.cn/amac-infodisc/res/pof/fund/2204081717101635.html</x:v>
      </x:c>
      <x:c r="P148" s="72" t="n">
        <x:v>46281</x:v>
      </x:c>
      <x:c r="Q148" s="66" t="str">
        <x:v>已核验；基金页沿用9月15日公示</x:v>
      </x:c>
      <x:c r="R148" s="66" t="str">
        <x:v>2026-07-07</x:v>
      </x:c>
      <x:c r="S148" s="66" t="str">
        <x:v>2024-12-02</x:v>
      </x:c>
    </x:row>
    <x:row r="149" ht="27" customHeight="1">
      <x:c r="A149" s="66" t="str">
        <x:v>SVJ912</x:v>
      </x:c>
      <x:c r="B149" s="66" t="str">
        <x:v>以利安得利混合1号</x:v>
      </x:c>
      <x:c r="C149" s="66" t="str">
        <x:v>河南以利</x:v>
      </x:c>
      <x:c r="D149" s="66" t="str">
        <x:v>河南以利私募基金管理有限公司</x:v>
      </x:c>
      <x:c r="E149" s="66" t="str">
        <x:v>P1007376</x:v>
      </x:c>
      <x:c r="F149" s="66" t="str">
        <x:v>0-5亿元</x:v>
      </x:c>
      <x:c r="G149" s="66" t="str">
        <x:v>小规模</x:v>
      </x:c>
      <x:c r="H149" s="66" t="str">
        <x:v>本次公示未见相关记录</x:v>
      </x:c>
      <x:c r="I149" s="66" t="str">
        <x:v>管理人层面</x:v>
      </x:c>
      <x:c r="J149" s="66" t="str"/>
      <x:c r="K149" s="66" t="str"/>
      <x:c r="L149" s="66" t="str"/>
      <x:c r="M149" s="66" t="str"/>
      <x:c r="N149" s="66" t="str">
        <x:v>https://gs.amac.org.cn/amac-infodisc/res/pof/manager/101000009955.html</x:v>
      </x:c>
      <x:c r="O149" s="66" t="str">
        <x:v>https://gs.amac.org.cn/amac-infodisc/res/pof/fund/2204180932106462.html</x:v>
      </x:c>
      <x:c r="P149" s="72" t="n">
        <x:v>46281</x:v>
      </x:c>
      <x:c r="Q149" s="66" t="str">
        <x:v>已核验；基金页沿用9月15日公示</x:v>
      </x:c>
      <x:c r="R149" s="66" t="str">
        <x:v>2026-08-21</x:v>
      </x:c>
      <x:c r="S149" s="66" t="str">
        <x:v>2026-07-22</x:v>
      </x:c>
    </x:row>
    <x:row r="150" ht="27" customHeight="1">
      <x:c r="A150" s="66" t="str">
        <x:v>SVH487</x:v>
      </x:c>
      <x:c r="B150" s="66" t="str">
        <x:v>放牛人5号</x:v>
      </x:c>
      <x:c r="C150" s="66" t="str">
        <x:v>上海放牛人</x:v>
      </x:c>
      <x:c r="D150" s="66" t="str">
        <x:v>上海放牛人私募基金管理有限公司</x:v>
      </x:c>
      <x:c r="E150" s="66" t="str">
        <x:v>P1072166</x:v>
      </x:c>
      <x:c r="F150" s="66" t="str">
        <x:v>0-5亿元</x:v>
      </x:c>
      <x:c r="G150" s="66" t="str">
        <x:v>小规模</x:v>
      </x:c>
      <x:c r="H150" s="66" t="str">
        <x:v>本次公示未见相关记录</x:v>
      </x:c>
      <x:c r="I150" s="66" t="str">
        <x:v>管理人层面</x:v>
      </x:c>
      <x:c r="J150" s="66" t="str"/>
      <x:c r="K150" s="66" t="str"/>
      <x:c r="L150" s="66" t="str"/>
      <x:c r="M150" s="66" t="str"/>
      <x:c r="N150" s="66" t="str">
        <x:v>https://gs.amac.org.cn/amac-infodisc/res/pof/manager/2104292125100136.html</x:v>
      </x:c>
      <x:c r="O150" s="66" t="str">
        <x:v>https://gs.amac.org.cn/amac-infodisc/res/pof/fund/2206241503107051.html</x:v>
      </x:c>
      <x:c r="P150" s="72" t="n">
        <x:v>46281</x:v>
      </x:c>
      <x:c r="Q150" s="66" t="str">
        <x:v>已核验；基金页沿用9月15日公示</x:v>
      </x:c>
      <x:c r="R150" s="66" t="str">
        <x:v>2026-03-18</x:v>
      </x:c>
      <x:c r="S150" s="66" t="str">
        <x:v>2022-06-24</x:v>
      </x:c>
    </x:row>
    <x:row r="151" ht="27" customHeight="1">
      <x:c r="A151" s="66" t="str">
        <x:v>SVY067</x:v>
      </x:c>
      <x:c r="B151" s="66" t="str">
        <x:v>鹿秀呦呦1号</x:v>
      </x:c>
      <x:c r="C151" s="66" t="str">
        <x:v>青岛鹿秀投资</x:v>
      </x:c>
      <x:c r="D151" s="66" t="str">
        <x:v>青岛鹿秀投资管理有限公司</x:v>
      </x:c>
      <x:c r="E151" s="66" t="str">
        <x:v>P1064617</x:v>
      </x:c>
      <x:c r="F151" s="66" t="str">
        <x:v>50-100亿元</x:v>
      </x:c>
      <x:c r="G151" s="66" t="str">
        <x:v>大规模</x:v>
      </x:c>
      <x:c r="H151" s="66" t="str">
        <x:v>协会提示／报送异常</x:v>
      </x:c>
      <x:c r="I151" s="66" t="str">
        <x:v>管理人层面</x:v>
      </x:c>
      <x:c r="J151" s="66" t="str"/>
      <x:c r="K151" s="66" t="str">
        <x:v>注册地与办公地不在同一辖区 指私募基金管理人的注册地与办公地不在同一证监会辖区。 存在逾期未清算基金 指私募基金管理人存在超过到期日3个月且未提交清算申请的私募基金。</x:v>
      </x:c>
      <x:c r="L151" s="66" t="str"/>
      <x:c r="M151" s="66" t="str"/>
      <x:c r="N151" s="66" t="str">
        <x:v>https://gs.amac.org.cn/amac-infodisc/res/pof/manager/1612231708101923.html</x:v>
      </x:c>
      <x:c r="O151" s="66" t="str">
        <x:v>https://gs.amac.org.cn/amac-infodisc/res/pof/fund/2207121422105313.html</x:v>
      </x:c>
      <x:c r="P151" s="72" t="n">
        <x:v>46281</x:v>
      </x:c>
      <x:c r="Q151" s="66" t="str">
        <x:v>已核验；基金页沿用9月15日公示</x:v>
      </x:c>
      <x:c r="R151" s="66" t="str">
        <x:v>2025-01-10</x:v>
      </x:c>
      <x:c r="S151" s="66" t="str">
        <x:v>2025-11-21</x:v>
      </x:c>
    </x:row>
    <x:row r="152" ht="27" customHeight="1">
      <x:c r="A152" s="66" t="str">
        <x:v>SVW787</x:v>
      </x:c>
      <x:c r="B152" s="66" t="str">
        <x:v>慕途基本面量化1号</x:v>
      </x:c>
      <x:c r="C152" s="66" t="str">
        <x:v>慕途基金</x:v>
      </x:c>
      <x:c r="D152" s="66" t="str">
        <x:v>上海慕途私募基金管理有限公司</x:v>
      </x:c>
      <x:c r="E152" s="66" t="str">
        <x:v>P1073298</x:v>
      </x:c>
      <x:c r="F152" s="66" t="str">
        <x:v>10-20亿元</x:v>
      </x:c>
      <x:c r="G152" s="66" t="str">
        <x:v>大规模</x:v>
      </x:c>
      <x:c r="H152" s="66" t="str">
        <x:v>本次公示未见相关记录</x:v>
      </x:c>
      <x:c r="I152" s="66" t="str">
        <x:v>管理人层面</x:v>
      </x:c>
      <x:c r="J152" s="66" t="str"/>
      <x:c r="K152" s="66" t="str"/>
      <x:c r="L152" s="66" t="str"/>
      <x:c r="M152" s="66" t="str"/>
      <x:c r="N152" s="66" t="str">
        <x:v>https://gs.amac.org.cn/amac-infodisc/res/pof/manager/2106221238106983.html</x:v>
      </x:c>
      <x:c r="O152" s="66" t="str">
        <x:v>https://gs.amac.org.cn/amac-infodisc/res/pof/fund/2207141704102568.html</x:v>
      </x:c>
      <x:c r="P152" s="72" t="n">
        <x:v>46281</x:v>
      </x:c>
      <x:c r="Q152" s="66" t="str">
        <x:v>已核验；基金页沿用9月15日公示</x:v>
      </x:c>
      <x:c r="R152" s="66" t="str">
        <x:v>2026-06-12</x:v>
      </x:c>
      <x:c r="S152" s="66" t="str">
        <x:v>2026-07-09</x:v>
      </x:c>
    </x:row>
    <x:row r="153" ht="27" customHeight="1">
      <x:c r="A153" s="66" t="str">
        <x:v>SVZ035</x:v>
      </x:c>
      <x:c r="B153" s="66" t="str">
        <x:v>金和金诚5号</x:v>
      </x:c>
      <x:c r="C153" s="66" t="str">
        <x:v>上海金和晟</x:v>
      </x:c>
      <x:c r="D153" s="66" t="str">
        <x:v>上海金和晟私募基金管理有限公司</x:v>
      </x:c>
      <x:c r="E153" s="66" t="str">
        <x:v>P1071636</x:v>
      </x:c>
      <x:c r="F153" s="66" t="str">
        <x:v>20-50亿元</x:v>
      </x:c>
      <x:c r="G153" s="66" t="str">
        <x:v>大规模</x:v>
      </x:c>
      <x:c r="H153" s="66" t="str">
        <x:v>本次公示未见相关记录</x:v>
      </x:c>
      <x:c r="I153" s="66" t="str">
        <x:v>管理人层面</x:v>
      </x:c>
      <x:c r="J153" s="66" t="str"/>
      <x:c r="K153" s="66" t="str"/>
      <x:c r="L153" s="66" t="str"/>
      <x:c r="M153" s="66" t="str"/>
      <x:c r="N153" s="66" t="str">
        <x:v>https://gs.amac.org.cn/amac-infodisc/res/pof/manager/2010280957108370.html</x:v>
      </x:c>
      <x:c r="O153" s="66" t="str">
        <x:v>https://gs.amac.org.cn/amac-infodisc/res/pof/fund/2207141704101581.html</x:v>
      </x:c>
      <x:c r="P153" s="72" t="n">
        <x:v>46281</x:v>
      </x:c>
      <x:c r="Q153" s="66" t="str">
        <x:v>已核验；基金页沿用9月15日公示</x:v>
      </x:c>
      <x:c r="R153" s="66" t="str">
        <x:v>2026-03-27</x:v>
      </x:c>
      <x:c r="S153" s="66" t="str">
        <x:v>2025-09-23</x:v>
      </x:c>
    </x:row>
    <x:row r="154" ht="27" customHeight="1">
      <x:c r="A154" s="66" t="str">
        <x:v>SVY984</x:v>
      </x:c>
      <x:c r="B154" s="66" t="str">
        <x:v>守正卓越一号</x:v>
      </x:c>
      <x:c r="C154" s="66" t="str">
        <x:v>山东守正</x:v>
      </x:c>
      <x:c r="D154" s="66" t="str">
        <x:v>山东守正私募基金管理有限公司</x:v>
      </x:c>
      <x:c r="E154" s="66" t="str">
        <x:v>P1073424</x:v>
      </x:c>
      <x:c r="F154" s="66" t="str">
        <x:v>0-5亿元</x:v>
      </x:c>
      <x:c r="G154" s="66" t="str">
        <x:v>小规模</x:v>
      </x:c>
      <x:c r="H154" s="66" t="str">
        <x:v>协会提示／报送异常</x:v>
      </x:c>
      <x:c r="I154" s="66" t="str">
        <x:v>管理人层面</x:v>
      </x:c>
      <x:c r="J154" s="66" t="str"/>
      <x:c r="K154" s="66" t="str">
        <x:v>注册地与办公地不在同一辖区 指私募基金管理人的注册地与办公地不在同一证监会辖区。 存在长期处于清算状态基金 指私募基金管理人存在提交清算开始后超过6个月未完成清算的私募基金。</x:v>
      </x:c>
      <x:c r="L154" s="66" t="str"/>
      <x:c r="M154" s="66" t="str"/>
      <x:c r="N154" s="66" t="str">
        <x:v>https://gs.amac.org.cn/amac-infodisc/res/pof/manager/2111241907106834.html</x:v>
      </x:c>
      <x:c r="O154" s="66" t="str">
        <x:v>https://gs.amac.org.cn/amac-infodisc/res/pof/fund/2208081957100560.html</x:v>
      </x:c>
      <x:c r="P154" s="72" t="n">
        <x:v>46281</x:v>
      </x:c>
      <x:c r="Q154" s="66" t="str">
        <x:v>已核验；基金页沿用9月15日公示</x:v>
      </x:c>
      <x:c r="R154" s="66" t="str">
        <x:v>2023-07-31</x:v>
      </x:c>
      <x:c r="S154" s="66" t="str">
        <x:v>2025-03-04</x:v>
      </x:c>
    </x:row>
    <x:row r="155" ht="27" customHeight="1">
      <x:c r="A155" s="66" t="str">
        <x:v>SXA890</x:v>
      </x:c>
      <x:c r="B155" s="66" t="str">
        <x:v>东方富银宏观量化1号</x:v>
      </x:c>
      <x:c r="C155" s="66" t="str">
        <x:v>深圳东方富银投资</x:v>
      </x:c>
      <x:c r="D155" s="66" t="str">
        <x:v>深圳市东方富银投资管理有限公司</x:v>
      </x:c>
      <x:c r="E155" s="66" t="str">
        <x:v>P1068576</x:v>
      </x:c>
      <x:c r="F155" s="66" t="str">
        <x:v>0-5亿元</x:v>
      </x:c>
      <x:c r="G155" s="66" t="str">
        <x:v>小规模</x:v>
      </x:c>
      <x:c r="H155" s="66" t="str">
        <x:v>本次公示未见相关记录</x:v>
      </x:c>
      <x:c r="I155" s="66" t="str">
        <x:v>管理人层面</x:v>
      </x:c>
      <x:c r="J155" s="66" t="str"/>
      <x:c r="K155" s="66" t="str"/>
      <x:c r="L155" s="66" t="str"/>
      <x:c r="M155" s="66" t="str"/>
      <x:c r="N155" s="66" t="str">
        <x:v>https://gs.amac.org.cn/amac-infodisc/res/pof/manager/1803121751101388.html</x:v>
      </x:c>
      <x:c r="O155" s="66" t="str">
        <x:v>https://gs.amac.org.cn/amac-infodisc/res/pof/fund/2208111702102050.html</x:v>
      </x:c>
      <x:c r="P155" s="72" t="n">
        <x:v>46281</x:v>
      </x:c>
      <x:c r="Q155" s="66" t="str">
        <x:v>已核验；基金页沿用9月15日公示</x:v>
      </x:c>
      <x:c r="R155" s="66" t="str">
        <x:v>2026-02-03</x:v>
      </x:c>
      <x:c r="S155" s="66" t="str">
        <x:v>2022-08-11</x:v>
      </x:c>
    </x:row>
    <x:row r="156" ht="27" customHeight="1">
      <x:c r="A156" s="66" t="str">
        <x:v>TY632A</x:v>
      </x:c>
      <x:c r="B156" s="66" t="str">
        <x:v>致同添利套利多策略三期A类</x:v>
      </x:c>
      <x:c r="C156" s="66" t="str">
        <x:v>上海致同投资</x:v>
      </x:c>
      <x:c r="D156" s="66" t="str">
        <x:v>上海致同投资管理有限公司</x:v>
      </x:c>
      <x:c r="E156" s="66" t="str">
        <x:v>P1003519</x:v>
      </x:c>
      <x:c r="F156" s="66" t="str">
        <x:v>20-50亿元</x:v>
      </x:c>
      <x:c r="G156" s="66" t="str">
        <x:v>大规模</x:v>
      </x:c>
      <x:c r="H156" s="66" t="str">
        <x:v>监管警示函</x:v>
      </x:c>
      <x:c r="I156" s="66" t="str">
        <x:v>管理人层面</x:v>
      </x:c>
      <x:c r="J156" s="66" t="str">
        <x:v>三年内行政监管措施 该机构于2024年8月19日被上海证监局采取出具警示函的行政监管措施。</x:v>
      </x:c>
      <x:c r="K156" s="66" t="str"/>
      <x:c r="L156" s="66" t="str"/>
      <x:c r="M156" s="66"/>
      <x:c r="N156" s="66" t="str">
        <x:v>https://gs.amac.org.cn/amac-infodisc/res/pof/manager/101000004339.html</x:v>
      </x:c>
      <x:c r="O156" s="66"/>
      <x:c r="P156" s="72" t="n">
        <x:v>46281</x:v>
      </x:c>
      <x:c r="Q156" s="66" t="str">
        <x:v>基金页未匹配，不推断产品规模；基金页沿用9月15日公示</x:v>
      </x:c>
      <x:c r="R156" s="66" t="str">
        <x:v>2026-03-16</x:v>
      </x:c>
      <x:c r="S156" s="66"/>
    </x:row>
    <x:row r="157" ht="27" customHeight="1">
      <x:c r="A157" s="66" t="str">
        <x:v>SXH337</x:v>
      </x:c>
      <x:c r="B157" s="66" t="str">
        <x:v>炽浪衍复9号</x:v>
      </x:c>
      <x:c r="C157" s="66" t="str">
        <x:v>海南炽浪</x:v>
      </x:c>
      <x:c r="D157" s="66" t="str">
        <x:v>炽浪私募基金（海南）合伙企业（有限合伙）</x:v>
      </x:c>
      <x:c r="E157" s="66" t="str">
        <x:v>P1071162</x:v>
      </x:c>
      <x:c r="F157" s="66" t="str">
        <x:v>0-5亿元</x:v>
      </x:c>
      <x:c r="G157" s="66" t="str">
        <x:v>小规模</x:v>
      </x:c>
      <x:c r="H157" s="66" t="str">
        <x:v>协会提示／报送异常</x:v>
      </x:c>
      <x:c r="I157" s="66" t="str">
        <x:v>管理人层面</x:v>
      </x:c>
      <x:c r="J157" s="66" t="str">
        <x:v>信息报送异常 异常原因： 未按要求按时提交经审计的年度财务报告（本异常机构公示情形已整改）</x:v>
      </x:c>
      <x:c r="K157" s="66" t="str">
        <x:v>注册地与办公地不在同一辖区 指私募基金管理人的注册地与办公地不在同一证监会辖区。</x:v>
      </x:c>
      <x:c r="L157" s="66" t="str"/>
      <x:c r="M157" s="66" t="str"/>
      <x:c r="N157" s="66" t="str">
        <x:v>https://gs.amac.org.cn/amac-infodisc/res/pof/manager/2005090837103499.html</x:v>
      </x:c>
      <x:c r="O157" s="66" t="str">
        <x:v>https://gs.amac.org.cn/amac-infodisc/res/pof/fund/2209211854100874.html</x:v>
      </x:c>
      <x:c r="P157" s="72" t="n">
        <x:v>46281</x:v>
      </x:c>
      <x:c r="Q157" s="66" t="str">
        <x:v>已核验；基金页沿用9月15日公示</x:v>
      </x:c>
      <x:c r="R157" s="66" t="str">
        <x:v>2026-02-10</x:v>
      </x:c>
      <x:c r="S157" s="66" t="str">
        <x:v>2026-07-20</x:v>
      </x:c>
    </x:row>
    <x:row r="158" ht="27" customHeight="1">
      <x:c r="A158" s="66" t="str">
        <x:v>SXJ331</x:v>
      </x:c>
      <x:c r="B158" s="66" t="str">
        <x:v>岳鑫遥1号</x:v>
      </x:c>
      <x:c r="C158" s="66" t="str">
        <x:v>北京岳鑫遥</x:v>
      </x:c>
      <x:c r="D158" s="66" t="str">
        <x:v>岳鑫遥（北京）私募基金管理有限公司</x:v>
      </x:c>
      <x:c r="E158" s="66" t="str">
        <x:v>P1073901</x:v>
      </x:c>
      <x:c r="F158" s="66" t="str">
        <x:v>5-10亿元</x:v>
      </x:c>
      <x:c r="G158" s="66" t="str">
        <x:v>大规模</x:v>
      </x:c>
      <x:c r="H158" s="66" t="str">
        <x:v>协会提示／报送异常</x:v>
      </x:c>
      <x:c r="I158" s="66" t="str">
        <x:v>管理人层面</x:v>
      </x:c>
      <x:c r="J158" s="66" t="str">
        <x:v>信息报送异常 异常原因： 未按要求进行产品更新或重大事项更新累计2次及以上（资产管理业务综合报送平台相关信息更新事宜）（本异常机构公示情形已整改）； 未按要求进行产品更新或重大事项更新累计2次及以上（私募基金信息披露备份系统相关信息披露报告备份事宜）（本异常机构公示情形已整改）</x:v>
      </x:c>
      <x:c r="K158" s="66" t="str"/>
      <x:c r="L158" s="66" t="str"/>
      <x:c r="M158" s="66" t="str"/>
      <x:c r="N158" s="66" t="str">
        <x:v>https://gs.amac.org.cn/amac-infodisc/res/pof/manager/2207041830121644.html</x:v>
      </x:c>
      <x:c r="O158" s="66" t="str">
        <x:v>https://gs.amac.org.cn/amac-infodisc/res/pof/fund/2210131922100921.html</x:v>
      </x:c>
      <x:c r="P158" s="72" t="n">
        <x:v>46281</x:v>
      </x:c>
      <x:c r="Q158" s="66" t="str">
        <x:v>已核验；基金页沿用9月15日公示</x:v>
      </x:c>
      <x:c r="R158" s="66" t="str">
        <x:v>2026-05-07</x:v>
      </x:c>
      <x:c r="S158" s="66" t="str">
        <x:v>2024-09-06</x:v>
      </x:c>
    </x:row>
    <x:row r="159" ht="27" customHeight="1">
      <x:c r="A159" s="66" t="str">
        <x:v>SXN023</x:v>
      </x:c>
      <x:c r="B159" s="66" t="str">
        <x:v>兆信股指期货期权套利1号</x:v>
      </x:c>
      <x:c r="C159" s="66" t="str">
        <x:v>江苏兆信</x:v>
      </x:c>
      <x:c r="D159" s="66" t="str">
        <x:v>江苏兆信私募基金管理有限公司</x:v>
      </x:c>
      <x:c r="E159" s="66" t="str">
        <x:v>P1001740</x:v>
      </x:c>
      <x:c r="F159" s="66" t="str">
        <x:v>20-50亿元</x:v>
      </x:c>
      <x:c r="G159" s="66" t="str">
        <x:v>大规模</x:v>
      </x:c>
      <x:c r="H159" s="66" t="str">
        <x:v>本次公示未见相关记录</x:v>
      </x:c>
      <x:c r="I159" s="66" t="str">
        <x:v>管理人层面</x:v>
      </x:c>
      <x:c r="J159" s="66" t="str"/>
      <x:c r="K159" s="66" t="str"/>
      <x:c r="L159" s="66" t="str"/>
      <x:c r="M159" s="66" t="str"/>
      <x:c r="N159" s="66" t="str">
        <x:v>https://gs.amac.org.cn/amac-infodisc/res/pof/manager/101000002312.html</x:v>
      </x:c>
      <x:c r="O159" s="66" t="str">
        <x:v>https://gs.amac.org.cn/amac-infodisc/res/pof/fund/2210140921103682.html</x:v>
      </x:c>
      <x:c r="P159" s="72" t="n">
        <x:v>46281</x:v>
      </x:c>
      <x:c r="Q159" s="66" t="str">
        <x:v>已核验；基金页沿用9月15日公示</x:v>
      </x:c>
      <x:c r="R159" s="66" t="str">
        <x:v>2026-04-17</x:v>
      </x:c>
      <x:c r="S159" s="66" t="str">
        <x:v>2026-07-23</x:v>
      </x:c>
    </x:row>
    <x:row r="160" ht="27" customHeight="1">
      <x:c r="A160" s="66" t="str">
        <x:v>SXL701</x:v>
      </x:c>
      <x:c r="B160" s="66" t="str">
        <x:v>谊恒滴海一号</x:v>
      </x:c>
      <x:c r="C160" s="66" t="str">
        <x:v>上海滴海</x:v>
      </x:c>
      <x:c r="D160" s="66" t="str">
        <x:v>上海滴海私募基金管理中心（有限合伙）</x:v>
      </x:c>
      <x:c r="E160" s="66" t="str">
        <x:v>P1012859</x:v>
      </x:c>
      <x:c r="F160" s="66" t="str">
        <x:v>5-10亿元</x:v>
      </x:c>
      <x:c r="G160" s="66" t="str">
        <x:v>大规模</x:v>
      </x:c>
      <x:c r="H160" s="66" t="str">
        <x:v>协会提示／报送异常</x:v>
      </x:c>
      <x:c r="I160" s="66" t="str">
        <x:v>管理人层面</x:v>
      </x:c>
      <x:c r="J160" s="66" t="str"/>
      <x:c r="K160" s="66" t="str">
        <x:v>存在长期处于清算状态基金 指私募基金管理人存在提交清算开始后超过6个月未完成清算的私募基金。</x:v>
      </x:c>
      <x:c r="L160" s="66" t="str"/>
      <x:c r="M160" s="66" t="str"/>
      <x:c r="N160" s="66" t="str">
        <x:v>https://gs.amac.org.cn/amac-infodisc/res/pof/manager/101000018343.html</x:v>
      </x:c>
      <x:c r="O160" s="66" t="str">
        <x:v>https://gs.amac.org.cn/amac-infodisc/res/pof/fund/2210281610103422.html</x:v>
      </x:c>
      <x:c r="P160" s="72" t="n">
        <x:v>46281</x:v>
      </x:c>
      <x:c r="Q160" s="66" t="str">
        <x:v>已核验；基金页沿用9月15日公示</x:v>
      </x:c>
      <x:c r="R160" s="66" t="str">
        <x:v>2026-03-23</x:v>
      </x:c>
      <x:c r="S160" s="66" t="str">
        <x:v>2025-03-19</x:v>
      </x:c>
    </x:row>
    <x:row r="161" ht="27" customHeight="1">
      <x:c r="A161" s="66" t="str">
        <x:v>SXM526</x:v>
      </x:c>
      <x:c r="B161" s="66" t="str">
        <x:v>尊嘉金润1号</x:v>
      </x:c>
      <x:c r="C161" s="66" t="str">
        <x:v>北京尊嘉资管</x:v>
      </x:c>
      <x:c r="D161" s="66" t="str">
        <x:v>北京尊嘉资产管理有限公司</x:v>
      </x:c>
      <x:c r="E161" s="66" t="str">
        <x:v>P1000319</x:v>
      </x:c>
      <x:c r="F161" s="66" t="str">
        <x:v>0-5亿元</x:v>
      </x:c>
      <x:c r="G161" s="66" t="str">
        <x:v>小规模</x:v>
      </x:c>
      <x:c r="H161" s="66" t="str">
        <x:v>本次公示未见相关记录</x:v>
      </x:c>
      <x:c r="I161" s="66" t="str">
        <x:v>管理人层面</x:v>
      </x:c>
      <x:c r="J161" s="66" t="str"/>
      <x:c r="K161" s="66" t="str"/>
      <x:c r="L161" s="66" t="str"/>
      <x:c r="M161" s="66" t="str"/>
      <x:c r="N161" s="66" t="str">
        <x:v>https://gs.amac.org.cn/amac-infodisc/res/pof/manager/101000000661.html</x:v>
      </x:c>
      <x:c r="O161" s="66" t="str">
        <x:v>https://gs.amac.org.cn/amac-infodisc/res/pof/fund/2210311704131702.html</x:v>
      </x:c>
      <x:c r="P161" s="72" t="n">
        <x:v>46281</x:v>
      </x:c>
      <x:c r="Q161" s="66" t="str">
        <x:v>已核验；基金页沿用9月15日公示</x:v>
      </x:c>
      <x:c r="R161" s="66" t="str">
        <x:v>2026-07-21</x:v>
      </x:c>
      <x:c r="S161" s="66" t="str">
        <x:v>2025-02-07</x:v>
      </x:c>
    </x:row>
    <x:row r="162" ht="27" customHeight="1">
      <x:c r="A162" s="66" t="str">
        <x:v>SXQ267</x:v>
      </x:c>
      <x:c r="B162" s="66" t="str">
        <x:v>殊馥兴义6号</x:v>
      </x:c>
      <x:c r="C162" s="66" t="str">
        <x:v>上海殊馥投资</x:v>
      </x:c>
      <x:c r="D162" s="66" t="str">
        <x:v>上海殊馥投资管理有限公司</x:v>
      </x:c>
      <x:c r="E162" s="66" t="str">
        <x:v>P1029642</x:v>
      </x:c>
      <x:c r="F162" s="66" t="str">
        <x:v>10-20亿元</x:v>
      </x:c>
      <x:c r="G162" s="66" t="str">
        <x:v>大规模</x:v>
      </x:c>
      <x:c r="H162" s="66" t="str">
        <x:v>协会提示／报送异常</x:v>
      </x:c>
      <x:c r="I162" s="66" t="str">
        <x:v>管理人层面</x:v>
      </x:c>
      <x:c r="J162" s="66" t="str"/>
      <x:c r="K162" s="66" t="str">
        <x:v>存在长期处于清算状态基金 指私募基金管理人存在提交清算开始后超过6个月未完成清算的私募基金。</x:v>
      </x:c>
      <x:c r="L162" s="66" t="str">
        <x:v>该管理人在管的殊馥和得7号私募证券投资基金等1只基金为未托管私募证券基金</x:v>
      </x:c>
      <x:c r="M162" s="66" t="str"/>
      <x:c r="N162" s="66" t="str">
        <x:v>https://gs.amac.org.cn/amac-infodisc/res/pof/manager/101000042776.html</x:v>
      </x:c>
      <x:c r="O162" s="66" t="str">
        <x:v>https://gs.amac.org.cn/amac-infodisc/res/pof/fund/2211021355100496.html</x:v>
      </x:c>
      <x:c r="P162" s="72" t="n">
        <x:v>46281</x:v>
      </x:c>
      <x:c r="Q162" s="66" t="str">
        <x:v>已核验；基金页沿用9月15日公示</x:v>
      </x:c>
      <x:c r="R162" s="66" t="str">
        <x:v>2026-06-29</x:v>
      </x:c>
      <x:c r="S162" s="66" t="str">
        <x:v>2026-01-09</x:v>
      </x:c>
    </x:row>
    <x:row r="163" ht="27" customHeight="1">
      <x:c r="A163" s="66" t="str">
        <x:v>SXR086</x:v>
      </x:c>
      <x:c r="B163" s="66" t="str">
        <x:v>博弈树金选套利2号</x:v>
      </x:c>
      <x:c r="C163" s="66" t="str">
        <x:v>广东丰煜</x:v>
      </x:c>
      <x:c r="D163" s="66" t="str">
        <x:v>广东丰煜私募基金管理有限公司</x:v>
      </x:c>
      <x:c r="E163" s="66" t="str">
        <x:v>P1008967</x:v>
      </x:c>
      <x:c r="F163" s="66" t="str">
        <x:v>0-5亿元</x:v>
      </x:c>
      <x:c r="G163" s="66" t="str">
        <x:v>小规模</x:v>
      </x:c>
      <x:c r="H163" s="66" t="str">
        <x:v>本次公示未见相关记录</x:v>
      </x:c>
      <x:c r="I163" s="66" t="str">
        <x:v>管理人层面</x:v>
      </x:c>
      <x:c r="J163" s="66" t="str"/>
      <x:c r="K163" s="66" t="str"/>
      <x:c r="L163" s="66" t="str"/>
      <x:c r="M163" s="66" t="str"/>
      <x:c r="N163" s="66" t="str">
        <x:v>https://gs.amac.org.cn/amac-infodisc/res/pof/manager/101000015767.html</x:v>
      </x:c>
      <x:c r="O163" s="66" t="str">
        <x:v>https://gs.amac.org.cn/amac-infodisc/res/pof/fund/2211100902114438.html</x:v>
      </x:c>
      <x:c r="P163" s="72" t="n">
        <x:v>46281</x:v>
      </x:c>
      <x:c r="Q163" s="66" t="str">
        <x:v>已核验；基金页沿用9月15日公示</x:v>
      </x:c>
      <x:c r="R163" s="66" t="str">
        <x:v>2026-04-22</x:v>
      </x:c>
      <x:c r="S163" s="66" t="str">
        <x:v>2022-11-10</x:v>
      </x:c>
    </x:row>
    <x:row r="164" ht="27" customHeight="1">
      <x:c r="A164" s="66" t="str">
        <x:v>NB380A</x:v>
      </x:c>
      <x:c r="B164" s="66" t="str">
        <x:v>致同云峰AA类</x:v>
      </x:c>
      <x:c r="C164" s="66" t="str">
        <x:v>上海致同投资</x:v>
      </x:c>
      <x:c r="D164" s="66" t="str">
        <x:v>上海致同投资管理有限公司</x:v>
      </x:c>
      <x:c r="E164" s="66" t="str">
        <x:v>P1003519</x:v>
      </x:c>
      <x:c r="F164" s="66" t="str">
        <x:v>20-50亿元</x:v>
      </x:c>
      <x:c r="G164" s="66" t="str">
        <x:v>大规模</x:v>
      </x:c>
      <x:c r="H164" s="66" t="str">
        <x:v>监管警示函</x:v>
      </x:c>
      <x:c r="I164" s="66" t="str">
        <x:v>管理人层面</x:v>
      </x:c>
      <x:c r="J164" s="66" t="str">
        <x:v>三年内行政监管措施 该机构于2024年8月19日被上海证监局采取出具警示函的行政监管措施。</x:v>
      </x:c>
      <x:c r="K164" s="66" t="str"/>
      <x:c r="L164" s="66" t="str"/>
      <x:c r="M164" s="66"/>
      <x:c r="N164" s="66" t="str">
        <x:v>https://gs.amac.org.cn/amac-infodisc/res/pof/manager/101000004339.html</x:v>
      </x:c>
      <x:c r="O164" s="66"/>
      <x:c r="P164" s="72" t="n">
        <x:v>46281</x:v>
      </x:c>
      <x:c r="Q164" s="66" t="str">
        <x:v>基金页未匹配，不推断产品规模；基金页沿用9月15日公示</x:v>
      </x:c>
      <x:c r="R164" s="66" t="str">
        <x:v>2026-03-16</x:v>
      </x:c>
      <x:c r="S164" s="66"/>
    </x:row>
    <x:row r="165" ht="27" customHeight="1">
      <x:c r="A165" s="66" t="str">
        <x:v>SXK911</x:v>
      </x:c>
      <x:c r="B165" s="66" t="str">
        <x:v>擎丰1号3期</x:v>
      </x:c>
      <x:c r="C165" s="66" t="str">
        <x:v>上海擎丰</x:v>
      </x:c>
      <x:c r="D165" s="66" t="str">
        <x:v>上海擎丰私募基金管理有限公司</x:v>
      </x:c>
      <x:c r="E165" s="66" t="str">
        <x:v>P1066774</x:v>
      </x:c>
      <x:c r="F165" s="66" t="str">
        <x:v>0-5亿元</x:v>
      </x:c>
      <x:c r="G165" s="66" t="str">
        <x:v>小规模</x:v>
      </x:c>
      <x:c r="H165" s="66" t="str">
        <x:v>协会提示／报送异常</x:v>
      </x:c>
      <x:c r="I165" s="66" t="str">
        <x:v>管理人层面</x:v>
      </x:c>
      <x:c r="J165" s="66" t="str"/>
      <x:c r="K165" s="66" t="str">
        <x:v>投资者定向披露账户开立率低 指私募基金管理人在信披备份系统定向披露功能中为投资者开立查询账号的比率低于50%（不含50%）。</x:v>
      </x:c>
      <x:c r="L165" s="66" t="str"/>
      <x:c r="M165" s="66" t="str"/>
      <x:c r="N165" s="66" t="str">
        <x:v>https://gs.amac.org.cn/amac-infodisc/res/pof/manager/1707071820104466.html</x:v>
      </x:c>
      <x:c r="O165" s="66" t="str">
        <x:v>https://gs.amac.org.cn/amac-infodisc/res/pof/fund/2211141811104373.html</x:v>
      </x:c>
      <x:c r="P165" s="72" t="n">
        <x:v>46281</x:v>
      </x:c>
      <x:c r="Q165" s="66" t="str">
        <x:v>已核验；基金页沿用9月15日公示</x:v>
      </x:c>
      <x:c r="R165" s="66" t="str">
        <x:v>2026-08-06</x:v>
      </x:c>
      <x:c r="S165" s="66" t="str">
        <x:v>2026-07-07</x:v>
      </x:c>
    </x:row>
    <x:row r="166" ht="27" customHeight="1">
      <x:c r="A166" s="66" t="str">
        <x:v>SXP356</x:v>
      </x:c>
      <x:c r="B166" s="66" t="str">
        <x:v>泰创稳健二号</x:v>
      </x:c>
      <x:c r="C166" s="66" t="str">
        <x:v>北京泰创投资</x:v>
      </x:c>
      <x:c r="D166" s="66" t="str">
        <x:v>北京泰创投资管理有限公司</x:v>
      </x:c>
      <x:c r="E166" s="66" t="str">
        <x:v>P1006143</x:v>
      </x:c>
      <x:c r="F166" s="66" t="str">
        <x:v>5-10亿元</x:v>
      </x:c>
      <x:c r="G166" s="66" t="str">
        <x:v>大规模</x:v>
      </x:c>
      <x:c r="H166" s="66" t="str">
        <x:v>本次公示未见相关记录</x:v>
      </x:c>
      <x:c r="I166" s="66" t="str">
        <x:v>管理人层面</x:v>
      </x:c>
      <x:c r="J166" s="66" t="str"/>
      <x:c r="K166" s="66" t="str"/>
      <x:c r="L166" s="66" t="str"/>
      <x:c r="M166" s="66" t="str"/>
      <x:c r="N166" s="66" t="str">
        <x:v>https://gs.amac.org.cn/amac-infodisc/res/pof/manager/101000008864.html</x:v>
      </x:c>
      <x:c r="O166" s="66" t="str">
        <x:v>https://gs.amac.org.cn/amac-infodisc/res/pof/fund/2211151609104614.html</x:v>
      </x:c>
      <x:c r="P166" s="72" t="n">
        <x:v>46281</x:v>
      </x:c>
      <x:c r="Q166" s="66" t="str">
        <x:v>已核验；基金页沿用9月15日公示</x:v>
      </x:c>
      <x:c r="R166" s="66" t="str">
        <x:v>2026-05-12</x:v>
      </x:c>
      <x:c r="S166" s="66" t="str">
        <x:v>2026-07-22</x:v>
      </x:c>
    </x:row>
    <x:row r="167" ht="27" customHeight="1">
      <x:c r="A167" s="66" t="str">
        <x:v>SXT610</x:v>
      </x:c>
      <x:c r="B167" s="66" t="str">
        <x:v>殊馥兴义7号</x:v>
      </x:c>
      <x:c r="C167" s="66" t="str">
        <x:v>上海殊馥投资</x:v>
      </x:c>
      <x:c r="D167" s="66" t="str">
        <x:v>上海殊馥投资管理有限公司</x:v>
      </x:c>
      <x:c r="E167" s="66" t="str">
        <x:v>P1029642</x:v>
      </x:c>
      <x:c r="F167" s="66" t="str">
        <x:v>10-20亿元</x:v>
      </x:c>
      <x:c r="G167" s="66" t="str">
        <x:v>大规模</x:v>
      </x:c>
      <x:c r="H167" s="66" t="str">
        <x:v>协会提示／报送异常</x:v>
      </x:c>
      <x:c r="I167" s="66" t="str">
        <x:v>管理人层面</x:v>
      </x:c>
      <x:c r="J167" s="66" t="str"/>
      <x:c r="K167" s="66" t="str">
        <x:v>存在长期处于清算状态基金 指私募基金管理人存在提交清算开始后超过6个月未完成清算的私募基金。</x:v>
      </x:c>
      <x:c r="L167" s="66" t="str">
        <x:v>该管理人在管的殊馥和得7号私募证券投资基金等1只基金为未托管私募证券基金</x:v>
      </x:c>
      <x:c r="M167" s="66" t="str"/>
      <x:c r="N167" s="66" t="str">
        <x:v>https://gs.amac.org.cn/amac-infodisc/res/pof/manager/101000042776.html</x:v>
      </x:c>
      <x:c r="O167" s="66" t="str">
        <x:v>https://gs.amac.org.cn/amac-infodisc/res/pof/fund/2211291421100191.html</x:v>
      </x:c>
      <x:c r="P167" s="72" t="n">
        <x:v>46281</x:v>
      </x:c>
      <x:c r="Q167" s="66" t="str">
        <x:v>已核验；基金页沿用9月15日公示</x:v>
      </x:c>
      <x:c r="R167" s="66" t="str">
        <x:v>2026-06-29</x:v>
      </x:c>
      <x:c r="S167" s="66" t="str">
        <x:v>2025-07-17</x:v>
      </x:c>
    </x:row>
    <x:row r="168" ht="27" customHeight="1">
      <x:c r="A168" s="66" t="str">
        <x:v>SXV513</x:v>
      </x:c>
      <x:c r="B168" s="66" t="str">
        <x:v>锐耐复利倍增2号</x:v>
      </x:c>
      <x:c r="C168" s="66" t="str">
        <x:v>上海锐耐</x:v>
      </x:c>
      <x:c r="D168" s="66" t="str">
        <x:v>上海锐耐私募基金管理有限公司</x:v>
      </x:c>
      <x:c r="E168" s="66" t="str">
        <x:v>P1071795</x:v>
      </x:c>
      <x:c r="F168" s="66" t="str">
        <x:v>20-50亿元</x:v>
      </x:c>
      <x:c r="G168" s="66" t="str">
        <x:v>大规模</x:v>
      </x:c>
      <x:c r="H168" s="66" t="str">
        <x:v>本次公示未见相关记录</x:v>
      </x:c>
      <x:c r="I168" s="66" t="str">
        <x:v>管理人层面</x:v>
      </x:c>
      <x:c r="J168" s="66" t="str"/>
      <x:c r="K168" s="66" t="str"/>
      <x:c r="L168" s="66" t="str"/>
      <x:c r="M168" s="66" t="str"/>
      <x:c r="N168" s="66" t="str">
        <x:v>https://gs.amac.org.cn/amac-infodisc/res/pof/manager/2011201413105709.html</x:v>
      </x:c>
      <x:c r="O168" s="66" t="str">
        <x:v>https://gs.amac.org.cn/amac-infodisc/res/pof/fund/2212051126108903.html</x:v>
      </x:c>
      <x:c r="P168" s="72" t="n">
        <x:v>46281</x:v>
      </x:c>
      <x:c r="Q168" s="66" t="str">
        <x:v>已核验；基金页沿用9月15日公示</x:v>
      </x:c>
      <x:c r="R168" s="66" t="str">
        <x:v>2026-05-14</x:v>
      </x:c>
      <x:c r="S168" s="66" t="str">
        <x:v>2025-03-06</x:v>
      </x:c>
    </x:row>
    <x:row r="169" ht="27" customHeight="1">
      <x:c r="A169" s="66" t="str">
        <x:v>SXW399</x:v>
      </x:c>
      <x:c r="B169" s="66" t="str">
        <x:v>乘舟紫荆1号</x:v>
      </x:c>
      <x:c r="C169" s="66" t="str">
        <x:v>上海乘舟投资</x:v>
      </x:c>
      <x:c r="D169" s="66" t="str">
        <x:v>上海乘舟投资管理有限公司</x:v>
      </x:c>
      <x:c r="E169" s="66" t="str">
        <x:v>P1070907</x:v>
      </x:c>
      <x:c r="F169" s="66" t="str">
        <x:v>5-10亿元</x:v>
      </x:c>
      <x:c r="G169" s="66" t="str">
        <x:v>大规模</x:v>
      </x:c>
      <x:c r="H169" s="66" t="str">
        <x:v>本次公示未见相关记录</x:v>
      </x:c>
      <x:c r="I169" s="66" t="str">
        <x:v>管理人层面</x:v>
      </x:c>
      <x:c r="J169" s="66" t="str"/>
      <x:c r="K169" s="66" t="str"/>
      <x:c r="L169" s="66" t="str"/>
      <x:c r="M169" s="66" t="str"/>
      <x:c r="N169" s="66" t="str">
        <x:v>https://gs.amac.org.cn/amac-infodisc/res/pof/manager/2003191500102072.html</x:v>
      </x:c>
      <x:c r="O169" s="66" t="str">
        <x:v>https://gs.amac.org.cn/amac-infodisc/res/pof/fund/2212071732102944.html</x:v>
      </x:c>
      <x:c r="P169" s="72" t="n">
        <x:v>46281</x:v>
      </x:c>
      <x:c r="Q169" s="66" t="str">
        <x:v>已核验；基金页沿用9月15日公示</x:v>
      </x:c>
      <x:c r="R169" s="66" t="str">
        <x:v>2026-07-21</x:v>
      </x:c>
      <x:c r="S169" s="66" t="str">
        <x:v>2022-12-07</x:v>
      </x:c>
    </x:row>
    <x:row r="170" ht="27" customHeight="1">
      <x:c r="A170" s="66" t="str">
        <x:v>SXW818</x:v>
      </x:c>
      <x:c r="B170" s="66" t="str">
        <x:v>岳鑫遥3号</x:v>
      </x:c>
      <x:c r="C170" s="66" t="str">
        <x:v>北京岳鑫遥</x:v>
      </x:c>
      <x:c r="D170" s="66" t="str">
        <x:v>岳鑫遥（北京）私募基金管理有限公司</x:v>
      </x:c>
      <x:c r="E170" s="66" t="str">
        <x:v>P1073901</x:v>
      </x:c>
      <x:c r="F170" s="66" t="str">
        <x:v>5-10亿元</x:v>
      </x:c>
      <x:c r="G170" s="66" t="str">
        <x:v>大规模</x:v>
      </x:c>
      <x:c r="H170" s="66" t="str">
        <x:v>协会提示／报送异常</x:v>
      </x:c>
      <x:c r="I170" s="66" t="str">
        <x:v>管理人层面</x:v>
      </x:c>
      <x:c r="J170" s="66" t="str">
        <x:v>信息报送异常 异常原因： 未按要求进行产品更新或重大事项更新累计2次及以上（资产管理业务综合报送平台相关信息更新事宜）（本异常机构公示情形已整改）； 未按要求进行产品更新或重大事项更新累计2次及以上（私募基金信息披露备份系统相关信息披露报告备份事宜）（本异常机构公示情形已整改）</x:v>
      </x:c>
      <x:c r="K170" s="66" t="str"/>
      <x:c r="L170" s="66" t="str"/>
      <x:c r="M170" s="66" t="str"/>
      <x:c r="N170" s="66" t="str">
        <x:v>https://gs.amac.org.cn/amac-infodisc/res/pof/manager/2207041830121644.html</x:v>
      </x:c>
      <x:c r="O170" s="66" t="str">
        <x:v>https://gs.amac.org.cn/amac-infodisc/res/pof/fund/2212231712100194.html</x:v>
      </x:c>
      <x:c r="P170" s="72" t="n">
        <x:v>46281</x:v>
      </x:c>
      <x:c r="Q170" s="66" t="str">
        <x:v>已核验；基金页沿用9月15日公示</x:v>
      </x:c>
      <x:c r="R170" s="66" t="str">
        <x:v>2026-05-07</x:v>
      </x:c>
      <x:c r="S170" s="66" t="str">
        <x:v>2022-12-23</x:v>
      </x:c>
    </x:row>
    <x:row r="171" ht="27" customHeight="1">
      <x:c r="A171" s="66" t="str">
        <x:v>SXX404</x:v>
      </x:c>
      <x:c r="B171" s="66" t="str">
        <x:v>雁丰卓衍1号</x:v>
      </x:c>
      <x:c r="C171" s="66" t="str">
        <x:v>上海雁丰投资</x:v>
      </x:c>
      <x:c r="D171" s="66" t="str">
        <x:v>上海雁丰投资管理有限公司</x:v>
      </x:c>
      <x:c r="E171" s="66" t="str">
        <x:v>P1006965</x:v>
      </x:c>
      <x:c r="F171" s="66" t="str">
        <x:v>0-5亿元</x:v>
      </x:c>
      <x:c r="G171" s="66" t="str">
        <x:v>小规模</x:v>
      </x:c>
      <x:c r="H171" s="66" t="str">
        <x:v>协会提示／报送异常</x:v>
      </x:c>
      <x:c r="I171" s="66" t="str">
        <x:v>管理人层面</x:v>
      </x:c>
      <x:c r="J171" s="66" t="str"/>
      <x:c r="K171" s="66" t="str">
        <x:v>存在长期处于清算状态基金 指私募基金管理人存在提交清算开始后超过6个月未完成清算的私募基金。</x:v>
      </x:c>
      <x:c r="L171" s="66" t="str"/>
      <x:c r="M171" s="66" t="str"/>
      <x:c r="N171" s="66" t="str">
        <x:v>https://gs.amac.org.cn/amac-infodisc/res/pof/manager/101000007795.html</x:v>
      </x:c>
      <x:c r="O171" s="66" t="str">
        <x:v>https://gs.amac.org.cn/amac-infodisc/res/pof/fund/2301040921105586.html</x:v>
      </x:c>
      <x:c r="P171" s="72" t="n">
        <x:v>46281</x:v>
      </x:c>
      <x:c r="Q171" s="66" t="str">
        <x:v>已核验；基金页沿用9月15日公示</x:v>
      </x:c>
      <x:c r="R171" s="66" t="str">
        <x:v>2026-01-14</x:v>
      </x:c>
      <x:c r="S171" s="66" t="str">
        <x:v>2026-08-28</x:v>
      </x:c>
    </x:row>
    <x:row r="172" ht="27" customHeight="1">
      <x:c r="A172" s="66" t="str">
        <x:v>SZA394</x:v>
      </x:c>
      <x:c r="B172" s="66" t="str">
        <x:v>殊馥兴义8号</x:v>
      </x:c>
      <x:c r="C172" s="66" t="str">
        <x:v>上海殊馥投资</x:v>
      </x:c>
      <x:c r="D172" s="66" t="str">
        <x:v>上海殊馥投资管理有限公司</x:v>
      </x:c>
      <x:c r="E172" s="66" t="str">
        <x:v>P1029642</x:v>
      </x:c>
      <x:c r="F172" s="66" t="str">
        <x:v>10-20亿元</x:v>
      </x:c>
      <x:c r="G172" s="66" t="str">
        <x:v>大规模</x:v>
      </x:c>
      <x:c r="H172" s="66" t="str">
        <x:v>协会提示／报送异常</x:v>
      </x:c>
      <x:c r="I172" s="66" t="str">
        <x:v>管理人层面</x:v>
      </x:c>
      <x:c r="J172" s="66" t="str"/>
      <x:c r="K172" s="66" t="str">
        <x:v>存在长期处于清算状态基金 指私募基金管理人存在提交清算开始后超过6个月未完成清算的私募基金。</x:v>
      </x:c>
      <x:c r="L172" s="66" t="str">
        <x:v>该管理人在管的殊馥和得7号私募证券投资基金等1只基金为未托管私募证券基金</x:v>
      </x:c>
      <x:c r="M172" s="66" t="str"/>
      <x:c r="N172" s="66" t="str">
        <x:v>https://gs.amac.org.cn/amac-infodisc/res/pof/manager/101000042776.html</x:v>
      </x:c>
      <x:c r="O172" s="66" t="str">
        <x:v>https://gs.amac.org.cn/amac-infodisc/res/pof/fund/2301040929105681.html</x:v>
      </x:c>
      <x:c r="P172" s="72" t="n">
        <x:v>46281</x:v>
      </x:c>
      <x:c r="Q172" s="66" t="str">
        <x:v>已核验；基金页沿用9月15日公示</x:v>
      </x:c>
      <x:c r="R172" s="66" t="str">
        <x:v>2026-06-29</x:v>
      </x:c>
      <x:c r="S172" s="66" t="str">
        <x:v>2025-04-23</x:v>
      </x:c>
    </x:row>
    <x:row r="173" ht="27" customHeight="1">
      <x:c r="A173" s="66" t="str">
        <x:v>SZB527</x:v>
      </x:c>
      <x:c r="B173" s="66" t="str">
        <x:v>烁菓量化复合套利2号</x:v>
      </x:c>
      <x:c r="C173" s="66" t="str">
        <x:v>福州烁菓</x:v>
      </x:c>
      <x:c r="D173" s="66" t="str">
        <x:v>福州烁菓私募基金管理有限公司</x:v>
      </x:c>
      <x:c r="E173" s="66" t="str">
        <x:v>P1017468</x:v>
      </x:c>
      <x:c r="F173" s="66" t="str">
        <x:v>0-5亿元</x:v>
      </x:c>
      <x:c r="G173" s="66" t="str">
        <x:v>小规模</x:v>
      </x:c>
      <x:c r="H173" s="66" t="str">
        <x:v>协会提示／报送异常</x:v>
      </x:c>
      <x:c r="I173" s="66" t="str">
        <x:v>管理人层面</x:v>
      </x:c>
      <x:c r="J173" s="66" t="str">
        <x:v>信息报送异常 异常原因： 未按要求按时提交经审计的年度财务报告（本异常机构公示情形已整改）</x:v>
      </x:c>
      <x:c r="K173" s="66" t="str"/>
      <x:c r="L173" s="66" t="str"/>
      <x:c r="M173" s="66" t="str"/>
      <x:c r="N173" s="66" t="str">
        <x:v>https://gs.amac.org.cn/amac-infodisc/res/pof/manager/101000027571.html</x:v>
      </x:c>
      <x:c r="O173" s="66" t="str">
        <x:v>https://gs.amac.org.cn/amac-infodisc/res/pof/fund/2301111805105842.html</x:v>
      </x:c>
      <x:c r="P173" s="72" t="n">
        <x:v>46281</x:v>
      </x:c>
      <x:c r="Q173" s="66" t="str">
        <x:v>已核验；基金页沿用9月15日公示</x:v>
      </x:c>
      <x:c r="R173" s="66" t="str">
        <x:v>2026-07-31</x:v>
      </x:c>
      <x:c r="S173" s="66" t="str">
        <x:v>2023-06-13</x:v>
      </x:c>
    </x:row>
    <x:row r="174" ht="27" customHeight="1">
      <x:c r="A174" s="66" t="str">
        <x:v>SZD744</x:v>
      </x:c>
      <x:c r="B174" s="66" t="str">
        <x:v>泰创稳健三号</x:v>
      </x:c>
      <x:c r="C174" s="66" t="str">
        <x:v>北京泰创投资</x:v>
      </x:c>
      <x:c r="D174" s="66" t="str">
        <x:v>北京泰创投资管理有限公司</x:v>
      </x:c>
      <x:c r="E174" s="66" t="str">
        <x:v>P1006143</x:v>
      </x:c>
      <x:c r="F174" s="66" t="str">
        <x:v>5-10亿元</x:v>
      </x:c>
      <x:c r="G174" s="66" t="str">
        <x:v>大规模</x:v>
      </x:c>
      <x:c r="H174" s="66" t="str">
        <x:v>本次公示未见相关记录</x:v>
      </x:c>
      <x:c r="I174" s="66" t="str">
        <x:v>管理人层面</x:v>
      </x:c>
      <x:c r="J174" s="66" t="str"/>
      <x:c r="K174" s="66" t="str"/>
      <x:c r="L174" s="66" t="str"/>
      <x:c r="M174" s="66" t="str"/>
      <x:c r="N174" s="66" t="str">
        <x:v>https://gs.amac.org.cn/amac-infodisc/res/pof/manager/101000008864.html</x:v>
      </x:c>
      <x:c r="O174" s="66" t="str">
        <x:v>https://gs.amac.org.cn/amac-infodisc/res/pof/fund/2301161834100205.html</x:v>
      </x:c>
      <x:c r="P174" s="72" t="n">
        <x:v>46281</x:v>
      </x:c>
      <x:c r="Q174" s="66" t="str">
        <x:v>已核验；基金页沿用9月15日公示</x:v>
      </x:c>
      <x:c r="R174" s="66" t="str">
        <x:v>2026-05-12</x:v>
      </x:c>
      <x:c r="S174" s="66" t="str">
        <x:v>2026-03-25</x:v>
      </x:c>
    </x:row>
    <x:row r="175" ht="27" customHeight="1">
      <x:c r="A175" s="66" t="str">
        <x:v>SZC360</x:v>
      </x:c>
      <x:c r="B175" s="66" t="str">
        <x:v>赢起隆华1期</x:v>
      </x:c>
      <x:c r="C175" s="66" t="str">
        <x:v>上海赢起</x:v>
      </x:c>
      <x:c r="D175" s="66" t="str">
        <x:v>赢起（上海）私募基金管理有限公司</x:v>
      </x:c>
      <x:c r="E175" s="66" t="str">
        <x:v>P1060702</x:v>
      </x:c>
      <x:c r="F175" s="66" t="str">
        <x:v>0-5亿元</x:v>
      </x:c>
      <x:c r="G175" s="66" t="str">
        <x:v>小规模</x:v>
      </x:c>
      <x:c r="H175" s="66" t="str">
        <x:v>协会提示／报送异常</x:v>
      </x:c>
      <x:c r="I175" s="66" t="str">
        <x:v>管理人层面</x:v>
      </x:c>
      <x:c r="J175" s="66" t="str"/>
      <x:c r="K175" s="66" t="str">
        <x:v>注册地与办公地不在同一辖区 指私募基金管理人的注册地与办公地不在同一证监会辖区。</x:v>
      </x:c>
      <x:c r="L175" s="66" t="str"/>
      <x:c r="M175" s="66" t="str"/>
      <x:c r="N175" s="66" t="str">
        <x:v>https://gs.amac.org.cn/amac-infodisc/res/pof/manager/1611081535100767.html</x:v>
      </x:c>
      <x:c r="O175" s="66" t="str">
        <x:v>https://gs.amac.org.cn/amac-infodisc/res/pof/fund/2301171711114464.html</x:v>
      </x:c>
      <x:c r="P175" s="72" t="n">
        <x:v>46281</x:v>
      </x:c>
      <x:c r="Q175" s="66" t="str">
        <x:v>已核验；基金页沿用9月15日公示</x:v>
      </x:c>
      <x:c r="R175" s="66" t="str">
        <x:v>2026-04-29</x:v>
      </x:c>
      <x:c r="S175" s="66" t="str">
        <x:v>2023-01-17</x:v>
      </x:c>
    </x:row>
    <x:row r="176" ht="27" customHeight="1">
      <x:c r="A176" s="66" t="str">
        <x:v>SZC556</x:v>
      </x:c>
      <x:c r="B176" s="66" t="str">
        <x:v>思益行稳致远1号</x:v>
      </x:c>
      <x:c r="C176" s="66" t="str">
        <x:v>海南思益</x:v>
      </x:c>
      <x:c r="D176" s="66" t="str">
        <x:v>海南思益私募基金管理合伙企业（有限合伙）</x:v>
      </x:c>
      <x:c r="E176" s="66" t="str">
        <x:v>P1073674</x:v>
      </x:c>
      <x:c r="F176" s="66" t="str">
        <x:v>10-20亿元</x:v>
      </x:c>
      <x:c r="G176" s="66" t="str">
        <x:v>大规模</x:v>
      </x:c>
      <x:c r="H176" s="66" t="str">
        <x:v>本次公示未见相关记录</x:v>
      </x:c>
      <x:c r="I176" s="66" t="str">
        <x:v>管理人层面</x:v>
      </x:c>
      <x:c r="J176" s="66" t="str"/>
      <x:c r="K176" s="66" t="str"/>
      <x:c r="L176" s="66" t="str"/>
      <x:c r="M176" s="66" t="str"/>
      <x:c r="N176" s="66" t="str">
        <x:v>https://gs.amac.org.cn/amac-infodisc/res/pof/manager/2204271712106058.html</x:v>
      </x:c>
      <x:c r="O176" s="66" t="str">
        <x:v>https://gs.amac.org.cn/amac-infodisc/res/pof/fund/2301191725107252.html</x:v>
      </x:c>
      <x:c r="P176" s="72" t="n">
        <x:v>46281</x:v>
      </x:c>
      <x:c r="Q176" s="66" t="str">
        <x:v>已核验；基金页沿用9月15日公示</x:v>
      </x:c>
      <x:c r="R176" s="66" t="str">
        <x:v>2026-06-16</x:v>
      </x:c>
      <x:c r="S176" s="66" t="str">
        <x:v>2026-01-08</x:v>
      </x:c>
    </x:row>
    <x:row r="177" ht="27" customHeight="1">
      <x:c r="A177" s="66" t="str">
        <x:v>SZF893</x:v>
      </x:c>
      <x:c r="B177" s="66" t="str">
        <x:v>恒立卓越1号</x:v>
      </x:c>
      <x:c r="C177" s="66" t="str">
        <x:v>海南恒立</x:v>
      </x:c>
      <x:c r="D177" s="66" t="str">
        <x:v>海南恒立私募基金管理有限公司</x:v>
      </x:c>
      <x:c r="E177" s="66" t="str">
        <x:v>P1073663</x:v>
      </x:c>
      <x:c r="F177" s="66" t="str">
        <x:v>5-10亿元</x:v>
      </x:c>
      <x:c r="G177" s="66" t="str">
        <x:v>大规模</x:v>
      </x:c>
      <x:c r="H177" s="66" t="str">
        <x:v>协会提示／报送异常</x:v>
      </x:c>
      <x:c r="I177" s="66" t="str">
        <x:v>管理人层面</x:v>
      </x:c>
      <x:c r="J177" s="66" t="str">
        <x:v>信息报送异常 异常原因： 未按要求进行产品更新或重大事项更新累计2次及以上（私募基金信息披露备份系统相关信息披露报告备份事宜）（本异常机构公示情形已整改）</x:v>
      </x:c>
      <x:c r="K177" s="66" t="str">
        <x:v>注册地与办公地不在同一辖区 指私募基金管理人的注册地与办公地不在同一证监会辖区。</x:v>
      </x:c>
      <x:c r="L177" s="66" t="str"/>
      <x:c r="M177" s="66" t="str"/>
      <x:c r="N177" s="66" t="str">
        <x:v>https://gs.amac.org.cn/amac-infodisc/res/pof/manager/2204132153103555.html</x:v>
      </x:c>
      <x:c r="O177" s="66" t="str">
        <x:v>https://gs.amac.org.cn/amac-infodisc/res/pof/fund/2301291120104275.html</x:v>
      </x:c>
      <x:c r="P177" s="72" t="n">
        <x:v>46281</x:v>
      </x:c>
      <x:c r="Q177" s="66" t="str">
        <x:v>已核验；基金页沿用9月15日公示</x:v>
      </x:c>
      <x:c r="R177" s="66" t="str">
        <x:v>2026-07-08</x:v>
      </x:c>
      <x:c r="S177" s="66" t="str">
        <x:v>2026-07-10</x:v>
      </x:c>
    </x:row>
    <x:row r="178" ht="27" customHeight="1">
      <x:c r="A178" s="66" t="str">
        <x:v>SZH690</x:v>
      </x:c>
      <x:c r="B178" s="66" t="str">
        <x:v>辰元优选稳健</x:v>
      </x:c>
      <x:c r="C178" s="66" t="str">
        <x:v>广东辰元</x:v>
      </x:c>
      <x:c r="D178" s="66" t="str">
        <x:v>广东辰元私募基金管理有限公司</x:v>
      </x:c>
      <x:c r="E178" s="66" t="str">
        <x:v>P1074301</x:v>
      </x:c>
      <x:c r="F178" s="66" t="str">
        <x:v>20-50亿元</x:v>
      </x:c>
      <x:c r="G178" s="66" t="str">
        <x:v>大规模</x:v>
      </x:c>
      <x:c r="H178" s="66" t="str">
        <x:v>本次公示未见相关记录</x:v>
      </x:c>
      <x:c r="I178" s="66" t="str">
        <x:v>管理人层面</x:v>
      </x:c>
      <x:c r="J178" s="66" t="str"/>
      <x:c r="K178" s="66" t="str"/>
      <x:c r="L178" s="66" t="str"/>
      <x:c r="M178" s="66" t="str"/>
      <x:c r="N178" s="66" t="str">
        <x:v>https://gs.amac.org.cn/amac-infodisc/res/pof/manager/2209261520106658.html</x:v>
      </x:c>
      <x:c r="O178" s="66" t="str">
        <x:v>https://gs.amac.org.cn/amac-infodisc/res/pof/fund/2302141700101335.html</x:v>
      </x:c>
      <x:c r="P178" s="72" t="n">
        <x:v>46281</x:v>
      </x:c>
      <x:c r="Q178" s="66" t="str">
        <x:v>已核验；基金页沿用9月15日公示</x:v>
      </x:c>
      <x:c r="R178" s="66" t="str">
        <x:v>2025-10-17</x:v>
      </x:c>
      <x:c r="S178" s="66" t="str">
        <x:v>2026-07-03</x:v>
      </x:c>
    </x:row>
    <x:row r="179" ht="27" customHeight="1">
      <x:c r="A179" s="66" t="str">
        <x:v>SZJ724</x:v>
      </x:c>
      <x:c r="B179" s="66" t="str">
        <x:v>辰元稳健2号</x:v>
      </x:c>
      <x:c r="C179" s="66" t="str">
        <x:v>广东辰元</x:v>
      </x:c>
      <x:c r="D179" s="66" t="str">
        <x:v>广东辰元私募基金管理有限公司</x:v>
      </x:c>
      <x:c r="E179" s="66" t="str">
        <x:v>P1074301</x:v>
      </x:c>
      <x:c r="F179" s="66" t="str">
        <x:v>20-50亿元</x:v>
      </x:c>
      <x:c r="G179" s="66" t="str">
        <x:v>大规模</x:v>
      </x:c>
      <x:c r="H179" s="66" t="str">
        <x:v>本次公示未见相关记录</x:v>
      </x:c>
      <x:c r="I179" s="66" t="str">
        <x:v>管理人层面</x:v>
      </x:c>
      <x:c r="J179" s="66" t="str"/>
      <x:c r="K179" s="66" t="str"/>
      <x:c r="L179" s="66" t="str"/>
      <x:c r="M179" s="66" t="str"/>
      <x:c r="N179" s="66" t="str">
        <x:v>https://gs.amac.org.cn/amac-infodisc/res/pof/manager/2209261520106658.html</x:v>
      </x:c>
      <x:c r="O179" s="66" t="str">
        <x:v>https://gs.amac.org.cn/amac-infodisc/res/pof/fund/2302151739100614.html</x:v>
      </x:c>
      <x:c r="P179" s="72" t="n">
        <x:v>46281</x:v>
      </x:c>
      <x:c r="Q179" s="66" t="str">
        <x:v>已核验；基金页沿用9月15日公示</x:v>
      </x:c>
      <x:c r="R179" s="66" t="str">
        <x:v>2025-10-17</x:v>
      </x:c>
      <x:c r="S179" s="66" t="str">
        <x:v>2025-09-26</x:v>
      </x:c>
    </x:row>
    <x:row r="180" ht="27" customHeight="1">
      <x:c r="A180" s="66" t="str">
        <x:v>SZJ846</x:v>
      </x:c>
      <x:c r="B180" s="66" t="str">
        <x:v>江岳联接54期</x:v>
      </x:c>
      <x:c r="C180" s="66" t="str">
        <x:v>西安江岳</x:v>
      </x:c>
      <x:c r="D180" s="66" t="str">
        <x:v>西安江岳私募基金管理有限公司</x:v>
      </x:c>
      <x:c r="E180" s="66" t="str">
        <x:v>P1064313</x:v>
      </x:c>
      <x:c r="F180" s="66" t="str">
        <x:v>10-20亿元</x:v>
      </x:c>
      <x:c r="G180" s="66" t="str">
        <x:v>大规模</x:v>
      </x:c>
      <x:c r="H180" s="66" t="str">
        <x:v>本次公示未见相关记录</x:v>
      </x:c>
      <x:c r="I180" s="66" t="str">
        <x:v>管理人层面</x:v>
      </x:c>
      <x:c r="J180" s="66" t="str"/>
      <x:c r="K180" s="66" t="str"/>
      <x:c r="L180" s="66" t="str"/>
      <x:c r="M180" s="66" t="str"/>
      <x:c r="N180" s="66" t="str">
        <x:v>https://gs.amac.org.cn/amac-infodisc/res/pof/manager/1703241729101117.html</x:v>
      </x:c>
      <x:c r="O180" s="66" t="str">
        <x:v>https://gs.amac.org.cn/amac-infodisc/res/pof/fund/2302211738101079.html</x:v>
      </x:c>
      <x:c r="P180" s="72" t="n">
        <x:v>46281</x:v>
      </x:c>
      <x:c r="Q180" s="66" t="str">
        <x:v>已核验；基金页沿用9月15日公示</x:v>
      </x:c>
      <x:c r="R180" s="66" t="str">
        <x:v>2026-08-24</x:v>
      </x:c>
      <x:c r="S180" s="66" t="str">
        <x:v>2026-07-31</x:v>
      </x:c>
    </x:row>
    <x:row r="181" ht="27" customHeight="1">
      <x:c r="A181" s="66" t="str">
        <x:v>SZL583</x:v>
      </x:c>
      <x:c r="B181" s="66" t="str">
        <x:v>言起投资价值成长1号</x:v>
      </x:c>
      <x:c r="C181" s="66" t="str">
        <x:v>厦门言起投资</x:v>
      </x:c>
      <x:c r="D181" s="66" t="str">
        <x:v>厦门言起投资管理有限公司</x:v>
      </x:c>
      <x:c r="E181" s="66" t="str">
        <x:v>P1032282</x:v>
      </x:c>
      <x:c r="F181" s="66" t="str">
        <x:v>0-5亿元</x:v>
      </x:c>
      <x:c r="G181" s="66" t="str">
        <x:v>小规模</x:v>
      </x:c>
      <x:c r="H181" s="66" t="str">
        <x:v>协会提示／报送异常</x:v>
      </x:c>
      <x:c r="I181" s="66" t="str">
        <x:v>管理人层面</x:v>
      </x:c>
      <x:c r="J181" s="66" t="str"/>
      <x:c r="K181" s="66" t="str">
        <x:v>注册地与办公地不在同一辖区 指私募基金管理人的注册地与办公地不在同一证监会辖区。</x:v>
      </x:c>
      <x:c r="L181" s="66" t="str"/>
      <x:c r="M181" s="66" t="str"/>
      <x:c r="N181" s="66" t="str">
        <x:v>https://gs.amac.org.cn/amac-infodisc/res/pof/manager/101000049573.html</x:v>
      </x:c>
      <x:c r="O181" s="66" t="str">
        <x:v>https://gs.amac.org.cn/amac-infodisc/res/pof/fund/2302271500104378.html</x:v>
      </x:c>
      <x:c r="P181" s="72" t="n">
        <x:v>46281</x:v>
      </x:c>
      <x:c r="Q181" s="66" t="str">
        <x:v>已核验；基金页沿用9月15日公示</x:v>
      </x:c>
      <x:c r="R181" s="66" t="str">
        <x:v>2026-03-02</x:v>
      </x:c>
      <x:c r="S181" s="66" t="str">
        <x:v>2023-02-27</x:v>
      </x:c>
    </x:row>
    <x:row r="182" ht="27" customHeight="1">
      <x:c r="A182" s="66" t="str">
        <x:v>SZV527</x:v>
      </x:c>
      <x:c r="B182" s="66" t="str">
        <x:v>泰创稳增1号</x:v>
      </x:c>
      <x:c r="C182" s="66" t="str">
        <x:v>北京泰创投资</x:v>
      </x:c>
      <x:c r="D182" s="66" t="str">
        <x:v>北京泰创投资管理有限公司</x:v>
      </x:c>
      <x:c r="E182" s="66" t="str">
        <x:v>P1006143</x:v>
      </x:c>
      <x:c r="F182" s="66" t="str">
        <x:v>5-10亿元</x:v>
      </x:c>
      <x:c r="G182" s="66" t="str">
        <x:v>大规模</x:v>
      </x:c>
      <x:c r="H182" s="66" t="str">
        <x:v>本次公示未见相关记录</x:v>
      </x:c>
      <x:c r="I182" s="66" t="str">
        <x:v>管理人层面</x:v>
      </x:c>
      <x:c r="J182" s="66" t="str"/>
      <x:c r="K182" s="66" t="str"/>
      <x:c r="L182" s="66" t="str"/>
      <x:c r="M182" s="66" t="str"/>
      <x:c r="N182" s="66" t="str">
        <x:v>https://gs.amac.org.cn/amac-infodisc/res/pof/manager/101000008864.html</x:v>
      </x:c>
      <x:c r="O182" s="66" t="str">
        <x:v>https://gs.amac.org.cn/amac-infodisc/res/pof/fund/2304172010100805.html</x:v>
      </x:c>
      <x:c r="P182" s="72" t="n">
        <x:v>46281</x:v>
      </x:c>
      <x:c r="Q182" s="66" t="str">
        <x:v>已核验；基金页沿用9月15日公示</x:v>
      </x:c>
      <x:c r="R182" s="66" t="str">
        <x:v>2026-05-12</x:v>
      </x:c>
      <x:c r="S182" s="66" t="str">
        <x:v>2026-06-12</x:v>
      </x:c>
    </x:row>
    <x:row r="183" ht="27" customHeight="1">
      <x:c r="A183" s="66" t="str">
        <x:v>SZF199</x:v>
      </x:c>
      <x:c r="B183" s="66" t="str">
        <x:v>悬铃君享CTA2号</x:v>
      </x:c>
      <x:c r="C183" s="66" t="str">
        <x:v>上海悬铃</x:v>
      </x:c>
      <x:c r="D183" s="66" t="str">
        <x:v>上海悬铃私募基金管理有限公司</x:v>
      </x:c>
      <x:c r="E183" s="66" t="str">
        <x:v>P1064634</x:v>
      </x:c>
      <x:c r="F183" s="66" t="str">
        <x:v>20-50亿元</x:v>
      </x:c>
      <x:c r="G183" s="66" t="str">
        <x:v>大规模</x:v>
      </x:c>
      <x:c r="H183" s="66" t="str">
        <x:v>本次公示未见相关记录</x:v>
      </x:c>
      <x:c r="I183" s="66" t="str">
        <x:v>管理人层面</x:v>
      </x:c>
      <x:c r="J183" s="66" t="str"/>
      <x:c r="K183" s="66" t="str"/>
      <x:c r="L183" s="66" t="str"/>
      <x:c r="M183" s="66" t="str"/>
      <x:c r="N183" s="66" t="str">
        <x:v>https://gs.amac.org.cn/amac-infodisc/res/pof/manager/1701161209103763.html</x:v>
      </x:c>
      <x:c r="O183" s="66" t="str">
        <x:v>https://gs.amac.org.cn/amac-infodisc/res/pof/fund/2304181515102191.html</x:v>
      </x:c>
      <x:c r="P183" s="72" t="n">
        <x:v>46281</x:v>
      </x:c>
      <x:c r="Q183" s="66" t="str">
        <x:v>已核验；基金页沿用9月15日公示</x:v>
      </x:c>
      <x:c r="R183" s="66" t="str">
        <x:v>2026-07-13</x:v>
      </x:c>
      <x:c r="S183" s="66" t="str">
        <x:v>2026-04-28</x:v>
      </x:c>
    </x:row>
    <x:row r="184" ht="27" customHeight="1">
      <x:c r="A184" s="66" t="str">
        <x:v>S09408</x:v>
      </x:c>
      <x:c r="B184" s="66" t="str">
        <x:v>溋沣鸿运来星选1号</x:v>
      </x:c>
      <x:c r="C184" s="66" t="str">
        <x:v>深圳前海溋沣资管</x:v>
      </x:c>
      <x:c r="D184" s="66" t="str">
        <x:v>深圳前海溋沣资本管理有限公司</x:v>
      </x:c>
      <x:c r="E184" s="66" t="str">
        <x:v>P1060526</x:v>
      </x:c>
      <x:c r="F184" s="66" t="str">
        <x:v>0-5亿元</x:v>
      </x:c>
      <x:c r="G184" s="66" t="str">
        <x:v>小规模</x:v>
      </x:c>
      <x:c r="H184" s="66" t="str">
        <x:v>本次公示未见相关记录</x:v>
      </x:c>
      <x:c r="I184" s="66" t="str">
        <x:v>管理人层面</x:v>
      </x:c>
      <x:c r="J184" s="66" t="str"/>
      <x:c r="K184" s="66" t="str"/>
      <x:c r="L184" s="66" t="str"/>
      <x:c r="M184" s="66" t="str"/>
      <x:c r="N184" s="66" t="str">
        <x:v>https://gs.amac.org.cn/amac-infodisc/res/pof/manager/1610131040102006.html</x:v>
      </x:c>
      <x:c r="O184" s="66" t="str">
        <x:v>https://gs.amac.org.cn/amac-infodisc/res/pof/fund/2305191728100615.html</x:v>
      </x:c>
      <x:c r="P184" s="72" t="n">
        <x:v>46281</x:v>
      </x:c>
      <x:c r="Q184" s="66" t="str">
        <x:v>已核验；基金页沿用9月15日公示</x:v>
      </x:c>
      <x:c r="R184" s="66" t="str">
        <x:v>2026-01-06</x:v>
      </x:c>
      <x:c r="S184" s="66" t="str">
        <x:v>2023-05-19</x:v>
      </x:c>
    </x:row>
    <x:row r="185" ht="27" customHeight="1">
      <x:c r="A185" s="66" t="str">
        <x:v>SZR346</x:v>
      </x:c>
      <x:c r="B185" s="66" t="str">
        <x:v>鑫翰启明复合策略三期</x:v>
      </x:c>
      <x:c r="C185" s="66" t="str">
        <x:v>北京鑫翰资管</x:v>
      </x:c>
      <x:c r="D185" s="66" t="str">
        <x:v>北京鑫翰资本管理有限公司</x:v>
      </x:c>
      <x:c r="E185" s="66" t="str">
        <x:v>P1070397</x:v>
      </x:c>
      <x:c r="F185" s="66" t="str">
        <x:v>0-5亿元</x:v>
      </x:c>
      <x:c r="G185" s="66" t="str">
        <x:v>小规模</x:v>
      </x:c>
      <x:c r="H185" s="66" t="str">
        <x:v>本次公示未见相关记录</x:v>
      </x:c>
      <x:c r="I185" s="66" t="str">
        <x:v>管理人层面</x:v>
      </x:c>
      <x:c r="J185" s="66" t="str"/>
      <x:c r="K185" s="66" t="str"/>
      <x:c r="L185" s="66" t="str"/>
      <x:c r="M185" s="66" t="str"/>
      <x:c r="N185" s="66" t="str">
        <x:v>https://gs.amac.org.cn/amac-infodisc/res/pof/manager/1906200947105473.html</x:v>
      </x:c>
      <x:c r="O185" s="66" t="str">
        <x:v>https://gs.amac.org.cn/amac-infodisc/res/pof/fund/2305312045104021.html</x:v>
      </x:c>
      <x:c r="P185" s="72" t="n">
        <x:v>46281</x:v>
      </x:c>
      <x:c r="Q185" s="66" t="str">
        <x:v>已核验；基金页沿用9月15日公示</x:v>
      </x:c>
      <x:c r="R185" s="66" t="str">
        <x:v>2026-04-10</x:v>
      </x:c>
      <x:c r="S185" s="66" t="str">
        <x:v>2024-10-08</x:v>
      </x:c>
    </x:row>
    <x:row r="186" ht="27" customHeight="1">
      <x:c r="A186" s="66" t="str">
        <x:v>SB5534</x:v>
      </x:c>
      <x:c r="B186" s="66" t="str">
        <x:v>金和至信稳健12号</x:v>
      </x:c>
      <x:c r="C186" s="66" t="str">
        <x:v>上海金和晟</x:v>
      </x:c>
      <x:c r="D186" s="66" t="str">
        <x:v>上海金和晟私募基金管理有限公司</x:v>
      </x:c>
      <x:c r="E186" s="66" t="str">
        <x:v>P1071636</x:v>
      </x:c>
      <x:c r="F186" s="66" t="str">
        <x:v>20-50亿元</x:v>
      </x:c>
      <x:c r="G186" s="66" t="str">
        <x:v>大规模</x:v>
      </x:c>
      <x:c r="H186" s="66" t="str">
        <x:v>本次公示未见相关记录</x:v>
      </x:c>
      <x:c r="I186" s="66" t="str">
        <x:v>管理人层面</x:v>
      </x:c>
      <x:c r="J186" s="66" t="str"/>
      <x:c r="K186" s="66" t="str"/>
      <x:c r="L186" s="66" t="str"/>
      <x:c r="M186" s="66" t="str"/>
      <x:c r="N186" s="66" t="str">
        <x:v>https://gs.amac.org.cn/amac-infodisc/res/pof/manager/2010280957108370.html</x:v>
      </x:c>
      <x:c r="O186" s="66" t="str">
        <x:v>https://gs.amac.org.cn/amac-infodisc/res/pof/fund/2308031614104375.html</x:v>
      </x:c>
      <x:c r="P186" s="72" t="n">
        <x:v>46281</x:v>
      </x:c>
      <x:c r="Q186" s="66" t="str">
        <x:v>已核验；基金页沿用9月15日公示</x:v>
      </x:c>
      <x:c r="R186" s="66" t="str">
        <x:v>2026-03-27</x:v>
      </x:c>
      <x:c r="S186" s="66" t="str">
        <x:v>2026-02-26</x:v>
      </x:c>
    </x:row>
    <x:row r="187" ht="27" customHeight="1">
      <x:c r="A187" s="66" t="str">
        <x:v>SB5918</x:v>
      </x:c>
      <x:c r="B187" s="66" t="str">
        <x:v>鸿儒灵活配置2期</x:v>
      </x:c>
      <x:c r="C187" s="66" t="str">
        <x:v>上海鸿儒投资</x:v>
      </x:c>
      <x:c r="D187" s="66" t="str">
        <x:v>上海鸿儒投资管理有限公司</x:v>
      </x:c>
      <x:c r="E187" s="66" t="str">
        <x:v>P1070914</x:v>
      </x:c>
      <x:c r="F187" s="66" t="str">
        <x:v>0-5亿元</x:v>
      </x:c>
      <x:c r="G187" s="66" t="str">
        <x:v>小规模</x:v>
      </x:c>
      <x:c r="H187" s="66" t="str">
        <x:v>协会提示／报送异常</x:v>
      </x:c>
      <x:c r="I187" s="66" t="str">
        <x:v>管理人层面</x:v>
      </x:c>
      <x:c r="J187" s="66" t="str"/>
      <x:c r="K187" s="66" t="str">
        <x:v>注册地与办公地不在同一辖区 指私募基金管理人的注册地与办公地不在同一证监会辖区。</x:v>
      </x:c>
      <x:c r="L187" s="66" t="str"/>
      <x:c r="M187" s="66" t="str"/>
      <x:c r="N187" s="66" t="str">
        <x:v>https://gs.amac.org.cn/amac-infodisc/res/pof/manager/1912121722101881.html</x:v>
      </x:c>
      <x:c r="O187" s="66" t="str">
        <x:v>https://gs.amac.org.cn/amac-infodisc/res/pof/fund/2308031614104654.html</x:v>
      </x:c>
      <x:c r="P187" s="72" t="n">
        <x:v>46281</x:v>
      </x:c>
      <x:c r="Q187" s="66" t="str">
        <x:v>已核验；基金页沿用9月15日公示</x:v>
      </x:c>
      <x:c r="R187" s="66" t="str">
        <x:v>2026-01-30</x:v>
      </x:c>
      <x:c r="S187" s="66" t="str">
        <x:v>2025-05-26</x:v>
      </x:c>
    </x:row>
    <x:row r="188" ht="27" customHeight="1">
      <x:c r="A188" s="66" t="str">
        <x:v>N5169A</x:v>
      </x:c>
      <x:c r="B188" s="66" t="str">
        <x:v>博普跨市场1号A类</x:v>
      </x:c>
      <x:c r="C188" s="66" t="str">
        <x:v>深圳博普科技</x:v>
      </x:c>
      <x:c r="D188" s="66" t="str">
        <x:v>深圳博普科技有限公司</x:v>
      </x:c>
      <x:c r="E188" s="66" t="str">
        <x:v>P1001724</x:v>
      </x:c>
      <x:c r="F188" s="66" t="str">
        <x:v>100亿元以上</x:v>
      </x:c>
      <x:c r="G188" s="66" t="str">
        <x:v>大规模</x:v>
      </x:c>
      <x:c r="H188" s="66" t="str">
        <x:v>本次公示未见相关记录</x:v>
      </x:c>
      <x:c r="I188" s="66" t="str">
        <x:v>管理人层面</x:v>
      </x:c>
      <x:c r="J188" s="66" t="str"/>
      <x:c r="K188" s="66" t="str"/>
      <x:c r="L188" s="66" t="str"/>
      <x:c r="M188" s="66"/>
      <x:c r="N188" s="66" t="str">
        <x:v>https://gs.amac.org.cn/amac-infodisc/res/pof/manager/101000001136.html</x:v>
      </x:c>
      <x:c r="O188" s="66"/>
      <x:c r="P188" s="72" t="n">
        <x:v>46281</x:v>
      </x:c>
      <x:c r="Q188" s="66" t="str">
        <x:v>基金页未匹配，不推断产品规模；基金页沿用9月15日公示</x:v>
      </x:c>
      <x:c r="R188" s="66" t="str">
        <x:v>2023-09-25</x:v>
      </x:c>
      <x:c r="S188" s="66"/>
    </x:row>
    <x:row r="189" ht="27" customHeight="1">
      <x:c r="A189" s="66" t="str">
        <x:v>SAAE31</x:v>
      </x:c>
      <x:c r="B189" s="66" t="str">
        <x:v>东宏启航稳健1号</x:v>
      </x:c>
      <x:c r="C189" s="66" t="str">
        <x:v>北京东宏世家资管</x:v>
      </x:c>
      <x:c r="D189" s="66" t="str">
        <x:v>北京东宏世家资产管理有限公司</x:v>
      </x:c>
      <x:c r="E189" s="66" t="str">
        <x:v>P1020293</x:v>
      </x:c>
      <x:c r="F189" s="66" t="str">
        <x:v>5-10亿元</x:v>
      </x:c>
      <x:c r="G189" s="66" t="str">
        <x:v>大规模</x:v>
      </x:c>
      <x:c r="H189" s="66" t="str">
        <x:v>本次公示未见相关记录</x:v>
      </x:c>
      <x:c r="I189" s="66" t="str">
        <x:v>管理人层面</x:v>
      </x:c>
      <x:c r="J189" s="66" t="str"/>
      <x:c r="K189" s="66" t="str"/>
      <x:c r="L189" s="66" t="str"/>
      <x:c r="M189" s="66" t="str"/>
      <x:c r="N189" s="66" t="str">
        <x:v>https://gs.amac.org.cn/amac-infodisc/res/pof/manager/101000028582.html</x:v>
      </x:c>
      <x:c r="O189" s="66" t="str">
        <x:v>https://gs.amac.org.cn/amac-infodisc/res/pof/fund/2308251717100782.html</x:v>
      </x:c>
      <x:c r="P189" s="72" t="n">
        <x:v>46281</x:v>
      </x:c>
      <x:c r="Q189" s="66" t="str">
        <x:v>已核验；基金页沿用9月15日公示</x:v>
      </x:c>
      <x:c r="R189" s="66" t="str">
        <x:v>2026-05-29</x:v>
      </x:c>
      <x:c r="S189" s="66" t="str">
        <x:v>2026-07-20</x:v>
      </x:c>
    </x:row>
    <x:row r="190" ht="27" customHeight="1">
      <x:c r="A190" s="66" t="str">
        <x:v>SB9576</x:v>
      </x:c>
      <x:c r="B190" s="66" t="str">
        <x:v>慕途基本面量化2号</x:v>
      </x:c>
      <x:c r="C190" s="66" t="str">
        <x:v>慕途基金</x:v>
      </x:c>
      <x:c r="D190" s="66" t="str">
        <x:v>上海慕途私募基金管理有限公司</x:v>
      </x:c>
      <x:c r="E190" s="66" t="str">
        <x:v>P1073298</x:v>
      </x:c>
      <x:c r="F190" s="66" t="str">
        <x:v>10-20亿元</x:v>
      </x:c>
      <x:c r="G190" s="66" t="str">
        <x:v>大规模</x:v>
      </x:c>
      <x:c r="H190" s="66" t="str">
        <x:v>本次公示未见相关记录</x:v>
      </x:c>
      <x:c r="I190" s="66" t="str">
        <x:v>管理人层面</x:v>
      </x:c>
      <x:c r="J190" s="66" t="str"/>
      <x:c r="K190" s="66" t="str"/>
      <x:c r="L190" s="66" t="str"/>
      <x:c r="M190" s="66" t="str"/>
      <x:c r="N190" s="66" t="str">
        <x:v>https://gs.amac.org.cn/amac-infodisc/res/pof/manager/2106221238106983.html</x:v>
      </x:c>
      <x:c r="O190" s="66" t="str">
        <x:v>https://gs.amac.org.cn/amac-infodisc/res/pof/fund/2309061045105511.html</x:v>
      </x:c>
      <x:c r="P190" s="72" t="n">
        <x:v>46281</x:v>
      </x:c>
      <x:c r="Q190" s="66" t="str">
        <x:v>已核验；基金页沿用9月15日公示</x:v>
      </x:c>
      <x:c r="R190" s="66" t="str">
        <x:v>2026-06-12</x:v>
      </x:c>
      <x:c r="S190" s="66" t="str">
        <x:v>2026-07-22</x:v>
      </x:c>
    </x:row>
    <x:row r="191" ht="27" customHeight="1">
      <x:c r="A191" s="66" t="str">
        <x:v>XN023A</x:v>
      </x:c>
      <x:c r="B191" s="66" t="str">
        <x:v>兆信股指期货期权套利1号A类</x:v>
      </x:c>
      <x:c r="C191" s="66" t="str">
        <x:v>江苏兆信</x:v>
      </x:c>
      <x:c r="D191" s="66" t="str">
        <x:v>江苏兆信私募基金管理有限公司</x:v>
      </x:c>
      <x:c r="E191" s="66" t="str">
        <x:v>P1001740</x:v>
      </x:c>
      <x:c r="F191" s="66" t="str">
        <x:v>20-50亿元</x:v>
      </x:c>
      <x:c r="G191" s="66" t="str">
        <x:v>大规模</x:v>
      </x:c>
      <x:c r="H191" s="66" t="str">
        <x:v>本次公示未见相关记录</x:v>
      </x:c>
      <x:c r="I191" s="66" t="str">
        <x:v>管理人层面</x:v>
      </x:c>
      <x:c r="J191" s="66" t="str"/>
      <x:c r="K191" s="66" t="str"/>
      <x:c r="L191" s="66" t="str"/>
      <x:c r="M191" s="66"/>
      <x:c r="N191" s="66" t="str">
        <x:v>https://gs.amac.org.cn/amac-infodisc/res/pof/manager/101000002312.html</x:v>
      </x:c>
      <x:c r="O191" s="66"/>
      <x:c r="P191" s="72" t="n">
        <x:v>46281</x:v>
      </x:c>
      <x:c r="Q191" s="66" t="str">
        <x:v>基金页未匹配，不推断产品规模；基金页沿用9月15日公示</x:v>
      </x:c>
      <x:c r="R191" s="66" t="str">
        <x:v>2026-04-17</x:v>
      </x:c>
      <x:c r="S191" s="66"/>
    </x:row>
    <x:row r="192" ht="27" customHeight="1">
      <x:c r="A192" s="66" t="str">
        <x:v>09408B</x:v>
      </x:c>
      <x:c r="B192" s="66" t="str">
        <x:v>溋沣鸿运来星选1号B类</x:v>
      </x:c>
      <x:c r="C192" s="66" t="str">
        <x:v>深圳前海溋沣资管</x:v>
      </x:c>
      <x:c r="D192" s="66" t="str">
        <x:v>深圳前海溋沣资本管理有限公司</x:v>
      </x:c>
      <x:c r="E192" s="66" t="str">
        <x:v>P1060526</x:v>
      </x:c>
      <x:c r="F192" s="66" t="str">
        <x:v>0-5亿元</x:v>
      </x:c>
      <x:c r="G192" s="66" t="str">
        <x:v>小规模</x:v>
      </x:c>
      <x:c r="H192" s="66" t="str">
        <x:v>本次公示未见相关记录</x:v>
      </x:c>
      <x:c r="I192" s="66" t="str">
        <x:v>管理人层面</x:v>
      </x:c>
      <x:c r="J192" s="66" t="str"/>
      <x:c r="K192" s="66" t="str"/>
      <x:c r="L192" s="66" t="str"/>
      <x:c r="M192" s="66"/>
      <x:c r="N192" s="66" t="str">
        <x:v>https://gs.amac.org.cn/amac-infodisc/res/pof/manager/1610131040102006.html</x:v>
      </x:c>
      <x:c r="O192" s="66"/>
      <x:c r="P192" s="72" t="n">
        <x:v>46281</x:v>
      </x:c>
      <x:c r="Q192" s="66" t="str">
        <x:v>基金页未匹配，不推断产品规模；基金页沿用9月15日公示</x:v>
      </x:c>
      <x:c r="R192" s="66" t="str">
        <x:v>2026-01-06</x:v>
      </x:c>
      <x:c r="S192" s="66"/>
    </x:row>
    <x:row r="193" ht="27" customHeight="1">
      <x:c r="A193" s="66" t="str">
        <x:v>XW818A</x:v>
      </x:c>
      <x:c r="B193" s="66" t="str">
        <x:v>岳鑫遥3号A类</x:v>
      </x:c>
      <x:c r="C193" s="66" t="str">
        <x:v>北京岳鑫遥</x:v>
      </x:c>
      <x:c r="D193" s="66" t="str">
        <x:v>岳鑫遥（北京）私募基金管理有限公司</x:v>
      </x:c>
      <x:c r="E193" s="66" t="str">
        <x:v>P1073901</x:v>
      </x:c>
      <x:c r="F193" s="66" t="str">
        <x:v>5-10亿元</x:v>
      </x:c>
      <x:c r="G193" s="66" t="str">
        <x:v>大规模</x:v>
      </x:c>
      <x:c r="H193" s="66" t="str">
        <x:v>协会提示／报送异常</x:v>
      </x:c>
      <x:c r="I193" s="66" t="str">
        <x:v>管理人层面</x:v>
      </x:c>
      <x:c r="J193" s="66" t="str">
        <x:v>信息报送异常 异常原因： 未按要求进行产品更新或重大事项更新累计2次及以上（资产管理业务综合报送平台相关信息更新事宜）（本异常机构公示情形已整改）； 未按要求进行产品更新或重大事项更新累计2次及以上（私募基金信息披露备份系统相关信息披露报告备份事宜）（本异常机构公示情形已整改）</x:v>
      </x:c>
      <x:c r="K193" s="66" t="str"/>
      <x:c r="L193" s="66" t="str"/>
      <x:c r="M193" s="66"/>
      <x:c r="N193" s="66" t="str">
        <x:v>https://gs.amac.org.cn/amac-infodisc/res/pof/manager/2207041830121644.html</x:v>
      </x:c>
      <x:c r="O193" s="66"/>
      <x:c r="P193" s="72" t="n">
        <x:v>46281</x:v>
      </x:c>
      <x:c r="Q193" s="66" t="str">
        <x:v>基金页未匹配，不推断产品规模；基金页沿用9月15日公示</x:v>
      </x:c>
      <x:c r="R193" s="66" t="str">
        <x:v>2026-05-07</x:v>
      </x:c>
      <x:c r="S193" s="66"/>
    </x:row>
    <x:row r="194" ht="27" customHeight="1">
      <x:c r="A194" s="66" t="str">
        <x:v>QG026B</x:v>
      </x:c>
      <x:c r="B194" s="66" t="str">
        <x:v>惠隆金选套利1号B类</x:v>
      </x:c>
      <x:c r="C194" s="66" t="str">
        <x:v>北京惠隆资管</x:v>
      </x:c>
      <x:c r="D194" s="66" t="str">
        <x:v>北京惠隆资本管理有限责任公司</x:v>
      </x:c>
      <x:c r="E194" s="66" t="str">
        <x:v>P1062865</x:v>
      </x:c>
      <x:c r="F194" s="66" t="str">
        <x:v>10-20亿元</x:v>
      </x:c>
      <x:c r="G194" s="66" t="str">
        <x:v>大规模</x:v>
      </x:c>
      <x:c r="H194" s="66" t="str">
        <x:v>协会提示／报送异常</x:v>
      </x:c>
      <x:c r="I194" s="66" t="str">
        <x:v>管理人层面</x:v>
      </x:c>
      <x:c r="J194" s="66" t="str"/>
      <x:c r="K194" s="66" t="str">
        <x:v>存在长期处于清算状态基金 指私募基金管理人存在提交清算开始后超过6个月未完成清算的私募基金。</x:v>
      </x:c>
      <x:c r="L194" s="66" t="str"/>
      <x:c r="M194" s="66"/>
      <x:c r="N194" s="66" t="str">
        <x:v>https://gs.amac.org.cn/amac-infodisc/res/pof/manager/1705031716108118.html</x:v>
      </x:c>
      <x:c r="O194" s="66"/>
      <x:c r="P194" s="72" t="n">
        <x:v>46281</x:v>
      </x:c>
      <x:c r="Q194" s="66" t="str">
        <x:v>基金页未匹配，不推断产品规模；基金页沿用9月15日公示</x:v>
      </x:c>
      <x:c r="R194" s="66" t="str">
        <x:v>2026-08-14</x:v>
      </x:c>
      <x:c r="S194" s="66"/>
    </x:row>
    <x:row r="195" ht="27" customHeight="1">
      <x:c r="A195" s="66" t="str">
        <x:v>TW239A</x:v>
      </x:c>
      <x:c r="B195" s="66" t="str">
        <x:v>庄贤亨贞期权对冲A类</x:v>
      </x:c>
      <x:c r="C195" s="66" t="str">
        <x:v>杭州庄贤投资</x:v>
      </x:c>
      <x:c r="D195" s="66" t="str">
        <x:v>杭州庄贤投资管理合伙企业（有限合伙）</x:v>
      </x:c>
      <x:c r="E195" s="66" t="str">
        <x:v>P1063460</x:v>
      </x:c>
      <x:c r="F195" s="66" t="str">
        <x:v>20-50亿元</x:v>
      </x:c>
      <x:c r="G195" s="66" t="str">
        <x:v>大规模</x:v>
      </x:c>
      <x:c r="H195" s="66" t="str">
        <x:v>本次公示未见相关记录</x:v>
      </x:c>
      <x:c r="I195" s="66" t="str">
        <x:v>管理人层面</x:v>
      </x:c>
      <x:c r="J195" s="66" t="str"/>
      <x:c r="K195" s="66" t="str"/>
      <x:c r="L195" s="66" t="str"/>
      <x:c r="M195" s="66"/>
      <x:c r="N195" s="66" t="str">
        <x:v>https://gs.amac.org.cn/amac-infodisc/res/pof/manager/1703280912100590.html</x:v>
      </x:c>
      <x:c r="O195" s="66"/>
      <x:c r="P195" s="72" t="n">
        <x:v>46281</x:v>
      </x:c>
      <x:c r="Q195" s="66" t="str">
        <x:v>基金页未匹配，不推断产品规模；基金页沿用9月15日公示</x:v>
      </x:c>
      <x:c r="R195" s="66" t="str">
        <x:v>2026-08-10</x:v>
      </x:c>
      <x:c r="S195" s="66"/>
    </x:row>
    <x:row r="196" ht="27" customHeight="1">
      <x:c r="A196" s="66" t="str">
        <x:v>B2690A</x:v>
      </x:c>
      <x:c r="B196" s="66" t="str">
        <x:v>展弘优选套利运作1号A类</x:v>
      </x:c>
      <x:c r="C196" s="66" t="str">
        <x:v>上海展弘投资</x:v>
      </x:c>
      <x:c r="D196" s="66" t="str">
        <x:v>上海展弘投资管理有限公司</x:v>
      </x:c>
      <x:c r="E196" s="66" t="str">
        <x:v>P1015638</x:v>
      </x:c>
      <x:c r="F196" s="66" t="str">
        <x:v>100亿元以上</x:v>
      </x:c>
      <x:c r="G196" s="66" t="str">
        <x:v>大规模</x:v>
      </x:c>
      <x:c r="H196" s="66" t="str">
        <x:v>本次公示未见相关记录</x:v>
      </x:c>
      <x:c r="I196" s="66" t="str">
        <x:v>管理人层面</x:v>
      </x:c>
      <x:c r="J196" s="66" t="str"/>
      <x:c r="K196" s="66" t="str"/>
      <x:c r="L196" s="66" t="str"/>
      <x:c r="M196" s="66"/>
      <x:c r="N196" s="66" t="str">
        <x:v>https://gs.amac.org.cn/amac-infodisc/res/pof/manager/101000019470.html</x:v>
      </x:c>
      <x:c r="O196" s="66"/>
      <x:c r="P196" s="72" t="n">
        <x:v>46281</x:v>
      </x:c>
      <x:c r="Q196" s="66" t="str">
        <x:v>基金页未匹配，不推断产品规模；基金页沿用9月15日公示</x:v>
      </x:c>
      <x:c r="R196" s="66" t="str">
        <x:v>2025-10-24</x:v>
      </x:c>
      <x:c r="S196" s="66"/>
    </x:row>
    <x:row r="197" ht="27" customHeight="1">
      <x:c r="A197" s="66" t="str">
        <x:v>XU720A</x:v>
      </x:c>
      <x:c r="B197" s="66" t="str">
        <x:v>鸿熵天然1号A类</x:v>
      </x:c>
      <x:c r="C197" s="66" t="str">
        <x:v>北京鸿熵</x:v>
      </x:c>
      <x:c r="D197" s="66" t="str">
        <x:v>北京鸿熵私募基金管理有限公司</x:v>
      </x:c>
      <x:c r="E197" s="66" t="str">
        <x:v>P1008413</x:v>
      </x:c>
      <x:c r="F197" s="66" t="str">
        <x:v>0-5亿元</x:v>
      </x:c>
      <x:c r="G197" s="66" t="str">
        <x:v>小规模</x:v>
      </x:c>
      <x:c r="H197" s="66" t="str">
        <x:v>本次公示未见相关记录</x:v>
      </x:c>
      <x:c r="I197" s="66" t="str">
        <x:v>管理人层面</x:v>
      </x:c>
      <x:c r="J197" s="66" t="str"/>
      <x:c r="K197" s="66" t="str"/>
      <x:c r="L197" s="66" t="str"/>
      <x:c r="M197" s="66"/>
      <x:c r="N197" s="66" t="str">
        <x:v>https://gs.amac.org.cn/amac-infodisc/res/pof/manager/101000011345.html</x:v>
      </x:c>
      <x:c r="O197" s="66"/>
      <x:c r="P197" s="72" t="n">
        <x:v>46281</x:v>
      </x:c>
      <x:c r="Q197" s="66" t="str">
        <x:v>基金页未匹配，不推断产品规模；基金页沿用9月15日公示</x:v>
      </x:c>
      <x:c r="R197" s="66" t="str">
        <x:v>2025-05-13</x:v>
      </x:c>
      <x:c r="S197" s="66"/>
    </x:row>
    <x:row r="198" ht="27" customHeight="1">
      <x:c r="A198" s="66" t="str">
        <x:v>XW399B</x:v>
      </x:c>
      <x:c r="B198" s="66" t="str">
        <x:v>乘舟紫荆1号B类</x:v>
      </x:c>
      <x:c r="C198" s="66" t="str">
        <x:v>上海乘舟投资</x:v>
      </x:c>
      <x:c r="D198" s="66" t="str">
        <x:v>上海乘舟投资管理有限公司</x:v>
      </x:c>
      <x:c r="E198" s="66" t="str">
        <x:v>P1070907</x:v>
      </x:c>
      <x:c r="F198" s="66" t="str">
        <x:v>5-10亿元</x:v>
      </x:c>
      <x:c r="G198" s="66" t="str">
        <x:v>大规模</x:v>
      </x:c>
      <x:c r="H198" s="66" t="str">
        <x:v>本次公示未见相关记录</x:v>
      </x:c>
      <x:c r="I198" s="66" t="str">
        <x:v>管理人层面</x:v>
      </x:c>
      <x:c r="J198" s="66" t="str"/>
      <x:c r="K198" s="66" t="str"/>
      <x:c r="L198" s="66" t="str"/>
      <x:c r="M198" s="66"/>
      <x:c r="N198" s="66" t="str">
        <x:v>https://gs.amac.org.cn/amac-infodisc/res/pof/manager/2003191500102072.html</x:v>
      </x:c>
      <x:c r="O198" s="66"/>
      <x:c r="P198" s="72" t="n">
        <x:v>46281</x:v>
      </x:c>
      <x:c r="Q198" s="66" t="str">
        <x:v>基金页未匹配，不推断产品规模；基金页沿用9月15日公示</x:v>
      </x:c>
      <x:c r="R198" s="66" t="str">
        <x:v>2026-07-21</x:v>
      </x:c>
      <x:c r="S198" s="66"/>
    </x:row>
    <x:row r="199" ht="27" customHeight="1">
      <x:c r="A199" s="66" t="str">
        <x:v>W7191A</x:v>
      </x:c>
      <x:c r="B199" s="66" t="str">
        <x:v>博普稳增3号A类</x:v>
      </x:c>
      <x:c r="C199" s="66" t="str">
        <x:v>深圳博普科技</x:v>
      </x:c>
      <x:c r="D199" s="66" t="str">
        <x:v>深圳博普科技有限公司</x:v>
      </x:c>
      <x:c r="E199" s="66" t="str">
        <x:v>P1001724</x:v>
      </x:c>
      <x:c r="F199" s="66" t="str">
        <x:v>100亿元以上</x:v>
      </x:c>
      <x:c r="G199" s="66" t="str">
        <x:v>大规模</x:v>
      </x:c>
      <x:c r="H199" s="66" t="str">
        <x:v>本次公示未见相关记录</x:v>
      </x:c>
      <x:c r="I199" s="66" t="str">
        <x:v>管理人层面</x:v>
      </x:c>
      <x:c r="J199" s="66" t="str"/>
      <x:c r="K199" s="66" t="str"/>
      <x:c r="L199" s="66" t="str"/>
      <x:c r="M199" s="66"/>
      <x:c r="N199" s="66" t="str">
        <x:v>https://gs.amac.org.cn/amac-infodisc/res/pof/manager/101000001136.html</x:v>
      </x:c>
      <x:c r="O199" s="66"/>
      <x:c r="P199" s="72" t="n">
        <x:v>46281</x:v>
      </x:c>
      <x:c r="Q199" s="66" t="str">
        <x:v>基金页未匹配，不推断产品规模；基金页沿用9月15日公示</x:v>
      </x:c>
      <x:c r="R199" s="66" t="str">
        <x:v>2023-09-25</x:v>
      </x:c>
      <x:c r="S199" s="66"/>
    </x:row>
    <x:row r="200" ht="27" customHeight="1">
      <x:c r="A200" s="66" t="str">
        <x:v>VY984A</x:v>
      </x:c>
      <x:c r="B200" s="66" t="str">
        <x:v>守正卓越一号A类</x:v>
      </x:c>
      <x:c r="C200" s="66" t="str">
        <x:v>山东守正</x:v>
      </x:c>
      <x:c r="D200" s="66" t="str">
        <x:v>山东守正私募基金管理有限公司</x:v>
      </x:c>
      <x:c r="E200" s="66" t="str">
        <x:v>P1073424</x:v>
      </x:c>
      <x:c r="F200" s="66" t="str">
        <x:v>0-5亿元</x:v>
      </x:c>
      <x:c r="G200" s="66" t="str">
        <x:v>小规模</x:v>
      </x:c>
      <x:c r="H200" s="66" t="str">
        <x:v>协会提示／报送异常</x:v>
      </x:c>
      <x:c r="I200" s="66" t="str">
        <x:v>管理人层面</x:v>
      </x:c>
      <x:c r="J200" s="66" t="str"/>
      <x:c r="K200" s="66" t="str">
        <x:v>注册地与办公地不在同一辖区 指私募基金管理人的注册地与办公地不在同一证监会辖区。 存在长期处于清算状态基金 指私募基金管理人存在提交清算开始后超过6个月未完成清算的私募基金。</x:v>
      </x:c>
      <x:c r="L200" s="66" t="str"/>
      <x:c r="M200" s="66"/>
      <x:c r="N200" s="66" t="str">
        <x:v>https://gs.amac.org.cn/amac-infodisc/res/pof/manager/2111241907106834.html</x:v>
      </x:c>
      <x:c r="O200" s="66"/>
      <x:c r="P200" s="72" t="n">
        <x:v>46281</x:v>
      </x:c>
      <x:c r="Q200" s="66" t="str">
        <x:v>基金页未匹配，不推断产品规模；基金页沿用9月15日公示</x:v>
      </x:c>
      <x:c r="R200" s="66" t="str">
        <x:v>2023-07-31</x:v>
      </x:c>
      <x:c r="S200" s="66"/>
    </x:row>
    <x:row r="201" ht="27" customHeight="1">
      <x:c r="A201" s="66" t="str">
        <x:v>JG287A</x:v>
      </x:c>
      <x:c r="B201" s="66" t="str">
        <x:v>和熙新月1号A类</x:v>
      </x:c>
      <x:c r="C201" s="66" t="str">
        <x:v>浙江和熙资管</x:v>
      </x:c>
      <x:c r="D201" s="66" t="str">
        <x:v>浙江和熙资产管理有限公司</x:v>
      </x:c>
      <x:c r="E201" s="66" t="str">
        <x:v>P1033444</x:v>
      </x:c>
      <x:c r="F201" s="66" t="str">
        <x:v>5-10亿元</x:v>
      </x:c>
      <x:c r="G201" s="66" t="str">
        <x:v>大规模</x:v>
      </x:c>
      <x:c r="H201" s="66" t="str">
        <x:v>协会提示／报送异常</x:v>
      </x:c>
      <x:c r="I201" s="66" t="str">
        <x:v>管理人层面</x:v>
      </x:c>
      <x:c r="J201" s="66" t="str">
        <x:v>信息报送异常 异常原因： 未按要求按时提交经审计的年度财务报告（本异常机构公示情形已整改）</x:v>
      </x:c>
      <x:c r="K201" s="66" t="str"/>
      <x:c r="L201" s="66" t="str"/>
      <x:c r="M201" s="66"/>
      <x:c r="N201" s="66" t="str">
        <x:v>https://gs.amac.org.cn/amac-infodisc/res/pof/manager/101000072213.html</x:v>
      </x:c>
      <x:c r="O201" s="66"/>
      <x:c r="P201" s="72" t="n">
        <x:v>46281</x:v>
      </x:c>
      <x:c r="Q201" s="66" t="str">
        <x:v>基金页未匹配，不推断产品规模；基金页沿用9月15日公示</x:v>
      </x:c>
      <x:c r="R201" s="66" t="str">
        <x:v>2026-02-10</x:v>
      </x:c>
      <x:c r="S201" s="66"/>
    </x:row>
    <x:row r="202" ht="27" customHeight="1">
      <x:c r="A202" s="66" t="str">
        <x:v>SQH214</x:v>
      </x:c>
      <x:c r="B202" s="66" t="str">
        <x:v>常行7号</x:v>
      </x:c>
      <x:c r="C202" s="66" t="str">
        <x:v>江苏常行投资</x:v>
      </x:c>
      <x:c r="D202" s="66" t="str">
        <x:v>江苏常行投资管理有限公司</x:v>
      </x:c>
      <x:c r="E202" s="66" t="str">
        <x:v>P1021817</x:v>
      </x:c>
      <x:c r="F202" s="66" t="str">
        <x:v>5-10亿元</x:v>
      </x:c>
      <x:c r="G202" s="66" t="str">
        <x:v>大规模</x:v>
      </x:c>
      <x:c r="H202" s="66" t="str">
        <x:v>本次公示未见相关记录</x:v>
      </x:c>
      <x:c r="I202" s="66" t="str">
        <x:v>管理人层面</x:v>
      </x:c>
      <x:c r="J202" s="66" t="str"/>
      <x:c r="K202" s="66" t="str"/>
      <x:c r="L202" s="66" t="str"/>
      <x:c r="M202" s="66" t="str"/>
      <x:c r="N202" s="66" t="str">
        <x:v>https://gs.amac.org.cn/amac-infodisc/res/pof/manager/101000022360.html</x:v>
      </x:c>
      <x:c r="O202" s="66" t="str">
        <x:v>https://gs.amac.org.cn/amac-infodisc/res/pof/fund/2104131319108374.html</x:v>
      </x:c>
      <x:c r="P202" s="72" t="n">
        <x:v>46281</x:v>
      </x:c>
      <x:c r="Q202" s="66" t="str">
        <x:v>已核验；基金页本次核验</x:v>
      </x:c>
      <x:c r="R202" s="66" t="str">
        <x:v>2026-01-28</x:v>
      </x:c>
      <x:c r="S202" s="66" t="str">
        <x:v>2026-07-28</x:v>
      </x:c>
    </x:row>
    <x:row r="203" ht="27" customHeight="1">
      <x:c r="A203" s="66" t="str">
        <x:v>SQD620</x:v>
      </x:c>
      <x:c r="B203" s="66" t="str">
        <x:v>深度梦扬量化套利0号</x:v>
      </x:c>
      <x:c r="C203" s="66" t="str">
        <x:v>杭州深度资管</x:v>
      </x:c>
      <x:c r="D203" s="66" t="str">
        <x:v>杭州深度资产管理有限公司</x:v>
      </x:c>
      <x:c r="E203" s="66" t="str">
        <x:v>P1065452</x:v>
      </x:c>
      <x:c r="F203" s="66" t="str">
        <x:v>10-20亿元</x:v>
      </x:c>
      <x:c r="G203" s="66" t="str">
        <x:v>大规模</x:v>
      </x:c>
      <x:c r="H203" s="66" t="str">
        <x:v>本次公示未见相关记录</x:v>
      </x:c>
      <x:c r="I203" s="66" t="str">
        <x:v>管理人层面</x:v>
      </x:c>
      <x:c r="J203" s="66" t="str"/>
      <x:c r="K203" s="66" t="str"/>
      <x:c r="L203" s="66" t="str"/>
      <x:c r="M203" s="66" t="str"/>
      <x:c r="N203" s="66" t="str">
        <x:v>https://gs.amac.org.cn/amac-infodisc/res/pof/manager/1703210938100205.html</x:v>
      </x:c>
      <x:c r="O203" s="66" t="str">
        <x:v>https://gs.amac.org.cn/amac-infodisc/res/pof/fund/2104230845102170.html</x:v>
      </x:c>
      <x:c r="P203" s="72" t="n">
        <x:v>46281</x:v>
      </x:c>
      <x:c r="Q203" s="66" t="str">
        <x:v>已核验；基金页本次核验</x:v>
      </x:c>
      <x:c r="R203" s="66" t="str">
        <x:v>2026-04-21</x:v>
      </x:c>
      <x:c r="S203" s="66" t="str">
        <x:v>2025-04-23</x:v>
      </x:c>
    </x:row>
    <x:row r="204" ht="27" customHeight="1">
      <x:c r="A204" s="66" t="str">
        <x:v>SXL267</x:v>
      </x:c>
      <x:c r="B204" s="66" t="str">
        <x:v>滨风风云瑞丰1号</x:v>
      </x:c>
      <x:c r="C204" s="66" t="str">
        <x:v>鹰潭滨风投资</x:v>
      </x:c>
      <x:c r="D204" s="66" t="str">
        <x:v>鹰潭滨风投资管理有限公司</x:v>
      </x:c>
      <x:c r="E204" s="66" t="str">
        <x:v>P1067981</x:v>
      </x:c>
      <x:c r="F204" s="66" t="str">
        <x:v>5-10亿元</x:v>
      </x:c>
      <x:c r="G204" s="66" t="str">
        <x:v>大规模</x:v>
      </x:c>
      <x:c r="H204" s="66" t="str">
        <x:v>本次公示未见相关记录</x:v>
      </x:c>
      <x:c r="I204" s="66" t="str">
        <x:v>管理人层面</x:v>
      </x:c>
      <x:c r="J204" s="66" t="str"/>
      <x:c r="K204" s="66" t="str"/>
      <x:c r="L204" s="66" t="str"/>
      <x:c r="M204" s="66" t="str"/>
      <x:c r="N204" s="66" t="str">
        <x:v>https://gs.amac.org.cn/amac-infodisc/res/pof/manager/1801301704109241.html</x:v>
      </x:c>
      <x:c r="O204" s="66" t="str">
        <x:v>https://gs.amac.org.cn/amac-infodisc/res/pof/fund/2212071732101603.html</x:v>
      </x:c>
      <x:c r="P204" s="72" t="n">
        <x:v>46281</x:v>
      </x:c>
      <x:c r="Q204" s="66" t="str">
        <x:v>已核验；基金页本次核验</x:v>
      </x:c>
      <x:c r="R204" s="66" t="str">
        <x:v>2025-08-06</x:v>
      </x:c>
      <x:c r="S204" s="66" t="str">
        <x:v>2024-11-06</x:v>
      </x:c>
    </x:row>
    <x:row r="205">
      <x:c r="A205"/>
      <x:c r="B205"/>
      <x:c r="C205"/>
      <x:c r="D205"/>
      <x:c r="E205"/>
      <x:c r="F205"/>
      <x:c r="G205"/>
      <x:c r="H205"/>
      <x:c r="I205"/>
      <x:c r="J205"/>
      <x:c r="K205"/>
    </x:row>
    <x:row r="206">
      <x:c r="A206"/>
      <x:c r="B206"/>
      <x:c r="C206"/>
      <x:c r="D206"/>
      <x:c r="E206"/>
      <x:c r="F206"/>
      <x:c r="G206"/>
      <x:c r="H206"/>
      <x:c r="I206"/>
      <x:c r="J206"/>
      <x:c r="K206"/>
    </x:row>
    <x:row r="207">
      <x:c r="A207"/>
      <x:c r="B207"/>
      <x:c r="C207"/>
      <x:c r="D207"/>
      <x:c r="E207"/>
      <x:c r="F207"/>
      <x:c r="G207"/>
      <x:c r="H207"/>
      <x:c r="I207"/>
      <x:c r="J207"/>
      <x:c r="K207"/>
    </x:row>
    <x:row r="208">
      <x:c r="A208"/>
      <x:c r="B208"/>
      <x:c r="C208"/>
      <x:c r="D208"/>
      <x:c r="E208"/>
      <x:c r="F208"/>
      <x:c r="G208"/>
      <x:c r="H208"/>
      <x:c r="I208"/>
      <x:c r="J208"/>
      <x:c r="K208"/>
    </x:row>
    <x:row r="209">
      <x:c r="A209"/>
      <x:c r="B209"/>
      <x:c r="C209"/>
      <x:c r="D209"/>
      <x:c r="E209"/>
      <x:c r="F209"/>
      <x:c r="G209"/>
      <x:c r="H209"/>
      <x:c r="I209"/>
      <x:c r="J209"/>
      <x:c r="K209"/>
    </x:row>
    <x:row r="210">
      <x:c r="A210"/>
      <x:c r="B210"/>
      <x:c r="C210"/>
      <x:c r="D210"/>
      <x:c r="E210"/>
      <x:c r="F210"/>
      <x:c r="G210"/>
      <x:c r="H210"/>
      <x:c r="I210"/>
      <x:c r="K210"/>
    </x:row>
    <x:row r="211">
      <x:c r="A211"/>
      <x:c r="B211"/>
      <x:c r="C211"/>
      <x:c r="D211"/>
      <x:c r="E211"/>
      <x:c r="F211"/>
      <x:c r="G211"/>
      <x:c r="H211"/>
      <x:c r="I211"/>
      <x:c r="J211"/>
      <x:c r="K211"/>
    </x:row>
    <x:row r="212">
      <x:c r="A212"/>
      <x:c r="B212"/>
      <x:c r="C212"/>
      <x:c r="D212"/>
      <x:c r="E212"/>
      <x:c r="F212"/>
      <x:c r="G212"/>
      <x:c r="H212"/>
      <x:c r="I212"/>
      <x:c r="J212"/>
      <x:c r="K212"/>
    </x:row>
    <x:row r="213">
      <x:c r="A213"/>
      <x:c r="B213"/>
      <x:c r="C213"/>
      <x:c r="D213"/>
      <x:c r="E213"/>
      <x:c r="F213"/>
      <x:c r="G213"/>
      <x:c r="H213"/>
      <x:c r="I213"/>
      <x:c r="J213"/>
      <x:c r="K213"/>
    </x:row>
    <x:row r="214">
      <x:c r="A214"/>
      <x:c r="B214"/>
      <x:c r="C214"/>
      <x:c r="D214"/>
      <x:c r="E214"/>
      <x:c r="F214"/>
      <x:c r="G214"/>
      <x:c r="H214"/>
      <x:c r="I214"/>
      <x:c r="J214"/>
      <x:c r="K214"/>
    </x:row>
    <x:row r="215">
      <x:c r="A215"/>
      <x:c r="B215"/>
      <x:c r="C215"/>
      <x:c r="D215"/>
      <x:c r="E215"/>
      <x:c r="F215"/>
      <x:c r="G215"/>
      <x:c r="H215"/>
      <x:c r="I215"/>
      <x:c r="J215"/>
      <x:c r="K215"/>
    </x:row>
    <x:row r="216">
      <x:c r="A216"/>
      <x:c r="B216"/>
      <x:c r="C216"/>
      <x:c r="D216"/>
      <x:c r="E216"/>
      <x:c r="F216"/>
      <x:c r="G216"/>
      <x:c r="H216"/>
      <x:c r="I216"/>
      <x:c r="J216"/>
      <x:c r="K216"/>
    </x:row>
    <x:row r="217">
      <x:c r="A217"/>
      <x:c r="B217"/>
      <x:c r="C217"/>
      <x:c r="D217"/>
      <x:c r="E217"/>
      <x:c r="F217"/>
      <x:c r="G217"/>
      <x:c r="H217"/>
      <x:c r="I217"/>
      <x:c r="J217"/>
      <x:c r="K217"/>
    </x:row>
    <x:row r="218">
      <x:c r="A218"/>
      <x:c r="B218"/>
      <x:c r="C218"/>
      <x:c r="D218"/>
      <x:c r="E218"/>
      <x:c r="F218"/>
      <x:c r="G218"/>
      <x:c r="H218"/>
      <x:c r="I218"/>
      <x:c r="J218"/>
      <x:c r="K218"/>
    </x:row>
    <x:row r="219">
      <x:c r="A219"/>
      <x:c r="B219"/>
      <x:c r="C219"/>
      <x:c r="D219"/>
      <x:c r="E219"/>
      <x:c r="F219"/>
      <x:c r="G219"/>
      <x:c r="H219"/>
      <x:c r="I219"/>
      <x:c r="J219"/>
      <x:c r="K219"/>
    </x:row>
    <x:row r="220">
      <x:c r="A220"/>
      <x:c r="B220"/>
      <x:c r="C220"/>
      <x:c r="D220"/>
      <x:c r="E220"/>
      <x:c r="F220"/>
      <x:c r="G220"/>
      <x:c r="H220"/>
      <x:c r="I220"/>
      <x:c r="J220"/>
      <x:c r="K220"/>
    </x:row>
    <x:row r="221">
      <x:c r="A221"/>
      <x:c r="B221"/>
      <x:c r="C221"/>
      <x:c r="D221"/>
      <x:c r="E221"/>
      <x:c r="F221"/>
      <x:c r="G221"/>
      <x:c r="H221"/>
      <x:c r="I221"/>
      <x:c r="J221"/>
      <x:c r="K221"/>
    </x:row>
    <x:row r="222">
      <x:c r="A222"/>
      <x:c r="B222"/>
      <x:c r="C222"/>
      <x:c r="D222"/>
      <x:c r="E222"/>
      <x:c r="F222"/>
      <x:c r="G222"/>
      <x:c r="H222"/>
      <x:c r="I222"/>
      <x:c r="J222"/>
      <x:c r="K222"/>
    </x:row>
    <x:row r="223">
      <x:c r="A223"/>
      <x:c r="B223"/>
      <x:c r="C223"/>
      <x:c r="D223"/>
      <x:c r="E223"/>
      <x:c r="F223"/>
      <x:c r="G223"/>
      <x:c r="H223"/>
      <x:c r="I223"/>
      <x:c r="K223"/>
    </x:row>
    <x:row r="224">
      <x:c r="A224"/>
      <x:c r="B224"/>
      <x:c r="C224"/>
      <x:c r="D224"/>
      <x:c r="E224"/>
      <x:c r="F224"/>
      <x:c r="G224"/>
      <x:c r="H224"/>
      <x:c r="I224"/>
      <x:c r="J224"/>
      <x:c r="K224"/>
    </x:row>
    <x:row r="225">
      <x:c r="A225"/>
      <x:c r="B225"/>
      <x:c r="C225"/>
      <x:c r="D225"/>
      <x:c r="E225"/>
      <x:c r="F225"/>
      <x:c r="G225"/>
      <x:c r="H225"/>
      <x:c r="I225"/>
      <x:c r="J225"/>
      <x:c r="K225"/>
    </x:row>
    <x:row r="226">
      <x:c r="A226"/>
      <x:c r="B226"/>
      <x:c r="C226"/>
      <x:c r="D226"/>
      <x:c r="E226"/>
      <x:c r="F226"/>
      <x:c r="G226"/>
      <x:c r="H226"/>
      <x:c r="I226"/>
      <x:c r="J226"/>
      <x:c r="K226"/>
    </x:row>
    <x:row r="227">
      <x:c r="A227"/>
      <x:c r="B227"/>
      <x:c r="C227"/>
      <x:c r="D227"/>
      <x:c r="E227"/>
      <x:c r="F227"/>
      <x:c r="G227"/>
      <x:c r="H227"/>
      <x:c r="I227"/>
      <x:c r="J227"/>
      <x:c r="K227"/>
    </x:row>
    <x:row r="228">
      <x:c r="A228"/>
      <x:c r="B228"/>
      <x:c r="C228"/>
      <x:c r="D228"/>
      <x:c r="E228"/>
      <x:c r="F228"/>
      <x:c r="G228"/>
      <x:c r="H228"/>
      <x:c r="I228"/>
      <x:c r="J228"/>
      <x:c r="K228"/>
    </x:row>
    <x:row r="229">
      <x:c r="A229"/>
      <x:c r="B229"/>
      <x:c r="C229"/>
      <x:c r="D229"/>
      <x:c r="E229"/>
      <x:c r="F229"/>
      <x:c r="G229"/>
      <x:c r="H229"/>
      <x:c r="I229"/>
      <x:c r="J229"/>
      <x:c r="K229"/>
    </x:row>
    <x:row r="230">
      <x:c r="A230"/>
      <x:c r="B230"/>
      <x:c r="C230"/>
      <x:c r="D230"/>
      <x:c r="E230"/>
      <x:c r="F230"/>
      <x:c r="G230"/>
      <x:c r="H230"/>
      <x:c r="I230"/>
      <x:c r="J230"/>
      <x:c r="K230"/>
    </x:row>
    <x:row r="231">
      <x:c r="A231"/>
      <x:c r="B231"/>
      <x:c r="C231"/>
      <x:c r="D231"/>
      <x:c r="E231"/>
      <x:c r="F231"/>
      <x:c r="G231"/>
      <x:c r="H231"/>
      <x:c r="I231"/>
      <x:c r="K231"/>
    </x:row>
    <x:row r="232">
      <x:c r="A232"/>
      <x:c r="B232"/>
      <x:c r="C232"/>
      <x:c r="D232"/>
      <x:c r="E232"/>
      <x:c r="F232"/>
      <x:c r="G232"/>
      <x:c r="H232"/>
      <x:c r="I232"/>
      <x:c r="J232"/>
      <x:c r="K232"/>
    </x:row>
    <x:row r="233">
      <x:c r="A233"/>
      <x:c r="B233"/>
      <x:c r="C233"/>
      <x:c r="D233"/>
      <x:c r="E233"/>
      <x:c r="F233"/>
      <x:c r="G233"/>
      <x:c r="H233"/>
      <x:c r="I233"/>
      <x:c r="J233"/>
      <x:c r="K233"/>
    </x:row>
    <x:row r="234">
      <x:c r="A234"/>
      <x:c r="B234"/>
      <x:c r="C234"/>
      <x:c r="D234"/>
      <x:c r="E234"/>
      <x:c r="F234"/>
      <x:c r="G234"/>
      <x:c r="H234"/>
      <x:c r="I234"/>
      <x:c r="J234"/>
      <x:c r="K234"/>
    </x:row>
    <x:row r="235">
      <x:c r="A235"/>
      <x:c r="B235"/>
      <x:c r="C235"/>
      <x:c r="D235"/>
      <x:c r="E235"/>
      <x:c r="F235"/>
      <x:c r="G235"/>
      <x:c r="H235"/>
      <x:c r="I235"/>
      <x:c r="J235"/>
      <x:c r="K235"/>
    </x:row>
    <x:row r="236">
      <x:c r="A236"/>
      <x:c r="B236"/>
      <x:c r="C236"/>
      <x:c r="D236"/>
      <x:c r="E236"/>
      <x:c r="F236"/>
      <x:c r="G236"/>
      <x:c r="H236"/>
      <x:c r="I236"/>
      <x:c r="J236"/>
      <x:c r="K236"/>
    </x:row>
    <x:row r="237">
      <x:c r="A237"/>
      <x:c r="B237"/>
      <x:c r="C237"/>
      <x:c r="D237"/>
      <x:c r="E237"/>
      <x:c r="F237"/>
      <x:c r="G237"/>
      <x:c r="H237"/>
      <x:c r="I237"/>
      <x:c r="J237"/>
      <x:c r="K237"/>
    </x:row>
    <x:row r="238">
      <x:c r="A238"/>
      <x:c r="B238"/>
      <x:c r="C238"/>
      <x:c r="D238"/>
      <x:c r="E238"/>
      <x:c r="F238"/>
      <x:c r="G238"/>
      <x:c r="H238"/>
      <x:c r="I238"/>
      <x:c r="J238"/>
      <x:c r="K238"/>
    </x:row>
    <x:row r="239">
      <x:c r="A239"/>
      <x:c r="B239"/>
      <x:c r="C239"/>
      <x:c r="D239"/>
      <x:c r="E239"/>
      <x:c r="F239"/>
      <x:c r="G239"/>
      <x:c r="H239"/>
      <x:c r="I239"/>
      <x:c r="J239"/>
      <x:c r="K239"/>
    </x:row>
    <x:row r="240">
      <x:c r="A240"/>
      <x:c r="B240"/>
      <x:c r="C240"/>
      <x:c r="D240"/>
      <x:c r="E240"/>
      <x:c r="F240"/>
      <x:c r="G240"/>
      <x:c r="H240"/>
      <x:c r="I240"/>
      <x:c r="J240"/>
      <x:c r="K240"/>
    </x:row>
    <x:row r="241">
      <x:c r="A241"/>
      <x:c r="B241"/>
      <x:c r="C241"/>
      <x:c r="D241"/>
      <x:c r="E241"/>
      <x:c r="F241"/>
      <x:c r="G241"/>
      <x:c r="H241"/>
      <x:c r="I241"/>
      <x:c r="J241"/>
      <x:c r="K241"/>
    </x:row>
    <x:row r="242">
      <x:c r="A242"/>
      <x:c r="B242"/>
      <x:c r="C242"/>
      <x:c r="D242"/>
      <x:c r="E242"/>
      <x:c r="F242"/>
      <x:c r="G242"/>
      <x:c r="H242"/>
      <x:c r="I242"/>
      <x:c r="J242"/>
      <x:c r="K242"/>
    </x:row>
    <x:row r="243">
      <x:c r="A243"/>
      <x:c r="B243"/>
      <x:c r="C243"/>
      <x:c r="D243"/>
      <x:c r="E243"/>
      <x:c r="F243"/>
      <x:c r="G243"/>
      <x:c r="H243"/>
      <x:c r="I243"/>
      <x:c r="J243"/>
      <x:c r="K243"/>
    </x:row>
    <x:row r="244">
      <x:c r="A244"/>
      <x:c r="B244"/>
      <x:c r="C244"/>
      <x:c r="D244"/>
      <x:c r="E244"/>
      <x:c r="F244"/>
      <x:c r="G244"/>
      <x:c r="H244"/>
      <x:c r="I244"/>
      <x:c r="J244"/>
      <x:c r="K244"/>
    </x:row>
    <x:row r="245">
      <x:c r="A245"/>
      <x:c r="B245"/>
      <x:c r="C245"/>
      <x:c r="D245"/>
      <x:c r="E245"/>
      <x:c r="F245"/>
      <x:c r="G245"/>
      <x:c r="H245"/>
      <x:c r="I245"/>
      <x:c r="J245"/>
      <x:c r="K245"/>
    </x:row>
    <x:row r="246">
      <x:c r="A246"/>
      <x:c r="B246"/>
      <x:c r="C246"/>
      <x:c r="D246"/>
      <x:c r="E246"/>
      <x:c r="F246"/>
      <x:c r="G246"/>
      <x:c r="H246"/>
      <x:c r="I246"/>
      <x:c r="J246"/>
      <x:c r="K246"/>
    </x:row>
    <x:row r="247">
      <x:c r="A247"/>
      <x:c r="B247"/>
      <x:c r="C247"/>
      <x:c r="D247"/>
      <x:c r="E247"/>
      <x:c r="F247"/>
      <x:c r="G247"/>
      <x:c r="H247"/>
      <x:c r="I247"/>
      <x:c r="J247"/>
      <x:c r="K247"/>
    </x:row>
    <x:row r="248">
      <x:c r="A248"/>
      <x:c r="B248"/>
      <x:c r="C248"/>
      <x:c r="D248"/>
      <x:c r="E248"/>
      <x:c r="F248"/>
      <x:c r="G248"/>
      <x:c r="H248"/>
      <x:c r="I248"/>
      <x:c r="J248"/>
      <x:c r="K248"/>
    </x:row>
    <x:row r="249">
      <x:c r="A249"/>
      <x:c r="B249"/>
      <x:c r="C249"/>
      <x:c r="D249"/>
      <x:c r="E249"/>
      <x:c r="F249"/>
      <x:c r="G249"/>
      <x:c r="H249"/>
      <x:c r="I249"/>
      <x:c r="J249"/>
      <x:c r="K249"/>
    </x:row>
    <x:row r="250">
      <x:c r="A250"/>
      <x:c r="B250"/>
      <x:c r="C250"/>
      <x:c r="D250"/>
      <x:c r="E250"/>
      <x:c r="F250"/>
      <x:c r="G250"/>
      <x:c r="H250"/>
      <x:c r="I250"/>
      <x:c r="J250"/>
      <x:c r="K250"/>
    </x:row>
    <x:row r="251">
      <x:c r="A251"/>
      <x:c r="B251"/>
      <x:c r="C251"/>
      <x:c r="D251"/>
      <x:c r="E251"/>
      <x:c r="F251"/>
      <x:c r="G251"/>
      <x:c r="H251"/>
      <x:c r="I251"/>
      <x:c r="J251"/>
      <x:c r="K251"/>
    </x:row>
    <x:row r="252">
      <x:c r="A252"/>
      <x:c r="B252"/>
      <x:c r="C252"/>
      <x:c r="D252"/>
      <x:c r="E252"/>
      <x:c r="F252"/>
      <x:c r="G252"/>
      <x:c r="H252"/>
      <x:c r="I252"/>
      <x:c r="J252"/>
      <x:c r="K252"/>
    </x:row>
    <x:row r="253">
      <x:c r="A253"/>
      <x:c r="B253"/>
      <x:c r="C253"/>
      <x:c r="D253"/>
      <x:c r="E253"/>
      <x:c r="F253"/>
      <x:c r="G253"/>
      <x:c r="H253"/>
      <x:c r="I253"/>
      <x:c r="K253"/>
    </x:row>
    <x:row r="254">
      <x:c r="A254"/>
      <x:c r="B254"/>
      <x:c r="C254"/>
      <x:c r="D254"/>
      <x:c r="E254"/>
      <x:c r="F254"/>
      <x:c r="G254"/>
      <x:c r="H254"/>
      <x:c r="I254"/>
      <x:c r="J254"/>
      <x:c r="K254"/>
    </x:row>
    <x:row r="255">
      <x:c r="A255"/>
      <x:c r="B255"/>
      <x:c r="C255"/>
      <x:c r="D255"/>
      <x:c r="E255"/>
      <x:c r="F255"/>
      <x:c r="G255"/>
      <x:c r="H255"/>
      <x:c r="I255"/>
      <x:c r="J255"/>
      <x:c r="K255"/>
    </x:row>
    <x:row r="256">
      <x:c r="A256"/>
      <x:c r="B256"/>
      <x:c r="C256"/>
      <x:c r="D256"/>
      <x:c r="E256"/>
      <x:c r="F256"/>
      <x:c r="G256"/>
      <x:c r="H256"/>
      <x:c r="I256"/>
      <x:c r="J256"/>
      <x:c r="K256"/>
    </x:row>
    <x:row r="257">
      <x:c r="A257"/>
      <x:c r="B257"/>
      <x:c r="C257"/>
      <x:c r="D257"/>
      <x:c r="E257"/>
      <x:c r="F257"/>
      <x:c r="G257"/>
      <x:c r="H257"/>
      <x:c r="I257"/>
      <x:c r="J257"/>
      <x:c r="K257"/>
    </x:row>
    <x:row r="258">
      <x:c r="A258"/>
      <x:c r="B258"/>
      <x:c r="C258"/>
      <x:c r="D258"/>
      <x:c r="E258"/>
      <x:c r="F258"/>
      <x:c r="G258"/>
      <x:c r="H258"/>
      <x:c r="I258"/>
      <x:c r="K258"/>
    </x:row>
    <x:row r="259">
      <x:c r="A259"/>
      <x:c r="B259"/>
      <x:c r="C259"/>
      <x:c r="D259"/>
      <x:c r="E259"/>
      <x:c r="F259"/>
      <x:c r="G259"/>
      <x:c r="H259"/>
      <x:c r="I259"/>
      <x:c r="K259"/>
    </x:row>
    <x:row r="260">
      <x:c r="A260"/>
      <x:c r="B260"/>
      <x:c r="C260"/>
      <x:c r="D260"/>
      <x:c r="E260"/>
      <x:c r="F260"/>
      <x:c r="G260"/>
      <x:c r="H260"/>
      <x:c r="I260"/>
      <x:c r="J260"/>
      <x:c r="K260"/>
    </x:row>
    <x:row r="261">
      <x:c r="A261"/>
      <x:c r="B261"/>
      <x:c r="C261"/>
      <x:c r="D261"/>
      <x:c r="E261"/>
      <x:c r="F261"/>
      <x:c r="G261"/>
      <x:c r="H261"/>
      <x:c r="I261"/>
      <x:c r="J261"/>
      <x:c r="K261"/>
    </x:row>
    <x:row r="262">
      <x:c r="A262"/>
      <x:c r="B262"/>
      <x:c r="C262"/>
      <x:c r="D262"/>
      <x:c r="E262"/>
      <x:c r="F262"/>
      <x:c r="G262"/>
      <x:c r="H262"/>
      <x:c r="I262"/>
      <x:c r="J262"/>
      <x:c r="K262"/>
    </x:row>
    <x:row r="263">
      <x:c r="A263"/>
      <x:c r="B263"/>
      <x:c r="C263"/>
      <x:c r="D263"/>
      <x:c r="E263"/>
      <x:c r="F263"/>
      <x:c r="G263"/>
      <x:c r="H263"/>
      <x:c r="I263"/>
      <x:c r="J263"/>
      <x:c r="K263"/>
    </x:row>
    <x:row r="264">
      <x:c r="A264"/>
      <x:c r="B264"/>
      <x:c r="C264"/>
      <x:c r="D264"/>
      <x:c r="E264"/>
      <x:c r="F264"/>
      <x:c r="G264"/>
      <x:c r="H264"/>
      <x:c r="I264"/>
      <x:c r="J264"/>
      <x:c r="K264"/>
    </x:row>
    <x:row r="265">
      <x:c r="A265"/>
      <x:c r="B265"/>
      <x:c r="C265"/>
      <x:c r="D265"/>
      <x:c r="E265"/>
      <x:c r="F265"/>
      <x:c r="G265"/>
      <x:c r="H265"/>
      <x:c r="I265"/>
      <x:c r="J265"/>
      <x:c r="K265"/>
    </x:row>
    <x:row r="266">
      <x:c r="A266"/>
      <x:c r="B266"/>
      <x:c r="C266"/>
      <x:c r="D266"/>
      <x:c r="E266"/>
      <x:c r="F266"/>
      <x:c r="G266"/>
      <x:c r="H266"/>
      <x:c r="I266"/>
      <x:c r="J266"/>
      <x:c r="K266"/>
    </x:row>
    <x:row r="267">
      <x:c r="A267"/>
      <x:c r="B267"/>
      <x:c r="C267"/>
      <x:c r="D267"/>
      <x:c r="E267"/>
      <x:c r="F267"/>
      <x:c r="G267"/>
      <x:c r="H267"/>
      <x:c r="I267"/>
      <x:c r="K267"/>
    </x:row>
    <x:row r="268">
      <x:c r="A268"/>
      <x:c r="B268"/>
      <x:c r="C268"/>
      <x:c r="D268"/>
      <x:c r="E268"/>
      <x:c r="F268"/>
      <x:c r="G268"/>
      <x:c r="H268"/>
      <x:c r="I268"/>
      <x:c r="J268"/>
      <x:c r="K268"/>
    </x:row>
    <x:row r="269">
      <x:c r="A269"/>
      <x:c r="B269"/>
      <x:c r="C269"/>
      <x:c r="D269"/>
      <x:c r="E269"/>
      <x:c r="F269"/>
      <x:c r="G269"/>
      <x:c r="H269"/>
      <x:c r="I269"/>
      <x:c r="J269"/>
      <x:c r="K269"/>
    </x:row>
    <x:row r="270">
      <x:c r="A270"/>
      <x:c r="B270"/>
      <x:c r="C270"/>
      <x:c r="D270"/>
      <x:c r="E270"/>
      <x:c r="F270"/>
      <x:c r="G270"/>
      <x:c r="H270"/>
      <x:c r="I270"/>
      <x:c r="J270"/>
      <x:c r="K270"/>
    </x:row>
    <x:row r="271">
      <x:c r="A271"/>
      <x:c r="B271"/>
      <x:c r="C271"/>
      <x:c r="D271"/>
      <x:c r="E271"/>
      <x:c r="F271"/>
      <x:c r="G271"/>
      <x:c r="H271"/>
      <x:c r="I271"/>
      <x:c r="K271"/>
    </x:row>
    <x:row r="272">
      <x:c r="A272"/>
      <x:c r="B272"/>
      <x:c r="C272"/>
      <x:c r="D272"/>
      <x:c r="E272"/>
      <x:c r="F272"/>
      <x:c r="G272"/>
      <x:c r="H272"/>
      <x:c r="I272"/>
      <x:c r="J272"/>
      <x:c r="K272"/>
    </x:row>
    <x:row r="273">
      <x:c r="A273"/>
      <x:c r="B273"/>
      <x:c r="C273"/>
      <x:c r="D273"/>
      <x:c r="E273"/>
      <x:c r="F273"/>
      <x:c r="G273"/>
      <x:c r="H273"/>
      <x:c r="I273"/>
      <x:c r="J273"/>
      <x:c r="K273"/>
    </x:row>
    <x:row r="274">
      <x:c r="A274"/>
      <x:c r="B274"/>
      <x:c r="C274"/>
      <x:c r="D274"/>
      <x:c r="E274"/>
      <x:c r="F274"/>
      <x:c r="G274"/>
      <x:c r="H274"/>
      <x:c r="I274"/>
      <x:c r="J274"/>
      <x:c r="K274"/>
    </x:row>
    <x:row r="275">
      <x:c r="A275"/>
      <x:c r="B275"/>
      <x:c r="C275"/>
      <x:c r="D275"/>
      <x:c r="E275"/>
      <x:c r="F275"/>
      <x:c r="G275"/>
      <x:c r="H275"/>
      <x:c r="I275"/>
      <x:c r="K275"/>
    </x:row>
    <x:row r="276">
      <x:c r="A276"/>
      <x:c r="B276"/>
      <x:c r="C276"/>
      <x:c r="D276"/>
      <x:c r="E276"/>
      <x:c r="F276"/>
      <x:c r="G276"/>
      <x:c r="H276"/>
      <x:c r="I276"/>
      <x:c r="K276"/>
    </x:row>
    <x:row r="277">
      <x:c r="A277"/>
      <x:c r="B277"/>
      <x:c r="C277"/>
      <x:c r="D277"/>
      <x:c r="E277"/>
      <x:c r="F277"/>
      <x:c r="G277"/>
      <x:c r="H277"/>
      <x:c r="I277"/>
      <x:c r="K277"/>
    </x:row>
    <x:row r="278">
      <x:c r="A278"/>
      <x:c r="B278"/>
      <x:c r="C278"/>
      <x:c r="D278"/>
      <x:c r="E278"/>
      <x:c r="F278"/>
      <x:c r="G278"/>
      <x:c r="H278"/>
      <x:c r="I278"/>
      <x:c r="J278"/>
      <x:c r="K278"/>
    </x:row>
    <x:row r="279">
      <x:c r="A279"/>
      <x:c r="B279"/>
      <x:c r="C279"/>
      <x:c r="D279"/>
      <x:c r="E279"/>
      <x:c r="F279"/>
      <x:c r="G279"/>
      <x:c r="H279"/>
      <x:c r="I279"/>
      <x:c r="J279"/>
      <x:c r="K279"/>
    </x:row>
    <x:row r="280">
      <x:c r="A280"/>
      <x:c r="B280"/>
      <x:c r="C280"/>
      <x:c r="D280"/>
      <x:c r="E280"/>
      <x:c r="F280"/>
      <x:c r="G280"/>
      <x:c r="H280"/>
      <x:c r="I280"/>
      <x:c r="K280"/>
    </x:row>
    <x:row r="281">
      <x:c r="A281"/>
      <x:c r="B281"/>
      <x:c r="C281"/>
      <x:c r="D281"/>
      <x:c r="E281"/>
      <x:c r="F281"/>
      <x:c r="G281"/>
      <x:c r="H281"/>
      <x:c r="I281"/>
      <x:c r="K281"/>
    </x:row>
    <x:row r="282">
      <x:c r="A282"/>
      <x:c r="B282"/>
      <x:c r="C282"/>
      <x:c r="D282"/>
      <x:c r="E282"/>
      <x:c r="F282"/>
      <x:c r="G282"/>
      <x:c r="H282"/>
      <x:c r="I282"/>
      <x:c r="K282"/>
    </x:row>
    <x:row r="283">
      <x:c r="A283"/>
      <x:c r="B283"/>
      <x:c r="C283"/>
      <x:c r="D283"/>
      <x:c r="E283"/>
      <x:c r="F283"/>
      <x:c r="G283"/>
      <x:c r="H283"/>
      <x:c r="I283"/>
      <x:c r="K283"/>
    </x:row>
    <x:row r="284">
      <x:c r="A284"/>
      <x:c r="B284"/>
      <x:c r="C284"/>
      <x:c r="D284"/>
      <x:c r="E284"/>
      <x:c r="F284"/>
      <x:c r="G284"/>
      <x:c r="H284"/>
      <x:c r="I284"/>
      <x:c r="K284"/>
    </x:row>
    <x:row r="285">
      <x:c r="A285"/>
      <x:c r="B285"/>
      <x:c r="C285"/>
      <x:c r="D285"/>
      <x:c r="E285"/>
      <x:c r="F285"/>
      <x:c r="G285"/>
      <x:c r="H285"/>
      <x:c r="I285"/>
      <x:c r="K285"/>
    </x:row>
    <x:row r="286">
      <x:c r="A286"/>
      <x:c r="B286"/>
      <x:c r="C286"/>
      <x:c r="D286"/>
      <x:c r="E286"/>
      <x:c r="F286"/>
      <x:c r="G286"/>
      <x:c r="H286"/>
      <x:c r="I286"/>
      <x:c r="J286"/>
      <x:c r="K286"/>
    </x:row>
    <x:row r="287">
      <x:c r="A287"/>
      <x:c r="B287"/>
      <x:c r="C287"/>
      <x:c r="D287"/>
      <x:c r="E287"/>
      <x:c r="F287"/>
      <x:c r="G287"/>
      <x:c r="H287"/>
      <x:c r="I287"/>
      <x:c r="J287"/>
      <x:c r="K287"/>
    </x:row>
    <x:row r="288">
      <x:c r="A288"/>
      <x:c r="B288"/>
      <x:c r="C288"/>
      <x:c r="D288"/>
      <x:c r="E288"/>
      <x:c r="F288"/>
      <x:c r="G288"/>
      <x:c r="H288"/>
      <x:c r="I288"/>
      <x:c r="J288"/>
      <x:c r="K288"/>
    </x:row>
    <x:row r="289">
      <x:c r="A289"/>
      <x:c r="B289"/>
      <x:c r="C289"/>
      <x:c r="D289"/>
      <x:c r="E289"/>
      <x:c r="F289"/>
      <x:c r="G289"/>
      <x:c r="H289"/>
      <x:c r="I289"/>
      <x:c r="K289"/>
    </x:row>
    <x:row r="290">
      <x:c r="A290"/>
      <x:c r="B290"/>
      <x:c r="C290"/>
      <x:c r="D290"/>
      <x:c r="E290"/>
      <x:c r="F290"/>
      <x:c r="G290"/>
      <x:c r="H290"/>
      <x:c r="I290"/>
      <x:c r="K290"/>
    </x:row>
    <x:row r="291">
      <x:c r="A291"/>
      <x:c r="B291"/>
      <x:c r="C291"/>
      <x:c r="D291"/>
      <x:c r="E291"/>
      <x:c r="F291"/>
      <x:c r="G291"/>
      <x:c r="H291"/>
      <x:c r="I291"/>
      <x:c r="K291"/>
    </x:row>
    <x:row r="292">
      <x:c r="A292"/>
      <x:c r="B292"/>
      <x:c r="C292"/>
      <x:c r="D292"/>
      <x:c r="E292"/>
      <x:c r="F292"/>
      <x:c r="G292"/>
      <x:c r="H292"/>
      <x:c r="I292"/>
      <x:c r="J292"/>
      <x:c r="K292"/>
    </x:row>
    <x:row r="293">
      <x:c r="A293"/>
      <x:c r="B293"/>
      <x:c r="C293"/>
      <x:c r="D293"/>
      <x:c r="E293"/>
      <x:c r="F293"/>
      <x:c r="G293"/>
      <x:c r="H293"/>
      <x:c r="I293"/>
      <x:c r="J293"/>
      <x:c r="K293"/>
    </x:row>
    <x:row r="294">
      <x:c r="A294"/>
      <x:c r="B294"/>
      <x:c r="C294"/>
      <x:c r="D294"/>
      <x:c r="E294"/>
      <x:c r="F294"/>
      <x:c r="G294"/>
      <x:c r="H294"/>
      <x:c r="I294"/>
      <x:c r="J294"/>
      <x:c r="K294"/>
    </x:row>
    <x:row r="295">
      <x:c r="A295"/>
      <x:c r="B295"/>
      <x:c r="C295"/>
      <x:c r="D295"/>
      <x:c r="E295"/>
      <x:c r="F295"/>
      <x:c r="G295"/>
      <x:c r="H295"/>
      <x:c r="I295"/>
      <x:c r="J295"/>
      <x:c r="K295"/>
    </x:row>
    <x:row r="296">
      <x:c r="A296"/>
      <x:c r="B296"/>
      <x:c r="C296"/>
      <x:c r="D296"/>
      <x:c r="E296"/>
      <x:c r="F296"/>
      <x:c r="G296"/>
      <x:c r="H296"/>
      <x:c r="I296"/>
      <x:c r="K296"/>
    </x:row>
    <x:row r="297">
      <x:c r="A297"/>
      <x:c r="B297"/>
      <x:c r="C297"/>
      <x:c r="D297"/>
      <x:c r="E297"/>
      <x:c r="F297"/>
      <x:c r="G297"/>
      <x:c r="H297"/>
      <x:c r="I297"/>
      <x:c r="J297"/>
      <x:c r="K297"/>
    </x:row>
    <x:row r="298">
      <x:c r="A298"/>
      <x:c r="B298"/>
      <x:c r="C298"/>
      <x:c r="D298"/>
      <x:c r="E298"/>
      <x:c r="F298"/>
      <x:c r="G298"/>
      <x:c r="H298"/>
      <x:c r="I298"/>
      <x:c r="J298"/>
      <x:c r="K298"/>
    </x:row>
    <x:row r="299">
      <x:c r="A299"/>
      <x:c r="B299"/>
      <x:c r="C299"/>
      <x:c r="D299"/>
      <x:c r="E299"/>
      <x:c r="F299"/>
      <x:c r="G299"/>
      <x:c r="H299"/>
      <x:c r="I299"/>
      <x:c r="K299"/>
    </x:row>
    <x:row r="300">
      <x:c r="A300"/>
      <x:c r="B300"/>
      <x:c r="C300"/>
      <x:c r="D300"/>
      <x:c r="E300"/>
      <x:c r="F300"/>
      <x:c r="G300"/>
      <x:c r="H300"/>
      <x:c r="I300"/>
      <x:c r="K300"/>
    </x:row>
    <x:row r="301">
      <x:c r="A301"/>
      <x:c r="B301"/>
      <x:c r="C301"/>
      <x:c r="D301"/>
      <x:c r="E301"/>
      <x:c r="F301"/>
      <x:c r="G301"/>
      <x:c r="H301"/>
      <x:c r="I301"/>
      <x:c r="K301"/>
    </x:row>
    <x:row r="302">
      <x:c r="A302"/>
      <x:c r="B302"/>
      <x:c r="C302"/>
      <x:c r="D302"/>
      <x:c r="E302"/>
      <x:c r="F302"/>
      <x:c r="G302"/>
      <x:c r="H302"/>
      <x:c r="I302"/>
      <x:c r="K302"/>
    </x:row>
    <x:row r="303">
      <x:c r="A303"/>
      <x:c r="B303"/>
      <x:c r="C303"/>
      <x:c r="D303"/>
      <x:c r="E303"/>
      <x:c r="F303"/>
      <x:c r="G303"/>
      <x:c r="H303"/>
      <x:c r="I303"/>
      <x:c r="K303"/>
    </x:row>
    <x:row r="304">
      <x:c r="A304"/>
      <x:c r="B304"/>
      <x:c r="C304"/>
      <x:c r="D304"/>
      <x:c r="E304"/>
      <x:c r="F304"/>
      <x:c r="G304"/>
      <x:c r="H304"/>
      <x:c r="I304"/>
      <x:c r="K304"/>
    </x:row>
    <x:row r="305">
      <x:c r="A305"/>
      <x:c r="B305"/>
      <x:c r="C305"/>
      <x:c r="D305"/>
      <x:c r="E305"/>
      <x:c r="F305"/>
      <x:c r="G305"/>
      <x:c r="H305"/>
      <x:c r="I305"/>
      <x:c r="K305"/>
    </x:row>
    <x:row r="306">
      <x:c r="A306"/>
      <x:c r="B306"/>
      <x:c r="C306"/>
      <x:c r="D306"/>
      <x:c r="E306"/>
      <x:c r="F306"/>
      <x:c r="G306"/>
      <x:c r="H306"/>
      <x:c r="I306"/>
      <x:c r="K306"/>
    </x:row>
    <x:row r="307">
      <x:c r="A307"/>
      <x:c r="B307"/>
      <x:c r="C307"/>
      <x:c r="D307"/>
      <x:c r="E307"/>
      <x:c r="F307"/>
      <x:c r="G307"/>
      <x:c r="H307"/>
      <x:c r="I307"/>
      <x:c r="K307"/>
    </x:row>
    <x:row r="308">
      <x:c r="A308"/>
      <x:c r="B308"/>
      <x:c r="C308"/>
      <x:c r="D308"/>
      <x:c r="E308"/>
      <x:c r="F308"/>
      <x:c r="G308"/>
      <x:c r="H308"/>
      <x:c r="I308"/>
      <x:c r="K308"/>
    </x:row>
    <x:row r="309">
      <x:c r="A309"/>
      <x:c r="B309"/>
      <x:c r="C309"/>
      <x:c r="D309"/>
      <x:c r="E309"/>
      <x:c r="F309"/>
      <x:c r="G309"/>
      <x:c r="H309"/>
      <x:c r="I309"/>
      <x:c r="K309"/>
    </x:row>
    <x:row r="310">
      <x:c r="A310"/>
      <x:c r="B310"/>
      <x:c r="C310"/>
      <x:c r="D310"/>
      <x:c r="E310"/>
      <x:c r="F310"/>
      <x:c r="G310"/>
      <x:c r="H310"/>
      <x:c r="I310"/>
      <x:c r="K310"/>
    </x:row>
    <x:row r="311">
      <x:c r="A311"/>
      <x:c r="B311"/>
      <x:c r="C311"/>
      <x:c r="D311"/>
      <x:c r="E311"/>
      <x:c r="F311"/>
      <x:c r="G311"/>
      <x:c r="H311"/>
      <x:c r="I311"/>
      <x:c r="K311"/>
    </x:row>
    <x:row r="312">
      <x:c r="A312"/>
      <x:c r="B312"/>
      <x:c r="C312"/>
      <x:c r="D312"/>
      <x:c r="E312"/>
      <x:c r="F312"/>
      <x:c r="G312"/>
      <x:c r="H312"/>
      <x:c r="I312"/>
      <x:c r="K312"/>
    </x:row>
    <x:row r="313">
      <x:c r="A313"/>
      <x:c r="B313"/>
      <x:c r="C313"/>
      <x:c r="D313"/>
      <x:c r="E313"/>
      <x:c r="F313"/>
      <x:c r="G313"/>
      <x:c r="H313"/>
      <x:c r="I313"/>
      <x:c r="K313"/>
    </x:row>
    <x:row r="314">
      <x:c r="A314"/>
      <x:c r="B314"/>
      <x:c r="C314"/>
      <x:c r="D314"/>
      <x:c r="E314"/>
      <x:c r="F314"/>
      <x:c r="G314"/>
      <x:c r="H314"/>
      <x:c r="I314"/>
      <x:c r="K314"/>
    </x:row>
    <x:row r="315">
      <x:c r="A315"/>
      <x:c r="B315"/>
      <x:c r="C315"/>
      <x:c r="D315"/>
      <x:c r="E315"/>
      <x:c r="F315"/>
      <x:c r="G315"/>
      <x:c r="H315"/>
      <x:c r="I315"/>
      <x:c r="K315"/>
    </x:row>
  </x:sheetData>
  <x:conditionalFormatting sqref="H2:H204">
    <x:cfRule type="expression" dxfId="18" priority="1">
      <x:formula>AND(H2&lt;&gt;"本次公示未见相关记录",H2&lt;&gt;"协会提示／报送异常")</x:formula>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ColWidth="9" defaultRowHeight="14.25"/>
  <x:cols>
    <x:col min="1" max="1" width="18" style="1" hidden="0" customWidth="1"/>
    <x:col min="2" max="2" width="32" style="1" hidden="0" customWidth="1"/>
    <x:col min="3" max="5" width="12" style="1" customWidth="1"/>
    <x:col min="6" max="6" width="18" style="1" hidden="0" customWidth="1"/>
    <x:col min="7" max="10" width="12" style="1" customWidth="1"/>
    <x:col min="11" max="11" width="18" style="1" hidden="0" customWidth="1"/>
    <x:col min="3" max="3" width="18" hidden="0" customWidth="1"/>
    <x:col min="4" max="4" width="28" hidden="0" customWidth="1"/>
    <x:col min="5" max="5" width="18" hidden="0" customWidth="1"/>
    <x:col min="7" max="7" width="18" hidden="0" customWidth="1"/>
    <x:col min="8" max="8" width="18" hidden="0" customWidth="1"/>
    <x:col min="9" max="9" width="48" hidden="0" customWidth="1"/>
    <x:col min="10" max="10" width="4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s>
  <x:sheetData>
    <x:row r="1" ht="46" customHeight="1">
      <x:c r="A1" s="70" t="str">
        <x:v>组内排名</x:v>
      </x:c>
      <x:c r="B1" s="70" t="str">
        <x:v>产品名称</x:v>
      </x:c>
      <x:c r="C1" s="70" t="str">
        <x:v>备案号</x:v>
      </x:c>
      <x:c r="D1" s="70" t="str">
        <x:v>管理人</x:v>
      </x:c>
      <x:c r="E1" s="70" t="str">
        <x:v>规模区间</x:v>
      </x:c>
      <x:c r="F1" s="70" t="str">
        <x:v>严格总分</x:v>
      </x:c>
      <x:c r="G1" s="70" t="str">
        <x:v>可比总分</x:v>
      </x:c>
      <x:c r="H1" s="70" t="str">
        <x:v>有效权重</x:v>
      </x:c>
      <x:c r="I1" s="70" t="str">
        <x:v>管理人处罚／警示／提示</x:v>
      </x:c>
      <x:c r="J1" s="70" t="str">
        <x:v>协会来源</x:v>
      </x:c>
      <x:c r="K1" s="70" t="str">
        <x:v>全池排名</x:v>
      </x:c>
      <x:c r="L1" s="79" t="str">
        <x:v>来源产品名称</x:v>
      </x:c>
      <x:c r="M1" s="79" t="str">
        <x:v>来源备案号</x:v>
      </x:c>
      <x:c r="N1" s="79" t="str">
        <x:v>来源管理人</x:v>
      </x:c>
      <x:c r="O1" s="79" t="str">
        <x:v>来源规模</x:v>
      </x:c>
      <x:c r="P1" s="79" t="str">
        <x:v>来源严格总分</x:v>
      </x:c>
      <x:c r="Q1" s="79" t="str">
        <x:v>来源可比总分</x:v>
      </x:c>
      <x:c r="R1" s="79" t="str">
        <x:v>来源有效权重</x:v>
      </x:c>
      <x:c r="S1" s="79" t="str">
        <x:v>来源提示</x:v>
      </x:c>
      <x:c r="T1" s="79" t="str">
        <x:v>来源URL</x:v>
      </x:c>
      <x:c r="U1" s="79" t="str">
        <x:v>来源全池排名</x:v>
      </x:c>
      <x:c r="V1" s="79" t="str">
        <x:v>来源组内排名</x:v>
      </x:c>
    </x:row>
    <x:row r="2" ht="27" customHeight="1">
      <x:c r="A2" s="66" t="n">
        <x:v>1</x:v>
      </x:c>
      <x:c r="B2" s="66" t="str">
        <x:f>IF(INDEX($L$2:$L$127,MATCH(A2,$V$2:$V$127,0))="","",INDEX($L$2:$L$127,MATCH(A2,$V$2:$V$127,0)))</x:f>
        <x:v>惠隆金选套利1号</x:v>
      </x:c>
      <x:c r="C2" s="66" t="str">
        <x:f>IF(INDEX($M$2:$M$127,MATCH(A2,$V$2:$V$127,0))="","",INDEX($M$2:$M$127,MATCH(A2,$V$2:$V$127,0)))</x:f>
        <x:v>SQG026</x:v>
      </x:c>
      <x:c r="D2" s="66" t="str">
        <x:f>IF(INDEX($N$2:$N$127,MATCH(A2,$V$2:$V$127,0))="","",INDEX($N$2:$N$127,MATCH(A2,$V$2:$V$127,0)))</x:f>
        <x:v>北京惠隆资管</x:v>
      </x:c>
      <x:c r="E2" s="66" t="str">
        <x:f>IF(INDEX($O$2:$O$127,MATCH(A2,$V$2:$V$127,0))="","",INDEX($O$2:$O$127,MATCH(A2,$V$2:$V$127,0)))</x:f>
        <x:v>10-20亿元</x:v>
      </x:c>
      <x:c r="F2" s="77" t="str">
        <x:f>IF(INDEX($P$2:$P$127,MATCH(A2,$V$2:$V$127,0))="","",INDEX($P$2:$P$127,MATCH(A2,$V$2:$V$127,0)))</x:f>
      </x:c>
      <x:c r="G2" s="77" t="n">
        <x:f>IF(INDEX($Q$2:$Q$127,MATCH(A2,$V$2:$V$127,0))="","",INDEX($Q$2:$Q$127,MATCH(A2,$V$2:$V$127,0)))</x:f>
        <x:v>93.67</x:v>
      </x:c>
      <x:c r="H2" s="78" t="n">
        <x:f>IF(INDEX($R$2:$R$127,MATCH(A2,$V$2:$V$127,0))="","",INDEX($R$2:$R$127,MATCH(A2,$V$2:$V$127,0)))</x:f>
        <x:v>0.88</x:v>
      </x:c>
      <x:c r="I2" s="66" t="str">
        <x:f>IF(INDEX($S$2:$S$127,MATCH(A2,$V$2:$V$127,0))="","",INDEX($S$2:$S$127,MATCH(A2,$V$2:$V$127,0)))</x:f>
        <x:v>协会提示／报送异常</x:v>
      </x:c>
      <x:c r="J2" s="66" t="str">
        <x:f>IF(INDEX($T$2:$T$127,MATCH(A2,$V$2:$V$127,0))="","",INDEX($T$2:$T$127,MATCH(A2,$V$2:$V$127,0)))</x:f>
        <x:v>https://gs.amac.org.cn/amac-infodisc/res/pof/manager/1705031716108118.html</x:v>
      </x:c>
      <x:c r="K2" s="66" t="n">
        <x:f>IF(INDEX($U$2:$U$127,MATCH(A2,$V$2:$V$127,0))="","",INDEX($U$2:$U$127,MATCH(A2,$V$2:$V$127,0)))</x:f>
        <x:v>1</x:v>
      </x:c>
      <x:c r="L2" s="80" t="str">
        <x:v>辉毅4号</x:v>
      </x:c>
      <x:c r="M2" s="80" t="str">
        <x:v>SM4445</x:v>
      </x:c>
      <x:c r="N2" s="80" t="str">
        <x:v>上海申毅投资</x:v>
      </x:c>
      <x:c r="O2" s="80" t="str">
        <x:v>100亿元以上</x:v>
      </x:c>
      <x:c r="P2" s="81" t="n">
        <x:f>IF(ABS('sheet2-计算明细'!AQ19-1)&lt;0.00000001,'sheet2-计算明细'!AR19,"")</x:f>
        <x:v>61.160289999999996</x:v>
      </x:c>
      <x:c r="Q2" s="81" t="n">
        <x:f>'sheet2-计算明细'!AS19</x:f>
        <x:v>61.16</x:v>
      </x:c>
      <x:c r="R2" s="82" t="n">
        <x:f>'sheet2-计算明细'!AQ19</x:f>
        <x:v>1</x:v>
      </x:c>
      <x:c r="S2" s="80" t="str">
        <x:v>本次公示未见相关记录</x:v>
      </x:c>
      <x:c r="T2" s="80" t="str">
        <x:v>https://gs.amac.org.cn/amac-infodisc/res/pof/manager/101000000870.html</x:v>
      </x:c>
      <x:c r="U2" s="80" t="n">
        <x:f>'sheet2-计算明细'!AT19</x:f>
        <x:v>102</x:v>
      </x:c>
      <x:c r="V2" s="80" t="n">
        <x:f>COUNTIF($U$2:$U$127,"&lt;"&amp;U2)+1</x:f>
        <x:v>69</x:v>
      </x:c>
    </x:row>
    <x:row r="3" ht="27" customHeight="1">
      <x:c r="A3" s="66" t="n">
        <x:v>2</x:v>
      </x:c>
      <x:c r="B3" s="66" t="str">
        <x:f>IF(INDEX($L$2:$L$127,MATCH(A3,$V$2:$V$127,0))="","",INDEX($L$2:$L$127,MATCH(A3,$V$2:$V$127,0)))</x:f>
        <x:v>惠隆金选套利1号B类</x:v>
      </x:c>
      <x:c r="C3" s="66" t="str">
        <x:f>IF(INDEX($M$2:$M$127,MATCH(A3,$V$2:$V$127,0))="","",INDEX($M$2:$M$127,MATCH(A3,$V$2:$V$127,0)))</x:f>
        <x:v>QG026B</x:v>
      </x:c>
      <x:c r="D3" s="66" t="str">
        <x:f>IF(INDEX($N$2:$N$127,MATCH(A3,$V$2:$V$127,0))="","",INDEX($N$2:$N$127,MATCH(A3,$V$2:$V$127,0)))</x:f>
        <x:v>北京惠隆资管</x:v>
      </x:c>
      <x:c r="E3" s="66" t="str">
        <x:f>IF(INDEX($O$2:$O$127,MATCH(A3,$V$2:$V$127,0))="","",INDEX($O$2:$O$127,MATCH(A3,$V$2:$V$127,0)))</x:f>
        <x:v>10-20亿元</x:v>
      </x:c>
      <x:c r="F3" s="77" t="str">
        <x:f>IF(INDEX($P$2:$P$127,MATCH(A3,$V$2:$V$127,0))="","",INDEX($P$2:$P$127,MATCH(A3,$V$2:$V$127,0)))</x:f>
      </x:c>
      <x:c r="G3" s="77" t="n">
        <x:f>IF(INDEX($Q$2:$Q$127,MATCH(A3,$V$2:$V$127,0))="","",INDEX($Q$2:$Q$127,MATCH(A3,$V$2:$V$127,0)))</x:f>
        <x:v>93.32</x:v>
      </x:c>
      <x:c r="H3" s="78" t="n">
        <x:f>IF(INDEX($R$2:$R$127,MATCH(A3,$V$2:$V$127,0))="","",INDEX($R$2:$R$127,MATCH(A3,$V$2:$V$127,0)))</x:f>
        <x:v>0.8350000000000001</x:v>
      </x:c>
      <x:c r="I3" s="66" t="str">
        <x:f>IF(INDEX($S$2:$S$127,MATCH(A3,$V$2:$V$127,0))="","",INDEX($S$2:$S$127,MATCH(A3,$V$2:$V$127,0)))</x:f>
        <x:v>协会提示／报送异常</x:v>
      </x:c>
      <x:c r="J3" s="66" t="str">
        <x:f>IF(INDEX($T$2:$T$127,MATCH(A3,$V$2:$V$127,0))="","",INDEX($T$2:$T$127,MATCH(A3,$V$2:$V$127,0)))</x:f>
        <x:v>https://gs.amac.org.cn/amac-infodisc/res/pof/manager/1705031716108118.html</x:v>
      </x:c>
      <x:c r="K3" s="66" t="n">
        <x:f>IF(INDEX($U$2:$U$127,MATCH(A3,$V$2:$V$127,0))="","",INDEX($U$2:$U$127,MATCH(A3,$V$2:$V$127,0)))</x:f>
        <x:v>2</x:v>
      </x:c>
      <x:c r="L3" s="80" t="str">
        <x:v>平凡悟鑫</x:v>
      </x:c>
      <x:c r="M3" s="80" t="str">
        <x:v>SJ2870</x:v>
      </x:c>
      <x:c r="N3" s="80" t="str">
        <x:v>北京平凡</x:v>
      </x:c>
      <x:c r="O3" s="80" t="str">
        <x:v>50-100亿元</x:v>
      </x:c>
      <x:c r="P3" s="81" t="str">
        <x:f>IF(ABS('sheet2-计算明细'!AQ20-1)&lt;0.00000001,'sheet2-计算明细'!AR20,"")</x:f>
      </x:c>
      <x:c r="Q3" s="81" t="n">
        <x:f>'sheet2-计算明细'!AS20</x:f>
        <x:v>79.23</x:v>
      </x:c>
      <x:c r="R3" s="82" t="n">
        <x:f>'sheet2-计算明细'!AQ20</x:f>
        <x:v>0.88</x:v>
      </x:c>
      <x:c r="S3" s="80" t="str">
        <x:v>本次公示未见相关记录</x:v>
      </x:c>
      <x:c r="T3" s="80" t="str">
        <x:v>https://gs.amac.org.cn/amac-infodisc/res/pof/manager/101000030286.html</x:v>
      </x:c>
      <x:c r="U3" s="80" t="n">
        <x:f>'sheet2-计算明细'!AT20</x:f>
        <x:v>36</x:v>
      </x:c>
      <x:c r="V3" s="80" t="n">
        <x:f>COUNTIF($U$2:$U$127,"&lt;"&amp;U3)+1</x:f>
        <x:v>24</x:v>
      </x:c>
    </x:row>
    <x:row r="4" ht="27" customHeight="1">
      <x:c r="A4" s="66" t="n">
        <x:v>3</x:v>
      </x:c>
      <x:c r="B4" s="66" t="str">
        <x:f>IF(INDEX($L$2:$L$127,MATCH(A4,$V$2:$V$127,0))="","",INDEX($L$2:$L$127,MATCH(A4,$V$2:$V$127,0)))</x:f>
        <x:v>裕锦量化专享1号</x:v>
      </x:c>
      <x:c r="C4" s="66" t="str">
        <x:f>IF(INDEX($M$2:$M$127,MATCH(A4,$V$2:$V$127,0))="","",INDEX($M$2:$M$127,MATCH(A4,$V$2:$V$127,0)))</x:f>
        <x:v>SNE165</x:v>
      </x:c>
      <x:c r="D4" s="66" t="str">
        <x:f>IF(INDEX($N$2:$N$127,MATCH(A4,$V$2:$V$127,0))="","",INDEX($N$2:$N$127,MATCH(A4,$V$2:$V$127,0)))</x:f>
        <x:v>深圳裕锦</x:v>
      </x:c>
      <x:c r="E4" s="66" t="str">
        <x:f>IF(INDEX($O$2:$O$127,MATCH(A4,$V$2:$V$127,0))="","",INDEX($O$2:$O$127,MATCH(A4,$V$2:$V$127,0)))</x:f>
        <x:v>10-20亿元</x:v>
      </x:c>
      <x:c r="F4" s="77" t="n">
        <x:f>IF(INDEX($P$2:$P$127,MATCH(A4,$V$2:$V$127,0))="","",INDEX($P$2:$P$127,MATCH(A4,$V$2:$V$127,0)))</x:f>
        <x:v>91.77708</x:v>
      </x:c>
      <x:c r="G4" s="77" t="n">
        <x:f>IF(INDEX($Q$2:$Q$127,MATCH(A4,$V$2:$V$127,0))="","",INDEX($Q$2:$Q$127,MATCH(A4,$V$2:$V$127,0)))</x:f>
        <x:v>91.78</x:v>
      </x:c>
      <x:c r="H4" s="78" t="n">
        <x:f>IF(INDEX($R$2:$R$127,MATCH(A4,$V$2:$V$127,0))="","",INDEX($R$2:$R$127,MATCH(A4,$V$2:$V$127,0)))</x:f>
        <x:v>1</x:v>
      </x:c>
      <x:c r="I4" s="66" t="str">
        <x:f>IF(INDEX($S$2:$S$127,MATCH(A4,$V$2:$V$127,0))="","",INDEX($S$2:$S$127,MATCH(A4,$V$2:$V$127,0)))</x:f>
        <x:v>协会提示／报送异常</x:v>
      </x:c>
      <x:c r="J4" s="66" t="str">
        <x:f>IF(INDEX($T$2:$T$127,MATCH(A4,$V$2:$V$127,0))="","",INDEX($T$2:$T$127,MATCH(A4,$V$2:$V$127,0)))</x:f>
        <x:v>https://gs.amac.org.cn/amac-infodisc/res/pof/manager/2003241828108999.html</x:v>
      </x:c>
      <x:c r="K4" s="66" t="n">
        <x:f>IF(INDEX($U$2:$U$127,MATCH(A4,$V$2:$V$127,0))="","",INDEX($U$2:$U$127,MATCH(A4,$V$2:$V$127,0)))</x:f>
        <x:v>4</x:v>
      </x:c>
      <x:c r="L4" s="80" t="str">
        <x:v>致同稳盈对冲</x:v>
      </x:c>
      <x:c r="M4" s="80" t="str">
        <x:v>SS8645</x:v>
      </x:c>
      <x:c r="N4" s="80" t="str">
        <x:v>上海致同投资</x:v>
      </x:c>
      <x:c r="O4" s="80" t="str">
        <x:v>20-50亿元</x:v>
      </x:c>
      <x:c r="P4" s="81" t="str">
        <x:f>IF(ABS('sheet2-计算明细'!AQ21-1)&lt;0.00000001,'sheet2-计算明细'!AR21,"")</x:f>
      </x:c>
      <x:c r="Q4" s="81" t="n">
        <x:f>'sheet2-计算明细'!AS21</x:f>
        <x:v>71.11</x:v>
      </x:c>
      <x:c r="R4" s="82" t="n">
        <x:f>'sheet2-计算明细'!AQ21</x:f>
        <x:v>0.88</x:v>
      </x:c>
      <x:c r="S4" s="80" t="str">
        <x:v>监管警示函</x:v>
      </x:c>
      <x:c r="T4" s="80" t="str">
        <x:v>https://gs.amac.org.cn/amac-infodisc/res/pof/manager/101000004339.html</x:v>
      </x:c>
      <x:c r="U4" s="80" t="n">
        <x:f>'sheet2-计算明细'!AT21</x:f>
        <x:v>67</x:v>
      </x:c>
      <x:c r="V4" s="80" t="n">
        <x:f>COUNTIF($U$2:$U$127,"&lt;"&amp;U4)+1</x:f>
        <x:v>45</x:v>
      </x:c>
    </x:row>
    <x:row r="5" ht="27" customHeight="1">
      <x:c r="A5" s="66" t="n">
        <x:v>4</x:v>
      </x:c>
      <x:c r="B5" s="66" t="str">
        <x:f>IF(INDEX($L$2:$L$127,MATCH(A5,$V$2:$V$127,0))="","",INDEX($L$2:$L$127,MATCH(A5,$V$2:$V$127,0)))</x:f>
        <x:v>量客投资金选套利1号</x:v>
      </x:c>
      <x:c r="C5" s="66" t="str">
        <x:f>IF(INDEX($M$2:$M$127,MATCH(A5,$V$2:$V$127,0))="","",INDEX($M$2:$M$127,MATCH(A5,$V$2:$V$127,0)))</x:f>
        <x:v>SNH457</x:v>
      </x:c>
      <x:c r="D5" s="66" t="str">
        <x:f>IF(INDEX($N$2:$N$127,MATCH(A5,$V$2:$V$127,0))="","",INDEX($N$2:$N$127,MATCH(A5,$V$2:$V$127,0)))</x:f>
        <x:v>上海量客</x:v>
      </x:c>
      <x:c r="E5" s="66" t="str">
        <x:f>IF(INDEX($O$2:$O$127,MATCH(A5,$V$2:$V$127,0))="","",INDEX($O$2:$O$127,MATCH(A5,$V$2:$V$127,0)))</x:f>
        <x:v>50-100亿元</x:v>
      </x:c>
      <x:c r="F5" s="77" t="n">
        <x:f>IF(INDEX($P$2:$P$127,MATCH(A5,$V$2:$V$127,0))="","",INDEX($P$2:$P$127,MATCH(A5,$V$2:$V$127,0)))</x:f>
        <x:v>90.40418000000001</x:v>
      </x:c>
      <x:c r="G5" s="77" t="n">
        <x:f>IF(INDEX($Q$2:$Q$127,MATCH(A5,$V$2:$V$127,0))="","",INDEX($Q$2:$Q$127,MATCH(A5,$V$2:$V$127,0)))</x:f>
        <x:v>90.4</x:v>
      </x:c>
      <x:c r="H5" s="78" t="n">
        <x:f>IF(INDEX($R$2:$R$127,MATCH(A5,$V$2:$V$127,0))="","",INDEX($R$2:$R$127,MATCH(A5,$V$2:$V$127,0)))</x:f>
        <x:v>1</x:v>
      </x:c>
      <x:c r="I5" s="66" t="str">
        <x:f>IF(INDEX($S$2:$S$127,MATCH(A5,$V$2:$V$127,0))="","",INDEX($S$2:$S$127,MATCH(A5,$V$2:$V$127,0)))</x:f>
        <x:v>本次公示未见相关记录</x:v>
      </x:c>
      <x:c r="J5" s="66" t="str">
        <x:f>IF(INDEX($T$2:$T$127,MATCH(A5,$V$2:$V$127,0))="","",INDEX($T$2:$T$127,MATCH(A5,$V$2:$V$127,0)))</x:f>
        <x:v>https://gs.amac.org.cn/amac-infodisc/res/pof/manager/101000000790.html</x:v>
      </x:c>
      <x:c r="K5" s="66" t="n">
        <x:f>IF(INDEX($U$2:$U$127,MATCH(A5,$V$2:$V$127,0))="","",INDEX($U$2:$U$127,MATCH(A5,$V$2:$V$127,0)))</x:f>
        <x:v>6</x:v>
      </x:c>
      <x:c r="L5" s="80" t="str">
        <x:v>远澜翠柏1号</x:v>
      </x:c>
      <x:c r="M5" s="80" t="str">
        <x:v>SS9088</x:v>
      </x:c>
      <x:c r="N5" s="80" t="str">
        <x:v>上海远澜</x:v>
      </x:c>
      <x:c r="O5" s="80" t="str">
        <x:v>100亿元以上</x:v>
      </x:c>
      <x:c r="P5" s="81" t="n">
        <x:f>IF(ABS('sheet2-计算明细'!AQ23-1)&lt;0.00000001,'sheet2-计算明细'!AR23,"")</x:f>
        <x:v>43.29262</x:v>
      </x:c>
      <x:c r="Q5" s="81" t="n">
        <x:f>'sheet2-计算明细'!AS23</x:f>
        <x:v>43.29</x:v>
      </x:c>
      <x:c r="R5" s="82" t="n">
        <x:f>'sheet2-计算明细'!AQ23</x:f>
        <x:v>1</x:v>
      </x:c>
      <x:c r="S5" s="80" t="str">
        <x:v>本次公示未见相关记录</x:v>
      </x:c>
      <x:c r="T5" s="80" t="str">
        <x:v>https://gs.amac.org.cn/amac-infodisc/res/pof/manager/101000022626.html</x:v>
      </x:c>
      <x:c r="U5" s="80" t="n">
        <x:f>'sheet2-计算明细'!AT23</x:f>
        <x:v>164</x:v>
      </x:c>
      <x:c r="V5" s="80" t="n">
        <x:f>COUNTIF($U$2:$U$127,"&lt;"&amp;U5)+1</x:f>
        <x:v>106</x:v>
      </x:c>
    </x:row>
    <x:row r="6" ht="27" customHeight="1">
      <x:c r="A6" s="66" t="n">
        <x:v>5</x:v>
      </x:c>
      <x:c r="B6" s="66" t="str">
        <x:f>IF(INDEX($L$2:$L$127,MATCH(A6,$V$2:$V$127,0))="","",INDEX($L$2:$L$127,MATCH(A6,$V$2:$V$127,0)))</x:f>
        <x:v>摩旗ETF套利1号</x:v>
      </x:c>
      <x:c r="C6" s="66" t="str">
        <x:f>IF(INDEX($M$2:$M$127,MATCH(A6,$V$2:$V$127,0))="","",INDEX($M$2:$M$127,MATCH(A6,$V$2:$V$127,0)))</x:f>
        <x:v>STR466</x:v>
      </x:c>
      <x:c r="D6" s="66" t="str">
        <x:f>IF(INDEX($N$2:$N$127,MATCH(A6,$V$2:$V$127,0))="","",INDEX($N$2:$N$127,MATCH(A6,$V$2:$V$127,0)))</x:f>
        <x:v>上海摩旗投资</x:v>
      </x:c>
      <x:c r="E6" s="66" t="str">
        <x:f>IF(INDEX($O$2:$O$127,MATCH(A6,$V$2:$V$127,0))="","",INDEX($O$2:$O$127,MATCH(A6,$V$2:$V$127,0)))</x:f>
        <x:v>10-20亿元</x:v>
      </x:c>
      <x:c r="F6" s="77" t="str">
        <x:f>IF(INDEX($P$2:$P$127,MATCH(A6,$V$2:$V$127,0))="","",INDEX($P$2:$P$127,MATCH(A6,$V$2:$V$127,0)))</x:f>
      </x:c>
      <x:c r="G6" s="77" t="n">
        <x:f>IF(INDEX($Q$2:$Q$127,MATCH(A6,$V$2:$V$127,0))="","",INDEX($Q$2:$Q$127,MATCH(A6,$V$2:$V$127,0)))</x:f>
        <x:v>90.18</x:v>
      </x:c>
      <x:c r="H6" s="78" t="n">
        <x:f>IF(INDEX($R$2:$R$127,MATCH(A6,$V$2:$V$127,0))="","",INDEX($R$2:$R$127,MATCH(A6,$V$2:$V$127,0)))</x:f>
        <x:v>0.88</x:v>
      </x:c>
      <x:c r="I6" s="66" t="str">
        <x:f>IF(INDEX($S$2:$S$127,MATCH(A6,$V$2:$V$127,0))="","",INDEX($S$2:$S$127,MATCH(A6,$V$2:$V$127,0)))</x:f>
        <x:v>本次公示未见相关记录</x:v>
      </x:c>
      <x:c r="J6" s="66" t="str">
        <x:f>IF(INDEX($T$2:$T$127,MATCH(A6,$V$2:$V$127,0))="","",INDEX($T$2:$T$127,MATCH(A6,$V$2:$V$127,0)))</x:f>
        <x:v>https://gs.amac.org.cn/amac-infodisc/res/pof/manager/101000000297.html</x:v>
      </x:c>
      <x:c r="K6" s="66" t="n">
        <x:f>IF(INDEX($U$2:$U$127,MATCH(A6,$V$2:$V$127,0))="","",INDEX($U$2:$U$127,MATCH(A6,$V$2:$V$127,0)))</x:f>
        <x:v>7</x:v>
      </x:c>
      <x:c r="L6" s="80" t="str">
        <x:v>悬铃C号2期</x:v>
      </x:c>
      <x:c r="M6" s="80" t="str">
        <x:v>SGH303</x:v>
      </x:c>
      <x:c r="N6" s="80" t="str">
        <x:v>上海悬铃</x:v>
      </x:c>
      <x:c r="O6" s="80" t="str">
        <x:v>20-50亿元</x:v>
      </x:c>
      <x:c r="P6" s="81" t="n">
        <x:f>IF(ABS('sheet2-计算明细'!AQ26-1)&lt;0.00000001,'sheet2-计算明细'!AR26,"")</x:f>
        <x:v>36.01098999999999</x:v>
      </x:c>
      <x:c r="Q6" s="81" t="n">
        <x:f>'sheet2-计算明细'!AS26</x:f>
        <x:v>36.01</x:v>
      </x:c>
      <x:c r="R6" s="82" t="n">
        <x:f>'sheet2-计算明细'!AQ26</x:f>
        <x:v>1</x:v>
      </x:c>
      <x:c r="S6" s="80" t="str">
        <x:v>本次公示未见相关记录</x:v>
      </x:c>
      <x:c r="T6" s="80" t="str">
        <x:v>https://gs.amac.org.cn/amac-infodisc/res/pof/manager/1701161209103763.html</x:v>
      </x:c>
      <x:c r="U6" s="80" t="n">
        <x:f>'sheet2-计算明细'!AT26</x:f>
        <x:v>180</x:v>
      </x:c>
      <x:c r="V6" s="80" t="n">
        <x:f>COUNTIF($U$2:$U$127,"&lt;"&amp;U6)+1</x:f>
        <x:v>116</x:v>
      </x:c>
    </x:row>
    <x:row r="7" ht="27" customHeight="1">
      <x:c r="A7" s="66" t="n">
        <x:v>6</x:v>
      </x:c>
      <x:c r="B7" s="66" t="str">
        <x:f>IF(INDEX($L$2:$L$127,MATCH(A7,$V$2:$V$127,0))="","",INDEX($L$2:$L$127,MATCH(A7,$V$2:$V$127,0)))</x:f>
        <x:v>平凡凡响二号</x:v>
      </x:c>
      <x:c r="C7" s="66" t="str">
        <x:f>IF(INDEX($M$2:$M$127,MATCH(A7,$V$2:$V$127,0))="","",INDEX($M$2:$M$127,MATCH(A7,$V$2:$V$127,0)))</x:f>
        <x:v>SZU727</x:v>
      </x:c>
      <x:c r="D7" s="66" t="str">
        <x:f>IF(INDEX($N$2:$N$127,MATCH(A7,$V$2:$V$127,0))="","",INDEX($N$2:$N$127,MATCH(A7,$V$2:$V$127,0)))</x:f>
        <x:v>北京平凡</x:v>
      </x:c>
      <x:c r="E7" s="66" t="str">
        <x:f>IF(INDEX($O$2:$O$127,MATCH(A7,$V$2:$V$127,0))="","",INDEX($O$2:$O$127,MATCH(A7,$V$2:$V$127,0)))</x:f>
        <x:v>50-100亿元</x:v>
      </x:c>
      <x:c r="F7" s="77" t="n">
        <x:f>IF(INDEX($P$2:$P$127,MATCH(A7,$V$2:$V$127,0))="","",INDEX($P$2:$P$127,MATCH(A7,$V$2:$V$127,0)))</x:f>
        <x:v>88.08371</x:v>
      </x:c>
      <x:c r="G7" s="77" t="n">
        <x:f>IF(INDEX($Q$2:$Q$127,MATCH(A7,$V$2:$V$127,0))="","",INDEX($Q$2:$Q$127,MATCH(A7,$V$2:$V$127,0)))</x:f>
        <x:v>88.08</x:v>
      </x:c>
      <x:c r="H7" s="78" t="n">
        <x:f>IF(INDEX($R$2:$R$127,MATCH(A7,$V$2:$V$127,0))="","",INDEX($R$2:$R$127,MATCH(A7,$V$2:$V$127,0)))</x:f>
        <x:v>1</x:v>
      </x:c>
      <x:c r="I7" s="66" t="str">
        <x:f>IF(INDEX($S$2:$S$127,MATCH(A7,$V$2:$V$127,0))="","",INDEX($S$2:$S$127,MATCH(A7,$V$2:$V$127,0)))</x:f>
        <x:v>本次公示未见相关记录</x:v>
      </x:c>
      <x:c r="J7" s="66" t="str">
        <x:f>IF(INDEX($T$2:$T$127,MATCH(A7,$V$2:$V$127,0))="","",INDEX($T$2:$T$127,MATCH(A7,$V$2:$V$127,0)))</x:f>
        <x:v>https://gs.amac.org.cn/amac-infodisc/res/pof/manager/101000030286.html</x:v>
      </x:c>
      <x:c r="K7" s="66" t="n">
        <x:f>IF(INDEX($U$2:$U$127,MATCH(A7,$V$2:$V$127,0))="","",INDEX($U$2:$U$127,MATCH(A7,$V$2:$V$127,0)))</x:f>
        <x:v>10</x:v>
      </x:c>
      <x:c r="L7" s="80" t="str">
        <x:v>爱凡哲九号</x:v>
      </x:c>
      <x:c r="M7" s="80" t="str">
        <x:v>SJA112</x:v>
      </x:c>
      <x:c r="N7" s="80" t="str">
        <x:v>爱凡哲投资</x:v>
      </x:c>
      <x:c r="O7" s="80" t="str">
        <x:v>20-50亿元</x:v>
      </x:c>
      <x:c r="P7" s="81" t="n">
        <x:f>IF(ABS('sheet2-计算明细'!AQ27-1)&lt;0.00000001,'sheet2-计算明细'!AR27,"")</x:f>
        <x:v>87.75119000000001</x:v>
      </x:c>
      <x:c r="Q7" s="81" t="n">
        <x:f>'sheet2-计算明细'!AS27</x:f>
        <x:v>87.75</x:v>
      </x:c>
      <x:c r="R7" s="82" t="n">
        <x:f>'sheet2-计算明细'!AQ27</x:f>
        <x:v>1</x:v>
      </x:c>
      <x:c r="S7" s="80" t="str">
        <x:v>本次公示未见相关记录</x:v>
      </x:c>
      <x:c r="T7" s="80" t="str">
        <x:v>https://gs.amac.org.cn/amac-infodisc/res/pof/manager/1709181131101311.html</x:v>
      </x:c>
      <x:c r="U7" s="80" t="n">
        <x:f>'sheet2-计算明细'!AT27</x:f>
        <x:v>11</x:v>
      </x:c>
      <x:c r="V7" s="80" t="n">
        <x:f>COUNTIF($U$2:$U$127,"&lt;"&amp;U7)+1</x:f>
        <x:v>7</x:v>
      </x:c>
    </x:row>
    <x:row r="8" ht="27" customHeight="1">
      <x:c r="A8" s="66" t="n">
        <x:v>7</x:v>
      </x:c>
      <x:c r="B8" s="66" t="str">
        <x:f>IF(INDEX($L$2:$L$127,MATCH(A8,$V$2:$V$127,0))="","",INDEX($L$2:$L$127,MATCH(A8,$V$2:$V$127,0)))</x:f>
        <x:v>爱凡哲九号</x:v>
      </x:c>
      <x:c r="C8" s="66" t="str">
        <x:f>IF(INDEX($M$2:$M$127,MATCH(A8,$V$2:$V$127,0))="","",INDEX($M$2:$M$127,MATCH(A8,$V$2:$V$127,0)))</x:f>
        <x:v>SJA112</x:v>
      </x:c>
      <x:c r="D8" s="66" t="str">
        <x:f>IF(INDEX($N$2:$N$127,MATCH(A8,$V$2:$V$127,0))="","",INDEX($N$2:$N$127,MATCH(A8,$V$2:$V$127,0)))</x:f>
        <x:v>爱凡哲投资</x:v>
      </x:c>
      <x:c r="E8" s="66" t="str">
        <x:f>IF(INDEX($O$2:$O$127,MATCH(A8,$V$2:$V$127,0))="","",INDEX($O$2:$O$127,MATCH(A8,$V$2:$V$127,0)))</x:f>
        <x:v>20-50亿元</x:v>
      </x:c>
      <x:c r="F8" s="77" t="n">
        <x:f>IF(INDEX($P$2:$P$127,MATCH(A8,$V$2:$V$127,0))="","",INDEX($P$2:$P$127,MATCH(A8,$V$2:$V$127,0)))</x:f>
        <x:v>87.75119000000001</x:v>
      </x:c>
      <x:c r="G8" s="77" t="n">
        <x:f>IF(INDEX($Q$2:$Q$127,MATCH(A8,$V$2:$V$127,0))="","",INDEX($Q$2:$Q$127,MATCH(A8,$V$2:$V$127,0)))</x:f>
        <x:v>87.75</x:v>
      </x:c>
      <x:c r="H8" s="78" t="n">
        <x:f>IF(INDEX($R$2:$R$127,MATCH(A8,$V$2:$V$127,0))="","",INDEX($R$2:$R$127,MATCH(A8,$V$2:$V$127,0)))</x:f>
        <x:v>1</x:v>
      </x:c>
      <x:c r="I8" s="66" t="str">
        <x:f>IF(INDEX($S$2:$S$127,MATCH(A8,$V$2:$V$127,0))="","",INDEX($S$2:$S$127,MATCH(A8,$V$2:$V$127,0)))</x:f>
        <x:v>本次公示未见相关记录</x:v>
      </x:c>
      <x:c r="J8" s="66" t="str">
        <x:f>IF(INDEX($T$2:$T$127,MATCH(A8,$V$2:$V$127,0))="","",INDEX($T$2:$T$127,MATCH(A8,$V$2:$V$127,0)))</x:f>
        <x:v>https://gs.amac.org.cn/amac-infodisc/res/pof/manager/1709181131101311.html</x:v>
      </x:c>
      <x:c r="K8" s="66" t="n">
        <x:f>IF(INDEX($U$2:$U$127,MATCH(A8,$V$2:$V$127,0))="","",INDEX($U$2:$U$127,MATCH(A8,$V$2:$V$127,0)))</x:f>
        <x:v>11</x:v>
      </x:c>
      <x:c r="L8" s="80" t="str">
        <x:v>恒如套利三号</x:v>
      </x:c>
      <x:c r="M8" s="80" t="str">
        <x:v>SGQ731</x:v>
      </x:c>
      <x:c r="N8" s="80" t="str">
        <x:v>上海恒如投资</x:v>
      </x:c>
      <x:c r="O8" s="80" t="str">
        <x:v>5-10亿元</x:v>
      </x:c>
      <x:c r="P8" s="81" t="n">
        <x:f>IF(ABS('sheet2-计算明细'!AQ28-1)&lt;0.00000001,'sheet2-计算明细'!AR28,"")</x:f>
        <x:v>69.92063</x:v>
      </x:c>
      <x:c r="Q8" s="81" t="n">
        <x:f>'sheet2-计算明细'!AS28</x:f>
        <x:v>69.92</x:v>
      </x:c>
      <x:c r="R8" s="82" t="n">
        <x:f>'sheet2-计算明细'!AQ28</x:f>
        <x:v>1</x:v>
      </x:c>
      <x:c r="S8" s="80" t="str">
        <x:v>协会提示／报送异常</x:v>
      </x:c>
      <x:c r="T8" s="80" t="str">
        <x:v>https://gs.amac.org.cn/amac-infodisc/res/pof/manager/101000001221.html</x:v>
      </x:c>
      <x:c r="U8" s="80" t="n">
        <x:f>'sheet2-计算明细'!AT28</x:f>
        <x:v>72</x:v>
      </x:c>
      <x:c r="V8" s="80" t="n">
        <x:f>COUNTIF($U$2:$U$127,"&lt;"&amp;U8)+1</x:f>
        <x:v>48</x:v>
      </x:c>
    </x:row>
    <x:row r="9" ht="27" customHeight="1">
      <x:c r="A9" s="66" t="n">
        <x:v>8</x:v>
      </x:c>
      <x:c r="B9" s="66" t="str">
        <x:f>IF(INDEX($L$2:$L$127,MATCH(A9,$V$2:$V$127,0))="","",INDEX($L$2:$L$127,MATCH(A9,$V$2:$V$127,0)))</x:f>
        <x:v>奶酪鑫鑫宝二号</x:v>
      </x:c>
      <x:c r="C9" s="66" t="str">
        <x:f>IF(INDEX($M$2:$M$127,MATCH(A9,$V$2:$V$127,0))="","",INDEX($M$2:$M$127,MATCH(A9,$V$2:$V$127,0)))</x:f>
        <x:v>SB2838</x:v>
      </x:c>
      <x:c r="D9" s="66" t="str">
        <x:f>IF(INDEX($N$2:$N$127,MATCH(A9,$V$2:$V$127,0))="","",INDEX($N$2:$N$127,MATCH(A9,$V$2:$V$127,0)))</x:f>
        <x:v>广东奶酪</x:v>
      </x:c>
      <x:c r="E9" s="66" t="str">
        <x:f>IF(INDEX($O$2:$O$127,MATCH(A9,$V$2:$V$127,0))="","",INDEX($O$2:$O$127,MATCH(A9,$V$2:$V$127,0)))</x:f>
        <x:v>10-20亿元</x:v>
      </x:c>
      <x:c r="F9" s="77" t="str">
        <x:f>IF(INDEX($P$2:$P$127,MATCH(A9,$V$2:$V$127,0))="","",INDEX($P$2:$P$127,MATCH(A9,$V$2:$V$127,0)))</x:f>
      </x:c>
      <x:c r="G9" s="77" t="n">
        <x:f>IF(INDEX($Q$2:$Q$127,MATCH(A9,$V$2:$V$127,0))="","",INDEX($Q$2:$Q$127,MATCH(A9,$V$2:$V$127,0)))</x:f>
        <x:v>87.4</x:v>
      </x:c>
      <x:c r="H9" s="78" t="n">
        <x:f>IF(INDEX($R$2:$R$127,MATCH(A9,$V$2:$V$127,0))="","",INDEX($R$2:$R$127,MATCH(A9,$V$2:$V$127,0)))</x:f>
        <x:v>0.7</x:v>
      </x:c>
      <x:c r="I9" s="66" t="str">
        <x:f>IF(INDEX($S$2:$S$127,MATCH(A9,$V$2:$V$127,0))="","",INDEX($S$2:$S$127,MATCH(A9,$V$2:$V$127,0)))</x:f>
        <x:v>本次公示未见相关记录</x:v>
      </x:c>
      <x:c r="J9" s="66" t="str">
        <x:f>IF(INDEX($T$2:$T$127,MATCH(A9,$V$2:$V$127,0))="","",INDEX($T$2:$T$127,MATCH(A9,$V$2:$V$127,0)))</x:f>
        <x:v>https://gs.amac.org.cn/amac-infodisc/res/pof/manager/101000045017.html</x:v>
      </x:c>
      <x:c r="K9" s="66" t="n">
        <x:f>IF(INDEX($U$2:$U$127,MATCH(A9,$V$2:$V$127,0))="","",INDEX($U$2:$U$127,MATCH(A9,$V$2:$V$127,0)))</x:f>
        <x:v>12</x:v>
      </x:c>
      <x:c r="L9" s="80" t="str">
        <x:v>鹿秀驯鹿二号</x:v>
      </x:c>
      <x:c r="M9" s="80" t="str">
        <x:v>SGF269</x:v>
      </x:c>
      <x:c r="N9" s="80" t="str">
        <x:v>青岛鹿秀投资</x:v>
      </x:c>
      <x:c r="O9" s="80" t="str">
        <x:v>50-100亿元</x:v>
      </x:c>
      <x:c r="P9" s="81" t="n">
        <x:f>IF(ABS('sheet2-计算明细'!AQ29-1)&lt;0.00000001,'sheet2-计算明细'!AR29,"")</x:f>
        <x:v>60.82293</x:v>
      </x:c>
      <x:c r="Q9" s="81" t="n">
        <x:f>'sheet2-计算明细'!AS29</x:f>
        <x:v>60.82</x:v>
      </x:c>
      <x:c r="R9" s="82" t="n">
        <x:f>'sheet2-计算明细'!AQ29</x:f>
        <x:v>1</x:v>
      </x:c>
      <x:c r="S9" s="80" t="str">
        <x:v>协会提示／报送异常</x:v>
      </x:c>
      <x:c r="T9" s="80" t="str">
        <x:v>https://gs.amac.org.cn/amac-infodisc/res/pof/manager/1612231708101923.html</x:v>
      </x:c>
      <x:c r="U9" s="80" t="n">
        <x:f>'sheet2-计算明细'!AT29</x:f>
        <x:v>105</x:v>
      </x:c>
      <x:c r="V9" s="80" t="n">
        <x:f>COUNTIF($U$2:$U$127,"&lt;"&amp;U9)+1</x:f>
        <x:v>71</x:v>
      </x:c>
    </x:row>
    <x:row r="10" ht="27" customHeight="1">
      <x:c r="A10" s="66" t="n">
        <x:v>9</x:v>
      </x:c>
      <x:c r="B10" s="66" t="str">
        <x:f>IF(INDEX($L$2:$L$127,MATCH(A10,$V$2:$V$127,0))="","",INDEX($L$2:$L$127,MATCH(A10,$V$2:$V$127,0)))</x:f>
        <x:v>鹿秀统计套利1号</x:v>
      </x:c>
      <x:c r="C10" s="66" t="str">
        <x:f>IF(INDEX($M$2:$M$127,MATCH(A10,$V$2:$V$127,0))="","",INDEX($M$2:$M$127,MATCH(A10,$V$2:$V$127,0)))</x:f>
        <x:v>SJJ138</x:v>
      </x:c>
      <x:c r="D10" s="66" t="str">
        <x:f>IF(INDEX($N$2:$N$127,MATCH(A10,$V$2:$V$127,0))="","",INDEX($N$2:$N$127,MATCH(A10,$V$2:$V$127,0)))</x:f>
        <x:v>青岛鹿秀投资</x:v>
      </x:c>
      <x:c r="E10" s="66" t="str">
        <x:f>IF(INDEX($O$2:$O$127,MATCH(A10,$V$2:$V$127,0))="","",INDEX($O$2:$O$127,MATCH(A10,$V$2:$V$127,0)))</x:f>
        <x:v>50-100亿元</x:v>
      </x:c>
      <x:c r="F10" s="77" t="n">
        <x:f>IF(INDEX($P$2:$P$127,MATCH(A10,$V$2:$V$127,0))="","",INDEX($P$2:$P$127,MATCH(A10,$V$2:$V$127,0)))</x:f>
        <x:v>86.31353</x:v>
      </x:c>
      <x:c r="G10" s="77" t="n">
        <x:f>IF(INDEX($Q$2:$Q$127,MATCH(A10,$V$2:$V$127,0))="","",INDEX($Q$2:$Q$127,MATCH(A10,$V$2:$V$127,0)))</x:f>
        <x:v>86.31</x:v>
      </x:c>
      <x:c r="H10" s="78" t="n">
        <x:f>IF(INDEX($R$2:$R$127,MATCH(A10,$V$2:$V$127,0))="","",INDEX($R$2:$R$127,MATCH(A10,$V$2:$V$127,0)))</x:f>
        <x:v>1</x:v>
      </x:c>
      <x:c r="I10" s="66" t="str">
        <x:f>IF(INDEX($S$2:$S$127,MATCH(A10,$V$2:$V$127,0))="","",INDEX($S$2:$S$127,MATCH(A10,$V$2:$V$127,0)))</x:f>
        <x:v>协会提示／报送异常</x:v>
      </x:c>
      <x:c r="J10" s="66" t="str">
        <x:f>IF(INDEX($T$2:$T$127,MATCH(A10,$V$2:$V$127,0))="","",INDEX($T$2:$T$127,MATCH(A10,$V$2:$V$127,0)))</x:f>
        <x:v>https://gs.amac.org.cn/amac-infodisc/res/pof/manager/1612231708101923.html</x:v>
      </x:c>
      <x:c r="K10" s="66" t="n">
        <x:f>IF(INDEX($U$2:$U$127,MATCH(A10,$V$2:$V$127,0))="","",INDEX($U$2:$U$127,MATCH(A10,$V$2:$V$127,0)))</x:f>
        <x:v>14</x:v>
      </x:c>
      <x:c r="L10" s="80" t="str">
        <x:v>和熙新月1号</x:v>
      </x:c>
      <x:c r="M10" s="80" t="str">
        <x:v>SJG287</x:v>
      </x:c>
      <x:c r="N10" s="80" t="str">
        <x:v>浙江和熙资管</x:v>
      </x:c>
      <x:c r="O10" s="80" t="str">
        <x:v>5-10亿元</x:v>
      </x:c>
      <x:c r="P10" s="81" t="str">
        <x:f>IF(ABS('sheet2-计算明细'!AQ31-1)&lt;0.00000001,'sheet2-计算明细'!AR31,"")</x:f>
      </x:c>
      <x:c r="Q10" s="81" t="n">
        <x:f>'sheet2-计算明细'!AS31</x:f>
        <x:v>42.65</x:v>
      </x:c>
      <x:c r="R10" s="82" t="n">
        <x:f>'sheet2-计算明细'!AQ31</x:f>
        <x:v>0.88</x:v>
      </x:c>
      <x:c r="S10" s="80" t="str">
        <x:v>协会提示／报送异常</x:v>
      </x:c>
      <x:c r="T10" s="80" t="str">
        <x:v>https://gs.amac.org.cn/amac-infodisc/res/pof/manager/101000072213.html</x:v>
      </x:c>
      <x:c r="U10" s="80" t="n">
        <x:f>'sheet2-计算明细'!AT31</x:f>
        <x:v>166</x:v>
      </x:c>
      <x:c r="V10" s="80" t="n">
        <x:f>COUNTIF($U$2:$U$127,"&lt;"&amp;U10)+1</x:f>
        <x:v>107</x:v>
      </x:c>
    </x:row>
    <x:row r="11" ht="27" customHeight="1">
      <x:c r="A11" s="66" t="n">
        <x:v>10</x:v>
      </x:c>
      <x:c r="B11" s="66" t="str">
        <x:f>IF(INDEX($L$2:$L$127,MATCH(A11,$V$2:$V$127,0))="","",INDEX($L$2:$L$127,MATCH(A11,$V$2:$V$127,0)))</x:f>
        <x:v>江岳联接54期</x:v>
      </x:c>
      <x:c r="C11" s="66" t="str">
        <x:f>IF(INDEX($M$2:$M$127,MATCH(A11,$V$2:$V$127,0))="","",INDEX($M$2:$M$127,MATCH(A11,$V$2:$V$127,0)))</x:f>
        <x:v>SZJ846</x:v>
      </x:c>
      <x:c r="D11" s="66" t="str">
        <x:f>IF(INDEX($N$2:$N$127,MATCH(A11,$V$2:$V$127,0))="","",INDEX($N$2:$N$127,MATCH(A11,$V$2:$V$127,0)))</x:f>
        <x:v>西安江岳</x:v>
      </x:c>
      <x:c r="E11" s="66" t="str">
        <x:f>IF(INDEX($O$2:$O$127,MATCH(A11,$V$2:$V$127,0))="","",INDEX($O$2:$O$127,MATCH(A11,$V$2:$V$127,0)))</x:f>
        <x:v>10-20亿元</x:v>
      </x:c>
      <x:c r="F11" s="77" t="n">
        <x:f>IF(INDEX($P$2:$P$127,MATCH(A11,$V$2:$V$127,0))="","",INDEX($P$2:$P$127,MATCH(A11,$V$2:$V$127,0)))</x:f>
        <x:v>85.91184</x:v>
      </x:c>
      <x:c r="G11" s="77" t="n">
        <x:f>IF(INDEX($Q$2:$Q$127,MATCH(A11,$V$2:$V$127,0))="","",INDEX($Q$2:$Q$127,MATCH(A11,$V$2:$V$127,0)))</x:f>
        <x:v>85.91</x:v>
      </x:c>
      <x:c r="H11" s="78" t="n">
        <x:f>IF(INDEX($R$2:$R$127,MATCH(A11,$V$2:$V$127,0))="","",INDEX($R$2:$R$127,MATCH(A11,$V$2:$V$127,0)))</x:f>
        <x:v>1</x:v>
      </x:c>
      <x:c r="I11" s="66" t="str">
        <x:f>IF(INDEX($S$2:$S$127,MATCH(A11,$V$2:$V$127,0))="","",INDEX($S$2:$S$127,MATCH(A11,$V$2:$V$127,0)))</x:f>
        <x:v>本次公示未见相关记录</x:v>
      </x:c>
      <x:c r="J11" s="66" t="str">
        <x:f>IF(INDEX($T$2:$T$127,MATCH(A11,$V$2:$V$127,0))="","",INDEX($T$2:$T$127,MATCH(A11,$V$2:$V$127,0)))</x:f>
        <x:v>https://gs.amac.org.cn/amac-infodisc/res/pof/manager/1703241729101117.html</x:v>
      </x:c>
      <x:c r="K11" s="66" t="n">
        <x:f>IF(INDEX($U$2:$U$127,MATCH(A11,$V$2:$V$127,0))="","",INDEX($U$2:$U$127,MATCH(A11,$V$2:$V$127,0)))</x:f>
        <x:v>15</x:v>
      </x:c>
      <x:c r="L11" s="80" t="str">
        <x:v>鹿秀统计套利1号</x:v>
      </x:c>
      <x:c r="M11" s="80" t="str">
        <x:v>SJJ138</x:v>
      </x:c>
      <x:c r="N11" s="80" t="str">
        <x:v>青岛鹿秀投资</x:v>
      </x:c>
      <x:c r="O11" s="80" t="str">
        <x:v>50-100亿元</x:v>
      </x:c>
      <x:c r="P11" s="81" t="n">
        <x:f>IF(ABS('sheet2-计算明细'!AQ32-1)&lt;0.00000001,'sheet2-计算明细'!AR32,"")</x:f>
        <x:v>86.31353</x:v>
      </x:c>
      <x:c r="Q11" s="81" t="n">
        <x:f>'sheet2-计算明细'!AS32</x:f>
        <x:v>86.31</x:v>
      </x:c>
      <x:c r="R11" s="82" t="n">
        <x:f>'sheet2-计算明细'!AQ32</x:f>
        <x:v>1</x:v>
      </x:c>
      <x:c r="S11" s="80" t="str">
        <x:v>协会提示／报送异常</x:v>
      </x:c>
      <x:c r="T11" s="80" t="str">
        <x:v>https://gs.amac.org.cn/amac-infodisc/res/pof/manager/1612231708101923.html</x:v>
      </x:c>
      <x:c r="U11" s="80" t="n">
        <x:f>'sheet2-计算明细'!AT32</x:f>
        <x:v>14</x:v>
      </x:c>
      <x:c r="V11" s="80" t="n">
        <x:f>COUNTIF($U$2:$U$127,"&lt;"&amp;U11)+1</x:f>
        <x:v>9</x:v>
      </x:c>
    </x:row>
    <x:row r="12" ht="27" customHeight="1">
      <x:c r="A12" s="66" t="n">
        <x:v>11</x:v>
      </x:c>
      <x:c r="B12" s="66" t="str">
        <x:f>IF(INDEX($L$2:$L$127,MATCH(A12,$V$2:$V$127,0))="","",INDEX($L$2:$L$127,MATCH(A12,$V$2:$V$127,0)))</x:f>
        <x:v>常行7号</x:v>
      </x:c>
      <x:c r="C12" s="66" t="str">
        <x:f>IF(INDEX($M$2:$M$127,MATCH(A12,$V$2:$V$127,0))="","",INDEX($M$2:$M$127,MATCH(A12,$V$2:$V$127,0)))</x:f>
        <x:v>SQH214</x:v>
      </x:c>
      <x:c r="D12" s="66" t="str">
        <x:f>IF(INDEX($N$2:$N$127,MATCH(A12,$V$2:$V$127,0))="","",INDEX($N$2:$N$127,MATCH(A12,$V$2:$V$127,0)))</x:f>
        <x:v>江苏常行投资</x:v>
      </x:c>
      <x:c r="E12" s="66" t="str">
        <x:f>IF(INDEX($O$2:$O$127,MATCH(A12,$V$2:$V$127,0))="","",INDEX($O$2:$O$127,MATCH(A12,$V$2:$V$127,0)))</x:f>
        <x:v>5-10亿元</x:v>
      </x:c>
      <x:c r="F12" s="77" t="n">
        <x:f>IF(INDEX($P$2:$P$127,MATCH(A12,$V$2:$V$127,0))="","",INDEX($P$2:$P$127,MATCH(A12,$V$2:$V$127,0)))</x:f>
        <x:v>85.65429999999999</x:v>
      </x:c>
      <x:c r="G12" s="77" t="n">
        <x:f>IF(INDEX($Q$2:$Q$127,MATCH(A12,$V$2:$V$127,0))="","",INDEX($Q$2:$Q$127,MATCH(A12,$V$2:$V$127,0)))</x:f>
        <x:v>85.65</x:v>
      </x:c>
      <x:c r="H12" s="78" t="n">
        <x:f>IF(INDEX($R$2:$R$127,MATCH(A12,$V$2:$V$127,0))="","",INDEX($R$2:$R$127,MATCH(A12,$V$2:$V$127,0)))</x:f>
        <x:v>1</x:v>
      </x:c>
      <x:c r="I12" s="66" t="str">
        <x:f>IF(INDEX($S$2:$S$127,MATCH(A12,$V$2:$V$127,0))="","",INDEX($S$2:$S$127,MATCH(A12,$V$2:$V$127,0)))</x:f>
        <x:v>本次公示未见相关记录</x:v>
      </x:c>
      <x:c r="J12" s="66" t="str">
        <x:f>IF(INDEX($T$2:$T$127,MATCH(A12,$V$2:$V$127,0))="","",INDEX($T$2:$T$127,MATCH(A12,$V$2:$V$127,0)))</x:f>
        <x:v>https://gs.amac.org.cn/amac-infodisc/res/pof/manager/101000022360.html</x:v>
      </x:c>
      <x:c r="K12" s="66" t="n">
        <x:f>IF(INDEX($U$2:$U$127,MATCH(A12,$V$2:$V$127,0))="","",INDEX($U$2:$U$127,MATCH(A12,$V$2:$V$127,0)))</x:f>
        <x:v>16</x:v>
      </x:c>
      <x:c r="L12" s="80" t="str">
        <x:v>唐龙量化对冲99号</x:v>
      </x:c>
      <x:c r="M12" s="80" t="str">
        <x:v>SJQ683</x:v>
      </x:c>
      <x:c r="N12" s="80" t="str">
        <x:v>福建平潭唐龙资管</x:v>
      </x:c>
      <x:c r="O12" s="80" t="str">
        <x:v>5-10亿元</x:v>
      </x:c>
      <x:c r="P12" s="81" t="n">
        <x:f>IF(ABS('sheet2-计算明细'!AQ33-1)&lt;0.00000001,'sheet2-计算明细'!AR33,"")</x:f>
        <x:v>47.019670000000005</x:v>
      </x:c>
      <x:c r="Q12" s="81" t="n">
        <x:f>'sheet2-计算明细'!AS33</x:f>
        <x:v>47.02</x:v>
      </x:c>
      <x:c r="R12" s="82" t="n">
        <x:f>'sheet2-计算明细'!AQ33</x:f>
        <x:v>1</x:v>
      </x:c>
      <x:c r="S12" s="80" t="str">
        <x:v>本次公示未见相关记录</x:v>
      </x:c>
      <x:c r="T12" s="80" t="str">
        <x:v>https://gs.amac.org.cn/amac-infodisc/res/pof/manager/1708091719102142.html</x:v>
      </x:c>
      <x:c r="U12" s="80" t="n">
        <x:f>'sheet2-计算明细'!AT33</x:f>
        <x:v>154</x:v>
      </x:c>
      <x:c r="V12" s="80" t="n">
        <x:f>COUNTIF($U$2:$U$127,"&lt;"&amp;U12)+1</x:f>
        <x:v>101</x:v>
      </x:c>
    </x:row>
    <x:row r="13" ht="27" customHeight="1">
      <x:c r="A13" s="66" t="n">
        <x:v>12</x:v>
      </x:c>
      <x:c r="B13" s="66" t="str">
        <x:f>IF(INDEX($L$2:$L$127,MATCH(A13,$V$2:$V$127,0))="","",INDEX($L$2:$L$127,MATCH(A13,$V$2:$V$127,0)))</x:f>
        <x:v>平凡浩睿</x:v>
      </x:c>
      <x:c r="C13" s="66" t="str">
        <x:f>IF(INDEX($M$2:$M$127,MATCH(A13,$V$2:$V$127,0))="","",INDEX($M$2:$M$127,MATCH(A13,$V$2:$V$127,0)))</x:f>
        <x:v>SJS890</x:v>
      </x:c>
      <x:c r="D13" s="66" t="str">
        <x:f>IF(INDEX($N$2:$N$127,MATCH(A13,$V$2:$V$127,0))="","",INDEX($N$2:$N$127,MATCH(A13,$V$2:$V$127,0)))</x:f>
        <x:v>北京平凡</x:v>
      </x:c>
      <x:c r="E13" s="66" t="str">
        <x:f>IF(INDEX($O$2:$O$127,MATCH(A13,$V$2:$V$127,0))="","",INDEX($O$2:$O$127,MATCH(A13,$V$2:$V$127,0)))</x:f>
        <x:v>50-100亿元</x:v>
      </x:c>
      <x:c r="F13" s="77" t="n">
        <x:f>IF(INDEX($P$2:$P$127,MATCH(A13,$V$2:$V$127,0))="","",INDEX($P$2:$P$127,MATCH(A13,$V$2:$V$127,0)))</x:f>
        <x:v>85.46762</x:v>
      </x:c>
      <x:c r="G13" s="77" t="n">
        <x:f>IF(INDEX($Q$2:$Q$127,MATCH(A13,$V$2:$V$127,0))="","",INDEX($Q$2:$Q$127,MATCH(A13,$V$2:$V$127,0)))</x:f>
        <x:v>85.47</x:v>
      </x:c>
      <x:c r="H13" s="78" t="n">
        <x:f>IF(INDEX($R$2:$R$127,MATCH(A13,$V$2:$V$127,0))="","",INDEX($R$2:$R$127,MATCH(A13,$V$2:$V$127,0)))</x:f>
        <x:v>1</x:v>
      </x:c>
      <x:c r="I13" s="66" t="str">
        <x:f>IF(INDEX($S$2:$S$127,MATCH(A13,$V$2:$V$127,0))="","",INDEX($S$2:$S$127,MATCH(A13,$V$2:$V$127,0)))</x:f>
        <x:v>本次公示未见相关记录</x:v>
      </x:c>
      <x:c r="J13" s="66" t="str">
        <x:f>IF(INDEX($T$2:$T$127,MATCH(A13,$V$2:$V$127,0))="","",INDEX($T$2:$T$127,MATCH(A13,$V$2:$V$127,0)))</x:f>
        <x:v>https://gs.amac.org.cn/amac-infodisc/res/pof/manager/101000030286.html</x:v>
      </x:c>
      <x:c r="K13" s="66" t="n">
        <x:f>IF(INDEX($U$2:$U$127,MATCH(A13,$V$2:$V$127,0))="","",INDEX($U$2:$U$127,MATCH(A13,$V$2:$V$127,0)))</x:f>
        <x:v>17</x:v>
      </x:c>
      <x:c r="L13" s="80" t="str">
        <x:v>凡德量化八号</x:v>
      </x:c>
      <x:c r="M13" s="80" t="str">
        <x:v>SJS811</x:v>
      </x:c>
      <x:c r="N13" s="80" t="str">
        <x:v>广东凡德投资</x:v>
      </x:c>
      <x:c r="O13" s="80" t="str">
        <x:v>5-10亿元</x:v>
      </x:c>
      <x:c r="P13" s="81" t="str">
        <x:f>IF(ABS('sheet2-计算明细'!AQ34-1)&lt;0.00000001,'sheet2-计算明细'!AR34,"")</x:f>
      </x:c>
      <x:c r="Q13" s="81" t="n">
        <x:f>'sheet2-计算明细'!AS34</x:f>
        <x:v>41.77</x:v>
      </x:c>
      <x:c r="R13" s="82" t="n">
        <x:f>'sheet2-计算明细'!AQ34</x:f>
        <x:v>0.88</x:v>
      </x:c>
      <x:c r="S13" s="80" t="str">
        <x:v>本次公示未见相关记录</x:v>
      </x:c>
      <x:c r="T13" s="80" t="str">
        <x:v>https://gs.amac.org.cn/amac-infodisc/res/pof/manager/101000000695.html</x:v>
      </x:c>
      <x:c r="U13" s="80" t="n">
        <x:f>'sheet2-计算明细'!AT34</x:f>
        <x:v>170</x:v>
      </x:c>
      <x:c r="V13" s="80" t="n">
        <x:f>COUNTIF($U$2:$U$127,"&lt;"&amp;U13)+1</x:f>
        <x:v>109</x:v>
      </x:c>
    </x:row>
    <x:row r="14" ht="27" customHeight="1">
      <x:c r="A14" s="66" t="n">
        <x:v>13</x:v>
      </x:c>
      <x:c r="B14" s="66" t="str">
        <x:f>IF(INDEX($L$2:$L$127,MATCH(A14,$V$2:$V$127,0))="","",INDEX($L$2:$L$127,MATCH(A14,$V$2:$V$127,0)))</x:f>
        <x:v>慕途稳健2号</x:v>
      </x:c>
      <x:c r="C14" s="66" t="str">
        <x:f>IF(INDEX($M$2:$M$127,MATCH(A14,$V$2:$V$127,0))="","",INDEX($M$2:$M$127,MATCH(A14,$V$2:$V$127,0)))</x:f>
        <x:v>SXW938</x:v>
      </x:c>
      <x:c r="D14" s="66" t="str">
        <x:f>IF(INDEX($N$2:$N$127,MATCH(A14,$V$2:$V$127,0))="","",INDEX($N$2:$N$127,MATCH(A14,$V$2:$V$127,0)))</x:f>
        <x:v>慕途基金</x:v>
      </x:c>
      <x:c r="E14" s="66" t="str">
        <x:f>IF(INDEX($O$2:$O$127,MATCH(A14,$V$2:$V$127,0))="","",INDEX($O$2:$O$127,MATCH(A14,$V$2:$V$127,0)))</x:f>
        <x:v>10-20亿元</x:v>
      </x:c>
      <x:c r="F14" s="77" t="str">
        <x:f>IF(INDEX($P$2:$P$127,MATCH(A14,$V$2:$V$127,0))="","",INDEX($P$2:$P$127,MATCH(A14,$V$2:$V$127,0)))</x:f>
      </x:c>
      <x:c r="G14" s="77" t="n">
        <x:f>IF(INDEX($Q$2:$Q$127,MATCH(A14,$V$2:$V$127,0))="","",INDEX($Q$2:$Q$127,MATCH(A14,$V$2:$V$127,0)))</x:f>
        <x:v>85.34</x:v>
      </x:c>
      <x:c r="H14" s="78" t="n">
        <x:f>IF(INDEX($R$2:$R$127,MATCH(A14,$V$2:$V$127,0))="","",INDEX($R$2:$R$127,MATCH(A14,$V$2:$V$127,0)))</x:f>
        <x:v>0.856</x:v>
      </x:c>
      <x:c r="I14" s="66" t="str">
        <x:f>IF(INDEX($S$2:$S$127,MATCH(A14,$V$2:$V$127,0))="","",INDEX($S$2:$S$127,MATCH(A14,$V$2:$V$127,0)))</x:f>
        <x:v>本次公示未见相关记录</x:v>
      </x:c>
      <x:c r="J14" s="66" t="str">
        <x:f>IF(INDEX($T$2:$T$127,MATCH(A14,$V$2:$V$127,0))="","",INDEX($T$2:$T$127,MATCH(A14,$V$2:$V$127,0)))</x:f>
        <x:v>https://gs.amac.org.cn/amac-infodisc/res/pof/manager/2106221238106983.html</x:v>
      </x:c>
      <x:c r="K14" s="66" t="n">
        <x:f>IF(INDEX($U$2:$U$127,MATCH(A14,$V$2:$V$127,0))="","",INDEX($U$2:$U$127,MATCH(A14,$V$2:$V$127,0)))</x:f>
        <x:v>18</x:v>
      </x:c>
      <x:c r="L14" s="80" t="str">
        <x:v>犇牛稳进3号</x:v>
      </x:c>
      <x:c r="M14" s="80" t="str">
        <x:v>SNE543</x:v>
      </x:c>
      <x:c r="N14" s="80" t="str">
        <x:v>上海犇牛</x:v>
      </x:c>
      <x:c r="O14" s="80" t="str">
        <x:v>10-20亿元</x:v>
      </x:c>
      <x:c r="P14" s="81" t="n">
        <x:f>IF(ABS('sheet2-计算明细'!AQ41-1)&lt;0.00000001,'sheet2-计算明细'!AR41,"")</x:f>
        <x:v>65.87608</x:v>
      </x:c>
      <x:c r="Q14" s="81" t="n">
        <x:f>'sheet2-计算明细'!AS41</x:f>
        <x:v>65.88</x:v>
      </x:c>
      <x:c r="R14" s="82" t="n">
        <x:f>'sheet2-计算明细'!AQ41</x:f>
        <x:v>1</x:v>
      </x:c>
      <x:c r="S14" s="80" t="str">
        <x:v>协会提示／报送异常</x:v>
      </x:c>
      <x:c r="T14" s="80" t="str">
        <x:v>https://gs.amac.org.cn/amac-infodisc/res/pof/manager/101000013203.html</x:v>
      </x:c>
      <x:c r="U14" s="80" t="n">
        <x:f>'sheet2-计算明细'!AT41</x:f>
        <x:v>86</x:v>
      </x:c>
      <x:c r="V14" s="80" t="n">
        <x:f>COUNTIF($U$2:$U$127,"&lt;"&amp;U14)+1</x:f>
        <x:v>58</x:v>
      </x:c>
    </x:row>
    <x:row r="15" ht="27" customHeight="1">
      <x:c r="A15" s="66" t="n">
        <x:v>14</x:v>
      </x:c>
      <x:c r="B15" s="66" t="str">
        <x:f>IF(INDEX($L$2:$L$127,MATCH(A15,$V$2:$V$127,0))="","",INDEX($L$2:$L$127,MATCH(A15,$V$2:$V$127,0)))</x:f>
        <x:v>九招真格量化套利一号</x:v>
      </x:c>
      <x:c r="C15" s="66" t="str">
        <x:f>IF(INDEX($M$2:$M$127,MATCH(A15,$V$2:$V$127,0))="","",INDEX($M$2:$M$127,MATCH(A15,$V$2:$V$127,0)))</x:f>
        <x:v>SQD546</x:v>
      </x:c>
      <x:c r="D15" s="66" t="str">
        <x:f>IF(INDEX($N$2:$N$127,MATCH(A15,$V$2:$V$127,0))="","",INDEX($N$2:$N$127,MATCH(A15,$V$2:$V$127,0)))</x:f>
        <x:v>武汉九招</x:v>
      </x:c>
      <x:c r="E15" s="66" t="str">
        <x:f>IF(INDEX($O$2:$O$127,MATCH(A15,$V$2:$V$127,0))="","",INDEX($O$2:$O$127,MATCH(A15,$V$2:$V$127,0)))</x:f>
        <x:v>5-10亿元</x:v>
      </x:c>
      <x:c r="F15" s="77" t="n">
        <x:f>IF(INDEX($P$2:$P$127,MATCH(A15,$V$2:$V$127,0))="","",INDEX($P$2:$P$127,MATCH(A15,$V$2:$V$127,0)))</x:f>
        <x:v>85.32902999999999</x:v>
      </x:c>
      <x:c r="G15" s="77" t="n">
        <x:f>IF(INDEX($Q$2:$Q$127,MATCH(A15,$V$2:$V$127,0))="","",INDEX($Q$2:$Q$127,MATCH(A15,$V$2:$V$127,0)))</x:f>
        <x:v>85.33</x:v>
      </x:c>
      <x:c r="H15" s="78" t="n">
        <x:f>IF(INDEX($R$2:$R$127,MATCH(A15,$V$2:$V$127,0))="","",INDEX($R$2:$R$127,MATCH(A15,$V$2:$V$127,0)))</x:f>
        <x:v>1</x:v>
      </x:c>
      <x:c r="I15" s="66" t="str">
        <x:f>IF(INDEX($S$2:$S$127,MATCH(A15,$V$2:$V$127,0))="","",INDEX($S$2:$S$127,MATCH(A15,$V$2:$V$127,0)))</x:f>
        <x:v>监管警示函</x:v>
      </x:c>
      <x:c r="J15" s="66" t="str">
        <x:f>IF(INDEX($T$2:$T$127,MATCH(A15,$V$2:$V$127,0))="","",INDEX($T$2:$T$127,MATCH(A15,$V$2:$V$127,0)))</x:f>
        <x:v>https://gs.amac.org.cn/amac-infodisc/res/pof/manager/2301051740101642.html</x:v>
      </x:c>
      <x:c r="K15" s="66" t="n">
        <x:f>IF(INDEX($U$2:$U$127,MATCH(A15,$V$2:$V$127,0))="","",INDEX($U$2:$U$127,MATCH(A15,$V$2:$V$127,0)))</x:f>
        <x:v>19</x:v>
      </x:c>
      <x:c r="L15" s="80" t="str">
        <x:v>致同云峰A</x:v>
      </x:c>
      <x:c r="M15" s="80" t="str">
        <x:v>SNB380</x:v>
      </x:c>
      <x:c r="N15" s="80" t="str">
        <x:v>上海致同投资</x:v>
      </x:c>
      <x:c r="O15" s="80" t="str">
        <x:v>20-50亿元</x:v>
      </x:c>
      <x:c r="P15" s="81" t="str">
        <x:f>IF(ABS('sheet2-计算明细'!AQ42-1)&lt;0.00000001,'sheet2-计算明细'!AR42,"")</x:f>
      </x:c>
      <x:c r="Q15" s="81" t="n">
        <x:f>'sheet2-计算明细'!AS42</x:f>
        <x:v>69.47</x:v>
      </x:c>
      <x:c r="R15" s="82" t="n">
        <x:f>'sheet2-计算明细'!AQ42</x:f>
        <x:v>0.88</x:v>
      </x:c>
      <x:c r="S15" s="80" t="str">
        <x:v>监管警示函</x:v>
      </x:c>
      <x:c r="T15" s="80" t="str">
        <x:v>https://gs.amac.org.cn/amac-infodisc/res/pof/manager/101000004339.html</x:v>
      </x:c>
      <x:c r="U15" s="80" t="n">
        <x:f>'sheet2-计算明细'!AT42</x:f>
        <x:v>74</x:v>
      </x:c>
      <x:c r="V15" s="80" t="n">
        <x:f>COUNTIF($U$2:$U$127,"&lt;"&amp;U15)+1</x:f>
        <x:v>49</x:v>
      </x:c>
    </x:row>
    <x:row r="16" ht="27" customHeight="1">
      <x:c r="A16" s="66" t="n">
        <x:v>15</x:v>
      </x:c>
      <x:c r="B16" s="66" t="str">
        <x:f>IF(INDEX($L$2:$L$127,MATCH(A16,$V$2:$V$127,0))="","",INDEX($L$2:$L$127,MATCH(A16,$V$2:$V$127,0)))</x:f>
        <x:v>奶酪平价套利稳健一号</x:v>
      </x:c>
      <x:c r="C16" s="66" t="str">
        <x:f>IF(INDEX($M$2:$M$127,MATCH(A16,$V$2:$V$127,0))="","",INDEX($M$2:$M$127,MATCH(A16,$V$2:$V$127,0)))</x:f>
        <x:v>SAAS17</x:v>
      </x:c>
      <x:c r="D16" s="66" t="str">
        <x:f>IF(INDEX($N$2:$N$127,MATCH(A16,$V$2:$V$127,0))="","",INDEX($N$2:$N$127,MATCH(A16,$V$2:$V$127,0)))</x:f>
        <x:v>广东奶酪</x:v>
      </x:c>
      <x:c r="E16" s="66" t="str">
        <x:f>IF(INDEX($O$2:$O$127,MATCH(A16,$V$2:$V$127,0))="","",INDEX($O$2:$O$127,MATCH(A16,$V$2:$V$127,0)))</x:f>
        <x:v>10-20亿元</x:v>
      </x:c>
      <x:c r="F16" s="77" t="n">
        <x:f>IF(INDEX($P$2:$P$127,MATCH(A16,$V$2:$V$127,0))="","",INDEX($P$2:$P$127,MATCH(A16,$V$2:$V$127,0)))</x:f>
        <x:v>83.88114</x:v>
      </x:c>
      <x:c r="G16" s="77" t="n">
        <x:f>IF(INDEX($Q$2:$Q$127,MATCH(A16,$V$2:$V$127,0))="","",INDEX($Q$2:$Q$127,MATCH(A16,$V$2:$V$127,0)))</x:f>
        <x:v>83.88</x:v>
      </x:c>
      <x:c r="H16" s="78" t="n">
        <x:f>IF(INDEX($R$2:$R$127,MATCH(A16,$V$2:$V$127,0))="","",INDEX($R$2:$R$127,MATCH(A16,$V$2:$V$127,0)))</x:f>
        <x:v>1</x:v>
      </x:c>
      <x:c r="I16" s="66" t="str">
        <x:f>IF(INDEX($S$2:$S$127,MATCH(A16,$V$2:$V$127,0))="","",INDEX($S$2:$S$127,MATCH(A16,$V$2:$V$127,0)))</x:f>
        <x:v>本次公示未见相关记录</x:v>
      </x:c>
      <x:c r="J16" s="66" t="str">
        <x:f>IF(INDEX($T$2:$T$127,MATCH(A16,$V$2:$V$127,0))="","",INDEX($T$2:$T$127,MATCH(A16,$V$2:$V$127,0)))</x:f>
        <x:v>https://gs.amac.org.cn/amac-infodisc/res/pof/manager/101000045017.html</x:v>
      </x:c>
      <x:c r="K16" s="66" t="n">
        <x:f>IF(INDEX($U$2:$U$127,MATCH(A16,$V$2:$V$127,0))="","",INDEX($U$2:$U$127,MATCH(A16,$V$2:$V$127,0)))</x:f>
        <x:v>22</x:v>
      </x:c>
      <x:c r="L16" s="80" t="str">
        <x:v>橡杉量化套利十号</x:v>
      </x:c>
      <x:c r="M16" s="80" t="str">
        <x:v>SLY435</x:v>
      </x:c>
      <x:c r="N16" s="80" t="str">
        <x:v>上海橡杉资管</x:v>
      </x:c>
      <x:c r="O16" s="80" t="str">
        <x:v>5-10亿元</x:v>
      </x:c>
      <x:c r="P16" s="81" t="str">
        <x:f>IF(ABS('sheet2-计算明细'!AQ43-1)&lt;0.00000001,'sheet2-计算明细'!AR43,"")</x:f>
      </x:c>
      <x:c r="Q16" s="81" t="n">
        <x:f>'sheet2-计算明细'!AS43</x:f>
        <x:v>73.72</x:v>
      </x:c>
      <x:c r="R16" s="82" t="n">
        <x:f>'sheet2-计算明细'!AQ43</x:f>
        <x:v>0.88</x:v>
      </x:c>
      <x:c r="S16" s="80" t="str">
        <x:v>本次公示未见相关记录</x:v>
      </x:c>
      <x:c r="T16" s="80" t="str">
        <x:v>https://gs.amac.org.cn/amac-infodisc/res/pof/manager/1609080127100430.html</x:v>
      </x:c>
      <x:c r="U16" s="80" t="n">
        <x:f>'sheet2-计算明细'!AT43</x:f>
        <x:v>53</x:v>
      </x:c>
      <x:c r="V16" s="80" t="n">
        <x:f>COUNTIF($U$2:$U$127,"&lt;"&amp;U16)+1</x:f>
        <x:v>37</x:v>
      </x:c>
    </x:row>
    <x:row r="17" ht="27" customHeight="1">
      <x:c r="A17" s="66" t="n">
        <x:v>16</x:v>
      </x:c>
      <x:c r="B17" s="66" t="str">
        <x:f>IF(INDEX($L$2:$L$127,MATCH(A17,$V$2:$V$127,0))="","",INDEX($L$2:$L$127,MATCH(A17,$V$2:$V$127,0)))</x:f>
        <x:v>鸣熙资产-招享套利1号</x:v>
      </x:c>
      <x:c r="C17" s="66" t="str">
        <x:f>IF(INDEX($M$2:$M$127,MATCH(A17,$V$2:$V$127,0))="","",INDEX($M$2:$M$127,MATCH(A17,$V$2:$V$127,0)))</x:f>
        <x:v>SJZ381</x:v>
      </x:c>
      <x:c r="D17" s="66" t="str">
        <x:f>IF(INDEX($N$2:$N$127,MATCH(A17,$V$2:$V$127,0))="","",INDEX($N$2:$N$127,MATCH(A17,$V$2:$V$127,0)))</x:f>
        <x:v>鸣熙资本</x:v>
      </x:c>
      <x:c r="E17" s="66" t="str">
        <x:f>IF(INDEX($O$2:$O$127,MATCH(A17,$V$2:$V$127,0))="","",INDEX($O$2:$O$127,MATCH(A17,$V$2:$V$127,0)))</x:f>
        <x:v>100亿元以上</x:v>
      </x:c>
      <x:c r="F17" s="77" t="str">
        <x:f>IF(INDEX($P$2:$P$127,MATCH(A17,$V$2:$V$127,0))="","",INDEX($P$2:$P$127,MATCH(A17,$V$2:$V$127,0)))</x:f>
      </x:c>
      <x:c r="G17" s="77" t="n">
        <x:f>IF(INDEX($Q$2:$Q$127,MATCH(A17,$V$2:$V$127,0))="","",INDEX($Q$2:$Q$127,MATCH(A17,$V$2:$V$127,0)))</x:f>
        <x:v>82.31</x:v>
      </x:c>
      <x:c r="H17" s="78" t="n">
        <x:f>IF(INDEX($R$2:$R$127,MATCH(A17,$V$2:$V$127,0))="","",INDEX($R$2:$R$127,MATCH(A17,$V$2:$V$127,0)))</x:f>
        <x:v>0.856</x:v>
      </x:c>
      <x:c r="I17" s="66" t="str">
        <x:f>IF(INDEX($S$2:$S$127,MATCH(A17,$V$2:$V$127,0))="","",INDEX($S$2:$S$127,MATCH(A17,$V$2:$V$127,0)))</x:f>
        <x:v>本次公示未见相关记录</x:v>
      </x:c>
      <x:c r="J17" s="66" t="str">
        <x:f>IF(INDEX($T$2:$T$127,MATCH(A17,$V$2:$V$127,0))="","",INDEX($T$2:$T$127,MATCH(A17,$V$2:$V$127,0)))</x:f>
        <x:v>https://gs.amac.org.cn/amac-infodisc/res/pof/manager/101000039347.html</x:v>
      </x:c>
      <x:c r="K17" s="66" t="n">
        <x:f>IF(INDEX($U$2:$U$127,MATCH(A17,$V$2:$V$127,0))="","",INDEX($U$2:$U$127,MATCH(A17,$V$2:$V$127,0)))</x:f>
        <x:v>25</x:v>
      </x:c>
      <x:c r="L17" s="80" t="str">
        <x:v>裕锦量化专享1号</x:v>
      </x:c>
      <x:c r="M17" s="80" t="str">
        <x:v>SNE165</x:v>
      </x:c>
      <x:c r="N17" s="80" t="str">
        <x:v>深圳裕锦</x:v>
      </x:c>
      <x:c r="O17" s="80" t="str">
        <x:v>10-20亿元</x:v>
      </x:c>
      <x:c r="P17" s="81" t="n">
        <x:f>IF(ABS('sheet2-计算明细'!AQ44-1)&lt;0.00000001,'sheet2-计算明细'!AR44,"")</x:f>
        <x:v>91.77708</x:v>
      </x:c>
      <x:c r="Q17" s="81" t="n">
        <x:f>'sheet2-计算明细'!AS44</x:f>
        <x:v>91.78</x:v>
      </x:c>
      <x:c r="R17" s="82" t="n">
        <x:f>'sheet2-计算明细'!AQ44</x:f>
        <x:v>1</x:v>
      </x:c>
      <x:c r="S17" s="80" t="str">
        <x:v>协会提示／报送异常</x:v>
      </x:c>
      <x:c r="T17" s="80" t="str">
        <x:v>https://gs.amac.org.cn/amac-infodisc/res/pof/manager/2003241828108999.html</x:v>
      </x:c>
      <x:c r="U17" s="80" t="n">
        <x:f>'sheet2-计算明细'!AT44</x:f>
        <x:v>4</x:v>
      </x:c>
      <x:c r="V17" s="80" t="n">
        <x:f>COUNTIF($U$2:$U$127,"&lt;"&amp;U17)+1</x:f>
        <x:v>3</x:v>
      </x:c>
    </x:row>
    <x:row r="18" ht="27" customHeight="1">
      <x:c r="A18" s="66" t="n">
        <x:v>17</x:v>
      </x:c>
      <x:c r="B18" s="66" t="str">
        <x:f>IF(INDEX($L$2:$L$127,MATCH(A18,$V$2:$V$127,0))="","",INDEX($L$2:$L$127,MATCH(A18,$V$2:$V$127,0)))</x:f>
        <x:v>博润小牛3号</x:v>
      </x:c>
      <x:c r="C18" s="66" t="str">
        <x:f>IF(INDEX($M$2:$M$127,MATCH(A18,$V$2:$V$127,0))="","",INDEX($M$2:$M$127,MATCH(A18,$V$2:$V$127,0)))</x:f>
        <x:v>STV728</x:v>
      </x:c>
      <x:c r="D18" s="66" t="str">
        <x:f>IF(INDEX($N$2:$N$127,MATCH(A18,$V$2:$V$127,0))="","",INDEX($N$2:$N$127,MATCH(A18,$V$2:$V$127,0)))</x:f>
        <x:v>北京博润银泰投资</x:v>
      </x:c>
      <x:c r="E18" s="66" t="str">
        <x:f>IF(INDEX($O$2:$O$127,MATCH(A18,$V$2:$V$127,0))="","",INDEX($O$2:$O$127,MATCH(A18,$V$2:$V$127,0)))</x:f>
        <x:v>100亿元以上</x:v>
      </x:c>
      <x:c r="F18" s="77" t="n">
        <x:f>IF(INDEX($P$2:$P$127,MATCH(A18,$V$2:$V$127,0))="","",INDEX($P$2:$P$127,MATCH(A18,$V$2:$V$127,0)))</x:f>
        <x:v>82.29084</x:v>
      </x:c>
      <x:c r="G18" s="77" t="n">
        <x:f>IF(INDEX($Q$2:$Q$127,MATCH(A18,$V$2:$V$127,0))="","",INDEX($Q$2:$Q$127,MATCH(A18,$V$2:$V$127,0)))</x:f>
        <x:v>82.29</x:v>
      </x:c>
      <x:c r="H18" s="78" t="n">
        <x:f>IF(INDEX($R$2:$R$127,MATCH(A18,$V$2:$V$127,0))="","",INDEX($R$2:$R$127,MATCH(A18,$V$2:$V$127,0)))</x:f>
        <x:v>1</x:v>
      </x:c>
      <x:c r="I18" s="66" t="str">
        <x:f>IF(INDEX($S$2:$S$127,MATCH(A18,$V$2:$V$127,0))="","",INDEX($S$2:$S$127,MATCH(A18,$V$2:$V$127,0)))</x:f>
        <x:v>本次公示未见相关记录</x:v>
      </x:c>
      <x:c r="J18" s="66" t="str">
        <x:f>IF(INDEX($T$2:$T$127,MATCH(A18,$V$2:$V$127,0))="","",INDEX($T$2:$T$127,MATCH(A18,$V$2:$V$127,0)))</x:f>
        <x:v>https://gs.amac.org.cn/amac-infodisc/res/pof/manager/101000005082.html</x:v>
      </x:c>
      <x:c r="K18" s="66" t="n">
        <x:f>IF(INDEX($U$2:$U$127,MATCH(A18,$V$2:$V$127,0))="","",INDEX($U$2:$U$127,MATCH(A18,$V$2:$V$127,0)))</x:f>
        <x:v>26</x:v>
      </x:c>
      <x:c r="L18" s="80" t="str">
        <x:v>平凡笃行君享</x:v>
      </x:c>
      <x:c r="M18" s="80" t="str">
        <x:v>SQD327</x:v>
      </x:c>
      <x:c r="N18" s="80" t="str">
        <x:v>北京平凡</x:v>
      </x:c>
      <x:c r="O18" s="80" t="str">
        <x:v>50-100亿元</x:v>
      </x:c>
      <x:c r="P18" s="81" t="str">
        <x:f>IF(ABS('sheet2-计算明细'!AQ46-1)&lt;0.00000001,'sheet2-计算明细'!AR46,"")</x:f>
      </x:c>
      <x:c r="Q18" s="81" t="n">
        <x:f>'sheet2-计算明细'!AS46</x:f>
        <x:v>54.47</x:v>
      </x:c>
      <x:c r="R18" s="82" t="n">
        <x:f>'sheet2-计算明细'!AQ46</x:f>
        <x:v>0.88</x:v>
      </x:c>
      <x:c r="S18" s="80" t="str">
        <x:v>本次公示未见相关记录</x:v>
      </x:c>
      <x:c r="T18" s="80" t="str">
        <x:v>https://gs.amac.org.cn/amac-infodisc/res/pof/manager/101000030286.html</x:v>
      </x:c>
      <x:c r="U18" s="80" t="n">
        <x:f>'sheet2-计算明细'!AT46</x:f>
        <x:v>129</x:v>
      </x:c>
      <x:c r="V18" s="80" t="n">
        <x:f>COUNTIF($U$2:$U$127,"&lt;"&amp;U18)+1</x:f>
        <x:v>89</x:v>
      </x:c>
    </x:row>
    <x:row r="19" ht="27" customHeight="1">
      <x:c r="A19" s="66" t="n">
        <x:v>18</x:v>
      </x:c>
      <x:c r="B19" s="66" t="str">
        <x:f>IF(INDEX($L$2:$L$127,MATCH(A19,$V$2:$V$127,0))="","",INDEX($L$2:$L$127,MATCH(A19,$V$2:$V$127,0)))</x:f>
        <x:v>殊馥兴义7号</x:v>
      </x:c>
      <x:c r="C19" s="66" t="str">
        <x:f>IF(INDEX($M$2:$M$127,MATCH(A19,$V$2:$V$127,0))="","",INDEX($M$2:$M$127,MATCH(A19,$V$2:$V$127,0)))</x:f>
        <x:v>SXT610</x:v>
      </x:c>
      <x:c r="D19" s="66" t="str">
        <x:f>IF(INDEX($N$2:$N$127,MATCH(A19,$V$2:$V$127,0))="","",INDEX($N$2:$N$127,MATCH(A19,$V$2:$V$127,0)))</x:f>
        <x:v>上海殊馥投资</x:v>
      </x:c>
      <x:c r="E19" s="66" t="str">
        <x:f>IF(INDEX($O$2:$O$127,MATCH(A19,$V$2:$V$127,0))="","",INDEX($O$2:$O$127,MATCH(A19,$V$2:$V$127,0)))</x:f>
        <x:v>10-20亿元</x:v>
      </x:c>
      <x:c r="F19" s="77" t="str">
        <x:f>IF(INDEX($P$2:$P$127,MATCH(A19,$V$2:$V$127,0))="","",INDEX($P$2:$P$127,MATCH(A19,$V$2:$V$127,0)))</x:f>
      </x:c>
      <x:c r="G19" s="77" t="n">
        <x:f>IF(INDEX($Q$2:$Q$127,MATCH(A19,$V$2:$V$127,0))="","",INDEX($Q$2:$Q$127,MATCH(A19,$V$2:$V$127,0)))</x:f>
        <x:v>81.59</x:v>
      </x:c>
      <x:c r="H19" s="78" t="n">
        <x:f>IF(INDEX($R$2:$R$127,MATCH(A19,$V$2:$V$127,0))="","",INDEX($R$2:$R$127,MATCH(A19,$V$2:$V$127,0)))</x:f>
        <x:v>0.88</x:v>
      </x:c>
      <x:c r="I19" s="66" t="str">
        <x:f>IF(INDEX($S$2:$S$127,MATCH(A19,$V$2:$V$127,0))="","",INDEX($S$2:$S$127,MATCH(A19,$V$2:$V$127,0)))</x:f>
        <x:v>协会提示／报送异常</x:v>
      </x:c>
      <x:c r="J19" s="66" t="str">
        <x:f>IF(INDEX($T$2:$T$127,MATCH(A19,$V$2:$V$127,0))="","",INDEX($T$2:$T$127,MATCH(A19,$V$2:$V$127,0)))</x:f>
        <x:v>https://gs.amac.org.cn/amac-infodisc/res/pof/manager/101000042776.html</x:v>
      </x:c>
      <x:c r="K19" s="66" t="n">
        <x:f>IF(INDEX($U$2:$U$127,MATCH(A19,$V$2:$V$127,0))="","",INDEX($U$2:$U$127,MATCH(A19,$V$2:$V$127,0)))</x:f>
        <x:v>28</x:v>
      </x:c>
      <x:c r="L19" s="80" t="str">
        <x:v>荣熙商品1号</x:v>
      </x:c>
      <x:c r="M19" s="80" t="str">
        <x:v>SQS292</x:v>
      </x:c>
      <x:c r="N19" s="80" t="str">
        <x:v>上海荣熙</x:v>
      </x:c>
      <x:c r="O19" s="80" t="str">
        <x:v>5-10亿元</x:v>
      </x:c>
      <x:c r="P19" s="81" t="n">
        <x:f>IF(ABS('sheet2-计算明细'!AQ48-1)&lt;0.00000001,'sheet2-计算明细'!AR48,"")</x:f>
        <x:v>51.81028</x:v>
      </x:c>
      <x:c r="Q19" s="81" t="n">
        <x:f>'sheet2-计算明细'!AS48</x:f>
        <x:v>51.81</x:v>
      </x:c>
      <x:c r="R19" s="82" t="n">
        <x:f>'sheet2-计算明细'!AQ48</x:f>
        <x:v>1</x:v>
      </x:c>
      <x:c r="S19" s="80" t="str">
        <x:v>本次公示未见相关记录</x:v>
      </x:c>
      <x:c r="T19" s="80" t="str">
        <x:v>https://gs.amac.org.cn/amac-infodisc/res/pof/manager/101000027208.html</x:v>
      </x:c>
      <x:c r="U19" s="80" t="n">
        <x:f>'sheet2-计算明细'!AT48</x:f>
        <x:v>140</x:v>
      </x:c>
      <x:c r="V19" s="80" t="n">
        <x:f>COUNTIF($U$2:$U$127,"&lt;"&amp;U19)+1</x:f>
        <x:v>94</x:v>
      </x:c>
    </x:row>
    <x:row r="20" ht="27" customHeight="1">
      <x:c r="A20" s="66" t="n">
        <x:v>19</x:v>
      </x:c>
      <x:c r="B20" s="66" t="str">
        <x:f>IF(INDEX($L$2:$L$127,MATCH(A20,$V$2:$V$127,0))="","",INDEX($L$2:$L$127,MATCH(A20,$V$2:$V$127,0)))</x:f>
        <x:v>致同稳健成长1期</x:v>
      </x:c>
      <x:c r="C20" s="66" t="str">
        <x:f>IF(INDEX($M$2:$M$127,MATCH(A20,$V$2:$V$127,0))="","",INDEX($M$2:$M$127,MATCH(A20,$V$2:$V$127,0)))</x:f>
        <x:v>SEP459</x:v>
      </x:c>
      <x:c r="D20" s="66" t="str">
        <x:f>IF(INDEX($N$2:$N$127,MATCH(A20,$V$2:$V$127,0))="","",INDEX($N$2:$N$127,MATCH(A20,$V$2:$V$127,0)))</x:f>
        <x:v>上海致同投资</x:v>
      </x:c>
      <x:c r="E20" s="66" t="str">
        <x:f>IF(INDEX($O$2:$O$127,MATCH(A20,$V$2:$V$127,0))="","",INDEX($O$2:$O$127,MATCH(A20,$V$2:$V$127,0)))</x:f>
        <x:v>20-50亿元</x:v>
      </x:c>
      <x:c r="F20" s="77" t="str">
        <x:f>IF(INDEX($P$2:$P$127,MATCH(A20,$V$2:$V$127,0))="","",INDEX($P$2:$P$127,MATCH(A20,$V$2:$V$127,0)))</x:f>
      </x:c>
      <x:c r="G20" s="77" t="n">
        <x:f>IF(INDEX($Q$2:$Q$127,MATCH(A20,$V$2:$V$127,0))="","",INDEX($Q$2:$Q$127,MATCH(A20,$V$2:$V$127,0)))</x:f>
        <x:v>80.42</x:v>
      </x:c>
      <x:c r="H20" s="78" t="n">
        <x:f>IF(INDEX($R$2:$R$127,MATCH(A20,$V$2:$V$127,0))="","",INDEX($R$2:$R$127,MATCH(A20,$V$2:$V$127,0)))</x:f>
        <x:v>0.88</x:v>
      </x:c>
      <x:c r="I20" s="66" t="str">
        <x:f>IF(INDEX($S$2:$S$127,MATCH(A20,$V$2:$V$127,0))="","",INDEX($S$2:$S$127,MATCH(A20,$V$2:$V$127,0)))</x:f>
        <x:v>监管警示函</x:v>
      </x:c>
      <x:c r="J20" s="66" t="str">
        <x:f>IF(INDEX($T$2:$T$127,MATCH(A20,$V$2:$V$127,0))="","",INDEX($T$2:$T$127,MATCH(A20,$V$2:$V$127,0)))</x:f>
        <x:v>https://gs.amac.org.cn/amac-infodisc/res/pof/manager/101000004339.html</x:v>
      </x:c>
      <x:c r="K20" s="66" t="n">
        <x:f>IF(INDEX($U$2:$U$127,MATCH(A20,$V$2:$V$127,0))="","",INDEX($U$2:$U$127,MATCH(A20,$V$2:$V$127,0)))</x:f>
        <x:v>30</x:v>
      </x:c>
      <x:c r="L20" s="80" t="str">
        <x:v>龙帆恒盛稳固8号</x:v>
      </x:c>
      <x:c r="M20" s="80" t="str">
        <x:v>SSU654</x:v>
      </x:c>
      <x:c r="N20" s="80" t="str">
        <x:v>厦门龙帆资管</x:v>
      </x:c>
      <x:c r="O20" s="80" t="str">
        <x:v>5-10亿元</x:v>
      </x:c>
      <x:c r="P20" s="81" t="n">
        <x:f>IF(ABS('sheet2-计算明细'!AQ55-1)&lt;0.00000001,'sheet2-计算明细'!AR55,"")</x:f>
        <x:v>61.36027</x:v>
      </x:c>
      <x:c r="Q20" s="81" t="n">
        <x:f>'sheet2-计算明细'!AS55</x:f>
        <x:v>61.36</x:v>
      </x:c>
      <x:c r="R20" s="82" t="n">
        <x:f>'sheet2-计算明细'!AQ55</x:f>
        <x:v>1</x:v>
      </x:c>
      <x:c r="S20" s="80" t="str">
        <x:v>本次公示未见相关记录</x:v>
      </x:c>
      <x:c r="T20" s="80" t="str">
        <x:v>https://gs.amac.org.cn/amac-infodisc/res/pof/manager/1611020850101525.html</x:v>
      </x:c>
      <x:c r="U20" s="80" t="n">
        <x:f>'sheet2-计算明细'!AT55</x:f>
        <x:v>100</x:v>
      </x:c>
      <x:c r="V20" s="80" t="n">
        <x:f>COUNTIF($U$2:$U$127,"&lt;"&amp;U20)+1</x:f>
        <x:v>67</x:v>
      </x:c>
    </x:row>
    <x:row r="21" ht="27" customHeight="1">
      <x:c r="A21" s="66" t="n">
        <x:v>20</x:v>
      </x:c>
      <x:c r="B21" s="66" t="str">
        <x:f>IF(INDEX($L$2:$L$127,MATCH(A21,$V$2:$V$127,0))="","",INDEX($L$2:$L$127,MATCH(A21,$V$2:$V$127,0)))</x:f>
        <x:v>鋆晟狮王套利</x:v>
      </x:c>
      <x:c r="C21" s="66" t="str">
        <x:f>IF(INDEX($M$2:$M$127,MATCH(A21,$V$2:$V$127,0))="","",INDEX($M$2:$M$127,MATCH(A21,$V$2:$V$127,0)))</x:f>
        <x:v>SGS754</x:v>
      </x:c>
      <x:c r="D21" s="66" t="str">
        <x:f>IF(INDEX($N$2:$N$127,MATCH(A21,$V$2:$V$127,0))="","",INDEX($N$2:$N$127,MATCH(A21,$V$2:$V$127,0)))</x:f>
        <x:v>上海鋆晟投资</x:v>
      </x:c>
      <x:c r="E21" s="66" t="str">
        <x:f>IF(INDEX($O$2:$O$127,MATCH(A21,$V$2:$V$127,0))="","",INDEX($O$2:$O$127,MATCH(A21,$V$2:$V$127,0)))</x:f>
        <x:v>5-10亿元</x:v>
      </x:c>
      <x:c r="F21" s="77" t="n">
        <x:f>IF(INDEX($P$2:$P$127,MATCH(A21,$V$2:$V$127,0))="","",INDEX($P$2:$P$127,MATCH(A21,$V$2:$V$127,0)))</x:f>
        <x:v>80.39526000000001</x:v>
      </x:c>
      <x:c r="G21" s="77" t="n">
        <x:f>IF(INDEX($Q$2:$Q$127,MATCH(A21,$V$2:$V$127,0))="","",INDEX($Q$2:$Q$127,MATCH(A21,$V$2:$V$127,0)))</x:f>
        <x:v>80.4</x:v>
      </x:c>
      <x:c r="H21" s="78" t="n">
        <x:f>IF(INDEX($R$2:$R$127,MATCH(A21,$V$2:$V$127,0))="","",INDEX($R$2:$R$127,MATCH(A21,$V$2:$V$127,0)))</x:f>
        <x:v>1</x:v>
      </x:c>
      <x:c r="I21" s="66" t="str">
        <x:f>IF(INDEX($S$2:$S$127,MATCH(A21,$V$2:$V$127,0))="","",INDEX($S$2:$S$127,MATCH(A21,$V$2:$V$127,0)))</x:f>
        <x:v>本次公示未见相关记录</x:v>
      </x:c>
      <x:c r="J21" s="66" t="str">
        <x:f>IF(INDEX($T$2:$T$127,MATCH(A21,$V$2:$V$127,0))="","",INDEX($T$2:$T$127,MATCH(A21,$V$2:$V$127,0)))</x:f>
        <x:v>https://gs.amac.org.cn/amac-infodisc/res/pof/manager/101000039679.html</x:v>
      </x:c>
      <x:c r="K21" s="66" t="n">
        <x:f>IF(INDEX($U$2:$U$127,MATCH(A21,$V$2:$V$127,0))="","",INDEX($U$2:$U$127,MATCH(A21,$V$2:$V$127,0)))</x:f>
        <x:v>31</x:v>
      </x:c>
      <x:c r="L21" s="80" t="str">
        <x:v>龙帆恒盛稳固9号</x:v>
      </x:c>
      <x:c r="M21" s="80" t="str">
        <x:v>SSX605</x:v>
      </x:c>
      <x:c r="N21" s="80" t="str">
        <x:v>厦门龙帆资管</x:v>
      </x:c>
      <x:c r="O21" s="80" t="str">
        <x:v>5-10亿元</x:v>
      </x:c>
      <x:c r="P21" s="81" t="n">
        <x:f>IF(ABS('sheet2-计算明细'!AQ56-1)&lt;0.00000001,'sheet2-计算明细'!AR56,"")</x:f>
        <x:v>79.83177</x:v>
      </x:c>
      <x:c r="Q21" s="81" t="n">
        <x:f>'sheet2-计算明细'!AS56</x:f>
        <x:v>79.83</x:v>
      </x:c>
      <x:c r="R21" s="82" t="n">
        <x:f>'sheet2-计算明细'!AQ56</x:f>
        <x:v>1</x:v>
      </x:c>
      <x:c r="S21" s="80" t="str">
        <x:v>本次公示未见相关记录</x:v>
      </x:c>
      <x:c r="T21" s="80" t="str">
        <x:v>https://gs.amac.org.cn/amac-infodisc/res/pof/manager/1611020850101525.html</x:v>
      </x:c>
      <x:c r="U21" s="80" t="n">
        <x:f>'sheet2-计算明细'!AT56</x:f>
        <x:v>33</x:v>
      </x:c>
      <x:c r="V21" s="80" t="n">
        <x:f>COUNTIF($U$2:$U$127,"&lt;"&amp;U21)+1</x:f>
        <x:v>21</x:v>
      </x:c>
    </x:row>
    <x:row r="22" ht="27" customHeight="1">
      <x:c r="A22" s="66" t="n">
        <x:v>21</x:v>
      </x:c>
      <x:c r="B22" s="66" t="str">
        <x:f>IF(INDEX($L$2:$L$127,MATCH(A22,$V$2:$V$127,0))="","",INDEX($L$2:$L$127,MATCH(A22,$V$2:$V$127,0)))</x:f>
        <x:v>龙帆恒盛稳固9号</x:v>
      </x:c>
      <x:c r="C22" s="66" t="str">
        <x:f>IF(INDEX($M$2:$M$127,MATCH(A22,$V$2:$V$127,0))="","",INDEX($M$2:$M$127,MATCH(A22,$V$2:$V$127,0)))</x:f>
        <x:v>SSX605</x:v>
      </x:c>
      <x:c r="D22" s="66" t="str">
        <x:f>IF(INDEX($N$2:$N$127,MATCH(A22,$V$2:$V$127,0))="","",INDEX($N$2:$N$127,MATCH(A22,$V$2:$V$127,0)))</x:f>
        <x:v>厦门龙帆资管</x:v>
      </x:c>
      <x:c r="E22" s="66" t="str">
        <x:f>IF(INDEX($O$2:$O$127,MATCH(A22,$V$2:$V$127,0))="","",INDEX($O$2:$O$127,MATCH(A22,$V$2:$V$127,0)))</x:f>
        <x:v>5-10亿元</x:v>
      </x:c>
      <x:c r="F22" s="77" t="n">
        <x:f>IF(INDEX($P$2:$P$127,MATCH(A22,$V$2:$V$127,0))="","",INDEX($P$2:$P$127,MATCH(A22,$V$2:$V$127,0)))</x:f>
        <x:v>79.83177</x:v>
      </x:c>
      <x:c r="G22" s="77" t="n">
        <x:f>IF(INDEX($Q$2:$Q$127,MATCH(A22,$V$2:$V$127,0))="","",INDEX($Q$2:$Q$127,MATCH(A22,$V$2:$V$127,0)))</x:f>
        <x:v>79.83</x:v>
      </x:c>
      <x:c r="H22" s="78" t="n">
        <x:f>IF(INDEX($R$2:$R$127,MATCH(A22,$V$2:$V$127,0))="","",INDEX($R$2:$R$127,MATCH(A22,$V$2:$V$127,0)))</x:f>
        <x:v>1</x:v>
      </x:c>
      <x:c r="I22" s="66" t="str">
        <x:f>IF(INDEX($S$2:$S$127,MATCH(A22,$V$2:$V$127,0))="","",INDEX($S$2:$S$127,MATCH(A22,$V$2:$V$127,0)))</x:f>
        <x:v>本次公示未见相关记录</x:v>
      </x:c>
      <x:c r="J22" s="66" t="str">
        <x:f>IF(INDEX($T$2:$T$127,MATCH(A22,$V$2:$V$127,0))="","",INDEX($T$2:$T$127,MATCH(A22,$V$2:$V$127,0)))</x:f>
        <x:v>https://gs.amac.org.cn/amac-infodisc/res/pof/manager/1611020850101525.html</x:v>
      </x:c>
      <x:c r="K22" s="66" t="n">
        <x:f>IF(INDEX($U$2:$U$127,MATCH(A22,$V$2:$V$127,0))="","",INDEX($U$2:$U$127,MATCH(A22,$V$2:$V$127,0)))</x:f>
        <x:v>33</x:v>
      </x:c>
      <x:c r="L22" s="80" t="str">
        <x:v>九招真格量化商品套利一号</x:v>
      </x:c>
      <x:c r="M22" s="80" t="str">
        <x:v>STK200</x:v>
      </x:c>
      <x:c r="N22" s="80" t="str">
        <x:v>武汉九招</x:v>
      </x:c>
      <x:c r="O22" s="80" t="str">
        <x:v>5-10亿元</x:v>
      </x:c>
      <x:c r="P22" s="81" t="n">
        <x:f>IF(ABS('sheet2-计算明细'!AQ58-1)&lt;0.00000001,'sheet2-计算明细'!AR58,"")</x:f>
        <x:v>72.28717</x:v>
      </x:c>
      <x:c r="Q22" s="81" t="n">
        <x:f>'sheet2-计算明细'!AS58</x:f>
        <x:v>72.29</x:v>
      </x:c>
      <x:c r="R22" s="82" t="n">
        <x:f>'sheet2-计算明细'!AQ58</x:f>
        <x:v>1</x:v>
      </x:c>
      <x:c r="S22" s="80" t="str">
        <x:v>监管警示函</x:v>
      </x:c>
      <x:c r="T22" s="80" t="str">
        <x:v>https://gs.amac.org.cn/amac-infodisc/res/pof/manager/2301051740101642.html</x:v>
      </x:c>
      <x:c r="U22" s="80" t="n">
        <x:f>'sheet2-计算明细'!AT58</x:f>
        <x:v>59</x:v>
      </x:c>
      <x:c r="V22" s="80" t="n">
        <x:f>COUNTIF($U$2:$U$127,"&lt;"&amp;U22)+1</x:f>
        <x:v>41</x:v>
      </x:c>
    </x:row>
    <x:row r="23" ht="27" customHeight="1">
      <x:c r="A23" s="66" t="n">
        <x:v>22</x:v>
      </x:c>
      <x:c r="B23" s="66" t="str">
        <x:f>IF(INDEX($L$2:$L$127,MATCH(A23,$V$2:$V$127,0))="","",INDEX($L$2:$L$127,MATCH(A23,$V$2:$V$127,0)))</x:f>
        <x:v>爱凡哲AH多空1号</x:v>
      </x:c>
      <x:c r="C23" s="66" t="str">
        <x:f>IF(INDEX($M$2:$M$127,MATCH(A23,$V$2:$V$127,0))="","",INDEX($M$2:$M$127,MATCH(A23,$V$2:$V$127,0)))</x:f>
        <x:v>SVM785</x:v>
      </x:c>
      <x:c r="D23" s="66" t="str">
        <x:f>IF(INDEX($N$2:$N$127,MATCH(A23,$V$2:$V$127,0))="","",INDEX($N$2:$N$127,MATCH(A23,$V$2:$V$127,0)))</x:f>
        <x:v>爱凡哲投资</x:v>
      </x:c>
      <x:c r="E23" s="66" t="str">
        <x:f>IF(INDEX($O$2:$O$127,MATCH(A23,$V$2:$V$127,0))="","",INDEX($O$2:$O$127,MATCH(A23,$V$2:$V$127,0)))</x:f>
        <x:v>20-50亿元</x:v>
      </x:c>
      <x:c r="F23" s="77" t="n">
        <x:f>IF(INDEX($P$2:$P$127,MATCH(A23,$V$2:$V$127,0))="","",INDEX($P$2:$P$127,MATCH(A23,$V$2:$V$127,0)))</x:f>
        <x:v>79.57316</x:v>
      </x:c>
      <x:c r="G23" s="77" t="n">
        <x:f>IF(INDEX($Q$2:$Q$127,MATCH(A23,$V$2:$V$127,0))="","",INDEX($Q$2:$Q$127,MATCH(A23,$V$2:$V$127,0)))</x:f>
        <x:v>79.57</x:v>
      </x:c>
      <x:c r="H23" s="78" t="n">
        <x:f>IF(INDEX($R$2:$R$127,MATCH(A23,$V$2:$V$127,0))="","",INDEX($R$2:$R$127,MATCH(A23,$V$2:$V$127,0)))</x:f>
        <x:v>1</x:v>
      </x:c>
      <x:c r="I23" s="66" t="str">
        <x:f>IF(INDEX($S$2:$S$127,MATCH(A23,$V$2:$V$127,0))="","",INDEX($S$2:$S$127,MATCH(A23,$V$2:$V$127,0)))</x:f>
        <x:v>本次公示未见相关记录</x:v>
      </x:c>
      <x:c r="J23" s="66" t="str">
        <x:f>IF(INDEX($T$2:$T$127,MATCH(A23,$V$2:$V$127,0))="","",INDEX($T$2:$T$127,MATCH(A23,$V$2:$V$127,0)))</x:f>
        <x:v>https://gs.amac.org.cn/amac-infodisc/res/pof/manager/1709181131101311.html</x:v>
      </x:c>
      <x:c r="K23" s="66" t="n">
        <x:f>IF(INDEX($U$2:$U$127,MATCH(A23,$V$2:$V$127,0))="","",INDEX($U$2:$U$127,MATCH(A23,$V$2:$V$127,0)))</x:f>
        <x:v>34</x:v>
      </x:c>
      <x:c r="L23" s="80" t="str">
        <x:v>博润小牛3号</x:v>
      </x:c>
      <x:c r="M23" s="80" t="str">
        <x:v>STV728</x:v>
      </x:c>
      <x:c r="N23" s="80" t="str">
        <x:v>北京博润银泰投资</x:v>
      </x:c>
      <x:c r="O23" s="80" t="str">
        <x:v>100亿元以上</x:v>
      </x:c>
      <x:c r="P23" s="81" t="n">
        <x:f>IF(ABS('sheet2-计算明细'!AQ59-1)&lt;0.00000001,'sheet2-计算明细'!AR59,"")</x:f>
        <x:v>82.29084</x:v>
      </x:c>
      <x:c r="Q23" s="81" t="n">
        <x:f>'sheet2-计算明细'!AS59</x:f>
        <x:v>82.29</x:v>
      </x:c>
      <x:c r="R23" s="82" t="n">
        <x:f>'sheet2-计算明细'!AQ59</x:f>
        <x:v>1</x:v>
      </x:c>
      <x:c r="S23" s="80" t="str">
        <x:v>本次公示未见相关记录</x:v>
      </x:c>
      <x:c r="T23" s="80" t="str">
        <x:v>https://gs.amac.org.cn/amac-infodisc/res/pof/manager/101000005082.html</x:v>
      </x:c>
      <x:c r="U23" s="80" t="n">
        <x:f>'sheet2-计算明细'!AT59</x:f>
        <x:v>26</x:v>
      </x:c>
      <x:c r="V23" s="80" t="n">
        <x:f>COUNTIF($U$2:$U$127,"&lt;"&amp;U23)+1</x:f>
        <x:v>17</x:v>
      </x:c>
    </x:row>
    <x:row r="24" ht="27" customHeight="1">
      <x:c r="A24" s="66" t="n">
        <x:v>23</x:v>
      </x:c>
      <x:c r="B24" s="66" t="str">
        <x:f>IF(INDEX($L$2:$L$127,MATCH(A24,$V$2:$V$127,0))="","",INDEX($L$2:$L$127,MATCH(A24,$V$2:$V$127,0)))</x:f>
        <x:v>辰元优选稳健</x:v>
      </x:c>
      <x:c r="C24" s="66" t="str">
        <x:f>IF(INDEX($M$2:$M$127,MATCH(A24,$V$2:$V$127,0))="","",INDEX($M$2:$M$127,MATCH(A24,$V$2:$V$127,0)))</x:f>
        <x:v>SZH690</x:v>
      </x:c>
      <x:c r="D24" s="66" t="str">
        <x:f>IF(INDEX($N$2:$N$127,MATCH(A24,$V$2:$V$127,0))="","",INDEX($N$2:$N$127,MATCH(A24,$V$2:$V$127,0)))</x:f>
        <x:v>广东辰元</x:v>
      </x:c>
      <x:c r="E24" s="66" t="str">
        <x:f>IF(INDEX($O$2:$O$127,MATCH(A24,$V$2:$V$127,0))="","",INDEX($O$2:$O$127,MATCH(A24,$V$2:$V$127,0)))</x:f>
        <x:v>20-50亿元</x:v>
      </x:c>
      <x:c r="F24" s="77" t="str">
        <x:f>IF(INDEX($P$2:$P$127,MATCH(A24,$V$2:$V$127,0))="","",INDEX($P$2:$P$127,MATCH(A24,$V$2:$V$127,0)))</x:f>
      </x:c>
      <x:c r="G24" s="77" t="n">
        <x:f>IF(INDEX($Q$2:$Q$127,MATCH(A24,$V$2:$V$127,0))="","",INDEX($Q$2:$Q$127,MATCH(A24,$V$2:$V$127,0)))</x:f>
        <x:v>79.3</x:v>
      </x:c>
      <x:c r="H24" s="78" t="n">
        <x:f>IF(INDEX($R$2:$R$127,MATCH(A24,$V$2:$V$127,0))="","",INDEX($R$2:$R$127,MATCH(A24,$V$2:$V$127,0)))</x:f>
        <x:v>0.88</x:v>
      </x:c>
      <x:c r="I24" s="66" t="str">
        <x:f>IF(INDEX($S$2:$S$127,MATCH(A24,$V$2:$V$127,0))="","",INDEX($S$2:$S$127,MATCH(A24,$V$2:$V$127,0)))</x:f>
        <x:v>本次公示未见相关记录</x:v>
      </x:c>
      <x:c r="J24" s="66" t="str">
        <x:f>IF(INDEX($T$2:$T$127,MATCH(A24,$V$2:$V$127,0))="","",INDEX($T$2:$T$127,MATCH(A24,$V$2:$V$127,0)))</x:f>
        <x:v>https://gs.amac.org.cn/amac-infodisc/res/pof/manager/2209261520106658.html</x:v>
      </x:c>
      <x:c r="K24" s="66" t="n">
        <x:f>IF(INDEX($U$2:$U$127,MATCH(A24,$V$2:$V$127,0))="","",INDEX($U$2:$U$127,MATCH(A24,$V$2:$V$127,0)))</x:f>
        <x:v>35</x:v>
      </x:c>
      <x:c r="L24" s="80" t="str">
        <x:v>悬铃C号9期</x:v>
      </x:c>
      <x:c r="M24" s="80" t="str">
        <x:v>SVH343</x:v>
      </x:c>
      <x:c r="N24" s="80" t="str">
        <x:v>上海悬铃</x:v>
      </x:c>
      <x:c r="O24" s="80" t="str">
        <x:v>20-50亿元</x:v>
      </x:c>
      <x:c r="P24" s="81" t="n">
        <x:f>IF(ABS('sheet2-计算明细'!AQ61-1)&lt;0.00000001,'sheet2-计算明细'!AR61,"")</x:f>
        <x:v>58.58733</x:v>
      </x:c>
      <x:c r="Q24" s="81" t="n">
        <x:f>'sheet2-计算明细'!AS61</x:f>
        <x:v>58.59</x:v>
      </x:c>
      <x:c r="R24" s="82" t="n">
        <x:f>'sheet2-计算明细'!AQ61</x:f>
        <x:v>1</x:v>
      </x:c>
      <x:c r="S24" s="80" t="str">
        <x:v>本次公示未见相关记录</x:v>
      </x:c>
      <x:c r="T24" s="80" t="str">
        <x:v>https://gs.amac.org.cn/amac-infodisc/res/pof/manager/1701161209103763.html</x:v>
      </x:c>
      <x:c r="U24" s="80" t="n">
        <x:f>'sheet2-计算明细'!AT61</x:f>
        <x:v>115</x:v>
      </x:c>
      <x:c r="V24" s="80" t="n">
        <x:f>COUNTIF($U$2:$U$127,"&lt;"&amp;U24)+1</x:f>
        <x:v>80</x:v>
      </x:c>
    </x:row>
    <x:row r="25" ht="27" customHeight="1">
      <x:c r="A25" s="66" t="n">
        <x:v>24</x:v>
      </x:c>
      <x:c r="B25" s="66" t="str">
        <x:f>IF(INDEX($L$2:$L$127,MATCH(A25,$V$2:$V$127,0))="","",INDEX($L$2:$L$127,MATCH(A25,$V$2:$V$127,0)))</x:f>
        <x:v>平凡悟鑫</x:v>
      </x:c>
      <x:c r="C25" s="66" t="str">
        <x:f>IF(INDEX($M$2:$M$127,MATCH(A25,$V$2:$V$127,0))="","",INDEX($M$2:$M$127,MATCH(A25,$V$2:$V$127,0)))</x:f>
        <x:v>SJ2870</x:v>
      </x:c>
      <x:c r="D25" s="66" t="str">
        <x:f>IF(INDEX($N$2:$N$127,MATCH(A25,$V$2:$V$127,0))="","",INDEX($N$2:$N$127,MATCH(A25,$V$2:$V$127,0)))</x:f>
        <x:v>北京平凡</x:v>
      </x:c>
      <x:c r="E25" s="66" t="str">
        <x:f>IF(INDEX($O$2:$O$127,MATCH(A25,$V$2:$V$127,0))="","",INDEX($O$2:$O$127,MATCH(A25,$V$2:$V$127,0)))</x:f>
        <x:v>50-100亿元</x:v>
      </x:c>
      <x:c r="F25" s="77" t="str">
        <x:f>IF(INDEX($P$2:$P$127,MATCH(A25,$V$2:$V$127,0))="","",INDEX($P$2:$P$127,MATCH(A25,$V$2:$V$127,0)))</x:f>
      </x:c>
      <x:c r="G25" s="77" t="n">
        <x:f>IF(INDEX($Q$2:$Q$127,MATCH(A25,$V$2:$V$127,0))="","",INDEX($Q$2:$Q$127,MATCH(A25,$V$2:$V$127,0)))</x:f>
        <x:v>79.23</x:v>
      </x:c>
      <x:c r="H25" s="78" t="n">
        <x:f>IF(INDEX($R$2:$R$127,MATCH(A25,$V$2:$V$127,0))="","",INDEX($R$2:$R$127,MATCH(A25,$V$2:$V$127,0)))</x:f>
        <x:v>0.88</x:v>
      </x:c>
      <x:c r="I25" s="66" t="str">
        <x:f>IF(INDEX($S$2:$S$127,MATCH(A25,$V$2:$V$127,0))="","",INDEX($S$2:$S$127,MATCH(A25,$V$2:$V$127,0)))</x:f>
        <x:v>本次公示未见相关记录</x:v>
      </x:c>
      <x:c r="J25" s="66" t="str">
        <x:f>IF(INDEX($T$2:$T$127,MATCH(A25,$V$2:$V$127,0))="","",INDEX($T$2:$T$127,MATCH(A25,$V$2:$V$127,0)))</x:f>
        <x:v>https://gs.amac.org.cn/amac-infodisc/res/pof/manager/101000030286.html</x:v>
      </x:c>
      <x:c r="K25" s="66" t="n">
        <x:f>IF(INDEX($U$2:$U$127,MATCH(A25,$V$2:$V$127,0))="","",INDEX($U$2:$U$127,MATCH(A25,$V$2:$V$127,0)))</x:f>
        <x:v>36</x:v>
      </x:c>
      <x:c r="L25" s="80" t="str">
        <x:v>爱凡哲AH多空1号</x:v>
      </x:c>
      <x:c r="M25" s="80" t="str">
        <x:v>SVM785</x:v>
      </x:c>
      <x:c r="N25" s="80" t="str">
        <x:v>爱凡哲投资</x:v>
      </x:c>
      <x:c r="O25" s="80" t="str">
        <x:v>20-50亿元</x:v>
      </x:c>
      <x:c r="P25" s="81" t="n">
        <x:f>IF(ABS('sheet2-计算明细'!AQ62-1)&lt;0.00000001,'sheet2-计算明细'!AR62,"")</x:f>
        <x:v>79.57316</x:v>
      </x:c>
      <x:c r="Q25" s="81" t="n">
        <x:f>'sheet2-计算明细'!AS62</x:f>
        <x:v>79.57</x:v>
      </x:c>
      <x:c r="R25" s="82" t="n">
        <x:f>'sheet2-计算明细'!AQ62</x:f>
        <x:v>1</x:v>
      </x:c>
      <x:c r="S25" s="80" t="str">
        <x:v>本次公示未见相关记录</x:v>
      </x:c>
      <x:c r="T25" s="80" t="str">
        <x:v>https://gs.amac.org.cn/amac-infodisc/res/pof/manager/1709181131101311.html</x:v>
      </x:c>
      <x:c r="U25" s="80" t="n">
        <x:f>'sheet2-计算明细'!AT62</x:f>
        <x:v>34</x:v>
      </x:c>
      <x:c r="V25" s="80" t="n">
        <x:f>COUNTIF($U$2:$U$127,"&lt;"&amp;U25)+1</x:f>
        <x:v>22</x:v>
      </x:c>
    </x:row>
    <x:row r="26" ht="27" customHeight="1">
      <x:c r="A26" s="66" t="n">
        <x:v>25</x:v>
      </x:c>
      <x:c r="B26" s="66" t="str">
        <x:f>IF(INDEX($L$2:$L$127,MATCH(A26,$V$2:$V$127,0))="","",INDEX($L$2:$L$127,MATCH(A26,$V$2:$V$127,0)))</x:f>
        <x:v>辰元稳健2号</x:v>
      </x:c>
      <x:c r="C26" s="66" t="str">
        <x:f>IF(INDEX($M$2:$M$127,MATCH(A26,$V$2:$V$127,0))="","",INDEX($M$2:$M$127,MATCH(A26,$V$2:$V$127,0)))</x:f>
        <x:v>SZJ724</x:v>
      </x:c>
      <x:c r="D26" s="66" t="str">
        <x:f>IF(INDEX($N$2:$N$127,MATCH(A26,$V$2:$V$127,0))="","",INDEX($N$2:$N$127,MATCH(A26,$V$2:$V$127,0)))</x:f>
        <x:v>广东辰元</x:v>
      </x:c>
      <x:c r="E26" s="66" t="str">
        <x:f>IF(INDEX($O$2:$O$127,MATCH(A26,$V$2:$V$127,0))="","",INDEX($O$2:$O$127,MATCH(A26,$V$2:$V$127,0)))</x:f>
        <x:v>20-50亿元</x:v>
      </x:c>
      <x:c r="F26" s="77" t="n">
        <x:f>IF(INDEX($P$2:$P$127,MATCH(A26,$V$2:$V$127,0))="","",INDEX($P$2:$P$127,MATCH(A26,$V$2:$V$127,0)))</x:f>
        <x:v>79.13436</x:v>
      </x:c>
      <x:c r="G26" s="77" t="n">
        <x:f>IF(INDEX($Q$2:$Q$127,MATCH(A26,$V$2:$V$127,0))="","",INDEX($Q$2:$Q$127,MATCH(A26,$V$2:$V$127,0)))</x:f>
        <x:v>79.13</x:v>
      </x:c>
      <x:c r="H26" s="78" t="n">
        <x:f>IF(INDEX($R$2:$R$127,MATCH(A26,$V$2:$V$127,0))="","",INDEX($R$2:$R$127,MATCH(A26,$V$2:$V$127,0)))</x:f>
        <x:v>1</x:v>
      </x:c>
      <x:c r="I26" s="66" t="str">
        <x:f>IF(INDEX($S$2:$S$127,MATCH(A26,$V$2:$V$127,0))="","",INDEX($S$2:$S$127,MATCH(A26,$V$2:$V$127,0)))</x:f>
        <x:v>本次公示未见相关记录</x:v>
      </x:c>
      <x:c r="J26" s="66" t="str">
        <x:f>IF(INDEX($T$2:$T$127,MATCH(A26,$V$2:$V$127,0))="","",INDEX($T$2:$T$127,MATCH(A26,$V$2:$V$127,0)))</x:f>
        <x:v>https://gs.amac.org.cn/amac-infodisc/res/pof/manager/2209261520106658.html</x:v>
      </x:c>
      <x:c r="K26" s="66" t="n">
        <x:f>IF(INDEX($U$2:$U$127,MATCH(A26,$V$2:$V$127,0))="","",INDEX($U$2:$U$127,MATCH(A26,$V$2:$V$127,0)))</x:f>
        <x:v>38</x:v>
      </x:c>
      <x:c r="L26" s="80" t="str">
        <x:v>汇富联合日盈12号</x:v>
      </x:c>
      <x:c r="M26" s="80" t="str">
        <x:v>SVQ519</x:v>
      </x:c>
      <x:c r="N26" s="80" t="str">
        <x:v>深圳前海汇富联合</x:v>
      </x:c>
      <x:c r="O26" s="80" t="str">
        <x:v>20-50亿元</x:v>
      </x:c>
      <x:c r="P26" s="81" t="n">
        <x:f>IF(ABS('sheet2-计算明细'!AQ64-1)&lt;0.00000001,'sheet2-计算明细'!AR64,"")</x:f>
        <x:v>64.21114</x:v>
      </x:c>
      <x:c r="Q26" s="81" t="n">
        <x:f>'sheet2-计算明细'!AS64</x:f>
        <x:v>64.21</x:v>
      </x:c>
      <x:c r="R26" s="82" t="n">
        <x:f>'sheet2-计算明细'!AQ64</x:f>
        <x:v>1</x:v>
      </x:c>
      <x:c r="S26" s="80" t="str">
        <x:v>本次公示未见相关记录</x:v>
      </x:c>
      <x:c r="T26" s="80" t="str">
        <x:v>https://gs.amac.org.cn/amac-infodisc/res/pof/manager/101000012095.html</x:v>
      </x:c>
      <x:c r="U26" s="80" t="n">
        <x:f>'sheet2-计算明细'!AT64</x:f>
        <x:v>93</x:v>
      </x:c>
      <x:c r="V26" s="80" t="n">
        <x:f>COUNTIF($U$2:$U$127,"&lt;"&amp;U26)+1</x:f>
        <x:v>63</x:v>
      </x:c>
    </x:row>
    <x:row r="27" ht="27" customHeight="1">
      <x:c r="A27" s="66" t="n">
        <x:v>26</x:v>
      </x:c>
      <x:c r="B27" s="66" t="str">
        <x:f>IF(INDEX($L$2:$L$127,MATCH(A27,$V$2:$V$127,0))="","",INDEX($L$2:$L$127,MATCH(A27,$V$2:$V$127,0)))</x:f>
        <x:v>金和和善对冲5号</x:v>
      </x:c>
      <x:c r="C27" s="66" t="str">
        <x:f>IF(INDEX($M$2:$M$127,MATCH(A27,$V$2:$V$127,0))="","",INDEX($M$2:$M$127,MATCH(A27,$V$2:$V$127,0)))</x:f>
        <x:v>SZX748</x:v>
      </x:c>
      <x:c r="D27" s="66" t="str">
        <x:f>IF(INDEX($N$2:$N$127,MATCH(A27,$V$2:$V$127,0))="","",INDEX($N$2:$N$127,MATCH(A27,$V$2:$V$127,0)))</x:f>
        <x:v>上海金和晟</x:v>
      </x:c>
      <x:c r="E27" s="66" t="str">
        <x:f>IF(INDEX($O$2:$O$127,MATCH(A27,$V$2:$V$127,0))="","",INDEX($O$2:$O$127,MATCH(A27,$V$2:$V$127,0)))</x:f>
        <x:v>20-50亿元</x:v>
      </x:c>
      <x:c r="F27" s="77" t="str">
        <x:f>IF(INDEX($P$2:$P$127,MATCH(A27,$V$2:$V$127,0))="","",INDEX($P$2:$P$127,MATCH(A27,$V$2:$V$127,0)))</x:f>
      </x:c>
      <x:c r="G27" s="77" t="n">
        <x:f>IF(INDEX($Q$2:$Q$127,MATCH(A27,$V$2:$V$127,0))="","",INDEX($Q$2:$Q$127,MATCH(A27,$V$2:$V$127,0)))</x:f>
        <x:v>77.43</x:v>
      </x:c>
      <x:c r="H27" s="78" t="n">
        <x:f>IF(INDEX($R$2:$R$127,MATCH(A27,$V$2:$V$127,0))="","",INDEX($R$2:$R$127,MATCH(A27,$V$2:$V$127,0)))</x:f>
        <x:v>0.88</x:v>
      </x:c>
      <x:c r="I27" s="66" t="str">
        <x:f>IF(INDEX($S$2:$S$127,MATCH(A27,$V$2:$V$127,0))="","",INDEX($S$2:$S$127,MATCH(A27,$V$2:$V$127,0)))</x:f>
        <x:v>本次公示未见相关记录</x:v>
      </x:c>
      <x:c r="J27" s="66" t="str">
        <x:f>IF(INDEX($T$2:$T$127,MATCH(A27,$V$2:$V$127,0))="","",INDEX($T$2:$T$127,MATCH(A27,$V$2:$V$127,0)))</x:f>
        <x:v>https://gs.amac.org.cn/amac-infodisc/res/pof/manager/2010280957108370.html</x:v>
      </x:c>
      <x:c r="K27" s="66" t="n">
        <x:f>IF(INDEX($U$2:$U$127,MATCH(A27,$V$2:$V$127,0))="","",INDEX($U$2:$U$127,MATCH(A27,$V$2:$V$127,0)))</x:f>
        <x:v>40</x:v>
      </x:c>
      <x:c r="L27" s="80" t="str">
        <x:v>晨翰11号</x:v>
      </x:c>
      <x:c r="M27" s="80" t="str">
        <x:v>SVT598</x:v>
      </x:c>
      <x:c r="N27" s="80" t="str">
        <x:v>晋江晨翰</x:v>
      </x:c>
      <x:c r="O27" s="80" t="str">
        <x:v>5-10亿元</x:v>
      </x:c>
      <x:c r="P27" s="81" t="n">
        <x:f>IF(ABS('sheet2-计算明细'!AQ66-1)&lt;0.00000001,'sheet2-计算明细'!AR66,"")</x:f>
        <x:v>63.910259999999994</x:v>
      </x:c>
      <x:c r="Q27" s="81" t="n">
        <x:f>'sheet2-计算明细'!AS66</x:f>
        <x:v>63.91</x:v>
      </x:c>
      <x:c r="R27" s="82" t="n">
        <x:f>'sheet2-计算明细'!AQ66</x:f>
        <x:v>1</x:v>
      </x:c>
      <x:c r="S27" s="80" t="str">
        <x:v>本次公示未见相关记录</x:v>
      </x:c>
      <x:c r="T27" s="80" t="str">
        <x:v>https://gs.amac.org.cn/amac-infodisc/res/pof/manager/2002211754119480.html</x:v>
      </x:c>
      <x:c r="U27" s="80" t="n">
        <x:f>'sheet2-计算明细'!AT66</x:f>
        <x:v>95</x:v>
      </x:c>
      <x:c r="V27" s="80" t="n">
        <x:f>COUNTIF($U$2:$U$127,"&lt;"&amp;U27)+1</x:f>
        <x:v>64</x:v>
      </x:c>
    </x:row>
    <x:row r="28" ht="27" customHeight="1">
      <x:c r="A28" s="66" t="n">
        <x:v>27</x:v>
      </x:c>
      <x:c r="B28" s="66" t="str">
        <x:f>IF(INDEX($L$2:$L$127,MATCH(A28,$V$2:$V$127,0))="","",INDEX($L$2:$L$127,MATCH(A28,$V$2:$V$127,0)))</x:f>
        <x:v>金和金诚5号</x:v>
      </x:c>
      <x:c r="C28" s="66" t="str">
        <x:f>IF(INDEX($M$2:$M$127,MATCH(A28,$V$2:$V$127,0))="","",INDEX($M$2:$M$127,MATCH(A28,$V$2:$V$127,0)))</x:f>
        <x:v>SVZ035</x:v>
      </x:c>
      <x:c r="D28" s="66" t="str">
        <x:f>IF(INDEX($N$2:$N$127,MATCH(A28,$V$2:$V$127,0))="","",INDEX($N$2:$N$127,MATCH(A28,$V$2:$V$127,0)))</x:f>
        <x:v>上海金和晟</x:v>
      </x:c>
      <x:c r="E28" s="66" t="str">
        <x:f>IF(INDEX($O$2:$O$127,MATCH(A28,$V$2:$V$127,0))="","",INDEX($O$2:$O$127,MATCH(A28,$V$2:$V$127,0)))</x:f>
        <x:v>20-50亿元</x:v>
      </x:c>
      <x:c r="F28" s="77" t="str">
        <x:f>IF(INDEX($P$2:$P$127,MATCH(A28,$V$2:$V$127,0))="","",INDEX($P$2:$P$127,MATCH(A28,$V$2:$V$127,0)))</x:f>
      </x:c>
      <x:c r="G28" s="77" t="n">
        <x:f>IF(INDEX($Q$2:$Q$127,MATCH(A28,$V$2:$V$127,0))="","",INDEX($Q$2:$Q$127,MATCH(A28,$V$2:$V$127,0)))</x:f>
        <x:v>77.04</x:v>
      </x:c>
      <x:c r="H28" s="78" t="n">
        <x:f>IF(INDEX($R$2:$R$127,MATCH(A28,$V$2:$V$127,0))="","",INDEX($R$2:$R$127,MATCH(A28,$V$2:$V$127,0)))</x:f>
        <x:v>0.88</x:v>
      </x:c>
      <x:c r="I28" s="66" t="str">
        <x:f>IF(INDEX($S$2:$S$127,MATCH(A28,$V$2:$V$127,0))="","",INDEX($S$2:$S$127,MATCH(A28,$V$2:$V$127,0)))</x:f>
        <x:v>本次公示未见相关记录</x:v>
      </x:c>
      <x:c r="J28" s="66" t="str">
        <x:f>IF(INDEX($T$2:$T$127,MATCH(A28,$V$2:$V$127,0))="","",INDEX($T$2:$T$127,MATCH(A28,$V$2:$V$127,0)))</x:f>
        <x:v>https://gs.amac.org.cn/amac-infodisc/res/pof/manager/2010280957108370.html</x:v>
      </x:c>
      <x:c r="K28" s="66" t="n">
        <x:f>IF(INDEX($U$2:$U$127,MATCH(A28,$V$2:$V$127,0))="","",INDEX($U$2:$U$127,MATCH(A28,$V$2:$V$127,0)))</x:f>
        <x:v>41</x:v>
      </x:c>
      <x:c r="L28" s="80" t="str">
        <x:v>致同添利套利多策略三期</x:v>
      </x:c>
      <x:c r="M28" s="80" t="str">
        <x:v>STY632</x:v>
      </x:c>
      <x:c r="N28" s="80" t="str">
        <x:v>上海致同投资</x:v>
      </x:c>
      <x:c r="O28" s="80" t="str">
        <x:v>20-50亿元</x:v>
      </x:c>
      <x:c r="P28" s="81" t="str">
        <x:f>IF(ABS('sheet2-计算明细'!AQ67-1)&lt;0.00000001,'sheet2-计算明细'!AR67,"")</x:f>
      </x:c>
      <x:c r="Q28" s="81" t="n">
        <x:f>'sheet2-计算明细'!AS67</x:f>
        <x:v>72.44</x:v>
      </x:c>
      <x:c r="R28" s="82" t="n">
        <x:f>'sheet2-计算明细'!AQ67</x:f>
        <x:v>0.88</x:v>
      </x:c>
      <x:c r="S28" s="80" t="str">
        <x:v>监管警示函</x:v>
      </x:c>
      <x:c r="T28" s="80" t="str">
        <x:v>https://gs.amac.org.cn/amac-infodisc/res/pof/manager/101000004339.html</x:v>
      </x:c>
      <x:c r="U28" s="80" t="n">
        <x:f>'sheet2-计算明细'!AT67</x:f>
        <x:v>58</x:v>
      </x:c>
      <x:c r="V28" s="80" t="n">
        <x:f>COUNTIF($U$2:$U$127,"&lt;"&amp;U28)+1</x:f>
        <x:v>40</x:v>
      </x:c>
    </x:row>
    <x:row r="29" ht="27" customHeight="1">
      <x:c r="A29" s="66" t="n">
        <x:v>28</x:v>
      </x:c>
      <x:c r="B29" s="66" t="str">
        <x:f>IF(INDEX($L$2:$L$127,MATCH(A29,$V$2:$V$127,0))="","",INDEX($L$2:$L$127,MATCH(A29,$V$2:$V$127,0)))</x:f>
        <x:v>庄贤亨贞期权对冲</x:v>
      </x:c>
      <x:c r="C29" s="66" t="str">
        <x:f>IF(INDEX($M$2:$M$127,MATCH(A29,$V$2:$V$127,0))="","",INDEX($M$2:$M$127,MATCH(A29,$V$2:$V$127,0)))</x:f>
        <x:v>STW239</x:v>
      </x:c>
      <x:c r="D29" s="66" t="str">
        <x:f>IF(INDEX($N$2:$N$127,MATCH(A29,$V$2:$V$127,0))="","",INDEX($N$2:$N$127,MATCH(A29,$V$2:$V$127,0)))</x:f>
        <x:v>杭州庄贤投资</x:v>
      </x:c>
      <x:c r="E29" s="66" t="str">
        <x:f>IF(INDEX($O$2:$O$127,MATCH(A29,$V$2:$V$127,0))="","",INDEX($O$2:$O$127,MATCH(A29,$V$2:$V$127,0)))</x:f>
        <x:v>20-50亿元</x:v>
      </x:c>
      <x:c r="F29" s="77" t="n">
        <x:f>IF(INDEX($P$2:$P$127,MATCH(A29,$V$2:$V$127,0))="","",INDEX($P$2:$P$127,MATCH(A29,$V$2:$V$127,0)))</x:f>
        <x:v>76.39097</x:v>
      </x:c>
      <x:c r="G29" s="77" t="n">
        <x:f>IF(INDEX($Q$2:$Q$127,MATCH(A29,$V$2:$V$127,0))="","",INDEX($Q$2:$Q$127,MATCH(A29,$V$2:$V$127,0)))</x:f>
        <x:v>76.39</x:v>
      </x:c>
      <x:c r="H29" s="78" t="n">
        <x:f>IF(INDEX($R$2:$R$127,MATCH(A29,$V$2:$V$127,0))="","",INDEX($R$2:$R$127,MATCH(A29,$V$2:$V$127,0)))</x:f>
        <x:v>1</x:v>
      </x:c>
      <x:c r="I29" s="66" t="str">
        <x:f>IF(INDEX($S$2:$S$127,MATCH(A29,$V$2:$V$127,0))="","",INDEX($S$2:$S$127,MATCH(A29,$V$2:$V$127,0)))</x:f>
        <x:v>本次公示未见相关记录</x:v>
      </x:c>
      <x:c r="J29" s="66" t="str">
        <x:f>IF(INDEX($T$2:$T$127,MATCH(A29,$V$2:$V$127,0))="","",INDEX($T$2:$T$127,MATCH(A29,$V$2:$V$127,0)))</x:f>
        <x:v>https://gs.amac.org.cn/amac-infodisc/res/pof/manager/1703280912100590.html</x:v>
      </x:c>
      <x:c r="K29" s="66" t="n">
        <x:f>IF(INDEX($U$2:$U$127,MATCH(A29,$V$2:$V$127,0))="","",INDEX($U$2:$U$127,MATCH(A29,$V$2:$V$127,0)))</x:f>
        <x:v>42</x:v>
      </x:c>
      <x:c r="L29" s="80" t="str">
        <x:v>博牛转债策略2号</x:v>
      </x:c>
      <x:c r="M29" s="80" t="str">
        <x:v>SVY871</x:v>
      </x:c>
      <x:c r="N29" s="80" t="str">
        <x:v>广州博牛</x:v>
      </x:c>
      <x:c r="O29" s="80" t="str">
        <x:v>5-10亿元</x:v>
      </x:c>
      <x:c r="P29" s="81" t="str">
        <x:f>IF(ABS('sheet2-计算明细'!AQ68-1)&lt;0.00000001,'sheet2-计算明细'!AR68,"")</x:f>
      </x:c>
      <x:c r="Q29" s="81" t="n">
        <x:f>'sheet2-计算明细'!AS68</x:f>
        <x:v>48.49</x:v>
      </x:c>
      <x:c r="R29" s="82" t="n">
        <x:f>'sheet2-计算明细'!AQ68</x:f>
        <x:v>0.88</x:v>
      </x:c>
      <x:c r="S29" s="80" t="str">
        <x:v>协会提示／报送异常</x:v>
      </x:c>
      <x:c r="T29" s="80" t="str">
        <x:v>https://gs.amac.org.cn/amac-infodisc/res/pof/manager/1801020956105866.html</x:v>
      </x:c>
      <x:c r="U29" s="80" t="n">
        <x:f>'sheet2-计算明细'!AT68</x:f>
        <x:v>151</x:v>
      </x:c>
      <x:c r="V29" s="80" t="n">
        <x:f>COUNTIF($U$2:$U$127,"&lt;"&amp;U29)+1</x:f>
        <x:v>100</x:v>
      </x:c>
    </x:row>
    <x:row r="30" ht="27" customHeight="1">
      <x:c r="A30" s="66" t="n">
        <x:v>29</x:v>
      </x:c>
      <x:c r="B30" s="66" t="str">
        <x:f>IF(INDEX($L$2:$L$127,MATCH(A30,$V$2:$V$127,0))="","",INDEX($L$2:$L$127,MATCH(A30,$V$2:$V$127,0)))</x:f>
        <x:v>殊馥兴义6号</x:v>
      </x:c>
      <x:c r="C30" s="66" t="str">
        <x:f>IF(INDEX($M$2:$M$127,MATCH(A30,$V$2:$V$127,0))="","",INDEX($M$2:$M$127,MATCH(A30,$V$2:$V$127,0)))</x:f>
        <x:v>SXQ267</x:v>
      </x:c>
      <x:c r="D30" s="66" t="str">
        <x:f>IF(INDEX($N$2:$N$127,MATCH(A30,$V$2:$V$127,0))="","",INDEX($N$2:$N$127,MATCH(A30,$V$2:$V$127,0)))</x:f>
        <x:v>上海殊馥投资</x:v>
      </x:c>
      <x:c r="E30" s="66" t="str">
        <x:f>IF(INDEX($O$2:$O$127,MATCH(A30,$V$2:$V$127,0))="","",INDEX($O$2:$O$127,MATCH(A30,$V$2:$V$127,0)))</x:f>
        <x:v>10-20亿元</x:v>
      </x:c>
      <x:c r="F30" s="77" t="str">
        <x:f>IF(INDEX($P$2:$P$127,MATCH(A30,$V$2:$V$127,0))="","",INDEX($P$2:$P$127,MATCH(A30,$V$2:$V$127,0)))</x:f>
      </x:c>
      <x:c r="G30" s="77" t="n">
        <x:f>IF(INDEX($Q$2:$Q$127,MATCH(A30,$V$2:$V$127,0))="","",INDEX($Q$2:$Q$127,MATCH(A30,$V$2:$V$127,0)))</x:f>
        <x:v>76.09</x:v>
      </x:c>
      <x:c r="H30" s="78" t="n">
        <x:f>IF(INDEX($R$2:$R$127,MATCH(A30,$V$2:$V$127,0))="","",INDEX($R$2:$R$127,MATCH(A30,$V$2:$V$127,0)))</x:f>
        <x:v>0.88</x:v>
      </x:c>
      <x:c r="I30" s="66" t="str">
        <x:f>IF(INDEX($S$2:$S$127,MATCH(A30,$V$2:$V$127,0))="","",INDEX($S$2:$S$127,MATCH(A30,$V$2:$V$127,0)))</x:f>
        <x:v>协会提示／报送异常</x:v>
      </x:c>
      <x:c r="J30" s="66" t="str">
        <x:f>IF(INDEX($T$2:$T$127,MATCH(A30,$V$2:$V$127,0))="","",INDEX($T$2:$T$127,MATCH(A30,$V$2:$V$127,0)))</x:f>
        <x:v>https://gs.amac.org.cn/amac-infodisc/res/pof/manager/101000042776.html</x:v>
      </x:c>
      <x:c r="K30" s="66" t="n">
        <x:f>IF(INDEX($U$2:$U$127,MATCH(A30,$V$2:$V$127,0))="","",INDEX($U$2:$U$127,MATCH(A30,$V$2:$V$127,0)))</x:f>
        <x:v>43</x:v>
      </x:c>
      <x:c r="L30" s="80" t="str">
        <x:v>汉盛浩远1号</x:v>
      </x:c>
      <x:c r="M30" s="80" t="str">
        <x:v>SXE156</x:v>
      </x:c>
      <x:c r="N30" s="80" t="str">
        <x:v>上海汉鸿</x:v>
      </x:c>
      <x:c r="O30" s="80" t="str">
        <x:v>10-20亿元</x:v>
      </x:c>
      <x:c r="P30" s="81" t="n">
        <x:f>IF(ABS('sheet2-计算明细'!AQ70-1)&lt;0.00000001,'sheet2-计算明细'!AR70,"")</x:f>
        <x:v>49.98381</x:v>
      </x:c>
      <x:c r="Q30" s="81" t="n">
        <x:f>'sheet2-计算明细'!AS70</x:f>
        <x:v>49.98</x:v>
      </x:c>
      <x:c r="R30" s="82" t="n">
        <x:f>'sheet2-计算明细'!AQ70</x:f>
        <x:v>1</x:v>
      </x:c>
      <x:c r="S30" s="80" t="str">
        <x:v>本次公示未见相关记录</x:v>
      </x:c>
      <x:c r="T30" s="80" t="str">
        <x:v>https://gs.amac.org.cn/amac-infodisc/res/pof/manager/2108171651109816.html</x:v>
      </x:c>
      <x:c r="U30" s="80" t="n">
        <x:f>'sheet2-计算明细'!AT70</x:f>
        <x:v>146</x:v>
      </x:c>
      <x:c r="V30" s="80" t="n">
        <x:f>COUNTIF($U$2:$U$127,"&lt;"&amp;U30)+1</x:f>
        <x:v>97</x:v>
      </x:c>
    </x:row>
    <x:row r="31" ht="27" customHeight="1">
      <x:c r="A31" s="66" t="n">
        <x:v>30</x:v>
      </x:c>
      <x:c r="B31" s="66" t="str">
        <x:f>IF(INDEX($L$2:$L$127,MATCH(A31,$V$2:$V$127,0))="","",INDEX($L$2:$L$127,MATCH(A31,$V$2:$V$127,0)))</x:f>
        <x:v>博普稳增3号A类</x:v>
      </x:c>
      <x:c r="C31" s="66" t="str">
        <x:f>IF(INDEX($M$2:$M$127,MATCH(A31,$V$2:$V$127,0))="","",INDEX($M$2:$M$127,MATCH(A31,$V$2:$V$127,0)))</x:f>
        <x:v>W7191A</x:v>
      </x:c>
      <x:c r="D31" s="66" t="str">
        <x:f>IF(INDEX($N$2:$N$127,MATCH(A31,$V$2:$V$127,0))="","",INDEX($N$2:$N$127,MATCH(A31,$V$2:$V$127,0)))</x:f>
        <x:v>深圳博普科技</x:v>
      </x:c>
      <x:c r="E31" s="66" t="str">
        <x:f>IF(INDEX($O$2:$O$127,MATCH(A31,$V$2:$V$127,0))="","",INDEX($O$2:$O$127,MATCH(A31,$V$2:$V$127,0)))</x:f>
        <x:v>100亿元以上</x:v>
      </x:c>
      <x:c r="F31" s="77" t="str">
        <x:f>IF(INDEX($P$2:$P$127,MATCH(A31,$V$2:$V$127,0))="","",INDEX($P$2:$P$127,MATCH(A31,$V$2:$V$127,0)))</x:f>
      </x:c>
      <x:c r="G31" s="77" t="n">
        <x:f>IF(INDEX($Q$2:$Q$127,MATCH(A31,$V$2:$V$127,0))="","",INDEX($Q$2:$Q$127,MATCH(A31,$V$2:$V$127,0)))</x:f>
        <x:v>75.73</x:v>
      </x:c>
      <x:c r="H31" s="78" t="n">
        <x:f>IF(INDEX($R$2:$R$127,MATCH(A31,$V$2:$V$127,0))="","",INDEX($R$2:$R$127,MATCH(A31,$V$2:$V$127,0)))</x:f>
        <x:v>0.9550000000000001</x:v>
      </x:c>
      <x:c r="I31" s="66" t="str">
        <x:f>IF(INDEX($S$2:$S$127,MATCH(A31,$V$2:$V$127,0))="","",INDEX($S$2:$S$127,MATCH(A31,$V$2:$V$127,0)))</x:f>
        <x:v>本次公示未见相关记录</x:v>
      </x:c>
      <x:c r="J31" s="66" t="str">
        <x:f>IF(INDEX($T$2:$T$127,MATCH(A31,$V$2:$V$127,0))="","",INDEX($T$2:$T$127,MATCH(A31,$V$2:$V$127,0)))</x:f>
        <x:v>https://gs.amac.org.cn/amac-infodisc/res/pof/manager/101000001136.html</x:v>
      </x:c>
      <x:c r="K31" s="66" t="n">
        <x:f>IF(INDEX($U$2:$U$127,MATCH(A31,$V$2:$V$127,0))="","",INDEX($U$2:$U$127,MATCH(A31,$V$2:$V$127,0)))</x:f>
        <x:v>44</x:v>
      </x:c>
      <x:c r="L31" s="80" t="str">
        <x:v>泽盈毅明1号</x:v>
      </x:c>
      <x:c r="M31" s="80" t="str">
        <x:v>STP012</x:v>
      </x:c>
      <x:c r="N31" s="80" t="str">
        <x:v>青岛泽盈资管</x:v>
      </x:c>
      <x:c r="O31" s="80" t="str">
        <x:v>10-20亿元</x:v>
      </x:c>
      <x:c r="P31" s="81" t="n">
        <x:f>IF(ABS('sheet2-计算明细'!AQ71-1)&lt;0.00000001,'sheet2-计算明细'!AR71,"")</x:f>
        <x:v>74.45920000000001</x:v>
      </x:c>
      <x:c r="Q31" s="81" t="n">
        <x:f>'sheet2-计算明细'!AS71</x:f>
        <x:v>74.46</x:v>
      </x:c>
      <x:c r="R31" s="82" t="n">
        <x:f>'sheet2-计算明细'!AQ71</x:f>
        <x:v>1</x:v>
      </x:c>
      <x:c r="S31" s="80" t="str">
        <x:v>协会提示／报送异常</x:v>
      </x:c>
      <x:c r="T31" s="80" t="str">
        <x:v>https://gs.amac.org.cn/amac-infodisc/res/pof/manager/1710271352104113.html</x:v>
      </x:c>
      <x:c r="U31" s="80" t="n">
        <x:f>'sheet2-计算明细'!AT71</x:f>
        <x:v>50</x:v>
      </x:c>
      <x:c r="V31" s="80" t="n">
        <x:f>COUNTIF($U$2:$U$127,"&lt;"&amp;U31)+1</x:f>
        <x:v>34</x:v>
      </x:c>
    </x:row>
    <x:row r="32" ht="27" customHeight="1">
      <x:c r="A32" s="66" t="n">
        <x:v>31</x:v>
      </x:c>
      <x:c r="B32" s="66" t="str">
        <x:f>IF(INDEX($L$2:$L$127,MATCH(A32,$V$2:$V$127,0))="","",INDEX($L$2:$L$127,MATCH(A32,$V$2:$V$127,0)))</x:f>
        <x:v>殊馥兴义2号</x:v>
      </x:c>
      <x:c r="C32" s="66" t="str">
        <x:f>IF(INDEX($M$2:$M$127,MATCH(A32,$V$2:$V$127,0))="","",INDEX($M$2:$M$127,MATCH(A32,$V$2:$V$127,0)))</x:f>
        <x:v>SGH592</x:v>
      </x:c>
      <x:c r="D32" s="66" t="str">
        <x:f>IF(INDEX($N$2:$N$127,MATCH(A32,$V$2:$V$127,0))="","",INDEX($N$2:$N$127,MATCH(A32,$V$2:$V$127,0)))</x:f>
        <x:v>上海殊馥投资</x:v>
      </x:c>
      <x:c r="E32" s="66" t="str">
        <x:f>IF(INDEX($O$2:$O$127,MATCH(A32,$V$2:$V$127,0))="","",INDEX($O$2:$O$127,MATCH(A32,$V$2:$V$127,0)))</x:f>
        <x:v>10-20亿元</x:v>
      </x:c>
      <x:c r="F32" s="77" t="str">
        <x:f>IF(INDEX($P$2:$P$127,MATCH(A32,$V$2:$V$127,0))="","",INDEX($P$2:$P$127,MATCH(A32,$V$2:$V$127,0)))</x:f>
      </x:c>
      <x:c r="G32" s="77" t="n">
        <x:f>IF(INDEX($Q$2:$Q$127,MATCH(A32,$V$2:$V$127,0))="","",INDEX($Q$2:$Q$127,MATCH(A32,$V$2:$V$127,0)))</x:f>
        <x:v>75.55</x:v>
      </x:c>
      <x:c r="H32" s="78" t="n">
        <x:f>IF(INDEX($R$2:$R$127,MATCH(A32,$V$2:$V$127,0))="","",INDEX($R$2:$R$127,MATCH(A32,$V$2:$V$127,0)))</x:f>
        <x:v>0.88</x:v>
      </x:c>
      <x:c r="I32" s="66" t="str">
        <x:f>IF(INDEX($S$2:$S$127,MATCH(A32,$V$2:$V$127,0))="","",INDEX($S$2:$S$127,MATCH(A32,$V$2:$V$127,0)))</x:f>
        <x:v>协会提示／报送异常</x:v>
      </x:c>
      <x:c r="J32" s="66" t="str">
        <x:f>IF(INDEX($T$2:$T$127,MATCH(A32,$V$2:$V$127,0))="","",INDEX($T$2:$T$127,MATCH(A32,$V$2:$V$127,0)))</x:f>
        <x:v>https://gs.amac.org.cn/amac-infodisc/res/pof/manager/101000042776.html</x:v>
      </x:c>
      <x:c r="K32" s="66" t="n">
        <x:f>IF(INDEX($U$2:$U$127,MATCH(A32,$V$2:$V$127,0))="","",INDEX($U$2:$U$127,MATCH(A32,$V$2:$V$127,0)))</x:f>
        <x:v>46</x:v>
      </x:c>
      <x:c r="L32" s="80" t="str">
        <x:v>博润易量稳健1号</x:v>
      </x:c>
      <x:c r="M32" s="80" t="str">
        <x:v>SXL913</x:v>
      </x:c>
      <x:c r="N32" s="80" t="str">
        <x:v>北京博润银泰投资</x:v>
      </x:c>
      <x:c r="O32" s="80" t="str">
        <x:v>100亿元以上</x:v>
      </x:c>
      <x:c r="P32" s="81" t="str">
        <x:f>IF(ABS('sheet2-计算明细'!AQ74-1)&lt;0.00000001,'sheet2-计算明细'!AR74,"")</x:f>
      </x:c>
      <x:c r="Q32" s="81" t="n">
        <x:f>'sheet2-计算明细'!AS74</x:f>
        <x:v>65.91</x:v>
      </x:c>
      <x:c r="R32" s="82" t="n">
        <x:f>'sheet2-计算明细'!AQ74</x:f>
        <x:v>0.88</x:v>
      </x:c>
      <x:c r="S32" s="80" t="str">
        <x:v>本次公示未见相关记录</x:v>
      </x:c>
      <x:c r="T32" s="80" t="str">
        <x:v>https://gs.amac.org.cn/amac-infodisc/res/pof/manager/101000005082.html</x:v>
      </x:c>
      <x:c r="U32" s="80" t="n">
        <x:f>'sheet2-计算明细'!AT74</x:f>
        <x:v>85</x:v>
      </x:c>
      <x:c r="V32" s="80" t="n">
        <x:f>COUNTIF($U$2:$U$127,"&lt;"&amp;U32)+1</x:f>
        <x:v>57</x:v>
      </x:c>
    </x:row>
    <x:row r="33" ht="27" customHeight="1">
      <x:c r="A33" s="66" t="n">
        <x:v>32</x:v>
      </x:c>
      <x:c r="B33" s="66" t="str">
        <x:f>IF(INDEX($L$2:$L$127,MATCH(A33,$V$2:$V$127,0))="","",INDEX($L$2:$L$127,MATCH(A33,$V$2:$V$127,0)))</x:f>
        <x:v>庄贤亨贞期权对冲A类</x:v>
      </x:c>
      <x:c r="C33" s="66" t="str">
        <x:f>IF(INDEX($M$2:$M$127,MATCH(A33,$V$2:$V$127,0))="","",INDEX($M$2:$M$127,MATCH(A33,$V$2:$V$127,0)))</x:f>
        <x:v>TW239A</x:v>
      </x:c>
      <x:c r="D33" s="66" t="str">
        <x:f>IF(INDEX($N$2:$N$127,MATCH(A33,$V$2:$V$127,0))="","",INDEX($N$2:$N$127,MATCH(A33,$V$2:$V$127,0)))</x:f>
        <x:v>杭州庄贤投资</x:v>
      </x:c>
      <x:c r="E33" s="66" t="str">
        <x:f>IF(INDEX($O$2:$O$127,MATCH(A33,$V$2:$V$127,0))="","",INDEX($O$2:$O$127,MATCH(A33,$V$2:$V$127,0)))</x:f>
        <x:v>20-50亿元</x:v>
      </x:c>
      <x:c r="F33" s="77" t="str">
        <x:f>IF(INDEX($P$2:$P$127,MATCH(A33,$V$2:$V$127,0))="","",INDEX($P$2:$P$127,MATCH(A33,$V$2:$V$127,0)))</x:f>
      </x:c>
      <x:c r="G33" s="77" t="n">
        <x:f>IF(INDEX($Q$2:$Q$127,MATCH(A33,$V$2:$V$127,0))="","",INDEX($Q$2:$Q$127,MATCH(A33,$V$2:$V$127,0)))</x:f>
        <x:v>75.28</x:v>
      </x:c>
      <x:c r="H33" s="78" t="n">
        <x:f>IF(INDEX($R$2:$R$127,MATCH(A33,$V$2:$V$127,0))="","",INDEX($R$2:$R$127,MATCH(A33,$V$2:$V$127,0)))</x:f>
        <x:v>0.9550000000000001</x:v>
      </x:c>
      <x:c r="I33" s="66" t="str">
        <x:f>IF(INDEX($S$2:$S$127,MATCH(A33,$V$2:$V$127,0))="","",INDEX($S$2:$S$127,MATCH(A33,$V$2:$V$127,0)))</x:f>
        <x:v>本次公示未见相关记录</x:v>
      </x:c>
      <x:c r="J33" s="66" t="str">
        <x:f>IF(INDEX($T$2:$T$127,MATCH(A33,$V$2:$V$127,0))="","",INDEX($T$2:$T$127,MATCH(A33,$V$2:$V$127,0)))</x:f>
        <x:v>https://gs.amac.org.cn/amac-infodisc/res/pof/manager/1703280912100590.html</x:v>
      </x:c>
      <x:c r="K33" s="66" t="n">
        <x:f>IF(INDEX($U$2:$U$127,MATCH(A33,$V$2:$V$127,0))="","",INDEX($U$2:$U$127,MATCH(A33,$V$2:$V$127,0)))</x:f>
        <x:v>48</x:v>
      </x:c>
      <x:c r="L33" s="80" t="str">
        <x:v>慕途稳健2号</x:v>
      </x:c>
      <x:c r="M33" s="80" t="str">
        <x:v>SXW938</x:v>
      </x:c>
      <x:c r="N33" s="80" t="str">
        <x:v>慕途基金</x:v>
      </x:c>
      <x:c r="O33" s="80" t="str">
        <x:v>10-20亿元</x:v>
      </x:c>
      <x:c r="P33" s="81" t="str">
        <x:f>IF(ABS('sheet2-计算明细'!AQ76-1)&lt;0.00000001,'sheet2-计算明细'!AR76,"")</x:f>
      </x:c>
      <x:c r="Q33" s="81" t="n">
        <x:f>'sheet2-计算明细'!AS76</x:f>
        <x:v>85.34</x:v>
      </x:c>
      <x:c r="R33" s="82" t="n">
        <x:f>'sheet2-计算明细'!AQ76</x:f>
        <x:v>0.856</x:v>
      </x:c>
      <x:c r="S33" s="80" t="str">
        <x:v>本次公示未见相关记录</x:v>
      </x:c>
      <x:c r="T33" s="80" t="str">
        <x:v>https://gs.amac.org.cn/amac-infodisc/res/pof/manager/2106221238106983.html</x:v>
      </x:c>
      <x:c r="U33" s="80" t="n">
        <x:f>'sheet2-计算明细'!AT76</x:f>
        <x:v>18</x:v>
      </x:c>
      <x:c r="V33" s="80" t="n">
        <x:f>COUNTIF($U$2:$U$127,"&lt;"&amp;U33)+1</x:f>
        <x:v>13</x:v>
      </x:c>
    </x:row>
    <x:row r="34" ht="27" customHeight="1">
      <x:c r="A34" s="66" t="n">
        <x:v>33</x:v>
      </x:c>
      <x:c r="B34" s="66" t="str">
        <x:f>IF(INDEX($L$2:$L$127,MATCH(A34,$V$2:$V$127,0))="","",INDEX($L$2:$L$127,MATCH(A34,$V$2:$V$127,0)))</x:f>
        <x:v>博普稳增3号</x:v>
      </x:c>
      <x:c r="C34" s="66" t="str">
        <x:f>IF(INDEX($M$2:$M$127,MATCH(A34,$V$2:$V$127,0))="","",INDEX($M$2:$M$127,MATCH(A34,$V$2:$V$127,0)))</x:f>
        <x:v>SW7191</x:v>
      </x:c>
      <x:c r="D34" s="66" t="str">
        <x:f>IF(INDEX($N$2:$N$127,MATCH(A34,$V$2:$V$127,0))="","",INDEX($N$2:$N$127,MATCH(A34,$V$2:$V$127,0)))</x:f>
        <x:v>深圳博普科技</x:v>
      </x:c>
      <x:c r="E34" s="66" t="str">
        <x:f>IF(INDEX($O$2:$O$127,MATCH(A34,$V$2:$V$127,0))="","",INDEX($O$2:$O$127,MATCH(A34,$V$2:$V$127,0)))</x:f>
        <x:v>100亿元以上</x:v>
      </x:c>
      <x:c r="F34" s="77" t="n">
        <x:f>IF(INDEX($P$2:$P$127,MATCH(A34,$V$2:$V$127,0))="","",INDEX($P$2:$P$127,MATCH(A34,$V$2:$V$127,0)))</x:f>
        <x:v>74.79444000000001</x:v>
      </x:c>
      <x:c r="G34" s="77" t="n">
        <x:f>IF(INDEX($Q$2:$Q$127,MATCH(A34,$V$2:$V$127,0))="","",INDEX($Q$2:$Q$127,MATCH(A34,$V$2:$V$127,0)))</x:f>
        <x:v>74.79</x:v>
      </x:c>
      <x:c r="H34" s="78" t="n">
        <x:f>IF(INDEX($R$2:$R$127,MATCH(A34,$V$2:$V$127,0))="","",INDEX($R$2:$R$127,MATCH(A34,$V$2:$V$127,0)))</x:f>
        <x:v>1</x:v>
      </x:c>
      <x:c r="I34" s="66" t="str">
        <x:f>IF(INDEX($S$2:$S$127,MATCH(A34,$V$2:$V$127,0))="","",INDEX($S$2:$S$127,MATCH(A34,$V$2:$V$127,0)))</x:f>
        <x:v>本次公示未见相关记录</x:v>
      </x:c>
      <x:c r="J34" s="66" t="str">
        <x:f>IF(INDEX($T$2:$T$127,MATCH(A34,$V$2:$V$127,0))="","",INDEX($T$2:$T$127,MATCH(A34,$V$2:$V$127,0)))</x:f>
        <x:v>https://gs.amac.org.cn/amac-infodisc/res/pof/manager/101000001136.html</x:v>
      </x:c>
      <x:c r="K34" s="66" t="n">
        <x:f>IF(INDEX($U$2:$U$127,MATCH(A34,$V$2:$V$127,0))="","",INDEX($U$2:$U$127,MATCH(A34,$V$2:$V$127,0)))</x:f>
        <x:v>49</x:v>
      </x:c>
      <x:c r="L34" s="80" t="str">
        <x:v>砚博乘风量化14号</x:v>
      </x:c>
      <x:c r="M34" s="80" t="str">
        <x:v>SZN225</x:v>
      </x:c>
      <x:c r="N34" s="80" t="str">
        <x:v>深圳前海砚博乘风资管</x:v>
      </x:c>
      <x:c r="O34" s="80" t="str">
        <x:v>10-20亿元</x:v>
      </x:c>
      <x:c r="P34" s="81" t="n">
        <x:f>IF(ABS('sheet2-计算明细'!AQ80-1)&lt;0.00000001,'sheet2-计算明细'!AR80,"")</x:f>
        <x:v>49.97392</x:v>
      </x:c>
      <x:c r="Q34" s="81" t="n">
        <x:f>'sheet2-计算明细'!AS80</x:f>
        <x:v>49.97</x:v>
      </x:c>
      <x:c r="R34" s="82" t="n">
        <x:f>'sheet2-计算明细'!AQ80</x:f>
        <x:v>1</x:v>
      </x:c>
      <x:c r="S34" s="80" t="str">
        <x:v>协会提示／报送异常</x:v>
      </x:c>
      <x:c r="T34" s="80" t="str">
        <x:v>https://gs.amac.org.cn/amac-infodisc/res/pof/manager/101000062862.html</x:v>
      </x:c>
      <x:c r="U34" s="80" t="n">
        <x:f>'sheet2-计算明细'!AT80</x:f>
        <x:v>147</x:v>
      </x:c>
      <x:c r="V34" s="80" t="n">
        <x:f>COUNTIF($U$2:$U$127,"&lt;"&amp;U34)+1</x:f>
        <x:v>98</x:v>
      </x:c>
    </x:row>
    <x:row r="35" ht="27" customHeight="1">
      <x:c r="A35" s="66" t="n">
        <x:v>34</x:v>
      </x:c>
      <x:c r="B35" s="66" t="str">
        <x:f>IF(INDEX($L$2:$L$127,MATCH(A35,$V$2:$V$127,0))="","",INDEX($L$2:$L$127,MATCH(A35,$V$2:$V$127,0)))</x:f>
        <x:v>泽盈毅明1号</x:v>
      </x:c>
      <x:c r="C35" s="66" t="str">
        <x:f>IF(INDEX($M$2:$M$127,MATCH(A35,$V$2:$V$127,0))="","",INDEX($M$2:$M$127,MATCH(A35,$V$2:$V$127,0)))</x:f>
        <x:v>STP012</x:v>
      </x:c>
      <x:c r="D35" s="66" t="str">
        <x:f>IF(INDEX($N$2:$N$127,MATCH(A35,$V$2:$V$127,0))="","",INDEX($N$2:$N$127,MATCH(A35,$V$2:$V$127,0)))</x:f>
        <x:v>青岛泽盈资管</x:v>
      </x:c>
      <x:c r="E35" s="66" t="str">
        <x:f>IF(INDEX($O$2:$O$127,MATCH(A35,$V$2:$V$127,0))="","",INDEX($O$2:$O$127,MATCH(A35,$V$2:$V$127,0)))</x:f>
        <x:v>10-20亿元</x:v>
      </x:c>
      <x:c r="F35" s="77" t="n">
        <x:f>IF(INDEX($P$2:$P$127,MATCH(A35,$V$2:$V$127,0))="","",INDEX($P$2:$P$127,MATCH(A35,$V$2:$V$127,0)))</x:f>
        <x:v>74.45920000000001</x:v>
      </x:c>
      <x:c r="G35" s="77" t="n">
        <x:f>IF(INDEX($Q$2:$Q$127,MATCH(A35,$V$2:$V$127,0))="","",INDEX($Q$2:$Q$127,MATCH(A35,$V$2:$V$127,0)))</x:f>
        <x:v>74.46</x:v>
      </x:c>
      <x:c r="H35" s="78" t="n">
        <x:f>IF(INDEX($R$2:$R$127,MATCH(A35,$V$2:$V$127,0))="","",INDEX($R$2:$R$127,MATCH(A35,$V$2:$V$127,0)))</x:f>
        <x:v>1</x:v>
      </x:c>
      <x:c r="I35" s="66" t="str">
        <x:f>IF(INDEX($S$2:$S$127,MATCH(A35,$V$2:$V$127,0))="","",INDEX($S$2:$S$127,MATCH(A35,$V$2:$V$127,0)))</x:f>
        <x:v>协会提示／报送异常</x:v>
      </x:c>
      <x:c r="J35" s="66" t="str">
        <x:f>IF(INDEX($T$2:$T$127,MATCH(A35,$V$2:$V$127,0))="","",INDEX($T$2:$T$127,MATCH(A35,$V$2:$V$127,0)))</x:f>
        <x:v>https://gs.amac.org.cn/amac-infodisc/res/pof/manager/1710271352104113.html</x:v>
      </x:c>
      <x:c r="K35" s="66" t="n">
        <x:f>IF(INDEX($U$2:$U$127,MATCH(A35,$V$2:$V$127,0))="","",INDEX($U$2:$U$127,MATCH(A35,$V$2:$V$127,0)))</x:f>
        <x:v>50</x:v>
      </x:c>
      <x:c r="L35" s="80" t="str">
        <x:v>平凡凡响二号</x:v>
      </x:c>
      <x:c r="M35" s="80" t="str">
        <x:v>SZU727</x:v>
      </x:c>
      <x:c r="N35" s="80" t="str">
        <x:v>北京平凡</x:v>
      </x:c>
      <x:c r="O35" s="80" t="str">
        <x:v>50-100亿元</x:v>
      </x:c>
      <x:c r="P35" s="81" t="n">
        <x:f>IF(ABS('sheet2-计算明细'!AQ81-1)&lt;0.00000001,'sheet2-计算明细'!AR81,"")</x:f>
        <x:v>88.08371</x:v>
      </x:c>
      <x:c r="Q35" s="81" t="n">
        <x:f>'sheet2-计算明细'!AS81</x:f>
        <x:v>88.08</x:v>
      </x:c>
      <x:c r="R35" s="82" t="n">
        <x:f>'sheet2-计算明细'!AQ81</x:f>
        <x:v>1</x:v>
      </x:c>
      <x:c r="S35" s="80" t="str">
        <x:v>本次公示未见相关记录</x:v>
      </x:c>
      <x:c r="T35" s="80" t="str">
        <x:v>https://gs.amac.org.cn/amac-infodisc/res/pof/manager/101000030286.html</x:v>
      </x:c>
      <x:c r="U35" s="80" t="n">
        <x:f>'sheet2-计算明细'!AT81</x:f>
        <x:v>10</x:v>
      </x:c>
      <x:c r="V35" s="80" t="n">
        <x:f>COUNTIF($U$2:$U$127,"&lt;"&amp;U35)+1</x:f>
        <x:v>6</x:v>
      </x:c>
    </x:row>
    <x:row r="36" ht="27" customHeight="1">
      <x:c r="A36" s="66" t="n">
        <x:v>35</x:v>
      </x:c>
      <x:c r="B36" s="66" t="str">
        <x:f>IF(INDEX($L$2:$L$127,MATCH(A36,$V$2:$V$127,0))="","",INDEX($L$2:$L$127,MATCH(A36,$V$2:$V$127,0)))</x:f>
        <x:v>博普日添月益</x:v>
      </x:c>
      <x:c r="C36" s="66" t="str">
        <x:f>IF(INDEX($M$2:$M$127,MATCH(A36,$V$2:$V$127,0))="","",INDEX($M$2:$M$127,MATCH(A36,$V$2:$V$127,0)))</x:f>
        <x:v>SJW903</x:v>
      </x:c>
      <x:c r="D36" s="66" t="str">
        <x:f>IF(INDEX($N$2:$N$127,MATCH(A36,$V$2:$V$127,0))="","",INDEX($N$2:$N$127,MATCH(A36,$V$2:$V$127,0)))</x:f>
        <x:v>深圳前海博普资管</x:v>
      </x:c>
      <x:c r="E36" s="66" t="str">
        <x:f>IF(INDEX($O$2:$O$127,MATCH(A36,$V$2:$V$127,0))="","",INDEX($O$2:$O$127,MATCH(A36,$V$2:$V$127,0)))</x:f>
        <x:v>50-100亿元</x:v>
      </x:c>
      <x:c r="F36" s="77" t="n">
        <x:f>IF(INDEX($P$2:$P$127,MATCH(A36,$V$2:$V$127,0))="","",INDEX($P$2:$P$127,MATCH(A36,$V$2:$V$127,0)))</x:f>
        <x:v>74.31559</x:v>
      </x:c>
      <x:c r="G36" s="77" t="n">
        <x:f>IF(INDEX($Q$2:$Q$127,MATCH(A36,$V$2:$V$127,0))="","",INDEX($Q$2:$Q$127,MATCH(A36,$V$2:$V$127,0)))</x:f>
        <x:v>74.32</x:v>
      </x:c>
      <x:c r="H36" s="78" t="n">
        <x:f>IF(INDEX($R$2:$R$127,MATCH(A36,$V$2:$V$127,0))="","",INDEX($R$2:$R$127,MATCH(A36,$V$2:$V$127,0)))</x:f>
        <x:v>1</x:v>
      </x:c>
      <x:c r="I36" s="66" t="str">
        <x:f>IF(INDEX($S$2:$S$127,MATCH(A36,$V$2:$V$127,0))="","",INDEX($S$2:$S$127,MATCH(A36,$V$2:$V$127,0)))</x:f>
        <x:v>本次公示未见相关记录</x:v>
      </x:c>
      <x:c r="J36" s="66" t="str">
        <x:f>IF(INDEX($T$2:$T$127,MATCH(A36,$V$2:$V$127,0))="","",INDEX($T$2:$T$127,MATCH(A36,$V$2:$V$127,0)))</x:f>
        <x:v>https://gs.amac.org.cn/amac-infodisc/res/pof/manager/1709041706102598.html</x:v>
      </x:c>
      <x:c r="K36" s="66" t="n">
        <x:f>IF(INDEX($U$2:$U$127,MATCH(A36,$V$2:$V$127,0))="","",INDEX($U$2:$U$127,MATCH(A36,$V$2:$V$127,0)))</x:f>
        <x:v>51</x:v>
      </x:c>
      <x:c r="L36" s="80" t="str">
        <x:v>金和和善对冲5号</x:v>
      </x:c>
      <x:c r="M36" s="80" t="str">
        <x:v>SZX748</x:v>
      </x:c>
      <x:c r="N36" s="80" t="str">
        <x:v>上海金和晟</x:v>
      </x:c>
      <x:c r="O36" s="80" t="str">
        <x:v>20-50亿元</x:v>
      </x:c>
      <x:c r="P36" s="81" t="str">
        <x:f>IF(ABS('sheet2-计算明细'!AQ83-1)&lt;0.00000001,'sheet2-计算明细'!AR83,"")</x:f>
      </x:c>
      <x:c r="Q36" s="81" t="n">
        <x:f>'sheet2-计算明细'!AS83</x:f>
        <x:v>77.43</x:v>
      </x:c>
      <x:c r="R36" s="82" t="n">
        <x:f>'sheet2-计算明细'!AQ83</x:f>
        <x:v>0.88</x:v>
      </x:c>
      <x:c r="S36" s="80" t="str">
        <x:v>本次公示未见相关记录</x:v>
      </x:c>
      <x:c r="T36" s="80" t="str">
        <x:v>https://gs.amac.org.cn/amac-infodisc/res/pof/manager/2010280957108370.html</x:v>
      </x:c>
      <x:c r="U36" s="80" t="n">
        <x:f>'sheet2-计算明细'!AT83</x:f>
        <x:v>40</x:v>
      </x:c>
      <x:c r="V36" s="80" t="n">
        <x:f>COUNTIF($U$2:$U$127,"&lt;"&amp;U36)+1</x:f>
        <x:v>26</x:v>
      </x:c>
    </x:row>
    <x:row r="37" ht="27" customHeight="1">
      <x:c r="A37" s="66" t="n">
        <x:v>36</x:v>
      </x:c>
      <x:c r="B37" s="66" t="str">
        <x:f>IF(INDEX($L$2:$L$127,MATCH(A37,$V$2:$V$127,0))="","",INDEX($L$2:$L$127,MATCH(A37,$V$2:$V$127,0)))</x:f>
        <x:v>中益仁东染千顷</x:v>
      </x:c>
      <x:c r="C37" s="66" t="str">
        <x:f>IF(INDEX($M$2:$M$127,MATCH(A37,$V$2:$V$127,0))="","",INDEX($M$2:$M$127,MATCH(A37,$V$2:$V$127,0)))</x:f>
        <x:v>SXK740</x:v>
      </x:c>
      <x:c r="D37" s="66" t="str">
        <x:f>IF(INDEX($N$2:$N$127,MATCH(A37,$V$2:$V$127,0))="","",INDEX($N$2:$N$127,MATCH(A37,$V$2:$V$127,0)))</x:f>
        <x:v>日照中益仁</x:v>
      </x:c>
      <x:c r="E37" s="66" t="str">
        <x:f>IF(INDEX($O$2:$O$127,MATCH(A37,$V$2:$V$127,0))="","",INDEX($O$2:$O$127,MATCH(A37,$V$2:$V$127,0)))</x:f>
        <x:v>10-20亿元</x:v>
      </x:c>
      <x:c r="F37" s="77" t="str">
        <x:f>IF(INDEX($P$2:$P$127,MATCH(A37,$V$2:$V$127,0))="","",INDEX($P$2:$P$127,MATCH(A37,$V$2:$V$127,0)))</x:f>
      </x:c>
      <x:c r="G37" s="77" t="n">
        <x:f>IF(INDEX($Q$2:$Q$127,MATCH(A37,$V$2:$V$127,0))="","",INDEX($Q$2:$Q$127,MATCH(A37,$V$2:$V$127,0)))</x:f>
        <x:v>74</x:v>
      </x:c>
      <x:c r="H37" s="78" t="n">
        <x:f>IF(INDEX($R$2:$R$127,MATCH(A37,$V$2:$V$127,0))="","",INDEX($R$2:$R$127,MATCH(A37,$V$2:$V$127,0)))</x:f>
        <x:v>0.88</x:v>
      </x:c>
      <x:c r="I37" s="66" t="str">
        <x:f>IF(INDEX($S$2:$S$127,MATCH(A37,$V$2:$V$127,0))="","",INDEX($S$2:$S$127,MATCH(A37,$V$2:$V$127,0)))</x:f>
        <x:v>本次公示未见相关记录</x:v>
      </x:c>
      <x:c r="J37" s="66" t="str">
        <x:f>IF(INDEX($T$2:$T$127,MATCH(A37,$V$2:$V$127,0))="","",INDEX($T$2:$T$127,MATCH(A37,$V$2:$V$127,0)))</x:f>
        <x:v>https://gs.amac.org.cn/amac-infodisc/res/pof/manager/1708291806108811.html</x:v>
      </x:c>
      <x:c r="K37" s="66" t="n">
        <x:f>IF(INDEX($U$2:$U$127,MATCH(A37,$V$2:$V$127,0))="","",INDEX($U$2:$U$127,MATCH(A37,$V$2:$V$127,0)))</x:f>
        <x:v>52</x:v>
      </x:c>
      <x:c r="L37" s="80" t="str">
        <x:v>奶酪鑫鑫宝二号</x:v>
      </x:c>
      <x:c r="M37" s="80" t="str">
        <x:v>SB2838</x:v>
      </x:c>
      <x:c r="N37" s="80" t="str">
        <x:v>广东奶酪</x:v>
      </x:c>
      <x:c r="O37" s="80" t="str">
        <x:v>10-20亿元</x:v>
      </x:c>
      <x:c r="P37" s="81" t="str">
        <x:f>IF(ABS('sheet2-计算明细'!AQ85-1)&lt;0.00000001,'sheet2-计算明细'!AR85,"")</x:f>
      </x:c>
      <x:c r="Q37" s="81" t="n">
        <x:f>'sheet2-计算明细'!AS85</x:f>
        <x:v>87.4</x:v>
      </x:c>
      <x:c r="R37" s="82" t="n">
        <x:f>'sheet2-计算明细'!AQ85</x:f>
        <x:v>0.7</x:v>
      </x:c>
      <x:c r="S37" s="80" t="str">
        <x:v>本次公示未见相关记录</x:v>
      </x:c>
      <x:c r="T37" s="80" t="str">
        <x:v>https://gs.amac.org.cn/amac-infodisc/res/pof/manager/101000045017.html</x:v>
      </x:c>
      <x:c r="U37" s="80" t="n">
        <x:f>'sheet2-计算明细'!AT85</x:f>
        <x:v>12</x:v>
      </x:c>
      <x:c r="V37" s="80" t="n">
        <x:f>COUNTIF($U$2:$U$127,"&lt;"&amp;U37)+1</x:f>
        <x:v>8</x:v>
      </x:c>
    </x:row>
    <x:row r="38" ht="27" customHeight="1">
      <x:c r="A38" s="66" t="n">
        <x:v>37</x:v>
      </x:c>
      <x:c r="B38" s="66" t="str">
        <x:f>IF(INDEX($L$2:$L$127,MATCH(A38,$V$2:$V$127,0))="","",INDEX($L$2:$L$127,MATCH(A38,$V$2:$V$127,0)))</x:f>
        <x:v>橡杉量化套利十号</x:v>
      </x:c>
      <x:c r="C38" s="66" t="str">
        <x:f>IF(INDEX($M$2:$M$127,MATCH(A38,$V$2:$V$127,0))="","",INDEX($M$2:$M$127,MATCH(A38,$V$2:$V$127,0)))</x:f>
        <x:v>SLY435</x:v>
      </x:c>
      <x:c r="D38" s="66" t="str">
        <x:f>IF(INDEX($N$2:$N$127,MATCH(A38,$V$2:$V$127,0))="","",INDEX($N$2:$N$127,MATCH(A38,$V$2:$V$127,0)))</x:f>
        <x:v>上海橡杉资管</x:v>
      </x:c>
      <x:c r="E38" s="66" t="str">
        <x:f>IF(INDEX($O$2:$O$127,MATCH(A38,$V$2:$V$127,0))="","",INDEX($O$2:$O$127,MATCH(A38,$V$2:$V$127,0)))</x:f>
        <x:v>5-10亿元</x:v>
      </x:c>
      <x:c r="F38" s="77" t="str">
        <x:f>IF(INDEX($P$2:$P$127,MATCH(A38,$V$2:$V$127,0))="","",INDEX($P$2:$P$127,MATCH(A38,$V$2:$V$127,0)))</x:f>
      </x:c>
      <x:c r="G38" s="77" t="n">
        <x:f>IF(INDEX($Q$2:$Q$127,MATCH(A38,$V$2:$V$127,0))="","",INDEX($Q$2:$Q$127,MATCH(A38,$V$2:$V$127,0)))</x:f>
        <x:v>73.72</x:v>
      </x:c>
      <x:c r="H38" s="78" t="n">
        <x:f>IF(INDEX($R$2:$R$127,MATCH(A38,$V$2:$V$127,0))="","",INDEX($R$2:$R$127,MATCH(A38,$V$2:$V$127,0)))</x:f>
        <x:v>0.88</x:v>
      </x:c>
      <x:c r="I38" s="66" t="str">
        <x:f>IF(INDEX($S$2:$S$127,MATCH(A38,$V$2:$V$127,0))="","",INDEX($S$2:$S$127,MATCH(A38,$V$2:$V$127,0)))</x:f>
        <x:v>本次公示未见相关记录</x:v>
      </x:c>
      <x:c r="J38" s="66" t="str">
        <x:f>IF(INDEX($T$2:$T$127,MATCH(A38,$V$2:$V$127,0))="","",INDEX($T$2:$T$127,MATCH(A38,$V$2:$V$127,0)))</x:f>
        <x:v>https://gs.amac.org.cn/amac-infodisc/res/pof/manager/1609080127100430.html</x:v>
      </x:c>
      <x:c r="K38" s="66" t="n">
        <x:f>IF(INDEX($U$2:$U$127,MATCH(A38,$V$2:$V$127,0))="","",INDEX($U$2:$U$127,MATCH(A38,$V$2:$V$127,0)))</x:f>
        <x:v>53</x:v>
      </x:c>
      <x:c r="L38" s="80" t="str">
        <x:v>韵之嘉益</x:v>
      </x:c>
      <x:c r="M38" s="80" t="str">
        <x:v>SB1775</x:v>
      </x:c>
      <x:c r="N38" s="80" t="str">
        <x:v>北京韵之</x:v>
      </x:c>
      <x:c r="O38" s="80" t="str">
        <x:v>5-10亿元</x:v>
      </x:c>
      <x:c r="P38" s="81" t="n">
        <x:f>IF(ABS('sheet2-计算明细'!AQ87-1)&lt;0.00000001,'sheet2-计算明细'!AR87,"")</x:f>
        <x:v>28.471890000000002</x:v>
      </x:c>
      <x:c r="Q38" s="81" t="n">
        <x:f>'sheet2-计算明细'!AS87</x:f>
        <x:v>28.47</x:v>
      </x:c>
      <x:c r="R38" s="82" t="n">
        <x:f>'sheet2-计算明细'!AQ87</x:f>
        <x:v>1</x:v>
      </x:c>
      <x:c r="S38" s="80" t="str">
        <x:v>本次公示未见相关记录</x:v>
      </x:c>
      <x:c r="T38" s="80" t="str">
        <x:v>https://gs.amac.org.cn/amac-infodisc/res/pof/manager/1609291216100602.html</x:v>
      </x:c>
      <x:c r="U38" s="80" t="n">
        <x:f>'sheet2-计算明细'!AT87</x:f>
        <x:v>197</x:v>
      </x:c>
      <x:c r="V38" s="80" t="n">
        <x:f>COUNTIF($U$2:$U$127,"&lt;"&amp;U38)+1</x:f>
        <x:v>123</x:v>
      </x:c>
    </x:row>
    <x:row r="39" ht="27" customHeight="1">
      <x:c r="A39" s="66" t="n">
        <x:v>38</x:v>
      </x:c>
      <x:c r="B39" s="66" t="str">
        <x:f>IF(INDEX($L$2:$L$127,MATCH(A39,$V$2:$V$127,0))="","",INDEX($L$2:$L$127,MATCH(A39,$V$2:$V$127,0)))</x:f>
        <x:v>杨湜套利1号</x:v>
      </x:c>
      <x:c r="C39" s="66" t="str">
        <x:f>IF(INDEX($M$2:$M$127,MATCH(A39,$V$2:$V$127,0))="","",INDEX($M$2:$M$127,MATCH(A39,$V$2:$V$127,0)))</x:f>
        <x:v>SB6565</x:v>
      </x:c>
      <x:c r="D39" s="66" t="str">
        <x:f>IF(INDEX($N$2:$N$127,MATCH(A39,$V$2:$V$127,0))="","",INDEX($N$2:$N$127,MATCH(A39,$V$2:$V$127,0)))</x:f>
        <x:v>上海杨湜投资</x:v>
      </x:c>
      <x:c r="E39" s="66" t="str">
        <x:f>IF(INDEX($O$2:$O$127,MATCH(A39,$V$2:$V$127,0))="","",INDEX($O$2:$O$127,MATCH(A39,$V$2:$V$127,0)))</x:f>
        <x:v>10-20亿元</x:v>
      </x:c>
      <x:c r="F39" s="77" t="n">
        <x:f>IF(INDEX($P$2:$P$127,MATCH(A39,$V$2:$V$127,0))="","",INDEX($P$2:$P$127,MATCH(A39,$V$2:$V$127,0)))</x:f>
        <x:v>73.30893999999999</x:v>
      </x:c>
      <x:c r="G39" s="77" t="n">
        <x:f>IF(INDEX($Q$2:$Q$127,MATCH(A39,$V$2:$V$127,0))="","",INDEX($Q$2:$Q$127,MATCH(A39,$V$2:$V$127,0)))</x:f>
        <x:v>73.31</x:v>
      </x:c>
      <x:c r="H39" s="78" t="n">
        <x:f>IF(INDEX($R$2:$R$127,MATCH(A39,$V$2:$V$127,0))="","",INDEX($R$2:$R$127,MATCH(A39,$V$2:$V$127,0)))</x:f>
        <x:v>1</x:v>
      </x:c>
      <x:c r="I39" s="66" t="str">
        <x:f>IF(INDEX($S$2:$S$127,MATCH(A39,$V$2:$V$127,0))="","",INDEX($S$2:$S$127,MATCH(A39,$V$2:$V$127,0)))</x:f>
        <x:v>本次公示未见相关记录</x:v>
      </x:c>
      <x:c r="J39" s="66" t="str">
        <x:f>IF(INDEX($T$2:$T$127,MATCH(A39,$V$2:$V$127,0))="","",INDEX($T$2:$T$127,MATCH(A39,$V$2:$V$127,0)))</x:f>
        <x:v>https://gs.amac.org.cn/amac-infodisc/res/pof/manager/101000070776.html</x:v>
      </x:c>
      <x:c r="K39" s="66" t="n">
        <x:f>IF(INDEX($U$2:$U$127,MATCH(A39,$V$2:$V$127,0))="","",INDEX($U$2:$U$127,MATCH(A39,$V$2:$V$127,0)))</x:f>
        <x:v>54</x:v>
      </x:c>
      <x:c r="L39" s="80" t="str">
        <x:v>杨湜套利1号</x:v>
      </x:c>
      <x:c r="M39" s="80" t="str">
        <x:v>SB6565</x:v>
      </x:c>
      <x:c r="N39" s="80" t="str">
        <x:v>上海杨湜投资</x:v>
      </x:c>
      <x:c r="O39" s="80" t="str">
        <x:v>10-20亿元</x:v>
      </x:c>
      <x:c r="P39" s="81" t="n">
        <x:f>IF(ABS('sheet2-计算明细'!AQ88-1)&lt;0.00000001,'sheet2-计算明细'!AR88,"")</x:f>
        <x:v>73.30893999999999</x:v>
      </x:c>
      <x:c r="Q39" s="81" t="n">
        <x:f>'sheet2-计算明细'!AS88</x:f>
        <x:v>73.31</x:v>
      </x:c>
      <x:c r="R39" s="82" t="n">
        <x:f>'sheet2-计算明细'!AQ88</x:f>
        <x:v>1</x:v>
      </x:c>
      <x:c r="S39" s="80" t="str">
        <x:v>本次公示未见相关记录</x:v>
      </x:c>
      <x:c r="T39" s="80" t="str">
        <x:v>https://gs.amac.org.cn/amac-infodisc/res/pof/manager/101000070776.html</x:v>
      </x:c>
      <x:c r="U39" s="80" t="n">
        <x:f>'sheet2-计算明细'!AT88</x:f>
        <x:v>54</x:v>
      </x:c>
      <x:c r="V39" s="80" t="n">
        <x:f>COUNTIF($U$2:$U$127,"&lt;"&amp;U39)+1</x:f>
        <x:v>38</x:v>
      </x:c>
    </x:row>
    <x:row r="40" ht="27" customHeight="1">
      <x:c r="A40" s="66" t="n">
        <x:v>39</x:v>
      </x:c>
      <x:c r="B40" s="66" t="str">
        <x:f>IF(INDEX($L$2:$L$127,MATCH(A40,$V$2:$V$127,0))="","",INDEX($L$2:$L$127,MATCH(A40,$V$2:$V$127,0)))</x:f>
        <x:v>博普日添月益A类</x:v>
      </x:c>
      <x:c r="C40" s="66" t="str">
        <x:f>IF(INDEX($M$2:$M$127,MATCH(A40,$V$2:$V$127,0))="","",INDEX($M$2:$M$127,MATCH(A40,$V$2:$V$127,0)))</x:f>
        <x:v>JW903A</x:v>
      </x:c>
      <x:c r="D40" s="66" t="str">
        <x:f>IF(INDEX($N$2:$N$127,MATCH(A40,$V$2:$V$127,0))="","",INDEX($N$2:$N$127,MATCH(A40,$V$2:$V$127,0)))</x:f>
        <x:v>深圳前海博普资管</x:v>
      </x:c>
      <x:c r="E40" s="66" t="str">
        <x:f>IF(INDEX($O$2:$O$127,MATCH(A40,$V$2:$V$127,0))="","",INDEX($O$2:$O$127,MATCH(A40,$V$2:$V$127,0)))</x:f>
        <x:v>50-100亿元</x:v>
      </x:c>
      <x:c r="F40" s="77" t="str">
        <x:f>IF(INDEX($P$2:$P$127,MATCH(A40,$V$2:$V$127,0))="","",INDEX($P$2:$P$127,MATCH(A40,$V$2:$V$127,0)))</x:f>
      </x:c>
      <x:c r="G40" s="77" t="n">
        <x:f>IF(INDEX($Q$2:$Q$127,MATCH(A40,$V$2:$V$127,0))="","",INDEX($Q$2:$Q$127,MATCH(A40,$V$2:$V$127,0)))</x:f>
        <x:v>73.21</x:v>
      </x:c>
      <x:c r="H40" s="78" t="n">
        <x:f>IF(INDEX($R$2:$R$127,MATCH(A40,$V$2:$V$127,0))="","",INDEX($R$2:$R$127,MATCH(A40,$V$2:$V$127,0)))</x:f>
        <x:v>0.9550000000000001</x:v>
      </x:c>
      <x:c r="I40" s="66" t="str">
        <x:f>IF(INDEX($S$2:$S$127,MATCH(A40,$V$2:$V$127,0))="","",INDEX($S$2:$S$127,MATCH(A40,$V$2:$V$127,0)))</x:f>
        <x:v>本次公示未见相关记录</x:v>
      </x:c>
      <x:c r="J40" s="66" t="str">
        <x:f>IF(INDEX($T$2:$T$127,MATCH(A40,$V$2:$V$127,0))="","",INDEX($T$2:$T$127,MATCH(A40,$V$2:$V$127,0)))</x:f>
        <x:v>https://gs.amac.org.cn/amac-infodisc/res/pof/manager/1709041706102598.html</x:v>
      </x:c>
      <x:c r="K40" s="66" t="n">
        <x:f>IF(INDEX($U$2:$U$127,MATCH(A40,$V$2:$V$127,0))="","",INDEX($U$2:$U$127,MATCH(A40,$V$2:$V$127,0)))</x:f>
        <x:v>56</x:v>
      </x:c>
      <x:c r="L40" s="80" t="str">
        <x:v>奶酪平价套利稳健一号</x:v>
      </x:c>
      <x:c r="M40" s="80" t="str">
        <x:v>SAAS17</x:v>
      </x:c>
      <x:c r="N40" s="80" t="str">
        <x:v>广东奶酪</x:v>
      </x:c>
      <x:c r="O40" s="80" t="str">
        <x:v>10-20亿元</x:v>
      </x:c>
      <x:c r="P40" s="81" t="n">
        <x:f>IF(ABS('sheet2-计算明细'!AQ89-1)&lt;0.00000001,'sheet2-计算明细'!AR89,"")</x:f>
        <x:v>83.88114</x:v>
      </x:c>
      <x:c r="Q40" s="81" t="n">
        <x:f>'sheet2-计算明细'!AS89</x:f>
        <x:v>83.88</x:v>
      </x:c>
      <x:c r="R40" s="82" t="n">
        <x:f>'sheet2-计算明细'!AQ89</x:f>
        <x:v>1</x:v>
      </x:c>
      <x:c r="S40" s="80" t="str">
        <x:v>本次公示未见相关记录</x:v>
      </x:c>
      <x:c r="T40" s="80" t="str">
        <x:v>https://gs.amac.org.cn/amac-infodisc/res/pof/manager/101000045017.html</x:v>
      </x:c>
      <x:c r="U40" s="80" t="n">
        <x:f>'sheet2-计算明细'!AT89</x:f>
        <x:v>22</x:v>
      </x:c>
      <x:c r="V40" s="80" t="n">
        <x:f>COUNTIF($U$2:$U$127,"&lt;"&amp;U40)+1</x:f>
        <x:v>15</x:v>
      </x:c>
    </x:row>
    <x:row r="41" ht="27" customHeight="1">
      <x:c r="A41" s="66" t="n">
        <x:v>40</x:v>
      </x:c>
      <x:c r="B41" s="66" t="str">
        <x:f>IF(INDEX($L$2:$L$127,MATCH(A41,$V$2:$V$127,0))="","",INDEX($L$2:$L$127,MATCH(A41,$V$2:$V$127,0)))</x:f>
        <x:v>致同添利套利多策略三期</x:v>
      </x:c>
      <x:c r="C41" s="66" t="str">
        <x:f>IF(INDEX($M$2:$M$127,MATCH(A41,$V$2:$V$127,0))="","",INDEX($M$2:$M$127,MATCH(A41,$V$2:$V$127,0)))</x:f>
        <x:v>STY632</x:v>
      </x:c>
      <x:c r="D41" s="66" t="str">
        <x:f>IF(INDEX($N$2:$N$127,MATCH(A41,$V$2:$V$127,0))="","",INDEX($N$2:$N$127,MATCH(A41,$V$2:$V$127,0)))</x:f>
        <x:v>上海致同投资</x:v>
      </x:c>
      <x:c r="E41" s="66" t="str">
        <x:f>IF(INDEX($O$2:$O$127,MATCH(A41,$V$2:$V$127,0))="","",INDEX($O$2:$O$127,MATCH(A41,$V$2:$V$127,0)))</x:f>
        <x:v>20-50亿元</x:v>
      </x:c>
      <x:c r="F41" s="77" t="str">
        <x:f>IF(INDEX($P$2:$P$127,MATCH(A41,$V$2:$V$127,0))="","",INDEX($P$2:$P$127,MATCH(A41,$V$2:$V$127,0)))</x:f>
      </x:c>
      <x:c r="G41" s="77" t="n">
        <x:f>IF(INDEX($Q$2:$Q$127,MATCH(A41,$V$2:$V$127,0))="","",INDEX($Q$2:$Q$127,MATCH(A41,$V$2:$V$127,0)))</x:f>
        <x:v>72.44</x:v>
      </x:c>
      <x:c r="H41" s="78" t="n">
        <x:f>IF(INDEX($R$2:$R$127,MATCH(A41,$V$2:$V$127,0))="","",INDEX($R$2:$R$127,MATCH(A41,$V$2:$V$127,0)))</x:f>
        <x:v>0.88</x:v>
      </x:c>
      <x:c r="I41" s="66" t="str">
        <x:f>IF(INDEX($S$2:$S$127,MATCH(A41,$V$2:$V$127,0))="","",INDEX($S$2:$S$127,MATCH(A41,$V$2:$V$127,0)))</x:f>
        <x:v>监管警示函</x:v>
      </x:c>
      <x:c r="J41" s="66" t="str">
        <x:f>IF(INDEX($T$2:$T$127,MATCH(A41,$V$2:$V$127,0))="","",INDEX($T$2:$T$127,MATCH(A41,$V$2:$V$127,0)))</x:f>
        <x:v>https://gs.amac.org.cn/amac-infodisc/res/pof/manager/101000004339.html</x:v>
      </x:c>
      <x:c r="K41" s="66" t="n">
        <x:f>IF(INDEX($U$2:$U$127,MATCH(A41,$V$2:$V$127,0))="","",INDEX($U$2:$U$127,MATCH(A41,$V$2:$V$127,0)))</x:f>
        <x:v>58</x:v>
      </x:c>
      <x:c r="L41" s="80" t="str">
        <x:v>银万财派恒星套利1号</x:v>
      </x:c>
      <x:c r="M41" s="80" t="str">
        <x:v>SB7490</x:v>
      </x:c>
      <x:c r="N41" s="80" t="str">
        <x:v>浙江银万</x:v>
      </x:c>
      <x:c r="O41" s="80" t="str">
        <x:v>20-50亿元</x:v>
      </x:c>
      <x:c r="P41" s="81" t="n">
        <x:f>IF(ABS('sheet2-计算明细'!AQ90-1)&lt;0.00000001,'sheet2-计算明细'!AR90,"")</x:f>
        <x:v>54.19514</x:v>
      </x:c>
      <x:c r="Q41" s="81" t="n">
        <x:f>'sheet2-计算明细'!AS90</x:f>
        <x:v>54.2</x:v>
      </x:c>
      <x:c r="R41" s="82" t="n">
        <x:f>'sheet2-计算明细'!AQ90</x:f>
        <x:v>1</x:v>
      </x:c>
      <x:c r="S41" s="80" t="str">
        <x:v>监管警示函</x:v>
      </x:c>
      <x:c r="T41" s="80" t="str">
        <x:v>https://gs.amac.org.cn/amac-infodisc/res/pof/manager/101000005988.html</x:v>
      </x:c>
      <x:c r="U41" s="80" t="n">
        <x:f>'sheet2-计算明细'!AT90</x:f>
        <x:v>132</x:v>
      </x:c>
      <x:c r="V41" s="80" t="n">
        <x:f>COUNTIF($U$2:$U$127,"&lt;"&amp;U41)+1</x:f>
        <x:v>92</x:v>
      </x:c>
    </x:row>
    <x:row r="42" ht="27" customHeight="1">
      <x:c r="A42" s="66" t="n">
        <x:v>41</x:v>
      </x:c>
      <x:c r="B42" s="66" t="str">
        <x:f>IF(INDEX($L$2:$L$127,MATCH(A42,$V$2:$V$127,0))="","",INDEX($L$2:$L$127,MATCH(A42,$V$2:$V$127,0)))</x:f>
        <x:v>九招真格量化商品套利一号</x:v>
      </x:c>
      <x:c r="C42" s="66" t="str">
        <x:f>IF(INDEX($M$2:$M$127,MATCH(A42,$V$2:$V$127,0))="","",INDEX($M$2:$M$127,MATCH(A42,$V$2:$V$127,0)))</x:f>
        <x:v>STK200</x:v>
      </x:c>
      <x:c r="D42" s="66" t="str">
        <x:f>IF(INDEX($N$2:$N$127,MATCH(A42,$V$2:$V$127,0))="","",INDEX($N$2:$N$127,MATCH(A42,$V$2:$V$127,0)))</x:f>
        <x:v>武汉九招</x:v>
      </x:c>
      <x:c r="E42" s="66" t="str">
        <x:f>IF(INDEX($O$2:$O$127,MATCH(A42,$V$2:$V$127,0))="","",INDEX($O$2:$O$127,MATCH(A42,$V$2:$V$127,0)))</x:f>
        <x:v>5-10亿元</x:v>
      </x:c>
      <x:c r="F42" s="77" t="n">
        <x:f>IF(INDEX($P$2:$P$127,MATCH(A42,$V$2:$V$127,0))="","",INDEX($P$2:$P$127,MATCH(A42,$V$2:$V$127,0)))</x:f>
        <x:v>72.28717</x:v>
      </x:c>
      <x:c r="G42" s="77" t="n">
        <x:f>IF(INDEX($Q$2:$Q$127,MATCH(A42,$V$2:$V$127,0))="","",INDEX($Q$2:$Q$127,MATCH(A42,$V$2:$V$127,0)))</x:f>
        <x:v>72.29</x:v>
      </x:c>
      <x:c r="H42" s="78" t="n">
        <x:f>IF(INDEX($R$2:$R$127,MATCH(A42,$V$2:$V$127,0))="","",INDEX($R$2:$R$127,MATCH(A42,$V$2:$V$127,0)))</x:f>
        <x:v>1</x:v>
      </x:c>
      <x:c r="I42" s="66" t="str">
        <x:f>IF(INDEX($S$2:$S$127,MATCH(A42,$V$2:$V$127,0))="","",INDEX($S$2:$S$127,MATCH(A42,$V$2:$V$127,0)))</x:f>
        <x:v>监管警示函</x:v>
      </x:c>
      <x:c r="J42" s="66" t="str">
        <x:f>IF(INDEX($T$2:$T$127,MATCH(A42,$V$2:$V$127,0))="","",INDEX($T$2:$T$127,MATCH(A42,$V$2:$V$127,0)))</x:f>
        <x:v>https://gs.amac.org.cn/amac-infodisc/res/pof/manager/2301051740101642.html</x:v>
      </x:c>
      <x:c r="K42" s="66" t="n">
        <x:f>IF(INDEX($U$2:$U$127,MATCH(A42,$V$2:$V$127,0))="","",INDEX($U$2:$U$127,MATCH(A42,$V$2:$V$127,0)))</x:f>
        <x:v>59</x:v>
      </x:c>
      <x:c r="L42" s="80" t="str">
        <x:v>鋆晟狮王套利</x:v>
      </x:c>
      <x:c r="M42" s="80" t="str">
        <x:v>SGS754</x:v>
      </x:c>
      <x:c r="N42" s="80" t="str">
        <x:v>上海鋆晟投资</x:v>
      </x:c>
      <x:c r="O42" s="80" t="str">
        <x:v>5-10亿元</x:v>
      </x:c>
      <x:c r="P42" s="81" t="n">
        <x:f>IF(ABS('sheet2-计算明细'!AQ93-1)&lt;0.00000001,'sheet2-计算明细'!AR93,"")</x:f>
        <x:v>80.39526000000001</x:v>
      </x:c>
      <x:c r="Q42" s="81" t="n">
        <x:f>'sheet2-计算明细'!AS93</x:f>
        <x:v>80.4</x:v>
      </x:c>
      <x:c r="R42" s="82" t="n">
        <x:f>'sheet2-计算明细'!AQ93</x:f>
        <x:v>1</x:v>
      </x:c>
      <x:c r="S42" s="80" t="str">
        <x:v>本次公示未见相关记录</x:v>
      </x:c>
      <x:c r="T42" s="80" t="str">
        <x:v>https://gs.amac.org.cn/amac-infodisc/res/pof/manager/101000039679.html</x:v>
      </x:c>
      <x:c r="U42" s="80" t="n">
        <x:f>'sheet2-计算明细'!AT93</x:f>
        <x:v>31</x:v>
      </x:c>
      <x:c r="V42" s="80" t="n">
        <x:f>COUNTIF($U$2:$U$127,"&lt;"&amp;U42)+1</x:f>
        <x:v>20</x:v>
      </x:c>
    </x:row>
    <x:row r="43" ht="27" customHeight="1">
      <x:c r="A43" s="66" t="n">
        <x:v>42</x:v>
      </x:c>
      <x:c r="B43" s="66" t="str">
        <x:f>IF(INDEX($L$2:$L$127,MATCH(A43,$V$2:$V$127,0))="","",INDEX($L$2:$L$127,MATCH(A43,$V$2:$V$127,0)))</x:f>
        <x:v>俊丹湾谷二号</x:v>
      </x:c>
      <x:c r="C43" s="66" t="str">
        <x:f>IF(INDEX($M$2:$M$127,MATCH(A43,$V$2:$V$127,0))="","",INDEX($M$2:$M$127,MATCH(A43,$V$2:$V$127,0)))</x:f>
        <x:v>SLQ627</x:v>
      </x:c>
      <x:c r="D43" s="66" t="str">
        <x:f>IF(INDEX($N$2:$N$127,MATCH(A43,$V$2:$V$127,0))="","",INDEX($N$2:$N$127,MATCH(A43,$V$2:$V$127,0)))</x:f>
        <x:v>上海俊丹</x:v>
      </x:c>
      <x:c r="E43" s="66" t="str">
        <x:f>IF(INDEX($O$2:$O$127,MATCH(A43,$V$2:$V$127,0))="","",INDEX($O$2:$O$127,MATCH(A43,$V$2:$V$127,0)))</x:f>
        <x:v>10-20亿元</x:v>
      </x:c>
      <x:c r="F43" s="77" t="str">
        <x:f>IF(INDEX($P$2:$P$127,MATCH(A43,$V$2:$V$127,0))="","",INDEX($P$2:$P$127,MATCH(A43,$V$2:$V$127,0)))</x:f>
      </x:c>
      <x:c r="G43" s="77" t="n">
        <x:f>IF(INDEX($Q$2:$Q$127,MATCH(A43,$V$2:$V$127,0))="","",INDEX($Q$2:$Q$127,MATCH(A43,$V$2:$V$127,0)))</x:f>
        <x:v>72.24</x:v>
      </x:c>
      <x:c r="H43" s="78" t="n">
        <x:f>IF(INDEX($R$2:$R$127,MATCH(A43,$V$2:$V$127,0))="","",INDEX($R$2:$R$127,MATCH(A43,$V$2:$V$127,0)))</x:f>
        <x:v>0.88</x:v>
      </x:c>
      <x:c r="I43" s="66" t="str">
        <x:f>IF(INDEX($S$2:$S$127,MATCH(A43,$V$2:$V$127,0))="","",INDEX($S$2:$S$127,MATCH(A43,$V$2:$V$127,0)))</x:f>
        <x:v>本次公示未见相关记录</x:v>
      </x:c>
      <x:c r="J43" s="66" t="str">
        <x:f>IF(INDEX($T$2:$T$127,MATCH(A43,$V$2:$V$127,0))="","",INDEX($T$2:$T$127,MATCH(A43,$V$2:$V$127,0)))</x:f>
        <x:v>https://gs.amac.org.cn/amac-infodisc/res/pof/manager/1907181104109037.html</x:v>
      </x:c>
      <x:c r="K43" s="66" t="n">
        <x:f>IF(INDEX($U$2:$U$127,MATCH(A43,$V$2:$V$127,0))="","",INDEX($U$2:$U$127,MATCH(A43,$V$2:$V$127,0)))</x:f>
        <x:v>60</x:v>
      </x:c>
      <x:c r="L43" s="80" t="str">
        <x:v>量客投资金选套利1号</x:v>
      </x:c>
      <x:c r="M43" s="80" t="str">
        <x:v>SNH457</x:v>
      </x:c>
      <x:c r="N43" s="80" t="str">
        <x:v>上海量客</x:v>
      </x:c>
      <x:c r="O43" s="80" t="str">
        <x:v>50-100亿元</x:v>
      </x:c>
      <x:c r="P43" s="81" t="n">
        <x:f>IF(ABS('sheet2-计算明细'!AQ95-1)&lt;0.00000001,'sheet2-计算明细'!AR95,"")</x:f>
        <x:v>90.40418000000001</x:v>
      </x:c>
      <x:c r="Q43" s="81" t="n">
        <x:f>'sheet2-计算明细'!AS95</x:f>
        <x:v>90.4</x:v>
      </x:c>
      <x:c r="R43" s="82" t="n">
        <x:f>'sheet2-计算明细'!AQ95</x:f>
        <x:v>1</x:v>
      </x:c>
      <x:c r="S43" s="80" t="str">
        <x:v>本次公示未见相关记录</x:v>
      </x:c>
      <x:c r="T43" s="80" t="str">
        <x:v>https://gs.amac.org.cn/amac-infodisc/res/pof/manager/101000000790.html</x:v>
      </x:c>
      <x:c r="U43" s="80" t="n">
        <x:f>'sheet2-计算明细'!AT95</x:f>
        <x:v>6</x:v>
      </x:c>
      <x:c r="V43" s="80" t="n">
        <x:f>COUNTIF($U$2:$U$127,"&lt;"&amp;U43)+1</x:f>
        <x:v>4</x:v>
      </x:c>
    </x:row>
    <x:row r="44" ht="27" customHeight="1">
      <x:c r="A44" s="66" t="n">
        <x:v>43</x:v>
      </x:c>
      <x:c r="B44" s="66" t="str">
        <x:f>IF(INDEX($L$2:$L$127,MATCH(A44,$V$2:$V$127,0))="","",INDEX($L$2:$L$127,MATCH(A44,$V$2:$V$127,0)))</x:f>
        <x:v>博益安盈精英1号</x:v>
      </x:c>
      <x:c r="C44" s="66" t="str">
        <x:f>IF(INDEX($M$2:$M$127,MATCH(A44,$V$2:$V$127,0))="","",INDEX($M$2:$M$127,MATCH(A44,$V$2:$V$127,0)))</x:f>
        <x:v>SL9566</x:v>
      </x:c>
      <x:c r="D44" s="66" t="str">
        <x:f>IF(INDEX($N$2:$N$127,MATCH(A44,$V$2:$V$127,0))="","",INDEX($N$2:$N$127,MATCH(A44,$V$2:$V$127,0)))</x:f>
        <x:v>深圳博益安盈</x:v>
      </x:c>
      <x:c r="E44" s="66" t="str">
        <x:f>IF(INDEX($O$2:$O$127,MATCH(A44,$V$2:$V$127,0))="","",INDEX($O$2:$O$127,MATCH(A44,$V$2:$V$127,0)))</x:f>
        <x:v>5-10亿元</x:v>
      </x:c>
      <x:c r="F44" s="77" t="str">
        <x:f>IF(INDEX($P$2:$P$127,MATCH(A44,$V$2:$V$127,0))="","",INDEX($P$2:$P$127,MATCH(A44,$V$2:$V$127,0)))</x:f>
      </x:c>
      <x:c r="G44" s="77" t="n">
        <x:f>IF(INDEX($Q$2:$Q$127,MATCH(A44,$V$2:$V$127,0))="","",INDEX($Q$2:$Q$127,MATCH(A44,$V$2:$V$127,0)))</x:f>
        <x:v>72.15</x:v>
      </x:c>
      <x:c r="H44" s="78" t="n">
        <x:f>IF(INDEX($R$2:$R$127,MATCH(A44,$V$2:$V$127,0))="","",INDEX($R$2:$R$127,MATCH(A44,$V$2:$V$127,0)))</x:f>
        <x:v>0.88</x:v>
      </x:c>
      <x:c r="I44" s="66" t="str">
        <x:f>IF(INDEX($S$2:$S$127,MATCH(A44,$V$2:$V$127,0))="","",INDEX($S$2:$S$127,MATCH(A44,$V$2:$V$127,0)))</x:f>
        <x:v>本次公示未见相关记录</x:v>
      </x:c>
      <x:c r="J44" s="66" t="str">
        <x:f>IF(INDEX($T$2:$T$127,MATCH(A44,$V$2:$V$127,0))="","",INDEX($T$2:$T$127,MATCH(A44,$V$2:$V$127,0)))</x:f>
        <x:v>https://gs.amac.org.cn/amac-infodisc/res/pof/manager/101000052138.html</x:v>
      </x:c>
      <x:c r="K44" s="66" t="n">
        <x:f>IF(INDEX($U$2:$U$127,MATCH(A44,$V$2:$V$127,0))="","",INDEX($U$2:$U$127,MATCH(A44,$V$2:$V$127,0)))</x:f>
        <x:v>61</x:v>
      </x:c>
      <x:c r="L44" s="80" t="str">
        <x:v>洮利11号1期</x:v>
      </x:c>
      <x:c r="M44" s="80" t="str">
        <x:v>SNS371</x:v>
      </x:c>
      <x:c r="N44" s="80" t="str">
        <x:v>上海洮利</x:v>
      </x:c>
      <x:c r="O44" s="80" t="str">
        <x:v>5-10亿元</x:v>
      </x:c>
      <x:c r="P44" s="81" t="n">
        <x:f>IF(ABS('sheet2-计算明细'!AQ96-1)&lt;0.00000001,'sheet2-计算明细'!AR96,"")</x:f>
        <x:v>21.365859999999998</x:v>
      </x:c>
      <x:c r="Q44" s="81" t="n">
        <x:f>'sheet2-计算明细'!AS96</x:f>
        <x:v>21.37</x:v>
      </x:c>
      <x:c r="R44" s="82" t="n">
        <x:f>'sheet2-计算明细'!AQ96</x:f>
        <x:v>1</x:v>
      </x:c>
      <x:c r="S44" s="80" t="str">
        <x:v>本次公示未见相关记录</x:v>
      </x:c>
      <x:c r="T44" s="80" t="str">
        <x:v>https://gs.amac.org.cn/amac-infodisc/res/pof/manager/1905071402101724.html</x:v>
      </x:c>
      <x:c r="U44" s="80" t="n">
        <x:f>'sheet2-计算明细'!AT96</x:f>
        <x:v>202</x:v>
      </x:c>
      <x:c r="V44" s="80" t="n">
        <x:f>COUNTIF($U$2:$U$127,"&lt;"&amp;U44)+1</x:f>
        <x:v>126</x:v>
      </x:c>
    </x:row>
    <x:row r="45" ht="27" customHeight="1">
      <x:c r="A45" s="66" t="n">
        <x:v>44</x:v>
      </x:c>
      <x:c r="B45" s="66" t="str">
        <x:f>IF(INDEX($L$2:$L$127,MATCH(A45,$V$2:$V$127,0))="","",INDEX($L$2:$L$127,MATCH(A45,$V$2:$V$127,0)))</x:f>
        <x:v>致同添利套利多策略三期A类</x:v>
      </x:c>
      <x:c r="C45" s="66" t="str">
        <x:f>IF(INDEX($M$2:$M$127,MATCH(A45,$V$2:$V$127,0))="","",INDEX($M$2:$M$127,MATCH(A45,$V$2:$V$127,0)))</x:f>
        <x:v>TY632A</x:v>
      </x:c>
      <x:c r="D45" s="66" t="str">
        <x:f>IF(INDEX($N$2:$N$127,MATCH(A45,$V$2:$V$127,0))="","",INDEX($N$2:$N$127,MATCH(A45,$V$2:$V$127,0)))</x:f>
        <x:v>上海致同投资</x:v>
      </x:c>
      <x:c r="E45" s="66" t="str">
        <x:f>IF(INDEX($O$2:$O$127,MATCH(A45,$V$2:$V$127,0))="","",INDEX($O$2:$O$127,MATCH(A45,$V$2:$V$127,0)))</x:f>
        <x:v>20-50亿元</x:v>
      </x:c>
      <x:c r="F45" s="77" t="str">
        <x:f>IF(INDEX($P$2:$P$127,MATCH(A45,$V$2:$V$127,0))="","",INDEX($P$2:$P$127,MATCH(A45,$V$2:$V$127,0)))</x:f>
      </x:c>
      <x:c r="G45" s="77" t="n">
        <x:f>IF(INDEX($Q$2:$Q$127,MATCH(A45,$V$2:$V$127,0))="","",INDEX($Q$2:$Q$127,MATCH(A45,$V$2:$V$127,0)))</x:f>
        <x:v>71.18</x:v>
      </x:c>
      <x:c r="H45" s="78" t="n">
        <x:f>IF(INDEX($R$2:$R$127,MATCH(A45,$V$2:$V$127,0))="","",INDEX($R$2:$R$127,MATCH(A45,$V$2:$V$127,0)))</x:f>
        <x:v>0.8350000000000001</x:v>
      </x:c>
      <x:c r="I45" s="66" t="str">
        <x:f>IF(INDEX($S$2:$S$127,MATCH(A45,$V$2:$V$127,0))="","",INDEX($S$2:$S$127,MATCH(A45,$V$2:$V$127,0)))</x:f>
        <x:v>监管警示函</x:v>
      </x:c>
      <x:c r="J45" s="66" t="str">
        <x:f>IF(INDEX($T$2:$T$127,MATCH(A45,$V$2:$V$127,0))="","",INDEX($T$2:$T$127,MATCH(A45,$V$2:$V$127,0)))</x:f>
        <x:v>https://gs.amac.org.cn/amac-infodisc/res/pof/manager/101000004339.html</x:v>
      </x:c>
      <x:c r="K45" s="66" t="n">
        <x:f>IF(INDEX($U$2:$U$127,MATCH(A45,$V$2:$V$127,0))="","",INDEX($U$2:$U$127,MATCH(A45,$V$2:$V$127,0)))</x:f>
        <x:v>66</x:v>
      </x:c>
      <x:c r="L45" s="80" t="str">
        <x:v>悬铃稳健1号</x:v>
      </x:c>
      <x:c r="M45" s="80" t="str">
        <x:v>SVB806</x:v>
      </x:c>
      <x:c r="N45" s="80" t="str">
        <x:v>上海悬铃</x:v>
      </x:c>
      <x:c r="O45" s="80" t="str">
        <x:v>20-50亿元</x:v>
      </x:c>
      <x:c r="P45" s="81" t="n">
        <x:f>IF(ABS('sheet2-计算明细'!AQ97-1)&lt;0.00000001,'sheet2-计算明细'!AR97,"")</x:f>
        <x:v>39.727309999999996</x:v>
      </x:c>
      <x:c r="Q45" s="81" t="n">
        <x:f>'sheet2-计算明细'!AS97</x:f>
        <x:v>39.73</x:v>
      </x:c>
      <x:c r="R45" s="82" t="n">
        <x:f>'sheet2-计算明细'!AQ97</x:f>
        <x:v>1</x:v>
      </x:c>
      <x:c r="S45" s="80" t="str">
        <x:v>本次公示未见相关记录</x:v>
      </x:c>
      <x:c r="T45" s="80" t="str">
        <x:v>https://gs.amac.org.cn/amac-infodisc/res/pof/manager/1701161209103763.html</x:v>
      </x:c>
      <x:c r="U45" s="80" t="n">
        <x:f>'sheet2-计算明细'!AT97</x:f>
        <x:v>177</x:v>
      </x:c>
      <x:c r="V45" s="80" t="n">
        <x:f>COUNTIF($U$2:$U$127,"&lt;"&amp;U45)+1</x:f>
        <x:v>114</x:v>
      </x:c>
    </x:row>
    <x:row r="46" ht="27" customHeight="1">
      <x:c r="A46" s="66" t="n">
        <x:v>45</x:v>
      </x:c>
      <x:c r="B46" s="66" t="str">
        <x:f>IF(INDEX($L$2:$L$127,MATCH(A46,$V$2:$V$127,0))="","",INDEX($L$2:$L$127,MATCH(A46,$V$2:$V$127,0)))</x:f>
        <x:v>致同稳盈对冲</x:v>
      </x:c>
      <x:c r="C46" s="66" t="str">
        <x:f>IF(INDEX($M$2:$M$127,MATCH(A46,$V$2:$V$127,0))="","",INDEX($M$2:$M$127,MATCH(A46,$V$2:$V$127,0)))</x:f>
        <x:v>SS8645</x:v>
      </x:c>
      <x:c r="D46" s="66" t="str">
        <x:f>IF(INDEX($N$2:$N$127,MATCH(A46,$V$2:$V$127,0))="","",INDEX($N$2:$N$127,MATCH(A46,$V$2:$V$127,0)))</x:f>
        <x:v>上海致同投资</x:v>
      </x:c>
      <x:c r="E46" s="66" t="str">
        <x:f>IF(INDEX($O$2:$O$127,MATCH(A46,$V$2:$V$127,0))="","",INDEX($O$2:$O$127,MATCH(A46,$V$2:$V$127,0)))</x:f>
        <x:v>20-50亿元</x:v>
      </x:c>
      <x:c r="F46" s="77" t="str">
        <x:f>IF(INDEX($P$2:$P$127,MATCH(A46,$V$2:$V$127,0))="","",INDEX($P$2:$P$127,MATCH(A46,$V$2:$V$127,0)))</x:f>
      </x:c>
      <x:c r="G46" s="77" t="n">
        <x:f>IF(INDEX($Q$2:$Q$127,MATCH(A46,$V$2:$V$127,0))="","",INDEX($Q$2:$Q$127,MATCH(A46,$V$2:$V$127,0)))</x:f>
        <x:v>71.11</x:v>
      </x:c>
      <x:c r="H46" s="78" t="n">
        <x:f>IF(INDEX($R$2:$R$127,MATCH(A46,$V$2:$V$127,0))="","",INDEX($R$2:$R$127,MATCH(A46,$V$2:$V$127,0)))</x:f>
        <x:v>0.88</x:v>
      </x:c>
      <x:c r="I46" s="66" t="str">
        <x:f>IF(INDEX($S$2:$S$127,MATCH(A46,$V$2:$V$127,0))="","",INDEX($S$2:$S$127,MATCH(A46,$V$2:$V$127,0)))</x:f>
        <x:v>监管警示函</x:v>
      </x:c>
      <x:c r="J46" s="66" t="str">
        <x:f>IF(INDEX($T$2:$T$127,MATCH(A46,$V$2:$V$127,0))="","",INDEX($T$2:$T$127,MATCH(A46,$V$2:$V$127,0)))</x:f>
        <x:v>https://gs.amac.org.cn/amac-infodisc/res/pof/manager/101000004339.html</x:v>
      </x:c>
      <x:c r="K46" s="66" t="n">
        <x:f>IF(INDEX($U$2:$U$127,MATCH(A46,$V$2:$V$127,0))="","",INDEX($U$2:$U$127,MATCH(A46,$V$2:$V$127,0)))</x:f>
        <x:v>67</x:v>
      </x:c>
      <x:c r="L46" s="80" t="str">
        <x:v>交叉智能-量化增强2号</x:v>
      </x:c>
      <x:c r="M46" s="80" t="str">
        <x:v>SZD351</x:v>
      </x:c>
      <x:c r="N46" s="80" t="str">
        <x:v>北京交叉智能</x:v>
      </x:c>
      <x:c r="O46" s="80" t="str">
        <x:v>5-10亿元</x:v>
      </x:c>
      <x:c r="P46" s="81" t="n">
        <x:f>IF(ABS('sheet2-计算明细'!AQ99-1)&lt;0.00000001,'sheet2-计算明细'!AR99,"")</x:f>
        <x:v>60.72498999999999</x:v>
      </x:c>
      <x:c r="Q46" s="81" t="n">
        <x:f>'sheet2-计算明细'!AS99</x:f>
        <x:v>60.72</x:v>
      </x:c>
      <x:c r="R46" s="82" t="n">
        <x:f>'sheet2-计算明细'!AQ99</x:f>
        <x:v>1</x:v>
      </x:c>
      <x:c r="S46" s="80" t="str">
        <x:v>本次公示未见相关记录</x:v>
      </x:c>
      <x:c r="T46" s="80" t="str">
        <x:v>https://gs.amac.org.cn/amac-infodisc/res/pof/manager/2108121438108586.html</x:v>
      </x:c>
      <x:c r="U46" s="80" t="n">
        <x:f>'sheet2-计算明细'!AT99</x:f>
        <x:v>106</x:v>
      </x:c>
      <x:c r="V46" s="80" t="n">
        <x:f>COUNTIF($U$2:$U$127,"&lt;"&amp;U46)+1</x:f>
        <x:v>72</x:v>
      </x:c>
    </x:row>
    <x:row r="47" ht="27" customHeight="1">
      <x:c r="A47" s="66" t="n">
        <x:v>46</x:v>
      </x:c>
      <x:c r="B47" s="66" t="str">
        <x:f>IF(INDEX($L$2:$L$127,MATCH(A47,$V$2:$V$127,0))="","",INDEX($L$2:$L$127,MATCH(A47,$V$2:$V$127,0)))</x:f>
        <x:v>慕途基本面量化2号</x:v>
      </x:c>
      <x:c r="C47" s="66" t="str">
        <x:f>IF(INDEX($M$2:$M$127,MATCH(A47,$V$2:$V$127,0))="","",INDEX($M$2:$M$127,MATCH(A47,$V$2:$V$127,0)))</x:f>
        <x:v>SB9576</x:v>
      </x:c>
      <x:c r="D47" s="66" t="str">
        <x:f>IF(INDEX($N$2:$N$127,MATCH(A47,$V$2:$V$127,0))="","",INDEX($N$2:$N$127,MATCH(A47,$V$2:$V$127,0)))</x:f>
        <x:v>慕途基金</x:v>
      </x:c>
      <x:c r="E47" s="66" t="str">
        <x:f>IF(INDEX($O$2:$O$127,MATCH(A47,$V$2:$V$127,0))="","",INDEX($O$2:$O$127,MATCH(A47,$V$2:$V$127,0)))</x:f>
        <x:v>10-20亿元</x:v>
      </x:c>
      <x:c r="F47" s="77" t="str">
        <x:f>IF(INDEX($P$2:$P$127,MATCH(A47,$V$2:$V$127,0))="","",INDEX($P$2:$P$127,MATCH(A47,$V$2:$V$127,0)))</x:f>
      </x:c>
      <x:c r="G47" s="77" t="n">
        <x:f>IF(INDEX($Q$2:$Q$127,MATCH(A47,$V$2:$V$127,0))="","",INDEX($Q$2:$Q$127,MATCH(A47,$V$2:$V$127,0)))</x:f>
        <x:v>70.68</x:v>
      </x:c>
      <x:c r="H47" s="78" t="n">
        <x:f>IF(INDEX($R$2:$R$127,MATCH(A47,$V$2:$V$127,0))="","",INDEX($R$2:$R$127,MATCH(A47,$V$2:$V$127,0)))</x:f>
        <x:v>0.88</x:v>
      </x:c>
      <x:c r="I47" s="66" t="str">
        <x:f>IF(INDEX($S$2:$S$127,MATCH(A47,$V$2:$V$127,0))="","",INDEX($S$2:$S$127,MATCH(A47,$V$2:$V$127,0)))</x:f>
        <x:v>本次公示未见相关记录</x:v>
      </x:c>
      <x:c r="J47" s="66" t="str">
        <x:f>IF(INDEX($T$2:$T$127,MATCH(A47,$V$2:$V$127,0))="","",INDEX($T$2:$T$127,MATCH(A47,$V$2:$V$127,0)))</x:f>
        <x:v>https://gs.amac.org.cn/amac-infodisc/res/pof/manager/2106221238106983.html</x:v>
      </x:c>
      <x:c r="K47" s="66" t="n">
        <x:f>IF(INDEX($U$2:$U$127,MATCH(A47,$V$2:$V$127,0))="","",INDEX($U$2:$U$127,MATCH(A47,$V$2:$V$127,0)))</x:f>
        <x:v>69</x:v>
      </x:c>
      <x:c r="L47" s="80" t="str">
        <x:v>磬晟启晟1号</x:v>
      </x:c>
      <x:c r="M47" s="80" t="str">
        <x:v>SCB058</x:v>
      </x:c>
      <x:c r="N47" s="80" t="str">
        <x:v>上海磬晟</x:v>
      </x:c>
      <x:c r="O47" s="80" t="str">
        <x:v>5-10亿元</x:v>
      </x:c>
      <x:c r="P47" s="81" t="n">
        <x:f>IF(ABS('sheet2-计算明细'!AQ100-1)&lt;0.00000001,'sheet2-计算明细'!AR100,"")</x:f>
        <x:v>35.64213</x:v>
      </x:c>
      <x:c r="Q47" s="81" t="n">
        <x:f>'sheet2-计算明细'!AS100</x:f>
        <x:v>35.64</x:v>
      </x:c>
      <x:c r="R47" s="82" t="n">
        <x:f>'sheet2-计算明细'!AQ100</x:f>
        <x:v>1</x:v>
      </x:c>
      <x:c r="S47" s="80" t="str">
        <x:v>本次公示未见相关记录</x:v>
      </x:c>
      <x:c r="T47" s="80" t="str">
        <x:v>https://gs.amac.org.cn/amac-infodisc/res/pof/manager/1612231709103386.html</x:v>
      </x:c>
      <x:c r="U47" s="80" t="n">
        <x:f>'sheet2-计算明细'!AT100</x:f>
        <x:v>182</x:v>
      </x:c>
      <x:c r="V47" s="80" t="n">
        <x:f>COUNTIF($U$2:$U$127,"&lt;"&amp;U47)+1</x:f>
        <x:v>118</x:v>
      </x:c>
    </x:row>
    <x:row r="48" ht="27" customHeight="1">
      <x:c r="A48" s="66" t="n">
        <x:v>47</x:v>
      </x:c>
      <x:c r="B48" s="66" t="str">
        <x:f>IF(INDEX($L$2:$L$127,MATCH(A48,$V$2:$V$127,0))="","",INDEX($L$2:$L$127,MATCH(A48,$V$2:$V$127,0)))</x:f>
        <x:v>博普跨市场1号A类</x:v>
      </x:c>
      <x:c r="C48" s="66" t="str">
        <x:f>IF(INDEX($M$2:$M$127,MATCH(A48,$V$2:$V$127,0))="","",INDEX($M$2:$M$127,MATCH(A48,$V$2:$V$127,0)))</x:f>
        <x:v>N5169A</x:v>
      </x:c>
      <x:c r="D48" s="66" t="str">
        <x:f>IF(INDEX($N$2:$N$127,MATCH(A48,$V$2:$V$127,0))="","",INDEX($N$2:$N$127,MATCH(A48,$V$2:$V$127,0)))</x:f>
        <x:v>深圳博普科技</x:v>
      </x:c>
      <x:c r="E48" s="66" t="str">
        <x:f>IF(INDEX($O$2:$O$127,MATCH(A48,$V$2:$V$127,0))="","",INDEX($O$2:$O$127,MATCH(A48,$V$2:$V$127,0)))</x:f>
        <x:v>100亿元以上</x:v>
      </x:c>
      <x:c r="F48" s="77" t="str">
        <x:f>IF(INDEX($P$2:$P$127,MATCH(A48,$V$2:$V$127,0))="","",INDEX($P$2:$P$127,MATCH(A48,$V$2:$V$127,0)))</x:f>
      </x:c>
      <x:c r="G48" s="77" t="n">
        <x:f>IF(INDEX($Q$2:$Q$127,MATCH(A48,$V$2:$V$127,0))="","",INDEX($Q$2:$Q$127,MATCH(A48,$V$2:$V$127,0)))</x:f>
        <x:v>70.35</x:v>
      </x:c>
      <x:c r="H48" s="78" t="n">
        <x:f>IF(INDEX($R$2:$R$127,MATCH(A48,$V$2:$V$127,0))="","",INDEX($R$2:$R$127,MATCH(A48,$V$2:$V$127,0)))</x:f>
        <x:v>0.9550000000000001</x:v>
      </x:c>
      <x:c r="I48" s="66" t="str">
        <x:f>IF(INDEX($S$2:$S$127,MATCH(A48,$V$2:$V$127,0))="","",INDEX($S$2:$S$127,MATCH(A48,$V$2:$V$127,0)))</x:f>
        <x:v>本次公示未见相关记录</x:v>
      </x:c>
      <x:c r="J48" s="66" t="str">
        <x:f>IF(INDEX($T$2:$T$127,MATCH(A48,$V$2:$V$127,0))="","",INDEX($T$2:$T$127,MATCH(A48,$V$2:$V$127,0)))</x:f>
        <x:v>https://gs.amac.org.cn/amac-infodisc/res/pof/manager/101000001136.html</x:v>
      </x:c>
      <x:c r="K48" s="66" t="n">
        <x:f>IF(INDEX($U$2:$U$127,MATCH(A48,$V$2:$V$127,0))="","",INDEX($U$2:$U$127,MATCH(A48,$V$2:$V$127,0)))</x:f>
        <x:v>70</x:v>
      </x:c>
      <x:c r="L48" s="80" t="str">
        <x:v>悬铃瑞享C号1期</x:v>
      </x:c>
      <x:c r="M48" s="80" t="str">
        <x:v>SZF187</x:v>
      </x:c>
      <x:c r="N48" s="80" t="str">
        <x:v>上海悬铃</x:v>
      </x:c>
      <x:c r="O48" s="80" t="str">
        <x:v>20-50亿元</x:v>
      </x:c>
      <x:c r="P48" s="81" t="n">
        <x:f>IF(ABS('sheet2-计算明细'!AQ101-1)&lt;0.00000001,'sheet2-计算明细'!AR101,"")</x:f>
        <x:v>30.58826</x:v>
      </x:c>
      <x:c r="Q48" s="81" t="n">
        <x:f>'sheet2-计算明细'!AS101</x:f>
        <x:v>30.59</x:v>
      </x:c>
      <x:c r="R48" s="82" t="n">
        <x:f>'sheet2-计算明细'!AQ101</x:f>
        <x:v>1</x:v>
      </x:c>
      <x:c r="S48" s="80" t="str">
        <x:v>本次公示未见相关记录</x:v>
      </x:c>
      <x:c r="T48" s="80" t="str">
        <x:v>https://gs.amac.org.cn/amac-infodisc/res/pof/manager/1701161209103763.html</x:v>
      </x:c>
      <x:c r="U48" s="80" t="n">
        <x:f>'sheet2-计算明细'!AT101</x:f>
        <x:v>191</x:v>
      </x:c>
      <x:c r="V48" s="80" t="n">
        <x:f>COUNTIF($U$2:$U$127,"&lt;"&amp;U48)+1</x:f>
        <x:v>121</x:v>
      </x:c>
    </x:row>
    <x:row r="49" ht="27" customHeight="1">
      <x:c r="A49" s="66" t="n">
        <x:v>48</x:v>
      </x:c>
      <x:c r="B49" s="66" t="str">
        <x:f>IF(INDEX($L$2:$L$127,MATCH(A49,$V$2:$V$127,0))="","",INDEX($L$2:$L$127,MATCH(A49,$V$2:$V$127,0)))</x:f>
        <x:v>恒如套利三号</x:v>
      </x:c>
      <x:c r="C49" s="66" t="str">
        <x:f>IF(INDEX($M$2:$M$127,MATCH(A49,$V$2:$V$127,0))="","",INDEX($M$2:$M$127,MATCH(A49,$V$2:$V$127,0)))</x:f>
        <x:v>SGQ731</x:v>
      </x:c>
      <x:c r="D49" s="66" t="str">
        <x:f>IF(INDEX($N$2:$N$127,MATCH(A49,$V$2:$V$127,0))="","",INDEX($N$2:$N$127,MATCH(A49,$V$2:$V$127,0)))</x:f>
        <x:v>上海恒如投资</x:v>
      </x:c>
      <x:c r="E49" s="66" t="str">
        <x:f>IF(INDEX($O$2:$O$127,MATCH(A49,$V$2:$V$127,0))="","",INDEX($O$2:$O$127,MATCH(A49,$V$2:$V$127,0)))</x:f>
        <x:v>5-10亿元</x:v>
      </x:c>
      <x:c r="F49" s="77" t="n">
        <x:f>IF(INDEX($P$2:$P$127,MATCH(A49,$V$2:$V$127,0))="","",INDEX($P$2:$P$127,MATCH(A49,$V$2:$V$127,0)))</x:f>
        <x:v>69.92063</x:v>
      </x:c>
      <x:c r="G49" s="77" t="n">
        <x:f>IF(INDEX($Q$2:$Q$127,MATCH(A49,$V$2:$V$127,0))="","",INDEX($Q$2:$Q$127,MATCH(A49,$V$2:$V$127,0)))</x:f>
        <x:v>69.92</x:v>
      </x:c>
      <x:c r="H49" s="78" t="n">
        <x:f>IF(INDEX($R$2:$R$127,MATCH(A49,$V$2:$V$127,0))="","",INDEX($R$2:$R$127,MATCH(A49,$V$2:$V$127,0)))</x:f>
        <x:v>1</x:v>
      </x:c>
      <x:c r="I49" s="66" t="str">
        <x:f>IF(INDEX($S$2:$S$127,MATCH(A49,$V$2:$V$127,0))="","",INDEX($S$2:$S$127,MATCH(A49,$V$2:$V$127,0)))</x:f>
        <x:v>协会提示／报送异常</x:v>
      </x:c>
      <x:c r="J49" s="66" t="str">
        <x:f>IF(INDEX($T$2:$T$127,MATCH(A49,$V$2:$V$127,0))="","",INDEX($T$2:$T$127,MATCH(A49,$V$2:$V$127,0)))</x:f>
        <x:v>https://gs.amac.org.cn/amac-infodisc/res/pof/manager/101000001221.html</x:v>
      </x:c>
      <x:c r="K49" s="66" t="n">
        <x:f>IF(INDEX($U$2:$U$127,MATCH(A49,$V$2:$V$127,0))="","",INDEX($U$2:$U$127,MATCH(A49,$V$2:$V$127,0)))</x:f>
        <x:v>72</x:v>
      </x:c>
      <x:c r="L49" s="80" t="str">
        <x:v>悬铃成长1号</x:v>
      </x:c>
      <x:c r="M49" s="80" t="str">
        <x:v>STP551</x:v>
      </x:c>
      <x:c r="N49" s="80" t="str">
        <x:v>上海悬铃</x:v>
      </x:c>
      <x:c r="O49" s="80" t="str">
        <x:v>20-50亿元</x:v>
      </x:c>
      <x:c r="P49" s="81" t="n">
        <x:f>IF(ABS('sheet2-计算明细'!AQ102-1)&lt;0.00000001,'sheet2-计算明细'!AR102,"")</x:f>
        <x:v>41.79651</x:v>
      </x:c>
      <x:c r="Q49" s="81" t="n">
        <x:f>'sheet2-计算明细'!AS102</x:f>
        <x:v>41.8</x:v>
      </x:c>
      <x:c r="R49" s="82" t="n">
        <x:f>'sheet2-计算明细'!AQ102</x:f>
        <x:v>1</x:v>
      </x:c>
      <x:c r="S49" s="80" t="str">
        <x:v>本次公示未见相关记录</x:v>
      </x:c>
      <x:c r="T49" s="80" t="str">
        <x:v>https://gs.amac.org.cn/amac-infodisc/res/pof/manager/1701161209103763.html</x:v>
      </x:c>
      <x:c r="U49" s="80" t="n">
        <x:f>'sheet2-计算明细'!AT102</x:f>
        <x:v>169</x:v>
      </x:c>
      <x:c r="V49" s="80" t="n">
        <x:f>COUNTIF($U$2:$U$127,"&lt;"&amp;U49)+1</x:f>
        <x:v>108</x:v>
      </x:c>
    </x:row>
    <x:row r="50" ht="27" customHeight="1">
      <x:c r="A50" s="66" t="n">
        <x:v>49</x:v>
      </x:c>
      <x:c r="B50" s="66" t="str">
        <x:f>IF(INDEX($L$2:$L$127,MATCH(A50,$V$2:$V$127,0))="","",INDEX($L$2:$L$127,MATCH(A50,$V$2:$V$127,0)))</x:f>
        <x:v>致同云峰A</x:v>
      </x:c>
      <x:c r="C50" s="66" t="str">
        <x:f>IF(INDEX($M$2:$M$127,MATCH(A50,$V$2:$V$127,0))="","",INDEX($M$2:$M$127,MATCH(A50,$V$2:$V$127,0)))</x:f>
        <x:v>SNB380</x:v>
      </x:c>
      <x:c r="D50" s="66" t="str">
        <x:f>IF(INDEX($N$2:$N$127,MATCH(A50,$V$2:$V$127,0))="","",INDEX($N$2:$N$127,MATCH(A50,$V$2:$V$127,0)))</x:f>
        <x:v>上海致同投资</x:v>
      </x:c>
      <x:c r="E50" s="66" t="str">
        <x:f>IF(INDEX($O$2:$O$127,MATCH(A50,$V$2:$V$127,0))="","",INDEX($O$2:$O$127,MATCH(A50,$V$2:$V$127,0)))</x:f>
        <x:v>20-50亿元</x:v>
      </x:c>
      <x:c r="F50" s="77" t="str">
        <x:f>IF(INDEX($P$2:$P$127,MATCH(A50,$V$2:$V$127,0))="","",INDEX($P$2:$P$127,MATCH(A50,$V$2:$V$127,0)))</x:f>
      </x:c>
      <x:c r="G50" s="77" t="n">
        <x:f>IF(INDEX($Q$2:$Q$127,MATCH(A50,$V$2:$V$127,0))="","",INDEX($Q$2:$Q$127,MATCH(A50,$V$2:$V$127,0)))</x:f>
        <x:v>69.47</x:v>
      </x:c>
      <x:c r="H50" s="78" t="n">
        <x:f>IF(INDEX($R$2:$R$127,MATCH(A50,$V$2:$V$127,0))="","",INDEX($R$2:$R$127,MATCH(A50,$V$2:$V$127,0)))</x:f>
        <x:v>0.88</x:v>
      </x:c>
      <x:c r="I50" s="66" t="str">
        <x:f>IF(INDEX($S$2:$S$127,MATCH(A50,$V$2:$V$127,0))="","",INDEX($S$2:$S$127,MATCH(A50,$V$2:$V$127,0)))</x:f>
        <x:v>监管警示函</x:v>
      </x:c>
      <x:c r="J50" s="66" t="str">
        <x:f>IF(INDEX($T$2:$T$127,MATCH(A50,$V$2:$V$127,0))="","",INDEX($T$2:$T$127,MATCH(A50,$V$2:$V$127,0)))</x:f>
        <x:v>https://gs.amac.org.cn/amac-infodisc/res/pof/manager/101000004339.html</x:v>
      </x:c>
      <x:c r="K50" s="66" t="n">
        <x:f>IF(INDEX($U$2:$U$127,MATCH(A50,$V$2:$V$127,0))="","",INDEX($U$2:$U$127,MATCH(A50,$V$2:$V$127,0)))</x:f>
        <x:v>74</x:v>
      </x:c>
      <x:c r="L50" s="80" t="str">
        <x:v>殊馥馥源套利1号</x:v>
      </x:c>
      <x:c r="M50" s="80" t="str">
        <x:v>SGM512</x:v>
      </x:c>
      <x:c r="N50" s="80" t="str">
        <x:v>上海殊馥投资</x:v>
      </x:c>
      <x:c r="O50" s="80" t="str">
        <x:v>10-20亿元</x:v>
      </x:c>
      <x:c r="P50" s="81" t="n">
        <x:f>IF(ABS('sheet2-计算明细'!AQ104-1)&lt;0.00000001,'sheet2-计算明细'!AR104,"")</x:f>
        <x:v>69.23783</x:v>
      </x:c>
      <x:c r="Q50" s="81" t="n">
        <x:f>'sheet2-计算明细'!AS104</x:f>
        <x:v>69.24</x:v>
      </x:c>
      <x:c r="R50" s="82" t="n">
        <x:f>'sheet2-计算明细'!AQ104</x:f>
        <x:v>1</x:v>
      </x:c>
      <x:c r="S50" s="80" t="str">
        <x:v>协会提示／报送异常</x:v>
      </x:c>
      <x:c r="T50" s="80" t="str">
        <x:v>https://gs.amac.org.cn/amac-infodisc/res/pof/manager/101000042776.html</x:v>
      </x:c>
      <x:c r="U50" s="80" t="n">
        <x:f>'sheet2-计算明细'!AT104</x:f>
        <x:v>75</x:v>
      </x:c>
      <x:c r="V50" s="80" t="n">
        <x:f>COUNTIF($U$2:$U$127,"&lt;"&amp;U50)+1</x:f>
        <x:v>50</x:v>
      </x:c>
    </x:row>
    <x:row r="51" ht="27" customHeight="1">
      <x:c r="A51" s="66" t="n">
        <x:v>50</x:v>
      </x:c>
      <x:c r="B51" s="66" t="str">
        <x:f>IF(INDEX($L$2:$L$127,MATCH(A51,$V$2:$V$127,0))="","",INDEX($L$2:$L$127,MATCH(A51,$V$2:$V$127,0)))</x:f>
        <x:v>殊馥馥源套利1号</x:v>
      </x:c>
      <x:c r="C51" s="66" t="str">
        <x:f>IF(INDEX($M$2:$M$127,MATCH(A51,$V$2:$V$127,0))="","",INDEX($M$2:$M$127,MATCH(A51,$V$2:$V$127,0)))</x:f>
        <x:v>SGM512</x:v>
      </x:c>
      <x:c r="D51" s="66" t="str">
        <x:f>IF(INDEX($N$2:$N$127,MATCH(A51,$V$2:$V$127,0))="","",INDEX($N$2:$N$127,MATCH(A51,$V$2:$V$127,0)))</x:f>
        <x:v>上海殊馥投资</x:v>
      </x:c>
      <x:c r="E51" s="66" t="str">
        <x:f>IF(INDEX($O$2:$O$127,MATCH(A51,$V$2:$V$127,0))="","",INDEX($O$2:$O$127,MATCH(A51,$V$2:$V$127,0)))</x:f>
        <x:v>10-20亿元</x:v>
      </x:c>
      <x:c r="F51" s="77" t="n">
        <x:f>IF(INDEX($P$2:$P$127,MATCH(A51,$V$2:$V$127,0))="","",INDEX($P$2:$P$127,MATCH(A51,$V$2:$V$127,0)))</x:f>
        <x:v>69.23783</x:v>
      </x:c>
      <x:c r="G51" s="77" t="n">
        <x:f>IF(INDEX($Q$2:$Q$127,MATCH(A51,$V$2:$V$127,0))="","",INDEX($Q$2:$Q$127,MATCH(A51,$V$2:$V$127,0)))</x:f>
        <x:v>69.24</x:v>
      </x:c>
      <x:c r="H51" s="78" t="n">
        <x:f>IF(INDEX($R$2:$R$127,MATCH(A51,$V$2:$V$127,0))="","",INDEX($R$2:$R$127,MATCH(A51,$V$2:$V$127,0)))</x:f>
        <x:v>1</x:v>
      </x:c>
      <x:c r="I51" s="66" t="str">
        <x:f>IF(INDEX($S$2:$S$127,MATCH(A51,$V$2:$V$127,0))="","",INDEX($S$2:$S$127,MATCH(A51,$V$2:$V$127,0)))</x:f>
        <x:v>协会提示／报送异常</x:v>
      </x:c>
      <x:c r="J51" s="66" t="str">
        <x:f>IF(INDEX($T$2:$T$127,MATCH(A51,$V$2:$V$127,0))="","",INDEX($T$2:$T$127,MATCH(A51,$V$2:$V$127,0)))</x:f>
        <x:v>https://gs.amac.org.cn/amac-infodisc/res/pof/manager/101000042776.html</x:v>
      </x:c>
      <x:c r="K51" s="66" t="n">
        <x:f>IF(INDEX($U$2:$U$127,MATCH(A51,$V$2:$V$127,0))="","",INDEX($U$2:$U$127,MATCH(A51,$V$2:$V$127,0)))</x:f>
        <x:v>75</x:v>
      </x:c>
      <x:c r="L51" s="80" t="str">
        <x:v>申毅格物22号</x:v>
      </x:c>
      <x:c r="M51" s="80" t="str">
        <x:v>SLD523</x:v>
      </x:c>
      <x:c r="N51" s="80" t="str">
        <x:v>上海申毅投资</x:v>
      </x:c>
      <x:c r="O51" s="80" t="str">
        <x:v>100亿元以上</x:v>
      </x:c>
      <x:c r="P51" s="81" t="n">
        <x:f>IF(ABS('sheet2-计算明细'!AQ106-1)&lt;0.00000001,'sheet2-计算明细'!AR106,"")</x:f>
        <x:v>51.62448</x:v>
      </x:c>
      <x:c r="Q51" s="81" t="n">
        <x:f>'sheet2-计算明细'!AS106</x:f>
        <x:v>51.62</x:v>
      </x:c>
      <x:c r="R51" s="82" t="n">
        <x:f>'sheet2-计算明细'!AQ106</x:f>
        <x:v>1</x:v>
      </x:c>
      <x:c r="S51" s="80" t="str">
        <x:v>本次公示未见相关记录</x:v>
      </x:c>
      <x:c r="T51" s="80" t="str">
        <x:v>https://gs.amac.org.cn/amac-infodisc/res/pof/manager/101000000870.html</x:v>
      </x:c>
      <x:c r="U51" s="80" t="n">
        <x:f>'sheet2-计算明细'!AT106</x:f>
        <x:v>142</x:v>
      </x:c>
      <x:c r="V51" s="80" t="n">
        <x:f>COUNTIF($U$2:$U$127,"&lt;"&amp;U51)+1</x:f>
        <x:v>95</x:v>
      </x:c>
    </x:row>
    <x:row r="52" ht="27" customHeight="1">
      <x:c r="A52" s="66" t="n">
        <x:v>51</x:v>
      </x:c>
      <x:c r="B52" s="66" t="str">
        <x:f>IF(INDEX($L$2:$L$127,MATCH(A52,$V$2:$V$127,0))="","",INDEX($L$2:$L$127,MATCH(A52,$V$2:$V$127,0)))</x:f>
        <x:v>慕途基本面量化1号</x:v>
      </x:c>
      <x:c r="C52" s="66" t="str">
        <x:f>IF(INDEX($M$2:$M$127,MATCH(A52,$V$2:$V$127,0))="","",INDEX($M$2:$M$127,MATCH(A52,$V$2:$V$127,0)))</x:f>
        <x:v>SVW787</x:v>
      </x:c>
      <x:c r="D52" s="66" t="str">
        <x:f>IF(INDEX($N$2:$N$127,MATCH(A52,$V$2:$V$127,0))="","",INDEX($N$2:$N$127,MATCH(A52,$V$2:$V$127,0)))</x:f>
        <x:v>慕途基金</x:v>
      </x:c>
      <x:c r="E52" s="66" t="str">
        <x:f>IF(INDEX($O$2:$O$127,MATCH(A52,$V$2:$V$127,0))="","",INDEX($O$2:$O$127,MATCH(A52,$V$2:$V$127,0)))</x:f>
        <x:v>10-20亿元</x:v>
      </x:c>
      <x:c r="F52" s="77" t="str">
        <x:f>IF(INDEX($P$2:$P$127,MATCH(A52,$V$2:$V$127,0))="","",INDEX($P$2:$P$127,MATCH(A52,$V$2:$V$127,0)))</x:f>
      </x:c>
      <x:c r="G52" s="77" t="n">
        <x:f>IF(INDEX($Q$2:$Q$127,MATCH(A52,$V$2:$V$127,0))="","",INDEX($Q$2:$Q$127,MATCH(A52,$V$2:$V$127,0)))</x:f>
        <x:v>69.24</x:v>
      </x:c>
      <x:c r="H52" s="78" t="n">
        <x:f>IF(INDEX($R$2:$R$127,MATCH(A52,$V$2:$V$127,0))="","",INDEX($R$2:$R$127,MATCH(A52,$V$2:$V$127,0)))</x:f>
        <x:v>0.88</x:v>
      </x:c>
      <x:c r="I52" s="66" t="str">
        <x:f>IF(INDEX($S$2:$S$127,MATCH(A52,$V$2:$V$127,0))="","",INDEX($S$2:$S$127,MATCH(A52,$V$2:$V$127,0)))</x:f>
        <x:v>本次公示未见相关记录</x:v>
      </x:c>
      <x:c r="J52" s="66" t="str">
        <x:f>IF(INDEX($T$2:$T$127,MATCH(A52,$V$2:$V$127,0))="","",INDEX($T$2:$T$127,MATCH(A52,$V$2:$V$127,0)))</x:f>
        <x:v>https://gs.amac.org.cn/amac-infodisc/res/pof/manager/2106221238106983.html</x:v>
      </x:c>
      <x:c r="K52" s="66" t="n">
        <x:f>IF(INDEX($U$2:$U$127,MATCH(A52,$V$2:$V$127,0))="","",INDEX($U$2:$U$127,MATCH(A52,$V$2:$V$127,0)))</x:f>
        <x:v>76</x:v>
      </x:c>
      <x:c r="L52" s="80" t="str">
        <x:v>鹿秀驯鹿5号</x:v>
      </x:c>
      <x:c r="M52" s="80" t="str">
        <x:v>SLN352</x:v>
      </x:c>
      <x:c r="N52" s="80" t="str">
        <x:v>青岛鹿秀投资</x:v>
      </x:c>
      <x:c r="O52" s="80" t="str">
        <x:v>50-100亿元</x:v>
      </x:c>
      <x:c r="P52" s="81" t="n">
        <x:f>IF(ABS('sheet2-计算明细'!AQ107-1)&lt;0.00000001,'sheet2-计算明细'!AR107,"")</x:f>
        <x:v>23.92577</x:v>
      </x:c>
      <x:c r="Q52" s="81" t="n">
        <x:f>'sheet2-计算明细'!AS107</x:f>
        <x:v>23.93</x:v>
      </x:c>
      <x:c r="R52" s="82" t="n">
        <x:f>'sheet2-计算明细'!AQ107</x:f>
        <x:v>1</x:v>
      </x:c>
      <x:c r="S52" s="80" t="str">
        <x:v>协会提示／报送异常</x:v>
      </x:c>
      <x:c r="T52" s="80" t="str">
        <x:v>https://gs.amac.org.cn/amac-infodisc/res/pof/manager/1612231708101923.html</x:v>
      </x:c>
      <x:c r="U52" s="80" t="n">
        <x:f>'sheet2-计算明细'!AT107</x:f>
        <x:v>200</x:v>
      </x:c>
      <x:c r="V52" s="80" t="n">
        <x:f>COUNTIF($U$2:$U$127,"&lt;"&amp;U52)+1</x:f>
        <x:v>125</x:v>
      </x:c>
    </x:row>
    <x:row r="53" ht="27" customHeight="1">
      <x:c r="A53" s="66" t="n">
        <x:v>52</x:v>
      </x:c>
      <x:c r="B53" s="66" t="str">
        <x:f>IF(INDEX($L$2:$L$127,MATCH(A53,$V$2:$V$127,0))="","",INDEX($L$2:$L$127,MATCH(A53,$V$2:$V$127,0)))</x:f>
        <x:v>致同云峰AA类</x:v>
      </x:c>
      <x:c r="C53" s="66" t="str">
        <x:f>IF(INDEX($M$2:$M$127,MATCH(A53,$V$2:$V$127,0))="","",INDEX($M$2:$M$127,MATCH(A53,$V$2:$V$127,0)))</x:f>
        <x:v>NB380A</x:v>
      </x:c>
      <x:c r="D53" s="66" t="str">
        <x:f>IF(INDEX($N$2:$N$127,MATCH(A53,$V$2:$V$127,0))="","",INDEX($N$2:$N$127,MATCH(A53,$V$2:$V$127,0)))</x:f>
        <x:v>上海致同投资</x:v>
      </x:c>
      <x:c r="E53" s="66" t="str">
        <x:f>IF(INDEX($O$2:$O$127,MATCH(A53,$V$2:$V$127,0))="","",INDEX($O$2:$O$127,MATCH(A53,$V$2:$V$127,0)))</x:f>
        <x:v>20-50亿元</x:v>
      </x:c>
      <x:c r="F53" s="77" t="str">
        <x:f>IF(INDEX($P$2:$P$127,MATCH(A53,$V$2:$V$127,0))="","",INDEX($P$2:$P$127,MATCH(A53,$V$2:$V$127,0)))</x:f>
      </x:c>
      <x:c r="G53" s="77" t="n">
        <x:f>IF(INDEX($Q$2:$Q$127,MATCH(A53,$V$2:$V$127,0))="","",INDEX($Q$2:$Q$127,MATCH(A53,$V$2:$V$127,0)))</x:f>
        <x:v>69.06</x:v>
      </x:c>
      <x:c r="H53" s="78" t="n">
        <x:f>IF(INDEX($R$2:$R$127,MATCH(A53,$V$2:$V$127,0))="","",INDEX($R$2:$R$127,MATCH(A53,$V$2:$V$127,0)))</x:f>
        <x:v>0.8350000000000001</x:v>
      </x:c>
      <x:c r="I53" s="66" t="str">
        <x:f>IF(INDEX($S$2:$S$127,MATCH(A53,$V$2:$V$127,0))="","",INDEX($S$2:$S$127,MATCH(A53,$V$2:$V$127,0)))</x:f>
        <x:v>监管警示函</x:v>
      </x:c>
      <x:c r="J53" s="66" t="str">
        <x:f>IF(INDEX($T$2:$T$127,MATCH(A53,$V$2:$V$127,0))="","",INDEX($T$2:$T$127,MATCH(A53,$V$2:$V$127,0)))</x:f>
        <x:v>https://gs.amac.org.cn/amac-infodisc/res/pof/manager/101000004339.html</x:v>
      </x:c>
      <x:c r="K53" s="66" t="n">
        <x:f>IF(INDEX($U$2:$U$127,MATCH(A53,$V$2:$V$127,0))="","",INDEX($U$2:$U$127,MATCH(A53,$V$2:$V$127,0)))</x:f>
        <x:v>77</x:v>
      </x:c>
      <x:c r="L53" s="80" t="str">
        <x:v>鹿秀驯鹿10号</x:v>
      </x:c>
      <x:c r="M53" s="80" t="str">
        <x:v>SNK594</x:v>
      </x:c>
      <x:c r="N53" s="80" t="str">
        <x:v>青岛鹿秀投资</x:v>
      </x:c>
      <x:c r="O53" s="80" t="str">
        <x:v>50-100亿元</x:v>
      </x:c>
      <x:c r="P53" s="81" t="str">
        <x:f>IF(ABS('sheet2-计算明细'!AQ108-1)&lt;0.00000001,'sheet2-计算明细'!AR108,"")</x:f>
      </x:c>
      <x:c r="Q53" s="81" t="n">
        <x:f>'sheet2-计算明细'!AS108</x:f>
        <x:v>57.76</x:v>
      </x:c>
      <x:c r="R53" s="82" t="n">
        <x:f>'sheet2-计算明细'!AQ108</x:f>
        <x:v>0.88</x:v>
      </x:c>
      <x:c r="S53" s="80" t="str">
        <x:v>协会提示／报送异常</x:v>
      </x:c>
      <x:c r="T53" s="80" t="str">
        <x:v>https://gs.amac.org.cn/amac-infodisc/res/pof/manager/1612231708101923.html</x:v>
      </x:c>
      <x:c r="U53" s="80" t="n">
        <x:f>'sheet2-计算明细'!AT108</x:f>
        <x:v>118</x:v>
      </x:c>
      <x:c r="V53" s="80" t="n">
        <x:f>COUNTIF($U$2:$U$127,"&lt;"&amp;U53)+1</x:f>
        <x:v>83</x:v>
      </x:c>
    </x:row>
    <x:row r="54" ht="27" customHeight="1">
      <x:c r="A54" s="66" t="n">
        <x:v>53</x:v>
      </x:c>
      <x:c r="B54" s="66" t="str">
        <x:f>IF(INDEX($L$2:$L$127,MATCH(A54,$V$2:$V$127,0))="","",INDEX($L$2:$L$127,MATCH(A54,$V$2:$V$127,0)))</x:f>
        <x:v>博普跨市场1号</x:v>
      </x:c>
      <x:c r="C54" s="66" t="str">
        <x:f>IF(INDEX($M$2:$M$127,MATCH(A54,$V$2:$V$127,0))="","",INDEX($M$2:$M$127,MATCH(A54,$V$2:$V$127,0)))</x:f>
        <x:v>SN5169</x:v>
      </x:c>
      <x:c r="D54" s="66" t="str">
        <x:f>IF(INDEX($N$2:$N$127,MATCH(A54,$V$2:$V$127,0))="","",INDEX($N$2:$N$127,MATCH(A54,$V$2:$V$127,0)))</x:f>
        <x:v>深圳博普科技</x:v>
      </x:c>
      <x:c r="E54" s="66" t="str">
        <x:f>IF(INDEX($O$2:$O$127,MATCH(A54,$V$2:$V$127,0))="","",INDEX($O$2:$O$127,MATCH(A54,$V$2:$V$127,0)))</x:f>
        <x:v>100亿元以上</x:v>
      </x:c>
      <x:c r="F54" s="77" t="n">
        <x:f>IF(INDEX($P$2:$P$127,MATCH(A54,$V$2:$V$127,0))="","",INDEX($P$2:$P$127,MATCH(A54,$V$2:$V$127,0)))</x:f>
        <x:v>68.98757</x:v>
      </x:c>
      <x:c r="G54" s="77" t="n">
        <x:f>IF(INDEX($Q$2:$Q$127,MATCH(A54,$V$2:$V$127,0))="","",INDEX($Q$2:$Q$127,MATCH(A54,$V$2:$V$127,0)))</x:f>
        <x:v>68.99</x:v>
      </x:c>
      <x:c r="H54" s="78" t="n">
        <x:f>IF(INDEX($R$2:$R$127,MATCH(A54,$V$2:$V$127,0))="","",INDEX($R$2:$R$127,MATCH(A54,$V$2:$V$127,0)))</x:f>
        <x:v>1</x:v>
      </x:c>
      <x:c r="I54" s="66" t="str">
        <x:f>IF(INDEX($S$2:$S$127,MATCH(A54,$V$2:$V$127,0))="","",INDEX($S$2:$S$127,MATCH(A54,$V$2:$V$127,0)))</x:f>
        <x:v>本次公示未见相关记录</x:v>
      </x:c>
      <x:c r="J54" s="66" t="str">
        <x:f>IF(INDEX($T$2:$T$127,MATCH(A54,$V$2:$V$127,0))="","",INDEX($T$2:$T$127,MATCH(A54,$V$2:$V$127,0)))</x:f>
        <x:v>https://gs.amac.org.cn/amac-infodisc/res/pof/manager/101000001136.html</x:v>
      </x:c>
      <x:c r="K54" s="66" t="n">
        <x:f>IF(INDEX($U$2:$U$127,MATCH(A54,$V$2:$V$127,0))="","",INDEX($U$2:$U$127,MATCH(A54,$V$2:$V$127,0)))</x:f>
        <x:v>78</x:v>
      </x:c>
      <x:c r="L54" s="80" t="str">
        <x:v>九招真格量化套利一号</x:v>
      </x:c>
      <x:c r="M54" s="80" t="str">
        <x:v>SQD546</x:v>
      </x:c>
      <x:c r="N54" s="80" t="str">
        <x:v>武汉九招</x:v>
      </x:c>
      <x:c r="O54" s="80" t="str">
        <x:v>5-10亿元</x:v>
      </x:c>
      <x:c r="P54" s="81" t="n">
        <x:f>IF(ABS('sheet2-计算明细'!AQ109-1)&lt;0.00000001,'sheet2-计算明细'!AR109,"")</x:f>
        <x:v>85.32902999999999</x:v>
      </x:c>
      <x:c r="Q54" s="81" t="n">
        <x:f>'sheet2-计算明细'!AS109</x:f>
        <x:v>85.33</x:v>
      </x:c>
      <x:c r="R54" s="82" t="n">
        <x:f>'sheet2-计算明细'!AQ109</x:f>
        <x:v>1</x:v>
      </x:c>
      <x:c r="S54" s="80" t="str">
        <x:v>监管警示函</x:v>
      </x:c>
      <x:c r="T54" s="80" t="str">
        <x:v>https://gs.amac.org.cn/amac-infodisc/res/pof/manager/2301051740101642.html</x:v>
      </x:c>
      <x:c r="U54" s="80" t="n">
        <x:f>'sheet2-计算明细'!AT109</x:f>
        <x:v>19</x:v>
      </x:c>
      <x:c r="V54" s="80" t="n">
        <x:f>COUNTIF($U$2:$U$127,"&lt;"&amp;U54)+1</x:f>
        <x:v>14</x:v>
      </x:c>
    </x:row>
    <x:row r="55" ht="27" customHeight="1">
      <x:c r="A55" s="66" t="n">
        <x:v>54</x:v>
      </x:c>
      <x:c r="B55" s="66" t="str">
        <x:f>IF(INDEX($L$2:$L$127,MATCH(A55,$V$2:$V$127,0))="","",INDEX($L$2:$L$127,MATCH(A55,$V$2:$V$127,0)))</x:f>
        <x:v>深度梦扬量化套利0号</x:v>
      </x:c>
      <x:c r="C55" s="66" t="str">
        <x:f>IF(INDEX($M$2:$M$127,MATCH(A55,$V$2:$V$127,0))="","",INDEX($M$2:$M$127,MATCH(A55,$V$2:$V$127,0)))</x:f>
        <x:v>SQD620</x:v>
      </x:c>
      <x:c r="D55" s="66" t="str">
        <x:f>IF(INDEX($N$2:$N$127,MATCH(A55,$V$2:$V$127,0))="","",INDEX($N$2:$N$127,MATCH(A55,$V$2:$V$127,0)))</x:f>
        <x:v>杭州深度资管</x:v>
      </x:c>
      <x:c r="E55" s="66" t="str">
        <x:f>IF(INDEX($O$2:$O$127,MATCH(A55,$V$2:$V$127,0))="","",INDEX($O$2:$O$127,MATCH(A55,$V$2:$V$127,0)))</x:f>
        <x:v>10-20亿元</x:v>
      </x:c>
      <x:c r="F55" s="77" t="str">
        <x:f>IF(INDEX($P$2:$P$127,MATCH(A55,$V$2:$V$127,0))="","",INDEX($P$2:$P$127,MATCH(A55,$V$2:$V$127,0)))</x:f>
      </x:c>
      <x:c r="G55" s="77" t="n">
        <x:f>IF(INDEX($Q$2:$Q$127,MATCH(A55,$V$2:$V$127,0))="","",INDEX($Q$2:$Q$127,MATCH(A55,$V$2:$V$127,0)))</x:f>
        <x:v>68.53</x:v>
      </x:c>
      <x:c r="H55" s="78" t="n">
        <x:f>IF(INDEX($R$2:$R$127,MATCH(A55,$V$2:$V$127,0))="","",INDEX($R$2:$R$127,MATCH(A55,$V$2:$V$127,0)))</x:f>
        <x:v>0.88</x:v>
      </x:c>
      <x:c r="I55" s="66" t="str">
        <x:f>IF(INDEX($S$2:$S$127,MATCH(A55,$V$2:$V$127,0))="","",INDEX($S$2:$S$127,MATCH(A55,$V$2:$V$127,0)))</x:f>
        <x:v>本次公示未见相关记录</x:v>
      </x:c>
      <x:c r="J55" s="66" t="str">
        <x:f>IF(INDEX($T$2:$T$127,MATCH(A55,$V$2:$V$127,0))="","",INDEX($T$2:$T$127,MATCH(A55,$V$2:$V$127,0)))</x:f>
        <x:v>https://gs.amac.org.cn/amac-infodisc/res/pof/manager/1703210938100205.html</x:v>
      </x:c>
      <x:c r="K55" s="66" t="n">
        <x:f>IF(INDEX($U$2:$U$127,MATCH(A55,$V$2:$V$127,0))="","",INDEX($U$2:$U$127,MATCH(A55,$V$2:$V$127,0)))</x:f>
        <x:v>80</x:v>
      </x:c>
      <x:c r="L55" s="80" t="str">
        <x:v>宏翼高频1号</x:v>
      </x:c>
      <x:c r="M55" s="80" t="str">
        <x:v>SQA623</x:v>
      </x:c>
      <x:c r="N55" s="80" t="str">
        <x:v>上海宏翼</x:v>
      </x:c>
      <x:c r="O55" s="80" t="str">
        <x:v>5-10亿元</x:v>
      </x:c>
      <x:c r="P55" s="81" t="str">
        <x:f>IF(ABS('sheet2-计算明细'!AQ110-1)&lt;0.00000001,'sheet2-计算明细'!AR110,"")</x:f>
      </x:c>
      <x:c r="Q55" s="81" t="n">
        <x:f>'sheet2-计算明细'!AS110</x:f>
        <x:v>50.99</x:v>
      </x:c>
      <x:c r="R55" s="82" t="n">
        <x:f>'sheet2-计算明细'!AQ110</x:f>
        <x:v>0.88</x:v>
      </x:c>
      <x:c r="S55" s="80" t="str">
        <x:v>本次公示未见相关记录</x:v>
      </x:c>
      <x:c r="T55" s="80" t="str">
        <x:v>https://gs.amac.org.cn/amac-infodisc/res/pof/manager/2008271406105036.html</x:v>
      </x:c>
      <x:c r="U55" s="80" t="n">
        <x:f>'sheet2-计算明细'!AT110</x:f>
        <x:v>143</x:v>
      </x:c>
      <x:c r="V55" s="80" t="n">
        <x:f>COUNTIF($U$2:$U$127,"&lt;"&amp;U55)+1</x:f>
        <x:v>96</x:v>
      </x:c>
    </x:row>
    <x:row r="56" ht="27" customHeight="1">
      <x:c r="A56" s="66" t="n">
        <x:v>55</x:v>
      </x:c>
      <x:c r="B56" s="66" t="str">
        <x:f>IF(INDEX($L$2:$L$127,MATCH(A56,$V$2:$V$127,0))="","",INDEX($L$2:$L$127,MATCH(A56,$V$2:$V$127,0)))</x:f>
        <x:v>泰创稳增1号</x:v>
      </x:c>
      <x:c r="C56" s="66" t="str">
        <x:f>IF(INDEX($M$2:$M$127,MATCH(A56,$V$2:$V$127,0))="","",INDEX($M$2:$M$127,MATCH(A56,$V$2:$V$127,0)))</x:f>
        <x:v>SZV527</x:v>
      </x:c>
      <x:c r="D56" s="66" t="str">
        <x:f>IF(INDEX($N$2:$N$127,MATCH(A56,$V$2:$V$127,0))="","",INDEX($N$2:$N$127,MATCH(A56,$V$2:$V$127,0)))</x:f>
        <x:v>北京泰创投资</x:v>
      </x:c>
      <x:c r="E56" s="66" t="str">
        <x:f>IF(INDEX($O$2:$O$127,MATCH(A56,$V$2:$V$127,0))="","",INDEX($O$2:$O$127,MATCH(A56,$V$2:$V$127,0)))</x:f>
        <x:v>5-10亿元</x:v>
      </x:c>
      <x:c r="F56" s="77" t="n">
        <x:f>IF(INDEX($P$2:$P$127,MATCH(A56,$V$2:$V$127,0))="","",INDEX($P$2:$P$127,MATCH(A56,$V$2:$V$127,0)))</x:f>
        <x:v>68.50742</x:v>
      </x:c>
      <x:c r="G56" s="77" t="n">
        <x:f>IF(INDEX($Q$2:$Q$127,MATCH(A56,$V$2:$V$127,0))="","",INDEX($Q$2:$Q$127,MATCH(A56,$V$2:$V$127,0)))</x:f>
        <x:v>68.51</x:v>
      </x:c>
      <x:c r="H56" s="78" t="n">
        <x:f>IF(INDEX($R$2:$R$127,MATCH(A56,$V$2:$V$127,0))="","",INDEX($R$2:$R$127,MATCH(A56,$V$2:$V$127,0)))</x:f>
        <x:v>1</x:v>
      </x:c>
      <x:c r="I56" s="66" t="str">
        <x:f>IF(INDEX($S$2:$S$127,MATCH(A56,$V$2:$V$127,0))="","",INDEX($S$2:$S$127,MATCH(A56,$V$2:$V$127,0)))</x:f>
        <x:v>本次公示未见相关记录</x:v>
      </x:c>
      <x:c r="J56" s="66" t="str">
        <x:f>IF(INDEX($T$2:$T$127,MATCH(A56,$V$2:$V$127,0))="","",INDEX($T$2:$T$127,MATCH(A56,$V$2:$V$127,0)))</x:f>
        <x:v>https://gs.amac.org.cn/amac-infodisc/res/pof/manager/101000008864.html</x:v>
      </x:c>
      <x:c r="K56" s="66" t="n">
        <x:f>IF(INDEX($U$2:$U$127,MATCH(A56,$V$2:$V$127,0))="","",INDEX($U$2:$U$127,MATCH(A56,$V$2:$V$127,0)))</x:f>
        <x:v>81</x:v>
      </x:c>
      <x:c r="L56" s="80" t="str">
        <x:v>嘉和传承精研二期</x:v>
      </x:c>
      <x:c r="M56" s="80" t="str">
        <x:v>STD929</x:v>
      </x:c>
      <x:c r="N56" s="80" t="str">
        <x:v>上海嘉和传承</x:v>
      </x:c>
      <x:c r="O56" s="80" t="str">
        <x:v>5-10亿元</x:v>
      </x:c>
      <x:c r="P56" s="81" t="str">
        <x:f>IF(ABS('sheet2-计算明细'!AQ113-1)&lt;0.00000001,'sheet2-计算明细'!AR113,"")</x:f>
      </x:c>
      <x:c r="Q56" s="81" t="n">
        <x:f>'sheet2-计算明细'!AS113</x:f>
        <x:v>54.21</x:v>
      </x:c>
      <x:c r="R56" s="82" t="n">
        <x:f>'sheet2-计算明细'!AQ113</x:f>
        <x:v>0.88</x:v>
      </x:c>
      <x:c r="S56" s="80" t="str">
        <x:v>本次公示未见相关记录</x:v>
      </x:c>
      <x:c r="T56" s="80" t="str">
        <x:v>https://gs.amac.org.cn/amac-infodisc/res/pof/manager/2203031405108672.html</x:v>
      </x:c>
      <x:c r="U56" s="80" t="n">
        <x:f>'sheet2-计算明细'!AT113</x:f>
        <x:v>131</x:v>
      </x:c>
      <x:c r="V56" s="80" t="n">
        <x:f>COUNTIF($U$2:$U$127,"&lt;"&amp;U56)+1</x:f>
        <x:v>91</x:v>
      </x:c>
    </x:row>
    <x:row r="57" ht="27" customHeight="1">
      <x:c r="A57" s="66" t="n">
        <x:v>56</x:v>
      </x:c>
      <x:c r="B57" s="66" t="str">
        <x:f>IF(INDEX($L$2:$L$127,MATCH(A57,$V$2:$V$127,0))="","",INDEX($L$2:$L$127,MATCH(A57,$V$2:$V$127,0)))</x:f>
        <x:v>谊恒滴海一号</x:v>
      </x:c>
      <x:c r="C57" s="66" t="str">
        <x:f>IF(INDEX($M$2:$M$127,MATCH(A57,$V$2:$V$127,0))="","",INDEX($M$2:$M$127,MATCH(A57,$V$2:$V$127,0)))</x:f>
        <x:v>SXL701</x:v>
      </x:c>
      <x:c r="D57" s="66" t="str">
        <x:f>IF(INDEX($N$2:$N$127,MATCH(A57,$V$2:$V$127,0))="","",INDEX($N$2:$N$127,MATCH(A57,$V$2:$V$127,0)))</x:f>
        <x:v>上海滴海</x:v>
      </x:c>
      <x:c r="E57" s="66" t="str">
        <x:f>IF(INDEX($O$2:$O$127,MATCH(A57,$V$2:$V$127,0))="","",INDEX($O$2:$O$127,MATCH(A57,$V$2:$V$127,0)))</x:f>
        <x:v>5-10亿元</x:v>
      </x:c>
      <x:c r="F57" s="77" t="str">
        <x:f>IF(INDEX($P$2:$P$127,MATCH(A57,$V$2:$V$127,0))="","",INDEX($P$2:$P$127,MATCH(A57,$V$2:$V$127,0)))</x:f>
      </x:c>
      <x:c r="G57" s="77" t="n">
        <x:f>IF(INDEX($Q$2:$Q$127,MATCH(A57,$V$2:$V$127,0))="","",INDEX($Q$2:$Q$127,MATCH(A57,$V$2:$V$127,0)))</x:f>
        <x:v>67.34</x:v>
      </x:c>
      <x:c r="H57" s="78" t="n">
        <x:f>IF(INDEX($R$2:$R$127,MATCH(A57,$V$2:$V$127,0))="","",INDEX($R$2:$R$127,MATCH(A57,$V$2:$V$127,0)))</x:f>
        <x:v>0.88</x:v>
      </x:c>
      <x:c r="I57" s="66" t="str">
        <x:f>IF(INDEX($S$2:$S$127,MATCH(A57,$V$2:$V$127,0))="","",INDEX($S$2:$S$127,MATCH(A57,$V$2:$V$127,0)))</x:f>
        <x:v>协会提示／报送异常</x:v>
      </x:c>
      <x:c r="J57" s="66" t="str">
        <x:f>IF(INDEX($T$2:$T$127,MATCH(A57,$V$2:$V$127,0))="","",INDEX($T$2:$T$127,MATCH(A57,$V$2:$V$127,0)))</x:f>
        <x:v>https://gs.amac.org.cn/amac-infodisc/res/pof/manager/101000018343.html</x:v>
      </x:c>
      <x:c r="K57" s="66" t="n">
        <x:f>IF(INDEX($U$2:$U$127,MATCH(A57,$V$2:$V$127,0))="","",INDEX($U$2:$U$127,MATCH(A57,$V$2:$V$127,0)))</x:f>
        <x:v>82</x:v>
      </x:c>
      <x:c r="L57" s="80" t="str">
        <x:v>呈瑞复合策略1号</x:v>
      </x:c>
      <x:c r="M57" s="80" t="str">
        <x:v>STK755</x:v>
      </x:c>
      <x:c r="N57" s="80" t="str">
        <x:v>上海呈瑞投资</x:v>
      </x:c>
      <x:c r="O57" s="80" t="str">
        <x:v>50-100亿元</x:v>
      </x:c>
      <x:c r="P57" s="81" t="n">
        <x:f>IF(ABS('sheet2-计算明细'!AQ114-1)&lt;0.00000001,'sheet2-计算明细'!AR114,"")</x:f>
        <x:v>49.77904</x:v>
      </x:c>
      <x:c r="Q57" s="81" t="n">
        <x:f>'sheet2-计算明细'!AS114</x:f>
        <x:v>49.78</x:v>
      </x:c>
      <x:c r="R57" s="82" t="n">
        <x:f>'sheet2-计算明细'!AQ114</x:f>
        <x:v>1</x:v>
      </x:c>
      <x:c r="S57" s="80" t="str">
        <x:v>监管责令改正</x:v>
      </x:c>
      <x:c r="T57" s="80" t="str">
        <x:v>https://gs.amac.org.cn/amac-infodisc/res/pof/manager/101000000860.html</x:v>
      </x:c>
      <x:c r="U57" s="80" t="n">
        <x:f>'sheet2-计算明细'!AT114</x:f>
        <x:v>148</x:v>
      </x:c>
      <x:c r="V57" s="80" t="n">
        <x:f>COUNTIF($U$2:$U$127,"&lt;"&amp;U57)+1</x:f>
        <x:v>99</x:v>
      </x:c>
    </x:row>
    <x:row r="58" ht="27" customHeight="1">
      <x:c r="A58" s="66" t="n">
        <x:v>57</x:v>
      </x:c>
      <x:c r="B58" s="66" t="str">
        <x:f>IF(INDEX($L$2:$L$127,MATCH(A58,$V$2:$V$127,0))="","",INDEX($L$2:$L$127,MATCH(A58,$V$2:$V$127,0)))</x:f>
        <x:v>博润易量稳健1号</x:v>
      </x:c>
      <x:c r="C58" s="66" t="str">
        <x:f>IF(INDEX($M$2:$M$127,MATCH(A58,$V$2:$V$127,0))="","",INDEX($M$2:$M$127,MATCH(A58,$V$2:$V$127,0)))</x:f>
        <x:v>SXL913</x:v>
      </x:c>
      <x:c r="D58" s="66" t="str">
        <x:f>IF(INDEX($N$2:$N$127,MATCH(A58,$V$2:$V$127,0))="","",INDEX($N$2:$N$127,MATCH(A58,$V$2:$V$127,0)))</x:f>
        <x:v>北京博润银泰投资</x:v>
      </x:c>
      <x:c r="E58" s="66" t="str">
        <x:f>IF(INDEX($O$2:$O$127,MATCH(A58,$V$2:$V$127,0))="","",INDEX($O$2:$O$127,MATCH(A58,$V$2:$V$127,0)))</x:f>
        <x:v>100亿元以上</x:v>
      </x:c>
      <x:c r="F58" s="77" t="str">
        <x:f>IF(INDEX($P$2:$P$127,MATCH(A58,$V$2:$V$127,0))="","",INDEX($P$2:$P$127,MATCH(A58,$V$2:$V$127,0)))</x:f>
      </x:c>
      <x:c r="G58" s="77" t="n">
        <x:f>IF(INDEX($Q$2:$Q$127,MATCH(A58,$V$2:$V$127,0))="","",INDEX($Q$2:$Q$127,MATCH(A58,$V$2:$V$127,0)))</x:f>
        <x:v>65.91</x:v>
      </x:c>
      <x:c r="H58" s="78" t="n">
        <x:f>IF(INDEX($R$2:$R$127,MATCH(A58,$V$2:$V$127,0))="","",INDEX($R$2:$R$127,MATCH(A58,$V$2:$V$127,0)))</x:f>
        <x:v>0.88</x:v>
      </x:c>
      <x:c r="I58" s="66" t="str">
        <x:f>IF(INDEX($S$2:$S$127,MATCH(A58,$V$2:$V$127,0))="","",INDEX($S$2:$S$127,MATCH(A58,$V$2:$V$127,0)))</x:f>
        <x:v>本次公示未见相关记录</x:v>
      </x:c>
      <x:c r="J58" s="66" t="str">
        <x:f>IF(INDEX($T$2:$T$127,MATCH(A58,$V$2:$V$127,0))="","",INDEX($T$2:$T$127,MATCH(A58,$V$2:$V$127,0)))</x:f>
        <x:v>https://gs.amac.org.cn/amac-infodisc/res/pof/manager/101000005082.html</x:v>
      </x:c>
      <x:c r="K58" s="66" t="n">
        <x:f>IF(INDEX($U$2:$U$127,MATCH(A58,$V$2:$V$127,0))="","",INDEX($U$2:$U$127,MATCH(A58,$V$2:$V$127,0)))</x:f>
        <x:v>85</x:v>
      </x:c>
      <x:c r="L58" s="80" t="str">
        <x:v>晨翰6号</x:v>
      </x:c>
      <x:c r="M58" s="80" t="str">
        <x:v>STS460</x:v>
      </x:c>
      <x:c r="N58" s="80" t="str">
        <x:v>晋江晨翰</x:v>
      </x:c>
      <x:c r="O58" s="80" t="str">
        <x:v>5-10亿元</x:v>
      </x:c>
      <x:c r="P58" s="81" t="str">
        <x:f>IF(ABS('sheet2-计算明细'!AQ115-1)&lt;0.00000001,'sheet2-计算明细'!AR115,"")</x:f>
      </x:c>
      <x:c r="Q58" s="81" t="n">
        <x:f>'sheet2-计算明细'!AS115</x:f>
        <x:v>60.11</x:v>
      </x:c>
      <x:c r="R58" s="82" t="n">
        <x:f>'sheet2-计算明细'!AQ115</x:f>
        <x:v>0.88</x:v>
      </x:c>
      <x:c r="S58" s="80" t="str">
        <x:v>本次公示未见相关记录</x:v>
      </x:c>
      <x:c r="T58" s="80" t="str">
        <x:v>https://gs.amac.org.cn/amac-infodisc/res/pof/manager/2002211754119480.html</x:v>
      </x:c>
      <x:c r="U58" s="80" t="n">
        <x:f>'sheet2-计算明细'!AT115</x:f>
        <x:v>109</x:v>
      </x:c>
      <x:c r="V58" s="80" t="n">
        <x:f>COUNTIF($U$2:$U$127,"&lt;"&amp;U58)+1</x:f>
        <x:v>74</x:v>
      </x:c>
    </x:row>
    <x:row r="59" ht="27" customHeight="1">
      <x:c r="A59" s="66" t="n">
        <x:v>58</x:v>
      </x:c>
      <x:c r="B59" s="66" t="str">
        <x:f>IF(INDEX($L$2:$L$127,MATCH(A59,$V$2:$V$127,0))="","",INDEX($L$2:$L$127,MATCH(A59,$V$2:$V$127,0)))</x:f>
        <x:v>犇牛稳进3号</x:v>
      </x:c>
      <x:c r="C59" s="66" t="str">
        <x:f>IF(INDEX($M$2:$M$127,MATCH(A59,$V$2:$V$127,0))="","",INDEX($M$2:$M$127,MATCH(A59,$V$2:$V$127,0)))</x:f>
        <x:v>SNE543</x:v>
      </x:c>
      <x:c r="D59" s="66" t="str">
        <x:f>IF(INDEX($N$2:$N$127,MATCH(A59,$V$2:$V$127,0))="","",INDEX($N$2:$N$127,MATCH(A59,$V$2:$V$127,0)))</x:f>
        <x:v>上海犇牛</x:v>
      </x:c>
      <x:c r="E59" s="66" t="str">
        <x:f>IF(INDEX($O$2:$O$127,MATCH(A59,$V$2:$V$127,0))="","",INDEX($O$2:$O$127,MATCH(A59,$V$2:$V$127,0)))</x:f>
        <x:v>10-20亿元</x:v>
      </x:c>
      <x:c r="F59" s="77" t="n">
        <x:f>IF(INDEX($P$2:$P$127,MATCH(A59,$V$2:$V$127,0))="","",INDEX($P$2:$P$127,MATCH(A59,$V$2:$V$127,0)))</x:f>
        <x:v>65.87608</x:v>
      </x:c>
      <x:c r="G59" s="77" t="n">
        <x:f>IF(INDEX($Q$2:$Q$127,MATCH(A59,$V$2:$V$127,0))="","",INDEX($Q$2:$Q$127,MATCH(A59,$V$2:$V$127,0)))</x:f>
        <x:v>65.88</x:v>
      </x:c>
      <x:c r="H59" s="78" t="n">
        <x:f>IF(INDEX($R$2:$R$127,MATCH(A59,$V$2:$V$127,0))="","",INDEX($R$2:$R$127,MATCH(A59,$V$2:$V$127,0)))</x:f>
        <x:v>1</x:v>
      </x:c>
      <x:c r="I59" s="66" t="str">
        <x:f>IF(INDEX($S$2:$S$127,MATCH(A59,$V$2:$V$127,0))="","",INDEX($S$2:$S$127,MATCH(A59,$V$2:$V$127,0)))</x:f>
        <x:v>协会提示／报送异常</x:v>
      </x:c>
      <x:c r="J59" s="66" t="str">
        <x:f>IF(INDEX($T$2:$T$127,MATCH(A59,$V$2:$V$127,0))="","",INDEX($T$2:$T$127,MATCH(A59,$V$2:$V$127,0)))</x:f>
        <x:v>https://gs.amac.org.cn/amac-infodisc/res/pof/manager/101000013203.html</x:v>
      </x:c>
      <x:c r="K59" s="66" t="n">
        <x:f>IF(INDEX($U$2:$U$127,MATCH(A59,$V$2:$V$127,0))="","",INDEX($U$2:$U$127,MATCH(A59,$V$2:$V$127,0)))</x:f>
        <x:v>86</x:v>
      </x:c>
      <x:c r="L59" s="80" t="str">
        <x:v>博普量化对冲6号A类</x:v>
      </x:c>
      <x:c r="M59" s="80" t="str">
        <x:v>EE891A</x:v>
      </x:c>
      <x:c r="N59" s="80" t="str">
        <x:v>深圳前海博普资管</x:v>
      </x:c>
      <x:c r="O59" s="80" t="str">
        <x:v>50-100亿元</x:v>
      </x:c>
      <x:c r="P59" s="81" t="str">
        <x:f>IF(ABS('sheet2-计算明细'!AQ116-1)&lt;0.00000001,'sheet2-计算明细'!AR116,"")</x:f>
      </x:c>
      <x:c r="Q59" s="81" t="n">
        <x:f>'sheet2-计算明细'!AS116</x:f>
        <x:v>43.38</x:v>
      </x:c>
      <x:c r="R59" s="82" t="n">
        <x:f>'sheet2-计算明细'!AQ116</x:f>
        <x:v>0.9550000000000001</x:v>
      </x:c>
      <x:c r="S59" s="80" t="str">
        <x:v>本次公示未见相关记录</x:v>
      </x:c>
      <x:c r="T59" s="80" t="str">
        <x:v>https://gs.amac.org.cn/amac-infodisc/res/pof/manager/1709041706102598.html</x:v>
      </x:c>
      <x:c r="U59" s="80" t="n">
        <x:f>'sheet2-计算明细'!AT116</x:f>
        <x:v>163</x:v>
      </x:c>
      <x:c r="V59" s="80" t="n">
        <x:f>COUNTIF($U$2:$U$127,"&lt;"&amp;U59)+1</x:f>
        <x:v>105</x:v>
      </x:c>
    </x:row>
    <x:row r="60" ht="27" customHeight="1">
      <x:c r="A60" s="66" t="n">
        <x:v>59</x:v>
      </x:c>
      <x:c r="B60" s="66" t="str">
        <x:f>IF(INDEX($L$2:$L$127,MATCH(A60,$V$2:$V$127,0))="","",INDEX($L$2:$L$127,MATCH(A60,$V$2:$V$127,0)))</x:f>
        <x:v>元康投资-稳健添利1号</x:v>
      </x:c>
      <x:c r="C60" s="66" t="str">
        <x:f>IF(INDEX($M$2:$M$127,MATCH(A60,$V$2:$V$127,0))="","",INDEX($M$2:$M$127,MATCH(A60,$V$2:$V$127,0)))</x:f>
        <x:v>SNF469</x:v>
      </x:c>
      <x:c r="D60" s="66" t="str">
        <x:f>IF(INDEX($N$2:$N$127,MATCH(A60,$V$2:$V$127,0))="","",INDEX($N$2:$N$127,MATCH(A60,$V$2:$V$127,0)))</x:f>
        <x:v>上海元康投资</x:v>
      </x:c>
      <x:c r="E60" s="66" t="str">
        <x:f>IF(INDEX($O$2:$O$127,MATCH(A60,$V$2:$V$127,0))="","",INDEX($O$2:$O$127,MATCH(A60,$V$2:$V$127,0)))</x:f>
        <x:v>5-10亿元</x:v>
      </x:c>
      <x:c r="F60" s="77" t="n">
        <x:f>IF(INDEX($P$2:$P$127,MATCH(A60,$V$2:$V$127,0))="","",INDEX($P$2:$P$127,MATCH(A60,$V$2:$V$127,0)))</x:f>
        <x:v>65.82992999999999</x:v>
      </x:c>
      <x:c r="G60" s="77" t="n">
        <x:f>IF(INDEX($Q$2:$Q$127,MATCH(A60,$V$2:$V$127,0))="","",INDEX($Q$2:$Q$127,MATCH(A60,$V$2:$V$127,0)))</x:f>
        <x:v>65.83</x:v>
      </x:c>
      <x:c r="H60" s="78" t="n">
        <x:f>IF(INDEX($R$2:$R$127,MATCH(A60,$V$2:$V$127,0))="","",INDEX($R$2:$R$127,MATCH(A60,$V$2:$V$127,0)))</x:f>
        <x:v>1</x:v>
      </x:c>
      <x:c r="I60" s="66" t="str">
        <x:f>IF(INDEX($S$2:$S$127,MATCH(A60,$V$2:$V$127,0))="","",INDEX($S$2:$S$127,MATCH(A60,$V$2:$V$127,0)))</x:f>
        <x:v>协会提示／报送异常</x:v>
      </x:c>
      <x:c r="J60" s="66" t="str">
        <x:f>IF(INDEX($T$2:$T$127,MATCH(A60,$V$2:$V$127,0))="","",INDEX($T$2:$T$127,MATCH(A60,$V$2:$V$127,0)))</x:f>
        <x:v>https://gs.amac.org.cn/amac-infodisc/res/pof/manager/101000012102.html</x:v>
      </x:c>
      <x:c r="K60" s="66" t="n">
        <x:f>IF(INDEX($U$2:$U$127,MATCH(A60,$V$2:$V$127,0))="","",INDEX($U$2:$U$127,MATCH(A60,$V$2:$V$127,0)))</x:f>
        <x:v>87</x:v>
      </x:c>
      <x:c r="L60" s="80" t="str">
        <x:v>中益仁东染千顷</x:v>
      </x:c>
      <x:c r="M60" s="80" t="str">
        <x:v>SXK740</x:v>
      </x:c>
      <x:c r="N60" s="80" t="str">
        <x:v>日照中益仁</x:v>
      </x:c>
      <x:c r="O60" s="80" t="str">
        <x:v>10-20亿元</x:v>
      </x:c>
      <x:c r="P60" s="81" t="str">
        <x:f>IF(ABS('sheet2-计算明细'!AQ117-1)&lt;0.00000001,'sheet2-计算明细'!AR117,"")</x:f>
      </x:c>
      <x:c r="Q60" s="81" t="n">
        <x:f>'sheet2-计算明细'!AS117</x:f>
        <x:v>74</x:v>
      </x:c>
      <x:c r="R60" s="82" t="n">
        <x:f>'sheet2-计算明细'!AQ117</x:f>
        <x:v>0.88</x:v>
      </x:c>
      <x:c r="S60" s="80" t="str">
        <x:v>本次公示未见相关记录</x:v>
      </x:c>
      <x:c r="T60" s="80" t="str">
        <x:v>https://gs.amac.org.cn/amac-infodisc/res/pof/manager/1708291806108811.html</x:v>
      </x:c>
      <x:c r="U60" s="80" t="n">
        <x:f>'sheet2-计算明细'!AT117</x:f>
        <x:v>52</x:v>
      </x:c>
      <x:c r="V60" s="80" t="n">
        <x:f>COUNTIF($U$2:$U$127,"&lt;"&amp;U60)+1</x:f>
        <x:v>36</x:v>
      </x:c>
    </x:row>
    <x:row r="61" ht="27" customHeight="1">
      <x:c r="A61" s="66" t="n">
        <x:v>60</x:v>
      </x:c>
      <x:c r="B61" s="66" t="str">
        <x:f>IF(INDEX($L$2:$L$127,MATCH(A61,$V$2:$V$127,0))="","",INDEX($L$2:$L$127,MATCH(A61,$V$2:$V$127,0)))</x:f>
        <x:v>思益行稳致远1号</x:v>
      </x:c>
      <x:c r="C61" s="66" t="str">
        <x:f>IF(INDEX($M$2:$M$127,MATCH(A61,$V$2:$V$127,0))="","",INDEX($M$2:$M$127,MATCH(A61,$V$2:$V$127,0)))</x:f>
        <x:v>SZC556</x:v>
      </x:c>
      <x:c r="D61" s="66" t="str">
        <x:f>IF(INDEX($N$2:$N$127,MATCH(A61,$V$2:$V$127,0))="","",INDEX($N$2:$N$127,MATCH(A61,$V$2:$V$127,0)))</x:f>
        <x:v>海南思益</x:v>
      </x:c>
      <x:c r="E61" s="66" t="str">
        <x:f>IF(INDEX($O$2:$O$127,MATCH(A61,$V$2:$V$127,0))="","",INDEX($O$2:$O$127,MATCH(A61,$V$2:$V$127,0)))</x:f>
        <x:v>10-20亿元</x:v>
      </x:c>
      <x:c r="F61" s="77" t="n">
        <x:f>IF(INDEX($P$2:$P$127,MATCH(A61,$V$2:$V$127,0))="","",INDEX($P$2:$P$127,MATCH(A61,$V$2:$V$127,0)))</x:f>
        <x:v>65.55916</x:v>
      </x:c>
      <x:c r="G61" s="77" t="n">
        <x:f>IF(INDEX($Q$2:$Q$127,MATCH(A61,$V$2:$V$127,0))="","",INDEX($Q$2:$Q$127,MATCH(A61,$V$2:$V$127,0)))</x:f>
        <x:v>65.56</x:v>
      </x:c>
      <x:c r="H61" s="78" t="n">
        <x:f>IF(INDEX($R$2:$R$127,MATCH(A61,$V$2:$V$127,0))="","",INDEX($R$2:$R$127,MATCH(A61,$V$2:$V$127,0)))</x:f>
        <x:v>1</x:v>
      </x:c>
      <x:c r="I61" s="66" t="str">
        <x:f>IF(INDEX($S$2:$S$127,MATCH(A61,$V$2:$V$127,0))="","",INDEX($S$2:$S$127,MATCH(A61,$V$2:$V$127,0)))</x:f>
        <x:v>本次公示未见相关记录</x:v>
      </x:c>
      <x:c r="J61" s="66" t="str">
        <x:f>IF(INDEX($T$2:$T$127,MATCH(A61,$V$2:$V$127,0))="","",INDEX($T$2:$T$127,MATCH(A61,$V$2:$V$127,0)))</x:f>
        <x:v>https://gs.amac.org.cn/amac-infodisc/res/pof/manager/2204271712106058.html</x:v>
      </x:c>
      <x:c r="K61" s="66" t="n">
        <x:f>IF(INDEX($U$2:$U$127,MATCH(A61,$V$2:$V$127,0))="","",INDEX($U$2:$U$127,MATCH(A61,$V$2:$V$127,0)))</x:f>
        <x:v>89</x:v>
      </x:c>
      <x:c r="L61" s="80" t="str">
        <x:v>博普日添月益A类</x:v>
      </x:c>
      <x:c r="M61" s="80" t="str">
        <x:v>JW903A</x:v>
      </x:c>
      <x:c r="N61" s="80" t="str">
        <x:v>深圳前海博普资管</x:v>
      </x:c>
      <x:c r="O61" s="80" t="str">
        <x:v>50-100亿元</x:v>
      </x:c>
      <x:c r="P61" s="81" t="str">
        <x:f>IF(ABS('sheet2-计算明细'!AQ121-1)&lt;0.00000001,'sheet2-计算明细'!AR121,"")</x:f>
      </x:c>
      <x:c r="Q61" s="81" t="n">
        <x:f>'sheet2-计算明细'!AS121</x:f>
        <x:v>73.21</x:v>
      </x:c>
      <x:c r="R61" s="82" t="n">
        <x:f>'sheet2-计算明细'!AQ121</x:f>
        <x:v>0.9550000000000001</x:v>
      </x:c>
      <x:c r="S61" s="80" t="str">
        <x:v>本次公示未见相关记录</x:v>
      </x:c>
      <x:c r="T61" s="80" t="str">
        <x:v>https://gs.amac.org.cn/amac-infodisc/res/pof/manager/1709041706102598.html</x:v>
      </x:c>
      <x:c r="U61" s="80" t="n">
        <x:f>'sheet2-计算明细'!AT121</x:f>
        <x:v>56</x:v>
      </x:c>
      <x:c r="V61" s="80" t="n">
        <x:f>COUNTIF($U$2:$U$127,"&lt;"&amp;U61)+1</x:f>
        <x:v>39</x:v>
      </x:c>
    </x:row>
    <x:row r="62" ht="27" customHeight="1">
      <x:c r="A62" s="66" t="n">
        <x:v>61</x:v>
      </x:c>
      <x:c r="B62" s="66" t="str">
        <x:f>IF(INDEX($L$2:$L$127,MATCH(A62,$V$2:$V$127,0))="","",INDEX($L$2:$L$127,MATCH(A62,$V$2:$V$127,0)))</x:f>
        <x:v>盛泉恒元多策略量化对冲2号基金</x:v>
      </x:c>
      <x:c r="C62" s="66" t="str">
        <x:f>IF(INDEX($M$2:$M$127,MATCH(A62,$V$2:$V$127,0))="","",INDEX($M$2:$M$127,MATCH(A62,$V$2:$V$127,0)))</x:f>
        <x:v>S67533</x:v>
      </x:c>
      <x:c r="D62" s="66" t="str">
        <x:f>IF(INDEX($N$2:$N$127,MATCH(A62,$V$2:$V$127,0))="","",INDEX($N$2:$N$127,MATCH(A62,$V$2:$V$127,0)))</x:f>
        <x:v>南京盛泉恒元投资</x:v>
      </x:c>
      <x:c r="E62" s="66" t="str">
        <x:f>IF(INDEX($O$2:$O$127,MATCH(A62,$V$2:$V$127,0))="","",INDEX($O$2:$O$127,MATCH(A62,$V$2:$V$127,0)))</x:f>
        <x:v>100亿元以上</x:v>
      </x:c>
      <x:c r="F62" s="77" t="n">
        <x:f>IF(INDEX($P$2:$P$127,MATCH(A62,$V$2:$V$127,0))="","",INDEX($P$2:$P$127,MATCH(A62,$V$2:$V$127,0)))</x:f>
        <x:v>65.48308</x:v>
      </x:c>
      <x:c r="G62" s="77" t="n">
        <x:f>IF(INDEX($Q$2:$Q$127,MATCH(A62,$V$2:$V$127,0))="","",INDEX($Q$2:$Q$127,MATCH(A62,$V$2:$V$127,0)))</x:f>
        <x:v>65.48</x:v>
      </x:c>
      <x:c r="H62" s="78" t="n">
        <x:f>IF(INDEX($R$2:$R$127,MATCH(A62,$V$2:$V$127,0))="","",INDEX($R$2:$R$127,MATCH(A62,$V$2:$V$127,0)))</x:f>
        <x:v>1</x:v>
      </x:c>
      <x:c r="I62" s="66" t="str">
        <x:f>IF(INDEX($S$2:$S$127,MATCH(A62,$V$2:$V$127,0))="","",INDEX($S$2:$S$127,MATCH(A62,$V$2:$V$127,0)))</x:f>
        <x:v>本次公示未见相关记录</x:v>
      </x:c>
      <x:c r="J62" s="66" t="str">
        <x:f>IF(INDEX($T$2:$T$127,MATCH(A62,$V$2:$V$127,0))="","",INDEX($T$2:$T$127,MATCH(A62,$V$2:$V$127,0)))</x:f>
        <x:v>https://gs.amac.org.cn/amac-infodisc/res/pof/manager/101000008304.html</x:v>
      </x:c>
      <x:c r="K62" s="66" t="n">
        <x:f>IF(INDEX($U$2:$U$127,MATCH(A62,$V$2:$V$127,0))="","",INDEX($U$2:$U$127,MATCH(A62,$V$2:$V$127,0)))</x:f>
        <x:v>91</x:v>
      </x:c>
      <x:c r="L62" s="80" t="str">
        <x:v>博普跨市场1号</x:v>
      </x:c>
      <x:c r="M62" s="80" t="str">
        <x:v>SN5169</x:v>
      </x:c>
      <x:c r="N62" s="80" t="str">
        <x:v>深圳博普科技</x:v>
      </x:c>
      <x:c r="O62" s="80" t="str">
        <x:v>100亿元以上</x:v>
      </x:c>
      <x:c r="P62" s="81" t="n">
        <x:f>IF(ABS('sheet2-计算明细'!AQ122-1)&lt;0.00000001,'sheet2-计算明细'!AR122,"")</x:f>
        <x:v>68.98757</x:v>
      </x:c>
      <x:c r="Q62" s="81" t="n">
        <x:f>'sheet2-计算明细'!AS122</x:f>
        <x:v>68.99</x:v>
      </x:c>
      <x:c r="R62" s="82" t="n">
        <x:f>'sheet2-计算明细'!AQ122</x:f>
        <x:v>1</x:v>
      </x:c>
      <x:c r="S62" s="80" t="str">
        <x:v>本次公示未见相关记录</x:v>
      </x:c>
      <x:c r="T62" s="80" t="str">
        <x:v>https://gs.amac.org.cn/amac-infodisc/res/pof/manager/101000001136.html</x:v>
      </x:c>
      <x:c r="U62" s="80" t="n">
        <x:f>'sheet2-计算明细'!AT122</x:f>
        <x:v>78</x:v>
      </x:c>
      <x:c r="V62" s="80" t="n">
        <x:f>COUNTIF($U$2:$U$127,"&lt;"&amp;U62)+1</x:f>
        <x:v>53</x:v>
      </x:c>
    </x:row>
    <x:row r="63" ht="27" customHeight="1">
      <x:c r="A63" s="66" t="n">
        <x:v>62</x:v>
      </x:c>
      <x:c r="B63" s="66" t="str">
        <x:f>IF(INDEX($L$2:$L$127,MATCH(A63,$V$2:$V$127,0))="","",INDEX($L$2:$L$127,MATCH(A63,$V$2:$V$127,0)))</x:f>
        <x:v>东宏启航稳健1号</x:v>
      </x:c>
      <x:c r="C63" s="66" t="str">
        <x:f>IF(INDEX($M$2:$M$127,MATCH(A63,$V$2:$V$127,0))="","",INDEX($M$2:$M$127,MATCH(A63,$V$2:$V$127,0)))</x:f>
        <x:v>SAAE31</x:v>
      </x:c>
      <x:c r="D63" s="66" t="str">
        <x:f>IF(INDEX($N$2:$N$127,MATCH(A63,$V$2:$V$127,0))="","",INDEX($N$2:$N$127,MATCH(A63,$V$2:$V$127,0)))</x:f>
        <x:v>北京东宏世家资管</x:v>
      </x:c>
      <x:c r="E63" s="66" t="str">
        <x:f>IF(INDEX($O$2:$O$127,MATCH(A63,$V$2:$V$127,0))="","",INDEX($O$2:$O$127,MATCH(A63,$V$2:$V$127,0)))</x:f>
        <x:v>5-10亿元</x:v>
      </x:c>
      <x:c r="F63" s="77" t="n">
        <x:f>IF(INDEX($P$2:$P$127,MATCH(A63,$V$2:$V$127,0))="","",INDEX($P$2:$P$127,MATCH(A63,$V$2:$V$127,0)))</x:f>
        <x:v>64.78407999999999</x:v>
      </x:c>
      <x:c r="G63" s="77" t="n">
        <x:f>IF(INDEX($Q$2:$Q$127,MATCH(A63,$V$2:$V$127,0))="","",INDEX($Q$2:$Q$127,MATCH(A63,$V$2:$V$127,0)))</x:f>
        <x:v>64.78</x:v>
      </x:c>
      <x:c r="H63" s="78" t="n">
        <x:f>IF(INDEX($R$2:$R$127,MATCH(A63,$V$2:$V$127,0))="","",INDEX($R$2:$R$127,MATCH(A63,$V$2:$V$127,0)))</x:f>
        <x:v>1</x:v>
      </x:c>
      <x:c r="I63" s="66" t="str">
        <x:f>IF(INDEX($S$2:$S$127,MATCH(A63,$V$2:$V$127,0))="","",INDEX($S$2:$S$127,MATCH(A63,$V$2:$V$127,0)))</x:f>
        <x:v>本次公示未见相关记录</x:v>
      </x:c>
      <x:c r="J63" s="66" t="str">
        <x:f>IF(INDEX($T$2:$T$127,MATCH(A63,$V$2:$V$127,0))="","",INDEX($T$2:$T$127,MATCH(A63,$V$2:$V$127,0)))</x:f>
        <x:v>https://gs.amac.org.cn/amac-infodisc/res/pof/manager/101000028582.html</x:v>
      </x:c>
      <x:c r="K63" s="66" t="n">
        <x:f>IF(INDEX($U$2:$U$127,MATCH(A63,$V$2:$V$127,0))="","",INDEX($U$2:$U$127,MATCH(A63,$V$2:$V$127,0)))</x:f>
        <x:v>92</x:v>
      </x:c>
      <x:c r="L63" s="80" t="str">
        <x:v>博益安盈精英1号</x:v>
      </x:c>
      <x:c r="M63" s="80" t="str">
        <x:v>SL9566</x:v>
      </x:c>
      <x:c r="N63" s="80" t="str">
        <x:v>深圳博益安盈</x:v>
      </x:c>
      <x:c r="O63" s="80" t="str">
        <x:v>5-10亿元</x:v>
      </x:c>
      <x:c r="P63" s="81" t="str">
        <x:f>IF(ABS('sheet2-计算明细'!AQ123-1)&lt;0.00000001,'sheet2-计算明细'!AR123,"")</x:f>
      </x:c>
      <x:c r="Q63" s="81" t="n">
        <x:f>'sheet2-计算明细'!AS123</x:f>
        <x:v>72.15</x:v>
      </x:c>
      <x:c r="R63" s="82" t="n">
        <x:f>'sheet2-计算明细'!AQ123</x:f>
        <x:v>0.88</x:v>
      </x:c>
      <x:c r="S63" s="80" t="str">
        <x:v>本次公示未见相关记录</x:v>
      </x:c>
      <x:c r="T63" s="80" t="str">
        <x:v>https://gs.amac.org.cn/amac-infodisc/res/pof/manager/101000052138.html</x:v>
      </x:c>
      <x:c r="U63" s="80" t="n">
        <x:f>'sheet2-计算明细'!AT123</x:f>
        <x:v>61</x:v>
      </x:c>
      <x:c r="V63" s="80" t="n">
        <x:f>COUNTIF($U$2:$U$127,"&lt;"&amp;U63)+1</x:f>
        <x:v>43</x:v>
      </x:c>
    </x:row>
    <x:row r="64" ht="27" customHeight="1">
      <x:c r="A64" s="66" t="n">
        <x:v>63</x:v>
      </x:c>
      <x:c r="B64" s="66" t="str">
        <x:f>IF(INDEX($L$2:$L$127,MATCH(A64,$V$2:$V$127,0))="","",INDEX($L$2:$L$127,MATCH(A64,$V$2:$V$127,0)))</x:f>
        <x:v>汇富联合日盈12号</x:v>
      </x:c>
      <x:c r="C64" s="66" t="str">
        <x:f>IF(INDEX($M$2:$M$127,MATCH(A64,$V$2:$V$127,0))="","",INDEX($M$2:$M$127,MATCH(A64,$V$2:$V$127,0)))</x:f>
        <x:v>SVQ519</x:v>
      </x:c>
      <x:c r="D64" s="66" t="str">
        <x:f>IF(INDEX($N$2:$N$127,MATCH(A64,$V$2:$V$127,0))="","",INDEX($N$2:$N$127,MATCH(A64,$V$2:$V$127,0)))</x:f>
        <x:v>深圳前海汇富联合</x:v>
      </x:c>
      <x:c r="E64" s="66" t="str">
        <x:f>IF(INDEX($O$2:$O$127,MATCH(A64,$V$2:$V$127,0))="","",INDEX($O$2:$O$127,MATCH(A64,$V$2:$V$127,0)))</x:f>
        <x:v>20-50亿元</x:v>
      </x:c>
      <x:c r="F64" s="77" t="n">
        <x:f>IF(INDEX($P$2:$P$127,MATCH(A64,$V$2:$V$127,0))="","",INDEX($P$2:$P$127,MATCH(A64,$V$2:$V$127,0)))</x:f>
        <x:v>64.21114</x:v>
      </x:c>
      <x:c r="G64" s="77" t="n">
        <x:f>IF(INDEX($Q$2:$Q$127,MATCH(A64,$V$2:$V$127,0))="","",INDEX($Q$2:$Q$127,MATCH(A64,$V$2:$V$127,0)))</x:f>
        <x:v>64.21</x:v>
      </x:c>
      <x:c r="H64" s="78" t="n">
        <x:f>IF(INDEX($R$2:$R$127,MATCH(A64,$V$2:$V$127,0))="","",INDEX($R$2:$R$127,MATCH(A64,$V$2:$V$127,0)))</x:f>
        <x:v>1</x:v>
      </x:c>
      <x:c r="I64" s="66" t="str">
        <x:f>IF(INDEX($S$2:$S$127,MATCH(A64,$V$2:$V$127,0))="","",INDEX($S$2:$S$127,MATCH(A64,$V$2:$V$127,0)))</x:f>
        <x:v>本次公示未见相关记录</x:v>
      </x:c>
      <x:c r="J64" s="66" t="str">
        <x:f>IF(INDEX($T$2:$T$127,MATCH(A64,$V$2:$V$127,0))="","",INDEX($T$2:$T$127,MATCH(A64,$V$2:$V$127,0)))</x:f>
        <x:v>https://gs.amac.org.cn/amac-infodisc/res/pof/manager/101000012095.html</x:v>
      </x:c>
      <x:c r="K64" s="66" t="n">
        <x:f>IF(INDEX($U$2:$U$127,MATCH(A64,$V$2:$V$127,0))="","",INDEX($U$2:$U$127,MATCH(A64,$V$2:$V$127,0)))</x:f>
        <x:v>93</x:v>
      </x:c>
      <x:c r="L64" s="80" t="str">
        <x:v>盛泉恒元多策略量化对冲2号基金</x:v>
      </x:c>
      <x:c r="M64" s="80" t="str">
        <x:v>S67533</x:v>
      </x:c>
      <x:c r="N64" s="80" t="str">
        <x:v>南京盛泉恒元投资</x:v>
      </x:c>
      <x:c r="O64" s="80" t="str">
        <x:v>100亿元以上</x:v>
      </x:c>
      <x:c r="P64" s="81" t="n">
        <x:f>IF(ABS('sheet2-计算明细'!AQ125-1)&lt;0.00000001,'sheet2-计算明细'!AR125,"")</x:f>
        <x:v>65.48308</x:v>
      </x:c>
      <x:c r="Q64" s="81" t="n">
        <x:f>'sheet2-计算明细'!AS125</x:f>
        <x:v>65.48</x:v>
      </x:c>
      <x:c r="R64" s="82" t="n">
        <x:f>'sheet2-计算明细'!AQ125</x:f>
        <x:v>1</x:v>
      </x:c>
      <x:c r="S64" s="80" t="str">
        <x:v>本次公示未见相关记录</x:v>
      </x:c>
      <x:c r="T64" s="80" t="str">
        <x:v>https://gs.amac.org.cn/amac-infodisc/res/pof/manager/101000008304.html</x:v>
      </x:c>
      <x:c r="U64" s="80" t="n">
        <x:f>'sheet2-计算明细'!AT125</x:f>
        <x:v>91</x:v>
      </x:c>
      <x:c r="V64" s="80" t="n">
        <x:f>COUNTIF($U$2:$U$127,"&lt;"&amp;U64)+1</x:f>
        <x:v>61</x:v>
      </x:c>
    </x:row>
    <x:row r="65" ht="27" customHeight="1">
      <x:c r="A65" s="66" t="n">
        <x:v>64</x:v>
      </x:c>
      <x:c r="B65" s="66" t="str">
        <x:f>IF(INDEX($L$2:$L$127,MATCH(A65,$V$2:$V$127,0))="","",INDEX($L$2:$L$127,MATCH(A65,$V$2:$V$127,0)))</x:f>
        <x:v>晨翰11号</x:v>
      </x:c>
      <x:c r="C65" s="66" t="str">
        <x:f>IF(INDEX($M$2:$M$127,MATCH(A65,$V$2:$V$127,0))="","",INDEX($M$2:$M$127,MATCH(A65,$V$2:$V$127,0)))</x:f>
        <x:v>SVT598</x:v>
      </x:c>
      <x:c r="D65" s="66" t="str">
        <x:f>IF(INDEX($N$2:$N$127,MATCH(A65,$V$2:$V$127,0))="","",INDEX($N$2:$N$127,MATCH(A65,$V$2:$V$127,0)))</x:f>
        <x:v>晋江晨翰</x:v>
      </x:c>
      <x:c r="E65" s="66" t="str">
        <x:f>IF(INDEX($O$2:$O$127,MATCH(A65,$V$2:$V$127,0))="","",INDEX($O$2:$O$127,MATCH(A65,$V$2:$V$127,0)))</x:f>
        <x:v>5-10亿元</x:v>
      </x:c>
      <x:c r="F65" s="77" t="n">
        <x:f>IF(INDEX($P$2:$P$127,MATCH(A65,$V$2:$V$127,0))="","",INDEX($P$2:$P$127,MATCH(A65,$V$2:$V$127,0)))</x:f>
        <x:v>63.910259999999994</x:v>
      </x:c>
      <x:c r="G65" s="77" t="n">
        <x:f>IF(INDEX($Q$2:$Q$127,MATCH(A65,$V$2:$V$127,0))="","",INDEX($Q$2:$Q$127,MATCH(A65,$V$2:$V$127,0)))</x:f>
        <x:v>63.91</x:v>
      </x:c>
      <x:c r="H65" s="78" t="n">
        <x:f>IF(INDEX($R$2:$R$127,MATCH(A65,$V$2:$V$127,0))="","",INDEX($R$2:$R$127,MATCH(A65,$V$2:$V$127,0)))</x:f>
        <x:v>1</x:v>
      </x:c>
      <x:c r="I65" s="66" t="str">
        <x:f>IF(INDEX($S$2:$S$127,MATCH(A65,$V$2:$V$127,0))="","",INDEX($S$2:$S$127,MATCH(A65,$V$2:$V$127,0)))</x:f>
        <x:v>本次公示未见相关记录</x:v>
      </x:c>
      <x:c r="J65" s="66" t="str">
        <x:f>IF(INDEX($T$2:$T$127,MATCH(A65,$V$2:$V$127,0))="","",INDEX($T$2:$T$127,MATCH(A65,$V$2:$V$127,0)))</x:f>
        <x:v>https://gs.amac.org.cn/amac-infodisc/res/pof/manager/2002211754119480.html</x:v>
      </x:c>
      <x:c r="K65" s="66" t="n">
        <x:f>IF(INDEX($U$2:$U$127,MATCH(A65,$V$2:$V$127,0))="","",INDEX($U$2:$U$127,MATCH(A65,$V$2:$V$127,0)))</x:f>
        <x:v>95</x:v>
      </x:c>
      <x:c r="L65" s="80" t="str">
        <x:v>申毅多策略量化7号</x:v>
      </x:c>
      <x:c r="M65" s="80" t="str">
        <x:v>S35707</x:v>
      </x:c>
      <x:c r="N65" s="80" t="str">
        <x:v>上海申毅投资</x:v>
      </x:c>
      <x:c r="O65" s="80" t="str">
        <x:v>100亿元以上</x:v>
      </x:c>
      <x:c r="P65" s="81" t="n">
        <x:f>IF(ABS('sheet2-计算明细'!AQ126-1)&lt;0.00000001,'sheet2-计算明细'!AR126,"")</x:f>
        <x:v>52.54249</x:v>
      </x:c>
      <x:c r="Q65" s="81" t="n">
        <x:f>'sheet2-计算明细'!AS126</x:f>
        <x:v>52.54</x:v>
      </x:c>
      <x:c r="R65" s="82" t="n">
        <x:f>'sheet2-计算明细'!AQ126</x:f>
        <x:v>1</x:v>
      </x:c>
      <x:c r="S65" s="80" t="str">
        <x:v>本次公示未见相关记录</x:v>
      </x:c>
      <x:c r="T65" s="80" t="str">
        <x:v>https://gs.amac.org.cn/amac-infodisc/res/pof/manager/101000000870.html</x:v>
      </x:c>
      <x:c r="U65" s="80" t="n">
        <x:f>'sheet2-计算明细'!AT126</x:f>
        <x:v>136</x:v>
      </x:c>
      <x:c r="V65" s="80" t="n">
        <x:f>COUNTIF($U$2:$U$127,"&lt;"&amp;U65)+1</x:f>
        <x:v>93</x:v>
      </x:c>
    </x:row>
    <x:row r="66" ht="27" customHeight="1">
      <x:c r="A66" s="66" t="n">
        <x:v>65</x:v>
      </x:c>
      <x:c r="B66" s="66" t="str">
        <x:f>IF(INDEX($L$2:$L$127,MATCH(A66,$V$2:$V$127,0))="","",INDEX($L$2:$L$127,MATCH(A66,$V$2:$V$127,0)))</x:f>
        <x:v>滨风风云瑞丰1号</x:v>
      </x:c>
      <x:c r="C66" s="66" t="str">
        <x:f>IF(INDEX($M$2:$M$127,MATCH(A66,$V$2:$V$127,0))="","",INDEX($M$2:$M$127,MATCH(A66,$V$2:$V$127,0)))</x:f>
        <x:v>SXL267</x:v>
      </x:c>
      <x:c r="D66" s="66" t="str">
        <x:f>IF(INDEX($N$2:$N$127,MATCH(A66,$V$2:$V$127,0))="","",INDEX($N$2:$N$127,MATCH(A66,$V$2:$V$127,0)))</x:f>
        <x:v>鹰潭滨风投资</x:v>
      </x:c>
      <x:c r="E66" s="66" t="str">
        <x:f>IF(INDEX($O$2:$O$127,MATCH(A66,$V$2:$V$127,0))="","",INDEX($O$2:$O$127,MATCH(A66,$V$2:$V$127,0)))</x:f>
        <x:v>5-10亿元</x:v>
      </x:c>
      <x:c r="F66" s="77" t="str">
        <x:f>IF(INDEX($P$2:$P$127,MATCH(A66,$V$2:$V$127,0))="","",INDEX($P$2:$P$127,MATCH(A66,$V$2:$V$127,0)))</x:f>
      </x:c>
      <x:c r="G66" s="77" t="n">
        <x:f>IF(INDEX($Q$2:$Q$127,MATCH(A66,$V$2:$V$127,0))="","",INDEX($Q$2:$Q$127,MATCH(A66,$V$2:$V$127,0)))</x:f>
        <x:v>62.73</x:v>
      </x:c>
      <x:c r="H66" s="78" t="n">
        <x:f>IF(INDEX($R$2:$R$127,MATCH(A66,$V$2:$V$127,0))="","",INDEX($R$2:$R$127,MATCH(A66,$V$2:$V$127,0)))</x:f>
        <x:v>0.88</x:v>
      </x:c>
      <x:c r="I66" s="66" t="str">
        <x:f>IF(INDEX($S$2:$S$127,MATCH(A66,$V$2:$V$127,0))="","",INDEX($S$2:$S$127,MATCH(A66,$V$2:$V$127,0)))</x:f>
        <x:v>本次公示未见相关记录</x:v>
      </x:c>
      <x:c r="J66" s="66" t="str">
        <x:f>IF(INDEX($T$2:$T$127,MATCH(A66,$V$2:$V$127,0))="","",INDEX($T$2:$T$127,MATCH(A66,$V$2:$V$127,0)))</x:f>
        <x:v>https://gs.amac.org.cn/amac-infodisc/res/pof/manager/1801301704109241.html</x:v>
      </x:c>
      <x:c r="K66" s="66" t="n">
        <x:f>IF(INDEX($U$2:$U$127,MATCH(A66,$V$2:$V$127,0))="","",INDEX($U$2:$U$127,MATCH(A66,$V$2:$V$127,0)))</x:f>
        <x:v>97</x:v>
      </x:c>
      <x:c r="L66" s="80" t="str">
        <x:v>博普稳增3号</x:v>
      </x:c>
      <x:c r="M66" s="80" t="str">
        <x:v>SW7191</x:v>
      </x:c>
      <x:c r="N66" s="80" t="str">
        <x:v>深圳博普科技</x:v>
      </x:c>
      <x:c r="O66" s="80" t="str">
        <x:v>100亿元以上</x:v>
      </x:c>
      <x:c r="P66" s="81" t="n">
        <x:f>IF(ABS('sheet2-计算明细'!AQ128-1)&lt;0.00000001,'sheet2-计算明细'!AR128,"")</x:f>
        <x:v>74.79444000000001</x:v>
      </x:c>
      <x:c r="Q66" s="81" t="n">
        <x:f>'sheet2-计算明细'!AS128</x:f>
        <x:v>74.79</x:v>
      </x:c>
      <x:c r="R66" s="82" t="n">
        <x:f>'sheet2-计算明细'!AQ128</x:f>
        <x:v>1</x:v>
      </x:c>
      <x:c r="S66" s="80" t="str">
        <x:v>本次公示未见相关记录</x:v>
      </x:c>
      <x:c r="T66" s="80" t="str">
        <x:v>https://gs.amac.org.cn/amac-infodisc/res/pof/manager/101000001136.html</x:v>
      </x:c>
      <x:c r="U66" s="80" t="n">
        <x:f>'sheet2-计算明细'!AT128</x:f>
        <x:v>49</x:v>
      </x:c>
      <x:c r="V66" s="80" t="n">
        <x:f>COUNTIF($U$2:$U$127,"&lt;"&amp;U66)+1</x:f>
        <x:v>33</x:v>
      </x:c>
    </x:row>
    <x:row r="67" ht="27" customHeight="1">
      <x:c r="A67" s="66" t="n">
        <x:v>66</x:v>
      </x:c>
      <x:c r="B67" s="66" t="str">
        <x:f>IF(INDEX($L$2:$L$127,MATCH(A67,$V$2:$V$127,0))="","",INDEX($L$2:$L$127,MATCH(A67,$V$2:$V$127,0)))</x:f>
        <x:v>泰创稳健三号</x:v>
      </x:c>
      <x:c r="C67" s="66" t="str">
        <x:f>IF(INDEX($M$2:$M$127,MATCH(A67,$V$2:$V$127,0))="","",INDEX($M$2:$M$127,MATCH(A67,$V$2:$V$127,0)))</x:f>
        <x:v>SZD744</x:v>
      </x:c>
      <x:c r="D67" s="66" t="str">
        <x:f>IF(INDEX($N$2:$N$127,MATCH(A67,$V$2:$V$127,0))="","",INDEX($N$2:$N$127,MATCH(A67,$V$2:$V$127,0)))</x:f>
        <x:v>北京泰创投资</x:v>
      </x:c>
      <x:c r="E67" s="66" t="str">
        <x:f>IF(INDEX($O$2:$O$127,MATCH(A67,$V$2:$V$127,0))="","",INDEX($O$2:$O$127,MATCH(A67,$V$2:$V$127,0)))</x:f>
        <x:v>5-10亿元</x:v>
      </x:c>
      <x:c r="F67" s="77" t="n">
        <x:f>IF(INDEX($P$2:$P$127,MATCH(A67,$V$2:$V$127,0))="","",INDEX($P$2:$P$127,MATCH(A67,$V$2:$V$127,0)))</x:f>
        <x:v>62.32769</x:v>
      </x:c>
      <x:c r="G67" s="77" t="n">
        <x:f>IF(INDEX($Q$2:$Q$127,MATCH(A67,$V$2:$V$127,0))="","",INDEX($Q$2:$Q$127,MATCH(A67,$V$2:$V$127,0)))</x:f>
        <x:v>62.33</x:v>
      </x:c>
      <x:c r="H67" s="78" t="n">
        <x:f>IF(INDEX($R$2:$R$127,MATCH(A67,$V$2:$V$127,0))="","",INDEX($R$2:$R$127,MATCH(A67,$V$2:$V$127,0)))</x:f>
        <x:v>1</x:v>
      </x:c>
      <x:c r="I67" s="66" t="str">
        <x:f>IF(INDEX($S$2:$S$127,MATCH(A67,$V$2:$V$127,0))="","",INDEX($S$2:$S$127,MATCH(A67,$V$2:$V$127,0)))</x:f>
        <x:v>本次公示未见相关记录</x:v>
      </x:c>
      <x:c r="J67" s="66" t="str">
        <x:f>IF(INDEX($T$2:$T$127,MATCH(A67,$V$2:$V$127,0))="","",INDEX($T$2:$T$127,MATCH(A67,$V$2:$V$127,0)))</x:f>
        <x:v>https://gs.amac.org.cn/amac-infodisc/res/pof/manager/101000008864.html</x:v>
      </x:c>
      <x:c r="K67" s="66" t="n">
        <x:f>IF(INDEX($U$2:$U$127,MATCH(A67,$V$2:$V$127,0))="","",INDEX($U$2:$U$127,MATCH(A67,$V$2:$V$127,0)))</x:f>
        <x:v>98</x:v>
      </x:c>
      <x:c r="L67" s="80" t="str">
        <x:v>盛冠达试金石3号</x:v>
      </x:c>
      <x:c r="M67" s="80" t="str">
        <x:v>SW1709</x:v>
      </x:c>
      <x:c r="N67" s="80" t="str">
        <x:v>海南盛冠达</x:v>
      </x:c>
      <x:c r="O67" s="80" t="str">
        <x:v>20-50亿元</x:v>
      </x:c>
      <x:c r="P67" s="81" t="n">
        <x:f>IF(ABS('sheet2-计算明细'!AQ129-1)&lt;0.00000001,'sheet2-计算明细'!AR129,"")</x:f>
        <x:v>58.087480000000006</x:v>
      </x:c>
      <x:c r="Q67" s="81" t="n">
        <x:f>'sheet2-计算明细'!AS129</x:f>
        <x:v>58.09</x:v>
      </x:c>
      <x:c r="R67" s="82" t="n">
        <x:f>'sheet2-计算明细'!AQ129</x:f>
        <x:v>1</x:v>
      </x:c>
      <x:c r="S67" s="80" t="str">
        <x:v>本次公示未见相关记录</x:v>
      </x:c>
      <x:c r="T67" s="80" t="str">
        <x:v>https://gs.amac.org.cn/amac-infodisc/res/pof/manager/101000001663.html</x:v>
      </x:c>
      <x:c r="U67" s="80" t="n">
        <x:f>'sheet2-计算明细'!AT129</x:f>
        <x:v>116</x:v>
      </x:c>
      <x:c r="V67" s="80" t="n">
        <x:f>COUNTIF($U$2:$U$127,"&lt;"&amp;U67)+1</x:f>
        <x:v>81</x:v>
      </x:c>
    </x:row>
    <x:row r="68" ht="27" customHeight="1">
      <x:c r="A68" s="66" t="n">
        <x:v>67</x:v>
      </x:c>
      <x:c r="B68" s="66" t="str">
        <x:f>IF(INDEX($L$2:$L$127,MATCH(A68,$V$2:$V$127,0))="","",INDEX($L$2:$L$127,MATCH(A68,$V$2:$V$127,0)))</x:f>
        <x:v>龙帆恒盛稳固8号</x:v>
      </x:c>
      <x:c r="C68" s="66" t="str">
        <x:f>IF(INDEX($M$2:$M$127,MATCH(A68,$V$2:$V$127,0))="","",INDEX($M$2:$M$127,MATCH(A68,$V$2:$V$127,0)))</x:f>
        <x:v>SSU654</x:v>
      </x:c>
      <x:c r="D68" s="66" t="str">
        <x:f>IF(INDEX($N$2:$N$127,MATCH(A68,$V$2:$V$127,0))="","",INDEX($N$2:$N$127,MATCH(A68,$V$2:$V$127,0)))</x:f>
        <x:v>厦门龙帆资管</x:v>
      </x:c>
      <x:c r="E68" s="66" t="str">
        <x:f>IF(INDEX($O$2:$O$127,MATCH(A68,$V$2:$V$127,0))="","",INDEX($O$2:$O$127,MATCH(A68,$V$2:$V$127,0)))</x:f>
        <x:v>5-10亿元</x:v>
      </x:c>
      <x:c r="F68" s="77" t="n">
        <x:f>IF(INDEX($P$2:$P$127,MATCH(A68,$V$2:$V$127,0))="","",INDEX($P$2:$P$127,MATCH(A68,$V$2:$V$127,0)))</x:f>
        <x:v>61.36027</x:v>
      </x:c>
      <x:c r="G68" s="77" t="n">
        <x:f>IF(INDEX($Q$2:$Q$127,MATCH(A68,$V$2:$V$127,0))="","",INDEX($Q$2:$Q$127,MATCH(A68,$V$2:$V$127,0)))</x:f>
        <x:v>61.36</x:v>
      </x:c>
      <x:c r="H68" s="78" t="n">
        <x:f>IF(INDEX($R$2:$R$127,MATCH(A68,$V$2:$V$127,0))="","",INDEX($R$2:$R$127,MATCH(A68,$V$2:$V$127,0)))</x:f>
        <x:v>1</x:v>
      </x:c>
      <x:c r="I68" s="66" t="str">
        <x:f>IF(INDEX($S$2:$S$127,MATCH(A68,$V$2:$V$127,0))="","",INDEX($S$2:$S$127,MATCH(A68,$V$2:$V$127,0)))</x:f>
        <x:v>本次公示未见相关记录</x:v>
      </x:c>
      <x:c r="J68" s="66" t="str">
        <x:f>IF(INDEX($T$2:$T$127,MATCH(A68,$V$2:$V$127,0))="","",INDEX($T$2:$T$127,MATCH(A68,$V$2:$V$127,0)))</x:f>
        <x:v>https://gs.amac.org.cn/amac-infodisc/res/pof/manager/1611020850101525.html</x:v>
      </x:c>
      <x:c r="K68" s="66" t="n">
        <x:f>IF(INDEX($U$2:$U$127,MATCH(A68,$V$2:$V$127,0))="","",INDEX($U$2:$U$127,MATCH(A68,$V$2:$V$127,0)))</x:f>
        <x:v>100</x:v>
      </x:c>
      <x:c r="L68" s="80" t="str">
        <x:v>盛泉恒元量化套利12号专项</x:v>
      </x:c>
      <x:c r="M68" s="80" t="str">
        <x:v>SEE184</x:v>
      </x:c>
      <x:c r="N68" s="80" t="str">
        <x:v>南京盛泉恒元投资</x:v>
      </x:c>
      <x:c r="O68" s="80" t="str">
        <x:v>100亿元以上</x:v>
      </x:c>
      <x:c r="P68" s="81" t="n">
        <x:f>IF(ABS('sheet2-计算明细'!AQ130-1)&lt;0.00000001,'sheet2-计算明细'!AR130,"")</x:f>
        <x:v>60.14579</x:v>
      </x:c>
      <x:c r="Q68" s="81" t="n">
        <x:f>'sheet2-计算明细'!AS130</x:f>
        <x:v>60.15</x:v>
      </x:c>
      <x:c r="R68" s="82" t="n">
        <x:f>'sheet2-计算明细'!AQ130</x:f>
        <x:v>1</x:v>
      </x:c>
      <x:c r="S68" s="80" t="str">
        <x:v>本次公示未见相关记录</x:v>
      </x:c>
      <x:c r="T68" s="80" t="str">
        <x:v>https://gs.amac.org.cn/amac-infodisc/res/pof/manager/101000008304.html</x:v>
      </x:c>
      <x:c r="U68" s="80" t="n">
        <x:f>'sheet2-计算明细'!AT130</x:f>
        <x:v>108</x:v>
      </x:c>
      <x:c r="V68" s="80" t="n">
        <x:f>COUNTIF($U$2:$U$127,"&lt;"&amp;U68)+1</x:f>
        <x:v>73</x:v>
      </x:c>
    </x:row>
    <x:row r="69" ht="27" customHeight="1">
      <x:c r="A69" s="66" t="n">
        <x:v>68</x:v>
      </x:c>
      <x:c r="B69" s="66" t="str">
        <x:f>IF(INDEX($L$2:$L$127,MATCH(A69,$V$2:$V$127,0))="","",INDEX($L$2:$L$127,MATCH(A69,$V$2:$V$127,0)))</x:f>
        <x:v>兆信期权中性2号A类</x:v>
      </x:c>
      <x:c r="C69" s="66" t="str">
        <x:f>IF(INDEX($M$2:$M$127,MATCH(A69,$V$2:$V$127,0))="","",INDEX($M$2:$M$127,MATCH(A69,$V$2:$V$127,0)))</x:f>
        <x:v>TB977A</x:v>
      </x:c>
      <x:c r="D69" s="66" t="str">
        <x:f>IF(INDEX($N$2:$N$127,MATCH(A69,$V$2:$V$127,0))="","",INDEX($N$2:$N$127,MATCH(A69,$V$2:$V$127,0)))</x:f>
        <x:v>江苏兆信</x:v>
      </x:c>
      <x:c r="E69" s="66" t="str">
        <x:f>IF(INDEX($O$2:$O$127,MATCH(A69,$V$2:$V$127,0))="","",INDEX($O$2:$O$127,MATCH(A69,$V$2:$V$127,0)))</x:f>
        <x:v>20-50亿元</x:v>
      </x:c>
      <x:c r="F69" s="77" t="str">
        <x:f>IF(INDEX($P$2:$P$127,MATCH(A69,$V$2:$V$127,0))="","",INDEX($P$2:$P$127,MATCH(A69,$V$2:$V$127,0)))</x:f>
      </x:c>
      <x:c r="G69" s="77" t="n">
        <x:f>IF(INDEX($Q$2:$Q$127,MATCH(A69,$V$2:$V$127,0))="","",INDEX($Q$2:$Q$127,MATCH(A69,$V$2:$V$127,0)))</x:f>
        <x:v>61.34</x:v>
      </x:c>
      <x:c r="H69" s="78" t="n">
        <x:f>IF(INDEX($R$2:$R$127,MATCH(A69,$V$2:$V$127,0))="","",INDEX($R$2:$R$127,MATCH(A69,$V$2:$V$127,0)))</x:f>
        <x:v>0.9550000000000001</x:v>
      </x:c>
      <x:c r="I69" s="66" t="str">
        <x:f>IF(INDEX($S$2:$S$127,MATCH(A69,$V$2:$V$127,0))="","",INDEX($S$2:$S$127,MATCH(A69,$V$2:$V$127,0)))</x:f>
        <x:v>本次公示未见相关记录</x:v>
      </x:c>
      <x:c r="J69" s="66" t="str">
        <x:f>IF(INDEX($T$2:$T$127,MATCH(A69,$V$2:$V$127,0))="","",INDEX($T$2:$T$127,MATCH(A69,$V$2:$V$127,0)))</x:f>
        <x:v>https://gs.amac.org.cn/amac-infodisc/res/pof/manager/101000002312.html</x:v>
      </x:c>
      <x:c r="K69" s="66" t="n">
        <x:f>IF(INDEX($U$2:$U$127,MATCH(A69,$V$2:$V$127,0))="","",INDEX($U$2:$U$127,MATCH(A69,$V$2:$V$127,0)))</x:f>
        <x:v>101</x:v>
      </x:c>
      <x:c r="L69" s="80" t="str">
        <x:v>致同稳健成长1期</x:v>
      </x:c>
      <x:c r="M69" s="80" t="str">
        <x:v>SEP459</x:v>
      </x:c>
      <x:c r="N69" s="80" t="str">
        <x:v>上海致同投资</x:v>
      </x:c>
      <x:c r="O69" s="80" t="str">
        <x:v>20-50亿元</x:v>
      </x:c>
      <x:c r="P69" s="81" t="str">
        <x:f>IF(ABS('sheet2-计算明细'!AQ131-1)&lt;0.00000001,'sheet2-计算明细'!AR131,"")</x:f>
      </x:c>
      <x:c r="Q69" s="81" t="n">
        <x:f>'sheet2-计算明细'!AS131</x:f>
        <x:v>80.42</x:v>
      </x:c>
      <x:c r="R69" s="82" t="n">
        <x:f>'sheet2-计算明细'!AQ131</x:f>
        <x:v>0.88</x:v>
      </x:c>
      <x:c r="S69" s="80" t="str">
        <x:v>监管警示函</x:v>
      </x:c>
      <x:c r="T69" s="80" t="str">
        <x:v>https://gs.amac.org.cn/amac-infodisc/res/pof/manager/101000004339.html</x:v>
      </x:c>
      <x:c r="U69" s="80" t="n">
        <x:f>'sheet2-计算明细'!AT131</x:f>
        <x:v>30</x:v>
      </x:c>
      <x:c r="V69" s="80" t="n">
        <x:f>COUNTIF($U$2:$U$127,"&lt;"&amp;U69)+1</x:f>
        <x:v>19</x:v>
      </x:c>
    </x:row>
    <x:row r="70" ht="27" customHeight="1">
      <x:c r="A70" s="66" t="n">
        <x:v>69</x:v>
      </x:c>
      <x:c r="B70" s="66" t="str">
        <x:f>IF(INDEX($L$2:$L$127,MATCH(A70,$V$2:$V$127,0))="","",INDEX($L$2:$L$127,MATCH(A70,$V$2:$V$127,0)))</x:f>
        <x:v>辉毅4号</x:v>
      </x:c>
      <x:c r="C70" s="66" t="str">
        <x:f>IF(INDEX($M$2:$M$127,MATCH(A70,$V$2:$V$127,0))="","",INDEX($M$2:$M$127,MATCH(A70,$V$2:$V$127,0)))</x:f>
        <x:v>SM4445</x:v>
      </x:c>
      <x:c r="D70" s="66" t="str">
        <x:f>IF(INDEX($N$2:$N$127,MATCH(A70,$V$2:$V$127,0))="","",INDEX($N$2:$N$127,MATCH(A70,$V$2:$V$127,0)))</x:f>
        <x:v>上海申毅投资</x:v>
      </x:c>
      <x:c r="E70" s="66" t="str">
        <x:f>IF(INDEX($O$2:$O$127,MATCH(A70,$V$2:$V$127,0))="","",INDEX($O$2:$O$127,MATCH(A70,$V$2:$V$127,0)))</x:f>
        <x:v>100亿元以上</x:v>
      </x:c>
      <x:c r="F70" s="77" t="n">
        <x:f>IF(INDEX($P$2:$P$127,MATCH(A70,$V$2:$V$127,0))="","",INDEX($P$2:$P$127,MATCH(A70,$V$2:$V$127,0)))</x:f>
        <x:v>61.160289999999996</x:v>
      </x:c>
      <x:c r="G70" s="77" t="n">
        <x:f>IF(INDEX($Q$2:$Q$127,MATCH(A70,$V$2:$V$127,0))="","",INDEX($Q$2:$Q$127,MATCH(A70,$V$2:$V$127,0)))</x:f>
        <x:v>61.16</x:v>
      </x:c>
      <x:c r="H70" s="78" t="n">
        <x:f>IF(INDEX($R$2:$R$127,MATCH(A70,$V$2:$V$127,0))="","",INDEX($R$2:$R$127,MATCH(A70,$V$2:$V$127,0)))</x:f>
        <x:v>1</x:v>
      </x:c>
      <x:c r="I70" s="66" t="str">
        <x:f>IF(INDEX($S$2:$S$127,MATCH(A70,$V$2:$V$127,0))="","",INDEX($S$2:$S$127,MATCH(A70,$V$2:$V$127,0)))</x:f>
        <x:v>本次公示未见相关记录</x:v>
      </x:c>
      <x:c r="J70" s="66" t="str">
        <x:f>IF(INDEX($T$2:$T$127,MATCH(A70,$V$2:$V$127,0))="","",INDEX($T$2:$T$127,MATCH(A70,$V$2:$V$127,0)))</x:f>
        <x:v>https://gs.amac.org.cn/amac-infodisc/res/pof/manager/101000000870.html</x:v>
      </x:c>
      <x:c r="K70" s="66" t="n">
        <x:f>IF(INDEX($U$2:$U$127,MATCH(A70,$V$2:$V$127,0))="","",INDEX($U$2:$U$127,MATCH(A70,$V$2:$V$127,0)))</x:f>
        <x:v>102</x:v>
      </x:c>
      <x:c r="L70" s="80" t="str">
        <x:v>晨乐佳享3号</x:v>
      </x:c>
      <x:c r="M70" s="80" t="str">
        <x:v>SEX105</x:v>
      </x:c>
      <x:c r="N70" s="80" t="str">
        <x:v>北京晨乐资管</x:v>
      </x:c>
      <x:c r="O70" s="80" t="str">
        <x:v>5-10亿元</x:v>
      </x:c>
      <x:c r="P70" s="81" t="n">
        <x:f>IF(ABS('sheet2-计算明细'!AQ133-1)&lt;0.00000001,'sheet2-计算明细'!AR133,"")</x:f>
        <x:v>27.515169999999998</x:v>
      </x:c>
      <x:c r="Q70" s="81" t="n">
        <x:f>'sheet2-计算明细'!AS133</x:f>
        <x:v>27.52</x:v>
      </x:c>
      <x:c r="R70" s="82" t="n">
        <x:f>'sheet2-计算明细'!AQ133</x:f>
        <x:v>1</x:v>
      </x:c>
      <x:c r="S70" s="80" t="str">
        <x:v>协会提示／报送异常</x:v>
      </x:c>
      <x:c r="T70" s="80" t="str">
        <x:v>https://gs.amac.org.cn/amac-infodisc/res/pof/manager/1701061825106751.html</x:v>
      </x:c>
      <x:c r="U70" s="80" t="n">
        <x:f>'sheet2-计算明细'!AT133</x:f>
        <x:v>198</x:v>
      </x:c>
      <x:c r="V70" s="80" t="n">
        <x:f>COUNTIF($U$2:$U$127,"&lt;"&amp;U70)+1</x:f>
        <x:v>124</x:v>
      </x:c>
    </x:row>
    <x:row r="71" ht="27" customHeight="1">
      <x:c r="A71" s="66" t="n">
        <x:v>70</x:v>
      </x:c>
      <x:c r="B71" s="66" t="str">
        <x:f>IF(INDEX($L$2:$L$127,MATCH(A71,$V$2:$V$127,0))="","",INDEX($L$2:$L$127,MATCH(A71,$V$2:$V$127,0)))</x:f>
        <x:v>盛泉恒元量化套利11号</x:v>
      </x:c>
      <x:c r="C71" s="66" t="str">
        <x:f>IF(INDEX($M$2:$M$127,MATCH(A71,$V$2:$V$127,0))="","",INDEX($M$2:$M$127,MATCH(A71,$V$2:$V$127,0)))</x:f>
        <x:v>SEX315</x:v>
      </x:c>
      <x:c r="D71" s="66" t="str">
        <x:f>IF(INDEX($N$2:$N$127,MATCH(A71,$V$2:$V$127,0))="","",INDEX($N$2:$N$127,MATCH(A71,$V$2:$V$127,0)))</x:f>
        <x:v>南京盛泉恒元投资</x:v>
      </x:c>
      <x:c r="E71" s="66" t="str">
        <x:f>IF(INDEX($O$2:$O$127,MATCH(A71,$V$2:$V$127,0))="","",INDEX($O$2:$O$127,MATCH(A71,$V$2:$V$127,0)))</x:f>
        <x:v>100亿元以上</x:v>
      </x:c>
      <x:c r="F71" s="77" t="n">
        <x:f>IF(INDEX($P$2:$P$127,MATCH(A71,$V$2:$V$127,0))="","",INDEX($P$2:$P$127,MATCH(A71,$V$2:$V$127,0)))</x:f>
        <x:v>60.96347</x:v>
      </x:c>
      <x:c r="G71" s="77" t="n">
        <x:f>IF(INDEX($Q$2:$Q$127,MATCH(A71,$V$2:$V$127,0))="","",INDEX($Q$2:$Q$127,MATCH(A71,$V$2:$V$127,0)))</x:f>
        <x:v>60.96</x:v>
      </x:c>
      <x:c r="H71" s="78" t="n">
        <x:f>IF(INDEX($R$2:$R$127,MATCH(A71,$V$2:$V$127,0))="","",INDEX($R$2:$R$127,MATCH(A71,$V$2:$V$127,0)))</x:f>
        <x:v>1</x:v>
      </x:c>
      <x:c r="I71" s="66" t="str">
        <x:f>IF(INDEX($S$2:$S$127,MATCH(A71,$V$2:$V$127,0))="","",INDEX($S$2:$S$127,MATCH(A71,$V$2:$V$127,0)))</x:f>
        <x:v>本次公示未见相关记录</x:v>
      </x:c>
      <x:c r="J71" s="66" t="str">
        <x:f>IF(INDEX($T$2:$T$127,MATCH(A71,$V$2:$V$127,0))="","",INDEX($T$2:$T$127,MATCH(A71,$V$2:$V$127,0)))</x:f>
        <x:v>https://gs.amac.org.cn/amac-infodisc/res/pof/manager/101000008304.html</x:v>
      </x:c>
      <x:c r="K71" s="66" t="n">
        <x:f>IF(INDEX($U$2:$U$127,MATCH(A71,$V$2:$V$127,0))="","",INDEX($U$2:$U$127,MATCH(A71,$V$2:$V$127,0)))</x:f>
        <x:v>103</x:v>
      </x:c>
      <x:c r="L71" s="80" t="str">
        <x:v>盛泉恒元量化套利11号</x:v>
      </x:c>
      <x:c r="M71" s="80" t="str">
        <x:v>SEX315</x:v>
      </x:c>
      <x:c r="N71" s="80" t="str">
        <x:v>南京盛泉恒元投资</x:v>
      </x:c>
      <x:c r="O71" s="80" t="str">
        <x:v>100亿元以上</x:v>
      </x:c>
      <x:c r="P71" s="81" t="n">
        <x:f>IF(ABS('sheet2-计算明细'!AQ134-1)&lt;0.00000001,'sheet2-计算明细'!AR134,"")</x:f>
        <x:v>60.96347</x:v>
      </x:c>
      <x:c r="Q71" s="81" t="n">
        <x:f>'sheet2-计算明细'!AS134</x:f>
        <x:v>60.96</x:v>
      </x:c>
      <x:c r="R71" s="82" t="n">
        <x:f>'sheet2-计算明细'!AQ134</x:f>
        <x:v>1</x:v>
      </x:c>
      <x:c r="S71" s="80" t="str">
        <x:v>本次公示未见相关记录</x:v>
      </x:c>
      <x:c r="T71" s="80" t="str">
        <x:v>https://gs.amac.org.cn/amac-infodisc/res/pof/manager/101000008304.html</x:v>
      </x:c>
      <x:c r="U71" s="80" t="n">
        <x:f>'sheet2-计算明细'!AT134</x:f>
        <x:v>103</x:v>
      </x:c>
      <x:c r="V71" s="80" t="n">
        <x:f>COUNTIF($U$2:$U$127,"&lt;"&amp;U71)+1</x:f>
        <x:v>70</x:v>
      </x:c>
    </x:row>
    <x:row r="72" ht="27" customHeight="1">
      <x:c r="A72" s="66" t="n">
        <x:v>71</x:v>
      </x:c>
      <x:c r="B72" s="66" t="str">
        <x:f>IF(INDEX($L$2:$L$127,MATCH(A72,$V$2:$V$127,0))="","",INDEX($L$2:$L$127,MATCH(A72,$V$2:$V$127,0)))</x:f>
        <x:v>鹿秀驯鹿二号</x:v>
      </x:c>
      <x:c r="C72" s="66" t="str">
        <x:f>IF(INDEX($M$2:$M$127,MATCH(A72,$V$2:$V$127,0))="","",INDEX($M$2:$M$127,MATCH(A72,$V$2:$V$127,0)))</x:f>
        <x:v>SGF269</x:v>
      </x:c>
      <x:c r="D72" s="66" t="str">
        <x:f>IF(INDEX($N$2:$N$127,MATCH(A72,$V$2:$V$127,0))="","",INDEX($N$2:$N$127,MATCH(A72,$V$2:$V$127,0)))</x:f>
        <x:v>青岛鹿秀投资</x:v>
      </x:c>
      <x:c r="E72" s="66" t="str">
        <x:f>IF(INDEX($O$2:$O$127,MATCH(A72,$V$2:$V$127,0))="","",INDEX($O$2:$O$127,MATCH(A72,$V$2:$V$127,0)))</x:f>
        <x:v>50-100亿元</x:v>
      </x:c>
      <x:c r="F72" s="77" t="n">
        <x:f>IF(INDEX($P$2:$P$127,MATCH(A72,$V$2:$V$127,0))="","",INDEX($P$2:$P$127,MATCH(A72,$V$2:$V$127,0)))</x:f>
        <x:v>60.82293</x:v>
      </x:c>
      <x:c r="G72" s="77" t="n">
        <x:f>IF(INDEX($Q$2:$Q$127,MATCH(A72,$V$2:$V$127,0))="","",INDEX($Q$2:$Q$127,MATCH(A72,$V$2:$V$127,0)))</x:f>
        <x:v>60.82</x:v>
      </x:c>
      <x:c r="H72" s="78" t="n">
        <x:f>IF(INDEX($R$2:$R$127,MATCH(A72,$V$2:$V$127,0))="","",INDEX($R$2:$R$127,MATCH(A72,$V$2:$V$127,0)))</x:f>
        <x:v>1</x:v>
      </x:c>
      <x:c r="I72" s="66" t="str">
        <x:f>IF(INDEX($S$2:$S$127,MATCH(A72,$V$2:$V$127,0))="","",INDEX($S$2:$S$127,MATCH(A72,$V$2:$V$127,0)))</x:f>
        <x:v>协会提示／报送异常</x:v>
      </x:c>
      <x:c r="J72" s="66" t="str">
        <x:f>IF(INDEX($T$2:$T$127,MATCH(A72,$V$2:$V$127,0))="","",INDEX($T$2:$T$127,MATCH(A72,$V$2:$V$127,0)))</x:f>
        <x:v>https://gs.amac.org.cn/amac-infodisc/res/pof/manager/1612231708101923.html</x:v>
      </x:c>
      <x:c r="K72" s="66" t="n">
        <x:f>IF(INDEX($U$2:$U$127,MATCH(A72,$V$2:$V$127,0))="","",INDEX($U$2:$U$127,MATCH(A72,$V$2:$V$127,0)))</x:f>
        <x:v>105</x:v>
      </x:c>
      <x:c r="L72" s="80" t="str">
        <x:v>殊馥兴义2号</x:v>
      </x:c>
      <x:c r="M72" s="80" t="str">
        <x:v>SGH592</x:v>
      </x:c>
      <x:c r="N72" s="80" t="str">
        <x:v>上海殊馥投资</x:v>
      </x:c>
      <x:c r="O72" s="80" t="str">
        <x:v>10-20亿元</x:v>
      </x:c>
      <x:c r="P72" s="81" t="str">
        <x:f>IF(ABS('sheet2-计算明细'!AQ135-1)&lt;0.00000001,'sheet2-计算明细'!AR135,"")</x:f>
      </x:c>
      <x:c r="Q72" s="81" t="n">
        <x:f>'sheet2-计算明细'!AS135</x:f>
        <x:v>75.55</x:v>
      </x:c>
      <x:c r="R72" s="82" t="n">
        <x:f>'sheet2-计算明细'!AQ135</x:f>
        <x:v>0.88</x:v>
      </x:c>
      <x:c r="S72" s="80" t="str">
        <x:v>协会提示／报送异常</x:v>
      </x:c>
      <x:c r="T72" s="80" t="str">
        <x:v>https://gs.amac.org.cn/amac-infodisc/res/pof/manager/101000042776.html</x:v>
      </x:c>
      <x:c r="U72" s="80" t="n">
        <x:f>'sheet2-计算明细'!AT135</x:f>
        <x:v>46</x:v>
      </x:c>
      <x:c r="V72" s="80" t="n">
        <x:f>COUNTIF($U$2:$U$127,"&lt;"&amp;U72)+1</x:f>
        <x:v>31</x:v>
      </x:c>
    </x:row>
    <x:row r="73" ht="27" customHeight="1">
      <x:c r="A73" s="66" t="n">
        <x:v>72</x:v>
      </x:c>
      <x:c r="B73" s="66" t="str">
        <x:f>IF(INDEX($L$2:$L$127,MATCH(A73,$V$2:$V$127,0))="","",INDEX($L$2:$L$127,MATCH(A73,$V$2:$V$127,0)))</x:f>
        <x:v>交叉智能-量化增强2号</x:v>
      </x:c>
      <x:c r="C73" s="66" t="str">
        <x:f>IF(INDEX($M$2:$M$127,MATCH(A73,$V$2:$V$127,0))="","",INDEX($M$2:$M$127,MATCH(A73,$V$2:$V$127,0)))</x:f>
        <x:v>SZD351</x:v>
      </x:c>
      <x:c r="D73" s="66" t="str">
        <x:f>IF(INDEX($N$2:$N$127,MATCH(A73,$V$2:$V$127,0))="","",INDEX($N$2:$N$127,MATCH(A73,$V$2:$V$127,0)))</x:f>
        <x:v>北京交叉智能</x:v>
      </x:c>
      <x:c r="E73" s="66" t="str">
        <x:f>IF(INDEX($O$2:$O$127,MATCH(A73,$V$2:$V$127,0))="","",INDEX($O$2:$O$127,MATCH(A73,$V$2:$V$127,0)))</x:f>
        <x:v>5-10亿元</x:v>
      </x:c>
      <x:c r="F73" s="77" t="n">
        <x:f>IF(INDEX($P$2:$P$127,MATCH(A73,$V$2:$V$127,0))="","",INDEX($P$2:$P$127,MATCH(A73,$V$2:$V$127,0)))</x:f>
        <x:v>60.72498999999999</x:v>
      </x:c>
      <x:c r="G73" s="77" t="n">
        <x:f>IF(INDEX($Q$2:$Q$127,MATCH(A73,$V$2:$V$127,0))="","",INDEX($Q$2:$Q$127,MATCH(A73,$V$2:$V$127,0)))</x:f>
        <x:v>60.72</x:v>
      </x:c>
      <x:c r="H73" s="78" t="n">
        <x:f>IF(INDEX($R$2:$R$127,MATCH(A73,$V$2:$V$127,0))="","",INDEX($R$2:$R$127,MATCH(A73,$V$2:$V$127,0)))</x:f>
        <x:v>1</x:v>
      </x:c>
      <x:c r="I73" s="66" t="str">
        <x:f>IF(INDEX($S$2:$S$127,MATCH(A73,$V$2:$V$127,0))="","",INDEX($S$2:$S$127,MATCH(A73,$V$2:$V$127,0)))</x:f>
        <x:v>本次公示未见相关记录</x:v>
      </x:c>
      <x:c r="J73" s="66" t="str">
        <x:f>IF(INDEX($T$2:$T$127,MATCH(A73,$V$2:$V$127,0))="","",INDEX($T$2:$T$127,MATCH(A73,$V$2:$V$127,0)))</x:f>
        <x:v>https://gs.amac.org.cn/amac-infodisc/res/pof/manager/2108121438108586.html</x:v>
      </x:c>
      <x:c r="K73" s="66" t="n">
        <x:f>IF(INDEX($U$2:$U$127,MATCH(A73,$V$2:$V$127,0))="","",INDEX($U$2:$U$127,MATCH(A73,$V$2:$V$127,0)))</x:f>
        <x:v>106</x:v>
      </x:c>
      <x:c r="L73" s="80" t="str">
        <x:v>平凡浩睿</x:v>
      </x:c>
      <x:c r="M73" s="80" t="str">
        <x:v>SJS890</x:v>
      </x:c>
      <x:c r="N73" s="80" t="str">
        <x:v>北京平凡</x:v>
      </x:c>
      <x:c r="O73" s="80" t="str">
        <x:v>50-100亿元</x:v>
      </x:c>
      <x:c r="P73" s="81" t="n">
        <x:f>IF(ABS('sheet2-计算明细'!AQ140-1)&lt;0.00000001,'sheet2-计算明细'!AR140,"")</x:f>
        <x:v>85.46762</x:v>
      </x:c>
      <x:c r="Q73" s="81" t="n">
        <x:f>'sheet2-计算明细'!AS140</x:f>
        <x:v>85.47</x:v>
      </x:c>
      <x:c r="R73" s="82" t="n">
        <x:f>'sheet2-计算明细'!AQ140</x:f>
        <x:v>1</x:v>
      </x:c>
      <x:c r="S73" s="80" t="str">
        <x:v>本次公示未见相关记录</x:v>
      </x:c>
      <x:c r="T73" s="80" t="str">
        <x:v>https://gs.amac.org.cn/amac-infodisc/res/pof/manager/101000030286.html</x:v>
      </x:c>
      <x:c r="U73" s="80" t="n">
        <x:f>'sheet2-计算明细'!AT140</x:f>
        <x:v>17</x:v>
      </x:c>
      <x:c r="V73" s="80" t="n">
        <x:f>COUNTIF($U$2:$U$127,"&lt;"&amp;U73)+1</x:f>
        <x:v>12</x:v>
      </x:c>
    </x:row>
    <x:row r="74" ht="27" customHeight="1">
      <x:c r="A74" s="66" t="n">
        <x:v>73</x:v>
      </x:c>
      <x:c r="B74" s="66" t="str">
        <x:f>IF(INDEX($L$2:$L$127,MATCH(A74,$V$2:$V$127,0))="","",INDEX($L$2:$L$127,MATCH(A74,$V$2:$V$127,0)))</x:f>
        <x:v>盛泉恒元量化套利12号专项</x:v>
      </x:c>
      <x:c r="C74" s="66" t="str">
        <x:f>IF(INDEX($M$2:$M$127,MATCH(A74,$V$2:$V$127,0))="","",INDEX($M$2:$M$127,MATCH(A74,$V$2:$V$127,0)))</x:f>
        <x:v>SEE184</x:v>
      </x:c>
      <x:c r="D74" s="66" t="str">
        <x:f>IF(INDEX($N$2:$N$127,MATCH(A74,$V$2:$V$127,0))="","",INDEX($N$2:$N$127,MATCH(A74,$V$2:$V$127,0)))</x:f>
        <x:v>南京盛泉恒元投资</x:v>
      </x:c>
      <x:c r="E74" s="66" t="str">
        <x:f>IF(INDEX($O$2:$O$127,MATCH(A74,$V$2:$V$127,0))="","",INDEX($O$2:$O$127,MATCH(A74,$V$2:$V$127,0)))</x:f>
        <x:v>100亿元以上</x:v>
      </x:c>
      <x:c r="F74" s="77" t="n">
        <x:f>IF(INDEX($P$2:$P$127,MATCH(A74,$V$2:$V$127,0))="","",INDEX($P$2:$P$127,MATCH(A74,$V$2:$V$127,0)))</x:f>
        <x:v>60.14579</x:v>
      </x:c>
      <x:c r="G74" s="77" t="n">
        <x:f>IF(INDEX($Q$2:$Q$127,MATCH(A74,$V$2:$V$127,0))="","",INDEX($Q$2:$Q$127,MATCH(A74,$V$2:$V$127,0)))</x:f>
        <x:v>60.15</x:v>
      </x:c>
      <x:c r="H74" s="78" t="n">
        <x:f>IF(INDEX($R$2:$R$127,MATCH(A74,$V$2:$V$127,0))="","",INDEX($R$2:$R$127,MATCH(A74,$V$2:$V$127,0)))</x:f>
        <x:v>1</x:v>
      </x:c>
      <x:c r="I74" s="66" t="str">
        <x:f>IF(INDEX($S$2:$S$127,MATCH(A74,$V$2:$V$127,0))="","",INDEX($S$2:$S$127,MATCH(A74,$V$2:$V$127,0)))</x:f>
        <x:v>本次公示未见相关记录</x:v>
      </x:c>
      <x:c r="J74" s="66" t="str">
        <x:f>IF(INDEX($T$2:$T$127,MATCH(A74,$V$2:$V$127,0))="","",INDEX($T$2:$T$127,MATCH(A74,$V$2:$V$127,0)))</x:f>
        <x:v>https://gs.amac.org.cn/amac-infodisc/res/pof/manager/101000008304.html</x:v>
      </x:c>
      <x:c r="K74" s="66" t="n">
        <x:f>IF(INDEX($U$2:$U$127,MATCH(A74,$V$2:$V$127,0))="","",INDEX($U$2:$U$127,MATCH(A74,$V$2:$V$127,0)))</x:f>
        <x:v>108</x:v>
      </x:c>
      <x:c r="L74" s="80" t="str">
        <x:v>博普日添月益</x:v>
      </x:c>
      <x:c r="M74" s="80" t="str">
        <x:v>SJW903</x:v>
      </x:c>
      <x:c r="N74" s="80" t="str">
        <x:v>深圳前海博普资管</x:v>
      </x:c>
      <x:c r="O74" s="80" t="str">
        <x:v>50-100亿元</x:v>
      </x:c>
      <x:c r="P74" s="81" t="n">
        <x:f>IF(ABS('sheet2-计算明细'!AQ141-1)&lt;0.00000001,'sheet2-计算明细'!AR141,"")</x:f>
        <x:v>74.31559</x:v>
      </x:c>
      <x:c r="Q74" s="81" t="n">
        <x:f>'sheet2-计算明细'!AS141</x:f>
        <x:v>74.32</x:v>
      </x:c>
      <x:c r="R74" s="82" t="n">
        <x:f>'sheet2-计算明细'!AQ141</x:f>
        <x:v>1</x:v>
      </x:c>
      <x:c r="S74" s="80" t="str">
        <x:v>本次公示未见相关记录</x:v>
      </x:c>
      <x:c r="T74" s="80" t="str">
        <x:v>https://gs.amac.org.cn/amac-infodisc/res/pof/manager/1709041706102598.html</x:v>
      </x:c>
      <x:c r="U74" s="80" t="n">
        <x:f>'sheet2-计算明细'!AT141</x:f>
        <x:v>51</x:v>
      </x:c>
      <x:c r="V74" s="80" t="n">
        <x:f>COUNTIF($U$2:$U$127,"&lt;"&amp;U74)+1</x:f>
        <x:v>35</x:v>
      </x:c>
    </x:row>
    <x:row r="75" ht="27" customHeight="1">
      <x:c r="A75" s="66" t="n">
        <x:v>74</x:v>
      </x:c>
      <x:c r="B75" s="66" t="str">
        <x:f>IF(INDEX($L$2:$L$127,MATCH(A75,$V$2:$V$127,0))="","",INDEX($L$2:$L$127,MATCH(A75,$V$2:$V$127,0)))</x:f>
        <x:v>晨翰6号</x:v>
      </x:c>
      <x:c r="C75" s="66" t="str">
        <x:f>IF(INDEX($M$2:$M$127,MATCH(A75,$V$2:$V$127,0))="","",INDEX($M$2:$M$127,MATCH(A75,$V$2:$V$127,0)))</x:f>
        <x:v>STS460</x:v>
      </x:c>
      <x:c r="D75" s="66" t="str">
        <x:f>IF(INDEX($N$2:$N$127,MATCH(A75,$V$2:$V$127,0))="","",INDEX($N$2:$N$127,MATCH(A75,$V$2:$V$127,0)))</x:f>
        <x:v>晋江晨翰</x:v>
      </x:c>
      <x:c r="E75" s="66" t="str">
        <x:f>IF(INDEX($O$2:$O$127,MATCH(A75,$V$2:$V$127,0))="","",INDEX($O$2:$O$127,MATCH(A75,$V$2:$V$127,0)))</x:f>
        <x:v>5-10亿元</x:v>
      </x:c>
      <x:c r="F75" s="77" t="str">
        <x:f>IF(INDEX($P$2:$P$127,MATCH(A75,$V$2:$V$127,0))="","",INDEX($P$2:$P$127,MATCH(A75,$V$2:$V$127,0)))</x:f>
      </x:c>
      <x:c r="G75" s="77" t="n">
        <x:f>IF(INDEX($Q$2:$Q$127,MATCH(A75,$V$2:$V$127,0))="","",INDEX($Q$2:$Q$127,MATCH(A75,$V$2:$V$127,0)))</x:f>
        <x:v>60.11</x:v>
      </x:c>
      <x:c r="H75" s="78" t="n">
        <x:f>IF(INDEX($R$2:$R$127,MATCH(A75,$V$2:$V$127,0))="","",INDEX($R$2:$R$127,MATCH(A75,$V$2:$V$127,0)))</x:f>
        <x:v>0.88</x:v>
      </x:c>
      <x:c r="I75" s="66" t="str">
        <x:f>IF(INDEX($S$2:$S$127,MATCH(A75,$V$2:$V$127,0))="","",INDEX($S$2:$S$127,MATCH(A75,$V$2:$V$127,0)))</x:f>
        <x:v>本次公示未见相关记录</x:v>
      </x:c>
      <x:c r="J75" s="66" t="str">
        <x:f>IF(INDEX($T$2:$T$127,MATCH(A75,$V$2:$V$127,0))="","",INDEX($T$2:$T$127,MATCH(A75,$V$2:$V$127,0)))</x:f>
        <x:v>https://gs.amac.org.cn/amac-infodisc/res/pof/manager/2002211754119480.html</x:v>
      </x:c>
      <x:c r="K75" s="66" t="n">
        <x:f>IF(INDEX($U$2:$U$127,MATCH(A75,$V$2:$V$127,0))="","",INDEX($U$2:$U$127,MATCH(A75,$V$2:$V$127,0)))</x:f>
        <x:v>109</x:v>
      </x:c>
      <x:c r="L75" s="80" t="str">
        <x:v>鸣熙资产-招享套利1号</x:v>
      </x:c>
      <x:c r="M75" s="80" t="str">
        <x:v>SJZ381</x:v>
      </x:c>
      <x:c r="N75" s="80" t="str">
        <x:v>鸣熙资本</x:v>
      </x:c>
      <x:c r="O75" s="80" t="str">
        <x:v>100亿元以上</x:v>
      </x:c>
      <x:c r="P75" s="81" t="str">
        <x:f>IF(ABS('sheet2-计算明细'!AQ142-1)&lt;0.00000001,'sheet2-计算明细'!AR142,"")</x:f>
      </x:c>
      <x:c r="Q75" s="81" t="n">
        <x:f>'sheet2-计算明细'!AS142</x:f>
        <x:v>82.31</x:v>
      </x:c>
      <x:c r="R75" s="82" t="n">
        <x:f>'sheet2-计算明细'!AQ142</x:f>
        <x:v>0.856</x:v>
      </x:c>
      <x:c r="S75" s="80" t="str">
        <x:v>本次公示未见相关记录</x:v>
      </x:c>
      <x:c r="T75" s="80" t="str">
        <x:v>https://gs.amac.org.cn/amac-infodisc/res/pof/manager/101000039347.html</x:v>
      </x:c>
      <x:c r="U75" s="80" t="n">
        <x:f>'sheet2-计算明细'!AT142</x:f>
        <x:v>25</x:v>
      </x:c>
      <x:c r="V75" s="80" t="n">
        <x:f>COUNTIF($U$2:$U$127,"&lt;"&amp;U75)+1</x:f>
        <x:v>16</x:v>
      </x:c>
    </x:row>
    <x:row r="76" ht="27" customHeight="1">
      <x:c r="A76" s="66" t="n">
        <x:v>75</x:v>
      </x:c>
      <x:c r="B76" s="66" t="str">
        <x:f>IF(INDEX($L$2:$L$127,MATCH(A76,$V$2:$V$127,0))="","",INDEX($L$2:$L$127,MATCH(A76,$V$2:$V$127,0)))</x:f>
        <x:v>盛泉恒元量化套利27号</x:v>
      </x:c>
      <x:c r="C76" s="66" t="str">
        <x:f>IF(INDEX($M$2:$M$127,MATCH(A76,$V$2:$V$127,0))="","",INDEX($M$2:$M$127,MATCH(A76,$V$2:$V$127,0)))</x:f>
        <x:v>SJY718</x:v>
      </x:c>
      <x:c r="D76" s="66" t="str">
        <x:f>IF(INDEX($N$2:$N$127,MATCH(A76,$V$2:$V$127,0))="","",INDEX($N$2:$N$127,MATCH(A76,$V$2:$V$127,0)))</x:f>
        <x:v>南京盛泉恒元投资</x:v>
      </x:c>
      <x:c r="E76" s="66" t="str">
        <x:f>IF(INDEX($O$2:$O$127,MATCH(A76,$V$2:$V$127,0))="","",INDEX($O$2:$O$127,MATCH(A76,$V$2:$V$127,0)))</x:f>
        <x:v>100亿元以上</x:v>
      </x:c>
      <x:c r="F76" s="77" t="n">
        <x:f>IF(INDEX($P$2:$P$127,MATCH(A76,$V$2:$V$127,0))="","",INDEX($P$2:$P$127,MATCH(A76,$V$2:$V$127,0)))</x:f>
        <x:v>59.81615</x:v>
      </x:c>
      <x:c r="G76" s="77" t="n">
        <x:f>IF(INDEX($Q$2:$Q$127,MATCH(A76,$V$2:$V$127,0))="","",INDEX($Q$2:$Q$127,MATCH(A76,$V$2:$V$127,0)))</x:f>
        <x:v>59.82</x:v>
      </x:c>
      <x:c r="H76" s="78" t="n">
        <x:f>IF(INDEX($R$2:$R$127,MATCH(A76,$V$2:$V$127,0))="","",INDEX($R$2:$R$127,MATCH(A76,$V$2:$V$127,0)))</x:f>
        <x:v>1</x:v>
      </x:c>
      <x:c r="I76" s="66" t="str">
        <x:f>IF(INDEX($S$2:$S$127,MATCH(A76,$V$2:$V$127,0))="","",INDEX($S$2:$S$127,MATCH(A76,$V$2:$V$127,0)))</x:f>
        <x:v>本次公示未见相关记录</x:v>
      </x:c>
      <x:c r="J76" s="66" t="str">
        <x:f>IF(INDEX($T$2:$T$127,MATCH(A76,$V$2:$V$127,0))="","",INDEX($T$2:$T$127,MATCH(A76,$V$2:$V$127,0)))</x:f>
        <x:v>https://gs.amac.org.cn/amac-infodisc/res/pof/manager/101000008304.html</x:v>
      </x:c>
      <x:c r="K76" s="66" t="n">
        <x:f>IF(INDEX($U$2:$U$127,MATCH(A76,$V$2:$V$127,0))="","",INDEX($U$2:$U$127,MATCH(A76,$V$2:$V$127,0)))</x:f>
        <x:v>110</x:v>
      </x:c>
      <x:c r="L76" s="80" t="str">
        <x:v>盛冠达量化套利6号</x:v>
      </x:c>
      <x:c r="M76" s="80" t="str">
        <x:v>SJZ209</x:v>
      </x:c>
      <x:c r="N76" s="80" t="str">
        <x:v>海南盛冠达</x:v>
      </x:c>
      <x:c r="O76" s="80" t="str">
        <x:v>20-50亿元</x:v>
      </x:c>
      <x:c r="P76" s="81" t="n">
        <x:f>IF(ABS('sheet2-计算明细'!AQ143-1)&lt;0.00000001,'sheet2-计算明细'!AR143,"")</x:f>
        <x:v>57.250159999999994</x:v>
      </x:c>
      <x:c r="Q76" s="81" t="n">
        <x:f>'sheet2-计算明细'!AS143</x:f>
        <x:v>57.25</x:v>
      </x:c>
      <x:c r="R76" s="82" t="n">
        <x:f>'sheet2-计算明细'!AQ143</x:f>
        <x:v>1</x:v>
      </x:c>
      <x:c r="S76" s="80" t="str">
        <x:v>本次公示未见相关记录</x:v>
      </x:c>
      <x:c r="T76" s="80" t="str">
        <x:v>https://gs.amac.org.cn/amac-infodisc/res/pof/manager/101000001663.html</x:v>
      </x:c>
      <x:c r="U76" s="80" t="n">
        <x:f>'sheet2-计算明细'!AT143</x:f>
        <x:v>120</x:v>
      </x:c>
      <x:c r="V76" s="80" t="n">
        <x:f>COUNTIF($U$2:$U$127,"&lt;"&amp;U76)+1</x:f>
        <x:v>84</x:v>
      </x:c>
    </x:row>
    <x:row r="77" ht="27" customHeight="1">
      <x:c r="A77" s="66" t="n">
        <x:v>76</x:v>
      </x:c>
      <x:c r="B77" s="66" t="str">
        <x:f>IF(INDEX($L$2:$L$127,MATCH(A77,$V$2:$V$127,0))="","",INDEX($L$2:$L$127,MATCH(A77,$V$2:$V$127,0)))</x:f>
        <x:v>兆信股指期货期权套利1号A类</x:v>
      </x:c>
      <x:c r="C77" s="66" t="str">
        <x:f>IF(INDEX($M$2:$M$127,MATCH(A77,$V$2:$V$127,0))="","",INDEX($M$2:$M$127,MATCH(A77,$V$2:$V$127,0)))</x:f>
        <x:v>XN023A</x:v>
      </x:c>
      <x:c r="D77" s="66" t="str">
        <x:f>IF(INDEX($N$2:$N$127,MATCH(A77,$V$2:$V$127,0))="","",INDEX($N$2:$N$127,MATCH(A77,$V$2:$V$127,0)))</x:f>
        <x:v>江苏兆信</x:v>
      </x:c>
      <x:c r="E77" s="66" t="str">
        <x:f>IF(INDEX($O$2:$O$127,MATCH(A77,$V$2:$V$127,0))="","",INDEX($O$2:$O$127,MATCH(A77,$V$2:$V$127,0)))</x:f>
        <x:v>20-50亿元</x:v>
      </x:c>
      <x:c r="F77" s="77" t="str">
        <x:f>IF(INDEX($P$2:$P$127,MATCH(A77,$V$2:$V$127,0))="","",INDEX($P$2:$P$127,MATCH(A77,$V$2:$V$127,0)))</x:f>
      </x:c>
      <x:c r="G77" s="77" t="n">
        <x:f>IF(INDEX($Q$2:$Q$127,MATCH(A77,$V$2:$V$127,0))="","",INDEX($Q$2:$Q$127,MATCH(A77,$V$2:$V$127,0)))</x:f>
        <x:v>59.56</x:v>
      </x:c>
      <x:c r="H77" s="78" t="n">
        <x:f>IF(INDEX($R$2:$R$127,MATCH(A77,$V$2:$V$127,0))="","",INDEX($R$2:$R$127,MATCH(A77,$V$2:$V$127,0)))</x:f>
        <x:v>0.9550000000000001</x:v>
      </x:c>
      <x:c r="I77" s="66" t="str">
        <x:f>IF(INDEX($S$2:$S$127,MATCH(A77,$V$2:$V$127,0))="","",INDEX($S$2:$S$127,MATCH(A77,$V$2:$V$127,0)))</x:f>
        <x:v>本次公示未见相关记录</x:v>
      </x:c>
      <x:c r="J77" s="66" t="str">
        <x:f>IF(INDEX($T$2:$T$127,MATCH(A77,$V$2:$V$127,0))="","",INDEX($T$2:$T$127,MATCH(A77,$V$2:$V$127,0)))</x:f>
        <x:v>https://gs.amac.org.cn/amac-infodisc/res/pof/manager/101000002312.html</x:v>
      </x:c>
      <x:c r="K77" s="66" t="n">
        <x:f>IF(INDEX($U$2:$U$127,MATCH(A77,$V$2:$V$127,0))="","",INDEX($U$2:$U$127,MATCH(A77,$V$2:$V$127,0)))</x:f>
        <x:v>111</x:v>
      </x:c>
      <x:c r="L77" s="80" t="str">
        <x:v>盛泉恒元量化套利27号</x:v>
      </x:c>
      <x:c r="M77" s="80" t="str">
        <x:v>SJY718</x:v>
      </x:c>
      <x:c r="N77" s="80" t="str">
        <x:v>南京盛泉恒元投资</x:v>
      </x:c>
      <x:c r="O77" s="80" t="str">
        <x:v>100亿元以上</x:v>
      </x:c>
      <x:c r="P77" s="81" t="n">
        <x:f>IF(ABS('sheet2-计算明细'!AQ144-1)&lt;0.00000001,'sheet2-计算明细'!AR144,"")</x:f>
        <x:v>59.81615</x:v>
      </x:c>
      <x:c r="Q77" s="81" t="n">
        <x:f>'sheet2-计算明细'!AS144</x:f>
        <x:v>59.82</x:v>
      </x:c>
      <x:c r="R77" s="82" t="n">
        <x:f>'sheet2-计算明细'!AQ144</x:f>
        <x:v>1</x:v>
      </x:c>
      <x:c r="S77" s="80" t="str">
        <x:v>本次公示未见相关记录</x:v>
      </x:c>
      <x:c r="T77" s="80" t="str">
        <x:v>https://gs.amac.org.cn/amac-infodisc/res/pof/manager/101000008304.html</x:v>
      </x:c>
      <x:c r="U77" s="80" t="n">
        <x:f>'sheet2-计算明细'!AT144</x:f>
        <x:v>110</x:v>
      </x:c>
      <x:c r="V77" s="80" t="n">
        <x:f>COUNTIF($U$2:$U$127,"&lt;"&amp;U77)+1</x:f>
        <x:v>75</x:v>
      </x:c>
    </x:row>
    <x:row r="78" ht="27" customHeight="1">
      <x:c r="A78" s="66" t="n">
        <x:v>77</x:v>
      </x:c>
      <x:c r="B78" s="66" t="str">
        <x:f>IF(INDEX($L$2:$L$127,MATCH(A78,$V$2:$V$127,0))="","",INDEX($L$2:$L$127,MATCH(A78,$V$2:$V$127,0)))</x:f>
        <x:v>殊馥兴义8号</x:v>
      </x:c>
      <x:c r="C78" s="66" t="str">
        <x:f>IF(INDEX($M$2:$M$127,MATCH(A78,$V$2:$V$127,0))="","",INDEX($M$2:$M$127,MATCH(A78,$V$2:$V$127,0)))</x:f>
        <x:v>SZA394</x:v>
      </x:c>
      <x:c r="D78" s="66" t="str">
        <x:f>IF(INDEX($N$2:$N$127,MATCH(A78,$V$2:$V$127,0))="","",INDEX($N$2:$N$127,MATCH(A78,$V$2:$V$127,0)))</x:f>
        <x:v>上海殊馥投资</x:v>
      </x:c>
      <x:c r="E78" s="66" t="str">
        <x:f>IF(INDEX($O$2:$O$127,MATCH(A78,$V$2:$V$127,0))="","",INDEX($O$2:$O$127,MATCH(A78,$V$2:$V$127,0)))</x:f>
        <x:v>10-20亿元</x:v>
      </x:c>
      <x:c r="F78" s="77" t="n">
        <x:f>IF(INDEX($P$2:$P$127,MATCH(A78,$V$2:$V$127,0))="","",INDEX($P$2:$P$127,MATCH(A78,$V$2:$V$127,0)))</x:f>
        <x:v>59.444700000000005</x:v>
      </x:c>
      <x:c r="G78" s="77" t="n">
        <x:f>IF(INDEX($Q$2:$Q$127,MATCH(A78,$V$2:$V$127,0))="","",INDEX($Q$2:$Q$127,MATCH(A78,$V$2:$V$127,0)))</x:f>
        <x:v>59.44</x:v>
      </x:c>
      <x:c r="H78" s="78" t="n">
        <x:f>IF(INDEX($R$2:$R$127,MATCH(A78,$V$2:$V$127,0))="","",INDEX($R$2:$R$127,MATCH(A78,$V$2:$V$127,0)))</x:f>
        <x:v>1</x:v>
      </x:c>
      <x:c r="I78" s="66" t="str">
        <x:f>IF(INDEX($S$2:$S$127,MATCH(A78,$V$2:$V$127,0))="","",INDEX($S$2:$S$127,MATCH(A78,$V$2:$V$127,0)))</x:f>
        <x:v>协会提示／报送异常</x:v>
      </x:c>
      <x:c r="J78" s="66" t="str">
        <x:f>IF(INDEX($T$2:$T$127,MATCH(A78,$V$2:$V$127,0))="","",INDEX($T$2:$T$127,MATCH(A78,$V$2:$V$127,0)))</x:f>
        <x:v>https://gs.amac.org.cn/amac-infodisc/res/pof/manager/101000042776.html</x:v>
      </x:c>
      <x:c r="K78" s="66" t="n">
        <x:f>IF(INDEX($U$2:$U$127,MATCH(A78,$V$2:$V$127,0))="","",INDEX($U$2:$U$127,MATCH(A78,$V$2:$V$127,0)))</x:f>
        <x:v>112</x:v>
      </x:c>
      <x:c r="L78" s="80" t="str">
        <x:v>盛泉恒元量化套利31号</x:v>
      </x:c>
      <x:c r="M78" s="80" t="str">
        <x:v>SLM933</x:v>
      </x:c>
      <x:c r="N78" s="80" t="str">
        <x:v>南京盛泉恒元投资</x:v>
      </x:c>
      <x:c r="O78" s="80" t="str">
        <x:v>100亿元以上</x:v>
      </x:c>
      <x:c r="P78" s="81" t="n">
        <x:f>IF(ABS('sheet2-计算明细'!AQ147-1)&lt;0.00000001,'sheet2-计算明细'!AR147,"")</x:f>
        <x:v>57.79457</x:v>
      </x:c>
      <x:c r="Q78" s="81" t="n">
        <x:f>'sheet2-计算明细'!AS147</x:f>
        <x:v>57.79</x:v>
      </x:c>
      <x:c r="R78" s="82" t="n">
        <x:f>'sheet2-计算明细'!AQ147</x:f>
        <x:v>1</x:v>
      </x:c>
      <x:c r="S78" s="80" t="str">
        <x:v>本次公示未见相关记录</x:v>
      </x:c>
      <x:c r="T78" s="80" t="str">
        <x:v>https://gs.amac.org.cn/amac-infodisc/res/pof/manager/101000008304.html</x:v>
      </x:c>
      <x:c r="U78" s="80" t="n">
        <x:f>'sheet2-计算明细'!AT147</x:f>
        <x:v>117</x:v>
      </x:c>
      <x:c r="V78" s="80" t="n">
        <x:f>COUNTIF($U$2:$U$127,"&lt;"&amp;U78)+1</x:f>
        <x:v>82</x:v>
      </x:c>
    </x:row>
    <x:row r="79" ht="27" customHeight="1">
      <x:c r="A79" s="66" t="n">
        <x:v>78</x:v>
      </x:c>
      <x:c r="B79" s="66" t="str">
        <x:f>IF(INDEX($L$2:$L$127,MATCH(A79,$V$2:$V$127,0))="","",INDEX($L$2:$L$127,MATCH(A79,$V$2:$V$127,0)))</x:f>
        <x:v>兆信股指期货期权套利1号</x:v>
      </x:c>
      <x:c r="C79" s="66" t="str">
        <x:f>IF(INDEX($M$2:$M$127,MATCH(A79,$V$2:$V$127,0))="","",INDEX($M$2:$M$127,MATCH(A79,$V$2:$V$127,0)))</x:f>
        <x:v>SXN023</x:v>
      </x:c>
      <x:c r="D79" s="66" t="str">
        <x:f>IF(INDEX($N$2:$N$127,MATCH(A79,$V$2:$V$127,0))="","",INDEX($N$2:$N$127,MATCH(A79,$V$2:$V$127,0)))</x:f>
        <x:v>江苏兆信</x:v>
      </x:c>
      <x:c r="E79" s="66" t="str">
        <x:f>IF(INDEX($O$2:$O$127,MATCH(A79,$V$2:$V$127,0))="","",INDEX($O$2:$O$127,MATCH(A79,$V$2:$V$127,0)))</x:f>
        <x:v>20-50亿元</x:v>
      </x:c>
      <x:c r="F79" s="77" t="str">
        <x:f>IF(INDEX($P$2:$P$127,MATCH(A79,$V$2:$V$127,0))="","",INDEX($P$2:$P$127,MATCH(A79,$V$2:$V$127,0)))</x:f>
      </x:c>
      <x:c r="G79" s="77" t="n">
        <x:f>IF(INDEX($Q$2:$Q$127,MATCH(A79,$V$2:$V$127,0))="","",INDEX($Q$2:$Q$127,MATCH(A79,$V$2:$V$127,0)))</x:f>
        <x:v>59.01</x:v>
      </x:c>
      <x:c r="H79" s="78" t="n">
        <x:f>IF(INDEX($R$2:$R$127,MATCH(A79,$V$2:$V$127,0))="","",INDEX($R$2:$R$127,MATCH(A79,$V$2:$V$127,0)))</x:f>
        <x:v>0.88</x:v>
      </x:c>
      <x:c r="I79" s="66" t="str">
        <x:f>IF(INDEX($S$2:$S$127,MATCH(A79,$V$2:$V$127,0))="","",INDEX($S$2:$S$127,MATCH(A79,$V$2:$V$127,0)))</x:f>
        <x:v>本次公示未见相关记录</x:v>
      </x:c>
      <x:c r="J79" s="66" t="str">
        <x:f>IF(INDEX($T$2:$T$127,MATCH(A79,$V$2:$V$127,0))="","",INDEX($T$2:$T$127,MATCH(A79,$V$2:$V$127,0)))</x:f>
        <x:v>https://gs.amac.org.cn/amac-infodisc/res/pof/manager/101000002312.html</x:v>
      </x:c>
      <x:c r="K79" s="66" t="n">
        <x:f>IF(INDEX($U$2:$U$127,MATCH(A79,$V$2:$V$127,0))="","",INDEX($U$2:$U$127,MATCH(A79,$V$2:$V$127,0)))</x:f>
        <x:v>113</x:v>
      </x:c>
      <x:c r="L79" s="80" t="str">
        <x:v>俊丹湾谷二号</x:v>
      </x:c>
      <x:c r="M79" s="80" t="str">
        <x:v>SLQ627</x:v>
      </x:c>
      <x:c r="N79" s="80" t="str">
        <x:v>上海俊丹</x:v>
      </x:c>
      <x:c r="O79" s="80" t="str">
        <x:v>10-20亿元</x:v>
      </x:c>
      <x:c r="P79" s="81" t="str">
        <x:f>IF(ABS('sheet2-计算明细'!AQ148-1)&lt;0.00000001,'sheet2-计算明细'!AR148,"")</x:f>
      </x:c>
      <x:c r="Q79" s="81" t="n">
        <x:f>'sheet2-计算明细'!AS148</x:f>
        <x:v>72.24</x:v>
      </x:c>
      <x:c r="R79" s="82" t="n">
        <x:f>'sheet2-计算明细'!AQ148</x:f>
        <x:v>0.88</x:v>
      </x:c>
      <x:c r="S79" s="80" t="str">
        <x:v>本次公示未见相关记录</x:v>
      </x:c>
      <x:c r="T79" s="80" t="str">
        <x:v>https://gs.amac.org.cn/amac-infodisc/res/pof/manager/1907181104109037.html</x:v>
      </x:c>
      <x:c r="U79" s="80" t="n">
        <x:f>'sheet2-计算明细'!AT148</x:f>
        <x:v>60</x:v>
      </x:c>
      <x:c r="V79" s="80" t="n">
        <x:f>COUNTIF($U$2:$U$127,"&lt;"&amp;U79)+1</x:f>
        <x:v>42</x:v>
      </x:c>
    </x:row>
    <x:row r="80" ht="27" customHeight="1">
      <x:c r="A80" s="66" t="n">
        <x:v>79</x:v>
      </x:c>
      <x:c r="B80" s="66" t="str">
        <x:f>IF(INDEX($L$2:$L$127,MATCH(A80,$V$2:$V$127,0))="","",INDEX($L$2:$L$127,MATCH(A80,$V$2:$V$127,0)))</x:f>
        <x:v>宣夜投资涓流二号</x:v>
      </x:c>
      <x:c r="C80" s="66" t="str">
        <x:f>IF(INDEX($M$2:$M$127,MATCH(A80,$V$2:$V$127,0))="","",INDEX($M$2:$M$127,MATCH(A80,$V$2:$V$127,0)))</x:f>
        <x:v>SQL764</x:v>
      </x:c>
      <x:c r="D80" s="66" t="str">
        <x:f>IF(INDEX($N$2:$N$127,MATCH(A80,$V$2:$V$127,0))="","",INDEX($N$2:$N$127,MATCH(A80,$V$2:$V$127,0)))</x:f>
        <x:v>上海宣夜投资</x:v>
      </x:c>
      <x:c r="E80" s="66" t="str">
        <x:f>IF(INDEX($O$2:$O$127,MATCH(A80,$V$2:$V$127,0))="","",INDEX($O$2:$O$127,MATCH(A80,$V$2:$V$127,0)))</x:f>
        <x:v>20-50亿元</x:v>
      </x:c>
      <x:c r="F80" s="77" t="str">
        <x:f>IF(INDEX($P$2:$P$127,MATCH(A80,$V$2:$V$127,0))="","",INDEX($P$2:$P$127,MATCH(A80,$V$2:$V$127,0)))</x:f>
      </x:c>
      <x:c r="G80" s="77" t="n">
        <x:f>IF(INDEX($Q$2:$Q$127,MATCH(A80,$V$2:$V$127,0))="","",INDEX($Q$2:$Q$127,MATCH(A80,$V$2:$V$127,0)))</x:f>
        <x:v>58.88</x:v>
      </x:c>
      <x:c r="H80" s="78" t="n">
        <x:f>IF(INDEX($R$2:$R$127,MATCH(A80,$V$2:$V$127,0))="","",INDEX($R$2:$R$127,MATCH(A80,$V$2:$V$127,0)))</x:f>
        <x:v>0.88</x:v>
      </x:c>
      <x:c r="I80" s="66" t="str">
        <x:f>IF(INDEX($S$2:$S$127,MATCH(A80,$V$2:$V$127,0))="","",INDEX($S$2:$S$127,MATCH(A80,$V$2:$V$127,0)))</x:f>
        <x:v>协会提示／报送异常</x:v>
      </x:c>
      <x:c r="J80" s="66" t="str">
        <x:f>IF(INDEX($T$2:$T$127,MATCH(A80,$V$2:$V$127,0))="","",INDEX($T$2:$T$127,MATCH(A80,$V$2:$V$127,0)))</x:f>
        <x:v>https://gs.amac.org.cn/amac-infodisc/res/pof/manager/1609130947110564.html</x:v>
      </x:c>
      <x:c r="K80" s="66" t="n">
        <x:f>IF(INDEX($U$2:$U$127,MATCH(A80,$V$2:$V$127,0))="","",INDEX($U$2:$U$127,MATCH(A80,$V$2:$V$127,0)))</x:f>
        <x:v>114</x:v>
      </x:c>
      <x:c r="L80" s="80" t="str">
        <x:v>多打粮磬晟</x:v>
      </x:c>
      <x:c r="M80" s="80" t="str">
        <x:v>SNF235</x:v>
      </x:c>
      <x:c r="N80" s="80" t="str">
        <x:v>上海磬晟</x:v>
      </x:c>
      <x:c r="O80" s="80" t="str">
        <x:v>5-10亿元</x:v>
      </x:c>
      <x:c r="P80" s="81" t="n">
        <x:f>IF(ABS('sheet2-计算明细'!AQ150-1)&lt;0.00000001,'sheet2-计算明细'!AR150,"")</x:f>
        <x:v>37.79133</x:v>
      </x:c>
      <x:c r="Q80" s="81" t="n">
        <x:f>'sheet2-计算明细'!AS150</x:f>
        <x:v>37.79</x:v>
      </x:c>
      <x:c r="R80" s="82" t="n">
        <x:f>'sheet2-计算明细'!AQ150</x:f>
        <x:v>1</x:v>
      </x:c>
      <x:c r="S80" s="80" t="str">
        <x:v>本次公示未见相关记录</x:v>
      </x:c>
      <x:c r="T80" s="80" t="str">
        <x:v>https://gs.amac.org.cn/amac-infodisc/res/pof/manager/1612231709103386.html</x:v>
      </x:c>
      <x:c r="U80" s="80" t="n">
        <x:f>'sheet2-计算明细'!AT150</x:f>
        <x:v>178</x:v>
      </x:c>
      <x:c r="V80" s="80" t="n">
        <x:f>COUNTIF($U$2:$U$127,"&lt;"&amp;U80)+1</x:f>
        <x:v>115</x:v>
      </x:c>
    </x:row>
    <x:row r="81" ht="27" customHeight="1">
      <x:c r="A81" s="66" t="n">
        <x:v>80</x:v>
      </x:c>
      <x:c r="B81" s="66" t="str">
        <x:f>IF(INDEX($L$2:$L$127,MATCH(A81,$V$2:$V$127,0))="","",INDEX($L$2:$L$127,MATCH(A81,$V$2:$V$127,0)))</x:f>
        <x:v>悬铃C号9期</x:v>
      </x:c>
      <x:c r="C81" s="66" t="str">
        <x:f>IF(INDEX($M$2:$M$127,MATCH(A81,$V$2:$V$127,0))="","",INDEX($M$2:$M$127,MATCH(A81,$V$2:$V$127,0)))</x:f>
        <x:v>SVH343</x:v>
      </x:c>
      <x:c r="D81" s="66" t="str">
        <x:f>IF(INDEX($N$2:$N$127,MATCH(A81,$V$2:$V$127,0))="","",INDEX($N$2:$N$127,MATCH(A81,$V$2:$V$127,0)))</x:f>
        <x:v>上海悬铃</x:v>
      </x:c>
      <x:c r="E81" s="66" t="str">
        <x:f>IF(INDEX($O$2:$O$127,MATCH(A81,$V$2:$V$127,0))="","",INDEX($O$2:$O$127,MATCH(A81,$V$2:$V$127,0)))</x:f>
        <x:v>20-50亿元</x:v>
      </x:c>
      <x:c r="F81" s="77" t="n">
        <x:f>IF(INDEX($P$2:$P$127,MATCH(A81,$V$2:$V$127,0))="","",INDEX($P$2:$P$127,MATCH(A81,$V$2:$V$127,0)))</x:f>
        <x:v>58.58733</x:v>
      </x:c>
      <x:c r="G81" s="77" t="n">
        <x:f>IF(INDEX($Q$2:$Q$127,MATCH(A81,$V$2:$V$127,0))="","",INDEX($Q$2:$Q$127,MATCH(A81,$V$2:$V$127,0)))</x:f>
        <x:v>58.59</x:v>
      </x:c>
      <x:c r="H81" s="78" t="n">
        <x:f>IF(INDEX($R$2:$R$127,MATCH(A81,$V$2:$V$127,0))="","",INDEX($R$2:$R$127,MATCH(A81,$V$2:$V$127,0)))</x:f>
        <x:v>1</x:v>
      </x:c>
      <x:c r="I81" s="66" t="str">
        <x:f>IF(INDEX($S$2:$S$127,MATCH(A81,$V$2:$V$127,0))="","",INDEX($S$2:$S$127,MATCH(A81,$V$2:$V$127,0)))</x:f>
        <x:v>本次公示未见相关记录</x:v>
      </x:c>
      <x:c r="J81" s="66" t="str">
        <x:f>IF(INDEX($T$2:$T$127,MATCH(A81,$V$2:$V$127,0))="","",INDEX($T$2:$T$127,MATCH(A81,$V$2:$V$127,0)))</x:f>
        <x:v>https://gs.amac.org.cn/amac-infodisc/res/pof/manager/1701161209103763.html</x:v>
      </x:c>
      <x:c r="K81" s="66" t="n">
        <x:f>IF(INDEX($U$2:$U$127,MATCH(A81,$V$2:$V$127,0))="","",INDEX($U$2:$U$127,MATCH(A81,$V$2:$V$127,0)))</x:f>
        <x:v>115</x:v>
      </x:c>
      <x:c r="L81" s="80" t="str">
        <x:v>元康投资-稳健添利1号</x:v>
      </x:c>
      <x:c r="M81" s="80" t="str">
        <x:v>SNF469</x:v>
      </x:c>
      <x:c r="N81" s="80" t="str">
        <x:v>上海元康投资</x:v>
      </x:c>
      <x:c r="O81" s="80" t="str">
        <x:v>5-10亿元</x:v>
      </x:c>
      <x:c r="P81" s="81" t="n">
        <x:f>IF(ABS('sheet2-计算明细'!AQ151-1)&lt;0.00000001,'sheet2-计算明细'!AR151,"")</x:f>
        <x:v>65.82992999999999</x:v>
      </x:c>
      <x:c r="Q81" s="81" t="n">
        <x:f>'sheet2-计算明细'!AS151</x:f>
        <x:v>65.83</x:v>
      </x:c>
      <x:c r="R81" s="82" t="n">
        <x:f>'sheet2-计算明细'!AQ151</x:f>
        <x:v>1</x:v>
      </x:c>
      <x:c r="S81" s="80" t="str">
        <x:v>协会提示／报送异常</x:v>
      </x:c>
      <x:c r="T81" s="80" t="str">
        <x:v>https://gs.amac.org.cn/amac-infodisc/res/pof/manager/101000012102.html</x:v>
      </x:c>
      <x:c r="U81" s="80" t="n">
        <x:f>'sheet2-计算明细'!AT151</x:f>
        <x:v>87</x:v>
      </x:c>
      <x:c r="V81" s="80" t="n">
        <x:f>COUNTIF($U$2:$U$127,"&lt;"&amp;U81)+1</x:f>
        <x:v>59</x:v>
      </x:c>
    </x:row>
    <x:row r="82" ht="27" customHeight="1">
      <x:c r="A82" s="66" t="n">
        <x:v>81</x:v>
      </x:c>
      <x:c r="B82" s="66" t="str">
        <x:f>IF(INDEX($L$2:$L$127,MATCH(A82,$V$2:$V$127,0))="","",INDEX($L$2:$L$127,MATCH(A82,$V$2:$V$127,0)))</x:f>
        <x:v>盛冠达试金石3号</x:v>
      </x:c>
      <x:c r="C82" s="66" t="str">
        <x:f>IF(INDEX($M$2:$M$127,MATCH(A82,$V$2:$V$127,0))="","",INDEX($M$2:$M$127,MATCH(A82,$V$2:$V$127,0)))</x:f>
        <x:v>SW1709</x:v>
      </x:c>
      <x:c r="D82" s="66" t="str">
        <x:f>IF(INDEX($N$2:$N$127,MATCH(A82,$V$2:$V$127,0))="","",INDEX($N$2:$N$127,MATCH(A82,$V$2:$V$127,0)))</x:f>
        <x:v>海南盛冠达</x:v>
      </x:c>
      <x:c r="E82" s="66" t="str">
        <x:f>IF(INDEX($O$2:$O$127,MATCH(A82,$V$2:$V$127,0))="","",INDEX($O$2:$O$127,MATCH(A82,$V$2:$V$127,0)))</x:f>
        <x:v>20-50亿元</x:v>
      </x:c>
      <x:c r="F82" s="77" t="n">
        <x:f>IF(INDEX($P$2:$P$127,MATCH(A82,$V$2:$V$127,0))="","",INDEX($P$2:$P$127,MATCH(A82,$V$2:$V$127,0)))</x:f>
        <x:v>58.087480000000006</x:v>
      </x:c>
      <x:c r="G82" s="77" t="n">
        <x:f>IF(INDEX($Q$2:$Q$127,MATCH(A82,$V$2:$V$127,0))="","",INDEX($Q$2:$Q$127,MATCH(A82,$V$2:$V$127,0)))</x:f>
        <x:v>58.09</x:v>
      </x:c>
      <x:c r="H82" s="78" t="n">
        <x:f>IF(INDEX($R$2:$R$127,MATCH(A82,$V$2:$V$127,0))="","",INDEX($R$2:$R$127,MATCH(A82,$V$2:$V$127,0)))</x:f>
        <x:v>1</x:v>
      </x:c>
      <x:c r="I82" s="66" t="str">
        <x:f>IF(INDEX($S$2:$S$127,MATCH(A82,$V$2:$V$127,0))="","",INDEX($S$2:$S$127,MATCH(A82,$V$2:$V$127,0)))</x:f>
        <x:v>本次公示未见相关记录</x:v>
      </x:c>
      <x:c r="J82" s="66" t="str">
        <x:f>IF(INDEX($T$2:$T$127,MATCH(A82,$V$2:$V$127,0))="","",INDEX($T$2:$T$127,MATCH(A82,$V$2:$V$127,0)))</x:f>
        <x:v>https://gs.amac.org.cn/amac-infodisc/res/pof/manager/101000001663.html</x:v>
      </x:c>
      <x:c r="K82" s="66" t="n">
        <x:f>IF(INDEX($U$2:$U$127,MATCH(A82,$V$2:$V$127,0))="","",INDEX($U$2:$U$127,MATCH(A82,$V$2:$V$127,0)))</x:f>
        <x:v>116</x:v>
      </x:c>
      <x:c r="L82" s="80" t="str">
        <x:v>鹿秀驯鹿20号</x:v>
      </x:c>
      <x:c r="M82" s="80" t="str">
        <x:v>SNQ397</x:v>
      </x:c>
      <x:c r="N82" s="80" t="str">
        <x:v>青岛鹿秀投资</x:v>
      </x:c>
      <x:c r="O82" s="80" t="str">
        <x:v>50-100亿元</x:v>
      </x:c>
      <x:c r="P82" s="81" t="n">
        <x:f>IF(ABS('sheet2-计算明细'!AQ152-1)&lt;0.00000001,'sheet2-计算明细'!AR152,"")</x:f>
        <x:v>54.29159</x:v>
      </x:c>
      <x:c r="Q82" s="81" t="n">
        <x:f>'sheet2-计算明细'!AS152</x:f>
        <x:v>54.29</x:v>
      </x:c>
      <x:c r="R82" s="82" t="n">
        <x:f>'sheet2-计算明细'!AQ152</x:f>
        <x:v>1</x:v>
      </x:c>
      <x:c r="S82" s="80" t="str">
        <x:v>协会提示／报送异常</x:v>
      </x:c>
      <x:c r="T82" s="80" t="str">
        <x:v>https://gs.amac.org.cn/amac-infodisc/res/pof/manager/1612231708101923.html</x:v>
      </x:c>
      <x:c r="U82" s="80" t="n">
        <x:f>'sheet2-计算明细'!AT152</x:f>
        <x:v>130</x:v>
      </x:c>
      <x:c r="V82" s="80" t="n">
        <x:f>COUNTIF($U$2:$U$127,"&lt;"&amp;U82)+1</x:f>
        <x:v>90</x:v>
      </x:c>
    </x:row>
    <x:row r="83" ht="27" customHeight="1">
      <x:c r="A83" s="66" t="n">
        <x:v>82</x:v>
      </x:c>
      <x:c r="B83" s="66" t="str">
        <x:f>IF(INDEX($L$2:$L$127,MATCH(A83,$V$2:$V$127,0))="","",INDEX($L$2:$L$127,MATCH(A83,$V$2:$V$127,0)))</x:f>
        <x:v>盛泉恒元量化套利31号</x:v>
      </x:c>
      <x:c r="C83" s="66" t="str">
        <x:f>IF(INDEX($M$2:$M$127,MATCH(A83,$V$2:$V$127,0))="","",INDEX($M$2:$M$127,MATCH(A83,$V$2:$V$127,0)))</x:f>
        <x:v>SLM933</x:v>
      </x:c>
      <x:c r="D83" s="66" t="str">
        <x:f>IF(INDEX($N$2:$N$127,MATCH(A83,$V$2:$V$127,0))="","",INDEX($N$2:$N$127,MATCH(A83,$V$2:$V$127,0)))</x:f>
        <x:v>南京盛泉恒元投资</x:v>
      </x:c>
      <x:c r="E83" s="66" t="str">
        <x:f>IF(INDEX($O$2:$O$127,MATCH(A83,$V$2:$V$127,0))="","",INDEX($O$2:$O$127,MATCH(A83,$V$2:$V$127,0)))</x:f>
        <x:v>100亿元以上</x:v>
      </x:c>
      <x:c r="F83" s="77" t="n">
        <x:f>IF(INDEX($P$2:$P$127,MATCH(A83,$V$2:$V$127,0))="","",INDEX($P$2:$P$127,MATCH(A83,$V$2:$V$127,0)))</x:f>
        <x:v>57.79457</x:v>
      </x:c>
      <x:c r="G83" s="77" t="n">
        <x:f>IF(INDEX($Q$2:$Q$127,MATCH(A83,$V$2:$V$127,0))="","",INDEX($Q$2:$Q$127,MATCH(A83,$V$2:$V$127,0)))</x:f>
        <x:v>57.79</x:v>
      </x:c>
      <x:c r="H83" s="78" t="n">
        <x:f>IF(INDEX($R$2:$R$127,MATCH(A83,$V$2:$V$127,0))="","",INDEX($R$2:$R$127,MATCH(A83,$V$2:$V$127,0)))</x:f>
        <x:v>1</x:v>
      </x:c>
      <x:c r="I83" s="66" t="str">
        <x:f>IF(INDEX($S$2:$S$127,MATCH(A83,$V$2:$V$127,0))="","",INDEX($S$2:$S$127,MATCH(A83,$V$2:$V$127,0)))</x:f>
        <x:v>本次公示未见相关记录</x:v>
      </x:c>
      <x:c r="J83" s="66" t="str">
        <x:f>IF(INDEX($T$2:$T$127,MATCH(A83,$V$2:$V$127,0))="","",INDEX($T$2:$T$127,MATCH(A83,$V$2:$V$127,0)))</x:f>
        <x:v>https://gs.amac.org.cn/amac-infodisc/res/pof/manager/101000008304.html</x:v>
      </x:c>
      <x:c r="K83" s="66" t="n">
        <x:f>IF(INDEX($U$2:$U$127,MATCH(A83,$V$2:$V$127,0))="","",INDEX($U$2:$U$127,MATCH(A83,$V$2:$V$127,0)))</x:f>
        <x:v>117</x:v>
      </x:c>
      <x:c r="L83" s="80" t="str">
        <x:v>宣夜投资涓流二号</x:v>
      </x:c>
      <x:c r="M83" s="80" t="str">
        <x:v>SQL764</x:v>
      </x:c>
      <x:c r="N83" s="80" t="str">
        <x:v>上海宣夜投资</x:v>
      </x:c>
      <x:c r="O83" s="80" t="str">
        <x:v>20-50亿元</x:v>
      </x:c>
      <x:c r="P83" s="81" t="str">
        <x:f>IF(ABS('sheet2-计算明细'!AQ153-1)&lt;0.00000001,'sheet2-计算明细'!AR153,"")</x:f>
      </x:c>
      <x:c r="Q83" s="81" t="n">
        <x:f>'sheet2-计算明细'!AS153</x:f>
        <x:v>58.88</x:v>
      </x:c>
      <x:c r="R83" s="82" t="n">
        <x:f>'sheet2-计算明细'!AQ153</x:f>
        <x:v>0.88</x:v>
      </x:c>
      <x:c r="S83" s="80" t="str">
        <x:v>协会提示／报送异常</x:v>
      </x:c>
      <x:c r="T83" s="80" t="str">
        <x:v>https://gs.amac.org.cn/amac-infodisc/res/pof/manager/1609130947110564.html</x:v>
      </x:c>
      <x:c r="U83" s="80" t="n">
        <x:f>'sheet2-计算明细'!AT153</x:f>
        <x:v>114</x:v>
      </x:c>
      <x:c r="V83" s="80" t="n">
        <x:f>COUNTIF($U$2:$U$127,"&lt;"&amp;U83)+1</x:f>
        <x:v>79</x:v>
      </x:c>
    </x:row>
    <x:row r="84" ht="27" customHeight="1">
      <x:c r="A84" s="66" t="n">
        <x:v>83</x:v>
      </x:c>
      <x:c r="B84" s="66" t="str">
        <x:f>IF(INDEX($L$2:$L$127,MATCH(A84,$V$2:$V$127,0))="","",INDEX($L$2:$L$127,MATCH(A84,$V$2:$V$127,0)))</x:f>
        <x:v>鹿秀驯鹿10号</x:v>
      </x:c>
      <x:c r="C84" s="66" t="str">
        <x:f>IF(INDEX($M$2:$M$127,MATCH(A84,$V$2:$V$127,0))="","",INDEX($M$2:$M$127,MATCH(A84,$V$2:$V$127,0)))</x:f>
        <x:v>SNK594</x:v>
      </x:c>
      <x:c r="D84" s="66" t="str">
        <x:f>IF(INDEX($N$2:$N$127,MATCH(A84,$V$2:$V$127,0))="","",INDEX($N$2:$N$127,MATCH(A84,$V$2:$V$127,0)))</x:f>
        <x:v>青岛鹿秀投资</x:v>
      </x:c>
      <x:c r="E84" s="66" t="str">
        <x:f>IF(INDEX($O$2:$O$127,MATCH(A84,$V$2:$V$127,0))="","",INDEX($O$2:$O$127,MATCH(A84,$V$2:$V$127,0)))</x:f>
        <x:v>50-100亿元</x:v>
      </x:c>
      <x:c r="F84" s="77" t="str">
        <x:f>IF(INDEX($P$2:$P$127,MATCH(A84,$V$2:$V$127,0))="","",INDEX($P$2:$P$127,MATCH(A84,$V$2:$V$127,0)))</x:f>
      </x:c>
      <x:c r="G84" s="77" t="n">
        <x:f>IF(INDEX($Q$2:$Q$127,MATCH(A84,$V$2:$V$127,0))="","",INDEX($Q$2:$Q$127,MATCH(A84,$V$2:$V$127,0)))</x:f>
        <x:v>57.76</x:v>
      </x:c>
      <x:c r="H84" s="78" t="n">
        <x:f>IF(INDEX($R$2:$R$127,MATCH(A84,$V$2:$V$127,0))="","",INDEX($R$2:$R$127,MATCH(A84,$V$2:$V$127,0)))</x:f>
        <x:v>0.88</x:v>
      </x:c>
      <x:c r="I84" s="66" t="str">
        <x:f>IF(INDEX($S$2:$S$127,MATCH(A84,$V$2:$V$127,0))="","",INDEX($S$2:$S$127,MATCH(A84,$V$2:$V$127,0)))</x:f>
        <x:v>协会提示／报送异常</x:v>
      </x:c>
      <x:c r="J84" s="66" t="str">
        <x:f>IF(INDEX($T$2:$T$127,MATCH(A84,$V$2:$V$127,0))="","",INDEX($T$2:$T$127,MATCH(A84,$V$2:$V$127,0)))</x:f>
        <x:v>https://gs.amac.org.cn/amac-infodisc/res/pof/manager/1612231708101923.html</x:v>
      </x:c>
      <x:c r="K84" s="66" t="n">
        <x:f>IF(INDEX($U$2:$U$127,MATCH(A84,$V$2:$V$127,0))="","",INDEX($U$2:$U$127,MATCH(A84,$V$2:$V$127,0)))</x:f>
        <x:v>118</x:v>
      </x:c>
      <x:c r="L84" s="80" t="str">
        <x:v>惠隆金选套利1号</x:v>
      </x:c>
      <x:c r="M84" s="80" t="str">
        <x:v>SQG026</x:v>
      </x:c>
      <x:c r="N84" s="80" t="str">
        <x:v>北京惠隆资管</x:v>
      </x:c>
      <x:c r="O84" s="80" t="str">
        <x:v>10-20亿元</x:v>
      </x:c>
      <x:c r="P84" s="81" t="str">
        <x:f>IF(ABS('sheet2-计算明细'!AQ155-1)&lt;0.00000001,'sheet2-计算明细'!AR155,"")</x:f>
      </x:c>
      <x:c r="Q84" s="81" t="n">
        <x:f>'sheet2-计算明细'!AS155</x:f>
        <x:v>93.67</x:v>
      </x:c>
      <x:c r="R84" s="82" t="n">
        <x:f>'sheet2-计算明细'!AQ155</x:f>
        <x:v>0.88</x:v>
      </x:c>
      <x:c r="S84" s="80" t="str">
        <x:v>协会提示／报送异常</x:v>
      </x:c>
      <x:c r="T84" s="80" t="str">
        <x:v>https://gs.amac.org.cn/amac-infodisc/res/pof/manager/1705031716108118.html</x:v>
      </x:c>
      <x:c r="U84" s="80" t="n">
        <x:f>'sheet2-计算明细'!AT155</x:f>
        <x:v>1</x:v>
      </x:c>
      <x:c r="V84" s="80" t="n">
        <x:f>COUNTIF($U$2:$U$127,"&lt;"&amp;U84)+1</x:f>
        <x:v>1</x:v>
      </x:c>
    </x:row>
    <x:row r="85" ht="27" customHeight="1">
      <x:c r="A85" s="66" t="n">
        <x:v>84</x:v>
      </x:c>
      <x:c r="B85" s="66" t="str">
        <x:f>IF(INDEX($L$2:$L$127,MATCH(A85,$V$2:$V$127,0))="","",INDEX($L$2:$L$127,MATCH(A85,$V$2:$V$127,0)))</x:f>
        <x:v>盛冠达量化套利6号</x:v>
      </x:c>
      <x:c r="C85" s="66" t="str">
        <x:f>IF(INDEX($M$2:$M$127,MATCH(A85,$V$2:$V$127,0))="","",INDEX($M$2:$M$127,MATCH(A85,$V$2:$V$127,0)))</x:f>
        <x:v>SJZ209</x:v>
      </x:c>
      <x:c r="D85" s="66" t="str">
        <x:f>IF(INDEX($N$2:$N$127,MATCH(A85,$V$2:$V$127,0))="","",INDEX($N$2:$N$127,MATCH(A85,$V$2:$V$127,0)))</x:f>
        <x:v>海南盛冠达</x:v>
      </x:c>
      <x:c r="E85" s="66" t="str">
        <x:f>IF(INDEX($O$2:$O$127,MATCH(A85,$V$2:$V$127,0))="","",INDEX($O$2:$O$127,MATCH(A85,$V$2:$V$127,0)))</x:f>
        <x:v>20-50亿元</x:v>
      </x:c>
      <x:c r="F85" s="77" t="n">
        <x:f>IF(INDEX($P$2:$P$127,MATCH(A85,$V$2:$V$127,0))="","",INDEX($P$2:$P$127,MATCH(A85,$V$2:$V$127,0)))</x:f>
        <x:v>57.250159999999994</x:v>
      </x:c>
      <x:c r="G85" s="77" t="n">
        <x:f>IF(INDEX($Q$2:$Q$127,MATCH(A85,$V$2:$V$127,0))="","",INDEX($Q$2:$Q$127,MATCH(A85,$V$2:$V$127,0)))</x:f>
        <x:v>57.25</x:v>
      </x:c>
      <x:c r="H85" s="78" t="n">
        <x:f>IF(INDEX($R$2:$R$127,MATCH(A85,$V$2:$V$127,0))="","",INDEX($R$2:$R$127,MATCH(A85,$V$2:$V$127,0)))</x:f>
        <x:v>1</x:v>
      </x:c>
      <x:c r="I85" s="66" t="str">
        <x:f>IF(INDEX($S$2:$S$127,MATCH(A85,$V$2:$V$127,0))="","",INDEX($S$2:$S$127,MATCH(A85,$V$2:$V$127,0)))</x:f>
        <x:v>本次公示未见相关记录</x:v>
      </x:c>
      <x:c r="J85" s="66" t="str">
        <x:f>IF(INDEX($T$2:$T$127,MATCH(A85,$V$2:$V$127,0))="","",INDEX($T$2:$T$127,MATCH(A85,$V$2:$V$127,0)))</x:f>
        <x:v>https://gs.amac.org.cn/amac-infodisc/res/pof/manager/101000001663.html</x:v>
      </x:c>
      <x:c r="K85" s="66" t="n">
        <x:f>IF(INDEX($U$2:$U$127,MATCH(A85,$V$2:$V$127,0))="","",INDEX($U$2:$U$127,MATCH(A85,$V$2:$V$127,0)))</x:f>
        <x:v>120</x:v>
      </x:c>
      <x:c r="L85" s="80" t="str">
        <x:v>摩旗ETF套利1号</x:v>
      </x:c>
      <x:c r="M85" s="80" t="str">
        <x:v>STR466</x:v>
      </x:c>
      <x:c r="N85" s="80" t="str">
        <x:v>上海摩旗投资</x:v>
      </x:c>
      <x:c r="O85" s="80" t="str">
        <x:v>10-20亿元</x:v>
      </x:c>
      <x:c r="P85" s="81" t="str">
        <x:f>IF(ABS('sheet2-计算明细'!AQ158-1)&lt;0.00000001,'sheet2-计算明细'!AR158,"")</x:f>
      </x:c>
      <x:c r="Q85" s="81" t="n">
        <x:f>'sheet2-计算明细'!AS158</x:f>
        <x:v>90.18</x:v>
      </x:c>
      <x:c r="R85" s="82" t="n">
        <x:f>'sheet2-计算明细'!AQ158</x:f>
        <x:v>0.88</x:v>
      </x:c>
      <x:c r="S85" s="80" t="str">
        <x:v>本次公示未见相关记录</x:v>
      </x:c>
      <x:c r="T85" s="80" t="str">
        <x:v>https://gs.amac.org.cn/amac-infodisc/res/pof/manager/101000000297.html</x:v>
      </x:c>
      <x:c r="U85" s="80" t="n">
        <x:f>'sheet2-计算明细'!AT158</x:f>
        <x:v>7</x:v>
      </x:c>
      <x:c r="V85" s="80" t="n">
        <x:f>COUNTIF($U$2:$U$127,"&lt;"&amp;U85)+1</x:f>
        <x:v>5</x:v>
      </x:c>
    </x:row>
    <x:row r="86" ht="27" customHeight="1">
      <x:c r="A86" s="66" t="n">
        <x:v>85</x:v>
      </x:c>
      <x:c r="B86" s="66" t="str">
        <x:f>IF(INDEX($L$2:$L$127,MATCH(A86,$V$2:$V$127,0))="","",INDEX($L$2:$L$127,MATCH(A86,$V$2:$V$127,0)))</x:f>
        <x:v>锐耐复利倍增2号</x:v>
      </x:c>
      <x:c r="C86" s="66" t="str">
        <x:f>IF(INDEX($M$2:$M$127,MATCH(A86,$V$2:$V$127,0))="","",INDEX($M$2:$M$127,MATCH(A86,$V$2:$V$127,0)))</x:f>
        <x:v>SXV513</x:v>
      </x:c>
      <x:c r="D86" s="66" t="str">
        <x:f>IF(INDEX($N$2:$N$127,MATCH(A86,$V$2:$V$127,0))="","",INDEX($N$2:$N$127,MATCH(A86,$V$2:$V$127,0)))</x:f>
        <x:v>上海锐耐</x:v>
      </x:c>
      <x:c r="E86" s="66" t="str">
        <x:f>IF(INDEX($O$2:$O$127,MATCH(A86,$V$2:$V$127,0))="","",INDEX($O$2:$O$127,MATCH(A86,$V$2:$V$127,0)))</x:f>
        <x:v>20-50亿元</x:v>
      </x:c>
      <x:c r="F86" s="77" t="str">
        <x:f>IF(INDEX($P$2:$P$127,MATCH(A86,$V$2:$V$127,0))="","",INDEX($P$2:$P$127,MATCH(A86,$V$2:$V$127,0)))</x:f>
      </x:c>
      <x:c r="G86" s="77" t="n">
        <x:f>IF(INDEX($Q$2:$Q$127,MATCH(A86,$V$2:$V$127,0))="","",INDEX($Q$2:$Q$127,MATCH(A86,$V$2:$V$127,0)))</x:f>
        <x:v>56.77</x:v>
      </x:c>
      <x:c r="H86" s="78" t="n">
        <x:f>IF(INDEX($R$2:$R$127,MATCH(A86,$V$2:$V$127,0))="","",INDEX($R$2:$R$127,MATCH(A86,$V$2:$V$127,0)))</x:f>
        <x:v>0.88</x:v>
      </x:c>
      <x:c r="I86" s="66" t="str">
        <x:f>IF(INDEX($S$2:$S$127,MATCH(A86,$V$2:$V$127,0))="","",INDEX($S$2:$S$127,MATCH(A86,$V$2:$V$127,0)))</x:f>
        <x:v>本次公示未见相关记录</x:v>
      </x:c>
      <x:c r="J86" s="66" t="str">
        <x:f>IF(INDEX($T$2:$T$127,MATCH(A86,$V$2:$V$127,0))="","",INDEX($T$2:$T$127,MATCH(A86,$V$2:$V$127,0)))</x:f>
        <x:v>https://gs.amac.org.cn/amac-infodisc/res/pof/manager/2011201413105709.html</x:v>
      </x:c>
      <x:c r="K86" s="66" t="n">
        <x:f>IF(INDEX($U$2:$U$127,MATCH(A86,$V$2:$V$127,0))="","",INDEX($U$2:$U$127,MATCH(A86,$V$2:$V$127,0)))</x:f>
        <x:v>121</x:v>
      </x:c>
      <x:c r="L86" s="80" t="str">
        <x:v>兆信期权中性2号A类</x:v>
      </x:c>
      <x:c r="M86" s="80" t="str">
        <x:v>TB977A</x:v>
      </x:c>
      <x:c r="N86" s="80" t="str">
        <x:v>江苏兆信</x:v>
      </x:c>
      <x:c r="O86" s="80" t="str">
        <x:v>20-50亿元</x:v>
      </x:c>
      <x:c r="P86" s="81" t="str">
        <x:f>IF(ABS('sheet2-计算明细'!AQ159-1)&lt;0.00000001,'sheet2-计算明细'!AR159,"")</x:f>
      </x:c>
      <x:c r="Q86" s="81" t="n">
        <x:f>'sheet2-计算明细'!AS159</x:f>
        <x:v>61.34</x:v>
      </x:c>
      <x:c r="R86" s="82" t="n">
        <x:f>'sheet2-计算明细'!AQ159</x:f>
        <x:v>0.9550000000000001</x:v>
      </x:c>
      <x:c r="S86" s="80" t="str">
        <x:v>本次公示未见相关记录</x:v>
      </x:c>
      <x:c r="T86" s="80" t="str">
        <x:v>https://gs.amac.org.cn/amac-infodisc/res/pof/manager/101000002312.html</x:v>
      </x:c>
      <x:c r="U86" s="80" t="n">
        <x:f>'sheet2-计算明细'!AT159</x:f>
        <x:v>101</x:v>
      </x:c>
      <x:c r="V86" s="80" t="n">
        <x:f>COUNTIF($U$2:$U$127,"&lt;"&amp;U86)+1</x:f>
        <x:v>68</x:v>
      </x:c>
    </x:row>
    <x:row r="87" ht="27" customHeight="1">
      <x:c r="A87" s="66" t="n">
        <x:v>86</x:v>
      </x:c>
      <x:c r="B87" s="66" t="str">
        <x:f>IF(INDEX($L$2:$L$127,MATCH(A87,$V$2:$V$127,0))="","",INDEX($L$2:$L$127,MATCH(A87,$V$2:$V$127,0)))</x:f>
        <x:v>岳鑫遥1号</x:v>
      </x:c>
      <x:c r="C87" s="66" t="str">
        <x:f>IF(INDEX($M$2:$M$127,MATCH(A87,$V$2:$V$127,0))="","",INDEX($M$2:$M$127,MATCH(A87,$V$2:$V$127,0)))</x:f>
        <x:v>SXJ331</x:v>
      </x:c>
      <x:c r="D87" s="66" t="str">
        <x:f>IF(INDEX($N$2:$N$127,MATCH(A87,$V$2:$V$127,0))="","",INDEX($N$2:$N$127,MATCH(A87,$V$2:$V$127,0)))</x:f>
        <x:v>北京岳鑫遥</x:v>
      </x:c>
      <x:c r="E87" s="66" t="str">
        <x:f>IF(INDEX($O$2:$O$127,MATCH(A87,$V$2:$V$127,0))="","",INDEX($O$2:$O$127,MATCH(A87,$V$2:$V$127,0)))</x:f>
        <x:v>5-10亿元</x:v>
      </x:c>
      <x:c r="F87" s="77" t="str">
        <x:f>IF(INDEX($P$2:$P$127,MATCH(A87,$V$2:$V$127,0))="","",INDEX($P$2:$P$127,MATCH(A87,$V$2:$V$127,0)))</x:f>
      </x:c>
      <x:c r="G87" s="77" t="n">
        <x:f>IF(INDEX($Q$2:$Q$127,MATCH(A87,$V$2:$V$127,0))="","",INDEX($Q$2:$Q$127,MATCH(A87,$V$2:$V$127,0)))</x:f>
        <x:v>56.26</x:v>
      </x:c>
      <x:c r="H87" s="78" t="n">
        <x:f>IF(INDEX($R$2:$R$127,MATCH(A87,$V$2:$V$127,0))="","",INDEX($R$2:$R$127,MATCH(A87,$V$2:$V$127,0)))</x:f>
        <x:v>0.88</x:v>
      </x:c>
      <x:c r="I87" s="66" t="str">
        <x:f>IF(INDEX($S$2:$S$127,MATCH(A87,$V$2:$V$127,0))="","",INDEX($S$2:$S$127,MATCH(A87,$V$2:$V$127,0)))</x:f>
        <x:v>协会提示／报送异常</x:v>
      </x:c>
      <x:c r="J87" s="66" t="str">
        <x:f>IF(INDEX($T$2:$T$127,MATCH(A87,$V$2:$V$127,0))="","",INDEX($T$2:$T$127,MATCH(A87,$V$2:$V$127,0)))</x:f>
        <x:v>https://gs.amac.org.cn/amac-infodisc/res/pof/manager/2207041830121644.html</x:v>
      </x:c>
      <x:c r="K87" s="66" t="n">
        <x:f>IF(INDEX($U$2:$U$127,MATCH(A87,$V$2:$V$127,0))="","",INDEX($U$2:$U$127,MATCH(A87,$V$2:$V$127,0)))</x:f>
        <x:v>122</x:v>
      </x:c>
      <x:c r="L87" s="80" t="str">
        <x:v>庄贤亨贞期权对冲</x:v>
      </x:c>
      <x:c r="M87" s="80" t="str">
        <x:v>STW239</x:v>
      </x:c>
      <x:c r="N87" s="80" t="str">
        <x:v>杭州庄贤投资</x:v>
      </x:c>
      <x:c r="O87" s="80" t="str">
        <x:v>20-50亿元</x:v>
      </x:c>
      <x:c r="P87" s="81" t="n">
        <x:f>IF(ABS('sheet2-计算明细'!AQ160-1)&lt;0.00000001,'sheet2-计算明细'!AR160,"")</x:f>
        <x:v>76.39097</x:v>
      </x:c>
      <x:c r="Q87" s="81" t="n">
        <x:f>'sheet2-计算明细'!AS160</x:f>
        <x:v>76.39</x:v>
      </x:c>
      <x:c r="R87" s="82" t="n">
        <x:f>'sheet2-计算明细'!AQ160</x:f>
        <x:v>1</x:v>
      </x:c>
      <x:c r="S87" s="80" t="str">
        <x:v>本次公示未见相关记录</x:v>
      </x:c>
      <x:c r="T87" s="80" t="str">
        <x:v>https://gs.amac.org.cn/amac-infodisc/res/pof/manager/1703280912100590.html</x:v>
      </x:c>
      <x:c r="U87" s="80" t="n">
        <x:f>'sheet2-计算明细'!AT160</x:f>
        <x:v>42</x:v>
      </x:c>
      <x:c r="V87" s="80" t="n">
        <x:f>COUNTIF($U$2:$U$127,"&lt;"&amp;U87)+1</x:f>
        <x:v>28</x:v>
      </x:c>
    </x:row>
    <x:row r="88" ht="27" customHeight="1">
      <x:c r="A88" s="66" t="n">
        <x:v>87</x:v>
      </x:c>
      <x:c r="B88" s="66" t="str">
        <x:f>IF(INDEX($L$2:$L$127,MATCH(A88,$V$2:$V$127,0))="","",INDEX($L$2:$L$127,MATCH(A88,$V$2:$V$127,0)))</x:f>
        <x:v>展弘优选套利运作1号A类</x:v>
      </x:c>
      <x:c r="C88" s="66" t="str">
        <x:f>IF(INDEX($M$2:$M$127,MATCH(A88,$V$2:$V$127,0))="","",INDEX($M$2:$M$127,MATCH(A88,$V$2:$V$127,0)))</x:f>
        <x:v>B2690A</x:v>
      </x:c>
      <x:c r="D88" s="66" t="str">
        <x:f>IF(INDEX($N$2:$N$127,MATCH(A88,$V$2:$V$127,0))="","",INDEX($N$2:$N$127,MATCH(A88,$V$2:$V$127,0)))</x:f>
        <x:v>上海展弘投资</x:v>
      </x:c>
      <x:c r="E88" s="66" t="str">
        <x:f>IF(INDEX($O$2:$O$127,MATCH(A88,$V$2:$V$127,0))="","",INDEX($O$2:$O$127,MATCH(A88,$V$2:$V$127,0)))</x:f>
        <x:v>100亿元以上</x:v>
      </x:c>
      <x:c r="F88" s="77" t="str">
        <x:f>IF(INDEX($P$2:$P$127,MATCH(A88,$V$2:$V$127,0))="","",INDEX($P$2:$P$127,MATCH(A88,$V$2:$V$127,0)))</x:f>
      </x:c>
      <x:c r="G88" s="77" t="n">
        <x:f>IF(INDEX($Q$2:$Q$127,MATCH(A88,$V$2:$V$127,0))="","",INDEX($Q$2:$Q$127,MATCH(A88,$V$2:$V$127,0)))</x:f>
        <x:v>54.82</x:v>
      </x:c>
      <x:c r="H88" s="78" t="n">
        <x:f>IF(INDEX($R$2:$R$127,MATCH(A88,$V$2:$V$127,0))="","",INDEX($R$2:$R$127,MATCH(A88,$V$2:$V$127,0)))</x:f>
        <x:v>0.9550000000000001</x:v>
      </x:c>
      <x:c r="I88" s="66" t="str">
        <x:f>IF(INDEX($S$2:$S$127,MATCH(A88,$V$2:$V$127,0))="","",INDEX($S$2:$S$127,MATCH(A88,$V$2:$V$127,0)))</x:f>
        <x:v>本次公示未见相关记录</x:v>
      </x:c>
      <x:c r="J88" s="66" t="str">
        <x:f>IF(INDEX($T$2:$T$127,MATCH(A88,$V$2:$V$127,0))="","",INDEX($T$2:$T$127,MATCH(A88,$V$2:$V$127,0)))</x:f>
        <x:v>https://gs.amac.org.cn/amac-infodisc/res/pof/manager/101000019470.html</x:v>
      </x:c>
      <x:c r="K88" s="66" t="n">
        <x:f>IF(INDEX($U$2:$U$127,MATCH(A88,$V$2:$V$127,0))="","",INDEX($U$2:$U$127,MATCH(A88,$V$2:$V$127,0)))</x:f>
        <x:v>126</x:v>
      </x:c>
      <x:c r="L88" s="80" t="str">
        <x:v>悬铃尊享CTA8号</x:v>
      </x:c>
      <x:c r="M88" s="80" t="str">
        <x:v>STW103</x:v>
      </x:c>
      <x:c r="N88" s="80" t="str">
        <x:v>上海悬铃</x:v>
      </x:c>
      <x:c r="O88" s="80" t="str">
        <x:v>20-50亿元</x:v>
      </x:c>
      <x:c r="P88" s="81" t="n">
        <x:f>IF(ABS('sheet2-计算明细'!AQ161-1)&lt;0.00000001,'sheet2-计算明细'!AR161,"")</x:f>
        <x:v>41.27624</x:v>
      </x:c>
      <x:c r="Q88" s="81" t="n">
        <x:f>'sheet2-计算明细'!AS161</x:f>
        <x:v>41.28</x:v>
      </x:c>
      <x:c r="R88" s="82" t="n">
        <x:f>'sheet2-计算明细'!AQ161</x:f>
        <x:v>1</x:v>
      </x:c>
      <x:c r="S88" s="80" t="str">
        <x:v>本次公示未见相关记录</x:v>
      </x:c>
      <x:c r="T88" s="80" t="str">
        <x:v>https://gs.amac.org.cn/amac-infodisc/res/pof/manager/1701161209103763.html</x:v>
      </x:c>
      <x:c r="U88" s="80" t="n">
        <x:f>'sheet2-计算明细'!AT161</x:f>
        <x:v>171</x:v>
      </x:c>
      <x:c r="V88" s="80" t="n">
        <x:f>COUNTIF($U$2:$U$127,"&lt;"&amp;U88)+1</x:f>
        <x:v>110</x:v>
      </x:c>
    </x:row>
    <x:row r="89" ht="27" customHeight="1">
      <x:c r="A89" s="66" t="n">
        <x:v>88</x:v>
      </x:c>
      <x:c r="B89" s="66" t="str">
        <x:f>IF(INDEX($L$2:$L$127,MATCH(A89,$V$2:$V$127,0))="","",INDEX($L$2:$L$127,MATCH(A89,$V$2:$V$127,0)))</x:f>
        <x:v>金和至信稳健12号</x:v>
      </x:c>
      <x:c r="C89" s="66" t="str">
        <x:f>IF(INDEX($M$2:$M$127,MATCH(A89,$V$2:$V$127,0))="","",INDEX($M$2:$M$127,MATCH(A89,$V$2:$V$127,0)))</x:f>
        <x:v>SB5534</x:v>
      </x:c>
      <x:c r="D89" s="66" t="str">
        <x:f>IF(INDEX($N$2:$N$127,MATCH(A89,$V$2:$V$127,0))="","",INDEX($N$2:$N$127,MATCH(A89,$V$2:$V$127,0)))</x:f>
        <x:v>上海金和晟</x:v>
      </x:c>
      <x:c r="E89" s="66" t="str">
        <x:f>IF(INDEX($O$2:$O$127,MATCH(A89,$V$2:$V$127,0))="","",INDEX($O$2:$O$127,MATCH(A89,$V$2:$V$127,0)))</x:f>
        <x:v>20-50亿元</x:v>
      </x:c>
      <x:c r="F89" s="77" t="n">
        <x:f>IF(INDEX($P$2:$P$127,MATCH(A89,$V$2:$V$127,0))="","",INDEX($P$2:$P$127,MATCH(A89,$V$2:$V$127,0)))</x:f>
        <x:v>54.577169999999995</x:v>
      </x:c>
      <x:c r="G89" s="77" t="n">
        <x:f>IF(INDEX($Q$2:$Q$127,MATCH(A89,$V$2:$V$127,0))="","",INDEX($Q$2:$Q$127,MATCH(A89,$V$2:$V$127,0)))</x:f>
        <x:v>54.58</x:v>
      </x:c>
      <x:c r="H89" s="78" t="n">
        <x:f>IF(INDEX($R$2:$R$127,MATCH(A89,$V$2:$V$127,0))="","",INDEX($R$2:$R$127,MATCH(A89,$V$2:$V$127,0)))</x:f>
        <x:v>1</x:v>
      </x:c>
      <x:c r="I89" s="66" t="str">
        <x:f>IF(INDEX($S$2:$S$127,MATCH(A89,$V$2:$V$127,0))="","",INDEX($S$2:$S$127,MATCH(A89,$V$2:$V$127,0)))</x:f>
        <x:v>本次公示未见相关记录</x:v>
      </x:c>
      <x:c r="J89" s="66" t="str">
        <x:f>IF(INDEX($T$2:$T$127,MATCH(A89,$V$2:$V$127,0))="","",INDEX($T$2:$T$127,MATCH(A89,$V$2:$V$127,0)))</x:f>
        <x:v>https://gs.amac.org.cn/amac-infodisc/res/pof/manager/2010280957108370.html</x:v>
      </x:c>
      <x:c r="K89" s="66" t="n">
        <x:f>IF(INDEX($U$2:$U$127,MATCH(A89,$V$2:$V$127,0))="","",INDEX($U$2:$U$127,MATCH(A89,$V$2:$V$127,0)))</x:f>
        <x:v>128</x:v>
      </x:c>
      <x:c r="L89" s="80" t="str">
        <x:v>东玛多策略稳健1号</x:v>
      </x:c>
      <x:c r="M89" s="80" t="str">
        <x:v>SVG441</x:v>
      </x:c>
      <x:c r="N89" s="80" t="str">
        <x:v>宁波东玛</x:v>
      </x:c>
      <x:c r="O89" s="80" t="str">
        <x:v>5-10亿元</x:v>
      </x:c>
      <x:c r="P89" s="81" t="str">
        <x:f>IF(ABS('sheet2-计算明细'!AQ163-1)&lt;0.00000001,'sheet2-计算明细'!AR163,"")</x:f>
      </x:c>
      <x:c r="Q89" s="81" t="n">
        <x:f>'sheet2-计算明细'!AS163</x:f>
        <x:v>35.85</x:v>
      </x:c>
      <x:c r="R89" s="82" t="n">
        <x:f>'sheet2-计算明细'!AQ163</x:f>
        <x:v>0.88</x:v>
      </x:c>
      <x:c r="S89" s="80" t="str">
        <x:v>本次公示未见相关记录</x:v>
      </x:c>
      <x:c r="T89" s="80" t="str">
        <x:v>https://gs.amac.org.cn/amac-infodisc/res/pof/manager/2110261036100964.html</x:v>
      </x:c>
      <x:c r="U89" s="80" t="n">
        <x:f>'sheet2-计算明细'!AT163</x:f>
        <x:v>181</x:v>
      </x:c>
      <x:c r="V89" s="80" t="n">
        <x:f>COUNTIF($U$2:$U$127,"&lt;"&amp;U89)+1</x:f>
        <x:v>117</x:v>
      </x:c>
    </x:row>
    <x:row r="90" ht="27" customHeight="1">
      <x:c r="A90" s="66" t="n">
        <x:v>89</x:v>
      </x:c>
      <x:c r="B90" s="66" t="str">
        <x:f>IF(INDEX($L$2:$L$127,MATCH(A90,$V$2:$V$127,0))="","",INDEX($L$2:$L$127,MATCH(A90,$V$2:$V$127,0)))</x:f>
        <x:v>平凡笃行君享</x:v>
      </x:c>
      <x:c r="C90" s="66" t="str">
        <x:f>IF(INDEX($M$2:$M$127,MATCH(A90,$V$2:$V$127,0))="","",INDEX($M$2:$M$127,MATCH(A90,$V$2:$V$127,0)))</x:f>
        <x:v>SQD327</x:v>
      </x:c>
      <x:c r="D90" s="66" t="str">
        <x:f>IF(INDEX($N$2:$N$127,MATCH(A90,$V$2:$V$127,0))="","",INDEX($N$2:$N$127,MATCH(A90,$V$2:$V$127,0)))</x:f>
        <x:v>北京平凡</x:v>
      </x:c>
      <x:c r="E90" s="66" t="str">
        <x:f>IF(INDEX($O$2:$O$127,MATCH(A90,$V$2:$V$127,0))="","",INDEX($O$2:$O$127,MATCH(A90,$V$2:$V$127,0)))</x:f>
        <x:v>50-100亿元</x:v>
      </x:c>
      <x:c r="F90" s="77" t="str">
        <x:f>IF(INDEX($P$2:$P$127,MATCH(A90,$V$2:$V$127,0))="","",INDEX($P$2:$P$127,MATCH(A90,$V$2:$V$127,0)))</x:f>
      </x:c>
      <x:c r="G90" s="77" t="n">
        <x:f>IF(INDEX($Q$2:$Q$127,MATCH(A90,$V$2:$V$127,0))="","",INDEX($Q$2:$Q$127,MATCH(A90,$V$2:$V$127,0)))</x:f>
        <x:v>54.47</x:v>
      </x:c>
      <x:c r="H90" s="78" t="n">
        <x:f>IF(INDEX($R$2:$R$127,MATCH(A90,$V$2:$V$127,0))="","",INDEX($R$2:$R$127,MATCH(A90,$V$2:$V$127,0)))</x:f>
        <x:v>0.88</x:v>
      </x:c>
      <x:c r="I90" s="66" t="str">
        <x:f>IF(INDEX($S$2:$S$127,MATCH(A90,$V$2:$V$127,0))="","",INDEX($S$2:$S$127,MATCH(A90,$V$2:$V$127,0)))</x:f>
        <x:v>本次公示未见相关记录</x:v>
      </x:c>
      <x:c r="J90" s="66" t="str">
        <x:f>IF(INDEX($T$2:$T$127,MATCH(A90,$V$2:$V$127,0))="","",INDEX($T$2:$T$127,MATCH(A90,$V$2:$V$127,0)))</x:f>
        <x:v>https://gs.amac.org.cn/amac-infodisc/res/pof/manager/101000030286.html</x:v>
      </x:c>
      <x:c r="K90" s="66" t="n">
        <x:f>IF(INDEX($U$2:$U$127,MATCH(A90,$V$2:$V$127,0))="","",INDEX($U$2:$U$127,MATCH(A90,$V$2:$V$127,0)))</x:f>
        <x:v>129</x:v>
      </x:c>
      <x:c r="L90" s="80" t="str">
        <x:v>鹿秀呦呦1号</x:v>
      </x:c>
      <x:c r="M90" s="80" t="str">
        <x:v>SVY067</x:v>
      </x:c>
      <x:c r="N90" s="80" t="str">
        <x:v>青岛鹿秀投资</x:v>
      </x:c>
      <x:c r="O90" s="80" t="str">
        <x:v>50-100亿元</x:v>
      </x:c>
      <x:c r="P90" s="81" t="n">
        <x:f>IF(ABS('sheet2-计算明细'!AQ166-1)&lt;0.00000001,'sheet2-计算明细'!AR166,"")</x:f>
        <x:v>40.62155</x:v>
      </x:c>
      <x:c r="Q90" s="81" t="n">
        <x:f>'sheet2-计算明细'!AS166</x:f>
        <x:v>40.62</x:v>
      </x:c>
      <x:c r="R90" s="82" t="n">
        <x:f>'sheet2-计算明细'!AQ166</x:f>
        <x:v>1</x:v>
      </x:c>
      <x:c r="S90" s="80" t="str">
        <x:v>协会提示／报送异常</x:v>
      </x:c>
      <x:c r="T90" s="80" t="str">
        <x:v>https://gs.amac.org.cn/amac-infodisc/res/pof/manager/1612231708101923.html</x:v>
      </x:c>
      <x:c r="U90" s="80" t="n">
        <x:f>'sheet2-计算明细'!AT166</x:f>
        <x:v>173</x:v>
      </x:c>
      <x:c r="V90" s="80" t="n">
        <x:f>COUNTIF($U$2:$U$127,"&lt;"&amp;U90)+1</x:f>
        <x:v>111</x:v>
      </x:c>
    </x:row>
    <x:row r="91" ht="27" customHeight="1">
      <x:c r="A91" s="66" t="n">
        <x:v>90</x:v>
      </x:c>
      <x:c r="B91" s="66" t="str">
        <x:f>IF(INDEX($L$2:$L$127,MATCH(A91,$V$2:$V$127,0))="","",INDEX($L$2:$L$127,MATCH(A91,$V$2:$V$127,0)))</x:f>
        <x:v>鹿秀驯鹿20号</x:v>
      </x:c>
      <x:c r="C91" s="66" t="str">
        <x:f>IF(INDEX($M$2:$M$127,MATCH(A91,$V$2:$V$127,0))="","",INDEX($M$2:$M$127,MATCH(A91,$V$2:$V$127,0)))</x:f>
        <x:v>SNQ397</x:v>
      </x:c>
      <x:c r="D91" s="66" t="str">
        <x:f>IF(INDEX($N$2:$N$127,MATCH(A91,$V$2:$V$127,0))="","",INDEX($N$2:$N$127,MATCH(A91,$V$2:$V$127,0)))</x:f>
        <x:v>青岛鹿秀投资</x:v>
      </x:c>
      <x:c r="E91" s="66" t="str">
        <x:f>IF(INDEX($O$2:$O$127,MATCH(A91,$V$2:$V$127,0))="","",INDEX($O$2:$O$127,MATCH(A91,$V$2:$V$127,0)))</x:f>
        <x:v>50-100亿元</x:v>
      </x:c>
      <x:c r="F91" s="77" t="n">
        <x:f>IF(INDEX($P$2:$P$127,MATCH(A91,$V$2:$V$127,0))="","",INDEX($P$2:$P$127,MATCH(A91,$V$2:$V$127,0)))</x:f>
        <x:v>54.29159</x:v>
      </x:c>
      <x:c r="G91" s="77" t="n">
        <x:f>IF(INDEX($Q$2:$Q$127,MATCH(A91,$V$2:$V$127,0))="","",INDEX($Q$2:$Q$127,MATCH(A91,$V$2:$V$127,0)))</x:f>
        <x:v>54.29</x:v>
      </x:c>
      <x:c r="H91" s="78" t="n">
        <x:f>IF(INDEX($R$2:$R$127,MATCH(A91,$V$2:$V$127,0))="","",INDEX($R$2:$R$127,MATCH(A91,$V$2:$V$127,0)))</x:f>
        <x:v>1</x:v>
      </x:c>
      <x:c r="I91" s="66" t="str">
        <x:f>IF(INDEX($S$2:$S$127,MATCH(A91,$V$2:$V$127,0))="","",INDEX($S$2:$S$127,MATCH(A91,$V$2:$V$127,0)))</x:f>
        <x:v>协会提示／报送异常</x:v>
      </x:c>
      <x:c r="J91" s="66" t="str">
        <x:f>IF(INDEX($T$2:$T$127,MATCH(A91,$V$2:$V$127,0))="","",INDEX($T$2:$T$127,MATCH(A91,$V$2:$V$127,0)))</x:f>
        <x:v>https://gs.amac.org.cn/amac-infodisc/res/pof/manager/1612231708101923.html</x:v>
      </x:c>
      <x:c r="K91" s="66" t="n">
        <x:f>IF(INDEX($U$2:$U$127,MATCH(A91,$V$2:$V$127,0))="","",INDEX($U$2:$U$127,MATCH(A91,$V$2:$V$127,0)))</x:f>
        <x:v>130</x:v>
      </x:c>
      <x:c r="L91" s="80" t="str">
        <x:v>慕途基本面量化1号</x:v>
      </x:c>
      <x:c r="M91" s="80" t="str">
        <x:v>SVW787</x:v>
      </x:c>
      <x:c r="N91" s="80" t="str">
        <x:v>慕途基金</x:v>
      </x:c>
      <x:c r="O91" s="80" t="str">
        <x:v>10-20亿元</x:v>
      </x:c>
      <x:c r="P91" s="81" t="str">
        <x:f>IF(ABS('sheet2-计算明细'!AQ167-1)&lt;0.00000001,'sheet2-计算明细'!AR167,"")</x:f>
      </x:c>
      <x:c r="Q91" s="81" t="n">
        <x:f>'sheet2-计算明细'!AS167</x:f>
        <x:v>69.24</x:v>
      </x:c>
      <x:c r="R91" s="82" t="n">
        <x:f>'sheet2-计算明细'!AQ167</x:f>
        <x:v>0.88</x:v>
      </x:c>
      <x:c r="S91" s="80" t="str">
        <x:v>本次公示未见相关记录</x:v>
      </x:c>
      <x:c r="T91" s="80" t="str">
        <x:v>https://gs.amac.org.cn/amac-infodisc/res/pof/manager/2106221238106983.html</x:v>
      </x:c>
      <x:c r="U91" s="80" t="n">
        <x:f>'sheet2-计算明细'!AT167</x:f>
        <x:v>76</x:v>
      </x:c>
      <x:c r="V91" s="80" t="n">
        <x:f>COUNTIF($U$2:$U$127,"&lt;"&amp;U91)+1</x:f>
        <x:v>51</x:v>
      </x:c>
    </x:row>
    <x:row r="92" ht="27" customHeight="1">
      <x:c r="A92" s="66" t="n">
        <x:v>91</x:v>
      </x:c>
      <x:c r="B92" s="66" t="str">
        <x:f>IF(INDEX($L$2:$L$127,MATCH(A92,$V$2:$V$127,0))="","",INDEX($L$2:$L$127,MATCH(A92,$V$2:$V$127,0)))</x:f>
        <x:v>嘉和传承精研二期</x:v>
      </x:c>
      <x:c r="C92" s="66" t="str">
        <x:f>IF(INDEX($M$2:$M$127,MATCH(A92,$V$2:$V$127,0))="","",INDEX($M$2:$M$127,MATCH(A92,$V$2:$V$127,0)))</x:f>
        <x:v>STD929</x:v>
      </x:c>
      <x:c r="D92" s="66" t="str">
        <x:f>IF(INDEX($N$2:$N$127,MATCH(A92,$V$2:$V$127,0))="","",INDEX($N$2:$N$127,MATCH(A92,$V$2:$V$127,0)))</x:f>
        <x:v>上海嘉和传承</x:v>
      </x:c>
      <x:c r="E92" s="66" t="str">
        <x:f>IF(INDEX($O$2:$O$127,MATCH(A92,$V$2:$V$127,0))="","",INDEX($O$2:$O$127,MATCH(A92,$V$2:$V$127,0)))</x:f>
        <x:v>5-10亿元</x:v>
      </x:c>
      <x:c r="F92" s="77" t="str">
        <x:f>IF(INDEX($P$2:$P$127,MATCH(A92,$V$2:$V$127,0))="","",INDEX($P$2:$P$127,MATCH(A92,$V$2:$V$127,0)))</x:f>
      </x:c>
      <x:c r="G92" s="77" t="n">
        <x:f>IF(INDEX($Q$2:$Q$127,MATCH(A92,$V$2:$V$127,0))="","",INDEX($Q$2:$Q$127,MATCH(A92,$V$2:$V$127,0)))</x:f>
        <x:v>54.21</x:v>
      </x:c>
      <x:c r="H92" s="78" t="n">
        <x:f>IF(INDEX($R$2:$R$127,MATCH(A92,$V$2:$V$127,0))="","",INDEX($R$2:$R$127,MATCH(A92,$V$2:$V$127,0)))</x:f>
        <x:v>0.88</x:v>
      </x:c>
      <x:c r="I92" s="66" t="str">
        <x:f>IF(INDEX($S$2:$S$127,MATCH(A92,$V$2:$V$127,0))="","",INDEX($S$2:$S$127,MATCH(A92,$V$2:$V$127,0)))</x:f>
        <x:v>本次公示未见相关记录</x:v>
      </x:c>
      <x:c r="J92" s="66" t="str">
        <x:f>IF(INDEX($T$2:$T$127,MATCH(A92,$V$2:$V$127,0))="","",INDEX($T$2:$T$127,MATCH(A92,$V$2:$V$127,0)))</x:f>
        <x:v>https://gs.amac.org.cn/amac-infodisc/res/pof/manager/2203031405108672.html</x:v>
      </x:c>
      <x:c r="K92" s="66" t="n">
        <x:f>IF(INDEX($U$2:$U$127,MATCH(A92,$V$2:$V$127,0))="","",INDEX($U$2:$U$127,MATCH(A92,$V$2:$V$127,0)))</x:f>
        <x:v>131</x:v>
      </x:c>
      <x:c r="L92" s="80" t="str">
        <x:v>金和金诚5号</x:v>
      </x:c>
      <x:c r="M92" s="80" t="str">
        <x:v>SVZ035</x:v>
      </x:c>
      <x:c r="N92" s="80" t="str">
        <x:v>上海金和晟</x:v>
      </x:c>
      <x:c r="O92" s="80" t="str">
        <x:v>20-50亿元</x:v>
      </x:c>
      <x:c r="P92" s="81" t="str">
        <x:f>IF(ABS('sheet2-计算明细'!AQ168-1)&lt;0.00000001,'sheet2-计算明细'!AR168,"")</x:f>
      </x:c>
      <x:c r="Q92" s="81" t="n">
        <x:f>'sheet2-计算明细'!AS168</x:f>
        <x:v>77.04</x:v>
      </x:c>
      <x:c r="R92" s="82" t="n">
        <x:f>'sheet2-计算明细'!AQ168</x:f>
        <x:v>0.88</x:v>
      </x:c>
      <x:c r="S92" s="80" t="str">
        <x:v>本次公示未见相关记录</x:v>
      </x:c>
      <x:c r="T92" s="80" t="str">
        <x:v>https://gs.amac.org.cn/amac-infodisc/res/pof/manager/2010280957108370.html</x:v>
      </x:c>
      <x:c r="U92" s="80" t="n">
        <x:f>'sheet2-计算明细'!AT168</x:f>
        <x:v>41</x:v>
      </x:c>
      <x:c r="V92" s="80" t="n">
        <x:f>COUNTIF($U$2:$U$127,"&lt;"&amp;U92)+1</x:f>
        <x:v>27</x:v>
      </x:c>
    </x:row>
    <x:row r="93" ht="27" customHeight="1">
      <x:c r="A93" s="66" t="n">
        <x:v>92</x:v>
      </x:c>
      <x:c r="B93" s="66" t="str">
        <x:f>IF(INDEX($L$2:$L$127,MATCH(A93,$V$2:$V$127,0))="","",INDEX($L$2:$L$127,MATCH(A93,$V$2:$V$127,0)))</x:f>
        <x:v>银万财派恒星套利1号</x:v>
      </x:c>
      <x:c r="C93" s="66" t="str">
        <x:f>IF(INDEX($M$2:$M$127,MATCH(A93,$V$2:$V$127,0))="","",INDEX($M$2:$M$127,MATCH(A93,$V$2:$V$127,0)))</x:f>
        <x:v>SB7490</x:v>
      </x:c>
      <x:c r="D93" s="66" t="str">
        <x:f>IF(INDEX($N$2:$N$127,MATCH(A93,$V$2:$V$127,0))="","",INDEX($N$2:$N$127,MATCH(A93,$V$2:$V$127,0)))</x:f>
        <x:v>浙江银万</x:v>
      </x:c>
      <x:c r="E93" s="66" t="str">
        <x:f>IF(INDEX($O$2:$O$127,MATCH(A93,$V$2:$V$127,0))="","",INDEX($O$2:$O$127,MATCH(A93,$V$2:$V$127,0)))</x:f>
        <x:v>20-50亿元</x:v>
      </x:c>
      <x:c r="F93" s="77" t="n">
        <x:f>IF(INDEX($P$2:$P$127,MATCH(A93,$V$2:$V$127,0))="","",INDEX($P$2:$P$127,MATCH(A93,$V$2:$V$127,0)))</x:f>
        <x:v>54.19514</x:v>
      </x:c>
      <x:c r="G93" s="77" t="n">
        <x:f>IF(INDEX($Q$2:$Q$127,MATCH(A93,$V$2:$V$127,0))="","",INDEX($Q$2:$Q$127,MATCH(A93,$V$2:$V$127,0)))</x:f>
        <x:v>54.2</x:v>
      </x:c>
      <x:c r="H93" s="78" t="n">
        <x:f>IF(INDEX($R$2:$R$127,MATCH(A93,$V$2:$V$127,0))="","",INDEX($R$2:$R$127,MATCH(A93,$V$2:$V$127,0)))</x:f>
        <x:v>1</x:v>
      </x:c>
      <x:c r="I93" s="66" t="str">
        <x:f>IF(INDEX($S$2:$S$127,MATCH(A93,$V$2:$V$127,0))="","",INDEX($S$2:$S$127,MATCH(A93,$V$2:$V$127,0)))</x:f>
        <x:v>监管警示函</x:v>
      </x:c>
      <x:c r="J93" s="66" t="str">
        <x:f>IF(INDEX($T$2:$T$127,MATCH(A93,$V$2:$V$127,0))="","",INDEX($T$2:$T$127,MATCH(A93,$V$2:$V$127,0)))</x:f>
        <x:v>https://gs.amac.org.cn/amac-infodisc/res/pof/manager/101000005988.html</x:v>
      </x:c>
      <x:c r="K93" s="66" t="n">
        <x:f>IF(INDEX($U$2:$U$127,MATCH(A93,$V$2:$V$127,0))="","",INDEX($U$2:$U$127,MATCH(A93,$V$2:$V$127,0)))</x:f>
        <x:v>132</x:v>
      </x:c>
      <x:c r="L93" s="80" t="str">
        <x:v>致同添利套利多策略三期A类</x:v>
      </x:c>
      <x:c r="M93" s="80" t="str">
        <x:v>TY632A</x:v>
      </x:c>
      <x:c r="N93" s="80" t="str">
        <x:v>上海致同投资</x:v>
      </x:c>
      <x:c r="O93" s="80" t="str">
        <x:v>20-50亿元</x:v>
      </x:c>
      <x:c r="P93" s="81" t="str">
        <x:f>IF(ABS('sheet2-计算明细'!AQ171-1)&lt;0.00000001,'sheet2-计算明细'!AR171,"")</x:f>
      </x:c>
      <x:c r="Q93" s="81" t="n">
        <x:f>'sheet2-计算明细'!AS171</x:f>
        <x:v>71.18</x:v>
      </x:c>
      <x:c r="R93" s="82" t="n">
        <x:f>'sheet2-计算明细'!AQ171</x:f>
        <x:v>0.8350000000000001</x:v>
      </x:c>
      <x:c r="S93" s="80" t="str">
        <x:v>监管警示函</x:v>
      </x:c>
      <x:c r="T93" s="80" t="str">
        <x:v>https://gs.amac.org.cn/amac-infodisc/res/pof/manager/101000004339.html</x:v>
      </x:c>
      <x:c r="U93" s="80" t="n">
        <x:f>'sheet2-计算明细'!AT171</x:f>
        <x:v>66</x:v>
      </x:c>
      <x:c r="V93" s="80" t="n">
        <x:f>COUNTIF($U$2:$U$127,"&lt;"&amp;U93)+1</x:f>
        <x:v>44</x:v>
      </x:c>
    </x:row>
    <x:row r="94" ht="27" customHeight="1">
      <x:c r="A94" s="66" t="n">
        <x:v>93</x:v>
      </x:c>
      <x:c r="B94" s="66" t="str">
        <x:f>IF(INDEX($L$2:$L$127,MATCH(A94,$V$2:$V$127,0))="","",INDEX($L$2:$L$127,MATCH(A94,$V$2:$V$127,0)))</x:f>
        <x:v>申毅多策略量化7号</x:v>
      </x:c>
      <x:c r="C94" s="66" t="str">
        <x:f>IF(INDEX($M$2:$M$127,MATCH(A94,$V$2:$V$127,0))="","",INDEX($M$2:$M$127,MATCH(A94,$V$2:$V$127,0)))</x:f>
        <x:v>S35707</x:v>
      </x:c>
      <x:c r="D94" s="66" t="str">
        <x:f>IF(INDEX($N$2:$N$127,MATCH(A94,$V$2:$V$127,0))="","",INDEX($N$2:$N$127,MATCH(A94,$V$2:$V$127,0)))</x:f>
        <x:v>上海申毅投资</x:v>
      </x:c>
      <x:c r="E94" s="66" t="str">
        <x:f>IF(INDEX($O$2:$O$127,MATCH(A94,$V$2:$V$127,0))="","",INDEX($O$2:$O$127,MATCH(A94,$V$2:$V$127,0)))</x:f>
        <x:v>100亿元以上</x:v>
      </x:c>
      <x:c r="F94" s="77" t="n">
        <x:f>IF(INDEX($P$2:$P$127,MATCH(A94,$V$2:$V$127,0))="","",INDEX($P$2:$P$127,MATCH(A94,$V$2:$V$127,0)))</x:f>
        <x:v>52.54249</x:v>
      </x:c>
      <x:c r="G94" s="77" t="n">
        <x:f>IF(INDEX($Q$2:$Q$127,MATCH(A94,$V$2:$V$127,0))="","",INDEX($Q$2:$Q$127,MATCH(A94,$V$2:$V$127,0)))</x:f>
        <x:v>52.54</x:v>
      </x:c>
      <x:c r="H94" s="78" t="n">
        <x:f>IF(INDEX($R$2:$R$127,MATCH(A94,$V$2:$V$127,0))="","",INDEX($R$2:$R$127,MATCH(A94,$V$2:$V$127,0)))</x:f>
        <x:v>1</x:v>
      </x:c>
      <x:c r="I94" s="66" t="str">
        <x:f>IF(INDEX($S$2:$S$127,MATCH(A94,$V$2:$V$127,0))="","",INDEX($S$2:$S$127,MATCH(A94,$V$2:$V$127,0)))</x:f>
        <x:v>本次公示未见相关记录</x:v>
      </x:c>
      <x:c r="J94" s="66" t="str">
        <x:f>IF(INDEX($T$2:$T$127,MATCH(A94,$V$2:$V$127,0))="","",INDEX($T$2:$T$127,MATCH(A94,$V$2:$V$127,0)))</x:f>
        <x:v>https://gs.amac.org.cn/amac-infodisc/res/pof/manager/101000000870.html</x:v>
      </x:c>
      <x:c r="K94" s="66" t="n">
        <x:f>IF(INDEX($U$2:$U$127,MATCH(A94,$V$2:$V$127,0))="","",INDEX($U$2:$U$127,MATCH(A94,$V$2:$V$127,0)))</x:f>
        <x:v>136</x:v>
      </x:c>
      <x:c r="L94" s="80" t="str">
        <x:v>岳鑫遥1号</x:v>
      </x:c>
      <x:c r="M94" s="80" t="str">
        <x:v>SXJ331</x:v>
      </x:c>
      <x:c r="N94" s="80" t="str">
        <x:v>北京岳鑫遥</x:v>
      </x:c>
      <x:c r="O94" s="80" t="str">
        <x:v>5-10亿元</x:v>
      </x:c>
      <x:c r="P94" s="81" t="str">
        <x:f>IF(ABS('sheet2-计算明细'!AQ173-1)&lt;0.00000001,'sheet2-计算明细'!AR173,"")</x:f>
      </x:c>
      <x:c r="Q94" s="81" t="n">
        <x:f>'sheet2-计算明细'!AS173</x:f>
        <x:v>56.26</x:v>
      </x:c>
      <x:c r="R94" s="82" t="n">
        <x:f>'sheet2-计算明细'!AQ173</x:f>
        <x:v>0.88</x:v>
      </x:c>
      <x:c r="S94" s="80" t="str">
        <x:v>协会提示／报送异常</x:v>
      </x:c>
      <x:c r="T94" s="80" t="str">
        <x:v>https://gs.amac.org.cn/amac-infodisc/res/pof/manager/2207041830121644.html</x:v>
      </x:c>
      <x:c r="U94" s="80" t="n">
        <x:f>'sheet2-计算明细'!AT173</x:f>
        <x:v>122</x:v>
      </x:c>
      <x:c r="V94" s="80" t="n">
        <x:f>COUNTIF($U$2:$U$127,"&lt;"&amp;U94)+1</x:f>
        <x:v>86</x:v>
      </x:c>
    </x:row>
    <x:row r="95" ht="27" customHeight="1">
      <x:c r="A95" s="66" t="n">
        <x:v>94</x:v>
      </x:c>
      <x:c r="B95" s="66" t="str">
        <x:f>IF(INDEX($L$2:$L$127,MATCH(A95,$V$2:$V$127,0))="","",INDEX($L$2:$L$127,MATCH(A95,$V$2:$V$127,0)))</x:f>
        <x:v>荣熙商品1号</x:v>
      </x:c>
      <x:c r="C95" s="66" t="str">
        <x:f>IF(INDEX($M$2:$M$127,MATCH(A95,$V$2:$V$127,0))="","",INDEX($M$2:$M$127,MATCH(A95,$V$2:$V$127,0)))</x:f>
        <x:v>SQS292</x:v>
      </x:c>
      <x:c r="D95" s="66" t="str">
        <x:f>IF(INDEX($N$2:$N$127,MATCH(A95,$V$2:$V$127,0))="","",INDEX($N$2:$N$127,MATCH(A95,$V$2:$V$127,0)))</x:f>
        <x:v>上海荣熙</x:v>
      </x:c>
      <x:c r="E95" s="66" t="str">
        <x:f>IF(INDEX($O$2:$O$127,MATCH(A95,$V$2:$V$127,0))="","",INDEX($O$2:$O$127,MATCH(A95,$V$2:$V$127,0)))</x:f>
        <x:v>5-10亿元</x:v>
      </x:c>
      <x:c r="F95" s="77" t="n">
        <x:f>IF(INDEX($P$2:$P$127,MATCH(A95,$V$2:$V$127,0))="","",INDEX($P$2:$P$127,MATCH(A95,$V$2:$V$127,0)))</x:f>
        <x:v>51.81028</x:v>
      </x:c>
      <x:c r="G95" s="77" t="n">
        <x:f>IF(INDEX($Q$2:$Q$127,MATCH(A95,$V$2:$V$127,0))="","",INDEX($Q$2:$Q$127,MATCH(A95,$V$2:$V$127,0)))</x:f>
        <x:v>51.81</x:v>
      </x:c>
      <x:c r="H95" s="78" t="n">
        <x:f>IF(INDEX($R$2:$R$127,MATCH(A95,$V$2:$V$127,0))="","",INDEX($R$2:$R$127,MATCH(A95,$V$2:$V$127,0)))</x:f>
        <x:v>1</x:v>
      </x:c>
      <x:c r="I95" s="66" t="str">
        <x:f>IF(INDEX($S$2:$S$127,MATCH(A95,$V$2:$V$127,0))="","",INDEX($S$2:$S$127,MATCH(A95,$V$2:$V$127,0)))</x:f>
        <x:v>本次公示未见相关记录</x:v>
      </x:c>
      <x:c r="J95" s="66" t="str">
        <x:f>IF(INDEX($T$2:$T$127,MATCH(A95,$V$2:$V$127,0))="","",INDEX($T$2:$T$127,MATCH(A95,$V$2:$V$127,0)))</x:f>
        <x:v>https://gs.amac.org.cn/amac-infodisc/res/pof/manager/101000027208.html</x:v>
      </x:c>
      <x:c r="K95" s="66" t="n">
        <x:f>IF(INDEX($U$2:$U$127,MATCH(A95,$V$2:$V$127,0))="","",INDEX($U$2:$U$127,MATCH(A95,$V$2:$V$127,0)))</x:f>
        <x:v>140</x:v>
      </x:c>
      <x:c r="L95" s="80" t="str">
        <x:v>兆信股指期货期权套利1号</x:v>
      </x:c>
      <x:c r="M95" s="80" t="str">
        <x:v>SXN023</x:v>
      </x:c>
      <x:c r="N95" s="80" t="str">
        <x:v>江苏兆信</x:v>
      </x:c>
      <x:c r="O95" s="80" t="str">
        <x:v>20-50亿元</x:v>
      </x:c>
      <x:c r="P95" s="81" t="str">
        <x:f>IF(ABS('sheet2-计算明细'!AQ174-1)&lt;0.00000001,'sheet2-计算明细'!AR174,"")</x:f>
      </x:c>
      <x:c r="Q95" s="81" t="n">
        <x:f>'sheet2-计算明细'!AS174</x:f>
        <x:v>59.01</x:v>
      </x:c>
      <x:c r="R95" s="82" t="n">
        <x:f>'sheet2-计算明细'!AQ174</x:f>
        <x:v>0.88</x:v>
      </x:c>
      <x:c r="S95" s="80" t="str">
        <x:v>本次公示未见相关记录</x:v>
      </x:c>
      <x:c r="T95" s="80" t="str">
        <x:v>https://gs.amac.org.cn/amac-infodisc/res/pof/manager/101000002312.html</x:v>
      </x:c>
      <x:c r="U95" s="80" t="n">
        <x:f>'sheet2-计算明细'!AT174</x:f>
        <x:v>113</x:v>
      </x:c>
      <x:c r="V95" s="80" t="n">
        <x:f>COUNTIF($U$2:$U$127,"&lt;"&amp;U95)+1</x:f>
        <x:v>78</x:v>
      </x:c>
    </x:row>
    <x:row r="96" ht="27" customHeight="1">
      <x:c r="A96" s="66" t="n">
        <x:v>95</x:v>
      </x:c>
      <x:c r="B96" s="66" t="str">
        <x:f>IF(INDEX($L$2:$L$127,MATCH(A96,$V$2:$V$127,0))="","",INDEX($L$2:$L$127,MATCH(A96,$V$2:$V$127,0)))</x:f>
        <x:v>申毅格物22号</x:v>
      </x:c>
      <x:c r="C96" s="66" t="str">
        <x:f>IF(INDEX($M$2:$M$127,MATCH(A96,$V$2:$V$127,0))="","",INDEX($M$2:$M$127,MATCH(A96,$V$2:$V$127,0)))</x:f>
        <x:v>SLD523</x:v>
      </x:c>
      <x:c r="D96" s="66" t="str">
        <x:f>IF(INDEX($N$2:$N$127,MATCH(A96,$V$2:$V$127,0))="","",INDEX($N$2:$N$127,MATCH(A96,$V$2:$V$127,0)))</x:f>
        <x:v>上海申毅投资</x:v>
      </x:c>
      <x:c r="E96" s="66" t="str">
        <x:f>IF(INDEX($O$2:$O$127,MATCH(A96,$V$2:$V$127,0))="","",INDEX($O$2:$O$127,MATCH(A96,$V$2:$V$127,0)))</x:f>
        <x:v>100亿元以上</x:v>
      </x:c>
      <x:c r="F96" s="77" t="n">
        <x:f>IF(INDEX($P$2:$P$127,MATCH(A96,$V$2:$V$127,0))="","",INDEX($P$2:$P$127,MATCH(A96,$V$2:$V$127,0)))</x:f>
        <x:v>51.62448</x:v>
      </x:c>
      <x:c r="G96" s="77" t="n">
        <x:f>IF(INDEX($Q$2:$Q$127,MATCH(A96,$V$2:$V$127,0))="","",INDEX($Q$2:$Q$127,MATCH(A96,$V$2:$V$127,0)))</x:f>
        <x:v>51.62</x:v>
      </x:c>
      <x:c r="H96" s="78" t="n">
        <x:f>IF(INDEX($R$2:$R$127,MATCH(A96,$V$2:$V$127,0))="","",INDEX($R$2:$R$127,MATCH(A96,$V$2:$V$127,0)))</x:f>
        <x:v>1</x:v>
      </x:c>
      <x:c r="I96" s="66" t="str">
        <x:f>IF(INDEX($S$2:$S$127,MATCH(A96,$V$2:$V$127,0))="","",INDEX($S$2:$S$127,MATCH(A96,$V$2:$V$127,0)))</x:f>
        <x:v>本次公示未见相关记录</x:v>
      </x:c>
      <x:c r="J96" s="66" t="str">
        <x:f>IF(INDEX($T$2:$T$127,MATCH(A96,$V$2:$V$127,0))="","",INDEX($T$2:$T$127,MATCH(A96,$V$2:$V$127,0)))</x:f>
        <x:v>https://gs.amac.org.cn/amac-infodisc/res/pof/manager/101000000870.html</x:v>
      </x:c>
      <x:c r="K96" s="66" t="n">
        <x:f>IF(INDEX($U$2:$U$127,MATCH(A96,$V$2:$V$127,0))="","",INDEX($U$2:$U$127,MATCH(A96,$V$2:$V$127,0)))</x:f>
        <x:v>142</x:v>
      </x:c>
      <x:c r="L96" s="80" t="str">
        <x:v>谊恒滴海一号</x:v>
      </x:c>
      <x:c r="M96" s="80" t="str">
        <x:v>SXL701</x:v>
      </x:c>
      <x:c r="N96" s="80" t="str">
        <x:v>上海滴海</x:v>
      </x:c>
      <x:c r="O96" s="80" t="str">
        <x:v>5-10亿元</x:v>
      </x:c>
      <x:c r="P96" s="81" t="str">
        <x:f>IF(ABS('sheet2-计算明细'!AQ175-1)&lt;0.00000001,'sheet2-计算明细'!AR175,"")</x:f>
      </x:c>
      <x:c r="Q96" s="81" t="n">
        <x:f>'sheet2-计算明细'!AS175</x:f>
        <x:v>67.34</x:v>
      </x:c>
      <x:c r="R96" s="82" t="n">
        <x:f>'sheet2-计算明细'!AQ175</x:f>
        <x:v>0.88</x:v>
      </x:c>
      <x:c r="S96" s="80" t="str">
        <x:v>协会提示／报送异常</x:v>
      </x:c>
      <x:c r="T96" s="80" t="str">
        <x:v>https://gs.amac.org.cn/amac-infodisc/res/pof/manager/101000018343.html</x:v>
      </x:c>
      <x:c r="U96" s="80" t="n">
        <x:f>'sheet2-计算明细'!AT175</x:f>
        <x:v>82</x:v>
      </x:c>
      <x:c r="V96" s="80" t="n">
        <x:f>COUNTIF($U$2:$U$127,"&lt;"&amp;U96)+1</x:f>
        <x:v>56</x:v>
      </x:c>
    </x:row>
    <x:row r="97" ht="27" customHeight="1">
      <x:c r="A97" s="66" t="n">
        <x:v>96</x:v>
      </x:c>
      <x:c r="B97" s="66" t="str">
        <x:f>IF(INDEX($L$2:$L$127,MATCH(A97,$V$2:$V$127,0))="","",INDEX($L$2:$L$127,MATCH(A97,$V$2:$V$127,0)))</x:f>
        <x:v>宏翼高频1号</x:v>
      </x:c>
      <x:c r="C97" s="66" t="str">
        <x:f>IF(INDEX($M$2:$M$127,MATCH(A97,$V$2:$V$127,0))="","",INDEX($M$2:$M$127,MATCH(A97,$V$2:$V$127,0)))</x:f>
        <x:v>SQA623</x:v>
      </x:c>
      <x:c r="D97" s="66" t="str">
        <x:f>IF(INDEX($N$2:$N$127,MATCH(A97,$V$2:$V$127,0))="","",INDEX($N$2:$N$127,MATCH(A97,$V$2:$V$127,0)))</x:f>
        <x:v>上海宏翼</x:v>
      </x:c>
      <x:c r="E97" s="66" t="str">
        <x:f>IF(INDEX($O$2:$O$127,MATCH(A97,$V$2:$V$127,0))="","",INDEX($O$2:$O$127,MATCH(A97,$V$2:$V$127,0)))</x:f>
        <x:v>5-10亿元</x:v>
      </x:c>
      <x:c r="F97" s="77" t="str">
        <x:f>IF(INDEX($P$2:$P$127,MATCH(A97,$V$2:$V$127,0))="","",INDEX($P$2:$P$127,MATCH(A97,$V$2:$V$127,0)))</x:f>
      </x:c>
      <x:c r="G97" s="77" t="n">
        <x:f>IF(INDEX($Q$2:$Q$127,MATCH(A97,$V$2:$V$127,0))="","",INDEX($Q$2:$Q$127,MATCH(A97,$V$2:$V$127,0)))</x:f>
        <x:v>50.99</x:v>
      </x:c>
      <x:c r="H97" s="78" t="n">
        <x:f>IF(INDEX($R$2:$R$127,MATCH(A97,$V$2:$V$127,0))="","",INDEX($R$2:$R$127,MATCH(A97,$V$2:$V$127,0)))</x:f>
        <x:v>0.88</x:v>
      </x:c>
      <x:c r="I97" s="66" t="str">
        <x:f>IF(INDEX($S$2:$S$127,MATCH(A97,$V$2:$V$127,0))="","",INDEX($S$2:$S$127,MATCH(A97,$V$2:$V$127,0)))</x:f>
        <x:v>本次公示未见相关记录</x:v>
      </x:c>
      <x:c r="J97" s="66" t="str">
        <x:f>IF(INDEX($T$2:$T$127,MATCH(A97,$V$2:$V$127,0))="","",INDEX($T$2:$T$127,MATCH(A97,$V$2:$V$127,0)))</x:f>
        <x:v>https://gs.amac.org.cn/amac-infodisc/res/pof/manager/2008271406105036.html</x:v>
      </x:c>
      <x:c r="K97" s="66" t="n">
        <x:f>IF(INDEX($U$2:$U$127,MATCH(A97,$V$2:$V$127,0))="","",INDEX($U$2:$U$127,MATCH(A97,$V$2:$V$127,0)))</x:f>
        <x:v>143</x:v>
      </x:c>
      <x:c r="L97" s="80" t="str">
        <x:v>殊馥兴义6号</x:v>
      </x:c>
      <x:c r="M97" s="80" t="str">
        <x:v>SXQ267</x:v>
      </x:c>
      <x:c r="N97" s="80" t="str">
        <x:v>上海殊馥投资</x:v>
      </x:c>
      <x:c r="O97" s="80" t="str">
        <x:v>10-20亿元</x:v>
      </x:c>
      <x:c r="P97" s="81" t="str">
        <x:f>IF(ABS('sheet2-计算明细'!AQ177-1)&lt;0.00000001,'sheet2-计算明细'!AR177,"")</x:f>
      </x:c>
      <x:c r="Q97" s="81" t="n">
        <x:f>'sheet2-计算明细'!AS177</x:f>
        <x:v>76.09</x:v>
      </x:c>
      <x:c r="R97" s="82" t="n">
        <x:f>'sheet2-计算明细'!AQ177</x:f>
        <x:v>0.88</x:v>
      </x:c>
      <x:c r="S97" s="80" t="str">
        <x:v>协会提示／报送异常</x:v>
      </x:c>
      <x:c r="T97" s="80" t="str">
        <x:v>https://gs.amac.org.cn/amac-infodisc/res/pof/manager/101000042776.html</x:v>
      </x:c>
      <x:c r="U97" s="80" t="n">
        <x:f>'sheet2-计算明细'!AT177</x:f>
        <x:v>43</x:v>
      </x:c>
      <x:c r="V97" s="80" t="n">
        <x:f>COUNTIF($U$2:$U$127,"&lt;"&amp;U97)+1</x:f>
        <x:v>29</x:v>
      </x:c>
    </x:row>
    <x:row r="98" ht="27" customHeight="1">
      <x:c r="A98" s="66" t="n">
        <x:v>97</x:v>
      </x:c>
      <x:c r="B98" s="66" t="str">
        <x:f>IF(INDEX($L$2:$L$127,MATCH(A98,$V$2:$V$127,0))="","",INDEX($L$2:$L$127,MATCH(A98,$V$2:$V$127,0)))</x:f>
        <x:v>汉盛浩远1号</x:v>
      </x:c>
      <x:c r="C98" s="66" t="str">
        <x:f>IF(INDEX($M$2:$M$127,MATCH(A98,$V$2:$V$127,0))="","",INDEX($M$2:$M$127,MATCH(A98,$V$2:$V$127,0)))</x:f>
        <x:v>SXE156</x:v>
      </x:c>
      <x:c r="D98" s="66" t="str">
        <x:f>IF(INDEX($N$2:$N$127,MATCH(A98,$V$2:$V$127,0))="","",INDEX($N$2:$N$127,MATCH(A98,$V$2:$V$127,0)))</x:f>
        <x:v>上海汉鸿</x:v>
      </x:c>
      <x:c r="E98" s="66" t="str">
        <x:f>IF(INDEX($O$2:$O$127,MATCH(A98,$V$2:$V$127,0))="","",INDEX($O$2:$O$127,MATCH(A98,$V$2:$V$127,0)))</x:f>
        <x:v>10-20亿元</x:v>
      </x:c>
      <x:c r="F98" s="77" t="n">
        <x:f>IF(INDEX($P$2:$P$127,MATCH(A98,$V$2:$V$127,0))="","",INDEX($P$2:$P$127,MATCH(A98,$V$2:$V$127,0)))</x:f>
        <x:v>49.98381</x:v>
      </x:c>
      <x:c r="G98" s="77" t="n">
        <x:f>IF(INDEX($Q$2:$Q$127,MATCH(A98,$V$2:$V$127,0))="","",INDEX($Q$2:$Q$127,MATCH(A98,$V$2:$V$127,0)))</x:f>
        <x:v>49.98</x:v>
      </x:c>
      <x:c r="H98" s="78" t="n">
        <x:f>IF(INDEX($R$2:$R$127,MATCH(A98,$V$2:$V$127,0))="","",INDEX($R$2:$R$127,MATCH(A98,$V$2:$V$127,0)))</x:f>
        <x:v>1</x:v>
      </x:c>
      <x:c r="I98" s="66" t="str">
        <x:f>IF(INDEX($S$2:$S$127,MATCH(A98,$V$2:$V$127,0))="","",INDEX($S$2:$S$127,MATCH(A98,$V$2:$V$127,0)))</x:f>
        <x:v>本次公示未见相关记录</x:v>
      </x:c>
      <x:c r="J98" s="66" t="str">
        <x:f>IF(INDEX($T$2:$T$127,MATCH(A98,$V$2:$V$127,0))="","",INDEX($T$2:$T$127,MATCH(A98,$V$2:$V$127,0)))</x:f>
        <x:v>https://gs.amac.org.cn/amac-infodisc/res/pof/manager/2108171651109816.html</x:v>
      </x:c>
      <x:c r="K98" s="66" t="n">
        <x:f>IF(INDEX($U$2:$U$127,MATCH(A98,$V$2:$V$127,0))="","",INDEX($U$2:$U$127,MATCH(A98,$V$2:$V$127,0)))</x:f>
        <x:v>146</x:v>
      </x:c>
      <x:c r="L98" s="80" t="str">
        <x:v>致同云峰AA类</x:v>
      </x:c>
      <x:c r="M98" s="80" t="str">
        <x:v>NB380A</x:v>
      </x:c>
      <x:c r="N98" s="80" t="str">
        <x:v>上海致同投资</x:v>
      </x:c>
      <x:c r="O98" s="80" t="str">
        <x:v>20-50亿元</x:v>
      </x:c>
      <x:c r="P98" s="81" t="str">
        <x:f>IF(ABS('sheet2-计算明细'!AQ179-1)&lt;0.00000001,'sheet2-计算明细'!AR179,"")</x:f>
      </x:c>
      <x:c r="Q98" s="81" t="n">
        <x:f>'sheet2-计算明细'!AS179</x:f>
        <x:v>69.06</x:v>
      </x:c>
      <x:c r="R98" s="82" t="n">
        <x:f>'sheet2-计算明细'!AQ179</x:f>
        <x:v>0.8350000000000001</x:v>
      </x:c>
      <x:c r="S98" s="80" t="str">
        <x:v>监管警示函</x:v>
      </x:c>
      <x:c r="T98" s="80" t="str">
        <x:v>https://gs.amac.org.cn/amac-infodisc/res/pof/manager/101000004339.html</x:v>
      </x:c>
      <x:c r="U98" s="80" t="n">
        <x:f>'sheet2-计算明细'!AT179</x:f>
        <x:v>77</x:v>
      </x:c>
      <x:c r="V98" s="80" t="n">
        <x:f>COUNTIF($U$2:$U$127,"&lt;"&amp;U98)+1</x:f>
        <x:v>52</x:v>
      </x:c>
    </x:row>
    <x:row r="99" ht="27" customHeight="1">
      <x:c r="A99" s="66" t="n">
        <x:v>98</x:v>
      </x:c>
      <x:c r="B99" s="66" t="str">
        <x:f>IF(INDEX($L$2:$L$127,MATCH(A99,$V$2:$V$127,0))="","",INDEX($L$2:$L$127,MATCH(A99,$V$2:$V$127,0)))</x:f>
        <x:v>砚博乘风量化14号</x:v>
      </x:c>
      <x:c r="C99" s="66" t="str">
        <x:f>IF(INDEX($M$2:$M$127,MATCH(A99,$V$2:$V$127,0))="","",INDEX($M$2:$M$127,MATCH(A99,$V$2:$V$127,0)))</x:f>
        <x:v>SZN225</x:v>
      </x:c>
      <x:c r="D99" s="66" t="str">
        <x:f>IF(INDEX($N$2:$N$127,MATCH(A99,$V$2:$V$127,0))="","",INDEX($N$2:$N$127,MATCH(A99,$V$2:$V$127,0)))</x:f>
        <x:v>深圳前海砚博乘风资管</x:v>
      </x:c>
      <x:c r="E99" s="66" t="str">
        <x:f>IF(INDEX($O$2:$O$127,MATCH(A99,$V$2:$V$127,0))="","",INDEX($O$2:$O$127,MATCH(A99,$V$2:$V$127,0)))</x:f>
        <x:v>10-20亿元</x:v>
      </x:c>
      <x:c r="F99" s="77" t="n">
        <x:f>IF(INDEX($P$2:$P$127,MATCH(A99,$V$2:$V$127,0))="","",INDEX($P$2:$P$127,MATCH(A99,$V$2:$V$127,0)))</x:f>
        <x:v>49.97392</x:v>
      </x:c>
      <x:c r="G99" s="77" t="n">
        <x:f>IF(INDEX($Q$2:$Q$127,MATCH(A99,$V$2:$V$127,0))="","",INDEX($Q$2:$Q$127,MATCH(A99,$V$2:$V$127,0)))</x:f>
        <x:v>49.97</x:v>
      </x:c>
      <x:c r="H99" s="78" t="n">
        <x:f>IF(INDEX($R$2:$R$127,MATCH(A99,$V$2:$V$127,0))="","",INDEX($R$2:$R$127,MATCH(A99,$V$2:$V$127,0)))</x:f>
        <x:v>1</x:v>
      </x:c>
      <x:c r="I99" s="66" t="str">
        <x:f>IF(INDEX($S$2:$S$127,MATCH(A99,$V$2:$V$127,0))="","",INDEX($S$2:$S$127,MATCH(A99,$V$2:$V$127,0)))</x:f>
        <x:v>协会提示／报送异常</x:v>
      </x:c>
      <x:c r="J99" s="66" t="str">
        <x:f>IF(INDEX($T$2:$T$127,MATCH(A99,$V$2:$V$127,0))="","",INDEX($T$2:$T$127,MATCH(A99,$V$2:$V$127,0)))</x:f>
        <x:v>https://gs.amac.org.cn/amac-infodisc/res/pof/manager/101000062862.html</x:v>
      </x:c>
      <x:c r="K99" s="66" t="n">
        <x:f>IF(INDEX($U$2:$U$127,MATCH(A99,$V$2:$V$127,0))="","",INDEX($U$2:$U$127,MATCH(A99,$V$2:$V$127,0)))</x:f>
        <x:v>147</x:v>
      </x:c>
      <x:c r="L99" s="80" t="str">
        <x:v>泰创稳健二号</x:v>
      </x:c>
      <x:c r="M99" s="80" t="str">
        <x:v>SXP356</x:v>
      </x:c>
      <x:c r="N99" s="80" t="str">
        <x:v>北京泰创投资</x:v>
      </x:c>
      <x:c r="O99" s="80" t="str">
        <x:v>5-10亿元</x:v>
      </x:c>
      <x:c r="P99" s="81" t="n">
        <x:f>IF(ABS('sheet2-计算明细'!AQ181-1)&lt;0.00000001,'sheet2-计算明细'!AR181,"")</x:f>
        <x:v>29.21788</x:v>
      </x:c>
      <x:c r="Q99" s="81" t="n">
        <x:f>'sheet2-计算明细'!AS181</x:f>
        <x:v>29.22</x:v>
      </x:c>
      <x:c r="R99" s="82" t="n">
        <x:f>'sheet2-计算明细'!AQ181</x:f>
        <x:v>1</x:v>
      </x:c>
      <x:c r="S99" s="80" t="str">
        <x:v>本次公示未见相关记录</x:v>
      </x:c>
      <x:c r="T99" s="80" t="str">
        <x:v>https://gs.amac.org.cn/amac-infodisc/res/pof/manager/101000008864.html</x:v>
      </x:c>
      <x:c r="U99" s="80" t="n">
        <x:f>'sheet2-计算明细'!AT181</x:f>
        <x:v>195</x:v>
      </x:c>
      <x:c r="V99" s="80" t="n">
        <x:f>COUNTIF($U$2:$U$127,"&lt;"&amp;U99)+1</x:f>
        <x:v>122</x:v>
      </x:c>
    </x:row>
    <x:row r="100" ht="27" customHeight="1">
      <x:c r="A100" s="66" t="n">
        <x:v>99</x:v>
      </x:c>
      <x:c r="B100" s="66" t="str">
        <x:f>IF(INDEX($L$2:$L$127,MATCH(A100,$V$2:$V$127,0))="","",INDEX($L$2:$L$127,MATCH(A100,$V$2:$V$127,0)))</x:f>
        <x:v>呈瑞复合策略1号</x:v>
      </x:c>
      <x:c r="C100" s="66" t="str">
        <x:f>IF(INDEX($M$2:$M$127,MATCH(A100,$V$2:$V$127,0))="","",INDEX($M$2:$M$127,MATCH(A100,$V$2:$V$127,0)))</x:f>
        <x:v>STK755</x:v>
      </x:c>
      <x:c r="D100" s="66" t="str">
        <x:f>IF(INDEX($N$2:$N$127,MATCH(A100,$V$2:$V$127,0))="","",INDEX($N$2:$N$127,MATCH(A100,$V$2:$V$127,0)))</x:f>
        <x:v>上海呈瑞投资</x:v>
      </x:c>
      <x:c r="E100" s="66" t="str">
        <x:f>IF(INDEX($O$2:$O$127,MATCH(A100,$V$2:$V$127,0))="","",INDEX($O$2:$O$127,MATCH(A100,$V$2:$V$127,0)))</x:f>
        <x:v>50-100亿元</x:v>
      </x:c>
      <x:c r="F100" s="77" t="n">
        <x:f>IF(INDEX($P$2:$P$127,MATCH(A100,$V$2:$V$127,0))="","",INDEX($P$2:$P$127,MATCH(A100,$V$2:$V$127,0)))</x:f>
        <x:v>49.77904</x:v>
      </x:c>
      <x:c r="G100" s="77" t="n">
        <x:f>IF(INDEX($Q$2:$Q$127,MATCH(A100,$V$2:$V$127,0))="","",INDEX($Q$2:$Q$127,MATCH(A100,$V$2:$V$127,0)))</x:f>
        <x:v>49.78</x:v>
      </x:c>
      <x:c r="H100" s="78" t="n">
        <x:f>IF(INDEX($R$2:$R$127,MATCH(A100,$V$2:$V$127,0))="","",INDEX($R$2:$R$127,MATCH(A100,$V$2:$V$127,0)))</x:f>
        <x:v>1</x:v>
      </x:c>
      <x:c r="I100" s="66" t="str">
        <x:f>IF(INDEX($S$2:$S$127,MATCH(A100,$V$2:$V$127,0))="","",INDEX($S$2:$S$127,MATCH(A100,$V$2:$V$127,0)))</x:f>
        <x:v>监管责令改正</x:v>
      </x:c>
      <x:c r="J100" s="66" t="str">
        <x:f>IF(INDEX($T$2:$T$127,MATCH(A100,$V$2:$V$127,0))="","",INDEX($T$2:$T$127,MATCH(A100,$V$2:$V$127,0)))</x:f>
        <x:v>https://gs.amac.org.cn/amac-infodisc/res/pof/manager/101000000860.html</x:v>
      </x:c>
      <x:c r="K100" s="66" t="n">
        <x:f>IF(INDEX($U$2:$U$127,MATCH(A100,$V$2:$V$127,0))="","",INDEX($U$2:$U$127,MATCH(A100,$V$2:$V$127,0)))</x:f>
        <x:v>148</x:v>
      </x:c>
      <x:c r="L100" s="80" t="str">
        <x:v>殊馥兴义7号</x:v>
      </x:c>
      <x:c r="M100" s="80" t="str">
        <x:v>SXT610</x:v>
      </x:c>
      <x:c r="N100" s="80" t="str">
        <x:v>上海殊馥投资</x:v>
      </x:c>
      <x:c r="O100" s="80" t="str">
        <x:v>10-20亿元</x:v>
      </x:c>
      <x:c r="P100" s="81" t="str">
        <x:f>IF(ABS('sheet2-计算明细'!AQ182-1)&lt;0.00000001,'sheet2-计算明细'!AR182,"")</x:f>
      </x:c>
      <x:c r="Q100" s="81" t="n">
        <x:f>'sheet2-计算明细'!AS182</x:f>
        <x:v>81.59</x:v>
      </x:c>
      <x:c r="R100" s="82" t="n">
        <x:f>'sheet2-计算明细'!AQ182</x:f>
        <x:v>0.88</x:v>
      </x:c>
      <x:c r="S100" s="80" t="str">
        <x:v>协会提示／报送异常</x:v>
      </x:c>
      <x:c r="T100" s="80" t="str">
        <x:v>https://gs.amac.org.cn/amac-infodisc/res/pof/manager/101000042776.html</x:v>
      </x:c>
      <x:c r="U100" s="80" t="n">
        <x:f>'sheet2-计算明细'!AT182</x:f>
        <x:v>28</x:v>
      </x:c>
      <x:c r="V100" s="80" t="n">
        <x:f>COUNTIF($U$2:$U$127,"&lt;"&amp;U100)+1</x:f>
        <x:v>18</x:v>
      </x:c>
    </x:row>
    <x:row r="101" ht="27" customHeight="1">
      <x:c r="A101" s="66" t="n">
        <x:v>100</x:v>
      </x:c>
      <x:c r="B101" s="66" t="str">
        <x:f>IF(INDEX($L$2:$L$127,MATCH(A101,$V$2:$V$127,0))="","",INDEX($L$2:$L$127,MATCH(A101,$V$2:$V$127,0)))</x:f>
        <x:v>博牛转债策略2号</x:v>
      </x:c>
      <x:c r="C101" s="66" t="str">
        <x:f>IF(INDEX($M$2:$M$127,MATCH(A101,$V$2:$V$127,0))="","",INDEX($M$2:$M$127,MATCH(A101,$V$2:$V$127,0)))</x:f>
        <x:v>SVY871</x:v>
      </x:c>
      <x:c r="D101" s="66" t="str">
        <x:f>IF(INDEX($N$2:$N$127,MATCH(A101,$V$2:$V$127,0))="","",INDEX($N$2:$N$127,MATCH(A101,$V$2:$V$127,0)))</x:f>
        <x:v>广州博牛</x:v>
      </x:c>
      <x:c r="E101" s="66" t="str">
        <x:f>IF(INDEX($O$2:$O$127,MATCH(A101,$V$2:$V$127,0))="","",INDEX($O$2:$O$127,MATCH(A101,$V$2:$V$127,0)))</x:f>
        <x:v>5-10亿元</x:v>
      </x:c>
      <x:c r="F101" s="77" t="str">
        <x:f>IF(INDEX($P$2:$P$127,MATCH(A101,$V$2:$V$127,0))="","",INDEX($P$2:$P$127,MATCH(A101,$V$2:$V$127,0)))</x:f>
      </x:c>
      <x:c r="G101" s="77" t="n">
        <x:f>IF(INDEX($Q$2:$Q$127,MATCH(A101,$V$2:$V$127,0))="","",INDEX($Q$2:$Q$127,MATCH(A101,$V$2:$V$127,0)))</x:f>
        <x:v>48.49</x:v>
      </x:c>
      <x:c r="H101" s="78" t="n">
        <x:f>IF(INDEX($R$2:$R$127,MATCH(A101,$V$2:$V$127,0))="","",INDEX($R$2:$R$127,MATCH(A101,$V$2:$V$127,0)))</x:f>
        <x:v>0.88</x:v>
      </x:c>
      <x:c r="I101" s="66" t="str">
        <x:f>IF(INDEX($S$2:$S$127,MATCH(A101,$V$2:$V$127,0))="","",INDEX($S$2:$S$127,MATCH(A101,$V$2:$V$127,0)))</x:f>
        <x:v>协会提示／报送异常</x:v>
      </x:c>
      <x:c r="J101" s="66" t="str">
        <x:f>IF(INDEX($T$2:$T$127,MATCH(A101,$V$2:$V$127,0))="","",INDEX($T$2:$T$127,MATCH(A101,$V$2:$V$127,0)))</x:f>
        <x:v>https://gs.amac.org.cn/amac-infodisc/res/pof/manager/1801020956105866.html</x:v>
      </x:c>
      <x:c r="K101" s="66" t="n">
        <x:f>IF(INDEX($U$2:$U$127,MATCH(A101,$V$2:$V$127,0))="","",INDEX($U$2:$U$127,MATCH(A101,$V$2:$V$127,0)))</x:f>
        <x:v>151</x:v>
      </x:c>
      <x:c r="L101" s="80" t="str">
        <x:v>锐耐复利倍增2号</x:v>
      </x:c>
      <x:c r="M101" s="80" t="str">
        <x:v>SXV513</x:v>
      </x:c>
      <x:c r="N101" s="80" t="str">
        <x:v>上海锐耐</x:v>
      </x:c>
      <x:c r="O101" s="80" t="str">
        <x:v>20-50亿元</x:v>
      </x:c>
      <x:c r="P101" s="81" t="str">
        <x:f>IF(ABS('sheet2-计算明细'!AQ183-1)&lt;0.00000001,'sheet2-计算明细'!AR183,"")</x:f>
      </x:c>
      <x:c r="Q101" s="81" t="n">
        <x:f>'sheet2-计算明细'!AS183</x:f>
        <x:v>56.77</x:v>
      </x:c>
      <x:c r="R101" s="82" t="n">
        <x:f>'sheet2-计算明细'!AQ183</x:f>
        <x:v>0.88</x:v>
      </x:c>
      <x:c r="S101" s="80" t="str">
        <x:v>本次公示未见相关记录</x:v>
      </x:c>
      <x:c r="T101" s="80" t="str">
        <x:v>https://gs.amac.org.cn/amac-infodisc/res/pof/manager/2011201413105709.html</x:v>
      </x:c>
      <x:c r="U101" s="80" t="n">
        <x:f>'sheet2-计算明细'!AT183</x:f>
        <x:v>121</x:v>
      </x:c>
      <x:c r="V101" s="80" t="n">
        <x:f>COUNTIF($U$2:$U$127,"&lt;"&amp;U101)+1</x:f>
        <x:v>85</x:v>
      </x:c>
    </x:row>
    <x:row r="102" ht="27" customHeight="1">
      <x:c r="A102" s="66" t="n">
        <x:v>101</x:v>
      </x:c>
      <x:c r="B102" s="66" t="str">
        <x:f>IF(INDEX($L$2:$L$127,MATCH(A102,$V$2:$V$127,0))="","",INDEX($L$2:$L$127,MATCH(A102,$V$2:$V$127,0)))</x:f>
        <x:v>唐龙量化对冲99号</x:v>
      </x:c>
      <x:c r="C102" s="66" t="str">
        <x:f>IF(INDEX($M$2:$M$127,MATCH(A102,$V$2:$V$127,0))="","",INDEX($M$2:$M$127,MATCH(A102,$V$2:$V$127,0)))</x:f>
        <x:v>SJQ683</x:v>
      </x:c>
      <x:c r="D102" s="66" t="str">
        <x:f>IF(INDEX($N$2:$N$127,MATCH(A102,$V$2:$V$127,0))="","",INDEX($N$2:$N$127,MATCH(A102,$V$2:$V$127,0)))</x:f>
        <x:v>福建平潭唐龙资管</x:v>
      </x:c>
      <x:c r="E102" s="66" t="str">
        <x:f>IF(INDEX($O$2:$O$127,MATCH(A102,$V$2:$V$127,0))="","",INDEX($O$2:$O$127,MATCH(A102,$V$2:$V$127,0)))</x:f>
        <x:v>5-10亿元</x:v>
      </x:c>
      <x:c r="F102" s="77" t="n">
        <x:f>IF(INDEX($P$2:$P$127,MATCH(A102,$V$2:$V$127,0))="","",INDEX($P$2:$P$127,MATCH(A102,$V$2:$V$127,0)))</x:f>
        <x:v>47.019670000000005</x:v>
      </x:c>
      <x:c r="G102" s="77" t="n">
        <x:f>IF(INDEX($Q$2:$Q$127,MATCH(A102,$V$2:$V$127,0))="","",INDEX($Q$2:$Q$127,MATCH(A102,$V$2:$V$127,0)))</x:f>
        <x:v>47.02</x:v>
      </x:c>
      <x:c r="H102" s="78" t="n">
        <x:f>IF(INDEX($R$2:$R$127,MATCH(A102,$V$2:$V$127,0))="","",INDEX($R$2:$R$127,MATCH(A102,$V$2:$V$127,0)))</x:f>
        <x:v>1</x:v>
      </x:c>
      <x:c r="I102" s="66" t="str">
        <x:f>IF(INDEX($S$2:$S$127,MATCH(A102,$V$2:$V$127,0))="","",INDEX($S$2:$S$127,MATCH(A102,$V$2:$V$127,0)))</x:f>
        <x:v>本次公示未见相关记录</x:v>
      </x:c>
      <x:c r="J102" s="66" t="str">
        <x:f>IF(INDEX($T$2:$T$127,MATCH(A102,$V$2:$V$127,0))="","",INDEX($T$2:$T$127,MATCH(A102,$V$2:$V$127,0)))</x:f>
        <x:v>https://gs.amac.org.cn/amac-infodisc/res/pof/manager/1708091719102142.html</x:v>
      </x:c>
      <x:c r="K102" s="66" t="n">
        <x:f>IF(INDEX($U$2:$U$127,MATCH(A102,$V$2:$V$127,0))="","",INDEX($U$2:$U$127,MATCH(A102,$V$2:$V$127,0)))</x:f>
        <x:v>154</x:v>
      </x:c>
      <x:c r="L102" s="80" t="str">
        <x:v>乘舟紫荆1号</x:v>
      </x:c>
      <x:c r="M102" s="80" t="str">
        <x:v>SXW399</x:v>
      </x:c>
      <x:c r="N102" s="80" t="str">
        <x:v>上海乘舟投资</x:v>
      </x:c>
      <x:c r="O102" s="80" t="str">
        <x:v>5-10亿元</x:v>
      </x:c>
      <x:c r="P102" s="81" t="str">
        <x:f>IF(ABS('sheet2-计算明细'!AQ184-1)&lt;0.00000001,'sheet2-计算明细'!AR184,"")</x:f>
      </x:c>
      <x:c r="Q102" s="81" t="n">
        <x:f>'sheet2-计算明细'!AS184</x:f>
        <x:v>45.82</x:v>
      </x:c>
      <x:c r="R102" s="82" t="n">
        <x:f>'sheet2-计算明细'!AQ184</x:f>
        <x:v>0.88</x:v>
      </x:c>
      <x:c r="S102" s="80" t="str">
        <x:v>本次公示未见相关记录</x:v>
      </x:c>
      <x:c r="T102" s="80" t="str">
        <x:v>https://gs.amac.org.cn/amac-infodisc/res/pof/manager/2003191500102072.html</x:v>
      </x:c>
      <x:c r="U102" s="80" t="n">
        <x:f>'sheet2-计算明细'!AT184</x:f>
        <x:v>156</x:v>
      </x:c>
      <x:c r="V102" s="80" t="n">
        <x:f>COUNTIF($U$2:$U$127,"&lt;"&amp;U102)+1</x:f>
        <x:v>102</x:v>
      </x:c>
    </x:row>
    <x:row r="103" ht="27" customHeight="1">
      <x:c r="A103" s="66" t="n">
        <x:v>102</x:v>
      </x:c>
      <x:c r="B103" s="66" t="str">
        <x:f>IF(INDEX($L$2:$L$127,MATCH(A103,$V$2:$V$127,0))="","",INDEX($L$2:$L$127,MATCH(A103,$V$2:$V$127,0)))</x:f>
        <x:v>乘舟紫荆1号</x:v>
      </x:c>
      <x:c r="C103" s="66" t="str">
        <x:f>IF(INDEX($M$2:$M$127,MATCH(A103,$V$2:$V$127,0))="","",INDEX($M$2:$M$127,MATCH(A103,$V$2:$V$127,0)))</x:f>
        <x:v>SXW399</x:v>
      </x:c>
      <x:c r="D103" s="66" t="str">
        <x:f>IF(INDEX($N$2:$N$127,MATCH(A103,$V$2:$V$127,0))="","",INDEX($N$2:$N$127,MATCH(A103,$V$2:$V$127,0)))</x:f>
        <x:v>上海乘舟投资</x:v>
      </x:c>
      <x:c r="E103" s="66" t="str">
        <x:f>IF(INDEX($O$2:$O$127,MATCH(A103,$V$2:$V$127,0))="","",INDEX($O$2:$O$127,MATCH(A103,$V$2:$V$127,0)))</x:f>
        <x:v>5-10亿元</x:v>
      </x:c>
      <x:c r="F103" s="77" t="str">
        <x:f>IF(INDEX($P$2:$P$127,MATCH(A103,$V$2:$V$127,0))="","",INDEX($P$2:$P$127,MATCH(A103,$V$2:$V$127,0)))</x:f>
      </x:c>
      <x:c r="G103" s="77" t="n">
        <x:f>IF(INDEX($Q$2:$Q$127,MATCH(A103,$V$2:$V$127,0))="","",INDEX($Q$2:$Q$127,MATCH(A103,$V$2:$V$127,0)))</x:f>
        <x:v>45.82</x:v>
      </x:c>
      <x:c r="H103" s="78" t="n">
        <x:f>IF(INDEX($R$2:$R$127,MATCH(A103,$V$2:$V$127,0))="","",INDEX($R$2:$R$127,MATCH(A103,$V$2:$V$127,0)))</x:f>
        <x:v>0.88</x:v>
      </x:c>
      <x:c r="I103" s="66" t="str">
        <x:f>IF(INDEX($S$2:$S$127,MATCH(A103,$V$2:$V$127,0))="","",INDEX($S$2:$S$127,MATCH(A103,$V$2:$V$127,0)))</x:f>
        <x:v>本次公示未见相关记录</x:v>
      </x:c>
      <x:c r="J103" s="66" t="str">
        <x:f>IF(INDEX($T$2:$T$127,MATCH(A103,$V$2:$V$127,0))="","",INDEX($T$2:$T$127,MATCH(A103,$V$2:$V$127,0)))</x:f>
        <x:v>https://gs.amac.org.cn/amac-infodisc/res/pof/manager/2003191500102072.html</x:v>
      </x:c>
      <x:c r="K103" s="66" t="n">
        <x:f>IF(INDEX($U$2:$U$127,MATCH(A103,$V$2:$V$127,0))="","",INDEX($U$2:$U$127,MATCH(A103,$V$2:$V$127,0)))</x:f>
        <x:v>156</x:v>
      </x:c>
      <x:c r="L103" s="80" t="str">
        <x:v>岳鑫遥3号</x:v>
      </x:c>
      <x:c r="M103" s="80" t="str">
        <x:v>SXW818</x:v>
      </x:c>
      <x:c r="N103" s="80" t="str">
        <x:v>北京岳鑫遥</x:v>
      </x:c>
      <x:c r="O103" s="80" t="str">
        <x:v>5-10亿元</x:v>
      </x:c>
      <x:c r="P103" s="81" t="str">
        <x:f>IF(ABS('sheet2-计算明细'!AQ185-1)&lt;0.00000001,'sheet2-计算明细'!AR185,"")</x:f>
      </x:c>
      <x:c r="Q103" s="81" t="n">
        <x:f>'sheet2-计算明细'!AS185</x:f>
        <x:v>35.57</x:v>
      </x:c>
      <x:c r="R103" s="82" t="n">
        <x:f>'sheet2-计算明细'!AQ185</x:f>
        <x:v>0.88</x:v>
      </x:c>
      <x:c r="S103" s="80" t="str">
        <x:v>协会提示／报送异常</x:v>
      </x:c>
      <x:c r="T103" s="80" t="str">
        <x:v>https://gs.amac.org.cn/amac-infodisc/res/pof/manager/2207041830121644.html</x:v>
      </x:c>
      <x:c r="U103" s="80" t="n">
        <x:f>'sheet2-计算明细'!AT185</x:f>
        <x:v>183</x:v>
      </x:c>
      <x:c r="V103" s="80" t="n">
        <x:f>COUNTIF($U$2:$U$127,"&lt;"&amp;U103)+1</x:f>
        <x:v>119</x:v>
      </x:c>
    </x:row>
    <x:row r="104" ht="27" customHeight="1">
      <x:c r="A104" s="66" t="n">
        <x:v>103</x:v>
      </x:c>
      <x:c r="B104" s="66" t="str">
        <x:f>IF(INDEX($L$2:$L$127,MATCH(A104,$V$2:$V$127,0))="","",INDEX($L$2:$L$127,MATCH(A104,$V$2:$V$127,0)))</x:f>
        <x:v>悬铃君享CTA2号</x:v>
      </x:c>
      <x:c r="C104" s="66" t="str">
        <x:f>IF(INDEX($M$2:$M$127,MATCH(A104,$V$2:$V$127,0))="","",INDEX($M$2:$M$127,MATCH(A104,$V$2:$V$127,0)))</x:f>
        <x:v>SZF199</x:v>
      </x:c>
      <x:c r="D104" s="66" t="str">
        <x:f>IF(INDEX($N$2:$N$127,MATCH(A104,$V$2:$V$127,0))="","",INDEX($N$2:$N$127,MATCH(A104,$V$2:$V$127,0)))</x:f>
        <x:v>上海悬铃</x:v>
      </x:c>
      <x:c r="E104" s="66" t="str">
        <x:f>IF(INDEX($O$2:$O$127,MATCH(A104,$V$2:$V$127,0))="","",INDEX($O$2:$O$127,MATCH(A104,$V$2:$V$127,0)))</x:f>
        <x:v>20-50亿元</x:v>
      </x:c>
      <x:c r="F104" s="77" t="n">
        <x:f>IF(INDEX($P$2:$P$127,MATCH(A104,$V$2:$V$127,0))="","",INDEX($P$2:$P$127,MATCH(A104,$V$2:$V$127,0)))</x:f>
        <x:v>44.202259999999995</x:v>
      </x:c>
      <x:c r="G104" s="77" t="n">
        <x:f>IF(INDEX($Q$2:$Q$127,MATCH(A104,$V$2:$V$127,0))="","",INDEX($Q$2:$Q$127,MATCH(A104,$V$2:$V$127,0)))</x:f>
        <x:v>44.2</x:v>
      </x:c>
      <x:c r="H104" s="78" t="n">
        <x:f>IF(INDEX($R$2:$R$127,MATCH(A104,$V$2:$V$127,0))="","",INDEX($R$2:$R$127,MATCH(A104,$V$2:$V$127,0)))</x:f>
        <x:v>1</x:v>
      </x:c>
      <x:c r="I104" s="66" t="str">
        <x:f>IF(INDEX($S$2:$S$127,MATCH(A104,$V$2:$V$127,0))="","",INDEX($S$2:$S$127,MATCH(A104,$V$2:$V$127,0)))</x:f>
        <x:v>本次公示未见相关记录</x:v>
      </x:c>
      <x:c r="J104" s="66" t="str">
        <x:f>IF(INDEX($T$2:$T$127,MATCH(A104,$V$2:$V$127,0))="","",INDEX($T$2:$T$127,MATCH(A104,$V$2:$V$127,0)))</x:f>
        <x:v>https://gs.amac.org.cn/amac-infodisc/res/pof/manager/1701161209103763.html</x:v>
      </x:c>
      <x:c r="K104" s="66" t="n">
        <x:f>IF(INDEX($U$2:$U$127,MATCH(A104,$V$2:$V$127,0))="","",INDEX($U$2:$U$127,MATCH(A104,$V$2:$V$127,0)))</x:f>
        <x:v>159</x:v>
      </x:c>
      <x:c r="L104" s="80" t="str">
        <x:v>殊馥兴义8号</x:v>
      </x:c>
      <x:c r="M104" s="80" t="str">
        <x:v>SZA394</x:v>
      </x:c>
      <x:c r="N104" s="80" t="str">
        <x:v>上海殊馥投资</x:v>
      </x:c>
      <x:c r="O104" s="80" t="str">
        <x:v>10-20亿元</x:v>
      </x:c>
      <x:c r="P104" s="81" t="n">
        <x:f>IF(ABS('sheet2-计算明细'!AQ187-1)&lt;0.00000001,'sheet2-计算明细'!AR187,"")</x:f>
        <x:v>59.444700000000005</x:v>
      </x:c>
      <x:c r="Q104" s="81" t="n">
        <x:f>'sheet2-计算明细'!AS187</x:f>
        <x:v>59.44</x:v>
      </x:c>
      <x:c r="R104" s="82" t="n">
        <x:f>'sheet2-计算明细'!AQ187</x:f>
        <x:v>1</x:v>
      </x:c>
      <x:c r="S104" s="80" t="str">
        <x:v>协会提示／报送异常</x:v>
      </x:c>
      <x:c r="T104" s="80" t="str">
        <x:v>https://gs.amac.org.cn/amac-infodisc/res/pof/manager/101000042776.html</x:v>
      </x:c>
      <x:c r="U104" s="80" t="n">
        <x:f>'sheet2-计算明细'!AT187</x:f>
        <x:v>112</x:v>
      </x:c>
      <x:c r="V104" s="80" t="n">
        <x:f>COUNTIF($U$2:$U$127,"&lt;"&amp;U104)+1</x:f>
        <x:v>77</x:v>
      </x:c>
    </x:row>
    <x:row r="105" ht="27" customHeight="1">
      <x:c r="A105" s="66" t="n">
        <x:v>104</x:v>
      </x:c>
      <x:c r="B105" s="66" t="str">
        <x:f>IF(INDEX($L$2:$L$127,MATCH(A105,$V$2:$V$127,0))="","",INDEX($L$2:$L$127,MATCH(A105,$V$2:$V$127,0)))</x:f>
        <x:v>乘舟紫荆1号B类</x:v>
      </x:c>
      <x:c r="C105" s="66" t="str">
        <x:f>IF(INDEX($M$2:$M$127,MATCH(A105,$V$2:$V$127,0))="","",INDEX($M$2:$M$127,MATCH(A105,$V$2:$V$127,0)))</x:f>
        <x:v>XW399B</x:v>
      </x:c>
      <x:c r="D105" s="66" t="str">
        <x:f>IF(INDEX($N$2:$N$127,MATCH(A105,$V$2:$V$127,0))="","",INDEX($N$2:$N$127,MATCH(A105,$V$2:$V$127,0)))</x:f>
        <x:v>上海乘舟投资</x:v>
      </x:c>
      <x:c r="E105" s="66" t="str">
        <x:f>IF(INDEX($O$2:$O$127,MATCH(A105,$V$2:$V$127,0))="","",INDEX($O$2:$O$127,MATCH(A105,$V$2:$V$127,0)))</x:f>
        <x:v>5-10亿元</x:v>
      </x:c>
      <x:c r="F105" s="77" t="str">
        <x:f>IF(INDEX($P$2:$P$127,MATCH(A105,$V$2:$V$127,0))="","",INDEX($P$2:$P$127,MATCH(A105,$V$2:$V$127,0)))</x:f>
      </x:c>
      <x:c r="G105" s="77" t="n">
        <x:f>IF(INDEX($Q$2:$Q$127,MATCH(A105,$V$2:$V$127,0))="","",INDEX($Q$2:$Q$127,MATCH(A105,$V$2:$V$127,0)))</x:f>
        <x:v>44.17</x:v>
      </x:c>
      <x:c r="H105" s="78" t="n">
        <x:f>IF(INDEX($R$2:$R$127,MATCH(A105,$V$2:$V$127,0))="","",INDEX($R$2:$R$127,MATCH(A105,$V$2:$V$127,0)))</x:f>
        <x:v>0.8350000000000001</x:v>
      </x:c>
      <x:c r="I105" s="66" t="str">
        <x:f>IF(INDEX($S$2:$S$127,MATCH(A105,$V$2:$V$127,0))="","",INDEX($S$2:$S$127,MATCH(A105,$V$2:$V$127,0)))</x:f>
        <x:v>本次公示未见相关记录</x:v>
      </x:c>
      <x:c r="J105" s="66" t="str">
        <x:f>IF(INDEX($T$2:$T$127,MATCH(A105,$V$2:$V$127,0))="","",INDEX($T$2:$T$127,MATCH(A105,$V$2:$V$127,0)))</x:f>
        <x:v>https://gs.amac.org.cn/amac-infodisc/res/pof/manager/2003191500102072.html</x:v>
      </x:c>
      <x:c r="K105" s="66" t="n">
        <x:f>IF(INDEX($U$2:$U$127,MATCH(A105,$V$2:$V$127,0))="","",INDEX($U$2:$U$127,MATCH(A105,$V$2:$V$127,0)))</x:f>
        <x:v>160</x:v>
      </x:c>
      <x:c r="L105" s="80" t="str">
        <x:v>泰创稳健三号</x:v>
      </x:c>
      <x:c r="M105" s="80" t="str">
        <x:v>SZD744</x:v>
      </x:c>
      <x:c r="N105" s="80" t="str">
        <x:v>北京泰创投资</x:v>
      </x:c>
      <x:c r="O105" s="80" t="str">
        <x:v>5-10亿元</x:v>
      </x:c>
      <x:c r="P105" s="81" t="n">
        <x:f>IF(ABS('sheet2-计算明细'!AQ189-1)&lt;0.00000001,'sheet2-计算明细'!AR189,"")</x:f>
        <x:v>62.32769</x:v>
      </x:c>
      <x:c r="Q105" s="81" t="n">
        <x:f>'sheet2-计算明细'!AS189</x:f>
        <x:v>62.33</x:v>
      </x:c>
      <x:c r="R105" s="82" t="n">
        <x:f>'sheet2-计算明细'!AQ189</x:f>
        <x:v>1</x:v>
      </x:c>
      <x:c r="S105" s="80" t="str">
        <x:v>本次公示未见相关记录</x:v>
      </x:c>
      <x:c r="T105" s="80" t="str">
        <x:v>https://gs.amac.org.cn/amac-infodisc/res/pof/manager/101000008864.html</x:v>
      </x:c>
      <x:c r="U105" s="80" t="n">
        <x:f>'sheet2-计算明细'!AT189</x:f>
        <x:v>98</x:v>
      </x:c>
      <x:c r="V105" s="80" t="n">
        <x:f>COUNTIF($U$2:$U$127,"&lt;"&amp;U105)+1</x:f>
        <x:v>66</x:v>
      </x:c>
    </x:row>
    <x:row r="106" ht="27" customHeight="1">
      <x:c r="A106" s="66" t="n">
        <x:v>105</x:v>
      </x:c>
      <x:c r="B106" s="66" t="str">
        <x:f>IF(INDEX($L$2:$L$127,MATCH(A106,$V$2:$V$127,0))="","",INDEX($L$2:$L$127,MATCH(A106,$V$2:$V$127,0)))</x:f>
        <x:v>博普量化对冲6号A类</x:v>
      </x:c>
      <x:c r="C106" s="66" t="str">
        <x:f>IF(INDEX($M$2:$M$127,MATCH(A106,$V$2:$V$127,0))="","",INDEX($M$2:$M$127,MATCH(A106,$V$2:$V$127,0)))</x:f>
        <x:v>EE891A</x:v>
      </x:c>
      <x:c r="D106" s="66" t="str">
        <x:f>IF(INDEX($N$2:$N$127,MATCH(A106,$V$2:$V$127,0))="","",INDEX($N$2:$N$127,MATCH(A106,$V$2:$V$127,0)))</x:f>
        <x:v>深圳前海博普资管</x:v>
      </x:c>
      <x:c r="E106" s="66" t="str">
        <x:f>IF(INDEX($O$2:$O$127,MATCH(A106,$V$2:$V$127,0))="","",INDEX($O$2:$O$127,MATCH(A106,$V$2:$V$127,0)))</x:f>
        <x:v>50-100亿元</x:v>
      </x:c>
      <x:c r="F106" s="77" t="str">
        <x:f>IF(INDEX($P$2:$P$127,MATCH(A106,$V$2:$V$127,0))="","",INDEX($P$2:$P$127,MATCH(A106,$V$2:$V$127,0)))</x:f>
      </x:c>
      <x:c r="G106" s="77" t="n">
        <x:f>IF(INDEX($Q$2:$Q$127,MATCH(A106,$V$2:$V$127,0))="","",INDEX($Q$2:$Q$127,MATCH(A106,$V$2:$V$127,0)))</x:f>
        <x:v>43.38</x:v>
      </x:c>
      <x:c r="H106" s="78" t="n">
        <x:f>IF(INDEX($R$2:$R$127,MATCH(A106,$V$2:$V$127,0))="","",INDEX($R$2:$R$127,MATCH(A106,$V$2:$V$127,0)))</x:f>
        <x:v>0.9550000000000001</x:v>
      </x:c>
      <x:c r="I106" s="66" t="str">
        <x:f>IF(INDEX($S$2:$S$127,MATCH(A106,$V$2:$V$127,0))="","",INDEX($S$2:$S$127,MATCH(A106,$V$2:$V$127,0)))</x:f>
        <x:v>本次公示未见相关记录</x:v>
      </x:c>
      <x:c r="J106" s="66" t="str">
        <x:f>IF(INDEX($T$2:$T$127,MATCH(A106,$V$2:$V$127,0))="","",INDEX($T$2:$T$127,MATCH(A106,$V$2:$V$127,0)))</x:f>
        <x:v>https://gs.amac.org.cn/amac-infodisc/res/pof/manager/1709041706102598.html</x:v>
      </x:c>
      <x:c r="K106" s="66" t="n">
        <x:f>IF(INDEX($U$2:$U$127,MATCH(A106,$V$2:$V$127,0))="","",INDEX($U$2:$U$127,MATCH(A106,$V$2:$V$127,0)))</x:f>
        <x:v>163</x:v>
      </x:c>
      <x:c r="L106" s="80" t="str">
        <x:v>思益行稳致远1号</x:v>
      </x:c>
      <x:c r="M106" s="80" t="str">
        <x:v>SZC556</x:v>
      </x:c>
      <x:c r="N106" s="80" t="str">
        <x:v>海南思益</x:v>
      </x:c>
      <x:c r="O106" s="80" t="str">
        <x:v>10-20亿元</x:v>
      </x:c>
      <x:c r="P106" s="81" t="n">
        <x:f>IF(ABS('sheet2-计算明细'!AQ191-1)&lt;0.00000001,'sheet2-计算明细'!AR191,"")</x:f>
        <x:v>65.55916</x:v>
      </x:c>
      <x:c r="Q106" s="81" t="n">
        <x:f>'sheet2-计算明细'!AS191</x:f>
        <x:v>65.56</x:v>
      </x:c>
      <x:c r="R106" s="82" t="n">
        <x:f>'sheet2-计算明细'!AQ191</x:f>
        <x:v>1</x:v>
      </x:c>
      <x:c r="S106" s="80" t="str">
        <x:v>本次公示未见相关记录</x:v>
      </x:c>
      <x:c r="T106" s="80" t="str">
        <x:v>https://gs.amac.org.cn/amac-infodisc/res/pof/manager/2204271712106058.html</x:v>
      </x:c>
      <x:c r="U106" s="80" t="n">
        <x:f>'sheet2-计算明细'!AT191</x:f>
        <x:v>89</x:v>
      </x:c>
      <x:c r="V106" s="80" t="n">
        <x:f>COUNTIF($U$2:$U$127,"&lt;"&amp;U106)+1</x:f>
        <x:v>60</x:v>
      </x:c>
    </x:row>
    <x:row r="107" ht="27" customHeight="1">
      <x:c r="A107" s="66" t="n">
        <x:v>106</x:v>
      </x:c>
      <x:c r="B107" s="66" t="str">
        <x:f>IF(INDEX($L$2:$L$127,MATCH(A107,$V$2:$V$127,0))="","",INDEX($L$2:$L$127,MATCH(A107,$V$2:$V$127,0)))</x:f>
        <x:v>远澜翠柏1号</x:v>
      </x:c>
      <x:c r="C107" s="66" t="str">
        <x:f>IF(INDEX($M$2:$M$127,MATCH(A107,$V$2:$V$127,0))="","",INDEX($M$2:$M$127,MATCH(A107,$V$2:$V$127,0)))</x:f>
        <x:v>SS9088</x:v>
      </x:c>
      <x:c r="D107" s="66" t="str">
        <x:f>IF(INDEX($N$2:$N$127,MATCH(A107,$V$2:$V$127,0))="","",INDEX($N$2:$N$127,MATCH(A107,$V$2:$V$127,0)))</x:f>
        <x:v>上海远澜</x:v>
      </x:c>
      <x:c r="E107" s="66" t="str">
        <x:f>IF(INDEX($O$2:$O$127,MATCH(A107,$V$2:$V$127,0))="","",INDEX($O$2:$O$127,MATCH(A107,$V$2:$V$127,0)))</x:f>
        <x:v>100亿元以上</x:v>
      </x:c>
      <x:c r="F107" s="77" t="n">
        <x:f>IF(INDEX($P$2:$P$127,MATCH(A107,$V$2:$V$127,0))="","",INDEX($P$2:$P$127,MATCH(A107,$V$2:$V$127,0)))</x:f>
        <x:v>43.29262</x:v>
      </x:c>
      <x:c r="G107" s="77" t="n">
        <x:f>IF(INDEX($Q$2:$Q$127,MATCH(A107,$V$2:$V$127,0))="","",INDEX($Q$2:$Q$127,MATCH(A107,$V$2:$V$127,0)))</x:f>
        <x:v>43.29</x:v>
      </x:c>
      <x:c r="H107" s="78" t="n">
        <x:f>IF(INDEX($R$2:$R$127,MATCH(A107,$V$2:$V$127,0))="","",INDEX($R$2:$R$127,MATCH(A107,$V$2:$V$127,0)))</x:f>
        <x:v>1</x:v>
      </x:c>
      <x:c r="I107" s="66" t="str">
        <x:f>IF(INDEX($S$2:$S$127,MATCH(A107,$V$2:$V$127,0))="","",INDEX($S$2:$S$127,MATCH(A107,$V$2:$V$127,0)))</x:f>
        <x:v>本次公示未见相关记录</x:v>
      </x:c>
      <x:c r="J107" s="66" t="str">
        <x:f>IF(INDEX($T$2:$T$127,MATCH(A107,$V$2:$V$127,0))="","",INDEX($T$2:$T$127,MATCH(A107,$V$2:$V$127,0)))</x:f>
        <x:v>https://gs.amac.org.cn/amac-infodisc/res/pof/manager/101000022626.html</x:v>
      </x:c>
      <x:c r="K107" s="66" t="n">
        <x:f>IF(INDEX($U$2:$U$127,MATCH(A107,$V$2:$V$127,0))="","",INDEX($U$2:$U$127,MATCH(A107,$V$2:$V$127,0)))</x:f>
        <x:v>164</x:v>
      </x:c>
      <x:c r="L107" s="80" t="str">
        <x:v>恒立卓越1号</x:v>
      </x:c>
      <x:c r="M107" s="80" t="str">
        <x:v>SZF893</x:v>
      </x:c>
      <x:c r="N107" s="80" t="str">
        <x:v>海南恒立</x:v>
      </x:c>
      <x:c r="O107" s="80" t="str">
        <x:v>5-10亿元</x:v>
      </x:c>
      <x:c r="P107" s="81" t="str">
        <x:f>IF(ABS('sheet2-计算明细'!AQ192-1)&lt;0.00000001,'sheet2-计算明细'!AR192,"")</x:f>
      </x:c>
      <x:c r="Q107" s="81" t="n">
        <x:f>'sheet2-计算明细'!AS192</x:f>
        <x:v>39.96</x:v>
      </x:c>
      <x:c r="R107" s="82" t="n">
        <x:f>'sheet2-计算明细'!AQ192</x:f>
        <x:v>0.88</x:v>
      </x:c>
      <x:c r="S107" s="80" t="str">
        <x:v>协会提示／报送异常</x:v>
      </x:c>
      <x:c r="T107" s="80" t="str">
        <x:v>https://gs.amac.org.cn/amac-infodisc/res/pof/manager/2204132153103555.html</x:v>
      </x:c>
      <x:c r="U107" s="80" t="n">
        <x:f>'sheet2-计算明细'!AT192</x:f>
        <x:v>176</x:v>
      </x:c>
      <x:c r="V107" s="80" t="n">
        <x:f>COUNTIF($U$2:$U$127,"&lt;"&amp;U107)+1</x:f>
        <x:v>113</x:v>
      </x:c>
    </x:row>
    <x:row r="108" ht="27" customHeight="1">
      <x:c r="A108" s="66" t="n">
        <x:v>107</x:v>
      </x:c>
      <x:c r="B108" s="66" t="str">
        <x:f>IF(INDEX($L$2:$L$127,MATCH(A108,$V$2:$V$127,0))="","",INDEX($L$2:$L$127,MATCH(A108,$V$2:$V$127,0)))</x:f>
        <x:v>和熙新月1号</x:v>
      </x:c>
      <x:c r="C108" s="66" t="str">
        <x:f>IF(INDEX($M$2:$M$127,MATCH(A108,$V$2:$V$127,0))="","",INDEX($M$2:$M$127,MATCH(A108,$V$2:$V$127,0)))</x:f>
        <x:v>SJG287</x:v>
      </x:c>
      <x:c r="D108" s="66" t="str">
        <x:f>IF(INDEX($N$2:$N$127,MATCH(A108,$V$2:$V$127,0))="","",INDEX($N$2:$N$127,MATCH(A108,$V$2:$V$127,0)))</x:f>
        <x:v>浙江和熙资管</x:v>
      </x:c>
      <x:c r="E108" s="66" t="str">
        <x:f>IF(INDEX($O$2:$O$127,MATCH(A108,$V$2:$V$127,0))="","",INDEX($O$2:$O$127,MATCH(A108,$V$2:$V$127,0)))</x:f>
        <x:v>5-10亿元</x:v>
      </x:c>
      <x:c r="F108" s="77" t="str">
        <x:f>IF(INDEX($P$2:$P$127,MATCH(A108,$V$2:$V$127,0))="","",INDEX($P$2:$P$127,MATCH(A108,$V$2:$V$127,0)))</x:f>
      </x:c>
      <x:c r="G108" s="77" t="n">
        <x:f>IF(INDEX($Q$2:$Q$127,MATCH(A108,$V$2:$V$127,0))="","",INDEX($Q$2:$Q$127,MATCH(A108,$V$2:$V$127,0)))</x:f>
        <x:v>42.65</x:v>
      </x:c>
      <x:c r="H108" s="78" t="n">
        <x:f>IF(INDEX($R$2:$R$127,MATCH(A108,$V$2:$V$127,0))="","",INDEX($R$2:$R$127,MATCH(A108,$V$2:$V$127,0)))</x:f>
        <x:v>0.88</x:v>
      </x:c>
      <x:c r="I108" s="66" t="str">
        <x:f>IF(INDEX($S$2:$S$127,MATCH(A108,$V$2:$V$127,0))="","",INDEX($S$2:$S$127,MATCH(A108,$V$2:$V$127,0)))</x:f>
        <x:v>协会提示／报送异常</x:v>
      </x:c>
      <x:c r="J108" s="66" t="str">
        <x:f>IF(INDEX($T$2:$T$127,MATCH(A108,$V$2:$V$127,0))="","",INDEX($T$2:$T$127,MATCH(A108,$V$2:$V$127,0)))</x:f>
        <x:v>https://gs.amac.org.cn/amac-infodisc/res/pof/manager/101000072213.html</x:v>
      </x:c>
      <x:c r="K108" s="66" t="n">
        <x:f>IF(INDEX($U$2:$U$127,MATCH(A108,$V$2:$V$127,0))="","",INDEX($U$2:$U$127,MATCH(A108,$V$2:$V$127,0)))</x:f>
        <x:v>166</x:v>
      </x:c>
      <x:c r="L108" s="80" t="str">
        <x:v>辰元优选稳健</x:v>
      </x:c>
      <x:c r="M108" s="80" t="str">
        <x:v>SZH690</x:v>
      </x:c>
      <x:c r="N108" s="80" t="str">
        <x:v>广东辰元</x:v>
      </x:c>
      <x:c r="O108" s="80" t="str">
        <x:v>20-50亿元</x:v>
      </x:c>
      <x:c r="P108" s="81" t="str">
        <x:f>IF(ABS('sheet2-计算明细'!AQ193-1)&lt;0.00000001,'sheet2-计算明细'!AR193,"")</x:f>
      </x:c>
      <x:c r="Q108" s="81" t="n">
        <x:f>'sheet2-计算明细'!AS193</x:f>
        <x:v>79.3</x:v>
      </x:c>
      <x:c r="R108" s="82" t="n">
        <x:f>'sheet2-计算明细'!AQ193</x:f>
        <x:v>0.88</x:v>
      </x:c>
      <x:c r="S108" s="80" t="str">
        <x:v>本次公示未见相关记录</x:v>
      </x:c>
      <x:c r="T108" s="80" t="str">
        <x:v>https://gs.amac.org.cn/amac-infodisc/res/pof/manager/2209261520106658.html</x:v>
      </x:c>
      <x:c r="U108" s="80" t="n">
        <x:f>'sheet2-计算明细'!AT193</x:f>
        <x:v>35</x:v>
      </x:c>
      <x:c r="V108" s="80" t="n">
        <x:f>COUNTIF($U$2:$U$127,"&lt;"&amp;U108)+1</x:f>
        <x:v>23</x:v>
      </x:c>
    </x:row>
    <x:row r="109" ht="27" customHeight="1">
      <x:c r="A109" s="66" t="n">
        <x:v>108</x:v>
      </x:c>
      <x:c r="B109" s="66" t="str">
        <x:f>IF(INDEX($L$2:$L$127,MATCH(A109,$V$2:$V$127,0))="","",INDEX($L$2:$L$127,MATCH(A109,$V$2:$V$127,0)))</x:f>
        <x:v>悬铃成长1号</x:v>
      </x:c>
      <x:c r="C109" s="66" t="str">
        <x:f>IF(INDEX($M$2:$M$127,MATCH(A109,$V$2:$V$127,0))="","",INDEX($M$2:$M$127,MATCH(A109,$V$2:$V$127,0)))</x:f>
        <x:v>STP551</x:v>
      </x:c>
      <x:c r="D109" s="66" t="str">
        <x:f>IF(INDEX($N$2:$N$127,MATCH(A109,$V$2:$V$127,0))="","",INDEX($N$2:$N$127,MATCH(A109,$V$2:$V$127,0)))</x:f>
        <x:v>上海悬铃</x:v>
      </x:c>
      <x:c r="E109" s="66" t="str">
        <x:f>IF(INDEX($O$2:$O$127,MATCH(A109,$V$2:$V$127,0))="","",INDEX($O$2:$O$127,MATCH(A109,$V$2:$V$127,0)))</x:f>
        <x:v>20-50亿元</x:v>
      </x:c>
      <x:c r="F109" s="77" t="n">
        <x:f>IF(INDEX($P$2:$P$127,MATCH(A109,$V$2:$V$127,0))="","",INDEX($P$2:$P$127,MATCH(A109,$V$2:$V$127,0)))</x:f>
        <x:v>41.79651</x:v>
      </x:c>
      <x:c r="G109" s="77" t="n">
        <x:f>IF(INDEX($Q$2:$Q$127,MATCH(A109,$V$2:$V$127,0))="","",INDEX($Q$2:$Q$127,MATCH(A109,$V$2:$V$127,0)))</x:f>
        <x:v>41.8</x:v>
      </x:c>
      <x:c r="H109" s="78" t="n">
        <x:f>IF(INDEX($R$2:$R$127,MATCH(A109,$V$2:$V$127,0))="","",INDEX($R$2:$R$127,MATCH(A109,$V$2:$V$127,0)))</x:f>
        <x:v>1</x:v>
      </x:c>
      <x:c r="I109" s="66" t="str">
        <x:f>IF(INDEX($S$2:$S$127,MATCH(A109,$V$2:$V$127,0))="","",INDEX($S$2:$S$127,MATCH(A109,$V$2:$V$127,0)))</x:f>
        <x:v>本次公示未见相关记录</x:v>
      </x:c>
      <x:c r="J109" s="66" t="str">
        <x:f>IF(INDEX($T$2:$T$127,MATCH(A109,$V$2:$V$127,0))="","",INDEX($T$2:$T$127,MATCH(A109,$V$2:$V$127,0)))</x:f>
        <x:v>https://gs.amac.org.cn/amac-infodisc/res/pof/manager/1701161209103763.html</x:v>
      </x:c>
      <x:c r="K109" s="66" t="n">
        <x:f>IF(INDEX($U$2:$U$127,MATCH(A109,$V$2:$V$127,0))="","",INDEX($U$2:$U$127,MATCH(A109,$V$2:$V$127,0)))</x:f>
        <x:v>169</x:v>
      </x:c>
      <x:c r="L109" s="80" t="str">
        <x:v>辰元稳健2号</x:v>
      </x:c>
      <x:c r="M109" s="80" t="str">
        <x:v>SZJ724</x:v>
      </x:c>
      <x:c r="N109" s="80" t="str">
        <x:v>广东辰元</x:v>
      </x:c>
      <x:c r="O109" s="80" t="str">
        <x:v>20-50亿元</x:v>
      </x:c>
      <x:c r="P109" s="81" t="n">
        <x:f>IF(ABS('sheet2-计算明细'!AQ194-1)&lt;0.00000001,'sheet2-计算明细'!AR194,"")</x:f>
        <x:v>79.13436</x:v>
      </x:c>
      <x:c r="Q109" s="81" t="n">
        <x:f>'sheet2-计算明细'!AS194</x:f>
        <x:v>79.13</x:v>
      </x:c>
      <x:c r="R109" s="82" t="n">
        <x:f>'sheet2-计算明细'!AQ194</x:f>
        <x:v>1</x:v>
      </x:c>
      <x:c r="S109" s="80" t="str">
        <x:v>本次公示未见相关记录</x:v>
      </x:c>
      <x:c r="T109" s="80" t="str">
        <x:v>https://gs.amac.org.cn/amac-infodisc/res/pof/manager/2209261520106658.html</x:v>
      </x:c>
      <x:c r="U109" s="80" t="n">
        <x:f>'sheet2-计算明细'!AT194</x:f>
        <x:v>38</x:v>
      </x:c>
      <x:c r="V109" s="80" t="n">
        <x:f>COUNTIF($U$2:$U$127,"&lt;"&amp;U109)+1</x:f>
        <x:v>25</x:v>
      </x:c>
    </x:row>
    <x:row r="110" ht="27" customHeight="1">
      <x:c r="A110" s="66" t="n">
        <x:v>109</x:v>
      </x:c>
      <x:c r="B110" s="66" t="str">
        <x:f>IF(INDEX($L$2:$L$127,MATCH(A110,$V$2:$V$127,0))="","",INDEX($L$2:$L$127,MATCH(A110,$V$2:$V$127,0)))</x:f>
        <x:v>凡德量化八号</x:v>
      </x:c>
      <x:c r="C110" s="66" t="str">
        <x:f>IF(INDEX($M$2:$M$127,MATCH(A110,$V$2:$V$127,0))="","",INDEX($M$2:$M$127,MATCH(A110,$V$2:$V$127,0)))</x:f>
        <x:v>SJS811</x:v>
      </x:c>
      <x:c r="D110" s="66" t="str">
        <x:f>IF(INDEX($N$2:$N$127,MATCH(A110,$V$2:$V$127,0))="","",INDEX($N$2:$N$127,MATCH(A110,$V$2:$V$127,0)))</x:f>
        <x:v>广东凡德投资</x:v>
      </x:c>
      <x:c r="E110" s="66" t="str">
        <x:f>IF(INDEX($O$2:$O$127,MATCH(A110,$V$2:$V$127,0))="","",INDEX($O$2:$O$127,MATCH(A110,$V$2:$V$127,0)))</x:f>
        <x:v>5-10亿元</x:v>
      </x:c>
      <x:c r="F110" s="77" t="str">
        <x:f>IF(INDEX($P$2:$P$127,MATCH(A110,$V$2:$V$127,0))="","",INDEX($P$2:$P$127,MATCH(A110,$V$2:$V$127,0)))</x:f>
      </x:c>
      <x:c r="G110" s="77" t="n">
        <x:f>IF(INDEX($Q$2:$Q$127,MATCH(A110,$V$2:$V$127,0))="","",INDEX($Q$2:$Q$127,MATCH(A110,$V$2:$V$127,0)))</x:f>
        <x:v>41.77</x:v>
      </x:c>
      <x:c r="H110" s="78" t="n">
        <x:f>IF(INDEX($R$2:$R$127,MATCH(A110,$V$2:$V$127,0))="","",INDEX($R$2:$R$127,MATCH(A110,$V$2:$V$127,0)))</x:f>
        <x:v>0.88</x:v>
      </x:c>
      <x:c r="I110" s="66" t="str">
        <x:f>IF(INDEX($S$2:$S$127,MATCH(A110,$V$2:$V$127,0))="","",INDEX($S$2:$S$127,MATCH(A110,$V$2:$V$127,0)))</x:f>
        <x:v>本次公示未见相关记录</x:v>
      </x:c>
      <x:c r="J110" s="66" t="str">
        <x:f>IF(INDEX($T$2:$T$127,MATCH(A110,$V$2:$V$127,0))="","",INDEX($T$2:$T$127,MATCH(A110,$V$2:$V$127,0)))</x:f>
        <x:v>https://gs.amac.org.cn/amac-infodisc/res/pof/manager/101000000695.html</x:v>
      </x:c>
      <x:c r="K110" s="66" t="n">
        <x:f>IF(INDEX($U$2:$U$127,MATCH(A110,$V$2:$V$127,0))="","",INDEX($U$2:$U$127,MATCH(A110,$V$2:$V$127,0)))</x:f>
        <x:v>170</x:v>
      </x:c>
      <x:c r="L110" s="80" t="str">
        <x:v>江岳联接54期</x:v>
      </x:c>
      <x:c r="M110" s="80" t="str">
        <x:v>SZJ846</x:v>
      </x:c>
      <x:c r="N110" s="80" t="str">
        <x:v>西安江岳</x:v>
      </x:c>
      <x:c r="O110" s="80" t="str">
        <x:v>10-20亿元</x:v>
      </x:c>
      <x:c r="P110" s="81" t="n">
        <x:f>IF(ABS('sheet2-计算明细'!AQ195-1)&lt;0.00000001,'sheet2-计算明细'!AR195,"")</x:f>
        <x:v>85.91184</x:v>
      </x:c>
      <x:c r="Q110" s="81" t="n">
        <x:f>'sheet2-计算明细'!AS195</x:f>
        <x:v>85.91</x:v>
      </x:c>
      <x:c r="R110" s="82" t="n">
        <x:f>'sheet2-计算明细'!AQ195</x:f>
        <x:v>1</x:v>
      </x:c>
      <x:c r="S110" s="80" t="str">
        <x:v>本次公示未见相关记录</x:v>
      </x:c>
      <x:c r="T110" s="80" t="str">
        <x:v>https://gs.amac.org.cn/amac-infodisc/res/pof/manager/1703241729101117.html</x:v>
      </x:c>
      <x:c r="U110" s="80" t="n">
        <x:f>'sheet2-计算明细'!AT195</x:f>
        <x:v>15</x:v>
      </x:c>
      <x:c r="V110" s="80" t="n">
        <x:f>COUNTIF($U$2:$U$127,"&lt;"&amp;U110)+1</x:f>
        <x:v>10</x:v>
      </x:c>
    </x:row>
    <x:row r="111" ht="27" customHeight="1">
      <x:c r="A111" s="66" t="n">
        <x:v>110</x:v>
      </x:c>
      <x:c r="B111" s="66" t="str">
        <x:f>IF(INDEX($L$2:$L$127,MATCH(A111,$V$2:$V$127,0))="","",INDEX($L$2:$L$127,MATCH(A111,$V$2:$V$127,0)))</x:f>
        <x:v>悬铃尊享CTA8号</x:v>
      </x:c>
      <x:c r="C111" s="66" t="str">
        <x:f>IF(INDEX($M$2:$M$127,MATCH(A111,$V$2:$V$127,0))="","",INDEX($M$2:$M$127,MATCH(A111,$V$2:$V$127,0)))</x:f>
        <x:v>STW103</x:v>
      </x:c>
      <x:c r="D111" s="66" t="str">
        <x:f>IF(INDEX($N$2:$N$127,MATCH(A111,$V$2:$V$127,0))="","",INDEX($N$2:$N$127,MATCH(A111,$V$2:$V$127,0)))</x:f>
        <x:v>上海悬铃</x:v>
      </x:c>
      <x:c r="E111" s="66" t="str">
        <x:f>IF(INDEX($O$2:$O$127,MATCH(A111,$V$2:$V$127,0))="","",INDEX($O$2:$O$127,MATCH(A111,$V$2:$V$127,0)))</x:f>
        <x:v>20-50亿元</x:v>
      </x:c>
      <x:c r="F111" s="77" t="n">
        <x:f>IF(INDEX($P$2:$P$127,MATCH(A111,$V$2:$V$127,0))="","",INDEX($P$2:$P$127,MATCH(A111,$V$2:$V$127,0)))</x:f>
        <x:v>41.27624</x:v>
      </x:c>
      <x:c r="G111" s="77" t="n">
        <x:f>IF(INDEX($Q$2:$Q$127,MATCH(A111,$V$2:$V$127,0))="","",INDEX($Q$2:$Q$127,MATCH(A111,$V$2:$V$127,0)))</x:f>
        <x:v>41.28</x:v>
      </x:c>
      <x:c r="H111" s="78" t="n">
        <x:f>IF(INDEX($R$2:$R$127,MATCH(A111,$V$2:$V$127,0))="","",INDEX($R$2:$R$127,MATCH(A111,$V$2:$V$127,0)))</x:f>
        <x:v>1</x:v>
      </x:c>
      <x:c r="I111" s="66" t="str">
        <x:f>IF(INDEX($S$2:$S$127,MATCH(A111,$V$2:$V$127,0))="","",INDEX($S$2:$S$127,MATCH(A111,$V$2:$V$127,0)))</x:f>
        <x:v>本次公示未见相关记录</x:v>
      </x:c>
      <x:c r="J111" s="66" t="str">
        <x:f>IF(INDEX($T$2:$T$127,MATCH(A111,$V$2:$V$127,0))="","",INDEX($T$2:$T$127,MATCH(A111,$V$2:$V$127,0)))</x:f>
        <x:v>https://gs.amac.org.cn/amac-infodisc/res/pof/manager/1701161209103763.html</x:v>
      </x:c>
      <x:c r="K111" s="66" t="n">
        <x:f>IF(INDEX($U$2:$U$127,MATCH(A111,$V$2:$V$127,0))="","",INDEX($U$2:$U$127,MATCH(A111,$V$2:$V$127,0)))</x:f>
        <x:v>171</x:v>
      </x:c>
      <x:c r="L111" s="80" t="str">
        <x:v>泰创稳增1号</x:v>
      </x:c>
      <x:c r="M111" s="80" t="str">
        <x:v>SZV527</x:v>
      </x:c>
      <x:c r="N111" s="80" t="str">
        <x:v>北京泰创投资</x:v>
      </x:c>
      <x:c r="O111" s="80" t="str">
        <x:v>5-10亿元</x:v>
      </x:c>
      <x:c r="P111" s="81" t="n">
        <x:f>IF(ABS('sheet2-计算明细'!AQ197-1)&lt;0.00000001,'sheet2-计算明细'!AR197,"")</x:f>
        <x:v>68.50742</x:v>
      </x:c>
      <x:c r="Q111" s="81" t="n">
        <x:f>'sheet2-计算明细'!AS197</x:f>
        <x:v>68.51</x:v>
      </x:c>
      <x:c r="R111" s="82" t="n">
        <x:f>'sheet2-计算明细'!AQ197</x:f>
        <x:v>1</x:v>
      </x:c>
      <x:c r="S111" s="80" t="str">
        <x:v>本次公示未见相关记录</x:v>
      </x:c>
      <x:c r="T111" s="80" t="str">
        <x:v>https://gs.amac.org.cn/amac-infodisc/res/pof/manager/101000008864.html</x:v>
      </x:c>
      <x:c r="U111" s="80" t="n">
        <x:f>'sheet2-计算明细'!AT197</x:f>
        <x:v>81</x:v>
      </x:c>
      <x:c r="V111" s="80" t="n">
        <x:f>COUNTIF($U$2:$U$127,"&lt;"&amp;U111)+1</x:f>
        <x:v>55</x:v>
      </x:c>
    </x:row>
    <x:row r="112" ht="27" customHeight="1">
      <x:c r="A112" s="66" t="n">
        <x:v>111</x:v>
      </x:c>
      <x:c r="B112" s="66" t="str">
        <x:f>IF(INDEX($L$2:$L$127,MATCH(A112,$V$2:$V$127,0))="","",INDEX($L$2:$L$127,MATCH(A112,$V$2:$V$127,0)))</x:f>
        <x:v>鹿秀呦呦1号</x:v>
      </x:c>
      <x:c r="C112" s="66" t="str">
        <x:f>IF(INDEX($M$2:$M$127,MATCH(A112,$V$2:$V$127,0))="","",INDEX($M$2:$M$127,MATCH(A112,$V$2:$V$127,0)))</x:f>
        <x:v>SVY067</x:v>
      </x:c>
      <x:c r="D112" s="66" t="str">
        <x:f>IF(INDEX($N$2:$N$127,MATCH(A112,$V$2:$V$127,0))="","",INDEX($N$2:$N$127,MATCH(A112,$V$2:$V$127,0)))</x:f>
        <x:v>青岛鹿秀投资</x:v>
      </x:c>
      <x:c r="E112" s="66" t="str">
        <x:f>IF(INDEX($O$2:$O$127,MATCH(A112,$V$2:$V$127,0))="","",INDEX($O$2:$O$127,MATCH(A112,$V$2:$V$127,0)))</x:f>
        <x:v>50-100亿元</x:v>
      </x:c>
      <x:c r="F112" s="77" t="n">
        <x:f>IF(INDEX($P$2:$P$127,MATCH(A112,$V$2:$V$127,0))="","",INDEX($P$2:$P$127,MATCH(A112,$V$2:$V$127,0)))</x:f>
        <x:v>40.62155</x:v>
      </x:c>
      <x:c r="G112" s="77" t="n">
        <x:f>IF(INDEX($Q$2:$Q$127,MATCH(A112,$V$2:$V$127,0))="","",INDEX($Q$2:$Q$127,MATCH(A112,$V$2:$V$127,0)))</x:f>
        <x:v>40.62</x:v>
      </x:c>
      <x:c r="H112" s="78" t="n">
        <x:f>IF(INDEX($R$2:$R$127,MATCH(A112,$V$2:$V$127,0))="","",INDEX($R$2:$R$127,MATCH(A112,$V$2:$V$127,0)))</x:f>
        <x:v>1</x:v>
      </x:c>
      <x:c r="I112" s="66" t="str">
        <x:f>IF(INDEX($S$2:$S$127,MATCH(A112,$V$2:$V$127,0))="","",INDEX($S$2:$S$127,MATCH(A112,$V$2:$V$127,0)))</x:f>
        <x:v>协会提示／报送异常</x:v>
      </x:c>
      <x:c r="J112" s="66" t="str">
        <x:f>IF(INDEX($T$2:$T$127,MATCH(A112,$V$2:$V$127,0))="","",INDEX($T$2:$T$127,MATCH(A112,$V$2:$V$127,0)))</x:f>
        <x:v>https://gs.amac.org.cn/amac-infodisc/res/pof/manager/1612231708101923.html</x:v>
      </x:c>
      <x:c r="K112" s="66" t="n">
        <x:f>IF(INDEX($U$2:$U$127,MATCH(A112,$V$2:$V$127,0))="","",INDEX($U$2:$U$127,MATCH(A112,$V$2:$V$127,0)))</x:f>
        <x:v>173</x:v>
      </x:c>
      <x:c r="L112" s="80" t="str">
        <x:v>悬铃君享CTA2号</x:v>
      </x:c>
      <x:c r="M112" s="80" t="str">
        <x:v>SZF199</x:v>
      </x:c>
      <x:c r="N112" s="80" t="str">
        <x:v>上海悬铃</x:v>
      </x:c>
      <x:c r="O112" s="80" t="str">
        <x:v>20-50亿元</x:v>
      </x:c>
      <x:c r="P112" s="81" t="n">
        <x:f>IF(ABS('sheet2-计算明细'!AQ198-1)&lt;0.00000001,'sheet2-计算明细'!AR198,"")</x:f>
        <x:v>44.202259999999995</x:v>
      </x:c>
      <x:c r="Q112" s="81" t="n">
        <x:f>'sheet2-计算明细'!AS198</x:f>
        <x:v>44.2</x:v>
      </x:c>
      <x:c r="R112" s="82" t="n">
        <x:f>'sheet2-计算明细'!AQ198</x:f>
        <x:v>1</x:v>
      </x:c>
      <x:c r="S112" s="80" t="str">
        <x:v>本次公示未见相关记录</x:v>
      </x:c>
      <x:c r="T112" s="80" t="str">
        <x:v>https://gs.amac.org.cn/amac-infodisc/res/pof/manager/1701161209103763.html</x:v>
      </x:c>
      <x:c r="U112" s="80" t="n">
        <x:f>'sheet2-计算明细'!AT198</x:f>
        <x:v>159</x:v>
      </x:c>
      <x:c r="V112" s="80" t="n">
        <x:f>COUNTIF($U$2:$U$127,"&lt;"&amp;U112)+1</x:f>
        <x:v>103</x:v>
      </x:c>
    </x:row>
    <x:row r="113" ht="27" customHeight="1">
      <x:c r="A113" s="66" t="n">
        <x:v>112</x:v>
      </x:c>
      <x:c r="B113" s="66" t="str">
        <x:f>IF(INDEX($L$2:$L$127,MATCH(A113,$V$2:$V$127,0))="","",INDEX($L$2:$L$127,MATCH(A113,$V$2:$V$127,0)))</x:f>
        <x:v>和熙新月1号A类</x:v>
      </x:c>
      <x:c r="C113" s="66" t="str">
        <x:f>IF(INDEX($M$2:$M$127,MATCH(A113,$V$2:$V$127,0))="","",INDEX($M$2:$M$127,MATCH(A113,$V$2:$V$127,0)))</x:f>
        <x:v>JG287A</x:v>
      </x:c>
      <x:c r="D113" s="66" t="str">
        <x:f>IF(INDEX($N$2:$N$127,MATCH(A113,$V$2:$V$127,0))="","",INDEX($N$2:$N$127,MATCH(A113,$V$2:$V$127,0)))</x:f>
        <x:v>浙江和熙资管</x:v>
      </x:c>
      <x:c r="E113" s="66" t="str">
        <x:f>IF(INDEX($O$2:$O$127,MATCH(A113,$V$2:$V$127,0))="","",INDEX($O$2:$O$127,MATCH(A113,$V$2:$V$127,0)))</x:f>
        <x:v>5-10亿元</x:v>
      </x:c>
      <x:c r="F113" s="77" t="str">
        <x:f>IF(INDEX($P$2:$P$127,MATCH(A113,$V$2:$V$127,0))="","",INDEX($P$2:$P$127,MATCH(A113,$V$2:$V$127,0)))</x:f>
      </x:c>
      <x:c r="G113" s="77" t="n">
        <x:f>IF(INDEX($Q$2:$Q$127,MATCH(A113,$V$2:$V$127,0))="","",INDEX($Q$2:$Q$127,MATCH(A113,$V$2:$V$127,0)))</x:f>
        <x:v>40.16</x:v>
      </x:c>
      <x:c r="H113" s="78" t="n">
        <x:f>IF(INDEX($R$2:$R$127,MATCH(A113,$V$2:$V$127,0))="","",INDEX($R$2:$R$127,MATCH(A113,$V$2:$V$127,0)))</x:f>
        <x:v>0.8350000000000001</x:v>
      </x:c>
      <x:c r="I113" s="66" t="str">
        <x:f>IF(INDEX($S$2:$S$127,MATCH(A113,$V$2:$V$127,0))="","",INDEX($S$2:$S$127,MATCH(A113,$V$2:$V$127,0)))</x:f>
        <x:v>协会提示／报送异常</x:v>
      </x:c>
      <x:c r="J113" s="66" t="str">
        <x:f>IF(INDEX($T$2:$T$127,MATCH(A113,$V$2:$V$127,0))="","",INDEX($T$2:$T$127,MATCH(A113,$V$2:$V$127,0)))</x:f>
        <x:v>https://gs.amac.org.cn/amac-infodisc/res/pof/manager/101000072213.html</x:v>
      </x:c>
      <x:c r="K113" s="66" t="n">
        <x:f>IF(INDEX($U$2:$U$127,MATCH(A113,$V$2:$V$127,0))="","",INDEX($U$2:$U$127,MATCH(A113,$V$2:$V$127,0)))</x:f>
        <x:v>174</x:v>
      </x:c>
      <x:c r="L113" s="80" t="str">
        <x:v>金和至信稳健12号</x:v>
      </x:c>
      <x:c r="M113" s="80" t="str">
        <x:v>SB5534</x:v>
      </x:c>
      <x:c r="N113" s="80" t="str">
        <x:v>上海金和晟</x:v>
      </x:c>
      <x:c r="O113" s="80" t="str">
        <x:v>20-50亿元</x:v>
      </x:c>
      <x:c r="P113" s="81" t="n">
        <x:f>IF(ABS('sheet2-计算明细'!AQ201-1)&lt;0.00000001,'sheet2-计算明细'!AR201,"")</x:f>
        <x:v>54.577169999999995</x:v>
      </x:c>
      <x:c r="Q113" s="81" t="n">
        <x:f>'sheet2-计算明细'!AS201</x:f>
        <x:v>54.58</x:v>
      </x:c>
      <x:c r="R113" s="82" t="n">
        <x:f>'sheet2-计算明细'!AQ201</x:f>
        <x:v>1</x:v>
      </x:c>
      <x:c r="S113" s="80" t="str">
        <x:v>本次公示未见相关记录</x:v>
      </x:c>
      <x:c r="T113" s="80" t="str">
        <x:v>https://gs.amac.org.cn/amac-infodisc/res/pof/manager/2010280957108370.html</x:v>
      </x:c>
      <x:c r="U113" s="80" t="n">
        <x:f>'sheet2-计算明细'!AT201</x:f>
        <x:v>128</x:v>
      </x:c>
      <x:c r="V113" s="80" t="n">
        <x:f>COUNTIF($U$2:$U$127,"&lt;"&amp;U113)+1</x:f>
        <x:v>88</x:v>
      </x:c>
    </x:row>
    <x:row r="114" ht="27" customHeight="1">
      <x:c r="A114" s="66" t="n">
        <x:v>113</x:v>
      </x:c>
      <x:c r="B114" s="66" t="str">
        <x:f>IF(INDEX($L$2:$L$127,MATCH(A114,$V$2:$V$127,0))="","",INDEX($L$2:$L$127,MATCH(A114,$V$2:$V$127,0)))</x:f>
        <x:v>恒立卓越1号</x:v>
      </x:c>
      <x:c r="C114" s="66" t="str">
        <x:f>IF(INDEX($M$2:$M$127,MATCH(A114,$V$2:$V$127,0))="","",INDEX($M$2:$M$127,MATCH(A114,$V$2:$V$127,0)))</x:f>
        <x:v>SZF893</x:v>
      </x:c>
      <x:c r="D114" s="66" t="str">
        <x:f>IF(INDEX($N$2:$N$127,MATCH(A114,$V$2:$V$127,0))="","",INDEX($N$2:$N$127,MATCH(A114,$V$2:$V$127,0)))</x:f>
        <x:v>海南恒立</x:v>
      </x:c>
      <x:c r="E114" s="66" t="str">
        <x:f>IF(INDEX($O$2:$O$127,MATCH(A114,$V$2:$V$127,0))="","",INDEX($O$2:$O$127,MATCH(A114,$V$2:$V$127,0)))</x:f>
        <x:v>5-10亿元</x:v>
      </x:c>
      <x:c r="F114" s="77" t="str">
        <x:f>IF(INDEX($P$2:$P$127,MATCH(A114,$V$2:$V$127,0))="","",INDEX($P$2:$P$127,MATCH(A114,$V$2:$V$127,0)))</x:f>
      </x:c>
      <x:c r="G114" s="77" t="n">
        <x:f>IF(INDEX($Q$2:$Q$127,MATCH(A114,$V$2:$V$127,0))="","",INDEX($Q$2:$Q$127,MATCH(A114,$V$2:$V$127,0)))</x:f>
        <x:v>39.96</x:v>
      </x:c>
      <x:c r="H114" s="78" t="n">
        <x:f>IF(INDEX($R$2:$R$127,MATCH(A114,$V$2:$V$127,0))="","",INDEX($R$2:$R$127,MATCH(A114,$V$2:$V$127,0)))</x:f>
        <x:v>0.88</x:v>
      </x:c>
      <x:c r="I114" s="66" t="str">
        <x:f>IF(INDEX($S$2:$S$127,MATCH(A114,$V$2:$V$127,0))="","",INDEX($S$2:$S$127,MATCH(A114,$V$2:$V$127,0)))</x:f>
        <x:v>协会提示／报送异常</x:v>
      </x:c>
      <x:c r="J114" s="66" t="str">
        <x:f>IF(INDEX($T$2:$T$127,MATCH(A114,$V$2:$V$127,0))="","",INDEX($T$2:$T$127,MATCH(A114,$V$2:$V$127,0)))</x:f>
        <x:v>https://gs.amac.org.cn/amac-infodisc/res/pof/manager/2204132153103555.html</x:v>
      </x:c>
      <x:c r="K114" s="66" t="n">
        <x:f>IF(INDEX($U$2:$U$127,MATCH(A114,$V$2:$V$127,0))="","",INDEX($U$2:$U$127,MATCH(A114,$V$2:$V$127,0)))</x:f>
        <x:v>176</x:v>
      </x:c>
      <x:c r="L114" s="80" t="str">
        <x:v>博普跨市场1号A类</x:v>
      </x:c>
      <x:c r="M114" s="80" t="str">
        <x:v>N5169A</x:v>
      </x:c>
      <x:c r="N114" s="80" t="str">
        <x:v>深圳博普科技</x:v>
      </x:c>
      <x:c r="O114" s="80" t="str">
        <x:v>100亿元以上</x:v>
      </x:c>
      <x:c r="P114" s="81" t="str">
        <x:f>IF(ABS('sheet2-计算明细'!AQ203-1)&lt;0.00000001,'sheet2-计算明细'!AR203,"")</x:f>
      </x:c>
      <x:c r="Q114" s="81" t="n">
        <x:f>'sheet2-计算明细'!AS203</x:f>
        <x:v>70.35</x:v>
      </x:c>
      <x:c r="R114" s="82" t="n">
        <x:f>'sheet2-计算明细'!AQ203</x:f>
        <x:v>0.9550000000000001</x:v>
      </x:c>
      <x:c r="S114" s="80" t="str">
        <x:v>本次公示未见相关记录</x:v>
      </x:c>
      <x:c r="T114" s="80" t="str">
        <x:v>https://gs.amac.org.cn/amac-infodisc/res/pof/manager/101000001136.html</x:v>
      </x:c>
      <x:c r="U114" s="80" t="n">
        <x:f>'sheet2-计算明细'!AT203</x:f>
        <x:v>70</x:v>
      </x:c>
      <x:c r="V114" s="80" t="n">
        <x:f>COUNTIF($U$2:$U$127,"&lt;"&amp;U114)+1</x:f>
        <x:v>47</x:v>
      </x:c>
    </x:row>
    <x:row r="115" ht="27" customHeight="1">
      <x:c r="A115" s="66" t="n">
        <x:v>114</x:v>
      </x:c>
      <x:c r="B115" s="66" t="str">
        <x:f>IF(INDEX($L$2:$L$127,MATCH(A115,$V$2:$V$127,0))="","",INDEX($L$2:$L$127,MATCH(A115,$V$2:$V$127,0)))</x:f>
        <x:v>悬铃稳健1号</x:v>
      </x:c>
      <x:c r="C115" s="66" t="str">
        <x:f>IF(INDEX($M$2:$M$127,MATCH(A115,$V$2:$V$127,0))="","",INDEX($M$2:$M$127,MATCH(A115,$V$2:$V$127,0)))</x:f>
        <x:v>SVB806</x:v>
      </x:c>
      <x:c r="D115" s="66" t="str">
        <x:f>IF(INDEX($N$2:$N$127,MATCH(A115,$V$2:$V$127,0))="","",INDEX($N$2:$N$127,MATCH(A115,$V$2:$V$127,0)))</x:f>
        <x:v>上海悬铃</x:v>
      </x:c>
      <x:c r="E115" s="66" t="str">
        <x:f>IF(INDEX($O$2:$O$127,MATCH(A115,$V$2:$V$127,0))="","",INDEX($O$2:$O$127,MATCH(A115,$V$2:$V$127,0)))</x:f>
        <x:v>20-50亿元</x:v>
      </x:c>
      <x:c r="F115" s="77" t="n">
        <x:f>IF(INDEX($P$2:$P$127,MATCH(A115,$V$2:$V$127,0))="","",INDEX($P$2:$P$127,MATCH(A115,$V$2:$V$127,0)))</x:f>
        <x:v>39.727309999999996</x:v>
      </x:c>
      <x:c r="G115" s="77" t="n">
        <x:f>IF(INDEX($Q$2:$Q$127,MATCH(A115,$V$2:$V$127,0))="","",INDEX($Q$2:$Q$127,MATCH(A115,$V$2:$V$127,0)))</x:f>
        <x:v>39.73</x:v>
      </x:c>
      <x:c r="H115" s="78" t="n">
        <x:f>IF(INDEX($R$2:$R$127,MATCH(A115,$V$2:$V$127,0))="","",INDEX($R$2:$R$127,MATCH(A115,$V$2:$V$127,0)))</x:f>
        <x:v>1</x:v>
      </x:c>
      <x:c r="I115" s="66" t="str">
        <x:f>IF(INDEX($S$2:$S$127,MATCH(A115,$V$2:$V$127,0))="","",INDEX($S$2:$S$127,MATCH(A115,$V$2:$V$127,0)))</x:f>
        <x:v>本次公示未见相关记录</x:v>
      </x:c>
      <x:c r="J115" s="66" t="str">
        <x:f>IF(INDEX($T$2:$T$127,MATCH(A115,$V$2:$V$127,0))="","",INDEX($T$2:$T$127,MATCH(A115,$V$2:$V$127,0)))</x:f>
        <x:v>https://gs.amac.org.cn/amac-infodisc/res/pof/manager/1701161209103763.html</x:v>
      </x:c>
      <x:c r="K115" s="66" t="n">
        <x:f>IF(INDEX($U$2:$U$127,MATCH(A115,$V$2:$V$127,0))="","",INDEX($U$2:$U$127,MATCH(A115,$V$2:$V$127,0)))</x:f>
        <x:v>177</x:v>
      </x:c>
      <x:c r="L115" s="80" t="str">
        <x:v>东宏启航稳健1号</x:v>
      </x:c>
      <x:c r="M115" s="80" t="str">
        <x:v>SAAE31</x:v>
      </x:c>
      <x:c r="N115" s="80" t="str">
        <x:v>北京东宏世家资管</x:v>
      </x:c>
      <x:c r="O115" s="80" t="str">
        <x:v>5-10亿元</x:v>
      </x:c>
      <x:c r="P115" s="81" t="n">
        <x:f>IF(ABS('sheet2-计算明细'!AQ204-1)&lt;0.00000001,'sheet2-计算明细'!AR204,"")</x:f>
        <x:v>64.78407999999999</x:v>
      </x:c>
      <x:c r="Q115" s="81" t="n">
        <x:f>'sheet2-计算明细'!AS204</x:f>
        <x:v>64.78</x:v>
      </x:c>
      <x:c r="R115" s="82" t="n">
        <x:f>'sheet2-计算明细'!AQ204</x:f>
        <x:v>1</x:v>
      </x:c>
      <x:c r="S115" s="80" t="str">
        <x:v>本次公示未见相关记录</x:v>
      </x:c>
      <x:c r="T115" s="80" t="str">
        <x:v>https://gs.amac.org.cn/amac-infodisc/res/pof/manager/101000028582.html</x:v>
      </x:c>
      <x:c r="U115" s="80" t="n">
        <x:f>'sheet2-计算明细'!AT204</x:f>
        <x:v>92</x:v>
      </x:c>
      <x:c r="V115" s="80" t="n">
        <x:f>COUNTIF($U$2:$U$127,"&lt;"&amp;U115)+1</x:f>
        <x:v>62</x:v>
      </x:c>
    </x:row>
    <x:row r="116" ht="27" customHeight="1">
      <x:c r="A116" s="66" t="n">
        <x:v>115</x:v>
      </x:c>
      <x:c r="B116" s="66" t="str">
        <x:f>IF(INDEX($L$2:$L$127,MATCH(A116,$V$2:$V$127,0))="","",INDEX($L$2:$L$127,MATCH(A116,$V$2:$V$127,0)))</x:f>
        <x:v>多打粮磬晟</x:v>
      </x:c>
      <x:c r="C116" s="66" t="str">
        <x:f>IF(INDEX($M$2:$M$127,MATCH(A116,$V$2:$V$127,0))="","",INDEX($M$2:$M$127,MATCH(A116,$V$2:$V$127,0)))</x:f>
        <x:v>SNF235</x:v>
      </x:c>
      <x:c r="D116" s="66" t="str">
        <x:f>IF(INDEX($N$2:$N$127,MATCH(A116,$V$2:$V$127,0))="","",INDEX($N$2:$N$127,MATCH(A116,$V$2:$V$127,0)))</x:f>
        <x:v>上海磬晟</x:v>
      </x:c>
      <x:c r="E116" s="66" t="str">
        <x:f>IF(INDEX($O$2:$O$127,MATCH(A116,$V$2:$V$127,0))="","",INDEX($O$2:$O$127,MATCH(A116,$V$2:$V$127,0)))</x:f>
        <x:v>5-10亿元</x:v>
      </x:c>
      <x:c r="F116" s="77" t="n">
        <x:f>IF(INDEX($P$2:$P$127,MATCH(A116,$V$2:$V$127,0))="","",INDEX($P$2:$P$127,MATCH(A116,$V$2:$V$127,0)))</x:f>
        <x:v>37.79133</x:v>
      </x:c>
      <x:c r="G116" s="77" t="n">
        <x:f>IF(INDEX($Q$2:$Q$127,MATCH(A116,$V$2:$V$127,0))="","",INDEX($Q$2:$Q$127,MATCH(A116,$V$2:$V$127,0)))</x:f>
        <x:v>37.79</x:v>
      </x:c>
      <x:c r="H116" s="78" t="n">
        <x:f>IF(INDEX($R$2:$R$127,MATCH(A116,$V$2:$V$127,0))="","",INDEX($R$2:$R$127,MATCH(A116,$V$2:$V$127,0)))</x:f>
        <x:v>1</x:v>
      </x:c>
      <x:c r="I116" s="66" t="str">
        <x:f>IF(INDEX($S$2:$S$127,MATCH(A116,$V$2:$V$127,0))="","",INDEX($S$2:$S$127,MATCH(A116,$V$2:$V$127,0)))</x:f>
        <x:v>本次公示未见相关记录</x:v>
      </x:c>
      <x:c r="J116" s="66" t="str">
        <x:f>IF(INDEX($T$2:$T$127,MATCH(A116,$V$2:$V$127,0))="","",INDEX($T$2:$T$127,MATCH(A116,$V$2:$V$127,0)))</x:f>
        <x:v>https://gs.amac.org.cn/amac-infodisc/res/pof/manager/1612231709103386.html</x:v>
      </x:c>
      <x:c r="K116" s="66" t="n">
        <x:f>IF(INDEX($U$2:$U$127,MATCH(A116,$V$2:$V$127,0))="","",INDEX($U$2:$U$127,MATCH(A116,$V$2:$V$127,0)))</x:f>
        <x:v>178</x:v>
      </x:c>
      <x:c r="L116" s="80" t="str">
        <x:v>慕途基本面量化2号</x:v>
      </x:c>
      <x:c r="M116" s="80" t="str">
        <x:v>SB9576</x:v>
      </x:c>
      <x:c r="N116" s="80" t="str">
        <x:v>慕途基金</x:v>
      </x:c>
      <x:c r="O116" s="80" t="str">
        <x:v>10-20亿元</x:v>
      </x:c>
      <x:c r="P116" s="81" t="str">
        <x:f>IF(ABS('sheet2-计算明细'!AQ205-1)&lt;0.00000001,'sheet2-计算明细'!AR205,"")</x:f>
      </x:c>
      <x:c r="Q116" s="81" t="n">
        <x:f>'sheet2-计算明细'!AS205</x:f>
        <x:v>70.68</x:v>
      </x:c>
      <x:c r="R116" s="82" t="n">
        <x:f>'sheet2-计算明细'!AQ205</x:f>
        <x:v>0.88</x:v>
      </x:c>
      <x:c r="S116" s="80" t="str">
        <x:v>本次公示未见相关记录</x:v>
      </x:c>
      <x:c r="T116" s="80" t="str">
        <x:v>https://gs.amac.org.cn/amac-infodisc/res/pof/manager/2106221238106983.html</x:v>
      </x:c>
      <x:c r="U116" s="80" t="n">
        <x:f>'sheet2-计算明细'!AT205</x:f>
        <x:v>69</x:v>
      </x:c>
      <x:c r="V116" s="80" t="n">
        <x:f>COUNTIF($U$2:$U$127,"&lt;"&amp;U116)+1</x:f>
        <x:v>46</x:v>
      </x:c>
    </x:row>
    <x:row r="117" ht="27" customHeight="1">
      <x:c r="A117" s="66" t="n">
        <x:v>116</x:v>
      </x:c>
      <x:c r="B117" s="66" t="str">
        <x:f>IF(INDEX($L$2:$L$127,MATCH(A117,$V$2:$V$127,0))="","",INDEX($L$2:$L$127,MATCH(A117,$V$2:$V$127,0)))</x:f>
        <x:v>悬铃C号2期</x:v>
      </x:c>
      <x:c r="C117" s="66" t="str">
        <x:f>IF(INDEX($M$2:$M$127,MATCH(A117,$V$2:$V$127,0))="","",INDEX($M$2:$M$127,MATCH(A117,$V$2:$V$127,0)))</x:f>
        <x:v>SGH303</x:v>
      </x:c>
      <x:c r="D117" s="66" t="str">
        <x:f>IF(INDEX($N$2:$N$127,MATCH(A117,$V$2:$V$127,0))="","",INDEX($N$2:$N$127,MATCH(A117,$V$2:$V$127,0)))</x:f>
        <x:v>上海悬铃</x:v>
      </x:c>
      <x:c r="E117" s="66" t="str">
        <x:f>IF(INDEX($O$2:$O$127,MATCH(A117,$V$2:$V$127,0))="","",INDEX($O$2:$O$127,MATCH(A117,$V$2:$V$127,0)))</x:f>
        <x:v>20-50亿元</x:v>
      </x:c>
      <x:c r="F117" s="77" t="n">
        <x:f>IF(INDEX($P$2:$P$127,MATCH(A117,$V$2:$V$127,0))="","",INDEX($P$2:$P$127,MATCH(A117,$V$2:$V$127,0)))</x:f>
        <x:v>36.01098999999999</x:v>
      </x:c>
      <x:c r="G117" s="77" t="n">
        <x:f>IF(INDEX($Q$2:$Q$127,MATCH(A117,$V$2:$V$127,0))="","",INDEX($Q$2:$Q$127,MATCH(A117,$V$2:$V$127,0)))</x:f>
        <x:v>36.01</x:v>
      </x:c>
      <x:c r="H117" s="78" t="n">
        <x:f>IF(INDEX($R$2:$R$127,MATCH(A117,$V$2:$V$127,0))="","",INDEX($R$2:$R$127,MATCH(A117,$V$2:$V$127,0)))</x:f>
        <x:v>1</x:v>
      </x:c>
      <x:c r="I117" s="66" t="str">
        <x:f>IF(INDEX($S$2:$S$127,MATCH(A117,$V$2:$V$127,0))="","",INDEX($S$2:$S$127,MATCH(A117,$V$2:$V$127,0)))</x:f>
        <x:v>本次公示未见相关记录</x:v>
      </x:c>
      <x:c r="J117" s="66" t="str">
        <x:f>IF(INDEX($T$2:$T$127,MATCH(A117,$V$2:$V$127,0))="","",INDEX($T$2:$T$127,MATCH(A117,$V$2:$V$127,0)))</x:f>
        <x:v>https://gs.amac.org.cn/amac-infodisc/res/pof/manager/1701161209103763.html</x:v>
      </x:c>
      <x:c r="K117" s="66" t="n">
        <x:f>IF(INDEX($U$2:$U$127,MATCH(A117,$V$2:$V$127,0))="","",INDEX($U$2:$U$127,MATCH(A117,$V$2:$V$127,0)))</x:f>
        <x:v>180</x:v>
      </x:c>
      <x:c r="L117" s="80" t="str">
        <x:v>兆信股指期货期权套利1号A类</x:v>
      </x:c>
      <x:c r="M117" s="80" t="str">
        <x:v>XN023A</x:v>
      </x:c>
      <x:c r="N117" s="80" t="str">
        <x:v>江苏兆信</x:v>
      </x:c>
      <x:c r="O117" s="80" t="str">
        <x:v>20-50亿元</x:v>
      </x:c>
      <x:c r="P117" s="81" t="str">
        <x:f>IF(ABS('sheet2-计算明细'!AQ206-1)&lt;0.00000001,'sheet2-计算明细'!AR206,"")</x:f>
      </x:c>
      <x:c r="Q117" s="81" t="n">
        <x:f>'sheet2-计算明细'!AS206</x:f>
        <x:v>59.56</x:v>
      </x:c>
      <x:c r="R117" s="82" t="n">
        <x:f>'sheet2-计算明细'!AQ206</x:f>
        <x:v>0.9550000000000001</x:v>
      </x:c>
      <x:c r="S117" s="80" t="str">
        <x:v>本次公示未见相关记录</x:v>
      </x:c>
      <x:c r="T117" s="80" t="str">
        <x:v>https://gs.amac.org.cn/amac-infodisc/res/pof/manager/101000002312.html</x:v>
      </x:c>
      <x:c r="U117" s="80" t="n">
        <x:f>'sheet2-计算明细'!AT206</x:f>
        <x:v>111</x:v>
      </x:c>
      <x:c r="V117" s="80" t="n">
        <x:f>COUNTIF($U$2:$U$127,"&lt;"&amp;U117)+1</x:f>
        <x:v>76</x:v>
      </x:c>
    </x:row>
    <x:row r="118" ht="27" customHeight="1">
      <x:c r="A118" s="66" t="n">
        <x:v>117</x:v>
      </x:c>
      <x:c r="B118" s="66" t="str">
        <x:f>IF(INDEX($L$2:$L$127,MATCH(A118,$V$2:$V$127,0))="","",INDEX($L$2:$L$127,MATCH(A118,$V$2:$V$127,0)))</x:f>
        <x:v>东玛多策略稳健1号</x:v>
      </x:c>
      <x:c r="C118" s="66" t="str">
        <x:f>IF(INDEX($M$2:$M$127,MATCH(A118,$V$2:$V$127,0))="","",INDEX($M$2:$M$127,MATCH(A118,$V$2:$V$127,0)))</x:f>
        <x:v>SVG441</x:v>
      </x:c>
      <x:c r="D118" s="66" t="str">
        <x:f>IF(INDEX($N$2:$N$127,MATCH(A118,$V$2:$V$127,0))="","",INDEX($N$2:$N$127,MATCH(A118,$V$2:$V$127,0)))</x:f>
        <x:v>宁波东玛</x:v>
      </x:c>
      <x:c r="E118" s="66" t="str">
        <x:f>IF(INDEX($O$2:$O$127,MATCH(A118,$V$2:$V$127,0))="","",INDEX($O$2:$O$127,MATCH(A118,$V$2:$V$127,0)))</x:f>
        <x:v>5-10亿元</x:v>
      </x:c>
      <x:c r="F118" s="77" t="str">
        <x:f>IF(INDEX($P$2:$P$127,MATCH(A118,$V$2:$V$127,0))="","",INDEX($P$2:$P$127,MATCH(A118,$V$2:$V$127,0)))</x:f>
      </x:c>
      <x:c r="G118" s="77" t="n">
        <x:f>IF(INDEX($Q$2:$Q$127,MATCH(A118,$V$2:$V$127,0))="","",INDEX($Q$2:$Q$127,MATCH(A118,$V$2:$V$127,0)))</x:f>
        <x:v>35.85</x:v>
      </x:c>
      <x:c r="H118" s="78" t="n">
        <x:f>IF(INDEX($R$2:$R$127,MATCH(A118,$V$2:$V$127,0))="","",INDEX($R$2:$R$127,MATCH(A118,$V$2:$V$127,0)))</x:f>
        <x:v>0.88</x:v>
      </x:c>
      <x:c r="I118" s="66" t="str">
        <x:f>IF(INDEX($S$2:$S$127,MATCH(A118,$V$2:$V$127,0))="","",INDEX($S$2:$S$127,MATCH(A118,$V$2:$V$127,0)))</x:f>
        <x:v>本次公示未见相关记录</x:v>
      </x:c>
      <x:c r="J118" s="66" t="str">
        <x:f>IF(INDEX($T$2:$T$127,MATCH(A118,$V$2:$V$127,0))="","",INDEX($T$2:$T$127,MATCH(A118,$V$2:$V$127,0)))</x:f>
        <x:v>https://gs.amac.org.cn/amac-infodisc/res/pof/manager/2110261036100964.html</x:v>
      </x:c>
      <x:c r="K118" s="66" t="n">
        <x:f>IF(INDEX($U$2:$U$127,MATCH(A118,$V$2:$V$127,0))="","",INDEX($U$2:$U$127,MATCH(A118,$V$2:$V$127,0)))</x:f>
        <x:v>181</x:v>
      </x:c>
      <x:c r="L118" s="80" t="str">
        <x:v>岳鑫遥3号A类</x:v>
      </x:c>
      <x:c r="M118" s="80" t="str">
        <x:v>XW818A</x:v>
      </x:c>
      <x:c r="N118" s="80" t="str">
        <x:v>北京岳鑫遥</x:v>
      </x:c>
      <x:c r="O118" s="80" t="str">
        <x:v>5-10亿元</x:v>
      </x:c>
      <x:c r="P118" s="81" t="str">
        <x:f>IF(ABS('sheet2-计算明细'!AQ208-1)&lt;0.00000001,'sheet2-计算明细'!AR208,"")</x:f>
      </x:c>
      <x:c r="Q118" s="81" t="n">
        <x:f>'sheet2-计算明细'!AS208</x:f>
        <x:v>32.1</x:v>
      </x:c>
      <x:c r="R118" s="82" t="n">
        <x:f>'sheet2-计算明细'!AQ208</x:f>
        <x:v>0.8350000000000001</x:v>
      </x:c>
      <x:c r="S118" s="80" t="str">
        <x:v>协会提示／报送异常</x:v>
      </x:c>
      <x:c r="T118" s="80" t="str">
        <x:v>https://gs.amac.org.cn/amac-infodisc/res/pof/manager/2207041830121644.html</x:v>
      </x:c>
      <x:c r="U118" s="80" t="n">
        <x:f>'sheet2-计算明细'!AT208</x:f>
        <x:v>188</x:v>
      </x:c>
      <x:c r="V118" s="80" t="n">
        <x:f>COUNTIF($U$2:$U$127,"&lt;"&amp;U118)+1</x:f>
        <x:v>120</x:v>
      </x:c>
    </x:row>
    <x:row r="119" ht="27" customHeight="1">
      <x:c r="A119" s="66" t="n">
        <x:v>118</x:v>
      </x:c>
      <x:c r="B119" s="66" t="str">
        <x:f>IF(INDEX($L$2:$L$127,MATCH(A119,$V$2:$V$127,0))="","",INDEX($L$2:$L$127,MATCH(A119,$V$2:$V$127,0)))</x:f>
        <x:v>磬晟启晟1号</x:v>
      </x:c>
      <x:c r="C119" s="66" t="str">
        <x:f>IF(INDEX($M$2:$M$127,MATCH(A119,$V$2:$V$127,0))="","",INDEX($M$2:$M$127,MATCH(A119,$V$2:$V$127,0)))</x:f>
        <x:v>SCB058</x:v>
      </x:c>
      <x:c r="D119" s="66" t="str">
        <x:f>IF(INDEX($N$2:$N$127,MATCH(A119,$V$2:$V$127,0))="","",INDEX($N$2:$N$127,MATCH(A119,$V$2:$V$127,0)))</x:f>
        <x:v>上海磬晟</x:v>
      </x:c>
      <x:c r="E119" s="66" t="str">
        <x:f>IF(INDEX($O$2:$O$127,MATCH(A119,$V$2:$V$127,0))="","",INDEX($O$2:$O$127,MATCH(A119,$V$2:$V$127,0)))</x:f>
        <x:v>5-10亿元</x:v>
      </x:c>
      <x:c r="F119" s="77" t="n">
        <x:f>IF(INDEX($P$2:$P$127,MATCH(A119,$V$2:$V$127,0))="","",INDEX($P$2:$P$127,MATCH(A119,$V$2:$V$127,0)))</x:f>
        <x:v>35.64213</x:v>
      </x:c>
      <x:c r="G119" s="77" t="n">
        <x:f>IF(INDEX($Q$2:$Q$127,MATCH(A119,$V$2:$V$127,0))="","",INDEX($Q$2:$Q$127,MATCH(A119,$V$2:$V$127,0)))</x:f>
        <x:v>35.64</x:v>
      </x:c>
      <x:c r="H119" s="78" t="n">
        <x:f>IF(INDEX($R$2:$R$127,MATCH(A119,$V$2:$V$127,0))="","",INDEX($R$2:$R$127,MATCH(A119,$V$2:$V$127,0)))</x:f>
        <x:v>1</x:v>
      </x:c>
      <x:c r="I119" s="66" t="str">
        <x:f>IF(INDEX($S$2:$S$127,MATCH(A119,$V$2:$V$127,0))="","",INDEX($S$2:$S$127,MATCH(A119,$V$2:$V$127,0)))</x:f>
        <x:v>本次公示未见相关记录</x:v>
      </x:c>
      <x:c r="J119" s="66" t="str">
        <x:f>IF(INDEX($T$2:$T$127,MATCH(A119,$V$2:$V$127,0))="","",INDEX($T$2:$T$127,MATCH(A119,$V$2:$V$127,0)))</x:f>
        <x:v>https://gs.amac.org.cn/amac-infodisc/res/pof/manager/1612231709103386.html</x:v>
      </x:c>
      <x:c r="K119" s="66" t="n">
        <x:f>IF(INDEX($U$2:$U$127,MATCH(A119,$V$2:$V$127,0))="","",INDEX($U$2:$U$127,MATCH(A119,$V$2:$V$127,0)))</x:f>
        <x:v>182</x:v>
      </x:c>
      <x:c r="L119" s="80" t="str">
        <x:v>惠隆金选套利1号B类</x:v>
      </x:c>
      <x:c r="M119" s="80" t="str">
        <x:v>QG026B</x:v>
      </x:c>
      <x:c r="N119" s="80" t="str">
        <x:v>北京惠隆资管</x:v>
      </x:c>
      <x:c r="O119" s="80" t="str">
        <x:v>10-20亿元</x:v>
      </x:c>
      <x:c r="P119" s="81" t="str">
        <x:f>IF(ABS('sheet2-计算明细'!AQ209-1)&lt;0.00000001,'sheet2-计算明细'!AR209,"")</x:f>
      </x:c>
      <x:c r="Q119" s="81" t="n">
        <x:f>'sheet2-计算明细'!AS209</x:f>
        <x:v>93.32</x:v>
      </x:c>
      <x:c r="R119" s="82" t="n">
        <x:f>'sheet2-计算明细'!AQ209</x:f>
        <x:v>0.8350000000000001</x:v>
      </x:c>
      <x:c r="S119" s="80" t="str">
        <x:v>协会提示／报送异常</x:v>
      </x:c>
      <x:c r="T119" s="80" t="str">
        <x:v>https://gs.amac.org.cn/amac-infodisc/res/pof/manager/1705031716108118.html</x:v>
      </x:c>
      <x:c r="U119" s="80" t="n">
        <x:f>'sheet2-计算明细'!AT209</x:f>
        <x:v>2</x:v>
      </x:c>
      <x:c r="V119" s="80" t="n">
        <x:f>COUNTIF($U$2:$U$127,"&lt;"&amp;U119)+1</x:f>
        <x:v>2</x:v>
      </x:c>
    </x:row>
    <x:row r="120" ht="27" customHeight="1">
      <x:c r="A120" s="66" t="n">
        <x:v>119</x:v>
      </x:c>
      <x:c r="B120" s="66" t="str">
        <x:f>IF(INDEX($L$2:$L$127,MATCH(A120,$V$2:$V$127,0))="","",INDEX($L$2:$L$127,MATCH(A120,$V$2:$V$127,0)))</x:f>
        <x:v>岳鑫遥3号</x:v>
      </x:c>
      <x:c r="C120" s="66" t="str">
        <x:f>IF(INDEX($M$2:$M$127,MATCH(A120,$V$2:$V$127,0))="","",INDEX($M$2:$M$127,MATCH(A120,$V$2:$V$127,0)))</x:f>
        <x:v>SXW818</x:v>
      </x:c>
      <x:c r="D120" s="66" t="str">
        <x:f>IF(INDEX($N$2:$N$127,MATCH(A120,$V$2:$V$127,0))="","",INDEX($N$2:$N$127,MATCH(A120,$V$2:$V$127,0)))</x:f>
        <x:v>北京岳鑫遥</x:v>
      </x:c>
      <x:c r="E120" s="66" t="str">
        <x:f>IF(INDEX($O$2:$O$127,MATCH(A120,$V$2:$V$127,0))="","",INDEX($O$2:$O$127,MATCH(A120,$V$2:$V$127,0)))</x:f>
        <x:v>5-10亿元</x:v>
      </x:c>
      <x:c r="F120" s="77" t="str">
        <x:f>IF(INDEX($P$2:$P$127,MATCH(A120,$V$2:$V$127,0))="","",INDEX($P$2:$P$127,MATCH(A120,$V$2:$V$127,0)))</x:f>
      </x:c>
      <x:c r="G120" s="77" t="n">
        <x:f>IF(INDEX($Q$2:$Q$127,MATCH(A120,$V$2:$V$127,0))="","",INDEX($Q$2:$Q$127,MATCH(A120,$V$2:$V$127,0)))</x:f>
        <x:v>35.57</x:v>
      </x:c>
      <x:c r="H120" s="78" t="n">
        <x:f>IF(INDEX($R$2:$R$127,MATCH(A120,$V$2:$V$127,0))="","",INDEX($R$2:$R$127,MATCH(A120,$V$2:$V$127,0)))</x:f>
        <x:v>0.88</x:v>
      </x:c>
      <x:c r="I120" s="66" t="str">
        <x:f>IF(INDEX($S$2:$S$127,MATCH(A120,$V$2:$V$127,0))="","",INDEX($S$2:$S$127,MATCH(A120,$V$2:$V$127,0)))</x:f>
        <x:v>协会提示／报送异常</x:v>
      </x:c>
      <x:c r="J120" s="66" t="str">
        <x:f>IF(INDEX($T$2:$T$127,MATCH(A120,$V$2:$V$127,0))="","",INDEX($T$2:$T$127,MATCH(A120,$V$2:$V$127,0)))</x:f>
        <x:v>https://gs.amac.org.cn/amac-infodisc/res/pof/manager/2207041830121644.html</x:v>
      </x:c>
      <x:c r="K120" s="66" t="n">
        <x:f>IF(INDEX($U$2:$U$127,MATCH(A120,$V$2:$V$127,0))="","",INDEX($U$2:$U$127,MATCH(A120,$V$2:$V$127,0)))</x:f>
        <x:v>183</x:v>
      </x:c>
      <x:c r="L120" s="80" t="str">
        <x:v>庄贤亨贞期权对冲A类</x:v>
      </x:c>
      <x:c r="M120" s="80" t="str">
        <x:v>TW239A</x:v>
      </x:c>
      <x:c r="N120" s="80" t="str">
        <x:v>杭州庄贤投资</x:v>
      </x:c>
      <x:c r="O120" s="80" t="str">
        <x:v>20-50亿元</x:v>
      </x:c>
      <x:c r="P120" s="81" t="str">
        <x:f>IF(ABS('sheet2-计算明细'!AQ210-1)&lt;0.00000001,'sheet2-计算明细'!AR210,"")</x:f>
      </x:c>
      <x:c r="Q120" s="81" t="n">
        <x:f>'sheet2-计算明细'!AS210</x:f>
        <x:v>75.28</x:v>
      </x:c>
      <x:c r="R120" s="82" t="n">
        <x:f>'sheet2-计算明细'!AQ210</x:f>
        <x:v>0.9550000000000001</x:v>
      </x:c>
      <x:c r="S120" s="80" t="str">
        <x:v>本次公示未见相关记录</x:v>
      </x:c>
      <x:c r="T120" s="80" t="str">
        <x:v>https://gs.amac.org.cn/amac-infodisc/res/pof/manager/1703280912100590.html</x:v>
      </x:c>
      <x:c r="U120" s="80" t="n">
        <x:f>'sheet2-计算明细'!AT210</x:f>
        <x:v>48</x:v>
      </x:c>
      <x:c r="V120" s="80" t="n">
        <x:f>COUNTIF($U$2:$U$127,"&lt;"&amp;U120)+1</x:f>
        <x:v>32</x:v>
      </x:c>
    </x:row>
    <x:row r="121" ht="27" customHeight="1">
      <x:c r="A121" s="66" t="n">
        <x:v>120</x:v>
      </x:c>
      <x:c r="B121" s="66" t="str">
        <x:f>IF(INDEX($L$2:$L$127,MATCH(A121,$V$2:$V$127,0))="","",INDEX($L$2:$L$127,MATCH(A121,$V$2:$V$127,0)))</x:f>
        <x:v>岳鑫遥3号A类</x:v>
      </x:c>
      <x:c r="C121" s="66" t="str">
        <x:f>IF(INDEX($M$2:$M$127,MATCH(A121,$V$2:$V$127,0))="","",INDEX($M$2:$M$127,MATCH(A121,$V$2:$V$127,0)))</x:f>
        <x:v>XW818A</x:v>
      </x:c>
      <x:c r="D121" s="66" t="str">
        <x:f>IF(INDEX($N$2:$N$127,MATCH(A121,$V$2:$V$127,0))="","",INDEX($N$2:$N$127,MATCH(A121,$V$2:$V$127,0)))</x:f>
        <x:v>北京岳鑫遥</x:v>
      </x:c>
      <x:c r="E121" s="66" t="str">
        <x:f>IF(INDEX($O$2:$O$127,MATCH(A121,$V$2:$V$127,0))="","",INDEX($O$2:$O$127,MATCH(A121,$V$2:$V$127,0)))</x:f>
        <x:v>5-10亿元</x:v>
      </x:c>
      <x:c r="F121" s="77" t="str">
        <x:f>IF(INDEX($P$2:$P$127,MATCH(A121,$V$2:$V$127,0))="","",INDEX($P$2:$P$127,MATCH(A121,$V$2:$V$127,0)))</x:f>
      </x:c>
      <x:c r="G121" s="77" t="n">
        <x:f>IF(INDEX($Q$2:$Q$127,MATCH(A121,$V$2:$V$127,0))="","",INDEX($Q$2:$Q$127,MATCH(A121,$V$2:$V$127,0)))</x:f>
        <x:v>32.1</x:v>
      </x:c>
      <x:c r="H121" s="78" t="n">
        <x:f>IF(INDEX($R$2:$R$127,MATCH(A121,$V$2:$V$127,0))="","",INDEX($R$2:$R$127,MATCH(A121,$V$2:$V$127,0)))</x:f>
        <x:v>0.8350000000000001</x:v>
      </x:c>
      <x:c r="I121" s="66" t="str">
        <x:f>IF(INDEX($S$2:$S$127,MATCH(A121,$V$2:$V$127,0))="","",INDEX($S$2:$S$127,MATCH(A121,$V$2:$V$127,0)))</x:f>
        <x:v>协会提示／报送异常</x:v>
      </x:c>
      <x:c r="J121" s="66" t="str">
        <x:f>IF(INDEX($T$2:$T$127,MATCH(A121,$V$2:$V$127,0))="","",INDEX($T$2:$T$127,MATCH(A121,$V$2:$V$127,0)))</x:f>
        <x:v>https://gs.amac.org.cn/amac-infodisc/res/pof/manager/2207041830121644.html</x:v>
      </x:c>
      <x:c r="K121" s="66" t="n">
        <x:f>IF(INDEX($U$2:$U$127,MATCH(A121,$V$2:$V$127,0))="","",INDEX($U$2:$U$127,MATCH(A121,$V$2:$V$127,0)))</x:f>
        <x:v>188</x:v>
      </x:c>
      <x:c r="L121" s="80" t="str">
        <x:v>展弘优选套利运作1号A类</x:v>
      </x:c>
      <x:c r="M121" s="80" t="str">
        <x:v>B2690A</x:v>
      </x:c>
      <x:c r="N121" s="80" t="str">
        <x:v>上海展弘投资</x:v>
      </x:c>
      <x:c r="O121" s="80" t="str">
        <x:v>100亿元以上</x:v>
      </x:c>
      <x:c r="P121" s="81" t="str">
        <x:f>IF(ABS('sheet2-计算明细'!AQ211-1)&lt;0.00000001,'sheet2-计算明细'!AR211,"")</x:f>
      </x:c>
      <x:c r="Q121" s="81" t="n">
        <x:f>'sheet2-计算明细'!AS211</x:f>
        <x:v>54.82</x:v>
      </x:c>
      <x:c r="R121" s="82" t="n">
        <x:f>'sheet2-计算明细'!AQ211</x:f>
        <x:v>0.9550000000000001</x:v>
      </x:c>
      <x:c r="S121" s="80" t="str">
        <x:v>本次公示未见相关记录</x:v>
      </x:c>
      <x:c r="T121" s="80" t="str">
        <x:v>https://gs.amac.org.cn/amac-infodisc/res/pof/manager/101000019470.html</x:v>
      </x:c>
      <x:c r="U121" s="80" t="n">
        <x:f>'sheet2-计算明细'!AT211</x:f>
        <x:v>126</x:v>
      </x:c>
      <x:c r="V121" s="80" t="n">
        <x:f>COUNTIF($U$2:$U$127,"&lt;"&amp;U121)+1</x:f>
        <x:v>87</x:v>
      </x:c>
    </x:row>
    <x:row r="122" ht="27" customHeight="1">
      <x:c r="A122" s="66" t="n">
        <x:v>121</x:v>
      </x:c>
      <x:c r="B122" s="66" t="str">
        <x:f>IF(INDEX($L$2:$L$127,MATCH(A122,$V$2:$V$127,0))="","",INDEX($L$2:$L$127,MATCH(A122,$V$2:$V$127,0)))</x:f>
        <x:v>悬铃瑞享C号1期</x:v>
      </x:c>
      <x:c r="C122" s="66" t="str">
        <x:f>IF(INDEX($M$2:$M$127,MATCH(A122,$V$2:$V$127,0))="","",INDEX($M$2:$M$127,MATCH(A122,$V$2:$V$127,0)))</x:f>
        <x:v>SZF187</x:v>
      </x:c>
      <x:c r="D122" s="66" t="str">
        <x:f>IF(INDEX($N$2:$N$127,MATCH(A122,$V$2:$V$127,0))="","",INDEX($N$2:$N$127,MATCH(A122,$V$2:$V$127,0)))</x:f>
        <x:v>上海悬铃</x:v>
      </x:c>
      <x:c r="E122" s="66" t="str">
        <x:f>IF(INDEX($O$2:$O$127,MATCH(A122,$V$2:$V$127,0))="","",INDEX($O$2:$O$127,MATCH(A122,$V$2:$V$127,0)))</x:f>
        <x:v>20-50亿元</x:v>
      </x:c>
      <x:c r="F122" s="77" t="n">
        <x:f>IF(INDEX($P$2:$P$127,MATCH(A122,$V$2:$V$127,0))="","",INDEX($P$2:$P$127,MATCH(A122,$V$2:$V$127,0)))</x:f>
        <x:v>30.58826</x:v>
      </x:c>
      <x:c r="G122" s="77" t="n">
        <x:f>IF(INDEX($Q$2:$Q$127,MATCH(A122,$V$2:$V$127,0))="","",INDEX($Q$2:$Q$127,MATCH(A122,$V$2:$V$127,0)))</x:f>
        <x:v>30.59</x:v>
      </x:c>
      <x:c r="H122" s="78" t="n">
        <x:f>IF(INDEX($R$2:$R$127,MATCH(A122,$V$2:$V$127,0))="","",INDEX($R$2:$R$127,MATCH(A122,$V$2:$V$127,0)))</x:f>
        <x:v>1</x:v>
      </x:c>
      <x:c r="I122" s="66" t="str">
        <x:f>IF(INDEX($S$2:$S$127,MATCH(A122,$V$2:$V$127,0))="","",INDEX($S$2:$S$127,MATCH(A122,$V$2:$V$127,0)))</x:f>
        <x:v>本次公示未见相关记录</x:v>
      </x:c>
      <x:c r="J122" s="66" t="str">
        <x:f>IF(INDEX($T$2:$T$127,MATCH(A122,$V$2:$V$127,0))="","",INDEX($T$2:$T$127,MATCH(A122,$V$2:$V$127,0)))</x:f>
        <x:v>https://gs.amac.org.cn/amac-infodisc/res/pof/manager/1701161209103763.html</x:v>
      </x:c>
      <x:c r="K122" s="66" t="n">
        <x:f>IF(INDEX($U$2:$U$127,MATCH(A122,$V$2:$V$127,0))="","",INDEX($U$2:$U$127,MATCH(A122,$V$2:$V$127,0)))</x:f>
        <x:v>191</x:v>
      </x:c>
      <x:c r="L122" s="80" t="str">
        <x:v>乘舟紫荆1号B类</x:v>
      </x:c>
      <x:c r="M122" s="80" t="str">
        <x:v>XW399B</x:v>
      </x:c>
      <x:c r="N122" s="80" t="str">
        <x:v>上海乘舟投资</x:v>
      </x:c>
      <x:c r="O122" s="80" t="str">
        <x:v>5-10亿元</x:v>
      </x:c>
      <x:c r="P122" s="81" t="str">
        <x:f>IF(ABS('sheet2-计算明细'!AQ213-1)&lt;0.00000001,'sheet2-计算明细'!AR213,"")</x:f>
      </x:c>
      <x:c r="Q122" s="81" t="n">
        <x:f>'sheet2-计算明细'!AS213</x:f>
        <x:v>44.17</x:v>
      </x:c>
      <x:c r="R122" s="82" t="n">
        <x:f>'sheet2-计算明细'!AQ213</x:f>
        <x:v>0.8350000000000001</x:v>
      </x:c>
      <x:c r="S122" s="80" t="str">
        <x:v>本次公示未见相关记录</x:v>
      </x:c>
      <x:c r="T122" s="80" t="str">
        <x:v>https://gs.amac.org.cn/amac-infodisc/res/pof/manager/2003191500102072.html</x:v>
      </x:c>
      <x:c r="U122" s="80" t="n">
        <x:f>'sheet2-计算明细'!AT213</x:f>
        <x:v>160</x:v>
      </x:c>
      <x:c r="V122" s="80" t="n">
        <x:f>COUNTIF($U$2:$U$127,"&lt;"&amp;U122)+1</x:f>
        <x:v>104</x:v>
      </x:c>
    </x:row>
    <x:row r="123" ht="27" customHeight="1">
      <x:c r="A123" s="66" t="n">
        <x:v>122</x:v>
      </x:c>
      <x:c r="B123" s="66" t="str">
        <x:f>IF(INDEX($L$2:$L$127,MATCH(A123,$V$2:$V$127,0))="","",INDEX($L$2:$L$127,MATCH(A123,$V$2:$V$127,0)))</x:f>
        <x:v>泰创稳健二号</x:v>
      </x:c>
      <x:c r="C123" s="66" t="str">
        <x:f>IF(INDEX($M$2:$M$127,MATCH(A123,$V$2:$V$127,0))="","",INDEX($M$2:$M$127,MATCH(A123,$V$2:$V$127,0)))</x:f>
        <x:v>SXP356</x:v>
      </x:c>
      <x:c r="D123" s="66" t="str">
        <x:f>IF(INDEX($N$2:$N$127,MATCH(A123,$V$2:$V$127,0))="","",INDEX($N$2:$N$127,MATCH(A123,$V$2:$V$127,0)))</x:f>
        <x:v>北京泰创投资</x:v>
      </x:c>
      <x:c r="E123" s="66" t="str">
        <x:f>IF(INDEX($O$2:$O$127,MATCH(A123,$V$2:$V$127,0))="","",INDEX($O$2:$O$127,MATCH(A123,$V$2:$V$127,0)))</x:f>
        <x:v>5-10亿元</x:v>
      </x:c>
      <x:c r="F123" s="77" t="n">
        <x:f>IF(INDEX($P$2:$P$127,MATCH(A123,$V$2:$V$127,0))="","",INDEX($P$2:$P$127,MATCH(A123,$V$2:$V$127,0)))</x:f>
        <x:v>29.21788</x:v>
      </x:c>
      <x:c r="G123" s="77" t="n">
        <x:f>IF(INDEX($Q$2:$Q$127,MATCH(A123,$V$2:$V$127,0))="","",INDEX($Q$2:$Q$127,MATCH(A123,$V$2:$V$127,0)))</x:f>
        <x:v>29.22</x:v>
      </x:c>
      <x:c r="H123" s="78" t="n">
        <x:f>IF(INDEX($R$2:$R$127,MATCH(A123,$V$2:$V$127,0))="","",INDEX($R$2:$R$127,MATCH(A123,$V$2:$V$127,0)))</x:f>
        <x:v>1</x:v>
      </x:c>
      <x:c r="I123" s="66" t="str">
        <x:f>IF(INDEX($S$2:$S$127,MATCH(A123,$V$2:$V$127,0))="","",INDEX($S$2:$S$127,MATCH(A123,$V$2:$V$127,0)))</x:f>
        <x:v>本次公示未见相关记录</x:v>
      </x:c>
      <x:c r="J123" s="66" t="str">
        <x:f>IF(INDEX($T$2:$T$127,MATCH(A123,$V$2:$V$127,0))="","",INDEX($T$2:$T$127,MATCH(A123,$V$2:$V$127,0)))</x:f>
        <x:v>https://gs.amac.org.cn/amac-infodisc/res/pof/manager/101000008864.html</x:v>
      </x:c>
      <x:c r="K123" s="66" t="n">
        <x:f>IF(INDEX($U$2:$U$127,MATCH(A123,$V$2:$V$127,0))="","",INDEX($U$2:$U$127,MATCH(A123,$V$2:$V$127,0)))</x:f>
        <x:v>195</x:v>
      </x:c>
      <x:c r="L123" s="80" t="str">
        <x:v>博普稳增3号A类</x:v>
      </x:c>
      <x:c r="M123" s="80" t="str">
        <x:v>W7191A</x:v>
      </x:c>
      <x:c r="N123" s="80" t="str">
        <x:v>深圳博普科技</x:v>
      </x:c>
      <x:c r="O123" s="80" t="str">
        <x:v>100亿元以上</x:v>
      </x:c>
      <x:c r="P123" s="81" t="str">
        <x:f>IF(ABS('sheet2-计算明细'!AQ214-1)&lt;0.00000001,'sheet2-计算明细'!AR214,"")</x:f>
      </x:c>
      <x:c r="Q123" s="81" t="n">
        <x:f>'sheet2-计算明细'!AS214</x:f>
        <x:v>75.73</x:v>
      </x:c>
      <x:c r="R123" s="82" t="n">
        <x:f>'sheet2-计算明细'!AQ214</x:f>
        <x:v>0.9550000000000001</x:v>
      </x:c>
      <x:c r="S123" s="80" t="str">
        <x:v>本次公示未见相关记录</x:v>
      </x:c>
      <x:c r="T123" s="80" t="str">
        <x:v>https://gs.amac.org.cn/amac-infodisc/res/pof/manager/101000001136.html</x:v>
      </x:c>
      <x:c r="U123" s="80" t="n">
        <x:f>'sheet2-计算明细'!AT214</x:f>
        <x:v>44</x:v>
      </x:c>
      <x:c r="V123" s="80" t="n">
        <x:f>COUNTIF($U$2:$U$127,"&lt;"&amp;U123)+1</x:f>
        <x:v>30</x:v>
      </x:c>
    </x:row>
    <x:row r="124" ht="27" customHeight="1">
      <x:c r="A124" s="66" t="n">
        <x:v>123</x:v>
      </x:c>
      <x:c r="B124" s="66" t="str">
        <x:f>IF(INDEX($L$2:$L$127,MATCH(A124,$V$2:$V$127,0))="","",INDEX($L$2:$L$127,MATCH(A124,$V$2:$V$127,0)))</x:f>
        <x:v>韵之嘉益</x:v>
      </x:c>
      <x:c r="C124" s="66" t="str">
        <x:f>IF(INDEX($M$2:$M$127,MATCH(A124,$V$2:$V$127,0))="","",INDEX($M$2:$M$127,MATCH(A124,$V$2:$V$127,0)))</x:f>
        <x:v>SB1775</x:v>
      </x:c>
      <x:c r="D124" s="66" t="str">
        <x:f>IF(INDEX($N$2:$N$127,MATCH(A124,$V$2:$V$127,0))="","",INDEX($N$2:$N$127,MATCH(A124,$V$2:$V$127,0)))</x:f>
        <x:v>北京韵之</x:v>
      </x:c>
      <x:c r="E124" s="66" t="str">
        <x:f>IF(INDEX($O$2:$O$127,MATCH(A124,$V$2:$V$127,0))="","",INDEX($O$2:$O$127,MATCH(A124,$V$2:$V$127,0)))</x:f>
        <x:v>5-10亿元</x:v>
      </x:c>
      <x:c r="F124" s="77" t="n">
        <x:f>IF(INDEX($P$2:$P$127,MATCH(A124,$V$2:$V$127,0))="","",INDEX($P$2:$P$127,MATCH(A124,$V$2:$V$127,0)))</x:f>
        <x:v>28.471890000000002</x:v>
      </x:c>
      <x:c r="G124" s="77" t="n">
        <x:f>IF(INDEX($Q$2:$Q$127,MATCH(A124,$V$2:$V$127,0))="","",INDEX($Q$2:$Q$127,MATCH(A124,$V$2:$V$127,0)))</x:f>
        <x:v>28.47</x:v>
      </x:c>
      <x:c r="H124" s="78" t="n">
        <x:f>IF(INDEX($R$2:$R$127,MATCH(A124,$V$2:$V$127,0))="","",INDEX($R$2:$R$127,MATCH(A124,$V$2:$V$127,0)))</x:f>
        <x:v>1</x:v>
      </x:c>
      <x:c r="I124" s="66" t="str">
        <x:f>IF(INDEX($S$2:$S$127,MATCH(A124,$V$2:$V$127,0))="","",INDEX($S$2:$S$127,MATCH(A124,$V$2:$V$127,0)))</x:f>
        <x:v>本次公示未见相关记录</x:v>
      </x:c>
      <x:c r="J124" s="66" t="str">
        <x:f>IF(INDEX($T$2:$T$127,MATCH(A124,$V$2:$V$127,0))="","",INDEX($T$2:$T$127,MATCH(A124,$V$2:$V$127,0)))</x:f>
        <x:v>https://gs.amac.org.cn/amac-infodisc/res/pof/manager/1609291216100602.html</x:v>
      </x:c>
      <x:c r="K124" s="66" t="n">
        <x:f>IF(INDEX($U$2:$U$127,MATCH(A124,$V$2:$V$127,0))="","",INDEX($U$2:$U$127,MATCH(A124,$V$2:$V$127,0)))</x:f>
        <x:v>197</x:v>
      </x:c>
      <x:c r="L124" s="80" t="str">
        <x:v>和熙新月1号A类</x:v>
      </x:c>
      <x:c r="M124" s="80" t="str">
        <x:v>JG287A</x:v>
      </x:c>
      <x:c r="N124" s="80" t="str">
        <x:v>浙江和熙资管</x:v>
      </x:c>
      <x:c r="O124" s="80" t="str">
        <x:v>5-10亿元</x:v>
      </x:c>
      <x:c r="P124" s="81" t="str">
        <x:f>IF(ABS('sheet2-计算明细'!AQ216-1)&lt;0.00000001,'sheet2-计算明细'!AR216,"")</x:f>
      </x:c>
      <x:c r="Q124" s="81" t="n">
        <x:f>'sheet2-计算明细'!AS216</x:f>
        <x:v>40.16</x:v>
      </x:c>
      <x:c r="R124" s="82" t="n">
        <x:f>'sheet2-计算明细'!AQ216</x:f>
        <x:v>0.8350000000000001</x:v>
      </x:c>
      <x:c r="S124" s="80" t="str">
        <x:v>协会提示／报送异常</x:v>
      </x:c>
      <x:c r="T124" s="80" t="str">
        <x:v>https://gs.amac.org.cn/amac-infodisc/res/pof/manager/101000072213.html</x:v>
      </x:c>
      <x:c r="U124" s="80" t="n">
        <x:f>'sheet2-计算明细'!AT216</x:f>
        <x:v>174</x:v>
      </x:c>
      <x:c r="V124" s="80" t="n">
        <x:f>COUNTIF($U$2:$U$127,"&lt;"&amp;U124)+1</x:f>
        <x:v>112</x:v>
      </x:c>
    </x:row>
    <x:row r="125" ht="27" customHeight="1">
      <x:c r="A125" s="66" t="n">
        <x:v>124</x:v>
      </x:c>
      <x:c r="B125" s="66" t="str">
        <x:f>IF(INDEX($L$2:$L$127,MATCH(A125,$V$2:$V$127,0))="","",INDEX($L$2:$L$127,MATCH(A125,$V$2:$V$127,0)))</x:f>
        <x:v>晨乐佳享3号</x:v>
      </x:c>
      <x:c r="C125" s="66" t="str">
        <x:f>IF(INDEX($M$2:$M$127,MATCH(A125,$V$2:$V$127,0))="","",INDEX($M$2:$M$127,MATCH(A125,$V$2:$V$127,0)))</x:f>
        <x:v>SEX105</x:v>
      </x:c>
      <x:c r="D125" s="66" t="str">
        <x:f>IF(INDEX($N$2:$N$127,MATCH(A125,$V$2:$V$127,0))="","",INDEX($N$2:$N$127,MATCH(A125,$V$2:$V$127,0)))</x:f>
        <x:v>北京晨乐资管</x:v>
      </x:c>
      <x:c r="E125" s="66" t="str">
        <x:f>IF(INDEX($O$2:$O$127,MATCH(A125,$V$2:$V$127,0))="","",INDEX($O$2:$O$127,MATCH(A125,$V$2:$V$127,0)))</x:f>
        <x:v>5-10亿元</x:v>
      </x:c>
      <x:c r="F125" s="77" t="n">
        <x:f>IF(INDEX($P$2:$P$127,MATCH(A125,$V$2:$V$127,0))="","",INDEX($P$2:$P$127,MATCH(A125,$V$2:$V$127,0)))</x:f>
        <x:v>27.515169999999998</x:v>
      </x:c>
      <x:c r="G125" s="77" t="n">
        <x:f>IF(INDEX($Q$2:$Q$127,MATCH(A125,$V$2:$V$127,0))="","",INDEX($Q$2:$Q$127,MATCH(A125,$V$2:$V$127,0)))</x:f>
        <x:v>27.52</x:v>
      </x:c>
      <x:c r="H125" s="78" t="n">
        <x:f>IF(INDEX($R$2:$R$127,MATCH(A125,$V$2:$V$127,0))="","",INDEX($R$2:$R$127,MATCH(A125,$V$2:$V$127,0)))</x:f>
        <x:v>1</x:v>
      </x:c>
      <x:c r="I125" s="66" t="str">
        <x:f>IF(INDEX($S$2:$S$127,MATCH(A125,$V$2:$V$127,0))="","",INDEX($S$2:$S$127,MATCH(A125,$V$2:$V$127,0)))</x:f>
        <x:v>协会提示／报送异常</x:v>
      </x:c>
      <x:c r="J125" s="66" t="str">
        <x:f>IF(INDEX($T$2:$T$127,MATCH(A125,$V$2:$V$127,0))="","",INDEX($T$2:$T$127,MATCH(A125,$V$2:$V$127,0)))</x:f>
        <x:v>https://gs.amac.org.cn/amac-infodisc/res/pof/manager/1701061825106751.html</x:v>
      </x:c>
      <x:c r="K125" s="66" t="n">
        <x:f>IF(INDEX($U$2:$U$127,MATCH(A125,$V$2:$V$127,0))="","",INDEX($U$2:$U$127,MATCH(A125,$V$2:$V$127,0)))</x:f>
        <x:v>198</x:v>
      </x:c>
      <x:c r="L125" s="80" t="str">
        <x:v>常行7号</x:v>
      </x:c>
      <x:c r="M125" s="80" t="str">
        <x:v>SQH214</x:v>
      </x:c>
      <x:c r="N125" s="80" t="str">
        <x:v>江苏常行投资</x:v>
      </x:c>
      <x:c r="O125" s="80" t="str">
        <x:v>5-10亿元</x:v>
      </x:c>
      <x:c r="P125" s="81" t="n">
        <x:f>IF(ABS('sheet2-计算明细'!AQ217-1)&lt;0.00000001,'sheet2-计算明细'!AR217,"")</x:f>
        <x:v>85.65429999999999</x:v>
      </x:c>
      <x:c r="Q125" s="81" t="n">
        <x:f>'sheet2-计算明细'!AS217</x:f>
        <x:v>85.65</x:v>
      </x:c>
      <x:c r="R125" s="82" t="n">
        <x:f>'sheet2-计算明细'!AQ217</x:f>
        <x:v>1</x:v>
      </x:c>
      <x:c r="S125" s="80" t="str">
        <x:v>本次公示未见相关记录</x:v>
      </x:c>
      <x:c r="T125" s="80" t="str">
        <x:v>https://gs.amac.org.cn/amac-infodisc/res/pof/manager/101000022360.html</x:v>
      </x:c>
      <x:c r="U125" s="80" t="n">
        <x:f>'sheet2-计算明细'!AT217</x:f>
        <x:v>16</x:v>
      </x:c>
      <x:c r="V125" s="80" t="n">
        <x:f>COUNTIF($U$2:$U$127,"&lt;"&amp;U125)+1</x:f>
        <x:v>11</x:v>
      </x:c>
    </x:row>
    <x:row r="126" ht="27" customHeight="1">
      <x:c r="A126" s="66" t="n">
        <x:v>125</x:v>
      </x:c>
      <x:c r="B126" s="66" t="str">
        <x:f>IF(INDEX($L$2:$L$127,MATCH(A126,$V$2:$V$127,0))="","",INDEX($L$2:$L$127,MATCH(A126,$V$2:$V$127,0)))</x:f>
        <x:v>鹿秀驯鹿5号</x:v>
      </x:c>
      <x:c r="C126" s="66" t="str">
        <x:f>IF(INDEX($M$2:$M$127,MATCH(A126,$V$2:$V$127,0))="","",INDEX($M$2:$M$127,MATCH(A126,$V$2:$V$127,0)))</x:f>
        <x:v>SLN352</x:v>
      </x:c>
      <x:c r="D126" s="66" t="str">
        <x:f>IF(INDEX($N$2:$N$127,MATCH(A126,$V$2:$V$127,0))="","",INDEX($N$2:$N$127,MATCH(A126,$V$2:$V$127,0)))</x:f>
        <x:v>青岛鹿秀投资</x:v>
      </x:c>
      <x:c r="E126" s="66" t="str">
        <x:f>IF(INDEX($O$2:$O$127,MATCH(A126,$V$2:$V$127,0))="","",INDEX($O$2:$O$127,MATCH(A126,$V$2:$V$127,0)))</x:f>
        <x:v>50-100亿元</x:v>
      </x:c>
      <x:c r="F126" s="77" t="n">
        <x:f>IF(INDEX($P$2:$P$127,MATCH(A126,$V$2:$V$127,0))="","",INDEX($P$2:$P$127,MATCH(A126,$V$2:$V$127,0)))</x:f>
        <x:v>23.92577</x:v>
      </x:c>
      <x:c r="G126" s="77" t="n">
        <x:f>IF(INDEX($Q$2:$Q$127,MATCH(A126,$V$2:$V$127,0))="","",INDEX($Q$2:$Q$127,MATCH(A126,$V$2:$V$127,0)))</x:f>
        <x:v>23.93</x:v>
      </x:c>
      <x:c r="H126" s="78" t="n">
        <x:f>IF(INDEX($R$2:$R$127,MATCH(A126,$V$2:$V$127,0))="","",INDEX($R$2:$R$127,MATCH(A126,$V$2:$V$127,0)))</x:f>
        <x:v>1</x:v>
      </x:c>
      <x:c r="I126" s="66" t="str">
        <x:f>IF(INDEX($S$2:$S$127,MATCH(A126,$V$2:$V$127,0))="","",INDEX($S$2:$S$127,MATCH(A126,$V$2:$V$127,0)))</x:f>
        <x:v>协会提示／报送异常</x:v>
      </x:c>
      <x:c r="J126" s="66" t="str">
        <x:f>IF(INDEX($T$2:$T$127,MATCH(A126,$V$2:$V$127,0))="","",INDEX($T$2:$T$127,MATCH(A126,$V$2:$V$127,0)))</x:f>
        <x:v>https://gs.amac.org.cn/amac-infodisc/res/pof/manager/1612231708101923.html</x:v>
      </x:c>
      <x:c r="K126" s="66" t="n">
        <x:f>IF(INDEX($U$2:$U$127,MATCH(A126,$V$2:$V$127,0))="","",INDEX($U$2:$U$127,MATCH(A126,$V$2:$V$127,0)))</x:f>
        <x:v>200</x:v>
      </x:c>
      <x:c r="L126" s="80" t="str">
        <x:v>深度梦扬量化套利0号</x:v>
      </x:c>
      <x:c r="M126" s="80" t="str">
        <x:v>SQD620</x:v>
      </x:c>
      <x:c r="N126" s="80" t="str">
        <x:v>杭州深度资管</x:v>
      </x:c>
      <x:c r="O126" s="80" t="str">
        <x:v>10-20亿元</x:v>
      </x:c>
      <x:c r="P126" s="81" t="str">
        <x:f>IF(ABS('sheet2-计算明细'!AQ218-1)&lt;0.00000001,'sheet2-计算明细'!AR218,"")</x:f>
      </x:c>
      <x:c r="Q126" s="81" t="n">
        <x:f>'sheet2-计算明细'!AS218</x:f>
        <x:v>68.53</x:v>
      </x:c>
      <x:c r="R126" s="82" t="n">
        <x:f>'sheet2-计算明细'!AQ218</x:f>
        <x:v>0.88</x:v>
      </x:c>
      <x:c r="S126" s="80" t="str">
        <x:v>本次公示未见相关记录</x:v>
      </x:c>
      <x:c r="T126" s="80" t="str">
        <x:v>https://gs.amac.org.cn/amac-infodisc/res/pof/manager/1703210938100205.html</x:v>
      </x:c>
      <x:c r="U126" s="80" t="n">
        <x:f>'sheet2-计算明细'!AT218</x:f>
        <x:v>80</x:v>
      </x:c>
      <x:c r="V126" s="80" t="n">
        <x:f>COUNTIF($U$2:$U$127,"&lt;"&amp;U126)+1</x:f>
        <x:v>54</x:v>
      </x:c>
    </x:row>
    <x:row r="127" ht="27" customHeight="1">
      <x:c r="A127" s="66" t="n">
        <x:v>126</x:v>
      </x:c>
      <x:c r="B127" s="66" t="str">
        <x:f>IF(INDEX($L$2:$L$127,MATCH(A127,$V$2:$V$127,0))="","",INDEX($L$2:$L$127,MATCH(A127,$V$2:$V$127,0)))</x:f>
        <x:v>洮利11号1期</x:v>
      </x:c>
      <x:c r="C127" s="66" t="str">
        <x:f>IF(INDEX($M$2:$M$127,MATCH(A127,$V$2:$V$127,0))="","",INDEX($M$2:$M$127,MATCH(A127,$V$2:$V$127,0)))</x:f>
        <x:v>SNS371</x:v>
      </x:c>
      <x:c r="D127" s="66" t="str">
        <x:f>IF(INDEX($N$2:$N$127,MATCH(A127,$V$2:$V$127,0))="","",INDEX($N$2:$N$127,MATCH(A127,$V$2:$V$127,0)))</x:f>
        <x:v>上海洮利</x:v>
      </x:c>
      <x:c r="E127" s="66" t="str">
        <x:f>IF(INDEX($O$2:$O$127,MATCH(A127,$V$2:$V$127,0))="","",INDEX($O$2:$O$127,MATCH(A127,$V$2:$V$127,0)))</x:f>
        <x:v>5-10亿元</x:v>
      </x:c>
      <x:c r="F127" s="77" t="n">
        <x:f>IF(INDEX($P$2:$P$127,MATCH(A127,$V$2:$V$127,0))="","",INDEX($P$2:$P$127,MATCH(A127,$V$2:$V$127,0)))</x:f>
        <x:v>21.365859999999998</x:v>
      </x:c>
      <x:c r="G127" s="77" t="n">
        <x:f>IF(INDEX($Q$2:$Q$127,MATCH(A127,$V$2:$V$127,0))="","",INDEX($Q$2:$Q$127,MATCH(A127,$V$2:$V$127,0)))</x:f>
        <x:v>21.37</x:v>
      </x:c>
      <x:c r="H127" s="78" t="n">
        <x:f>IF(INDEX($R$2:$R$127,MATCH(A127,$V$2:$V$127,0))="","",INDEX($R$2:$R$127,MATCH(A127,$V$2:$V$127,0)))</x:f>
        <x:v>1</x:v>
      </x:c>
      <x:c r="I127" s="66" t="str">
        <x:f>IF(INDEX($S$2:$S$127,MATCH(A127,$V$2:$V$127,0))="","",INDEX($S$2:$S$127,MATCH(A127,$V$2:$V$127,0)))</x:f>
        <x:v>本次公示未见相关记录</x:v>
      </x:c>
      <x:c r="J127" s="66" t="str">
        <x:f>IF(INDEX($T$2:$T$127,MATCH(A127,$V$2:$V$127,0))="","",INDEX($T$2:$T$127,MATCH(A127,$V$2:$V$127,0)))</x:f>
        <x:v>https://gs.amac.org.cn/amac-infodisc/res/pof/manager/1905071402101724.html</x:v>
      </x:c>
      <x:c r="K127" s="66" t="n">
        <x:f>IF(INDEX($U$2:$U$127,MATCH(A127,$V$2:$V$127,0))="","",INDEX($U$2:$U$127,MATCH(A127,$V$2:$V$127,0)))</x:f>
        <x:v>202</x:v>
      </x:c>
      <x:c r="L127" s="80" t="str">
        <x:v>滨风风云瑞丰1号</x:v>
      </x:c>
      <x:c r="M127" s="80" t="str">
        <x:v>SXL267</x:v>
      </x:c>
      <x:c r="N127" s="80" t="str">
        <x:v>鹰潭滨风投资</x:v>
      </x:c>
      <x:c r="O127" s="80" t="str">
        <x:v>5-10亿元</x:v>
      </x:c>
      <x:c r="P127" s="81" t="str">
        <x:f>IF(ABS('sheet2-计算明细'!AQ219-1)&lt;0.00000001,'sheet2-计算明细'!AR219,"")</x:f>
      </x:c>
      <x:c r="Q127" s="81" t="n">
        <x:f>'sheet2-计算明细'!AS219</x:f>
        <x:v>62.73</x:v>
      </x:c>
      <x:c r="R127" s="82" t="n">
        <x:f>'sheet2-计算明细'!AQ219</x:f>
        <x:v>0.88</x:v>
      </x:c>
      <x:c r="S127" s="80" t="str">
        <x:v>本次公示未见相关记录</x:v>
      </x:c>
      <x:c r="T127" s="80" t="str">
        <x:v>https://gs.amac.org.cn/amac-infodisc/res/pof/manager/1801301704109241.html</x:v>
      </x:c>
      <x:c r="U127" s="80" t="n">
        <x:f>'sheet2-计算明细'!AT219</x:f>
        <x:v>97</x:v>
      </x:c>
      <x:c r="V127" s="80" t="n">
        <x:f>COUNTIF($U$2:$U$127,"&lt;"&amp;U127)+1</x:f>
        <x:v>65</x:v>
      </x:c>
    </x:row>
    <x:row r="128">
      <x:c r="A128"/>
      <x:c r="B128"/>
      <x:c r="C128"/>
      <x:c r="D128"/>
      <x:c r="E128"/>
      <x:c r="F128"/>
      <x:c r="G128"/>
      <x:c r="H128"/>
      <x:c r="I128"/>
      <x:c r="J128"/>
      <x:c r="K128"/>
    </x:row>
    <x:row r="129">
      <x:c r="A129"/>
      <x:c r="B129"/>
      <x:c r="C129"/>
      <x:c r="D129"/>
      <x:c r="E129"/>
      <x:c r="F129"/>
      <x:c r="G129"/>
      <x:c r="H129"/>
      <x:c r="I129"/>
      <x:c r="J129"/>
      <x:c r="K129"/>
    </x:row>
    <x:row r="130">
      <x:c r="A130"/>
      <x:c r="B130"/>
      <x:c r="C130"/>
      <x:c r="D130"/>
      <x:c r="E130"/>
      <x:c r="G130"/>
      <x:c r="H130"/>
      <x:c r="I130"/>
      <x:c r="J130"/>
      <x:c r="K130"/>
    </x:row>
    <x:row r="131">
      <x:c r="A131"/>
      <x:c r="B131"/>
      <x:c r="C131"/>
      <x:c r="D131"/>
      <x:c r="E131"/>
      <x:c r="G131"/>
      <x:c r="H131"/>
      <x:c r="I131"/>
      <x:c r="J131"/>
      <x:c r="K131"/>
    </x:row>
    <x:row r="132">
      <x:c r="A132"/>
      <x:c r="B132"/>
      <x:c r="C132"/>
      <x:c r="D132"/>
      <x:c r="E132"/>
      <x:c r="G132"/>
      <x:c r="H132"/>
      <x:c r="I132"/>
      <x:c r="J132"/>
      <x:c r="K132"/>
    </x:row>
    <x:row r="133">
      <x:c r="A133"/>
      <x:c r="B133"/>
      <x:c r="C133"/>
      <x:c r="D133"/>
      <x:c r="E133"/>
      <x:c r="F133"/>
      <x:c r="G133"/>
      <x:c r="H133"/>
      <x:c r="I133"/>
      <x:c r="J133"/>
      <x:c r="K133"/>
    </x:row>
    <x:row r="134">
      <x:c r="A134"/>
      <x:c r="B134"/>
      <x:c r="C134"/>
      <x:c r="D134"/>
      <x:c r="E134"/>
      <x:c r="G134"/>
      <x:c r="H134"/>
      <x:c r="I134"/>
      <x:c r="J134"/>
      <x:c r="K134"/>
    </x:row>
    <x:row r="135">
      <x:c r="A135"/>
      <x:c r="B135"/>
      <x:c r="C135"/>
      <x:c r="D135"/>
      <x:c r="E135"/>
      <x:c r="F135"/>
      <x:c r="G135"/>
      <x:c r="H135"/>
      <x:c r="I135"/>
      <x:c r="J135"/>
      <x:c r="K135"/>
    </x:row>
    <x:row r="136">
      <x:c r="A136"/>
      <x:c r="B136"/>
      <x:c r="C136"/>
      <x:c r="D136"/>
      <x:c r="E136"/>
      <x:c r="F136"/>
      <x:c r="G136"/>
      <x:c r="H136"/>
      <x:c r="I136"/>
      <x:c r="J136"/>
      <x:c r="K136"/>
    </x:row>
    <x:row r="137">
      <x:c r="A137"/>
      <x:c r="B137"/>
      <x:c r="C137"/>
      <x:c r="D137"/>
      <x:c r="E137"/>
      <x:c r="G137"/>
      <x:c r="H137"/>
      <x:c r="I137"/>
      <x:c r="J137"/>
      <x:c r="K137"/>
    </x:row>
    <x:row r="138">
      <x:c r="A138"/>
      <x:c r="B138"/>
      <x:c r="C138"/>
      <x:c r="D138"/>
      <x:c r="E138"/>
      <x:c r="G138"/>
      <x:c r="H138"/>
      <x:c r="I138"/>
      <x:c r="J138"/>
      <x:c r="K138"/>
    </x:row>
    <x:row r="139">
      <x:c r="A139"/>
      <x:c r="B139"/>
      <x:c r="C139"/>
      <x:c r="D139"/>
      <x:c r="E139"/>
      <x:c r="G139"/>
      <x:c r="H139"/>
      <x:c r="I139"/>
      <x:c r="J139"/>
      <x:c r="K139"/>
    </x:row>
    <x:row r="140">
      <x:c r="A140"/>
      <x:c r="B140"/>
      <x:c r="C140"/>
      <x:c r="D140"/>
      <x:c r="E140"/>
      <x:c r="F140"/>
      <x:c r="G140"/>
      <x:c r="H140"/>
      <x:c r="I140"/>
      <x:c r="J140"/>
      <x:c r="K140"/>
    </x:row>
    <x:row r="141">
      <x:c r="A141"/>
      <x:c r="B141"/>
      <x:c r="C141"/>
      <x:c r="D141"/>
      <x:c r="E141"/>
      <x:c r="F141"/>
      <x:c r="G141"/>
      <x:c r="H141"/>
      <x:c r="I141"/>
      <x:c r="J141"/>
      <x:c r="K141"/>
    </x:row>
    <x:row r="142">
      <x:c r="A142"/>
      <x:c r="B142"/>
      <x:c r="C142"/>
      <x:c r="D142"/>
      <x:c r="E142"/>
      <x:c r="G142"/>
      <x:c r="H142"/>
      <x:c r="I142"/>
      <x:c r="J142"/>
      <x:c r="K142"/>
    </x:row>
    <x:row r="143">
      <x:c r="A143"/>
      <x:c r="B143"/>
      <x:c r="C143"/>
      <x:c r="D143"/>
      <x:c r="E143"/>
      <x:c r="G143"/>
      <x:c r="H143"/>
      <x:c r="I143"/>
      <x:c r="J143"/>
      <x:c r="K143"/>
    </x:row>
    <x:row r="144">
      <x:c r="A144"/>
      <x:c r="B144"/>
      <x:c r="C144"/>
      <x:c r="D144"/>
      <x:c r="E144"/>
      <x:c r="F144"/>
      <x:c r="G144"/>
      <x:c r="H144"/>
      <x:c r="I144"/>
      <x:c r="J144"/>
      <x:c r="K144"/>
    </x:row>
    <x:row r="145">
      <x:c r="A145"/>
      <x:c r="B145"/>
      <x:c r="C145"/>
      <x:c r="D145"/>
      <x:c r="E145"/>
      <x:c r="G145"/>
      <x:c r="H145"/>
      <x:c r="I145"/>
      <x:c r="J145"/>
      <x:c r="K145"/>
    </x:row>
    <x:row r="146">
      <x:c r="A146"/>
      <x:c r="B146"/>
      <x:c r="C146"/>
      <x:c r="D146"/>
      <x:c r="E146"/>
      <x:c r="G146"/>
      <x:c r="H146"/>
      <x:c r="I146"/>
      <x:c r="J146"/>
      <x:c r="K146"/>
    </x:row>
    <x:row r="147">
      <x:c r="A147"/>
      <x:c r="B147"/>
      <x:c r="C147"/>
      <x:c r="D147"/>
      <x:c r="E147"/>
      <x:c r="F147"/>
      <x:c r="G147"/>
      <x:c r="H147"/>
      <x:c r="I147"/>
      <x:c r="J147"/>
      <x:c r="K147"/>
    </x:row>
    <x:row r="148">
      <x:c r="A148"/>
      <x:c r="B148"/>
      <x:c r="C148"/>
      <x:c r="D148"/>
      <x:c r="E148"/>
      <x:c r="F148"/>
      <x:c r="G148"/>
      <x:c r="H148"/>
      <x:c r="I148"/>
      <x:c r="J148"/>
      <x:c r="K148"/>
    </x:row>
    <x:row r="149">
      <x:c r="A149"/>
      <x:c r="B149"/>
      <x:c r="C149"/>
      <x:c r="D149"/>
      <x:c r="E149"/>
      <x:c r="F149"/>
      <x:c r="G149"/>
      <x:c r="H149"/>
      <x:c r="I149"/>
      <x:c r="J149"/>
      <x:c r="K149"/>
    </x:row>
    <x:row r="150">
      <x:c r="A150"/>
      <x:c r="B150"/>
      <x:c r="C150"/>
      <x:c r="D150"/>
      <x:c r="E150"/>
      <x:c r="G150"/>
      <x:c r="H150"/>
      <x:c r="I150"/>
      <x:c r="J150"/>
      <x:c r="K150"/>
    </x:row>
    <x:row r="151">
      <x:c r="A151"/>
      <x:c r="B151"/>
      <x:c r="C151"/>
      <x:c r="D151"/>
      <x:c r="E151"/>
      <x:c r="G151"/>
      <x:c r="H151"/>
      <x:c r="I151"/>
      <x:c r="J151"/>
      <x:c r="K151"/>
    </x:row>
    <x:row r="152">
      <x:c r="A152"/>
      <x:c r="B152"/>
      <x:c r="C152"/>
      <x:c r="D152"/>
      <x:c r="E152"/>
      <x:c r="F152"/>
      <x:c r="G152"/>
      <x:c r="H152"/>
      <x:c r="I152"/>
      <x:c r="J152"/>
      <x:c r="K152"/>
    </x:row>
    <x:row r="153">
      <x:c r="A153"/>
      <x:c r="B153"/>
      <x:c r="C153"/>
      <x:c r="D153"/>
      <x:c r="E153"/>
      <x:c r="G153"/>
      <x:c r="H153"/>
      <x:c r="I153"/>
      <x:c r="J153"/>
      <x:c r="K153"/>
    </x:row>
    <x:row r="154">
      <x:c r="A154"/>
      <x:c r="B154"/>
      <x:c r="C154"/>
      <x:c r="D154"/>
      <x:c r="E154"/>
      <x:c r="G154"/>
      <x:c r="H154"/>
      <x:c r="I154"/>
      <x:c r="J154"/>
      <x:c r="K154"/>
    </x:row>
    <x:row r="155">
      <x:c r="A155"/>
      <x:c r="B155"/>
      <x:c r="C155"/>
      <x:c r="D155"/>
      <x:c r="E155"/>
      <x:c r="G155"/>
      <x:c r="H155"/>
      <x:c r="I155"/>
      <x:c r="J155"/>
      <x:c r="K155"/>
    </x:row>
    <x:row r="156">
      <x:c r="A156"/>
      <x:c r="B156"/>
      <x:c r="C156"/>
      <x:c r="D156"/>
      <x:c r="E156"/>
      <x:c r="G156"/>
      <x:c r="H156"/>
      <x:c r="I156"/>
      <x:c r="J156"/>
      <x:c r="K156"/>
    </x:row>
    <x:row r="157">
      <x:c r="A157"/>
      <x:c r="B157"/>
      <x:c r="C157"/>
      <x:c r="D157"/>
      <x:c r="E157"/>
      <x:c r="G157"/>
      <x:c r="H157"/>
      <x:c r="I157"/>
      <x:c r="J157"/>
      <x:c r="K157"/>
    </x:row>
    <x:row r="158">
      <x:c r="A158"/>
      <x:c r="B158"/>
      <x:c r="C158"/>
      <x:c r="D158"/>
      <x:c r="E158"/>
      <x:c r="G158"/>
      <x:c r="H158"/>
      <x:c r="I158"/>
      <x:c r="J158"/>
      <x:c r="K158"/>
    </x:row>
    <x:row r="159">
      <x:c r="A159"/>
      <x:c r="B159"/>
      <x:c r="C159"/>
      <x:c r="D159"/>
      <x:c r="E159"/>
      <x:c r="F159"/>
      <x:c r="G159"/>
      <x:c r="H159"/>
      <x:c r="I159"/>
      <x:c r="J159"/>
      <x:c r="K159"/>
    </x:row>
    <x:row r="160">
      <x:c r="A160"/>
      <x:c r="B160"/>
      <x:c r="C160"/>
      <x:c r="D160"/>
      <x:c r="E160"/>
      <x:c r="G160"/>
      <x:c r="H160"/>
      <x:c r="I160"/>
      <x:c r="J160"/>
      <x:c r="K160"/>
    </x:row>
    <x:row r="161">
      <x:c r="A161"/>
      <x:c r="B161"/>
      <x:c r="C161"/>
      <x:c r="D161"/>
      <x:c r="E161"/>
      <x:c r="G161"/>
      <x:c r="H161"/>
      <x:c r="I161"/>
      <x:c r="J161"/>
      <x:c r="K161"/>
    </x:row>
    <x:row r="162">
      <x:c r="A162"/>
      <x:c r="B162"/>
      <x:c r="C162"/>
      <x:c r="D162"/>
      <x:c r="E162"/>
      <x:c r="G162"/>
      <x:c r="H162"/>
      <x:c r="I162"/>
      <x:c r="J162"/>
      <x:c r="K162"/>
    </x:row>
    <x:row r="163">
      <x:c r="A163"/>
      <x:c r="B163"/>
      <x:c r="C163"/>
      <x:c r="D163"/>
      <x:c r="E163"/>
      <x:c r="G163"/>
      <x:c r="H163"/>
      <x:c r="I163"/>
      <x:c r="J163"/>
      <x:c r="K163"/>
    </x:row>
    <x:row r="164">
      <x:c r="A164"/>
      <x:c r="B164"/>
      <x:c r="C164"/>
      <x:c r="D164"/>
      <x:c r="E164"/>
      <x:c r="G164"/>
      <x:c r="H164"/>
      <x:c r="I164"/>
      <x:c r="J164"/>
      <x:c r="K164"/>
    </x:row>
    <x:row r="165">
      <x:c r="A165"/>
      <x:c r="B165"/>
      <x:c r="C165"/>
      <x:c r="D165"/>
      <x:c r="E165"/>
      <x:c r="F165"/>
      <x:c r="G165"/>
      <x:c r="H165"/>
      <x:c r="I165"/>
      <x:c r="J165"/>
      <x:c r="K165"/>
    </x:row>
    <x:row r="166">
      <x:c r="A166"/>
      <x:c r="B166"/>
      <x:c r="C166"/>
      <x:c r="D166"/>
      <x:c r="E166"/>
      <x:c r="G166"/>
      <x:c r="H166"/>
      <x:c r="I166"/>
      <x:c r="J166"/>
      <x:c r="K166"/>
    </x:row>
    <x:row r="167">
      <x:c r="A167"/>
      <x:c r="B167"/>
      <x:c r="C167"/>
      <x:c r="D167"/>
      <x:c r="E167"/>
      <x:c r="F167"/>
      <x:c r="G167"/>
      <x:c r="H167"/>
      <x:c r="I167"/>
      <x:c r="J167"/>
      <x:c r="K167"/>
    </x:row>
    <x:row r="168">
      <x:c r="A168"/>
      <x:c r="B168"/>
      <x:c r="C168"/>
      <x:c r="D168"/>
      <x:c r="E168"/>
      <x:c r="G168"/>
      <x:c r="H168"/>
      <x:c r="I168"/>
      <x:c r="J168"/>
      <x:c r="K168"/>
    </x:row>
    <x:row r="169">
      <x:c r="A169"/>
      <x:c r="B169"/>
      <x:c r="C169"/>
      <x:c r="D169"/>
      <x:c r="E169"/>
      <x:c r="F169"/>
      <x:c r="G169"/>
      <x:c r="H169"/>
      <x:c r="I169"/>
      <x:c r="J169"/>
      <x:c r="K169"/>
    </x:row>
    <x:row r="170">
      <x:c r="A170"/>
      <x:c r="B170"/>
      <x:c r="C170"/>
      <x:c r="D170"/>
      <x:c r="E170"/>
      <x:c r="G170"/>
      <x:c r="H170"/>
      <x:c r="I170"/>
      <x:c r="J170"/>
      <x:c r="K170"/>
    </x:row>
    <x:row r="171">
      <x:c r="A171"/>
      <x:c r="B171"/>
      <x:c r="C171"/>
      <x:c r="D171"/>
      <x:c r="E171"/>
      <x:c r="G171"/>
      <x:c r="H171"/>
      <x:c r="I171"/>
      <x:c r="J171"/>
      <x:c r="K171"/>
    </x:row>
    <x:row r="172">
      <x:c r="A172"/>
      <x:c r="B172"/>
      <x:c r="C172"/>
      <x:c r="D172"/>
      <x:c r="E172"/>
      <x:c r="F172"/>
      <x:c r="G172"/>
      <x:c r="H172"/>
      <x:c r="I172"/>
      <x:c r="J172"/>
      <x:c r="K172"/>
    </x:row>
    <x:row r="173">
      <x:c r="A173"/>
      <x:c r="B173"/>
      <x:c r="C173"/>
      <x:c r="D173"/>
      <x:c r="E173"/>
      <x:c r="G173"/>
      <x:c r="H173"/>
      <x:c r="I173"/>
      <x:c r="J173"/>
      <x:c r="K173"/>
    </x:row>
    <x:row r="174">
      <x:c r="A174"/>
      <x:c r="B174"/>
      <x:c r="C174"/>
      <x:c r="D174"/>
      <x:c r="E174"/>
      <x:c r="G174"/>
      <x:c r="H174"/>
      <x:c r="I174"/>
      <x:c r="J174"/>
      <x:c r="K174"/>
    </x:row>
    <x:row r="175">
      <x:c r="A175"/>
      <x:c r="B175"/>
      <x:c r="C175"/>
      <x:c r="D175"/>
      <x:c r="E175"/>
      <x:c r="G175"/>
      <x:c r="H175"/>
      <x:c r="I175"/>
      <x:c r="J175"/>
      <x:c r="K175"/>
    </x:row>
    <x:row r="176">
      <x:c r="A176"/>
      <x:c r="B176"/>
      <x:c r="C176"/>
      <x:c r="D176"/>
      <x:c r="E176"/>
      <x:c r="F176"/>
      <x:c r="G176"/>
      <x:c r="H176"/>
      <x:c r="I176"/>
      <x:c r="J176"/>
      <x:c r="K176"/>
    </x:row>
    <x:row r="177">
      <x:c r="A177"/>
      <x:c r="B177"/>
      <x:c r="C177"/>
      <x:c r="D177"/>
      <x:c r="E177"/>
      <x:c r="G177"/>
      <x:c r="H177"/>
      <x:c r="I177"/>
      <x:c r="J177"/>
      <x:c r="K177"/>
    </x:row>
    <x:row r="178">
      <x:c r="A178"/>
      <x:c r="B178"/>
      <x:c r="C178"/>
      <x:c r="D178"/>
      <x:c r="E178"/>
      <x:c r="G178"/>
      <x:c r="H178"/>
      <x:c r="I178"/>
      <x:c r="J178"/>
      <x:c r="K178"/>
    </x:row>
    <x:row r="179">
      <x:c r="A179"/>
      <x:c r="B179"/>
      <x:c r="C179"/>
      <x:c r="D179"/>
      <x:c r="E179"/>
      <x:c r="G179"/>
      <x:c r="H179"/>
      <x:c r="I179"/>
      <x:c r="J179"/>
      <x:c r="K179"/>
    </x:row>
    <x:row r="180">
      <x:c r="A180"/>
      <x:c r="B180"/>
      <x:c r="C180"/>
      <x:c r="D180"/>
      <x:c r="E180"/>
      <x:c r="G180"/>
      <x:c r="H180"/>
      <x:c r="I180"/>
      <x:c r="J180"/>
      <x:c r="K180"/>
    </x:row>
    <x:row r="181">
      <x:c r="A181"/>
      <x:c r="B181"/>
      <x:c r="C181"/>
      <x:c r="D181"/>
      <x:c r="E181"/>
      <x:c r="F181"/>
      <x:c r="G181"/>
      <x:c r="H181"/>
      <x:c r="I181"/>
      <x:c r="J181"/>
      <x:c r="K181"/>
    </x:row>
    <x:row r="182">
      <x:c r="A182"/>
      <x:c r="B182"/>
      <x:c r="C182"/>
      <x:c r="D182"/>
      <x:c r="E182"/>
      <x:c r="G182"/>
      <x:c r="H182"/>
      <x:c r="I182"/>
      <x:c r="J182"/>
      <x:c r="K182"/>
    </x:row>
    <x:row r="183">
      <x:c r="A183"/>
      <x:c r="B183"/>
      <x:c r="C183"/>
      <x:c r="D183"/>
      <x:c r="E183"/>
      <x:c r="F183"/>
      <x:c r="G183"/>
      <x:c r="H183"/>
      <x:c r="I183"/>
      <x:c r="J183"/>
      <x:c r="K183"/>
    </x:row>
    <x:row r="184">
      <x:c r="A184"/>
      <x:c r="B184"/>
      <x:c r="C184"/>
      <x:c r="D184"/>
      <x:c r="E184"/>
      <x:c r="G184"/>
      <x:c r="H184"/>
      <x:c r="I184"/>
      <x:c r="J184"/>
      <x:c r="K184"/>
    </x:row>
    <x:row r="185">
      <x:c r="A185"/>
      <x:c r="B185"/>
      <x:c r="C185"/>
      <x:c r="D185"/>
      <x:c r="E185"/>
      <x:c r="F185"/>
      <x:c r="G185"/>
      <x:c r="H185"/>
      <x:c r="I185"/>
      <x:c r="J185"/>
      <x:c r="K185"/>
    </x:row>
    <x:row r="186">
      <x:c r="A186"/>
      <x:c r="B186"/>
      <x:c r="C186"/>
      <x:c r="D186"/>
      <x:c r="E186"/>
      <x:c r="G186"/>
      <x:c r="H186"/>
      <x:c r="I186"/>
      <x:c r="J186"/>
      <x:c r="K186"/>
    </x:row>
    <x:row r="187">
      <x:c r="A187"/>
      <x:c r="B187"/>
      <x:c r="C187"/>
      <x:c r="D187"/>
      <x:c r="E187"/>
      <x:c r="G187"/>
      <x:c r="H187"/>
      <x:c r="I187"/>
      <x:c r="J187"/>
      <x:c r="K187"/>
    </x:row>
    <x:row r="188">
      <x:c r="A188"/>
      <x:c r="B188"/>
      <x:c r="C188"/>
      <x:c r="D188"/>
      <x:c r="E188"/>
      <x:c r="F188"/>
      <x:c r="G188"/>
      <x:c r="H188"/>
      <x:c r="I188"/>
      <x:c r="J188"/>
      <x:c r="K188"/>
    </x:row>
    <x:row r="189">
      <x:c r="A189"/>
      <x:c r="B189"/>
      <x:c r="C189"/>
      <x:c r="D189"/>
      <x:c r="E189"/>
      <x:c r="G189"/>
      <x:c r="H189"/>
      <x:c r="I189"/>
      <x:c r="J189"/>
      <x:c r="K189"/>
    </x:row>
    <x:row r="190">
      <x:c r="A190"/>
      <x:c r="B190"/>
      <x:c r="C190"/>
      <x:c r="D190"/>
      <x:c r="E190"/>
      <x:c r="G190"/>
      <x:c r="H190"/>
      <x:c r="I190"/>
      <x:c r="J190"/>
      <x:c r="K190"/>
    </x:row>
    <x:row r="191">
      <x:c r="A191"/>
      <x:c r="B191"/>
      <x:c r="C191"/>
      <x:c r="D191"/>
      <x:c r="E191"/>
      <x:c r="F191"/>
      <x:c r="G191"/>
      <x:c r="H191"/>
      <x:c r="I191"/>
      <x:c r="J191"/>
      <x:c r="K191"/>
    </x:row>
    <x:row r="192">
      <x:c r="A192"/>
      <x:c r="B192"/>
      <x:c r="C192"/>
      <x:c r="D192"/>
      <x:c r="E192"/>
      <x:c r="F192"/>
      <x:c r="G192"/>
      <x:c r="H192"/>
      <x:c r="I192"/>
      <x:c r="J192"/>
      <x:c r="K192"/>
    </x:row>
    <x:row r="193">
      <x:c r="A193"/>
      <x:c r="B193"/>
      <x:c r="C193"/>
      <x:c r="D193"/>
      <x:c r="E193"/>
      <x:c r="G193"/>
      <x:c r="H193"/>
      <x:c r="I193"/>
      <x:c r="J193"/>
      <x:c r="K193"/>
    </x:row>
    <x:row r="194">
      <x:c r="A194"/>
      <x:c r="B194"/>
      <x:c r="C194"/>
      <x:c r="D194"/>
      <x:c r="E194"/>
      <x:c r="G194"/>
      <x:c r="H194"/>
      <x:c r="I194"/>
      <x:c r="J194"/>
      <x:c r="K194"/>
    </x:row>
    <x:row r="195">
      <x:c r="A195"/>
      <x:c r="B195"/>
      <x:c r="C195"/>
      <x:c r="D195"/>
      <x:c r="E195"/>
      <x:c r="F195"/>
      <x:c r="G195"/>
      <x:c r="H195"/>
      <x:c r="I195"/>
      <x:c r="J195"/>
      <x:c r="K195"/>
    </x:row>
    <x:row r="196">
      <x:c r="A196"/>
      <x:c r="B196"/>
      <x:c r="C196"/>
      <x:c r="D196"/>
      <x:c r="E196"/>
      <x:c r="G196"/>
      <x:c r="H196"/>
      <x:c r="I196"/>
      <x:c r="J196"/>
      <x:c r="K196"/>
    </x:row>
    <x:row r="197">
      <x:c r="A197"/>
      <x:c r="B197"/>
      <x:c r="C197"/>
      <x:c r="D197"/>
      <x:c r="E197"/>
      <x:c r="F197"/>
      <x:c r="G197"/>
      <x:c r="H197"/>
      <x:c r="I197"/>
      <x:c r="J197"/>
      <x:c r="K197"/>
    </x:row>
    <x:row r="198">
      <x:c r="A198"/>
      <x:c r="B198"/>
      <x:c r="C198"/>
      <x:c r="D198"/>
      <x:c r="E198"/>
      <x:c r="G198"/>
      <x:c r="H198"/>
      <x:c r="I198"/>
      <x:c r="J198"/>
      <x:c r="K198"/>
    </x:row>
    <x:row r="199">
      <x:c r="A199"/>
      <x:c r="B199"/>
      <x:c r="C199"/>
      <x:c r="D199"/>
      <x:c r="E199"/>
      <x:c r="F199"/>
      <x:c r="G199"/>
      <x:c r="H199"/>
      <x:c r="I199"/>
      <x:c r="J199"/>
      <x:c r="K199"/>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ColWidth="9" defaultRowHeight="14.25"/>
  <x:cols>
    <x:col min="1" max="1" width="18" style="1" hidden="0" customWidth="1"/>
    <x:col min="2" max="2" width="32" style="1" hidden="0" customWidth="1"/>
    <x:col min="3" max="5" width="12" style="1" customWidth="1"/>
    <x:col min="6" max="6" width="18" style="1" hidden="0" customWidth="1"/>
    <x:col min="7" max="10" width="12" style="1" customWidth="1"/>
    <x:col min="11" max="11" width="18" style="1" hidden="0" customWidth="1"/>
    <x:col min="3" max="3" width="18" hidden="0" customWidth="1"/>
    <x:col min="4" max="4" width="28" hidden="0" customWidth="1"/>
    <x:col min="5" max="5" width="18" hidden="0" customWidth="1"/>
    <x:col min="7" max="7" width="18" hidden="0" customWidth="1"/>
    <x:col min="8" max="8" width="18" hidden="0" customWidth="1"/>
    <x:col min="9" max="9" width="48" hidden="0" customWidth="1"/>
    <x:col min="10" max="10" width="4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s>
  <x:sheetData>
    <x:row r="1" ht="46" customHeight="1">
      <x:c r="A1" s="70" t="str">
        <x:v>组内排名</x:v>
      </x:c>
      <x:c r="B1" s="70" t="str">
        <x:v>产品名称</x:v>
      </x:c>
      <x:c r="C1" s="70" t="str">
        <x:v>备案号</x:v>
      </x:c>
      <x:c r="D1" s="70" t="str">
        <x:v>管理人</x:v>
      </x:c>
      <x:c r="E1" s="70" t="str">
        <x:v>规模区间</x:v>
      </x:c>
      <x:c r="F1" s="70" t="str">
        <x:v>严格总分</x:v>
      </x:c>
      <x:c r="G1" s="70" t="str">
        <x:v>可比总分</x:v>
      </x:c>
      <x:c r="H1" s="70" t="str">
        <x:v>有效权重</x:v>
      </x:c>
      <x:c r="I1" s="70" t="str">
        <x:v>管理人处罚／警示／提示</x:v>
      </x:c>
      <x:c r="J1" s="70" t="str">
        <x:v>协会来源</x:v>
      </x:c>
      <x:c r="K1" s="70" t="str">
        <x:v>全池排名</x:v>
      </x:c>
      <x:c r="L1" s="79" t="str">
        <x:v>来源产品名称</x:v>
      </x:c>
      <x:c r="M1" s="79" t="str">
        <x:v>来源备案号</x:v>
      </x:c>
      <x:c r="N1" s="79" t="str">
        <x:v>来源管理人</x:v>
      </x:c>
      <x:c r="O1" s="79" t="str">
        <x:v>来源规模</x:v>
      </x:c>
      <x:c r="P1" s="79" t="str">
        <x:v>来源严格总分</x:v>
      </x:c>
      <x:c r="Q1" s="79" t="str">
        <x:v>来源可比总分</x:v>
      </x:c>
      <x:c r="R1" s="79" t="str">
        <x:v>来源有效权重</x:v>
      </x:c>
      <x:c r="S1" s="79" t="str">
        <x:v>来源提示</x:v>
      </x:c>
      <x:c r="T1" s="79" t="str">
        <x:v>来源URL</x:v>
      </x:c>
      <x:c r="U1" s="79" t="str">
        <x:v>来源全池排名</x:v>
      </x:c>
      <x:c r="V1" s="79" t="str">
        <x:v>来源组内排名</x:v>
      </x:c>
    </x:row>
    <x:row r="2" ht="27" customHeight="1">
      <x:c r="A2" s="66" t="n">
        <x:v>1</x:v>
      </x:c>
      <x:c r="B2" s="66" t="str">
        <x:f>IF(INDEX($L$2:$L$78,MATCH(A2,$V$2:$V$78,0))="","",INDEX($L$2:$L$78,MATCH(A2,$V$2:$V$78,0)))</x:f>
        <x:v>放牛人5号</x:v>
      </x:c>
      <x:c r="C2" s="66" t="str">
        <x:f>IF(INDEX($M$2:$M$78,MATCH(A2,$V$2:$V$78,0))="","",INDEX($M$2:$M$78,MATCH(A2,$V$2:$V$78,0)))</x:f>
        <x:v>SVH487</x:v>
      </x:c>
      <x:c r="D2" s="66" t="str">
        <x:f>IF(INDEX($N$2:$N$78,MATCH(A2,$V$2:$V$78,0))="","",INDEX($N$2:$N$78,MATCH(A2,$V$2:$V$78,0)))</x:f>
        <x:v>上海放牛人</x:v>
      </x:c>
      <x:c r="E2" s="66" t="str">
        <x:f>IF(INDEX($O$2:$O$78,MATCH(A2,$V$2:$V$78,0))="","",INDEX($O$2:$O$78,MATCH(A2,$V$2:$V$78,0)))</x:f>
        <x:v>0-5亿元</x:v>
      </x:c>
      <x:c r="F2" s="77" t="n">
        <x:f>IF(INDEX($P$2:$P$78,MATCH(A2,$V$2:$V$78,0))="","",INDEX($P$2:$P$78,MATCH(A2,$V$2:$V$78,0)))</x:f>
        <x:v>92.43306999999999</x:v>
      </x:c>
      <x:c r="G2" s="77" t="n">
        <x:f>IF(INDEX($Q$2:$Q$78,MATCH(A2,$V$2:$V$78,0))="","",INDEX($Q$2:$Q$78,MATCH(A2,$V$2:$V$78,0)))</x:f>
        <x:v>92.43</x:v>
      </x:c>
      <x:c r="H2" s="78" t="n">
        <x:f>IF(INDEX($R$2:$R$78,MATCH(A2,$V$2:$V$78,0))="","",INDEX($R$2:$R$78,MATCH(A2,$V$2:$V$78,0)))</x:f>
        <x:v>1</x:v>
      </x:c>
      <x:c r="I2" s="66" t="str">
        <x:f>IF(INDEX($S$2:$S$78,MATCH(A2,$V$2:$V$78,0))="","",INDEX($S$2:$S$78,MATCH(A2,$V$2:$V$78,0)))</x:f>
        <x:v>本次公示未见相关记录</x:v>
      </x:c>
      <x:c r="J2" s="66" t="str">
        <x:f>IF(INDEX($T$2:$T$78,MATCH(A2,$V$2:$V$78,0))="","",INDEX($T$2:$T$78,MATCH(A2,$V$2:$V$78,0)))</x:f>
        <x:v>https://gs.amac.org.cn/amac-infodisc/res/pof/manager/2104292125100136.html</x:v>
      </x:c>
      <x:c r="K2" s="66" t="n">
        <x:f>IF(INDEX($U$2:$U$78,MATCH(A2,$V$2:$V$78,0))="","",INDEX($U$2:$U$78,MATCH(A2,$V$2:$V$78,0)))</x:f>
        <x:v>3</x:v>
      </x:c>
      <x:c r="L2" s="80" t="str">
        <x:v>新视野智能量化2号</x:v>
      </x:c>
      <x:c r="M2" s="80" t="str">
        <x:v>SR2759</x:v>
      </x:c>
      <x:c r="N2" s="80" t="str">
        <x:v>杭州探融投资</x:v>
      </x:c>
      <x:c r="O2" s="80" t="str">
        <x:v>0-5亿元</x:v>
      </x:c>
      <x:c r="P2" s="81" t="n">
        <x:f>IF(ABS('sheet2-计算明细'!AQ17-1)&lt;0.00000001,'sheet2-计算明细'!AR17,"")</x:f>
        <x:v>42.33091</x:v>
      </x:c>
      <x:c r="Q2" s="81" t="n">
        <x:f>'sheet2-计算明细'!AS17</x:f>
        <x:v>42.33</x:v>
      </x:c>
      <x:c r="R2" s="82" t="n">
        <x:f>'sheet2-计算明细'!AQ17</x:f>
        <x:v>1</x:v>
      </x:c>
      <x:c r="S2" s="80" t="str">
        <x:v>本次公示未见相关记录</x:v>
      </x:c>
      <x:c r="T2" s="80" t="str">
        <x:v>https://gs.amac.org.cn/amac-infodisc/res/pof/manager/101000049159.html</x:v>
      </x:c>
      <x:c r="U2" s="80" t="n">
        <x:f>'sheet2-计算明细'!AT17</x:f>
        <x:v>167</x:v>
      </x:c>
      <x:c r="V2" s="80" t="n">
        <x:f>COUNTIF($U$2:$U$78,"&lt;"&amp;U2)+1</x:f>
        <x:v>60</x:v>
      </x:c>
    </x:row>
    <x:row r="3" ht="27" customHeight="1">
      <x:c r="A3" s="66" t="n">
        <x:v>2</x:v>
      </x:c>
      <x:c r="B3" s="66" t="str">
        <x:f>IF(INDEX($L$2:$L$78,MATCH(A3,$V$2:$V$78,0))="","",INDEX($L$2:$L$78,MATCH(A3,$V$2:$V$78,0)))</x:f>
        <x:v>祁腾蜂赢1号</x:v>
      </x:c>
      <x:c r="C3" s="66" t="str">
        <x:f>IF(INDEX($M$2:$M$78,MATCH(A3,$V$2:$V$78,0))="","",INDEX($M$2:$M$78,MATCH(A3,$V$2:$V$78,0)))</x:f>
        <x:v>SEV580</x:v>
      </x:c>
      <x:c r="D3" s="66" t="str">
        <x:f>IF(INDEX($N$2:$N$78,MATCH(A3,$V$2:$V$78,0))="","",INDEX($N$2:$N$78,MATCH(A3,$V$2:$V$78,0)))</x:f>
        <x:v>宁波祁腾投资</x:v>
      </x:c>
      <x:c r="E3" s="66" t="str">
        <x:f>IF(INDEX($O$2:$O$78,MATCH(A3,$V$2:$V$78,0))="","",INDEX($O$2:$O$78,MATCH(A3,$V$2:$V$78,0)))</x:f>
        <x:v>0-5亿元</x:v>
      </x:c>
      <x:c r="F3" s="77" t="n">
        <x:f>IF(INDEX($P$2:$P$78,MATCH(A3,$V$2:$V$78,0))="","",INDEX($P$2:$P$78,MATCH(A3,$V$2:$V$78,0)))</x:f>
        <x:v>91.02081076923076</x:v>
      </x:c>
      <x:c r="G3" s="77" t="n">
        <x:f>IF(INDEX($Q$2:$Q$78,MATCH(A3,$V$2:$V$78,0))="","",INDEX($Q$2:$Q$78,MATCH(A3,$V$2:$V$78,0)))</x:f>
        <x:v>91.02</x:v>
      </x:c>
      <x:c r="H3" s="78" t="n">
        <x:f>IF(INDEX($R$2:$R$78,MATCH(A3,$V$2:$V$78,0))="","",INDEX($R$2:$R$78,MATCH(A3,$V$2:$V$78,0)))</x:f>
        <x:v>1</x:v>
      </x:c>
      <x:c r="I3" s="66" t="str">
        <x:f>IF(INDEX($S$2:$S$78,MATCH(A3,$V$2:$V$78,0))="","",INDEX($S$2:$S$78,MATCH(A3,$V$2:$V$78,0)))</x:f>
        <x:v>协会提示／报送异常</x:v>
      </x:c>
      <x:c r="J3" s="66" t="str">
        <x:f>IF(INDEX($T$2:$T$78,MATCH(A3,$V$2:$V$78,0))="","",INDEX($T$2:$T$78,MATCH(A3,$V$2:$V$78,0)))</x:f>
        <x:v>https://gs.amac.org.cn/amac-infodisc/res/pof/manager/1809041559102185.html</x:v>
      </x:c>
      <x:c r="K3" s="66" t="n">
        <x:f>IF(INDEX($U$2:$U$78,MATCH(A3,$V$2:$V$78,0))="","",INDEX($U$2:$U$78,MATCH(A3,$V$2:$V$78,0)))</x:f>
        <x:v>5</x:v>
      </x:c>
      <x:c r="L3" s="80" t="str">
        <x:v>探融新视野智能量化1号</x:v>
      </x:c>
      <x:c r="M3" s="80" t="str">
        <x:v>SL8089</x:v>
      </x:c>
      <x:c r="N3" s="80" t="str">
        <x:v>杭州探融投资</x:v>
      </x:c>
      <x:c r="O3" s="80" t="str">
        <x:v>0-5亿元</x:v>
      </x:c>
      <x:c r="P3" s="81" t="str">
        <x:f>IF(ABS('sheet2-计算明细'!AQ18-1)&lt;0.00000001,'sheet2-计算明细'!AR18,"")</x:f>
      </x:c>
      <x:c r="Q3" s="81" t="n">
        <x:f>'sheet2-计算明细'!AS18</x:f>
        <x:v>50.97</x:v>
      </x:c>
      <x:c r="R3" s="82" t="n">
        <x:f>'sheet2-计算明细'!AQ18</x:f>
        <x:v>0.88</x:v>
      </x:c>
      <x:c r="S3" s="80" t="str">
        <x:v>本次公示未见相关记录</x:v>
      </x:c>
      <x:c r="T3" s="80" t="str">
        <x:v>https://gs.amac.org.cn/amac-infodisc/res/pof/manager/101000049159.html</x:v>
      </x:c>
      <x:c r="U3" s="80" t="n">
        <x:f>'sheet2-计算明细'!AT18</x:f>
        <x:v>144</x:v>
      </x:c>
      <x:c r="V3" s="80" t="n">
        <x:f>COUNTIF($U$2:$U$78,"&lt;"&amp;U3)+1</x:f>
        <x:v>48</x:v>
      </x:c>
    </x:row>
    <x:row r="4" ht="27" customHeight="1">
      <x:c r="A4" s="66" t="n">
        <x:v>3</x:v>
      </x:c>
      <x:c r="B4" s="66" t="str">
        <x:f>IF(INDEX($L$2:$L$78,MATCH(A4,$V$2:$V$78,0))="","",INDEX($L$2:$L$78,MATCH(A4,$V$2:$V$78,0)))</x:f>
        <x:v>烁菓量化复合套利2号</x:v>
      </x:c>
      <x:c r="C4" s="66" t="str">
        <x:f>IF(INDEX($M$2:$M$78,MATCH(A4,$V$2:$V$78,0))="","",INDEX($M$2:$M$78,MATCH(A4,$V$2:$V$78,0)))</x:f>
        <x:v>SZB527</x:v>
      </x:c>
      <x:c r="D4" s="66" t="str">
        <x:f>IF(INDEX($N$2:$N$78,MATCH(A4,$V$2:$V$78,0))="","",INDEX($N$2:$N$78,MATCH(A4,$V$2:$V$78,0)))</x:f>
        <x:v>福州烁菓</x:v>
      </x:c>
      <x:c r="E4" s="66" t="str">
        <x:f>IF(INDEX($O$2:$O$78,MATCH(A4,$V$2:$V$78,0))="","",INDEX($O$2:$O$78,MATCH(A4,$V$2:$V$78,0)))</x:f>
        <x:v>0-5亿元</x:v>
      </x:c>
      <x:c r="F4" s="77" t="n">
        <x:f>IF(INDEX($P$2:$P$78,MATCH(A4,$V$2:$V$78,0))="","",INDEX($P$2:$P$78,MATCH(A4,$V$2:$V$78,0)))</x:f>
        <x:v>90.07879</x:v>
      </x:c>
      <x:c r="G4" s="77" t="n">
        <x:f>IF(INDEX($Q$2:$Q$78,MATCH(A4,$V$2:$V$78,0))="","",INDEX($Q$2:$Q$78,MATCH(A4,$V$2:$V$78,0)))</x:f>
        <x:v>90.08</x:v>
      </x:c>
      <x:c r="H4" s="78" t="n">
        <x:f>IF(INDEX($R$2:$R$78,MATCH(A4,$V$2:$V$78,0))="","",INDEX($R$2:$R$78,MATCH(A4,$V$2:$V$78,0)))</x:f>
        <x:v>1</x:v>
      </x:c>
      <x:c r="I4" s="66" t="str">
        <x:f>IF(INDEX($S$2:$S$78,MATCH(A4,$V$2:$V$78,0))="","",INDEX($S$2:$S$78,MATCH(A4,$V$2:$V$78,0)))</x:f>
        <x:v>协会提示／报送异常</x:v>
      </x:c>
      <x:c r="J4" s="66" t="str">
        <x:f>IF(INDEX($T$2:$T$78,MATCH(A4,$V$2:$V$78,0))="","",INDEX($T$2:$T$78,MATCH(A4,$V$2:$V$78,0)))</x:f>
        <x:v>https://gs.amac.org.cn/amac-infodisc/res/pof/manager/101000027571.html</x:v>
      </x:c>
      <x:c r="K4" s="66" t="n">
        <x:f>IF(INDEX($U$2:$U$78,MATCH(A4,$V$2:$V$78,0))="","",INDEX($U$2:$U$78,MATCH(A4,$V$2:$V$78,0)))</x:f>
        <x:v>8</x:v>
      </x:c>
      <x:c r="L4" s="80" t="str">
        <x:v>哈福尊享一号</x:v>
      </x:c>
      <x:c r="M4" s="80" t="str">
        <x:v>ST3922</x:v>
      </x:c>
      <x:c r="N4" s="80" t="str">
        <x:v>哈福基金</x:v>
      </x:c>
      <x:c r="O4" s="80" t="str">
        <x:v>0-5亿元</x:v>
      </x:c>
      <x:c r="P4" s="81" t="n">
        <x:f>IF(ABS('sheet2-计算明细'!AQ22-1)&lt;0.00000001,'sheet2-计算明细'!AR22,"")</x:f>
        <x:v>47.42162</x:v>
      </x:c>
      <x:c r="Q4" s="81" t="n">
        <x:f>'sheet2-计算明细'!AS22</x:f>
        <x:v>47.42</x:v>
      </x:c>
      <x:c r="R4" s="82" t="n">
        <x:f>'sheet2-计算明细'!AQ22</x:f>
        <x:v>1</x:v>
      </x:c>
      <x:c r="S4" s="80" t="str">
        <x:v>本次公示未见相关记录</x:v>
      </x:c>
      <x:c r="T4" s="80" t="str">
        <x:v>https://gs.amac.org.cn/amac-infodisc/res/pof/manager/101000010078.html</x:v>
      </x:c>
      <x:c r="U4" s="80" t="n">
        <x:f>'sheet2-计算明细'!AT22</x:f>
        <x:v>153</x:v>
      </x:c>
      <x:c r="V4" s="80" t="n">
        <x:f>COUNTIF($U$2:$U$78,"&lt;"&amp;U4)+1</x:f>
        <x:v>53</x:v>
      </x:c>
    </x:row>
    <x:row r="5" ht="27" customHeight="1">
      <x:c r="A5" s="66" t="n">
        <x:v>4</x:v>
      </x:c>
      <x:c r="B5" s="66" t="str">
        <x:f>IF(INDEX($L$2:$L$78,MATCH(A5,$V$2:$V$78,0))="","",INDEX($L$2:$L$78,MATCH(A5,$V$2:$V$78,0)))</x:f>
        <x:v>世宽若水尘心3号</x:v>
      </x:c>
      <x:c r="C5" s="66" t="str">
        <x:f>IF(INDEX($M$2:$M$78,MATCH(A5,$V$2:$V$78,0))="","",INDEX($M$2:$M$78,MATCH(A5,$V$2:$V$78,0)))</x:f>
        <x:v>SXT730</x:v>
      </x:c>
      <x:c r="D5" s="66" t="str">
        <x:f>IF(INDEX($N$2:$N$78,MATCH(A5,$V$2:$V$78,0))="","",INDEX($N$2:$N$78,MATCH(A5,$V$2:$V$78,0)))</x:f>
        <x:v>厦门世宽</x:v>
      </x:c>
      <x:c r="E5" s="66" t="str">
        <x:f>IF(INDEX($O$2:$O$78,MATCH(A5,$V$2:$V$78,0))="","",INDEX($O$2:$O$78,MATCH(A5,$V$2:$V$78,0)))</x:f>
        <x:v>0-5亿元</x:v>
      </x:c>
      <x:c r="F5" s="77" t="n">
        <x:f>IF(INDEX($P$2:$P$78,MATCH(A5,$V$2:$V$78,0))="","",INDEX($P$2:$P$78,MATCH(A5,$V$2:$V$78,0)))</x:f>
        <x:v>88.44211384615384</x:v>
      </x:c>
      <x:c r="G5" s="77" t="n">
        <x:f>IF(INDEX($Q$2:$Q$78,MATCH(A5,$V$2:$V$78,0))="","",INDEX($Q$2:$Q$78,MATCH(A5,$V$2:$V$78,0)))</x:f>
        <x:v>88.44</x:v>
      </x:c>
      <x:c r="H5" s="78" t="n">
        <x:f>IF(INDEX($R$2:$R$78,MATCH(A5,$V$2:$V$78,0))="","",INDEX($R$2:$R$78,MATCH(A5,$V$2:$V$78,0)))</x:f>
        <x:v>1</x:v>
      </x:c>
      <x:c r="I5" s="66" t="str">
        <x:f>IF(INDEX($S$2:$S$78,MATCH(A5,$V$2:$V$78,0))="","",INDEX($S$2:$S$78,MATCH(A5,$V$2:$V$78,0)))</x:f>
        <x:v>本次公示未见相关记录</x:v>
      </x:c>
      <x:c r="J5" s="66" t="str">
        <x:f>IF(INDEX($T$2:$T$78,MATCH(A5,$V$2:$V$78,0))="","",INDEX($T$2:$T$78,MATCH(A5,$V$2:$V$78,0)))</x:f>
        <x:v>https://gs.amac.org.cn/amac-infodisc/res/pof/manager/101000026000.html</x:v>
      </x:c>
      <x:c r="K5" s="66" t="n">
        <x:f>IF(INDEX($U$2:$U$78,MATCH(A5,$V$2:$V$78,0))="","",INDEX($U$2:$U$78,MATCH(A5,$V$2:$V$78,0)))</x:f>
        <x:v>9</x:v>
      </x:c>
      <x:c r="L5" s="80" t="str">
        <x:v>擎丰1号</x:v>
      </x:c>
      <x:c r="M5" s="80" t="str">
        <x:v>SCS637</x:v>
      </x:c>
      <x:c r="N5" s="80" t="str">
        <x:v>上海擎丰</x:v>
      </x:c>
      <x:c r="O5" s="80" t="str">
        <x:v>0-5亿元</x:v>
      </x:c>
      <x:c r="P5" s="81" t="str">
        <x:f>IF(ABS('sheet2-计算明细'!AQ24-1)&lt;0.00000001,'sheet2-计算明细'!AR24,"")</x:f>
      </x:c>
      <x:c r="Q5" s="81" t="n">
        <x:f>'sheet2-计算明细'!AS24</x:f>
        <x:v>82.88</x:v>
      </x:c>
      <x:c r="R5" s="82" t="n">
        <x:f>'sheet2-计算明细'!AQ24</x:f>
        <x:v>0.88</x:v>
      </x:c>
      <x:c r="S5" s="80" t="str">
        <x:v>协会提示／报送异常</x:v>
      </x:c>
      <x:c r="T5" s="80" t="str">
        <x:v>https://gs.amac.org.cn/amac-infodisc/res/pof/manager/1707071820104466.html</x:v>
      </x:c>
      <x:c r="U5" s="80" t="n">
        <x:f>'sheet2-计算明细'!AT24</x:f>
        <x:v>23</x:v>
      </x:c>
      <x:c r="V5" s="80" t="n">
        <x:f>COUNTIF($U$2:$U$78,"&lt;"&amp;U5)+1</x:f>
        <x:v>8</x:v>
      </x:c>
    </x:row>
    <x:row r="6" ht="27" customHeight="1">
      <x:c r="A6" s="66" t="n">
        <x:v>5</x:v>
      </x:c>
      <x:c r="B6" s="66" t="str">
        <x:f>IF(INDEX($L$2:$L$78,MATCH(A6,$V$2:$V$78,0))="","",INDEX($L$2:$L$78,MATCH(A6,$V$2:$V$78,0)))</x:f>
        <x:v>钧誉厚德量化对冲11号</x:v>
      </x:c>
      <x:c r="C6" s="66" t="str">
        <x:f>IF(INDEX($M$2:$M$78,MATCH(A6,$V$2:$V$78,0))="","",INDEX($M$2:$M$78,MATCH(A6,$V$2:$V$78,0)))</x:f>
        <x:v>SQN453</x:v>
      </x:c>
      <x:c r="D6" s="66" t="str">
        <x:f>IF(INDEX($N$2:$N$78,MATCH(A6,$V$2:$V$78,0))="","",INDEX($N$2:$N$78,MATCH(A6,$V$2:$V$78,0)))</x:f>
        <x:v>珠海钧誉资管</x:v>
      </x:c>
      <x:c r="E6" s="66" t="str">
        <x:f>IF(INDEX($O$2:$O$78,MATCH(A6,$V$2:$V$78,0))="","",INDEX($O$2:$O$78,MATCH(A6,$V$2:$V$78,0)))</x:f>
        <x:v>0-5亿元</x:v>
      </x:c>
      <x:c r="F6" s="77" t="str">
        <x:f>IF(INDEX($P$2:$P$78,MATCH(A6,$V$2:$V$78,0))="","",INDEX($P$2:$P$78,MATCH(A6,$V$2:$V$78,0)))</x:f>
      </x:c>
      <x:c r="G6" s="77" t="n">
        <x:f>IF(INDEX($Q$2:$Q$78,MATCH(A6,$V$2:$V$78,0))="","",INDEX($Q$2:$Q$78,MATCH(A6,$V$2:$V$78,0)))</x:f>
        <x:v>86.38</x:v>
      </x:c>
      <x:c r="H6" s="78" t="n">
        <x:f>IF(INDEX($R$2:$R$78,MATCH(A6,$V$2:$V$78,0))="","",INDEX($R$2:$R$78,MATCH(A6,$V$2:$V$78,0)))</x:f>
        <x:v>0.88</x:v>
      </x:c>
      <x:c r="I6" s="66" t="str">
        <x:f>IF(INDEX($S$2:$S$78,MATCH(A6,$V$2:$V$78,0))="","",INDEX($S$2:$S$78,MATCH(A6,$V$2:$V$78,0)))</x:f>
        <x:v>本次公示未见相关记录</x:v>
      </x:c>
      <x:c r="J6" s="66" t="str">
        <x:f>IF(INDEX($T$2:$T$78,MATCH(A6,$V$2:$V$78,0))="","",INDEX($T$2:$T$78,MATCH(A6,$V$2:$V$78,0)))</x:f>
        <x:v>https://gs.amac.org.cn/amac-infodisc/res/pof/manager/1801241613109731.html</x:v>
      </x:c>
      <x:c r="K6" s="66" t="n">
        <x:f>IF(INDEX($U$2:$U$78,MATCH(A6,$V$2:$V$78,0))="","",INDEX($U$2:$U$78,MATCH(A6,$V$2:$V$78,0)))</x:f>
        <x:v>13</x:v>
      </x:c>
      <x:c r="L6" s="80" t="str">
        <x:v>新时代智能量化3号</x:v>
      </x:c>
      <x:c r="M6" s="80" t="str">
        <x:v>SEM001</x:v>
      </x:c>
      <x:c r="N6" s="80" t="str">
        <x:v>杭州探融投资</x:v>
      </x:c>
      <x:c r="O6" s="80" t="str">
        <x:v>0-5亿元</x:v>
      </x:c>
      <x:c r="P6" s="81" t="str">
        <x:f>IF(ABS('sheet2-计算明细'!AQ25-1)&lt;0.00000001,'sheet2-计算明细'!AR25,"")</x:f>
      </x:c>
      <x:c r="Q6" s="81" t="n">
        <x:f>'sheet2-计算明细'!AS25</x:f>
        <x:v>52.95</x:v>
      </x:c>
      <x:c r="R6" s="82" t="n">
        <x:f>'sheet2-计算明细'!AQ25</x:f>
        <x:v>0.88</x:v>
      </x:c>
      <x:c r="S6" s="80" t="str">
        <x:v>本次公示未见相关记录</x:v>
      </x:c>
      <x:c r="T6" s="80" t="str">
        <x:v>https://gs.amac.org.cn/amac-infodisc/res/pof/manager/101000049159.html</x:v>
      </x:c>
      <x:c r="U6" s="80" t="n">
        <x:f>'sheet2-计算明细'!AT25</x:f>
        <x:v>135</x:v>
      </x:c>
      <x:c r="V6" s="80" t="n">
        <x:f>COUNTIF($U$2:$U$78,"&lt;"&amp;U6)+1</x:f>
        <x:v>43</x:v>
      </x:c>
    </x:row>
    <x:row r="7" ht="27" customHeight="1">
      <x:c r="A7" s="66" t="n">
        <x:v>6</x:v>
      </x:c>
      <x:c r="B7" s="66" t="str">
        <x:f>IF(INDEX($L$2:$L$78,MATCH(A7,$V$2:$V$78,0))="","",INDEX($L$2:$L$78,MATCH(A7,$V$2:$V$78,0)))</x:f>
        <x:v>以利安得利混合1号</x:v>
      </x:c>
      <x:c r="C7" s="66" t="str">
        <x:f>IF(INDEX($M$2:$M$78,MATCH(A7,$V$2:$V$78,0))="","",INDEX($M$2:$M$78,MATCH(A7,$V$2:$V$78,0)))</x:f>
        <x:v>SVJ912</x:v>
      </x:c>
      <x:c r="D7" s="66" t="str">
        <x:f>IF(INDEX($N$2:$N$78,MATCH(A7,$V$2:$V$78,0))="","",INDEX($N$2:$N$78,MATCH(A7,$V$2:$V$78,0)))</x:f>
        <x:v>河南以利</x:v>
      </x:c>
      <x:c r="E7" s="66" t="str">
        <x:f>IF(INDEX($O$2:$O$78,MATCH(A7,$V$2:$V$78,0))="","",INDEX($O$2:$O$78,MATCH(A7,$V$2:$V$78,0)))</x:f>
        <x:v>0-5亿元</x:v>
      </x:c>
      <x:c r="F7" s="77" t="n">
        <x:f>IF(INDEX($P$2:$P$78,MATCH(A7,$V$2:$V$78,0))="","",INDEX($P$2:$P$78,MATCH(A7,$V$2:$V$78,0)))</x:f>
        <x:v>84.94367</x:v>
      </x:c>
      <x:c r="G7" s="77" t="n">
        <x:f>IF(INDEX($Q$2:$Q$78,MATCH(A7,$V$2:$V$78,0))="","",INDEX($Q$2:$Q$78,MATCH(A7,$V$2:$V$78,0)))</x:f>
        <x:v>84.94</x:v>
      </x:c>
      <x:c r="H7" s="78" t="n">
        <x:f>IF(INDEX($R$2:$R$78,MATCH(A7,$V$2:$V$78,0))="","",INDEX($R$2:$R$78,MATCH(A7,$V$2:$V$78,0)))</x:f>
        <x:v>1</x:v>
      </x:c>
      <x:c r="I7" s="66" t="str">
        <x:f>IF(INDEX($S$2:$S$78,MATCH(A7,$V$2:$V$78,0))="","",INDEX($S$2:$S$78,MATCH(A7,$V$2:$V$78,0)))</x:f>
        <x:v>本次公示未见相关记录</x:v>
      </x:c>
      <x:c r="J7" s="66" t="str">
        <x:f>IF(INDEX($T$2:$T$78,MATCH(A7,$V$2:$V$78,0))="","",INDEX($T$2:$T$78,MATCH(A7,$V$2:$V$78,0)))</x:f>
        <x:v>https://gs.amac.org.cn/amac-infodisc/res/pof/manager/101000009955.html</x:v>
      </x:c>
      <x:c r="K7" s="66" t="n">
        <x:f>IF(INDEX($U$2:$U$78,MATCH(A7,$V$2:$V$78,0))="","",INDEX($U$2:$U$78,MATCH(A7,$V$2:$V$78,0)))</x:f>
        <x:v>20</x:v>
      </x:c>
      <x:c r="L7" s="80" t="str">
        <x:v>本利达利磐一号</x:v>
      </x:c>
      <x:c r="M7" s="80" t="str">
        <x:v>SJF426</x:v>
      </x:c>
      <x:c r="N7" s="80" t="str">
        <x:v>深圳本利达资管</x:v>
      </x:c>
      <x:c r="O7" s="80" t="str">
        <x:v>0-5亿元</x:v>
      </x:c>
      <x:c r="P7" s="81" t="n">
        <x:f>IF(ABS('sheet2-计算明细'!AQ30-1)&lt;0.00000001,'sheet2-计算明细'!AR30,"")</x:f>
        <x:v>53.63127</x:v>
      </x:c>
      <x:c r="Q7" s="81" t="n">
        <x:f>'sheet2-计算明细'!AS30</x:f>
        <x:v>53.63</x:v>
      </x:c>
      <x:c r="R7" s="82" t="n">
        <x:f>'sheet2-计算明细'!AQ30</x:f>
        <x:v>1</x:v>
      </x:c>
      <x:c r="S7" s="80" t="str">
        <x:v>本次公示未见相关记录</x:v>
      </x:c>
      <x:c r="T7" s="80" t="str">
        <x:v>https://gs.amac.org.cn/amac-infodisc/res/pof/manager/101000028552.html</x:v>
      </x:c>
      <x:c r="U7" s="80" t="n">
        <x:f>'sheet2-计算明细'!AT30</x:f>
        <x:v>133</x:v>
      </x:c>
      <x:c r="V7" s="80" t="n">
        <x:f>COUNTIF($U$2:$U$78,"&lt;"&amp;U7)+1</x:f>
        <x:v>41</x:v>
      </x:c>
    </x:row>
    <x:row r="8" ht="27" customHeight="1">
      <x:c r="A8" s="66" t="n">
        <x:v>7</x:v>
      </x:c>
      <x:c r="B8" s="66" t="str">
        <x:f>IF(INDEX($L$2:$L$78,MATCH(A8,$V$2:$V$78,0))="","",INDEX($L$2:$L$78,MATCH(A8,$V$2:$V$78,0)))</x:f>
        <x:v>擎丰1号3期</x:v>
      </x:c>
      <x:c r="C8" s="66" t="str">
        <x:f>IF(INDEX($M$2:$M$78,MATCH(A8,$V$2:$V$78,0))="","",INDEX($M$2:$M$78,MATCH(A8,$V$2:$V$78,0)))</x:f>
        <x:v>SXK911</x:v>
      </x:c>
      <x:c r="D8" s="66" t="str">
        <x:f>IF(INDEX($N$2:$N$78,MATCH(A8,$V$2:$V$78,0))="","",INDEX($N$2:$N$78,MATCH(A8,$V$2:$V$78,0)))</x:f>
        <x:v>上海擎丰</x:v>
      </x:c>
      <x:c r="E8" s="66" t="str">
        <x:f>IF(INDEX($O$2:$O$78,MATCH(A8,$V$2:$V$78,0))="","",INDEX($O$2:$O$78,MATCH(A8,$V$2:$V$78,0)))</x:f>
        <x:v>0-5亿元</x:v>
      </x:c>
      <x:c r="F8" s="77" t="n">
        <x:f>IF(INDEX($P$2:$P$78,MATCH(A8,$V$2:$V$78,0))="","",INDEX($P$2:$P$78,MATCH(A8,$V$2:$V$78,0)))</x:f>
        <x:v>84.38658000000001</x:v>
      </x:c>
      <x:c r="G8" s="77" t="n">
        <x:f>IF(INDEX($Q$2:$Q$78,MATCH(A8,$V$2:$V$78,0))="","",INDEX($Q$2:$Q$78,MATCH(A8,$V$2:$V$78,0)))</x:f>
        <x:v>84.39</x:v>
      </x:c>
      <x:c r="H8" s="78" t="n">
        <x:f>IF(INDEX($R$2:$R$78,MATCH(A8,$V$2:$V$78,0))="","",INDEX($R$2:$R$78,MATCH(A8,$V$2:$V$78,0)))</x:f>
        <x:v>1</x:v>
      </x:c>
      <x:c r="I8" s="66" t="str">
        <x:f>IF(INDEX($S$2:$S$78,MATCH(A8,$V$2:$V$78,0))="","",INDEX($S$2:$S$78,MATCH(A8,$V$2:$V$78,0)))</x:f>
        <x:v>协会提示／报送异常</x:v>
      </x:c>
      <x:c r="J8" s="66" t="str">
        <x:f>IF(INDEX($T$2:$T$78,MATCH(A8,$V$2:$V$78,0))="","",INDEX($T$2:$T$78,MATCH(A8,$V$2:$V$78,0)))</x:f>
        <x:v>https://gs.amac.org.cn/amac-infodisc/res/pof/manager/1707071820104466.html</x:v>
      </x:c>
      <x:c r="K8" s="66" t="n">
        <x:f>IF(INDEX($U$2:$U$78,MATCH(A8,$V$2:$V$78,0))="","",INDEX($U$2:$U$78,MATCH(A8,$V$2:$V$78,0)))</x:f>
        <x:v>21</x:v>
      </x:c>
      <x:c r="L8" s="80" t="str">
        <x:v>百奕传家一号</x:v>
      </x:c>
      <x:c r="M8" s="80" t="str">
        <x:v>SJS027</x:v>
      </x:c>
      <x:c r="N8" s="80" t="str">
        <x:v>上海百奕投资</x:v>
      </x:c>
      <x:c r="O8" s="80" t="str">
        <x:v>0-5亿元</x:v>
      </x:c>
      <x:c r="P8" s="81" t="n">
        <x:f>IF(ABS('sheet2-计算明细'!AQ35-1)&lt;0.00000001,'sheet2-计算明细'!AR35,"")</x:f>
        <x:v>51.891310000000004</x:v>
      </x:c>
      <x:c r="Q8" s="81" t="n">
        <x:f>'sheet2-计算明细'!AS35</x:f>
        <x:v>51.89</x:v>
      </x:c>
      <x:c r="R8" s="82" t="n">
        <x:f>'sheet2-计算明细'!AQ35</x:f>
        <x:v>1</x:v>
      </x:c>
      <x:c r="S8" s="80" t="str">
        <x:v>本次公示未见相关记录</x:v>
      </x:c>
      <x:c r="T8" s="80" t="str">
        <x:v>https://gs.amac.org.cn/amac-infodisc/res/pof/manager/101000019935.html</x:v>
      </x:c>
      <x:c r="U8" s="80" t="n">
        <x:f>'sheet2-计算明细'!AT35</x:f>
        <x:v>138</x:v>
      </x:c>
      <x:c r="V8" s="80" t="n">
        <x:f>COUNTIF($U$2:$U$78,"&lt;"&amp;U8)+1</x:f>
        <x:v>45</x:v>
      </x:c>
    </x:row>
    <x:row r="9" ht="27" customHeight="1">
      <x:c r="A9" s="66" t="n">
        <x:v>8</x:v>
      </x:c>
      <x:c r="B9" s="66" t="str">
        <x:f>IF(INDEX($L$2:$L$78,MATCH(A9,$V$2:$V$78,0))="","",INDEX($L$2:$L$78,MATCH(A9,$V$2:$V$78,0)))</x:f>
        <x:v>擎丰1号</x:v>
      </x:c>
      <x:c r="C9" s="66" t="str">
        <x:f>IF(INDEX($M$2:$M$78,MATCH(A9,$V$2:$V$78,0))="","",INDEX($M$2:$M$78,MATCH(A9,$V$2:$V$78,0)))</x:f>
        <x:v>SCS637</x:v>
      </x:c>
      <x:c r="D9" s="66" t="str">
        <x:f>IF(INDEX($N$2:$N$78,MATCH(A9,$V$2:$V$78,0))="","",INDEX($N$2:$N$78,MATCH(A9,$V$2:$V$78,0)))</x:f>
        <x:v>上海擎丰</x:v>
      </x:c>
      <x:c r="E9" s="66" t="str">
        <x:f>IF(INDEX($O$2:$O$78,MATCH(A9,$V$2:$V$78,0))="","",INDEX($O$2:$O$78,MATCH(A9,$V$2:$V$78,0)))</x:f>
        <x:v>0-5亿元</x:v>
      </x:c>
      <x:c r="F9" s="77" t="str">
        <x:f>IF(INDEX($P$2:$P$78,MATCH(A9,$V$2:$V$78,0))="","",INDEX($P$2:$P$78,MATCH(A9,$V$2:$V$78,0)))</x:f>
      </x:c>
      <x:c r="G9" s="77" t="n">
        <x:f>IF(INDEX($Q$2:$Q$78,MATCH(A9,$V$2:$V$78,0))="","",INDEX($Q$2:$Q$78,MATCH(A9,$V$2:$V$78,0)))</x:f>
        <x:v>82.88</x:v>
      </x:c>
      <x:c r="H9" s="78" t="n">
        <x:f>IF(INDEX($R$2:$R$78,MATCH(A9,$V$2:$V$78,0))="","",INDEX($R$2:$R$78,MATCH(A9,$V$2:$V$78,0)))</x:f>
        <x:v>0.88</x:v>
      </x:c>
      <x:c r="I9" s="66" t="str">
        <x:f>IF(INDEX($S$2:$S$78,MATCH(A9,$V$2:$V$78,0))="","",INDEX($S$2:$S$78,MATCH(A9,$V$2:$V$78,0)))</x:f>
        <x:v>协会提示／报送异常</x:v>
      </x:c>
      <x:c r="J9" s="66" t="str">
        <x:f>IF(INDEX($T$2:$T$78,MATCH(A9,$V$2:$V$78,0))="","",INDEX($T$2:$T$78,MATCH(A9,$V$2:$V$78,0)))</x:f>
        <x:v>https://gs.amac.org.cn/amac-infodisc/res/pof/manager/1707071820104466.html</x:v>
      </x:c>
      <x:c r="K9" s="66" t="n">
        <x:f>IF(INDEX($U$2:$U$78,MATCH(A9,$V$2:$V$78,0))="","",INDEX($U$2:$U$78,MATCH(A9,$V$2:$V$78,0)))</x:f>
        <x:v>23</x:v>
      </x:c>
      <x:c r="L9" s="80" t="str">
        <x:v>蒙森斯道特恒星三号</x:v>
      </x:c>
      <x:c r="M9" s="80" t="str">
        <x:v>SJM626</x:v>
      </x:c>
      <x:c r="N9" s="80" t="str">
        <x:v>上海蒙森投资</x:v>
      </x:c>
      <x:c r="O9" s="80" t="str">
        <x:v>0-5亿元</x:v>
      </x:c>
      <x:c r="P9" s="81" t="n">
        <x:f>IF(ABS('sheet2-计算明细'!AQ36-1)&lt;0.00000001,'sheet2-计算明细'!AR36,"")</x:f>
        <x:v>55.09148</x:v>
      </x:c>
      <x:c r="Q9" s="81" t="n">
        <x:f>'sheet2-计算明细'!AS36</x:f>
        <x:v>55.09</x:v>
      </x:c>
      <x:c r="R9" s="82" t="n">
        <x:f>'sheet2-计算明细'!AQ36</x:f>
        <x:v>1</x:v>
      </x:c>
      <x:c r="S9" s="80" t="str">
        <x:v>监管警示函</x:v>
      </x:c>
      <x:c r="T9" s="80" t="str">
        <x:v>https://gs.amac.org.cn/amac-infodisc/res/pof/manager/101000010726.html</x:v>
      </x:c>
      <x:c r="U9" s="80" t="n">
        <x:f>'sheet2-计算明细'!AT36</x:f>
        <x:v>125</x:v>
      </x:c>
      <x:c r="V9" s="80" t="n">
        <x:f>COUNTIF($U$2:$U$78,"&lt;"&amp;U9)+1</x:f>
        <x:v>39</x:v>
      </x:c>
    </x:row>
    <x:row r="10" ht="27" customHeight="1">
      <x:c r="A10" s="66" t="n">
        <x:v>9</x:v>
      </x:c>
      <x:c r="B10" s="66" t="str">
        <x:f>IF(INDEX($L$2:$L$78,MATCH(A10,$V$2:$V$78,0))="","",INDEX($L$2:$L$78,MATCH(A10,$V$2:$V$78,0)))</x:f>
        <x:v>永泉奇点17号混合投资</x:v>
      </x:c>
      <x:c r="C10" s="66" t="str">
        <x:f>IF(INDEX($M$2:$M$78,MATCH(A10,$V$2:$V$78,0))="","",INDEX($M$2:$M$78,MATCH(A10,$V$2:$V$78,0)))</x:f>
        <x:v>SNG016</x:v>
      </x:c>
      <x:c r="D10" s="66" t="str">
        <x:f>IF(INDEX($N$2:$N$78,MATCH(A10,$V$2:$V$78,0))="","",INDEX($N$2:$N$78,MATCH(A10,$V$2:$V$78,0)))</x:f>
        <x:v>宁波永泉</x:v>
      </x:c>
      <x:c r="E10" s="66" t="str">
        <x:f>IF(INDEX($O$2:$O$78,MATCH(A10,$V$2:$V$78,0))="","",INDEX($O$2:$O$78,MATCH(A10,$V$2:$V$78,0)))</x:f>
        <x:v>0-5亿元</x:v>
      </x:c>
      <x:c r="F10" s="77" t="n">
        <x:f>IF(INDEX($P$2:$P$78,MATCH(A10,$V$2:$V$78,0))="","",INDEX($P$2:$P$78,MATCH(A10,$V$2:$V$78,0)))</x:f>
        <x:v>82.83698</x:v>
      </x:c>
      <x:c r="G10" s="77" t="n">
        <x:f>IF(INDEX($Q$2:$Q$78,MATCH(A10,$V$2:$V$78,0))="","",INDEX($Q$2:$Q$78,MATCH(A10,$V$2:$V$78,0)))</x:f>
        <x:v>82.84</x:v>
      </x:c>
      <x:c r="H10" s="78" t="n">
        <x:f>IF(INDEX($R$2:$R$78,MATCH(A10,$V$2:$V$78,0))="","",INDEX($R$2:$R$78,MATCH(A10,$V$2:$V$78,0)))</x:f>
        <x:v>1</x:v>
      </x:c>
      <x:c r="I10" s="66" t="str">
        <x:f>IF(INDEX($S$2:$S$78,MATCH(A10,$V$2:$V$78,0))="","",INDEX($S$2:$S$78,MATCH(A10,$V$2:$V$78,0)))</x:f>
        <x:v>协会提示／报送异常</x:v>
      </x:c>
      <x:c r="J10" s="66" t="str">
        <x:f>IF(INDEX($T$2:$T$78,MATCH(A10,$V$2:$V$78,0))="","",INDEX($T$2:$T$78,MATCH(A10,$V$2:$V$78,0)))</x:f>
        <x:v>https://gs.amac.org.cn/amac-infodisc/res/pof/manager/101000016974.html</x:v>
      </x:c>
      <x:c r="K10" s="66" t="n">
        <x:f>IF(INDEX($U$2:$U$78,MATCH(A10,$V$2:$V$78,0))="","",INDEX($U$2:$U$78,MATCH(A10,$V$2:$V$78,0)))</x:f>
        <x:v>24</x:v>
      </x:c>
      <x:c r="L10" s="80" t="str">
        <x:v>银瓴运通对冲套利致远3号</x:v>
      </x:c>
      <x:c r="M10" s="80" t="str">
        <x:v>SLC023</x:v>
      </x:c>
      <x:c r="N10" s="80" t="str">
        <x:v>广西银瓴资产</x:v>
      </x:c>
      <x:c r="O10" s="80" t="str">
        <x:v>0-5亿元</x:v>
      </x:c>
      <x:c r="P10" s="81" t="n">
        <x:f>IF(ABS('sheet2-计算明细'!AQ37-1)&lt;0.00000001,'sheet2-计算明细'!AR37,"")</x:f>
        <x:v>29.91411</x:v>
      </x:c>
      <x:c r="Q10" s="81" t="n">
        <x:f>'sheet2-计算明细'!AS37</x:f>
        <x:v>29.91</x:v>
      </x:c>
      <x:c r="R10" s="82" t="n">
        <x:f>'sheet2-计算明细'!AQ37</x:f>
        <x:v>1</x:v>
      </x:c>
      <x:c r="S10" s="80" t="str">
        <x:v>本次公示未见相关记录</x:v>
      </x:c>
      <x:c r="T10" s="80" t="str">
        <x:v>https://gs.amac.org.cn/amac-infodisc/res/pof/manager/101000035485.html</x:v>
      </x:c>
      <x:c r="U10" s="80" t="n">
        <x:f>'sheet2-计算明细'!AT37</x:f>
        <x:v>193</x:v>
      </x:c>
      <x:c r="V10" s="80" t="n">
        <x:f>COUNTIF($U$2:$U$78,"&lt;"&amp;U10)+1</x:f>
        <x:v>72</x:v>
      </x:c>
    </x:row>
    <x:row r="11" ht="27" customHeight="1">
      <x:c r="A11" s="66" t="n">
        <x:v>10</x:v>
      </x:c>
      <x:c r="B11" s="66" t="str">
        <x:f>IF(INDEX($L$2:$L$78,MATCH(A11,$V$2:$V$78,0))="","",INDEX($L$2:$L$78,MATCH(A11,$V$2:$V$78,0)))</x:f>
        <x:v>永泉奇点1号混合投资</x:v>
      </x:c>
      <x:c r="C11" s="66" t="str">
        <x:f>IF(INDEX($M$2:$M$78,MATCH(A11,$V$2:$V$78,0))="","",INDEX($M$2:$M$78,MATCH(A11,$V$2:$V$78,0)))</x:f>
        <x:v>SGM299</x:v>
      </x:c>
      <x:c r="D11" s="66" t="str">
        <x:f>IF(INDEX($N$2:$N$78,MATCH(A11,$V$2:$V$78,0))="","",INDEX($N$2:$N$78,MATCH(A11,$V$2:$V$78,0)))</x:f>
        <x:v>宁波永泉</x:v>
      </x:c>
      <x:c r="E11" s="66" t="str">
        <x:f>IF(INDEX($O$2:$O$78,MATCH(A11,$V$2:$V$78,0))="","",INDEX($O$2:$O$78,MATCH(A11,$V$2:$V$78,0)))</x:f>
        <x:v>0-5亿元</x:v>
      </x:c>
      <x:c r="F11" s="77" t="n">
        <x:f>IF(INDEX($P$2:$P$78,MATCH(A11,$V$2:$V$78,0))="","",INDEX($P$2:$P$78,MATCH(A11,$V$2:$V$78,0)))</x:f>
        <x:v>81.62694</x:v>
      </x:c>
      <x:c r="G11" s="77" t="n">
        <x:f>IF(INDEX($Q$2:$Q$78,MATCH(A11,$V$2:$V$78,0))="","",INDEX($Q$2:$Q$78,MATCH(A11,$V$2:$V$78,0)))</x:f>
        <x:v>81.63</x:v>
      </x:c>
      <x:c r="H11" s="78" t="n">
        <x:f>IF(INDEX($R$2:$R$78,MATCH(A11,$V$2:$V$78,0))="","",INDEX($R$2:$R$78,MATCH(A11,$V$2:$V$78,0)))</x:f>
        <x:v>1</x:v>
      </x:c>
      <x:c r="I11" s="66" t="str">
        <x:f>IF(INDEX($S$2:$S$78,MATCH(A11,$V$2:$V$78,0))="","",INDEX($S$2:$S$78,MATCH(A11,$V$2:$V$78,0)))</x:f>
        <x:v>协会提示／报送异常</x:v>
      </x:c>
      <x:c r="J11" s="66" t="str">
        <x:f>IF(INDEX($T$2:$T$78,MATCH(A11,$V$2:$V$78,0))="","",INDEX($T$2:$T$78,MATCH(A11,$V$2:$V$78,0)))</x:f>
        <x:v>https://gs.amac.org.cn/amac-infodisc/res/pof/manager/101000016974.html</x:v>
      </x:c>
      <x:c r="K11" s="66" t="n">
        <x:f>IF(INDEX($U$2:$U$78,MATCH(A11,$V$2:$V$78,0))="","",INDEX($U$2:$U$78,MATCH(A11,$V$2:$V$78,0)))</x:f>
        <x:v>27</x:v>
      </x:c>
      <x:c r="L11" s="80" t="str">
        <x:v>银瓴运通对冲套利进取2号</x:v>
      </x:c>
      <x:c r="M11" s="80" t="str">
        <x:v>SLC022</x:v>
      </x:c>
      <x:c r="N11" s="80" t="str">
        <x:v>广西银瓴资产</x:v>
      </x:c>
      <x:c r="O11" s="80" t="str">
        <x:v>0-5亿元</x:v>
      </x:c>
      <x:c r="P11" s="81" t="n">
        <x:f>IF(ABS('sheet2-计算明细'!AQ38-1)&lt;0.00000001,'sheet2-计算明细'!AR38,"")</x:f>
        <x:v>30.641820000000003</x:v>
      </x:c>
      <x:c r="Q11" s="81" t="n">
        <x:f>'sheet2-计算明细'!AS38</x:f>
        <x:v>30.64</x:v>
      </x:c>
      <x:c r="R11" s="82" t="n">
        <x:f>'sheet2-计算明细'!AQ38</x:f>
        <x:v>1</x:v>
      </x:c>
      <x:c r="S11" s="80" t="str">
        <x:v>本次公示未见相关记录</x:v>
      </x:c>
      <x:c r="T11" s="80" t="str">
        <x:v>https://gs.amac.org.cn/amac-infodisc/res/pof/manager/101000035485.html</x:v>
      </x:c>
      <x:c r="U11" s="80" t="n">
        <x:f>'sheet2-计算明细'!AT38</x:f>
        <x:v>190</x:v>
      </x:c>
      <x:c r="V11" s="80" t="n">
        <x:f>COUNTIF($U$2:$U$78,"&lt;"&amp;U11)+1</x:f>
        <x:v>70</x:v>
      </x:c>
    </x:row>
    <x:row r="12" ht="27" customHeight="1">
      <x:c r="A12" s="66" t="n">
        <x:v>11</x:v>
      </x:c>
      <x:c r="B12" s="66" t="str">
        <x:f>IF(INDEX($L$2:$L$78,MATCH(A12,$V$2:$V$78,0))="","",INDEX($L$2:$L$78,MATCH(A12,$V$2:$V$78,0)))</x:f>
        <x:v>久游投资4号</x:v>
      </x:c>
      <x:c r="C12" s="66" t="str">
        <x:f>IF(INDEX($M$2:$M$78,MATCH(A12,$V$2:$V$78,0))="","",INDEX($M$2:$M$78,MATCH(A12,$V$2:$V$78,0)))</x:f>
        <x:v>STB214</x:v>
      </x:c>
      <x:c r="D12" s="66" t="str">
        <x:f>IF(INDEX($N$2:$N$78,MATCH(A12,$V$2:$V$78,0))="","",INDEX($N$2:$N$78,MATCH(A12,$V$2:$V$78,0)))</x:f>
        <x:v>深圳久游</x:v>
      </x:c>
      <x:c r="E12" s="66" t="str">
        <x:f>IF(INDEX($O$2:$O$78,MATCH(A12,$V$2:$V$78,0))="","",INDEX($O$2:$O$78,MATCH(A12,$V$2:$V$78,0)))</x:f>
        <x:v>0-5亿元</x:v>
      </x:c>
      <x:c r="F12" s="77" t="n">
        <x:f>IF(INDEX($P$2:$P$78,MATCH(A12,$V$2:$V$78,0))="","",INDEX($P$2:$P$78,MATCH(A12,$V$2:$V$78,0)))</x:f>
        <x:v>80.79196</x:v>
      </x:c>
      <x:c r="G12" s="77" t="n">
        <x:f>IF(INDEX($Q$2:$Q$78,MATCH(A12,$V$2:$V$78,0))="","",INDEX($Q$2:$Q$78,MATCH(A12,$V$2:$V$78,0)))</x:f>
        <x:v>80.79</x:v>
      </x:c>
      <x:c r="H12" s="78" t="n">
        <x:f>IF(INDEX($R$2:$R$78,MATCH(A12,$V$2:$V$78,0))="","",INDEX($R$2:$R$78,MATCH(A12,$V$2:$V$78,0)))</x:f>
        <x:v>1</x:v>
      </x:c>
      <x:c r="I12" s="66" t="str">
        <x:f>IF(INDEX($S$2:$S$78,MATCH(A12,$V$2:$V$78,0))="","",INDEX($S$2:$S$78,MATCH(A12,$V$2:$V$78,0)))</x:f>
        <x:v>协会提示／报送异常</x:v>
      </x:c>
      <x:c r="J12" s="66" t="str">
        <x:f>IF(INDEX($T$2:$T$78,MATCH(A12,$V$2:$V$78,0))="","",INDEX($T$2:$T$78,MATCH(A12,$V$2:$V$78,0)))</x:f>
        <x:v>https://gs.amac.org.cn/amac-infodisc/res/pof/manager/2108310949105248.html</x:v>
      </x:c>
      <x:c r="K12" s="66" t="n">
        <x:f>IF(INDEX($U$2:$U$78,MATCH(A12,$V$2:$V$78,0))="","",INDEX($U$2:$U$78,MATCH(A12,$V$2:$V$78,0)))</x:f>
        <x:v>29</x:v>
      </x:c>
      <x:c r="L12" s="80" t="str">
        <x:v>铭杉量化稳健5号</x:v>
      </x:c>
      <x:c r="M12" s="80" t="str">
        <x:v>SLT573</x:v>
      </x:c>
      <x:c r="N12" s="80" t="str">
        <x:v>上海铭杉投资</x:v>
      </x:c>
      <x:c r="O12" s="80" t="str">
        <x:v>0-5亿元</x:v>
      </x:c>
      <x:c r="P12" s="81" t="str">
        <x:f>IF(ABS('sheet2-计算明细'!AQ39-1)&lt;0.00000001,'sheet2-计算明细'!AR39,"")</x:f>
      </x:c>
      <x:c r="Q12" s="81" t="n">
        <x:f>'sheet2-计算明细'!AS39</x:f>
        <x:v>60.88</x:v>
      </x:c>
      <x:c r="R12" s="82" t="n">
        <x:f>'sheet2-计算明细'!AQ39</x:f>
        <x:v>0.88</x:v>
      </x:c>
      <x:c r="S12" s="80" t="str">
        <x:v>本次公示未见相关记录</x:v>
      </x:c>
      <x:c r="T12" s="80" t="str">
        <x:v>https://gs.amac.org.cn/amac-infodisc/res/pof/manager/1708301158107602.html</x:v>
      </x:c>
      <x:c r="U12" s="80" t="n">
        <x:f>'sheet2-计算明细'!AT39</x:f>
        <x:v>104</x:v>
      </x:c>
      <x:c r="V12" s="80" t="n">
        <x:f>COUNTIF($U$2:$U$78,"&lt;"&amp;U12)+1</x:f>
        <x:v>34</x:v>
      </x:c>
    </x:row>
    <x:row r="13" ht="27" customHeight="1">
      <x:c r="A13" s="66" t="n">
        <x:v>12</x:v>
      </x:c>
      <x:c r="B13" s="66" t="str">
        <x:f>IF(INDEX($L$2:$L$78,MATCH(A13,$V$2:$V$78,0))="","",INDEX($L$2:$L$78,MATCH(A13,$V$2:$V$78,0)))</x:f>
        <x:v>永泉奇点2号混合投资</x:v>
      </x:c>
      <x:c r="C13" s="66" t="str">
        <x:f>IF(INDEX($M$2:$M$78,MATCH(A13,$V$2:$V$78,0))="","",INDEX($M$2:$M$78,MATCH(A13,$V$2:$V$78,0)))</x:f>
        <x:v>SJB356</x:v>
      </x:c>
      <x:c r="D13" s="66" t="str">
        <x:f>IF(INDEX($N$2:$N$78,MATCH(A13,$V$2:$V$78,0))="","",INDEX($N$2:$N$78,MATCH(A13,$V$2:$V$78,0)))</x:f>
        <x:v>宁波永泉</x:v>
      </x:c>
      <x:c r="E13" s="66" t="str">
        <x:f>IF(INDEX($O$2:$O$78,MATCH(A13,$V$2:$V$78,0))="","",INDEX($O$2:$O$78,MATCH(A13,$V$2:$V$78,0)))</x:f>
        <x:v>0-5亿元</x:v>
      </x:c>
      <x:c r="F13" s="77" t="n">
        <x:f>IF(INDEX($P$2:$P$78,MATCH(A13,$V$2:$V$78,0))="","",INDEX($P$2:$P$78,MATCH(A13,$V$2:$V$78,0)))</x:f>
        <x:v>79.94809000000001</x:v>
      </x:c>
      <x:c r="G13" s="77" t="n">
        <x:f>IF(INDEX($Q$2:$Q$78,MATCH(A13,$V$2:$V$78,0))="","",INDEX($Q$2:$Q$78,MATCH(A13,$V$2:$V$78,0)))</x:f>
        <x:v>79.95</x:v>
      </x:c>
      <x:c r="H13" s="78" t="n">
        <x:f>IF(INDEX($R$2:$R$78,MATCH(A13,$V$2:$V$78,0))="","",INDEX($R$2:$R$78,MATCH(A13,$V$2:$V$78,0)))</x:f>
        <x:v>1</x:v>
      </x:c>
      <x:c r="I13" s="66" t="str">
        <x:f>IF(INDEX($S$2:$S$78,MATCH(A13,$V$2:$V$78,0))="","",INDEX($S$2:$S$78,MATCH(A13,$V$2:$V$78,0)))</x:f>
        <x:v>协会提示／报送异常</x:v>
      </x:c>
      <x:c r="J13" s="66" t="str">
        <x:f>IF(INDEX($T$2:$T$78,MATCH(A13,$V$2:$V$78,0))="","",INDEX($T$2:$T$78,MATCH(A13,$V$2:$V$78,0)))</x:f>
        <x:v>https://gs.amac.org.cn/amac-infodisc/res/pof/manager/101000016974.html</x:v>
      </x:c>
      <x:c r="K13" s="66" t="n">
        <x:f>IF(INDEX($U$2:$U$78,MATCH(A13,$V$2:$V$78,0))="","",INDEX($U$2:$U$78,MATCH(A13,$V$2:$V$78,0)))</x:f>
        <x:v>32</x:v>
      </x:c>
      <x:c r="L13" s="80" t="str">
        <x:v>数为道策套利一号</x:v>
      </x:c>
      <x:c r="M13" s="80" t="str">
        <x:v>SNA956</x:v>
      </x:c>
      <x:c r="N13" s="80" t="str">
        <x:v>福州数为</x:v>
      </x:c>
      <x:c r="O13" s="80" t="str">
        <x:v>0-5亿元</x:v>
      </x:c>
      <x:c r="P13" s="81" t="str">
        <x:f>IF(ABS('sheet2-计算明细'!AQ40-1)&lt;0.00000001,'sheet2-计算明细'!AR40,"")</x:f>
      </x:c>
      <x:c r="Q13" s="81" t="n">
        <x:f>'sheet2-计算明细'!AS40</x:f>
        <x:v>20.39</x:v>
      </x:c>
      <x:c r="R13" s="82" t="n">
        <x:f>'sheet2-计算明细'!AQ40</x:f>
        <x:v>0.88</x:v>
      </x:c>
      <x:c r="S13" s="80" t="str">
        <x:v>本次公示未见相关记录</x:v>
      </x:c>
      <x:c r="T13" s="80" t="str">
        <x:v>https://gs.amac.org.cn/amac-infodisc/res/pof/manager/1705081548107725.html</x:v>
      </x:c>
      <x:c r="U13" s="80" t="n">
        <x:f>'sheet2-计算明细'!AT40</x:f>
        <x:v>203</x:v>
      </x:c>
      <x:c r="V13" s="80" t="n">
        <x:f>COUNTIF($U$2:$U$78,"&lt;"&amp;U13)+1</x:f>
        <x:v>77</x:v>
      </x:c>
    </x:row>
    <x:row r="14" ht="27" customHeight="1">
      <x:c r="A14" s="66" t="n">
        <x:v>13</x:v>
      </x:c>
      <x:c r="B14" s="66" t="str">
        <x:f>IF(INDEX($L$2:$L$78,MATCH(A14,$V$2:$V$78,0))="","",INDEX($L$2:$L$78,MATCH(A14,$V$2:$V$78,0)))</x:f>
        <x:v>汇艾稳健3号</x:v>
      </x:c>
      <x:c r="C14" s="66" t="str">
        <x:f>IF(INDEX($M$2:$M$78,MATCH(A14,$V$2:$V$78,0))="","",INDEX($M$2:$M$78,MATCH(A14,$V$2:$V$78,0)))</x:f>
        <x:v>SR8584</x:v>
      </x:c>
      <x:c r="D14" s="66" t="str">
        <x:f>IF(INDEX($N$2:$N$78,MATCH(A14,$V$2:$V$78,0))="","",INDEX($N$2:$N$78,MATCH(A14,$V$2:$V$78,0)))</x:f>
        <x:v>上海汇艾资管</x:v>
      </x:c>
      <x:c r="E14" s="66" t="str">
        <x:f>IF(INDEX($O$2:$O$78,MATCH(A14,$V$2:$V$78,0))="","",INDEX($O$2:$O$78,MATCH(A14,$V$2:$V$78,0)))</x:f>
        <x:v>0-5亿元</x:v>
      </x:c>
      <x:c r="F14" s="77" t="n">
        <x:f>IF(INDEX($P$2:$P$78,MATCH(A14,$V$2:$V$78,0))="","",INDEX($P$2:$P$78,MATCH(A14,$V$2:$V$78,0)))</x:f>
        <x:v>79.2017</x:v>
      </x:c>
      <x:c r="G14" s="77" t="n">
        <x:f>IF(INDEX($Q$2:$Q$78,MATCH(A14,$V$2:$V$78,0))="","",INDEX($Q$2:$Q$78,MATCH(A14,$V$2:$V$78,0)))</x:f>
        <x:v>79.2</x:v>
      </x:c>
      <x:c r="H14" s="78" t="n">
        <x:f>IF(INDEX($R$2:$R$78,MATCH(A14,$V$2:$V$78,0))="","",INDEX($R$2:$R$78,MATCH(A14,$V$2:$V$78,0)))</x:f>
        <x:v>1</x:v>
      </x:c>
      <x:c r="I14" s="66" t="str">
        <x:f>IF(INDEX($S$2:$S$78,MATCH(A14,$V$2:$V$78,0))="","",INDEX($S$2:$S$78,MATCH(A14,$V$2:$V$78,0)))</x:f>
        <x:v>本次公示未见相关记录</x:v>
      </x:c>
      <x:c r="J14" s="66" t="str">
        <x:f>IF(INDEX($T$2:$T$78,MATCH(A14,$V$2:$V$78,0))="","",INDEX($T$2:$T$78,MATCH(A14,$V$2:$V$78,0)))</x:f>
        <x:v>https://gs.amac.org.cn/amac-infodisc/res/pof/manager/101000016385.html</x:v>
      </x:c>
      <x:c r="K14" s="66" t="n">
        <x:f>IF(INDEX($U$2:$U$78,MATCH(A14,$V$2:$V$78,0))="","",INDEX($U$2:$U$78,MATCH(A14,$V$2:$V$78,0)))</x:f>
        <x:v>37</x:v>
      </x:c>
      <x:c r="L14" s="80" t="str">
        <x:v>杭州探融-锦鲤智能量化3号</x:v>
      </x:c>
      <x:c r="M14" s="80" t="str">
        <x:v>SQC001</x:v>
      </x:c>
      <x:c r="N14" s="80" t="str">
        <x:v>杭州探融投资</x:v>
      </x:c>
      <x:c r="O14" s="80" t="str">
        <x:v>0-5亿元</x:v>
      </x:c>
      <x:c r="P14" s="81" t="n">
        <x:f>IF(ABS('sheet2-计算明细'!AQ45-1)&lt;0.00000001,'sheet2-计算明细'!AR45,"")</x:f>
        <x:v>57.35428999999999</x:v>
      </x:c>
      <x:c r="Q14" s="81" t="n">
        <x:f>'sheet2-计算明细'!AS45</x:f>
        <x:v>57.35</x:v>
      </x:c>
      <x:c r="R14" s="82" t="n">
        <x:f>'sheet2-计算明细'!AQ45</x:f>
        <x:v>1</x:v>
      </x:c>
      <x:c r="S14" s="80" t="str">
        <x:v>本次公示未见相关记录</x:v>
      </x:c>
      <x:c r="T14" s="80" t="str">
        <x:v>https://gs.amac.org.cn/amac-infodisc/res/pof/manager/101000049159.html</x:v>
      </x:c>
      <x:c r="U14" s="80" t="n">
        <x:f>'sheet2-计算明细'!AT45</x:f>
        <x:v>119</x:v>
      </x:c>
      <x:c r="V14" s="80" t="n">
        <x:f>COUNTIF($U$2:$U$78,"&lt;"&amp;U14)+1</x:f>
        <x:v>36</x:v>
      </x:c>
    </x:row>
    <x:row r="15" ht="27" customHeight="1">
      <x:c r="A15" s="66" t="n">
        <x:v>14</x:v>
      </x:c>
      <x:c r="B15" s="66" t="str">
        <x:f>IF(INDEX($L$2:$L$78,MATCH(A15,$V$2:$V$78,0))="","",INDEX($L$2:$L$78,MATCH(A15,$V$2:$V$78,0)))</x:f>
        <x:v>景鹏稳进1号</x:v>
      </x:c>
      <x:c r="C15" s="66" t="str">
        <x:f>IF(INDEX($M$2:$M$78,MATCH(A15,$V$2:$V$78,0))="","",INDEX($M$2:$M$78,MATCH(A15,$V$2:$V$78,0)))</x:f>
        <x:v>SSX278</x:v>
      </x:c>
      <x:c r="D15" s="66" t="str">
        <x:f>IF(INDEX($N$2:$N$78,MATCH(A15,$V$2:$V$78,0))="","",INDEX($N$2:$N$78,MATCH(A15,$V$2:$V$78,0)))</x:f>
        <x:v>上海景鹏</x:v>
      </x:c>
      <x:c r="E15" s="66" t="str">
        <x:f>IF(INDEX($O$2:$O$78,MATCH(A15,$V$2:$V$78,0))="","",INDEX($O$2:$O$78,MATCH(A15,$V$2:$V$78,0)))</x:f>
        <x:v>0-5亿元</x:v>
      </x:c>
      <x:c r="F15" s="77" t="n">
        <x:f>IF(INDEX($P$2:$P$78,MATCH(A15,$V$2:$V$78,0))="","",INDEX($P$2:$P$78,MATCH(A15,$V$2:$V$78,0)))</x:f>
        <x:v>79.0536</x:v>
      </x:c>
      <x:c r="G15" s="77" t="n">
        <x:f>IF(INDEX($Q$2:$Q$78,MATCH(A15,$V$2:$V$78,0))="","",INDEX($Q$2:$Q$78,MATCH(A15,$V$2:$V$78,0)))</x:f>
        <x:v>79.05</x:v>
      </x:c>
      <x:c r="H15" s="78" t="n">
        <x:f>IF(INDEX($R$2:$R$78,MATCH(A15,$V$2:$V$78,0))="","",INDEX($R$2:$R$78,MATCH(A15,$V$2:$V$78,0)))</x:f>
        <x:v>1</x:v>
      </x:c>
      <x:c r="I15" s="66" t="str">
        <x:f>IF(INDEX($S$2:$S$78,MATCH(A15,$V$2:$V$78,0))="","",INDEX($S$2:$S$78,MATCH(A15,$V$2:$V$78,0)))</x:f>
        <x:v>本次公示未见相关记录</x:v>
      </x:c>
      <x:c r="J15" s="66" t="str">
        <x:f>IF(INDEX($T$2:$T$78,MATCH(A15,$V$2:$V$78,0))="","",INDEX($T$2:$T$78,MATCH(A15,$V$2:$V$78,0)))</x:f>
        <x:v>https://gs.amac.org.cn/amac-infodisc/res/pof/manager/2107201407107524.html</x:v>
      </x:c>
      <x:c r="K15" s="66" t="n">
        <x:f>IF(INDEX($U$2:$U$78,MATCH(A15,$V$2:$V$78,0))="","",INDEX($U$2:$U$78,MATCH(A15,$V$2:$V$78,0)))</x:f>
        <x:v>39</x:v>
      </x:c>
      <x:c r="L15" s="80" t="str">
        <x:v>银瓴运通稳健1号五期</x:v>
      </x:c>
      <x:c r="M15" s="80" t="str">
        <x:v>SNW762</x:v>
      </x:c>
      <x:c r="N15" s="80" t="str">
        <x:v>广西银瓴资产</x:v>
      </x:c>
      <x:c r="O15" s="80" t="str">
        <x:v>0-5亿元</x:v>
      </x:c>
      <x:c r="P15" s="81" t="str">
        <x:f>IF(ABS('sheet2-计算明细'!AQ47-1)&lt;0.00000001,'sheet2-计算明细'!AR47,"")</x:f>
      </x:c>
      <x:c r="Q15" s="81" t="n">
        <x:f>'sheet2-计算明细'!AS47</x:f>
        <x:v>42.71</x:v>
      </x:c>
      <x:c r="R15" s="82" t="n">
        <x:f>'sheet2-计算明细'!AQ47</x:f>
        <x:v>0.88</x:v>
      </x:c>
      <x:c r="S15" s="80" t="str">
        <x:v>本次公示未见相关记录</x:v>
      </x:c>
      <x:c r="T15" s="80" t="str">
        <x:v>https://gs.amac.org.cn/amac-infodisc/res/pof/manager/101000035485.html</x:v>
      </x:c>
      <x:c r="U15" s="80" t="n">
        <x:f>'sheet2-计算明细'!AT47</x:f>
        <x:v>165</x:v>
      </x:c>
      <x:c r="V15" s="80" t="n">
        <x:f>COUNTIF($U$2:$U$78,"&lt;"&amp;U15)+1</x:f>
        <x:v>59</x:v>
      </x:c>
    </x:row>
    <x:row r="16" ht="27" customHeight="1">
      <x:c r="A16" s="66" t="n">
        <x:v>15</x:v>
      </x:c>
      <x:c r="B16" s="66" t="str">
        <x:f>IF(INDEX($L$2:$L$78,MATCH(A16,$V$2:$V$78,0))="","",INDEX($L$2:$L$78,MATCH(A16,$V$2:$V$78,0)))</x:f>
        <x:v>钧誉酬勤量化3号</x:v>
      </x:c>
      <x:c r="C16" s="66" t="str">
        <x:f>IF(INDEX($M$2:$M$78,MATCH(A16,$V$2:$V$78,0))="","",INDEX($M$2:$M$78,MATCH(A16,$V$2:$V$78,0)))</x:f>
        <x:v>SVP121</x:v>
      </x:c>
      <x:c r="D16" s="66" t="str">
        <x:f>IF(INDEX($N$2:$N$78,MATCH(A16,$V$2:$V$78,0))="","",INDEX($N$2:$N$78,MATCH(A16,$V$2:$V$78,0)))</x:f>
        <x:v>珠海钧誉资管</x:v>
      </x:c>
      <x:c r="E16" s="66" t="str">
        <x:f>IF(INDEX($O$2:$O$78,MATCH(A16,$V$2:$V$78,0))="","",INDEX($O$2:$O$78,MATCH(A16,$V$2:$V$78,0)))</x:f>
        <x:v>0-5亿元</x:v>
      </x:c>
      <x:c r="F16" s="77" t="n">
        <x:f>IF(INDEX($P$2:$P$78,MATCH(A16,$V$2:$V$78,0))="","",INDEX($P$2:$P$78,MATCH(A16,$V$2:$V$78,0)))</x:f>
        <x:v>75.64252</x:v>
      </x:c>
      <x:c r="G16" s="77" t="n">
        <x:f>IF(INDEX($Q$2:$Q$78,MATCH(A16,$V$2:$V$78,0))="","",INDEX($Q$2:$Q$78,MATCH(A16,$V$2:$V$78,0)))</x:f>
        <x:v>75.64</x:v>
      </x:c>
      <x:c r="H16" s="78" t="n">
        <x:f>IF(INDEX($R$2:$R$78,MATCH(A16,$V$2:$V$78,0))="","",INDEX($R$2:$R$78,MATCH(A16,$V$2:$V$78,0)))</x:f>
        <x:v>1</x:v>
      </x:c>
      <x:c r="I16" s="66" t="str">
        <x:f>IF(INDEX($S$2:$S$78,MATCH(A16,$V$2:$V$78,0))="","",INDEX($S$2:$S$78,MATCH(A16,$V$2:$V$78,0)))</x:f>
        <x:v>本次公示未见相关记录</x:v>
      </x:c>
      <x:c r="J16" s="66" t="str">
        <x:f>IF(INDEX($T$2:$T$78,MATCH(A16,$V$2:$V$78,0))="","",INDEX($T$2:$T$78,MATCH(A16,$V$2:$V$78,0)))</x:f>
        <x:v>https://gs.amac.org.cn/amac-infodisc/res/pof/manager/1801241613109731.html</x:v>
      </x:c>
      <x:c r="K16" s="66" t="n">
        <x:f>IF(INDEX($U$2:$U$78,MATCH(A16,$V$2:$V$78,0))="","",INDEX($U$2:$U$78,MATCH(A16,$V$2:$V$78,0)))</x:f>
        <x:v>45</x:v>
      </x:c>
      <x:c r="L16" s="80" t="str">
        <x:v>银瓴多德价值投资1号</x:v>
      </x:c>
      <x:c r="M16" s="80" t="str">
        <x:v>SQV390</x:v>
      </x:c>
      <x:c r="N16" s="80" t="str">
        <x:v>广西银瓴资产</x:v>
      </x:c>
      <x:c r="O16" s="80" t="str">
        <x:v>0-5亿元</x:v>
      </x:c>
      <x:c r="P16" s="81" t="n">
        <x:f>IF(ABS('sheet2-计算明细'!AQ49-1)&lt;0.00000001,'sheet2-计算明细'!AR49,"")</x:f>
        <x:v>26.625659999999996</x:v>
      </x:c>
      <x:c r="Q16" s="81" t="n">
        <x:f>'sheet2-计算明细'!AS49</x:f>
        <x:v>26.63</x:v>
      </x:c>
      <x:c r="R16" s="82" t="n">
        <x:f>'sheet2-计算明细'!AQ49</x:f>
        <x:v>1</x:v>
      </x:c>
      <x:c r="S16" s="80" t="str">
        <x:v>本次公示未见相关记录</x:v>
      </x:c>
      <x:c r="T16" s="80" t="str">
        <x:v>https://gs.amac.org.cn/amac-infodisc/res/pof/manager/101000035485.html</x:v>
      </x:c>
      <x:c r="U16" s="80" t="n">
        <x:f>'sheet2-计算明细'!AT49</x:f>
        <x:v>199</x:v>
      </x:c>
      <x:c r="V16" s="80" t="n">
        <x:f>COUNTIF($U$2:$U$78,"&lt;"&amp;U16)+1</x:f>
        <x:v>75</x:v>
      </x:c>
    </x:row>
    <x:row r="17" ht="27" customHeight="1">
      <x:c r="A17" s="66" t="n">
        <x:v>16</x:v>
      </x:c>
      <x:c r="B17" s="66" t="str">
        <x:f>IF(INDEX($L$2:$L$78,MATCH(A17,$V$2:$V$78,0))="","",INDEX($L$2:$L$78,MATCH(A17,$V$2:$V$78,0)))</x:f>
        <x:v>佳泽信享5号A类</x:v>
      </x:c>
      <x:c r="C17" s="66" t="str">
        <x:f>IF(INDEX($M$2:$M$78,MATCH(A17,$V$2:$V$78,0))="","",INDEX($M$2:$M$78,MATCH(A17,$V$2:$V$78,0)))</x:f>
        <x:v>ZC395A</x:v>
      </x:c>
      <x:c r="D17" s="66" t="str">
        <x:f>IF(INDEX($N$2:$N$78,MATCH(A17,$V$2:$V$78,0))="","",INDEX($N$2:$N$78,MATCH(A17,$V$2:$V$78,0)))</x:f>
        <x:v>海南佳泽</x:v>
      </x:c>
      <x:c r="E17" s="66" t="str">
        <x:f>IF(INDEX($O$2:$O$78,MATCH(A17,$V$2:$V$78,0))="","",INDEX($O$2:$O$78,MATCH(A17,$V$2:$V$78,0)))</x:f>
        <x:v>0-5亿元</x:v>
      </x:c>
      <x:c r="F17" s="77" t="str">
        <x:f>IF(INDEX($P$2:$P$78,MATCH(A17,$V$2:$V$78,0))="","",INDEX($P$2:$P$78,MATCH(A17,$V$2:$V$78,0)))</x:f>
      </x:c>
      <x:c r="G17" s="77" t="n">
        <x:f>IF(INDEX($Q$2:$Q$78,MATCH(A17,$V$2:$V$78,0))="","",INDEX($Q$2:$Q$78,MATCH(A17,$V$2:$V$78,0)))</x:f>
        <x:v>75.41</x:v>
      </x:c>
      <x:c r="H17" s="78" t="n">
        <x:f>IF(INDEX($R$2:$R$78,MATCH(A17,$V$2:$V$78,0))="","",INDEX($R$2:$R$78,MATCH(A17,$V$2:$V$78,0)))</x:f>
        <x:v>0.9550000000000001</x:v>
      </x:c>
      <x:c r="I17" s="66" t="str">
        <x:f>IF(INDEX($S$2:$S$78,MATCH(A17,$V$2:$V$78,0))="","",INDEX($S$2:$S$78,MATCH(A17,$V$2:$V$78,0)))</x:f>
        <x:v>协会提示／报送异常</x:v>
      </x:c>
      <x:c r="J17" s="66" t="str">
        <x:f>IF(INDEX($T$2:$T$78,MATCH(A17,$V$2:$V$78,0))="","",INDEX($T$2:$T$78,MATCH(A17,$V$2:$V$78,0)))</x:f>
        <x:v>https://gs.amac.org.cn/amac-infodisc/res/pof/manager/2202171443109430.html</x:v>
      </x:c>
      <x:c r="K17" s="66" t="n">
        <x:f>IF(INDEX($U$2:$U$78,MATCH(A17,$V$2:$V$78,0))="","",INDEX($U$2:$U$78,MATCH(A17,$V$2:$V$78,0)))</x:f>
        <x:v>47</x:v>
      </x:c>
      <x:c r="L17" s="80" t="str">
        <x:v>银瓴运通对冲套利宝城6号</x:v>
      </x:c>
      <x:c r="M17" s="80" t="str">
        <x:v>SQU465</x:v>
      </x:c>
      <x:c r="N17" s="80" t="str">
        <x:v>广西银瓴资产</x:v>
      </x:c>
      <x:c r="O17" s="80" t="str">
        <x:v>0-5亿元</x:v>
      </x:c>
      <x:c r="P17" s="81" t="n">
        <x:f>IF(ABS('sheet2-计算明细'!AQ50-1)&lt;0.00000001,'sheet2-计算明细'!AR50,"")</x:f>
        <x:v>23.66402</x:v>
      </x:c>
      <x:c r="Q17" s="81" t="n">
        <x:f>'sheet2-计算明细'!AS50</x:f>
        <x:v>23.66</x:v>
      </x:c>
      <x:c r="R17" s="82" t="n">
        <x:f>'sheet2-计算明细'!AQ50</x:f>
        <x:v>1</x:v>
      </x:c>
      <x:c r="S17" s="80" t="str">
        <x:v>本次公示未见相关记录</x:v>
      </x:c>
      <x:c r="T17" s="80" t="str">
        <x:v>https://gs.amac.org.cn/amac-infodisc/res/pof/manager/101000035485.html</x:v>
      </x:c>
      <x:c r="U17" s="80" t="n">
        <x:f>'sheet2-计算明细'!AT50</x:f>
        <x:v>201</x:v>
      </x:c>
      <x:c r="V17" s="80" t="n">
        <x:f>COUNTIF($U$2:$U$78,"&lt;"&amp;U17)+1</x:f>
        <x:v>76</x:v>
      </x:c>
    </x:row>
    <x:row r="18" ht="27" customHeight="1">
      <x:c r="A18" s="66" t="n">
        <x:v>17</x:v>
      </x:c>
      <x:c r="B18" s="66" t="str">
        <x:f>IF(INDEX($L$2:$L$78,MATCH(A18,$V$2:$V$78,0))="","",INDEX($L$2:$L$78,MATCH(A18,$V$2:$V$78,0)))</x:f>
        <x:v>赢起隆华1期</x:v>
      </x:c>
      <x:c r="C18" s="66" t="str">
        <x:f>IF(INDEX($M$2:$M$78,MATCH(A18,$V$2:$V$78,0))="","",INDEX($M$2:$M$78,MATCH(A18,$V$2:$V$78,0)))</x:f>
        <x:v>SZC360</x:v>
      </x:c>
      <x:c r="D18" s="66" t="str">
        <x:f>IF(INDEX($N$2:$N$78,MATCH(A18,$V$2:$V$78,0))="","",INDEX($N$2:$N$78,MATCH(A18,$V$2:$V$78,0)))</x:f>
        <x:v>上海赢起</x:v>
      </x:c>
      <x:c r="E18" s="66" t="str">
        <x:f>IF(INDEX($O$2:$O$78,MATCH(A18,$V$2:$V$78,0))="","",INDEX($O$2:$O$78,MATCH(A18,$V$2:$V$78,0)))</x:f>
        <x:v>0-5亿元</x:v>
      </x:c>
      <x:c r="F18" s="77" t="n">
        <x:f>IF(INDEX($P$2:$P$78,MATCH(A18,$V$2:$V$78,0))="","",INDEX($P$2:$P$78,MATCH(A18,$V$2:$V$78,0)))</x:f>
        <x:v>73.25258</x:v>
      </x:c>
      <x:c r="G18" s="77" t="n">
        <x:f>IF(INDEX($Q$2:$Q$78,MATCH(A18,$V$2:$V$78,0))="","",INDEX($Q$2:$Q$78,MATCH(A18,$V$2:$V$78,0)))</x:f>
        <x:v>73.25</x:v>
      </x:c>
      <x:c r="H18" s="78" t="n">
        <x:f>IF(INDEX($R$2:$R$78,MATCH(A18,$V$2:$V$78,0))="","",INDEX($R$2:$R$78,MATCH(A18,$V$2:$V$78,0)))</x:f>
        <x:v>1</x:v>
      </x:c>
      <x:c r="I18" s="66" t="str">
        <x:f>IF(INDEX($S$2:$S$78,MATCH(A18,$V$2:$V$78,0))="","",INDEX($S$2:$S$78,MATCH(A18,$V$2:$V$78,0)))</x:f>
        <x:v>协会提示／报送异常</x:v>
      </x:c>
      <x:c r="J18" s="66" t="str">
        <x:f>IF(INDEX($T$2:$T$78,MATCH(A18,$V$2:$V$78,0))="","",INDEX($T$2:$T$78,MATCH(A18,$V$2:$V$78,0)))</x:f>
        <x:v>https://gs.amac.org.cn/amac-infodisc/res/pof/manager/1611081535100767.html</x:v>
      </x:c>
      <x:c r="K18" s="66" t="n">
        <x:f>IF(INDEX($U$2:$U$78,MATCH(A18,$V$2:$V$78,0))="","",INDEX($U$2:$U$78,MATCH(A18,$V$2:$V$78,0)))</x:f>
        <x:v>55</x:v>
      </x:c>
      <x:c r="L18" s="80" t="str">
        <x:v>银瓴运通对冲套利进取2号二期</x:v>
      </x:c>
      <x:c r="M18" s="80" t="str">
        <x:v>SQZ278</x:v>
      </x:c>
      <x:c r="N18" s="80" t="str">
        <x:v>广西银瓴资产</x:v>
      </x:c>
      <x:c r="O18" s="80" t="str">
        <x:v>0-5亿元</x:v>
      </x:c>
      <x:c r="P18" s="81" t="n">
        <x:f>IF(ABS('sheet2-计算明细'!AQ51-1)&lt;0.00000001,'sheet2-计算明细'!AR51,"")</x:f>
        <x:v>42.15737</x:v>
      </x:c>
      <x:c r="Q18" s="81" t="n">
        <x:f>'sheet2-计算明细'!AS51</x:f>
        <x:v>42.16</x:v>
      </x:c>
      <x:c r="R18" s="82" t="n">
        <x:f>'sheet2-计算明细'!AQ51</x:f>
        <x:v>1</x:v>
      </x:c>
      <x:c r="S18" s="80" t="str">
        <x:v>本次公示未见相关记录</x:v>
      </x:c>
      <x:c r="T18" s="80" t="str">
        <x:v>https://gs.amac.org.cn/amac-infodisc/res/pof/manager/101000035485.html</x:v>
      </x:c>
      <x:c r="U18" s="80" t="n">
        <x:f>'sheet2-计算明细'!AT51</x:f>
        <x:v>168</x:v>
      </x:c>
      <x:c r="V18" s="80" t="n">
        <x:f>COUNTIF($U$2:$U$78,"&lt;"&amp;U18)+1</x:f>
        <x:v>61</x:v>
      </x:c>
    </x:row>
    <x:row r="19" ht="27" customHeight="1">
      <x:c r="A19" s="66" t="n">
        <x:v>18</x:v>
      </x:c>
      <x:c r="B19" s="66" t="str">
        <x:f>IF(INDEX($L$2:$L$78,MATCH(A19,$V$2:$V$78,0))="","",INDEX($L$2:$L$78,MATCH(A19,$V$2:$V$78,0)))</x:f>
        <x:v>聚亿具臻</x:v>
      </x:c>
      <x:c r="C19" s="66" t="str">
        <x:f>IF(INDEX($M$2:$M$78,MATCH(A19,$V$2:$V$78,0))="","",INDEX($M$2:$M$78,MATCH(A19,$V$2:$V$78,0)))</x:f>
        <x:v>SLM995</x:v>
      </x:c>
      <x:c r="D19" s="66" t="str">
        <x:f>IF(INDEX($N$2:$N$78,MATCH(A19,$V$2:$V$78,0))="","",INDEX($N$2:$N$78,MATCH(A19,$V$2:$V$78,0)))</x:f>
        <x:v>珠海聚亿基金</x:v>
      </x:c>
      <x:c r="E19" s="66" t="str">
        <x:f>IF(INDEX($O$2:$O$78,MATCH(A19,$V$2:$V$78,0))="","",INDEX($O$2:$O$78,MATCH(A19,$V$2:$V$78,0)))</x:f>
        <x:v>0-5亿元</x:v>
      </x:c>
      <x:c r="F19" s="77" t="n">
        <x:f>IF(INDEX($P$2:$P$78,MATCH(A19,$V$2:$V$78,0))="","",INDEX($P$2:$P$78,MATCH(A19,$V$2:$V$78,0)))</x:f>
        <x:v>72.84582</x:v>
      </x:c>
      <x:c r="G19" s="77" t="n">
        <x:f>IF(INDEX($Q$2:$Q$78,MATCH(A19,$V$2:$V$78,0))="","",INDEX($Q$2:$Q$78,MATCH(A19,$V$2:$V$78,0)))</x:f>
        <x:v>72.85</x:v>
      </x:c>
      <x:c r="H19" s="78" t="n">
        <x:f>IF(INDEX($R$2:$R$78,MATCH(A19,$V$2:$V$78,0))="","",INDEX($R$2:$R$78,MATCH(A19,$V$2:$V$78,0)))</x:f>
        <x:v>1</x:v>
      </x:c>
      <x:c r="I19" s="66" t="str">
        <x:f>IF(INDEX($S$2:$S$78,MATCH(A19,$V$2:$V$78,0))="","",INDEX($S$2:$S$78,MATCH(A19,$V$2:$V$78,0)))</x:f>
        <x:v>本次公示未见相关记录</x:v>
      </x:c>
      <x:c r="J19" s="66" t="str">
        <x:f>IF(INDEX($T$2:$T$78,MATCH(A19,$V$2:$V$78,0))="","",INDEX($T$2:$T$78,MATCH(A19,$V$2:$V$78,0)))</x:f>
        <x:v>https://gs.amac.org.cn/amac-infodisc/res/pof/manager/1706231108101144.html</x:v>
      </x:c>
      <x:c r="K19" s="66" t="n">
        <x:f>IF(INDEX($U$2:$U$78,MATCH(A19,$V$2:$V$78,0))="","",INDEX($U$2:$U$78,MATCH(A19,$V$2:$V$78,0)))</x:f>
        <x:v>57</x:v>
      </x:c>
      <x:c r="L19" s="80" t="str">
        <x:v>福邑共赢一号</x:v>
      </x:c>
      <x:c r="M19" s="80" t="str">
        <x:v>SSB040</x:v>
      </x:c>
      <x:c r="N19" s="80" t="str">
        <x:v>上海福邑</x:v>
      </x:c>
      <x:c r="O19" s="80" t="str">
        <x:v>0-5亿元</x:v>
      </x:c>
      <x:c r="P19" s="81" t="str">
        <x:f>IF(ABS('sheet2-计算明细'!AQ52-1)&lt;0.00000001,'sheet2-计算明细'!AR52,"")</x:f>
      </x:c>
      <x:c r="Q19" s="81" t="n">
        <x:f>'sheet2-计算明细'!AS52</x:f>
        <x:v>49.58</x:v>
      </x:c>
      <x:c r="R19" s="82" t="n">
        <x:f>'sheet2-计算明细'!AQ52</x:f>
        <x:v>0.88</x:v>
      </x:c>
      <x:c r="S19" s="80" t="str">
        <x:v>协会提示／报送异常</x:v>
      </x:c>
      <x:c r="T19" s="80" t="str">
        <x:v>https://gs.amac.org.cn/amac-infodisc/res/pof/manager/1710271949105945.html</x:v>
      </x:c>
      <x:c r="U19" s="80" t="n">
        <x:f>'sheet2-计算明细'!AT52</x:f>
        <x:v>149</x:v>
      </x:c>
      <x:c r="V19" s="80" t="n">
        <x:f>COUNTIF($U$2:$U$78,"&lt;"&amp;U19)+1</x:f>
        <x:v>50</x:v>
      </x:c>
    </x:row>
    <x:row r="20" ht="27" customHeight="1">
      <x:c r="A20" s="66" t="n">
        <x:v>19</x:v>
      </x:c>
      <x:c r="B20" s="66" t="str">
        <x:f>IF(INDEX($L$2:$L$78,MATCH(A20,$V$2:$V$78,0))="","",INDEX($L$2:$L$78,MATCH(A20,$V$2:$V$78,0)))</x:f>
        <x:v>永泉奇点18号混合投资</x:v>
      </x:c>
      <x:c r="C20" s="66" t="str">
        <x:f>IF(INDEX($M$2:$M$78,MATCH(A20,$V$2:$V$78,0))="","",INDEX($M$2:$M$78,MATCH(A20,$V$2:$V$78,0)))</x:f>
        <x:v>SNK980</x:v>
      </x:c>
      <x:c r="D20" s="66" t="str">
        <x:f>IF(INDEX($N$2:$N$78,MATCH(A20,$V$2:$V$78,0))="","",INDEX($N$2:$N$78,MATCH(A20,$V$2:$V$78,0)))</x:f>
        <x:v>宁波永泉</x:v>
      </x:c>
      <x:c r="E20" s="66" t="str">
        <x:f>IF(INDEX($O$2:$O$78,MATCH(A20,$V$2:$V$78,0))="","",INDEX($O$2:$O$78,MATCH(A20,$V$2:$V$78,0)))</x:f>
        <x:v>0-5亿元</x:v>
      </x:c>
      <x:c r="F20" s="77" t="n">
        <x:f>IF(INDEX($P$2:$P$78,MATCH(A20,$V$2:$V$78,0))="","",INDEX($P$2:$P$78,MATCH(A20,$V$2:$V$78,0)))</x:f>
        <x:v>72.01092</x:v>
      </x:c>
      <x:c r="G20" s="77" t="n">
        <x:f>IF(INDEX($Q$2:$Q$78,MATCH(A20,$V$2:$V$78,0))="","",INDEX($Q$2:$Q$78,MATCH(A20,$V$2:$V$78,0)))</x:f>
        <x:v>72.01</x:v>
      </x:c>
      <x:c r="H20" s="78" t="n">
        <x:f>IF(INDEX($R$2:$R$78,MATCH(A20,$V$2:$V$78,0))="","",INDEX($R$2:$R$78,MATCH(A20,$V$2:$V$78,0)))</x:f>
        <x:v>1</x:v>
      </x:c>
      <x:c r="I20" s="66" t="str">
        <x:f>IF(INDEX($S$2:$S$78,MATCH(A20,$V$2:$V$78,0))="","",INDEX($S$2:$S$78,MATCH(A20,$V$2:$V$78,0)))</x:f>
        <x:v>协会提示／报送异常</x:v>
      </x:c>
      <x:c r="J20" s="66" t="str">
        <x:f>IF(INDEX($T$2:$T$78,MATCH(A20,$V$2:$V$78,0))="","",INDEX($T$2:$T$78,MATCH(A20,$V$2:$V$78,0)))</x:f>
        <x:v>https://gs.amac.org.cn/amac-infodisc/res/pof/manager/101000016974.html</x:v>
      </x:c>
      <x:c r="K20" s="66" t="n">
        <x:f>IF(INDEX($U$2:$U$78,MATCH(A20,$V$2:$V$78,0))="","",INDEX($U$2:$U$78,MATCH(A20,$V$2:$V$78,0)))</x:f>
        <x:v>62</x:v>
      </x:c>
      <x:c r="L20" s="80" t="str">
        <x:v>银瓴汇金6号</x:v>
      </x:c>
      <x:c r="M20" s="80" t="str">
        <x:v>SSN446</x:v>
      </x:c>
      <x:c r="N20" s="80" t="str">
        <x:v>广西银瓴资产</x:v>
      </x:c>
      <x:c r="O20" s="80" t="str">
        <x:v>0-5亿元</x:v>
      </x:c>
      <x:c r="P20" s="81" t="str">
        <x:f>IF(ABS('sheet2-计算明细'!AQ53-1)&lt;0.00000001,'sheet2-计算明细'!AR53,"")</x:f>
      </x:c>
      <x:c r="Q20" s="81" t="n">
        <x:f>'sheet2-计算明细'!AS53</x:f>
        <x:v>46.99</x:v>
      </x:c>
      <x:c r="R20" s="82" t="n">
        <x:f>'sheet2-计算明细'!AQ53</x:f>
        <x:v>0.88</x:v>
      </x:c>
      <x:c r="S20" s="80" t="str">
        <x:v>本次公示未见相关记录</x:v>
      </x:c>
      <x:c r="T20" s="80" t="str">
        <x:v>https://gs.amac.org.cn/amac-infodisc/res/pof/manager/101000035485.html</x:v>
      </x:c>
      <x:c r="U20" s="80" t="n">
        <x:f>'sheet2-计算明细'!AT53</x:f>
        <x:v>155</x:v>
      </x:c>
      <x:c r="V20" s="80" t="n">
        <x:f>COUNTIF($U$2:$U$78,"&lt;"&amp;U20)+1</x:f>
        <x:v>54</x:v>
      </x:c>
    </x:row>
    <x:row r="21" ht="27" customHeight="1">
      <x:c r="A21" s="66" t="n">
        <x:v>20</x:v>
      </x:c>
      <x:c r="B21" s="66" t="str">
        <x:f>IF(INDEX($L$2:$L$78,MATCH(A21,$V$2:$V$78,0))="","",INDEX($L$2:$L$78,MATCH(A21,$V$2:$V$78,0)))</x:f>
        <x:v>博弈树金选套利2号</x:v>
      </x:c>
      <x:c r="C21" s="66" t="str">
        <x:f>IF(INDEX($M$2:$M$78,MATCH(A21,$V$2:$V$78,0))="","",INDEX($M$2:$M$78,MATCH(A21,$V$2:$V$78,0)))</x:f>
        <x:v>SXR086</x:v>
      </x:c>
      <x:c r="D21" s="66" t="str">
        <x:f>IF(INDEX($N$2:$N$78,MATCH(A21,$V$2:$V$78,0))="","",INDEX($N$2:$N$78,MATCH(A21,$V$2:$V$78,0)))</x:f>
        <x:v>广东丰煜</x:v>
      </x:c>
      <x:c r="E21" s="66" t="str">
        <x:f>IF(INDEX($O$2:$O$78,MATCH(A21,$V$2:$V$78,0))="","",INDEX($O$2:$O$78,MATCH(A21,$V$2:$V$78,0)))</x:f>
        <x:v>0-5亿元</x:v>
      </x:c>
      <x:c r="F21" s="77" t="str">
        <x:f>IF(INDEX($P$2:$P$78,MATCH(A21,$V$2:$V$78,0))="","",INDEX($P$2:$P$78,MATCH(A21,$V$2:$V$78,0)))</x:f>
      </x:c>
      <x:c r="G21" s="77" t="n">
        <x:f>IF(INDEX($Q$2:$Q$78,MATCH(A21,$V$2:$V$78,0))="","",INDEX($Q$2:$Q$78,MATCH(A21,$V$2:$V$78,0)))</x:f>
        <x:v>71.97</x:v>
      </x:c>
      <x:c r="H21" s="78" t="n">
        <x:f>IF(INDEX($R$2:$R$78,MATCH(A21,$V$2:$V$78,0))="","",INDEX($R$2:$R$78,MATCH(A21,$V$2:$V$78,0)))</x:f>
        <x:v>0.88</x:v>
      </x:c>
      <x:c r="I21" s="66" t="str">
        <x:f>IF(INDEX($S$2:$S$78,MATCH(A21,$V$2:$V$78,0))="","",INDEX($S$2:$S$78,MATCH(A21,$V$2:$V$78,0)))</x:f>
        <x:v>本次公示未见相关记录</x:v>
      </x:c>
      <x:c r="J21" s="66" t="str">
        <x:f>IF(INDEX($T$2:$T$78,MATCH(A21,$V$2:$V$78,0))="","",INDEX($T$2:$T$78,MATCH(A21,$V$2:$V$78,0)))</x:f>
        <x:v>https://gs.amac.org.cn/amac-infodisc/res/pof/manager/101000015767.html</x:v>
      </x:c>
      <x:c r="K21" s="66" t="n">
        <x:f>IF(INDEX($U$2:$U$78,MATCH(A21,$V$2:$V$78,0))="","",INDEX($U$2:$U$78,MATCH(A21,$V$2:$V$78,0)))</x:f>
        <x:v>63</x:v>
      </x:c>
      <x:c r="L21" s="80" t="str">
        <x:v>岳皋泰山核心一号</x:v>
      </x:c>
      <x:c r="M21" s="80" t="str">
        <x:v>SSH674</x:v>
      </x:c>
      <x:c r="N21" s="80" t="str">
        <x:v>上海岳皋投资</x:v>
      </x:c>
      <x:c r="O21" s="80" t="str">
        <x:v>0-5亿元</x:v>
      </x:c>
      <x:c r="P21" s="81" t="n">
        <x:f>IF(ABS('sheet2-计算明细'!AQ54-1)&lt;0.00000001,'sheet2-计算明细'!AR54,"")</x:f>
        <x:v>48.849199999999996</x:v>
      </x:c>
      <x:c r="Q21" s="81" t="n">
        <x:f>'sheet2-计算明细'!AS54</x:f>
        <x:v>48.85</x:v>
      </x:c>
      <x:c r="R21" s="82" t="n">
        <x:f>'sheet2-计算明细'!AQ54</x:f>
        <x:v>1</x:v>
      </x:c>
      <x:c r="S21" s="80" t="str">
        <x:v>本次公示未见相关记录</x:v>
      </x:c>
      <x:c r="T21" s="80" t="str">
        <x:v>https://gs.amac.org.cn/amac-infodisc/res/pof/manager/1812180906104012.html</x:v>
      </x:c>
      <x:c r="U21" s="80" t="n">
        <x:f>'sheet2-计算明细'!AT54</x:f>
        <x:v>150</x:v>
      </x:c>
      <x:c r="V21" s="80" t="n">
        <x:f>COUNTIF($U$2:$U$78,"&lt;"&amp;U21)+1</x:f>
        <x:v>51</x:v>
      </x:c>
    </x:row>
    <x:row r="22" ht="27" customHeight="1">
      <x:c r="A22" s="66" t="n">
        <x:v>21</x:v>
      </x:c>
      <x:c r="B22" s="66" t="str">
        <x:f>IF(INDEX($L$2:$L$78,MATCH(A22,$V$2:$V$78,0))="","",INDEX($L$2:$L$78,MATCH(A22,$V$2:$V$78,0)))</x:f>
        <x:v>佳泽信享5号B类</x:v>
      </x:c>
      <x:c r="C22" s="66" t="str">
        <x:f>IF(INDEX($M$2:$M$78,MATCH(A22,$V$2:$V$78,0))="","",INDEX($M$2:$M$78,MATCH(A22,$V$2:$V$78,0)))</x:f>
        <x:v>ZC395B</x:v>
      </x:c>
      <x:c r="D22" s="66" t="str">
        <x:f>IF(INDEX($N$2:$N$78,MATCH(A22,$V$2:$V$78,0))="","",INDEX($N$2:$N$78,MATCH(A22,$V$2:$V$78,0)))</x:f>
        <x:v>海南佳泽</x:v>
      </x:c>
      <x:c r="E22" s="66" t="str">
        <x:f>IF(INDEX($O$2:$O$78,MATCH(A22,$V$2:$V$78,0))="","",INDEX($O$2:$O$78,MATCH(A22,$V$2:$V$78,0)))</x:f>
        <x:v>0-5亿元</x:v>
      </x:c>
      <x:c r="F22" s="77" t="str">
        <x:f>IF(INDEX($P$2:$P$78,MATCH(A22,$V$2:$V$78,0))="","",INDEX($P$2:$P$78,MATCH(A22,$V$2:$V$78,0)))</x:f>
      </x:c>
      <x:c r="G22" s="77" t="n">
        <x:f>IF(INDEX($Q$2:$Q$78,MATCH(A22,$V$2:$V$78,0))="","",INDEX($Q$2:$Q$78,MATCH(A22,$V$2:$V$78,0)))</x:f>
        <x:v>71.52</x:v>
      </x:c>
      <x:c r="H22" s="78" t="n">
        <x:f>IF(INDEX($R$2:$R$78,MATCH(A22,$V$2:$V$78,0))="","",INDEX($R$2:$R$78,MATCH(A22,$V$2:$V$78,0)))</x:f>
        <x:v>0.9550000000000001</x:v>
      </x:c>
      <x:c r="I22" s="66" t="str">
        <x:f>IF(INDEX($S$2:$S$78,MATCH(A22,$V$2:$V$78,0))="","",INDEX($S$2:$S$78,MATCH(A22,$V$2:$V$78,0)))</x:f>
        <x:v>协会提示／报送异常</x:v>
      </x:c>
      <x:c r="J22" s="66" t="str">
        <x:f>IF(INDEX($T$2:$T$78,MATCH(A22,$V$2:$V$78,0))="","",INDEX($T$2:$T$78,MATCH(A22,$V$2:$V$78,0)))</x:f>
        <x:v>https://gs.amac.org.cn/amac-infodisc/res/pof/manager/2202171443109430.html</x:v>
      </x:c>
      <x:c r="K22" s="66" t="n">
        <x:f>IF(INDEX($U$2:$U$78,MATCH(A22,$V$2:$V$78,0))="","",INDEX($U$2:$U$78,MATCH(A22,$V$2:$V$78,0)))</x:f>
        <x:v>64</x:v>
      </x:c>
      <x:c r="L22" s="80" t="str">
        <x:v>中安鼎盛善行可转债1号</x:v>
      </x:c>
      <x:c r="M22" s="80" t="str">
        <x:v>STH005</x:v>
      </x:c>
      <x:c r="N22" s="80" t="str">
        <x:v>深圳中安鼎盛</x:v>
      </x:c>
      <x:c r="O22" s="80" t="str">
        <x:v>0-5亿元</x:v>
      </x:c>
      <x:c r="P22" s="81" t="n">
        <x:f>IF(ABS('sheet2-计算明细'!AQ57-1)&lt;0.00000001,'sheet2-计算明细'!AR57,"")</x:f>
        <x:v>36.15006</x:v>
      </x:c>
      <x:c r="Q22" s="81" t="n">
        <x:f>'sheet2-计算明细'!AS57</x:f>
        <x:v>36.15</x:v>
      </x:c>
      <x:c r="R22" s="82" t="n">
        <x:f>'sheet2-计算明细'!AQ57</x:f>
        <x:v>1</x:v>
      </x:c>
      <x:c r="S22" s="80" t="str">
        <x:v>本次公示未见相关记录</x:v>
      </x:c>
      <x:c r="T22" s="80" t="str">
        <x:v>https://gs.amac.org.cn/amac-infodisc/res/pof/manager/1807021606107284.html</x:v>
      </x:c>
      <x:c r="U22" s="80" t="n">
        <x:f>'sheet2-计算明细'!AT57</x:f>
        <x:v>179</x:v>
      </x:c>
      <x:c r="V22" s="80" t="n">
        <x:f>COUNTIF($U$2:$U$78,"&lt;"&amp;U22)+1</x:f>
        <x:v>64</x:v>
      </x:c>
    </x:row>
    <x:row r="23" ht="27" customHeight="1">
      <x:c r="A23" s="66" t="n">
        <x:v>22</x:v>
      </x:c>
      <x:c r="B23" s="66" t="str">
        <x:f>IF(INDEX($L$2:$L$78,MATCH(A23,$V$2:$V$78,0))="","",INDEX($L$2:$L$78,MATCH(A23,$V$2:$V$78,0)))</x:f>
        <x:v>东方富银宏观量化1号</x:v>
      </x:c>
      <x:c r="C23" s="66" t="str">
        <x:f>IF(INDEX($M$2:$M$78,MATCH(A23,$V$2:$V$78,0))="","",INDEX($M$2:$M$78,MATCH(A23,$V$2:$V$78,0)))</x:f>
        <x:v>SXA890</x:v>
      </x:c>
      <x:c r="D23" s="66" t="str">
        <x:f>IF(INDEX($N$2:$N$78,MATCH(A23,$V$2:$V$78,0))="","",INDEX($N$2:$N$78,MATCH(A23,$V$2:$V$78,0)))</x:f>
        <x:v>深圳东方富银投资</x:v>
      </x:c>
      <x:c r="E23" s="66" t="str">
        <x:f>IF(INDEX($O$2:$O$78,MATCH(A23,$V$2:$V$78,0))="","",INDEX($O$2:$O$78,MATCH(A23,$V$2:$V$78,0)))</x:f>
        <x:v>0-5亿元</x:v>
      </x:c>
      <x:c r="F23" s="77" t="n">
        <x:f>IF(INDEX($P$2:$P$78,MATCH(A23,$V$2:$V$78,0))="","",INDEX($P$2:$P$78,MATCH(A23,$V$2:$V$78,0)))</x:f>
        <x:v>71.24703</x:v>
      </x:c>
      <x:c r="G23" s="77" t="n">
        <x:f>IF(INDEX($Q$2:$Q$78,MATCH(A23,$V$2:$V$78,0))="","",INDEX($Q$2:$Q$78,MATCH(A23,$V$2:$V$78,0)))</x:f>
        <x:v>71.25</x:v>
      </x:c>
      <x:c r="H23" s="78" t="n">
        <x:f>IF(INDEX($R$2:$R$78,MATCH(A23,$V$2:$V$78,0))="","",INDEX($R$2:$R$78,MATCH(A23,$V$2:$V$78,0)))</x:f>
        <x:v>1</x:v>
      </x:c>
      <x:c r="I23" s="66" t="str">
        <x:f>IF(INDEX($S$2:$S$78,MATCH(A23,$V$2:$V$78,0))="","",INDEX($S$2:$S$78,MATCH(A23,$V$2:$V$78,0)))</x:f>
        <x:v>本次公示未见相关记录</x:v>
      </x:c>
      <x:c r="J23" s="66" t="str">
        <x:f>IF(INDEX($T$2:$T$78,MATCH(A23,$V$2:$V$78,0))="","",INDEX($T$2:$T$78,MATCH(A23,$V$2:$V$78,0)))</x:f>
        <x:v>https://gs.amac.org.cn/amac-infodisc/res/pof/manager/1803121751101388.html</x:v>
      </x:c>
      <x:c r="K23" s="66" t="n">
        <x:f>IF(INDEX($U$2:$U$78,MATCH(A23,$V$2:$V$78,0))="","",INDEX($U$2:$U$78,MATCH(A23,$V$2:$V$78,0)))</x:f>
        <x:v>65</x:v>
      </x:c>
      <x:c r="L23" s="80" t="str">
        <x:v>银杏善投1号</x:v>
      </x:c>
      <x:c r="M23" s="80" t="str">
        <x:v>STK219</x:v>
      </x:c>
      <x:c r="N23" s="80" t="str">
        <x:v>上海银杏</x:v>
      </x:c>
      <x:c r="O23" s="80" t="str">
        <x:v>0-5亿元</x:v>
      </x:c>
      <x:c r="P23" s="81" t="str">
        <x:f>IF(ABS('sheet2-计算明细'!AQ60-1)&lt;0.00000001,'sheet2-计算明细'!AR60,"")</x:f>
      </x:c>
      <x:c r="Q23" s="81" t="n">
        <x:f>'sheet2-计算明细'!AS60</x:f>
        <x:v>40.07</x:v>
      </x:c>
      <x:c r="R23" s="82" t="n">
        <x:f>'sheet2-计算明细'!AQ60</x:f>
        <x:v>0.88</x:v>
      </x:c>
      <x:c r="S23" s="80" t="str">
        <x:v>本次公示未见相关记录</x:v>
      </x:c>
      <x:c r="T23" s="80" t="str">
        <x:v>https://gs.amac.org.cn/amac-infodisc/res/pof/manager/2105100905108445.html</x:v>
      </x:c>
      <x:c r="U23" s="80" t="n">
        <x:f>'sheet2-计算明细'!AT60</x:f>
        <x:v>175</x:v>
      </x:c>
      <x:c r="V23" s="80" t="n">
        <x:f>COUNTIF($U$2:$U$78,"&lt;"&amp;U23)+1</x:f>
        <x:v>63</x:v>
      </x:c>
    </x:row>
    <x:row r="24" ht="27" customHeight="1">
      <x:c r="A24" s="66" t="n">
        <x:v>23</x:v>
      </x:c>
      <x:c r="B24" s="66" t="str">
        <x:f>IF(INDEX($L$2:$L$78,MATCH(A24,$V$2:$V$78,0))="","",INDEX($L$2:$L$78,MATCH(A24,$V$2:$V$78,0)))</x:f>
        <x:v>银杏善利3号</x:v>
      </x:c>
      <x:c r="C24" s="66" t="str">
        <x:f>IF(INDEX($M$2:$M$78,MATCH(A24,$V$2:$V$78,0))="","",INDEX($M$2:$M$78,MATCH(A24,$V$2:$V$78,0)))</x:f>
        <x:v>SXN943</x:v>
      </x:c>
      <x:c r="D24" s="66" t="str">
        <x:f>IF(INDEX($N$2:$N$78,MATCH(A24,$V$2:$V$78,0))="","",INDEX($N$2:$N$78,MATCH(A24,$V$2:$V$78,0)))</x:f>
        <x:v>上海银杏</x:v>
      </x:c>
      <x:c r="E24" s="66" t="str">
        <x:f>IF(INDEX($O$2:$O$78,MATCH(A24,$V$2:$V$78,0))="","",INDEX($O$2:$O$78,MATCH(A24,$V$2:$V$78,0)))</x:f>
        <x:v>0-5亿元</x:v>
      </x:c>
      <x:c r="F24" s="77" t="n">
        <x:f>IF(INDEX($P$2:$P$78,MATCH(A24,$V$2:$V$78,0))="","",INDEX($P$2:$P$78,MATCH(A24,$V$2:$V$78,0)))</x:f>
        <x:v>70.87735</x:v>
      </x:c>
      <x:c r="G24" s="77" t="n">
        <x:f>IF(INDEX($Q$2:$Q$78,MATCH(A24,$V$2:$V$78,0))="","",INDEX($Q$2:$Q$78,MATCH(A24,$V$2:$V$78,0)))</x:f>
        <x:v>70.88</x:v>
      </x:c>
      <x:c r="H24" s="78" t="n">
        <x:f>IF(INDEX($R$2:$R$78,MATCH(A24,$V$2:$V$78,0))="","",INDEX($R$2:$R$78,MATCH(A24,$V$2:$V$78,0)))</x:f>
        <x:v>1</x:v>
      </x:c>
      <x:c r="I24" s="66" t="str">
        <x:f>IF(INDEX($S$2:$S$78,MATCH(A24,$V$2:$V$78,0))="","",INDEX($S$2:$S$78,MATCH(A24,$V$2:$V$78,0)))</x:f>
        <x:v>本次公示未见相关记录</x:v>
      </x:c>
      <x:c r="J24" s="66" t="str">
        <x:f>IF(INDEX($T$2:$T$78,MATCH(A24,$V$2:$V$78,0))="","",INDEX($T$2:$T$78,MATCH(A24,$V$2:$V$78,0)))</x:f>
        <x:v>https://gs.amac.org.cn/amac-infodisc/res/pof/manager/2105100905108445.html</x:v>
      </x:c>
      <x:c r="K24" s="66" t="n">
        <x:f>IF(INDEX($U$2:$U$78,MATCH(A24,$V$2:$V$78,0))="","",INDEX($U$2:$U$78,MATCH(A24,$V$2:$V$78,0)))</x:f>
        <x:v>68</x:v>
      </x:c>
      <x:c r="L24" s="80" t="str">
        <x:v>钧誉酬勤量化3号</x:v>
      </x:c>
      <x:c r="M24" s="80" t="str">
        <x:v>SVP121</x:v>
      </x:c>
      <x:c r="N24" s="80" t="str">
        <x:v>珠海钧誉资管</x:v>
      </x:c>
      <x:c r="O24" s="80" t="str">
        <x:v>0-5亿元</x:v>
      </x:c>
      <x:c r="P24" s="81" t="n">
        <x:f>IF(ABS('sheet2-计算明细'!AQ63-1)&lt;0.00000001,'sheet2-计算明细'!AR63,"")</x:f>
        <x:v>75.64252</x:v>
      </x:c>
      <x:c r="Q24" s="81" t="n">
        <x:f>'sheet2-计算明细'!AS63</x:f>
        <x:v>75.64</x:v>
      </x:c>
      <x:c r="R24" s="82" t="n">
        <x:f>'sheet2-计算明细'!AQ63</x:f>
        <x:v>1</x:v>
      </x:c>
      <x:c r="S24" s="80" t="str">
        <x:v>本次公示未见相关记录</x:v>
      </x:c>
      <x:c r="T24" s="80" t="str">
        <x:v>https://gs.amac.org.cn/amac-infodisc/res/pof/manager/1801241613109731.html</x:v>
      </x:c>
      <x:c r="U24" s="80" t="n">
        <x:f>'sheet2-计算明细'!AT63</x:f>
        <x:v>45</x:v>
      </x:c>
      <x:c r="V24" s="80" t="n">
        <x:f>COUNTIF($U$2:$U$78,"&lt;"&amp;U24)+1</x:f>
        <x:v>15</x:v>
      </x:c>
    </x:row>
    <x:row r="25" ht="27" customHeight="1">
      <x:c r="A25" s="66" t="n">
        <x:v>24</x:v>
      </x:c>
      <x:c r="B25" s="66" t="str">
        <x:f>IF(INDEX($L$2:$L$78,MATCH(A25,$V$2:$V$78,0))="","",INDEX($L$2:$L$78,MATCH(A25,$V$2:$V$78,0)))</x:f>
        <x:v>佳泽信享5号</x:v>
      </x:c>
      <x:c r="C25" s="66" t="str">
        <x:f>IF(INDEX($M$2:$M$78,MATCH(A25,$V$2:$V$78,0))="","",INDEX($M$2:$M$78,MATCH(A25,$V$2:$V$78,0)))</x:f>
        <x:v>SZC395</x:v>
      </x:c>
      <x:c r="D25" s="66" t="str">
        <x:f>IF(INDEX($N$2:$N$78,MATCH(A25,$V$2:$V$78,0))="","",INDEX($N$2:$N$78,MATCH(A25,$V$2:$V$78,0)))</x:f>
        <x:v>海南佳泽</x:v>
      </x:c>
      <x:c r="E25" s="66" t="str">
        <x:f>IF(INDEX($O$2:$O$78,MATCH(A25,$V$2:$V$78,0))="","",INDEX($O$2:$O$78,MATCH(A25,$V$2:$V$78,0)))</x:f>
        <x:v>0-5亿元</x:v>
      </x:c>
      <x:c r="F25" s="77" t="n">
        <x:f>IF(INDEX($P$2:$P$78,MATCH(A25,$V$2:$V$78,0))="","",INDEX($P$2:$P$78,MATCH(A25,$V$2:$V$78,0)))</x:f>
        <x:v>70.17005</x:v>
      </x:c>
      <x:c r="G25" s="77" t="n">
        <x:f>IF(INDEX($Q$2:$Q$78,MATCH(A25,$V$2:$V$78,0))="","",INDEX($Q$2:$Q$78,MATCH(A25,$V$2:$V$78,0)))</x:f>
        <x:v>70.17</x:v>
      </x:c>
      <x:c r="H25" s="78" t="n">
        <x:f>IF(INDEX($R$2:$R$78,MATCH(A25,$V$2:$V$78,0))="","",INDEX($R$2:$R$78,MATCH(A25,$V$2:$V$78,0)))</x:f>
        <x:v>1</x:v>
      </x:c>
      <x:c r="I25" s="66" t="str">
        <x:f>IF(INDEX($S$2:$S$78,MATCH(A25,$V$2:$V$78,0))="","",INDEX($S$2:$S$78,MATCH(A25,$V$2:$V$78,0)))</x:f>
        <x:v>协会提示／报送异常</x:v>
      </x:c>
      <x:c r="J25" s="66" t="str">
        <x:f>IF(INDEX($T$2:$T$78,MATCH(A25,$V$2:$V$78,0))="","",INDEX($T$2:$T$78,MATCH(A25,$V$2:$V$78,0)))</x:f>
        <x:v>https://gs.amac.org.cn/amac-infodisc/res/pof/manager/2202171443109430.html</x:v>
      </x:c>
      <x:c r="K25" s="66" t="n">
        <x:f>IF(INDEX($U$2:$U$78,MATCH(A25,$V$2:$V$78,0))="","",INDEX($U$2:$U$78,MATCH(A25,$V$2:$V$78,0)))</x:f>
        <x:v>71</x:v>
      </x:c>
      <x:c r="L25" s="80" t="str">
        <x:v>融相慎远一号</x:v>
      </x:c>
      <x:c r="M25" s="80" t="str">
        <x:v>SVK536</x:v>
      </x:c>
      <x:c r="N25" s="80" t="str">
        <x:v>海南融相</x:v>
      </x:c>
      <x:c r="O25" s="80" t="str">
        <x:v>0-5亿元</x:v>
      </x:c>
      <x:c r="P25" s="81" t="n">
        <x:f>IF(ABS('sheet2-计算明细'!AQ65-1)&lt;0.00000001,'sheet2-计算明细'!AR65,"")</x:f>
        <x:v>47.47969</x:v>
      </x:c>
      <x:c r="Q25" s="81" t="n">
        <x:f>'sheet2-计算明细'!AS65</x:f>
        <x:v>47.48</x:v>
      </x:c>
      <x:c r="R25" s="82" t="n">
        <x:f>'sheet2-计算明细'!AQ65</x:f>
        <x:v>1</x:v>
      </x:c>
      <x:c r="S25" s="80" t="str">
        <x:v>协会提示／报送异常</x:v>
      </x:c>
      <x:c r="T25" s="80" t="str">
        <x:v>https://gs.amac.org.cn/amac-infodisc/res/pof/manager/2111241451102645.html</x:v>
      </x:c>
      <x:c r="U25" s="80" t="n">
        <x:f>'sheet2-计算明细'!AT65</x:f>
        <x:v>152</x:v>
      </x:c>
      <x:c r="V25" s="80" t="n">
        <x:f>COUNTIF($U$2:$U$78,"&lt;"&amp;U25)+1</x:f>
        <x:v>52</x:v>
      </x:c>
    </x:row>
    <x:row r="26" ht="27" customHeight="1">
      <x:c r="A26" s="66" t="n">
        <x:v>25</x:v>
      </x:c>
      <x:c r="B26" s="66" t="str">
        <x:f>IF(INDEX($L$2:$L$78,MATCH(A26,$V$2:$V$78,0))="","",INDEX($L$2:$L$78,MATCH(A26,$V$2:$V$78,0)))</x:f>
        <x:v>杉阳云杉混合1号</x:v>
      </x:c>
      <x:c r="C26" s="66" t="str">
        <x:f>IF(INDEX($M$2:$M$78,MATCH(A26,$V$2:$V$78,0))="","",INDEX($M$2:$M$78,MATCH(A26,$V$2:$V$78,0)))</x:f>
        <x:v>SLA063</x:v>
      </x:c>
      <x:c r="D26" s="66" t="str">
        <x:f>IF(INDEX($N$2:$N$78,MATCH(A26,$V$2:$V$78,0))="","",INDEX($N$2:$N$78,MATCH(A26,$V$2:$V$78,0)))</x:f>
        <x:v>上海杉阳</x:v>
      </x:c>
      <x:c r="E26" s="66" t="str">
        <x:f>IF(INDEX($O$2:$O$78,MATCH(A26,$V$2:$V$78,0))="","",INDEX($O$2:$O$78,MATCH(A26,$V$2:$V$78,0)))</x:f>
        <x:v>0-5亿元</x:v>
      </x:c>
      <x:c r="F26" s="77" t="n">
        <x:f>IF(INDEX($P$2:$P$78,MATCH(A26,$V$2:$V$78,0))="","",INDEX($P$2:$P$78,MATCH(A26,$V$2:$V$78,0)))</x:f>
        <x:v>69.78607</x:v>
      </x:c>
      <x:c r="G26" s="77" t="n">
        <x:f>IF(INDEX($Q$2:$Q$78,MATCH(A26,$V$2:$V$78,0))="","",INDEX($Q$2:$Q$78,MATCH(A26,$V$2:$V$78,0)))</x:f>
        <x:v>69.79</x:v>
      </x:c>
      <x:c r="H26" s="78" t="n">
        <x:f>IF(INDEX($R$2:$R$78,MATCH(A26,$V$2:$V$78,0))="","",INDEX($R$2:$R$78,MATCH(A26,$V$2:$V$78,0)))</x:f>
        <x:v>1</x:v>
      </x:c>
      <x:c r="I26" s="66" t="str">
        <x:f>IF(INDEX($S$2:$S$78,MATCH(A26,$V$2:$V$78,0))="","",INDEX($S$2:$S$78,MATCH(A26,$V$2:$V$78,0)))</x:f>
        <x:v>本次公示未见相关记录</x:v>
      </x:c>
      <x:c r="J26" s="66" t="str">
        <x:f>IF(INDEX($T$2:$T$78,MATCH(A26,$V$2:$V$78,0))="","",INDEX($T$2:$T$78,MATCH(A26,$V$2:$V$78,0)))</x:f>
        <x:v>https://gs.amac.org.cn/amac-infodisc/res/pof/manager/2001061547104837.html</x:v>
      </x:c>
      <x:c r="K26" s="66" t="n">
        <x:f>IF(INDEX($U$2:$U$78,MATCH(A26,$V$2:$V$78,0))="","",INDEX($U$2:$U$78,MATCH(A26,$V$2:$V$78,0)))</x:f>
        <x:v>73</x:v>
      </x:c>
      <x:c r="L26" s="80" t="str">
        <x:v>银瓴运通致远3号五期</x:v>
      </x:c>
      <x:c r="M26" s="80" t="str">
        <x:v>SXF666</x:v>
      </x:c>
      <x:c r="N26" s="80" t="str">
        <x:v>广西银瓴资产</x:v>
      </x:c>
      <x:c r="O26" s="80" t="str">
        <x:v>0-5亿元</x:v>
      </x:c>
      <x:c r="P26" s="81" t="n">
        <x:f>IF(ABS('sheet2-计算明细'!AQ69-1)&lt;0.00000001,'sheet2-计算明细'!AR69,"")</x:f>
        <x:v>35.17784</x:v>
      </x:c>
      <x:c r="Q26" s="81" t="n">
        <x:f>'sheet2-计算明细'!AS69</x:f>
        <x:v>35.18</x:v>
      </x:c>
      <x:c r="R26" s="82" t="n">
        <x:f>'sheet2-计算明细'!AQ69</x:f>
        <x:v>1</x:v>
      </x:c>
      <x:c r="S26" s="80" t="str">
        <x:v>本次公示未见相关记录</x:v>
      </x:c>
      <x:c r="T26" s="80" t="str">
        <x:v>https://gs.amac.org.cn/amac-infodisc/res/pof/manager/101000035485.html</x:v>
      </x:c>
      <x:c r="U26" s="80" t="n">
        <x:f>'sheet2-计算明细'!AT69</x:f>
        <x:v>185</x:v>
      </x:c>
      <x:c r="V26" s="80" t="n">
        <x:f>COUNTIF($U$2:$U$78,"&lt;"&amp;U26)+1</x:f>
        <x:v>66</x:v>
      </x:c>
    </x:row>
    <x:row r="27" ht="27" customHeight="1">
      <x:c r="A27" s="66" t="n">
        <x:v>26</x:v>
      </x:c>
      <x:c r="B27" s="66" t="str">
        <x:f>IF(INDEX($L$2:$L$78,MATCH(A27,$V$2:$V$78,0))="","",INDEX($L$2:$L$78,MATCH(A27,$V$2:$V$78,0)))</x:f>
        <x:v>鸿儒灵活配置2期</x:v>
      </x:c>
      <x:c r="C27" s="66" t="str">
        <x:f>IF(INDEX($M$2:$M$78,MATCH(A27,$V$2:$V$78,0))="","",INDEX($M$2:$M$78,MATCH(A27,$V$2:$V$78,0)))</x:f>
        <x:v>SB5918</x:v>
      </x:c>
      <x:c r="D27" s="66" t="str">
        <x:f>IF(INDEX($N$2:$N$78,MATCH(A27,$V$2:$V$78,0))="","",INDEX($N$2:$N$78,MATCH(A27,$V$2:$V$78,0)))</x:f>
        <x:v>上海鸿儒投资</x:v>
      </x:c>
      <x:c r="E27" s="66" t="str">
        <x:f>IF(INDEX($O$2:$O$78,MATCH(A27,$V$2:$V$78,0))="","",INDEX($O$2:$O$78,MATCH(A27,$V$2:$V$78,0)))</x:f>
        <x:v>0-5亿元</x:v>
      </x:c>
      <x:c r="F27" s="77" t="n">
        <x:f>IF(INDEX($P$2:$P$78,MATCH(A27,$V$2:$V$78,0))="","",INDEX($P$2:$P$78,MATCH(A27,$V$2:$V$78,0)))</x:f>
        <x:v>68.59398999999999</x:v>
      </x:c>
      <x:c r="G27" s="77" t="n">
        <x:f>IF(INDEX($Q$2:$Q$78,MATCH(A27,$V$2:$V$78,0))="","",INDEX($Q$2:$Q$78,MATCH(A27,$V$2:$V$78,0)))</x:f>
        <x:v>68.59</x:v>
      </x:c>
      <x:c r="H27" s="78" t="n">
        <x:f>IF(INDEX($R$2:$R$78,MATCH(A27,$V$2:$V$78,0))="","",INDEX($R$2:$R$78,MATCH(A27,$V$2:$V$78,0)))</x:f>
        <x:v>1</x:v>
      </x:c>
      <x:c r="I27" s="66" t="str">
        <x:f>IF(INDEX($S$2:$S$78,MATCH(A27,$V$2:$V$78,0))="","",INDEX($S$2:$S$78,MATCH(A27,$V$2:$V$78,0)))</x:f>
        <x:v>协会提示／报送异常</x:v>
      </x:c>
      <x:c r="J27" s="66" t="str">
        <x:f>IF(INDEX($T$2:$T$78,MATCH(A27,$V$2:$V$78,0))="","",INDEX($T$2:$T$78,MATCH(A27,$V$2:$V$78,0)))</x:f>
        <x:v>https://gs.amac.org.cn/amac-infodisc/res/pof/manager/1912121722101881.html</x:v>
      </x:c>
      <x:c r="K27" s="66" t="n">
        <x:f>IF(INDEX($U$2:$U$78,MATCH(A27,$V$2:$V$78,0))="","",INDEX($U$2:$U$78,MATCH(A27,$V$2:$V$78,0)))</x:f>
        <x:v>79</x:v>
      </x:c>
      <x:c r="L27" s="80" t="str">
        <x:v>银杏善利3号</x:v>
      </x:c>
      <x:c r="M27" s="80" t="str">
        <x:v>SXN943</x:v>
      </x:c>
      <x:c r="N27" s="80" t="str">
        <x:v>上海银杏</x:v>
      </x:c>
      <x:c r="O27" s="80" t="str">
        <x:v>0-5亿元</x:v>
      </x:c>
      <x:c r="P27" s="81" t="n">
        <x:f>IF(ABS('sheet2-计算明细'!AQ72-1)&lt;0.00000001,'sheet2-计算明细'!AR72,"")</x:f>
        <x:v>70.87735</x:v>
      </x:c>
      <x:c r="Q27" s="81" t="n">
        <x:f>'sheet2-计算明细'!AS72</x:f>
        <x:v>70.88</x:v>
      </x:c>
      <x:c r="R27" s="82" t="n">
        <x:f>'sheet2-计算明细'!AQ72</x:f>
        <x:v>1</x:v>
      </x:c>
      <x:c r="S27" s="80" t="str">
        <x:v>本次公示未见相关记录</x:v>
      </x:c>
      <x:c r="T27" s="80" t="str">
        <x:v>https://gs.amac.org.cn/amac-infodisc/res/pof/manager/2105100905108445.html</x:v>
      </x:c>
      <x:c r="U27" s="80" t="n">
        <x:f>'sheet2-计算明细'!AT72</x:f>
        <x:v>68</x:v>
      </x:c>
      <x:c r="V27" s="80" t="n">
        <x:f>COUNTIF($U$2:$U$78,"&lt;"&amp;U27)+1</x:f>
        <x:v>23</x:v>
      </x:c>
    </x:row>
    <x:row r="28" ht="27" customHeight="1">
      <x:c r="A28" s="66" t="n">
        <x:v>27</x:v>
      </x:c>
      <x:c r="B28" s="66" t="str">
        <x:f>IF(INDEX($L$2:$L$78,MATCH(A28,$V$2:$V$78,0))="","",INDEX($L$2:$L$78,MATCH(A28,$V$2:$V$78,0)))</x:f>
        <x:v>溋沣鸿运来星选1号</x:v>
      </x:c>
      <x:c r="C28" s="66" t="str">
        <x:f>IF(INDEX($M$2:$M$78,MATCH(A28,$V$2:$V$78,0))="","",INDEX($M$2:$M$78,MATCH(A28,$V$2:$V$78,0)))</x:f>
        <x:v>S09408</x:v>
      </x:c>
      <x:c r="D28" s="66" t="str">
        <x:f>IF(INDEX($N$2:$N$78,MATCH(A28,$V$2:$V$78,0))="","",INDEX($N$2:$N$78,MATCH(A28,$V$2:$V$78,0)))</x:f>
        <x:v>深圳前海溋沣资管</x:v>
      </x:c>
      <x:c r="E28" s="66" t="str">
        <x:f>IF(INDEX($O$2:$O$78,MATCH(A28,$V$2:$V$78,0))="","",INDEX($O$2:$O$78,MATCH(A28,$V$2:$V$78,0)))</x:f>
        <x:v>0-5亿元</x:v>
      </x:c>
      <x:c r="F28" s="77" t="n">
        <x:f>IF(INDEX($P$2:$P$78,MATCH(A28,$V$2:$V$78,0))="","",INDEX($P$2:$P$78,MATCH(A28,$V$2:$V$78,0)))</x:f>
        <x:v>66.90116</x:v>
      </x:c>
      <x:c r="G28" s="77" t="n">
        <x:f>IF(INDEX($Q$2:$Q$78,MATCH(A28,$V$2:$V$78,0))="","",INDEX($Q$2:$Q$78,MATCH(A28,$V$2:$V$78,0)))</x:f>
        <x:v>66.9</x:v>
      </x:c>
      <x:c r="H28" s="78" t="n">
        <x:f>IF(INDEX($R$2:$R$78,MATCH(A28,$V$2:$V$78,0))="","",INDEX($R$2:$R$78,MATCH(A28,$V$2:$V$78,0)))</x:f>
        <x:v>1</x:v>
      </x:c>
      <x:c r="I28" s="66" t="str">
        <x:f>IF(INDEX($S$2:$S$78,MATCH(A28,$V$2:$V$78,0))="","",INDEX($S$2:$S$78,MATCH(A28,$V$2:$V$78,0)))</x:f>
        <x:v>本次公示未见相关记录</x:v>
      </x:c>
      <x:c r="J28" s="66" t="str">
        <x:f>IF(INDEX($T$2:$T$78,MATCH(A28,$V$2:$V$78,0))="","",INDEX($T$2:$T$78,MATCH(A28,$V$2:$V$78,0)))</x:f>
        <x:v>https://gs.amac.org.cn/amac-infodisc/res/pof/manager/1610131040102006.html</x:v>
      </x:c>
      <x:c r="K28" s="66" t="n">
        <x:f>IF(INDEX($U$2:$U$78,MATCH(A28,$V$2:$V$78,0))="","",INDEX($U$2:$U$78,MATCH(A28,$V$2:$V$78,0)))</x:f>
        <x:v>83</x:v>
      </x:c>
      <x:c r="L28" s="80" t="str">
        <x:v>银杏善利6号</x:v>
      </x:c>
      <x:c r="M28" s="80" t="str">
        <x:v>SXS440</x:v>
      </x:c>
      <x:c r="N28" s="80" t="str">
        <x:v>上海银杏</x:v>
      </x:c>
      <x:c r="O28" s="80" t="str">
        <x:v>0-5亿元</x:v>
      </x:c>
      <x:c r="P28" s="81" t="n">
        <x:f>IF(ABS('sheet2-计算明细'!AQ73-1)&lt;0.00000001,'sheet2-计算明细'!AR73,"")</x:f>
        <x:v>51.734970000000004</x:v>
      </x:c>
      <x:c r="Q28" s="81" t="n">
        <x:f>'sheet2-计算明细'!AS73</x:f>
        <x:v>51.73</x:v>
      </x:c>
      <x:c r="R28" s="82" t="n">
        <x:f>'sheet2-计算明细'!AQ73</x:f>
        <x:v>1</x:v>
      </x:c>
      <x:c r="S28" s="80" t="str">
        <x:v>本次公示未见相关记录</x:v>
      </x:c>
      <x:c r="T28" s="80" t="str">
        <x:v>https://gs.amac.org.cn/amac-infodisc/res/pof/manager/2105100905108445.html</x:v>
      </x:c>
      <x:c r="U28" s="80" t="n">
        <x:f>'sheet2-计算明细'!AT73</x:f>
        <x:v>141</x:v>
      </x:c>
      <x:c r="V28" s="80" t="n">
        <x:f>COUNTIF($U$2:$U$78,"&lt;"&amp;U28)+1</x:f>
        <x:v>47</x:v>
      </x:c>
    </x:row>
    <x:row r="29" ht="27" customHeight="1">
      <x:c r="A29" s="66" t="n">
        <x:v>28</x:v>
      </x:c>
      <x:c r="B29" s="66" t="str">
        <x:f>IF(INDEX($L$2:$L$78,MATCH(A29,$V$2:$V$78,0))="","",INDEX($L$2:$L$78,MATCH(A29,$V$2:$V$78,0)))</x:f>
        <x:v>起源天择稳健1号</x:v>
      </x:c>
      <x:c r="C29" s="66" t="str">
        <x:f>IF(INDEX($M$2:$M$78,MATCH(A29,$V$2:$V$78,0))="","",INDEX($M$2:$M$78,MATCH(A29,$V$2:$V$78,0)))</x:f>
        <x:v>SVJ267</x:v>
      </x:c>
      <x:c r="D29" s="66" t="str">
        <x:f>IF(INDEX($N$2:$N$78,MATCH(A29,$V$2:$V$78,0))="","",INDEX($N$2:$N$78,MATCH(A29,$V$2:$V$78,0)))</x:f>
        <x:v>海南起源</x:v>
      </x:c>
      <x:c r="E29" s="66" t="str">
        <x:f>IF(INDEX($O$2:$O$78,MATCH(A29,$V$2:$V$78,0))="","",INDEX($O$2:$O$78,MATCH(A29,$V$2:$V$78,0)))</x:f>
        <x:v>0-5亿元</x:v>
      </x:c>
      <x:c r="F29" s="77" t="str">
        <x:f>IF(INDEX($P$2:$P$78,MATCH(A29,$V$2:$V$78,0))="","",INDEX($P$2:$P$78,MATCH(A29,$V$2:$V$78,0)))</x:f>
      </x:c>
      <x:c r="G29" s="77" t="n">
        <x:f>IF(INDEX($Q$2:$Q$78,MATCH(A29,$V$2:$V$78,0))="","",INDEX($Q$2:$Q$78,MATCH(A29,$V$2:$V$78,0)))</x:f>
        <x:v>66.61</x:v>
      </x:c>
      <x:c r="H29" s="78" t="n">
        <x:f>IF(INDEX($R$2:$R$78,MATCH(A29,$V$2:$V$78,0))="","",INDEX($R$2:$R$78,MATCH(A29,$V$2:$V$78,0)))</x:f>
        <x:v>0.88</x:v>
      </x:c>
      <x:c r="I29" s="66" t="str">
        <x:f>IF(INDEX($S$2:$S$78,MATCH(A29,$V$2:$V$78,0))="","",INDEX($S$2:$S$78,MATCH(A29,$V$2:$V$78,0)))</x:f>
        <x:v>协会提示／报送异常</x:v>
      </x:c>
      <x:c r="J29" s="66" t="str">
        <x:f>IF(INDEX($T$2:$T$78,MATCH(A29,$V$2:$V$78,0))="","",INDEX($T$2:$T$78,MATCH(A29,$V$2:$V$78,0)))</x:f>
        <x:v>https://gs.amac.org.cn/amac-infodisc/res/pof/manager/2109301707118145.html</x:v>
      </x:c>
      <x:c r="K29" s="66" t="n">
        <x:f>IF(INDEX($U$2:$U$78,MATCH(A29,$V$2:$V$78,0))="","",INDEX($U$2:$U$78,MATCH(A29,$V$2:$V$78,0)))</x:f>
        <x:v>84</x:v>
      </x:c>
      <x:c r="L29" s="80" t="str">
        <x:v>金麦穗卓诚一号</x:v>
      </x:c>
      <x:c r="M29" s="80" t="str">
        <x:v>SXU186</x:v>
      </x:c>
      <x:c r="N29" s="80" t="str">
        <x:v>山东金麦穗</x:v>
      </x:c>
      <x:c r="O29" s="80" t="str">
        <x:v>0-5亿元</x:v>
      </x:c>
      <x:c r="P29" s="81" t="n">
        <x:f>IF(ABS('sheet2-计算明细'!AQ75-1)&lt;0.00000001,'sheet2-计算明细'!AR75,"")</x:f>
        <x:v>50.41595</x:v>
      </x:c>
      <x:c r="Q29" s="81" t="n">
        <x:f>'sheet2-计算明细'!AS75</x:f>
        <x:v>50.42</x:v>
      </x:c>
      <x:c r="R29" s="82" t="n">
        <x:f>'sheet2-计算明细'!AQ75</x:f>
        <x:v>1</x:v>
      </x:c>
      <x:c r="S29" s="80" t="str">
        <x:v>本次公示未见相关记录</x:v>
      </x:c>
      <x:c r="T29" s="80" t="str">
        <x:v>https://gs.amac.org.cn/amac-infodisc/res/pof/manager/101000032909.html</x:v>
      </x:c>
      <x:c r="U29" s="80" t="n">
        <x:f>'sheet2-计算明细'!AT75</x:f>
        <x:v>145</x:v>
      </x:c>
      <x:c r="V29" s="80" t="n">
        <x:f>COUNTIF($U$2:$U$78,"&lt;"&amp;U29)+1</x:f>
        <x:v>49</x:v>
      </x:c>
    </x:row>
    <x:row r="30" ht="27" customHeight="1">
      <x:c r="A30" s="66" t="n">
        <x:v>29</x:v>
      </x:c>
      <x:c r="B30" s="66" t="str">
        <x:f>IF(INDEX($L$2:$L$78,MATCH(A30,$V$2:$V$78,0))="","",INDEX($L$2:$L$78,MATCH(A30,$V$2:$V$78,0)))</x:f>
        <x:v>雁丰卓衍1号</x:v>
      </x:c>
      <x:c r="C30" s="66" t="str">
        <x:f>IF(INDEX($M$2:$M$78,MATCH(A30,$V$2:$V$78,0))="","",INDEX($M$2:$M$78,MATCH(A30,$V$2:$V$78,0)))</x:f>
        <x:v>SXX404</x:v>
      </x:c>
      <x:c r="D30" s="66" t="str">
        <x:f>IF(INDEX($N$2:$N$78,MATCH(A30,$V$2:$V$78,0))="","",INDEX($N$2:$N$78,MATCH(A30,$V$2:$V$78,0)))</x:f>
        <x:v>上海雁丰投资</x:v>
      </x:c>
      <x:c r="E30" s="66" t="str">
        <x:f>IF(INDEX($O$2:$O$78,MATCH(A30,$V$2:$V$78,0))="","",INDEX($O$2:$O$78,MATCH(A30,$V$2:$V$78,0)))</x:f>
        <x:v>0-5亿元</x:v>
      </x:c>
      <x:c r="F30" s="77" t="n">
        <x:f>IF(INDEX($P$2:$P$78,MATCH(A30,$V$2:$V$78,0))="","",INDEX($P$2:$P$78,MATCH(A30,$V$2:$V$78,0)))</x:f>
        <x:v>65.71779</x:v>
      </x:c>
      <x:c r="G30" s="77" t="n">
        <x:f>IF(INDEX($Q$2:$Q$78,MATCH(A30,$V$2:$V$78,0))="","",INDEX($Q$2:$Q$78,MATCH(A30,$V$2:$V$78,0)))</x:f>
        <x:v>65.72</x:v>
      </x:c>
      <x:c r="H30" s="78" t="n">
        <x:f>IF(INDEX($R$2:$R$78,MATCH(A30,$V$2:$V$78,0))="","",INDEX($R$2:$R$78,MATCH(A30,$V$2:$V$78,0)))</x:f>
        <x:v>1</x:v>
      </x:c>
      <x:c r="I30" s="66" t="str">
        <x:f>IF(INDEX($S$2:$S$78,MATCH(A30,$V$2:$V$78,0))="","",INDEX($S$2:$S$78,MATCH(A30,$V$2:$V$78,0)))</x:f>
        <x:v>协会提示／报送异常</x:v>
      </x:c>
      <x:c r="J30" s="66" t="str">
        <x:f>IF(INDEX($T$2:$T$78,MATCH(A30,$V$2:$V$78,0))="","",INDEX($T$2:$T$78,MATCH(A30,$V$2:$V$78,0)))</x:f>
        <x:v>https://gs.amac.org.cn/amac-infodisc/res/pof/manager/101000007795.html</x:v>
      </x:c>
      <x:c r="K30" s="66" t="n">
        <x:f>IF(INDEX($U$2:$U$78,MATCH(A30,$V$2:$V$78,0))="","",INDEX($U$2:$U$78,MATCH(A30,$V$2:$V$78,0)))</x:f>
        <x:v>88</x:v>
      </x:c>
      <x:c r="L30" s="80" t="str">
        <x:v>佳泽信享5号</x:v>
      </x:c>
      <x:c r="M30" s="80" t="str">
        <x:v>SZC395</x:v>
      </x:c>
      <x:c r="N30" s="80" t="str">
        <x:v>海南佳泽</x:v>
      </x:c>
      <x:c r="O30" s="80" t="str">
        <x:v>0-5亿元</x:v>
      </x:c>
      <x:c r="P30" s="81" t="n">
        <x:f>IF(ABS('sheet2-计算明细'!AQ77-1)&lt;0.00000001,'sheet2-计算明细'!AR77,"")</x:f>
        <x:v>70.17005</x:v>
      </x:c>
      <x:c r="Q30" s="81" t="n">
        <x:f>'sheet2-计算明细'!AS77</x:f>
        <x:v>70.17</x:v>
      </x:c>
      <x:c r="R30" s="82" t="n">
        <x:f>'sheet2-计算明细'!AQ77</x:f>
        <x:v>1</x:v>
      </x:c>
      <x:c r="S30" s="80" t="str">
        <x:v>协会提示／报送异常</x:v>
      </x:c>
      <x:c r="T30" s="80" t="str">
        <x:v>https://gs.amac.org.cn/amac-infodisc/res/pof/manager/2202171443109430.html</x:v>
      </x:c>
      <x:c r="U30" s="80" t="n">
        <x:f>'sheet2-计算明细'!AT77</x:f>
        <x:v>71</x:v>
      </x:c>
      <x:c r="V30" s="80" t="n">
        <x:f>COUNTIF($U$2:$U$78,"&lt;"&amp;U30)+1</x:f>
        <x:v>24</x:v>
      </x:c>
    </x:row>
    <x:row r="31" ht="27" customHeight="1">
      <x:c r="A31" s="66" t="n">
        <x:v>30</x:v>
      </x:c>
      <x:c r="B31" s="66" t="str">
        <x:f>IF(INDEX($L$2:$L$78,MATCH(A31,$V$2:$V$78,0))="","",INDEX($L$2:$L$78,MATCH(A31,$V$2:$V$78,0)))</x:f>
        <x:v>杉阳云杉混合1号A类</x:v>
      </x:c>
      <x:c r="C31" s="66" t="str">
        <x:f>IF(INDEX($M$2:$M$78,MATCH(A31,$V$2:$V$78,0))="","",INDEX($M$2:$M$78,MATCH(A31,$V$2:$V$78,0)))</x:f>
        <x:v>LA063A</x:v>
      </x:c>
      <x:c r="D31" s="66" t="str">
        <x:f>IF(INDEX($N$2:$N$78,MATCH(A31,$V$2:$V$78,0))="","",INDEX($N$2:$N$78,MATCH(A31,$V$2:$V$78,0)))</x:f>
        <x:v>上海杉阳</x:v>
      </x:c>
      <x:c r="E31" s="66" t="str">
        <x:f>IF(INDEX($O$2:$O$78,MATCH(A31,$V$2:$V$78,0))="","",INDEX($O$2:$O$78,MATCH(A31,$V$2:$V$78,0)))</x:f>
        <x:v>0-5亿元</x:v>
      </x:c>
      <x:c r="F31" s="77" t="str">
        <x:f>IF(INDEX($P$2:$P$78,MATCH(A31,$V$2:$V$78,0))="","",INDEX($P$2:$P$78,MATCH(A31,$V$2:$V$78,0)))</x:f>
      </x:c>
      <x:c r="G31" s="77" t="n">
        <x:f>IF(INDEX($Q$2:$Q$78,MATCH(A31,$V$2:$V$78,0))="","",INDEX($Q$2:$Q$78,MATCH(A31,$V$2:$V$78,0)))</x:f>
        <x:v>65.5</x:v>
      </x:c>
      <x:c r="H31" s="78" t="n">
        <x:f>IF(INDEX($R$2:$R$78,MATCH(A31,$V$2:$V$78,0))="","",INDEX($R$2:$R$78,MATCH(A31,$V$2:$V$78,0)))</x:f>
        <x:v>0.9550000000000001</x:v>
      </x:c>
      <x:c r="I31" s="66" t="str">
        <x:f>IF(INDEX($S$2:$S$78,MATCH(A31,$V$2:$V$78,0))="","",INDEX($S$2:$S$78,MATCH(A31,$V$2:$V$78,0)))</x:f>
        <x:v>本次公示未见相关记录</x:v>
      </x:c>
      <x:c r="J31" s="66" t="str">
        <x:f>IF(INDEX($T$2:$T$78,MATCH(A31,$V$2:$V$78,0))="","",INDEX($T$2:$T$78,MATCH(A31,$V$2:$V$78,0)))</x:f>
        <x:v>https://gs.amac.org.cn/amac-infodisc/res/pof/manager/2001061547104837.html</x:v>
      </x:c>
      <x:c r="K31" s="66" t="n">
        <x:f>IF(INDEX($U$2:$U$78,MATCH(A31,$V$2:$V$78,0))="","",INDEX($U$2:$U$78,MATCH(A31,$V$2:$V$78,0)))</x:f>
        <x:v>90</x:v>
      </x:c>
      <x:c r="L31" s="80" t="str">
        <x:v>衍舟弄潮2号</x:v>
      </x:c>
      <x:c r="M31" s="80" t="str">
        <x:v>SZG044</x:v>
      </x:c>
      <x:c r="N31" s="80" t="str">
        <x:v>海南衍舟</x:v>
      </x:c>
      <x:c r="O31" s="80" t="str">
        <x:v>0-5亿元</x:v>
      </x:c>
      <x:c r="P31" s="81" t="n">
        <x:f>IF(ABS('sheet2-计算明细'!AQ78-1)&lt;0.00000001,'sheet2-计算明细'!AR78,"")</x:f>
        <x:v>34.13389</x:v>
      </x:c>
      <x:c r="Q31" s="81" t="n">
        <x:f>'sheet2-计算明细'!AS78</x:f>
        <x:v>34.13</x:v>
      </x:c>
      <x:c r="R31" s="82" t="n">
        <x:f>'sheet2-计算明细'!AQ78</x:f>
        <x:v>1</x:v>
      </x:c>
      <x:c r="S31" s="80" t="str">
        <x:v>协会提示／报送异常</x:v>
      </x:c>
      <x:c r="T31" s="80" t="str">
        <x:v>https://gs.amac.org.cn/amac-infodisc/res/pof/manager/2203211010108428.html</x:v>
      </x:c>
      <x:c r="U31" s="80" t="n">
        <x:f>'sheet2-计算明细'!AT78</x:f>
        <x:v>186</x:v>
      </x:c>
      <x:c r="V31" s="80" t="n">
        <x:f>COUNTIF($U$2:$U$78,"&lt;"&amp;U31)+1</x:f>
        <x:v>67</x:v>
      </x:c>
    </x:row>
    <x:row r="32" ht="27" customHeight="1">
      <x:c r="A32" s="66" t="n">
        <x:v>31</x:v>
      </x:c>
      <x:c r="B32" s="66" t="str">
        <x:f>IF(INDEX($L$2:$L$78,MATCH(A32,$V$2:$V$78,0))="","",INDEX($L$2:$L$78,MATCH(A32,$V$2:$V$78,0)))</x:f>
        <x:v>时间稳健1号</x:v>
      </x:c>
      <x:c r="C32" s="66" t="str">
        <x:f>IF(INDEX($M$2:$M$78,MATCH(A32,$V$2:$V$78,0))="","",INDEX($M$2:$M$78,MATCH(A32,$V$2:$V$78,0)))</x:f>
        <x:v>SZM840</x:v>
      </x:c>
      <x:c r="D32" s="66" t="str">
        <x:f>IF(INDEX($N$2:$N$78,MATCH(A32,$V$2:$V$78,0))="","",INDEX($N$2:$N$78,MATCH(A32,$V$2:$V$78,0)))</x:f>
        <x:v>青岛时间</x:v>
      </x:c>
      <x:c r="E32" s="66" t="str">
        <x:f>IF(INDEX($O$2:$O$78,MATCH(A32,$V$2:$V$78,0))="","",INDEX($O$2:$O$78,MATCH(A32,$V$2:$V$78,0)))</x:f>
        <x:v>0-5亿元</x:v>
      </x:c>
      <x:c r="F32" s="77" t="n">
        <x:f>IF(INDEX($P$2:$P$78,MATCH(A32,$V$2:$V$78,0))="","",INDEX($P$2:$P$78,MATCH(A32,$V$2:$V$78,0)))</x:f>
        <x:v>64.08274</x:v>
      </x:c>
      <x:c r="G32" s="77" t="n">
        <x:f>IF(INDEX($Q$2:$Q$78,MATCH(A32,$V$2:$V$78,0))="","",INDEX($Q$2:$Q$78,MATCH(A32,$V$2:$V$78,0)))</x:f>
        <x:v>64.08</x:v>
      </x:c>
      <x:c r="H32" s="78" t="n">
        <x:f>IF(INDEX($R$2:$R$78,MATCH(A32,$V$2:$V$78,0))="","",INDEX($R$2:$R$78,MATCH(A32,$V$2:$V$78,0)))</x:f>
        <x:v>1</x:v>
      </x:c>
      <x:c r="I32" s="66" t="str">
        <x:f>IF(INDEX($S$2:$S$78,MATCH(A32,$V$2:$V$78,0))="","",INDEX($S$2:$S$78,MATCH(A32,$V$2:$V$78,0)))</x:f>
        <x:v>本次公示未见相关记录</x:v>
      </x:c>
      <x:c r="J32" s="66" t="str">
        <x:f>IF(INDEX($T$2:$T$78,MATCH(A32,$V$2:$V$78,0))="","",INDEX($T$2:$T$78,MATCH(A32,$V$2:$V$78,0)))</x:f>
        <x:v>https://gs.amac.org.cn/amac-infodisc/res/pof/manager/2007291034107765.html</x:v>
      </x:c>
      <x:c r="K32" s="66" t="n">
        <x:f>IF(INDEX($U$2:$U$78,MATCH(A32,$V$2:$V$78,0))="","",INDEX($U$2:$U$78,MATCH(A32,$V$2:$V$78,0)))</x:f>
        <x:v>94</x:v>
      </x:c>
      <x:c r="L32" s="80" t="str">
        <x:v>银瓴汇金1号</x:v>
      </x:c>
      <x:c r="M32" s="80" t="str">
        <x:v>SZP369</x:v>
      </x:c>
      <x:c r="N32" s="80" t="str">
        <x:v>广西银瓴资产</x:v>
      </x:c>
      <x:c r="O32" s="80" t="str">
        <x:v>0-5亿元</x:v>
      </x:c>
      <x:c r="P32" s="81" t="n">
        <x:f>IF(ABS('sheet2-计算明细'!AQ79-1)&lt;0.00000001,'sheet2-计算明细'!AR79,"")</x:f>
        <x:v>33.96908</x:v>
      </x:c>
      <x:c r="Q32" s="81" t="n">
        <x:f>'sheet2-计算明细'!AS79</x:f>
        <x:v>33.97</x:v>
      </x:c>
      <x:c r="R32" s="82" t="n">
        <x:f>'sheet2-计算明细'!AQ79</x:f>
        <x:v>1</x:v>
      </x:c>
      <x:c r="S32" s="80" t="str">
        <x:v>本次公示未见相关记录</x:v>
      </x:c>
      <x:c r="T32" s="80" t="str">
        <x:v>https://gs.amac.org.cn/amac-infodisc/res/pof/manager/101000035485.html</x:v>
      </x:c>
      <x:c r="U32" s="80" t="n">
        <x:f>'sheet2-计算明细'!AT79</x:f>
        <x:v>187</x:v>
      </x:c>
      <x:c r="V32" s="80" t="n">
        <x:f>COUNTIF($U$2:$U$78,"&lt;"&amp;U32)+1</x:f>
        <x:v>68</x:v>
      </x:c>
    </x:row>
    <x:row r="33" ht="27" customHeight="1">
      <x:c r="A33" s="66" t="n">
        <x:v>32</x:v>
      </x:c>
      <x:c r="B33" s="66" t="str">
        <x:f>IF(INDEX($L$2:$L$78,MATCH(A33,$V$2:$V$78,0))="","",INDEX($L$2:$L$78,MATCH(A33,$V$2:$V$78,0)))</x:f>
        <x:v>溋沣鸿运来星选1号B类</x:v>
      </x:c>
      <x:c r="C33" s="66" t="str">
        <x:f>IF(INDEX($M$2:$M$78,MATCH(A33,$V$2:$V$78,0))="","",INDEX($M$2:$M$78,MATCH(A33,$V$2:$V$78,0)))</x:f>
        <x:v>09408B</x:v>
      </x:c>
      <x:c r="D33" s="66" t="str">
        <x:f>IF(INDEX($N$2:$N$78,MATCH(A33,$V$2:$V$78,0))="","",INDEX($N$2:$N$78,MATCH(A33,$V$2:$V$78,0)))</x:f>
        <x:v>深圳前海溋沣资管</x:v>
      </x:c>
      <x:c r="E33" s="66" t="str">
        <x:f>IF(INDEX($O$2:$O$78,MATCH(A33,$V$2:$V$78,0))="","",INDEX($O$2:$O$78,MATCH(A33,$V$2:$V$78,0)))</x:f>
        <x:v>0-5亿元</x:v>
      </x:c>
      <x:c r="F33" s="77" t="str">
        <x:f>IF(INDEX($P$2:$P$78,MATCH(A33,$V$2:$V$78,0))="","",INDEX($P$2:$P$78,MATCH(A33,$V$2:$V$78,0)))</x:f>
      </x:c>
      <x:c r="G33" s="77" t="n">
        <x:f>IF(INDEX($Q$2:$Q$78,MATCH(A33,$V$2:$V$78,0))="","",INDEX($Q$2:$Q$78,MATCH(A33,$V$2:$V$78,0)))</x:f>
        <x:v>63.78</x:v>
      </x:c>
      <x:c r="H33" s="78" t="n">
        <x:f>IF(INDEX($R$2:$R$78,MATCH(A33,$V$2:$V$78,0))="","",INDEX($R$2:$R$78,MATCH(A33,$V$2:$V$78,0)))</x:f>
        <x:v>0.9550000000000001</x:v>
      </x:c>
      <x:c r="I33" s="66" t="str">
        <x:f>IF(INDEX($S$2:$S$78,MATCH(A33,$V$2:$V$78,0))="","",INDEX($S$2:$S$78,MATCH(A33,$V$2:$V$78,0)))</x:f>
        <x:v>本次公示未见相关记录</x:v>
      </x:c>
      <x:c r="J33" s="66" t="str">
        <x:f>IF(INDEX($T$2:$T$78,MATCH(A33,$V$2:$V$78,0))="","",INDEX($T$2:$T$78,MATCH(A33,$V$2:$V$78,0)))</x:f>
        <x:v>https://gs.amac.org.cn/amac-infodisc/res/pof/manager/1610131040102006.html</x:v>
      </x:c>
      <x:c r="K33" s="66" t="n">
        <x:f>IF(INDEX($U$2:$U$78,MATCH(A33,$V$2:$V$78,0))="","",INDEX($U$2:$U$78,MATCH(A33,$V$2:$V$78,0)))</x:f>
        <x:v>96</x:v>
      </x:c>
      <x:c r="L33" s="80" t="str">
        <x:v>鑫泰禾汇投1号</x:v>
      </x:c>
      <x:c r="M33" s="80" t="str">
        <x:v>SZP735</x:v>
      </x:c>
      <x:c r="N33" s="80" t="str">
        <x:v>深圳鑫泰禾</x:v>
      </x:c>
      <x:c r="O33" s="80" t="str">
        <x:v>0-5亿元</x:v>
      </x:c>
      <x:c r="P33" s="81" t="n">
        <x:f>IF(ABS('sheet2-计算明细'!AQ82-1)&lt;0.00000001,'sheet2-计算明细'!AR82,"")</x:f>
        <x:v>54.67088</x:v>
      </x:c>
      <x:c r="Q33" s="81" t="n">
        <x:f>'sheet2-计算明细'!AS82</x:f>
        <x:v>54.67</x:v>
      </x:c>
      <x:c r="R33" s="82" t="n">
        <x:f>'sheet2-计算明细'!AQ82</x:f>
        <x:v>1</x:v>
      </x:c>
      <x:c r="S33" s="80" t="str">
        <x:v>协会提示／报送异常</x:v>
      </x:c>
      <x:c r="T33" s="80" t="str">
        <x:v>https://gs.amac.org.cn/amac-infodisc/res/pof/manager/101000041857.html</x:v>
      </x:c>
      <x:c r="U33" s="80" t="n">
        <x:f>'sheet2-计算明细'!AT82</x:f>
        <x:v>127</x:v>
      </x:c>
      <x:c r="V33" s="80" t="n">
        <x:f>COUNTIF($U$2:$U$78,"&lt;"&amp;U33)+1</x:f>
        <x:v>40</x:v>
      </x:c>
    </x:row>
    <x:row r="34" ht="27" customHeight="1">
      <x:c r="A34" s="66" t="n">
        <x:v>33</x:v>
      </x:c>
      <x:c r="B34" s="66" t="str">
        <x:f>IF(INDEX($L$2:$L$78,MATCH(A34,$V$2:$V$78,0))="","",INDEX($L$2:$L$78,MATCH(A34,$V$2:$V$78,0)))</x:f>
        <x:v>守正卓越一号</x:v>
      </x:c>
      <x:c r="C34" s="66" t="str">
        <x:f>IF(INDEX($M$2:$M$78,MATCH(A34,$V$2:$V$78,0))="","",INDEX($M$2:$M$78,MATCH(A34,$V$2:$V$78,0)))</x:f>
        <x:v>SVY984</x:v>
      </x:c>
      <x:c r="D34" s="66" t="str">
        <x:f>IF(INDEX($N$2:$N$78,MATCH(A34,$V$2:$V$78,0))="","",INDEX($N$2:$N$78,MATCH(A34,$V$2:$V$78,0)))</x:f>
        <x:v>山东守正</x:v>
      </x:c>
      <x:c r="E34" s="66" t="str">
        <x:f>IF(INDEX($O$2:$O$78,MATCH(A34,$V$2:$V$78,0))="","",INDEX($O$2:$O$78,MATCH(A34,$V$2:$V$78,0)))</x:f>
        <x:v>0-5亿元</x:v>
      </x:c>
      <x:c r="F34" s="77" t="n">
        <x:f>IF(INDEX($P$2:$P$78,MATCH(A34,$V$2:$V$78,0))="","",INDEX($P$2:$P$78,MATCH(A34,$V$2:$V$78,0)))</x:f>
        <x:v>61.76690000000001</x:v>
      </x:c>
      <x:c r="G34" s="77" t="n">
        <x:f>IF(INDEX($Q$2:$Q$78,MATCH(A34,$V$2:$V$78,0))="","",INDEX($Q$2:$Q$78,MATCH(A34,$V$2:$V$78,0)))</x:f>
        <x:v>61.77</x:v>
      </x:c>
      <x:c r="H34" s="78" t="n">
        <x:f>IF(INDEX($R$2:$R$78,MATCH(A34,$V$2:$V$78,0))="","",INDEX($R$2:$R$78,MATCH(A34,$V$2:$V$78,0)))</x:f>
        <x:v>1</x:v>
      </x:c>
      <x:c r="I34" s="66" t="str">
        <x:f>IF(INDEX($S$2:$S$78,MATCH(A34,$V$2:$V$78,0))="","",INDEX($S$2:$S$78,MATCH(A34,$V$2:$V$78,0)))</x:f>
        <x:v>协会提示／报送异常</x:v>
      </x:c>
      <x:c r="J34" s="66" t="str">
        <x:f>IF(INDEX($T$2:$T$78,MATCH(A34,$V$2:$V$78,0))="","",INDEX($T$2:$T$78,MATCH(A34,$V$2:$V$78,0)))</x:f>
        <x:v>https://gs.amac.org.cn/amac-infodisc/res/pof/manager/2111241907106834.html</x:v>
      </x:c>
      <x:c r="K34" s="66" t="n">
        <x:f>IF(INDEX($U$2:$U$78,MATCH(A34,$V$2:$V$78,0))="","",INDEX($U$2:$U$78,MATCH(A34,$V$2:$V$78,0)))</x:f>
        <x:v>99</x:v>
      </x:c>
      <x:c r="L34" s="80" t="str">
        <x:v>银瓴汇金3号</x:v>
      </x:c>
      <x:c r="M34" s="80" t="str">
        <x:v>S03979</x:v>
      </x:c>
      <x:c r="N34" s="80" t="str">
        <x:v>广西银瓴资产</x:v>
      </x:c>
      <x:c r="O34" s="80" t="str">
        <x:v>0-5亿元</x:v>
      </x:c>
      <x:c r="P34" s="81" t="str">
        <x:f>IF(ABS('sheet2-计算明细'!AQ84-1)&lt;0.00000001,'sheet2-计算明细'!AR84,"")</x:f>
      </x:c>
      <x:c r="Q34" s="81" t="n">
        <x:f>'sheet2-计算明细'!AS84</x:f>
        <x:v>32.01</x:v>
      </x:c>
      <x:c r="R34" s="82" t="n">
        <x:f>'sheet2-计算明细'!AQ84</x:f>
        <x:v>0.88</x:v>
      </x:c>
      <x:c r="S34" s="80" t="str">
        <x:v>本次公示未见相关记录</x:v>
      </x:c>
      <x:c r="T34" s="80" t="str">
        <x:v>https://gs.amac.org.cn/amac-infodisc/res/pof/manager/101000035485.html</x:v>
      </x:c>
      <x:c r="U34" s="80" t="n">
        <x:f>'sheet2-计算明细'!AT84</x:f>
        <x:v>189</x:v>
      </x:c>
      <x:c r="V34" s="80" t="n">
        <x:f>COUNTIF($U$2:$U$78,"&lt;"&amp;U34)+1</x:f>
        <x:v>69</x:v>
      </x:c>
    </x:row>
    <x:row r="35" ht="27" customHeight="1">
      <x:c r="A35" s="66" t="n">
        <x:v>34</x:v>
      </x:c>
      <x:c r="B35" s="66" t="str">
        <x:f>IF(INDEX($L$2:$L$78,MATCH(A35,$V$2:$V$78,0))="","",INDEX($L$2:$L$78,MATCH(A35,$V$2:$V$78,0)))</x:f>
        <x:v>铭杉量化稳健5号</x:v>
      </x:c>
      <x:c r="C35" s="66" t="str">
        <x:f>IF(INDEX($M$2:$M$78,MATCH(A35,$V$2:$V$78,0))="","",INDEX($M$2:$M$78,MATCH(A35,$V$2:$V$78,0)))</x:f>
        <x:v>SLT573</x:v>
      </x:c>
      <x:c r="D35" s="66" t="str">
        <x:f>IF(INDEX($N$2:$N$78,MATCH(A35,$V$2:$V$78,0))="","",INDEX($N$2:$N$78,MATCH(A35,$V$2:$V$78,0)))</x:f>
        <x:v>上海铭杉投资</x:v>
      </x:c>
      <x:c r="E35" s="66" t="str">
        <x:f>IF(INDEX($O$2:$O$78,MATCH(A35,$V$2:$V$78,0))="","",INDEX($O$2:$O$78,MATCH(A35,$V$2:$V$78,0)))</x:f>
        <x:v>0-5亿元</x:v>
      </x:c>
      <x:c r="F35" s="77" t="str">
        <x:f>IF(INDEX($P$2:$P$78,MATCH(A35,$V$2:$V$78,0))="","",INDEX($P$2:$P$78,MATCH(A35,$V$2:$V$78,0)))</x:f>
      </x:c>
      <x:c r="G35" s="77" t="n">
        <x:f>IF(INDEX($Q$2:$Q$78,MATCH(A35,$V$2:$V$78,0))="","",INDEX($Q$2:$Q$78,MATCH(A35,$V$2:$V$78,0)))</x:f>
        <x:v>60.88</x:v>
      </x:c>
      <x:c r="H35" s="78" t="n">
        <x:f>IF(INDEX($R$2:$R$78,MATCH(A35,$V$2:$V$78,0))="","",INDEX($R$2:$R$78,MATCH(A35,$V$2:$V$78,0)))</x:f>
        <x:v>0.88</x:v>
      </x:c>
      <x:c r="I35" s="66" t="str">
        <x:f>IF(INDEX($S$2:$S$78,MATCH(A35,$V$2:$V$78,0))="","",INDEX($S$2:$S$78,MATCH(A35,$V$2:$V$78,0)))</x:f>
        <x:v>本次公示未见相关记录</x:v>
      </x:c>
      <x:c r="J35" s="66" t="str">
        <x:f>IF(INDEX($T$2:$T$78,MATCH(A35,$V$2:$V$78,0))="","",INDEX($T$2:$T$78,MATCH(A35,$V$2:$V$78,0)))</x:f>
        <x:v>https://gs.amac.org.cn/amac-infodisc/res/pof/manager/1708301158107602.html</x:v>
      </x:c>
      <x:c r="K35" s="66" t="n">
        <x:f>IF(INDEX($U$2:$U$78,MATCH(A35,$V$2:$V$78,0))="","",INDEX($U$2:$U$78,MATCH(A35,$V$2:$V$78,0)))</x:f>
        <x:v>104</x:v>
      </x:c>
      <x:c r="L35" s="80" t="str">
        <x:v>岳皋泰山核心一号B类</x:v>
      </x:c>
      <x:c r="M35" s="80" t="str">
        <x:v>SH674B</x:v>
      </x:c>
      <x:c r="N35" s="80" t="str">
        <x:v>上海岳皋投资</x:v>
      </x:c>
      <x:c r="O35" s="80" t="str">
        <x:v>0-5亿元</x:v>
      </x:c>
      <x:c r="P35" s="81" t="str">
        <x:f>IF(ABS('sheet2-计算明细'!AQ86-1)&lt;0.00000001,'sheet2-计算明细'!AR86,"")</x:f>
      </x:c>
      <x:c r="Q35" s="81" t="n">
        <x:f>'sheet2-计算明细'!AS86</x:f>
        <x:v>44.15</x:v>
      </x:c>
      <x:c r="R35" s="82" t="n">
        <x:f>'sheet2-计算明细'!AQ86</x:f>
        <x:v>0.9550000000000001</x:v>
      </x:c>
      <x:c r="S35" s="80" t="str">
        <x:v>本次公示未见相关记录</x:v>
      </x:c>
      <x:c r="T35" s="80" t="str">
        <x:v>https://gs.amac.org.cn/amac-infodisc/res/pof/manager/1812180906104012.html</x:v>
      </x:c>
      <x:c r="U35" s="80" t="n">
        <x:f>'sheet2-计算明细'!AT86</x:f>
        <x:v>161</x:v>
      </x:c>
      <x:c r="V35" s="80" t="n">
        <x:f>COUNTIF($U$2:$U$78,"&lt;"&amp;U35)+1</x:f>
        <x:v>57</x:v>
      </x:c>
    </x:row>
    <x:row r="36" ht="27" customHeight="1">
      <x:c r="A36" s="66" t="n">
        <x:v>35</x:v>
      </x:c>
      <x:c r="B36" s="66" t="str">
        <x:f>IF(INDEX($L$2:$L$78,MATCH(A36,$V$2:$V$78,0))="","",INDEX($L$2:$L$78,MATCH(A36,$V$2:$V$78,0)))</x:f>
        <x:v>守正卓越一号A类</x:v>
      </x:c>
      <x:c r="C36" s="66" t="str">
        <x:f>IF(INDEX($M$2:$M$78,MATCH(A36,$V$2:$V$78,0))="","",INDEX($M$2:$M$78,MATCH(A36,$V$2:$V$78,0)))</x:f>
        <x:v>VY984A</x:v>
      </x:c>
      <x:c r="D36" s="66" t="str">
        <x:f>IF(INDEX($N$2:$N$78,MATCH(A36,$V$2:$V$78,0))="","",INDEX($N$2:$N$78,MATCH(A36,$V$2:$V$78,0)))</x:f>
        <x:v>山东守正</x:v>
      </x:c>
      <x:c r="E36" s="66" t="str">
        <x:f>IF(INDEX($O$2:$O$78,MATCH(A36,$V$2:$V$78,0))="","",INDEX($O$2:$O$78,MATCH(A36,$V$2:$V$78,0)))</x:f>
        <x:v>0-5亿元</x:v>
      </x:c>
      <x:c r="F36" s="77" t="str">
        <x:f>IF(INDEX($P$2:$P$78,MATCH(A36,$V$2:$V$78,0))="","",INDEX($P$2:$P$78,MATCH(A36,$V$2:$V$78,0)))</x:f>
      </x:c>
      <x:c r="G36" s="77" t="n">
        <x:f>IF(INDEX($Q$2:$Q$78,MATCH(A36,$V$2:$V$78,0))="","",INDEX($Q$2:$Q$78,MATCH(A36,$V$2:$V$78,0)))</x:f>
        <x:v>60.32</x:v>
      </x:c>
      <x:c r="H36" s="78" t="n">
        <x:f>IF(INDEX($R$2:$R$78,MATCH(A36,$V$2:$V$78,0))="","",INDEX($R$2:$R$78,MATCH(A36,$V$2:$V$78,0)))</x:f>
        <x:v>0.9550000000000001</x:v>
      </x:c>
      <x:c r="I36" s="66" t="str">
        <x:f>IF(INDEX($S$2:$S$78,MATCH(A36,$V$2:$V$78,0))="","",INDEX($S$2:$S$78,MATCH(A36,$V$2:$V$78,0)))</x:f>
        <x:v>协会提示／报送异常</x:v>
      </x:c>
      <x:c r="J36" s="66" t="str">
        <x:f>IF(INDEX($T$2:$T$78,MATCH(A36,$V$2:$V$78,0))="","",INDEX($T$2:$T$78,MATCH(A36,$V$2:$V$78,0)))</x:f>
        <x:v>https://gs.amac.org.cn/amac-infodisc/res/pof/manager/2111241907106834.html</x:v>
      </x:c>
      <x:c r="K36" s="66" t="n">
        <x:f>IF(INDEX($U$2:$U$78,MATCH(A36,$V$2:$V$78,0))="","",INDEX($U$2:$U$78,MATCH(A36,$V$2:$V$78,0)))</x:f>
        <x:v>107</x:v>
      </x:c>
      <x:c r="L36" s="80" t="str">
        <x:v>佳泽信享5号A类</x:v>
      </x:c>
      <x:c r="M36" s="80" t="str">
        <x:v>ZC395A</x:v>
      </x:c>
      <x:c r="N36" s="80" t="str">
        <x:v>海南佳泽</x:v>
      </x:c>
      <x:c r="O36" s="80" t="str">
        <x:v>0-5亿元</x:v>
      </x:c>
      <x:c r="P36" s="81" t="str">
        <x:f>IF(ABS('sheet2-计算明细'!AQ91-1)&lt;0.00000001,'sheet2-计算明细'!AR91,"")</x:f>
      </x:c>
      <x:c r="Q36" s="81" t="n">
        <x:f>'sheet2-计算明细'!AS91</x:f>
        <x:v>75.41</x:v>
      </x:c>
      <x:c r="R36" s="82" t="n">
        <x:f>'sheet2-计算明细'!AQ91</x:f>
        <x:v>0.9550000000000001</x:v>
      </x:c>
      <x:c r="S36" s="80" t="str">
        <x:v>协会提示／报送异常</x:v>
      </x:c>
      <x:c r="T36" s="80" t="str">
        <x:v>https://gs.amac.org.cn/amac-infodisc/res/pof/manager/2202171443109430.html</x:v>
      </x:c>
      <x:c r="U36" s="80" t="n">
        <x:f>'sheet2-计算明细'!AT91</x:f>
        <x:v>47</x:v>
      </x:c>
      <x:c r="V36" s="80" t="n">
        <x:f>COUNTIF($U$2:$U$78,"&lt;"&amp;U36)+1</x:f>
        <x:v>16</x:v>
      </x:c>
    </x:row>
    <x:row r="37" ht="27" customHeight="1">
      <x:c r="A37" s="66" t="n">
        <x:v>36</x:v>
      </x:c>
      <x:c r="B37" s="66" t="str">
        <x:f>IF(INDEX($L$2:$L$78,MATCH(A37,$V$2:$V$78,0))="","",INDEX($L$2:$L$78,MATCH(A37,$V$2:$V$78,0)))</x:f>
        <x:v>杭州探融-锦鲤智能量化3号</x:v>
      </x:c>
      <x:c r="C37" s="66" t="str">
        <x:f>IF(INDEX($M$2:$M$78,MATCH(A37,$V$2:$V$78,0))="","",INDEX($M$2:$M$78,MATCH(A37,$V$2:$V$78,0)))</x:f>
        <x:v>SQC001</x:v>
      </x:c>
      <x:c r="D37" s="66" t="str">
        <x:f>IF(INDEX($N$2:$N$78,MATCH(A37,$V$2:$V$78,0))="","",INDEX($N$2:$N$78,MATCH(A37,$V$2:$V$78,0)))</x:f>
        <x:v>杭州探融投资</x:v>
      </x:c>
      <x:c r="E37" s="66" t="str">
        <x:f>IF(INDEX($O$2:$O$78,MATCH(A37,$V$2:$V$78,0))="","",INDEX($O$2:$O$78,MATCH(A37,$V$2:$V$78,0)))</x:f>
        <x:v>0-5亿元</x:v>
      </x:c>
      <x:c r="F37" s="77" t="n">
        <x:f>IF(INDEX($P$2:$P$78,MATCH(A37,$V$2:$V$78,0))="","",INDEX($P$2:$P$78,MATCH(A37,$V$2:$V$78,0)))</x:f>
        <x:v>57.35428999999999</x:v>
      </x:c>
      <x:c r="G37" s="77" t="n">
        <x:f>IF(INDEX($Q$2:$Q$78,MATCH(A37,$V$2:$V$78,0))="","",INDEX($Q$2:$Q$78,MATCH(A37,$V$2:$V$78,0)))</x:f>
        <x:v>57.35</x:v>
      </x:c>
      <x:c r="H37" s="78" t="n">
        <x:f>IF(INDEX($R$2:$R$78,MATCH(A37,$V$2:$V$78,0))="","",INDEX($R$2:$R$78,MATCH(A37,$V$2:$V$78,0)))</x:f>
        <x:v>1</x:v>
      </x:c>
      <x:c r="I37" s="66" t="str">
        <x:f>IF(INDEX($S$2:$S$78,MATCH(A37,$V$2:$V$78,0))="","",INDEX($S$2:$S$78,MATCH(A37,$V$2:$V$78,0)))</x:f>
        <x:v>本次公示未见相关记录</x:v>
      </x:c>
      <x:c r="J37" s="66" t="str">
        <x:f>IF(INDEX($T$2:$T$78,MATCH(A37,$V$2:$V$78,0))="","",INDEX($T$2:$T$78,MATCH(A37,$V$2:$V$78,0)))</x:f>
        <x:v>https://gs.amac.org.cn/amac-infodisc/res/pof/manager/101000049159.html</x:v>
      </x:c>
      <x:c r="K37" s="66" t="n">
        <x:f>IF(INDEX($U$2:$U$78,MATCH(A37,$V$2:$V$78,0))="","",INDEX($U$2:$U$78,MATCH(A37,$V$2:$V$78,0)))</x:f>
        <x:v>119</x:v>
      </x:c>
      <x:c r="L37" s="80" t="str">
        <x:v>佳泽信享5号B类</x:v>
      </x:c>
      <x:c r="M37" s="80" t="str">
        <x:v>ZC395B</x:v>
      </x:c>
      <x:c r="N37" s="80" t="str">
        <x:v>海南佳泽</x:v>
      </x:c>
      <x:c r="O37" s="80" t="str">
        <x:v>0-5亿元</x:v>
      </x:c>
      <x:c r="P37" s="81" t="str">
        <x:f>IF(ABS('sheet2-计算明细'!AQ92-1)&lt;0.00000001,'sheet2-计算明细'!AR92,"")</x:f>
      </x:c>
      <x:c r="Q37" s="81" t="n">
        <x:f>'sheet2-计算明细'!AS92</x:f>
        <x:v>71.52</x:v>
      </x:c>
      <x:c r="R37" s="82" t="n">
        <x:f>'sheet2-计算明细'!AQ92</x:f>
        <x:v>0.9550000000000001</x:v>
      </x:c>
      <x:c r="S37" s="80" t="str">
        <x:v>协会提示／报送异常</x:v>
      </x:c>
      <x:c r="T37" s="80" t="str">
        <x:v>https://gs.amac.org.cn/amac-infodisc/res/pof/manager/2202171443109430.html</x:v>
      </x:c>
      <x:c r="U37" s="80" t="n">
        <x:f>'sheet2-计算明细'!AT92</x:f>
        <x:v>64</x:v>
      </x:c>
      <x:c r="V37" s="80" t="n">
        <x:f>COUNTIF($U$2:$U$78,"&lt;"&amp;U37)+1</x:f>
        <x:v>21</x:v>
      </x:c>
    </x:row>
    <x:row r="38" ht="27" customHeight="1">
      <x:c r="A38" s="66" t="n">
        <x:v>37</x:v>
      </x:c>
      <x:c r="B38" s="66" t="str">
        <x:f>IF(INDEX($L$2:$L$78,MATCH(A38,$V$2:$V$78,0))="","",INDEX($L$2:$L$78,MATCH(A38,$V$2:$V$78,0)))</x:f>
        <x:v>炽浪衍复9号</x:v>
      </x:c>
      <x:c r="C38" s="66" t="str">
        <x:f>IF(INDEX($M$2:$M$78,MATCH(A38,$V$2:$V$78,0))="","",INDEX($M$2:$M$78,MATCH(A38,$V$2:$V$78,0)))</x:f>
        <x:v>SXH337</x:v>
      </x:c>
      <x:c r="D38" s="66" t="str">
        <x:f>IF(INDEX($N$2:$N$78,MATCH(A38,$V$2:$V$78,0))="","",INDEX($N$2:$N$78,MATCH(A38,$V$2:$V$78,0)))</x:f>
        <x:v>海南炽浪</x:v>
      </x:c>
      <x:c r="E38" s="66" t="str">
        <x:f>IF(INDEX($O$2:$O$78,MATCH(A38,$V$2:$V$78,0))="","",INDEX($O$2:$O$78,MATCH(A38,$V$2:$V$78,0)))</x:f>
        <x:v>0-5亿元</x:v>
      </x:c>
      <x:c r="F38" s="77" t="n">
        <x:f>IF(INDEX($P$2:$P$78,MATCH(A38,$V$2:$V$78,0))="","",INDEX($P$2:$P$78,MATCH(A38,$V$2:$V$78,0)))</x:f>
        <x:v>56.07321999999999</x:v>
      </x:c>
      <x:c r="G38" s="77" t="n">
        <x:f>IF(INDEX($Q$2:$Q$78,MATCH(A38,$V$2:$V$78,0))="","",INDEX($Q$2:$Q$78,MATCH(A38,$V$2:$V$78,0)))</x:f>
        <x:v>56.07</x:v>
      </x:c>
      <x:c r="H38" s="78" t="n">
        <x:f>IF(INDEX($R$2:$R$78,MATCH(A38,$V$2:$V$78,0))="","",INDEX($R$2:$R$78,MATCH(A38,$V$2:$V$78,0)))</x:f>
        <x:v>1</x:v>
      </x:c>
      <x:c r="I38" s="66" t="str">
        <x:f>IF(INDEX($S$2:$S$78,MATCH(A38,$V$2:$V$78,0))="","",INDEX($S$2:$S$78,MATCH(A38,$V$2:$V$78,0)))</x:f>
        <x:v>协会提示／报送异常</x:v>
      </x:c>
      <x:c r="J38" s="66" t="str">
        <x:f>IF(INDEX($T$2:$T$78,MATCH(A38,$V$2:$V$78,0))="","",INDEX($T$2:$T$78,MATCH(A38,$V$2:$V$78,0)))</x:f>
        <x:v>https://gs.amac.org.cn/amac-infodisc/res/pof/manager/2005090837103499.html</x:v>
      </x:c>
      <x:c r="K38" s="66" t="n">
        <x:f>IF(INDEX($U$2:$U$78,MATCH(A38,$V$2:$V$78,0))="","",INDEX($U$2:$U$78,MATCH(A38,$V$2:$V$78,0)))</x:f>
        <x:v>123</x:v>
      </x:c>
      <x:c r="L38" s="80" t="str">
        <x:v>晟通京华宏观对冲</x:v>
      </x:c>
      <x:c r="M38" s="80" t="str">
        <x:v>SNG078</x:v>
      </x:c>
      <x:c r="N38" s="80" t="str">
        <x:v>深圳前海晟通资管</x:v>
      </x:c>
      <x:c r="O38" s="80" t="str">
        <x:v>0-5亿元</x:v>
      </x:c>
      <x:c r="P38" s="81" t="n">
        <x:f>IF(ABS('sheet2-计算明细'!AQ94-1)&lt;0.00000001,'sheet2-计算明细'!AR94,"")</x:f>
        <x:v>29.318229999999996</x:v>
      </x:c>
      <x:c r="Q38" s="81" t="n">
        <x:f>'sheet2-计算明细'!AS94</x:f>
        <x:v>29.32</x:v>
      </x:c>
      <x:c r="R38" s="82" t="n">
        <x:f>'sheet2-计算明细'!AQ94</x:f>
        <x:v>1</x:v>
      </x:c>
      <x:c r="S38" s="80" t="str">
        <x:v>本次公示未见相关记录</x:v>
      </x:c>
      <x:c r="T38" s="80" t="str">
        <x:v>https://gs.amac.org.cn/amac-infodisc/res/pof/manager/1703281619108152.html</x:v>
      </x:c>
      <x:c r="U38" s="80" t="n">
        <x:f>'sheet2-计算明细'!AT94</x:f>
        <x:v>194</x:v>
      </x:c>
      <x:c r="V38" s="80" t="n">
        <x:f>COUNTIF($U$2:$U$78,"&lt;"&amp;U38)+1</x:f>
        <x:v>73</x:v>
      </x:c>
    </x:row>
    <x:row r="39" ht="27" customHeight="1">
      <x:c r="A39" s="66" t="n">
        <x:v>38</x:v>
      </x:c>
      <x:c r="B39" s="66" t="str">
        <x:f>IF(INDEX($L$2:$L$78,MATCH(A39,$V$2:$V$78,0))="","",INDEX($L$2:$L$78,MATCH(A39,$V$2:$V$78,0)))</x:f>
        <x:v>鑫翰启明复合策略三期</x:v>
      </x:c>
      <x:c r="C39" s="66" t="str">
        <x:f>IF(INDEX($M$2:$M$78,MATCH(A39,$V$2:$V$78,0))="","",INDEX($M$2:$M$78,MATCH(A39,$V$2:$V$78,0)))</x:f>
        <x:v>SZR346</x:v>
      </x:c>
      <x:c r="D39" s="66" t="str">
        <x:f>IF(INDEX($N$2:$N$78,MATCH(A39,$V$2:$V$78,0))="","",INDEX($N$2:$N$78,MATCH(A39,$V$2:$V$78,0)))</x:f>
        <x:v>北京鑫翰资管</x:v>
      </x:c>
      <x:c r="E39" s="66" t="str">
        <x:f>IF(INDEX($O$2:$O$78,MATCH(A39,$V$2:$V$78,0))="","",INDEX($O$2:$O$78,MATCH(A39,$V$2:$V$78,0)))</x:f>
        <x:v>0-5亿元</x:v>
      </x:c>
      <x:c r="F39" s="77" t="n">
        <x:f>IF(INDEX($P$2:$P$78,MATCH(A39,$V$2:$V$78,0))="","",INDEX($P$2:$P$78,MATCH(A39,$V$2:$V$78,0)))</x:f>
        <x:v>55.42106999999999</x:v>
      </x:c>
      <x:c r="G39" s="77" t="n">
        <x:f>IF(INDEX($Q$2:$Q$78,MATCH(A39,$V$2:$V$78,0))="","",INDEX($Q$2:$Q$78,MATCH(A39,$V$2:$V$78,0)))</x:f>
        <x:v>55.42</x:v>
      </x:c>
      <x:c r="H39" s="78" t="n">
        <x:f>IF(INDEX($R$2:$R$78,MATCH(A39,$V$2:$V$78,0))="","",INDEX($R$2:$R$78,MATCH(A39,$V$2:$V$78,0)))</x:f>
        <x:v>1</x:v>
      </x:c>
      <x:c r="I39" s="66" t="str">
        <x:f>IF(INDEX($S$2:$S$78,MATCH(A39,$V$2:$V$78,0))="","",INDEX($S$2:$S$78,MATCH(A39,$V$2:$V$78,0)))</x:f>
        <x:v>本次公示未见相关记录</x:v>
      </x:c>
      <x:c r="J39" s="66" t="str">
        <x:f>IF(INDEX($T$2:$T$78,MATCH(A39,$V$2:$V$78,0))="","",INDEX($T$2:$T$78,MATCH(A39,$V$2:$V$78,0)))</x:f>
        <x:v>https://gs.amac.org.cn/amac-infodisc/res/pof/manager/1906200947105473.html</x:v>
      </x:c>
      <x:c r="K39" s="66" t="n">
        <x:f>IF(INDEX($U$2:$U$78,MATCH(A39,$V$2:$V$78,0))="","",INDEX($U$2:$U$78,MATCH(A39,$V$2:$V$78,0)))</x:f>
        <x:v>124</x:v>
      </x:c>
      <x:c r="L39" s="80" t="str">
        <x:v>时间稳健1号</x:v>
      </x:c>
      <x:c r="M39" s="80" t="str">
        <x:v>SZM840</x:v>
      </x:c>
      <x:c r="N39" s="80" t="str">
        <x:v>青岛时间</x:v>
      </x:c>
      <x:c r="O39" s="80" t="str">
        <x:v>0-5亿元</x:v>
      </x:c>
      <x:c r="P39" s="81" t="n">
        <x:f>IF(ABS('sheet2-计算明细'!AQ98-1)&lt;0.00000001,'sheet2-计算明细'!AR98,"")</x:f>
        <x:v>64.08274</x:v>
      </x:c>
      <x:c r="Q39" s="81" t="n">
        <x:f>'sheet2-计算明细'!AS98</x:f>
        <x:v>64.08</x:v>
      </x:c>
      <x:c r="R39" s="82" t="n">
        <x:f>'sheet2-计算明细'!AQ98</x:f>
        <x:v>1</x:v>
      </x:c>
      <x:c r="S39" s="80" t="str">
        <x:v>本次公示未见相关记录</x:v>
      </x:c>
      <x:c r="T39" s="80" t="str">
        <x:v>https://gs.amac.org.cn/amac-infodisc/res/pof/manager/2007291034107765.html</x:v>
      </x:c>
      <x:c r="U39" s="80" t="n">
        <x:f>'sheet2-计算明细'!AT98</x:f>
        <x:v>94</x:v>
      </x:c>
      <x:c r="V39" s="80" t="n">
        <x:f>COUNTIF($U$2:$U$78,"&lt;"&amp;U39)+1</x:f>
        <x:v>31</x:v>
      </x:c>
    </x:row>
    <x:row r="40" ht="27" customHeight="1">
      <x:c r="A40" s="66" t="n">
        <x:v>39</x:v>
      </x:c>
      <x:c r="B40" s="66" t="str">
        <x:f>IF(INDEX($L$2:$L$78,MATCH(A40,$V$2:$V$78,0))="","",INDEX($L$2:$L$78,MATCH(A40,$V$2:$V$78,0)))</x:f>
        <x:v>蒙森斯道特恒星三号</x:v>
      </x:c>
      <x:c r="C40" s="66" t="str">
        <x:f>IF(INDEX($M$2:$M$78,MATCH(A40,$V$2:$V$78,0))="","",INDEX($M$2:$M$78,MATCH(A40,$V$2:$V$78,0)))</x:f>
        <x:v>SJM626</x:v>
      </x:c>
      <x:c r="D40" s="66" t="str">
        <x:f>IF(INDEX($N$2:$N$78,MATCH(A40,$V$2:$V$78,0))="","",INDEX($N$2:$N$78,MATCH(A40,$V$2:$V$78,0)))</x:f>
        <x:v>上海蒙森投资</x:v>
      </x:c>
      <x:c r="E40" s="66" t="str">
        <x:f>IF(INDEX($O$2:$O$78,MATCH(A40,$V$2:$V$78,0))="","",INDEX($O$2:$O$78,MATCH(A40,$V$2:$V$78,0)))</x:f>
        <x:v>0-5亿元</x:v>
      </x:c>
      <x:c r="F40" s="77" t="n">
        <x:f>IF(INDEX($P$2:$P$78,MATCH(A40,$V$2:$V$78,0))="","",INDEX($P$2:$P$78,MATCH(A40,$V$2:$V$78,0)))</x:f>
        <x:v>55.09148</x:v>
      </x:c>
      <x:c r="G40" s="77" t="n">
        <x:f>IF(INDEX($Q$2:$Q$78,MATCH(A40,$V$2:$V$78,0))="","",INDEX($Q$2:$Q$78,MATCH(A40,$V$2:$V$78,0)))</x:f>
        <x:v>55.09</x:v>
      </x:c>
      <x:c r="H40" s="78" t="n">
        <x:f>IF(INDEX($R$2:$R$78,MATCH(A40,$V$2:$V$78,0))="","",INDEX($R$2:$R$78,MATCH(A40,$V$2:$V$78,0)))</x:f>
        <x:v>1</x:v>
      </x:c>
      <x:c r="I40" s="66" t="str">
        <x:f>IF(INDEX($S$2:$S$78,MATCH(A40,$V$2:$V$78,0))="","",INDEX($S$2:$S$78,MATCH(A40,$V$2:$V$78,0)))</x:f>
        <x:v>监管警示函</x:v>
      </x:c>
      <x:c r="J40" s="66" t="str">
        <x:f>IF(INDEX($T$2:$T$78,MATCH(A40,$V$2:$V$78,0))="","",INDEX($T$2:$T$78,MATCH(A40,$V$2:$V$78,0)))</x:f>
        <x:v>https://gs.amac.org.cn/amac-infodisc/res/pof/manager/101000010726.html</x:v>
      </x:c>
      <x:c r="K40" s="66" t="n">
        <x:f>IF(INDEX($U$2:$U$78,MATCH(A40,$V$2:$V$78,0))="","",INDEX($U$2:$U$78,MATCH(A40,$V$2:$V$78,0)))</x:f>
        <x:v>125</x:v>
      </x:c>
      <x:c r="L40" s="80" t="str">
        <x:v>祁腾蜂赢1号</x:v>
      </x:c>
      <x:c r="M40" s="80" t="str">
        <x:v>SEV580</x:v>
      </x:c>
      <x:c r="N40" s="80" t="str">
        <x:v>宁波祁腾投资</x:v>
      </x:c>
      <x:c r="O40" s="80" t="str">
        <x:v>0-5亿元</x:v>
      </x:c>
      <x:c r="P40" s="81" t="n">
        <x:f>IF(ABS('sheet2-计算明细'!AQ103-1)&lt;0.00000001,'sheet2-计算明细'!AR103,"")</x:f>
        <x:v>91.02081076923076</x:v>
      </x:c>
      <x:c r="Q40" s="81" t="n">
        <x:f>'sheet2-计算明细'!AS103</x:f>
        <x:v>91.02</x:v>
      </x:c>
      <x:c r="R40" s="82" t="n">
        <x:f>'sheet2-计算明细'!AQ103</x:f>
        <x:v>1</x:v>
      </x:c>
      <x:c r="S40" s="80" t="str">
        <x:v>协会提示／报送异常</x:v>
      </x:c>
      <x:c r="T40" s="80" t="str">
        <x:v>https://gs.amac.org.cn/amac-infodisc/res/pof/manager/1809041559102185.html</x:v>
      </x:c>
      <x:c r="U40" s="80" t="n">
        <x:f>'sheet2-计算明细'!AT103</x:f>
        <x:v>5</x:v>
      </x:c>
      <x:c r="V40" s="80" t="n">
        <x:f>COUNTIF($U$2:$U$78,"&lt;"&amp;U40)+1</x:f>
        <x:v>2</x:v>
      </x:c>
    </x:row>
    <x:row r="41" ht="27" customHeight="1">
      <x:c r="A41" s="66" t="n">
        <x:v>40</x:v>
      </x:c>
      <x:c r="B41" s="66" t="str">
        <x:f>IF(INDEX($L$2:$L$78,MATCH(A41,$V$2:$V$78,0))="","",INDEX($L$2:$L$78,MATCH(A41,$V$2:$V$78,0)))</x:f>
        <x:v>鑫泰禾汇投1号</x:v>
      </x:c>
      <x:c r="C41" s="66" t="str">
        <x:f>IF(INDEX($M$2:$M$78,MATCH(A41,$V$2:$V$78,0))="","",INDEX($M$2:$M$78,MATCH(A41,$V$2:$V$78,0)))</x:f>
        <x:v>SZP735</x:v>
      </x:c>
      <x:c r="D41" s="66" t="str">
        <x:f>IF(INDEX($N$2:$N$78,MATCH(A41,$V$2:$V$78,0))="","",INDEX($N$2:$N$78,MATCH(A41,$V$2:$V$78,0)))</x:f>
        <x:v>深圳鑫泰禾</x:v>
      </x:c>
      <x:c r="E41" s="66" t="str">
        <x:f>IF(INDEX($O$2:$O$78,MATCH(A41,$V$2:$V$78,0))="","",INDEX($O$2:$O$78,MATCH(A41,$V$2:$V$78,0)))</x:f>
        <x:v>0-5亿元</x:v>
      </x:c>
      <x:c r="F41" s="77" t="n">
        <x:f>IF(INDEX($P$2:$P$78,MATCH(A41,$V$2:$V$78,0))="","",INDEX($P$2:$P$78,MATCH(A41,$V$2:$V$78,0)))</x:f>
        <x:v>54.67088</x:v>
      </x:c>
      <x:c r="G41" s="77" t="n">
        <x:f>IF(INDEX($Q$2:$Q$78,MATCH(A41,$V$2:$V$78,0))="","",INDEX($Q$2:$Q$78,MATCH(A41,$V$2:$V$78,0)))</x:f>
        <x:v>54.67</x:v>
      </x:c>
      <x:c r="H41" s="78" t="n">
        <x:f>IF(INDEX($R$2:$R$78,MATCH(A41,$V$2:$V$78,0))="","",INDEX($R$2:$R$78,MATCH(A41,$V$2:$V$78,0)))</x:f>
        <x:v>1</x:v>
      </x:c>
      <x:c r="I41" s="66" t="str">
        <x:f>IF(INDEX($S$2:$S$78,MATCH(A41,$V$2:$V$78,0))="","",INDEX($S$2:$S$78,MATCH(A41,$V$2:$V$78,0)))</x:f>
        <x:v>协会提示／报送异常</x:v>
      </x:c>
      <x:c r="J41" s="66" t="str">
        <x:f>IF(INDEX($T$2:$T$78,MATCH(A41,$V$2:$V$78,0))="","",INDEX($T$2:$T$78,MATCH(A41,$V$2:$V$78,0)))</x:f>
        <x:v>https://gs.amac.org.cn/amac-infodisc/res/pof/manager/101000041857.html</x:v>
      </x:c>
      <x:c r="K41" s="66" t="n">
        <x:f>IF(INDEX($U$2:$U$78,MATCH(A41,$V$2:$V$78,0))="","",INDEX($U$2:$U$78,MATCH(A41,$V$2:$V$78,0)))</x:f>
        <x:v>127</x:v>
      </x:c>
      <x:c r="L41" s="80" t="str">
        <x:v>杉阳云杉混合1号</x:v>
      </x:c>
      <x:c r="M41" s="80" t="str">
        <x:v>SLA063</x:v>
      </x:c>
      <x:c r="N41" s="80" t="str">
        <x:v>上海杉阳</x:v>
      </x:c>
      <x:c r="O41" s="80" t="str">
        <x:v>0-5亿元</x:v>
      </x:c>
      <x:c r="P41" s="81" t="n">
        <x:f>IF(ABS('sheet2-计算明细'!AQ105-1)&lt;0.00000001,'sheet2-计算明细'!AR105,"")</x:f>
        <x:v>69.78607</x:v>
      </x:c>
      <x:c r="Q41" s="81" t="n">
        <x:f>'sheet2-计算明细'!AS105</x:f>
        <x:v>69.79</x:v>
      </x:c>
      <x:c r="R41" s="82" t="n">
        <x:f>'sheet2-计算明细'!AQ105</x:f>
        <x:v>1</x:v>
      </x:c>
      <x:c r="S41" s="80" t="str">
        <x:v>本次公示未见相关记录</x:v>
      </x:c>
      <x:c r="T41" s="80" t="str">
        <x:v>https://gs.amac.org.cn/amac-infodisc/res/pof/manager/2001061547104837.html</x:v>
      </x:c>
      <x:c r="U41" s="80" t="n">
        <x:f>'sheet2-计算明细'!AT105</x:f>
        <x:v>73</x:v>
      </x:c>
      <x:c r="V41" s="80" t="n">
        <x:f>COUNTIF($U$2:$U$78,"&lt;"&amp;U41)+1</x:f>
        <x:v>25</x:v>
      </x:c>
    </x:row>
    <x:row r="42" ht="27" customHeight="1">
      <x:c r="A42" s="66" t="n">
        <x:v>41</x:v>
      </x:c>
      <x:c r="B42" s="66" t="str">
        <x:f>IF(INDEX($L$2:$L$78,MATCH(A42,$V$2:$V$78,0))="","",INDEX($L$2:$L$78,MATCH(A42,$V$2:$V$78,0)))</x:f>
        <x:v>本利达利磐一号</x:v>
      </x:c>
      <x:c r="C42" s="66" t="str">
        <x:f>IF(INDEX($M$2:$M$78,MATCH(A42,$V$2:$V$78,0))="","",INDEX($M$2:$M$78,MATCH(A42,$V$2:$V$78,0)))</x:f>
        <x:v>SJF426</x:v>
      </x:c>
      <x:c r="D42" s="66" t="str">
        <x:f>IF(INDEX($N$2:$N$78,MATCH(A42,$V$2:$V$78,0))="","",INDEX($N$2:$N$78,MATCH(A42,$V$2:$V$78,0)))</x:f>
        <x:v>深圳本利达资管</x:v>
      </x:c>
      <x:c r="E42" s="66" t="str">
        <x:f>IF(INDEX($O$2:$O$78,MATCH(A42,$V$2:$V$78,0))="","",INDEX($O$2:$O$78,MATCH(A42,$V$2:$V$78,0)))</x:f>
        <x:v>0-5亿元</x:v>
      </x:c>
      <x:c r="F42" s="77" t="n">
        <x:f>IF(INDEX($P$2:$P$78,MATCH(A42,$V$2:$V$78,0))="","",INDEX($P$2:$P$78,MATCH(A42,$V$2:$V$78,0)))</x:f>
        <x:v>53.63127</x:v>
      </x:c>
      <x:c r="G42" s="77" t="n">
        <x:f>IF(INDEX($Q$2:$Q$78,MATCH(A42,$V$2:$V$78,0))="","",INDEX($Q$2:$Q$78,MATCH(A42,$V$2:$V$78,0)))</x:f>
        <x:v>53.63</x:v>
      </x:c>
      <x:c r="H42" s="78" t="n">
        <x:f>IF(INDEX($R$2:$R$78,MATCH(A42,$V$2:$V$78,0))="","",INDEX($R$2:$R$78,MATCH(A42,$V$2:$V$78,0)))</x:f>
        <x:v>1</x:v>
      </x:c>
      <x:c r="I42" s="66" t="str">
        <x:f>IF(INDEX($S$2:$S$78,MATCH(A42,$V$2:$V$78,0))="","",INDEX($S$2:$S$78,MATCH(A42,$V$2:$V$78,0)))</x:f>
        <x:v>本次公示未见相关记录</x:v>
      </x:c>
      <x:c r="J42" s="66" t="str">
        <x:f>IF(INDEX($T$2:$T$78,MATCH(A42,$V$2:$V$78,0))="","",INDEX($T$2:$T$78,MATCH(A42,$V$2:$V$78,0)))</x:f>
        <x:v>https://gs.amac.org.cn/amac-infodisc/res/pof/manager/101000028552.html</x:v>
      </x:c>
      <x:c r="K42" s="66" t="n">
        <x:f>IF(INDEX($U$2:$U$78,MATCH(A42,$V$2:$V$78,0))="","",INDEX($U$2:$U$78,MATCH(A42,$V$2:$V$78,0)))</x:f>
        <x:v>133</x:v>
      </x:c>
      <x:c r="L42" s="80" t="str">
        <x:v>钧誉厚德量化对冲11号</x:v>
      </x:c>
      <x:c r="M42" s="80" t="str">
        <x:v>SQN453</x:v>
      </x:c>
      <x:c r="N42" s="80" t="str">
        <x:v>珠海钧誉资管</x:v>
      </x:c>
      <x:c r="O42" s="80" t="str">
        <x:v>0-5亿元</x:v>
      </x:c>
      <x:c r="P42" s="81" t="str">
        <x:f>IF(ABS('sheet2-计算明细'!AQ111-1)&lt;0.00000001,'sheet2-计算明细'!AR111,"")</x:f>
      </x:c>
      <x:c r="Q42" s="81" t="n">
        <x:f>'sheet2-计算明细'!AS111</x:f>
        <x:v>86.38</x:v>
      </x:c>
      <x:c r="R42" s="82" t="n">
        <x:f>'sheet2-计算明细'!AQ111</x:f>
        <x:v>0.88</x:v>
      </x:c>
      <x:c r="S42" s="80" t="str">
        <x:v>本次公示未见相关记录</x:v>
      </x:c>
      <x:c r="T42" s="80" t="str">
        <x:v>https://gs.amac.org.cn/amac-infodisc/res/pof/manager/1801241613109731.html</x:v>
      </x:c>
      <x:c r="U42" s="80" t="n">
        <x:f>'sheet2-计算明细'!AT111</x:f>
        <x:v>13</x:v>
      </x:c>
      <x:c r="V42" s="80" t="n">
        <x:f>COUNTIF($U$2:$U$78,"&lt;"&amp;U42)+1</x:f>
        <x:v>5</x:v>
      </x:c>
    </x:row>
    <x:row r="43" ht="27" customHeight="1">
      <x:c r="A43" s="66" t="n">
        <x:v>42</x:v>
      </x:c>
      <x:c r="B43" s="66" t="str">
        <x:f>IF(INDEX($L$2:$L$78,MATCH(A43,$V$2:$V$78,0))="","",INDEX($L$2:$L$78,MATCH(A43,$V$2:$V$78,0)))</x:f>
        <x:v>系数CTA套利五号</x:v>
      </x:c>
      <x:c r="C43" s="66" t="str">
        <x:f>IF(INDEX($M$2:$M$78,MATCH(A43,$V$2:$V$78,0))="","",INDEX($M$2:$M$78,MATCH(A43,$V$2:$V$78,0)))</x:f>
        <x:v>SXT086</x:v>
      </x:c>
      <x:c r="D43" s="66" t="str">
        <x:f>IF(INDEX($N$2:$N$78,MATCH(A43,$V$2:$V$78,0))="","",INDEX($N$2:$N$78,MATCH(A43,$V$2:$V$78,0)))</x:f>
        <x:v>上海系数投资</x:v>
      </x:c>
      <x:c r="E43" s="66" t="str">
        <x:f>IF(INDEX($O$2:$O$78,MATCH(A43,$V$2:$V$78,0))="","",INDEX($O$2:$O$78,MATCH(A43,$V$2:$V$78,0)))</x:f>
        <x:v>0-5亿元</x:v>
      </x:c>
      <x:c r="F43" s="77" t="str">
        <x:f>IF(INDEX($P$2:$P$78,MATCH(A43,$V$2:$V$78,0))="","",INDEX($P$2:$P$78,MATCH(A43,$V$2:$V$78,0)))</x:f>
      </x:c>
      <x:c r="G43" s="77" t="n">
        <x:f>IF(INDEX($Q$2:$Q$78,MATCH(A43,$V$2:$V$78,0))="","",INDEX($Q$2:$Q$78,MATCH(A43,$V$2:$V$78,0)))</x:f>
        <x:v>53.19</x:v>
      </x:c>
      <x:c r="H43" s="78" t="n">
        <x:f>IF(INDEX($R$2:$R$78,MATCH(A43,$V$2:$V$78,0))="","",INDEX($R$2:$R$78,MATCH(A43,$V$2:$V$78,0)))</x:f>
        <x:v>0.88</x:v>
      </x:c>
      <x:c r="I43" s="66" t="str">
        <x:f>IF(INDEX($S$2:$S$78,MATCH(A43,$V$2:$V$78,0))="","",INDEX($S$2:$S$78,MATCH(A43,$V$2:$V$78,0)))</x:f>
        <x:v>本次公示未见相关记录</x:v>
      </x:c>
      <x:c r="J43" s="66" t="str">
        <x:f>IF(INDEX($T$2:$T$78,MATCH(A43,$V$2:$V$78,0))="","",INDEX($T$2:$T$78,MATCH(A43,$V$2:$V$78,0)))</x:f>
        <x:v>https://gs.amac.org.cn/amac-infodisc/res/pof/manager/101000000497.html</x:v>
      </x:c>
      <x:c r="K43" s="66" t="n">
        <x:f>IF(INDEX($U$2:$U$78,MATCH(A43,$V$2:$V$78,0))="","",INDEX($U$2:$U$78,MATCH(A43,$V$2:$V$78,0)))</x:f>
        <x:v>134</x:v>
      </x:c>
      <x:c r="L43" s="80" t="str">
        <x:v>杉阳云杉混合1号A类</x:v>
      </x:c>
      <x:c r="M43" s="80" t="str">
        <x:v>LA063A</x:v>
      </x:c>
      <x:c r="N43" s="80" t="str">
        <x:v>上海杉阳</x:v>
      </x:c>
      <x:c r="O43" s="80" t="str">
        <x:v>0-5亿元</x:v>
      </x:c>
      <x:c r="P43" s="81" t="str">
        <x:f>IF(ABS('sheet2-计算明细'!AQ112-1)&lt;0.00000001,'sheet2-计算明细'!AR112,"")</x:f>
      </x:c>
      <x:c r="Q43" s="81" t="n">
        <x:f>'sheet2-计算明细'!AS112</x:f>
        <x:v>65.5</x:v>
      </x:c>
      <x:c r="R43" s="82" t="n">
        <x:f>'sheet2-计算明细'!AQ112</x:f>
        <x:v>0.9550000000000001</x:v>
      </x:c>
      <x:c r="S43" s="80" t="str">
        <x:v>本次公示未见相关记录</x:v>
      </x:c>
      <x:c r="T43" s="80" t="str">
        <x:v>https://gs.amac.org.cn/amac-infodisc/res/pof/manager/2001061547104837.html</x:v>
      </x:c>
      <x:c r="U43" s="80" t="n">
        <x:f>'sheet2-计算明细'!AT112</x:f>
        <x:v>90</x:v>
      </x:c>
      <x:c r="V43" s="80" t="n">
        <x:f>COUNTIF($U$2:$U$78,"&lt;"&amp;U43)+1</x:f>
        <x:v>30</x:v>
      </x:c>
    </x:row>
    <x:row r="44" ht="27" customHeight="1">
      <x:c r="A44" s="66" t="n">
        <x:v>43</x:v>
      </x:c>
      <x:c r="B44" s="66" t="str">
        <x:f>IF(INDEX($L$2:$L$78,MATCH(A44,$V$2:$V$78,0))="","",INDEX($L$2:$L$78,MATCH(A44,$V$2:$V$78,0)))</x:f>
        <x:v>新时代智能量化3号</x:v>
      </x:c>
      <x:c r="C44" s="66" t="str">
        <x:f>IF(INDEX($M$2:$M$78,MATCH(A44,$V$2:$V$78,0))="","",INDEX($M$2:$M$78,MATCH(A44,$V$2:$V$78,0)))</x:f>
        <x:v>SEM001</x:v>
      </x:c>
      <x:c r="D44" s="66" t="str">
        <x:f>IF(INDEX($N$2:$N$78,MATCH(A44,$V$2:$V$78,0))="","",INDEX($N$2:$N$78,MATCH(A44,$V$2:$V$78,0)))</x:f>
        <x:v>杭州探融投资</x:v>
      </x:c>
      <x:c r="E44" s="66" t="str">
        <x:f>IF(INDEX($O$2:$O$78,MATCH(A44,$V$2:$V$78,0))="","",INDEX($O$2:$O$78,MATCH(A44,$V$2:$V$78,0)))</x:f>
        <x:v>0-5亿元</x:v>
      </x:c>
      <x:c r="F44" s="77" t="str">
        <x:f>IF(INDEX($P$2:$P$78,MATCH(A44,$V$2:$V$78,0))="","",INDEX($P$2:$P$78,MATCH(A44,$V$2:$V$78,0)))</x:f>
      </x:c>
      <x:c r="G44" s="77" t="n">
        <x:f>IF(INDEX($Q$2:$Q$78,MATCH(A44,$V$2:$V$78,0))="","",INDEX($Q$2:$Q$78,MATCH(A44,$V$2:$V$78,0)))</x:f>
        <x:v>52.95</x:v>
      </x:c>
      <x:c r="H44" s="78" t="n">
        <x:f>IF(INDEX($R$2:$R$78,MATCH(A44,$V$2:$V$78,0))="","",INDEX($R$2:$R$78,MATCH(A44,$V$2:$V$78,0)))</x:f>
        <x:v>0.88</x:v>
      </x:c>
      <x:c r="I44" s="66" t="str">
        <x:f>IF(INDEX($S$2:$S$78,MATCH(A44,$V$2:$V$78,0))="","",INDEX($S$2:$S$78,MATCH(A44,$V$2:$V$78,0)))</x:f>
        <x:v>本次公示未见相关记录</x:v>
      </x:c>
      <x:c r="J44" s="66" t="str">
        <x:f>IF(INDEX($T$2:$T$78,MATCH(A44,$V$2:$V$78,0))="","",INDEX($T$2:$T$78,MATCH(A44,$V$2:$V$78,0)))</x:f>
        <x:v>https://gs.amac.org.cn/amac-infodisc/res/pof/manager/101000049159.html</x:v>
      </x:c>
      <x:c r="K44" s="66" t="n">
        <x:f>IF(INDEX($U$2:$U$78,MATCH(A44,$V$2:$V$78,0))="","",INDEX($U$2:$U$78,MATCH(A44,$V$2:$V$78,0)))</x:f>
        <x:v>135</x:v>
      </x:c>
      <x:c r="L44" s="80" t="str">
        <x:v>系数CTA套利五号</x:v>
      </x:c>
      <x:c r="M44" s="80" t="str">
        <x:v>SXT086</x:v>
      </x:c>
      <x:c r="N44" s="80" t="str">
        <x:v>上海系数投资</x:v>
      </x:c>
      <x:c r="O44" s="80" t="str">
        <x:v>0-5亿元</x:v>
      </x:c>
      <x:c r="P44" s="81" t="str">
        <x:f>IF(ABS('sheet2-计算明细'!AQ118-1)&lt;0.00000001,'sheet2-计算明细'!AR118,"")</x:f>
      </x:c>
      <x:c r="Q44" s="81" t="n">
        <x:f>'sheet2-计算明细'!AS118</x:f>
        <x:v>53.19</x:v>
      </x:c>
      <x:c r="R44" s="82" t="n">
        <x:f>'sheet2-计算明细'!AQ118</x:f>
        <x:v>0.88</x:v>
      </x:c>
      <x:c r="S44" s="80" t="str">
        <x:v>本次公示未见相关记录</x:v>
      </x:c>
      <x:c r="T44" s="80" t="str">
        <x:v>https://gs.amac.org.cn/amac-infodisc/res/pof/manager/101000000497.html</x:v>
      </x:c>
      <x:c r="U44" s="80" t="n">
        <x:f>'sheet2-计算明细'!AT118</x:f>
        <x:v>134</x:v>
      </x:c>
      <x:c r="V44" s="80" t="n">
        <x:f>COUNTIF($U$2:$U$78,"&lt;"&amp;U44)+1</x:f>
        <x:v>42</x:v>
      </x:c>
    </x:row>
    <x:row r="45" ht="27" customHeight="1">
      <x:c r="A45" s="66" t="n">
        <x:v>44</x:v>
      </x:c>
      <x:c r="B45" s="66" t="str">
        <x:f>IF(INDEX($L$2:$L$78,MATCH(A45,$V$2:$V$78,0))="","",INDEX($L$2:$L$78,MATCH(A45,$V$2:$V$78,0)))</x:f>
        <x:v>宏量鼎诚</x:v>
      </x:c>
      <x:c r="C45" s="66" t="str">
        <x:f>IF(INDEX($M$2:$M$78,MATCH(A45,$V$2:$V$78,0))="","",INDEX($M$2:$M$78,MATCH(A45,$V$2:$V$78,0)))</x:f>
        <x:v>SGQ716</x:v>
      </x:c>
      <x:c r="D45" s="66" t="str">
        <x:f>IF(INDEX($N$2:$N$78,MATCH(A45,$V$2:$V$78,0))="","",INDEX($N$2:$N$78,MATCH(A45,$V$2:$V$78,0)))</x:f>
        <x:v>北京宏量资管</x:v>
      </x:c>
      <x:c r="E45" s="66" t="str">
        <x:f>IF(INDEX($O$2:$O$78,MATCH(A45,$V$2:$V$78,0))="","",INDEX($O$2:$O$78,MATCH(A45,$V$2:$V$78,0)))</x:f>
        <x:v>0-5亿元</x:v>
      </x:c>
      <x:c r="F45" s="77" t="str">
        <x:f>IF(INDEX($P$2:$P$78,MATCH(A45,$V$2:$V$78,0))="","",INDEX($P$2:$P$78,MATCH(A45,$V$2:$V$78,0)))</x:f>
      </x:c>
      <x:c r="G45" s="77" t="n">
        <x:f>IF(INDEX($Q$2:$Q$78,MATCH(A45,$V$2:$V$78,0))="","",INDEX($Q$2:$Q$78,MATCH(A45,$V$2:$V$78,0)))</x:f>
        <x:v>51.9</x:v>
      </x:c>
      <x:c r="H45" s="78" t="n">
        <x:f>IF(INDEX($R$2:$R$78,MATCH(A45,$V$2:$V$78,0))="","",INDEX($R$2:$R$78,MATCH(A45,$V$2:$V$78,0)))</x:f>
        <x:v>0.88</x:v>
      </x:c>
      <x:c r="I45" s="66" t="str">
        <x:f>IF(INDEX($S$2:$S$78,MATCH(A45,$V$2:$V$78,0))="","",INDEX($S$2:$S$78,MATCH(A45,$V$2:$V$78,0)))</x:f>
        <x:v>本次公示未见相关记录</x:v>
      </x:c>
      <x:c r="J45" s="66" t="str">
        <x:f>IF(INDEX($T$2:$T$78,MATCH(A45,$V$2:$V$78,0))="","",INDEX($T$2:$T$78,MATCH(A45,$V$2:$V$78,0)))</x:f>
        <x:v>https://gs.amac.org.cn/amac-infodisc/res/pof/manager/1706211851108652.html</x:v>
      </x:c>
      <x:c r="K45" s="66" t="n">
        <x:f>IF(INDEX($U$2:$U$78,MATCH(A45,$V$2:$V$78,0))="","",INDEX($U$2:$U$78,MATCH(A45,$V$2:$V$78,0)))</x:f>
        <x:v>137</x:v>
      </x:c>
      <x:c r="L45" s="80" t="str">
        <x:v>世宽若水尘心3号</x:v>
      </x:c>
      <x:c r="M45" s="80" t="str">
        <x:v>SXT730</x:v>
      </x:c>
      <x:c r="N45" s="80" t="str">
        <x:v>厦门世宽</x:v>
      </x:c>
      <x:c r="O45" s="80" t="str">
        <x:v>0-5亿元</x:v>
      </x:c>
      <x:c r="P45" s="81" t="n">
        <x:f>IF(ABS('sheet2-计算明细'!AQ119-1)&lt;0.00000001,'sheet2-计算明细'!AR119,"")</x:f>
        <x:v>88.44211384615384</x:v>
      </x:c>
      <x:c r="Q45" s="81" t="n">
        <x:f>'sheet2-计算明细'!AS119</x:f>
        <x:v>88.44</x:v>
      </x:c>
      <x:c r="R45" s="82" t="n">
        <x:f>'sheet2-计算明细'!AQ119</x:f>
        <x:v>1</x:v>
      </x:c>
      <x:c r="S45" s="80" t="str">
        <x:v>本次公示未见相关记录</x:v>
      </x:c>
      <x:c r="T45" s="80" t="str">
        <x:v>https://gs.amac.org.cn/amac-infodisc/res/pof/manager/101000026000.html</x:v>
      </x:c>
      <x:c r="U45" s="80" t="n">
        <x:f>'sheet2-计算明细'!AT119</x:f>
        <x:v>9</x:v>
      </x:c>
      <x:c r="V45" s="80" t="n">
        <x:f>COUNTIF($U$2:$U$78,"&lt;"&amp;U45)+1</x:f>
        <x:v>4</x:v>
      </x:c>
    </x:row>
    <x:row r="46" ht="27" customHeight="1">
      <x:c r="A46" s="66" t="n">
        <x:v>45</x:v>
      </x:c>
      <x:c r="B46" s="66" t="str">
        <x:f>IF(INDEX($L$2:$L$78,MATCH(A46,$V$2:$V$78,0))="","",INDEX($L$2:$L$78,MATCH(A46,$V$2:$V$78,0)))</x:f>
        <x:v>百奕传家一号</x:v>
      </x:c>
      <x:c r="C46" s="66" t="str">
        <x:f>IF(INDEX($M$2:$M$78,MATCH(A46,$V$2:$V$78,0))="","",INDEX($M$2:$M$78,MATCH(A46,$V$2:$V$78,0)))</x:f>
        <x:v>SJS027</x:v>
      </x:c>
      <x:c r="D46" s="66" t="str">
        <x:f>IF(INDEX($N$2:$N$78,MATCH(A46,$V$2:$V$78,0))="","",INDEX($N$2:$N$78,MATCH(A46,$V$2:$V$78,0)))</x:f>
        <x:v>上海百奕投资</x:v>
      </x:c>
      <x:c r="E46" s="66" t="str">
        <x:f>IF(INDEX($O$2:$O$78,MATCH(A46,$V$2:$V$78,0))="","",INDEX($O$2:$O$78,MATCH(A46,$V$2:$V$78,0)))</x:f>
        <x:v>0-5亿元</x:v>
      </x:c>
      <x:c r="F46" s="77" t="n">
        <x:f>IF(INDEX($P$2:$P$78,MATCH(A46,$V$2:$V$78,0))="","",INDEX($P$2:$P$78,MATCH(A46,$V$2:$V$78,0)))</x:f>
        <x:v>51.891310000000004</x:v>
      </x:c>
      <x:c r="G46" s="77" t="n">
        <x:f>IF(INDEX($Q$2:$Q$78,MATCH(A46,$V$2:$V$78,0))="","",INDEX($Q$2:$Q$78,MATCH(A46,$V$2:$V$78,0)))</x:f>
        <x:v>51.89</x:v>
      </x:c>
      <x:c r="H46" s="78" t="n">
        <x:f>IF(INDEX($R$2:$R$78,MATCH(A46,$V$2:$V$78,0))="","",INDEX($R$2:$R$78,MATCH(A46,$V$2:$V$78,0)))</x:f>
        <x:v>1</x:v>
      </x:c>
      <x:c r="I46" s="66" t="str">
        <x:f>IF(INDEX($S$2:$S$78,MATCH(A46,$V$2:$V$78,0))="","",INDEX($S$2:$S$78,MATCH(A46,$V$2:$V$78,0)))</x:f>
        <x:v>本次公示未见相关记录</x:v>
      </x:c>
      <x:c r="J46" s="66" t="str">
        <x:f>IF(INDEX($T$2:$T$78,MATCH(A46,$V$2:$V$78,0))="","",INDEX($T$2:$T$78,MATCH(A46,$V$2:$V$78,0)))</x:f>
        <x:v>https://gs.amac.org.cn/amac-infodisc/res/pof/manager/101000019935.html</x:v>
      </x:c>
      <x:c r="K46" s="66" t="n">
        <x:f>IF(INDEX($U$2:$U$78,MATCH(A46,$V$2:$V$78,0))="","",INDEX($U$2:$U$78,MATCH(A46,$V$2:$V$78,0)))</x:f>
        <x:v>138</x:v>
      </x:c>
      <x:c r="L46" s="80" t="str">
        <x:v>泓倍商品相对价值1号A类</x:v>
      </x:c>
      <x:c r="M46" s="80" t="str">
        <x:v>CU913A</x:v>
      </x:c>
      <x:c r="N46" s="80" t="str">
        <x:v>上海泓倍投资</x:v>
      </x:c>
      <x:c r="O46" s="80" t="str">
        <x:v>0-5亿元</x:v>
      </x:c>
      <x:c r="P46" s="81" t="str">
        <x:f>IF(ABS('sheet2-计算明细'!AQ120-1)&lt;0.00000001,'sheet2-计算明细'!AR120,"")</x:f>
      </x:c>
      <x:c r="Q46" s="81" t="n">
        <x:f>'sheet2-计算明细'!AS120</x:f>
        <x:v>44</x:v>
      </x:c>
      <x:c r="R46" s="82" t="n">
        <x:f>'sheet2-计算明细'!AQ120</x:f>
        <x:v>0.9550000000000001</x:v>
      </x:c>
      <x:c r="S46" s="80" t="str">
        <x:v>协会提示／报送异常</x:v>
      </x:c>
      <x:c r="T46" s="80" t="str">
        <x:v>https://gs.amac.org.cn/amac-infodisc/res/pof/manager/101000004914.html</x:v>
      </x:c>
      <x:c r="U46" s="80" t="n">
        <x:f>'sheet2-计算明细'!AT120</x:f>
        <x:v>162</x:v>
      </x:c>
      <x:c r="V46" s="80" t="n">
        <x:f>COUNTIF($U$2:$U$78,"&lt;"&amp;U46)+1</x:f>
        <x:v>58</x:v>
      </x:c>
    </x:row>
    <x:row r="47" ht="27" customHeight="1">
      <x:c r="A47" s="66" t="n">
        <x:v>46</x:v>
      </x:c>
      <x:c r="B47" s="66" t="str">
        <x:f>IF(INDEX($L$2:$L$78,MATCH(A47,$V$2:$V$78,0))="","",INDEX($L$2:$L$78,MATCH(A47,$V$2:$V$78,0)))</x:f>
        <x:v>杉阳云杉转债1号</x:v>
      </x:c>
      <x:c r="C47" s="66" t="str">
        <x:f>IF(INDEX($M$2:$M$78,MATCH(A47,$V$2:$V$78,0))="","",INDEX($M$2:$M$78,MATCH(A47,$V$2:$V$78,0)))</x:f>
        <x:v>SLE395</x:v>
      </x:c>
      <x:c r="D47" s="66" t="str">
        <x:f>IF(INDEX($N$2:$N$78,MATCH(A47,$V$2:$V$78,0))="","",INDEX($N$2:$N$78,MATCH(A47,$V$2:$V$78,0)))</x:f>
        <x:v>上海杉阳</x:v>
      </x:c>
      <x:c r="E47" s="66" t="str">
        <x:f>IF(INDEX($O$2:$O$78,MATCH(A47,$V$2:$V$78,0))="","",INDEX($O$2:$O$78,MATCH(A47,$V$2:$V$78,0)))</x:f>
        <x:v>0-5亿元</x:v>
      </x:c>
      <x:c r="F47" s="77" t="n">
        <x:f>IF(INDEX($P$2:$P$78,MATCH(A47,$V$2:$V$78,0))="","",INDEX($P$2:$P$78,MATCH(A47,$V$2:$V$78,0)))</x:f>
        <x:v>51.841699999999996</x:v>
      </x:c>
      <x:c r="G47" s="77" t="n">
        <x:f>IF(INDEX($Q$2:$Q$78,MATCH(A47,$V$2:$V$78,0))="","",INDEX($Q$2:$Q$78,MATCH(A47,$V$2:$V$78,0)))</x:f>
        <x:v>51.84</x:v>
      </x:c>
      <x:c r="H47" s="78" t="n">
        <x:f>IF(INDEX($R$2:$R$78,MATCH(A47,$V$2:$V$78,0))="","",INDEX($R$2:$R$78,MATCH(A47,$V$2:$V$78,0)))</x:f>
        <x:v>1</x:v>
      </x:c>
      <x:c r="I47" s="66" t="str">
        <x:f>IF(INDEX($S$2:$S$78,MATCH(A47,$V$2:$V$78,0))="","",INDEX($S$2:$S$78,MATCH(A47,$V$2:$V$78,0)))</x:f>
        <x:v>本次公示未见相关记录</x:v>
      </x:c>
      <x:c r="J47" s="66" t="str">
        <x:f>IF(INDEX($T$2:$T$78,MATCH(A47,$V$2:$V$78,0))="","",INDEX($T$2:$T$78,MATCH(A47,$V$2:$V$78,0)))</x:f>
        <x:v>https://gs.amac.org.cn/amac-infodisc/res/pof/manager/2001061547104837.html</x:v>
      </x:c>
      <x:c r="K47" s="66" t="n">
        <x:f>IF(INDEX($U$2:$U$78,MATCH(A47,$V$2:$V$78,0))="","",INDEX($U$2:$U$78,MATCH(A47,$V$2:$V$78,0)))</x:f>
        <x:v>139</x:v>
      </x:c>
      <x:c r="L47" s="80" t="str">
        <x:v>珺墀价值投资甄选系列</x:v>
      </x:c>
      <x:c r="M47" s="80" t="str">
        <x:v>SD8791</x:v>
      </x:c>
      <x:c r="N47" s="80" t="str">
        <x:v>上海珺墀资管</x:v>
      </x:c>
      <x:c r="O47" s="80" t="str">
        <x:v>0-5亿元</x:v>
      </x:c>
      <x:c r="P47" s="81" t="n">
        <x:f>IF(ABS('sheet2-计算明细'!AQ124-1)&lt;0.00000001,'sheet2-计算明细'!AR124,"")</x:f>
        <x:v>45.666000000000004</x:v>
      </x:c>
      <x:c r="Q47" s="81" t="n">
        <x:f>'sheet2-计算明细'!AS124</x:f>
        <x:v>45.67</x:v>
      </x:c>
      <x:c r="R47" s="82" t="n">
        <x:f>'sheet2-计算明细'!AQ124</x:f>
        <x:v>1</x:v>
      </x:c>
      <x:c r="S47" s="80" t="str">
        <x:v>协会提示／报送异常</x:v>
      </x:c>
      <x:c r="T47" s="80" t="str">
        <x:v>https://gs.amac.org.cn/amac-infodisc/res/pof/manager/101000026339.html</x:v>
      </x:c>
      <x:c r="U47" s="80" t="n">
        <x:f>'sheet2-计算明细'!AT124</x:f>
        <x:v>157</x:v>
      </x:c>
      <x:c r="V47" s="80" t="n">
        <x:f>COUNTIF($U$2:$U$78,"&lt;"&amp;U47)+1</x:f>
        <x:v>55</x:v>
      </x:c>
    </x:row>
    <x:row r="48" ht="27" customHeight="1">
      <x:c r="A48" s="66" t="n">
        <x:v>47</x:v>
      </x:c>
      <x:c r="B48" s="66" t="str">
        <x:f>IF(INDEX($L$2:$L$78,MATCH(A48,$V$2:$V$78,0))="","",INDEX($L$2:$L$78,MATCH(A48,$V$2:$V$78,0)))</x:f>
        <x:v>银杏善利6号</x:v>
      </x:c>
      <x:c r="C48" s="66" t="str">
        <x:f>IF(INDEX($M$2:$M$78,MATCH(A48,$V$2:$V$78,0))="","",INDEX($M$2:$M$78,MATCH(A48,$V$2:$V$78,0)))</x:f>
        <x:v>SXS440</x:v>
      </x:c>
      <x:c r="D48" s="66" t="str">
        <x:f>IF(INDEX($N$2:$N$78,MATCH(A48,$V$2:$V$78,0))="","",INDEX($N$2:$N$78,MATCH(A48,$V$2:$V$78,0)))</x:f>
        <x:v>上海银杏</x:v>
      </x:c>
      <x:c r="E48" s="66" t="str">
        <x:f>IF(INDEX($O$2:$O$78,MATCH(A48,$V$2:$V$78,0))="","",INDEX($O$2:$O$78,MATCH(A48,$V$2:$V$78,0)))</x:f>
        <x:v>0-5亿元</x:v>
      </x:c>
      <x:c r="F48" s="77" t="n">
        <x:f>IF(INDEX($P$2:$P$78,MATCH(A48,$V$2:$V$78,0))="","",INDEX($P$2:$P$78,MATCH(A48,$V$2:$V$78,0)))</x:f>
        <x:v>51.734970000000004</x:v>
      </x:c>
      <x:c r="G48" s="77" t="n">
        <x:f>IF(INDEX($Q$2:$Q$78,MATCH(A48,$V$2:$V$78,0))="","",INDEX($Q$2:$Q$78,MATCH(A48,$V$2:$V$78,0)))</x:f>
        <x:v>51.73</x:v>
      </x:c>
      <x:c r="H48" s="78" t="n">
        <x:f>IF(INDEX($R$2:$R$78,MATCH(A48,$V$2:$V$78,0))="","",INDEX($R$2:$R$78,MATCH(A48,$V$2:$V$78,0)))</x:f>
        <x:v>1</x:v>
      </x:c>
      <x:c r="I48" s="66" t="str">
        <x:f>IF(INDEX($S$2:$S$78,MATCH(A48,$V$2:$V$78,0))="","",INDEX($S$2:$S$78,MATCH(A48,$V$2:$V$78,0)))</x:f>
        <x:v>本次公示未见相关记录</x:v>
      </x:c>
      <x:c r="J48" s="66" t="str">
        <x:f>IF(INDEX($T$2:$T$78,MATCH(A48,$V$2:$V$78,0))="","",INDEX($T$2:$T$78,MATCH(A48,$V$2:$V$78,0)))</x:f>
        <x:v>https://gs.amac.org.cn/amac-infodisc/res/pof/manager/2105100905108445.html</x:v>
      </x:c>
      <x:c r="K48" s="66" t="n">
        <x:f>IF(INDEX($U$2:$U$78,MATCH(A48,$V$2:$V$78,0))="","",INDEX($U$2:$U$78,MATCH(A48,$V$2:$V$78,0)))</x:f>
        <x:v>141</x:v>
      </x:c>
      <x:c r="L48" s="80" t="str">
        <x:v>汇艾稳健3号</x:v>
      </x:c>
      <x:c r="M48" s="80" t="str">
        <x:v>SR8584</x:v>
      </x:c>
      <x:c r="N48" s="80" t="str">
        <x:v>上海汇艾资管</x:v>
      </x:c>
      <x:c r="O48" s="80" t="str">
        <x:v>0-5亿元</x:v>
      </x:c>
      <x:c r="P48" s="81" t="n">
        <x:f>IF(ABS('sheet2-计算明细'!AQ127-1)&lt;0.00000001,'sheet2-计算明细'!AR127,"")</x:f>
        <x:v>79.2017</x:v>
      </x:c>
      <x:c r="Q48" s="81" t="n">
        <x:f>'sheet2-计算明细'!AS127</x:f>
        <x:v>79.2</x:v>
      </x:c>
      <x:c r="R48" s="82" t="n">
        <x:f>'sheet2-计算明细'!AQ127</x:f>
        <x:v>1</x:v>
      </x:c>
      <x:c r="S48" s="80" t="str">
        <x:v>本次公示未见相关记录</x:v>
      </x:c>
      <x:c r="T48" s="80" t="str">
        <x:v>https://gs.amac.org.cn/amac-infodisc/res/pof/manager/101000016385.html</x:v>
      </x:c>
      <x:c r="U48" s="80" t="n">
        <x:f>'sheet2-计算明细'!AT127</x:f>
        <x:v>37</x:v>
      </x:c>
      <x:c r="V48" s="80" t="n">
        <x:f>COUNTIF($U$2:$U$78,"&lt;"&amp;U48)+1</x:f>
        <x:v>13</x:v>
      </x:c>
    </x:row>
    <x:row r="49" ht="27" customHeight="1">
      <x:c r="A49" s="66" t="n">
        <x:v>48</x:v>
      </x:c>
      <x:c r="B49" s="66" t="str">
        <x:f>IF(INDEX($L$2:$L$78,MATCH(A49,$V$2:$V$78,0))="","",INDEX($L$2:$L$78,MATCH(A49,$V$2:$V$78,0)))</x:f>
        <x:v>探融新视野智能量化1号</x:v>
      </x:c>
      <x:c r="C49" s="66" t="str">
        <x:f>IF(INDEX($M$2:$M$78,MATCH(A49,$V$2:$V$78,0))="","",INDEX($M$2:$M$78,MATCH(A49,$V$2:$V$78,0)))</x:f>
        <x:v>SL8089</x:v>
      </x:c>
      <x:c r="D49" s="66" t="str">
        <x:f>IF(INDEX($N$2:$N$78,MATCH(A49,$V$2:$V$78,0))="","",INDEX($N$2:$N$78,MATCH(A49,$V$2:$V$78,0)))</x:f>
        <x:v>杭州探融投资</x:v>
      </x:c>
      <x:c r="E49" s="66" t="str">
        <x:f>IF(INDEX($O$2:$O$78,MATCH(A49,$V$2:$V$78,0))="","",INDEX($O$2:$O$78,MATCH(A49,$V$2:$V$78,0)))</x:f>
        <x:v>0-5亿元</x:v>
      </x:c>
      <x:c r="F49" s="77" t="str">
        <x:f>IF(INDEX($P$2:$P$78,MATCH(A49,$V$2:$V$78,0))="","",INDEX($P$2:$P$78,MATCH(A49,$V$2:$V$78,0)))</x:f>
      </x:c>
      <x:c r="G49" s="77" t="n">
        <x:f>IF(INDEX($Q$2:$Q$78,MATCH(A49,$V$2:$V$78,0))="","",INDEX($Q$2:$Q$78,MATCH(A49,$V$2:$V$78,0)))</x:f>
        <x:v>50.97</x:v>
      </x:c>
      <x:c r="H49" s="78" t="n">
        <x:f>IF(INDEX($R$2:$R$78,MATCH(A49,$V$2:$V$78,0))="","",INDEX($R$2:$R$78,MATCH(A49,$V$2:$V$78,0)))</x:f>
        <x:v>0.88</x:v>
      </x:c>
      <x:c r="I49" s="66" t="str">
        <x:f>IF(INDEX($S$2:$S$78,MATCH(A49,$V$2:$V$78,0))="","",INDEX($S$2:$S$78,MATCH(A49,$V$2:$V$78,0)))</x:f>
        <x:v>本次公示未见相关记录</x:v>
      </x:c>
      <x:c r="J49" s="66" t="str">
        <x:f>IF(INDEX($T$2:$T$78,MATCH(A49,$V$2:$V$78,0))="","",INDEX($T$2:$T$78,MATCH(A49,$V$2:$V$78,0)))</x:f>
        <x:v>https://gs.amac.org.cn/amac-infodisc/res/pof/manager/101000049159.html</x:v>
      </x:c>
      <x:c r="K49" s="66" t="n">
        <x:f>IF(INDEX($U$2:$U$78,MATCH(A49,$V$2:$V$78,0))="","",INDEX($U$2:$U$78,MATCH(A49,$V$2:$V$78,0)))</x:f>
        <x:v>144</x:v>
      </x:c>
      <x:c r="L49" s="80" t="str">
        <x:v>冲和稳健增长一号</x:v>
      </x:c>
      <x:c r="M49" s="80" t="str">
        <x:v>SEW918</x:v>
      </x:c>
      <x:c r="N49" s="80" t="str">
        <x:v>北京冲和资管</x:v>
      </x:c>
      <x:c r="O49" s="80" t="str">
        <x:v>0-5亿元</x:v>
      </x:c>
      <x:c r="P49" s="81" t="n">
        <x:f>IF(ABS('sheet2-计算明细'!AQ132-1)&lt;0.00000001,'sheet2-计算明细'!AR132,"")</x:f>
        <x:v>41.020270000000004</x:v>
      </x:c>
      <x:c r="Q49" s="81" t="n">
        <x:f>'sheet2-计算明细'!AS132</x:f>
        <x:v>41.02</x:v>
      </x:c>
      <x:c r="R49" s="82" t="n">
        <x:f>'sheet2-计算明细'!AQ132</x:f>
        <x:v>1</x:v>
      </x:c>
      <x:c r="S49" s="80" t="str">
        <x:v>协会提示／报送异常</x:v>
      </x:c>
      <x:c r="T49" s="80" t="str">
        <x:v>https://gs.amac.org.cn/amac-infodisc/res/pof/manager/101000038139.html</x:v>
      </x:c>
      <x:c r="U49" s="80" t="n">
        <x:f>'sheet2-计算明细'!AT132</x:f>
        <x:v>172</x:v>
      </x:c>
      <x:c r="V49" s="80" t="n">
        <x:f>COUNTIF($U$2:$U$78,"&lt;"&amp;U49)+1</x:f>
        <x:v>62</x:v>
      </x:c>
    </x:row>
    <x:row r="50" ht="27" customHeight="1">
      <x:c r="A50" s="66" t="n">
        <x:v>49</x:v>
      </x:c>
      <x:c r="B50" s="66" t="str">
        <x:f>IF(INDEX($L$2:$L$78,MATCH(A50,$V$2:$V$78,0))="","",INDEX($L$2:$L$78,MATCH(A50,$V$2:$V$78,0)))</x:f>
        <x:v>金麦穗卓诚一号</x:v>
      </x:c>
      <x:c r="C50" s="66" t="str">
        <x:f>IF(INDEX($M$2:$M$78,MATCH(A50,$V$2:$V$78,0))="","",INDEX($M$2:$M$78,MATCH(A50,$V$2:$V$78,0)))</x:f>
        <x:v>SXU186</x:v>
      </x:c>
      <x:c r="D50" s="66" t="str">
        <x:f>IF(INDEX($N$2:$N$78,MATCH(A50,$V$2:$V$78,0))="","",INDEX($N$2:$N$78,MATCH(A50,$V$2:$V$78,0)))</x:f>
        <x:v>山东金麦穗</x:v>
      </x:c>
      <x:c r="E50" s="66" t="str">
        <x:f>IF(INDEX($O$2:$O$78,MATCH(A50,$V$2:$V$78,0))="","",INDEX($O$2:$O$78,MATCH(A50,$V$2:$V$78,0)))</x:f>
        <x:v>0-5亿元</x:v>
      </x:c>
      <x:c r="F50" s="77" t="n">
        <x:f>IF(INDEX($P$2:$P$78,MATCH(A50,$V$2:$V$78,0))="","",INDEX($P$2:$P$78,MATCH(A50,$V$2:$V$78,0)))</x:f>
        <x:v>50.41595</x:v>
      </x:c>
      <x:c r="G50" s="77" t="n">
        <x:f>IF(INDEX($Q$2:$Q$78,MATCH(A50,$V$2:$V$78,0))="","",INDEX($Q$2:$Q$78,MATCH(A50,$V$2:$V$78,0)))</x:f>
        <x:v>50.42</x:v>
      </x:c>
      <x:c r="H50" s="78" t="n">
        <x:f>IF(INDEX($R$2:$R$78,MATCH(A50,$V$2:$V$78,0))="","",INDEX($R$2:$R$78,MATCH(A50,$V$2:$V$78,0)))</x:f>
        <x:v>1</x:v>
      </x:c>
      <x:c r="I50" s="66" t="str">
        <x:f>IF(INDEX($S$2:$S$78,MATCH(A50,$V$2:$V$78,0))="","",INDEX($S$2:$S$78,MATCH(A50,$V$2:$V$78,0)))</x:f>
        <x:v>本次公示未见相关记录</x:v>
      </x:c>
      <x:c r="J50" s="66" t="str">
        <x:f>IF(INDEX($T$2:$T$78,MATCH(A50,$V$2:$V$78,0))="","",INDEX($T$2:$T$78,MATCH(A50,$V$2:$V$78,0)))</x:f>
        <x:v>https://gs.amac.org.cn/amac-infodisc/res/pof/manager/101000032909.html</x:v>
      </x:c>
      <x:c r="K50" s="66" t="n">
        <x:f>IF(INDEX($U$2:$U$78,MATCH(A50,$V$2:$V$78,0))="","",INDEX($U$2:$U$78,MATCH(A50,$V$2:$V$78,0)))</x:f>
        <x:v>145</x:v>
      </x:c>
      <x:c r="L50" s="80" t="str">
        <x:v>永泉奇点1号混合投资</x:v>
      </x:c>
      <x:c r="M50" s="80" t="str">
        <x:v>SGM299</x:v>
      </x:c>
      <x:c r="N50" s="80" t="str">
        <x:v>宁波永泉</x:v>
      </x:c>
      <x:c r="O50" s="80" t="str">
        <x:v>0-5亿元</x:v>
      </x:c>
      <x:c r="P50" s="81" t="n">
        <x:f>IF(ABS('sheet2-计算明细'!AQ136-1)&lt;0.00000001,'sheet2-计算明细'!AR136,"")</x:f>
        <x:v>81.62694</x:v>
      </x:c>
      <x:c r="Q50" s="81" t="n">
        <x:f>'sheet2-计算明细'!AS136</x:f>
        <x:v>81.63</x:v>
      </x:c>
      <x:c r="R50" s="82" t="n">
        <x:f>'sheet2-计算明细'!AQ136</x:f>
        <x:v>1</x:v>
      </x:c>
      <x:c r="S50" s="80" t="str">
        <x:v>协会提示／报送异常</x:v>
      </x:c>
      <x:c r="T50" s="80" t="str">
        <x:v>https://gs.amac.org.cn/amac-infodisc/res/pof/manager/101000016974.html</x:v>
      </x:c>
      <x:c r="U50" s="80" t="n">
        <x:f>'sheet2-计算明细'!AT136</x:f>
        <x:v>27</x:v>
      </x:c>
      <x:c r="V50" s="80" t="n">
        <x:f>COUNTIF($U$2:$U$78,"&lt;"&amp;U50)+1</x:f>
        <x:v>10</x:v>
      </x:c>
    </x:row>
    <x:row r="51" ht="27" customHeight="1">
      <x:c r="A51" s="66" t="n">
        <x:v>50</x:v>
      </x:c>
      <x:c r="B51" s="66" t="str">
        <x:f>IF(INDEX($L$2:$L$78,MATCH(A51,$V$2:$V$78,0))="","",INDEX($L$2:$L$78,MATCH(A51,$V$2:$V$78,0)))</x:f>
        <x:v>福邑共赢一号</x:v>
      </x:c>
      <x:c r="C51" s="66" t="str">
        <x:f>IF(INDEX($M$2:$M$78,MATCH(A51,$V$2:$V$78,0))="","",INDEX($M$2:$M$78,MATCH(A51,$V$2:$V$78,0)))</x:f>
        <x:v>SSB040</x:v>
      </x:c>
      <x:c r="D51" s="66" t="str">
        <x:f>IF(INDEX($N$2:$N$78,MATCH(A51,$V$2:$V$78,0))="","",INDEX($N$2:$N$78,MATCH(A51,$V$2:$V$78,0)))</x:f>
        <x:v>上海福邑</x:v>
      </x:c>
      <x:c r="E51" s="66" t="str">
        <x:f>IF(INDEX($O$2:$O$78,MATCH(A51,$V$2:$V$78,0))="","",INDEX($O$2:$O$78,MATCH(A51,$V$2:$V$78,0)))</x:f>
        <x:v>0-5亿元</x:v>
      </x:c>
      <x:c r="F51" s="77" t="str">
        <x:f>IF(INDEX($P$2:$P$78,MATCH(A51,$V$2:$V$78,0))="","",INDEX($P$2:$P$78,MATCH(A51,$V$2:$V$78,0)))</x:f>
      </x:c>
      <x:c r="G51" s="77" t="n">
        <x:f>IF(INDEX($Q$2:$Q$78,MATCH(A51,$V$2:$V$78,0))="","",INDEX($Q$2:$Q$78,MATCH(A51,$V$2:$V$78,0)))</x:f>
        <x:v>49.58</x:v>
      </x:c>
      <x:c r="H51" s="78" t="n">
        <x:f>IF(INDEX($R$2:$R$78,MATCH(A51,$V$2:$V$78,0))="","",INDEX($R$2:$R$78,MATCH(A51,$V$2:$V$78,0)))</x:f>
        <x:v>0.88</x:v>
      </x:c>
      <x:c r="I51" s="66" t="str">
        <x:f>IF(INDEX($S$2:$S$78,MATCH(A51,$V$2:$V$78,0))="","",INDEX($S$2:$S$78,MATCH(A51,$V$2:$V$78,0)))</x:f>
        <x:v>协会提示／报送异常</x:v>
      </x:c>
      <x:c r="J51" s="66" t="str">
        <x:f>IF(INDEX($T$2:$T$78,MATCH(A51,$V$2:$V$78,0))="","",INDEX($T$2:$T$78,MATCH(A51,$V$2:$V$78,0)))</x:f>
        <x:v>https://gs.amac.org.cn/amac-infodisc/res/pof/manager/1710271949105945.html</x:v>
      </x:c>
      <x:c r="K51" s="66" t="n">
        <x:f>IF(INDEX($U$2:$U$78,MATCH(A51,$V$2:$V$78,0))="","",INDEX($U$2:$U$78,MATCH(A51,$V$2:$V$78,0)))</x:f>
        <x:v>149</x:v>
      </x:c>
      <x:c r="L51" s="80" t="str">
        <x:v>宏量鼎诚</x:v>
      </x:c>
      <x:c r="M51" s="80" t="str">
        <x:v>SGQ716</x:v>
      </x:c>
      <x:c r="N51" s="80" t="str">
        <x:v>北京宏量资管</x:v>
      </x:c>
      <x:c r="O51" s="80" t="str">
        <x:v>0-5亿元</x:v>
      </x:c>
      <x:c r="P51" s="81" t="str">
        <x:f>IF(ABS('sheet2-计算明细'!AQ137-1)&lt;0.00000001,'sheet2-计算明细'!AR137,"")</x:f>
      </x:c>
      <x:c r="Q51" s="81" t="n">
        <x:f>'sheet2-计算明细'!AS137</x:f>
        <x:v>51.9</x:v>
      </x:c>
      <x:c r="R51" s="82" t="n">
        <x:f>'sheet2-计算明细'!AQ137</x:f>
        <x:v>0.88</x:v>
      </x:c>
      <x:c r="S51" s="80" t="str">
        <x:v>本次公示未见相关记录</x:v>
      </x:c>
      <x:c r="T51" s="80" t="str">
        <x:v>https://gs.amac.org.cn/amac-infodisc/res/pof/manager/1706211851108652.html</x:v>
      </x:c>
      <x:c r="U51" s="80" t="n">
        <x:f>'sheet2-计算明细'!AT137</x:f>
        <x:v>137</x:v>
      </x:c>
      <x:c r="V51" s="80" t="n">
        <x:f>COUNTIF($U$2:$U$78,"&lt;"&amp;U51)+1</x:f>
        <x:v>44</x:v>
      </x:c>
    </x:row>
    <x:row r="52" ht="27" customHeight="1">
      <x:c r="A52" s="66" t="n">
        <x:v>51</x:v>
      </x:c>
      <x:c r="B52" s="66" t="str">
        <x:f>IF(INDEX($L$2:$L$78,MATCH(A52,$V$2:$V$78,0))="","",INDEX($L$2:$L$78,MATCH(A52,$V$2:$V$78,0)))</x:f>
        <x:v>岳皋泰山核心一号</x:v>
      </x:c>
      <x:c r="C52" s="66" t="str">
        <x:f>IF(INDEX($M$2:$M$78,MATCH(A52,$V$2:$V$78,0))="","",INDEX($M$2:$M$78,MATCH(A52,$V$2:$V$78,0)))</x:f>
        <x:v>SSH674</x:v>
      </x:c>
      <x:c r="D52" s="66" t="str">
        <x:f>IF(INDEX($N$2:$N$78,MATCH(A52,$V$2:$V$78,0))="","",INDEX($N$2:$N$78,MATCH(A52,$V$2:$V$78,0)))</x:f>
        <x:v>上海岳皋投资</x:v>
      </x:c>
      <x:c r="E52" s="66" t="str">
        <x:f>IF(INDEX($O$2:$O$78,MATCH(A52,$V$2:$V$78,0))="","",INDEX($O$2:$O$78,MATCH(A52,$V$2:$V$78,0)))</x:f>
        <x:v>0-5亿元</x:v>
      </x:c>
      <x:c r="F52" s="77" t="n">
        <x:f>IF(INDEX($P$2:$P$78,MATCH(A52,$V$2:$V$78,0))="","",INDEX($P$2:$P$78,MATCH(A52,$V$2:$V$78,0)))</x:f>
        <x:v>48.849199999999996</x:v>
      </x:c>
      <x:c r="G52" s="77" t="n">
        <x:f>IF(INDEX($Q$2:$Q$78,MATCH(A52,$V$2:$V$78,0))="","",INDEX($Q$2:$Q$78,MATCH(A52,$V$2:$V$78,0)))</x:f>
        <x:v>48.85</x:v>
      </x:c>
      <x:c r="H52" s="78" t="n">
        <x:f>IF(INDEX($R$2:$R$78,MATCH(A52,$V$2:$V$78,0))="","",INDEX($R$2:$R$78,MATCH(A52,$V$2:$V$78,0)))</x:f>
        <x:v>1</x:v>
      </x:c>
      <x:c r="I52" s="66" t="str">
        <x:f>IF(INDEX($S$2:$S$78,MATCH(A52,$V$2:$V$78,0))="","",INDEX($S$2:$S$78,MATCH(A52,$V$2:$V$78,0)))</x:f>
        <x:v>本次公示未见相关记录</x:v>
      </x:c>
      <x:c r="J52" s="66" t="str">
        <x:f>IF(INDEX($T$2:$T$78,MATCH(A52,$V$2:$V$78,0))="","",INDEX($T$2:$T$78,MATCH(A52,$V$2:$V$78,0)))</x:f>
        <x:v>https://gs.amac.org.cn/amac-infodisc/res/pof/manager/1812180906104012.html</x:v>
      </x:c>
      <x:c r="K52" s="66" t="n">
        <x:f>IF(INDEX($U$2:$U$78,MATCH(A52,$V$2:$V$78,0))="","",INDEX($U$2:$U$78,MATCH(A52,$V$2:$V$78,0)))</x:f>
        <x:v>150</x:v>
      </x:c>
      <x:c r="L52" s="80" t="str">
        <x:v>永泉奇点2号混合投资</x:v>
      </x:c>
      <x:c r="M52" s="80" t="str">
        <x:v>SJB356</x:v>
      </x:c>
      <x:c r="N52" s="80" t="str">
        <x:v>宁波永泉</x:v>
      </x:c>
      <x:c r="O52" s="80" t="str">
        <x:v>0-5亿元</x:v>
      </x:c>
      <x:c r="P52" s="81" t="n">
        <x:f>IF(ABS('sheet2-计算明细'!AQ138-1)&lt;0.00000001,'sheet2-计算明细'!AR138,"")</x:f>
        <x:v>79.94809000000001</x:v>
      </x:c>
      <x:c r="Q52" s="81" t="n">
        <x:f>'sheet2-计算明细'!AS138</x:f>
        <x:v>79.95</x:v>
      </x:c>
      <x:c r="R52" s="82" t="n">
        <x:f>'sheet2-计算明细'!AQ138</x:f>
        <x:v>1</x:v>
      </x:c>
      <x:c r="S52" s="80" t="str">
        <x:v>协会提示／报送异常</x:v>
      </x:c>
      <x:c r="T52" s="80" t="str">
        <x:v>https://gs.amac.org.cn/amac-infodisc/res/pof/manager/101000016974.html</x:v>
      </x:c>
      <x:c r="U52" s="80" t="n">
        <x:f>'sheet2-计算明细'!AT138</x:f>
        <x:v>32</x:v>
      </x:c>
      <x:c r="V52" s="80" t="n">
        <x:f>COUNTIF($U$2:$U$78,"&lt;"&amp;U52)+1</x:f>
        <x:v>12</x:v>
      </x:c>
    </x:row>
    <x:row r="53" ht="27" customHeight="1">
      <x:c r="A53" s="66" t="n">
        <x:v>52</x:v>
      </x:c>
      <x:c r="B53" s="66" t="str">
        <x:f>IF(INDEX($L$2:$L$78,MATCH(A53,$V$2:$V$78,0))="","",INDEX($L$2:$L$78,MATCH(A53,$V$2:$V$78,0)))</x:f>
        <x:v>融相慎远一号</x:v>
      </x:c>
      <x:c r="C53" s="66" t="str">
        <x:f>IF(INDEX($M$2:$M$78,MATCH(A53,$V$2:$V$78,0))="","",INDEX($M$2:$M$78,MATCH(A53,$V$2:$V$78,0)))</x:f>
        <x:v>SVK536</x:v>
      </x:c>
      <x:c r="D53" s="66" t="str">
        <x:f>IF(INDEX($N$2:$N$78,MATCH(A53,$V$2:$V$78,0))="","",INDEX($N$2:$N$78,MATCH(A53,$V$2:$V$78,0)))</x:f>
        <x:v>海南融相</x:v>
      </x:c>
      <x:c r="E53" s="66" t="str">
        <x:f>IF(INDEX($O$2:$O$78,MATCH(A53,$V$2:$V$78,0))="","",INDEX($O$2:$O$78,MATCH(A53,$V$2:$V$78,0)))</x:f>
        <x:v>0-5亿元</x:v>
      </x:c>
      <x:c r="F53" s="77" t="n">
        <x:f>IF(INDEX($P$2:$P$78,MATCH(A53,$V$2:$V$78,0))="","",INDEX($P$2:$P$78,MATCH(A53,$V$2:$V$78,0)))</x:f>
        <x:v>47.47969</x:v>
      </x:c>
      <x:c r="G53" s="77" t="n">
        <x:f>IF(INDEX($Q$2:$Q$78,MATCH(A53,$V$2:$V$78,0))="","",INDEX($Q$2:$Q$78,MATCH(A53,$V$2:$V$78,0)))</x:f>
        <x:v>47.48</x:v>
      </x:c>
      <x:c r="H53" s="78" t="n">
        <x:f>IF(INDEX($R$2:$R$78,MATCH(A53,$V$2:$V$78,0))="","",INDEX($R$2:$R$78,MATCH(A53,$V$2:$V$78,0)))</x:f>
        <x:v>1</x:v>
      </x:c>
      <x:c r="I53" s="66" t="str">
        <x:f>IF(INDEX($S$2:$S$78,MATCH(A53,$V$2:$V$78,0))="","",INDEX($S$2:$S$78,MATCH(A53,$V$2:$V$78,0)))</x:f>
        <x:v>协会提示／报送异常</x:v>
      </x:c>
      <x:c r="J53" s="66" t="str">
        <x:f>IF(INDEX($T$2:$T$78,MATCH(A53,$V$2:$V$78,0))="","",INDEX($T$2:$T$78,MATCH(A53,$V$2:$V$78,0)))</x:f>
        <x:v>https://gs.amac.org.cn/amac-infodisc/res/pof/manager/2111241451102645.html</x:v>
      </x:c>
      <x:c r="K53" s="66" t="n">
        <x:f>IF(INDEX($U$2:$U$78,MATCH(A53,$V$2:$V$78,0))="","",INDEX($U$2:$U$78,MATCH(A53,$V$2:$V$78,0)))</x:f>
        <x:v>152</x:v>
      </x:c>
      <x:c r="L53" s="80" t="str">
        <x:v>厦门言起博士一号</x:v>
      </x:c>
      <x:c r="M53" s="80" t="str">
        <x:v>SJR679</x:v>
      </x:c>
      <x:c r="N53" s="80" t="str">
        <x:v>厦门言起投资</x:v>
      </x:c>
      <x:c r="O53" s="80" t="str">
        <x:v>0-5亿元</x:v>
      </x:c>
      <x:c r="P53" s="81" t="str">
        <x:f>IF(ABS('sheet2-计算明细'!AQ139-1)&lt;0.00000001,'sheet2-计算明细'!AR139,"")</x:f>
      </x:c>
      <x:c r="Q53" s="81" t="n">
        <x:f>'sheet2-计算明细'!AS139</x:f>
        <x:v>30.48</x:v>
      </x:c>
      <x:c r="R53" s="82" t="n">
        <x:f>'sheet2-计算明细'!AQ139</x:f>
        <x:v>0.88</x:v>
      </x:c>
      <x:c r="S53" s="80" t="str">
        <x:v>协会提示／报送异常</x:v>
      </x:c>
      <x:c r="T53" s="80" t="str">
        <x:v>https://gs.amac.org.cn/amac-infodisc/res/pof/manager/101000049573.html</x:v>
      </x:c>
      <x:c r="U53" s="80" t="n">
        <x:f>'sheet2-计算明细'!AT139</x:f>
        <x:v>192</x:v>
      </x:c>
      <x:c r="V53" s="80" t="n">
        <x:f>COUNTIF($U$2:$U$78,"&lt;"&amp;U53)+1</x:f>
        <x:v>71</x:v>
      </x:c>
    </x:row>
    <x:row r="54" ht="27" customHeight="1">
      <x:c r="A54" s="66" t="n">
        <x:v>53</x:v>
      </x:c>
      <x:c r="B54" s="66" t="str">
        <x:f>IF(INDEX($L$2:$L$78,MATCH(A54,$V$2:$V$78,0))="","",INDEX($L$2:$L$78,MATCH(A54,$V$2:$V$78,0)))</x:f>
        <x:v>哈福尊享一号</x:v>
      </x:c>
      <x:c r="C54" s="66" t="str">
        <x:f>IF(INDEX($M$2:$M$78,MATCH(A54,$V$2:$V$78,0))="","",INDEX($M$2:$M$78,MATCH(A54,$V$2:$V$78,0)))</x:f>
        <x:v>ST3922</x:v>
      </x:c>
      <x:c r="D54" s="66" t="str">
        <x:f>IF(INDEX($N$2:$N$78,MATCH(A54,$V$2:$V$78,0))="","",INDEX($N$2:$N$78,MATCH(A54,$V$2:$V$78,0)))</x:f>
        <x:v>哈福基金</x:v>
      </x:c>
      <x:c r="E54" s="66" t="str">
        <x:f>IF(INDEX($O$2:$O$78,MATCH(A54,$V$2:$V$78,0))="","",INDEX($O$2:$O$78,MATCH(A54,$V$2:$V$78,0)))</x:f>
        <x:v>0-5亿元</x:v>
      </x:c>
      <x:c r="F54" s="77" t="n">
        <x:f>IF(INDEX($P$2:$P$78,MATCH(A54,$V$2:$V$78,0))="","",INDEX($P$2:$P$78,MATCH(A54,$V$2:$V$78,0)))</x:f>
        <x:v>47.42162</x:v>
      </x:c>
      <x:c r="G54" s="77" t="n">
        <x:f>IF(INDEX($Q$2:$Q$78,MATCH(A54,$V$2:$V$78,0))="","",INDEX($Q$2:$Q$78,MATCH(A54,$V$2:$V$78,0)))</x:f>
        <x:v>47.42</x:v>
      </x:c>
      <x:c r="H54" s="78" t="n">
        <x:f>IF(INDEX($R$2:$R$78,MATCH(A54,$V$2:$V$78,0))="","",INDEX($R$2:$R$78,MATCH(A54,$V$2:$V$78,0)))</x:f>
        <x:v>1</x:v>
      </x:c>
      <x:c r="I54" s="66" t="str">
        <x:f>IF(INDEX($S$2:$S$78,MATCH(A54,$V$2:$V$78,0))="","",INDEX($S$2:$S$78,MATCH(A54,$V$2:$V$78,0)))</x:f>
        <x:v>本次公示未见相关记录</x:v>
      </x:c>
      <x:c r="J54" s="66" t="str">
        <x:f>IF(INDEX($T$2:$T$78,MATCH(A54,$V$2:$V$78,0))="","",INDEX($T$2:$T$78,MATCH(A54,$V$2:$V$78,0)))</x:f>
        <x:v>https://gs.amac.org.cn/amac-infodisc/res/pof/manager/101000010078.html</x:v>
      </x:c>
      <x:c r="K54" s="66" t="n">
        <x:f>IF(INDEX($U$2:$U$78,MATCH(A54,$V$2:$V$78,0))="","",INDEX($U$2:$U$78,MATCH(A54,$V$2:$V$78,0)))</x:f>
        <x:v>153</x:v>
      </x:c>
      <x:c r="L54" s="80" t="str">
        <x:v>杉阳云杉转债1号</x:v>
      </x:c>
      <x:c r="M54" s="80" t="str">
        <x:v>SLE395</x:v>
      </x:c>
      <x:c r="N54" s="80" t="str">
        <x:v>上海杉阳</x:v>
      </x:c>
      <x:c r="O54" s="80" t="str">
        <x:v>0-5亿元</x:v>
      </x:c>
      <x:c r="P54" s="81" t="n">
        <x:f>IF(ABS('sheet2-计算明细'!AQ145-1)&lt;0.00000001,'sheet2-计算明细'!AR145,"")</x:f>
        <x:v>51.841699999999996</x:v>
      </x:c>
      <x:c r="Q54" s="81" t="n">
        <x:f>'sheet2-计算明细'!AS145</x:f>
        <x:v>51.84</x:v>
      </x:c>
      <x:c r="R54" s="82" t="n">
        <x:f>'sheet2-计算明细'!AQ145</x:f>
        <x:v>1</x:v>
      </x:c>
      <x:c r="S54" s="80" t="str">
        <x:v>本次公示未见相关记录</x:v>
      </x:c>
      <x:c r="T54" s="80" t="str">
        <x:v>https://gs.amac.org.cn/amac-infodisc/res/pof/manager/2001061547104837.html</x:v>
      </x:c>
      <x:c r="U54" s="80" t="n">
        <x:f>'sheet2-计算明细'!AT145</x:f>
        <x:v>139</x:v>
      </x:c>
      <x:c r="V54" s="80" t="n">
        <x:f>COUNTIF($U$2:$U$78,"&lt;"&amp;U54)+1</x:f>
        <x:v>46</x:v>
      </x:c>
    </x:row>
    <x:row r="55" ht="27" customHeight="1">
      <x:c r="A55" s="66" t="n">
        <x:v>54</x:v>
      </x:c>
      <x:c r="B55" s="66" t="str">
        <x:f>IF(INDEX($L$2:$L$78,MATCH(A55,$V$2:$V$78,0))="","",INDEX($L$2:$L$78,MATCH(A55,$V$2:$V$78,0)))</x:f>
        <x:v>银瓴汇金6号</x:v>
      </x:c>
      <x:c r="C55" s="66" t="str">
        <x:f>IF(INDEX($M$2:$M$78,MATCH(A55,$V$2:$V$78,0))="","",INDEX($M$2:$M$78,MATCH(A55,$V$2:$V$78,0)))</x:f>
        <x:v>SSN446</x:v>
      </x:c>
      <x:c r="D55" s="66" t="str">
        <x:f>IF(INDEX($N$2:$N$78,MATCH(A55,$V$2:$V$78,0))="","",INDEX($N$2:$N$78,MATCH(A55,$V$2:$V$78,0)))</x:f>
        <x:v>广西银瓴资产</x:v>
      </x:c>
      <x:c r="E55" s="66" t="str">
        <x:f>IF(INDEX($O$2:$O$78,MATCH(A55,$V$2:$V$78,0))="","",INDEX($O$2:$O$78,MATCH(A55,$V$2:$V$78,0)))</x:f>
        <x:v>0-5亿元</x:v>
      </x:c>
      <x:c r="F55" s="77" t="str">
        <x:f>IF(INDEX($P$2:$P$78,MATCH(A55,$V$2:$V$78,0))="","",INDEX($P$2:$P$78,MATCH(A55,$V$2:$V$78,0)))</x:f>
      </x:c>
      <x:c r="G55" s="77" t="n">
        <x:f>IF(INDEX($Q$2:$Q$78,MATCH(A55,$V$2:$V$78,0))="","",INDEX($Q$2:$Q$78,MATCH(A55,$V$2:$V$78,0)))</x:f>
        <x:v>46.99</x:v>
      </x:c>
      <x:c r="H55" s="78" t="n">
        <x:f>IF(INDEX($R$2:$R$78,MATCH(A55,$V$2:$V$78,0))="","",INDEX($R$2:$R$78,MATCH(A55,$V$2:$V$78,0)))</x:f>
        <x:v>0.88</x:v>
      </x:c>
      <x:c r="I55" s="66" t="str">
        <x:f>IF(INDEX($S$2:$S$78,MATCH(A55,$V$2:$V$78,0))="","",INDEX($S$2:$S$78,MATCH(A55,$V$2:$V$78,0)))</x:f>
        <x:v>本次公示未见相关记录</x:v>
      </x:c>
      <x:c r="J55" s="66" t="str">
        <x:f>IF(INDEX($T$2:$T$78,MATCH(A55,$V$2:$V$78,0))="","",INDEX($T$2:$T$78,MATCH(A55,$V$2:$V$78,0)))</x:f>
        <x:v>https://gs.amac.org.cn/amac-infodisc/res/pof/manager/101000035485.html</x:v>
      </x:c>
      <x:c r="K55" s="66" t="n">
        <x:f>IF(INDEX($U$2:$U$78,MATCH(A55,$V$2:$V$78,0))="","",INDEX($U$2:$U$78,MATCH(A55,$V$2:$V$78,0)))</x:f>
        <x:v>155</x:v>
      </x:c>
      <x:c r="L55" s="80" t="str">
        <x:v>聚亿具臻</x:v>
      </x:c>
      <x:c r="M55" s="80" t="str">
        <x:v>SLM995</x:v>
      </x:c>
      <x:c r="N55" s="80" t="str">
        <x:v>珠海聚亿基金</x:v>
      </x:c>
      <x:c r="O55" s="80" t="str">
        <x:v>0-5亿元</x:v>
      </x:c>
      <x:c r="P55" s="81" t="n">
        <x:f>IF(ABS('sheet2-计算明细'!AQ146-1)&lt;0.00000001,'sheet2-计算明细'!AR146,"")</x:f>
        <x:v>72.84582</x:v>
      </x:c>
      <x:c r="Q55" s="81" t="n">
        <x:f>'sheet2-计算明细'!AS146</x:f>
        <x:v>72.85</x:v>
      </x:c>
      <x:c r="R55" s="82" t="n">
        <x:f>'sheet2-计算明细'!AQ146</x:f>
        <x:v>1</x:v>
      </x:c>
      <x:c r="S55" s="80" t="str">
        <x:v>本次公示未见相关记录</x:v>
      </x:c>
      <x:c r="T55" s="80" t="str">
        <x:v>https://gs.amac.org.cn/amac-infodisc/res/pof/manager/1706231108101144.html</x:v>
      </x:c>
      <x:c r="U55" s="80" t="n">
        <x:f>'sheet2-计算明细'!AT146</x:f>
        <x:v>57</x:v>
      </x:c>
      <x:c r="V55" s="80" t="n">
        <x:f>COUNTIF($U$2:$U$78,"&lt;"&amp;U55)+1</x:f>
        <x:v>18</x:v>
      </x:c>
    </x:row>
    <x:row r="56" ht="27" customHeight="1">
      <x:c r="A56" s="66" t="n">
        <x:v>55</x:v>
      </x:c>
      <x:c r="B56" s="66" t="str">
        <x:f>IF(INDEX($L$2:$L$78,MATCH(A56,$V$2:$V$78,0))="","",INDEX($L$2:$L$78,MATCH(A56,$V$2:$V$78,0)))</x:f>
        <x:v>珺墀价值投资甄选系列</x:v>
      </x:c>
      <x:c r="C56" s="66" t="str">
        <x:f>IF(INDEX($M$2:$M$78,MATCH(A56,$V$2:$V$78,0))="","",INDEX($M$2:$M$78,MATCH(A56,$V$2:$V$78,0)))</x:f>
        <x:v>SD8791</x:v>
      </x:c>
      <x:c r="D56" s="66" t="str">
        <x:f>IF(INDEX($N$2:$N$78,MATCH(A56,$V$2:$V$78,0))="","",INDEX($N$2:$N$78,MATCH(A56,$V$2:$V$78,0)))</x:f>
        <x:v>上海珺墀资管</x:v>
      </x:c>
      <x:c r="E56" s="66" t="str">
        <x:f>IF(INDEX($O$2:$O$78,MATCH(A56,$V$2:$V$78,0))="","",INDEX($O$2:$O$78,MATCH(A56,$V$2:$V$78,0)))</x:f>
        <x:v>0-5亿元</x:v>
      </x:c>
      <x:c r="F56" s="77" t="n">
        <x:f>IF(INDEX($P$2:$P$78,MATCH(A56,$V$2:$V$78,0))="","",INDEX($P$2:$P$78,MATCH(A56,$V$2:$V$78,0)))</x:f>
        <x:v>45.666000000000004</x:v>
      </x:c>
      <x:c r="G56" s="77" t="n">
        <x:f>IF(INDEX($Q$2:$Q$78,MATCH(A56,$V$2:$V$78,0))="","",INDEX($Q$2:$Q$78,MATCH(A56,$V$2:$V$78,0)))</x:f>
        <x:v>45.67</x:v>
      </x:c>
      <x:c r="H56" s="78" t="n">
        <x:f>IF(INDEX($R$2:$R$78,MATCH(A56,$V$2:$V$78,0))="","",INDEX($R$2:$R$78,MATCH(A56,$V$2:$V$78,0)))</x:f>
        <x:v>1</x:v>
      </x:c>
      <x:c r="I56" s="66" t="str">
        <x:f>IF(INDEX($S$2:$S$78,MATCH(A56,$V$2:$V$78,0))="","",INDEX($S$2:$S$78,MATCH(A56,$V$2:$V$78,0)))</x:f>
        <x:v>协会提示／报送异常</x:v>
      </x:c>
      <x:c r="J56" s="66" t="str">
        <x:f>IF(INDEX($T$2:$T$78,MATCH(A56,$V$2:$V$78,0))="","",INDEX($T$2:$T$78,MATCH(A56,$V$2:$V$78,0)))</x:f>
        <x:v>https://gs.amac.org.cn/amac-infodisc/res/pof/manager/101000026339.html</x:v>
      </x:c>
      <x:c r="K56" s="66" t="n">
        <x:f>IF(INDEX($U$2:$U$78,MATCH(A56,$V$2:$V$78,0))="","",INDEX($U$2:$U$78,MATCH(A56,$V$2:$V$78,0)))</x:f>
        <x:v>157</x:v>
      </x:c>
      <x:c r="L56" s="80" t="str">
        <x:v>永泉奇点17号混合投资</x:v>
      </x:c>
      <x:c r="M56" s="80" t="str">
        <x:v>SNG016</x:v>
      </x:c>
      <x:c r="N56" s="80" t="str">
        <x:v>宁波永泉</x:v>
      </x:c>
      <x:c r="O56" s="80" t="str">
        <x:v>0-5亿元</x:v>
      </x:c>
      <x:c r="P56" s="81" t="n">
        <x:f>IF(ABS('sheet2-计算明细'!AQ149-1)&lt;0.00000001,'sheet2-计算明细'!AR149,"")</x:f>
        <x:v>82.83698</x:v>
      </x:c>
      <x:c r="Q56" s="81" t="n">
        <x:f>'sheet2-计算明细'!AS149</x:f>
        <x:v>82.84</x:v>
      </x:c>
      <x:c r="R56" s="82" t="n">
        <x:f>'sheet2-计算明细'!AQ149</x:f>
        <x:v>1</x:v>
      </x:c>
      <x:c r="S56" s="80" t="str">
        <x:v>协会提示／报送异常</x:v>
      </x:c>
      <x:c r="T56" s="80" t="str">
        <x:v>https://gs.amac.org.cn/amac-infodisc/res/pof/manager/101000016974.html</x:v>
      </x:c>
      <x:c r="U56" s="80" t="n">
        <x:f>'sheet2-计算明细'!AT149</x:f>
        <x:v>24</x:v>
      </x:c>
      <x:c r="V56" s="80" t="n">
        <x:f>COUNTIF($U$2:$U$78,"&lt;"&amp;U56)+1</x:f>
        <x:v>9</x:v>
      </x:c>
    </x:row>
    <x:row r="57" ht="27" customHeight="1">
      <x:c r="A57" s="66" t="n">
        <x:v>56</x:v>
      </x:c>
      <x:c r="B57" s="66" t="str">
        <x:f>IF(INDEX($L$2:$L$78,MATCH(A57,$V$2:$V$78,0))="","",INDEX($L$2:$L$78,MATCH(A57,$V$2:$V$78,0)))</x:f>
        <x:v>尊嘉金润1号</x:v>
      </x:c>
      <x:c r="C57" s="66" t="str">
        <x:f>IF(INDEX($M$2:$M$78,MATCH(A57,$V$2:$V$78,0))="","",INDEX($M$2:$M$78,MATCH(A57,$V$2:$V$78,0)))</x:f>
        <x:v>SXM526</x:v>
      </x:c>
      <x:c r="D57" s="66" t="str">
        <x:f>IF(INDEX($N$2:$N$78,MATCH(A57,$V$2:$V$78,0))="","",INDEX($N$2:$N$78,MATCH(A57,$V$2:$V$78,0)))</x:f>
        <x:v>北京尊嘉资管</x:v>
      </x:c>
      <x:c r="E57" s="66" t="str">
        <x:f>IF(INDEX($O$2:$O$78,MATCH(A57,$V$2:$V$78,0))="","",INDEX($O$2:$O$78,MATCH(A57,$V$2:$V$78,0)))</x:f>
        <x:v>0-5亿元</x:v>
      </x:c>
      <x:c r="F57" s="77" t="n">
        <x:f>IF(INDEX($P$2:$P$78,MATCH(A57,$V$2:$V$78,0))="","",INDEX($P$2:$P$78,MATCH(A57,$V$2:$V$78,0)))</x:f>
        <x:v>45.28965</x:v>
      </x:c>
      <x:c r="G57" s="77" t="n">
        <x:f>IF(INDEX($Q$2:$Q$78,MATCH(A57,$V$2:$V$78,0))="","",INDEX($Q$2:$Q$78,MATCH(A57,$V$2:$V$78,0)))</x:f>
        <x:v>45.29</x:v>
      </x:c>
      <x:c r="H57" s="78" t="n">
        <x:f>IF(INDEX($R$2:$R$78,MATCH(A57,$V$2:$V$78,0))="","",INDEX($R$2:$R$78,MATCH(A57,$V$2:$V$78,0)))</x:f>
        <x:v>1</x:v>
      </x:c>
      <x:c r="I57" s="66" t="str">
        <x:f>IF(INDEX($S$2:$S$78,MATCH(A57,$V$2:$V$78,0))="","",INDEX($S$2:$S$78,MATCH(A57,$V$2:$V$78,0)))</x:f>
        <x:v>本次公示未见相关记录</x:v>
      </x:c>
      <x:c r="J57" s="66" t="str">
        <x:f>IF(INDEX($T$2:$T$78,MATCH(A57,$V$2:$V$78,0))="","",INDEX($T$2:$T$78,MATCH(A57,$V$2:$V$78,0)))</x:f>
        <x:v>https://gs.amac.org.cn/amac-infodisc/res/pof/manager/101000000661.html</x:v>
      </x:c>
      <x:c r="K57" s="66" t="n">
        <x:f>IF(INDEX($U$2:$U$78,MATCH(A57,$V$2:$V$78,0))="","",INDEX($U$2:$U$78,MATCH(A57,$V$2:$V$78,0)))</x:f>
        <x:v>158</x:v>
      </x:c>
      <x:c r="L57" s="80" t="str">
        <x:v>永泉奇点18号混合投资</x:v>
      </x:c>
      <x:c r="M57" s="80" t="str">
        <x:v>SNK980</x:v>
      </x:c>
      <x:c r="N57" s="80" t="str">
        <x:v>宁波永泉</x:v>
      </x:c>
      <x:c r="O57" s="80" t="str">
        <x:v>0-5亿元</x:v>
      </x:c>
      <x:c r="P57" s="81" t="n">
        <x:f>IF(ABS('sheet2-计算明细'!AQ154-1)&lt;0.00000001,'sheet2-计算明细'!AR154,"")</x:f>
        <x:v>72.01092</x:v>
      </x:c>
      <x:c r="Q57" s="81" t="n">
        <x:f>'sheet2-计算明细'!AS154</x:f>
        <x:v>72.01</x:v>
      </x:c>
      <x:c r="R57" s="82" t="n">
        <x:f>'sheet2-计算明细'!AQ154</x:f>
        <x:v>1</x:v>
      </x:c>
      <x:c r="S57" s="80" t="str">
        <x:v>协会提示／报送异常</x:v>
      </x:c>
      <x:c r="T57" s="80" t="str">
        <x:v>https://gs.amac.org.cn/amac-infodisc/res/pof/manager/101000016974.html</x:v>
      </x:c>
      <x:c r="U57" s="80" t="n">
        <x:f>'sheet2-计算明细'!AT154</x:f>
        <x:v>62</x:v>
      </x:c>
      <x:c r="V57" s="80" t="n">
        <x:f>COUNTIF($U$2:$U$78,"&lt;"&amp;U57)+1</x:f>
        <x:v>19</x:v>
      </x:c>
    </x:row>
    <x:row r="58" ht="27" customHeight="1">
      <x:c r="A58" s="66" t="n">
        <x:v>57</x:v>
      </x:c>
      <x:c r="B58" s="66" t="str">
        <x:f>IF(INDEX($L$2:$L$78,MATCH(A58,$V$2:$V$78,0))="","",INDEX($L$2:$L$78,MATCH(A58,$V$2:$V$78,0)))</x:f>
        <x:v>岳皋泰山核心一号B类</x:v>
      </x:c>
      <x:c r="C58" s="66" t="str">
        <x:f>IF(INDEX($M$2:$M$78,MATCH(A58,$V$2:$V$78,0))="","",INDEX($M$2:$M$78,MATCH(A58,$V$2:$V$78,0)))</x:f>
        <x:v>SH674B</x:v>
      </x:c>
      <x:c r="D58" s="66" t="str">
        <x:f>IF(INDEX($N$2:$N$78,MATCH(A58,$V$2:$V$78,0))="","",INDEX($N$2:$N$78,MATCH(A58,$V$2:$V$78,0)))</x:f>
        <x:v>上海岳皋投资</x:v>
      </x:c>
      <x:c r="E58" s="66" t="str">
        <x:f>IF(INDEX($O$2:$O$78,MATCH(A58,$V$2:$V$78,0))="","",INDEX($O$2:$O$78,MATCH(A58,$V$2:$V$78,0)))</x:f>
        <x:v>0-5亿元</x:v>
      </x:c>
      <x:c r="F58" s="77" t="str">
        <x:f>IF(INDEX($P$2:$P$78,MATCH(A58,$V$2:$V$78,0))="","",INDEX($P$2:$P$78,MATCH(A58,$V$2:$V$78,0)))</x:f>
      </x:c>
      <x:c r="G58" s="77" t="n">
        <x:f>IF(INDEX($Q$2:$Q$78,MATCH(A58,$V$2:$V$78,0))="","",INDEX($Q$2:$Q$78,MATCH(A58,$V$2:$V$78,0)))</x:f>
        <x:v>44.15</x:v>
      </x:c>
      <x:c r="H58" s="78" t="n">
        <x:f>IF(INDEX($R$2:$R$78,MATCH(A58,$V$2:$V$78,0))="","",INDEX($R$2:$R$78,MATCH(A58,$V$2:$V$78,0)))</x:f>
        <x:v>0.9550000000000001</x:v>
      </x:c>
      <x:c r="I58" s="66" t="str">
        <x:f>IF(INDEX($S$2:$S$78,MATCH(A58,$V$2:$V$78,0))="","",INDEX($S$2:$S$78,MATCH(A58,$V$2:$V$78,0)))</x:f>
        <x:v>本次公示未见相关记录</x:v>
      </x:c>
      <x:c r="J58" s="66" t="str">
        <x:f>IF(INDEX($T$2:$T$78,MATCH(A58,$V$2:$V$78,0))="","",INDEX($T$2:$T$78,MATCH(A58,$V$2:$V$78,0)))</x:f>
        <x:v>https://gs.amac.org.cn/amac-infodisc/res/pof/manager/1812180906104012.html</x:v>
      </x:c>
      <x:c r="K58" s="66" t="n">
        <x:f>IF(INDEX($U$2:$U$78,MATCH(A58,$V$2:$V$78,0))="","",INDEX($U$2:$U$78,MATCH(A58,$V$2:$V$78,0)))</x:f>
        <x:v>161</x:v>
      </x:c>
      <x:c r="L58" s="80" t="str">
        <x:v>景鹏稳进1号</x:v>
      </x:c>
      <x:c r="M58" s="80" t="str">
        <x:v>SSX278</x:v>
      </x:c>
      <x:c r="N58" s="80" t="str">
        <x:v>上海景鹏</x:v>
      </x:c>
      <x:c r="O58" s="80" t="str">
        <x:v>0-5亿元</x:v>
      </x:c>
      <x:c r="P58" s="81" t="n">
        <x:f>IF(ABS('sheet2-计算明细'!AQ156-1)&lt;0.00000001,'sheet2-计算明细'!AR156,"")</x:f>
        <x:v>79.0536</x:v>
      </x:c>
      <x:c r="Q58" s="81" t="n">
        <x:f>'sheet2-计算明细'!AS156</x:f>
        <x:v>79.05</x:v>
      </x:c>
      <x:c r="R58" s="82" t="n">
        <x:f>'sheet2-计算明细'!AQ156</x:f>
        <x:v>1</x:v>
      </x:c>
      <x:c r="S58" s="80" t="str">
        <x:v>本次公示未见相关记录</x:v>
      </x:c>
      <x:c r="T58" s="80" t="str">
        <x:v>https://gs.amac.org.cn/amac-infodisc/res/pof/manager/2107201407107524.html</x:v>
      </x:c>
      <x:c r="U58" s="80" t="n">
        <x:f>'sheet2-计算明细'!AT156</x:f>
        <x:v>39</x:v>
      </x:c>
      <x:c r="V58" s="80" t="n">
        <x:f>COUNTIF($U$2:$U$78,"&lt;"&amp;U58)+1</x:f>
        <x:v>14</x:v>
      </x:c>
    </x:row>
    <x:row r="59" ht="27" customHeight="1">
      <x:c r="A59" s="66" t="n">
        <x:v>58</x:v>
      </x:c>
      <x:c r="B59" s="66" t="str">
        <x:f>IF(INDEX($L$2:$L$78,MATCH(A59,$V$2:$V$78,0))="","",INDEX($L$2:$L$78,MATCH(A59,$V$2:$V$78,0)))</x:f>
        <x:v>泓倍商品相对价值1号A类</x:v>
      </x:c>
      <x:c r="C59" s="66" t="str">
        <x:f>IF(INDEX($M$2:$M$78,MATCH(A59,$V$2:$V$78,0))="","",INDEX($M$2:$M$78,MATCH(A59,$V$2:$V$78,0)))</x:f>
        <x:v>CU913A</x:v>
      </x:c>
      <x:c r="D59" s="66" t="str">
        <x:f>IF(INDEX($N$2:$N$78,MATCH(A59,$V$2:$V$78,0))="","",INDEX($N$2:$N$78,MATCH(A59,$V$2:$V$78,0)))</x:f>
        <x:v>上海泓倍投资</x:v>
      </x:c>
      <x:c r="E59" s="66" t="str">
        <x:f>IF(INDEX($O$2:$O$78,MATCH(A59,$V$2:$V$78,0))="","",INDEX($O$2:$O$78,MATCH(A59,$V$2:$V$78,0)))</x:f>
        <x:v>0-5亿元</x:v>
      </x:c>
      <x:c r="F59" s="77" t="str">
        <x:f>IF(INDEX($P$2:$P$78,MATCH(A59,$V$2:$V$78,0))="","",INDEX($P$2:$P$78,MATCH(A59,$V$2:$V$78,0)))</x:f>
      </x:c>
      <x:c r="G59" s="77" t="n">
        <x:f>IF(INDEX($Q$2:$Q$78,MATCH(A59,$V$2:$V$78,0))="","",INDEX($Q$2:$Q$78,MATCH(A59,$V$2:$V$78,0)))</x:f>
        <x:v>44</x:v>
      </x:c>
      <x:c r="H59" s="78" t="n">
        <x:f>IF(INDEX($R$2:$R$78,MATCH(A59,$V$2:$V$78,0))="","",INDEX($R$2:$R$78,MATCH(A59,$V$2:$V$78,0)))</x:f>
        <x:v>0.9550000000000001</x:v>
      </x:c>
      <x:c r="I59" s="66" t="str">
        <x:f>IF(INDEX($S$2:$S$78,MATCH(A59,$V$2:$V$78,0))="","",INDEX($S$2:$S$78,MATCH(A59,$V$2:$V$78,0)))</x:f>
        <x:v>协会提示／报送异常</x:v>
      </x:c>
      <x:c r="J59" s="66" t="str">
        <x:f>IF(INDEX($T$2:$T$78,MATCH(A59,$V$2:$V$78,0))="","",INDEX($T$2:$T$78,MATCH(A59,$V$2:$V$78,0)))</x:f>
        <x:v>https://gs.amac.org.cn/amac-infodisc/res/pof/manager/101000004914.html</x:v>
      </x:c>
      <x:c r="K59" s="66" t="n">
        <x:f>IF(INDEX($U$2:$U$78,MATCH(A59,$V$2:$V$78,0))="","",INDEX($U$2:$U$78,MATCH(A59,$V$2:$V$78,0)))</x:f>
        <x:v>162</x:v>
      </x:c>
      <x:c r="L59" s="80" t="str">
        <x:v>久游投资4号</x:v>
      </x:c>
      <x:c r="M59" s="80" t="str">
        <x:v>STB214</x:v>
      </x:c>
      <x:c r="N59" s="80" t="str">
        <x:v>深圳久游</x:v>
      </x:c>
      <x:c r="O59" s="80" t="str">
        <x:v>0-5亿元</x:v>
      </x:c>
      <x:c r="P59" s="81" t="n">
        <x:f>IF(ABS('sheet2-计算明细'!AQ157-1)&lt;0.00000001,'sheet2-计算明细'!AR157,"")</x:f>
        <x:v>80.79196</x:v>
      </x:c>
      <x:c r="Q59" s="81" t="n">
        <x:f>'sheet2-计算明细'!AS157</x:f>
        <x:v>80.79</x:v>
      </x:c>
      <x:c r="R59" s="82" t="n">
        <x:f>'sheet2-计算明细'!AQ157</x:f>
        <x:v>1</x:v>
      </x:c>
      <x:c r="S59" s="80" t="str">
        <x:v>协会提示／报送异常</x:v>
      </x:c>
      <x:c r="T59" s="80" t="str">
        <x:v>https://gs.amac.org.cn/amac-infodisc/res/pof/manager/2108310949105248.html</x:v>
      </x:c>
      <x:c r="U59" s="80" t="n">
        <x:f>'sheet2-计算明细'!AT157</x:f>
        <x:v>29</x:v>
      </x:c>
      <x:c r="V59" s="80" t="n">
        <x:f>COUNTIF($U$2:$U$78,"&lt;"&amp;U59)+1</x:f>
        <x:v>11</x:v>
      </x:c>
    </x:row>
    <x:row r="60" ht="27" customHeight="1">
      <x:c r="A60" s="66" t="n">
        <x:v>59</x:v>
      </x:c>
      <x:c r="B60" s="66" t="str">
        <x:f>IF(INDEX($L$2:$L$78,MATCH(A60,$V$2:$V$78,0))="","",INDEX($L$2:$L$78,MATCH(A60,$V$2:$V$78,0)))</x:f>
        <x:v>银瓴运通稳健1号五期</x:v>
      </x:c>
      <x:c r="C60" s="66" t="str">
        <x:f>IF(INDEX($M$2:$M$78,MATCH(A60,$V$2:$V$78,0))="","",INDEX($M$2:$M$78,MATCH(A60,$V$2:$V$78,0)))</x:f>
        <x:v>SNW762</x:v>
      </x:c>
      <x:c r="D60" s="66" t="str">
        <x:f>IF(INDEX($N$2:$N$78,MATCH(A60,$V$2:$V$78,0))="","",INDEX($N$2:$N$78,MATCH(A60,$V$2:$V$78,0)))</x:f>
        <x:v>广西银瓴资产</x:v>
      </x:c>
      <x:c r="E60" s="66" t="str">
        <x:f>IF(INDEX($O$2:$O$78,MATCH(A60,$V$2:$V$78,0))="","",INDEX($O$2:$O$78,MATCH(A60,$V$2:$V$78,0)))</x:f>
        <x:v>0-5亿元</x:v>
      </x:c>
      <x:c r="F60" s="77" t="str">
        <x:f>IF(INDEX($P$2:$P$78,MATCH(A60,$V$2:$V$78,0))="","",INDEX($P$2:$P$78,MATCH(A60,$V$2:$V$78,0)))</x:f>
      </x:c>
      <x:c r="G60" s="77" t="n">
        <x:f>IF(INDEX($Q$2:$Q$78,MATCH(A60,$V$2:$V$78,0))="","",INDEX($Q$2:$Q$78,MATCH(A60,$V$2:$V$78,0)))</x:f>
        <x:v>42.71</x:v>
      </x:c>
      <x:c r="H60" s="78" t="n">
        <x:f>IF(INDEX($R$2:$R$78,MATCH(A60,$V$2:$V$78,0))="","",INDEX($R$2:$R$78,MATCH(A60,$V$2:$V$78,0)))</x:f>
        <x:v>0.88</x:v>
      </x:c>
      <x:c r="I60" s="66" t="str">
        <x:f>IF(INDEX($S$2:$S$78,MATCH(A60,$V$2:$V$78,0))="","",INDEX($S$2:$S$78,MATCH(A60,$V$2:$V$78,0)))</x:f>
        <x:v>本次公示未见相关记录</x:v>
      </x:c>
      <x:c r="J60" s="66" t="str">
        <x:f>IF(INDEX($T$2:$T$78,MATCH(A60,$V$2:$V$78,0))="","",INDEX($T$2:$T$78,MATCH(A60,$V$2:$V$78,0)))</x:f>
        <x:v>https://gs.amac.org.cn/amac-infodisc/res/pof/manager/101000035485.html</x:v>
      </x:c>
      <x:c r="K60" s="66" t="n">
        <x:f>IF(INDEX($U$2:$U$78,MATCH(A60,$V$2:$V$78,0))="","",INDEX($U$2:$U$78,MATCH(A60,$V$2:$V$78,0)))</x:f>
        <x:v>165</x:v>
      </x:c>
      <x:c r="L60" s="80" t="str">
        <x:v>起源天择稳健1号</x:v>
      </x:c>
      <x:c r="M60" s="80" t="str">
        <x:v>SVJ267</x:v>
      </x:c>
      <x:c r="N60" s="80" t="str">
        <x:v>海南起源</x:v>
      </x:c>
      <x:c r="O60" s="80" t="str">
        <x:v>0-5亿元</x:v>
      </x:c>
      <x:c r="P60" s="81" t="str">
        <x:f>IF(ABS('sheet2-计算明细'!AQ162-1)&lt;0.00000001,'sheet2-计算明细'!AR162,"")</x:f>
      </x:c>
      <x:c r="Q60" s="81" t="n">
        <x:f>'sheet2-计算明细'!AS162</x:f>
        <x:v>66.61</x:v>
      </x:c>
      <x:c r="R60" s="82" t="n">
        <x:f>'sheet2-计算明细'!AQ162</x:f>
        <x:v>0.88</x:v>
      </x:c>
      <x:c r="S60" s="80" t="str">
        <x:v>协会提示／报送异常</x:v>
      </x:c>
      <x:c r="T60" s="80" t="str">
        <x:v>https://gs.amac.org.cn/amac-infodisc/res/pof/manager/2109301707118145.html</x:v>
      </x:c>
      <x:c r="U60" s="80" t="n">
        <x:f>'sheet2-计算明细'!AT162</x:f>
        <x:v>84</x:v>
      </x:c>
      <x:c r="V60" s="80" t="n">
        <x:f>COUNTIF($U$2:$U$78,"&lt;"&amp;U60)+1</x:f>
        <x:v>28</x:v>
      </x:c>
    </x:row>
    <x:row r="61" ht="27" customHeight="1">
      <x:c r="A61" s="66" t="n">
        <x:v>60</x:v>
      </x:c>
      <x:c r="B61" s="66" t="str">
        <x:f>IF(INDEX($L$2:$L$78,MATCH(A61,$V$2:$V$78,0))="","",INDEX($L$2:$L$78,MATCH(A61,$V$2:$V$78,0)))</x:f>
        <x:v>新视野智能量化2号</x:v>
      </x:c>
      <x:c r="C61" s="66" t="str">
        <x:f>IF(INDEX($M$2:$M$78,MATCH(A61,$V$2:$V$78,0))="","",INDEX($M$2:$M$78,MATCH(A61,$V$2:$V$78,0)))</x:f>
        <x:v>SR2759</x:v>
      </x:c>
      <x:c r="D61" s="66" t="str">
        <x:f>IF(INDEX($N$2:$N$78,MATCH(A61,$V$2:$V$78,0))="","",INDEX($N$2:$N$78,MATCH(A61,$V$2:$V$78,0)))</x:f>
        <x:v>杭州探融投资</x:v>
      </x:c>
      <x:c r="E61" s="66" t="str">
        <x:f>IF(INDEX($O$2:$O$78,MATCH(A61,$V$2:$V$78,0))="","",INDEX($O$2:$O$78,MATCH(A61,$V$2:$V$78,0)))</x:f>
        <x:v>0-5亿元</x:v>
      </x:c>
      <x:c r="F61" s="77" t="n">
        <x:f>IF(INDEX($P$2:$P$78,MATCH(A61,$V$2:$V$78,0))="","",INDEX($P$2:$P$78,MATCH(A61,$V$2:$V$78,0)))</x:f>
        <x:v>42.33091</x:v>
      </x:c>
      <x:c r="G61" s="77" t="n">
        <x:f>IF(INDEX($Q$2:$Q$78,MATCH(A61,$V$2:$V$78,0))="","",INDEX($Q$2:$Q$78,MATCH(A61,$V$2:$V$78,0)))</x:f>
        <x:v>42.33</x:v>
      </x:c>
      <x:c r="H61" s="78" t="n">
        <x:f>IF(INDEX($R$2:$R$78,MATCH(A61,$V$2:$V$78,0))="","",INDEX($R$2:$R$78,MATCH(A61,$V$2:$V$78,0)))</x:f>
        <x:v>1</x:v>
      </x:c>
      <x:c r="I61" s="66" t="str">
        <x:f>IF(INDEX($S$2:$S$78,MATCH(A61,$V$2:$V$78,0))="","",INDEX($S$2:$S$78,MATCH(A61,$V$2:$V$78,0)))</x:f>
        <x:v>本次公示未见相关记录</x:v>
      </x:c>
      <x:c r="J61" s="66" t="str">
        <x:f>IF(INDEX($T$2:$T$78,MATCH(A61,$V$2:$V$78,0))="","",INDEX($T$2:$T$78,MATCH(A61,$V$2:$V$78,0)))</x:f>
        <x:v>https://gs.amac.org.cn/amac-infodisc/res/pof/manager/101000049159.html</x:v>
      </x:c>
      <x:c r="K61" s="66" t="n">
        <x:f>IF(INDEX($U$2:$U$78,MATCH(A61,$V$2:$V$78,0))="","",INDEX($U$2:$U$78,MATCH(A61,$V$2:$V$78,0)))</x:f>
        <x:v>167</x:v>
      </x:c>
      <x:c r="L61" s="80" t="str">
        <x:v>以利安得利混合1号</x:v>
      </x:c>
      <x:c r="M61" s="80" t="str">
        <x:v>SVJ912</x:v>
      </x:c>
      <x:c r="N61" s="80" t="str">
        <x:v>河南以利</x:v>
      </x:c>
      <x:c r="O61" s="80" t="str">
        <x:v>0-5亿元</x:v>
      </x:c>
      <x:c r="P61" s="81" t="n">
        <x:f>IF(ABS('sheet2-计算明细'!AQ164-1)&lt;0.00000001,'sheet2-计算明细'!AR164,"")</x:f>
        <x:v>84.94367</x:v>
      </x:c>
      <x:c r="Q61" s="81" t="n">
        <x:f>'sheet2-计算明细'!AS164</x:f>
        <x:v>84.94</x:v>
      </x:c>
      <x:c r="R61" s="82" t="n">
        <x:f>'sheet2-计算明细'!AQ164</x:f>
        <x:v>1</x:v>
      </x:c>
      <x:c r="S61" s="80" t="str">
        <x:v>本次公示未见相关记录</x:v>
      </x:c>
      <x:c r="T61" s="80" t="str">
        <x:v>https://gs.amac.org.cn/amac-infodisc/res/pof/manager/101000009955.html</x:v>
      </x:c>
      <x:c r="U61" s="80" t="n">
        <x:f>'sheet2-计算明细'!AT164</x:f>
        <x:v>20</x:v>
      </x:c>
      <x:c r="V61" s="80" t="n">
        <x:f>COUNTIF($U$2:$U$78,"&lt;"&amp;U61)+1</x:f>
        <x:v>6</x:v>
      </x:c>
    </x:row>
    <x:row r="62" ht="27" customHeight="1">
      <x:c r="A62" s="66" t="n">
        <x:v>61</x:v>
      </x:c>
      <x:c r="B62" s="66" t="str">
        <x:f>IF(INDEX($L$2:$L$78,MATCH(A62,$V$2:$V$78,0))="","",INDEX($L$2:$L$78,MATCH(A62,$V$2:$V$78,0)))</x:f>
        <x:v>银瓴运通对冲套利进取2号二期</x:v>
      </x:c>
      <x:c r="C62" s="66" t="str">
        <x:f>IF(INDEX($M$2:$M$78,MATCH(A62,$V$2:$V$78,0))="","",INDEX($M$2:$M$78,MATCH(A62,$V$2:$V$78,0)))</x:f>
        <x:v>SQZ278</x:v>
      </x:c>
      <x:c r="D62" s="66" t="str">
        <x:f>IF(INDEX($N$2:$N$78,MATCH(A62,$V$2:$V$78,0))="","",INDEX($N$2:$N$78,MATCH(A62,$V$2:$V$78,0)))</x:f>
        <x:v>广西银瓴资产</x:v>
      </x:c>
      <x:c r="E62" s="66" t="str">
        <x:f>IF(INDEX($O$2:$O$78,MATCH(A62,$V$2:$V$78,0))="","",INDEX($O$2:$O$78,MATCH(A62,$V$2:$V$78,0)))</x:f>
        <x:v>0-5亿元</x:v>
      </x:c>
      <x:c r="F62" s="77" t="n">
        <x:f>IF(INDEX($P$2:$P$78,MATCH(A62,$V$2:$V$78,0))="","",INDEX($P$2:$P$78,MATCH(A62,$V$2:$V$78,0)))</x:f>
        <x:v>42.15737</x:v>
      </x:c>
      <x:c r="G62" s="77" t="n">
        <x:f>IF(INDEX($Q$2:$Q$78,MATCH(A62,$V$2:$V$78,0))="","",INDEX($Q$2:$Q$78,MATCH(A62,$V$2:$V$78,0)))</x:f>
        <x:v>42.16</x:v>
      </x:c>
      <x:c r="H62" s="78" t="n">
        <x:f>IF(INDEX($R$2:$R$78,MATCH(A62,$V$2:$V$78,0))="","",INDEX($R$2:$R$78,MATCH(A62,$V$2:$V$78,0)))</x:f>
        <x:v>1</x:v>
      </x:c>
      <x:c r="I62" s="66" t="str">
        <x:f>IF(INDEX($S$2:$S$78,MATCH(A62,$V$2:$V$78,0))="","",INDEX($S$2:$S$78,MATCH(A62,$V$2:$V$78,0)))</x:f>
        <x:v>本次公示未见相关记录</x:v>
      </x:c>
      <x:c r="J62" s="66" t="str">
        <x:f>IF(INDEX($T$2:$T$78,MATCH(A62,$V$2:$V$78,0))="","",INDEX($T$2:$T$78,MATCH(A62,$V$2:$V$78,0)))</x:f>
        <x:v>https://gs.amac.org.cn/amac-infodisc/res/pof/manager/101000035485.html</x:v>
      </x:c>
      <x:c r="K62" s="66" t="n">
        <x:f>IF(INDEX($U$2:$U$78,MATCH(A62,$V$2:$V$78,0))="","",INDEX($U$2:$U$78,MATCH(A62,$V$2:$V$78,0)))</x:f>
        <x:v>168</x:v>
      </x:c>
      <x:c r="L62" s="80" t="str">
        <x:v>放牛人5号</x:v>
      </x:c>
      <x:c r="M62" s="80" t="str">
        <x:v>SVH487</x:v>
      </x:c>
      <x:c r="N62" s="80" t="str">
        <x:v>上海放牛人</x:v>
      </x:c>
      <x:c r="O62" s="80" t="str">
        <x:v>0-5亿元</x:v>
      </x:c>
      <x:c r="P62" s="81" t="n">
        <x:f>IF(ABS('sheet2-计算明细'!AQ165-1)&lt;0.00000001,'sheet2-计算明细'!AR165,"")</x:f>
        <x:v>92.43306999999999</x:v>
      </x:c>
      <x:c r="Q62" s="81" t="n">
        <x:f>'sheet2-计算明细'!AS165</x:f>
        <x:v>92.43</x:v>
      </x:c>
      <x:c r="R62" s="82" t="n">
        <x:f>'sheet2-计算明细'!AQ165</x:f>
        <x:v>1</x:v>
      </x:c>
      <x:c r="S62" s="80" t="str">
        <x:v>本次公示未见相关记录</x:v>
      </x:c>
      <x:c r="T62" s="80" t="str">
        <x:v>https://gs.amac.org.cn/amac-infodisc/res/pof/manager/2104292125100136.html</x:v>
      </x:c>
      <x:c r="U62" s="80" t="n">
        <x:f>'sheet2-计算明细'!AT165</x:f>
        <x:v>3</x:v>
      </x:c>
      <x:c r="V62" s="80" t="n">
        <x:f>COUNTIF($U$2:$U$78,"&lt;"&amp;U62)+1</x:f>
        <x:v>1</x:v>
      </x:c>
    </x:row>
    <x:row r="63" ht="27" customHeight="1">
      <x:c r="A63" s="66" t="n">
        <x:v>62</x:v>
      </x:c>
      <x:c r="B63" s="66" t="str">
        <x:f>IF(INDEX($L$2:$L$78,MATCH(A63,$V$2:$V$78,0))="","",INDEX($L$2:$L$78,MATCH(A63,$V$2:$V$78,0)))</x:f>
        <x:v>冲和稳健增长一号</x:v>
      </x:c>
      <x:c r="C63" s="66" t="str">
        <x:f>IF(INDEX($M$2:$M$78,MATCH(A63,$V$2:$V$78,0))="","",INDEX($M$2:$M$78,MATCH(A63,$V$2:$V$78,0)))</x:f>
        <x:v>SEW918</x:v>
      </x:c>
      <x:c r="D63" s="66" t="str">
        <x:f>IF(INDEX($N$2:$N$78,MATCH(A63,$V$2:$V$78,0))="","",INDEX($N$2:$N$78,MATCH(A63,$V$2:$V$78,0)))</x:f>
        <x:v>北京冲和资管</x:v>
      </x:c>
      <x:c r="E63" s="66" t="str">
        <x:f>IF(INDEX($O$2:$O$78,MATCH(A63,$V$2:$V$78,0))="","",INDEX($O$2:$O$78,MATCH(A63,$V$2:$V$78,0)))</x:f>
        <x:v>0-5亿元</x:v>
      </x:c>
      <x:c r="F63" s="77" t="n">
        <x:f>IF(INDEX($P$2:$P$78,MATCH(A63,$V$2:$V$78,0))="","",INDEX($P$2:$P$78,MATCH(A63,$V$2:$V$78,0)))</x:f>
        <x:v>41.020270000000004</x:v>
      </x:c>
      <x:c r="G63" s="77" t="n">
        <x:f>IF(INDEX($Q$2:$Q$78,MATCH(A63,$V$2:$V$78,0))="","",INDEX($Q$2:$Q$78,MATCH(A63,$V$2:$V$78,0)))</x:f>
        <x:v>41.02</x:v>
      </x:c>
      <x:c r="H63" s="78" t="n">
        <x:f>IF(INDEX($R$2:$R$78,MATCH(A63,$V$2:$V$78,0))="","",INDEX($R$2:$R$78,MATCH(A63,$V$2:$V$78,0)))</x:f>
        <x:v>1</x:v>
      </x:c>
      <x:c r="I63" s="66" t="str">
        <x:f>IF(INDEX($S$2:$S$78,MATCH(A63,$V$2:$V$78,0))="","",INDEX($S$2:$S$78,MATCH(A63,$V$2:$V$78,0)))</x:f>
        <x:v>协会提示／报送异常</x:v>
      </x:c>
      <x:c r="J63" s="66" t="str">
        <x:f>IF(INDEX($T$2:$T$78,MATCH(A63,$V$2:$V$78,0))="","",INDEX($T$2:$T$78,MATCH(A63,$V$2:$V$78,0)))</x:f>
        <x:v>https://gs.amac.org.cn/amac-infodisc/res/pof/manager/101000038139.html</x:v>
      </x:c>
      <x:c r="K63" s="66" t="n">
        <x:f>IF(INDEX($U$2:$U$78,MATCH(A63,$V$2:$V$78,0))="","",INDEX($U$2:$U$78,MATCH(A63,$V$2:$V$78,0)))</x:f>
        <x:v>172</x:v>
      </x:c>
      <x:c r="L63" s="80" t="str">
        <x:v>守正卓越一号</x:v>
      </x:c>
      <x:c r="M63" s="80" t="str">
        <x:v>SVY984</x:v>
      </x:c>
      <x:c r="N63" s="80" t="str">
        <x:v>山东守正</x:v>
      </x:c>
      <x:c r="O63" s="80" t="str">
        <x:v>0-5亿元</x:v>
      </x:c>
      <x:c r="P63" s="81" t="n">
        <x:f>IF(ABS('sheet2-计算明细'!AQ169-1)&lt;0.00000001,'sheet2-计算明细'!AR169,"")</x:f>
        <x:v>61.76690000000001</x:v>
      </x:c>
      <x:c r="Q63" s="81" t="n">
        <x:f>'sheet2-计算明细'!AS169</x:f>
        <x:v>61.77</x:v>
      </x:c>
      <x:c r="R63" s="82" t="n">
        <x:f>'sheet2-计算明细'!AQ169</x:f>
        <x:v>1</x:v>
      </x:c>
      <x:c r="S63" s="80" t="str">
        <x:v>协会提示／报送异常</x:v>
      </x:c>
      <x:c r="T63" s="80" t="str">
        <x:v>https://gs.amac.org.cn/amac-infodisc/res/pof/manager/2111241907106834.html</x:v>
      </x:c>
      <x:c r="U63" s="80" t="n">
        <x:f>'sheet2-计算明细'!AT169</x:f>
        <x:v>99</x:v>
      </x:c>
      <x:c r="V63" s="80" t="n">
        <x:f>COUNTIF($U$2:$U$78,"&lt;"&amp;U63)+1</x:f>
        <x:v>33</x:v>
      </x:c>
    </x:row>
    <x:row r="64" ht="27" customHeight="1">
      <x:c r="A64" s="66" t="n">
        <x:v>63</x:v>
      </x:c>
      <x:c r="B64" s="66" t="str">
        <x:f>IF(INDEX($L$2:$L$78,MATCH(A64,$V$2:$V$78,0))="","",INDEX($L$2:$L$78,MATCH(A64,$V$2:$V$78,0)))</x:f>
        <x:v>银杏善投1号</x:v>
      </x:c>
      <x:c r="C64" s="66" t="str">
        <x:f>IF(INDEX($M$2:$M$78,MATCH(A64,$V$2:$V$78,0))="","",INDEX($M$2:$M$78,MATCH(A64,$V$2:$V$78,0)))</x:f>
        <x:v>STK219</x:v>
      </x:c>
      <x:c r="D64" s="66" t="str">
        <x:f>IF(INDEX($N$2:$N$78,MATCH(A64,$V$2:$V$78,0))="","",INDEX($N$2:$N$78,MATCH(A64,$V$2:$V$78,0)))</x:f>
        <x:v>上海银杏</x:v>
      </x:c>
      <x:c r="E64" s="66" t="str">
        <x:f>IF(INDEX($O$2:$O$78,MATCH(A64,$V$2:$V$78,0))="","",INDEX($O$2:$O$78,MATCH(A64,$V$2:$V$78,0)))</x:f>
        <x:v>0-5亿元</x:v>
      </x:c>
      <x:c r="F64" s="77" t="str">
        <x:f>IF(INDEX($P$2:$P$78,MATCH(A64,$V$2:$V$78,0))="","",INDEX($P$2:$P$78,MATCH(A64,$V$2:$V$78,0)))</x:f>
      </x:c>
      <x:c r="G64" s="77" t="n">
        <x:f>IF(INDEX($Q$2:$Q$78,MATCH(A64,$V$2:$V$78,0))="","",INDEX($Q$2:$Q$78,MATCH(A64,$V$2:$V$78,0)))</x:f>
        <x:v>40.07</x:v>
      </x:c>
      <x:c r="H64" s="78" t="n">
        <x:f>IF(INDEX($R$2:$R$78,MATCH(A64,$V$2:$V$78,0))="","",INDEX($R$2:$R$78,MATCH(A64,$V$2:$V$78,0)))</x:f>
        <x:v>0.88</x:v>
      </x:c>
      <x:c r="I64" s="66" t="str">
        <x:f>IF(INDEX($S$2:$S$78,MATCH(A64,$V$2:$V$78,0))="","",INDEX($S$2:$S$78,MATCH(A64,$V$2:$V$78,0)))</x:f>
        <x:v>本次公示未见相关记录</x:v>
      </x:c>
      <x:c r="J64" s="66" t="str">
        <x:f>IF(INDEX($T$2:$T$78,MATCH(A64,$V$2:$V$78,0))="","",INDEX($T$2:$T$78,MATCH(A64,$V$2:$V$78,0)))</x:f>
        <x:v>https://gs.amac.org.cn/amac-infodisc/res/pof/manager/2105100905108445.html</x:v>
      </x:c>
      <x:c r="K64" s="66" t="n">
        <x:f>IF(INDEX($U$2:$U$78,MATCH(A64,$V$2:$V$78,0))="","",INDEX($U$2:$U$78,MATCH(A64,$V$2:$V$78,0)))</x:f>
        <x:v>175</x:v>
      </x:c>
      <x:c r="L64" s="80" t="str">
        <x:v>东方富银宏观量化1号</x:v>
      </x:c>
      <x:c r="M64" s="80" t="str">
        <x:v>SXA890</x:v>
      </x:c>
      <x:c r="N64" s="80" t="str">
        <x:v>深圳东方富银投资</x:v>
      </x:c>
      <x:c r="O64" s="80" t="str">
        <x:v>0-5亿元</x:v>
      </x:c>
      <x:c r="P64" s="81" t="n">
        <x:f>IF(ABS('sheet2-计算明细'!AQ170-1)&lt;0.00000001,'sheet2-计算明细'!AR170,"")</x:f>
        <x:v>71.24703</x:v>
      </x:c>
      <x:c r="Q64" s="81" t="n">
        <x:f>'sheet2-计算明细'!AS170</x:f>
        <x:v>71.25</x:v>
      </x:c>
      <x:c r="R64" s="82" t="n">
        <x:f>'sheet2-计算明细'!AQ170</x:f>
        <x:v>1</x:v>
      </x:c>
      <x:c r="S64" s="80" t="str">
        <x:v>本次公示未见相关记录</x:v>
      </x:c>
      <x:c r="T64" s="80" t="str">
        <x:v>https://gs.amac.org.cn/amac-infodisc/res/pof/manager/1803121751101388.html</x:v>
      </x:c>
      <x:c r="U64" s="80" t="n">
        <x:f>'sheet2-计算明细'!AT170</x:f>
        <x:v>65</x:v>
      </x:c>
      <x:c r="V64" s="80" t="n">
        <x:f>COUNTIF($U$2:$U$78,"&lt;"&amp;U64)+1</x:f>
        <x:v>22</x:v>
      </x:c>
    </x:row>
    <x:row r="65" ht="27" customHeight="1">
      <x:c r="A65" s="66" t="n">
        <x:v>64</x:v>
      </x:c>
      <x:c r="B65" s="66" t="str">
        <x:f>IF(INDEX($L$2:$L$78,MATCH(A65,$V$2:$V$78,0))="","",INDEX($L$2:$L$78,MATCH(A65,$V$2:$V$78,0)))</x:f>
        <x:v>中安鼎盛善行可转债1号</x:v>
      </x:c>
      <x:c r="C65" s="66" t="str">
        <x:f>IF(INDEX($M$2:$M$78,MATCH(A65,$V$2:$V$78,0))="","",INDEX($M$2:$M$78,MATCH(A65,$V$2:$V$78,0)))</x:f>
        <x:v>STH005</x:v>
      </x:c>
      <x:c r="D65" s="66" t="str">
        <x:f>IF(INDEX($N$2:$N$78,MATCH(A65,$V$2:$V$78,0))="","",INDEX($N$2:$N$78,MATCH(A65,$V$2:$V$78,0)))</x:f>
        <x:v>深圳中安鼎盛</x:v>
      </x:c>
      <x:c r="E65" s="66" t="str">
        <x:f>IF(INDEX($O$2:$O$78,MATCH(A65,$V$2:$V$78,0))="","",INDEX($O$2:$O$78,MATCH(A65,$V$2:$V$78,0)))</x:f>
        <x:v>0-5亿元</x:v>
      </x:c>
      <x:c r="F65" s="77" t="n">
        <x:f>IF(INDEX($P$2:$P$78,MATCH(A65,$V$2:$V$78,0))="","",INDEX($P$2:$P$78,MATCH(A65,$V$2:$V$78,0)))</x:f>
        <x:v>36.15006</x:v>
      </x:c>
      <x:c r="G65" s="77" t="n">
        <x:f>IF(INDEX($Q$2:$Q$78,MATCH(A65,$V$2:$V$78,0))="","",INDEX($Q$2:$Q$78,MATCH(A65,$V$2:$V$78,0)))</x:f>
        <x:v>36.15</x:v>
      </x:c>
      <x:c r="H65" s="78" t="n">
        <x:f>IF(INDEX($R$2:$R$78,MATCH(A65,$V$2:$V$78,0))="","",INDEX($R$2:$R$78,MATCH(A65,$V$2:$V$78,0)))</x:f>
        <x:v>1</x:v>
      </x:c>
      <x:c r="I65" s="66" t="str">
        <x:f>IF(INDEX($S$2:$S$78,MATCH(A65,$V$2:$V$78,0))="","",INDEX($S$2:$S$78,MATCH(A65,$V$2:$V$78,0)))</x:f>
        <x:v>本次公示未见相关记录</x:v>
      </x:c>
      <x:c r="J65" s="66" t="str">
        <x:f>IF(INDEX($T$2:$T$78,MATCH(A65,$V$2:$V$78,0))="","",INDEX($T$2:$T$78,MATCH(A65,$V$2:$V$78,0)))</x:f>
        <x:v>https://gs.amac.org.cn/amac-infodisc/res/pof/manager/1807021606107284.html</x:v>
      </x:c>
      <x:c r="K65" s="66" t="n">
        <x:f>IF(INDEX($U$2:$U$78,MATCH(A65,$V$2:$V$78,0))="","",INDEX($U$2:$U$78,MATCH(A65,$V$2:$V$78,0)))</x:f>
        <x:v>179</x:v>
      </x:c>
      <x:c r="L65" s="80" t="str">
        <x:v>炽浪衍复9号</x:v>
      </x:c>
      <x:c r="M65" s="80" t="str">
        <x:v>SXH337</x:v>
      </x:c>
      <x:c r="N65" s="80" t="str">
        <x:v>海南炽浪</x:v>
      </x:c>
      <x:c r="O65" s="80" t="str">
        <x:v>0-5亿元</x:v>
      </x:c>
      <x:c r="P65" s="81" t="n">
        <x:f>IF(ABS('sheet2-计算明细'!AQ172-1)&lt;0.00000001,'sheet2-计算明细'!AR172,"")</x:f>
        <x:v>56.07321999999999</x:v>
      </x:c>
      <x:c r="Q65" s="81" t="n">
        <x:f>'sheet2-计算明细'!AS172</x:f>
        <x:v>56.07</x:v>
      </x:c>
      <x:c r="R65" s="82" t="n">
        <x:f>'sheet2-计算明细'!AQ172</x:f>
        <x:v>1</x:v>
      </x:c>
      <x:c r="S65" s="80" t="str">
        <x:v>协会提示／报送异常</x:v>
      </x:c>
      <x:c r="T65" s="80" t="str">
        <x:v>https://gs.amac.org.cn/amac-infodisc/res/pof/manager/2005090837103499.html</x:v>
      </x:c>
      <x:c r="U65" s="80" t="n">
        <x:f>'sheet2-计算明细'!AT172</x:f>
        <x:v>123</x:v>
      </x:c>
      <x:c r="V65" s="80" t="n">
        <x:f>COUNTIF($U$2:$U$78,"&lt;"&amp;U65)+1</x:f>
        <x:v>37</x:v>
      </x:c>
    </x:row>
    <x:row r="66" ht="27" customHeight="1">
      <x:c r="A66" s="66" t="n">
        <x:v>65</x:v>
      </x:c>
      <x:c r="B66" s="66" t="str">
        <x:f>IF(INDEX($L$2:$L$78,MATCH(A66,$V$2:$V$78,0))="","",INDEX($L$2:$L$78,MATCH(A66,$V$2:$V$78,0)))</x:f>
        <x:v>鸿熵天然1号A类</x:v>
      </x:c>
      <x:c r="C66" s="66" t="str">
        <x:f>IF(INDEX($M$2:$M$78,MATCH(A66,$V$2:$V$78,0))="","",INDEX($M$2:$M$78,MATCH(A66,$V$2:$V$78,0)))</x:f>
        <x:v>XU720A</x:v>
      </x:c>
      <x:c r="D66" s="66" t="str">
        <x:f>IF(INDEX($N$2:$N$78,MATCH(A66,$V$2:$V$78,0))="","",INDEX($N$2:$N$78,MATCH(A66,$V$2:$V$78,0)))</x:f>
        <x:v>北京鸿熵</x:v>
      </x:c>
      <x:c r="E66" s="66" t="str">
        <x:f>IF(INDEX($O$2:$O$78,MATCH(A66,$V$2:$V$78,0))="","",INDEX($O$2:$O$78,MATCH(A66,$V$2:$V$78,0)))</x:f>
        <x:v>0-5亿元</x:v>
      </x:c>
      <x:c r="F66" s="77" t="str">
        <x:f>IF(INDEX($P$2:$P$78,MATCH(A66,$V$2:$V$78,0))="","",INDEX($P$2:$P$78,MATCH(A66,$V$2:$V$78,0)))</x:f>
      </x:c>
      <x:c r="G66" s="77" t="n">
        <x:f>IF(INDEX($Q$2:$Q$78,MATCH(A66,$V$2:$V$78,0))="","",INDEX($Q$2:$Q$78,MATCH(A66,$V$2:$V$78,0)))</x:f>
        <x:v>35.49</x:v>
      </x:c>
      <x:c r="H66" s="78" t="n">
        <x:f>IF(INDEX($R$2:$R$78,MATCH(A66,$V$2:$V$78,0))="","",INDEX($R$2:$R$78,MATCH(A66,$V$2:$V$78,0)))</x:f>
        <x:v>0.9550000000000001</x:v>
      </x:c>
      <x:c r="I66" s="66" t="str">
        <x:f>IF(INDEX($S$2:$S$78,MATCH(A66,$V$2:$V$78,0))="","",INDEX($S$2:$S$78,MATCH(A66,$V$2:$V$78,0)))</x:f>
        <x:v>本次公示未见相关记录</x:v>
      </x:c>
      <x:c r="J66" s="66" t="str">
        <x:f>IF(INDEX($T$2:$T$78,MATCH(A66,$V$2:$V$78,0))="","",INDEX($T$2:$T$78,MATCH(A66,$V$2:$V$78,0)))</x:f>
        <x:v>https://gs.amac.org.cn/amac-infodisc/res/pof/manager/101000011345.html</x:v>
      </x:c>
      <x:c r="K66" s="66" t="n">
        <x:f>IF(INDEX($U$2:$U$78,MATCH(A66,$V$2:$V$78,0))="","",INDEX($U$2:$U$78,MATCH(A66,$V$2:$V$78,0)))</x:f>
        <x:v>184</x:v>
      </x:c>
      <x:c r="L66" s="80" t="str">
        <x:v>尊嘉金润1号</x:v>
      </x:c>
      <x:c r="M66" s="80" t="str">
        <x:v>SXM526</x:v>
      </x:c>
      <x:c r="N66" s="80" t="str">
        <x:v>北京尊嘉资管</x:v>
      </x:c>
      <x:c r="O66" s="80" t="str">
        <x:v>0-5亿元</x:v>
      </x:c>
      <x:c r="P66" s="81" t="n">
        <x:f>IF(ABS('sheet2-计算明细'!AQ176-1)&lt;0.00000001,'sheet2-计算明细'!AR176,"")</x:f>
        <x:v>45.28965</x:v>
      </x:c>
      <x:c r="Q66" s="81" t="n">
        <x:f>'sheet2-计算明细'!AS176</x:f>
        <x:v>45.29</x:v>
      </x:c>
      <x:c r="R66" s="82" t="n">
        <x:f>'sheet2-计算明细'!AQ176</x:f>
        <x:v>1</x:v>
      </x:c>
      <x:c r="S66" s="80" t="str">
        <x:v>本次公示未见相关记录</x:v>
      </x:c>
      <x:c r="T66" s="80" t="str">
        <x:v>https://gs.amac.org.cn/amac-infodisc/res/pof/manager/101000000661.html</x:v>
      </x:c>
      <x:c r="U66" s="80" t="n">
        <x:f>'sheet2-计算明细'!AT176</x:f>
        <x:v>158</x:v>
      </x:c>
      <x:c r="V66" s="80" t="n">
        <x:f>COUNTIF($U$2:$U$78,"&lt;"&amp;U66)+1</x:f>
        <x:v>56</x:v>
      </x:c>
    </x:row>
    <x:row r="67" ht="27" customHeight="1">
      <x:c r="A67" s="66" t="n">
        <x:v>66</x:v>
      </x:c>
      <x:c r="B67" s="66" t="str">
        <x:f>IF(INDEX($L$2:$L$78,MATCH(A67,$V$2:$V$78,0))="","",INDEX($L$2:$L$78,MATCH(A67,$V$2:$V$78,0)))</x:f>
        <x:v>银瓴运通致远3号五期</x:v>
      </x:c>
      <x:c r="C67" s="66" t="str">
        <x:f>IF(INDEX($M$2:$M$78,MATCH(A67,$V$2:$V$78,0))="","",INDEX($M$2:$M$78,MATCH(A67,$V$2:$V$78,0)))</x:f>
        <x:v>SXF666</x:v>
      </x:c>
      <x:c r="D67" s="66" t="str">
        <x:f>IF(INDEX($N$2:$N$78,MATCH(A67,$V$2:$V$78,0))="","",INDEX($N$2:$N$78,MATCH(A67,$V$2:$V$78,0)))</x:f>
        <x:v>广西银瓴资产</x:v>
      </x:c>
      <x:c r="E67" s="66" t="str">
        <x:f>IF(INDEX($O$2:$O$78,MATCH(A67,$V$2:$V$78,0))="","",INDEX($O$2:$O$78,MATCH(A67,$V$2:$V$78,0)))</x:f>
        <x:v>0-5亿元</x:v>
      </x:c>
      <x:c r="F67" s="77" t="n">
        <x:f>IF(INDEX($P$2:$P$78,MATCH(A67,$V$2:$V$78,0))="","",INDEX($P$2:$P$78,MATCH(A67,$V$2:$V$78,0)))</x:f>
        <x:v>35.17784</x:v>
      </x:c>
      <x:c r="G67" s="77" t="n">
        <x:f>IF(INDEX($Q$2:$Q$78,MATCH(A67,$V$2:$V$78,0))="","",INDEX($Q$2:$Q$78,MATCH(A67,$V$2:$V$78,0)))</x:f>
        <x:v>35.18</x:v>
      </x:c>
      <x:c r="H67" s="78" t="n">
        <x:f>IF(INDEX($R$2:$R$78,MATCH(A67,$V$2:$V$78,0))="","",INDEX($R$2:$R$78,MATCH(A67,$V$2:$V$78,0)))</x:f>
        <x:v>1</x:v>
      </x:c>
      <x:c r="I67" s="66" t="str">
        <x:f>IF(INDEX($S$2:$S$78,MATCH(A67,$V$2:$V$78,0))="","",INDEX($S$2:$S$78,MATCH(A67,$V$2:$V$78,0)))</x:f>
        <x:v>本次公示未见相关记录</x:v>
      </x:c>
      <x:c r="J67" s="66" t="str">
        <x:f>IF(INDEX($T$2:$T$78,MATCH(A67,$V$2:$V$78,0))="","",INDEX($T$2:$T$78,MATCH(A67,$V$2:$V$78,0)))</x:f>
        <x:v>https://gs.amac.org.cn/amac-infodisc/res/pof/manager/101000035485.html</x:v>
      </x:c>
      <x:c r="K67" s="66" t="n">
        <x:f>IF(INDEX($U$2:$U$78,MATCH(A67,$V$2:$V$78,0))="","",INDEX($U$2:$U$78,MATCH(A67,$V$2:$V$78,0)))</x:f>
        <x:v>185</x:v>
      </x:c>
      <x:c r="L67" s="80" t="str">
        <x:v>博弈树金选套利2号</x:v>
      </x:c>
      <x:c r="M67" s="80" t="str">
        <x:v>SXR086</x:v>
      </x:c>
      <x:c r="N67" s="80" t="str">
        <x:v>广东丰煜</x:v>
      </x:c>
      <x:c r="O67" s="80" t="str">
        <x:v>0-5亿元</x:v>
      </x:c>
      <x:c r="P67" s="81" t="str">
        <x:f>IF(ABS('sheet2-计算明细'!AQ178-1)&lt;0.00000001,'sheet2-计算明细'!AR178,"")</x:f>
      </x:c>
      <x:c r="Q67" s="81" t="n">
        <x:f>'sheet2-计算明细'!AS178</x:f>
        <x:v>71.97</x:v>
      </x:c>
      <x:c r="R67" s="82" t="n">
        <x:f>'sheet2-计算明细'!AQ178</x:f>
        <x:v>0.88</x:v>
      </x:c>
      <x:c r="S67" s="80" t="str">
        <x:v>本次公示未见相关记录</x:v>
      </x:c>
      <x:c r="T67" s="80" t="str">
        <x:v>https://gs.amac.org.cn/amac-infodisc/res/pof/manager/101000015767.html</x:v>
      </x:c>
      <x:c r="U67" s="80" t="n">
        <x:f>'sheet2-计算明细'!AT178</x:f>
        <x:v>63</x:v>
      </x:c>
      <x:c r="V67" s="80" t="n">
        <x:f>COUNTIF($U$2:$U$78,"&lt;"&amp;U67)+1</x:f>
        <x:v>20</x:v>
      </x:c>
    </x:row>
    <x:row r="68" ht="27" customHeight="1">
      <x:c r="A68" s="66" t="n">
        <x:v>67</x:v>
      </x:c>
      <x:c r="B68" s="66" t="str">
        <x:f>IF(INDEX($L$2:$L$78,MATCH(A68,$V$2:$V$78,0))="","",INDEX($L$2:$L$78,MATCH(A68,$V$2:$V$78,0)))</x:f>
        <x:v>衍舟弄潮2号</x:v>
      </x:c>
      <x:c r="C68" s="66" t="str">
        <x:f>IF(INDEX($M$2:$M$78,MATCH(A68,$V$2:$V$78,0))="","",INDEX($M$2:$M$78,MATCH(A68,$V$2:$V$78,0)))</x:f>
        <x:v>SZG044</x:v>
      </x:c>
      <x:c r="D68" s="66" t="str">
        <x:f>IF(INDEX($N$2:$N$78,MATCH(A68,$V$2:$V$78,0))="","",INDEX($N$2:$N$78,MATCH(A68,$V$2:$V$78,0)))</x:f>
        <x:v>海南衍舟</x:v>
      </x:c>
      <x:c r="E68" s="66" t="str">
        <x:f>IF(INDEX($O$2:$O$78,MATCH(A68,$V$2:$V$78,0))="","",INDEX($O$2:$O$78,MATCH(A68,$V$2:$V$78,0)))</x:f>
        <x:v>0-5亿元</x:v>
      </x:c>
      <x:c r="F68" s="77" t="n">
        <x:f>IF(INDEX($P$2:$P$78,MATCH(A68,$V$2:$V$78,0))="","",INDEX($P$2:$P$78,MATCH(A68,$V$2:$V$78,0)))</x:f>
        <x:v>34.13389</x:v>
      </x:c>
      <x:c r="G68" s="77" t="n">
        <x:f>IF(INDEX($Q$2:$Q$78,MATCH(A68,$V$2:$V$78,0))="","",INDEX($Q$2:$Q$78,MATCH(A68,$V$2:$V$78,0)))</x:f>
        <x:v>34.13</x:v>
      </x:c>
      <x:c r="H68" s="78" t="n">
        <x:f>IF(INDEX($R$2:$R$78,MATCH(A68,$V$2:$V$78,0))="","",INDEX($R$2:$R$78,MATCH(A68,$V$2:$V$78,0)))</x:f>
        <x:v>1</x:v>
      </x:c>
      <x:c r="I68" s="66" t="str">
        <x:f>IF(INDEX($S$2:$S$78,MATCH(A68,$V$2:$V$78,0))="","",INDEX($S$2:$S$78,MATCH(A68,$V$2:$V$78,0)))</x:f>
        <x:v>协会提示／报送异常</x:v>
      </x:c>
      <x:c r="J68" s="66" t="str">
        <x:f>IF(INDEX($T$2:$T$78,MATCH(A68,$V$2:$V$78,0))="","",INDEX($T$2:$T$78,MATCH(A68,$V$2:$V$78,0)))</x:f>
        <x:v>https://gs.amac.org.cn/amac-infodisc/res/pof/manager/2203211010108428.html</x:v>
      </x:c>
      <x:c r="K68" s="66" t="n">
        <x:f>IF(INDEX($U$2:$U$78,MATCH(A68,$V$2:$V$78,0))="","",INDEX($U$2:$U$78,MATCH(A68,$V$2:$V$78,0)))</x:f>
        <x:v>186</x:v>
      </x:c>
      <x:c r="L68" s="80" t="str">
        <x:v>擎丰1号3期</x:v>
      </x:c>
      <x:c r="M68" s="80" t="str">
        <x:v>SXK911</x:v>
      </x:c>
      <x:c r="N68" s="80" t="str">
        <x:v>上海擎丰</x:v>
      </x:c>
      <x:c r="O68" s="80" t="str">
        <x:v>0-5亿元</x:v>
      </x:c>
      <x:c r="P68" s="81" t="n">
        <x:f>IF(ABS('sheet2-计算明细'!AQ180-1)&lt;0.00000001,'sheet2-计算明细'!AR180,"")</x:f>
        <x:v>84.38658000000001</x:v>
      </x:c>
      <x:c r="Q68" s="81" t="n">
        <x:f>'sheet2-计算明细'!AS180</x:f>
        <x:v>84.39</x:v>
      </x:c>
      <x:c r="R68" s="82" t="n">
        <x:f>'sheet2-计算明细'!AQ180</x:f>
        <x:v>1</x:v>
      </x:c>
      <x:c r="S68" s="80" t="str">
        <x:v>协会提示／报送异常</x:v>
      </x:c>
      <x:c r="T68" s="80" t="str">
        <x:v>https://gs.amac.org.cn/amac-infodisc/res/pof/manager/1707071820104466.html</x:v>
      </x:c>
      <x:c r="U68" s="80" t="n">
        <x:f>'sheet2-计算明细'!AT180</x:f>
        <x:v>21</x:v>
      </x:c>
      <x:c r="V68" s="80" t="n">
        <x:f>COUNTIF($U$2:$U$78,"&lt;"&amp;U68)+1</x:f>
        <x:v>7</x:v>
      </x:c>
    </x:row>
    <x:row r="69" ht="27" customHeight="1">
      <x:c r="A69" s="66" t="n">
        <x:v>68</x:v>
      </x:c>
      <x:c r="B69" s="66" t="str">
        <x:f>IF(INDEX($L$2:$L$78,MATCH(A69,$V$2:$V$78,0))="","",INDEX($L$2:$L$78,MATCH(A69,$V$2:$V$78,0)))</x:f>
        <x:v>银瓴汇金1号</x:v>
      </x:c>
      <x:c r="C69" s="66" t="str">
        <x:f>IF(INDEX($M$2:$M$78,MATCH(A69,$V$2:$V$78,0))="","",INDEX($M$2:$M$78,MATCH(A69,$V$2:$V$78,0)))</x:f>
        <x:v>SZP369</x:v>
      </x:c>
      <x:c r="D69" s="66" t="str">
        <x:f>IF(INDEX($N$2:$N$78,MATCH(A69,$V$2:$V$78,0))="","",INDEX($N$2:$N$78,MATCH(A69,$V$2:$V$78,0)))</x:f>
        <x:v>广西银瓴资产</x:v>
      </x:c>
      <x:c r="E69" s="66" t="str">
        <x:f>IF(INDEX($O$2:$O$78,MATCH(A69,$V$2:$V$78,0))="","",INDEX($O$2:$O$78,MATCH(A69,$V$2:$V$78,0)))</x:f>
        <x:v>0-5亿元</x:v>
      </x:c>
      <x:c r="F69" s="77" t="n">
        <x:f>IF(INDEX($P$2:$P$78,MATCH(A69,$V$2:$V$78,0))="","",INDEX($P$2:$P$78,MATCH(A69,$V$2:$V$78,0)))</x:f>
        <x:v>33.96908</x:v>
      </x:c>
      <x:c r="G69" s="77" t="n">
        <x:f>IF(INDEX($Q$2:$Q$78,MATCH(A69,$V$2:$V$78,0))="","",INDEX($Q$2:$Q$78,MATCH(A69,$V$2:$V$78,0)))</x:f>
        <x:v>33.97</x:v>
      </x:c>
      <x:c r="H69" s="78" t="n">
        <x:f>IF(INDEX($R$2:$R$78,MATCH(A69,$V$2:$V$78,0))="","",INDEX($R$2:$R$78,MATCH(A69,$V$2:$V$78,0)))</x:f>
        <x:v>1</x:v>
      </x:c>
      <x:c r="I69" s="66" t="str">
        <x:f>IF(INDEX($S$2:$S$78,MATCH(A69,$V$2:$V$78,0))="","",INDEX($S$2:$S$78,MATCH(A69,$V$2:$V$78,0)))</x:f>
        <x:v>本次公示未见相关记录</x:v>
      </x:c>
      <x:c r="J69" s="66" t="str">
        <x:f>IF(INDEX($T$2:$T$78,MATCH(A69,$V$2:$V$78,0))="","",INDEX($T$2:$T$78,MATCH(A69,$V$2:$V$78,0)))</x:f>
        <x:v>https://gs.amac.org.cn/amac-infodisc/res/pof/manager/101000035485.html</x:v>
      </x:c>
      <x:c r="K69" s="66" t="n">
        <x:f>IF(INDEX($U$2:$U$78,MATCH(A69,$V$2:$V$78,0))="","",INDEX($U$2:$U$78,MATCH(A69,$V$2:$V$78,0)))</x:f>
        <x:v>187</x:v>
      </x:c>
      <x:c r="L69" s="80" t="str">
        <x:v>雁丰卓衍1号</x:v>
      </x:c>
      <x:c r="M69" s="80" t="str">
        <x:v>SXX404</x:v>
      </x:c>
      <x:c r="N69" s="80" t="str">
        <x:v>上海雁丰投资</x:v>
      </x:c>
      <x:c r="O69" s="80" t="str">
        <x:v>0-5亿元</x:v>
      </x:c>
      <x:c r="P69" s="81" t="n">
        <x:f>IF(ABS('sheet2-计算明细'!AQ186-1)&lt;0.00000001,'sheet2-计算明细'!AR186,"")</x:f>
        <x:v>65.71779</x:v>
      </x:c>
      <x:c r="Q69" s="81" t="n">
        <x:f>'sheet2-计算明细'!AS186</x:f>
        <x:v>65.72</x:v>
      </x:c>
      <x:c r="R69" s="82" t="n">
        <x:f>'sheet2-计算明细'!AQ186</x:f>
        <x:v>1</x:v>
      </x:c>
      <x:c r="S69" s="80" t="str">
        <x:v>协会提示／报送异常</x:v>
      </x:c>
      <x:c r="T69" s="80" t="str">
        <x:v>https://gs.amac.org.cn/amac-infodisc/res/pof/manager/101000007795.html</x:v>
      </x:c>
      <x:c r="U69" s="80" t="n">
        <x:f>'sheet2-计算明细'!AT186</x:f>
        <x:v>88</x:v>
      </x:c>
      <x:c r="V69" s="80" t="n">
        <x:f>COUNTIF($U$2:$U$78,"&lt;"&amp;U69)+1</x:f>
        <x:v>29</x:v>
      </x:c>
    </x:row>
    <x:row r="70" ht="27" customHeight="1">
      <x:c r="A70" s="66" t="n">
        <x:v>69</x:v>
      </x:c>
      <x:c r="B70" s="66" t="str">
        <x:f>IF(INDEX($L$2:$L$78,MATCH(A70,$V$2:$V$78,0))="","",INDEX($L$2:$L$78,MATCH(A70,$V$2:$V$78,0)))</x:f>
        <x:v>银瓴汇金3号</x:v>
      </x:c>
      <x:c r="C70" s="66" t="str">
        <x:f>IF(INDEX($M$2:$M$78,MATCH(A70,$V$2:$V$78,0))="","",INDEX($M$2:$M$78,MATCH(A70,$V$2:$V$78,0)))</x:f>
        <x:v>S03979</x:v>
      </x:c>
      <x:c r="D70" s="66" t="str">
        <x:f>IF(INDEX($N$2:$N$78,MATCH(A70,$V$2:$V$78,0))="","",INDEX($N$2:$N$78,MATCH(A70,$V$2:$V$78,0)))</x:f>
        <x:v>广西银瓴资产</x:v>
      </x:c>
      <x:c r="E70" s="66" t="str">
        <x:f>IF(INDEX($O$2:$O$78,MATCH(A70,$V$2:$V$78,0))="","",INDEX($O$2:$O$78,MATCH(A70,$V$2:$V$78,0)))</x:f>
        <x:v>0-5亿元</x:v>
      </x:c>
      <x:c r="F70" s="77" t="str">
        <x:f>IF(INDEX($P$2:$P$78,MATCH(A70,$V$2:$V$78,0))="","",INDEX($P$2:$P$78,MATCH(A70,$V$2:$V$78,0)))</x:f>
      </x:c>
      <x:c r="G70" s="77" t="n">
        <x:f>IF(INDEX($Q$2:$Q$78,MATCH(A70,$V$2:$V$78,0))="","",INDEX($Q$2:$Q$78,MATCH(A70,$V$2:$V$78,0)))</x:f>
        <x:v>32.01</x:v>
      </x:c>
      <x:c r="H70" s="78" t="n">
        <x:f>IF(INDEX($R$2:$R$78,MATCH(A70,$V$2:$V$78,0))="","",INDEX($R$2:$R$78,MATCH(A70,$V$2:$V$78,0)))</x:f>
        <x:v>0.88</x:v>
      </x:c>
      <x:c r="I70" s="66" t="str">
        <x:f>IF(INDEX($S$2:$S$78,MATCH(A70,$V$2:$V$78,0))="","",INDEX($S$2:$S$78,MATCH(A70,$V$2:$V$78,0)))</x:f>
        <x:v>本次公示未见相关记录</x:v>
      </x:c>
      <x:c r="J70" s="66" t="str">
        <x:f>IF(INDEX($T$2:$T$78,MATCH(A70,$V$2:$V$78,0))="","",INDEX($T$2:$T$78,MATCH(A70,$V$2:$V$78,0)))</x:f>
        <x:v>https://gs.amac.org.cn/amac-infodisc/res/pof/manager/101000035485.html</x:v>
      </x:c>
      <x:c r="K70" s="66" t="n">
        <x:f>IF(INDEX($U$2:$U$78,MATCH(A70,$V$2:$V$78,0))="","",INDEX($U$2:$U$78,MATCH(A70,$V$2:$V$78,0)))</x:f>
        <x:v>189</x:v>
      </x:c>
      <x:c r="L70" s="80" t="str">
        <x:v>烁菓量化复合套利2号</x:v>
      </x:c>
      <x:c r="M70" s="80" t="str">
        <x:v>SZB527</x:v>
      </x:c>
      <x:c r="N70" s="80" t="str">
        <x:v>福州烁菓</x:v>
      </x:c>
      <x:c r="O70" s="80" t="str">
        <x:v>0-5亿元</x:v>
      </x:c>
      <x:c r="P70" s="81" t="n">
        <x:f>IF(ABS('sheet2-计算明细'!AQ188-1)&lt;0.00000001,'sheet2-计算明细'!AR188,"")</x:f>
        <x:v>90.07879</x:v>
      </x:c>
      <x:c r="Q70" s="81" t="n">
        <x:f>'sheet2-计算明细'!AS188</x:f>
        <x:v>90.08</x:v>
      </x:c>
      <x:c r="R70" s="82" t="n">
        <x:f>'sheet2-计算明细'!AQ188</x:f>
        <x:v>1</x:v>
      </x:c>
      <x:c r="S70" s="80" t="str">
        <x:v>协会提示／报送异常</x:v>
      </x:c>
      <x:c r="T70" s="80" t="str">
        <x:v>https://gs.amac.org.cn/amac-infodisc/res/pof/manager/101000027571.html</x:v>
      </x:c>
      <x:c r="U70" s="80" t="n">
        <x:f>'sheet2-计算明细'!AT188</x:f>
        <x:v>8</x:v>
      </x:c>
      <x:c r="V70" s="80" t="n">
        <x:f>COUNTIF($U$2:$U$78,"&lt;"&amp;U70)+1</x:f>
        <x:v>3</x:v>
      </x:c>
    </x:row>
    <x:row r="71" ht="27" customHeight="1">
      <x:c r="A71" s="66" t="n">
        <x:v>70</x:v>
      </x:c>
      <x:c r="B71" s="66" t="str">
        <x:f>IF(INDEX($L$2:$L$78,MATCH(A71,$V$2:$V$78,0))="","",INDEX($L$2:$L$78,MATCH(A71,$V$2:$V$78,0)))</x:f>
        <x:v>银瓴运通对冲套利进取2号</x:v>
      </x:c>
      <x:c r="C71" s="66" t="str">
        <x:f>IF(INDEX($M$2:$M$78,MATCH(A71,$V$2:$V$78,0))="","",INDEX($M$2:$M$78,MATCH(A71,$V$2:$V$78,0)))</x:f>
        <x:v>SLC022</x:v>
      </x:c>
      <x:c r="D71" s="66" t="str">
        <x:f>IF(INDEX($N$2:$N$78,MATCH(A71,$V$2:$V$78,0))="","",INDEX($N$2:$N$78,MATCH(A71,$V$2:$V$78,0)))</x:f>
        <x:v>广西银瓴资产</x:v>
      </x:c>
      <x:c r="E71" s="66" t="str">
        <x:f>IF(INDEX($O$2:$O$78,MATCH(A71,$V$2:$V$78,0))="","",INDEX($O$2:$O$78,MATCH(A71,$V$2:$V$78,0)))</x:f>
        <x:v>0-5亿元</x:v>
      </x:c>
      <x:c r="F71" s="77" t="n">
        <x:f>IF(INDEX($P$2:$P$78,MATCH(A71,$V$2:$V$78,0))="","",INDEX($P$2:$P$78,MATCH(A71,$V$2:$V$78,0)))</x:f>
        <x:v>30.641820000000003</x:v>
      </x:c>
      <x:c r="G71" s="77" t="n">
        <x:f>IF(INDEX($Q$2:$Q$78,MATCH(A71,$V$2:$V$78,0))="","",INDEX($Q$2:$Q$78,MATCH(A71,$V$2:$V$78,0)))</x:f>
        <x:v>30.64</x:v>
      </x:c>
      <x:c r="H71" s="78" t="n">
        <x:f>IF(INDEX($R$2:$R$78,MATCH(A71,$V$2:$V$78,0))="","",INDEX($R$2:$R$78,MATCH(A71,$V$2:$V$78,0)))</x:f>
        <x:v>1</x:v>
      </x:c>
      <x:c r="I71" s="66" t="str">
        <x:f>IF(INDEX($S$2:$S$78,MATCH(A71,$V$2:$V$78,0))="","",INDEX($S$2:$S$78,MATCH(A71,$V$2:$V$78,0)))</x:f>
        <x:v>本次公示未见相关记录</x:v>
      </x:c>
      <x:c r="J71" s="66" t="str">
        <x:f>IF(INDEX($T$2:$T$78,MATCH(A71,$V$2:$V$78,0))="","",INDEX($T$2:$T$78,MATCH(A71,$V$2:$V$78,0)))</x:f>
        <x:v>https://gs.amac.org.cn/amac-infodisc/res/pof/manager/101000035485.html</x:v>
      </x:c>
      <x:c r="K71" s="66" t="n">
        <x:f>IF(INDEX($U$2:$U$78,MATCH(A71,$V$2:$V$78,0))="","",INDEX($U$2:$U$78,MATCH(A71,$V$2:$V$78,0)))</x:f>
        <x:v>190</x:v>
      </x:c>
      <x:c r="L71" s="80" t="str">
        <x:v>赢起隆华1期</x:v>
      </x:c>
      <x:c r="M71" s="80" t="str">
        <x:v>SZC360</x:v>
      </x:c>
      <x:c r="N71" s="80" t="str">
        <x:v>上海赢起</x:v>
      </x:c>
      <x:c r="O71" s="80" t="str">
        <x:v>0-5亿元</x:v>
      </x:c>
      <x:c r="P71" s="81" t="n">
        <x:f>IF(ABS('sheet2-计算明细'!AQ190-1)&lt;0.00000001,'sheet2-计算明细'!AR190,"")</x:f>
        <x:v>73.25258</x:v>
      </x:c>
      <x:c r="Q71" s="81" t="n">
        <x:f>'sheet2-计算明细'!AS190</x:f>
        <x:v>73.25</x:v>
      </x:c>
      <x:c r="R71" s="82" t="n">
        <x:f>'sheet2-计算明细'!AQ190</x:f>
        <x:v>1</x:v>
      </x:c>
      <x:c r="S71" s="80" t="str">
        <x:v>协会提示／报送异常</x:v>
      </x:c>
      <x:c r="T71" s="80" t="str">
        <x:v>https://gs.amac.org.cn/amac-infodisc/res/pof/manager/1611081535100767.html</x:v>
      </x:c>
      <x:c r="U71" s="80" t="n">
        <x:f>'sheet2-计算明细'!AT190</x:f>
        <x:v>55</x:v>
      </x:c>
      <x:c r="V71" s="80" t="n">
        <x:f>COUNTIF($U$2:$U$78,"&lt;"&amp;U71)+1</x:f>
        <x:v>17</x:v>
      </x:c>
    </x:row>
    <x:row r="72" ht="27" customHeight="1">
      <x:c r="A72" s="66" t="n">
        <x:v>71</x:v>
      </x:c>
      <x:c r="B72" s="66" t="str">
        <x:f>IF(INDEX($L$2:$L$78,MATCH(A72,$V$2:$V$78,0))="","",INDEX($L$2:$L$78,MATCH(A72,$V$2:$V$78,0)))</x:f>
        <x:v>厦门言起博士一号</x:v>
      </x:c>
      <x:c r="C72" s="66" t="str">
        <x:f>IF(INDEX($M$2:$M$78,MATCH(A72,$V$2:$V$78,0))="","",INDEX($M$2:$M$78,MATCH(A72,$V$2:$V$78,0)))</x:f>
        <x:v>SJR679</x:v>
      </x:c>
      <x:c r="D72" s="66" t="str">
        <x:f>IF(INDEX($N$2:$N$78,MATCH(A72,$V$2:$V$78,0))="","",INDEX($N$2:$N$78,MATCH(A72,$V$2:$V$78,0)))</x:f>
        <x:v>厦门言起投资</x:v>
      </x:c>
      <x:c r="E72" s="66" t="str">
        <x:f>IF(INDEX($O$2:$O$78,MATCH(A72,$V$2:$V$78,0))="","",INDEX($O$2:$O$78,MATCH(A72,$V$2:$V$78,0)))</x:f>
        <x:v>0-5亿元</x:v>
      </x:c>
      <x:c r="F72" s="77" t="str">
        <x:f>IF(INDEX($P$2:$P$78,MATCH(A72,$V$2:$V$78,0))="","",INDEX($P$2:$P$78,MATCH(A72,$V$2:$V$78,0)))</x:f>
      </x:c>
      <x:c r="G72" s="77" t="n">
        <x:f>IF(INDEX($Q$2:$Q$78,MATCH(A72,$V$2:$V$78,0))="","",INDEX($Q$2:$Q$78,MATCH(A72,$V$2:$V$78,0)))</x:f>
        <x:v>30.48</x:v>
      </x:c>
      <x:c r="H72" s="78" t="n">
        <x:f>IF(INDEX($R$2:$R$78,MATCH(A72,$V$2:$V$78,0))="","",INDEX($R$2:$R$78,MATCH(A72,$V$2:$V$78,0)))</x:f>
        <x:v>0.88</x:v>
      </x:c>
      <x:c r="I72" s="66" t="str">
        <x:f>IF(INDEX($S$2:$S$78,MATCH(A72,$V$2:$V$78,0))="","",INDEX($S$2:$S$78,MATCH(A72,$V$2:$V$78,0)))</x:f>
        <x:v>协会提示／报送异常</x:v>
      </x:c>
      <x:c r="J72" s="66" t="str">
        <x:f>IF(INDEX($T$2:$T$78,MATCH(A72,$V$2:$V$78,0))="","",INDEX($T$2:$T$78,MATCH(A72,$V$2:$V$78,0)))</x:f>
        <x:v>https://gs.amac.org.cn/amac-infodisc/res/pof/manager/101000049573.html</x:v>
      </x:c>
      <x:c r="K72" s="66" t="n">
        <x:f>IF(INDEX($U$2:$U$78,MATCH(A72,$V$2:$V$78,0))="","",INDEX($U$2:$U$78,MATCH(A72,$V$2:$V$78,0)))</x:f>
        <x:v>192</x:v>
      </x:c>
      <x:c r="L72" s="80" t="str">
        <x:v>言起投资价值成长1号</x:v>
      </x:c>
      <x:c r="M72" s="80" t="str">
        <x:v>SZL583</x:v>
      </x:c>
      <x:c r="N72" s="80" t="str">
        <x:v>厦门言起投资</x:v>
      </x:c>
      <x:c r="O72" s="80" t="str">
        <x:v>0-5亿元</x:v>
      </x:c>
      <x:c r="P72" s="81" t="str">
        <x:f>IF(ABS('sheet2-计算明细'!AQ196-1)&lt;0.00000001,'sheet2-计算明细'!AR196,"")</x:f>
      </x:c>
      <x:c r="Q72" s="81" t="n">
        <x:f>'sheet2-计算明细'!AS196</x:f>
        <x:v>28.94</x:v>
      </x:c>
      <x:c r="R72" s="82" t="n">
        <x:f>'sheet2-计算明细'!AQ196</x:f>
        <x:v>0.88</x:v>
      </x:c>
      <x:c r="S72" s="80" t="str">
        <x:v>协会提示／报送异常</x:v>
      </x:c>
      <x:c r="T72" s="80" t="str">
        <x:v>https://gs.amac.org.cn/amac-infodisc/res/pof/manager/101000049573.html</x:v>
      </x:c>
      <x:c r="U72" s="80" t="n">
        <x:f>'sheet2-计算明细'!AT196</x:f>
        <x:v>196</x:v>
      </x:c>
      <x:c r="V72" s="80" t="n">
        <x:f>COUNTIF($U$2:$U$78,"&lt;"&amp;U72)+1</x:f>
        <x:v>74</x:v>
      </x:c>
    </x:row>
    <x:row r="73" ht="27" customHeight="1">
      <x:c r="A73" s="66" t="n">
        <x:v>72</x:v>
      </x:c>
      <x:c r="B73" s="66" t="str">
        <x:f>IF(INDEX($L$2:$L$78,MATCH(A73,$V$2:$V$78,0))="","",INDEX($L$2:$L$78,MATCH(A73,$V$2:$V$78,0)))</x:f>
        <x:v>银瓴运通对冲套利致远3号</x:v>
      </x:c>
      <x:c r="C73" s="66" t="str">
        <x:f>IF(INDEX($M$2:$M$78,MATCH(A73,$V$2:$V$78,0))="","",INDEX($M$2:$M$78,MATCH(A73,$V$2:$V$78,0)))</x:f>
        <x:v>SLC023</x:v>
      </x:c>
      <x:c r="D73" s="66" t="str">
        <x:f>IF(INDEX($N$2:$N$78,MATCH(A73,$V$2:$V$78,0))="","",INDEX($N$2:$N$78,MATCH(A73,$V$2:$V$78,0)))</x:f>
        <x:v>广西银瓴资产</x:v>
      </x:c>
      <x:c r="E73" s="66" t="str">
        <x:f>IF(INDEX($O$2:$O$78,MATCH(A73,$V$2:$V$78,0))="","",INDEX($O$2:$O$78,MATCH(A73,$V$2:$V$78,0)))</x:f>
        <x:v>0-5亿元</x:v>
      </x:c>
      <x:c r="F73" s="77" t="n">
        <x:f>IF(INDEX($P$2:$P$78,MATCH(A73,$V$2:$V$78,0))="","",INDEX($P$2:$P$78,MATCH(A73,$V$2:$V$78,0)))</x:f>
        <x:v>29.91411</x:v>
      </x:c>
      <x:c r="G73" s="77" t="n">
        <x:f>IF(INDEX($Q$2:$Q$78,MATCH(A73,$V$2:$V$78,0))="","",INDEX($Q$2:$Q$78,MATCH(A73,$V$2:$V$78,0)))</x:f>
        <x:v>29.91</x:v>
      </x:c>
      <x:c r="H73" s="78" t="n">
        <x:f>IF(INDEX($R$2:$R$78,MATCH(A73,$V$2:$V$78,0))="","",INDEX($R$2:$R$78,MATCH(A73,$V$2:$V$78,0)))</x:f>
        <x:v>1</x:v>
      </x:c>
      <x:c r="I73" s="66" t="str">
        <x:f>IF(INDEX($S$2:$S$78,MATCH(A73,$V$2:$V$78,0))="","",INDEX($S$2:$S$78,MATCH(A73,$V$2:$V$78,0)))</x:f>
        <x:v>本次公示未见相关记录</x:v>
      </x:c>
      <x:c r="J73" s="66" t="str">
        <x:f>IF(INDEX($T$2:$T$78,MATCH(A73,$V$2:$V$78,0))="","",INDEX($T$2:$T$78,MATCH(A73,$V$2:$V$78,0)))</x:f>
        <x:v>https://gs.amac.org.cn/amac-infodisc/res/pof/manager/101000035485.html</x:v>
      </x:c>
      <x:c r="K73" s="66" t="n">
        <x:f>IF(INDEX($U$2:$U$78,MATCH(A73,$V$2:$V$78,0))="","",INDEX($U$2:$U$78,MATCH(A73,$V$2:$V$78,0)))</x:f>
        <x:v>193</x:v>
      </x:c>
      <x:c r="L73" s="80" t="str">
        <x:v>溋沣鸿运来星选1号</x:v>
      </x:c>
      <x:c r="M73" s="80" t="str">
        <x:v>S09408</x:v>
      </x:c>
      <x:c r="N73" s="80" t="str">
        <x:v>深圳前海溋沣资管</x:v>
      </x:c>
      <x:c r="O73" s="80" t="str">
        <x:v>0-5亿元</x:v>
      </x:c>
      <x:c r="P73" s="81" t="n">
        <x:f>IF(ABS('sheet2-计算明细'!AQ199-1)&lt;0.00000001,'sheet2-计算明细'!AR199,"")</x:f>
        <x:v>66.90116</x:v>
      </x:c>
      <x:c r="Q73" s="81" t="n">
        <x:f>'sheet2-计算明细'!AS199</x:f>
        <x:v>66.9</x:v>
      </x:c>
      <x:c r="R73" s="82" t="n">
        <x:f>'sheet2-计算明细'!AQ199</x:f>
        <x:v>1</x:v>
      </x:c>
      <x:c r="S73" s="80" t="str">
        <x:v>本次公示未见相关记录</x:v>
      </x:c>
      <x:c r="T73" s="80" t="str">
        <x:v>https://gs.amac.org.cn/amac-infodisc/res/pof/manager/1610131040102006.html</x:v>
      </x:c>
      <x:c r="U73" s="80" t="n">
        <x:f>'sheet2-计算明细'!AT199</x:f>
        <x:v>83</x:v>
      </x:c>
      <x:c r="V73" s="80" t="n">
        <x:f>COUNTIF($U$2:$U$78,"&lt;"&amp;U73)+1</x:f>
        <x:v>27</x:v>
      </x:c>
    </x:row>
    <x:row r="74" ht="27" customHeight="1">
      <x:c r="A74" s="66" t="n">
        <x:v>73</x:v>
      </x:c>
      <x:c r="B74" s="66" t="str">
        <x:f>IF(INDEX($L$2:$L$78,MATCH(A74,$V$2:$V$78,0))="","",INDEX($L$2:$L$78,MATCH(A74,$V$2:$V$78,0)))</x:f>
        <x:v>晟通京华宏观对冲</x:v>
      </x:c>
      <x:c r="C74" s="66" t="str">
        <x:f>IF(INDEX($M$2:$M$78,MATCH(A74,$V$2:$V$78,0))="","",INDEX($M$2:$M$78,MATCH(A74,$V$2:$V$78,0)))</x:f>
        <x:v>SNG078</x:v>
      </x:c>
      <x:c r="D74" s="66" t="str">
        <x:f>IF(INDEX($N$2:$N$78,MATCH(A74,$V$2:$V$78,0))="","",INDEX($N$2:$N$78,MATCH(A74,$V$2:$V$78,0)))</x:f>
        <x:v>深圳前海晟通资管</x:v>
      </x:c>
      <x:c r="E74" s="66" t="str">
        <x:f>IF(INDEX($O$2:$O$78,MATCH(A74,$V$2:$V$78,0))="","",INDEX($O$2:$O$78,MATCH(A74,$V$2:$V$78,0)))</x:f>
        <x:v>0-5亿元</x:v>
      </x:c>
      <x:c r="F74" s="77" t="n">
        <x:f>IF(INDEX($P$2:$P$78,MATCH(A74,$V$2:$V$78,0))="","",INDEX($P$2:$P$78,MATCH(A74,$V$2:$V$78,0)))</x:f>
        <x:v>29.318229999999996</x:v>
      </x:c>
      <x:c r="G74" s="77" t="n">
        <x:f>IF(INDEX($Q$2:$Q$78,MATCH(A74,$V$2:$V$78,0))="","",INDEX($Q$2:$Q$78,MATCH(A74,$V$2:$V$78,0)))</x:f>
        <x:v>29.32</x:v>
      </x:c>
      <x:c r="H74" s="78" t="n">
        <x:f>IF(INDEX($R$2:$R$78,MATCH(A74,$V$2:$V$78,0))="","",INDEX($R$2:$R$78,MATCH(A74,$V$2:$V$78,0)))</x:f>
        <x:v>1</x:v>
      </x:c>
      <x:c r="I74" s="66" t="str">
        <x:f>IF(INDEX($S$2:$S$78,MATCH(A74,$V$2:$V$78,0))="","",INDEX($S$2:$S$78,MATCH(A74,$V$2:$V$78,0)))</x:f>
        <x:v>本次公示未见相关记录</x:v>
      </x:c>
      <x:c r="J74" s="66" t="str">
        <x:f>IF(INDEX($T$2:$T$78,MATCH(A74,$V$2:$V$78,0))="","",INDEX($T$2:$T$78,MATCH(A74,$V$2:$V$78,0)))</x:f>
        <x:v>https://gs.amac.org.cn/amac-infodisc/res/pof/manager/1703281619108152.html</x:v>
      </x:c>
      <x:c r="K74" s="66" t="n">
        <x:f>IF(INDEX($U$2:$U$78,MATCH(A74,$V$2:$V$78,0))="","",INDEX($U$2:$U$78,MATCH(A74,$V$2:$V$78,0)))</x:f>
        <x:v>194</x:v>
      </x:c>
      <x:c r="L74" s="80" t="str">
        <x:v>鑫翰启明复合策略三期</x:v>
      </x:c>
      <x:c r="M74" s="80" t="str">
        <x:v>SZR346</x:v>
      </x:c>
      <x:c r="N74" s="80" t="str">
        <x:v>北京鑫翰资管</x:v>
      </x:c>
      <x:c r="O74" s="80" t="str">
        <x:v>0-5亿元</x:v>
      </x:c>
      <x:c r="P74" s="81" t="n">
        <x:f>IF(ABS('sheet2-计算明细'!AQ200-1)&lt;0.00000001,'sheet2-计算明细'!AR200,"")</x:f>
        <x:v>55.42106999999999</x:v>
      </x:c>
      <x:c r="Q74" s="81" t="n">
        <x:f>'sheet2-计算明细'!AS200</x:f>
        <x:v>55.42</x:v>
      </x:c>
      <x:c r="R74" s="82" t="n">
        <x:f>'sheet2-计算明细'!AQ200</x:f>
        <x:v>1</x:v>
      </x:c>
      <x:c r="S74" s="80" t="str">
        <x:v>本次公示未见相关记录</x:v>
      </x:c>
      <x:c r="T74" s="80" t="str">
        <x:v>https://gs.amac.org.cn/amac-infodisc/res/pof/manager/1906200947105473.html</x:v>
      </x:c>
      <x:c r="U74" s="80" t="n">
        <x:f>'sheet2-计算明细'!AT200</x:f>
        <x:v>124</x:v>
      </x:c>
      <x:c r="V74" s="80" t="n">
        <x:f>COUNTIF($U$2:$U$78,"&lt;"&amp;U74)+1</x:f>
        <x:v>38</x:v>
      </x:c>
    </x:row>
    <x:row r="75" ht="27" customHeight="1">
      <x:c r="A75" s="66" t="n">
        <x:v>74</x:v>
      </x:c>
      <x:c r="B75" s="66" t="str">
        <x:f>IF(INDEX($L$2:$L$78,MATCH(A75,$V$2:$V$78,0))="","",INDEX($L$2:$L$78,MATCH(A75,$V$2:$V$78,0)))</x:f>
        <x:v>言起投资价值成长1号</x:v>
      </x:c>
      <x:c r="C75" s="66" t="str">
        <x:f>IF(INDEX($M$2:$M$78,MATCH(A75,$V$2:$V$78,0))="","",INDEX($M$2:$M$78,MATCH(A75,$V$2:$V$78,0)))</x:f>
        <x:v>SZL583</x:v>
      </x:c>
      <x:c r="D75" s="66" t="str">
        <x:f>IF(INDEX($N$2:$N$78,MATCH(A75,$V$2:$V$78,0))="","",INDEX($N$2:$N$78,MATCH(A75,$V$2:$V$78,0)))</x:f>
        <x:v>厦门言起投资</x:v>
      </x:c>
      <x:c r="E75" s="66" t="str">
        <x:f>IF(INDEX($O$2:$O$78,MATCH(A75,$V$2:$V$78,0))="","",INDEX($O$2:$O$78,MATCH(A75,$V$2:$V$78,0)))</x:f>
        <x:v>0-5亿元</x:v>
      </x:c>
      <x:c r="F75" s="77" t="str">
        <x:f>IF(INDEX($P$2:$P$78,MATCH(A75,$V$2:$V$78,0))="","",INDEX($P$2:$P$78,MATCH(A75,$V$2:$V$78,0)))</x:f>
      </x:c>
      <x:c r="G75" s="77" t="n">
        <x:f>IF(INDEX($Q$2:$Q$78,MATCH(A75,$V$2:$V$78,0))="","",INDEX($Q$2:$Q$78,MATCH(A75,$V$2:$V$78,0)))</x:f>
        <x:v>28.94</x:v>
      </x:c>
      <x:c r="H75" s="78" t="n">
        <x:f>IF(INDEX($R$2:$R$78,MATCH(A75,$V$2:$V$78,0))="","",INDEX($R$2:$R$78,MATCH(A75,$V$2:$V$78,0)))</x:f>
        <x:v>0.88</x:v>
      </x:c>
      <x:c r="I75" s="66" t="str">
        <x:f>IF(INDEX($S$2:$S$78,MATCH(A75,$V$2:$V$78,0))="","",INDEX($S$2:$S$78,MATCH(A75,$V$2:$V$78,0)))</x:f>
        <x:v>协会提示／报送异常</x:v>
      </x:c>
      <x:c r="J75" s="66" t="str">
        <x:f>IF(INDEX($T$2:$T$78,MATCH(A75,$V$2:$V$78,0))="","",INDEX($T$2:$T$78,MATCH(A75,$V$2:$V$78,0)))</x:f>
        <x:v>https://gs.amac.org.cn/amac-infodisc/res/pof/manager/101000049573.html</x:v>
      </x:c>
      <x:c r="K75" s="66" t="n">
        <x:f>IF(INDEX($U$2:$U$78,MATCH(A75,$V$2:$V$78,0))="","",INDEX($U$2:$U$78,MATCH(A75,$V$2:$V$78,0)))</x:f>
        <x:v>196</x:v>
      </x:c>
      <x:c r="L75" s="80" t="str">
        <x:v>鸿儒灵活配置2期</x:v>
      </x:c>
      <x:c r="M75" s="80" t="str">
        <x:v>SB5918</x:v>
      </x:c>
      <x:c r="N75" s="80" t="str">
        <x:v>上海鸿儒投资</x:v>
      </x:c>
      <x:c r="O75" s="80" t="str">
        <x:v>0-5亿元</x:v>
      </x:c>
      <x:c r="P75" s="81" t="n">
        <x:f>IF(ABS('sheet2-计算明细'!AQ202-1)&lt;0.00000001,'sheet2-计算明细'!AR202,"")</x:f>
        <x:v>68.59398999999999</x:v>
      </x:c>
      <x:c r="Q75" s="81" t="n">
        <x:f>'sheet2-计算明细'!AS202</x:f>
        <x:v>68.59</x:v>
      </x:c>
      <x:c r="R75" s="82" t="n">
        <x:f>'sheet2-计算明细'!AQ202</x:f>
        <x:v>1</x:v>
      </x:c>
      <x:c r="S75" s="80" t="str">
        <x:v>协会提示／报送异常</x:v>
      </x:c>
      <x:c r="T75" s="80" t="str">
        <x:v>https://gs.amac.org.cn/amac-infodisc/res/pof/manager/1912121722101881.html</x:v>
      </x:c>
      <x:c r="U75" s="80" t="n">
        <x:f>'sheet2-计算明细'!AT202</x:f>
        <x:v>79</x:v>
      </x:c>
      <x:c r="V75" s="80" t="n">
        <x:f>COUNTIF($U$2:$U$78,"&lt;"&amp;U75)+1</x:f>
        <x:v>26</x:v>
      </x:c>
    </x:row>
    <x:row r="76" ht="27" customHeight="1">
      <x:c r="A76" s="66" t="n">
        <x:v>75</x:v>
      </x:c>
      <x:c r="B76" s="66" t="str">
        <x:f>IF(INDEX($L$2:$L$78,MATCH(A76,$V$2:$V$78,0))="","",INDEX($L$2:$L$78,MATCH(A76,$V$2:$V$78,0)))</x:f>
        <x:v>银瓴多德价值投资1号</x:v>
      </x:c>
      <x:c r="C76" s="66" t="str">
        <x:f>IF(INDEX($M$2:$M$78,MATCH(A76,$V$2:$V$78,0))="","",INDEX($M$2:$M$78,MATCH(A76,$V$2:$V$78,0)))</x:f>
        <x:v>SQV390</x:v>
      </x:c>
      <x:c r="D76" s="66" t="str">
        <x:f>IF(INDEX($N$2:$N$78,MATCH(A76,$V$2:$V$78,0))="","",INDEX($N$2:$N$78,MATCH(A76,$V$2:$V$78,0)))</x:f>
        <x:v>广西银瓴资产</x:v>
      </x:c>
      <x:c r="E76" s="66" t="str">
        <x:f>IF(INDEX($O$2:$O$78,MATCH(A76,$V$2:$V$78,0))="","",INDEX($O$2:$O$78,MATCH(A76,$V$2:$V$78,0)))</x:f>
        <x:v>0-5亿元</x:v>
      </x:c>
      <x:c r="F76" s="77" t="n">
        <x:f>IF(INDEX($P$2:$P$78,MATCH(A76,$V$2:$V$78,0))="","",INDEX($P$2:$P$78,MATCH(A76,$V$2:$V$78,0)))</x:f>
        <x:v>26.625659999999996</x:v>
      </x:c>
      <x:c r="G76" s="77" t="n">
        <x:f>IF(INDEX($Q$2:$Q$78,MATCH(A76,$V$2:$V$78,0))="","",INDEX($Q$2:$Q$78,MATCH(A76,$V$2:$V$78,0)))</x:f>
        <x:v>26.63</x:v>
      </x:c>
      <x:c r="H76" s="78" t="n">
        <x:f>IF(INDEX($R$2:$R$78,MATCH(A76,$V$2:$V$78,0))="","",INDEX($R$2:$R$78,MATCH(A76,$V$2:$V$78,0)))</x:f>
        <x:v>1</x:v>
      </x:c>
      <x:c r="I76" s="66" t="str">
        <x:f>IF(INDEX($S$2:$S$78,MATCH(A76,$V$2:$V$78,0))="","",INDEX($S$2:$S$78,MATCH(A76,$V$2:$V$78,0)))</x:f>
        <x:v>本次公示未见相关记录</x:v>
      </x:c>
      <x:c r="J76" s="66" t="str">
        <x:f>IF(INDEX($T$2:$T$78,MATCH(A76,$V$2:$V$78,0))="","",INDEX($T$2:$T$78,MATCH(A76,$V$2:$V$78,0)))</x:f>
        <x:v>https://gs.amac.org.cn/amac-infodisc/res/pof/manager/101000035485.html</x:v>
      </x:c>
      <x:c r="K76" s="66" t="n">
        <x:f>IF(INDEX($U$2:$U$78,MATCH(A76,$V$2:$V$78,0))="","",INDEX($U$2:$U$78,MATCH(A76,$V$2:$V$78,0)))</x:f>
        <x:v>199</x:v>
      </x:c>
      <x:c r="L76" s="80" t="str">
        <x:v>溋沣鸿运来星选1号B类</x:v>
      </x:c>
      <x:c r="M76" s="80" t="str">
        <x:v>09408B</x:v>
      </x:c>
      <x:c r="N76" s="80" t="str">
        <x:v>深圳前海溋沣资管</x:v>
      </x:c>
      <x:c r="O76" s="80" t="str">
        <x:v>0-5亿元</x:v>
      </x:c>
      <x:c r="P76" s="81" t="str">
        <x:f>IF(ABS('sheet2-计算明细'!AQ207-1)&lt;0.00000001,'sheet2-计算明细'!AR207,"")</x:f>
      </x:c>
      <x:c r="Q76" s="81" t="n">
        <x:f>'sheet2-计算明细'!AS207</x:f>
        <x:v>63.78</x:v>
      </x:c>
      <x:c r="R76" s="82" t="n">
        <x:f>'sheet2-计算明细'!AQ207</x:f>
        <x:v>0.9550000000000001</x:v>
      </x:c>
      <x:c r="S76" s="80" t="str">
        <x:v>本次公示未见相关记录</x:v>
      </x:c>
      <x:c r="T76" s="80" t="str">
        <x:v>https://gs.amac.org.cn/amac-infodisc/res/pof/manager/1610131040102006.html</x:v>
      </x:c>
      <x:c r="U76" s="80" t="n">
        <x:f>'sheet2-计算明细'!AT207</x:f>
        <x:v>96</x:v>
      </x:c>
      <x:c r="V76" s="80" t="n">
        <x:f>COUNTIF($U$2:$U$78,"&lt;"&amp;U76)+1</x:f>
        <x:v>32</x:v>
      </x:c>
    </x:row>
    <x:row r="77" ht="27" customHeight="1">
      <x:c r="A77" s="66" t="n">
        <x:v>76</x:v>
      </x:c>
      <x:c r="B77" s="66" t="str">
        <x:f>IF(INDEX($L$2:$L$78,MATCH(A77,$V$2:$V$78,0))="","",INDEX($L$2:$L$78,MATCH(A77,$V$2:$V$78,0)))</x:f>
        <x:v>银瓴运通对冲套利宝城6号</x:v>
      </x:c>
      <x:c r="C77" s="66" t="str">
        <x:f>IF(INDEX($M$2:$M$78,MATCH(A77,$V$2:$V$78,0))="","",INDEX($M$2:$M$78,MATCH(A77,$V$2:$V$78,0)))</x:f>
        <x:v>SQU465</x:v>
      </x:c>
      <x:c r="D77" s="66" t="str">
        <x:f>IF(INDEX($N$2:$N$78,MATCH(A77,$V$2:$V$78,0))="","",INDEX($N$2:$N$78,MATCH(A77,$V$2:$V$78,0)))</x:f>
        <x:v>广西银瓴资产</x:v>
      </x:c>
      <x:c r="E77" s="66" t="str">
        <x:f>IF(INDEX($O$2:$O$78,MATCH(A77,$V$2:$V$78,0))="","",INDEX($O$2:$O$78,MATCH(A77,$V$2:$V$78,0)))</x:f>
        <x:v>0-5亿元</x:v>
      </x:c>
      <x:c r="F77" s="77" t="n">
        <x:f>IF(INDEX($P$2:$P$78,MATCH(A77,$V$2:$V$78,0))="","",INDEX($P$2:$P$78,MATCH(A77,$V$2:$V$78,0)))</x:f>
        <x:v>23.66402</x:v>
      </x:c>
      <x:c r="G77" s="77" t="n">
        <x:f>IF(INDEX($Q$2:$Q$78,MATCH(A77,$V$2:$V$78,0))="","",INDEX($Q$2:$Q$78,MATCH(A77,$V$2:$V$78,0)))</x:f>
        <x:v>23.66</x:v>
      </x:c>
      <x:c r="H77" s="78" t="n">
        <x:f>IF(INDEX($R$2:$R$78,MATCH(A77,$V$2:$V$78,0))="","",INDEX($R$2:$R$78,MATCH(A77,$V$2:$V$78,0)))</x:f>
        <x:v>1</x:v>
      </x:c>
      <x:c r="I77" s="66" t="str">
        <x:f>IF(INDEX($S$2:$S$78,MATCH(A77,$V$2:$V$78,0))="","",INDEX($S$2:$S$78,MATCH(A77,$V$2:$V$78,0)))</x:f>
        <x:v>本次公示未见相关记录</x:v>
      </x:c>
      <x:c r="J77" s="66" t="str">
        <x:f>IF(INDEX($T$2:$T$78,MATCH(A77,$V$2:$V$78,0))="","",INDEX($T$2:$T$78,MATCH(A77,$V$2:$V$78,0)))</x:f>
        <x:v>https://gs.amac.org.cn/amac-infodisc/res/pof/manager/101000035485.html</x:v>
      </x:c>
      <x:c r="K77" s="66" t="n">
        <x:f>IF(INDEX($U$2:$U$78,MATCH(A77,$V$2:$V$78,0))="","",INDEX($U$2:$U$78,MATCH(A77,$V$2:$V$78,0)))</x:f>
        <x:v>201</x:v>
      </x:c>
      <x:c r="L77" s="80" t="str">
        <x:v>鸿熵天然1号A类</x:v>
      </x:c>
      <x:c r="M77" s="80" t="str">
        <x:v>XU720A</x:v>
      </x:c>
      <x:c r="N77" s="80" t="str">
        <x:v>北京鸿熵</x:v>
      </x:c>
      <x:c r="O77" s="80" t="str">
        <x:v>0-5亿元</x:v>
      </x:c>
      <x:c r="P77" s="81" t="str">
        <x:f>IF(ABS('sheet2-计算明细'!AQ212-1)&lt;0.00000001,'sheet2-计算明细'!AR212,"")</x:f>
      </x:c>
      <x:c r="Q77" s="81" t="n">
        <x:f>'sheet2-计算明细'!AS212</x:f>
        <x:v>35.49</x:v>
      </x:c>
      <x:c r="R77" s="82" t="n">
        <x:f>'sheet2-计算明细'!AQ212</x:f>
        <x:v>0.9550000000000001</x:v>
      </x:c>
      <x:c r="S77" s="80" t="str">
        <x:v>本次公示未见相关记录</x:v>
      </x:c>
      <x:c r="T77" s="80" t="str">
        <x:v>https://gs.amac.org.cn/amac-infodisc/res/pof/manager/101000011345.html</x:v>
      </x:c>
      <x:c r="U77" s="80" t="n">
        <x:f>'sheet2-计算明细'!AT212</x:f>
        <x:v>184</x:v>
      </x:c>
      <x:c r="V77" s="80" t="n">
        <x:f>COUNTIF($U$2:$U$78,"&lt;"&amp;U77)+1</x:f>
        <x:v>65</x:v>
      </x:c>
    </x:row>
    <x:row r="78" ht="27" customHeight="1">
      <x:c r="A78" s="66" t="n">
        <x:v>77</x:v>
      </x:c>
      <x:c r="B78" s="66" t="str">
        <x:f>IF(INDEX($L$2:$L$78,MATCH(A78,$V$2:$V$78,0))="","",INDEX($L$2:$L$78,MATCH(A78,$V$2:$V$78,0)))</x:f>
        <x:v>数为道策套利一号</x:v>
      </x:c>
      <x:c r="C78" s="66" t="str">
        <x:f>IF(INDEX($M$2:$M$78,MATCH(A78,$V$2:$V$78,0))="","",INDEX($M$2:$M$78,MATCH(A78,$V$2:$V$78,0)))</x:f>
        <x:v>SNA956</x:v>
      </x:c>
      <x:c r="D78" s="66" t="str">
        <x:f>IF(INDEX($N$2:$N$78,MATCH(A78,$V$2:$V$78,0))="","",INDEX($N$2:$N$78,MATCH(A78,$V$2:$V$78,0)))</x:f>
        <x:v>福州数为</x:v>
      </x:c>
      <x:c r="E78" s="66" t="str">
        <x:f>IF(INDEX($O$2:$O$78,MATCH(A78,$V$2:$V$78,0))="","",INDEX($O$2:$O$78,MATCH(A78,$V$2:$V$78,0)))</x:f>
        <x:v>0-5亿元</x:v>
      </x:c>
      <x:c r="F78" s="77" t="str">
        <x:f>IF(INDEX($P$2:$P$78,MATCH(A78,$V$2:$V$78,0))="","",INDEX($P$2:$P$78,MATCH(A78,$V$2:$V$78,0)))</x:f>
      </x:c>
      <x:c r="G78" s="77" t="n">
        <x:f>IF(INDEX($Q$2:$Q$78,MATCH(A78,$V$2:$V$78,0))="","",INDEX($Q$2:$Q$78,MATCH(A78,$V$2:$V$78,0)))</x:f>
        <x:v>20.39</x:v>
      </x:c>
      <x:c r="H78" s="78" t="n">
        <x:f>IF(INDEX($R$2:$R$78,MATCH(A78,$V$2:$V$78,0))="","",INDEX($R$2:$R$78,MATCH(A78,$V$2:$V$78,0)))</x:f>
        <x:v>0.88</x:v>
      </x:c>
      <x:c r="I78" s="66" t="str">
        <x:f>IF(INDEX($S$2:$S$78,MATCH(A78,$V$2:$V$78,0))="","",INDEX($S$2:$S$78,MATCH(A78,$V$2:$V$78,0)))</x:f>
        <x:v>本次公示未见相关记录</x:v>
      </x:c>
      <x:c r="J78" s="66" t="str">
        <x:f>IF(INDEX($T$2:$T$78,MATCH(A78,$V$2:$V$78,0))="","",INDEX($T$2:$T$78,MATCH(A78,$V$2:$V$78,0)))</x:f>
        <x:v>https://gs.amac.org.cn/amac-infodisc/res/pof/manager/1705081548107725.html</x:v>
      </x:c>
      <x:c r="K78" s="66" t="n">
        <x:f>IF(INDEX($U$2:$U$78,MATCH(A78,$V$2:$V$78,0))="","",INDEX($U$2:$U$78,MATCH(A78,$V$2:$V$78,0)))</x:f>
        <x:v>203</x:v>
      </x:c>
      <x:c r="L78" s="80" t="str">
        <x:v>守正卓越一号A类</x:v>
      </x:c>
      <x:c r="M78" s="80" t="str">
        <x:v>VY984A</x:v>
      </x:c>
      <x:c r="N78" s="80" t="str">
        <x:v>山东守正</x:v>
      </x:c>
      <x:c r="O78" s="80" t="str">
        <x:v>0-5亿元</x:v>
      </x:c>
      <x:c r="P78" s="81" t="str">
        <x:f>IF(ABS('sheet2-计算明细'!AQ215-1)&lt;0.00000001,'sheet2-计算明细'!AR215,"")</x:f>
      </x:c>
      <x:c r="Q78" s="81" t="n">
        <x:f>'sheet2-计算明细'!AS215</x:f>
        <x:v>60.32</x:v>
      </x:c>
      <x:c r="R78" s="82" t="n">
        <x:f>'sheet2-计算明细'!AQ215</x:f>
        <x:v>0.9550000000000001</x:v>
      </x:c>
      <x:c r="S78" s="80" t="str">
        <x:v>协会提示／报送异常</x:v>
      </x:c>
      <x:c r="T78" s="80" t="str">
        <x:v>https://gs.amac.org.cn/amac-infodisc/res/pof/manager/2111241907106834.html</x:v>
      </x:c>
      <x:c r="U78" s="80" t="n">
        <x:f>'sheet2-计算明细'!AT215</x:f>
        <x:v>107</x:v>
      </x:c>
      <x:c r="V78" s="80" t="n">
        <x:f>COUNTIF($U$2:$U$78,"&lt;"&amp;U78)+1</x:f>
        <x:v>35</x:v>
      </x:c>
    </x:row>
    <x:row r="79">
      <x:c r="A79"/>
      <x:c r="B79"/>
      <x:c r="C79"/>
      <x:c r="D79"/>
      <x:c r="E79"/>
      <x:c r="F79"/>
      <x:c r="G79"/>
      <x:c r="H79"/>
      <x:c r="I79"/>
      <x:c r="J79"/>
      <x:c r="K79"/>
    </x:row>
    <x:row r="80">
      <x:c r="A80"/>
      <x:c r="B80"/>
      <x:c r="C80"/>
      <x:c r="D80"/>
      <x:c r="E80"/>
      <x:c r="G80"/>
      <x:c r="H80"/>
      <x:c r="I80"/>
      <x:c r="J80"/>
      <x:c r="K80"/>
    </x:row>
    <x:row r="81">
      <x:c r="A81"/>
      <x:c r="B81"/>
      <x:c r="C81"/>
      <x:c r="D81"/>
      <x:c r="E81"/>
      <x:c r="G81"/>
      <x:c r="H81"/>
      <x:c r="I81"/>
      <x:c r="J81"/>
      <x:c r="K81"/>
    </x:row>
    <x:row r="82">
      <x:c r="A82"/>
      <x:c r="B82"/>
      <x:c r="C82"/>
      <x:c r="D82"/>
      <x:c r="E82"/>
      <x:c r="F82"/>
      <x:c r="G82"/>
      <x:c r="H82"/>
      <x:c r="I82"/>
      <x:c r="J82"/>
      <x:c r="K82"/>
    </x:row>
    <x:row r="83">
      <x:c r="A83"/>
      <x:c r="B83"/>
      <x:c r="C83"/>
      <x:c r="D83"/>
      <x:c r="E83"/>
      <x:c r="G83"/>
      <x:c r="H83"/>
      <x:c r="I83"/>
      <x:c r="J83"/>
      <x:c r="K83"/>
    </x:row>
    <x:row r="84">
      <x:c r="A84"/>
      <x:c r="B84"/>
      <x:c r="C84"/>
      <x:c r="D84"/>
      <x:c r="E84"/>
      <x:c r="F84"/>
      <x:c r="G84"/>
      <x:c r="H84"/>
      <x:c r="I84"/>
      <x:c r="J84"/>
      <x:c r="K84"/>
    </x:row>
    <x:row r="85">
      <x:c r="A85"/>
      <x:c r="B85"/>
      <x:c r="C85"/>
      <x:c r="D85"/>
      <x:c r="E85"/>
      <x:c r="F85"/>
      <x:c r="G85"/>
      <x:c r="H85"/>
      <x:c r="I85"/>
      <x:c r="J85"/>
      <x:c r="K85"/>
    </x:row>
    <x:row r="86">
      <x:c r="A86"/>
      <x:c r="B86"/>
      <x:c r="C86"/>
      <x:c r="D86"/>
      <x:c r="E86"/>
      <x:c r="G86"/>
      <x:c r="H86"/>
      <x:c r="I86"/>
      <x:c r="J86"/>
      <x:c r="K86"/>
    </x:row>
    <x:row r="87">
      <x:c r="A87"/>
      <x:c r="B87"/>
      <x:c r="C87"/>
      <x:c r="D87"/>
      <x:c r="E87"/>
      <x:c r="F87"/>
      <x:c r="G87"/>
      <x:c r="H87"/>
      <x:c r="I87"/>
      <x:c r="J87"/>
      <x:c r="K87"/>
    </x:row>
    <x:row r="88">
      <x:c r="A88"/>
      <x:c r="B88"/>
      <x:c r="C88"/>
      <x:c r="D88"/>
      <x:c r="E88"/>
      <x:c r="F88"/>
      <x:c r="G88"/>
      <x:c r="H88"/>
      <x:c r="I88"/>
      <x:c r="J88"/>
      <x:c r="K88"/>
    </x:row>
    <x:row r="89">
      <x:c r="A89"/>
      <x:c r="B89"/>
      <x:c r="C89"/>
      <x:c r="D89"/>
      <x:c r="E89"/>
      <x:c r="G89"/>
      <x:c r="H89"/>
      <x:c r="I89"/>
      <x:c r="J89"/>
      <x:c r="K89"/>
    </x:row>
    <x:row r="90">
      <x:c r="A90"/>
      <x:c r="B90"/>
      <x:c r="C90"/>
      <x:c r="D90"/>
      <x:c r="E90"/>
      <x:c r="G90"/>
      <x:c r="H90"/>
      <x:c r="I90"/>
      <x:c r="J90"/>
      <x:c r="K90"/>
    </x:row>
    <x:row r="91">
      <x:c r="A91"/>
      <x:c r="B91"/>
      <x:c r="C91"/>
      <x:c r="D91"/>
      <x:c r="E91"/>
      <x:c r="F91"/>
      <x:c r="G91"/>
      <x:c r="H91"/>
      <x:c r="I91"/>
      <x:c r="J91"/>
      <x:c r="K91"/>
    </x:row>
    <x:row r="92">
      <x:c r="A92"/>
      <x:c r="B92"/>
      <x:c r="C92"/>
      <x:c r="D92"/>
      <x:c r="E92"/>
      <x:c r="G92"/>
      <x:c r="H92"/>
      <x:c r="I92"/>
      <x:c r="J92"/>
      <x:c r="K92"/>
    </x:row>
    <x:row r="93">
      <x:c r="A93"/>
      <x:c r="B93"/>
      <x:c r="C93"/>
      <x:c r="D93"/>
      <x:c r="E93"/>
      <x:c r="F93"/>
      <x:c r="G93"/>
      <x:c r="H93"/>
      <x:c r="I93"/>
      <x:c r="J93"/>
      <x:c r="K93"/>
    </x:row>
    <x:row r="94">
      <x:c r="A94"/>
      <x:c r="B94"/>
      <x:c r="C94"/>
      <x:c r="D94"/>
      <x:c r="E94"/>
      <x:c r="F94"/>
      <x:c r="G94"/>
      <x:c r="H94"/>
      <x:c r="I94"/>
      <x:c r="J94"/>
      <x:c r="K94"/>
    </x:row>
    <x:row r="95">
      <x:c r="A95"/>
      <x:c r="B95"/>
      <x:c r="C95"/>
      <x:c r="D95"/>
      <x:c r="E95"/>
      <x:c r="G95"/>
      <x:c r="H95"/>
      <x:c r="I95"/>
      <x:c r="J95"/>
      <x:c r="K95"/>
    </x:row>
    <x:row r="96">
      <x:c r="A96"/>
      <x:c r="B96"/>
      <x:c r="C96"/>
      <x:c r="D96"/>
      <x:c r="E96"/>
      <x:c r="G96"/>
      <x:c r="H96"/>
      <x:c r="I96"/>
      <x:c r="J96"/>
      <x:c r="K96"/>
    </x:row>
    <x:row r="97">
      <x:c r="A97"/>
      <x:c r="B97"/>
      <x:c r="C97"/>
      <x:c r="D97"/>
      <x:c r="E97"/>
      <x:c r="G97"/>
      <x:c r="H97"/>
      <x:c r="I97"/>
      <x:c r="J97"/>
      <x:c r="K97"/>
    </x:row>
    <x:row r="98">
      <x:c r="A98"/>
      <x:c r="B98"/>
      <x:c r="C98"/>
      <x:c r="D98"/>
      <x:c r="E98"/>
      <x:c r="G98"/>
      <x:c r="H98"/>
      <x:c r="I98"/>
      <x:c r="J98"/>
      <x:c r="K98"/>
    </x:row>
    <x:row r="99">
      <x:c r="A99"/>
      <x:c r="B99"/>
      <x:c r="C99"/>
      <x:c r="D99"/>
      <x:c r="E99"/>
      <x:c r="G99"/>
      <x:c r="H99"/>
      <x:c r="I99"/>
      <x:c r="J99"/>
      <x:c r="K99"/>
    </x:row>
    <x:row r="100">
      <x:c r="A100"/>
      <x:c r="B100"/>
      <x:c r="C100"/>
      <x:c r="D100"/>
      <x:c r="E100"/>
      <x:c r="G100"/>
      <x:c r="H100"/>
      <x:c r="I100"/>
      <x:c r="J100"/>
      <x:c r="K100"/>
    </x:row>
    <x:row r="101">
      <x:c r="A101"/>
      <x:c r="B101"/>
      <x:c r="C101"/>
      <x:c r="D101"/>
      <x:c r="E101"/>
      <x:c r="F101"/>
      <x:c r="G101"/>
      <x:c r="H101"/>
      <x:c r="I101"/>
      <x:c r="J101"/>
      <x:c r="K101"/>
    </x:row>
    <x:row r="102">
      <x:c r="A102"/>
      <x:c r="B102"/>
      <x:c r="C102"/>
      <x:c r="D102"/>
      <x:c r="E102"/>
      <x:c r="G102"/>
      <x:c r="H102"/>
      <x:c r="I102"/>
      <x:c r="J102"/>
      <x:c r="K102"/>
    </x:row>
    <x:row r="103">
      <x:c r="A103"/>
      <x:c r="B103"/>
      <x:c r="C103"/>
      <x:c r="D103"/>
      <x:c r="E103"/>
      <x:c r="F103"/>
      <x:c r="G103"/>
      <x:c r="H103"/>
      <x:c r="I103"/>
      <x:c r="J103"/>
      <x:c r="K103"/>
    </x:row>
    <x:row r="104">
      <x:c r="A104"/>
      <x:c r="B104"/>
      <x:c r="C104"/>
      <x:c r="D104"/>
      <x:c r="E104"/>
      <x:c r="F104"/>
      <x:c r="G104"/>
      <x:c r="H104"/>
      <x:c r="I104"/>
      <x:c r="J104"/>
      <x:c r="K104"/>
    </x:row>
    <x:row r="105">
      <x:c r="A105"/>
      <x:c r="B105"/>
      <x:c r="C105"/>
      <x:c r="D105"/>
      <x:c r="E105"/>
      <x:c r="F105"/>
      <x:c r="G105"/>
      <x:c r="H105"/>
      <x:c r="I105"/>
      <x:c r="J105"/>
      <x:c r="K105"/>
    </x:row>
    <x:row r="106">
      <x:c r="A106"/>
      <x:c r="B106"/>
      <x:c r="C106"/>
      <x:c r="D106"/>
      <x:c r="E106"/>
      <x:c r="G106"/>
      <x:c r="H106"/>
      <x:c r="I106"/>
      <x:c r="J106"/>
      <x:c r="K106"/>
    </x:row>
    <x:row r="107">
      <x:c r="A107"/>
      <x:c r="B107"/>
      <x:c r="C107"/>
      <x:c r="D107"/>
      <x:c r="E107"/>
      <x:c r="G107"/>
      <x:c r="H107"/>
      <x:c r="I107"/>
      <x:c r="J107"/>
      <x:c r="K107"/>
    </x:row>
    <x:row r="108">
      <x:c r="A108"/>
      <x:c r="B108"/>
      <x:c r="C108"/>
      <x:c r="D108"/>
      <x:c r="E108"/>
      <x:c r="F108"/>
      <x:c r="G108"/>
      <x:c r="H108"/>
      <x:c r="I108"/>
      <x:c r="J108"/>
      <x:c r="K108"/>
    </x:row>
    <x:row r="109">
      <x:c r="A109"/>
      <x:c r="B109"/>
      <x:c r="C109"/>
      <x:c r="D109"/>
      <x:c r="E109"/>
      <x:c r="F109"/>
      <x:c r="G109"/>
      <x:c r="H109"/>
      <x:c r="I109"/>
      <x:c r="J109"/>
      <x:c r="K109"/>
    </x:row>
    <x:row r="110">
      <x:c r="A110"/>
      <x:c r="B110"/>
      <x:c r="C110"/>
      <x:c r="D110"/>
      <x:c r="E110"/>
      <x:c r="F110"/>
      <x:c r="G110"/>
      <x:c r="H110"/>
      <x:c r="I110"/>
      <x:c r="J110"/>
      <x:c r="K110"/>
    </x:row>
    <x:row r="111">
      <x:c r="A111"/>
      <x:c r="B111"/>
      <x:c r="C111"/>
      <x:c r="D111"/>
      <x:c r="E111"/>
      <x:c r="G111"/>
      <x:c r="H111"/>
      <x:c r="I111"/>
      <x:c r="J111"/>
      <x:c r="K111"/>
    </x:row>
    <x:row r="112">
      <x:c r="A112"/>
      <x:c r="B112"/>
      <x:c r="C112"/>
      <x:c r="D112"/>
      <x:c r="E112"/>
      <x:c r="G112"/>
      <x:c r="H112"/>
      <x:c r="I112"/>
      <x:c r="J112"/>
      <x:c r="K112"/>
    </x:row>
    <x:row r="113">
      <x:c r="A113"/>
      <x:c r="B113"/>
      <x:c r="C113"/>
      <x:c r="D113"/>
      <x:c r="E113"/>
      <x:c r="F113"/>
      <x:c r="G113"/>
      <x:c r="H113"/>
      <x:c r="I113"/>
      <x:c r="J113"/>
      <x:c r="K113"/>
    </x:row>
    <x:row r="114">
      <x:c r="A114"/>
      <x:c r="B114"/>
      <x:c r="C114"/>
      <x:c r="D114"/>
      <x:c r="E114"/>
      <x:c r="G114"/>
      <x:c r="H114"/>
      <x:c r="I114"/>
      <x:c r="J114"/>
      <x:c r="K114"/>
    </x:row>
    <x:row r="115">
      <x:c r="A115"/>
      <x:c r="B115"/>
      <x:c r="C115"/>
      <x:c r="D115"/>
      <x:c r="E115"/>
      <x:c r="F115"/>
      <x:c r="G115"/>
      <x:c r="H115"/>
      <x:c r="I115"/>
      <x:c r="J115"/>
      <x:c r="K115"/>
    </x:row>
    <x:row r="116">
      <x:c r="A116"/>
      <x:c r="B116"/>
      <x:c r="C116"/>
      <x:c r="D116"/>
      <x:c r="E116"/>
      <x:c r="G116"/>
      <x:c r="H116"/>
      <x:c r="I116"/>
      <x:c r="J116"/>
      <x:c r="K116"/>
    </x:row>
    <x:row r="117">
      <x:c r="A117"/>
      <x:c r="B117"/>
      <x:c r="C117"/>
      <x:c r="D117"/>
      <x:c r="E117"/>
      <x:c r="G117"/>
      <x:c r="H117"/>
      <x:c r="I117"/>
      <x:c r="J117"/>
      <x:c r="K117"/>
    </x:row>
  </x:sheetData>
  <x:pageMargins left="0.7" right="0.7" top="0.75" bottom="0.75" header="0.3" footer="0.3"/>
</x:worksheet>
</file>